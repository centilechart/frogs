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mers\Downloads\"/>
    </mc:Choice>
  </mc:AlternateContent>
  <xr:revisionPtr revIDLastSave="0" documentId="13_ncr:1_{9D5150CB-2505-4823-9196-716AD17836F3}" xr6:coauthVersionLast="47" xr6:coauthVersionMax="47" xr10:uidLastSave="{00000000-0000-0000-0000-000000000000}"/>
  <bookViews>
    <workbookView xWindow="-110" yWindow="-110" windowWidth="19420" windowHeight="11500" activeTab="2" xr2:uid="{8B792AF8-92F1-408F-A5F0-55CEF7359780}"/>
  </bookViews>
  <sheets>
    <sheet name="How to Use" sheetId="4" r:id="rId1"/>
    <sheet name="Calculator" sheetId="1" r:id="rId2"/>
    <sheet name="Backend" sheetId="2" r:id="rId3"/>
    <sheet name="Sources" sheetId="3" r:id="rId4"/>
  </sheets>
  <definedNames>
    <definedName name="Data_Sources">OFFSET(Sources!$A$1, 1, 0, COUNTA(Sources!$A$1:$A$50)-1, 1)</definedName>
    <definedName name="Data_Sources_Full">Sources!$A$2:$F$50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1" l="1"/>
  <c r="B8" i="2"/>
  <c r="B7" i="2"/>
  <c r="C7" i="2" s="1"/>
  <c r="B6" i="2"/>
  <c r="C6" i="2" s="1"/>
  <c r="B4" i="2"/>
  <c r="D6" i="1"/>
  <c r="G6" i="1" s="1"/>
  <c r="D302" i="1"/>
  <c r="D303" i="1"/>
  <c r="E303" i="1" s="1"/>
  <c r="D304" i="1"/>
  <c r="D305" i="1"/>
  <c r="E305" i="1" s="1"/>
  <c r="D306" i="1"/>
  <c r="D307" i="1"/>
  <c r="D308" i="1"/>
  <c r="D309" i="1"/>
  <c r="D310" i="1"/>
  <c r="E310" i="1" s="1"/>
  <c r="D311" i="1"/>
  <c r="E311" i="1" s="1"/>
  <c r="D312" i="1"/>
  <c r="D313" i="1"/>
  <c r="D314" i="1"/>
  <c r="D315" i="1"/>
  <c r="D316" i="1"/>
  <c r="D317" i="1"/>
  <c r="D318" i="1"/>
  <c r="E318" i="1" s="1"/>
  <c r="D319" i="1"/>
  <c r="E319" i="1" s="1"/>
  <c r="D320" i="1"/>
  <c r="E320" i="1" s="1"/>
  <c r="D321" i="1"/>
  <c r="E321" i="1" s="1"/>
  <c r="D322" i="1"/>
  <c r="E322" i="1" s="1"/>
  <c r="D323" i="1"/>
  <c r="D324" i="1"/>
  <c r="D325" i="1"/>
  <c r="D326" i="1"/>
  <c r="D327" i="1"/>
  <c r="E327" i="1" s="1"/>
  <c r="D328" i="1"/>
  <c r="D329" i="1"/>
  <c r="D330" i="1"/>
  <c r="D331" i="1"/>
  <c r="D332" i="1"/>
  <c r="E332" i="1" s="1"/>
  <c r="D333" i="1"/>
  <c r="D334" i="1"/>
  <c r="D335" i="1"/>
  <c r="E335" i="1" s="1"/>
  <c r="D336" i="1"/>
  <c r="D337" i="1"/>
  <c r="E337" i="1" s="1"/>
  <c r="D338" i="1"/>
  <c r="E338" i="1" s="1"/>
  <c r="D339" i="1"/>
  <c r="D340" i="1"/>
  <c r="D341" i="1"/>
  <c r="D342" i="1"/>
  <c r="E342" i="1" s="1"/>
  <c r="D343" i="1"/>
  <c r="E343" i="1" s="1"/>
  <c r="D344" i="1"/>
  <c r="E344" i="1" s="1"/>
  <c r="D345" i="1"/>
  <c r="E345" i="1" s="1"/>
  <c r="D346" i="1"/>
  <c r="E346" i="1" s="1"/>
  <c r="D347" i="1"/>
  <c r="D348" i="1"/>
  <c r="D349" i="1"/>
  <c r="D350" i="1"/>
  <c r="D351" i="1"/>
  <c r="E351" i="1" s="1"/>
  <c r="D352" i="1"/>
  <c r="D353" i="1"/>
  <c r="D354" i="1"/>
  <c r="D355" i="1"/>
  <c r="D356" i="1"/>
  <c r="D357" i="1"/>
  <c r="D358" i="1"/>
  <c r="E358" i="1" s="1"/>
  <c r="D359" i="1"/>
  <c r="E359" i="1" s="1"/>
  <c r="D360" i="1"/>
  <c r="D361" i="1"/>
  <c r="E361" i="1" s="1"/>
  <c r="D362" i="1"/>
  <c r="E362" i="1" s="1"/>
  <c r="D363" i="1"/>
  <c r="D364" i="1"/>
  <c r="D365" i="1"/>
  <c r="D366" i="1"/>
  <c r="D367" i="1"/>
  <c r="E367" i="1" s="1"/>
  <c r="D368" i="1"/>
  <c r="D369" i="1"/>
  <c r="D370" i="1"/>
  <c r="D371" i="1"/>
  <c r="D372" i="1"/>
  <c r="D373" i="1"/>
  <c r="D374" i="1"/>
  <c r="E374" i="1" s="1"/>
  <c r="D375" i="1"/>
  <c r="E375" i="1" s="1"/>
  <c r="D376" i="1"/>
  <c r="E376" i="1" s="1"/>
  <c r="D377" i="1"/>
  <c r="E377" i="1" s="1"/>
  <c r="D378" i="1"/>
  <c r="D379" i="1"/>
  <c r="D380" i="1"/>
  <c r="D381" i="1"/>
  <c r="D382" i="1"/>
  <c r="E382" i="1" s="1"/>
  <c r="D383" i="1"/>
  <c r="E383" i="1" s="1"/>
  <c r="D384" i="1"/>
  <c r="D385" i="1"/>
  <c r="E385" i="1" s="1"/>
  <c r="D386" i="1"/>
  <c r="D387" i="1"/>
  <c r="D388" i="1"/>
  <c r="D389" i="1"/>
  <c r="D390" i="1"/>
  <c r="D391" i="1"/>
  <c r="E391" i="1" s="1"/>
  <c r="D392" i="1"/>
  <c r="D393" i="1"/>
  <c r="E393" i="1" s="1"/>
  <c r="D394" i="1"/>
  <c r="D395" i="1"/>
  <c r="D396" i="1"/>
  <c r="D397" i="1"/>
  <c r="D398" i="1"/>
  <c r="D399" i="1"/>
  <c r="E399" i="1" s="1"/>
  <c r="D400" i="1"/>
  <c r="E400" i="1" s="1"/>
  <c r="D401" i="1"/>
  <c r="E401" i="1" s="1"/>
  <c r="D402" i="1"/>
  <c r="D403" i="1"/>
  <c r="D404" i="1"/>
  <c r="D405" i="1"/>
  <c r="D406" i="1"/>
  <c r="D407" i="1"/>
  <c r="E407" i="1" s="1"/>
  <c r="D408" i="1"/>
  <c r="D409" i="1"/>
  <c r="D410" i="1"/>
  <c r="D411" i="1"/>
  <c r="D412" i="1"/>
  <c r="D413" i="1"/>
  <c r="D414" i="1"/>
  <c r="E414" i="1" s="1"/>
  <c r="D415" i="1"/>
  <c r="E415" i="1" s="1"/>
  <c r="D416" i="1"/>
  <c r="D417" i="1"/>
  <c r="E417" i="1" s="1"/>
  <c r="D418" i="1"/>
  <c r="E418" i="1" s="1"/>
  <c r="D419" i="1"/>
  <c r="D420" i="1"/>
  <c r="D421" i="1"/>
  <c r="D422" i="1"/>
  <c r="D423" i="1"/>
  <c r="D424" i="1"/>
  <c r="D425" i="1"/>
  <c r="E425" i="1" s="1"/>
  <c r="D426" i="1"/>
  <c r="E426" i="1" s="1"/>
  <c r="D427" i="1"/>
  <c r="D428" i="1"/>
  <c r="D429" i="1"/>
  <c r="D430" i="1"/>
  <c r="E430" i="1" s="1"/>
  <c r="D431" i="1"/>
  <c r="E431" i="1" s="1"/>
  <c r="D432" i="1"/>
  <c r="E432" i="1" s="1"/>
  <c r="D433" i="1"/>
  <c r="E433" i="1" s="1"/>
  <c r="D434" i="1"/>
  <c r="E434" i="1" s="1"/>
  <c r="D435" i="1"/>
  <c r="D436" i="1"/>
  <c r="D437" i="1"/>
  <c r="D438" i="1"/>
  <c r="E438" i="1" s="1"/>
  <c r="D439" i="1"/>
  <c r="D440" i="1"/>
  <c r="D441" i="1"/>
  <c r="K441" i="1" s="1"/>
  <c r="D442" i="1"/>
  <c r="D443" i="1"/>
  <c r="D444" i="1"/>
  <c r="D445" i="1"/>
  <c r="D446" i="1"/>
  <c r="E446" i="1" s="1"/>
  <c r="D447" i="1"/>
  <c r="E447" i="1" s="1"/>
  <c r="D448" i="1"/>
  <c r="K448" i="1" s="1"/>
  <c r="D449" i="1"/>
  <c r="E449" i="1" s="1"/>
  <c r="D450" i="1"/>
  <c r="E450" i="1" s="1"/>
  <c r="D451" i="1"/>
  <c r="D452" i="1"/>
  <c r="D453" i="1"/>
  <c r="D454" i="1"/>
  <c r="D455" i="1"/>
  <c r="E455" i="1" s="1"/>
  <c r="D456" i="1"/>
  <c r="E456" i="1" s="1"/>
  <c r="D457" i="1"/>
  <c r="E457" i="1" s="1"/>
  <c r="D458" i="1"/>
  <c r="D459" i="1"/>
  <c r="D460" i="1"/>
  <c r="D461" i="1"/>
  <c r="D462" i="1"/>
  <c r="E462" i="1" s="1"/>
  <c r="D463" i="1"/>
  <c r="E463" i="1" s="1"/>
  <c r="D464" i="1"/>
  <c r="K464" i="1" s="1"/>
  <c r="D465" i="1"/>
  <c r="D466" i="1"/>
  <c r="D467" i="1"/>
  <c r="D468" i="1"/>
  <c r="D469" i="1"/>
  <c r="D470" i="1"/>
  <c r="D471" i="1"/>
  <c r="E471" i="1" s="1"/>
  <c r="D472" i="1"/>
  <c r="D473" i="1"/>
  <c r="E473" i="1" s="1"/>
  <c r="D474" i="1"/>
  <c r="D475" i="1"/>
  <c r="D476" i="1"/>
  <c r="E476" i="1" s="1"/>
  <c r="D477" i="1"/>
  <c r="D478" i="1"/>
  <c r="D479" i="1"/>
  <c r="D480" i="1"/>
  <c r="D481" i="1"/>
  <c r="D482" i="1"/>
  <c r="E482" i="1" s="1"/>
  <c r="D483" i="1"/>
  <c r="D484" i="1"/>
  <c r="D485" i="1"/>
  <c r="D486" i="1"/>
  <c r="D487" i="1"/>
  <c r="E487" i="1" s="1"/>
  <c r="D488" i="1"/>
  <c r="E488" i="1" s="1"/>
  <c r="D489" i="1"/>
  <c r="E489" i="1" s="1"/>
  <c r="D490" i="1"/>
  <c r="E490" i="1" s="1"/>
  <c r="D491" i="1"/>
  <c r="D492" i="1"/>
  <c r="D493" i="1"/>
  <c r="D494" i="1"/>
  <c r="E494" i="1" s="1"/>
  <c r="D495" i="1"/>
  <c r="E495" i="1" s="1"/>
  <c r="D496" i="1"/>
  <c r="D497" i="1"/>
  <c r="E497" i="1" s="1"/>
  <c r="D498" i="1"/>
  <c r="E498" i="1" s="1"/>
  <c r="D499" i="1"/>
  <c r="D500" i="1"/>
  <c r="D501" i="1"/>
  <c r="D502" i="1"/>
  <c r="D503" i="1"/>
  <c r="E503" i="1" s="1"/>
  <c r="D504" i="1"/>
  <c r="D505" i="1"/>
  <c r="E505" i="1" s="1"/>
  <c r="D506" i="1"/>
  <c r="E506" i="1" s="1"/>
  <c r="D507" i="1"/>
  <c r="D508" i="1"/>
  <c r="D509" i="1"/>
  <c r="D510" i="1"/>
  <c r="E510" i="1" s="1"/>
  <c r="D511" i="1"/>
  <c r="E511" i="1" s="1"/>
  <c r="D512" i="1"/>
  <c r="E512" i="1" s="1"/>
  <c r="D513" i="1"/>
  <c r="E513" i="1" s="1"/>
  <c r="D514" i="1"/>
  <c r="D515" i="1"/>
  <c r="D516" i="1"/>
  <c r="D517" i="1"/>
  <c r="D518" i="1"/>
  <c r="D519" i="1"/>
  <c r="E519" i="1" s="1"/>
  <c r="D520" i="1"/>
  <c r="E520" i="1" s="1"/>
  <c r="D521" i="1"/>
  <c r="D522" i="1"/>
  <c r="D523" i="1"/>
  <c r="D524" i="1"/>
  <c r="D525" i="1"/>
  <c r="D526" i="1"/>
  <c r="E526" i="1" s="1"/>
  <c r="D527" i="1"/>
  <c r="E527" i="1" s="1"/>
  <c r="D528" i="1"/>
  <c r="K528" i="1" s="1"/>
  <c r="D529" i="1"/>
  <c r="E529" i="1" s="1"/>
  <c r="D530" i="1"/>
  <c r="D531" i="1"/>
  <c r="D532" i="1"/>
  <c r="D533" i="1"/>
  <c r="D534" i="1"/>
  <c r="D535" i="1"/>
  <c r="D536" i="1"/>
  <c r="D537" i="1"/>
  <c r="K537" i="1" s="1"/>
  <c r="D538" i="1"/>
  <c r="D539" i="1"/>
  <c r="D540" i="1"/>
  <c r="D541" i="1"/>
  <c r="D542" i="1"/>
  <c r="E542" i="1" s="1"/>
  <c r="D543" i="1"/>
  <c r="E543" i="1" s="1"/>
  <c r="D544" i="1"/>
  <c r="E544" i="1" s="1"/>
  <c r="D545" i="1"/>
  <c r="E545" i="1" s="1"/>
  <c r="D546" i="1"/>
  <c r="D547" i="1"/>
  <c r="D548" i="1"/>
  <c r="D549" i="1"/>
  <c r="D550" i="1"/>
  <c r="D551" i="1"/>
  <c r="D552" i="1"/>
  <c r="D553" i="1"/>
  <c r="E553" i="1" s="1"/>
  <c r="D554" i="1"/>
  <c r="E554" i="1" s="1"/>
  <c r="D555" i="1"/>
  <c r="D556" i="1"/>
  <c r="D557" i="1"/>
  <c r="D558" i="1"/>
  <c r="E558" i="1" s="1"/>
  <c r="D559" i="1"/>
  <c r="E559" i="1" s="1"/>
  <c r="D560" i="1"/>
  <c r="D561" i="1"/>
  <c r="E561" i="1" s="1"/>
  <c r="D562" i="1"/>
  <c r="D563" i="1"/>
  <c r="D564" i="1"/>
  <c r="D565" i="1"/>
  <c r="D566" i="1"/>
  <c r="D567" i="1"/>
  <c r="E567" i="1" s="1"/>
  <c r="D568" i="1"/>
  <c r="E568" i="1" s="1"/>
  <c r="D569" i="1"/>
  <c r="E569" i="1" s="1"/>
  <c r="D570" i="1"/>
  <c r="D571" i="1"/>
  <c r="D572" i="1"/>
  <c r="D573" i="1"/>
  <c r="D574" i="1"/>
  <c r="E574" i="1" s="1"/>
  <c r="D575" i="1"/>
  <c r="E575" i="1" s="1"/>
  <c r="D576" i="1"/>
  <c r="E576" i="1" s="1"/>
  <c r="D577" i="1"/>
  <c r="E577" i="1" s="1"/>
  <c r="D578" i="1"/>
  <c r="D579" i="1"/>
  <c r="D580" i="1"/>
  <c r="D581" i="1"/>
  <c r="D582" i="1"/>
  <c r="D583" i="1"/>
  <c r="E583" i="1" s="1"/>
  <c r="D584" i="1"/>
  <c r="D585" i="1"/>
  <c r="E585" i="1" s="1"/>
  <c r="D586" i="1"/>
  <c r="D587" i="1"/>
  <c r="D588" i="1"/>
  <c r="D589" i="1"/>
  <c r="D590" i="1"/>
  <c r="E590" i="1" s="1"/>
  <c r="D591" i="1"/>
  <c r="E591" i="1" s="1"/>
  <c r="D592" i="1"/>
  <c r="D593" i="1"/>
  <c r="D594" i="1"/>
  <c r="D595" i="1"/>
  <c r="D596" i="1"/>
  <c r="D597" i="1"/>
  <c r="D598" i="1"/>
  <c r="E598" i="1" s="1"/>
  <c r="D599" i="1"/>
  <c r="E599" i="1" s="1"/>
  <c r="D600" i="1"/>
  <c r="E600" i="1" s="1"/>
  <c r="D601" i="1"/>
  <c r="E601" i="1" s="1"/>
  <c r="D602" i="1"/>
  <c r="D603" i="1"/>
  <c r="D604" i="1"/>
  <c r="D605" i="1"/>
  <c r="D606" i="1"/>
  <c r="E606" i="1" s="1"/>
  <c r="D607" i="1"/>
  <c r="D608" i="1"/>
  <c r="D609" i="1"/>
  <c r="E609" i="1" s="1"/>
  <c r="D610" i="1"/>
  <c r="E610" i="1" s="1"/>
  <c r="D611" i="1"/>
  <c r="D612" i="1"/>
  <c r="E612" i="1" s="1"/>
  <c r="D613" i="1"/>
  <c r="D614" i="1"/>
  <c r="E614" i="1" s="1"/>
  <c r="D615" i="1"/>
  <c r="E615" i="1" s="1"/>
  <c r="D616" i="1"/>
  <c r="D617" i="1"/>
  <c r="E617" i="1" s="1"/>
  <c r="D618" i="1"/>
  <c r="E618" i="1" s="1"/>
  <c r="D619" i="1"/>
  <c r="D620" i="1"/>
  <c r="D621" i="1"/>
  <c r="D622" i="1"/>
  <c r="E622" i="1" s="1"/>
  <c r="D623" i="1"/>
  <c r="E623" i="1" s="1"/>
  <c r="D624" i="1"/>
  <c r="K624" i="1" s="1"/>
  <c r="D625" i="1"/>
  <c r="E625" i="1" s="1"/>
  <c r="D626" i="1"/>
  <c r="D627" i="1"/>
  <c r="D628" i="1"/>
  <c r="D629" i="1"/>
  <c r="D630" i="1"/>
  <c r="E630" i="1" s="1"/>
  <c r="D631" i="1"/>
  <c r="E631" i="1" s="1"/>
  <c r="D632" i="1"/>
  <c r="E632" i="1" s="1"/>
  <c r="D633" i="1"/>
  <c r="K633" i="1" s="1"/>
  <c r="D634" i="1"/>
  <c r="D635" i="1"/>
  <c r="D636" i="1"/>
  <c r="E636" i="1" s="1"/>
  <c r="D637" i="1"/>
  <c r="D638" i="1"/>
  <c r="E638" i="1" s="1"/>
  <c r="D639" i="1"/>
  <c r="E639" i="1" s="1"/>
  <c r="D640" i="1"/>
  <c r="D641" i="1"/>
  <c r="E641" i="1" s="1"/>
  <c r="D642" i="1"/>
  <c r="D643" i="1"/>
  <c r="D644" i="1"/>
  <c r="D645" i="1"/>
  <c r="D646" i="1"/>
  <c r="E646" i="1" s="1"/>
  <c r="D647" i="1"/>
  <c r="E647" i="1" s="1"/>
  <c r="D648" i="1"/>
  <c r="D649" i="1"/>
  <c r="D650" i="1"/>
  <c r="E650" i="1" s="1"/>
  <c r="D651" i="1"/>
  <c r="D652" i="1"/>
  <c r="D653" i="1"/>
  <c r="D654" i="1"/>
  <c r="E654" i="1" s="1"/>
  <c r="D655" i="1"/>
  <c r="E655" i="1" s="1"/>
  <c r="D656" i="1"/>
  <c r="E656" i="1" s="1"/>
  <c r="D657" i="1"/>
  <c r="E657" i="1" s="1"/>
  <c r="D658" i="1"/>
  <c r="E658" i="1" s="1"/>
  <c r="D659" i="1"/>
  <c r="D660" i="1"/>
  <c r="D661" i="1"/>
  <c r="D662" i="1"/>
  <c r="E662" i="1" s="1"/>
  <c r="D663" i="1"/>
  <c r="E663" i="1" s="1"/>
  <c r="D664" i="1"/>
  <c r="D665" i="1"/>
  <c r="E665" i="1" s="1"/>
  <c r="D666" i="1"/>
  <c r="E666" i="1" s="1"/>
  <c r="D667" i="1"/>
  <c r="D668" i="1"/>
  <c r="D669" i="1"/>
  <c r="D670" i="1"/>
  <c r="E670" i="1" s="1"/>
  <c r="D671" i="1"/>
  <c r="E671" i="1" s="1"/>
  <c r="D672" i="1"/>
  <c r="D673" i="1"/>
  <c r="E673" i="1" s="1"/>
  <c r="D674" i="1"/>
  <c r="E674" i="1" s="1"/>
  <c r="D675" i="1"/>
  <c r="D676" i="1"/>
  <c r="D677" i="1"/>
  <c r="D678" i="1"/>
  <c r="E678" i="1" s="1"/>
  <c r="D679" i="1"/>
  <c r="E679" i="1" s="1"/>
  <c r="D680" i="1"/>
  <c r="D681" i="1"/>
  <c r="E681" i="1" s="1"/>
  <c r="D682" i="1"/>
  <c r="E682" i="1" s="1"/>
  <c r="D683" i="1"/>
  <c r="D684" i="1"/>
  <c r="D685" i="1"/>
  <c r="D686" i="1"/>
  <c r="E686" i="1" s="1"/>
  <c r="D687" i="1"/>
  <c r="E687" i="1" s="1"/>
  <c r="D688" i="1"/>
  <c r="E688" i="1" s="1"/>
  <c r="D689" i="1"/>
  <c r="D690" i="1"/>
  <c r="E690" i="1" s="1"/>
  <c r="D691" i="1"/>
  <c r="D692" i="1"/>
  <c r="D693" i="1"/>
  <c r="D694" i="1"/>
  <c r="E694" i="1" s="1"/>
  <c r="D695" i="1"/>
  <c r="E695" i="1" s="1"/>
  <c r="D696" i="1"/>
  <c r="D697" i="1"/>
  <c r="D698" i="1"/>
  <c r="D699" i="1"/>
  <c r="D700" i="1"/>
  <c r="E700" i="1" s="1"/>
  <c r="D701" i="1"/>
  <c r="D702" i="1"/>
  <c r="E702" i="1" s="1"/>
  <c r="D703" i="1"/>
  <c r="D704" i="1"/>
  <c r="K704" i="1" s="1"/>
  <c r="D705" i="1"/>
  <c r="E705" i="1" s="1"/>
  <c r="D706" i="1"/>
  <c r="D707" i="1"/>
  <c r="D708" i="1"/>
  <c r="D709" i="1"/>
  <c r="D710" i="1"/>
  <c r="E710" i="1" s="1"/>
  <c r="D711" i="1"/>
  <c r="E711" i="1" s="1"/>
  <c r="D712" i="1"/>
  <c r="E712" i="1" s="1"/>
  <c r="D713" i="1"/>
  <c r="E713" i="1" s="1"/>
  <c r="D714" i="1"/>
  <c r="D715" i="1"/>
  <c r="D716" i="1"/>
  <c r="D717" i="1"/>
  <c r="D718" i="1"/>
  <c r="E718" i="1" s="1"/>
  <c r="D719" i="1"/>
  <c r="E719" i="1" s="1"/>
  <c r="D720" i="1"/>
  <c r="K720" i="1" s="1"/>
  <c r="D721" i="1"/>
  <c r="E721" i="1" s="1"/>
  <c r="D722" i="1"/>
  <c r="E722" i="1" s="1"/>
  <c r="D723" i="1"/>
  <c r="D724" i="1"/>
  <c r="D725" i="1"/>
  <c r="D726" i="1"/>
  <c r="E726" i="1" s="1"/>
  <c r="D727" i="1"/>
  <c r="E727" i="1" s="1"/>
  <c r="D728" i="1"/>
  <c r="D729" i="1"/>
  <c r="E729" i="1" s="1"/>
  <c r="D730" i="1"/>
  <c r="D731" i="1"/>
  <c r="D732" i="1"/>
  <c r="D733" i="1"/>
  <c r="D734" i="1"/>
  <c r="E734" i="1" s="1"/>
  <c r="D735" i="1"/>
  <c r="E735" i="1" s="1"/>
  <c r="D736" i="1"/>
  <c r="D737" i="1"/>
  <c r="E737" i="1" s="1"/>
  <c r="D738" i="1"/>
  <c r="E738" i="1" s="1"/>
  <c r="D739" i="1"/>
  <c r="D740" i="1"/>
  <c r="D741" i="1"/>
  <c r="D742" i="1"/>
  <c r="E742" i="1" s="1"/>
  <c r="D743" i="1"/>
  <c r="E743" i="1" s="1"/>
  <c r="D744" i="1"/>
  <c r="E744" i="1" s="1"/>
  <c r="D745" i="1"/>
  <c r="D746" i="1"/>
  <c r="E746" i="1" s="1"/>
  <c r="D747" i="1"/>
  <c r="D748" i="1"/>
  <c r="D749" i="1"/>
  <c r="D750" i="1"/>
  <c r="E750" i="1" s="1"/>
  <c r="D751" i="1"/>
  <c r="E751" i="1" s="1"/>
  <c r="D752" i="1"/>
  <c r="D753" i="1"/>
  <c r="E753" i="1" s="1"/>
  <c r="D754" i="1"/>
  <c r="E754" i="1" s="1"/>
  <c r="D755" i="1"/>
  <c r="D756" i="1"/>
  <c r="D757" i="1"/>
  <c r="D758" i="1"/>
  <c r="E758" i="1" s="1"/>
  <c r="D759" i="1"/>
  <c r="D760" i="1"/>
  <c r="D761" i="1"/>
  <c r="E761" i="1" s="1"/>
  <c r="D762" i="1"/>
  <c r="E762" i="1" s="1"/>
  <c r="D763" i="1"/>
  <c r="D764" i="1"/>
  <c r="E764" i="1" s="1"/>
  <c r="D765" i="1"/>
  <c r="D766" i="1"/>
  <c r="E766" i="1" s="1"/>
  <c r="D767" i="1"/>
  <c r="E767" i="1" s="1"/>
  <c r="D768" i="1"/>
  <c r="E768" i="1" s="1"/>
  <c r="D769" i="1"/>
  <c r="E769" i="1" s="1"/>
  <c r="D770" i="1"/>
  <c r="D771" i="1"/>
  <c r="D772" i="1"/>
  <c r="D773" i="1"/>
  <c r="D774" i="1"/>
  <c r="D775" i="1"/>
  <c r="D776" i="1"/>
  <c r="E776" i="1" s="1"/>
  <c r="D777" i="1"/>
  <c r="E777" i="1" s="1"/>
  <c r="D778" i="1"/>
  <c r="E778" i="1" s="1"/>
  <c r="D779" i="1"/>
  <c r="D780" i="1"/>
  <c r="D781" i="1"/>
  <c r="D782" i="1"/>
  <c r="E782" i="1" s="1"/>
  <c r="D783" i="1"/>
  <c r="E783" i="1" s="1"/>
  <c r="D784" i="1"/>
  <c r="K784" i="1" s="1"/>
  <c r="D785" i="1"/>
  <c r="E785" i="1" s="1"/>
  <c r="D786" i="1"/>
  <c r="D787" i="1"/>
  <c r="D788" i="1"/>
  <c r="E788" i="1" s="1"/>
  <c r="D789" i="1"/>
  <c r="D790" i="1"/>
  <c r="E790" i="1" s="1"/>
  <c r="D791" i="1"/>
  <c r="E791" i="1" s="1"/>
  <c r="D792" i="1"/>
  <c r="D793" i="1"/>
  <c r="E793" i="1" s="1"/>
  <c r="D794" i="1"/>
  <c r="E794" i="1" s="1"/>
  <c r="D795" i="1"/>
  <c r="D796" i="1"/>
  <c r="D797" i="1"/>
  <c r="D798" i="1"/>
  <c r="E798" i="1" s="1"/>
  <c r="D799" i="1"/>
  <c r="E799" i="1" s="1"/>
  <c r="D800" i="1"/>
  <c r="E800" i="1" s="1"/>
  <c r="D801" i="1"/>
  <c r="D802" i="1"/>
  <c r="D803" i="1"/>
  <c r="D804" i="1"/>
  <c r="D805" i="1"/>
  <c r="D806" i="1"/>
  <c r="E806" i="1" s="1"/>
  <c r="D807" i="1"/>
  <c r="E807" i="1" s="1"/>
  <c r="D808" i="1"/>
  <c r="D809" i="1"/>
  <c r="E809" i="1" s="1"/>
  <c r="D810" i="1"/>
  <c r="D811" i="1"/>
  <c r="D812" i="1"/>
  <c r="D813" i="1"/>
  <c r="D814" i="1"/>
  <c r="E814" i="1" s="1"/>
  <c r="D815" i="1"/>
  <c r="E815" i="1" s="1"/>
  <c r="D816" i="1"/>
  <c r="D817" i="1"/>
  <c r="D818" i="1"/>
  <c r="E818" i="1" s="1"/>
  <c r="D819" i="1"/>
  <c r="D820" i="1"/>
  <c r="D821" i="1"/>
  <c r="D822" i="1"/>
  <c r="E822" i="1" s="1"/>
  <c r="D823" i="1"/>
  <c r="E823" i="1" s="1"/>
  <c r="D824" i="1"/>
  <c r="E824" i="1" s="1"/>
  <c r="D825" i="1"/>
  <c r="E825" i="1" s="1"/>
  <c r="D826" i="1"/>
  <c r="D827" i="1"/>
  <c r="D828" i="1"/>
  <c r="D829" i="1"/>
  <c r="D830" i="1"/>
  <c r="E830" i="1" s="1"/>
  <c r="D831" i="1"/>
  <c r="E831" i="1" s="1"/>
  <c r="D832" i="1"/>
  <c r="E832" i="1" s="1"/>
  <c r="D833" i="1"/>
  <c r="E833" i="1" s="1"/>
  <c r="D834" i="1"/>
  <c r="E834" i="1" s="1"/>
  <c r="D835" i="1"/>
  <c r="D836" i="1"/>
  <c r="E836" i="1" s="1"/>
  <c r="D837" i="1"/>
  <c r="D838" i="1"/>
  <c r="E838" i="1" s="1"/>
  <c r="D839" i="1"/>
  <c r="E839" i="1" s="1"/>
  <c r="D840" i="1"/>
  <c r="D841" i="1"/>
  <c r="E841" i="1" s="1"/>
  <c r="D842" i="1"/>
  <c r="E842" i="1" s="1"/>
  <c r="D843" i="1"/>
  <c r="D844" i="1"/>
  <c r="D845" i="1"/>
  <c r="D846" i="1"/>
  <c r="E846" i="1" s="1"/>
  <c r="D847" i="1"/>
  <c r="E847" i="1" s="1"/>
  <c r="D848" i="1"/>
  <c r="D849" i="1"/>
  <c r="E849" i="1" s="1"/>
  <c r="D850" i="1"/>
  <c r="E850" i="1" s="1"/>
  <c r="D851" i="1"/>
  <c r="D852" i="1"/>
  <c r="D853" i="1"/>
  <c r="D854" i="1"/>
  <c r="E854" i="1" s="1"/>
  <c r="D855" i="1"/>
  <c r="E855" i="1" s="1"/>
  <c r="D856" i="1"/>
  <c r="E856" i="1" s="1"/>
  <c r="D857" i="1"/>
  <c r="E857" i="1" s="1"/>
  <c r="D858" i="1"/>
  <c r="D859" i="1"/>
  <c r="D860" i="1"/>
  <c r="D861" i="1"/>
  <c r="D862" i="1"/>
  <c r="E862" i="1" s="1"/>
  <c r="D863" i="1"/>
  <c r="E863" i="1" s="1"/>
  <c r="D864" i="1"/>
  <c r="K864" i="1" s="1"/>
  <c r="D865" i="1"/>
  <c r="E865" i="1" s="1"/>
  <c r="D866" i="1"/>
  <c r="D867" i="1"/>
  <c r="D868" i="1"/>
  <c r="D869" i="1"/>
  <c r="D870" i="1"/>
  <c r="E870" i="1" s="1"/>
  <c r="D871" i="1"/>
  <c r="D872" i="1"/>
  <c r="D873" i="1"/>
  <c r="E873" i="1" s="1"/>
  <c r="D874" i="1"/>
  <c r="E874" i="1" s="1"/>
  <c r="D875" i="1"/>
  <c r="D876" i="1"/>
  <c r="D877" i="1"/>
  <c r="D878" i="1"/>
  <c r="E878" i="1" s="1"/>
  <c r="D879" i="1"/>
  <c r="E879" i="1" s="1"/>
  <c r="D880" i="1"/>
  <c r="K880" i="1" s="1"/>
  <c r="D881" i="1"/>
  <c r="E881" i="1" s="1"/>
  <c r="D882" i="1"/>
  <c r="D883" i="1"/>
  <c r="D884" i="1"/>
  <c r="D885" i="1"/>
  <c r="D886" i="1"/>
  <c r="E886" i="1" s="1"/>
  <c r="D887" i="1"/>
  <c r="E887" i="1" s="1"/>
  <c r="D888" i="1"/>
  <c r="E888" i="1" s="1"/>
  <c r="D889" i="1"/>
  <c r="K889" i="1" s="1"/>
  <c r="D890" i="1"/>
  <c r="E890" i="1" s="1"/>
  <c r="D891" i="1"/>
  <c r="D892" i="1"/>
  <c r="D893" i="1"/>
  <c r="D894" i="1"/>
  <c r="E894" i="1" s="1"/>
  <c r="D895" i="1"/>
  <c r="E895" i="1" s="1"/>
  <c r="D896" i="1"/>
  <c r="D897" i="1"/>
  <c r="E897" i="1" s="1"/>
  <c r="D898" i="1"/>
  <c r="D899" i="1"/>
  <c r="D900" i="1"/>
  <c r="D901" i="1"/>
  <c r="D902" i="1"/>
  <c r="E902" i="1" s="1"/>
  <c r="D903" i="1"/>
  <c r="E903" i="1" s="1"/>
  <c r="D904" i="1"/>
  <c r="D905" i="1"/>
  <c r="E905" i="1" s="1"/>
  <c r="D906" i="1"/>
  <c r="E906" i="1" s="1"/>
  <c r="D907" i="1"/>
  <c r="D908" i="1"/>
  <c r="D909" i="1"/>
  <c r="D910" i="1"/>
  <c r="E910" i="1" s="1"/>
  <c r="D911" i="1"/>
  <c r="E911" i="1" s="1"/>
  <c r="D912" i="1"/>
  <c r="E912" i="1" s="1"/>
  <c r="D913" i="1"/>
  <c r="D914" i="1"/>
  <c r="E914" i="1" s="1"/>
  <c r="D915" i="1"/>
  <c r="D916" i="1"/>
  <c r="D917" i="1"/>
  <c r="D918" i="1"/>
  <c r="E918" i="1" s="1"/>
  <c r="D919" i="1"/>
  <c r="E919" i="1" s="1"/>
  <c r="D920" i="1"/>
  <c r="D921" i="1"/>
  <c r="E921" i="1" s="1"/>
  <c r="D922" i="1"/>
  <c r="E922" i="1" s="1"/>
  <c r="D923" i="1"/>
  <c r="D924" i="1"/>
  <c r="E924" i="1" s="1"/>
  <c r="D925" i="1"/>
  <c r="D926" i="1"/>
  <c r="E926" i="1" s="1"/>
  <c r="D927" i="1"/>
  <c r="D928" i="1"/>
  <c r="D929" i="1"/>
  <c r="E929" i="1" s="1"/>
  <c r="D930" i="1"/>
  <c r="E930" i="1" s="1"/>
  <c r="D931" i="1"/>
  <c r="D932" i="1"/>
  <c r="D933" i="1"/>
  <c r="D934" i="1"/>
  <c r="E934" i="1" s="1"/>
  <c r="D935" i="1"/>
  <c r="E935" i="1" s="1"/>
  <c r="D936" i="1"/>
  <c r="D937" i="1"/>
  <c r="E937" i="1" s="1"/>
  <c r="D938" i="1"/>
  <c r="D939" i="1"/>
  <c r="D940" i="1"/>
  <c r="D941" i="1"/>
  <c r="D942" i="1"/>
  <c r="E942" i="1" s="1"/>
  <c r="D943" i="1"/>
  <c r="D944" i="1"/>
  <c r="E944" i="1" s="1"/>
  <c r="D945" i="1"/>
  <c r="E945" i="1" s="1"/>
  <c r="D946" i="1"/>
  <c r="D947" i="1"/>
  <c r="D948" i="1"/>
  <c r="D949" i="1"/>
  <c r="D950" i="1"/>
  <c r="E950" i="1" s="1"/>
  <c r="D951" i="1"/>
  <c r="E951" i="1" s="1"/>
  <c r="D952" i="1"/>
  <c r="D953" i="1"/>
  <c r="D954" i="1"/>
  <c r="D955" i="1"/>
  <c r="D956" i="1"/>
  <c r="D957" i="1"/>
  <c r="D958" i="1"/>
  <c r="E958" i="1" s="1"/>
  <c r="D959" i="1"/>
  <c r="E959" i="1" s="1"/>
  <c r="D960" i="1"/>
  <c r="K960" i="1" s="1"/>
  <c r="D961" i="1"/>
  <c r="E961" i="1" s="1"/>
  <c r="D962" i="1"/>
  <c r="D963" i="1"/>
  <c r="D964" i="1"/>
  <c r="D965" i="1"/>
  <c r="D966" i="1"/>
  <c r="E966" i="1" s="1"/>
  <c r="D967" i="1"/>
  <c r="E967" i="1" s="1"/>
  <c r="D968" i="1"/>
  <c r="E968" i="1" s="1"/>
  <c r="D969" i="1"/>
  <c r="D970" i="1"/>
  <c r="D971" i="1"/>
  <c r="D972" i="1"/>
  <c r="D973" i="1"/>
  <c r="D974" i="1"/>
  <c r="E974" i="1" s="1"/>
  <c r="D975" i="1"/>
  <c r="E975" i="1" s="1"/>
  <c r="D976" i="1"/>
  <c r="K976" i="1" s="1"/>
  <c r="D977" i="1"/>
  <c r="E977" i="1" s="1"/>
  <c r="D978" i="1"/>
  <c r="E978" i="1" s="1"/>
  <c r="D979" i="1"/>
  <c r="D980" i="1"/>
  <c r="D981" i="1"/>
  <c r="D982" i="1"/>
  <c r="E982" i="1" s="1"/>
  <c r="D983" i="1"/>
  <c r="D984" i="1"/>
  <c r="D985" i="1"/>
  <c r="D986" i="1"/>
  <c r="D987" i="1"/>
  <c r="D988" i="1"/>
  <c r="E988" i="1" s="1"/>
  <c r="D989" i="1"/>
  <c r="D990" i="1"/>
  <c r="E990" i="1" s="1"/>
  <c r="D991" i="1"/>
  <c r="E991" i="1" s="1"/>
  <c r="D992" i="1"/>
  <c r="D993" i="1"/>
  <c r="E993" i="1" s="1"/>
  <c r="D994" i="1"/>
  <c r="E994" i="1" s="1"/>
  <c r="D995" i="1"/>
  <c r="D996" i="1"/>
  <c r="D997" i="1"/>
  <c r="D998" i="1"/>
  <c r="D999" i="1"/>
  <c r="D1000" i="1"/>
  <c r="E1000" i="1" s="1"/>
  <c r="D1001" i="1"/>
  <c r="E1001" i="1" s="1"/>
  <c r="D1002" i="1"/>
  <c r="E1002" i="1" s="1"/>
  <c r="D1003" i="1"/>
  <c r="D1004" i="1"/>
  <c r="D1005" i="1"/>
  <c r="D1006" i="1"/>
  <c r="E1006" i="1" s="1"/>
  <c r="D1007" i="1"/>
  <c r="E1007" i="1" s="1"/>
  <c r="D1008" i="1"/>
  <c r="D1009" i="1"/>
  <c r="E1009" i="1" s="1"/>
  <c r="D1010" i="1"/>
  <c r="E1010" i="1" s="1"/>
  <c r="D1011" i="1"/>
  <c r="D1012" i="1"/>
  <c r="D1013" i="1"/>
  <c r="D1014" i="1"/>
  <c r="D1015" i="1"/>
  <c r="E1015" i="1" s="1"/>
  <c r="D1016" i="1"/>
  <c r="D1017" i="1"/>
  <c r="E1017" i="1" s="1"/>
  <c r="D1018" i="1"/>
  <c r="E1018" i="1" s="1"/>
  <c r="D1019" i="1"/>
  <c r="D1020" i="1"/>
  <c r="D1021" i="1"/>
  <c r="D1022" i="1"/>
  <c r="E1022" i="1" s="1"/>
  <c r="D1023" i="1"/>
  <c r="E1023" i="1" s="1"/>
  <c r="D1024" i="1"/>
  <c r="E1024" i="1" s="1"/>
  <c r="D1025" i="1"/>
  <c r="D1026" i="1"/>
  <c r="D1027" i="1"/>
  <c r="D1028" i="1"/>
  <c r="D1029" i="1"/>
  <c r="D1030" i="1"/>
  <c r="E1030" i="1" s="1"/>
  <c r="D1031" i="1"/>
  <c r="E1031" i="1" s="1"/>
  <c r="D1032" i="1"/>
  <c r="E1032" i="1" s="1"/>
  <c r="D1033" i="1"/>
  <c r="E1033" i="1" s="1"/>
  <c r="D1034" i="1"/>
  <c r="E1034" i="1" s="1"/>
  <c r="D1035" i="1"/>
  <c r="D1036" i="1"/>
  <c r="D1037" i="1"/>
  <c r="D1038" i="1"/>
  <c r="E1038" i="1" s="1"/>
  <c r="D1039" i="1"/>
  <c r="E1039" i="1" s="1"/>
  <c r="D1040" i="1"/>
  <c r="D1041" i="1"/>
  <c r="D1042" i="1"/>
  <c r="D1043" i="1"/>
  <c r="D1044" i="1"/>
  <c r="D1045" i="1"/>
  <c r="D1046" i="1"/>
  <c r="E1046" i="1" s="1"/>
  <c r="D1047" i="1"/>
  <c r="E1047" i="1" s="1"/>
  <c r="D1048" i="1"/>
  <c r="D1049" i="1"/>
  <c r="E1049" i="1" s="1"/>
  <c r="D1050" i="1"/>
  <c r="E1050" i="1" s="1"/>
  <c r="D1051" i="1"/>
  <c r="D1052" i="1"/>
  <c r="D1053" i="1"/>
  <c r="D1054" i="1"/>
  <c r="E1054" i="1" s="1"/>
  <c r="D1055" i="1"/>
  <c r="E1055" i="1" s="1"/>
  <c r="D1056" i="1"/>
  <c r="K1056" i="1" s="1"/>
  <c r="D1057" i="1"/>
  <c r="E1057" i="1" s="1"/>
  <c r="D1058" i="1"/>
  <c r="E1058" i="1" s="1"/>
  <c r="D1059" i="1"/>
  <c r="D1060" i="1"/>
  <c r="D1061" i="1"/>
  <c r="D1062" i="1"/>
  <c r="E1062" i="1" s="1"/>
  <c r="D1063" i="1"/>
  <c r="E1063" i="1" s="1"/>
  <c r="D1064" i="1"/>
  <c r="D1065" i="1"/>
  <c r="E1065" i="1" s="1"/>
  <c r="D1066" i="1"/>
  <c r="E1066" i="1" s="1"/>
  <c r="D1067" i="1"/>
  <c r="D1068" i="1"/>
  <c r="D1069" i="1"/>
  <c r="D1070" i="1"/>
  <c r="E1070" i="1" s="1"/>
  <c r="D1071" i="1"/>
  <c r="E1071" i="1" s="1"/>
  <c r="D1072" i="1"/>
  <c r="D1073" i="1"/>
  <c r="E1073" i="1" s="1"/>
  <c r="D1074" i="1"/>
  <c r="E1074" i="1" s="1"/>
  <c r="D1075" i="1"/>
  <c r="D1076" i="1"/>
  <c r="E1076" i="1" s="1"/>
  <c r="D1077" i="1"/>
  <c r="D1078" i="1"/>
  <c r="E1078" i="1" s="1"/>
  <c r="D1079" i="1"/>
  <c r="E1079" i="1" s="1"/>
  <c r="D1080" i="1"/>
  <c r="E1080" i="1" s="1"/>
  <c r="D1081" i="1"/>
  <c r="D1082" i="1"/>
  <c r="D1083" i="1"/>
  <c r="D1084" i="1"/>
  <c r="D1085" i="1"/>
  <c r="D1086" i="1"/>
  <c r="E1086" i="1" s="1"/>
  <c r="D1087" i="1"/>
  <c r="E1087" i="1" s="1"/>
  <c r="D1088" i="1"/>
  <c r="E1088" i="1" s="1"/>
  <c r="D1089" i="1"/>
  <c r="E1089" i="1" s="1"/>
  <c r="D1090" i="1"/>
  <c r="E1090" i="1" s="1"/>
  <c r="D1091" i="1"/>
  <c r="D1092" i="1"/>
  <c r="D1093" i="1"/>
  <c r="D1094" i="1"/>
  <c r="E1094" i="1" s="1"/>
  <c r="D1095" i="1"/>
  <c r="E1095" i="1" s="1"/>
  <c r="D1096" i="1"/>
  <c r="D1097" i="1"/>
  <c r="D1098" i="1"/>
  <c r="D1099" i="1"/>
  <c r="D1100" i="1"/>
  <c r="D1101" i="1"/>
  <c r="D1102" i="1"/>
  <c r="E1102" i="1" s="1"/>
  <c r="D1103" i="1"/>
  <c r="E1103" i="1" s="1"/>
  <c r="D1104" i="1"/>
  <c r="D1105" i="1"/>
  <c r="E1105" i="1" s="1"/>
  <c r="D1106" i="1"/>
  <c r="E1106" i="1" s="1"/>
  <c r="D1107" i="1"/>
  <c r="D1108" i="1"/>
  <c r="D1109" i="1"/>
  <c r="D1110" i="1"/>
  <c r="D1111" i="1"/>
  <c r="E1111" i="1" s="1"/>
  <c r="D1112" i="1"/>
  <c r="E1112" i="1" s="1"/>
  <c r="D1113" i="1"/>
  <c r="E1113" i="1" s="1"/>
  <c r="D1114" i="1"/>
  <c r="E1114" i="1" s="1"/>
  <c r="D1115" i="1"/>
  <c r="D1116" i="1"/>
  <c r="D1117" i="1"/>
  <c r="D1118" i="1"/>
  <c r="E1118" i="1" s="1"/>
  <c r="D1119" i="1"/>
  <c r="E1119" i="1" s="1"/>
  <c r="D1120" i="1"/>
  <c r="K1120" i="1" s="1"/>
  <c r="D1121" i="1"/>
  <c r="E1121" i="1" s="1"/>
  <c r="D1122" i="1"/>
  <c r="E1122" i="1" s="1"/>
  <c r="D1123" i="1"/>
  <c r="D1124" i="1"/>
  <c r="E1124" i="1" s="1"/>
  <c r="D1125" i="1"/>
  <c r="D1126" i="1"/>
  <c r="E1126" i="1" s="1"/>
  <c r="D1127" i="1"/>
  <c r="E1127" i="1" s="1"/>
  <c r="D1128" i="1"/>
  <c r="D1129" i="1"/>
  <c r="E1129" i="1" s="1"/>
  <c r="D1130" i="1"/>
  <c r="E1130" i="1" s="1"/>
  <c r="D1131" i="1"/>
  <c r="D1132" i="1"/>
  <c r="D1133" i="1"/>
  <c r="D1134" i="1"/>
  <c r="E1134" i="1" s="1"/>
  <c r="D1135" i="1"/>
  <c r="E1135" i="1" s="1"/>
  <c r="D1136" i="1"/>
  <c r="K1136" i="1" s="1"/>
  <c r="D1137" i="1"/>
  <c r="D1138" i="1"/>
  <c r="D1139" i="1"/>
  <c r="D1140" i="1"/>
  <c r="D1141" i="1"/>
  <c r="D1142" i="1"/>
  <c r="E1142" i="1" s="1"/>
  <c r="D1143" i="1"/>
  <c r="E1143" i="1" s="1"/>
  <c r="D1144" i="1"/>
  <c r="E1144" i="1" s="1"/>
  <c r="D1145" i="1"/>
  <c r="K1145" i="1" s="1"/>
  <c r="D1146" i="1"/>
  <c r="E1146" i="1" s="1"/>
  <c r="D1147" i="1"/>
  <c r="D1148" i="1"/>
  <c r="E1148" i="1" s="1"/>
  <c r="D1149" i="1"/>
  <c r="D1150" i="1"/>
  <c r="E1150" i="1" s="1"/>
  <c r="D1151" i="1"/>
  <c r="E1151" i="1" s="1"/>
  <c r="D1152" i="1"/>
  <c r="D1153" i="1"/>
  <c r="D1154" i="1"/>
  <c r="E1154" i="1" s="1"/>
  <c r="D1155" i="1"/>
  <c r="D1156" i="1"/>
  <c r="D1157" i="1"/>
  <c r="D1158" i="1"/>
  <c r="E1158" i="1" s="1"/>
  <c r="D1159" i="1"/>
  <c r="E1159" i="1" s="1"/>
  <c r="D1160" i="1"/>
  <c r="D1161" i="1"/>
  <c r="E1161" i="1" s="1"/>
  <c r="D1162" i="1"/>
  <c r="E1162" i="1" s="1"/>
  <c r="D1163" i="1"/>
  <c r="D1164" i="1"/>
  <c r="D1165" i="1"/>
  <c r="D1166" i="1"/>
  <c r="D1167" i="1"/>
  <c r="E1167" i="1" s="1"/>
  <c r="D1168" i="1"/>
  <c r="E1168" i="1" s="1"/>
  <c r="D1169" i="1"/>
  <c r="E1169" i="1" s="1"/>
  <c r="D1170" i="1"/>
  <c r="E1170" i="1" s="1"/>
  <c r="D1171" i="1"/>
  <c r="D1172" i="1"/>
  <c r="D1173" i="1"/>
  <c r="D1174" i="1"/>
  <c r="E1174" i="1" s="1"/>
  <c r="D1175" i="1"/>
  <c r="E1175" i="1" s="1"/>
  <c r="D1176" i="1"/>
  <c r="D1177" i="1"/>
  <c r="E1177" i="1" s="1"/>
  <c r="D1178" i="1"/>
  <c r="E1178" i="1" s="1"/>
  <c r="D1179" i="1"/>
  <c r="D1180" i="1"/>
  <c r="D1181" i="1"/>
  <c r="D1182" i="1"/>
  <c r="E1182" i="1" s="1"/>
  <c r="D1183" i="1"/>
  <c r="E1183" i="1" s="1"/>
  <c r="D1184" i="1"/>
  <c r="D1185" i="1"/>
  <c r="E1185" i="1" s="1"/>
  <c r="D1186" i="1"/>
  <c r="E1186" i="1" s="1"/>
  <c r="D1187" i="1"/>
  <c r="D1188" i="1"/>
  <c r="D1189" i="1"/>
  <c r="D1190" i="1"/>
  <c r="E1190" i="1" s="1"/>
  <c r="D1191" i="1"/>
  <c r="E1191" i="1" s="1"/>
  <c r="D1192" i="1"/>
  <c r="D1193" i="1"/>
  <c r="D1194" i="1"/>
  <c r="D1195" i="1"/>
  <c r="D1196" i="1"/>
  <c r="D1197" i="1"/>
  <c r="D1198" i="1"/>
  <c r="E1198" i="1" s="1"/>
  <c r="D1199" i="1"/>
  <c r="E1199" i="1" s="1"/>
  <c r="D1200" i="1"/>
  <c r="E1200" i="1" s="1"/>
  <c r="D1201" i="1"/>
  <c r="E1201" i="1" s="1"/>
  <c r="D1202" i="1"/>
  <c r="D1203" i="1"/>
  <c r="D1204" i="1"/>
  <c r="D1205" i="1"/>
  <c r="D1206" i="1"/>
  <c r="E1206" i="1" s="1"/>
  <c r="D1207" i="1"/>
  <c r="D1208" i="1"/>
  <c r="D1209" i="1"/>
  <c r="K1209" i="1" s="1"/>
  <c r="D1210" i="1"/>
  <c r="D1211" i="1"/>
  <c r="D1212" i="1"/>
  <c r="E1212" i="1" s="1"/>
  <c r="D1213" i="1"/>
  <c r="D1214" i="1"/>
  <c r="E1214" i="1" s="1"/>
  <c r="D1215" i="1"/>
  <c r="E1215" i="1" s="1"/>
  <c r="D1216" i="1"/>
  <c r="K1216" i="1" s="1"/>
  <c r="D1217" i="1"/>
  <c r="E1217" i="1" s="1"/>
  <c r="D1218" i="1"/>
  <c r="E1218" i="1" s="1"/>
  <c r="D1219" i="1"/>
  <c r="D1220" i="1"/>
  <c r="D1221" i="1"/>
  <c r="D1222" i="1"/>
  <c r="E1222" i="1" s="1"/>
  <c r="D1223" i="1"/>
  <c r="D1224" i="1"/>
  <c r="E1224" i="1" s="1"/>
  <c r="D1225" i="1"/>
  <c r="E1225" i="1" s="1"/>
  <c r="D1226" i="1"/>
  <c r="E1226" i="1" s="1"/>
  <c r="D1227" i="1"/>
  <c r="D1228" i="1"/>
  <c r="D1229" i="1"/>
  <c r="D1230" i="1"/>
  <c r="E1230" i="1" s="1"/>
  <c r="D1231" i="1"/>
  <c r="E1231" i="1" s="1"/>
  <c r="D1232" i="1"/>
  <c r="D1233" i="1"/>
  <c r="E1233" i="1" s="1"/>
  <c r="D1234" i="1"/>
  <c r="E1234" i="1" s="1"/>
  <c r="D1235" i="1"/>
  <c r="D1236" i="1"/>
  <c r="D1237" i="1"/>
  <c r="D1238" i="1"/>
  <c r="E1238" i="1" s="1"/>
  <c r="D1239" i="1"/>
  <c r="E1239" i="1" s="1"/>
  <c r="D1240" i="1"/>
  <c r="D1241" i="1"/>
  <c r="E1241" i="1" s="1"/>
  <c r="D1242" i="1"/>
  <c r="E1242" i="1" s="1"/>
  <c r="D1243" i="1"/>
  <c r="D1244" i="1"/>
  <c r="D1245" i="1"/>
  <c r="D1246" i="1"/>
  <c r="E1246" i="1" s="1"/>
  <c r="D1247" i="1"/>
  <c r="E1247" i="1" s="1"/>
  <c r="D1248" i="1"/>
  <c r="D1249" i="1"/>
  <c r="E1249" i="1" s="1"/>
  <c r="D1250" i="1"/>
  <c r="D1251" i="1"/>
  <c r="D1252" i="1"/>
  <c r="D1253" i="1"/>
  <c r="D1254" i="1"/>
  <c r="E1254" i="1" s="1"/>
  <c r="D1255" i="1"/>
  <c r="E1255" i="1" s="1"/>
  <c r="D1256" i="1"/>
  <c r="E1256" i="1" s="1"/>
  <c r="D1257" i="1"/>
  <c r="E1257" i="1" s="1"/>
  <c r="D1258" i="1"/>
  <c r="E1258" i="1" s="1"/>
  <c r="D1259" i="1"/>
  <c r="D1260" i="1"/>
  <c r="D1261" i="1"/>
  <c r="D1262" i="1"/>
  <c r="E1262" i="1" s="1"/>
  <c r="D1263" i="1"/>
  <c r="E1263" i="1" s="1"/>
  <c r="D1264" i="1"/>
  <c r="D1265" i="1"/>
  <c r="E1265" i="1" s="1"/>
  <c r="D1266" i="1"/>
  <c r="E1266" i="1" s="1"/>
  <c r="D1267" i="1"/>
  <c r="D1268" i="1"/>
  <c r="D1269" i="1"/>
  <c r="D1270" i="1"/>
  <c r="E1270" i="1" s="1"/>
  <c r="D1271" i="1"/>
  <c r="E1271" i="1" s="1"/>
  <c r="D1272" i="1"/>
  <c r="D1273" i="1"/>
  <c r="E1273" i="1" s="1"/>
  <c r="D1274" i="1"/>
  <c r="E1274" i="1" s="1"/>
  <c r="D1275" i="1"/>
  <c r="D1276" i="1"/>
  <c r="E1276" i="1" s="1"/>
  <c r="D1277" i="1"/>
  <c r="D1278" i="1"/>
  <c r="E1278" i="1" s="1"/>
  <c r="D1279" i="1"/>
  <c r="E1279" i="1" s="1"/>
  <c r="D1280" i="1"/>
  <c r="E1280" i="1" s="1"/>
  <c r="D1281" i="1"/>
  <c r="E1281" i="1" s="1"/>
  <c r="D1282" i="1"/>
  <c r="D1283" i="1"/>
  <c r="D1284" i="1"/>
  <c r="D1285" i="1"/>
  <c r="D1286" i="1"/>
  <c r="E1286" i="1" s="1"/>
  <c r="D1287" i="1"/>
  <c r="E1287" i="1" s="1"/>
  <c r="D1288" i="1"/>
  <c r="E1288" i="1" s="1"/>
  <c r="D1289" i="1"/>
  <c r="E1289" i="1" s="1"/>
  <c r="D1290" i="1"/>
  <c r="E1290" i="1" s="1"/>
  <c r="D1291" i="1"/>
  <c r="D1292" i="1"/>
  <c r="D1293" i="1"/>
  <c r="D1294" i="1"/>
  <c r="E1294" i="1" s="1"/>
  <c r="D1295" i="1"/>
  <c r="E1295" i="1" s="1"/>
  <c r="D1296" i="1"/>
  <c r="D1297" i="1"/>
  <c r="E1297" i="1" s="1"/>
  <c r="D1298" i="1"/>
  <c r="E1298" i="1" s="1"/>
  <c r="D1299" i="1"/>
  <c r="D1300" i="1"/>
  <c r="E1300" i="1" s="1"/>
  <c r="D1301" i="1"/>
  <c r="D1302" i="1"/>
  <c r="E1302" i="1" s="1"/>
  <c r="D1303" i="1"/>
  <c r="E1303" i="1" s="1"/>
  <c r="D1304" i="1"/>
  <c r="D1305" i="1"/>
  <c r="D1306" i="1"/>
  <c r="D1307" i="1"/>
  <c r="D1308" i="1"/>
  <c r="D1309" i="1"/>
  <c r="D1310" i="1"/>
  <c r="E1310" i="1" s="1"/>
  <c r="D1311" i="1"/>
  <c r="E1311" i="1" s="1"/>
  <c r="D1312" i="1"/>
  <c r="K1312" i="1" s="1"/>
  <c r="D1313" i="1"/>
  <c r="E1313" i="1" s="1"/>
  <c r="D1314" i="1"/>
  <c r="D1315" i="1"/>
  <c r="D1316" i="1"/>
  <c r="D1317" i="1"/>
  <c r="D1318" i="1"/>
  <c r="E1318" i="1" s="1"/>
  <c r="D1319" i="1"/>
  <c r="D1320" i="1"/>
  <c r="D1321" i="1"/>
  <c r="E1321" i="1" s="1"/>
  <c r="D1322" i="1"/>
  <c r="D1323" i="1"/>
  <c r="D1324" i="1"/>
  <c r="D1325" i="1"/>
  <c r="D1326" i="1"/>
  <c r="E1326" i="1" s="1"/>
  <c r="D1327" i="1"/>
  <c r="E1327" i="1" s="1"/>
  <c r="D1328" i="1"/>
  <c r="D1329" i="1"/>
  <c r="E1329" i="1" s="1"/>
  <c r="D1330" i="1"/>
  <c r="D1331" i="1"/>
  <c r="D1332" i="1"/>
  <c r="D1333" i="1"/>
  <c r="D1334" i="1"/>
  <c r="E1334" i="1" s="1"/>
  <c r="D1335" i="1"/>
  <c r="E1335" i="1" s="1"/>
  <c r="D1336" i="1"/>
  <c r="E1336" i="1" s="1"/>
  <c r="D1337" i="1"/>
  <c r="E1337" i="1" s="1"/>
  <c r="D1338" i="1"/>
  <c r="D1339" i="1"/>
  <c r="D1340" i="1"/>
  <c r="D1341" i="1"/>
  <c r="D1342" i="1"/>
  <c r="E1342" i="1" s="1"/>
  <c r="D1343" i="1"/>
  <c r="E1343" i="1" s="1"/>
  <c r="D1344" i="1"/>
  <c r="E1344" i="1" s="1"/>
  <c r="D1345" i="1"/>
  <c r="E1345" i="1" s="1"/>
  <c r="D1346" i="1"/>
  <c r="E1346" i="1" s="1"/>
  <c r="D1347" i="1"/>
  <c r="D1348" i="1"/>
  <c r="D1349" i="1"/>
  <c r="D1350" i="1"/>
  <c r="E1350" i="1" s="1"/>
  <c r="D1351" i="1"/>
  <c r="E1351" i="1" s="1"/>
  <c r="D1352" i="1"/>
  <c r="D1353" i="1"/>
  <c r="E1353" i="1" s="1"/>
  <c r="D1354" i="1"/>
  <c r="E1354" i="1" s="1"/>
  <c r="D1355" i="1"/>
  <c r="D1356" i="1"/>
  <c r="D1357" i="1"/>
  <c r="D1358" i="1"/>
  <c r="E1358" i="1" s="1"/>
  <c r="D1359" i="1"/>
  <c r="E1359" i="1" s="1"/>
  <c r="D1360" i="1"/>
  <c r="D1361" i="1"/>
  <c r="D1362" i="1"/>
  <c r="E1362" i="1" s="1"/>
  <c r="D1363" i="1"/>
  <c r="D1364" i="1"/>
  <c r="D1365" i="1"/>
  <c r="D1366" i="1"/>
  <c r="E1366" i="1" s="1"/>
  <c r="D1367" i="1"/>
  <c r="E1367" i="1" s="1"/>
  <c r="D1368" i="1"/>
  <c r="E1368" i="1" s="1"/>
  <c r="D1369" i="1"/>
  <c r="E1369" i="1" s="1"/>
  <c r="D1370" i="1"/>
  <c r="D1371" i="1"/>
  <c r="D1372" i="1"/>
  <c r="D1373" i="1"/>
  <c r="D1374" i="1"/>
  <c r="E1374" i="1" s="1"/>
  <c r="D1375" i="1"/>
  <c r="D1376" i="1"/>
  <c r="K1376" i="1" s="1"/>
  <c r="D1377" i="1"/>
  <c r="D1378" i="1"/>
  <c r="D1379" i="1"/>
  <c r="D1380" i="1"/>
  <c r="D1381" i="1"/>
  <c r="D1382" i="1"/>
  <c r="E1382" i="1" s="1"/>
  <c r="D1383" i="1"/>
  <c r="E1383" i="1" s="1"/>
  <c r="D1384" i="1"/>
  <c r="D1385" i="1"/>
  <c r="E1385" i="1" s="1"/>
  <c r="D1386" i="1"/>
  <c r="D1387" i="1"/>
  <c r="D1388" i="1"/>
  <c r="D1389" i="1"/>
  <c r="D1390" i="1"/>
  <c r="E1390" i="1" s="1"/>
  <c r="D1391" i="1"/>
  <c r="E1391" i="1" s="1"/>
  <c r="D1392" i="1"/>
  <c r="K1392" i="1" s="1"/>
  <c r="D1393" i="1"/>
  <c r="E1393" i="1" s="1"/>
  <c r="D1394" i="1"/>
  <c r="D1395" i="1"/>
  <c r="D1396" i="1"/>
  <c r="D1397" i="1"/>
  <c r="D1398" i="1"/>
  <c r="E1398" i="1" s="1"/>
  <c r="D1399" i="1"/>
  <c r="E1399" i="1" s="1"/>
  <c r="D1400" i="1"/>
  <c r="E1400" i="1" s="1"/>
  <c r="D1401" i="1"/>
  <c r="D1402" i="1"/>
  <c r="E1402" i="1" s="1"/>
  <c r="D1403" i="1"/>
  <c r="D1404" i="1"/>
  <c r="D1405" i="1"/>
  <c r="D1406" i="1"/>
  <c r="E1406" i="1" s="1"/>
  <c r="D1407" i="1"/>
  <c r="E1407" i="1" s="1"/>
  <c r="D1408" i="1"/>
  <c r="D1409" i="1"/>
  <c r="E1409" i="1" s="1"/>
  <c r="D1410" i="1"/>
  <c r="E1410" i="1" s="1"/>
  <c r="D1411" i="1"/>
  <c r="D1412" i="1"/>
  <c r="D1413" i="1"/>
  <c r="D1414" i="1"/>
  <c r="E1414" i="1" s="1"/>
  <c r="D1415" i="1"/>
  <c r="E1415" i="1" s="1"/>
  <c r="D1416" i="1"/>
  <c r="D1417" i="1"/>
  <c r="D1418" i="1"/>
  <c r="E1418" i="1" s="1"/>
  <c r="D1419" i="1"/>
  <c r="D1420" i="1"/>
  <c r="D1421" i="1"/>
  <c r="D1422" i="1"/>
  <c r="E1422" i="1" s="1"/>
  <c r="D1423" i="1"/>
  <c r="E1423" i="1" s="1"/>
  <c r="D1424" i="1"/>
  <c r="E1424" i="1" s="1"/>
  <c r="D1425" i="1"/>
  <c r="E1425" i="1" s="1"/>
  <c r="D1426" i="1"/>
  <c r="E1426" i="1" s="1"/>
  <c r="D1427" i="1"/>
  <c r="D1428" i="1"/>
  <c r="D1429" i="1"/>
  <c r="D1430" i="1"/>
  <c r="E1430" i="1" s="1"/>
  <c r="D1431" i="1"/>
  <c r="E1431" i="1" s="1"/>
  <c r="D1432" i="1"/>
  <c r="D1433" i="1"/>
  <c r="D1434" i="1"/>
  <c r="E1434" i="1" s="1"/>
  <c r="D1435" i="1"/>
  <c r="D1436" i="1"/>
  <c r="E1436" i="1" s="1"/>
  <c r="D1437" i="1"/>
  <c r="D1438" i="1"/>
  <c r="E1438" i="1" s="1"/>
  <c r="D1439" i="1"/>
  <c r="E1439" i="1" s="1"/>
  <c r="D1440" i="1"/>
  <c r="D1441" i="1"/>
  <c r="E1441" i="1" s="1"/>
  <c r="D1442" i="1"/>
  <c r="D1443" i="1"/>
  <c r="D1444" i="1"/>
  <c r="D1445" i="1"/>
  <c r="D1446" i="1"/>
  <c r="D1447" i="1"/>
  <c r="E1447" i="1" s="1"/>
  <c r="D1448" i="1"/>
  <c r="D1449" i="1"/>
  <c r="E1449" i="1" s="1"/>
  <c r="D1450" i="1"/>
  <c r="D1451" i="1"/>
  <c r="D1452" i="1"/>
  <c r="D1453" i="1"/>
  <c r="D1454" i="1"/>
  <c r="E1454" i="1" s="1"/>
  <c r="D1455" i="1"/>
  <c r="E1455" i="1" s="1"/>
  <c r="D1456" i="1"/>
  <c r="E1456" i="1" s="1"/>
  <c r="D1457" i="1"/>
  <c r="E1457" i="1" s="1"/>
  <c r="D1458" i="1"/>
  <c r="E1458" i="1" s="1"/>
  <c r="D1459" i="1"/>
  <c r="D1460" i="1"/>
  <c r="D1461" i="1"/>
  <c r="D1462" i="1"/>
  <c r="E1462" i="1" s="1"/>
  <c r="D1463" i="1"/>
  <c r="E1463" i="1" s="1"/>
  <c r="D1464" i="1"/>
  <c r="D1465" i="1"/>
  <c r="D1466" i="1"/>
  <c r="D1467" i="1"/>
  <c r="D1468" i="1"/>
  <c r="D1469" i="1"/>
  <c r="D1470" i="1"/>
  <c r="E1470" i="1" s="1"/>
  <c r="D1471" i="1"/>
  <c r="E1471" i="1" s="1"/>
  <c r="D1472" i="1"/>
  <c r="D1473" i="1"/>
  <c r="D1474" i="1"/>
  <c r="D1475" i="1"/>
  <c r="D1476" i="1"/>
  <c r="D1477" i="1"/>
  <c r="D1478" i="1"/>
  <c r="E1478" i="1" s="1"/>
  <c r="D1479" i="1"/>
  <c r="E1479" i="1" s="1"/>
  <c r="D1480" i="1"/>
  <c r="E1480" i="1" s="1"/>
  <c r="D1481" i="1"/>
  <c r="E1481" i="1" s="1"/>
  <c r="D1482" i="1"/>
  <c r="E1482" i="1" s="1"/>
  <c r="D1483" i="1"/>
  <c r="D1484" i="1"/>
  <c r="D1485" i="1"/>
  <c r="D1486" i="1"/>
  <c r="E1486" i="1" s="1"/>
  <c r="D1487" i="1"/>
  <c r="D1488" i="1"/>
  <c r="D1489" i="1"/>
  <c r="D1490" i="1"/>
  <c r="E1490" i="1" s="1"/>
  <c r="D1491" i="1"/>
  <c r="D1492" i="1"/>
  <c r="D1493" i="1"/>
  <c r="D1494" i="1"/>
  <c r="E1494" i="1" s="1"/>
  <c r="D1495" i="1"/>
  <c r="E1495" i="1" s="1"/>
  <c r="D1496" i="1"/>
  <c r="D1497" i="1"/>
  <c r="E1497" i="1" s="1"/>
  <c r="D1498" i="1"/>
  <c r="E1498" i="1" s="1"/>
  <c r="D1499" i="1"/>
  <c r="D1500" i="1"/>
  <c r="E1500" i="1" s="1"/>
  <c r="D1501" i="1"/>
  <c r="D1502" i="1"/>
  <c r="D1503" i="1"/>
  <c r="E1503" i="1" s="1"/>
  <c r="D1504" i="1"/>
  <c r="D1505" i="1"/>
  <c r="E1505" i="1" s="1"/>
  <c r="D1506" i="1"/>
  <c r="E1506" i="1" s="1"/>
  <c r="D1507" i="1"/>
  <c r="D1508" i="1"/>
  <c r="D1509" i="1"/>
  <c r="D1510" i="1"/>
  <c r="E1510" i="1" s="1"/>
  <c r="D1511" i="1"/>
  <c r="E1511" i="1" s="1"/>
  <c r="D1512" i="1"/>
  <c r="E1512" i="1" s="1"/>
  <c r="D1513" i="1"/>
  <c r="E1513" i="1" s="1"/>
  <c r="D1514" i="1"/>
  <c r="D1515" i="1"/>
  <c r="D1516" i="1"/>
  <c r="D1517" i="1"/>
  <c r="D1518" i="1"/>
  <c r="E1518" i="1" s="1"/>
  <c r="D1519" i="1"/>
  <c r="E1519" i="1" s="1"/>
  <c r="D1520" i="1"/>
  <c r="D1521" i="1"/>
  <c r="E1521" i="1" s="1"/>
  <c r="D1522" i="1"/>
  <c r="D1523" i="1"/>
  <c r="D1524" i="1"/>
  <c r="D1525" i="1"/>
  <c r="D1526" i="1"/>
  <c r="E1526" i="1" s="1"/>
  <c r="D1527" i="1"/>
  <c r="E1527" i="1" s="1"/>
  <c r="D1528" i="1"/>
  <c r="D1529" i="1"/>
  <c r="E1529" i="1" s="1"/>
  <c r="D1530" i="1"/>
  <c r="D1531" i="1"/>
  <c r="D1532" i="1"/>
  <c r="D1533" i="1"/>
  <c r="D1534" i="1"/>
  <c r="E1534" i="1" s="1"/>
  <c r="D1535" i="1"/>
  <c r="E1535" i="1" s="1"/>
  <c r="D1536" i="1"/>
  <c r="D1537" i="1"/>
  <c r="E1537" i="1" s="1"/>
  <c r="D1538" i="1"/>
  <c r="D1539" i="1"/>
  <c r="D1540" i="1"/>
  <c r="D1541" i="1"/>
  <c r="D1542" i="1"/>
  <c r="E1542" i="1" s="1"/>
  <c r="D1543" i="1"/>
  <c r="E1543" i="1" s="1"/>
  <c r="D1544" i="1"/>
  <c r="D1545" i="1"/>
  <c r="E1545" i="1" s="1"/>
  <c r="D1546" i="1"/>
  <c r="D1547" i="1"/>
  <c r="D1548" i="1"/>
  <c r="D1549" i="1"/>
  <c r="D1550" i="1"/>
  <c r="E1550" i="1" s="1"/>
  <c r="D1551" i="1"/>
  <c r="E1551" i="1" s="1"/>
  <c r="D1552" i="1"/>
  <c r="K1552" i="1" s="1"/>
  <c r="D1553" i="1"/>
  <c r="E1553" i="1" s="1"/>
  <c r="D1554" i="1"/>
  <c r="D1555" i="1"/>
  <c r="D1556" i="1"/>
  <c r="D1557" i="1"/>
  <c r="D1558" i="1"/>
  <c r="E1558" i="1" s="1"/>
  <c r="D1559" i="1"/>
  <c r="D1560" i="1"/>
  <c r="D1561" i="1"/>
  <c r="K1561" i="1" s="1"/>
  <c r="D1562" i="1"/>
  <c r="D1563" i="1"/>
  <c r="D1564" i="1"/>
  <c r="D1565" i="1"/>
  <c r="D1566" i="1"/>
  <c r="E1566" i="1" s="1"/>
  <c r="D1567" i="1"/>
  <c r="E1567" i="1" s="1"/>
  <c r="D1568" i="1"/>
  <c r="K1568" i="1" s="1"/>
  <c r="D1569" i="1"/>
  <c r="E1569" i="1" s="1"/>
  <c r="D1570" i="1"/>
  <c r="D1571" i="1"/>
  <c r="D1572" i="1"/>
  <c r="D1573" i="1"/>
  <c r="D1574" i="1"/>
  <c r="E1574" i="1" s="1"/>
  <c r="D1575" i="1"/>
  <c r="E1575" i="1" s="1"/>
  <c r="D1576" i="1"/>
  <c r="D1577" i="1"/>
  <c r="E1577" i="1" s="1"/>
  <c r="D1578" i="1"/>
  <c r="E1578" i="1" s="1"/>
  <c r="D1579" i="1"/>
  <c r="D1580" i="1"/>
  <c r="D1581" i="1"/>
  <c r="D1582" i="1"/>
  <c r="E1582" i="1" s="1"/>
  <c r="D1583" i="1"/>
  <c r="E1583" i="1" s="1"/>
  <c r="D1584" i="1"/>
  <c r="D1585" i="1"/>
  <c r="D1586" i="1"/>
  <c r="D1587" i="1"/>
  <c r="D1588" i="1"/>
  <c r="D1589" i="1"/>
  <c r="D1590" i="1"/>
  <c r="E1590" i="1" s="1"/>
  <c r="D1591" i="1"/>
  <c r="E1591" i="1" s="1"/>
  <c r="D1592" i="1"/>
  <c r="D1593" i="1"/>
  <c r="E1593" i="1" s="1"/>
  <c r="D1594" i="1"/>
  <c r="E1594" i="1" s="1"/>
  <c r="D1595" i="1"/>
  <c r="D1596" i="1"/>
  <c r="D1597" i="1"/>
  <c r="D1598" i="1"/>
  <c r="E1598" i="1" s="1"/>
  <c r="D1599" i="1"/>
  <c r="E1599" i="1" s="1"/>
  <c r="D1600" i="1"/>
  <c r="E1600" i="1" s="1"/>
  <c r="D1601" i="1"/>
  <c r="E1601" i="1" s="1"/>
  <c r="D1602" i="1"/>
  <c r="E1602" i="1" s="1"/>
  <c r="D1603" i="1"/>
  <c r="D1604" i="1"/>
  <c r="D1605" i="1"/>
  <c r="D1606" i="1"/>
  <c r="E1606" i="1" s="1"/>
  <c r="D1607" i="1"/>
  <c r="E1607" i="1" s="1"/>
  <c r="D1608" i="1"/>
  <c r="D1609" i="1"/>
  <c r="E1609" i="1" s="1"/>
  <c r="D1610" i="1"/>
  <c r="E1610" i="1" s="1"/>
  <c r="D1611" i="1"/>
  <c r="D1612" i="1"/>
  <c r="D1613" i="1"/>
  <c r="D1614" i="1"/>
  <c r="E1614" i="1" s="1"/>
  <c r="D1615" i="1"/>
  <c r="E1615" i="1" s="1"/>
  <c r="D1616" i="1"/>
  <c r="D1617" i="1"/>
  <c r="E1617" i="1" s="1"/>
  <c r="D1618" i="1"/>
  <c r="E1618" i="1" s="1"/>
  <c r="D1619" i="1"/>
  <c r="D1620" i="1"/>
  <c r="D1621" i="1"/>
  <c r="D1622" i="1"/>
  <c r="E1622" i="1" s="1"/>
  <c r="D1623" i="1"/>
  <c r="E1623" i="1" s="1"/>
  <c r="D1624" i="1"/>
  <c r="E1624" i="1" s="1"/>
  <c r="D1625" i="1"/>
  <c r="E1625" i="1" s="1"/>
  <c r="D1626" i="1"/>
  <c r="E1626" i="1" s="1"/>
  <c r="D1627" i="1"/>
  <c r="D1628" i="1"/>
  <c r="E1628" i="1" s="1"/>
  <c r="D1629" i="1"/>
  <c r="D1630" i="1"/>
  <c r="D1631" i="1"/>
  <c r="E1631" i="1" s="1"/>
  <c r="D1632" i="1"/>
  <c r="K1632" i="1" s="1"/>
  <c r="D1633" i="1"/>
  <c r="E1633" i="1" s="1"/>
  <c r="D1634" i="1"/>
  <c r="D1635" i="1"/>
  <c r="D1636" i="1"/>
  <c r="D1637" i="1"/>
  <c r="D1638" i="1"/>
  <c r="E1638" i="1" s="1"/>
  <c r="D1639" i="1"/>
  <c r="E1639" i="1" s="1"/>
  <c r="D1640" i="1"/>
  <c r="D1641" i="1"/>
  <c r="D1642" i="1"/>
  <c r="D1643" i="1"/>
  <c r="D1644" i="1"/>
  <c r="D1645" i="1"/>
  <c r="D1646" i="1"/>
  <c r="E1646" i="1" s="1"/>
  <c r="D1647" i="1"/>
  <c r="E1647" i="1" s="1"/>
  <c r="D1648" i="1"/>
  <c r="K1648" i="1" s="1"/>
  <c r="D1649" i="1"/>
  <c r="E1649" i="1" s="1"/>
  <c r="D1650" i="1"/>
  <c r="D1651" i="1"/>
  <c r="D1652" i="1"/>
  <c r="D1653" i="1"/>
  <c r="D1654" i="1"/>
  <c r="E1654" i="1" s="1"/>
  <c r="D1655" i="1"/>
  <c r="D1656" i="1"/>
  <c r="D1657" i="1"/>
  <c r="K1657" i="1" s="1"/>
  <c r="D1658" i="1"/>
  <c r="D1659" i="1"/>
  <c r="D1660" i="1"/>
  <c r="D1661" i="1"/>
  <c r="D1662" i="1"/>
  <c r="E1662" i="1" s="1"/>
  <c r="D1663" i="1"/>
  <c r="E1663" i="1" s="1"/>
  <c r="D1664" i="1"/>
  <c r="D1665" i="1"/>
  <c r="E1665" i="1" s="1"/>
  <c r="D1666" i="1"/>
  <c r="D1667" i="1"/>
  <c r="D1668" i="1"/>
  <c r="E1668" i="1" s="1"/>
  <c r="D1669" i="1"/>
  <c r="D1670" i="1"/>
  <c r="E1670" i="1" s="1"/>
  <c r="D1671" i="1"/>
  <c r="D1672" i="1"/>
  <c r="D1673" i="1"/>
  <c r="E1673" i="1" s="1"/>
  <c r="D1674" i="1"/>
  <c r="D1675" i="1"/>
  <c r="D1676" i="1"/>
  <c r="D1677" i="1"/>
  <c r="D1678" i="1"/>
  <c r="E1678" i="1" s="1"/>
  <c r="D1679" i="1"/>
  <c r="E1679" i="1" s="1"/>
  <c r="D1680" i="1"/>
  <c r="E1680" i="1" s="1"/>
  <c r="D1681" i="1"/>
  <c r="E1681" i="1" s="1"/>
  <c r="D1682" i="1"/>
  <c r="E1682" i="1" s="1"/>
  <c r="D1683" i="1"/>
  <c r="D1684" i="1"/>
  <c r="D1685" i="1"/>
  <c r="D1686" i="1"/>
  <c r="E1686" i="1" s="1"/>
  <c r="D1687" i="1"/>
  <c r="E1687" i="1" s="1"/>
  <c r="D1688" i="1"/>
  <c r="D1689" i="1"/>
  <c r="E1689" i="1" s="1"/>
  <c r="D1690" i="1"/>
  <c r="E1690" i="1" s="1"/>
  <c r="D1691" i="1"/>
  <c r="D1692" i="1"/>
  <c r="D1693" i="1"/>
  <c r="D1694" i="1"/>
  <c r="E1694" i="1" s="1"/>
  <c r="D1695" i="1"/>
  <c r="E1695" i="1" s="1"/>
  <c r="D1696" i="1"/>
  <c r="D1697" i="1"/>
  <c r="D1698" i="1"/>
  <c r="E1698" i="1" s="1"/>
  <c r="D1699" i="1"/>
  <c r="D1700" i="1"/>
  <c r="D1701" i="1"/>
  <c r="D1702" i="1"/>
  <c r="E1702" i="1" s="1"/>
  <c r="D1703" i="1"/>
  <c r="E1703" i="1" s="1"/>
  <c r="D1704" i="1"/>
  <c r="D1705" i="1"/>
  <c r="E1705" i="1" s="1"/>
  <c r="D1706" i="1"/>
  <c r="E1706" i="1" s="1"/>
  <c r="D1707" i="1"/>
  <c r="D1708" i="1"/>
  <c r="D1709" i="1"/>
  <c r="D1710" i="1"/>
  <c r="E1710" i="1" s="1"/>
  <c r="D1711" i="1"/>
  <c r="D1712" i="1"/>
  <c r="E1712" i="1" s="1"/>
  <c r="D1713" i="1"/>
  <c r="E1713" i="1" s="1"/>
  <c r="D1714" i="1"/>
  <c r="E1714" i="1" s="1"/>
  <c r="D1715" i="1"/>
  <c r="D1716" i="1"/>
  <c r="D1717" i="1"/>
  <c r="D1718" i="1"/>
  <c r="E1718" i="1" s="1"/>
  <c r="D1719" i="1"/>
  <c r="E1719" i="1" s="1"/>
  <c r="D1720" i="1"/>
  <c r="D1721" i="1"/>
  <c r="E1721" i="1" s="1"/>
  <c r="D1722" i="1"/>
  <c r="E1722" i="1" s="1"/>
  <c r="D1723" i="1"/>
  <c r="D1724" i="1"/>
  <c r="D1725" i="1"/>
  <c r="D1726" i="1"/>
  <c r="E1726" i="1" s="1"/>
  <c r="D1727" i="1"/>
  <c r="E1727" i="1" s="1"/>
  <c r="D1728" i="1"/>
  <c r="D1729" i="1"/>
  <c r="E1729" i="1" s="1"/>
  <c r="D1730" i="1"/>
  <c r="E1730" i="1" s="1"/>
  <c r="D1731" i="1"/>
  <c r="D1732" i="1"/>
  <c r="E1732" i="1" s="1"/>
  <c r="D1733" i="1"/>
  <c r="D1734" i="1"/>
  <c r="E1734" i="1" s="1"/>
  <c r="D1735" i="1"/>
  <c r="E1735" i="1" s="1"/>
  <c r="D1736" i="1"/>
  <c r="E1736" i="1" s="1"/>
  <c r="D1737" i="1"/>
  <c r="E1737" i="1" s="1"/>
  <c r="D1738" i="1"/>
  <c r="E1738" i="1" s="1"/>
  <c r="D1739" i="1"/>
  <c r="D1740" i="1"/>
  <c r="D1741" i="1"/>
  <c r="D1742" i="1"/>
  <c r="E1742" i="1" s="1"/>
  <c r="D1743" i="1"/>
  <c r="E1743" i="1" s="1"/>
  <c r="D1744" i="1"/>
  <c r="K1744" i="1" s="1"/>
  <c r="D1745" i="1"/>
  <c r="E1745" i="1" s="1"/>
  <c r="D1746" i="1"/>
  <c r="D1747" i="1"/>
  <c r="D1748" i="1"/>
  <c r="D1749" i="1"/>
  <c r="D1750" i="1"/>
  <c r="E1750" i="1" s="1"/>
  <c r="D1751" i="1"/>
  <c r="E1751" i="1" s="1"/>
  <c r="D1752" i="1"/>
  <c r="D1753" i="1"/>
  <c r="D1754" i="1"/>
  <c r="D1755" i="1"/>
  <c r="D1756" i="1"/>
  <c r="D1757" i="1"/>
  <c r="D1758" i="1"/>
  <c r="E1758" i="1" s="1"/>
  <c r="D1759" i="1"/>
  <c r="E1759" i="1" s="1"/>
  <c r="D1760" i="1"/>
  <c r="D1761" i="1"/>
  <c r="E1761" i="1" s="1"/>
  <c r="D1762" i="1"/>
  <c r="D1763" i="1"/>
  <c r="D1764" i="1"/>
  <c r="D1765" i="1"/>
  <c r="D1766" i="1"/>
  <c r="E1766" i="1" s="1"/>
  <c r="D1767" i="1"/>
  <c r="E1767" i="1" s="1"/>
  <c r="D1768" i="1"/>
  <c r="E1768" i="1" s="1"/>
  <c r="D1769" i="1"/>
  <c r="E1769" i="1" s="1"/>
  <c r="D1770" i="1"/>
  <c r="D1771" i="1"/>
  <c r="D1772" i="1"/>
  <c r="D1773" i="1"/>
  <c r="D1774" i="1"/>
  <c r="E1774" i="1" s="1"/>
  <c r="D1775" i="1"/>
  <c r="E1775" i="1" s="1"/>
  <c r="D1776" i="1"/>
  <c r="D1777" i="1"/>
  <c r="E1777" i="1" s="1"/>
  <c r="D1778" i="1"/>
  <c r="E1778" i="1" s="1"/>
  <c r="D1779" i="1"/>
  <c r="D1780" i="1"/>
  <c r="D1781" i="1"/>
  <c r="D1782" i="1"/>
  <c r="E1782" i="1" s="1"/>
  <c r="D1783" i="1"/>
  <c r="E1783" i="1" s="1"/>
  <c r="D1784" i="1"/>
  <c r="D1785" i="1"/>
  <c r="E1785" i="1" s="1"/>
  <c r="D1786" i="1"/>
  <c r="D1787" i="1"/>
  <c r="D1788" i="1"/>
  <c r="D1789" i="1"/>
  <c r="D1790" i="1"/>
  <c r="E1790" i="1" s="1"/>
  <c r="D1791" i="1"/>
  <c r="E1791" i="1" s="1"/>
  <c r="D1792" i="1"/>
  <c r="D1793" i="1"/>
  <c r="E1793" i="1" s="1"/>
  <c r="D1794" i="1"/>
  <c r="E1794" i="1" s="1"/>
  <c r="D1795" i="1"/>
  <c r="D1796" i="1"/>
  <c r="E1796" i="1" s="1"/>
  <c r="D1797" i="1"/>
  <c r="D1798" i="1"/>
  <c r="E1798" i="1" s="1"/>
  <c r="D1799" i="1"/>
  <c r="E1799" i="1" s="1"/>
  <c r="D1800" i="1"/>
  <c r="E1800" i="1" s="1"/>
  <c r="D1801" i="1"/>
  <c r="E1801" i="1" s="1"/>
  <c r="D1802" i="1"/>
  <c r="D1803" i="1"/>
  <c r="D1804" i="1"/>
  <c r="D1805" i="1"/>
  <c r="D1806" i="1"/>
  <c r="E1806" i="1" s="1"/>
  <c r="D1807" i="1"/>
  <c r="E1807" i="1" s="1"/>
  <c r="D1808" i="1"/>
  <c r="K1808" i="1" s="1"/>
  <c r="D1809" i="1"/>
  <c r="D1810" i="1"/>
  <c r="D1811" i="1"/>
  <c r="D1812" i="1"/>
  <c r="D1813" i="1"/>
  <c r="D1814" i="1"/>
  <c r="E1814" i="1" s="1"/>
  <c r="D1815" i="1"/>
  <c r="E1815" i="1" s="1"/>
  <c r="D1816" i="1"/>
  <c r="D1817" i="1"/>
  <c r="K1817" i="1" s="1"/>
  <c r="D1818" i="1"/>
  <c r="D1819" i="1"/>
  <c r="D1820" i="1"/>
  <c r="D1821" i="1"/>
  <c r="D1822" i="1"/>
  <c r="E1822" i="1" s="1"/>
  <c r="D1823" i="1"/>
  <c r="D1824" i="1"/>
  <c r="K1824" i="1" s="1"/>
  <c r="D1825" i="1"/>
  <c r="E1825" i="1" s="1"/>
  <c r="D1826" i="1"/>
  <c r="E1826" i="1" s="1"/>
  <c r="D1827" i="1"/>
  <c r="D1828" i="1"/>
  <c r="D1829" i="1"/>
  <c r="D1830" i="1"/>
  <c r="E1830" i="1" s="1"/>
  <c r="D1831" i="1"/>
  <c r="E1831" i="1" s="1"/>
  <c r="D1832" i="1"/>
  <c r="D1833" i="1"/>
  <c r="E1833" i="1" s="1"/>
  <c r="D1834" i="1"/>
  <c r="D1835" i="1"/>
  <c r="D1836" i="1"/>
  <c r="D1837" i="1"/>
  <c r="D1838" i="1"/>
  <c r="E1838" i="1" s="1"/>
  <c r="D1839" i="1"/>
  <c r="E1839" i="1" s="1"/>
  <c r="D1840" i="1"/>
  <c r="D1841" i="1"/>
  <c r="E1841" i="1" s="1"/>
  <c r="D1842" i="1"/>
  <c r="E1842" i="1" s="1"/>
  <c r="D1843" i="1"/>
  <c r="D1844" i="1"/>
  <c r="D1845" i="1"/>
  <c r="D1846" i="1"/>
  <c r="E1846" i="1" s="1"/>
  <c r="D1847" i="1"/>
  <c r="E1847" i="1" s="1"/>
  <c r="D1848" i="1"/>
  <c r="D1849" i="1"/>
  <c r="E1849" i="1" s="1"/>
  <c r="D1850" i="1"/>
  <c r="D1851" i="1"/>
  <c r="D1852" i="1"/>
  <c r="D1853" i="1"/>
  <c r="D1854" i="1"/>
  <c r="E1854" i="1" s="1"/>
  <c r="D1855" i="1"/>
  <c r="E1855" i="1" s="1"/>
  <c r="D1856" i="1"/>
  <c r="D1857" i="1"/>
  <c r="E1857" i="1" s="1"/>
  <c r="D1858" i="1"/>
  <c r="E1858" i="1" s="1"/>
  <c r="D1859" i="1"/>
  <c r="D1860" i="1"/>
  <c r="E1860" i="1" s="1"/>
  <c r="D1861" i="1"/>
  <c r="D1862" i="1"/>
  <c r="E1862" i="1" s="1"/>
  <c r="D1863" i="1"/>
  <c r="E1863" i="1" s="1"/>
  <c r="D1864" i="1"/>
  <c r="D1865" i="1"/>
  <c r="E1865" i="1" s="1"/>
  <c r="D1866" i="1"/>
  <c r="D1867" i="1"/>
  <c r="D1868" i="1"/>
  <c r="D1869" i="1"/>
  <c r="D1870" i="1"/>
  <c r="E1870" i="1" s="1"/>
  <c r="D1871" i="1"/>
  <c r="E1871" i="1" s="1"/>
  <c r="D1872" i="1"/>
  <c r="D1873" i="1"/>
  <c r="E1873" i="1" s="1"/>
  <c r="D1874" i="1"/>
  <c r="E1874" i="1" s="1"/>
  <c r="D1875" i="1"/>
  <c r="D1876" i="1"/>
  <c r="D1877" i="1"/>
  <c r="D1878" i="1"/>
  <c r="E1878" i="1" s="1"/>
  <c r="D1879" i="1"/>
  <c r="D1880" i="1"/>
  <c r="E1880" i="1" s="1"/>
  <c r="D1881" i="1"/>
  <c r="E1881" i="1" s="1"/>
  <c r="D1882" i="1"/>
  <c r="D1883" i="1"/>
  <c r="D1884" i="1"/>
  <c r="D1885" i="1"/>
  <c r="D1886" i="1"/>
  <c r="E1886" i="1" s="1"/>
  <c r="D1887" i="1"/>
  <c r="E1887" i="1" s="1"/>
  <c r="D1888" i="1"/>
  <c r="K1888" i="1" s="1"/>
  <c r="D1889" i="1"/>
  <c r="E1889" i="1" s="1"/>
  <c r="D1890" i="1"/>
  <c r="E1890" i="1" s="1"/>
  <c r="D1891" i="1"/>
  <c r="D1892" i="1"/>
  <c r="D1893" i="1"/>
  <c r="D1894" i="1"/>
  <c r="E1894" i="1" s="1"/>
  <c r="D1895" i="1"/>
  <c r="E1895" i="1" s="1"/>
  <c r="D1896" i="1"/>
  <c r="D1897" i="1"/>
  <c r="E1897" i="1" s="1"/>
  <c r="D1898" i="1"/>
  <c r="D1899" i="1"/>
  <c r="D1900" i="1"/>
  <c r="D1901" i="1"/>
  <c r="D1902" i="1"/>
  <c r="E1902" i="1" s="1"/>
  <c r="D1903" i="1"/>
  <c r="E1903" i="1" s="1"/>
  <c r="D1904" i="1"/>
  <c r="K1904" i="1" s="1"/>
  <c r="D1905" i="1"/>
  <c r="E1905" i="1" s="1"/>
  <c r="D1906" i="1"/>
  <c r="E1906" i="1" s="1"/>
  <c r="D1907" i="1"/>
  <c r="D1908" i="1"/>
  <c r="D1909" i="1"/>
  <c r="D1910" i="1"/>
  <c r="E1910" i="1" s="1"/>
  <c r="D1911" i="1"/>
  <c r="E1911" i="1" s="1"/>
  <c r="D1912" i="1"/>
  <c r="E1912" i="1" s="1"/>
  <c r="D1913" i="1"/>
  <c r="E1913" i="1" s="1"/>
  <c r="D1914" i="1"/>
  <c r="D1915" i="1"/>
  <c r="D1916" i="1"/>
  <c r="D1917" i="1"/>
  <c r="D1918" i="1"/>
  <c r="E1918" i="1" s="1"/>
  <c r="D1919" i="1"/>
  <c r="E1919" i="1" s="1"/>
  <c r="D1920" i="1"/>
  <c r="D1921" i="1"/>
  <c r="D1922" i="1"/>
  <c r="D1923" i="1"/>
  <c r="D1924" i="1"/>
  <c r="E1924" i="1" s="1"/>
  <c r="D1925" i="1"/>
  <c r="D1926" i="1"/>
  <c r="E1926" i="1" s="1"/>
  <c r="D1927" i="1"/>
  <c r="E1927" i="1" s="1"/>
  <c r="D1928" i="1"/>
  <c r="D1929" i="1"/>
  <c r="E1929" i="1" s="1"/>
  <c r="D1930" i="1"/>
  <c r="D1931" i="1"/>
  <c r="D1932" i="1"/>
  <c r="D1933" i="1"/>
  <c r="D1934" i="1"/>
  <c r="E1934" i="1" s="1"/>
  <c r="D1935" i="1"/>
  <c r="D1936" i="1"/>
  <c r="E1936" i="1" s="1"/>
  <c r="D1937" i="1"/>
  <c r="E1937" i="1" s="1"/>
  <c r="D1938" i="1"/>
  <c r="E1938" i="1" s="1"/>
  <c r="D1939" i="1"/>
  <c r="D1940" i="1"/>
  <c r="D1941" i="1"/>
  <c r="D1942" i="1"/>
  <c r="E1942" i="1" s="1"/>
  <c r="D1943" i="1"/>
  <c r="E1943" i="1" s="1"/>
  <c r="D1944" i="1"/>
  <c r="D1945" i="1"/>
  <c r="E1945" i="1" s="1"/>
  <c r="D1946" i="1"/>
  <c r="D1947" i="1"/>
  <c r="D1948" i="1"/>
  <c r="D1949" i="1"/>
  <c r="D1950" i="1"/>
  <c r="E1950" i="1" s="1"/>
  <c r="D1951" i="1"/>
  <c r="E1951" i="1" s="1"/>
  <c r="D1952" i="1"/>
  <c r="D1953" i="1"/>
  <c r="E1953" i="1" s="1"/>
  <c r="D1954" i="1"/>
  <c r="E1954" i="1" s="1"/>
  <c r="D1955" i="1"/>
  <c r="D1956" i="1"/>
  <c r="D1957" i="1"/>
  <c r="D1958" i="1"/>
  <c r="E1958" i="1" s="1"/>
  <c r="D1959" i="1"/>
  <c r="E1959" i="1" s="1"/>
  <c r="D1960" i="1"/>
  <c r="D1961" i="1"/>
  <c r="E1961" i="1" s="1"/>
  <c r="D1962" i="1"/>
  <c r="D1963" i="1"/>
  <c r="D1964" i="1"/>
  <c r="D1965" i="1"/>
  <c r="D1966" i="1"/>
  <c r="E1966" i="1" s="1"/>
  <c r="D1967" i="1"/>
  <c r="E1967" i="1" s="1"/>
  <c r="D1968" i="1"/>
  <c r="E1968" i="1" s="1"/>
  <c r="D1969" i="1"/>
  <c r="E1969" i="1" s="1"/>
  <c r="D1970" i="1"/>
  <c r="E1970" i="1" s="1"/>
  <c r="D1971" i="1"/>
  <c r="D1972" i="1"/>
  <c r="D1973" i="1"/>
  <c r="D1974" i="1"/>
  <c r="E1974" i="1" s="1"/>
  <c r="D1975" i="1"/>
  <c r="E1975" i="1" s="1"/>
  <c r="D1976" i="1"/>
  <c r="D1977" i="1"/>
  <c r="D1978" i="1"/>
  <c r="E1978" i="1" s="1"/>
  <c r="D1979" i="1"/>
  <c r="D1980" i="1"/>
  <c r="D1981" i="1"/>
  <c r="D1982" i="1"/>
  <c r="E1982" i="1" s="1"/>
  <c r="D1983" i="1"/>
  <c r="E1983" i="1" s="1"/>
  <c r="D1984" i="1"/>
  <c r="K1984" i="1" s="1"/>
  <c r="D1985" i="1"/>
  <c r="E1985" i="1" s="1"/>
  <c r="D1986" i="1"/>
  <c r="E1986" i="1" s="1"/>
  <c r="D1987" i="1"/>
  <c r="D1988" i="1"/>
  <c r="E1988" i="1" s="1"/>
  <c r="D1989" i="1"/>
  <c r="D1990" i="1"/>
  <c r="E1990" i="1" s="1"/>
  <c r="D1991" i="1"/>
  <c r="E1991" i="1" s="1"/>
  <c r="D1992" i="1"/>
  <c r="E1992" i="1" s="1"/>
  <c r="D1993" i="1"/>
  <c r="E1993" i="1" s="1"/>
  <c r="D1994" i="1"/>
  <c r="D1995" i="1"/>
  <c r="D1996" i="1"/>
  <c r="D1997" i="1"/>
  <c r="D1998" i="1"/>
  <c r="E1998" i="1" s="1"/>
  <c r="D1999" i="1"/>
  <c r="E1999" i="1" s="1"/>
  <c r="D2000" i="1"/>
  <c r="K2000" i="1" s="1"/>
  <c r="D2001" i="1"/>
  <c r="E2001" i="1" s="1"/>
  <c r="D2002" i="1"/>
  <c r="E2002" i="1" s="1"/>
  <c r="D2003" i="1"/>
  <c r="D2004" i="1"/>
  <c r="D2005" i="1"/>
  <c r="D2006" i="1"/>
  <c r="E2006" i="1" s="1"/>
  <c r="D2007" i="1"/>
  <c r="E2007" i="1" s="1"/>
  <c r="D2008" i="1"/>
  <c r="D2009" i="1"/>
  <c r="E2009" i="1" s="1"/>
  <c r="D2010" i="1"/>
  <c r="D2011" i="1"/>
  <c r="D2012" i="1"/>
  <c r="D2013" i="1"/>
  <c r="D2014" i="1"/>
  <c r="E2014" i="1" s="1"/>
  <c r="D2015" i="1"/>
  <c r="E2015" i="1" s="1"/>
  <c r="D2016" i="1"/>
  <c r="D2017" i="1"/>
  <c r="E2017" i="1" s="1"/>
  <c r="D2018" i="1"/>
  <c r="E2018" i="1" s="1"/>
  <c r="D2019" i="1"/>
  <c r="D2020" i="1"/>
  <c r="D2021" i="1"/>
  <c r="D2022" i="1"/>
  <c r="E2022" i="1" s="1"/>
  <c r="D2023" i="1"/>
  <c r="E2023" i="1" s="1"/>
  <c r="D2024" i="1"/>
  <c r="E2024" i="1" s="1"/>
  <c r="D2025" i="1"/>
  <c r="E2025" i="1" s="1"/>
  <c r="D2026" i="1"/>
  <c r="D2027" i="1"/>
  <c r="D2028" i="1"/>
  <c r="D2029" i="1"/>
  <c r="D2030" i="1"/>
  <c r="E2030" i="1" s="1"/>
  <c r="D2031" i="1"/>
  <c r="E2031" i="1" s="1"/>
  <c r="D2032" i="1"/>
  <c r="D2033" i="1"/>
  <c r="D2034" i="1"/>
  <c r="D2035" i="1"/>
  <c r="D2036" i="1"/>
  <c r="D2037" i="1"/>
  <c r="D2038" i="1"/>
  <c r="E2038" i="1" s="1"/>
  <c r="D2039" i="1"/>
  <c r="E2039" i="1" s="1"/>
  <c r="D2040" i="1"/>
  <c r="D2041" i="1"/>
  <c r="E2041" i="1" s="1"/>
  <c r="D2042" i="1"/>
  <c r="D2043" i="1"/>
  <c r="D2044" i="1"/>
  <c r="D2045" i="1"/>
  <c r="D2046" i="1"/>
  <c r="E2046" i="1" s="1"/>
  <c r="D2047" i="1"/>
  <c r="D2048" i="1"/>
  <c r="D2049" i="1"/>
  <c r="E2049" i="1" s="1"/>
  <c r="D2050" i="1"/>
  <c r="E2050" i="1" s="1"/>
  <c r="D2051" i="1"/>
  <c r="D2052" i="1"/>
  <c r="E2052" i="1" s="1"/>
  <c r="D2053" i="1"/>
  <c r="D2054" i="1"/>
  <c r="E2054" i="1" s="1"/>
  <c r="D2055" i="1"/>
  <c r="E2055" i="1" s="1"/>
  <c r="D2056" i="1"/>
  <c r="D2057" i="1"/>
  <c r="E2057" i="1" s="1"/>
  <c r="D2058" i="1"/>
  <c r="E2058" i="1" s="1"/>
  <c r="D2059" i="1"/>
  <c r="D2060" i="1"/>
  <c r="D2061" i="1"/>
  <c r="D2062" i="1"/>
  <c r="E2062" i="1" s="1"/>
  <c r="D2063" i="1"/>
  <c r="E2063" i="1" s="1"/>
  <c r="D2064" i="1"/>
  <c r="K2064" i="1" s="1"/>
  <c r="D2065" i="1"/>
  <c r="E2065" i="1" s="1"/>
  <c r="D2066" i="1"/>
  <c r="D2067" i="1"/>
  <c r="D2068" i="1"/>
  <c r="D2069" i="1"/>
  <c r="D2070" i="1"/>
  <c r="E2070" i="1" s="1"/>
  <c r="D2071" i="1"/>
  <c r="E2071" i="1" s="1"/>
  <c r="D2072" i="1"/>
  <c r="D2073" i="1"/>
  <c r="K2073" i="1" s="1"/>
  <c r="D2074" i="1"/>
  <c r="E2074" i="1" s="1"/>
  <c r="D2075" i="1"/>
  <c r="D2076" i="1"/>
  <c r="D2077" i="1"/>
  <c r="D2078" i="1"/>
  <c r="E2078" i="1" s="1"/>
  <c r="D2079" i="1"/>
  <c r="E2079" i="1" s="1"/>
  <c r="D2080" i="1"/>
  <c r="K2080" i="1" s="1"/>
  <c r="D2081" i="1"/>
  <c r="E2081" i="1" s="1"/>
  <c r="D2082" i="1"/>
  <c r="D2083" i="1"/>
  <c r="D2084" i="1"/>
  <c r="D2085" i="1"/>
  <c r="D2086" i="1"/>
  <c r="E2086" i="1" s="1"/>
  <c r="D2087" i="1"/>
  <c r="E2087" i="1" s="1"/>
  <c r="D2088" i="1"/>
  <c r="D2089" i="1"/>
  <c r="E2089" i="1" s="1"/>
  <c r="D2090" i="1"/>
  <c r="D2091" i="1"/>
  <c r="D2092" i="1"/>
  <c r="D2093" i="1"/>
  <c r="D2094" i="1"/>
  <c r="E2094" i="1" s="1"/>
  <c r="D2095" i="1"/>
  <c r="E2095" i="1" s="1"/>
  <c r="D2096" i="1"/>
  <c r="D2097" i="1"/>
  <c r="E2097" i="1" s="1"/>
  <c r="D2098" i="1"/>
  <c r="D2099" i="1"/>
  <c r="D2100" i="1"/>
  <c r="D2101" i="1"/>
  <c r="D2102" i="1"/>
  <c r="E2102" i="1" s="1"/>
  <c r="D2103" i="1"/>
  <c r="E2103" i="1" s="1"/>
  <c r="D2104" i="1"/>
  <c r="D2105" i="1"/>
  <c r="E2105" i="1" s="1"/>
  <c r="D2106" i="1"/>
  <c r="D2107" i="1"/>
  <c r="D2108" i="1"/>
  <c r="D2109" i="1"/>
  <c r="D2110" i="1"/>
  <c r="E2110" i="1" s="1"/>
  <c r="D2111" i="1"/>
  <c r="E2111" i="1" s="1"/>
  <c r="D2112" i="1"/>
  <c r="E2112" i="1" s="1"/>
  <c r="D2113" i="1"/>
  <c r="E2113" i="1" s="1"/>
  <c r="D2114" i="1"/>
  <c r="D2115" i="1"/>
  <c r="D2116" i="1"/>
  <c r="E2116" i="1" s="1"/>
  <c r="D2117" i="1"/>
  <c r="D2118" i="1"/>
  <c r="D2119" i="1"/>
  <c r="E2119" i="1" s="1"/>
  <c r="D2120" i="1"/>
  <c r="D2121" i="1"/>
  <c r="E2121" i="1" s="1"/>
  <c r="D2122" i="1"/>
  <c r="E2122" i="1" s="1"/>
  <c r="D2123" i="1"/>
  <c r="D2124" i="1"/>
  <c r="D2125" i="1"/>
  <c r="D2126" i="1"/>
  <c r="E2126" i="1" s="1"/>
  <c r="D2127" i="1"/>
  <c r="E2127" i="1" s="1"/>
  <c r="D2128" i="1"/>
  <c r="D2129" i="1"/>
  <c r="E2129" i="1" s="1"/>
  <c r="D2130" i="1"/>
  <c r="E2130" i="1" s="1"/>
  <c r="D2131" i="1"/>
  <c r="D2132" i="1"/>
  <c r="D2133" i="1"/>
  <c r="D2134" i="1"/>
  <c r="E2134" i="1" s="1"/>
  <c r="D2135" i="1"/>
  <c r="E2135" i="1" s="1"/>
  <c r="D2136" i="1"/>
  <c r="E2136" i="1" s="1"/>
  <c r="D2137" i="1"/>
  <c r="E2137" i="1" s="1"/>
  <c r="D2138" i="1"/>
  <c r="D2139" i="1"/>
  <c r="D2140" i="1"/>
  <c r="D2141" i="1"/>
  <c r="D2142" i="1"/>
  <c r="E2142" i="1" s="1"/>
  <c r="D2143" i="1"/>
  <c r="E2143" i="1" s="1"/>
  <c r="D2144" i="1"/>
  <c r="K2144" i="1" s="1"/>
  <c r="D2145" i="1"/>
  <c r="D2146" i="1"/>
  <c r="E2146" i="1" s="1"/>
  <c r="D2147" i="1"/>
  <c r="D2148" i="1"/>
  <c r="D2149" i="1"/>
  <c r="D2150" i="1"/>
  <c r="E2150" i="1" s="1"/>
  <c r="D2151" i="1"/>
  <c r="E2151" i="1" s="1"/>
  <c r="D2152" i="1"/>
  <c r="D2153" i="1"/>
  <c r="E2153" i="1" s="1"/>
  <c r="D2154" i="1"/>
  <c r="D2155" i="1"/>
  <c r="D2156" i="1"/>
  <c r="D2157" i="1"/>
  <c r="D2158" i="1"/>
  <c r="E2158" i="1" s="1"/>
  <c r="D2159" i="1"/>
  <c r="D2160" i="1"/>
  <c r="D2161" i="1"/>
  <c r="E2161" i="1" s="1"/>
  <c r="D2162" i="1"/>
  <c r="E2162" i="1" s="1"/>
  <c r="D2163" i="1"/>
  <c r="D2164" i="1"/>
  <c r="D2165" i="1"/>
  <c r="D2166" i="1"/>
  <c r="E2166" i="1" s="1"/>
  <c r="D2167" i="1"/>
  <c r="E2167" i="1" s="1"/>
  <c r="D2168" i="1"/>
  <c r="D2169" i="1"/>
  <c r="E2169" i="1" s="1"/>
  <c r="D2170" i="1"/>
  <c r="D2171" i="1"/>
  <c r="D2172" i="1"/>
  <c r="D2173" i="1"/>
  <c r="D2174" i="1"/>
  <c r="E2174" i="1" s="1"/>
  <c r="D2175" i="1"/>
  <c r="E2175" i="1" s="1"/>
  <c r="D2176" i="1"/>
  <c r="D2177" i="1"/>
  <c r="E2177" i="1" s="1"/>
  <c r="D2178" i="1"/>
  <c r="E2178" i="1" s="1"/>
  <c r="D2179" i="1"/>
  <c r="D2180" i="1"/>
  <c r="D2181" i="1"/>
  <c r="D2182" i="1"/>
  <c r="E2182" i="1" s="1"/>
  <c r="D2183" i="1"/>
  <c r="E2183" i="1" s="1"/>
  <c r="D2184" i="1"/>
  <c r="D2185" i="1"/>
  <c r="E2185" i="1" s="1"/>
  <c r="D2186" i="1"/>
  <c r="D2187" i="1"/>
  <c r="D2188" i="1"/>
  <c r="D2189" i="1"/>
  <c r="D2190" i="1"/>
  <c r="E2190" i="1" s="1"/>
  <c r="D2191" i="1"/>
  <c r="E2191" i="1" s="1"/>
  <c r="D2192" i="1"/>
  <c r="E2192" i="1" s="1"/>
  <c r="D2193" i="1"/>
  <c r="E2193" i="1" s="1"/>
  <c r="D2194" i="1"/>
  <c r="D2195" i="1"/>
  <c r="D2196" i="1"/>
  <c r="D2197" i="1"/>
  <c r="D2198" i="1"/>
  <c r="E2198" i="1" s="1"/>
  <c r="D2199" i="1"/>
  <c r="E2199" i="1" s="1"/>
  <c r="D2200" i="1"/>
  <c r="D2201" i="1"/>
  <c r="E2201" i="1" s="1"/>
  <c r="D2202" i="1"/>
  <c r="D2203" i="1"/>
  <c r="D2204" i="1"/>
  <c r="D2205" i="1"/>
  <c r="D2206" i="1"/>
  <c r="E2206" i="1" s="1"/>
  <c r="D2207" i="1"/>
  <c r="E2207" i="1" s="1"/>
  <c r="D2208" i="1"/>
  <c r="D2209" i="1"/>
  <c r="E2209" i="1" s="1"/>
  <c r="D2210" i="1"/>
  <c r="D2211" i="1"/>
  <c r="D2212" i="1"/>
  <c r="D2213" i="1"/>
  <c r="D2214" i="1"/>
  <c r="E2214" i="1" s="1"/>
  <c r="D2215" i="1"/>
  <c r="E2215" i="1" s="1"/>
  <c r="D2216" i="1"/>
  <c r="D2217" i="1"/>
  <c r="E2217" i="1" s="1"/>
  <c r="D2218" i="1"/>
  <c r="D2219" i="1"/>
  <c r="D2220" i="1"/>
  <c r="E2220" i="1" s="1"/>
  <c r="D2221" i="1"/>
  <c r="D2222" i="1"/>
  <c r="E2222" i="1" s="1"/>
  <c r="D2223" i="1"/>
  <c r="E2223" i="1" s="1"/>
  <c r="D2224" i="1"/>
  <c r="E2224" i="1" s="1"/>
  <c r="D2225" i="1"/>
  <c r="E2225" i="1" s="1"/>
  <c r="D2226" i="1"/>
  <c r="E2226" i="1" s="1"/>
  <c r="D2227" i="1"/>
  <c r="D2228" i="1"/>
  <c r="D2229" i="1"/>
  <c r="D2230" i="1"/>
  <c r="E2230" i="1" s="1"/>
  <c r="D2231" i="1"/>
  <c r="E2231" i="1" s="1"/>
  <c r="D2232" i="1"/>
  <c r="D2233" i="1"/>
  <c r="E2233" i="1" s="1"/>
  <c r="D2234" i="1"/>
  <c r="E2234" i="1" s="1"/>
  <c r="D2235" i="1"/>
  <c r="D2236" i="1"/>
  <c r="D2237" i="1"/>
  <c r="D2238" i="1"/>
  <c r="E2238" i="1" s="1"/>
  <c r="D2239" i="1"/>
  <c r="E2239" i="1" s="1"/>
  <c r="D2240" i="1"/>
  <c r="K2240" i="1" s="1"/>
  <c r="D2241" i="1"/>
  <c r="E2241" i="1" s="1"/>
  <c r="D2242" i="1"/>
  <c r="E2242" i="1" s="1"/>
  <c r="D2243" i="1"/>
  <c r="D2244" i="1"/>
  <c r="E2244" i="1" s="1"/>
  <c r="D2245" i="1"/>
  <c r="D2246" i="1"/>
  <c r="E2246" i="1" s="1"/>
  <c r="D2247" i="1"/>
  <c r="E2247" i="1" s="1"/>
  <c r="D2248" i="1"/>
  <c r="D2249" i="1"/>
  <c r="E2249" i="1" s="1"/>
  <c r="D2250" i="1"/>
  <c r="D2251" i="1"/>
  <c r="D2252" i="1"/>
  <c r="D2253" i="1"/>
  <c r="D2254" i="1"/>
  <c r="E2254" i="1" s="1"/>
  <c r="D2255" i="1"/>
  <c r="E2255" i="1" s="1"/>
  <c r="D2256" i="1"/>
  <c r="K2256" i="1" s="1"/>
  <c r="D2257" i="1"/>
  <c r="E2257" i="1" s="1"/>
  <c r="D2258" i="1"/>
  <c r="D2259" i="1"/>
  <c r="D2260" i="1"/>
  <c r="D2261" i="1"/>
  <c r="D2262" i="1"/>
  <c r="E2262" i="1" s="1"/>
  <c r="D2263" i="1"/>
  <c r="E2263" i="1" s="1"/>
  <c r="D2264" i="1"/>
  <c r="D2265" i="1"/>
  <c r="E2265" i="1" s="1"/>
  <c r="D2266" i="1"/>
  <c r="D2267" i="1"/>
  <c r="D2268" i="1"/>
  <c r="D2269" i="1"/>
  <c r="D2270" i="1"/>
  <c r="E2270" i="1" s="1"/>
  <c r="D2271" i="1"/>
  <c r="D2272" i="1"/>
  <c r="D2273" i="1"/>
  <c r="E2273" i="1" s="1"/>
  <c r="D2274" i="1"/>
  <c r="E2274" i="1" s="1"/>
  <c r="D2275" i="1"/>
  <c r="D2276" i="1"/>
  <c r="D2277" i="1"/>
  <c r="D2278" i="1"/>
  <c r="E2278" i="1" s="1"/>
  <c r="D2279" i="1"/>
  <c r="E2279" i="1" s="1"/>
  <c r="D2280" i="1"/>
  <c r="D2281" i="1"/>
  <c r="E2281" i="1" s="1"/>
  <c r="D2282" i="1"/>
  <c r="D2283" i="1"/>
  <c r="D2284" i="1"/>
  <c r="D2285" i="1"/>
  <c r="D2286" i="1"/>
  <c r="E2286" i="1" s="1"/>
  <c r="D2287" i="1"/>
  <c r="D2288" i="1"/>
  <c r="D2289" i="1"/>
  <c r="E2289" i="1" s="1"/>
  <c r="D2290" i="1"/>
  <c r="E2290" i="1" s="1"/>
  <c r="D2291" i="1"/>
  <c r="D2292" i="1"/>
  <c r="D2293" i="1"/>
  <c r="D2294" i="1"/>
  <c r="E2294" i="1" s="1"/>
  <c r="D2295" i="1"/>
  <c r="E2295" i="1" s="1"/>
  <c r="D2296" i="1"/>
  <c r="D2297" i="1"/>
  <c r="E2297" i="1" s="1"/>
  <c r="D2298" i="1"/>
  <c r="D2299" i="1"/>
  <c r="D2300" i="1"/>
  <c r="D2301" i="1"/>
  <c r="D2302" i="1"/>
  <c r="E2302" i="1" s="1"/>
  <c r="D2303" i="1"/>
  <c r="E2303" i="1" s="1"/>
  <c r="D2304" i="1"/>
  <c r="D2305" i="1"/>
  <c r="E2305" i="1" s="1"/>
  <c r="D2306" i="1"/>
  <c r="E2306" i="1" s="1"/>
  <c r="D2307" i="1"/>
  <c r="D2308" i="1"/>
  <c r="D2309" i="1"/>
  <c r="D2310" i="1"/>
  <c r="E2310" i="1" s="1"/>
  <c r="D2311" i="1"/>
  <c r="E2311" i="1" s="1"/>
  <c r="D2312" i="1"/>
  <c r="E2312" i="1" s="1"/>
  <c r="D2313" i="1"/>
  <c r="D2314" i="1"/>
  <c r="D2315" i="1"/>
  <c r="D2316" i="1"/>
  <c r="D2317" i="1"/>
  <c r="D2318" i="1"/>
  <c r="E2318" i="1" s="1"/>
  <c r="D2319" i="1"/>
  <c r="E2319" i="1" s="1"/>
  <c r="D2320" i="1"/>
  <c r="D2321" i="1"/>
  <c r="E2321" i="1" s="1"/>
  <c r="D2322" i="1"/>
  <c r="D2323" i="1"/>
  <c r="D2324" i="1"/>
  <c r="D2325" i="1"/>
  <c r="D2326" i="1"/>
  <c r="E2326" i="1" s="1"/>
  <c r="D2327" i="1"/>
  <c r="E2327" i="1" s="1"/>
  <c r="D2328" i="1"/>
  <c r="D2329" i="1"/>
  <c r="K2329" i="1" s="1"/>
  <c r="D2330" i="1"/>
  <c r="D2331" i="1"/>
  <c r="D2332" i="1"/>
  <c r="D2333" i="1"/>
  <c r="D2334" i="1"/>
  <c r="E2334" i="1" s="1"/>
  <c r="D2335" i="1"/>
  <c r="E2335" i="1" s="1"/>
  <c r="D2336" i="1"/>
  <c r="K2336" i="1" s="1"/>
  <c r="D2337" i="1"/>
  <c r="E2337" i="1" s="1"/>
  <c r="D2338" i="1"/>
  <c r="D2339" i="1"/>
  <c r="D2340" i="1"/>
  <c r="D2341" i="1"/>
  <c r="D2342" i="1"/>
  <c r="D2343" i="1"/>
  <c r="E2343" i="1" s="1"/>
  <c r="D2344" i="1"/>
  <c r="D2345" i="1"/>
  <c r="E2345" i="1" s="1"/>
  <c r="D2346" i="1"/>
  <c r="D2347" i="1"/>
  <c r="D2348" i="1"/>
  <c r="E2348" i="1" s="1"/>
  <c r="D2349" i="1"/>
  <c r="D2350" i="1"/>
  <c r="E2350" i="1" s="1"/>
  <c r="D2351" i="1"/>
  <c r="E2351" i="1" s="1"/>
  <c r="D2352" i="1"/>
  <c r="D2353" i="1"/>
  <c r="E2353" i="1" s="1"/>
  <c r="D2354" i="1"/>
  <c r="D2355" i="1"/>
  <c r="D2356" i="1"/>
  <c r="D2357" i="1"/>
  <c r="D2358" i="1"/>
  <c r="E2358" i="1" s="1"/>
  <c r="D2359" i="1"/>
  <c r="E2359" i="1" s="1"/>
  <c r="D2360" i="1"/>
  <c r="D2361" i="1"/>
  <c r="E2361" i="1" s="1"/>
  <c r="D2362" i="1"/>
  <c r="D2363" i="1"/>
  <c r="D2364" i="1"/>
  <c r="D2365" i="1"/>
  <c r="D2366" i="1"/>
  <c r="E2366" i="1" s="1"/>
  <c r="D2367" i="1"/>
  <c r="E2367" i="1" s="1"/>
  <c r="D2368" i="1"/>
  <c r="D2369" i="1"/>
  <c r="D2370" i="1"/>
  <c r="E2370" i="1" s="1"/>
  <c r="D2371" i="1"/>
  <c r="D2372" i="1"/>
  <c r="D2373" i="1"/>
  <c r="D2374" i="1"/>
  <c r="D2375" i="1"/>
  <c r="E2375" i="1" s="1"/>
  <c r="D2376" i="1"/>
  <c r="D2377" i="1"/>
  <c r="E2377" i="1" s="1"/>
  <c r="D2378" i="1"/>
  <c r="D2379" i="1"/>
  <c r="D2380" i="1"/>
  <c r="D2381" i="1"/>
  <c r="D2382" i="1"/>
  <c r="E2382" i="1" s="1"/>
  <c r="D2383" i="1"/>
  <c r="D2384" i="1"/>
  <c r="D2385" i="1"/>
  <c r="E2385" i="1" s="1"/>
  <c r="D2386" i="1"/>
  <c r="D2387" i="1"/>
  <c r="D2388" i="1"/>
  <c r="D2389" i="1"/>
  <c r="D2390" i="1"/>
  <c r="E2390" i="1" s="1"/>
  <c r="D2391" i="1"/>
  <c r="E2391" i="1" s="1"/>
  <c r="D2392" i="1"/>
  <c r="D2393" i="1"/>
  <c r="E2393" i="1" s="1"/>
  <c r="D2394" i="1"/>
  <c r="E2394" i="1" s="1"/>
  <c r="D2395" i="1"/>
  <c r="D2396" i="1"/>
  <c r="D2397" i="1"/>
  <c r="D2398" i="1"/>
  <c r="E2398" i="1" s="1"/>
  <c r="D2399" i="1"/>
  <c r="E2399" i="1" s="1"/>
  <c r="D2400" i="1"/>
  <c r="D2401" i="1"/>
  <c r="E2401" i="1" s="1"/>
  <c r="D2402" i="1"/>
  <c r="D2403" i="1"/>
  <c r="D2404" i="1"/>
  <c r="D2405" i="1"/>
  <c r="D2406" i="1"/>
  <c r="D2407" i="1"/>
  <c r="E2407" i="1" s="1"/>
  <c r="D2408" i="1"/>
  <c r="D2409" i="1"/>
  <c r="E2409" i="1" s="1"/>
  <c r="D2410" i="1"/>
  <c r="D2411" i="1"/>
  <c r="D2412" i="1"/>
  <c r="D2413" i="1"/>
  <c r="D2414" i="1"/>
  <c r="E2414" i="1" s="1"/>
  <c r="D2415" i="1"/>
  <c r="E2415" i="1" s="1"/>
  <c r="D2416" i="1"/>
  <c r="E2416" i="1" s="1"/>
  <c r="D2417" i="1"/>
  <c r="E2417" i="1" s="1"/>
  <c r="D2418" i="1"/>
  <c r="D2419" i="1"/>
  <c r="D2420" i="1"/>
  <c r="D2421" i="1"/>
  <c r="D2422" i="1"/>
  <c r="E2422" i="1" s="1"/>
  <c r="D2423" i="1"/>
  <c r="E2423" i="1" s="1"/>
  <c r="D2424" i="1"/>
  <c r="D2425" i="1"/>
  <c r="D2426" i="1"/>
  <c r="D2427" i="1"/>
  <c r="D2428" i="1"/>
  <c r="D2429" i="1"/>
  <c r="D2430" i="1"/>
  <c r="E2430" i="1" s="1"/>
  <c r="D2431" i="1"/>
  <c r="E2431" i="1" s="1"/>
  <c r="D2432" i="1"/>
  <c r="D2433" i="1"/>
  <c r="E2433" i="1" s="1"/>
  <c r="D2434" i="1"/>
  <c r="D2435" i="1"/>
  <c r="D2436" i="1"/>
  <c r="D2437" i="1"/>
  <c r="D2438" i="1"/>
  <c r="D2439" i="1"/>
  <c r="E2439" i="1" s="1"/>
  <c r="D2440" i="1"/>
  <c r="D2441" i="1"/>
  <c r="D2442" i="1"/>
  <c r="D2443" i="1"/>
  <c r="D2444" i="1"/>
  <c r="D2445" i="1"/>
  <c r="D2446" i="1"/>
  <c r="E2446" i="1" s="1"/>
  <c r="D2447" i="1"/>
  <c r="E2447" i="1" s="1"/>
  <c r="D2448" i="1"/>
  <c r="D2449" i="1"/>
  <c r="E2449" i="1" s="1"/>
  <c r="D2450" i="1"/>
  <c r="E2450" i="1" s="1"/>
  <c r="D2451" i="1"/>
  <c r="D2452" i="1"/>
  <c r="D2453" i="1"/>
  <c r="D2454" i="1"/>
  <c r="E2454" i="1" s="1"/>
  <c r="D2455" i="1"/>
  <c r="E2455" i="1" s="1"/>
  <c r="D2456" i="1"/>
  <c r="D2457" i="1"/>
  <c r="E2457" i="1" s="1"/>
  <c r="D2458" i="1"/>
  <c r="D2459" i="1"/>
  <c r="D2460" i="1"/>
  <c r="D2461" i="1"/>
  <c r="D2462" i="1"/>
  <c r="E2462" i="1" s="1"/>
  <c r="D2463" i="1"/>
  <c r="E2463" i="1" s="1"/>
  <c r="D2464" i="1"/>
  <c r="D2465" i="1"/>
  <c r="E2465" i="1" s="1"/>
  <c r="D2466" i="1"/>
  <c r="E2466" i="1" s="1"/>
  <c r="D2467" i="1"/>
  <c r="D2468" i="1"/>
  <c r="D2469" i="1"/>
  <c r="D2470" i="1"/>
  <c r="D2471" i="1"/>
  <c r="E2471" i="1" s="1"/>
  <c r="D2472" i="1"/>
  <c r="D2473" i="1"/>
  <c r="E2473" i="1" s="1"/>
  <c r="D2474" i="1"/>
  <c r="D2475" i="1"/>
  <c r="D2476" i="1"/>
  <c r="D2477" i="1"/>
  <c r="D2478" i="1"/>
  <c r="E2478" i="1" s="1"/>
  <c r="D2479" i="1"/>
  <c r="E2479" i="1" s="1"/>
  <c r="D2480" i="1"/>
  <c r="D2481" i="1"/>
  <c r="D2482" i="1"/>
  <c r="D2483" i="1"/>
  <c r="D2484" i="1"/>
  <c r="D2485" i="1"/>
  <c r="D2486" i="1"/>
  <c r="E2486" i="1" s="1"/>
  <c r="D2487" i="1"/>
  <c r="E2487" i="1" s="1"/>
  <c r="D2488" i="1"/>
  <c r="D2489" i="1"/>
  <c r="D2490" i="1"/>
  <c r="D2491" i="1"/>
  <c r="D2492" i="1"/>
  <c r="D2493" i="1"/>
  <c r="D2494" i="1"/>
  <c r="E2494" i="1" s="1"/>
  <c r="D2495" i="1"/>
  <c r="E2495" i="1" s="1"/>
  <c r="D2496" i="1"/>
  <c r="K2496" i="1" s="1"/>
  <c r="D2497" i="1"/>
  <c r="E2497" i="1" s="1"/>
  <c r="D2498" i="1"/>
  <c r="E2498" i="1" s="1"/>
  <c r="D2499" i="1"/>
  <c r="D2500" i="1"/>
  <c r="D2501" i="1"/>
  <c r="D2502" i="1"/>
  <c r="D2503" i="1"/>
  <c r="E2503" i="1" s="1"/>
  <c r="D2504" i="1"/>
  <c r="D2505" i="1"/>
  <c r="E2505" i="1" s="1"/>
  <c r="D2506" i="1"/>
  <c r="E2506" i="1" s="1"/>
  <c r="D2507" i="1"/>
  <c r="D2508" i="1"/>
  <c r="E2508" i="1" s="1"/>
  <c r="D2509" i="1"/>
  <c r="D2510" i="1"/>
  <c r="E2510" i="1" s="1"/>
  <c r="D2511" i="1"/>
  <c r="E2511" i="1" s="1"/>
  <c r="D2512" i="1"/>
  <c r="K2512" i="1" s="1"/>
  <c r="D2513" i="1"/>
  <c r="E2513" i="1" s="1"/>
  <c r="D2514" i="1"/>
  <c r="E2514" i="1" s="1"/>
  <c r="D2515" i="1"/>
  <c r="D2516" i="1"/>
  <c r="D2517" i="1"/>
  <c r="D2518" i="1"/>
  <c r="E2518" i="1" s="1"/>
  <c r="D2519" i="1"/>
  <c r="E2519" i="1" s="1"/>
  <c r="D2520" i="1"/>
  <c r="D2521" i="1"/>
  <c r="E2521" i="1" s="1"/>
  <c r="D2522" i="1"/>
  <c r="D2523" i="1"/>
  <c r="D2524" i="1"/>
  <c r="D2525" i="1"/>
  <c r="D2526" i="1"/>
  <c r="E2526" i="1" s="1"/>
  <c r="D2527" i="1"/>
  <c r="E2527" i="1" s="1"/>
  <c r="D2528" i="1"/>
  <c r="D2529" i="1"/>
  <c r="E2529" i="1" s="1"/>
  <c r="D2530" i="1"/>
  <c r="E2530" i="1" s="1"/>
  <c r="D2531" i="1"/>
  <c r="D2532" i="1"/>
  <c r="D2533" i="1"/>
  <c r="D2534" i="1"/>
  <c r="D2535" i="1"/>
  <c r="E2535" i="1" s="1"/>
  <c r="D2536" i="1"/>
  <c r="D2537" i="1"/>
  <c r="D2538" i="1"/>
  <c r="D2539" i="1"/>
  <c r="D2540" i="1"/>
  <c r="D2541" i="1"/>
  <c r="D2542" i="1"/>
  <c r="E2542" i="1" s="1"/>
  <c r="D2543" i="1"/>
  <c r="E2543" i="1" s="1"/>
  <c r="D2544" i="1"/>
  <c r="D2545" i="1"/>
  <c r="E2545" i="1" s="1"/>
  <c r="D2546" i="1"/>
  <c r="E2546" i="1" s="1"/>
  <c r="D2547" i="1"/>
  <c r="D2548" i="1"/>
  <c r="D2549" i="1"/>
  <c r="D2550" i="1"/>
  <c r="E2550" i="1" s="1"/>
  <c r="D2551" i="1"/>
  <c r="E2551" i="1" s="1"/>
  <c r="D2552" i="1"/>
  <c r="D2553" i="1"/>
  <c r="E2553" i="1" s="1"/>
  <c r="D2554" i="1"/>
  <c r="D2555" i="1"/>
  <c r="D2556" i="1"/>
  <c r="D2557" i="1"/>
  <c r="D2558" i="1"/>
  <c r="E2558" i="1" s="1"/>
  <c r="D2559" i="1"/>
  <c r="E2559" i="1" s="1"/>
  <c r="D2560" i="1"/>
  <c r="D2561" i="1"/>
  <c r="E2561" i="1" s="1"/>
  <c r="D2562" i="1"/>
  <c r="E2562" i="1" s="1"/>
  <c r="D2563" i="1"/>
  <c r="D2564" i="1"/>
  <c r="D2565" i="1"/>
  <c r="D2566" i="1"/>
  <c r="D2567" i="1"/>
  <c r="E2567" i="1" s="1"/>
  <c r="D2568" i="1"/>
  <c r="D2569" i="1"/>
  <c r="E2569" i="1" s="1"/>
  <c r="D2570" i="1"/>
  <c r="E2570" i="1" s="1"/>
  <c r="D2571" i="1"/>
  <c r="D2572" i="1"/>
  <c r="D2573" i="1"/>
  <c r="D2574" i="1"/>
  <c r="E2574" i="1" s="1"/>
  <c r="D2575" i="1"/>
  <c r="E2575" i="1" s="1"/>
  <c r="D2576" i="1"/>
  <c r="K2576" i="1" s="1"/>
  <c r="D2577" i="1"/>
  <c r="E2577" i="1" s="1"/>
  <c r="D2578" i="1"/>
  <c r="D2579" i="1"/>
  <c r="D2580" i="1"/>
  <c r="D2581" i="1"/>
  <c r="D2582" i="1"/>
  <c r="E2582" i="1" s="1"/>
  <c r="D2583" i="1"/>
  <c r="E2583" i="1" s="1"/>
  <c r="D2584" i="1"/>
  <c r="E2584" i="1" s="1"/>
  <c r="D2585" i="1"/>
  <c r="K2585" i="1" s="1"/>
  <c r="D2586" i="1"/>
  <c r="D2587" i="1"/>
  <c r="D2588" i="1"/>
  <c r="D2589" i="1"/>
  <c r="D2590" i="1"/>
  <c r="E2590" i="1" s="1"/>
  <c r="D2591" i="1"/>
  <c r="E2591" i="1" s="1"/>
  <c r="D2592" i="1"/>
  <c r="E2592" i="1" s="1"/>
  <c r="D2593" i="1"/>
  <c r="D2594" i="1"/>
  <c r="E2594" i="1" s="1"/>
  <c r="D2595" i="1"/>
  <c r="D2596" i="1"/>
  <c r="D2597" i="1"/>
  <c r="D2598" i="1"/>
  <c r="D2599" i="1"/>
  <c r="E2599" i="1" s="1"/>
  <c r="D2600" i="1"/>
  <c r="D2601" i="1"/>
  <c r="E2601" i="1" s="1"/>
  <c r="D2602" i="1"/>
  <c r="D2603" i="1"/>
  <c r="D2604" i="1"/>
  <c r="D2605" i="1"/>
  <c r="D2606" i="1"/>
  <c r="E2606" i="1" s="1"/>
  <c r="D2607" i="1"/>
  <c r="E2607" i="1" s="1"/>
  <c r="D2608" i="1"/>
  <c r="D2609" i="1"/>
  <c r="E2609" i="1" s="1"/>
  <c r="D2610" i="1"/>
  <c r="E2610" i="1" s="1"/>
  <c r="D2611" i="1"/>
  <c r="D2612" i="1"/>
  <c r="D2613" i="1"/>
  <c r="D2614" i="1"/>
  <c r="E2614" i="1" s="1"/>
  <c r="D2615" i="1"/>
  <c r="E2615" i="1" s="1"/>
  <c r="D2616" i="1"/>
  <c r="D2617" i="1"/>
  <c r="E2617" i="1" s="1"/>
  <c r="D2618" i="1"/>
  <c r="D2619" i="1"/>
  <c r="D2620" i="1"/>
  <c r="D2621" i="1"/>
  <c r="D2622" i="1"/>
  <c r="E2622" i="1" s="1"/>
  <c r="D2623" i="1"/>
  <c r="E2623" i="1" s="1"/>
  <c r="D2624" i="1"/>
  <c r="D2625" i="1"/>
  <c r="E2625" i="1" s="1"/>
  <c r="D2626" i="1"/>
  <c r="E2626" i="1" s="1"/>
  <c r="D2627" i="1"/>
  <c r="D2628" i="1"/>
  <c r="D2629" i="1"/>
  <c r="D2630" i="1"/>
  <c r="D2631" i="1"/>
  <c r="E2631" i="1" s="1"/>
  <c r="D2632" i="1"/>
  <c r="D2633" i="1"/>
  <c r="E2633" i="1" s="1"/>
  <c r="D2634" i="1"/>
  <c r="E2634" i="1" s="1"/>
  <c r="D2635" i="1"/>
  <c r="D2636" i="1"/>
  <c r="D2637" i="1"/>
  <c r="D2638" i="1"/>
  <c r="E2638" i="1" s="1"/>
  <c r="D2639" i="1"/>
  <c r="E2639" i="1" s="1"/>
  <c r="D2640" i="1"/>
  <c r="D2641" i="1"/>
  <c r="E2641" i="1" s="1"/>
  <c r="D2642" i="1"/>
  <c r="D2643" i="1"/>
  <c r="D2644" i="1"/>
  <c r="D2645" i="1"/>
  <c r="D2646" i="1"/>
  <c r="E2646" i="1" s="1"/>
  <c r="D2647" i="1"/>
  <c r="E2647" i="1" s="1"/>
  <c r="D2648" i="1"/>
  <c r="E2648" i="1" s="1"/>
  <c r="D2649" i="1"/>
  <c r="D2650" i="1"/>
  <c r="D2651" i="1"/>
  <c r="D2652" i="1"/>
  <c r="D2653" i="1"/>
  <c r="D2654" i="1"/>
  <c r="E2654" i="1" s="1"/>
  <c r="D2655" i="1"/>
  <c r="E2655" i="1" s="1"/>
  <c r="D2656" i="1"/>
  <c r="D2657" i="1"/>
  <c r="E2657" i="1" s="1"/>
  <c r="D2658" i="1"/>
  <c r="E2658" i="1" s="1"/>
  <c r="D2659" i="1"/>
  <c r="D2660" i="1"/>
  <c r="D2661" i="1"/>
  <c r="D2662" i="1"/>
  <c r="E2662" i="1" s="1"/>
  <c r="D2663" i="1"/>
  <c r="E2663" i="1" s="1"/>
  <c r="D2664" i="1"/>
  <c r="D2665" i="1"/>
  <c r="E2665" i="1" s="1"/>
  <c r="D2666" i="1"/>
  <c r="D2667" i="1"/>
  <c r="D2668" i="1"/>
  <c r="D2669" i="1"/>
  <c r="D2670" i="1"/>
  <c r="E2670" i="1" s="1"/>
  <c r="D2671" i="1"/>
  <c r="E2671" i="1" s="1"/>
  <c r="D2672" i="1"/>
  <c r="K2672" i="1" s="1"/>
  <c r="D2673" i="1"/>
  <c r="E2673" i="1" s="1"/>
  <c r="D2674" i="1"/>
  <c r="E2674" i="1" s="1"/>
  <c r="D2675" i="1"/>
  <c r="D2676" i="1"/>
  <c r="D2677" i="1"/>
  <c r="D2678" i="1"/>
  <c r="E2678" i="1" s="1"/>
  <c r="D2679" i="1"/>
  <c r="E2679" i="1" s="1"/>
  <c r="D2680" i="1"/>
  <c r="D2681" i="1"/>
  <c r="K2681" i="1" s="1"/>
  <c r="D2682" i="1"/>
  <c r="D2683" i="1"/>
  <c r="D2684" i="1"/>
  <c r="D2685" i="1"/>
  <c r="D2686" i="1"/>
  <c r="E2686" i="1" s="1"/>
  <c r="D2687" i="1"/>
  <c r="E2687" i="1" s="1"/>
  <c r="D2688" i="1"/>
  <c r="E2688" i="1" s="1"/>
  <c r="D2689" i="1"/>
  <c r="E2689" i="1" s="1"/>
  <c r="D2690" i="1"/>
  <c r="E2690" i="1" s="1"/>
  <c r="D2691" i="1"/>
  <c r="D2692" i="1"/>
  <c r="D2693" i="1"/>
  <c r="D2694" i="1"/>
  <c r="E2694" i="1" s="1"/>
  <c r="D2695" i="1"/>
  <c r="E2695" i="1" s="1"/>
  <c r="D2696" i="1"/>
  <c r="D2697" i="1"/>
  <c r="E2697" i="1" s="1"/>
  <c r="D2698" i="1"/>
  <c r="D2699" i="1"/>
  <c r="D2700" i="1"/>
  <c r="D2701" i="1"/>
  <c r="D2702" i="1"/>
  <c r="E2702" i="1" s="1"/>
  <c r="D2703" i="1"/>
  <c r="E2703" i="1" s="1"/>
  <c r="D2704" i="1"/>
  <c r="D2705" i="1"/>
  <c r="D2706" i="1"/>
  <c r="D2707" i="1"/>
  <c r="D2708" i="1"/>
  <c r="D2709" i="1"/>
  <c r="D2710" i="1"/>
  <c r="E2710" i="1" s="1"/>
  <c r="D2711" i="1"/>
  <c r="E2711" i="1" s="1"/>
  <c r="D2712" i="1"/>
  <c r="D2713" i="1"/>
  <c r="E2713" i="1" s="1"/>
  <c r="D2714" i="1"/>
  <c r="D2715" i="1"/>
  <c r="D2716" i="1"/>
  <c r="D2717" i="1"/>
  <c r="D2718" i="1"/>
  <c r="E2718" i="1" s="1"/>
  <c r="D2719" i="1"/>
  <c r="E2719" i="1" s="1"/>
  <c r="D2720" i="1"/>
  <c r="D2721" i="1"/>
  <c r="E2721" i="1" s="1"/>
  <c r="D2722" i="1"/>
  <c r="E2722" i="1" s="1"/>
  <c r="D2723" i="1"/>
  <c r="D2724" i="1"/>
  <c r="D2725" i="1"/>
  <c r="D2726" i="1"/>
  <c r="E2726" i="1" s="1"/>
  <c r="D2727" i="1"/>
  <c r="E2727" i="1" s="1"/>
  <c r="D2728" i="1"/>
  <c r="D2729" i="1"/>
  <c r="E2729" i="1" s="1"/>
  <c r="D2730" i="1"/>
  <c r="D2731" i="1"/>
  <c r="D2732" i="1"/>
  <c r="D2733" i="1"/>
  <c r="D2734" i="1"/>
  <c r="E2734" i="1" s="1"/>
  <c r="D2735" i="1"/>
  <c r="E2735" i="1" s="1"/>
  <c r="D2736" i="1"/>
  <c r="D2737" i="1"/>
  <c r="E2737" i="1" s="1"/>
  <c r="D2738" i="1"/>
  <c r="E2738" i="1" s="1"/>
  <c r="D2739" i="1"/>
  <c r="D2740" i="1"/>
  <c r="D2741" i="1"/>
  <c r="D2742" i="1"/>
  <c r="E2742" i="1" s="1"/>
  <c r="D2743" i="1"/>
  <c r="E2743" i="1" s="1"/>
  <c r="D2744" i="1"/>
  <c r="D2745" i="1"/>
  <c r="D2746" i="1"/>
  <c r="D2747" i="1"/>
  <c r="D2748" i="1"/>
  <c r="E2748" i="1" s="1"/>
  <c r="D2749" i="1"/>
  <c r="D2750" i="1"/>
  <c r="E2750" i="1" s="1"/>
  <c r="D2751" i="1"/>
  <c r="E2751" i="1" s="1"/>
  <c r="D2752" i="1"/>
  <c r="D2753" i="1"/>
  <c r="E2753" i="1" s="1"/>
  <c r="D2754" i="1"/>
  <c r="E2754" i="1" s="1"/>
  <c r="D2755" i="1"/>
  <c r="D2756" i="1"/>
  <c r="D2757" i="1"/>
  <c r="D2758" i="1"/>
  <c r="E2758" i="1" s="1"/>
  <c r="D2759" i="1"/>
  <c r="E2759" i="1" s="1"/>
  <c r="D2760" i="1"/>
  <c r="E2760" i="1" s="1"/>
  <c r="D2761" i="1"/>
  <c r="E2761" i="1" s="1"/>
  <c r="D2762" i="1"/>
  <c r="E2762" i="1" s="1"/>
  <c r="D2763" i="1"/>
  <c r="D2764" i="1"/>
  <c r="D2765" i="1"/>
  <c r="D2766" i="1"/>
  <c r="E2766" i="1" s="1"/>
  <c r="D2767" i="1"/>
  <c r="E2767" i="1" s="1"/>
  <c r="D2768" i="1"/>
  <c r="K2768" i="1" s="1"/>
  <c r="D2769" i="1"/>
  <c r="E2769" i="1" s="1"/>
  <c r="D2770" i="1"/>
  <c r="D2771" i="1"/>
  <c r="D2772" i="1"/>
  <c r="D2773" i="1"/>
  <c r="D2774" i="1"/>
  <c r="E2774" i="1" s="1"/>
  <c r="D2775" i="1"/>
  <c r="E2775" i="1" s="1"/>
  <c r="D2776" i="1"/>
  <c r="D2777" i="1"/>
  <c r="E2777" i="1" s="1"/>
  <c r="D2778" i="1"/>
  <c r="E2778" i="1" s="1"/>
  <c r="D2779" i="1"/>
  <c r="D2780" i="1"/>
  <c r="D2781" i="1"/>
  <c r="D2782" i="1"/>
  <c r="E2782" i="1" s="1"/>
  <c r="D2783" i="1"/>
  <c r="E2783" i="1" s="1"/>
  <c r="D2784" i="1"/>
  <c r="E2784" i="1" s="1"/>
  <c r="D2785" i="1"/>
  <c r="E2785" i="1" s="1"/>
  <c r="D2786" i="1"/>
  <c r="D2787" i="1"/>
  <c r="D2788" i="1"/>
  <c r="D2789" i="1"/>
  <c r="D2790" i="1"/>
  <c r="E2790" i="1" s="1"/>
  <c r="D2791" i="1"/>
  <c r="E2791" i="1" s="1"/>
  <c r="D2792" i="1"/>
  <c r="D2793" i="1"/>
  <c r="E2793" i="1" s="1"/>
  <c r="D2794" i="1"/>
  <c r="E2794" i="1" s="1"/>
  <c r="D2795" i="1"/>
  <c r="D2796" i="1"/>
  <c r="D2797" i="1"/>
  <c r="D2798" i="1"/>
  <c r="E2798" i="1" s="1"/>
  <c r="D2799" i="1"/>
  <c r="E2799" i="1" s="1"/>
  <c r="D2800" i="1"/>
  <c r="D2801" i="1"/>
  <c r="E2801" i="1" s="1"/>
  <c r="D2802" i="1"/>
  <c r="D2803" i="1"/>
  <c r="D2804" i="1"/>
  <c r="D2805" i="1"/>
  <c r="D2806" i="1"/>
  <c r="E2806" i="1" s="1"/>
  <c r="D2807" i="1"/>
  <c r="E2807" i="1" s="1"/>
  <c r="D2808" i="1"/>
  <c r="D2809" i="1"/>
  <c r="E2809" i="1" s="1"/>
  <c r="D2810" i="1"/>
  <c r="E2810" i="1" s="1"/>
  <c r="D2811" i="1"/>
  <c r="D2812" i="1"/>
  <c r="D2813" i="1"/>
  <c r="D2814" i="1"/>
  <c r="E2814" i="1" s="1"/>
  <c r="D2815" i="1"/>
  <c r="E2815" i="1" s="1"/>
  <c r="D2816" i="1"/>
  <c r="D2817" i="1"/>
  <c r="E2817" i="1" s="1"/>
  <c r="D2818" i="1"/>
  <c r="D2819" i="1"/>
  <c r="D2820" i="1"/>
  <c r="D2821" i="1"/>
  <c r="D2822" i="1"/>
  <c r="E2822" i="1" s="1"/>
  <c r="D2823" i="1"/>
  <c r="E2823" i="1" s="1"/>
  <c r="D2824" i="1"/>
  <c r="D2825" i="1"/>
  <c r="E2825" i="1" s="1"/>
  <c r="D2826" i="1"/>
  <c r="E2826" i="1" s="1"/>
  <c r="D2827" i="1"/>
  <c r="D2828" i="1"/>
  <c r="D2829" i="1"/>
  <c r="D2830" i="1"/>
  <c r="E2830" i="1" s="1"/>
  <c r="D2831" i="1"/>
  <c r="E2831" i="1" s="1"/>
  <c r="D2832" i="1"/>
  <c r="K2832" i="1" s="1"/>
  <c r="D2833" i="1"/>
  <c r="E2833" i="1" s="1"/>
  <c r="D2834" i="1"/>
  <c r="D2835" i="1"/>
  <c r="D2836" i="1"/>
  <c r="D2837" i="1"/>
  <c r="D2838" i="1"/>
  <c r="E2838" i="1" s="1"/>
  <c r="D2839" i="1"/>
  <c r="E2839" i="1" s="1"/>
  <c r="D2840" i="1"/>
  <c r="D2841" i="1"/>
  <c r="E2841" i="1" s="1"/>
  <c r="D2842" i="1"/>
  <c r="E2842" i="1" s="1"/>
  <c r="D2843" i="1"/>
  <c r="D2844" i="1"/>
  <c r="D2845" i="1"/>
  <c r="D2846" i="1"/>
  <c r="E2846" i="1" s="1"/>
  <c r="D2847" i="1"/>
  <c r="E2847" i="1" s="1"/>
  <c r="D2848" i="1"/>
  <c r="D2849" i="1"/>
  <c r="E2849" i="1" s="1"/>
  <c r="D2850" i="1"/>
  <c r="D2851" i="1"/>
  <c r="D2852" i="1"/>
  <c r="D2853" i="1"/>
  <c r="D2854" i="1"/>
  <c r="E2854" i="1" s="1"/>
  <c r="D2855" i="1"/>
  <c r="E2855" i="1" s="1"/>
  <c r="D2856" i="1"/>
  <c r="D2857" i="1"/>
  <c r="E2857" i="1" s="1"/>
  <c r="D2858" i="1"/>
  <c r="E2858" i="1" s="1"/>
  <c r="D2859" i="1"/>
  <c r="D2860" i="1"/>
  <c r="D2861" i="1"/>
  <c r="D2862" i="1"/>
  <c r="E2862" i="1" s="1"/>
  <c r="D2863" i="1"/>
  <c r="D2864" i="1"/>
  <c r="D2865" i="1"/>
  <c r="E2865" i="1" s="1"/>
  <c r="D2866" i="1"/>
  <c r="D2867" i="1"/>
  <c r="D2868" i="1"/>
  <c r="D2869" i="1"/>
  <c r="D2870" i="1"/>
  <c r="E2870" i="1" s="1"/>
  <c r="D2871" i="1"/>
  <c r="E2871" i="1" s="1"/>
  <c r="D2872" i="1"/>
  <c r="D2873" i="1"/>
  <c r="D2874" i="1"/>
  <c r="E2874" i="1" s="1"/>
  <c r="D2875" i="1"/>
  <c r="D2876" i="1"/>
  <c r="D2877" i="1"/>
  <c r="D2878" i="1"/>
  <c r="E2878" i="1" s="1"/>
  <c r="D2879" i="1"/>
  <c r="D2880" i="1"/>
  <c r="D2881" i="1"/>
  <c r="E2881" i="1" s="1"/>
  <c r="D2882" i="1"/>
  <c r="E2882" i="1" s="1"/>
  <c r="D2883" i="1"/>
  <c r="D2884" i="1"/>
  <c r="E2884" i="1" s="1"/>
  <c r="D2885" i="1"/>
  <c r="D2886" i="1"/>
  <c r="E2886" i="1" s="1"/>
  <c r="D2887" i="1"/>
  <c r="E2887" i="1" s="1"/>
  <c r="D2888" i="1"/>
  <c r="E2888" i="1" s="1"/>
  <c r="D2889" i="1"/>
  <c r="E2889" i="1" s="1"/>
  <c r="D2890" i="1"/>
  <c r="E2890" i="1" s="1"/>
  <c r="D2891" i="1"/>
  <c r="D2892" i="1"/>
  <c r="D2893" i="1"/>
  <c r="D2894" i="1"/>
  <c r="E2894" i="1" s="1"/>
  <c r="D2895" i="1"/>
  <c r="D2896" i="1"/>
  <c r="D2897" i="1"/>
  <c r="E2897" i="1" s="1"/>
  <c r="D2898" i="1"/>
  <c r="D2899" i="1"/>
  <c r="D2900" i="1"/>
  <c r="D2901" i="1"/>
  <c r="D2902" i="1"/>
  <c r="E2902" i="1" s="1"/>
  <c r="D2903" i="1"/>
  <c r="E2903" i="1" s="1"/>
  <c r="D2904" i="1"/>
  <c r="D2905" i="1"/>
  <c r="E2905" i="1" s="1"/>
  <c r="D2906" i="1"/>
  <c r="E2906" i="1" s="1"/>
  <c r="D2907" i="1"/>
  <c r="D2908" i="1"/>
  <c r="D2909" i="1"/>
  <c r="D2910" i="1"/>
  <c r="E2910" i="1" s="1"/>
  <c r="D2911" i="1"/>
  <c r="D2912" i="1"/>
  <c r="K2912" i="1" s="1"/>
  <c r="D2913" i="1"/>
  <c r="E2913" i="1" s="1"/>
  <c r="D2914" i="1"/>
  <c r="E2914" i="1" s="1"/>
  <c r="D2915" i="1"/>
  <c r="D2916" i="1"/>
  <c r="D2917" i="1"/>
  <c r="D2918" i="1"/>
  <c r="E2918" i="1" s="1"/>
  <c r="D2919" i="1"/>
  <c r="E2919" i="1" s="1"/>
  <c r="D2920" i="1"/>
  <c r="E2920" i="1" s="1"/>
  <c r="D2921" i="1"/>
  <c r="E2921" i="1" s="1"/>
  <c r="D2922" i="1"/>
  <c r="E2922" i="1" s="1"/>
  <c r="D2923" i="1"/>
  <c r="D2924" i="1"/>
  <c r="D2925" i="1"/>
  <c r="D2926" i="1"/>
  <c r="E2926" i="1" s="1"/>
  <c r="D2927" i="1"/>
  <c r="E2927" i="1" s="1"/>
  <c r="D2928" i="1"/>
  <c r="K2928" i="1" s="1"/>
  <c r="D2929" i="1"/>
  <c r="E2929" i="1" s="1"/>
  <c r="D2930" i="1"/>
  <c r="D2931" i="1"/>
  <c r="D2932" i="1"/>
  <c r="D2933" i="1"/>
  <c r="D2934" i="1"/>
  <c r="E2934" i="1" s="1"/>
  <c r="D2935" i="1"/>
  <c r="D2936" i="1"/>
  <c r="E2936" i="1" s="1"/>
  <c r="D2937" i="1"/>
  <c r="K2937" i="1" s="1"/>
  <c r="D2938" i="1"/>
  <c r="E2938" i="1" s="1"/>
  <c r="D2939" i="1"/>
  <c r="D2940" i="1"/>
  <c r="D2941" i="1"/>
  <c r="D2942" i="1"/>
  <c r="E2942" i="1" s="1"/>
  <c r="D2943" i="1"/>
  <c r="E2943" i="1" s="1"/>
  <c r="D2944" i="1"/>
  <c r="D2945" i="1"/>
  <c r="E2945" i="1" s="1"/>
  <c r="D2946" i="1"/>
  <c r="D2947" i="1"/>
  <c r="D2948" i="1"/>
  <c r="D2949" i="1"/>
  <c r="D2950" i="1"/>
  <c r="E2950" i="1" s="1"/>
  <c r="D2951" i="1"/>
  <c r="D2952" i="1"/>
  <c r="D2953" i="1"/>
  <c r="E2953" i="1" s="1"/>
  <c r="D2954" i="1"/>
  <c r="D2955" i="1"/>
  <c r="D2956" i="1"/>
  <c r="D2957" i="1"/>
  <c r="D2958" i="1"/>
  <c r="E2958" i="1" s="1"/>
  <c r="D2959" i="1"/>
  <c r="E2959" i="1" s="1"/>
  <c r="D2960" i="1"/>
  <c r="E2960" i="1" s="1"/>
  <c r="D2961" i="1"/>
  <c r="E2961" i="1" s="1"/>
  <c r="D2962" i="1"/>
  <c r="D2963" i="1"/>
  <c r="D2964" i="1"/>
  <c r="D2965" i="1"/>
  <c r="D2966" i="1"/>
  <c r="E2966" i="1" s="1"/>
  <c r="D2967" i="1"/>
  <c r="D2968" i="1"/>
  <c r="D2969" i="1"/>
  <c r="E2969" i="1" s="1"/>
  <c r="D2970" i="1"/>
  <c r="D2971" i="1"/>
  <c r="D2972" i="1"/>
  <c r="D2973" i="1"/>
  <c r="D2974" i="1"/>
  <c r="E2974" i="1" s="1"/>
  <c r="D2975" i="1"/>
  <c r="E2975" i="1" s="1"/>
  <c r="D2976" i="1"/>
  <c r="D2977" i="1"/>
  <c r="E2977" i="1" s="1"/>
  <c r="D2978" i="1"/>
  <c r="E2978" i="1" s="1"/>
  <c r="D2979" i="1"/>
  <c r="D2980" i="1"/>
  <c r="D2981" i="1"/>
  <c r="D2982" i="1"/>
  <c r="E2982" i="1" s="1"/>
  <c r="D2983" i="1"/>
  <c r="D2984" i="1"/>
  <c r="E2984" i="1" s="1"/>
  <c r="D2985" i="1"/>
  <c r="E2985" i="1" s="1"/>
  <c r="D2986" i="1"/>
  <c r="D2987" i="1"/>
  <c r="D2988" i="1"/>
  <c r="D2989" i="1"/>
  <c r="D2990" i="1"/>
  <c r="E2990" i="1" s="1"/>
  <c r="D2991" i="1"/>
  <c r="E2991" i="1" s="1"/>
  <c r="D2992" i="1"/>
  <c r="D2993" i="1"/>
  <c r="E2993" i="1" s="1"/>
  <c r="D2994" i="1"/>
  <c r="E2994" i="1" s="1"/>
  <c r="D2995" i="1"/>
  <c r="D2996" i="1"/>
  <c r="D2997" i="1"/>
  <c r="D2998" i="1"/>
  <c r="E2998" i="1" s="1"/>
  <c r="D2999" i="1"/>
  <c r="D3000" i="1"/>
  <c r="D3001" i="1"/>
  <c r="K3001" i="1" s="1"/>
  <c r="D3002" i="1"/>
  <c r="E3002" i="1" s="1"/>
  <c r="D3003" i="1"/>
  <c r="D3004" i="1"/>
  <c r="E3004" i="1" s="1"/>
  <c r="D3005" i="1"/>
  <c r="D3006" i="1"/>
  <c r="E3006" i="1" s="1"/>
  <c r="D3007" i="1"/>
  <c r="D3008" i="1"/>
  <c r="K3008" i="1" s="1"/>
  <c r="D3009" i="1"/>
  <c r="E3009" i="1" s="1"/>
  <c r="D3010" i="1"/>
  <c r="D3011" i="1"/>
  <c r="D3012" i="1"/>
  <c r="D3013" i="1"/>
  <c r="D3014" i="1"/>
  <c r="E3014" i="1" s="1"/>
  <c r="D3015" i="1"/>
  <c r="D3016" i="1"/>
  <c r="D3017" i="1"/>
  <c r="E3017" i="1" s="1"/>
  <c r="D3018" i="1"/>
  <c r="D3019" i="1"/>
  <c r="D3020" i="1"/>
  <c r="D3021" i="1"/>
  <c r="D3022" i="1"/>
  <c r="E3022" i="1" s="1"/>
  <c r="D3023" i="1"/>
  <c r="D3024" i="1"/>
  <c r="K3024" i="1" s="1"/>
  <c r="D3025" i="1"/>
  <c r="E3025" i="1" s="1"/>
  <c r="D3026" i="1"/>
  <c r="E3026" i="1" s="1"/>
  <c r="D3027" i="1"/>
  <c r="D3028" i="1"/>
  <c r="D3029" i="1"/>
  <c r="D3030" i="1"/>
  <c r="E3030" i="1" s="1"/>
  <c r="D3031" i="1"/>
  <c r="E3031" i="1" s="1"/>
  <c r="D3032" i="1"/>
  <c r="D3033" i="1"/>
  <c r="E3033" i="1" s="1"/>
  <c r="D3034" i="1"/>
  <c r="D3035" i="1"/>
  <c r="D3036" i="1"/>
  <c r="D3037" i="1"/>
  <c r="D3038" i="1"/>
  <c r="E3038" i="1" s="1"/>
  <c r="D3039" i="1"/>
  <c r="D3040" i="1"/>
  <c r="D3041" i="1"/>
  <c r="E3041" i="1" s="1"/>
  <c r="D3042" i="1"/>
  <c r="D3043" i="1"/>
  <c r="D3044" i="1"/>
  <c r="D3045" i="1"/>
  <c r="D3046" i="1"/>
  <c r="E3046" i="1" s="1"/>
  <c r="D3047" i="1"/>
  <c r="E3047" i="1" s="1"/>
  <c r="D3048" i="1"/>
  <c r="D3049" i="1"/>
  <c r="E3049" i="1" s="1"/>
  <c r="D3050" i="1"/>
  <c r="E3050" i="1" s="1"/>
  <c r="D3051" i="1"/>
  <c r="D3052" i="1"/>
  <c r="D3053" i="1"/>
  <c r="D3054" i="1"/>
  <c r="E3054" i="1" s="1"/>
  <c r="D3055" i="1"/>
  <c r="D3056" i="1"/>
  <c r="D3057" i="1"/>
  <c r="E3057" i="1" s="1"/>
  <c r="D3058" i="1"/>
  <c r="E3058" i="1" s="1"/>
  <c r="D3059" i="1"/>
  <c r="D3060" i="1"/>
  <c r="D3061" i="1"/>
  <c r="D3062" i="1"/>
  <c r="E3062" i="1" s="1"/>
  <c r="D3063" i="1"/>
  <c r="E3063" i="1" s="1"/>
  <c r="D3064" i="1"/>
  <c r="E3064" i="1" s="1"/>
  <c r="D3065" i="1"/>
  <c r="E3065" i="1" s="1"/>
  <c r="D3066" i="1"/>
  <c r="E3066" i="1" s="1"/>
  <c r="D3067" i="1"/>
  <c r="D3068" i="1"/>
  <c r="D3069" i="1"/>
  <c r="D3070" i="1"/>
  <c r="E3070" i="1" s="1"/>
  <c r="D3071" i="1"/>
  <c r="D3072" i="1"/>
  <c r="E3072" i="1" s="1"/>
  <c r="D3073" i="1"/>
  <c r="E3073" i="1" s="1"/>
  <c r="D3074" i="1"/>
  <c r="D3075" i="1"/>
  <c r="D3076" i="1"/>
  <c r="D3077" i="1"/>
  <c r="D3078" i="1"/>
  <c r="E3078" i="1" s="1"/>
  <c r="D3079" i="1"/>
  <c r="E3079" i="1" s="1"/>
  <c r="D3080" i="1"/>
  <c r="D3081" i="1"/>
  <c r="E3081" i="1" s="1"/>
  <c r="D3082" i="1"/>
  <c r="E3082" i="1" s="1"/>
  <c r="D3083" i="1"/>
  <c r="D3084" i="1"/>
  <c r="D3085" i="1"/>
  <c r="D3086" i="1"/>
  <c r="E3086" i="1" s="1"/>
  <c r="D3087" i="1"/>
  <c r="D3088" i="1"/>
  <c r="E3088" i="1" s="1"/>
  <c r="D3089" i="1"/>
  <c r="E3089" i="1" s="1"/>
  <c r="D3090" i="1"/>
  <c r="D3091" i="1"/>
  <c r="D3092" i="1"/>
  <c r="D3093" i="1"/>
  <c r="D3094" i="1"/>
  <c r="E3094" i="1" s="1"/>
  <c r="D3095" i="1"/>
  <c r="E3095" i="1" s="1"/>
  <c r="D3096" i="1"/>
  <c r="E3096" i="1" s="1"/>
  <c r="D3097" i="1"/>
  <c r="E3097" i="1" s="1"/>
  <c r="D3098" i="1"/>
  <c r="D3099" i="1"/>
  <c r="D3100" i="1"/>
  <c r="D3101" i="1"/>
  <c r="D3102" i="1"/>
  <c r="E3102" i="1" s="1"/>
  <c r="D3103" i="1"/>
  <c r="E3103" i="1" s="1"/>
  <c r="D3104" i="1"/>
  <c r="D3105" i="1"/>
  <c r="E3105" i="1" s="1"/>
  <c r="D3106" i="1"/>
  <c r="E3106" i="1" s="1"/>
  <c r="D3107" i="1"/>
  <c r="D3108" i="1"/>
  <c r="D3109" i="1"/>
  <c r="D3110" i="1"/>
  <c r="E3110" i="1" s="1"/>
  <c r="D3111" i="1"/>
  <c r="D3112" i="1"/>
  <c r="E3112" i="1" s="1"/>
  <c r="D3113" i="1"/>
  <c r="D3114" i="1"/>
  <c r="D3115" i="1"/>
  <c r="D3116" i="1"/>
  <c r="D3117" i="1"/>
  <c r="D3118" i="1"/>
  <c r="E3118" i="1" s="1"/>
  <c r="D3119" i="1"/>
  <c r="E3119" i="1" s="1"/>
  <c r="D3120" i="1"/>
  <c r="D3121" i="1"/>
  <c r="E3121" i="1" s="1"/>
  <c r="D3122" i="1"/>
  <c r="E3122" i="1" s="1"/>
  <c r="D3123" i="1"/>
  <c r="D3124" i="1"/>
  <c r="D3125" i="1"/>
  <c r="D3126" i="1"/>
  <c r="E3126" i="1" s="1"/>
  <c r="D3127" i="1"/>
  <c r="D3128" i="1"/>
  <c r="K3128" i="1" s="1"/>
  <c r="D3129" i="1"/>
  <c r="E3129" i="1" s="1"/>
  <c r="D3130" i="1"/>
  <c r="E3130" i="1" s="1"/>
  <c r="D3131" i="1"/>
  <c r="D3132" i="1"/>
  <c r="D3133" i="1"/>
  <c r="D3134" i="1"/>
  <c r="E3134" i="1" s="1"/>
  <c r="D3135" i="1"/>
  <c r="E3135" i="1" s="1"/>
  <c r="D3136" i="1"/>
  <c r="E3136" i="1" s="1"/>
  <c r="D3137" i="1"/>
  <c r="L3137" i="1" s="1"/>
  <c r="D3138" i="1"/>
  <c r="E3138" i="1" s="1"/>
  <c r="D3139" i="1"/>
  <c r="D3140" i="1"/>
  <c r="D3141" i="1"/>
  <c r="D3142" i="1"/>
  <c r="E3142" i="1" s="1"/>
  <c r="D3143" i="1"/>
  <c r="D3144" i="1"/>
  <c r="D3145" i="1"/>
  <c r="L3145" i="1" s="1"/>
  <c r="D3146" i="1"/>
  <c r="E3146" i="1" s="1"/>
  <c r="D3147" i="1"/>
  <c r="D3148" i="1"/>
  <c r="D3149" i="1"/>
  <c r="D3150" i="1"/>
  <c r="E3150" i="1" s="1"/>
  <c r="D3151" i="1"/>
  <c r="E3151" i="1" s="1"/>
  <c r="D3152" i="1"/>
  <c r="D3153" i="1"/>
  <c r="E3153" i="1" s="1"/>
  <c r="D3154" i="1"/>
  <c r="D3155" i="1"/>
  <c r="D3156" i="1"/>
  <c r="D3157" i="1"/>
  <c r="D3158" i="1"/>
  <c r="E3158" i="1" s="1"/>
  <c r="D3159" i="1"/>
  <c r="D3160" i="1"/>
  <c r="E3160" i="1" s="1"/>
  <c r="D3161" i="1"/>
  <c r="E3161" i="1" s="1"/>
  <c r="D3162" i="1"/>
  <c r="E3162" i="1" s="1"/>
  <c r="D3163" i="1"/>
  <c r="D3164" i="1"/>
  <c r="D3165" i="1"/>
  <c r="D3166" i="1"/>
  <c r="E3166" i="1" s="1"/>
  <c r="D3167" i="1"/>
  <c r="E3167" i="1" s="1"/>
  <c r="D3168" i="1"/>
  <c r="D3169" i="1"/>
  <c r="E3169" i="1" s="1"/>
  <c r="D3170" i="1"/>
  <c r="D3171" i="1"/>
  <c r="D3172" i="1"/>
  <c r="D3173" i="1"/>
  <c r="D3174" i="1"/>
  <c r="E3174" i="1" s="1"/>
  <c r="D3175" i="1"/>
  <c r="D3176" i="1"/>
  <c r="D3177" i="1"/>
  <c r="E3177" i="1" s="1"/>
  <c r="D3178" i="1"/>
  <c r="E3178" i="1" s="1"/>
  <c r="D3179" i="1"/>
  <c r="D3180" i="1"/>
  <c r="D3181" i="1"/>
  <c r="D3182" i="1"/>
  <c r="E3182" i="1" s="1"/>
  <c r="D3183" i="1"/>
  <c r="E3183" i="1" s="1"/>
  <c r="D3184" i="1"/>
  <c r="D3185" i="1"/>
  <c r="E3185" i="1" s="1"/>
  <c r="D3186" i="1"/>
  <c r="K3186" i="1" s="1"/>
  <c r="D3187" i="1"/>
  <c r="D3188" i="1"/>
  <c r="D3189" i="1"/>
  <c r="D3190" i="1"/>
  <c r="E3190" i="1" s="1"/>
  <c r="D3191" i="1"/>
  <c r="D3192" i="1"/>
  <c r="K3192" i="1" s="1"/>
  <c r="D3193" i="1"/>
  <c r="E3193" i="1" s="1"/>
  <c r="D3194" i="1"/>
  <c r="D3195" i="1"/>
  <c r="D3196" i="1"/>
  <c r="D3197" i="1"/>
  <c r="D3198" i="1"/>
  <c r="E3198" i="1" s="1"/>
  <c r="D3199" i="1"/>
  <c r="E3199" i="1" s="1"/>
  <c r="D3200" i="1"/>
  <c r="E3200" i="1" s="1"/>
  <c r="D3201" i="1"/>
  <c r="L3201" i="1" s="1"/>
  <c r="D3202" i="1"/>
  <c r="D3203" i="1"/>
  <c r="D3204" i="1"/>
  <c r="D3205" i="1"/>
  <c r="D3206" i="1"/>
  <c r="E3206" i="1" s="1"/>
  <c r="D3207" i="1"/>
  <c r="E3207" i="1" s="1"/>
  <c r="D3208" i="1"/>
  <c r="D3209" i="1"/>
  <c r="E3209" i="1" s="1"/>
  <c r="D3210" i="1"/>
  <c r="E3210" i="1" s="1"/>
  <c r="D3211" i="1"/>
  <c r="D3212" i="1"/>
  <c r="D3213" i="1"/>
  <c r="D3214" i="1"/>
  <c r="E3214" i="1" s="1"/>
  <c r="D3215" i="1"/>
  <c r="D3216" i="1"/>
  <c r="D3217" i="1"/>
  <c r="E3217" i="1" s="1"/>
  <c r="D3218" i="1"/>
  <c r="D3219" i="1"/>
  <c r="D3220" i="1"/>
  <c r="D3221" i="1"/>
  <c r="D3222" i="1"/>
  <c r="E3222" i="1" s="1"/>
  <c r="D3223" i="1"/>
  <c r="E3223" i="1" s="1"/>
  <c r="D3224" i="1"/>
  <c r="D3225" i="1"/>
  <c r="E3225" i="1" s="1"/>
  <c r="D3226" i="1"/>
  <c r="D3227" i="1"/>
  <c r="D3228" i="1"/>
  <c r="D3229" i="1"/>
  <c r="D3230" i="1"/>
  <c r="E3230" i="1" s="1"/>
  <c r="D3231" i="1"/>
  <c r="D3232" i="1"/>
  <c r="D3233" i="1"/>
  <c r="E3233" i="1" s="1"/>
  <c r="D3234" i="1"/>
  <c r="E3234" i="1" s="1"/>
  <c r="D3235" i="1"/>
  <c r="D3236" i="1"/>
  <c r="D3237" i="1"/>
  <c r="D3238" i="1"/>
  <c r="E3238" i="1" s="1"/>
  <c r="D3239" i="1"/>
  <c r="E3239" i="1" s="1"/>
  <c r="D3240" i="1"/>
  <c r="D3241" i="1"/>
  <c r="E3241" i="1" s="1"/>
  <c r="D3242" i="1"/>
  <c r="E3242" i="1" s="1"/>
  <c r="D3243" i="1"/>
  <c r="D3244" i="1"/>
  <c r="D3245" i="1"/>
  <c r="D3246" i="1"/>
  <c r="E3246" i="1" s="1"/>
  <c r="D3247" i="1"/>
  <c r="D3248" i="1"/>
  <c r="D3249" i="1"/>
  <c r="E3249" i="1" s="1"/>
  <c r="D3250" i="1"/>
  <c r="E3250" i="1" s="1"/>
  <c r="D3251" i="1"/>
  <c r="D3252" i="1"/>
  <c r="D3253" i="1"/>
  <c r="D3254" i="1"/>
  <c r="E3254" i="1" s="1"/>
  <c r="D3255" i="1"/>
  <c r="E3255" i="1" s="1"/>
  <c r="D3256" i="1"/>
  <c r="K3256" i="1" s="1"/>
  <c r="D3257" i="1"/>
  <c r="E3257" i="1" s="1"/>
  <c r="D3258" i="1"/>
  <c r="D3259" i="1"/>
  <c r="D3260" i="1"/>
  <c r="E3260" i="1" s="1"/>
  <c r="D3261" i="1"/>
  <c r="D3262" i="1"/>
  <c r="E3262" i="1" s="1"/>
  <c r="D3263" i="1"/>
  <c r="D3264" i="1"/>
  <c r="E3264" i="1" s="1"/>
  <c r="D3265" i="1"/>
  <c r="E3265" i="1" s="1"/>
  <c r="D3266" i="1"/>
  <c r="E3266" i="1" s="1"/>
  <c r="D3267" i="1"/>
  <c r="D3268" i="1"/>
  <c r="D3269" i="1"/>
  <c r="D3270" i="1"/>
  <c r="E3270" i="1" s="1"/>
  <c r="D3271" i="1"/>
  <c r="E3271" i="1" s="1"/>
  <c r="D3272" i="1"/>
  <c r="E3272" i="1" s="1"/>
  <c r="D3273" i="1"/>
  <c r="E3273" i="1" s="1"/>
  <c r="D3274" i="1"/>
  <c r="D3275" i="1"/>
  <c r="D3276" i="1"/>
  <c r="D3277" i="1"/>
  <c r="D3278" i="1"/>
  <c r="E3278" i="1" s="1"/>
  <c r="D3279" i="1"/>
  <c r="D3280" i="1"/>
  <c r="D3281" i="1"/>
  <c r="E3281" i="1" s="1"/>
  <c r="D3282" i="1"/>
  <c r="E3282" i="1" s="1"/>
  <c r="D3283" i="1"/>
  <c r="D3284" i="1"/>
  <c r="D3285" i="1"/>
  <c r="D3286" i="1"/>
  <c r="E3286" i="1" s="1"/>
  <c r="D3287" i="1"/>
  <c r="K3287" i="1" s="1"/>
  <c r="D3288" i="1"/>
  <c r="D3289" i="1"/>
  <c r="E3289" i="1" s="1"/>
  <c r="D3290" i="1"/>
  <c r="K3290" i="1" s="1"/>
  <c r="D3291" i="1"/>
  <c r="D3292" i="1"/>
  <c r="D3293" i="1"/>
  <c r="D3294" i="1"/>
  <c r="E3294" i="1" s="1"/>
  <c r="D3295" i="1"/>
  <c r="D3296" i="1"/>
  <c r="E3296" i="1" s="1"/>
  <c r="D3297" i="1"/>
  <c r="E3297" i="1" s="1"/>
  <c r="D3298" i="1"/>
  <c r="E3298" i="1" s="1"/>
  <c r="D3299" i="1"/>
  <c r="D3300" i="1"/>
  <c r="D3301" i="1"/>
  <c r="D3302" i="1"/>
  <c r="E3302" i="1" s="1"/>
  <c r="D3303" i="1"/>
  <c r="D3304" i="1"/>
  <c r="D3305" i="1"/>
  <c r="E3305" i="1" s="1"/>
  <c r="D3306" i="1"/>
  <c r="K3306" i="1" s="1"/>
  <c r="D3307" i="1"/>
  <c r="D3308" i="1"/>
  <c r="D3309" i="1"/>
  <c r="D3310" i="1"/>
  <c r="E3310" i="1" s="1"/>
  <c r="D3311" i="1"/>
  <c r="K3311" i="1" s="1"/>
  <c r="D3312" i="1"/>
  <c r="D3313" i="1"/>
  <c r="E3313" i="1" s="1"/>
  <c r="D3314" i="1"/>
  <c r="E3314" i="1" s="1"/>
  <c r="D3315" i="1"/>
  <c r="D3316" i="1"/>
  <c r="D3317" i="1"/>
  <c r="D3318" i="1"/>
  <c r="E3318" i="1" s="1"/>
  <c r="D3319" i="1"/>
  <c r="D3320" i="1"/>
  <c r="D3321" i="1"/>
  <c r="D3322" i="1"/>
  <c r="E3322" i="1" s="1"/>
  <c r="D3323" i="1"/>
  <c r="D3324" i="1"/>
  <c r="D3325" i="1"/>
  <c r="D3326" i="1"/>
  <c r="E3326" i="1" s="1"/>
  <c r="D3327" i="1"/>
  <c r="D3328" i="1"/>
  <c r="D3329" i="1"/>
  <c r="E3329" i="1" s="1"/>
  <c r="D3330" i="1"/>
  <c r="D3331" i="1"/>
  <c r="D3332" i="1"/>
  <c r="D3333" i="1"/>
  <c r="J3333" i="1" s="1"/>
  <c r="D3334" i="1"/>
  <c r="E3334" i="1" s="1"/>
  <c r="D3335" i="1"/>
  <c r="D3336" i="1"/>
  <c r="D3337" i="1"/>
  <c r="E3337" i="1" s="1"/>
  <c r="D3338" i="1"/>
  <c r="E3338" i="1" s="1"/>
  <c r="D3339" i="1"/>
  <c r="D3340" i="1"/>
  <c r="D3341" i="1"/>
  <c r="D3342" i="1"/>
  <c r="E3342" i="1" s="1"/>
  <c r="D3343" i="1"/>
  <c r="E3343" i="1" s="1"/>
  <c r="D3344" i="1"/>
  <c r="D3345" i="1"/>
  <c r="E3345" i="1" s="1"/>
  <c r="D3346" i="1"/>
  <c r="D3347" i="1"/>
  <c r="D3348" i="1"/>
  <c r="D3349" i="1"/>
  <c r="D3350" i="1"/>
  <c r="E3350" i="1" s="1"/>
  <c r="D3351" i="1"/>
  <c r="L3351" i="1" s="1"/>
  <c r="D3352" i="1"/>
  <c r="D3353" i="1"/>
  <c r="E3353" i="1" s="1"/>
  <c r="D3354" i="1"/>
  <c r="D3355" i="1"/>
  <c r="D3356" i="1"/>
  <c r="D3357" i="1"/>
  <c r="D3358" i="1"/>
  <c r="E3358" i="1" s="1"/>
  <c r="D3359" i="1"/>
  <c r="E3359" i="1" s="1"/>
  <c r="D3360" i="1"/>
  <c r="D3361" i="1"/>
  <c r="E3361" i="1" s="1"/>
  <c r="D3362" i="1"/>
  <c r="D3363" i="1"/>
  <c r="D3364" i="1"/>
  <c r="D3365" i="1"/>
  <c r="D3366" i="1"/>
  <c r="E3366" i="1" s="1"/>
  <c r="D3367" i="1"/>
  <c r="D3368" i="1"/>
  <c r="D3369" i="1"/>
  <c r="E3369" i="1" s="1"/>
  <c r="D3370" i="1"/>
  <c r="D3371" i="1"/>
  <c r="D3372" i="1"/>
  <c r="D3373" i="1"/>
  <c r="D3374" i="1"/>
  <c r="E3374" i="1" s="1"/>
  <c r="D3375" i="1"/>
  <c r="K3375" i="1" s="1"/>
  <c r="D3376" i="1"/>
  <c r="D3377" i="1"/>
  <c r="E3377" i="1" s="1"/>
  <c r="D3378" i="1"/>
  <c r="E3378" i="1" s="1"/>
  <c r="D3379" i="1"/>
  <c r="D3380" i="1"/>
  <c r="D3381" i="1"/>
  <c r="D3382" i="1"/>
  <c r="E3382" i="1" s="1"/>
  <c r="D3383" i="1"/>
  <c r="D3384" i="1"/>
  <c r="D3385" i="1"/>
  <c r="E3385" i="1" s="1"/>
  <c r="D3386" i="1"/>
  <c r="E3386" i="1" s="1"/>
  <c r="D3387" i="1"/>
  <c r="D3388" i="1"/>
  <c r="D3389" i="1"/>
  <c r="D3390" i="1"/>
  <c r="E3390" i="1" s="1"/>
  <c r="D3391" i="1"/>
  <c r="D3392" i="1"/>
  <c r="D3393" i="1"/>
  <c r="E3393" i="1" s="1"/>
  <c r="D3394" i="1"/>
  <c r="K3394" i="1" s="1"/>
  <c r="D3395" i="1"/>
  <c r="D3396" i="1"/>
  <c r="E3396" i="1" s="1"/>
  <c r="D3397" i="1"/>
  <c r="D3398" i="1"/>
  <c r="E3398" i="1" s="1"/>
  <c r="D3399" i="1"/>
  <c r="D3400" i="1"/>
  <c r="E3400" i="1" s="1"/>
  <c r="D3401" i="1"/>
  <c r="E3401" i="1" s="1"/>
  <c r="D3402" i="1"/>
  <c r="D3403" i="1"/>
  <c r="D3404" i="1"/>
  <c r="D3405" i="1"/>
  <c r="D3406" i="1"/>
  <c r="E3406" i="1" s="1"/>
  <c r="D3407" i="1"/>
  <c r="E3407" i="1" s="1"/>
  <c r="D3408" i="1"/>
  <c r="D3409" i="1"/>
  <c r="E3409" i="1" s="1"/>
  <c r="D3410" i="1"/>
  <c r="E3410" i="1" s="1"/>
  <c r="D3411" i="1"/>
  <c r="D3412" i="1"/>
  <c r="D3413" i="1"/>
  <c r="D3414" i="1"/>
  <c r="E3414" i="1" s="1"/>
  <c r="D3415" i="1"/>
  <c r="D3416" i="1"/>
  <c r="D3417" i="1"/>
  <c r="E3417" i="1" s="1"/>
  <c r="D3418" i="1"/>
  <c r="E3418" i="1" s="1"/>
  <c r="D3419" i="1"/>
  <c r="D3420" i="1"/>
  <c r="D3421" i="1"/>
  <c r="D3422" i="1"/>
  <c r="E3422" i="1" s="1"/>
  <c r="D3423" i="1"/>
  <c r="E3423" i="1" s="1"/>
  <c r="D3424" i="1"/>
  <c r="D3425" i="1"/>
  <c r="E3425" i="1" s="1"/>
  <c r="D3426" i="1"/>
  <c r="D3427" i="1"/>
  <c r="D3428" i="1"/>
  <c r="D3429" i="1"/>
  <c r="D3430" i="1"/>
  <c r="E3430" i="1" s="1"/>
  <c r="D3431" i="1"/>
  <c r="D3432" i="1"/>
  <c r="E3432" i="1" s="1"/>
  <c r="D3433" i="1"/>
  <c r="E3433" i="1" s="1"/>
  <c r="D3434" i="1"/>
  <c r="E3434" i="1" s="1"/>
  <c r="D3435" i="1"/>
  <c r="D3436" i="1"/>
  <c r="D3437" i="1"/>
  <c r="D3438" i="1"/>
  <c r="E3438" i="1" s="1"/>
  <c r="D3439" i="1"/>
  <c r="K3439" i="1" s="1"/>
  <c r="D3440" i="1"/>
  <c r="D3441" i="1"/>
  <c r="E3441" i="1" s="1"/>
  <c r="D3442" i="1"/>
  <c r="D3443" i="1"/>
  <c r="D3444" i="1"/>
  <c r="D3445" i="1"/>
  <c r="D3446" i="1"/>
  <c r="E3446" i="1" s="1"/>
  <c r="D3447" i="1"/>
  <c r="D3448" i="1"/>
  <c r="E3448" i="1" s="1"/>
  <c r="D3449" i="1"/>
  <c r="E3449" i="1" s="1"/>
  <c r="D3450" i="1"/>
  <c r="E3450" i="1" s="1"/>
  <c r="D3451" i="1"/>
  <c r="D3452" i="1"/>
  <c r="D3453" i="1"/>
  <c r="D3454" i="1"/>
  <c r="J3454" i="1" s="1"/>
  <c r="D3455" i="1"/>
  <c r="L3455" i="1" s="1"/>
  <c r="D3456" i="1"/>
  <c r="D3457" i="1"/>
  <c r="E3457" i="1" s="1"/>
  <c r="D3458" i="1"/>
  <c r="K3458" i="1" s="1"/>
  <c r="D3459" i="1"/>
  <c r="D3460" i="1"/>
  <c r="D3461" i="1"/>
  <c r="D3462" i="1"/>
  <c r="E3462" i="1" s="1"/>
  <c r="D3463" i="1"/>
  <c r="E3463" i="1" s="1"/>
  <c r="D3464" i="1"/>
  <c r="D3465" i="1"/>
  <c r="E3465" i="1" s="1"/>
  <c r="D3466" i="1"/>
  <c r="D3467" i="1"/>
  <c r="D3468" i="1"/>
  <c r="D3469" i="1"/>
  <c r="D3470" i="1"/>
  <c r="E3470" i="1" s="1"/>
  <c r="D3471" i="1"/>
  <c r="D3472" i="1"/>
  <c r="E3472" i="1" s="1"/>
  <c r="D3473" i="1"/>
  <c r="E3473" i="1" s="1"/>
  <c r="D3474" i="1"/>
  <c r="E3474" i="1" s="1"/>
  <c r="D3475" i="1"/>
  <c r="D3476" i="1"/>
  <c r="D3477" i="1"/>
  <c r="D3478" i="1"/>
  <c r="E3478" i="1" s="1"/>
  <c r="D3479" i="1"/>
  <c r="E3479" i="1" s="1"/>
  <c r="D3480" i="1"/>
  <c r="D3481" i="1"/>
  <c r="E3481" i="1" s="1"/>
  <c r="D3482" i="1"/>
  <c r="L3482" i="1" s="1"/>
  <c r="D3483" i="1"/>
  <c r="D3484" i="1"/>
  <c r="D3485" i="1"/>
  <c r="D3486" i="1"/>
  <c r="E3486" i="1" s="1"/>
  <c r="D3487" i="1"/>
  <c r="D3488" i="1"/>
  <c r="D3489" i="1"/>
  <c r="E3489" i="1" s="1"/>
  <c r="D3490" i="1"/>
  <c r="D3491" i="1"/>
  <c r="D3492" i="1"/>
  <c r="D3493" i="1"/>
  <c r="D3494" i="1"/>
  <c r="E3494" i="1" s="1"/>
  <c r="D3495" i="1"/>
  <c r="E3495" i="1" s="1"/>
  <c r="D3496" i="1"/>
  <c r="E3496" i="1" s="1"/>
  <c r="D3497" i="1"/>
  <c r="E3497" i="1" s="1"/>
  <c r="D3498" i="1"/>
  <c r="L3498" i="1" s="1"/>
  <c r="D3499" i="1"/>
  <c r="D3500" i="1"/>
  <c r="D3501" i="1"/>
  <c r="D3502" i="1"/>
  <c r="E3502" i="1" s="1"/>
  <c r="D3503" i="1"/>
  <c r="D3504" i="1"/>
  <c r="D3505" i="1"/>
  <c r="E3505" i="1" s="1"/>
  <c r="D3506" i="1"/>
  <c r="D3507" i="1"/>
  <c r="D3508" i="1"/>
  <c r="D3509" i="1"/>
  <c r="D3510" i="1"/>
  <c r="E3510" i="1" s="1"/>
  <c r="D3511" i="1"/>
  <c r="E3511" i="1" s="1"/>
  <c r="D3512" i="1"/>
  <c r="D3513" i="1"/>
  <c r="E3513" i="1" s="1"/>
  <c r="D3514" i="1"/>
  <c r="E3514" i="1" s="1"/>
  <c r="D3515" i="1"/>
  <c r="D3516" i="1"/>
  <c r="E3516" i="1" s="1"/>
  <c r="D3517" i="1"/>
  <c r="D3518" i="1"/>
  <c r="E3518" i="1" s="1"/>
  <c r="D3519" i="1"/>
  <c r="D3520" i="1"/>
  <c r="D3521" i="1"/>
  <c r="E3521" i="1" s="1"/>
  <c r="D3522" i="1"/>
  <c r="K3522" i="1" s="1"/>
  <c r="D3523" i="1"/>
  <c r="D3524" i="1"/>
  <c r="D3525" i="1"/>
  <c r="D3526" i="1"/>
  <c r="E3526" i="1" s="1"/>
  <c r="D3527" i="1"/>
  <c r="E3527" i="1" s="1"/>
  <c r="D3528" i="1"/>
  <c r="D3529" i="1"/>
  <c r="E3529" i="1" s="1"/>
  <c r="D3530" i="1"/>
  <c r="E3530" i="1" s="1"/>
  <c r="D3531" i="1"/>
  <c r="D3532" i="1"/>
  <c r="D3533" i="1"/>
  <c r="D3534" i="1"/>
  <c r="E3534" i="1" s="1"/>
  <c r="D3535" i="1"/>
  <c r="D3536" i="1"/>
  <c r="D3537" i="1"/>
  <c r="E3537" i="1" s="1"/>
  <c r="D3538" i="1"/>
  <c r="D3539" i="1"/>
  <c r="D3540" i="1"/>
  <c r="D3541" i="1"/>
  <c r="D3542" i="1"/>
  <c r="E3542" i="1" s="1"/>
  <c r="D3543" i="1"/>
  <c r="K3543" i="1" s="1"/>
  <c r="D3544" i="1"/>
  <c r="D3545" i="1"/>
  <c r="E3545" i="1" s="1"/>
  <c r="D3546" i="1"/>
  <c r="E3546" i="1" s="1"/>
  <c r="D3547" i="1"/>
  <c r="D3548" i="1"/>
  <c r="D3549" i="1"/>
  <c r="D3550" i="1"/>
  <c r="E3550" i="1" s="1"/>
  <c r="D3551" i="1"/>
  <c r="D3552" i="1"/>
  <c r="D3553" i="1"/>
  <c r="E3553" i="1" s="1"/>
  <c r="D3554" i="1"/>
  <c r="E3554" i="1" s="1"/>
  <c r="D3555" i="1"/>
  <c r="D3556" i="1"/>
  <c r="D3557" i="1"/>
  <c r="D3558" i="1"/>
  <c r="E3558" i="1" s="1"/>
  <c r="D3559" i="1"/>
  <c r="E3559" i="1" s="1"/>
  <c r="D3560" i="1"/>
  <c r="D3561" i="1"/>
  <c r="E3561" i="1" s="1"/>
  <c r="D3562" i="1"/>
  <c r="D3563" i="1"/>
  <c r="D3564" i="1"/>
  <c r="D3565" i="1"/>
  <c r="D3566" i="1"/>
  <c r="D3567" i="1"/>
  <c r="D3568" i="1"/>
  <c r="D3569" i="1"/>
  <c r="E3569" i="1" s="1"/>
  <c r="D3570" i="1"/>
  <c r="D3571" i="1"/>
  <c r="D3572" i="1"/>
  <c r="D3573" i="1"/>
  <c r="D3574" i="1"/>
  <c r="E3574" i="1" s="1"/>
  <c r="D3575" i="1"/>
  <c r="E3575" i="1" s="1"/>
  <c r="D3576" i="1"/>
  <c r="E3576" i="1" s="1"/>
  <c r="D3577" i="1"/>
  <c r="E3577" i="1" s="1"/>
  <c r="D3578" i="1"/>
  <c r="D3579" i="1"/>
  <c r="D3580" i="1"/>
  <c r="D3581" i="1"/>
  <c r="D3582" i="1"/>
  <c r="E3582" i="1" s="1"/>
  <c r="D3583" i="1"/>
  <c r="K3583" i="1" s="1"/>
  <c r="D3584" i="1"/>
  <c r="E3584" i="1" s="1"/>
  <c r="D3585" i="1"/>
  <c r="E3585" i="1" s="1"/>
  <c r="D3586" i="1"/>
  <c r="K3586" i="1" s="1"/>
  <c r="D3587" i="1"/>
  <c r="D3588" i="1"/>
  <c r="D3589" i="1"/>
  <c r="D3590" i="1"/>
  <c r="E3590" i="1" s="1"/>
  <c r="D3591" i="1"/>
  <c r="E3591" i="1" s="1"/>
  <c r="D3592" i="1"/>
  <c r="D3593" i="1"/>
  <c r="E3593" i="1" s="1"/>
  <c r="D3594" i="1"/>
  <c r="E3594" i="1" s="1"/>
  <c r="D3595" i="1"/>
  <c r="D3596" i="1"/>
  <c r="D3597" i="1"/>
  <c r="D3598" i="1"/>
  <c r="E3598" i="1" s="1"/>
  <c r="D3599" i="1"/>
  <c r="E3599" i="1" s="1"/>
  <c r="D3600" i="1"/>
  <c r="E3600" i="1" s="1"/>
  <c r="D3601" i="1"/>
  <c r="E3601" i="1" s="1"/>
  <c r="D3602" i="1"/>
  <c r="D3603" i="1"/>
  <c r="D3604" i="1"/>
  <c r="D3605" i="1"/>
  <c r="D3606" i="1"/>
  <c r="E3606" i="1" s="1"/>
  <c r="D3607" i="1"/>
  <c r="L3607" i="1" s="1"/>
  <c r="D3608" i="1"/>
  <c r="E3608" i="1" s="1"/>
  <c r="D3609" i="1"/>
  <c r="E3609" i="1" s="1"/>
  <c r="D3610" i="1"/>
  <c r="E3610" i="1" s="1"/>
  <c r="D3611" i="1"/>
  <c r="D3612" i="1"/>
  <c r="D3613" i="1"/>
  <c r="D3614" i="1"/>
  <c r="E3614" i="1" s="1"/>
  <c r="D3615" i="1"/>
  <c r="E3615" i="1" s="1"/>
  <c r="D3616" i="1"/>
  <c r="D3617" i="1"/>
  <c r="E3617" i="1" s="1"/>
  <c r="D3618" i="1"/>
  <c r="D3619" i="1"/>
  <c r="D3620" i="1"/>
  <c r="D3621" i="1"/>
  <c r="D3622" i="1"/>
  <c r="E3622" i="1" s="1"/>
  <c r="D3623" i="1"/>
  <c r="D3624" i="1"/>
  <c r="E3624" i="1" s="1"/>
  <c r="D3625" i="1"/>
  <c r="E3625" i="1" s="1"/>
  <c r="D3626" i="1"/>
  <c r="K3626" i="1" s="1"/>
  <c r="D3627" i="1"/>
  <c r="D3628" i="1"/>
  <c r="D3629" i="1"/>
  <c r="D3630" i="1"/>
  <c r="E3630" i="1" s="1"/>
  <c r="D3631" i="1"/>
  <c r="L3631" i="1" s="1"/>
  <c r="D3632" i="1"/>
  <c r="D3633" i="1"/>
  <c r="E3633" i="1" s="1"/>
  <c r="D3634" i="1"/>
  <c r="D3635" i="1"/>
  <c r="D3636" i="1"/>
  <c r="D3637" i="1"/>
  <c r="D3638" i="1"/>
  <c r="E3638" i="1" s="1"/>
  <c r="D3639" i="1"/>
  <c r="E3639" i="1" s="1"/>
  <c r="D3640" i="1"/>
  <c r="D3641" i="1"/>
  <c r="E3641" i="1" s="1"/>
  <c r="D3642" i="1"/>
  <c r="E3642" i="1" s="1"/>
  <c r="D3643" i="1"/>
  <c r="D3644" i="1"/>
  <c r="D3645" i="1"/>
  <c r="D3646" i="1"/>
  <c r="E3646" i="1" s="1"/>
  <c r="D3647" i="1"/>
  <c r="D3648" i="1"/>
  <c r="E3648" i="1" s="1"/>
  <c r="D3649" i="1"/>
  <c r="E3649" i="1" s="1"/>
  <c r="D3650" i="1"/>
  <c r="D3651" i="1"/>
  <c r="D3652" i="1"/>
  <c r="D3653" i="1"/>
  <c r="D3654" i="1"/>
  <c r="E3654" i="1" s="1"/>
  <c r="D3655" i="1"/>
  <c r="E3655" i="1" s="1"/>
  <c r="D3656" i="1"/>
  <c r="D3657" i="1"/>
  <c r="E3657" i="1" s="1"/>
  <c r="D3658" i="1"/>
  <c r="E3658" i="1" s="1"/>
  <c r="D3659" i="1"/>
  <c r="D3660" i="1"/>
  <c r="D3661" i="1"/>
  <c r="D3662" i="1"/>
  <c r="E3662" i="1" s="1"/>
  <c r="D3663" i="1"/>
  <c r="E3663" i="1" s="1"/>
  <c r="D3664" i="1"/>
  <c r="D3665" i="1"/>
  <c r="E3665" i="1" s="1"/>
  <c r="D3666" i="1"/>
  <c r="D3667" i="1"/>
  <c r="D3668" i="1"/>
  <c r="D3669" i="1"/>
  <c r="D3670" i="1"/>
  <c r="E3670" i="1" s="1"/>
  <c r="D3671" i="1"/>
  <c r="K3671" i="1" s="1"/>
  <c r="D3672" i="1"/>
  <c r="E3672" i="1" s="1"/>
  <c r="D3673" i="1"/>
  <c r="E3673" i="1" s="1"/>
  <c r="D3674" i="1"/>
  <c r="K3674" i="1" s="1"/>
  <c r="D3675" i="1"/>
  <c r="D3676" i="1"/>
  <c r="D3677" i="1"/>
  <c r="D3678" i="1"/>
  <c r="E3678" i="1" s="1"/>
  <c r="D3679" i="1"/>
  <c r="D3680" i="1"/>
  <c r="D3681" i="1"/>
  <c r="E3681" i="1" s="1"/>
  <c r="D3682" i="1"/>
  <c r="D3683" i="1"/>
  <c r="D3684" i="1"/>
  <c r="D3685" i="1"/>
  <c r="D3686" i="1"/>
  <c r="E3686" i="1" s="1"/>
  <c r="D3687" i="1"/>
  <c r="E3687" i="1" s="1"/>
  <c r="D3688" i="1"/>
  <c r="D3689" i="1"/>
  <c r="E3689" i="1" s="1"/>
  <c r="D3690" i="1"/>
  <c r="K3690" i="1" s="1"/>
  <c r="D3691" i="1"/>
  <c r="D3692" i="1"/>
  <c r="D3693" i="1"/>
  <c r="D3694" i="1"/>
  <c r="D3695" i="1"/>
  <c r="D3696" i="1"/>
  <c r="D3697" i="1"/>
  <c r="E3697" i="1" s="1"/>
  <c r="D3698" i="1"/>
  <c r="E3698" i="1" s="1"/>
  <c r="D3699" i="1"/>
  <c r="D3700" i="1"/>
  <c r="D3701" i="1"/>
  <c r="D3702" i="1"/>
  <c r="E3702" i="1" s="1"/>
  <c r="D3703" i="1"/>
  <c r="E3703" i="1" s="1"/>
  <c r="D3704" i="1"/>
  <c r="D3705" i="1"/>
  <c r="E3705" i="1" s="1"/>
  <c r="D3706" i="1"/>
  <c r="D3707" i="1"/>
  <c r="D3708" i="1"/>
  <c r="D3709" i="1"/>
  <c r="D3710" i="1"/>
  <c r="E3710" i="1" s="1"/>
  <c r="D3711" i="1"/>
  <c r="L3711" i="1" s="1"/>
  <c r="D3712" i="1"/>
  <c r="E3712" i="1" s="1"/>
  <c r="D3713" i="1"/>
  <c r="E3713" i="1" s="1"/>
  <c r="D3714" i="1"/>
  <c r="E3714" i="1" s="1"/>
  <c r="D3715" i="1"/>
  <c r="D3716" i="1"/>
  <c r="D3717" i="1"/>
  <c r="D3718" i="1"/>
  <c r="E3718" i="1" s="1"/>
  <c r="D3719" i="1"/>
  <c r="E3719" i="1" s="1"/>
  <c r="D3720" i="1"/>
  <c r="D3721" i="1"/>
  <c r="E3721" i="1" s="1"/>
  <c r="D3722" i="1"/>
  <c r="D3723" i="1"/>
  <c r="D3724" i="1"/>
  <c r="D3725" i="1"/>
  <c r="D3726" i="1"/>
  <c r="E3726" i="1" s="1"/>
  <c r="D3727" i="1"/>
  <c r="D3728" i="1"/>
  <c r="D3729" i="1"/>
  <c r="E3729" i="1" s="1"/>
  <c r="D3730" i="1"/>
  <c r="D3731" i="1"/>
  <c r="D3732" i="1"/>
  <c r="D3733" i="1"/>
  <c r="D3734" i="1"/>
  <c r="E3734" i="1" s="1"/>
  <c r="D3735" i="1"/>
  <c r="K3735" i="1" s="1"/>
  <c r="D3736" i="1"/>
  <c r="D3737" i="1"/>
  <c r="E3737" i="1" s="1"/>
  <c r="D3738" i="1"/>
  <c r="K3738" i="1" s="1"/>
  <c r="D3739" i="1"/>
  <c r="D3740" i="1"/>
  <c r="D3741" i="1"/>
  <c r="D3742" i="1"/>
  <c r="E3742" i="1" s="1"/>
  <c r="D3743" i="1"/>
  <c r="D3744" i="1"/>
  <c r="D3745" i="1"/>
  <c r="E3745" i="1" s="1"/>
  <c r="D3746" i="1"/>
  <c r="E3746" i="1" s="1"/>
  <c r="D3747" i="1"/>
  <c r="D3748" i="1"/>
  <c r="D3749" i="1"/>
  <c r="D3750" i="1"/>
  <c r="E3750" i="1" s="1"/>
  <c r="D3751" i="1"/>
  <c r="E3751" i="1" s="1"/>
  <c r="D3752" i="1"/>
  <c r="D3753" i="1"/>
  <c r="E3753" i="1" s="1"/>
  <c r="D3754" i="1"/>
  <c r="K3754" i="1" s="1"/>
  <c r="D3755" i="1"/>
  <c r="D3756" i="1"/>
  <c r="D3757" i="1"/>
  <c r="D3758" i="1"/>
  <c r="D3759" i="1"/>
  <c r="L3759" i="1" s="1"/>
  <c r="D3760" i="1"/>
  <c r="D3761" i="1"/>
  <c r="E3761" i="1" s="1"/>
  <c r="D3762" i="1"/>
  <c r="E3762" i="1" s="1"/>
  <c r="D3763" i="1"/>
  <c r="D3764" i="1"/>
  <c r="D3765" i="1"/>
  <c r="D3766" i="1"/>
  <c r="E3766" i="1" s="1"/>
  <c r="D3767" i="1"/>
  <c r="E3767" i="1" s="1"/>
  <c r="D3768" i="1"/>
  <c r="D3769" i="1"/>
  <c r="E3769" i="1" s="1"/>
  <c r="D3770" i="1"/>
  <c r="D3771" i="1"/>
  <c r="D3772" i="1"/>
  <c r="E3772" i="1" s="1"/>
  <c r="D3773" i="1"/>
  <c r="D3774" i="1"/>
  <c r="D3775" i="1"/>
  <c r="L3775" i="1" s="1"/>
  <c r="D3776" i="1"/>
  <c r="E3776" i="1" s="1"/>
  <c r="D3777" i="1"/>
  <c r="E3777" i="1" s="1"/>
  <c r="D3778" i="1"/>
  <c r="E3778" i="1" s="1"/>
  <c r="D3779" i="1"/>
  <c r="D3780" i="1"/>
  <c r="D3781" i="1"/>
  <c r="D3782" i="1"/>
  <c r="D3783" i="1"/>
  <c r="E3783" i="1" s="1"/>
  <c r="D3784" i="1"/>
  <c r="D3785" i="1"/>
  <c r="E3785" i="1" s="1"/>
  <c r="D3786" i="1"/>
  <c r="E3786" i="1" s="1"/>
  <c r="D3787" i="1"/>
  <c r="D3788" i="1"/>
  <c r="D3789" i="1"/>
  <c r="D3790" i="1"/>
  <c r="E3790" i="1" s="1"/>
  <c r="D3791" i="1"/>
  <c r="D3792" i="1"/>
  <c r="D3793" i="1"/>
  <c r="E3793" i="1" s="1"/>
  <c r="D3794" i="1"/>
  <c r="D3795" i="1"/>
  <c r="D3796" i="1"/>
  <c r="D3797" i="1"/>
  <c r="D3798" i="1"/>
  <c r="E3798" i="1" s="1"/>
  <c r="D3799" i="1"/>
  <c r="K3799" i="1" s="1"/>
  <c r="D3800" i="1"/>
  <c r="D3801" i="1"/>
  <c r="E3801" i="1" s="1"/>
  <c r="D3802" i="1"/>
  <c r="L3802" i="1" s="1"/>
  <c r="D3803" i="1"/>
  <c r="D3804" i="1"/>
  <c r="D3805" i="1"/>
  <c r="D3806" i="1"/>
  <c r="E3806" i="1" s="1"/>
  <c r="D3807" i="1"/>
  <c r="D3808" i="1"/>
  <c r="D3809" i="1"/>
  <c r="E3809" i="1" s="1"/>
  <c r="D3810" i="1"/>
  <c r="D3811" i="1"/>
  <c r="D3812" i="1"/>
  <c r="E3812" i="1" s="1"/>
  <c r="D3813" i="1"/>
  <c r="D3814" i="1"/>
  <c r="E3814" i="1" s="1"/>
  <c r="D3815" i="1"/>
  <c r="D3816" i="1"/>
  <c r="D3817" i="1"/>
  <c r="E3817" i="1" s="1"/>
  <c r="D3818" i="1"/>
  <c r="K3818" i="1" s="1"/>
  <c r="D3819" i="1"/>
  <c r="D3820" i="1"/>
  <c r="D3821" i="1"/>
  <c r="D3822" i="1"/>
  <c r="D3823" i="1"/>
  <c r="L3823" i="1" s="1"/>
  <c r="D3824" i="1"/>
  <c r="D3825" i="1"/>
  <c r="E3825" i="1" s="1"/>
  <c r="D3826" i="1"/>
  <c r="E3826" i="1" s="1"/>
  <c r="D3827" i="1"/>
  <c r="D3828" i="1"/>
  <c r="D3829" i="1"/>
  <c r="D3830" i="1"/>
  <c r="E3830" i="1" s="1"/>
  <c r="D3831" i="1"/>
  <c r="E3831" i="1" s="1"/>
  <c r="D3832" i="1"/>
  <c r="D3833" i="1"/>
  <c r="E3833" i="1" s="1"/>
  <c r="D3834" i="1"/>
  <c r="D3835" i="1"/>
  <c r="D3836" i="1"/>
  <c r="D3837" i="1"/>
  <c r="D3838" i="1"/>
  <c r="D3839" i="1"/>
  <c r="L3839" i="1" s="1"/>
  <c r="D3840" i="1"/>
  <c r="D3841" i="1"/>
  <c r="E3841" i="1" s="1"/>
  <c r="D3842" i="1"/>
  <c r="E3842" i="1" s="1"/>
  <c r="D3843" i="1"/>
  <c r="D3844" i="1"/>
  <c r="D3845" i="1"/>
  <c r="J3845" i="1" s="1"/>
  <c r="D3846" i="1"/>
  <c r="E3846" i="1" s="1"/>
  <c r="D3847" i="1"/>
  <c r="E3847" i="1" s="1"/>
  <c r="D3848" i="1"/>
  <c r="D3849" i="1"/>
  <c r="E3849" i="1" s="1"/>
  <c r="D3850" i="1"/>
  <c r="D3851" i="1"/>
  <c r="D3852" i="1"/>
  <c r="D3853" i="1"/>
  <c r="D3854" i="1"/>
  <c r="D3855" i="1"/>
  <c r="E3855" i="1" s="1"/>
  <c r="D3856" i="1"/>
  <c r="D3857" i="1"/>
  <c r="E3857" i="1" s="1"/>
  <c r="D3858" i="1"/>
  <c r="E3858" i="1" s="1"/>
  <c r="D3859" i="1"/>
  <c r="D3860" i="1"/>
  <c r="D3861" i="1"/>
  <c r="D3862" i="1"/>
  <c r="E3862" i="1" s="1"/>
  <c r="D3863" i="1"/>
  <c r="K3863" i="1" s="1"/>
  <c r="D3864" i="1"/>
  <c r="D3865" i="1"/>
  <c r="E3865" i="1" s="1"/>
  <c r="D3866" i="1"/>
  <c r="L3866" i="1" s="1"/>
  <c r="D3867" i="1"/>
  <c r="D3868" i="1"/>
  <c r="D3869" i="1"/>
  <c r="D3870" i="1"/>
  <c r="D3871" i="1"/>
  <c r="D3872" i="1"/>
  <c r="D3873" i="1"/>
  <c r="E3873" i="1" s="1"/>
  <c r="D3874" i="1"/>
  <c r="D3875" i="1"/>
  <c r="D3876" i="1"/>
  <c r="D3877" i="1"/>
  <c r="D3878" i="1"/>
  <c r="E3878" i="1" s="1"/>
  <c r="D3879" i="1"/>
  <c r="E3879" i="1" s="1"/>
  <c r="D3880" i="1"/>
  <c r="D3881" i="1"/>
  <c r="E3881" i="1" s="1"/>
  <c r="D3882" i="1"/>
  <c r="L3882" i="1" s="1"/>
  <c r="D3883" i="1"/>
  <c r="D3884" i="1"/>
  <c r="D3885" i="1"/>
  <c r="D3886" i="1"/>
  <c r="D3887" i="1"/>
  <c r="K3887" i="1" s="1"/>
  <c r="D3888" i="1"/>
  <c r="D3889" i="1"/>
  <c r="E3889" i="1" s="1"/>
  <c r="D3890" i="1"/>
  <c r="D3891" i="1"/>
  <c r="D3892" i="1"/>
  <c r="D3893" i="1"/>
  <c r="D3894" i="1"/>
  <c r="E3894" i="1" s="1"/>
  <c r="D3895" i="1"/>
  <c r="D3896" i="1"/>
  <c r="D3897" i="1"/>
  <c r="E3897" i="1" s="1"/>
  <c r="D3898" i="1"/>
  <c r="E3898" i="1" s="1"/>
  <c r="D3899" i="1"/>
  <c r="D3900" i="1"/>
  <c r="D3901" i="1"/>
  <c r="D3902" i="1"/>
  <c r="D3903" i="1"/>
  <c r="K3903" i="1" s="1"/>
  <c r="D3904" i="1"/>
  <c r="D3905" i="1"/>
  <c r="E3905" i="1" s="1"/>
  <c r="D3906" i="1"/>
  <c r="K3906" i="1" s="1"/>
  <c r="D3907" i="1"/>
  <c r="K3907" i="1" s="1"/>
  <c r="D3908" i="1"/>
  <c r="D3909" i="1"/>
  <c r="D3910" i="1"/>
  <c r="E3910" i="1" s="1"/>
  <c r="D3911" i="1"/>
  <c r="D3912" i="1"/>
  <c r="D3913" i="1"/>
  <c r="E3913" i="1" s="1"/>
  <c r="D3914" i="1"/>
  <c r="D3915" i="1"/>
  <c r="D3916" i="1"/>
  <c r="D3917" i="1"/>
  <c r="D3918" i="1"/>
  <c r="D3919" i="1"/>
  <c r="E3919" i="1" s="1"/>
  <c r="D3920" i="1"/>
  <c r="D3921" i="1"/>
  <c r="E3921" i="1" s="1"/>
  <c r="D3922" i="1"/>
  <c r="E3922" i="1" s="1"/>
  <c r="D3923" i="1"/>
  <c r="D3924" i="1"/>
  <c r="D3925" i="1"/>
  <c r="D3926" i="1"/>
  <c r="E3926" i="1" s="1"/>
  <c r="D3927" i="1"/>
  <c r="K3927" i="1" s="1"/>
  <c r="D3928" i="1"/>
  <c r="D3929" i="1"/>
  <c r="E3929" i="1" s="1"/>
  <c r="D3930" i="1"/>
  <c r="L3930" i="1" s="1"/>
  <c r="D3931" i="1"/>
  <c r="D3932" i="1"/>
  <c r="D3933" i="1"/>
  <c r="D3934" i="1"/>
  <c r="D3935" i="1"/>
  <c r="E3935" i="1" s="1"/>
  <c r="D3936" i="1"/>
  <c r="D3937" i="1"/>
  <c r="E3937" i="1" s="1"/>
  <c r="D3938" i="1"/>
  <c r="E3938" i="1" s="1"/>
  <c r="D3939" i="1"/>
  <c r="D3940" i="1"/>
  <c r="E3940" i="1" s="1"/>
  <c r="D3941" i="1"/>
  <c r="D3942" i="1"/>
  <c r="D3943" i="1"/>
  <c r="D3944" i="1"/>
  <c r="D3945" i="1"/>
  <c r="E3945" i="1" s="1"/>
  <c r="D3946" i="1"/>
  <c r="E3946" i="1" s="1"/>
  <c r="D3947" i="1"/>
  <c r="D3948" i="1"/>
  <c r="D3949" i="1"/>
  <c r="D3950" i="1"/>
  <c r="E3950" i="1" s="1"/>
  <c r="D3951" i="1"/>
  <c r="K3951" i="1" s="1"/>
  <c r="D3952" i="1"/>
  <c r="D3953" i="1"/>
  <c r="E3953" i="1" s="1"/>
  <c r="D3954" i="1"/>
  <c r="D3955" i="1"/>
  <c r="D3956" i="1"/>
  <c r="D3957" i="1"/>
  <c r="D3958" i="1"/>
  <c r="D3959" i="1"/>
  <c r="E3959" i="1" s="1"/>
  <c r="D3960" i="1"/>
  <c r="E3960" i="1" s="1"/>
  <c r="D3961" i="1"/>
  <c r="E3961" i="1" s="1"/>
  <c r="D3962" i="1"/>
  <c r="E3962" i="1" s="1"/>
  <c r="D3963" i="1"/>
  <c r="D3964" i="1"/>
  <c r="D3965" i="1"/>
  <c r="D3966" i="1"/>
  <c r="D3967" i="1"/>
  <c r="D3968" i="1"/>
  <c r="D3969" i="1"/>
  <c r="E3969" i="1" s="1"/>
  <c r="D3970" i="1"/>
  <c r="L3970" i="1" s="1"/>
  <c r="D3971" i="1"/>
  <c r="D3972" i="1"/>
  <c r="D3973" i="1"/>
  <c r="D3974" i="1"/>
  <c r="D3975" i="1"/>
  <c r="E3975" i="1" s="1"/>
  <c r="D3976" i="1"/>
  <c r="D3977" i="1"/>
  <c r="E3977" i="1" s="1"/>
  <c r="D3978" i="1"/>
  <c r="E3978" i="1" s="1"/>
  <c r="D3979" i="1"/>
  <c r="D3980" i="1"/>
  <c r="D3981" i="1"/>
  <c r="D3982" i="1"/>
  <c r="D3983" i="1"/>
  <c r="E3983" i="1" s="1"/>
  <c r="D3984" i="1"/>
  <c r="E3984" i="1" s="1"/>
  <c r="D3985" i="1"/>
  <c r="E3985" i="1" s="1"/>
  <c r="D3986" i="1"/>
  <c r="D3987" i="1"/>
  <c r="D3988" i="1"/>
  <c r="D3989" i="1"/>
  <c r="D3990" i="1"/>
  <c r="D3991" i="1"/>
  <c r="E3991" i="1" s="1"/>
  <c r="D3992" i="1"/>
  <c r="D3993" i="1"/>
  <c r="E3993" i="1" s="1"/>
  <c r="D3994" i="1"/>
  <c r="E3994" i="1" s="1"/>
  <c r="D3995" i="1"/>
  <c r="D3996" i="1"/>
  <c r="D3997" i="1"/>
  <c r="D3998" i="1"/>
  <c r="D3999" i="1"/>
  <c r="E3999" i="1" s="1"/>
  <c r="D4000" i="1"/>
  <c r="D4001" i="1"/>
  <c r="E4001" i="1" s="1"/>
  <c r="D4002" i="1"/>
  <c r="E4002" i="1" s="1"/>
  <c r="D4003" i="1"/>
  <c r="D4004" i="1"/>
  <c r="D4005" i="1"/>
  <c r="D4006" i="1"/>
  <c r="E4006" i="1" s="1"/>
  <c r="D4007" i="1"/>
  <c r="D4008" i="1"/>
  <c r="E4008" i="1" s="1"/>
  <c r="D4009" i="1"/>
  <c r="E4009" i="1" s="1"/>
  <c r="D4010" i="1"/>
  <c r="L4010" i="1" s="1"/>
  <c r="D4011" i="1"/>
  <c r="D4012" i="1"/>
  <c r="D4013" i="1"/>
  <c r="D4014" i="1"/>
  <c r="E4014" i="1" s="1"/>
  <c r="D4015" i="1"/>
  <c r="D4016" i="1"/>
  <c r="D4017" i="1"/>
  <c r="E4017" i="1" s="1"/>
  <c r="D4018" i="1"/>
  <c r="D4019" i="1"/>
  <c r="D4020" i="1"/>
  <c r="D4021" i="1"/>
  <c r="D4022" i="1"/>
  <c r="D4023" i="1"/>
  <c r="D4024" i="1"/>
  <c r="D4025" i="1"/>
  <c r="E4025" i="1" s="1"/>
  <c r="D4026" i="1"/>
  <c r="D4027" i="1"/>
  <c r="D4028" i="1"/>
  <c r="D4029" i="1"/>
  <c r="D4030" i="1"/>
  <c r="E4030" i="1" s="1"/>
  <c r="D4031" i="1"/>
  <c r="K4031" i="1" s="1"/>
  <c r="D4032" i="1"/>
  <c r="D4033" i="1"/>
  <c r="E4033" i="1" s="1"/>
  <c r="D4034" i="1"/>
  <c r="K4034" i="1" s="1"/>
  <c r="D4035" i="1"/>
  <c r="D4036" i="1"/>
  <c r="D4037" i="1"/>
  <c r="D4038" i="1"/>
  <c r="D4039" i="1"/>
  <c r="D4040" i="1"/>
  <c r="D4041" i="1"/>
  <c r="E4041" i="1" s="1"/>
  <c r="D4042" i="1"/>
  <c r="D4043" i="1"/>
  <c r="D4044" i="1"/>
  <c r="D4045" i="1"/>
  <c r="D4046" i="1"/>
  <c r="E4046" i="1" s="1"/>
  <c r="D4047" i="1"/>
  <c r="D4048" i="1"/>
  <c r="D4049" i="1"/>
  <c r="E4049" i="1" s="1"/>
  <c r="D4050" i="1"/>
  <c r="D4051" i="1"/>
  <c r="D4052" i="1"/>
  <c r="D4053" i="1"/>
  <c r="D4054" i="1"/>
  <c r="D4055" i="1"/>
  <c r="L4055" i="1" s="1"/>
  <c r="D4056" i="1"/>
  <c r="D4057" i="1"/>
  <c r="E4057" i="1" s="1"/>
  <c r="D4058" i="1"/>
  <c r="L4058" i="1" s="1"/>
  <c r="D4059" i="1"/>
  <c r="D4060" i="1"/>
  <c r="D4061" i="1"/>
  <c r="D4062" i="1"/>
  <c r="E4062" i="1" s="1"/>
  <c r="D4063" i="1"/>
  <c r="D4064" i="1"/>
  <c r="D4065" i="1"/>
  <c r="E4065" i="1" s="1"/>
  <c r="D4066" i="1"/>
  <c r="D4067" i="1"/>
  <c r="D4068" i="1"/>
  <c r="D4069" i="1"/>
  <c r="D4070" i="1"/>
  <c r="D4071" i="1"/>
  <c r="D4072" i="1"/>
  <c r="D4073" i="1"/>
  <c r="E4073" i="1" s="1"/>
  <c r="D4074" i="1"/>
  <c r="L4074" i="1" s="1"/>
  <c r="D4075" i="1"/>
  <c r="D4076" i="1"/>
  <c r="D4077" i="1"/>
  <c r="D4078" i="1"/>
  <c r="D4079" i="1"/>
  <c r="D4080" i="1"/>
  <c r="D4081" i="1"/>
  <c r="E4081" i="1" s="1"/>
  <c r="D4082" i="1"/>
  <c r="D4083" i="1"/>
  <c r="D4084" i="1"/>
  <c r="D4085" i="1"/>
  <c r="D4086" i="1"/>
  <c r="D4087" i="1"/>
  <c r="D4088" i="1"/>
  <c r="D4089" i="1"/>
  <c r="E4089" i="1" s="1"/>
  <c r="D4090" i="1"/>
  <c r="E4090" i="1" s="1"/>
  <c r="D4091" i="1"/>
  <c r="D4092" i="1"/>
  <c r="E4092" i="1" s="1"/>
  <c r="D4093" i="1"/>
  <c r="D4094" i="1"/>
  <c r="D4095" i="1"/>
  <c r="K4095" i="1" s="1"/>
  <c r="D4096" i="1"/>
  <c r="D4097" i="1"/>
  <c r="E4097" i="1" s="1"/>
  <c r="D4098" i="1"/>
  <c r="L4098" i="1" s="1"/>
  <c r="D4099" i="1"/>
  <c r="D4100" i="1"/>
  <c r="D4101" i="1"/>
  <c r="D4102" i="1"/>
  <c r="E4102" i="1" s="1"/>
  <c r="D4103" i="1"/>
  <c r="D4104" i="1"/>
  <c r="D4105" i="1"/>
  <c r="E4105" i="1" s="1"/>
  <c r="D4106" i="1"/>
  <c r="E4106" i="1" s="1"/>
  <c r="D4107" i="1"/>
  <c r="D4108" i="1"/>
  <c r="D4109" i="1"/>
  <c r="D4110" i="1"/>
  <c r="D4111" i="1"/>
  <c r="E4111" i="1" s="1"/>
  <c r="D4112" i="1"/>
  <c r="D4113" i="1"/>
  <c r="E4113" i="1" s="1"/>
  <c r="D4114" i="1"/>
  <c r="E4114" i="1" s="1"/>
  <c r="D4115" i="1"/>
  <c r="D4116" i="1"/>
  <c r="D4117" i="1"/>
  <c r="D4118" i="1"/>
  <c r="E4118" i="1" s="1"/>
  <c r="D4119" i="1"/>
  <c r="L4119" i="1" s="1"/>
  <c r="D4120" i="1"/>
  <c r="D4121" i="1"/>
  <c r="E4121" i="1" s="1"/>
  <c r="D4122" i="1"/>
  <c r="L4122" i="1" s="1"/>
  <c r="D4123" i="1"/>
  <c r="D4124" i="1"/>
  <c r="D4125" i="1"/>
  <c r="D4126" i="1"/>
  <c r="D4127" i="1"/>
  <c r="D4128" i="1"/>
  <c r="D4129" i="1"/>
  <c r="E4129" i="1" s="1"/>
  <c r="D4130" i="1"/>
  <c r="E4130" i="1" s="1"/>
  <c r="D4131" i="1"/>
  <c r="D4132" i="1"/>
  <c r="D4133" i="1"/>
  <c r="D4134" i="1"/>
  <c r="E4134" i="1" s="1"/>
  <c r="D4135" i="1"/>
  <c r="E4135" i="1" s="1"/>
  <c r="D4136" i="1"/>
  <c r="D4137" i="1"/>
  <c r="E4137" i="1" s="1"/>
  <c r="D4138" i="1"/>
  <c r="L4138" i="1" s="1"/>
  <c r="D4139" i="1"/>
  <c r="D4140" i="1"/>
  <c r="D4141" i="1"/>
  <c r="D4142" i="1"/>
  <c r="D4143" i="1"/>
  <c r="L4143" i="1" s="1"/>
  <c r="D4144" i="1"/>
  <c r="D4145" i="1"/>
  <c r="E4145" i="1" s="1"/>
  <c r="D4146" i="1"/>
  <c r="D4147" i="1"/>
  <c r="D4148" i="1"/>
  <c r="D4149" i="1"/>
  <c r="D4150" i="1"/>
  <c r="E4150" i="1" s="1"/>
  <c r="D4151" i="1"/>
  <c r="E4151" i="1" s="1"/>
  <c r="D4152" i="1"/>
  <c r="D4153" i="1"/>
  <c r="E4153" i="1" s="1"/>
  <c r="D4154" i="1"/>
  <c r="D4155" i="1"/>
  <c r="D4156" i="1"/>
  <c r="D4157" i="1"/>
  <c r="D4158" i="1"/>
  <c r="D4159" i="1"/>
  <c r="D4160" i="1"/>
  <c r="D4161" i="1"/>
  <c r="E4161" i="1" s="1"/>
  <c r="D4162" i="1"/>
  <c r="L4162" i="1" s="1"/>
  <c r="D4163" i="1"/>
  <c r="D4164" i="1"/>
  <c r="D4165" i="1"/>
  <c r="D4166" i="1"/>
  <c r="E4166" i="1" s="1"/>
  <c r="D4167" i="1"/>
  <c r="E4167" i="1" s="1"/>
  <c r="D4168" i="1"/>
  <c r="D4169" i="1"/>
  <c r="E4169" i="1" s="1"/>
  <c r="D4170" i="1"/>
  <c r="E4170" i="1" s="1"/>
  <c r="D4171" i="1"/>
  <c r="D4172" i="1"/>
  <c r="D4173" i="1"/>
  <c r="D4174" i="1"/>
  <c r="D4175" i="1"/>
  <c r="D4176" i="1"/>
  <c r="D4177" i="1"/>
  <c r="E4177" i="1" s="1"/>
  <c r="D4178" i="1"/>
  <c r="D4179" i="1"/>
  <c r="D4180" i="1"/>
  <c r="D4181" i="1"/>
  <c r="D4182" i="1"/>
  <c r="E4182" i="1" s="1"/>
  <c r="D4183" i="1"/>
  <c r="L4183" i="1" s="1"/>
  <c r="D4184" i="1"/>
  <c r="D4185" i="1"/>
  <c r="E4185" i="1" s="1"/>
  <c r="D4186" i="1"/>
  <c r="L4186" i="1" s="1"/>
  <c r="D4187" i="1"/>
  <c r="D4188" i="1"/>
  <c r="D4189" i="1"/>
  <c r="D4190" i="1"/>
  <c r="D4191" i="1"/>
  <c r="E4191" i="1" s="1"/>
  <c r="D4192" i="1"/>
  <c r="D4193" i="1"/>
  <c r="E4193" i="1" s="1"/>
  <c r="D4194" i="1"/>
  <c r="E4194" i="1" s="1"/>
  <c r="D4195" i="1"/>
  <c r="D4196" i="1"/>
  <c r="D4197" i="1"/>
  <c r="D4198" i="1"/>
  <c r="E4198" i="1" s="1"/>
  <c r="D4199" i="1"/>
  <c r="D4200" i="1"/>
  <c r="D4201" i="1"/>
  <c r="E4201" i="1" s="1"/>
  <c r="D4202" i="1"/>
  <c r="D4203" i="1"/>
  <c r="D4204" i="1"/>
  <c r="D4205" i="1"/>
  <c r="D4206" i="1"/>
  <c r="D4207" i="1"/>
  <c r="D4208" i="1"/>
  <c r="D4209" i="1"/>
  <c r="E4209" i="1" s="1"/>
  <c r="D4210" i="1"/>
  <c r="D4211" i="1"/>
  <c r="D4212" i="1"/>
  <c r="D4213" i="1"/>
  <c r="D4214" i="1"/>
  <c r="E4214" i="1" s="1"/>
  <c r="D4215" i="1"/>
  <c r="D4216" i="1"/>
  <c r="D4217" i="1"/>
  <c r="E4217" i="1" s="1"/>
  <c r="D4218" i="1"/>
  <c r="E4218" i="1" s="1"/>
  <c r="D4219" i="1"/>
  <c r="D4220" i="1"/>
  <c r="E4220" i="1" s="1"/>
  <c r="D4221" i="1"/>
  <c r="D4222" i="1"/>
  <c r="D4223" i="1"/>
  <c r="L4223" i="1" s="1"/>
  <c r="D4224" i="1"/>
  <c r="D4225" i="1"/>
  <c r="E4225" i="1" s="1"/>
  <c r="D4226" i="1"/>
  <c r="E4226" i="1" s="1"/>
  <c r="D4227" i="1"/>
  <c r="D4228" i="1"/>
  <c r="D4229" i="1"/>
  <c r="D4230" i="1"/>
  <c r="D4231" i="1"/>
  <c r="E4231" i="1" s="1"/>
  <c r="D4232" i="1"/>
  <c r="D4233" i="1"/>
  <c r="E4233" i="1" s="1"/>
  <c r="D4234" i="1"/>
  <c r="D4235" i="1"/>
  <c r="D4236" i="1"/>
  <c r="D4237" i="1"/>
  <c r="D4238" i="1"/>
  <c r="D4239" i="1"/>
  <c r="D4240" i="1"/>
  <c r="D4241" i="1"/>
  <c r="E4241" i="1" s="1"/>
  <c r="D4242" i="1"/>
  <c r="E4242" i="1" s="1"/>
  <c r="D4243" i="1"/>
  <c r="D4244" i="1"/>
  <c r="D4245" i="1"/>
  <c r="D4246" i="1"/>
  <c r="D4247" i="1"/>
  <c r="D4248" i="1"/>
  <c r="D4249" i="1"/>
  <c r="E4249" i="1" s="1"/>
  <c r="D4250" i="1"/>
  <c r="L4250" i="1" s="1"/>
  <c r="D4251" i="1"/>
  <c r="D4252" i="1"/>
  <c r="D4253" i="1"/>
  <c r="D4254" i="1"/>
  <c r="D4255" i="1"/>
  <c r="D4256" i="1"/>
  <c r="D4257" i="1"/>
  <c r="E4257" i="1" s="1"/>
  <c r="D4258" i="1"/>
  <c r="D4259" i="1"/>
  <c r="D4260" i="1"/>
  <c r="D4261" i="1"/>
  <c r="D4262" i="1"/>
  <c r="D4263" i="1"/>
  <c r="D4264" i="1"/>
  <c r="D4265" i="1"/>
  <c r="E4265" i="1" s="1"/>
  <c r="D4266" i="1"/>
  <c r="L4266" i="1" s="1"/>
  <c r="D4267" i="1"/>
  <c r="K4267" i="1" s="1"/>
  <c r="D4268" i="1"/>
  <c r="D4269" i="1"/>
  <c r="D4270" i="1"/>
  <c r="D4271" i="1"/>
  <c r="L4271" i="1" s="1"/>
  <c r="D4272" i="1"/>
  <c r="D4273" i="1"/>
  <c r="E4273" i="1" s="1"/>
  <c r="D4274" i="1"/>
  <c r="E4274" i="1" s="1"/>
  <c r="D4275" i="1"/>
  <c r="D4276" i="1"/>
  <c r="D4277" i="1"/>
  <c r="D4278" i="1"/>
  <c r="D4279" i="1"/>
  <c r="D4280" i="1"/>
  <c r="D4281" i="1"/>
  <c r="E4281" i="1" s="1"/>
  <c r="D4282" i="1"/>
  <c r="D4283" i="1"/>
  <c r="D4284" i="1"/>
  <c r="D4285" i="1"/>
  <c r="D4286" i="1"/>
  <c r="D4287" i="1"/>
  <c r="D4288" i="1"/>
  <c r="D4289" i="1"/>
  <c r="E4289" i="1" s="1"/>
  <c r="D4290" i="1"/>
  <c r="L4290" i="1" s="1"/>
  <c r="D4291" i="1"/>
  <c r="D4292" i="1"/>
  <c r="D4293" i="1"/>
  <c r="D4294" i="1"/>
  <c r="D4295" i="1"/>
  <c r="D4296" i="1"/>
  <c r="D4297" i="1"/>
  <c r="E4297" i="1" s="1"/>
  <c r="D4298" i="1"/>
  <c r="D4299" i="1"/>
  <c r="D4300" i="1"/>
  <c r="D4301" i="1"/>
  <c r="D4302" i="1"/>
  <c r="D4303" i="1"/>
  <c r="E4303" i="1" s="1"/>
  <c r="D4304" i="1"/>
  <c r="D4305" i="1"/>
  <c r="E4305" i="1" s="1"/>
  <c r="D4306" i="1"/>
  <c r="D4307" i="1"/>
  <c r="D4308" i="1"/>
  <c r="D4309" i="1"/>
  <c r="D4310" i="1"/>
  <c r="D4311" i="1"/>
  <c r="D4312" i="1"/>
  <c r="D4313" i="1"/>
  <c r="E4313" i="1" s="1"/>
  <c r="D4314" i="1"/>
  <c r="L4314" i="1" s="1"/>
  <c r="D4315" i="1"/>
  <c r="D4316" i="1"/>
  <c r="D4317" i="1"/>
  <c r="D4318" i="1"/>
  <c r="D4319" i="1"/>
  <c r="D4320" i="1"/>
  <c r="D4321" i="1"/>
  <c r="E4321" i="1" s="1"/>
  <c r="D4322" i="1"/>
  <c r="D4323" i="1"/>
  <c r="D4324" i="1"/>
  <c r="D4325" i="1"/>
  <c r="D4326" i="1"/>
  <c r="D4327" i="1"/>
  <c r="E4327" i="1" s="1"/>
  <c r="D4328" i="1"/>
  <c r="D4329" i="1"/>
  <c r="E4329" i="1" s="1"/>
  <c r="D4330" i="1"/>
  <c r="K4330" i="1" s="1"/>
  <c r="D4331" i="1"/>
  <c r="D4332" i="1"/>
  <c r="D4333" i="1"/>
  <c r="D4334" i="1"/>
  <c r="D4335" i="1"/>
  <c r="L4335" i="1" s="1"/>
  <c r="D4336" i="1"/>
  <c r="D4337" i="1"/>
  <c r="E4337" i="1" s="1"/>
  <c r="D4338" i="1"/>
  <c r="E4338" i="1" s="1"/>
  <c r="D4339" i="1"/>
  <c r="D4340" i="1"/>
  <c r="D4341" i="1"/>
  <c r="D4342" i="1"/>
  <c r="D4343" i="1"/>
  <c r="D4344" i="1"/>
  <c r="D4345" i="1"/>
  <c r="E4345" i="1" s="1"/>
  <c r="D4346" i="1"/>
  <c r="D4347" i="1"/>
  <c r="D4348" i="1"/>
  <c r="D4349" i="1"/>
  <c r="D4350" i="1"/>
  <c r="D4351" i="1"/>
  <c r="K4351" i="1" s="1"/>
  <c r="D4352" i="1"/>
  <c r="D4353" i="1"/>
  <c r="E4353" i="1" s="1"/>
  <c r="D4354" i="1"/>
  <c r="E4354" i="1" s="1"/>
  <c r="D4355" i="1"/>
  <c r="D4356" i="1"/>
  <c r="D4357" i="1"/>
  <c r="D4358" i="1"/>
  <c r="D4359" i="1"/>
  <c r="E4359" i="1" s="1"/>
  <c r="D4360" i="1"/>
  <c r="D4361" i="1"/>
  <c r="E4361" i="1" s="1"/>
  <c r="D4362" i="1"/>
  <c r="E4362" i="1" s="1"/>
  <c r="D4363" i="1"/>
  <c r="D4364" i="1"/>
  <c r="D4365" i="1"/>
  <c r="D4366" i="1"/>
  <c r="D4367" i="1"/>
  <c r="D4368" i="1"/>
  <c r="D4369" i="1"/>
  <c r="E4369" i="1" s="1"/>
  <c r="D4370" i="1"/>
  <c r="D4371" i="1"/>
  <c r="D4372" i="1"/>
  <c r="D4373" i="1"/>
  <c r="D4374" i="1"/>
  <c r="D4375" i="1"/>
  <c r="K4375" i="1" s="1"/>
  <c r="D4376" i="1"/>
  <c r="D4377" i="1"/>
  <c r="E4377" i="1" s="1"/>
  <c r="D4378" i="1"/>
  <c r="K4378" i="1" s="1"/>
  <c r="D4379" i="1"/>
  <c r="D4380" i="1"/>
  <c r="E4380" i="1" s="1"/>
  <c r="D4381" i="1"/>
  <c r="D4382" i="1"/>
  <c r="E4382" i="1" s="1"/>
  <c r="D4383" i="1"/>
  <c r="D4384" i="1"/>
  <c r="D4385" i="1"/>
  <c r="E4385" i="1" s="1"/>
  <c r="D4386" i="1"/>
  <c r="D4387" i="1"/>
  <c r="D4388" i="1"/>
  <c r="D4389" i="1"/>
  <c r="D4390" i="1"/>
  <c r="D4391" i="1"/>
  <c r="E4391" i="1" s="1"/>
  <c r="D4392" i="1"/>
  <c r="D4393" i="1"/>
  <c r="E4393" i="1" s="1"/>
  <c r="D4394" i="1"/>
  <c r="L4394" i="1" s="1"/>
  <c r="D4395" i="1"/>
  <c r="D4396" i="1"/>
  <c r="D4397" i="1"/>
  <c r="D4398" i="1"/>
  <c r="E4398" i="1" s="1"/>
  <c r="D4399" i="1"/>
  <c r="L4399" i="1" s="1"/>
  <c r="D4400" i="1"/>
  <c r="D4401" i="1"/>
  <c r="E4401" i="1" s="1"/>
  <c r="D4402" i="1"/>
  <c r="D4403" i="1"/>
  <c r="D4404" i="1"/>
  <c r="D4405" i="1"/>
  <c r="D4406" i="1"/>
  <c r="D4407" i="1"/>
  <c r="D4408" i="1"/>
  <c r="D4409" i="1"/>
  <c r="E4409" i="1" s="1"/>
  <c r="D4410" i="1"/>
  <c r="D4411" i="1"/>
  <c r="D4412" i="1"/>
  <c r="D4413" i="1"/>
  <c r="D4414" i="1"/>
  <c r="E4414" i="1" s="1"/>
  <c r="D4415" i="1"/>
  <c r="L4415" i="1" s="1"/>
  <c r="D4416" i="1"/>
  <c r="D4417" i="1"/>
  <c r="E4417" i="1" s="1"/>
  <c r="D4418" i="1"/>
  <c r="L4418" i="1" s="1"/>
  <c r="D4419" i="1"/>
  <c r="K4419" i="1" s="1"/>
  <c r="D4420" i="1"/>
  <c r="D4421" i="1"/>
  <c r="D4422" i="1"/>
  <c r="D4423" i="1"/>
  <c r="D4424" i="1"/>
  <c r="D4425" i="1"/>
  <c r="E4425" i="1" s="1"/>
  <c r="D4426" i="1"/>
  <c r="D4427" i="1"/>
  <c r="D4428" i="1"/>
  <c r="D4429" i="1"/>
  <c r="D4430" i="1"/>
  <c r="D4431" i="1"/>
  <c r="E4431" i="1" s="1"/>
  <c r="D4432" i="1"/>
  <c r="D4433" i="1"/>
  <c r="E4433" i="1" s="1"/>
  <c r="D4434" i="1"/>
  <c r="D4435" i="1"/>
  <c r="D4436" i="1"/>
  <c r="D4437" i="1"/>
  <c r="D4438" i="1"/>
  <c r="D4439" i="1"/>
  <c r="D4440" i="1"/>
  <c r="D4441" i="1"/>
  <c r="E4441" i="1" s="1"/>
  <c r="D4442" i="1"/>
  <c r="L4442" i="1" s="1"/>
  <c r="D4443" i="1"/>
  <c r="D4444" i="1"/>
  <c r="D4445" i="1"/>
  <c r="D4446" i="1"/>
  <c r="E4446" i="1" s="1"/>
  <c r="D4447" i="1"/>
  <c r="D4448" i="1"/>
  <c r="D4449" i="1"/>
  <c r="E4449" i="1" s="1"/>
  <c r="D4450" i="1"/>
  <c r="D4451" i="1"/>
  <c r="D4452" i="1"/>
  <c r="D4453" i="1"/>
  <c r="D4454" i="1"/>
  <c r="D4455" i="1"/>
  <c r="D4456" i="1"/>
  <c r="D4457" i="1"/>
  <c r="E4457" i="1" s="1"/>
  <c r="D4458" i="1"/>
  <c r="L4458" i="1" s="1"/>
  <c r="D4459" i="1"/>
  <c r="D4460" i="1"/>
  <c r="D4461" i="1"/>
  <c r="D4462" i="1"/>
  <c r="D4463" i="1"/>
  <c r="L4463" i="1" s="1"/>
  <c r="D4464" i="1"/>
  <c r="D4465" i="1"/>
  <c r="E4465" i="1" s="1"/>
  <c r="D4466" i="1"/>
  <c r="D4467" i="1"/>
  <c r="D4468" i="1"/>
  <c r="D4469" i="1"/>
  <c r="D4470" i="1"/>
  <c r="D4471" i="1"/>
  <c r="D4472" i="1"/>
  <c r="D4473" i="1"/>
  <c r="E4473" i="1" s="1"/>
  <c r="D4474" i="1"/>
  <c r="E4474" i="1" s="1"/>
  <c r="D4475" i="1"/>
  <c r="D4476" i="1"/>
  <c r="D4477" i="1"/>
  <c r="D4478" i="1"/>
  <c r="E4478" i="1" s="1"/>
  <c r="D4479" i="1"/>
  <c r="D4480" i="1"/>
  <c r="D4481" i="1"/>
  <c r="E4481" i="1" s="1"/>
  <c r="D4482" i="1"/>
  <c r="L4482" i="1" s="1"/>
  <c r="D4483" i="1"/>
  <c r="D4484" i="1"/>
  <c r="D4485" i="1"/>
  <c r="D4486" i="1"/>
  <c r="D4487" i="1"/>
  <c r="D4488" i="1"/>
  <c r="D4489" i="1"/>
  <c r="E4489" i="1" s="1"/>
  <c r="D4490" i="1"/>
  <c r="D4491" i="1"/>
  <c r="D4492" i="1"/>
  <c r="D4493" i="1"/>
  <c r="D4494" i="1"/>
  <c r="D4495" i="1"/>
  <c r="E4495" i="1" s="1"/>
  <c r="D4496" i="1"/>
  <c r="D4497" i="1"/>
  <c r="E4497" i="1" s="1"/>
  <c r="D4498" i="1"/>
  <c r="E4498" i="1" s="1"/>
  <c r="D4499" i="1"/>
  <c r="D4500" i="1"/>
  <c r="D4501" i="1"/>
  <c r="D4502" i="1"/>
  <c r="D4503" i="1"/>
  <c r="D4504" i="1"/>
  <c r="D4505" i="1"/>
  <c r="E4505" i="1" s="1"/>
  <c r="D4506" i="1"/>
  <c r="L4506" i="1" s="1"/>
  <c r="D4507" i="1"/>
  <c r="D4508" i="1"/>
  <c r="D4509" i="1"/>
  <c r="D4510" i="1"/>
  <c r="E4510" i="1" s="1"/>
  <c r="D4511" i="1"/>
  <c r="E4511" i="1" s="1"/>
  <c r="D4512" i="1"/>
  <c r="D4513" i="1"/>
  <c r="E4513" i="1" s="1"/>
  <c r="D4514" i="1"/>
  <c r="D4515" i="1"/>
  <c r="D4516" i="1"/>
  <c r="D4517" i="1"/>
  <c r="D4518" i="1"/>
  <c r="D4519" i="1"/>
  <c r="E4519" i="1" s="1"/>
  <c r="D4520" i="1"/>
  <c r="D4521" i="1"/>
  <c r="E4521" i="1" s="1"/>
  <c r="D4522" i="1"/>
  <c r="L4522" i="1" s="1"/>
  <c r="D4523" i="1"/>
  <c r="D4524" i="1"/>
  <c r="D4525" i="1"/>
  <c r="D4526" i="1"/>
  <c r="E4526" i="1" s="1"/>
  <c r="D4527" i="1"/>
  <c r="K4527" i="1" s="1"/>
  <c r="D4528" i="1"/>
  <c r="J4528" i="1" s="1"/>
  <c r="D4529" i="1"/>
  <c r="E4529" i="1" s="1"/>
  <c r="D4530" i="1"/>
  <c r="D4531" i="1"/>
  <c r="D4532" i="1"/>
  <c r="D4533" i="1"/>
  <c r="D4534" i="1"/>
  <c r="D4535" i="1"/>
  <c r="E4535" i="1" s="1"/>
  <c r="D4536" i="1"/>
  <c r="D4537" i="1"/>
  <c r="E4537" i="1" s="1"/>
  <c r="D4538" i="1"/>
  <c r="D4539" i="1"/>
  <c r="D4540" i="1"/>
  <c r="D4541" i="1"/>
  <c r="D4542" i="1"/>
  <c r="E4542" i="1" s="1"/>
  <c r="D4543" i="1"/>
  <c r="K4543" i="1" s="1"/>
  <c r="D4544" i="1"/>
  <c r="D4545" i="1"/>
  <c r="E4545" i="1" s="1"/>
  <c r="D4546" i="1"/>
  <c r="L4546" i="1" s="1"/>
  <c r="D4547" i="1"/>
  <c r="K4547" i="1" s="1"/>
  <c r="D4548" i="1"/>
  <c r="D4549" i="1"/>
  <c r="D4550" i="1"/>
  <c r="D4551" i="1"/>
  <c r="E4551" i="1" s="1"/>
  <c r="D4552" i="1"/>
  <c r="D4553" i="1"/>
  <c r="E4553" i="1" s="1"/>
  <c r="D4554" i="1"/>
  <c r="E4554" i="1" s="1"/>
  <c r="D4555" i="1"/>
  <c r="D4556" i="1"/>
  <c r="D4557" i="1"/>
  <c r="D4558" i="1"/>
  <c r="E4558" i="1" s="1"/>
  <c r="D4559" i="1"/>
  <c r="J4559" i="1" s="1"/>
  <c r="D4560" i="1"/>
  <c r="J4560" i="1" s="1"/>
  <c r="D4561" i="1"/>
  <c r="E4561" i="1" s="1"/>
  <c r="D4562" i="1"/>
  <c r="D4563" i="1"/>
  <c r="D4564" i="1"/>
  <c r="D4565" i="1"/>
  <c r="D4566" i="1"/>
  <c r="D4567" i="1"/>
  <c r="K4567" i="1" s="1"/>
  <c r="D4568" i="1"/>
  <c r="D4569" i="1"/>
  <c r="E4569" i="1" s="1"/>
  <c r="D4570" i="1"/>
  <c r="L4570" i="1" s="1"/>
  <c r="D4571" i="1"/>
  <c r="D4572" i="1"/>
  <c r="D4573" i="1"/>
  <c r="D4574" i="1"/>
  <c r="E4574" i="1" s="1"/>
  <c r="D4575" i="1"/>
  <c r="D4576" i="1"/>
  <c r="D4577" i="1"/>
  <c r="E4577" i="1" s="1"/>
  <c r="D4578" i="1"/>
  <c r="E4578" i="1" s="1"/>
  <c r="D4579" i="1"/>
  <c r="D4580" i="1"/>
  <c r="D4581" i="1"/>
  <c r="D4582" i="1"/>
  <c r="D4583" i="1"/>
  <c r="D4584" i="1"/>
  <c r="D4585" i="1"/>
  <c r="E4585" i="1" s="1"/>
  <c r="D4586" i="1"/>
  <c r="L4586" i="1" s="1"/>
  <c r="D4587" i="1"/>
  <c r="D4588" i="1"/>
  <c r="D4589" i="1"/>
  <c r="D4590" i="1"/>
  <c r="E4590" i="1" s="1"/>
  <c r="D4591" i="1"/>
  <c r="E4591" i="1" s="1"/>
  <c r="D4592" i="1"/>
  <c r="D4593" i="1"/>
  <c r="E4593" i="1" s="1"/>
  <c r="D4594" i="1"/>
  <c r="D4595" i="1"/>
  <c r="D4596" i="1"/>
  <c r="D4597" i="1"/>
  <c r="D4598" i="1"/>
  <c r="D4599" i="1"/>
  <c r="D4600" i="1"/>
  <c r="D4601" i="1"/>
  <c r="E4601" i="1" s="1"/>
  <c r="D4602" i="1"/>
  <c r="D4603" i="1"/>
  <c r="D4604" i="1"/>
  <c r="D4605" i="1"/>
  <c r="D4606" i="1"/>
  <c r="E4606" i="1" s="1"/>
  <c r="D4607" i="1"/>
  <c r="K4607" i="1" s="1"/>
  <c r="D4608" i="1"/>
  <c r="D4609" i="1"/>
  <c r="E4609" i="1" s="1"/>
  <c r="D4610" i="1"/>
  <c r="D4611" i="1"/>
  <c r="D4612" i="1"/>
  <c r="D4613" i="1"/>
  <c r="D4614" i="1"/>
  <c r="D4615" i="1"/>
  <c r="E4615" i="1" s="1"/>
  <c r="D4616" i="1"/>
  <c r="D4617" i="1"/>
  <c r="E4617" i="1" s="1"/>
  <c r="D4618" i="1"/>
  <c r="D4619" i="1"/>
  <c r="D4620" i="1"/>
  <c r="D4621" i="1"/>
  <c r="D4622" i="1"/>
  <c r="E4622" i="1" s="1"/>
  <c r="D4623" i="1"/>
  <c r="D4624" i="1"/>
  <c r="D4625" i="1"/>
  <c r="E4625" i="1" s="1"/>
  <c r="D4626" i="1"/>
  <c r="D4627" i="1"/>
  <c r="D4628" i="1"/>
  <c r="D4629" i="1"/>
  <c r="D4630" i="1"/>
  <c r="D4631" i="1"/>
  <c r="K4631" i="1" s="1"/>
  <c r="D4632" i="1"/>
  <c r="D4633" i="1"/>
  <c r="E4633" i="1" s="1"/>
  <c r="D4634" i="1"/>
  <c r="E4634" i="1" s="1"/>
  <c r="D4635" i="1"/>
  <c r="D4636" i="1"/>
  <c r="D4637" i="1"/>
  <c r="D4638" i="1"/>
  <c r="E4638" i="1" s="1"/>
  <c r="D4639" i="1"/>
  <c r="D4640" i="1"/>
  <c r="D4641" i="1"/>
  <c r="E4641" i="1" s="1"/>
  <c r="D4642" i="1"/>
  <c r="D4643" i="1"/>
  <c r="D4644" i="1"/>
  <c r="D4645" i="1"/>
  <c r="D4646" i="1"/>
  <c r="D4647" i="1"/>
  <c r="D4648" i="1"/>
  <c r="D4649" i="1"/>
  <c r="E4649" i="1" s="1"/>
  <c r="D4650" i="1"/>
  <c r="K4650" i="1" s="1"/>
  <c r="D4651" i="1"/>
  <c r="K4651" i="1" s="1"/>
  <c r="D4652" i="1"/>
  <c r="D4653" i="1"/>
  <c r="D4654" i="1"/>
  <c r="E4654" i="1" s="1"/>
  <c r="D4655" i="1"/>
  <c r="K4655" i="1" s="1"/>
  <c r="D4656" i="1"/>
  <c r="D4657" i="1"/>
  <c r="E4657" i="1" s="1"/>
  <c r="D4658" i="1"/>
  <c r="D4659" i="1"/>
  <c r="D4660" i="1"/>
  <c r="D4661" i="1"/>
  <c r="D4662" i="1"/>
  <c r="D4663" i="1"/>
  <c r="D4664" i="1"/>
  <c r="D4665" i="1"/>
  <c r="E4665" i="1" s="1"/>
  <c r="D4666" i="1"/>
  <c r="D4667" i="1"/>
  <c r="D4668" i="1"/>
  <c r="D4669" i="1"/>
  <c r="D4670" i="1"/>
  <c r="E4670" i="1" s="1"/>
  <c r="D4671" i="1"/>
  <c r="K4671" i="1" s="1"/>
  <c r="D4672" i="1"/>
  <c r="D4673" i="1"/>
  <c r="E4673" i="1" s="1"/>
  <c r="D4674" i="1"/>
  <c r="D4675" i="1"/>
  <c r="D4676" i="1"/>
  <c r="D4677" i="1"/>
  <c r="D4678" i="1"/>
  <c r="D4679" i="1"/>
  <c r="D4680" i="1"/>
  <c r="D4681" i="1"/>
  <c r="E4681" i="1" s="1"/>
  <c r="D4682" i="1"/>
  <c r="D4683" i="1"/>
  <c r="D4684" i="1"/>
  <c r="D4685" i="1"/>
  <c r="D4686" i="1"/>
  <c r="E4686" i="1" s="1"/>
  <c r="D4687" i="1"/>
  <c r="J4687" i="1" s="1"/>
  <c r="D4688" i="1"/>
  <c r="J4688" i="1" s="1"/>
  <c r="D4689" i="1"/>
  <c r="E4689" i="1" s="1"/>
  <c r="D4690" i="1"/>
  <c r="D4691" i="1"/>
  <c r="D4692" i="1"/>
  <c r="D4693" i="1"/>
  <c r="D4694" i="1"/>
  <c r="D4695" i="1"/>
  <c r="K4695" i="1" s="1"/>
  <c r="D4696" i="1"/>
  <c r="D4697" i="1"/>
  <c r="E4697" i="1" s="1"/>
  <c r="D4698" i="1"/>
  <c r="L4698" i="1" s="1"/>
  <c r="D4699" i="1"/>
  <c r="D4700" i="1"/>
  <c r="D4701" i="1"/>
  <c r="D4702" i="1"/>
  <c r="E4702" i="1" s="1"/>
  <c r="D4703" i="1"/>
  <c r="D4704" i="1"/>
  <c r="D4705" i="1"/>
  <c r="E4705" i="1" s="1"/>
  <c r="D4706" i="1"/>
  <c r="D4707" i="1"/>
  <c r="D4708" i="1"/>
  <c r="D4709" i="1"/>
  <c r="D4710" i="1"/>
  <c r="D4711" i="1"/>
  <c r="E4711" i="1" s="1"/>
  <c r="D4712" i="1"/>
  <c r="D4713" i="1"/>
  <c r="E4713" i="1" s="1"/>
  <c r="D4714" i="1"/>
  <c r="K4714" i="1" s="1"/>
  <c r="D4715" i="1"/>
  <c r="D4716" i="1"/>
  <c r="D4717" i="1"/>
  <c r="D4718" i="1"/>
  <c r="E4718" i="1" s="1"/>
  <c r="D4719" i="1"/>
  <c r="K4719" i="1" s="1"/>
  <c r="D4720" i="1"/>
  <c r="D4721" i="1"/>
  <c r="E4721" i="1" s="1"/>
  <c r="D4722" i="1"/>
  <c r="E4722" i="1" s="1"/>
  <c r="D4723" i="1"/>
  <c r="D4724" i="1"/>
  <c r="D4725" i="1"/>
  <c r="D4726" i="1"/>
  <c r="D4727" i="1"/>
  <c r="D4728" i="1"/>
  <c r="D4729" i="1"/>
  <c r="E4729" i="1" s="1"/>
  <c r="D4730" i="1"/>
  <c r="D4731" i="1"/>
  <c r="D4732" i="1"/>
  <c r="D4733" i="1"/>
  <c r="D4734" i="1"/>
  <c r="E4734" i="1" s="1"/>
  <c r="D4735" i="1"/>
  <c r="E4735" i="1" s="1"/>
  <c r="D4736" i="1"/>
  <c r="D4737" i="1"/>
  <c r="E4737" i="1" s="1"/>
  <c r="D4738" i="1"/>
  <c r="E4738" i="1" s="1"/>
  <c r="D4739" i="1"/>
  <c r="D4740" i="1"/>
  <c r="D4741" i="1"/>
  <c r="D4742" i="1"/>
  <c r="D4743" i="1"/>
  <c r="D4744" i="1"/>
  <c r="D4745" i="1"/>
  <c r="E4745" i="1" s="1"/>
  <c r="D4746" i="1"/>
  <c r="E4746" i="1" s="1"/>
  <c r="D4747" i="1"/>
  <c r="D4748" i="1"/>
  <c r="D4749" i="1"/>
  <c r="D4750" i="1"/>
  <c r="E4750" i="1" s="1"/>
  <c r="D4751" i="1"/>
  <c r="D4752" i="1"/>
  <c r="D4753" i="1"/>
  <c r="E4753" i="1" s="1"/>
  <c r="D4754" i="1"/>
  <c r="D4755" i="1"/>
  <c r="D4756" i="1"/>
  <c r="D4757" i="1"/>
  <c r="D4758" i="1"/>
  <c r="D4759" i="1"/>
  <c r="K4759" i="1" s="1"/>
  <c r="D4760" i="1"/>
  <c r="D4761" i="1"/>
  <c r="E4761" i="1" s="1"/>
  <c r="D4762" i="1"/>
  <c r="K4762" i="1" s="1"/>
  <c r="D4763" i="1"/>
  <c r="D4764" i="1"/>
  <c r="D4765" i="1"/>
  <c r="D4766" i="1"/>
  <c r="D4767" i="1"/>
  <c r="E4767" i="1" s="1"/>
  <c r="D4768" i="1"/>
  <c r="D4769" i="1"/>
  <c r="E4769" i="1" s="1"/>
  <c r="D4770" i="1"/>
  <c r="D4771" i="1"/>
  <c r="D4772" i="1"/>
  <c r="D4773" i="1"/>
  <c r="D4774" i="1"/>
  <c r="D4775" i="1"/>
  <c r="E4775" i="1" s="1"/>
  <c r="D4776" i="1"/>
  <c r="D4777" i="1"/>
  <c r="E4777" i="1" s="1"/>
  <c r="D4778" i="1"/>
  <c r="L4778" i="1" s="1"/>
  <c r="D4779" i="1"/>
  <c r="D4780" i="1"/>
  <c r="D4781" i="1"/>
  <c r="D4782" i="1"/>
  <c r="E4782" i="1" s="1"/>
  <c r="D4783" i="1"/>
  <c r="D4784" i="1"/>
  <c r="J4784" i="1" s="1"/>
  <c r="D4785" i="1"/>
  <c r="E4785" i="1" s="1"/>
  <c r="D4786" i="1"/>
  <c r="D4787" i="1"/>
  <c r="D4788" i="1"/>
  <c r="D4789" i="1"/>
  <c r="D4790" i="1"/>
  <c r="D4791" i="1"/>
  <c r="D4792" i="1"/>
  <c r="D4793" i="1"/>
  <c r="E4793" i="1" s="1"/>
  <c r="D4794" i="1"/>
  <c r="D4795" i="1"/>
  <c r="D4796" i="1"/>
  <c r="D4797" i="1"/>
  <c r="D4798" i="1"/>
  <c r="D4799" i="1"/>
  <c r="K4799" i="1" s="1"/>
  <c r="D4800" i="1"/>
  <c r="D4801" i="1"/>
  <c r="E4801" i="1" s="1"/>
  <c r="D4802" i="1"/>
  <c r="L4802" i="1" s="1"/>
  <c r="D4803" i="1"/>
  <c r="D4804" i="1"/>
  <c r="D4805" i="1"/>
  <c r="D4806" i="1"/>
  <c r="D4807" i="1"/>
  <c r="E4807" i="1" s="1"/>
  <c r="D4808" i="1"/>
  <c r="D4809" i="1"/>
  <c r="E4809" i="1" s="1"/>
  <c r="D4810" i="1"/>
  <c r="D4811" i="1"/>
  <c r="D4812" i="1"/>
  <c r="D4813" i="1"/>
  <c r="D4814" i="1"/>
  <c r="E4814" i="1" s="1"/>
  <c r="D4815" i="1"/>
  <c r="J4815" i="1" s="1"/>
  <c r="D4816" i="1"/>
  <c r="J4816" i="1" s="1"/>
  <c r="D4817" i="1"/>
  <c r="E4817" i="1" s="1"/>
  <c r="D4818" i="1"/>
  <c r="D4819" i="1"/>
  <c r="D4820" i="1"/>
  <c r="D4821" i="1"/>
  <c r="D4822" i="1"/>
  <c r="D4823" i="1"/>
  <c r="K4823" i="1" s="1"/>
  <c r="D4824" i="1"/>
  <c r="D4825" i="1"/>
  <c r="E4825" i="1" s="1"/>
  <c r="D4826" i="1"/>
  <c r="L4826" i="1" s="1"/>
  <c r="D4827" i="1"/>
  <c r="D4828" i="1"/>
  <c r="D4829" i="1"/>
  <c r="D4830" i="1"/>
  <c r="E4830" i="1" s="1"/>
  <c r="D4831" i="1"/>
  <c r="D4832" i="1"/>
  <c r="D4833" i="1"/>
  <c r="E4833" i="1" s="1"/>
  <c r="D4834" i="1"/>
  <c r="D4835" i="1"/>
  <c r="D4836" i="1"/>
  <c r="D4837" i="1"/>
  <c r="D4838" i="1"/>
  <c r="D4839" i="1"/>
  <c r="D4840" i="1"/>
  <c r="D4841" i="1"/>
  <c r="E4841" i="1" s="1"/>
  <c r="D4842" i="1"/>
  <c r="L4842" i="1" s="1"/>
  <c r="D4843" i="1"/>
  <c r="D4844" i="1"/>
  <c r="D4845" i="1"/>
  <c r="D4846" i="1"/>
  <c r="E4846" i="1" s="1"/>
  <c r="D4847" i="1"/>
  <c r="D4848" i="1"/>
  <c r="D4849" i="1"/>
  <c r="E4849" i="1" s="1"/>
  <c r="D4850" i="1"/>
  <c r="D4851" i="1"/>
  <c r="D4852" i="1"/>
  <c r="D4853" i="1"/>
  <c r="D4854" i="1"/>
  <c r="D4855" i="1"/>
  <c r="D4856" i="1"/>
  <c r="D4857" i="1"/>
  <c r="E4857" i="1" s="1"/>
  <c r="D4858" i="1"/>
  <c r="D4859" i="1"/>
  <c r="D4860" i="1"/>
  <c r="E4860" i="1" s="1"/>
  <c r="D4861" i="1"/>
  <c r="D4862" i="1"/>
  <c r="D4863" i="1"/>
  <c r="K4863" i="1" s="1"/>
  <c r="D4864" i="1"/>
  <c r="D4865" i="1"/>
  <c r="E4865" i="1" s="1"/>
  <c r="D4866" i="1"/>
  <c r="L4866" i="1" s="1"/>
  <c r="D4867" i="1"/>
  <c r="D4868" i="1"/>
  <c r="D4869" i="1"/>
  <c r="D4870" i="1"/>
  <c r="D4871" i="1"/>
  <c r="D4872" i="1"/>
  <c r="D4873" i="1"/>
  <c r="E4873" i="1" s="1"/>
  <c r="D4874" i="1"/>
  <c r="D4875" i="1"/>
  <c r="D4876" i="1"/>
  <c r="D4877" i="1"/>
  <c r="D4878" i="1"/>
  <c r="D4879" i="1"/>
  <c r="D4880" i="1"/>
  <c r="D4881" i="1"/>
  <c r="E4881" i="1" s="1"/>
  <c r="D4882" i="1"/>
  <c r="E4882" i="1" s="1"/>
  <c r="D4883" i="1"/>
  <c r="D4884" i="1"/>
  <c r="D4885" i="1"/>
  <c r="D4886" i="1"/>
  <c r="D4887" i="1"/>
  <c r="K4887" i="1" s="1"/>
  <c r="D4888" i="1"/>
  <c r="D4889" i="1"/>
  <c r="E4889" i="1" s="1"/>
  <c r="D4890" i="1"/>
  <c r="L4890" i="1" s="1"/>
  <c r="D4891" i="1"/>
  <c r="D4892" i="1"/>
  <c r="D4893" i="1"/>
  <c r="D4894" i="1"/>
  <c r="D4895" i="1"/>
  <c r="D4896" i="1"/>
  <c r="D4897" i="1"/>
  <c r="E4897" i="1" s="1"/>
  <c r="D4898" i="1"/>
  <c r="D4899" i="1"/>
  <c r="D4900" i="1"/>
  <c r="D4901" i="1"/>
  <c r="D4902" i="1"/>
  <c r="D4903" i="1"/>
  <c r="D4904" i="1"/>
  <c r="D4905" i="1"/>
  <c r="E4905" i="1" s="1"/>
  <c r="D4906" i="1"/>
  <c r="D4907" i="1"/>
  <c r="D4908" i="1"/>
  <c r="D4909" i="1"/>
  <c r="D4910" i="1"/>
  <c r="D4911" i="1"/>
  <c r="K4911" i="1" s="1"/>
  <c r="D4912" i="1"/>
  <c r="D4913" i="1"/>
  <c r="E4913" i="1" s="1"/>
  <c r="D4914" i="1"/>
  <c r="E4914" i="1" s="1"/>
  <c r="D4915" i="1"/>
  <c r="D4916" i="1"/>
  <c r="D4917" i="1"/>
  <c r="D4918" i="1"/>
  <c r="D4919" i="1"/>
  <c r="E4919" i="1" s="1"/>
  <c r="D4920" i="1"/>
  <c r="D4921" i="1"/>
  <c r="E4921" i="1" s="1"/>
  <c r="D4922" i="1"/>
  <c r="D4923" i="1"/>
  <c r="D4924" i="1"/>
  <c r="D4925" i="1"/>
  <c r="D4926" i="1"/>
  <c r="E4926" i="1" s="1"/>
  <c r="D4927" i="1"/>
  <c r="K4927" i="1" s="1"/>
  <c r="D4928" i="1"/>
  <c r="D4929" i="1"/>
  <c r="E4929" i="1" s="1"/>
  <c r="D4930" i="1"/>
  <c r="K4930" i="1" s="1"/>
  <c r="D4931" i="1"/>
  <c r="K4931" i="1" s="1"/>
  <c r="D4932" i="1"/>
  <c r="D4933" i="1"/>
  <c r="D4934" i="1"/>
  <c r="D4935" i="1"/>
  <c r="E4935" i="1" s="1"/>
  <c r="D4936" i="1"/>
  <c r="D4937" i="1"/>
  <c r="E4937" i="1" s="1"/>
  <c r="D4938" i="1"/>
  <c r="D4939" i="1"/>
  <c r="D4940" i="1"/>
  <c r="D4941" i="1"/>
  <c r="D4942" i="1"/>
  <c r="D4943" i="1"/>
  <c r="J4943" i="1" s="1"/>
  <c r="D4944" i="1"/>
  <c r="D4945" i="1"/>
  <c r="E4945" i="1" s="1"/>
  <c r="D4946" i="1"/>
  <c r="D4947" i="1"/>
  <c r="D4948" i="1"/>
  <c r="D4949" i="1"/>
  <c r="D4950" i="1"/>
  <c r="D4951" i="1"/>
  <c r="K4951" i="1" s="1"/>
  <c r="D4952" i="1"/>
  <c r="D4953" i="1"/>
  <c r="E4953" i="1" s="1"/>
  <c r="D4954" i="1"/>
  <c r="D4955" i="1"/>
  <c r="D4956" i="1"/>
  <c r="D4957" i="1"/>
  <c r="D4958" i="1"/>
  <c r="E4958" i="1" s="1"/>
  <c r="D4959" i="1"/>
  <c r="E4959" i="1" s="1"/>
  <c r="D4960" i="1"/>
  <c r="D4961" i="1"/>
  <c r="D4962" i="1"/>
  <c r="D4963" i="1"/>
  <c r="D4964" i="1"/>
  <c r="D4965" i="1"/>
  <c r="D4966" i="1"/>
  <c r="D4967" i="1"/>
  <c r="D4968" i="1"/>
  <c r="D4969" i="1"/>
  <c r="E4969" i="1" s="1"/>
  <c r="D4970" i="1"/>
  <c r="L4970" i="1" s="1"/>
  <c r="D4971" i="1"/>
  <c r="D4972" i="1"/>
  <c r="D4973" i="1"/>
  <c r="D4974" i="1"/>
  <c r="E4974" i="1" s="1"/>
  <c r="D4975" i="1"/>
  <c r="K4975" i="1" s="1"/>
  <c r="D4976" i="1"/>
  <c r="D4977" i="1"/>
  <c r="E4977" i="1" s="1"/>
  <c r="D4978" i="1"/>
  <c r="D4979" i="1"/>
  <c r="D4980" i="1"/>
  <c r="D4981" i="1"/>
  <c r="D4982" i="1"/>
  <c r="D4983" i="1"/>
  <c r="D4984" i="1"/>
  <c r="D4985" i="1"/>
  <c r="E4985" i="1" s="1"/>
  <c r="D4986" i="1"/>
  <c r="D4987" i="1"/>
  <c r="D4988" i="1"/>
  <c r="D4989" i="1"/>
  <c r="D4990" i="1"/>
  <c r="E4990" i="1" s="1"/>
  <c r="D4991" i="1"/>
  <c r="K4991" i="1" s="1"/>
  <c r="D4992" i="1"/>
  <c r="D4993" i="1"/>
  <c r="E4993" i="1" s="1"/>
  <c r="D4994" i="1"/>
  <c r="K4994" i="1" s="1"/>
  <c r="D4995" i="1"/>
  <c r="D4996" i="1"/>
  <c r="D4997" i="1"/>
  <c r="D4998" i="1"/>
  <c r="D4999" i="1"/>
  <c r="E4999" i="1" s="1"/>
  <c r="D5000" i="1"/>
  <c r="D5001" i="1"/>
  <c r="D5002" i="1"/>
  <c r="E5002" i="1" s="1"/>
  <c r="D5003" i="1"/>
  <c r="D5004" i="1"/>
  <c r="D5005" i="1"/>
  <c r="D5006" i="1"/>
  <c r="E5006" i="1" s="1"/>
  <c r="D5007" i="1"/>
  <c r="D5008" i="1"/>
  <c r="D5009" i="1"/>
  <c r="E5009" i="1" s="1"/>
  <c r="D5010" i="1"/>
  <c r="D5011" i="1"/>
  <c r="D5012" i="1"/>
  <c r="D5013" i="1"/>
  <c r="D5014" i="1"/>
  <c r="D5015" i="1"/>
  <c r="D5016" i="1"/>
  <c r="D5017" i="1"/>
  <c r="E5017" i="1" s="1"/>
  <c r="D5018" i="1"/>
  <c r="D5019" i="1"/>
  <c r="D5020" i="1"/>
  <c r="D5021" i="1"/>
  <c r="D5022" i="1"/>
  <c r="E5022" i="1" s="1"/>
  <c r="D5023" i="1"/>
  <c r="D5024" i="1"/>
  <c r="D5025" i="1"/>
  <c r="E5025" i="1" s="1"/>
  <c r="D5026" i="1"/>
  <c r="E5026" i="1" s="1"/>
  <c r="D5027" i="1"/>
  <c r="D5028" i="1"/>
  <c r="D5029" i="1"/>
  <c r="D5030" i="1"/>
  <c r="D5031" i="1"/>
  <c r="E5031" i="1" s="1"/>
  <c r="D5032" i="1"/>
  <c r="D5033" i="1"/>
  <c r="E5033" i="1" s="1"/>
  <c r="D5034" i="1"/>
  <c r="L5034" i="1" s="1"/>
  <c r="D5035" i="1"/>
  <c r="D5036" i="1"/>
  <c r="D5037" i="1"/>
  <c r="D5038" i="1"/>
  <c r="E5038" i="1" s="1"/>
  <c r="D5039" i="1"/>
  <c r="K5039" i="1" s="1"/>
  <c r="D5040" i="1"/>
  <c r="D5041" i="1"/>
  <c r="E5041" i="1" s="1"/>
  <c r="D5042" i="1"/>
  <c r="D5043" i="1"/>
  <c r="D5044" i="1"/>
  <c r="D5045" i="1"/>
  <c r="D5046" i="1"/>
  <c r="D5047" i="1"/>
  <c r="D5048" i="1"/>
  <c r="D5049" i="1"/>
  <c r="E5049" i="1" s="1"/>
  <c r="D5050" i="1"/>
  <c r="E5050" i="1" s="1"/>
  <c r="D5051" i="1"/>
  <c r="D5052" i="1"/>
  <c r="D5053" i="1"/>
  <c r="D5054" i="1"/>
  <c r="E5054" i="1" s="1"/>
  <c r="D5055" i="1"/>
  <c r="K5055" i="1" s="1"/>
  <c r="D5056" i="1"/>
  <c r="D5057" i="1"/>
  <c r="E5057" i="1" s="1"/>
  <c r="D5058" i="1"/>
  <c r="L5058" i="1" s="1"/>
  <c r="D5059" i="1"/>
  <c r="K5059" i="1" s="1"/>
  <c r="D5060" i="1"/>
  <c r="D5061" i="1"/>
  <c r="D5062" i="1"/>
  <c r="D5063" i="1"/>
  <c r="D5064" i="1"/>
  <c r="D5065" i="1"/>
  <c r="E5065" i="1" s="1"/>
  <c r="D5066" i="1"/>
  <c r="D5067" i="1"/>
  <c r="D5068" i="1"/>
  <c r="D5069" i="1"/>
  <c r="D5070" i="1"/>
  <c r="D5071" i="1"/>
  <c r="D5072" i="1"/>
  <c r="J5072" i="1" s="1"/>
  <c r="D5073" i="1"/>
  <c r="E5073" i="1" s="1"/>
  <c r="D5074" i="1"/>
  <c r="D5075" i="1"/>
  <c r="D5076" i="1"/>
  <c r="D5077" i="1"/>
  <c r="D5078" i="1"/>
  <c r="D5079" i="1"/>
  <c r="K5079" i="1" s="1"/>
  <c r="D5080" i="1"/>
  <c r="D5081" i="1"/>
  <c r="E5081" i="1" s="1"/>
  <c r="D5082" i="1"/>
  <c r="L5082" i="1" s="1"/>
  <c r="D5083" i="1"/>
  <c r="D5084" i="1"/>
  <c r="D5085" i="1"/>
  <c r="D5086" i="1"/>
  <c r="E5086" i="1" s="1"/>
  <c r="D5087" i="1"/>
  <c r="D5088" i="1"/>
  <c r="D5089" i="1"/>
  <c r="E5089" i="1" s="1"/>
  <c r="D5090" i="1"/>
  <c r="D5091" i="1"/>
  <c r="D5092" i="1"/>
  <c r="E5092" i="1" s="1"/>
  <c r="D5093" i="1"/>
  <c r="D5094" i="1"/>
  <c r="D5095" i="1"/>
  <c r="D5096" i="1"/>
  <c r="D5097" i="1"/>
  <c r="E5097" i="1" s="1"/>
  <c r="D5098" i="1"/>
  <c r="L5098" i="1" s="1"/>
  <c r="D5099" i="1"/>
  <c r="D5100" i="1"/>
  <c r="D5101" i="1"/>
  <c r="D5102" i="1"/>
  <c r="D5103" i="1"/>
  <c r="K5103" i="1" s="1"/>
  <c r="D5104" i="1"/>
  <c r="D5105" i="1"/>
  <c r="E5105" i="1" s="1"/>
  <c r="D5106" i="1"/>
  <c r="D5107" i="1"/>
  <c r="D5108" i="1"/>
  <c r="D5109" i="1"/>
  <c r="D5110" i="1"/>
  <c r="D5111" i="1"/>
  <c r="D5112" i="1"/>
  <c r="D5113" i="1"/>
  <c r="E5113" i="1" s="1"/>
  <c r="D5114" i="1"/>
  <c r="E5114" i="1" s="1"/>
  <c r="D5115" i="1"/>
  <c r="D5116" i="1"/>
  <c r="D5117" i="1"/>
  <c r="D5118" i="1"/>
  <c r="D5119" i="1"/>
  <c r="K5119" i="1" s="1"/>
  <c r="D5120" i="1"/>
  <c r="E5120" i="1" s="1"/>
  <c r="D5121" i="1"/>
  <c r="E5121" i="1" s="1"/>
  <c r="D5122" i="1"/>
  <c r="K5122" i="1" s="1"/>
  <c r="D5123" i="1"/>
  <c r="D5124" i="1"/>
  <c r="D5125" i="1"/>
  <c r="D5126" i="1"/>
  <c r="E5126" i="1" s="1"/>
  <c r="D5127" i="1"/>
  <c r="D5128" i="1"/>
  <c r="D5129" i="1"/>
  <c r="E5129" i="1" s="1"/>
  <c r="D5130" i="1"/>
  <c r="D5131" i="1"/>
  <c r="D5132" i="1"/>
  <c r="D5133" i="1"/>
  <c r="D5134" i="1"/>
  <c r="D5135" i="1"/>
  <c r="E5135" i="1" s="1"/>
  <c r="D5136" i="1"/>
  <c r="D5137" i="1"/>
  <c r="E5137" i="1" s="1"/>
  <c r="D5138" i="1"/>
  <c r="E5138" i="1" s="1"/>
  <c r="D5139" i="1"/>
  <c r="D5140" i="1"/>
  <c r="D5141" i="1"/>
  <c r="D5142" i="1"/>
  <c r="E5142" i="1" s="1"/>
  <c r="D5143" i="1"/>
  <c r="K5143" i="1" s="1"/>
  <c r="D5144" i="1"/>
  <c r="D5145" i="1"/>
  <c r="E5145" i="1" s="1"/>
  <c r="D5146" i="1"/>
  <c r="L5146" i="1" s="1"/>
  <c r="D5147" i="1"/>
  <c r="D5148" i="1"/>
  <c r="D5149" i="1"/>
  <c r="D5150" i="1"/>
  <c r="D5151" i="1"/>
  <c r="D5152" i="1"/>
  <c r="D5153" i="1"/>
  <c r="E5153" i="1" s="1"/>
  <c r="D5154" i="1"/>
  <c r="D5155" i="1"/>
  <c r="D5156" i="1"/>
  <c r="D5157" i="1"/>
  <c r="D5158" i="1"/>
  <c r="E5158" i="1" s="1"/>
  <c r="D5159" i="1"/>
  <c r="E5159" i="1" s="1"/>
  <c r="D5160" i="1"/>
  <c r="D5161" i="1"/>
  <c r="E5161" i="1" s="1"/>
  <c r="D5162" i="1"/>
  <c r="L5162" i="1" s="1"/>
  <c r="D5163" i="1"/>
  <c r="K5163" i="1" s="1"/>
  <c r="D5164" i="1"/>
  <c r="D5165" i="1"/>
  <c r="D5166" i="1"/>
  <c r="D5167" i="1"/>
  <c r="K5167" i="1" s="1"/>
  <c r="D5168" i="1"/>
  <c r="J5168" i="1" s="1"/>
  <c r="D5169" i="1"/>
  <c r="E5169" i="1" s="1"/>
  <c r="D5170" i="1"/>
  <c r="D5171" i="1"/>
  <c r="D5172" i="1"/>
  <c r="D5173" i="1"/>
  <c r="D5174" i="1"/>
  <c r="E5174" i="1" s="1"/>
  <c r="D5175" i="1"/>
  <c r="D5176" i="1"/>
  <c r="D5177" i="1"/>
  <c r="E5177" i="1" s="1"/>
  <c r="D5178" i="1"/>
  <c r="D5179" i="1"/>
  <c r="D5180" i="1"/>
  <c r="D5181" i="1"/>
  <c r="D5182" i="1"/>
  <c r="D5183" i="1"/>
  <c r="K5183" i="1" s="1"/>
  <c r="D5184" i="1"/>
  <c r="D5185" i="1"/>
  <c r="E5185" i="1" s="1"/>
  <c r="D5186" i="1"/>
  <c r="D5187" i="1"/>
  <c r="D5188" i="1"/>
  <c r="D5189" i="1"/>
  <c r="D5190" i="1"/>
  <c r="E5190" i="1" s="1"/>
  <c r="D5191" i="1"/>
  <c r="E5191" i="1" s="1"/>
  <c r="D5192" i="1"/>
  <c r="D5193" i="1"/>
  <c r="E5193" i="1" s="1"/>
  <c r="D5194" i="1"/>
  <c r="D5195" i="1"/>
  <c r="D5196" i="1"/>
  <c r="D5197" i="1"/>
  <c r="D5198" i="1"/>
  <c r="D5199" i="1"/>
  <c r="J5199" i="1" s="1"/>
  <c r="D5200" i="1"/>
  <c r="J5200" i="1" s="1"/>
  <c r="D5201" i="1"/>
  <c r="E5201" i="1" s="1"/>
  <c r="D5202" i="1"/>
  <c r="E5202" i="1" s="1"/>
  <c r="D5203" i="1"/>
  <c r="D5204" i="1"/>
  <c r="E5204" i="1" s="1"/>
  <c r="D5205" i="1"/>
  <c r="D5206" i="1"/>
  <c r="D5207" i="1"/>
  <c r="K5207" i="1" s="1"/>
  <c r="D5208" i="1"/>
  <c r="D5209" i="1"/>
  <c r="E5209" i="1" s="1"/>
  <c r="D5210" i="1"/>
  <c r="K5210" i="1" s="1"/>
  <c r="D5211" i="1"/>
  <c r="D5212" i="1"/>
  <c r="D5213" i="1"/>
  <c r="D5214" i="1"/>
  <c r="D5215" i="1"/>
  <c r="D5216" i="1"/>
  <c r="D5217" i="1"/>
  <c r="E5217" i="1" s="1"/>
  <c r="D5218" i="1"/>
  <c r="D5219" i="1"/>
  <c r="D5220" i="1"/>
  <c r="D5221" i="1"/>
  <c r="D5222" i="1"/>
  <c r="D5223" i="1"/>
  <c r="D5224" i="1"/>
  <c r="D5225" i="1"/>
  <c r="E5225" i="1" s="1"/>
  <c r="D5226" i="1"/>
  <c r="L5226" i="1" s="1"/>
  <c r="D5227" i="1"/>
  <c r="D5228" i="1"/>
  <c r="D5229" i="1"/>
  <c r="D5230" i="1"/>
  <c r="D5231" i="1"/>
  <c r="E5231" i="1" s="1"/>
  <c r="D5232" i="1"/>
  <c r="D5233" i="1"/>
  <c r="E5233" i="1" s="1"/>
  <c r="D5234" i="1"/>
  <c r="D5235" i="1"/>
  <c r="D5236" i="1"/>
  <c r="D5237" i="1"/>
  <c r="D5238" i="1"/>
  <c r="D5239" i="1"/>
  <c r="E5239" i="1" s="1"/>
  <c r="D5240" i="1"/>
  <c r="D5241" i="1"/>
  <c r="E5241" i="1" s="1"/>
  <c r="D5242" i="1"/>
  <c r="D5243" i="1"/>
  <c r="D5244" i="1"/>
  <c r="D5245" i="1"/>
  <c r="D5246" i="1"/>
  <c r="D5247" i="1"/>
  <c r="D5248" i="1"/>
  <c r="D5249" i="1"/>
  <c r="E5249" i="1" s="1"/>
  <c r="D5250" i="1"/>
  <c r="L5250" i="1" s="1"/>
  <c r="D5251" i="1"/>
  <c r="D5252" i="1"/>
  <c r="D5253" i="1"/>
  <c r="D5254" i="1"/>
  <c r="D5255" i="1"/>
  <c r="E5255" i="1" s="1"/>
  <c r="D5256" i="1"/>
  <c r="D5257" i="1"/>
  <c r="E5257" i="1" s="1"/>
  <c r="D5258" i="1"/>
  <c r="D5259" i="1"/>
  <c r="D5260" i="1"/>
  <c r="D5261" i="1"/>
  <c r="D5262" i="1"/>
  <c r="D5263" i="1"/>
  <c r="D5264" i="1"/>
  <c r="D5265" i="1"/>
  <c r="E5265" i="1" s="1"/>
  <c r="D5266" i="1"/>
  <c r="D5267" i="1"/>
  <c r="D5268" i="1"/>
  <c r="D5269" i="1"/>
  <c r="D5270" i="1"/>
  <c r="D5271" i="1"/>
  <c r="K5271" i="1" s="1"/>
  <c r="D5272" i="1"/>
  <c r="D5273" i="1"/>
  <c r="E5273" i="1" s="1"/>
  <c r="D5274" i="1"/>
  <c r="L5274" i="1" s="1"/>
  <c r="D5275" i="1"/>
  <c r="D5276" i="1"/>
  <c r="D5277" i="1"/>
  <c r="D5278" i="1"/>
  <c r="D5279" i="1"/>
  <c r="E5279" i="1" s="1"/>
  <c r="D5280" i="1"/>
  <c r="D5281" i="1"/>
  <c r="E5281" i="1" s="1"/>
  <c r="D5282" i="1"/>
  <c r="E5282" i="1" s="1"/>
  <c r="D5283" i="1"/>
  <c r="D5284" i="1"/>
  <c r="D5285" i="1"/>
  <c r="D5286" i="1"/>
  <c r="D5287" i="1"/>
  <c r="E5287" i="1" s="1"/>
  <c r="D5288" i="1"/>
  <c r="D5289" i="1"/>
  <c r="E5289" i="1" s="1"/>
  <c r="D5290" i="1"/>
  <c r="L5290" i="1" s="1"/>
  <c r="D5291" i="1"/>
  <c r="K5291" i="1" s="1"/>
  <c r="D5292" i="1"/>
  <c r="D5293" i="1"/>
  <c r="D5294" i="1"/>
  <c r="D5295" i="1"/>
  <c r="D5296" i="1"/>
  <c r="J5296" i="1" s="1"/>
  <c r="D5297" i="1"/>
  <c r="E5297" i="1" s="1"/>
  <c r="D5298" i="1"/>
  <c r="D5299" i="1"/>
  <c r="D5300" i="1"/>
  <c r="D5301" i="1"/>
  <c r="D5302" i="1"/>
  <c r="D5303" i="1"/>
  <c r="E5303" i="1" s="1"/>
  <c r="D5304" i="1"/>
  <c r="D5305" i="1"/>
  <c r="E5305" i="1" s="1"/>
  <c r="D5306" i="1"/>
  <c r="E5306" i="1" s="1"/>
  <c r="D5307" i="1"/>
  <c r="D5308" i="1"/>
  <c r="D5309" i="1"/>
  <c r="D5310" i="1"/>
  <c r="D5311" i="1"/>
  <c r="K5311" i="1" s="1"/>
  <c r="D5312" i="1"/>
  <c r="D5313" i="1"/>
  <c r="E5313" i="1" s="1"/>
  <c r="D5314" i="1"/>
  <c r="E5314" i="1" s="1"/>
  <c r="D5315" i="1"/>
  <c r="D5316" i="1"/>
  <c r="D5317" i="1"/>
  <c r="D5318" i="1"/>
  <c r="D5319" i="1"/>
  <c r="D5320" i="1"/>
  <c r="D5321" i="1"/>
  <c r="E5321" i="1" s="1"/>
  <c r="D5322" i="1"/>
  <c r="D5323" i="1"/>
  <c r="D5324" i="1"/>
  <c r="D5325" i="1"/>
  <c r="D5326" i="1"/>
  <c r="D5327" i="1"/>
  <c r="D5328" i="1"/>
  <c r="D5329" i="1"/>
  <c r="E5329" i="1" s="1"/>
  <c r="D5330" i="1"/>
  <c r="D5331" i="1"/>
  <c r="D5332" i="1"/>
  <c r="E5332" i="1" s="1"/>
  <c r="D5333" i="1"/>
  <c r="D5334" i="1"/>
  <c r="E5334" i="1" s="1"/>
  <c r="D5335" i="1"/>
  <c r="K5335" i="1" s="1"/>
  <c r="D5336" i="1"/>
  <c r="D5337" i="1"/>
  <c r="E5337" i="1" s="1"/>
  <c r="D5338" i="1"/>
  <c r="D5339" i="1"/>
  <c r="D5340" i="1"/>
  <c r="D5341" i="1"/>
  <c r="D5342" i="1"/>
  <c r="D5343" i="1"/>
  <c r="L5343" i="1" s="1"/>
  <c r="D5344" i="1"/>
  <c r="D5345" i="1"/>
  <c r="E5345" i="1" s="1"/>
  <c r="D5346" i="1"/>
  <c r="D5347" i="1"/>
  <c r="D5348" i="1"/>
  <c r="D5349" i="1"/>
  <c r="D5350" i="1"/>
  <c r="E5350" i="1" s="1"/>
  <c r="D5351" i="1"/>
  <c r="E5351" i="1" s="1"/>
  <c r="D5352" i="1"/>
  <c r="D5353" i="1"/>
  <c r="E5353" i="1" s="1"/>
  <c r="D5354" i="1"/>
  <c r="K5354" i="1" s="1"/>
  <c r="D5355" i="1"/>
  <c r="D5356" i="1"/>
  <c r="D5357" i="1"/>
  <c r="D5358" i="1"/>
  <c r="D5359" i="1"/>
  <c r="K5359" i="1" s="1"/>
  <c r="D5360" i="1"/>
  <c r="D5361" i="1"/>
  <c r="E5361" i="1" s="1"/>
  <c r="D5362" i="1"/>
  <c r="E5362" i="1" s="1"/>
  <c r="D5363" i="1"/>
  <c r="D5364" i="1"/>
  <c r="D5365" i="1"/>
  <c r="D5366" i="1"/>
  <c r="E5366" i="1" s="1"/>
  <c r="D5367" i="1"/>
  <c r="D5368" i="1"/>
  <c r="D5369" i="1"/>
  <c r="E5369" i="1" s="1"/>
  <c r="D5370" i="1"/>
  <c r="D5371" i="1"/>
  <c r="D5372" i="1"/>
  <c r="D5373" i="1"/>
  <c r="D5374" i="1"/>
  <c r="D5375" i="1"/>
  <c r="K5375" i="1" s="1"/>
  <c r="D5376" i="1"/>
  <c r="D5377" i="1"/>
  <c r="E5377" i="1" s="1"/>
  <c r="D5378" i="1"/>
  <c r="D5379" i="1"/>
  <c r="D5380" i="1"/>
  <c r="D5381" i="1"/>
  <c r="D5382" i="1"/>
  <c r="E5382" i="1" s="1"/>
  <c r="D5383" i="1"/>
  <c r="D5384" i="1"/>
  <c r="D5385" i="1"/>
  <c r="E5385" i="1" s="1"/>
  <c r="D5386" i="1"/>
  <c r="D5387" i="1"/>
  <c r="D5388" i="1"/>
  <c r="D5389" i="1"/>
  <c r="D5390" i="1"/>
  <c r="D5391" i="1"/>
  <c r="E5391" i="1" s="1"/>
  <c r="D5392" i="1"/>
  <c r="D5393" i="1"/>
  <c r="E5393" i="1" s="1"/>
  <c r="D5394" i="1"/>
  <c r="D5395" i="1"/>
  <c r="D5396" i="1"/>
  <c r="D5397" i="1"/>
  <c r="D5398" i="1"/>
  <c r="E5398" i="1" s="1"/>
  <c r="D5399" i="1"/>
  <c r="K5399" i="1" s="1"/>
  <c r="D5400" i="1"/>
  <c r="D5401" i="1"/>
  <c r="E5401" i="1" s="1"/>
  <c r="D5402" i="1"/>
  <c r="K5402" i="1" s="1"/>
  <c r="D5403" i="1"/>
  <c r="D5404" i="1"/>
  <c r="D5405" i="1"/>
  <c r="D5406" i="1"/>
  <c r="D5407" i="1"/>
  <c r="D5408" i="1"/>
  <c r="D5409" i="1"/>
  <c r="E5409" i="1" s="1"/>
  <c r="D5410" i="1"/>
  <c r="D5411" i="1"/>
  <c r="D5412" i="1"/>
  <c r="D5413" i="1"/>
  <c r="D5414" i="1"/>
  <c r="D5415" i="1"/>
  <c r="D5416" i="1"/>
  <c r="D5417" i="1"/>
  <c r="E5417" i="1" s="1"/>
  <c r="D5418" i="1"/>
  <c r="L5418" i="1" s="1"/>
  <c r="D5419" i="1"/>
  <c r="D5420" i="1"/>
  <c r="D5421" i="1"/>
  <c r="D5422" i="1"/>
  <c r="D5423" i="1"/>
  <c r="K5423" i="1" s="1"/>
  <c r="D5424" i="1"/>
  <c r="J5424" i="1" s="1"/>
  <c r="D5425" i="1"/>
  <c r="E5425" i="1" s="1"/>
  <c r="D5426" i="1"/>
  <c r="E5426" i="1" s="1"/>
  <c r="D5427" i="1"/>
  <c r="D5428" i="1"/>
  <c r="D5429" i="1"/>
  <c r="D5430" i="1"/>
  <c r="E5430" i="1" s="1"/>
  <c r="D5431" i="1"/>
  <c r="D5432" i="1"/>
  <c r="D5433" i="1"/>
  <c r="E5433" i="1" s="1"/>
  <c r="D5434" i="1"/>
  <c r="D5435" i="1"/>
  <c r="D5436" i="1"/>
  <c r="D5437" i="1"/>
  <c r="D5438" i="1"/>
  <c r="D5439" i="1"/>
  <c r="K5439" i="1" s="1"/>
  <c r="D5440" i="1"/>
  <c r="D5441" i="1"/>
  <c r="E5441" i="1" s="1"/>
  <c r="D5442" i="1"/>
  <c r="L5442" i="1" s="1"/>
  <c r="D5443" i="1"/>
  <c r="K5443" i="1" s="1"/>
  <c r="D5444" i="1"/>
  <c r="D5445" i="1"/>
  <c r="D5446" i="1"/>
  <c r="D5447" i="1"/>
  <c r="D5448" i="1"/>
  <c r="D5449" i="1"/>
  <c r="E5449" i="1" s="1"/>
  <c r="D5450" i="1"/>
  <c r="E5450" i="1" s="1"/>
  <c r="D5451" i="1"/>
  <c r="D5452" i="1"/>
  <c r="D5453" i="1"/>
  <c r="D5454" i="1"/>
  <c r="D5455" i="1"/>
  <c r="J5455" i="1" s="1"/>
  <c r="D5456" i="1"/>
  <c r="J5456" i="1" s="1"/>
  <c r="D5457" i="1"/>
  <c r="E5457" i="1" s="1"/>
  <c r="D5458" i="1"/>
  <c r="E5458" i="1" s="1"/>
  <c r="D5459" i="1"/>
  <c r="D5460" i="1"/>
  <c r="E5460" i="1" s="1"/>
  <c r="D5461" i="1"/>
  <c r="D5462" i="1"/>
  <c r="D5463" i="1"/>
  <c r="K5463" i="1" s="1"/>
  <c r="D5464" i="1"/>
  <c r="D5465" i="1"/>
  <c r="E5465" i="1" s="1"/>
  <c r="D5466" i="1"/>
  <c r="L5466" i="1" s="1"/>
  <c r="D5467" i="1"/>
  <c r="D5468" i="1"/>
  <c r="D5469" i="1"/>
  <c r="D5470" i="1"/>
  <c r="D5471" i="1"/>
  <c r="D5472" i="1"/>
  <c r="D5473" i="1"/>
  <c r="E5473" i="1" s="1"/>
  <c r="D5474" i="1"/>
  <c r="E5474" i="1" s="1"/>
  <c r="D5475" i="1"/>
  <c r="D5476" i="1"/>
  <c r="D5477" i="1"/>
  <c r="D5478" i="1"/>
  <c r="D5479" i="1"/>
  <c r="D5480" i="1"/>
  <c r="D5481" i="1"/>
  <c r="E5481" i="1" s="1"/>
  <c r="D5482" i="1"/>
  <c r="E5482" i="1" s="1"/>
  <c r="D5483" i="1"/>
  <c r="D5484" i="1"/>
  <c r="D5485" i="1"/>
  <c r="D5486" i="1"/>
  <c r="D5487" i="1"/>
  <c r="K5487" i="1" s="1"/>
  <c r="D5488" i="1"/>
  <c r="D5489" i="1"/>
  <c r="E5489" i="1" s="1"/>
  <c r="D5490" i="1"/>
  <c r="D5491" i="1"/>
  <c r="D5492" i="1"/>
  <c r="D5493" i="1"/>
  <c r="D5494" i="1"/>
  <c r="D5495" i="1"/>
  <c r="D5496" i="1"/>
  <c r="D5497" i="1"/>
  <c r="E5497" i="1" s="1"/>
  <c r="D5498" i="1"/>
  <c r="D5499" i="1"/>
  <c r="D5500" i="1"/>
  <c r="D5501" i="1"/>
  <c r="D5502" i="1"/>
  <c r="D5503" i="1"/>
  <c r="K5503" i="1" s="1"/>
  <c r="D5504" i="1"/>
  <c r="D5505" i="1"/>
  <c r="E5505" i="1" s="1"/>
  <c r="D5506" i="1"/>
  <c r="L5506" i="1" s="1"/>
  <c r="D5507" i="1"/>
  <c r="D5508" i="1"/>
  <c r="D5509" i="1"/>
  <c r="D5510" i="1"/>
  <c r="D5511" i="1"/>
  <c r="D5512" i="1"/>
  <c r="D5513" i="1"/>
  <c r="E5513" i="1" s="1"/>
  <c r="D5514" i="1"/>
  <c r="D5515" i="1"/>
  <c r="D5516" i="1"/>
  <c r="D5517" i="1"/>
  <c r="D5518" i="1"/>
  <c r="D5519" i="1"/>
  <c r="D5520" i="1"/>
  <c r="D5521" i="1"/>
  <c r="E5521" i="1" s="1"/>
  <c r="D5522" i="1"/>
  <c r="D5523" i="1"/>
  <c r="D5524" i="1"/>
  <c r="D5525" i="1"/>
  <c r="D5526" i="1"/>
  <c r="D5527" i="1"/>
  <c r="D5528" i="1"/>
  <c r="D5529" i="1"/>
  <c r="E5529" i="1" s="1"/>
  <c r="D5530" i="1"/>
  <c r="E5530" i="1" s="1"/>
  <c r="D5531" i="1"/>
  <c r="D5532" i="1"/>
  <c r="D5533" i="1"/>
  <c r="D5534" i="1"/>
  <c r="D5535" i="1"/>
  <c r="D5536" i="1"/>
  <c r="D5537" i="1"/>
  <c r="E5537" i="1" s="1"/>
  <c r="D5538" i="1"/>
  <c r="D5539" i="1"/>
  <c r="D5540" i="1"/>
  <c r="D5541" i="1"/>
  <c r="D5542" i="1"/>
  <c r="D5543" i="1"/>
  <c r="D5544" i="1"/>
  <c r="D5545" i="1"/>
  <c r="E5545" i="1" s="1"/>
  <c r="D5546" i="1"/>
  <c r="L5546" i="1" s="1"/>
  <c r="D5547" i="1"/>
  <c r="D5548" i="1"/>
  <c r="D5549" i="1"/>
  <c r="D5550" i="1"/>
  <c r="D5551" i="1"/>
  <c r="K5551" i="1" s="1"/>
  <c r="D5552" i="1"/>
  <c r="J5552" i="1" s="1"/>
  <c r="D5553" i="1"/>
  <c r="E5553" i="1" s="1"/>
  <c r="D5554" i="1"/>
  <c r="D5555" i="1"/>
  <c r="D5556" i="1"/>
  <c r="D5557" i="1"/>
  <c r="D5558" i="1"/>
  <c r="D5559" i="1"/>
  <c r="D5560" i="1"/>
  <c r="D5561" i="1"/>
  <c r="E5561" i="1" s="1"/>
  <c r="D5562" i="1"/>
  <c r="E5562" i="1" s="1"/>
  <c r="D5563" i="1"/>
  <c r="D5564" i="1"/>
  <c r="D5565" i="1"/>
  <c r="D5566" i="1"/>
  <c r="D5567" i="1"/>
  <c r="K5567" i="1" s="1"/>
  <c r="D5568" i="1"/>
  <c r="D5569" i="1"/>
  <c r="E5569" i="1" s="1"/>
  <c r="D5570" i="1"/>
  <c r="L5570" i="1" s="1"/>
  <c r="D5571" i="1"/>
  <c r="K5571" i="1" s="1"/>
  <c r="D5572" i="1"/>
  <c r="D5573" i="1"/>
  <c r="D5574" i="1"/>
  <c r="D5575" i="1"/>
  <c r="E5575" i="1" s="1"/>
  <c r="D5576" i="1"/>
  <c r="D5577" i="1"/>
  <c r="E5577" i="1" s="1"/>
  <c r="D5578" i="1"/>
  <c r="D5579" i="1"/>
  <c r="D5580" i="1"/>
  <c r="D5581" i="1"/>
  <c r="D5582" i="1"/>
  <c r="D5583" i="1"/>
  <c r="J5583" i="1" s="1"/>
  <c r="D5584" i="1"/>
  <c r="J5584" i="1" s="1"/>
  <c r="D5585" i="1"/>
  <c r="E5585" i="1" s="1"/>
  <c r="D5586" i="1"/>
  <c r="D5587" i="1"/>
  <c r="D5588" i="1"/>
  <c r="E5588" i="1" s="1"/>
  <c r="D5589" i="1"/>
  <c r="D5590" i="1"/>
  <c r="D5591" i="1"/>
  <c r="K5591" i="1" s="1"/>
  <c r="D5592" i="1"/>
  <c r="D5593" i="1"/>
  <c r="E5593" i="1" s="1"/>
  <c r="D5594" i="1"/>
  <c r="D5595" i="1"/>
  <c r="D5596" i="1"/>
  <c r="D5597" i="1"/>
  <c r="D5598" i="1"/>
  <c r="E5598" i="1" s="1"/>
  <c r="D5599" i="1"/>
  <c r="D5600" i="1"/>
  <c r="D5601" i="1"/>
  <c r="E5601" i="1" s="1"/>
  <c r="D5602" i="1"/>
  <c r="D5603" i="1"/>
  <c r="D5604" i="1"/>
  <c r="D5605" i="1"/>
  <c r="D5606" i="1"/>
  <c r="D5607" i="1"/>
  <c r="D5608" i="1"/>
  <c r="D5609" i="1"/>
  <c r="E5609" i="1" s="1"/>
  <c r="D5610" i="1"/>
  <c r="L5610" i="1" s="1"/>
  <c r="D5611" i="1"/>
  <c r="D5612" i="1"/>
  <c r="D5613" i="1"/>
  <c r="D5614" i="1"/>
  <c r="E5614" i="1" s="1"/>
  <c r="D5615" i="1"/>
  <c r="K5615" i="1" s="1"/>
  <c r="D5616" i="1"/>
  <c r="D5617" i="1"/>
  <c r="E5617" i="1" s="1"/>
  <c r="D5618" i="1"/>
  <c r="D5619" i="1"/>
  <c r="D5620" i="1"/>
  <c r="D5621" i="1"/>
  <c r="D5622" i="1"/>
  <c r="D5623" i="1"/>
  <c r="E5623" i="1" s="1"/>
  <c r="D5624" i="1"/>
  <c r="D5625" i="1"/>
  <c r="E5625" i="1" s="1"/>
  <c r="D5626" i="1"/>
  <c r="E5626" i="1" s="1"/>
  <c r="D5627" i="1"/>
  <c r="D5628" i="1"/>
  <c r="D5629" i="1"/>
  <c r="D5630" i="1"/>
  <c r="D5631" i="1"/>
  <c r="K5631" i="1" s="1"/>
  <c r="D5632" i="1"/>
  <c r="D5633" i="1"/>
  <c r="E5633" i="1" s="1"/>
  <c r="D5634" i="1"/>
  <c r="K5634" i="1" s="1"/>
  <c r="D5635" i="1"/>
  <c r="D5636" i="1"/>
  <c r="D5637" i="1"/>
  <c r="D5638" i="1"/>
  <c r="D5639" i="1"/>
  <c r="E5639" i="1" s="1"/>
  <c r="D5640" i="1"/>
  <c r="D5641" i="1"/>
  <c r="E5641" i="1" s="1"/>
  <c r="D5642" i="1"/>
  <c r="D5643" i="1"/>
  <c r="D5644" i="1"/>
  <c r="D5645" i="1"/>
  <c r="D5646" i="1"/>
  <c r="E5646" i="1" s="1"/>
  <c r="D5647" i="1"/>
  <c r="D5648" i="1"/>
  <c r="D5649" i="1"/>
  <c r="E5649" i="1" s="1"/>
  <c r="D5650" i="1"/>
  <c r="D5651" i="1"/>
  <c r="D5652" i="1"/>
  <c r="D5653" i="1"/>
  <c r="D5654" i="1"/>
  <c r="D5655" i="1"/>
  <c r="K5655" i="1" s="1"/>
  <c r="D5656" i="1"/>
  <c r="D5657" i="1"/>
  <c r="E5657" i="1" s="1"/>
  <c r="D5658" i="1"/>
  <c r="E5658" i="1" s="1"/>
  <c r="D5659" i="1"/>
  <c r="D5660" i="1"/>
  <c r="D5661" i="1"/>
  <c r="D5662" i="1"/>
  <c r="D5663" i="1"/>
  <c r="E5663" i="1" s="1"/>
  <c r="D5664" i="1"/>
  <c r="D5665" i="1"/>
  <c r="E5665" i="1" s="1"/>
  <c r="D5666" i="1"/>
  <c r="D5667" i="1"/>
  <c r="D5668" i="1"/>
  <c r="D5669" i="1"/>
  <c r="D5670" i="1"/>
  <c r="D5671" i="1"/>
  <c r="D5672" i="1"/>
  <c r="D5673" i="1"/>
  <c r="D5674" i="1"/>
  <c r="L5674" i="1" s="1"/>
  <c r="D5675" i="1"/>
  <c r="K5675" i="1" s="1"/>
  <c r="D5676" i="1"/>
  <c r="D5677" i="1"/>
  <c r="D5678" i="1"/>
  <c r="E5678" i="1" s="1"/>
  <c r="D5679" i="1"/>
  <c r="K5679" i="1" s="1"/>
  <c r="D5680" i="1"/>
  <c r="D5681" i="1"/>
  <c r="E5681" i="1" s="1"/>
  <c r="D5682" i="1"/>
  <c r="E5682" i="1" s="1"/>
  <c r="D5683" i="1"/>
  <c r="D5684" i="1"/>
  <c r="D5685" i="1"/>
  <c r="D5686" i="1"/>
  <c r="D5687" i="1"/>
  <c r="D5688" i="1"/>
  <c r="D5689" i="1"/>
  <c r="E5689" i="1" s="1"/>
  <c r="D5690" i="1"/>
  <c r="D5691" i="1"/>
  <c r="D5692" i="1"/>
  <c r="D5693" i="1"/>
  <c r="D5694" i="1"/>
  <c r="D5695" i="1"/>
  <c r="K5695" i="1" s="1"/>
  <c r="D5696" i="1"/>
  <c r="D5697" i="1"/>
  <c r="E5697" i="1" s="1"/>
  <c r="D5698" i="1"/>
  <c r="D5699" i="1"/>
  <c r="D5700" i="1"/>
  <c r="D5701" i="1"/>
  <c r="D5702" i="1"/>
  <c r="D5703" i="1"/>
  <c r="E5703" i="1" s="1"/>
  <c r="D5704" i="1"/>
  <c r="D5705" i="1"/>
  <c r="E5705" i="1" s="1"/>
  <c r="D5706" i="1"/>
  <c r="E5706" i="1" s="1"/>
  <c r="D5707" i="1"/>
  <c r="D5708" i="1"/>
  <c r="D5709" i="1"/>
  <c r="D5710" i="1"/>
  <c r="E5710" i="1" s="1"/>
  <c r="D5711" i="1"/>
  <c r="J5711" i="1" s="1"/>
  <c r="D5712" i="1"/>
  <c r="J5712" i="1" s="1"/>
  <c r="D5713" i="1"/>
  <c r="E5713" i="1" s="1"/>
  <c r="D5714" i="1"/>
  <c r="D5715" i="1"/>
  <c r="D5716" i="1"/>
  <c r="E5716" i="1" s="1"/>
  <c r="D5717" i="1"/>
  <c r="D5718" i="1"/>
  <c r="D5719" i="1"/>
  <c r="K5719" i="1" s="1"/>
  <c r="D5720" i="1"/>
  <c r="D5721" i="1"/>
  <c r="E5721" i="1" s="1"/>
  <c r="D5722" i="1"/>
  <c r="K5722" i="1" s="1"/>
  <c r="D5723" i="1"/>
  <c r="D5724" i="1"/>
  <c r="D5725" i="1"/>
  <c r="D5726" i="1"/>
  <c r="D5727" i="1"/>
  <c r="D5728" i="1"/>
  <c r="D5729" i="1"/>
  <c r="E5729" i="1" s="1"/>
  <c r="D5730" i="1"/>
  <c r="D5731" i="1"/>
  <c r="D5732" i="1"/>
  <c r="D5733" i="1"/>
  <c r="D5734" i="1"/>
  <c r="D5735" i="1"/>
  <c r="E5735" i="1" s="1"/>
  <c r="D5736" i="1"/>
  <c r="D5737" i="1"/>
  <c r="E5737" i="1" s="1"/>
  <c r="D5738" i="1"/>
  <c r="L5738" i="1" s="1"/>
  <c r="D5739" i="1"/>
  <c r="D5740" i="1"/>
  <c r="D5741" i="1"/>
  <c r="D5742" i="1"/>
  <c r="D5743" i="1"/>
  <c r="K5743" i="1" s="1"/>
  <c r="D5744" i="1"/>
  <c r="D5745" i="1"/>
  <c r="E5745" i="1" s="1"/>
  <c r="D5746" i="1"/>
  <c r="D5747" i="1"/>
  <c r="D5748" i="1"/>
  <c r="D5749" i="1"/>
  <c r="D5750" i="1"/>
  <c r="D5751" i="1"/>
  <c r="D5752" i="1"/>
  <c r="D5753" i="1"/>
  <c r="E5753" i="1" s="1"/>
  <c r="D5754" i="1"/>
  <c r="D5755" i="1"/>
  <c r="D5756" i="1"/>
  <c r="D5757" i="1"/>
  <c r="D5758" i="1"/>
  <c r="D5759" i="1"/>
  <c r="E5759" i="1" s="1"/>
  <c r="D5760" i="1"/>
  <c r="D5761" i="1"/>
  <c r="E5761" i="1" s="1"/>
  <c r="D5762" i="1"/>
  <c r="E5762" i="1" s="1"/>
  <c r="D5763" i="1"/>
  <c r="D5764" i="1"/>
  <c r="D5765" i="1"/>
  <c r="D5766" i="1"/>
  <c r="D5767" i="1"/>
  <c r="E5767" i="1" s="1"/>
  <c r="D5768" i="1"/>
  <c r="D5769" i="1"/>
  <c r="E5769" i="1" s="1"/>
  <c r="D5770" i="1"/>
  <c r="D5771" i="1"/>
  <c r="D5772" i="1"/>
  <c r="D5773" i="1"/>
  <c r="D5774" i="1"/>
  <c r="D5775" i="1"/>
  <c r="D5776" i="1"/>
  <c r="D5777" i="1"/>
  <c r="E5777" i="1" s="1"/>
  <c r="D5778" i="1"/>
  <c r="D5779" i="1"/>
  <c r="D5780" i="1"/>
  <c r="D5781" i="1"/>
  <c r="D5782" i="1"/>
  <c r="D5783" i="1"/>
  <c r="K5783" i="1" s="1"/>
  <c r="D5784" i="1"/>
  <c r="D5785" i="1"/>
  <c r="E5785" i="1" s="1"/>
  <c r="D5786" i="1"/>
  <c r="K5786" i="1" s="1"/>
  <c r="D5787" i="1"/>
  <c r="D5788" i="1"/>
  <c r="D5789" i="1"/>
  <c r="D5790" i="1"/>
  <c r="D5791" i="1"/>
  <c r="D5792" i="1"/>
  <c r="D5793" i="1"/>
  <c r="E5793" i="1" s="1"/>
  <c r="D5794" i="1"/>
  <c r="D5795" i="1"/>
  <c r="D5796" i="1"/>
  <c r="D5797" i="1"/>
  <c r="D5798" i="1"/>
  <c r="D5799" i="1"/>
  <c r="D5800" i="1"/>
  <c r="D5801" i="1"/>
  <c r="E5801" i="1" s="1"/>
  <c r="D5802" i="1"/>
  <c r="K5802" i="1" s="1"/>
  <c r="D5803" i="1"/>
  <c r="K5803" i="1" s="1"/>
  <c r="D5804" i="1"/>
  <c r="D5805" i="1"/>
  <c r="D5806" i="1"/>
  <c r="D5807" i="1"/>
  <c r="D5808" i="1"/>
  <c r="J5808" i="1" s="1"/>
  <c r="D5809" i="1"/>
  <c r="E5809" i="1" s="1"/>
  <c r="D5810" i="1"/>
  <c r="D5811" i="1"/>
  <c r="D5812" i="1"/>
  <c r="D5813" i="1"/>
  <c r="D5814" i="1"/>
  <c r="D5815" i="1"/>
  <c r="E5815" i="1" s="1"/>
  <c r="D5816" i="1"/>
  <c r="D5817" i="1"/>
  <c r="E5817" i="1" s="1"/>
  <c r="D5818" i="1"/>
  <c r="D5819" i="1"/>
  <c r="D5820" i="1"/>
  <c r="D5821" i="1"/>
  <c r="D5822" i="1"/>
  <c r="D5823" i="1"/>
  <c r="K5823" i="1" s="1"/>
  <c r="D5824" i="1"/>
  <c r="D5825" i="1"/>
  <c r="E5825" i="1" s="1"/>
  <c r="D5826" i="1"/>
  <c r="E5826" i="1" s="1"/>
  <c r="D5827" i="1"/>
  <c r="D5828" i="1"/>
  <c r="D5829" i="1"/>
  <c r="D5830" i="1"/>
  <c r="D5831" i="1"/>
  <c r="E5831" i="1" s="1"/>
  <c r="D5832" i="1"/>
  <c r="D5833" i="1"/>
  <c r="E5833" i="1" s="1"/>
  <c r="D5834" i="1"/>
  <c r="D5835" i="1"/>
  <c r="D5836" i="1"/>
  <c r="D5837" i="1"/>
  <c r="D5838" i="1"/>
  <c r="D5839" i="1"/>
  <c r="J5839" i="1" s="1"/>
  <c r="D5840" i="1"/>
  <c r="J5840" i="1" s="1"/>
  <c r="D5841" i="1"/>
  <c r="E5841" i="1" s="1"/>
  <c r="D5842" i="1"/>
  <c r="D5843" i="1"/>
  <c r="D5844" i="1"/>
  <c r="D5845" i="1"/>
  <c r="D5846" i="1"/>
  <c r="D5847" i="1"/>
  <c r="K5847" i="1" s="1"/>
  <c r="D5848" i="1"/>
  <c r="D5849" i="1"/>
  <c r="E5849" i="1" s="1"/>
  <c r="D5850" i="1"/>
  <c r="D5851" i="1"/>
  <c r="D5852" i="1"/>
  <c r="D5853" i="1"/>
  <c r="D5854" i="1"/>
  <c r="D5855" i="1"/>
  <c r="D5856" i="1"/>
  <c r="D5857" i="1"/>
  <c r="E5857" i="1" s="1"/>
  <c r="D5858" i="1"/>
  <c r="E5858" i="1" s="1"/>
  <c r="D5859" i="1"/>
  <c r="D5860" i="1"/>
  <c r="D5861" i="1"/>
  <c r="D5862" i="1"/>
  <c r="D5863" i="1"/>
  <c r="D5864" i="1"/>
  <c r="D5865" i="1"/>
  <c r="E5865" i="1" s="1"/>
  <c r="D5866" i="1"/>
  <c r="L5866" i="1" s="1"/>
  <c r="D5867" i="1"/>
  <c r="D5868" i="1"/>
  <c r="D5869" i="1"/>
  <c r="D5870" i="1"/>
  <c r="D5871" i="1"/>
  <c r="K5871" i="1" s="1"/>
  <c r="D5872" i="1"/>
  <c r="D5873" i="1"/>
  <c r="E5873" i="1" s="1"/>
  <c r="D5874" i="1"/>
  <c r="D5875" i="1"/>
  <c r="D5876" i="1"/>
  <c r="D5877" i="1"/>
  <c r="D5878" i="1"/>
  <c r="D5879" i="1"/>
  <c r="E5879" i="1" s="1"/>
  <c r="D5880" i="1"/>
  <c r="D5881" i="1"/>
  <c r="E5881" i="1" s="1"/>
  <c r="D5882" i="1"/>
  <c r="E5882" i="1" s="1"/>
  <c r="D5883" i="1"/>
  <c r="D5884" i="1"/>
  <c r="D5885" i="1"/>
  <c r="D5886" i="1"/>
  <c r="D5887" i="1"/>
  <c r="K5887" i="1" s="1"/>
  <c r="D5888" i="1"/>
  <c r="D5889" i="1"/>
  <c r="E5889" i="1" s="1"/>
  <c r="D5890" i="1"/>
  <c r="E5890" i="1" s="1"/>
  <c r="D5891" i="1"/>
  <c r="D5892" i="1"/>
  <c r="D5893" i="1"/>
  <c r="D5894" i="1"/>
  <c r="D5895" i="1"/>
  <c r="D5896" i="1"/>
  <c r="D5897" i="1"/>
  <c r="E5897" i="1" s="1"/>
  <c r="D5898" i="1"/>
  <c r="D5899" i="1"/>
  <c r="D5900" i="1"/>
  <c r="D5901" i="1"/>
  <c r="D5902" i="1"/>
  <c r="D5903" i="1"/>
  <c r="D5904" i="1"/>
  <c r="D5905" i="1"/>
  <c r="E5905" i="1" s="1"/>
  <c r="D5906" i="1"/>
  <c r="D5907" i="1"/>
  <c r="D5908" i="1"/>
  <c r="E5908" i="1" s="1"/>
  <c r="D5909" i="1"/>
  <c r="D5910" i="1"/>
  <c r="D5911" i="1"/>
  <c r="K5911" i="1" s="1"/>
  <c r="D5912" i="1"/>
  <c r="D5913" i="1"/>
  <c r="E5913" i="1" s="1"/>
  <c r="D5914" i="1"/>
  <c r="K5914" i="1" s="1"/>
  <c r="D5915" i="1"/>
  <c r="D5916" i="1"/>
  <c r="D5917" i="1"/>
  <c r="D5918" i="1"/>
  <c r="E5918" i="1" s="1"/>
  <c r="D5919" i="1"/>
  <c r="E5919" i="1" s="1"/>
  <c r="D5920" i="1"/>
  <c r="D5921" i="1"/>
  <c r="E5921" i="1" s="1"/>
  <c r="D5922" i="1"/>
  <c r="D5923" i="1"/>
  <c r="D5924" i="1"/>
  <c r="D5925" i="1"/>
  <c r="D5926" i="1"/>
  <c r="D5927" i="1"/>
  <c r="D5928" i="1"/>
  <c r="D5929" i="1"/>
  <c r="E5929" i="1" s="1"/>
  <c r="D5930" i="1"/>
  <c r="D5931" i="1"/>
  <c r="D5932" i="1"/>
  <c r="D5933" i="1"/>
  <c r="D5934" i="1"/>
  <c r="D5935" i="1"/>
  <c r="K5935" i="1" s="1"/>
  <c r="D5936" i="1"/>
  <c r="J5936" i="1" s="1"/>
  <c r="D5937" i="1"/>
  <c r="E5937" i="1" s="1"/>
  <c r="D5938" i="1"/>
  <c r="D5939" i="1"/>
  <c r="D5940" i="1"/>
  <c r="D5941" i="1"/>
  <c r="D5942" i="1"/>
  <c r="D5943" i="1"/>
  <c r="E5943" i="1" s="1"/>
  <c r="D5944" i="1"/>
  <c r="D5945" i="1"/>
  <c r="E5945" i="1" s="1"/>
  <c r="D5946" i="1"/>
  <c r="D5947" i="1"/>
  <c r="D5948" i="1"/>
  <c r="D5949" i="1"/>
  <c r="D5950" i="1"/>
  <c r="E5950" i="1" s="1"/>
  <c r="D5951" i="1"/>
  <c r="K5951" i="1" s="1"/>
  <c r="D5952" i="1"/>
  <c r="D5953" i="1"/>
  <c r="E5953" i="1" s="1"/>
  <c r="D5954" i="1"/>
  <c r="K5954" i="1" s="1"/>
  <c r="D5955" i="1"/>
  <c r="K5955" i="1" s="1"/>
  <c r="D5956" i="1"/>
  <c r="D5957" i="1"/>
  <c r="D5958" i="1"/>
  <c r="D5959" i="1"/>
  <c r="E5959" i="1" s="1"/>
  <c r="D5960" i="1"/>
  <c r="D5961" i="1"/>
  <c r="E5961" i="1" s="1"/>
  <c r="D5962" i="1"/>
  <c r="D5963" i="1"/>
  <c r="D5964" i="1"/>
  <c r="D5965" i="1"/>
  <c r="D5966" i="1"/>
  <c r="E5966" i="1" s="1"/>
  <c r="D5967" i="1"/>
  <c r="J5967" i="1" s="1"/>
  <c r="D5968" i="1"/>
  <c r="D5969" i="1"/>
  <c r="E5969" i="1" s="1"/>
  <c r="D5970" i="1"/>
  <c r="E5970" i="1" s="1"/>
  <c r="D5971" i="1"/>
  <c r="D5972" i="1"/>
  <c r="D5973" i="1"/>
  <c r="D5974" i="1"/>
  <c r="D5975" i="1"/>
  <c r="K5975" i="1" s="1"/>
  <c r="D5976" i="1"/>
  <c r="D5977" i="1"/>
  <c r="E5977" i="1" s="1"/>
  <c r="D5978" i="1"/>
  <c r="D5979" i="1"/>
  <c r="D5980" i="1"/>
  <c r="D5981" i="1"/>
  <c r="D5982" i="1"/>
  <c r="E5982" i="1" s="1"/>
  <c r="D5983" i="1"/>
  <c r="D5984" i="1"/>
  <c r="D5985" i="1"/>
  <c r="E5985" i="1" s="1"/>
  <c r="D5986" i="1"/>
  <c r="E5986" i="1" s="1"/>
  <c r="D5987" i="1"/>
  <c r="D5988" i="1"/>
  <c r="D5989" i="1"/>
  <c r="D5990" i="1"/>
  <c r="D5991" i="1"/>
  <c r="D5992" i="1"/>
  <c r="D5993" i="1"/>
  <c r="E5993" i="1" s="1"/>
  <c r="D5994" i="1"/>
  <c r="E5994" i="1" s="1"/>
  <c r="D5995" i="1"/>
  <c r="D5996" i="1"/>
  <c r="D5997" i="1"/>
  <c r="D5998" i="1"/>
  <c r="E5998" i="1" s="1"/>
  <c r="D5999" i="1"/>
  <c r="K5999" i="1" s="1"/>
  <c r="D6000" i="1"/>
  <c r="D6001" i="1"/>
  <c r="E6001" i="1" s="1"/>
  <c r="D6002" i="1"/>
  <c r="D6003" i="1"/>
  <c r="D6004" i="1"/>
  <c r="D6005" i="1"/>
  <c r="D6006" i="1"/>
  <c r="D6007" i="1"/>
  <c r="D6008" i="1"/>
  <c r="D6009" i="1"/>
  <c r="E6009" i="1" s="1"/>
  <c r="D6010" i="1"/>
  <c r="D6011" i="1"/>
  <c r="D6012" i="1"/>
  <c r="D6013" i="1"/>
  <c r="D6014" i="1"/>
  <c r="E6014" i="1" s="1"/>
  <c r="D6015" i="1"/>
  <c r="K6015" i="1" s="1"/>
  <c r="D6016" i="1"/>
  <c r="D6017" i="1"/>
  <c r="E6017" i="1" s="1"/>
  <c r="D6018" i="1"/>
  <c r="K6018" i="1" s="1"/>
  <c r="D6019" i="1"/>
  <c r="D6020" i="1"/>
  <c r="D6021" i="1"/>
  <c r="D6022" i="1"/>
  <c r="D6023" i="1"/>
  <c r="E6023" i="1" s="1"/>
  <c r="D6024" i="1"/>
  <c r="D6025" i="1"/>
  <c r="E6025" i="1" s="1"/>
  <c r="D6026" i="1"/>
  <c r="D6027" i="1"/>
  <c r="D6028" i="1"/>
  <c r="D6029" i="1"/>
  <c r="D6030" i="1"/>
  <c r="E6030" i="1" s="1"/>
  <c r="D6031" i="1"/>
  <c r="D6032" i="1"/>
  <c r="D6033" i="1"/>
  <c r="E6033" i="1" s="1"/>
  <c r="D6034" i="1"/>
  <c r="D6035" i="1"/>
  <c r="D6036" i="1"/>
  <c r="D6037" i="1"/>
  <c r="D6038" i="1"/>
  <c r="D6039" i="1"/>
  <c r="D6040" i="1"/>
  <c r="D6041" i="1"/>
  <c r="E6041" i="1" s="1"/>
  <c r="D6042" i="1"/>
  <c r="E6042" i="1" s="1"/>
  <c r="D6043" i="1"/>
  <c r="D6044" i="1"/>
  <c r="D6045" i="1"/>
  <c r="D6046" i="1"/>
  <c r="D6047" i="1"/>
  <c r="D6048" i="1"/>
  <c r="D6049" i="1"/>
  <c r="E6049" i="1" s="1"/>
  <c r="D6050" i="1"/>
  <c r="D6051" i="1"/>
  <c r="D6052" i="1"/>
  <c r="D6053" i="1"/>
  <c r="D6054" i="1"/>
  <c r="D6055" i="1"/>
  <c r="E6055" i="1" s="1"/>
  <c r="D6056" i="1"/>
  <c r="D6057" i="1"/>
  <c r="E6057" i="1" s="1"/>
  <c r="D6058" i="1"/>
  <c r="L6058" i="1" s="1"/>
  <c r="D6059" i="1"/>
  <c r="D6060" i="1"/>
  <c r="D6061" i="1"/>
  <c r="D6062" i="1"/>
  <c r="E6062" i="1" s="1"/>
  <c r="D6063" i="1"/>
  <c r="K6063" i="1" s="1"/>
  <c r="D6064" i="1"/>
  <c r="D6065" i="1"/>
  <c r="E6065" i="1" s="1"/>
  <c r="D6066" i="1"/>
  <c r="E6066" i="1" s="1"/>
  <c r="D6067" i="1"/>
  <c r="D6068" i="1"/>
  <c r="D6069" i="1"/>
  <c r="D6070" i="1"/>
  <c r="D6071" i="1"/>
  <c r="D6072" i="1"/>
  <c r="D6073" i="1"/>
  <c r="E6073" i="1" s="1"/>
  <c r="D6074" i="1"/>
  <c r="D6075" i="1"/>
  <c r="D6076" i="1"/>
  <c r="D6077" i="1"/>
  <c r="D6078" i="1"/>
  <c r="D6079" i="1"/>
  <c r="K6079" i="1" s="1"/>
  <c r="D6080" i="1"/>
  <c r="E6080" i="1" s="1"/>
  <c r="D6081" i="1"/>
  <c r="E6081" i="1" s="1"/>
  <c r="D6082" i="1"/>
  <c r="K6082" i="1" s="1"/>
  <c r="D6083" i="1"/>
  <c r="K6083" i="1" s="1"/>
  <c r="D6084" i="1"/>
  <c r="D6085" i="1"/>
  <c r="D6086" i="1"/>
  <c r="D6087" i="1"/>
  <c r="D6088" i="1"/>
  <c r="D6089" i="1"/>
  <c r="E6089" i="1" s="1"/>
  <c r="D6090" i="1"/>
  <c r="D6091" i="1"/>
  <c r="D6092" i="1"/>
  <c r="D6093" i="1"/>
  <c r="D6094" i="1"/>
  <c r="D6095" i="1"/>
  <c r="J6095" i="1" s="1"/>
  <c r="D6096" i="1"/>
  <c r="J6096" i="1" s="1"/>
  <c r="D6097" i="1"/>
  <c r="E6097" i="1" s="1"/>
  <c r="D6098" i="1"/>
  <c r="D6099" i="1"/>
  <c r="D6100" i="1"/>
  <c r="D6101" i="1"/>
  <c r="D6102" i="1"/>
  <c r="D6103" i="1"/>
  <c r="K6103" i="1" s="1"/>
  <c r="D6104" i="1"/>
  <c r="D6105" i="1"/>
  <c r="E6105" i="1" s="1"/>
  <c r="D6106" i="1"/>
  <c r="L6106" i="1" s="1"/>
  <c r="D6107" i="1"/>
  <c r="D6108" i="1"/>
  <c r="D6109" i="1"/>
  <c r="D6110" i="1"/>
  <c r="D6111" i="1"/>
  <c r="D6112" i="1"/>
  <c r="D6113" i="1"/>
  <c r="E6113" i="1" s="1"/>
  <c r="D6114" i="1"/>
  <c r="D6115" i="1"/>
  <c r="D6116" i="1"/>
  <c r="D6117" i="1"/>
  <c r="D6118" i="1"/>
  <c r="D6119" i="1"/>
  <c r="D6120" i="1"/>
  <c r="D6121" i="1"/>
  <c r="E6121" i="1" s="1"/>
  <c r="D6122" i="1"/>
  <c r="D6123" i="1"/>
  <c r="D6124" i="1"/>
  <c r="D6125" i="1"/>
  <c r="D6126" i="1"/>
  <c r="D6127" i="1"/>
  <c r="K6127" i="1" s="1"/>
  <c r="D6128" i="1"/>
  <c r="D6129" i="1"/>
  <c r="E6129" i="1" s="1"/>
  <c r="D6130" i="1"/>
  <c r="D6131" i="1"/>
  <c r="D6132" i="1"/>
  <c r="D6133" i="1"/>
  <c r="D6134" i="1"/>
  <c r="D6135" i="1"/>
  <c r="D6136" i="1"/>
  <c r="D6137" i="1"/>
  <c r="E6137" i="1" s="1"/>
  <c r="D6138" i="1"/>
  <c r="D6139" i="1"/>
  <c r="D6140" i="1"/>
  <c r="D6141" i="1"/>
  <c r="D6142" i="1"/>
  <c r="D6143" i="1"/>
  <c r="K6143" i="1" s="1"/>
  <c r="D6144" i="1"/>
  <c r="D6145" i="1"/>
  <c r="E6145" i="1" s="1"/>
  <c r="D6146" i="1"/>
  <c r="K6146" i="1" s="1"/>
  <c r="D6147" i="1"/>
  <c r="D6148" i="1"/>
  <c r="D6149" i="1"/>
  <c r="D6150" i="1"/>
  <c r="D6151" i="1"/>
  <c r="D6152" i="1"/>
  <c r="D6153" i="1"/>
  <c r="E6153" i="1" s="1"/>
  <c r="D6154" i="1"/>
  <c r="D6155" i="1"/>
  <c r="D6156" i="1"/>
  <c r="D6157" i="1"/>
  <c r="D6158" i="1"/>
  <c r="D6159" i="1"/>
  <c r="D6160" i="1"/>
  <c r="D6161" i="1"/>
  <c r="E6161" i="1" s="1"/>
  <c r="D6162" i="1"/>
  <c r="D6163" i="1"/>
  <c r="D6164" i="1"/>
  <c r="D6165" i="1"/>
  <c r="D6166" i="1"/>
  <c r="D6167" i="1"/>
  <c r="K6167" i="1" s="1"/>
  <c r="D6168" i="1"/>
  <c r="D6169" i="1"/>
  <c r="E6169" i="1" s="1"/>
  <c r="D6170" i="1"/>
  <c r="E6170" i="1" s="1"/>
  <c r="D6171" i="1"/>
  <c r="D6172" i="1"/>
  <c r="D6173" i="1"/>
  <c r="D6174" i="1"/>
  <c r="D6175" i="1"/>
  <c r="D6176" i="1"/>
  <c r="D6177" i="1"/>
  <c r="E6177" i="1" s="1"/>
  <c r="D6178" i="1"/>
  <c r="E6178" i="1" s="1"/>
  <c r="D6179" i="1"/>
  <c r="D6180" i="1"/>
  <c r="D6181" i="1"/>
  <c r="D6182" i="1"/>
  <c r="D6183" i="1"/>
  <c r="D6184" i="1"/>
  <c r="D6185" i="1"/>
  <c r="E6185" i="1" s="1"/>
  <c r="D6186" i="1"/>
  <c r="L6186" i="1" s="1"/>
  <c r="D6187" i="1"/>
  <c r="K6187" i="1" s="1"/>
  <c r="D6188" i="1"/>
  <c r="D6189" i="1"/>
  <c r="D6190" i="1"/>
  <c r="D6191" i="1"/>
  <c r="K6191" i="1" s="1"/>
  <c r="D6192" i="1"/>
  <c r="J6192" i="1" s="1"/>
  <c r="D6193" i="1"/>
  <c r="E6193" i="1" s="1"/>
  <c r="D6194" i="1"/>
  <c r="D6195" i="1"/>
  <c r="D6196" i="1"/>
  <c r="D6197" i="1"/>
  <c r="D6198" i="1"/>
  <c r="D6199" i="1"/>
  <c r="D6200" i="1"/>
  <c r="D6201" i="1"/>
  <c r="E6201" i="1" s="1"/>
  <c r="D6202" i="1"/>
  <c r="D6203" i="1"/>
  <c r="D6204" i="1"/>
  <c r="D6205" i="1"/>
  <c r="D6206" i="1"/>
  <c r="D6207" i="1"/>
  <c r="K6207" i="1" s="1"/>
  <c r="D6208" i="1"/>
  <c r="D6209" i="1"/>
  <c r="E6209" i="1" s="1"/>
  <c r="D6210" i="1"/>
  <c r="E6210" i="1" s="1"/>
  <c r="D6211" i="1"/>
  <c r="D6212" i="1"/>
  <c r="D6213" i="1"/>
  <c r="D6214" i="1"/>
  <c r="D6215" i="1"/>
  <c r="D6216" i="1"/>
  <c r="D6217" i="1"/>
  <c r="E6217" i="1" s="1"/>
  <c r="D6218" i="1"/>
  <c r="D6219" i="1"/>
  <c r="D6220" i="1"/>
  <c r="E6220" i="1" s="1"/>
  <c r="D6221" i="1"/>
  <c r="D6222" i="1"/>
  <c r="D6223" i="1"/>
  <c r="J6223" i="1" s="1"/>
  <c r="D6224" i="1"/>
  <c r="J6224" i="1" s="1"/>
  <c r="D6225" i="1"/>
  <c r="E6225" i="1" s="1"/>
  <c r="D6226" i="1"/>
  <c r="D6227" i="1"/>
  <c r="D6228" i="1"/>
  <c r="D6229" i="1"/>
  <c r="D6230" i="1"/>
  <c r="E6230" i="1" s="1"/>
  <c r="D6231" i="1"/>
  <c r="K6231" i="1" s="1"/>
  <c r="D6232" i="1"/>
  <c r="D6233" i="1"/>
  <c r="E6233" i="1" s="1"/>
  <c r="D6234" i="1"/>
  <c r="D6235" i="1"/>
  <c r="D6236" i="1"/>
  <c r="D6237" i="1"/>
  <c r="D6238" i="1"/>
  <c r="D6239" i="1"/>
  <c r="D6240" i="1"/>
  <c r="D6241" i="1"/>
  <c r="E6241" i="1" s="1"/>
  <c r="D6242" i="1"/>
  <c r="D6243" i="1"/>
  <c r="D6244" i="1"/>
  <c r="D6245" i="1"/>
  <c r="D6246" i="1"/>
  <c r="E6246" i="1" s="1"/>
  <c r="D6247" i="1"/>
  <c r="E6247" i="1" s="1"/>
  <c r="D6248" i="1"/>
  <c r="D6249" i="1"/>
  <c r="E6249" i="1" s="1"/>
  <c r="D6250" i="1"/>
  <c r="K6250" i="1" s="1"/>
  <c r="D6251" i="1"/>
  <c r="D6252" i="1"/>
  <c r="D6253" i="1"/>
  <c r="D6254" i="1"/>
  <c r="D6255" i="1"/>
  <c r="K6255" i="1" s="1"/>
  <c r="D6256" i="1"/>
  <c r="D6257" i="1"/>
  <c r="E6257" i="1" s="1"/>
  <c r="D6258" i="1"/>
  <c r="D6259" i="1"/>
  <c r="D6260" i="1"/>
  <c r="D6261" i="1"/>
  <c r="D6262" i="1"/>
  <c r="D6263" i="1"/>
  <c r="D6264" i="1"/>
  <c r="D6265" i="1"/>
  <c r="E6265" i="1" s="1"/>
  <c r="D6266" i="1"/>
  <c r="D6267" i="1"/>
  <c r="D6268" i="1"/>
  <c r="D6269" i="1"/>
  <c r="D6270" i="1"/>
  <c r="D6271" i="1"/>
  <c r="E6271" i="1" s="1"/>
  <c r="D6272" i="1"/>
  <c r="D6273" i="1"/>
  <c r="E6273" i="1" s="1"/>
  <c r="D6274" i="1"/>
  <c r="D6275" i="1"/>
  <c r="D6276" i="1"/>
  <c r="D6277" i="1"/>
  <c r="D6278" i="1"/>
  <c r="D6279" i="1"/>
  <c r="D6280" i="1"/>
  <c r="D6281" i="1"/>
  <c r="E6281" i="1" s="1"/>
  <c r="D6282" i="1"/>
  <c r="D6283" i="1"/>
  <c r="D6284" i="1"/>
  <c r="D6285" i="1"/>
  <c r="D6286" i="1"/>
  <c r="D6287" i="1"/>
  <c r="D6288" i="1"/>
  <c r="D6289" i="1"/>
  <c r="E6289" i="1" s="1"/>
  <c r="D6290" i="1"/>
  <c r="D6291" i="1"/>
  <c r="D6292" i="1"/>
  <c r="D6293" i="1"/>
  <c r="D6294" i="1"/>
  <c r="D6295" i="1"/>
  <c r="K6295" i="1" s="1"/>
  <c r="D6296" i="1"/>
  <c r="D6297" i="1"/>
  <c r="E6297" i="1" s="1"/>
  <c r="D6298" i="1"/>
  <c r="L6298" i="1" s="1"/>
  <c r="D6299" i="1"/>
  <c r="D6300" i="1"/>
  <c r="D6301" i="1"/>
  <c r="D6302" i="1"/>
  <c r="D6303" i="1"/>
  <c r="E6303" i="1" s="1"/>
  <c r="D6304" i="1"/>
  <c r="D6305" i="1"/>
  <c r="E6305" i="1" s="1"/>
  <c r="D6306" i="1"/>
  <c r="D6307" i="1"/>
  <c r="D6308" i="1"/>
  <c r="D6309" i="1"/>
  <c r="D6310" i="1"/>
  <c r="D6311" i="1"/>
  <c r="D6312" i="1"/>
  <c r="D6313" i="1"/>
  <c r="E6313" i="1" s="1"/>
  <c r="D6314" i="1"/>
  <c r="L6314" i="1" s="1"/>
  <c r="D6315" i="1"/>
  <c r="K6315" i="1" s="1"/>
  <c r="D6316" i="1"/>
  <c r="D6317" i="1"/>
  <c r="D6318" i="1"/>
  <c r="D6319" i="1"/>
  <c r="E6319" i="1" s="1"/>
  <c r="D6320" i="1"/>
  <c r="J6320" i="1" s="1"/>
  <c r="D6321" i="1"/>
  <c r="E6321" i="1" s="1"/>
  <c r="D6322" i="1"/>
  <c r="D6323" i="1"/>
  <c r="D6324" i="1"/>
  <c r="D6325" i="1"/>
  <c r="D6326" i="1"/>
  <c r="D6327" i="1"/>
  <c r="D6328" i="1"/>
  <c r="D6329" i="1"/>
  <c r="E6329" i="1" s="1"/>
  <c r="D6330" i="1"/>
  <c r="E6330" i="1" s="1"/>
  <c r="D6331" i="1"/>
  <c r="D6332" i="1"/>
  <c r="D6333" i="1"/>
  <c r="D6334" i="1"/>
  <c r="D6335" i="1"/>
  <c r="K6335" i="1" s="1"/>
  <c r="D6336" i="1"/>
  <c r="D6337" i="1"/>
  <c r="E6337" i="1" s="1"/>
  <c r="D6338" i="1"/>
  <c r="E6338" i="1" s="1"/>
  <c r="D6339" i="1"/>
  <c r="D6340" i="1"/>
  <c r="D6341" i="1"/>
  <c r="D6342" i="1"/>
  <c r="E6342" i="1" s="1"/>
  <c r="D6343" i="1"/>
  <c r="E6343" i="1" s="1"/>
  <c r="D6344" i="1"/>
  <c r="D6345" i="1"/>
  <c r="E6345" i="1" s="1"/>
  <c r="D6346" i="1"/>
  <c r="D6347" i="1"/>
  <c r="D6348" i="1"/>
  <c r="D6349" i="1"/>
  <c r="D6350" i="1"/>
  <c r="D6351" i="1"/>
  <c r="D6352" i="1"/>
  <c r="D6353" i="1"/>
  <c r="E6353" i="1" s="1"/>
  <c r="D6354" i="1"/>
  <c r="D6355" i="1"/>
  <c r="D6356" i="1"/>
  <c r="D6357" i="1"/>
  <c r="D6358" i="1"/>
  <c r="D6359" i="1"/>
  <c r="K6359" i="1" s="1"/>
  <c r="D6360" i="1"/>
  <c r="D6361" i="1"/>
  <c r="E6361" i="1" s="1"/>
  <c r="D6362" i="1"/>
  <c r="L6362" i="1" s="1"/>
  <c r="D6363" i="1"/>
  <c r="D6364" i="1"/>
  <c r="D6365" i="1"/>
  <c r="D6366" i="1"/>
  <c r="D6367" i="1"/>
  <c r="D6368" i="1"/>
  <c r="D6369" i="1"/>
  <c r="E6369" i="1" s="1"/>
  <c r="D6370" i="1"/>
  <c r="D6371" i="1"/>
  <c r="D6372" i="1"/>
  <c r="D6373" i="1"/>
  <c r="D6374" i="1"/>
  <c r="E6374" i="1" s="1"/>
  <c r="D6375" i="1"/>
  <c r="D6376" i="1"/>
  <c r="D6377" i="1"/>
  <c r="E6377" i="1" s="1"/>
  <c r="D6378" i="1"/>
  <c r="K6378" i="1" s="1"/>
  <c r="D6379" i="1"/>
  <c r="D6380" i="1"/>
  <c r="D6381" i="1"/>
  <c r="D6382" i="1"/>
  <c r="D6383" i="1"/>
  <c r="K6383" i="1" s="1"/>
  <c r="D6384" i="1"/>
  <c r="D6385" i="1"/>
  <c r="E6385" i="1" s="1"/>
  <c r="D6386" i="1"/>
  <c r="E6386" i="1" s="1"/>
  <c r="D6387" i="1"/>
  <c r="D6388" i="1"/>
  <c r="D6389" i="1"/>
  <c r="D6390" i="1"/>
  <c r="D6391" i="1"/>
  <c r="D6392" i="1"/>
  <c r="D6393" i="1"/>
  <c r="E6393" i="1" s="1"/>
  <c r="D6394" i="1"/>
  <c r="D6395" i="1"/>
  <c r="D6396" i="1"/>
  <c r="D6397" i="1"/>
  <c r="D6398" i="1"/>
  <c r="D6399" i="1"/>
  <c r="K6399" i="1" s="1"/>
  <c r="D6400" i="1"/>
  <c r="D6401" i="1"/>
  <c r="E6401" i="1" s="1"/>
  <c r="D6402" i="1"/>
  <c r="D6403" i="1"/>
  <c r="D6404" i="1"/>
  <c r="D6405" i="1"/>
  <c r="D6406" i="1"/>
  <c r="D6407" i="1"/>
  <c r="E6407" i="1" s="1"/>
  <c r="D6408" i="1"/>
  <c r="D6409" i="1"/>
  <c r="E6409" i="1" s="1"/>
  <c r="D6410" i="1"/>
  <c r="D6411" i="1"/>
  <c r="D6412" i="1"/>
  <c r="D6413" i="1"/>
  <c r="D6414" i="1"/>
  <c r="D6415" i="1"/>
  <c r="D6416" i="1"/>
  <c r="D6417" i="1"/>
  <c r="E6417" i="1" s="1"/>
  <c r="D6418" i="1"/>
  <c r="D6419" i="1"/>
  <c r="D6420" i="1"/>
  <c r="D6421" i="1"/>
  <c r="D6422" i="1"/>
  <c r="D6423" i="1"/>
  <c r="K6423" i="1" s="1"/>
  <c r="D6424" i="1"/>
  <c r="D6425" i="1"/>
  <c r="E6425" i="1" s="1"/>
  <c r="D6426" i="1"/>
  <c r="L6426" i="1" s="1"/>
  <c r="D6427" i="1"/>
  <c r="D6428" i="1"/>
  <c r="D6429" i="1"/>
  <c r="D6430" i="1"/>
  <c r="D6431" i="1"/>
  <c r="E6431" i="1" s="1"/>
  <c r="D6432" i="1"/>
  <c r="D6433" i="1"/>
  <c r="E6433" i="1" s="1"/>
  <c r="D6434" i="1"/>
  <c r="D6435" i="1"/>
  <c r="D6436" i="1"/>
  <c r="D6437" i="1"/>
  <c r="D6438" i="1"/>
  <c r="D6439" i="1"/>
  <c r="D6440" i="1"/>
  <c r="D6441" i="1"/>
  <c r="E6441" i="1" s="1"/>
  <c r="D6442" i="1"/>
  <c r="L6442" i="1" s="1"/>
  <c r="D6443" i="1"/>
  <c r="D6444" i="1"/>
  <c r="D6445" i="1"/>
  <c r="D6446" i="1"/>
  <c r="D6447" i="1"/>
  <c r="K6447" i="1" s="1"/>
  <c r="D6448" i="1"/>
  <c r="J6448" i="1" s="1"/>
  <c r="D6449" i="1"/>
  <c r="E6449" i="1" s="1"/>
  <c r="D6450" i="1"/>
  <c r="D6451" i="1"/>
  <c r="D6452" i="1"/>
  <c r="D6453" i="1"/>
  <c r="D6454" i="1"/>
  <c r="D6455" i="1"/>
  <c r="E6455" i="1" s="1"/>
  <c r="D6456" i="1"/>
  <c r="D6457" i="1"/>
  <c r="E6457" i="1" s="1"/>
  <c r="D6458" i="1"/>
  <c r="E6458" i="1" s="1"/>
  <c r="D6459" i="1"/>
  <c r="D6460" i="1"/>
  <c r="D6461" i="1"/>
  <c r="D6462" i="1"/>
  <c r="D6463" i="1"/>
  <c r="K6463" i="1" s="1"/>
  <c r="D6464" i="1"/>
  <c r="D6465" i="1"/>
  <c r="E6465" i="1" s="1"/>
  <c r="D6466" i="1"/>
  <c r="L6466" i="1" s="1"/>
  <c r="D6467" i="1"/>
  <c r="K6467" i="1" s="1"/>
  <c r="D6468" i="1"/>
  <c r="D6469" i="1"/>
  <c r="D6470" i="1"/>
  <c r="D6471" i="1"/>
  <c r="D6472" i="1"/>
  <c r="D6473" i="1"/>
  <c r="E6473" i="1" s="1"/>
  <c r="D6474" i="1"/>
  <c r="D6475" i="1"/>
  <c r="D6476" i="1"/>
  <c r="E6476" i="1" s="1"/>
  <c r="D6477" i="1"/>
  <c r="D6478" i="1"/>
  <c r="D6479" i="1"/>
  <c r="J6479" i="1" s="1"/>
  <c r="D6480" i="1"/>
  <c r="J6480" i="1" s="1"/>
  <c r="D6481" i="1"/>
  <c r="E6481" i="1" s="1"/>
  <c r="D6482" i="1"/>
  <c r="E6482" i="1" s="1"/>
  <c r="D6483" i="1"/>
  <c r="D6484" i="1"/>
  <c r="D6485" i="1"/>
  <c r="D6486" i="1"/>
  <c r="D6487" i="1"/>
  <c r="K6487" i="1" s="1"/>
  <c r="D6488" i="1"/>
  <c r="D6489" i="1"/>
  <c r="E6489" i="1" s="1"/>
  <c r="D6490" i="1"/>
  <c r="L6490" i="1" s="1"/>
  <c r="D6491" i="1"/>
  <c r="D6492" i="1"/>
  <c r="D6493" i="1"/>
  <c r="D6494" i="1"/>
  <c r="D6495" i="1"/>
  <c r="D6496" i="1"/>
  <c r="D6497" i="1"/>
  <c r="E6497" i="1" s="1"/>
  <c r="D6498" i="1"/>
  <c r="D6499" i="1"/>
  <c r="D6500" i="1"/>
  <c r="D6501" i="1"/>
  <c r="D6502" i="1"/>
  <c r="D6503" i="1"/>
  <c r="D6504" i="1"/>
  <c r="D6505" i="1"/>
  <c r="E6505" i="1" s="1"/>
  <c r="D6506" i="1"/>
  <c r="D6507" i="1"/>
  <c r="D6508" i="1"/>
  <c r="D6509" i="1"/>
  <c r="D6510" i="1"/>
  <c r="D6511" i="1"/>
  <c r="K6511" i="1" s="1"/>
  <c r="D6512" i="1"/>
  <c r="D6513" i="1"/>
  <c r="E6513" i="1" s="1"/>
  <c r="D6514" i="1"/>
  <c r="D6515" i="1"/>
  <c r="D6516" i="1"/>
  <c r="D6517" i="1"/>
  <c r="D6518" i="1"/>
  <c r="D6519" i="1"/>
  <c r="D6520" i="1"/>
  <c r="D6521" i="1"/>
  <c r="E6521" i="1" s="1"/>
  <c r="D6522" i="1"/>
  <c r="E6522" i="1" s="1"/>
  <c r="D6523" i="1"/>
  <c r="D6524" i="1"/>
  <c r="D6525" i="1"/>
  <c r="D6526" i="1"/>
  <c r="D6527" i="1"/>
  <c r="K6527" i="1" s="1"/>
  <c r="D6528" i="1"/>
  <c r="D6529" i="1"/>
  <c r="E6529" i="1" s="1"/>
  <c r="D6530" i="1"/>
  <c r="K6530" i="1" s="1"/>
  <c r="D6531" i="1"/>
  <c r="D6532" i="1"/>
  <c r="D6533" i="1"/>
  <c r="D6534" i="1"/>
  <c r="D6535" i="1"/>
  <c r="E6535" i="1" s="1"/>
  <c r="D6536" i="1"/>
  <c r="D6537" i="1"/>
  <c r="E6537" i="1" s="1"/>
  <c r="D6538" i="1"/>
  <c r="D6539" i="1"/>
  <c r="D6540" i="1"/>
  <c r="D6541" i="1"/>
  <c r="D6542" i="1"/>
  <c r="D6543" i="1"/>
  <c r="D6544" i="1"/>
  <c r="D6545" i="1"/>
  <c r="E6545" i="1" s="1"/>
  <c r="D6546" i="1"/>
  <c r="D6547" i="1"/>
  <c r="K6547" i="1" s="1"/>
  <c r="D6548" i="1"/>
  <c r="D6549" i="1"/>
  <c r="D6550" i="1"/>
  <c r="D6551" i="1"/>
  <c r="D6552" i="1"/>
  <c r="D6553" i="1"/>
  <c r="E6553" i="1" s="1"/>
  <c r="D6554" i="1"/>
  <c r="L6554" i="1" s="1"/>
  <c r="D6555" i="1"/>
  <c r="D6556" i="1"/>
  <c r="D6557" i="1"/>
  <c r="D6558" i="1"/>
  <c r="D6559" i="1"/>
  <c r="D6560" i="1"/>
  <c r="D6561" i="1"/>
  <c r="E6561" i="1" s="1"/>
  <c r="D6562" i="1"/>
  <c r="E6562" i="1" s="1"/>
  <c r="D6563" i="1"/>
  <c r="D6564" i="1"/>
  <c r="D6565" i="1"/>
  <c r="D6566" i="1"/>
  <c r="D6567" i="1"/>
  <c r="D6568" i="1"/>
  <c r="D6569" i="1"/>
  <c r="E6569" i="1" s="1"/>
  <c r="D6570" i="1"/>
  <c r="D6571" i="1"/>
  <c r="D6572" i="1"/>
  <c r="D6573" i="1"/>
  <c r="D6574" i="1"/>
  <c r="D6575" i="1"/>
  <c r="K6575" i="1" s="1"/>
  <c r="D6576" i="1"/>
  <c r="J6576" i="1" s="1"/>
  <c r="D6577" i="1"/>
  <c r="E6577" i="1" s="1"/>
  <c r="D6578" i="1"/>
  <c r="D6579" i="1"/>
  <c r="D6580" i="1"/>
  <c r="D6581" i="1"/>
  <c r="D6582" i="1"/>
  <c r="D6583" i="1"/>
  <c r="D6584" i="1"/>
  <c r="D6585" i="1"/>
  <c r="E6585" i="1" s="1"/>
  <c r="D6586" i="1"/>
  <c r="D6587" i="1"/>
  <c r="D6588" i="1"/>
  <c r="D6589" i="1"/>
  <c r="D6590" i="1"/>
  <c r="D6591" i="1"/>
  <c r="K6591" i="1" s="1"/>
  <c r="D6592" i="1"/>
  <c r="D6593" i="1"/>
  <c r="E6593" i="1" s="1"/>
  <c r="D6594" i="1"/>
  <c r="K6594" i="1" s="1"/>
  <c r="D6595" i="1"/>
  <c r="D6596" i="1"/>
  <c r="D6597" i="1"/>
  <c r="D6598" i="1"/>
  <c r="D6599" i="1"/>
  <c r="D6600" i="1"/>
  <c r="D6601" i="1"/>
  <c r="E6601" i="1" s="1"/>
  <c r="D6602" i="1"/>
  <c r="E6602" i="1" s="1"/>
  <c r="D6603" i="1"/>
  <c r="D6604" i="1"/>
  <c r="D6605" i="1"/>
  <c r="D6606" i="1"/>
  <c r="D6607" i="1"/>
  <c r="J6607" i="1" s="1"/>
  <c r="D6608" i="1"/>
  <c r="J6608" i="1" s="1"/>
  <c r="D6609" i="1"/>
  <c r="E6609" i="1" s="1"/>
  <c r="D6610" i="1"/>
  <c r="D6611" i="1"/>
  <c r="D6612" i="1"/>
  <c r="D6613" i="1"/>
  <c r="D6614" i="1"/>
  <c r="D6615" i="1"/>
  <c r="K6615" i="1" s="1"/>
  <c r="D6616" i="1"/>
  <c r="D6617" i="1"/>
  <c r="E6617" i="1" s="1"/>
  <c r="D6618" i="1"/>
  <c r="L6618" i="1" s="1"/>
  <c r="D6619" i="1"/>
  <c r="D6620" i="1"/>
  <c r="D6621" i="1"/>
  <c r="D6622" i="1"/>
  <c r="D6623" i="1"/>
  <c r="E6623" i="1" s="1"/>
  <c r="D6624" i="1"/>
  <c r="D6625" i="1"/>
  <c r="E6625" i="1" s="1"/>
  <c r="D6626" i="1"/>
  <c r="D6627" i="1"/>
  <c r="D6628" i="1"/>
  <c r="D6629" i="1"/>
  <c r="D6630" i="1"/>
  <c r="D6631" i="1"/>
  <c r="D6632" i="1"/>
  <c r="D6633" i="1"/>
  <c r="E6633" i="1" s="1"/>
  <c r="D6634" i="1"/>
  <c r="L6634" i="1" s="1"/>
  <c r="D6635" i="1"/>
  <c r="D6636" i="1"/>
  <c r="D6637" i="1"/>
  <c r="D6638" i="1"/>
  <c r="D6639" i="1"/>
  <c r="K6639" i="1" s="1"/>
  <c r="D6640" i="1"/>
  <c r="D6641" i="1"/>
  <c r="E6641" i="1" s="1"/>
  <c r="D6642" i="1"/>
  <c r="E6642" i="1" s="1"/>
  <c r="D6643" i="1"/>
  <c r="D6644" i="1"/>
  <c r="D6645" i="1"/>
  <c r="D6646" i="1"/>
  <c r="D6647" i="1"/>
  <c r="D6648" i="1"/>
  <c r="D6649" i="1"/>
  <c r="E6649" i="1" s="1"/>
  <c r="D6650" i="1"/>
  <c r="D6651" i="1"/>
  <c r="D6652" i="1"/>
  <c r="D6653" i="1"/>
  <c r="D6654" i="1"/>
  <c r="D6655" i="1"/>
  <c r="K6655" i="1" s="1"/>
  <c r="D6656" i="1"/>
  <c r="D6657" i="1"/>
  <c r="E6657" i="1" s="1"/>
  <c r="D6658" i="1"/>
  <c r="K6658" i="1" s="1"/>
  <c r="D6659" i="1"/>
  <c r="D6660" i="1"/>
  <c r="D6661" i="1"/>
  <c r="D6662" i="1"/>
  <c r="D6663" i="1"/>
  <c r="D6664" i="1"/>
  <c r="D6665" i="1"/>
  <c r="E6665" i="1" s="1"/>
  <c r="D6666" i="1"/>
  <c r="D6667" i="1"/>
  <c r="D6668" i="1"/>
  <c r="D6669" i="1"/>
  <c r="D6670" i="1"/>
  <c r="D6671" i="1"/>
  <c r="E6671" i="1" s="1"/>
  <c r="D6672" i="1"/>
  <c r="D6673" i="1"/>
  <c r="E6673" i="1" s="1"/>
  <c r="D6674" i="1"/>
  <c r="D6675" i="1"/>
  <c r="D6676" i="1"/>
  <c r="D6677" i="1"/>
  <c r="D6678" i="1"/>
  <c r="D6679" i="1"/>
  <c r="K6679" i="1" s="1"/>
  <c r="D6680" i="1"/>
  <c r="D6681" i="1"/>
  <c r="E6681" i="1" s="1"/>
  <c r="D6682" i="1"/>
  <c r="D6683" i="1"/>
  <c r="D6684" i="1"/>
  <c r="D6685" i="1"/>
  <c r="D6686" i="1"/>
  <c r="D6687" i="1"/>
  <c r="D6688" i="1"/>
  <c r="D6689" i="1"/>
  <c r="E6689" i="1" s="1"/>
  <c r="D6690" i="1"/>
  <c r="D6691" i="1"/>
  <c r="D6692" i="1"/>
  <c r="D6693" i="1"/>
  <c r="D6694" i="1"/>
  <c r="D6695" i="1"/>
  <c r="D6696" i="1"/>
  <c r="D6697" i="1"/>
  <c r="E6697" i="1" s="1"/>
  <c r="D6698" i="1"/>
  <c r="K6698" i="1" s="1"/>
  <c r="D6699" i="1"/>
  <c r="K6699" i="1" s="1"/>
  <c r="D6700" i="1"/>
  <c r="D6701" i="1"/>
  <c r="D6702" i="1"/>
  <c r="D6703" i="1"/>
  <c r="K6703" i="1" s="1"/>
  <c r="D6704" i="1"/>
  <c r="D6705" i="1"/>
  <c r="E6705" i="1" s="1"/>
  <c r="D6706" i="1"/>
  <c r="E6706" i="1" s="1"/>
  <c r="D6707" i="1"/>
  <c r="D6708" i="1"/>
  <c r="D6709" i="1"/>
  <c r="D6710" i="1"/>
  <c r="D6711" i="1"/>
  <c r="D6712" i="1"/>
  <c r="D6713" i="1"/>
  <c r="E6713" i="1" s="1"/>
  <c r="D6714" i="1"/>
  <c r="D6715" i="1"/>
  <c r="D6716" i="1"/>
  <c r="D6717" i="1"/>
  <c r="D6718" i="1"/>
  <c r="D6719" i="1"/>
  <c r="K6719" i="1" s="1"/>
  <c r="D6720" i="1"/>
  <c r="D6721" i="1"/>
  <c r="E6721" i="1" s="1"/>
  <c r="D6722" i="1"/>
  <c r="D6723" i="1"/>
  <c r="D6724" i="1"/>
  <c r="D6725" i="1"/>
  <c r="D6726" i="1"/>
  <c r="D6727" i="1"/>
  <c r="E6727" i="1" s="1"/>
  <c r="D6728" i="1"/>
  <c r="D6729" i="1"/>
  <c r="E6729" i="1" s="1"/>
  <c r="D6730" i="1"/>
  <c r="E6730" i="1" s="1"/>
  <c r="D6731" i="1"/>
  <c r="D6732" i="1"/>
  <c r="E6732" i="1" s="1"/>
  <c r="D6733" i="1"/>
  <c r="D6734" i="1"/>
  <c r="D6735" i="1"/>
  <c r="J6735" i="1" s="1"/>
  <c r="D6736" i="1"/>
  <c r="J6736" i="1" s="1"/>
  <c r="D6737" i="1"/>
  <c r="E6737" i="1" s="1"/>
  <c r="D6738" i="1"/>
  <c r="D6739" i="1"/>
  <c r="D6740" i="1"/>
  <c r="D6741" i="1"/>
  <c r="D6742" i="1"/>
  <c r="D6743" i="1"/>
  <c r="K6743" i="1" s="1"/>
  <c r="D6744" i="1"/>
  <c r="D6745" i="1"/>
  <c r="E6745" i="1" s="1"/>
  <c r="D6746" i="1"/>
  <c r="L6746" i="1" s="1"/>
  <c r="D6747" i="1"/>
  <c r="D6748" i="1"/>
  <c r="D6749" i="1"/>
  <c r="D6750" i="1"/>
  <c r="D6751" i="1"/>
  <c r="D6752" i="1"/>
  <c r="D6753" i="1"/>
  <c r="E6753" i="1" s="1"/>
  <c r="D6754" i="1"/>
  <c r="E6754" i="1" s="1"/>
  <c r="D6755" i="1"/>
  <c r="D6756" i="1"/>
  <c r="D6757" i="1"/>
  <c r="D6758" i="1"/>
  <c r="E6758" i="1" s="1"/>
  <c r="D6759" i="1"/>
  <c r="D6760" i="1"/>
  <c r="D6761" i="1"/>
  <c r="E6761" i="1" s="1"/>
  <c r="D6762" i="1"/>
  <c r="L6762" i="1" s="1"/>
  <c r="D6763" i="1"/>
  <c r="D6764" i="1"/>
  <c r="D6765" i="1"/>
  <c r="D6766" i="1"/>
  <c r="D6767" i="1"/>
  <c r="K6767" i="1" s="1"/>
  <c r="D6768" i="1"/>
  <c r="D6769" i="1"/>
  <c r="E6769" i="1" s="1"/>
  <c r="D6770" i="1"/>
  <c r="D6771" i="1"/>
  <c r="D6772" i="1"/>
  <c r="D6773" i="1"/>
  <c r="J6773" i="1" s="1"/>
  <c r="D6774" i="1"/>
  <c r="J6774" i="1" s="1"/>
  <c r="D6775" i="1"/>
  <c r="D6776" i="1"/>
  <c r="D6777" i="1"/>
  <c r="E6777" i="1" s="1"/>
  <c r="D6778" i="1"/>
  <c r="D6779" i="1"/>
  <c r="D6780" i="1"/>
  <c r="D6781" i="1"/>
  <c r="D6782" i="1"/>
  <c r="D6783" i="1"/>
  <c r="D6784" i="1"/>
  <c r="D6785" i="1"/>
  <c r="E6785" i="1" s="1"/>
  <c r="D6786" i="1"/>
  <c r="E6786" i="1" s="1"/>
  <c r="D6787" i="1"/>
  <c r="D6788" i="1"/>
  <c r="D6789" i="1"/>
  <c r="D6790" i="1"/>
  <c r="D6791" i="1"/>
  <c r="D6792" i="1"/>
  <c r="D6793" i="1"/>
  <c r="E6793" i="1" s="1"/>
  <c r="D6794" i="1"/>
  <c r="D6795" i="1"/>
  <c r="D6796" i="1"/>
  <c r="D6797" i="1"/>
  <c r="D6798" i="1"/>
  <c r="D6799" i="1"/>
  <c r="D6800" i="1"/>
  <c r="D6801" i="1"/>
  <c r="E6801" i="1" s="1"/>
  <c r="D6802" i="1"/>
  <c r="D6803" i="1"/>
  <c r="D6804" i="1"/>
  <c r="D6805" i="1"/>
  <c r="J6805" i="1" s="1"/>
  <c r="D6806" i="1"/>
  <c r="D6807" i="1"/>
  <c r="K6807" i="1" s="1"/>
  <c r="D6808" i="1"/>
  <c r="D6809" i="1"/>
  <c r="E6809" i="1" s="1"/>
  <c r="D6810" i="1"/>
  <c r="K6810" i="1" s="1"/>
  <c r="D6811" i="1"/>
  <c r="D6812" i="1"/>
  <c r="D6813" i="1"/>
  <c r="D6814" i="1"/>
  <c r="D6815" i="1"/>
  <c r="D6816" i="1"/>
  <c r="D6817" i="1"/>
  <c r="E6817" i="1" s="1"/>
  <c r="D6818" i="1"/>
  <c r="D6819" i="1"/>
  <c r="D6820" i="1"/>
  <c r="D6821" i="1"/>
  <c r="D6822" i="1"/>
  <c r="D6823" i="1"/>
  <c r="D6824" i="1"/>
  <c r="D6825" i="1"/>
  <c r="E6825" i="1" s="1"/>
  <c r="D6826" i="1"/>
  <c r="L6826" i="1" s="1"/>
  <c r="D6827" i="1"/>
  <c r="K6827" i="1" s="1"/>
  <c r="D6828" i="1"/>
  <c r="D6829" i="1"/>
  <c r="D6830" i="1"/>
  <c r="D6831" i="1"/>
  <c r="D6832" i="1"/>
  <c r="D6833" i="1"/>
  <c r="E6833" i="1" s="1"/>
  <c r="D6834" i="1"/>
  <c r="E6834" i="1" s="1"/>
  <c r="D6835" i="1"/>
  <c r="D6836" i="1"/>
  <c r="D6837" i="1"/>
  <c r="D6838" i="1"/>
  <c r="D6839" i="1"/>
  <c r="D6840" i="1"/>
  <c r="D6841" i="1"/>
  <c r="E6841" i="1" s="1"/>
  <c r="D6842" i="1"/>
  <c r="D6843" i="1"/>
  <c r="D6844" i="1"/>
  <c r="D6845" i="1"/>
  <c r="D6846" i="1"/>
  <c r="D6847" i="1"/>
  <c r="K6847" i="1" s="1"/>
  <c r="D6848" i="1"/>
  <c r="D6849" i="1"/>
  <c r="D6850" i="1"/>
  <c r="J6850" i="1" s="1"/>
  <c r="D6851" i="1"/>
  <c r="D6852" i="1"/>
  <c r="D6853" i="1"/>
  <c r="D6854" i="1"/>
  <c r="D6855" i="1"/>
  <c r="D6856" i="1"/>
  <c r="D6857" i="1"/>
  <c r="E6857" i="1" s="1"/>
  <c r="D6858" i="1"/>
  <c r="D6859" i="1"/>
  <c r="D6860" i="1"/>
  <c r="D6861" i="1"/>
  <c r="D6862" i="1"/>
  <c r="D6863" i="1"/>
  <c r="D6864" i="1"/>
  <c r="D6865" i="1"/>
  <c r="D6866" i="1"/>
  <c r="E6866" i="1" s="1"/>
  <c r="D6867" i="1"/>
  <c r="D6868" i="1"/>
  <c r="D6869" i="1"/>
  <c r="J6869" i="1" s="1"/>
  <c r="D6870" i="1"/>
  <c r="D6871" i="1"/>
  <c r="K6871" i="1" s="1"/>
  <c r="D6872" i="1"/>
  <c r="D6873" i="1"/>
  <c r="E6873" i="1" s="1"/>
  <c r="D6874" i="1"/>
  <c r="K6874" i="1" s="1"/>
  <c r="D6875" i="1"/>
  <c r="D6876" i="1"/>
  <c r="D6877" i="1"/>
  <c r="D6878" i="1"/>
  <c r="D6879" i="1"/>
  <c r="D6880" i="1"/>
  <c r="D6881" i="1"/>
  <c r="E6881" i="1" s="1"/>
  <c r="D6882" i="1"/>
  <c r="D6883" i="1"/>
  <c r="D6884" i="1"/>
  <c r="D6885" i="1"/>
  <c r="D6886" i="1"/>
  <c r="E6886" i="1" s="1"/>
  <c r="D6887" i="1"/>
  <c r="D6888" i="1"/>
  <c r="D6889" i="1"/>
  <c r="E6889" i="1" s="1"/>
  <c r="D6890" i="1"/>
  <c r="L6890" i="1" s="1"/>
  <c r="D6891" i="1"/>
  <c r="D6892" i="1"/>
  <c r="D6893" i="1"/>
  <c r="D6894" i="1"/>
  <c r="J6894" i="1" s="1"/>
  <c r="D6895" i="1"/>
  <c r="K6895" i="1" s="1"/>
  <c r="D6896" i="1"/>
  <c r="D6897" i="1"/>
  <c r="E6897" i="1" s="1"/>
  <c r="D6898" i="1"/>
  <c r="D6899" i="1"/>
  <c r="D6900" i="1"/>
  <c r="D6901" i="1"/>
  <c r="D6902" i="1"/>
  <c r="D6903" i="1"/>
  <c r="E6903" i="1" s="1"/>
  <c r="D6904" i="1"/>
  <c r="D6905" i="1"/>
  <c r="E6905" i="1" s="1"/>
  <c r="D6906" i="1"/>
  <c r="D6907" i="1"/>
  <c r="D6908" i="1"/>
  <c r="D6909" i="1"/>
  <c r="D6910" i="1"/>
  <c r="D6911" i="1"/>
  <c r="K6911" i="1" s="1"/>
  <c r="D6912" i="1"/>
  <c r="D6913" i="1"/>
  <c r="E6913" i="1" s="1"/>
  <c r="D6914" i="1"/>
  <c r="L6914" i="1" s="1"/>
  <c r="D6915" i="1"/>
  <c r="D6916" i="1"/>
  <c r="D6917" i="1"/>
  <c r="D6918" i="1"/>
  <c r="D6919" i="1"/>
  <c r="D6920" i="1"/>
  <c r="D6921" i="1"/>
  <c r="E6921" i="1" s="1"/>
  <c r="D6922" i="1"/>
  <c r="L6922" i="1" s="1"/>
  <c r="D6923" i="1"/>
  <c r="D6924" i="1"/>
  <c r="D6925" i="1"/>
  <c r="D6926" i="1"/>
  <c r="D6927" i="1"/>
  <c r="D6928" i="1"/>
  <c r="D6929" i="1"/>
  <c r="E6929" i="1" s="1"/>
  <c r="D6930" i="1"/>
  <c r="E6930" i="1" s="1"/>
  <c r="D6931" i="1"/>
  <c r="D6932" i="1"/>
  <c r="D6933" i="1"/>
  <c r="D6934" i="1"/>
  <c r="D6935" i="1"/>
  <c r="K6935" i="1" s="1"/>
  <c r="D6936" i="1"/>
  <c r="D6937" i="1"/>
  <c r="E6937" i="1" s="1"/>
  <c r="D6938" i="1"/>
  <c r="D6939" i="1"/>
  <c r="D6940" i="1"/>
  <c r="D6941" i="1"/>
  <c r="D6942" i="1"/>
  <c r="D6943" i="1"/>
  <c r="D6944" i="1"/>
  <c r="D6945" i="1"/>
  <c r="E6945" i="1" s="1"/>
  <c r="D6946" i="1"/>
  <c r="D6947" i="1"/>
  <c r="D6948" i="1"/>
  <c r="D6949" i="1"/>
  <c r="D6950" i="1"/>
  <c r="D6951" i="1"/>
  <c r="D6952" i="1"/>
  <c r="D6953" i="1"/>
  <c r="E6953" i="1" s="1"/>
  <c r="D6954" i="1"/>
  <c r="D6955" i="1"/>
  <c r="D6956" i="1"/>
  <c r="D6957" i="1"/>
  <c r="D6958" i="1"/>
  <c r="J6958" i="1" s="1"/>
  <c r="D6959" i="1"/>
  <c r="K6959" i="1" s="1"/>
  <c r="D6960" i="1"/>
  <c r="D6961" i="1"/>
  <c r="E6961" i="1" s="1"/>
  <c r="D6962" i="1"/>
  <c r="D6963" i="1"/>
  <c r="D6964" i="1"/>
  <c r="D6965" i="1"/>
  <c r="D6966" i="1"/>
  <c r="D6967" i="1"/>
  <c r="D6968" i="1"/>
  <c r="D6969" i="1"/>
  <c r="E6969" i="1" s="1"/>
  <c r="D6970" i="1"/>
  <c r="E6970" i="1" s="1"/>
  <c r="D6971" i="1"/>
  <c r="D6972" i="1"/>
  <c r="D6973" i="1"/>
  <c r="D6974" i="1"/>
  <c r="D6975" i="1"/>
  <c r="K6975" i="1" s="1"/>
  <c r="D6976" i="1"/>
  <c r="D6977" i="1"/>
  <c r="E6977" i="1" s="1"/>
  <c r="D6978" i="1"/>
  <c r="L6978" i="1" s="1"/>
  <c r="D6979" i="1"/>
  <c r="D6980" i="1"/>
  <c r="D6981" i="1"/>
  <c r="D6982" i="1"/>
  <c r="D6983" i="1"/>
  <c r="D6984" i="1"/>
  <c r="D6985" i="1"/>
  <c r="E6985" i="1" s="1"/>
  <c r="D6986" i="1"/>
  <c r="D6987" i="1"/>
  <c r="D6988" i="1"/>
  <c r="E6988" i="1" s="1"/>
  <c r="D6989" i="1"/>
  <c r="D6990" i="1"/>
  <c r="D6991" i="1"/>
  <c r="E6991" i="1" s="1"/>
  <c r="D6992" i="1"/>
  <c r="D6993" i="1"/>
  <c r="E6993" i="1" s="1"/>
  <c r="D6994" i="1"/>
  <c r="E6994" i="1" s="1"/>
  <c r="D6995" i="1"/>
  <c r="D6996" i="1"/>
  <c r="D6997" i="1"/>
  <c r="D6998" i="1"/>
  <c r="D6999" i="1"/>
  <c r="K6999" i="1" s="1"/>
  <c r="D7000" i="1"/>
  <c r="D7001" i="1"/>
  <c r="E7001" i="1" s="1"/>
  <c r="D7002" i="1"/>
  <c r="L7002" i="1" s="1"/>
  <c r="D7003" i="1"/>
  <c r="D7004" i="1"/>
  <c r="D7005" i="1"/>
  <c r="D7006" i="1"/>
  <c r="D7007" i="1"/>
  <c r="D7008" i="1"/>
  <c r="D7009" i="1"/>
  <c r="E7009" i="1" s="1"/>
  <c r="D7010" i="1"/>
  <c r="D7011" i="1"/>
  <c r="D7012" i="1"/>
  <c r="D7013" i="1"/>
  <c r="D7014" i="1"/>
  <c r="D7015" i="1"/>
  <c r="E7015" i="1" s="1"/>
  <c r="D7016" i="1"/>
  <c r="D7017" i="1"/>
  <c r="E7017" i="1" s="1"/>
  <c r="D7018" i="1"/>
  <c r="D7019" i="1"/>
  <c r="D7020" i="1"/>
  <c r="D7021" i="1"/>
  <c r="D7022" i="1"/>
  <c r="D7023" i="1"/>
  <c r="K7023" i="1" s="1"/>
  <c r="D7024" i="1"/>
  <c r="D7025" i="1"/>
  <c r="E7025" i="1" s="1"/>
  <c r="D7026" i="1"/>
  <c r="E7026" i="1" s="1"/>
  <c r="D7027" i="1"/>
  <c r="D7028" i="1"/>
  <c r="D7029" i="1"/>
  <c r="J7029" i="1" s="1"/>
  <c r="D7030" i="1"/>
  <c r="D7031" i="1"/>
  <c r="D7032" i="1"/>
  <c r="D7033" i="1"/>
  <c r="E7033" i="1" s="1"/>
  <c r="D7034" i="1"/>
  <c r="D7035" i="1"/>
  <c r="D7036" i="1"/>
  <c r="D7037" i="1"/>
  <c r="D7038" i="1"/>
  <c r="D7039" i="1"/>
  <c r="K7039" i="1" s="1"/>
  <c r="D7040" i="1"/>
  <c r="D7041" i="1"/>
  <c r="E7041" i="1" s="1"/>
  <c r="D7042" i="1"/>
  <c r="L7042" i="1" s="1"/>
  <c r="D7043" i="1"/>
  <c r="D7044" i="1"/>
  <c r="D7045" i="1"/>
  <c r="D7046" i="1"/>
  <c r="D7047" i="1"/>
  <c r="D7048" i="1"/>
  <c r="D7049" i="1"/>
  <c r="E7049" i="1" s="1"/>
  <c r="D7050" i="1"/>
  <c r="D7051" i="1"/>
  <c r="D7052" i="1"/>
  <c r="D7053" i="1"/>
  <c r="D7054" i="1"/>
  <c r="D7055" i="1"/>
  <c r="D7056" i="1"/>
  <c r="D7057" i="1"/>
  <c r="E7057" i="1" s="1"/>
  <c r="D7058" i="1"/>
  <c r="D7059" i="1"/>
  <c r="K7059" i="1" s="1"/>
  <c r="D7060" i="1"/>
  <c r="D7061" i="1"/>
  <c r="J7061" i="1" s="1"/>
  <c r="D7062" i="1"/>
  <c r="D7063" i="1"/>
  <c r="D7064" i="1"/>
  <c r="D7065" i="1"/>
  <c r="E7065" i="1" s="1"/>
  <c r="D7066" i="1"/>
  <c r="L7066" i="1" s="1"/>
  <c r="D7067" i="1"/>
  <c r="D7068" i="1"/>
  <c r="D7069" i="1"/>
  <c r="D7070" i="1"/>
  <c r="D7071" i="1"/>
  <c r="D7072" i="1"/>
  <c r="D7073" i="1"/>
  <c r="E7073" i="1" s="1"/>
  <c r="D7074" i="1"/>
  <c r="D7075" i="1"/>
  <c r="D7076" i="1"/>
  <c r="D7077" i="1"/>
  <c r="D7078" i="1"/>
  <c r="D7079" i="1"/>
  <c r="D7080" i="1"/>
  <c r="D7081" i="1"/>
  <c r="E7081" i="1" s="1"/>
  <c r="D7082" i="1"/>
  <c r="E7082" i="1" s="1"/>
  <c r="D7083" i="1"/>
  <c r="D7084" i="1"/>
  <c r="D7085" i="1"/>
  <c r="D7086" i="1"/>
  <c r="D7087" i="1"/>
  <c r="K7087" i="1" s="1"/>
  <c r="D7088" i="1"/>
  <c r="D7089" i="1"/>
  <c r="E7089" i="1" s="1"/>
  <c r="D7090" i="1"/>
  <c r="D7091" i="1"/>
  <c r="D7092" i="1"/>
  <c r="D7093" i="1"/>
  <c r="D7094" i="1"/>
  <c r="D7095" i="1"/>
  <c r="D7096" i="1"/>
  <c r="D7097" i="1"/>
  <c r="E7097" i="1" s="1"/>
  <c r="D7098" i="1"/>
  <c r="D7099" i="1"/>
  <c r="D7100" i="1"/>
  <c r="D7101" i="1"/>
  <c r="D7102" i="1"/>
  <c r="D7103" i="1"/>
  <c r="K7103" i="1" s="1"/>
  <c r="D7104" i="1"/>
  <c r="D7105" i="1"/>
  <c r="E7105" i="1" s="1"/>
  <c r="D7106" i="1"/>
  <c r="L7106" i="1" s="1"/>
  <c r="D7107" i="1"/>
  <c r="K7107" i="1" s="1"/>
  <c r="D7108" i="1"/>
  <c r="D7109" i="1"/>
  <c r="D7110" i="1"/>
  <c r="D7111" i="1"/>
  <c r="D7112" i="1"/>
  <c r="D7113" i="1"/>
  <c r="E7113" i="1" s="1"/>
  <c r="D7114" i="1"/>
  <c r="E7114" i="1" s="1"/>
  <c r="D7115" i="1"/>
  <c r="D7116" i="1"/>
  <c r="D7117" i="1"/>
  <c r="D7118" i="1"/>
  <c r="D7119" i="1"/>
  <c r="D7120" i="1"/>
  <c r="D7121" i="1"/>
  <c r="E7121" i="1" s="1"/>
  <c r="D7122" i="1"/>
  <c r="E7122" i="1" s="1"/>
  <c r="D7123" i="1"/>
  <c r="D7124" i="1"/>
  <c r="D7125" i="1"/>
  <c r="J7125" i="1" s="1"/>
  <c r="D7126" i="1"/>
  <c r="D7127" i="1"/>
  <c r="K7127" i="1" s="1"/>
  <c r="D7128" i="1"/>
  <c r="D7129" i="1"/>
  <c r="E7129" i="1" s="1"/>
  <c r="D7130" i="1"/>
  <c r="L7130" i="1" s="1"/>
  <c r="D7131" i="1"/>
  <c r="D7132" i="1"/>
  <c r="D7133" i="1"/>
  <c r="D7134" i="1"/>
  <c r="D7135" i="1"/>
  <c r="D7136" i="1"/>
  <c r="D7137" i="1"/>
  <c r="E7137" i="1" s="1"/>
  <c r="D7138" i="1"/>
  <c r="D7139" i="1"/>
  <c r="D7140" i="1"/>
  <c r="D7141" i="1"/>
  <c r="D7142" i="1"/>
  <c r="D7143" i="1"/>
  <c r="D7144" i="1"/>
  <c r="D7145" i="1"/>
  <c r="E7145" i="1" s="1"/>
  <c r="D7146" i="1"/>
  <c r="D7147" i="1"/>
  <c r="D7148" i="1"/>
  <c r="D7149" i="1"/>
  <c r="D7150" i="1"/>
  <c r="J7150" i="1" s="1"/>
  <c r="D7151" i="1"/>
  <c r="K7151" i="1" s="1"/>
  <c r="D7152" i="1"/>
  <c r="D7153" i="1"/>
  <c r="E7153" i="1" s="1"/>
  <c r="D7154" i="1"/>
  <c r="E7154" i="1" s="1"/>
  <c r="D7155" i="1"/>
  <c r="D7156" i="1"/>
  <c r="D7157" i="1"/>
  <c r="D7158" i="1"/>
  <c r="D7159" i="1"/>
  <c r="D7160" i="1"/>
  <c r="D7161" i="1"/>
  <c r="E7161" i="1" s="1"/>
  <c r="D7162" i="1"/>
  <c r="D7163" i="1"/>
  <c r="D7164" i="1"/>
  <c r="D7165" i="1"/>
  <c r="D7166" i="1"/>
  <c r="D7167" i="1"/>
  <c r="K7167" i="1" s="1"/>
  <c r="D7168" i="1"/>
  <c r="D7169" i="1"/>
  <c r="E7169" i="1" s="1"/>
  <c r="D7170" i="1"/>
  <c r="L7170" i="1" s="1"/>
  <c r="D7171" i="1"/>
  <c r="D7172" i="1"/>
  <c r="D7173" i="1"/>
  <c r="D7174" i="1"/>
  <c r="D7175" i="1"/>
  <c r="D7176" i="1"/>
  <c r="D7177" i="1"/>
  <c r="E7177" i="1" s="1"/>
  <c r="D7178" i="1"/>
  <c r="D7179" i="1"/>
  <c r="D7180" i="1"/>
  <c r="D7181" i="1"/>
  <c r="D7182" i="1"/>
  <c r="D7183" i="1"/>
  <c r="D7184" i="1"/>
  <c r="D7185" i="1"/>
  <c r="E7185" i="1" s="1"/>
  <c r="D7186" i="1"/>
  <c r="D7187" i="1"/>
  <c r="D7188" i="1"/>
  <c r="D7189" i="1"/>
  <c r="D7190" i="1"/>
  <c r="D7191" i="1"/>
  <c r="K7191" i="1" s="1"/>
  <c r="D7192" i="1"/>
  <c r="D7193" i="1"/>
  <c r="E7193" i="1" s="1"/>
  <c r="D7194" i="1"/>
  <c r="L7194" i="1" s="1"/>
  <c r="D7195" i="1"/>
  <c r="D7196" i="1"/>
  <c r="D7197" i="1"/>
  <c r="D7198" i="1"/>
  <c r="D7199" i="1"/>
  <c r="D7200" i="1"/>
  <c r="D7201" i="1"/>
  <c r="E7201" i="1" s="1"/>
  <c r="D7202" i="1"/>
  <c r="D7203" i="1"/>
  <c r="D7204" i="1"/>
  <c r="D7205" i="1"/>
  <c r="D7206" i="1"/>
  <c r="D7207" i="1"/>
  <c r="D7208" i="1"/>
  <c r="D7209" i="1"/>
  <c r="E7209" i="1" s="1"/>
  <c r="D7210" i="1"/>
  <c r="D7211" i="1"/>
  <c r="D7212" i="1"/>
  <c r="D7213" i="1"/>
  <c r="D7214" i="1"/>
  <c r="J7214" i="1" s="1"/>
  <c r="D7215" i="1"/>
  <c r="K7215" i="1" s="1"/>
  <c r="D7216" i="1"/>
  <c r="D7217" i="1"/>
  <c r="E7217" i="1" s="1"/>
  <c r="D7218" i="1"/>
  <c r="D7219" i="1"/>
  <c r="D7220" i="1"/>
  <c r="D7221" i="1"/>
  <c r="D7222" i="1"/>
  <c r="J7222" i="1" s="1"/>
  <c r="D7223" i="1"/>
  <c r="E7223" i="1" s="1"/>
  <c r="D7224" i="1"/>
  <c r="D7225" i="1"/>
  <c r="E7225" i="1" s="1"/>
  <c r="D7226" i="1"/>
  <c r="D7227" i="1"/>
  <c r="D7228" i="1"/>
  <c r="D7229" i="1"/>
  <c r="D7230" i="1"/>
  <c r="D7231" i="1"/>
  <c r="K7231" i="1" s="1"/>
  <c r="D7232" i="1"/>
  <c r="D7233" i="1"/>
  <c r="E7233" i="1" s="1"/>
  <c r="D7234" i="1"/>
  <c r="E7234" i="1" s="1"/>
  <c r="D7235" i="1"/>
  <c r="D7236" i="1"/>
  <c r="D7237" i="1"/>
  <c r="D7238" i="1"/>
  <c r="D7239" i="1"/>
  <c r="D7240" i="1"/>
  <c r="D7241" i="1"/>
  <c r="E7241" i="1" s="1"/>
  <c r="D7242" i="1"/>
  <c r="D7243" i="1"/>
  <c r="D7244" i="1"/>
  <c r="D7245" i="1"/>
  <c r="D7246" i="1"/>
  <c r="D7247" i="1"/>
  <c r="K7247" i="1" s="1"/>
  <c r="D7248" i="1"/>
  <c r="K7248" i="1" s="1"/>
  <c r="D7249" i="1"/>
  <c r="E7249" i="1" s="1"/>
  <c r="D7250" i="1"/>
  <c r="L7250" i="1" s="1"/>
  <c r="D7251" i="1"/>
  <c r="D7252" i="1"/>
  <c r="D7253" i="1"/>
  <c r="D7254" i="1"/>
  <c r="D7255" i="1"/>
  <c r="D7256" i="1"/>
  <c r="D7257" i="1"/>
  <c r="E7257" i="1" s="1"/>
  <c r="D7258" i="1"/>
  <c r="K7258" i="1" s="1"/>
  <c r="D7259" i="1"/>
  <c r="D7260" i="1"/>
  <c r="D7261" i="1"/>
  <c r="K7261" i="1" s="1"/>
  <c r="D7262" i="1"/>
  <c r="D7263" i="1"/>
  <c r="D7264" i="1"/>
  <c r="D7265" i="1"/>
  <c r="E7265" i="1" s="1"/>
  <c r="D7266" i="1"/>
  <c r="E7266" i="1" s="1"/>
  <c r="D7267" i="1"/>
  <c r="D7268" i="1"/>
  <c r="D7269" i="1"/>
  <c r="D7270" i="1"/>
  <c r="D7271" i="1"/>
  <c r="K7271" i="1" s="1"/>
  <c r="D7272" i="1"/>
  <c r="D7273" i="1"/>
  <c r="E7273" i="1" s="1"/>
  <c r="D7274" i="1"/>
  <c r="E7274" i="1" s="1"/>
  <c r="D7275" i="1"/>
  <c r="D7276" i="1"/>
  <c r="D7277" i="1"/>
  <c r="D7278" i="1"/>
  <c r="D7279" i="1"/>
  <c r="K7279" i="1" s="1"/>
  <c r="D7280" i="1"/>
  <c r="K7280" i="1" s="1"/>
  <c r="D7281" i="1"/>
  <c r="E7281" i="1" s="1"/>
  <c r="D7282" i="1"/>
  <c r="L7282" i="1" s="1"/>
  <c r="D7283" i="1"/>
  <c r="D7284" i="1"/>
  <c r="D7285" i="1"/>
  <c r="J7285" i="1" s="1"/>
  <c r="D7286" i="1"/>
  <c r="D7287" i="1"/>
  <c r="D7288" i="1"/>
  <c r="D7289" i="1"/>
  <c r="E7289" i="1" s="1"/>
  <c r="D7290" i="1"/>
  <c r="K7290" i="1" s="1"/>
  <c r="D7291" i="1"/>
  <c r="D7292" i="1"/>
  <c r="D7293" i="1"/>
  <c r="D7294" i="1"/>
  <c r="D7295" i="1"/>
  <c r="D7296" i="1"/>
  <c r="D7297" i="1"/>
  <c r="E7297" i="1" s="1"/>
  <c r="D7298" i="1"/>
  <c r="D7299" i="1"/>
  <c r="D7300" i="1"/>
  <c r="D7301" i="1"/>
  <c r="D7302" i="1"/>
  <c r="D7303" i="1"/>
  <c r="K7303" i="1" s="1"/>
  <c r="D7304" i="1"/>
  <c r="D7305" i="1"/>
  <c r="E7305" i="1" s="1"/>
  <c r="D7306" i="1"/>
  <c r="E7306" i="1" s="1"/>
  <c r="D7307" i="1"/>
  <c r="D7308" i="1"/>
  <c r="D7309" i="1"/>
  <c r="D7310" i="1"/>
  <c r="D7311" i="1"/>
  <c r="K7311" i="1" s="1"/>
  <c r="D7312" i="1"/>
  <c r="K7312" i="1" s="1"/>
  <c r="D7313" i="1"/>
  <c r="E7313" i="1" s="1"/>
  <c r="D7314" i="1"/>
  <c r="L7314" i="1" s="1"/>
  <c r="D7315" i="1"/>
  <c r="D7316" i="1"/>
  <c r="D7317" i="1"/>
  <c r="J7317" i="1" s="1"/>
  <c r="D7318" i="1"/>
  <c r="D7319" i="1"/>
  <c r="D7320" i="1"/>
  <c r="D7321" i="1"/>
  <c r="E7321" i="1" s="1"/>
  <c r="D7322" i="1"/>
  <c r="K7322" i="1" s="1"/>
  <c r="D7323" i="1"/>
  <c r="D7324" i="1"/>
  <c r="D7325" i="1"/>
  <c r="D7326" i="1"/>
  <c r="D7327" i="1"/>
  <c r="D7328" i="1"/>
  <c r="D7329" i="1"/>
  <c r="E7329" i="1" s="1"/>
  <c r="D7330" i="1"/>
  <c r="D7331" i="1"/>
  <c r="D7332" i="1"/>
  <c r="D7333" i="1"/>
  <c r="D7334" i="1"/>
  <c r="D7335" i="1"/>
  <c r="K7335" i="1" s="1"/>
  <c r="D7336" i="1"/>
  <c r="D7337" i="1"/>
  <c r="E7337" i="1" s="1"/>
  <c r="D7338" i="1"/>
  <c r="E7338" i="1" s="1"/>
  <c r="D7339" i="1"/>
  <c r="D7340" i="1"/>
  <c r="D7341" i="1"/>
  <c r="D7342" i="1"/>
  <c r="D7343" i="1"/>
  <c r="K7343" i="1" s="1"/>
  <c r="D7344" i="1"/>
  <c r="K7344" i="1" s="1"/>
  <c r="D7345" i="1"/>
  <c r="D7346" i="1"/>
  <c r="D7347" i="1"/>
  <c r="D7348" i="1"/>
  <c r="D7349" i="1"/>
  <c r="D7350" i="1"/>
  <c r="D7351" i="1"/>
  <c r="D7352" i="1"/>
  <c r="D7353" i="1"/>
  <c r="E7353" i="1" s="1"/>
  <c r="D7354" i="1"/>
  <c r="D7355" i="1"/>
  <c r="D7356" i="1"/>
  <c r="D7357" i="1"/>
  <c r="D7358" i="1"/>
  <c r="D7359" i="1"/>
  <c r="K7359" i="1" s="1"/>
  <c r="D7360" i="1"/>
  <c r="K7360" i="1" s="1"/>
  <c r="D7361" i="1"/>
  <c r="D7362" i="1"/>
  <c r="D7363" i="1"/>
  <c r="D7364" i="1"/>
  <c r="D7365" i="1"/>
  <c r="D7366" i="1"/>
  <c r="D7367" i="1"/>
  <c r="K7367" i="1" s="1"/>
  <c r="D7368" i="1"/>
  <c r="K7368" i="1" s="1"/>
  <c r="D7369" i="1"/>
  <c r="E7369" i="1" s="1"/>
  <c r="D7370" i="1"/>
  <c r="D7371" i="1"/>
  <c r="D7372" i="1"/>
  <c r="D7373" i="1"/>
  <c r="D7374" i="1"/>
  <c r="D7375" i="1"/>
  <c r="K7375" i="1" s="1"/>
  <c r="D7376" i="1"/>
  <c r="K7376" i="1" s="1"/>
  <c r="D7377" i="1"/>
  <c r="D7378" i="1"/>
  <c r="D7379" i="1"/>
  <c r="D7380" i="1"/>
  <c r="D7381" i="1"/>
  <c r="J7381" i="1" s="1"/>
  <c r="D7382" i="1"/>
  <c r="D7383" i="1"/>
  <c r="K7383" i="1" s="1"/>
  <c r="D7384" i="1"/>
  <c r="K7384" i="1" s="1"/>
  <c r="D7385" i="1"/>
  <c r="K7385" i="1" s="1"/>
  <c r="D7386" i="1"/>
  <c r="E7386" i="1" s="1"/>
  <c r="D7387" i="1"/>
  <c r="D7388" i="1"/>
  <c r="D7389" i="1"/>
  <c r="D7390" i="1"/>
  <c r="D7391" i="1"/>
  <c r="K7391" i="1" s="1"/>
  <c r="D7392" i="1"/>
  <c r="D7393" i="1"/>
  <c r="E7393" i="1" s="1"/>
  <c r="D7394" i="1"/>
  <c r="D7395" i="1"/>
  <c r="D7396" i="1"/>
  <c r="D7397" i="1"/>
  <c r="D7398" i="1"/>
  <c r="D7399" i="1"/>
  <c r="K7399" i="1" s="1"/>
  <c r="D7400" i="1"/>
  <c r="K7400" i="1" s="1"/>
  <c r="D7401" i="1"/>
  <c r="K7401" i="1" s="1"/>
  <c r="D7402" i="1"/>
  <c r="D7403" i="1"/>
  <c r="D7404" i="1"/>
  <c r="D7405" i="1"/>
  <c r="D7406" i="1"/>
  <c r="J7406" i="1" s="1"/>
  <c r="D7407" i="1"/>
  <c r="K7407" i="1" s="1"/>
  <c r="D7408" i="1"/>
  <c r="K7408" i="1" s="1"/>
  <c r="D7409" i="1"/>
  <c r="K7409" i="1" s="1"/>
  <c r="D7410" i="1"/>
  <c r="D7411" i="1"/>
  <c r="D7412" i="1"/>
  <c r="D7413" i="1"/>
  <c r="D7414" i="1"/>
  <c r="D7415" i="1"/>
  <c r="D7416" i="1"/>
  <c r="D7417" i="1"/>
  <c r="E7417" i="1" s="1"/>
  <c r="D7418" i="1"/>
  <c r="E7418" i="1" s="1"/>
  <c r="D7419" i="1"/>
  <c r="D7420" i="1"/>
  <c r="D7421" i="1"/>
  <c r="D7422" i="1"/>
  <c r="D7423" i="1"/>
  <c r="K7423" i="1" s="1"/>
  <c r="D7424" i="1"/>
  <c r="K7424" i="1" s="1"/>
  <c r="D7425" i="1"/>
  <c r="K7425" i="1" s="1"/>
  <c r="D7426" i="1"/>
  <c r="D7427" i="1"/>
  <c r="D7428" i="1"/>
  <c r="D7429" i="1"/>
  <c r="D7430" i="1"/>
  <c r="D7431" i="1"/>
  <c r="K7431" i="1" s="1"/>
  <c r="D7432" i="1"/>
  <c r="K7432" i="1" s="1"/>
  <c r="D7433" i="1"/>
  <c r="E7433" i="1" s="1"/>
  <c r="D7434" i="1"/>
  <c r="D7435" i="1"/>
  <c r="D7436" i="1"/>
  <c r="D7437" i="1"/>
  <c r="D7438" i="1"/>
  <c r="D7439" i="1"/>
  <c r="K7439" i="1" s="1"/>
  <c r="D7440" i="1"/>
  <c r="K7440" i="1" s="1"/>
  <c r="D7441" i="1"/>
  <c r="K7441" i="1" s="1"/>
  <c r="D7442" i="1"/>
  <c r="D7443" i="1"/>
  <c r="D7444" i="1"/>
  <c r="D7445" i="1"/>
  <c r="J7445" i="1" s="1"/>
  <c r="D7446" i="1"/>
  <c r="J7446" i="1" s="1"/>
  <c r="D7447" i="1"/>
  <c r="K7447" i="1" s="1"/>
  <c r="D7448" i="1"/>
  <c r="K7448" i="1" s="1"/>
  <c r="D7449" i="1"/>
  <c r="D7450" i="1"/>
  <c r="D7451" i="1"/>
  <c r="D7452" i="1"/>
  <c r="D7453" i="1"/>
  <c r="D7454" i="1"/>
  <c r="D7455" i="1"/>
  <c r="K7455" i="1" s="1"/>
  <c r="D7456" i="1"/>
  <c r="D7457" i="1"/>
  <c r="E7457" i="1" s="1"/>
  <c r="D7458" i="1"/>
  <c r="E7458" i="1" s="1"/>
  <c r="D7459" i="1"/>
  <c r="D7460" i="1"/>
  <c r="D7461" i="1"/>
  <c r="D7462" i="1"/>
  <c r="D7463" i="1"/>
  <c r="K7463" i="1" s="1"/>
  <c r="D7464" i="1"/>
  <c r="K7464" i="1" s="1"/>
  <c r="D7465" i="1"/>
  <c r="D7466" i="1"/>
  <c r="D7467" i="1"/>
  <c r="D7468" i="1"/>
  <c r="D7469" i="1"/>
  <c r="D7470" i="1"/>
  <c r="J7470" i="1" s="1"/>
  <c r="D7471" i="1"/>
  <c r="K7471" i="1" s="1"/>
  <c r="D7472" i="1"/>
  <c r="K7472" i="1" s="1"/>
  <c r="D7473" i="1"/>
  <c r="D7474" i="1"/>
  <c r="D7475" i="1"/>
  <c r="D7476" i="1"/>
  <c r="D7477" i="1"/>
  <c r="D7478" i="1"/>
  <c r="D7479" i="1"/>
  <c r="D7480" i="1"/>
  <c r="D7481" i="1"/>
  <c r="E7481" i="1" s="1"/>
  <c r="D7482" i="1"/>
  <c r="K7482" i="1" s="1"/>
  <c r="D7483" i="1"/>
  <c r="D7484" i="1"/>
  <c r="D7485" i="1"/>
  <c r="D7486" i="1"/>
  <c r="D7487" i="1"/>
  <c r="K7487" i="1" s="1"/>
  <c r="D7488" i="1"/>
  <c r="K7488" i="1" s="1"/>
  <c r="D7489" i="1"/>
  <c r="D7490" i="1"/>
  <c r="E7490" i="1" s="1"/>
  <c r="D7491" i="1"/>
  <c r="D7492" i="1"/>
  <c r="D7493" i="1"/>
  <c r="D7494" i="1"/>
  <c r="D7495" i="1"/>
  <c r="K7495" i="1" s="1"/>
  <c r="D7496" i="1"/>
  <c r="K7496" i="1" s="1"/>
  <c r="D7497" i="1"/>
  <c r="E7497" i="1" s="1"/>
  <c r="D7498" i="1"/>
  <c r="E7498" i="1" s="1"/>
  <c r="D7499" i="1"/>
  <c r="D7500" i="1"/>
  <c r="D7501" i="1"/>
  <c r="D7502" i="1"/>
  <c r="D7503" i="1"/>
  <c r="K7503" i="1" s="1"/>
  <c r="D7504" i="1"/>
  <c r="K7504" i="1" s="1"/>
  <c r="D7505" i="1"/>
  <c r="K7505" i="1" s="1"/>
  <c r="D7506" i="1"/>
  <c r="D7507" i="1"/>
  <c r="D7508" i="1"/>
  <c r="D7509" i="1"/>
  <c r="J7509" i="1" s="1"/>
  <c r="D7510" i="1"/>
  <c r="D7511" i="1"/>
  <c r="K7511" i="1" s="1"/>
  <c r="D7512" i="1"/>
  <c r="K7512" i="1" s="1"/>
  <c r="D7513" i="1"/>
  <c r="D7514" i="1"/>
  <c r="D7515" i="1"/>
  <c r="D7516" i="1"/>
  <c r="D7517" i="1"/>
  <c r="D7518" i="1"/>
  <c r="D7519" i="1"/>
  <c r="K7519" i="1" s="1"/>
  <c r="D7520" i="1"/>
  <c r="D7521" i="1"/>
  <c r="E7521" i="1" s="1"/>
  <c r="D7522" i="1"/>
  <c r="D7523" i="1"/>
  <c r="D7524" i="1"/>
  <c r="D7525" i="1"/>
  <c r="D7526" i="1"/>
  <c r="D7527" i="1"/>
  <c r="K7527" i="1" s="1"/>
  <c r="D7528" i="1"/>
  <c r="K7528" i="1" s="1"/>
  <c r="D7529" i="1"/>
  <c r="D7530" i="1"/>
  <c r="E7530" i="1" s="1"/>
  <c r="D7531" i="1"/>
  <c r="D7532" i="1"/>
  <c r="D7533" i="1"/>
  <c r="D7534" i="1"/>
  <c r="D7535" i="1"/>
  <c r="K7535" i="1" s="1"/>
  <c r="D7536" i="1"/>
  <c r="K7536" i="1" s="1"/>
  <c r="D7537" i="1"/>
  <c r="K7537" i="1" s="1"/>
  <c r="D7538" i="1"/>
  <c r="D7539" i="1"/>
  <c r="D7540" i="1"/>
  <c r="D7541" i="1"/>
  <c r="D7542" i="1"/>
  <c r="D7543" i="1"/>
  <c r="D7544" i="1"/>
  <c r="D7545" i="1"/>
  <c r="E7545" i="1" s="1"/>
  <c r="D7546" i="1"/>
  <c r="K7546" i="1" s="1"/>
  <c r="D7547" i="1"/>
  <c r="D7548" i="1"/>
  <c r="D7549" i="1"/>
  <c r="D7550" i="1"/>
  <c r="D7551" i="1"/>
  <c r="K7551" i="1" s="1"/>
  <c r="D7552" i="1"/>
  <c r="K7552" i="1" s="1"/>
  <c r="D7553" i="1"/>
  <c r="K7553" i="1" s="1"/>
  <c r="D7554" i="1"/>
  <c r="D7555" i="1"/>
  <c r="D7556" i="1"/>
  <c r="D7557" i="1"/>
  <c r="D7558" i="1"/>
  <c r="D7559" i="1"/>
  <c r="K7559" i="1" s="1"/>
  <c r="D7560" i="1"/>
  <c r="K7560" i="1" s="1"/>
  <c r="D7561" i="1"/>
  <c r="E7561" i="1" s="1"/>
  <c r="D7562" i="1"/>
  <c r="D7563" i="1"/>
  <c r="D7564" i="1"/>
  <c r="D7565" i="1"/>
  <c r="D7566" i="1"/>
  <c r="D7567" i="1"/>
  <c r="K7567" i="1" s="1"/>
  <c r="D7568" i="1"/>
  <c r="K7568" i="1" s="1"/>
  <c r="D7569" i="1"/>
  <c r="K7569" i="1" s="1"/>
  <c r="D7570" i="1"/>
  <c r="D7571" i="1"/>
  <c r="D7572" i="1"/>
  <c r="D7573" i="1"/>
  <c r="J7573" i="1" s="1"/>
  <c r="D7574" i="1"/>
  <c r="J7574" i="1" s="1"/>
  <c r="D7575" i="1"/>
  <c r="K7575" i="1" s="1"/>
  <c r="D7576" i="1"/>
  <c r="K7576" i="1" s="1"/>
  <c r="D7577" i="1"/>
  <c r="D7578" i="1"/>
  <c r="D7579" i="1"/>
  <c r="D7580" i="1"/>
  <c r="D7581" i="1"/>
  <c r="D7582" i="1"/>
  <c r="D7583" i="1"/>
  <c r="K7583" i="1" s="1"/>
  <c r="D7584" i="1"/>
  <c r="D7585" i="1"/>
  <c r="E7585" i="1" s="1"/>
  <c r="D7586" i="1"/>
  <c r="E7586" i="1" s="1"/>
  <c r="D7587" i="1"/>
  <c r="D7588" i="1"/>
  <c r="D7589" i="1"/>
  <c r="D7590" i="1"/>
  <c r="D7591" i="1"/>
  <c r="K7591" i="1" s="1"/>
  <c r="D7592" i="1"/>
  <c r="K7592" i="1" s="1"/>
  <c r="D7593" i="1"/>
  <c r="K7593" i="1" s="1"/>
  <c r="D7594" i="1"/>
  <c r="D7595" i="1"/>
  <c r="D7596" i="1"/>
  <c r="D7597" i="1"/>
  <c r="D7598" i="1"/>
  <c r="J7598" i="1" s="1"/>
  <c r="D7599" i="1"/>
  <c r="K7599" i="1" s="1"/>
  <c r="D7600" i="1"/>
  <c r="K7600" i="1" s="1"/>
  <c r="D7601" i="1"/>
  <c r="K7601" i="1" s="1"/>
  <c r="D7602" i="1"/>
  <c r="D7603" i="1"/>
  <c r="D7604" i="1"/>
  <c r="E7604" i="1" s="1"/>
  <c r="D7605" i="1"/>
  <c r="D7606" i="1"/>
  <c r="D7607" i="1"/>
  <c r="D7608" i="1"/>
  <c r="D7609" i="1"/>
  <c r="E7609" i="1" s="1"/>
  <c r="D7610" i="1"/>
  <c r="E7610" i="1" s="1"/>
  <c r="D7611" i="1"/>
  <c r="D7612" i="1"/>
  <c r="D7613" i="1"/>
  <c r="D7614" i="1"/>
  <c r="D7615" i="1"/>
  <c r="K7615" i="1" s="1"/>
  <c r="D7616" i="1"/>
  <c r="K7616" i="1" s="1"/>
  <c r="D7617" i="1"/>
  <c r="D7618" i="1"/>
  <c r="E7618" i="1" s="1"/>
  <c r="D7619" i="1"/>
  <c r="D7620" i="1"/>
  <c r="D7621" i="1"/>
  <c r="D7622" i="1"/>
  <c r="D7623" i="1"/>
  <c r="K7623" i="1" s="1"/>
  <c r="D7624" i="1"/>
  <c r="K7624" i="1" s="1"/>
  <c r="D7625" i="1"/>
  <c r="E7625" i="1" s="1"/>
  <c r="D7626" i="1"/>
  <c r="D7627" i="1"/>
  <c r="D7628" i="1"/>
  <c r="D7629" i="1"/>
  <c r="D7630" i="1"/>
  <c r="D7631" i="1"/>
  <c r="K7631" i="1" s="1"/>
  <c r="D7632" i="1"/>
  <c r="K7632" i="1" s="1"/>
  <c r="D7633" i="1"/>
  <c r="K7633" i="1" s="1"/>
  <c r="D7634" i="1"/>
  <c r="D7635" i="1"/>
  <c r="D7636" i="1"/>
  <c r="D7637" i="1"/>
  <c r="J7637" i="1" s="1"/>
  <c r="D7638" i="1"/>
  <c r="J7638" i="1" s="1"/>
  <c r="D7639" i="1"/>
  <c r="K7639" i="1" s="1"/>
  <c r="D7640" i="1"/>
  <c r="K7640" i="1" s="1"/>
  <c r="D7641" i="1"/>
  <c r="K7641" i="1" s="1"/>
  <c r="D7642" i="1"/>
  <c r="D7643" i="1"/>
  <c r="D7644" i="1"/>
  <c r="D7645" i="1"/>
  <c r="D7646" i="1"/>
  <c r="E7646" i="1" s="1"/>
  <c r="D7647" i="1"/>
  <c r="K7647" i="1" s="1"/>
  <c r="D7648" i="1"/>
  <c r="D7649" i="1"/>
  <c r="E7649" i="1" s="1"/>
  <c r="D7650" i="1"/>
  <c r="E7650" i="1" s="1"/>
  <c r="D7651" i="1"/>
  <c r="D7652" i="1"/>
  <c r="D7653" i="1"/>
  <c r="D7654" i="1"/>
  <c r="D7655" i="1"/>
  <c r="K7655" i="1" s="1"/>
  <c r="D7656" i="1"/>
  <c r="K7656" i="1" s="1"/>
  <c r="D7657" i="1"/>
  <c r="K7657" i="1" s="1"/>
  <c r="D7658" i="1"/>
  <c r="D7659" i="1"/>
  <c r="D7660" i="1"/>
  <c r="D7661" i="1"/>
  <c r="D7662" i="1"/>
  <c r="D7663" i="1"/>
  <c r="K7663" i="1" s="1"/>
  <c r="D7664" i="1"/>
  <c r="K7664" i="1" s="1"/>
  <c r="D7665" i="1"/>
  <c r="K7665" i="1" s="1"/>
  <c r="D7666" i="1"/>
  <c r="D7667" i="1"/>
  <c r="D7668" i="1"/>
  <c r="D7669" i="1"/>
  <c r="D7670" i="1"/>
  <c r="D7671" i="1"/>
  <c r="D7672" i="1"/>
  <c r="D7673" i="1"/>
  <c r="E7673" i="1" s="1"/>
  <c r="D7674" i="1"/>
  <c r="D7675" i="1"/>
  <c r="D7676" i="1"/>
  <c r="D7677" i="1"/>
  <c r="D7678" i="1"/>
  <c r="D7679" i="1"/>
  <c r="K7679" i="1" s="1"/>
  <c r="D7680" i="1"/>
  <c r="K7680" i="1" s="1"/>
  <c r="D7681" i="1"/>
  <c r="K7681" i="1" s="1"/>
  <c r="D7682" i="1"/>
  <c r="E7682" i="1" s="1"/>
  <c r="D7683" i="1"/>
  <c r="D7684" i="1"/>
  <c r="D7685" i="1"/>
  <c r="D7686" i="1"/>
  <c r="D7687" i="1"/>
  <c r="K7687" i="1" s="1"/>
  <c r="D7688" i="1"/>
  <c r="K7688" i="1" s="1"/>
  <c r="D7689" i="1"/>
  <c r="E7689" i="1" s="1"/>
  <c r="D7690" i="1"/>
  <c r="D7691" i="1"/>
  <c r="D7692" i="1"/>
  <c r="D7693" i="1"/>
  <c r="D7694" i="1"/>
  <c r="D7695" i="1"/>
  <c r="K7695" i="1" s="1"/>
  <c r="D7696" i="1"/>
  <c r="K7696" i="1" s="1"/>
  <c r="D7697" i="1"/>
  <c r="K7697" i="1" s="1"/>
  <c r="D7698" i="1"/>
  <c r="D7699" i="1"/>
  <c r="D7700" i="1"/>
  <c r="D7701" i="1"/>
  <c r="J7701" i="1" s="1"/>
  <c r="D7702" i="1"/>
  <c r="J7702" i="1" s="1"/>
  <c r="D7703" i="1"/>
  <c r="K7703" i="1" s="1"/>
  <c r="D7704" i="1"/>
  <c r="K7704" i="1" s="1"/>
  <c r="D7705" i="1"/>
  <c r="K7705" i="1" s="1"/>
  <c r="D7706" i="1"/>
  <c r="D7707" i="1"/>
  <c r="D7708" i="1"/>
  <c r="D7709" i="1"/>
  <c r="D7710" i="1"/>
  <c r="D7711" i="1"/>
  <c r="D7712" i="1"/>
  <c r="D7713" i="1"/>
  <c r="E7713" i="1" s="1"/>
  <c r="D7714" i="1"/>
  <c r="D7715" i="1"/>
  <c r="D7716" i="1"/>
  <c r="D7717" i="1"/>
  <c r="D7718" i="1"/>
  <c r="D7719" i="1"/>
  <c r="K7719" i="1" s="1"/>
  <c r="D7720" i="1"/>
  <c r="K7720" i="1" s="1"/>
  <c r="D7721" i="1"/>
  <c r="K7721" i="1" s="1"/>
  <c r="D7722" i="1"/>
  <c r="E7722" i="1" s="1"/>
  <c r="D7723" i="1"/>
  <c r="D7724" i="1"/>
  <c r="D7725" i="1"/>
  <c r="D7726" i="1"/>
  <c r="J7726" i="1" s="1"/>
  <c r="D7727" i="1"/>
  <c r="K7727" i="1" s="1"/>
  <c r="D7728" i="1"/>
  <c r="K7728" i="1" s="1"/>
  <c r="D7729" i="1"/>
  <c r="K7729" i="1" s="1"/>
  <c r="D7730" i="1"/>
  <c r="E7730" i="1" s="1"/>
  <c r="D7731" i="1"/>
  <c r="D7732" i="1"/>
  <c r="D7733" i="1"/>
  <c r="D7734" i="1"/>
  <c r="D7735" i="1"/>
  <c r="L7735" i="1" s="1"/>
  <c r="D7736" i="1"/>
  <c r="D7737" i="1"/>
  <c r="E7737" i="1" s="1"/>
  <c r="D7738" i="1"/>
  <c r="D7739" i="1"/>
  <c r="D7740" i="1"/>
  <c r="D7741" i="1"/>
  <c r="D7742" i="1"/>
  <c r="D7743" i="1"/>
  <c r="K7743" i="1" s="1"/>
  <c r="D7744" i="1"/>
  <c r="K7744" i="1" s="1"/>
  <c r="D7745" i="1"/>
  <c r="K7745" i="1" s="1"/>
  <c r="D7746" i="1"/>
  <c r="D7747" i="1"/>
  <c r="D7748" i="1"/>
  <c r="D7749" i="1"/>
  <c r="D7750" i="1"/>
  <c r="D7751" i="1"/>
  <c r="L7751" i="1" s="1"/>
  <c r="D7752" i="1"/>
  <c r="K7752" i="1" s="1"/>
  <c r="D7753" i="1"/>
  <c r="E7753" i="1" s="1"/>
  <c r="D7754" i="1"/>
  <c r="D7755" i="1"/>
  <c r="D7756" i="1"/>
  <c r="D7757" i="1"/>
  <c r="D7758" i="1"/>
  <c r="D7759" i="1"/>
  <c r="K7759" i="1" s="1"/>
  <c r="D7760" i="1"/>
  <c r="K7760" i="1" s="1"/>
  <c r="D7761" i="1"/>
  <c r="K7761" i="1" s="1"/>
  <c r="D7762" i="1"/>
  <c r="E7762" i="1" s="1"/>
  <c r="D7763" i="1"/>
  <c r="D7764" i="1"/>
  <c r="D7765" i="1"/>
  <c r="J7765" i="1" s="1"/>
  <c r="D7766" i="1"/>
  <c r="J7766" i="1" s="1"/>
  <c r="D7767" i="1"/>
  <c r="K7767" i="1" s="1"/>
  <c r="D7768" i="1"/>
  <c r="K7768" i="1" s="1"/>
  <c r="D7769" i="1"/>
  <c r="D7770" i="1"/>
  <c r="D7771" i="1"/>
  <c r="D7772" i="1"/>
  <c r="D7773" i="1"/>
  <c r="D7774" i="1"/>
  <c r="E7774" i="1" s="1"/>
  <c r="D7775" i="1"/>
  <c r="K7775" i="1" s="1"/>
  <c r="D7776" i="1"/>
  <c r="D7777" i="1"/>
  <c r="E7777" i="1" s="1"/>
  <c r="D7778" i="1"/>
  <c r="D7779" i="1"/>
  <c r="D7780" i="1"/>
  <c r="D7781" i="1"/>
  <c r="D7782" i="1"/>
  <c r="J7782" i="1" s="1"/>
  <c r="D7783" i="1"/>
  <c r="K7783" i="1" s="1"/>
  <c r="D7784" i="1"/>
  <c r="K7784" i="1" s="1"/>
  <c r="D7785" i="1"/>
  <c r="D7786" i="1"/>
  <c r="D7787" i="1"/>
  <c r="D7788" i="1"/>
  <c r="D7789" i="1"/>
  <c r="D7790" i="1"/>
  <c r="D7791" i="1"/>
  <c r="K7791" i="1" s="1"/>
  <c r="D7792" i="1"/>
  <c r="K7792" i="1" s="1"/>
  <c r="D7793" i="1"/>
  <c r="D7794" i="1"/>
  <c r="E7794" i="1" s="1"/>
  <c r="D7795" i="1"/>
  <c r="D7796" i="1"/>
  <c r="D7797" i="1"/>
  <c r="D7798" i="1"/>
  <c r="D7799" i="1"/>
  <c r="E7799" i="1" s="1"/>
  <c r="D7800" i="1"/>
  <c r="D7801" i="1"/>
  <c r="E7801" i="1" s="1"/>
  <c r="D7802" i="1"/>
  <c r="D7803" i="1"/>
  <c r="D7804" i="1"/>
  <c r="D7805" i="1"/>
  <c r="D7806" i="1"/>
  <c r="D7807" i="1"/>
  <c r="K7807" i="1" s="1"/>
  <c r="D7808" i="1"/>
  <c r="K7808" i="1" s="1"/>
  <c r="D7809" i="1"/>
  <c r="K7809" i="1" s="1"/>
  <c r="D7810" i="1"/>
  <c r="D7811" i="1"/>
  <c r="D7812" i="1"/>
  <c r="D7813" i="1"/>
  <c r="D7814" i="1"/>
  <c r="D7815" i="1"/>
  <c r="K7815" i="1" s="1"/>
  <c r="D7816" i="1"/>
  <c r="K7816" i="1" s="1"/>
  <c r="D7817" i="1"/>
  <c r="E7817" i="1" s="1"/>
  <c r="D7818" i="1"/>
  <c r="D7819" i="1"/>
  <c r="D7820" i="1"/>
  <c r="D7821" i="1"/>
  <c r="D7822" i="1"/>
  <c r="J7822" i="1" s="1"/>
  <c r="D7823" i="1"/>
  <c r="K7823" i="1" s="1"/>
  <c r="D7824" i="1"/>
  <c r="K7824" i="1" s="1"/>
  <c r="D7825" i="1"/>
  <c r="K7825" i="1" s="1"/>
  <c r="D7826" i="1"/>
  <c r="E7826" i="1" s="1"/>
  <c r="D7827" i="1"/>
  <c r="D7828" i="1"/>
  <c r="D7829" i="1"/>
  <c r="D7830" i="1"/>
  <c r="D7831" i="1"/>
  <c r="K7831" i="1" s="1"/>
  <c r="D7832" i="1"/>
  <c r="K7832" i="1" s="1"/>
  <c r="D7833" i="1"/>
  <c r="K7833" i="1" s="1"/>
  <c r="D7834" i="1"/>
  <c r="D7835" i="1"/>
  <c r="D7836" i="1"/>
  <c r="D7837" i="1"/>
  <c r="D7838" i="1"/>
  <c r="D7839" i="1"/>
  <c r="K7839" i="1" s="1"/>
  <c r="D7840" i="1"/>
  <c r="D7841" i="1"/>
  <c r="E7841" i="1" s="1"/>
  <c r="D7842" i="1"/>
  <c r="D7843" i="1"/>
  <c r="D7844" i="1"/>
  <c r="D7845" i="1"/>
  <c r="D7846" i="1"/>
  <c r="D7847" i="1"/>
  <c r="K7847" i="1" s="1"/>
  <c r="D7848" i="1"/>
  <c r="K7848" i="1" s="1"/>
  <c r="D7849" i="1"/>
  <c r="K7849" i="1" s="1"/>
  <c r="D7850" i="1"/>
  <c r="D7851" i="1"/>
  <c r="D7852" i="1"/>
  <c r="D7853" i="1"/>
  <c r="D7854" i="1"/>
  <c r="D7855" i="1"/>
  <c r="K7855" i="1" s="1"/>
  <c r="D7856" i="1"/>
  <c r="K7856" i="1" s="1"/>
  <c r="D7857" i="1"/>
  <c r="D7858" i="1"/>
  <c r="D7859" i="1"/>
  <c r="D7860" i="1"/>
  <c r="D7861" i="1"/>
  <c r="D7862" i="1"/>
  <c r="D7863" i="1"/>
  <c r="L7863" i="1" s="1"/>
  <c r="D7864" i="1"/>
  <c r="D7865" i="1"/>
  <c r="E7865" i="1" s="1"/>
  <c r="D7866" i="1"/>
  <c r="K7866" i="1" s="1"/>
  <c r="D7867" i="1"/>
  <c r="D7868" i="1"/>
  <c r="D7869" i="1"/>
  <c r="D7870" i="1"/>
  <c r="D7871" i="1"/>
  <c r="K7871" i="1" s="1"/>
  <c r="D7872" i="1"/>
  <c r="K7872" i="1" s="1"/>
  <c r="D7873" i="1"/>
  <c r="K7873" i="1" s="1"/>
  <c r="D7874" i="1"/>
  <c r="E7874" i="1" s="1"/>
  <c r="D7875" i="1"/>
  <c r="D7876" i="1"/>
  <c r="D7877" i="1"/>
  <c r="D7878" i="1"/>
  <c r="D7879" i="1"/>
  <c r="L7879" i="1" s="1"/>
  <c r="D7880" i="1"/>
  <c r="K7880" i="1" s="1"/>
  <c r="D7881" i="1"/>
  <c r="E7881" i="1" s="1"/>
  <c r="D7882" i="1"/>
  <c r="D7883" i="1"/>
  <c r="D7884" i="1"/>
  <c r="D7885" i="1"/>
  <c r="D7886" i="1"/>
  <c r="J7886" i="1" s="1"/>
  <c r="D7887" i="1"/>
  <c r="K7887" i="1" s="1"/>
  <c r="D7888" i="1"/>
  <c r="K7888" i="1" s="1"/>
  <c r="D7889" i="1"/>
  <c r="K7889" i="1" s="1"/>
  <c r="D7890" i="1"/>
  <c r="D7891" i="1"/>
  <c r="D7892" i="1"/>
  <c r="D7893" i="1"/>
  <c r="D7894" i="1"/>
  <c r="D7895" i="1"/>
  <c r="L7895" i="1" s="1"/>
  <c r="D7896" i="1"/>
  <c r="K7896" i="1" s="1"/>
  <c r="D7897" i="1"/>
  <c r="K7897" i="1" s="1"/>
  <c r="D7898" i="1"/>
  <c r="D7899" i="1"/>
  <c r="D7900" i="1"/>
  <c r="D7901" i="1"/>
  <c r="D7902" i="1"/>
  <c r="E7902" i="1" s="1"/>
  <c r="D7903" i="1"/>
  <c r="K7903" i="1" s="1"/>
  <c r="D7904" i="1"/>
  <c r="D7905" i="1"/>
  <c r="E7905" i="1" s="1"/>
  <c r="D7906" i="1"/>
  <c r="D7907" i="1"/>
  <c r="D7908" i="1"/>
  <c r="D7909" i="1"/>
  <c r="D7910" i="1"/>
  <c r="D7911" i="1"/>
  <c r="L7911" i="1" s="1"/>
  <c r="D7912" i="1"/>
  <c r="K7912" i="1" s="1"/>
  <c r="D7913" i="1"/>
  <c r="K7913" i="1" s="1"/>
  <c r="D7914" i="1"/>
  <c r="D7915" i="1"/>
  <c r="D7916" i="1"/>
  <c r="D7917" i="1"/>
  <c r="D7918" i="1"/>
  <c r="D7919" i="1"/>
  <c r="K7919" i="1" s="1"/>
  <c r="D7920" i="1"/>
  <c r="K7920" i="1" s="1"/>
  <c r="D7921" i="1"/>
  <c r="K7921" i="1" s="1"/>
  <c r="D7922" i="1"/>
  <c r="D7923" i="1"/>
  <c r="D7924" i="1"/>
  <c r="D7925" i="1"/>
  <c r="J7925" i="1" s="1"/>
  <c r="D7926" i="1"/>
  <c r="D7927" i="1"/>
  <c r="D7928" i="1"/>
  <c r="D7929" i="1"/>
  <c r="E7929" i="1" s="1"/>
  <c r="D7930" i="1"/>
  <c r="E7930" i="1" s="1"/>
  <c r="D7931" i="1"/>
  <c r="D7932" i="1"/>
  <c r="D7933" i="1"/>
  <c r="D7934" i="1"/>
  <c r="J7934" i="1" s="1"/>
  <c r="D7935" i="1"/>
  <c r="K7935" i="1" s="1"/>
  <c r="D7936" i="1"/>
  <c r="K7936" i="1" s="1"/>
  <c r="D7937" i="1"/>
  <c r="K7937" i="1" s="1"/>
  <c r="D7938" i="1"/>
  <c r="E7938" i="1" s="1"/>
  <c r="D7939" i="1"/>
  <c r="D7940" i="1"/>
  <c r="D7941" i="1"/>
  <c r="D7942" i="1"/>
  <c r="D7943" i="1"/>
  <c r="K7943" i="1" s="1"/>
  <c r="D7944" i="1"/>
  <c r="K7944" i="1" s="1"/>
  <c r="D7945" i="1"/>
  <c r="E7945" i="1" s="1"/>
  <c r="D7946" i="1"/>
  <c r="D7947" i="1"/>
  <c r="D7948" i="1"/>
  <c r="D7949" i="1"/>
  <c r="D7950" i="1"/>
  <c r="D7951" i="1"/>
  <c r="K7951" i="1" s="1"/>
  <c r="D7952" i="1"/>
  <c r="K7952" i="1" s="1"/>
  <c r="D7953" i="1"/>
  <c r="D7954" i="1"/>
  <c r="D7955" i="1"/>
  <c r="D7956" i="1"/>
  <c r="D7957" i="1"/>
  <c r="D7958" i="1"/>
  <c r="D7959" i="1"/>
  <c r="K7959" i="1" s="1"/>
  <c r="D7960" i="1"/>
  <c r="K7960" i="1" s="1"/>
  <c r="D7961" i="1"/>
  <c r="D7962" i="1"/>
  <c r="D7963" i="1"/>
  <c r="D7964" i="1"/>
  <c r="D7965" i="1"/>
  <c r="D7966" i="1"/>
  <c r="D7967" i="1"/>
  <c r="K7967" i="1" s="1"/>
  <c r="D7968" i="1"/>
  <c r="D7969" i="1"/>
  <c r="E7969" i="1" s="1"/>
  <c r="D7970" i="1"/>
  <c r="E7970" i="1" s="1"/>
  <c r="D7971" i="1"/>
  <c r="D7972" i="1"/>
  <c r="D7973" i="1"/>
  <c r="D7974" i="1"/>
  <c r="J7974" i="1" s="1"/>
  <c r="D7975" i="1"/>
  <c r="K7975" i="1" s="1"/>
  <c r="D7976" i="1"/>
  <c r="K7976" i="1" s="1"/>
  <c r="D7977" i="1"/>
  <c r="K7977" i="1" s="1"/>
  <c r="D7978" i="1"/>
  <c r="D7979" i="1"/>
  <c r="D7980" i="1"/>
  <c r="D7981" i="1"/>
  <c r="D7982" i="1"/>
  <c r="D7983" i="1"/>
  <c r="L7983" i="1" s="1"/>
  <c r="D7984" i="1"/>
  <c r="K7984" i="1" s="1"/>
  <c r="D7985" i="1"/>
  <c r="K7985" i="1" s="1"/>
  <c r="D7986" i="1"/>
  <c r="D7987" i="1"/>
  <c r="D7988" i="1"/>
  <c r="D7989" i="1"/>
  <c r="J7989" i="1" s="1"/>
  <c r="D7990" i="1"/>
  <c r="D7991" i="1"/>
  <c r="D7992" i="1"/>
  <c r="D7993" i="1"/>
  <c r="E7993" i="1" s="1"/>
  <c r="D7994" i="1"/>
  <c r="D7995" i="1"/>
  <c r="D7996" i="1"/>
  <c r="D7997" i="1"/>
  <c r="D7998" i="1"/>
  <c r="D7999" i="1"/>
  <c r="L7999" i="1" s="1"/>
  <c r="D8000" i="1"/>
  <c r="K8000" i="1" s="1"/>
  <c r="D8001" i="1"/>
  <c r="K8001" i="1" s="1"/>
  <c r="D8002" i="1"/>
  <c r="E8002" i="1" s="1"/>
  <c r="D8003" i="1"/>
  <c r="D8004" i="1"/>
  <c r="D8005" i="1"/>
  <c r="D8006" i="1"/>
  <c r="D8007" i="1"/>
  <c r="K8007" i="1" s="1"/>
  <c r="D8008" i="1"/>
  <c r="K8008" i="1" s="1"/>
  <c r="D8009" i="1"/>
  <c r="E8009" i="1" s="1"/>
  <c r="D8010" i="1"/>
  <c r="E8010" i="1" s="1"/>
  <c r="D8011" i="1"/>
  <c r="D8012" i="1"/>
  <c r="D8013" i="1"/>
  <c r="D8014" i="1"/>
  <c r="D8015" i="1"/>
  <c r="K8015" i="1" s="1"/>
  <c r="D8016" i="1"/>
  <c r="K8016" i="1" s="1"/>
  <c r="D8017" i="1"/>
  <c r="D8018" i="1"/>
  <c r="D8019" i="1"/>
  <c r="D8020" i="1"/>
  <c r="D8021" i="1"/>
  <c r="J8021" i="1" s="1"/>
  <c r="D8022" i="1"/>
  <c r="D8023" i="1"/>
  <c r="K8023" i="1" s="1"/>
  <c r="D8024" i="1"/>
  <c r="K8024" i="1" s="1"/>
  <c r="D8025" i="1"/>
  <c r="K8025" i="1" s="1"/>
  <c r="D8026" i="1"/>
  <c r="D8027" i="1"/>
  <c r="D8028" i="1"/>
  <c r="D8029" i="1"/>
  <c r="D8030" i="1"/>
  <c r="D8031" i="1"/>
  <c r="K8031" i="1" s="1"/>
  <c r="D8032" i="1"/>
  <c r="D8033" i="1"/>
  <c r="E8033" i="1" s="1"/>
  <c r="D8034" i="1"/>
  <c r="D8035" i="1"/>
  <c r="D8036" i="1"/>
  <c r="D8037" i="1"/>
  <c r="D8038" i="1"/>
  <c r="D8039" i="1"/>
  <c r="K8039" i="1" s="1"/>
  <c r="D8040" i="1"/>
  <c r="K8040" i="1" s="1"/>
  <c r="D8041" i="1"/>
  <c r="K8041" i="1" s="1"/>
  <c r="D8042" i="1"/>
  <c r="E8042" i="1" s="1"/>
  <c r="D8043" i="1"/>
  <c r="D8044" i="1"/>
  <c r="D8045" i="1"/>
  <c r="D8046" i="1"/>
  <c r="D8047" i="1"/>
  <c r="L8047" i="1" s="1"/>
  <c r="D8048" i="1"/>
  <c r="K8048" i="1" s="1"/>
  <c r="D8049" i="1"/>
  <c r="D8050" i="1"/>
  <c r="D8051" i="1"/>
  <c r="D8052" i="1"/>
  <c r="D8053" i="1"/>
  <c r="D8054" i="1"/>
  <c r="D8055" i="1"/>
  <c r="D8056" i="1"/>
  <c r="D8057" i="1"/>
  <c r="E8057" i="1" s="1"/>
  <c r="D8058" i="1"/>
  <c r="K8058" i="1" s="1"/>
  <c r="D8059" i="1"/>
  <c r="D8060" i="1"/>
  <c r="D8061" i="1"/>
  <c r="D8062" i="1"/>
  <c r="D8063" i="1"/>
  <c r="L8063" i="1" s="1"/>
  <c r="D8064" i="1"/>
  <c r="K8064" i="1" s="1"/>
  <c r="D8065" i="1"/>
  <c r="K8065" i="1" s="1"/>
  <c r="D8066" i="1"/>
  <c r="D8067" i="1"/>
  <c r="D8068" i="1"/>
  <c r="D8069" i="1"/>
  <c r="D8070" i="1"/>
  <c r="D8071" i="1"/>
  <c r="K8071" i="1" s="1"/>
  <c r="D8072" i="1"/>
  <c r="K8072" i="1" s="1"/>
  <c r="D8073" i="1"/>
  <c r="E8073" i="1" s="1"/>
  <c r="D8074" i="1"/>
  <c r="D8075" i="1"/>
  <c r="D8076" i="1"/>
  <c r="D8077" i="1"/>
  <c r="D8078" i="1"/>
  <c r="D8079" i="1"/>
  <c r="K8079" i="1" s="1"/>
  <c r="D8080" i="1"/>
  <c r="K8080" i="1" s="1"/>
  <c r="D8081" i="1"/>
  <c r="K8081" i="1" s="1"/>
  <c r="D8082" i="1"/>
  <c r="D8083" i="1"/>
  <c r="D8084" i="1"/>
  <c r="D8085" i="1"/>
  <c r="D8086" i="1"/>
  <c r="J8086" i="1" s="1"/>
  <c r="D8087" i="1"/>
  <c r="K8087" i="1" s="1"/>
  <c r="D8088" i="1"/>
  <c r="K8088" i="1" s="1"/>
  <c r="D8089" i="1"/>
  <c r="K8089" i="1" s="1"/>
  <c r="D8090" i="1"/>
  <c r="K8090" i="1" s="1"/>
  <c r="D8091" i="1"/>
  <c r="D8092" i="1"/>
  <c r="D8093" i="1"/>
  <c r="D8094" i="1"/>
  <c r="D8095" i="1"/>
  <c r="K8095" i="1" s="1"/>
  <c r="D8096" i="1"/>
  <c r="D8097" i="1"/>
  <c r="E8097" i="1" s="1"/>
  <c r="D8098" i="1"/>
  <c r="E8098" i="1" s="1"/>
  <c r="D8099" i="1"/>
  <c r="D8100" i="1"/>
  <c r="D8101" i="1"/>
  <c r="D8102" i="1"/>
  <c r="D8103" i="1"/>
  <c r="L8103" i="1" s="1"/>
  <c r="D8104" i="1"/>
  <c r="K8104" i="1" s="1"/>
  <c r="D8105" i="1"/>
  <c r="K8105" i="1" s="1"/>
  <c r="D8106" i="1"/>
  <c r="D8107" i="1"/>
  <c r="D8108" i="1"/>
  <c r="D8109" i="1"/>
  <c r="D8110" i="1"/>
  <c r="D8111" i="1"/>
  <c r="L8111" i="1" s="1"/>
  <c r="D8112" i="1"/>
  <c r="K8112" i="1" s="1"/>
  <c r="D8113" i="1"/>
  <c r="K8113" i="1" s="1"/>
  <c r="D8114" i="1"/>
  <c r="D8115" i="1"/>
  <c r="D8116" i="1"/>
  <c r="D8117" i="1"/>
  <c r="D8118" i="1"/>
  <c r="D8119" i="1"/>
  <c r="L8119" i="1" s="1"/>
  <c r="D8120" i="1"/>
  <c r="D8121" i="1"/>
  <c r="E8121" i="1" s="1"/>
  <c r="D8122" i="1"/>
  <c r="D8123" i="1"/>
  <c r="D8124" i="1"/>
  <c r="D8125" i="1"/>
  <c r="D8126" i="1"/>
  <c r="J8126" i="1" s="1"/>
  <c r="D8127" i="1"/>
  <c r="L8127" i="1" s="1"/>
  <c r="D8128" i="1"/>
  <c r="K8128" i="1" s="1"/>
  <c r="D8129" i="1"/>
  <c r="K8129" i="1" s="1"/>
  <c r="D8130" i="1"/>
  <c r="E8130" i="1" s="1"/>
  <c r="D8131" i="1"/>
  <c r="D8132" i="1"/>
  <c r="D8133" i="1"/>
  <c r="D8134" i="1"/>
  <c r="D8135" i="1"/>
  <c r="K8135" i="1" s="1"/>
  <c r="D8136" i="1"/>
  <c r="K8136" i="1" s="1"/>
  <c r="D8137" i="1"/>
  <c r="E8137" i="1" s="1"/>
  <c r="D8138" i="1"/>
  <c r="E8138" i="1" s="1"/>
  <c r="D8139" i="1"/>
  <c r="D8140" i="1"/>
  <c r="D8141" i="1"/>
  <c r="D8142" i="1"/>
  <c r="J8142" i="1" s="1"/>
  <c r="D8143" i="1"/>
  <c r="K8143" i="1" s="1"/>
  <c r="D8144" i="1"/>
  <c r="K8144" i="1" s="1"/>
  <c r="D8145" i="1"/>
  <c r="D8146" i="1"/>
  <c r="D8147" i="1"/>
  <c r="D8148" i="1"/>
  <c r="D8149" i="1"/>
  <c r="D8150" i="1"/>
  <c r="D8151" i="1"/>
  <c r="L8151" i="1" s="1"/>
  <c r="D8152" i="1"/>
  <c r="K8152" i="1" s="1"/>
  <c r="D8153" i="1"/>
  <c r="K8153" i="1" s="1"/>
  <c r="D8154" i="1"/>
  <c r="D8155" i="1"/>
  <c r="D8156" i="1"/>
  <c r="D8157" i="1"/>
  <c r="D8158" i="1"/>
  <c r="D8159" i="1"/>
  <c r="K8159" i="1" s="1"/>
  <c r="D8160" i="1"/>
  <c r="D8161" i="1"/>
  <c r="E8161" i="1" s="1"/>
  <c r="D8162" i="1"/>
  <c r="D8163" i="1"/>
  <c r="D8164" i="1"/>
  <c r="D8165" i="1"/>
  <c r="D8166" i="1"/>
  <c r="D8167" i="1"/>
  <c r="L8167" i="1" s="1"/>
  <c r="D8168" i="1"/>
  <c r="K8168" i="1" s="1"/>
  <c r="D8169" i="1"/>
  <c r="K8169" i="1" s="1"/>
  <c r="D8170" i="1"/>
  <c r="D8171" i="1"/>
  <c r="D8172" i="1"/>
  <c r="D8173" i="1"/>
  <c r="D8174" i="1"/>
  <c r="D8175" i="1"/>
  <c r="K8175" i="1" s="1"/>
  <c r="D8176" i="1"/>
  <c r="K8176" i="1" s="1"/>
  <c r="D8177" i="1"/>
  <c r="K8177" i="1" s="1"/>
  <c r="D8178" i="1"/>
  <c r="E8178" i="1" s="1"/>
  <c r="D8179" i="1"/>
  <c r="D8180" i="1"/>
  <c r="D8181" i="1"/>
  <c r="J8181" i="1" s="1"/>
  <c r="D8182" i="1"/>
  <c r="D8183" i="1"/>
  <c r="L8183" i="1" s="1"/>
  <c r="D8184" i="1"/>
  <c r="D8185" i="1"/>
  <c r="E8185" i="1" s="1"/>
  <c r="D8186" i="1"/>
  <c r="D8187" i="1"/>
  <c r="D8188" i="1"/>
  <c r="D8189" i="1"/>
  <c r="D8190" i="1"/>
  <c r="J8190" i="1" s="1"/>
  <c r="D8191" i="1"/>
  <c r="K8191" i="1" s="1"/>
  <c r="D8192" i="1"/>
  <c r="K8192" i="1" s="1"/>
  <c r="D8193" i="1"/>
  <c r="K8193" i="1" s="1"/>
  <c r="D8194" i="1"/>
  <c r="D8195" i="1"/>
  <c r="D8196" i="1"/>
  <c r="D8197" i="1"/>
  <c r="D8198" i="1"/>
  <c r="D8199" i="1"/>
  <c r="L8199" i="1" s="1"/>
  <c r="D8200" i="1"/>
  <c r="K8200" i="1" s="1"/>
  <c r="D8201" i="1"/>
  <c r="E8201" i="1" s="1"/>
  <c r="D8202" i="1"/>
  <c r="D8203" i="1"/>
  <c r="D8204" i="1"/>
  <c r="D8205" i="1"/>
  <c r="D8206" i="1"/>
  <c r="D8207" i="1"/>
  <c r="K8207" i="1" s="1"/>
  <c r="D8208" i="1"/>
  <c r="K8208" i="1" s="1"/>
  <c r="D8209" i="1"/>
  <c r="K8209" i="1" s="1"/>
  <c r="D8210" i="1"/>
  <c r="E8210" i="1" s="1"/>
  <c r="D8211" i="1"/>
  <c r="D8212" i="1"/>
  <c r="E8212" i="1" s="1"/>
  <c r="D8213" i="1"/>
  <c r="D8214" i="1"/>
  <c r="D8215" i="1"/>
  <c r="L8215" i="1" s="1"/>
  <c r="D8216" i="1"/>
  <c r="K8216" i="1" s="1"/>
  <c r="D8217" i="1"/>
  <c r="D8218" i="1"/>
  <c r="K8218" i="1" s="1"/>
  <c r="D8219" i="1"/>
  <c r="D8220" i="1"/>
  <c r="D8221" i="1"/>
  <c r="D8222" i="1"/>
  <c r="D8223" i="1"/>
  <c r="K8223" i="1" s="1"/>
  <c r="D8224" i="1"/>
  <c r="D8225" i="1"/>
  <c r="E8225" i="1" s="1"/>
  <c r="D8226" i="1"/>
  <c r="D8227" i="1"/>
  <c r="D8228" i="1"/>
  <c r="D8229" i="1"/>
  <c r="D8230" i="1"/>
  <c r="E8230" i="1" s="1"/>
  <c r="D8231" i="1"/>
  <c r="L8231" i="1" s="1"/>
  <c r="D8232" i="1"/>
  <c r="K8232" i="1" s="1"/>
  <c r="D8233" i="1"/>
  <c r="K8233" i="1" s="1"/>
  <c r="D8234" i="1"/>
  <c r="D8235" i="1"/>
  <c r="D8236" i="1"/>
  <c r="D8237" i="1"/>
  <c r="D8238" i="1"/>
  <c r="D8239" i="1"/>
  <c r="L8239" i="1" s="1"/>
  <c r="D8240" i="1"/>
  <c r="K8240" i="1" s="1"/>
  <c r="D8241" i="1"/>
  <c r="K8241" i="1" s="1"/>
  <c r="D8242" i="1"/>
  <c r="E8242" i="1" s="1"/>
  <c r="D8243" i="1"/>
  <c r="D8244" i="1"/>
  <c r="D8245" i="1"/>
  <c r="J8245" i="1" s="1"/>
  <c r="D8246" i="1"/>
  <c r="E8246" i="1" s="1"/>
  <c r="D8247" i="1"/>
  <c r="D8248" i="1"/>
  <c r="D8249" i="1"/>
  <c r="E8249" i="1" s="1"/>
  <c r="D8250" i="1"/>
  <c r="D8251" i="1"/>
  <c r="D8252" i="1"/>
  <c r="D8253" i="1"/>
  <c r="D8254" i="1"/>
  <c r="D8255" i="1"/>
  <c r="D8256" i="1"/>
  <c r="K8256" i="1" s="1"/>
  <c r="D8257" i="1"/>
  <c r="K8257" i="1" s="1"/>
  <c r="D8258" i="1"/>
  <c r="D8259" i="1"/>
  <c r="D8260" i="1"/>
  <c r="D8261" i="1"/>
  <c r="D8262" i="1"/>
  <c r="E8262" i="1" s="1"/>
  <c r="D8263" i="1"/>
  <c r="D8264" i="1"/>
  <c r="K8264" i="1" s="1"/>
  <c r="D8265" i="1"/>
  <c r="E8265" i="1" s="1"/>
  <c r="D8266" i="1"/>
  <c r="E8266" i="1" s="1"/>
  <c r="D8267" i="1"/>
  <c r="D8268" i="1"/>
  <c r="D8269" i="1"/>
  <c r="D8270" i="1"/>
  <c r="D8271" i="1"/>
  <c r="D8272" i="1"/>
  <c r="K8272" i="1" s="1"/>
  <c r="D8273" i="1"/>
  <c r="K8273" i="1" s="1"/>
  <c r="D8274" i="1"/>
  <c r="D8275" i="1"/>
  <c r="D8276" i="1"/>
  <c r="D8277" i="1"/>
  <c r="J8277" i="1" s="1"/>
  <c r="D8278" i="1"/>
  <c r="J8278" i="1" s="1"/>
  <c r="D8279" i="1"/>
  <c r="D8280" i="1"/>
  <c r="K8280" i="1" s="1"/>
  <c r="D8281" i="1"/>
  <c r="K8281" i="1" s="1"/>
  <c r="D8282" i="1"/>
  <c r="D8283" i="1"/>
  <c r="D8284" i="1"/>
  <c r="D8285" i="1"/>
  <c r="D8286" i="1"/>
  <c r="D8287" i="1"/>
  <c r="L8287" i="1" s="1"/>
  <c r="D8288" i="1"/>
  <c r="D8289" i="1"/>
  <c r="E8289" i="1" s="1"/>
  <c r="D8290" i="1"/>
  <c r="E8290" i="1" s="1"/>
  <c r="D8291" i="1"/>
  <c r="D8292" i="1"/>
  <c r="D8293" i="1"/>
  <c r="D8294" i="1"/>
  <c r="E8294" i="1" s="1"/>
  <c r="D8295" i="1"/>
  <c r="D8296" i="1"/>
  <c r="K8296" i="1" s="1"/>
  <c r="D8297" i="1"/>
  <c r="D8298" i="1"/>
  <c r="D8299" i="1"/>
  <c r="D8300" i="1"/>
  <c r="D8301" i="1"/>
  <c r="D8302" i="1"/>
  <c r="D8303" i="1"/>
  <c r="L8303" i="1" s="1"/>
  <c r="D8304" i="1"/>
  <c r="K8304" i="1" s="1"/>
  <c r="D8305" i="1"/>
  <c r="D8306" i="1"/>
  <c r="D8307" i="1"/>
  <c r="D8308" i="1"/>
  <c r="D8309" i="1"/>
  <c r="D8310" i="1"/>
  <c r="E8310" i="1" s="1"/>
  <c r="D8311" i="1"/>
  <c r="D8312" i="1"/>
  <c r="D8313" i="1"/>
  <c r="E8313" i="1" s="1"/>
  <c r="D8314" i="1"/>
  <c r="D8315" i="1"/>
  <c r="D8316" i="1"/>
  <c r="D8317" i="1"/>
  <c r="D8318" i="1"/>
  <c r="D8319" i="1"/>
  <c r="D8320" i="1"/>
  <c r="K8320" i="1" s="1"/>
  <c r="D8321" i="1"/>
  <c r="K8321" i="1" s="1"/>
  <c r="D8322" i="1"/>
  <c r="E8322" i="1" s="1"/>
  <c r="D8323" i="1"/>
  <c r="D8324" i="1"/>
  <c r="D8325" i="1"/>
  <c r="D8326" i="1"/>
  <c r="E8326" i="1" s="1"/>
  <c r="D8327" i="1"/>
  <c r="E8327" i="1" s="1"/>
  <c r="D8328" i="1"/>
  <c r="K8328" i="1" s="1"/>
  <c r="D8329" i="1"/>
  <c r="E8329" i="1" s="1"/>
  <c r="D8330" i="1"/>
  <c r="D8331" i="1"/>
  <c r="D8332" i="1"/>
  <c r="D8333" i="1"/>
  <c r="D8334" i="1"/>
  <c r="D8335" i="1"/>
  <c r="D8336" i="1"/>
  <c r="K8336" i="1" s="1"/>
  <c r="D8337" i="1"/>
  <c r="K8337" i="1" s="1"/>
  <c r="D8338" i="1"/>
  <c r="D8339" i="1"/>
  <c r="D8340" i="1"/>
  <c r="D8341" i="1"/>
  <c r="D8342" i="1"/>
  <c r="E8342" i="1" s="1"/>
  <c r="D8343" i="1"/>
  <c r="D8344" i="1"/>
  <c r="K8344" i="1" s="1"/>
  <c r="D8345" i="1"/>
  <c r="D8346" i="1"/>
  <c r="E8346" i="1" s="1"/>
  <c r="D8347" i="1"/>
  <c r="D8348" i="1"/>
  <c r="D8349" i="1"/>
  <c r="D8350" i="1"/>
  <c r="D8351" i="1"/>
  <c r="E8351" i="1" s="1"/>
  <c r="D8352" i="1"/>
  <c r="D8353" i="1"/>
  <c r="E8353" i="1" s="1"/>
  <c r="D8354" i="1"/>
  <c r="D8355" i="1"/>
  <c r="D8356" i="1"/>
  <c r="D8357" i="1"/>
  <c r="D8358" i="1"/>
  <c r="E8358" i="1" s="1"/>
  <c r="D8359" i="1"/>
  <c r="D8360" i="1"/>
  <c r="K8360" i="1" s="1"/>
  <c r="D8361" i="1"/>
  <c r="K8361" i="1" s="1"/>
  <c r="D8362" i="1"/>
  <c r="E8362" i="1" s="1"/>
  <c r="D8363" i="1"/>
  <c r="D8364" i="1"/>
  <c r="D8365" i="1"/>
  <c r="D8366" i="1"/>
  <c r="D8367" i="1"/>
  <c r="L8367" i="1" s="1"/>
  <c r="D8368" i="1"/>
  <c r="K8368" i="1" s="1"/>
  <c r="D8369" i="1"/>
  <c r="K8369" i="1" s="1"/>
  <c r="D8370" i="1"/>
  <c r="E8370" i="1" s="1"/>
  <c r="D8371" i="1"/>
  <c r="D8372" i="1"/>
  <c r="D8373" i="1"/>
  <c r="K8373" i="1" s="1"/>
  <c r="D8374" i="1"/>
  <c r="J8374" i="1" s="1"/>
  <c r="D8375" i="1"/>
  <c r="D8376" i="1"/>
  <c r="D8377" i="1"/>
  <c r="E8377" i="1" s="1"/>
  <c r="D8378" i="1"/>
  <c r="D8379" i="1"/>
  <c r="D8380" i="1"/>
  <c r="D8381" i="1"/>
  <c r="D8382" i="1"/>
  <c r="D8383" i="1"/>
  <c r="D8384" i="1"/>
  <c r="K8384" i="1" s="1"/>
  <c r="D8385" i="1"/>
  <c r="K8385" i="1" s="1"/>
  <c r="D8386" i="1"/>
  <c r="D8387" i="1"/>
  <c r="D8388" i="1"/>
  <c r="D8389" i="1"/>
  <c r="D8390" i="1"/>
  <c r="E8390" i="1" s="1"/>
  <c r="D8391" i="1"/>
  <c r="D8392" i="1"/>
  <c r="K8392" i="1" s="1"/>
  <c r="D8393" i="1"/>
  <c r="E8393" i="1" s="1"/>
  <c r="D8394" i="1"/>
  <c r="E8394" i="1" s="1"/>
  <c r="D8395" i="1"/>
  <c r="D8396" i="1"/>
  <c r="D8397" i="1"/>
  <c r="D8398" i="1"/>
  <c r="D8399" i="1"/>
  <c r="D8400" i="1"/>
  <c r="K8400" i="1" s="1"/>
  <c r="D8401" i="1"/>
  <c r="J8401" i="1" s="1"/>
  <c r="D8402" i="1"/>
  <c r="D8403" i="1"/>
  <c r="D8404" i="1"/>
  <c r="D8405" i="1"/>
  <c r="D8406" i="1"/>
  <c r="E8406" i="1" s="1"/>
  <c r="D8407" i="1"/>
  <c r="D8408" i="1"/>
  <c r="K8408" i="1" s="1"/>
  <c r="D8409" i="1"/>
  <c r="K8409" i="1" s="1"/>
  <c r="D8410" i="1"/>
  <c r="D8411" i="1"/>
  <c r="D8412" i="1"/>
  <c r="D8413" i="1"/>
  <c r="D8414" i="1"/>
  <c r="D8415" i="1"/>
  <c r="L8415" i="1" s="1"/>
  <c r="D8416" i="1"/>
  <c r="D8417" i="1"/>
  <c r="E8417" i="1" s="1"/>
  <c r="D8418" i="1"/>
  <c r="E8418" i="1" s="1"/>
  <c r="D8419" i="1"/>
  <c r="D8420" i="1"/>
  <c r="D8421" i="1"/>
  <c r="D8422" i="1"/>
  <c r="E8422" i="1" s="1"/>
  <c r="D8423" i="1"/>
  <c r="D8424" i="1"/>
  <c r="K8424" i="1" s="1"/>
  <c r="D8425" i="1"/>
  <c r="K8425" i="1" s="1"/>
  <c r="D8426" i="1"/>
  <c r="D8427" i="1"/>
  <c r="D8428" i="1"/>
  <c r="D8429" i="1"/>
  <c r="D8430" i="1"/>
  <c r="D8431" i="1"/>
  <c r="L8431" i="1" s="1"/>
  <c r="D8432" i="1"/>
  <c r="K8432" i="1" s="1"/>
  <c r="D8433" i="1"/>
  <c r="K8433" i="1" s="1"/>
  <c r="D8434" i="1"/>
  <c r="D8435" i="1"/>
  <c r="D8436" i="1"/>
  <c r="D8437" i="1"/>
  <c r="D8438" i="1"/>
  <c r="E8438" i="1" s="1"/>
  <c r="D8439" i="1"/>
  <c r="D8440" i="1"/>
  <c r="D8441" i="1"/>
  <c r="E8441" i="1" s="1"/>
  <c r="D8442" i="1"/>
  <c r="D8443" i="1"/>
  <c r="D8444" i="1"/>
  <c r="D8445" i="1"/>
  <c r="D8446" i="1"/>
  <c r="D8447" i="1"/>
  <c r="D8448" i="1"/>
  <c r="K8448" i="1" s="1"/>
  <c r="D8449" i="1"/>
  <c r="K8449" i="1" s="1"/>
  <c r="D8450" i="1"/>
  <c r="D8451" i="1"/>
  <c r="D8452" i="1"/>
  <c r="D8453" i="1"/>
  <c r="D8454" i="1"/>
  <c r="D8455" i="1"/>
  <c r="D8456" i="1"/>
  <c r="K8456" i="1" s="1"/>
  <c r="D8457" i="1"/>
  <c r="E8457" i="1" s="1"/>
  <c r="D8458" i="1"/>
  <c r="D8459" i="1"/>
  <c r="D8460" i="1"/>
  <c r="D8461" i="1"/>
  <c r="D8462" i="1"/>
  <c r="D8463" i="1"/>
  <c r="D8464" i="1"/>
  <c r="K8464" i="1" s="1"/>
  <c r="D8465" i="1"/>
  <c r="D8466" i="1"/>
  <c r="D8467" i="1"/>
  <c r="D8468" i="1"/>
  <c r="D8469" i="1"/>
  <c r="D8470" i="1"/>
  <c r="E8470" i="1" s="1"/>
  <c r="D8471" i="1"/>
  <c r="E8471" i="1" s="1"/>
  <c r="D8472" i="1"/>
  <c r="K8472" i="1" s="1"/>
  <c r="D8473" i="1"/>
  <c r="K8473" i="1" s="1"/>
  <c r="D8474" i="1"/>
  <c r="D8475" i="1"/>
  <c r="D8476" i="1"/>
  <c r="D8477" i="1"/>
  <c r="D8478" i="1"/>
  <c r="D8479" i="1"/>
  <c r="D8480" i="1"/>
  <c r="D8481" i="1"/>
  <c r="E8481" i="1" s="1"/>
  <c r="D8482" i="1"/>
  <c r="D8483" i="1"/>
  <c r="D8484" i="1"/>
  <c r="D8485" i="1"/>
  <c r="D8486" i="1"/>
  <c r="E8486" i="1" s="1"/>
  <c r="D8487" i="1"/>
  <c r="K8487" i="1" s="1"/>
  <c r="D8488" i="1"/>
  <c r="K8488" i="1" s="1"/>
  <c r="D8489" i="1"/>
  <c r="K8489" i="1" s="1"/>
  <c r="D8490" i="1"/>
  <c r="E8490" i="1" s="1"/>
  <c r="D8491" i="1"/>
  <c r="D8492" i="1"/>
  <c r="D8493" i="1"/>
  <c r="D8494" i="1"/>
  <c r="D8495" i="1"/>
  <c r="K8495" i="1" s="1"/>
  <c r="D8496" i="1"/>
  <c r="K8496" i="1" s="1"/>
  <c r="D8497" i="1"/>
  <c r="K8497" i="1" s="1"/>
  <c r="D8498" i="1"/>
  <c r="D8499" i="1"/>
  <c r="D8500" i="1"/>
  <c r="D8501" i="1"/>
  <c r="D8502" i="1"/>
  <c r="E8502" i="1" s="1"/>
  <c r="D8503" i="1"/>
  <c r="D8504" i="1"/>
  <c r="D8505" i="1"/>
  <c r="E8505" i="1" s="1"/>
  <c r="D8506" i="1"/>
  <c r="D8507" i="1"/>
  <c r="D8508" i="1"/>
  <c r="D8509" i="1"/>
  <c r="D8510" i="1"/>
  <c r="D8511" i="1"/>
  <c r="E8511" i="1" s="1"/>
  <c r="D8512" i="1"/>
  <c r="K8512" i="1" s="1"/>
  <c r="D8513" i="1"/>
  <c r="K8513" i="1" s="1"/>
  <c r="D8514" i="1"/>
  <c r="E8514" i="1" s="1"/>
  <c r="D8515" i="1"/>
  <c r="D8516" i="1"/>
  <c r="D8517" i="1"/>
  <c r="D8518" i="1"/>
  <c r="D8519" i="1"/>
  <c r="D8520" i="1"/>
  <c r="K8520" i="1" s="1"/>
  <c r="D8521" i="1"/>
  <c r="E8521" i="1" s="1"/>
  <c r="D8522" i="1"/>
  <c r="D8523" i="1"/>
  <c r="D8524" i="1"/>
  <c r="D8525" i="1"/>
  <c r="D8526" i="1"/>
  <c r="D8527" i="1"/>
  <c r="D8528" i="1"/>
  <c r="K8528" i="1" s="1"/>
  <c r="D8529" i="1"/>
  <c r="D8530" i="1"/>
  <c r="D8531" i="1"/>
  <c r="D8532" i="1"/>
  <c r="D8533" i="1"/>
  <c r="D8534" i="1"/>
  <c r="E8534" i="1" s="1"/>
  <c r="D8535" i="1"/>
  <c r="D8536" i="1"/>
  <c r="K8536" i="1" s="1"/>
  <c r="D8537" i="1"/>
  <c r="K8537" i="1" s="1"/>
  <c r="D8538" i="1"/>
  <c r="D8539" i="1"/>
  <c r="D8540" i="1"/>
  <c r="D8541" i="1"/>
  <c r="D8542" i="1"/>
  <c r="D8543" i="1"/>
  <c r="D8544" i="1"/>
  <c r="D8545" i="1"/>
  <c r="D8546" i="1"/>
  <c r="D8547" i="1"/>
  <c r="D8548" i="1"/>
  <c r="D8549" i="1"/>
  <c r="D8550" i="1"/>
  <c r="D8551" i="1"/>
  <c r="D8552" i="1"/>
  <c r="K8552" i="1" s="1"/>
  <c r="D8553" i="1"/>
  <c r="K8553" i="1" s="1"/>
  <c r="D8554" i="1"/>
  <c r="D8555" i="1"/>
  <c r="D8556" i="1"/>
  <c r="D8557" i="1"/>
  <c r="D8558" i="1"/>
  <c r="D8559" i="1"/>
  <c r="K8559" i="1" s="1"/>
  <c r="D8560" i="1"/>
  <c r="K8560" i="1" s="1"/>
  <c r="D8561" i="1"/>
  <c r="K8561" i="1" s="1"/>
  <c r="D8562" i="1"/>
  <c r="D8563" i="1"/>
  <c r="D8564" i="1"/>
  <c r="D8565" i="1"/>
  <c r="D8566" i="1"/>
  <c r="D8567" i="1"/>
  <c r="D8568" i="1"/>
  <c r="D8569" i="1"/>
  <c r="D8570" i="1"/>
  <c r="D8571" i="1"/>
  <c r="D8572" i="1"/>
  <c r="D8573" i="1"/>
  <c r="D8574" i="1"/>
  <c r="D8575" i="1"/>
  <c r="D8576" i="1"/>
  <c r="K8576" i="1" s="1"/>
  <c r="D8577" i="1"/>
  <c r="K8577" i="1" s="1"/>
  <c r="D8578" i="1"/>
  <c r="E8578" i="1" s="1"/>
  <c r="D8579" i="1"/>
  <c r="D8580" i="1"/>
  <c r="D8581" i="1"/>
  <c r="D8582" i="1"/>
  <c r="D8583" i="1"/>
  <c r="D8584" i="1"/>
  <c r="K8584" i="1" s="1"/>
  <c r="D8585" i="1"/>
  <c r="D8586" i="1"/>
  <c r="D8587" i="1"/>
  <c r="D8588" i="1"/>
  <c r="D8589" i="1"/>
  <c r="D8590" i="1"/>
  <c r="D8591" i="1"/>
  <c r="D8592" i="1"/>
  <c r="K8592" i="1" s="1"/>
  <c r="D8593" i="1"/>
  <c r="K8593" i="1" s="1"/>
  <c r="D8594" i="1"/>
  <c r="E8594" i="1" s="1"/>
  <c r="D8595" i="1"/>
  <c r="D8596" i="1"/>
  <c r="D8597" i="1"/>
  <c r="D8598" i="1"/>
  <c r="D8599" i="1"/>
  <c r="D8600" i="1"/>
  <c r="K8600" i="1" s="1"/>
  <c r="D8601" i="1"/>
  <c r="K8601" i="1" s="1"/>
  <c r="D8602" i="1"/>
  <c r="D8603" i="1"/>
  <c r="D8604" i="1"/>
  <c r="D8605" i="1"/>
  <c r="D8606" i="1"/>
  <c r="D8607" i="1"/>
  <c r="L8607" i="1" s="1"/>
  <c r="D8608" i="1"/>
  <c r="D8609" i="1"/>
  <c r="D8610" i="1"/>
  <c r="D8611" i="1"/>
  <c r="D8612" i="1"/>
  <c r="D8613" i="1"/>
  <c r="D8614" i="1"/>
  <c r="D8615" i="1"/>
  <c r="D8616" i="1"/>
  <c r="K8616" i="1" s="1"/>
  <c r="D8617" i="1"/>
  <c r="K8617" i="1" s="1"/>
  <c r="D8618" i="1"/>
  <c r="D8619" i="1"/>
  <c r="D8620" i="1"/>
  <c r="D8621" i="1"/>
  <c r="D8622" i="1"/>
  <c r="D8623" i="1"/>
  <c r="K8623" i="1" s="1"/>
  <c r="D8624" i="1"/>
  <c r="K8624" i="1" s="1"/>
  <c r="D8625" i="1"/>
  <c r="K8625" i="1" s="1"/>
  <c r="D8626" i="1"/>
  <c r="D8627" i="1"/>
  <c r="D8628" i="1"/>
  <c r="D8629" i="1"/>
  <c r="D8630" i="1"/>
  <c r="D8631" i="1"/>
  <c r="D8632" i="1"/>
  <c r="D8633" i="1"/>
  <c r="D8634" i="1"/>
  <c r="D8635" i="1"/>
  <c r="D8636" i="1"/>
  <c r="D8637" i="1"/>
  <c r="D8638" i="1"/>
  <c r="D8639" i="1"/>
  <c r="D8640" i="1"/>
  <c r="K8640" i="1" s="1"/>
  <c r="D8641" i="1"/>
  <c r="K8641" i="1" s="1"/>
  <c r="D8642" i="1"/>
  <c r="D8643" i="1"/>
  <c r="D8644" i="1"/>
  <c r="D8645" i="1"/>
  <c r="D8646" i="1"/>
  <c r="D8647" i="1"/>
  <c r="D8648" i="1"/>
  <c r="K8648" i="1" s="1"/>
  <c r="D8649" i="1"/>
  <c r="D8650" i="1"/>
  <c r="D8651" i="1"/>
  <c r="D8652" i="1"/>
  <c r="E8652" i="1" s="1"/>
  <c r="D8653" i="1"/>
  <c r="D8654" i="1"/>
  <c r="D8655" i="1"/>
  <c r="D8656" i="1"/>
  <c r="K8656" i="1" s="1"/>
  <c r="D8657" i="1"/>
  <c r="K8657" i="1" s="1"/>
  <c r="D8658" i="1"/>
  <c r="E8658" i="1" s="1"/>
  <c r="D8659" i="1"/>
  <c r="D8660" i="1"/>
  <c r="D8661" i="1"/>
  <c r="D8662" i="1"/>
  <c r="D8663" i="1"/>
  <c r="D8664" i="1"/>
  <c r="K8664" i="1" s="1"/>
  <c r="D8665" i="1"/>
  <c r="K8665" i="1" s="1"/>
  <c r="D8666" i="1"/>
  <c r="E8666" i="1" s="1"/>
  <c r="D8667" i="1"/>
  <c r="D8668" i="1"/>
  <c r="D8669" i="1"/>
  <c r="D8670" i="1"/>
  <c r="D8671" i="1"/>
  <c r="E8671" i="1" s="1"/>
  <c r="D8672" i="1"/>
  <c r="D8673" i="1"/>
  <c r="D8674" i="1"/>
  <c r="D8675" i="1"/>
  <c r="D8676" i="1"/>
  <c r="D8677" i="1"/>
  <c r="D8678" i="1"/>
  <c r="J8678" i="1" s="1"/>
  <c r="D8679" i="1"/>
  <c r="D8680" i="1"/>
  <c r="K8680" i="1" s="1"/>
  <c r="D8681" i="1"/>
  <c r="K8681" i="1" s="1"/>
  <c r="D8682" i="1"/>
  <c r="D8683" i="1"/>
  <c r="D8684" i="1"/>
  <c r="D8685" i="1"/>
  <c r="D8686" i="1"/>
  <c r="D8687" i="1"/>
  <c r="L8687" i="1" s="1"/>
  <c r="D8688" i="1"/>
  <c r="K8688" i="1" s="1"/>
  <c r="D8689" i="1"/>
  <c r="K8689" i="1" s="1"/>
  <c r="D8690" i="1"/>
  <c r="D8691" i="1"/>
  <c r="D8692" i="1"/>
  <c r="D8693" i="1"/>
  <c r="D8694" i="1"/>
  <c r="D8695" i="1"/>
  <c r="D8696" i="1"/>
  <c r="D8697" i="1"/>
  <c r="D8698" i="1"/>
  <c r="D8699" i="1"/>
  <c r="D8700" i="1"/>
  <c r="D8701" i="1"/>
  <c r="D8702" i="1"/>
  <c r="J8702" i="1" s="1"/>
  <c r="D8703" i="1"/>
  <c r="E8703" i="1" s="1"/>
  <c r="D8704" i="1"/>
  <c r="K8704" i="1" s="1"/>
  <c r="D8705" i="1"/>
  <c r="K8705" i="1" s="1"/>
  <c r="D8706" i="1"/>
  <c r="D8707" i="1"/>
  <c r="D8708" i="1"/>
  <c r="D8709" i="1"/>
  <c r="D8710" i="1"/>
  <c r="D8711" i="1"/>
  <c r="E8711" i="1" s="1"/>
  <c r="D8712" i="1"/>
  <c r="K8712" i="1" s="1"/>
  <c r="D8713" i="1"/>
  <c r="D8714" i="1"/>
  <c r="D8715" i="1"/>
  <c r="D8716" i="1"/>
  <c r="D8717" i="1"/>
  <c r="D8718" i="1"/>
  <c r="D8719" i="1"/>
  <c r="D8720" i="1"/>
  <c r="K8720" i="1" s="1"/>
  <c r="D8721" i="1"/>
  <c r="K8721" i="1" s="1"/>
  <c r="D8722" i="1"/>
  <c r="E8722" i="1" s="1"/>
  <c r="D8723" i="1"/>
  <c r="D8724" i="1"/>
  <c r="D8725" i="1"/>
  <c r="D8726" i="1"/>
  <c r="D8727" i="1"/>
  <c r="D8728" i="1"/>
  <c r="K8728" i="1" s="1"/>
  <c r="D8729" i="1"/>
  <c r="K8729" i="1" s="1"/>
  <c r="D8730" i="1"/>
  <c r="D8731" i="1"/>
  <c r="D8732" i="1"/>
  <c r="D8733" i="1"/>
  <c r="D8734" i="1"/>
  <c r="D8735" i="1"/>
  <c r="D8736" i="1"/>
  <c r="D8737" i="1"/>
  <c r="D8738" i="1"/>
  <c r="D8739" i="1"/>
  <c r="D8740" i="1"/>
  <c r="D8741" i="1"/>
  <c r="D8742" i="1"/>
  <c r="D8743" i="1"/>
  <c r="D8744" i="1"/>
  <c r="K8744" i="1" s="1"/>
  <c r="D8745" i="1"/>
  <c r="K8745" i="1" s="1"/>
  <c r="D8746" i="1"/>
  <c r="E8746" i="1" s="1"/>
  <c r="D8747" i="1"/>
  <c r="D8748" i="1"/>
  <c r="D8749" i="1"/>
  <c r="D8750" i="1"/>
  <c r="D8751" i="1"/>
  <c r="K8751" i="1" s="1"/>
  <c r="D8752" i="1"/>
  <c r="K8752" i="1" s="1"/>
  <c r="D8753" i="1"/>
  <c r="K8753" i="1" s="1"/>
  <c r="D8754" i="1"/>
  <c r="D8755" i="1"/>
  <c r="D8756" i="1"/>
  <c r="E8756" i="1" s="1"/>
  <c r="D8757" i="1"/>
  <c r="D8758" i="1"/>
  <c r="D8759" i="1"/>
  <c r="D8760" i="1"/>
  <c r="D8761" i="1"/>
  <c r="D8762" i="1"/>
  <c r="D8763" i="1"/>
  <c r="D8764" i="1"/>
  <c r="D8765" i="1"/>
  <c r="D8766" i="1"/>
  <c r="E8766" i="1" s="1"/>
  <c r="D8767" i="1"/>
  <c r="D8768" i="1"/>
  <c r="K8768" i="1" s="1"/>
  <c r="D8769" i="1"/>
  <c r="K8769" i="1" s="1"/>
  <c r="D8770" i="1"/>
  <c r="D8771" i="1"/>
  <c r="D8772" i="1"/>
  <c r="D8773" i="1"/>
  <c r="D8774" i="1"/>
  <c r="J8774" i="1" s="1"/>
  <c r="D8775" i="1"/>
  <c r="D8776" i="1"/>
  <c r="K8776" i="1" s="1"/>
  <c r="D8777" i="1"/>
  <c r="D8778" i="1"/>
  <c r="D8779" i="1"/>
  <c r="D8780" i="1"/>
  <c r="D8781" i="1"/>
  <c r="D8782" i="1"/>
  <c r="D8783" i="1"/>
  <c r="D8784" i="1"/>
  <c r="K8784" i="1" s="1"/>
  <c r="D8785" i="1"/>
  <c r="K8785" i="1" s="1"/>
  <c r="D8786" i="1"/>
  <c r="D8787" i="1"/>
  <c r="D8788" i="1"/>
  <c r="D8789" i="1"/>
  <c r="D8790" i="1"/>
  <c r="E8790" i="1" s="1"/>
  <c r="D8791" i="1"/>
  <c r="E8791" i="1" s="1"/>
  <c r="D8792" i="1"/>
  <c r="K8792" i="1" s="1"/>
  <c r="D8793" i="1"/>
  <c r="K8793" i="1" s="1"/>
  <c r="D8794" i="1"/>
  <c r="E8794" i="1" s="1"/>
  <c r="D8795" i="1"/>
  <c r="D8796" i="1"/>
  <c r="D8797" i="1"/>
  <c r="D8798" i="1"/>
  <c r="D8799" i="1"/>
  <c r="L8799" i="1" s="1"/>
  <c r="D8800" i="1"/>
  <c r="D8801" i="1"/>
  <c r="D8802" i="1"/>
  <c r="D8803" i="1"/>
  <c r="D8804" i="1"/>
  <c r="D8805" i="1"/>
  <c r="D8806" i="1"/>
  <c r="J8806" i="1" s="1"/>
  <c r="D8807" i="1"/>
  <c r="E8807" i="1" s="1"/>
  <c r="D8808" i="1"/>
  <c r="K8808" i="1" s="1"/>
  <c r="D8809" i="1"/>
  <c r="K8809" i="1" s="1"/>
  <c r="D8810" i="1"/>
  <c r="D8811" i="1"/>
  <c r="D8812" i="1"/>
  <c r="D8813" i="1"/>
  <c r="D8814" i="1"/>
  <c r="E8814" i="1" s="1"/>
  <c r="D8815" i="1"/>
  <c r="K8815" i="1" s="1"/>
  <c r="D8816" i="1"/>
  <c r="K8816" i="1" s="1"/>
  <c r="D8817" i="1"/>
  <c r="K8817" i="1" s="1"/>
  <c r="D8818" i="1"/>
  <c r="D8819" i="1"/>
  <c r="D8820" i="1"/>
  <c r="D8821" i="1"/>
  <c r="D8822" i="1"/>
  <c r="D8823" i="1"/>
  <c r="D8824" i="1"/>
  <c r="D8825" i="1"/>
  <c r="D8826" i="1"/>
  <c r="D8827" i="1"/>
  <c r="D8828" i="1"/>
  <c r="D8829" i="1"/>
  <c r="D8830" i="1"/>
  <c r="D8831" i="1"/>
  <c r="D8832" i="1"/>
  <c r="K8832" i="1" s="1"/>
  <c r="D8833" i="1"/>
  <c r="K8833" i="1" s="1"/>
  <c r="D8834" i="1"/>
  <c r="D8835" i="1"/>
  <c r="D8836" i="1"/>
  <c r="D8837" i="1"/>
  <c r="D8838" i="1"/>
  <c r="E8838" i="1" s="1"/>
  <c r="D8839" i="1"/>
  <c r="D8840" i="1"/>
  <c r="K8840" i="1" s="1"/>
  <c r="D8841" i="1"/>
  <c r="D8842" i="1"/>
  <c r="E8842" i="1" s="1"/>
  <c r="D8843" i="1"/>
  <c r="D8844" i="1"/>
  <c r="D8845" i="1"/>
  <c r="D8846" i="1"/>
  <c r="D8847" i="1"/>
  <c r="D8848" i="1"/>
  <c r="K8848" i="1" s="1"/>
  <c r="D8849" i="1"/>
  <c r="K8849" i="1" s="1"/>
  <c r="D8850" i="1"/>
  <c r="E8850" i="1" s="1"/>
  <c r="D8851" i="1"/>
  <c r="D8852" i="1"/>
  <c r="D8853" i="1"/>
  <c r="D8854" i="1"/>
  <c r="D8855" i="1"/>
  <c r="D8856" i="1"/>
  <c r="K8856" i="1" s="1"/>
  <c r="D8857" i="1"/>
  <c r="K8857" i="1" s="1"/>
  <c r="D8858" i="1"/>
  <c r="E8858" i="1" s="1"/>
  <c r="D8859" i="1"/>
  <c r="D8860" i="1"/>
  <c r="D8861" i="1"/>
  <c r="D8862" i="1"/>
  <c r="D8863" i="1"/>
  <c r="D8864" i="1"/>
  <c r="D8865" i="1"/>
  <c r="D8866" i="1"/>
  <c r="D8867" i="1"/>
  <c r="D8868" i="1"/>
  <c r="D8869" i="1"/>
  <c r="D8870" i="1"/>
  <c r="D8871" i="1"/>
  <c r="D8872" i="1"/>
  <c r="K8872" i="1" s="1"/>
  <c r="D8873" i="1"/>
  <c r="K8873" i="1" s="1"/>
  <c r="D8874" i="1"/>
  <c r="D8875" i="1"/>
  <c r="D8876" i="1"/>
  <c r="D8877" i="1"/>
  <c r="D8878" i="1"/>
  <c r="D8879" i="1"/>
  <c r="K8879" i="1" s="1"/>
  <c r="D8880" i="1"/>
  <c r="K8880" i="1" s="1"/>
  <c r="D8881" i="1"/>
  <c r="K8881" i="1" s="1"/>
  <c r="D8882" i="1"/>
  <c r="D8883" i="1"/>
  <c r="D8884" i="1"/>
  <c r="D8885" i="1"/>
  <c r="D8886" i="1"/>
  <c r="J8886" i="1" s="1"/>
  <c r="D8887" i="1"/>
  <c r="D8888" i="1"/>
  <c r="D8889" i="1"/>
  <c r="D8890" i="1"/>
  <c r="D8891" i="1"/>
  <c r="D8892" i="1"/>
  <c r="D8893" i="1"/>
  <c r="D8894" i="1"/>
  <c r="D8895" i="1"/>
  <c r="D8896" i="1"/>
  <c r="K8896" i="1" s="1"/>
  <c r="D8897" i="1"/>
  <c r="K8897" i="1" s="1"/>
  <c r="D8898" i="1"/>
  <c r="D8899" i="1"/>
  <c r="D8900" i="1"/>
  <c r="D8901" i="1"/>
  <c r="D8902" i="1"/>
  <c r="D8903" i="1"/>
  <c r="D8904" i="1"/>
  <c r="K8904" i="1" s="1"/>
  <c r="D8905" i="1"/>
  <c r="D8906" i="1"/>
  <c r="D8907" i="1"/>
  <c r="D8908" i="1"/>
  <c r="D8909" i="1"/>
  <c r="D8910" i="1"/>
  <c r="D8911" i="1"/>
  <c r="D8912" i="1"/>
  <c r="K8912" i="1" s="1"/>
  <c r="D8913" i="1"/>
  <c r="K8913" i="1" s="1"/>
  <c r="D8914" i="1"/>
  <c r="D8915" i="1"/>
  <c r="D8916" i="1"/>
  <c r="D8917" i="1"/>
  <c r="D8918" i="1"/>
  <c r="D8919" i="1"/>
  <c r="D8920" i="1"/>
  <c r="K8920" i="1" s="1"/>
  <c r="D8921" i="1"/>
  <c r="K8921" i="1" s="1"/>
  <c r="D8922" i="1"/>
  <c r="D8923" i="1"/>
  <c r="D8924" i="1"/>
  <c r="D8925" i="1"/>
  <c r="D8926" i="1"/>
  <c r="L8926" i="1" s="1"/>
  <c r="D8927" i="1"/>
  <c r="D8928" i="1"/>
  <c r="D8929" i="1"/>
  <c r="D8930" i="1"/>
  <c r="D8931" i="1"/>
  <c r="D8932" i="1"/>
  <c r="D8933" i="1"/>
  <c r="D8934" i="1"/>
  <c r="D8935" i="1"/>
  <c r="D8936" i="1"/>
  <c r="K8936" i="1" s="1"/>
  <c r="D8937" i="1"/>
  <c r="K8937" i="1" s="1"/>
  <c r="D8938" i="1"/>
  <c r="D8939" i="1"/>
  <c r="D8940" i="1"/>
  <c r="D8941" i="1"/>
  <c r="D8942" i="1"/>
  <c r="D8943" i="1"/>
  <c r="K8943" i="1" s="1"/>
  <c r="D8944" i="1"/>
  <c r="K8944" i="1" s="1"/>
  <c r="D8945" i="1"/>
  <c r="K8945" i="1" s="1"/>
  <c r="D8946" i="1"/>
  <c r="E8946" i="1" s="1"/>
  <c r="D8947" i="1"/>
  <c r="D8948" i="1"/>
  <c r="D8949" i="1"/>
  <c r="D8950" i="1"/>
  <c r="D8951" i="1"/>
  <c r="D8952" i="1"/>
  <c r="D8953" i="1"/>
  <c r="D8954" i="1"/>
  <c r="D8955" i="1"/>
  <c r="D8956" i="1"/>
  <c r="D8957" i="1"/>
  <c r="D8958" i="1"/>
  <c r="D8959" i="1"/>
  <c r="D8960" i="1"/>
  <c r="K8960" i="1" s="1"/>
  <c r="D8961" i="1"/>
  <c r="K8961" i="1" s="1"/>
  <c r="D8962" i="1"/>
  <c r="D8963" i="1"/>
  <c r="D8964" i="1"/>
  <c r="D8965" i="1"/>
  <c r="D8966" i="1"/>
  <c r="D8967" i="1"/>
  <c r="D8968" i="1"/>
  <c r="K8968" i="1" s="1"/>
  <c r="D8969" i="1"/>
  <c r="D8970" i="1"/>
  <c r="D8971" i="1"/>
  <c r="D8972" i="1"/>
  <c r="D8973" i="1"/>
  <c r="D8974" i="1"/>
  <c r="D8975" i="1"/>
  <c r="D8976" i="1"/>
  <c r="K8976" i="1" s="1"/>
  <c r="D8977" i="1"/>
  <c r="K8977" i="1" s="1"/>
  <c r="D8978" i="1"/>
  <c r="E8978" i="1" s="1"/>
  <c r="D8979" i="1"/>
  <c r="D8980" i="1"/>
  <c r="D8981" i="1"/>
  <c r="D8982" i="1"/>
  <c r="D8983" i="1"/>
  <c r="D8984" i="1"/>
  <c r="K8984" i="1" s="1"/>
  <c r="D8985" i="1"/>
  <c r="K8985" i="1" s="1"/>
  <c r="D8986" i="1"/>
  <c r="D8987" i="1"/>
  <c r="D8988" i="1"/>
  <c r="D8989" i="1"/>
  <c r="D8990" i="1"/>
  <c r="D8991" i="1"/>
  <c r="L8991" i="1" s="1"/>
  <c r="D8992" i="1"/>
  <c r="D8993" i="1"/>
  <c r="D8994" i="1"/>
  <c r="D8995" i="1"/>
  <c r="D8996" i="1"/>
  <c r="D8997" i="1"/>
  <c r="D8998" i="1"/>
  <c r="D8999" i="1"/>
  <c r="D9000" i="1"/>
  <c r="K9000" i="1" s="1"/>
  <c r="D9001" i="1"/>
  <c r="K9001" i="1" s="1"/>
  <c r="D9002" i="1"/>
  <c r="E9002" i="1" s="1"/>
  <c r="D9003" i="1"/>
  <c r="D9004" i="1"/>
  <c r="D9005" i="1"/>
  <c r="D9006" i="1"/>
  <c r="D9007" i="1"/>
  <c r="E9007" i="1" s="1"/>
  <c r="D9008" i="1"/>
  <c r="K9008" i="1" s="1"/>
  <c r="D9009" i="1"/>
  <c r="K9009" i="1" s="1"/>
  <c r="D9010" i="1"/>
  <c r="D9011" i="1"/>
  <c r="D9012" i="1"/>
  <c r="D9013" i="1"/>
  <c r="D9014" i="1"/>
  <c r="D9015" i="1"/>
  <c r="E9015" i="1" s="1"/>
  <c r="D9016" i="1"/>
  <c r="D9017" i="1"/>
  <c r="D9018" i="1"/>
  <c r="D9019" i="1"/>
  <c r="D9020" i="1"/>
  <c r="D9021" i="1"/>
  <c r="D9022" i="1"/>
  <c r="D9023" i="1"/>
  <c r="D9024" i="1"/>
  <c r="K9024" i="1" s="1"/>
  <c r="D9025" i="1"/>
  <c r="K9025" i="1" s="1"/>
  <c r="D9026" i="1"/>
  <c r="D9027" i="1"/>
  <c r="D9028" i="1"/>
  <c r="D9029" i="1"/>
  <c r="D9030" i="1"/>
  <c r="D9031" i="1"/>
  <c r="D9032" i="1"/>
  <c r="K9032" i="1" s="1"/>
  <c r="D9033" i="1"/>
  <c r="D9034" i="1"/>
  <c r="D9035" i="1"/>
  <c r="D9036" i="1"/>
  <c r="D9037" i="1"/>
  <c r="D9038" i="1"/>
  <c r="D9039" i="1"/>
  <c r="D9040" i="1"/>
  <c r="K9040" i="1" s="1"/>
  <c r="D9041" i="1"/>
  <c r="K9041" i="1" s="1"/>
  <c r="D9042" i="1"/>
  <c r="D9043" i="1"/>
  <c r="D9044" i="1"/>
  <c r="D9045" i="1"/>
  <c r="D9046" i="1"/>
  <c r="D9047" i="1"/>
  <c r="D9048" i="1"/>
  <c r="K9048" i="1" s="1"/>
  <c r="D9049" i="1"/>
  <c r="K9049" i="1" s="1"/>
  <c r="D9050" i="1"/>
  <c r="D9051" i="1"/>
  <c r="D9052" i="1"/>
  <c r="D9053" i="1"/>
  <c r="D9054" i="1"/>
  <c r="D9055" i="1"/>
  <c r="L9055" i="1" s="1"/>
  <c r="D9056" i="1"/>
  <c r="D9057" i="1"/>
  <c r="D9058" i="1"/>
  <c r="D9059" i="1"/>
  <c r="D9060" i="1"/>
  <c r="D9061" i="1"/>
  <c r="D9062" i="1"/>
  <c r="E9062" i="1" s="1"/>
  <c r="D9063" i="1"/>
  <c r="D9064" i="1"/>
  <c r="K9064" i="1" s="1"/>
  <c r="D9065" i="1"/>
  <c r="K9065" i="1" s="1"/>
  <c r="D9066" i="1"/>
  <c r="E9066" i="1" s="1"/>
  <c r="D9067" i="1"/>
  <c r="D9068" i="1"/>
  <c r="D9069" i="1"/>
  <c r="D9070" i="1"/>
  <c r="D9071" i="1"/>
  <c r="E9071" i="1" s="1"/>
  <c r="D9072" i="1"/>
  <c r="K9072" i="1" s="1"/>
  <c r="D9073" i="1"/>
  <c r="K9073" i="1" s="1"/>
  <c r="D9074" i="1"/>
  <c r="E9074" i="1" s="1"/>
  <c r="D9075" i="1"/>
  <c r="D9076" i="1"/>
  <c r="D9077" i="1"/>
  <c r="D9078" i="1"/>
  <c r="D9079" i="1"/>
  <c r="D9080" i="1"/>
  <c r="D9081" i="1"/>
  <c r="D9082" i="1"/>
  <c r="D9083" i="1"/>
  <c r="D9084" i="1"/>
  <c r="D9085" i="1"/>
  <c r="D9086" i="1"/>
  <c r="J9086" i="1" s="1"/>
  <c r="D9087" i="1"/>
  <c r="D9088" i="1"/>
  <c r="K9088" i="1" s="1"/>
  <c r="D9089" i="1"/>
  <c r="K9089" i="1" s="1"/>
  <c r="D9090" i="1"/>
  <c r="D9091" i="1"/>
  <c r="D9092" i="1"/>
  <c r="D9093" i="1"/>
  <c r="D9094" i="1"/>
  <c r="D9095" i="1"/>
  <c r="L9095" i="1" s="1"/>
  <c r="D9096" i="1"/>
  <c r="K9096" i="1" s="1"/>
  <c r="D9097" i="1"/>
  <c r="D9098" i="1"/>
  <c r="D9099" i="1"/>
  <c r="D9100" i="1"/>
  <c r="D9101" i="1"/>
  <c r="D9102" i="1"/>
  <c r="D9103" i="1"/>
  <c r="D9104" i="1"/>
  <c r="K9104" i="1" s="1"/>
  <c r="D9105" i="1"/>
  <c r="K9105" i="1" s="1"/>
  <c r="D9106" i="1"/>
  <c r="D9107" i="1"/>
  <c r="D9108" i="1"/>
  <c r="D9109" i="1"/>
  <c r="D9110" i="1"/>
  <c r="J9110" i="1" s="1"/>
  <c r="D9111" i="1"/>
  <c r="D9112" i="1"/>
  <c r="K9112" i="1" s="1"/>
  <c r="D9113" i="1"/>
  <c r="K9113" i="1" s="1"/>
  <c r="D9114" i="1"/>
  <c r="D9115" i="1"/>
  <c r="D9116" i="1"/>
  <c r="D9117" i="1"/>
  <c r="D9118" i="1"/>
  <c r="D9119" i="1"/>
  <c r="D9120" i="1"/>
  <c r="D9121" i="1"/>
  <c r="D9122" i="1"/>
  <c r="D9123" i="1"/>
  <c r="D9124" i="1"/>
  <c r="D9125" i="1"/>
  <c r="D9126" i="1"/>
  <c r="D9127" i="1"/>
  <c r="D9128" i="1"/>
  <c r="K9128" i="1" s="1"/>
  <c r="D9129" i="1"/>
  <c r="K9129" i="1" s="1"/>
  <c r="D9130" i="1"/>
  <c r="D9131" i="1"/>
  <c r="D9132" i="1"/>
  <c r="D9133" i="1"/>
  <c r="D9134" i="1"/>
  <c r="D9135" i="1"/>
  <c r="D9136" i="1"/>
  <c r="K9136" i="1" s="1"/>
  <c r="D9137" i="1"/>
  <c r="K9137" i="1" s="1"/>
  <c r="D9138" i="1"/>
  <c r="D9139" i="1"/>
  <c r="D9140" i="1"/>
  <c r="D9141" i="1"/>
  <c r="D9142" i="1"/>
  <c r="D9143" i="1"/>
  <c r="D9144" i="1"/>
  <c r="D9145" i="1"/>
  <c r="D9146" i="1"/>
  <c r="D9147" i="1"/>
  <c r="D9148" i="1"/>
  <c r="D9149" i="1"/>
  <c r="D9150" i="1"/>
  <c r="D9151" i="1"/>
  <c r="D9152" i="1"/>
  <c r="K9152" i="1" s="1"/>
  <c r="D9153" i="1"/>
  <c r="K9153" i="1" s="1"/>
  <c r="D9154" i="1"/>
  <c r="D9155" i="1"/>
  <c r="D9156" i="1"/>
  <c r="D9157" i="1"/>
  <c r="D9158" i="1"/>
  <c r="D9159" i="1"/>
  <c r="D9160" i="1"/>
  <c r="K9160" i="1" s="1"/>
  <c r="D9161" i="1"/>
  <c r="D9162" i="1"/>
  <c r="D9163" i="1"/>
  <c r="D9164" i="1"/>
  <c r="D9165" i="1"/>
  <c r="D9166" i="1"/>
  <c r="L9166" i="1" s="1"/>
  <c r="D9167" i="1"/>
  <c r="D9168" i="1"/>
  <c r="K9168" i="1" s="1"/>
  <c r="D9169" i="1"/>
  <c r="K9169" i="1" s="1"/>
  <c r="D9170" i="1"/>
  <c r="D9171" i="1"/>
  <c r="D9172" i="1"/>
  <c r="D9173" i="1"/>
  <c r="D9174" i="1"/>
  <c r="D9175" i="1"/>
  <c r="E9175" i="1" s="1"/>
  <c r="D9176" i="1"/>
  <c r="K9176" i="1" s="1"/>
  <c r="D9177" i="1"/>
  <c r="K9177" i="1" s="1"/>
  <c r="D9178" i="1"/>
  <c r="D9179" i="1"/>
  <c r="D9180" i="1"/>
  <c r="D9181" i="1"/>
  <c r="D9182" i="1"/>
  <c r="D9183" i="1"/>
  <c r="K9183" i="1" s="1"/>
  <c r="D9184" i="1"/>
  <c r="D9185" i="1"/>
  <c r="D9186" i="1"/>
  <c r="D9187" i="1"/>
  <c r="D9188" i="1"/>
  <c r="D9189" i="1"/>
  <c r="D9190" i="1"/>
  <c r="J9190" i="1" s="1"/>
  <c r="D9191" i="1"/>
  <c r="D9192" i="1"/>
  <c r="K9192" i="1" s="1"/>
  <c r="D9193" i="1"/>
  <c r="K9193" i="1" s="1"/>
  <c r="D9194" i="1"/>
  <c r="D9195" i="1"/>
  <c r="D9196" i="1"/>
  <c r="D9197" i="1"/>
  <c r="D9198" i="1"/>
  <c r="D9199" i="1"/>
  <c r="D9200" i="1"/>
  <c r="K9200" i="1" s="1"/>
  <c r="D9201" i="1"/>
  <c r="K9201" i="1" s="1"/>
  <c r="D9202" i="1"/>
  <c r="D9203" i="1"/>
  <c r="D9204" i="1"/>
  <c r="D9205" i="1"/>
  <c r="D9206" i="1"/>
  <c r="D9207" i="1"/>
  <c r="D9208" i="1"/>
  <c r="D9209" i="1"/>
  <c r="D9210" i="1"/>
  <c r="D9211" i="1"/>
  <c r="D9212" i="1"/>
  <c r="D9213" i="1"/>
  <c r="D9214" i="1"/>
  <c r="J9214" i="1" s="1"/>
  <c r="D9215" i="1"/>
  <c r="E9215" i="1" s="1"/>
  <c r="D9216" i="1"/>
  <c r="K9216" i="1" s="1"/>
  <c r="D9217" i="1"/>
  <c r="K9217" i="1" s="1"/>
  <c r="D9218" i="1"/>
  <c r="E9218" i="1" s="1"/>
  <c r="D9219" i="1"/>
  <c r="D9220" i="1"/>
  <c r="D9221" i="1"/>
  <c r="D9222" i="1"/>
  <c r="D9223" i="1"/>
  <c r="D9224" i="1"/>
  <c r="K9224" i="1" s="1"/>
  <c r="D9225" i="1"/>
  <c r="D9226" i="1"/>
  <c r="D9227" i="1"/>
  <c r="D9228" i="1"/>
  <c r="D9229" i="1"/>
  <c r="D9230" i="1"/>
  <c r="D9231" i="1"/>
  <c r="D9232" i="1"/>
  <c r="K9232" i="1" s="1"/>
  <c r="D9233" i="1"/>
  <c r="K9233" i="1" s="1"/>
  <c r="D9234" i="1"/>
  <c r="E9234" i="1" s="1"/>
  <c r="D9235" i="1"/>
  <c r="D9236" i="1"/>
  <c r="D9237" i="1"/>
  <c r="D9238" i="1"/>
  <c r="D9239" i="1"/>
  <c r="D9240" i="1"/>
  <c r="K9240" i="1" s="1"/>
  <c r="D9241" i="1"/>
  <c r="K9241" i="1" s="1"/>
  <c r="D9242" i="1"/>
  <c r="E9242" i="1" s="1"/>
  <c r="D9243" i="1"/>
  <c r="D9244" i="1"/>
  <c r="D9245" i="1"/>
  <c r="D9246" i="1"/>
  <c r="D9247" i="1"/>
  <c r="K9247" i="1" s="1"/>
  <c r="D9248" i="1"/>
  <c r="D9249" i="1"/>
  <c r="D9250" i="1"/>
  <c r="D9251" i="1"/>
  <c r="D9252" i="1"/>
  <c r="D9253" i="1"/>
  <c r="D9254" i="1"/>
  <c r="D9255" i="1"/>
  <c r="D9256" i="1"/>
  <c r="K9256" i="1" s="1"/>
  <c r="D9257" i="1"/>
  <c r="K9257" i="1" s="1"/>
  <c r="D9258" i="1"/>
  <c r="D9259" i="1"/>
  <c r="D9260" i="1"/>
  <c r="D9261" i="1"/>
  <c r="D9262" i="1"/>
  <c r="D9263" i="1"/>
  <c r="K9263" i="1" s="1"/>
  <c r="D9264" i="1"/>
  <c r="K9264" i="1" s="1"/>
  <c r="D9265" i="1"/>
  <c r="K9265" i="1" s="1"/>
  <c r="D9266" i="1"/>
  <c r="D9267" i="1"/>
  <c r="D9268" i="1"/>
  <c r="D9269" i="1"/>
  <c r="D9270" i="1"/>
  <c r="D9271" i="1"/>
  <c r="D9272" i="1"/>
  <c r="D9273" i="1"/>
  <c r="D9274" i="1"/>
  <c r="D9275" i="1"/>
  <c r="D9276" i="1"/>
  <c r="D9277" i="1"/>
  <c r="D9278" i="1"/>
  <c r="D9279" i="1"/>
  <c r="D9280" i="1"/>
  <c r="K9280" i="1" s="1"/>
  <c r="D9281" i="1"/>
  <c r="K9281" i="1" s="1"/>
  <c r="D9282" i="1"/>
  <c r="D9283" i="1"/>
  <c r="D9284" i="1"/>
  <c r="D9285" i="1"/>
  <c r="D9286" i="1"/>
  <c r="J9286" i="1" s="1"/>
  <c r="D9287" i="1"/>
  <c r="D9288" i="1"/>
  <c r="K9288" i="1" s="1"/>
  <c r="D9289" i="1"/>
  <c r="D9290" i="1"/>
  <c r="D9291" i="1"/>
  <c r="D9292" i="1"/>
  <c r="D9293" i="1"/>
  <c r="D9294" i="1"/>
  <c r="D9295" i="1"/>
  <c r="D9296" i="1"/>
  <c r="K9296" i="1" s="1"/>
  <c r="D9297" i="1"/>
  <c r="K9297" i="1" s="1"/>
  <c r="D9298" i="1"/>
  <c r="D9299" i="1"/>
  <c r="D9300" i="1"/>
  <c r="D9301" i="1"/>
  <c r="D9302" i="1"/>
  <c r="D9303" i="1"/>
  <c r="D9304" i="1"/>
  <c r="K9304" i="1" s="1"/>
  <c r="D9305" i="1"/>
  <c r="K9305" i="1" s="1"/>
  <c r="D9306" i="1"/>
  <c r="D9307" i="1"/>
  <c r="D9308" i="1"/>
  <c r="D9309" i="1"/>
  <c r="D9310" i="1"/>
  <c r="D9311" i="1"/>
  <c r="D9312" i="1"/>
  <c r="D9313" i="1"/>
  <c r="D9314" i="1"/>
  <c r="D9315" i="1"/>
  <c r="D9316" i="1"/>
  <c r="D9317" i="1"/>
  <c r="D9318" i="1"/>
  <c r="D9319" i="1"/>
  <c r="D9320" i="1"/>
  <c r="K9320" i="1" s="1"/>
  <c r="D9321" i="1"/>
  <c r="K9321" i="1" s="1"/>
  <c r="D9322" i="1"/>
  <c r="D9323" i="1"/>
  <c r="D9324" i="1"/>
  <c r="D9325" i="1"/>
  <c r="D9326" i="1"/>
  <c r="D9327" i="1"/>
  <c r="L9327" i="1" s="1"/>
  <c r="D9328" i="1"/>
  <c r="K9328" i="1" s="1"/>
  <c r="D9329" i="1"/>
  <c r="K9329" i="1" s="1"/>
  <c r="D9330" i="1"/>
  <c r="E9330" i="1" s="1"/>
  <c r="D9331" i="1"/>
  <c r="D9332" i="1"/>
  <c r="D9333" i="1"/>
  <c r="D9334" i="1"/>
  <c r="D9335" i="1"/>
  <c r="D9336" i="1"/>
  <c r="D9337" i="1"/>
  <c r="D9338" i="1"/>
  <c r="E9338" i="1" s="1"/>
  <c r="D9339" i="1"/>
  <c r="D9340" i="1"/>
  <c r="D9341" i="1"/>
  <c r="D9342" i="1"/>
  <c r="L9342" i="1" s="1"/>
  <c r="D9343" i="1"/>
  <c r="D9344" i="1"/>
  <c r="K9344" i="1" s="1"/>
  <c r="D9345" i="1"/>
  <c r="K9345" i="1" s="1"/>
  <c r="D9346" i="1"/>
  <c r="D9347" i="1"/>
  <c r="D9348" i="1"/>
  <c r="D9349" i="1"/>
  <c r="D9350" i="1"/>
  <c r="D9351" i="1"/>
  <c r="D9352" i="1"/>
  <c r="K9352" i="1" s="1"/>
  <c r="D9353" i="1"/>
  <c r="D9354" i="1"/>
  <c r="D9355" i="1"/>
  <c r="D9356" i="1"/>
  <c r="D9357" i="1"/>
  <c r="D9358" i="1"/>
  <c r="D9359" i="1"/>
  <c r="E9359" i="1" s="1"/>
  <c r="D9360" i="1"/>
  <c r="K9360" i="1" s="1"/>
  <c r="D9361" i="1"/>
  <c r="K9361" i="1" s="1"/>
  <c r="D9362" i="1"/>
  <c r="D9363" i="1"/>
  <c r="D9364" i="1"/>
  <c r="D9365" i="1"/>
  <c r="D9366" i="1"/>
  <c r="D9367" i="1"/>
  <c r="D9368" i="1"/>
  <c r="K9368" i="1" s="1"/>
  <c r="D9369" i="1"/>
  <c r="K9369" i="1" s="1"/>
  <c r="D9370" i="1"/>
  <c r="D9371" i="1"/>
  <c r="D9372" i="1"/>
  <c r="D9373" i="1"/>
  <c r="D9374" i="1"/>
  <c r="D9375" i="1"/>
  <c r="L9375" i="1" s="1"/>
  <c r="D9376" i="1"/>
  <c r="D9377" i="1"/>
  <c r="D9378" i="1"/>
  <c r="D9379" i="1"/>
  <c r="D9380" i="1"/>
  <c r="D9381" i="1"/>
  <c r="D9382" i="1"/>
  <c r="D9383" i="1"/>
  <c r="D9384" i="1"/>
  <c r="K9384" i="1" s="1"/>
  <c r="D9385" i="1"/>
  <c r="K9385" i="1" s="1"/>
  <c r="D9386" i="1"/>
  <c r="D9387" i="1"/>
  <c r="D9388" i="1"/>
  <c r="D9389" i="1"/>
  <c r="D9390" i="1"/>
  <c r="D9391" i="1"/>
  <c r="D9392" i="1"/>
  <c r="K9392" i="1" s="1"/>
  <c r="D9393" i="1"/>
  <c r="K9393" i="1" s="1"/>
  <c r="D9394" i="1"/>
  <c r="D9395" i="1"/>
  <c r="D9396" i="1"/>
  <c r="D9397" i="1"/>
  <c r="D9398" i="1"/>
  <c r="D9399" i="1"/>
  <c r="D9400" i="1"/>
  <c r="D9401" i="1"/>
  <c r="D9402" i="1"/>
  <c r="D9403" i="1"/>
  <c r="D9404" i="1"/>
  <c r="D9405" i="1"/>
  <c r="D9406" i="1"/>
  <c r="D9407" i="1"/>
  <c r="D9408" i="1"/>
  <c r="K9408" i="1" s="1"/>
  <c r="D9409" i="1"/>
  <c r="K9409" i="1" s="1"/>
  <c r="D9410" i="1"/>
  <c r="D9411" i="1"/>
  <c r="D9412" i="1"/>
  <c r="D9413" i="1"/>
  <c r="D9414" i="1"/>
  <c r="J9414" i="1" s="1"/>
  <c r="D9415" i="1"/>
  <c r="L9415" i="1" s="1"/>
  <c r="D9416" i="1"/>
  <c r="K9416" i="1" s="1"/>
  <c r="D9417" i="1"/>
  <c r="D9418" i="1"/>
  <c r="D9419" i="1"/>
  <c r="D9420" i="1"/>
  <c r="D9421" i="1"/>
  <c r="D9422" i="1"/>
  <c r="D9423" i="1"/>
  <c r="E9423" i="1" s="1"/>
  <c r="D9424" i="1"/>
  <c r="K9424" i="1" s="1"/>
  <c r="D9425" i="1"/>
  <c r="K9425" i="1" s="1"/>
  <c r="D9426" i="1"/>
  <c r="D9427" i="1"/>
  <c r="D9428" i="1"/>
  <c r="D9429" i="1"/>
  <c r="D9430" i="1"/>
  <c r="D9431" i="1"/>
  <c r="E9431" i="1" s="1"/>
  <c r="D9432" i="1"/>
  <c r="K9432" i="1" s="1"/>
  <c r="D9433" i="1"/>
  <c r="K9433" i="1" s="1"/>
  <c r="D9434" i="1"/>
  <c r="D9435" i="1"/>
  <c r="D9436" i="1"/>
  <c r="D9437" i="1"/>
  <c r="D9438" i="1"/>
  <c r="D9439" i="1"/>
  <c r="K9439" i="1" s="1"/>
  <c r="D9440" i="1"/>
  <c r="D9441" i="1"/>
  <c r="D9442" i="1"/>
  <c r="D9443" i="1"/>
  <c r="D9444" i="1"/>
  <c r="D9445" i="1"/>
  <c r="D9446" i="1"/>
  <c r="D9447" i="1"/>
  <c r="D9448" i="1"/>
  <c r="K9448" i="1" s="1"/>
  <c r="D9449" i="1"/>
  <c r="K9449" i="1" s="1"/>
  <c r="D9450" i="1"/>
  <c r="E9450" i="1" s="1"/>
  <c r="D9451" i="1"/>
  <c r="D9452" i="1"/>
  <c r="D9453" i="1"/>
  <c r="D9454" i="1"/>
  <c r="D9455" i="1"/>
  <c r="K9455" i="1" s="1"/>
  <c r="D9456" i="1"/>
  <c r="K9456" i="1" s="1"/>
  <c r="D9457" i="1"/>
  <c r="K9457" i="1" s="1"/>
  <c r="D9458" i="1"/>
  <c r="D9459" i="1"/>
  <c r="D9460" i="1"/>
  <c r="D9461" i="1"/>
  <c r="D9462" i="1"/>
  <c r="D9463" i="1"/>
  <c r="D9464" i="1"/>
  <c r="D9465" i="1"/>
  <c r="D9466" i="1"/>
  <c r="D9467" i="1"/>
  <c r="D9468" i="1"/>
  <c r="D9469" i="1"/>
  <c r="D9470" i="1"/>
  <c r="D9471" i="1"/>
  <c r="D9472" i="1"/>
  <c r="K9472" i="1" s="1"/>
  <c r="D9473" i="1"/>
  <c r="K9473" i="1" s="1"/>
  <c r="D9474" i="1"/>
  <c r="D9475" i="1"/>
  <c r="D9476" i="1"/>
  <c r="D9477" i="1"/>
  <c r="D9478" i="1"/>
  <c r="D9479" i="1"/>
  <c r="D9480" i="1"/>
  <c r="K9480" i="1" s="1"/>
  <c r="D9481" i="1"/>
  <c r="D9482" i="1"/>
  <c r="D9483" i="1"/>
  <c r="D9484" i="1"/>
  <c r="D9485" i="1"/>
  <c r="D9486" i="1"/>
  <c r="D9487" i="1"/>
  <c r="D9488" i="1"/>
  <c r="K9488" i="1" s="1"/>
  <c r="D9489" i="1"/>
  <c r="K9489" i="1" s="1"/>
  <c r="D9490" i="1"/>
  <c r="D9491" i="1"/>
  <c r="D9492" i="1"/>
  <c r="D9493" i="1"/>
  <c r="D9494" i="1"/>
  <c r="J9494" i="1" s="1"/>
  <c r="D9495" i="1"/>
  <c r="E9495" i="1" s="1"/>
  <c r="D9496" i="1"/>
  <c r="K9496" i="1" s="1"/>
  <c r="D9497" i="1"/>
  <c r="K9497" i="1" s="1"/>
  <c r="D9498" i="1"/>
  <c r="D9499" i="1"/>
  <c r="D9500" i="1"/>
  <c r="D9501" i="1"/>
  <c r="D9502" i="1"/>
  <c r="D9503" i="1"/>
  <c r="K9503" i="1" s="1"/>
  <c r="D9504" i="1"/>
  <c r="D9505" i="1"/>
  <c r="D9506" i="1"/>
  <c r="D9507" i="1"/>
  <c r="D9508" i="1"/>
  <c r="D9509" i="1"/>
  <c r="D9510" i="1"/>
  <c r="D9511" i="1"/>
  <c r="D9512" i="1"/>
  <c r="K9512" i="1" s="1"/>
  <c r="D9513" i="1"/>
  <c r="K9513" i="1" s="1"/>
  <c r="D9514" i="1"/>
  <c r="D9515" i="1"/>
  <c r="D9516" i="1"/>
  <c r="D9517" i="1"/>
  <c r="D9518" i="1"/>
  <c r="D9519" i="1"/>
  <c r="D9520" i="1"/>
  <c r="K9520" i="1" s="1"/>
  <c r="D9521" i="1"/>
  <c r="K9521" i="1" s="1"/>
  <c r="D9522" i="1"/>
  <c r="E9522" i="1" s="1"/>
  <c r="D9523" i="1"/>
  <c r="D9524" i="1"/>
  <c r="D9525" i="1"/>
  <c r="D9526" i="1"/>
  <c r="J9526" i="1" s="1"/>
  <c r="D9527" i="1"/>
  <c r="D9528" i="1"/>
  <c r="D9529" i="1"/>
  <c r="D9530" i="1"/>
  <c r="E9530" i="1" s="1"/>
  <c r="D9531" i="1"/>
  <c r="D9532" i="1"/>
  <c r="D9533" i="1"/>
  <c r="D9534" i="1"/>
  <c r="D9535" i="1"/>
  <c r="D9536" i="1"/>
  <c r="K9536" i="1" s="1"/>
  <c r="D9537" i="1"/>
  <c r="K9537" i="1" s="1"/>
  <c r="D9538" i="1"/>
  <c r="D9539" i="1"/>
  <c r="D9540" i="1"/>
  <c r="D9541" i="1"/>
  <c r="D9542" i="1"/>
  <c r="D9543" i="1"/>
  <c r="D9544" i="1"/>
  <c r="K9544" i="1" s="1"/>
  <c r="D9545" i="1"/>
  <c r="D9546" i="1"/>
  <c r="E9546" i="1" s="1"/>
  <c r="D9547" i="1"/>
  <c r="D9548" i="1"/>
  <c r="D9549" i="1"/>
  <c r="D9550" i="1"/>
  <c r="D9551" i="1"/>
  <c r="D9552" i="1"/>
  <c r="K9552" i="1" s="1"/>
  <c r="D9553" i="1"/>
  <c r="K9553" i="1" s="1"/>
  <c r="D9554" i="1"/>
  <c r="D9555" i="1"/>
  <c r="D9556" i="1"/>
  <c r="D9557" i="1"/>
  <c r="D9558" i="1"/>
  <c r="D9559" i="1"/>
  <c r="D9560" i="1"/>
  <c r="K9560" i="1" s="1"/>
  <c r="D9561" i="1"/>
  <c r="K9561" i="1" s="1"/>
  <c r="D9562" i="1"/>
  <c r="D9563" i="1"/>
  <c r="D9564" i="1"/>
  <c r="D9565" i="1"/>
  <c r="D9566" i="1"/>
  <c r="D9567" i="1"/>
  <c r="D9568" i="1"/>
  <c r="D9569" i="1"/>
  <c r="D9570" i="1"/>
  <c r="D9571" i="1"/>
  <c r="D9572" i="1"/>
  <c r="D9573" i="1"/>
  <c r="D9574" i="1"/>
  <c r="D9575" i="1"/>
  <c r="D9576" i="1"/>
  <c r="K9576" i="1" s="1"/>
  <c r="D9577" i="1"/>
  <c r="K9577" i="1" s="1"/>
  <c r="D9578" i="1"/>
  <c r="D9579" i="1"/>
  <c r="D9580" i="1"/>
  <c r="D9581" i="1"/>
  <c r="D9582" i="1"/>
  <c r="D9583" i="1"/>
  <c r="D9584" i="1"/>
  <c r="K9584" i="1" s="1"/>
  <c r="D9585" i="1"/>
  <c r="K9585" i="1" s="1"/>
  <c r="D9586" i="1"/>
  <c r="D9587" i="1"/>
  <c r="D9588" i="1"/>
  <c r="D9589" i="1"/>
  <c r="D9590" i="1"/>
  <c r="J9590" i="1" s="1"/>
  <c r="D9591" i="1"/>
  <c r="D9592" i="1"/>
  <c r="D9593" i="1"/>
  <c r="D9594" i="1"/>
  <c r="D9595" i="1"/>
  <c r="D9596" i="1"/>
  <c r="D9597" i="1"/>
  <c r="D9598" i="1"/>
  <c r="D9599" i="1"/>
  <c r="D9600" i="1"/>
  <c r="K9600" i="1" s="1"/>
  <c r="D9601" i="1"/>
  <c r="K9601" i="1" s="1"/>
  <c r="D9602" i="1"/>
  <c r="D9603" i="1"/>
  <c r="D9604" i="1"/>
  <c r="D9605" i="1"/>
  <c r="D9606" i="1"/>
  <c r="J9606" i="1" s="1"/>
  <c r="D9607" i="1"/>
  <c r="E9607" i="1" s="1"/>
  <c r="D9608" i="1"/>
  <c r="K9608" i="1" s="1"/>
  <c r="D9609" i="1"/>
  <c r="D9610" i="1"/>
  <c r="D9611" i="1"/>
  <c r="D9612" i="1"/>
  <c r="D9613" i="1"/>
  <c r="D9614" i="1"/>
  <c r="D9615" i="1"/>
  <c r="D9616" i="1"/>
  <c r="K9616" i="1" s="1"/>
  <c r="D9617" i="1"/>
  <c r="K9617" i="1" s="1"/>
  <c r="D9618" i="1"/>
  <c r="D9619" i="1"/>
  <c r="D9620" i="1"/>
  <c r="D9621" i="1"/>
  <c r="D9622" i="1"/>
  <c r="D9623" i="1"/>
  <c r="D9624" i="1"/>
  <c r="K9624" i="1" s="1"/>
  <c r="D9625" i="1"/>
  <c r="K9625" i="1" s="1"/>
  <c r="D9626" i="1"/>
  <c r="E9626" i="1" s="1"/>
  <c r="D9627" i="1"/>
  <c r="D9628" i="1"/>
  <c r="D9629" i="1"/>
  <c r="D9630" i="1"/>
  <c r="D9631" i="1"/>
  <c r="L9631" i="1" s="1"/>
  <c r="D9632" i="1"/>
  <c r="D9633" i="1"/>
  <c r="D9634" i="1"/>
  <c r="D9635" i="1"/>
  <c r="D9636" i="1"/>
  <c r="D9637" i="1"/>
  <c r="D9638" i="1"/>
  <c r="D9639" i="1"/>
  <c r="D9640" i="1"/>
  <c r="K9640" i="1" s="1"/>
  <c r="D9641" i="1"/>
  <c r="K9641" i="1" s="1"/>
  <c r="D9642" i="1"/>
  <c r="D9643" i="1"/>
  <c r="D9644" i="1"/>
  <c r="D9645" i="1"/>
  <c r="D9646" i="1"/>
  <c r="D9647" i="1"/>
  <c r="L9647" i="1" s="1"/>
  <c r="D9648" i="1"/>
  <c r="K9648" i="1" s="1"/>
  <c r="D9649" i="1"/>
  <c r="K9649" i="1" s="1"/>
  <c r="D9650" i="1"/>
  <c r="D9651" i="1"/>
  <c r="D9652" i="1"/>
  <c r="D9653" i="1"/>
  <c r="D9654" i="1"/>
  <c r="D9655" i="1"/>
  <c r="D9656" i="1"/>
  <c r="D9657" i="1"/>
  <c r="D9658" i="1"/>
  <c r="E9658" i="1" s="1"/>
  <c r="D9659" i="1"/>
  <c r="D9660" i="1"/>
  <c r="D9661" i="1"/>
  <c r="D9662" i="1"/>
  <c r="J9662" i="1" s="1"/>
  <c r="D9663" i="1"/>
  <c r="D9664" i="1"/>
  <c r="K9664" i="1" s="1"/>
  <c r="D9665" i="1"/>
  <c r="K9665" i="1" s="1"/>
  <c r="D9666" i="1"/>
  <c r="D9667" i="1"/>
  <c r="D9668" i="1"/>
  <c r="D9669" i="1"/>
  <c r="D9670" i="1"/>
  <c r="D9671" i="1"/>
  <c r="D9672" i="1"/>
  <c r="K9672" i="1" s="1"/>
  <c r="D9673" i="1"/>
  <c r="D9674" i="1"/>
  <c r="D9675" i="1"/>
  <c r="D9676" i="1"/>
  <c r="D9677" i="1"/>
  <c r="D9678" i="1"/>
  <c r="D9679" i="1"/>
  <c r="D9680" i="1"/>
  <c r="K9680" i="1" s="1"/>
  <c r="D9681" i="1"/>
  <c r="K9681" i="1" s="1"/>
  <c r="D9682" i="1"/>
  <c r="E9682" i="1" s="1"/>
  <c r="D9683" i="1"/>
  <c r="D9684" i="1"/>
  <c r="D9685" i="1"/>
  <c r="D9686" i="1"/>
  <c r="D9687" i="1"/>
  <c r="D9688" i="1"/>
  <c r="K9688" i="1" s="1"/>
  <c r="D9689" i="1"/>
  <c r="K9689" i="1" s="1"/>
  <c r="D9690" i="1"/>
  <c r="D9691" i="1"/>
  <c r="D9692" i="1"/>
  <c r="D9693" i="1"/>
  <c r="D9694" i="1"/>
  <c r="D9695" i="1"/>
  <c r="L9695" i="1" s="1"/>
  <c r="D9696" i="1"/>
  <c r="D9697" i="1"/>
  <c r="D9698" i="1"/>
  <c r="D9699" i="1"/>
  <c r="D9700" i="1"/>
  <c r="D9701" i="1"/>
  <c r="D9702" i="1"/>
  <c r="D9703" i="1"/>
  <c r="D9704" i="1"/>
  <c r="K9704" i="1" s="1"/>
  <c r="D9705" i="1"/>
  <c r="K9705" i="1" s="1"/>
  <c r="D9706" i="1"/>
  <c r="D9707" i="1"/>
  <c r="D9708" i="1"/>
  <c r="D9709" i="1"/>
  <c r="D9710" i="1"/>
  <c r="D9711" i="1"/>
  <c r="K9711" i="1" s="1"/>
  <c r="D9712" i="1"/>
  <c r="K9712" i="1" s="1"/>
  <c r="D9713" i="1"/>
  <c r="K9713" i="1" s="1"/>
  <c r="D9714" i="1"/>
  <c r="D9715" i="1"/>
  <c r="D9716" i="1"/>
  <c r="D9717" i="1"/>
  <c r="D9718" i="1"/>
  <c r="D9719" i="1"/>
  <c r="D9720" i="1"/>
  <c r="D9721" i="1"/>
  <c r="D9722" i="1"/>
  <c r="D9723" i="1"/>
  <c r="D9724" i="1"/>
  <c r="D9725" i="1"/>
  <c r="D9726" i="1"/>
  <c r="D9727" i="1"/>
  <c r="D9728" i="1"/>
  <c r="K9728" i="1" s="1"/>
  <c r="D9729" i="1"/>
  <c r="K9729" i="1" s="1"/>
  <c r="D9730" i="1"/>
  <c r="D9731" i="1"/>
  <c r="D9732" i="1"/>
  <c r="D9733" i="1"/>
  <c r="D9734" i="1"/>
  <c r="D9735" i="1"/>
  <c r="D9736" i="1"/>
  <c r="K9736" i="1" s="1"/>
  <c r="D9737" i="1"/>
  <c r="D9738" i="1"/>
  <c r="D9739" i="1"/>
  <c r="D9740" i="1"/>
  <c r="D9741" i="1"/>
  <c r="D9742" i="1"/>
  <c r="D9743" i="1"/>
  <c r="D9744" i="1"/>
  <c r="K9744" i="1" s="1"/>
  <c r="D9745" i="1"/>
  <c r="K9745" i="1" s="1"/>
  <c r="D9746" i="1"/>
  <c r="D9747" i="1"/>
  <c r="D9748" i="1"/>
  <c r="D9749" i="1"/>
  <c r="D9750" i="1"/>
  <c r="D9751" i="1"/>
  <c r="D9752" i="1"/>
  <c r="K9752" i="1" s="1"/>
  <c r="D9753" i="1"/>
  <c r="K9753" i="1" s="1"/>
  <c r="D9754" i="1"/>
  <c r="D9755" i="1"/>
  <c r="D9756" i="1"/>
  <c r="D9757" i="1"/>
  <c r="D9758" i="1"/>
  <c r="D9759" i="1"/>
  <c r="K9759" i="1" s="1"/>
  <c r="D9760" i="1"/>
  <c r="D9761" i="1"/>
  <c r="D9762" i="1"/>
  <c r="D9763" i="1"/>
  <c r="D9764" i="1"/>
  <c r="D9765" i="1"/>
  <c r="D9766" i="1"/>
  <c r="D9767" i="1"/>
  <c r="D9768" i="1"/>
  <c r="K9768" i="1" s="1"/>
  <c r="D9769" i="1"/>
  <c r="K9769" i="1" s="1"/>
  <c r="D9770" i="1"/>
  <c r="E9770" i="1" s="1"/>
  <c r="D9771" i="1"/>
  <c r="D9772" i="1"/>
  <c r="D9773" i="1"/>
  <c r="D9774" i="1"/>
  <c r="D9775" i="1"/>
  <c r="D9776" i="1"/>
  <c r="K9776" i="1" s="1"/>
  <c r="D9777" i="1"/>
  <c r="K9777" i="1" s="1"/>
  <c r="D9778" i="1"/>
  <c r="E9778" i="1" s="1"/>
  <c r="D9779" i="1"/>
  <c r="D9780" i="1"/>
  <c r="D9781" i="1"/>
  <c r="D9782" i="1"/>
  <c r="D9783" i="1"/>
  <c r="D9784" i="1"/>
  <c r="D9785" i="1"/>
  <c r="D9786" i="1"/>
  <c r="E9786" i="1" s="1"/>
  <c r="D9787" i="1"/>
  <c r="D9788" i="1"/>
  <c r="D9789" i="1"/>
  <c r="D9790" i="1"/>
  <c r="J9790" i="1" s="1"/>
  <c r="D9791" i="1"/>
  <c r="D9792" i="1"/>
  <c r="K9792" i="1" s="1"/>
  <c r="D9793" i="1"/>
  <c r="K9793" i="1" s="1"/>
  <c r="D9794" i="1"/>
  <c r="D9795" i="1"/>
  <c r="D9796" i="1"/>
  <c r="D9797" i="1"/>
  <c r="D9798" i="1"/>
  <c r="D9799" i="1"/>
  <c r="D9800" i="1"/>
  <c r="K9800" i="1" s="1"/>
  <c r="D9801" i="1"/>
  <c r="D9802" i="1"/>
  <c r="D9803" i="1"/>
  <c r="D9804" i="1"/>
  <c r="D9805" i="1"/>
  <c r="D9806" i="1"/>
  <c r="J9806" i="1" s="1"/>
  <c r="D9807" i="1"/>
  <c r="D9808" i="1"/>
  <c r="K9808" i="1" s="1"/>
  <c r="D9809" i="1"/>
  <c r="K9809" i="1" s="1"/>
  <c r="D9810" i="1"/>
  <c r="D9811" i="1"/>
  <c r="D9812" i="1"/>
  <c r="D9813" i="1"/>
  <c r="D9814" i="1"/>
  <c r="D9815" i="1"/>
  <c r="D9816" i="1"/>
  <c r="K9816" i="1" s="1"/>
  <c r="D9817" i="1"/>
  <c r="K9817" i="1" s="1"/>
  <c r="D9818" i="1"/>
  <c r="D9819" i="1"/>
  <c r="D9820" i="1"/>
  <c r="D9821" i="1"/>
  <c r="D9822" i="1"/>
  <c r="D9823" i="1"/>
  <c r="D9824" i="1"/>
  <c r="D9825" i="1"/>
  <c r="D9826" i="1"/>
  <c r="D9827" i="1"/>
  <c r="D9828" i="1"/>
  <c r="D9829" i="1"/>
  <c r="D9830" i="1"/>
  <c r="D9831" i="1"/>
  <c r="D9832" i="1"/>
  <c r="K9832" i="1" s="1"/>
  <c r="D9833" i="1"/>
  <c r="K9833" i="1" s="1"/>
  <c r="D9834" i="1"/>
  <c r="D9835" i="1"/>
  <c r="D9836" i="1"/>
  <c r="D9837" i="1"/>
  <c r="D9838" i="1"/>
  <c r="D9839" i="1"/>
  <c r="L9839" i="1" s="1"/>
  <c r="D9840" i="1"/>
  <c r="K9840" i="1" s="1"/>
  <c r="D9841" i="1"/>
  <c r="K9841" i="1" s="1"/>
  <c r="D9842" i="1"/>
  <c r="D9843" i="1"/>
  <c r="D9844" i="1"/>
  <c r="D9845" i="1"/>
  <c r="D9846" i="1"/>
  <c r="D9847" i="1"/>
  <c r="D9848" i="1"/>
  <c r="D9849" i="1"/>
  <c r="D9850" i="1"/>
  <c r="D9851" i="1"/>
  <c r="D9852" i="1"/>
  <c r="D9853" i="1"/>
  <c r="D9854" i="1"/>
  <c r="L9854" i="1" s="1"/>
  <c r="D9855" i="1"/>
  <c r="D9856" i="1"/>
  <c r="K9856" i="1" s="1"/>
  <c r="D9857" i="1"/>
  <c r="K9857" i="1" s="1"/>
  <c r="D9858" i="1"/>
  <c r="D9859" i="1"/>
  <c r="D9860" i="1"/>
  <c r="D9861" i="1"/>
  <c r="D9862" i="1"/>
  <c r="D9863" i="1"/>
  <c r="D9864" i="1"/>
  <c r="K9864" i="1" s="1"/>
  <c r="D9865" i="1"/>
  <c r="D9866" i="1"/>
  <c r="D9867" i="1"/>
  <c r="D9868" i="1"/>
  <c r="D9869" i="1"/>
  <c r="D9870" i="1"/>
  <c r="J9870" i="1" s="1"/>
  <c r="D9871" i="1"/>
  <c r="E9871" i="1" s="1"/>
  <c r="D9872" i="1"/>
  <c r="K9872" i="1" s="1"/>
  <c r="D9873" i="1"/>
  <c r="K9873" i="1" s="1"/>
  <c r="D9874" i="1"/>
  <c r="D9875" i="1"/>
  <c r="D9876" i="1"/>
  <c r="D9877" i="1"/>
  <c r="D9878" i="1"/>
  <c r="D9879" i="1"/>
  <c r="D9880" i="1"/>
  <c r="K9880" i="1" s="1"/>
  <c r="D9881" i="1"/>
  <c r="K9881" i="1" s="1"/>
  <c r="D9882" i="1"/>
  <c r="D9883" i="1"/>
  <c r="D9884" i="1"/>
  <c r="D9885" i="1"/>
  <c r="D9886" i="1"/>
  <c r="D9887" i="1"/>
  <c r="L9887" i="1" s="1"/>
  <c r="D9888" i="1"/>
  <c r="D9889" i="1"/>
  <c r="D9890" i="1"/>
  <c r="D9891" i="1"/>
  <c r="D9892" i="1"/>
  <c r="D9893" i="1"/>
  <c r="D9894" i="1"/>
  <c r="D9895" i="1"/>
  <c r="D9896" i="1"/>
  <c r="K9896" i="1" s="1"/>
  <c r="D9897" i="1"/>
  <c r="K9897" i="1" s="1"/>
  <c r="D9898" i="1"/>
  <c r="E9898" i="1" s="1"/>
  <c r="D9899" i="1"/>
  <c r="D9900" i="1"/>
  <c r="D9901" i="1"/>
  <c r="D9902" i="1"/>
  <c r="D9903" i="1"/>
  <c r="L9903" i="1" s="1"/>
  <c r="D9904" i="1"/>
  <c r="K9904" i="1" s="1"/>
  <c r="D9905" i="1"/>
  <c r="K9905" i="1" s="1"/>
  <c r="D9906" i="1"/>
  <c r="D9907" i="1"/>
  <c r="D9908" i="1"/>
  <c r="D9909" i="1"/>
  <c r="D9910" i="1"/>
  <c r="D9911" i="1"/>
  <c r="D9912" i="1"/>
  <c r="D9913" i="1"/>
  <c r="D9914" i="1"/>
  <c r="E9914" i="1" s="1"/>
  <c r="D9915" i="1"/>
  <c r="D9916" i="1"/>
  <c r="D9917" i="1"/>
  <c r="D9918" i="1"/>
  <c r="J9918" i="1" s="1"/>
  <c r="D9919" i="1"/>
  <c r="D9920" i="1"/>
  <c r="K9920" i="1" s="1"/>
  <c r="D9921" i="1"/>
  <c r="K9921" i="1" s="1"/>
  <c r="D9922" i="1"/>
  <c r="D9923" i="1"/>
  <c r="D9924" i="1"/>
  <c r="D9925" i="1"/>
  <c r="D9926" i="1"/>
  <c r="D9927" i="1"/>
  <c r="D9928" i="1"/>
  <c r="K9928" i="1" s="1"/>
  <c r="D9929" i="1"/>
  <c r="D9930" i="1"/>
  <c r="E9930" i="1" s="1"/>
  <c r="D9931" i="1"/>
  <c r="D9932" i="1"/>
  <c r="D9933" i="1"/>
  <c r="D9934" i="1"/>
  <c r="D9935" i="1"/>
  <c r="E9935" i="1" s="1"/>
  <c r="D9936" i="1"/>
  <c r="K9936" i="1" s="1"/>
  <c r="D9937" i="1"/>
  <c r="K9937" i="1" s="1"/>
  <c r="D9938" i="1"/>
  <c r="D9939" i="1"/>
  <c r="D9940" i="1"/>
  <c r="D9941" i="1"/>
  <c r="D9942" i="1"/>
  <c r="D9943" i="1"/>
  <c r="E9943" i="1" s="1"/>
  <c r="D9944" i="1"/>
  <c r="K9944" i="1" s="1"/>
  <c r="D9945" i="1"/>
  <c r="K9945" i="1" s="1"/>
  <c r="D9946" i="1"/>
  <c r="D9947" i="1"/>
  <c r="D9948" i="1"/>
  <c r="D9949" i="1"/>
  <c r="D9950" i="1"/>
  <c r="D9951" i="1"/>
  <c r="K9951" i="1" s="1"/>
  <c r="D9952" i="1"/>
  <c r="D9953" i="1"/>
  <c r="D9954" i="1"/>
  <c r="D9955" i="1"/>
  <c r="D9956" i="1"/>
  <c r="D9957" i="1"/>
  <c r="D9958" i="1"/>
  <c r="D9959" i="1"/>
  <c r="D9960" i="1"/>
  <c r="K9960" i="1" s="1"/>
  <c r="D9961" i="1"/>
  <c r="K9961" i="1" s="1"/>
  <c r="D9962" i="1"/>
  <c r="D9963" i="1"/>
  <c r="D9964" i="1"/>
  <c r="D9965" i="1"/>
  <c r="D9966" i="1"/>
  <c r="D9967" i="1"/>
  <c r="K9967" i="1" s="1"/>
  <c r="D9968" i="1"/>
  <c r="K9968" i="1" s="1"/>
  <c r="D9969" i="1"/>
  <c r="K9969" i="1" s="1"/>
  <c r="D9970" i="1"/>
  <c r="D9971" i="1"/>
  <c r="D9972" i="1"/>
  <c r="D9973" i="1"/>
  <c r="D9974" i="1"/>
  <c r="D9975" i="1"/>
  <c r="D9976" i="1"/>
  <c r="D9977" i="1"/>
  <c r="D9978" i="1"/>
  <c r="D9979" i="1"/>
  <c r="D9980" i="1"/>
  <c r="D9981" i="1"/>
  <c r="D9982" i="1"/>
  <c r="D9983" i="1"/>
  <c r="D9984" i="1"/>
  <c r="K9984" i="1" s="1"/>
  <c r="D9985" i="1"/>
  <c r="K9985" i="1" s="1"/>
  <c r="D9986" i="1"/>
  <c r="D9987" i="1"/>
  <c r="D9988" i="1"/>
  <c r="D9989" i="1"/>
  <c r="D9990" i="1"/>
  <c r="D9991" i="1"/>
  <c r="D9992" i="1"/>
  <c r="K9992" i="1" s="1"/>
  <c r="D9993" i="1"/>
  <c r="D9994" i="1"/>
  <c r="E9994" i="1" s="1"/>
  <c r="D9995" i="1"/>
  <c r="D9996" i="1"/>
  <c r="D9997" i="1"/>
  <c r="D9998" i="1"/>
  <c r="D9999" i="1"/>
  <c r="D10000" i="1"/>
  <c r="K10000" i="1" s="1"/>
  <c r="E313" i="1"/>
  <c r="E326" i="1"/>
  <c r="E329" i="1"/>
  <c r="E353" i="1"/>
  <c r="E369" i="1"/>
  <c r="E409" i="1"/>
  <c r="E410" i="1"/>
  <c r="E423" i="1"/>
  <c r="E439" i="1"/>
  <c r="E465" i="1"/>
  <c r="E479" i="1"/>
  <c r="E481" i="1"/>
  <c r="E521" i="1"/>
  <c r="E535" i="1"/>
  <c r="E551" i="1"/>
  <c r="E564" i="1"/>
  <c r="E593" i="1"/>
  <c r="E607" i="1"/>
  <c r="E633" i="1"/>
  <c r="E649" i="1"/>
  <c r="E689" i="1"/>
  <c r="E703" i="1"/>
  <c r="E745" i="1"/>
  <c r="E759" i="1"/>
  <c r="E774" i="1"/>
  <c r="E775" i="1"/>
  <c r="E801" i="1"/>
  <c r="E802" i="1"/>
  <c r="E817" i="1"/>
  <c r="E858" i="1"/>
  <c r="E871" i="1"/>
  <c r="E913" i="1"/>
  <c r="E927" i="1"/>
  <c r="E943" i="1"/>
  <c r="E969" i="1"/>
  <c r="E983" i="1"/>
  <c r="E985" i="1"/>
  <c r="E998" i="1"/>
  <c r="E999" i="1"/>
  <c r="E1014" i="1"/>
  <c r="E1025" i="1"/>
  <c r="E1041" i="1"/>
  <c r="E1081" i="1"/>
  <c r="E1097" i="1"/>
  <c r="E1110" i="1"/>
  <c r="E1137" i="1"/>
  <c r="E1153" i="1"/>
  <c r="E1166" i="1"/>
  <c r="E1193" i="1"/>
  <c r="E1194" i="1"/>
  <c r="E1207" i="1"/>
  <c r="E1209" i="1"/>
  <c r="E1223" i="1"/>
  <c r="E1250" i="1"/>
  <c r="E1305" i="1"/>
  <c r="E1306" i="1"/>
  <c r="E1319" i="1"/>
  <c r="E1348" i="1"/>
  <c r="E1361" i="1"/>
  <c r="E1375" i="1"/>
  <c r="E1377" i="1"/>
  <c r="E1417" i="1"/>
  <c r="E1433" i="1"/>
  <c r="E1446" i="1"/>
  <c r="E1473" i="1"/>
  <c r="E1474" i="1"/>
  <c r="E1487" i="1"/>
  <c r="E1489" i="1"/>
  <c r="E1502" i="1"/>
  <c r="E1559" i="1"/>
  <c r="E1585" i="1"/>
  <c r="E1630" i="1"/>
  <c r="E1641" i="1"/>
  <c r="E1655" i="1"/>
  <c r="E1671" i="1"/>
  <c r="E1697" i="1"/>
  <c r="E1711" i="1"/>
  <c r="E1753" i="1"/>
  <c r="E1809" i="1"/>
  <c r="E1823" i="1"/>
  <c r="E1866" i="1"/>
  <c r="E1879" i="1"/>
  <c r="E1921" i="1"/>
  <c r="E1935" i="1"/>
  <c r="E1977" i="1"/>
  <c r="E2033" i="1"/>
  <c r="E2034" i="1"/>
  <c r="E2047" i="1"/>
  <c r="E2118" i="1"/>
  <c r="E2145" i="1"/>
  <c r="E2159" i="1"/>
  <c r="E2258" i="1"/>
  <c r="E2271" i="1"/>
  <c r="E2287" i="1"/>
  <c r="E2313" i="1"/>
  <c r="E2329" i="1"/>
  <c r="E2369" i="1"/>
  <c r="E2383" i="1"/>
  <c r="E2425" i="1"/>
  <c r="E2441" i="1"/>
  <c r="E2481" i="1"/>
  <c r="E2482" i="1"/>
  <c r="E2537" i="1"/>
  <c r="E2593" i="1"/>
  <c r="E2649" i="1"/>
  <c r="E2705" i="1"/>
  <c r="E2706" i="1"/>
  <c r="E2873" i="1"/>
  <c r="E3015" i="1"/>
  <c r="E3113" i="1"/>
  <c r="E3321" i="1"/>
  <c r="E3799" i="1"/>
  <c r="E3951" i="1"/>
  <c r="E4430" i="1"/>
  <c r="E4961" i="1"/>
  <c r="E5001" i="1"/>
  <c r="E5463" i="1"/>
  <c r="E5673" i="1"/>
  <c r="E6849" i="1"/>
  <c r="E6865" i="1"/>
  <c r="E8081" i="1"/>
  <c r="D109" i="1"/>
  <c r="D110" i="1"/>
  <c r="E110" i="1" s="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K272" i="1" s="1"/>
  <c r="D273" i="1"/>
  <c r="D274" i="1"/>
  <c r="D275" i="1"/>
  <c r="D276" i="1"/>
  <c r="D277" i="1"/>
  <c r="D278" i="1"/>
  <c r="D279" i="1"/>
  <c r="D280" i="1"/>
  <c r="D281" i="1"/>
  <c r="D282" i="1"/>
  <c r="D283" i="1"/>
  <c r="D284" i="1"/>
  <c r="D285" i="1"/>
  <c r="D286" i="1"/>
  <c r="D287" i="1"/>
  <c r="D288" i="1"/>
  <c r="K288" i="1" s="1"/>
  <c r="D289" i="1"/>
  <c r="D290" i="1"/>
  <c r="D291" i="1"/>
  <c r="D292" i="1"/>
  <c r="D293" i="1"/>
  <c r="D294" i="1"/>
  <c r="D295" i="1"/>
  <c r="D296" i="1"/>
  <c r="D297" i="1"/>
  <c r="D298" i="1"/>
  <c r="D299" i="1"/>
  <c r="D300" i="1"/>
  <c r="D301" i="1"/>
  <c r="D102" i="1"/>
  <c r="D103" i="1"/>
  <c r="D104" i="1"/>
  <c r="D105" i="1"/>
  <c r="D106" i="1"/>
  <c r="D107" i="1"/>
  <c r="D108" i="1"/>
  <c r="C8" i="2"/>
  <c r="D2" i="1"/>
  <c r="D3" i="1"/>
  <c r="D4" i="1"/>
  <c r="D5" i="1"/>
  <c r="D7" i="1"/>
  <c r="D8" i="1"/>
  <c r="D9" i="1"/>
  <c r="D10" i="1"/>
  <c r="D11" i="1"/>
  <c r="D12" i="1"/>
  <c r="D13" i="1"/>
  <c r="D14" i="1"/>
  <c r="D15" i="1"/>
  <c r="D16" i="1"/>
  <c r="D17" i="1"/>
  <c r="D18" i="1"/>
  <c r="D19" i="1"/>
  <c r="D20" i="1"/>
  <c r="D21" i="1"/>
  <c r="D22" i="1"/>
  <c r="D23" i="1"/>
  <c r="D24" i="1"/>
  <c r="D25" i="1"/>
  <c r="K25" i="1" s="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K96" i="1" s="1"/>
  <c r="D97" i="1"/>
  <c r="D98" i="1"/>
  <c r="D99" i="1"/>
  <c r="D100" i="1"/>
  <c r="D101" i="1"/>
  <c r="E1824" i="1" l="1"/>
  <c r="E5423" i="1"/>
  <c r="E8489" i="1"/>
  <c r="E8041" i="1"/>
  <c r="E7873" i="1"/>
  <c r="E7593" i="1"/>
  <c r="E2512" i="1"/>
  <c r="E1392" i="1"/>
  <c r="E1056" i="1"/>
  <c r="E3674" i="1"/>
  <c r="E5914" i="1"/>
  <c r="E8337" i="1"/>
  <c r="E8001" i="1"/>
  <c r="E5719" i="1"/>
  <c r="E7537" i="1"/>
  <c r="E2681" i="1"/>
  <c r="E441" i="1"/>
  <c r="E624" i="1"/>
  <c r="E6018" i="1"/>
  <c r="E880" i="1"/>
  <c r="E7761" i="1"/>
  <c r="E7425" i="1"/>
  <c r="E1657" i="1"/>
  <c r="E8321" i="1"/>
  <c r="E537" i="1"/>
  <c r="E3690" i="1"/>
  <c r="E2080" i="1"/>
  <c r="E3186" i="1"/>
  <c r="K2320" i="1"/>
  <c r="E2320" i="1"/>
  <c r="K3354" i="1"/>
  <c r="E3354" i="1"/>
  <c r="K1465" i="1"/>
  <c r="E1465" i="1"/>
  <c r="K6938" i="1"/>
  <c r="E6938" i="1"/>
  <c r="K2752" i="1"/>
  <c r="E2752" i="1"/>
  <c r="E889" i="1"/>
  <c r="E7705" i="1"/>
  <c r="E5199" i="1"/>
  <c r="E3001" i="1"/>
  <c r="E1561" i="1"/>
  <c r="E7665" i="1"/>
  <c r="E8281" i="1"/>
  <c r="E7833" i="1"/>
  <c r="E7553" i="1"/>
  <c r="E3311" i="1"/>
  <c r="E3927" i="1"/>
  <c r="E8113" i="1"/>
  <c r="E7721" i="1"/>
  <c r="E7985" i="1"/>
  <c r="E2585" i="1"/>
  <c r="E7401" i="1"/>
  <c r="E3454" i="1"/>
  <c r="E8449" i="1"/>
  <c r="E8433" i="1"/>
  <c r="E8209" i="1"/>
  <c r="E8401" i="1"/>
  <c r="E8153" i="1"/>
  <c r="E7889" i="1"/>
  <c r="E6487" i="1"/>
  <c r="E1312" i="1"/>
  <c r="E8257" i="1"/>
  <c r="E7937" i="1"/>
  <c r="E6015" i="1"/>
  <c r="E8385" i="1"/>
  <c r="E4378" i="1"/>
  <c r="E7903" i="1"/>
  <c r="E7681" i="1"/>
  <c r="E3137" i="1"/>
  <c r="E7409" i="1"/>
  <c r="E3458" i="1"/>
  <c r="E5722" i="1"/>
  <c r="K3327" i="1"/>
  <c r="E3327" i="1"/>
  <c r="E1817" i="1"/>
  <c r="E6146" i="1"/>
  <c r="K7513" i="1"/>
  <c r="E7513" i="1"/>
  <c r="K2489" i="1"/>
  <c r="E2489" i="1"/>
  <c r="E1568" i="1"/>
  <c r="K8017" i="1"/>
  <c r="E8017" i="1"/>
  <c r="E4994" i="1"/>
  <c r="E1145" i="1"/>
  <c r="E8177" i="1"/>
  <c r="E3906" i="1"/>
  <c r="E3145" i="1"/>
  <c r="K7210" i="1"/>
  <c r="E7210" i="1"/>
  <c r="E8065" i="1"/>
  <c r="K697" i="1"/>
  <c r="E697" i="1"/>
  <c r="E8369" i="1"/>
  <c r="E8193" i="1"/>
  <c r="E8513" i="1"/>
  <c r="E7849" i="1"/>
  <c r="E3818" i="1"/>
  <c r="E7657" i="1"/>
  <c r="E4714" i="1"/>
  <c r="E3287" i="1"/>
  <c r="E2937" i="1"/>
  <c r="E2073" i="1"/>
  <c r="E7977" i="1"/>
  <c r="E8129" i="1"/>
  <c r="E7641" i="1"/>
  <c r="E6743" i="1"/>
  <c r="E6594" i="1"/>
  <c r="E3626" i="1"/>
  <c r="E3201" i="1"/>
  <c r="E8169" i="1"/>
  <c r="E7385" i="1"/>
  <c r="K6234" i="1"/>
  <c r="E6234" i="1"/>
  <c r="K2745" i="1"/>
  <c r="E2745" i="1"/>
  <c r="K1401" i="1"/>
  <c r="E1401" i="1"/>
  <c r="K953" i="1"/>
  <c r="E953" i="1"/>
  <c r="E8497" i="1"/>
  <c r="E8273" i="1"/>
  <c r="E7505" i="1"/>
  <c r="E4887" i="1"/>
  <c r="K7529" i="1"/>
  <c r="E7529" i="1"/>
  <c r="K7473" i="1"/>
  <c r="E7473" i="1"/>
  <c r="J8598" i="1"/>
  <c r="E8598" i="1"/>
  <c r="E7633" i="1"/>
  <c r="E7729" i="1"/>
  <c r="K5850" i="1"/>
  <c r="E5850" i="1"/>
  <c r="K7361" i="1"/>
  <c r="E7361" i="1"/>
  <c r="E1136" i="1"/>
  <c r="K4202" i="1"/>
  <c r="E4202" i="1"/>
  <c r="K8049" i="1"/>
  <c r="E8049" i="1"/>
  <c r="K7769" i="1"/>
  <c r="E7769" i="1"/>
  <c r="K7857" i="1"/>
  <c r="E7857" i="1"/>
  <c r="K8217" i="1"/>
  <c r="E8217" i="1"/>
  <c r="K7377" i="1"/>
  <c r="E7377" i="1"/>
  <c r="K7577" i="1"/>
  <c r="E7577" i="1"/>
  <c r="J4912" i="1"/>
  <c r="E4912" i="1"/>
  <c r="E8361" i="1"/>
  <c r="K5338" i="1"/>
  <c r="E5338" i="1"/>
  <c r="K4610" i="1"/>
  <c r="E4610" i="1"/>
  <c r="K8529" i="1"/>
  <c r="E8529" i="1"/>
  <c r="K8305" i="1"/>
  <c r="E8305" i="1"/>
  <c r="K7465" i="1"/>
  <c r="E7465" i="1"/>
  <c r="J5071" i="1"/>
  <c r="E5071" i="1"/>
  <c r="K4847" i="1"/>
  <c r="E4847" i="1"/>
  <c r="K4287" i="1"/>
  <c r="E4287" i="1"/>
  <c r="K3391" i="1"/>
  <c r="E3391" i="1"/>
  <c r="E7745" i="1"/>
  <c r="K8345" i="1"/>
  <c r="E8345" i="1"/>
  <c r="K7953" i="1"/>
  <c r="E7953" i="1"/>
  <c r="K7785" i="1"/>
  <c r="E7785" i="1"/>
  <c r="K7617" i="1"/>
  <c r="E7617" i="1"/>
  <c r="K7449" i="1"/>
  <c r="E7449" i="1"/>
  <c r="K7489" i="1"/>
  <c r="E7489" i="1"/>
  <c r="K4479" i="1"/>
  <c r="E4479" i="1"/>
  <c r="E4330" i="1"/>
  <c r="E3583" i="1"/>
  <c r="E8025" i="1"/>
  <c r="E7825" i="1"/>
  <c r="E3671" i="1"/>
  <c r="K8145" i="1"/>
  <c r="E8145" i="1"/>
  <c r="E8473" i="1"/>
  <c r="E7921" i="1"/>
  <c r="E8233" i="1"/>
  <c r="E7913" i="1"/>
  <c r="E7809" i="1"/>
  <c r="E7601" i="1"/>
  <c r="E8105" i="1"/>
  <c r="E7697" i="1"/>
  <c r="E5786" i="1"/>
  <c r="E8425" i="1"/>
  <c r="E4034" i="1"/>
  <c r="E3375" i="1"/>
  <c r="E8089" i="1"/>
  <c r="E7897" i="1"/>
  <c r="K8465" i="1"/>
  <c r="E8465" i="1"/>
  <c r="K8297" i="1"/>
  <c r="E8297" i="1"/>
  <c r="K7961" i="1"/>
  <c r="E7961" i="1"/>
  <c r="K7793" i="1"/>
  <c r="E7793" i="1"/>
  <c r="K7345" i="1"/>
  <c r="E7345" i="1"/>
  <c r="E8409" i="1"/>
  <c r="E8241" i="1"/>
  <c r="E7569" i="1"/>
  <c r="E7441" i="1"/>
  <c r="K4591" i="1"/>
  <c r="K4138" i="1"/>
  <c r="K6186" i="1"/>
  <c r="K3137" i="1"/>
  <c r="E6703" i="1"/>
  <c r="K8111" i="1"/>
  <c r="E6399" i="1"/>
  <c r="E9247" i="1"/>
  <c r="K8047" i="1"/>
  <c r="E8159" i="1"/>
  <c r="E7967" i="1"/>
  <c r="E6511" i="1"/>
  <c r="E6231" i="1"/>
  <c r="E6095" i="1"/>
  <c r="E5783" i="1"/>
  <c r="E5615" i="1"/>
  <c r="E4695" i="1"/>
  <c r="E3863" i="1"/>
  <c r="E3735" i="1"/>
  <c r="K7983" i="1"/>
  <c r="L9199" i="1"/>
  <c r="K9199" i="1"/>
  <c r="E8943" i="1"/>
  <c r="E5935" i="1"/>
  <c r="E9190" i="1"/>
  <c r="E7439" i="1"/>
  <c r="E6143" i="1"/>
  <c r="E4655" i="1"/>
  <c r="E4351" i="1"/>
  <c r="E3543" i="1"/>
  <c r="E6359" i="1"/>
  <c r="E8278" i="1"/>
  <c r="E6719" i="1"/>
  <c r="E6679" i="1"/>
  <c r="E4991" i="1"/>
  <c r="E4687" i="1"/>
  <c r="E4375" i="1"/>
  <c r="E4031" i="1"/>
  <c r="E3887" i="1"/>
  <c r="E3439" i="1"/>
  <c r="L9775" i="1"/>
  <c r="K9775" i="1"/>
  <c r="L7711" i="1"/>
  <c r="K7711" i="1"/>
  <c r="L4439" i="1"/>
  <c r="K4439" i="1"/>
  <c r="L4311" i="1"/>
  <c r="K4311" i="1"/>
  <c r="L4247" i="1"/>
  <c r="K4247" i="1"/>
  <c r="L4207" i="1"/>
  <c r="K4207" i="1"/>
  <c r="L4159" i="1"/>
  <c r="K4159" i="1"/>
  <c r="L4079" i="1"/>
  <c r="K4079" i="1"/>
  <c r="L4015" i="1"/>
  <c r="K4015" i="1"/>
  <c r="L3967" i="1"/>
  <c r="K3967" i="1"/>
  <c r="L3695" i="1"/>
  <c r="K3695" i="1"/>
  <c r="L3647" i="1"/>
  <c r="K3647" i="1"/>
  <c r="L3567" i="1"/>
  <c r="K3567" i="1"/>
  <c r="L3519" i="1"/>
  <c r="K3519" i="1"/>
  <c r="L3503" i="1"/>
  <c r="K3503" i="1"/>
  <c r="L3415" i="1"/>
  <c r="K3415" i="1"/>
  <c r="K5231" i="1"/>
  <c r="K3455" i="1"/>
  <c r="K8239" i="1"/>
  <c r="L8487" i="1"/>
  <c r="L9519" i="1"/>
  <c r="K9519" i="1"/>
  <c r="E9759" i="1"/>
  <c r="E8374" i="1"/>
  <c r="E7711" i="1"/>
  <c r="E6447" i="1"/>
  <c r="E5975" i="1"/>
  <c r="E5695" i="1"/>
  <c r="E5487" i="1"/>
  <c r="E4095" i="1"/>
  <c r="E3903" i="1"/>
  <c r="K6890" i="1"/>
  <c r="K5226" i="1"/>
  <c r="K4098" i="1"/>
  <c r="K3866" i="1"/>
  <c r="L8401" i="1"/>
  <c r="K7170" i="1"/>
  <c r="K6298" i="1"/>
  <c r="K5866" i="1"/>
  <c r="K5674" i="1"/>
  <c r="K5442" i="1"/>
  <c r="K4250" i="1"/>
  <c r="L8090" i="1"/>
  <c r="K7282" i="1"/>
  <c r="K4482" i="1"/>
  <c r="L8058" i="1"/>
  <c r="K5162" i="1"/>
  <c r="K4698" i="1"/>
  <c r="L7482" i="1"/>
  <c r="K7042" i="1"/>
  <c r="K6762" i="1"/>
  <c r="K4890" i="1"/>
  <c r="K3970" i="1"/>
  <c r="K6746" i="1"/>
  <c r="K6466" i="1"/>
  <c r="K5274" i="1"/>
  <c r="K4842" i="1"/>
  <c r="K4418" i="1"/>
  <c r="K4186" i="1"/>
  <c r="L6850" i="1"/>
  <c r="K7250" i="1"/>
  <c r="K6978" i="1"/>
  <c r="K6426" i="1"/>
  <c r="K5738" i="1"/>
  <c r="K5506" i="1"/>
  <c r="K3145" i="1"/>
  <c r="J62" i="1"/>
  <c r="L62" i="1"/>
  <c r="K62" i="1"/>
  <c r="J30" i="1"/>
  <c r="L30" i="1"/>
  <c r="K30" i="1"/>
  <c r="J107" i="1"/>
  <c r="L107" i="1"/>
  <c r="K107" i="1"/>
  <c r="J284" i="1"/>
  <c r="L284" i="1"/>
  <c r="K284" i="1"/>
  <c r="J244" i="1"/>
  <c r="L244" i="1"/>
  <c r="K244" i="1"/>
  <c r="J204" i="1"/>
  <c r="L204" i="1"/>
  <c r="K204" i="1"/>
  <c r="J172" i="1"/>
  <c r="L172" i="1"/>
  <c r="K172" i="1"/>
  <c r="J140" i="1"/>
  <c r="L140" i="1"/>
  <c r="K140" i="1"/>
  <c r="J9987" i="1"/>
  <c r="L9987" i="1"/>
  <c r="K9987" i="1"/>
  <c r="L9955" i="1"/>
  <c r="K9955" i="1"/>
  <c r="L9915" i="1"/>
  <c r="K9915" i="1"/>
  <c r="L9875" i="1"/>
  <c r="K9875" i="1"/>
  <c r="L9835" i="1"/>
  <c r="K9835" i="1"/>
  <c r="J9795" i="1"/>
  <c r="L9795" i="1"/>
  <c r="K9795" i="1"/>
  <c r="J9755" i="1"/>
  <c r="L9755" i="1"/>
  <c r="K9755" i="1"/>
  <c r="L9723" i="1"/>
  <c r="K9723" i="1"/>
  <c r="J9683" i="1"/>
  <c r="L9683" i="1"/>
  <c r="K9683" i="1"/>
  <c r="L9651" i="1"/>
  <c r="K9651" i="1"/>
  <c r="J9619" i="1"/>
  <c r="L9619" i="1"/>
  <c r="K9619" i="1"/>
  <c r="L9587" i="1"/>
  <c r="K9587" i="1"/>
  <c r="J9547" i="1"/>
  <c r="L9547" i="1"/>
  <c r="K9547" i="1"/>
  <c r="L9515" i="1"/>
  <c r="K9515" i="1"/>
  <c r="J9483" i="1"/>
  <c r="L9483" i="1"/>
  <c r="K9483" i="1"/>
  <c r="L9451" i="1"/>
  <c r="K9451" i="1"/>
  <c r="L9419" i="1"/>
  <c r="K9419" i="1"/>
  <c r="L9387" i="1"/>
  <c r="K9387" i="1"/>
  <c r="L9355" i="1"/>
  <c r="K9355" i="1"/>
  <c r="L9315" i="1"/>
  <c r="K9315" i="1"/>
  <c r="J9283" i="1"/>
  <c r="L9283" i="1"/>
  <c r="K9283" i="1"/>
  <c r="L9251" i="1"/>
  <c r="K9251" i="1"/>
  <c r="J9219" i="1"/>
  <c r="L9219" i="1"/>
  <c r="K9219" i="1"/>
  <c r="L9187" i="1"/>
  <c r="K9187" i="1"/>
  <c r="J9155" i="1"/>
  <c r="L9155" i="1"/>
  <c r="K9155" i="1"/>
  <c r="L9115" i="1"/>
  <c r="K9115" i="1"/>
  <c r="L9083" i="1"/>
  <c r="K9083" i="1"/>
  <c r="L9051" i="1"/>
  <c r="K9051" i="1"/>
  <c r="L9019" i="1"/>
  <c r="K9019" i="1"/>
  <c r="L8987" i="1"/>
  <c r="K8987" i="1"/>
  <c r="L8955" i="1"/>
  <c r="K8955" i="1"/>
  <c r="L8923" i="1"/>
  <c r="K8923" i="1"/>
  <c r="L8891" i="1"/>
  <c r="K8891" i="1"/>
  <c r="L8859" i="1"/>
  <c r="K8859" i="1"/>
  <c r="L8827" i="1"/>
  <c r="K8827" i="1"/>
  <c r="L8795" i="1"/>
  <c r="K8795" i="1"/>
  <c r="L8763" i="1"/>
  <c r="K8763" i="1"/>
  <c r="L8731" i="1"/>
  <c r="K8731" i="1"/>
  <c r="L8699" i="1"/>
  <c r="K8699" i="1"/>
  <c r="L8667" i="1"/>
  <c r="K8667" i="1"/>
  <c r="L8635" i="1"/>
  <c r="K8635" i="1"/>
  <c r="L8603" i="1"/>
  <c r="K8603" i="1"/>
  <c r="L8563" i="1"/>
  <c r="K8563" i="1"/>
  <c r="L8531" i="1"/>
  <c r="K8531" i="1"/>
  <c r="L8499" i="1"/>
  <c r="K8499" i="1"/>
  <c r="L8467" i="1"/>
  <c r="K8467" i="1"/>
  <c r="L8435" i="1"/>
  <c r="K8435" i="1"/>
  <c r="L8403" i="1"/>
  <c r="K8403" i="1"/>
  <c r="L8371" i="1"/>
  <c r="K8371" i="1"/>
  <c r="L8339" i="1"/>
  <c r="K8339" i="1"/>
  <c r="L8307" i="1"/>
  <c r="K8307" i="1"/>
  <c r="L8275" i="1"/>
  <c r="K8275" i="1"/>
  <c r="L8243" i="1"/>
  <c r="K8243" i="1"/>
  <c r="L8211" i="1"/>
  <c r="K8211" i="1"/>
  <c r="L8179" i="1"/>
  <c r="K8179" i="1"/>
  <c r="L8147" i="1"/>
  <c r="K8147" i="1"/>
  <c r="L8115" i="1"/>
  <c r="K8115" i="1"/>
  <c r="L8083" i="1"/>
  <c r="K8083" i="1"/>
  <c r="L8051" i="1"/>
  <c r="K8051" i="1"/>
  <c r="L8019" i="1"/>
  <c r="K8019" i="1"/>
  <c r="L7987" i="1"/>
  <c r="K7987" i="1"/>
  <c r="L7955" i="1"/>
  <c r="K7955" i="1"/>
  <c r="L7923" i="1"/>
  <c r="K7923" i="1"/>
  <c r="L7891" i="1"/>
  <c r="K7891" i="1"/>
  <c r="L7859" i="1"/>
  <c r="K7859" i="1"/>
  <c r="J7827" i="1"/>
  <c r="L7827" i="1"/>
  <c r="K7827" i="1"/>
  <c r="J7795" i="1"/>
  <c r="L7795" i="1"/>
  <c r="K7795" i="1"/>
  <c r="J7763" i="1"/>
  <c r="L7763" i="1"/>
  <c r="K7763" i="1"/>
  <c r="J7731" i="1"/>
  <c r="L7731" i="1"/>
  <c r="K7731" i="1"/>
  <c r="J7699" i="1"/>
  <c r="L7699" i="1"/>
  <c r="K7699" i="1"/>
  <c r="J7667" i="1"/>
  <c r="L7667" i="1"/>
  <c r="K7667" i="1"/>
  <c r="J7635" i="1"/>
  <c r="L7635" i="1"/>
  <c r="K7635" i="1"/>
  <c r="J7603" i="1"/>
  <c r="L7603" i="1"/>
  <c r="K7603" i="1"/>
  <c r="J7571" i="1"/>
  <c r="L7571" i="1"/>
  <c r="K7571" i="1"/>
  <c r="J7539" i="1"/>
  <c r="L7539" i="1"/>
  <c r="K7539" i="1"/>
  <c r="J7507" i="1"/>
  <c r="L7507" i="1"/>
  <c r="K7507" i="1"/>
  <c r="J7475" i="1"/>
  <c r="L7475" i="1"/>
  <c r="K7475" i="1"/>
  <c r="J7443" i="1"/>
  <c r="L7443" i="1"/>
  <c r="K7443" i="1"/>
  <c r="J7411" i="1"/>
  <c r="L7411" i="1"/>
  <c r="K7411" i="1"/>
  <c r="J7379" i="1"/>
  <c r="L7379" i="1"/>
  <c r="K7379" i="1"/>
  <c r="J7339" i="1"/>
  <c r="L7339" i="1"/>
  <c r="K7339" i="1"/>
  <c r="J7275" i="1"/>
  <c r="L7275" i="1"/>
  <c r="K7275" i="1"/>
  <c r="J6963" i="1"/>
  <c r="L6963" i="1"/>
  <c r="K6963" i="1"/>
  <c r="J6931" i="1"/>
  <c r="L6931" i="1"/>
  <c r="J6899" i="1"/>
  <c r="L6899" i="1"/>
  <c r="K6899" i="1"/>
  <c r="J6883" i="1"/>
  <c r="L6883" i="1"/>
  <c r="K6883" i="1"/>
  <c r="J6851" i="1"/>
  <c r="L6851" i="1"/>
  <c r="K6851" i="1"/>
  <c r="J6819" i="1"/>
  <c r="L6819" i="1"/>
  <c r="K6819" i="1"/>
  <c r="J6787" i="1"/>
  <c r="L6787" i="1"/>
  <c r="K6787" i="1"/>
  <c r="J6755" i="1"/>
  <c r="L6755" i="1"/>
  <c r="K6755" i="1"/>
  <c r="J6723" i="1"/>
  <c r="L6723" i="1"/>
  <c r="K6723" i="1"/>
  <c r="J6691" i="1"/>
  <c r="L6691" i="1"/>
  <c r="K6691" i="1"/>
  <c r="J6659" i="1"/>
  <c r="L6659" i="1"/>
  <c r="K6659" i="1"/>
  <c r="J6627" i="1"/>
  <c r="L6627" i="1"/>
  <c r="K6627" i="1"/>
  <c r="J6595" i="1"/>
  <c r="L6595" i="1"/>
  <c r="J6555" i="1"/>
  <c r="L6555" i="1"/>
  <c r="K6555" i="1"/>
  <c r="J6523" i="1"/>
  <c r="L6523" i="1"/>
  <c r="K6523" i="1"/>
  <c r="J6491" i="1"/>
  <c r="L6491" i="1"/>
  <c r="K6491" i="1"/>
  <c r="J6459" i="1"/>
  <c r="L6459" i="1"/>
  <c r="K6459" i="1"/>
  <c r="J6427" i="1"/>
  <c r="L6427" i="1"/>
  <c r="K6427" i="1"/>
  <c r="J6395" i="1"/>
  <c r="L6395" i="1"/>
  <c r="K6395" i="1"/>
  <c r="J6363" i="1"/>
  <c r="L6363" i="1"/>
  <c r="K6363" i="1"/>
  <c r="J6331" i="1"/>
  <c r="L6331" i="1"/>
  <c r="K6331" i="1"/>
  <c r="J6299" i="1"/>
  <c r="L6299" i="1"/>
  <c r="K6299" i="1"/>
  <c r="J6267" i="1"/>
  <c r="L6267" i="1"/>
  <c r="K6267" i="1"/>
  <c r="J6227" i="1"/>
  <c r="L6227" i="1"/>
  <c r="K6227" i="1"/>
  <c r="J6195" i="1"/>
  <c r="L6195" i="1"/>
  <c r="K6195" i="1"/>
  <c r="J6163" i="1"/>
  <c r="L6163" i="1"/>
  <c r="K6163" i="1"/>
  <c r="J6131" i="1"/>
  <c r="L6131" i="1"/>
  <c r="K6131" i="1"/>
  <c r="J6107" i="1"/>
  <c r="L6107" i="1"/>
  <c r="K6107" i="1"/>
  <c r="J6075" i="1"/>
  <c r="L6075" i="1"/>
  <c r="K6075" i="1"/>
  <c r="J6043" i="1"/>
  <c r="L6043" i="1"/>
  <c r="K6043" i="1"/>
  <c r="J6011" i="1"/>
  <c r="L6011" i="1"/>
  <c r="K6011" i="1"/>
  <c r="J5979" i="1"/>
  <c r="L5979" i="1"/>
  <c r="K5979" i="1"/>
  <c r="J5947" i="1"/>
  <c r="L5947" i="1"/>
  <c r="K5947" i="1"/>
  <c r="J5907" i="1"/>
  <c r="L5907" i="1"/>
  <c r="J5875" i="1"/>
  <c r="L5875" i="1"/>
  <c r="K5875" i="1"/>
  <c r="J5843" i="1"/>
  <c r="L5843" i="1"/>
  <c r="K5843" i="1"/>
  <c r="J5811" i="1"/>
  <c r="L5811" i="1"/>
  <c r="K5811" i="1"/>
  <c r="J5779" i="1"/>
  <c r="L5779" i="1"/>
  <c r="K5779" i="1"/>
  <c r="J5747" i="1"/>
  <c r="L5747" i="1"/>
  <c r="K5747" i="1"/>
  <c r="J5715" i="1"/>
  <c r="L5715" i="1"/>
  <c r="K5715" i="1"/>
  <c r="J5683" i="1"/>
  <c r="L5683" i="1"/>
  <c r="K5683" i="1"/>
  <c r="J5651" i="1"/>
  <c r="L5651" i="1"/>
  <c r="K5651" i="1"/>
  <c r="J5619" i="1"/>
  <c r="L5619" i="1"/>
  <c r="K5619" i="1"/>
  <c r="J5587" i="1"/>
  <c r="L5587" i="1"/>
  <c r="K5587" i="1"/>
  <c r="J5555" i="1"/>
  <c r="L5555" i="1"/>
  <c r="K5555" i="1"/>
  <c r="J5523" i="1"/>
  <c r="L5523" i="1"/>
  <c r="J5491" i="1"/>
  <c r="L5491" i="1"/>
  <c r="K5491" i="1"/>
  <c r="J5459" i="1"/>
  <c r="L5459" i="1"/>
  <c r="K5459" i="1"/>
  <c r="J5427" i="1"/>
  <c r="L5427" i="1"/>
  <c r="K5427" i="1"/>
  <c r="J5395" i="1"/>
  <c r="L5395" i="1"/>
  <c r="J5363" i="1"/>
  <c r="L5363" i="1"/>
  <c r="K5363" i="1"/>
  <c r="J5331" i="1"/>
  <c r="L5331" i="1"/>
  <c r="K5331" i="1"/>
  <c r="J5299" i="1"/>
  <c r="L5299" i="1"/>
  <c r="K5299" i="1"/>
  <c r="J5267" i="1"/>
  <c r="L5267" i="1"/>
  <c r="K5267" i="1"/>
  <c r="J5235" i="1"/>
  <c r="L5235" i="1"/>
  <c r="K5235" i="1"/>
  <c r="J5203" i="1"/>
  <c r="L5203" i="1"/>
  <c r="K5203" i="1"/>
  <c r="J5171" i="1"/>
  <c r="L5171" i="1"/>
  <c r="K5171" i="1"/>
  <c r="J5139" i="1"/>
  <c r="L5139" i="1"/>
  <c r="K5139" i="1"/>
  <c r="J5107" i="1"/>
  <c r="L5107" i="1"/>
  <c r="K5107" i="1"/>
  <c r="J5075" i="1"/>
  <c r="L5075" i="1"/>
  <c r="K5075" i="1"/>
  <c r="J5035" i="1"/>
  <c r="L5035" i="1"/>
  <c r="K5035" i="1"/>
  <c r="J5003" i="1"/>
  <c r="L5003" i="1"/>
  <c r="K5003" i="1"/>
  <c r="J4971" i="1"/>
  <c r="L4971" i="1"/>
  <c r="K4971" i="1"/>
  <c r="J4939" i="1"/>
  <c r="L4939" i="1"/>
  <c r="K4939" i="1"/>
  <c r="J4907" i="1"/>
  <c r="L4907" i="1"/>
  <c r="K4907" i="1"/>
  <c r="J4875" i="1"/>
  <c r="L4875" i="1"/>
  <c r="K4875" i="1"/>
  <c r="J4843" i="1"/>
  <c r="L4843" i="1"/>
  <c r="K4843" i="1"/>
  <c r="J4811" i="1"/>
  <c r="L4811" i="1"/>
  <c r="K4811" i="1"/>
  <c r="J4779" i="1"/>
  <c r="L4779" i="1"/>
  <c r="J4747" i="1"/>
  <c r="L4747" i="1"/>
  <c r="K4747" i="1"/>
  <c r="J4715" i="1"/>
  <c r="L4715" i="1"/>
  <c r="K4715" i="1"/>
  <c r="J4683" i="1"/>
  <c r="L4683" i="1"/>
  <c r="K4683" i="1"/>
  <c r="J4659" i="1"/>
  <c r="L4659" i="1"/>
  <c r="K4659" i="1"/>
  <c r="J4635" i="1"/>
  <c r="L4635" i="1"/>
  <c r="K4635" i="1"/>
  <c r="J4619" i="1"/>
  <c r="L4619" i="1"/>
  <c r="K4619" i="1"/>
  <c r="J4603" i="1"/>
  <c r="L4603" i="1"/>
  <c r="K4603" i="1"/>
  <c r="J4587" i="1"/>
  <c r="L4587" i="1"/>
  <c r="K4587" i="1"/>
  <c r="J4571" i="1"/>
  <c r="L4571" i="1"/>
  <c r="K4571" i="1"/>
  <c r="J4539" i="1"/>
  <c r="L4539" i="1"/>
  <c r="K4539" i="1"/>
  <c r="J4523" i="1"/>
  <c r="L4523" i="1"/>
  <c r="K4523" i="1"/>
  <c r="J4507" i="1"/>
  <c r="L4507" i="1"/>
  <c r="K4507" i="1"/>
  <c r="J4491" i="1"/>
  <c r="L4491" i="1"/>
  <c r="K4491" i="1"/>
  <c r="J4475" i="1"/>
  <c r="L4475" i="1"/>
  <c r="K4475" i="1"/>
  <c r="J4459" i="1"/>
  <c r="L4459" i="1"/>
  <c r="K4459" i="1"/>
  <c r="J4443" i="1"/>
  <c r="L4443" i="1"/>
  <c r="K4443" i="1"/>
  <c r="J4427" i="1"/>
  <c r="L4427" i="1"/>
  <c r="K4427" i="1"/>
  <c r="J4411" i="1"/>
  <c r="L4411" i="1"/>
  <c r="K4411" i="1"/>
  <c r="J4395" i="1"/>
  <c r="L4395" i="1"/>
  <c r="K4395" i="1"/>
  <c r="J4379" i="1"/>
  <c r="L4379" i="1"/>
  <c r="K4379" i="1"/>
  <c r="J4355" i="1"/>
  <c r="L4355" i="1"/>
  <c r="K4355" i="1"/>
  <c r="J4219" i="1"/>
  <c r="L4219" i="1"/>
  <c r="K4219" i="1"/>
  <c r="J4203" i="1"/>
  <c r="L4203" i="1"/>
  <c r="K4203" i="1"/>
  <c r="J4187" i="1"/>
  <c r="L4187" i="1"/>
  <c r="K4187" i="1"/>
  <c r="J4171" i="1"/>
  <c r="L4171" i="1"/>
  <c r="K4171" i="1"/>
  <c r="J4155" i="1"/>
  <c r="L4155" i="1"/>
  <c r="K4155" i="1"/>
  <c r="J4139" i="1"/>
  <c r="L4139" i="1"/>
  <c r="J4123" i="1"/>
  <c r="L4123" i="1"/>
  <c r="K4123" i="1"/>
  <c r="J4107" i="1"/>
  <c r="L4107" i="1"/>
  <c r="K4107" i="1"/>
  <c r="J4091" i="1"/>
  <c r="L4091" i="1"/>
  <c r="K4091" i="1"/>
  <c r="J4075" i="1"/>
  <c r="L4075" i="1"/>
  <c r="K4075" i="1"/>
  <c r="J4059" i="1"/>
  <c r="L4059" i="1"/>
  <c r="K4059" i="1"/>
  <c r="J4043" i="1"/>
  <c r="L4043" i="1"/>
  <c r="K4043" i="1"/>
  <c r="J4027" i="1"/>
  <c r="L4027" i="1"/>
  <c r="K4027" i="1"/>
  <c r="J4011" i="1"/>
  <c r="L4011" i="1"/>
  <c r="K4011" i="1"/>
  <c r="J3995" i="1"/>
  <c r="L3995" i="1"/>
  <c r="K3995" i="1"/>
  <c r="J3979" i="1"/>
  <c r="L3979" i="1"/>
  <c r="K3979" i="1"/>
  <c r="J3963" i="1"/>
  <c r="L3963" i="1"/>
  <c r="K3963" i="1"/>
  <c r="J3947" i="1"/>
  <c r="L3947" i="1"/>
  <c r="K3947" i="1"/>
  <c r="J3931" i="1"/>
  <c r="L3931" i="1"/>
  <c r="K3931" i="1"/>
  <c r="J3915" i="1"/>
  <c r="L3915" i="1"/>
  <c r="K3915" i="1"/>
  <c r="J3899" i="1"/>
  <c r="L3899" i="1"/>
  <c r="K3899" i="1"/>
  <c r="J3883" i="1"/>
  <c r="L3883" i="1"/>
  <c r="K3883" i="1"/>
  <c r="J3867" i="1"/>
  <c r="L3867" i="1"/>
  <c r="K3867" i="1"/>
  <c r="J3859" i="1"/>
  <c r="L3859" i="1"/>
  <c r="J3851" i="1"/>
  <c r="L3851" i="1"/>
  <c r="K3851" i="1"/>
  <c r="J3843" i="1"/>
  <c r="L3843" i="1"/>
  <c r="K3843" i="1"/>
  <c r="J3827" i="1"/>
  <c r="L3827" i="1"/>
  <c r="K3827" i="1"/>
  <c r="J3819" i="1"/>
  <c r="L3819" i="1"/>
  <c r="K3819" i="1"/>
  <c r="J3811" i="1"/>
  <c r="L3811" i="1"/>
  <c r="K3811" i="1"/>
  <c r="J3803" i="1"/>
  <c r="L3803" i="1"/>
  <c r="K3803" i="1"/>
  <c r="J3795" i="1"/>
  <c r="L3795" i="1"/>
  <c r="K3795" i="1"/>
  <c r="J3787" i="1"/>
  <c r="L3787" i="1"/>
  <c r="K3787" i="1"/>
  <c r="J3779" i="1"/>
  <c r="L3779" i="1"/>
  <c r="K3779" i="1"/>
  <c r="J3771" i="1"/>
  <c r="L3771" i="1"/>
  <c r="K3771" i="1"/>
  <c r="J3763" i="1"/>
  <c r="L3763" i="1"/>
  <c r="K3763" i="1"/>
  <c r="J3755" i="1"/>
  <c r="L3755" i="1"/>
  <c r="J3747" i="1"/>
  <c r="L3747" i="1"/>
  <c r="K3747" i="1"/>
  <c r="J3739" i="1"/>
  <c r="L3739" i="1"/>
  <c r="K3739" i="1"/>
  <c r="J3731" i="1"/>
  <c r="L3731" i="1"/>
  <c r="K3731" i="1"/>
  <c r="J3723" i="1"/>
  <c r="L3723" i="1"/>
  <c r="K3723" i="1"/>
  <c r="J3715" i="1"/>
  <c r="L3715" i="1"/>
  <c r="K3715" i="1"/>
  <c r="J3707" i="1"/>
  <c r="L3707" i="1"/>
  <c r="K3707" i="1"/>
  <c r="J3699" i="1"/>
  <c r="L3699" i="1"/>
  <c r="K3699" i="1"/>
  <c r="J3691" i="1"/>
  <c r="L3691" i="1"/>
  <c r="K3691" i="1"/>
  <c r="J3683" i="1"/>
  <c r="L3683" i="1"/>
  <c r="K3683" i="1"/>
  <c r="J3675" i="1"/>
  <c r="L3675" i="1"/>
  <c r="K3675" i="1"/>
  <c r="J3667" i="1"/>
  <c r="L3667" i="1"/>
  <c r="K3667" i="1"/>
  <c r="J3643" i="1"/>
  <c r="L3643" i="1"/>
  <c r="K3643" i="1"/>
  <c r="J3635" i="1"/>
  <c r="L3635" i="1"/>
  <c r="K3635" i="1"/>
  <c r="J3627" i="1"/>
  <c r="L3627" i="1"/>
  <c r="J3619" i="1"/>
  <c r="L3619" i="1"/>
  <c r="K3619" i="1"/>
  <c r="J3611" i="1"/>
  <c r="L3611" i="1"/>
  <c r="K3611" i="1"/>
  <c r="J3603" i="1"/>
  <c r="L3603" i="1"/>
  <c r="K3603" i="1"/>
  <c r="J3595" i="1"/>
  <c r="L3595" i="1"/>
  <c r="K3595" i="1"/>
  <c r="J3587" i="1"/>
  <c r="L3587" i="1"/>
  <c r="K3587" i="1"/>
  <c r="J3579" i="1"/>
  <c r="L3579" i="1"/>
  <c r="K3579" i="1"/>
  <c r="J3571" i="1"/>
  <c r="L3571" i="1"/>
  <c r="K3571" i="1"/>
  <c r="J3563" i="1"/>
  <c r="L3563" i="1"/>
  <c r="K3563" i="1"/>
  <c r="J3555" i="1"/>
  <c r="L3555" i="1"/>
  <c r="K3555" i="1"/>
  <c r="J3547" i="1"/>
  <c r="L3547" i="1"/>
  <c r="K3547" i="1"/>
  <c r="J3539" i="1"/>
  <c r="L3539" i="1"/>
  <c r="K3539" i="1"/>
  <c r="J3531" i="1"/>
  <c r="L3531" i="1"/>
  <c r="K3531" i="1"/>
  <c r="J3523" i="1"/>
  <c r="L3523" i="1"/>
  <c r="J3515" i="1"/>
  <c r="L3515" i="1"/>
  <c r="K3515" i="1"/>
  <c r="J3507" i="1"/>
  <c r="L3507" i="1"/>
  <c r="K3507" i="1"/>
  <c r="J3499" i="1"/>
  <c r="L3499" i="1"/>
  <c r="K3499" i="1"/>
  <c r="J3491" i="1"/>
  <c r="L3491" i="1"/>
  <c r="K3491" i="1"/>
  <c r="J3483" i="1"/>
  <c r="L3483" i="1"/>
  <c r="K3483" i="1"/>
  <c r="J3475" i="1"/>
  <c r="L3475" i="1"/>
  <c r="J3467" i="1"/>
  <c r="L3467" i="1"/>
  <c r="K3467" i="1"/>
  <c r="J3459" i="1"/>
  <c r="L3459" i="1"/>
  <c r="K3459" i="1"/>
  <c r="J3451" i="1"/>
  <c r="L3451" i="1"/>
  <c r="K3451" i="1"/>
  <c r="J3443" i="1"/>
  <c r="L3443" i="1"/>
  <c r="K3443" i="1"/>
  <c r="J3435" i="1"/>
  <c r="L3435" i="1"/>
  <c r="K3435" i="1"/>
  <c r="J3427" i="1"/>
  <c r="L3427" i="1"/>
  <c r="K3427" i="1"/>
  <c r="J3419" i="1"/>
  <c r="L3419" i="1"/>
  <c r="K3419" i="1"/>
  <c r="J3411" i="1"/>
  <c r="L3411" i="1"/>
  <c r="K3411" i="1"/>
  <c r="J3403" i="1"/>
  <c r="L3403" i="1"/>
  <c r="K3403" i="1"/>
  <c r="J3395" i="1"/>
  <c r="L3395" i="1"/>
  <c r="J3387" i="1"/>
  <c r="L3387" i="1"/>
  <c r="K3387" i="1"/>
  <c r="J3379" i="1"/>
  <c r="L3379" i="1"/>
  <c r="K3379" i="1"/>
  <c r="J3371" i="1"/>
  <c r="L3371" i="1"/>
  <c r="K3371" i="1"/>
  <c r="J3363" i="1"/>
  <c r="L3363" i="1"/>
  <c r="K3363" i="1"/>
  <c r="J3355" i="1"/>
  <c r="L3355" i="1"/>
  <c r="K3355" i="1"/>
  <c r="J3347" i="1"/>
  <c r="L3347" i="1"/>
  <c r="J3339" i="1"/>
  <c r="L3339" i="1"/>
  <c r="K3339" i="1"/>
  <c r="J3331" i="1"/>
  <c r="L3331" i="1"/>
  <c r="K3331" i="1"/>
  <c r="J3323" i="1"/>
  <c r="L3323" i="1"/>
  <c r="K3323" i="1"/>
  <c r="J3315" i="1"/>
  <c r="L3315" i="1"/>
  <c r="K3315" i="1"/>
  <c r="J3307" i="1"/>
  <c r="L3307" i="1"/>
  <c r="K3307" i="1"/>
  <c r="J3299" i="1"/>
  <c r="L3299" i="1"/>
  <c r="K3299" i="1"/>
  <c r="J3291" i="1"/>
  <c r="L3291" i="1"/>
  <c r="K3291" i="1"/>
  <c r="J3283" i="1"/>
  <c r="L3283" i="1"/>
  <c r="K3283" i="1"/>
  <c r="J3275" i="1"/>
  <c r="L3275" i="1"/>
  <c r="K3275" i="1"/>
  <c r="J3267" i="1"/>
  <c r="L3267" i="1"/>
  <c r="K3267" i="1"/>
  <c r="J3259" i="1"/>
  <c r="L3259" i="1"/>
  <c r="K3259" i="1"/>
  <c r="J3251" i="1"/>
  <c r="L3251" i="1"/>
  <c r="K3251" i="1"/>
  <c r="J3243" i="1"/>
  <c r="L3243" i="1"/>
  <c r="K3243" i="1"/>
  <c r="J3235" i="1"/>
  <c r="L3235" i="1"/>
  <c r="K3235" i="1"/>
  <c r="J3227" i="1"/>
  <c r="L3227" i="1"/>
  <c r="K3227" i="1"/>
  <c r="J3219" i="1"/>
  <c r="L3219" i="1"/>
  <c r="K3219" i="1"/>
  <c r="J3211" i="1"/>
  <c r="L3211" i="1"/>
  <c r="K3211" i="1"/>
  <c r="J3203" i="1"/>
  <c r="L3203" i="1"/>
  <c r="K3203" i="1"/>
  <c r="J3195" i="1"/>
  <c r="L3195" i="1"/>
  <c r="K3195" i="1"/>
  <c r="J3187" i="1"/>
  <c r="L3187" i="1"/>
  <c r="K3187" i="1"/>
  <c r="J3179" i="1"/>
  <c r="L3179" i="1"/>
  <c r="K3179" i="1"/>
  <c r="J3171" i="1"/>
  <c r="L3171" i="1"/>
  <c r="K3171" i="1"/>
  <c r="J3163" i="1"/>
  <c r="L3163" i="1"/>
  <c r="K3163" i="1"/>
  <c r="J3155" i="1"/>
  <c r="L3155" i="1"/>
  <c r="K3155" i="1"/>
  <c r="J3147" i="1"/>
  <c r="L3147" i="1"/>
  <c r="K3147" i="1"/>
  <c r="J3139" i="1"/>
  <c r="L3139" i="1"/>
  <c r="K3139" i="1"/>
  <c r="J3131" i="1"/>
  <c r="L3131" i="1"/>
  <c r="K3131" i="1"/>
  <c r="J3123" i="1"/>
  <c r="L3123" i="1"/>
  <c r="K3123" i="1"/>
  <c r="J3115" i="1"/>
  <c r="L3115" i="1"/>
  <c r="K3115" i="1"/>
  <c r="J3099" i="1"/>
  <c r="L3099" i="1"/>
  <c r="K3099" i="1"/>
  <c r="J3083" i="1"/>
  <c r="L3083" i="1"/>
  <c r="K3083" i="1"/>
  <c r="J3075" i="1"/>
  <c r="L3075" i="1"/>
  <c r="K3075" i="1"/>
  <c r="J3067" i="1"/>
  <c r="L3067" i="1"/>
  <c r="K3067" i="1"/>
  <c r="J3059" i="1"/>
  <c r="L3059" i="1"/>
  <c r="K3059" i="1"/>
  <c r="J3051" i="1"/>
  <c r="L3051" i="1"/>
  <c r="K3051" i="1"/>
  <c r="J3043" i="1"/>
  <c r="L3043" i="1"/>
  <c r="K3043" i="1"/>
  <c r="L3035" i="1"/>
  <c r="K3035" i="1"/>
  <c r="J3027" i="1"/>
  <c r="L3027" i="1"/>
  <c r="K3027" i="1"/>
  <c r="J3019" i="1"/>
  <c r="L3019" i="1"/>
  <c r="K3019" i="1"/>
  <c r="L3011" i="1"/>
  <c r="K3011" i="1"/>
  <c r="J3003" i="1"/>
  <c r="L3003" i="1"/>
  <c r="K3003" i="1"/>
  <c r="J2995" i="1"/>
  <c r="L2995" i="1"/>
  <c r="K2995" i="1"/>
  <c r="J2987" i="1"/>
  <c r="L2987" i="1"/>
  <c r="K2987" i="1"/>
  <c r="J2979" i="1"/>
  <c r="L2979" i="1"/>
  <c r="K2979" i="1"/>
  <c r="L2971" i="1"/>
  <c r="K2971" i="1"/>
  <c r="J2963" i="1"/>
  <c r="L2963" i="1"/>
  <c r="K2963" i="1"/>
  <c r="J2955" i="1"/>
  <c r="L2955" i="1"/>
  <c r="K2955" i="1"/>
  <c r="J2947" i="1"/>
  <c r="L2947" i="1"/>
  <c r="K2947" i="1"/>
  <c r="J2939" i="1"/>
  <c r="L2939" i="1"/>
  <c r="K2939" i="1"/>
  <c r="J2931" i="1"/>
  <c r="L2931" i="1"/>
  <c r="K2931" i="1"/>
  <c r="J2923" i="1"/>
  <c r="L2923" i="1"/>
  <c r="K2923" i="1"/>
  <c r="J2915" i="1"/>
  <c r="L2915" i="1"/>
  <c r="K2915" i="1"/>
  <c r="L2907" i="1"/>
  <c r="K2907" i="1"/>
  <c r="J2899" i="1"/>
  <c r="L2899" i="1"/>
  <c r="K2899" i="1"/>
  <c r="J2891" i="1"/>
  <c r="L2891" i="1"/>
  <c r="K2891" i="1"/>
  <c r="J2883" i="1"/>
  <c r="L2883" i="1"/>
  <c r="K2883" i="1"/>
  <c r="J2875" i="1"/>
  <c r="L2875" i="1"/>
  <c r="K2875" i="1"/>
  <c r="J2867" i="1"/>
  <c r="L2867" i="1"/>
  <c r="K2867" i="1"/>
  <c r="J2859" i="1"/>
  <c r="L2859" i="1"/>
  <c r="K2859" i="1"/>
  <c r="J2851" i="1"/>
  <c r="L2851" i="1"/>
  <c r="K2851" i="1"/>
  <c r="L2843" i="1"/>
  <c r="K2843" i="1"/>
  <c r="J2835" i="1"/>
  <c r="L2835" i="1"/>
  <c r="K2835" i="1"/>
  <c r="J2827" i="1"/>
  <c r="L2827" i="1"/>
  <c r="K2827" i="1"/>
  <c r="J2819" i="1"/>
  <c r="L2819" i="1"/>
  <c r="K2819" i="1"/>
  <c r="J2811" i="1"/>
  <c r="L2811" i="1"/>
  <c r="K2811" i="1"/>
  <c r="J2803" i="1"/>
  <c r="L2803" i="1"/>
  <c r="K2803" i="1"/>
  <c r="J2795" i="1"/>
  <c r="L2795" i="1"/>
  <c r="K2795" i="1"/>
  <c r="J2787" i="1"/>
  <c r="L2787" i="1"/>
  <c r="K2787" i="1"/>
  <c r="L2779" i="1"/>
  <c r="K2779" i="1"/>
  <c r="J2771" i="1"/>
  <c r="L2771" i="1"/>
  <c r="K2771" i="1"/>
  <c r="J2763" i="1"/>
  <c r="L2763" i="1"/>
  <c r="K2763" i="1"/>
  <c r="J2755" i="1"/>
  <c r="L2755" i="1"/>
  <c r="K2755" i="1"/>
  <c r="J2747" i="1"/>
  <c r="L2747" i="1"/>
  <c r="K2747" i="1"/>
  <c r="J2739" i="1"/>
  <c r="L2739" i="1"/>
  <c r="K2739" i="1"/>
  <c r="J2731" i="1"/>
  <c r="L2731" i="1"/>
  <c r="K2731" i="1"/>
  <c r="J2723" i="1"/>
  <c r="L2723" i="1"/>
  <c r="K2723" i="1"/>
  <c r="L2715" i="1"/>
  <c r="K2715" i="1"/>
  <c r="J2707" i="1"/>
  <c r="L2707" i="1"/>
  <c r="K2707" i="1"/>
  <c r="J2699" i="1"/>
  <c r="L2699" i="1"/>
  <c r="K2699" i="1"/>
  <c r="J2691" i="1"/>
  <c r="L2691" i="1"/>
  <c r="K2691" i="1"/>
  <c r="J2683" i="1"/>
  <c r="L2683" i="1"/>
  <c r="K2683" i="1"/>
  <c r="J2675" i="1"/>
  <c r="L2675" i="1"/>
  <c r="K2675" i="1"/>
  <c r="J2667" i="1"/>
  <c r="L2667" i="1"/>
  <c r="K2667" i="1"/>
  <c r="J2659" i="1"/>
  <c r="L2659" i="1"/>
  <c r="K2659" i="1"/>
  <c r="L2651" i="1"/>
  <c r="K2651" i="1"/>
  <c r="J2643" i="1"/>
  <c r="L2643" i="1"/>
  <c r="K2643" i="1"/>
  <c r="J2635" i="1"/>
  <c r="L2635" i="1"/>
  <c r="K2635" i="1"/>
  <c r="J2627" i="1"/>
  <c r="L2627" i="1"/>
  <c r="K2627" i="1"/>
  <c r="J2619" i="1"/>
  <c r="L2619" i="1"/>
  <c r="K2619" i="1"/>
  <c r="J2611" i="1"/>
  <c r="L2611" i="1"/>
  <c r="K2611" i="1"/>
  <c r="J2603" i="1"/>
  <c r="L2603" i="1"/>
  <c r="K2603" i="1"/>
  <c r="J2595" i="1"/>
  <c r="L2595" i="1"/>
  <c r="K2595" i="1"/>
  <c r="L2587" i="1"/>
  <c r="K2587" i="1"/>
  <c r="J2579" i="1"/>
  <c r="L2579" i="1"/>
  <c r="K2579" i="1"/>
  <c r="J2571" i="1"/>
  <c r="L2571" i="1"/>
  <c r="K2571" i="1"/>
  <c r="J2563" i="1"/>
  <c r="L2563" i="1"/>
  <c r="K2563" i="1"/>
  <c r="J2555" i="1"/>
  <c r="L2555" i="1"/>
  <c r="K2555" i="1"/>
  <c r="J2547" i="1"/>
  <c r="L2547" i="1"/>
  <c r="K2547" i="1"/>
  <c r="J2539" i="1"/>
  <c r="L2539" i="1"/>
  <c r="K2539" i="1"/>
  <c r="J2531" i="1"/>
  <c r="L2531" i="1"/>
  <c r="K2531" i="1"/>
  <c r="L2523" i="1"/>
  <c r="K2523" i="1"/>
  <c r="J2515" i="1"/>
  <c r="L2515" i="1"/>
  <c r="K2515" i="1"/>
  <c r="J2507" i="1"/>
  <c r="L2507" i="1"/>
  <c r="K2507" i="1"/>
  <c r="J2499" i="1"/>
  <c r="L2499" i="1"/>
  <c r="K2499" i="1"/>
  <c r="J2491" i="1"/>
  <c r="L2491" i="1"/>
  <c r="K2491" i="1"/>
  <c r="J2483" i="1"/>
  <c r="L2483" i="1"/>
  <c r="K2483" i="1"/>
  <c r="J2475" i="1"/>
  <c r="L2475" i="1"/>
  <c r="K2475" i="1"/>
  <c r="J2467" i="1"/>
  <c r="L2467" i="1"/>
  <c r="K2467" i="1"/>
  <c r="L2459" i="1"/>
  <c r="K2459" i="1"/>
  <c r="J2451" i="1"/>
  <c r="L2451" i="1"/>
  <c r="K2451" i="1"/>
  <c r="J2443" i="1"/>
  <c r="L2443" i="1"/>
  <c r="K2443" i="1"/>
  <c r="J2435" i="1"/>
  <c r="L2435" i="1"/>
  <c r="K2435" i="1"/>
  <c r="J2427" i="1"/>
  <c r="L2427" i="1"/>
  <c r="K2427" i="1"/>
  <c r="J2419" i="1"/>
  <c r="L2419" i="1"/>
  <c r="K2419" i="1"/>
  <c r="J2411" i="1"/>
  <c r="L2411" i="1"/>
  <c r="K2411" i="1"/>
  <c r="J2403" i="1"/>
  <c r="L2403" i="1"/>
  <c r="K2403" i="1"/>
  <c r="L2395" i="1"/>
  <c r="K2395" i="1"/>
  <c r="J2387" i="1"/>
  <c r="L2387" i="1"/>
  <c r="K2387" i="1"/>
  <c r="J2379" i="1"/>
  <c r="L2379" i="1"/>
  <c r="K2379" i="1"/>
  <c r="J2371" i="1"/>
  <c r="L2371" i="1"/>
  <c r="K2371" i="1"/>
  <c r="J2363" i="1"/>
  <c r="L2363" i="1"/>
  <c r="K2363" i="1"/>
  <c r="J2355" i="1"/>
  <c r="L2355" i="1"/>
  <c r="K2355" i="1"/>
  <c r="J2347" i="1"/>
  <c r="L2347" i="1"/>
  <c r="K2347" i="1"/>
  <c r="J2339" i="1"/>
  <c r="L2339" i="1"/>
  <c r="K2339" i="1"/>
  <c r="L2331" i="1"/>
  <c r="K2331" i="1"/>
  <c r="J2323" i="1"/>
  <c r="L2323" i="1"/>
  <c r="K2323" i="1"/>
  <c r="J2315" i="1"/>
  <c r="L2315" i="1"/>
  <c r="K2315" i="1"/>
  <c r="J2307" i="1"/>
  <c r="L2307" i="1"/>
  <c r="K2307" i="1"/>
  <c r="J2299" i="1"/>
  <c r="L2299" i="1"/>
  <c r="K2299" i="1"/>
  <c r="J2291" i="1"/>
  <c r="L2291" i="1"/>
  <c r="K2291" i="1"/>
  <c r="J2283" i="1"/>
  <c r="L2283" i="1"/>
  <c r="K2283" i="1"/>
  <c r="J2275" i="1"/>
  <c r="L2275" i="1"/>
  <c r="K2275" i="1"/>
  <c r="L2267" i="1"/>
  <c r="K2267" i="1"/>
  <c r="J2259" i="1"/>
  <c r="L2259" i="1"/>
  <c r="K2259" i="1"/>
  <c r="J2251" i="1"/>
  <c r="L2251" i="1"/>
  <c r="K2251" i="1"/>
  <c r="J2243" i="1"/>
  <c r="L2243" i="1"/>
  <c r="K2243" i="1"/>
  <c r="J2235" i="1"/>
  <c r="L2235" i="1"/>
  <c r="K2235" i="1"/>
  <c r="J2227" i="1"/>
  <c r="L2227" i="1"/>
  <c r="K2227" i="1"/>
  <c r="J2219" i="1"/>
  <c r="L2219" i="1"/>
  <c r="K2219" i="1"/>
  <c r="J2211" i="1"/>
  <c r="L2211" i="1"/>
  <c r="K2211" i="1"/>
  <c r="L2203" i="1"/>
  <c r="K2203" i="1"/>
  <c r="J2195" i="1"/>
  <c r="L2195" i="1"/>
  <c r="K2195" i="1"/>
  <c r="J2187" i="1"/>
  <c r="L2187" i="1"/>
  <c r="K2187" i="1"/>
  <c r="J2179" i="1"/>
  <c r="L2179" i="1"/>
  <c r="K2179" i="1"/>
  <c r="J2171" i="1"/>
  <c r="L2171" i="1"/>
  <c r="K2171" i="1"/>
  <c r="J2163" i="1"/>
  <c r="L2163" i="1"/>
  <c r="K2163" i="1"/>
  <c r="J2155" i="1"/>
  <c r="L2155" i="1"/>
  <c r="K2155" i="1"/>
  <c r="J2147" i="1"/>
  <c r="L2147" i="1"/>
  <c r="K2147" i="1"/>
  <c r="L2139" i="1"/>
  <c r="K2139" i="1"/>
  <c r="J2131" i="1"/>
  <c r="L2131" i="1"/>
  <c r="K2131" i="1"/>
  <c r="J2123" i="1"/>
  <c r="L2123" i="1"/>
  <c r="K2123" i="1"/>
  <c r="J2115" i="1"/>
  <c r="L2115" i="1"/>
  <c r="K2115" i="1"/>
  <c r="J2107" i="1"/>
  <c r="L2107" i="1"/>
  <c r="K2107" i="1"/>
  <c r="J2099" i="1"/>
  <c r="L2099" i="1"/>
  <c r="K2099" i="1"/>
  <c r="J2091" i="1"/>
  <c r="L2091" i="1"/>
  <c r="K2091" i="1"/>
  <c r="J2083" i="1"/>
  <c r="L2083" i="1"/>
  <c r="K2083" i="1"/>
  <c r="L2075" i="1"/>
  <c r="K2075" i="1"/>
  <c r="J2067" i="1"/>
  <c r="L2067" i="1"/>
  <c r="K2067" i="1"/>
  <c r="J2059" i="1"/>
  <c r="L2059" i="1"/>
  <c r="K2059" i="1"/>
  <c r="J2051" i="1"/>
  <c r="L2051" i="1"/>
  <c r="K2051" i="1"/>
  <c r="J2043" i="1"/>
  <c r="L2043" i="1"/>
  <c r="K2043" i="1"/>
  <c r="J2035" i="1"/>
  <c r="L2035" i="1"/>
  <c r="K2035" i="1"/>
  <c r="J2027" i="1"/>
  <c r="L2027" i="1"/>
  <c r="K2027" i="1"/>
  <c r="J2019" i="1"/>
  <c r="L2019" i="1"/>
  <c r="K2019" i="1"/>
  <c r="J2011" i="1"/>
  <c r="L2011" i="1"/>
  <c r="K2011" i="1"/>
  <c r="L2003" i="1"/>
  <c r="K2003" i="1"/>
  <c r="J1995" i="1"/>
  <c r="L1995" i="1"/>
  <c r="K1995" i="1"/>
  <c r="L1987" i="1"/>
  <c r="K1987" i="1"/>
  <c r="J1979" i="1"/>
  <c r="L1979" i="1"/>
  <c r="K1979" i="1"/>
  <c r="L1971" i="1"/>
  <c r="K1971" i="1"/>
  <c r="J1963" i="1"/>
  <c r="L1963" i="1"/>
  <c r="K1963" i="1"/>
  <c r="J1955" i="1"/>
  <c r="L1955" i="1"/>
  <c r="K1955" i="1"/>
  <c r="J1947" i="1"/>
  <c r="L1947" i="1"/>
  <c r="K1947" i="1"/>
  <c r="J1939" i="1"/>
  <c r="L1939" i="1"/>
  <c r="K1939" i="1"/>
  <c r="J1931" i="1"/>
  <c r="L1931" i="1"/>
  <c r="K1931" i="1"/>
  <c r="J1923" i="1"/>
  <c r="L1923" i="1"/>
  <c r="K1923" i="1"/>
  <c r="J1915" i="1"/>
  <c r="L1915" i="1"/>
  <c r="K1915" i="1"/>
  <c r="L1907" i="1"/>
  <c r="K1907" i="1"/>
  <c r="J1899" i="1"/>
  <c r="L1899" i="1"/>
  <c r="K1899" i="1"/>
  <c r="J1891" i="1"/>
  <c r="L1891" i="1"/>
  <c r="K1891" i="1"/>
  <c r="J1883" i="1"/>
  <c r="L1883" i="1"/>
  <c r="K1883" i="1"/>
  <c r="J1875" i="1"/>
  <c r="L1875" i="1"/>
  <c r="K1875" i="1"/>
  <c r="J1867" i="1"/>
  <c r="L1867" i="1"/>
  <c r="K1867" i="1"/>
  <c r="J1859" i="1"/>
  <c r="L1859" i="1"/>
  <c r="K1859" i="1"/>
  <c r="J1851" i="1"/>
  <c r="L1851" i="1"/>
  <c r="K1851" i="1"/>
  <c r="L1843" i="1"/>
  <c r="K1843" i="1"/>
  <c r="J1835" i="1"/>
  <c r="L1835" i="1"/>
  <c r="K1835" i="1"/>
  <c r="J1827" i="1"/>
  <c r="L1827" i="1"/>
  <c r="K1827" i="1"/>
  <c r="J1819" i="1"/>
  <c r="L1819" i="1"/>
  <c r="K1819" i="1"/>
  <c r="J1811" i="1"/>
  <c r="L1811" i="1"/>
  <c r="K1811" i="1"/>
  <c r="J1803" i="1"/>
  <c r="L1803" i="1"/>
  <c r="K1803" i="1"/>
  <c r="J1795" i="1"/>
  <c r="L1795" i="1"/>
  <c r="K1795" i="1"/>
  <c r="J1787" i="1"/>
  <c r="L1787" i="1"/>
  <c r="K1787" i="1"/>
  <c r="L1779" i="1"/>
  <c r="K1779" i="1"/>
  <c r="J1771" i="1"/>
  <c r="L1771" i="1"/>
  <c r="K1771" i="1"/>
  <c r="J1763" i="1"/>
  <c r="L1763" i="1"/>
  <c r="K1763" i="1"/>
  <c r="J1755" i="1"/>
  <c r="L1755" i="1"/>
  <c r="K1755" i="1"/>
  <c r="J1747" i="1"/>
  <c r="L1747" i="1"/>
  <c r="K1747" i="1"/>
  <c r="J1739" i="1"/>
  <c r="L1739" i="1"/>
  <c r="K1739" i="1"/>
  <c r="J1731" i="1"/>
  <c r="L1731" i="1"/>
  <c r="K1731" i="1"/>
  <c r="J1723" i="1"/>
  <c r="L1723" i="1"/>
  <c r="K1723" i="1"/>
  <c r="L1715" i="1"/>
  <c r="K1715" i="1"/>
  <c r="J1707" i="1"/>
  <c r="L1707" i="1"/>
  <c r="K1707" i="1"/>
  <c r="J1699" i="1"/>
  <c r="L1699" i="1"/>
  <c r="K1699" i="1"/>
  <c r="J1691" i="1"/>
  <c r="L1691" i="1"/>
  <c r="K1691" i="1"/>
  <c r="J1683" i="1"/>
  <c r="L1683" i="1"/>
  <c r="K1683" i="1"/>
  <c r="J1675" i="1"/>
  <c r="L1675" i="1"/>
  <c r="K1675" i="1"/>
  <c r="J1667" i="1"/>
  <c r="L1667" i="1"/>
  <c r="K1667" i="1"/>
  <c r="J1659" i="1"/>
  <c r="L1659" i="1"/>
  <c r="K1659" i="1"/>
  <c r="L1651" i="1"/>
  <c r="K1651" i="1"/>
  <c r="J1643" i="1"/>
  <c r="L1643" i="1"/>
  <c r="K1643" i="1"/>
  <c r="J1635" i="1"/>
  <c r="L1635" i="1"/>
  <c r="K1635" i="1"/>
  <c r="J1627" i="1"/>
  <c r="L1627" i="1"/>
  <c r="K1627" i="1"/>
  <c r="J1619" i="1"/>
  <c r="L1619" i="1"/>
  <c r="K1619" i="1"/>
  <c r="J1611" i="1"/>
  <c r="L1611" i="1"/>
  <c r="K1611" i="1"/>
  <c r="J1603" i="1"/>
  <c r="L1603" i="1"/>
  <c r="K1603" i="1"/>
  <c r="J1595" i="1"/>
  <c r="L1595" i="1"/>
  <c r="K1595" i="1"/>
  <c r="L1587" i="1"/>
  <c r="K1587" i="1"/>
  <c r="J1579" i="1"/>
  <c r="L1579" i="1"/>
  <c r="K1579" i="1"/>
  <c r="J1571" i="1"/>
  <c r="L1571" i="1"/>
  <c r="K1571" i="1"/>
  <c r="J1563" i="1"/>
  <c r="L1563" i="1"/>
  <c r="K1563" i="1"/>
  <c r="J1555" i="1"/>
  <c r="L1555" i="1"/>
  <c r="K1555" i="1"/>
  <c r="J1547" i="1"/>
  <c r="L1547" i="1"/>
  <c r="K1547" i="1"/>
  <c r="J1539" i="1"/>
  <c r="L1539" i="1"/>
  <c r="K1539" i="1"/>
  <c r="J1531" i="1"/>
  <c r="L1531" i="1"/>
  <c r="K1531" i="1"/>
  <c r="L1523" i="1"/>
  <c r="K1523" i="1"/>
  <c r="J1515" i="1"/>
  <c r="L1515" i="1"/>
  <c r="K1515" i="1"/>
  <c r="J1507" i="1"/>
  <c r="L1507" i="1"/>
  <c r="K1507" i="1"/>
  <c r="J1499" i="1"/>
  <c r="L1499" i="1"/>
  <c r="K1499" i="1"/>
  <c r="J1491" i="1"/>
  <c r="L1491" i="1"/>
  <c r="K1491" i="1"/>
  <c r="J1483" i="1"/>
  <c r="L1483" i="1"/>
  <c r="K1483" i="1"/>
  <c r="L1475" i="1"/>
  <c r="K1475" i="1"/>
  <c r="J1467" i="1"/>
  <c r="L1467" i="1"/>
  <c r="K1467" i="1"/>
  <c r="L1459" i="1"/>
  <c r="K1459" i="1"/>
  <c r="J1451" i="1"/>
  <c r="L1451" i="1"/>
  <c r="K1451" i="1"/>
  <c r="J1443" i="1"/>
  <c r="L1443" i="1"/>
  <c r="K1443" i="1"/>
  <c r="J1435" i="1"/>
  <c r="L1435" i="1"/>
  <c r="K1435" i="1"/>
  <c r="J1427" i="1"/>
  <c r="L1427" i="1"/>
  <c r="K1427" i="1"/>
  <c r="J1419" i="1"/>
  <c r="L1419" i="1"/>
  <c r="K1419" i="1"/>
  <c r="J1411" i="1"/>
  <c r="L1411" i="1"/>
  <c r="K1411" i="1"/>
  <c r="J1403" i="1"/>
  <c r="L1403" i="1"/>
  <c r="K1403" i="1"/>
  <c r="L1395" i="1"/>
  <c r="K1395" i="1"/>
  <c r="J1387" i="1"/>
  <c r="L1387" i="1"/>
  <c r="K1387" i="1"/>
  <c r="J1379" i="1"/>
  <c r="L1379" i="1"/>
  <c r="K1379" i="1"/>
  <c r="J1371" i="1"/>
  <c r="L1371" i="1"/>
  <c r="K1371" i="1"/>
  <c r="J1363" i="1"/>
  <c r="L1363" i="1"/>
  <c r="K1363" i="1"/>
  <c r="J1355" i="1"/>
  <c r="L1355" i="1"/>
  <c r="K1355" i="1"/>
  <c r="J1347" i="1"/>
  <c r="L1347" i="1"/>
  <c r="K1347" i="1"/>
  <c r="J1339" i="1"/>
  <c r="L1339" i="1"/>
  <c r="K1339" i="1"/>
  <c r="L1331" i="1"/>
  <c r="K1331" i="1"/>
  <c r="J1323" i="1"/>
  <c r="L1323" i="1"/>
  <c r="K1323" i="1"/>
  <c r="J1315" i="1"/>
  <c r="L1315" i="1"/>
  <c r="K1315" i="1"/>
  <c r="J1307" i="1"/>
  <c r="L1307" i="1"/>
  <c r="K1307" i="1"/>
  <c r="J1299" i="1"/>
  <c r="L1299" i="1"/>
  <c r="K1299" i="1"/>
  <c r="J1291" i="1"/>
  <c r="L1291" i="1"/>
  <c r="K1291" i="1"/>
  <c r="J1283" i="1"/>
  <c r="L1283" i="1"/>
  <c r="K1283" i="1"/>
  <c r="J1275" i="1"/>
  <c r="L1275" i="1"/>
  <c r="K1275" i="1"/>
  <c r="J1267" i="1"/>
  <c r="L1267" i="1"/>
  <c r="K1267" i="1"/>
  <c r="J1259" i="1"/>
  <c r="L1259" i="1"/>
  <c r="K1259" i="1"/>
  <c r="J1251" i="1"/>
  <c r="L1251" i="1"/>
  <c r="K1251" i="1"/>
  <c r="J1243" i="1"/>
  <c r="L1243" i="1"/>
  <c r="K1243" i="1"/>
  <c r="J1235" i="1"/>
  <c r="L1235" i="1"/>
  <c r="K1235" i="1"/>
  <c r="J1227" i="1"/>
  <c r="L1227" i="1"/>
  <c r="K1227" i="1"/>
  <c r="L1219" i="1"/>
  <c r="K1219" i="1"/>
  <c r="J1211" i="1"/>
  <c r="L1211" i="1"/>
  <c r="K1211" i="1"/>
  <c r="J1203" i="1"/>
  <c r="L1203" i="1"/>
  <c r="K1203" i="1"/>
  <c r="J1195" i="1"/>
  <c r="L1195" i="1"/>
  <c r="K1195" i="1"/>
  <c r="J1187" i="1"/>
  <c r="L1187" i="1"/>
  <c r="K1187" i="1"/>
  <c r="J1179" i="1"/>
  <c r="L1179" i="1"/>
  <c r="K1179" i="1"/>
  <c r="J1171" i="1"/>
  <c r="L1171" i="1"/>
  <c r="K1171" i="1"/>
  <c r="J1163" i="1"/>
  <c r="L1163" i="1"/>
  <c r="K1163" i="1"/>
  <c r="J1155" i="1"/>
  <c r="L1155" i="1"/>
  <c r="K1155" i="1"/>
  <c r="J1147" i="1"/>
  <c r="L1147" i="1"/>
  <c r="K1147" i="1"/>
  <c r="J1139" i="1"/>
  <c r="L1139" i="1"/>
  <c r="K1139" i="1"/>
  <c r="J1131" i="1"/>
  <c r="L1131" i="1"/>
  <c r="K1131" i="1"/>
  <c r="J1123" i="1"/>
  <c r="L1123" i="1"/>
  <c r="K1123" i="1"/>
  <c r="J1115" i="1"/>
  <c r="L1115" i="1"/>
  <c r="K1115" i="1"/>
  <c r="J1107" i="1"/>
  <c r="L1107" i="1"/>
  <c r="K1107" i="1"/>
  <c r="J1099" i="1"/>
  <c r="L1099" i="1"/>
  <c r="K1099" i="1"/>
  <c r="J1091" i="1"/>
  <c r="L1091" i="1"/>
  <c r="K1091" i="1"/>
  <c r="J1083" i="1"/>
  <c r="L1083" i="1"/>
  <c r="K1083" i="1"/>
  <c r="J1075" i="1"/>
  <c r="L1075" i="1"/>
  <c r="K1075" i="1"/>
  <c r="J1067" i="1"/>
  <c r="L1067" i="1"/>
  <c r="K1067" i="1"/>
  <c r="J1059" i="1"/>
  <c r="L1059" i="1"/>
  <c r="K1059" i="1"/>
  <c r="J1051" i="1"/>
  <c r="L1051" i="1"/>
  <c r="K1051" i="1"/>
  <c r="J1043" i="1"/>
  <c r="L1043" i="1"/>
  <c r="K1043" i="1"/>
  <c r="J1035" i="1"/>
  <c r="L1035" i="1"/>
  <c r="K1035" i="1"/>
  <c r="J1027" i="1"/>
  <c r="L1027" i="1"/>
  <c r="K1027" i="1"/>
  <c r="J1019" i="1"/>
  <c r="L1019" i="1"/>
  <c r="K1019" i="1"/>
  <c r="J1011" i="1"/>
  <c r="L1011" i="1"/>
  <c r="K1011" i="1"/>
  <c r="J8470" i="1"/>
  <c r="K4139" i="1"/>
  <c r="K3627" i="1"/>
  <c r="J101" i="1"/>
  <c r="L101" i="1"/>
  <c r="K101" i="1"/>
  <c r="J93" i="1"/>
  <c r="L93" i="1"/>
  <c r="K93" i="1"/>
  <c r="J85" i="1"/>
  <c r="L85" i="1"/>
  <c r="K85" i="1"/>
  <c r="J77" i="1"/>
  <c r="L77" i="1"/>
  <c r="K77" i="1"/>
  <c r="J69" i="1"/>
  <c r="L69" i="1"/>
  <c r="K69" i="1"/>
  <c r="J61" i="1"/>
  <c r="L61" i="1"/>
  <c r="K61" i="1"/>
  <c r="J53" i="1"/>
  <c r="L53" i="1"/>
  <c r="K53" i="1"/>
  <c r="J45" i="1"/>
  <c r="L45" i="1"/>
  <c r="K45" i="1"/>
  <c r="J37" i="1"/>
  <c r="L37" i="1"/>
  <c r="K37" i="1"/>
  <c r="J29" i="1"/>
  <c r="L29" i="1"/>
  <c r="K29" i="1"/>
  <c r="J21" i="1"/>
  <c r="L21" i="1"/>
  <c r="K21" i="1"/>
  <c r="J13" i="1"/>
  <c r="L13" i="1"/>
  <c r="K13" i="1"/>
  <c r="J106" i="1"/>
  <c r="L106" i="1"/>
  <c r="K106" i="1"/>
  <c r="J299" i="1"/>
  <c r="L299" i="1"/>
  <c r="K299" i="1"/>
  <c r="J291" i="1"/>
  <c r="L291" i="1"/>
  <c r="K291" i="1"/>
  <c r="J283" i="1"/>
  <c r="L283" i="1"/>
  <c r="K283" i="1"/>
  <c r="J275" i="1"/>
  <c r="L275" i="1"/>
  <c r="K275" i="1"/>
  <c r="J267" i="1"/>
  <c r="L267" i="1"/>
  <c r="K267" i="1"/>
  <c r="J259" i="1"/>
  <c r="L259" i="1"/>
  <c r="K259" i="1"/>
  <c r="J251" i="1"/>
  <c r="L251" i="1"/>
  <c r="K251" i="1"/>
  <c r="J243" i="1"/>
  <c r="L243" i="1"/>
  <c r="K243" i="1"/>
  <c r="J235" i="1"/>
  <c r="L235" i="1"/>
  <c r="K235" i="1"/>
  <c r="J227" i="1"/>
  <c r="L227" i="1"/>
  <c r="K227" i="1"/>
  <c r="J219" i="1"/>
  <c r="L219" i="1"/>
  <c r="K219" i="1"/>
  <c r="J211" i="1"/>
  <c r="L211" i="1"/>
  <c r="K211" i="1"/>
  <c r="J203" i="1"/>
  <c r="L203" i="1"/>
  <c r="K203" i="1"/>
  <c r="J195" i="1"/>
  <c r="L195" i="1"/>
  <c r="K195" i="1"/>
  <c r="L187" i="1"/>
  <c r="K187" i="1"/>
  <c r="J179" i="1"/>
  <c r="L179" i="1"/>
  <c r="K179" i="1"/>
  <c r="J171" i="1"/>
  <c r="L171" i="1"/>
  <c r="K171" i="1"/>
  <c r="L163" i="1"/>
  <c r="K163" i="1"/>
  <c r="J155" i="1"/>
  <c r="L155" i="1"/>
  <c r="K155" i="1"/>
  <c r="J147" i="1"/>
  <c r="L147" i="1"/>
  <c r="K147" i="1"/>
  <c r="J139" i="1"/>
  <c r="L139" i="1"/>
  <c r="K139" i="1"/>
  <c r="J131" i="1"/>
  <c r="L131" i="1"/>
  <c r="K131" i="1"/>
  <c r="J123" i="1"/>
  <c r="L123" i="1"/>
  <c r="K123" i="1"/>
  <c r="L115" i="1"/>
  <c r="K115" i="1"/>
  <c r="E9166" i="1"/>
  <c r="J8390" i="1"/>
  <c r="K9695" i="1"/>
  <c r="K6931" i="1"/>
  <c r="K4779" i="1"/>
  <c r="K3755" i="1"/>
  <c r="J3091" i="1"/>
  <c r="L3091" i="1"/>
  <c r="K3091" i="1"/>
  <c r="J92" i="1"/>
  <c r="L92" i="1"/>
  <c r="K92" i="1"/>
  <c r="J76" i="1"/>
  <c r="L76" i="1"/>
  <c r="K76" i="1"/>
  <c r="J60" i="1"/>
  <c r="L60" i="1"/>
  <c r="K60" i="1"/>
  <c r="J44" i="1"/>
  <c r="L44" i="1"/>
  <c r="K44" i="1"/>
  <c r="J28" i="1"/>
  <c r="L28" i="1"/>
  <c r="K28" i="1"/>
  <c r="J12" i="1"/>
  <c r="L12" i="1"/>
  <c r="K12" i="1"/>
  <c r="J105" i="1"/>
  <c r="L105" i="1"/>
  <c r="K105" i="1"/>
  <c r="J290" i="1"/>
  <c r="L290" i="1"/>
  <c r="K290" i="1"/>
  <c r="J274" i="1"/>
  <c r="L274" i="1"/>
  <c r="K274" i="1"/>
  <c r="J258" i="1"/>
  <c r="L258" i="1"/>
  <c r="K258" i="1"/>
  <c r="J242" i="1"/>
  <c r="L242" i="1"/>
  <c r="K242" i="1"/>
  <c r="J226" i="1"/>
  <c r="L226" i="1"/>
  <c r="K226" i="1"/>
  <c r="J210" i="1"/>
  <c r="L210" i="1"/>
  <c r="K210" i="1"/>
  <c r="J194" i="1"/>
  <c r="L194" i="1"/>
  <c r="K194" i="1"/>
  <c r="J178" i="1"/>
  <c r="L178" i="1"/>
  <c r="K178" i="1"/>
  <c r="J162" i="1"/>
  <c r="L162" i="1"/>
  <c r="K162" i="1"/>
  <c r="J146" i="1"/>
  <c r="L146" i="1"/>
  <c r="K146" i="1"/>
  <c r="J130" i="1"/>
  <c r="L130" i="1"/>
  <c r="K130" i="1"/>
  <c r="J114" i="1"/>
  <c r="L114" i="1"/>
  <c r="K114" i="1"/>
  <c r="J99" i="1"/>
  <c r="L99" i="1"/>
  <c r="K99" i="1"/>
  <c r="J91" i="1"/>
  <c r="L91" i="1"/>
  <c r="K91" i="1"/>
  <c r="J83" i="1"/>
  <c r="L83" i="1"/>
  <c r="K83" i="1"/>
  <c r="J75" i="1"/>
  <c r="L75" i="1"/>
  <c r="K75" i="1"/>
  <c r="J67" i="1"/>
  <c r="L67" i="1"/>
  <c r="K67" i="1"/>
  <c r="J59" i="1"/>
  <c r="L59" i="1"/>
  <c r="K59" i="1"/>
  <c r="J51" i="1"/>
  <c r="L51" i="1"/>
  <c r="K51" i="1"/>
  <c r="J43" i="1"/>
  <c r="L43" i="1"/>
  <c r="K43" i="1"/>
  <c r="J35" i="1"/>
  <c r="L35" i="1"/>
  <c r="K35" i="1"/>
  <c r="J27" i="1"/>
  <c r="L27" i="1"/>
  <c r="K27" i="1"/>
  <c r="J19" i="1"/>
  <c r="L19" i="1"/>
  <c r="K19" i="1"/>
  <c r="J11" i="1"/>
  <c r="L11" i="1"/>
  <c r="K11" i="1"/>
  <c r="J104" i="1"/>
  <c r="L104" i="1"/>
  <c r="K104" i="1"/>
  <c r="J297" i="1"/>
  <c r="L297" i="1"/>
  <c r="K297" i="1"/>
  <c r="J289" i="1"/>
  <c r="L289" i="1"/>
  <c r="K289" i="1"/>
  <c r="J281" i="1"/>
  <c r="L281" i="1"/>
  <c r="K281" i="1"/>
  <c r="J273" i="1"/>
  <c r="L273" i="1"/>
  <c r="K273" i="1"/>
  <c r="J265" i="1"/>
  <c r="L265" i="1"/>
  <c r="K265" i="1"/>
  <c r="J257" i="1"/>
  <c r="L257" i="1"/>
  <c r="K257" i="1"/>
  <c r="J249" i="1"/>
  <c r="L249" i="1"/>
  <c r="K249" i="1"/>
  <c r="J241" i="1"/>
  <c r="L241" i="1"/>
  <c r="K241" i="1"/>
  <c r="J233" i="1"/>
  <c r="L233" i="1"/>
  <c r="K233" i="1"/>
  <c r="J225" i="1"/>
  <c r="L225" i="1"/>
  <c r="K225" i="1"/>
  <c r="J217" i="1"/>
  <c r="L217" i="1"/>
  <c r="K217" i="1"/>
  <c r="J209" i="1"/>
  <c r="L209" i="1"/>
  <c r="K209" i="1"/>
  <c r="J201" i="1"/>
  <c r="L201" i="1"/>
  <c r="K201" i="1"/>
  <c r="J193" i="1"/>
  <c r="L193" i="1"/>
  <c r="K193" i="1"/>
  <c r="J185" i="1"/>
  <c r="L185" i="1"/>
  <c r="K185" i="1"/>
  <c r="J177" i="1"/>
  <c r="L177" i="1"/>
  <c r="K177" i="1"/>
  <c r="J169" i="1"/>
  <c r="L169" i="1"/>
  <c r="K169" i="1"/>
  <c r="J161" i="1"/>
  <c r="L161" i="1"/>
  <c r="K161" i="1"/>
  <c r="J153" i="1"/>
  <c r="L153" i="1"/>
  <c r="K153" i="1"/>
  <c r="J145" i="1"/>
  <c r="L145" i="1"/>
  <c r="K145" i="1"/>
  <c r="J137" i="1"/>
  <c r="L137" i="1"/>
  <c r="K137" i="1"/>
  <c r="J129" i="1"/>
  <c r="L129" i="1"/>
  <c r="K129" i="1"/>
  <c r="J121" i="1"/>
  <c r="L121" i="1"/>
  <c r="K121" i="1"/>
  <c r="J113" i="1"/>
  <c r="L113" i="1"/>
  <c r="K113" i="1"/>
  <c r="E8702" i="1"/>
  <c r="J8294" i="1"/>
  <c r="K8687" i="1"/>
  <c r="K8431" i="1"/>
  <c r="K8367" i="1"/>
  <c r="K8303" i="1"/>
  <c r="K3395" i="1"/>
  <c r="J70" i="1"/>
  <c r="L70" i="1"/>
  <c r="K70" i="1"/>
  <c r="J276" i="1"/>
  <c r="L276" i="1"/>
  <c r="K276" i="1"/>
  <c r="J236" i="1"/>
  <c r="L236" i="1"/>
  <c r="K236" i="1"/>
  <c r="J196" i="1"/>
  <c r="L196" i="1"/>
  <c r="K196" i="1"/>
  <c r="J164" i="1"/>
  <c r="L164" i="1"/>
  <c r="K164" i="1"/>
  <c r="J132" i="1"/>
  <c r="L132" i="1"/>
  <c r="K132" i="1"/>
  <c r="L9979" i="1"/>
  <c r="K9979" i="1"/>
  <c r="L9939" i="1"/>
  <c r="K9939" i="1"/>
  <c r="L9907" i="1"/>
  <c r="K9907" i="1"/>
  <c r="J9859" i="1"/>
  <c r="L9859" i="1"/>
  <c r="K9859" i="1"/>
  <c r="J9819" i="1"/>
  <c r="L9819" i="1"/>
  <c r="K9819" i="1"/>
  <c r="J9779" i="1"/>
  <c r="L9779" i="1"/>
  <c r="K9779" i="1"/>
  <c r="J9739" i="1"/>
  <c r="L9739" i="1"/>
  <c r="K9739" i="1"/>
  <c r="L9715" i="1"/>
  <c r="K9715" i="1"/>
  <c r="L9675" i="1"/>
  <c r="K9675" i="1"/>
  <c r="L9643" i="1"/>
  <c r="K9643" i="1"/>
  <c r="J9611" i="1"/>
  <c r="L9611" i="1"/>
  <c r="K9611" i="1"/>
  <c r="J9579" i="1"/>
  <c r="L9579" i="1"/>
  <c r="K9579" i="1"/>
  <c r="J9539" i="1"/>
  <c r="L9539" i="1"/>
  <c r="K9539" i="1"/>
  <c r="L9507" i="1"/>
  <c r="K9507" i="1"/>
  <c r="J9475" i="1"/>
  <c r="L9475" i="1"/>
  <c r="K9475" i="1"/>
  <c r="J9443" i="1"/>
  <c r="L9443" i="1"/>
  <c r="K9443" i="1"/>
  <c r="J9411" i="1"/>
  <c r="L9411" i="1"/>
  <c r="K9411" i="1"/>
  <c r="L9379" i="1"/>
  <c r="K9379" i="1"/>
  <c r="J9347" i="1"/>
  <c r="L9347" i="1"/>
  <c r="K9347" i="1"/>
  <c r="L9307" i="1"/>
  <c r="K9307" i="1"/>
  <c r="L9275" i="1"/>
  <c r="K9275" i="1"/>
  <c r="L9243" i="1"/>
  <c r="K9243" i="1"/>
  <c r="L9211" i="1"/>
  <c r="K9211" i="1"/>
  <c r="L9179" i="1"/>
  <c r="K9179" i="1"/>
  <c r="L9147" i="1"/>
  <c r="K9147" i="1"/>
  <c r="L9123" i="1"/>
  <c r="K9123" i="1"/>
  <c r="J9091" i="1"/>
  <c r="L9091" i="1"/>
  <c r="K9091" i="1"/>
  <c r="L9059" i="1"/>
  <c r="K9059" i="1"/>
  <c r="J9027" i="1"/>
  <c r="L9027" i="1"/>
  <c r="K9027" i="1"/>
  <c r="L8995" i="1"/>
  <c r="K8995" i="1"/>
  <c r="J8963" i="1"/>
  <c r="L8963" i="1"/>
  <c r="K8963" i="1"/>
  <c r="L8931" i="1"/>
  <c r="K8931" i="1"/>
  <c r="J8899" i="1"/>
  <c r="L8899" i="1"/>
  <c r="K8899" i="1"/>
  <c r="L8867" i="1"/>
  <c r="K8867" i="1"/>
  <c r="J8835" i="1"/>
  <c r="L8835" i="1"/>
  <c r="K8835" i="1"/>
  <c r="L8803" i="1"/>
  <c r="K8803" i="1"/>
  <c r="J8771" i="1"/>
  <c r="L8771" i="1"/>
  <c r="K8771" i="1"/>
  <c r="L8739" i="1"/>
  <c r="K8739" i="1"/>
  <c r="J8707" i="1"/>
  <c r="L8707" i="1"/>
  <c r="K8707" i="1"/>
  <c r="L8675" i="1"/>
  <c r="K8675" i="1"/>
  <c r="J8643" i="1"/>
  <c r="L8643" i="1"/>
  <c r="K8643" i="1"/>
  <c r="L8611" i="1"/>
  <c r="K8611" i="1"/>
  <c r="L8571" i="1"/>
  <c r="K8571" i="1"/>
  <c r="L8539" i="1"/>
  <c r="K8539" i="1"/>
  <c r="L8507" i="1"/>
  <c r="K8507" i="1"/>
  <c r="L8475" i="1"/>
  <c r="K8475" i="1"/>
  <c r="L8443" i="1"/>
  <c r="K8443" i="1"/>
  <c r="L8411" i="1"/>
  <c r="K8411" i="1"/>
  <c r="L8379" i="1"/>
  <c r="K8379" i="1"/>
  <c r="L8347" i="1"/>
  <c r="K8347" i="1"/>
  <c r="L8315" i="1"/>
  <c r="K8315" i="1"/>
  <c r="L8283" i="1"/>
  <c r="K8283" i="1"/>
  <c r="L8251" i="1"/>
  <c r="K8251" i="1"/>
  <c r="L8219" i="1"/>
  <c r="K8219" i="1"/>
  <c r="L8187" i="1"/>
  <c r="K8187" i="1"/>
  <c r="L8155" i="1"/>
  <c r="K8155" i="1"/>
  <c r="L8123" i="1"/>
  <c r="K8123" i="1"/>
  <c r="L8091" i="1"/>
  <c r="K8091" i="1"/>
  <c r="L8059" i="1"/>
  <c r="K8059" i="1"/>
  <c r="L8027" i="1"/>
  <c r="K8027" i="1"/>
  <c r="L7995" i="1"/>
  <c r="K7995" i="1"/>
  <c r="L7963" i="1"/>
  <c r="K7963" i="1"/>
  <c r="L7931" i="1"/>
  <c r="K7931" i="1"/>
  <c r="L7899" i="1"/>
  <c r="K7899" i="1"/>
  <c r="L7867" i="1"/>
  <c r="K7867" i="1"/>
  <c r="J7835" i="1"/>
  <c r="K7835" i="1"/>
  <c r="L7835" i="1"/>
  <c r="J7803" i="1"/>
  <c r="L7803" i="1"/>
  <c r="K7803" i="1"/>
  <c r="J7771" i="1"/>
  <c r="L7771" i="1"/>
  <c r="K7771" i="1"/>
  <c r="J7739" i="1"/>
  <c r="L7739" i="1"/>
  <c r="K7739" i="1"/>
  <c r="J7707" i="1"/>
  <c r="K7707" i="1"/>
  <c r="L7707" i="1"/>
  <c r="J7675" i="1"/>
  <c r="L7675" i="1"/>
  <c r="K7675" i="1"/>
  <c r="J7643" i="1"/>
  <c r="L7643" i="1"/>
  <c r="K7643" i="1"/>
  <c r="J7611" i="1"/>
  <c r="L7611" i="1"/>
  <c r="K7611" i="1"/>
  <c r="J7579" i="1"/>
  <c r="K7579" i="1"/>
  <c r="L7579" i="1"/>
  <c r="J7547" i="1"/>
  <c r="L7547" i="1"/>
  <c r="K7547" i="1"/>
  <c r="J7515" i="1"/>
  <c r="L7515" i="1"/>
  <c r="K7515" i="1"/>
  <c r="J7483" i="1"/>
  <c r="L7483" i="1"/>
  <c r="K7483" i="1"/>
  <c r="J7451" i="1"/>
  <c r="L7451" i="1"/>
  <c r="K7451" i="1"/>
  <c r="J7419" i="1"/>
  <c r="L7419" i="1"/>
  <c r="K7419" i="1"/>
  <c r="J7387" i="1"/>
  <c r="L7387" i="1"/>
  <c r="K7387" i="1"/>
  <c r="J7355" i="1"/>
  <c r="L7355" i="1"/>
  <c r="K7355" i="1"/>
  <c r="J7315" i="1"/>
  <c r="L7315" i="1"/>
  <c r="K7315" i="1"/>
  <c r="J7291" i="1"/>
  <c r="L7291" i="1"/>
  <c r="J7259" i="1"/>
  <c r="L7259" i="1"/>
  <c r="K7259" i="1"/>
  <c r="J7235" i="1"/>
  <c r="L7235" i="1"/>
  <c r="K7235" i="1"/>
  <c r="J7211" i="1"/>
  <c r="L7211" i="1"/>
  <c r="J7195" i="1"/>
  <c r="L7195" i="1"/>
  <c r="K7195" i="1"/>
  <c r="J7171" i="1"/>
  <c r="L7171" i="1"/>
  <c r="K7171" i="1"/>
  <c r="J7147" i="1"/>
  <c r="L7147" i="1"/>
  <c r="K7147" i="1"/>
  <c r="J7123" i="1"/>
  <c r="L7123" i="1"/>
  <c r="K7123" i="1"/>
  <c r="J7099" i="1"/>
  <c r="L7099" i="1"/>
  <c r="K7099" i="1"/>
  <c r="J7083" i="1"/>
  <c r="L7083" i="1"/>
  <c r="K7083" i="1"/>
  <c r="J7059" i="1"/>
  <c r="L7059" i="1"/>
  <c r="J7035" i="1"/>
  <c r="L7035" i="1"/>
  <c r="K7035" i="1"/>
  <c r="J7011" i="1"/>
  <c r="L7011" i="1"/>
  <c r="K7011" i="1"/>
  <c r="J6995" i="1"/>
  <c r="L6995" i="1"/>
  <c r="K6995" i="1"/>
  <c r="J6971" i="1"/>
  <c r="L6971" i="1"/>
  <c r="K6971" i="1"/>
  <c r="J6939" i="1"/>
  <c r="L6939" i="1"/>
  <c r="K6939" i="1"/>
  <c r="J6907" i="1"/>
  <c r="L6907" i="1"/>
  <c r="K6907" i="1"/>
  <c r="J6875" i="1"/>
  <c r="L6875" i="1"/>
  <c r="K6875" i="1"/>
  <c r="J6843" i="1"/>
  <c r="L6843" i="1"/>
  <c r="K6843" i="1"/>
  <c r="J6811" i="1"/>
  <c r="L6811" i="1"/>
  <c r="K6811" i="1"/>
  <c r="J6779" i="1"/>
  <c r="L6779" i="1"/>
  <c r="K6779" i="1"/>
  <c r="J6747" i="1"/>
  <c r="L6747" i="1"/>
  <c r="K6747" i="1"/>
  <c r="J6715" i="1"/>
  <c r="L6715" i="1"/>
  <c r="K6715" i="1"/>
  <c r="J6683" i="1"/>
  <c r="L6683" i="1"/>
  <c r="K6683" i="1"/>
  <c r="J6651" i="1"/>
  <c r="L6651" i="1"/>
  <c r="K6651" i="1"/>
  <c r="J6619" i="1"/>
  <c r="L6619" i="1"/>
  <c r="K6619" i="1"/>
  <c r="J6587" i="1"/>
  <c r="L6587" i="1"/>
  <c r="K6587" i="1"/>
  <c r="J6563" i="1"/>
  <c r="L6563" i="1"/>
  <c r="K6563" i="1"/>
  <c r="J6531" i="1"/>
  <c r="L6531" i="1"/>
  <c r="K6531" i="1"/>
  <c r="J6499" i="1"/>
  <c r="L6499" i="1"/>
  <c r="K6499" i="1"/>
  <c r="J6467" i="1"/>
  <c r="L6467" i="1"/>
  <c r="J6435" i="1"/>
  <c r="L6435" i="1"/>
  <c r="K6435" i="1"/>
  <c r="J6403" i="1"/>
  <c r="L6403" i="1"/>
  <c r="K6403" i="1"/>
  <c r="J6371" i="1"/>
  <c r="L6371" i="1"/>
  <c r="K6371" i="1"/>
  <c r="J6339" i="1"/>
  <c r="L6339" i="1"/>
  <c r="K6339" i="1"/>
  <c r="J6307" i="1"/>
  <c r="L6307" i="1"/>
  <c r="K6307" i="1"/>
  <c r="J6275" i="1"/>
  <c r="L6275" i="1"/>
  <c r="K6275" i="1"/>
  <c r="J6235" i="1"/>
  <c r="L6235" i="1"/>
  <c r="K6235" i="1"/>
  <c r="J6203" i="1"/>
  <c r="L6203" i="1"/>
  <c r="K6203" i="1"/>
  <c r="J6171" i="1"/>
  <c r="L6171" i="1"/>
  <c r="K6171" i="1"/>
  <c r="J6139" i="1"/>
  <c r="L6139" i="1"/>
  <c r="K6139" i="1"/>
  <c r="J6099" i="1"/>
  <c r="L6099" i="1"/>
  <c r="K6099" i="1"/>
  <c r="J6067" i="1"/>
  <c r="L6067" i="1"/>
  <c r="K6067" i="1"/>
  <c r="J6035" i="1"/>
  <c r="L6035" i="1"/>
  <c r="J6003" i="1"/>
  <c r="L6003" i="1"/>
  <c r="K6003" i="1"/>
  <c r="J5971" i="1"/>
  <c r="L5971" i="1"/>
  <c r="K5971" i="1"/>
  <c r="J5939" i="1"/>
  <c r="L5939" i="1"/>
  <c r="K5939" i="1"/>
  <c r="J5915" i="1"/>
  <c r="L5915" i="1"/>
  <c r="K5915" i="1"/>
  <c r="J5883" i="1"/>
  <c r="L5883" i="1"/>
  <c r="K5883" i="1"/>
  <c r="J5851" i="1"/>
  <c r="L5851" i="1"/>
  <c r="K5851" i="1"/>
  <c r="J5819" i="1"/>
  <c r="L5819" i="1"/>
  <c r="K5819" i="1"/>
  <c r="J5787" i="1"/>
  <c r="L5787" i="1"/>
  <c r="K5787" i="1"/>
  <c r="J5755" i="1"/>
  <c r="L5755" i="1"/>
  <c r="K5755" i="1"/>
  <c r="J5723" i="1"/>
  <c r="L5723" i="1"/>
  <c r="K5723" i="1"/>
  <c r="J5691" i="1"/>
  <c r="L5691" i="1"/>
  <c r="K5691" i="1"/>
  <c r="J5659" i="1"/>
  <c r="L5659" i="1"/>
  <c r="K5659" i="1"/>
  <c r="J5627" i="1"/>
  <c r="L5627" i="1"/>
  <c r="K5627" i="1"/>
  <c r="J5595" i="1"/>
  <c r="L5595" i="1"/>
  <c r="K5595" i="1"/>
  <c r="J5563" i="1"/>
  <c r="L5563" i="1"/>
  <c r="K5563" i="1"/>
  <c r="J5531" i="1"/>
  <c r="L5531" i="1"/>
  <c r="K5531" i="1"/>
  <c r="J5499" i="1"/>
  <c r="L5499" i="1"/>
  <c r="K5499" i="1"/>
  <c r="J5467" i="1"/>
  <c r="L5467" i="1"/>
  <c r="K5467" i="1"/>
  <c r="J5435" i="1"/>
  <c r="L5435" i="1"/>
  <c r="K5435" i="1"/>
  <c r="J5403" i="1"/>
  <c r="L5403" i="1"/>
  <c r="K5403" i="1"/>
  <c r="J5371" i="1"/>
  <c r="L5371" i="1"/>
  <c r="K5371" i="1"/>
  <c r="J5339" i="1"/>
  <c r="L5339" i="1"/>
  <c r="K5339" i="1"/>
  <c r="J5307" i="1"/>
  <c r="L5307" i="1"/>
  <c r="K5307" i="1"/>
  <c r="J5275" i="1"/>
  <c r="L5275" i="1"/>
  <c r="K5275" i="1"/>
  <c r="J5243" i="1"/>
  <c r="L5243" i="1"/>
  <c r="K5243" i="1"/>
  <c r="J5211" i="1"/>
  <c r="L5211" i="1"/>
  <c r="K5211" i="1"/>
  <c r="J5179" i="1"/>
  <c r="L5179" i="1"/>
  <c r="K5179" i="1"/>
  <c r="J5147" i="1"/>
  <c r="L5147" i="1"/>
  <c r="K5147" i="1"/>
  <c r="J5115" i="1"/>
  <c r="L5115" i="1"/>
  <c r="K5115" i="1"/>
  <c r="J5083" i="1"/>
  <c r="L5083" i="1"/>
  <c r="K5083" i="1"/>
  <c r="J5043" i="1"/>
  <c r="L5043" i="1"/>
  <c r="K5043" i="1"/>
  <c r="J5011" i="1"/>
  <c r="L5011" i="1"/>
  <c r="J4979" i="1"/>
  <c r="L4979" i="1"/>
  <c r="K4979" i="1"/>
  <c r="J4947" i="1"/>
  <c r="L4947" i="1"/>
  <c r="K4947" i="1"/>
  <c r="J4915" i="1"/>
  <c r="L4915" i="1"/>
  <c r="K4915" i="1"/>
  <c r="J4883" i="1"/>
  <c r="L4883" i="1"/>
  <c r="J4851" i="1"/>
  <c r="L4851" i="1"/>
  <c r="K4851" i="1"/>
  <c r="J4819" i="1"/>
  <c r="L4819" i="1"/>
  <c r="K4819" i="1"/>
  <c r="J4787" i="1"/>
  <c r="L4787" i="1"/>
  <c r="K4787" i="1"/>
  <c r="J4755" i="1"/>
  <c r="L4755" i="1"/>
  <c r="K4755" i="1"/>
  <c r="J4723" i="1"/>
  <c r="L4723" i="1"/>
  <c r="K4723" i="1"/>
  <c r="J4699" i="1"/>
  <c r="L4699" i="1"/>
  <c r="K4699" i="1"/>
  <c r="J4675" i="1"/>
  <c r="L4675" i="1"/>
  <c r="K4675" i="1"/>
  <c r="J4643" i="1"/>
  <c r="L4643" i="1"/>
  <c r="K4643" i="1"/>
  <c r="J4627" i="1"/>
  <c r="L4627" i="1"/>
  <c r="K4627" i="1"/>
  <c r="J4611" i="1"/>
  <c r="L4611" i="1"/>
  <c r="K4611" i="1"/>
  <c r="J4595" i="1"/>
  <c r="L4595" i="1"/>
  <c r="K4595" i="1"/>
  <c r="J4579" i="1"/>
  <c r="L4579" i="1"/>
  <c r="K4579" i="1"/>
  <c r="J4555" i="1"/>
  <c r="L4555" i="1"/>
  <c r="K4555" i="1"/>
  <c r="J4531" i="1"/>
  <c r="L4531" i="1"/>
  <c r="K4531" i="1"/>
  <c r="J4515" i="1"/>
  <c r="L4515" i="1"/>
  <c r="K4515" i="1"/>
  <c r="J4499" i="1"/>
  <c r="L4499" i="1"/>
  <c r="J4483" i="1"/>
  <c r="L4483" i="1"/>
  <c r="K4483" i="1"/>
  <c r="J4467" i="1"/>
  <c r="L4467" i="1"/>
  <c r="K4467" i="1"/>
  <c r="J4451" i="1"/>
  <c r="L4451" i="1"/>
  <c r="K4451" i="1"/>
  <c r="J4435" i="1"/>
  <c r="L4435" i="1"/>
  <c r="K4435" i="1"/>
  <c r="J4419" i="1"/>
  <c r="L4419" i="1"/>
  <c r="J4403" i="1"/>
  <c r="L4403" i="1"/>
  <c r="K4403" i="1"/>
  <c r="J4387" i="1"/>
  <c r="L4387" i="1"/>
  <c r="K4387" i="1"/>
  <c r="J4371" i="1"/>
  <c r="L4371" i="1"/>
  <c r="J4363" i="1"/>
  <c r="L4363" i="1"/>
  <c r="K4363" i="1"/>
  <c r="J4347" i="1"/>
  <c r="L4347" i="1"/>
  <c r="K4347" i="1"/>
  <c r="J4339" i="1"/>
  <c r="L4339" i="1"/>
  <c r="K4339" i="1"/>
  <c r="J4331" i="1"/>
  <c r="L4331" i="1"/>
  <c r="K4331" i="1"/>
  <c r="J4323" i="1"/>
  <c r="L4323" i="1"/>
  <c r="K4323" i="1"/>
  <c r="J4315" i="1"/>
  <c r="L4315" i="1"/>
  <c r="K4315" i="1"/>
  <c r="J4307" i="1"/>
  <c r="L4307" i="1"/>
  <c r="K4307" i="1"/>
  <c r="J4299" i="1"/>
  <c r="L4299" i="1"/>
  <c r="K4299" i="1"/>
  <c r="J4291" i="1"/>
  <c r="L4291" i="1"/>
  <c r="K4291" i="1"/>
  <c r="J4283" i="1"/>
  <c r="L4283" i="1"/>
  <c r="K4283" i="1"/>
  <c r="J4275" i="1"/>
  <c r="L4275" i="1"/>
  <c r="K4275" i="1"/>
  <c r="J4267" i="1"/>
  <c r="L4267" i="1"/>
  <c r="J4259" i="1"/>
  <c r="L4259" i="1"/>
  <c r="K4259" i="1"/>
  <c r="J4251" i="1"/>
  <c r="L4251" i="1"/>
  <c r="K4251" i="1"/>
  <c r="J4243" i="1"/>
  <c r="L4243" i="1"/>
  <c r="K4243" i="1"/>
  <c r="J4235" i="1"/>
  <c r="L4235" i="1"/>
  <c r="K4235" i="1"/>
  <c r="J4227" i="1"/>
  <c r="L4227" i="1"/>
  <c r="K4227" i="1"/>
  <c r="J4211" i="1"/>
  <c r="L4211" i="1"/>
  <c r="K4211" i="1"/>
  <c r="J4195" i="1"/>
  <c r="L4195" i="1"/>
  <c r="K4195" i="1"/>
  <c r="J4179" i="1"/>
  <c r="L4179" i="1"/>
  <c r="K4179" i="1"/>
  <c r="J4163" i="1"/>
  <c r="L4163" i="1"/>
  <c r="K4163" i="1"/>
  <c r="J4147" i="1"/>
  <c r="L4147" i="1"/>
  <c r="K4147" i="1"/>
  <c r="J4131" i="1"/>
  <c r="L4131" i="1"/>
  <c r="K4131" i="1"/>
  <c r="J4115" i="1"/>
  <c r="L4115" i="1"/>
  <c r="K4115" i="1"/>
  <c r="J4099" i="1"/>
  <c r="L4099" i="1"/>
  <c r="K4099" i="1"/>
  <c r="J4083" i="1"/>
  <c r="L4083" i="1"/>
  <c r="K4083" i="1"/>
  <c r="J4067" i="1"/>
  <c r="L4067" i="1"/>
  <c r="K4067" i="1"/>
  <c r="J4051" i="1"/>
  <c r="L4051" i="1"/>
  <c r="K4051" i="1"/>
  <c r="J4035" i="1"/>
  <c r="L4035" i="1"/>
  <c r="J4019" i="1"/>
  <c r="L4019" i="1"/>
  <c r="K4019" i="1"/>
  <c r="J4003" i="1"/>
  <c r="L4003" i="1"/>
  <c r="K4003" i="1"/>
  <c r="J3987" i="1"/>
  <c r="L3987" i="1"/>
  <c r="J3971" i="1"/>
  <c r="L3971" i="1"/>
  <c r="K3971" i="1"/>
  <c r="J3955" i="1"/>
  <c r="L3955" i="1"/>
  <c r="K3955" i="1"/>
  <c r="J3939" i="1"/>
  <c r="L3939" i="1"/>
  <c r="K3939" i="1"/>
  <c r="J3923" i="1"/>
  <c r="L3923" i="1"/>
  <c r="K3923" i="1"/>
  <c r="J3907" i="1"/>
  <c r="L3907" i="1"/>
  <c r="J3891" i="1"/>
  <c r="L3891" i="1"/>
  <c r="K3891" i="1"/>
  <c r="J3875" i="1"/>
  <c r="L3875" i="1"/>
  <c r="K3875" i="1"/>
  <c r="J3835" i="1"/>
  <c r="L3835" i="1"/>
  <c r="K3835" i="1"/>
  <c r="J3107" i="1"/>
  <c r="L3107" i="1"/>
  <c r="K3107" i="1"/>
  <c r="J100" i="1"/>
  <c r="L100" i="1"/>
  <c r="K100" i="1"/>
  <c r="J84" i="1"/>
  <c r="L84" i="1"/>
  <c r="K84" i="1"/>
  <c r="J68" i="1"/>
  <c r="L68" i="1"/>
  <c r="K68" i="1"/>
  <c r="J52" i="1"/>
  <c r="L52" i="1"/>
  <c r="K52" i="1"/>
  <c r="J36" i="1"/>
  <c r="L36" i="1"/>
  <c r="K36" i="1"/>
  <c r="J20" i="1"/>
  <c r="L20" i="1"/>
  <c r="K20" i="1"/>
  <c r="J298" i="1"/>
  <c r="L298" i="1"/>
  <c r="K298" i="1"/>
  <c r="J282" i="1"/>
  <c r="L282" i="1"/>
  <c r="K282" i="1"/>
  <c r="J266" i="1"/>
  <c r="L266" i="1"/>
  <c r="K266" i="1"/>
  <c r="J250" i="1"/>
  <c r="L250" i="1"/>
  <c r="K250" i="1"/>
  <c r="J234" i="1"/>
  <c r="L234" i="1"/>
  <c r="K234" i="1"/>
  <c r="J218" i="1"/>
  <c r="L218" i="1"/>
  <c r="K218" i="1"/>
  <c r="J202" i="1"/>
  <c r="L202" i="1"/>
  <c r="K202" i="1"/>
  <c r="J186" i="1"/>
  <c r="L186" i="1"/>
  <c r="K186" i="1"/>
  <c r="J170" i="1"/>
  <c r="L170" i="1"/>
  <c r="K170" i="1"/>
  <c r="J154" i="1"/>
  <c r="L154" i="1"/>
  <c r="K154" i="1"/>
  <c r="J138" i="1"/>
  <c r="L138" i="1"/>
  <c r="K138" i="1"/>
  <c r="J122" i="1"/>
  <c r="L122" i="1"/>
  <c r="K122" i="1"/>
  <c r="J9854" i="1"/>
  <c r="J98" i="1"/>
  <c r="L98" i="1"/>
  <c r="K98" i="1"/>
  <c r="J90" i="1"/>
  <c r="L90" i="1"/>
  <c r="K90" i="1"/>
  <c r="J82" i="1"/>
  <c r="L82" i="1"/>
  <c r="K82" i="1"/>
  <c r="J74" i="1"/>
  <c r="L74" i="1"/>
  <c r="K74" i="1"/>
  <c r="J66" i="1"/>
  <c r="L66" i="1"/>
  <c r="K66" i="1"/>
  <c r="J58" i="1"/>
  <c r="L58" i="1"/>
  <c r="K58" i="1"/>
  <c r="J50" i="1"/>
  <c r="L50" i="1"/>
  <c r="K50" i="1"/>
  <c r="J42" i="1"/>
  <c r="L42" i="1"/>
  <c r="K42" i="1"/>
  <c r="J34" i="1"/>
  <c r="L34" i="1"/>
  <c r="K34" i="1"/>
  <c r="J26" i="1"/>
  <c r="L26" i="1"/>
  <c r="K26" i="1"/>
  <c r="J18" i="1"/>
  <c r="L18" i="1"/>
  <c r="K18" i="1"/>
  <c r="J10" i="1"/>
  <c r="L10" i="1"/>
  <c r="K10" i="1"/>
  <c r="J103" i="1"/>
  <c r="L103" i="1"/>
  <c r="K103" i="1"/>
  <c r="J296" i="1"/>
  <c r="L296" i="1"/>
  <c r="K296" i="1"/>
  <c r="J288" i="1"/>
  <c r="L288" i="1"/>
  <c r="J280" i="1"/>
  <c r="L280" i="1"/>
  <c r="K280" i="1"/>
  <c r="J272" i="1"/>
  <c r="L272" i="1"/>
  <c r="J264" i="1"/>
  <c r="L264" i="1"/>
  <c r="K264" i="1"/>
  <c r="J256" i="1"/>
  <c r="L256" i="1"/>
  <c r="K256" i="1"/>
  <c r="J248" i="1"/>
  <c r="L248" i="1"/>
  <c r="K248" i="1"/>
  <c r="J240" i="1"/>
  <c r="L240" i="1"/>
  <c r="K240" i="1"/>
  <c r="J232" i="1"/>
  <c r="L232" i="1"/>
  <c r="K232" i="1"/>
  <c r="J224" i="1"/>
  <c r="L224" i="1"/>
  <c r="K224" i="1"/>
  <c r="J216" i="1"/>
  <c r="L216" i="1"/>
  <c r="K216" i="1"/>
  <c r="J208" i="1"/>
  <c r="L208" i="1"/>
  <c r="K208" i="1"/>
  <c r="J200" i="1"/>
  <c r="L200" i="1"/>
  <c r="K200" i="1"/>
  <c r="J192" i="1"/>
  <c r="L192" i="1"/>
  <c r="K192" i="1"/>
  <c r="J184" i="1"/>
  <c r="L184" i="1"/>
  <c r="K184" i="1"/>
  <c r="J176" i="1"/>
  <c r="L176" i="1"/>
  <c r="K176" i="1"/>
  <c r="J168" i="1"/>
  <c r="L168" i="1"/>
  <c r="K168" i="1"/>
  <c r="J160" i="1"/>
  <c r="L160" i="1"/>
  <c r="K160" i="1"/>
  <c r="J152" i="1"/>
  <c r="L152" i="1"/>
  <c r="K152" i="1"/>
  <c r="J144" i="1"/>
  <c r="L144" i="1"/>
  <c r="K144" i="1"/>
  <c r="J136" i="1"/>
  <c r="L136" i="1"/>
  <c r="K136" i="1"/>
  <c r="J128" i="1"/>
  <c r="L128" i="1"/>
  <c r="K128" i="1"/>
  <c r="J120" i="1"/>
  <c r="L120" i="1"/>
  <c r="K120" i="1"/>
  <c r="J112" i="1"/>
  <c r="L112" i="1"/>
  <c r="K112" i="1"/>
  <c r="L9999" i="1"/>
  <c r="K9999" i="1"/>
  <c r="J9991" i="1"/>
  <c r="L9991" i="1"/>
  <c r="K9991" i="1"/>
  <c r="L9983" i="1"/>
  <c r="K9983" i="1"/>
  <c r="L9975" i="1"/>
  <c r="K9975" i="1"/>
  <c r="I9967" i="1"/>
  <c r="L9967" i="1"/>
  <c r="L9959" i="1"/>
  <c r="K9959" i="1"/>
  <c r="J9951" i="1"/>
  <c r="L9951" i="1"/>
  <c r="I9943" i="1"/>
  <c r="L9943" i="1"/>
  <c r="K9943" i="1"/>
  <c r="H9935" i="1"/>
  <c r="L9935" i="1"/>
  <c r="K9935" i="1"/>
  <c r="L9927" i="1"/>
  <c r="K9927" i="1"/>
  <c r="J9919" i="1"/>
  <c r="L9919" i="1"/>
  <c r="K9919" i="1"/>
  <c r="L9911" i="1"/>
  <c r="K9911" i="1"/>
  <c r="H9895" i="1"/>
  <c r="L9895" i="1"/>
  <c r="K9895" i="1"/>
  <c r="L9879" i="1"/>
  <c r="K9879" i="1"/>
  <c r="H9871" i="1"/>
  <c r="L9871" i="1"/>
  <c r="K9871" i="1"/>
  <c r="I9863" i="1"/>
  <c r="L9863" i="1"/>
  <c r="K9863" i="1"/>
  <c r="H9855" i="1"/>
  <c r="L9855" i="1"/>
  <c r="K9855" i="1"/>
  <c r="L9847" i="1"/>
  <c r="K9847" i="1"/>
  <c r="J9831" i="1"/>
  <c r="L9831" i="1"/>
  <c r="K9831" i="1"/>
  <c r="I9823" i="1"/>
  <c r="L9823" i="1"/>
  <c r="L9815" i="1"/>
  <c r="K9815" i="1"/>
  <c r="J9807" i="1"/>
  <c r="L9807" i="1"/>
  <c r="K9807" i="1"/>
  <c r="I9799" i="1"/>
  <c r="L9799" i="1"/>
  <c r="K9799" i="1"/>
  <c r="L9791" i="1"/>
  <c r="K9791" i="1"/>
  <c r="I9783" i="1"/>
  <c r="L9783" i="1"/>
  <c r="K9783" i="1"/>
  <c r="K9767" i="1"/>
  <c r="L9767" i="1"/>
  <c r="I9759" i="1"/>
  <c r="L9759" i="1"/>
  <c r="I9751" i="1"/>
  <c r="L9751" i="1"/>
  <c r="K9751" i="1"/>
  <c r="L9743" i="1"/>
  <c r="K9743" i="1"/>
  <c r="L9735" i="1"/>
  <c r="K9735" i="1"/>
  <c r="J9727" i="1"/>
  <c r="L9727" i="1"/>
  <c r="K9727" i="1"/>
  <c r="L9719" i="1"/>
  <c r="K9719" i="1"/>
  <c r="I9711" i="1"/>
  <c r="L9711" i="1"/>
  <c r="J9703" i="1"/>
  <c r="L9703" i="1"/>
  <c r="K9703" i="1"/>
  <c r="I9687" i="1"/>
  <c r="L9687" i="1"/>
  <c r="K9687" i="1"/>
  <c r="H9679" i="1"/>
  <c r="L9679" i="1"/>
  <c r="K9679" i="1"/>
  <c r="L9671" i="1"/>
  <c r="K9671" i="1"/>
  <c r="L9663" i="1"/>
  <c r="K9663" i="1"/>
  <c r="J9655" i="1"/>
  <c r="L9655" i="1"/>
  <c r="K9655" i="1"/>
  <c r="H9639" i="1"/>
  <c r="L9639" i="1"/>
  <c r="K9639" i="1"/>
  <c r="J9623" i="1"/>
  <c r="L9623" i="1"/>
  <c r="K9623" i="1"/>
  <c r="H9615" i="1"/>
  <c r="L9615" i="1"/>
  <c r="K9615" i="1"/>
  <c r="I9607" i="1"/>
  <c r="K9607" i="1"/>
  <c r="H9599" i="1"/>
  <c r="L9599" i="1"/>
  <c r="K9599" i="1"/>
  <c r="L9591" i="1"/>
  <c r="K9591" i="1"/>
  <c r="J9583" i="1"/>
  <c r="L9583" i="1"/>
  <c r="J9575" i="1"/>
  <c r="L9575" i="1"/>
  <c r="K9575" i="1"/>
  <c r="I9567" i="1"/>
  <c r="L9567" i="1"/>
  <c r="L9559" i="1"/>
  <c r="K9559" i="1"/>
  <c r="J9551" i="1"/>
  <c r="L9551" i="1"/>
  <c r="K9551" i="1"/>
  <c r="I9543" i="1"/>
  <c r="L9543" i="1"/>
  <c r="K9543" i="1"/>
  <c r="L9535" i="1"/>
  <c r="K9535" i="1"/>
  <c r="I9527" i="1"/>
  <c r="L9527" i="1"/>
  <c r="K9527" i="1"/>
  <c r="K9511" i="1"/>
  <c r="L9511" i="1"/>
  <c r="I9503" i="1"/>
  <c r="L9503" i="1"/>
  <c r="I9495" i="1"/>
  <c r="L9495" i="1"/>
  <c r="K9495" i="1"/>
  <c r="L9487" i="1"/>
  <c r="K9487" i="1"/>
  <c r="L9479" i="1"/>
  <c r="K9479" i="1"/>
  <c r="J9471" i="1"/>
  <c r="L9471" i="1"/>
  <c r="K9471" i="1"/>
  <c r="L9463" i="1"/>
  <c r="K9463" i="1"/>
  <c r="I9455" i="1"/>
  <c r="L9455" i="1"/>
  <c r="J9447" i="1"/>
  <c r="L9447" i="1"/>
  <c r="K9447" i="1"/>
  <c r="J9439" i="1"/>
  <c r="L9439" i="1"/>
  <c r="I9431" i="1"/>
  <c r="L9431" i="1"/>
  <c r="K9431" i="1"/>
  <c r="H9423" i="1"/>
  <c r="L9423" i="1"/>
  <c r="K9423" i="1"/>
  <c r="J9415" i="1"/>
  <c r="K9415" i="1"/>
  <c r="L9407" i="1"/>
  <c r="K9407" i="1"/>
  <c r="L9399" i="1"/>
  <c r="K9399" i="1"/>
  <c r="J9391" i="1"/>
  <c r="L9391" i="1"/>
  <c r="H9383" i="1"/>
  <c r="L9383" i="1"/>
  <c r="K9383" i="1"/>
  <c r="L9367" i="1"/>
  <c r="K9367" i="1"/>
  <c r="H9359" i="1"/>
  <c r="L9359" i="1"/>
  <c r="K9359" i="1"/>
  <c r="I9351" i="1"/>
  <c r="L9351" i="1"/>
  <c r="K9351" i="1"/>
  <c r="H9343" i="1"/>
  <c r="L9343" i="1"/>
  <c r="K9343" i="1"/>
  <c r="J9335" i="1"/>
  <c r="L9335" i="1"/>
  <c r="K9335" i="1"/>
  <c r="L9319" i="1"/>
  <c r="K9319" i="1"/>
  <c r="I9311" i="1"/>
  <c r="L9311" i="1"/>
  <c r="L9303" i="1"/>
  <c r="K9303" i="1"/>
  <c r="L9295" i="1"/>
  <c r="K9295" i="1"/>
  <c r="I9287" i="1"/>
  <c r="L9287" i="1"/>
  <c r="K9287" i="1"/>
  <c r="L9279" i="1"/>
  <c r="K9279" i="1"/>
  <c r="I9271" i="1"/>
  <c r="L9271" i="1"/>
  <c r="K9271" i="1"/>
  <c r="J9263" i="1"/>
  <c r="L9263" i="1"/>
  <c r="L9255" i="1"/>
  <c r="K9255" i="1"/>
  <c r="I9247" i="1"/>
  <c r="L9247" i="1"/>
  <c r="I9239" i="1"/>
  <c r="L9239" i="1"/>
  <c r="K9239" i="1"/>
  <c r="J9231" i="1"/>
  <c r="L9231" i="1"/>
  <c r="K9231" i="1"/>
  <c r="L9223" i="1"/>
  <c r="K9223" i="1"/>
  <c r="H9215" i="1"/>
  <c r="L9215" i="1"/>
  <c r="K9215" i="1"/>
  <c r="I9207" i="1"/>
  <c r="L9207" i="1"/>
  <c r="K9207" i="1"/>
  <c r="L9191" i="1"/>
  <c r="K9191" i="1"/>
  <c r="J9183" i="1"/>
  <c r="L9183" i="1"/>
  <c r="I9175" i="1"/>
  <c r="L9175" i="1"/>
  <c r="K9175" i="1"/>
  <c r="L9167" i="1"/>
  <c r="K9167" i="1"/>
  <c r="I9159" i="1"/>
  <c r="L9159" i="1"/>
  <c r="K9159" i="1"/>
  <c r="L9151" i="1"/>
  <c r="K9151" i="1"/>
  <c r="I9143" i="1"/>
  <c r="L9143" i="1"/>
  <c r="K9143" i="1"/>
  <c r="J9135" i="1"/>
  <c r="L9135" i="1"/>
  <c r="L9127" i="1"/>
  <c r="K9127" i="1"/>
  <c r="I9119" i="1"/>
  <c r="L9119" i="1"/>
  <c r="I9111" i="1"/>
  <c r="L9111" i="1"/>
  <c r="K9111" i="1"/>
  <c r="J9103" i="1"/>
  <c r="L9103" i="1"/>
  <c r="K9103" i="1"/>
  <c r="J9095" i="1"/>
  <c r="K9095" i="1"/>
  <c r="J9087" i="1"/>
  <c r="L9087" i="1"/>
  <c r="K9087" i="1"/>
  <c r="L9079" i="1"/>
  <c r="K9079" i="1"/>
  <c r="I9071" i="1"/>
  <c r="L9071" i="1"/>
  <c r="J9063" i="1"/>
  <c r="L9063" i="1"/>
  <c r="K9063" i="1"/>
  <c r="L9047" i="1"/>
  <c r="K9047" i="1"/>
  <c r="H9039" i="1"/>
  <c r="L9039" i="1"/>
  <c r="K9039" i="1"/>
  <c r="J9031" i="1"/>
  <c r="L9031" i="1"/>
  <c r="K9031" i="1"/>
  <c r="L9023" i="1"/>
  <c r="K9023" i="1"/>
  <c r="I9015" i="1"/>
  <c r="L9015" i="1"/>
  <c r="K9015" i="1"/>
  <c r="I9007" i="1"/>
  <c r="L9007" i="1"/>
  <c r="L8999" i="1"/>
  <c r="K8999" i="1"/>
  <c r="J8983" i="1"/>
  <c r="L8983" i="1"/>
  <c r="K8983" i="1"/>
  <c r="L8975" i="1"/>
  <c r="K8975" i="1"/>
  <c r="I8967" i="1"/>
  <c r="L8967" i="1"/>
  <c r="K8967" i="1"/>
  <c r="L8959" i="1"/>
  <c r="K8959" i="1"/>
  <c r="L8951" i="1"/>
  <c r="K8951" i="1"/>
  <c r="I8943" i="1"/>
  <c r="L8943" i="1"/>
  <c r="H8935" i="1"/>
  <c r="L8935" i="1"/>
  <c r="K8935" i="1"/>
  <c r="I8927" i="1"/>
  <c r="L8927" i="1"/>
  <c r="J8919" i="1"/>
  <c r="L8919" i="1"/>
  <c r="K8919" i="1"/>
  <c r="J8911" i="1"/>
  <c r="L8911" i="1"/>
  <c r="K8911" i="1"/>
  <c r="J8903" i="1"/>
  <c r="K8903" i="1"/>
  <c r="H8895" i="1"/>
  <c r="L8895" i="1"/>
  <c r="K8895" i="1"/>
  <c r="L8887" i="1"/>
  <c r="K8887" i="1"/>
  <c r="J8879" i="1"/>
  <c r="L8879" i="1"/>
  <c r="H8871" i="1"/>
  <c r="L8871" i="1"/>
  <c r="K8871" i="1"/>
  <c r="J8863" i="1"/>
  <c r="L8863" i="1"/>
  <c r="I8855" i="1"/>
  <c r="L8855" i="1"/>
  <c r="K8855" i="1"/>
  <c r="L8847" i="1"/>
  <c r="K8847" i="1"/>
  <c r="L8839" i="1"/>
  <c r="K8839" i="1"/>
  <c r="L8831" i="1"/>
  <c r="K8831" i="1"/>
  <c r="I8823" i="1"/>
  <c r="L8823" i="1"/>
  <c r="K8823" i="1"/>
  <c r="J8815" i="1"/>
  <c r="L8815" i="1"/>
  <c r="H8807" i="1"/>
  <c r="L8807" i="1"/>
  <c r="K8807" i="1"/>
  <c r="I8791" i="1"/>
  <c r="L8791" i="1"/>
  <c r="K8791" i="1"/>
  <c r="J8783" i="1"/>
  <c r="L8783" i="1"/>
  <c r="K8783" i="1"/>
  <c r="I8775" i="1"/>
  <c r="L8775" i="1"/>
  <c r="K8775" i="1"/>
  <c r="J8767" i="1"/>
  <c r="L8767" i="1"/>
  <c r="K8767" i="1"/>
  <c r="L8759" i="1"/>
  <c r="K8759" i="1"/>
  <c r="J8751" i="1"/>
  <c r="L8751" i="1"/>
  <c r="L8743" i="1"/>
  <c r="K8743" i="1"/>
  <c r="I8735" i="1"/>
  <c r="L8735" i="1"/>
  <c r="L8727" i="1"/>
  <c r="K8727" i="1"/>
  <c r="J8719" i="1"/>
  <c r="L8719" i="1"/>
  <c r="K8719" i="1"/>
  <c r="I8711" i="1"/>
  <c r="L8711" i="1"/>
  <c r="K8711" i="1"/>
  <c r="H8703" i="1"/>
  <c r="L8703" i="1"/>
  <c r="K8703" i="1"/>
  <c r="J8695" i="1"/>
  <c r="L8695" i="1"/>
  <c r="K8695" i="1"/>
  <c r="L8679" i="1"/>
  <c r="K8679" i="1"/>
  <c r="I8671" i="1"/>
  <c r="L8671" i="1"/>
  <c r="L8663" i="1"/>
  <c r="K8663" i="1"/>
  <c r="J8655" i="1"/>
  <c r="L8655" i="1"/>
  <c r="K8655" i="1"/>
  <c r="I8647" i="1"/>
  <c r="L8647" i="1"/>
  <c r="K8647" i="1"/>
  <c r="J8639" i="1"/>
  <c r="L8639" i="1"/>
  <c r="K8639" i="1"/>
  <c r="L8631" i="1"/>
  <c r="K8631" i="1"/>
  <c r="I8623" i="1"/>
  <c r="L8623" i="1"/>
  <c r="H8615" i="1"/>
  <c r="L8615" i="1"/>
  <c r="K8615" i="1"/>
  <c r="J8599" i="1"/>
  <c r="L8599" i="1"/>
  <c r="K8599" i="1"/>
  <c r="L8591" i="1"/>
  <c r="K8591" i="1"/>
  <c r="I8583" i="1"/>
  <c r="L8583" i="1"/>
  <c r="K8583" i="1"/>
  <c r="J8575" i="1"/>
  <c r="L8575" i="1"/>
  <c r="K8575" i="1"/>
  <c r="L8567" i="1"/>
  <c r="K8567" i="1"/>
  <c r="J8559" i="1"/>
  <c r="L8559" i="1"/>
  <c r="H8551" i="1"/>
  <c r="L8551" i="1"/>
  <c r="K8551" i="1"/>
  <c r="J8543" i="1"/>
  <c r="L8543" i="1"/>
  <c r="L8535" i="1"/>
  <c r="K8535" i="1"/>
  <c r="H8527" i="1"/>
  <c r="L8527" i="1"/>
  <c r="K8527" i="1"/>
  <c r="L8519" i="1"/>
  <c r="K8519" i="1"/>
  <c r="H8511" i="1"/>
  <c r="L8511" i="1"/>
  <c r="K8511" i="1"/>
  <c r="L8503" i="1"/>
  <c r="K8503" i="1"/>
  <c r="J8495" i="1"/>
  <c r="L8495" i="1"/>
  <c r="I8479" i="1"/>
  <c r="L8479" i="1"/>
  <c r="I8471" i="1"/>
  <c r="L8471" i="1"/>
  <c r="K8471" i="1"/>
  <c r="J8463" i="1"/>
  <c r="L8463" i="1"/>
  <c r="K8463" i="1"/>
  <c r="I8455" i="1"/>
  <c r="L8455" i="1"/>
  <c r="K8455" i="1"/>
  <c r="J8447" i="1"/>
  <c r="L8447" i="1"/>
  <c r="K8447" i="1"/>
  <c r="L8439" i="1"/>
  <c r="K8439" i="1"/>
  <c r="H8423" i="1"/>
  <c r="L8423" i="1"/>
  <c r="K8423" i="1"/>
  <c r="L8407" i="1"/>
  <c r="K8407" i="1"/>
  <c r="L8399" i="1"/>
  <c r="K8399" i="1"/>
  <c r="L8391" i="1"/>
  <c r="K8391" i="1"/>
  <c r="H8383" i="1"/>
  <c r="L8383" i="1"/>
  <c r="K8383" i="1"/>
  <c r="J8375" i="1"/>
  <c r="L8375" i="1"/>
  <c r="K8375" i="1"/>
  <c r="J8359" i="1"/>
  <c r="L8359" i="1"/>
  <c r="K8359" i="1"/>
  <c r="I8351" i="1"/>
  <c r="L8351" i="1"/>
  <c r="J8343" i="1"/>
  <c r="L8343" i="1"/>
  <c r="K8343" i="1"/>
  <c r="L8335" i="1"/>
  <c r="K8335" i="1"/>
  <c r="I8327" i="1"/>
  <c r="L8327" i="1"/>
  <c r="K8327" i="1"/>
  <c r="L8319" i="1"/>
  <c r="K8319" i="1"/>
  <c r="J8311" i="1"/>
  <c r="L8311" i="1"/>
  <c r="K8311" i="1"/>
  <c r="H8295" i="1"/>
  <c r="L8295" i="1"/>
  <c r="K8295" i="1"/>
  <c r="J8279" i="1"/>
  <c r="L8279" i="1"/>
  <c r="K8279" i="1"/>
  <c r="J8271" i="1"/>
  <c r="L8271" i="1"/>
  <c r="K8271" i="1"/>
  <c r="J8263" i="1"/>
  <c r="L8263" i="1"/>
  <c r="K8263" i="1"/>
  <c r="H8255" i="1"/>
  <c r="L8255" i="1"/>
  <c r="K8255" i="1"/>
  <c r="L8247" i="1"/>
  <c r="K8247" i="1"/>
  <c r="K9839" i="1"/>
  <c r="K9583" i="1"/>
  <c r="K9327" i="1"/>
  <c r="K9007" i="1"/>
  <c r="K4035" i="1"/>
  <c r="K3523" i="1"/>
  <c r="J86" i="1"/>
  <c r="L86" i="1"/>
  <c r="K86" i="1"/>
  <c r="J38" i="1"/>
  <c r="L38" i="1"/>
  <c r="K38" i="1"/>
  <c r="J300" i="1"/>
  <c r="L300" i="1"/>
  <c r="K300" i="1"/>
  <c r="J260" i="1"/>
  <c r="L260" i="1"/>
  <c r="K260" i="1"/>
  <c r="J228" i="1"/>
  <c r="L228" i="1"/>
  <c r="K228" i="1"/>
  <c r="J188" i="1"/>
  <c r="L188" i="1"/>
  <c r="K188" i="1"/>
  <c r="J156" i="1"/>
  <c r="L156" i="1"/>
  <c r="K156" i="1"/>
  <c r="J116" i="1"/>
  <c r="L116" i="1"/>
  <c r="K116" i="1"/>
  <c r="J9963" i="1"/>
  <c r="L9963" i="1"/>
  <c r="K9963" i="1"/>
  <c r="J9923" i="1"/>
  <c r="L9923" i="1"/>
  <c r="K9923" i="1"/>
  <c r="J9883" i="1"/>
  <c r="L9883" i="1"/>
  <c r="K9883" i="1"/>
  <c r="L9827" i="1"/>
  <c r="K9827" i="1"/>
  <c r="L9787" i="1"/>
  <c r="K9787" i="1"/>
  <c r="L9747" i="1"/>
  <c r="K9747" i="1"/>
  <c r="L9707" i="1"/>
  <c r="K9707" i="1"/>
  <c r="J9667" i="1"/>
  <c r="L9667" i="1"/>
  <c r="K9667" i="1"/>
  <c r="L9627" i="1"/>
  <c r="K9627" i="1"/>
  <c r="L9595" i="1"/>
  <c r="K9595" i="1"/>
  <c r="J9563" i="1"/>
  <c r="L9563" i="1"/>
  <c r="K9563" i="1"/>
  <c r="L9523" i="1"/>
  <c r="K9523" i="1"/>
  <c r="L9491" i="1"/>
  <c r="K9491" i="1"/>
  <c r="J9459" i="1"/>
  <c r="L9459" i="1"/>
  <c r="K9459" i="1"/>
  <c r="L9427" i="1"/>
  <c r="K9427" i="1"/>
  <c r="L9395" i="1"/>
  <c r="K9395" i="1"/>
  <c r="L9363" i="1"/>
  <c r="K9363" i="1"/>
  <c r="L9331" i="1"/>
  <c r="K9331" i="1"/>
  <c r="L9299" i="1"/>
  <c r="K9299" i="1"/>
  <c r="L9267" i="1"/>
  <c r="K9267" i="1"/>
  <c r="L9235" i="1"/>
  <c r="K9235" i="1"/>
  <c r="L9203" i="1"/>
  <c r="K9203" i="1"/>
  <c r="L9171" i="1"/>
  <c r="K9171" i="1"/>
  <c r="L9139" i="1"/>
  <c r="K9139" i="1"/>
  <c r="L9107" i="1"/>
  <c r="K9107" i="1"/>
  <c r="L9075" i="1"/>
  <c r="K9075" i="1"/>
  <c r="L9043" i="1"/>
  <c r="K9043" i="1"/>
  <c r="L9011" i="1"/>
  <c r="K9011" i="1"/>
  <c r="L8979" i="1"/>
  <c r="K8979" i="1"/>
  <c r="L8947" i="1"/>
  <c r="K8947" i="1"/>
  <c r="L8915" i="1"/>
  <c r="K8915" i="1"/>
  <c r="L8883" i="1"/>
  <c r="K8883" i="1"/>
  <c r="L8843" i="1"/>
  <c r="K8843" i="1"/>
  <c r="L8811" i="1"/>
  <c r="K8811" i="1"/>
  <c r="L8779" i="1"/>
  <c r="K8779" i="1"/>
  <c r="L8755" i="1"/>
  <c r="K8755" i="1"/>
  <c r="L8723" i="1"/>
  <c r="K8723" i="1"/>
  <c r="L8691" i="1"/>
  <c r="K8691" i="1"/>
  <c r="L8659" i="1"/>
  <c r="K8659" i="1"/>
  <c r="L8627" i="1"/>
  <c r="K8627" i="1"/>
  <c r="J8579" i="1"/>
  <c r="L8579" i="1"/>
  <c r="K8579" i="1"/>
  <c r="L8547" i="1"/>
  <c r="K8547" i="1"/>
  <c r="J8515" i="1"/>
  <c r="L8515" i="1"/>
  <c r="K8515" i="1"/>
  <c r="L8483" i="1"/>
  <c r="K8483" i="1"/>
  <c r="J8451" i="1"/>
  <c r="L8451" i="1"/>
  <c r="K8451" i="1"/>
  <c r="L8427" i="1"/>
  <c r="K8427" i="1"/>
  <c r="L8395" i="1"/>
  <c r="K8395" i="1"/>
  <c r="K8363" i="1"/>
  <c r="L8363" i="1"/>
  <c r="L8331" i="1"/>
  <c r="K8331" i="1"/>
  <c r="L8299" i="1"/>
  <c r="K8299" i="1"/>
  <c r="L8267" i="1"/>
  <c r="K8267" i="1"/>
  <c r="L8235" i="1"/>
  <c r="K8235" i="1"/>
  <c r="K8203" i="1"/>
  <c r="L8203" i="1"/>
  <c r="L8171" i="1"/>
  <c r="K8171" i="1"/>
  <c r="L8139" i="1"/>
  <c r="K8139" i="1"/>
  <c r="L8107" i="1"/>
  <c r="K8107" i="1"/>
  <c r="K8075" i="1"/>
  <c r="L8075" i="1"/>
  <c r="L8043" i="1"/>
  <c r="K8043" i="1"/>
  <c r="K8011" i="1"/>
  <c r="L8011" i="1"/>
  <c r="L7979" i="1"/>
  <c r="K7979" i="1"/>
  <c r="J7939" i="1"/>
  <c r="L7939" i="1"/>
  <c r="K7939" i="1"/>
  <c r="L7907" i="1"/>
  <c r="K7907" i="1"/>
  <c r="J7875" i="1"/>
  <c r="L7875" i="1"/>
  <c r="K7875" i="1"/>
  <c r="J7843" i="1"/>
  <c r="L7843" i="1"/>
  <c r="K7843" i="1"/>
  <c r="J7811" i="1"/>
  <c r="L7811" i="1"/>
  <c r="K7811" i="1"/>
  <c r="J7779" i="1"/>
  <c r="L7779" i="1"/>
  <c r="K7779" i="1"/>
  <c r="J7747" i="1"/>
  <c r="L7747" i="1"/>
  <c r="K7747" i="1"/>
  <c r="J7715" i="1"/>
  <c r="L7715" i="1"/>
  <c r="K7715" i="1"/>
  <c r="J7683" i="1"/>
  <c r="L7683" i="1"/>
  <c r="K7683" i="1"/>
  <c r="J7651" i="1"/>
  <c r="L7651" i="1"/>
  <c r="K7651" i="1"/>
  <c r="J7619" i="1"/>
  <c r="L7619" i="1"/>
  <c r="K7619" i="1"/>
  <c r="J7587" i="1"/>
  <c r="L7587" i="1"/>
  <c r="K7587" i="1"/>
  <c r="J7555" i="1"/>
  <c r="L7555" i="1"/>
  <c r="K7555" i="1"/>
  <c r="J7523" i="1"/>
  <c r="L7523" i="1"/>
  <c r="K7523" i="1"/>
  <c r="J7491" i="1"/>
  <c r="L7491" i="1"/>
  <c r="K7491" i="1"/>
  <c r="J7459" i="1"/>
  <c r="L7459" i="1"/>
  <c r="K7459" i="1"/>
  <c r="J7427" i="1"/>
  <c r="L7427" i="1"/>
  <c r="K7427" i="1"/>
  <c r="J7395" i="1"/>
  <c r="L7395" i="1"/>
  <c r="K7395" i="1"/>
  <c r="J7363" i="1"/>
  <c r="L7363" i="1"/>
  <c r="K7363" i="1"/>
  <c r="J7331" i="1"/>
  <c r="L7331" i="1"/>
  <c r="K7331" i="1"/>
  <c r="J7307" i="1"/>
  <c r="L7307" i="1"/>
  <c r="K7307" i="1"/>
  <c r="J7283" i="1"/>
  <c r="L7283" i="1"/>
  <c r="K7283" i="1"/>
  <c r="J7251" i="1"/>
  <c r="L7251" i="1"/>
  <c r="K7251" i="1"/>
  <c r="J7227" i="1"/>
  <c r="L7227" i="1"/>
  <c r="K7227" i="1"/>
  <c r="J7203" i="1"/>
  <c r="L7203" i="1"/>
  <c r="K7203" i="1"/>
  <c r="J7179" i="1"/>
  <c r="L7179" i="1"/>
  <c r="K7179" i="1"/>
  <c r="J7155" i="1"/>
  <c r="L7155" i="1"/>
  <c r="K7155" i="1"/>
  <c r="J7131" i="1"/>
  <c r="L7131" i="1"/>
  <c r="K7131" i="1"/>
  <c r="J7107" i="1"/>
  <c r="L7107" i="1"/>
  <c r="J7075" i="1"/>
  <c r="L7075" i="1"/>
  <c r="K7075" i="1"/>
  <c r="J7051" i="1"/>
  <c r="L7051" i="1"/>
  <c r="K7051" i="1"/>
  <c r="J7027" i="1"/>
  <c r="L7027" i="1"/>
  <c r="K7027" i="1"/>
  <c r="J7003" i="1"/>
  <c r="L7003" i="1"/>
  <c r="K7003" i="1"/>
  <c r="J6979" i="1"/>
  <c r="L6979" i="1"/>
  <c r="J6947" i="1"/>
  <c r="L6947" i="1"/>
  <c r="K6947" i="1"/>
  <c r="J6915" i="1"/>
  <c r="L6915" i="1"/>
  <c r="K6915" i="1"/>
  <c r="J6867" i="1"/>
  <c r="L6867" i="1"/>
  <c r="K6867" i="1"/>
  <c r="J6835" i="1"/>
  <c r="L6835" i="1"/>
  <c r="K6835" i="1"/>
  <c r="J6803" i="1"/>
  <c r="L6803" i="1"/>
  <c r="K6803" i="1"/>
  <c r="J6771" i="1"/>
  <c r="L6771" i="1"/>
  <c r="K6771" i="1"/>
  <c r="J6739" i="1"/>
  <c r="L6739" i="1"/>
  <c r="K6739" i="1"/>
  <c r="J6707" i="1"/>
  <c r="L6707" i="1"/>
  <c r="K6707" i="1"/>
  <c r="J6675" i="1"/>
  <c r="L6675" i="1"/>
  <c r="K6675" i="1"/>
  <c r="J6643" i="1"/>
  <c r="L6643" i="1"/>
  <c r="K6643" i="1"/>
  <c r="J6611" i="1"/>
  <c r="L6611" i="1"/>
  <c r="K6611" i="1"/>
  <c r="J6579" i="1"/>
  <c r="L6579" i="1"/>
  <c r="K6579" i="1"/>
  <c r="J6547" i="1"/>
  <c r="L6547" i="1"/>
  <c r="J6507" i="1"/>
  <c r="L6507" i="1"/>
  <c r="K6507" i="1"/>
  <c r="J6475" i="1"/>
  <c r="L6475" i="1"/>
  <c r="K6475" i="1"/>
  <c r="J6443" i="1"/>
  <c r="L6443" i="1"/>
  <c r="K6443" i="1"/>
  <c r="J6411" i="1"/>
  <c r="L6411" i="1"/>
  <c r="K6411" i="1"/>
  <c r="J6379" i="1"/>
  <c r="L6379" i="1"/>
  <c r="K6379" i="1"/>
  <c r="J6347" i="1"/>
  <c r="L6347" i="1"/>
  <c r="K6347" i="1"/>
  <c r="J6315" i="1"/>
  <c r="L6315" i="1"/>
  <c r="J6283" i="1"/>
  <c r="L6283" i="1"/>
  <c r="K6283" i="1"/>
  <c r="J6251" i="1"/>
  <c r="L6251" i="1"/>
  <c r="K6251" i="1"/>
  <c r="J6219" i="1"/>
  <c r="L6219" i="1"/>
  <c r="K6219" i="1"/>
  <c r="J6187" i="1"/>
  <c r="L6187" i="1"/>
  <c r="J6155" i="1"/>
  <c r="L6155" i="1"/>
  <c r="K6155" i="1"/>
  <c r="J6123" i="1"/>
  <c r="L6123" i="1"/>
  <c r="K6123" i="1"/>
  <c r="J6091" i="1"/>
  <c r="L6091" i="1"/>
  <c r="K6091" i="1"/>
  <c r="J6059" i="1"/>
  <c r="L6059" i="1"/>
  <c r="K6059" i="1"/>
  <c r="J6027" i="1"/>
  <c r="L6027" i="1"/>
  <c r="K6027" i="1"/>
  <c r="J5995" i="1"/>
  <c r="L5995" i="1"/>
  <c r="K5995" i="1"/>
  <c r="J5963" i="1"/>
  <c r="L5963" i="1"/>
  <c r="K5963" i="1"/>
  <c r="J5923" i="1"/>
  <c r="L5923" i="1"/>
  <c r="K5923" i="1"/>
  <c r="J5891" i="1"/>
  <c r="L5891" i="1"/>
  <c r="K5891" i="1"/>
  <c r="J5859" i="1"/>
  <c r="L5859" i="1"/>
  <c r="K5859" i="1"/>
  <c r="J5827" i="1"/>
  <c r="L5827" i="1"/>
  <c r="K5827" i="1"/>
  <c r="J5795" i="1"/>
  <c r="L5795" i="1"/>
  <c r="K5795" i="1"/>
  <c r="J5763" i="1"/>
  <c r="L5763" i="1"/>
  <c r="K5763" i="1"/>
  <c r="J5731" i="1"/>
  <c r="L5731" i="1"/>
  <c r="K5731" i="1"/>
  <c r="J5699" i="1"/>
  <c r="L5699" i="1"/>
  <c r="K5699" i="1"/>
  <c r="J5667" i="1"/>
  <c r="L5667" i="1"/>
  <c r="K5667" i="1"/>
  <c r="J5635" i="1"/>
  <c r="L5635" i="1"/>
  <c r="K5635" i="1"/>
  <c r="J5603" i="1"/>
  <c r="L5603" i="1"/>
  <c r="K5603" i="1"/>
  <c r="J5571" i="1"/>
  <c r="L5571" i="1"/>
  <c r="J5539" i="1"/>
  <c r="L5539" i="1"/>
  <c r="K5539" i="1"/>
  <c r="J5507" i="1"/>
  <c r="L5507" i="1"/>
  <c r="K5507" i="1"/>
  <c r="J5483" i="1"/>
  <c r="L5483" i="1"/>
  <c r="K5483" i="1"/>
  <c r="J5451" i="1"/>
  <c r="L5451" i="1"/>
  <c r="K5451" i="1"/>
  <c r="J5419" i="1"/>
  <c r="L5419" i="1"/>
  <c r="K5419" i="1"/>
  <c r="J5387" i="1"/>
  <c r="L5387" i="1"/>
  <c r="K5387" i="1"/>
  <c r="J5355" i="1"/>
  <c r="L5355" i="1"/>
  <c r="K5355" i="1"/>
  <c r="J5323" i="1"/>
  <c r="L5323" i="1"/>
  <c r="K5323" i="1"/>
  <c r="J5291" i="1"/>
  <c r="L5291" i="1"/>
  <c r="J5259" i="1"/>
  <c r="L5259" i="1"/>
  <c r="K5259" i="1"/>
  <c r="J5227" i="1"/>
  <c r="L5227" i="1"/>
  <c r="K5227" i="1"/>
  <c r="J5195" i="1"/>
  <c r="L5195" i="1"/>
  <c r="K5195" i="1"/>
  <c r="J5163" i="1"/>
  <c r="L5163" i="1"/>
  <c r="J5131" i="1"/>
  <c r="L5131" i="1"/>
  <c r="K5131" i="1"/>
  <c r="J5099" i="1"/>
  <c r="L5099" i="1"/>
  <c r="K5099" i="1"/>
  <c r="J5067" i="1"/>
  <c r="L5067" i="1"/>
  <c r="K5067" i="1"/>
  <c r="J5051" i="1"/>
  <c r="L5051" i="1"/>
  <c r="K5051" i="1"/>
  <c r="J5019" i="1"/>
  <c r="L5019" i="1"/>
  <c r="K5019" i="1"/>
  <c r="J4987" i="1"/>
  <c r="L4987" i="1"/>
  <c r="K4987" i="1"/>
  <c r="J4955" i="1"/>
  <c r="L4955" i="1"/>
  <c r="K4955" i="1"/>
  <c r="J4923" i="1"/>
  <c r="L4923" i="1"/>
  <c r="K4923" i="1"/>
  <c r="J4891" i="1"/>
  <c r="L4891" i="1"/>
  <c r="K4891" i="1"/>
  <c r="J4859" i="1"/>
  <c r="L4859" i="1"/>
  <c r="K4859" i="1"/>
  <c r="J4827" i="1"/>
  <c r="L4827" i="1"/>
  <c r="K4827" i="1"/>
  <c r="J4795" i="1"/>
  <c r="L4795" i="1"/>
  <c r="K4795" i="1"/>
  <c r="J4771" i="1"/>
  <c r="L4771" i="1"/>
  <c r="K4771" i="1"/>
  <c r="J4739" i="1"/>
  <c r="L4739" i="1"/>
  <c r="K4739" i="1"/>
  <c r="J4707" i="1"/>
  <c r="L4707" i="1"/>
  <c r="K4707" i="1"/>
  <c r="J4667" i="1"/>
  <c r="L4667" i="1"/>
  <c r="K4667" i="1"/>
  <c r="J4563" i="1"/>
  <c r="L4563" i="1"/>
  <c r="K4563" i="1"/>
  <c r="J3651" i="1"/>
  <c r="L3651" i="1"/>
  <c r="K3651" i="1"/>
  <c r="J97" i="1"/>
  <c r="L97" i="1"/>
  <c r="K97" i="1"/>
  <c r="J81" i="1"/>
  <c r="L81" i="1"/>
  <c r="K81" i="1"/>
  <c r="J65" i="1"/>
  <c r="L65" i="1"/>
  <c r="K65" i="1"/>
  <c r="J49" i="1"/>
  <c r="L49" i="1"/>
  <c r="K49" i="1"/>
  <c r="J33" i="1"/>
  <c r="L33" i="1"/>
  <c r="K33" i="1"/>
  <c r="J17" i="1"/>
  <c r="L17" i="1"/>
  <c r="K17" i="1"/>
  <c r="J102" i="1"/>
  <c r="L102" i="1"/>
  <c r="K102" i="1"/>
  <c r="J287" i="1"/>
  <c r="L287" i="1"/>
  <c r="K287" i="1"/>
  <c r="J271" i="1"/>
  <c r="L271" i="1"/>
  <c r="K271" i="1"/>
  <c r="J255" i="1"/>
  <c r="L255" i="1"/>
  <c r="K255" i="1"/>
  <c r="J239" i="1"/>
  <c r="L239" i="1"/>
  <c r="K239" i="1"/>
  <c r="J223" i="1"/>
  <c r="L223" i="1"/>
  <c r="K223" i="1"/>
  <c r="J207" i="1"/>
  <c r="L207" i="1"/>
  <c r="K207" i="1"/>
  <c r="J191" i="1"/>
  <c r="L191" i="1"/>
  <c r="K191" i="1"/>
  <c r="J175" i="1"/>
  <c r="L175" i="1"/>
  <c r="K175" i="1"/>
  <c r="J159" i="1"/>
  <c r="L159" i="1"/>
  <c r="K159" i="1"/>
  <c r="J143" i="1"/>
  <c r="L143" i="1"/>
  <c r="K143" i="1"/>
  <c r="J127" i="1"/>
  <c r="L127" i="1"/>
  <c r="K127" i="1"/>
  <c r="J111" i="1"/>
  <c r="L111" i="1"/>
  <c r="K111" i="1"/>
  <c r="H9998" i="1"/>
  <c r="L9998" i="1"/>
  <c r="K9998" i="1"/>
  <c r="J9998" i="1"/>
  <c r="H9982" i="1"/>
  <c r="L9982" i="1"/>
  <c r="K9982" i="1"/>
  <c r="H9966" i="1"/>
  <c r="L9966" i="1"/>
  <c r="K9966" i="1"/>
  <c r="J9966" i="1"/>
  <c r="H9950" i="1"/>
  <c r="K9950" i="1"/>
  <c r="J9950" i="1"/>
  <c r="L9950" i="1"/>
  <c r="H9934" i="1"/>
  <c r="K9934" i="1"/>
  <c r="L9934" i="1"/>
  <c r="H9926" i="1"/>
  <c r="L9926" i="1"/>
  <c r="K9926" i="1"/>
  <c r="J9926" i="1"/>
  <c r="H9910" i="1"/>
  <c r="L9910" i="1"/>
  <c r="K9910" i="1"/>
  <c r="J9910" i="1"/>
  <c r="H9894" i="1"/>
  <c r="L9894" i="1"/>
  <c r="K9894" i="1"/>
  <c r="J9894" i="1"/>
  <c r="I9878" i="1"/>
  <c r="L9878" i="1"/>
  <c r="K9878" i="1"/>
  <c r="J9878" i="1"/>
  <c r="I9854" i="1"/>
  <c r="K9854" i="1"/>
  <c r="I9838" i="1"/>
  <c r="K9838" i="1"/>
  <c r="J9838" i="1"/>
  <c r="L9838" i="1"/>
  <c r="I9822" i="1"/>
  <c r="L9822" i="1"/>
  <c r="K9822" i="1"/>
  <c r="J9822" i="1"/>
  <c r="H9806" i="1"/>
  <c r="L9806" i="1"/>
  <c r="K9806" i="1"/>
  <c r="H9790" i="1"/>
  <c r="L9790" i="1"/>
  <c r="K9790" i="1"/>
  <c r="I9774" i="1"/>
  <c r="K9774" i="1"/>
  <c r="J9774" i="1"/>
  <c r="H9758" i="1"/>
  <c r="K9758" i="1"/>
  <c r="J9758" i="1"/>
  <c r="L9758" i="1"/>
  <c r="H9742" i="1"/>
  <c r="L9742" i="1"/>
  <c r="K9742" i="1"/>
  <c r="H9726" i="1"/>
  <c r="L9726" i="1"/>
  <c r="K9726" i="1"/>
  <c r="H9710" i="1"/>
  <c r="L9710" i="1"/>
  <c r="K9710" i="1"/>
  <c r="J9710" i="1"/>
  <c r="H9694" i="1"/>
  <c r="K9694" i="1"/>
  <c r="J9694" i="1"/>
  <c r="L9694" i="1"/>
  <c r="H9678" i="1"/>
  <c r="K9678" i="1"/>
  <c r="L9678" i="1"/>
  <c r="I9662" i="1"/>
  <c r="L9662" i="1"/>
  <c r="K9662" i="1"/>
  <c r="H9646" i="1"/>
  <c r="L9646" i="1"/>
  <c r="K9646" i="1"/>
  <c r="J9646" i="1"/>
  <c r="I9630" i="1"/>
  <c r="L9630" i="1"/>
  <c r="K9630" i="1"/>
  <c r="J9630" i="1"/>
  <c r="H9614" i="1"/>
  <c r="L9614" i="1"/>
  <c r="J9614" i="1"/>
  <c r="K9614" i="1"/>
  <c r="I9598" i="1"/>
  <c r="K9598" i="1"/>
  <c r="L9598" i="1"/>
  <c r="J9598" i="1"/>
  <c r="H9574" i="1"/>
  <c r="L9574" i="1"/>
  <c r="K9574" i="1"/>
  <c r="J9574" i="1"/>
  <c r="I9558" i="1"/>
  <c r="L9558" i="1"/>
  <c r="K9558" i="1"/>
  <c r="J9558" i="1"/>
  <c r="I9542" i="1"/>
  <c r="L9542" i="1"/>
  <c r="K9542" i="1"/>
  <c r="J9542" i="1"/>
  <c r="H9526" i="1"/>
  <c r="L9526" i="1"/>
  <c r="K9526" i="1"/>
  <c r="I9510" i="1"/>
  <c r="L9510" i="1"/>
  <c r="K9510" i="1"/>
  <c r="J9510" i="1"/>
  <c r="H9494" i="1"/>
  <c r="L9494" i="1"/>
  <c r="K9494" i="1"/>
  <c r="I9478" i="1"/>
  <c r="L9478" i="1"/>
  <c r="K9478" i="1"/>
  <c r="J9478" i="1"/>
  <c r="H9462" i="1"/>
  <c r="L9462" i="1"/>
  <c r="K9462" i="1"/>
  <c r="J9462" i="1"/>
  <c r="H9446" i="1"/>
  <c r="L9446" i="1"/>
  <c r="K9446" i="1"/>
  <c r="J9446" i="1"/>
  <c r="H9430" i="1"/>
  <c r="L9430" i="1"/>
  <c r="K9430" i="1"/>
  <c r="J9430" i="1"/>
  <c r="I9406" i="1"/>
  <c r="L9406" i="1"/>
  <c r="K9406" i="1"/>
  <c r="J9406" i="1"/>
  <c r="H9390" i="1"/>
  <c r="L9390" i="1"/>
  <c r="K9390" i="1"/>
  <c r="J9390" i="1"/>
  <c r="I9374" i="1"/>
  <c r="L9374" i="1"/>
  <c r="J9374" i="1"/>
  <c r="K9374" i="1"/>
  <c r="H9358" i="1"/>
  <c r="L9358" i="1"/>
  <c r="J9358" i="1"/>
  <c r="K9358" i="1"/>
  <c r="I9342" i="1"/>
  <c r="K9342" i="1"/>
  <c r="J9342" i="1"/>
  <c r="I9326" i="1"/>
  <c r="K9326" i="1"/>
  <c r="J9326" i="1"/>
  <c r="L9326" i="1"/>
  <c r="I9310" i="1"/>
  <c r="J9310" i="1"/>
  <c r="L9310" i="1"/>
  <c r="K9310" i="1"/>
  <c r="H9294" i="1"/>
  <c r="J9294" i="1"/>
  <c r="L9294" i="1"/>
  <c r="K9294" i="1"/>
  <c r="H9278" i="1"/>
  <c r="L9278" i="1"/>
  <c r="K9278" i="1"/>
  <c r="J9278" i="1"/>
  <c r="I9262" i="1"/>
  <c r="K9262" i="1"/>
  <c r="J9262" i="1"/>
  <c r="L9262" i="1"/>
  <c r="H9246" i="1"/>
  <c r="J9246" i="1"/>
  <c r="K9246" i="1"/>
  <c r="L9246" i="1"/>
  <c r="H9230" i="1"/>
  <c r="J9230" i="1"/>
  <c r="L9230" i="1"/>
  <c r="K9230" i="1"/>
  <c r="I9214" i="1"/>
  <c r="L9214" i="1"/>
  <c r="K9214" i="1"/>
  <c r="H9198" i="1"/>
  <c r="L9198" i="1"/>
  <c r="K9198" i="1"/>
  <c r="J9198" i="1"/>
  <c r="I9182" i="1"/>
  <c r="J9182" i="1"/>
  <c r="K9182" i="1"/>
  <c r="L9182" i="1"/>
  <c r="I9166" i="1"/>
  <c r="J9166" i="1"/>
  <c r="K9166" i="1"/>
  <c r="I9150" i="1"/>
  <c r="L9150" i="1"/>
  <c r="K9150" i="1"/>
  <c r="J9150" i="1"/>
  <c r="I9134" i="1"/>
  <c r="L9134" i="1"/>
  <c r="K9134" i="1"/>
  <c r="J9134" i="1"/>
  <c r="H9118" i="1"/>
  <c r="L9118" i="1"/>
  <c r="J9118" i="1"/>
  <c r="K9118" i="1"/>
  <c r="I9094" i="1"/>
  <c r="L9094" i="1"/>
  <c r="K9094" i="1"/>
  <c r="J9094" i="1"/>
  <c r="H9078" i="1"/>
  <c r="L9078" i="1"/>
  <c r="K9078" i="1"/>
  <c r="J9078" i="1"/>
  <c r="H9062" i="1"/>
  <c r="L9062" i="1"/>
  <c r="K9062" i="1"/>
  <c r="J9062" i="1"/>
  <c r="H9046" i="1"/>
  <c r="L9046" i="1"/>
  <c r="K9046" i="1"/>
  <c r="J9046" i="1"/>
  <c r="I9030" i="1"/>
  <c r="L9030" i="1"/>
  <c r="K9030" i="1"/>
  <c r="J9030" i="1"/>
  <c r="H9014" i="1"/>
  <c r="L9014" i="1"/>
  <c r="K9014" i="1"/>
  <c r="I8998" i="1"/>
  <c r="L8998" i="1"/>
  <c r="K8998" i="1"/>
  <c r="J8998" i="1"/>
  <c r="I8982" i="1"/>
  <c r="L8982" i="1"/>
  <c r="K8982" i="1"/>
  <c r="I8966" i="1"/>
  <c r="L8966" i="1"/>
  <c r="K8966" i="1"/>
  <c r="J8966" i="1"/>
  <c r="H8950" i="1"/>
  <c r="L8950" i="1"/>
  <c r="K8950" i="1"/>
  <c r="J8950" i="1"/>
  <c r="H8934" i="1"/>
  <c r="L8934" i="1"/>
  <c r="K8934" i="1"/>
  <c r="J8934" i="1"/>
  <c r="I8918" i="1"/>
  <c r="L8918" i="1"/>
  <c r="K8918" i="1"/>
  <c r="J8918" i="1"/>
  <c r="I8902" i="1"/>
  <c r="L8902" i="1"/>
  <c r="K8902" i="1"/>
  <c r="H8886" i="1"/>
  <c r="L8886" i="1"/>
  <c r="K8886" i="1"/>
  <c r="I8870" i="1"/>
  <c r="L8870" i="1"/>
  <c r="K8870" i="1"/>
  <c r="J8870" i="1"/>
  <c r="I8854" i="1"/>
  <c r="L8854" i="1"/>
  <c r="K8854" i="1"/>
  <c r="J8854" i="1"/>
  <c r="I8838" i="1"/>
  <c r="L8838" i="1"/>
  <c r="K8838" i="1"/>
  <c r="J8838" i="1"/>
  <c r="I8822" i="1"/>
  <c r="L8822" i="1"/>
  <c r="K8822" i="1"/>
  <c r="J8822" i="1"/>
  <c r="H8806" i="1"/>
  <c r="L8806" i="1"/>
  <c r="K8806" i="1"/>
  <c r="I8790" i="1"/>
  <c r="L8790" i="1"/>
  <c r="K8790" i="1"/>
  <c r="J8790" i="1"/>
  <c r="I8774" i="1"/>
  <c r="L8774" i="1"/>
  <c r="K8774" i="1"/>
  <c r="I8750" i="1"/>
  <c r="K8750" i="1"/>
  <c r="J8750" i="1"/>
  <c r="L8750" i="1"/>
  <c r="I8734" i="1"/>
  <c r="J8734" i="1"/>
  <c r="K8734" i="1"/>
  <c r="H8718" i="1"/>
  <c r="J8718" i="1"/>
  <c r="L8718" i="1"/>
  <c r="K8718" i="1"/>
  <c r="I8702" i="1"/>
  <c r="L8702" i="1"/>
  <c r="K8702" i="1"/>
  <c r="I8686" i="1"/>
  <c r="L8686" i="1"/>
  <c r="K8686" i="1"/>
  <c r="J8686" i="1"/>
  <c r="I8670" i="1"/>
  <c r="J8670" i="1"/>
  <c r="K8670" i="1"/>
  <c r="L8670" i="1"/>
  <c r="I8654" i="1"/>
  <c r="J8654" i="1"/>
  <c r="K8654" i="1"/>
  <c r="I8638" i="1"/>
  <c r="L8638" i="1"/>
  <c r="K8638" i="1"/>
  <c r="J8638" i="1"/>
  <c r="I8622" i="1"/>
  <c r="L8622" i="1"/>
  <c r="K8622" i="1"/>
  <c r="J8622" i="1"/>
  <c r="I8606" i="1"/>
  <c r="L8606" i="1"/>
  <c r="J8606" i="1"/>
  <c r="K8606" i="1"/>
  <c r="I8582" i="1"/>
  <c r="L8582" i="1"/>
  <c r="K8582" i="1"/>
  <c r="J8582" i="1"/>
  <c r="H8566" i="1"/>
  <c r="L8566" i="1"/>
  <c r="K8566" i="1"/>
  <c r="J8566" i="1"/>
  <c r="H8550" i="1"/>
  <c r="L8550" i="1"/>
  <c r="K8550" i="1"/>
  <c r="J8550" i="1"/>
  <c r="I8534" i="1"/>
  <c r="L8534" i="1"/>
  <c r="K8534" i="1"/>
  <c r="J8534" i="1"/>
  <c r="I8518" i="1"/>
  <c r="L8518" i="1"/>
  <c r="K8518" i="1"/>
  <c r="J8518" i="1"/>
  <c r="H8502" i="1"/>
  <c r="L8502" i="1"/>
  <c r="K8502" i="1"/>
  <c r="I8486" i="1"/>
  <c r="L8486" i="1"/>
  <c r="K8486" i="1"/>
  <c r="J8486" i="1"/>
  <c r="I8470" i="1"/>
  <c r="L8470" i="1"/>
  <c r="K8470" i="1"/>
  <c r="I8454" i="1"/>
  <c r="L8454" i="1"/>
  <c r="K8454" i="1"/>
  <c r="J8454" i="1"/>
  <c r="H8438" i="1"/>
  <c r="L8438" i="1"/>
  <c r="K8438" i="1"/>
  <c r="J8438" i="1"/>
  <c r="H8422" i="1"/>
  <c r="L8422" i="1"/>
  <c r="K8422" i="1"/>
  <c r="J8422" i="1"/>
  <c r="I8406" i="1"/>
  <c r="L8406" i="1"/>
  <c r="K8406" i="1"/>
  <c r="J8406" i="1"/>
  <c r="I8382" i="1"/>
  <c r="L8382" i="1"/>
  <c r="K8382" i="1"/>
  <c r="J8382" i="1"/>
  <c r="I8366" i="1"/>
  <c r="L8366" i="1"/>
  <c r="K8366" i="1"/>
  <c r="J8366" i="1"/>
  <c r="I8350" i="1"/>
  <c r="L8350" i="1"/>
  <c r="J8350" i="1"/>
  <c r="K8350" i="1"/>
  <c r="H8334" i="1"/>
  <c r="L8334" i="1"/>
  <c r="J8334" i="1"/>
  <c r="K8334" i="1"/>
  <c r="I8318" i="1"/>
  <c r="L8318" i="1"/>
  <c r="K8318" i="1"/>
  <c r="J8318" i="1"/>
  <c r="I8302" i="1"/>
  <c r="L8302" i="1"/>
  <c r="K8302" i="1"/>
  <c r="J8302" i="1"/>
  <c r="I8286" i="1"/>
  <c r="L8286" i="1"/>
  <c r="K8286" i="1"/>
  <c r="J8286" i="1"/>
  <c r="H8270" i="1"/>
  <c r="L8270" i="1"/>
  <c r="K8270" i="1"/>
  <c r="J8270" i="1"/>
  <c r="I8254" i="1"/>
  <c r="L8254" i="1"/>
  <c r="K8254" i="1"/>
  <c r="J8254" i="1"/>
  <c r="I8238" i="1"/>
  <c r="L8238" i="1"/>
  <c r="K8238" i="1"/>
  <c r="J8238" i="1"/>
  <c r="I8222" i="1"/>
  <c r="L8222" i="1"/>
  <c r="K8222" i="1"/>
  <c r="J8222" i="1"/>
  <c r="I8206" i="1"/>
  <c r="L8206" i="1"/>
  <c r="K8206" i="1"/>
  <c r="J8206" i="1"/>
  <c r="I8190" i="1"/>
  <c r="L8190" i="1"/>
  <c r="K8190" i="1"/>
  <c r="I8174" i="1"/>
  <c r="L8174" i="1"/>
  <c r="K8174" i="1"/>
  <c r="J8174" i="1"/>
  <c r="I8158" i="1"/>
  <c r="L8158" i="1"/>
  <c r="K8158" i="1"/>
  <c r="J8158" i="1"/>
  <c r="I8142" i="1"/>
  <c r="L8142" i="1"/>
  <c r="K8142" i="1"/>
  <c r="I8126" i="1"/>
  <c r="L8126" i="1"/>
  <c r="K8126" i="1"/>
  <c r="I8110" i="1"/>
  <c r="L8110" i="1"/>
  <c r="K8110" i="1"/>
  <c r="J8110" i="1"/>
  <c r="I8094" i="1"/>
  <c r="L8094" i="1"/>
  <c r="K8094" i="1"/>
  <c r="J8094" i="1"/>
  <c r="I8078" i="1"/>
  <c r="L8078" i="1"/>
  <c r="K8078" i="1"/>
  <c r="I8062" i="1"/>
  <c r="L8062" i="1"/>
  <c r="K8062" i="1"/>
  <c r="J8062" i="1"/>
  <c r="I8046" i="1"/>
  <c r="L8046" i="1"/>
  <c r="K8046" i="1"/>
  <c r="J8046" i="1"/>
  <c r="I8030" i="1"/>
  <c r="L8030" i="1"/>
  <c r="K8030" i="1"/>
  <c r="J8030" i="1"/>
  <c r="I8014" i="1"/>
  <c r="L8014" i="1"/>
  <c r="K8014" i="1"/>
  <c r="J8014" i="1"/>
  <c r="I7998" i="1"/>
  <c r="L7998" i="1"/>
  <c r="K7998" i="1"/>
  <c r="J7998" i="1"/>
  <c r="I7982" i="1"/>
  <c r="L7982" i="1"/>
  <c r="K7982" i="1"/>
  <c r="J7982" i="1"/>
  <c r="I7966" i="1"/>
  <c r="L7966" i="1"/>
  <c r="K7966" i="1"/>
  <c r="J7966" i="1"/>
  <c r="I7950" i="1"/>
  <c r="L7950" i="1"/>
  <c r="K7950" i="1"/>
  <c r="J7950" i="1"/>
  <c r="I7934" i="1"/>
  <c r="L7934" i="1"/>
  <c r="K7934" i="1"/>
  <c r="L7910" i="1"/>
  <c r="K7910" i="1"/>
  <c r="J7910" i="1"/>
  <c r="L7894" i="1"/>
  <c r="K7894" i="1"/>
  <c r="J7894" i="1"/>
  <c r="L7878" i="1"/>
  <c r="K7878" i="1"/>
  <c r="J7878" i="1"/>
  <c r="L7862" i="1"/>
  <c r="K7862" i="1"/>
  <c r="J7862" i="1"/>
  <c r="E7846" i="1"/>
  <c r="L7846" i="1"/>
  <c r="K7846" i="1"/>
  <c r="J7846" i="1"/>
  <c r="E7830" i="1"/>
  <c r="L7830" i="1"/>
  <c r="K7830" i="1"/>
  <c r="E7814" i="1"/>
  <c r="L7814" i="1"/>
  <c r="K7814" i="1"/>
  <c r="J7814" i="1"/>
  <c r="E7798" i="1"/>
  <c r="L7798" i="1"/>
  <c r="K7798" i="1"/>
  <c r="J7798" i="1"/>
  <c r="E7782" i="1"/>
  <c r="L7782" i="1"/>
  <c r="K7782" i="1"/>
  <c r="E7766" i="1"/>
  <c r="L7766" i="1"/>
  <c r="K7766" i="1"/>
  <c r="E7750" i="1"/>
  <c r="L7750" i="1"/>
  <c r="K7750" i="1"/>
  <c r="J7750" i="1"/>
  <c r="E7726" i="1"/>
  <c r="L7726" i="1"/>
  <c r="K7726" i="1"/>
  <c r="E7710" i="1"/>
  <c r="L7710" i="1"/>
  <c r="J7710" i="1"/>
  <c r="K7710" i="1"/>
  <c r="E7694" i="1"/>
  <c r="L7694" i="1"/>
  <c r="K7694" i="1"/>
  <c r="J7694" i="1"/>
  <c r="E7678" i="1"/>
  <c r="L7678" i="1"/>
  <c r="J7678" i="1"/>
  <c r="K7678" i="1"/>
  <c r="E7662" i="1"/>
  <c r="L7662" i="1"/>
  <c r="K7662" i="1"/>
  <c r="L7646" i="1"/>
  <c r="J7646" i="1"/>
  <c r="K7646" i="1"/>
  <c r="E7630" i="1"/>
  <c r="L7630" i="1"/>
  <c r="K7630" i="1"/>
  <c r="J7630" i="1"/>
  <c r="E7614" i="1"/>
  <c r="L7614" i="1"/>
  <c r="J7614" i="1"/>
  <c r="K7614" i="1"/>
  <c r="E7598" i="1"/>
  <c r="L7598" i="1"/>
  <c r="K7598" i="1"/>
  <c r="E7582" i="1"/>
  <c r="L7582" i="1"/>
  <c r="J7582" i="1"/>
  <c r="K7582" i="1"/>
  <c r="E7566" i="1"/>
  <c r="L7566" i="1"/>
  <c r="K7566" i="1"/>
  <c r="J7566" i="1"/>
  <c r="E7550" i="1"/>
  <c r="L7550" i="1"/>
  <c r="J7550" i="1"/>
  <c r="K7550" i="1"/>
  <c r="E7534" i="1"/>
  <c r="L7534" i="1"/>
  <c r="K7534" i="1"/>
  <c r="E7518" i="1"/>
  <c r="L7518" i="1"/>
  <c r="J7518" i="1"/>
  <c r="K7518" i="1"/>
  <c r="E7502" i="1"/>
  <c r="L7502" i="1"/>
  <c r="K7502" i="1"/>
  <c r="J7502" i="1"/>
  <c r="E7486" i="1"/>
  <c r="L7486" i="1"/>
  <c r="J7486" i="1"/>
  <c r="K7486" i="1"/>
  <c r="E7470" i="1"/>
  <c r="L7470" i="1"/>
  <c r="K7470" i="1"/>
  <c r="E7454" i="1"/>
  <c r="L7454" i="1"/>
  <c r="J7454" i="1"/>
  <c r="K7454" i="1"/>
  <c r="E7438" i="1"/>
  <c r="L7438" i="1"/>
  <c r="K7438" i="1"/>
  <c r="J7438" i="1"/>
  <c r="E7422" i="1"/>
  <c r="L7422" i="1"/>
  <c r="J7422" i="1"/>
  <c r="K7422" i="1"/>
  <c r="E7406" i="1"/>
  <c r="L7406" i="1"/>
  <c r="K7406" i="1"/>
  <c r="E7390" i="1"/>
  <c r="L7390" i="1"/>
  <c r="J7390" i="1"/>
  <c r="K7390" i="1"/>
  <c r="E7374" i="1"/>
  <c r="L7374" i="1"/>
  <c r="K7374" i="1"/>
  <c r="J7374" i="1"/>
  <c r="E7358" i="1"/>
  <c r="L7358" i="1"/>
  <c r="J7358" i="1"/>
  <c r="K7358" i="1"/>
  <c r="E7342" i="1"/>
  <c r="L7342" i="1"/>
  <c r="K7342" i="1"/>
  <c r="J7342" i="1"/>
  <c r="E7326" i="1"/>
  <c r="L7326" i="1"/>
  <c r="K7326" i="1"/>
  <c r="J7326" i="1"/>
  <c r="E7310" i="1"/>
  <c r="L7310" i="1"/>
  <c r="K7310" i="1"/>
  <c r="J7310" i="1"/>
  <c r="E7294" i="1"/>
  <c r="L7294" i="1"/>
  <c r="K7294" i="1"/>
  <c r="J7294" i="1"/>
  <c r="E7278" i="1"/>
  <c r="L7278" i="1"/>
  <c r="K7278" i="1"/>
  <c r="J7278" i="1"/>
  <c r="E7262" i="1"/>
  <c r="L7262" i="1"/>
  <c r="K7262" i="1"/>
  <c r="J7262" i="1"/>
  <c r="E7246" i="1"/>
  <c r="L7246" i="1"/>
  <c r="K7246" i="1"/>
  <c r="J7246" i="1"/>
  <c r="E7230" i="1"/>
  <c r="L7230" i="1"/>
  <c r="K7230" i="1"/>
  <c r="J7230" i="1"/>
  <c r="E7214" i="1"/>
  <c r="L7214" i="1"/>
  <c r="K7214" i="1"/>
  <c r="E7198" i="1"/>
  <c r="L7198" i="1"/>
  <c r="K7198" i="1"/>
  <c r="J7198" i="1"/>
  <c r="E7182" i="1"/>
  <c r="L7182" i="1"/>
  <c r="K7182" i="1"/>
  <c r="J7182" i="1"/>
  <c r="E7166" i="1"/>
  <c r="L7166" i="1"/>
  <c r="K7166" i="1"/>
  <c r="J7166" i="1"/>
  <c r="E7150" i="1"/>
  <c r="L7150" i="1"/>
  <c r="K7150" i="1"/>
  <c r="E7134" i="1"/>
  <c r="L7134" i="1"/>
  <c r="K7134" i="1"/>
  <c r="J7134" i="1"/>
  <c r="E7118" i="1"/>
  <c r="L7118" i="1"/>
  <c r="K7118" i="1"/>
  <c r="J7118" i="1"/>
  <c r="E7102" i="1"/>
  <c r="L7102" i="1"/>
  <c r="K7102" i="1"/>
  <c r="J7102" i="1"/>
  <c r="E7086" i="1"/>
  <c r="L7086" i="1"/>
  <c r="K7086" i="1"/>
  <c r="J7086" i="1"/>
  <c r="E7070" i="1"/>
  <c r="L7070" i="1"/>
  <c r="K7070" i="1"/>
  <c r="J7070" i="1"/>
  <c r="E7054" i="1"/>
  <c r="L7054" i="1"/>
  <c r="K7054" i="1"/>
  <c r="J7054" i="1"/>
  <c r="E7046" i="1"/>
  <c r="L7046" i="1"/>
  <c r="K7046" i="1"/>
  <c r="J7046" i="1"/>
  <c r="E7030" i="1"/>
  <c r="L7030" i="1"/>
  <c r="K7030" i="1"/>
  <c r="E7014" i="1"/>
  <c r="L7014" i="1"/>
  <c r="K7014" i="1"/>
  <c r="J7014" i="1"/>
  <c r="E6998" i="1"/>
  <c r="L6998" i="1"/>
  <c r="K6998" i="1"/>
  <c r="J6998" i="1"/>
  <c r="E6982" i="1"/>
  <c r="L6982" i="1"/>
  <c r="K6982" i="1"/>
  <c r="J6982" i="1"/>
  <c r="E6966" i="1"/>
  <c r="L6966" i="1"/>
  <c r="K6966" i="1"/>
  <c r="E6950" i="1"/>
  <c r="L6950" i="1"/>
  <c r="K6950" i="1"/>
  <c r="J6950" i="1"/>
  <c r="E6934" i="1"/>
  <c r="L6934" i="1"/>
  <c r="K6934" i="1"/>
  <c r="J6934" i="1"/>
  <c r="E6918" i="1"/>
  <c r="L6918" i="1"/>
  <c r="K6918" i="1"/>
  <c r="J6918" i="1"/>
  <c r="E6902" i="1"/>
  <c r="L6902" i="1"/>
  <c r="K6902" i="1"/>
  <c r="J6902" i="1"/>
  <c r="L6886" i="1"/>
  <c r="K6886" i="1"/>
  <c r="J6886" i="1"/>
  <c r="E6862" i="1"/>
  <c r="L6862" i="1"/>
  <c r="K6862" i="1"/>
  <c r="J6862" i="1"/>
  <c r="E6846" i="1"/>
  <c r="L6846" i="1"/>
  <c r="K6846" i="1"/>
  <c r="J6846" i="1"/>
  <c r="E6830" i="1"/>
  <c r="L6830" i="1"/>
  <c r="K6830" i="1"/>
  <c r="J6830" i="1"/>
  <c r="E6814" i="1"/>
  <c r="L6814" i="1"/>
  <c r="K6814" i="1"/>
  <c r="J6814" i="1"/>
  <c r="E6798" i="1"/>
  <c r="L6798" i="1"/>
  <c r="K6798" i="1"/>
  <c r="J6798" i="1"/>
  <c r="E6782" i="1"/>
  <c r="L6782" i="1"/>
  <c r="K6782" i="1"/>
  <c r="J6782" i="1"/>
  <c r="E6766" i="1"/>
  <c r="L6766" i="1"/>
  <c r="K6766" i="1"/>
  <c r="J6766" i="1"/>
  <c r="E6750" i="1"/>
  <c r="L6750" i="1"/>
  <c r="K6750" i="1"/>
  <c r="J6750" i="1"/>
  <c r="L6734" i="1"/>
  <c r="K6734" i="1"/>
  <c r="L6718" i="1"/>
  <c r="K6718" i="1"/>
  <c r="L6702" i="1"/>
  <c r="K6702" i="1"/>
  <c r="L6686" i="1"/>
  <c r="K6686" i="1"/>
  <c r="L6670" i="1"/>
  <c r="K6670" i="1"/>
  <c r="L6654" i="1"/>
  <c r="K6654" i="1"/>
  <c r="L6638" i="1"/>
  <c r="K6638" i="1"/>
  <c r="L6630" i="1"/>
  <c r="K6630" i="1"/>
  <c r="L6614" i="1"/>
  <c r="K6614" i="1"/>
  <c r="L6598" i="1"/>
  <c r="K6598" i="1"/>
  <c r="L6582" i="1"/>
  <c r="K6582" i="1"/>
  <c r="L6566" i="1"/>
  <c r="K6566" i="1"/>
  <c r="L6550" i="1"/>
  <c r="K6550" i="1"/>
  <c r="L6534" i="1"/>
  <c r="K6534" i="1"/>
  <c r="L6518" i="1"/>
  <c r="K6518" i="1"/>
  <c r="L6502" i="1"/>
  <c r="K6502" i="1"/>
  <c r="L6486" i="1"/>
  <c r="K6486" i="1"/>
  <c r="J6470" i="1"/>
  <c r="L6470" i="1"/>
  <c r="K6470" i="1"/>
  <c r="L6454" i="1"/>
  <c r="K6454" i="1"/>
  <c r="L6438" i="1"/>
  <c r="K6438" i="1"/>
  <c r="L6422" i="1"/>
  <c r="K6422" i="1"/>
  <c r="L6406" i="1"/>
  <c r="K6406" i="1"/>
  <c r="L6390" i="1"/>
  <c r="K6390" i="1"/>
  <c r="J6374" i="1"/>
  <c r="L6374" i="1"/>
  <c r="K6374" i="1"/>
  <c r="L6358" i="1"/>
  <c r="K6358" i="1"/>
  <c r="J6342" i="1"/>
  <c r="L6342" i="1"/>
  <c r="K6342" i="1"/>
  <c r="L6326" i="1"/>
  <c r="K6326" i="1"/>
  <c r="L6310" i="1"/>
  <c r="K6310" i="1"/>
  <c r="L6294" i="1"/>
  <c r="K6294" i="1"/>
  <c r="L6286" i="1"/>
  <c r="K6286" i="1"/>
  <c r="J6278" i="1"/>
  <c r="L6278" i="1"/>
  <c r="K6278" i="1"/>
  <c r="L6262" i="1"/>
  <c r="K6262" i="1"/>
  <c r="L6254" i="1"/>
  <c r="K6254" i="1"/>
  <c r="J6246" i="1"/>
  <c r="L6246" i="1"/>
  <c r="K6246" i="1"/>
  <c r="L6238" i="1"/>
  <c r="K6238" i="1"/>
  <c r="J6230" i="1"/>
  <c r="L6230" i="1"/>
  <c r="K6230" i="1"/>
  <c r="L6222" i="1"/>
  <c r="K6222" i="1"/>
  <c r="L6214" i="1"/>
  <c r="K6214" i="1"/>
  <c r="L6206" i="1"/>
  <c r="K6206" i="1"/>
  <c r="L6198" i="1"/>
  <c r="K6198" i="1"/>
  <c r="L6190" i="1"/>
  <c r="K6190" i="1"/>
  <c r="L6182" i="1"/>
  <c r="K6182" i="1"/>
  <c r="L6174" i="1"/>
  <c r="K6174" i="1"/>
  <c r="L6166" i="1"/>
  <c r="K6166" i="1"/>
  <c r="L6158" i="1"/>
  <c r="K6158" i="1"/>
  <c r="L6150" i="1"/>
  <c r="K6150" i="1"/>
  <c r="L6142" i="1"/>
  <c r="K6142" i="1"/>
  <c r="L6134" i="1"/>
  <c r="K6134" i="1"/>
  <c r="L6126" i="1"/>
  <c r="K6126" i="1"/>
  <c r="L6118" i="1"/>
  <c r="K6118" i="1"/>
  <c r="L6110" i="1"/>
  <c r="K6110" i="1"/>
  <c r="L6102" i="1"/>
  <c r="K6102" i="1"/>
  <c r="L6094" i="1"/>
  <c r="K6094" i="1"/>
  <c r="L6086" i="1"/>
  <c r="K6086" i="1"/>
  <c r="J6078" i="1"/>
  <c r="L6078" i="1"/>
  <c r="K6078" i="1"/>
  <c r="L6070" i="1"/>
  <c r="K6070" i="1"/>
  <c r="J6062" i="1"/>
  <c r="L6062" i="1"/>
  <c r="K6062" i="1"/>
  <c r="L6054" i="1"/>
  <c r="K6054" i="1"/>
  <c r="J6046" i="1"/>
  <c r="L6046" i="1"/>
  <c r="K6046" i="1"/>
  <c r="L6038" i="1"/>
  <c r="K6038" i="1"/>
  <c r="J6030" i="1"/>
  <c r="L6030" i="1"/>
  <c r="K6030" i="1"/>
  <c r="L6022" i="1"/>
  <c r="K6022" i="1"/>
  <c r="J6014" i="1"/>
  <c r="L6014" i="1"/>
  <c r="K6014" i="1"/>
  <c r="L6006" i="1"/>
  <c r="K6006" i="1"/>
  <c r="J5998" i="1"/>
  <c r="L5998" i="1"/>
  <c r="K5998" i="1"/>
  <c r="L5990" i="1"/>
  <c r="K5990" i="1"/>
  <c r="J5982" i="1"/>
  <c r="L5982" i="1"/>
  <c r="K5982" i="1"/>
  <c r="L5974" i="1"/>
  <c r="K5974" i="1"/>
  <c r="J5966" i="1"/>
  <c r="L5966" i="1"/>
  <c r="K5966" i="1"/>
  <c r="L5958" i="1"/>
  <c r="K5958" i="1"/>
  <c r="J5950" i="1"/>
  <c r="L5950" i="1"/>
  <c r="K5950" i="1"/>
  <c r="L5942" i="1"/>
  <c r="K5942" i="1"/>
  <c r="J5934" i="1"/>
  <c r="L5934" i="1"/>
  <c r="K5934" i="1"/>
  <c r="L5926" i="1"/>
  <c r="K5926" i="1"/>
  <c r="J5918" i="1"/>
  <c r="L5918" i="1"/>
  <c r="K5918" i="1"/>
  <c r="L5910" i="1"/>
  <c r="K5910" i="1"/>
  <c r="L5902" i="1"/>
  <c r="K5902" i="1"/>
  <c r="L5894" i="1"/>
  <c r="K5894" i="1"/>
  <c r="L5886" i="1"/>
  <c r="K5886" i="1"/>
  <c r="L5878" i="1"/>
  <c r="K5878" i="1"/>
  <c r="L5870" i="1"/>
  <c r="K5870" i="1"/>
  <c r="L5862" i="1"/>
  <c r="K5862" i="1"/>
  <c r="L5854" i="1"/>
  <c r="K5854" i="1"/>
  <c r="L5846" i="1"/>
  <c r="K5846" i="1"/>
  <c r="L5838" i="1"/>
  <c r="K5838" i="1"/>
  <c r="L5830" i="1"/>
  <c r="K5830" i="1"/>
  <c r="L5822" i="1"/>
  <c r="K5822" i="1"/>
  <c r="L5814" i="1"/>
  <c r="K5814" i="1"/>
  <c r="L5806" i="1"/>
  <c r="K5806" i="1"/>
  <c r="L5798" i="1"/>
  <c r="K5798" i="1"/>
  <c r="L5790" i="1"/>
  <c r="K5790" i="1"/>
  <c r="L5782" i="1"/>
  <c r="K5782" i="1"/>
  <c r="L5766" i="1"/>
  <c r="K5766" i="1"/>
  <c r="L5758" i="1"/>
  <c r="K5758" i="1"/>
  <c r="L5750" i="1"/>
  <c r="K5750" i="1"/>
  <c r="L5742" i="1"/>
  <c r="K5742" i="1"/>
  <c r="L5734" i="1"/>
  <c r="K5734" i="1"/>
  <c r="L5726" i="1"/>
  <c r="K5726" i="1"/>
  <c r="L5718" i="1"/>
  <c r="K5718" i="1"/>
  <c r="J5710" i="1"/>
  <c r="L5710" i="1"/>
  <c r="K5710" i="1"/>
  <c r="L5702" i="1"/>
  <c r="K5702" i="1"/>
  <c r="J5694" i="1"/>
  <c r="L5694" i="1"/>
  <c r="K5694" i="1"/>
  <c r="L5686" i="1"/>
  <c r="K5686" i="1"/>
  <c r="J5678" i="1"/>
  <c r="L5678" i="1"/>
  <c r="K5678" i="1"/>
  <c r="L5670" i="1"/>
  <c r="K5670" i="1"/>
  <c r="J5662" i="1"/>
  <c r="L5662" i="1"/>
  <c r="K5662" i="1"/>
  <c r="L5654" i="1"/>
  <c r="K5654" i="1"/>
  <c r="J5646" i="1"/>
  <c r="L5646" i="1"/>
  <c r="K5646" i="1"/>
  <c r="L5638" i="1"/>
  <c r="K5638" i="1"/>
  <c r="J5630" i="1"/>
  <c r="L5630" i="1"/>
  <c r="K5630" i="1"/>
  <c r="L5622" i="1"/>
  <c r="K5622" i="1"/>
  <c r="J5614" i="1"/>
  <c r="L5614" i="1"/>
  <c r="K5614" i="1"/>
  <c r="L5606" i="1"/>
  <c r="K5606" i="1"/>
  <c r="J5598" i="1"/>
  <c r="L5598" i="1"/>
  <c r="K5598" i="1"/>
  <c r="L5590" i="1"/>
  <c r="K5590" i="1"/>
  <c r="L5582" i="1"/>
  <c r="K5582" i="1"/>
  <c r="L5574" i="1"/>
  <c r="K5574" i="1"/>
  <c r="L5566" i="1"/>
  <c r="K5566" i="1"/>
  <c r="L5558" i="1"/>
  <c r="K5558" i="1"/>
  <c r="L5550" i="1"/>
  <c r="K5550" i="1"/>
  <c r="L5542" i="1"/>
  <c r="K5542" i="1"/>
  <c r="L5534" i="1"/>
  <c r="K5534" i="1"/>
  <c r="L5526" i="1"/>
  <c r="K5526" i="1"/>
  <c r="L5518" i="1"/>
  <c r="K5518" i="1"/>
  <c r="L5510" i="1"/>
  <c r="K5510" i="1"/>
  <c r="L5502" i="1"/>
  <c r="K5502" i="1"/>
  <c r="L5494" i="1"/>
  <c r="K5494" i="1"/>
  <c r="L5486" i="1"/>
  <c r="K5486" i="1"/>
  <c r="L5478" i="1"/>
  <c r="K5478" i="1"/>
  <c r="L5470" i="1"/>
  <c r="K5470" i="1"/>
  <c r="L5462" i="1"/>
  <c r="K5462" i="1"/>
  <c r="L5454" i="1"/>
  <c r="K5454" i="1"/>
  <c r="J5446" i="1"/>
  <c r="L5446" i="1"/>
  <c r="K5446" i="1"/>
  <c r="L5438" i="1"/>
  <c r="K5438" i="1"/>
  <c r="J5430" i="1"/>
  <c r="L5430" i="1"/>
  <c r="K5430" i="1"/>
  <c r="L5422" i="1"/>
  <c r="K5422" i="1"/>
  <c r="J5414" i="1"/>
  <c r="L5414" i="1"/>
  <c r="K5414" i="1"/>
  <c r="L5406" i="1"/>
  <c r="K5406" i="1"/>
  <c r="J5398" i="1"/>
  <c r="L5398" i="1"/>
  <c r="K5398" i="1"/>
  <c r="L5390" i="1"/>
  <c r="K5390" i="1"/>
  <c r="J5382" i="1"/>
  <c r="L5382" i="1"/>
  <c r="K5382" i="1"/>
  <c r="L5374" i="1"/>
  <c r="K5374" i="1"/>
  <c r="J5366" i="1"/>
  <c r="L5366" i="1"/>
  <c r="K5366" i="1"/>
  <c r="L5358" i="1"/>
  <c r="K5358" i="1"/>
  <c r="J5350" i="1"/>
  <c r="L5350" i="1"/>
  <c r="K5350" i="1"/>
  <c r="L5342" i="1"/>
  <c r="K5342" i="1"/>
  <c r="J5334" i="1"/>
  <c r="L5334" i="1"/>
  <c r="K5334" i="1"/>
  <c r="L5326" i="1"/>
  <c r="K5326" i="1"/>
  <c r="L5318" i="1"/>
  <c r="K5318" i="1"/>
  <c r="L5310" i="1"/>
  <c r="K5310" i="1"/>
  <c r="L5302" i="1"/>
  <c r="K5302" i="1"/>
  <c r="L5294" i="1"/>
  <c r="K5294" i="1"/>
  <c r="L5286" i="1"/>
  <c r="K5286" i="1"/>
  <c r="L5278" i="1"/>
  <c r="K5278" i="1"/>
  <c r="L5270" i="1"/>
  <c r="K5270" i="1"/>
  <c r="L5262" i="1"/>
  <c r="K5262" i="1"/>
  <c r="L5254" i="1"/>
  <c r="K5254" i="1"/>
  <c r="L5246" i="1"/>
  <c r="K5246" i="1"/>
  <c r="L5238" i="1"/>
  <c r="K5238" i="1"/>
  <c r="L5230" i="1"/>
  <c r="K5230" i="1"/>
  <c r="L5222" i="1"/>
  <c r="K5222" i="1"/>
  <c r="L5214" i="1"/>
  <c r="K5214" i="1"/>
  <c r="L5206" i="1"/>
  <c r="K5206" i="1"/>
  <c r="L5198" i="1"/>
  <c r="K5198" i="1"/>
  <c r="J5190" i="1"/>
  <c r="L5190" i="1"/>
  <c r="K5190" i="1"/>
  <c r="L5182" i="1"/>
  <c r="K5182" i="1"/>
  <c r="J5174" i="1"/>
  <c r="L5174" i="1"/>
  <c r="K5174" i="1"/>
  <c r="L5166" i="1"/>
  <c r="K5166" i="1"/>
  <c r="J5158" i="1"/>
  <c r="L5158" i="1"/>
  <c r="K5158" i="1"/>
  <c r="L5150" i="1"/>
  <c r="K5150" i="1"/>
  <c r="J5142" i="1"/>
  <c r="L5142" i="1"/>
  <c r="K5142" i="1"/>
  <c r="L5134" i="1"/>
  <c r="K5134" i="1"/>
  <c r="J5126" i="1"/>
  <c r="L5126" i="1"/>
  <c r="K5126" i="1"/>
  <c r="L5118" i="1"/>
  <c r="K5118" i="1"/>
  <c r="L5110" i="1"/>
  <c r="K5110" i="1"/>
  <c r="L5102" i="1"/>
  <c r="K5102" i="1"/>
  <c r="L5094" i="1"/>
  <c r="K5094" i="1"/>
  <c r="J5086" i="1"/>
  <c r="L5086" i="1"/>
  <c r="K5086" i="1"/>
  <c r="L5078" i="1"/>
  <c r="K5078" i="1"/>
  <c r="J5070" i="1"/>
  <c r="L5070" i="1"/>
  <c r="K5070" i="1"/>
  <c r="L5062" i="1"/>
  <c r="K5062" i="1"/>
  <c r="J5054" i="1"/>
  <c r="L5054" i="1"/>
  <c r="K5054" i="1"/>
  <c r="L5046" i="1"/>
  <c r="K5046" i="1"/>
  <c r="J5038" i="1"/>
  <c r="L5038" i="1"/>
  <c r="K5038" i="1"/>
  <c r="L5030" i="1"/>
  <c r="K5030" i="1"/>
  <c r="J5022" i="1"/>
  <c r="L5022" i="1"/>
  <c r="K5022" i="1"/>
  <c r="L5014" i="1"/>
  <c r="K5014" i="1"/>
  <c r="J5006" i="1"/>
  <c r="L5006" i="1"/>
  <c r="K5006" i="1"/>
  <c r="L4998" i="1"/>
  <c r="K4998" i="1"/>
  <c r="J4990" i="1"/>
  <c r="L4990" i="1"/>
  <c r="K4990" i="1"/>
  <c r="L4982" i="1"/>
  <c r="K4982" i="1"/>
  <c r="J4974" i="1"/>
  <c r="L4974" i="1"/>
  <c r="K4974" i="1"/>
  <c r="L4966" i="1"/>
  <c r="K4966" i="1"/>
  <c r="J4958" i="1"/>
  <c r="L4958" i="1"/>
  <c r="K4958" i="1"/>
  <c r="L4950" i="1"/>
  <c r="K4950" i="1"/>
  <c r="J4942" i="1"/>
  <c r="L4942" i="1"/>
  <c r="K4942" i="1"/>
  <c r="L4934" i="1"/>
  <c r="K4934" i="1"/>
  <c r="J4926" i="1"/>
  <c r="L4926" i="1"/>
  <c r="K4926" i="1"/>
  <c r="L4918" i="1"/>
  <c r="K4918" i="1"/>
  <c r="L4910" i="1"/>
  <c r="K4910" i="1"/>
  <c r="L4902" i="1"/>
  <c r="K4902" i="1"/>
  <c r="L4894" i="1"/>
  <c r="K4894" i="1"/>
  <c r="L4886" i="1"/>
  <c r="K4886" i="1"/>
  <c r="L4878" i="1"/>
  <c r="K4878" i="1"/>
  <c r="L4870" i="1"/>
  <c r="K4870" i="1"/>
  <c r="L4862" i="1"/>
  <c r="K4862" i="1"/>
  <c r="L4854" i="1"/>
  <c r="K4854" i="1"/>
  <c r="J4846" i="1"/>
  <c r="L4846" i="1"/>
  <c r="K4846" i="1"/>
  <c r="L4838" i="1"/>
  <c r="K4838" i="1"/>
  <c r="J4830" i="1"/>
  <c r="L4830" i="1"/>
  <c r="K4830" i="1"/>
  <c r="L4822" i="1"/>
  <c r="K4822" i="1"/>
  <c r="J4814" i="1"/>
  <c r="L4814" i="1"/>
  <c r="K4814" i="1"/>
  <c r="L4806" i="1"/>
  <c r="K4806" i="1"/>
  <c r="J4798" i="1"/>
  <c r="L4798" i="1"/>
  <c r="K4798" i="1"/>
  <c r="L4790" i="1"/>
  <c r="K4790" i="1"/>
  <c r="J4782" i="1"/>
  <c r="L4782" i="1"/>
  <c r="K4782" i="1"/>
  <c r="L4774" i="1"/>
  <c r="K4774" i="1"/>
  <c r="J4766" i="1"/>
  <c r="L4766" i="1"/>
  <c r="K4766" i="1"/>
  <c r="L4758" i="1"/>
  <c r="K4758" i="1"/>
  <c r="J4750" i="1"/>
  <c r="L4750" i="1"/>
  <c r="K4750" i="1"/>
  <c r="L4742" i="1"/>
  <c r="K4742" i="1"/>
  <c r="J4734" i="1"/>
  <c r="L4734" i="1"/>
  <c r="K4734" i="1"/>
  <c r="L4726" i="1"/>
  <c r="K4726" i="1"/>
  <c r="J4718" i="1"/>
  <c r="L4718" i="1"/>
  <c r="K4718" i="1"/>
  <c r="L4710" i="1"/>
  <c r="K4710" i="1"/>
  <c r="J4702" i="1"/>
  <c r="L4702" i="1"/>
  <c r="K4702" i="1"/>
  <c r="L4694" i="1"/>
  <c r="K4694" i="1"/>
  <c r="J4686" i="1"/>
  <c r="L4686" i="1"/>
  <c r="K4686" i="1"/>
  <c r="L4678" i="1"/>
  <c r="K4678" i="1"/>
  <c r="J4670" i="1"/>
  <c r="L4670" i="1"/>
  <c r="K4670" i="1"/>
  <c r="L4662" i="1"/>
  <c r="K4662" i="1"/>
  <c r="J4654" i="1"/>
  <c r="L4654" i="1"/>
  <c r="K4654" i="1"/>
  <c r="L4646" i="1"/>
  <c r="K4646" i="1"/>
  <c r="J4638" i="1"/>
  <c r="L4638" i="1"/>
  <c r="K4638" i="1"/>
  <c r="L4630" i="1"/>
  <c r="K4630" i="1"/>
  <c r="J4622" i="1"/>
  <c r="L4622" i="1"/>
  <c r="K4622" i="1"/>
  <c r="L4614" i="1"/>
  <c r="K4614" i="1"/>
  <c r="J4606" i="1"/>
  <c r="L4606" i="1"/>
  <c r="K4606" i="1"/>
  <c r="L4598" i="1"/>
  <c r="K4598" i="1"/>
  <c r="J4590" i="1"/>
  <c r="L4590" i="1"/>
  <c r="K4590" i="1"/>
  <c r="L4582" i="1"/>
  <c r="K4582" i="1"/>
  <c r="J4574" i="1"/>
  <c r="L4574" i="1"/>
  <c r="K4574" i="1"/>
  <c r="L4566" i="1"/>
  <c r="K4566" i="1"/>
  <c r="J4558" i="1"/>
  <c r="L4558" i="1"/>
  <c r="K4558" i="1"/>
  <c r="L4550" i="1"/>
  <c r="K4550" i="1"/>
  <c r="J4542" i="1"/>
  <c r="L4542" i="1"/>
  <c r="K4542" i="1"/>
  <c r="L4534" i="1"/>
  <c r="K4534" i="1"/>
  <c r="J4526" i="1"/>
  <c r="L4526" i="1"/>
  <c r="K4526" i="1"/>
  <c r="L4518" i="1"/>
  <c r="K4518" i="1"/>
  <c r="J4510" i="1"/>
  <c r="L4510" i="1"/>
  <c r="K4510" i="1"/>
  <c r="L4502" i="1"/>
  <c r="K4502" i="1"/>
  <c r="J4494" i="1"/>
  <c r="L4494" i="1"/>
  <c r="K4494" i="1"/>
  <c r="L4486" i="1"/>
  <c r="K4486" i="1"/>
  <c r="J4478" i="1"/>
  <c r="L4478" i="1"/>
  <c r="K4478" i="1"/>
  <c r="L4470" i="1"/>
  <c r="K4470" i="1"/>
  <c r="J4462" i="1"/>
  <c r="L4462" i="1"/>
  <c r="K4462" i="1"/>
  <c r="E4454" i="1"/>
  <c r="L4454" i="1"/>
  <c r="K4454" i="1"/>
  <c r="J4454" i="1"/>
  <c r="J4446" i="1"/>
  <c r="L4446" i="1"/>
  <c r="K4446" i="1"/>
  <c r="L4438" i="1"/>
  <c r="K4438" i="1"/>
  <c r="J4430" i="1"/>
  <c r="L4430" i="1"/>
  <c r="K4430" i="1"/>
  <c r="L4422" i="1"/>
  <c r="K4422" i="1"/>
  <c r="J4414" i="1"/>
  <c r="L4414" i="1"/>
  <c r="K4414" i="1"/>
  <c r="L4406" i="1"/>
  <c r="K4406" i="1"/>
  <c r="J4398" i="1"/>
  <c r="L4398" i="1"/>
  <c r="K4398" i="1"/>
  <c r="E4390" i="1"/>
  <c r="L4390" i="1"/>
  <c r="K4390" i="1"/>
  <c r="J4382" i="1"/>
  <c r="L4382" i="1"/>
  <c r="K4382" i="1"/>
  <c r="L4374" i="1"/>
  <c r="K4374" i="1"/>
  <c r="E4366" i="1"/>
  <c r="L4366" i="1"/>
  <c r="K4366" i="1"/>
  <c r="J4366" i="1"/>
  <c r="L4358" i="1"/>
  <c r="K4358" i="1"/>
  <c r="L4350" i="1"/>
  <c r="K4350" i="1"/>
  <c r="L4342" i="1"/>
  <c r="K4342" i="1"/>
  <c r="L4334" i="1"/>
  <c r="K4334" i="1"/>
  <c r="E4326" i="1"/>
  <c r="L4326" i="1"/>
  <c r="K4326" i="1"/>
  <c r="L4318" i="1"/>
  <c r="K4318" i="1"/>
  <c r="L4310" i="1"/>
  <c r="K4310" i="1"/>
  <c r="E4302" i="1"/>
  <c r="L4302" i="1"/>
  <c r="K4302" i="1"/>
  <c r="L4294" i="1"/>
  <c r="K4294" i="1"/>
  <c r="L4286" i="1"/>
  <c r="K4286" i="1"/>
  <c r="L4278" i="1"/>
  <c r="K4278" i="1"/>
  <c r="L4270" i="1"/>
  <c r="K4270" i="1"/>
  <c r="E4262" i="1"/>
  <c r="L4262" i="1"/>
  <c r="K4262" i="1"/>
  <c r="L4254" i="1"/>
  <c r="K4254" i="1"/>
  <c r="L4246" i="1"/>
  <c r="K4246" i="1"/>
  <c r="E4238" i="1"/>
  <c r="L4238" i="1"/>
  <c r="K4238" i="1"/>
  <c r="L4230" i="1"/>
  <c r="K4230" i="1"/>
  <c r="L4222" i="1"/>
  <c r="K4222" i="1"/>
  <c r="J4214" i="1"/>
  <c r="L4214" i="1"/>
  <c r="K4214" i="1"/>
  <c r="L4206" i="1"/>
  <c r="K4206" i="1"/>
  <c r="L4198" i="1"/>
  <c r="K4198" i="1"/>
  <c r="J4198" i="1"/>
  <c r="L4190" i="1"/>
  <c r="K4190" i="1"/>
  <c r="J4182" i="1"/>
  <c r="L4182" i="1"/>
  <c r="K4182" i="1"/>
  <c r="E4174" i="1"/>
  <c r="L4174" i="1"/>
  <c r="K4174" i="1"/>
  <c r="J4166" i="1"/>
  <c r="L4166" i="1"/>
  <c r="K4166" i="1"/>
  <c r="L4158" i="1"/>
  <c r="K4158" i="1"/>
  <c r="J4150" i="1"/>
  <c r="L4150" i="1"/>
  <c r="K4150" i="1"/>
  <c r="L4142" i="1"/>
  <c r="K4142" i="1"/>
  <c r="J4134" i="1"/>
  <c r="L4134" i="1"/>
  <c r="K4134" i="1"/>
  <c r="E4126" i="1"/>
  <c r="L4126" i="1"/>
  <c r="K4126" i="1"/>
  <c r="J4118" i="1"/>
  <c r="L4118" i="1"/>
  <c r="K4118" i="1"/>
  <c r="L4110" i="1"/>
  <c r="K4110" i="1"/>
  <c r="J4102" i="1"/>
  <c r="L4102" i="1"/>
  <c r="K4102" i="1"/>
  <c r="E4094" i="1"/>
  <c r="L4094" i="1"/>
  <c r="K4094" i="1"/>
  <c r="J4094" i="1"/>
  <c r="L4086" i="1"/>
  <c r="K4086" i="1"/>
  <c r="J4078" i="1"/>
  <c r="L4078" i="1"/>
  <c r="K4078" i="1"/>
  <c r="L4070" i="1"/>
  <c r="K4070" i="1"/>
  <c r="J4062" i="1"/>
  <c r="L4062" i="1"/>
  <c r="K4062" i="1"/>
  <c r="L4054" i="1"/>
  <c r="K4054" i="1"/>
  <c r="J4046" i="1"/>
  <c r="L4046" i="1"/>
  <c r="K4046" i="1"/>
  <c r="L4038" i="1"/>
  <c r="K4038" i="1"/>
  <c r="J4030" i="1"/>
  <c r="L4030" i="1"/>
  <c r="K4030" i="1"/>
  <c r="L4022" i="1"/>
  <c r="K4022" i="1"/>
  <c r="J4014" i="1"/>
  <c r="L4014" i="1"/>
  <c r="K4014" i="1"/>
  <c r="J4006" i="1"/>
  <c r="L4006" i="1"/>
  <c r="K4006" i="1"/>
  <c r="E3998" i="1"/>
  <c r="L3998" i="1"/>
  <c r="K3998" i="1"/>
  <c r="J3990" i="1"/>
  <c r="L3990" i="1"/>
  <c r="K3990" i="1"/>
  <c r="L3982" i="1"/>
  <c r="K3982" i="1"/>
  <c r="L3974" i="1"/>
  <c r="K3974" i="1"/>
  <c r="E3966" i="1"/>
  <c r="L3966" i="1"/>
  <c r="K3966" i="1"/>
  <c r="J3966" i="1"/>
  <c r="L3958" i="1"/>
  <c r="K3958" i="1"/>
  <c r="J3950" i="1"/>
  <c r="L3950" i="1"/>
  <c r="K3950" i="1"/>
  <c r="L3942" i="1"/>
  <c r="K3942" i="1"/>
  <c r="E3934" i="1"/>
  <c r="L3934" i="1"/>
  <c r="K3934" i="1"/>
  <c r="J3926" i="1"/>
  <c r="L3926" i="1"/>
  <c r="K3926" i="1"/>
  <c r="L3918" i="1"/>
  <c r="K3918" i="1"/>
  <c r="J3910" i="1"/>
  <c r="L3910" i="1"/>
  <c r="K3910" i="1"/>
  <c r="E3902" i="1"/>
  <c r="L3902" i="1"/>
  <c r="K3902" i="1"/>
  <c r="J3894" i="1"/>
  <c r="L3894" i="1"/>
  <c r="K3894" i="1"/>
  <c r="L3886" i="1"/>
  <c r="K3886" i="1"/>
  <c r="J3878" i="1"/>
  <c r="L3878" i="1"/>
  <c r="K3878" i="1"/>
  <c r="E3870" i="1"/>
  <c r="L3870" i="1"/>
  <c r="K3870" i="1"/>
  <c r="J3862" i="1"/>
  <c r="L3862" i="1"/>
  <c r="K3862" i="1"/>
  <c r="L3854" i="1"/>
  <c r="K3854" i="1"/>
  <c r="J3846" i="1"/>
  <c r="L3846" i="1"/>
  <c r="K3846" i="1"/>
  <c r="E3838" i="1"/>
  <c r="L3838" i="1"/>
  <c r="K3838" i="1"/>
  <c r="J3838" i="1"/>
  <c r="J3830" i="1"/>
  <c r="L3830" i="1"/>
  <c r="K3830" i="1"/>
  <c r="L3822" i="1"/>
  <c r="K3822" i="1"/>
  <c r="J3814" i="1"/>
  <c r="L3814" i="1"/>
  <c r="K3814" i="1"/>
  <c r="J3806" i="1"/>
  <c r="L3806" i="1"/>
  <c r="K3806" i="1"/>
  <c r="J3798" i="1"/>
  <c r="L3798" i="1"/>
  <c r="K3798" i="1"/>
  <c r="J3790" i="1"/>
  <c r="L3790" i="1"/>
  <c r="K3790" i="1"/>
  <c r="L3782" i="1"/>
  <c r="K3782" i="1"/>
  <c r="E3774" i="1"/>
  <c r="L3774" i="1"/>
  <c r="K3774" i="1"/>
  <c r="J3766" i="1"/>
  <c r="L3766" i="1"/>
  <c r="K3766" i="1"/>
  <c r="J3758" i="1"/>
  <c r="L3758" i="1"/>
  <c r="K3758" i="1"/>
  <c r="J3750" i="1"/>
  <c r="L3750" i="1"/>
  <c r="K3750" i="1"/>
  <c r="J3742" i="1"/>
  <c r="L3742" i="1"/>
  <c r="K3742" i="1"/>
  <c r="J3734" i="1"/>
  <c r="L3734" i="1"/>
  <c r="K3734" i="1"/>
  <c r="J3726" i="1"/>
  <c r="L3726" i="1"/>
  <c r="K3726" i="1"/>
  <c r="J3718" i="1"/>
  <c r="L3718" i="1"/>
  <c r="K3718" i="1"/>
  <c r="L3710" i="1"/>
  <c r="K3710" i="1"/>
  <c r="J3710" i="1"/>
  <c r="J3702" i="1"/>
  <c r="L3702" i="1"/>
  <c r="K3702" i="1"/>
  <c r="J3694" i="1"/>
  <c r="L3694" i="1"/>
  <c r="K3694" i="1"/>
  <c r="J3686" i="1"/>
  <c r="L3686" i="1"/>
  <c r="K3686" i="1"/>
  <c r="J3678" i="1"/>
  <c r="L3678" i="1"/>
  <c r="K3678" i="1"/>
  <c r="J3670" i="1"/>
  <c r="L3670" i="1"/>
  <c r="K3670" i="1"/>
  <c r="J3662" i="1"/>
  <c r="L3662" i="1"/>
  <c r="K3662" i="1"/>
  <c r="J3654" i="1"/>
  <c r="L3654" i="1"/>
  <c r="K3654" i="1"/>
  <c r="J3646" i="1"/>
  <c r="L3646" i="1"/>
  <c r="K3646" i="1"/>
  <c r="J3638" i="1"/>
  <c r="L3638" i="1"/>
  <c r="K3638" i="1"/>
  <c r="J3630" i="1"/>
  <c r="L3630" i="1"/>
  <c r="K3630" i="1"/>
  <c r="J3622" i="1"/>
  <c r="L3622" i="1"/>
  <c r="K3622" i="1"/>
  <c r="J3614" i="1"/>
  <c r="L3614" i="1"/>
  <c r="K3614" i="1"/>
  <c r="J3606" i="1"/>
  <c r="L3606" i="1"/>
  <c r="K3606" i="1"/>
  <c r="J3598" i="1"/>
  <c r="L3598" i="1"/>
  <c r="K3598" i="1"/>
  <c r="J3590" i="1"/>
  <c r="L3590" i="1"/>
  <c r="K3590" i="1"/>
  <c r="L3582" i="1"/>
  <c r="K3582" i="1"/>
  <c r="J3582" i="1"/>
  <c r="J3574" i="1"/>
  <c r="L3574" i="1"/>
  <c r="K3574" i="1"/>
  <c r="J3566" i="1"/>
  <c r="L3566" i="1"/>
  <c r="K3566" i="1"/>
  <c r="J3558" i="1"/>
  <c r="L3558" i="1"/>
  <c r="K3558" i="1"/>
  <c r="J3550" i="1"/>
  <c r="L3550" i="1"/>
  <c r="K3550" i="1"/>
  <c r="J3542" i="1"/>
  <c r="L3542" i="1"/>
  <c r="K3542" i="1"/>
  <c r="J3534" i="1"/>
  <c r="L3534" i="1"/>
  <c r="K3534" i="1"/>
  <c r="J3526" i="1"/>
  <c r="L3526" i="1"/>
  <c r="K3526" i="1"/>
  <c r="J3518" i="1"/>
  <c r="L3518" i="1"/>
  <c r="K3518" i="1"/>
  <c r="J3510" i="1"/>
  <c r="L3510" i="1"/>
  <c r="K3510" i="1"/>
  <c r="J3502" i="1"/>
  <c r="L3502" i="1"/>
  <c r="K3502" i="1"/>
  <c r="J3494" i="1"/>
  <c r="L3494" i="1"/>
  <c r="K3494" i="1"/>
  <c r="J3486" i="1"/>
  <c r="L3486" i="1"/>
  <c r="K3486" i="1"/>
  <c r="J3478" i="1"/>
  <c r="L3478" i="1"/>
  <c r="K3478" i="1"/>
  <c r="J3470" i="1"/>
  <c r="L3470" i="1"/>
  <c r="K3470" i="1"/>
  <c r="J3462" i="1"/>
  <c r="L3462" i="1"/>
  <c r="K3462" i="1"/>
  <c r="L3454" i="1"/>
  <c r="K3454" i="1"/>
  <c r="J3446" i="1"/>
  <c r="L3446" i="1"/>
  <c r="K3446" i="1"/>
  <c r="J3438" i="1"/>
  <c r="L3438" i="1"/>
  <c r="K3438" i="1"/>
  <c r="J3430" i="1"/>
  <c r="L3430" i="1"/>
  <c r="K3430" i="1"/>
  <c r="J3422" i="1"/>
  <c r="L3422" i="1"/>
  <c r="K3422" i="1"/>
  <c r="J3414" i="1"/>
  <c r="L3414" i="1"/>
  <c r="K3414" i="1"/>
  <c r="J3406" i="1"/>
  <c r="L3406" i="1"/>
  <c r="K3406" i="1"/>
  <c r="J3398" i="1"/>
  <c r="L3398" i="1"/>
  <c r="K3398" i="1"/>
  <c r="J3390" i="1"/>
  <c r="L3390" i="1"/>
  <c r="K3390" i="1"/>
  <c r="J3382" i="1"/>
  <c r="L3382" i="1"/>
  <c r="K3382" i="1"/>
  <c r="J3374" i="1"/>
  <c r="L3374" i="1"/>
  <c r="K3374" i="1"/>
  <c r="J3366" i="1"/>
  <c r="L3366" i="1"/>
  <c r="K3366" i="1"/>
  <c r="J3358" i="1"/>
  <c r="L3358" i="1"/>
  <c r="K3358" i="1"/>
  <c r="J3350" i="1"/>
  <c r="L3350" i="1"/>
  <c r="K3350" i="1"/>
  <c r="J3342" i="1"/>
  <c r="L3342" i="1"/>
  <c r="K3342" i="1"/>
  <c r="J3334" i="1"/>
  <c r="L3334" i="1"/>
  <c r="K3334" i="1"/>
  <c r="L3326" i="1"/>
  <c r="K3326" i="1"/>
  <c r="J3326" i="1"/>
  <c r="J3318" i="1"/>
  <c r="L3318" i="1"/>
  <c r="K3318" i="1"/>
  <c r="J3310" i="1"/>
  <c r="L3310" i="1"/>
  <c r="K3310" i="1"/>
  <c r="J3302" i="1"/>
  <c r="L3302" i="1"/>
  <c r="K3302" i="1"/>
  <c r="J3294" i="1"/>
  <c r="L3294" i="1"/>
  <c r="K3294" i="1"/>
  <c r="J3286" i="1"/>
  <c r="L3286" i="1"/>
  <c r="K3286" i="1"/>
  <c r="J3278" i="1"/>
  <c r="L3278" i="1"/>
  <c r="K3278" i="1"/>
  <c r="J3270" i="1"/>
  <c r="L3270" i="1"/>
  <c r="K3270" i="1"/>
  <c r="J3262" i="1"/>
  <c r="L3262" i="1"/>
  <c r="K3262" i="1"/>
  <c r="J3254" i="1"/>
  <c r="L3254" i="1"/>
  <c r="K3254" i="1"/>
  <c r="J3246" i="1"/>
  <c r="L3246" i="1"/>
  <c r="K3246" i="1"/>
  <c r="J3238" i="1"/>
  <c r="L3238" i="1"/>
  <c r="K3238" i="1"/>
  <c r="J3230" i="1"/>
  <c r="L3230" i="1"/>
  <c r="K3230" i="1"/>
  <c r="J3222" i="1"/>
  <c r="L3222" i="1"/>
  <c r="K3222" i="1"/>
  <c r="J3214" i="1"/>
  <c r="L3214" i="1"/>
  <c r="K3214" i="1"/>
  <c r="J3206" i="1"/>
  <c r="L3206" i="1"/>
  <c r="K3206" i="1"/>
  <c r="J3198" i="1"/>
  <c r="L3198" i="1"/>
  <c r="K3198" i="1"/>
  <c r="J3190" i="1"/>
  <c r="L3190" i="1"/>
  <c r="K3190" i="1"/>
  <c r="J3182" i="1"/>
  <c r="L3182" i="1"/>
  <c r="K3182" i="1"/>
  <c r="J3174" i="1"/>
  <c r="L3174" i="1"/>
  <c r="K3174" i="1"/>
  <c r="J3166" i="1"/>
  <c r="L3166" i="1"/>
  <c r="K3166" i="1"/>
  <c r="J3158" i="1"/>
  <c r="L3158" i="1"/>
  <c r="K3158" i="1"/>
  <c r="J3150" i="1"/>
  <c r="L3150" i="1"/>
  <c r="K3150" i="1"/>
  <c r="J3142" i="1"/>
  <c r="L3142" i="1"/>
  <c r="K3142" i="1"/>
  <c r="J3134" i="1"/>
  <c r="L3134" i="1"/>
  <c r="K3134" i="1"/>
  <c r="J3126" i="1"/>
  <c r="L3126" i="1"/>
  <c r="K3126" i="1"/>
  <c r="J3118" i="1"/>
  <c r="L3118" i="1"/>
  <c r="K3118" i="1"/>
  <c r="J3110" i="1"/>
  <c r="L3110" i="1"/>
  <c r="K3110" i="1"/>
  <c r="J3102" i="1"/>
  <c r="L3102" i="1"/>
  <c r="K3102" i="1"/>
  <c r="J3094" i="1"/>
  <c r="L3094" i="1"/>
  <c r="K3094" i="1"/>
  <c r="J3086" i="1"/>
  <c r="L3086" i="1"/>
  <c r="K3086" i="1"/>
  <c r="L3078" i="1"/>
  <c r="K3078" i="1"/>
  <c r="J3070" i="1"/>
  <c r="L3070" i="1"/>
  <c r="K3070" i="1"/>
  <c r="J3062" i="1"/>
  <c r="L3062" i="1"/>
  <c r="K3062" i="1"/>
  <c r="L3054" i="1"/>
  <c r="K3054" i="1"/>
  <c r="J3054" i="1"/>
  <c r="J3046" i="1"/>
  <c r="L3046" i="1"/>
  <c r="K3046" i="1"/>
  <c r="J3038" i="1"/>
  <c r="L3038" i="1"/>
  <c r="K3038" i="1"/>
  <c r="J3030" i="1"/>
  <c r="L3030" i="1"/>
  <c r="K3030" i="1"/>
  <c r="J3022" i="1"/>
  <c r="L3022" i="1"/>
  <c r="K3022" i="1"/>
  <c r="L3014" i="1"/>
  <c r="K3014" i="1"/>
  <c r="J3006" i="1"/>
  <c r="L3006" i="1"/>
  <c r="K3006" i="1"/>
  <c r="J2998" i="1"/>
  <c r="L2998" i="1"/>
  <c r="K2998" i="1"/>
  <c r="J2990" i="1"/>
  <c r="L2990" i="1"/>
  <c r="K2990" i="1"/>
  <c r="J2982" i="1"/>
  <c r="L2982" i="1"/>
  <c r="K2982" i="1"/>
  <c r="J2974" i="1"/>
  <c r="L2974" i="1"/>
  <c r="K2974" i="1"/>
  <c r="J2966" i="1"/>
  <c r="L2966" i="1"/>
  <c r="K2966" i="1"/>
  <c r="J2958" i="1"/>
  <c r="L2958" i="1"/>
  <c r="K2958" i="1"/>
  <c r="I2950" i="1"/>
  <c r="L2950" i="1"/>
  <c r="K2950" i="1"/>
  <c r="J2942" i="1"/>
  <c r="L2942" i="1"/>
  <c r="K2942" i="1"/>
  <c r="J2934" i="1"/>
  <c r="L2934" i="1"/>
  <c r="K2934" i="1"/>
  <c r="J2926" i="1"/>
  <c r="L2926" i="1"/>
  <c r="K2926" i="1"/>
  <c r="J2918" i="1"/>
  <c r="L2918" i="1"/>
  <c r="K2918" i="1"/>
  <c r="J2910" i="1"/>
  <c r="L2910" i="1"/>
  <c r="K2910" i="1"/>
  <c r="J2902" i="1"/>
  <c r="L2902" i="1"/>
  <c r="K2902" i="1"/>
  <c r="J2894" i="1"/>
  <c r="L2894" i="1"/>
  <c r="K2894" i="1"/>
  <c r="L2886" i="1"/>
  <c r="K2886" i="1"/>
  <c r="J2878" i="1"/>
  <c r="L2878" i="1"/>
  <c r="K2878" i="1"/>
  <c r="J2870" i="1"/>
  <c r="L2870" i="1"/>
  <c r="K2870" i="1"/>
  <c r="J2862" i="1"/>
  <c r="L2862" i="1"/>
  <c r="K2862" i="1"/>
  <c r="J2854" i="1"/>
  <c r="L2854" i="1"/>
  <c r="K2854" i="1"/>
  <c r="J2846" i="1"/>
  <c r="L2846" i="1"/>
  <c r="K2846" i="1"/>
  <c r="J2838" i="1"/>
  <c r="L2838" i="1"/>
  <c r="K2838" i="1"/>
  <c r="J2830" i="1"/>
  <c r="L2830" i="1"/>
  <c r="K2830" i="1"/>
  <c r="L2822" i="1"/>
  <c r="K2822" i="1"/>
  <c r="J2814" i="1"/>
  <c r="L2814" i="1"/>
  <c r="K2814" i="1"/>
  <c r="J2806" i="1"/>
  <c r="L2806" i="1"/>
  <c r="K2806" i="1"/>
  <c r="J2798" i="1"/>
  <c r="L2798" i="1"/>
  <c r="K2798" i="1"/>
  <c r="J2790" i="1"/>
  <c r="L2790" i="1"/>
  <c r="K2790" i="1"/>
  <c r="J2782" i="1"/>
  <c r="L2782" i="1"/>
  <c r="K2782" i="1"/>
  <c r="J2774" i="1"/>
  <c r="L2774" i="1"/>
  <c r="K2774" i="1"/>
  <c r="J2766" i="1"/>
  <c r="L2766" i="1"/>
  <c r="K2766" i="1"/>
  <c r="L2758" i="1"/>
  <c r="K2758" i="1"/>
  <c r="J2750" i="1"/>
  <c r="L2750" i="1"/>
  <c r="K2750" i="1"/>
  <c r="J2742" i="1"/>
  <c r="L2742" i="1"/>
  <c r="K2742" i="1"/>
  <c r="J2734" i="1"/>
  <c r="L2734" i="1"/>
  <c r="K2734" i="1"/>
  <c r="J2726" i="1"/>
  <c r="L2726" i="1"/>
  <c r="K2726" i="1"/>
  <c r="J2718" i="1"/>
  <c r="L2718" i="1"/>
  <c r="K2718" i="1"/>
  <c r="J2710" i="1"/>
  <c r="L2710" i="1"/>
  <c r="K2710" i="1"/>
  <c r="J2702" i="1"/>
  <c r="L2702" i="1"/>
  <c r="K2702" i="1"/>
  <c r="I2694" i="1"/>
  <c r="L2694" i="1"/>
  <c r="K2694" i="1"/>
  <c r="J2694" i="1"/>
  <c r="J2686" i="1"/>
  <c r="L2686" i="1"/>
  <c r="K2686" i="1"/>
  <c r="J2678" i="1"/>
  <c r="L2678" i="1"/>
  <c r="K2678" i="1"/>
  <c r="J2670" i="1"/>
  <c r="L2670" i="1"/>
  <c r="K2670" i="1"/>
  <c r="J2662" i="1"/>
  <c r="L2662" i="1"/>
  <c r="K2662" i="1"/>
  <c r="J2654" i="1"/>
  <c r="L2654" i="1"/>
  <c r="K2654" i="1"/>
  <c r="J2646" i="1"/>
  <c r="L2646" i="1"/>
  <c r="K2646" i="1"/>
  <c r="J2638" i="1"/>
  <c r="L2638" i="1"/>
  <c r="K2638" i="1"/>
  <c r="J2630" i="1"/>
  <c r="L2630" i="1"/>
  <c r="K2630" i="1"/>
  <c r="J2622" i="1"/>
  <c r="L2622" i="1"/>
  <c r="K2622" i="1"/>
  <c r="J2614" i="1"/>
  <c r="L2614" i="1"/>
  <c r="K2614" i="1"/>
  <c r="J2606" i="1"/>
  <c r="L2606" i="1"/>
  <c r="K2606" i="1"/>
  <c r="J2598" i="1"/>
  <c r="L2598" i="1"/>
  <c r="K2598" i="1"/>
  <c r="J2590" i="1"/>
  <c r="L2590" i="1"/>
  <c r="K2590" i="1"/>
  <c r="J2582" i="1"/>
  <c r="L2582" i="1"/>
  <c r="K2582" i="1"/>
  <c r="J2574" i="1"/>
  <c r="L2574" i="1"/>
  <c r="K2574" i="1"/>
  <c r="L2566" i="1"/>
  <c r="K2566" i="1"/>
  <c r="J2558" i="1"/>
  <c r="L2558" i="1"/>
  <c r="K2558" i="1"/>
  <c r="J2550" i="1"/>
  <c r="L2550" i="1"/>
  <c r="K2550" i="1"/>
  <c r="J2542" i="1"/>
  <c r="L2542" i="1"/>
  <c r="K2542" i="1"/>
  <c r="J2534" i="1"/>
  <c r="L2534" i="1"/>
  <c r="K2534" i="1"/>
  <c r="J2526" i="1"/>
  <c r="L2526" i="1"/>
  <c r="K2526" i="1"/>
  <c r="J2518" i="1"/>
  <c r="L2518" i="1"/>
  <c r="K2518" i="1"/>
  <c r="J2510" i="1"/>
  <c r="L2510" i="1"/>
  <c r="K2510" i="1"/>
  <c r="L2502" i="1"/>
  <c r="K2502" i="1"/>
  <c r="J2494" i="1"/>
  <c r="L2494" i="1"/>
  <c r="K2494" i="1"/>
  <c r="J2486" i="1"/>
  <c r="L2486" i="1"/>
  <c r="K2486" i="1"/>
  <c r="J2478" i="1"/>
  <c r="L2478" i="1"/>
  <c r="K2478" i="1"/>
  <c r="J2470" i="1"/>
  <c r="L2470" i="1"/>
  <c r="K2470" i="1"/>
  <c r="J2462" i="1"/>
  <c r="L2462" i="1"/>
  <c r="K2462" i="1"/>
  <c r="J2454" i="1"/>
  <c r="L2454" i="1"/>
  <c r="K2454" i="1"/>
  <c r="J2446" i="1"/>
  <c r="L2446" i="1"/>
  <c r="K2446" i="1"/>
  <c r="J2438" i="1"/>
  <c r="L2438" i="1"/>
  <c r="K2438" i="1"/>
  <c r="J2430" i="1"/>
  <c r="L2430" i="1"/>
  <c r="K2430" i="1"/>
  <c r="J2422" i="1"/>
  <c r="L2422" i="1"/>
  <c r="K2422" i="1"/>
  <c r="J2414" i="1"/>
  <c r="L2414" i="1"/>
  <c r="K2414" i="1"/>
  <c r="J2406" i="1"/>
  <c r="L2406" i="1"/>
  <c r="K2406" i="1"/>
  <c r="J2398" i="1"/>
  <c r="L2398" i="1"/>
  <c r="K2398" i="1"/>
  <c r="J2390" i="1"/>
  <c r="L2390" i="1"/>
  <c r="K2390" i="1"/>
  <c r="J2382" i="1"/>
  <c r="L2382" i="1"/>
  <c r="K2382" i="1"/>
  <c r="L2374" i="1"/>
  <c r="K2374" i="1"/>
  <c r="J2366" i="1"/>
  <c r="L2366" i="1"/>
  <c r="K2366" i="1"/>
  <c r="J2358" i="1"/>
  <c r="L2358" i="1"/>
  <c r="K2358" i="1"/>
  <c r="J2350" i="1"/>
  <c r="L2350" i="1"/>
  <c r="K2350" i="1"/>
  <c r="J2342" i="1"/>
  <c r="L2342" i="1"/>
  <c r="K2342" i="1"/>
  <c r="J2334" i="1"/>
  <c r="L2334" i="1"/>
  <c r="K2334" i="1"/>
  <c r="J2326" i="1"/>
  <c r="L2326" i="1"/>
  <c r="K2326" i="1"/>
  <c r="J2318" i="1"/>
  <c r="L2318" i="1"/>
  <c r="K2318" i="1"/>
  <c r="L2310" i="1"/>
  <c r="K2310" i="1"/>
  <c r="J2302" i="1"/>
  <c r="L2302" i="1"/>
  <c r="K2302" i="1"/>
  <c r="J2294" i="1"/>
  <c r="L2294" i="1"/>
  <c r="K2294" i="1"/>
  <c r="L2286" i="1"/>
  <c r="K2286" i="1"/>
  <c r="J2286" i="1"/>
  <c r="J2278" i="1"/>
  <c r="L2278" i="1"/>
  <c r="K2278" i="1"/>
  <c r="J2270" i="1"/>
  <c r="L2270" i="1"/>
  <c r="K2270" i="1"/>
  <c r="J2262" i="1"/>
  <c r="L2262" i="1"/>
  <c r="K2262" i="1"/>
  <c r="J2254" i="1"/>
  <c r="L2254" i="1"/>
  <c r="K2254" i="1"/>
  <c r="L2246" i="1"/>
  <c r="K2246" i="1"/>
  <c r="J2238" i="1"/>
  <c r="L2238" i="1"/>
  <c r="K2238" i="1"/>
  <c r="J2230" i="1"/>
  <c r="L2230" i="1"/>
  <c r="K2230" i="1"/>
  <c r="J2222" i="1"/>
  <c r="L2222" i="1"/>
  <c r="K2222" i="1"/>
  <c r="J2214" i="1"/>
  <c r="L2214" i="1"/>
  <c r="K2214" i="1"/>
  <c r="J2206" i="1"/>
  <c r="L2206" i="1"/>
  <c r="K2206" i="1"/>
  <c r="J2198" i="1"/>
  <c r="L2198" i="1"/>
  <c r="K2198" i="1"/>
  <c r="J2190" i="1"/>
  <c r="L2190" i="1"/>
  <c r="K2190" i="1"/>
  <c r="L2182" i="1"/>
  <c r="K2182" i="1"/>
  <c r="J2174" i="1"/>
  <c r="L2174" i="1"/>
  <c r="K2174" i="1"/>
  <c r="J2166" i="1"/>
  <c r="L2166" i="1"/>
  <c r="K2166" i="1"/>
  <c r="J2158" i="1"/>
  <c r="L2158" i="1"/>
  <c r="K2158" i="1"/>
  <c r="J2150" i="1"/>
  <c r="L2150" i="1"/>
  <c r="K2150" i="1"/>
  <c r="J2142" i="1"/>
  <c r="L2142" i="1"/>
  <c r="K2142" i="1"/>
  <c r="J2134" i="1"/>
  <c r="L2134" i="1"/>
  <c r="K2134" i="1"/>
  <c r="J2126" i="1"/>
  <c r="L2126" i="1"/>
  <c r="K2126" i="1"/>
  <c r="L2118" i="1"/>
  <c r="K2118" i="1"/>
  <c r="J2110" i="1"/>
  <c r="L2110" i="1"/>
  <c r="K2110" i="1"/>
  <c r="J2102" i="1"/>
  <c r="L2102" i="1"/>
  <c r="K2102" i="1"/>
  <c r="J2094" i="1"/>
  <c r="L2094" i="1"/>
  <c r="K2094" i="1"/>
  <c r="J2086" i="1"/>
  <c r="L2086" i="1"/>
  <c r="K2086" i="1"/>
  <c r="J2078" i="1"/>
  <c r="L2078" i="1"/>
  <c r="K2078" i="1"/>
  <c r="J2070" i="1"/>
  <c r="L2070" i="1"/>
  <c r="K2070" i="1"/>
  <c r="J2062" i="1"/>
  <c r="L2062" i="1"/>
  <c r="K2062" i="1"/>
  <c r="I2054" i="1"/>
  <c r="L2054" i="1"/>
  <c r="K2054" i="1"/>
  <c r="J2046" i="1"/>
  <c r="L2046" i="1"/>
  <c r="K2046" i="1"/>
  <c r="J2038" i="1"/>
  <c r="L2038" i="1"/>
  <c r="K2038" i="1"/>
  <c r="J2030" i="1"/>
  <c r="L2030" i="1"/>
  <c r="K2030" i="1"/>
  <c r="J2022" i="1"/>
  <c r="L2022" i="1"/>
  <c r="K2022" i="1"/>
  <c r="J2014" i="1"/>
  <c r="L2014" i="1"/>
  <c r="K2014" i="1"/>
  <c r="J2006" i="1"/>
  <c r="L2006" i="1"/>
  <c r="K2006" i="1"/>
  <c r="J1998" i="1"/>
  <c r="L1998" i="1"/>
  <c r="K1998" i="1"/>
  <c r="J1990" i="1"/>
  <c r="L1990" i="1"/>
  <c r="K1990" i="1"/>
  <c r="J1982" i="1"/>
  <c r="L1982" i="1"/>
  <c r="K1982" i="1"/>
  <c r="J1974" i="1"/>
  <c r="L1974" i="1"/>
  <c r="K1974" i="1"/>
  <c r="J1966" i="1"/>
  <c r="L1966" i="1"/>
  <c r="K1966" i="1"/>
  <c r="J1958" i="1"/>
  <c r="L1958" i="1"/>
  <c r="K1958" i="1"/>
  <c r="J1950" i="1"/>
  <c r="L1950" i="1"/>
  <c r="K1950" i="1"/>
  <c r="J1942" i="1"/>
  <c r="L1942" i="1"/>
  <c r="K1942" i="1"/>
  <c r="J1934" i="1"/>
  <c r="L1934" i="1"/>
  <c r="K1934" i="1"/>
  <c r="J1926" i="1"/>
  <c r="L1926" i="1"/>
  <c r="K1926" i="1"/>
  <c r="J1918" i="1"/>
  <c r="L1918" i="1"/>
  <c r="K1918" i="1"/>
  <c r="J1910" i="1"/>
  <c r="L1910" i="1"/>
  <c r="K1910" i="1"/>
  <c r="J1902" i="1"/>
  <c r="L1902" i="1"/>
  <c r="K1902" i="1"/>
  <c r="J1894" i="1"/>
  <c r="L1894" i="1"/>
  <c r="K1894" i="1"/>
  <c r="J1886" i="1"/>
  <c r="L1886" i="1"/>
  <c r="K1886" i="1"/>
  <c r="J1878" i="1"/>
  <c r="L1878" i="1"/>
  <c r="K1878" i="1"/>
  <c r="J1870" i="1"/>
  <c r="L1870" i="1"/>
  <c r="K1870" i="1"/>
  <c r="J1862" i="1"/>
  <c r="L1862" i="1"/>
  <c r="K1862" i="1"/>
  <c r="J1854" i="1"/>
  <c r="L1854" i="1"/>
  <c r="K1854" i="1"/>
  <c r="J1846" i="1"/>
  <c r="L1846" i="1"/>
  <c r="K1846" i="1"/>
  <c r="J1838" i="1"/>
  <c r="L1838" i="1"/>
  <c r="K1838" i="1"/>
  <c r="J1830" i="1"/>
  <c r="L1830" i="1"/>
  <c r="K1830" i="1"/>
  <c r="J1822" i="1"/>
  <c r="L1822" i="1"/>
  <c r="K1822" i="1"/>
  <c r="J1814" i="1"/>
  <c r="L1814" i="1"/>
  <c r="K1814" i="1"/>
  <c r="J1806" i="1"/>
  <c r="L1806" i="1"/>
  <c r="K1806" i="1"/>
  <c r="J1798" i="1"/>
  <c r="L1798" i="1"/>
  <c r="K1798" i="1"/>
  <c r="J1790" i="1"/>
  <c r="L1790" i="1"/>
  <c r="K1790" i="1"/>
  <c r="J1782" i="1"/>
  <c r="L1782" i="1"/>
  <c r="K1782" i="1"/>
  <c r="J1774" i="1"/>
  <c r="L1774" i="1"/>
  <c r="K1774" i="1"/>
  <c r="J1766" i="1"/>
  <c r="L1766" i="1"/>
  <c r="K1766" i="1"/>
  <c r="J1758" i="1"/>
  <c r="L1758" i="1"/>
  <c r="K1758" i="1"/>
  <c r="J1750" i="1"/>
  <c r="L1750" i="1"/>
  <c r="K1750" i="1"/>
  <c r="J1742" i="1"/>
  <c r="L1742" i="1"/>
  <c r="K1742" i="1"/>
  <c r="J1734" i="1"/>
  <c r="L1734" i="1"/>
  <c r="K1734" i="1"/>
  <c r="J1726" i="1"/>
  <c r="L1726" i="1"/>
  <c r="K1726" i="1"/>
  <c r="J1718" i="1"/>
  <c r="L1718" i="1"/>
  <c r="K1718" i="1"/>
  <c r="J1710" i="1"/>
  <c r="L1710" i="1"/>
  <c r="K1710" i="1"/>
  <c r="J1702" i="1"/>
  <c r="L1702" i="1"/>
  <c r="K1702" i="1"/>
  <c r="J1694" i="1"/>
  <c r="L1694" i="1"/>
  <c r="K1694" i="1"/>
  <c r="J1686" i="1"/>
  <c r="L1686" i="1"/>
  <c r="K1686" i="1"/>
  <c r="J1678" i="1"/>
  <c r="L1678" i="1"/>
  <c r="K1678" i="1"/>
  <c r="J1670" i="1"/>
  <c r="L1670" i="1"/>
  <c r="K1670" i="1"/>
  <c r="J1662" i="1"/>
  <c r="L1662" i="1"/>
  <c r="K1662" i="1"/>
  <c r="J1654" i="1"/>
  <c r="L1654" i="1"/>
  <c r="K1654" i="1"/>
  <c r="J1646" i="1"/>
  <c r="L1646" i="1"/>
  <c r="K1646" i="1"/>
  <c r="J1638" i="1"/>
  <c r="L1638" i="1"/>
  <c r="K1638" i="1"/>
  <c r="J1630" i="1"/>
  <c r="L1630" i="1"/>
  <c r="K1630" i="1"/>
  <c r="J1622" i="1"/>
  <c r="L1622" i="1"/>
  <c r="K1622" i="1"/>
  <c r="J1614" i="1"/>
  <c r="L1614" i="1"/>
  <c r="K1614" i="1"/>
  <c r="J1606" i="1"/>
  <c r="L1606" i="1"/>
  <c r="K1606" i="1"/>
  <c r="J1598" i="1"/>
  <c r="L1598" i="1"/>
  <c r="K1598" i="1"/>
  <c r="J1590" i="1"/>
  <c r="L1590" i="1"/>
  <c r="K1590" i="1"/>
  <c r="J1582" i="1"/>
  <c r="L1582" i="1"/>
  <c r="K1582" i="1"/>
  <c r="J1574" i="1"/>
  <c r="L1574" i="1"/>
  <c r="K1574" i="1"/>
  <c r="J1566" i="1"/>
  <c r="L1566" i="1"/>
  <c r="K1566" i="1"/>
  <c r="J1558" i="1"/>
  <c r="L1558" i="1"/>
  <c r="K1558" i="1"/>
  <c r="J1550" i="1"/>
  <c r="L1550" i="1"/>
  <c r="K1550" i="1"/>
  <c r="J1542" i="1"/>
  <c r="L1542" i="1"/>
  <c r="K1542" i="1"/>
  <c r="J1534" i="1"/>
  <c r="L1534" i="1"/>
  <c r="K1534" i="1"/>
  <c r="J1526" i="1"/>
  <c r="L1526" i="1"/>
  <c r="K1526" i="1"/>
  <c r="J1518" i="1"/>
  <c r="L1518" i="1"/>
  <c r="K1518" i="1"/>
  <c r="J1510" i="1"/>
  <c r="L1510" i="1"/>
  <c r="K1510" i="1"/>
  <c r="J1502" i="1"/>
  <c r="L1502" i="1"/>
  <c r="K1502" i="1"/>
  <c r="J1494" i="1"/>
  <c r="L1494" i="1"/>
  <c r="K1494" i="1"/>
  <c r="J1486" i="1"/>
  <c r="L1486" i="1"/>
  <c r="K1486" i="1"/>
  <c r="J1478" i="1"/>
  <c r="L1478" i="1"/>
  <c r="K1478" i="1"/>
  <c r="J1470" i="1"/>
  <c r="L1470" i="1"/>
  <c r="K1470" i="1"/>
  <c r="J1462" i="1"/>
  <c r="L1462" i="1"/>
  <c r="K1462" i="1"/>
  <c r="J1454" i="1"/>
  <c r="L1454" i="1"/>
  <c r="K1454" i="1"/>
  <c r="J1446" i="1"/>
  <c r="L1446" i="1"/>
  <c r="K1446" i="1"/>
  <c r="J1438" i="1"/>
  <c r="L1438" i="1"/>
  <c r="K1438" i="1"/>
  <c r="J1430" i="1"/>
  <c r="L1430" i="1"/>
  <c r="K1430" i="1"/>
  <c r="J1422" i="1"/>
  <c r="L1422" i="1"/>
  <c r="K1422" i="1"/>
  <c r="J1414" i="1"/>
  <c r="L1414" i="1"/>
  <c r="K1414" i="1"/>
  <c r="J1406" i="1"/>
  <c r="L1406" i="1"/>
  <c r="K1406" i="1"/>
  <c r="J1398" i="1"/>
  <c r="L1398" i="1"/>
  <c r="K1398" i="1"/>
  <c r="J1390" i="1"/>
  <c r="L1390" i="1"/>
  <c r="K1390" i="1"/>
  <c r="J1382" i="1"/>
  <c r="L1382" i="1"/>
  <c r="K1382" i="1"/>
  <c r="J1374" i="1"/>
  <c r="L1374" i="1"/>
  <c r="K1374" i="1"/>
  <c r="J1366" i="1"/>
  <c r="L1366" i="1"/>
  <c r="K1366" i="1"/>
  <c r="J1358" i="1"/>
  <c r="L1358" i="1"/>
  <c r="K1358" i="1"/>
  <c r="J1350" i="1"/>
  <c r="L1350" i="1"/>
  <c r="K1350" i="1"/>
  <c r="J1342" i="1"/>
  <c r="L1342" i="1"/>
  <c r="K1342" i="1"/>
  <c r="J1334" i="1"/>
  <c r="L1334" i="1"/>
  <c r="K1334" i="1"/>
  <c r="J1326" i="1"/>
  <c r="L1326" i="1"/>
  <c r="K1326" i="1"/>
  <c r="J1318" i="1"/>
  <c r="L1318" i="1"/>
  <c r="K1318" i="1"/>
  <c r="J1310" i="1"/>
  <c r="L1310" i="1"/>
  <c r="K1310" i="1"/>
  <c r="J1302" i="1"/>
  <c r="L1302" i="1"/>
  <c r="K1302" i="1"/>
  <c r="J1294" i="1"/>
  <c r="L1294" i="1"/>
  <c r="K1294" i="1"/>
  <c r="J1286" i="1"/>
  <c r="L1286" i="1"/>
  <c r="K1286" i="1"/>
  <c r="J1278" i="1"/>
  <c r="L1278" i="1"/>
  <c r="K1278" i="1"/>
  <c r="J1270" i="1"/>
  <c r="L1270" i="1"/>
  <c r="K1270" i="1"/>
  <c r="J1262" i="1"/>
  <c r="L1262" i="1"/>
  <c r="K1262" i="1"/>
  <c r="J1254" i="1"/>
  <c r="L1254" i="1"/>
  <c r="K1254" i="1"/>
  <c r="J1246" i="1"/>
  <c r="L1246" i="1"/>
  <c r="K1246" i="1"/>
  <c r="J1238" i="1"/>
  <c r="L1238" i="1"/>
  <c r="K1238" i="1"/>
  <c r="J1230" i="1"/>
  <c r="L1230" i="1"/>
  <c r="K1230" i="1"/>
  <c r="J1222" i="1"/>
  <c r="L1222" i="1"/>
  <c r="K1222" i="1"/>
  <c r="J1214" i="1"/>
  <c r="L1214" i="1"/>
  <c r="K1214" i="1"/>
  <c r="J1206" i="1"/>
  <c r="L1206" i="1"/>
  <c r="K1206" i="1"/>
  <c r="J1198" i="1"/>
  <c r="L1198" i="1"/>
  <c r="K1198" i="1"/>
  <c r="J1190" i="1"/>
  <c r="L1190" i="1"/>
  <c r="K1190" i="1"/>
  <c r="J1182" i="1"/>
  <c r="L1182" i="1"/>
  <c r="K1182" i="1"/>
  <c r="J1174" i="1"/>
  <c r="L1174" i="1"/>
  <c r="K1174" i="1"/>
  <c r="J1166" i="1"/>
  <c r="L1166" i="1"/>
  <c r="K1166" i="1"/>
  <c r="J1158" i="1"/>
  <c r="L1158" i="1"/>
  <c r="K1158" i="1"/>
  <c r="J1150" i="1"/>
  <c r="L1150" i="1"/>
  <c r="K1150" i="1"/>
  <c r="J1142" i="1"/>
  <c r="L1142" i="1"/>
  <c r="K1142" i="1"/>
  <c r="J1134" i="1"/>
  <c r="L1134" i="1"/>
  <c r="K1134" i="1"/>
  <c r="J1126" i="1"/>
  <c r="L1126" i="1"/>
  <c r="K1126" i="1"/>
  <c r="J1118" i="1"/>
  <c r="L1118" i="1"/>
  <c r="K1118" i="1"/>
  <c r="J1110" i="1"/>
  <c r="L1110" i="1"/>
  <c r="K1110" i="1"/>
  <c r="J1102" i="1"/>
  <c r="L1102" i="1"/>
  <c r="K1102" i="1"/>
  <c r="J1094" i="1"/>
  <c r="L1094" i="1"/>
  <c r="K1094" i="1"/>
  <c r="J1086" i="1"/>
  <c r="L1086" i="1"/>
  <c r="K1086" i="1"/>
  <c r="J1078" i="1"/>
  <c r="L1078" i="1"/>
  <c r="K1078" i="1"/>
  <c r="J1070" i="1"/>
  <c r="L1070" i="1"/>
  <c r="K1070" i="1"/>
  <c r="J1062" i="1"/>
  <c r="L1062" i="1"/>
  <c r="K1062" i="1"/>
  <c r="J1054" i="1"/>
  <c r="L1054" i="1"/>
  <c r="K1054" i="1"/>
  <c r="J1046" i="1"/>
  <c r="L1046" i="1"/>
  <c r="K1046" i="1"/>
  <c r="J1038" i="1"/>
  <c r="L1038" i="1"/>
  <c r="K1038" i="1"/>
  <c r="J1030" i="1"/>
  <c r="L1030" i="1"/>
  <c r="K1030" i="1"/>
  <c r="J1022" i="1"/>
  <c r="L1022" i="1"/>
  <c r="K1022" i="1"/>
  <c r="J1014" i="1"/>
  <c r="L1014" i="1"/>
  <c r="K1014" i="1"/>
  <c r="J1006" i="1"/>
  <c r="L1006" i="1"/>
  <c r="K1006" i="1"/>
  <c r="J998" i="1"/>
  <c r="L998" i="1"/>
  <c r="K998" i="1"/>
  <c r="J990" i="1"/>
  <c r="L990" i="1"/>
  <c r="K990" i="1"/>
  <c r="J982" i="1"/>
  <c r="L982" i="1"/>
  <c r="K982" i="1"/>
  <c r="J974" i="1"/>
  <c r="L974" i="1"/>
  <c r="K974" i="1"/>
  <c r="J966" i="1"/>
  <c r="L966" i="1"/>
  <c r="K966" i="1"/>
  <c r="J958" i="1"/>
  <c r="L958" i="1"/>
  <c r="K958" i="1"/>
  <c r="J950" i="1"/>
  <c r="L950" i="1"/>
  <c r="K950" i="1"/>
  <c r="J942" i="1"/>
  <c r="L942" i="1"/>
  <c r="K942" i="1"/>
  <c r="J934" i="1"/>
  <c r="L934" i="1"/>
  <c r="K934" i="1"/>
  <c r="J926" i="1"/>
  <c r="L926" i="1"/>
  <c r="K926" i="1"/>
  <c r="J918" i="1"/>
  <c r="L918" i="1"/>
  <c r="K918" i="1"/>
  <c r="J910" i="1"/>
  <c r="L910" i="1"/>
  <c r="K910" i="1"/>
  <c r="J902" i="1"/>
  <c r="L902" i="1"/>
  <c r="K902" i="1"/>
  <c r="J894" i="1"/>
  <c r="L894" i="1"/>
  <c r="K894" i="1"/>
  <c r="J886" i="1"/>
  <c r="L886" i="1"/>
  <c r="K886" i="1"/>
  <c r="J878" i="1"/>
  <c r="L878" i="1"/>
  <c r="K878" i="1"/>
  <c r="J870" i="1"/>
  <c r="L870" i="1"/>
  <c r="K870" i="1"/>
  <c r="J862" i="1"/>
  <c r="L862" i="1"/>
  <c r="K862" i="1"/>
  <c r="J854" i="1"/>
  <c r="L854" i="1"/>
  <c r="K854" i="1"/>
  <c r="J846" i="1"/>
  <c r="L846" i="1"/>
  <c r="K846" i="1"/>
  <c r="J838" i="1"/>
  <c r="L838" i="1"/>
  <c r="K838" i="1"/>
  <c r="J830" i="1"/>
  <c r="L830" i="1"/>
  <c r="K830" i="1"/>
  <c r="J822" i="1"/>
  <c r="L822" i="1"/>
  <c r="K822" i="1"/>
  <c r="J814" i="1"/>
  <c r="L814" i="1"/>
  <c r="K814" i="1"/>
  <c r="J806" i="1"/>
  <c r="L806" i="1"/>
  <c r="K806" i="1"/>
  <c r="J798" i="1"/>
  <c r="L798" i="1"/>
  <c r="K798" i="1"/>
  <c r="J790" i="1"/>
  <c r="L790" i="1"/>
  <c r="K790" i="1"/>
  <c r="J782" i="1"/>
  <c r="L782" i="1"/>
  <c r="K782" i="1"/>
  <c r="J774" i="1"/>
  <c r="L774" i="1"/>
  <c r="K774" i="1"/>
  <c r="J766" i="1"/>
  <c r="L766" i="1"/>
  <c r="K766" i="1"/>
  <c r="J758" i="1"/>
  <c r="L758" i="1"/>
  <c r="K758" i="1"/>
  <c r="J750" i="1"/>
  <c r="L750" i="1"/>
  <c r="K750" i="1"/>
  <c r="J742" i="1"/>
  <c r="L742" i="1"/>
  <c r="K742" i="1"/>
  <c r="J734" i="1"/>
  <c r="L734" i="1"/>
  <c r="K734" i="1"/>
  <c r="J726" i="1"/>
  <c r="L726" i="1"/>
  <c r="K726" i="1"/>
  <c r="J718" i="1"/>
  <c r="L718" i="1"/>
  <c r="K718" i="1"/>
  <c r="J710" i="1"/>
  <c r="L710" i="1"/>
  <c r="K710" i="1"/>
  <c r="J702" i="1"/>
  <c r="L702" i="1"/>
  <c r="K702" i="1"/>
  <c r="J694" i="1"/>
  <c r="L694" i="1"/>
  <c r="K694" i="1"/>
  <c r="J686" i="1"/>
  <c r="L686" i="1"/>
  <c r="K686" i="1"/>
  <c r="J678" i="1"/>
  <c r="L678" i="1"/>
  <c r="K678" i="1"/>
  <c r="J670" i="1"/>
  <c r="L670" i="1"/>
  <c r="K670" i="1"/>
  <c r="J662" i="1"/>
  <c r="L662" i="1"/>
  <c r="K662" i="1"/>
  <c r="J654" i="1"/>
  <c r="L654" i="1"/>
  <c r="K654" i="1"/>
  <c r="J646" i="1"/>
  <c r="L646" i="1"/>
  <c r="K646" i="1"/>
  <c r="J638" i="1"/>
  <c r="L638" i="1"/>
  <c r="K638" i="1"/>
  <c r="J630" i="1"/>
  <c r="L630" i="1"/>
  <c r="K630" i="1"/>
  <c r="J622" i="1"/>
  <c r="L622" i="1"/>
  <c r="K622" i="1"/>
  <c r="J614" i="1"/>
  <c r="L614" i="1"/>
  <c r="K614" i="1"/>
  <c r="J606" i="1"/>
  <c r="L606" i="1"/>
  <c r="K606" i="1"/>
  <c r="J598" i="1"/>
  <c r="L598" i="1"/>
  <c r="K598" i="1"/>
  <c r="J590" i="1"/>
  <c r="L590" i="1"/>
  <c r="K590" i="1"/>
  <c r="J582" i="1"/>
  <c r="L582" i="1"/>
  <c r="K582" i="1"/>
  <c r="E582" i="1"/>
  <c r="J574" i="1"/>
  <c r="L574" i="1"/>
  <c r="K574" i="1"/>
  <c r="J566" i="1"/>
  <c r="L566" i="1"/>
  <c r="K566" i="1"/>
  <c r="E566" i="1"/>
  <c r="J558" i="1"/>
  <c r="L558" i="1"/>
  <c r="K558" i="1"/>
  <c r="J550" i="1"/>
  <c r="L550" i="1"/>
  <c r="K550" i="1"/>
  <c r="E550" i="1"/>
  <c r="J542" i="1"/>
  <c r="L542" i="1"/>
  <c r="K542" i="1"/>
  <c r="J534" i="1"/>
  <c r="L534" i="1"/>
  <c r="K534" i="1"/>
  <c r="E534" i="1"/>
  <c r="J526" i="1"/>
  <c r="L526" i="1"/>
  <c r="K526" i="1"/>
  <c r="J518" i="1"/>
  <c r="L518" i="1"/>
  <c r="K518" i="1"/>
  <c r="E518" i="1"/>
  <c r="J510" i="1"/>
  <c r="L510" i="1"/>
  <c r="K510" i="1"/>
  <c r="J502" i="1"/>
  <c r="L502" i="1"/>
  <c r="K502" i="1"/>
  <c r="E502" i="1"/>
  <c r="J494" i="1"/>
  <c r="L494" i="1"/>
  <c r="K494" i="1"/>
  <c r="J486" i="1"/>
  <c r="L486" i="1"/>
  <c r="K486" i="1"/>
  <c r="E486" i="1"/>
  <c r="J478" i="1"/>
  <c r="L478" i="1"/>
  <c r="K478" i="1"/>
  <c r="E478" i="1"/>
  <c r="J470" i="1"/>
  <c r="L470" i="1"/>
  <c r="K470" i="1"/>
  <c r="E470" i="1"/>
  <c r="J462" i="1"/>
  <c r="L462" i="1"/>
  <c r="K462" i="1"/>
  <c r="J454" i="1"/>
  <c r="L454" i="1"/>
  <c r="K454" i="1"/>
  <c r="E454" i="1"/>
  <c r="J446" i="1"/>
  <c r="L446" i="1"/>
  <c r="K446" i="1"/>
  <c r="J438" i="1"/>
  <c r="L438" i="1"/>
  <c r="K438" i="1"/>
  <c r="J430" i="1"/>
  <c r="L430" i="1"/>
  <c r="K430" i="1"/>
  <c r="J422" i="1"/>
  <c r="L422" i="1"/>
  <c r="K422" i="1"/>
  <c r="E422" i="1"/>
  <c r="J414" i="1"/>
  <c r="L414" i="1"/>
  <c r="K414" i="1"/>
  <c r="J406" i="1"/>
  <c r="L406" i="1"/>
  <c r="K406" i="1"/>
  <c r="E406" i="1"/>
  <c r="J398" i="1"/>
  <c r="L398" i="1"/>
  <c r="K398" i="1"/>
  <c r="E398" i="1"/>
  <c r="J390" i="1"/>
  <c r="L390" i="1"/>
  <c r="K390" i="1"/>
  <c r="E390" i="1"/>
  <c r="J382" i="1"/>
  <c r="L382" i="1"/>
  <c r="K382" i="1"/>
  <c r="J374" i="1"/>
  <c r="L374" i="1"/>
  <c r="K374" i="1"/>
  <c r="J366" i="1"/>
  <c r="L366" i="1"/>
  <c r="K366" i="1"/>
  <c r="E366" i="1"/>
  <c r="J358" i="1"/>
  <c r="L358" i="1"/>
  <c r="K358" i="1"/>
  <c r="J350" i="1"/>
  <c r="L350" i="1"/>
  <c r="K350" i="1"/>
  <c r="E350" i="1"/>
  <c r="J342" i="1"/>
  <c r="L342" i="1"/>
  <c r="K342" i="1"/>
  <c r="J334" i="1"/>
  <c r="L334" i="1"/>
  <c r="K334" i="1"/>
  <c r="E334" i="1"/>
  <c r="J326" i="1"/>
  <c r="L326" i="1"/>
  <c r="K326" i="1"/>
  <c r="J318" i="1"/>
  <c r="L318" i="1"/>
  <c r="K318" i="1"/>
  <c r="J310" i="1"/>
  <c r="L310" i="1"/>
  <c r="K310" i="1"/>
  <c r="J302" i="1"/>
  <c r="L302" i="1"/>
  <c r="K302" i="1"/>
  <c r="E302" i="1"/>
  <c r="J9742" i="1"/>
  <c r="J9014" i="1"/>
  <c r="J8078" i="1"/>
  <c r="J7534" i="1"/>
  <c r="J7030" i="1"/>
  <c r="K9823" i="1"/>
  <c r="K9567" i="1"/>
  <c r="K9311" i="1"/>
  <c r="K9071" i="1"/>
  <c r="K8991" i="1"/>
  <c r="K8927" i="1"/>
  <c r="K8863" i="1"/>
  <c r="K8799" i="1"/>
  <c r="K8735" i="1"/>
  <c r="K8671" i="1"/>
  <c r="K8607" i="1"/>
  <c r="K8543" i="1"/>
  <c r="K8479" i="1"/>
  <c r="K8415" i="1"/>
  <c r="K8351" i="1"/>
  <c r="K8287" i="1"/>
  <c r="K7211" i="1"/>
  <c r="L9774" i="1"/>
  <c r="L8903" i="1"/>
  <c r="J78" i="1"/>
  <c r="L78" i="1"/>
  <c r="K78" i="1"/>
  <c r="J46" i="1"/>
  <c r="L46" i="1"/>
  <c r="K46" i="1"/>
  <c r="J22" i="1"/>
  <c r="L22" i="1"/>
  <c r="K22" i="1"/>
  <c r="J292" i="1"/>
  <c r="L292" i="1"/>
  <c r="K292" i="1"/>
  <c r="J252" i="1"/>
  <c r="L252" i="1"/>
  <c r="K252" i="1"/>
  <c r="J212" i="1"/>
  <c r="L212" i="1"/>
  <c r="K212" i="1"/>
  <c r="J180" i="1"/>
  <c r="L180" i="1"/>
  <c r="K180" i="1"/>
  <c r="J124" i="1"/>
  <c r="L124" i="1"/>
  <c r="K124" i="1"/>
  <c r="J9995" i="1"/>
  <c r="L9995" i="1"/>
  <c r="K9995" i="1"/>
  <c r="L9947" i="1"/>
  <c r="K9947" i="1"/>
  <c r="L9899" i="1"/>
  <c r="K9899" i="1"/>
  <c r="L9851" i="1"/>
  <c r="K9851" i="1"/>
  <c r="L9811" i="1"/>
  <c r="K9811" i="1"/>
  <c r="L9771" i="1"/>
  <c r="K9771" i="1"/>
  <c r="J9731" i="1"/>
  <c r="L9731" i="1"/>
  <c r="K9731" i="1"/>
  <c r="J9699" i="1"/>
  <c r="L9699" i="1"/>
  <c r="K9699" i="1"/>
  <c r="L9659" i="1"/>
  <c r="K9659" i="1"/>
  <c r="L9635" i="1"/>
  <c r="K9635" i="1"/>
  <c r="J9603" i="1"/>
  <c r="L9603" i="1"/>
  <c r="K9603" i="1"/>
  <c r="J9571" i="1"/>
  <c r="L9571" i="1"/>
  <c r="K9571" i="1"/>
  <c r="L9531" i="1"/>
  <c r="K9531" i="1"/>
  <c r="L9499" i="1"/>
  <c r="K9499" i="1"/>
  <c r="L9467" i="1"/>
  <c r="K9467" i="1"/>
  <c r="L9435" i="1"/>
  <c r="K9435" i="1"/>
  <c r="L9403" i="1"/>
  <c r="K9403" i="1"/>
  <c r="L9371" i="1"/>
  <c r="K9371" i="1"/>
  <c r="L9339" i="1"/>
  <c r="K9339" i="1"/>
  <c r="L9323" i="1"/>
  <c r="K9323" i="1"/>
  <c r="L9291" i="1"/>
  <c r="K9291" i="1"/>
  <c r="L9259" i="1"/>
  <c r="K9259" i="1"/>
  <c r="L9227" i="1"/>
  <c r="K9227" i="1"/>
  <c r="L9195" i="1"/>
  <c r="K9195" i="1"/>
  <c r="L9163" i="1"/>
  <c r="K9163" i="1"/>
  <c r="L9131" i="1"/>
  <c r="K9131" i="1"/>
  <c r="L9099" i="1"/>
  <c r="K9099" i="1"/>
  <c r="L9067" i="1"/>
  <c r="K9067" i="1"/>
  <c r="L9035" i="1"/>
  <c r="K9035" i="1"/>
  <c r="L9003" i="1"/>
  <c r="K9003" i="1"/>
  <c r="L8971" i="1"/>
  <c r="K8971" i="1"/>
  <c r="L8939" i="1"/>
  <c r="K8939" i="1"/>
  <c r="L8907" i="1"/>
  <c r="K8907" i="1"/>
  <c r="L8875" i="1"/>
  <c r="K8875" i="1"/>
  <c r="L8851" i="1"/>
  <c r="K8851" i="1"/>
  <c r="L8819" i="1"/>
  <c r="K8819" i="1"/>
  <c r="L8787" i="1"/>
  <c r="K8787" i="1"/>
  <c r="L8747" i="1"/>
  <c r="K8747" i="1"/>
  <c r="L8715" i="1"/>
  <c r="K8715" i="1"/>
  <c r="L8683" i="1"/>
  <c r="K8683" i="1"/>
  <c r="L8651" i="1"/>
  <c r="K8651" i="1"/>
  <c r="L8619" i="1"/>
  <c r="K8619" i="1"/>
  <c r="L8587" i="1"/>
  <c r="K8587" i="1"/>
  <c r="L8555" i="1"/>
  <c r="K8555" i="1"/>
  <c r="L8523" i="1"/>
  <c r="K8523" i="1"/>
  <c r="L8491" i="1"/>
  <c r="K8491" i="1"/>
  <c r="L8459" i="1"/>
  <c r="K8459" i="1"/>
  <c r="L8419" i="1"/>
  <c r="K8419" i="1"/>
  <c r="J8387" i="1"/>
  <c r="L8387" i="1"/>
  <c r="K8387" i="1"/>
  <c r="L8355" i="1"/>
  <c r="K8355" i="1"/>
  <c r="J8323" i="1"/>
  <c r="K8323" i="1"/>
  <c r="L8323" i="1"/>
  <c r="L8291" i="1"/>
  <c r="K8291" i="1"/>
  <c r="J8259" i="1"/>
  <c r="L8259" i="1"/>
  <c r="K8259" i="1"/>
  <c r="L8227" i="1"/>
  <c r="K8227" i="1"/>
  <c r="J8195" i="1"/>
  <c r="L8195" i="1"/>
  <c r="K8195" i="1"/>
  <c r="L8163" i="1"/>
  <c r="K8163" i="1"/>
  <c r="J8131" i="1"/>
  <c r="L8131" i="1"/>
  <c r="K8131" i="1"/>
  <c r="L8099" i="1"/>
  <c r="K8099" i="1"/>
  <c r="J8067" i="1"/>
  <c r="L8067" i="1"/>
  <c r="K8067" i="1"/>
  <c r="L8035" i="1"/>
  <c r="K8035" i="1"/>
  <c r="J8003" i="1"/>
  <c r="L8003" i="1"/>
  <c r="K8003" i="1"/>
  <c r="L7971" i="1"/>
  <c r="K7971" i="1"/>
  <c r="L7947" i="1"/>
  <c r="K7947" i="1"/>
  <c r="K7915" i="1"/>
  <c r="L7915" i="1"/>
  <c r="L7883" i="1"/>
  <c r="K7883" i="1"/>
  <c r="L7851" i="1"/>
  <c r="K7851" i="1"/>
  <c r="J7819" i="1"/>
  <c r="L7819" i="1"/>
  <c r="K7819" i="1"/>
  <c r="J7787" i="1"/>
  <c r="L7787" i="1"/>
  <c r="K7787" i="1"/>
  <c r="J7755" i="1"/>
  <c r="L7755" i="1"/>
  <c r="K7755" i="1"/>
  <c r="J7723" i="1"/>
  <c r="L7723" i="1"/>
  <c r="K7723" i="1"/>
  <c r="J7691" i="1"/>
  <c r="L7691" i="1"/>
  <c r="K7691" i="1"/>
  <c r="J7659" i="1"/>
  <c r="L7659" i="1"/>
  <c r="K7659" i="1"/>
  <c r="J7627" i="1"/>
  <c r="L7627" i="1"/>
  <c r="K7627" i="1"/>
  <c r="J7595" i="1"/>
  <c r="L7595" i="1"/>
  <c r="K7595" i="1"/>
  <c r="J7563" i="1"/>
  <c r="L7563" i="1"/>
  <c r="K7563" i="1"/>
  <c r="J7531" i="1"/>
  <c r="L7531" i="1"/>
  <c r="K7531" i="1"/>
  <c r="J7499" i="1"/>
  <c r="L7499" i="1"/>
  <c r="K7499" i="1"/>
  <c r="J7467" i="1"/>
  <c r="L7467" i="1"/>
  <c r="K7467" i="1"/>
  <c r="J7435" i="1"/>
  <c r="L7435" i="1"/>
  <c r="K7435" i="1"/>
  <c r="J7403" i="1"/>
  <c r="L7403" i="1"/>
  <c r="K7403" i="1"/>
  <c r="J7371" i="1"/>
  <c r="L7371" i="1"/>
  <c r="K7371" i="1"/>
  <c r="J7347" i="1"/>
  <c r="L7347" i="1"/>
  <c r="K7347" i="1"/>
  <c r="J7323" i="1"/>
  <c r="L7323" i="1"/>
  <c r="K7323" i="1"/>
  <c r="J7299" i="1"/>
  <c r="L7299" i="1"/>
  <c r="K7299" i="1"/>
  <c r="J7267" i="1"/>
  <c r="L7267" i="1"/>
  <c r="K7267" i="1"/>
  <c r="J7243" i="1"/>
  <c r="L7243" i="1"/>
  <c r="K7243" i="1"/>
  <c r="J7219" i="1"/>
  <c r="L7219" i="1"/>
  <c r="K7219" i="1"/>
  <c r="J7187" i="1"/>
  <c r="L7187" i="1"/>
  <c r="K7187" i="1"/>
  <c r="J7163" i="1"/>
  <c r="L7163" i="1"/>
  <c r="K7163" i="1"/>
  <c r="J7139" i="1"/>
  <c r="L7139" i="1"/>
  <c r="K7139" i="1"/>
  <c r="J7115" i="1"/>
  <c r="L7115" i="1"/>
  <c r="K7115" i="1"/>
  <c r="J7091" i="1"/>
  <c r="L7091" i="1"/>
  <c r="K7091" i="1"/>
  <c r="J7067" i="1"/>
  <c r="L7067" i="1"/>
  <c r="K7067" i="1"/>
  <c r="J7043" i="1"/>
  <c r="L7043" i="1"/>
  <c r="K7043" i="1"/>
  <c r="J7019" i="1"/>
  <c r="L7019" i="1"/>
  <c r="K7019" i="1"/>
  <c r="J6987" i="1"/>
  <c r="L6987" i="1"/>
  <c r="K6987" i="1"/>
  <c r="J6955" i="1"/>
  <c r="L6955" i="1"/>
  <c r="K6955" i="1"/>
  <c r="J6923" i="1"/>
  <c r="L6923" i="1"/>
  <c r="K6923" i="1"/>
  <c r="J6891" i="1"/>
  <c r="L6891" i="1"/>
  <c r="K6891" i="1"/>
  <c r="J6859" i="1"/>
  <c r="L6859" i="1"/>
  <c r="K6859" i="1"/>
  <c r="J6827" i="1"/>
  <c r="L6827" i="1"/>
  <c r="J6795" i="1"/>
  <c r="L6795" i="1"/>
  <c r="K6795" i="1"/>
  <c r="J6763" i="1"/>
  <c r="L6763" i="1"/>
  <c r="K6763" i="1"/>
  <c r="J6731" i="1"/>
  <c r="L6731" i="1"/>
  <c r="K6731" i="1"/>
  <c r="J6699" i="1"/>
  <c r="L6699" i="1"/>
  <c r="J6667" i="1"/>
  <c r="L6667" i="1"/>
  <c r="K6667" i="1"/>
  <c r="J6635" i="1"/>
  <c r="L6635" i="1"/>
  <c r="K6635" i="1"/>
  <c r="J6603" i="1"/>
  <c r="L6603" i="1"/>
  <c r="K6603" i="1"/>
  <c r="J6571" i="1"/>
  <c r="L6571" i="1"/>
  <c r="K6571" i="1"/>
  <c r="J6539" i="1"/>
  <c r="L6539" i="1"/>
  <c r="K6539" i="1"/>
  <c r="J6515" i="1"/>
  <c r="L6515" i="1"/>
  <c r="K6515" i="1"/>
  <c r="J6483" i="1"/>
  <c r="L6483" i="1"/>
  <c r="K6483" i="1"/>
  <c r="J6451" i="1"/>
  <c r="L6451" i="1"/>
  <c r="K6451" i="1"/>
  <c r="J6419" i="1"/>
  <c r="L6419" i="1"/>
  <c r="J6387" i="1"/>
  <c r="L6387" i="1"/>
  <c r="K6387" i="1"/>
  <c r="J6355" i="1"/>
  <c r="L6355" i="1"/>
  <c r="K6355" i="1"/>
  <c r="J6323" i="1"/>
  <c r="L6323" i="1"/>
  <c r="K6323" i="1"/>
  <c r="J6291" i="1"/>
  <c r="L6291" i="1"/>
  <c r="K6291" i="1"/>
  <c r="J6259" i="1"/>
  <c r="L6259" i="1"/>
  <c r="K6259" i="1"/>
  <c r="J6243" i="1"/>
  <c r="L6243" i="1"/>
  <c r="K6243" i="1"/>
  <c r="J6211" i="1"/>
  <c r="L6211" i="1"/>
  <c r="K6211" i="1"/>
  <c r="J6179" i="1"/>
  <c r="L6179" i="1"/>
  <c r="K6179" i="1"/>
  <c r="J6147" i="1"/>
  <c r="L6147" i="1"/>
  <c r="K6147" i="1"/>
  <c r="J6115" i="1"/>
  <c r="L6115" i="1"/>
  <c r="K6115" i="1"/>
  <c r="J6083" i="1"/>
  <c r="L6083" i="1"/>
  <c r="J6051" i="1"/>
  <c r="L6051" i="1"/>
  <c r="K6051" i="1"/>
  <c r="J6019" i="1"/>
  <c r="L6019" i="1"/>
  <c r="K6019" i="1"/>
  <c r="J5987" i="1"/>
  <c r="L5987" i="1"/>
  <c r="K5987" i="1"/>
  <c r="J5955" i="1"/>
  <c r="L5955" i="1"/>
  <c r="J5931" i="1"/>
  <c r="L5931" i="1"/>
  <c r="K5931" i="1"/>
  <c r="J5899" i="1"/>
  <c r="L5899" i="1"/>
  <c r="K5899" i="1"/>
  <c r="J5867" i="1"/>
  <c r="L5867" i="1"/>
  <c r="K5867" i="1"/>
  <c r="J5835" i="1"/>
  <c r="L5835" i="1"/>
  <c r="K5835" i="1"/>
  <c r="J5803" i="1"/>
  <c r="L5803" i="1"/>
  <c r="J5771" i="1"/>
  <c r="L5771" i="1"/>
  <c r="K5771" i="1"/>
  <c r="J5739" i="1"/>
  <c r="L5739" i="1"/>
  <c r="K5739" i="1"/>
  <c r="J5707" i="1"/>
  <c r="L5707" i="1"/>
  <c r="K5707" i="1"/>
  <c r="J5675" i="1"/>
  <c r="L5675" i="1"/>
  <c r="J5643" i="1"/>
  <c r="L5643" i="1"/>
  <c r="K5643" i="1"/>
  <c r="J5611" i="1"/>
  <c r="L5611" i="1"/>
  <c r="K5611" i="1"/>
  <c r="J5579" i="1"/>
  <c r="L5579" i="1"/>
  <c r="K5579" i="1"/>
  <c r="J5547" i="1"/>
  <c r="L5547" i="1"/>
  <c r="K5547" i="1"/>
  <c r="J5515" i="1"/>
  <c r="L5515" i="1"/>
  <c r="K5515" i="1"/>
  <c r="J5475" i="1"/>
  <c r="L5475" i="1"/>
  <c r="K5475" i="1"/>
  <c r="J5443" i="1"/>
  <c r="L5443" i="1"/>
  <c r="J5411" i="1"/>
  <c r="L5411" i="1"/>
  <c r="K5411" i="1"/>
  <c r="J5379" i="1"/>
  <c r="L5379" i="1"/>
  <c r="K5379" i="1"/>
  <c r="J5347" i="1"/>
  <c r="L5347" i="1"/>
  <c r="K5347" i="1"/>
  <c r="J5315" i="1"/>
  <c r="L5315" i="1"/>
  <c r="K5315" i="1"/>
  <c r="J5283" i="1"/>
  <c r="L5283" i="1"/>
  <c r="K5283" i="1"/>
  <c r="J5251" i="1"/>
  <c r="L5251" i="1"/>
  <c r="K5251" i="1"/>
  <c r="J5219" i="1"/>
  <c r="L5219" i="1"/>
  <c r="K5219" i="1"/>
  <c r="J5187" i="1"/>
  <c r="L5187" i="1"/>
  <c r="K5187" i="1"/>
  <c r="J5155" i="1"/>
  <c r="L5155" i="1"/>
  <c r="K5155" i="1"/>
  <c r="J5123" i="1"/>
  <c r="L5123" i="1"/>
  <c r="K5123" i="1"/>
  <c r="J5091" i="1"/>
  <c r="L5091" i="1"/>
  <c r="K5091" i="1"/>
  <c r="J5059" i="1"/>
  <c r="L5059" i="1"/>
  <c r="J5027" i="1"/>
  <c r="L5027" i="1"/>
  <c r="K5027" i="1"/>
  <c r="J4995" i="1"/>
  <c r="L4995" i="1"/>
  <c r="K4995" i="1"/>
  <c r="J4963" i="1"/>
  <c r="L4963" i="1"/>
  <c r="K4963" i="1"/>
  <c r="J4931" i="1"/>
  <c r="L4931" i="1"/>
  <c r="J4899" i="1"/>
  <c r="L4899" i="1"/>
  <c r="K4899" i="1"/>
  <c r="J4867" i="1"/>
  <c r="L4867" i="1"/>
  <c r="K4867" i="1"/>
  <c r="J4835" i="1"/>
  <c r="L4835" i="1"/>
  <c r="K4835" i="1"/>
  <c r="J4803" i="1"/>
  <c r="L4803" i="1"/>
  <c r="K4803" i="1"/>
  <c r="J4763" i="1"/>
  <c r="L4763" i="1"/>
  <c r="K4763" i="1"/>
  <c r="J4731" i="1"/>
  <c r="L4731" i="1"/>
  <c r="K4731" i="1"/>
  <c r="J4691" i="1"/>
  <c r="L4691" i="1"/>
  <c r="K4691" i="1"/>
  <c r="J4651" i="1"/>
  <c r="L4651" i="1"/>
  <c r="J4547" i="1"/>
  <c r="L4547" i="1"/>
  <c r="J3659" i="1"/>
  <c r="L3659" i="1"/>
  <c r="K3659" i="1"/>
  <c r="J89" i="1"/>
  <c r="L89" i="1"/>
  <c r="K89" i="1"/>
  <c r="J73" i="1"/>
  <c r="L73" i="1"/>
  <c r="K73" i="1"/>
  <c r="J57" i="1"/>
  <c r="L57" i="1"/>
  <c r="K57" i="1"/>
  <c r="J41" i="1"/>
  <c r="L41" i="1"/>
  <c r="K41" i="1"/>
  <c r="J25" i="1"/>
  <c r="L25" i="1"/>
  <c r="L9" i="1"/>
  <c r="K9" i="1"/>
  <c r="J295" i="1"/>
  <c r="L295" i="1"/>
  <c r="K295" i="1"/>
  <c r="J279" i="1"/>
  <c r="L279" i="1"/>
  <c r="K279" i="1"/>
  <c r="J263" i="1"/>
  <c r="L263" i="1"/>
  <c r="K263" i="1"/>
  <c r="J247" i="1"/>
  <c r="L247" i="1"/>
  <c r="K247" i="1"/>
  <c r="J231" i="1"/>
  <c r="L231" i="1"/>
  <c r="K231" i="1"/>
  <c r="J215" i="1"/>
  <c r="L215" i="1"/>
  <c r="K215" i="1"/>
  <c r="J199" i="1"/>
  <c r="L199" i="1"/>
  <c r="K199" i="1"/>
  <c r="J183" i="1"/>
  <c r="L183" i="1"/>
  <c r="K183" i="1"/>
  <c r="J167" i="1"/>
  <c r="L167" i="1"/>
  <c r="K167" i="1"/>
  <c r="J151" i="1"/>
  <c r="L151" i="1"/>
  <c r="K151" i="1"/>
  <c r="J135" i="1"/>
  <c r="L135" i="1"/>
  <c r="K135" i="1"/>
  <c r="J119" i="1"/>
  <c r="L119" i="1"/>
  <c r="K119" i="1"/>
  <c r="I9990" i="1"/>
  <c r="L9990" i="1"/>
  <c r="K9990" i="1"/>
  <c r="H9974" i="1"/>
  <c r="L9974" i="1"/>
  <c r="K9974" i="1"/>
  <c r="J9974" i="1"/>
  <c r="H9958" i="1"/>
  <c r="L9958" i="1"/>
  <c r="K9958" i="1"/>
  <c r="J9958" i="1"/>
  <c r="H9942" i="1"/>
  <c r="L9942" i="1"/>
  <c r="K9942" i="1"/>
  <c r="J9942" i="1"/>
  <c r="I9918" i="1"/>
  <c r="L9918" i="1"/>
  <c r="K9918" i="1"/>
  <c r="H9902" i="1"/>
  <c r="L9902" i="1"/>
  <c r="K9902" i="1"/>
  <c r="J9902" i="1"/>
  <c r="I9886" i="1"/>
  <c r="L9886" i="1"/>
  <c r="K9886" i="1"/>
  <c r="J9886" i="1"/>
  <c r="H9870" i="1"/>
  <c r="L9870" i="1"/>
  <c r="K9870" i="1"/>
  <c r="H9862" i="1"/>
  <c r="L9862" i="1"/>
  <c r="K9862" i="1"/>
  <c r="J9862" i="1"/>
  <c r="I9846" i="1"/>
  <c r="L9846" i="1"/>
  <c r="K9846" i="1"/>
  <c r="J9846" i="1"/>
  <c r="H9830" i="1"/>
  <c r="L9830" i="1"/>
  <c r="K9830" i="1"/>
  <c r="J9830" i="1"/>
  <c r="I9814" i="1"/>
  <c r="L9814" i="1"/>
  <c r="K9814" i="1"/>
  <c r="J9814" i="1"/>
  <c r="I9798" i="1"/>
  <c r="L9798" i="1"/>
  <c r="K9798" i="1"/>
  <c r="J9798" i="1"/>
  <c r="H9782" i="1"/>
  <c r="L9782" i="1"/>
  <c r="K9782" i="1"/>
  <c r="J9782" i="1"/>
  <c r="F9766" i="1"/>
  <c r="L9766" i="1"/>
  <c r="K9766" i="1"/>
  <c r="J9766" i="1"/>
  <c r="H9750" i="1"/>
  <c r="L9750" i="1"/>
  <c r="K9750" i="1"/>
  <c r="J9750" i="1"/>
  <c r="I9734" i="1"/>
  <c r="L9734" i="1"/>
  <c r="K9734" i="1"/>
  <c r="J9734" i="1"/>
  <c r="H9718" i="1"/>
  <c r="L9718" i="1"/>
  <c r="K9718" i="1"/>
  <c r="J9718" i="1"/>
  <c r="H9702" i="1"/>
  <c r="L9702" i="1"/>
  <c r="K9702" i="1"/>
  <c r="J9702" i="1"/>
  <c r="H9686" i="1"/>
  <c r="L9686" i="1"/>
  <c r="K9686" i="1"/>
  <c r="J9686" i="1"/>
  <c r="H9670" i="1"/>
  <c r="L9670" i="1"/>
  <c r="K9670" i="1"/>
  <c r="J9670" i="1"/>
  <c r="H9654" i="1"/>
  <c r="L9654" i="1"/>
  <c r="K9654" i="1"/>
  <c r="J9654" i="1"/>
  <c r="H9638" i="1"/>
  <c r="L9638" i="1"/>
  <c r="K9638" i="1"/>
  <c r="J9638" i="1"/>
  <c r="I9622" i="1"/>
  <c r="L9622" i="1"/>
  <c r="K9622" i="1"/>
  <c r="J9622" i="1"/>
  <c r="H9606" i="1"/>
  <c r="L9606" i="1"/>
  <c r="K9606" i="1"/>
  <c r="H9590" i="1"/>
  <c r="L9590" i="1"/>
  <c r="K9590" i="1"/>
  <c r="I9582" i="1"/>
  <c r="K9582" i="1"/>
  <c r="J9582" i="1"/>
  <c r="I9566" i="1"/>
  <c r="L9566" i="1"/>
  <c r="K9566" i="1"/>
  <c r="J9566" i="1"/>
  <c r="I9550" i="1"/>
  <c r="J9550" i="1"/>
  <c r="L9550" i="1"/>
  <c r="K9550" i="1"/>
  <c r="H9534" i="1"/>
  <c r="L9534" i="1"/>
  <c r="K9534" i="1"/>
  <c r="J9534" i="1"/>
  <c r="I9518" i="1"/>
  <c r="K9518" i="1"/>
  <c r="J9518" i="1"/>
  <c r="L9518" i="1"/>
  <c r="H9502" i="1"/>
  <c r="J9502" i="1"/>
  <c r="K9502" i="1"/>
  <c r="L9502" i="1"/>
  <c r="H9486" i="1"/>
  <c r="J9486" i="1"/>
  <c r="L9486" i="1"/>
  <c r="K9486" i="1"/>
  <c r="H9470" i="1"/>
  <c r="L9470" i="1"/>
  <c r="K9470" i="1"/>
  <c r="J9470" i="1"/>
  <c r="H9454" i="1"/>
  <c r="L9454" i="1"/>
  <c r="K9454" i="1"/>
  <c r="J9454" i="1"/>
  <c r="H9438" i="1"/>
  <c r="J9438" i="1"/>
  <c r="K9438" i="1"/>
  <c r="L9438" i="1"/>
  <c r="H9422" i="1"/>
  <c r="J9422" i="1"/>
  <c r="K9422" i="1"/>
  <c r="L9422" i="1"/>
  <c r="H9414" i="1"/>
  <c r="L9414" i="1"/>
  <c r="K9414" i="1"/>
  <c r="H9398" i="1"/>
  <c r="L9398" i="1"/>
  <c r="K9398" i="1"/>
  <c r="H9382" i="1"/>
  <c r="L9382" i="1"/>
  <c r="K9382" i="1"/>
  <c r="J9382" i="1"/>
  <c r="I9366" i="1"/>
  <c r="L9366" i="1"/>
  <c r="K9366" i="1"/>
  <c r="J9366" i="1"/>
  <c r="H9350" i="1"/>
  <c r="L9350" i="1"/>
  <c r="K9350" i="1"/>
  <c r="J9350" i="1"/>
  <c r="I9334" i="1"/>
  <c r="L9334" i="1"/>
  <c r="K9334" i="1"/>
  <c r="J9334" i="1"/>
  <c r="H9318" i="1"/>
  <c r="L9318" i="1"/>
  <c r="K9318" i="1"/>
  <c r="I9302" i="1"/>
  <c r="L9302" i="1"/>
  <c r="K9302" i="1"/>
  <c r="J9302" i="1"/>
  <c r="I9286" i="1"/>
  <c r="L9286" i="1"/>
  <c r="K9286" i="1"/>
  <c r="H9270" i="1"/>
  <c r="L9270" i="1"/>
  <c r="K9270" i="1"/>
  <c r="J9270" i="1"/>
  <c r="F9254" i="1"/>
  <c r="L9254" i="1"/>
  <c r="K9254" i="1"/>
  <c r="J9254" i="1"/>
  <c r="H9238" i="1"/>
  <c r="L9238" i="1"/>
  <c r="K9238" i="1"/>
  <c r="J9238" i="1"/>
  <c r="I9222" i="1"/>
  <c r="L9222" i="1"/>
  <c r="K9222" i="1"/>
  <c r="J9222" i="1"/>
  <c r="I9206" i="1"/>
  <c r="L9206" i="1"/>
  <c r="K9206" i="1"/>
  <c r="J9206" i="1"/>
  <c r="H9190" i="1"/>
  <c r="L9190" i="1"/>
  <c r="K9190" i="1"/>
  <c r="I9174" i="1"/>
  <c r="L9174" i="1"/>
  <c r="K9174" i="1"/>
  <c r="J9174" i="1"/>
  <c r="H9158" i="1"/>
  <c r="L9158" i="1"/>
  <c r="K9158" i="1"/>
  <c r="J9158" i="1"/>
  <c r="H9142" i="1"/>
  <c r="L9142" i="1"/>
  <c r="K9142" i="1"/>
  <c r="J9142" i="1"/>
  <c r="H9126" i="1"/>
  <c r="L9126" i="1"/>
  <c r="K9126" i="1"/>
  <c r="J9126" i="1"/>
  <c r="I9110" i="1"/>
  <c r="L9110" i="1"/>
  <c r="K9110" i="1"/>
  <c r="H9102" i="1"/>
  <c r="L9102" i="1"/>
  <c r="J9102" i="1"/>
  <c r="K9102" i="1"/>
  <c r="H9086" i="1"/>
  <c r="K9086" i="1"/>
  <c r="L9086" i="1"/>
  <c r="I9070" i="1"/>
  <c r="K9070" i="1"/>
  <c r="J9070" i="1"/>
  <c r="L9070" i="1"/>
  <c r="I9054" i="1"/>
  <c r="J9054" i="1"/>
  <c r="L9054" i="1"/>
  <c r="K9054" i="1"/>
  <c r="I9038" i="1"/>
  <c r="J9038" i="1"/>
  <c r="L9038" i="1"/>
  <c r="K9038" i="1"/>
  <c r="H9022" i="1"/>
  <c r="L9022" i="1"/>
  <c r="K9022" i="1"/>
  <c r="J9022" i="1"/>
  <c r="H9006" i="1"/>
  <c r="K9006" i="1"/>
  <c r="J9006" i="1"/>
  <c r="L9006" i="1"/>
  <c r="I8990" i="1"/>
  <c r="J8990" i="1"/>
  <c r="K8990" i="1"/>
  <c r="L8990" i="1"/>
  <c r="H8974" i="1"/>
  <c r="J8974" i="1"/>
  <c r="L8974" i="1"/>
  <c r="K8974" i="1"/>
  <c r="I8958" i="1"/>
  <c r="L8958" i="1"/>
  <c r="K8958" i="1"/>
  <c r="J8958" i="1"/>
  <c r="I8942" i="1"/>
  <c r="L8942" i="1"/>
  <c r="K8942" i="1"/>
  <c r="J8942" i="1"/>
  <c r="I8926" i="1"/>
  <c r="J8926" i="1"/>
  <c r="K8926" i="1"/>
  <c r="F8910" i="1"/>
  <c r="J8910" i="1"/>
  <c r="K8910" i="1"/>
  <c r="L8910" i="1"/>
  <c r="I8894" i="1"/>
  <c r="L8894" i="1"/>
  <c r="K8894" i="1"/>
  <c r="J8894" i="1"/>
  <c r="I8878" i="1"/>
  <c r="L8878" i="1"/>
  <c r="K8878" i="1"/>
  <c r="J8878" i="1"/>
  <c r="I8862" i="1"/>
  <c r="L8862" i="1"/>
  <c r="J8862" i="1"/>
  <c r="K8862" i="1"/>
  <c r="H8846" i="1"/>
  <c r="L8846" i="1"/>
  <c r="J8846" i="1"/>
  <c r="K8846" i="1"/>
  <c r="I8830" i="1"/>
  <c r="K8830" i="1"/>
  <c r="J8830" i="1"/>
  <c r="L8830" i="1"/>
  <c r="I8814" i="1"/>
  <c r="K8814" i="1"/>
  <c r="J8814" i="1"/>
  <c r="L8814" i="1"/>
  <c r="I8798" i="1"/>
  <c r="J8798" i="1"/>
  <c r="L8798" i="1"/>
  <c r="K8798" i="1"/>
  <c r="H8782" i="1"/>
  <c r="J8782" i="1"/>
  <c r="L8782" i="1"/>
  <c r="K8782" i="1"/>
  <c r="I8766" i="1"/>
  <c r="L8766" i="1"/>
  <c r="K8766" i="1"/>
  <c r="J8766" i="1"/>
  <c r="H8758" i="1"/>
  <c r="L8758" i="1"/>
  <c r="K8758" i="1"/>
  <c r="J8758" i="1"/>
  <c r="H8742" i="1"/>
  <c r="L8742" i="1"/>
  <c r="K8742" i="1"/>
  <c r="J8742" i="1"/>
  <c r="I8726" i="1"/>
  <c r="L8726" i="1"/>
  <c r="K8726" i="1"/>
  <c r="J8726" i="1"/>
  <c r="I8710" i="1"/>
  <c r="L8710" i="1"/>
  <c r="K8710" i="1"/>
  <c r="J8710" i="1"/>
  <c r="I8694" i="1"/>
  <c r="L8694" i="1"/>
  <c r="K8694" i="1"/>
  <c r="J8694" i="1"/>
  <c r="H8678" i="1"/>
  <c r="L8678" i="1"/>
  <c r="K8678" i="1"/>
  <c r="I8662" i="1"/>
  <c r="L8662" i="1"/>
  <c r="K8662" i="1"/>
  <c r="J8662" i="1"/>
  <c r="I8646" i="1"/>
  <c r="L8646" i="1"/>
  <c r="K8646" i="1"/>
  <c r="J8646" i="1"/>
  <c r="H8630" i="1"/>
  <c r="L8630" i="1"/>
  <c r="K8630" i="1"/>
  <c r="J8630" i="1"/>
  <c r="H8614" i="1"/>
  <c r="L8614" i="1"/>
  <c r="K8614" i="1"/>
  <c r="J8614" i="1"/>
  <c r="I8598" i="1"/>
  <c r="L8598" i="1"/>
  <c r="K8598" i="1"/>
  <c r="H8590" i="1"/>
  <c r="L8590" i="1"/>
  <c r="J8590" i="1"/>
  <c r="K8590" i="1"/>
  <c r="I8574" i="1"/>
  <c r="K8574" i="1"/>
  <c r="L8574" i="1"/>
  <c r="I8558" i="1"/>
  <c r="K8558" i="1"/>
  <c r="J8558" i="1"/>
  <c r="L8558" i="1"/>
  <c r="I8542" i="1"/>
  <c r="J8542" i="1"/>
  <c r="L8542" i="1"/>
  <c r="K8542" i="1"/>
  <c r="I8526" i="1"/>
  <c r="J8526" i="1"/>
  <c r="L8526" i="1"/>
  <c r="K8526" i="1"/>
  <c r="I8510" i="1"/>
  <c r="L8510" i="1"/>
  <c r="K8510" i="1"/>
  <c r="J8510" i="1"/>
  <c r="I8494" i="1"/>
  <c r="K8494" i="1"/>
  <c r="J8494" i="1"/>
  <c r="L8494" i="1"/>
  <c r="I8478" i="1"/>
  <c r="J8478" i="1"/>
  <c r="K8478" i="1"/>
  <c r="L8478" i="1"/>
  <c r="H8462" i="1"/>
  <c r="J8462" i="1"/>
  <c r="L8462" i="1"/>
  <c r="K8462" i="1"/>
  <c r="I8446" i="1"/>
  <c r="L8446" i="1"/>
  <c r="K8446" i="1"/>
  <c r="J8446" i="1"/>
  <c r="I8430" i="1"/>
  <c r="L8430" i="1"/>
  <c r="K8430" i="1"/>
  <c r="J8430" i="1"/>
  <c r="I8414" i="1"/>
  <c r="L8414" i="1"/>
  <c r="J8414" i="1"/>
  <c r="K8414" i="1"/>
  <c r="H8398" i="1"/>
  <c r="L8398" i="1"/>
  <c r="J8398" i="1"/>
  <c r="K8398" i="1"/>
  <c r="I8390" i="1"/>
  <c r="L8390" i="1"/>
  <c r="K8390" i="1"/>
  <c r="H8374" i="1"/>
  <c r="L8374" i="1"/>
  <c r="K8374" i="1"/>
  <c r="I8358" i="1"/>
  <c r="L8358" i="1"/>
  <c r="K8358" i="1"/>
  <c r="J8358" i="1"/>
  <c r="I8342" i="1"/>
  <c r="L8342" i="1"/>
  <c r="K8342" i="1"/>
  <c r="J8342" i="1"/>
  <c r="I8326" i="1"/>
  <c r="L8326" i="1"/>
  <c r="K8326" i="1"/>
  <c r="J8326" i="1"/>
  <c r="I8310" i="1"/>
  <c r="L8310" i="1"/>
  <c r="K8310" i="1"/>
  <c r="J8310" i="1"/>
  <c r="H8294" i="1"/>
  <c r="L8294" i="1"/>
  <c r="K8294" i="1"/>
  <c r="I8278" i="1"/>
  <c r="L8278" i="1"/>
  <c r="K8278" i="1"/>
  <c r="I8262" i="1"/>
  <c r="L8262" i="1"/>
  <c r="K8262" i="1"/>
  <c r="J8262" i="1"/>
  <c r="H8246" i="1"/>
  <c r="L8246" i="1"/>
  <c r="K8246" i="1"/>
  <c r="J8246" i="1"/>
  <c r="H8230" i="1"/>
  <c r="L8230" i="1"/>
  <c r="K8230" i="1"/>
  <c r="I8214" i="1"/>
  <c r="L8214" i="1"/>
  <c r="K8214" i="1"/>
  <c r="J8214" i="1"/>
  <c r="I8198" i="1"/>
  <c r="L8198" i="1"/>
  <c r="K8198" i="1"/>
  <c r="J8198" i="1"/>
  <c r="I8182" i="1"/>
  <c r="L8182" i="1"/>
  <c r="K8182" i="1"/>
  <c r="J8182" i="1"/>
  <c r="H8166" i="1"/>
  <c r="L8166" i="1"/>
  <c r="K8166" i="1"/>
  <c r="J8166" i="1"/>
  <c r="I8150" i="1"/>
  <c r="L8150" i="1"/>
  <c r="K8150" i="1"/>
  <c r="J8150" i="1"/>
  <c r="I8134" i="1"/>
  <c r="L8134" i="1"/>
  <c r="K8134" i="1"/>
  <c r="J8134" i="1"/>
  <c r="I8118" i="1"/>
  <c r="L8118" i="1"/>
  <c r="K8118" i="1"/>
  <c r="J8118" i="1"/>
  <c r="H8102" i="1"/>
  <c r="L8102" i="1"/>
  <c r="K8102" i="1"/>
  <c r="J8102" i="1"/>
  <c r="I8086" i="1"/>
  <c r="L8086" i="1"/>
  <c r="K8086" i="1"/>
  <c r="I8070" i="1"/>
  <c r="L8070" i="1"/>
  <c r="K8070" i="1"/>
  <c r="J8070" i="1"/>
  <c r="I8054" i="1"/>
  <c r="L8054" i="1"/>
  <c r="K8054" i="1"/>
  <c r="J8054" i="1"/>
  <c r="I8038" i="1"/>
  <c r="L8038" i="1"/>
  <c r="K8038" i="1"/>
  <c r="I8022" i="1"/>
  <c r="L8022" i="1"/>
  <c r="K8022" i="1"/>
  <c r="I8006" i="1"/>
  <c r="L8006" i="1"/>
  <c r="K8006" i="1"/>
  <c r="J8006" i="1"/>
  <c r="I7990" i="1"/>
  <c r="L7990" i="1"/>
  <c r="K7990" i="1"/>
  <c r="J7990" i="1"/>
  <c r="L7974" i="1"/>
  <c r="K7974" i="1"/>
  <c r="L7958" i="1"/>
  <c r="K7958" i="1"/>
  <c r="J7958" i="1"/>
  <c r="L7942" i="1"/>
  <c r="K7942" i="1"/>
  <c r="J7942" i="1"/>
  <c r="L7926" i="1"/>
  <c r="K7926" i="1"/>
  <c r="J7926" i="1"/>
  <c r="I7918" i="1"/>
  <c r="L7918" i="1"/>
  <c r="K7918" i="1"/>
  <c r="J7918" i="1"/>
  <c r="I7902" i="1"/>
  <c r="L7902" i="1"/>
  <c r="K7902" i="1"/>
  <c r="J7902" i="1"/>
  <c r="I7886" i="1"/>
  <c r="L7886" i="1"/>
  <c r="K7886" i="1"/>
  <c r="I7870" i="1"/>
  <c r="L7870" i="1"/>
  <c r="K7870" i="1"/>
  <c r="I7854" i="1"/>
  <c r="L7854" i="1"/>
  <c r="K7854" i="1"/>
  <c r="J7854" i="1"/>
  <c r="E7838" i="1"/>
  <c r="L7838" i="1"/>
  <c r="K7838" i="1"/>
  <c r="J7838" i="1"/>
  <c r="E7822" i="1"/>
  <c r="L7822" i="1"/>
  <c r="K7822" i="1"/>
  <c r="E7806" i="1"/>
  <c r="L7806" i="1"/>
  <c r="K7806" i="1"/>
  <c r="J7806" i="1"/>
  <c r="E7790" i="1"/>
  <c r="L7790" i="1"/>
  <c r="K7790" i="1"/>
  <c r="J7790" i="1"/>
  <c r="L7774" i="1"/>
  <c r="K7774" i="1"/>
  <c r="J7774" i="1"/>
  <c r="E7758" i="1"/>
  <c r="L7758" i="1"/>
  <c r="K7758" i="1"/>
  <c r="J7758" i="1"/>
  <c r="E7742" i="1"/>
  <c r="L7742" i="1"/>
  <c r="J7742" i="1"/>
  <c r="K7742" i="1"/>
  <c r="E7734" i="1"/>
  <c r="L7734" i="1"/>
  <c r="K7734" i="1"/>
  <c r="J7734" i="1"/>
  <c r="E7718" i="1"/>
  <c r="L7718" i="1"/>
  <c r="K7718" i="1"/>
  <c r="J7718" i="1"/>
  <c r="E7702" i="1"/>
  <c r="L7702" i="1"/>
  <c r="K7702" i="1"/>
  <c r="E7686" i="1"/>
  <c r="L7686" i="1"/>
  <c r="K7686" i="1"/>
  <c r="J7686" i="1"/>
  <c r="E7670" i="1"/>
  <c r="L7670" i="1"/>
  <c r="K7670" i="1"/>
  <c r="J7670" i="1"/>
  <c r="E7654" i="1"/>
  <c r="L7654" i="1"/>
  <c r="K7654" i="1"/>
  <c r="J7654" i="1"/>
  <c r="E7638" i="1"/>
  <c r="L7638" i="1"/>
  <c r="K7638" i="1"/>
  <c r="E7622" i="1"/>
  <c r="L7622" i="1"/>
  <c r="K7622" i="1"/>
  <c r="J7622" i="1"/>
  <c r="E7606" i="1"/>
  <c r="L7606" i="1"/>
  <c r="K7606" i="1"/>
  <c r="J7606" i="1"/>
  <c r="E7590" i="1"/>
  <c r="L7590" i="1"/>
  <c r="K7590" i="1"/>
  <c r="J7590" i="1"/>
  <c r="E7574" i="1"/>
  <c r="L7574" i="1"/>
  <c r="K7574" i="1"/>
  <c r="E7558" i="1"/>
  <c r="L7558" i="1"/>
  <c r="K7558" i="1"/>
  <c r="J7558" i="1"/>
  <c r="E7542" i="1"/>
  <c r="L7542" i="1"/>
  <c r="K7542" i="1"/>
  <c r="J7542" i="1"/>
  <c r="E7526" i="1"/>
  <c r="L7526" i="1"/>
  <c r="K7526" i="1"/>
  <c r="J7526" i="1"/>
  <c r="E7510" i="1"/>
  <c r="L7510" i="1"/>
  <c r="K7510" i="1"/>
  <c r="E7494" i="1"/>
  <c r="L7494" i="1"/>
  <c r="K7494" i="1"/>
  <c r="J7494" i="1"/>
  <c r="E7478" i="1"/>
  <c r="L7478" i="1"/>
  <c r="K7478" i="1"/>
  <c r="J7478" i="1"/>
  <c r="E7462" i="1"/>
  <c r="L7462" i="1"/>
  <c r="K7462" i="1"/>
  <c r="J7462" i="1"/>
  <c r="E7446" i="1"/>
  <c r="L7446" i="1"/>
  <c r="K7446" i="1"/>
  <c r="E7430" i="1"/>
  <c r="L7430" i="1"/>
  <c r="K7430" i="1"/>
  <c r="J7430" i="1"/>
  <c r="E7414" i="1"/>
  <c r="L7414" i="1"/>
  <c r="K7414" i="1"/>
  <c r="J7414" i="1"/>
  <c r="E7398" i="1"/>
  <c r="L7398" i="1"/>
  <c r="J7398" i="1"/>
  <c r="K7398" i="1"/>
  <c r="E7382" i="1"/>
  <c r="L7382" i="1"/>
  <c r="K7382" i="1"/>
  <c r="J7382" i="1"/>
  <c r="E7366" i="1"/>
  <c r="L7366" i="1"/>
  <c r="J7366" i="1"/>
  <c r="K7366" i="1"/>
  <c r="E7350" i="1"/>
  <c r="L7350" i="1"/>
  <c r="K7350" i="1"/>
  <c r="J7350" i="1"/>
  <c r="E7334" i="1"/>
  <c r="L7334" i="1"/>
  <c r="J7334" i="1"/>
  <c r="K7334" i="1"/>
  <c r="E7318" i="1"/>
  <c r="L7318" i="1"/>
  <c r="K7318" i="1"/>
  <c r="J7318" i="1"/>
  <c r="E7302" i="1"/>
  <c r="L7302" i="1"/>
  <c r="J7302" i="1"/>
  <c r="K7302" i="1"/>
  <c r="E7286" i="1"/>
  <c r="L7286" i="1"/>
  <c r="K7286" i="1"/>
  <c r="E7270" i="1"/>
  <c r="L7270" i="1"/>
  <c r="J7270" i="1"/>
  <c r="K7270" i="1"/>
  <c r="E7254" i="1"/>
  <c r="L7254" i="1"/>
  <c r="K7254" i="1"/>
  <c r="J7254" i="1"/>
  <c r="E7238" i="1"/>
  <c r="L7238" i="1"/>
  <c r="K7238" i="1"/>
  <c r="J7238" i="1"/>
  <c r="E7222" i="1"/>
  <c r="L7222" i="1"/>
  <c r="K7222" i="1"/>
  <c r="E7206" i="1"/>
  <c r="L7206" i="1"/>
  <c r="K7206" i="1"/>
  <c r="J7206" i="1"/>
  <c r="E7190" i="1"/>
  <c r="L7190" i="1"/>
  <c r="K7190" i="1"/>
  <c r="J7190" i="1"/>
  <c r="E7174" i="1"/>
  <c r="L7174" i="1"/>
  <c r="K7174" i="1"/>
  <c r="J7174" i="1"/>
  <c r="E7158" i="1"/>
  <c r="L7158" i="1"/>
  <c r="K7158" i="1"/>
  <c r="J7158" i="1"/>
  <c r="E7142" i="1"/>
  <c r="L7142" i="1"/>
  <c r="K7142" i="1"/>
  <c r="J7142" i="1"/>
  <c r="E7126" i="1"/>
  <c r="L7126" i="1"/>
  <c r="K7126" i="1"/>
  <c r="J7126" i="1"/>
  <c r="E7110" i="1"/>
  <c r="L7110" i="1"/>
  <c r="K7110" i="1"/>
  <c r="J7110" i="1"/>
  <c r="E7094" i="1"/>
  <c r="L7094" i="1"/>
  <c r="K7094" i="1"/>
  <c r="J7094" i="1"/>
  <c r="E7078" i="1"/>
  <c r="L7078" i="1"/>
  <c r="K7078" i="1"/>
  <c r="J7078" i="1"/>
  <c r="E7062" i="1"/>
  <c r="L7062" i="1"/>
  <c r="K7062" i="1"/>
  <c r="J7062" i="1"/>
  <c r="E7038" i="1"/>
  <c r="L7038" i="1"/>
  <c r="K7038" i="1"/>
  <c r="J7038" i="1"/>
  <c r="E7022" i="1"/>
  <c r="L7022" i="1"/>
  <c r="K7022" i="1"/>
  <c r="J7022" i="1"/>
  <c r="E7006" i="1"/>
  <c r="L7006" i="1"/>
  <c r="K7006" i="1"/>
  <c r="J7006" i="1"/>
  <c r="E6990" i="1"/>
  <c r="L6990" i="1"/>
  <c r="K6990" i="1"/>
  <c r="J6990" i="1"/>
  <c r="E6974" i="1"/>
  <c r="L6974" i="1"/>
  <c r="K6974" i="1"/>
  <c r="J6974" i="1"/>
  <c r="E6958" i="1"/>
  <c r="L6958" i="1"/>
  <c r="K6958" i="1"/>
  <c r="E6942" i="1"/>
  <c r="L6942" i="1"/>
  <c r="K6942" i="1"/>
  <c r="J6942" i="1"/>
  <c r="E6926" i="1"/>
  <c r="L6926" i="1"/>
  <c r="K6926" i="1"/>
  <c r="J6926" i="1"/>
  <c r="E6910" i="1"/>
  <c r="L6910" i="1"/>
  <c r="K6910" i="1"/>
  <c r="J6910" i="1"/>
  <c r="E6894" i="1"/>
  <c r="L6894" i="1"/>
  <c r="K6894" i="1"/>
  <c r="E6878" i="1"/>
  <c r="L6878" i="1"/>
  <c r="K6878" i="1"/>
  <c r="J6878" i="1"/>
  <c r="E6870" i="1"/>
  <c r="L6870" i="1"/>
  <c r="K6870" i="1"/>
  <c r="J6870" i="1"/>
  <c r="E6854" i="1"/>
  <c r="L6854" i="1"/>
  <c r="K6854" i="1"/>
  <c r="J6854" i="1"/>
  <c r="E6838" i="1"/>
  <c r="L6838" i="1"/>
  <c r="K6838" i="1"/>
  <c r="J6838" i="1"/>
  <c r="E6822" i="1"/>
  <c r="L6822" i="1"/>
  <c r="K6822" i="1"/>
  <c r="J6822" i="1"/>
  <c r="E6806" i="1"/>
  <c r="L6806" i="1"/>
  <c r="K6806" i="1"/>
  <c r="J6806" i="1"/>
  <c r="E6790" i="1"/>
  <c r="L6790" i="1"/>
  <c r="K6790" i="1"/>
  <c r="J6790" i="1"/>
  <c r="E6774" i="1"/>
  <c r="L6774" i="1"/>
  <c r="K6774" i="1"/>
  <c r="L6758" i="1"/>
  <c r="K6758" i="1"/>
  <c r="J6758" i="1"/>
  <c r="L6742" i="1"/>
  <c r="K6742" i="1"/>
  <c r="L6726" i="1"/>
  <c r="K6726" i="1"/>
  <c r="L6710" i="1"/>
  <c r="K6710" i="1"/>
  <c r="L6694" i="1"/>
  <c r="K6694" i="1"/>
  <c r="L6678" i="1"/>
  <c r="K6678" i="1"/>
  <c r="L6662" i="1"/>
  <c r="K6662" i="1"/>
  <c r="L6646" i="1"/>
  <c r="K6646" i="1"/>
  <c r="L6622" i="1"/>
  <c r="K6622" i="1"/>
  <c r="L6606" i="1"/>
  <c r="K6606" i="1"/>
  <c r="L6590" i="1"/>
  <c r="K6590" i="1"/>
  <c r="L6574" i="1"/>
  <c r="K6574" i="1"/>
  <c r="L6558" i="1"/>
  <c r="K6558" i="1"/>
  <c r="L6542" i="1"/>
  <c r="K6542" i="1"/>
  <c r="L6526" i="1"/>
  <c r="K6526" i="1"/>
  <c r="L6510" i="1"/>
  <c r="K6510" i="1"/>
  <c r="L6494" i="1"/>
  <c r="K6494" i="1"/>
  <c r="L6478" i="1"/>
  <c r="K6478" i="1"/>
  <c r="L6462" i="1"/>
  <c r="K6462" i="1"/>
  <c r="L6446" i="1"/>
  <c r="K6446" i="1"/>
  <c r="L6430" i="1"/>
  <c r="K6430" i="1"/>
  <c r="L6414" i="1"/>
  <c r="K6414" i="1"/>
  <c r="L6398" i="1"/>
  <c r="K6398" i="1"/>
  <c r="L6382" i="1"/>
  <c r="K6382" i="1"/>
  <c r="L6366" i="1"/>
  <c r="K6366" i="1"/>
  <c r="L6350" i="1"/>
  <c r="K6350" i="1"/>
  <c r="L6334" i="1"/>
  <c r="K6334" i="1"/>
  <c r="L6318" i="1"/>
  <c r="K6318" i="1"/>
  <c r="L6302" i="1"/>
  <c r="K6302" i="1"/>
  <c r="L6270" i="1"/>
  <c r="K6270" i="1"/>
  <c r="L5774" i="1"/>
  <c r="K5774" i="1"/>
  <c r="J96" i="1"/>
  <c r="L96" i="1"/>
  <c r="J88" i="1"/>
  <c r="L88" i="1"/>
  <c r="K88" i="1"/>
  <c r="J80" i="1"/>
  <c r="L80" i="1"/>
  <c r="K80" i="1"/>
  <c r="J72" i="1"/>
  <c r="L72" i="1"/>
  <c r="K72" i="1"/>
  <c r="J64" i="1"/>
  <c r="L64" i="1"/>
  <c r="K64" i="1"/>
  <c r="J56" i="1"/>
  <c r="L56" i="1"/>
  <c r="K56" i="1"/>
  <c r="J48" i="1"/>
  <c r="L48" i="1"/>
  <c r="K48" i="1"/>
  <c r="J40" i="1"/>
  <c r="L40" i="1"/>
  <c r="K40" i="1"/>
  <c r="J32" i="1"/>
  <c r="L32" i="1"/>
  <c r="K32" i="1"/>
  <c r="J24" i="1"/>
  <c r="L24" i="1"/>
  <c r="K24" i="1"/>
  <c r="J16" i="1"/>
  <c r="L16" i="1"/>
  <c r="K16" i="1"/>
  <c r="J8" i="1"/>
  <c r="L8" i="1"/>
  <c r="K8" i="1"/>
  <c r="J294" i="1"/>
  <c r="L294" i="1"/>
  <c r="K294" i="1"/>
  <c r="J286" i="1"/>
  <c r="L286" i="1"/>
  <c r="K286" i="1"/>
  <c r="J278" i="1"/>
  <c r="L278" i="1"/>
  <c r="K278" i="1"/>
  <c r="J270" i="1"/>
  <c r="L270" i="1"/>
  <c r="K270" i="1"/>
  <c r="J262" i="1"/>
  <c r="L262" i="1"/>
  <c r="K262" i="1"/>
  <c r="J254" i="1"/>
  <c r="L254" i="1"/>
  <c r="K254" i="1"/>
  <c r="J246" i="1"/>
  <c r="L246" i="1"/>
  <c r="K246" i="1"/>
  <c r="J238" i="1"/>
  <c r="L238" i="1"/>
  <c r="K238" i="1"/>
  <c r="L230" i="1"/>
  <c r="K230" i="1"/>
  <c r="J222" i="1"/>
  <c r="L222" i="1"/>
  <c r="K222" i="1"/>
  <c r="J214" i="1"/>
  <c r="L214" i="1"/>
  <c r="K214" i="1"/>
  <c r="J206" i="1"/>
  <c r="L206" i="1"/>
  <c r="K206" i="1"/>
  <c r="J198" i="1"/>
  <c r="L198" i="1"/>
  <c r="K198" i="1"/>
  <c r="J190" i="1"/>
  <c r="L190" i="1"/>
  <c r="K190" i="1"/>
  <c r="J182" i="1"/>
  <c r="L182" i="1"/>
  <c r="K182" i="1"/>
  <c r="J174" i="1"/>
  <c r="L174" i="1"/>
  <c r="K174" i="1"/>
  <c r="J166" i="1"/>
  <c r="L166" i="1"/>
  <c r="K166" i="1"/>
  <c r="J158" i="1"/>
  <c r="L158" i="1"/>
  <c r="K158" i="1"/>
  <c r="J150" i="1"/>
  <c r="L150" i="1"/>
  <c r="K150" i="1"/>
  <c r="J142" i="1"/>
  <c r="L142" i="1"/>
  <c r="K142" i="1"/>
  <c r="J134" i="1"/>
  <c r="L134" i="1"/>
  <c r="K134" i="1"/>
  <c r="J126" i="1"/>
  <c r="L126" i="1"/>
  <c r="K126" i="1"/>
  <c r="J118" i="1"/>
  <c r="L118" i="1"/>
  <c r="K118" i="1"/>
  <c r="J110" i="1"/>
  <c r="L110" i="1"/>
  <c r="K110" i="1"/>
  <c r="E9214" i="1"/>
  <c r="E8518" i="1"/>
  <c r="E8454" i="1"/>
  <c r="E8214" i="1"/>
  <c r="E6470" i="1"/>
  <c r="E6278" i="1"/>
  <c r="E6078" i="1"/>
  <c r="E6046" i="1"/>
  <c r="E5934" i="1"/>
  <c r="E5694" i="1"/>
  <c r="E5662" i="1"/>
  <c r="E5630" i="1"/>
  <c r="E5446" i="1"/>
  <c r="E5414" i="1"/>
  <c r="E5070" i="1"/>
  <c r="E4942" i="1"/>
  <c r="E4798" i="1"/>
  <c r="E4766" i="1"/>
  <c r="E4494" i="1"/>
  <c r="E4462" i="1"/>
  <c r="E4078" i="1"/>
  <c r="E3990" i="1"/>
  <c r="E3758" i="1"/>
  <c r="E3694" i="1"/>
  <c r="E3566" i="1"/>
  <c r="J9990" i="1"/>
  <c r="J9726" i="1"/>
  <c r="J9398" i="1"/>
  <c r="J8982" i="1"/>
  <c r="J8574" i="1"/>
  <c r="J8038" i="1"/>
  <c r="J7870" i="1"/>
  <c r="J7510" i="1"/>
  <c r="J7286" i="1"/>
  <c r="K9903" i="1"/>
  <c r="K9647" i="1"/>
  <c r="K9391" i="1"/>
  <c r="K9135" i="1"/>
  <c r="K9055" i="1"/>
  <c r="K7291" i="1"/>
  <c r="K6979" i="1"/>
  <c r="K6595" i="1"/>
  <c r="K6419" i="1"/>
  <c r="K5907" i="1"/>
  <c r="K5395" i="1"/>
  <c r="K4883" i="1"/>
  <c r="K4371" i="1"/>
  <c r="K3859" i="1"/>
  <c r="K3347" i="1"/>
  <c r="L9607" i="1"/>
  <c r="L8734" i="1"/>
  <c r="J94" i="1"/>
  <c r="L94" i="1"/>
  <c r="K94" i="1"/>
  <c r="J54" i="1"/>
  <c r="L54" i="1"/>
  <c r="K54" i="1"/>
  <c r="J14" i="1"/>
  <c r="L14" i="1"/>
  <c r="K14" i="1"/>
  <c r="J268" i="1"/>
  <c r="L268" i="1"/>
  <c r="K268" i="1"/>
  <c r="J220" i="1"/>
  <c r="L220" i="1"/>
  <c r="K220" i="1"/>
  <c r="J148" i="1"/>
  <c r="L148" i="1"/>
  <c r="K148" i="1"/>
  <c r="J9971" i="1"/>
  <c r="L9971" i="1"/>
  <c r="K9971" i="1"/>
  <c r="J9931" i="1"/>
  <c r="L9931" i="1"/>
  <c r="K9931" i="1"/>
  <c r="J9891" i="1"/>
  <c r="L9891" i="1"/>
  <c r="K9891" i="1"/>
  <c r="J9867" i="1"/>
  <c r="L9867" i="1"/>
  <c r="K9867" i="1"/>
  <c r="L9843" i="1"/>
  <c r="K9843" i="1"/>
  <c r="J9803" i="1"/>
  <c r="L9803" i="1"/>
  <c r="K9803" i="1"/>
  <c r="L9763" i="1"/>
  <c r="K9763" i="1"/>
  <c r="J9691" i="1"/>
  <c r="L9691" i="1"/>
  <c r="K9691" i="1"/>
  <c r="L9555" i="1"/>
  <c r="K9555" i="1"/>
  <c r="L8595" i="1"/>
  <c r="K8595" i="1"/>
  <c r="J95" i="1"/>
  <c r="L95" i="1"/>
  <c r="K95" i="1"/>
  <c r="J87" i="1"/>
  <c r="L87" i="1"/>
  <c r="K87" i="1"/>
  <c r="J79" i="1"/>
  <c r="L79" i="1"/>
  <c r="K79" i="1"/>
  <c r="J71" i="1"/>
  <c r="L71" i="1"/>
  <c r="K71" i="1"/>
  <c r="J63" i="1"/>
  <c r="L63" i="1"/>
  <c r="K63" i="1"/>
  <c r="J55" i="1"/>
  <c r="L55" i="1"/>
  <c r="K55" i="1"/>
  <c r="J47" i="1"/>
  <c r="L47" i="1"/>
  <c r="K47" i="1"/>
  <c r="J39" i="1"/>
  <c r="L39" i="1"/>
  <c r="K39" i="1"/>
  <c r="J31" i="1"/>
  <c r="L31" i="1"/>
  <c r="K31" i="1"/>
  <c r="L23" i="1"/>
  <c r="K23" i="1"/>
  <c r="J15" i="1"/>
  <c r="L15" i="1"/>
  <c r="K15" i="1"/>
  <c r="J7" i="1"/>
  <c r="L7" i="1"/>
  <c r="K7" i="1"/>
  <c r="J108" i="1"/>
  <c r="L108" i="1"/>
  <c r="K108" i="1"/>
  <c r="J301" i="1"/>
  <c r="L301" i="1"/>
  <c r="K301" i="1"/>
  <c r="J293" i="1"/>
  <c r="L293" i="1"/>
  <c r="K293" i="1"/>
  <c r="J285" i="1"/>
  <c r="L285" i="1"/>
  <c r="K285" i="1"/>
  <c r="J277" i="1"/>
  <c r="L277" i="1"/>
  <c r="K277" i="1"/>
  <c r="J269" i="1"/>
  <c r="L269" i="1"/>
  <c r="K269" i="1"/>
  <c r="J261" i="1"/>
  <c r="L261" i="1"/>
  <c r="K261" i="1"/>
  <c r="J253" i="1"/>
  <c r="L253" i="1"/>
  <c r="K253" i="1"/>
  <c r="J245" i="1"/>
  <c r="L245" i="1"/>
  <c r="K245" i="1"/>
  <c r="J237" i="1"/>
  <c r="L237" i="1"/>
  <c r="K237" i="1"/>
  <c r="J229" i="1"/>
  <c r="L229" i="1"/>
  <c r="K229" i="1"/>
  <c r="J221" i="1"/>
  <c r="L221" i="1"/>
  <c r="K221" i="1"/>
  <c r="J213" i="1"/>
  <c r="L213" i="1"/>
  <c r="K213" i="1"/>
  <c r="J205" i="1"/>
  <c r="L205" i="1"/>
  <c r="K205" i="1"/>
  <c r="J197" i="1"/>
  <c r="L197" i="1"/>
  <c r="K197" i="1"/>
  <c r="J189" i="1"/>
  <c r="L189" i="1"/>
  <c r="K189" i="1"/>
  <c r="J181" i="1"/>
  <c r="L181" i="1"/>
  <c r="K181" i="1"/>
  <c r="J173" i="1"/>
  <c r="L173" i="1"/>
  <c r="K173" i="1"/>
  <c r="J165" i="1"/>
  <c r="L165" i="1"/>
  <c r="K165" i="1"/>
  <c r="J157" i="1"/>
  <c r="L157" i="1"/>
  <c r="K157" i="1"/>
  <c r="J149" i="1"/>
  <c r="L149" i="1"/>
  <c r="K149" i="1"/>
  <c r="J141" i="1"/>
  <c r="L141" i="1"/>
  <c r="K141" i="1"/>
  <c r="J133" i="1"/>
  <c r="L133" i="1"/>
  <c r="K133" i="1"/>
  <c r="J125" i="1"/>
  <c r="L125" i="1"/>
  <c r="K125" i="1"/>
  <c r="J117" i="1"/>
  <c r="L117" i="1"/>
  <c r="K117" i="1"/>
  <c r="J109" i="1"/>
  <c r="L109" i="1"/>
  <c r="K109" i="1"/>
  <c r="J9996" i="1"/>
  <c r="L9996" i="1"/>
  <c r="K9996" i="1"/>
  <c r="H9988" i="1"/>
  <c r="L9988" i="1"/>
  <c r="K9988" i="1"/>
  <c r="J9980" i="1"/>
  <c r="L9980" i="1"/>
  <c r="K9980" i="1"/>
  <c r="H9972" i="1"/>
  <c r="L9972" i="1"/>
  <c r="K9972" i="1"/>
  <c r="J9964" i="1"/>
  <c r="L9964" i="1"/>
  <c r="K9964" i="1"/>
  <c r="J9956" i="1"/>
  <c r="L9956" i="1"/>
  <c r="K9956" i="1"/>
  <c r="I9948" i="1"/>
  <c r="L9948" i="1"/>
  <c r="K9948" i="1"/>
  <c r="L9940" i="1"/>
  <c r="K9940" i="1"/>
  <c r="J9932" i="1"/>
  <c r="L9932" i="1"/>
  <c r="K9932" i="1"/>
  <c r="J9924" i="1"/>
  <c r="L9924" i="1"/>
  <c r="K9924" i="1"/>
  <c r="H9916" i="1"/>
  <c r="L9916" i="1"/>
  <c r="K9916" i="1"/>
  <c r="J9908" i="1"/>
  <c r="L9908" i="1"/>
  <c r="K9908" i="1"/>
  <c r="H9900" i="1"/>
  <c r="L9900" i="1"/>
  <c r="K9900" i="1"/>
  <c r="L9892" i="1"/>
  <c r="K9892" i="1"/>
  <c r="J9884" i="1"/>
  <c r="L9884" i="1"/>
  <c r="K9884" i="1"/>
  <c r="J9876" i="1"/>
  <c r="L9876" i="1"/>
  <c r="K9876" i="1"/>
  <c r="H9868" i="1"/>
  <c r="L9868" i="1"/>
  <c r="K9868" i="1"/>
  <c r="L9860" i="1"/>
  <c r="K9860" i="1"/>
  <c r="H9852" i="1"/>
  <c r="L9852" i="1"/>
  <c r="K9852" i="1"/>
  <c r="J9844" i="1"/>
  <c r="L9844" i="1"/>
  <c r="K9844" i="1"/>
  <c r="J9836" i="1"/>
  <c r="L9836" i="1"/>
  <c r="K9836" i="1"/>
  <c r="J9828" i="1"/>
  <c r="L9828" i="1"/>
  <c r="K9828" i="1"/>
  <c r="H9820" i="1"/>
  <c r="L9820" i="1"/>
  <c r="K9820" i="1"/>
  <c r="H9812" i="1"/>
  <c r="L9812" i="1"/>
  <c r="K9812" i="1"/>
  <c r="J9804" i="1"/>
  <c r="L9804" i="1"/>
  <c r="K9804" i="1"/>
  <c r="H9796" i="1"/>
  <c r="L9796" i="1"/>
  <c r="K9796" i="1"/>
  <c r="J9788" i="1"/>
  <c r="L9788" i="1"/>
  <c r="K9788" i="1"/>
  <c r="J9780" i="1"/>
  <c r="L9780" i="1"/>
  <c r="K9780" i="1"/>
  <c r="H9772" i="1"/>
  <c r="L9772" i="1"/>
  <c r="K9772" i="1"/>
  <c r="H9764" i="1"/>
  <c r="L9764" i="1"/>
  <c r="K9764" i="1"/>
  <c r="J9756" i="1"/>
  <c r="L9756" i="1"/>
  <c r="K9756" i="1"/>
  <c r="H9748" i="1"/>
  <c r="L9748" i="1"/>
  <c r="K9748" i="1"/>
  <c r="J9740" i="1"/>
  <c r="L9740" i="1"/>
  <c r="K9740" i="1"/>
  <c r="J9732" i="1"/>
  <c r="L9732" i="1"/>
  <c r="K9732" i="1"/>
  <c r="H9724" i="1"/>
  <c r="L9724" i="1"/>
  <c r="K9724" i="1"/>
  <c r="H9716" i="1"/>
  <c r="L9716" i="1"/>
  <c r="K9716" i="1"/>
  <c r="H9708" i="1"/>
  <c r="L9708" i="1"/>
  <c r="K9708" i="1"/>
  <c r="J9700" i="1"/>
  <c r="L9700" i="1"/>
  <c r="K9700" i="1"/>
  <c r="J9692" i="1"/>
  <c r="L9692" i="1"/>
  <c r="K9692" i="1"/>
  <c r="J9684" i="1"/>
  <c r="L9684" i="1"/>
  <c r="K9684" i="1"/>
  <c r="H9676" i="1"/>
  <c r="L9676" i="1"/>
  <c r="K9676" i="1"/>
  <c r="H9668" i="1"/>
  <c r="L9668" i="1"/>
  <c r="K9668" i="1"/>
  <c r="H9660" i="1"/>
  <c r="L9660" i="1"/>
  <c r="K9660" i="1"/>
  <c r="I9652" i="1"/>
  <c r="L9652" i="1"/>
  <c r="K9652" i="1"/>
  <c r="H9644" i="1"/>
  <c r="L9644" i="1"/>
  <c r="K9644" i="1"/>
  <c r="H9636" i="1"/>
  <c r="L9636" i="1"/>
  <c r="K9636" i="1"/>
  <c r="L9628" i="1"/>
  <c r="K9628" i="1"/>
  <c r="J9620" i="1"/>
  <c r="L9620" i="1"/>
  <c r="K9620" i="1"/>
  <c r="I9612" i="1"/>
  <c r="L9612" i="1"/>
  <c r="K9612" i="1"/>
  <c r="I9604" i="1"/>
  <c r="L9604" i="1"/>
  <c r="K9604" i="1"/>
  <c r="H9596" i="1"/>
  <c r="L9596" i="1"/>
  <c r="K9596" i="1"/>
  <c r="H9588" i="1"/>
  <c r="L9588" i="1"/>
  <c r="K9588" i="1"/>
  <c r="H9580" i="1"/>
  <c r="L9580" i="1"/>
  <c r="K9580" i="1"/>
  <c r="J9572" i="1"/>
  <c r="L9572" i="1"/>
  <c r="K9572" i="1"/>
  <c r="J9564" i="1"/>
  <c r="L9564" i="1"/>
  <c r="K9564" i="1"/>
  <c r="H9556" i="1"/>
  <c r="L9556" i="1"/>
  <c r="K9556" i="1"/>
  <c r="H9548" i="1"/>
  <c r="L9548" i="1"/>
  <c r="K9548" i="1"/>
  <c r="J9540" i="1"/>
  <c r="L9540" i="1"/>
  <c r="K9540" i="1"/>
  <c r="H9532" i="1"/>
  <c r="L9532" i="1"/>
  <c r="K9532" i="1"/>
  <c r="J9524" i="1"/>
  <c r="L9524" i="1"/>
  <c r="K9524" i="1"/>
  <c r="H9516" i="1"/>
  <c r="L9516" i="1"/>
  <c r="K9516" i="1"/>
  <c r="J9508" i="1"/>
  <c r="L9508" i="1"/>
  <c r="K9508" i="1"/>
  <c r="H9500" i="1"/>
  <c r="L9500" i="1"/>
  <c r="K9500" i="1"/>
  <c r="H9492" i="1"/>
  <c r="L9492" i="1"/>
  <c r="K9492" i="1"/>
  <c r="L9484" i="1"/>
  <c r="K9484" i="1"/>
  <c r="J9476" i="1"/>
  <c r="L9476" i="1"/>
  <c r="K9476" i="1"/>
  <c r="H9468" i="1"/>
  <c r="L9468" i="1"/>
  <c r="K9468" i="1"/>
  <c r="J9460" i="1"/>
  <c r="L9460" i="1"/>
  <c r="K9460" i="1"/>
  <c r="H9452" i="1"/>
  <c r="L9452" i="1"/>
  <c r="K9452" i="1"/>
  <c r="H9444" i="1"/>
  <c r="L9444" i="1"/>
  <c r="K9444" i="1"/>
  <c r="I9436" i="1"/>
  <c r="L9436" i="1"/>
  <c r="K9436" i="1"/>
  <c r="J9428" i="1"/>
  <c r="L9428" i="1"/>
  <c r="K9428" i="1"/>
  <c r="J9420" i="1"/>
  <c r="L9420" i="1"/>
  <c r="K9420" i="1"/>
  <c r="H9412" i="1"/>
  <c r="L9412" i="1"/>
  <c r="K9412" i="1"/>
  <c r="H9404" i="1"/>
  <c r="L9404" i="1"/>
  <c r="K9404" i="1"/>
  <c r="H9396" i="1"/>
  <c r="L9396" i="1"/>
  <c r="K9396" i="1"/>
  <c r="J9388" i="1"/>
  <c r="L9388" i="1"/>
  <c r="K9388" i="1"/>
  <c r="L9380" i="1"/>
  <c r="K9380" i="1"/>
  <c r="H9372" i="1"/>
  <c r="L9372" i="1"/>
  <c r="K9372" i="1"/>
  <c r="H9364" i="1"/>
  <c r="L9364" i="1"/>
  <c r="K9364" i="1"/>
  <c r="J9356" i="1"/>
  <c r="L9356" i="1"/>
  <c r="K9356" i="1"/>
  <c r="L9348" i="1"/>
  <c r="K9348" i="1"/>
  <c r="H9340" i="1"/>
  <c r="L9340" i="1"/>
  <c r="K9340" i="1"/>
  <c r="L9332" i="1"/>
  <c r="K9332" i="1"/>
  <c r="H9324" i="1"/>
  <c r="L9324" i="1"/>
  <c r="K9324" i="1"/>
  <c r="J9316" i="1"/>
  <c r="L9316" i="1"/>
  <c r="K9316" i="1"/>
  <c r="L9308" i="1"/>
  <c r="K9308" i="1"/>
  <c r="L9300" i="1"/>
  <c r="K9300" i="1"/>
  <c r="H9292" i="1"/>
  <c r="L9292" i="1"/>
  <c r="K9292" i="1"/>
  <c r="H9284" i="1"/>
  <c r="L9284" i="1"/>
  <c r="K9284" i="1"/>
  <c r="L9276" i="1"/>
  <c r="K9276" i="1"/>
  <c r="J9268" i="1"/>
  <c r="L9268" i="1"/>
  <c r="K9268" i="1"/>
  <c r="L9260" i="1"/>
  <c r="K9260" i="1"/>
  <c r="H9252" i="1"/>
  <c r="L9252" i="1"/>
  <c r="K9252" i="1"/>
  <c r="H9244" i="1"/>
  <c r="L9244" i="1"/>
  <c r="K9244" i="1"/>
  <c r="J9236" i="1"/>
  <c r="L9236" i="1"/>
  <c r="K9236" i="1"/>
  <c r="J9228" i="1"/>
  <c r="L9228" i="1"/>
  <c r="K9228" i="1"/>
  <c r="H9220" i="1"/>
  <c r="L9220" i="1"/>
  <c r="K9220" i="1"/>
  <c r="L9212" i="1"/>
  <c r="K9212" i="1"/>
  <c r="H9204" i="1"/>
  <c r="L9204" i="1"/>
  <c r="K9204" i="1"/>
  <c r="J9196" i="1"/>
  <c r="L9196" i="1"/>
  <c r="K9196" i="1"/>
  <c r="L9188" i="1"/>
  <c r="K9188" i="1"/>
  <c r="L9180" i="1"/>
  <c r="K9180" i="1"/>
  <c r="H9172" i="1"/>
  <c r="L9172" i="1"/>
  <c r="K9172" i="1"/>
  <c r="H9164" i="1"/>
  <c r="L9164" i="1"/>
  <c r="K9164" i="1"/>
  <c r="L9156" i="1"/>
  <c r="K9156" i="1"/>
  <c r="J9148" i="1"/>
  <c r="L9148" i="1"/>
  <c r="K9148" i="1"/>
  <c r="L9140" i="1"/>
  <c r="K9140" i="1"/>
  <c r="H9132" i="1"/>
  <c r="L9132" i="1"/>
  <c r="K9132" i="1"/>
  <c r="H9124" i="1"/>
  <c r="L9124" i="1"/>
  <c r="K9124" i="1"/>
  <c r="J9116" i="1"/>
  <c r="L9116" i="1"/>
  <c r="K9116" i="1"/>
  <c r="J9108" i="1"/>
  <c r="L9108" i="1"/>
  <c r="K9108" i="1"/>
  <c r="H9100" i="1"/>
  <c r="L9100" i="1"/>
  <c r="K9100" i="1"/>
  <c r="L9092" i="1"/>
  <c r="K9092" i="1"/>
  <c r="H9084" i="1"/>
  <c r="L9084" i="1"/>
  <c r="K9084" i="1"/>
  <c r="J9076" i="1"/>
  <c r="L9076" i="1"/>
  <c r="K9076" i="1"/>
  <c r="L9068" i="1"/>
  <c r="K9068" i="1"/>
  <c r="H9060" i="1"/>
  <c r="L9060" i="1"/>
  <c r="K9060" i="1"/>
  <c r="H9052" i="1"/>
  <c r="L9052" i="1"/>
  <c r="K9052" i="1"/>
  <c r="L9044" i="1"/>
  <c r="K9044" i="1"/>
  <c r="J9036" i="1"/>
  <c r="L9036" i="1"/>
  <c r="K9036" i="1"/>
  <c r="J9028" i="1"/>
  <c r="L9028" i="1"/>
  <c r="K9028" i="1"/>
  <c r="J9020" i="1"/>
  <c r="L9020" i="1"/>
  <c r="K9020" i="1"/>
  <c r="H9012" i="1"/>
  <c r="L9012" i="1"/>
  <c r="K9012" i="1"/>
  <c r="L9004" i="1"/>
  <c r="K9004" i="1"/>
  <c r="H8996" i="1"/>
  <c r="L8996" i="1"/>
  <c r="K8996" i="1"/>
  <c r="J8988" i="1"/>
  <c r="L8988" i="1"/>
  <c r="K8988" i="1"/>
  <c r="J8980" i="1"/>
  <c r="L8980" i="1"/>
  <c r="K8980" i="1"/>
  <c r="H8972" i="1"/>
  <c r="L8972" i="1"/>
  <c r="K8972" i="1"/>
  <c r="H8964" i="1"/>
  <c r="L8964" i="1"/>
  <c r="K8964" i="1"/>
  <c r="J8956" i="1"/>
  <c r="L8956" i="1"/>
  <c r="K8956" i="1"/>
  <c r="H8948" i="1"/>
  <c r="L8948" i="1"/>
  <c r="K8948" i="1"/>
  <c r="J8940" i="1"/>
  <c r="L8940" i="1"/>
  <c r="K8940" i="1"/>
  <c r="J8932" i="1"/>
  <c r="L8932" i="1"/>
  <c r="K8932" i="1"/>
  <c r="H8924" i="1"/>
  <c r="L8924" i="1"/>
  <c r="K8924" i="1"/>
  <c r="H8916" i="1"/>
  <c r="L8916" i="1"/>
  <c r="K8916" i="1"/>
  <c r="L8908" i="1"/>
  <c r="K8908" i="1"/>
  <c r="L8900" i="1"/>
  <c r="K8900" i="1"/>
  <c r="J8892" i="1"/>
  <c r="L8892" i="1"/>
  <c r="K8892" i="1"/>
  <c r="H8884" i="1"/>
  <c r="L8884" i="1"/>
  <c r="K8884" i="1"/>
  <c r="H8876" i="1"/>
  <c r="L8876" i="1"/>
  <c r="K8876" i="1"/>
  <c r="L8868" i="1"/>
  <c r="K8868" i="1"/>
  <c r="J8860" i="1"/>
  <c r="L8860" i="1"/>
  <c r="K8860" i="1"/>
  <c r="J8852" i="1"/>
  <c r="L8852" i="1"/>
  <c r="K8852" i="1"/>
  <c r="H8844" i="1"/>
  <c r="L8844" i="1"/>
  <c r="K8844" i="1"/>
  <c r="J8836" i="1"/>
  <c r="L8836" i="1"/>
  <c r="K8836" i="1"/>
  <c r="H8828" i="1"/>
  <c r="L8828" i="1"/>
  <c r="K8828" i="1"/>
  <c r="H8820" i="1"/>
  <c r="L8820" i="1"/>
  <c r="K8820" i="1"/>
  <c r="J8812" i="1"/>
  <c r="L8812" i="1"/>
  <c r="K8812" i="1"/>
  <c r="H8804" i="1"/>
  <c r="L8804" i="1"/>
  <c r="K8804" i="1"/>
  <c r="L8796" i="1"/>
  <c r="K8796" i="1"/>
  <c r="L8788" i="1"/>
  <c r="K8788" i="1"/>
  <c r="H8780" i="1"/>
  <c r="L8780" i="1"/>
  <c r="K8780" i="1"/>
  <c r="J8772" i="1"/>
  <c r="L8772" i="1"/>
  <c r="K8772" i="1"/>
  <c r="J8764" i="1"/>
  <c r="L8764" i="1"/>
  <c r="K8764" i="1"/>
  <c r="I8756" i="1"/>
  <c r="L8756" i="1"/>
  <c r="K8756" i="1"/>
  <c r="L8748" i="1"/>
  <c r="K8748" i="1"/>
  <c r="H8740" i="1"/>
  <c r="L8740" i="1"/>
  <c r="K8740" i="1"/>
  <c r="J8732" i="1"/>
  <c r="L8732" i="1"/>
  <c r="K8732" i="1"/>
  <c r="L8724" i="1"/>
  <c r="K8724" i="1"/>
  <c r="H8716" i="1"/>
  <c r="L8716" i="1"/>
  <c r="K8716" i="1"/>
  <c r="H8708" i="1"/>
  <c r="L8708" i="1"/>
  <c r="K8708" i="1"/>
  <c r="H8700" i="1"/>
  <c r="L8700" i="1"/>
  <c r="K8700" i="1"/>
  <c r="J8692" i="1"/>
  <c r="L8692" i="1"/>
  <c r="K8692" i="1"/>
  <c r="H8684" i="1"/>
  <c r="L8684" i="1"/>
  <c r="K8684" i="1"/>
  <c r="J8676" i="1"/>
  <c r="L8676" i="1"/>
  <c r="K8676" i="1"/>
  <c r="H8668" i="1"/>
  <c r="L8668" i="1"/>
  <c r="K8668" i="1"/>
  <c r="H8660" i="1"/>
  <c r="L8660" i="1"/>
  <c r="K8660" i="1"/>
  <c r="H8652" i="1"/>
  <c r="L8652" i="1"/>
  <c r="K8652" i="1"/>
  <c r="J8644" i="1"/>
  <c r="L8644" i="1"/>
  <c r="K8644" i="1"/>
  <c r="L8636" i="1"/>
  <c r="K8636" i="1"/>
  <c r="H8628" i="1"/>
  <c r="L8628" i="1"/>
  <c r="K8628" i="1"/>
  <c r="H8620" i="1"/>
  <c r="L8620" i="1"/>
  <c r="K8620" i="1"/>
  <c r="J8612" i="1"/>
  <c r="L8612" i="1"/>
  <c r="K8612" i="1"/>
  <c r="L8604" i="1"/>
  <c r="K8604" i="1"/>
  <c r="H8596" i="1"/>
  <c r="L8596" i="1"/>
  <c r="K8596" i="1"/>
  <c r="J8588" i="1"/>
  <c r="L8588" i="1"/>
  <c r="K8588" i="1"/>
  <c r="H8580" i="1"/>
  <c r="L8580" i="1"/>
  <c r="K8580" i="1"/>
  <c r="L8572" i="1"/>
  <c r="K8572" i="1"/>
  <c r="J8564" i="1"/>
  <c r="L8564" i="1"/>
  <c r="K8564" i="1"/>
  <c r="L8556" i="1"/>
  <c r="K8556" i="1"/>
  <c r="J8548" i="1"/>
  <c r="L8548" i="1"/>
  <c r="K8548" i="1"/>
  <c r="H8540" i="1"/>
  <c r="L8540" i="1"/>
  <c r="K8540" i="1"/>
  <c r="J8532" i="1"/>
  <c r="L8532" i="1"/>
  <c r="K8532" i="1"/>
  <c r="H8524" i="1"/>
  <c r="L8524" i="1"/>
  <c r="K8524" i="1"/>
  <c r="J8516" i="1"/>
  <c r="L8516" i="1"/>
  <c r="K8516" i="1"/>
  <c r="H8508" i="1"/>
  <c r="L8508" i="1"/>
  <c r="K8508" i="1"/>
  <c r="J8500" i="1"/>
  <c r="L8500" i="1"/>
  <c r="K8500" i="1"/>
  <c r="H8492" i="1"/>
  <c r="L8492" i="1"/>
  <c r="K8492" i="1"/>
  <c r="H8484" i="1"/>
  <c r="L8484" i="1"/>
  <c r="K8484" i="1"/>
  <c r="J8476" i="1"/>
  <c r="L8476" i="1"/>
  <c r="K8476" i="1"/>
  <c r="H8468" i="1"/>
  <c r="L8468" i="1"/>
  <c r="K8468" i="1"/>
  <c r="I8460" i="1"/>
  <c r="L8460" i="1"/>
  <c r="K8460" i="1"/>
  <c r="H8452" i="1"/>
  <c r="L8452" i="1"/>
  <c r="K8452" i="1"/>
  <c r="J8444" i="1"/>
  <c r="L8444" i="1"/>
  <c r="K8444" i="1"/>
  <c r="H8436" i="1"/>
  <c r="L8436" i="1"/>
  <c r="K8436" i="1"/>
  <c r="J8428" i="1"/>
  <c r="L8428" i="1"/>
  <c r="K8428" i="1"/>
  <c r="H8420" i="1"/>
  <c r="L8420" i="1"/>
  <c r="K8420" i="1"/>
  <c r="J8412" i="1"/>
  <c r="L8412" i="1"/>
  <c r="K8412" i="1"/>
  <c r="H8404" i="1"/>
  <c r="L8404" i="1"/>
  <c r="K8404" i="1"/>
  <c r="J8396" i="1"/>
  <c r="L8396" i="1"/>
  <c r="K8396" i="1"/>
  <c r="H8388" i="1"/>
  <c r="L8388" i="1"/>
  <c r="K8388" i="1"/>
  <c r="H8380" i="1"/>
  <c r="L8380" i="1"/>
  <c r="K8380" i="1"/>
  <c r="J8372" i="1"/>
  <c r="L8372" i="1"/>
  <c r="K8372" i="1"/>
  <c r="J8364" i="1"/>
  <c r="L8364" i="1"/>
  <c r="K8364" i="1"/>
  <c r="H8356" i="1"/>
  <c r="L8356" i="1"/>
  <c r="K8356" i="1"/>
  <c r="K8348" i="1"/>
  <c r="L8348" i="1"/>
  <c r="L8340" i="1"/>
  <c r="K8340" i="1"/>
  <c r="J8332" i="1"/>
  <c r="L8332" i="1"/>
  <c r="K8332" i="1"/>
  <c r="H8324" i="1"/>
  <c r="L8324" i="1"/>
  <c r="K8324" i="1"/>
  <c r="H8316" i="1"/>
  <c r="L8316" i="1"/>
  <c r="K8316" i="1"/>
  <c r="J8308" i="1"/>
  <c r="L8308" i="1"/>
  <c r="K8308" i="1"/>
  <c r="J8300" i="1"/>
  <c r="L8300" i="1"/>
  <c r="K8300" i="1"/>
  <c r="H8292" i="1"/>
  <c r="L8292" i="1"/>
  <c r="K8292" i="1"/>
  <c r="L8284" i="1"/>
  <c r="K8284" i="1"/>
  <c r="L8276" i="1"/>
  <c r="K8276" i="1"/>
  <c r="H8268" i="1"/>
  <c r="L8268" i="1"/>
  <c r="K8268" i="1"/>
  <c r="K8260" i="1"/>
  <c r="L8260" i="1"/>
  <c r="H8252" i="1"/>
  <c r="L8252" i="1"/>
  <c r="K8252" i="1"/>
  <c r="I8244" i="1"/>
  <c r="L8244" i="1"/>
  <c r="K8244" i="1"/>
  <c r="L8236" i="1"/>
  <c r="K8236" i="1"/>
  <c r="L8228" i="1"/>
  <c r="K8228" i="1"/>
  <c r="J8220" i="1"/>
  <c r="L8220" i="1"/>
  <c r="K8220" i="1"/>
  <c r="I8212" i="1"/>
  <c r="L8212" i="1"/>
  <c r="K8212" i="1"/>
  <c r="I8204" i="1"/>
  <c r="L8204" i="1"/>
  <c r="K8204" i="1"/>
  <c r="L8196" i="1"/>
  <c r="K8196" i="1"/>
  <c r="H8188" i="1"/>
  <c r="L8188" i="1"/>
  <c r="K8188" i="1"/>
  <c r="J8180" i="1"/>
  <c r="L8180" i="1"/>
  <c r="K8180" i="1"/>
  <c r="L8172" i="1"/>
  <c r="K8172" i="1"/>
  <c r="H8164" i="1"/>
  <c r="L8164" i="1"/>
  <c r="K8164" i="1"/>
  <c r="H8156" i="1"/>
  <c r="L8156" i="1"/>
  <c r="K8156" i="1"/>
  <c r="I8148" i="1"/>
  <c r="L8148" i="1"/>
  <c r="K8148" i="1"/>
  <c r="H8140" i="1"/>
  <c r="L8140" i="1"/>
  <c r="K8140" i="1"/>
  <c r="J8132" i="1"/>
  <c r="L8132" i="1"/>
  <c r="K8132" i="1"/>
  <c r="L8124" i="1"/>
  <c r="K8124" i="1"/>
  <c r="I8116" i="1"/>
  <c r="L8116" i="1"/>
  <c r="K8116" i="1"/>
  <c r="J8108" i="1"/>
  <c r="L8108" i="1"/>
  <c r="K8108" i="1"/>
  <c r="J8100" i="1"/>
  <c r="L8100" i="1"/>
  <c r="K8100" i="1"/>
  <c r="H8092" i="1"/>
  <c r="L8092" i="1"/>
  <c r="K8092" i="1"/>
  <c r="H8084" i="1"/>
  <c r="L8084" i="1"/>
  <c r="K8084" i="1"/>
  <c r="I8076" i="1"/>
  <c r="L8076" i="1"/>
  <c r="K8076" i="1"/>
  <c r="H8068" i="1"/>
  <c r="L8068" i="1"/>
  <c r="K8068" i="1"/>
  <c r="J8060" i="1"/>
  <c r="L8060" i="1"/>
  <c r="K8060" i="1"/>
  <c r="J8052" i="1"/>
  <c r="L8052" i="1"/>
  <c r="K8052" i="1"/>
  <c r="H8044" i="1"/>
  <c r="L8044" i="1"/>
  <c r="K8044" i="1"/>
  <c r="L8036" i="1"/>
  <c r="K8036" i="1"/>
  <c r="H8028" i="1"/>
  <c r="L8028" i="1"/>
  <c r="K8028" i="1"/>
  <c r="H8020" i="1"/>
  <c r="L8020" i="1"/>
  <c r="K8020" i="1"/>
  <c r="J8012" i="1"/>
  <c r="L8012" i="1"/>
  <c r="K8012" i="1"/>
  <c r="L8004" i="1"/>
  <c r="K8004" i="1"/>
  <c r="L7996" i="1"/>
  <c r="K7996" i="1"/>
  <c r="I7988" i="1"/>
  <c r="L7988" i="1"/>
  <c r="K7988" i="1"/>
  <c r="J7980" i="1"/>
  <c r="L7980" i="1"/>
  <c r="K7980" i="1"/>
  <c r="H7972" i="1"/>
  <c r="L7972" i="1"/>
  <c r="K7972" i="1"/>
  <c r="J7964" i="1"/>
  <c r="L7964" i="1"/>
  <c r="K7964" i="1"/>
  <c r="I7956" i="1"/>
  <c r="L7956" i="1"/>
  <c r="K7956" i="1"/>
  <c r="L7948" i="1"/>
  <c r="K7948" i="1"/>
  <c r="H7940" i="1"/>
  <c r="L7940" i="1"/>
  <c r="K7940" i="1"/>
  <c r="J7932" i="1"/>
  <c r="L7932" i="1"/>
  <c r="K7932" i="1"/>
  <c r="L7924" i="1"/>
  <c r="K7924" i="1"/>
  <c r="H7916" i="1"/>
  <c r="L7916" i="1"/>
  <c r="K7916" i="1"/>
  <c r="L7908" i="1"/>
  <c r="K7908" i="1"/>
  <c r="L7900" i="1"/>
  <c r="K7900" i="1"/>
  <c r="I7892" i="1"/>
  <c r="L7892" i="1"/>
  <c r="K7892" i="1"/>
  <c r="L7884" i="1"/>
  <c r="K7884" i="1"/>
  <c r="H7876" i="1"/>
  <c r="L7876" i="1"/>
  <c r="K7876" i="1"/>
  <c r="H7868" i="1"/>
  <c r="L7868" i="1"/>
  <c r="K7868" i="1"/>
  <c r="I7860" i="1"/>
  <c r="L7860" i="1"/>
  <c r="K7860" i="1"/>
  <c r="L7852" i="1"/>
  <c r="K7852" i="1"/>
  <c r="J7844" i="1"/>
  <c r="L7844" i="1"/>
  <c r="K7844" i="1"/>
  <c r="L7836" i="1"/>
  <c r="K7836" i="1"/>
  <c r="J7828" i="1"/>
  <c r="L7828" i="1"/>
  <c r="K7828" i="1"/>
  <c r="L7820" i="1"/>
  <c r="K7820" i="1"/>
  <c r="J7812" i="1"/>
  <c r="L7812" i="1"/>
  <c r="K7812" i="1"/>
  <c r="J7804" i="1"/>
  <c r="L7804" i="1"/>
  <c r="K7804" i="1"/>
  <c r="J7796" i="1"/>
  <c r="L7796" i="1"/>
  <c r="K7796" i="1"/>
  <c r="L7788" i="1"/>
  <c r="K7788" i="1"/>
  <c r="L7780" i="1"/>
  <c r="K7780" i="1"/>
  <c r="L7772" i="1"/>
  <c r="K7772" i="1"/>
  <c r="J7764" i="1"/>
  <c r="L7764" i="1"/>
  <c r="K7764" i="1"/>
  <c r="J7756" i="1"/>
  <c r="L7756" i="1"/>
  <c r="K7756" i="1"/>
  <c r="L7748" i="1"/>
  <c r="K7748" i="1"/>
  <c r="J7740" i="1"/>
  <c r="L7740" i="1"/>
  <c r="K7740" i="1"/>
  <c r="L7732" i="1"/>
  <c r="K7732" i="1"/>
  <c r="L7724" i="1"/>
  <c r="K7724" i="1"/>
  <c r="J7716" i="1"/>
  <c r="L7716" i="1"/>
  <c r="K7716" i="1"/>
  <c r="J7708" i="1"/>
  <c r="L7708" i="1"/>
  <c r="K7708" i="1"/>
  <c r="J7700" i="1"/>
  <c r="L7700" i="1"/>
  <c r="K7700" i="1"/>
  <c r="J7692" i="1"/>
  <c r="L7692" i="1"/>
  <c r="K7692" i="1"/>
  <c r="L7684" i="1"/>
  <c r="K7684" i="1"/>
  <c r="J7676" i="1"/>
  <c r="L7676" i="1"/>
  <c r="K7676" i="1"/>
  <c r="J7668" i="1"/>
  <c r="L7668" i="1"/>
  <c r="K7668" i="1"/>
  <c r="L7660" i="1"/>
  <c r="K7660" i="1"/>
  <c r="J7652" i="1"/>
  <c r="L7652" i="1"/>
  <c r="K7652" i="1"/>
  <c r="L7644" i="1"/>
  <c r="K7644" i="1"/>
  <c r="J7636" i="1"/>
  <c r="L7636" i="1"/>
  <c r="K7636" i="1"/>
  <c r="L7628" i="1"/>
  <c r="K7628" i="1"/>
  <c r="J7620" i="1"/>
  <c r="L7620" i="1"/>
  <c r="K7620" i="1"/>
  <c r="J7612" i="1"/>
  <c r="L7612" i="1"/>
  <c r="K7612" i="1"/>
  <c r="L7604" i="1"/>
  <c r="K7604" i="1"/>
  <c r="L7596" i="1"/>
  <c r="K7596" i="1"/>
  <c r="J7588" i="1"/>
  <c r="L7588" i="1"/>
  <c r="K7588" i="1"/>
  <c r="L7580" i="1"/>
  <c r="K7580" i="1"/>
  <c r="J7572" i="1"/>
  <c r="L7572" i="1"/>
  <c r="K7572" i="1"/>
  <c r="J7564" i="1"/>
  <c r="L7564" i="1"/>
  <c r="K7564" i="1"/>
  <c r="L7556" i="1"/>
  <c r="K7556" i="1"/>
  <c r="J7548" i="1"/>
  <c r="L7548" i="1"/>
  <c r="K7548" i="1"/>
  <c r="J7540" i="1"/>
  <c r="L7540" i="1"/>
  <c r="K7540" i="1"/>
  <c r="L7532" i="1"/>
  <c r="K7532" i="1"/>
  <c r="J7524" i="1"/>
  <c r="L7524" i="1"/>
  <c r="K7524" i="1"/>
  <c r="J7516" i="1"/>
  <c r="L7516" i="1"/>
  <c r="K7516" i="1"/>
  <c r="L7508" i="1"/>
  <c r="K7508" i="1"/>
  <c r="E7500" i="1"/>
  <c r="L7500" i="1"/>
  <c r="K7500" i="1"/>
  <c r="L7492" i="1"/>
  <c r="K7492" i="1"/>
  <c r="L7484" i="1"/>
  <c r="K7484" i="1"/>
  <c r="E7476" i="1"/>
  <c r="L7476" i="1"/>
  <c r="K7476" i="1"/>
  <c r="J7468" i="1"/>
  <c r="L7468" i="1"/>
  <c r="K7468" i="1"/>
  <c r="L7460" i="1"/>
  <c r="K7460" i="1"/>
  <c r="J7452" i="1"/>
  <c r="L7452" i="1"/>
  <c r="K7452" i="1"/>
  <c r="L7444" i="1"/>
  <c r="K7444" i="1"/>
  <c r="L7436" i="1"/>
  <c r="K7436" i="1"/>
  <c r="J7428" i="1"/>
  <c r="L7428" i="1"/>
  <c r="K7428" i="1"/>
  <c r="J7420" i="1"/>
  <c r="L7420" i="1"/>
  <c r="K7420" i="1"/>
  <c r="L7412" i="1"/>
  <c r="K7412" i="1"/>
  <c r="L7404" i="1"/>
  <c r="K7404" i="1"/>
  <c r="L7396" i="1"/>
  <c r="K7396" i="1"/>
  <c r="J7388" i="1"/>
  <c r="L7388" i="1"/>
  <c r="K7388" i="1"/>
  <c r="J7380" i="1"/>
  <c r="L7380" i="1"/>
  <c r="K7380" i="1"/>
  <c r="L7372" i="1"/>
  <c r="K7372" i="1"/>
  <c r="J7364" i="1"/>
  <c r="L7364" i="1"/>
  <c r="K7364" i="1"/>
  <c r="L7356" i="1"/>
  <c r="K7356" i="1"/>
  <c r="E7348" i="1"/>
  <c r="L7348" i="1"/>
  <c r="K7348" i="1"/>
  <c r="E7340" i="1"/>
  <c r="L7340" i="1"/>
  <c r="K7340" i="1"/>
  <c r="J7332" i="1"/>
  <c r="L7332" i="1"/>
  <c r="K7332" i="1"/>
  <c r="J7324" i="1"/>
  <c r="L7324" i="1"/>
  <c r="K7324" i="1"/>
  <c r="J7316" i="1"/>
  <c r="L7316" i="1"/>
  <c r="K7316" i="1"/>
  <c r="L7308" i="1"/>
  <c r="K7308" i="1"/>
  <c r="J7300" i="1"/>
  <c r="L7300" i="1"/>
  <c r="K7300" i="1"/>
  <c r="J7292" i="1"/>
  <c r="L7292" i="1"/>
  <c r="K7292" i="1"/>
  <c r="J7284" i="1"/>
  <c r="L7284" i="1"/>
  <c r="K7284" i="1"/>
  <c r="J7276" i="1"/>
  <c r="L7276" i="1"/>
  <c r="K7276" i="1"/>
  <c r="L7268" i="1"/>
  <c r="K7268" i="1"/>
  <c r="J7260" i="1"/>
  <c r="L7260" i="1"/>
  <c r="K7260" i="1"/>
  <c r="J7252" i="1"/>
  <c r="L7252" i="1"/>
  <c r="K7252" i="1"/>
  <c r="E7244" i="1"/>
  <c r="L7244" i="1"/>
  <c r="K7244" i="1"/>
  <c r="J7236" i="1"/>
  <c r="L7236" i="1"/>
  <c r="K7236" i="1"/>
  <c r="L7228" i="1"/>
  <c r="K7228" i="1"/>
  <c r="L7220" i="1"/>
  <c r="K7220" i="1"/>
  <c r="L7212" i="1"/>
  <c r="K7212" i="1"/>
  <c r="J7204" i="1"/>
  <c r="L7204" i="1"/>
  <c r="K7204" i="1"/>
  <c r="J7196" i="1"/>
  <c r="L7196" i="1"/>
  <c r="K7196" i="1"/>
  <c r="J7188" i="1"/>
  <c r="L7188" i="1"/>
  <c r="K7188" i="1"/>
  <c r="J7180" i="1"/>
  <c r="L7180" i="1"/>
  <c r="K7180" i="1"/>
  <c r="L7172" i="1"/>
  <c r="K7172" i="1"/>
  <c r="L7164" i="1"/>
  <c r="K7164" i="1"/>
  <c r="J7156" i="1"/>
  <c r="L7156" i="1"/>
  <c r="K7156" i="1"/>
  <c r="J7148" i="1"/>
  <c r="L7148" i="1"/>
  <c r="K7148" i="1"/>
  <c r="J7140" i="1"/>
  <c r="L7140" i="1"/>
  <c r="K7140" i="1"/>
  <c r="J7132" i="1"/>
  <c r="L7132" i="1"/>
  <c r="K7132" i="1"/>
  <c r="J7124" i="1"/>
  <c r="L7124" i="1"/>
  <c r="K7124" i="1"/>
  <c r="L7116" i="1"/>
  <c r="K7116" i="1"/>
  <c r="J7108" i="1"/>
  <c r="L7108" i="1"/>
  <c r="K7108" i="1"/>
  <c r="L7100" i="1"/>
  <c r="K7100" i="1"/>
  <c r="E7092" i="1"/>
  <c r="L7092" i="1"/>
  <c r="K7092" i="1"/>
  <c r="J7084" i="1"/>
  <c r="L7084" i="1"/>
  <c r="K7084" i="1"/>
  <c r="J7076" i="1"/>
  <c r="L7076" i="1"/>
  <c r="K7076" i="1"/>
  <c r="J7068" i="1"/>
  <c r="L7068" i="1"/>
  <c r="K7068" i="1"/>
  <c r="J7060" i="1"/>
  <c r="L7060" i="1"/>
  <c r="K7060" i="1"/>
  <c r="L7052" i="1"/>
  <c r="K7052" i="1"/>
  <c r="J7044" i="1"/>
  <c r="L7044" i="1"/>
  <c r="K7044" i="1"/>
  <c r="L7036" i="1"/>
  <c r="K7036" i="1"/>
  <c r="J7028" i="1"/>
  <c r="L7028" i="1"/>
  <c r="K7028" i="1"/>
  <c r="J7020" i="1"/>
  <c r="L7020" i="1"/>
  <c r="K7020" i="1"/>
  <c r="J7012" i="1"/>
  <c r="L7012" i="1"/>
  <c r="K7012" i="1"/>
  <c r="L7004" i="1"/>
  <c r="K7004" i="1"/>
  <c r="J6996" i="1"/>
  <c r="L6996" i="1"/>
  <c r="K6996" i="1"/>
  <c r="J6988" i="1"/>
  <c r="L6988" i="1"/>
  <c r="K6988" i="1"/>
  <c r="J6980" i="1"/>
  <c r="L6980" i="1"/>
  <c r="K6980" i="1"/>
  <c r="J6972" i="1"/>
  <c r="L6972" i="1"/>
  <c r="K6972" i="1"/>
  <c r="L6964" i="1"/>
  <c r="K6964" i="1"/>
  <c r="E6956" i="1"/>
  <c r="L6956" i="1"/>
  <c r="K6956" i="1"/>
  <c r="J6948" i="1"/>
  <c r="L6948" i="1"/>
  <c r="K6948" i="1"/>
  <c r="L6940" i="1"/>
  <c r="K6940" i="1"/>
  <c r="J6932" i="1"/>
  <c r="L6932" i="1"/>
  <c r="K6932" i="1"/>
  <c r="J6924" i="1"/>
  <c r="L6924" i="1"/>
  <c r="K6924" i="1"/>
  <c r="L6916" i="1"/>
  <c r="K6916" i="1"/>
  <c r="J6908" i="1"/>
  <c r="L6908" i="1"/>
  <c r="K6908" i="1"/>
  <c r="L6900" i="1"/>
  <c r="K6900" i="1"/>
  <c r="L6892" i="1"/>
  <c r="K6892" i="1"/>
  <c r="J6884" i="1"/>
  <c r="L6884" i="1"/>
  <c r="K6884" i="1"/>
  <c r="J6876" i="1"/>
  <c r="L6876" i="1"/>
  <c r="K6876" i="1"/>
  <c r="J6868" i="1"/>
  <c r="L6868" i="1"/>
  <c r="K6868" i="1"/>
  <c r="J6860" i="1"/>
  <c r="L6860" i="1"/>
  <c r="K6860" i="1"/>
  <c r="L6852" i="1"/>
  <c r="K6852" i="1"/>
  <c r="J6844" i="1"/>
  <c r="L6844" i="1"/>
  <c r="K6844" i="1"/>
  <c r="E6836" i="1"/>
  <c r="L6836" i="1"/>
  <c r="K6836" i="1"/>
  <c r="L6828" i="1"/>
  <c r="K6828" i="1"/>
  <c r="L6820" i="1"/>
  <c r="K6820" i="1"/>
  <c r="J6812" i="1"/>
  <c r="L6812" i="1"/>
  <c r="K6812" i="1"/>
  <c r="L6804" i="1"/>
  <c r="K6804" i="1"/>
  <c r="J6796" i="1"/>
  <c r="L6796" i="1"/>
  <c r="K6796" i="1"/>
  <c r="J6788" i="1"/>
  <c r="L6788" i="1"/>
  <c r="K6788" i="1"/>
  <c r="L6780" i="1"/>
  <c r="K6780" i="1"/>
  <c r="J6772" i="1"/>
  <c r="L6772" i="1"/>
  <c r="K6772" i="1"/>
  <c r="J6764" i="1"/>
  <c r="L6764" i="1"/>
  <c r="K6764" i="1"/>
  <c r="J6756" i="1"/>
  <c r="L6756" i="1"/>
  <c r="K6756" i="1"/>
  <c r="J6748" i="1"/>
  <c r="L6748" i="1"/>
  <c r="K6748" i="1"/>
  <c r="L6740" i="1"/>
  <c r="K6740" i="1"/>
  <c r="J6732" i="1"/>
  <c r="L6732" i="1"/>
  <c r="K6732" i="1"/>
  <c r="J6724" i="1"/>
  <c r="L6724" i="1"/>
  <c r="K6724" i="1"/>
  <c r="L6716" i="1"/>
  <c r="K6716" i="1"/>
  <c r="J6708" i="1"/>
  <c r="L6708" i="1"/>
  <c r="K6708" i="1"/>
  <c r="J6700" i="1"/>
  <c r="L6700" i="1"/>
  <c r="K6700" i="1"/>
  <c r="J6692" i="1"/>
  <c r="L6692" i="1"/>
  <c r="K6692" i="1"/>
  <c r="J6684" i="1"/>
  <c r="L6684" i="1"/>
  <c r="K6684" i="1"/>
  <c r="J6676" i="1"/>
  <c r="L6676" i="1"/>
  <c r="K6676" i="1"/>
  <c r="J6668" i="1"/>
  <c r="L6668" i="1"/>
  <c r="K6668" i="1"/>
  <c r="J6660" i="1"/>
  <c r="L6660" i="1"/>
  <c r="K6660" i="1"/>
  <c r="L6652" i="1"/>
  <c r="K6652" i="1"/>
  <c r="J6644" i="1"/>
  <c r="L6644" i="1"/>
  <c r="K6644" i="1"/>
  <c r="J6636" i="1"/>
  <c r="L6636" i="1"/>
  <c r="K6636" i="1"/>
  <c r="J6628" i="1"/>
  <c r="L6628" i="1"/>
  <c r="K6628" i="1"/>
  <c r="J6620" i="1"/>
  <c r="L6620" i="1"/>
  <c r="K6620" i="1"/>
  <c r="J6612" i="1"/>
  <c r="L6612" i="1"/>
  <c r="K6612" i="1"/>
  <c r="L6604" i="1"/>
  <c r="K6604" i="1"/>
  <c r="J6596" i="1"/>
  <c r="L6596" i="1"/>
  <c r="K6596" i="1"/>
  <c r="J6588" i="1"/>
  <c r="L6588" i="1"/>
  <c r="K6588" i="1"/>
  <c r="L6580" i="1"/>
  <c r="K6580" i="1"/>
  <c r="J6572" i="1"/>
  <c r="L6572" i="1"/>
  <c r="K6572" i="1"/>
  <c r="L6564" i="1"/>
  <c r="K6564" i="1"/>
  <c r="J6556" i="1"/>
  <c r="L6556" i="1"/>
  <c r="K6556" i="1"/>
  <c r="J6548" i="1"/>
  <c r="L6548" i="1"/>
  <c r="K6548" i="1"/>
  <c r="J6540" i="1"/>
  <c r="K6540" i="1"/>
  <c r="L6540" i="1"/>
  <c r="L6532" i="1"/>
  <c r="K6532" i="1"/>
  <c r="J6524" i="1"/>
  <c r="L6524" i="1"/>
  <c r="K6524" i="1"/>
  <c r="L6516" i="1"/>
  <c r="K6516" i="1"/>
  <c r="J6508" i="1"/>
  <c r="L6508" i="1"/>
  <c r="K6508" i="1"/>
  <c r="J6500" i="1"/>
  <c r="L6500" i="1"/>
  <c r="K6500" i="1"/>
  <c r="J6492" i="1"/>
  <c r="L6492" i="1"/>
  <c r="K6492" i="1"/>
  <c r="J6484" i="1"/>
  <c r="L6484" i="1"/>
  <c r="K6484" i="1"/>
  <c r="L6476" i="1"/>
  <c r="K6476" i="1"/>
  <c r="L6468" i="1"/>
  <c r="K6468" i="1"/>
  <c r="J6460" i="1"/>
  <c r="L6460" i="1"/>
  <c r="K6460" i="1"/>
  <c r="J6452" i="1"/>
  <c r="L6452" i="1"/>
  <c r="K6452" i="1"/>
  <c r="L6444" i="1"/>
  <c r="K6444" i="1"/>
  <c r="J6436" i="1"/>
  <c r="L6436" i="1"/>
  <c r="K6436" i="1"/>
  <c r="J6428" i="1"/>
  <c r="L6428" i="1"/>
  <c r="K6428" i="1"/>
  <c r="L6420" i="1"/>
  <c r="K6420" i="1"/>
  <c r="J6412" i="1"/>
  <c r="L6412" i="1"/>
  <c r="K6412" i="1"/>
  <c r="J6404" i="1"/>
  <c r="L6404" i="1"/>
  <c r="K6404" i="1"/>
  <c r="L6396" i="1"/>
  <c r="K6396" i="1"/>
  <c r="J6388" i="1"/>
  <c r="L6388" i="1"/>
  <c r="K6388" i="1"/>
  <c r="L6380" i="1"/>
  <c r="K6380" i="1"/>
  <c r="L6372" i="1"/>
  <c r="K6372" i="1"/>
  <c r="J6364" i="1"/>
  <c r="L6364" i="1"/>
  <c r="K6364" i="1"/>
  <c r="L6356" i="1"/>
  <c r="K6356" i="1"/>
  <c r="K6348" i="1"/>
  <c r="L6348" i="1"/>
  <c r="J6340" i="1"/>
  <c r="L6340" i="1"/>
  <c r="K6340" i="1"/>
  <c r="L6332" i="1"/>
  <c r="K6332" i="1"/>
  <c r="L6324" i="1"/>
  <c r="K6324" i="1"/>
  <c r="J6316" i="1"/>
  <c r="L6316" i="1"/>
  <c r="K6316" i="1"/>
  <c r="J6308" i="1"/>
  <c r="L6308" i="1"/>
  <c r="K6308" i="1"/>
  <c r="J6300" i="1"/>
  <c r="L6300" i="1"/>
  <c r="K6300" i="1"/>
  <c r="J6292" i="1"/>
  <c r="L6292" i="1"/>
  <c r="K6292" i="1"/>
  <c r="L6284" i="1"/>
  <c r="K6284" i="1"/>
  <c r="L6276" i="1"/>
  <c r="K6276" i="1"/>
  <c r="J6268" i="1"/>
  <c r="L6268" i="1"/>
  <c r="K6268" i="1"/>
  <c r="J6260" i="1"/>
  <c r="L6260" i="1"/>
  <c r="K6260" i="1"/>
  <c r="J6252" i="1"/>
  <c r="L6252" i="1"/>
  <c r="K6252" i="1"/>
  <c r="J6244" i="1"/>
  <c r="L6244" i="1"/>
  <c r="K6244" i="1"/>
  <c r="L6236" i="1"/>
  <c r="K6236" i="1"/>
  <c r="L6228" i="1"/>
  <c r="K6228" i="1"/>
  <c r="J6220" i="1"/>
  <c r="L6220" i="1"/>
  <c r="K6220" i="1"/>
  <c r="J6212" i="1"/>
  <c r="L6212" i="1"/>
  <c r="K6212" i="1"/>
  <c r="J6204" i="1"/>
  <c r="L6204" i="1"/>
  <c r="K6204" i="1"/>
  <c r="J6196" i="1"/>
  <c r="L6196" i="1"/>
  <c r="K6196" i="1"/>
  <c r="L6188" i="1"/>
  <c r="K6188" i="1"/>
  <c r="J6180" i="1"/>
  <c r="L6180" i="1"/>
  <c r="K6180" i="1"/>
  <c r="J6172" i="1"/>
  <c r="L6172" i="1"/>
  <c r="K6172" i="1"/>
  <c r="J6164" i="1"/>
  <c r="L6164" i="1"/>
  <c r="K6164" i="1"/>
  <c r="J6156" i="1"/>
  <c r="L6156" i="1"/>
  <c r="K6156" i="1"/>
  <c r="J6148" i="1"/>
  <c r="L6148" i="1"/>
  <c r="K6148" i="1"/>
  <c r="J6140" i="1"/>
  <c r="L6140" i="1"/>
  <c r="K6140" i="1"/>
  <c r="J6132" i="1"/>
  <c r="L6132" i="1"/>
  <c r="K6132" i="1"/>
  <c r="L6124" i="1"/>
  <c r="K6124" i="1"/>
  <c r="J6116" i="1"/>
  <c r="L6116" i="1"/>
  <c r="K6116" i="1"/>
  <c r="J6108" i="1"/>
  <c r="L6108" i="1"/>
  <c r="K6108" i="1"/>
  <c r="J6100" i="1"/>
  <c r="L6100" i="1"/>
  <c r="K6100" i="1"/>
  <c r="L6092" i="1"/>
  <c r="K6092" i="1"/>
  <c r="J6084" i="1"/>
  <c r="L6084" i="1"/>
  <c r="K6084" i="1"/>
  <c r="L6076" i="1"/>
  <c r="K6076" i="1"/>
  <c r="J6068" i="1"/>
  <c r="L6068" i="1"/>
  <c r="K6068" i="1"/>
  <c r="L6060" i="1"/>
  <c r="K6060" i="1"/>
  <c r="J6052" i="1"/>
  <c r="L6052" i="1"/>
  <c r="K6052" i="1"/>
  <c r="L6044" i="1"/>
  <c r="K6044" i="1"/>
  <c r="L6036" i="1"/>
  <c r="K6036" i="1"/>
  <c r="J6028" i="1"/>
  <c r="K6028" i="1"/>
  <c r="L6028" i="1"/>
  <c r="L6020" i="1"/>
  <c r="K6020" i="1"/>
  <c r="J6012" i="1"/>
  <c r="L6012" i="1"/>
  <c r="K6012" i="1"/>
  <c r="L6004" i="1"/>
  <c r="K6004" i="1"/>
  <c r="J5996" i="1"/>
  <c r="L5996" i="1"/>
  <c r="K5996" i="1"/>
  <c r="J5988" i="1"/>
  <c r="L5988" i="1"/>
  <c r="K5988" i="1"/>
  <c r="J5980" i="1"/>
  <c r="L5980" i="1"/>
  <c r="K5980" i="1"/>
  <c r="J5972" i="1"/>
  <c r="L5972" i="1"/>
  <c r="K5972" i="1"/>
  <c r="L5964" i="1"/>
  <c r="K5964" i="1"/>
  <c r="J5956" i="1"/>
  <c r="L5956" i="1"/>
  <c r="K5956" i="1"/>
  <c r="J5948" i="1"/>
  <c r="L5948" i="1"/>
  <c r="K5948" i="1"/>
  <c r="L5940" i="1"/>
  <c r="K5940" i="1"/>
  <c r="J5932" i="1"/>
  <c r="L5932" i="1"/>
  <c r="K5932" i="1"/>
  <c r="L5924" i="1"/>
  <c r="K5924" i="1"/>
  <c r="L5916" i="1"/>
  <c r="K5916" i="1"/>
  <c r="J5908" i="1"/>
  <c r="L5908" i="1"/>
  <c r="K5908" i="1"/>
  <c r="J5900" i="1"/>
  <c r="L5900" i="1"/>
  <c r="K5900" i="1"/>
  <c r="L5892" i="1"/>
  <c r="K5892" i="1"/>
  <c r="J5884" i="1"/>
  <c r="L5884" i="1"/>
  <c r="K5884" i="1"/>
  <c r="J5876" i="1"/>
  <c r="L5876" i="1"/>
  <c r="K5876" i="1"/>
  <c r="L5868" i="1"/>
  <c r="K5868" i="1"/>
  <c r="J5860" i="1"/>
  <c r="L5860" i="1"/>
  <c r="K5860" i="1"/>
  <c r="J5852" i="1"/>
  <c r="L5852" i="1"/>
  <c r="K5852" i="1"/>
  <c r="L5844" i="1"/>
  <c r="K5844" i="1"/>
  <c r="J5836" i="1"/>
  <c r="K5836" i="1"/>
  <c r="L5836" i="1"/>
  <c r="L5828" i="1"/>
  <c r="K5828" i="1"/>
  <c r="J5820" i="1"/>
  <c r="L5820" i="1"/>
  <c r="K5820" i="1"/>
  <c r="L5812" i="1"/>
  <c r="K5812" i="1"/>
  <c r="J5804" i="1"/>
  <c r="L5804" i="1"/>
  <c r="K5804" i="1"/>
  <c r="L5796" i="1"/>
  <c r="K5796" i="1"/>
  <c r="J5788" i="1"/>
  <c r="L5788" i="1"/>
  <c r="K5788" i="1"/>
  <c r="L5780" i="1"/>
  <c r="K5780" i="1"/>
  <c r="L5772" i="1"/>
  <c r="K5772" i="1"/>
  <c r="J5764" i="1"/>
  <c r="L5764" i="1"/>
  <c r="K5764" i="1"/>
  <c r="L5756" i="1"/>
  <c r="K5756" i="1"/>
  <c r="J5748" i="1"/>
  <c r="L5748" i="1"/>
  <c r="K5748" i="1"/>
  <c r="L5740" i="1"/>
  <c r="K5740" i="1"/>
  <c r="J5732" i="1"/>
  <c r="L5732" i="1"/>
  <c r="K5732" i="1"/>
  <c r="J5724" i="1"/>
  <c r="L5724" i="1"/>
  <c r="K5724" i="1"/>
  <c r="L5716" i="1"/>
  <c r="K5716" i="1"/>
  <c r="J5708" i="1"/>
  <c r="L5708" i="1"/>
  <c r="K5708" i="1"/>
  <c r="L5700" i="1"/>
  <c r="K5700" i="1"/>
  <c r="L5692" i="1"/>
  <c r="K5692" i="1"/>
  <c r="L5684" i="1"/>
  <c r="K5684" i="1"/>
  <c r="J5676" i="1"/>
  <c r="L5676" i="1"/>
  <c r="K5676" i="1"/>
  <c r="L5668" i="1"/>
  <c r="K5668" i="1"/>
  <c r="J5660" i="1"/>
  <c r="L5660" i="1"/>
  <c r="K5660" i="1"/>
  <c r="J5652" i="1"/>
  <c r="L5652" i="1"/>
  <c r="K5652" i="1"/>
  <c r="L5644" i="1"/>
  <c r="K5644" i="1"/>
  <c r="J5636" i="1"/>
  <c r="L5636" i="1"/>
  <c r="K5636" i="1"/>
  <c r="J5628" i="1"/>
  <c r="L5628" i="1"/>
  <c r="K5628" i="1"/>
  <c r="J5620" i="1"/>
  <c r="L5620" i="1"/>
  <c r="K5620" i="1"/>
  <c r="L5612" i="1"/>
  <c r="K5612" i="1"/>
  <c r="J5604" i="1"/>
  <c r="L5604" i="1"/>
  <c r="K5604" i="1"/>
  <c r="J5596" i="1"/>
  <c r="L5596" i="1"/>
  <c r="K5596" i="1"/>
  <c r="L5588" i="1"/>
  <c r="K5588" i="1"/>
  <c r="J5580" i="1"/>
  <c r="L5580" i="1"/>
  <c r="K5580" i="1"/>
  <c r="J5572" i="1"/>
  <c r="L5572" i="1"/>
  <c r="K5572" i="1"/>
  <c r="J5564" i="1"/>
  <c r="L5564" i="1"/>
  <c r="K5564" i="1"/>
  <c r="L5556" i="1"/>
  <c r="K5556" i="1"/>
  <c r="L5548" i="1"/>
  <c r="K5548" i="1"/>
  <c r="J5540" i="1"/>
  <c r="L5540" i="1"/>
  <c r="K5540" i="1"/>
  <c r="J5532" i="1"/>
  <c r="L5532" i="1"/>
  <c r="K5532" i="1"/>
  <c r="L5524" i="1"/>
  <c r="K5524" i="1"/>
  <c r="L5516" i="1"/>
  <c r="K5516" i="1"/>
  <c r="J5508" i="1"/>
  <c r="L5508" i="1"/>
  <c r="K5508" i="1"/>
  <c r="J5500" i="1"/>
  <c r="L5500" i="1"/>
  <c r="K5500" i="1"/>
  <c r="J5492" i="1"/>
  <c r="L5492" i="1"/>
  <c r="K5492" i="1"/>
  <c r="L5484" i="1"/>
  <c r="K5484" i="1"/>
  <c r="J5476" i="1"/>
  <c r="L5476" i="1"/>
  <c r="K5476" i="1"/>
  <c r="L5468" i="1"/>
  <c r="K5468" i="1"/>
  <c r="L5460" i="1"/>
  <c r="K5460" i="1"/>
  <c r="J5452" i="1"/>
  <c r="L5452" i="1"/>
  <c r="K5452" i="1"/>
  <c r="L5444" i="1"/>
  <c r="K5444" i="1"/>
  <c r="L5436" i="1"/>
  <c r="K5436" i="1"/>
  <c r="L5428" i="1"/>
  <c r="K5428" i="1"/>
  <c r="L5420" i="1"/>
  <c r="K5420" i="1"/>
  <c r="J5412" i="1"/>
  <c r="L5412" i="1"/>
  <c r="K5412" i="1"/>
  <c r="J5404" i="1"/>
  <c r="L5404" i="1"/>
  <c r="K5404" i="1"/>
  <c r="J5396" i="1"/>
  <c r="L5396" i="1"/>
  <c r="K5396" i="1"/>
  <c r="L5388" i="1"/>
  <c r="K5388" i="1"/>
  <c r="J5380" i="1"/>
  <c r="L5380" i="1"/>
  <c r="K5380" i="1"/>
  <c r="J5372" i="1"/>
  <c r="L5372" i="1"/>
  <c r="K5372" i="1"/>
  <c r="L5364" i="1"/>
  <c r="K5364" i="1"/>
  <c r="J5356" i="1"/>
  <c r="L5356" i="1"/>
  <c r="K5356" i="1"/>
  <c r="J5348" i="1"/>
  <c r="L5348" i="1"/>
  <c r="K5348" i="1"/>
  <c r="J5340" i="1"/>
  <c r="L5340" i="1"/>
  <c r="K5340" i="1"/>
  <c r="L5332" i="1"/>
  <c r="K5332" i="1"/>
  <c r="J5324" i="1"/>
  <c r="K5324" i="1"/>
  <c r="L5324" i="1"/>
  <c r="L5316" i="1"/>
  <c r="K5316" i="1"/>
  <c r="L5308" i="1"/>
  <c r="K5308" i="1"/>
  <c r="J5300" i="1"/>
  <c r="L5300" i="1"/>
  <c r="K5300" i="1"/>
  <c r="J5292" i="1"/>
  <c r="L5292" i="1"/>
  <c r="K5292" i="1"/>
  <c r="L5284" i="1"/>
  <c r="K5284" i="1"/>
  <c r="J5276" i="1"/>
  <c r="L5276" i="1"/>
  <c r="K5276" i="1"/>
  <c r="L5268" i="1"/>
  <c r="K5268" i="1"/>
  <c r="L5260" i="1"/>
  <c r="K5260" i="1"/>
  <c r="J5252" i="1"/>
  <c r="L5252" i="1"/>
  <c r="K5252" i="1"/>
  <c r="L5244" i="1"/>
  <c r="K5244" i="1"/>
  <c r="L5236" i="1"/>
  <c r="K5236" i="1"/>
  <c r="L5228" i="1"/>
  <c r="K5228" i="1"/>
  <c r="J5220" i="1"/>
  <c r="L5220" i="1"/>
  <c r="K5220" i="1"/>
  <c r="L5212" i="1"/>
  <c r="K5212" i="1"/>
  <c r="L5204" i="1"/>
  <c r="K5204" i="1"/>
  <c r="J5196" i="1"/>
  <c r="L5196" i="1"/>
  <c r="K5196" i="1"/>
  <c r="L5188" i="1"/>
  <c r="K5188" i="1"/>
  <c r="L5180" i="1"/>
  <c r="K5180" i="1"/>
  <c r="J5172" i="1"/>
  <c r="L5172" i="1"/>
  <c r="K5172" i="1"/>
  <c r="J5164" i="1"/>
  <c r="L5164" i="1"/>
  <c r="K5164" i="1"/>
  <c r="L5156" i="1"/>
  <c r="K5156" i="1"/>
  <c r="J5148" i="1"/>
  <c r="L5148" i="1"/>
  <c r="K5148" i="1"/>
  <c r="J5140" i="1"/>
  <c r="L5140" i="1"/>
  <c r="K5140" i="1"/>
  <c r="L5132" i="1"/>
  <c r="K5132" i="1"/>
  <c r="J5124" i="1"/>
  <c r="L5124" i="1"/>
  <c r="K5124" i="1"/>
  <c r="J5116" i="1"/>
  <c r="L5116" i="1"/>
  <c r="K5116" i="1"/>
  <c r="J5108" i="1"/>
  <c r="L5108" i="1"/>
  <c r="K5108" i="1"/>
  <c r="L5100" i="1"/>
  <c r="K5100" i="1"/>
  <c r="J5092" i="1"/>
  <c r="L5092" i="1"/>
  <c r="K5092" i="1"/>
  <c r="L5084" i="1"/>
  <c r="K5084" i="1"/>
  <c r="J5076" i="1"/>
  <c r="L5076" i="1"/>
  <c r="K5076" i="1"/>
  <c r="J5068" i="1"/>
  <c r="L5068" i="1"/>
  <c r="K5068" i="1"/>
  <c r="J5060" i="1"/>
  <c r="L5060" i="1"/>
  <c r="K5060" i="1"/>
  <c r="L5052" i="1"/>
  <c r="K5052" i="1"/>
  <c r="J5044" i="1"/>
  <c r="L5044" i="1"/>
  <c r="K5044" i="1"/>
  <c r="L5036" i="1"/>
  <c r="K5036" i="1"/>
  <c r="L5028" i="1"/>
  <c r="K5028" i="1"/>
  <c r="J5020" i="1"/>
  <c r="L5020" i="1"/>
  <c r="K5020" i="1"/>
  <c r="J5012" i="1"/>
  <c r="L5012" i="1"/>
  <c r="K5012" i="1"/>
  <c r="J5004" i="1"/>
  <c r="K5004" i="1"/>
  <c r="L5004" i="1"/>
  <c r="L4996" i="1"/>
  <c r="K4996" i="1"/>
  <c r="L4988" i="1"/>
  <c r="K4988" i="1"/>
  <c r="L4980" i="1"/>
  <c r="K4980" i="1"/>
  <c r="L4972" i="1"/>
  <c r="K4972" i="1"/>
  <c r="J4964" i="1"/>
  <c r="L4964" i="1"/>
  <c r="K4964" i="1"/>
  <c r="J4956" i="1"/>
  <c r="L4956" i="1"/>
  <c r="K4956" i="1"/>
  <c r="L4948" i="1"/>
  <c r="K4948" i="1"/>
  <c r="J4940" i="1"/>
  <c r="L4940" i="1"/>
  <c r="K4940" i="1"/>
  <c r="L4932" i="1"/>
  <c r="K4932" i="1"/>
  <c r="L4924" i="1"/>
  <c r="K4924" i="1"/>
  <c r="L4916" i="1"/>
  <c r="K4916" i="1"/>
  <c r="J4908" i="1"/>
  <c r="L4908" i="1"/>
  <c r="K4908" i="1"/>
  <c r="L4900" i="1"/>
  <c r="K4900" i="1"/>
  <c r="J4892" i="1"/>
  <c r="L4892" i="1"/>
  <c r="K4892" i="1"/>
  <c r="J4884" i="1"/>
  <c r="L4884" i="1"/>
  <c r="K4884" i="1"/>
  <c r="J4876" i="1"/>
  <c r="L4876" i="1"/>
  <c r="K4876" i="1"/>
  <c r="L4868" i="1"/>
  <c r="K4868" i="1"/>
  <c r="L4860" i="1"/>
  <c r="K4860" i="1"/>
  <c r="J4852" i="1"/>
  <c r="L4852" i="1"/>
  <c r="K4852" i="1"/>
  <c r="J4844" i="1"/>
  <c r="L4844" i="1"/>
  <c r="K4844" i="1"/>
  <c r="L4836" i="1"/>
  <c r="K4836" i="1"/>
  <c r="J4828" i="1"/>
  <c r="L4828" i="1"/>
  <c r="K4828" i="1"/>
  <c r="L4820" i="1"/>
  <c r="K4820" i="1"/>
  <c r="J4812" i="1"/>
  <c r="K4812" i="1"/>
  <c r="L4812" i="1"/>
  <c r="L4804" i="1"/>
  <c r="K4804" i="1"/>
  <c r="J4796" i="1"/>
  <c r="L4796" i="1"/>
  <c r="K4796" i="1"/>
  <c r="J4788" i="1"/>
  <c r="L4788" i="1"/>
  <c r="K4788" i="1"/>
  <c r="J4780" i="1"/>
  <c r="L4780" i="1"/>
  <c r="K4780" i="1"/>
  <c r="L4772" i="1"/>
  <c r="K4772" i="1"/>
  <c r="J4764" i="1"/>
  <c r="L4764" i="1"/>
  <c r="K4764" i="1"/>
  <c r="L4756" i="1"/>
  <c r="K4756" i="1"/>
  <c r="J4748" i="1"/>
  <c r="L4748" i="1"/>
  <c r="K4748" i="1"/>
  <c r="L4740" i="1"/>
  <c r="K4740" i="1"/>
  <c r="J4732" i="1"/>
  <c r="L4732" i="1"/>
  <c r="K4732" i="1"/>
  <c r="J4724" i="1"/>
  <c r="L4724" i="1"/>
  <c r="K4724" i="1"/>
  <c r="J4716" i="1"/>
  <c r="L4716" i="1"/>
  <c r="K4716" i="1"/>
  <c r="L4708" i="1"/>
  <c r="K4708" i="1"/>
  <c r="J4700" i="1"/>
  <c r="L4700" i="1"/>
  <c r="K4700" i="1"/>
  <c r="L4692" i="1"/>
  <c r="K4692" i="1"/>
  <c r="J4684" i="1"/>
  <c r="L4684" i="1"/>
  <c r="K4684" i="1"/>
  <c r="J4676" i="1"/>
  <c r="L4676" i="1"/>
  <c r="K4676" i="1"/>
  <c r="J4668" i="1"/>
  <c r="L4668" i="1"/>
  <c r="K4668" i="1"/>
  <c r="J4660" i="1"/>
  <c r="L4660" i="1"/>
  <c r="K4660" i="1"/>
  <c r="L4652" i="1"/>
  <c r="K4652" i="1"/>
  <c r="L4644" i="1"/>
  <c r="K4644" i="1"/>
  <c r="J4636" i="1"/>
  <c r="L4636" i="1"/>
  <c r="K4636" i="1"/>
  <c r="L4628" i="1"/>
  <c r="K4628" i="1"/>
  <c r="J4620" i="1"/>
  <c r="L4620" i="1"/>
  <c r="K4620" i="1"/>
  <c r="J4612" i="1"/>
  <c r="L4612" i="1"/>
  <c r="K4612" i="1"/>
  <c r="L4604" i="1"/>
  <c r="K4604" i="1"/>
  <c r="J4596" i="1"/>
  <c r="L4596" i="1"/>
  <c r="K4596" i="1"/>
  <c r="L4588" i="1"/>
  <c r="K4588" i="1"/>
  <c r="L4580" i="1"/>
  <c r="K4580" i="1"/>
  <c r="L4572" i="1"/>
  <c r="K4572" i="1"/>
  <c r="J4564" i="1"/>
  <c r="L4564" i="1"/>
  <c r="K4564" i="1"/>
  <c r="J4556" i="1"/>
  <c r="L4556" i="1"/>
  <c r="K4556" i="1"/>
  <c r="J4548" i="1"/>
  <c r="L4548" i="1"/>
  <c r="K4548" i="1"/>
  <c r="J4540" i="1"/>
  <c r="L4540" i="1"/>
  <c r="K4540" i="1"/>
  <c r="L4532" i="1"/>
  <c r="K4532" i="1"/>
  <c r="J4524" i="1"/>
  <c r="L4524" i="1"/>
  <c r="K4524" i="1"/>
  <c r="J4516" i="1"/>
  <c r="L4516" i="1"/>
  <c r="K4516" i="1"/>
  <c r="L4508" i="1"/>
  <c r="K4508" i="1"/>
  <c r="J4500" i="1"/>
  <c r="L4500" i="1"/>
  <c r="K4500" i="1"/>
  <c r="J4492" i="1"/>
  <c r="L4492" i="1"/>
  <c r="K4492" i="1"/>
  <c r="L4484" i="1"/>
  <c r="K4484" i="1"/>
  <c r="J4476" i="1"/>
  <c r="L4476" i="1"/>
  <c r="K4476" i="1"/>
  <c r="J4468" i="1"/>
  <c r="L4468" i="1"/>
  <c r="K4468" i="1"/>
  <c r="J4460" i="1"/>
  <c r="L4460" i="1"/>
  <c r="K4460" i="1"/>
  <c r="L4452" i="1"/>
  <c r="K4452" i="1"/>
  <c r="J4444" i="1"/>
  <c r="L4444" i="1"/>
  <c r="K4444" i="1"/>
  <c r="L4436" i="1"/>
  <c r="K4436" i="1"/>
  <c r="J4428" i="1"/>
  <c r="L4428" i="1"/>
  <c r="K4428" i="1"/>
  <c r="J4420" i="1"/>
  <c r="L4420" i="1"/>
  <c r="K4420" i="1"/>
  <c r="J4412" i="1"/>
  <c r="L4412" i="1"/>
  <c r="K4412" i="1"/>
  <c r="L4404" i="1"/>
  <c r="K4404" i="1"/>
  <c r="L4396" i="1"/>
  <c r="K4396" i="1"/>
  <c r="J4388" i="1"/>
  <c r="L4388" i="1"/>
  <c r="K4388" i="1"/>
  <c r="L4380" i="1"/>
  <c r="K4380" i="1"/>
  <c r="L4372" i="1"/>
  <c r="K4372" i="1"/>
  <c r="J4372" i="1"/>
  <c r="L4364" i="1"/>
  <c r="K4364" i="1"/>
  <c r="J4356" i="1"/>
  <c r="L4356" i="1"/>
  <c r="K4356" i="1"/>
  <c r="E4348" i="1"/>
  <c r="L4348" i="1"/>
  <c r="K4348" i="1"/>
  <c r="L4340" i="1"/>
  <c r="K4340" i="1"/>
  <c r="L4332" i="1"/>
  <c r="K4332" i="1"/>
  <c r="J4324" i="1"/>
  <c r="L4324" i="1"/>
  <c r="K4324" i="1"/>
  <c r="J4316" i="1"/>
  <c r="L4316" i="1"/>
  <c r="K4316" i="1"/>
  <c r="J4308" i="1"/>
  <c r="L4308" i="1"/>
  <c r="K4308" i="1"/>
  <c r="J4300" i="1"/>
  <c r="L4300" i="1"/>
  <c r="K4300" i="1"/>
  <c r="L4292" i="1"/>
  <c r="K4292" i="1"/>
  <c r="L4284" i="1"/>
  <c r="K4284" i="1"/>
  <c r="J4284" i="1"/>
  <c r="L4276" i="1"/>
  <c r="K4276" i="1"/>
  <c r="J4268" i="1"/>
  <c r="L4268" i="1"/>
  <c r="K4268" i="1"/>
  <c r="J4260" i="1"/>
  <c r="L4260" i="1"/>
  <c r="K4260" i="1"/>
  <c r="L4252" i="1"/>
  <c r="K4252" i="1"/>
  <c r="J4244" i="1"/>
  <c r="K4244" i="1"/>
  <c r="L4244" i="1"/>
  <c r="J4236" i="1"/>
  <c r="L4236" i="1"/>
  <c r="K4236" i="1"/>
  <c r="L4228" i="1"/>
  <c r="K4228" i="1"/>
  <c r="J4220" i="1"/>
  <c r="L4220" i="1"/>
  <c r="K4220" i="1"/>
  <c r="J4212" i="1"/>
  <c r="L4212" i="1"/>
  <c r="K4212" i="1"/>
  <c r="L4204" i="1"/>
  <c r="K4204" i="1"/>
  <c r="J4196" i="1"/>
  <c r="L4196" i="1"/>
  <c r="K4196" i="1"/>
  <c r="L4188" i="1"/>
  <c r="K4188" i="1"/>
  <c r="J4180" i="1"/>
  <c r="L4180" i="1"/>
  <c r="K4180" i="1"/>
  <c r="J4172" i="1"/>
  <c r="L4172" i="1"/>
  <c r="K4172" i="1"/>
  <c r="J4164" i="1"/>
  <c r="L4164" i="1"/>
  <c r="K4164" i="1"/>
  <c r="J4156" i="1"/>
  <c r="L4156" i="1"/>
  <c r="K4156" i="1"/>
  <c r="L4148" i="1"/>
  <c r="K4148" i="1"/>
  <c r="J4140" i="1"/>
  <c r="L4140" i="1"/>
  <c r="K4140" i="1"/>
  <c r="L4132" i="1"/>
  <c r="K4132" i="1"/>
  <c r="L4124" i="1"/>
  <c r="K4124" i="1"/>
  <c r="J4116" i="1"/>
  <c r="L4116" i="1"/>
  <c r="K4116" i="1"/>
  <c r="L4108" i="1"/>
  <c r="K4108" i="1"/>
  <c r="L4100" i="1"/>
  <c r="K4100" i="1"/>
  <c r="J4092" i="1"/>
  <c r="L4092" i="1"/>
  <c r="K4092" i="1"/>
  <c r="J4084" i="1"/>
  <c r="L4084" i="1"/>
  <c r="K4084" i="1"/>
  <c r="J4076" i="1"/>
  <c r="L4076" i="1"/>
  <c r="K4076" i="1"/>
  <c r="J4068" i="1"/>
  <c r="L4068" i="1"/>
  <c r="K4068" i="1"/>
  <c r="L4060" i="1"/>
  <c r="K4060" i="1"/>
  <c r="L4052" i="1"/>
  <c r="K4052" i="1"/>
  <c r="J4044" i="1"/>
  <c r="L4044" i="1"/>
  <c r="K4044" i="1"/>
  <c r="J4036" i="1"/>
  <c r="L4036" i="1"/>
  <c r="K4036" i="1"/>
  <c r="J4028" i="1"/>
  <c r="L4028" i="1"/>
  <c r="K4028" i="1"/>
  <c r="J4020" i="1"/>
  <c r="L4020" i="1"/>
  <c r="K4020" i="1"/>
  <c r="L4012" i="1"/>
  <c r="K4012" i="1"/>
  <c r="J4004" i="1"/>
  <c r="L4004" i="1"/>
  <c r="K4004" i="1"/>
  <c r="J3996" i="1"/>
  <c r="L3996" i="1"/>
  <c r="K3996" i="1"/>
  <c r="J3988" i="1"/>
  <c r="L3988" i="1"/>
  <c r="K3988" i="1"/>
  <c r="L3980" i="1"/>
  <c r="K3980" i="1"/>
  <c r="J3972" i="1"/>
  <c r="L3972" i="1"/>
  <c r="K3972" i="1"/>
  <c r="L3964" i="1"/>
  <c r="K3964" i="1"/>
  <c r="J3956" i="1"/>
  <c r="L3956" i="1"/>
  <c r="K3956" i="1"/>
  <c r="J3948" i="1"/>
  <c r="L3948" i="1"/>
  <c r="K3948" i="1"/>
  <c r="L3940" i="1"/>
  <c r="K3940" i="1"/>
  <c r="L3932" i="1"/>
  <c r="K3932" i="1"/>
  <c r="L3924" i="1"/>
  <c r="K3924" i="1"/>
  <c r="L3916" i="1"/>
  <c r="K3916" i="1"/>
  <c r="J3908" i="1"/>
  <c r="L3908" i="1"/>
  <c r="K3908" i="1"/>
  <c r="J3900" i="1"/>
  <c r="L3900" i="1"/>
  <c r="K3900" i="1"/>
  <c r="J3892" i="1"/>
  <c r="L3892" i="1"/>
  <c r="K3892" i="1"/>
  <c r="L3884" i="1"/>
  <c r="K3884" i="1"/>
  <c r="L3876" i="1"/>
  <c r="K3876" i="1"/>
  <c r="L3868" i="1"/>
  <c r="K3868" i="1"/>
  <c r="J3860" i="1"/>
  <c r="L3860" i="1"/>
  <c r="K3860" i="1"/>
  <c r="L3852" i="1"/>
  <c r="K3852" i="1"/>
  <c r="J3844" i="1"/>
  <c r="L3844" i="1"/>
  <c r="K3844" i="1"/>
  <c r="L3836" i="1"/>
  <c r="K3836" i="1"/>
  <c r="J3828" i="1"/>
  <c r="L3828" i="1"/>
  <c r="K3828" i="1"/>
  <c r="L3820" i="1"/>
  <c r="K3820" i="1"/>
  <c r="L3812" i="1"/>
  <c r="K3812" i="1"/>
  <c r="J3804" i="1"/>
  <c r="L3804" i="1"/>
  <c r="K3804" i="1"/>
  <c r="J3796" i="1"/>
  <c r="L3796" i="1"/>
  <c r="K3796" i="1"/>
  <c r="L3788" i="1"/>
  <c r="K3788" i="1"/>
  <c r="J3780" i="1"/>
  <c r="L3780" i="1"/>
  <c r="K3780" i="1"/>
  <c r="L3772" i="1"/>
  <c r="K3772" i="1"/>
  <c r="J3764" i="1"/>
  <c r="L3764" i="1"/>
  <c r="K3764" i="1"/>
  <c r="J3756" i="1"/>
  <c r="L3756" i="1"/>
  <c r="K3756" i="1"/>
  <c r="L3748" i="1"/>
  <c r="K3748" i="1"/>
  <c r="J3740" i="1"/>
  <c r="L3740" i="1"/>
  <c r="K3740" i="1"/>
  <c r="L3732" i="1"/>
  <c r="K3732" i="1"/>
  <c r="L3724" i="1"/>
  <c r="K3724" i="1"/>
  <c r="J3716" i="1"/>
  <c r="L3716" i="1"/>
  <c r="K3716" i="1"/>
  <c r="L3708" i="1"/>
  <c r="K3708" i="1"/>
  <c r="L3700" i="1"/>
  <c r="K3700" i="1"/>
  <c r="J3692" i="1"/>
  <c r="L3692" i="1"/>
  <c r="K3692" i="1"/>
  <c r="L3684" i="1"/>
  <c r="K3684" i="1"/>
  <c r="L3676" i="1"/>
  <c r="K3676" i="1"/>
  <c r="L3668" i="1"/>
  <c r="K3668" i="1"/>
  <c r="J3660" i="1"/>
  <c r="L3660" i="1"/>
  <c r="K3660" i="1"/>
  <c r="L3652" i="1"/>
  <c r="K3652" i="1"/>
  <c r="J3644" i="1"/>
  <c r="L3644" i="1"/>
  <c r="K3644" i="1"/>
  <c r="J3636" i="1"/>
  <c r="L3636" i="1"/>
  <c r="K3636" i="1"/>
  <c r="J3628" i="1"/>
  <c r="L3628" i="1"/>
  <c r="K3628" i="1"/>
  <c r="L3620" i="1"/>
  <c r="K3620" i="1"/>
  <c r="L3612" i="1"/>
  <c r="K3612" i="1"/>
  <c r="L3604" i="1"/>
  <c r="K3604" i="1"/>
  <c r="J3596" i="1"/>
  <c r="L3596" i="1"/>
  <c r="K3596" i="1"/>
  <c r="J3588" i="1"/>
  <c r="L3588" i="1"/>
  <c r="K3588" i="1"/>
  <c r="L3580" i="1"/>
  <c r="K3580" i="1"/>
  <c r="L3572" i="1"/>
  <c r="K3572" i="1"/>
  <c r="J3564" i="1"/>
  <c r="L3564" i="1"/>
  <c r="K3564" i="1"/>
  <c r="L3556" i="1"/>
  <c r="K3556" i="1"/>
  <c r="L3548" i="1"/>
  <c r="K3548" i="1"/>
  <c r="J3540" i="1"/>
  <c r="L3540" i="1"/>
  <c r="K3540" i="1"/>
  <c r="J3532" i="1"/>
  <c r="L3532" i="1"/>
  <c r="K3532" i="1"/>
  <c r="J3524" i="1"/>
  <c r="L3524" i="1"/>
  <c r="K3524" i="1"/>
  <c r="L3516" i="1"/>
  <c r="K3516" i="1"/>
  <c r="L3508" i="1"/>
  <c r="K3508" i="1"/>
  <c r="J3500" i="1"/>
  <c r="L3500" i="1"/>
  <c r="K3500" i="1"/>
  <c r="J3492" i="1"/>
  <c r="L3492" i="1"/>
  <c r="K3492" i="1"/>
  <c r="L3484" i="1"/>
  <c r="K3484" i="1"/>
  <c r="L3476" i="1"/>
  <c r="K3476" i="1"/>
  <c r="J3468" i="1"/>
  <c r="L3468" i="1"/>
  <c r="K3468" i="1"/>
  <c r="L3460" i="1"/>
  <c r="K3460" i="1"/>
  <c r="L3452" i="1"/>
  <c r="K3452" i="1"/>
  <c r="J3444" i="1"/>
  <c r="L3444" i="1"/>
  <c r="K3444" i="1"/>
  <c r="J3436" i="1"/>
  <c r="L3436" i="1"/>
  <c r="K3436" i="1"/>
  <c r="L3428" i="1"/>
  <c r="K3428" i="1"/>
  <c r="L3420" i="1"/>
  <c r="K3420" i="1"/>
  <c r="L3412" i="1"/>
  <c r="K3412" i="1"/>
  <c r="J3404" i="1"/>
  <c r="L3404" i="1"/>
  <c r="K3404" i="1"/>
  <c r="J3396" i="1"/>
  <c r="L3396" i="1"/>
  <c r="K3396" i="1"/>
  <c r="J3388" i="1"/>
  <c r="L3388" i="1"/>
  <c r="K3388" i="1"/>
  <c r="L3380" i="1"/>
  <c r="K3380" i="1"/>
  <c r="J3372" i="1"/>
  <c r="L3372" i="1"/>
  <c r="K3372" i="1"/>
  <c r="J3364" i="1"/>
  <c r="L3364" i="1"/>
  <c r="K3364" i="1"/>
  <c r="L3356" i="1"/>
  <c r="K3356" i="1"/>
  <c r="L3348" i="1"/>
  <c r="K3348" i="1"/>
  <c r="J3340" i="1"/>
  <c r="L3340" i="1"/>
  <c r="K3340" i="1"/>
  <c r="L3332" i="1"/>
  <c r="K3332" i="1"/>
  <c r="L3324" i="1"/>
  <c r="K3324" i="1"/>
  <c r="L3316" i="1"/>
  <c r="K3316" i="1"/>
  <c r="J3308" i="1"/>
  <c r="L3308" i="1"/>
  <c r="K3308" i="1"/>
  <c r="L3300" i="1"/>
  <c r="K3300" i="1"/>
  <c r="E3292" i="1"/>
  <c r="L3292" i="1"/>
  <c r="K3292" i="1"/>
  <c r="J3284" i="1"/>
  <c r="L3284" i="1"/>
  <c r="K3284" i="1"/>
  <c r="J3276" i="1"/>
  <c r="L3276" i="1"/>
  <c r="K3276" i="1"/>
  <c r="L3268" i="1"/>
  <c r="K3268" i="1"/>
  <c r="J3260" i="1"/>
  <c r="L3260" i="1"/>
  <c r="K3260" i="1"/>
  <c r="L3252" i="1"/>
  <c r="K3252" i="1"/>
  <c r="J3244" i="1"/>
  <c r="L3244" i="1"/>
  <c r="K3244" i="1"/>
  <c r="J3236" i="1"/>
  <c r="L3236" i="1"/>
  <c r="K3236" i="1"/>
  <c r="L3228" i="1"/>
  <c r="K3228" i="1"/>
  <c r="L3220" i="1"/>
  <c r="K3220" i="1"/>
  <c r="J3212" i="1"/>
  <c r="L3212" i="1"/>
  <c r="K3212" i="1"/>
  <c r="L3204" i="1"/>
  <c r="K3204" i="1"/>
  <c r="J3196" i="1"/>
  <c r="L3196" i="1"/>
  <c r="K3196" i="1"/>
  <c r="L3188" i="1"/>
  <c r="K3188" i="1"/>
  <c r="J3180" i="1"/>
  <c r="L3180" i="1"/>
  <c r="K3180" i="1"/>
  <c r="L3172" i="1"/>
  <c r="K3172" i="1"/>
  <c r="J3164" i="1"/>
  <c r="L3164" i="1"/>
  <c r="K3164" i="1"/>
  <c r="L3156" i="1"/>
  <c r="K3156" i="1"/>
  <c r="J3148" i="1"/>
  <c r="L3148" i="1"/>
  <c r="K3148" i="1"/>
  <c r="L3140" i="1"/>
  <c r="K3140" i="1"/>
  <c r="L3132" i="1"/>
  <c r="K3132" i="1"/>
  <c r="L3124" i="1"/>
  <c r="K3124" i="1"/>
  <c r="J3116" i="1"/>
  <c r="L3116" i="1"/>
  <c r="K3116" i="1"/>
  <c r="L3108" i="1"/>
  <c r="K3108" i="1"/>
  <c r="J3100" i="1"/>
  <c r="L3100" i="1"/>
  <c r="K3100" i="1"/>
  <c r="L3092" i="1"/>
  <c r="K3092" i="1"/>
  <c r="J3084" i="1"/>
  <c r="L3084" i="1"/>
  <c r="K3084" i="1"/>
  <c r="J3076" i="1"/>
  <c r="L3076" i="1"/>
  <c r="K3076" i="1"/>
  <c r="L3068" i="1"/>
  <c r="K3068" i="1"/>
  <c r="L3060" i="1"/>
  <c r="K3060" i="1"/>
  <c r="J3052" i="1"/>
  <c r="L3052" i="1"/>
  <c r="K3052" i="1"/>
  <c r="L3044" i="1"/>
  <c r="K3044" i="1"/>
  <c r="L3036" i="1"/>
  <c r="K3036" i="1"/>
  <c r="L3028" i="1"/>
  <c r="K3028" i="1"/>
  <c r="J3020" i="1"/>
  <c r="L3020" i="1"/>
  <c r="K3020" i="1"/>
  <c r="J3012" i="1"/>
  <c r="L3012" i="1"/>
  <c r="K3012" i="1"/>
  <c r="L3004" i="1"/>
  <c r="K3004" i="1"/>
  <c r="J2996" i="1"/>
  <c r="L2996" i="1"/>
  <c r="K2996" i="1"/>
  <c r="L2988" i="1"/>
  <c r="K2988" i="1"/>
  <c r="J2980" i="1"/>
  <c r="L2980" i="1"/>
  <c r="K2980" i="1"/>
  <c r="J2972" i="1"/>
  <c r="L2972" i="1"/>
  <c r="K2972" i="1"/>
  <c r="L2964" i="1"/>
  <c r="K2964" i="1"/>
  <c r="L2956" i="1"/>
  <c r="K2956" i="1"/>
  <c r="L2948" i="1"/>
  <c r="K2948" i="1"/>
  <c r="J2940" i="1"/>
  <c r="L2940" i="1"/>
  <c r="K2940" i="1"/>
  <c r="L2932" i="1"/>
  <c r="K2932" i="1"/>
  <c r="L2924" i="1"/>
  <c r="K2924" i="1"/>
  <c r="J2916" i="1"/>
  <c r="L2916" i="1"/>
  <c r="K2916" i="1"/>
  <c r="L2908" i="1"/>
  <c r="K2908" i="1"/>
  <c r="L2900" i="1"/>
  <c r="K2900" i="1"/>
  <c r="L2892" i="1"/>
  <c r="K2892" i="1"/>
  <c r="J2884" i="1"/>
  <c r="L2884" i="1"/>
  <c r="K2884" i="1"/>
  <c r="J2876" i="1"/>
  <c r="L2876" i="1"/>
  <c r="K2876" i="1"/>
  <c r="L2868" i="1"/>
  <c r="K2868" i="1"/>
  <c r="L2860" i="1"/>
  <c r="K2860" i="1"/>
  <c r="L2852" i="1"/>
  <c r="K2852" i="1"/>
  <c r="L2844" i="1"/>
  <c r="K2844" i="1"/>
  <c r="L2836" i="1"/>
  <c r="K2836" i="1"/>
  <c r="L2828" i="1"/>
  <c r="K2828" i="1"/>
  <c r="J2820" i="1"/>
  <c r="L2820" i="1"/>
  <c r="K2820" i="1"/>
  <c r="L2812" i="1"/>
  <c r="K2812" i="1"/>
  <c r="L2804" i="1"/>
  <c r="K2804" i="1"/>
  <c r="L2796" i="1"/>
  <c r="K2796" i="1"/>
  <c r="J2788" i="1"/>
  <c r="L2788" i="1"/>
  <c r="K2788" i="1"/>
  <c r="J2780" i="1"/>
  <c r="L2780" i="1"/>
  <c r="K2780" i="1"/>
  <c r="J2772" i="1"/>
  <c r="L2772" i="1"/>
  <c r="K2772" i="1"/>
  <c r="L2764" i="1"/>
  <c r="K2764" i="1"/>
  <c r="L2756" i="1"/>
  <c r="K2756" i="1"/>
  <c r="L2748" i="1"/>
  <c r="K2748" i="1"/>
  <c r="L2740" i="1"/>
  <c r="K2740" i="1"/>
  <c r="L2732" i="1"/>
  <c r="K2732" i="1"/>
  <c r="J2724" i="1"/>
  <c r="L2724" i="1"/>
  <c r="K2724" i="1"/>
  <c r="E2716" i="1"/>
  <c r="L2716" i="1"/>
  <c r="K2716" i="1"/>
  <c r="J2716" i="1"/>
  <c r="L2708" i="1"/>
  <c r="K2708" i="1"/>
  <c r="L2700" i="1"/>
  <c r="K2700" i="1"/>
  <c r="J2692" i="1"/>
  <c r="L2692" i="1"/>
  <c r="K2692" i="1"/>
  <c r="J2684" i="1"/>
  <c r="L2684" i="1"/>
  <c r="K2684" i="1"/>
  <c r="L2676" i="1"/>
  <c r="K2676" i="1"/>
  <c r="L2668" i="1"/>
  <c r="K2668" i="1"/>
  <c r="L2660" i="1"/>
  <c r="K2660" i="1"/>
  <c r="J2652" i="1"/>
  <c r="L2652" i="1"/>
  <c r="K2652" i="1"/>
  <c r="J2644" i="1"/>
  <c r="L2644" i="1"/>
  <c r="K2644" i="1"/>
  <c r="L2636" i="1"/>
  <c r="K2636" i="1"/>
  <c r="J2628" i="1"/>
  <c r="L2628" i="1"/>
  <c r="K2628" i="1"/>
  <c r="J2620" i="1"/>
  <c r="L2620" i="1"/>
  <c r="K2620" i="1"/>
  <c r="J2612" i="1"/>
  <c r="L2612" i="1"/>
  <c r="K2612" i="1"/>
  <c r="L2604" i="1"/>
  <c r="K2604" i="1"/>
  <c r="L2596" i="1"/>
  <c r="K2596" i="1"/>
  <c r="J2588" i="1"/>
  <c r="L2588" i="1"/>
  <c r="K2588" i="1"/>
  <c r="L2580" i="1"/>
  <c r="K2580" i="1"/>
  <c r="L2572" i="1"/>
  <c r="K2572" i="1"/>
  <c r="J2564" i="1"/>
  <c r="L2564" i="1"/>
  <c r="K2564" i="1"/>
  <c r="J2556" i="1"/>
  <c r="L2556" i="1"/>
  <c r="K2556" i="1"/>
  <c r="L2548" i="1"/>
  <c r="K2548" i="1"/>
  <c r="L2540" i="1"/>
  <c r="K2540" i="1"/>
  <c r="L2532" i="1"/>
  <c r="K2532" i="1"/>
  <c r="J2524" i="1"/>
  <c r="L2524" i="1"/>
  <c r="K2524" i="1"/>
  <c r="L2516" i="1"/>
  <c r="K2516" i="1"/>
  <c r="L2508" i="1"/>
  <c r="K2508" i="1"/>
  <c r="L2500" i="1"/>
  <c r="K2500" i="1"/>
  <c r="L2492" i="1"/>
  <c r="K2492" i="1"/>
  <c r="J2484" i="1"/>
  <c r="L2484" i="1"/>
  <c r="K2484" i="1"/>
  <c r="L2476" i="1"/>
  <c r="K2476" i="1"/>
  <c r="J2468" i="1"/>
  <c r="L2468" i="1"/>
  <c r="K2468" i="1"/>
  <c r="E2460" i="1"/>
  <c r="L2460" i="1"/>
  <c r="K2460" i="1"/>
  <c r="L2452" i="1"/>
  <c r="K2452" i="1"/>
  <c r="L2444" i="1"/>
  <c r="K2444" i="1"/>
  <c r="J2436" i="1"/>
  <c r="L2436" i="1"/>
  <c r="K2436" i="1"/>
  <c r="L2428" i="1"/>
  <c r="K2428" i="1"/>
  <c r="J2420" i="1"/>
  <c r="L2420" i="1"/>
  <c r="K2420" i="1"/>
  <c r="L2412" i="1"/>
  <c r="K2412" i="1"/>
  <c r="L2404" i="1"/>
  <c r="K2404" i="1"/>
  <c r="J2396" i="1"/>
  <c r="L2396" i="1"/>
  <c r="K2396" i="1"/>
  <c r="L2388" i="1"/>
  <c r="K2388" i="1"/>
  <c r="L2380" i="1"/>
  <c r="K2380" i="1"/>
  <c r="J2372" i="1"/>
  <c r="L2372" i="1"/>
  <c r="K2372" i="1"/>
  <c r="J2364" i="1"/>
  <c r="L2364" i="1"/>
  <c r="K2364" i="1"/>
  <c r="J2356" i="1"/>
  <c r="L2356" i="1"/>
  <c r="K2356" i="1"/>
  <c r="L2348" i="1"/>
  <c r="K2348" i="1"/>
  <c r="J2340" i="1"/>
  <c r="L2340" i="1"/>
  <c r="K2340" i="1"/>
  <c r="L2332" i="1"/>
  <c r="K2332" i="1"/>
  <c r="J2324" i="1"/>
  <c r="L2324" i="1"/>
  <c r="K2324" i="1"/>
  <c r="L2316" i="1"/>
  <c r="K2316" i="1"/>
  <c r="L2308" i="1"/>
  <c r="K2308" i="1"/>
  <c r="J2300" i="1"/>
  <c r="L2300" i="1"/>
  <c r="K2300" i="1"/>
  <c r="J2292" i="1"/>
  <c r="L2292" i="1"/>
  <c r="K2292" i="1"/>
  <c r="L2284" i="1"/>
  <c r="K2284" i="1"/>
  <c r="L2276" i="1"/>
  <c r="K2276" i="1"/>
  <c r="L2268" i="1"/>
  <c r="K2268" i="1"/>
  <c r="L2260" i="1"/>
  <c r="K2260" i="1"/>
  <c r="L2252" i="1"/>
  <c r="K2252" i="1"/>
  <c r="J2244" i="1"/>
  <c r="L2244" i="1"/>
  <c r="K2244" i="1"/>
  <c r="J2236" i="1"/>
  <c r="L2236" i="1"/>
  <c r="K2236" i="1"/>
  <c r="L2228" i="1"/>
  <c r="K2228" i="1"/>
  <c r="L2220" i="1"/>
  <c r="K2220" i="1"/>
  <c r="J2212" i="1"/>
  <c r="L2212" i="1"/>
  <c r="K2212" i="1"/>
  <c r="L2204" i="1"/>
  <c r="K2204" i="1"/>
  <c r="J2196" i="1"/>
  <c r="L2196" i="1"/>
  <c r="K2196" i="1"/>
  <c r="L2188" i="1"/>
  <c r="K2188" i="1"/>
  <c r="L2180" i="1"/>
  <c r="K2180" i="1"/>
  <c r="L2172" i="1"/>
  <c r="K2172" i="1"/>
  <c r="J2164" i="1"/>
  <c r="L2164" i="1"/>
  <c r="K2164" i="1"/>
  <c r="L2156" i="1"/>
  <c r="K2156" i="1"/>
  <c r="J2148" i="1"/>
  <c r="L2148" i="1"/>
  <c r="K2148" i="1"/>
  <c r="L2140" i="1"/>
  <c r="K2140" i="1"/>
  <c r="L2132" i="1"/>
  <c r="K2132" i="1"/>
  <c r="L2124" i="1"/>
  <c r="K2124" i="1"/>
  <c r="J2116" i="1"/>
  <c r="L2116" i="1"/>
  <c r="K2116" i="1"/>
  <c r="J2108" i="1"/>
  <c r="L2108" i="1"/>
  <c r="K2108" i="1"/>
  <c r="L2100" i="1"/>
  <c r="K2100" i="1"/>
  <c r="L2092" i="1"/>
  <c r="K2092" i="1"/>
  <c r="J2084" i="1"/>
  <c r="L2084" i="1"/>
  <c r="K2084" i="1"/>
  <c r="L2076" i="1"/>
  <c r="K2076" i="1"/>
  <c r="J2068" i="1"/>
  <c r="L2068" i="1"/>
  <c r="K2068" i="1"/>
  <c r="L2060" i="1"/>
  <c r="K2060" i="1"/>
  <c r="J2052" i="1"/>
  <c r="L2052" i="1"/>
  <c r="K2052" i="1"/>
  <c r="J2044" i="1"/>
  <c r="L2044" i="1"/>
  <c r="K2044" i="1"/>
  <c r="L2036" i="1"/>
  <c r="K2036" i="1"/>
  <c r="L2028" i="1"/>
  <c r="K2028" i="1"/>
  <c r="J2020" i="1"/>
  <c r="L2020" i="1"/>
  <c r="K2020" i="1"/>
  <c r="L2012" i="1"/>
  <c r="K2012" i="1"/>
  <c r="L2004" i="1"/>
  <c r="K2004" i="1"/>
  <c r="L1996" i="1"/>
  <c r="K1996" i="1"/>
  <c r="J1988" i="1"/>
  <c r="L1988" i="1"/>
  <c r="K1988" i="1"/>
  <c r="J1980" i="1"/>
  <c r="L1980" i="1"/>
  <c r="K1980" i="1"/>
  <c r="L1972" i="1"/>
  <c r="K1972" i="1"/>
  <c r="J1964" i="1"/>
  <c r="L1964" i="1"/>
  <c r="K1964" i="1"/>
  <c r="L1956" i="1"/>
  <c r="K1956" i="1"/>
  <c r="L1948" i="1"/>
  <c r="K1948" i="1"/>
  <c r="L1940" i="1"/>
  <c r="K1940" i="1"/>
  <c r="L1932" i="1"/>
  <c r="K1932" i="1"/>
  <c r="J1924" i="1"/>
  <c r="L1924" i="1"/>
  <c r="K1924" i="1"/>
  <c r="L1916" i="1"/>
  <c r="K1916" i="1"/>
  <c r="L1908" i="1"/>
  <c r="K1908" i="1"/>
  <c r="L1900" i="1"/>
  <c r="K1900" i="1"/>
  <c r="L1892" i="1"/>
  <c r="K1892" i="1"/>
  <c r="L1884" i="1"/>
  <c r="K1884" i="1"/>
  <c r="J1876" i="1"/>
  <c r="L1876" i="1"/>
  <c r="K1876" i="1"/>
  <c r="L1868" i="1"/>
  <c r="K1868" i="1"/>
  <c r="J1860" i="1"/>
  <c r="L1860" i="1"/>
  <c r="K1860" i="1"/>
  <c r="L1852" i="1"/>
  <c r="K1852" i="1"/>
  <c r="L1844" i="1"/>
  <c r="K1844" i="1"/>
  <c r="J1836" i="1"/>
  <c r="L1836" i="1"/>
  <c r="K1836" i="1"/>
  <c r="L1828" i="1"/>
  <c r="K1828" i="1"/>
  <c r="L1820" i="1"/>
  <c r="K1820" i="1"/>
  <c r="L1812" i="1"/>
  <c r="K1812" i="1"/>
  <c r="L1804" i="1"/>
  <c r="K1804" i="1"/>
  <c r="J1796" i="1"/>
  <c r="L1796" i="1"/>
  <c r="K1796" i="1"/>
  <c r="J1788" i="1"/>
  <c r="L1788" i="1"/>
  <c r="K1788" i="1"/>
  <c r="L1780" i="1"/>
  <c r="K1780" i="1"/>
  <c r="L1772" i="1"/>
  <c r="K1772" i="1"/>
  <c r="L1764" i="1"/>
  <c r="K1764" i="1"/>
  <c r="L1756" i="1"/>
  <c r="K1756" i="1"/>
  <c r="J1748" i="1"/>
  <c r="L1748" i="1"/>
  <c r="K1748" i="1"/>
  <c r="L1740" i="1"/>
  <c r="K1740" i="1"/>
  <c r="J1732" i="1"/>
  <c r="L1732" i="1"/>
  <c r="K1732" i="1"/>
  <c r="L1724" i="1"/>
  <c r="K1724" i="1"/>
  <c r="L1716" i="1"/>
  <c r="K1716" i="1"/>
  <c r="J1708" i="1"/>
  <c r="L1708" i="1"/>
  <c r="K1708" i="1"/>
  <c r="J1700" i="1"/>
  <c r="L1700" i="1"/>
  <c r="K1700" i="1"/>
  <c r="L1692" i="1"/>
  <c r="K1692" i="1"/>
  <c r="J1684" i="1"/>
  <c r="L1684" i="1"/>
  <c r="K1684" i="1"/>
  <c r="L1676" i="1"/>
  <c r="K1676" i="1"/>
  <c r="J1668" i="1"/>
  <c r="L1668" i="1"/>
  <c r="K1668" i="1"/>
  <c r="J1660" i="1"/>
  <c r="L1660" i="1"/>
  <c r="K1660" i="1"/>
  <c r="L1652" i="1"/>
  <c r="K1652" i="1"/>
  <c r="L1644" i="1"/>
  <c r="K1644" i="1"/>
  <c r="J1636" i="1"/>
  <c r="L1636" i="1"/>
  <c r="K1636" i="1"/>
  <c r="L1628" i="1"/>
  <c r="K1628" i="1"/>
  <c r="L1620" i="1"/>
  <c r="K1620" i="1"/>
  <c r="L1612" i="1"/>
  <c r="K1612" i="1"/>
  <c r="J1604" i="1"/>
  <c r="L1604" i="1"/>
  <c r="K1604" i="1"/>
  <c r="J1596" i="1"/>
  <c r="L1596" i="1"/>
  <c r="K1596" i="1"/>
  <c r="L1588" i="1"/>
  <c r="K1588" i="1"/>
  <c r="J1580" i="1"/>
  <c r="L1580" i="1"/>
  <c r="K1580" i="1"/>
  <c r="L1572" i="1"/>
  <c r="K1572" i="1"/>
  <c r="L1564" i="1"/>
  <c r="K1564" i="1"/>
  <c r="J1556" i="1"/>
  <c r="L1556" i="1"/>
  <c r="K1556" i="1"/>
  <c r="L1548" i="1"/>
  <c r="K1548" i="1"/>
  <c r="J1540" i="1"/>
  <c r="L1540" i="1"/>
  <c r="K1540" i="1"/>
  <c r="J1532" i="1"/>
  <c r="L1532" i="1"/>
  <c r="K1532" i="1"/>
  <c r="L1524" i="1"/>
  <c r="K1524" i="1"/>
  <c r="L1516" i="1"/>
  <c r="K1516" i="1"/>
  <c r="L1508" i="1"/>
  <c r="K1508" i="1"/>
  <c r="J1500" i="1"/>
  <c r="L1500" i="1"/>
  <c r="K1500" i="1"/>
  <c r="J1492" i="1"/>
  <c r="L1492" i="1"/>
  <c r="K1492" i="1"/>
  <c r="J1484" i="1"/>
  <c r="L1484" i="1"/>
  <c r="K1484" i="1"/>
  <c r="J1476" i="1"/>
  <c r="L1476" i="1"/>
  <c r="K1476" i="1"/>
  <c r="J1468" i="1"/>
  <c r="L1468" i="1"/>
  <c r="K1468" i="1"/>
  <c r="L1460" i="1"/>
  <c r="K1460" i="1"/>
  <c r="J1452" i="1"/>
  <c r="L1452" i="1"/>
  <c r="K1452" i="1"/>
  <c r="L1444" i="1"/>
  <c r="K1444" i="1"/>
  <c r="J1436" i="1"/>
  <c r="L1436" i="1"/>
  <c r="K1436" i="1"/>
  <c r="L1428" i="1"/>
  <c r="K1428" i="1"/>
  <c r="L1420" i="1"/>
  <c r="K1420" i="1"/>
  <c r="L1412" i="1"/>
  <c r="K1412" i="1"/>
  <c r="J1404" i="1"/>
  <c r="L1404" i="1"/>
  <c r="K1404" i="1"/>
  <c r="J1396" i="1"/>
  <c r="L1396" i="1"/>
  <c r="K1396" i="1"/>
  <c r="L1388" i="1"/>
  <c r="K1388" i="1"/>
  <c r="L1380" i="1"/>
  <c r="K1380" i="1"/>
  <c r="L1372" i="1"/>
  <c r="K1372" i="1"/>
  <c r="J1364" i="1"/>
  <c r="L1364" i="1"/>
  <c r="K1364" i="1"/>
  <c r="J1356" i="1"/>
  <c r="L1356" i="1"/>
  <c r="K1356" i="1"/>
  <c r="J1348" i="1"/>
  <c r="L1348" i="1"/>
  <c r="K1348" i="1"/>
  <c r="J1340" i="1"/>
  <c r="L1340" i="1"/>
  <c r="K1340" i="1"/>
  <c r="L1332" i="1"/>
  <c r="K1332" i="1"/>
  <c r="L1324" i="1"/>
  <c r="K1324" i="1"/>
  <c r="L1316" i="1"/>
  <c r="K1316" i="1"/>
  <c r="J1308" i="1"/>
  <c r="L1308" i="1"/>
  <c r="K1308" i="1"/>
  <c r="J1300" i="1"/>
  <c r="L1300" i="1"/>
  <c r="K1300" i="1"/>
  <c r="L1292" i="1"/>
  <c r="K1292" i="1"/>
  <c r="L1284" i="1"/>
  <c r="K1284" i="1"/>
  <c r="J1276" i="1"/>
  <c r="L1276" i="1"/>
  <c r="K1276" i="1"/>
  <c r="J1268" i="1"/>
  <c r="L1268" i="1"/>
  <c r="K1268" i="1"/>
  <c r="J1260" i="1"/>
  <c r="L1260" i="1"/>
  <c r="K1260" i="1"/>
  <c r="J1252" i="1"/>
  <c r="L1252" i="1"/>
  <c r="K1252" i="1"/>
  <c r="J1244" i="1"/>
  <c r="L1244" i="1"/>
  <c r="K1244" i="1"/>
  <c r="L1236" i="1"/>
  <c r="K1236" i="1"/>
  <c r="L1228" i="1"/>
  <c r="K1228" i="1"/>
  <c r="L1220" i="1"/>
  <c r="K1220" i="1"/>
  <c r="J1212" i="1"/>
  <c r="L1212" i="1"/>
  <c r="K1212" i="1"/>
  <c r="J1204" i="1"/>
  <c r="L1204" i="1"/>
  <c r="K1204" i="1"/>
  <c r="J1196" i="1"/>
  <c r="L1196" i="1"/>
  <c r="K1196" i="1"/>
  <c r="L1188" i="1"/>
  <c r="K1188" i="1"/>
  <c r="L1180" i="1"/>
  <c r="K1180" i="1"/>
  <c r="J1172" i="1"/>
  <c r="L1172" i="1"/>
  <c r="K1172" i="1"/>
  <c r="L1164" i="1"/>
  <c r="K1164" i="1"/>
  <c r="L1156" i="1"/>
  <c r="K1156" i="1"/>
  <c r="J1148" i="1"/>
  <c r="L1148" i="1"/>
  <c r="K1148" i="1"/>
  <c r="J1140" i="1"/>
  <c r="L1140" i="1"/>
  <c r="K1140" i="1"/>
  <c r="L1132" i="1"/>
  <c r="K1132" i="1"/>
  <c r="L1124" i="1"/>
  <c r="K1124" i="1"/>
  <c r="J1116" i="1"/>
  <c r="L1116" i="1"/>
  <c r="K1116" i="1"/>
  <c r="J1108" i="1"/>
  <c r="L1108" i="1"/>
  <c r="K1108" i="1"/>
  <c r="J1100" i="1"/>
  <c r="L1100" i="1"/>
  <c r="K1100" i="1"/>
  <c r="L1092" i="1"/>
  <c r="K1092" i="1"/>
  <c r="L1084" i="1"/>
  <c r="K1084" i="1"/>
  <c r="J1076" i="1"/>
  <c r="L1076" i="1"/>
  <c r="K1076" i="1"/>
  <c r="J1068" i="1"/>
  <c r="L1068" i="1"/>
  <c r="K1068" i="1"/>
  <c r="J1060" i="1"/>
  <c r="L1060" i="1"/>
  <c r="K1060" i="1"/>
  <c r="J1052" i="1"/>
  <c r="L1052" i="1"/>
  <c r="K1052" i="1"/>
  <c r="L1044" i="1"/>
  <c r="K1044" i="1"/>
  <c r="J1036" i="1"/>
  <c r="L1036" i="1"/>
  <c r="K1036" i="1"/>
  <c r="L1028" i="1"/>
  <c r="K1028" i="1"/>
  <c r="J1020" i="1"/>
  <c r="L1020" i="1"/>
  <c r="K1020" i="1"/>
  <c r="J1012" i="1"/>
  <c r="L1012" i="1"/>
  <c r="K1012" i="1"/>
  <c r="J1004" i="1"/>
  <c r="L1004" i="1"/>
  <c r="K1004" i="1"/>
  <c r="L996" i="1"/>
  <c r="K996" i="1"/>
  <c r="J988" i="1"/>
  <c r="L988" i="1"/>
  <c r="K988" i="1"/>
  <c r="J980" i="1"/>
  <c r="L980" i="1"/>
  <c r="K980" i="1"/>
  <c r="J972" i="1"/>
  <c r="L972" i="1"/>
  <c r="K972" i="1"/>
  <c r="J964" i="1"/>
  <c r="L964" i="1"/>
  <c r="K964" i="1"/>
  <c r="L956" i="1"/>
  <c r="K956" i="1"/>
  <c r="L948" i="1"/>
  <c r="K948" i="1"/>
  <c r="J940" i="1"/>
  <c r="L940" i="1"/>
  <c r="K940" i="1"/>
  <c r="L932" i="1"/>
  <c r="K932" i="1"/>
  <c r="L924" i="1"/>
  <c r="K924" i="1"/>
  <c r="J916" i="1"/>
  <c r="L916" i="1"/>
  <c r="K916" i="1"/>
  <c r="J908" i="1"/>
  <c r="L908" i="1"/>
  <c r="K908" i="1"/>
  <c r="L900" i="1"/>
  <c r="K900" i="1"/>
  <c r="L892" i="1"/>
  <c r="K892" i="1"/>
  <c r="L884" i="1"/>
  <c r="K884" i="1"/>
  <c r="J876" i="1"/>
  <c r="L876" i="1"/>
  <c r="K876" i="1"/>
  <c r="J868" i="1"/>
  <c r="L868" i="1"/>
  <c r="K868" i="1"/>
  <c r="L860" i="1"/>
  <c r="K860" i="1"/>
  <c r="J852" i="1"/>
  <c r="L852" i="1"/>
  <c r="K852" i="1"/>
  <c r="J844" i="1"/>
  <c r="L844" i="1"/>
  <c r="K844" i="1"/>
  <c r="L836" i="1"/>
  <c r="K836" i="1"/>
  <c r="L828" i="1"/>
  <c r="K828" i="1"/>
  <c r="J820" i="1"/>
  <c r="L820" i="1"/>
  <c r="K820" i="1"/>
  <c r="L812" i="1"/>
  <c r="K812" i="1"/>
  <c r="L804" i="1"/>
  <c r="K804" i="1"/>
  <c r="L796" i="1"/>
  <c r="K796" i="1"/>
  <c r="J788" i="1"/>
  <c r="L788" i="1"/>
  <c r="K788" i="1"/>
  <c r="J780" i="1"/>
  <c r="L780" i="1"/>
  <c r="K780" i="1"/>
  <c r="L772" i="1"/>
  <c r="K772" i="1"/>
  <c r="L764" i="1"/>
  <c r="K764" i="1"/>
  <c r="J756" i="1"/>
  <c r="L756" i="1"/>
  <c r="K756" i="1"/>
  <c r="J748" i="1"/>
  <c r="L748" i="1"/>
  <c r="K748" i="1"/>
  <c r="L740" i="1"/>
  <c r="K740" i="1"/>
  <c r="L732" i="1"/>
  <c r="K732" i="1"/>
  <c r="J724" i="1"/>
  <c r="L724" i="1"/>
  <c r="K724" i="1"/>
  <c r="L716" i="1"/>
  <c r="K716" i="1"/>
  <c r="L708" i="1"/>
  <c r="K708" i="1"/>
  <c r="J700" i="1"/>
  <c r="L700" i="1"/>
  <c r="K700" i="1"/>
  <c r="J692" i="1"/>
  <c r="L692" i="1"/>
  <c r="K692" i="1"/>
  <c r="J684" i="1"/>
  <c r="L684" i="1"/>
  <c r="K684" i="1"/>
  <c r="J676" i="1"/>
  <c r="L676" i="1"/>
  <c r="K676" i="1"/>
  <c r="L668" i="1"/>
  <c r="K668" i="1"/>
  <c r="L660" i="1"/>
  <c r="K660" i="1"/>
  <c r="J652" i="1"/>
  <c r="L652" i="1"/>
  <c r="K652" i="1"/>
  <c r="J644" i="1"/>
  <c r="L644" i="1"/>
  <c r="K644" i="1"/>
  <c r="J636" i="1"/>
  <c r="L636" i="1"/>
  <c r="K636" i="1"/>
  <c r="J628" i="1"/>
  <c r="L628" i="1"/>
  <c r="K628" i="1"/>
  <c r="J620" i="1"/>
  <c r="L620" i="1"/>
  <c r="K620" i="1"/>
  <c r="J612" i="1"/>
  <c r="L612" i="1"/>
  <c r="K612" i="1"/>
  <c r="J604" i="1"/>
  <c r="L604" i="1"/>
  <c r="K604" i="1"/>
  <c r="L596" i="1"/>
  <c r="K596" i="1"/>
  <c r="J588" i="1"/>
  <c r="L588" i="1"/>
  <c r="K588" i="1"/>
  <c r="L580" i="1"/>
  <c r="K580" i="1"/>
  <c r="J572" i="1"/>
  <c r="L572" i="1"/>
  <c r="K572" i="1"/>
  <c r="L564" i="1"/>
  <c r="K564" i="1"/>
  <c r="J556" i="1"/>
  <c r="L556" i="1"/>
  <c r="K556" i="1"/>
  <c r="L548" i="1"/>
  <c r="K548" i="1"/>
  <c r="L540" i="1"/>
  <c r="K540" i="1"/>
  <c r="L532" i="1"/>
  <c r="K532" i="1"/>
  <c r="J524" i="1"/>
  <c r="L524" i="1"/>
  <c r="K524" i="1"/>
  <c r="L516" i="1"/>
  <c r="K516" i="1"/>
  <c r="J508" i="1"/>
  <c r="L508" i="1"/>
  <c r="K508" i="1"/>
  <c r="L500" i="1"/>
  <c r="K500" i="1"/>
  <c r="L492" i="1"/>
  <c r="K492" i="1"/>
  <c r="J484" i="1"/>
  <c r="L484" i="1"/>
  <c r="K484" i="1"/>
  <c r="J476" i="1"/>
  <c r="L476" i="1"/>
  <c r="K476" i="1"/>
  <c r="L468" i="1"/>
  <c r="K468" i="1"/>
  <c r="J460" i="1"/>
  <c r="L460" i="1"/>
  <c r="K460" i="1"/>
  <c r="J452" i="1"/>
  <c r="L452" i="1"/>
  <c r="K452" i="1"/>
  <c r="L444" i="1"/>
  <c r="K444" i="1"/>
  <c r="L436" i="1"/>
  <c r="K436" i="1"/>
  <c r="L428" i="1"/>
  <c r="K428" i="1"/>
  <c r="J420" i="1"/>
  <c r="L420" i="1"/>
  <c r="K420" i="1"/>
  <c r="J412" i="1"/>
  <c r="L412" i="1"/>
  <c r="K412" i="1"/>
  <c r="E412" i="1"/>
  <c r="J404" i="1"/>
  <c r="L404" i="1"/>
  <c r="K404" i="1"/>
  <c r="L396" i="1"/>
  <c r="K396" i="1"/>
  <c r="L388" i="1"/>
  <c r="K388" i="1"/>
  <c r="J380" i="1"/>
  <c r="L380" i="1"/>
  <c r="K380" i="1"/>
  <c r="J372" i="1"/>
  <c r="L372" i="1"/>
  <c r="K372" i="1"/>
  <c r="L364" i="1"/>
  <c r="K364" i="1"/>
  <c r="L356" i="1"/>
  <c r="K356" i="1"/>
  <c r="J348" i="1"/>
  <c r="L348" i="1"/>
  <c r="K348" i="1"/>
  <c r="J340" i="1"/>
  <c r="L340" i="1"/>
  <c r="K340" i="1"/>
  <c r="J332" i="1"/>
  <c r="L332" i="1"/>
  <c r="K332" i="1"/>
  <c r="L324" i="1"/>
  <c r="K324" i="1"/>
  <c r="J316" i="1"/>
  <c r="L316" i="1"/>
  <c r="K316" i="1"/>
  <c r="J308" i="1"/>
  <c r="L308" i="1"/>
  <c r="K308" i="1"/>
  <c r="J9934" i="1"/>
  <c r="J9678" i="1"/>
  <c r="J9318" i="1"/>
  <c r="J8902" i="1"/>
  <c r="J8502" i="1"/>
  <c r="J8230" i="1"/>
  <c r="J8022" i="1"/>
  <c r="J7830" i="1"/>
  <c r="J7662" i="1"/>
  <c r="J6966" i="1"/>
  <c r="K9887" i="1"/>
  <c r="K9631" i="1"/>
  <c r="K9375" i="1"/>
  <c r="K9119" i="1"/>
  <c r="K6035" i="1"/>
  <c r="K5523" i="1"/>
  <c r="K5011" i="1"/>
  <c r="K4499" i="1"/>
  <c r="K3987" i="1"/>
  <c r="K3475" i="1"/>
  <c r="L9582" i="1"/>
  <c r="L8654" i="1"/>
  <c r="L9997" i="1"/>
  <c r="K9997" i="1"/>
  <c r="L9989" i="1"/>
  <c r="K9989" i="1"/>
  <c r="L9981" i="1"/>
  <c r="K9981" i="1"/>
  <c r="L9973" i="1"/>
  <c r="K9973" i="1"/>
  <c r="L9965" i="1"/>
  <c r="K9965" i="1"/>
  <c r="L9957" i="1"/>
  <c r="K9957" i="1"/>
  <c r="L9949" i="1"/>
  <c r="K9949" i="1"/>
  <c r="L9941" i="1"/>
  <c r="K9941" i="1"/>
  <c r="L9933" i="1"/>
  <c r="K9933" i="1"/>
  <c r="L9925" i="1"/>
  <c r="K9925" i="1"/>
  <c r="L9917" i="1"/>
  <c r="K9917" i="1"/>
  <c r="L9909" i="1"/>
  <c r="K9909" i="1"/>
  <c r="L9901" i="1"/>
  <c r="K9901" i="1"/>
  <c r="L9893" i="1"/>
  <c r="K9893" i="1"/>
  <c r="L9885" i="1"/>
  <c r="K9885" i="1"/>
  <c r="L9877" i="1"/>
  <c r="K9877" i="1"/>
  <c r="L9869" i="1"/>
  <c r="K9869" i="1"/>
  <c r="L9861" i="1"/>
  <c r="K9861" i="1"/>
  <c r="L9853" i="1"/>
  <c r="K9853" i="1"/>
  <c r="L9845" i="1"/>
  <c r="K9845" i="1"/>
  <c r="L9837" i="1"/>
  <c r="K9837" i="1"/>
  <c r="L9829" i="1"/>
  <c r="K9829" i="1"/>
  <c r="L9821" i="1"/>
  <c r="K9821" i="1"/>
  <c r="L9813" i="1"/>
  <c r="K9813" i="1"/>
  <c r="L9805" i="1"/>
  <c r="K9805" i="1"/>
  <c r="L9797" i="1"/>
  <c r="K9797" i="1"/>
  <c r="L9789" i="1"/>
  <c r="K9789" i="1"/>
  <c r="L9781" i="1"/>
  <c r="K9781" i="1"/>
  <c r="L9773" i="1"/>
  <c r="K9773" i="1"/>
  <c r="L9765" i="1"/>
  <c r="K9765" i="1"/>
  <c r="L9757" i="1"/>
  <c r="K9757" i="1"/>
  <c r="L9749" i="1"/>
  <c r="K9749" i="1"/>
  <c r="L9741" i="1"/>
  <c r="K9741" i="1"/>
  <c r="L9733" i="1"/>
  <c r="K9733" i="1"/>
  <c r="L9725" i="1"/>
  <c r="K9725" i="1"/>
  <c r="L9717" i="1"/>
  <c r="K9717" i="1"/>
  <c r="L9709" i="1"/>
  <c r="K9709" i="1"/>
  <c r="L9701" i="1"/>
  <c r="K9701" i="1"/>
  <c r="L9693" i="1"/>
  <c r="K9693" i="1"/>
  <c r="L9685" i="1"/>
  <c r="K9685" i="1"/>
  <c r="L9677" i="1"/>
  <c r="K9677" i="1"/>
  <c r="L9669" i="1"/>
  <c r="K9669" i="1"/>
  <c r="L9661" i="1"/>
  <c r="K9661" i="1"/>
  <c r="L9653" i="1"/>
  <c r="K9653" i="1"/>
  <c r="L9645" i="1"/>
  <c r="K9645" i="1"/>
  <c r="L9637" i="1"/>
  <c r="K9637" i="1"/>
  <c r="L9629" i="1"/>
  <c r="K9629" i="1"/>
  <c r="L9621" i="1"/>
  <c r="K9621" i="1"/>
  <c r="L9613" i="1"/>
  <c r="K9613" i="1"/>
  <c r="L9605" i="1"/>
  <c r="K9605" i="1"/>
  <c r="L9597" i="1"/>
  <c r="K9597" i="1"/>
  <c r="L9589" i="1"/>
  <c r="K9589" i="1"/>
  <c r="L9581" i="1"/>
  <c r="K9581" i="1"/>
  <c r="L9573" i="1"/>
  <c r="K9573" i="1"/>
  <c r="L9565" i="1"/>
  <c r="K9565" i="1"/>
  <c r="L9557" i="1"/>
  <c r="K9557" i="1"/>
  <c r="L9549" i="1"/>
  <c r="K9549" i="1"/>
  <c r="L9541" i="1"/>
  <c r="K9541" i="1"/>
  <c r="L9533" i="1"/>
  <c r="K9533" i="1"/>
  <c r="L9525" i="1"/>
  <c r="K9525" i="1"/>
  <c r="L9517" i="1"/>
  <c r="K9517" i="1"/>
  <c r="L9509" i="1"/>
  <c r="K9509" i="1"/>
  <c r="L9501" i="1"/>
  <c r="K9501" i="1"/>
  <c r="L9493" i="1"/>
  <c r="K9493" i="1"/>
  <c r="L9485" i="1"/>
  <c r="K9485" i="1"/>
  <c r="L9477" i="1"/>
  <c r="K9477" i="1"/>
  <c r="L9469" i="1"/>
  <c r="K9469" i="1"/>
  <c r="L9461" i="1"/>
  <c r="K9461" i="1"/>
  <c r="L9453" i="1"/>
  <c r="K9453" i="1"/>
  <c r="L9445" i="1"/>
  <c r="K9445" i="1"/>
  <c r="L9437" i="1"/>
  <c r="K9437" i="1"/>
  <c r="L9429" i="1"/>
  <c r="K9429" i="1"/>
  <c r="L9421" i="1"/>
  <c r="K9421" i="1"/>
  <c r="L9413" i="1"/>
  <c r="K9413" i="1"/>
  <c r="L9405" i="1"/>
  <c r="K9405" i="1"/>
  <c r="L9397" i="1"/>
  <c r="K9397" i="1"/>
  <c r="L9389" i="1"/>
  <c r="K9389" i="1"/>
  <c r="L9381" i="1"/>
  <c r="K9381" i="1"/>
  <c r="L9373" i="1"/>
  <c r="K9373" i="1"/>
  <c r="L9365" i="1"/>
  <c r="K9365" i="1"/>
  <c r="L9357" i="1"/>
  <c r="K9357" i="1"/>
  <c r="L9349" i="1"/>
  <c r="K9349" i="1"/>
  <c r="L9341" i="1"/>
  <c r="K9341" i="1"/>
  <c r="L9333" i="1"/>
  <c r="K9333" i="1"/>
  <c r="L9325" i="1"/>
  <c r="K9325" i="1"/>
  <c r="L9317" i="1"/>
  <c r="K9317" i="1"/>
  <c r="L9309" i="1"/>
  <c r="K9309" i="1"/>
  <c r="L9301" i="1"/>
  <c r="K9301" i="1"/>
  <c r="L9293" i="1"/>
  <c r="K9293" i="1"/>
  <c r="L9285" i="1"/>
  <c r="K9285" i="1"/>
  <c r="L9277" i="1"/>
  <c r="K9277" i="1"/>
  <c r="L9269" i="1"/>
  <c r="K9269" i="1"/>
  <c r="L9261" i="1"/>
  <c r="K9261" i="1"/>
  <c r="L9253" i="1"/>
  <c r="K9253" i="1"/>
  <c r="L9245" i="1"/>
  <c r="K9245" i="1"/>
  <c r="L9237" i="1"/>
  <c r="K9237" i="1"/>
  <c r="L9229" i="1"/>
  <c r="K9229" i="1"/>
  <c r="L9221" i="1"/>
  <c r="K9221" i="1"/>
  <c r="L9213" i="1"/>
  <c r="K9213" i="1"/>
  <c r="L9205" i="1"/>
  <c r="K9205" i="1"/>
  <c r="L9197" i="1"/>
  <c r="K9197" i="1"/>
  <c r="L9189" i="1"/>
  <c r="K9189" i="1"/>
  <c r="L9181" i="1"/>
  <c r="K9181" i="1"/>
  <c r="L9173" i="1"/>
  <c r="K9173" i="1"/>
  <c r="L9165" i="1"/>
  <c r="K9165" i="1"/>
  <c r="L9157" i="1"/>
  <c r="K9157" i="1"/>
  <c r="L9149" i="1"/>
  <c r="K9149" i="1"/>
  <c r="L9141" i="1"/>
  <c r="K9141" i="1"/>
  <c r="L9133" i="1"/>
  <c r="K9133" i="1"/>
  <c r="L9125" i="1"/>
  <c r="K9125" i="1"/>
  <c r="L9117" i="1"/>
  <c r="K9117" i="1"/>
  <c r="L9109" i="1"/>
  <c r="K9109" i="1"/>
  <c r="L9101" i="1"/>
  <c r="K9101" i="1"/>
  <c r="L9093" i="1"/>
  <c r="K9093" i="1"/>
  <c r="L9085" i="1"/>
  <c r="K9085" i="1"/>
  <c r="L9077" i="1"/>
  <c r="K9077" i="1"/>
  <c r="L9069" i="1"/>
  <c r="K9069" i="1"/>
  <c r="L9061" i="1"/>
  <c r="K9061" i="1"/>
  <c r="L9053" i="1"/>
  <c r="K9053" i="1"/>
  <c r="L9045" i="1"/>
  <c r="K9045" i="1"/>
  <c r="L9037" i="1"/>
  <c r="K9037" i="1"/>
  <c r="L9029" i="1"/>
  <c r="K9029" i="1"/>
  <c r="L9021" i="1"/>
  <c r="K9021" i="1"/>
  <c r="L9013" i="1"/>
  <c r="K9013" i="1"/>
  <c r="L9005" i="1"/>
  <c r="K9005" i="1"/>
  <c r="L8997" i="1"/>
  <c r="K8997" i="1"/>
  <c r="L8989" i="1"/>
  <c r="K8989" i="1"/>
  <c r="L8981" i="1"/>
  <c r="K8981" i="1"/>
  <c r="L8973" i="1"/>
  <c r="K8973" i="1"/>
  <c r="L8965" i="1"/>
  <c r="K8965" i="1"/>
  <c r="L8957" i="1"/>
  <c r="K8957" i="1"/>
  <c r="L8949" i="1"/>
  <c r="K8949" i="1"/>
  <c r="L8941" i="1"/>
  <c r="K8941" i="1"/>
  <c r="L8933" i="1"/>
  <c r="K8933" i="1"/>
  <c r="L8925" i="1"/>
  <c r="K8925" i="1"/>
  <c r="L8917" i="1"/>
  <c r="K8917" i="1"/>
  <c r="L8909" i="1"/>
  <c r="K8909" i="1"/>
  <c r="L8901" i="1"/>
  <c r="K8901" i="1"/>
  <c r="L8893" i="1"/>
  <c r="K8893" i="1"/>
  <c r="L8885" i="1"/>
  <c r="K8885" i="1"/>
  <c r="L8877" i="1"/>
  <c r="K8877" i="1"/>
  <c r="L8869" i="1"/>
  <c r="K8869" i="1"/>
  <c r="L8861" i="1"/>
  <c r="K8861" i="1"/>
  <c r="L8853" i="1"/>
  <c r="K8853" i="1"/>
  <c r="L8845" i="1"/>
  <c r="K8845" i="1"/>
  <c r="L8837" i="1"/>
  <c r="K8837" i="1"/>
  <c r="L8829" i="1"/>
  <c r="K8829" i="1"/>
  <c r="L8821" i="1"/>
  <c r="K8821" i="1"/>
  <c r="L8813" i="1"/>
  <c r="K8813" i="1"/>
  <c r="L8805" i="1"/>
  <c r="K8805" i="1"/>
  <c r="L8797" i="1"/>
  <c r="K8797" i="1"/>
  <c r="L8789" i="1"/>
  <c r="K8789" i="1"/>
  <c r="L8781" i="1"/>
  <c r="K8781" i="1"/>
  <c r="L8773" i="1"/>
  <c r="K8773" i="1"/>
  <c r="L8765" i="1"/>
  <c r="K8765" i="1"/>
  <c r="L8757" i="1"/>
  <c r="K8757" i="1"/>
  <c r="L8749" i="1"/>
  <c r="K8749" i="1"/>
  <c r="L8741" i="1"/>
  <c r="K8741" i="1"/>
  <c r="L8733" i="1"/>
  <c r="K8733" i="1"/>
  <c r="L8725" i="1"/>
  <c r="K8725" i="1"/>
  <c r="L8717" i="1"/>
  <c r="K8717" i="1"/>
  <c r="L8709" i="1"/>
  <c r="K8709" i="1"/>
  <c r="L8701" i="1"/>
  <c r="K8701" i="1"/>
  <c r="L8693" i="1"/>
  <c r="K8693" i="1"/>
  <c r="L8685" i="1"/>
  <c r="K8685" i="1"/>
  <c r="L8677" i="1"/>
  <c r="K8677" i="1"/>
  <c r="L8669" i="1"/>
  <c r="K8669" i="1"/>
  <c r="L8661" i="1"/>
  <c r="K8661" i="1"/>
  <c r="L8653" i="1"/>
  <c r="K8653" i="1"/>
  <c r="L8645" i="1"/>
  <c r="K8645" i="1"/>
  <c r="L8637" i="1"/>
  <c r="K8637" i="1"/>
  <c r="L8629" i="1"/>
  <c r="K8629" i="1"/>
  <c r="L8621" i="1"/>
  <c r="K8621" i="1"/>
  <c r="L8613" i="1"/>
  <c r="K8613" i="1"/>
  <c r="L8605" i="1"/>
  <c r="K8605" i="1"/>
  <c r="L8597" i="1"/>
  <c r="K8597" i="1"/>
  <c r="L8589" i="1"/>
  <c r="K8589" i="1"/>
  <c r="L8581" i="1"/>
  <c r="K8581" i="1"/>
  <c r="L8573" i="1"/>
  <c r="K8573" i="1"/>
  <c r="L8565" i="1"/>
  <c r="K8565" i="1"/>
  <c r="L8557" i="1"/>
  <c r="K8557" i="1"/>
  <c r="L8549" i="1"/>
  <c r="K8549" i="1"/>
  <c r="L8541" i="1"/>
  <c r="K8541" i="1"/>
  <c r="L8533" i="1"/>
  <c r="K8533" i="1"/>
  <c r="L8525" i="1"/>
  <c r="K8525" i="1"/>
  <c r="L8517" i="1"/>
  <c r="K8517" i="1"/>
  <c r="L8509" i="1"/>
  <c r="K8509" i="1"/>
  <c r="L8501" i="1"/>
  <c r="K8501" i="1"/>
  <c r="L8493" i="1"/>
  <c r="K8493" i="1"/>
  <c r="L8485" i="1"/>
  <c r="K8485" i="1"/>
  <c r="L8477" i="1"/>
  <c r="K8477" i="1"/>
  <c r="L8469" i="1"/>
  <c r="K8469" i="1"/>
  <c r="L8461" i="1"/>
  <c r="K8461" i="1"/>
  <c r="L8453" i="1"/>
  <c r="K8453" i="1"/>
  <c r="L8445" i="1"/>
  <c r="K8445" i="1"/>
  <c r="L8437" i="1"/>
  <c r="K8437" i="1"/>
  <c r="L8429" i="1"/>
  <c r="K8429" i="1"/>
  <c r="L8421" i="1"/>
  <c r="K8421" i="1"/>
  <c r="L8413" i="1"/>
  <c r="K8413" i="1"/>
  <c r="L8405" i="1"/>
  <c r="K8405" i="1"/>
  <c r="L8397" i="1"/>
  <c r="K8397" i="1"/>
  <c r="L8389" i="1"/>
  <c r="K8389" i="1"/>
  <c r="L8381" i="1"/>
  <c r="K8381" i="1"/>
  <c r="L8365" i="1"/>
  <c r="K8365" i="1"/>
  <c r="L8357" i="1"/>
  <c r="K8357" i="1"/>
  <c r="L8349" i="1"/>
  <c r="K8349" i="1"/>
  <c r="L8341" i="1"/>
  <c r="K8341" i="1"/>
  <c r="L8333" i="1"/>
  <c r="K8333" i="1"/>
  <c r="L8325" i="1"/>
  <c r="K8325" i="1"/>
  <c r="L8317" i="1"/>
  <c r="K8317" i="1"/>
  <c r="L8309" i="1"/>
  <c r="K8309" i="1"/>
  <c r="L8301" i="1"/>
  <c r="K8301" i="1"/>
  <c r="I8293" i="1"/>
  <c r="L8293" i="1"/>
  <c r="J8293" i="1"/>
  <c r="K8293" i="1"/>
  <c r="I8285" i="1"/>
  <c r="L8285" i="1"/>
  <c r="J8285" i="1"/>
  <c r="K8285" i="1"/>
  <c r="I8277" i="1"/>
  <c r="L8277" i="1"/>
  <c r="K8277" i="1"/>
  <c r="I8269" i="1"/>
  <c r="L8269" i="1"/>
  <c r="K8269" i="1"/>
  <c r="J8269" i="1"/>
  <c r="I8261" i="1"/>
  <c r="L8261" i="1"/>
  <c r="J8261" i="1"/>
  <c r="K8261" i="1"/>
  <c r="I8253" i="1"/>
  <c r="L8253" i="1"/>
  <c r="J8253" i="1"/>
  <c r="K8253" i="1"/>
  <c r="I8245" i="1"/>
  <c r="K8245" i="1"/>
  <c r="I8237" i="1"/>
  <c r="L8237" i="1"/>
  <c r="K8237" i="1"/>
  <c r="J8237" i="1"/>
  <c r="I8229" i="1"/>
  <c r="L8229" i="1"/>
  <c r="J8229" i="1"/>
  <c r="K8229" i="1"/>
  <c r="I8221" i="1"/>
  <c r="L8221" i="1"/>
  <c r="J8221" i="1"/>
  <c r="K8221" i="1"/>
  <c r="I8213" i="1"/>
  <c r="L8213" i="1"/>
  <c r="K8213" i="1"/>
  <c r="I8205" i="1"/>
  <c r="L8205" i="1"/>
  <c r="K8205" i="1"/>
  <c r="J8205" i="1"/>
  <c r="I8197" i="1"/>
  <c r="L8197" i="1"/>
  <c r="J8197" i="1"/>
  <c r="K8197" i="1"/>
  <c r="I8189" i="1"/>
  <c r="L8189" i="1"/>
  <c r="J8189" i="1"/>
  <c r="K8189" i="1"/>
  <c r="I8181" i="1"/>
  <c r="L8181" i="1"/>
  <c r="K8181" i="1"/>
  <c r="I8173" i="1"/>
  <c r="L8173" i="1"/>
  <c r="K8173" i="1"/>
  <c r="J8173" i="1"/>
  <c r="I8165" i="1"/>
  <c r="L8165" i="1"/>
  <c r="J8165" i="1"/>
  <c r="K8165" i="1"/>
  <c r="I8157" i="1"/>
  <c r="L8157" i="1"/>
  <c r="J8157" i="1"/>
  <c r="K8157" i="1"/>
  <c r="I8149" i="1"/>
  <c r="L8149" i="1"/>
  <c r="K8149" i="1"/>
  <c r="I8141" i="1"/>
  <c r="L8141" i="1"/>
  <c r="K8141" i="1"/>
  <c r="J8141" i="1"/>
  <c r="I8133" i="1"/>
  <c r="L8133" i="1"/>
  <c r="J8133" i="1"/>
  <c r="K8133" i="1"/>
  <c r="I8125" i="1"/>
  <c r="L8125" i="1"/>
  <c r="J8125" i="1"/>
  <c r="K8125" i="1"/>
  <c r="I8117" i="1"/>
  <c r="L8117" i="1"/>
  <c r="K8117" i="1"/>
  <c r="I8109" i="1"/>
  <c r="L8109" i="1"/>
  <c r="K8109" i="1"/>
  <c r="J8109" i="1"/>
  <c r="I8101" i="1"/>
  <c r="L8101" i="1"/>
  <c r="J8101" i="1"/>
  <c r="K8101" i="1"/>
  <c r="I8093" i="1"/>
  <c r="L8093" i="1"/>
  <c r="J8093" i="1"/>
  <c r="K8093" i="1"/>
  <c r="I8085" i="1"/>
  <c r="L8085" i="1"/>
  <c r="K8085" i="1"/>
  <c r="I8077" i="1"/>
  <c r="L8077" i="1"/>
  <c r="K8077" i="1"/>
  <c r="J8077" i="1"/>
  <c r="I8069" i="1"/>
  <c r="L8069" i="1"/>
  <c r="J8069" i="1"/>
  <c r="K8069" i="1"/>
  <c r="I8061" i="1"/>
  <c r="L8061" i="1"/>
  <c r="J8061" i="1"/>
  <c r="K8061" i="1"/>
  <c r="I8053" i="1"/>
  <c r="L8053" i="1"/>
  <c r="K8053" i="1"/>
  <c r="I8045" i="1"/>
  <c r="L8045" i="1"/>
  <c r="K8045" i="1"/>
  <c r="J8045" i="1"/>
  <c r="I8037" i="1"/>
  <c r="L8037" i="1"/>
  <c r="J8037" i="1"/>
  <c r="K8037" i="1"/>
  <c r="I8029" i="1"/>
  <c r="L8029" i="1"/>
  <c r="J8029" i="1"/>
  <c r="K8029" i="1"/>
  <c r="I8021" i="1"/>
  <c r="L8021" i="1"/>
  <c r="K8021" i="1"/>
  <c r="I8013" i="1"/>
  <c r="L8013" i="1"/>
  <c r="K8013" i="1"/>
  <c r="J8013" i="1"/>
  <c r="I8005" i="1"/>
  <c r="L8005" i="1"/>
  <c r="J8005" i="1"/>
  <c r="K8005" i="1"/>
  <c r="I7997" i="1"/>
  <c r="L7997" i="1"/>
  <c r="J7997" i="1"/>
  <c r="K7997" i="1"/>
  <c r="I7989" i="1"/>
  <c r="L7989" i="1"/>
  <c r="K7989" i="1"/>
  <c r="I7981" i="1"/>
  <c r="L7981" i="1"/>
  <c r="K7981" i="1"/>
  <c r="J7981" i="1"/>
  <c r="I7973" i="1"/>
  <c r="L7973" i="1"/>
  <c r="J7973" i="1"/>
  <c r="K7973" i="1"/>
  <c r="I7965" i="1"/>
  <c r="L7965" i="1"/>
  <c r="J7965" i="1"/>
  <c r="K7965" i="1"/>
  <c r="I7957" i="1"/>
  <c r="L7957" i="1"/>
  <c r="K7957" i="1"/>
  <c r="I7949" i="1"/>
  <c r="L7949" i="1"/>
  <c r="K7949" i="1"/>
  <c r="J7949" i="1"/>
  <c r="I7941" i="1"/>
  <c r="L7941" i="1"/>
  <c r="J7941" i="1"/>
  <c r="K7941" i="1"/>
  <c r="I7933" i="1"/>
  <c r="L7933" i="1"/>
  <c r="J7933" i="1"/>
  <c r="K7933" i="1"/>
  <c r="I7925" i="1"/>
  <c r="L7925" i="1"/>
  <c r="K7925" i="1"/>
  <c r="I7917" i="1"/>
  <c r="L7917" i="1"/>
  <c r="K7917" i="1"/>
  <c r="J7917" i="1"/>
  <c r="I7909" i="1"/>
  <c r="L7909" i="1"/>
  <c r="J7909" i="1"/>
  <c r="K7909" i="1"/>
  <c r="I7901" i="1"/>
  <c r="L7901" i="1"/>
  <c r="J7901" i="1"/>
  <c r="K7901" i="1"/>
  <c r="I7893" i="1"/>
  <c r="L7893" i="1"/>
  <c r="K7893" i="1"/>
  <c r="I7885" i="1"/>
  <c r="L7885" i="1"/>
  <c r="K7885" i="1"/>
  <c r="J7885" i="1"/>
  <c r="I7877" i="1"/>
  <c r="L7877" i="1"/>
  <c r="J7877" i="1"/>
  <c r="K7877" i="1"/>
  <c r="I7869" i="1"/>
  <c r="L7869" i="1"/>
  <c r="J7869" i="1"/>
  <c r="K7869" i="1"/>
  <c r="I7861" i="1"/>
  <c r="L7861" i="1"/>
  <c r="K7861" i="1"/>
  <c r="I7853" i="1"/>
  <c r="L7853" i="1"/>
  <c r="K7853" i="1"/>
  <c r="J7853" i="1"/>
  <c r="L7845" i="1"/>
  <c r="J7845" i="1"/>
  <c r="K7845" i="1"/>
  <c r="L7837" i="1"/>
  <c r="J7837" i="1"/>
  <c r="K7837" i="1"/>
  <c r="L7829" i="1"/>
  <c r="K7829" i="1"/>
  <c r="L7821" i="1"/>
  <c r="K7821" i="1"/>
  <c r="J7821" i="1"/>
  <c r="L7813" i="1"/>
  <c r="J7813" i="1"/>
  <c r="K7813" i="1"/>
  <c r="L7805" i="1"/>
  <c r="J7805" i="1"/>
  <c r="K7805" i="1"/>
  <c r="L7797" i="1"/>
  <c r="K7797" i="1"/>
  <c r="L7789" i="1"/>
  <c r="K7789" i="1"/>
  <c r="J7789" i="1"/>
  <c r="L7781" i="1"/>
  <c r="J7781" i="1"/>
  <c r="K7781" i="1"/>
  <c r="L7773" i="1"/>
  <c r="J7773" i="1"/>
  <c r="K7773" i="1"/>
  <c r="L7765" i="1"/>
  <c r="K7765" i="1"/>
  <c r="L7757" i="1"/>
  <c r="K7757" i="1"/>
  <c r="J7757" i="1"/>
  <c r="L7749" i="1"/>
  <c r="J7749" i="1"/>
  <c r="K7749" i="1"/>
  <c r="L7741" i="1"/>
  <c r="J7741" i="1"/>
  <c r="K7741" i="1"/>
  <c r="L7733" i="1"/>
  <c r="K7733" i="1"/>
  <c r="L7725" i="1"/>
  <c r="K7725" i="1"/>
  <c r="J7725" i="1"/>
  <c r="L7717" i="1"/>
  <c r="J7717" i="1"/>
  <c r="K7717" i="1"/>
  <c r="L7709" i="1"/>
  <c r="J7709" i="1"/>
  <c r="K7709" i="1"/>
  <c r="L7701" i="1"/>
  <c r="K7701" i="1"/>
  <c r="L7693" i="1"/>
  <c r="K7693" i="1"/>
  <c r="J7693" i="1"/>
  <c r="L7685" i="1"/>
  <c r="J7685" i="1"/>
  <c r="K7685" i="1"/>
  <c r="L7677" i="1"/>
  <c r="J7677" i="1"/>
  <c r="K7677" i="1"/>
  <c r="L7669" i="1"/>
  <c r="K7669" i="1"/>
  <c r="L7661" i="1"/>
  <c r="K7661" i="1"/>
  <c r="J7661" i="1"/>
  <c r="L7653" i="1"/>
  <c r="J7653" i="1"/>
  <c r="K7653" i="1"/>
  <c r="L7645" i="1"/>
  <c r="J7645" i="1"/>
  <c r="K7645" i="1"/>
  <c r="L7637" i="1"/>
  <c r="K7637" i="1"/>
  <c r="L7629" i="1"/>
  <c r="K7629" i="1"/>
  <c r="J7629" i="1"/>
  <c r="L7621" i="1"/>
  <c r="J7621" i="1"/>
  <c r="K7621" i="1"/>
  <c r="L7613" i="1"/>
  <c r="J7613" i="1"/>
  <c r="K7613" i="1"/>
  <c r="L7605" i="1"/>
  <c r="K7605" i="1"/>
  <c r="L7597" i="1"/>
  <c r="K7597" i="1"/>
  <c r="J7597" i="1"/>
  <c r="L7589" i="1"/>
  <c r="J7589" i="1"/>
  <c r="K7589" i="1"/>
  <c r="L7581" i="1"/>
  <c r="J7581" i="1"/>
  <c r="K7581" i="1"/>
  <c r="L7573" i="1"/>
  <c r="K7573" i="1"/>
  <c r="L7565" i="1"/>
  <c r="K7565" i="1"/>
  <c r="J7565" i="1"/>
  <c r="L7557" i="1"/>
  <c r="J7557" i="1"/>
  <c r="K7557" i="1"/>
  <c r="L7549" i="1"/>
  <c r="J7549" i="1"/>
  <c r="K7549" i="1"/>
  <c r="L7541" i="1"/>
  <c r="K7541" i="1"/>
  <c r="L7533" i="1"/>
  <c r="K7533" i="1"/>
  <c r="J7533" i="1"/>
  <c r="L7525" i="1"/>
  <c r="J7525" i="1"/>
  <c r="K7525" i="1"/>
  <c r="L7517" i="1"/>
  <c r="J7517" i="1"/>
  <c r="K7517" i="1"/>
  <c r="L7509" i="1"/>
  <c r="K7509" i="1"/>
  <c r="L7501" i="1"/>
  <c r="K7501" i="1"/>
  <c r="J7501" i="1"/>
  <c r="L7493" i="1"/>
  <c r="J7493" i="1"/>
  <c r="K7493" i="1"/>
  <c r="L7485" i="1"/>
  <c r="J7485" i="1"/>
  <c r="K7485" i="1"/>
  <c r="L7477" i="1"/>
  <c r="K7477" i="1"/>
  <c r="L7469" i="1"/>
  <c r="K7469" i="1"/>
  <c r="J7469" i="1"/>
  <c r="L7461" i="1"/>
  <c r="J7461" i="1"/>
  <c r="K7461" i="1"/>
  <c r="L7453" i="1"/>
  <c r="J7453" i="1"/>
  <c r="K7453" i="1"/>
  <c r="L7445" i="1"/>
  <c r="K7445" i="1"/>
  <c r="L7437" i="1"/>
  <c r="K7437" i="1"/>
  <c r="J7437" i="1"/>
  <c r="L7429" i="1"/>
  <c r="J7429" i="1"/>
  <c r="K7429" i="1"/>
  <c r="L7421" i="1"/>
  <c r="J7421" i="1"/>
  <c r="K7421" i="1"/>
  <c r="L7413" i="1"/>
  <c r="K7413" i="1"/>
  <c r="L7405" i="1"/>
  <c r="K7405" i="1"/>
  <c r="J7405" i="1"/>
  <c r="L7397" i="1"/>
  <c r="J7397" i="1"/>
  <c r="K7397" i="1"/>
  <c r="L7389" i="1"/>
  <c r="J7389" i="1"/>
  <c r="K7389" i="1"/>
  <c r="L7381" i="1"/>
  <c r="K7381" i="1"/>
  <c r="L7373" i="1"/>
  <c r="K7373" i="1"/>
  <c r="J7373" i="1"/>
  <c r="L7365" i="1"/>
  <c r="J7365" i="1"/>
  <c r="K7365" i="1"/>
  <c r="L7357" i="1"/>
  <c r="J7357" i="1"/>
  <c r="K7357" i="1"/>
  <c r="L7349" i="1"/>
  <c r="K7349" i="1"/>
  <c r="L7341" i="1"/>
  <c r="K7341" i="1"/>
  <c r="J7341" i="1"/>
  <c r="L7333" i="1"/>
  <c r="J7333" i="1"/>
  <c r="L7325" i="1"/>
  <c r="J7325" i="1"/>
  <c r="L7317" i="1"/>
  <c r="K7317" i="1"/>
  <c r="L7309" i="1"/>
  <c r="K7309" i="1"/>
  <c r="J7309" i="1"/>
  <c r="L7301" i="1"/>
  <c r="J7301" i="1"/>
  <c r="L7293" i="1"/>
  <c r="J7293" i="1"/>
  <c r="L7285" i="1"/>
  <c r="K7285" i="1"/>
  <c r="L7277" i="1"/>
  <c r="K7277" i="1"/>
  <c r="J7277" i="1"/>
  <c r="L7269" i="1"/>
  <c r="J7269" i="1"/>
  <c r="L7261" i="1"/>
  <c r="J7261" i="1"/>
  <c r="L7253" i="1"/>
  <c r="K7253" i="1"/>
  <c r="L7245" i="1"/>
  <c r="K7245" i="1"/>
  <c r="J7245" i="1"/>
  <c r="L7237" i="1"/>
  <c r="K7237" i="1"/>
  <c r="J7237" i="1"/>
  <c r="L7229" i="1"/>
  <c r="K7229" i="1"/>
  <c r="J7229" i="1"/>
  <c r="L7221" i="1"/>
  <c r="K7221" i="1"/>
  <c r="L7213" i="1"/>
  <c r="K7213" i="1"/>
  <c r="J7213" i="1"/>
  <c r="L7205" i="1"/>
  <c r="K7205" i="1"/>
  <c r="J7205" i="1"/>
  <c r="L7197" i="1"/>
  <c r="K7197" i="1"/>
  <c r="J7197" i="1"/>
  <c r="L7189" i="1"/>
  <c r="K7189" i="1"/>
  <c r="L7181" i="1"/>
  <c r="K7181" i="1"/>
  <c r="J7181" i="1"/>
  <c r="L7173" i="1"/>
  <c r="K7173" i="1"/>
  <c r="J7173" i="1"/>
  <c r="L7165" i="1"/>
  <c r="K7165" i="1"/>
  <c r="J7165" i="1"/>
  <c r="L7157" i="1"/>
  <c r="K7157" i="1"/>
  <c r="L7149" i="1"/>
  <c r="K7149" i="1"/>
  <c r="J7149" i="1"/>
  <c r="L7141" i="1"/>
  <c r="K7141" i="1"/>
  <c r="J7141" i="1"/>
  <c r="L7133" i="1"/>
  <c r="K7133" i="1"/>
  <c r="J7133" i="1"/>
  <c r="L7125" i="1"/>
  <c r="K7125" i="1"/>
  <c r="L7117" i="1"/>
  <c r="K7117" i="1"/>
  <c r="J7117" i="1"/>
  <c r="L7109" i="1"/>
  <c r="K7109" i="1"/>
  <c r="J7109" i="1"/>
  <c r="L7101" i="1"/>
  <c r="K7101" i="1"/>
  <c r="J7101" i="1"/>
  <c r="L7093" i="1"/>
  <c r="K7093" i="1"/>
  <c r="L7085" i="1"/>
  <c r="K7085" i="1"/>
  <c r="J7085" i="1"/>
  <c r="L7077" i="1"/>
  <c r="K7077" i="1"/>
  <c r="J7077" i="1"/>
  <c r="L7069" i="1"/>
  <c r="K7069" i="1"/>
  <c r="J7069" i="1"/>
  <c r="L7061" i="1"/>
  <c r="K7061" i="1"/>
  <c r="L7053" i="1"/>
  <c r="K7053" i="1"/>
  <c r="J7053" i="1"/>
  <c r="L7045" i="1"/>
  <c r="K7045" i="1"/>
  <c r="J7045" i="1"/>
  <c r="L7037" i="1"/>
  <c r="K7037" i="1"/>
  <c r="J7037" i="1"/>
  <c r="L7029" i="1"/>
  <c r="K7029" i="1"/>
  <c r="L7021" i="1"/>
  <c r="K7021" i="1"/>
  <c r="J7021" i="1"/>
  <c r="L7013" i="1"/>
  <c r="K7013" i="1"/>
  <c r="J7013" i="1"/>
  <c r="L7005" i="1"/>
  <c r="K7005" i="1"/>
  <c r="J7005" i="1"/>
  <c r="L6997" i="1"/>
  <c r="K6997" i="1"/>
  <c r="L6989" i="1"/>
  <c r="K6989" i="1"/>
  <c r="J6989" i="1"/>
  <c r="L6981" i="1"/>
  <c r="K6981" i="1"/>
  <c r="J6981" i="1"/>
  <c r="L6973" i="1"/>
  <c r="K6973" i="1"/>
  <c r="J6973" i="1"/>
  <c r="L6965" i="1"/>
  <c r="K6965" i="1"/>
  <c r="L6957" i="1"/>
  <c r="K6957" i="1"/>
  <c r="J6957" i="1"/>
  <c r="L6949" i="1"/>
  <c r="K6949" i="1"/>
  <c r="J6949" i="1"/>
  <c r="L6941" i="1"/>
  <c r="K6941" i="1"/>
  <c r="J6941" i="1"/>
  <c r="L6933" i="1"/>
  <c r="K6933" i="1"/>
  <c r="L6925" i="1"/>
  <c r="K6925" i="1"/>
  <c r="J6925" i="1"/>
  <c r="L6917" i="1"/>
  <c r="K6917" i="1"/>
  <c r="J6917" i="1"/>
  <c r="L6909" i="1"/>
  <c r="K6909" i="1"/>
  <c r="J6909" i="1"/>
  <c r="L6901" i="1"/>
  <c r="K6901" i="1"/>
  <c r="L6893" i="1"/>
  <c r="K6893" i="1"/>
  <c r="J6893" i="1"/>
  <c r="L6885" i="1"/>
  <c r="K6885" i="1"/>
  <c r="J6885" i="1"/>
  <c r="L6877" i="1"/>
  <c r="K6877" i="1"/>
  <c r="J6877" i="1"/>
  <c r="L6869" i="1"/>
  <c r="K6869" i="1"/>
  <c r="L6861" i="1"/>
  <c r="K6861" i="1"/>
  <c r="J6861" i="1"/>
  <c r="L6853" i="1"/>
  <c r="K6853" i="1"/>
  <c r="J6853" i="1"/>
  <c r="L6845" i="1"/>
  <c r="K6845" i="1"/>
  <c r="J6845" i="1"/>
  <c r="L6837" i="1"/>
  <c r="K6837" i="1"/>
  <c r="L6829" i="1"/>
  <c r="K6829" i="1"/>
  <c r="J6829" i="1"/>
  <c r="L6821" i="1"/>
  <c r="K6821" i="1"/>
  <c r="J6821" i="1"/>
  <c r="L6813" i="1"/>
  <c r="K6813" i="1"/>
  <c r="J6813" i="1"/>
  <c r="L6805" i="1"/>
  <c r="K6805" i="1"/>
  <c r="L6797" i="1"/>
  <c r="K6797" i="1"/>
  <c r="J6797" i="1"/>
  <c r="L6789" i="1"/>
  <c r="K6789" i="1"/>
  <c r="J6789" i="1"/>
  <c r="L6781" i="1"/>
  <c r="K6781" i="1"/>
  <c r="J6781" i="1"/>
  <c r="L6773" i="1"/>
  <c r="K6773" i="1"/>
  <c r="L6765" i="1"/>
  <c r="K6765" i="1"/>
  <c r="J6765" i="1"/>
  <c r="L6757" i="1"/>
  <c r="K6757" i="1"/>
  <c r="J6757" i="1"/>
  <c r="L6749" i="1"/>
  <c r="K6749" i="1"/>
  <c r="J6749" i="1"/>
  <c r="J6741" i="1"/>
  <c r="L6741" i="1"/>
  <c r="K6741" i="1"/>
  <c r="J6733" i="1"/>
  <c r="L6733" i="1"/>
  <c r="K6733" i="1"/>
  <c r="J6725" i="1"/>
  <c r="L6725" i="1"/>
  <c r="K6725" i="1"/>
  <c r="J6717" i="1"/>
  <c r="L6717" i="1"/>
  <c r="K6717" i="1"/>
  <c r="J6709" i="1"/>
  <c r="L6709" i="1"/>
  <c r="K6709" i="1"/>
  <c r="J6701" i="1"/>
  <c r="L6701" i="1"/>
  <c r="K6701" i="1"/>
  <c r="J6693" i="1"/>
  <c r="L6693" i="1"/>
  <c r="K6693" i="1"/>
  <c r="J6685" i="1"/>
  <c r="L6685" i="1"/>
  <c r="K6685" i="1"/>
  <c r="J6677" i="1"/>
  <c r="L6677" i="1"/>
  <c r="K6677" i="1"/>
  <c r="J6669" i="1"/>
  <c r="L6669" i="1"/>
  <c r="K6669" i="1"/>
  <c r="J6661" i="1"/>
  <c r="L6661" i="1"/>
  <c r="K6661" i="1"/>
  <c r="J6653" i="1"/>
  <c r="L6653" i="1"/>
  <c r="K6653" i="1"/>
  <c r="J6645" i="1"/>
  <c r="L6645" i="1"/>
  <c r="K6645" i="1"/>
  <c r="J6637" i="1"/>
  <c r="L6637" i="1"/>
  <c r="K6637" i="1"/>
  <c r="J6629" i="1"/>
  <c r="L6629" i="1"/>
  <c r="K6629" i="1"/>
  <c r="J6621" i="1"/>
  <c r="L6621" i="1"/>
  <c r="K6621" i="1"/>
  <c r="J6613" i="1"/>
  <c r="L6613" i="1"/>
  <c r="K6613" i="1"/>
  <c r="J6605" i="1"/>
  <c r="L6605" i="1"/>
  <c r="K6605" i="1"/>
  <c r="J6597" i="1"/>
  <c r="L6597" i="1"/>
  <c r="K6597" i="1"/>
  <c r="J6589" i="1"/>
  <c r="L6589" i="1"/>
  <c r="K6589" i="1"/>
  <c r="J6581" i="1"/>
  <c r="L6581" i="1"/>
  <c r="K6581" i="1"/>
  <c r="J6573" i="1"/>
  <c r="L6573" i="1"/>
  <c r="K6573" i="1"/>
  <c r="J6565" i="1"/>
  <c r="L6565" i="1"/>
  <c r="K6565" i="1"/>
  <c r="J6557" i="1"/>
  <c r="L6557" i="1"/>
  <c r="K6557" i="1"/>
  <c r="J6549" i="1"/>
  <c r="L6549" i="1"/>
  <c r="K6549" i="1"/>
  <c r="J6541" i="1"/>
  <c r="L6541" i="1"/>
  <c r="K6541" i="1"/>
  <c r="J6533" i="1"/>
  <c r="L6533" i="1"/>
  <c r="K6533" i="1"/>
  <c r="J6525" i="1"/>
  <c r="L6525" i="1"/>
  <c r="K6525" i="1"/>
  <c r="J6517" i="1"/>
  <c r="K6517" i="1"/>
  <c r="L6517" i="1"/>
  <c r="J6509" i="1"/>
  <c r="L6509" i="1"/>
  <c r="K6509" i="1"/>
  <c r="J6501" i="1"/>
  <c r="L6501" i="1"/>
  <c r="K6501" i="1"/>
  <c r="J6493" i="1"/>
  <c r="L6493" i="1"/>
  <c r="K6493" i="1"/>
  <c r="J6485" i="1"/>
  <c r="L6485" i="1"/>
  <c r="K6485" i="1"/>
  <c r="J6477" i="1"/>
  <c r="L6477" i="1"/>
  <c r="K6477" i="1"/>
  <c r="J6469" i="1"/>
  <c r="L6469" i="1"/>
  <c r="K6469" i="1"/>
  <c r="J6461" i="1"/>
  <c r="L6461" i="1"/>
  <c r="K6461" i="1"/>
  <c r="J6453" i="1"/>
  <c r="L6453" i="1"/>
  <c r="K6453" i="1"/>
  <c r="J6445" i="1"/>
  <c r="L6445" i="1"/>
  <c r="K6445" i="1"/>
  <c r="J6437" i="1"/>
  <c r="L6437" i="1"/>
  <c r="K6437" i="1"/>
  <c r="J6429" i="1"/>
  <c r="L6429" i="1"/>
  <c r="K6429" i="1"/>
  <c r="J6421" i="1"/>
  <c r="L6421" i="1"/>
  <c r="K6421" i="1"/>
  <c r="J6413" i="1"/>
  <c r="L6413" i="1"/>
  <c r="K6413" i="1"/>
  <c r="J6405" i="1"/>
  <c r="L6405" i="1"/>
  <c r="K6405" i="1"/>
  <c r="J6397" i="1"/>
  <c r="L6397" i="1"/>
  <c r="K6397" i="1"/>
  <c r="J6389" i="1"/>
  <c r="L6389" i="1"/>
  <c r="K6389" i="1"/>
  <c r="J6381" i="1"/>
  <c r="L6381" i="1"/>
  <c r="K6381" i="1"/>
  <c r="J6373" i="1"/>
  <c r="L6373" i="1"/>
  <c r="K6373" i="1"/>
  <c r="J6365" i="1"/>
  <c r="L6365" i="1"/>
  <c r="K6365" i="1"/>
  <c r="J6357" i="1"/>
  <c r="L6357" i="1"/>
  <c r="K6357" i="1"/>
  <c r="J6349" i="1"/>
  <c r="L6349" i="1"/>
  <c r="K6349" i="1"/>
  <c r="J6341" i="1"/>
  <c r="L6341" i="1"/>
  <c r="K6341" i="1"/>
  <c r="J6333" i="1"/>
  <c r="L6333" i="1"/>
  <c r="K6333" i="1"/>
  <c r="J6325" i="1"/>
  <c r="L6325" i="1"/>
  <c r="K6325" i="1"/>
  <c r="J6317" i="1"/>
  <c r="L6317" i="1"/>
  <c r="K6317" i="1"/>
  <c r="J6309" i="1"/>
  <c r="L6309" i="1"/>
  <c r="K6309" i="1"/>
  <c r="J6301" i="1"/>
  <c r="L6301" i="1"/>
  <c r="K6301" i="1"/>
  <c r="J6293" i="1"/>
  <c r="L6293" i="1"/>
  <c r="K6293" i="1"/>
  <c r="J6285" i="1"/>
  <c r="L6285" i="1"/>
  <c r="K6285" i="1"/>
  <c r="J6277" i="1"/>
  <c r="L6277" i="1"/>
  <c r="K6277" i="1"/>
  <c r="J6269" i="1"/>
  <c r="L6269" i="1"/>
  <c r="K6269" i="1"/>
  <c r="J6261" i="1"/>
  <c r="L6261" i="1"/>
  <c r="K6261" i="1"/>
  <c r="J6253" i="1"/>
  <c r="L6253" i="1"/>
  <c r="K6253" i="1"/>
  <c r="J6245" i="1"/>
  <c r="L6245" i="1"/>
  <c r="K6245" i="1"/>
  <c r="J6237" i="1"/>
  <c r="L6237" i="1"/>
  <c r="K6237" i="1"/>
  <c r="J6229" i="1"/>
  <c r="L6229" i="1"/>
  <c r="K6229" i="1"/>
  <c r="J6221" i="1"/>
  <c r="L6221" i="1"/>
  <c r="K6221" i="1"/>
  <c r="J6213" i="1"/>
  <c r="L6213" i="1"/>
  <c r="K6213" i="1"/>
  <c r="J6205" i="1"/>
  <c r="L6205" i="1"/>
  <c r="K6205" i="1"/>
  <c r="J6197" i="1"/>
  <c r="L6197" i="1"/>
  <c r="K6197" i="1"/>
  <c r="J6189" i="1"/>
  <c r="L6189" i="1"/>
  <c r="K6189" i="1"/>
  <c r="J6181" i="1"/>
  <c r="L6181" i="1"/>
  <c r="K6181" i="1"/>
  <c r="J6173" i="1"/>
  <c r="L6173" i="1"/>
  <c r="K6173" i="1"/>
  <c r="J6165" i="1"/>
  <c r="L6165" i="1"/>
  <c r="K6165" i="1"/>
  <c r="J6157" i="1"/>
  <c r="L6157" i="1"/>
  <c r="K6157" i="1"/>
  <c r="J6149" i="1"/>
  <c r="L6149" i="1"/>
  <c r="K6149" i="1"/>
  <c r="J6141" i="1"/>
  <c r="L6141" i="1"/>
  <c r="K6141" i="1"/>
  <c r="J6133" i="1"/>
  <c r="L6133" i="1"/>
  <c r="K6133" i="1"/>
  <c r="J6125" i="1"/>
  <c r="L6125" i="1"/>
  <c r="K6125" i="1"/>
  <c r="J6117" i="1"/>
  <c r="L6117" i="1"/>
  <c r="K6117" i="1"/>
  <c r="J6109" i="1"/>
  <c r="L6109" i="1"/>
  <c r="K6109" i="1"/>
  <c r="J6101" i="1"/>
  <c r="L6101" i="1"/>
  <c r="K6101" i="1"/>
  <c r="J6093" i="1"/>
  <c r="L6093" i="1"/>
  <c r="K6093" i="1"/>
  <c r="J6085" i="1"/>
  <c r="L6085" i="1"/>
  <c r="K6085" i="1"/>
  <c r="J6077" i="1"/>
  <c r="L6077" i="1"/>
  <c r="K6077" i="1"/>
  <c r="J6069" i="1"/>
  <c r="L6069" i="1"/>
  <c r="K6069" i="1"/>
  <c r="J6061" i="1"/>
  <c r="L6061" i="1"/>
  <c r="K6061" i="1"/>
  <c r="J6053" i="1"/>
  <c r="L6053" i="1"/>
  <c r="K6053" i="1"/>
  <c r="J6045" i="1"/>
  <c r="L6045" i="1"/>
  <c r="K6045" i="1"/>
  <c r="J6037" i="1"/>
  <c r="L6037" i="1"/>
  <c r="K6037" i="1"/>
  <c r="J6029" i="1"/>
  <c r="L6029" i="1"/>
  <c r="K6029" i="1"/>
  <c r="J6021" i="1"/>
  <c r="L6021" i="1"/>
  <c r="K6021" i="1"/>
  <c r="J6013" i="1"/>
  <c r="L6013" i="1"/>
  <c r="K6013" i="1"/>
  <c r="J6005" i="1"/>
  <c r="K6005" i="1"/>
  <c r="L6005" i="1"/>
  <c r="J5997" i="1"/>
  <c r="L5997" i="1"/>
  <c r="K5997" i="1"/>
  <c r="J5989" i="1"/>
  <c r="L5989" i="1"/>
  <c r="K5989" i="1"/>
  <c r="J5981" i="1"/>
  <c r="L5981" i="1"/>
  <c r="K5981" i="1"/>
  <c r="J5973" i="1"/>
  <c r="L5973" i="1"/>
  <c r="K5973" i="1"/>
  <c r="J5965" i="1"/>
  <c r="L5965" i="1"/>
  <c r="K5965" i="1"/>
  <c r="J5957" i="1"/>
  <c r="L5957" i="1"/>
  <c r="K5957" i="1"/>
  <c r="J5949" i="1"/>
  <c r="L5949" i="1"/>
  <c r="K5949" i="1"/>
  <c r="J5941" i="1"/>
  <c r="L5941" i="1"/>
  <c r="K5941" i="1"/>
  <c r="J5933" i="1"/>
  <c r="L5933" i="1"/>
  <c r="K5933" i="1"/>
  <c r="J5925" i="1"/>
  <c r="L5925" i="1"/>
  <c r="K5925" i="1"/>
  <c r="J5917" i="1"/>
  <c r="L5917" i="1"/>
  <c r="K5917" i="1"/>
  <c r="J5909" i="1"/>
  <c r="L5909" i="1"/>
  <c r="K5909" i="1"/>
  <c r="J5901" i="1"/>
  <c r="L5901" i="1"/>
  <c r="K5901" i="1"/>
  <c r="J5893" i="1"/>
  <c r="L5893" i="1"/>
  <c r="K5893" i="1"/>
  <c r="J5885" i="1"/>
  <c r="L5885" i="1"/>
  <c r="K5885" i="1"/>
  <c r="J5877" i="1"/>
  <c r="L5877" i="1"/>
  <c r="K5877" i="1"/>
  <c r="J5869" i="1"/>
  <c r="L5869" i="1"/>
  <c r="K5869" i="1"/>
  <c r="J5861" i="1"/>
  <c r="L5861" i="1"/>
  <c r="K5861" i="1"/>
  <c r="J5853" i="1"/>
  <c r="L5853" i="1"/>
  <c r="K5853" i="1"/>
  <c r="J5845" i="1"/>
  <c r="L5845" i="1"/>
  <c r="K5845" i="1"/>
  <c r="J5837" i="1"/>
  <c r="L5837" i="1"/>
  <c r="K5837" i="1"/>
  <c r="J5829" i="1"/>
  <c r="L5829" i="1"/>
  <c r="K5829" i="1"/>
  <c r="J5821" i="1"/>
  <c r="L5821" i="1"/>
  <c r="K5821" i="1"/>
  <c r="J5813" i="1"/>
  <c r="L5813" i="1"/>
  <c r="K5813" i="1"/>
  <c r="J5805" i="1"/>
  <c r="L5805" i="1"/>
  <c r="K5805" i="1"/>
  <c r="J5797" i="1"/>
  <c r="L5797" i="1"/>
  <c r="K5797" i="1"/>
  <c r="J5789" i="1"/>
  <c r="L5789" i="1"/>
  <c r="K5789" i="1"/>
  <c r="J5781" i="1"/>
  <c r="L5781" i="1"/>
  <c r="K5781" i="1"/>
  <c r="J5773" i="1"/>
  <c r="L5773" i="1"/>
  <c r="K5773" i="1"/>
  <c r="J5765" i="1"/>
  <c r="L5765" i="1"/>
  <c r="K5765" i="1"/>
  <c r="J5757" i="1"/>
  <c r="L5757" i="1"/>
  <c r="K5757" i="1"/>
  <c r="J5749" i="1"/>
  <c r="L5749" i="1"/>
  <c r="K5749" i="1"/>
  <c r="J5741" i="1"/>
  <c r="L5741" i="1"/>
  <c r="K5741" i="1"/>
  <c r="J5733" i="1"/>
  <c r="L5733" i="1"/>
  <c r="K5733" i="1"/>
  <c r="J5725" i="1"/>
  <c r="L5725" i="1"/>
  <c r="K5725" i="1"/>
  <c r="J5717" i="1"/>
  <c r="L5717" i="1"/>
  <c r="K5717" i="1"/>
  <c r="J5709" i="1"/>
  <c r="L5709" i="1"/>
  <c r="K5709" i="1"/>
  <c r="J5701" i="1"/>
  <c r="L5701" i="1"/>
  <c r="K5701" i="1"/>
  <c r="J5693" i="1"/>
  <c r="L5693" i="1"/>
  <c r="K5693" i="1"/>
  <c r="J5685" i="1"/>
  <c r="K5685" i="1"/>
  <c r="L5685" i="1"/>
  <c r="J5677" i="1"/>
  <c r="L5677" i="1"/>
  <c r="K5677" i="1"/>
  <c r="J5669" i="1"/>
  <c r="L5669" i="1"/>
  <c r="K5669" i="1"/>
  <c r="J5661" i="1"/>
  <c r="L5661" i="1"/>
  <c r="K5661" i="1"/>
  <c r="J5653" i="1"/>
  <c r="L5653" i="1"/>
  <c r="K5653" i="1"/>
  <c r="J5645" i="1"/>
  <c r="L5645" i="1"/>
  <c r="K5645" i="1"/>
  <c r="J5637" i="1"/>
  <c r="L5637" i="1"/>
  <c r="K5637" i="1"/>
  <c r="J5629" i="1"/>
  <c r="L5629" i="1"/>
  <c r="K5629" i="1"/>
  <c r="J5621" i="1"/>
  <c r="L5621" i="1"/>
  <c r="K5621" i="1"/>
  <c r="J5613" i="1"/>
  <c r="L5613" i="1"/>
  <c r="K5613" i="1"/>
  <c r="J5605" i="1"/>
  <c r="L5605" i="1"/>
  <c r="K5605" i="1"/>
  <c r="J5597" i="1"/>
  <c r="L5597" i="1"/>
  <c r="K5597" i="1"/>
  <c r="J5589" i="1"/>
  <c r="L5589" i="1"/>
  <c r="K5589" i="1"/>
  <c r="J5581" i="1"/>
  <c r="L5581" i="1"/>
  <c r="K5581" i="1"/>
  <c r="J5573" i="1"/>
  <c r="L5573" i="1"/>
  <c r="K5573" i="1"/>
  <c r="J5565" i="1"/>
  <c r="L5565" i="1"/>
  <c r="K5565" i="1"/>
  <c r="J5557" i="1"/>
  <c r="L5557" i="1"/>
  <c r="K5557" i="1"/>
  <c r="J5549" i="1"/>
  <c r="L5549" i="1"/>
  <c r="K5549" i="1"/>
  <c r="J5541" i="1"/>
  <c r="L5541" i="1"/>
  <c r="K5541" i="1"/>
  <c r="J5533" i="1"/>
  <c r="L5533" i="1"/>
  <c r="K5533" i="1"/>
  <c r="J5525" i="1"/>
  <c r="L5525" i="1"/>
  <c r="K5525" i="1"/>
  <c r="J5517" i="1"/>
  <c r="L5517" i="1"/>
  <c r="K5517" i="1"/>
  <c r="J5509" i="1"/>
  <c r="L5509" i="1"/>
  <c r="K5509" i="1"/>
  <c r="J5501" i="1"/>
  <c r="L5501" i="1"/>
  <c r="K5501" i="1"/>
  <c r="J5493" i="1"/>
  <c r="K5493" i="1"/>
  <c r="J5485" i="1"/>
  <c r="L5485" i="1"/>
  <c r="K5485" i="1"/>
  <c r="J5477" i="1"/>
  <c r="L5477" i="1"/>
  <c r="K5477" i="1"/>
  <c r="J5469" i="1"/>
  <c r="L5469" i="1"/>
  <c r="K5469" i="1"/>
  <c r="J5461" i="1"/>
  <c r="L5461" i="1"/>
  <c r="K5461" i="1"/>
  <c r="J5453" i="1"/>
  <c r="L5453" i="1"/>
  <c r="K5453" i="1"/>
  <c r="J5445" i="1"/>
  <c r="L5445" i="1"/>
  <c r="K5445" i="1"/>
  <c r="J5437" i="1"/>
  <c r="L5437" i="1"/>
  <c r="K5437" i="1"/>
  <c r="J5429" i="1"/>
  <c r="L5429" i="1"/>
  <c r="K5429" i="1"/>
  <c r="J5421" i="1"/>
  <c r="L5421" i="1"/>
  <c r="K5421" i="1"/>
  <c r="J5413" i="1"/>
  <c r="L5413" i="1"/>
  <c r="K5413" i="1"/>
  <c r="J5405" i="1"/>
  <c r="L5405" i="1"/>
  <c r="K5405" i="1"/>
  <c r="J5397" i="1"/>
  <c r="L5397" i="1"/>
  <c r="K5397" i="1"/>
  <c r="J5389" i="1"/>
  <c r="L5389" i="1"/>
  <c r="K5389" i="1"/>
  <c r="J5381" i="1"/>
  <c r="L5381" i="1"/>
  <c r="K5381" i="1"/>
  <c r="J5373" i="1"/>
  <c r="L5373" i="1"/>
  <c r="K5373" i="1"/>
  <c r="J5365" i="1"/>
  <c r="L5365" i="1"/>
  <c r="K5365" i="1"/>
  <c r="J5357" i="1"/>
  <c r="L5357" i="1"/>
  <c r="K5357" i="1"/>
  <c r="J5349" i="1"/>
  <c r="L5349" i="1"/>
  <c r="K5349" i="1"/>
  <c r="J5341" i="1"/>
  <c r="L5341" i="1"/>
  <c r="K5341" i="1"/>
  <c r="J5333" i="1"/>
  <c r="L5333" i="1"/>
  <c r="K5333" i="1"/>
  <c r="J5325" i="1"/>
  <c r="L5325" i="1"/>
  <c r="K5325" i="1"/>
  <c r="J5317" i="1"/>
  <c r="L5317" i="1"/>
  <c r="K5317" i="1"/>
  <c r="J5309" i="1"/>
  <c r="L5309" i="1"/>
  <c r="K5309" i="1"/>
  <c r="J5301" i="1"/>
  <c r="L5301" i="1"/>
  <c r="K5301" i="1"/>
  <c r="J5293" i="1"/>
  <c r="L5293" i="1"/>
  <c r="K5293" i="1"/>
  <c r="J5285" i="1"/>
  <c r="L5285" i="1"/>
  <c r="K5285" i="1"/>
  <c r="J5277" i="1"/>
  <c r="L5277" i="1"/>
  <c r="K5277" i="1"/>
  <c r="J5269" i="1"/>
  <c r="L5269" i="1"/>
  <c r="K5269" i="1"/>
  <c r="J5261" i="1"/>
  <c r="L5261" i="1"/>
  <c r="K5261" i="1"/>
  <c r="J5253" i="1"/>
  <c r="L5253" i="1"/>
  <c r="K5253" i="1"/>
  <c r="J5245" i="1"/>
  <c r="L5245" i="1"/>
  <c r="K5245" i="1"/>
  <c r="J5237" i="1"/>
  <c r="L5237" i="1"/>
  <c r="K5237" i="1"/>
  <c r="J5229" i="1"/>
  <c r="L5229" i="1"/>
  <c r="K5229" i="1"/>
  <c r="J5221" i="1"/>
  <c r="L5221" i="1"/>
  <c r="K5221" i="1"/>
  <c r="J5213" i="1"/>
  <c r="L5213" i="1"/>
  <c r="K5213" i="1"/>
  <c r="J5205" i="1"/>
  <c r="L5205" i="1"/>
  <c r="K5205" i="1"/>
  <c r="J5197" i="1"/>
  <c r="L5197" i="1"/>
  <c r="K5197" i="1"/>
  <c r="J5189" i="1"/>
  <c r="L5189" i="1"/>
  <c r="K5189" i="1"/>
  <c r="J5181" i="1"/>
  <c r="L5181" i="1"/>
  <c r="K5181" i="1"/>
  <c r="J5173" i="1"/>
  <c r="K5173" i="1"/>
  <c r="L5173" i="1"/>
  <c r="J5165" i="1"/>
  <c r="L5165" i="1"/>
  <c r="K5165" i="1"/>
  <c r="J5157" i="1"/>
  <c r="L5157" i="1"/>
  <c r="K5157" i="1"/>
  <c r="J5149" i="1"/>
  <c r="L5149" i="1"/>
  <c r="K5149" i="1"/>
  <c r="J5141" i="1"/>
  <c r="L5141" i="1"/>
  <c r="K5141" i="1"/>
  <c r="J5133" i="1"/>
  <c r="L5133" i="1"/>
  <c r="K5133" i="1"/>
  <c r="J5125" i="1"/>
  <c r="L5125" i="1"/>
  <c r="K5125" i="1"/>
  <c r="J5117" i="1"/>
  <c r="L5117" i="1"/>
  <c r="K5117" i="1"/>
  <c r="J5109" i="1"/>
  <c r="L5109" i="1"/>
  <c r="K5109" i="1"/>
  <c r="J5101" i="1"/>
  <c r="L5101" i="1"/>
  <c r="K5101" i="1"/>
  <c r="J5093" i="1"/>
  <c r="L5093" i="1"/>
  <c r="K5093" i="1"/>
  <c r="J5085" i="1"/>
  <c r="L5085" i="1"/>
  <c r="K5085" i="1"/>
  <c r="J5077" i="1"/>
  <c r="L5077" i="1"/>
  <c r="K5077" i="1"/>
  <c r="J5069" i="1"/>
  <c r="L5069" i="1"/>
  <c r="K5069" i="1"/>
  <c r="J5061" i="1"/>
  <c r="L5061" i="1"/>
  <c r="K5061" i="1"/>
  <c r="J5053" i="1"/>
  <c r="L5053" i="1"/>
  <c r="K5053" i="1"/>
  <c r="J5045" i="1"/>
  <c r="L5045" i="1"/>
  <c r="K5045" i="1"/>
  <c r="J5037" i="1"/>
  <c r="L5037" i="1"/>
  <c r="K5037" i="1"/>
  <c r="J5029" i="1"/>
  <c r="L5029" i="1"/>
  <c r="K5029" i="1"/>
  <c r="J5021" i="1"/>
  <c r="L5021" i="1"/>
  <c r="K5021" i="1"/>
  <c r="J5013" i="1"/>
  <c r="L5013" i="1"/>
  <c r="K5013" i="1"/>
  <c r="J5005" i="1"/>
  <c r="L5005" i="1"/>
  <c r="K5005" i="1"/>
  <c r="J4997" i="1"/>
  <c r="L4997" i="1"/>
  <c r="K4997" i="1"/>
  <c r="J4989" i="1"/>
  <c r="L4989" i="1"/>
  <c r="K4989" i="1"/>
  <c r="J4981" i="1"/>
  <c r="L4981" i="1"/>
  <c r="K4981" i="1"/>
  <c r="J4973" i="1"/>
  <c r="L4973" i="1"/>
  <c r="K4973" i="1"/>
  <c r="J4965" i="1"/>
  <c r="L4965" i="1"/>
  <c r="K4965" i="1"/>
  <c r="J4957" i="1"/>
  <c r="L4957" i="1"/>
  <c r="K4957" i="1"/>
  <c r="J4949" i="1"/>
  <c r="L4949" i="1"/>
  <c r="K4949" i="1"/>
  <c r="J4941" i="1"/>
  <c r="L4941" i="1"/>
  <c r="K4941" i="1"/>
  <c r="J4933" i="1"/>
  <c r="L4933" i="1"/>
  <c r="K4933" i="1"/>
  <c r="J4925" i="1"/>
  <c r="L4925" i="1"/>
  <c r="K4925" i="1"/>
  <c r="J4917" i="1"/>
  <c r="L4917" i="1"/>
  <c r="K4917" i="1"/>
  <c r="J4909" i="1"/>
  <c r="L4909" i="1"/>
  <c r="K4909" i="1"/>
  <c r="J4901" i="1"/>
  <c r="L4901" i="1"/>
  <c r="K4901" i="1"/>
  <c r="J4893" i="1"/>
  <c r="L4893" i="1"/>
  <c r="K4893" i="1"/>
  <c r="J4885" i="1"/>
  <c r="L4885" i="1"/>
  <c r="K4885" i="1"/>
  <c r="J4877" i="1"/>
  <c r="L4877" i="1"/>
  <c r="K4877" i="1"/>
  <c r="J4869" i="1"/>
  <c r="L4869" i="1"/>
  <c r="K4869" i="1"/>
  <c r="J4861" i="1"/>
  <c r="L4861" i="1"/>
  <c r="K4861" i="1"/>
  <c r="J4853" i="1"/>
  <c r="L4853" i="1"/>
  <c r="K4853" i="1"/>
  <c r="J4845" i="1"/>
  <c r="L4845" i="1"/>
  <c r="K4845" i="1"/>
  <c r="J4837" i="1"/>
  <c r="L4837" i="1"/>
  <c r="K4837" i="1"/>
  <c r="J4829" i="1"/>
  <c r="L4829" i="1"/>
  <c r="K4829" i="1"/>
  <c r="J4821" i="1"/>
  <c r="L4821" i="1"/>
  <c r="K4821" i="1"/>
  <c r="J4813" i="1"/>
  <c r="L4813" i="1"/>
  <c r="K4813" i="1"/>
  <c r="J4805" i="1"/>
  <c r="L4805" i="1"/>
  <c r="K4805" i="1"/>
  <c r="J4797" i="1"/>
  <c r="L4797" i="1"/>
  <c r="K4797" i="1"/>
  <c r="J4789" i="1"/>
  <c r="L4789" i="1"/>
  <c r="K4789" i="1"/>
  <c r="J4781" i="1"/>
  <c r="L4781" i="1"/>
  <c r="K4781" i="1"/>
  <c r="J4773" i="1"/>
  <c r="L4773" i="1"/>
  <c r="K4773" i="1"/>
  <c r="J4765" i="1"/>
  <c r="L4765" i="1"/>
  <c r="K4765" i="1"/>
  <c r="J4757" i="1"/>
  <c r="L4757" i="1"/>
  <c r="K4757" i="1"/>
  <c r="J4749" i="1"/>
  <c r="L4749" i="1"/>
  <c r="K4749" i="1"/>
  <c r="J4741" i="1"/>
  <c r="L4741" i="1"/>
  <c r="K4741" i="1"/>
  <c r="J4733" i="1"/>
  <c r="L4733" i="1"/>
  <c r="K4733" i="1"/>
  <c r="J4725" i="1"/>
  <c r="L4725" i="1"/>
  <c r="K4725" i="1"/>
  <c r="J4717" i="1"/>
  <c r="L4717" i="1"/>
  <c r="K4717" i="1"/>
  <c r="J4709" i="1"/>
  <c r="L4709" i="1"/>
  <c r="K4709" i="1"/>
  <c r="J4701" i="1"/>
  <c r="L4701" i="1"/>
  <c r="K4701" i="1"/>
  <c r="J4693" i="1"/>
  <c r="L4693" i="1"/>
  <c r="K4693" i="1"/>
  <c r="J4685" i="1"/>
  <c r="L4685" i="1"/>
  <c r="K4685" i="1"/>
  <c r="J4677" i="1"/>
  <c r="L4677" i="1"/>
  <c r="K4677" i="1"/>
  <c r="J4669" i="1"/>
  <c r="L4669" i="1"/>
  <c r="K4669" i="1"/>
  <c r="J4661" i="1"/>
  <c r="L4661" i="1"/>
  <c r="K4661" i="1"/>
  <c r="J4653" i="1"/>
  <c r="L4653" i="1"/>
  <c r="K4653" i="1"/>
  <c r="J4645" i="1"/>
  <c r="K4645" i="1"/>
  <c r="L4645" i="1"/>
  <c r="J4637" i="1"/>
  <c r="L4637" i="1"/>
  <c r="K4637" i="1"/>
  <c r="J4629" i="1"/>
  <c r="L4629" i="1"/>
  <c r="K4629" i="1"/>
  <c r="J4621" i="1"/>
  <c r="L4621" i="1"/>
  <c r="K4621" i="1"/>
  <c r="J4613" i="1"/>
  <c r="K4613" i="1"/>
  <c r="L4613" i="1"/>
  <c r="J4605" i="1"/>
  <c r="L4605" i="1"/>
  <c r="K4605" i="1"/>
  <c r="J4597" i="1"/>
  <c r="L4597" i="1"/>
  <c r="K4597" i="1"/>
  <c r="J4589" i="1"/>
  <c r="L4589" i="1"/>
  <c r="K4589" i="1"/>
  <c r="J4581" i="1"/>
  <c r="L4581" i="1"/>
  <c r="K4581" i="1"/>
  <c r="J4573" i="1"/>
  <c r="L4573" i="1"/>
  <c r="K4573" i="1"/>
  <c r="J4565" i="1"/>
  <c r="L4565" i="1"/>
  <c r="K4565" i="1"/>
  <c r="J4557" i="1"/>
  <c r="L4557" i="1"/>
  <c r="K4557" i="1"/>
  <c r="J4549" i="1"/>
  <c r="L4549" i="1"/>
  <c r="K4549" i="1"/>
  <c r="J4541" i="1"/>
  <c r="L4541" i="1"/>
  <c r="K4541" i="1"/>
  <c r="J4533" i="1"/>
  <c r="L4533" i="1"/>
  <c r="K4533" i="1"/>
  <c r="J4525" i="1"/>
  <c r="L4525" i="1"/>
  <c r="K4525" i="1"/>
  <c r="J4517" i="1"/>
  <c r="L4517" i="1"/>
  <c r="K4517" i="1"/>
  <c r="J4509" i="1"/>
  <c r="L4509" i="1"/>
  <c r="K4509" i="1"/>
  <c r="J4501" i="1"/>
  <c r="L4501" i="1"/>
  <c r="K4501" i="1"/>
  <c r="J4493" i="1"/>
  <c r="L4493" i="1"/>
  <c r="K4493" i="1"/>
  <c r="J4485" i="1"/>
  <c r="L4485" i="1"/>
  <c r="K4485" i="1"/>
  <c r="J4477" i="1"/>
  <c r="L4477" i="1"/>
  <c r="K4477" i="1"/>
  <c r="J4469" i="1"/>
  <c r="L4469" i="1"/>
  <c r="K4469" i="1"/>
  <c r="J4461" i="1"/>
  <c r="L4461" i="1"/>
  <c r="K4461" i="1"/>
  <c r="L4453" i="1"/>
  <c r="K4453" i="1"/>
  <c r="J4453" i="1"/>
  <c r="J4445" i="1"/>
  <c r="L4445" i="1"/>
  <c r="K4445" i="1"/>
  <c r="J4437" i="1"/>
  <c r="L4437" i="1"/>
  <c r="K4437" i="1"/>
  <c r="J4429" i="1"/>
  <c r="L4429" i="1"/>
  <c r="K4429" i="1"/>
  <c r="J4421" i="1"/>
  <c r="L4421" i="1"/>
  <c r="K4421" i="1"/>
  <c r="J4413" i="1"/>
  <c r="L4413" i="1"/>
  <c r="K4413" i="1"/>
  <c r="J4405" i="1"/>
  <c r="L4405" i="1"/>
  <c r="K4405" i="1"/>
  <c r="J4397" i="1"/>
  <c r="L4397" i="1"/>
  <c r="K4397" i="1"/>
  <c r="J4389" i="1"/>
  <c r="L4389" i="1"/>
  <c r="K4389" i="1"/>
  <c r="J4381" i="1"/>
  <c r="L4381" i="1"/>
  <c r="K4381" i="1"/>
  <c r="J4373" i="1"/>
  <c r="L4373" i="1"/>
  <c r="K4373" i="1"/>
  <c r="J4365" i="1"/>
  <c r="L4365" i="1"/>
  <c r="K4365" i="1"/>
  <c r="J4357" i="1"/>
  <c r="L4357" i="1"/>
  <c r="K4357" i="1"/>
  <c r="J4349" i="1"/>
  <c r="L4349" i="1"/>
  <c r="K4349" i="1"/>
  <c r="J4341" i="1"/>
  <c r="L4341" i="1"/>
  <c r="K4341" i="1"/>
  <c r="J4333" i="1"/>
  <c r="L4333" i="1"/>
  <c r="K4333" i="1"/>
  <c r="J4325" i="1"/>
  <c r="L4325" i="1"/>
  <c r="K4325" i="1"/>
  <c r="J4317" i="1"/>
  <c r="L4317" i="1"/>
  <c r="K4317" i="1"/>
  <c r="J4309" i="1"/>
  <c r="L4309" i="1"/>
  <c r="K4309" i="1"/>
  <c r="J4301" i="1"/>
  <c r="L4301" i="1"/>
  <c r="K4301" i="1"/>
  <c r="J4293" i="1"/>
  <c r="L4293" i="1"/>
  <c r="K4293" i="1"/>
  <c r="L4285" i="1"/>
  <c r="K4285" i="1"/>
  <c r="J4277" i="1"/>
  <c r="L4277" i="1"/>
  <c r="K4277" i="1"/>
  <c r="J4269" i="1"/>
  <c r="L4269" i="1"/>
  <c r="K4269" i="1"/>
  <c r="J4261" i="1"/>
  <c r="L4261" i="1"/>
  <c r="K4261" i="1"/>
  <c r="J4253" i="1"/>
  <c r="L4253" i="1"/>
  <c r="K4253" i="1"/>
  <c r="J4245" i="1"/>
  <c r="L4245" i="1"/>
  <c r="K4245" i="1"/>
  <c r="J4237" i="1"/>
  <c r="L4237" i="1"/>
  <c r="K4237" i="1"/>
  <c r="J4229" i="1"/>
  <c r="L4229" i="1"/>
  <c r="K4229" i="1"/>
  <c r="J4221" i="1"/>
  <c r="L4221" i="1"/>
  <c r="K4221" i="1"/>
  <c r="J4213" i="1"/>
  <c r="L4213" i="1"/>
  <c r="K4213" i="1"/>
  <c r="J4205" i="1"/>
  <c r="L4205" i="1"/>
  <c r="K4205" i="1"/>
  <c r="L4197" i="1"/>
  <c r="K4197" i="1"/>
  <c r="J4197" i="1"/>
  <c r="J4189" i="1"/>
  <c r="L4189" i="1"/>
  <c r="K4189" i="1"/>
  <c r="J4181" i="1"/>
  <c r="L4181" i="1"/>
  <c r="K4181" i="1"/>
  <c r="J4173" i="1"/>
  <c r="L4173" i="1"/>
  <c r="K4173" i="1"/>
  <c r="J4165" i="1"/>
  <c r="L4165" i="1"/>
  <c r="K4165" i="1"/>
  <c r="J4157" i="1"/>
  <c r="L4157" i="1"/>
  <c r="K4157" i="1"/>
  <c r="J4149" i="1"/>
  <c r="L4149" i="1"/>
  <c r="K4149" i="1"/>
  <c r="J4141" i="1"/>
  <c r="L4141" i="1"/>
  <c r="K4141" i="1"/>
  <c r="J4133" i="1"/>
  <c r="L4133" i="1"/>
  <c r="K4133" i="1"/>
  <c r="J4125" i="1"/>
  <c r="L4125" i="1"/>
  <c r="K4125" i="1"/>
  <c r="J4117" i="1"/>
  <c r="L4117" i="1"/>
  <c r="K4117" i="1"/>
  <c r="J4109" i="1"/>
  <c r="L4109" i="1"/>
  <c r="K4109" i="1"/>
  <c r="L4101" i="1"/>
  <c r="K4101" i="1"/>
  <c r="J4101" i="1"/>
  <c r="J4093" i="1"/>
  <c r="L4093" i="1"/>
  <c r="K4093" i="1"/>
  <c r="J4085" i="1"/>
  <c r="L4085" i="1"/>
  <c r="K4085" i="1"/>
  <c r="J4077" i="1"/>
  <c r="L4077" i="1"/>
  <c r="K4077" i="1"/>
  <c r="J4069" i="1"/>
  <c r="L4069" i="1"/>
  <c r="K4069" i="1"/>
  <c r="J4061" i="1"/>
  <c r="L4061" i="1"/>
  <c r="K4061" i="1"/>
  <c r="J4053" i="1"/>
  <c r="L4053" i="1"/>
  <c r="K4053" i="1"/>
  <c r="J4045" i="1"/>
  <c r="L4045" i="1"/>
  <c r="K4045" i="1"/>
  <c r="J4037" i="1"/>
  <c r="L4037" i="1"/>
  <c r="K4037" i="1"/>
  <c r="J4029" i="1"/>
  <c r="L4029" i="1"/>
  <c r="K4029" i="1"/>
  <c r="J4021" i="1"/>
  <c r="L4021" i="1"/>
  <c r="K4021" i="1"/>
  <c r="J4013" i="1"/>
  <c r="L4013" i="1"/>
  <c r="K4013" i="1"/>
  <c r="J4005" i="1"/>
  <c r="L4005" i="1"/>
  <c r="K4005" i="1"/>
  <c r="J3997" i="1"/>
  <c r="L3997" i="1"/>
  <c r="K3997" i="1"/>
  <c r="J3989" i="1"/>
  <c r="L3989" i="1"/>
  <c r="K3989" i="1"/>
  <c r="J3981" i="1"/>
  <c r="L3981" i="1"/>
  <c r="K3981" i="1"/>
  <c r="L3973" i="1"/>
  <c r="K3973" i="1"/>
  <c r="J3965" i="1"/>
  <c r="L3965" i="1"/>
  <c r="K3965" i="1"/>
  <c r="J3957" i="1"/>
  <c r="L3957" i="1"/>
  <c r="K3957" i="1"/>
  <c r="J3949" i="1"/>
  <c r="L3949" i="1"/>
  <c r="K3949" i="1"/>
  <c r="J3941" i="1"/>
  <c r="L3941" i="1"/>
  <c r="K3941" i="1"/>
  <c r="J3933" i="1"/>
  <c r="L3933" i="1"/>
  <c r="K3933" i="1"/>
  <c r="J3925" i="1"/>
  <c r="L3925" i="1"/>
  <c r="K3925" i="1"/>
  <c r="J3917" i="1"/>
  <c r="L3917" i="1"/>
  <c r="K3917" i="1"/>
  <c r="J3909" i="1"/>
  <c r="L3909" i="1"/>
  <c r="K3909" i="1"/>
  <c r="J3901" i="1"/>
  <c r="L3901" i="1"/>
  <c r="K3901" i="1"/>
  <c r="J3893" i="1"/>
  <c r="L3893" i="1"/>
  <c r="K3893" i="1"/>
  <c r="J3885" i="1"/>
  <c r="L3885" i="1"/>
  <c r="K3885" i="1"/>
  <c r="J3877" i="1"/>
  <c r="L3877" i="1"/>
  <c r="K3877" i="1"/>
  <c r="J3869" i="1"/>
  <c r="L3869" i="1"/>
  <c r="K3869" i="1"/>
  <c r="J3861" i="1"/>
  <c r="L3861" i="1"/>
  <c r="K3861" i="1"/>
  <c r="J3853" i="1"/>
  <c r="L3853" i="1"/>
  <c r="K3853" i="1"/>
  <c r="L3845" i="1"/>
  <c r="K3845" i="1"/>
  <c r="J3837" i="1"/>
  <c r="L3837" i="1"/>
  <c r="K3837" i="1"/>
  <c r="J3829" i="1"/>
  <c r="L3829" i="1"/>
  <c r="K3829" i="1"/>
  <c r="J3821" i="1"/>
  <c r="L3821" i="1"/>
  <c r="K3821" i="1"/>
  <c r="J3813" i="1"/>
  <c r="L3813" i="1"/>
  <c r="K3813" i="1"/>
  <c r="J3805" i="1"/>
  <c r="L3805" i="1"/>
  <c r="K3805" i="1"/>
  <c r="J3797" i="1"/>
  <c r="L3797" i="1"/>
  <c r="K3797" i="1"/>
  <c r="J3789" i="1"/>
  <c r="L3789" i="1"/>
  <c r="K3789" i="1"/>
  <c r="J3781" i="1"/>
  <c r="L3781" i="1"/>
  <c r="K3781" i="1"/>
  <c r="J3773" i="1"/>
  <c r="L3773" i="1"/>
  <c r="K3773" i="1"/>
  <c r="J3765" i="1"/>
  <c r="L3765" i="1"/>
  <c r="K3765" i="1"/>
  <c r="J3757" i="1"/>
  <c r="L3757" i="1"/>
  <c r="K3757" i="1"/>
  <c r="J3749" i="1"/>
  <c r="L3749" i="1"/>
  <c r="K3749" i="1"/>
  <c r="J3741" i="1"/>
  <c r="L3741" i="1"/>
  <c r="K3741" i="1"/>
  <c r="J3733" i="1"/>
  <c r="L3733" i="1"/>
  <c r="K3733" i="1"/>
  <c r="J3725" i="1"/>
  <c r="L3725" i="1"/>
  <c r="K3725" i="1"/>
  <c r="L3717" i="1"/>
  <c r="K3717" i="1"/>
  <c r="J3717" i="1"/>
  <c r="J3709" i="1"/>
  <c r="L3709" i="1"/>
  <c r="K3709" i="1"/>
  <c r="J3701" i="1"/>
  <c r="L3701" i="1"/>
  <c r="K3701" i="1"/>
  <c r="J3693" i="1"/>
  <c r="L3693" i="1"/>
  <c r="K3693" i="1"/>
  <c r="J3685" i="1"/>
  <c r="L3685" i="1"/>
  <c r="K3685" i="1"/>
  <c r="J3677" i="1"/>
  <c r="L3677" i="1"/>
  <c r="K3677" i="1"/>
  <c r="J3669" i="1"/>
  <c r="L3669" i="1"/>
  <c r="K3669" i="1"/>
  <c r="J3661" i="1"/>
  <c r="L3661" i="1"/>
  <c r="K3661" i="1"/>
  <c r="J3653" i="1"/>
  <c r="L3653" i="1"/>
  <c r="K3653" i="1"/>
  <c r="J3645" i="1"/>
  <c r="K3645" i="1"/>
  <c r="L3645" i="1"/>
  <c r="J3637" i="1"/>
  <c r="L3637" i="1"/>
  <c r="K3637" i="1"/>
  <c r="J3629" i="1"/>
  <c r="L3629" i="1"/>
  <c r="K3629" i="1"/>
  <c r="J3621" i="1"/>
  <c r="L3621" i="1"/>
  <c r="K3621" i="1"/>
  <c r="J3613" i="1"/>
  <c r="L3613" i="1"/>
  <c r="K3613" i="1"/>
  <c r="J3605" i="1"/>
  <c r="L3605" i="1"/>
  <c r="K3605" i="1"/>
  <c r="J3597" i="1"/>
  <c r="L3597" i="1"/>
  <c r="K3597" i="1"/>
  <c r="L3589" i="1"/>
  <c r="K3589" i="1"/>
  <c r="J3589" i="1"/>
  <c r="J3581" i="1"/>
  <c r="L3581" i="1"/>
  <c r="K3581" i="1"/>
  <c r="J3573" i="1"/>
  <c r="L3573" i="1"/>
  <c r="K3573" i="1"/>
  <c r="J3565" i="1"/>
  <c r="L3565" i="1"/>
  <c r="K3565" i="1"/>
  <c r="J3557" i="1"/>
  <c r="L3557" i="1"/>
  <c r="K3557" i="1"/>
  <c r="J3549" i="1"/>
  <c r="L3549" i="1"/>
  <c r="K3549" i="1"/>
  <c r="J3541" i="1"/>
  <c r="L3541" i="1"/>
  <c r="K3541" i="1"/>
  <c r="J3533" i="1"/>
  <c r="L3533" i="1"/>
  <c r="K3533" i="1"/>
  <c r="J3525" i="1"/>
  <c r="L3525" i="1"/>
  <c r="K3525" i="1"/>
  <c r="J3517" i="1"/>
  <c r="L3517" i="1"/>
  <c r="K3517" i="1"/>
  <c r="J3509" i="1"/>
  <c r="L3509" i="1"/>
  <c r="K3509" i="1"/>
  <c r="J3501" i="1"/>
  <c r="L3501" i="1"/>
  <c r="K3501" i="1"/>
  <c r="J3493" i="1"/>
  <c r="L3493" i="1"/>
  <c r="K3493" i="1"/>
  <c r="J3485" i="1"/>
  <c r="L3485" i="1"/>
  <c r="K3485" i="1"/>
  <c r="J3477" i="1"/>
  <c r="L3477" i="1"/>
  <c r="K3477" i="1"/>
  <c r="J3469" i="1"/>
  <c r="L3469" i="1"/>
  <c r="K3469" i="1"/>
  <c r="L3461" i="1"/>
  <c r="K3461" i="1"/>
  <c r="J3453" i="1"/>
  <c r="L3453" i="1"/>
  <c r="K3453" i="1"/>
  <c r="J3445" i="1"/>
  <c r="L3445" i="1"/>
  <c r="K3445" i="1"/>
  <c r="J3437" i="1"/>
  <c r="L3437" i="1"/>
  <c r="K3437" i="1"/>
  <c r="J3429" i="1"/>
  <c r="L3429" i="1"/>
  <c r="K3429" i="1"/>
  <c r="J3421" i="1"/>
  <c r="L3421" i="1"/>
  <c r="K3421" i="1"/>
  <c r="J3413" i="1"/>
  <c r="L3413" i="1"/>
  <c r="K3413" i="1"/>
  <c r="J3405" i="1"/>
  <c r="L3405" i="1"/>
  <c r="K3405" i="1"/>
  <c r="J3397" i="1"/>
  <c r="L3397" i="1"/>
  <c r="K3397" i="1"/>
  <c r="J3389" i="1"/>
  <c r="L3389" i="1"/>
  <c r="K3389" i="1"/>
  <c r="J3381" i="1"/>
  <c r="L3381" i="1"/>
  <c r="K3381" i="1"/>
  <c r="J3373" i="1"/>
  <c r="L3373" i="1"/>
  <c r="K3373" i="1"/>
  <c r="J3365" i="1"/>
  <c r="L3365" i="1"/>
  <c r="K3365" i="1"/>
  <c r="J3357" i="1"/>
  <c r="L3357" i="1"/>
  <c r="K3357" i="1"/>
  <c r="J3349" i="1"/>
  <c r="L3349" i="1"/>
  <c r="K3349" i="1"/>
  <c r="J3341" i="1"/>
  <c r="L3341" i="1"/>
  <c r="K3341" i="1"/>
  <c r="L3333" i="1"/>
  <c r="K3333" i="1"/>
  <c r="J3325" i="1"/>
  <c r="L3325" i="1"/>
  <c r="K3325" i="1"/>
  <c r="J3317" i="1"/>
  <c r="L3317" i="1"/>
  <c r="K3317" i="1"/>
  <c r="J3309" i="1"/>
  <c r="L3309" i="1"/>
  <c r="K3309" i="1"/>
  <c r="J3301" i="1"/>
  <c r="L3301" i="1"/>
  <c r="K3301" i="1"/>
  <c r="J3293" i="1"/>
  <c r="L3293" i="1"/>
  <c r="K3293" i="1"/>
  <c r="J3285" i="1"/>
  <c r="L3285" i="1"/>
  <c r="K3285" i="1"/>
  <c r="J3277" i="1"/>
  <c r="L3277" i="1"/>
  <c r="K3277" i="1"/>
  <c r="J3269" i="1"/>
  <c r="L3269" i="1"/>
  <c r="K3269" i="1"/>
  <c r="J3261" i="1"/>
  <c r="L3261" i="1"/>
  <c r="K3261" i="1"/>
  <c r="J3253" i="1"/>
  <c r="L3253" i="1"/>
  <c r="K3253" i="1"/>
  <c r="J3245" i="1"/>
  <c r="L3245" i="1"/>
  <c r="K3245" i="1"/>
  <c r="J3237" i="1"/>
  <c r="L3237" i="1"/>
  <c r="K3237" i="1"/>
  <c r="J3229" i="1"/>
  <c r="L3229" i="1"/>
  <c r="K3229" i="1"/>
  <c r="J3221" i="1"/>
  <c r="L3221" i="1"/>
  <c r="K3221" i="1"/>
  <c r="J3213" i="1"/>
  <c r="L3213" i="1"/>
  <c r="K3213" i="1"/>
  <c r="J3205" i="1"/>
  <c r="L3205" i="1"/>
  <c r="K3205" i="1"/>
  <c r="J3197" i="1"/>
  <c r="L3197" i="1"/>
  <c r="K3197" i="1"/>
  <c r="J3189" i="1"/>
  <c r="L3189" i="1"/>
  <c r="K3189" i="1"/>
  <c r="J3181" i="1"/>
  <c r="L3181" i="1"/>
  <c r="K3181" i="1"/>
  <c r="J3173" i="1"/>
  <c r="L3173" i="1"/>
  <c r="K3173" i="1"/>
  <c r="J3165" i="1"/>
  <c r="L3165" i="1"/>
  <c r="K3165" i="1"/>
  <c r="J3157" i="1"/>
  <c r="L3157" i="1"/>
  <c r="K3157" i="1"/>
  <c r="J3149" i="1"/>
  <c r="L3149" i="1"/>
  <c r="K3149" i="1"/>
  <c r="J3141" i="1"/>
  <c r="L3141" i="1"/>
  <c r="K3141" i="1"/>
  <c r="J3133" i="1"/>
  <c r="L3133" i="1"/>
  <c r="K3133" i="1"/>
  <c r="J3125" i="1"/>
  <c r="L3125" i="1"/>
  <c r="K3125" i="1"/>
  <c r="J3117" i="1"/>
  <c r="L3117" i="1"/>
  <c r="K3117" i="1"/>
  <c r="J3109" i="1"/>
  <c r="L3109" i="1"/>
  <c r="K3109" i="1"/>
  <c r="J3101" i="1"/>
  <c r="L3101" i="1"/>
  <c r="K3101" i="1"/>
  <c r="J3093" i="1"/>
  <c r="L3093" i="1"/>
  <c r="K3093" i="1"/>
  <c r="J3085" i="1"/>
  <c r="L3085" i="1"/>
  <c r="K3085" i="1"/>
  <c r="J3077" i="1"/>
  <c r="L3077" i="1"/>
  <c r="K3077" i="1"/>
  <c r="J3069" i="1"/>
  <c r="L3069" i="1"/>
  <c r="K3069" i="1"/>
  <c r="J3061" i="1"/>
  <c r="L3061" i="1"/>
  <c r="K3061" i="1"/>
  <c r="J3053" i="1"/>
  <c r="L3053" i="1"/>
  <c r="K3053" i="1"/>
  <c r="J3045" i="1"/>
  <c r="L3045" i="1"/>
  <c r="K3045" i="1"/>
  <c r="L3037" i="1"/>
  <c r="K3037" i="1"/>
  <c r="J3037" i="1"/>
  <c r="J3029" i="1"/>
  <c r="L3029" i="1"/>
  <c r="K3029" i="1"/>
  <c r="J3021" i="1"/>
  <c r="L3021" i="1"/>
  <c r="K3021" i="1"/>
  <c r="J3013" i="1"/>
  <c r="L3013" i="1"/>
  <c r="K3013" i="1"/>
  <c r="J3005" i="1"/>
  <c r="L3005" i="1"/>
  <c r="K3005" i="1"/>
  <c r="J2997" i="1"/>
  <c r="L2997" i="1"/>
  <c r="K2997" i="1"/>
  <c r="J2989" i="1"/>
  <c r="L2989" i="1"/>
  <c r="K2989" i="1"/>
  <c r="J2981" i="1"/>
  <c r="L2981" i="1"/>
  <c r="K2981" i="1"/>
  <c r="J2973" i="1"/>
  <c r="L2973" i="1"/>
  <c r="K2973" i="1"/>
  <c r="J2965" i="1"/>
  <c r="L2965" i="1"/>
  <c r="K2965" i="1"/>
  <c r="J2957" i="1"/>
  <c r="L2957" i="1"/>
  <c r="K2957" i="1"/>
  <c r="J2949" i="1"/>
  <c r="L2949" i="1"/>
  <c r="K2949" i="1"/>
  <c r="J2941" i="1"/>
  <c r="L2941" i="1"/>
  <c r="K2941" i="1"/>
  <c r="J2933" i="1"/>
  <c r="L2933" i="1"/>
  <c r="K2933" i="1"/>
  <c r="J2925" i="1"/>
  <c r="L2925" i="1"/>
  <c r="K2925" i="1"/>
  <c r="J2917" i="1"/>
  <c r="L2917" i="1"/>
  <c r="K2917" i="1"/>
  <c r="J2909" i="1"/>
  <c r="L2909" i="1"/>
  <c r="K2909" i="1"/>
  <c r="J2901" i="1"/>
  <c r="L2901" i="1"/>
  <c r="K2901" i="1"/>
  <c r="J2893" i="1"/>
  <c r="L2893" i="1"/>
  <c r="K2893" i="1"/>
  <c r="J2885" i="1"/>
  <c r="L2885" i="1"/>
  <c r="K2885" i="1"/>
  <c r="J2877" i="1"/>
  <c r="L2877" i="1"/>
  <c r="K2877" i="1"/>
  <c r="J2869" i="1"/>
  <c r="L2869" i="1"/>
  <c r="K2869" i="1"/>
  <c r="J2861" i="1"/>
  <c r="L2861" i="1"/>
  <c r="K2861" i="1"/>
  <c r="J2853" i="1"/>
  <c r="L2853" i="1"/>
  <c r="K2853" i="1"/>
  <c r="J2845" i="1"/>
  <c r="L2845" i="1"/>
  <c r="K2845" i="1"/>
  <c r="J2837" i="1"/>
  <c r="L2837" i="1"/>
  <c r="K2837" i="1"/>
  <c r="J2829" i="1"/>
  <c r="L2829" i="1"/>
  <c r="K2829" i="1"/>
  <c r="J2821" i="1"/>
  <c r="L2821" i="1"/>
  <c r="K2821" i="1"/>
  <c r="J2813" i="1"/>
  <c r="L2813" i="1"/>
  <c r="K2813" i="1"/>
  <c r="J2805" i="1"/>
  <c r="L2805" i="1"/>
  <c r="K2805" i="1"/>
  <c r="J2797" i="1"/>
  <c r="L2797" i="1"/>
  <c r="K2797" i="1"/>
  <c r="J2789" i="1"/>
  <c r="L2789" i="1"/>
  <c r="K2789" i="1"/>
  <c r="J2781" i="1"/>
  <c r="L2781" i="1"/>
  <c r="K2781" i="1"/>
  <c r="J2773" i="1"/>
  <c r="L2773" i="1"/>
  <c r="K2773" i="1"/>
  <c r="J2765" i="1"/>
  <c r="L2765" i="1"/>
  <c r="K2765" i="1"/>
  <c r="J2757" i="1"/>
  <c r="L2757" i="1"/>
  <c r="K2757" i="1"/>
  <c r="J2749" i="1"/>
  <c r="L2749" i="1"/>
  <c r="K2749" i="1"/>
  <c r="J2741" i="1"/>
  <c r="L2741" i="1"/>
  <c r="K2741" i="1"/>
  <c r="J2733" i="1"/>
  <c r="L2733" i="1"/>
  <c r="K2733" i="1"/>
  <c r="J2725" i="1"/>
  <c r="L2725" i="1"/>
  <c r="K2725" i="1"/>
  <c r="J2717" i="1"/>
  <c r="L2717" i="1"/>
  <c r="K2717" i="1"/>
  <c r="J2709" i="1"/>
  <c r="L2709" i="1"/>
  <c r="K2709" i="1"/>
  <c r="J2701" i="1"/>
  <c r="L2701" i="1"/>
  <c r="K2701" i="1"/>
  <c r="J2693" i="1"/>
  <c r="L2693" i="1"/>
  <c r="K2693" i="1"/>
  <c r="J2685" i="1"/>
  <c r="L2685" i="1"/>
  <c r="K2685" i="1"/>
  <c r="J2677" i="1"/>
  <c r="L2677" i="1"/>
  <c r="K2677" i="1"/>
  <c r="J2669" i="1"/>
  <c r="L2669" i="1"/>
  <c r="K2669" i="1"/>
  <c r="J2661" i="1"/>
  <c r="L2661" i="1"/>
  <c r="K2661" i="1"/>
  <c r="J2653" i="1"/>
  <c r="L2653" i="1"/>
  <c r="K2653" i="1"/>
  <c r="J2645" i="1"/>
  <c r="L2645" i="1"/>
  <c r="K2645" i="1"/>
  <c r="J2637" i="1"/>
  <c r="L2637" i="1"/>
  <c r="K2637" i="1"/>
  <c r="J2629" i="1"/>
  <c r="L2629" i="1"/>
  <c r="K2629" i="1"/>
  <c r="J2621" i="1"/>
  <c r="L2621" i="1"/>
  <c r="K2621" i="1"/>
  <c r="J2613" i="1"/>
  <c r="L2613" i="1"/>
  <c r="K2613" i="1"/>
  <c r="J2605" i="1"/>
  <c r="L2605" i="1"/>
  <c r="K2605" i="1"/>
  <c r="J2597" i="1"/>
  <c r="L2597" i="1"/>
  <c r="K2597" i="1"/>
  <c r="J2589" i="1"/>
  <c r="L2589" i="1"/>
  <c r="K2589" i="1"/>
  <c r="J2581" i="1"/>
  <c r="L2581" i="1"/>
  <c r="K2581" i="1"/>
  <c r="J2573" i="1"/>
  <c r="L2573" i="1"/>
  <c r="K2573" i="1"/>
  <c r="J2565" i="1"/>
  <c r="L2565" i="1"/>
  <c r="K2565" i="1"/>
  <c r="J2557" i="1"/>
  <c r="L2557" i="1"/>
  <c r="K2557" i="1"/>
  <c r="J2549" i="1"/>
  <c r="L2549" i="1"/>
  <c r="K2549" i="1"/>
  <c r="J2541" i="1"/>
  <c r="L2541" i="1"/>
  <c r="K2541" i="1"/>
  <c r="J2533" i="1"/>
  <c r="L2533" i="1"/>
  <c r="K2533" i="1"/>
  <c r="J2525" i="1"/>
  <c r="L2525" i="1"/>
  <c r="K2525" i="1"/>
  <c r="J2517" i="1"/>
  <c r="L2517" i="1"/>
  <c r="K2517" i="1"/>
  <c r="J2509" i="1"/>
  <c r="L2509" i="1"/>
  <c r="K2509" i="1"/>
  <c r="J2501" i="1"/>
  <c r="L2501" i="1"/>
  <c r="K2501" i="1"/>
  <c r="J2493" i="1"/>
  <c r="L2493" i="1"/>
  <c r="K2493" i="1"/>
  <c r="J2485" i="1"/>
  <c r="L2485" i="1"/>
  <c r="K2485" i="1"/>
  <c r="J2477" i="1"/>
  <c r="L2477" i="1"/>
  <c r="K2477" i="1"/>
  <c r="J2469" i="1"/>
  <c r="L2469" i="1"/>
  <c r="K2469" i="1"/>
  <c r="J2461" i="1"/>
  <c r="L2461" i="1"/>
  <c r="K2461" i="1"/>
  <c r="J2453" i="1"/>
  <c r="L2453" i="1"/>
  <c r="K2453" i="1"/>
  <c r="J2445" i="1"/>
  <c r="L2445" i="1"/>
  <c r="K2445" i="1"/>
  <c r="J2437" i="1"/>
  <c r="L2437" i="1"/>
  <c r="K2437" i="1"/>
  <c r="J2429" i="1"/>
  <c r="L2429" i="1"/>
  <c r="K2429" i="1"/>
  <c r="J2421" i="1"/>
  <c r="L2421" i="1"/>
  <c r="K2421" i="1"/>
  <c r="J2413" i="1"/>
  <c r="L2413" i="1"/>
  <c r="K2413" i="1"/>
  <c r="J2405" i="1"/>
  <c r="L2405" i="1"/>
  <c r="K2405" i="1"/>
  <c r="J2397" i="1"/>
  <c r="L2397" i="1"/>
  <c r="K2397" i="1"/>
  <c r="J2389" i="1"/>
  <c r="L2389" i="1"/>
  <c r="K2389" i="1"/>
  <c r="J2381" i="1"/>
  <c r="L2381" i="1"/>
  <c r="K2381" i="1"/>
  <c r="J2373" i="1"/>
  <c r="L2373" i="1"/>
  <c r="K2373" i="1"/>
  <c r="J2365" i="1"/>
  <c r="L2365" i="1"/>
  <c r="K2365" i="1"/>
  <c r="J2357" i="1"/>
  <c r="L2357" i="1"/>
  <c r="K2357" i="1"/>
  <c r="J2349" i="1"/>
  <c r="L2349" i="1"/>
  <c r="K2349" i="1"/>
  <c r="J2341" i="1"/>
  <c r="L2341" i="1"/>
  <c r="K2341" i="1"/>
  <c r="J2333" i="1"/>
  <c r="L2333" i="1"/>
  <c r="K2333" i="1"/>
  <c r="J2325" i="1"/>
  <c r="L2325" i="1"/>
  <c r="K2325" i="1"/>
  <c r="J2317" i="1"/>
  <c r="L2317" i="1"/>
  <c r="K2317" i="1"/>
  <c r="J2309" i="1"/>
  <c r="L2309" i="1"/>
  <c r="K2309" i="1"/>
  <c r="J2301" i="1"/>
  <c r="L2301" i="1"/>
  <c r="K2301" i="1"/>
  <c r="J2293" i="1"/>
  <c r="L2293" i="1"/>
  <c r="K2293" i="1"/>
  <c r="J2285" i="1"/>
  <c r="L2285" i="1"/>
  <c r="K2285" i="1"/>
  <c r="J2277" i="1"/>
  <c r="L2277" i="1"/>
  <c r="K2277" i="1"/>
  <c r="J2269" i="1"/>
  <c r="L2269" i="1"/>
  <c r="K2269" i="1"/>
  <c r="J2261" i="1"/>
  <c r="L2261" i="1"/>
  <c r="K2261" i="1"/>
  <c r="J2253" i="1"/>
  <c r="L2253" i="1"/>
  <c r="K2253" i="1"/>
  <c r="J2245" i="1"/>
  <c r="L2245" i="1"/>
  <c r="K2245" i="1"/>
  <c r="J2237" i="1"/>
  <c r="L2237" i="1"/>
  <c r="K2237" i="1"/>
  <c r="J2229" i="1"/>
  <c r="L2229" i="1"/>
  <c r="K2229" i="1"/>
  <c r="J2221" i="1"/>
  <c r="L2221" i="1"/>
  <c r="K2221" i="1"/>
  <c r="J2213" i="1"/>
  <c r="L2213" i="1"/>
  <c r="K2213" i="1"/>
  <c r="J2205" i="1"/>
  <c r="L2205" i="1"/>
  <c r="K2205" i="1"/>
  <c r="J2197" i="1"/>
  <c r="L2197" i="1"/>
  <c r="K2197" i="1"/>
  <c r="J2189" i="1"/>
  <c r="L2189" i="1"/>
  <c r="K2189" i="1"/>
  <c r="J2181" i="1"/>
  <c r="L2181" i="1"/>
  <c r="K2181" i="1"/>
  <c r="J2173" i="1"/>
  <c r="L2173" i="1"/>
  <c r="K2173" i="1"/>
  <c r="J2165" i="1"/>
  <c r="L2165" i="1"/>
  <c r="K2165" i="1"/>
  <c r="J2157" i="1"/>
  <c r="L2157" i="1"/>
  <c r="K2157" i="1"/>
  <c r="J2149" i="1"/>
  <c r="L2149" i="1"/>
  <c r="K2149" i="1"/>
  <c r="J2141" i="1"/>
  <c r="L2141" i="1"/>
  <c r="K2141" i="1"/>
  <c r="J2133" i="1"/>
  <c r="L2133" i="1"/>
  <c r="K2133" i="1"/>
  <c r="J2125" i="1"/>
  <c r="L2125" i="1"/>
  <c r="K2125" i="1"/>
  <c r="J2117" i="1"/>
  <c r="L2117" i="1"/>
  <c r="K2117" i="1"/>
  <c r="J2109" i="1"/>
  <c r="L2109" i="1"/>
  <c r="K2109" i="1"/>
  <c r="J2101" i="1"/>
  <c r="L2101" i="1"/>
  <c r="K2101" i="1"/>
  <c r="J2093" i="1"/>
  <c r="L2093" i="1"/>
  <c r="K2093" i="1"/>
  <c r="J2085" i="1"/>
  <c r="L2085" i="1"/>
  <c r="K2085" i="1"/>
  <c r="J2077" i="1"/>
  <c r="L2077" i="1"/>
  <c r="K2077" i="1"/>
  <c r="J2069" i="1"/>
  <c r="L2069" i="1"/>
  <c r="K2069" i="1"/>
  <c r="J2061" i="1"/>
  <c r="L2061" i="1"/>
  <c r="K2061" i="1"/>
  <c r="J2053" i="1"/>
  <c r="L2053" i="1"/>
  <c r="K2053" i="1"/>
  <c r="J2045" i="1"/>
  <c r="L2045" i="1"/>
  <c r="K2045" i="1"/>
  <c r="J2037" i="1"/>
  <c r="L2037" i="1"/>
  <c r="K2037" i="1"/>
  <c r="J2029" i="1"/>
  <c r="L2029" i="1"/>
  <c r="K2029" i="1"/>
  <c r="J2021" i="1"/>
  <c r="L2021" i="1"/>
  <c r="K2021" i="1"/>
  <c r="J2013" i="1"/>
  <c r="L2013" i="1"/>
  <c r="K2013" i="1"/>
  <c r="J2005" i="1"/>
  <c r="L2005" i="1"/>
  <c r="K2005" i="1"/>
  <c r="J1997" i="1"/>
  <c r="L1997" i="1"/>
  <c r="K1997" i="1"/>
  <c r="J1989" i="1"/>
  <c r="L1989" i="1"/>
  <c r="K1989" i="1"/>
  <c r="J1981" i="1"/>
  <c r="L1981" i="1"/>
  <c r="K1981" i="1"/>
  <c r="J1973" i="1"/>
  <c r="L1973" i="1"/>
  <c r="K1973" i="1"/>
  <c r="J1965" i="1"/>
  <c r="L1965" i="1"/>
  <c r="K1965" i="1"/>
  <c r="J1957" i="1"/>
  <c r="L1957" i="1"/>
  <c r="K1957" i="1"/>
  <c r="J1949" i="1"/>
  <c r="L1949" i="1"/>
  <c r="K1949" i="1"/>
  <c r="J1941" i="1"/>
  <c r="L1941" i="1"/>
  <c r="K1941" i="1"/>
  <c r="J1933" i="1"/>
  <c r="L1933" i="1"/>
  <c r="K1933" i="1"/>
  <c r="J1925" i="1"/>
  <c r="L1925" i="1"/>
  <c r="K1925" i="1"/>
  <c r="J1917" i="1"/>
  <c r="L1917" i="1"/>
  <c r="K1917" i="1"/>
  <c r="J1909" i="1"/>
  <c r="L1909" i="1"/>
  <c r="K1909" i="1"/>
  <c r="J1901" i="1"/>
  <c r="L1901" i="1"/>
  <c r="K1901" i="1"/>
  <c r="J1893" i="1"/>
  <c r="L1893" i="1"/>
  <c r="K1893" i="1"/>
  <c r="J1885" i="1"/>
  <c r="L1885" i="1"/>
  <c r="K1885" i="1"/>
  <c r="J1877" i="1"/>
  <c r="L1877" i="1"/>
  <c r="K1877" i="1"/>
  <c r="J1869" i="1"/>
  <c r="L1869" i="1"/>
  <c r="K1869" i="1"/>
  <c r="J1861" i="1"/>
  <c r="L1861" i="1"/>
  <c r="K1861" i="1"/>
  <c r="J1853" i="1"/>
  <c r="L1853" i="1"/>
  <c r="K1853" i="1"/>
  <c r="J1845" i="1"/>
  <c r="L1845" i="1"/>
  <c r="K1845" i="1"/>
  <c r="J1837" i="1"/>
  <c r="L1837" i="1"/>
  <c r="K1837" i="1"/>
  <c r="J1829" i="1"/>
  <c r="L1829" i="1"/>
  <c r="K1829" i="1"/>
  <c r="J1821" i="1"/>
  <c r="L1821" i="1"/>
  <c r="K1821" i="1"/>
  <c r="J1813" i="1"/>
  <c r="L1813" i="1"/>
  <c r="K1813" i="1"/>
  <c r="J1805" i="1"/>
  <c r="L1805" i="1"/>
  <c r="K1805" i="1"/>
  <c r="J1797" i="1"/>
  <c r="L1797" i="1"/>
  <c r="K1797" i="1"/>
  <c r="J1789" i="1"/>
  <c r="L1789" i="1"/>
  <c r="K1789" i="1"/>
  <c r="J1781" i="1"/>
  <c r="L1781" i="1"/>
  <c r="K1781" i="1"/>
  <c r="J1773" i="1"/>
  <c r="L1773" i="1"/>
  <c r="K1773" i="1"/>
  <c r="J1765" i="1"/>
  <c r="L1765" i="1"/>
  <c r="K1765" i="1"/>
  <c r="J1757" i="1"/>
  <c r="L1757" i="1"/>
  <c r="K1757" i="1"/>
  <c r="J1749" i="1"/>
  <c r="L1749" i="1"/>
  <c r="K1749" i="1"/>
  <c r="J1741" i="1"/>
  <c r="L1741" i="1"/>
  <c r="K1741" i="1"/>
  <c r="J1733" i="1"/>
  <c r="L1733" i="1"/>
  <c r="K1733" i="1"/>
  <c r="J1725" i="1"/>
  <c r="L1725" i="1"/>
  <c r="K1725" i="1"/>
  <c r="J1717" i="1"/>
  <c r="L1717" i="1"/>
  <c r="K1717" i="1"/>
  <c r="J1709" i="1"/>
  <c r="L1709" i="1"/>
  <c r="K1709" i="1"/>
  <c r="J1701" i="1"/>
  <c r="L1701" i="1"/>
  <c r="K1701" i="1"/>
  <c r="J1693" i="1"/>
  <c r="L1693" i="1"/>
  <c r="K1693" i="1"/>
  <c r="J1685" i="1"/>
  <c r="L1685" i="1"/>
  <c r="K1685" i="1"/>
  <c r="J1677" i="1"/>
  <c r="L1677" i="1"/>
  <c r="K1677" i="1"/>
  <c r="J1669" i="1"/>
  <c r="L1669" i="1"/>
  <c r="K1669" i="1"/>
  <c r="J1661" i="1"/>
  <c r="L1661" i="1"/>
  <c r="K1661" i="1"/>
  <c r="J1653" i="1"/>
  <c r="L1653" i="1"/>
  <c r="K1653" i="1"/>
  <c r="J1645" i="1"/>
  <c r="L1645" i="1"/>
  <c r="K1645" i="1"/>
  <c r="J1637" i="1"/>
  <c r="L1637" i="1"/>
  <c r="K1637" i="1"/>
  <c r="J1629" i="1"/>
  <c r="L1629" i="1"/>
  <c r="K1629" i="1"/>
  <c r="J1621" i="1"/>
  <c r="L1621" i="1"/>
  <c r="K1621" i="1"/>
  <c r="J1613" i="1"/>
  <c r="L1613" i="1"/>
  <c r="K1613" i="1"/>
  <c r="J1605" i="1"/>
  <c r="L1605" i="1"/>
  <c r="K1605" i="1"/>
  <c r="J1597" i="1"/>
  <c r="L1597" i="1"/>
  <c r="K1597" i="1"/>
  <c r="J1589" i="1"/>
  <c r="L1589" i="1"/>
  <c r="K1589" i="1"/>
  <c r="J1581" i="1"/>
  <c r="L1581" i="1"/>
  <c r="K1581" i="1"/>
  <c r="J1573" i="1"/>
  <c r="L1573" i="1"/>
  <c r="K1573" i="1"/>
  <c r="J1565" i="1"/>
  <c r="L1565" i="1"/>
  <c r="K1565" i="1"/>
  <c r="J1557" i="1"/>
  <c r="L1557" i="1"/>
  <c r="K1557" i="1"/>
  <c r="J1549" i="1"/>
  <c r="L1549" i="1"/>
  <c r="K1549" i="1"/>
  <c r="J1541" i="1"/>
  <c r="L1541" i="1"/>
  <c r="K1541" i="1"/>
  <c r="J1533" i="1"/>
  <c r="L1533" i="1"/>
  <c r="K1533" i="1"/>
  <c r="J1525" i="1"/>
  <c r="L1525" i="1"/>
  <c r="K1525" i="1"/>
  <c r="J1517" i="1"/>
  <c r="L1517" i="1"/>
  <c r="K1517" i="1"/>
  <c r="J1509" i="1"/>
  <c r="L1509" i="1"/>
  <c r="K1509" i="1"/>
  <c r="J1501" i="1"/>
  <c r="L1501" i="1"/>
  <c r="K1501" i="1"/>
  <c r="J1493" i="1"/>
  <c r="L1493" i="1"/>
  <c r="K1493" i="1"/>
  <c r="J1485" i="1"/>
  <c r="L1485" i="1"/>
  <c r="K1485" i="1"/>
  <c r="J1477" i="1"/>
  <c r="L1477" i="1"/>
  <c r="K1477" i="1"/>
  <c r="J1469" i="1"/>
  <c r="L1469" i="1"/>
  <c r="K1469" i="1"/>
  <c r="J1461" i="1"/>
  <c r="L1461" i="1"/>
  <c r="K1461" i="1"/>
  <c r="J1453" i="1"/>
  <c r="L1453" i="1"/>
  <c r="K1453" i="1"/>
  <c r="J1445" i="1"/>
  <c r="L1445" i="1"/>
  <c r="K1445" i="1"/>
  <c r="J1437" i="1"/>
  <c r="L1437" i="1"/>
  <c r="K1437" i="1"/>
  <c r="J1429" i="1"/>
  <c r="L1429" i="1"/>
  <c r="K1429" i="1"/>
  <c r="J1421" i="1"/>
  <c r="L1421" i="1"/>
  <c r="K1421" i="1"/>
  <c r="J1413" i="1"/>
  <c r="L1413" i="1"/>
  <c r="K1413" i="1"/>
  <c r="J1405" i="1"/>
  <c r="L1405" i="1"/>
  <c r="K1405" i="1"/>
  <c r="J1397" i="1"/>
  <c r="L1397" i="1"/>
  <c r="K1397" i="1"/>
  <c r="J1389" i="1"/>
  <c r="L1389" i="1"/>
  <c r="K1389" i="1"/>
  <c r="J1381" i="1"/>
  <c r="L1381" i="1"/>
  <c r="K1381" i="1"/>
  <c r="J1373" i="1"/>
  <c r="L1373" i="1"/>
  <c r="K1373" i="1"/>
  <c r="J1365" i="1"/>
  <c r="L1365" i="1"/>
  <c r="K1365" i="1"/>
  <c r="J1357" i="1"/>
  <c r="L1357" i="1"/>
  <c r="K1357" i="1"/>
  <c r="J1349" i="1"/>
  <c r="L1349" i="1"/>
  <c r="K1349" i="1"/>
  <c r="J1341" i="1"/>
  <c r="L1341" i="1"/>
  <c r="K1341" i="1"/>
  <c r="J1333" i="1"/>
  <c r="L1333" i="1"/>
  <c r="K1333" i="1"/>
  <c r="J1325" i="1"/>
  <c r="L1325" i="1"/>
  <c r="K1325" i="1"/>
  <c r="J1317" i="1"/>
  <c r="L1317" i="1"/>
  <c r="K1317" i="1"/>
  <c r="J1309" i="1"/>
  <c r="L1309" i="1"/>
  <c r="K1309" i="1"/>
  <c r="J1301" i="1"/>
  <c r="L1301" i="1"/>
  <c r="K1301" i="1"/>
  <c r="J1293" i="1"/>
  <c r="L1293" i="1"/>
  <c r="K1293" i="1"/>
  <c r="J1285" i="1"/>
  <c r="L1285" i="1"/>
  <c r="K1285" i="1"/>
  <c r="J1277" i="1"/>
  <c r="L1277" i="1"/>
  <c r="K1277" i="1"/>
  <c r="J1269" i="1"/>
  <c r="L1269" i="1"/>
  <c r="K1269" i="1"/>
  <c r="J1261" i="1"/>
  <c r="L1261" i="1"/>
  <c r="K1261" i="1"/>
  <c r="J1253" i="1"/>
  <c r="L1253" i="1"/>
  <c r="K1253" i="1"/>
  <c r="J1245" i="1"/>
  <c r="L1245" i="1"/>
  <c r="K1245" i="1"/>
  <c r="J1237" i="1"/>
  <c r="L1237" i="1"/>
  <c r="K1237" i="1"/>
  <c r="J1229" i="1"/>
  <c r="L1229" i="1"/>
  <c r="K1229" i="1"/>
  <c r="J1221" i="1"/>
  <c r="L1221" i="1"/>
  <c r="K1221" i="1"/>
  <c r="J1213" i="1"/>
  <c r="L1213" i="1"/>
  <c r="K1213" i="1"/>
  <c r="J1205" i="1"/>
  <c r="L1205" i="1"/>
  <c r="K1205" i="1"/>
  <c r="J1197" i="1"/>
  <c r="L1197" i="1"/>
  <c r="K1197" i="1"/>
  <c r="J1189" i="1"/>
  <c r="L1189" i="1"/>
  <c r="K1189" i="1"/>
  <c r="J1181" i="1"/>
  <c r="L1181" i="1"/>
  <c r="K1181" i="1"/>
  <c r="J1173" i="1"/>
  <c r="L1173" i="1"/>
  <c r="K1173" i="1"/>
  <c r="J1165" i="1"/>
  <c r="L1165" i="1"/>
  <c r="K1165" i="1"/>
  <c r="J1157" i="1"/>
  <c r="L1157" i="1"/>
  <c r="K1157" i="1"/>
  <c r="J1149" i="1"/>
  <c r="L1149" i="1"/>
  <c r="K1149" i="1"/>
  <c r="J1141" i="1"/>
  <c r="L1141" i="1"/>
  <c r="K1141" i="1"/>
  <c r="J1133" i="1"/>
  <c r="L1133" i="1"/>
  <c r="K1133" i="1"/>
  <c r="J1125" i="1"/>
  <c r="L1125" i="1"/>
  <c r="K1125" i="1"/>
  <c r="J1117" i="1"/>
  <c r="L1117" i="1"/>
  <c r="K1117" i="1"/>
  <c r="J1109" i="1"/>
  <c r="L1109" i="1"/>
  <c r="K1109" i="1"/>
  <c r="J1101" i="1"/>
  <c r="L1101" i="1"/>
  <c r="K1101" i="1"/>
  <c r="J1093" i="1"/>
  <c r="L1093" i="1"/>
  <c r="K1093" i="1"/>
  <c r="J1085" i="1"/>
  <c r="L1085" i="1"/>
  <c r="K1085" i="1"/>
  <c r="J1077" i="1"/>
  <c r="L1077" i="1"/>
  <c r="K1077" i="1"/>
  <c r="J1069" i="1"/>
  <c r="L1069" i="1"/>
  <c r="K1069" i="1"/>
  <c r="J1061" i="1"/>
  <c r="L1061" i="1"/>
  <c r="K1061" i="1"/>
  <c r="J1053" i="1"/>
  <c r="L1053" i="1"/>
  <c r="K1053" i="1"/>
  <c r="J1045" i="1"/>
  <c r="L1045" i="1"/>
  <c r="K1045" i="1"/>
  <c r="J1037" i="1"/>
  <c r="L1037" i="1"/>
  <c r="K1037" i="1"/>
  <c r="J1029" i="1"/>
  <c r="L1029" i="1"/>
  <c r="K1029" i="1"/>
  <c r="J1021" i="1"/>
  <c r="L1021" i="1"/>
  <c r="K1021" i="1"/>
  <c r="J1013" i="1"/>
  <c r="L1013" i="1"/>
  <c r="K1013" i="1"/>
  <c r="J1005" i="1"/>
  <c r="L1005" i="1"/>
  <c r="K1005" i="1"/>
  <c r="J997" i="1"/>
  <c r="L997" i="1"/>
  <c r="K997" i="1"/>
  <c r="J989" i="1"/>
  <c r="L989" i="1"/>
  <c r="K989" i="1"/>
  <c r="J981" i="1"/>
  <c r="L981" i="1"/>
  <c r="K981" i="1"/>
  <c r="J973" i="1"/>
  <c r="L973" i="1"/>
  <c r="K973" i="1"/>
  <c r="J965" i="1"/>
  <c r="L965" i="1"/>
  <c r="K965" i="1"/>
  <c r="J957" i="1"/>
  <c r="L957" i="1"/>
  <c r="K957" i="1"/>
  <c r="J949" i="1"/>
  <c r="L949" i="1"/>
  <c r="K949" i="1"/>
  <c r="J941" i="1"/>
  <c r="L941" i="1"/>
  <c r="K941" i="1"/>
  <c r="J933" i="1"/>
  <c r="L933" i="1"/>
  <c r="K933" i="1"/>
  <c r="J925" i="1"/>
  <c r="L925" i="1"/>
  <c r="K925" i="1"/>
  <c r="J917" i="1"/>
  <c r="L917" i="1"/>
  <c r="K917" i="1"/>
  <c r="J909" i="1"/>
  <c r="L909" i="1"/>
  <c r="K909" i="1"/>
  <c r="J901" i="1"/>
  <c r="L901" i="1"/>
  <c r="K901" i="1"/>
  <c r="J893" i="1"/>
  <c r="L893" i="1"/>
  <c r="K893" i="1"/>
  <c r="J885" i="1"/>
  <c r="L885" i="1"/>
  <c r="K885" i="1"/>
  <c r="J877" i="1"/>
  <c r="L877" i="1"/>
  <c r="K877" i="1"/>
  <c r="J869" i="1"/>
  <c r="L869" i="1"/>
  <c r="K869" i="1"/>
  <c r="J861" i="1"/>
  <c r="L861" i="1"/>
  <c r="K861" i="1"/>
  <c r="J853" i="1"/>
  <c r="L853" i="1"/>
  <c r="K853" i="1"/>
  <c r="J845" i="1"/>
  <c r="L845" i="1"/>
  <c r="K845" i="1"/>
  <c r="J837" i="1"/>
  <c r="L837" i="1"/>
  <c r="K837" i="1"/>
  <c r="J829" i="1"/>
  <c r="L829" i="1"/>
  <c r="K829" i="1"/>
  <c r="J821" i="1"/>
  <c r="L821" i="1"/>
  <c r="K821" i="1"/>
  <c r="J813" i="1"/>
  <c r="L813" i="1"/>
  <c r="K813" i="1"/>
  <c r="J805" i="1"/>
  <c r="L805" i="1"/>
  <c r="K805" i="1"/>
  <c r="J797" i="1"/>
  <c r="L797" i="1"/>
  <c r="K797" i="1"/>
  <c r="J789" i="1"/>
  <c r="L789" i="1"/>
  <c r="K789" i="1"/>
  <c r="J781" i="1"/>
  <c r="L781" i="1"/>
  <c r="K781" i="1"/>
  <c r="J773" i="1"/>
  <c r="L773" i="1"/>
  <c r="K773" i="1"/>
  <c r="J765" i="1"/>
  <c r="L765" i="1"/>
  <c r="K765" i="1"/>
  <c r="J757" i="1"/>
  <c r="L757" i="1"/>
  <c r="K757" i="1"/>
  <c r="J749" i="1"/>
  <c r="L749" i="1"/>
  <c r="K749" i="1"/>
  <c r="J741" i="1"/>
  <c r="L741" i="1"/>
  <c r="K741" i="1"/>
  <c r="J733" i="1"/>
  <c r="L733" i="1"/>
  <c r="K733" i="1"/>
  <c r="J725" i="1"/>
  <c r="L725" i="1"/>
  <c r="K725" i="1"/>
  <c r="L717" i="1"/>
  <c r="K717" i="1"/>
  <c r="J709" i="1"/>
  <c r="L709" i="1"/>
  <c r="K709" i="1"/>
  <c r="J701" i="1"/>
  <c r="L701" i="1"/>
  <c r="K701" i="1"/>
  <c r="J693" i="1"/>
  <c r="L693" i="1"/>
  <c r="K693" i="1"/>
  <c r="J685" i="1"/>
  <c r="L685" i="1"/>
  <c r="K685" i="1"/>
  <c r="J677" i="1"/>
  <c r="L677" i="1"/>
  <c r="K677" i="1"/>
  <c r="J669" i="1"/>
  <c r="L669" i="1"/>
  <c r="K669" i="1"/>
  <c r="J661" i="1"/>
  <c r="L661" i="1"/>
  <c r="K661" i="1"/>
  <c r="L653" i="1"/>
  <c r="K653" i="1"/>
  <c r="J645" i="1"/>
  <c r="L645" i="1"/>
  <c r="K645" i="1"/>
  <c r="J637" i="1"/>
  <c r="L637" i="1"/>
  <c r="K637" i="1"/>
  <c r="J629" i="1"/>
  <c r="L629" i="1"/>
  <c r="K629" i="1"/>
  <c r="J621" i="1"/>
  <c r="L621" i="1"/>
  <c r="K621" i="1"/>
  <c r="J613" i="1"/>
  <c r="L613" i="1"/>
  <c r="K613" i="1"/>
  <c r="J605" i="1"/>
  <c r="L605" i="1"/>
  <c r="K605" i="1"/>
  <c r="J597" i="1"/>
  <c r="L597" i="1"/>
  <c r="K597" i="1"/>
  <c r="J589" i="1"/>
  <c r="L589" i="1"/>
  <c r="K589" i="1"/>
  <c r="J581" i="1"/>
  <c r="L581" i="1"/>
  <c r="K581" i="1"/>
  <c r="J573" i="1"/>
  <c r="L573" i="1"/>
  <c r="K573" i="1"/>
  <c r="J565" i="1"/>
  <c r="L565" i="1"/>
  <c r="K565" i="1"/>
  <c r="J557" i="1"/>
  <c r="L557" i="1"/>
  <c r="K557" i="1"/>
  <c r="J549" i="1"/>
  <c r="L549" i="1"/>
  <c r="K549" i="1"/>
  <c r="J541" i="1"/>
  <c r="L541" i="1"/>
  <c r="K541" i="1"/>
  <c r="J533" i="1"/>
  <c r="L533" i="1"/>
  <c r="K533" i="1"/>
  <c r="L525" i="1"/>
  <c r="K525" i="1"/>
  <c r="J517" i="1"/>
  <c r="L517" i="1"/>
  <c r="K517" i="1"/>
  <c r="J509" i="1"/>
  <c r="L509" i="1"/>
  <c r="K509" i="1"/>
  <c r="J501" i="1"/>
  <c r="L501" i="1"/>
  <c r="K501" i="1"/>
  <c r="J493" i="1"/>
  <c r="L493" i="1"/>
  <c r="K493" i="1"/>
  <c r="J485" i="1"/>
  <c r="L485" i="1"/>
  <c r="K485" i="1"/>
  <c r="J477" i="1"/>
  <c r="L477" i="1"/>
  <c r="K477" i="1"/>
  <c r="J469" i="1"/>
  <c r="L469" i="1"/>
  <c r="K469" i="1"/>
  <c r="L461" i="1"/>
  <c r="K461" i="1"/>
  <c r="J453" i="1"/>
  <c r="L453" i="1"/>
  <c r="K453" i="1"/>
  <c r="J445" i="1"/>
  <c r="L445" i="1"/>
  <c r="K445" i="1"/>
  <c r="J437" i="1"/>
  <c r="L437" i="1"/>
  <c r="K437" i="1"/>
  <c r="J429" i="1"/>
  <c r="L429" i="1"/>
  <c r="K429" i="1"/>
  <c r="J421" i="1"/>
  <c r="L421" i="1"/>
  <c r="K421" i="1"/>
  <c r="J413" i="1"/>
  <c r="L413" i="1"/>
  <c r="K413" i="1"/>
  <c r="J405" i="1"/>
  <c r="L405" i="1"/>
  <c r="K405" i="1"/>
  <c r="L397" i="1"/>
  <c r="K397" i="1"/>
  <c r="J389" i="1"/>
  <c r="L389" i="1"/>
  <c r="K389" i="1"/>
  <c r="J381" i="1"/>
  <c r="L381" i="1"/>
  <c r="K381" i="1"/>
  <c r="J373" i="1"/>
  <c r="L373" i="1"/>
  <c r="K373" i="1"/>
  <c r="J365" i="1"/>
  <c r="L365" i="1"/>
  <c r="K365" i="1"/>
  <c r="J357" i="1"/>
  <c r="L357" i="1"/>
  <c r="K357" i="1"/>
  <c r="J349" i="1"/>
  <c r="L349" i="1"/>
  <c r="K349" i="1"/>
  <c r="J341" i="1"/>
  <c r="L341" i="1"/>
  <c r="K341" i="1"/>
  <c r="J333" i="1"/>
  <c r="L333" i="1"/>
  <c r="K333" i="1"/>
  <c r="J325" i="1"/>
  <c r="L325" i="1"/>
  <c r="K325" i="1"/>
  <c r="J317" i="1"/>
  <c r="L317" i="1"/>
  <c r="K317" i="1"/>
  <c r="J309" i="1"/>
  <c r="L309" i="1"/>
  <c r="K309" i="1"/>
  <c r="J8085" i="1"/>
  <c r="J7829" i="1"/>
  <c r="J7221" i="1"/>
  <c r="J6965" i="1"/>
  <c r="J3461" i="1"/>
  <c r="K8199" i="1"/>
  <c r="K7879" i="1"/>
  <c r="K7751" i="1"/>
  <c r="K7314" i="1"/>
  <c r="K7106" i="1"/>
  <c r="K6826" i="1"/>
  <c r="K6362" i="1"/>
  <c r="K6314" i="1"/>
  <c r="K5570" i="1"/>
  <c r="K5290" i="1"/>
  <c r="K5058" i="1"/>
  <c r="K4826" i="1"/>
  <c r="K4778" i="1"/>
  <c r="K4546" i="1"/>
  <c r="K4314" i="1"/>
  <c r="K4266" i="1"/>
  <c r="K4143" i="1"/>
  <c r="K3802" i="1"/>
  <c r="K3631" i="1"/>
  <c r="K3351" i="1"/>
  <c r="J1003" i="1"/>
  <c r="L1003" i="1"/>
  <c r="K1003" i="1"/>
  <c r="J995" i="1"/>
  <c r="L995" i="1"/>
  <c r="K995" i="1"/>
  <c r="J987" i="1"/>
  <c r="L987" i="1"/>
  <c r="K987" i="1"/>
  <c r="J979" i="1"/>
  <c r="L979" i="1"/>
  <c r="K979" i="1"/>
  <c r="J971" i="1"/>
  <c r="L971" i="1"/>
  <c r="K971" i="1"/>
  <c r="J963" i="1"/>
  <c r="L963" i="1"/>
  <c r="K963" i="1"/>
  <c r="J955" i="1"/>
  <c r="L955" i="1"/>
  <c r="K955" i="1"/>
  <c r="J947" i="1"/>
  <c r="L947" i="1"/>
  <c r="K947" i="1"/>
  <c r="J939" i="1"/>
  <c r="L939" i="1"/>
  <c r="K939" i="1"/>
  <c r="J931" i="1"/>
  <c r="L931" i="1"/>
  <c r="K931" i="1"/>
  <c r="J923" i="1"/>
  <c r="L923" i="1"/>
  <c r="K923" i="1"/>
  <c r="J915" i="1"/>
  <c r="L915" i="1"/>
  <c r="K915" i="1"/>
  <c r="J907" i="1"/>
  <c r="L907" i="1"/>
  <c r="K907" i="1"/>
  <c r="J899" i="1"/>
  <c r="L899" i="1"/>
  <c r="K899" i="1"/>
  <c r="J891" i="1"/>
  <c r="L891" i="1"/>
  <c r="K891" i="1"/>
  <c r="J883" i="1"/>
  <c r="L883" i="1"/>
  <c r="K883" i="1"/>
  <c r="J875" i="1"/>
  <c r="L875" i="1"/>
  <c r="K875" i="1"/>
  <c r="J867" i="1"/>
  <c r="L867" i="1"/>
  <c r="K867" i="1"/>
  <c r="J859" i="1"/>
  <c r="L859" i="1"/>
  <c r="K859" i="1"/>
  <c r="J851" i="1"/>
  <c r="L851" i="1"/>
  <c r="K851" i="1"/>
  <c r="J843" i="1"/>
  <c r="L843" i="1"/>
  <c r="K843" i="1"/>
  <c r="J835" i="1"/>
  <c r="L835" i="1"/>
  <c r="K835" i="1"/>
  <c r="J827" i="1"/>
  <c r="L827" i="1"/>
  <c r="K827" i="1"/>
  <c r="J819" i="1"/>
  <c r="L819" i="1"/>
  <c r="K819" i="1"/>
  <c r="J811" i="1"/>
  <c r="L811" i="1"/>
  <c r="K811" i="1"/>
  <c r="J803" i="1"/>
  <c r="L803" i="1"/>
  <c r="K803" i="1"/>
  <c r="J795" i="1"/>
  <c r="L795" i="1"/>
  <c r="K795" i="1"/>
  <c r="J787" i="1"/>
  <c r="L787" i="1"/>
  <c r="K787" i="1"/>
  <c r="J779" i="1"/>
  <c r="L779" i="1"/>
  <c r="K779" i="1"/>
  <c r="J771" i="1"/>
  <c r="L771" i="1"/>
  <c r="K771" i="1"/>
  <c r="J763" i="1"/>
  <c r="L763" i="1"/>
  <c r="K763" i="1"/>
  <c r="J755" i="1"/>
  <c r="L755" i="1"/>
  <c r="K755" i="1"/>
  <c r="J747" i="1"/>
  <c r="L747" i="1"/>
  <c r="K747" i="1"/>
  <c r="J739" i="1"/>
  <c r="L739" i="1"/>
  <c r="K739" i="1"/>
  <c r="J731" i="1"/>
  <c r="L731" i="1"/>
  <c r="K731" i="1"/>
  <c r="J723" i="1"/>
  <c r="L723" i="1"/>
  <c r="K723" i="1"/>
  <c r="J715" i="1"/>
  <c r="L715" i="1"/>
  <c r="K715" i="1"/>
  <c r="J707" i="1"/>
  <c r="L707" i="1"/>
  <c r="K707" i="1"/>
  <c r="J699" i="1"/>
  <c r="L699" i="1"/>
  <c r="K699" i="1"/>
  <c r="J691" i="1"/>
  <c r="L691" i="1"/>
  <c r="K691" i="1"/>
  <c r="J683" i="1"/>
  <c r="L683" i="1"/>
  <c r="K683" i="1"/>
  <c r="J675" i="1"/>
  <c r="L675" i="1"/>
  <c r="K675" i="1"/>
  <c r="J667" i="1"/>
  <c r="L667" i="1"/>
  <c r="K667" i="1"/>
  <c r="J659" i="1"/>
  <c r="L659" i="1"/>
  <c r="K659" i="1"/>
  <c r="J651" i="1"/>
  <c r="L651" i="1"/>
  <c r="K651" i="1"/>
  <c r="J643" i="1"/>
  <c r="L643" i="1"/>
  <c r="K643" i="1"/>
  <c r="J635" i="1"/>
  <c r="L635" i="1"/>
  <c r="K635" i="1"/>
  <c r="J627" i="1"/>
  <c r="L627" i="1"/>
  <c r="K627" i="1"/>
  <c r="J619" i="1"/>
  <c r="L619" i="1"/>
  <c r="K619" i="1"/>
  <c r="J611" i="1"/>
  <c r="L611" i="1"/>
  <c r="K611" i="1"/>
  <c r="J603" i="1"/>
  <c r="L603" i="1"/>
  <c r="K603" i="1"/>
  <c r="J595" i="1"/>
  <c r="L595" i="1"/>
  <c r="K595" i="1"/>
  <c r="J587" i="1"/>
  <c r="L587" i="1"/>
  <c r="K587" i="1"/>
  <c r="J579" i="1"/>
  <c r="L579" i="1"/>
  <c r="K579" i="1"/>
  <c r="J571" i="1"/>
  <c r="L571" i="1"/>
  <c r="K571" i="1"/>
  <c r="J563" i="1"/>
  <c r="L563" i="1"/>
  <c r="K563" i="1"/>
  <c r="J555" i="1"/>
  <c r="L555" i="1"/>
  <c r="K555" i="1"/>
  <c r="J547" i="1"/>
  <c r="L547" i="1"/>
  <c r="K547" i="1"/>
  <c r="J539" i="1"/>
  <c r="L539" i="1"/>
  <c r="K539" i="1"/>
  <c r="J531" i="1"/>
  <c r="L531" i="1"/>
  <c r="K531" i="1"/>
  <c r="J523" i="1"/>
  <c r="L523" i="1"/>
  <c r="K523" i="1"/>
  <c r="J515" i="1"/>
  <c r="L515" i="1"/>
  <c r="K515" i="1"/>
  <c r="J507" i="1"/>
  <c r="L507" i="1"/>
  <c r="K507" i="1"/>
  <c r="J499" i="1"/>
  <c r="L499" i="1"/>
  <c r="K499" i="1"/>
  <c r="J491" i="1"/>
  <c r="L491" i="1"/>
  <c r="K491" i="1"/>
  <c r="J483" i="1"/>
  <c r="L483" i="1"/>
  <c r="K483" i="1"/>
  <c r="J475" i="1"/>
  <c r="L475" i="1"/>
  <c r="K475" i="1"/>
  <c r="J467" i="1"/>
  <c r="L467" i="1"/>
  <c r="K467" i="1"/>
  <c r="J459" i="1"/>
  <c r="L459" i="1"/>
  <c r="K459" i="1"/>
  <c r="J451" i="1"/>
  <c r="L451" i="1"/>
  <c r="K451" i="1"/>
  <c r="J443" i="1"/>
  <c r="L443" i="1"/>
  <c r="K443" i="1"/>
  <c r="J435" i="1"/>
  <c r="L435" i="1"/>
  <c r="K435" i="1"/>
  <c r="J427" i="1"/>
  <c r="L427" i="1"/>
  <c r="K427" i="1"/>
  <c r="J419" i="1"/>
  <c r="L419" i="1"/>
  <c r="K419" i="1"/>
  <c r="J411" i="1"/>
  <c r="L411" i="1"/>
  <c r="K411" i="1"/>
  <c r="J403" i="1"/>
  <c r="L403" i="1"/>
  <c r="K403" i="1"/>
  <c r="J395" i="1"/>
  <c r="L395" i="1"/>
  <c r="K395" i="1"/>
  <c r="J387" i="1"/>
  <c r="L387" i="1"/>
  <c r="K387" i="1"/>
  <c r="J379" i="1"/>
  <c r="L379" i="1"/>
  <c r="K379" i="1"/>
  <c r="J371" i="1"/>
  <c r="L371" i="1"/>
  <c r="K371" i="1"/>
  <c r="J363" i="1"/>
  <c r="L363" i="1"/>
  <c r="K363" i="1"/>
  <c r="J355" i="1"/>
  <c r="L355" i="1"/>
  <c r="K355" i="1"/>
  <c r="J347" i="1"/>
  <c r="L347" i="1"/>
  <c r="K347" i="1"/>
  <c r="J339" i="1"/>
  <c r="L339" i="1"/>
  <c r="K339" i="1"/>
  <c r="J331" i="1"/>
  <c r="L331" i="1"/>
  <c r="K331" i="1"/>
  <c r="J323" i="1"/>
  <c r="L323" i="1"/>
  <c r="K323" i="1"/>
  <c r="J315" i="1"/>
  <c r="L315" i="1"/>
  <c r="K315" i="1"/>
  <c r="J307" i="1"/>
  <c r="L307" i="1"/>
  <c r="K307" i="1"/>
  <c r="K8215" i="1"/>
  <c r="K8151" i="1"/>
  <c r="K7895" i="1"/>
  <c r="L8373" i="1"/>
  <c r="L9994" i="1"/>
  <c r="K9994" i="1"/>
  <c r="L9986" i="1"/>
  <c r="K9986" i="1"/>
  <c r="E9978" i="1"/>
  <c r="L9978" i="1"/>
  <c r="K9978" i="1"/>
  <c r="L9970" i="1"/>
  <c r="K9970" i="1"/>
  <c r="E9962" i="1"/>
  <c r="L9962" i="1"/>
  <c r="K9962" i="1"/>
  <c r="L9954" i="1"/>
  <c r="K9954" i="1"/>
  <c r="L9946" i="1"/>
  <c r="K9946" i="1"/>
  <c r="L9938" i="1"/>
  <c r="K9938" i="1"/>
  <c r="L9930" i="1"/>
  <c r="K9930" i="1"/>
  <c r="L9922" i="1"/>
  <c r="K9922" i="1"/>
  <c r="L9914" i="1"/>
  <c r="K9914" i="1"/>
  <c r="L9906" i="1"/>
  <c r="K9906" i="1"/>
  <c r="L9898" i="1"/>
  <c r="K9898" i="1"/>
  <c r="L9890" i="1"/>
  <c r="K9890" i="1"/>
  <c r="L9882" i="1"/>
  <c r="K9882" i="1"/>
  <c r="L9874" i="1"/>
  <c r="K9874" i="1"/>
  <c r="L9866" i="1"/>
  <c r="K9866" i="1"/>
  <c r="L9858" i="1"/>
  <c r="K9858" i="1"/>
  <c r="L9850" i="1"/>
  <c r="K9850" i="1"/>
  <c r="L9842" i="1"/>
  <c r="K9842" i="1"/>
  <c r="L9834" i="1"/>
  <c r="K9834" i="1"/>
  <c r="L9826" i="1"/>
  <c r="K9826" i="1"/>
  <c r="L9818" i="1"/>
  <c r="K9818" i="1"/>
  <c r="L9810" i="1"/>
  <c r="K9810" i="1"/>
  <c r="L9802" i="1"/>
  <c r="K9802" i="1"/>
  <c r="L9794" i="1"/>
  <c r="K9794" i="1"/>
  <c r="L9786" i="1"/>
  <c r="K9786" i="1"/>
  <c r="L9778" i="1"/>
  <c r="K9778" i="1"/>
  <c r="L9770" i="1"/>
  <c r="K9770" i="1"/>
  <c r="L9762" i="1"/>
  <c r="K9762" i="1"/>
  <c r="L9754" i="1"/>
  <c r="K9754" i="1"/>
  <c r="L9746" i="1"/>
  <c r="K9746" i="1"/>
  <c r="L9738" i="1"/>
  <c r="K9738" i="1"/>
  <c r="L9730" i="1"/>
  <c r="K9730" i="1"/>
  <c r="L9722" i="1"/>
  <c r="K9722" i="1"/>
  <c r="L9714" i="1"/>
  <c r="K9714" i="1"/>
  <c r="L9706" i="1"/>
  <c r="K9706" i="1"/>
  <c r="L9698" i="1"/>
  <c r="K9698" i="1"/>
  <c r="L9690" i="1"/>
  <c r="K9690" i="1"/>
  <c r="L9682" i="1"/>
  <c r="K9682" i="1"/>
  <c r="L9674" i="1"/>
  <c r="K9674" i="1"/>
  <c r="L9666" i="1"/>
  <c r="K9666" i="1"/>
  <c r="L9658" i="1"/>
  <c r="K9658" i="1"/>
  <c r="L9650" i="1"/>
  <c r="K9650" i="1"/>
  <c r="L9642" i="1"/>
  <c r="K9642" i="1"/>
  <c r="L9634" i="1"/>
  <c r="K9634" i="1"/>
  <c r="L9626" i="1"/>
  <c r="K9626" i="1"/>
  <c r="E9618" i="1"/>
  <c r="L9618" i="1"/>
  <c r="K9618" i="1"/>
  <c r="L9610" i="1"/>
  <c r="K9610" i="1"/>
  <c r="L9602" i="1"/>
  <c r="K9602" i="1"/>
  <c r="L9594" i="1"/>
  <c r="K9594" i="1"/>
  <c r="L9586" i="1"/>
  <c r="K9586" i="1"/>
  <c r="L9578" i="1"/>
  <c r="K9578" i="1"/>
  <c r="L9570" i="1"/>
  <c r="K9570" i="1"/>
  <c r="L9562" i="1"/>
  <c r="K9562" i="1"/>
  <c r="L9554" i="1"/>
  <c r="K9554" i="1"/>
  <c r="L9546" i="1"/>
  <c r="K9546" i="1"/>
  <c r="L9538" i="1"/>
  <c r="K9538" i="1"/>
  <c r="L9530" i="1"/>
  <c r="K9530" i="1"/>
  <c r="L9522" i="1"/>
  <c r="K9522" i="1"/>
  <c r="L9514" i="1"/>
  <c r="K9514" i="1"/>
  <c r="L9506" i="1"/>
  <c r="K9506" i="1"/>
  <c r="E9498" i="1"/>
  <c r="L9498" i="1"/>
  <c r="K9498" i="1"/>
  <c r="L9490" i="1"/>
  <c r="K9490" i="1"/>
  <c r="E9482" i="1"/>
  <c r="L9482" i="1"/>
  <c r="K9482" i="1"/>
  <c r="L9474" i="1"/>
  <c r="K9474" i="1"/>
  <c r="L9466" i="1"/>
  <c r="K9466" i="1"/>
  <c r="L9458" i="1"/>
  <c r="K9458" i="1"/>
  <c r="L9450" i="1"/>
  <c r="K9450" i="1"/>
  <c r="L9442" i="1"/>
  <c r="K9442" i="1"/>
  <c r="L9434" i="1"/>
  <c r="K9434" i="1"/>
  <c r="L9426" i="1"/>
  <c r="K9426" i="1"/>
  <c r="E9418" i="1"/>
  <c r="L9418" i="1"/>
  <c r="K9418" i="1"/>
  <c r="L9410" i="1"/>
  <c r="K9410" i="1"/>
  <c r="L9402" i="1"/>
  <c r="K9402" i="1"/>
  <c r="L9394" i="1"/>
  <c r="K9394" i="1"/>
  <c r="L9386" i="1"/>
  <c r="K9386" i="1"/>
  <c r="L9378" i="1"/>
  <c r="K9378" i="1"/>
  <c r="L9370" i="1"/>
  <c r="K9370" i="1"/>
  <c r="L9362" i="1"/>
  <c r="K9362" i="1"/>
  <c r="L9354" i="1"/>
  <c r="K9354" i="1"/>
  <c r="L9346" i="1"/>
  <c r="K9346" i="1"/>
  <c r="L9338" i="1"/>
  <c r="K9338" i="1"/>
  <c r="L9330" i="1"/>
  <c r="K9330" i="1"/>
  <c r="L9322" i="1"/>
  <c r="K9322" i="1"/>
  <c r="L9314" i="1"/>
  <c r="K9314" i="1"/>
  <c r="E9306" i="1"/>
  <c r="L9306" i="1"/>
  <c r="K9306" i="1"/>
  <c r="L9298" i="1"/>
  <c r="K9298" i="1"/>
  <c r="E9290" i="1"/>
  <c r="L9290" i="1"/>
  <c r="K9290" i="1"/>
  <c r="L9282" i="1"/>
  <c r="K9282" i="1"/>
  <c r="L9274" i="1"/>
  <c r="K9274" i="1"/>
  <c r="L9266" i="1"/>
  <c r="K9266" i="1"/>
  <c r="L9258" i="1"/>
  <c r="K9258" i="1"/>
  <c r="L9250" i="1"/>
  <c r="K9250" i="1"/>
  <c r="L9242" i="1"/>
  <c r="K9242" i="1"/>
  <c r="L9234" i="1"/>
  <c r="K9234" i="1"/>
  <c r="L9226" i="1"/>
  <c r="K9226" i="1"/>
  <c r="L9218" i="1"/>
  <c r="K9218" i="1"/>
  <c r="E9210" i="1"/>
  <c r="L9210" i="1"/>
  <c r="K9210" i="1"/>
  <c r="L9202" i="1"/>
  <c r="K9202" i="1"/>
  <c r="L9194" i="1"/>
  <c r="K9194" i="1"/>
  <c r="L9186" i="1"/>
  <c r="K9186" i="1"/>
  <c r="L9178" i="1"/>
  <c r="K9178" i="1"/>
  <c r="L9170" i="1"/>
  <c r="K9170" i="1"/>
  <c r="L9162" i="1"/>
  <c r="K9162" i="1"/>
  <c r="L9154" i="1"/>
  <c r="K9154" i="1"/>
  <c r="L9146" i="1"/>
  <c r="K9146" i="1"/>
  <c r="E9138" i="1"/>
  <c r="L9138" i="1"/>
  <c r="K9138" i="1"/>
  <c r="L9130" i="1"/>
  <c r="K9130" i="1"/>
  <c r="L9122" i="1"/>
  <c r="K9122" i="1"/>
  <c r="L9114" i="1"/>
  <c r="K9114" i="1"/>
  <c r="L9106" i="1"/>
  <c r="K9106" i="1"/>
  <c r="L9098" i="1"/>
  <c r="K9098" i="1"/>
  <c r="L9090" i="1"/>
  <c r="K9090" i="1"/>
  <c r="L9082" i="1"/>
  <c r="K9082" i="1"/>
  <c r="L9074" i="1"/>
  <c r="K9074" i="1"/>
  <c r="L9066" i="1"/>
  <c r="K9066" i="1"/>
  <c r="L9058" i="1"/>
  <c r="K9058" i="1"/>
  <c r="L9050" i="1"/>
  <c r="K9050" i="1"/>
  <c r="L9042" i="1"/>
  <c r="K9042" i="1"/>
  <c r="L9034" i="1"/>
  <c r="K9034" i="1"/>
  <c r="L9026" i="1"/>
  <c r="K9026" i="1"/>
  <c r="L9018" i="1"/>
  <c r="K9018" i="1"/>
  <c r="L9010" i="1"/>
  <c r="K9010" i="1"/>
  <c r="L9002" i="1"/>
  <c r="K9002" i="1"/>
  <c r="L8994" i="1"/>
  <c r="K8994" i="1"/>
  <c r="L8986" i="1"/>
  <c r="K8986" i="1"/>
  <c r="L8978" i="1"/>
  <c r="K8978" i="1"/>
  <c r="L8970" i="1"/>
  <c r="K8970" i="1"/>
  <c r="L8962" i="1"/>
  <c r="K8962" i="1"/>
  <c r="L8954" i="1"/>
  <c r="K8954" i="1"/>
  <c r="L8946" i="1"/>
  <c r="K8946" i="1"/>
  <c r="L8938" i="1"/>
  <c r="K8938" i="1"/>
  <c r="L8930" i="1"/>
  <c r="K8930" i="1"/>
  <c r="L8922" i="1"/>
  <c r="K8922" i="1"/>
  <c r="L8914" i="1"/>
  <c r="K8914" i="1"/>
  <c r="L8906" i="1"/>
  <c r="K8906" i="1"/>
  <c r="L8898" i="1"/>
  <c r="K8898" i="1"/>
  <c r="L8890" i="1"/>
  <c r="K8890" i="1"/>
  <c r="L8882" i="1"/>
  <c r="K8882" i="1"/>
  <c r="L8874" i="1"/>
  <c r="K8874" i="1"/>
  <c r="L8866" i="1"/>
  <c r="K8866" i="1"/>
  <c r="L8858" i="1"/>
  <c r="K8858" i="1"/>
  <c r="L8850" i="1"/>
  <c r="K8850" i="1"/>
  <c r="L8842" i="1"/>
  <c r="K8842" i="1"/>
  <c r="L8834" i="1"/>
  <c r="K8834" i="1"/>
  <c r="L8826" i="1"/>
  <c r="K8826" i="1"/>
  <c r="L8818" i="1"/>
  <c r="K8818" i="1"/>
  <c r="L8810" i="1"/>
  <c r="K8810" i="1"/>
  <c r="L8802" i="1"/>
  <c r="K8802" i="1"/>
  <c r="L8794" i="1"/>
  <c r="K8794" i="1"/>
  <c r="E8786" i="1"/>
  <c r="L8786" i="1"/>
  <c r="K8786" i="1"/>
  <c r="L8778" i="1"/>
  <c r="K8778" i="1"/>
  <c r="L8770" i="1"/>
  <c r="K8770" i="1"/>
  <c r="L8762" i="1"/>
  <c r="K8762" i="1"/>
  <c r="L8754" i="1"/>
  <c r="K8754" i="1"/>
  <c r="L8746" i="1"/>
  <c r="K8746" i="1"/>
  <c r="L8738" i="1"/>
  <c r="K8738" i="1"/>
  <c r="L8730" i="1"/>
  <c r="K8730" i="1"/>
  <c r="L8722" i="1"/>
  <c r="K8722" i="1"/>
  <c r="L8714" i="1"/>
  <c r="K8714" i="1"/>
  <c r="E8706" i="1"/>
  <c r="L8706" i="1"/>
  <c r="K8706" i="1"/>
  <c r="L8698" i="1"/>
  <c r="K8698" i="1"/>
  <c r="L8690" i="1"/>
  <c r="K8690" i="1"/>
  <c r="L8682" i="1"/>
  <c r="K8682" i="1"/>
  <c r="L8674" i="1"/>
  <c r="K8674" i="1"/>
  <c r="L8666" i="1"/>
  <c r="K8666" i="1"/>
  <c r="L8658" i="1"/>
  <c r="K8658" i="1"/>
  <c r="E8650" i="1"/>
  <c r="L8650" i="1"/>
  <c r="K8650" i="1"/>
  <c r="L8642" i="1"/>
  <c r="K8642" i="1"/>
  <c r="L8634" i="1"/>
  <c r="K8634" i="1"/>
  <c r="L8626" i="1"/>
  <c r="K8626" i="1"/>
  <c r="L8618" i="1"/>
  <c r="K8618" i="1"/>
  <c r="L8610" i="1"/>
  <c r="K8610" i="1"/>
  <c r="L8602" i="1"/>
  <c r="K8602" i="1"/>
  <c r="L8594" i="1"/>
  <c r="K8594" i="1"/>
  <c r="L8586" i="1"/>
  <c r="K8586" i="1"/>
  <c r="L8578" i="1"/>
  <c r="K8578" i="1"/>
  <c r="L8570" i="1"/>
  <c r="K8570" i="1"/>
  <c r="L8562" i="1"/>
  <c r="K8562" i="1"/>
  <c r="L8554" i="1"/>
  <c r="K8554" i="1"/>
  <c r="L8546" i="1"/>
  <c r="K8546" i="1"/>
  <c r="E8538" i="1"/>
  <c r="L8538" i="1"/>
  <c r="K8538" i="1"/>
  <c r="L8530" i="1"/>
  <c r="K8530" i="1"/>
  <c r="L8522" i="1"/>
  <c r="K8522" i="1"/>
  <c r="L8514" i="1"/>
  <c r="K8514" i="1"/>
  <c r="L8506" i="1"/>
  <c r="K8506" i="1"/>
  <c r="L8498" i="1"/>
  <c r="K8498" i="1"/>
  <c r="L8490" i="1"/>
  <c r="K8490" i="1"/>
  <c r="L8482" i="1"/>
  <c r="K8482" i="1"/>
  <c r="L8474" i="1"/>
  <c r="K8474" i="1"/>
  <c r="L8466" i="1"/>
  <c r="K8466" i="1"/>
  <c r="L8458" i="1"/>
  <c r="K8458" i="1"/>
  <c r="L8450" i="1"/>
  <c r="K8450" i="1"/>
  <c r="E8442" i="1"/>
  <c r="L8442" i="1"/>
  <c r="K8442" i="1"/>
  <c r="L8434" i="1"/>
  <c r="K8434" i="1"/>
  <c r="K8426" i="1"/>
  <c r="L8426" i="1"/>
  <c r="L8418" i="1"/>
  <c r="K8418" i="1"/>
  <c r="L8410" i="1"/>
  <c r="K8410" i="1"/>
  <c r="L8402" i="1"/>
  <c r="K8402" i="1"/>
  <c r="L8394" i="1"/>
  <c r="K8394" i="1"/>
  <c r="L8386" i="1"/>
  <c r="K8386" i="1"/>
  <c r="L8378" i="1"/>
  <c r="K8378" i="1"/>
  <c r="L8370" i="1"/>
  <c r="K8370" i="1"/>
  <c r="L8362" i="1"/>
  <c r="K8362" i="1"/>
  <c r="E8354" i="1"/>
  <c r="L8354" i="1"/>
  <c r="K8354" i="1"/>
  <c r="L8346" i="1"/>
  <c r="K8346" i="1"/>
  <c r="E8338" i="1"/>
  <c r="L8338" i="1"/>
  <c r="K8338" i="1"/>
  <c r="L8330" i="1"/>
  <c r="K8330" i="1"/>
  <c r="L8322" i="1"/>
  <c r="K8322" i="1"/>
  <c r="L8314" i="1"/>
  <c r="K8314" i="1"/>
  <c r="L8306" i="1"/>
  <c r="K8306" i="1"/>
  <c r="K8298" i="1"/>
  <c r="L8298" i="1"/>
  <c r="L8290" i="1"/>
  <c r="K8290" i="1"/>
  <c r="E8282" i="1"/>
  <c r="L8282" i="1"/>
  <c r="K8282" i="1"/>
  <c r="L8274" i="1"/>
  <c r="K8274" i="1"/>
  <c r="L8266" i="1"/>
  <c r="K8266" i="1"/>
  <c r="L8258" i="1"/>
  <c r="K8258" i="1"/>
  <c r="L8250" i="1"/>
  <c r="K8250" i="1"/>
  <c r="L8242" i="1"/>
  <c r="K8242" i="1"/>
  <c r="L8234" i="1"/>
  <c r="K8234" i="1"/>
  <c r="L8226" i="1"/>
  <c r="K8226" i="1"/>
  <c r="L8210" i="1"/>
  <c r="K8210" i="1"/>
  <c r="L8202" i="1"/>
  <c r="K8202" i="1"/>
  <c r="L8194" i="1"/>
  <c r="K8194" i="1"/>
  <c r="K8186" i="1"/>
  <c r="L8186" i="1"/>
  <c r="L8178" i="1"/>
  <c r="K8178" i="1"/>
  <c r="L8170" i="1"/>
  <c r="K8170" i="1"/>
  <c r="E8162" i="1"/>
  <c r="L8162" i="1"/>
  <c r="K8162" i="1"/>
  <c r="K8154" i="1"/>
  <c r="L8154" i="1"/>
  <c r="L8146" i="1"/>
  <c r="K8146" i="1"/>
  <c r="L8138" i="1"/>
  <c r="K8138" i="1"/>
  <c r="L8130" i="1"/>
  <c r="K8130" i="1"/>
  <c r="L8122" i="1"/>
  <c r="K8122" i="1"/>
  <c r="L8114" i="1"/>
  <c r="K8114" i="1"/>
  <c r="L8106" i="1"/>
  <c r="K8106" i="1"/>
  <c r="L8098" i="1"/>
  <c r="K8098" i="1"/>
  <c r="L8082" i="1"/>
  <c r="K8082" i="1"/>
  <c r="L8074" i="1"/>
  <c r="K8074" i="1"/>
  <c r="L8066" i="1"/>
  <c r="K8066" i="1"/>
  <c r="L8050" i="1"/>
  <c r="K8050" i="1"/>
  <c r="L8042" i="1"/>
  <c r="K8042" i="1"/>
  <c r="L8034" i="1"/>
  <c r="K8034" i="1"/>
  <c r="K8026" i="1"/>
  <c r="L8026" i="1"/>
  <c r="L8018" i="1"/>
  <c r="K8018" i="1"/>
  <c r="L8010" i="1"/>
  <c r="K8010" i="1"/>
  <c r="L8002" i="1"/>
  <c r="K8002" i="1"/>
  <c r="K7994" i="1"/>
  <c r="L7994" i="1"/>
  <c r="L7986" i="1"/>
  <c r="K7986" i="1"/>
  <c r="L7978" i="1"/>
  <c r="K7978" i="1"/>
  <c r="L7970" i="1"/>
  <c r="K7970" i="1"/>
  <c r="L7962" i="1"/>
  <c r="K7962" i="1"/>
  <c r="L7954" i="1"/>
  <c r="K7954" i="1"/>
  <c r="L7946" i="1"/>
  <c r="K7946" i="1"/>
  <c r="L7938" i="1"/>
  <c r="K7938" i="1"/>
  <c r="L7930" i="1"/>
  <c r="K7930" i="1"/>
  <c r="L7922" i="1"/>
  <c r="K7922" i="1"/>
  <c r="L7914" i="1"/>
  <c r="K7914" i="1"/>
  <c r="L7906" i="1"/>
  <c r="K7906" i="1"/>
  <c r="L7898" i="1"/>
  <c r="K7898" i="1"/>
  <c r="L7890" i="1"/>
  <c r="K7890" i="1"/>
  <c r="L7882" i="1"/>
  <c r="K7882" i="1"/>
  <c r="L7874" i="1"/>
  <c r="K7874" i="1"/>
  <c r="L7858" i="1"/>
  <c r="K7858" i="1"/>
  <c r="L7850" i="1"/>
  <c r="K7850" i="1"/>
  <c r="J7842" i="1"/>
  <c r="L7842" i="1"/>
  <c r="K7842" i="1"/>
  <c r="L7834" i="1"/>
  <c r="K7834" i="1"/>
  <c r="J7826" i="1"/>
  <c r="L7826" i="1"/>
  <c r="K7826" i="1"/>
  <c r="J7818" i="1"/>
  <c r="L7818" i="1"/>
  <c r="K7818" i="1"/>
  <c r="J7810" i="1"/>
  <c r="L7810" i="1"/>
  <c r="K7810" i="1"/>
  <c r="K7802" i="1"/>
  <c r="L7802" i="1"/>
  <c r="J7794" i="1"/>
  <c r="L7794" i="1"/>
  <c r="K7794" i="1"/>
  <c r="L7786" i="1"/>
  <c r="K7786" i="1"/>
  <c r="L7778" i="1"/>
  <c r="K7778" i="1"/>
  <c r="J7770" i="1"/>
  <c r="L7770" i="1"/>
  <c r="K7770" i="1"/>
  <c r="J7762" i="1"/>
  <c r="L7762" i="1"/>
  <c r="K7762" i="1"/>
  <c r="J7754" i="1"/>
  <c r="L7754" i="1"/>
  <c r="K7754" i="1"/>
  <c r="L7746" i="1"/>
  <c r="K7746" i="1"/>
  <c r="J7738" i="1"/>
  <c r="K7738" i="1"/>
  <c r="L7738" i="1"/>
  <c r="J7730" i="1"/>
  <c r="L7730" i="1"/>
  <c r="K7730" i="1"/>
  <c r="J7722" i="1"/>
  <c r="L7722" i="1"/>
  <c r="K7722" i="1"/>
  <c r="L7714" i="1"/>
  <c r="K7714" i="1"/>
  <c r="J7706" i="1"/>
  <c r="L7706" i="1"/>
  <c r="K7706" i="1"/>
  <c r="L7698" i="1"/>
  <c r="K7698" i="1"/>
  <c r="L7690" i="1"/>
  <c r="K7690" i="1"/>
  <c r="J7682" i="1"/>
  <c r="L7682" i="1"/>
  <c r="K7682" i="1"/>
  <c r="J7674" i="1"/>
  <c r="K7674" i="1"/>
  <c r="L7674" i="1"/>
  <c r="L7666" i="1"/>
  <c r="K7666" i="1"/>
  <c r="L7658" i="1"/>
  <c r="K7658" i="1"/>
  <c r="J7650" i="1"/>
  <c r="L7650" i="1"/>
  <c r="K7650" i="1"/>
  <c r="J7642" i="1"/>
  <c r="L7642" i="1"/>
  <c r="K7642" i="1"/>
  <c r="J7634" i="1"/>
  <c r="L7634" i="1"/>
  <c r="K7634" i="1"/>
  <c r="L7626" i="1"/>
  <c r="K7626" i="1"/>
  <c r="J7618" i="1"/>
  <c r="L7618" i="1"/>
  <c r="K7618" i="1"/>
  <c r="J7610" i="1"/>
  <c r="L7610" i="1"/>
  <c r="K7610" i="1"/>
  <c r="L7602" i="1"/>
  <c r="K7602" i="1"/>
  <c r="J7594" i="1"/>
  <c r="L7594" i="1"/>
  <c r="K7594" i="1"/>
  <c r="J7586" i="1"/>
  <c r="L7586" i="1"/>
  <c r="K7586" i="1"/>
  <c r="L7578" i="1"/>
  <c r="K7578" i="1"/>
  <c r="L7570" i="1"/>
  <c r="K7570" i="1"/>
  <c r="J7562" i="1"/>
  <c r="L7562" i="1"/>
  <c r="K7562" i="1"/>
  <c r="J7554" i="1"/>
  <c r="L7554" i="1"/>
  <c r="K7554" i="1"/>
  <c r="L7538" i="1"/>
  <c r="K7538" i="1"/>
  <c r="J7530" i="1"/>
  <c r="L7530" i="1"/>
  <c r="K7530" i="1"/>
  <c r="J7522" i="1"/>
  <c r="L7522" i="1"/>
  <c r="K7522" i="1"/>
  <c r="L7514" i="1"/>
  <c r="K7514" i="1"/>
  <c r="L7506" i="1"/>
  <c r="K7506" i="1"/>
  <c r="J7498" i="1"/>
  <c r="L7498" i="1"/>
  <c r="K7498" i="1"/>
  <c r="J7490" i="1"/>
  <c r="L7490" i="1"/>
  <c r="K7490" i="1"/>
  <c r="L7474" i="1"/>
  <c r="K7474" i="1"/>
  <c r="J7466" i="1"/>
  <c r="L7466" i="1"/>
  <c r="K7466" i="1"/>
  <c r="J7458" i="1"/>
  <c r="L7458" i="1"/>
  <c r="K7458" i="1"/>
  <c r="L7450" i="1"/>
  <c r="K7450" i="1"/>
  <c r="L7442" i="1"/>
  <c r="K7442" i="1"/>
  <c r="J7434" i="1"/>
  <c r="K7434" i="1"/>
  <c r="L7434" i="1"/>
  <c r="J7426" i="1"/>
  <c r="L7426" i="1"/>
  <c r="K7426" i="1"/>
  <c r="J7418" i="1"/>
  <c r="L7418" i="1"/>
  <c r="K7418" i="1"/>
  <c r="L7410" i="1"/>
  <c r="K7410" i="1"/>
  <c r="J7402" i="1"/>
  <c r="L7402" i="1"/>
  <c r="K7402" i="1"/>
  <c r="J7394" i="1"/>
  <c r="L7394" i="1"/>
  <c r="K7394" i="1"/>
  <c r="J7386" i="1"/>
  <c r="L7386" i="1"/>
  <c r="K7386" i="1"/>
  <c r="L7378" i="1"/>
  <c r="K7378" i="1"/>
  <c r="J7370" i="1"/>
  <c r="L7370" i="1"/>
  <c r="K7370" i="1"/>
  <c r="J7362" i="1"/>
  <c r="K7362" i="1"/>
  <c r="L7362" i="1"/>
  <c r="J7354" i="1"/>
  <c r="L7354" i="1"/>
  <c r="K7354" i="1"/>
  <c r="L7346" i="1"/>
  <c r="K7346" i="1"/>
  <c r="J7338" i="1"/>
  <c r="L7338" i="1"/>
  <c r="K7338" i="1"/>
  <c r="J7330" i="1"/>
  <c r="L7330" i="1"/>
  <c r="K7330" i="1"/>
  <c r="J7322" i="1"/>
  <c r="L7322" i="1"/>
  <c r="J7306" i="1"/>
  <c r="L7306" i="1"/>
  <c r="K7306" i="1"/>
  <c r="J7298" i="1"/>
  <c r="L7298" i="1"/>
  <c r="K7298" i="1"/>
  <c r="J7290" i="1"/>
  <c r="L7290" i="1"/>
  <c r="J7274" i="1"/>
  <c r="L7274" i="1"/>
  <c r="K7274" i="1"/>
  <c r="J7266" i="1"/>
  <c r="L7266" i="1"/>
  <c r="K7266" i="1"/>
  <c r="J7258" i="1"/>
  <c r="L7258" i="1"/>
  <c r="J7242" i="1"/>
  <c r="L7242" i="1"/>
  <c r="K7242" i="1"/>
  <c r="J7234" i="1"/>
  <c r="L7234" i="1"/>
  <c r="J7226" i="1"/>
  <c r="L7226" i="1"/>
  <c r="K7226" i="1"/>
  <c r="J7218" i="1"/>
  <c r="L7218" i="1"/>
  <c r="K7218" i="1"/>
  <c r="J7210" i="1"/>
  <c r="L7210" i="1"/>
  <c r="L7202" i="1"/>
  <c r="K7202" i="1"/>
  <c r="J7186" i="1"/>
  <c r="L7186" i="1"/>
  <c r="K7186" i="1"/>
  <c r="J7178" i="1"/>
  <c r="L7178" i="1"/>
  <c r="K7178" i="1"/>
  <c r="L7162" i="1"/>
  <c r="K7162" i="1"/>
  <c r="J7154" i="1"/>
  <c r="L7154" i="1"/>
  <c r="K7154" i="1"/>
  <c r="J7146" i="1"/>
  <c r="L7146" i="1"/>
  <c r="L7138" i="1"/>
  <c r="K7138" i="1"/>
  <c r="J7122" i="1"/>
  <c r="L7122" i="1"/>
  <c r="K7122" i="1"/>
  <c r="J7114" i="1"/>
  <c r="L7114" i="1"/>
  <c r="K7114" i="1"/>
  <c r="L7098" i="1"/>
  <c r="K7098" i="1"/>
  <c r="J7090" i="1"/>
  <c r="L7090" i="1"/>
  <c r="K7090" i="1"/>
  <c r="J7082" i="1"/>
  <c r="L7082" i="1"/>
  <c r="L7074" i="1"/>
  <c r="K7074" i="1"/>
  <c r="J7058" i="1"/>
  <c r="L7058" i="1"/>
  <c r="K7058" i="1"/>
  <c r="J7050" i="1"/>
  <c r="L7050" i="1"/>
  <c r="K7050" i="1"/>
  <c r="L7034" i="1"/>
  <c r="K7034" i="1"/>
  <c r="J7026" i="1"/>
  <c r="L7026" i="1"/>
  <c r="K7026" i="1"/>
  <c r="J7018" i="1"/>
  <c r="L7018" i="1"/>
  <c r="J7010" i="1"/>
  <c r="L7010" i="1"/>
  <c r="K7010" i="1"/>
  <c r="J6994" i="1"/>
  <c r="L6994" i="1"/>
  <c r="K6994" i="1"/>
  <c r="J6986" i="1"/>
  <c r="L6986" i="1"/>
  <c r="K6986" i="1"/>
  <c r="J6970" i="1"/>
  <c r="L6970" i="1"/>
  <c r="K6970" i="1"/>
  <c r="J6962" i="1"/>
  <c r="L6962" i="1"/>
  <c r="K6962" i="1"/>
  <c r="J6954" i="1"/>
  <c r="L6954" i="1"/>
  <c r="L6946" i="1"/>
  <c r="K6946" i="1"/>
  <c r="J6938" i="1"/>
  <c r="L6938" i="1"/>
  <c r="J6930" i="1"/>
  <c r="L6930" i="1"/>
  <c r="K6930" i="1"/>
  <c r="J6922" i="1"/>
  <c r="K6922" i="1"/>
  <c r="J6906" i="1"/>
  <c r="L6906" i="1"/>
  <c r="K6906" i="1"/>
  <c r="L6898" i="1"/>
  <c r="K6898" i="1"/>
  <c r="J6882" i="1"/>
  <c r="L6882" i="1"/>
  <c r="K6882" i="1"/>
  <c r="J6874" i="1"/>
  <c r="L6874" i="1"/>
  <c r="J6866" i="1"/>
  <c r="L6866" i="1"/>
  <c r="K6866" i="1"/>
  <c r="L6858" i="1"/>
  <c r="K6858" i="1"/>
  <c r="J6842" i="1"/>
  <c r="L6842" i="1"/>
  <c r="K6842" i="1"/>
  <c r="J6834" i="1"/>
  <c r="L6834" i="1"/>
  <c r="K6834" i="1"/>
  <c r="J6818" i="1"/>
  <c r="L6818" i="1"/>
  <c r="K6818" i="1"/>
  <c r="J6810" i="1"/>
  <c r="L6810" i="1"/>
  <c r="J6802" i="1"/>
  <c r="L6802" i="1"/>
  <c r="K6802" i="1"/>
  <c r="L6794" i="1"/>
  <c r="K6794" i="1"/>
  <c r="J6786" i="1"/>
  <c r="L6786" i="1"/>
  <c r="J6778" i="1"/>
  <c r="L6778" i="1"/>
  <c r="K6778" i="1"/>
  <c r="J6770" i="1"/>
  <c r="L6770" i="1"/>
  <c r="K6770" i="1"/>
  <c r="J6754" i="1"/>
  <c r="L6754" i="1"/>
  <c r="K6754" i="1"/>
  <c r="L6738" i="1"/>
  <c r="K6738" i="1"/>
  <c r="J6730" i="1"/>
  <c r="L6730" i="1"/>
  <c r="K6730" i="1"/>
  <c r="J6722" i="1"/>
  <c r="L6722" i="1"/>
  <c r="J6714" i="1"/>
  <c r="L6714" i="1"/>
  <c r="K6714" i="1"/>
  <c r="J6706" i="1"/>
  <c r="L6706" i="1"/>
  <c r="K6706" i="1"/>
  <c r="J6698" i="1"/>
  <c r="L6698" i="1"/>
  <c r="L6690" i="1"/>
  <c r="K6690" i="1"/>
  <c r="J6682" i="1"/>
  <c r="L6682" i="1"/>
  <c r="L6674" i="1"/>
  <c r="K6674" i="1"/>
  <c r="K6666" i="1"/>
  <c r="L6666" i="1"/>
  <c r="J6658" i="1"/>
  <c r="L6658" i="1"/>
  <c r="J6650" i="1"/>
  <c r="L6650" i="1"/>
  <c r="K6650" i="1"/>
  <c r="J6642" i="1"/>
  <c r="L6642" i="1"/>
  <c r="K6642" i="1"/>
  <c r="J6626" i="1"/>
  <c r="L6626" i="1"/>
  <c r="K6626" i="1"/>
  <c r="L6610" i="1"/>
  <c r="K6610" i="1"/>
  <c r="J6602" i="1"/>
  <c r="L6602" i="1"/>
  <c r="K6602" i="1"/>
  <c r="J6594" i="1"/>
  <c r="L6594" i="1"/>
  <c r="L6586" i="1"/>
  <c r="K6586" i="1"/>
  <c r="L6578" i="1"/>
  <c r="K6578" i="1"/>
  <c r="J6570" i="1"/>
  <c r="L6570" i="1"/>
  <c r="J6562" i="1"/>
  <c r="L6562" i="1"/>
  <c r="K6562" i="1"/>
  <c r="L6546" i="1"/>
  <c r="K6546" i="1"/>
  <c r="J6538" i="1"/>
  <c r="L6538" i="1"/>
  <c r="K6538" i="1"/>
  <c r="J6530" i="1"/>
  <c r="L6530" i="1"/>
  <c r="J6522" i="1"/>
  <c r="L6522" i="1"/>
  <c r="K6522" i="1"/>
  <c r="L6514" i="1"/>
  <c r="K6514" i="1"/>
  <c r="J6506" i="1"/>
  <c r="L6506" i="1"/>
  <c r="L6498" i="1"/>
  <c r="K6498" i="1"/>
  <c r="J6482" i="1"/>
  <c r="L6482" i="1"/>
  <c r="K6482" i="1"/>
  <c r="L6474" i="1"/>
  <c r="K6474" i="1"/>
  <c r="J6458" i="1"/>
  <c r="L6458" i="1"/>
  <c r="K6458" i="1"/>
  <c r="L6450" i="1"/>
  <c r="K6450" i="1"/>
  <c r="J6434" i="1"/>
  <c r="L6434" i="1"/>
  <c r="K6434" i="1"/>
  <c r="L6418" i="1"/>
  <c r="K6418" i="1"/>
  <c r="J6410" i="1"/>
  <c r="L6410" i="1"/>
  <c r="K6410" i="1"/>
  <c r="J6402" i="1"/>
  <c r="L6402" i="1"/>
  <c r="L6394" i="1"/>
  <c r="K6394" i="1"/>
  <c r="J6386" i="1"/>
  <c r="L6386" i="1"/>
  <c r="K6386" i="1"/>
  <c r="J6378" i="1"/>
  <c r="L6378" i="1"/>
  <c r="J6370" i="1"/>
  <c r="L6370" i="1"/>
  <c r="K6370" i="1"/>
  <c r="J6354" i="1"/>
  <c r="L6354" i="1"/>
  <c r="K6354" i="1"/>
  <c r="L6346" i="1"/>
  <c r="K6346" i="1"/>
  <c r="J6338" i="1"/>
  <c r="L6338" i="1"/>
  <c r="J6330" i="1"/>
  <c r="L6330" i="1"/>
  <c r="K6330" i="1"/>
  <c r="L6322" i="1"/>
  <c r="K6322" i="1"/>
  <c r="J6306" i="1"/>
  <c r="L6306" i="1"/>
  <c r="K6306" i="1"/>
  <c r="L6290" i="1"/>
  <c r="K6290" i="1"/>
  <c r="J6282" i="1"/>
  <c r="L6282" i="1"/>
  <c r="K6282" i="1"/>
  <c r="J6274" i="1"/>
  <c r="L6274" i="1"/>
  <c r="L6266" i="1"/>
  <c r="K6266" i="1"/>
  <c r="J6258" i="1"/>
  <c r="L6258" i="1"/>
  <c r="K6258" i="1"/>
  <c r="J6250" i="1"/>
  <c r="L6250" i="1"/>
  <c r="L6242" i="1"/>
  <c r="K6242" i="1"/>
  <c r="J6234" i="1"/>
  <c r="L6234" i="1"/>
  <c r="L6226" i="1"/>
  <c r="K6226" i="1"/>
  <c r="L6218" i="1"/>
  <c r="K6218" i="1"/>
  <c r="J6210" i="1"/>
  <c r="L6210" i="1"/>
  <c r="J6202" i="1"/>
  <c r="L6202" i="1"/>
  <c r="K6202" i="1"/>
  <c r="J6194" i="1"/>
  <c r="L6194" i="1"/>
  <c r="K6194" i="1"/>
  <c r="J6178" i="1"/>
  <c r="L6178" i="1"/>
  <c r="K6178" i="1"/>
  <c r="J6170" i="1"/>
  <c r="L6170" i="1"/>
  <c r="J6162" i="1"/>
  <c r="L6162" i="1"/>
  <c r="K6162" i="1"/>
  <c r="L6154" i="1"/>
  <c r="K6154" i="1"/>
  <c r="J6146" i="1"/>
  <c r="L6146" i="1"/>
  <c r="L6138" i="1"/>
  <c r="K6138" i="1"/>
  <c r="L6130" i="1"/>
  <c r="K6130" i="1"/>
  <c r="J6122" i="1"/>
  <c r="L6122" i="1"/>
  <c r="J6114" i="1"/>
  <c r="L6114" i="1"/>
  <c r="K6114" i="1"/>
  <c r="L6098" i="1"/>
  <c r="K6098" i="1"/>
  <c r="J6090" i="1"/>
  <c r="L6090" i="1"/>
  <c r="K6090" i="1"/>
  <c r="J6082" i="1"/>
  <c r="L6082" i="1"/>
  <c r="L6074" i="1"/>
  <c r="K6074" i="1"/>
  <c r="J6066" i="1"/>
  <c r="L6066" i="1"/>
  <c r="K6066" i="1"/>
  <c r="L6050" i="1"/>
  <c r="K6050" i="1"/>
  <c r="J6042" i="1"/>
  <c r="L6042" i="1"/>
  <c r="L6034" i="1"/>
  <c r="K6034" i="1"/>
  <c r="L6026" i="1"/>
  <c r="K6026" i="1"/>
  <c r="J6018" i="1"/>
  <c r="L6018" i="1"/>
  <c r="L6010" i="1"/>
  <c r="K6010" i="1"/>
  <c r="J6002" i="1"/>
  <c r="L6002" i="1"/>
  <c r="K6002" i="1"/>
  <c r="J5994" i="1"/>
  <c r="L5994" i="1"/>
  <c r="J5986" i="1"/>
  <c r="L5986" i="1"/>
  <c r="K5986" i="1"/>
  <c r="J5978" i="1"/>
  <c r="L5978" i="1"/>
  <c r="J5970" i="1"/>
  <c r="L5970" i="1"/>
  <c r="K5970" i="1"/>
  <c r="L5962" i="1"/>
  <c r="K5962" i="1"/>
  <c r="J5954" i="1"/>
  <c r="L5954" i="1"/>
  <c r="L5946" i="1"/>
  <c r="K5946" i="1"/>
  <c r="L5938" i="1"/>
  <c r="K5938" i="1"/>
  <c r="J5930" i="1"/>
  <c r="L5930" i="1"/>
  <c r="J5922" i="1"/>
  <c r="L5922" i="1"/>
  <c r="K5922" i="1"/>
  <c r="J5914" i="1"/>
  <c r="L5914" i="1"/>
  <c r="L5906" i="1"/>
  <c r="K5906" i="1"/>
  <c r="L5898" i="1"/>
  <c r="K5898" i="1"/>
  <c r="J5890" i="1"/>
  <c r="L5890" i="1"/>
  <c r="J5882" i="1"/>
  <c r="L5882" i="1"/>
  <c r="K5882" i="1"/>
  <c r="J5874" i="1"/>
  <c r="L5874" i="1"/>
  <c r="K5874" i="1"/>
  <c r="J5858" i="1"/>
  <c r="L5858" i="1"/>
  <c r="K5858" i="1"/>
  <c r="J5850" i="1"/>
  <c r="L5850" i="1"/>
  <c r="J5842" i="1"/>
  <c r="L5842" i="1"/>
  <c r="K5842" i="1"/>
  <c r="L5834" i="1"/>
  <c r="K5834" i="1"/>
  <c r="J5826" i="1"/>
  <c r="L5826" i="1"/>
  <c r="L5818" i="1"/>
  <c r="K5818" i="1"/>
  <c r="L5810" i="1"/>
  <c r="K5810" i="1"/>
  <c r="J5802" i="1"/>
  <c r="L5802" i="1"/>
  <c r="J5794" i="1"/>
  <c r="L5794" i="1"/>
  <c r="K5794" i="1"/>
  <c r="J5786" i="1"/>
  <c r="L5786" i="1"/>
  <c r="J5778" i="1"/>
  <c r="L5778" i="1"/>
  <c r="K5778" i="1"/>
  <c r="J5770" i="1"/>
  <c r="L5770" i="1"/>
  <c r="K5770" i="1"/>
  <c r="J5762" i="1"/>
  <c r="L5762" i="1"/>
  <c r="J5754" i="1"/>
  <c r="L5754" i="1"/>
  <c r="K5754" i="1"/>
  <c r="J5746" i="1"/>
  <c r="L5746" i="1"/>
  <c r="K5746" i="1"/>
  <c r="L5730" i="1"/>
  <c r="K5730" i="1"/>
  <c r="J5722" i="1"/>
  <c r="L5722" i="1"/>
  <c r="J5714" i="1"/>
  <c r="L5714" i="1"/>
  <c r="K5714" i="1"/>
  <c r="J5706" i="1"/>
  <c r="L5706" i="1"/>
  <c r="K5706" i="1"/>
  <c r="J5698" i="1"/>
  <c r="L5698" i="1"/>
  <c r="L5690" i="1"/>
  <c r="K5690" i="1"/>
  <c r="J5682" i="1"/>
  <c r="L5682" i="1"/>
  <c r="K5682" i="1"/>
  <c r="L5666" i="1"/>
  <c r="K5666" i="1"/>
  <c r="J5658" i="1"/>
  <c r="L5658" i="1"/>
  <c r="L5650" i="1"/>
  <c r="K5650" i="1"/>
  <c r="L5642" i="1"/>
  <c r="K5642" i="1"/>
  <c r="J5634" i="1"/>
  <c r="L5634" i="1"/>
  <c r="J5626" i="1"/>
  <c r="L5626" i="1"/>
  <c r="K5626" i="1"/>
  <c r="J5618" i="1"/>
  <c r="L5618" i="1"/>
  <c r="K5618" i="1"/>
  <c r="L5602" i="1"/>
  <c r="K5602" i="1"/>
  <c r="J5594" i="1"/>
  <c r="L5594" i="1"/>
  <c r="L5586" i="1"/>
  <c r="K5586" i="1"/>
  <c r="L5578" i="1"/>
  <c r="K5578" i="1"/>
  <c r="J5562" i="1"/>
  <c r="L5562" i="1"/>
  <c r="K5562" i="1"/>
  <c r="L5554" i="1"/>
  <c r="K5554" i="1"/>
  <c r="L5538" i="1"/>
  <c r="K5538" i="1"/>
  <c r="J5530" i="1"/>
  <c r="L5530" i="1"/>
  <c r="L5522" i="1"/>
  <c r="K5522" i="1"/>
  <c r="L5514" i="1"/>
  <c r="K5514" i="1"/>
  <c r="J5498" i="1"/>
  <c r="L5498" i="1"/>
  <c r="K5498" i="1"/>
  <c r="L5490" i="1"/>
  <c r="K5490" i="1"/>
  <c r="J5482" i="1"/>
  <c r="L5482" i="1"/>
  <c r="J5474" i="1"/>
  <c r="L5474" i="1"/>
  <c r="K5474" i="1"/>
  <c r="J5458" i="1"/>
  <c r="L5458" i="1"/>
  <c r="K5458" i="1"/>
  <c r="J5450" i="1"/>
  <c r="L5450" i="1"/>
  <c r="K5450" i="1"/>
  <c r="L5434" i="1"/>
  <c r="K5434" i="1"/>
  <c r="J5426" i="1"/>
  <c r="L5426" i="1"/>
  <c r="K5426" i="1"/>
  <c r="J5410" i="1"/>
  <c r="L5410" i="1"/>
  <c r="K5410" i="1"/>
  <c r="J5402" i="1"/>
  <c r="L5402" i="1"/>
  <c r="L5394" i="1"/>
  <c r="K5394" i="1"/>
  <c r="J5386" i="1"/>
  <c r="L5386" i="1"/>
  <c r="K5386" i="1"/>
  <c r="J5378" i="1"/>
  <c r="L5378" i="1"/>
  <c r="L5370" i="1"/>
  <c r="K5370" i="1"/>
  <c r="J5362" i="1"/>
  <c r="L5362" i="1"/>
  <c r="K5362" i="1"/>
  <c r="J5354" i="1"/>
  <c r="L5354" i="1"/>
  <c r="L5346" i="1"/>
  <c r="K5346" i="1"/>
  <c r="J5338" i="1"/>
  <c r="L5338" i="1"/>
  <c r="L5330" i="1"/>
  <c r="K5330" i="1"/>
  <c r="L5322" i="1"/>
  <c r="K5322" i="1"/>
  <c r="J5314" i="1"/>
  <c r="L5314" i="1"/>
  <c r="J5306" i="1"/>
  <c r="L5306" i="1"/>
  <c r="K5306" i="1"/>
  <c r="L5298" i="1"/>
  <c r="K5298" i="1"/>
  <c r="J5282" i="1"/>
  <c r="L5282" i="1"/>
  <c r="K5282" i="1"/>
  <c r="L5266" i="1"/>
  <c r="K5266" i="1"/>
  <c r="L5258" i="1"/>
  <c r="K5258" i="1"/>
  <c r="L5242" i="1"/>
  <c r="K5242" i="1"/>
  <c r="L5234" i="1"/>
  <c r="K5234" i="1"/>
  <c r="L5218" i="1"/>
  <c r="K5218" i="1"/>
  <c r="J5210" i="1"/>
  <c r="L5210" i="1"/>
  <c r="J5202" i="1"/>
  <c r="L5202" i="1"/>
  <c r="K5202" i="1"/>
  <c r="L5194" i="1"/>
  <c r="K5194" i="1"/>
  <c r="J5186" i="1"/>
  <c r="L5186" i="1"/>
  <c r="L5178" i="1"/>
  <c r="K5178" i="1"/>
  <c r="L5170" i="1"/>
  <c r="K5170" i="1"/>
  <c r="L5154" i="1"/>
  <c r="K5154" i="1"/>
  <c r="J5138" i="1"/>
  <c r="L5138" i="1"/>
  <c r="K5138" i="1"/>
  <c r="L5130" i="1"/>
  <c r="K5130" i="1"/>
  <c r="J5122" i="1"/>
  <c r="L5122" i="1"/>
  <c r="J5114" i="1"/>
  <c r="L5114" i="1"/>
  <c r="K5114" i="1"/>
  <c r="L5106" i="1"/>
  <c r="K5106" i="1"/>
  <c r="J5090" i="1"/>
  <c r="L5090" i="1"/>
  <c r="K5090" i="1"/>
  <c r="L5074" i="1"/>
  <c r="K5074" i="1"/>
  <c r="J5066" i="1"/>
  <c r="L5066" i="1"/>
  <c r="K5066" i="1"/>
  <c r="J5050" i="1"/>
  <c r="L5050" i="1"/>
  <c r="K5050" i="1"/>
  <c r="J5042" i="1"/>
  <c r="L5042" i="1"/>
  <c r="K5042" i="1"/>
  <c r="J5026" i="1"/>
  <c r="L5026" i="1"/>
  <c r="K5026" i="1"/>
  <c r="J5018" i="1"/>
  <c r="L5018" i="1"/>
  <c r="L5010" i="1"/>
  <c r="K5010" i="1"/>
  <c r="J5002" i="1"/>
  <c r="L5002" i="1"/>
  <c r="K5002" i="1"/>
  <c r="J4994" i="1"/>
  <c r="L4994" i="1"/>
  <c r="L4986" i="1"/>
  <c r="K4986" i="1"/>
  <c r="L4978" i="1"/>
  <c r="K4978" i="1"/>
  <c r="L4962" i="1"/>
  <c r="K4962" i="1"/>
  <c r="J4954" i="1"/>
  <c r="L4954" i="1"/>
  <c r="L4946" i="1"/>
  <c r="K4946" i="1"/>
  <c r="L4938" i="1"/>
  <c r="K4938" i="1"/>
  <c r="J4930" i="1"/>
  <c r="L4930" i="1"/>
  <c r="L4922" i="1"/>
  <c r="K4922" i="1"/>
  <c r="J4914" i="1"/>
  <c r="L4914" i="1"/>
  <c r="K4914" i="1"/>
  <c r="J4906" i="1"/>
  <c r="L4906" i="1"/>
  <c r="L4898" i="1"/>
  <c r="K4898" i="1"/>
  <c r="J4882" i="1"/>
  <c r="L4882" i="1"/>
  <c r="K4882" i="1"/>
  <c r="L4874" i="1"/>
  <c r="K4874" i="1"/>
  <c r="L4858" i="1"/>
  <c r="K4858" i="1"/>
  <c r="J4850" i="1"/>
  <c r="L4850" i="1"/>
  <c r="K4850" i="1"/>
  <c r="L4834" i="1"/>
  <c r="K4834" i="1"/>
  <c r="L4818" i="1"/>
  <c r="K4818" i="1"/>
  <c r="L4810" i="1"/>
  <c r="K4810" i="1"/>
  <c r="L4794" i="1"/>
  <c r="K4794" i="1"/>
  <c r="L4786" i="1"/>
  <c r="K4786" i="1"/>
  <c r="L4770" i="1"/>
  <c r="K4770" i="1"/>
  <c r="J4762" i="1"/>
  <c r="L4762" i="1"/>
  <c r="L4754" i="1"/>
  <c r="K4754" i="1"/>
  <c r="J4746" i="1"/>
  <c r="L4746" i="1"/>
  <c r="K4746" i="1"/>
  <c r="J4738" i="1"/>
  <c r="L4738" i="1"/>
  <c r="L4730" i="1"/>
  <c r="K4730" i="1"/>
  <c r="J4722" i="1"/>
  <c r="L4722" i="1"/>
  <c r="K4722" i="1"/>
  <c r="J4714" i="1"/>
  <c r="L4714" i="1"/>
  <c r="L4706" i="1"/>
  <c r="K4706" i="1"/>
  <c r="L4690" i="1"/>
  <c r="K4690" i="1"/>
  <c r="J4682" i="1"/>
  <c r="L4682" i="1"/>
  <c r="K4682" i="1"/>
  <c r="J4674" i="1"/>
  <c r="L4674" i="1"/>
  <c r="L4666" i="1"/>
  <c r="K4666" i="1"/>
  <c r="L4658" i="1"/>
  <c r="K4658" i="1"/>
  <c r="J4650" i="1"/>
  <c r="L4650" i="1"/>
  <c r="L4642" i="1"/>
  <c r="K4642" i="1"/>
  <c r="J4634" i="1"/>
  <c r="L4634" i="1"/>
  <c r="J4626" i="1"/>
  <c r="L4626" i="1"/>
  <c r="K4626" i="1"/>
  <c r="L4618" i="1"/>
  <c r="K4618" i="1"/>
  <c r="J4610" i="1"/>
  <c r="L4610" i="1"/>
  <c r="J4602" i="1"/>
  <c r="L4602" i="1"/>
  <c r="K4602" i="1"/>
  <c r="L4594" i="1"/>
  <c r="K4594" i="1"/>
  <c r="J4578" i="1"/>
  <c r="L4578" i="1"/>
  <c r="K4578" i="1"/>
  <c r="J4562" i="1"/>
  <c r="L4562" i="1"/>
  <c r="K4562" i="1"/>
  <c r="J4554" i="1"/>
  <c r="L4554" i="1"/>
  <c r="K4554" i="1"/>
  <c r="L4538" i="1"/>
  <c r="K4538" i="1"/>
  <c r="L4530" i="1"/>
  <c r="K4530" i="1"/>
  <c r="J4514" i="1"/>
  <c r="L4514" i="1"/>
  <c r="K4514" i="1"/>
  <c r="J4498" i="1"/>
  <c r="L4498" i="1"/>
  <c r="K4498" i="1"/>
  <c r="L4490" i="1"/>
  <c r="K4490" i="1"/>
  <c r="J4474" i="1"/>
  <c r="L4474" i="1"/>
  <c r="K4474" i="1"/>
  <c r="L4466" i="1"/>
  <c r="K4466" i="1"/>
  <c r="L4450" i="1"/>
  <c r="K4450" i="1"/>
  <c r="L4434" i="1"/>
  <c r="K4434" i="1"/>
  <c r="J4426" i="1"/>
  <c r="L4426" i="1"/>
  <c r="K4426" i="1"/>
  <c r="L4410" i="1"/>
  <c r="K4410" i="1"/>
  <c r="L4402" i="1"/>
  <c r="K4402" i="1"/>
  <c r="L4386" i="1"/>
  <c r="K4386" i="1"/>
  <c r="J4378" i="1"/>
  <c r="L4378" i="1"/>
  <c r="L4370" i="1"/>
  <c r="K4370" i="1"/>
  <c r="J4362" i="1"/>
  <c r="L4362" i="1"/>
  <c r="K4362" i="1"/>
  <c r="J4354" i="1"/>
  <c r="L4354" i="1"/>
  <c r="L4346" i="1"/>
  <c r="K4346" i="1"/>
  <c r="J4338" i="1"/>
  <c r="L4338" i="1"/>
  <c r="K4338" i="1"/>
  <c r="J4330" i="1"/>
  <c r="L4330" i="1"/>
  <c r="L4322" i="1"/>
  <c r="K4322" i="1"/>
  <c r="L4306" i="1"/>
  <c r="K4306" i="1"/>
  <c r="L4298" i="1"/>
  <c r="K4298" i="1"/>
  <c r="L4282" i="1"/>
  <c r="K4282" i="1"/>
  <c r="J4274" i="1"/>
  <c r="L4274" i="1"/>
  <c r="K4274" i="1"/>
  <c r="L4258" i="1"/>
  <c r="K4258" i="1"/>
  <c r="J4242" i="1"/>
  <c r="L4242" i="1"/>
  <c r="K4242" i="1"/>
  <c r="L4234" i="1"/>
  <c r="K4234" i="1"/>
  <c r="J4226" i="1"/>
  <c r="L4226" i="1"/>
  <c r="J4218" i="1"/>
  <c r="L4218" i="1"/>
  <c r="K4218" i="1"/>
  <c r="L4210" i="1"/>
  <c r="K4210" i="1"/>
  <c r="J4202" i="1"/>
  <c r="L4202" i="1"/>
  <c r="J4194" i="1"/>
  <c r="L4194" i="1"/>
  <c r="K4194" i="1"/>
  <c r="L4178" i="1"/>
  <c r="K4178" i="1"/>
  <c r="J4170" i="1"/>
  <c r="L4170" i="1"/>
  <c r="K4170" i="1"/>
  <c r="L4154" i="1"/>
  <c r="K4154" i="1"/>
  <c r="L4146" i="1"/>
  <c r="K4146" i="1"/>
  <c r="J4130" i="1"/>
  <c r="L4130" i="1"/>
  <c r="K4130" i="1"/>
  <c r="J4114" i="1"/>
  <c r="L4114" i="1"/>
  <c r="K4114" i="1"/>
  <c r="J4106" i="1"/>
  <c r="L4106" i="1"/>
  <c r="K4106" i="1"/>
  <c r="J4090" i="1"/>
  <c r="L4090" i="1"/>
  <c r="K4090" i="1"/>
  <c r="L4082" i="1"/>
  <c r="K4082" i="1"/>
  <c r="L4066" i="1"/>
  <c r="K4066" i="1"/>
  <c r="L4050" i="1"/>
  <c r="K4050" i="1"/>
  <c r="L4042" i="1"/>
  <c r="K4042" i="1"/>
  <c r="J4034" i="1"/>
  <c r="L4034" i="1"/>
  <c r="L4026" i="1"/>
  <c r="K4026" i="1"/>
  <c r="L4018" i="1"/>
  <c r="K4018" i="1"/>
  <c r="J4002" i="1"/>
  <c r="L4002" i="1"/>
  <c r="K4002" i="1"/>
  <c r="J3994" i="1"/>
  <c r="L3994" i="1"/>
  <c r="L3986" i="1"/>
  <c r="K3986" i="1"/>
  <c r="J3978" i="1"/>
  <c r="L3978" i="1"/>
  <c r="K3978" i="1"/>
  <c r="J3962" i="1"/>
  <c r="L3962" i="1"/>
  <c r="K3962" i="1"/>
  <c r="L3954" i="1"/>
  <c r="K3954" i="1"/>
  <c r="J3946" i="1"/>
  <c r="L3946" i="1"/>
  <c r="J3938" i="1"/>
  <c r="L3938" i="1"/>
  <c r="K3938" i="1"/>
  <c r="J3922" i="1"/>
  <c r="L3922" i="1"/>
  <c r="K3922" i="1"/>
  <c r="L3914" i="1"/>
  <c r="K3914" i="1"/>
  <c r="J3906" i="1"/>
  <c r="L3906" i="1"/>
  <c r="J3898" i="1"/>
  <c r="L3898" i="1"/>
  <c r="K3898" i="1"/>
  <c r="L3890" i="1"/>
  <c r="K3890" i="1"/>
  <c r="L3874" i="1"/>
  <c r="K3874" i="1"/>
  <c r="J3858" i="1"/>
  <c r="L3858" i="1"/>
  <c r="K3858" i="1"/>
  <c r="L3850" i="1"/>
  <c r="K3850" i="1"/>
  <c r="J3842" i="1"/>
  <c r="L3842" i="1"/>
  <c r="L3834" i="1"/>
  <c r="K3834" i="1"/>
  <c r="J3826" i="1"/>
  <c r="L3826" i="1"/>
  <c r="K3826" i="1"/>
  <c r="J3818" i="1"/>
  <c r="L3818" i="1"/>
  <c r="L3810" i="1"/>
  <c r="K3810" i="1"/>
  <c r="L3794" i="1"/>
  <c r="K3794" i="1"/>
  <c r="J3786" i="1"/>
  <c r="L3786" i="1"/>
  <c r="K3786" i="1"/>
  <c r="J3778" i="1"/>
  <c r="L3778" i="1"/>
  <c r="L3770" i="1"/>
  <c r="K3770" i="1"/>
  <c r="J3762" i="1"/>
  <c r="L3762" i="1"/>
  <c r="K3762" i="1"/>
  <c r="J3754" i="1"/>
  <c r="L3754" i="1"/>
  <c r="J3746" i="1"/>
  <c r="L3746" i="1"/>
  <c r="K3746" i="1"/>
  <c r="J3738" i="1"/>
  <c r="L3738" i="1"/>
  <c r="J3730" i="1"/>
  <c r="L3730" i="1"/>
  <c r="K3730" i="1"/>
  <c r="J3722" i="1"/>
  <c r="L3722" i="1"/>
  <c r="K3722" i="1"/>
  <c r="J3714" i="1"/>
  <c r="L3714" i="1"/>
  <c r="J3706" i="1"/>
  <c r="L3706" i="1"/>
  <c r="K3706" i="1"/>
  <c r="J3698" i="1"/>
  <c r="L3698" i="1"/>
  <c r="K3698" i="1"/>
  <c r="J3690" i="1"/>
  <c r="L3690" i="1"/>
  <c r="J3682" i="1"/>
  <c r="L3682" i="1"/>
  <c r="K3682" i="1"/>
  <c r="J3674" i="1"/>
  <c r="L3674" i="1"/>
  <c r="J3666" i="1"/>
  <c r="L3666" i="1"/>
  <c r="K3666" i="1"/>
  <c r="J3658" i="1"/>
  <c r="L3658" i="1"/>
  <c r="K3658" i="1"/>
  <c r="J3650" i="1"/>
  <c r="L3650" i="1"/>
  <c r="J3642" i="1"/>
  <c r="L3642" i="1"/>
  <c r="K3642" i="1"/>
  <c r="J3634" i="1"/>
  <c r="L3634" i="1"/>
  <c r="K3634" i="1"/>
  <c r="J3626" i="1"/>
  <c r="L3626" i="1"/>
  <c r="J3618" i="1"/>
  <c r="L3618" i="1"/>
  <c r="K3618" i="1"/>
  <c r="J3610" i="1"/>
  <c r="L3610" i="1"/>
  <c r="J3602" i="1"/>
  <c r="L3602" i="1"/>
  <c r="K3602" i="1"/>
  <c r="J3594" i="1"/>
  <c r="L3594" i="1"/>
  <c r="K3594" i="1"/>
  <c r="J3586" i="1"/>
  <c r="L3586" i="1"/>
  <c r="J3578" i="1"/>
  <c r="L3578" i="1"/>
  <c r="K3578" i="1"/>
  <c r="J3570" i="1"/>
  <c r="L3570" i="1"/>
  <c r="K3570" i="1"/>
  <c r="J3562" i="1"/>
  <c r="L3562" i="1"/>
  <c r="J3554" i="1"/>
  <c r="L3554" i="1"/>
  <c r="K3554" i="1"/>
  <c r="J3546" i="1"/>
  <c r="L3546" i="1"/>
  <c r="J3538" i="1"/>
  <c r="L3538" i="1"/>
  <c r="K3538" i="1"/>
  <c r="J3530" i="1"/>
  <c r="L3530" i="1"/>
  <c r="K3530" i="1"/>
  <c r="J3522" i="1"/>
  <c r="L3522" i="1"/>
  <c r="J3514" i="1"/>
  <c r="L3514" i="1"/>
  <c r="K3514" i="1"/>
  <c r="J3506" i="1"/>
  <c r="L3506" i="1"/>
  <c r="K3506" i="1"/>
  <c r="J3490" i="1"/>
  <c r="L3490" i="1"/>
  <c r="K3490" i="1"/>
  <c r="J3474" i="1"/>
  <c r="L3474" i="1"/>
  <c r="K3474" i="1"/>
  <c r="L3466" i="1"/>
  <c r="K3466" i="1"/>
  <c r="J3458" i="1"/>
  <c r="L3458" i="1"/>
  <c r="J3450" i="1"/>
  <c r="L3450" i="1"/>
  <c r="K3450" i="1"/>
  <c r="J3442" i="1"/>
  <c r="L3442" i="1"/>
  <c r="K3442" i="1"/>
  <c r="J3434" i="1"/>
  <c r="L3434" i="1"/>
  <c r="J3426" i="1"/>
  <c r="L3426" i="1"/>
  <c r="K3426" i="1"/>
  <c r="J3418" i="1"/>
  <c r="L3418" i="1"/>
  <c r="J3410" i="1"/>
  <c r="L3410" i="1"/>
  <c r="K3410" i="1"/>
  <c r="J3402" i="1"/>
  <c r="L3402" i="1"/>
  <c r="K3402" i="1"/>
  <c r="J3394" i="1"/>
  <c r="L3394" i="1"/>
  <c r="J3386" i="1"/>
  <c r="L3386" i="1"/>
  <c r="K3386" i="1"/>
  <c r="J3378" i="1"/>
  <c r="L3378" i="1"/>
  <c r="K3378" i="1"/>
  <c r="J3370" i="1"/>
  <c r="L3370" i="1"/>
  <c r="J3362" i="1"/>
  <c r="L3362" i="1"/>
  <c r="K3362" i="1"/>
  <c r="J3354" i="1"/>
  <c r="L3354" i="1"/>
  <c r="L3346" i="1"/>
  <c r="K3346" i="1"/>
  <c r="J3338" i="1"/>
  <c r="L3338" i="1"/>
  <c r="K3338" i="1"/>
  <c r="J3330" i="1"/>
  <c r="L3330" i="1"/>
  <c r="J3322" i="1"/>
  <c r="L3322" i="1"/>
  <c r="K3322" i="1"/>
  <c r="J3314" i="1"/>
  <c r="L3314" i="1"/>
  <c r="K3314" i="1"/>
  <c r="J3306" i="1"/>
  <c r="L3306" i="1"/>
  <c r="J3298" i="1"/>
  <c r="L3298" i="1"/>
  <c r="K3298" i="1"/>
  <c r="J3290" i="1"/>
  <c r="L3290" i="1"/>
  <c r="J3282" i="1"/>
  <c r="L3282" i="1"/>
  <c r="K3282" i="1"/>
  <c r="L3274" i="1"/>
  <c r="K3274" i="1"/>
  <c r="J3266" i="1"/>
  <c r="L3266" i="1"/>
  <c r="K3266" i="1"/>
  <c r="J3258" i="1"/>
  <c r="L3258" i="1"/>
  <c r="K3258" i="1"/>
  <c r="J3250" i="1"/>
  <c r="L3250" i="1"/>
  <c r="J3242" i="1"/>
  <c r="L3242" i="1"/>
  <c r="J3234" i="1"/>
  <c r="L3234" i="1"/>
  <c r="K3234" i="1"/>
  <c r="L3226" i="1"/>
  <c r="K3226" i="1"/>
  <c r="J3218" i="1"/>
  <c r="L3218" i="1"/>
  <c r="K3218" i="1"/>
  <c r="J3210" i="1"/>
  <c r="L3210" i="1"/>
  <c r="K3210" i="1"/>
  <c r="J3202" i="1"/>
  <c r="L3202" i="1"/>
  <c r="K3202" i="1"/>
  <c r="L3194" i="1"/>
  <c r="K3194" i="1"/>
  <c r="J3186" i="1"/>
  <c r="L3186" i="1"/>
  <c r="J3178" i="1"/>
  <c r="L3178" i="1"/>
  <c r="K3178" i="1"/>
  <c r="J3170" i="1"/>
  <c r="L3170" i="1"/>
  <c r="K3170" i="1"/>
  <c r="J3162" i="1"/>
  <c r="L3162" i="1"/>
  <c r="K3162" i="1"/>
  <c r="J3154" i="1"/>
  <c r="L3154" i="1"/>
  <c r="K3154" i="1"/>
  <c r="J3146" i="1"/>
  <c r="L3146" i="1"/>
  <c r="K3146" i="1"/>
  <c r="J3138" i="1"/>
  <c r="L3138" i="1"/>
  <c r="K3138" i="1"/>
  <c r="J3130" i="1"/>
  <c r="L3130" i="1"/>
  <c r="K3130" i="1"/>
  <c r="J3122" i="1"/>
  <c r="L3122" i="1"/>
  <c r="K3122" i="1"/>
  <c r="J3114" i="1"/>
  <c r="L3114" i="1"/>
  <c r="K3114" i="1"/>
  <c r="J3106" i="1"/>
  <c r="L3106" i="1"/>
  <c r="K3106" i="1"/>
  <c r="J3098" i="1"/>
  <c r="L3098" i="1"/>
  <c r="K3098" i="1"/>
  <c r="J3090" i="1"/>
  <c r="L3090" i="1"/>
  <c r="K3090" i="1"/>
  <c r="J3082" i="1"/>
  <c r="L3082" i="1"/>
  <c r="J3074" i="1"/>
  <c r="L3074" i="1"/>
  <c r="K3074" i="1"/>
  <c r="J3066" i="1"/>
  <c r="L3066" i="1"/>
  <c r="K3066" i="1"/>
  <c r="J3058" i="1"/>
  <c r="L3058" i="1"/>
  <c r="K3058" i="1"/>
  <c r="J3050" i="1"/>
  <c r="L3050" i="1"/>
  <c r="K3050" i="1"/>
  <c r="J3042" i="1"/>
  <c r="L3042" i="1"/>
  <c r="K3042" i="1"/>
  <c r="J3034" i="1"/>
  <c r="L3034" i="1"/>
  <c r="K3034" i="1"/>
  <c r="J3026" i="1"/>
  <c r="L3026" i="1"/>
  <c r="K3026" i="1"/>
  <c r="J3018" i="1"/>
  <c r="L3018" i="1"/>
  <c r="K3018" i="1"/>
  <c r="L3010" i="1"/>
  <c r="K3010" i="1"/>
  <c r="J3002" i="1"/>
  <c r="L3002" i="1"/>
  <c r="K3002" i="1"/>
  <c r="J2994" i="1"/>
  <c r="L2994" i="1"/>
  <c r="K2994" i="1"/>
  <c r="J2986" i="1"/>
  <c r="L2986" i="1"/>
  <c r="K2986" i="1"/>
  <c r="J2978" i="1"/>
  <c r="L2978" i="1"/>
  <c r="K2978" i="1"/>
  <c r="J2970" i="1"/>
  <c r="L2970" i="1"/>
  <c r="K2970" i="1"/>
  <c r="J2962" i="1"/>
  <c r="L2962" i="1"/>
  <c r="K2962" i="1"/>
  <c r="J2954" i="1"/>
  <c r="L2954" i="1"/>
  <c r="K2954" i="1"/>
  <c r="J2946" i="1"/>
  <c r="L2946" i="1"/>
  <c r="K2946" i="1"/>
  <c r="J2938" i="1"/>
  <c r="L2938" i="1"/>
  <c r="K2938" i="1"/>
  <c r="J2930" i="1"/>
  <c r="L2930" i="1"/>
  <c r="K2930" i="1"/>
  <c r="J2922" i="1"/>
  <c r="L2922" i="1"/>
  <c r="K2922" i="1"/>
  <c r="J2914" i="1"/>
  <c r="L2914" i="1"/>
  <c r="K2914" i="1"/>
  <c r="J2906" i="1"/>
  <c r="L2906" i="1"/>
  <c r="K2906" i="1"/>
  <c r="J2898" i="1"/>
  <c r="L2898" i="1"/>
  <c r="K2898" i="1"/>
  <c r="J2890" i="1"/>
  <c r="L2890" i="1"/>
  <c r="K2890" i="1"/>
  <c r="J2882" i="1"/>
  <c r="L2882" i="1"/>
  <c r="K2882" i="1"/>
  <c r="J2874" i="1"/>
  <c r="L2874" i="1"/>
  <c r="K2874" i="1"/>
  <c r="J2866" i="1"/>
  <c r="L2866" i="1"/>
  <c r="K2866" i="1"/>
  <c r="J2858" i="1"/>
  <c r="L2858" i="1"/>
  <c r="K2858" i="1"/>
  <c r="J2850" i="1"/>
  <c r="L2850" i="1"/>
  <c r="K2850" i="1"/>
  <c r="J2842" i="1"/>
  <c r="L2842" i="1"/>
  <c r="K2842" i="1"/>
  <c r="J2834" i="1"/>
  <c r="L2834" i="1"/>
  <c r="K2834" i="1"/>
  <c r="J2826" i="1"/>
  <c r="L2826" i="1"/>
  <c r="K2826" i="1"/>
  <c r="J2818" i="1"/>
  <c r="L2818" i="1"/>
  <c r="K2818" i="1"/>
  <c r="J2810" i="1"/>
  <c r="L2810" i="1"/>
  <c r="K2810" i="1"/>
  <c r="J2802" i="1"/>
  <c r="L2802" i="1"/>
  <c r="K2802" i="1"/>
  <c r="J2794" i="1"/>
  <c r="L2794" i="1"/>
  <c r="K2794" i="1"/>
  <c r="J2786" i="1"/>
  <c r="L2786" i="1"/>
  <c r="K2786" i="1"/>
  <c r="J2778" i="1"/>
  <c r="L2778" i="1"/>
  <c r="K2778" i="1"/>
  <c r="J2770" i="1"/>
  <c r="L2770" i="1"/>
  <c r="K2770" i="1"/>
  <c r="J2762" i="1"/>
  <c r="L2762" i="1"/>
  <c r="K2762" i="1"/>
  <c r="J2754" i="1"/>
  <c r="L2754" i="1"/>
  <c r="K2754" i="1"/>
  <c r="J2746" i="1"/>
  <c r="L2746" i="1"/>
  <c r="K2746" i="1"/>
  <c r="J2738" i="1"/>
  <c r="L2738" i="1"/>
  <c r="K2738" i="1"/>
  <c r="J2730" i="1"/>
  <c r="L2730" i="1"/>
  <c r="K2730" i="1"/>
  <c r="J2722" i="1"/>
  <c r="L2722" i="1"/>
  <c r="K2722" i="1"/>
  <c r="J2714" i="1"/>
  <c r="L2714" i="1"/>
  <c r="K2714" i="1"/>
  <c r="J2706" i="1"/>
  <c r="L2706" i="1"/>
  <c r="K2706" i="1"/>
  <c r="J2698" i="1"/>
  <c r="L2698" i="1"/>
  <c r="K2698" i="1"/>
  <c r="J2690" i="1"/>
  <c r="K2690" i="1"/>
  <c r="L2690" i="1"/>
  <c r="J2682" i="1"/>
  <c r="L2682" i="1"/>
  <c r="K2682" i="1"/>
  <c r="J2674" i="1"/>
  <c r="L2674" i="1"/>
  <c r="K2674" i="1"/>
  <c r="J2666" i="1"/>
  <c r="L2666" i="1"/>
  <c r="K2666" i="1"/>
  <c r="J2658" i="1"/>
  <c r="L2658" i="1"/>
  <c r="K2658" i="1"/>
  <c r="J2650" i="1"/>
  <c r="L2650" i="1"/>
  <c r="K2650" i="1"/>
  <c r="J2642" i="1"/>
  <c r="L2642" i="1"/>
  <c r="K2642" i="1"/>
  <c r="J2634" i="1"/>
  <c r="L2634" i="1"/>
  <c r="K2634" i="1"/>
  <c r="J2626" i="1"/>
  <c r="L2626" i="1"/>
  <c r="K2626" i="1"/>
  <c r="J2618" i="1"/>
  <c r="L2618" i="1"/>
  <c r="K2618" i="1"/>
  <c r="J2610" i="1"/>
  <c r="L2610" i="1"/>
  <c r="K2610" i="1"/>
  <c r="J2602" i="1"/>
  <c r="L2602" i="1"/>
  <c r="K2602" i="1"/>
  <c r="J2594" i="1"/>
  <c r="L2594" i="1"/>
  <c r="K2594" i="1"/>
  <c r="J2586" i="1"/>
  <c r="L2586" i="1"/>
  <c r="K2586" i="1"/>
  <c r="J2578" i="1"/>
  <c r="L2578" i="1"/>
  <c r="K2578" i="1"/>
  <c r="J2570" i="1"/>
  <c r="L2570" i="1"/>
  <c r="K2570" i="1"/>
  <c r="J2562" i="1"/>
  <c r="L2562" i="1"/>
  <c r="K2562" i="1"/>
  <c r="J2554" i="1"/>
  <c r="L2554" i="1"/>
  <c r="K2554" i="1"/>
  <c r="J2546" i="1"/>
  <c r="L2546" i="1"/>
  <c r="K2546" i="1"/>
  <c r="J2538" i="1"/>
  <c r="L2538" i="1"/>
  <c r="K2538" i="1"/>
  <c r="J2530" i="1"/>
  <c r="L2530" i="1"/>
  <c r="K2530" i="1"/>
  <c r="J2522" i="1"/>
  <c r="L2522" i="1"/>
  <c r="K2522" i="1"/>
  <c r="J2514" i="1"/>
  <c r="L2514" i="1"/>
  <c r="K2514" i="1"/>
  <c r="J2506" i="1"/>
  <c r="L2506" i="1"/>
  <c r="K2506" i="1"/>
  <c r="J2498" i="1"/>
  <c r="L2498" i="1"/>
  <c r="K2498" i="1"/>
  <c r="J2490" i="1"/>
  <c r="L2490" i="1"/>
  <c r="K2490" i="1"/>
  <c r="J2482" i="1"/>
  <c r="L2482" i="1"/>
  <c r="K2482" i="1"/>
  <c r="J2474" i="1"/>
  <c r="L2474" i="1"/>
  <c r="K2474" i="1"/>
  <c r="J2466" i="1"/>
  <c r="L2466" i="1"/>
  <c r="K2466" i="1"/>
  <c r="J2458" i="1"/>
  <c r="L2458" i="1"/>
  <c r="K2458" i="1"/>
  <c r="J2450" i="1"/>
  <c r="L2450" i="1"/>
  <c r="K2450" i="1"/>
  <c r="J2442" i="1"/>
  <c r="L2442" i="1"/>
  <c r="K2442" i="1"/>
  <c r="L2434" i="1"/>
  <c r="K2434" i="1"/>
  <c r="J2426" i="1"/>
  <c r="L2426" i="1"/>
  <c r="K2426" i="1"/>
  <c r="L2418" i="1"/>
  <c r="K2418" i="1"/>
  <c r="J2410" i="1"/>
  <c r="L2410" i="1"/>
  <c r="K2410" i="1"/>
  <c r="L2402" i="1"/>
  <c r="K2402" i="1"/>
  <c r="J2394" i="1"/>
  <c r="L2394" i="1"/>
  <c r="K2394" i="1"/>
  <c r="L2386" i="1"/>
  <c r="K2386" i="1"/>
  <c r="L2378" i="1"/>
  <c r="K2378" i="1"/>
  <c r="J2370" i="1"/>
  <c r="L2370" i="1"/>
  <c r="K2370" i="1"/>
  <c r="J2362" i="1"/>
  <c r="L2362" i="1"/>
  <c r="K2362" i="1"/>
  <c r="L2354" i="1"/>
  <c r="K2354" i="1"/>
  <c r="L2346" i="1"/>
  <c r="K2346" i="1"/>
  <c r="L2338" i="1"/>
  <c r="K2338" i="1"/>
  <c r="J2330" i="1"/>
  <c r="L2330" i="1"/>
  <c r="K2330" i="1"/>
  <c r="L2322" i="1"/>
  <c r="K2322" i="1"/>
  <c r="L2314" i="1"/>
  <c r="K2314" i="1"/>
  <c r="J2306" i="1"/>
  <c r="L2306" i="1"/>
  <c r="K2306" i="1"/>
  <c r="J2298" i="1"/>
  <c r="L2298" i="1"/>
  <c r="K2298" i="1"/>
  <c r="J2290" i="1"/>
  <c r="L2290" i="1"/>
  <c r="K2290" i="1"/>
  <c r="J2282" i="1"/>
  <c r="L2282" i="1"/>
  <c r="K2282" i="1"/>
  <c r="J2274" i="1"/>
  <c r="L2274" i="1"/>
  <c r="K2274" i="1"/>
  <c r="J2266" i="1"/>
  <c r="L2266" i="1"/>
  <c r="K2266" i="1"/>
  <c r="J2258" i="1"/>
  <c r="L2258" i="1"/>
  <c r="K2258" i="1"/>
  <c r="J2250" i="1"/>
  <c r="L2250" i="1"/>
  <c r="K2250" i="1"/>
  <c r="J2242" i="1"/>
  <c r="L2242" i="1"/>
  <c r="K2242" i="1"/>
  <c r="J2234" i="1"/>
  <c r="L2234" i="1"/>
  <c r="K2234" i="1"/>
  <c r="J2226" i="1"/>
  <c r="L2226" i="1"/>
  <c r="K2226" i="1"/>
  <c r="L2218" i="1"/>
  <c r="K2218" i="1"/>
  <c r="L2210" i="1"/>
  <c r="K2210" i="1"/>
  <c r="L2202" i="1"/>
  <c r="K2202" i="1"/>
  <c r="L2194" i="1"/>
  <c r="K2194" i="1"/>
  <c r="J2186" i="1"/>
  <c r="L2186" i="1"/>
  <c r="K2186" i="1"/>
  <c r="J2178" i="1"/>
  <c r="L2178" i="1"/>
  <c r="K2178" i="1"/>
  <c r="J2170" i="1"/>
  <c r="L2170" i="1"/>
  <c r="K2170" i="1"/>
  <c r="J2162" i="1"/>
  <c r="L2162" i="1"/>
  <c r="K2162" i="1"/>
  <c r="J2154" i="1"/>
  <c r="L2154" i="1"/>
  <c r="K2154" i="1"/>
  <c r="J2146" i="1"/>
  <c r="L2146" i="1"/>
  <c r="K2146" i="1"/>
  <c r="J2138" i="1"/>
  <c r="L2138" i="1"/>
  <c r="K2138" i="1"/>
  <c r="J2130" i="1"/>
  <c r="L2130" i="1"/>
  <c r="K2130" i="1"/>
  <c r="J2122" i="1"/>
  <c r="L2122" i="1"/>
  <c r="K2122" i="1"/>
  <c r="L2114" i="1"/>
  <c r="K2114" i="1"/>
  <c r="L2106" i="1"/>
  <c r="K2106" i="1"/>
  <c r="L2098" i="1"/>
  <c r="K2098" i="1"/>
  <c r="L2090" i="1"/>
  <c r="K2090" i="1"/>
  <c r="L2082" i="1"/>
  <c r="K2082" i="1"/>
  <c r="J2074" i="1"/>
  <c r="L2074" i="1"/>
  <c r="K2074" i="1"/>
  <c r="J2066" i="1"/>
  <c r="L2066" i="1"/>
  <c r="K2066" i="1"/>
  <c r="J2058" i="1"/>
  <c r="L2058" i="1"/>
  <c r="K2058" i="1"/>
  <c r="J2050" i="1"/>
  <c r="L2050" i="1"/>
  <c r="K2050" i="1"/>
  <c r="J2042" i="1"/>
  <c r="L2042" i="1"/>
  <c r="K2042" i="1"/>
  <c r="J2034" i="1"/>
  <c r="L2034" i="1"/>
  <c r="K2034" i="1"/>
  <c r="J2026" i="1"/>
  <c r="L2026" i="1"/>
  <c r="K2026" i="1"/>
  <c r="J2018" i="1"/>
  <c r="L2018" i="1"/>
  <c r="K2018" i="1"/>
  <c r="L2010" i="1"/>
  <c r="K2010" i="1"/>
  <c r="J2002" i="1"/>
  <c r="L2002" i="1"/>
  <c r="K2002" i="1"/>
  <c r="L1994" i="1"/>
  <c r="K1994" i="1"/>
  <c r="J1986" i="1"/>
  <c r="L1986" i="1"/>
  <c r="K1986" i="1"/>
  <c r="J1978" i="1"/>
  <c r="L1978" i="1"/>
  <c r="K1978" i="1"/>
  <c r="J1970" i="1"/>
  <c r="L1970" i="1"/>
  <c r="K1970" i="1"/>
  <c r="J1962" i="1"/>
  <c r="L1962" i="1"/>
  <c r="K1962" i="1"/>
  <c r="J1954" i="1"/>
  <c r="L1954" i="1"/>
  <c r="K1954" i="1"/>
  <c r="J1946" i="1"/>
  <c r="L1946" i="1"/>
  <c r="K1946" i="1"/>
  <c r="J1938" i="1"/>
  <c r="L1938" i="1"/>
  <c r="K1938" i="1"/>
  <c r="J1930" i="1"/>
  <c r="L1930" i="1"/>
  <c r="K1930" i="1"/>
  <c r="L1922" i="1"/>
  <c r="K1922" i="1"/>
  <c r="L1914" i="1"/>
  <c r="K1914" i="1"/>
  <c r="J1906" i="1"/>
  <c r="L1906" i="1"/>
  <c r="K1906" i="1"/>
  <c r="J1898" i="1"/>
  <c r="L1898" i="1"/>
  <c r="K1898" i="1"/>
  <c r="J1890" i="1"/>
  <c r="L1890" i="1"/>
  <c r="K1890" i="1"/>
  <c r="J1882" i="1"/>
  <c r="L1882" i="1"/>
  <c r="K1882" i="1"/>
  <c r="J1874" i="1"/>
  <c r="L1874" i="1"/>
  <c r="K1874" i="1"/>
  <c r="J1866" i="1"/>
  <c r="L1866" i="1"/>
  <c r="K1866" i="1"/>
  <c r="J1858" i="1"/>
  <c r="L1858" i="1"/>
  <c r="K1858" i="1"/>
  <c r="L1850" i="1"/>
  <c r="K1850" i="1"/>
  <c r="J1842" i="1"/>
  <c r="L1842" i="1"/>
  <c r="K1842" i="1"/>
  <c r="L1834" i="1"/>
  <c r="K1834" i="1"/>
  <c r="J1826" i="1"/>
  <c r="L1826" i="1"/>
  <c r="K1826" i="1"/>
  <c r="L1818" i="1"/>
  <c r="K1818" i="1"/>
  <c r="L1810" i="1"/>
  <c r="K1810" i="1"/>
  <c r="L1802" i="1"/>
  <c r="K1802" i="1"/>
  <c r="J1794" i="1"/>
  <c r="L1794" i="1"/>
  <c r="K1794" i="1"/>
  <c r="J1786" i="1"/>
  <c r="L1786" i="1"/>
  <c r="K1786" i="1"/>
  <c r="J1778" i="1"/>
  <c r="L1778" i="1"/>
  <c r="K1778" i="1"/>
  <c r="J1770" i="1"/>
  <c r="L1770" i="1"/>
  <c r="K1770" i="1"/>
  <c r="L1762" i="1"/>
  <c r="K1762" i="1"/>
  <c r="J1754" i="1"/>
  <c r="L1754" i="1"/>
  <c r="K1754" i="1"/>
  <c r="L1746" i="1"/>
  <c r="K1746" i="1"/>
  <c r="J1738" i="1"/>
  <c r="L1738" i="1"/>
  <c r="K1738" i="1"/>
  <c r="J1730" i="1"/>
  <c r="L1730" i="1"/>
  <c r="K1730" i="1"/>
  <c r="J1722" i="1"/>
  <c r="L1722" i="1"/>
  <c r="K1722" i="1"/>
  <c r="J1714" i="1"/>
  <c r="L1714" i="1"/>
  <c r="K1714" i="1"/>
  <c r="J1706" i="1"/>
  <c r="L1706" i="1"/>
  <c r="K1706" i="1"/>
  <c r="J1698" i="1"/>
  <c r="L1698" i="1"/>
  <c r="K1698" i="1"/>
  <c r="J1690" i="1"/>
  <c r="L1690" i="1"/>
  <c r="K1690" i="1"/>
  <c r="J1682" i="1"/>
  <c r="L1682" i="1"/>
  <c r="K1682" i="1"/>
  <c r="L1674" i="1"/>
  <c r="K1674" i="1"/>
  <c r="L1666" i="1"/>
  <c r="K1666" i="1"/>
  <c r="L1658" i="1"/>
  <c r="K1658" i="1"/>
  <c r="L1650" i="1"/>
  <c r="K1650" i="1"/>
  <c r="L1642" i="1"/>
  <c r="K1642" i="1"/>
  <c r="L1634" i="1"/>
  <c r="K1634" i="1"/>
  <c r="J1626" i="1"/>
  <c r="L1626" i="1"/>
  <c r="K1626" i="1"/>
  <c r="J1618" i="1"/>
  <c r="L1618" i="1"/>
  <c r="K1618" i="1"/>
  <c r="J1610" i="1"/>
  <c r="L1610" i="1"/>
  <c r="K1610" i="1"/>
  <c r="J1602" i="1"/>
  <c r="L1602" i="1"/>
  <c r="K1602" i="1"/>
  <c r="J1594" i="1"/>
  <c r="L1594" i="1"/>
  <c r="K1594" i="1"/>
  <c r="L1586" i="1"/>
  <c r="K1586" i="1"/>
  <c r="J1578" i="1"/>
  <c r="L1578" i="1"/>
  <c r="K1578" i="1"/>
  <c r="L1570" i="1"/>
  <c r="K1570" i="1"/>
  <c r="L1562" i="1"/>
  <c r="K1562" i="1"/>
  <c r="L1554" i="1"/>
  <c r="K1554" i="1"/>
  <c r="L1546" i="1"/>
  <c r="K1546" i="1"/>
  <c r="L1538" i="1"/>
  <c r="K1538" i="1"/>
  <c r="L1530" i="1"/>
  <c r="K1530" i="1"/>
  <c r="L1522" i="1"/>
  <c r="K1522" i="1"/>
  <c r="L1514" i="1"/>
  <c r="K1514" i="1"/>
  <c r="J1506" i="1"/>
  <c r="L1506" i="1"/>
  <c r="K1506" i="1"/>
  <c r="J1498" i="1"/>
  <c r="L1498" i="1"/>
  <c r="K1498" i="1"/>
  <c r="J1490" i="1"/>
  <c r="L1490" i="1"/>
  <c r="K1490" i="1"/>
  <c r="J1482" i="1"/>
  <c r="L1482" i="1"/>
  <c r="K1482" i="1"/>
  <c r="J1474" i="1"/>
  <c r="L1474" i="1"/>
  <c r="K1474" i="1"/>
  <c r="L1466" i="1"/>
  <c r="K1466" i="1"/>
  <c r="J1458" i="1"/>
  <c r="L1458" i="1"/>
  <c r="K1458" i="1"/>
  <c r="L1450" i="1"/>
  <c r="K1450" i="1"/>
  <c r="L1442" i="1"/>
  <c r="K1442" i="1"/>
  <c r="J1434" i="1"/>
  <c r="L1434" i="1"/>
  <c r="K1434" i="1"/>
  <c r="J1426" i="1"/>
  <c r="L1426" i="1"/>
  <c r="K1426" i="1"/>
  <c r="J1418" i="1"/>
  <c r="L1418" i="1"/>
  <c r="K1418" i="1"/>
  <c r="J1410" i="1"/>
  <c r="L1410" i="1"/>
  <c r="K1410" i="1"/>
  <c r="J1402" i="1"/>
  <c r="L1402" i="1"/>
  <c r="K1402" i="1"/>
  <c r="L1394" i="1"/>
  <c r="K1394" i="1"/>
  <c r="L1386" i="1"/>
  <c r="K1386" i="1"/>
  <c r="L1378" i="1"/>
  <c r="K1378" i="1"/>
  <c r="L1370" i="1"/>
  <c r="K1370" i="1"/>
  <c r="J1362" i="1"/>
  <c r="L1362" i="1"/>
  <c r="K1362" i="1"/>
  <c r="J1354" i="1"/>
  <c r="L1354" i="1"/>
  <c r="K1354" i="1"/>
  <c r="J1346" i="1"/>
  <c r="L1346" i="1"/>
  <c r="K1346" i="1"/>
  <c r="L1338" i="1"/>
  <c r="K1338" i="1"/>
  <c r="L1330" i="1"/>
  <c r="K1330" i="1"/>
  <c r="L1322" i="1"/>
  <c r="K1322" i="1"/>
  <c r="L1314" i="1"/>
  <c r="K1314" i="1"/>
  <c r="J1306" i="1"/>
  <c r="L1306" i="1"/>
  <c r="K1306" i="1"/>
  <c r="J1298" i="1"/>
  <c r="L1298" i="1"/>
  <c r="K1298" i="1"/>
  <c r="J1290" i="1"/>
  <c r="L1290" i="1"/>
  <c r="K1290" i="1"/>
  <c r="L1282" i="1"/>
  <c r="K1282" i="1"/>
  <c r="J1274" i="1"/>
  <c r="L1274" i="1"/>
  <c r="K1274" i="1"/>
  <c r="J1266" i="1"/>
  <c r="L1266" i="1"/>
  <c r="K1266" i="1"/>
  <c r="J1258" i="1"/>
  <c r="L1258" i="1"/>
  <c r="K1258" i="1"/>
  <c r="J1250" i="1"/>
  <c r="L1250" i="1"/>
  <c r="K1250" i="1"/>
  <c r="J1242" i="1"/>
  <c r="L1242" i="1"/>
  <c r="K1242" i="1"/>
  <c r="J1234" i="1"/>
  <c r="L1234" i="1"/>
  <c r="K1234" i="1"/>
  <c r="J1226" i="1"/>
  <c r="L1226" i="1"/>
  <c r="K1226" i="1"/>
  <c r="J1218" i="1"/>
  <c r="L1218" i="1"/>
  <c r="K1218" i="1"/>
  <c r="L1210" i="1"/>
  <c r="K1210" i="1"/>
  <c r="L1202" i="1"/>
  <c r="K1202" i="1"/>
  <c r="J1194" i="1"/>
  <c r="L1194" i="1"/>
  <c r="K1194" i="1"/>
  <c r="J1186" i="1"/>
  <c r="L1186" i="1"/>
  <c r="K1186" i="1"/>
  <c r="J1178" i="1"/>
  <c r="L1178" i="1"/>
  <c r="K1178" i="1"/>
  <c r="J1170" i="1"/>
  <c r="L1170" i="1"/>
  <c r="K1170" i="1"/>
  <c r="J1162" i="1"/>
  <c r="L1162" i="1"/>
  <c r="K1162" i="1"/>
  <c r="J1154" i="1"/>
  <c r="L1154" i="1"/>
  <c r="K1154" i="1"/>
  <c r="J1146" i="1"/>
  <c r="L1146" i="1"/>
  <c r="K1146" i="1"/>
  <c r="L1138" i="1"/>
  <c r="K1138" i="1"/>
  <c r="J1130" i="1"/>
  <c r="L1130" i="1"/>
  <c r="K1130" i="1"/>
  <c r="J1122" i="1"/>
  <c r="L1122" i="1"/>
  <c r="K1122" i="1"/>
  <c r="J1114" i="1"/>
  <c r="L1114" i="1"/>
  <c r="K1114" i="1"/>
  <c r="J1106" i="1"/>
  <c r="L1106" i="1"/>
  <c r="K1106" i="1"/>
  <c r="L1098" i="1"/>
  <c r="K1098" i="1"/>
  <c r="J1090" i="1"/>
  <c r="L1090" i="1"/>
  <c r="K1090" i="1"/>
  <c r="L1082" i="1"/>
  <c r="K1082" i="1"/>
  <c r="J1074" i="1"/>
  <c r="L1074" i="1"/>
  <c r="K1074" i="1"/>
  <c r="J1066" i="1"/>
  <c r="L1066" i="1"/>
  <c r="K1066" i="1"/>
  <c r="J1058" i="1"/>
  <c r="L1058" i="1"/>
  <c r="K1058" i="1"/>
  <c r="J1050" i="1"/>
  <c r="L1050" i="1"/>
  <c r="K1050" i="1"/>
  <c r="L1042" i="1"/>
  <c r="K1042" i="1"/>
  <c r="J1034" i="1"/>
  <c r="L1034" i="1"/>
  <c r="K1034" i="1"/>
  <c r="L1026" i="1"/>
  <c r="K1026" i="1"/>
  <c r="J1018" i="1"/>
  <c r="L1018" i="1"/>
  <c r="K1018" i="1"/>
  <c r="J1010" i="1"/>
  <c r="L1010" i="1"/>
  <c r="K1010" i="1"/>
  <c r="J1002" i="1"/>
  <c r="L1002" i="1"/>
  <c r="K1002" i="1"/>
  <c r="J994" i="1"/>
  <c r="L994" i="1"/>
  <c r="K994" i="1"/>
  <c r="L986" i="1"/>
  <c r="K986" i="1"/>
  <c r="J978" i="1"/>
  <c r="L978" i="1"/>
  <c r="K978" i="1"/>
  <c r="L970" i="1"/>
  <c r="K970" i="1"/>
  <c r="L962" i="1"/>
  <c r="K962" i="1"/>
  <c r="L954" i="1"/>
  <c r="K954" i="1"/>
  <c r="L946" i="1"/>
  <c r="K946" i="1"/>
  <c r="L938" i="1"/>
  <c r="K938" i="1"/>
  <c r="J930" i="1"/>
  <c r="L930" i="1"/>
  <c r="K930" i="1"/>
  <c r="J922" i="1"/>
  <c r="L922" i="1"/>
  <c r="K922" i="1"/>
  <c r="J914" i="1"/>
  <c r="L914" i="1"/>
  <c r="K914" i="1"/>
  <c r="J906" i="1"/>
  <c r="L906" i="1"/>
  <c r="K906" i="1"/>
  <c r="L898" i="1"/>
  <c r="K898" i="1"/>
  <c r="J890" i="1"/>
  <c r="L890" i="1"/>
  <c r="K890" i="1"/>
  <c r="L882" i="1"/>
  <c r="K882" i="1"/>
  <c r="J874" i="1"/>
  <c r="L874" i="1"/>
  <c r="K874" i="1"/>
  <c r="L866" i="1"/>
  <c r="K866" i="1"/>
  <c r="J858" i="1"/>
  <c r="L858" i="1"/>
  <c r="K858" i="1"/>
  <c r="J850" i="1"/>
  <c r="L850" i="1"/>
  <c r="K850" i="1"/>
  <c r="J842" i="1"/>
  <c r="L842" i="1"/>
  <c r="K842" i="1"/>
  <c r="J834" i="1"/>
  <c r="L834" i="1"/>
  <c r="K834" i="1"/>
  <c r="L826" i="1"/>
  <c r="K826" i="1"/>
  <c r="J818" i="1"/>
  <c r="L818" i="1"/>
  <c r="K818" i="1"/>
  <c r="L810" i="1"/>
  <c r="K810" i="1"/>
  <c r="J802" i="1"/>
  <c r="L802" i="1"/>
  <c r="K802" i="1"/>
  <c r="J794" i="1"/>
  <c r="L794" i="1"/>
  <c r="K794" i="1"/>
  <c r="L786" i="1"/>
  <c r="K786" i="1"/>
  <c r="J778" i="1"/>
  <c r="L778" i="1"/>
  <c r="K778" i="1"/>
  <c r="L770" i="1"/>
  <c r="K770" i="1"/>
  <c r="J762" i="1"/>
  <c r="L762" i="1"/>
  <c r="K762" i="1"/>
  <c r="J754" i="1"/>
  <c r="L754" i="1"/>
  <c r="K754" i="1"/>
  <c r="J746" i="1"/>
  <c r="L746" i="1"/>
  <c r="K746" i="1"/>
  <c r="J738" i="1"/>
  <c r="L738" i="1"/>
  <c r="K738" i="1"/>
  <c r="L730" i="1"/>
  <c r="K730" i="1"/>
  <c r="J722" i="1"/>
  <c r="L722" i="1"/>
  <c r="K722" i="1"/>
  <c r="L714" i="1"/>
  <c r="K714" i="1"/>
  <c r="L706" i="1"/>
  <c r="K706" i="1"/>
  <c r="L698" i="1"/>
  <c r="K698" i="1"/>
  <c r="J690" i="1"/>
  <c r="L690" i="1"/>
  <c r="K690" i="1"/>
  <c r="J682" i="1"/>
  <c r="L682" i="1"/>
  <c r="K682" i="1"/>
  <c r="J674" i="1"/>
  <c r="L674" i="1"/>
  <c r="K674" i="1"/>
  <c r="J666" i="1"/>
  <c r="L666" i="1"/>
  <c r="K666" i="1"/>
  <c r="J658" i="1"/>
  <c r="L658" i="1"/>
  <c r="K658" i="1"/>
  <c r="J650" i="1"/>
  <c r="L650" i="1"/>
  <c r="K650" i="1"/>
  <c r="L642" i="1"/>
  <c r="K642" i="1"/>
  <c r="L634" i="1"/>
  <c r="K634" i="1"/>
  <c r="L626" i="1"/>
  <c r="K626" i="1"/>
  <c r="J618" i="1"/>
  <c r="L618" i="1"/>
  <c r="K618" i="1"/>
  <c r="J610" i="1"/>
  <c r="L610" i="1"/>
  <c r="K610" i="1"/>
  <c r="L602" i="1"/>
  <c r="K602" i="1"/>
  <c r="L594" i="1"/>
  <c r="K594" i="1"/>
  <c r="L586" i="1"/>
  <c r="K586" i="1"/>
  <c r="L578" i="1"/>
  <c r="K578" i="1"/>
  <c r="L570" i="1"/>
  <c r="K570" i="1"/>
  <c r="L562" i="1"/>
  <c r="K562" i="1"/>
  <c r="J554" i="1"/>
  <c r="L554" i="1"/>
  <c r="K554" i="1"/>
  <c r="L546" i="1"/>
  <c r="K546" i="1"/>
  <c r="L538" i="1"/>
  <c r="K538" i="1"/>
  <c r="L530" i="1"/>
  <c r="K530" i="1"/>
  <c r="L522" i="1"/>
  <c r="K522" i="1"/>
  <c r="L514" i="1"/>
  <c r="K514" i="1"/>
  <c r="J506" i="1"/>
  <c r="L506" i="1"/>
  <c r="K506" i="1"/>
  <c r="J498" i="1"/>
  <c r="L498" i="1"/>
  <c r="K498" i="1"/>
  <c r="J490" i="1"/>
  <c r="L490" i="1"/>
  <c r="K490" i="1"/>
  <c r="J482" i="1"/>
  <c r="L482" i="1"/>
  <c r="K482" i="1"/>
  <c r="L474" i="1"/>
  <c r="K474" i="1"/>
  <c r="L466" i="1"/>
  <c r="K466" i="1"/>
  <c r="L458" i="1"/>
  <c r="K458" i="1"/>
  <c r="J450" i="1"/>
  <c r="L450" i="1"/>
  <c r="K450" i="1"/>
  <c r="L442" i="1"/>
  <c r="K442" i="1"/>
  <c r="J434" i="1"/>
  <c r="L434" i="1"/>
  <c r="K434" i="1"/>
  <c r="J426" i="1"/>
  <c r="L426" i="1"/>
  <c r="K426" i="1"/>
  <c r="J418" i="1"/>
  <c r="L418" i="1"/>
  <c r="K418" i="1"/>
  <c r="J410" i="1"/>
  <c r="L410" i="1"/>
  <c r="K410" i="1"/>
  <c r="L402" i="1"/>
  <c r="K402" i="1"/>
  <c r="L394" i="1"/>
  <c r="K394" i="1"/>
  <c r="L386" i="1"/>
  <c r="K386" i="1"/>
  <c r="L378" i="1"/>
  <c r="K378" i="1"/>
  <c r="L370" i="1"/>
  <c r="K370" i="1"/>
  <c r="J362" i="1"/>
  <c r="L362" i="1"/>
  <c r="K362" i="1"/>
  <c r="L354" i="1"/>
  <c r="K354" i="1"/>
  <c r="J346" i="1"/>
  <c r="L346" i="1"/>
  <c r="K346" i="1"/>
  <c r="J338" i="1"/>
  <c r="L338" i="1"/>
  <c r="K338" i="1"/>
  <c r="L330" i="1"/>
  <c r="K330" i="1"/>
  <c r="J322" i="1"/>
  <c r="L322" i="1"/>
  <c r="K322" i="1"/>
  <c r="L314" i="1"/>
  <c r="K314" i="1"/>
  <c r="L306" i="1"/>
  <c r="K306" i="1"/>
  <c r="J8117" i="1"/>
  <c r="J7861" i="1"/>
  <c r="J7189" i="1"/>
  <c r="J6933" i="1"/>
  <c r="K8401" i="1"/>
  <c r="K8127" i="1"/>
  <c r="K8063" i="1"/>
  <c r="K7999" i="1"/>
  <c r="K7194" i="1"/>
  <c r="K7146" i="1"/>
  <c r="K6914" i="1"/>
  <c r="K6682" i="1"/>
  <c r="K6634" i="1"/>
  <c r="K6402" i="1"/>
  <c r="K6170" i="1"/>
  <c r="K6122" i="1"/>
  <c r="K5890" i="1"/>
  <c r="K5658" i="1"/>
  <c r="K5610" i="1"/>
  <c r="K5378" i="1"/>
  <c r="K5146" i="1"/>
  <c r="K5098" i="1"/>
  <c r="K4866" i="1"/>
  <c r="K4634" i="1"/>
  <c r="K4586" i="1"/>
  <c r="K4463" i="1"/>
  <c r="K4415" i="1"/>
  <c r="K4354" i="1"/>
  <c r="K4183" i="1"/>
  <c r="K4122" i="1"/>
  <c r="K4074" i="1"/>
  <c r="K3842" i="1"/>
  <c r="K3610" i="1"/>
  <c r="K3562" i="1"/>
  <c r="K3330" i="1"/>
  <c r="L7866" i="1"/>
  <c r="J9993" i="1"/>
  <c r="L9993" i="1"/>
  <c r="J9985" i="1"/>
  <c r="L9985" i="1"/>
  <c r="J9977" i="1"/>
  <c r="L9977" i="1"/>
  <c r="J9969" i="1"/>
  <c r="L9969" i="1"/>
  <c r="J9961" i="1"/>
  <c r="L9961" i="1"/>
  <c r="I9953" i="1"/>
  <c r="L9953" i="1"/>
  <c r="J9945" i="1"/>
  <c r="L9945" i="1"/>
  <c r="I9937" i="1"/>
  <c r="L9937" i="1"/>
  <c r="J9929" i="1"/>
  <c r="L9929" i="1"/>
  <c r="I9921" i="1"/>
  <c r="L9921" i="1"/>
  <c r="J9913" i="1"/>
  <c r="L9913" i="1"/>
  <c r="J9905" i="1"/>
  <c r="L9905" i="1"/>
  <c r="J9897" i="1"/>
  <c r="L9897" i="1"/>
  <c r="I9889" i="1"/>
  <c r="L9889" i="1"/>
  <c r="J9881" i="1"/>
  <c r="L9881" i="1"/>
  <c r="I9873" i="1"/>
  <c r="L9873" i="1"/>
  <c r="J9865" i="1"/>
  <c r="L9865" i="1"/>
  <c r="J9857" i="1"/>
  <c r="L9857" i="1"/>
  <c r="J9849" i="1"/>
  <c r="L9849" i="1"/>
  <c r="J9841" i="1"/>
  <c r="L9841" i="1"/>
  <c r="J9833" i="1"/>
  <c r="L9833" i="1"/>
  <c r="I9825" i="1"/>
  <c r="L9825" i="1"/>
  <c r="J9817" i="1"/>
  <c r="L9817" i="1"/>
  <c r="I9809" i="1"/>
  <c r="L9809" i="1"/>
  <c r="J9801" i="1"/>
  <c r="L9801" i="1"/>
  <c r="J9793" i="1"/>
  <c r="L9793" i="1"/>
  <c r="J9785" i="1"/>
  <c r="L9785" i="1"/>
  <c r="J9777" i="1"/>
  <c r="L9777" i="1"/>
  <c r="J9769" i="1"/>
  <c r="L9769" i="1"/>
  <c r="I9761" i="1"/>
  <c r="L9761" i="1"/>
  <c r="I9753" i="1"/>
  <c r="L9753" i="1"/>
  <c r="I9745" i="1"/>
  <c r="L9745" i="1"/>
  <c r="J9737" i="1"/>
  <c r="L9737" i="1"/>
  <c r="J9729" i="1"/>
  <c r="L9729" i="1"/>
  <c r="J9721" i="1"/>
  <c r="L9721" i="1"/>
  <c r="J9713" i="1"/>
  <c r="L9713" i="1"/>
  <c r="J9705" i="1"/>
  <c r="L9705" i="1"/>
  <c r="I9697" i="1"/>
  <c r="L9697" i="1"/>
  <c r="J9689" i="1"/>
  <c r="L9689" i="1"/>
  <c r="I9681" i="1"/>
  <c r="L9681" i="1"/>
  <c r="J9673" i="1"/>
  <c r="L9673" i="1"/>
  <c r="J9665" i="1"/>
  <c r="L9665" i="1"/>
  <c r="J9657" i="1"/>
  <c r="L9657" i="1"/>
  <c r="J9649" i="1"/>
  <c r="L9649" i="1"/>
  <c r="J9641" i="1"/>
  <c r="L9641" i="1"/>
  <c r="I9633" i="1"/>
  <c r="L9633" i="1"/>
  <c r="J9625" i="1"/>
  <c r="L9625" i="1"/>
  <c r="I9617" i="1"/>
  <c r="L9617" i="1"/>
  <c r="J9609" i="1"/>
  <c r="L9609" i="1"/>
  <c r="J9601" i="1"/>
  <c r="L9601" i="1"/>
  <c r="J9593" i="1"/>
  <c r="L9593" i="1"/>
  <c r="I9585" i="1"/>
  <c r="L9585" i="1"/>
  <c r="J9577" i="1"/>
  <c r="L9577" i="1"/>
  <c r="I9569" i="1"/>
  <c r="L9569" i="1"/>
  <c r="J9561" i="1"/>
  <c r="L9561" i="1"/>
  <c r="I9553" i="1"/>
  <c r="L9553" i="1"/>
  <c r="J9545" i="1"/>
  <c r="L9545" i="1"/>
  <c r="J9537" i="1"/>
  <c r="L9537" i="1"/>
  <c r="J9529" i="1"/>
  <c r="L9529" i="1"/>
  <c r="J9521" i="1"/>
  <c r="L9521" i="1"/>
  <c r="J9513" i="1"/>
  <c r="L9513" i="1"/>
  <c r="I9505" i="1"/>
  <c r="L9505" i="1"/>
  <c r="J9497" i="1"/>
  <c r="L9497" i="1"/>
  <c r="I9489" i="1"/>
  <c r="L9489" i="1"/>
  <c r="J9481" i="1"/>
  <c r="L9481" i="1"/>
  <c r="J9473" i="1"/>
  <c r="L9473" i="1"/>
  <c r="J9465" i="1"/>
  <c r="L9465" i="1"/>
  <c r="J9457" i="1"/>
  <c r="L9457" i="1"/>
  <c r="J9449" i="1"/>
  <c r="L9449" i="1"/>
  <c r="I9441" i="1"/>
  <c r="L9441" i="1"/>
  <c r="J9433" i="1"/>
  <c r="L9433" i="1"/>
  <c r="I9425" i="1"/>
  <c r="L9425" i="1"/>
  <c r="J9417" i="1"/>
  <c r="L9417" i="1"/>
  <c r="I9409" i="1"/>
  <c r="L9409" i="1"/>
  <c r="J9401" i="1"/>
  <c r="L9401" i="1"/>
  <c r="J9393" i="1"/>
  <c r="L9393" i="1"/>
  <c r="J9385" i="1"/>
  <c r="L9385" i="1"/>
  <c r="I9377" i="1"/>
  <c r="L9377" i="1"/>
  <c r="J9369" i="1"/>
  <c r="L9369" i="1"/>
  <c r="I9361" i="1"/>
  <c r="L9361" i="1"/>
  <c r="J9353" i="1"/>
  <c r="L9353" i="1"/>
  <c r="J9345" i="1"/>
  <c r="L9345" i="1"/>
  <c r="J9337" i="1"/>
  <c r="L9337" i="1"/>
  <c r="J9329" i="1"/>
  <c r="L9329" i="1"/>
  <c r="J9321" i="1"/>
  <c r="L9321" i="1"/>
  <c r="I9313" i="1"/>
  <c r="L9313" i="1"/>
  <c r="J9305" i="1"/>
  <c r="L9305" i="1"/>
  <c r="I9297" i="1"/>
  <c r="L9297" i="1"/>
  <c r="J9289" i="1"/>
  <c r="L9289" i="1"/>
  <c r="J9281" i="1"/>
  <c r="L9281" i="1"/>
  <c r="J9273" i="1"/>
  <c r="L9273" i="1"/>
  <c r="J9265" i="1"/>
  <c r="L9265" i="1"/>
  <c r="J9257" i="1"/>
  <c r="L9257" i="1"/>
  <c r="I9249" i="1"/>
  <c r="L9249" i="1"/>
  <c r="I9241" i="1"/>
  <c r="L9241" i="1"/>
  <c r="I9233" i="1"/>
  <c r="L9233" i="1"/>
  <c r="J9225" i="1"/>
  <c r="L9225" i="1"/>
  <c r="J9217" i="1"/>
  <c r="L9217" i="1"/>
  <c r="J9209" i="1"/>
  <c r="L9209" i="1"/>
  <c r="J9201" i="1"/>
  <c r="L9201" i="1"/>
  <c r="J9193" i="1"/>
  <c r="L9193" i="1"/>
  <c r="I9185" i="1"/>
  <c r="L9185" i="1"/>
  <c r="J9177" i="1"/>
  <c r="L9177" i="1"/>
  <c r="I9169" i="1"/>
  <c r="L9169" i="1"/>
  <c r="J9161" i="1"/>
  <c r="L9161" i="1"/>
  <c r="J9153" i="1"/>
  <c r="L9153" i="1"/>
  <c r="J9145" i="1"/>
  <c r="L9145" i="1"/>
  <c r="J9137" i="1"/>
  <c r="L9137" i="1"/>
  <c r="J9129" i="1"/>
  <c r="L9129" i="1"/>
  <c r="I9121" i="1"/>
  <c r="L9121" i="1"/>
  <c r="J9113" i="1"/>
  <c r="L9113" i="1"/>
  <c r="I9105" i="1"/>
  <c r="L9105" i="1"/>
  <c r="J9097" i="1"/>
  <c r="L9097" i="1"/>
  <c r="J9089" i="1"/>
  <c r="L9089" i="1"/>
  <c r="J9081" i="1"/>
  <c r="L9081" i="1"/>
  <c r="I9073" i="1"/>
  <c r="L9073" i="1"/>
  <c r="J9065" i="1"/>
  <c r="L9065" i="1"/>
  <c r="I9057" i="1"/>
  <c r="L9057" i="1"/>
  <c r="J9049" i="1"/>
  <c r="L9049" i="1"/>
  <c r="I9041" i="1"/>
  <c r="L9041" i="1"/>
  <c r="J9033" i="1"/>
  <c r="L9033" i="1"/>
  <c r="J9025" i="1"/>
  <c r="L9025" i="1"/>
  <c r="J9017" i="1"/>
  <c r="L9017" i="1"/>
  <c r="J9009" i="1"/>
  <c r="L9009" i="1"/>
  <c r="J9001" i="1"/>
  <c r="L9001" i="1"/>
  <c r="I8993" i="1"/>
  <c r="L8993" i="1"/>
  <c r="J8985" i="1"/>
  <c r="L8985" i="1"/>
  <c r="I8977" i="1"/>
  <c r="L8977" i="1"/>
  <c r="J8969" i="1"/>
  <c r="L8969" i="1"/>
  <c r="J8961" i="1"/>
  <c r="L8961" i="1"/>
  <c r="J8953" i="1"/>
  <c r="L8953" i="1"/>
  <c r="J8945" i="1"/>
  <c r="L8945" i="1"/>
  <c r="J8937" i="1"/>
  <c r="L8937" i="1"/>
  <c r="I8929" i="1"/>
  <c r="L8929" i="1"/>
  <c r="J8921" i="1"/>
  <c r="L8921" i="1"/>
  <c r="I8913" i="1"/>
  <c r="L8913" i="1"/>
  <c r="J8905" i="1"/>
  <c r="L8905" i="1"/>
  <c r="I8897" i="1"/>
  <c r="L8897" i="1"/>
  <c r="J8889" i="1"/>
  <c r="L8889" i="1"/>
  <c r="J8881" i="1"/>
  <c r="L8881" i="1"/>
  <c r="J8873" i="1"/>
  <c r="L8873" i="1"/>
  <c r="I8865" i="1"/>
  <c r="L8865" i="1"/>
  <c r="J8857" i="1"/>
  <c r="L8857" i="1"/>
  <c r="I8849" i="1"/>
  <c r="L8849" i="1"/>
  <c r="J8841" i="1"/>
  <c r="L8841" i="1"/>
  <c r="J8833" i="1"/>
  <c r="L8833" i="1"/>
  <c r="J8825" i="1"/>
  <c r="L8825" i="1"/>
  <c r="J8817" i="1"/>
  <c r="L8817" i="1"/>
  <c r="J8809" i="1"/>
  <c r="L8809" i="1"/>
  <c r="I8801" i="1"/>
  <c r="L8801" i="1"/>
  <c r="J8793" i="1"/>
  <c r="L8793" i="1"/>
  <c r="I8785" i="1"/>
  <c r="L8785" i="1"/>
  <c r="J8777" i="1"/>
  <c r="L8777" i="1"/>
  <c r="J8769" i="1"/>
  <c r="L8769" i="1"/>
  <c r="J8761" i="1"/>
  <c r="L8761" i="1"/>
  <c r="J8753" i="1"/>
  <c r="L8753" i="1"/>
  <c r="J8745" i="1"/>
  <c r="L8745" i="1"/>
  <c r="I8737" i="1"/>
  <c r="L8737" i="1"/>
  <c r="I8729" i="1"/>
  <c r="L8729" i="1"/>
  <c r="I8721" i="1"/>
  <c r="L8721" i="1"/>
  <c r="J8713" i="1"/>
  <c r="L8713" i="1"/>
  <c r="J8705" i="1"/>
  <c r="L8705" i="1"/>
  <c r="J8697" i="1"/>
  <c r="L8697" i="1"/>
  <c r="J8689" i="1"/>
  <c r="L8689" i="1"/>
  <c r="J8681" i="1"/>
  <c r="L8681" i="1"/>
  <c r="I8673" i="1"/>
  <c r="L8673" i="1"/>
  <c r="J8665" i="1"/>
  <c r="L8665" i="1"/>
  <c r="I8657" i="1"/>
  <c r="L8657" i="1"/>
  <c r="J8649" i="1"/>
  <c r="L8649" i="1"/>
  <c r="J8641" i="1"/>
  <c r="L8641" i="1"/>
  <c r="J8633" i="1"/>
  <c r="L8633" i="1"/>
  <c r="J8625" i="1"/>
  <c r="L8625" i="1"/>
  <c r="J8617" i="1"/>
  <c r="L8617" i="1"/>
  <c r="I8609" i="1"/>
  <c r="L8609" i="1"/>
  <c r="J8601" i="1"/>
  <c r="L8601" i="1"/>
  <c r="I8593" i="1"/>
  <c r="L8593" i="1"/>
  <c r="J8585" i="1"/>
  <c r="L8585" i="1"/>
  <c r="J8577" i="1"/>
  <c r="L8577" i="1"/>
  <c r="J8569" i="1"/>
  <c r="L8569" i="1"/>
  <c r="I8561" i="1"/>
  <c r="L8561" i="1"/>
  <c r="J8553" i="1"/>
  <c r="L8553" i="1"/>
  <c r="I8545" i="1"/>
  <c r="L8545" i="1"/>
  <c r="J8537" i="1"/>
  <c r="L8537" i="1"/>
  <c r="J8529" i="1"/>
  <c r="L8529" i="1"/>
  <c r="J8521" i="1"/>
  <c r="L8521" i="1"/>
  <c r="I8513" i="1"/>
  <c r="L8513" i="1"/>
  <c r="J8505" i="1"/>
  <c r="L8505" i="1"/>
  <c r="I8497" i="1"/>
  <c r="L8497" i="1"/>
  <c r="J8489" i="1"/>
  <c r="L8489" i="1"/>
  <c r="J8481" i="1"/>
  <c r="L8481" i="1"/>
  <c r="I8473" i="1"/>
  <c r="L8473" i="1"/>
  <c r="J8465" i="1"/>
  <c r="L8465" i="1"/>
  <c r="J8457" i="1"/>
  <c r="L8457" i="1"/>
  <c r="I8449" i="1"/>
  <c r="L8449" i="1"/>
  <c r="J8441" i="1"/>
  <c r="L8441" i="1"/>
  <c r="I8433" i="1"/>
  <c r="L8433" i="1"/>
  <c r="J8425" i="1"/>
  <c r="L8425" i="1"/>
  <c r="J8417" i="1"/>
  <c r="L8417" i="1"/>
  <c r="I8409" i="1"/>
  <c r="L8409" i="1"/>
  <c r="J8393" i="1"/>
  <c r="L8393" i="1"/>
  <c r="I8385" i="1"/>
  <c r="L8385" i="1"/>
  <c r="J8377" i="1"/>
  <c r="L8377" i="1"/>
  <c r="I8369" i="1"/>
  <c r="L8369" i="1"/>
  <c r="J8361" i="1"/>
  <c r="L8361" i="1"/>
  <c r="J8353" i="1"/>
  <c r="L8353" i="1"/>
  <c r="I8345" i="1"/>
  <c r="L8345" i="1"/>
  <c r="J8337" i="1"/>
  <c r="L8337" i="1"/>
  <c r="J8329" i="1"/>
  <c r="L8329" i="1"/>
  <c r="I8321" i="1"/>
  <c r="L8321" i="1"/>
  <c r="J8313" i="1"/>
  <c r="L8313" i="1"/>
  <c r="I8305" i="1"/>
  <c r="L8305" i="1"/>
  <c r="J8297" i="1"/>
  <c r="L8297" i="1"/>
  <c r="J8289" i="1"/>
  <c r="L8289" i="1"/>
  <c r="I8281" i="1"/>
  <c r="L8281" i="1"/>
  <c r="J8273" i="1"/>
  <c r="L8273" i="1"/>
  <c r="J8265" i="1"/>
  <c r="L8265" i="1"/>
  <c r="I8257" i="1"/>
  <c r="L8257" i="1"/>
  <c r="J8249" i="1"/>
  <c r="L8249" i="1"/>
  <c r="I8241" i="1"/>
  <c r="L8241" i="1"/>
  <c r="J8233" i="1"/>
  <c r="L8233" i="1"/>
  <c r="J8225" i="1"/>
  <c r="L8225" i="1"/>
  <c r="I8217" i="1"/>
  <c r="L8217" i="1"/>
  <c r="J8209" i="1"/>
  <c r="L8209" i="1"/>
  <c r="J8201" i="1"/>
  <c r="L8201" i="1"/>
  <c r="I8193" i="1"/>
  <c r="L8193" i="1"/>
  <c r="J8185" i="1"/>
  <c r="L8185" i="1"/>
  <c r="I8177" i="1"/>
  <c r="L8177" i="1"/>
  <c r="J8169" i="1"/>
  <c r="L8169" i="1"/>
  <c r="J8161" i="1"/>
  <c r="L8161" i="1"/>
  <c r="I8153" i="1"/>
  <c r="L8153" i="1"/>
  <c r="J8145" i="1"/>
  <c r="L8145" i="1"/>
  <c r="J8137" i="1"/>
  <c r="L8137" i="1"/>
  <c r="I8129" i="1"/>
  <c r="L8129" i="1"/>
  <c r="J8121" i="1"/>
  <c r="L8121" i="1"/>
  <c r="I8113" i="1"/>
  <c r="L8113" i="1"/>
  <c r="J8105" i="1"/>
  <c r="L8105" i="1"/>
  <c r="J8097" i="1"/>
  <c r="L8097" i="1"/>
  <c r="I8089" i="1"/>
  <c r="L8089" i="1"/>
  <c r="J8081" i="1"/>
  <c r="L8081" i="1"/>
  <c r="J8073" i="1"/>
  <c r="L8073" i="1"/>
  <c r="I8065" i="1"/>
  <c r="L8065" i="1"/>
  <c r="J8057" i="1"/>
  <c r="L8057" i="1"/>
  <c r="I8049" i="1"/>
  <c r="L8049" i="1"/>
  <c r="I8041" i="1"/>
  <c r="L8041" i="1"/>
  <c r="I8033" i="1"/>
  <c r="L8033" i="1"/>
  <c r="I8025" i="1"/>
  <c r="L8025" i="1"/>
  <c r="I8017" i="1"/>
  <c r="L8017" i="1"/>
  <c r="I8009" i="1"/>
  <c r="L8009" i="1"/>
  <c r="I8001" i="1"/>
  <c r="L8001" i="1"/>
  <c r="I7993" i="1"/>
  <c r="L7993" i="1"/>
  <c r="I7985" i="1"/>
  <c r="L7985" i="1"/>
  <c r="I7977" i="1"/>
  <c r="L7977" i="1"/>
  <c r="I7969" i="1"/>
  <c r="L7969" i="1"/>
  <c r="I7961" i="1"/>
  <c r="L7961" i="1"/>
  <c r="I7953" i="1"/>
  <c r="L7953" i="1"/>
  <c r="I7945" i="1"/>
  <c r="L7945" i="1"/>
  <c r="I7937" i="1"/>
  <c r="L7937" i="1"/>
  <c r="I7929" i="1"/>
  <c r="L7929" i="1"/>
  <c r="I7921" i="1"/>
  <c r="L7921" i="1"/>
  <c r="I7913" i="1"/>
  <c r="L7913" i="1"/>
  <c r="I7905" i="1"/>
  <c r="L7905" i="1"/>
  <c r="I7897" i="1"/>
  <c r="L7897" i="1"/>
  <c r="I7889" i="1"/>
  <c r="L7889" i="1"/>
  <c r="I7881" i="1"/>
  <c r="L7881" i="1"/>
  <c r="I7873" i="1"/>
  <c r="L7873" i="1"/>
  <c r="I7865" i="1"/>
  <c r="L7865" i="1"/>
  <c r="I7857" i="1"/>
  <c r="L7857" i="1"/>
  <c r="I7849" i="1"/>
  <c r="L7849" i="1"/>
  <c r="I7841" i="1"/>
  <c r="L7841" i="1"/>
  <c r="I7833" i="1"/>
  <c r="L7833" i="1"/>
  <c r="I7825" i="1"/>
  <c r="L7825" i="1"/>
  <c r="I7817" i="1"/>
  <c r="L7817" i="1"/>
  <c r="I7809" i="1"/>
  <c r="L7809" i="1"/>
  <c r="I7801" i="1"/>
  <c r="L7801" i="1"/>
  <c r="I7793" i="1"/>
  <c r="L7793" i="1"/>
  <c r="I7785" i="1"/>
  <c r="L7785" i="1"/>
  <c r="I7777" i="1"/>
  <c r="L7777" i="1"/>
  <c r="I7769" i="1"/>
  <c r="L7769" i="1"/>
  <c r="I7761" i="1"/>
  <c r="L7761" i="1"/>
  <c r="I7753" i="1"/>
  <c r="L7753" i="1"/>
  <c r="I7745" i="1"/>
  <c r="L7745" i="1"/>
  <c r="I7737" i="1"/>
  <c r="L7737" i="1"/>
  <c r="I7729" i="1"/>
  <c r="L7729" i="1"/>
  <c r="I7721" i="1"/>
  <c r="L7721" i="1"/>
  <c r="I7713" i="1"/>
  <c r="L7713" i="1"/>
  <c r="I7705" i="1"/>
  <c r="L7705" i="1"/>
  <c r="I7697" i="1"/>
  <c r="L7697" i="1"/>
  <c r="I7689" i="1"/>
  <c r="L7689" i="1"/>
  <c r="I7681" i="1"/>
  <c r="L7681" i="1"/>
  <c r="I7673" i="1"/>
  <c r="L7673" i="1"/>
  <c r="I7665" i="1"/>
  <c r="L7665" i="1"/>
  <c r="I7657" i="1"/>
  <c r="L7657" i="1"/>
  <c r="I7649" i="1"/>
  <c r="L7649" i="1"/>
  <c r="I7641" i="1"/>
  <c r="L7641" i="1"/>
  <c r="I7633" i="1"/>
  <c r="L7633" i="1"/>
  <c r="I7625" i="1"/>
  <c r="L7625" i="1"/>
  <c r="I7617" i="1"/>
  <c r="L7617" i="1"/>
  <c r="I7609" i="1"/>
  <c r="L7609" i="1"/>
  <c r="I7601" i="1"/>
  <c r="L7601" i="1"/>
  <c r="I7593" i="1"/>
  <c r="L7593" i="1"/>
  <c r="I7585" i="1"/>
  <c r="L7585" i="1"/>
  <c r="I7577" i="1"/>
  <c r="L7577" i="1"/>
  <c r="I7569" i="1"/>
  <c r="L7569" i="1"/>
  <c r="I7561" i="1"/>
  <c r="L7561" i="1"/>
  <c r="I7553" i="1"/>
  <c r="L7553" i="1"/>
  <c r="I7545" i="1"/>
  <c r="L7545" i="1"/>
  <c r="I7537" i="1"/>
  <c r="L7537" i="1"/>
  <c r="I7529" i="1"/>
  <c r="L7529" i="1"/>
  <c r="I7521" i="1"/>
  <c r="L7521" i="1"/>
  <c r="I7513" i="1"/>
  <c r="L7513" i="1"/>
  <c r="I7505" i="1"/>
  <c r="L7505" i="1"/>
  <c r="I7497" i="1"/>
  <c r="L7497" i="1"/>
  <c r="I7489" i="1"/>
  <c r="L7489" i="1"/>
  <c r="I7481" i="1"/>
  <c r="L7481" i="1"/>
  <c r="I7473" i="1"/>
  <c r="L7473" i="1"/>
  <c r="I7465" i="1"/>
  <c r="L7465" i="1"/>
  <c r="I7457" i="1"/>
  <c r="L7457" i="1"/>
  <c r="I7449" i="1"/>
  <c r="L7449" i="1"/>
  <c r="I7441" i="1"/>
  <c r="L7441" i="1"/>
  <c r="I7433" i="1"/>
  <c r="L7433" i="1"/>
  <c r="I7425" i="1"/>
  <c r="L7425" i="1"/>
  <c r="I7417" i="1"/>
  <c r="L7417" i="1"/>
  <c r="I7409" i="1"/>
  <c r="L7409" i="1"/>
  <c r="I7401" i="1"/>
  <c r="L7401" i="1"/>
  <c r="I7393" i="1"/>
  <c r="L7393" i="1"/>
  <c r="I7385" i="1"/>
  <c r="L7385" i="1"/>
  <c r="I7377" i="1"/>
  <c r="L7377" i="1"/>
  <c r="I7369" i="1"/>
  <c r="L7369" i="1"/>
  <c r="I7361" i="1"/>
  <c r="L7361" i="1"/>
  <c r="I7353" i="1"/>
  <c r="L7353" i="1"/>
  <c r="I7345" i="1"/>
  <c r="L7345" i="1"/>
  <c r="I7337" i="1"/>
  <c r="L7337" i="1"/>
  <c r="K7337" i="1"/>
  <c r="I7329" i="1"/>
  <c r="L7329" i="1"/>
  <c r="K7329" i="1"/>
  <c r="I7321" i="1"/>
  <c r="L7321" i="1"/>
  <c r="K7321" i="1"/>
  <c r="I7313" i="1"/>
  <c r="L7313" i="1"/>
  <c r="K7313" i="1"/>
  <c r="I7305" i="1"/>
  <c r="L7305" i="1"/>
  <c r="K7305" i="1"/>
  <c r="I7297" i="1"/>
  <c r="L7297" i="1"/>
  <c r="K7297" i="1"/>
  <c r="I7289" i="1"/>
  <c r="L7289" i="1"/>
  <c r="K7289" i="1"/>
  <c r="I7281" i="1"/>
  <c r="L7281" i="1"/>
  <c r="K7281" i="1"/>
  <c r="I7273" i="1"/>
  <c r="L7273" i="1"/>
  <c r="K7273" i="1"/>
  <c r="I7265" i="1"/>
  <c r="L7265" i="1"/>
  <c r="K7265" i="1"/>
  <c r="I7257" i="1"/>
  <c r="L7257" i="1"/>
  <c r="K7257" i="1"/>
  <c r="I7249" i="1"/>
  <c r="L7249" i="1"/>
  <c r="K7249" i="1"/>
  <c r="I7241" i="1"/>
  <c r="L7241" i="1"/>
  <c r="K7241" i="1"/>
  <c r="I7233" i="1"/>
  <c r="L7233" i="1"/>
  <c r="K7233" i="1"/>
  <c r="I7225" i="1"/>
  <c r="L7225" i="1"/>
  <c r="K7225" i="1"/>
  <c r="I7217" i="1"/>
  <c r="L7217" i="1"/>
  <c r="K7217" i="1"/>
  <c r="I7209" i="1"/>
  <c r="L7209" i="1"/>
  <c r="K7209" i="1"/>
  <c r="I7201" i="1"/>
  <c r="L7201" i="1"/>
  <c r="K7201" i="1"/>
  <c r="I7193" i="1"/>
  <c r="L7193" i="1"/>
  <c r="K7193" i="1"/>
  <c r="I7185" i="1"/>
  <c r="L7185" i="1"/>
  <c r="K7185" i="1"/>
  <c r="I7177" i="1"/>
  <c r="L7177" i="1"/>
  <c r="K7177" i="1"/>
  <c r="I7169" i="1"/>
  <c r="L7169" i="1"/>
  <c r="K7169" i="1"/>
  <c r="I7161" i="1"/>
  <c r="L7161" i="1"/>
  <c r="K7161" i="1"/>
  <c r="I7153" i="1"/>
  <c r="L7153" i="1"/>
  <c r="K7153" i="1"/>
  <c r="I7145" i="1"/>
  <c r="L7145" i="1"/>
  <c r="K7145" i="1"/>
  <c r="I7137" i="1"/>
  <c r="L7137" i="1"/>
  <c r="K7137" i="1"/>
  <c r="I7129" i="1"/>
  <c r="L7129" i="1"/>
  <c r="K7129" i="1"/>
  <c r="I7121" i="1"/>
  <c r="L7121" i="1"/>
  <c r="K7121" i="1"/>
  <c r="I7113" i="1"/>
  <c r="L7113" i="1"/>
  <c r="K7113" i="1"/>
  <c r="I7105" i="1"/>
  <c r="L7105" i="1"/>
  <c r="K7105" i="1"/>
  <c r="I7097" i="1"/>
  <c r="L7097" i="1"/>
  <c r="K7097" i="1"/>
  <c r="I7089" i="1"/>
  <c r="L7089" i="1"/>
  <c r="K7089" i="1"/>
  <c r="I7081" i="1"/>
  <c r="L7081" i="1"/>
  <c r="K7081" i="1"/>
  <c r="I7073" i="1"/>
  <c r="L7073" i="1"/>
  <c r="K7073" i="1"/>
  <c r="I7065" i="1"/>
  <c r="L7065" i="1"/>
  <c r="K7065" i="1"/>
  <c r="I7057" i="1"/>
  <c r="L7057" i="1"/>
  <c r="K7057" i="1"/>
  <c r="I7049" i="1"/>
  <c r="L7049" i="1"/>
  <c r="K7049" i="1"/>
  <c r="I7041" i="1"/>
  <c r="L7041" i="1"/>
  <c r="K7041" i="1"/>
  <c r="I7033" i="1"/>
  <c r="L7033" i="1"/>
  <c r="K7033" i="1"/>
  <c r="I7025" i="1"/>
  <c r="L7025" i="1"/>
  <c r="K7025" i="1"/>
  <c r="I7017" i="1"/>
  <c r="L7017" i="1"/>
  <c r="K7017" i="1"/>
  <c r="I7009" i="1"/>
  <c r="L7009" i="1"/>
  <c r="K7009" i="1"/>
  <c r="I7001" i="1"/>
  <c r="L7001" i="1"/>
  <c r="K7001" i="1"/>
  <c r="I6993" i="1"/>
  <c r="L6993" i="1"/>
  <c r="K6993" i="1"/>
  <c r="I6985" i="1"/>
  <c r="L6985" i="1"/>
  <c r="K6985" i="1"/>
  <c r="I6977" i="1"/>
  <c r="L6977" i="1"/>
  <c r="K6977" i="1"/>
  <c r="I6969" i="1"/>
  <c r="L6969" i="1"/>
  <c r="K6969" i="1"/>
  <c r="I6961" i="1"/>
  <c r="L6961" i="1"/>
  <c r="K6961" i="1"/>
  <c r="I6953" i="1"/>
  <c r="L6953" i="1"/>
  <c r="K6953" i="1"/>
  <c r="I6945" i="1"/>
  <c r="L6945" i="1"/>
  <c r="K6945" i="1"/>
  <c r="I6937" i="1"/>
  <c r="L6937" i="1"/>
  <c r="K6937" i="1"/>
  <c r="I6929" i="1"/>
  <c r="L6929" i="1"/>
  <c r="K6929" i="1"/>
  <c r="I6921" i="1"/>
  <c r="L6921" i="1"/>
  <c r="K6921" i="1"/>
  <c r="I6913" i="1"/>
  <c r="L6913" i="1"/>
  <c r="K6913" i="1"/>
  <c r="I6905" i="1"/>
  <c r="L6905" i="1"/>
  <c r="K6905" i="1"/>
  <c r="I6897" i="1"/>
  <c r="L6897" i="1"/>
  <c r="K6897" i="1"/>
  <c r="I6889" i="1"/>
  <c r="L6889" i="1"/>
  <c r="K6889" i="1"/>
  <c r="I6881" i="1"/>
  <c r="L6881" i="1"/>
  <c r="K6881" i="1"/>
  <c r="I6873" i="1"/>
  <c r="L6873" i="1"/>
  <c r="K6873" i="1"/>
  <c r="I6865" i="1"/>
  <c r="L6865" i="1"/>
  <c r="K6865" i="1"/>
  <c r="I6857" i="1"/>
  <c r="L6857" i="1"/>
  <c r="K6857" i="1"/>
  <c r="I6849" i="1"/>
  <c r="L6849" i="1"/>
  <c r="K6849" i="1"/>
  <c r="I6841" i="1"/>
  <c r="L6841" i="1"/>
  <c r="K6841" i="1"/>
  <c r="I6833" i="1"/>
  <c r="L6833" i="1"/>
  <c r="K6833" i="1"/>
  <c r="I6825" i="1"/>
  <c r="L6825" i="1"/>
  <c r="K6825" i="1"/>
  <c r="I6817" i="1"/>
  <c r="L6817" i="1"/>
  <c r="K6817" i="1"/>
  <c r="I6809" i="1"/>
  <c r="L6809" i="1"/>
  <c r="K6809" i="1"/>
  <c r="I6801" i="1"/>
  <c r="L6801" i="1"/>
  <c r="K6801" i="1"/>
  <c r="I6793" i="1"/>
  <c r="L6793" i="1"/>
  <c r="K6793" i="1"/>
  <c r="I6785" i="1"/>
  <c r="L6785" i="1"/>
  <c r="K6785" i="1"/>
  <c r="I6777" i="1"/>
  <c r="L6777" i="1"/>
  <c r="K6777" i="1"/>
  <c r="I6769" i="1"/>
  <c r="L6769" i="1"/>
  <c r="K6769" i="1"/>
  <c r="I6761" i="1"/>
  <c r="L6761" i="1"/>
  <c r="K6761" i="1"/>
  <c r="I6753" i="1"/>
  <c r="L6753" i="1"/>
  <c r="K6753" i="1"/>
  <c r="I6745" i="1"/>
  <c r="L6745" i="1"/>
  <c r="K6745" i="1"/>
  <c r="L6737" i="1"/>
  <c r="K6737" i="1"/>
  <c r="L6729" i="1"/>
  <c r="K6729" i="1"/>
  <c r="L6721" i="1"/>
  <c r="K6721" i="1"/>
  <c r="L6713" i="1"/>
  <c r="K6713" i="1"/>
  <c r="L6705" i="1"/>
  <c r="K6705" i="1"/>
  <c r="L6697" i="1"/>
  <c r="K6697" i="1"/>
  <c r="L6689" i="1"/>
  <c r="K6689" i="1"/>
  <c r="L6681" i="1"/>
  <c r="K6681" i="1"/>
  <c r="L6673" i="1"/>
  <c r="K6673" i="1"/>
  <c r="L6665" i="1"/>
  <c r="K6665" i="1"/>
  <c r="L6657" i="1"/>
  <c r="K6657" i="1"/>
  <c r="L6649" i="1"/>
  <c r="K6649" i="1"/>
  <c r="L6641" i="1"/>
  <c r="K6641" i="1"/>
  <c r="L6633" i="1"/>
  <c r="K6633" i="1"/>
  <c r="L6625" i="1"/>
  <c r="K6625" i="1"/>
  <c r="L6617" i="1"/>
  <c r="K6617" i="1"/>
  <c r="L6609" i="1"/>
  <c r="K6609" i="1"/>
  <c r="L6601" i="1"/>
  <c r="K6601" i="1"/>
  <c r="L6593" i="1"/>
  <c r="K6593" i="1"/>
  <c r="L6585" i="1"/>
  <c r="K6585" i="1"/>
  <c r="L6577" i="1"/>
  <c r="K6577" i="1"/>
  <c r="L6569" i="1"/>
  <c r="K6569" i="1"/>
  <c r="L6561" i="1"/>
  <c r="K6561" i="1"/>
  <c r="L6553" i="1"/>
  <c r="K6553" i="1"/>
  <c r="L6545" i="1"/>
  <c r="K6545" i="1"/>
  <c r="L6537" i="1"/>
  <c r="K6537" i="1"/>
  <c r="L6529" i="1"/>
  <c r="K6529" i="1"/>
  <c r="L6521" i="1"/>
  <c r="K6521" i="1"/>
  <c r="L6513" i="1"/>
  <c r="K6513" i="1"/>
  <c r="L6505" i="1"/>
  <c r="K6505" i="1"/>
  <c r="L6497" i="1"/>
  <c r="K6497" i="1"/>
  <c r="L6489" i="1"/>
  <c r="K6489" i="1"/>
  <c r="L6481" i="1"/>
  <c r="K6481" i="1"/>
  <c r="L6473" i="1"/>
  <c r="K6473" i="1"/>
  <c r="L6465" i="1"/>
  <c r="K6465" i="1"/>
  <c r="L6457" i="1"/>
  <c r="K6457" i="1"/>
  <c r="L6449" i="1"/>
  <c r="K6449" i="1"/>
  <c r="L6441" i="1"/>
  <c r="K6441" i="1"/>
  <c r="L6433" i="1"/>
  <c r="K6433" i="1"/>
  <c r="L6425" i="1"/>
  <c r="K6425" i="1"/>
  <c r="L6417" i="1"/>
  <c r="K6417" i="1"/>
  <c r="L6409" i="1"/>
  <c r="K6409" i="1"/>
  <c r="L6401" i="1"/>
  <c r="K6401" i="1"/>
  <c r="L6393" i="1"/>
  <c r="K6393" i="1"/>
  <c r="L6385" i="1"/>
  <c r="K6385" i="1"/>
  <c r="L6377" i="1"/>
  <c r="K6377" i="1"/>
  <c r="L6369" i="1"/>
  <c r="K6369" i="1"/>
  <c r="L6361" i="1"/>
  <c r="K6361" i="1"/>
  <c r="L6353" i="1"/>
  <c r="K6353" i="1"/>
  <c r="L6345" i="1"/>
  <c r="K6345" i="1"/>
  <c r="L6337" i="1"/>
  <c r="K6337" i="1"/>
  <c r="L6329" i="1"/>
  <c r="K6329" i="1"/>
  <c r="L6321" i="1"/>
  <c r="K6321" i="1"/>
  <c r="L6313" i="1"/>
  <c r="K6313" i="1"/>
  <c r="L6305" i="1"/>
  <c r="K6305" i="1"/>
  <c r="L6297" i="1"/>
  <c r="K6297" i="1"/>
  <c r="L6289" i="1"/>
  <c r="K6289" i="1"/>
  <c r="L6281" i="1"/>
  <c r="K6281" i="1"/>
  <c r="L6273" i="1"/>
  <c r="K6273" i="1"/>
  <c r="L6265" i="1"/>
  <c r="K6265" i="1"/>
  <c r="L6257" i="1"/>
  <c r="K6257" i="1"/>
  <c r="L6249" i="1"/>
  <c r="K6249" i="1"/>
  <c r="L6241" i="1"/>
  <c r="K6241" i="1"/>
  <c r="L6233" i="1"/>
  <c r="K6233" i="1"/>
  <c r="L6225" i="1"/>
  <c r="K6225" i="1"/>
  <c r="L6217" i="1"/>
  <c r="K6217" i="1"/>
  <c r="L6209" i="1"/>
  <c r="K6209" i="1"/>
  <c r="L6201" i="1"/>
  <c r="K6201" i="1"/>
  <c r="L6193" i="1"/>
  <c r="K6193" i="1"/>
  <c r="L6185" i="1"/>
  <c r="K6185" i="1"/>
  <c r="L6177" i="1"/>
  <c r="K6177" i="1"/>
  <c r="L6169" i="1"/>
  <c r="K6169" i="1"/>
  <c r="L6161" i="1"/>
  <c r="K6161" i="1"/>
  <c r="L6153" i="1"/>
  <c r="K6153" i="1"/>
  <c r="L6145" i="1"/>
  <c r="K6145" i="1"/>
  <c r="L6137" i="1"/>
  <c r="K6137" i="1"/>
  <c r="L6129" i="1"/>
  <c r="K6129" i="1"/>
  <c r="L6121" i="1"/>
  <c r="K6121" i="1"/>
  <c r="L6113" i="1"/>
  <c r="K6113" i="1"/>
  <c r="L6105" i="1"/>
  <c r="K6105" i="1"/>
  <c r="L6097" i="1"/>
  <c r="K6097" i="1"/>
  <c r="L6089" i="1"/>
  <c r="K6089" i="1"/>
  <c r="L6081" i="1"/>
  <c r="K6081" i="1"/>
  <c r="L6073" i="1"/>
  <c r="K6073" i="1"/>
  <c r="L6065" i="1"/>
  <c r="K6065" i="1"/>
  <c r="L6057" i="1"/>
  <c r="K6057" i="1"/>
  <c r="L6049" i="1"/>
  <c r="K6049" i="1"/>
  <c r="L6041" i="1"/>
  <c r="K6041" i="1"/>
  <c r="L6033" i="1"/>
  <c r="K6033" i="1"/>
  <c r="L6025" i="1"/>
  <c r="K6025" i="1"/>
  <c r="L6017" i="1"/>
  <c r="K6017" i="1"/>
  <c r="L6009" i="1"/>
  <c r="K6009" i="1"/>
  <c r="L6001" i="1"/>
  <c r="K6001" i="1"/>
  <c r="L5993" i="1"/>
  <c r="K5993" i="1"/>
  <c r="L5985" i="1"/>
  <c r="K5985" i="1"/>
  <c r="L5977" i="1"/>
  <c r="K5977" i="1"/>
  <c r="L5969" i="1"/>
  <c r="K5969" i="1"/>
  <c r="L5961" i="1"/>
  <c r="K5961" i="1"/>
  <c r="L5953" i="1"/>
  <c r="K5953" i="1"/>
  <c r="L5945" i="1"/>
  <c r="K5945" i="1"/>
  <c r="L5937" i="1"/>
  <c r="K5937" i="1"/>
  <c r="L5929" i="1"/>
  <c r="K5929" i="1"/>
  <c r="L5921" i="1"/>
  <c r="K5921" i="1"/>
  <c r="L5913" i="1"/>
  <c r="K5913" i="1"/>
  <c r="L5905" i="1"/>
  <c r="K5905" i="1"/>
  <c r="L5897" i="1"/>
  <c r="K5897" i="1"/>
  <c r="L5889" i="1"/>
  <c r="K5889" i="1"/>
  <c r="L5881" i="1"/>
  <c r="K5881" i="1"/>
  <c r="L5873" i="1"/>
  <c r="K5873" i="1"/>
  <c r="L5865" i="1"/>
  <c r="K5865" i="1"/>
  <c r="L5857" i="1"/>
  <c r="K5857" i="1"/>
  <c r="L5849" i="1"/>
  <c r="K5849" i="1"/>
  <c r="L5841" i="1"/>
  <c r="K5841" i="1"/>
  <c r="L5833" i="1"/>
  <c r="K5833" i="1"/>
  <c r="L5825" i="1"/>
  <c r="K5825" i="1"/>
  <c r="L5817" i="1"/>
  <c r="K5817" i="1"/>
  <c r="L5809" i="1"/>
  <c r="K5809" i="1"/>
  <c r="L5801" i="1"/>
  <c r="K5801" i="1"/>
  <c r="L5793" i="1"/>
  <c r="K5793" i="1"/>
  <c r="L5785" i="1"/>
  <c r="K5785" i="1"/>
  <c r="L5777" i="1"/>
  <c r="K5777" i="1"/>
  <c r="L5769" i="1"/>
  <c r="K5769" i="1"/>
  <c r="L5761" i="1"/>
  <c r="K5761" i="1"/>
  <c r="L5753" i="1"/>
  <c r="K5753" i="1"/>
  <c r="L5745" i="1"/>
  <c r="K5745" i="1"/>
  <c r="L5737" i="1"/>
  <c r="K5737" i="1"/>
  <c r="L5729" i="1"/>
  <c r="K5729" i="1"/>
  <c r="L5721" i="1"/>
  <c r="K5721" i="1"/>
  <c r="L5713" i="1"/>
  <c r="K5713" i="1"/>
  <c r="L5705" i="1"/>
  <c r="K5705" i="1"/>
  <c r="L5697" i="1"/>
  <c r="K5697" i="1"/>
  <c r="L5689" i="1"/>
  <c r="K5689" i="1"/>
  <c r="L5681" i="1"/>
  <c r="K5681" i="1"/>
  <c r="L5673" i="1"/>
  <c r="K5673" i="1"/>
  <c r="L5665" i="1"/>
  <c r="K5665" i="1"/>
  <c r="L5657" i="1"/>
  <c r="K5657" i="1"/>
  <c r="L5649" i="1"/>
  <c r="K5649" i="1"/>
  <c r="L5641" i="1"/>
  <c r="K5641" i="1"/>
  <c r="L5633" i="1"/>
  <c r="K5633" i="1"/>
  <c r="L5625" i="1"/>
  <c r="K5625" i="1"/>
  <c r="L5617" i="1"/>
  <c r="K5617" i="1"/>
  <c r="L5609" i="1"/>
  <c r="K5609" i="1"/>
  <c r="L5601" i="1"/>
  <c r="K5601" i="1"/>
  <c r="L5593" i="1"/>
  <c r="K5593" i="1"/>
  <c r="L5585" i="1"/>
  <c r="K5585" i="1"/>
  <c r="L5577" i="1"/>
  <c r="K5577" i="1"/>
  <c r="L5569" i="1"/>
  <c r="K5569" i="1"/>
  <c r="L5561" i="1"/>
  <c r="K5561" i="1"/>
  <c r="L5553" i="1"/>
  <c r="K5553" i="1"/>
  <c r="L5545" i="1"/>
  <c r="K5545" i="1"/>
  <c r="L5537" i="1"/>
  <c r="K5537" i="1"/>
  <c r="L5529" i="1"/>
  <c r="K5529" i="1"/>
  <c r="L5521" i="1"/>
  <c r="K5521" i="1"/>
  <c r="L5513" i="1"/>
  <c r="K5513" i="1"/>
  <c r="L5505" i="1"/>
  <c r="K5505" i="1"/>
  <c r="L5497" i="1"/>
  <c r="K5497" i="1"/>
  <c r="L5489" i="1"/>
  <c r="K5489" i="1"/>
  <c r="L5481" i="1"/>
  <c r="K5481" i="1"/>
  <c r="L5473" i="1"/>
  <c r="K5473" i="1"/>
  <c r="L5465" i="1"/>
  <c r="K5465" i="1"/>
  <c r="L5457" i="1"/>
  <c r="K5457" i="1"/>
  <c r="L5449" i="1"/>
  <c r="K5449" i="1"/>
  <c r="L5441" i="1"/>
  <c r="K5441" i="1"/>
  <c r="L5433" i="1"/>
  <c r="K5433" i="1"/>
  <c r="L5425" i="1"/>
  <c r="K5425" i="1"/>
  <c r="L5417" i="1"/>
  <c r="K5417" i="1"/>
  <c r="L5409" i="1"/>
  <c r="K5409" i="1"/>
  <c r="L5401" i="1"/>
  <c r="K5401" i="1"/>
  <c r="L5393" i="1"/>
  <c r="K5393" i="1"/>
  <c r="L5385" i="1"/>
  <c r="K5385" i="1"/>
  <c r="L5377" i="1"/>
  <c r="K5377" i="1"/>
  <c r="L5369" i="1"/>
  <c r="K5369" i="1"/>
  <c r="L5361" i="1"/>
  <c r="K5361" i="1"/>
  <c r="L5353" i="1"/>
  <c r="K5353" i="1"/>
  <c r="L5345" i="1"/>
  <c r="K5345" i="1"/>
  <c r="L5337" i="1"/>
  <c r="K5337" i="1"/>
  <c r="L5329" i="1"/>
  <c r="K5329" i="1"/>
  <c r="L5321" i="1"/>
  <c r="K5321" i="1"/>
  <c r="L5313" i="1"/>
  <c r="K5313" i="1"/>
  <c r="L5305" i="1"/>
  <c r="K5305" i="1"/>
  <c r="L5297" i="1"/>
  <c r="K5297" i="1"/>
  <c r="L5289" i="1"/>
  <c r="K5289" i="1"/>
  <c r="L5281" i="1"/>
  <c r="K5281" i="1"/>
  <c r="L5273" i="1"/>
  <c r="K5273" i="1"/>
  <c r="L5265" i="1"/>
  <c r="K5265" i="1"/>
  <c r="L5257" i="1"/>
  <c r="K5257" i="1"/>
  <c r="L5249" i="1"/>
  <c r="K5249" i="1"/>
  <c r="L5241" i="1"/>
  <c r="K5241" i="1"/>
  <c r="L5233" i="1"/>
  <c r="K5233" i="1"/>
  <c r="L5225" i="1"/>
  <c r="K5225" i="1"/>
  <c r="L5217" i="1"/>
  <c r="K5217" i="1"/>
  <c r="L5209" i="1"/>
  <c r="K5209" i="1"/>
  <c r="L5201" i="1"/>
  <c r="K5201" i="1"/>
  <c r="L5193" i="1"/>
  <c r="K5193" i="1"/>
  <c r="L5185" i="1"/>
  <c r="K5185" i="1"/>
  <c r="L5177" i="1"/>
  <c r="K5177" i="1"/>
  <c r="L5169" i="1"/>
  <c r="K5169" i="1"/>
  <c r="L5161" i="1"/>
  <c r="K5161" i="1"/>
  <c r="L5153" i="1"/>
  <c r="K5153" i="1"/>
  <c r="L5145" i="1"/>
  <c r="K5145" i="1"/>
  <c r="L5137" i="1"/>
  <c r="K5137" i="1"/>
  <c r="L5129" i="1"/>
  <c r="K5129" i="1"/>
  <c r="L5121" i="1"/>
  <c r="K5121" i="1"/>
  <c r="L5113" i="1"/>
  <c r="K5113" i="1"/>
  <c r="L5105" i="1"/>
  <c r="K5105" i="1"/>
  <c r="L5097" i="1"/>
  <c r="K5097" i="1"/>
  <c r="L5089" i="1"/>
  <c r="K5089" i="1"/>
  <c r="L5081" i="1"/>
  <c r="K5081" i="1"/>
  <c r="L5073" i="1"/>
  <c r="K5073" i="1"/>
  <c r="L5065" i="1"/>
  <c r="K5065" i="1"/>
  <c r="L5057" i="1"/>
  <c r="K5057" i="1"/>
  <c r="L5049" i="1"/>
  <c r="K5049" i="1"/>
  <c r="L5041" i="1"/>
  <c r="K5041" i="1"/>
  <c r="L5033" i="1"/>
  <c r="K5033" i="1"/>
  <c r="L5025" i="1"/>
  <c r="K5025" i="1"/>
  <c r="L5017" i="1"/>
  <c r="K5017" i="1"/>
  <c r="L5009" i="1"/>
  <c r="K5009" i="1"/>
  <c r="L5001" i="1"/>
  <c r="K5001" i="1"/>
  <c r="L4993" i="1"/>
  <c r="K4993" i="1"/>
  <c r="L4985" i="1"/>
  <c r="K4985" i="1"/>
  <c r="L4977" i="1"/>
  <c r="K4977" i="1"/>
  <c r="L4969" i="1"/>
  <c r="K4969" i="1"/>
  <c r="L4961" i="1"/>
  <c r="K4961" i="1"/>
  <c r="L4953" i="1"/>
  <c r="K4953" i="1"/>
  <c r="L4945" i="1"/>
  <c r="K4945" i="1"/>
  <c r="L4937" i="1"/>
  <c r="K4937" i="1"/>
  <c r="L4929" i="1"/>
  <c r="K4929" i="1"/>
  <c r="L4921" i="1"/>
  <c r="K4921" i="1"/>
  <c r="L4913" i="1"/>
  <c r="K4913" i="1"/>
  <c r="L4905" i="1"/>
  <c r="K4905" i="1"/>
  <c r="L4897" i="1"/>
  <c r="K4897" i="1"/>
  <c r="L4889" i="1"/>
  <c r="K4889" i="1"/>
  <c r="L4881" i="1"/>
  <c r="K4881" i="1"/>
  <c r="L4873" i="1"/>
  <c r="K4873" i="1"/>
  <c r="L4865" i="1"/>
  <c r="K4865" i="1"/>
  <c r="L4857" i="1"/>
  <c r="K4857" i="1"/>
  <c r="L4849" i="1"/>
  <c r="K4849" i="1"/>
  <c r="L4841" i="1"/>
  <c r="K4841" i="1"/>
  <c r="L4833" i="1"/>
  <c r="K4833" i="1"/>
  <c r="L4825" i="1"/>
  <c r="K4825" i="1"/>
  <c r="L4817" i="1"/>
  <c r="K4817" i="1"/>
  <c r="L4809" i="1"/>
  <c r="K4809" i="1"/>
  <c r="L4801" i="1"/>
  <c r="K4801" i="1"/>
  <c r="L4793" i="1"/>
  <c r="K4793" i="1"/>
  <c r="L4785" i="1"/>
  <c r="K4785" i="1"/>
  <c r="L4777" i="1"/>
  <c r="K4777" i="1"/>
  <c r="L4769" i="1"/>
  <c r="K4769" i="1"/>
  <c r="L4761" i="1"/>
  <c r="K4761" i="1"/>
  <c r="L4753" i="1"/>
  <c r="K4753" i="1"/>
  <c r="L4745" i="1"/>
  <c r="K4745" i="1"/>
  <c r="L4737" i="1"/>
  <c r="K4737" i="1"/>
  <c r="L4729" i="1"/>
  <c r="K4729" i="1"/>
  <c r="L4721" i="1"/>
  <c r="K4721" i="1"/>
  <c r="L4713" i="1"/>
  <c r="K4713" i="1"/>
  <c r="L4705" i="1"/>
  <c r="K4705" i="1"/>
  <c r="L4697" i="1"/>
  <c r="K4697" i="1"/>
  <c r="L4689" i="1"/>
  <c r="K4689" i="1"/>
  <c r="L4681" i="1"/>
  <c r="K4681" i="1"/>
  <c r="L4673" i="1"/>
  <c r="K4673" i="1"/>
  <c r="L4665" i="1"/>
  <c r="K4665" i="1"/>
  <c r="L4657" i="1"/>
  <c r="K4657" i="1"/>
  <c r="L4649" i="1"/>
  <c r="K4649" i="1"/>
  <c r="L4641" i="1"/>
  <c r="K4641" i="1"/>
  <c r="L4633" i="1"/>
  <c r="K4633" i="1"/>
  <c r="L4625" i="1"/>
  <c r="K4625" i="1"/>
  <c r="L4617" i="1"/>
  <c r="K4617" i="1"/>
  <c r="L4609" i="1"/>
  <c r="K4609" i="1"/>
  <c r="L4601" i="1"/>
  <c r="K4601" i="1"/>
  <c r="L4593" i="1"/>
  <c r="K4593" i="1"/>
  <c r="L4585" i="1"/>
  <c r="K4585" i="1"/>
  <c r="L4577" i="1"/>
  <c r="K4577" i="1"/>
  <c r="L4569" i="1"/>
  <c r="K4569" i="1"/>
  <c r="L4561" i="1"/>
  <c r="K4561" i="1"/>
  <c r="L4553" i="1"/>
  <c r="K4553" i="1"/>
  <c r="L4545" i="1"/>
  <c r="K4545" i="1"/>
  <c r="L4537" i="1"/>
  <c r="K4537" i="1"/>
  <c r="L4529" i="1"/>
  <c r="K4529" i="1"/>
  <c r="L4521" i="1"/>
  <c r="K4521" i="1"/>
  <c r="L4513" i="1"/>
  <c r="K4513" i="1"/>
  <c r="L4505" i="1"/>
  <c r="K4505" i="1"/>
  <c r="L4497" i="1"/>
  <c r="K4497" i="1"/>
  <c r="L4489" i="1"/>
  <c r="K4489" i="1"/>
  <c r="L4481" i="1"/>
  <c r="K4481" i="1"/>
  <c r="L4473" i="1"/>
  <c r="K4473" i="1"/>
  <c r="L4465" i="1"/>
  <c r="K4465" i="1"/>
  <c r="L4457" i="1"/>
  <c r="K4457" i="1"/>
  <c r="L4449" i="1"/>
  <c r="K4449" i="1"/>
  <c r="L4441" i="1"/>
  <c r="K4441" i="1"/>
  <c r="L4433" i="1"/>
  <c r="K4433" i="1"/>
  <c r="L4425" i="1"/>
  <c r="K4425" i="1"/>
  <c r="L4417" i="1"/>
  <c r="K4417" i="1"/>
  <c r="L4409" i="1"/>
  <c r="K4409" i="1"/>
  <c r="L4401" i="1"/>
  <c r="K4401" i="1"/>
  <c r="L4393" i="1"/>
  <c r="K4393" i="1"/>
  <c r="L4385" i="1"/>
  <c r="K4385" i="1"/>
  <c r="L4377" i="1"/>
  <c r="K4377" i="1"/>
  <c r="L4369" i="1"/>
  <c r="K4369" i="1"/>
  <c r="L4361" i="1"/>
  <c r="K4361" i="1"/>
  <c r="L4353" i="1"/>
  <c r="K4353" i="1"/>
  <c r="L4345" i="1"/>
  <c r="K4345" i="1"/>
  <c r="L4337" i="1"/>
  <c r="K4337" i="1"/>
  <c r="L4329" i="1"/>
  <c r="K4329" i="1"/>
  <c r="L4321" i="1"/>
  <c r="K4321" i="1"/>
  <c r="L4313" i="1"/>
  <c r="K4313" i="1"/>
  <c r="L4305" i="1"/>
  <c r="K4305" i="1"/>
  <c r="L4297" i="1"/>
  <c r="K4297" i="1"/>
  <c r="L4289" i="1"/>
  <c r="K4289" i="1"/>
  <c r="L4281" i="1"/>
  <c r="K4281" i="1"/>
  <c r="L4273" i="1"/>
  <c r="K4273" i="1"/>
  <c r="L4265" i="1"/>
  <c r="K4265" i="1"/>
  <c r="L4257" i="1"/>
  <c r="K4257" i="1"/>
  <c r="L4249" i="1"/>
  <c r="K4249" i="1"/>
  <c r="L4241" i="1"/>
  <c r="K4241" i="1"/>
  <c r="L4233" i="1"/>
  <c r="K4233" i="1"/>
  <c r="L4225" i="1"/>
  <c r="K4225" i="1"/>
  <c r="L4217" i="1"/>
  <c r="K4217" i="1"/>
  <c r="L4209" i="1"/>
  <c r="K4209" i="1"/>
  <c r="L4201" i="1"/>
  <c r="K4201" i="1"/>
  <c r="L4193" i="1"/>
  <c r="K4193" i="1"/>
  <c r="L4185" i="1"/>
  <c r="K4185" i="1"/>
  <c r="L4177" i="1"/>
  <c r="K4177" i="1"/>
  <c r="L4169" i="1"/>
  <c r="K4169" i="1"/>
  <c r="L4161" i="1"/>
  <c r="K4161" i="1"/>
  <c r="L4153" i="1"/>
  <c r="K4153" i="1"/>
  <c r="L4145" i="1"/>
  <c r="K4145" i="1"/>
  <c r="L4137" i="1"/>
  <c r="K4137" i="1"/>
  <c r="L4129" i="1"/>
  <c r="K4129" i="1"/>
  <c r="L4121" i="1"/>
  <c r="K4121" i="1"/>
  <c r="L4113" i="1"/>
  <c r="K4113" i="1"/>
  <c r="L4105" i="1"/>
  <c r="K4105" i="1"/>
  <c r="L4097" i="1"/>
  <c r="K4097" i="1"/>
  <c r="L4089" i="1"/>
  <c r="K4089" i="1"/>
  <c r="L4081" i="1"/>
  <c r="K4081" i="1"/>
  <c r="L4073" i="1"/>
  <c r="K4073" i="1"/>
  <c r="L4065" i="1"/>
  <c r="K4065" i="1"/>
  <c r="L4057" i="1"/>
  <c r="K4057" i="1"/>
  <c r="L4049" i="1"/>
  <c r="K4049" i="1"/>
  <c r="L4041" i="1"/>
  <c r="K4041" i="1"/>
  <c r="L4033" i="1"/>
  <c r="K4033" i="1"/>
  <c r="L4025" i="1"/>
  <c r="K4025" i="1"/>
  <c r="L4017" i="1"/>
  <c r="K4017" i="1"/>
  <c r="L4009" i="1"/>
  <c r="K4009" i="1"/>
  <c r="L4001" i="1"/>
  <c r="K4001" i="1"/>
  <c r="L3993" i="1"/>
  <c r="K3993" i="1"/>
  <c r="L3985" i="1"/>
  <c r="K3985" i="1"/>
  <c r="L3977" i="1"/>
  <c r="K3977" i="1"/>
  <c r="L3969" i="1"/>
  <c r="K3969" i="1"/>
  <c r="L3961" i="1"/>
  <c r="K3961" i="1"/>
  <c r="L3953" i="1"/>
  <c r="K3953" i="1"/>
  <c r="L3945" i="1"/>
  <c r="K3945" i="1"/>
  <c r="L3937" i="1"/>
  <c r="K3937" i="1"/>
  <c r="L3929" i="1"/>
  <c r="K3929" i="1"/>
  <c r="L3921" i="1"/>
  <c r="K3921" i="1"/>
  <c r="L3913" i="1"/>
  <c r="K3913" i="1"/>
  <c r="L3905" i="1"/>
  <c r="K3905" i="1"/>
  <c r="L3897" i="1"/>
  <c r="K3897" i="1"/>
  <c r="L3889" i="1"/>
  <c r="K3889" i="1"/>
  <c r="L3881" i="1"/>
  <c r="K3881" i="1"/>
  <c r="L3873" i="1"/>
  <c r="K3873" i="1"/>
  <c r="L3865" i="1"/>
  <c r="K3865" i="1"/>
  <c r="L3857" i="1"/>
  <c r="K3857" i="1"/>
  <c r="L3849" i="1"/>
  <c r="K3849" i="1"/>
  <c r="L3841" i="1"/>
  <c r="K3841" i="1"/>
  <c r="L3833" i="1"/>
  <c r="K3833" i="1"/>
  <c r="L3825" i="1"/>
  <c r="K3825" i="1"/>
  <c r="L3817" i="1"/>
  <c r="K3817" i="1"/>
  <c r="L3809" i="1"/>
  <c r="K3809" i="1"/>
  <c r="L3801" i="1"/>
  <c r="K3801" i="1"/>
  <c r="L3793" i="1"/>
  <c r="K3793" i="1"/>
  <c r="L3785" i="1"/>
  <c r="K3785" i="1"/>
  <c r="L3777" i="1"/>
  <c r="K3777" i="1"/>
  <c r="L3769" i="1"/>
  <c r="K3769" i="1"/>
  <c r="L3761" i="1"/>
  <c r="K3761" i="1"/>
  <c r="L3753" i="1"/>
  <c r="K3753" i="1"/>
  <c r="L3745" i="1"/>
  <c r="K3745" i="1"/>
  <c r="L3737" i="1"/>
  <c r="K3737" i="1"/>
  <c r="L3729" i="1"/>
  <c r="K3729" i="1"/>
  <c r="L3721" i="1"/>
  <c r="K3721" i="1"/>
  <c r="L3713" i="1"/>
  <c r="K3713" i="1"/>
  <c r="L3705" i="1"/>
  <c r="K3705" i="1"/>
  <c r="L3697" i="1"/>
  <c r="K3697" i="1"/>
  <c r="L3689" i="1"/>
  <c r="K3689" i="1"/>
  <c r="L3681" i="1"/>
  <c r="K3681" i="1"/>
  <c r="L3673" i="1"/>
  <c r="K3673" i="1"/>
  <c r="L3665" i="1"/>
  <c r="K3665" i="1"/>
  <c r="L3657" i="1"/>
  <c r="K3657" i="1"/>
  <c r="L3649" i="1"/>
  <c r="K3649" i="1"/>
  <c r="L3641" i="1"/>
  <c r="K3641" i="1"/>
  <c r="L3633" i="1"/>
  <c r="K3633" i="1"/>
  <c r="L3625" i="1"/>
  <c r="K3625" i="1"/>
  <c r="L3617" i="1"/>
  <c r="K3617" i="1"/>
  <c r="L3609" i="1"/>
  <c r="K3609" i="1"/>
  <c r="L3601" i="1"/>
  <c r="K3601" i="1"/>
  <c r="L3593" i="1"/>
  <c r="K3593" i="1"/>
  <c r="L3585" i="1"/>
  <c r="K3585" i="1"/>
  <c r="L3577" i="1"/>
  <c r="K3577" i="1"/>
  <c r="L3569" i="1"/>
  <c r="K3569" i="1"/>
  <c r="L3561" i="1"/>
  <c r="K3561" i="1"/>
  <c r="L3553" i="1"/>
  <c r="K3553" i="1"/>
  <c r="L3545" i="1"/>
  <c r="K3545" i="1"/>
  <c r="L3537" i="1"/>
  <c r="K3537" i="1"/>
  <c r="L3529" i="1"/>
  <c r="K3529" i="1"/>
  <c r="L3521" i="1"/>
  <c r="K3521" i="1"/>
  <c r="L3513" i="1"/>
  <c r="K3513" i="1"/>
  <c r="L3505" i="1"/>
  <c r="K3505" i="1"/>
  <c r="L3497" i="1"/>
  <c r="K3497" i="1"/>
  <c r="L3489" i="1"/>
  <c r="K3489" i="1"/>
  <c r="L3481" i="1"/>
  <c r="K3481" i="1"/>
  <c r="L3473" i="1"/>
  <c r="K3473" i="1"/>
  <c r="L3465" i="1"/>
  <c r="K3465" i="1"/>
  <c r="L3457" i="1"/>
  <c r="K3457" i="1"/>
  <c r="L3449" i="1"/>
  <c r="K3449" i="1"/>
  <c r="L3441" i="1"/>
  <c r="K3441" i="1"/>
  <c r="L3433" i="1"/>
  <c r="K3433" i="1"/>
  <c r="L3425" i="1"/>
  <c r="K3425" i="1"/>
  <c r="L3417" i="1"/>
  <c r="K3417" i="1"/>
  <c r="L3409" i="1"/>
  <c r="K3409" i="1"/>
  <c r="L3401" i="1"/>
  <c r="K3401" i="1"/>
  <c r="L3393" i="1"/>
  <c r="K3393" i="1"/>
  <c r="L3385" i="1"/>
  <c r="K3385" i="1"/>
  <c r="L3377" i="1"/>
  <c r="K3377" i="1"/>
  <c r="L3369" i="1"/>
  <c r="K3369" i="1"/>
  <c r="L3361" i="1"/>
  <c r="K3361" i="1"/>
  <c r="L3353" i="1"/>
  <c r="K3353" i="1"/>
  <c r="L3345" i="1"/>
  <c r="K3345" i="1"/>
  <c r="L3337" i="1"/>
  <c r="K3337" i="1"/>
  <c r="L3329" i="1"/>
  <c r="K3329" i="1"/>
  <c r="L3321" i="1"/>
  <c r="K3321" i="1"/>
  <c r="L3313" i="1"/>
  <c r="K3313" i="1"/>
  <c r="L3305" i="1"/>
  <c r="K3305" i="1"/>
  <c r="L3297" i="1"/>
  <c r="K3297" i="1"/>
  <c r="L3289" i="1"/>
  <c r="K3289" i="1"/>
  <c r="L3281" i="1"/>
  <c r="K3281" i="1"/>
  <c r="L3273" i="1"/>
  <c r="K3273" i="1"/>
  <c r="L3265" i="1"/>
  <c r="K3265" i="1"/>
  <c r="L3257" i="1"/>
  <c r="K3257" i="1"/>
  <c r="L3249" i="1"/>
  <c r="K3249" i="1"/>
  <c r="L3241" i="1"/>
  <c r="K3241" i="1"/>
  <c r="L3233" i="1"/>
  <c r="K3233" i="1"/>
  <c r="L3225" i="1"/>
  <c r="K3225" i="1"/>
  <c r="L3217" i="1"/>
  <c r="K3217" i="1"/>
  <c r="L3209" i="1"/>
  <c r="K3209" i="1"/>
  <c r="L3193" i="1"/>
  <c r="K3193" i="1"/>
  <c r="L3185" i="1"/>
  <c r="K3185" i="1"/>
  <c r="L3177" i="1"/>
  <c r="K3177" i="1"/>
  <c r="L3169" i="1"/>
  <c r="K3169" i="1"/>
  <c r="L3161" i="1"/>
  <c r="K3161" i="1"/>
  <c r="L3153" i="1"/>
  <c r="K3153" i="1"/>
  <c r="L3129" i="1"/>
  <c r="K3129" i="1"/>
  <c r="L3121" i="1"/>
  <c r="K3121" i="1"/>
  <c r="L3113" i="1"/>
  <c r="K3113" i="1"/>
  <c r="L3105" i="1"/>
  <c r="K3105" i="1"/>
  <c r="L3097" i="1"/>
  <c r="K3097" i="1"/>
  <c r="J3089" i="1"/>
  <c r="L3089" i="1"/>
  <c r="K3089" i="1"/>
  <c r="J3081" i="1"/>
  <c r="L3081" i="1"/>
  <c r="J3073" i="1"/>
  <c r="L3073" i="1"/>
  <c r="J3065" i="1"/>
  <c r="L3065" i="1"/>
  <c r="K3065" i="1"/>
  <c r="L3057" i="1"/>
  <c r="K3057" i="1"/>
  <c r="J3049" i="1"/>
  <c r="L3049" i="1"/>
  <c r="K3049" i="1"/>
  <c r="J3041" i="1"/>
  <c r="L3041" i="1"/>
  <c r="K3041" i="1"/>
  <c r="J3033" i="1"/>
  <c r="L3033" i="1"/>
  <c r="K3033" i="1"/>
  <c r="J3025" i="1"/>
  <c r="L3025" i="1"/>
  <c r="K3025" i="1"/>
  <c r="J3017" i="1"/>
  <c r="L3017" i="1"/>
  <c r="K3017" i="1"/>
  <c r="J3009" i="1"/>
  <c r="L3009" i="1"/>
  <c r="K3009" i="1"/>
  <c r="J3001" i="1"/>
  <c r="L3001" i="1"/>
  <c r="L2993" i="1"/>
  <c r="K2993" i="1"/>
  <c r="J2985" i="1"/>
  <c r="L2985" i="1"/>
  <c r="K2985" i="1"/>
  <c r="J2977" i="1"/>
  <c r="L2977" i="1"/>
  <c r="K2977" i="1"/>
  <c r="J2969" i="1"/>
  <c r="L2969" i="1"/>
  <c r="K2969" i="1"/>
  <c r="J2961" i="1"/>
  <c r="L2961" i="1"/>
  <c r="K2961" i="1"/>
  <c r="J2953" i="1"/>
  <c r="L2953" i="1"/>
  <c r="K2953" i="1"/>
  <c r="J2945" i="1"/>
  <c r="L2945" i="1"/>
  <c r="K2945" i="1"/>
  <c r="J2937" i="1"/>
  <c r="L2937" i="1"/>
  <c r="L2929" i="1"/>
  <c r="K2929" i="1"/>
  <c r="J2921" i="1"/>
  <c r="L2921" i="1"/>
  <c r="K2921" i="1"/>
  <c r="J2913" i="1"/>
  <c r="L2913" i="1"/>
  <c r="K2913" i="1"/>
  <c r="J2905" i="1"/>
  <c r="L2905" i="1"/>
  <c r="K2905" i="1"/>
  <c r="J2897" i="1"/>
  <c r="L2897" i="1"/>
  <c r="K2897" i="1"/>
  <c r="J2889" i="1"/>
  <c r="L2889" i="1"/>
  <c r="K2889" i="1"/>
  <c r="J2881" i="1"/>
  <c r="L2881" i="1"/>
  <c r="K2881" i="1"/>
  <c r="J2873" i="1"/>
  <c r="L2873" i="1"/>
  <c r="K2873" i="1"/>
  <c r="L2865" i="1"/>
  <c r="K2865" i="1"/>
  <c r="J2857" i="1"/>
  <c r="L2857" i="1"/>
  <c r="K2857" i="1"/>
  <c r="J2849" i="1"/>
  <c r="L2849" i="1"/>
  <c r="K2849" i="1"/>
  <c r="J2841" i="1"/>
  <c r="L2841" i="1"/>
  <c r="J2833" i="1"/>
  <c r="L2833" i="1"/>
  <c r="K2833" i="1"/>
  <c r="J2825" i="1"/>
  <c r="L2825" i="1"/>
  <c r="K2825" i="1"/>
  <c r="J2817" i="1"/>
  <c r="L2817" i="1"/>
  <c r="K2817" i="1"/>
  <c r="J2809" i="1"/>
  <c r="L2809" i="1"/>
  <c r="K2809" i="1"/>
  <c r="L2801" i="1"/>
  <c r="K2801" i="1"/>
  <c r="J2793" i="1"/>
  <c r="L2793" i="1"/>
  <c r="K2793" i="1"/>
  <c r="J2785" i="1"/>
  <c r="L2785" i="1"/>
  <c r="K2785" i="1"/>
  <c r="J2777" i="1"/>
  <c r="L2777" i="1"/>
  <c r="K2777" i="1"/>
  <c r="J2769" i="1"/>
  <c r="L2769" i="1"/>
  <c r="K2769" i="1"/>
  <c r="J2761" i="1"/>
  <c r="L2761" i="1"/>
  <c r="K2761" i="1"/>
  <c r="J2753" i="1"/>
  <c r="L2753" i="1"/>
  <c r="K2753" i="1"/>
  <c r="J2745" i="1"/>
  <c r="L2745" i="1"/>
  <c r="L2737" i="1"/>
  <c r="K2737" i="1"/>
  <c r="J2729" i="1"/>
  <c r="L2729" i="1"/>
  <c r="K2729" i="1"/>
  <c r="J2721" i="1"/>
  <c r="L2721" i="1"/>
  <c r="K2721" i="1"/>
  <c r="J2713" i="1"/>
  <c r="L2713" i="1"/>
  <c r="K2713" i="1"/>
  <c r="J2705" i="1"/>
  <c r="L2705" i="1"/>
  <c r="K2705" i="1"/>
  <c r="J2697" i="1"/>
  <c r="L2697" i="1"/>
  <c r="K2697" i="1"/>
  <c r="J2689" i="1"/>
  <c r="L2689" i="1"/>
  <c r="K2689" i="1"/>
  <c r="J2681" i="1"/>
  <c r="L2681" i="1"/>
  <c r="L2673" i="1"/>
  <c r="K2673" i="1"/>
  <c r="J2665" i="1"/>
  <c r="L2665" i="1"/>
  <c r="K2665" i="1"/>
  <c r="J2657" i="1"/>
  <c r="L2657" i="1"/>
  <c r="K2657" i="1"/>
  <c r="J2649" i="1"/>
  <c r="L2649" i="1"/>
  <c r="K2649" i="1"/>
  <c r="J2641" i="1"/>
  <c r="L2641" i="1"/>
  <c r="K2641" i="1"/>
  <c r="J2633" i="1"/>
  <c r="L2633" i="1"/>
  <c r="K2633" i="1"/>
  <c r="J2625" i="1"/>
  <c r="L2625" i="1"/>
  <c r="K2625" i="1"/>
  <c r="J2617" i="1"/>
  <c r="L2617" i="1"/>
  <c r="K2617" i="1"/>
  <c r="L2609" i="1"/>
  <c r="K2609" i="1"/>
  <c r="J2601" i="1"/>
  <c r="L2601" i="1"/>
  <c r="K2601" i="1"/>
  <c r="J2593" i="1"/>
  <c r="L2593" i="1"/>
  <c r="K2593" i="1"/>
  <c r="J2585" i="1"/>
  <c r="L2585" i="1"/>
  <c r="J2577" i="1"/>
  <c r="L2577" i="1"/>
  <c r="K2577" i="1"/>
  <c r="J2569" i="1"/>
  <c r="L2569" i="1"/>
  <c r="K2569" i="1"/>
  <c r="J2561" i="1"/>
  <c r="L2561" i="1"/>
  <c r="K2561" i="1"/>
  <c r="J2553" i="1"/>
  <c r="L2553" i="1"/>
  <c r="K2553" i="1"/>
  <c r="L2545" i="1"/>
  <c r="K2545" i="1"/>
  <c r="J2537" i="1"/>
  <c r="L2537" i="1"/>
  <c r="K2537" i="1"/>
  <c r="J2529" i="1"/>
  <c r="L2529" i="1"/>
  <c r="K2529" i="1"/>
  <c r="J2521" i="1"/>
  <c r="L2521" i="1"/>
  <c r="K2521" i="1"/>
  <c r="J2513" i="1"/>
  <c r="L2513" i="1"/>
  <c r="K2513" i="1"/>
  <c r="J2505" i="1"/>
  <c r="L2505" i="1"/>
  <c r="K2505" i="1"/>
  <c r="J2497" i="1"/>
  <c r="L2497" i="1"/>
  <c r="K2497" i="1"/>
  <c r="J2489" i="1"/>
  <c r="L2489" i="1"/>
  <c r="L2481" i="1"/>
  <c r="K2481" i="1"/>
  <c r="J2473" i="1"/>
  <c r="L2473" i="1"/>
  <c r="K2473" i="1"/>
  <c r="J2465" i="1"/>
  <c r="L2465" i="1"/>
  <c r="K2465" i="1"/>
  <c r="J2457" i="1"/>
  <c r="L2457" i="1"/>
  <c r="K2457" i="1"/>
  <c r="J2449" i="1"/>
  <c r="L2449" i="1"/>
  <c r="K2449" i="1"/>
  <c r="J2441" i="1"/>
  <c r="L2441" i="1"/>
  <c r="K2441" i="1"/>
  <c r="J2433" i="1"/>
  <c r="L2433" i="1"/>
  <c r="K2433" i="1"/>
  <c r="J2425" i="1"/>
  <c r="L2425" i="1"/>
  <c r="L2417" i="1"/>
  <c r="K2417" i="1"/>
  <c r="J2409" i="1"/>
  <c r="L2409" i="1"/>
  <c r="K2409" i="1"/>
  <c r="J2401" i="1"/>
  <c r="L2401" i="1"/>
  <c r="K2401" i="1"/>
  <c r="J2393" i="1"/>
  <c r="L2393" i="1"/>
  <c r="K2393" i="1"/>
  <c r="J2385" i="1"/>
  <c r="L2385" i="1"/>
  <c r="K2385" i="1"/>
  <c r="J2377" i="1"/>
  <c r="L2377" i="1"/>
  <c r="K2377" i="1"/>
  <c r="J2369" i="1"/>
  <c r="L2369" i="1"/>
  <c r="K2369" i="1"/>
  <c r="J2361" i="1"/>
  <c r="L2361" i="1"/>
  <c r="K2361" i="1"/>
  <c r="L2353" i="1"/>
  <c r="K2353" i="1"/>
  <c r="J2345" i="1"/>
  <c r="L2345" i="1"/>
  <c r="K2345" i="1"/>
  <c r="J2337" i="1"/>
  <c r="L2337" i="1"/>
  <c r="K2337" i="1"/>
  <c r="J2329" i="1"/>
  <c r="L2329" i="1"/>
  <c r="J2321" i="1"/>
  <c r="L2321" i="1"/>
  <c r="K2321" i="1"/>
  <c r="J2313" i="1"/>
  <c r="L2313" i="1"/>
  <c r="K2313" i="1"/>
  <c r="J2305" i="1"/>
  <c r="L2305" i="1"/>
  <c r="K2305" i="1"/>
  <c r="J2297" i="1"/>
  <c r="L2297" i="1"/>
  <c r="K2297" i="1"/>
  <c r="L2289" i="1"/>
  <c r="K2289" i="1"/>
  <c r="J2281" i="1"/>
  <c r="L2281" i="1"/>
  <c r="K2281" i="1"/>
  <c r="J2273" i="1"/>
  <c r="L2273" i="1"/>
  <c r="K2273" i="1"/>
  <c r="J2265" i="1"/>
  <c r="L2265" i="1"/>
  <c r="K2265" i="1"/>
  <c r="J2257" i="1"/>
  <c r="L2257" i="1"/>
  <c r="K2257" i="1"/>
  <c r="J2249" i="1"/>
  <c r="L2249" i="1"/>
  <c r="K2249" i="1"/>
  <c r="J2241" i="1"/>
  <c r="L2241" i="1"/>
  <c r="K2241" i="1"/>
  <c r="J2233" i="1"/>
  <c r="L2233" i="1"/>
  <c r="L2225" i="1"/>
  <c r="K2225" i="1"/>
  <c r="J2217" i="1"/>
  <c r="L2217" i="1"/>
  <c r="K2217" i="1"/>
  <c r="J2209" i="1"/>
  <c r="L2209" i="1"/>
  <c r="K2209" i="1"/>
  <c r="J2201" i="1"/>
  <c r="L2201" i="1"/>
  <c r="K2201" i="1"/>
  <c r="J2193" i="1"/>
  <c r="L2193" i="1"/>
  <c r="K2193" i="1"/>
  <c r="J2185" i="1"/>
  <c r="L2185" i="1"/>
  <c r="K2185" i="1"/>
  <c r="J2177" i="1"/>
  <c r="L2177" i="1"/>
  <c r="K2177" i="1"/>
  <c r="J2169" i="1"/>
  <c r="L2169" i="1"/>
  <c r="L2161" i="1"/>
  <c r="K2161" i="1"/>
  <c r="J2153" i="1"/>
  <c r="L2153" i="1"/>
  <c r="K2153" i="1"/>
  <c r="J2145" i="1"/>
  <c r="L2145" i="1"/>
  <c r="K2145" i="1"/>
  <c r="J2137" i="1"/>
  <c r="L2137" i="1"/>
  <c r="K2137" i="1"/>
  <c r="J2129" i="1"/>
  <c r="L2129" i="1"/>
  <c r="K2129" i="1"/>
  <c r="J2121" i="1"/>
  <c r="L2121" i="1"/>
  <c r="K2121" i="1"/>
  <c r="J2113" i="1"/>
  <c r="L2113" i="1"/>
  <c r="K2113" i="1"/>
  <c r="J2105" i="1"/>
  <c r="L2105" i="1"/>
  <c r="K2105" i="1"/>
  <c r="L2097" i="1"/>
  <c r="K2097" i="1"/>
  <c r="J2089" i="1"/>
  <c r="L2089" i="1"/>
  <c r="K2089" i="1"/>
  <c r="J2081" i="1"/>
  <c r="L2081" i="1"/>
  <c r="K2081" i="1"/>
  <c r="J2073" i="1"/>
  <c r="L2073" i="1"/>
  <c r="J2065" i="1"/>
  <c r="L2065" i="1"/>
  <c r="K2065" i="1"/>
  <c r="J2057" i="1"/>
  <c r="L2057" i="1"/>
  <c r="K2057" i="1"/>
  <c r="J2049" i="1"/>
  <c r="L2049" i="1"/>
  <c r="K2049" i="1"/>
  <c r="J2041" i="1"/>
  <c r="L2041" i="1"/>
  <c r="K2041" i="1"/>
  <c r="L2033" i="1"/>
  <c r="K2033" i="1"/>
  <c r="J2025" i="1"/>
  <c r="L2025" i="1"/>
  <c r="K2025" i="1"/>
  <c r="J2017" i="1"/>
  <c r="L2017" i="1"/>
  <c r="K2017" i="1"/>
  <c r="J2009" i="1"/>
  <c r="L2009" i="1"/>
  <c r="K2009" i="1"/>
  <c r="J2001" i="1"/>
  <c r="L2001" i="1"/>
  <c r="K2001" i="1"/>
  <c r="J1993" i="1"/>
  <c r="L1993" i="1"/>
  <c r="K1993" i="1"/>
  <c r="J1985" i="1"/>
  <c r="L1985" i="1"/>
  <c r="K1985" i="1"/>
  <c r="J1977" i="1"/>
  <c r="L1977" i="1"/>
  <c r="J1969" i="1"/>
  <c r="L1969" i="1"/>
  <c r="K1969" i="1"/>
  <c r="J1961" i="1"/>
  <c r="L1961" i="1"/>
  <c r="K1961" i="1"/>
  <c r="J1953" i="1"/>
  <c r="L1953" i="1"/>
  <c r="K1953" i="1"/>
  <c r="J1945" i="1"/>
  <c r="L1945" i="1"/>
  <c r="K1945" i="1"/>
  <c r="J1937" i="1"/>
  <c r="L1937" i="1"/>
  <c r="K1937" i="1"/>
  <c r="J1929" i="1"/>
  <c r="L1929" i="1"/>
  <c r="K1929" i="1"/>
  <c r="J1921" i="1"/>
  <c r="L1921" i="1"/>
  <c r="K1921" i="1"/>
  <c r="J1913" i="1"/>
  <c r="L1913" i="1"/>
  <c r="J1905" i="1"/>
  <c r="L1905" i="1"/>
  <c r="K1905" i="1"/>
  <c r="J1897" i="1"/>
  <c r="L1897" i="1"/>
  <c r="K1897" i="1"/>
  <c r="J1889" i="1"/>
  <c r="L1889" i="1"/>
  <c r="K1889" i="1"/>
  <c r="J1881" i="1"/>
  <c r="L1881" i="1"/>
  <c r="K1881" i="1"/>
  <c r="J1873" i="1"/>
  <c r="L1873" i="1"/>
  <c r="K1873" i="1"/>
  <c r="J1865" i="1"/>
  <c r="L1865" i="1"/>
  <c r="K1865" i="1"/>
  <c r="J1857" i="1"/>
  <c r="L1857" i="1"/>
  <c r="K1857" i="1"/>
  <c r="J1849" i="1"/>
  <c r="L1849" i="1"/>
  <c r="K1849" i="1"/>
  <c r="J1841" i="1"/>
  <c r="L1841" i="1"/>
  <c r="K1841" i="1"/>
  <c r="J1833" i="1"/>
  <c r="L1833" i="1"/>
  <c r="K1833" i="1"/>
  <c r="J1825" i="1"/>
  <c r="L1825" i="1"/>
  <c r="K1825" i="1"/>
  <c r="J1817" i="1"/>
  <c r="L1817" i="1"/>
  <c r="J1809" i="1"/>
  <c r="L1809" i="1"/>
  <c r="K1809" i="1"/>
  <c r="J1801" i="1"/>
  <c r="L1801" i="1"/>
  <c r="K1801" i="1"/>
  <c r="J1793" i="1"/>
  <c r="L1793" i="1"/>
  <c r="K1793" i="1"/>
  <c r="J1785" i="1"/>
  <c r="L1785" i="1"/>
  <c r="K1785" i="1"/>
  <c r="J1777" i="1"/>
  <c r="L1777" i="1"/>
  <c r="K1777" i="1"/>
  <c r="J1769" i="1"/>
  <c r="L1769" i="1"/>
  <c r="K1769" i="1"/>
  <c r="J1761" i="1"/>
  <c r="L1761" i="1"/>
  <c r="K1761" i="1"/>
  <c r="J1753" i="1"/>
  <c r="L1753" i="1"/>
  <c r="K1753" i="1"/>
  <c r="J1745" i="1"/>
  <c r="L1745" i="1"/>
  <c r="K1745" i="1"/>
  <c r="J1737" i="1"/>
  <c r="L1737" i="1"/>
  <c r="K1737" i="1"/>
  <c r="J1729" i="1"/>
  <c r="L1729" i="1"/>
  <c r="K1729" i="1"/>
  <c r="J1721" i="1"/>
  <c r="L1721" i="1"/>
  <c r="J1713" i="1"/>
  <c r="L1713" i="1"/>
  <c r="K1713" i="1"/>
  <c r="J1705" i="1"/>
  <c r="L1705" i="1"/>
  <c r="K1705" i="1"/>
  <c r="J1697" i="1"/>
  <c r="L1697" i="1"/>
  <c r="K1697" i="1"/>
  <c r="J1689" i="1"/>
  <c r="L1689" i="1"/>
  <c r="K1689" i="1"/>
  <c r="J1681" i="1"/>
  <c r="L1681" i="1"/>
  <c r="K1681" i="1"/>
  <c r="J1673" i="1"/>
  <c r="L1673" i="1"/>
  <c r="K1673" i="1"/>
  <c r="J1665" i="1"/>
  <c r="L1665" i="1"/>
  <c r="K1665" i="1"/>
  <c r="J1657" i="1"/>
  <c r="L1657" i="1"/>
  <c r="J1649" i="1"/>
  <c r="L1649" i="1"/>
  <c r="K1649" i="1"/>
  <c r="J1641" i="1"/>
  <c r="L1641" i="1"/>
  <c r="K1641" i="1"/>
  <c r="J1633" i="1"/>
  <c r="L1633" i="1"/>
  <c r="K1633" i="1"/>
  <c r="J1625" i="1"/>
  <c r="L1625" i="1"/>
  <c r="K1625" i="1"/>
  <c r="J1617" i="1"/>
  <c r="L1617" i="1"/>
  <c r="K1617" i="1"/>
  <c r="J1609" i="1"/>
  <c r="L1609" i="1"/>
  <c r="K1609" i="1"/>
  <c r="J1601" i="1"/>
  <c r="L1601" i="1"/>
  <c r="K1601" i="1"/>
  <c r="J1593" i="1"/>
  <c r="L1593" i="1"/>
  <c r="K1593" i="1"/>
  <c r="J1585" i="1"/>
  <c r="L1585" i="1"/>
  <c r="K1585" i="1"/>
  <c r="J1577" i="1"/>
  <c r="L1577" i="1"/>
  <c r="K1577" i="1"/>
  <c r="J1569" i="1"/>
  <c r="L1569" i="1"/>
  <c r="K1569" i="1"/>
  <c r="J1561" i="1"/>
  <c r="L1561" i="1"/>
  <c r="J1553" i="1"/>
  <c r="L1553" i="1"/>
  <c r="K1553" i="1"/>
  <c r="J1545" i="1"/>
  <c r="L1545" i="1"/>
  <c r="K1545" i="1"/>
  <c r="J1537" i="1"/>
  <c r="L1537" i="1"/>
  <c r="K1537" i="1"/>
  <c r="J1529" i="1"/>
  <c r="L1529" i="1"/>
  <c r="K1529" i="1"/>
  <c r="J1521" i="1"/>
  <c r="L1521" i="1"/>
  <c r="K1521" i="1"/>
  <c r="J1513" i="1"/>
  <c r="L1513" i="1"/>
  <c r="K1513" i="1"/>
  <c r="J1505" i="1"/>
  <c r="L1505" i="1"/>
  <c r="K1505" i="1"/>
  <c r="J1497" i="1"/>
  <c r="L1497" i="1"/>
  <c r="K1497" i="1"/>
  <c r="J1489" i="1"/>
  <c r="L1489" i="1"/>
  <c r="K1489" i="1"/>
  <c r="J1481" i="1"/>
  <c r="L1481" i="1"/>
  <c r="K1481" i="1"/>
  <c r="J1473" i="1"/>
  <c r="L1473" i="1"/>
  <c r="K1473" i="1"/>
  <c r="J1465" i="1"/>
  <c r="L1465" i="1"/>
  <c r="J1457" i="1"/>
  <c r="L1457" i="1"/>
  <c r="K1457" i="1"/>
  <c r="J1449" i="1"/>
  <c r="L1449" i="1"/>
  <c r="K1449" i="1"/>
  <c r="J1441" i="1"/>
  <c r="L1441" i="1"/>
  <c r="K1441" i="1"/>
  <c r="J1433" i="1"/>
  <c r="L1433" i="1"/>
  <c r="K1433" i="1"/>
  <c r="J1425" i="1"/>
  <c r="L1425" i="1"/>
  <c r="K1425" i="1"/>
  <c r="J1417" i="1"/>
  <c r="L1417" i="1"/>
  <c r="K1417" i="1"/>
  <c r="J1409" i="1"/>
  <c r="L1409" i="1"/>
  <c r="K1409" i="1"/>
  <c r="J1401" i="1"/>
  <c r="L1401" i="1"/>
  <c r="J1393" i="1"/>
  <c r="L1393" i="1"/>
  <c r="K1393" i="1"/>
  <c r="J1385" i="1"/>
  <c r="L1385" i="1"/>
  <c r="K1385" i="1"/>
  <c r="J1377" i="1"/>
  <c r="L1377" i="1"/>
  <c r="K1377" i="1"/>
  <c r="J1369" i="1"/>
  <c r="L1369" i="1"/>
  <c r="K1369" i="1"/>
  <c r="J1361" i="1"/>
  <c r="L1361" i="1"/>
  <c r="K1361" i="1"/>
  <c r="J1353" i="1"/>
  <c r="L1353" i="1"/>
  <c r="K1353" i="1"/>
  <c r="J1345" i="1"/>
  <c r="L1345" i="1"/>
  <c r="K1345" i="1"/>
  <c r="J1337" i="1"/>
  <c r="L1337" i="1"/>
  <c r="K1337" i="1"/>
  <c r="J1329" i="1"/>
  <c r="L1329" i="1"/>
  <c r="K1329" i="1"/>
  <c r="J1321" i="1"/>
  <c r="L1321" i="1"/>
  <c r="K1321" i="1"/>
  <c r="J1313" i="1"/>
  <c r="L1313" i="1"/>
  <c r="K1313" i="1"/>
  <c r="J1305" i="1"/>
  <c r="L1305" i="1"/>
  <c r="J1297" i="1"/>
  <c r="L1297" i="1"/>
  <c r="K1297" i="1"/>
  <c r="J1289" i="1"/>
  <c r="L1289" i="1"/>
  <c r="K1289" i="1"/>
  <c r="J1281" i="1"/>
  <c r="L1281" i="1"/>
  <c r="K1281" i="1"/>
  <c r="J1273" i="1"/>
  <c r="L1273" i="1"/>
  <c r="K1273" i="1"/>
  <c r="J1265" i="1"/>
  <c r="L1265" i="1"/>
  <c r="K1265" i="1"/>
  <c r="L1257" i="1"/>
  <c r="K1257" i="1"/>
  <c r="J1249" i="1"/>
  <c r="L1249" i="1"/>
  <c r="K1249" i="1"/>
  <c r="J1241" i="1"/>
  <c r="L1241" i="1"/>
  <c r="K1241" i="1"/>
  <c r="J1233" i="1"/>
  <c r="L1233" i="1"/>
  <c r="K1233" i="1"/>
  <c r="J1225" i="1"/>
  <c r="L1225" i="1"/>
  <c r="K1225" i="1"/>
  <c r="J1217" i="1"/>
  <c r="L1217" i="1"/>
  <c r="K1217" i="1"/>
  <c r="J1209" i="1"/>
  <c r="L1209" i="1"/>
  <c r="J1201" i="1"/>
  <c r="L1201" i="1"/>
  <c r="K1201" i="1"/>
  <c r="L1193" i="1"/>
  <c r="K1193" i="1"/>
  <c r="J1185" i="1"/>
  <c r="L1185" i="1"/>
  <c r="K1185" i="1"/>
  <c r="J1177" i="1"/>
  <c r="L1177" i="1"/>
  <c r="K1177" i="1"/>
  <c r="J1169" i="1"/>
  <c r="L1169" i="1"/>
  <c r="K1169" i="1"/>
  <c r="J1161" i="1"/>
  <c r="L1161" i="1"/>
  <c r="K1161" i="1"/>
  <c r="J1153" i="1"/>
  <c r="L1153" i="1"/>
  <c r="K1153" i="1"/>
  <c r="J1145" i="1"/>
  <c r="L1145" i="1"/>
  <c r="J1137" i="1"/>
  <c r="L1137" i="1"/>
  <c r="K1137" i="1"/>
  <c r="L1129" i="1"/>
  <c r="K1129" i="1"/>
  <c r="J1121" i="1"/>
  <c r="L1121" i="1"/>
  <c r="K1121" i="1"/>
  <c r="J1113" i="1"/>
  <c r="L1113" i="1"/>
  <c r="K1113" i="1"/>
  <c r="J1105" i="1"/>
  <c r="L1105" i="1"/>
  <c r="K1105" i="1"/>
  <c r="J1097" i="1"/>
  <c r="L1097" i="1"/>
  <c r="K1097" i="1"/>
  <c r="J1089" i="1"/>
  <c r="L1089" i="1"/>
  <c r="K1089" i="1"/>
  <c r="J1081" i="1"/>
  <c r="L1081" i="1"/>
  <c r="K1081" i="1"/>
  <c r="J1073" i="1"/>
  <c r="L1073" i="1"/>
  <c r="K1073" i="1"/>
  <c r="L1065" i="1"/>
  <c r="K1065" i="1"/>
  <c r="J1057" i="1"/>
  <c r="L1057" i="1"/>
  <c r="K1057" i="1"/>
  <c r="J1049" i="1"/>
  <c r="L1049" i="1"/>
  <c r="J1041" i="1"/>
  <c r="L1041" i="1"/>
  <c r="K1041" i="1"/>
  <c r="J1033" i="1"/>
  <c r="L1033" i="1"/>
  <c r="K1033" i="1"/>
  <c r="J1025" i="1"/>
  <c r="L1025" i="1"/>
  <c r="K1025" i="1"/>
  <c r="J1017" i="1"/>
  <c r="L1017" i="1"/>
  <c r="K1017" i="1"/>
  <c r="J1009" i="1"/>
  <c r="L1009" i="1"/>
  <c r="K1009" i="1"/>
  <c r="L1001" i="1"/>
  <c r="K1001" i="1"/>
  <c r="J993" i="1"/>
  <c r="L993" i="1"/>
  <c r="K993" i="1"/>
  <c r="J985" i="1"/>
  <c r="L985" i="1"/>
  <c r="K985" i="1"/>
  <c r="J977" i="1"/>
  <c r="L977" i="1"/>
  <c r="K977" i="1"/>
  <c r="J969" i="1"/>
  <c r="L969" i="1"/>
  <c r="K969" i="1"/>
  <c r="J961" i="1"/>
  <c r="L961" i="1"/>
  <c r="K961" i="1"/>
  <c r="J953" i="1"/>
  <c r="L953" i="1"/>
  <c r="J945" i="1"/>
  <c r="L945" i="1"/>
  <c r="K945" i="1"/>
  <c r="L937" i="1"/>
  <c r="K937" i="1"/>
  <c r="J929" i="1"/>
  <c r="L929" i="1"/>
  <c r="K929" i="1"/>
  <c r="J921" i="1"/>
  <c r="L921" i="1"/>
  <c r="K921" i="1"/>
  <c r="J913" i="1"/>
  <c r="L913" i="1"/>
  <c r="K913" i="1"/>
  <c r="J905" i="1"/>
  <c r="L905" i="1"/>
  <c r="K905" i="1"/>
  <c r="J897" i="1"/>
  <c r="L897" i="1"/>
  <c r="K897" i="1"/>
  <c r="J889" i="1"/>
  <c r="L889" i="1"/>
  <c r="J881" i="1"/>
  <c r="L881" i="1"/>
  <c r="K881" i="1"/>
  <c r="J873" i="1"/>
  <c r="L873" i="1"/>
  <c r="K873" i="1"/>
  <c r="J865" i="1"/>
  <c r="L865" i="1"/>
  <c r="K865" i="1"/>
  <c r="J857" i="1"/>
  <c r="L857" i="1"/>
  <c r="K857" i="1"/>
  <c r="J849" i="1"/>
  <c r="L849" i="1"/>
  <c r="K849" i="1"/>
  <c r="J841" i="1"/>
  <c r="L841" i="1"/>
  <c r="K841" i="1"/>
  <c r="J833" i="1"/>
  <c r="L833" i="1"/>
  <c r="K833" i="1"/>
  <c r="J825" i="1"/>
  <c r="L825" i="1"/>
  <c r="K825" i="1"/>
  <c r="J817" i="1"/>
  <c r="L817" i="1"/>
  <c r="K817" i="1"/>
  <c r="J809" i="1"/>
  <c r="L809" i="1"/>
  <c r="K809" i="1"/>
  <c r="J801" i="1"/>
  <c r="L801" i="1"/>
  <c r="K801" i="1"/>
  <c r="J793" i="1"/>
  <c r="L793" i="1"/>
  <c r="J785" i="1"/>
  <c r="L785" i="1"/>
  <c r="K785" i="1"/>
  <c r="J777" i="1"/>
  <c r="L777" i="1"/>
  <c r="K777" i="1"/>
  <c r="J769" i="1"/>
  <c r="L769" i="1"/>
  <c r="K769" i="1"/>
  <c r="J761" i="1"/>
  <c r="L761" i="1"/>
  <c r="K761" i="1"/>
  <c r="J753" i="1"/>
  <c r="L753" i="1"/>
  <c r="K753" i="1"/>
  <c r="J745" i="1"/>
  <c r="L745" i="1"/>
  <c r="K745" i="1"/>
  <c r="J737" i="1"/>
  <c r="L737" i="1"/>
  <c r="K737" i="1"/>
  <c r="J729" i="1"/>
  <c r="L729" i="1"/>
  <c r="K729" i="1"/>
  <c r="J721" i="1"/>
  <c r="L721" i="1"/>
  <c r="K721" i="1"/>
  <c r="J713" i="1"/>
  <c r="L713" i="1"/>
  <c r="K713" i="1"/>
  <c r="J705" i="1"/>
  <c r="L705" i="1"/>
  <c r="K705" i="1"/>
  <c r="J697" i="1"/>
  <c r="L697" i="1"/>
  <c r="J689" i="1"/>
  <c r="L689" i="1"/>
  <c r="K689" i="1"/>
  <c r="J681" i="1"/>
  <c r="L681" i="1"/>
  <c r="K681" i="1"/>
  <c r="J673" i="1"/>
  <c r="L673" i="1"/>
  <c r="K673" i="1"/>
  <c r="J665" i="1"/>
  <c r="L665" i="1"/>
  <c r="K665" i="1"/>
  <c r="J657" i="1"/>
  <c r="L657" i="1"/>
  <c r="K657" i="1"/>
  <c r="J649" i="1"/>
  <c r="L649" i="1"/>
  <c r="K649" i="1"/>
  <c r="J641" i="1"/>
  <c r="L641" i="1"/>
  <c r="K641" i="1"/>
  <c r="J633" i="1"/>
  <c r="L633" i="1"/>
  <c r="J625" i="1"/>
  <c r="L625" i="1"/>
  <c r="K625" i="1"/>
  <c r="J617" i="1"/>
  <c r="L617" i="1"/>
  <c r="K617" i="1"/>
  <c r="J609" i="1"/>
  <c r="L609" i="1"/>
  <c r="K609" i="1"/>
  <c r="J601" i="1"/>
  <c r="L601" i="1"/>
  <c r="K601" i="1"/>
  <c r="J593" i="1"/>
  <c r="L593" i="1"/>
  <c r="K593" i="1"/>
  <c r="J585" i="1"/>
  <c r="L585" i="1"/>
  <c r="K585" i="1"/>
  <c r="J577" i="1"/>
  <c r="L577" i="1"/>
  <c r="K577" i="1"/>
  <c r="J569" i="1"/>
  <c r="L569" i="1"/>
  <c r="K569" i="1"/>
  <c r="J561" i="1"/>
  <c r="L561" i="1"/>
  <c r="K561" i="1"/>
  <c r="J553" i="1"/>
  <c r="L553" i="1"/>
  <c r="K553" i="1"/>
  <c r="J545" i="1"/>
  <c r="L545" i="1"/>
  <c r="K545" i="1"/>
  <c r="J537" i="1"/>
  <c r="L537" i="1"/>
  <c r="J529" i="1"/>
  <c r="L529" i="1"/>
  <c r="K529" i="1"/>
  <c r="J521" i="1"/>
  <c r="L521" i="1"/>
  <c r="K521" i="1"/>
  <c r="J513" i="1"/>
  <c r="L513" i="1"/>
  <c r="K513" i="1"/>
  <c r="J505" i="1"/>
  <c r="L505" i="1"/>
  <c r="K505" i="1"/>
  <c r="J497" i="1"/>
  <c r="L497" i="1"/>
  <c r="K497" i="1"/>
  <c r="J489" i="1"/>
  <c r="L489" i="1"/>
  <c r="K489" i="1"/>
  <c r="J481" i="1"/>
  <c r="L481" i="1"/>
  <c r="K481" i="1"/>
  <c r="J473" i="1"/>
  <c r="L473" i="1"/>
  <c r="K473" i="1"/>
  <c r="J465" i="1"/>
  <c r="L465" i="1"/>
  <c r="K465" i="1"/>
  <c r="J457" i="1"/>
  <c r="L457" i="1"/>
  <c r="K457" i="1"/>
  <c r="J449" i="1"/>
  <c r="L449" i="1"/>
  <c r="K449" i="1"/>
  <c r="J441" i="1"/>
  <c r="L441" i="1"/>
  <c r="J433" i="1"/>
  <c r="L433" i="1"/>
  <c r="K433" i="1"/>
  <c r="J425" i="1"/>
  <c r="L425" i="1"/>
  <c r="K425" i="1"/>
  <c r="J417" i="1"/>
  <c r="L417" i="1"/>
  <c r="K417" i="1"/>
  <c r="J409" i="1"/>
  <c r="L409" i="1"/>
  <c r="K409" i="1"/>
  <c r="J401" i="1"/>
  <c r="L401" i="1"/>
  <c r="K401" i="1"/>
  <c r="J393" i="1"/>
  <c r="L393" i="1"/>
  <c r="K393" i="1"/>
  <c r="J385" i="1"/>
  <c r="L385" i="1"/>
  <c r="K385" i="1"/>
  <c r="J377" i="1"/>
  <c r="L377" i="1"/>
  <c r="J369" i="1"/>
  <c r="L369" i="1"/>
  <c r="K369" i="1"/>
  <c r="J361" i="1"/>
  <c r="L361" i="1"/>
  <c r="K361" i="1"/>
  <c r="J353" i="1"/>
  <c r="L353" i="1"/>
  <c r="K353" i="1"/>
  <c r="J345" i="1"/>
  <c r="L345" i="1"/>
  <c r="K345" i="1"/>
  <c r="J337" i="1"/>
  <c r="L337" i="1"/>
  <c r="K337" i="1"/>
  <c r="J329" i="1"/>
  <c r="L329" i="1"/>
  <c r="K329" i="1"/>
  <c r="J321" i="1"/>
  <c r="L321" i="1"/>
  <c r="K321" i="1"/>
  <c r="J313" i="1"/>
  <c r="L313" i="1"/>
  <c r="K313" i="1"/>
  <c r="J305" i="1"/>
  <c r="L305" i="1"/>
  <c r="K305" i="1"/>
  <c r="J8213" i="1"/>
  <c r="J7957" i="1"/>
  <c r="J7349" i="1"/>
  <c r="J7093" i="1"/>
  <c r="J6837" i="1"/>
  <c r="J4285" i="1"/>
  <c r="K9977" i="1"/>
  <c r="K9913" i="1"/>
  <c r="K9849" i="1"/>
  <c r="K9785" i="1"/>
  <c r="K9721" i="1"/>
  <c r="K9657" i="1"/>
  <c r="K9593" i="1"/>
  <c r="K9529" i="1"/>
  <c r="K9465" i="1"/>
  <c r="K9401" i="1"/>
  <c r="K9337" i="1"/>
  <c r="K9273" i="1"/>
  <c r="K9209" i="1"/>
  <c r="K9145" i="1"/>
  <c r="K9081" i="1"/>
  <c r="K9017" i="1"/>
  <c r="K8953" i="1"/>
  <c r="K8889" i="1"/>
  <c r="K8825" i="1"/>
  <c r="K8761" i="1"/>
  <c r="K8697" i="1"/>
  <c r="K8633" i="1"/>
  <c r="K8569" i="1"/>
  <c r="K8505" i="1"/>
  <c r="K8441" i="1"/>
  <c r="K8377" i="1"/>
  <c r="K8313" i="1"/>
  <c r="K8249" i="1"/>
  <c r="K8231" i="1"/>
  <c r="K8185" i="1"/>
  <c r="K8167" i="1"/>
  <c r="K8121" i="1"/>
  <c r="K8103" i="1"/>
  <c r="K8057" i="1"/>
  <c r="K7993" i="1"/>
  <c r="K7929" i="1"/>
  <c r="K7911" i="1"/>
  <c r="K7865" i="1"/>
  <c r="K7801" i="1"/>
  <c r="K7737" i="1"/>
  <c r="K7673" i="1"/>
  <c r="K7609" i="1"/>
  <c r="K7545" i="1"/>
  <c r="K7481" i="1"/>
  <c r="K7417" i="1"/>
  <c r="K7353" i="1"/>
  <c r="K7333" i="1"/>
  <c r="K7130" i="1"/>
  <c r="K7082" i="1"/>
  <c r="K6850" i="1"/>
  <c r="K6618" i="1"/>
  <c r="K6570" i="1"/>
  <c r="K6338" i="1"/>
  <c r="K6106" i="1"/>
  <c r="K6058" i="1"/>
  <c r="K5826" i="1"/>
  <c r="K5594" i="1"/>
  <c r="K5546" i="1"/>
  <c r="K5314" i="1"/>
  <c r="K5082" i="1"/>
  <c r="K5034" i="1"/>
  <c r="K4802" i="1"/>
  <c r="K4570" i="1"/>
  <c r="K4522" i="1"/>
  <c r="K4399" i="1"/>
  <c r="K4290" i="1"/>
  <c r="K4119" i="1"/>
  <c r="K4058" i="1"/>
  <c r="K4010" i="1"/>
  <c r="K3839" i="1"/>
  <c r="K3778" i="1"/>
  <c r="K3607" i="1"/>
  <c r="K3546" i="1"/>
  <c r="K3498" i="1"/>
  <c r="K3250" i="1"/>
  <c r="K3082" i="1"/>
  <c r="K2425" i="1"/>
  <c r="K2233" i="1"/>
  <c r="K1305" i="1"/>
  <c r="K377" i="1"/>
  <c r="L5493" i="1"/>
  <c r="J10000" i="1"/>
  <c r="L10000" i="1"/>
  <c r="J9992" i="1"/>
  <c r="L9992" i="1"/>
  <c r="J9984" i="1"/>
  <c r="L9984" i="1"/>
  <c r="I9976" i="1"/>
  <c r="L9976" i="1"/>
  <c r="J9968" i="1"/>
  <c r="L9968" i="1"/>
  <c r="I9960" i="1"/>
  <c r="L9960" i="1"/>
  <c r="J9952" i="1"/>
  <c r="L9952" i="1"/>
  <c r="J9944" i="1"/>
  <c r="L9944" i="1"/>
  <c r="J9936" i="1"/>
  <c r="L9936" i="1"/>
  <c r="I9928" i="1"/>
  <c r="L9928" i="1"/>
  <c r="J9920" i="1"/>
  <c r="L9920" i="1"/>
  <c r="J9912" i="1"/>
  <c r="L9912" i="1"/>
  <c r="J9904" i="1"/>
  <c r="L9904" i="1"/>
  <c r="J9896" i="1"/>
  <c r="L9896" i="1"/>
  <c r="J9888" i="1"/>
  <c r="L9888" i="1"/>
  <c r="J9880" i="1"/>
  <c r="L9880" i="1"/>
  <c r="J9872" i="1"/>
  <c r="L9872" i="1"/>
  <c r="J9864" i="1"/>
  <c r="L9864" i="1"/>
  <c r="J9856" i="1"/>
  <c r="L9856" i="1"/>
  <c r="J9848" i="1"/>
  <c r="L9848" i="1"/>
  <c r="J9840" i="1"/>
  <c r="L9840" i="1"/>
  <c r="J9832" i="1"/>
  <c r="L9832" i="1"/>
  <c r="J9824" i="1"/>
  <c r="L9824" i="1"/>
  <c r="J9816" i="1"/>
  <c r="L9816" i="1"/>
  <c r="J9808" i="1"/>
  <c r="L9808" i="1"/>
  <c r="J9800" i="1"/>
  <c r="L9800" i="1"/>
  <c r="I9792" i="1"/>
  <c r="L9792" i="1"/>
  <c r="J9784" i="1"/>
  <c r="L9784" i="1"/>
  <c r="J9776" i="1"/>
  <c r="L9776" i="1"/>
  <c r="J9768" i="1"/>
  <c r="L9768" i="1"/>
  <c r="J9760" i="1"/>
  <c r="L9760" i="1"/>
  <c r="J9752" i="1"/>
  <c r="L9752" i="1"/>
  <c r="J9744" i="1"/>
  <c r="L9744" i="1"/>
  <c r="J9736" i="1"/>
  <c r="L9736" i="1"/>
  <c r="I9728" i="1"/>
  <c r="L9728" i="1"/>
  <c r="J9720" i="1"/>
  <c r="L9720" i="1"/>
  <c r="J9712" i="1"/>
  <c r="L9712" i="1"/>
  <c r="J9704" i="1"/>
  <c r="L9704" i="1"/>
  <c r="J9696" i="1"/>
  <c r="L9696" i="1"/>
  <c r="J9688" i="1"/>
  <c r="L9688" i="1"/>
  <c r="J9680" i="1"/>
  <c r="L9680" i="1"/>
  <c r="J9672" i="1"/>
  <c r="L9672" i="1"/>
  <c r="J9664" i="1"/>
  <c r="L9664" i="1"/>
  <c r="J9656" i="1"/>
  <c r="L9656" i="1"/>
  <c r="I9648" i="1"/>
  <c r="L9648" i="1"/>
  <c r="J9640" i="1"/>
  <c r="L9640" i="1"/>
  <c r="J9632" i="1"/>
  <c r="L9632" i="1"/>
  <c r="I9624" i="1"/>
  <c r="L9624" i="1"/>
  <c r="J9616" i="1"/>
  <c r="L9616" i="1"/>
  <c r="J9608" i="1"/>
  <c r="L9608" i="1"/>
  <c r="I9600" i="1"/>
  <c r="L9600" i="1"/>
  <c r="J9592" i="1"/>
  <c r="L9592" i="1"/>
  <c r="J9584" i="1"/>
  <c r="L9584" i="1"/>
  <c r="J9576" i="1"/>
  <c r="L9576" i="1"/>
  <c r="J9568" i="1"/>
  <c r="L9568" i="1"/>
  <c r="J9560" i="1"/>
  <c r="L9560" i="1"/>
  <c r="J9552" i="1"/>
  <c r="L9552" i="1"/>
  <c r="J9544" i="1"/>
  <c r="L9544" i="1"/>
  <c r="J9536" i="1"/>
  <c r="L9536" i="1"/>
  <c r="J9528" i="1"/>
  <c r="L9528" i="1"/>
  <c r="J9520" i="1"/>
  <c r="L9520" i="1"/>
  <c r="J9512" i="1"/>
  <c r="L9512" i="1"/>
  <c r="J9504" i="1"/>
  <c r="L9504" i="1"/>
  <c r="J9496" i="1"/>
  <c r="L9496" i="1"/>
  <c r="J9488" i="1"/>
  <c r="L9488" i="1"/>
  <c r="J9480" i="1"/>
  <c r="L9480" i="1"/>
  <c r="J9472" i="1"/>
  <c r="L9472" i="1"/>
  <c r="I9464" i="1"/>
  <c r="L9464" i="1"/>
  <c r="J9456" i="1"/>
  <c r="L9456" i="1"/>
  <c r="J9448" i="1"/>
  <c r="L9448" i="1"/>
  <c r="J9440" i="1"/>
  <c r="L9440" i="1"/>
  <c r="I9432" i="1"/>
  <c r="L9432" i="1"/>
  <c r="J9424" i="1"/>
  <c r="L9424" i="1"/>
  <c r="I9416" i="1"/>
  <c r="L9416" i="1"/>
  <c r="J9408" i="1"/>
  <c r="L9408" i="1"/>
  <c r="J9400" i="1"/>
  <c r="L9400" i="1"/>
  <c r="J9392" i="1"/>
  <c r="L9392" i="1"/>
  <c r="J9384" i="1"/>
  <c r="L9384" i="1"/>
  <c r="J9376" i="1"/>
  <c r="L9376" i="1"/>
  <c r="J9368" i="1"/>
  <c r="L9368" i="1"/>
  <c r="J9360" i="1"/>
  <c r="L9360" i="1"/>
  <c r="J9352" i="1"/>
  <c r="L9352" i="1"/>
  <c r="J9344" i="1"/>
  <c r="L9344" i="1"/>
  <c r="J9336" i="1"/>
  <c r="L9336" i="1"/>
  <c r="J9328" i="1"/>
  <c r="L9328" i="1"/>
  <c r="J9320" i="1"/>
  <c r="L9320" i="1"/>
  <c r="J9312" i="1"/>
  <c r="L9312" i="1"/>
  <c r="J9304" i="1"/>
  <c r="L9304" i="1"/>
  <c r="J9296" i="1"/>
  <c r="L9296" i="1"/>
  <c r="J9288" i="1"/>
  <c r="L9288" i="1"/>
  <c r="I9280" i="1"/>
  <c r="L9280" i="1"/>
  <c r="J9272" i="1"/>
  <c r="L9272" i="1"/>
  <c r="J9264" i="1"/>
  <c r="L9264" i="1"/>
  <c r="J9256" i="1"/>
  <c r="L9256" i="1"/>
  <c r="J9248" i="1"/>
  <c r="L9248" i="1"/>
  <c r="J9240" i="1"/>
  <c r="L9240" i="1"/>
  <c r="J9232" i="1"/>
  <c r="L9232" i="1"/>
  <c r="J9224" i="1"/>
  <c r="L9224" i="1"/>
  <c r="J9216" i="1"/>
  <c r="L9216" i="1"/>
  <c r="J9208" i="1"/>
  <c r="L9208" i="1"/>
  <c r="J9200" i="1"/>
  <c r="L9200" i="1"/>
  <c r="J9192" i="1"/>
  <c r="L9192" i="1"/>
  <c r="J9184" i="1"/>
  <c r="L9184" i="1"/>
  <c r="I9176" i="1"/>
  <c r="L9176" i="1"/>
  <c r="J9168" i="1"/>
  <c r="L9168" i="1"/>
  <c r="J9160" i="1"/>
  <c r="L9160" i="1"/>
  <c r="J9152" i="1"/>
  <c r="L9152" i="1"/>
  <c r="J9144" i="1"/>
  <c r="L9144" i="1"/>
  <c r="J9136" i="1"/>
  <c r="L9136" i="1"/>
  <c r="J9128" i="1"/>
  <c r="L9128" i="1"/>
  <c r="J9120" i="1"/>
  <c r="L9120" i="1"/>
  <c r="I9112" i="1"/>
  <c r="L9112" i="1"/>
  <c r="I9104" i="1"/>
  <c r="L9104" i="1"/>
  <c r="J9096" i="1"/>
  <c r="L9096" i="1"/>
  <c r="J9088" i="1"/>
  <c r="L9088" i="1"/>
  <c r="J9080" i="1"/>
  <c r="L9080" i="1"/>
  <c r="J9072" i="1"/>
  <c r="L9072" i="1"/>
  <c r="I9064" i="1"/>
  <c r="L9064" i="1"/>
  <c r="J9056" i="1"/>
  <c r="L9056" i="1"/>
  <c r="J9048" i="1"/>
  <c r="L9048" i="1"/>
  <c r="I9040" i="1"/>
  <c r="L9040" i="1"/>
  <c r="I9032" i="1"/>
  <c r="L9032" i="1"/>
  <c r="J9024" i="1"/>
  <c r="L9024" i="1"/>
  <c r="J9016" i="1"/>
  <c r="L9016" i="1"/>
  <c r="I9008" i="1"/>
  <c r="L9008" i="1"/>
  <c r="J9000" i="1"/>
  <c r="L9000" i="1"/>
  <c r="J8992" i="1"/>
  <c r="L8992" i="1"/>
  <c r="J8984" i="1"/>
  <c r="L8984" i="1"/>
  <c r="J8976" i="1"/>
  <c r="L8976" i="1"/>
  <c r="J8968" i="1"/>
  <c r="L8968" i="1"/>
  <c r="J8960" i="1"/>
  <c r="L8960" i="1"/>
  <c r="J8952" i="1"/>
  <c r="L8952" i="1"/>
  <c r="I8944" i="1"/>
  <c r="L8944" i="1"/>
  <c r="J8936" i="1"/>
  <c r="L8936" i="1"/>
  <c r="J8928" i="1"/>
  <c r="L8928" i="1"/>
  <c r="I8920" i="1"/>
  <c r="L8920" i="1"/>
  <c r="J8912" i="1"/>
  <c r="L8912" i="1"/>
  <c r="J8904" i="1"/>
  <c r="L8904" i="1"/>
  <c r="J8896" i="1"/>
  <c r="L8896" i="1"/>
  <c r="I8888" i="1"/>
  <c r="L8888" i="1"/>
  <c r="J8880" i="1"/>
  <c r="L8880" i="1"/>
  <c r="J8872" i="1"/>
  <c r="L8872" i="1"/>
  <c r="I8864" i="1"/>
  <c r="L8864" i="1"/>
  <c r="J8856" i="1"/>
  <c r="L8856" i="1"/>
  <c r="J8848" i="1"/>
  <c r="L8848" i="1"/>
  <c r="J8840" i="1"/>
  <c r="L8840" i="1"/>
  <c r="J8832" i="1"/>
  <c r="L8832" i="1"/>
  <c r="I8824" i="1"/>
  <c r="L8824" i="1"/>
  <c r="J8816" i="1"/>
  <c r="L8816" i="1"/>
  <c r="J8808" i="1"/>
  <c r="L8808" i="1"/>
  <c r="J8800" i="1"/>
  <c r="L8800" i="1"/>
  <c r="J8792" i="1"/>
  <c r="L8792" i="1"/>
  <c r="J8784" i="1"/>
  <c r="L8784" i="1"/>
  <c r="J8776" i="1"/>
  <c r="L8776" i="1"/>
  <c r="I8768" i="1"/>
  <c r="L8768" i="1"/>
  <c r="I8760" i="1"/>
  <c r="L8760" i="1"/>
  <c r="J8752" i="1"/>
  <c r="L8752" i="1"/>
  <c r="I8744" i="1"/>
  <c r="L8744" i="1"/>
  <c r="J8736" i="1"/>
  <c r="L8736" i="1"/>
  <c r="I8728" i="1"/>
  <c r="L8728" i="1"/>
  <c r="I8720" i="1"/>
  <c r="L8720" i="1"/>
  <c r="J8712" i="1"/>
  <c r="L8712" i="1"/>
  <c r="I8704" i="1"/>
  <c r="L8704" i="1"/>
  <c r="J8696" i="1"/>
  <c r="L8696" i="1"/>
  <c r="J8688" i="1"/>
  <c r="L8688" i="1"/>
  <c r="J8680" i="1"/>
  <c r="L8680" i="1"/>
  <c r="J8672" i="1"/>
  <c r="L8672" i="1"/>
  <c r="J8664" i="1"/>
  <c r="L8664" i="1"/>
  <c r="J8656" i="1"/>
  <c r="L8656" i="1"/>
  <c r="J8648" i="1"/>
  <c r="L8648" i="1"/>
  <c r="J8640" i="1"/>
  <c r="L8640" i="1"/>
  <c r="J8632" i="1"/>
  <c r="L8632" i="1"/>
  <c r="J8624" i="1"/>
  <c r="L8624" i="1"/>
  <c r="J8616" i="1"/>
  <c r="L8616" i="1"/>
  <c r="J8608" i="1"/>
  <c r="L8608" i="1"/>
  <c r="I8600" i="1"/>
  <c r="L8600" i="1"/>
  <c r="I8592" i="1"/>
  <c r="L8592" i="1"/>
  <c r="J8584" i="1"/>
  <c r="L8584" i="1"/>
  <c r="J8576" i="1"/>
  <c r="L8576" i="1"/>
  <c r="J8568" i="1"/>
  <c r="L8568" i="1"/>
  <c r="J8560" i="1"/>
  <c r="L8560" i="1"/>
  <c r="I8552" i="1"/>
  <c r="L8552" i="1"/>
  <c r="J8544" i="1"/>
  <c r="L8544" i="1"/>
  <c r="J8536" i="1"/>
  <c r="L8536" i="1"/>
  <c r="J8528" i="1"/>
  <c r="L8528" i="1"/>
  <c r="I8520" i="1"/>
  <c r="L8520" i="1"/>
  <c r="J8512" i="1"/>
  <c r="L8512" i="1"/>
  <c r="J8504" i="1"/>
  <c r="L8504" i="1"/>
  <c r="I8496" i="1"/>
  <c r="L8496" i="1"/>
  <c r="J8488" i="1"/>
  <c r="L8488" i="1"/>
  <c r="J8480" i="1"/>
  <c r="L8480" i="1"/>
  <c r="J8472" i="1"/>
  <c r="L8472" i="1"/>
  <c r="I8464" i="1"/>
  <c r="L8464" i="1"/>
  <c r="J8456" i="1"/>
  <c r="L8456" i="1"/>
  <c r="J8448" i="1"/>
  <c r="L8448" i="1"/>
  <c r="I8440" i="1"/>
  <c r="L8440" i="1"/>
  <c r="J8432" i="1"/>
  <c r="L8432" i="1"/>
  <c r="I8424" i="1"/>
  <c r="L8424" i="1"/>
  <c r="I8416" i="1"/>
  <c r="L8416" i="1"/>
  <c r="I8408" i="1"/>
  <c r="L8408" i="1"/>
  <c r="J8400" i="1"/>
  <c r="L8400" i="1"/>
  <c r="J8392" i="1"/>
  <c r="L8392" i="1"/>
  <c r="J8384" i="1"/>
  <c r="L8384" i="1"/>
  <c r="J8376" i="1"/>
  <c r="L8376" i="1"/>
  <c r="J8368" i="1"/>
  <c r="L8368" i="1"/>
  <c r="J8360" i="1"/>
  <c r="L8360" i="1"/>
  <c r="J8352" i="1"/>
  <c r="L8352" i="1"/>
  <c r="I8344" i="1"/>
  <c r="L8344" i="1"/>
  <c r="J8336" i="1"/>
  <c r="L8336" i="1"/>
  <c r="J8328" i="1"/>
  <c r="L8328" i="1"/>
  <c r="J8320" i="1"/>
  <c r="L8320" i="1"/>
  <c r="J8312" i="1"/>
  <c r="L8312" i="1"/>
  <c r="I8304" i="1"/>
  <c r="L8304" i="1"/>
  <c r="J8296" i="1"/>
  <c r="L8296" i="1"/>
  <c r="J8288" i="1"/>
  <c r="L8288" i="1"/>
  <c r="J8280" i="1"/>
  <c r="L8280" i="1"/>
  <c r="J8272" i="1"/>
  <c r="L8272" i="1"/>
  <c r="J8264" i="1"/>
  <c r="L8264" i="1"/>
  <c r="J8256" i="1"/>
  <c r="L8256" i="1"/>
  <c r="J8248" i="1"/>
  <c r="L8248" i="1"/>
  <c r="J8240" i="1"/>
  <c r="L8240" i="1"/>
  <c r="J8232" i="1"/>
  <c r="L8232" i="1"/>
  <c r="I8224" i="1"/>
  <c r="L8224" i="1"/>
  <c r="I8216" i="1"/>
  <c r="L8216" i="1"/>
  <c r="J8208" i="1"/>
  <c r="L8208" i="1"/>
  <c r="I8200" i="1"/>
  <c r="L8200" i="1"/>
  <c r="I8192" i="1"/>
  <c r="L8192" i="1"/>
  <c r="I8184" i="1"/>
  <c r="L8184" i="1"/>
  <c r="I8176" i="1"/>
  <c r="L8176" i="1"/>
  <c r="J8168" i="1"/>
  <c r="L8168" i="1"/>
  <c r="I8160" i="1"/>
  <c r="L8160" i="1"/>
  <c r="I8152" i="1"/>
  <c r="L8152" i="1"/>
  <c r="J8144" i="1"/>
  <c r="L8144" i="1"/>
  <c r="I8136" i="1"/>
  <c r="L8136" i="1"/>
  <c r="J8128" i="1"/>
  <c r="L8128" i="1"/>
  <c r="J8120" i="1"/>
  <c r="L8120" i="1"/>
  <c r="I8112" i="1"/>
  <c r="L8112" i="1"/>
  <c r="I8104" i="1"/>
  <c r="L8104" i="1"/>
  <c r="J8096" i="1"/>
  <c r="L8096" i="1"/>
  <c r="J8088" i="1"/>
  <c r="L8088" i="1"/>
  <c r="I8080" i="1"/>
  <c r="L8080" i="1"/>
  <c r="J8072" i="1"/>
  <c r="L8072" i="1"/>
  <c r="I8064" i="1"/>
  <c r="L8064" i="1"/>
  <c r="I8056" i="1"/>
  <c r="L8056" i="1"/>
  <c r="I8048" i="1"/>
  <c r="L8048" i="1"/>
  <c r="I8040" i="1"/>
  <c r="L8040" i="1"/>
  <c r="J8032" i="1"/>
  <c r="L8032" i="1"/>
  <c r="I8024" i="1"/>
  <c r="L8024" i="1"/>
  <c r="J8016" i="1"/>
  <c r="L8016" i="1"/>
  <c r="J8008" i="1"/>
  <c r="L8008" i="1"/>
  <c r="I8000" i="1"/>
  <c r="L8000" i="1"/>
  <c r="J7992" i="1"/>
  <c r="L7992" i="1"/>
  <c r="I7984" i="1"/>
  <c r="L7984" i="1"/>
  <c r="I7976" i="1"/>
  <c r="L7976" i="1"/>
  <c r="I7968" i="1"/>
  <c r="L7968" i="1"/>
  <c r="J7960" i="1"/>
  <c r="L7960" i="1"/>
  <c r="I7952" i="1"/>
  <c r="L7952" i="1"/>
  <c r="I7944" i="1"/>
  <c r="L7944" i="1"/>
  <c r="J7936" i="1"/>
  <c r="L7936" i="1"/>
  <c r="I7928" i="1"/>
  <c r="L7928" i="1"/>
  <c r="I7920" i="1"/>
  <c r="L7920" i="1"/>
  <c r="I7912" i="1"/>
  <c r="L7912" i="1"/>
  <c r="J7904" i="1"/>
  <c r="L7904" i="1"/>
  <c r="J7896" i="1"/>
  <c r="L7896" i="1"/>
  <c r="I7888" i="1"/>
  <c r="L7888" i="1"/>
  <c r="I7880" i="1"/>
  <c r="L7880" i="1"/>
  <c r="I7872" i="1"/>
  <c r="L7872" i="1"/>
  <c r="J7864" i="1"/>
  <c r="L7864" i="1"/>
  <c r="J7856" i="1"/>
  <c r="L7856" i="1"/>
  <c r="J7848" i="1"/>
  <c r="L7848" i="1"/>
  <c r="J7840" i="1"/>
  <c r="L7840" i="1"/>
  <c r="J7832" i="1"/>
  <c r="L7832" i="1"/>
  <c r="J7824" i="1"/>
  <c r="L7824" i="1"/>
  <c r="J7816" i="1"/>
  <c r="L7816" i="1"/>
  <c r="J7808" i="1"/>
  <c r="L7808" i="1"/>
  <c r="J7800" i="1"/>
  <c r="L7800" i="1"/>
  <c r="J7792" i="1"/>
  <c r="L7792" i="1"/>
  <c r="J7784" i="1"/>
  <c r="L7784" i="1"/>
  <c r="J7776" i="1"/>
  <c r="L7776" i="1"/>
  <c r="J7768" i="1"/>
  <c r="L7768" i="1"/>
  <c r="J7760" i="1"/>
  <c r="L7760" i="1"/>
  <c r="J7752" i="1"/>
  <c r="L7752" i="1"/>
  <c r="J7744" i="1"/>
  <c r="L7744" i="1"/>
  <c r="J7736" i="1"/>
  <c r="L7736" i="1"/>
  <c r="J7728" i="1"/>
  <c r="L7728" i="1"/>
  <c r="J7720" i="1"/>
  <c r="L7720" i="1"/>
  <c r="J7712" i="1"/>
  <c r="L7712" i="1"/>
  <c r="J7704" i="1"/>
  <c r="L7704" i="1"/>
  <c r="J7696" i="1"/>
  <c r="L7696" i="1"/>
  <c r="J7688" i="1"/>
  <c r="L7688" i="1"/>
  <c r="J7680" i="1"/>
  <c r="L7680" i="1"/>
  <c r="J7672" i="1"/>
  <c r="L7672" i="1"/>
  <c r="J7664" i="1"/>
  <c r="L7664" i="1"/>
  <c r="J7656" i="1"/>
  <c r="L7656" i="1"/>
  <c r="J7648" i="1"/>
  <c r="L7648" i="1"/>
  <c r="J7640" i="1"/>
  <c r="L7640" i="1"/>
  <c r="J7632" i="1"/>
  <c r="L7632" i="1"/>
  <c r="J7624" i="1"/>
  <c r="L7624" i="1"/>
  <c r="J7616" i="1"/>
  <c r="L7616" i="1"/>
  <c r="J7608" i="1"/>
  <c r="L7608" i="1"/>
  <c r="J7600" i="1"/>
  <c r="L7600" i="1"/>
  <c r="J7592" i="1"/>
  <c r="L7592" i="1"/>
  <c r="J7584" i="1"/>
  <c r="L7584" i="1"/>
  <c r="J7576" i="1"/>
  <c r="L7576" i="1"/>
  <c r="J7568" i="1"/>
  <c r="L7568" i="1"/>
  <c r="J7560" i="1"/>
  <c r="L7560" i="1"/>
  <c r="J7552" i="1"/>
  <c r="L7552" i="1"/>
  <c r="J7544" i="1"/>
  <c r="L7544" i="1"/>
  <c r="J7536" i="1"/>
  <c r="L7536" i="1"/>
  <c r="J7528" i="1"/>
  <c r="L7528" i="1"/>
  <c r="J7520" i="1"/>
  <c r="L7520" i="1"/>
  <c r="J7512" i="1"/>
  <c r="L7512" i="1"/>
  <c r="J7504" i="1"/>
  <c r="L7504" i="1"/>
  <c r="J7496" i="1"/>
  <c r="L7496" i="1"/>
  <c r="J7488" i="1"/>
  <c r="L7488" i="1"/>
  <c r="J7480" i="1"/>
  <c r="L7480" i="1"/>
  <c r="J7472" i="1"/>
  <c r="L7472" i="1"/>
  <c r="J7464" i="1"/>
  <c r="L7464" i="1"/>
  <c r="J7456" i="1"/>
  <c r="L7456" i="1"/>
  <c r="J7448" i="1"/>
  <c r="L7448" i="1"/>
  <c r="J7440" i="1"/>
  <c r="L7440" i="1"/>
  <c r="J7432" i="1"/>
  <c r="L7432" i="1"/>
  <c r="J7424" i="1"/>
  <c r="L7424" i="1"/>
  <c r="J7416" i="1"/>
  <c r="L7416" i="1"/>
  <c r="J7408" i="1"/>
  <c r="L7408" i="1"/>
  <c r="J7400" i="1"/>
  <c r="L7400" i="1"/>
  <c r="J7392" i="1"/>
  <c r="L7392" i="1"/>
  <c r="J7384" i="1"/>
  <c r="L7384" i="1"/>
  <c r="J7376" i="1"/>
  <c r="L7376" i="1"/>
  <c r="J7368" i="1"/>
  <c r="L7368" i="1"/>
  <c r="J7360" i="1"/>
  <c r="L7360" i="1"/>
  <c r="J7352" i="1"/>
  <c r="L7352" i="1"/>
  <c r="J7344" i="1"/>
  <c r="L7344" i="1"/>
  <c r="J7336" i="1"/>
  <c r="L7336" i="1"/>
  <c r="K7336" i="1"/>
  <c r="J7328" i="1"/>
  <c r="L7328" i="1"/>
  <c r="K7328" i="1"/>
  <c r="J7320" i="1"/>
  <c r="L7320" i="1"/>
  <c r="K7320" i="1"/>
  <c r="J7312" i="1"/>
  <c r="L7312" i="1"/>
  <c r="J7304" i="1"/>
  <c r="L7304" i="1"/>
  <c r="K7304" i="1"/>
  <c r="J7296" i="1"/>
  <c r="L7296" i="1"/>
  <c r="K7296" i="1"/>
  <c r="J7288" i="1"/>
  <c r="L7288" i="1"/>
  <c r="K7288" i="1"/>
  <c r="J7280" i="1"/>
  <c r="L7280" i="1"/>
  <c r="J7272" i="1"/>
  <c r="L7272" i="1"/>
  <c r="K7272" i="1"/>
  <c r="J7264" i="1"/>
  <c r="L7264" i="1"/>
  <c r="K7264" i="1"/>
  <c r="J7256" i="1"/>
  <c r="L7256" i="1"/>
  <c r="K7256" i="1"/>
  <c r="J7248" i="1"/>
  <c r="L7248" i="1"/>
  <c r="J7240" i="1"/>
  <c r="L7240" i="1"/>
  <c r="K7240" i="1"/>
  <c r="J7232" i="1"/>
  <c r="L7232" i="1"/>
  <c r="K7232" i="1"/>
  <c r="J7224" i="1"/>
  <c r="L7224" i="1"/>
  <c r="K7224" i="1"/>
  <c r="J7216" i="1"/>
  <c r="L7216" i="1"/>
  <c r="K7216" i="1"/>
  <c r="J7208" i="1"/>
  <c r="L7208" i="1"/>
  <c r="K7208" i="1"/>
  <c r="J7200" i="1"/>
  <c r="L7200" i="1"/>
  <c r="K7200" i="1"/>
  <c r="J7192" i="1"/>
  <c r="L7192" i="1"/>
  <c r="K7192" i="1"/>
  <c r="J7184" i="1"/>
  <c r="L7184" i="1"/>
  <c r="K7184" i="1"/>
  <c r="J7176" i="1"/>
  <c r="L7176" i="1"/>
  <c r="K7176" i="1"/>
  <c r="J7168" i="1"/>
  <c r="L7168" i="1"/>
  <c r="K7168" i="1"/>
  <c r="J7160" i="1"/>
  <c r="L7160" i="1"/>
  <c r="K7160" i="1"/>
  <c r="J7152" i="1"/>
  <c r="L7152" i="1"/>
  <c r="K7152" i="1"/>
  <c r="J7144" i="1"/>
  <c r="L7144" i="1"/>
  <c r="K7144" i="1"/>
  <c r="J7136" i="1"/>
  <c r="L7136" i="1"/>
  <c r="K7136" i="1"/>
  <c r="J7128" i="1"/>
  <c r="L7128" i="1"/>
  <c r="K7128" i="1"/>
  <c r="J7120" i="1"/>
  <c r="L7120" i="1"/>
  <c r="K7120" i="1"/>
  <c r="J7112" i="1"/>
  <c r="L7112" i="1"/>
  <c r="K7112" i="1"/>
  <c r="J7104" i="1"/>
  <c r="L7104" i="1"/>
  <c r="K7104" i="1"/>
  <c r="J7096" i="1"/>
  <c r="L7096" i="1"/>
  <c r="K7096" i="1"/>
  <c r="J7088" i="1"/>
  <c r="L7088" i="1"/>
  <c r="K7088" i="1"/>
  <c r="J7080" i="1"/>
  <c r="L7080" i="1"/>
  <c r="K7080" i="1"/>
  <c r="J7072" i="1"/>
  <c r="L7072" i="1"/>
  <c r="K7072" i="1"/>
  <c r="J7064" i="1"/>
  <c r="L7064" i="1"/>
  <c r="K7064" i="1"/>
  <c r="J7056" i="1"/>
  <c r="L7056" i="1"/>
  <c r="K7056" i="1"/>
  <c r="J7048" i="1"/>
  <c r="L7048" i="1"/>
  <c r="K7048" i="1"/>
  <c r="J7040" i="1"/>
  <c r="L7040" i="1"/>
  <c r="K7040" i="1"/>
  <c r="J7032" i="1"/>
  <c r="L7032" i="1"/>
  <c r="K7032" i="1"/>
  <c r="J7024" i="1"/>
  <c r="L7024" i="1"/>
  <c r="K7024" i="1"/>
  <c r="J7016" i="1"/>
  <c r="L7016" i="1"/>
  <c r="K7016" i="1"/>
  <c r="J7008" i="1"/>
  <c r="L7008" i="1"/>
  <c r="K7008" i="1"/>
  <c r="J7000" i="1"/>
  <c r="L7000" i="1"/>
  <c r="K7000" i="1"/>
  <c r="J6992" i="1"/>
  <c r="L6992" i="1"/>
  <c r="K6992" i="1"/>
  <c r="J6984" i="1"/>
  <c r="L6984" i="1"/>
  <c r="K6984" i="1"/>
  <c r="J6976" i="1"/>
  <c r="L6976" i="1"/>
  <c r="K6976" i="1"/>
  <c r="J6968" i="1"/>
  <c r="L6968" i="1"/>
  <c r="K6968" i="1"/>
  <c r="J6960" i="1"/>
  <c r="L6960" i="1"/>
  <c r="K6960" i="1"/>
  <c r="J6952" i="1"/>
  <c r="L6952" i="1"/>
  <c r="K6952" i="1"/>
  <c r="J6944" i="1"/>
  <c r="L6944" i="1"/>
  <c r="K6944" i="1"/>
  <c r="J6936" i="1"/>
  <c r="L6936" i="1"/>
  <c r="K6936" i="1"/>
  <c r="J6928" i="1"/>
  <c r="L6928" i="1"/>
  <c r="K6928" i="1"/>
  <c r="J6920" i="1"/>
  <c r="L6920" i="1"/>
  <c r="K6920" i="1"/>
  <c r="J6912" i="1"/>
  <c r="L6912" i="1"/>
  <c r="K6912" i="1"/>
  <c r="J6904" i="1"/>
  <c r="L6904" i="1"/>
  <c r="K6904" i="1"/>
  <c r="J6896" i="1"/>
  <c r="L6896" i="1"/>
  <c r="K6896" i="1"/>
  <c r="J6888" i="1"/>
  <c r="L6888" i="1"/>
  <c r="K6888" i="1"/>
  <c r="J6880" i="1"/>
  <c r="L6880" i="1"/>
  <c r="K6880" i="1"/>
  <c r="J6872" i="1"/>
  <c r="L6872" i="1"/>
  <c r="K6872" i="1"/>
  <c r="J6864" i="1"/>
  <c r="L6864" i="1"/>
  <c r="K6864" i="1"/>
  <c r="J6856" i="1"/>
  <c r="L6856" i="1"/>
  <c r="K6856" i="1"/>
  <c r="J6848" i="1"/>
  <c r="L6848" i="1"/>
  <c r="K6848" i="1"/>
  <c r="J6840" i="1"/>
  <c r="L6840" i="1"/>
  <c r="K6840" i="1"/>
  <c r="J6832" i="1"/>
  <c r="L6832" i="1"/>
  <c r="K6832" i="1"/>
  <c r="J6824" i="1"/>
  <c r="L6824" i="1"/>
  <c r="K6824" i="1"/>
  <c r="J6816" i="1"/>
  <c r="L6816" i="1"/>
  <c r="K6816" i="1"/>
  <c r="J6808" i="1"/>
  <c r="L6808" i="1"/>
  <c r="K6808" i="1"/>
  <c r="J6800" i="1"/>
  <c r="L6800" i="1"/>
  <c r="K6800" i="1"/>
  <c r="J6792" i="1"/>
  <c r="L6792" i="1"/>
  <c r="K6792" i="1"/>
  <c r="J6784" i="1"/>
  <c r="L6784" i="1"/>
  <c r="K6784" i="1"/>
  <c r="J6776" i="1"/>
  <c r="L6776" i="1"/>
  <c r="K6776" i="1"/>
  <c r="J6768" i="1"/>
  <c r="L6768" i="1"/>
  <c r="K6768" i="1"/>
  <c r="J6760" i="1"/>
  <c r="L6760" i="1"/>
  <c r="K6760" i="1"/>
  <c r="J6752" i="1"/>
  <c r="L6752" i="1"/>
  <c r="K6752" i="1"/>
  <c r="J6744" i="1"/>
  <c r="L6744" i="1"/>
  <c r="K6744" i="1"/>
  <c r="L6736" i="1"/>
  <c r="K6736" i="1"/>
  <c r="J6728" i="1"/>
  <c r="L6728" i="1"/>
  <c r="K6728" i="1"/>
  <c r="J6720" i="1"/>
  <c r="L6720" i="1"/>
  <c r="K6720" i="1"/>
  <c r="J6712" i="1"/>
  <c r="L6712" i="1"/>
  <c r="K6712" i="1"/>
  <c r="L6704" i="1"/>
  <c r="K6704" i="1"/>
  <c r="J6696" i="1"/>
  <c r="L6696" i="1"/>
  <c r="K6696" i="1"/>
  <c r="J6688" i="1"/>
  <c r="L6688" i="1"/>
  <c r="K6688" i="1"/>
  <c r="J6680" i="1"/>
  <c r="L6680" i="1"/>
  <c r="K6680" i="1"/>
  <c r="L6672" i="1"/>
  <c r="K6672" i="1"/>
  <c r="J6672" i="1"/>
  <c r="J6664" i="1"/>
  <c r="L6664" i="1"/>
  <c r="K6664" i="1"/>
  <c r="J6656" i="1"/>
  <c r="L6656" i="1"/>
  <c r="K6656" i="1"/>
  <c r="J6648" i="1"/>
  <c r="L6648" i="1"/>
  <c r="K6648" i="1"/>
  <c r="L6640" i="1"/>
  <c r="K6640" i="1"/>
  <c r="J6640" i="1"/>
  <c r="J6632" i="1"/>
  <c r="L6632" i="1"/>
  <c r="K6632" i="1"/>
  <c r="J6624" i="1"/>
  <c r="L6624" i="1"/>
  <c r="K6624" i="1"/>
  <c r="J6616" i="1"/>
  <c r="L6616" i="1"/>
  <c r="K6616" i="1"/>
  <c r="L6608" i="1"/>
  <c r="K6608" i="1"/>
  <c r="J6600" i="1"/>
  <c r="L6600" i="1"/>
  <c r="K6600" i="1"/>
  <c r="J6592" i="1"/>
  <c r="L6592" i="1"/>
  <c r="K6592" i="1"/>
  <c r="J6584" i="1"/>
  <c r="L6584" i="1"/>
  <c r="K6584" i="1"/>
  <c r="L6576" i="1"/>
  <c r="K6576" i="1"/>
  <c r="J6568" i="1"/>
  <c r="L6568" i="1"/>
  <c r="K6568" i="1"/>
  <c r="J6560" i="1"/>
  <c r="L6560" i="1"/>
  <c r="K6560" i="1"/>
  <c r="J6552" i="1"/>
  <c r="L6552" i="1"/>
  <c r="K6552" i="1"/>
  <c r="L6544" i="1"/>
  <c r="K6544" i="1"/>
  <c r="J6544" i="1"/>
  <c r="J6536" i="1"/>
  <c r="L6536" i="1"/>
  <c r="K6536" i="1"/>
  <c r="J6528" i="1"/>
  <c r="L6528" i="1"/>
  <c r="K6528" i="1"/>
  <c r="J6520" i="1"/>
  <c r="L6520" i="1"/>
  <c r="K6520" i="1"/>
  <c r="L6512" i="1"/>
  <c r="K6512" i="1"/>
  <c r="J6512" i="1"/>
  <c r="J6504" i="1"/>
  <c r="L6504" i="1"/>
  <c r="K6504" i="1"/>
  <c r="J6496" i="1"/>
  <c r="L6496" i="1"/>
  <c r="K6496" i="1"/>
  <c r="J6488" i="1"/>
  <c r="L6488" i="1"/>
  <c r="K6488" i="1"/>
  <c r="L6480" i="1"/>
  <c r="K6480" i="1"/>
  <c r="J6472" i="1"/>
  <c r="L6472" i="1"/>
  <c r="K6472" i="1"/>
  <c r="J6464" i="1"/>
  <c r="L6464" i="1"/>
  <c r="K6464" i="1"/>
  <c r="J6456" i="1"/>
  <c r="L6456" i="1"/>
  <c r="K6456" i="1"/>
  <c r="L6448" i="1"/>
  <c r="K6448" i="1"/>
  <c r="J6440" i="1"/>
  <c r="L6440" i="1"/>
  <c r="K6440" i="1"/>
  <c r="J6432" i="1"/>
  <c r="L6432" i="1"/>
  <c r="K6432" i="1"/>
  <c r="J6424" i="1"/>
  <c r="L6424" i="1"/>
  <c r="K6424" i="1"/>
  <c r="L6416" i="1"/>
  <c r="K6416" i="1"/>
  <c r="J6416" i="1"/>
  <c r="J6408" i="1"/>
  <c r="L6408" i="1"/>
  <c r="K6408" i="1"/>
  <c r="J6400" i="1"/>
  <c r="L6400" i="1"/>
  <c r="K6400" i="1"/>
  <c r="J6392" i="1"/>
  <c r="L6392" i="1"/>
  <c r="K6392" i="1"/>
  <c r="L6384" i="1"/>
  <c r="K6384" i="1"/>
  <c r="J6384" i="1"/>
  <c r="J6376" i="1"/>
  <c r="L6376" i="1"/>
  <c r="K6376" i="1"/>
  <c r="J6368" i="1"/>
  <c r="L6368" i="1"/>
  <c r="K6368" i="1"/>
  <c r="J6360" i="1"/>
  <c r="L6360" i="1"/>
  <c r="K6360" i="1"/>
  <c r="L6352" i="1"/>
  <c r="K6352" i="1"/>
  <c r="J6344" i="1"/>
  <c r="L6344" i="1"/>
  <c r="K6344" i="1"/>
  <c r="J6336" i="1"/>
  <c r="L6336" i="1"/>
  <c r="K6336" i="1"/>
  <c r="J6328" i="1"/>
  <c r="L6328" i="1"/>
  <c r="K6328" i="1"/>
  <c r="L6320" i="1"/>
  <c r="K6320" i="1"/>
  <c r="J6312" i="1"/>
  <c r="L6312" i="1"/>
  <c r="K6312" i="1"/>
  <c r="J6304" i="1"/>
  <c r="L6304" i="1"/>
  <c r="K6304" i="1"/>
  <c r="J6296" i="1"/>
  <c r="L6296" i="1"/>
  <c r="K6296" i="1"/>
  <c r="L6288" i="1"/>
  <c r="K6288" i="1"/>
  <c r="J6288" i="1"/>
  <c r="J6280" i="1"/>
  <c r="L6280" i="1"/>
  <c r="K6280" i="1"/>
  <c r="J6272" i="1"/>
  <c r="L6272" i="1"/>
  <c r="K6272" i="1"/>
  <c r="J6264" i="1"/>
  <c r="L6264" i="1"/>
  <c r="K6264" i="1"/>
  <c r="L6256" i="1"/>
  <c r="K6256" i="1"/>
  <c r="J6256" i="1"/>
  <c r="J6248" i="1"/>
  <c r="L6248" i="1"/>
  <c r="K6248" i="1"/>
  <c r="J6240" i="1"/>
  <c r="L6240" i="1"/>
  <c r="K6240" i="1"/>
  <c r="J6232" i="1"/>
  <c r="L6232" i="1"/>
  <c r="K6232" i="1"/>
  <c r="L6224" i="1"/>
  <c r="K6224" i="1"/>
  <c r="J6216" i="1"/>
  <c r="L6216" i="1"/>
  <c r="K6216" i="1"/>
  <c r="J6208" i="1"/>
  <c r="L6208" i="1"/>
  <c r="K6208" i="1"/>
  <c r="J6200" i="1"/>
  <c r="L6200" i="1"/>
  <c r="K6200" i="1"/>
  <c r="L6192" i="1"/>
  <c r="K6192" i="1"/>
  <c r="J6184" i="1"/>
  <c r="L6184" i="1"/>
  <c r="K6184" i="1"/>
  <c r="J6176" i="1"/>
  <c r="L6176" i="1"/>
  <c r="K6176" i="1"/>
  <c r="J6168" i="1"/>
  <c r="L6168" i="1"/>
  <c r="K6168" i="1"/>
  <c r="L6160" i="1"/>
  <c r="K6160" i="1"/>
  <c r="J6160" i="1"/>
  <c r="J6152" i="1"/>
  <c r="L6152" i="1"/>
  <c r="K6152" i="1"/>
  <c r="J6144" i="1"/>
  <c r="L6144" i="1"/>
  <c r="K6144" i="1"/>
  <c r="J6136" i="1"/>
  <c r="L6136" i="1"/>
  <c r="K6136" i="1"/>
  <c r="L6128" i="1"/>
  <c r="K6128" i="1"/>
  <c r="J6128" i="1"/>
  <c r="J6120" i="1"/>
  <c r="L6120" i="1"/>
  <c r="K6120" i="1"/>
  <c r="J6112" i="1"/>
  <c r="L6112" i="1"/>
  <c r="K6112" i="1"/>
  <c r="J6104" i="1"/>
  <c r="L6104" i="1"/>
  <c r="K6104" i="1"/>
  <c r="L6096" i="1"/>
  <c r="K6096" i="1"/>
  <c r="J6088" i="1"/>
  <c r="L6088" i="1"/>
  <c r="K6088" i="1"/>
  <c r="J6080" i="1"/>
  <c r="L6080" i="1"/>
  <c r="K6080" i="1"/>
  <c r="J6072" i="1"/>
  <c r="L6072" i="1"/>
  <c r="K6072" i="1"/>
  <c r="L6064" i="1"/>
  <c r="K6064" i="1"/>
  <c r="J6056" i="1"/>
  <c r="L6056" i="1"/>
  <c r="K6056" i="1"/>
  <c r="J6048" i="1"/>
  <c r="L6048" i="1"/>
  <c r="K6048" i="1"/>
  <c r="J6040" i="1"/>
  <c r="L6040" i="1"/>
  <c r="K6040" i="1"/>
  <c r="L6032" i="1"/>
  <c r="K6032" i="1"/>
  <c r="J6032" i="1"/>
  <c r="J6024" i="1"/>
  <c r="L6024" i="1"/>
  <c r="K6024" i="1"/>
  <c r="J6016" i="1"/>
  <c r="L6016" i="1"/>
  <c r="K6016" i="1"/>
  <c r="J6008" i="1"/>
  <c r="L6008" i="1"/>
  <c r="K6008" i="1"/>
  <c r="L6000" i="1"/>
  <c r="K6000" i="1"/>
  <c r="J6000" i="1"/>
  <c r="J5992" i="1"/>
  <c r="L5992" i="1"/>
  <c r="K5992" i="1"/>
  <c r="J5984" i="1"/>
  <c r="L5984" i="1"/>
  <c r="K5984" i="1"/>
  <c r="J5976" i="1"/>
  <c r="L5976" i="1"/>
  <c r="K5976" i="1"/>
  <c r="L5968" i="1"/>
  <c r="K5968" i="1"/>
  <c r="J5960" i="1"/>
  <c r="L5960" i="1"/>
  <c r="K5960" i="1"/>
  <c r="J5952" i="1"/>
  <c r="L5952" i="1"/>
  <c r="K5952" i="1"/>
  <c r="J5944" i="1"/>
  <c r="L5944" i="1"/>
  <c r="K5944" i="1"/>
  <c r="L5936" i="1"/>
  <c r="K5936" i="1"/>
  <c r="J5928" i="1"/>
  <c r="L5928" i="1"/>
  <c r="K5928" i="1"/>
  <c r="J5920" i="1"/>
  <c r="L5920" i="1"/>
  <c r="K5920" i="1"/>
  <c r="J5912" i="1"/>
  <c r="L5912" i="1"/>
  <c r="K5912" i="1"/>
  <c r="L5904" i="1"/>
  <c r="K5904" i="1"/>
  <c r="J5904" i="1"/>
  <c r="J5896" i="1"/>
  <c r="L5896" i="1"/>
  <c r="K5896" i="1"/>
  <c r="J5888" i="1"/>
  <c r="L5888" i="1"/>
  <c r="K5888" i="1"/>
  <c r="J5880" i="1"/>
  <c r="L5880" i="1"/>
  <c r="K5880" i="1"/>
  <c r="L5872" i="1"/>
  <c r="K5872" i="1"/>
  <c r="J5872" i="1"/>
  <c r="J5864" i="1"/>
  <c r="L5864" i="1"/>
  <c r="K5864" i="1"/>
  <c r="J5856" i="1"/>
  <c r="L5856" i="1"/>
  <c r="K5856" i="1"/>
  <c r="J5848" i="1"/>
  <c r="L5848" i="1"/>
  <c r="K5848" i="1"/>
  <c r="L5840" i="1"/>
  <c r="K5840" i="1"/>
  <c r="J5832" i="1"/>
  <c r="L5832" i="1"/>
  <c r="K5832" i="1"/>
  <c r="J5824" i="1"/>
  <c r="L5824" i="1"/>
  <c r="K5824" i="1"/>
  <c r="J5816" i="1"/>
  <c r="L5816" i="1"/>
  <c r="K5816" i="1"/>
  <c r="L5808" i="1"/>
  <c r="K5808" i="1"/>
  <c r="J5800" i="1"/>
  <c r="L5800" i="1"/>
  <c r="K5800" i="1"/>
  <c r="J5792" i="1"/>
  <c r="L5792" i="1"/>
  <c r="K5792" i="1"/>
  <c r="J5784" i="1"/>
  <c r="L5784" i="1"/>
  <c r="K5784" i="1"/>
  <c r="L5776" i="1"/>
  <c r="K5776" i="1"/>
  <c r="J5776" i="1"/>
  <c r="J5768" i="1"/>
  <c r="L5768" i="1"/>
  <c r="K5768" i="1"/>
  <c r="J5760" i="1"/>
  <c r="L5760" i="1"/>
  <c r="K5760" i="1"/>
  <c r="J5752" i="1"/>
  <c r="L5752" i="1"/>
  <c r="K5752" i="1"/>
  <c r="L5744" i="1"/>
  <c r="K5744" i="1"/>
  <c r="J5744" i="1"/>
  <c r="J5736" i="1"/>
  <c r="L5736" i="1"/>
  <c r="K5736" i="1"/>
  <c r="J5728" i="1"/>
  <c r="L5728" i="1"/>
  <c r="K5728" i="1"/>
  <c r="J5720" i="1"/>
  <c r="L5720" i="1"/>
  <c r="K5720" i="1"/>
  <c r="L5712" i="1"/>
  <c r="K5712" i="1"/>
  <c r="J5704" i="1"/>
  <c r="L5704" i="1"/>
  <c r="K5704" i="1"/>
  <c r="J5696" i="1"/>
  <c r="L5696" i="1"/>
  <c r="K5696" i="1"/>
  <c r="J5688" i="1"/>
  <c r="L5688" i="1"/>
  <c r="K5688" i="1"/>
  <c r="L5680" i="1"/>
  <c r="K5680" i="1"/>
  <c r="J5672" i="1"/>
  <c r="L5672" i="1"/>
  <c r="K5672" i="1"/>
  <c r="J5664" i="1"/>
  <c r="L5664" i="1"/>
  <c r="K5664" i="1"/>
  <c r="J5656" i="1"/>
  <c r="L5656" i="1"/>
  <c r="K5656" i="1"/>
  <c r="L5648" i="1"/>
  <c r="K5648" i="1"/>
  <c r="J5648" i="1"/>
  <c r="J5640" i="1"/>
  <c r="L5640" i="1"/>
  <c r="K5640" i="1"/>
  <c r="J5632" i="1"/>
  <c r="L5632" i="1"/>
  <c r="K5632" i="1"/>
  <c r="J5624" i="1"/>
  <c r="L5624" i="1"/>
  <c r="K5624" i="1"/>
  <c r="L5616" i="1"/>
  <c r="K5616" i="1"/>
  <c r="J5616" i="1"/>
  <c r="J5608" i="1"/>
  <c r="L5608" i="1"/>
  <c r="K5608" i="1"/>
  <c r="J5600" i="1"/>
  <c r="L5600" i="1"/>
  <c r="K5600" i="1"/>
  <c r="J5592" i="1"/>
  <c r="L5592" i="1"/>
  <c r="K5592" i="1"/>
  <c r="L5584" i="1"/>
  <c r="K5584" i="1"/>
  <c r="J5576" i="1"/>
  <c r="L5576" i="1"/>
  <c r="K5576" i="1"/>
  <c r="J5568" i="1"/>
  <c r="L5568" i="1"/>
  <c r="K5568" i="1"/>
  <c r="J5560" i="1"/>
  <c r="L5560" i="1"/>
  <c r="K5560" i="1"/>
  <c r="L5552" i="1"/>
  <c r="K5552" i="1"/>
  <c r="J5544" i="1"/>
  <c r="L5544" i="1"/>
  <c r="K5544" i="1"/>
  <c r="J5536" i="1"/>
  <c r="L5536" i="1"/>
  <c r="K5536" i="1"/>
  <c r="J5528" i="1"/>
  <c r="L5528" i="1"/>
  <c r="K5528" i="1"/>
  <c r="L5520" i="1"/>
  <c r="K5520" i="1"/>
  <c r="J5520" i="1"/>
  <c r="J5512" i="1"/>
  <c r="L5512" i="1"/>
  <c r="K5512" i="1"/>
  <c r="J5504" i="1"/>
  <c r="L5504" i="1"/>
  <c r="K5504" i="1"/>
  <c r="J5496" i="1"/>
  <c r="L5496" i="1"/>
  <c r="K5496" i="1"/>
  <c r="L5488" i="1"/>
  <c r="K5488" i="1"/>
  <c r="J5488" i="1"/>
  <c r="J5480" i="1"/>
  <c r="L5480" i="1"/>
  <c r="K5480" i="1"/>
  <c r="J5472" i="1"/>
  <c r="L5472" i="1"/>
  <c r="K5472" i="1"/>
  <c r="J5464" i="1"/>
  <c r="L5464" i="1"/>
  <c r="K5464" i="1"/>
  <c r="L5456" i="1"/>
  <c r="K5456" i="1"/>
  <c r="J5448" i="1"/>
  <c r="L5448" i="1"/>
  <c r="K5448" i="1"/>
  <c r="J5440" i="1"/>
  <c r="L5440" i="1"/>
  <c r="K5440" i="1"/>
  <c r="J5432" i="1"/>
  <c r="L5432" i="1"/>
  <c r="K5432" i="1"/>
  <c r="L5424" i="1"/>
  <c r="K5424" i="1"/>
  <c r="J5416" i="1"/>
  <c r="L5416" i="1"/>
  <c r="K5416" i="1"/>
  <c r="J5408" i="1"/>
  <c r="L5408" i="1"/>
  <c r="K5408" i="1"/>
  <c r="J5400" i="1"/>
  <c r="L5400" i="1"/>
  <c r="K5400" i="1"/>
  <c r="L5392" i="1"/>
  <c r="K5392" i="1"/>
  <c r="J5392" i="1"/>
  <c r="J5384" i="1"/>
  <c r="L5384" i="1"/>
  <c r="K5384" i="1"/>
  <c r="J5376" i="1"/>
  <c r="L5376" i="1"/>
  <c r="K5376" i="1"/>
  <c r="J5368" i="1"/>
  <c r="L5368" i="1"/>
  <c r="K5368" i="1"/>
  <c r="L5360" i="1"/>
  <c r="K5360" i="1"/>
  <c r="J5360" i="1"/>
  <c r="J5352" i="1"/>
  <c r="L5352" i="1"/>
  <c r="K5352" i="1"/>
  <c r="J5344" i="1"/>
  <c r="L5344" i="1"/>
  <c r="K5344" i="1"/>
  <c r="J5336" i="1"/>
  <c r="L5336" i="1"/>
  <c r="K5336" i="1"/>
  <c r="L5328" i="1"/>
  <c r="K5328" i="1"/>
  <c r="J5320" i="1"/>
  <c r="L5320" i="1"/>
  <c r="K5320" i="1"/>
  <c r="J5312" i="1"/>
  <c r="L5312" i="1"/>
  <c r="K5312" i="1"/>
  <c r="J5304" i="1"/>
  <c r="L5304" i="1"/>
  <c r="K5304" i="1"/>
  <c r="L5296" i="1"/>
  <c r="K5296" i="1"/>
  <c r="J5288" i="1"/>
  <c r="L5288" i="1"/>
  <c r="K5288" i="1"/>
  <c r="J5280" i="1"/>
  <c r="L5280" i="1"/>
  <c r="K5280" i="1"/>
  <c r="J5272" i="1"/>
  <c r="L5272" i="1"/>
  <c r="K5272" i="1"/>
  <c r="L5264" i="1"/>
  <c r="K5264" i="1"/>
  <c r="J5264" i="1"/>
  <c r="J5256" i="1"/>
  <c r="L5256" i="1"/>
  <c r="K5256" i="1"/>
  <c r="J5248" i="1"/>
  <c r="L5248" i="1"/>
  <c r="K5248" i="1"/>
  <c r="J5240" i="1"/>
  <c r="L5240" i="1"/>
  <c r="K5240" i="1"/>
  <c r="L5232" i="1"/>
  <c r="K5232" i="1"/>
  <c r="J5232" i="1"/>
  <c r="J5224" i="1"/>
  <c r="L5224" i="1"/>
  <c r="K5224" i="1"/>
  <c r="J5216" i="1"/>
  <c r="L5216" i="1"/>
  <c r="K5216" i="1"/>
  <c r="J5208" i="1"/>
  <c r="L5208" i="1"/>
  <c r="K5208" i="1"/>
  <c r="L5200" i="1"/>
  <c r="K5200" i="1"/>
  <c r="J5192" i="1"/>
  <c r="L5192" i="1"/>
  <c r="K5192" i="1"/>
  <c r="J5184" i="1"/>
  <c r="L5184" i="1"/>
  <c r="K5184" i="1"/>
  <c r="J5176" i="1"/>
  <c r="L5176" i="1"/>
  <c r="K5176" i="1"/>
  <c r="L5168" i="1"/>
  <c r="K5168" i="1"/>
  <c r="J5160" i="1"/>
  <c r="L5160" i="1"/>
  <c r="K5160" i="1"/>
  <c r="J5152" i="1"/>
  <c r="L5152" i="1"/>
  <c r="K5152" i="1"/>
  <c r="J5144" i="1"/>
  <c r="L5144" i="1"/>
  <c r="K5144" i="1"/>
  <c r="L5136" i="1"/>
  <c r="K5136" i="1"/>
  <c r="J5136" i="1"/>
  <c r="J5128" i="1"/>
  <c r="L5128" i="1"/>
  <c r="K5128" i="1"/>
  <c r="J5120" i="1"/>
  <c r="L5120" i="1"/>
  <c r="K5120" i="1"/>
  <c r="J5112" i="1"/>
  <c r="L5112" i="1"/>
  <c r="K5112" i="1"/>
  <c r="L5104" i="1"/>
  <c r="K5104" i="1"/>
  <c r="J5104" i="1"/>
  <c r="J5096" i="1"/>
  <c r="L5096" i="1"/>
  <c r="K5096" i="1"/>
  <c r="J5088" i="1"/>
  <c r="L5088" i="1"/>
  <c r="K5088" i="1"/>
  <c r="J5080" i="1"/>
  <c r="L5080" i="1"/>
  <c r="K5080" i="1"/>
  <c r="L5072" i="1"/>
  <c r="K5072" i="1"/>
  <c r="J5064" i="1"/>
  <c r="L5064" i="1"/>
  <c r="K5064" i="1"/>
  <c r="J5056" i="1"/>
  <c r="L5056" i="1"/>
  <c r="K5056" i="1"/>
  <c r="J5048" i="1"/>
  <c r="L5048" i="1"/>
  <c r="K5048" i="1"/>
  <c r="L5040" i="1"/>
  <c r="K5040" i="1"/>
  <c r="J5032" i="1"/>
  <c r="L5032" i="1"/>
  <c r="K5032" i="1"/>
  <c r="J5024" i="1"/>
  <c r="L5024" i="1"/>
  <c r="K5024" i="1"/>
  <c r="J5016" i="1"/>
  <c r="L5016" i="1"/>
  <c r="K5016" i="1"/>
  <c r="L5008" i="1"/>
  <c r="K5008" i="1"/>
  <c r="J5008" i="1"/>
  <c r="J5000" i="1"/>
  <c r="L5000" i="1"/>
  <c r="K5000" i="1"/>
  <c r="J4992" i="1"/>
  <c r="L4992" i="1"/>
  <c r="K4992" i="1"/>
  <c r="J4984" i="1"/>
  <c r="L4984" i="1"/>
  <c r="K4984" i="1"/>
  <c r="L4976" i="1"/>
  <c r="K4976" i="1"/>
  <c r="J4976" i="1"/>
  <c r="J4968" i="1"/>
  <c r="L4968" i="1"/>
  <c r="K4968" i="1"/>
  <c r="J4960" i="1"/>
  <c r="L4960" i="1"/>
  <c r="K4960" i="1"/>
  <c r="J4952" i="1"/>
  <c r="L4952" i="1"/>
  <c r="K4952" i="1"/>
  <c r="L4944" i="1"/>
  <c r="K4944" i="1"/>
  <c r="J4936" i="1"/>
  <c r="L4936" i="1"/>
  <c r="K4936" i="1"/>
  <c r="J4928" i="1"/>
  <c r="L4928" i="1"/>
  <c r="K4928" i="1"/>
  <c r="J4920" i="1"/>
  <c r="L4920" i="1"/>
  <c r="K4920" i="1"/>
  <c r="L4912" i="1"/>
  <c r="K4912" i="1"/>
  <c r="J4904" i="1"/>
  <c r="L4904" i="1"/>
  <c r="K4904" i="1"/>
  <c r="J4896" i="1"/>
  <c r="L4896" i="1"/>
  <c r="K4896" i="1"/>
  <c r="J4888" i="1"/>
  <c r="L4888" i="1"/>
  <c r="K4888" i="1"/>
  <c r="L4880" i="1"/>
  <c r="K4880" i="1"/>
  <c r="J4880" i="1"/>
  <c r="J4872" i="1"/>
  <c r="L4872" i="1"/>
  <c r="K4872" i="1"/>
  <c r="J4864" i="1"/>
  <c r="L4864" i="1"/>
  <c r="K4864" i="1"/>
  <c r="J4856" i="1"/>
  <c r="L4856" i="1"/>
  <c r="K4856" i="1"/>
  <c r="L4848" i="1"/>
  <c r="K4848" i="1"/>
  <c r="J4848" i="1"/>
  <c r="J4840" i="1"/>
  <c r="L4840" i="1"/>
  <c r="K4840" i="1"/>
  <c r="J4832" i="1"/>
  <c r="L4832" i="1"/>
  <c r="K4832" i="1"/>
  <c r="J4824" i="1"/>
  <c r="L4824" i="1"/>
  <c r="K4824" i="1"/>
  <c r="L4816" i="1"/>
  <c r="K4816" i="1"/>
  <c r="J4808" i="1"/>
  <c r="L4808" i="1"/>
  <c r="K4808" i="1"/>
  <c r="J4800" i="1"/>
  <c r="L4800" i="1"/>
  <c r="K4800" i="1"/>
  <c r="J4792" i="1"/>
  <c r="L4792" i="1"/>
  <c r="K4792" i="1"/>
  <c r="L4784" i="1"/>
  <c r="K4784" i="1"/>
  <c r="J4776" i="1"/>
  <c r="L4776" i="1"/>
  <c r="K4776" i="1"/>
  <c r="J4768" i="1"/>
  <c r="L4768" i="1"/>
  <c r="K4768" i="1"/>
  <c r="J4760" i="1"/>
  <c r="L4760" i="1"/>
  <c r="K4760" i="1"/>
  <c r="L4752" i="1"/>
  <c r="K4752" i="1"/>
  <c r="J4752" i="1"/>
  <c r="J4744" i="1"/>
  <c r="L4744" i="1"/>
  <c r="K4744" i="1"/>
  <c r="J4736" i="1"/>
  <c r="L4736" i="1"/>
  <c r="K4736" i="1"/>
  <c r="J4728" i="1"/>
  <c r="L4728" i="1"/>
  <c r="K4728" i="1"/>
  <c r="L4720" i="1"/>
  <c r="K4720" i="1"/>
  <c r="J4720" i="1"/>
  <c r="J4712" i="1"/>
  <c r="L4712" i="1"/>
  <c r="K4712" i="1"/>
  <c r="J4704" i="1"/>
  <c r="L4704" i="1"/>
  <c r="K4704" i="1"/>
  <c r="J4696" i="1"/>
  <c r="L4696" i="1"/>
  <c r="K4696" i="1"/>
  <c r="L4688" i="1"/>
  <c r="K4688" i="1"/>
  <c r="J4680" i="1"/>
  <c r="L4680" i="1"/>
  <c r="K4680" i="1"/>
  <c r="J4672" i="1"/>
  <c r="L4672" i="1"/>
  <c r="K4672" i="1"/>
  <c r="J4664" i="1"/>
  <c r="L4664" i="1"/>
  <c r="K4664" i="1"/>
  <c r="L4656" i="1"/>
  <c r="K4656" i="1"/>
  <c r="J4648" i="1"/>
  <c r="L4648" i="1"/>
  <c r="K4648" i="1"/>
  <c r="J4640" i="1"/>
  <c r="L4640" i="1"/>
  <c r="K4640" i="1"/>
  <c r="J4632" i="1"/>
  <c r="L4632" i="1"/>
  <c r="K4632" i="1"/>
  <c r="L4624" i="1"/>
  <c r="K4624" i="1"/>
  <c r="J4624" i="1"/>
  <c r="J4616" i="1"/>
  <c r="L4616" i="1"/>
  <c r="K4616" i="1"/>
  <c r="J4608" i="1"/>
  <c r="L4608" i="1"/>
  <c r="K4608" i="1"/>
  <c r="J4600" i="1"/>
  <c r="L4600" i="1"/>
  <c r="K4600" i="1"/>
  <c r="L4592" i="1"/>
  <c r="K4592" i="1"/>
  <c r="J4592" i="1"/>
  <c r="J4584" i="1"/>
  <c r="L4584" i="1"/>
  <c r="K4584" i="1"/>
  <c r="J4576" i="1"/>
  <c r="L4576" i="1"/>
  <c r="K4576" i="1"/>
  <c r="J4568" i="1"/>
  <c r="L4568" i="1"/>
  <c r="K4568" i="1"/>
  <c r="L4560" i="1"/>
  <c r="K4560" i="1"/>
  <c r="J4552" i="1"/>
  <c r="L4552" i="1"/>
  <c r="K4552" i="1"/>
  <c r="J4544" i="1"/>
  <c r="L4544" i="1"/>
  <c r="K4544" i="1"/>
  <c r="J4536" i="1"/>
  <c r="L4536" i="1"/>
  <c r="K4536" i="1"/>
  <c r="L4528" i="1"/>
  <c r="K4528" i="1"/>
  <c r="J4520" i="1"/>
  <c r="L4520" i="1"/>
  <c r="K4520" i="1"/>
  <c r="J4512" i="1"/>
  <c r="L4512" i="1"/>
  <c r="K4512" i="1"/>
  <c r="J4504" i="1"/>
  <c r="L4504" i="1"/>
  <c r="K4504" i="1"/>
  <c r="L4496" i="1"/>
  <c r="K4496" i="1"/>
  <c r="J4496" i="1"/>
  <c r="J4488" i="1"/>
  <c r="L4488" i="1"/>
  <c r="K4488" i="1"/>
  <c r="J4480" i="1"/>
  <c r="L4480" i="1"/>
  <c r="K4480" i="1"/>
  <c r="J4472" i="1"/>
  <c r="L4472" i="1"/>
  <c r="K4472" i="1"/>
  <c r="J4464" i="1"/>
  <c r="L4464" i="1"/>
  <c r="K4464" i="1"/>
  <c r="J4456" i="1"/>
  <c r="L4456" i="1"/>
  <c r="K4456" i="1"/>
  <c r="J4448" i="1"/>
  <c r="L4448" i="1"/>
  <c r="K4448" i="1"/>
  <c r="J4440" i="1"/>
  <c r="L4440" i="1"/>
  <c r="K4440" i="1"/>
  <c r="J4432" i="1"/>
  <c r="L4432" i="1"/>
  <c r="K4432" i="1"/>
  <c r="J4424" i="1"/>
  <c r="L4424" i="1"/>
  <c r="K4424" i="1"/>
  <c r="J4416" i="1"/>
  <c r="L4416" i="1"/>
  <c r="K4416" i="1"/>
  <c r="J4408" i="1"/>
  <c r="L4408" i="1"/>
  <c r="K4408" i="1"/>
  <c r="J4400" i="1"/>
  <c r="L4400" i="1"/>
  <c r="K4400" i="1"/>
  <c r="J4392" i="1"/>
  <c r="L4392" i="1"/>
  <c r="K4392" i="1"/>
  <c r="J4384" i="1"/>
  <c r="L4384" i="1"/>
  <c r="K4384" i="1"/>
  <c r="J4376" i="1"/>
  <c r="L4376" i="1"/>
  <c r="K4376" i="1"/>
  <c r="J4368" i="1"/>
  <c r="L4368" i="1"/>
  <c r="K4368" i="1"/>
  <c r="J4360" i="1"/>
  <c r="L4360" i="1"/>
  <c r="K4360" i="1"/>
  <c r="J4352" i="1"/>
  <c r="L4352" i="1"/>
  <c r="K4352" i="1"/>
  <c r="J4344" i="1"/>
  <c r="L4344" i="1"/>
  <c r="K4344" i="1"/>
  <c r="J4336" i="1"/>
  <c r="L4336" i="1"/>
  <c r="K4336" i="1"/>
  <c r="J4328" i="1"/>
  <c r="L4328" i="1"/>
  <c r="K4328" i="1"/>
  <c r="J4320" i="1"/>
  <c r="L4320" i="1"/>
  <c r="K4320" i="1"/>
  <c r="J4312" i="1"/>
  <c r="L4312" i="1"/>
  <c r="K4312" i="1"/>
  <c r="J4304" i="1"/>
  <c r="L4304" i="1"/>
  <c r="K4304" i="1"/>
  <c r="J4296" i="1"/>
  <c r="L4296" i="1"/>
  <c r="K4296" i="1"/>
  <c r="J4288" i="1"/>
  <c r="L4288" i="1"/>
  <c r="K4288" i="1"/>
  <c r="J4280" i="1"/>
  <c r="L4280" i="1"/>
  <c r="K4280" i="1"/>
  <c r="J4272" i="1"/>
  <c r="L4272" i="1"/>
  <c r="K4272" i="1"/>
  <c r="J4264" i="1"/>
  <c r="L4264" i="1"/>
  <c r="K4264" i="1"/>
  <c r="J4256" i="1"/>
  <c r="L4256" i="1"/>
  <c r="K4256" i="1"/>
  <c r="J4248" i="1"/>
  <c r="L4248" i="1"/>
  <c r="K4248" i="1"/>
  <c r="J4240" i="1"/>
  <c r="L4240" i="1"/>
  <c r="K4240" i="1"/>
  <c r="J4232" i="1"/>
  <c r="L4232" i="1"/>
  <c r="K4232" i="1"/>
  <c r="J4224" i="1"/>
  <c r="L4224" i="1"/>
  <c r="K4224" i="1"/>
  <c r="J4216" i="1"/>
  <c r="L4216" i="1"/>
  <c r="K4216" i="1"/>
  <c r="J4208" i="1"/>
  <c r="L4208" i="1"/>
  <c r="K4208" i="1"/>
  <c r="J4200" i="1"/>
  <c r="L4200" i="1"/>
  <c r="K4200" i="1"/>
  <c r="J4192" i="1"/>
  <c r="L4192" i="1"/>
  <c r="K4192" i="1"/>
  <c r="J4184" i="1"/>
  <c r="L4184" i="1"/>
  <c r="K4184" i="1"/>
  <c r="J4176" i="1"/>
  <c r="L4176" i="1"/>
  <c r="K4176" i="1"/>
  <c r="J4168" i="1"/>
  <c r="L4168" i="1"/>
  <c r="K4168" i="1"/>
  <c r="J4160" i="1"/>
  <c r="L4160" i="1"/>
  <c r="K4160" i="1"/>
  <c r="J4152" i="1"/>
  <c r="L4152" i="1"/>
  <c r="K4152" i="1"/>
  <c r="J4144" i="1"/>
  <c r="L4144" i="1"/>
  <c r="K4144" i="1"/>
  <c r="J4136" i="1"/>
  <c r="L4136" i="1"/>
  <c r="K4136" i="1"/>
  <c r="J4128" i="1"/>
  <c r="L4128" i="1"/>
  <c r="K4128" i="1"/>
  <c r="J4120" i="1"/>
  <c r="L4120" i="1"/>
  <c r="K4120" i="1"/>
  <c r="J4112" i="1"/>
  <c r="L4112" i="1"/>
  <c r="K4112" i="1"/>
  <c r="J4104" i="1"/>
  <c r="L4104" i="1"/>
  <c r="K4104" i="1"/>
  <c r="J4096" i="1"/>
  <c r="L4096" i="1"/>
  <c r="K4096" i="1"/>
  <c r="J4088" i="1"/>
  <c r="L4088" i="1"/>
  <c r="K4088" i="1"/>
  <c r="J4080" i="1"/>
  <c r="L4080" i="1"/>
  <c r="K4080" i="1"/>
  <c r="J4072" i="1"/>
  <c r="L4072" i="1"/>
  <c r="K4072" i="1"/>
  <c r="J4064" i="1"/>
  <c r="L4064" i="1"/>
  <c r="K4064" i="1"/>
  <c r="J4056" i="1"/>
  <c r="L4056" i="1"/>
  <c r="K4056" i="1"/>
  <c r="J4048" i="1"/>
  <c r="L4048" i="1"/>
  <c r="K4048" i="1"/>
  <c r="J4040" i="1"/>
  <c r="L4040" i="1"/>
  <c r="K4040" i="1"/>
  <c r="J4032" i="1"/>
  <c r="L4032" i="1"/>
  <c r="K4032" i="1"/>
  <c r="J4024" i="1"/>
  <c r="L4024" i="1"/>
  <c r="K4024" i="1"/>
  <c r="J4016" i="1"/>
  <c r="L4016" i="1"/>
  <c r="K4016" i="1"/>
  <c r="J4008" i="1"/>
  <c r="L4008" i="1"/>
  <c r="K4008" i="1"/>
  <c r="J4000" i="1"/>
  <c r="L4000" i="1"/>
  <c r="K4000" i="1"/>
  <c r="J3992" i="1"/>
  <c r="L3992" i="1"/>
  <c r="K3992" i="1"/>
  <c r="J3984" i="1"/>
  <c r="L3984" i="1"/>
  <c r="K3984" i="1"/>
  <c r="J3976" i="1"/>
  <c r="L3976" i="1"/>
  <c r="K3976" i="1"/>
  <c r="J3968" i="1"/>
  <c r="L3968" i="1"/>
  <c r="K3968" i="1"/>
  <c r="J3960" i="1"/>
  <c r="L3960" i="1"/>
  <c r="K3960" i="1"/>
  <c r="J3952" i="1"/>
  <c r="L3952" i="1"/>
  <c r="K3952" i="1"/>
  <c r="J3944" i="1"/>
  <c r="L3944" i="1"/>
  <c r="K3944" i="1"/>
  <c r="J3936" i="1"/>
  <c r="L3936" i="1"/>
  <c r="K3936" i="1"/>
  <c r="J3928" i="1"/>
  <c r="L3928" i="1"/>
  <c r="K3928" i="1"/>
  <c r="J3920" i="1"/>
  <c r="L3920" i="1"/>
  <c r="K3920" i="1"/>
  <c r="J3912" i="1"/>
  <c r="L3912" i="1"/>
  <c r="K3912" i="1"/>
  <c r="J3904" i="1"/>
  <c r="L3904" i="1"/>
  <c r="K3904" i="1"/>
  <c r="J3896" i="1"/>
  <c r="L3896" i="1"/>
  <c r="K3896" i="1"/>
  <c r="J3888" i="1"/>
  <c r="L3888" i="1"/>
  <c r="K3888" i="1"/>
  <c r="J3880" i="1"/>
  <c r="L3880" i="1"/>
  <c r="K3880" i="1"/>
  <c r="J3872" i="1"/>
  <c r="L3872" i="1"/>
  <c r="K3872" i="1"/>
  <c r="J3864" i="1"/>
  <c r="L3864" i="1"/>
  <c r="K3864" i="1"/>
  <c r="J3856" i="1"/>
  <c r="L3856" i="1"/>
  <c r="K3856" i="1"/>
  <c r="J3848" i="1"/>
  <c r="L3848" i="1"/>
  <c r="K3848" i="1"/>
  <c r="J3840" i="1"/>
  <c r="L3840" i="1"/>
  <c r="K3840" i="1"/>
  <c r="J3832" i="1"/>
  <c r="L3832" i="1"/>
  <c r="K3832" i="1"/>
  <c r="J3824" i="1"/>
  <c r="L3824" i="1"/>
  <c r="K3824" i="1"/>
  <c r="J3816" i="1"/>
  <c r="L3816" i="1"/>
  <c r="K3816" i="1"/>
  <c r="J3808" i="1"/>
  <c r="L3808" i="1"/>
  <c r="K3808" i="1"/>
  <c r="J3800" i="1"/>
  <c r="L3800" i="1"/>
  <c r="K3800" i="1"/>
  <c r="J3792" i="1"/>
  <c r="L3792" i="1"/>
  <c r="K3792" i="1"/>
  <c r="J3784" i="1"/>
  <c r="L3784" i="1"/>
  <c r="K3784" i="1"/>
  <c r="J3776" i="1"/>
  <c r="L3776" i="1"/>
  <c r="K3776" i="1"/>
  <c r="J3768" i="1"/>
  <c r="L3768" i="1"/>
  <c r="K3768" i="1"/>
  <c r="J3760" i="1"/>
  <c r="L3760" i="1"/>
  <c r="K3760" i="1"/>
  <c r="J3752" i="1"/>
  <c r="L3752" i="1"/>
  <c r="K3752" i="1"/>
  <c r="J3744" i="1"/>
  <c r="L3744" i="1"/>
  <c r="K3744" i="1"/>
  <c r="J3736" i="1"/>
  <c r="L3736" i="1"/>
  <c r="K3736" i="1"/>
  <c r="J3728" i="1"/>
  <c r="L3728" i="1"/>
  <c r="K3728" i="1"/>
  <c r="J3720" i="1"/>
  <c r="L3720" i="1"/>
  <c r="K3720" i="1"/>
  <c r="J3712" i="1"/>
  <c r="L3712" i="1"/>
  <c r="K3712" i="1"/>
  <c r="J3704" i="1"/>
  <c r="L3704" i="1"/>
  <c r="K3704" i="1"/>
  <c r="J3696" i="1"/>
  <c r="L3696" i="1"/>
  <c r="K3696" i="1"/>
  <c r="J3688" i="1"/>
  <c r="L3688" i="1"/>
  <c r="K3688" i="1"/>
  <c r="J3680" i="1"/>
  <c r="L3680" i="1"/>
  <c r="K3680" i="1"/>
  <c r="J3672" i="1"/>
  <c r="L3672" i="1"/>
  <c r="K3672" i="1"/>
  <c r="J3664" i="1"/>
  <c r="L3664" i="1"/>
  <c r="K3664" i="1"/>
  <c r="J3656" i="1"/>
  <c r="L3656" i="1"/>
  <c r="K3656" i="1"/>
  <c r="J3648" i="1"/>
  <c r="L3648" i="1"/>
  <c r="K3648" i="1"/>
  <c r="J3640" i="1"/>
  <c r="L3640" i="1"/>
  <c r="K3640" i="1"/>
  <c r="J3632" i="1"/>
  <c r="L3632" i="1"/>
  <c r="K3632" i="1"/>
  <c r="J3624" i="1"/>
  <c r="L3624" i="1"/>
  <c r="K3624" i="1"/>
  <c r="J3616" i="1"/>
  <c r="L3616" i="1"/>
  <c r="K3616" i="1"/>
  <c r="J3608" i="1"/>
  <c r="L3608" i="1"/>
  <c r="K3608" i="1"/>
  <c r="J3600" i="1"/>
  <c r="L3600" i="1"/>
  <c r="K3600" i="1"/>
  <c r="J3592" i="1"/>
  <c r="L3592" i="1"/>
  <c r="K3592" i="1"/>
  <c r="J3584" i="1"/>
  <c r="L3584" i="1"/>
  <c r="K3584" i="1"/>
  <c r="J3576" i="1"/>
  <c r="L3576" i="1"/>
  <c r="K3576" i="1"/>
  <c r="J3568" i="1"/>
  <c r="L3568" i="1"/>
  <c r="K3568" i="1"/>
  <c r="J3560" i="1"/>
  <c r="L3560" i="1"/>
  <c r="K3560" i="1"/>
  <c r="J3552" i="1"/>
  <c r="L3552" i="1"/>
  <c r="K3552" i="1"/>
  <c r="J3544" i="1"/>
  <c r="L3544" i="1"/>
  <c r="K3544" i="1"/>
  <c r="J3536" i="1"/>
  <c r="L3536" i="1"/>
  <c r="K3536" i="1"/>
  <c r="J3528" i="1"/>
  <c r="L3528" i="1"/>
  <c r="K3528" i="1"/>
  <c r="J3520" i="1"/>
  <c r="L3520" i="1"/>
  <c r="K3520" i="1"/>
  <c r="J3512" i="1"/>
  <c r="L3512" i="1"/>
  <c r="K3512" i="1"/>
  <c r="J3504" i="1"/>
  <c r="L3504" i="1"/>
  <c r="K3504" i="1"/>
  <c r="J3496" i="1"/>
  <c r="L3496" i="1"/>
  <c r="K3496" i="1"/>
  <c r="J3488" i="1"/>
  <c r="L3488" i="1"/>
  <c r="K3488" i="1"/>
  <c r="J3480" i="1"/>
  <c r="L3480" i="1"/>
  <c r="K3480" i="1"/>
  <c r="J3472" i="1"/>
  <c r="L3472" i="1"/>
  <c r="K3472" i="1"/>
  <c r="J3464" i="1"/>
  <c r="L3464" i="1"/>
  <c r="K3464" i="1"/>
  <c r="J3456" i="1"/>
  <c r="L3456" i="1"/>
  <c r="K3456" i="1"/>
  <c r="J3448" i="1"/>
  <c r="L3448" i="1"/>
  <c r="K3448" i="1"/>
  <c r="J3440" i="1"/>
  <c r="L3440" i="1"/>
  <c r="K3440" i="1"/>
  <c r="J3432" i="1"/>
  <c r="L3432" i="1"/>
  <c r="K3432" i="1"/>
  <c r="J3424" i="1"/>
  <c r="L3424" i="1"/>
  <c r="K3424" i="1"/>
  <c r="J3416" i="1"/>
  <c r="L3416" i="1"/>
  <c r="K3416" i="1"/>
  <c r="J3408" i="1"/>
  <c r="L3408" i="1"/>
  <c r="K3408" i="1"/>
  <c r="J3400" i="1"/>
  <c r="L3400" i="1"/>
  <c r="K3400" i="1"/>
  <c r="J3392" i="1"/>
  <c r="L3392" i="1"/>
  <c r="K3392" i="1"/>
  <c r="J3384" i="1"/>
  <c r="L3384" i="1"/>
  <c r="K3384" i="1"/>
  <c r="J3376" i="1"/>
  <c r="L3376" i="1"/>
  <c r="K3376" i="1"/>
  <c r="J3368" i="1"/>
  <c r="L3368" i="1"/>
  <c r="K3368" i="1"/>
  <c r="J3360" i="1"/>
  <c r="L3360" i="1"/>
  <c r="K3360" i="1"/>
  <c r="J3352" i="1"/>
  <c r="L3352" i="1"/>
  <c r="K3352" i="1"/>
  <c r="J3344" i="1"/>
  <c r="L3344" i="1"/>
  <c r="K3344" i="1"/>
  <c r="J3336" i="1"/>
  <c r="L3336" i="1"/>
  <c r="K3336" i="1"/>
  <c r="J3328" i="1"/>
  <c r="L3328" i="1"/>
  <c r="K3328" i="1"/>
  <c r="J3320" i="1"/>
  <c r="L3320" i="1"/>
  <c r="K3320" i="1"/>
  <c r="J3312" i="1"/>
  <c r="L3312" i="1"/>
  <c r="K3312" i="1"/>
  <c r="J3304" i="1"/>
  <c r="L3304" i="1"/>
  <c r="K3304" i="1"/>
  <c r="J3296" i="1"/>
  <c r="L3296" i="1"/>
  <c r="K3296" i="1"/>
  <c r="J3288" i="1"/>
  <c r="L3288" i="1"/>
  <c r="K3288" i="1"/>
  <c r="J3280" i="1"/>
  <c r="L3280" i="1"/>
  <c r="K3280" i="1"/>
  <c r="J3272" i="1"/>
  <c r="L3272" i="1"/>
  <c r="K3272" i="1"/>
  <c r="J3264" i="1"/>
  <c r="L3264" i="1"/>
  <c r="K3264" i="1"/>
  <c r="J3256" i="1"/>
  <c r="L3256" i="1"/>
  <c r="J3248" i="1"/>
  <c r="L3248" i="1"/>
  <c r="K3248" i="1"/>
  <c r="J3240" i="1"/>
  <c r="L3240" i="1"/>
  <c r="K3240" i="1"/>
  <c r="J3232" i="1"/>
  <c r="L3232" i="1"/>
  <c r="K3232" i="1"/>
  <c r="J3224" i="1"/>
  <c r="L3224" i="1"/>
  <c r="K3224" i="1"/>
  <c r="J3216" i="1"/>
  <c r="L3216" i="1"/>
  <c r="K3216" i="1"/>
  <c r="J3208" i="1"/>
  <c r="L3208" i="1"/>
  <c r="K3208" i="1"/>
  <c r="J3200" i="1"/>
  <c r="L3200" i="1"/>
  <c r="K3200" i="1"/>
  <c r="J3192" i="1"/>
  <c r="L3192" i="1"/>
  <c r="J3184" i="1"/>
  <c r="L3184" i="1"/>
  <c r="K3184" i="1"/>
  <c r="J3176" i="1"/>
  <c r="L3176" i="1"/>
  <c r="K3176" i="1"/>
  <c r="J3168" i="1"/>
  <c r="L3168" i="1"/>
  <c r="K3168" i="1"/>
  <c r="J3160" i="1"/>
  <c r="L3160" i="1"/>
  <c r="K3160" i="1"/>
  <c r="J3152" i="1"/>
  <c r="L3152" i="1"/>
  <c r="K3152" i="1"/>
  <c r="J3144" i="1"/>
  <c r="L3144" i="1"/>
  <c r="K3144" i="1"/>
  <c r="J3136" i="1"/>
  <c r="L3136" i="1"/>
  <c r="K3136" i="1"/>
  <c r="J3128" i="1"/>
  <c r="L3128" i="1"/>
  <c r="J3120" i="1"/>
  <c r="L3120" i="1"/>
  <c r="K3120" i="1"/>
  <c r="J3112" i="1"/>
  <c r="L3112" i="1"/>
  <c r="K3112" i="1"/>
  <c r="J3104" i="1"/>
  <c r="L3104" i="1"/>
  <c r="K3104" i="1"/>
  <c r="J3096" i="1"/>
  <c r="L3096" i="1"/>
  <c r="K3096" i="1"/>
  <c r="J3088" i="1"/>
  <c r="L3088" i="1"/>
  <c r="K3088" i="1"/>
  <c r="J3080" i="1"/>
  <c r="L3080" i="1"/>
  <c r="K3080" i="1"/>
  <c r="J3072" i="1"/>
  <c r="L3072" i="1"/>
  <c r="K3072" i="1"/>
  <c r="J3064" i="1"/>
  <c r="L3064" i="1"/>
  <c r="K3064" i="1"/>
  <c r="J3056" i="1"/>
  <c r="L3056" i="1"/>
  <c r="K3056" i="1"/>
  <c r="J3048" i="1"/>
  <c r="L3048" i="1"/>
  <c r="K3048" i="1"/>
  <c r="J3040" i="1"/>
  <c r="L3040" i="1"/>
  <c r="K3040" i="1"/>
  <c r="J3032" i="1"/>
  <c r="L3032" i="1"/>
  <c r="K3032" i="1"/>
  <c r="J3024" i="1"/>
  <c r="L3024" i="1"/>
  <c r="J3016" i="1"/>
  <c r="L3016" i="1"/>
  <c r="K3016" i="1"/>
  <c r="J3008" i="1"/>
  <c r="L3008" i="1"/>
  <c r="J3000" i="1"/>
  <c r="L3000" i="1"/>
  <c r="K3000" i="1"/>
  <c r="J2992" i="1"/>
  <c r="L2992" i="1"/>
  <c r="K2992" i="1"/>
  <c r="J2984" i="1"/>
  <c r="L2984" i="1"/>
  <c r="K2984" i="1"/>
  <c r="J2976" i="1"/>
  <c r="L2976" i="1"/>
  <c r="K2976" i="1"/>
  <c r="J2968" i="1"/>
  <c r="L2968" i="1"/>
  <c r="K2968" i="1"/>
  <c r="J2960" i="1"/>
  <c r="L2960" i="1"/>
  <c r="K2960" i="1"/>
  <c r="J2952" i="1"/>
  <c r="L2952" i="1"/>
  <c r="K2952" i="1"/>
  <c r="J2944" i="1"/>
  <c r="L2944" i="1"/>
  <c r="K2944" i="1"/>
  <c r="J2936" i="1"/>
  <c r="L2936" i="1"/>
  <c r="K2936" i="1"/>
  <c r="J2928" i="1"/>
  <c r="L2928" i="1"/>
  <c r="J2920" i="1"/>
  <c r="L2920" i="1"/>
  <c r="K2920" i="1"/>
  <c r="J2912" i="1"/>
  <c r="L2912" i="1"/>
  <c r="J2904" i="1"/>
  <c r="L2904" i="1"/>
  <c r="K2904" i="1"/>
  <c r="J2896" i="1"/>
  <c r="L2896" i="1"/>
  <c r="K2896" i="1"/>
  <c r="J2888" i="1"/>
  <c r="L2888" i="1"/>
  <c r="K2888" i="1"/>
  <c r="J2880" i="1"/>
  <c r="L2880" i="1"/>
  <c r="K2880" i="1"/>
  <c r="J2872" i="1"/>
  <c r="L2872" i="1"/>
  <c r="K2872" i="1"/>
  <c r="J2864" i="1"/>
  <c r="L2864" i="1"/>
  <c r="K2864" i="1"/>
  <c r="J2856" i="1"/>
  <c r="L2856" i="1"/>
  <c r="K2856" i="1"/>
  <c r="J2848" i="1"/>
  <c r="L2848" i="1"/>
  <c r="J2840" i="1"/>
  <c r="L2840" i="1"/>
  <c r="K2840" i="1"/>
  <c r="J2832" i="1"/>
  <c r="L2832" i="1"/>
  <c r="J2824" i="1"/>
  <c r="L2824" i="1"/>
  <c r="K2824" i="1"/>
  <c r="J2816" i="1"/>
  <c r="L2816" i="1"/>
  <c r="K2816" i="1"/>
  <c r="J2808" i="1"/>
  <c r="L2808" i="1"/>
  <c r="K2808" i="1"/>
  <c r="J2800" i="1"/>
  <c r="L2800" i="1"/>
  <c r="K2800" i="1"/>
  <c r="J2792" i="1"/>
  <c r="L2792" i="1"/>
  <c r="K2792" i="1"/>
  <c r="J2784" i="1"/>
  <c r="L2784" i="1"/>
  <c r="K2784" i="1"/>
  <c r="J2776" i="1"/>
  <c r="L2776" i="1"/>
  <c r="K2776" i="1"/>
  <c r="J2768" i="1"/>
  <c r="L2768" i="1"/>
  <c r="J2760" i="1"/>
  <c r="L2760" i="1"/>
  <c r="K2760" i="1"/>
  <c r="J2752" i="1"/>
  <c r="L2752" i="1"/>
  <c r="J2744" i="1"/>
  <c r="L2744" i="1"/>
  <c r="K2744" i="1"/>
  <c r="J2736" i="1"/>
  <c r="L2736" i="1"/>
  <c r="K2736" i="1"/>
  <c r="J2728" i="1"/>
  <c r="L2728" i="1"/>
  <c r="K2728" i="1"/>
  <c r="J2720" i="1"/>
  <c r="L2720" i="1"/>
  <c r="K2720" i="1"/>
  <c r="J2712" i="1"/>
  <c r="L2712" i="1"/>
  <c r="K2712" i="1"/>
  <c r="J2704" i="1"/>
  <c r="L2704" i="1"/>
  <c r="K2704" i="1"/>
  <c r="J2696" i="1"/>
  <c r="L2696" i="1"/>
  <c r="K2696" i="1"/>
  <c r="J2688" i="1"/>
  <c r="L2688" i="1"/>
  <c r="K2688" i="1"/>
  <c r="J2680" i="1"/>
  <c r="L2680" i="1"/>
  <c r="K2680" i="1"/>
  <c r="J2672" i="1"/>
  <c r="L2672" i="1"/>
  <c r="J2664" i="1"/>
  <c r="L2664" i="1"/>
  <c r="K2664" i="1"/>
  <c r="J2656" i="1"/>
  <c r="L2656" i="1"/>
  <c r="J2648" i="1"/>
  <c r="L2648" i="1"/>
  <c r="K2648" i="1"/>
  <c r="J2640" i="1"/>
  <c r="L2640" i="1"/>
  <c r="K2640" i="1"/>
  <c r="J2632" i="1"/>
  <c r="L2632" i="1"/>
  <c r="K2632" i="1"/>
  <c r="J2624" i="1"/>
  <c r="L2624" i="1"/>
  <c r="K2624" i="1"/>
  <c r="J2616" i="1"/>
  <c r="L2616" i="1"/>
  <c r="K2616" i="1"/>
  <c r="J2608" i="1"/>
  <c r="L2608" i="1"/>
  <c r="K2608" i="1"/>
  <c r="J2600" i="1"/>
  <c r="L2600" i="1"/>
  <c r="K2600" i="1"/>
  <c r="J2592" i="1"/>
  <c r="L2592" i="1"/>
  <c r="J2584" i="1"/>
  <c r="L2584" i="1"/>
  <c r="K2584" i="1"/>
  <c r="J2576" i="1"/>
  <c r="L2576" i="1"/>
  <c r="J2568" i="1"/>
  <c r="L2568" i="1"/>
  <c r="K2568" i="1"/>
  <c r="J2560" i="1"/>
  <c r="L2560" i="1"/>
  <c r="K2560" i="1"/>
  <c r="J2552" i="1"/>
  <c r="L2552" i="1"/>
  <c r="K2552" i="1"/>
  <c r="J2544" i="1"/>
  <c r="L2544" i="1"/>
  <c r="K2544" i="1"/>
  <c r="J2536" i="1"/>
  <c r="L2536" i="1"/>
  <c r="K2536" i="1"/>
  <c r="J2528" i="1"/>
  <c r="L2528" i="1"/>
  <c r="K2528" i="1"/>
  <c r="J2520" i="1"/>
  <c r="L2520" i="1"/>
  <c r="K2520" i="1"/>
  <c r="J2512" i="1"/>
  <c r="L2512" i="1"/>
  <c r="J2504" i="1"/>
  <c r="L2504" i="1"/>
  <c r="K2504" i="1"/>
  <c r="J2496" i="1"/>
  <c r="L2496" i="1"/>
  <c r="J2488" i="1"/>
  <c r="L2488" i="1"/>
  <c r="K2488" i="1"/>
  <c r="J2480" i="1"/>
  <c r="L2480" i="1"/>
  <c r="K2480" i="1"/>
  <c r="J2472" i="1"/>
  <c r="L2472" i="1"/>
  <c r="K2472" i="1"/>
  <c r="J2464" i="1"/>
  <c r="L2464" i="1"/>
  <c r="K2464" i="1"/>
  <c r="J2456" i="1"/>
  <c r="L2456" i="1"/>
  <c r="K2456" i="1"/>
  <c r="J2448" i="1"/>
  <c r="L2448" i="1"/>
  <c r="K2448" i="1"/>
  <c r="J2440" i="1"/>
  <c r="L2440" i="1"/>
  <c r="K2440" i="1"/>
  <c r="J2432" i="1"/>
  <c r="L2432" i="1"/>
  <c r="K2432" i="1"/>
  <c r="J2424" i="1"/>
  <c r="L2424" i="1"/>
  <c r="K2424" i="1"/>
  <c r="J2416" i="1"/>
  <c r="L2416" i="1"/>
  <c r="J2408" i="1"/>
  <c r="L2408" i="1"/>
  <c r="K2408" i="1"/>
  <c r="J2400" i="1"/>
  <c r="L2400" i="1"/>
  <c r="J2392" i="1"/>
  <c r="L2392" i="1"/>
  <c r="K2392" i="1"/>
  <c r="J2384" i="1"/>
  <c r="L2384" i="1"/>
  <c r="K2384" i="1"/>
  <c r="J2376" i="1"/>
  <c r="L2376" i="1"/>
  <c r="K2376" i="1"/>
  <c r="J2368" i="1"/>
  <c r="L2368" i="1"/>
  <c r="K2368" i="1"/>
  <c r="J2360" i="1"/>
  <c r="L2360" i="1"/>
  <c r="K2360" i="1"/>
  <c r="J2352" i="1"/>
  <c r="L2352" i="1"/>
  <c r="K2352" i="1"/>
  <c r="J2344" i="1"/>
  <c r="L2344" i="1"/>
  <c r="K2344" i="1"/>
  <c r="J2336" i="1"/>
  <c r="L2336" i="1"/>
  <c r="J2328" i="1"/>
  <c r="L2328" i="1"/>
  <c r="K2328" i="1"/>
  <c r="J2320" i="1"/>
  <c r="L2320" i="1"/>
  <c r="J2312" i="1"/>
  <c r="L2312" i="1"/>
  <c r="K2312" i="1"/>
  <c r="J2304" i="1"/>
  <c r="L2304" i="1"/>
  <c r="K2304" i="1"/>
  <c r="J2296" i="1"/>
  <c r="L2296" i="1"/>
  <c r="K2296" i="1"/>
  <c r="J2288" i="1"/>
  <c r="L2288" i="1"/>
  <c r="K2288" i="1"/>
  <c r="J2280" i="1"/>
  <c r="L2280" i="1"/>
  <c r="K2280" i="1"/>
  <c r="J2272" i="1"/>
  <c r="L2272" i="1"/>
  <c r="K2272" i="1"/>
  <c r="J2264" i="1"/>
  <c r="L2264" i="1"/>
  <c r="K2264" i="1"/>
  <c r="J2256" i="1"/>
  <c r="L2256" i="1"/>
  <c r="J2248" i="1"/>
  <c r="L2248" i="1"/>
  <c r="K2248" i="1"/>
  <c r="J2240" i="1"/>
  <c r="L2240" i="1"/>
  <c r="J2232" i="1"/>
  <c r="L2232" i="1"/>
  <c r="K2232" i="1"/>
  <c r="J2224" i="1"/>
  <c r="L2224" i="1"/>
  <c r="K2224" i="1"/>
  <c r="J2216" i="1"/>
  <c r="L2216" i="1"/>
  <c r="K2216" i="1"/>
  <c r="J2208" i="1"/>
  <c r="L2208" i="1"/>
  <c r="K2208" i="1"/>
  <c r="J2200" i="1"/>
  <c r="L2200" i="1"/>
  <c r="K2200" i="1"/>
  <c r="J2192" i="1"/>
  <c r="L2192" i="1"/>
  <c r="K2192" i="1"/>
  <c r="J2184" i="1"/>
  <c r="L2184" i="1"/>
  <c r="K2184" i="1"/>
  <c r="J2176" i="1"/>
  <c r="L2176" i="1"/>
  <c r="K2176" i="1"/>
  <c r="J2168" i="1"/>
  <c r="L2168" i="1"/>
  <c r="K2168" i="1"/>
  <c r="J2160" i="1"/>
  <c r="L2160" i="1"/>
  <c r="J2152" i="1"/>
  <c r="L2152" i="1"/>
  <c r="K2152" i="1"/>
  <c r="J2144" i="1"/>
  <c r="L2144" i="1"/>
  <c r="J2136" i="1"/>
  <c r="L2136" i="1"/>
  <c r="K2136" i="1"/>
  <c r="J2128" i="1"/>
  <c r="L2128" i="1"/>
  <c r="K2128" i="1"/>
  <c r="J2120" i="1"/>
  <c r="L2120" i="1"/>
  <c r="K2120" i="1"/>
  <c r="J2112" i="1"/>
  <c r="L2112" i="1"/>
  <c r="K2112" i="1"/>
  <c r="J2104" i="1"/>
  <c r="L2104" i="1"/>
  <c r="K2104" i="1"/>
  <c r="J2096" i="1"/>
  <c r="L2096" i="1"/>
  <c r="K2096" i="1"/>
  <c r="J2088" i="1"/>
  <c r="L2088" i="1"/>
  <c r="K2088" i="1"/>
  <c r="J2080" i="1"/>
  <c r="L2080" i="1"/>
  <c r="J2072" i="1"/>
  <c r="L2072" i="1"/>
  <c r="K2072" i="1"/>
  <c r="J2064" i="1"/>
  <c r="L2064" i="1"/>
  <c r="J2056" i="1"/>
  <c r="L2056" i="1"/>
  <c r="K2056" i="1"/>
  <c r="J2048" i="1"/>
  <c r="L2048" i="1"/>
  <c r="K2048" i="1"/>
  <c r="J2040" i="1"/>
  <c r="L2040" i="1"/>
  <c r="K2040" i="1"/>
  <c r="J2032" i="1"/>
  <c r="L2032" i="1"/>
  <c r="K2032" i="1"/>
  <c r="J2024" i="1"/>
  <c r="L2024" i="1"/>
  <c r="K2024" i="1"/>
  <c r="J2016" i="1"/>
  <c r="L2016" i="1"/>
  <c r="K2016" i="1"/>
  <c r="J2008" i="1"/>
  <c r="L2008" i="1"/>
  <c r="K2008" i="1"/>
  <c r="J2000" i="1"/>
  <c r="L2000" i="1"/>
  <c r="J1992" i="1"/>
  <c r="L1992" i="1"/>
  <c r="K1992" i="1"/>
  <c r="J1984" i="1"/>
  <c r="L1984" i="1"/>
  <c r="J1976" i="1"/>
  <c r="L1976" i="1"/>
  <c r="K1976" i="1"/>
  <c r="J1968" i="1"/>
  <c r="L1968" i="1"/>
  <c r="K1968" i="1"/>
  <c r="J1960" i="1"/>
  <c r="L1960" i="1"/>
  <c r="K1960" i="1"/>
  <c r="J1952" i="1"/>
  <c r="L1952" i="1"/>
  <c r="K1952" i="1"/>
  <c r="J1944" i="1"/>
  <c r="L1944" i="1"/>
  <c r="K1944" i="1"/>
  <c r="J1936" i="1"/>
  <c r="L1936" i="1"/>
  <c r="K1936" i="1"/>
  <c r="J1928" i="1"/>
  <c r="L1928" i="1"/>
  <c r="K1928" i="1"/>
  <c r="J1920" i="1"/>
  <c r="L1920" i="1"/>
  <c r="K1920" i="1"/>
  <c r="J1912" i="1"/>
  <c r="L1912" i="1"/>
  <c r="K1912" i="1"/>
  <c r="J1904" i="1"/>
  <c r="L1904" i="1"/>
  <c r="J1896" i="1"/>
  <c r="L1896" i="1"/>
  <c r="K1896" i="1"/>
  <c r="J1888" i="1"/>
  <c r="L1888" i="1"/>
  <c r="J1880" i="1"/>
  <c r="L1880" i="1"/>
  <c r="K1880" i="1"/>
  <c r="J1872" i="1"/>
  <c r="L1872" i="1"/>
  <c r="K1872" i="1"/>
  <c r="J1864" i="1"/>
  <c r="L1864" i="1"/>
  <c r="K1864" i="1"/>
  <c r="J1856" i="1"/>
  <c r="L1856" i="1"/>
  <c r="K1856" i="1"/>
  <c r="J1848" i="1"/>
  <c r="L1848" i="1"/>
  <c r="K1848" i="1"/>
  <c r="J1840" i="1"/>
  <c r="L1840" i="1"/>
  <c r="K1840" i="1"/>
  <c r="J1832" i="1"/>
  <c r="L1832" i="1"/>
  <c r="K1832" i="1"/>
  <c r="J1824" i="1"/>
  <c r="L1824" i="1"/>
  <c r="J1816" i="1"/>
  <c r="L1816" i="1"/>
  <c r="K1816" i="1"/>
  <c r="J1808" i="1"/>
  <c r="L1808" i="1"/>
  <c r="J1800" i="1"/>
  <c r="L1800" i="1"/>
  <c r="K1800" i="1"/>
  <c r="J1792" i="1"/>
  <c r="L1792" i="1"/>
  <c r="K1792" i="1"/>
  <c r="J1784" i="1"/>
  <c r="L1784" i="1"/>
  <c r="K1784" i="1"/>
  <c r="J1776" i="1"/>
  <c r="L1776" i="1"/>
  <c r="K1776" i="1"/>
  <c r="J1768" i="1"/>
  <c r="L1768" i="1"/>
  <c r="K1768" i="1"/>
  <c r="J1760" i="1"/>
  <c r="L1760" i="1"/>
  <c r="K1760" i="1"/>
  <c r="J1752" i="1"/>
  <c r="L1752" i="1"/>
  <c r="K1752" i="1"/>
  <c r="J1744" i="1"/>
  <c r="L1744" i="1"/>
  <c r="J1736" i="1"/>
  <c r="L1736" i="1"/>
  <c r="K1736" i="1"/>
  <c r="J1728" i="1"/>
  <c r="L1728" i="1"/>
  <c r="J1720" i="1"/>
  <c r="L1720" i="1"/>
  <c r="K1720" i="1"/>
  <c r="J1712" i="1"/>
  <c r="L1712" i="1"/>
  <c r="K1712" i="1"/>
  <c r="J1704" i="1"/>
  <c r="L1704" i="1"/>
  <c r="K1704" i="1"/>
  <c r="J1696" i="1"/>
  <c r="L1696" i="1"/>
  <c r="K1696" i="1"/>
  <c r="J1688" i="1"/>
  <c r="L1688" i="1"/>
  <c r="K1688" i="1"/>
  <c r="J1680" i="1"/>
  <c r="L1680" i="1"/>
  <c r="K1680" i="1"/>
  <c r="J1672" i="1"/>
  <c r="L1672" i="1"/>
  <c r="K1672" i="1"/>
  <c r="J1664" i="1"/>
  <c r="L1664" i="1"/>
  <c r="K1664" i="1"/>
  <c r="J1656" i="1"/>
  <c r="L1656" i="1"/>
  <c r="K1656" i="1"/>
  <c r="J1648" i="1"/>
  <c r="L1648" i="1"/>
  <c r="J1640" i="1"/>
  <c r="L1640" i="1"/>
  <c r="K1640" i="1"/>
  <c r="J1632" i="1"/>
  <c r="L1632" i="1"/>
  <c r="J1624" i="1"/>
  <c r="L1624" i="1"/>
  <c r="K1624" i="1"/>
  <c r="J1616" i="1"/>
  <c r="L1616" i="1"/>
  <c r="K1616" i="1"/>
  <c r="J1608" i="1"/>
  <c r="L1608" i="1"/>
  <c r="K1608" i="1"/>
  <c r="J1600" i="1"/>
  <c r="L1600" i="1"/>
  <c r="K1600" i="1"/>
  <c r="J1592" i="1"/>
  <c r="L1592" i="1"/>
  <c r="K1592" i="1"/>
  <c r="J1584" i="1"/>
  <c r="L1584" i="1"/>
  <c r="K1584" i="1"/>
  <c r="J1576" i="1"/>
  <c r="L1576" i="1"/>
  <c r="K1576" i="1"/>
  <c r="J1568" i="1"/>
  <c r="L1568" i="1"/>
  <c r="J1560" i="1"/>
  <c r="L1560" i="1"/>
  <c r="K1560" i="1"/>
  <c r="J1552" i="1"/>
  <c r="L1552" i="1"/>
  <c r="J1544" i="1"/>
  <c r="L1544" i="1"/>
  <c r="K1544" i="1"/>
  <c r="J1536" i="1"/>
  <c r="L1536" i="1"/>
  <c r="K1536" i="1"/>
  <c r="J1528" i="1"/>
  <c r="L1528" i="1"/>
  <c r="K1528" i="1"/>
  <c r="J1520" i="1"/>
  <c r="L1520" i="1"/>
  <c r="K1520" i="1"/>
  <c r="J1512" i="1"/>
  <c r="L1512" i="1"/>
  <c r="K1512" i="1"/>
  <c r="J1504" i="1"/>
  <c r="L1504" i="1"/>
  <c r="K1504" i="1"/>
  <c r="J1496" i="1"/>
  <c r="L1496" i="1"/>
  <c r="K1496" i="1"/>
  <c r="J1488" i="1"/>
  <c r="L1488" i="1"/>
  <c r="J1480" i="1"/>
  <c r="L1480" i="1"/>
  <c r="K1480" i="1"/>
  <c r="J1472" i="1"/>
  <c r="L1472" i="1"/>
  <c r="J1464" i="1"/>
  <c r="L1464" i="1"/>
  <c r="K1464" i="1"/>
  <c r="J1456" i="1"/>
  <c r="L1456" i="1"/>
  <c r="K1456" i="1"/>
  <c r="J1448" i="1"/>
  <c r="L1448" i="1"/>
  <c r="K1448" i="1"/>
  <c r="J1440" i="1"/>
  <c r="L1440" i="1"/>
  <c r="K1440" i="1"/>
  <c r="J1432" i="1"/>
  <c r="L1432" i="1"/>
  <c r="K1432" i="1"/>
  <c r="J1424" i="1"/>
  <c r="L1424" i="1"/>
  <c r="K1424" i="1"/>
  <c r="J1416" i="1"/>
  <c r="L1416" i="1"/>
  <c r="K1416" i="1"/>
  <c r="J1408" i="1"/>
  <c r="L1408" i="1"/>
  <c r="K1408" i="1"/>
  <c r="J1400" i="1"/>
  <c r="L1400" i="1"/>
  <c r="K1400" i="1"/>
  <c r="J1392" i="1"/>
  <c r="L1392" i="1"/>
  <c r="J1384" i="1"/>
  <c r="L1384" i="1"/>
  <c r="K1384" i="1"/>
  <c r="J1376" i="1"/>
  <c r="L1376" i="1"/>
  <c r="J1368" i="1"/>
  <c r="L1368" i="1"/>
  <c r="K1368" i="1"/>
  <c r="J1360" i="1"/>
  <c r="L1360" i="1"/>
  <c r="K1360" i="1"/>
  <c r="J1352" i="1"/>
  <c r="L1352" i="1"/>
  <c r="K1352" i="1"/>
  <c r="J1344" i="1"/>
  <c r="L1344" i="1"/>
  <c r="K1344" i="1"/>
  <c r="J1336" i="1"/>
  <c r="L1336" i="1"/>
  <c r="K1336" i="1"/>
  <c r="J1328" i="1"/>
  <c r="L1328" i="1"/>
  <c r="K1328" i="1"/>
  <c r="J1320" i="1"/>
  <c r="L1320" i="1"/>
  <c r="K1320" i="1"/>
  <c r="J1312" i="1"/>
  <c r="L1312" i="1"/>
  <c r="J1304" i="1"/>
  <c r="L1304" i="1"/>
  <c r="K1304" i="1"/>
  <c r="J1296" i="1"/>
  <c r="L1296" i="1"/>
  <c r="J1288" i="1"/>
  <c r="L1288" i="1"/>
  <c r="K1288" i="1"/>
  <c r="J1280" i="1"/>
  <c r="L1280" i="1"/>
  <c r="K1280" i="1"/>
  <c r="J1272" i="1"/>
  <c r="L1272" i="1"/>
  <c r="K1272" i="1"/>
  <c r="J1264" i="1"/>
  <c r="L1264" i="1"/>
  <c r="K1264" i="1"/>
  <c r="J1256" i="1"/>
  <c r="L1256" i="1"/>
  <c r="K1256" i="1"/>
  <c r="J1248" i="1"/>
  <c r="L1248" i="1"/>
  <c r="K1248" i="1"/>
  <c r="J1240" i="1"/>
  <c r="L1240" i="1"/>
  <c r="K1240" i="1"/>
  <c r="J1232" i="1"/>
  <c r="L1232" i="1"/>
  <c r="J1224" i="1"/>
  <c r="L1224" i="1"/>
  <c r="K1224" i="1"/>
  <c r="J1216" i="1"/>
  <c r="L1216" i="1"/>
  <c r="J1208" i="1"/>
  <c r="L1208" i="1"/>
  <c r="K1208" i="1"/>
  <c r="J1200" i="1"/>
  <c r="L1200" i="1"/>
  <c r="K1200" i="1"/>
  <c r="J1192" i="1"/>
  <c r="L1192" i="1"/>
  <c r="K1192" i="1"/>
  <c r="J1184" i="1"/>
  <c r="L1184" i="1"/>
  <c r="K1184" i="1"/>
  <c r="J1176" i="1"/>
  <c r="L1176" i="1"/>
  <c r="K1176" i="1"/>
  <c r="J1168" i="1"/>
  <c r="L1168" i="1"/>
  <c r="K1168" i="1"/>
  <c r="J1160" i="1"/>
  <c r="L1160" i="1"/>
  <c r="K1160" i="1"/>
  <c r="J1152" i="1"/>
  <c r="L1152" i="1"/>
  <c r="K1152" i="1"/>
  <c r="J1144" i="1"/>
  <c r="L1144" i="1"/>
  <c r="K1144" i="1"/>
  <c r="J1136" i="1"/>
  <c r="L1136" i="1"/>
  <c r="J1128" i="1"/>
  <c r="L1128" i="1"/>
  <c r="K1128" i="1"/>
  <c r="J1120" i="1"/>
  <c r="L1120" i="1"/>
  <c r="J1112" i="1"/>
  <c r="L1112" i="1"/>
  <c r="K1112" i="1"/>
  <c r="J1104" i="1"/>
  <c r="L1104" i="1"/>
  <c r="K1104" i="1"/>
  <c r="J1096" i="1"/>
  <c r="L1096" i="1"/>
  <c r="K1096" i="1"/>
  <c r="J1088" i="1"/>
  <c r="L1088" i="1"/>
  <c r="K1088" i="1"/>
  <c r="J1080" i="1"/>
  <c r="L1080" i="1"/>
  <c r="K1080" i="1"/>
  <c r="J1072" i="1"/>
  <c r="L1072" i="1"/>
  <c r="K1072" i="1"/>
  <c r="J1064" i="1"/>
  <c r="L1064" i="1"/>
  <c r="K1064" i="1"/>
  <c r="J1056" i="1"/>
  <c r="L1056" i="1"/>
  <c r="J1048" i="1"/>
  <c r="L1048" i="1"/>
  <c r="K1048" i="1"/>
  <c r="J1040" i="1"/>
  <c r="L1040" i="1"/>
  <c r="J1032" i="1"/>
  <c r="L1032" i="1"/>
  <c r="K1032" i="1"/>
  <c r="J1024" i="1"/>
  <c r="L1024" i="1"/>
  <c r="K1024" i="1"/>
  <c r="J1016" i="1"/>
  <c r="L1016" i="1"/>
  <c r="K1016" i="1"/>
  <c r="J1008" i="1"/>
  <c r="L1008" i="1"/>
  <c r="K1008" i="1"/>
  <c r="J1000" i="1"/>
  <c r="L1000" i="1"/>
  <c r="K1000" i="1"/>
  <c r="J992" i="1"/>
  <c r="L992" i="1"/>
  <c r="K992" i="1"/>
  <c r="J984" i="1"/>
  <c r="L984" i="1"/>
  <c r="K984" i="1"/>
  <c r="J976" i="1"/>
  <c r="L976" i="1"/>
  <c r="J968" i="1"/>
  <c r="L968" i="1"/>
  <c r="K968" i="1"/>
  <c r="J960" i="1"/>
  <c r="L960" i="1"/>
  <c r="J952" i="1"/>
  <c r="L952" i="1"/>
  <c r="K952" i="1"/>
  <c r="J944" i="1"/>
  <c r="L944" i="1"/>
  <c r="K944" i="1"/>
  <c r="J936" i="1"/>
  <c r="L936" i="1"/>
  <c r="K936" i="1"/>
  <c r="J928" i="1"/>
  <c r="L928" i="1"/>
  <c r="K928" i="1"/>
  <c r="J920" i="1"/>
  <c r="L920" i="1"/>
  <c r="K920" i="1"/>
  <c r="J912" i="1"/>
  <c r="L912" i="1"/>
  <c r="K912" i="1"/>
  <c r="J904" i="1"/>
  <c r="L904" i="1"/>
  <c r="K904" i="1"/>
  <c r="J896" i="1"/>
  <c r="L896" i="1"/>
  <c r="K896" i="1"/>
  <c r="J888" i="1"/>
  <c r="L888" i="1"/>
  <c r="K888" i="1"/>
  <c r="J880" i="1"/>
  <c r="L880" i="1"/>
  <c r="J872" i="1"/>
  <c r="L872" i="1"/>
  <c r="K872" i="1"/>
  <c r="J864" i="1"/>
  <c r="L864" i="1"/>
  <c r="J856" i="1"/>
  <c r="L856" i="1"/>
  <c r="K856" i="1"/>
  <c r="J848" i="1"/>
  <c r="L848" i="1"/>
  <c r="K848" i="1"/>
  <c r="J840" i="1"/>
  <c r="L840" i="1"/>
  <c r="K840" i="1"/>
  <c r="J832" i="1"/>
  <c r="L832" i="1"/>
  <c r="K832" i="1"/>
  <c r="J824" i="1"/>
  <c r="L824" i="1"/>
  <c r="K824" i="1"/>
  <c r="J816" i="1"/>
  <c r="L816" i="1"/>
  <c r="K816" i="1"/>
  <c r="J808" i="1"/>
  <c r="L808" i="1"/>
  <c r="K808" i="1"/>
  <c r="J800" i="1"/>
  <c r="L800" i="1"/>
  <c r="J792" i="1"/>
  <c r="L792" i="1"/>
  <c r="K792" i="1"/>
  <c r="J784" i="1"/>
  <c r="L784" i="1"/>
  <c r="J776" i="1"/>
  <c r="L776" i="1"/>
  <c r="K776" i="1"/>
  <c r="J768" i="1"/>
  <c r="L768" i="1"/>
  <c r="K768" i="1"/>
  <c r="J760" i="1"/>
  <c r="L760" i="1"/>
  <c r="K760" i="1"/>
  <c r="J752" i="1"/>
  <c r="L752" i="1"/>
  <c r="K752" i="1"/>
  <c r="J744" i="1"/>
  <c r="L744" i="1"/>
  <c r="K744" i="1"/>
  <c r="J736" i="1"/>
  <c r="L736" i="1"/>
  <c r="K736" i="1"/>
  <c r="J728" i="1"/>
  <c r="L728" i="1"/>
  <c r="K728" i="1"/>
  <c r="J720" i="1"/>
  <c r="L720" i="1"/>
  <c r="J712" i="1"/>
  <c r="L712" i="1"/>
  <c r="K712" i="1"/>
  <c r="J704" i="1"/>
  <c r="L704" i="1"/>
  <c r="J696" i="1"/>
  <c r="L696" i="1"/>
  <c r="K696" i="1"/>
  <c r="J688" i="1"/>
  <c r="L688" i="1"/>
  <c r="K688" i="1"/>
  <c r="J680" i="1"/>
  <c r="L680" i="1"/>
  <c r="K680" i="1"/>
  <c r="J672" i="1"/>
  <c r="L672" i="1"/>
  <c r="K672" i="1"/>
  <c r="J664" i="1"/>
  <c r="L664" i="1"/>
  <c r="K664" i="1"/>
  <c r="J656" i="1"/>
  <c r="L656" i="1"/>
  <c r="K656" i="1"/>
  <c r="J648" i="1"/>
  <c r="L648" i="1"/>
  <c r="K648" i="1"/>
  <c r="J640" i="1"/>
  <c r="L640" i="1"/>
  <c r="K640" i="1"/>
  <c r="J632" i="1"/>
  <c r="L632" i="1"/>
  <c r="K632" i="1"/>
  <c r="J624" i="1"/>
  <c r="L624" i="1"/>
  <c r="J616" i="1"/>
  <c r="L616" i="1"/>
  <c r="K616" i="1"/>
  <c r="J608" i="1"/>
  <c r="L608" i="1"/>
  <c r="J600" i="1"/>
  <c r="L600" i="1"/>
  <c r="K600" i="1"/>
  <c r="J592" i="1"/>
  <c r="L592" i="1"/>
  <c r="K592" i="1"/>
  <c r="J584" i="1"/>
  <c r="L584" i="1"/>
  <c r="K584" i="1"/>
  <c r="J576" i="1"/>
  <c r="L576" i="1"/>
  <c r="K576" i="1"/>
  <c r="J568" i="1"/>
  <c r="L568" i="1"/>
  <c r="K568" i="1"/>
  <c r="J560" i="1"/>
  <c r="L560" i="1"/>
  <c r="K560" i="1"/>
  <c r="J552" i="1"/>
  <c r="L552" i="1"/>
  <c r="K552" i="1"/>
  <c r="J544" i="1"/>
  <c r="L544" i="1"/>
  <c r="J536" i="1"/>
  <c r="L536" i="1"/>
  <c r="K536" i="1"/>
  <c r="J528" i="1"/>
  <c r="L528" i="1"/>
  <c r="J520" i="1"/>
  <c r="L520" i="1"/>
  <c r="K520" i="1"/>
  <c r="J512" i="1"/>
  <c r="L512" i="1"/>
  <c r="K512" i="1"/>
  <c r="J504" i="1"/>
  <c r="L504" i="1"/>
  <c r="K504" i="1"/>
  <c r="J496" i="1"/>
  <c r="L496" i="1"/>
  <c r="K496" i="1"/>
  <c r="J488" i="1"/>
  <c r="L488" i="1"/>
  <c r="K488" i="1"/>
  <c r="J480" i="1"/>
  <c r="L480" i="1"/>
  <c r="K480" i="1"/>
  <c r="J472" i="1"/>
  <c r="L472" i="1"/>
  <c r="K472" i="1"/>
  <c r="J464" i="1"/>
  <c r="L464" i="1"/>
  <c r="J456" i="1"/>
  <c r="L456" i="1"/>
  <c r="K456" i="1"/>
  <c r="J448" i="1"/>
  <c r="L448" i="1"/>
  <c r="J440" i="1"/>
  <c r="L440" i="1"/>
  <c r="K440" i="1"/>
  <c r="J432" i="1"/>
  <c r="L432" i="1"/>
  <c r="K432" i="1"/>
  <c r="J424" i="1"/>
  <c r="L424" i="1"/>
  <c r="K424" i="1"/>
  <c r="J416" i="1"/>
  <c r="L416" i="1"/>
  <c r="K416" i="1"/>
  <c r="J408" i="1"/>
  <c r="L408" i="1"/>
  <c r="K408" i="1"/>
  <c r="J400" i="1"/>
  <c r="L400" i="1"/>
  <c r="K400" i="1"/>
  <c r="J392" i="1"/>
  <c r="L392" i="1"/>
  <c r="K392" i="1"/>
  <c r="J384" i="1"/>
  <c r="L384" i="1"/>
  <c r="K384" i="1"/>
  <c r="J376" i="1"/>
  <c r="L376" i="1"/>
  <c r="K376" i="1"/>
  <c r="J368" i="1"/>
  <c r="L368" i="1"/>
  <c r="J360" i="1"/>
  <c r="L360" i="1"/>
  <c r="K360" i="1"/>
  <c r="J352" i="1"/>
  <c r="L352" i="1"/>
  <c r="J344" i="1"/>
  <c r="L344" i="1"/>
  <c r="K344" i="1"/>
  <c r="J336" i="1"/>
  <c r="L336" i="1"/>
  <c r="K336" i="1"/>
  <c r="J328" i="1"/>
  <c r="L328" i="1"/>
  <c r="K328" i="1"/>
  <c r="J320" i="1"/>
  <c r="L320" i="1"/>
  <c r="K320" i="1"/>
  <c r="J312" i="1"/>
  <c r="L312" i="1"/>
  <c r="K312" i="1"/>
  <c r="J304" i="1"/>
  <c r="L304" i="1"/>
  <c r="K304" i="1"/>
  <c r="J8053" i="1"/>
  <c r="J7797" i="1"/>
  <c r="J7253" i="1"/>
  <c r="J6997" i="1"/>
  <c r="J6352" i="1"/>
  <c r="J6064" i="1"/>
  <c r="J5328" i="1"/>
  <c r="J5040" i="1"/>
  <c r="J3973" i="1"/>
  <c r="K9976" i="1"/>
  <c r="K9953" i="1"/>
  <c r="K9912" i="1"/>
  <c r="K9889" i="1"/>
  <c r="K9848" i="1"/>
  <c r="K9825" i="1"/>
  <c r="K9784" i="1"/>
  <c r="K9761" i="1"/>
  <c r="K9720" i="1"/>
  <c r="K9697" i="1"/>
  <c r="K9656" i="1"/>
  <c r="K9633" i="1"/>
  <c r="K9592" i="1"/>
  <c r="K9569" i="1"/>
  <c r="K9528" i="1"/>
  <c r="K9505" i="1"/>
  <c r="K9464" i="1"/>
  <c r="K9441" i="1"/>
  <c r="K9400" i="1"/>
  <c r="K9377" i="1"/>
  <c r="K9336" i="1"/>
  <c r="K9313" i="1"/>
  <c r="K9272" i="1"/>
  <c r="K9249" i="1"/>
  <c r="K9208" i="1"/>
  <c r="K9185" i="1"/>
  <c r="K9144" i="1"/>
  <c r="K9121" i="1"/>
  <c r="K9080" i="1"/>
  <c r="K9057" i="1"/>
  <c r="K9016" i="1"/>
  <c r="K8993" i="1"/>
  <c r="K8952" i="1"/>
  <c r="K8929" i="1"/>
  <c r="K8888" i="1"/>
  <c r="K8865" i="1"/>
  <c r="K8824" i="1"/>
  <c r="K8801" i="1"/>
  <c r="K8760" i="1"/>
  <c r="K8737" i="1"/>
  <c r="K8696" i="1"/>
  <c r="K8673" i="1"/>
  <c r="K8632" i="1"/>
  <c r="K8609" i="1"/>
  <c r="K8568" i="1"/>
  <c r="K8545" i="1"/>
  <c r="K8504" i="1"/>
  <c r="K8481" i="1"/>
  <c r="K8440" i="1"/>
  <c r="K8417" i="1"/>
  <c r="K8376" i="1"/>
  <c r="K8353" i="1"/>
  <c r="K8312" i="1"/>
  <c r="K8289" i="1"/>
  <c r="K8248" i="1"/>
  <c r="K8225" i="1"/>
  <c r="K8184" i="1"/>
  <c r="K8161" i="1"/>
  <c r="K8120" i="1"/>
  <c r="K8097" i="1"/>
  <c r="K8056" i="1"/>
  <c r="K8033" i="1"/>
  <c r="K7992" i="1"/>
  <c r="K7969" i="1"/>
  <c r="K7928" i="1"/>
  <c r="K7905" i="1"/>
  <c r="K7864" i="1"/>
  <c r="K7841" i="1"/>
  <c r="K7800" i="1"/>
  <c r="K7777" i="1"/>
  <c r="K7736" i="1"/>
  <c r="K7713" i="1"/>
  <c r="K7672" i="1"/>
  <c r="K7649" i="1"/>
  <c r="K7608" i="1"/>
  <c r="K7585" i="1"/>
  <c r="K7544" i="1"/>
  <c r="K7521" i="1"/>
  <c r="K7480" i="1"/>
  <c r="K7457" i="1"/>
  <c r="K7416" i="1"/>
  <c r="K7393" i="1"/>
  <c r="K7352" i="1"/>
  <c r="K7325" i="1"/>
  <c r="K7301" i="1"/>
  <c r="K7066" i="1"/>
  <c r="K7018" i="1"/>
  <c r="K6786" i="1"/>
  <c r="K6554" i="1"/>
  <c r="K6506" i="1"/>
  <c r="K6274" i="1"/>
  <c r="K6042" i="1"/>
  <c r="K5994" i="1"/>
  <c r="K5762" i="1"/>
  <c r="K5530" i="1"/>
  <c r="K5482" i="1"/>
  <c r="K5250" i="1"/>
  <c r="K5018" i="1"/>
  <c r="K4970" i="1"/>
  <c r="K4738" i="1"/>
  <c r="K4506" i="1"/>
  <c r="K4458" i="1"/>
  <c r="K4335" i="1"/>
  <c r="K4226" i="1"/>
  <c r="K4055" i="1"/>
  <c r="K3994" i="1"/>
  <c r="K3946" i="1"/>
  <c r="K3823" i="1"/>
  <c r="K3775" i="1"/>
  <c r="K3714" i="1"/>
  <c r="K3482" i="1"/>
  <c r="K3434" i="1"/>
  <c r="K3242" i="1"/>
  <c r="K3081" i="1"/>
  <c r="K2848" i="1"/>
  <c r="K2656" i="1"/>
  <c r="K2416" i="1"/>
  <c r="K2169" i="1"/>
  <c r="K1977" i="1"/>
  <c r="K1728" i="1"/>
  <c r="K1488" i="1"/>
  <c r="K1296" i="1"/>
  <c r="K1049" i="1"/>
  <c r="K800" i="1"/>
  <c r="K608" i="1"/>
  <c r="K368" i="1"/>
  <c r="L8245" i="1"/>
  <c r="I8223" i="1"/>
  <c r="L8223" i="1"/>
  <c r="I8207" i="1"/>
  <c r="L8207" i="1"/>
  <c r="J8191" i="1"/>
  <c r="L8191" i="1"/>
  <c r="J8175" i="1"/>
  <c r="L8175" i="1"/>
  <c r="I8159" i="1"/>
  <c r="L8159" i="1"/>
  <c r="I8143" i="1"/>
  <c r="L8143" i="1"/>
  <c r="J8135" i="1"/>
  <c r="L8135" i="1"/>
  <c r="I8095" i="1"/>
  <c r="L8095" i="1"/>
  <c r="J8087" i="1"/>
  <c r="L8087" i="1"/>
  <c r="I8079" i="1"/>
  <c r="L8079" i="1"/>
  <c r="J8071" i="1"/>
  <c r="L8071" i="1"/>
  <c r="J8055" i="1"/>
  <c r="L8055" i="1"/>
  <c r="J8039" i="1"/>
  <c r="L8039" i="1"/>
  <c r="I8031" i="1"/>
  <c r="L8031" i="1"/>
  <c r="J8023" i="1"/>
  <c r="L8023" i="1"/>
  <c r="I8015" i="1"/>
  <c r="L8015" i="1"/>
  <c r="J8007" i="1"/>
  <c r="L8007" i="1"/>
  <c r="J7991" i="1"/>
  <c r="L7991" i="1"/>
  <c r="J7975" i="1"/>
  <c r="L7975" i="1"/>
  <c r="I7967" i="1"/>
  <c r="L7967" i="1"/>
  <c r="J7959" i="1"/>
  <c r="L7959" i="1"/>
  <c r="I7951" i="1"/>
  <c r="L7951" i="1"/>
  <c r="J7943" i="1"/>
  <c r="L7943" i="1"/>
  <c r="J7935" i="1"/>
  <c r="L7935" i="1"/>
  <c r="J7927" i="1"/>
  <c r="L7927" i="1"/>
  <c r="J7919" i="1"/>
  <c r="L7919" i="1"/>
  <c r="I7903" i="1"/>
  <c r="L7903" i="1"/>
  <c r="J7887" i="1"/>
  <c r="L7887" i="1"/>
  <c r="J7871" i="1"/>
  <c r="L7871" i="1"/>
  <c r="J7855" i="1"/>
  <c r="L7855" i="1"/>
  <c r="E7847" i="1"/>
  <c r="L7847" i="1"/>
  <c r="E7839" i="1"/>
  <c r="L7839" i="1"/>
  <c r="E7831" i="1"/>
  <c r="L7831" i="1"/>
  <c r="E7823" i="1"/>
  <c r="L7823" i="1"/>
  <c r="E7815" i="1"/>
  <c r="L7815" i="1"/>
  <c r="E7807" i="1"/>
  <c r="L7807" i="1"/>
  <c r="J7799" i="1"/>
  <c r="L7799" i="1"/>
  <c r="E7791" i="1"/>
  <c r="L7791" i="1"/>
  <c r="E7783" i="1"/>
  <c r="L7783" i="1"/>
  <c r="E7775" i="1"/>
  <c r="L7775" i="1"/>
  <c r="E7767" i="1"/>
  <c r="L7767" i="1"/>
  <c r="E7759" i="1"/>
  <c r="L7759" i="1"/>
  <c r="E7743" i="1"/>
  <c r="L7743" i="1"/>
  <c r="E7727" i="1"/>
  <c r="L7727" i="1"/>
  <c r="E7719" i="1"/>
  <c r="L7719" i="1"/>
  <c r="E7703" i="1"/>
  <c r="L7703" i="1"/>
  <c r="E7695" i="1"/>
  <c r="L7695" i="1"/>
  <c r="E7687" i="1"/>
  <c r="L7687" i="1"/>
  <c r="E7679" i="1"/>
  <c r="L7679" i="1"/>
  <c r="E7671" i="1"/>
  <c r="L7671" i="1"/>
  <c r="E7663" i="1"/>
  <c r="L7663" i="1"/>
  <c r="E7655" i="1"/>
  <c r="L7655" i="1"/>
  <c r="E7647" i="1"/>
  <c r="L7647" i="1"/>
  <c r="E7639" i="1"/>
  <c r="L7639" i="1"/>
  <c r="E7631" i="1"/>
  <c r="L7631" i="1"/>
  <c r="E7623" i="1"/>
  <c r="L7623" i="1"/>
  <c r="E7615" i="1"/>
  <c r="L7615" i="1"/>
  <c r="E7607" i="1"/>
  <c r="L7607" i="1"/>
  <c r="E7599" i="1"/>
  <c r="L7599" i="1"/>
  <c r="E7591" i="1"/>
  <c r="L7591" i="1"/>
  <c r="E7583" i="1"/>
  <c r="L7583" i="1"/>
  <c r="E7575" i="1"/>
  <c r="L7575" i="1"/>
  <c r="E7567" i="1"/>
  <c r="L7567" i="1"/>
  <c r="E7559" i="1"/>
  <c r="L7559" i="1"/>
  <c r="E7551" i="1"/>
  <c r="L7551" i="1"/>
  <c r="E7543" i="1"/>
  <c r="L7543" i="1"/>
  <c r="E7535" i="1"/>
  <c r="L7535" i="1"/>
  <c r="E7527" i="1"/>
  <c r="L7527" i="1"/>
  <c r="E7519" i="1"/>
  <c r="L7519" i="1"/>
  <c r="E7511" i="1"/>
  <c r="L7511" i="1"/>
  <c r="E7503" i="1"/>
  <c r="L7503" i="1"/>
  <c r="E7495" i="1"/>
  <c r="L7495" i="1"/>
  <c r="E7487" i="1"/>
  <c r="L7487" i="1"/>
  <c r="E7479" i="1"/>
  <c r="L7479" i="1"/>
  <c r="E7471" i="1"/>
  <c r="L7471" i="1"/>
  <c r="E7463" i="1"/>
  <c r="L7463" i="1"/>
  <c r="E7455" i="1"/>
  <c r="L7455" i="1"/>
  <c r="E7447" i="1"/>
  <c r="L7447" i="1"/>
  <c r="J7439" i="1"/>
  <c r="L7439" i="1"/>
  <c r="E7431" i="1"/>
  <c r="L7431" i="1"/>
  <c r="E7423" i="1"/>
  <c r="L7423" i="1"/>
  <c r="E7415" i="1"/>
  <c r="L7415" i="1"/>
  <c r="E7407" i="1"/>
  <c r="L7407" i="1"/>
  <c r="E7399" i="1"/>
  <c r="L7399" i="1"/>
  <c r="E7391" i="1"/>
  <c r="L7391" i="1"/>
  <c r="E7383" i="1"/>
  <c r="L7383" i="1"/>
  <c r="E7375" i="1"/>
  <c r="L7375" i="1"/>
  <c r="E7367" i="1"/>
  <c r="L7367" i="1"/>
  <c r="E7359" i="1"/>
  <c r="L7359" i="1"/>
  <c r="E7351" i="1"/>
  <c r="L7351" i="1"/>
  <c r="E7343" i="1"/>
  <c r="L7343" i="1"/>
  <c r="E7335" i="1"/>
  <c r="L7335" i="1"/>
  <c r="E7327" i="1"/>
  <c r="L7327" i="1"/>
  <c r="K7327" i="1"/>
  <c r="E7319" i="1"/>
  <c r="L7319" i="1"/>
  <c r="K7319" i="1"/>
  <c r="E7311" i="1"/>
  <c r="L7311" i="1"/>
  <c r="J7303" i="1"/>
  <c r="L7303" i="1"/>
  <c r="J7295" i="1"/>
  <c r="L7295" i="1"/>
  <c r="K7295" i="1"/>
  <c r="E7287" i="1"/>
  <c r="L7287" i="1"/>
  <c r="K7287" i="1"/>
  <c r="J7279" i="1"/>
  <c r="L7279" i="1"/>
  <c r="E7271" i="1"/>
  <c r="L7271" i="1"/>
  <c r="J7263" i="1"/>
  <c r="L7263" i="1"/>
  <c r="K7263" i="1"/>
  <c r="E7255" i="1"/>
  <c r="L7255" i="1"/>
  <c r="K7255" i="1"/>
  <c r="E7247" i="1"/>
  <c r="L7247" i="1"/>
  <c r="J7239" i="1"/>
  <c r="L7239" i="1"/>
  <c r="K7239" i="1"/>
  <c r="E7231" i="1"/>
  <c r="L7231" i="1"/>
  <c r="L7223" i="1"/>
  <c r="K7223" i="1"/>
  <c r="E7215" i="1"/>
  <c r="L7215" i="1"/>
  <c r="L7207" i="1"/>
  <c r="K7207" i="1"/>
  <c r="E7199" i="1"/>
  <c r="L7199" i="1"/>
  <c r="K7199" i="1"/>
  <c r="J7191" i="1"/>
  <c r="L7191" i="1"/>
  <c r="E7183" i="1"/>
  <c r="L7183" i="1"/>
  <c r="K7183" i="1"/>
  <c r="J7175" i="1"/>
  <c r="L7175" i="1"/>
  <c r="K7175" i="1"/>
  <c r="E7167" i="1"/>
  <c r="L7167" i="1"/>
  <c r="L7159" i="1"/>
  <c r="K7159" i="1"/>
  <c r="E7151" i="1"/>
  <c r="L7151" i="1"/>
  <c r="J7143" i="1"/>
  <c r="L7143" i="1"/>
  <c r="K7143" i="1"/>
  <c r="J7135" i="1"/>
  <c r="L7135" i="1"/>
  <c r="K7135" i="1"/>
  <c r="E7127" i="1"/>
  <c r="L7127" i="1"/>
  <c r="J7119" i="1"/>
  <c r="L7119" i="1"/>
  <c r="K7119" i="1"/>
  <c r="E7111" i="1"/>
  <c r="L7111" i="1"/>
  <c r="K7111" i="1"/>
  <c r="J7103" i="1"/>
  <c r="L7103" i="1"/>
  <c r="E7095" i="1"/>
  <c r="L7095" i="1"/>
  <c r="K7095" i="1"/>
  <c r="J7087" i="1"/>
  <c r="L7087" i="1"/>
  <c r="E7079" i="1"/>
  <c r="L7079" i="1"/>
  <c r="K7079" i="1"/>
  <c r="J7071" i="1"/>
  <c r="L7071" i="1"/>
  <c r="K7071" i="1"/>
  <c r="E7063" i="1"/>
  <c r="L7063" i="1"/>
  <c r="E7055" i="1"/>
  <c r="L7055" i="1"/>
  <c r="K7055" i="1"/>
  <c r="E7047" i="1"/>
  <c r="L7047" i="1"/>
  <c r="K7047" i="1"/>
  <c r="E7039" i="1"/>
  <c r="L7039" i="1"/>
  <c r="L7031" i="1"/>
  <c r="K7031" i="1"/>
  <c r="E7023" i="1"/>
  <c r="L7023" i="1"/>
  <c r="L7015" i="1"/>
  <c r="K7015" i="1"/>
  <c r="E7007" i="1"/>
  <c r="L7007" i="1"/>
  <c r="K7007" i="1"/>
  <c r="E6999" i="1"/>
  <c r="L6999" i="1"/>
  <c r="J6991" i="1"/>
  <c r="L6991" i="1"/>
  <c r="K6991" i="1"/>
  <c r="E6983" i="1"/>
  <c r="L6983" i="1"/>
  <c r="K6983" i="1"/>
  <c r="E6975" i="1"/>
  <c r="L6975" i="1"/>
  <c r="E6967" i="1"/>
  <c r="L6967" i="1"/>
  <c r="K6967" i="1"/>
  <c r="E6959" i="1"/>
  <c r="L6959" i="1"/>
  <c r="E6951" i="1"/>
  <c r="L6951" i="1"/>
  <c r="K6951" i="1"/>
  <c r="E6943" i="1"/>
  <c r="L6943" i="1"/>
  <c r="K6943" i="1"/>
  <c r="E6935" i="1"/>
  <c r="L6935" i="1"/>
  <c r="E6927" i="1"/>
  <c r="L6927" i="1"/>
  <c r="K6927" i="1"/>
  <c r="E6919" i="1"/>
  <c r="L6919" i="1"/>
  <c r="K6919" i="1"/>
  <c r="E6911" i="1"/>
  <c r="L6911" i="1"/>
  <c r="J6903" i="1"/>
  <c r="L6903" i="1"/>
  <c r="K6903" i="1"/>
  <c r="E6895" i="1"/>
  <c r="L6895" i="1"/>
  <c r="E6887" i="1"/>
  <c r="L6887" i="1"/>
  <c r="K6887" i="1"/>
  <c r="E6879" i="1"/>
  <c r="L6879" i="1"/>
  <c r="K6879" i="1"/>
  <c r="E6871" i="1"/>
  <c r="L6871" i="1"/>
  <c r="E6863" i="1"/>
  <c r="L6863" i="1"/>
  <c r="K6863" i="1"/>
  <c r="E6855" i="1"/>
  <c r="L6855" i="1"/>
  <c r="K6855" i="1"/>
  <c r="E6847" i="1"/>
  <c r="L6847" i="1"/>
  <c r="E6839" i="1"/>
  <c r="L6839" i="1"/>
  <c r="K6839" i="1"/>
  <c r="E6831" i="1"/>
  <c r="L6831" i="1"/>
  <c r="E6823" i="1"/>
  <c r="L6823" i="1"/>
  <c r="K6823" i="1"/>
  <c r="E6815" i="1"/>
  <c r="L6815" i="1"/>
  <c r="K6815" i="1"/>
  <c r="E6807" i="1"/>
  <c r="L6807" i="1"/>
  <c r="E6799" i="1"/>
  <c r="L6799" i="1"/>
  <c r="K6799" i="1"/>
  <c r="E6791" i="1"/>
  <c r="L6791" i="1"/>
  <c r="K6791" i="1"/>
  <c r="E6783" i="1"/>
  <c r="L6783" i="1"/>
  <c r="E6775" i="1"/>
  <c r="L6775" i="1"/>
  <c r="K6775" i="1"/>
  <c r="E6767" i="1"/>
  <c r="L6767" i="1"/>
  <c r="E6759" i="1"/>
  <c r="L6759" i="1"/>
  <c r="K6759" i="1"/>
  <c r="E6751" i="1"/>
  <c r="L6751" i="1"/>
  <c r="K6751" i="1"/>
  <c r="J6743" i="1"/>
  <c r="L6743" i="1"/>
  <c r="E6735" i="1"/>
  <c r="L6735" i="1"/>
  <c r="K6735" i="1"/>
  <c r="J6727" i="1"/>
  <c r="L6727" i="1"/>
  <c r="K6727" i="1"/>
  <c r="J6719" i="1"/>
  <c r="L6719" i="1"/>
  <c r="E6711" i="1"/>
  <c r="L6711" i="1"/>
  <c r="K6711" i="1"/>
  <c r="L6703" i="1"/>
  <c r="J6703" i="1"/>
  <c r="E6695" i="1"/>
  <c r="L6695" i="1"/>
  <c r="K6695" i="1"/>
  <c r="E6687" i="1"/>
  <c r="L6687" i="1"/>
  <c r="K6687" i="1"/>
  <c r="J6679" i="1"/>
  <c r="L6679" i="1"/>
  <c r="L6671" i="1"/>
  <c r="J6671" i="1"/>
  <c r="K6671" i="1"/>
  <c r="E6663" i="1"/>
  <c r="L6663" i="1"/>
  <c r="K6663" i="1"/>
  <c r="E6655" i="1"/>
  <c r="L6655" i="1"/>
  <c r="E6647" i="1"/>
  <c r="L6647" i="1"/>
  <c r="K6647" i="1"/>
  <c r="E6639" i="1"/>
  <c r="L6639" i="1"/>
  <c r="J6639" i="1"/>
  <c r="E6631" i="1"/>
  <c r="L6631" i="1"/>
  <c r="K6631" i="1"/>
  <c r="J6623" i="1"/>
  <c r="L6623" i="1"/>
  <c r="K6623" i="1"/>
  <c r="E6615" i="1"/>
  <c r="L6615" i="1"/>
  <c r="E6607" i="1"/>
  <c r="L6607" i="1"/>
  <c r="K6607" i="1"/>
  <c r="E6599" i="1"/>
  <c r="L6599" i="1"/>
  <c r="K6599" i="1"/>
  <c r="E6591" i="1"/>
  <c r="L6591" i="1"/>
  <c r="E6583" i="1"/>
  <c r="L6583" i="1"/>
  <c r="K6583" i="1"/>
  <c r="E6575" i="1"/>
  <c r="L6575" i="1"/>
  <c r="J6575" i="1"/>
  <c r="E6567" i="1"/>
  <c r="L6567" i="1"/>
  <c r="K6567" i="1"/>
  <c r="E6559" i="1"/>
  <c r="L6559" i="1"/>
  <c r="K6559" i="1"/>
  <c r="E6551" i="1"/>
  <c r="L6551" i="1"/>
  <c r="E6543" i="1"/>
  <c r="L6543" i="1"/>
  <c r="J6543" i="1"/>
  <c r="K6543" i="1"/>
  <c r="J6535" i="1"/>
  <c r="L6535" i="1"/>
  <c r="K6535" i="1"/>
  <c r="E6527" i="1"/>
  <c r="L6527" i="1"/>
  <c r="E6519" i="1"/>
  <c r="L6519" i="1"/>
  <c r="K6519" i="1"/>
  <c r="L6511" i="1"/>
  <c r="J6511" i="1"/>
  <c r="E6503" i="1"/>
  <c r="L6503" i="1"/>
  <c r="K6503" i="1"/>
  <c r="E6495" i="1"/>
  <c r="L6495" i="1"/>
  <c r="K6495" i="1"/>
  <c r="J6487" i="1"/>
  <c r="L6487" i="1"/>
  <c r="E6479" i="1"/>
  <c r="L6479" i="1"/>
  <c r="K6479" i="1"/>
  <c r="E6471" i="1"/>
  <c r="L6471" i="1"/>
  <c r="K6471" i="1"/>
  <c r="E6463" i="1"/>
  <c r="L6463" i="1"/>
  <c r="J6455" i="1"/>
  <c r="L6455" i="1"/>
  <c r="K6455" i="1"/>
  <c r="L6447" i="1"/>
  <c r="J6447" i="1"/>
  <c r="E6439" i="1"/>
  <c r="L6439" i="1"/>
  <c r="K6439" i="1"/>
  <c r="J6431" i="1"/>
  <c r="L6431" i="1"/>
  <c r="K6431" i="1"/>
  <c r="E6423" i="1"/>
  <c r="L6423" i="1"/>
  <c r="E6415" i="1"/>
  <c r="L6415" i="1"/>
  <c r="J6415" i="1"/>
  <c r="K6415" i="1"/>
  <c r="J6407" i="1"/>
  <c r="L6407" i="1"/>
  <c r="K6407" i="1"/>
  <c r="J6399" i="1"/>
  <c r="L6399" i="1"/>
  <c r="E6391" i="1"/>
  <c r="L6391" i="1"/>
  <c r="K6391" i="1"/>
  <c r="E6383" i="1"/>
  <c r="L6383" i="1"/>
  <c r="J6383" i="1"/>
  <c r="E6375" i="1"/>
  <c r="L6375" i="1"/>
  <c r="K6375" i="1"/>
  <c r="E6367" i="1"/>
  <c r="L6367" i="1"/>
  <c r="K6367" i="1"/>
  <c r="J6359" i="1"/>
  <c r="L6359" i="1"/>
  <c r="E6351" i="1"/>
  <c r="L6351" i="1"/>
  <c r="K6351" i="1"/>
  <c r="J6343" i="1"/>
  <c r="L6343" i="1"/>
  <c r="K6343" i="1"/>
  <c r="E6335" i="1"/>
  <c r="L6335" i="1"/>
  <c r="E6327" i="1"/>
  <c r="L6327" i="1"/>
  <c r="K6327" i="1"/>
  <c r="L6319" i="1"/>
  <c r="J6319" i="1"/>
  <c r="E6311" i="1"/>
  <c r="L6311" i="1"/>
  <c r="K6311" i="1"/>
  <c r="J6303" i="1"/>
  <c r="L6303" i="1"/>
  <c r="K6303" i="1"/>
  <c r="E6295" i="1"/>
  <c r="L6295" i="1"/>
  <c r="E6287" i="1"/>
  <c r="L6287" i="1"/>
  <c r="J6287" i="1"/>
  <c r="K6287" i="1"/>
  <c r="E6279" i="1"/>
  <c r="L6279" i="1"/>
  <c r="K6279" i="1"/>
  <c r="J6271" i="1"/>
  <c r="L6271" i="1"/>
  <c r="E6263" i="1"/>
  <c r="L6263" i="1"/>
  <c r="K6263" i="1"/>
  <c r="E6255" i="1"/>
  <c r="L6255" i="1"/>
  <c r="J6255" i="1"/>
  <c r="J6247" i="1"/>
  <c r="L6247" i="1"/>
  <c r="K6247" i="1"/>
  <c r="E6239" i="1"/>
  <c r="L6239" i="1"/>
  <c r="K6239" i="1"/>
  <c r="J6231" i="1"/>
  <c r="L6231" i="1"/>
  <c r="E6223" i="1"/>
  <c r="L6223" i="1"/>
  <c r="K6223" i="1"/>
  <c r="E6215" i="1"/>
  <c r="L6215" i="1"/>
  <c r="K6215" i="1"/>
  <c r="E6207" i="1"/>
  <c r="L6207" i="1"/>
  <c r="E6199" i="1"/>
  <c r="L6199" i="1"/>
  <c r="K6199" i="1"/>
  <c r="E6191" i="1"/>
  <c r="L6191" i="1"/>
  <c r="J6191" i="1"/>
  <c r="E6183" i="1"/>
  <c r="L6183" i="1"/>
  <c r="K6183" i="1"/>
  <c r="E6175" i="1"/>
  <c r="L6175" i="1"/>
  <c r="K6175" i="1"/>
  <c r="E6167" i="1"/>
  <c r="L6167" i="1"/>
  <c r="E6159" i="1"/>
  <c r="L6159" i="1"/>
  <c r="J6159" i="1"/>
  <c r="K6159" i="1"/>
  <c r="E6151" i="1"/>
  <c r="L6151" i="1"/>
  <c r="K6151" i="1"/>
  <c r="J6143" i="1"/>
  <c r="L6143" i="1"/>
  <c r="E6135" i="1"/>
  <c r="L6135" i="1"/>
  <c r="K6135" i="1"/>
  <c r="E6127" i="1"/>
  <c r="L6127" i="1"/>
  <c r="J6127" i="1"/>
  <c r="E6119" i="1"/>
  <c r="L6119" i="1"/>
  <c r="K6119" i="1"/>
  <c r="E6111" i="1"/>
  <c r="L6111" i="1"/>
  <c r="K6111" i="1"/>
  <c r="E6103" i="1"/>
  <c r="L6103" i="1"/>
  <c r="L6095" i="1"/>
  <c r="K6095" i="1"/>
  <c r="E6087" i="1"/>
  <c r="L6087" i="1"/>
  <c r="K6087" i="1"/>
  <c r="E6079" i="1"/>
  <c r="L6079" i="1"/>
  <c r="E6071" i="1"/>
  <c r="L6071" i="1"/>
  <c r="K6071" i="1"/>
  <c r="E6063" i="1"/>
  <c r="L6063" i="1"/>
  <c r="J6063" i="1"/>
  <c r="J6055" i="1"/>
  <c r="L6055" i="1"/>
  <c r="K6055" i="1"/>
  <c r="E6047" i="1"/>
  <c r="L6047" i="1"/>
  <c r="K6047" i="1"/>
  <c r="E6039" i="1"/>
  <c r="L6039" i="1"/>
  <c r="E6031" i="1"/>
  <c r="L6031" i="1"/>
  <c r="J6031" i="1"/>
  <c r="K6031" i="1"/>
  <c r="J6023" i="1"/>
  <c r="L6023" i="1"/>
  <c r="K6023" i="1"/>
  <c r="J6015" i="1"/>
  <c r="L6015" i="1"/>
  <c r="E6007" i="1"/>
  <c r="L6007" i="1"/>
  <c r="K6007" i="1"/>
  <c r="E5999" i="1"/>
  <c r="L5999" i="1"/>
  <c r="J5999" i="1"/>
  <c r="E5991" i="1"/>
  <c r="L5991" i="1"/>
  <c r="K5991" i="1"/>
  <c r="E5983" i="1"/>
  <c r="L5983" i="1"/>
  <c r="K5983" i="1"/>
  <c r="J5975" i="1"/>
  <c r="L5975" i="1"/>
  <c r="E5967" i="1"/>
  <c r="L5967" i="1"/>
  <c r="K5967" i="1"/>
  <c r="J5959" i="1"/>
  <c r="L5959" i="1"/>
  <c r="K5959" i="1"/>
  <c r="E5951" i="1"/>
  <c r="L5951" i="1"/>
  <c r="J5943" i="1"/>
  <c r="L5943" i="1"/>
  <c r="K5943" i="1"/>
  <c r="L5935" i="1"/>
  <c r="J5935" i="1"/>
  <c r="E5927" i="1"/>
  <c r="L5927" i="1"/>
  <c r="K5927" i="1"/>
  <c r="J5919" i="1"/>
  <c r="L5919" i="1"/>
  <c r="K5919" i="1"/>
  <c r="E5911" i="1"/>
  <c r="L5911" i="1"/>
  <c r="E5903" i="1"/>
  <c r="L5903" i="1"/>
  <c r="J5903" i="1"/>
  <c r="K5903" i="1"/>
  <c r="E5895" i="1"/>
  <c r="L5895" i="1"/>
  <c r="K5895" i="1"/>
  <c r="E5887" i="1"/>
  <c r="L5887" i="1"/>
  <c r="J5879" i="1"/>
  <c r="L5879" i="1"/>
  <c r="K5879" i="1"/>
  <c r="E5871" i="1"/>
  <c r="L5871" i="1"/>
  <c r="J5871" i="1"/>
  <c r="E5863" i="1"/>
  <c r="L5863" i="1"/>
  <c r="K5863" i="1"/>
  <c r="E5855" i="1"/>
  <c r="L5855" i="1"/>
  <c r="K5855" i="1"/>
  <c r="E5847" i="1"/>
  <c r="L5847" i="1"/>
  <c r="E5839" i="1"/>
  <c r="L5839" i="1"/>
  <c r="K5839" i="1"/>
  <c r="J5831" i="1"/>
  <c r="L5831" i="1"/>
  <c r="K5831" i="1"/>
  <c r="E5823" i="1"/>
  <c r="L5823" i="1"/>
  <c r="J5815" i="1"/>
  <c r="L5815" i="1"/>
  <c r="K5815" i="1"/>
  <c r="E5807" i="1"/>
  <c r="L5807" i="1"/>
  <c r="J5807" i="1"/>
  <c r="E5799" i="1"/>
  <c r="L5799" i="1"/>
  <c r="K5799" i="1"/>
  <c r="E5791" i="1"/>
  <c r="L5791" i="1"/>
  <c r="K5791" i="1"/>
  <c r="J5783" i="1"/>
  <c r="L5783" i="1"/>
  <c r="E5775" i="1"/>
  <c r="L5775" i="1"/>
  <c r="J5775" i="1"/>
  <c r="K5775" i="1"/>
  <c r="J5767" i="1"/>
  <c r="L5767" i="1"/>
  <c r="K5767" i="1"/>
  <c r="J5759" i="1"/>
  <c r="L5759" i="1"/>
  <c r="E5751" i="1"/>
  <c r="L5751" i="1"/>
  <c r="K5751" i="1"/>
  <c r="E5743" i="1"/>
  <c r="L5743" i="1"/>
  <c r="J5743" i="1"/>
  <c r="J5735" i="1"/>
  <c r="L5735" i="1"/>
  <c r="K5735" i="1"/>
  <c r="E5727" i="1"/>
  <c r="L5727" i="1"/>
  <c r="K5727" i="1"/>
  <c r="J5719" i="1"/>
  <c r="L5719" i="1"/>
  <c r="E5711" i="1"/>
  <c r="L5711" i="1"/>
  <c r="K5711" i="1"/>
  <c r="J5703" i="1"/>
  <c r="L5703" i="1"/>
  <c r="K5703" i="1"/>
  <c r="J5695" i="1"/>
  <c r="L5695" i="1"/>
  <c r="E5687" i="1"/>
  <c r="L5687" i="1"/>
  <c r="K5687" i="1"/>
  <c r="E5679" i="1"/>
  <c r="L5679" i="1"/>
  <c r="J5679" i="1"/>
  <c r="E5671" i="1"/>
  <c r="L5671" i="1"/>
  <c r="K5671" i="1"/>
  <c r="J5663" i="1"/>
  <c r="L5663" i="1"/>
  <c r="K5663" i="1"/>
  <c r="E5655" i="1"/>
  <c r="L5655" i="1"/>
  <c r="E5647" i="1"/>
  <c r="L5647" i="1"/>
  <c r="J5647" i="1"/>
  <c r="K5647" i="1"/>
  <c r="J5639" i="1"/>
  <c r="L5639" i="1"/>
  <c r="K5639" i="1"/>
  <c r="E5631" i="1"/>
  <c r="L5631" i="1"/>
  <c r="J5623" i="1"/>
  <c r="L5623" i="1"/>
  <c r="K5623" i="1"/>
  <c r="L5615" i="1"/>
  <c r="J5615" i="1"/>
  <c r="E5607" i="1"/>
  <c r="L5607" i="1"/>
  <c r="K5607" i="1"/>
  <c r="E5599" i="1"/>
  <c r="L5599" i="1"/>
  <c r="K5599" i="1"/>
  <c r="E5591" i="1"/>
  <c r="L5591" i="1"/>
  <c r="E5583" i="1"/>
  <c r="L5583" i="1"/>
  <c r="K5583" i="1"/>
  <c r="J5575" i="1"/>
  <c r="L5575" i="1"/>
  <c r="K5575" i="1"/>
  <c r="E5567" i="1"/>
  <c r="L5567" i="1"/>
  <c r="E5559" i="1"/>
  <c r="L5559" i="1"/>
  <c r="K5559" i="1"/>
  <c r="E5551" i="1"/>
  <c r="L5551" i="1"/>
  <c r="J5551" i="1"/>
  <c r="E5543" i="1"/>
  <c r="L5543" i="1"/>
  <c r="K5543" i="1"/>
  <c r="E5535" i="1"/>
  <c r="L5535" i="1"/>
  <c r="K5535" i="1"/>
  <c r="E5527" i="1"/>
  <c r="L5527" i="1"/>
  <c r="E5519" i="1"/>
  <c r="L5519" i="1"/>
  <c r="J5519" i="1"/>
  <c r="K5519" i="1"/>
  <c r="E5511" i="1"/>
  <c r="L5511" i="1"/>
  <c r="K5511" i="1"/>
  <c r="E5503" i="1"/>
  <c r="L5503" i="1"/>
  <c r="E5495" i="1"/>
  <c r="L5495" i="1"/>
  <c r="K5495" i="1"/>
  <c r="L5487" i="1"/>
  <c r="J5487" i="1"/>
  <c r="E5479" i="1"/>
  <c r="L5479" i="1"/>
  <c r="K5479" i="1"/>
  <c r="E5471" i="1"/>
  <c r="L5471" i="1"/>
  <c r="K5471" i="1"/>
  <c r="J5463" i="1"/>
  <c r="L5463" i="1"/>
  <c r="E5455" i="1"/>
  <c r="L5455" i="1"/>
  <c r="K5455" i="1"/>
  <c r="E5447" i="1"/>
  <c r="L5447" i="1"/>
  <c r="K5447" i="1"/>
  <c r="E5439" i="1"/>
  <c r="L5439" i="1"/>
  <c r="E5431" i="1"/>
  <c r="L5431" i="1"/>
  <c r="K5431" i="1"/>
  <c r="L5423" i="1"/>
  <c r="J5423" i="1"/>
  <c r="E5415" i="1"/>
  <c r="L5415" i="1"/>
  <c r="K5415" i="1"/>
  <c r="E5407" i="1"/>
  <c r="L5407" i="1"/>
  <c r="K5407" i="1"/>
  <c r="E5399" i="1"/>
  <c r="L5399" i="1"/>
  <c r="L5391" i="1"/>
  <c r="J5391" i="1"/>
  <c r="K5391" i="1"/>
  <c r="E5383" i="1"/>
  <c r="L5383" i="1"/>
  <c r="K5383" i="1"/>
  <c r="E5375" i="1"/>
  <c r="L5375" i="1"/>
  <c r="E5367" i="1"/>
  <c r="L5367" i="1"/>
  <c r="K5367" i="1"/>
  <c r="E5359" i="1"/>
  <c r="L5359" i="1"/>
  <c r="J5359" i="1"/>
  <c r="J5351" i="1"/>
  <c r="L5351" i="1"/>
  <c r="K5351" i="1"/>
  <c r="E5343" i="1"/>
  <c r="K5343" i="1"/>
  <c r="E5335" i="1"/>
  <c r="L5335" i="1"/>
  <c r="E5327" i="1"/>
  <c r="L5327" i="1"/>
  <c r="K5327" i="1"/>
  <c r="E5319" i="1"/>
  <c r="L5319" i="1"/>
  <c r="K5319" i="1"/>
  <c r="E5311" i="1"/>
  <c r="L5311" i="1"/>
  <c r="J5303" i="1"/>
  <c r="L5303" i="1"/>
  <c r="K5303" i="1"/>
  <c r="E5295" i="1"/>
  <c r="L5295" i="1"/>
  <c r="J5295" i="1"/>
  <c r="J5287" i="1"/>
  <c r="L5287" i="1"/>
  <c r="K5287" i="1"/>
  <c r="J5279" i="1"/>
  <c r="L5279" i="1"/>
  <c r="K5279" i="1"/>
  <c r="E5271" i="1"/>
  <c r="L5271" i="1"/>
  <c r="E5263" i="1"/>
  <c r="L5263" i="1"/>
  <c r="J5263" i="1"/>
  <c r="K5263" i="1"/>
  <c r="J5255" i="1"/>
  <c r="L5255" i="1"/>
  <c r="K5255" i="1"/>
  <c r="E5247" i="1"/>
  <c r="L5247" i="1"/>
  <c r="J5239" i="1"/>
  <c r="L5239" i="1"/>
  <c r="K5239" i="1"/>
  <c r="L5231" i="1"/>
  <c r="J5231" i="1"/>
  <c r="E5223" i="1"/>
  <c r="L5223" i="1"/>
  <c r="K5223" i="1"/>
  <c r="E5215" i="1"/>
  <c r="L5215" i="1"/>
  <c r="K5215" i="1"/>
  <c r="E5207" i="1"/>
  <c r="L5207" i="1"/>
  <c r="L5199" i="1"/>
  <c r="K5199" i="1"/>
  <c r="J5191" i="1"/>
  <c r="L5191" i="1"/>
  <c r="K5191" i="1"/>
  <c r="E5183" i="1"/>
  <c r="L5183" i="1"/>
  <c r="E5175" i="1"/>
  <c r="L5175" i="1"/>
  <c r="K5175" i="1"/>
  <c r="E5167" i="1"/>
  <c r="L5167" i="1"/>
  <c r="J5167" i="1"/>
  <c r="J5159" i="1"/>
  <c r="L5159" i="1"/>
  <c r="K5159" i="1"/>
  <c r="E5151" i="1"/>
  <c r="K5151" i="1"/>
  <c r="L5151" i="1"/>
  <c r="E5143" i="1"/>
  <c r="L5143" i="1"/>
  <c r="L5135" i="1"/>
  <c r="J5135" i="1"/>
  <c r="K5135" i="1"/>
  <c r="E5127" i="1"/>
  <c r="L5127" i="1"/>
  <c r="K5127" i="1"/>
  <c r="E5119" i="1"/>
  <c r="L5119" i="1"/>
  <c r="E5111" i="1"/>
  <c r="L5111" i="1"/>
  <c r="K5111" i="1"/>
  <c r="E5103" i="1"/>
  <c r="L5103" i="1"/>
  <c r="J5103" i="1"/>
  <c r="E5095" i="1"/>
  <c r="L5095" i="1"/>
  <c r="K5095" i="1"/>
  <c r="E5087" i="1"/>
  <c r="L5087" i="1"/>
  <c r="K5087" i="1"/>
  <c r="E5079" i="1"/>
  <c r="L5079" i="1"/>
  <c r="L5071" i="1"/>
  <c r="K5071" i="1"/>
  <c r="E5063" i="1"/>
  <c r="L5063" i="1"/>
  <c r="K5063" i="1"/>
  <c r="E5055" i="1"/>
  <c r="L5055" i="1"/>
  <c r="E5047" i="1"/>
  <c r="L5047" i="1"/>
  <c r="K5047" i="1"/>
  <c r="E5039" i="1"/>
  <c r="L5039" i="1"/>
  <c r="J5039" i="1"/>
  <c r="J5031" i="1"/>
  <c r="L5031" i="1"/>
  <c r="K5031" i="1"/>
  <c r="E5023" i="1"/>
  <c r="L5023" i="1"/>
  <c r="K5023" i="1"/>
  <c r="E5015" i="1"/>
  <c r="L5015" i="1"/>
  <c r="E5007" i="1"/>
  <c r="L5007" i="1"/>
  <c r="J5007" i="1"/>
  <c r="K5007" i="1"/>
  <c r="J4999" i="1"/>
  <c r="L4999" i="1"/>
  <c r="K4999" i="1"/>
  <c r="J4991" i="1"/>
  <c r="L4991" i="1"/>
  <c r="E4983" i="1"/>
  <c r="L4983" i="1"/>
  <c r="K4983" i="1"/>
  <c r="E4975" i="1"/>
  <c r="L4975" i="1"/>
  <c r="J4975" i="1"/>
  <c r="E4967" i="1"/>
  <c r="L4967" i="1"/>
  <c r="K4967" i="1"/>
  <c r="J4959" i="1"/>
  <c r="L4959" i="1"/>
  <c r="K4959" i="1"/>
  <c r="E4951" i="1"/>
  <c r="L4951" i="1"/>
  <c r="E4943" i="1"/>
  <c r="L4943" i="1"/>
  <c r="K4943" i="1"/>
  <c r="J4935" i="1"/>
  <c r="L4935" i="1"/>
  <c r="K4935" i="1"/>
  <c r="E4927" i="1"/>
  <c r="L4927" i="1"/>
  <c r="J4919" i="1"/>
  <c r="L4919" i="1"/>
  <c r="K4919" i="1"/>
  <c r="E4911" i="1"/>
  <c r="L4911" i="1"/>
  <c r="J4911" i="1"/>
  <c r="E4903" i="1"/>
  <c r="L4903" i="1"/>
  <c r="K4903" i="1"/>
  <c r="E4895" i="1"/>
  <c r="L4895" i="1"/>
  <c r="K4895" i="1"/>
  <c r="J4887" i="1"/>
  <c r="L4887" i="1"/>
  <c r="E4879" i="1"/>
  <c r="L4879" i="1"/>
  <c r="J4879" i="1"/>
  <c r="K4879" i="1"/>
  <c r="E4871" i="1"/>
  <c r="L4871" i="1"/>
  <c r="K4871" i="1"/>
  <c r="E4863" i="1"/>
  <c r="L4863" i="1"/>
  <c r="E4855" i="1"/>
  <c r="L4855" i="1"/>
  <c r="K4855" i="1"/>
  <c r="L4847" i="1"/>
  <c r="J4847" i="1"/>
  <c r="E4839" i="1"/>
  <c r="L4839" i="1"/>
  <c r="K4839" i="1"/>
  <c r="E4831" i="1"/>
  <c r="L4831" i="1"/>
  <c r="K4831" i="1"/>
  <c r="E4823" i="1"/>
  <c r="L4823" i="1"/>
  <c r="E4815" i="1"/>
  <c r="L4815" i="1"/>
  <c r="K4815" i="1"/>
  <c r="J4807" i="1"/>
  <c r="L4807" i="1"/>
  <c r="K4807" i="1"/>
  <c r="E4799" i="1"/>
  <c r="L4799" i="1"/>
  <c r="E4791" i="1"/>
  <c r="L4791" i="1"/>
  <c r="K4791" i="1"/>
  <c r="E4783" i="1"/>
  <c r="L4783" i="1"/>
  <c r="J4783" i="1"/>
  <c r="J4775" i="1"/>
  <c r="L4775" i="1"/>
  <c r="K4775" i="1"/>
  <c r="J4767" i="1"/>
  <c r="L4767" i="1"/>
  <c r="K4767" i="1"/>
  <c r="E4759" i="1"/>
  <c r="L4759" i="1"/>
  <c r="E4751" i="1"/>
  <c r="L4751" i="1"/>
  <c r="J4751" i="1"/>
  <c r="K4751" i="1"/>
  <c r="E4743" i="1"/>
  <c r="L4743" i="1"/>
  <c r="K4743" i="1"/>
  <c r="J4735" i="1"/>
  <c r="L4735" i="1"/>
  <c r="E4727" i="1"/>
  <c r="L4727" i="1"/>
  <c r="K4727" i="1"/>
  <c r="E4719" i="1"/>
  <c r="L4719" i="1"/>
  <c r="J4719" i="1"/>
  <c r="J4711" i="1"/>
  <c r="L4711" i="1"/>
  <c r="K4711" i="1"/>
  <c r="E4703" i="1"/>
  <c r="L4703" i="1"/>
  <c r="K4703" i="1"/>
  <c r="J4695" i="1"/>
  <c r="L4695" i="1"/>
  <c r="L4687" i="1"/>
  <c r="K4687" i="1"/>
  <c r="E4679" i="1"/>
  <c r="L4679" i="1"/>
  <c r="K4679" i="1"/>
  <c r="E4671" i="1"/>
  <c r="L4671" i="1"/>
  <c r="E4663" i="1"/>
  <c r="L4663" i="1"/>
  <c r="K4663" i="1"/>
  <c r="L4655" i="1"/>
  <c r="J4655" i="1"/>
  <c r="E4647" i="1"/>
  <c r="L4647" i="1"/>
  <c r="K4647" i="1"/>
  <c r="E4639" i="1"/>
  <c r="L4639" i="1"/>
  <c r="K4639" i="1"/>
  <c r="E4631" i="1"/>
  <c r="L4631" i="1"/>
  <c r="E4623" i="1"/>
  <c r="L4623" i="1"/>
  <c r="J4623" i="1"/>
  <c r="K4623" i="1"/>
  <c r="J4615" i="1"/>
  <c r="L4615" i="1"/>
  <c r="K4615" i="1"/>
  <c r="E4607" i="1"/>
  <c r="L4607" i="1"/>
  <c r="E4599" i="1"/>
  <c r="L4599" i="1"/>
  <c r="K4599" i="1"/>
  <c r="L4591" i="1"/>
  <c r="J4591" i="1"/>
  <c r="E4583" i="1"/>
  <c r="L4583" i="1"/>
  <c r="K4583" i="1"/>
  <c r="E4575" i="1"/>
  <c r="L4575" i="1"/>
  <c r="K4575" i="1"/>
  <c r="E4567" i="1"/>
  <c r="L4567" i="1"/>
  <c r="E4559" i="1"/>
  <c r="L4559" i="1"/>
  <c r="K4559" i="1"/>
  <c r="J4551" i="1"/>
  <c r="L4551" i="1"/>
  <c r="K4551" i="1"/>
  <c r="E4543" i="1"/>
  <c r="L4543" i="1"/>
  <c r="J4535" i="1"/>
  <c r="L4535" i="1"/>
  <c r="K4535" i="1"/>
  <c r="E4527" i="1"/>
  <c r="L4527" i="1"/>
  <c r="J4527" i="1"/>
  <c r="J4519" i="1"/>
  <c r="L4519" i="1"/>
  <c r="K4519" i="1"/>
  <c r="J4511" i="1"/>
  <c r="L4511" i="1"/>
  <c r="K4511" i="1"/>
  <c r="E4503" i="1"/>
  <c r="L4503" i="1"/>
  <c r="L4495" i="1"/>
  <c r="J4495" i="1"/>
  <c r="K4495" i="1"/>
  <c r="E4487" i="1"/>
  <c r="L4487" i="1"/>
  <c r="K4487" i="1"/>
  <c r="J4479" i="1"/>
  <c r="L4479" i="1"/>
  <c r="E4471" i="1"/>
  <c r="L4471" i="1"/>
  <c r="K4471" i="1"/>
  <c r="L4455" i="1"/>
  <c r="K4455" i="1"/>
  <c r="L4447" i="1"/>
  <c r="K4447" i="1"/>
  <c r="J4431" i="1"/>
  <c r="L4431" i="1"/>
  <c r="K4431" i="1"/>
  <c r="L4423" i="1"/>
  <c r="K4423" i="1"/>
  <c r="L4407" i="1"/>
  <c r="K4407" i="1"/>
  <c r="J4391" i="1"/>
  <c r="L4391" i="1"/>
  <c r="K4391" i="1"/>
  <c r="L4383" i="1"/>
  <c r="K4383" i="1"/>
  <c r="J4375" i="1"/>
  <c r="L4375" i="1"/>
  <c r="L4367" i="1"/>
  <c r="K4367" i="1"/>
  <c r="J4359" i="1"/>
  <c r="L4359" i="1"/>
  <c r="K4359" i="1"/>
  <c r="J4351" i="1"/>
  <c r="L4351" i="1"/>
  <c r="L4343" i="1"/>
  <c r="K4343" i="1"/>
  <c r="J4327" i="1"/>
  <c r="L4327" i="1"/>
  <c r="K4327" i="1"/>
  <c r="L4319" i="1"/>
  <c r="K4319" i="1"/>
  <c r="J4303" i="1"/>
  <c r="L4303" i="1"/>
  <c r="K4303" i="1"/>
  <c r="L4295" i="1"/>
  <c r="K4295" i="1"/>
  <c r="J4287" i="1"/>
  <c r="L4287" i="1"/>
  <c r="L4279" i="1"/>
  <c r="K4279" i="1"/>
  <c r="L4263" i="1"/>
  <c r="K4263" i="1"/>
  <c r="L4255" i="1"/>
  <c r="K4255" i="1"/>
  <c r="L4239" i="1"/>
  <c r="K4239" i="1"/>
  <c r="J4231" i="1"/>
  <c r="L4231" i="1"/>
  <c r="K4231" i="1"/>
  <c r="L4215" i="1"/>
  <c r="K4215" i="1"/>
  <c r="L4199" i="1"/>
  <c r="K4199" i="1"/>
  <c r="J4191" i="1"/>
  <c r="L4191" i="1"/>
  <c r="K4191" i="1"/>
  <c r="L4175" i="1"/>
  <c r="K4175" i="1"/>
  <c r="J4167" i="1"/>
  <c r="L4167" i="1"/>
  <c r="K4167" i="1"/>
  <c r="J4151" i="1"/>
  <c r="L4151" i="1"/>
  <c r="K4151" i="1"/>
  <c r="J4135" i="1"/>
  <c r="L4135" i="1"/>
  <c r="K4135" i="1"/>
  <c r="L4127" i="1"/>
  <c r="K4127" i="1"/>
  <c r="J4111" i="1"/>
  <c r="L4111" i="1"/>
  <c r="K4111" i="1"/>
  <c r="L4103" i="1"/>
  <c r="K4103" i="1"/>
  <c r="J4095" i="1"/>
  <c r="L4095" i="1"/>
  <c r="L4087" i="1"/>
  <c r="K4087" i="1"/>
  <c r="L4071" i="1"/>
  <c r="K4071" i="1"/>
  <c r="L4063" i="1"/>
  <c r="K4063" i="1"/>
  <c r="L4047" i="1"/>
  <c r="K4047" i="1"/>
  <c r="L4039" i="1"/>
  <c r="K4039" i="1"/>
  <c r="J4031" i="1"/>
  <c r="L4031" i="1"/>
  <c r="L4023" i="1"/>
  <c r="K4023" i="1"/>
  <c r="L4007" i="1"/>
  <c r="K4007" i="1"/>
  <c r="J3999" i="1"/>
  <c r="L3999" i="1"/>
  <c r="K3999" i="1"/>
  <c r="J3991" i="1"/>
  <c r="L3991" i="1"/>
  <c r="J3983" i="1"/>
  <c r="L3983" i="1"/>
  <c r="K3983" i="1"/>
  <c r="J3975" i="1"/>
  <c r="L3975" i="1"/>
  <c r="K3975" i="1"/>
  <c r="J3959" i="1"/>
  <c r="L3959" i="1"/>
  <c r="K3959" i="1"/>
  <c r="J3951" i="1"/>
  <c r="L3951" i="1"/>
  <c r="L3943" i="1"/>
  <c r="K3943" i="1"/>
  <c r="J3935" i="1"/>
  <c r="L3935" i="1"/>
  <c r="K3935" i="1"/>
  <c r="J3927" i="1"/>
  <c r="L3927" i="1"/>
  <c r="J3919" i="1"/>
  <c r="L3919" i="1"/>
  <c r="K3919" i="1"/>
  <c r="L3911" i="1"/>
  <c r="K3911" i="1"/>
  <c r="J3903" i="1"/>
  <c r="L3903" i="1"/>
  <c r="L3895" i="1"/>
  <c r="K3895" i="1"/>
  <c r="J3887" i="1"/>
  <c r="L3887" i="1"/>
  <c r="J3879" i="1"/>
  <c r="L3879" i="1"/>
  <c r="K3879" i="1"/>
  <c r="L3871" i="1"/>
  <c r="K3871" i="1"/>
  <c r="J3863" i="1"/>
  <c r="L3863" i="1"/>
  <c r="J3855" i="1"/>
  <c r="L3855" i="1"/>
  <c r="K3855" i="1"/>
  <c r="J3847" i="1"/>
  <c r="L3847" i="1"/>
  <c r="K3847" i="1"/>
  <c r="J3831" i="1"/>
  <c r="L3831" i="1"/>
  <c r="K3831" i="1"/>
  <c r="L3815" i="1"/>
  <c r="K3815" i="1"/>
  <c r="L3807" i="1"/>
  <c r="K3807" i="1"/>
  <c r="J3799" i="1"/>
  <c r="L3799" i="1"/>
  <c r="L3791" i="1"/>
  <c r="K3791" i="1"/>
  <c r="J3783" i="1"/>
  <c r="L3783" i="1"/>
  <c r="K3783" i="1"/>
  <c r="J3767" i="1"/>
  <c r="L3767" i="1"/>
  <c r="K3767" i="1"/>
  <c r="J3751" i="1"/>
  <c r="L3751" i="1"/>
  <c r="K3751" i="1"/>
  <c r="L3743" i="1"/>
  <c r="K3743" i="1"/>
  <c r="J3735" i="1"/>
  <c r="L3735" i="1"/>
  <c r="L3727" i="1"/>
  <c r="K3727" i="1"/>
  <c r="J3719" i="1"/>
  <c r="L3719" i="1"/>
  <c r="K3719" i="1"/>
  <c r="J3703" i="1"/>
  <c r="L3703" i="1"/>
  <c r="K3703" i="1"/>
  <c r="J3687" i="1"/>
  <c r="L3687" i="1"/>
  <c r="K3687" i="1"/>
  <c r="L3679" i="1"/>
  <c r="K3679" i="1"/>
  <c r="J3671" i="1"/>
  <c r="L3671" i="1"/>
  <c r="J3663" i="1"/>
  <c r="L3663" i="1"/>
  <c r="K3663" i="1"/>
  <c r="J3655" i="1"/>
  <c r="L3655" i="1"/>
  <c r="K3655" i="1"/>
  <c r="J3639" i="1"/>
  <c r="L3639" i="1"/>
  <c r="K3639" i="1"/>
  <c r="L3623" i="1"/>
  <c r="K3623" i="1"/>
  <c r="J3615" i="1"/>
  <c r="L3615" i="1"/>
  <c r="K3615" i="1"/>
  <c r="J3599" i="1"/>
  <c r="L3599" i="1"/>
  <c r="K3599" i="1"/>
  <c r="J3591" i="1"/>
  <c r="L3591" i="1"/>
  <c r="K3591" i="1"/>
  <c r="J3583" i="1"/>
  <c r="L3583" i="1"/>
  <c r="J3575" i="1"/>
  <c r="L3575" i="1"/>
  <c r="K3575" i="1"/>
  <c r="J3559" i="1"/>
  <c r="L3559" i="1"/>
  <c r="K3559" i="1"/>
  <c r="L3551" i="1"/>
  <c r="K3551" i="1"/>
  <c r="J3543" i="1"/>
  <c r="L3543" i="1"/>
  <c r="L3535" i="1"/>
  <c r="K3535" i="1"/>
  <c r="J3527" i="1"/>
  <c r="L3527" i="1"/>
  <c r="K3527" i="1"/>
  <c r="J3511" i="1"/>
  <c r="L3511" i="1"/>
  <c r="K3511" i="1"/>
  <c r="J3495" i="1"/>
  <c r="L3495" i="1"/>
  <c r="K3495" i="1"/>
  <c r="L3487" i="1"/>
  <c r="K3487" i="1"/>
  <c r="J3479" i="1"/>
  <c r="L3479" i="1"/>
  <c r="L3471" i="1"/>
  <c r="K3471" i="1"/>
  <c r="J3463" i="1"/>
  <c r="L3463" i="1"/>
  <c r="K3463" i="1"/>
  <c r="L3447" i="1"/>
  <c r="K3447" i="1"/>
  <c r="J3439" i="1"/>
  <c r="L3439" i="1"/>
  <c r="L3431" i="1"/>
  <c r="K3431" i="1"/>
  <c r="J3423" i="1"/>
  <c r="L3423" i="1"/>
  <c r="K3423" i="1"/>
  <c r="J3407" i="1"/>
  <c r="L3407" i="1"/>
  <c r="K3407" i="1"/>
  <c r="L3399" i="1"/>
  <c r="K3399" i="1"/>
  <c r="J3391" i="1"/>
  <c r="L3391" i="1"/>
  <c r="L3383" i="1"/>
  <c r="K3383" i="1"/>
  <c r="J3375" i="1"/>
  <c r="L3375" i="1"/>
  <c r="L3367" i="1"/>
  <c r="K3367" i="1"/>
  <c r="J3359" i="1"/>
  <c r="L3359" i="1"/>
  <c r="K3359" i="1"/>
  <c r="J3343" i="1"/>
  <c r="L3343" i="1"/>
  <c r="K3343" i="1"/>
  <c r="L3335" i="1"/>
  <c r="K3335" i="1"/>
  <c r="J3327" i="1"/>
  <c r="L3327" i="1"/>
  <c r="L3319" i="1"/>
  <c r="K3319" i="1"/>
  <c r="J3311" i="1"/>
  <c r="L3311" i="1"/>
  <c r="L3303" i="1"/>
  <c r="K3303" i="1"/>
  <c r="L3295" i="1"/>
  <c r="K3295" i="1"/>
  <c r="J3287" i="1"/>
  <c r="L3287" i="1"/>
  <c r="L3279" i="1"/>
  <c r="K3279" i="1"/>
  <c r="J3271" i="1"/>
  <c r="L3271" i="1"/>
  <c r="K3271" i="1"/>
  <c r="L3263" i="1"/>
  <c r="K3263" i="1"/>
  <c r="J3255" i="1"/>
  <c r="L3255" i="1"/>
  <c r="K3255" i="1"/>
  <c r="L3247" i="1"/>
  <c r="K3247" i="1"/>
  <c r="J3239" i="1"/>
  <c r="L3239" i="1"/>
  <c r="K3239" i="1"/>
  <c r="L3231" i="1"/>
  <c r="K3231" i="1"/>
  <c r="J3223" i="1"/>
  <c r="L3223" i="1"/>
  <c r="K3223" i="1"/>
  <c r="L3215" i="1"/>
  <c r="K3215" i="1"/>
  <c r="J3207" i="1"/>
  <c r="L3207" i="1"/>
  <c r="K3207" i="1"/>
  <c r="J3199" i="1"/>
  <c r="L3199" i="1"/>
  <c r="K3199" i="1"/>
  <c r="L3191" i="1"/>
  <c r="K3191" i="1"/>
  <c r="J3183" i="1"/>
  <c r="L3183" i="1"/>
  <c r="K3183" i="1"/>
  <c r="L3175" i="1"/>
  <c r="K3175" i="1"/>
  <c r="J3167" i="1"/>
  <c r="L3167" i="1"/>
  <c r="K3167" i="1"/>
  <c r="L3159" i="1"/>
  <c r="K3159" i="1"/>
  <c r="J3151" i="1"/>
  <c r="L3151" i="1"/>
  <c r="K3151" i="1"/>
  <c r="L3143" i="1"/>
  <c r="K3143" i="1"/>
  <c r="J3135" i="1"/>
  <c r="L3135" i="1"/>
  <c r="K3135" i="1"/>
  <c r="L3127" i="1"/>
  <c r="K3127" i="1"/>
  <c r="J3119" i="1"/>
  <c r="L3119" i="1"/>
  <c r="K3119" i="1"/>
  <c r="L3111" i="1"/>
  <c r="K3111" i="1"/>
  <c r="J3103" i="1"/>
  <c r="L3103" i="1"/>
  <c r="K3103" i="1"/>
  <c r="J3095" i="1"/>
  <c r="L3095" i="1"/>
  <c r="K3095" i="1"/>
  <c r="L3087" i="1"/>
  <c r="K3087" i="1"/>
  <c r="J3079" i="1"/>
  <c r="L3079" i="1"/>
  <c r="K3079" i="1"/>
  <c r="L3071" i="1"/>
  <c r="K3071" i="1"/>
  <c r="J3063" i="1"/>
  <c r="L3063" i="1"/>
  <c r="K3063" i="1"/>
  <c r="L3055" i="1"/>
  <c r="K3055" i="1"/>
  <c r="J3047" i="1"/>
  <c r="L3047" i="1"/>
  <c r="K3047" i="1"/>
  <c r="L3039" i="1"/>
  <c r="K3039" i="1"/>
  <c r="J3031" i="1"/>
  <c r="L3031" i="1"/>
  <c r="K3031" i="1"/>
  <c r="L3023" i="1"/>
  <c r="K3023" i="1"/>
  <c r="J3015" i="1"/>
  <c r="L3015" i="1"/>
  <c r="K3015" i="1"/>
  <c r="L3007" i="1"/>
  <c r="K3007" i="1"/>
  <c r="L2999" i="1"/>
  <c r="K2999" i="1"/>
  <c r="J2991" i="1"/>
  <c r="L2991" i="1"/>
  <c r="K2991" i="1"/>
  <c r="L2983" i="1"/>
  <c r="K2983" i="1"/>
  <c r="J2975" i="1"/>
  <c r="L2975" i="1"/>
  <c r="K2975" i="1"/>
  <c r="L2967" i="1"/>
  <c r="K2967" i="1"/>
  <c r="J2959" i="1"/>
  <c r="L2959" i="1"/>
  <c r="K2959" i="1"/>
  <c r="L2951" i="1"/>
  <c r="K2951" i="1"/>
  <c r="J2943" i="1"/>
  <c r="L2943" i="1"/>
  <c r="K2943" i="1"/>
  <c r="L2935" i="1"/>
  <c r="K2935" i="1"/>
  <c r="J2927" i="1"/>
  <c r="L2927" i="1"/>
  <c r="K2927" i="1"/>
  <c r="J2919" i="1"/>
  <c r="L2919" i="1"/>
  <c r="K2919" i="1"/>
  <c r="L2911" i="1"/>
  <c r="K2911" i="1"/>
  <c r="J2903" i="1"/>
  <c r="L2903" i="1"/>
  <c r="K2903" i="1"/>
  <c r="L2895" i="1"/>
  <c r="K2895" i="1"/>
  <c r="J2887" i="1"/>
  <c r="L2887" i="1"/>
  <c r="K2887" i="1"/>
  <c r="L2879" i="1"/>
  <c r="K2879" i="1"/>
  <c r="J2871" i="1"/>
  <c r="L2871" i="1"/>
  <c r="K2871" i="1"/>
  <c r="L2863" i="1"/>
  <c r="K2863" i="1"/>
  <c r="J2855" i="1"/>
  <c r="L2855" i="1"/>
  <c r="K2855" i="1"/>
  <c r="J2847" i="1"/>
  <c r="L2847" i="1"/>
  <c r="K2847" i="1"/>
  <c r="J2839" i="1"/>
  <c r="L2839" i="1"/>
  <c r="K2839" i="1"/>
  <c r="J2831" i="1"/>
  <c r="L2831" i="1"/>
  <c r="K2831" i="1"/>
  <c r="J2823" i="1"/>
  <c r="L2823" i="1"/>
  <c r="K2823" i="1"/>
  <c r="J2815" i="1"/>
  <c r="L2815" i="1"/>
  <c r="K2815" i="1"/>
  <c r="J2807" i="1"/>
  <c r="L2807" i="1"/>
  <c r="K2807" i="1"/>
  <c r="J2799" i="1"/>
  <c r="L2799" i="1"/>
  <c r="K2799" i="1"/>
  <c r="J2791" i="1"/>
  <c r="L2791" i="1"/>
  <c r="K2791" i="1"/>
  <c r="J2783" i="1"/>
  <c r="L2783" i="1"/>
  <c r="K2783" i="1"/>
  <c r="J2775" i="1"/>
  <c r="L2775" i="1"/>
  <c r="K2775" i="1"/>
  <c r="J2767" i="1"/>
  <c r="L2767" i="1"/>
  <c r="K2767" i="1"/>
  <c r="J2759" i="1"/>
  <c r="L2759" i="1"/>
  <c r="K2759" i="1"/>
  <c r="J2751" i="1"/>
  <c r="L2751" i="1"/>
  <c r="K2751" i="1"/>
  <c r="J2743" i="1"/>
  <c r="L2743" i="1"/>
  <c r="K2743" i="1"/>
  <c r="J2735" i="1"/>
  <c r="L2735" i="1"/>
  <c r="K2735" i="1"/>
  <c r="J2727" i="1"/>
  <c r="L2727" i="1"/>
  <c r="K2727" i="1"/>
  <c r="J2719" i="1"/>
  <c r="L2719" i="1"/>
  <c r="K2719" i="1"/>
  <c r="J2711" i="1"/>
  <c r="L2711" i="1"/>
  <c r="K2711" i="1"/>
  <c r="J2703" i="1"/>
  <c r="L2703" i="1"/>
  <c r="K2703" i="1"/>
  <c r="J2695" i="1"/>
  <c r="L2695" i="1"/>
  <c r="K2695" i="1"/>
  <c r="J2687" i="1"/>
  <c r="L2687" i="1"/>
  <c r="K2687" i="1"/>
  <c r="J2679" i="1"/>
  <c r="L2679" i="1"/>
  <c r="K2679" i="1"/>
  <c r="J2671" i="1"/>
  <c r="L2671" i="1"/>
  <c r="K2671" i="1"/>
  <c r="J2663" i="1"/>
  <c r="L2663" i="1"/>
  <c r="K2663" i="1"/>
  <c r="J2655" i="1"/>
  <c r="L2655" i="1"/>
  <c r="K2655" i="1"/>
  <c r="J2647" i="1"/>
  <c r="L2647" i="1"/>
  <c r="K2647" i="1"/>
  <c r="J2639" i="1"/>
  <c r="L2639" i="1"/>
  <c r="K2639" i="1"/>
  <c r="J2631" i="1"/>
  <c r="L2631" i="1"/>
  <c r="K2631" i="1"/>
  <c r="J2623" i="1"/>
  <c r="L2623" i="1"/>
  <c r="K2623" i="1"/>
  <c r="J2615" i="1"/>
  <c r="L2615" i="1"/>
  <c r="K2615" i="1"/>
  <c r="J2607" i="1"/>
  <c r="L2607" i="1"/>
  <c r="K2607" i="1"/>
  <c r="J2599" i="1"/>
  <c r="L2599" i="1"/>
  <c r="K2599" i="1"/>
  <c r="J2591" i="1"/>
  <c r="L2591" i="1"/>
  <c r="K2591" i="1"/>
  <c r="J2583" i="1"/>
  <c r="L2583" i="1"/>
  <c r="K2583" i="1"/>
  <c r="J2575" i="1"/>
  <c r="L2575" i="1"/>
  <c r="K2575" i="1"/>
  <c r="J2567" i="1"/>
  <c r="L2567" i="1"/>
  <c r="K2567" i="1"/>
  <c r="J2559" i="1"/>
  <c r="L2559" i="1"/>
  <c r="K2559" i="1"/>
  <c r="J2551" i="1"/>
  <c r="L2551" i="1"/>
  <c r="K2551" i="1"/>
  <c r="J2543" i="1"/>
  <c r="L2543" i="1"/>
  <c r="K2543" i="1"/>
  <c r="J2535" i="1"/>
  <c r="L2535" i="1"/>
  <c r="K2535" i="1"/>
  <c r="J2527" i="1"/>
  <c r="L2527" i="1"/>
  <c r="K2527" i="1"/>
  <c r="J2519" i="1"/>
  <c r="L2519" i="1"/>
  <c r="K2519" i="1"/>
  <c r="J2511" i="1"/>
  <c r="L2511" i="1"/>
  <c r="K2511" i="1"/>
  <c r="J2503" i="1"/>
  <c r="L2503" i="1"/>
  <c r="K2503" i="1"/>
  <c r="J2495" i="1"/>
  <c r="L2495" i="1"/>
  <c r="K2495" i="1"/>
  <c r="J2487" i="1"/>
  <c r="L2487" i="1"/>
  <c r="K2487" i="1"/>
  <c r="J2479" i="1"/>
  <c r="L2479" i="1"/>
  <c r="K2479" i="1"/>
  <c r="J2471" i="1"/>
  <c r="L2471" i="1"/>
  <c r="K2471" i="1"/>
  <c r="J2463" i="1"/>
  <c r="L2463" i="1"/>
  <c r="K2463" i="1"/>
  <c r="J2455" i="1"/>
  <c r="L2455" i="1"/>
  <c r="K2455" i="1"/>
  <c r="J2447" i="1"/>
  <c r="L2447" i="1"/>
  <c r="K2447" i="1"/>
  <c r="J2439" i="1"/>
  <c r="L2439" i="1"/>
  <c r="K2439" i="1"/>
  <c r="J2431" i="1"/>
  <c r="L2431" i="1"/>
  <c r="K2431" i="1"/>
  <c r="J2423" i="1"/>
  <c r="L2423" i="1"/>
  <c r="K2423" i="1"/>
  <c r="J2415" i="1"/>
  <c r="L2415" i="1"/>
  <c r="K2415" i="1"/>
  <c r="J2407" i="1"/>
  <c r="L2407" i="1"/>
  <c r="K2407" i="1"/>
  <c r="J2399" i="1"/>
  <c r="L2399" i="1"/>
  <c r="K2399" i="1"/>
  <c r="J2391" i="1"/>
  <c r="L2391" i="1"/>
  <c r="K2391" i="1"/>
  <c r="J2383" i="1"/>
  <c r="L2383" i="1"/>
  <c r="K2383" i="1"/>
  <c r="J2375" i="1"/>
  <c r="L2375" i="1"/>
  <c r="K2375" i="1"/>
  <c r="J2367" i="1"/>
  <c r="L2367" i="1"/>
  <c r="K2367" i="1"/>
  <c r="J2359" i="1"/>
  <c r="L2359" i="1"/>
  <c r="K2359" i="1"/>
  <c r="J2351" i="1"/>
  <c r="L2351" i="1"/>
  <c r="K2351" i="1"/>
  <c r="J2343" i="1"/>
  <c r="L2343" i="1"/>
  <c r="K2343" i="1"/>
  <c r="J2335" i="1"/>
  <c r="L2335" i="1"/>
  <c r="K2335" i="1"/>
  <c r="J2327" i="1"/>
  <c r="L2327" i="1"/>
  <c r="K2327" i="1"/>
  <c r="J2319" i="1"/>
  <c r="L2319" i="1"/>
  <c r="K2319" i="1"/>
  <c r="J2311" i="1"/>
  <c r="L2311" i="1"/>
  <c r="K2311" i="1"/>
  <c r="J2303" i="1"/>
  <c r="L2303" i="1"/>
  <c r="K2303" i="1"/>
  <c r="J2295" i="1"/>
  <c r="L2295" i="1"/>
  <c r="K2295" i="1"/>
  <c r="J2287" i="1"/>
  <c r="L2287" i="1"/>
  <c r="K2287" i="1"/>
  <c r="J2279" i="1"/>
  <c r="L2279" i="1"/>
  <c r="K2279" i="1"/>
  <c r="J2271" i="1"/>
  <c r="L2271" i="1"/>
  <c r="K2271" i="1"/>
  <c r="J2263" i="1"/>
  <c r="L2263" i="1"/>
  <c r="K2263" i="1"/>
  <c r="J2255" i="1"/>
  <c r="L2255" i="1"/>
  <c r="K2255" i="1"/>
  <c r="J2247" i="1"/>
  <c r="L2247" i="1"/>
  <c r="K2247" i="1"/>
  <c r="J2239" i="1"/>
  <c r="L2239" i="1"/>
  <c r="K2239" i="1"/>
  <c r="J2231" i="1"/>
  <c r="L2231" i="1"/>
  <c r="K2231" i="1"/>
  <c r="J2223" i="1"/>
  <c r="L2223" i="1"/>
  <c r="K2223" i="1"/>
  <c r="J2215" i="1"/>
  <c r="L2215" i="1"/>
  <c r="K2215" i="1"/>
  <c r="J2207" i="1"/>
  <c r="L2207" i="1"/>
  <c r="K2207" i="1"/>
  <c r="J2199" i="1"/>
  <c r="L2199" i="1"/>
  <c r="K2199" i="1"/>
  <c r="J2191" i="1"/>
  <c r="L2191" i="1"/>
  <c r="K2191" i="1"/>
  <c r="J2183" i="1"/>
  <c r="L2183" i="1"/>
  <c r="K2183" i="1"/>
  <c r="J2175" i="1"/>
  <c r="L2175" i="1"/>
  <c r="K2175" i="1"/>
  <c r="J2167" i="1"/>
  <c r="L2167" i="1"/>
  <c r="K2167" i="1"/>
  <c r="J2159" i="1"/>
  <c r="L2159" i="1"/>
  <c r="K2159" i="1"/>
  <c r="J2151" i="1"/>
  <c r="L2151" i="1"/>
  <c r="K2151" i="1"/>
  <c r="J2143" i="1"/>
  <c r="L2143" i="1"/>
  <c r="K2143" i="1"/>
  <c r="J2135" i="1"/>
  <c r="L2135" i="1"/>
  <c r="K2135" i="1"/>
  <c r="J2127" i="1"/>
  <c r="L2127" i="1"/>
  <c r="K2127" i="1"/>
  <c r="J2119" i="1"/>
  <c r="L2119" i="1"/>
  <c r="K2119" i="1"/>
  <c r="J2111" i="1"/>
  <c r="L2111" i="1"/>
  <c r="K2111" i="1"/>
  <c r="J2103" i="1"/>
  <c r="L2103" i="1"/>
  <c r="K2103" i="1"/>
  <c r="J2095" i="1"/>
  <c r="L2095" i="1"/>
  <c r="K2095" i="1"/>
  <c r="J2087" i="1"/>
  <c r="L2087" i="1"/>
  <c r="K2087" i="1"/>
  <c r="J2079" i="1"/>
  <c r="L2079" i="1"/>
  <c r="K2079" i="1"/>
  <c r="J2071" i="1"/>
  <c r="L2071" i="1"/>
  <c r="K2071" i="1"/>
  <c r="J2063" i="1"/>
  <c r="L2063" i="1"/>
  <c r="K2063" i="1"/>
  <c r="J2055" i="1"/>
  <c r="L2055" i="1"/>
  <c r="K2055" i="1"/>
  <c r="J2047" i="1"/>
  <c r="L2047" i="1"/>
  <c r="K2047" i="1"/>
  <c r="J2039" i="1"/>
  <c r="L2039" i="1"/>
  <c r="K2039" i="1"/>
  <c r="J2031" i="1"/>
  <c r="L2031" i="1"/>
  <c r="K2031" i="1"/>
  <c r="J2023" i="1"/>
  <c r="L2023" i="1"/>
  <c r="K2023" i="1"/>
  <c r="J2015" i="1"/>
  <c r="L2015" i="1"/>
  <c r="K2015" i="1"/>
  <c r="J2007" i="1"/>
  <c r="L2007" i="1"/>
  <c r="K2007" i="1"/>
  <c r="J1999" i="1"/>
  <c r="L1999" i="1"/>
  <c r="K1999" i="1"/>
  <c r="J1991" i="1"/>
  <c r="L1991" i="1"/>
  <c r="K1991" i="1"/>
  <c r="J1983" i="1"/>
  <c r="L1983" i="1"/>
  <c r="K1983" i="1"/>
  <c r="J1975" i="1"/>
  <c r="L1975" i="1"/>
  <c r="K1975" i="1"/>
  <c r="J1967" i="1"/>
  <c r="L1967" i="1"/>
  <c r="K1967" i="1"/>
  <c r="J1959" i="1"/>
  <c r="L1959" i="1"/>
  <c r="K1959" i="1"/>
  <c r="J1951" i="1"/>
  <c r="L1951" i="1"/>
  <c r="K1951" i="1"/>
  <c r="J1943" i="1"/>
  <c r="L1943" i="1"/>
  <c r="K1943" i="1"/>
  <c r="J1935" i="1"/>
  <c r="L1935" i="1"/>
  <c r="K1935" i="1"/>
  <c r="J1927" i="1"/>
  <c r="L1927" i="1"/>
  <c r="K1927" i="1"/>
  <c r="J1919" i="1"/>
  <c r="L1919" i="1"/>
  <c r="K1919" i="1"/>
  <c r="J1911" i="1"/>
  <c r="L1911" i="1"/>
  <c r="K1911" i="1"/>
  <c r="J1903" i="1"/>
  <c r="L1903" i="1"/>
  <c r="K1903" i="1"/>
  <c r="J1895" i="1"/>
  <c r="L1895" i="1"/>
  <c r="K1895" i="1"/>
  <c r="J1887" i="1"/>
  <c r="L1887" i="1"/>
  <c r="K1887" i="1"/>
  <c r="J1879" i="1"/>
  <c r="L1879" i="1"/>
  <c r="K1879" i="1"/>
  <c r="J1871" i="1"/>
  <c r="L1871" i="1"/>
  <c r="K1871" i="1"/>
  <c r="J1863" i="1"/>
  <c r="L1863" i="1"/>
  <c r="K1863" i="1"/>
  <c r="J1855" i="1"/>
  <c r="L1855" i="1"/>
  <c r="K1855" i="1"/>
  <c r="J1847" i="1"/>
  <c r="L1847" i="1"/>
  <c r="K1847" i="1"/>
  <c r="J1839" i="1"/>
  <c r="L1839" i="1"/>
  <c r="K1839" i="1"/>
  <c r="J1831" i="1"/>
  <c r="L1831" i="1"/>
  <c r="K1831" i="1"/>
  <c r="J1823" i="1"/>
  <c r="L1823" i="1"/>
  <c r="K1823" i="1"/>
  <c r="J1815" i="1"/>
  <c r="L1815" i="1"/>
  <c r="K1815" i="1"/>
  <c r="J1807" i="1"/>
  <c r="L1807" i="1"/>
  <c r="K1807" i="1"/>
  <c r="J1799" i="1"/>
  <c r="L1799" i="1"/>
  <c r="K1799" i="1"/>
  <c r="J1791" i="1"/>
  <c r="L1791" i="1"/>
  <c r="K1791" i="1"/>
  <c r="J1783" i="1"/>
  <c r="L1783" i="1"/>
  <c r="K1783" i="1"/>
  <c r="J1775" i="1"/>
  <c r="L1775" i="1"/>
  <c r="K1775" i="1"/>
  <c r="J1767" i="1"/>
  <c r="L1767" i="1"/>
  <c r="K1767" i="1"/>
  <c r="J1759" i="1"/>
  <c r="L1759" i="1"/>
  <c r="K1759" i="1"/>
  <c r="J1751" i="1"/>
  <c r="L1751" i="1"/>
  <c r="K1751" i="1"/>
  <c r="J1743" i="1"/>
  <c r="L1743" i="1"/>
  <c r="K1743" i="1"/>
  <c r="J1735" i="1"/>
  <c r="L1735" i="1"/>
  <c r="K1735" i="1"/>
  <c r="J1727" i="1"/>
  <c r="L1727" i="1"/>
  <c r="K1727" i="1"/>
  <c r="J1719" i="1"/>
  <c r="L1719" i="1"/>
  <c r="K1719" i="1"/>
  <c r="J1711" i="1"/>
  <c r="L1711" i="1"/>
  <c r="K1711" i="1"/>
  <c r="J1703" i="1"/>
  <c r="L1703" i="1"/>
  <c r="K1703" i="1"/>
  <c r="J1695" i="1"/>
  <c r="L1695" i="1"/>
  <c r="K1695" i="1"/>
  <c r="J1687" i="1"/>
  <c r="L1687" i="1"/>
  <c r="K1687" i="1"/>
  <c r="J1679" i="1"/>
  <c r="L1679" i="1"/>
  <c r="K1679" i="1"/>
  <c r="J1671" i="1"/>
  <c r="L1671" i="1"/>
  <c r="K1671" i="1"/>
  <c r="J1663" i="1"/>
  <c r="L1663" i="1"/>
  <c r="K1663" i="1"/>
  <c r="J1655" i="1"/>
  <c r="L1655" i="1"/>
  <c r="K1655" i="1"/>
  <c r="J1647" i="1"/>
  <c r="L1647" i="1"/>
  <c r="K1647" i="1"/>
  <c r="J1639" i="1"/>
  <c r="L1639" i="1"/>
  <c r="K1639" i="1"/>
  <c r="J1631" i="1"/>
  <c r="L1631" i="1"/>
  <c r="K1631" i="1"/>
  <c r="J1623" i="1"/>
  <c r="L1623" i="1"/>
  <c r="K1623" i="1"/>
  <c r="J1615" i="1"/>
  <c r="L1615" i="1"/>
  <c r="K1615" i="1"/>
  <c r="J1607" i="1"/>
  <c r="L1607" i="1"/>
  <c r="K1607" i="1"/>
  <c r="J1599" i="1"/>
  <c r="L1599" i="1"/>
  <c r="K1599" i="1"/>
  <c r="J1591" i="1"/>
  <c r="L1591" i="1"/>
  <c r="K1591" i="1"/>
  <c r="J1583" i="1"/>
  <c r="L1583" i="1"/>
  <c r="K1583" i="1"/>
  <c r="J1575" i="1"/>
  <c r="L1575" i="1"/>
  <c r="K1575" i="1"/>
  <c r="J1567" i="1"/>
  <c r="L1567" i="1"/>
  <c r="K1567" i="1"/>
  <c r="J1559" i="1"/>
  <c r="L1559" i="1"/>
  <c r="K1559" i="1"/>
  <c r="J1551" i="1"/>
  <c r="L1551" i="1"/>
  <c r="K1551" i="1"/>
  <c r="J1543" i="1"/>
  <c r="L1543" i="1"/>
  <c r="K1543" i="1"/>
  <c r="J1535" i="1"/>
  <c r="L1535" i="1"/>
  <c r="K1535" i="1"/>
  <c r="J1527" i="1"/>
  <c r="L1527" i="1"/>
  <c r="K1527" i="1"/>
  <c r="J1519" i="1"/>
  <c r="L1519" i="1"/>
  <c r="K1519" i="1"/>
  <c r="J1511" i="1"/>
  <c r="L1511" i="1"/>
  <c r="K1511" i="1"/>
  <c r="J1503" i="1"/>
  <c r="L1503" i="1"/>
  <c r="K1503" i="1"/>
  <c r="J1495" i="1"/>
  <c r="L1495" i="1"/>
  <c r="K1495" i="1"/>
  <c r="J1487" i="1"/>
  <c r="L1487" i="1"/>
  <c r="K1487" i="1"/>
  <c r="J1479" i="1"/>
  <c r="L1479" i="1"/>
  <c r="K1479" i="1"/>
  <c r="J1471" i="1"/>
  <c r="L1471" i="1"/>
  <c r="K1471" i="1"/>
  <c r="J1463" i="1"/>
  <c r="L1463" i="1"/>
  <c r="K1463" i="1"/>
  <c r="J1455" i="1"/>
  <c r="L1455" i="1"/>
  <c r="K1455" i="1"/>
  <c r="J1447" i="1"/>
  <c r="L1447" i="1"/>
  <c r="K1447" i="1"/>
  <c r="J1439" i="1"/>
  <c r="L1439" i="1"/>
  <c r="K1439" i="1"/>
  <c r="J1431" i="1"/>
  <c r="L1431" i="1"/>
  <c r="K1431" i="1"/>
  <c r="J1423" i="1"/>
  <c r="L1423" i="1"/>
  <c r="K1423" i="1"/>
  <c r="J1415" i="1"/>
  <c r="L1415" i="1"/>
  <c r="K1415" i="1"/>
  <c r="J1407" i="1"/>
  <c r="L1407" i="1"/>
  <c r="K1407" i="1"/>
  <c r="J1399" i="1"/>
  <c r="L1399" i="1"/>
  <c r="K1399" i="1"/>
  <c r="J1391" i="1"/>
  <c r="L1391" i="1"/>
  <c r="K1391" i="1"/>
  <c r="J1383" i="1"/>
  <c r="L1383" i="1"/>
  <c r="K1383" i="1"/>
  <c r="J1375" i="1"/>
  <c r="L1375" i="1"/>
  <c r="K1375" i="1"/>
  <c r="J1367" i="1"/>
  <c r="L1367" i="1"/>
  <c r="K1367" i="1"/>
  <c r="J1359" i="1"/>
  <c r="L1359" i="1"/>
  <c r="K1359" i="1"/>
  <c r="J1351" i="1"/>
  <c r="L1351" i="1"/>
  <c r="K1351" i="1"/>
  <c r="J1343" i="1"/>
  <c r="L1343" i="1"/>
  <c r="K1343" i="1"/>
  <c r="J1335" i="1"/>
  <c r="L1335" i="1"/>
  <c r="K1335" i="1"/>
  <c r="J1327" i="1"/>
  <c r="L1327" i="1"/>
  <c r="K1327" i="1"/>
  <c r="J1319" i="1"/>
  <c r="L1319" i="1"/>
  <c r="K1319" i="1"/>
  <c r="J1311" i="1"/>
  <c r="L1311" i="1"/>
  <c r="K1311" i="1"/>
  <c r="J1303" i="1"/>
  <c r="L1303" i="1"/>
  <c r="K1303" i="1"/>
  <c r="J1295" i="1"/>
  <c r="L1295" i="1"/>
  <c r="K1295" i="1"/>
  <c r="J1287" i="1"/>
  <c r="L1287" i="1"/>
  <c r="K1287" i="1"/>
  <c r="J1279" i="1"/>
  <c r="L1279" i="1"/>
  <c r="K1279" i="1"/>
  <c r="J1271" i="1"/>
  <c r="L1271" i="1"/>
  <c r="K1271" i="1"/>
  <c r="J1263" i="1"/>
  <c r="L1263" i="1"/>
  <c r="K1263" i="1"/>
  <c r="J1255" i="1"/>
  <c r="L1255" i="1"/>
  <c r="K1255" i="1"/>
  <c r="J1247" i="1"/>
  <c r="L1247" i="1"/>
  <c r="K1247" i="1"/>
  <c r="J1239" i="1"/>
  <c r="L1239" i="1"/>
  <c r="K1239" i="1"/>
  <c r="J1231" i="1"/>
  <c r="L1231" i="1"/>
  <c r="K1231" i="1"/>
  <c r="J1223" i="1"/>
  <c r="L1223" i="1"/>
  <c r="K1223" i="1"/>
  <c r="J1215" i="1"/>
  <c r="L1215" i="1"/>
  <c r="K1215" i="1"/>
  <c r="J1207" i="1"/>
  <c r="L1207" i="1"/>
  <c r="K1207" i="1"/>
  <c r="J1199" i="1"/>
  <c r="L1199" i="1"/>
  <c r="K1199" i="1"/>
  <c r="J1191" i="1"/>
  <c r="L1191" i="1"/>
  <c r="K1191" i="1"/>
  <c r="J1183" i="1"/>
  <c r="L1183" i="1"/>
  <c r="K1183" i="1"/>
  <c r="J1175" i="1"/>
  <c r="L1175" i="1"/>
  <c r="K1175" i="1"/>
  <c r="J1167" i="1"/>
  <c r="L1167" i="1"/>
  <c r="K1167" i="1"/>
  <c r="J1159" i="1"/>
  <c r="L1159" i="1"/>
  <c r="K1159" i="1"/>
  <c r="J1151" i="1"/>
  <c r="L1151" i="1"/>
  <c r="K1151" i="1"/>
  <c r="J1143" i="1"/>
  <c r="L1143" i="1"/>
  <c r="K1143" i="1"/>
  <c r="J1135" i="1"/>
  <c r="L1135" i="1"/>
  <c r="K1135" i="1"/>
  <c r="J1127" i="1"/>
  <c r="L1127" i="1"/>
  <c r="K1127" i="1"/>
  <c r="J1119" i="1"/>
  <c r="L1119" i="1"/>
  <c r="K1119" i="1"/>
  <c r="J1111" i="1"/>
  <c r="L1111" i="1"/>
  <c r="K1111" i="1"/>
  <c r="J1103" i="1"/>
  <c r="L1103" i="1"/>
  <c r="K1103" i="1"/>
  <c r="J1095" i="1"/>
  <c r="L1095" i="1"/>
  <c r="K1095" i="1"/>
  <c r="J1087" i="1"/>
  <c r="L1087" i="1"/>
  <c r="K1087" i="1"/>
  <c r="J1079" i="1"/>
  <c r="L1079" i="1"/>
  <c r="K1079" i="1"/>
  <c r="J1071" i="1"/>
  <c r="L1071" i="1"/>
  <c r="K1071" i="1"/>
  <c r="J1063" i="1"/>
  <c r="L1063" i="1"/>
  <c r="K1063" i="1"/>
  <c r="J1055" i="1"/>
  <c r="L1055" i="1"/>
  <c r="K1055" i="1"/>
  <c r="J1047" i="1"/>
  <c r="L1047" i="1"/>
  <c r="K1047" i="1"/>
  <c r="J1039" i="1"/>
  <c r="L1039" i="1"/>
  <c r="K1039" i="1"/>
  <c r="J1031" i="1"/>
  <c r="L1031" i="1"/>
  <c r="K1031" i="1"/>
  <c r="J1023" i="1"/>
  <c r="L1023" i="1"/>
  <c r="K1023" i="1"/>
  <c r="J1015" i="1"/>
  <c r="L1015" i="1"/>
  <c r="K1015" i="1"/>
  <c r="J1007" i="1"/>
  <c r="L1007" i="1"/>
  <c r="K1007" i="1"/>
  <c r="J999" i="1"/>
  <c r="L999" i="1"/>
  <c r="K999" i="1"/>
  <c r="J991" i="1"/>
  <c r="L991" i="1"/>
  <c r="K991" i="1"/>
  <c r="J983" i="1"/>
  <c r="L983" i="1"/>
  <c r="K983" i="1"/>
  <c r="J975" i="1"/>
  <c r="L975" i="1"/>
  <c r="K975" i="1"/>
  <c r="J967" i="1"/>
  <c r="L967" i="1"/>
  <c r="K967" i="1"/>
  <c r="J959" i="1"/>
  <c r="L959" i="1"/>
  <c r="K959" i="1"/>
  <c r="J951" i="1"/>
  <c r="L951" i="1"/>
  <c r="K951" i="1"/>
  <c r="J943" i="1"/>
  <c r="L943" i="1"/>
  <c r="K943" i="1"/>
  <c r="J935" i="1"/>
  <c r="L935" i="1"/>
  <c r="K935" i="1"/>
  <c r="J927" i="1"/>
  <c r="L927" i="1"/>
  <c r="K927" i="1"/>
  <c r="J919" i="1"/>
  <c r="L919" i="1"/>
  <c r="K919" i="1"/>
  <c r="J911" i="1"/>
  <c r="L911" i="1"/>
  <c r="K911" i="1"/>
  <c r="J903" i="1"/>
  <c r="L903" i="1"/>
  <c r="K903" i="1"/>
  <c r="J895" i="1"/>
  <c r="L895" i="1"/>
  <c r="K895" i="1"/>
  <c r="J887" i="1"/>
  <c r="L887" i="1"/>
  <c r="K887" i="1"/>
  <c r="J879" i="1"/>
  <c r="L879" i="1"/>
  <c r="K879" i="1"/>
  <c r="J871" i="1"/>
  <c r="L871" i="1"/>
  <c r="K871" i="1"/>
  <c r="J863" i="1"/>
  <c r="L863" i="1"/>
  <c r="K863" i="1"/>
  <c r="J855" i="1"/>
  <c r="L855" i="1"/>
  <c r="K855" i="1"/>
  <c r="J847" i="1"/>
  <c r="L847" i="1"/>
  <c r="K847" i="1"/>
  <c r="J839" i="1"/>
  <c r="L839" i="1"/>
  <c r="K839" i="1"/>
  <c r="J831" i="1"/>
  <c r="L831" i="1"/>
  <c r="K831" i="1"/>
  <c r="J823" i="1"/>
  <c r="L823" i="1"/>
  <c r="K823" i="1"/>
  <c r="J815" i="1"/>
  <c r="L815" i="1"/>
  <c r="K815" i="1"/>
  <c r="J807" i="1"/>
  <c r="L807" i="1"/>
  <c r="K807" i="1"/>
  <c r="J799" i="1"/>
  <c r="L799" i="1"/>
  <c r="K799" i="1"/>
  <c r="L791" i="1"/>
  <c r="K791" i="1"/>
  <c r="J783" i="1"/>
  <c r="L783" i="1"/>
  <c r="K783" i="1"/>
  <c r="J775" i="1"/>
  <c r="L775" i="1"/>
  <c r="K775" i="1"/>
  <c r="J767" i="1"/>
  <c r="L767" i="1"/>
  <c r="K767" i="1"/>
  <c r="J759" i="1"/>
  <c r="L759" i="1"/>
  <c r="K759" i="1"/>
  <c r="J751" i="1"/>
  <c r="L751" i="1"/>
  <c r="K751" i="1"/>
  <c r="J743" i="1"/>
  <c r="L743" i="1"/>
  <c r="K743" i="1"/>
  <c r="J735" i="1"/>
  <c r="L735" i="1"/>
  <c r="K735" i="1"/>
  <c r="J727" i="1"/>
  <c r="L727" i="1"/>
  <c r="K727" i="1"/>
  <c r="J719" i="1"/>
  <c r="L719" i="1"/>
  <c r="K719" i="1"/>
  <c r="J711" i="1"/>
  <c r="L711" i="1"/>
  <c r="K711" i="1"/>
  <c r="J703" i="1"/>
  <c r="L703" i="1"/>
  <c r="K703" i="1"/>
  <c r="J695" i="1"/>
  <c r="L695" i="1"/>
  <c r="K695" i="1"/>
  <c r="J687" i="1"/>
  <c r="L687" i="1"/>
  <c r="K687" i="1"/>
  <c r="J679" i="1"/>
  <c r="L679" i="1"/>
  <c r="K679" i="1"/>
  <c r="J671" i="1"/>
  <c r="L671" i="1"/>
  <c r="K671" i="1"/>
  <c r="J663" i="1"/>
  <c r="L663" i="1"/>
  <c r="K663" i="1"/>
  <c r="J655" i="1"/>
  <c r="L655" i="1"/>
  <c r="K655" i="1"/>
  <c r="J647" i="1"/>
  <c r="L647" i="1"/>
  <c r="K647" i="1"/>
  <c r="J639" i="1"/>
  <c r="L639" i="1"/>
  <c r="K639" i="1"/>
  <c r="J631" i="1"/>
  <c r="L631" i="1"/>
  <c r="K631" i="1"/>
  <c r="J623" i="1"/>
  <c r="L623" i="1"/>
  <c r="K623" i="1"/>
  <c r="J615" i="1"/>
  <c r="L615" i="1"/>
  <c r="K615" i="1"/>
  <c r="J607" i="1"/>
  <c r="L607" i="1"/>
  <c r="K607" i="1"/>
  <c r="J599" i="1"/>
  <c r="L599" i="1"/>
  <c r="K599" i="1"/>
  <c r="J591" i="1"/>
  <c r="L591" i="1"/>
  <c r="K591" i="1"/>
  <c r="J583" i="1"/>
  <c r="L583" i="1"/>
  <c r="K583" i="1"/>
  <c r="J575" i="1"/>
  <c r="L575" i="1"/>
  <c r="K575" i="1"/>
  <c r="J567" i="1"/>
  <c r="L567" i="1"/>
  <c r="K567" i="1"/>
  <c r="J559" i="1"/>
  <c r="L559" i="1"/>
  <c r="K559" i="1"/>
  <c r="J551" i="1"/>
  <c r="L551" i="1"/>
  <c r="K551" i="1"/>
  <c r="J543" i="1"/>
  <c r="L543" i="1"/>
  <c r="K543" i="1"/>
  <c r="L535" i="1"/>
  <c r="K535" i="1"/>
  <c r="J527" i="1"/>
  <c r="L527" i="1"/>
  <c r="K527" i="1"/>
  <c r="J519" i="1"/>
  <c r="L519" i="1"/>
  <c r="K519" i="1"/>
  <c r="J511" i="1"/>
  <c r="L511" i="1"/>
  <c r="K511" i="1"/>
  <c r="J503" i="1"/>
  <c r="L503" i="1"/>
  <c r="K503" i="1"/>
  <c r="J495" i="1"/>
  <c r="L495" i="1"/>
  <c r="K495" i="1"/>
  <c r="J487" i="1"/>
  <c r="L487" i="1"/>
  <c r="K487" i="1"/>
  <c r="J479" i="1"/>
  <c r="L479" i="1"/>
  <c r="K479" i="1"/>
  <c r="J471" i="1"/>
  <c r="L471" i="1"/>
  <c r="K471" i="1"/>
  <c r="J463" i="1"/>
  <c r="L463" i="1"/>
  <c r="K463" i="1"/>
  <c r="J455" i="1"/>
  <c r="L455" i="1"/>
  <c r="K455" i="1"/>
  <c r="J447" i="1"/>
  <c r="L447" i="1"/>
  <c r="K447" i="1"/>
  <c r="J439" i="1"/>
  <c r="L439" i="1"/>
  <c r="K439" i="1"/>
  <c r="J431" i="1"/>
  <c r="L431" i="1"/>
  <c r="K431" i="1"/>
  <c r="J423" i="1"/>
  <c r="L423" i="1"/>
  <c r="K423" i="1"/>
  <c r="J415" i="1"/>
  <c r="L415" i="1"/>
  <c r="K415" i="1"/>
  <c r="J407" i="1"/>
  <c r="L407" i="1"/>
  <c r="K407" i="1"/>
  <c r="J399" i="1"/>
  <c r="L399" i="1"/>
  <c r="K399" i="1"/>
  <c r="J391" i="1"/>
  <c r="L391" i="1"/>
  <c r="K391" i="1"/>
  <c r="J383" i="1"/>
  <c r="L383" i="1"/>
  <c r="K383" i="1"/>
  <c r="J375" i="1"/>
  <c r="L375" i="1"/>
  <c r="K375" i="1"/>
  <c r="J367" i="1"/>
  <c r="L367" i="1"/>
  <c r="K367" i="1"/>
  <c r="J359" i="1"/>
  <c r="L359" i="1"/>
  <c r="K359" i="1"/>
  <c r="J351" i="1"/>
  <c r="L351" i="1"/>
  <c r="K351" i="1"/>
  <c r="J343" i="1"/>
  <c r="L343" i="1"/>
  <c r="K343" i="1"/>
  <c r="J335" i="1"/>
  <c r="L335" i="1"/>
  <c r="K335" i="1"/>
  <c r="J327" i="1"/>
  <c r="L327" i="1"/>
  <c r="K327" i="1"/>
  <c r="J319" i="1"/>
  <c r="L319" i="1"/>
  <c r="K319" i="1"/>
  <c r="J311" i="1"/>
  <c r="L311" i="1"/>
  <c r="K311" i="1"/>
  <c r="J303" i="1"/>
  <c r="L303" i="1"/>
  <c r="K303" i="1"/>
  <c r="J8149" i="1"/>
  <c r="J7893" i="1"/>
  <c r="J7733" i="1"/>
  <c r="J7669" i="1"/>
  <c r="J7605" i="1"/>
  <c r="J7541" i="1"/>
  <c r="J7477" i="1"/>
  <c r="J7413" i="1"/>
  <c r="J7157" i="1"/>
  <c r="J6901" i="1"/>
  <c r="J6704" i="1"/>
  <c r="J6351" i="1"/>
  <c r="J5968" i="1"/>
  <c r="J5680" i="1"/>
  <c r="J5327" i="1"/>
  <c r="J4944" i="1"/>
  <c r="J4656" i="1"/>
  <c r="K9993" i="1"/>
  <c r="K9952" i="1"/>
  <c r="K9929" i="1"/>
  <c r="K9888" i="1"/>
  <c r="K9865" i="1"/>
  <c r="K9824" i="1"/>
  <c r="K9801" i="1"/>
  <c r="K9760" i="1"/>
  <c r="K9737" i="1"/>
  <c r="K9696" i="1"/>
  <c r="K9673" i="1"/>
  <c r="K9632" i="1"/>
  <c r="K9609" i="1"/>
  <c r="K9568" i="1"/>
  <c r="K9545" i="1"/>
  <c r="K9504" i="1"/>
  <c r="K9481" i="1"/>
  <c r="K9440" i="1"/>
  <c r="K9417" i="1"/>
  <c r="K9376" i="1"/>
  <c r="K9353" i="1"/>
  <c r="K9312" i="1"/>
  <c r="K9289" i="1"/>
  <c r="K9248" i="1"/>
  <c r="K9225" i="1"/>
  <c r="K9184" i="1"/>
  <c r="K9161" i="1"/>
  <c r="K9120" i="1"/>
  <c r="K9097" i="1"/>
  <c r="K9056" i="1"/>
  <c r="K9033" i="1"/>
  <c r="K8992" i="1"/>
  <c r="K8969" i="1"/>
  <c r="K8928" i="1"/>
  <c r="K8905" i="1"/>
  <c r="K8864" i="1"/>
  <c r="K8841" i="1"/>
  <c r="K8800" i="1"/>
  <c r="K8777" i="1"/>
  <c r="K8736" i="1"/>
  <c r="K8713" i="1"/>
  <c r="K8672" i="1"/>
  <c r="K8649" i="1"/>
  <c r="K8608" i="1"/>
  <c r="K8585" i="1"/>
  <c r="K8544" i="1"/>
  <c r="K8521" i="1"/>
  <c r="K8480" i="1"/>
  <c r="K8457" i="1"/>
  <c r="K8416" i="1"/>
  <c r="K8393" i="1"/>
  <c r="K8352" i="1"/>
  <c r="K8329" i="1"/>
  <c r="K8288" i="1"/>
  <c r="K8265" i="1"/>
  <c r="K8224" i="1"/>
  <c r="K8201" i="1"/>
  <c r="K8183" i="1"/>
  <c r="K8160" i="1"/>
  <c r="K8137" i="1"/>
  <c r="K8119" i="1"/>
  <c r="K8096" i="1"/>
  <c r="K8073" i="1"/>
  <c r="K8055" i="1"/>
  <c r="K8032" i="1"/>
  <c r="K8009" i="1"/>
  <c r="K7991" i="1"/>
  <c r="K7968" i="1"/>
  <c r="K7945" i="1"/>
  <c r="K7927" i="1"/>
  <c r="K7904" i="1"/>
  <c r="K7881" i="1"/>
  <c r="K7863" i="1"/>
  <c r="K7840" i="1"/>
  <c r="K7817" i="1"/>
  <c r="K7799" i="1"/>
  <c r="K7776" i="1"/>
  <c r="K7753" i="1"/>
  <c r="K7735" i="1"/>
  <c r="K7712" i="1"/>
  <c r="K7689" i="1"/>
  <c r="K7671" i="1"/>
  <c r="K7648" i="1"/>
  <c r="K7625" i="1"/>
  <c r="K7607" i="1"/>
  <c r="K7584" i="1"/>
  <c r="K7561" i="1"/>
  <c r="K7543" i="1"/>
  <c r="K7520" i="1"/>
  <c r="K7497" i="1"/>
  <c r="K7479" i="1"/>
  <c r="K7456" i="1"/>
  <c r="K7433" i="1"/>
  <c r="K7415" i="1"/>
  <c r="K7392" i="1"/>
  <c r="K7369" i="1"/>
  <c r="K7351" i="1"/>
  <c r="K7293" i="1"/>
  <c r="K7269" i="1"/>
  <c r="K7234" i="1"/>
  <c r="K7063" i="1"/>
  <c r="K7002" i="1"/>
  <c r="K6954" i="1"/>
  <c r="K6831" i="1"/>
  <c r="K6783" i="1"/>
  <c r="K6722" i="1"/>
  <c r="K6551" i="1"/>
  <c r="K6490" i="1"/>
  <c r="K6442" i="1"/>
  <c r="K6319" i="1"/>
  <c r="K6271" i="1"/>
  <c r="K6210" i="1"/>
  <c r="K6039" i="1"/>
  <c r="K5978" i="1"/>
  <c r="K5930" i="1"/>
  <c r="K5807" i="1"/>
  <c r="K5759" i="1"/>
  <c r="K5698" i="1"/>
  <c r="K5527" i="1"/>
  <c r="K5466" i="1"/>
  <c r="K5418" i="1"/>
  <c r="K5295" i="1"/>
  <c r="K5247" i="1"/>
  <c r="K5186" i="1"/>
  <c r="K5015" i="1"/>
  <c r="K4954" i="1"/>
  <c r="K4906" i="1"/>
  <c r="K4783" i="1"/>
  <c r="K4735" i="1"/>
  <c r="K4674" i="1"/>
  <c r="K4503" i="1"/>
  <c r="K4442" i="1"/>
  <c r="K4394" i="1"/>
  <c r="K4271" i="1"/>
  <c r="K4223" i="1"/>
  <c r="K4162" i="1"/>
  <c r="K3991" i="1"/>
  <c r="K3930" i="1"/>
  <c r="K3882" i="1"/>
  <c r="K3759" i="1"/>
  <c r="K3711" i="1"/>
  <c r="K3650" i="1"/>
  <c r="K3479" i="1"/>
  <c r="K3418" i="1"/>
  <c r="K3370" i="1"/>
  <c r="K3201" i="1"/>
  <c r="K3073" i="1"/>
  <c r="K2841" i="1"/>
  <c r="K2592" i="1"/>
  <c r="K2400" i="1"/>
  <c r="K2160" i="1"/>
  <c r="K1913" i="1"/>
  <c r="K1721" i="1"/>
  <c r="K1472" i="1"/>
  <c r="K1232" i="1"/>
  <c r="K1040" i="1"/>
  <c r="K793" i="1"/>
  <c r="K544" i="1"/>
  <c r="K352" i="1"/>
  <c r="L8218" i="1"/>
  <c r="L7546" i="1"/>
  <c r="F6" i="1"/>
  <c r="H6" i="1" s="1"/>
  <c r="E6" i="1"/>
  <c r="K6" i="1"/>
  <c r="J6" i="1"/>
  <c r="I6" i="1"/>
  <c r="L6" i="1" s="1"/>
  <c r="I9979" i="1"/>
  <c r="J9979" i="1"/>
  <c r="I9939" i="1"/>
  <c r="J9939" i="1"/>
  <c r="I9907" i="1"/>
  <c r="J9907" i="1"/>
  <c r="I9851" i="1"/>
  <c r="J9851" i="1"/>
  <c r="I9811" i="1"/>
  <c r="J9811" i="1"/>
  <c r="I9771" i="1"/>
  <c r="J9771" i="1"/>
  <c r="I9651" i="1"/>
  <c r="J9651" i="1"/>
  <c r="I9595" i="1"/>
  <c r="J9595" i="1"/>
  <c r="I9555" i="1"/>
  <c r="J9555" i="1"/>
  <c r="I9499" i="1"/>
  <c r="J9499" i="1"/>
  <c r="I9363" i="1"/>
  <c r="J9363" i="1"/>
  <c r="I9235" i="1"/>
  <c r="J9235" i="1"/>
  <c r="I9171" i="1"/>
  <c r="J9171" i="1"/>
  <c r="I9043" i="1"/>
  <c r="J9043" i="1"/>
  <c r="I8915" i="1"/>
  <c r="J8915" i="1"/>
  <c r="I8851" i="1"/>
  <c r="J8851" i="1"/>
  <c r="I8715" i="1"/>
  <c r="J8715" i="1"/>
  <c r="I8667" i="1"/>
  <c r="J8667" i="1"/>
  <c r="I8531" i="1"/>
  <c r="J8531" i="1"/>
  <c r="I8395" i="1"/>
  <c r="J8395" i="1"/>
  <c r="I8347" i="1"/>
  <c r="J8347" i="1"/>
  <c r="I8211" i="1"/>
  <c r="J8211" i="1"/>
  <c r="I8147" i="1"/>
  <c r="J8147" i="1"/>
  <c r="I7963" i="1"/>
  <c r="J7963" i="1"/>
  <c r="I7915" i="1"/>
  <c r="J7915" i="1"/>
  <c r="I7859" i="1"/>
  <c r="J7859" i="1"/>
  <c r="I3035" i="1"/>
  <c r="J3035" i="1"/>
  <c r="J3011" i="1"/>
  <c r="I2971" i="1"/>
  <c r="J2971" i="1"/>
  <c r="I2907" i="1"/>
  <c r="J2907" i="1"/>
  <c r="I2843" i="1"/>
  <c r="J2843" i="1"/>
  <c r="I2779" i="1"/>
  <c r="J2779" i="1"/>
  <c r="I2715" i="1"/>
  <c r="J2715" i="1"/>
  <c r="I2651" i="1"/>
  <c r="J2651" i="1"/>
  <c r="I2587" i="1"/>
  <c r="J2587" i="1"/>
  <c r="I2523" i="1"/>
  <c r="J2523" i="1"/>
  <c r="I2459" i="1"/>
  <c r="J2459" i="1"/>
  <c r="I2395" i="1"/>
  <c r="J2395" i="1"/>
  <c r="I2331" i="1"/>
  <c r="J2331" i="1"/>
  <c r="I2267" i="1"/>
  <c r="J2267" i="1"/>
  <c r="I2203" i="1"/>
  <c r="J2203" i="1"/>
  <c r="I2139" i="1"/>
  <c r="J2139" i="1"/>
  <c r="I2075" i="1"/>
  <c r="J2075" i="1"/>
  <c r="I2003" i="1"/>
  <c r="J2003" i="1"/>
  <c r="J1987" i="1"/>
  <c r="I1971" i="1"/>
  <c r="J1971" i="1"/>
  <c r="I1907" i="1"/>
  <c r="J1907" i="1"/>
  <c r="I1843" i="1"/>
  <c r="J1843" i="1"/>
  <c r="I1779" i="1"/>
  <c r="J1779" i="1"/>
  <c r="I1715" i="1"/>
  <c r="J1715" i="1"/>
  <c r="I1651" i="1"/>
  <c r="J1651" i="1"/>
  <c r="I1587" i="1"/>
  <c r="J1587" i="1"/>
  <c r="I1523" i="1"/>
  <c r="J1523" i="1"/>
  <c r="J1475" i="1"/>
  <c r="I1459" i="1"/>
  <c r="J1459" i="1"/>
  <c r="I9747" i="1"/>
  <c r="J9747" i="1"/>
  <c r="I9643" i="1"/>
  <c r="J9643" i="1"/>
  <c r="I9523" i="1"/>
  <c r="J9523" i="1"/>
  <c r="I9403" i="1"/>
  <c r="J9403" i="1"/>
  <c r="I9355" i="1"/>
  <c r="J9355" i="1"/>
  <c r="I9307" i="1"/>
  <c r="J9307" i="1"/>
  <c r="I9259" i="1"/>
  <c r="J9259" i="1"/>
  <c r="I9203" i="1"/>
  <c r="J9203" i="1"/>
  <c r="I9147" i="1"/>
  <c r="J9147" i="1"/>
  <c r="I9099" i="1"/>
  <c r="J9099" i="1"/>
  <c r="I8987" i="1"/>
  <c r="J8987" i="1"/>
  <c r="I8931" i="1"/>
  <c r="J8931" i="1"/>
  <c r="I8875" i="1"/>
  <c r="J8875" i="1"/>
  <c r="I8819" i="1"/>
  <c r="J8819" i="1"/>
  <c r="I8763" i="1"/>
  <c r="J8763" i="1"/>
  <c r="I8723" i="1"/>
  <c r="J8723" i="1"/>
  <c r="I8675" i="1"/>
  <c r="J8675" i="1"/>
  <c r="I8619" i="1"/>
  <c r="J8619" i="1"/>
  <c r="I8563" i="1"/>
  <c r="J8563" i="1"/>
  <c r="I8507" i="1"/>
  <c r="J8507" i="1"/>
  <c r="I8459" i="1"/>
  <c r="J8459" i="1"/>
  <c r="I8411" i="1"/>
  <c r="J8411" i="1"/>
  <c r="I8267" i="1"/>
  <c r="J8267" i="1"/>
  <c r="I8091" i="1"/>
  <c r="J8091" i="1"/>
  <c r="I8019" i="1"/>
  <c r="J8019" i="1"/>
  <c r="I7979" i="1"/>
  <c r="J7979" i="1"/>
  <c r="I7923" i="1"/>
  <c r="J7923" i="1"/>
  <c r="I9970" i="1"/>
  <c r="J9970" i="1"/>
  <c r="E9970" i="1"/>
  <c r="I9930" i="1"/>
  <c r="J9930" i="1"/>
  <c r="I9890" i="1"/>
  <c r="J9890" i="1"/>
  <c r="I9850" i="1"/>
  <c r="J9850" i="1"/>
  <c r="I9810" i="1"/>
  <c r="J9810" i="1"/>
  <c r="E9810" i="1"/>
  <c r="I9770" i="1"/>
  <c r="J9770" i="1"/>
  <c r="I9730" i="1"/>
  <c r="J9730" i="1"/>
  <c r="I9690" i="1"/>
  <c r="J9690" i="1"/>
  <c r="I9650" i="1"/>
  <c r="J9650" i="1"/>
  <c r="E9650" i="1"/>
  <c r="I9610" i="1"/>
  <c r="J9610" i="1"/>
  <c r="I9570" i="1"/>
  <c r="J9570" i="1"/>
  <c r="I9530" i="1"/>
  <c r="J9530" i="1"/>
  <c r="I9490" i="1"/>
  <c r="J9490" i="1"/>
  <c r="E9490" i="1"/>
  <c r="I9442" i="1"/>
  <c r="J9442" i="1"/>
  <c r="I9402" i="1"/>
  <c r="J9402" i="1"/>
  <c r="I9362" i="1"/>
  <c r="J9362" i="1"/>
  <c r="I9314" i="1"/>
  <c r="J9314" i="1"/>
  <c r="I9274" i="1"/>
  <c r="J9274" i="1"/>
  <c r="E9274" i="1"/>
  <c r="I9234" i="1"/>
  <c r="J9234" i="1"/>
  <c r="I9194" i="1"/>
  <c r="J9194" i="1"/>
  <c r="I9162" i="1"/>
  <c r="J9162" i="1"/>
  <c r="I9122" i="1"/>
  <c r="J9122" i="1"/>
  <c r="I9082" i="1"/>
  <c r="J9082" i="1"/>
  <c r="E9082" i="1"/>
  <c r="I9042" i="1"/>
  <c r="J9042" i="1"/>
  <c r="I9002" i="1"/>
  <c r="J9002" i="1"/>
  <c r="I8962" i="1"/>
  <c r="J8962" i="1"/>
  <c r="I8922" i="1"/>
  <c r="J8922" i="1"/>
  <c r="I8882" i="1"/>
  <c r="J8882" i="1"/>
  <c r="E8882" i="1"/>
  <c r="I8842" i="1"/>
  <c r="J8842" i="1"/>
  <c r="I8802" i="1"/>
  <c r="J8802" i="1"/>
  <c r="I8762" i="1"/>
  <c r="J8762" i="1"/>
  <c r="I8714" i="1"/>
  <c r="J8714" i="1"/>
  <c r="E8714" i="1"/>
  <c r="I8674" i="1"/>
  <c r="J8674" i="1"/>
  <c r="E8674" i="1"/>
  <c r="I8634" i="1"/>
  <c r="J8634" i="1"/>
  <c r="I8594" i="1"/>
  <c r="J8594" i="1"/>
  <c r="I8554" i="1"/>
  <c r="J8554" i="1"/>
  <c r="I8514" i="1"/>
  <c r="J8514" i="1"/>
  <c r="I8466" i="1"/>
  <c r="J8466" i="1"/>
  <c r="I8426" i="1"/>
  <c r="J8426" i="1"/>
  <c r="E8426" i="1"/>
  <c r="I8386" i="1"/>
  <c r="J8386" i="1"/>
  <c r="I8346" i="1"/>
  <c r="J8346" i="1"/>
  <c r="I8314" i="1"/>
  <c r="J8314" i="1"/>
  <c r="I8274" i="1"/>
  <c r="J8274" i="1"/>
  <c r="I8234" i="1"/>
  <c r="J8234" i="1"/>
  <c r="E8234" i="1"/>
  <c r="I8194" i="1"/>
  <c r="J8194" i="1"/>
  <c r="I8170" i="1"/>
  <c r="J8170" i="1"/>
  <c r="E8170" i="1"/>
  <c r="I8154" i="1"/>
  <c r="J8154" i="1"/>
  <c r="E8154" i="1"/>
  <c r="I8146" i="1"/>
  <c r="J8146" i="1"/>
  <c r="E8146" i="1"/>
  <c r="I8138" i="1"/>
  <c r="J8138" i="1"/>
  <c r="I8122" i="1"/>
  <c r="J8122" i="1"/>
  <c r="E8122" i="1"/>
  <c r="I8090" i="1"/>
  <c r="J8090" i="1"/>
  <c r="E8090" i="1"/>
  <c r="I8082" i="1"/>
  <c r="J8082" i="1"/>
  <c r="E8082" i="1"/>
  <c r="I8074" i="1"/>
  <c r="J8074" i="1"/>
  <c r="I8066" i="1"/>
  <c r="J8066" i="1"/>
  <c r="I8058" i="1"/>
  <c r="J8058" i="1"/>
  <c r="E8058" i="1"/>
  <c r="I8050" i="1"/>
  <c r="J8050" i="1"/>
  <c r="E8050" i="1"/>
  <c r="I8042" i="1"/>
  <c r="J8042" i="1"/>
  <c r="I8034" i="1"/>
  <c r="J8034" i="1"/>
  <c r="I8026" i="1"/>
  <c r="J8026" i="1"/>
  <c r="E8026" i="1"/>
  <c r="I8018" i="1"/>
  <c r="J8018" i="1"/>
  <c r="E8018" i="1"/>
  <c r="I8010" i="1"/>
  <c r="J8010" i="1"/>
  <c r="I8002" i="1"/>
  <c r="J8002" i="1"/>
  <c r="I7994" i="1"/>
  <c r="J7994" i="1"/>
  <c r="E7994" i="1"/>
  <c r="I7986" i="1"/>
  <c r="J7986" i="1"/>
  <c r="E7986" i="1"/>
  <c r="I7978" i="1"/>
  <c r="J7978" i="1"/>
  <c r="I7970" i="1"/>
  <c r="J7970" i="1"/>
  <c r="I7962" i="1"/>
  <c r="J7962" i="1"/>
  <c r="I7954" i="1"/>
  <c r="J7954" i="1"/>
  <c r="E7954" i="1"/>
  <c r="I7946" i="1"/>
  <c r="J7946" i="1"/>
  <c r="I7938" i="1"/>
  <c r="J7938" i="1"/>
  <c r="I7930" i="1"/>
  <c r="J7930" i="1"/>
  <c r="I7922" i="1"/>
  <c r="J7922" i="1"/>
  <c r="E7922" i="1"/>
  <c r="I7914" i="1"/>
  <c r="J7914" i="1"/>
  <c r="I7906" i="1"/>
  <c r="J7906" i="1"/>
  <c r="I7898" i="1"/>
  <c r="J7898" i="1"/>
  <c r="E7898" i="1"/>
  <c r="I7890" i="1"/>
  <c r="J7890" i="1"/>
  <c r="I7882" i="1"/>
  <c r="J7882" i="1"/>
  <c r="I7874" i="1"/>
  <c r="J7874" i="1"/>
  <c r="I7866" i="1"/>
  <c r="J7866" i="1"/>
  <c r="E7866" i="1"/>
  <c r="I7858" i="1"/>
  <c r="J7858" i="1"/>
  <c r="I7850" i="1"/>
  <c r="J7850" i="1"/>
  <c r="J7834" i="1"/>
  <c r="E7834" i="1"/>
  <c r="J7802" i="1"/>
  <c r="E7802" i="1"/>
  <c r="J7786" i="1"/>
  <c r="E7786" i="1"/>
  <c r="J7778" i="1"/>
  <c r="E7778" i="1"/>
  <c r="J7746" i="1"/>
  <c r="E7746" i="1"/>
  <c r="J7714" i="1"/>
  <c r="E7714" i="1"/>
  <c r="J7698" i="1"/>
  <c r="E7698" i="1"/>
  <c r="J7690" i="1"/>
  <c r="E7690" i="1"/>
  <c r="J7666" i="1"/>
  <c r="E7666" i="1"/>
  <c r="J7658" i="1"/>
  <c r="E7658" i="1"/>
  <c r="J7626" i="1"/>
  <c r="E7626" i="1"/>
  <c r="J7602" i="1"/>
  <c r="E7602" i="1"/>
  <c r="J7578" i="1"/>
  <c r="E7578" i="1"/>
  <c r="J7570" i="1"/>
  <c r="E7570" i="1"/>
  <c r="J7546" i="1"/>
  <c r="E7546" i="1"/>
  <c r="J7538" i="1"/>
  <c r="E7538" i="1"/>
  <c r="J7514" i="1"/>
  <c r="E7514" i="1"/>
  <c r="J7506" i="1"/>
  <c r="E7506" i="1"/>
  <c r="J7482" i="1"/>
  <c r="E7482" i="1"/>
  <c r="J7474" i="1"/>
  <c r="E7474" i="1"/>
  <c r="J7450" i="1"/>
  <c r="E7450" i="1"/>
  <c r="J7442" i="1"/>
  <c r="E7442" i="1"/>
  <c r="J7410" i="1"/>
  <c r="E7410" i="1"/>
  <c r="J7378" i="1"/>
  <c r="E7378" i="1"/>
  <c r="J7346" i="1"/>
  <c r="E7346" i="1"/>
  <c r="J7314" i="1"/>
  <c r="E7314" i="1"/>
  <c r="J7282" i="1"/>
  <c r="E7282" i="1"/>
  <c r="J7250" i="1"/>
  <c r="E7250" i="1"/>
  <c r="J7202" i="1"/>
  <c r="E7202" i="1"/>
  <c r="J7194" i="1"/>
  <c r="E7194" i="1"/>
  <c r="J7170" i="1"/>
  <c r="E7170" i="1"/>
  <c r="J7162" i="1"/>
  <c r="E7162" i="1"/>
  <c r="J7138" i="1"/>
  <c r="E7138" i="1"/>
  <c r="J7130" i="1"/>
  <c r="E7130" i="1"/>
  <c r="J7106" i="1"/>
  <c r="E7106" i="1"/>
  <c r="J7098" i="1"/>
  <c r="E7098" i="1"/>
  <c r="J7074" i="1"/>
  <c r="E7074" i="1"/>
  <c r="J7066" i="1"/>
  <c r="E7066" i="1"/>
  <c r="J7042" i="1"/>
  <c r="E7042" i="1"/>
  <c r="J7034" i="1"/>
  <c r="E7034" i="1"/>
  <c r="J7002" i="1"/>
  <c r="E7002" i="1"/>
  <c r="J6978" i="1"/>
  <c r="E6978" i="1"/>
  <c r="J6946" i="1"/>
  <c r="E6946" i="1"/>
  <c r="J6914" i="1"/>
  <c r="E6914" i="1"/>
  <c r="J6898" i="1"/>
  <c r="E6898" i="1"/>
  <c r="J6890" i="1"/>
  <c r="E6890" i="1"/>
  <c r="J6858" i="1"/>
  <c r="E6858" i="1"/>
  <c r="J6826" i="1"/>
  <c r="E6826" i="1"/>
  <c r="J6794" i="1"/>
  <c r="E6794" i="1"/>
  <c r="J6762" i="1"/>
  <c r="E6762" i="1"/>
  <c r="J6746" i="1"/>
  <c r="E6746" i="1"/>
  <c r="J6738" i="1"/>
  <c r="E6738" i="1"/>
  <c r="J6690" i="1"/>
  <c r="E6690" i="1"/>
  <c r="J6674" i="1"/>
  <c r="E6674" i="1"/>
  <c r="J6666" i="1"/>
  <c r="E6666" i="1"/>
  <c r="J6634" i="1"/>
  <c r="E6634" i="1"/>
  <c r="J6618" i="1"/>
  <c r="E6618" i="1"/>
  <c r="J6610" i="1"/>
  <c r="E6610" i="1"/>
  <c r="J6586" i="1"/>
  <c r="E6586" i="1"/>
  <c r="J6578" i="1"/>
  <c r="E6578" i="1"/>
  <c r="J6554" i="1"/>
  <c r="E6554" i="1"/>
  <c r="J6546" i="1"/>
  <c r="E6546" i="1"/>
  <c r="J6514" i="1"/>
  <c r="E6514" i="1"/>
  <c r="J6498" i="1"/>
  <c r="E6498" i="1"/>
  <c r="J6490" i="1"/>
  <c r="E6490" i="1"/>
  <c r="J6474" i="1"/>
  <c r="E6474" i="1"/>
  <c r="J6466" i="1"/>
  <c r="E6466" i="1"/>
  <c r="J6450" i="1"/>
  <c r="E6450" i="1"/>
  <c r="J6442" i="1"/>
  <c r="E6442" i="1"/>
  <c r="J6426" i="1"/>
  <c r="E6426" i="1"/>
  <c r="J6418" i="1"/>
  <c r="E6418" i="1"/>
  <c r="J6394" i="1"/>
  <c r="E6394" i="1"/>
  <c r="J6362" i="1"/>
  <c r="E6362" i="1"/>
  <c r="J6346" i="1"/>
  <c r="E6346" i="1"/>
  <c r="J6322" i="1"/>
  <c r="E6322" i="1"/>
  <c r="J6314" i="1"/>
  <c r="E6314" i="1"/>
  <c r="J6298" i="1"/>
  <c r="E6298" i="1"/>
  <c r="J6290" i="1"/>
  <c r="E6290" i="1"/>
  <c r="J6266" i="1"/>
  <c r="E6266" i="1"/>
  <c r="J6242" i="1"/>
  <c r="E6242" i="1"/>
  <c r="J6226" i="1"/>
  <c r="E6226" i="1"/>
  <c r="J6218" i="1"/>
  <c r="E6218" i="1"/>
  <c r="J6186" i="1"/>
  <c r="E6186" i="1"/>
  <c r="J6154" i="1"/>
  <c r="E6154" i="1"/>
  <c r="J6138" i="1"/>
  <c r="E6138" i="1"/>
  <c r="J6130" i="1"/>
  <c r="E6130" i="1"/>
  <c r="J6106" i="1"/>
  <c r="E6106" i="1"/>
  <c r="J6098" i="1"/>
  <c r="E6098" i="1"/>
  <c r="J6074" i="1"/>
  <c r="E6074" i="1"/>
  <c r="J6058" i="1"/>
  <c r="E6058" i="1"/>
  <c r="J6050" i="1"/>
  <c r="E6050" i="1"/>
  <c r="J6034" i="1"/>
  <c r="E6034" i="1"/>
  <c r="J6026" i="1"/>
  <c r="E6026" i="1"/>
  <c r="J6010" i="1"/>
  <c r="E6010" i="1"/>
  <c r="J5962" i="1"/>
  <c r="E5962" i="1"/>
  <c r="J5946" i="1"/>
  <c r="E5946" i="1"/>
  <c r="J5938" i="1"/>
  <c r="E5938" i="1"/>
  <c r="J5906" i="1"/>
  <c r="E5906" i="1"/>
  <c r="J5898" i="1"/>
  <c r="E5898" i="1"/>
  <c r="J5866" i="1"/>
  <c r="E5866" i="1"/>
  <c r="J5834" i="1"/>
  <c r="E5834" i="1"/>
  <c r="J5818" i="1"/>
  <c r="E5818" i="1"/>
  <c r="J5810" i="1"/>
  <c r="E5810" i="1"/>
  <c r="J5738" i="1"/>
  <c r="E5738" i="1"/>
  <c r="J5730" i="1"/>
  <c r="E5730" i="1"/>
  <c r="J5690" i="1"/>
  <c r="E5690" i="1"/>
  <c r="J5674" i="1"/>
  <c r="E5674" i="1"/>
  <c r="J5666" i="1"/>
  <c r="E5666" i="1"/>
  <c r="J5650" i="1"/>
  <c r="E5650" i="1"/>
  <c r="J5642" i="1"/>
  <c r="E5642" i="1"/>
  <c r="J5610" i="1"/>
  <c r="E5610" i="1"/>
  <c r="J5602" i="1"/>
  <c r="E5602" i="1"/>
  <c r="J5586" i="1"/>
  <c r="E5586" i="1"/>
  <c r="J5578" i="1"/>
  <c r="E5578" i="1"/>
  <c r="J5570" i="1"/>
  <c r="E5570" i="1"/>
  <c r="J5554" i="1"/>
  <c r="E5554" i="1"/>
  <c r="J5546" i="1"/>
  <c r="E5546" i="1"/>
  <c r="J5538" i="1"/>
  <c r="E5538" i="1"/>
  <c r="J5522" i="1"/>
  <c r="E5522" i="1"/>
  <c r="J5514" i="1"/>
  <c r="E5514" i="1"/>
  <c r="J5506" i="1"/>
  <c r="E5506" i="1"/>
  <c r="J5490" i="1"/>
  <c r="E5490" i="1"/>
  <c r="J5466" i="1"/>
  <c r="E5466" i="1"/>
  <c r="J5442" i="1"/>
  <c r="E5442" i="1"/>
  <c r="J5434" i="1"/>
  <c r="E5434" i="1"/>
  <c r="J5418" i="1"/>
  <c r="E5418" i="1"/>
  <c r="J5394" i="1"/>
  <c r="E5394" i="1"/>
  <c r="J5370" i="1"/>
  <c r="E5370" i="1"/>
  <c r="J5346" i="1"/>
  <c r="E5346" i="1"/>
  <c r="J5330" i="1"/>
  <c r="E5330" i="1"/>
  <c r="J5322" i="1"/>
  <c r="E5322" i="1"/>
  <c r="J5298" i="1"/>
  <c r="E5298" i="1"/>
  <c r="J5290" i="1"/>
  <c r="E5290" i="1"/>
  <c r="J5274" i="1"/>
  <c r="E5274" i="1"/>
  <c r="J5266" i="1"/>
  <c r="E5266" i="1"/>
  <c r="J5258" i="1"/>
  <c r="E5258" i="1"/>
  <c r="J5250" i="1"/>
  <c r="E5250" i="1"/>
  <c r="J5242" i="1"/>
  <c r="E5242" i="1"/>
  <c r="J5234" i="1"/>
  <c r="E5234" i="1"/>
  <c r="J5226" i="1"/>
  <c r="E5226" i="1"/>
  <c r="J5218" i="1"/>
  <c r="E5218" i="1"/>
  <c r="J5194" i="1"/>
  <c r="E5194" i="1"/>
  <c r="J5178" i="1"/>
  <c r="E5178" i="1"/>
  <c r="J5170" i="1"/>
  <c r="E5170" i="1"/>
  <c r="J5162" i="1"/>
  <c r="E5162" i="1"/>
  <c r="J5154" i="1"/>
  <c r="E5154" i="1"/>
  <c r="J5146" i="1"/>
  <c r="E5146" i="1"/>
  <c r="J5130" i="1"/>
  <c r="E5130" i="1"/>
  <c r="J5106" i="1"/>
  <c r="E5106" i="1"/>
  <c r="J5098" i="1"/>
  <c r="E5098" i="1"/>
  <c r="J5082" i="1"/>
  <c r="E5082" i="1"/>
  <c r="J5074" i="1"/>
  <c r="E5074" i="1"/>
  <c r="J5058" i="1"/>
  <c r="E5058" i="1"/>
  <c r="J5034" i="1"/>
  <c r="E5034" i="1"/>
  <c r="J5010" i="1"/>
  <c r="E5010" i="1"/>
  <c r="J4986" i="1"/>
  <c r="E4986" i="1"/>
  <c r="J4978" i="1"/>
  <c r="E4978" i="1"/>
  <c r="J4970" i="1"/>
  <c r="E4970" i="1"/>
  <c r="J4962" i="1"/>
  <c r="E4962" i="1"/>
  <c r="J4946" i="1"/>
  <c r="E4946" i="1"/>
  <c r="J4938" i="1"/>
  <c r="E4938" i="1"/>
  <c r="J4922" i="1"/>
  <c r="E4922" i="1"/>
  <c r="J4898" i="1"/>
  <c r="E4898" i="1"/>
  <c r="J4890" i="1"/>
  <c r="E4890" i="1"/>
  <c r="J4874" i="1"/>
  <c r="E4874" i="1"/>
  <c r="J4866" i="1"/>
  <c r="E4866" i="1"/>
  <c r="J4858" i="1"/>
  <c r="E4858" i="1"/>
  <c r="J4842" i="1"/>
  <c r="E4842" i="1"/>
  <c r="J4834" i="1"/>
  <c r="E4834" i="1"/>
  <c r="J4826" i="1"/>
  <c r="E4826" i="1"/>
  <c r="J4818" i="1"/>
  <c r="E4818" i="1"/>
  <c r="J4810" i="1"/>
  <c r="E4810" i="1"/>
  <c r="J4802" i="1"/>
  <c r="E4802" i="1"/>
  <c r="J4794" i="1"/>
  <c r="E4794" i="1"/>
  <c r="J4786" i="1"/>
  <c r="E4786" i="1"/>
  <c r="J4778" i="1"/>
  <c r="E4778" i="1"/>
  <c r="J4770" i="1"/>
  <c r="E4770" i="1"/>
  <c r="J4754" i="1"/>
  <c r="E4754" i="1"/>
  <c r="J4730" i="1"/>
  <c r="E4730" i="1"/>
  <c r="J4706" i="1"/>
  <c r="E4706" i="1"/>
  <c r="J4698" i="1"/>
  <c r="E4698" i="1"/>
  <c r="J4690" i="1"/>
  <c r="E4690" i="1"/>
  <c r="J4666" i="1"/>
  <c r="E4666" i="1"/>
  <c r="J4658" i="1"/>
  <c r="E4658" i="1"/>
  <c r="J4642" i="1"/>
  <c r="E4642" i="1"/>
  <c r="J4618" i="1"/>
  <c r="E4618" i="1"/>
  <c r="J4594" i="1"/>
  <c r="E4594" i="1"/>
  <c r="J4586" i="1"/>
  <c r="E4586" i="1"/>
  <c r="J4570" i="1"/>
  <c r="E4570" i="1"/>
  <c r="J4546" i="1"/>
  <c r="E4546" i="1"/>
  <c r="J4538" i="1"/>
  <c r="E4538" i="1"/>
  <c r="J4530" i="1"/>
  <c r="E4530" i="1"/>
  <c r="J4522" i="1"/>
  <c r="E4522" i="1"/>
  <c r="J4506" i="1"/>
  <c r="E4506" i="1"/>
  <c r="J4490" i="1"/>
  <c r="E4490" i="1"/>
  <c r="J4482" i="1"/>
  <c r="E4482" i="1"/>
  <c r="J4466" i="1"/>
  <c r="E4466" i="1"/>
  <c r="J4458" i="1"/>
  <c r="E4458" i="1"/>
  <c r="J4450" i="1"/>
  <c r="E4450" i="1"/>
  <c r="J4442" i="1"/>
  <c r="E4442" i="1"/>
  <c r="J4434" i="1"/>
  <c r="E4434" i="1"/>
  <c r="J4418" i="1"/>
  <c r="E4418" i="1"/>
  <c r="J4410" i="1"/>
  <c r="E4410" i="1"/>
  <c r="J4402" i="1"/>
  <c r="E4402" i="1"/>
  <c r="J4394" i="1"/>
  <c r="E4394" i="1"/>
  <c r="J4386" i="1"/>
  <c r="E4386" i="1"/>
  <c r="J4370" i="1"/>
  <c r="E4370" i="1"/>
  <c r="J4346" i="1"/>
  <c r="E4346" i="1"/>
  <c r="J4322" i="1"/>
  <c r="E4322" i="1"/>
  <c r="J4314" i="1"/>
  <c r="E4314" i="1"/>
  <c r="J4306" i="1"/>
  <c r="E4306" i="1"/>
  <c r="J4298" i="1"/>
  <c r="E4298" i="1"/>
  <c r="J4290" i="1"/>
  <c r="E4290" i="1"/>
  <c r="J4282" i="1"/>
  <c r="E4282" i="1"/>
  <c r="J4266" i="1"/>
  <c r="E4266" i="1"/>
  <c r="J4258" i="1"/>
  <c r="E4258" i="1"/>
  <c r="J4250" i="1"/>
  <c r="E4250" i="1"/>
  <c r="J4234" i="1"/>
  <c r="E4234" i="1"/>
  <c r="J4210" i="1"/>
  <c r="E4210" i="1"/>
  <c r="J4186" i="1"/>
  <c r="E4186" i="1"/>
  <c r="J4178" i="1"/>
  <c r="E4178" i="1"/>
  <c r="J4162" i="1"/>
  <c r="E4162" i="1"/>
  <c r="J4154" i="1"/>
  <c r="E4154" i="1"/>
  <c r="J4146" i="1"/>
  <c r="E4146" i="1"/>
  <c r="J4138" i="1"/>
  <c r="E4138" i="1"/>
  <c r="J4122" i="1"/>
  <c r="E4122" i="1"/>
  <c r="J4098" i="1"/>
  <c r="E4098" i="1"/>
  <c r="J4082" i="1"/>
  <c r="E4082" i="1"/>
  <c r="J4074" i="1"/>
  <c r="E4074" i="1"/>
  <c r="J4066" i="1"/>
  <c r="E4066" i="1"/>
  <c r="J4058" i="1"/>
  <c r="E4058" i="1"/>
  <c r="J4050" i="1"/>
  <c r="E4050" i="1"/>
  <c r="J4042" i="1"/>
  <c r="E4042" i="1"/>
  <c r="J4026" i="1"/>
  <c r="E4026" i="1"/>
  <c r="J4018" i="1"/>
  <c r="E4018" i="1"/>
  <c r="J4010" i="1"/>
  <c r="E4010" i="1"/>
  <c r="J3986" i="1"/>
  <c r="E3986" i="1"/>
  <c r="J3970" i="1"/>
  <c r="E3970" i="1"/>
  <c r="J3954" i="1"/>
  <c r="E3954" i="1"/>
  <c r="J3930" i="1"/>
  <c r="E3930" i="1"/>
  <c r="J3914" i="1"/>
  <c r="E3914" i="1"/>
  <c r="J3890" i="1"/>
  <c r="E3890" i="1"/>
  <c r="J3882" i="1"/>
  <c r="E3882" i="1"/>
  <c r="J3874" i="1"/>
  <c r="E3874" i="1"/>
  <c r="J3866" i="1"/>
  <c r="E3866" i="1"/>
  <c r="J3850" i="1"/>
  <c r="E3850" i="1"/>
  <c r="J3834" i="1"/>
  <c r="E3834" i="1"/>
  <c r="J3810" i="1"/>
  <c r="E3810" i="1"/>
  <c r="J3802" i="1"/>
  <c r="E3802" i="1"/>
  <c r="J3794" i="1"/>
  <c r="E3794" i="1"/>
  <c r="J3770" i="1"/>
  <c r="E3770" i="1"/>
  <c r="I23" i="1"/>
  <c r="J23" i="1"/>
  <c r="E230" i="1"/>
  <c r="J230" i="1"/>
  <c r="I9955" i="1"/>
  <c r="J9955" i="1"/>
  <c r="I9843" i="1"/>
  <c r="J9843" i="1"/>
  <c r="I9787" i="1"/>
  <c r="J9787" i="1"/>
  <c r="I9763" i="1"/>
  <c r="J9763" i="1"/>
  <c r="I9715" i="1"/>
  <c r="J9715" i="1"/>
  <c r="I9659" i="1"/>
  <c r="J9659" i="1"/>
  <c r="I9627" i="1"/>
  <c r="J9627" i="1"/>
  <c r="I9507" i="1"/>
  <c r="J9507" i="1"/>
  <c r="I9467" i="1"/>
  <c r="J9467" i="1"/>
  <c r="I9427" i="1"/>
  <c r="J9427" i="1"/>
  <c r="I9379" i="1"/>
  <c r="J9379" i="1"/>
  <c r="I9323" i="1"/>
  <c r="J9323" i="1"/>
  <c r="I9267" i="1"/>
  <c r="J9267" i="1"/>
  <c r="I9211" i="1"/>
  <c r="J9211" i="1"/>
  <c r="I9163" i="1"/>
  <c r="J9163" i="1"/>
  <c r="I9115" i="1"/>
  <c r="J9115" i="1"/>
  <c r="I9059" i="1"/>
  <c r="J9059" i="1"/>
  <c r="I9011" i="1"/>
  <c r="J9011" i="1"/>
  <c r="I8955" i="1"/>
  <c r="J8955" i="1"/>
  <c r="I8907" i="1"/>
  <c r="J8907" i="1"/>
  <c r="I8787" i="1"/>
  <c r="J8787" i="1"/>
  <c r="I8659" i="1"/>
  <c r="J8659" i="1"/>
  <c r="I8611" i="1"/>
  <c r="J8611" i="1"/>
  <c r="I8555" i="1"/>
  <c r="J8555" i="1"/>
  <c r="I8499" i="1"/>
  <c r="J8499" i="1"/>
  <c r="I8331" i="1"/>
  <c r="J8331" i="1"/>
  <c r="I8283" i="1"/>
  <c r="J8283" i="1"/>
  <c r="I8235" i="1"/>
  <c r="J8235" i="1"/>
  <c r="I8171" i="1"/>
  <c r="J8171" i="1"/>
  <c r="I8115" i="1"/>
  <c r="J8115" i="1"/>
  <c r="I8059" i="1"/>
  <c r="J8059" i="1"/>
  <c r="I8011" i="1"/>
  <c r="J8011" i="1"/>
  <c r="I7955" i="1"/>
  <c r="J7955" i="1"/>
  <c r="I7899" i="1"/>
  <c r="J7899" i="1"/>
  <c r="I9994" i="1"/>
  <c r="J9994" i="1"/>
  <c r="I9954" i="1"/>
  <c r="J9954" i="1"/>
  <c r="I9914" i="1"/>
  <c r="J9914" i="1"/>
  <c r="I9866" i="1"/>
  <c r="J9866" i="1"/>
  <c r="I9826" i="1"/>
  <c r="J9826" i="1"/>
  <c r="I9786" i="1"/>
  <c r="J9786" i="1"/>
  <c r="I9746" i="1"/>
  <c r="J9746" i="1"/>
  <c r="I9706" i="1"/>
  <c r="J9706" i="1"/>
  <c r="I9666" i="1"/>
  <c r="J9666" i="1"/>
  <c r="I9626" i="1"/>
  <c r="J9626" i="1"/>
  <c r="I9586" i="1"/>
  <c r="J9586" i="1"/>
  <c r="I9546" i="1"/>
  <c r="J9546" i="1"/>
  <c r="I9514" i="1"/>
  <c r="J9514" i="1"/>
  <c r="E9514" i="1"/>
  <c r="I9466" i="1"/>
  <c r="J9466" i="1"/>
  <c r="I9434" i="1"/>
  <c r="J9434" i="1"/>
  <c r="E9434" i="1"/>
  <c r="I9394" i="1"/>
  <c r="J9394" i="1"/>
  <c r="I9354" i="1"/>
  <c r="J9354" i="1"/>
  <c r="E9354" i="1"/>
  <c r="I9322" i="1"/>
  <c r="J9322" i="1"/>
  <c r="I9282" i="1"/>
  <c r="J9282" i="1"/>
  <c r="I9242" i="1"/>
  <c r="J9242" i="1"/>
  <c r="I9202" i="1"/>
  <c r="J9202" i="1"/>
  <c r="I9154" i="1"/>
  <c r="J9154" i="1"/>
  <c r="I9106" i="1"/>
  <c r="J9106" i="1"/>
  <c r="I9058" i="1"/>
  <c r="J9058" i="1"/>
  <c r="I9018" i="1"/>
  <c r="J9018" i="1"/>
  <c r="E9018" i="1"/>
  <c r="I8970" i="1"/>
  <c r="J8970" i="1"/>
  <c r="E8970" i="1"/>
  <c r="I8938" i="1"/>
  <c r="J8938" i="1"/>
  <c r="I8890" i="1"/>
  <c r="J8890" i="1"/>
  <c r="E8890" i="1"/>
  <c r="I8858" i="1"/>
  <c r="J8858" i="1"/>
  <c r="I8818" i="1"/>
  <c r="J8818" i="1"/>
  <c r="E8818" i="1"/>
  <c r="I8778" i="1"/>
  <c r="J8778" i="1"/>
  <c r="E8778" i="1"/>
  <c r="I8738" i="1"/>
  <c r="J8738" i="1"/>
  <c r="I8698" i="1"/>
  <c r="J8698" i="1"/>
  <c r="I8658" i="1"/>
  <c r="J8658" i="1"/>
  <c r="I8626" i="1"/>
  <c r="J8626" i="1"/>
  <c r="E8626" i="1"/>
  <c r="I8586" i="1"/>
  <c r="J8586" i="1"/>
  <c r="E8586" i="1"/>
  <c r="I8546" i="1"/>
  <c r="J8546" i="1"/>
  <c r="I8498" i="1"/>
  <c r="J8498" i="1"/>
  <c r="E8498" i="1"/>
  <c r="I8450" i="1"/>
  <c r="J8450" i="1"/>
  <c r="E8450" i="1"/>
  <c r="I8410" i="1"/>
  <c r="J8410" i="1"/>
  <c r="I8370" i="1"/>
  <c r="J8370" i="1"/>
  <c r="I8330" i="1"/>
  <c r="J8330" i="1"/>
  <c r="I8290" i="1"/>
  <c r="J8290" i="1"/>
  <c r="I8258" i="1"/>
  <c r="J8258" i="1"/>
  <c r="I8218" i="1"/>
  <c r="J8218" i="1"/>
  <c r="I8186" i="1"/>
  <c r="J8186" i="1"/>
  <c r="I8106" i="1"/>
  <c r="J8106" i="1"/>
  <c r="J187" i="1"/>
  <c r="E163" i="1"/>
  <c r="J163" i="1"/>
  <c r="J115" i="1"/>
  <c r="E9322" i="1"/>
  <c r="E9162" i="1"/>
  <c r="E8554" i="1"/>
  <c r="E8386" i="1"/>
  <c r="E8314" i="1"/>
  <c r="E7962" i="1"/>
  <c r="E7858" i="1"/>
  <c r="E7754" i="1"/>
  <c r="E7642" i="1"/>
  <c r="E7370" i="1"/>
  <c r="E7298" i="1"/>
  <c r="E7226" i="1"/>
  <c r="E6962" i="1"/>
  <c r="E6818" i="1"/>
  <c r="E6722" i="1"/>
  <c r="E6698" i="1"/>
  <c r="E6626" i="1"/>
  <c r="E6410" i="1"/>
  <c r="E6354" i="1"/>
  <c r="E6258" i="1"/>
  <c r="E6202" i="1"/>
  <c r="E6090" i="1"/>
  <c r="E5842" i="1"/>
  <c r="E5778" i="1"/>
  <c r="E5754" i="1"/>
  <c r="E5594" i="1"/>
  <c r="E5386" i="1"/>
  <c r="E5042" i="1"/>
  <c r="E5018" i="1"/>
  <c r="E4930" i="1"/>
  <c r="E4906" i="1"/>
  <c r="E4626" i="1"/>
  <c r="E4602" i="1"/>
  <c r="E4514" i="1"/>
  <c r="E4426" i="1"/>
  <c r="I9899" i="1"/>
  <c r="J9899" i="1"/>
  <c r="I9635" i="1"/>
  <c r="J9635" i="1"/>
  <c r="I9515" i="1"/>
  <c r="J9515" i="1"/>
  <c r="I9387" i="1"/>
  <c r="J9387" i="1"/>
  <c r="I9331" i="1"/>
  <c r="J9331" i="1"/>
  <c r="I9275" i="1"/>
  <c r="J9275" i="1"/>
  <c r="I9227" i="1"/>
  <c r="J9227" i="1"/>
  <c r="I9187" i="1"/>
  <c r="J9187" i="1"/>
  <c r="I9123" i="1"/>
  <c r="J9123" i="1"/>
  <c r="I9067" i="1"/>
  <c r="J9067" i="1"/>
  <c r="I8995" i="1"/>
  <c r="J8995" i="1"/>
  <c r="I8859" i="1"/>
  <c r="J8859" i="1"/>
  <c r="I8803" i="1"/>
  <c r="J8803" i="1"/>
  <c r="I8747" i="1"/>
  <c r="J8747" i="1"/>
  <c r="I8691" i="1"/>
  <c r="J8691" i="1"/>
  <c r="I8627" i="1"/>
  <c r="J8627" i="1"/>
  <c r="I8571" i="1"/>
  <c r="J8571" i="1"/>
  <c r="I8523" i="1"/>
  <c r="J8523" i="1"/>
  <c r="I8475" i="1"/>
  <c r="J8475" i="1"/>
  <c r="I8419" i="1"/>
  <c r="J8419" i="1"/>
  <c r="I8363" i="1"/>
  <c r="J8363" i="1"/>
  <c r="I8307" i="1"/>
  <c r="J8307" i="1"/>
  <c r="I8251" i="1"/>
  <c r="J8251" i="1"/>
  <c r="I8203" i="1"/>
  <c r="J8203" i="1"/>
  <c r="I8155" i="1"/>
  <c r="J8155" i="1"/>
  <c r="I8099" i="1"/>
  <c r="J8099" i="1"/>
  <c r="I8043" i="1"/>
  <c r="J8043" i="1"/>
  <c r="I7971" i="1"/>
  <c r="J7971" i="1"/>
  <c r="I9986" i="1"/>
  <c r="J9986" i="1"/>
  <c r="I9946" i="1"/>
  <c r="J9946" i="1"/>
  <c r="E9946" i="1"/>
  <c r="I9898" i="1"/>
  <c r="J9898" i="1"/>
  <c r="I9858" i="1"/>
  <c r="J9858" i="1"/>
  <c r="I9818" i="1"/>
  <c r="J9818" i="1"/>
  <c r="I9778" i="1"/>
  <c r="J9778" i="1"/>
  <c r="I9738" i="1"/>
  <c r="J9738" i="1"/>
  <c r="E9738" i="1"/>
  <c r="I9698" i="1"/>
  <c r="J9698" i="1"/>
  <c r="I9658" i="1"/>
  <c r="J9658" i="1"/>
  <c r="I9618" i="1"/>
  <c r="J9618" i="1"/>
  <c r="I9578" i="1"/>
  <c r="J9578" i="1"/>
  <c r="E9578" i="1"/>
  <c r="I9538" i="1"/>
  <c r="J9538" i="1"/>
  <c r="I9498" i="1"/>
  <c r="J9498" i="1"/>
  <c r="I9458" i="1"/>
  <c r="J9458" i="1"/>
  <c r="I9418" i="1"/>
  <c r="J9418" i="1"/>
  <c r="I9378" i="1"/>
  <c r="J9378" i="1"/>
  <c r="I9338" i="1"/>
  <c r="J9338" i="1"/>
  <c r="I9298" i="1"/>
  <c r="J9298" i="1"/>
  <c r="E9298" i="1"/>
  <c r="I9258" i="1"/>
  <c r="J9258" i="1"/>
  <c r="I9218" i="1"/>
  <c r="J9218" i="1"/>
  <c r="I9186" i="1"/>
  <c r="J9186" i="1"/>
  <c r="I9146" i="1"/>
  <c r="J9146" i="1"/>
  <c r="I9114" i="1"/>
  <c r="J9114" i="1"/>
  <c r="E9114" i="1"/>
  <c r="I9066" i="1"/>
  <c r="J9066" i="1"/>
  <c r="I9026" i="1"/>
  <c r="J9026" i="1"/>
  <c r="I8986" i="1"/>
  <c r="J8986" i="1"/>
  <c r="E8986" i="1"/>
  <c r="I8946" i="1"/>
  <c r="J8946" i="1"/>
  <c r="I8906" i="1"/>
  <c r="J8906" i="1"/>
  <c r="I8866" i="1"/>
  <c r="J8866" i="1"/>
  <c r="I8826" i="1"/>
  <c r="J8826" i="1"/>
  <c r="I8786" i="1"/>
  <c r="J8786" i="1"/>
  <c r="I8746" i="1"/>
  <c r="J8746" i="1"/>
  <c r="I8706" i="1"/>
  <c r="J8706" i="1"/>
  <c r="I8666" i="1"/>
  <c r="J8666" i="1"/>
  <c r="I8618" i="1"/>
  <c r="J8618" i="1"/>
  <c r="E8618" i="1"/>
  <c r="I8578" i="1"/>
  <c r="J8578" i="1"/>
  <c r="I8530" i="1"/>
  <c r="J8530" i="1"/>
  <c r="E8530" i="1"/>
  <c r="I8490" i="1"/>
  <c r="J8490" i="1"/>
  <c r="I8458" i="1"/>
  <c r="J8458" i="1"/>
  <c r="E8458" i="1"/>
  <c r="I8418" i="1"/>
  <c r="J8418" i="1"/>
  <c r="I8378" i="1"/>
  <c r="J8378" i="1"/>
  <c r="I8338" i="1"/>
  <c r="J8338" i="1"/>
  <c r="I8298" i="1"/>
  <c r="J8298" i="1"/>
  <c r="I8242" i="1"/>
  <c r="J8242" i="1"/>
  <c r="I8130" i="1"/>
  <c r="J8130" i="1"/>
  <c r="E9866" i="1"/>
  <c r="E9746" i="1"/>
  <c r="E9610" i="1"/>
  <c r="E9402" i="1"/>
  <c r="E9146" i="1"/>
  <c r="E9042" i="1"/>
  <c r="E8938" i="1"/>
  <c r="E8826" i="1"/>
  <c r="E8546" i="1"/>
  <c r="E8410" i="1"/>
  <c r="E8258" i="1"/>
  <c r="E8194" i="1"/>
  <c r="E8074" i="1"/>
  <c r="E8034" i="1"/>
  <c r="E7890" i="1"/>
  <c r="E7818" i="1"/>
  <c r="E7674" i="1"/>
  <c r="E7562" i="1"/>
  <c r="E7522" i="1"/>
  <c r="E7402" i="1"/>
  <c r="E7330" i="1"/>
  <c r="E7258" i="1"/>
  <c r="E7186" i="1"/>
  <c r="E7146" i="1"/>
  <c r="E7058" i="1"/>
  <c r="E7018" i="1"/>
  <c r="E6922" i="1"/>
  <c r="E6850" i="1"/>
  <c r="E6778" i="1"/>
  <c r="E6658" i="1"/>
  <c r="E6538" i="1"/>
  <c r="E6378" i="1"/>
  <c r="E6282" i="1"/>
  <c r="E6162" i="1"/>
  <c r="E6122" i="1"/>
  <c r="E6002" i="1"/>
  <c r="E5978" i="1"/>
  <c r="E5954" i="1"/>
  <c r="E5930" i="1"/>
  <c r="E5874" i="1"/>
  <c r="E5802" i="1"/>
  <c r="E5698" i="1"/>
  <c r="E5618" i="1"/>
  <c r="E5498" i="1"/>
  <c r="E5410" i="1"/>
  <c r="E5354" i="1"/>
  <c r="E4762" i="1"/>
  <c r="E4682" i="1"/>
  <c r="I9915" i="1"/>
  <c r="J9915" i="1"/>
  <c r="I9875" i="1"/>
  <c r="J9875" i="1"/>
  <c r="I9707" i="1"/>
  <c r="J9707" i="1"/>
  <c r="I9587" i="1"/>
  <c r="J9587" i="1"/>
  <c r="I9531" i="1"/>
  <c r="J9531" i="1"/>
  <c r="I9491" i="1"/>
  <c r="J9491" i="1"/>
  <c r="I9451" i="1"/>
  <c r="J9451" i="1"/>
  <c r="I9395" i="1"/>
  <c r="J9395" i="1"/>
  <c r="I9339" i="1"/>
  <c r="J9339" i="1"/>
  <c r="I9291" i="1"/>
  <c r="J9291" i="1"/>
  <c r="I9243" i="1"/>
  <c r="J9243" i="1"/>
  <c r="I9107" i="1"/>
  <c r="J9107" i="1"/>
  <c r="I9051" i="1"/>
  <c r="J9051" i="1"/>
  <c r="I9003" i="1"/>
  <c r="J9003" i="1"/>
  <c r="I8947" i="1"/>
  <c r="J8947" i="1"/>
  <c r="I8891" i="1"/>
  <c r="J8891" i="1"/>
  <c r="I8843" i="1"/>
  <c r="J8843" i="1"/>
  <c r="I8795" i="1"/>
  <c r="J8795" i="1"/>
  <c r="I8731" i="1"/>
  <c r="J8731" i="1"/>
  <c r="I8595" i="1"/>
  <c r="J8595" i="1"/>
  <c r="I8539" i="1"/>
  <c r="J8539" i="1"/>
  <c r="I8483" i="1"/>
  <c r="J8483" i="1"/>
  <c r="I8435" i="1"/>
  <c r="J8435" i="1"/>
  <c r="I8379" i="1"/>
  <c r="J8379" i="1"/>
  <c r="I8339" i="1"/>
  <c r="J8339" i="1"/>
  <c r="I8291" i="1"/>
  <c r="J8291" i="1"/>
  <c r="I8227" i="1"/>
  <c r="J8227" i="1"/>
  <c r="I8179" i="1"/>
  <c r="J8179" i="1"/>
  <c r="I8123" i="1"/>
  <c r="J8123" i="1"/>
  <c r="I8075" i="1"/>
  <c r="J8075" i="1"/>
  <c r="I8027" i="1"/>
  <c r="J8027" i="1"/>
  <c r="I7883" i="1"/>
  <c r="J7883" i="1"/>
  <c r="I9978" i="1"/>
  <c r="J9978" i="1"/>
  <c r="I9938" i="1"/>
  <c r="J9938" i="1"/>
  <c r="I9906" i="1"/>
  <c r="J9906" i="1"/>
  <c r="E9906" i="1"/>
  <c r="I9874" i="1"/>
  <c r="J9874" i="1"/>
  <c r="E9874" i="1"/>
  <c r="I9834" i="1"/>
  <c r="J9834" i="1"/>
  <c r="E9834" i="1"/>
  <c r="I9794" i="1"/>
  <c r="J9794" i="1"/>
  <c r="I9754" i="1"/>
  <c r="J9754" i="1"/>
  <c r="E9754" i="1"/>
  <c r="I9714" i="1"/>
  <c r="J9714" i="1"/>
  <c r="I9674" i="1"/>
  <c r="J9674" i="1"/>
  <c r="E9674" i="1"/>
  <c r="I9634" i="1"/>
  <c r="J9634" i="1"/>
  <c r="I9594" i="1"/>
  <c r="J9594" i="1"/>
  <c r="E9594" i="1"/>
  <c r="I9554" i="1"/>
  <c r="J9554" i="1"/>
  <c r="I9506" i="1"/>
  <c r="J9506" i="1"/>
  <c r="I9474" i="1"/>
  <c r="J9474" i="1"/>
  <c r="I9426" i="1"/>
  <c r="J9426" i="1"/>
  <c r="E9426" i="1"/>
  <c r="I9386" i="1"/>
  <c r="J9386" i="1"/>
  <c r="I9346" i="1"/>
  <c r="J9346" i="1"/>
  <c r="I9306" i="1"/>
  <c r="J9306" i="1"/>
  <c r="I9266" i="1"/>
  <c r="J9266" i="1"/>
  <c r="E9266" i="1"/>
  <c r="I9226" i="1"/>
  <c r="J9226" i="1"/>
  <c r="E9226" i="1"/>
  <c r="I9178" i="1"/>
  <c r="J9178" i="1"/>
  <c r="E9178" i="1"/>
  <c r="I9130" i="1"/>
  <c r="J9130" i="1"/>
  <c r="I9090" i="1"/>
  <c r="J9090" i="1"/>
  <c r="I9050" i="1"/>
  <c r="J9050" i="1"/>
  <c r="E9050" i="1"/>
  <c r="I9010" i="1"/>
  <c r="J9010" i="1"/>
  <c r="I8978" i="1"/>
  <c r="J8978" i="1"/>
  <c r="I8930" i="1"/>
  <c r="J8930" i="1"/>
  <c r="I8898" i="1"/>
  <c r="J8898" i="1"/>
  <c r="I8850" i="1"/>
  <c r="J8850" i="1"/>
  <c r="I8810" i="1"/>
  <c r="J8810" i="1"/>
  <c r="I8770" i="1"/>
  <c r="J8770" i="1"/>
  <c r="I8730" i="1"/>
  <c r="J8730" i="1"/>
  <c r="E8730" i="1"/>
  <c r="I8690" i="1"/>
  <c r="J8690" i="1"/>
  <c r="E8690" i="1"/>
  <c r="I8650" i="1"/>
  <c r="J8650" i="1"/>
  <c r="I8610" i="1"/>
  <c r="J8610" i="1"/>
  <c r="I8570" i="1"/>
  <c r="J8570" i="1"/>
  <c r="E8570" i="1"/>
  <c r="I8522" i="1"/>
  <c r="J8522" i="1"/>
  <c r="E8522" i="1"/>
  <c r="I8482" i="1"/>
  <c r="J8482" i="1"/>
  <c r="E8482" i="1"/>
  <c r="I8442" i="1"/>
  <c r="J8442" i="1"/>
  <c r="I8402" i="1"/>
  <c r="J8402" i="1"/>
  <c r="E8402" i="1"/>
  <c r="I8362" i="1"/>
  <c r="J8362" i="1"/>
  <c r="I8322" i="1"/>
  <c r="J8322" i="1"/>
  <c r="I8282" i="1"/>
  <c r="J8282" i="1"/>
  <c r="I8250" i="1"/>
  <c r="J8250" i="1"/>
  <c r="E8250" i="1"/>
  <c r="I8210" i="1"/>
  <c r="J8210" i="1"/>
  <c r="I8178" i="1"/>
  <c r="J8178" i="1"/>
  <c r="I8098" i="1"/>
  <c r="J8098" i="1"/>
  <c r="E9850" i="1"/>
  <c r="E9714" i="1"/>
  <c r="E9394" i="1"/>
  <c r="E8922" i="1"/>
  <c r="E8762" i="1"/>
  <c r="E8634" i="1"/>
  <c r="E8378" i="1"/>
  <c r="E8330" i="1"/>
  <c r="E8218" i="1"/>
  <c r="E7914" i="1"/>
  <c r="E7850" i="1"/>
  <c r="E7634" i="1"/>
  <c r="E7434" i="1"/>
  <c r="E7362" i="1"/>
  <c r="E7290" i="1"/>
  <c r="E6954" i="1"/>
  <c r="E6882" i="1"/>
  <c r="E6810" i="1"/>
  <c r="E6506" i="1"/>
  <c r="E6250" i="1"/>
  <c r="E6194" i="1"/>
  <c r="E6082" i="1"/>
  <c r="E5770" i="1"/>
  <c r="E5746" i="1"/>
  <c r="E5210" i="1"/>
  <c r="E5066" i="1"/>
  <c r="E4954" i="1"/>
  <c r="E4650" i="1"/>
  <c r="E4562" i="1"/>
  <c r="I9827" i="1"/>
  <c r="J9827" i="1"/>
  <c r="I9435" i="1"/>
  <c r="J9435" i="1"/>
  <c r="I9299" i="1"/>
  <c r="J9299" i="1"/>
  <c r="I9251" i="1"/>
  <c r="J9251" i="1"/>
  <c r="I9195" i="1"/>
  <c r="J9195" i="1"/>
  <c r="I9139" i="1"/>
  <c r="J9139" i="1"/>
  <c r="I9083" i="1"/>
  <c r="J9083" i="1"/>
  <c r="I9035" i="1"/>
  <c r="J9035" i="1"/>
  <c r="I8979" i="1"/>
  <c r="J8979" i="1"/>
  <c r="I8939" i="1"/>
  <c r="J8939" i="1"/>
  <c r="I8883" i="1"/>
  <c r="J8883" i="1"/>
  <c r="I8827" i="1"/>
  <c r="J8827" i="1"/>
  <c r="I8779" i="1"/>
  <c r="J8779" i="1"/>
  <c r="I8739" i="1"/>
  <c r="J8739" i="1"/>
  <c r="I8683" i="1"/>
  <c r="J8683" i="1"/>
  <c r="I8635" i="1"/>
  <c r="J8635" i="1"/>
  <c r="I8587" i="1"/>
  <c r="J8587" i="1"/>
  <c r="I8547" i="1"/>
  <c r="J8547" i="1"/>
  <c r="I8491" i="1"/>
  <c r="J8491" i="1"/>
  <c r="I8443" i="1"/>
  <c r="J8443" i="1"/>
  <c r="I8403" i="1"/>
  <c r="J8403" i="1"/>
  <c r="I8355" i="1"/>
  <c r="J8355" i="1"/>
  <c r="I8299" i="1"/>
  <c r="J8299" i="1"/>
  <c r="I8243" i="1"/>
  <c r="J8243" i="1"/>
  <c r="I8187" i="1"/>
  <c r="J8187" i="1"/>
  <c r="I8139" i="1"/>
  <c r="J8139" i="1"/>
  <c r="I8083" i="1"/>
  <c r="J8083" i="1"/>
  <c r="I8035" i="1"/>
  <c r="J8035" i="1"/>
  <c r="I7987" i="1"/>
  <c r="J7987" i="1"/>
  <c r="I7931" i="1"/>
  <c r="J7931" i="1"/>
  <c r="I7891" i="1"/>
  <c r="J7891" i="1"/>
  <c r="I7851" i="1"/>
  <c r="J7851" i="1"/>
  <c r="I9962" i="1"/>
  <c r="J9962" i="1"/>
  <c r="I9922" i="1"/>
  <c r="J9922" i="1"/>
  <c r="I9882" i="1"/>
  <c r="J9882" i="1"/>
  <c r="E9882" i="1"/>
  <c r="I9842" i="1"/>
  <c r="J9842" i="1"/>
  <c r="I9802" i="1"/>
  <c r="J9802" i="1"/>
  <c r="E9802" i="1"/>
  <c r="I9762" i="1"/>
  <c r="J9762" i="1"/>
  <c r="I9722" i="1"/>
  <c r="J9722" i="1"/>
  <c r="E9722" i="1"/>
  <c r="I9682" i="1"/>
  <c r="J9682" i="1"/>
  <c r="I9642" i="1"/>
  <c r="J9642" i="1"/>
  <c r="E9642" i="1"/>
  <c r="I9602" i="1"/>
  <c r="J9602" i="1"/>
  <c r="I9562" i="1"/>
  <c r="J9562" i="1"/>
  <c r="E9562" i="1"/>
  <c r="I9522" i="1"/>
  <c r="J9522" i="1"/>
  <c r="I9482" i="1"/>
  <c r="J9482" i="1"/>
  <c r="I9450" i="1"/>
  <c r="J9450" i="1"/>
  <c r="I9410" i="1"/>
  <c r="J9410" i="1"/>
  <c r="I9370" i="1"/>
  <c r="J9370" i="1"/>
  <c r="E9370" i="1"/>
  <c r="I9330" i="1"/>
  <c r="J9330" i="1"/>
  <c r="I9290" i="1"/>
  <c r="J9290" i="1"/>
  <c r="I9250" i="1"/>
  <c r="J9250" i="1"/>
  <c r="I9210" i="1"/>
  <c r="J9210" i="1"/>
  <c r="I9170" i="1"/>
  <c r="J9170" i="1"/>
  <c r="E9170" i="1"/>
  <c r="I9138" i="1"/>
  <c r="J9138" i="1"/>
  <c r="I9098" i="1"/>
  <c r="J9098" i="1"/>
  <c r="E9098" i="1"/>
  <c r="I9074" i="1"/>
  <c r="J9074" i="1"/>
  <c r="I9034" i="1"/>
  <c r="J9034" i="1"/>
  <c r="E9034" i="1"/>
  <c r="I8994" i="1"/>
  <c r="J8994" i="1"/>
  <c r="I8954" i="1"/>
  <c r="J8954" i="1"/>
  <c r="E8954" i="1"/>
  <c r="I8914" i="1"/>
  <c r="J8914" i="1"/>
  <c r="E8914" i="1"/>
  <c r="I8874" i="1"/>
  <c r="J8874" i="1"/>
  <c r="I8834" i="1"/>
  <c r="J8834" i="1"/>
  <c r="I8794" i="1"/>
  <c r="J8794" i="1"/>
  <c r="I8754" i="1"/>
  <c r="J8754" i="1"/>
  <c r="I8722" i="1"/>
  <c r="J8722" i="1"/>
  <c r="I8682" i="1"/>
  <c r="J8682" i="1"/>
  <c r="I8642" i="1"/>
  <c r="J8642" i="1"/>
  <c r="E8642" i="1"/>
  <c r="I8602" i="1"/>
  <c r="J8602" i="1"/>
  <c r="I8562" i="1"/>
  <c r="J8562" i="1"/>
  <c r="E8562" i="1"/>
  <c r="I8538" i="1"/>
  <c r="J8538" i="1"/>
  <c r="I8506" i="1"/>
  <c r="J8506" i="1"/>
  <c r="E8506" i="1"/>
  <c r="I8474" i="1"/>
  <c r="J8474" i="1"/>
  <c r="E8474" i="1"/>
  <c r="I8434" i="1"/>
  <c r="J8434" i="1"/>
  <c r="E8434" i="1"/>
  <c r="I8394" i="1"/>
  <c r="J8394" i="1"/>
  <c r="I8354" i="1"/>
  <c r="J8354" i="1"/>
  <c r="I8306" i="1"/>
  <c r="J8306" i="1"/>
  <c r="E8306" i="1"/>
  <c r="I8266" i="1"/>
  <c r="J8266" i="1"/>
  <c r="I8226" i="1"/>
  <c r="J8226" i="1"/>
  <c r="E8226" i="1"/>
  <c r="I8202" i="1"/>
  <c r="J8202" i="1"/>
  <c r="E8202" i="1"/>
  <c r="I8162" i="1"/>
  <c r="J8162" i="1"/>
  <c r="I8114" i="1"/>
  <c r="J8114" i="1"/>
  <c r="E8114" i="1"/>
  <c r="E9938" i="1"/>
  <c r="E9842" i="1"/>
  <c r="E9706" i="1"/>
  <c r="E9586" i="1"/>
  <c r="E9466" i="1"/>
  <c r="E9386" i="1"/>
  <c r="E9258" i="1"/>
  <c r="E9202" i="1"/>
  <c r="E9130" i="1"/>
  <c r="E9010" i="1"/>
  <c r="E8906" i="1"/>
  <c r="E8810" i="1"/>
  <c r="E8698" i="1"/>
  <c r="E8610" i="1"/>
  <c r="E8186" i="1"/>
  <c r="E8106" i="1"/>
  <c r="E8066" i="1"/>
  <c r="E7978" i="1"/>
  <c r="E7946" i="1"/>
  <c r="E7882" i="1"/>
  <c r="E7810" i="1"/>
  <c r="E7738" i="1"/>
  <c r="E7706" i="1"/>
  <c r="E7594" i="1"/>
  <c r="E7554" i="1"/>
  <c r="E7466" i="1"/>
  <c r="E7394" i="1"/>
  <c r="E7322" i="1"/>
  <c r="E7218" i="1"/>
  <c r="E7178" i="1"/>
  <c r="E7090" i="1"/>
  <c r="E7050" i="1"/>
  <c r="E6986" i="1"/>
  <c r="E6842" i="1"/>
  <c r="E6770" i="1"/>
  <c r="E6714" i="1"/>
  <c r="E6682" i="1"/>
  <c r="E6650" i="1"/>
  <c r="E6570" i="1"/>
  <c r="E6434" i="1"/>
  <c r="E6402" i="1"/>
  <c r="E6114" i="1"/>
  <c r="E5922" i="1"/>
  <c r="E5794" i="1"/>
  <c r="E5714" i="1"/>
  <c r="E5634" i="1"/>
  <c r="E5402" i="1"/>
  <c r="E5378" i="1"/>
  <c r="E5186" i="1"/>
  <c r="E5122" i="1"/>
  <c r="E5090" i="1"/>
  <c r="E4850" i="1"/>
  <c r="E4674" i="1"/>
  <c r="I9947" i="1"/>
  <c r="J9947" i="1"/>
  <c r="I9835" i="1"/>
  <c r="J9835" i="1"/>
  <c r="I9723" i="1"/>
  <c r="J9723" i="1"/>
  <c r="I9675" i="1"/>
  <c r="J9675" i="1"/>
  <c r="I9419" i="1"/>
  <c r="J9419" i="1"/>
  <c r="I9371" i="1"/>
  <c r="J9371" i="1"/>
  <c r="I9315" i="1"/>
  <c r="J9315" i="1"/>
  <c r="I9179" i="1"/>
  <c r="J9179" i="1"/>
  <c r="I9131" i="1"/>
  <c r="J9131" i="1"/>
  <c r="I9075" i="1"/>
  <c r="J9075" i="1"/>
  <c r="I9019" i="1"/>
  <c r="J9019" i="1"/>
  <c r="I8971" i="1"/>
  <c r="J8971" i="1"/>
  <c r="I8923" i="1"/>
  <c r="J8923" i="1"/>
  <c r="I8867" i="1"/>
  <c r="J8867" i="1"/>
  <c r="I8811" i="1"/>
  <c r="J8811" i="1"/>
  <c r="I8755" i="1"/>
  <c r="J8755" i="1"/>
  <c r="I8699" i="1"/>
  <c r="J8699" i="1"/>
  <c r="I8651" i="1"/>
  <c r="J8651" i="1"/>
  <c r="I8603" i="1"/>
  <c r="J8603" i="1"/>
  <c r="I8467" i="1"/>
  <c r="J8467" i="1"/>
  <c r="I8427" i="1"/>
  <c r="J8427" i="1"/>
  <c r="I8371" i="1"/>
  <c r="J8371" i="1"/>
  <c r="I8315" i="1"/>
  <c r="J8315" i="1"/>
  <c r="I8275" i="1"/>
  <c r="J8275" i="1"/>
  <c r="I8219" i="1"/>
  <c r="J8219" i="1"/>
  <c r="I8163" i="1"/>
  <c r="J8163" i="1"/>
  <c r="I8107" i="1"/>
  <c r="J8107" i="1"/>
  <c r="I8051" i="1"/>
  <c r="J8051" i="1"/>
  <c r="I7995" i="1"/>
  <c r="J7995" i="1"/>
  <c r="I7947" i="1"/>
  <c r="J7947" i="1"/>
  <c r="I7907" i="1"/>
  <c r="J7907" i="1"/>
  <c r="I7867" i="1"/>
  <c r="J7867" i="1"/>
  <c r="E9818" i="1"/>
  <c r="E9690" i="1"/>
  <c r="E9554" i="1"/>
  <c r="E9458" i="1"/>
  <c r="E9362" i="1"/>
  <c r="E9194" i="1"/>
  <c r="E9106" i="1"/>
  <c r="E8874" i="1"/>
  <c r="E8754" i="1"/>
  <c r="E8682" i="1"/>
  <c r="E8602" i="1"/>
  <c r="E8466" i="1"/>
  <c r="E8298" i="1"/>
  <c r="E8274" i="1"/>
  <c r="E7906" i="1"/>
  <c r="E7842" i="1"/>
  <c r="E7770" i="1"/>
  <c r="E7426" i="1"/>
  <c r="E7354" i="1"/>
  <c r="E7242" i="1"/>
  <c r="E7010" i="1"/>
  <c r="E6906" i="1"/>
  <c r="E6874" i="1"/>
  <c r="E6802" i="1"/>
  <c r="E6530" i="1"/>
  <c r="E6370" i="1"/>
  <c r="E6306" i="1"/>
  <c r="E6274" i="1"/>
  <c r="I9997" i="1"/>
  <c r="J9997" i="1"/>
  <c r="I9989" i="1"/>
  <c r="J9989" i="1"/>
  <c r="I9981" i="1"/>
  <c r="J9981" i="1"/>
  <c r="I9973" i="1"/>
  <c r="J9973" i="1"/>
  <c r="I9965" i="1"/>
  <c r="J9965" i="1"/>
  <c r="I9957" i="1"/>
  <c r="J9957" i="1"/>
  <c r="I9949" i="1"/>
  <c r="J9949" i="1"/>
  <c r="I9941" i="1"/>
  <c r="J9941" i="1"/>
  <c r="I9933" i="1"/>
  <c r="J9933" i="1"/>
  <c r="I9925" i="1"/>
  <c r="J9925" i="1"/>
  <c r="I9917" i="1"/>
  <c r="J9917" i="1"/>
  <c r="I9909" i="1"/>
  <c r="J9909" i="1"/>
  <c r="I9901" i="1"/>
  <c r="J9901" i="1"/>
  <c r="I9893" i="1"/>
  <c r="J9893" i="1"/>
  <c r="I9885" i="1"/>
  <c r="J9885" i="1"/>
  <c r="I9877" i="1"/>
  <c r="J9877" i="1"/>
  <c r="I9869" i="1"/>
  <c r="J9869" i="1"/>
  <c r="I9861" i="1"/>
  <c r="J9861" i="1"/>
  <c r="I9853" i="1"/>
  <c r="J9853" i="1"/>
  <c r="I9845" i="1"/>
  <c r="J9845" i="1"/>
  <c r="I9837" i="1"/>
  <c r="J9837" i="1"/>
  <c r="I9829" i="1"/>
  <c r="J9829" i="1"/>
  <c r="I9821" i="1"/>
  <c r="J9821" i="1"/>
  <c r="I9813" i="1"/>
  <c r="J9813" i="1"/>
  <c r="I9805" i="1"/>
  <c r="J9805" i="1"/>
  <c r="I9797" i="1"/>
  <c r="J9797" i="1"/>
  <c r="I9789" i="1"/>
  <c r="J9789" i="1"/>
  <c r="I9781" i="1"/>
  <c r="J9781" i="1"/>
  <c r="I9773" i="1"/>
  <c r="J9773" i="1"/>
  <c r="I9765" i="1"/>
  <c r="J9765" i="1"/>
  <c r="I9757" i="1"/>
  <c r="J9757" i="1"/>
  <c r="I9749" i="1"/>
  <c r="J9749" i="1"/>
  <c r="I9741" i="1"/>
  <c r="J9741" i="1"/>
  <c r="I9733" i="1"/>
  <c r="J9733" i="1"/>
  <c r="I9725" i="1"/>
  <c r="J9725" i="1"/>
  <c r="I9717" i="1"/>
  <c r="J9717" i="1"/>
  <c r="I9709" i="1"/>
  <c r="J9709" i="1"/>
  <c r="I9701" i="1"/>
  <c r="J9701" i="1"/>
  <c r="I9693" i="1"/>
  <c r="J9693" i="1"/>
  <c r="I9685" i="1"/>
  <c r="J9685" i="1"/>
  <c r="I9677" i="1"/>
  <c r="J9677" i="1"/>
  <c r="I9669" i="1"/>
  <c r="J9669" i="1"/>
  <c r="I9661" i="1"/>
  <c r="J9661" i="1"/>
  <c r="I9653" i="1"/>
  <c r="J9653" i="1"/>
  <c r="I9645" i="1"/>
  <c r="J9645" i="1"/>
  <c r="I9637" i="1"/>
  <c r="J9637" i="1"/>
  <c r="I9629" i="1"/>
  <c r="J9629" i="1"/>
  <c r="I9621" i="1"/>
  <c r="J9621" i="1"/>
  <c r="I9613" i="1"/>
  <c r="J9613" i="1"/>
  <c r="I9605" i="1"/>
  <c r="J9605" i="1"/>
  <c r="I9597" i="1"/>
  <c r="J9597" i="1"/>
  <c r="I9589" i="1"/>
  <c r="J9589" i="1"/>
  <c r="I9581" i="1"/>
  <c r="J9581" i="1"/>
  <c r="I9573" i="1"/>
  <c r="J9573" i="1"/>
  <c r="I9565" i="1"/>
  <c r="J9565" i="1"/>
  <c r="I9557" i="1"/>
  <c r="J9557" i="1"/>
  <c r="I9549" i="1"/>
  <c r="J9549" i="1"/>
  <c r="I9541" i="1"/>
  <c r="J9541" i="1"/>
  <c r="I9533" i="1"/>
  <c r="J9533" i="1"/>
  <c r="I9525" i="1"/>
  <c r="J9525" i="1"/>
  <c r="I9517" i="1"/>
  <c r="J9517" i="1"/>
  <c r="I9509" i="1"/>
  <c r="J9509" i="1"/>
  <c r="I9501" i="1"/>
  <c r="J9501" i="1"/>
  <c r="I9493" i="1"/>
  <c r="J9493" i="1"/>
  <c r="I9485" i="1"/>
  <c r="J9485" i="1"/>
  <c r="I9477" i="1"/>
  <c r="J9477" i="1"/>
  <c r="I9469" i="1"/>
  <c r="J9469" i="1"/>
  <c r="I9461" i="1"/>
  <c r="J9461" i="1"/>
  <c r="I9453" i="1"/>
  <c r="J9453" i="1"/>
  <c r="I9445" i="1"/>
  <c r="J9445" i="1"/>
  <c r="I9437" i="1"/>
  <c r="J9437" i="1"/>
  <c r="I9429" i="1"/>
  <c r="J9429" i="1"/>
  <c r="I9421" i="1"/>
  <c r="J9421" i="1"/>
  <c r="I9413" i="1"/>
  <c r="J9413" i="1"/>
  <c r="I9405" i="1"/>
  <c r="J9405" i="1"/>
  <c r="I9397" i="1"/>
  <c r="J9397" i="1"/>
  <c r="I9389" i="1"/>
  <c r="J9389" i="1"/>
  <c r="I9381" i="1"/>
  <c r="J9381" i="1"/>
  <c r="I9373" i="1"/>
  <c r="J9373" i="1"/>
  <c r="I9365" i="1"/>
  <c r="J9365" i="1"/>
  <c r="I9357" i="1"/>
  <c r="J9357" i="1"/>
  <c r="I9349" i="1"/>
  <c r="J9349" i="1"/>
  <c r="I9341" i="1"/>
  <c r="J9341" i="1"/>
  <c r="I9333" i="1"/>
  <c r="J9333" i="1"/>
  <c r="I9325" i="1"/>
  <c r="J9325" i="1"/>
  <c r="I9317" i="1"/>
  <c r="J9317" i="1"/>
  <c r="I9309" i="1"/>
  <c r="J9309" i="1"/>
  <c r="I9301" i="1"/>
  <c r="J9301" i="1"/>
  <c r="I9293" i="1"/>
  <c r="J9293" i="1"/>
  <c r="I9285" i="1"/>
  <c r="J9285" i="1"/>
  <c r="I9277" i="1"/>
  <c r="J9277" i="1"/>
  <c r="I9269" i="1"/>
  <c r="J9269" i="1"/>
  <c r="I9261" i="1"/>
  <c r="J9261" i="1"/>
  <c r="I9253" i="1"/>
  <c r="J9253" i="1"/>
  <c r="I9245" i="1"/>
  <c r="J9245" i="1"/>
  <c r="I9237" i="1"/>
  <c r="J9237" i="1"/>
  <c r="I9229" i="1"/>
  <c r="J9229" i="1"/>
  <c r="I9221" i="1"/>
  <c r="J9221" i="1"/>
  <c r="I9213" i="1"/>
  <c r="J9213" i="1"/>
  <c r="I9205" i="1"/>
  <c r="J9205" i="1"/>
  <c r="I9197" i="1"/>
  <c r="J9197" i="1"/>
  <c r="I9189" i="1"/>
  <c r="J9189" i="1"/>
  <c r="I9181" i="1"/>
  <c r="J9181" i="1"/>
  <c r="I9173" i="1"/>
  <c r="J9173" i="1"/>
  <c r="I9165" i="1"/>
  <c r="J9165" i="1"/>
  <c r="I9157" i="1"/>
  <c r="J9157" i="1"/>
  <c r="I9149" i="1"/>
  <c r="J9149" i="1"/>
  <c r="I9141" i="1"/>
  <c r="J9141" i="1"/>
  <c r="I9133" i="1"/>
  <c r="J9133" i="1"/>
  <c r="I9125" i="1"/>
  <c r="J9125" i="1"/>
  <c r="I9117" i="1"/>
  <c r="J9117" i="1"/>
  <c r="I9109" i="1"/>
  <c r="J9109" i="1"/>
  <c r="I9101" i="1"/>
  <c r="J9101" i="1"/>
  <c r="I9093" i="1"/>
  <c r="J9093" i="1"/>
  <c r="I9085" i="1"/>
  <c r="J9085" i="1"/>
  <c r="I9077" i="1"/>
  <c r="J9077" i="1"/>
  <c r="I9069" i="1"/>
  <c r="J9069" i="1"/>
  <c r="I9061" i="1"/>
  <c r="J9061" i="1"/>
  <c r="I9053" i="1"/>
  <c r="J9053" i="1"/>
  <c r="I9045" i="1"/>
  <c r="J9045" i="1"/>
  <c r="I9037" i="1"/>
  <c r="J9037" i="1"/>
  <c r="I9029" i="1"/>
  <c r="J9029" i="1"/>
  <c r="I9021" i="1"/>
  <c r="J9021" i="1"/>
  <c r="I9013" i="1"/>
  <c r="J9013" i="1"/>
  <c r="I9005" i="1"/>
  <c r="J9005" i="1"/>
  <c r="I8997" i="1"/>
  <c r="J8997" i="1"/>
  <c r="I8989" i="1"/>
  <c r="J8989" i="1"/>
  <c r="I8981" i="1"/>
  <c r="J8981" i="1"/>
  <c r="I8973" i="1"/>
  <c r="J8973" i="1"/>
  <c r="I8965" i="1"/>
  <c r="J8965" i="1"/>
  <c r="I8957" i="1"/>
  <c r="J8957" i="1"/>
  <c r="I8949" i="1"/>
  <c r="J8949" i="1"/>
  <c r="I8941" i="1"/>
  <c r="J8941" i="1"/>
  <c r="I8933" i="1"/>
  <c r="J8933" i="1"/>
  <c r="I8925" i="1"/>
  <c r="J8925" i="1"/>
  <c r="I8917" i="1"/>
  <c r="J8917" i="1"/>
  <c r="I8909" i="1"/>
  <c r="J8909" i="1"/>
  <c r="I8901" i="1"/>
  <c r="J8901" i="1"/>
  <c r="I8893" i="1"/>
  <c r="J8893" i="1"/>
  <c r="I8885" i="1"/>
  <c r="J8885" i="1"/>
  <c r="I8877" i="1"/>
  <c r="J8877" i="1"/>
  <c r="I8869" i="1"/>
  <c r="J8869" i="1"/>
  <c r="I8861" i="1"/>
  <c r="J8861" i="1"/>
  <c r="I8853" i="1"/>
  <c r="J8853" i="1"/>
  <c r="I8845" i="1"/>
  <c r="J8845" i="1"/>
  <c r="I8837" i="1"/>
  <c r="J8837" i="1"/>
  <c r="I8829" i="1"/>
  <c r="J8829" i="1"/>
  <c r="I8821" i="1"/>
  <c r="J8821" i="1"/>
  <c r="I8813" i="1"/>
  <c r="J8813" i="1"/>
  <c r="I8805" i="1"/>
  <c r="J8805" i="1"/>
  <c r="I8797" i="1"/>
  <c r="J8797" i="1"/>
  <c r="I8789" i="1"/>
  <c r="J8789" i="1"/>
  <c r="I8781" i="1"/>
  <c r="J8781" i="1"/>
  <c r="I8773" i="1"/>
  <c r="J8773" i="1"/>
  <c r="I8765" i="1"/>
  <c r="J8765" i="1"/>
  <c r="I8757" i="1"/>
  <c r="J8757" i="1"/>
  <c r="I8749" i="1"/>
  <c r="J8749" i="1"/>
  <c r="I8741" i="1"/>
  <c r="J8741" i="1"/>
  <c r="I8733" i="1"/>
  <c r="J8733" i="1"/>
  <c r="I8725" i="1"/>
  <c r="J8725" i="1"/>
  <c r="I8717" i="1"/>
  <c r="J8717" i="1"/>
  <c r="I8709" i="1"/>
  <c r="J8709" i="1"/>
  <c r="I8701" i="1"/>
  <c r="J8701" i="1"/>
  <c r="I8693" i="1"/>
  <c r="J8693" i="1"/>
  <c r="I8685" i="1"/>
  <c r="J8685" i="1"/>
  <c r="I8677" i="1"/>
  <c r="J8677" i="1"/>
  <c r="I8669" i="1"/>
  <c r="J8669" i="1"/>
  <c r="I8661" i="1"/>
  <c r="J8661" i="1"/>
  <c r="I8653" i="1"/>
  <c r="J8653" i="1"/>
  <c r="I8645" i="1"/>
  <c r="J8645" i="1"/>
  <c r="I8637" i="1"/>
  <c r="J8637" i="1"/>
  <c r="I8629" i="1"/>
  <c r="J8629" i="1"/>
  <c r="I8621" i="1"/>
  <c r="J8621" i="1"/>
  <c r="I8613" i="1"/>
  <c r="J8613" i="1"/>
  <c r="I8605" i="1"/>
  <c r="J8605" i="1"/>
  <c r="I8597" i="1"/>
  <c r="J8597" i="1"/>
  <c r="I8589" i="1"/>
  <c r="J8589" i="1"/>
  <c r="I8581" i="1"/>
  <c r="J8581" i="1"/>
  <c r="I8573" i="1"/>
  <c r="J8573" i="1"/>
  <c r="I8565" i="1"/>
  <c r="J8565" i="1"/>
  <c r="I8557" i="1"/>
  <c r="J8557" i="1"/>
  <c r="I8549" i="1"/>
  <c r="J8549" i="1"/>
  <c r="I8541" i="1"/>
  <c r="J8541" i="1"/>
  <c r="I8533" i="1"/>
  <c r="J8533" i="1"/>
  <c r="I8525" i="1"/>
  <c r="J8525" i="1"/>
  <c r="I8517" i="1"/>
  <c r="J8517" i="1"/>
  <c r="I8509" i="1"/>
  <c r="J8509" i="1"/>
  <c r="I8501" i="1"/>
  <c r="J8501" i="1"/>
  <c r="I8493" i="1"/>
  <c r="J8493" i="1"/>
  <c r="I8485" i="1"/>
  <c r="J8485" i="1"/>
  <c r="I8477" i="1"/>
  <c r="J8477" i="1"/>
  <c r="I8469" i="1"/>
  <c r="J8469" i="1"/>
  <c r="I8461" i="1"/>
  <c r="J8461" i="1"/>
  <c r="I8453" i="1"/>
  <c r="J8453" i="1"/>
  <c r="I8445" i="1"/>
  <c r="J8445" i="1"/>
  <c r="I8437" i="1"/>
  <c r="J8437" i="1"/>
  <c r="I8429" i="1"/>
  <c r="J8429" i="1"/>
  <c r="I8421" i="1"/>
  <c r="J8421" i="1"/>
  <c r="I8413" i="1"/>
  <c r="J8413" i="1"/>
  <c r="I8405" i="1"/>
  <c r="J8405" i="1"/>
  <c r="I8397" i="1"/>
  <c r="J8397" i="1"/>
  <c r="I8389" i="1"/>
  <c r="J8389" i="1"/>
  <c r="I8381" i="1"/>
  <c r="J8381" i="1"/>
  <c r="I8373" i="1"/>
  <c r="J8373" i="1"/>
  <c r="I8365" i="1"/>
  <c r="J8365" i="1"/>
  <c r="I8357" i="1"/>
  <c r="J8357" i="1"/>
  <c r="I8349" i="1"/>
  <c r="J8349" i="1"/>
  <c r="I8341" i="1"/>
  <c r="J8341" i="1"/>
  <c r="I8333" i="1"/>
  <c r="J8333" i="1"/>
  <c r="I8325" i="1"/>
  <c r="J8325" i="1"/>
  <c r="I8317" i="1"/>
  <c r="J8317" i="1"/>
  <c r="I8309" i="1"/>
  <c r="J8309" i="1"/>
  <c r="I8301" i="1"/>
  <c r="J8301" i="1"/>
  <c r="E3730" i="1"/>
  <c r="E3570" i="1"/>
  <c r="E3442" i="1"/>
  <c r="E3426" i="1"/>
  <c r="E3394" i="1"/>
  <c r="I1395" i="1"/>
  <c r="J1395" i="1"/>
  <c r="I1331" i="1"/>
  <c r="J1331" i="1"/>
  <c r="J1219" i="1"/>
  <c r="J3498" i="1"/>
  <c r="E3498" i="1"/>
  <c r="J3482" i="1"/>
  <c r="E3482" i="1"/>
  <c r="J3466" i="1"/>
  <c r="E3466" i="1"/>
  <c r="J3346" i="1"/>
  <c r="E3346" i="1"/>
  <c r="J3274" i="1"/>
  <c r="E3274" i="1"/>
  <c r="J3226" i="1"/>
  <c r="E3226" i="1"/>
  <c r="J3194" i="1"/>
  <c r="E3194" i="1"/>
  <c r="J3010" i="1"/>
  <c r="E3010" i="1"/>
  <c r="J2434" i="1"/>
  <c r="E2434" i="1"/>
  <c r="J2418" i="1"/>
  <c r="E2418" i="1"/>
  <c r="J2402" i="1"/>
  <c r="E2402" i="1"/>
  <c r="J2386" i="1"/>
  <c r="E2386" i="1"/>
  <c r="J2378" i="1"/>
  <c r="E2378" i="1"/>
  <c r="J2354" i="1"/>
  <c r="E2354" i="1"/>
  <c r="J2346" i="1"/>
  <c r="E2346" i="1"/>
  <c r="J2338" i="1"/>
  <c r="E2338" i="1"/>
  <c r="J2322" i="1"/>
  <c r="E2322" i="1"/>
  <c r="J2314" i="1"/>
  <c r="E2314" i="1"/>
  <c r="J2218" i="1"/>
  <c r="E2218" i="1"/>
  <c r="J2210" i="1"/>
  <c r="E2210" i="1"/>
  <c r="J2202" i="1"/>
  <c r="E2202" i="1"/>
  <c r="J2194" i="1"/>
  <c r="E2194" i="1"/>
  <c r="J2114" i="1"/>
  <c r="E2114" i="1"/>
  <c r="J2106" i="1"/>
  <c r="E2106" i="1"/>
  <c r="J2098" i="1"/>
  <c r="E2098" i="1"/>
  <c r="J2090" i="1"/>
  <c r="E2090" i="1"/>
  <c r="J2082" i="1"/>
  <c r="E2082" i="1"/>
  <c r="J2010" i="1"/>
  <c r="E2010" i="1"/>
  <c r="J1994" i="1"/>
  <c r="E1994" i="1"/>
  <c r="J1922" i="1"/>
  <c r="E1922" i="1"/>
  <c r="J1914" i="1"/>
  <c r="E1914" i="1"/>
  <c r="J1850" i="1"/>
  <c r="E1850" i="1"/>
  <c r="J1834" i="1"/>
  <c r="E1834" i="1"/>
  <c r="J1818" i="1"/>
  <c r="E1818" i="1"/>
  <c r="J1810" i="1"/>
  <c r="E1810" i="1"/>
  <c r="J1802" i="1"/>
  <c r="E1802" i="1"/>
  <c r="J1762" i="1"/>
  <c r="E1762" i="1"/>
  <c r="J1746" i="1"/>
  <c r="E1746" i="1"/>
  <c r="J1674" i="1"/>
  <c r="E1674" i="1"/>
  <c r="J1666" i="1"/>
  <c r="E1666" i="1"/>
  <c r="J1658" i="1"/>
  <c r="E1658" i="1"/>
  <c r="J1650" i="1"/>
  <c r="E1650" i="1"/>
  <c r="J1642" i="1"/>
  <c r="E1642" i="1"/>
  <c r="J1634" i="1"/>
  <c r="E1634" i="1"/>
  <c r="J1586" i="1"/>
  <c r="E1586" i="1"/>
  <c r="J1570" i="1"/>
  <c r="E1570" i="1"/>
  <c r="J1562" i="1"/>
  <c r="E1562" i="1"/>
  <c r="J1554" i="1"/>
  <c r="E1554" i="1"/>
  <c r="J1546" i="1"/>
  <c r="E1546" i="1"/>
  <c r="J1538" i="1"/>
  <c r="E1538" i="1"/>
  <c r="J1530" i="1"/>
  <c r="E1530" i="1"/>
  <c r="J1522" i="1"/>
  <c r="E1522" i="1"/>
  <c r="J1514" i="1"/>
  <c r="E1514" i="1"/>
  <c r="J1466" i="1"/>
  <c r="E1466" i="1"/>
  <c r="J1450" i="1"/>
  <c r="E1450" i="1"/>
  <c r="J1442" i="1"/>
  <c r="E1442" i="1"/>
  <c r="J1394" i="1"/>
  <c r="E1394" i="1"/>
  <c r="J1386" i="1"/>
  <c r="E1386" i="1"/>
  <c r="J1378" i="1"/>
  <c r="E1378" i="1"/>
  <c r="J1370" i="1"/>
  <c r="E1370" i="1"/>
  <c r="J1338" i="1"/>
  <c r="E1338" i="1"/>
  <c r="J1330" i="1"/>
  <c r="E1330" i="1"/>
  <c r="J1322" i="1"/>
  <c r="E1322" i="1"/>
  <c r="J1314" i="1"/>
  <c r="E1314" i="1"/>
  <c r="J1282" i="1"/>
  <c r="E1282" i="1"/>
  <c r="J1210" i="1"/>
  <c r="E1210" i="1"/>
  <c r="J1202" i="1"/>
  <c r="E1202" i="1"/>
  <c r="J1138" i="1"/>
  <c r="E1138" i="1"/>
  <c r="J1098" i="1"/>
  <c r="E1098" i="1"/>
  <c r="J1082" i="1"/>
  <c r="E1082" i="1"/>
  <c r="J1042" i="1"/>
  <c r="E1042" i="1"/>
  <c r="J1026" i="1"/>
  <c r="E1026" i="1"/>
  <c r="J986" i="1"/>
  <c r="E986" i="1"/>
  <c r="J970" i="1"/>
  <c r="E970" i="1"/>
  <c r="J962" i="1"/>
  <c r="E962" i="1"/>
  <c r="J954" i="1"/>
  <c r="E954" i="1"/>
  <c r="J946" i="1"/>
  <c r="E946" i="1"/>
  <c r="J938" i="1"/>
  <c r="E938" i="1"/>
  <c r="J898" i="1"/>
  <c r="E898" i="1"/>
  <c r="J882" i="1"/>
  <c r="E882" i="1"/>
  <c r="J866" i="1"/>
  <c r="E866" i="1"/>
  <c r="J826" i="1"/>
  <c r="E826" i="1"/>
  <c r="J810" i="1"/>
  <c r="E810" i="1"/>
  <c r="J786" i="1"/>
  <c r="E786" i="1"/>
  <c r="J770" i="1"/>
  <c r="E770" i="1"/>
  <c r="J730" i="1"/>
  <c r="E730" i="1"/>
  <c r="J714" i="1"/>
  <c r="E714" i="1"/>
  <c r="J706" i="1"/>
  <c r="E706" i="1"/>
  <c r="J698" i="1"/>
  <c r="E698" i="1"/>
  <c r="J642" i="1"/>
  <c r="E642" i="1"/>
  <c r="J634" i="1"/>
  <c r="E634" i="1"/>
  <c r="J626" i="1"/>
  <c r="E626" i="1"/>
  <c r="J602" i="1"/>
  <c r="E602" i="1"/>
  <c r="J594" i="1"/>
  <c r="E594" i="1"/>
  <c r="J586" i="1"/>
  <c r="E586" i="1"/>
  <c r="J578" i="1"/>
  <c r="E578" i="1"/>
  <c r="J570" i="1"/>
  <c r="E570" i="1"/>
  <c r="J562" i="1"/>
  <c r="E562" i="1"/>
  <c r="J546" i="1"/>
  <c r="E546" i="1"/>
  <c r="J538" i="1"/>
  <c r="E538" i="1"/>
  <c r="J530" i="1"/>
  <c r="E530" i="1"/>
  <c r="J522" i="1"/>
  <c r="E522" i="1"/>
  <c r="J514" i="1"/>
  <c r="E514" i="1"/>
  <c r="J474" i="1"/>
  <c r="E474" i="1"/>
  <c r="J466" i="1"/>
  <c r="E466" i="1"/>
  <c r="J458" i="1"/>
  <c r="E458" i="1"/>
  <c r="J442" i="1"/>
  <c r="E442" i="1"/>
  <c r="J402" i="1"/>
  <c r="E402" i="1"/>
  <c r="J394" i="1"/>
  <c r="E394" i="1"/>
  <c r="J386" i="1"/>
  <c r="E386" i="1"/>
  <c r="J378" i="1"/>
  <c r="E378" i="1"/>
  <c r="J370" i="1"/>
  <c r="E370" i="1"/>
  <c r="J354" i="1"/>
  <c r="E354" i="1"/>
  <c r="J330" i="1"/>
  <c r="E330" i="1"/>
  <c r="J314" i="1"/>
  <c r="E314" i="1"/>
  <c r="J306" i="1"/>
  <c r="E306" i="1"/>
  <c r="E3722" i="1"/>
  <c r="E3706" i="1"/>
  <c r="E3578" i="1"/>
  <c r="E3562" i="1"/>
  <c r="E3402" i="1"/>
  <c r="E3370" i="1"/>
  <c r="E3330" i="1"/>
  <c r="E3170" i="1"/>
  <c r="E3154" i="1"/>
  <c r="E3090" i="1"/>
  <c r="E3074" i="1"/>
  <c r="E3042" i="1"/>
  <c r="E2986" i="1"/>
  <c r="E2970" i="1"/>
  <c r="E2954" i="1"/>
  <c r="E2642" i="1"/>
  <c r="E2578" i="1"/>
  <c r="E2426" i="1"/>
  <c r="E2410" i="1"/>
  <c r="E2330" i="1"/>
  <c r="E2298" i="1"/>
  <c r="E2282" i="1"/>
  <c r="E2266" i="1"/>
  <c r="E2250" i="1"/>
  <c r="E2186" i="1"/>
  <c r="E2170" i="1"/>
  <c r="E2154" i="1"/>
  <c r="E2138" i="1"/>
  <c r="E2042" i="1"/>
  <c r="E2026" i="1"/>
  <c r="J9982" i="1"/>
  <c r="E3738" i="1"/>
  <c r="E3490" i="1"/>
  <c r="E3754" i="1"/>
  <c r="E3618" i="1"/>
  <c r="E3602" i="1"/>
  <c r="E3522" i="1"/>
  <c r="E3506" i="1"/>
  <c r="E3290" i="1"/>
  <c r="E3258" i="1"/>
  <c r="E3202" i="1"/>
  <c r="E3018" i="1"/>
  <c r="E2850" i="1"/>
  <c r="E2834" i="1"/>
  <c r="E2818" i="1"/>
  <c r="E2802" i="1"/>
  <c r="E2786" i="1"/>
  <c r="E2746" i="1"/>
  <c r="E2730" i="1"/>
  <c r="E2714" i="1"/>
  <c r="E2698" i="1"/>
  <c r="E2522" i="1"/>
  <c r="E2458" i="1"/>
  <c r="E2442" i="1"/>
  <c r="E1962" i="1"/>
  <c r="E1946" i="1"/>
  <c r="E3682" i="1"/>
  <c r="E3666" i="1"/>
  <c r="E3650" i="1"/>
  <c r="E3634" i="1"/>
  <c r="E3586" i="1"/>
  <c r="E3538" i="1"/>
  <c r="E3362" i="1"/>
  <c r="E3306" i="1"/>
  <c r="E3218" i="1"/>
  <c r="E3114" i="1"/>
  <c r="E3098" i="1"/>
  <c r="E3034" i="1"/>
  <c r="E2962" i="1"/>
  <c r="E2946" i="1"/>
  <c r="E2930" i="1"/>
  <c r="E2898" i="1"/>
  <c r="E2866" i="1"/>
  <c r="E2770" i="1"/>
  <c r="E2682" i="1"/>
  <c r="E2666" i="1"/>
  <c r="E2650" i="1"/>
  <c r="E2618" i="1"/>
  <c r="E2602" i="1"/>
  <c r="E2586" i="1"/>
  <c r="E2554" i="1"/>
  <c r="E2538" i="1"/>
  <c r="E2490" i="1"/>
  <c r="E2474" i="1"/>
  <c r="E2362" i="1"/>
  <c r="E2066" i="1"/>
  <c r="E1930" i="1"/>
  <c r="E1898" i="1"/>
  <c r="E1882" i="1"/>
  <c r="E1786" i="1"/>
  <c r="E1770" i="1"/>
  <c r="E1754" i="1"/>
  <c r="I6737" i="1"/>
  <c r="J6737" i="1"/>
  <c r="I6729" i="1"/>
  <c r="J6729" i="1"/>
  <c r="I6721" i="1"/>
  <c r="J6721" i="1"/>
  <c r="I6713" i="1"/>
  <c r="J6713" i="1"/>
  <c r="I6705" i="1"/>
  <c r="J6705" i="1"/>
  <c r="I6697" i="1"/>
  <c r="J6697" i="1"/>
  <c r="I6689" i="1"/>
  <c r="J6689" i="1"/>
  <c r="I6681" i="1"/>
  <c r="J6681" i="1"/>
  <c r="I6673" i="1"/>
  <c r="J6673" i="1"/>
  <c r="I6665" i="1"/>
  <c r="J6665" i="1"/>
  <c r="I6657" i="1"/>
  <c r="J6657" i="1"/>
  <c r="I6649" i="1"/>
  <c r="J6649" i="1"/>
  <c r="I6641" i="1"/>
  <c r="J6641" i="1"/>
  <c r="I6633" i="1"/>
  <c r="J6633" i="1"/>
  <c r="I6625" i="1"/>
  <c r="J6625" i="1"/>
  <c r="I6617" i="1"/>
  <c r="J6617" i="1"/>
  <c r="I6609" i="1"/>
  <c r="J6609" i="1"/>
  <c r="I6601" i="1"/>
  <c r="J6601" i="1"/>
  <c r="I6593" i="1"/>
  <c r="J6593" i="1"/>
  <c r="I6585" i="1"/>
  <c r="J6585" i="1"/>
  <c r="I6577" i="1"/>
  <c r="J6577" i="1"/>
  <c r="I6569" i="1"/>
  <c r="J6569" i="1"/>
  <c r="I6561" i="1"/>
  <c r="J6561" i="1"/>
  <c r="I6553" i="1"/>
  <c r="J6553" i="1"/>
  <c r="I6545" i="1"/>
  <c r="J6545" i="1"/>
  <c r="I6537" i="1"/>
  <c r="J6537" i="1"/>
  <c r="I6529" i="1"/>
  <c r="J6529" i="1"/>
  <c r="I6521" i="1"/>
  <c r="J6521" i="1"/>
  <c r="I6513" i="1"/>
  <c r="J6513" i="1"/>
  <c r="I6505" i="1"/>
  <c r="J6505" i="1"/>
  <c r="I6497" i="1"/>
  <c r="J6497" i="1"/>
  <c r="I6489" i="1"/>
  <c r="J6489" i="1"/>
  <c r="I6481" i="1"/>
  <c r="J6481" i="1"/>
  <c r="I6473" i="1"/>
  <c r="J6473" i="1"/>
  <c r="I6465" i="1"/>
  <c r="J6465" i="1"/>
  <c r="I6457" i="1"/>
  <c r="J6457" i="1"/>
  <c r="I6449" i="1"/>
  <c r="J6449" i="1"/>
  <c r="I6441" i="1"/>
  <c r="J6441" i="1"/>
  <c r="I6433" i="1"/>
  <c r="J6433" i="1"/>
  <c r="I6425" i="1"/>
  <c r="J6425" i="1"/>
  <c r="I6417" i="1"/>
  <c r="J6417" i="1"/>
  <c r="I6409" i="1"/>
  <c r="J6409" i="1"/>
  <c r="I6401" i="1"/>
  <c r="J6401" i="1"/>
  <c r="I6393" i="1"/>
  <c r="J6393" i="1"/>
  <c r="I6385" i="1"/>
  <c r="J6385" i="1"/>
  <c r="I6377" i="1"/>
  <c r="J6377" i="1"/>
  <c r="I6369" i="1"/>
  <c r="J6369" i="1"/>
  <c r="I6361" i="1"/>
  <c r="J6361" i="1"/>
  <c r="I6353" i="1"/>
  <c r="J6353" i="1"/>
  <c r="I6345" i="1"/>
  <c r="J6345" i="1"/>
  <c r="I6337" i="1"/>
  <c r="J6337" i="1"/>
  <c r="I6329" i="1"/>
  <c r="J6329" i="1"/>
  <c r="I6321" i="1"/>
  <c r="J6321" i="1"/>
  <c r="I6313" i="1"/>
  <c r="J6313" i="1"/>
  <c r="I6305" i="1"/>
  <c r="J6305" i="1"/>
  <c r="I6297" i="1"/>
  <c r="J6297" i="1"/>
  <c r="I6289" i="1"/>
  <c r="J6289" i="1"/>
  <c r="I6281" i="1"/>
  <c r="J6281" i="1"/>
  <c r="I6273" i="1"/>
  <c r="J6273" i="1"/>
  <c r="I6265" i="1"/>
  <c r="J6265" i="1"/>
  <c r="I6257" i="1"/>
  <c r="J6257" i="1"/>
  <c r="I6249" i="1"/>
  <c r="J6249" i="1"/>
  <c r="I6241" i="1"/>
  <c r="J6241" i="1"/>
  <c r="I6233" i="1"/>
  <c r="J6233" i="1"/>
  <c r="I6225" i="1"/>
  <c r="J6225" i="1"/>
  <c r="I6217" i="1"/>
  <c r="J6217" i="1"/>
  <c r="I6209" i="1"/>
  <c r="J6209" i="1"/>
  <c r="I6201" i="1"/>
  <c r="J6201" i="1"/>
  <c r="I6193" i="1"/>
  <c r="J6193" i="1"/>
  <c r="I6185" i="1"/>
  <c r="J6185" i="1"/>
  <c r="I6177" i="1"/>
  <c r="J6177" i="1"/>
  <c r="I6169" i="1"/>
  <c r="J6169" i="1"/>
  <c r="I6161" i="1"/>
  <c r="J6161" i="1"/>
  <c r="I6153" i="1"/>
  <c r="J6153" i="1"/>
  <c r="I6145" i="1"/>
  <c r="J6145" i="1"/>
  <c r="I6137" i="1"/>
  <c r="J6137" i="1"/>
  <c r="I6129" i="1"/>
  <c r="J6129" i="1"/>
  <c r="I6121" i="1"/>
  <c r="J6121" i="1"/>
  <c r="I6113" i="1"/>
  <c r="J6113" i="1"/>
  <c r="I6105" i="1"/>
  <c r="J6105" i="1"/>
  <c r="I6097" i="1"/>
  <c r="J6097" i="1"/>
  <c r="I6089" i="1"/>
  <c r="J6089" i="1"/>
  <c r="I6081" i="1"/>
  <c r="J6081" i="1"/>
  <c r="I6073" i="1"/>
  <c r="J6073" i="1"/>
  <c r="I6065" i="1"/>
  <c r="J6065" i="1"/>
  <c r="I6057" i="1"/>
  <c r="J6057" i="1"/>
  <c r="I6049" i="1"/>
  <c r="J6049" i="1"/>
  <c r="I6041" i="1"/>
  <c r="J6041" i="1"/>
  <c r="I6033" i="1"/>
  <c r="J6033" i="1"/>
  <c r="I6025" i="1"/>
  <c r="J6025" i="1"/>
  <c r="I6017" i="1"/>
  <c r="J6017" i="1"/>
  <c r="I6009" i="1"/>
  <c r="J6009" i="1"/>
  <c r="I6001" i="1"/>
  <c r="J6001" i="1"/>
  <c r="I5993" i="1"/>
  <c r="J5993" i="1"/>
  <c r="I5985" i="1"/>
  <c r="J5985" i="1"/>
  <c r="I5977" i="1"/>
  <c r="J5977" i="1"/>
  <c r="I5969" i="1"/>
  <c r="J5969" i="1"/>
  <c r="I5961" i="1"/>
  <c r="J5961" i="1"/>
  <c r="I5953" i="1"/>
  <c r="J5953" i="1"/>
  <c r="I5945" i="1"/>
  <c r="J5945" i="1"/>
  <c r="I5937" i="1"/>
  <c r="J5937" i="1"/>
  <c r="I5929" i="1"/>
  <c r="J5929" i="1"/>
  <c r="I5921" i="1"/>
  <c r="J5921" i="1"/>
  <c r="I5913" i="1"/>
  <c r="J5913" i="1"/>
  <c r="I5905" i="1"/>
  <c r="J5905" i="1"/>
  <c r="I5897" i="1"/>
  <c r="J5897" i="1"/>
  <c r="I5889" i="1"/>
  <c r="J5889" i="1"/>
  <c r="I5881" i="1"/>
  <c r="J5881" i="1"/>
  <c r="I5873" i="1"/>
  <c r="J5873" i="1"/>
  <c r="I5865" i="1"/>
  <c r="J5865" i="1"/>
  <c r="I5857" i="1"/>
  <c r="J5857" i="1"/>
  <c r="I5849" i="1"/>
  <c r="J5849" i="1"/>
  <c r="I5841" i="1"/>
  <c r="J5841" i="1"/>
  <c r="I5833" i="1"/>
  <c r="J5833" i="1"/>
  <c r="I5825" i="1"/>
  <c r="J5825" i="1"/>
  <c r="I5817" i="1"/>
  <c r="J5817" i="1"/>
  <c r="I5809" i="1"/>
  <c r="J5809" i="1"/>
  <c r="I5801" i="1"/>
  <c r="J5801" i="1"/>
  <c r="I5793" i="1"/>
  <c r="J5793" i="1"/>
  <c r="I5785" i="1"/>
  <c r="J5785" i="1"/>
  <c r="I5777" i="1"/>
  <c r="J5777" i="1"/>
  <c r="I5769" i="1"/>
  <c r="J5769" i="1"/>
  <c r="I5761" i="1"/>
  <c r="J5761" i="1"/>
  <c r="I5753" i="1"/>
  <c r="J5753" i="1"/>
  <c r="I5745" i="1"/>
  <c r="J5745" i="1"/>
  <c r="I5737" i="1"/>
  <c r="J5737" i="1"/>
  <c r="I5729" i="1"/>
  <c r="J5729" i="1"/>
  <c r="I5721" i="1"/>
  <c r="J5721" i="1"/>
  <c r="I5713" i="1"/>
  <c r="J5713" i="1"/>
  <c r="I5705" i="1"/>
  <c r="J5705" i="1"/>
  <c r="I5697" i="1"/>
  <c r="J5697" i="1"/>
  <c r="I5689" i="1"/>
  <c r="J5689" i="1"/>
  <c r="I5681" i="1"/>
  <c r="J5681" i="1"/>
  <c r="I5673" i="1"/>
  <c r="J5673" i="1"/>
  <c r="I5665" i="1"/>
  <c r="J5665" i="1"/>
  <c r="I5657" i="1"/>
  <c r="J5657" i="1"/>
  <c r="I5649" i="1"/>
  <c r="J5649" i="1"/>
  <c r="I5641" i="1"/>
  <c r="J5641" i="1"/>
  <c r="I5633" i="1"/>
  <c r="J5633" i="1"/>
  <c r="I5625" i="1"/>
  <c r="J5625" i="1"/>
  <c r="I5617" i="1"/>
  <c r="J5617" i="1"/>
  <c r="I5609" i="1"/>
  <c r="J5609" i="1"/>
  <c r="I5601" i="1"/>
  <c r="J5601" i="1"/>
  <c r="I5593" i="1"/>
  <c r="J5593" i="1"/>
  <c r="I5585" i="1"/>
  <c r="J5585" i="1"/>
  <c r="I5577" i="1"/>
  <c r="J5577" i="1"/>
  <c r="I5569" i="1"/>
  <c r="J5569" i="1"/>
  <c r="I5561" i="1"/>
  <c r="J5561" i="1"/>
  <c r="I5553" i="1"/>
  <c r="J5553" i="1"/>
  <c r="I5545" i="1"/>
  <c r="J5545" i="1"/>
  <c r="I5537" i="1"/>
  <c r="J5537" i="1"/>
  <c r="I5529" i="1"/>
  <c r="J5529" i="1"/>
  <c r="I5521" i="1"/>
  <c r="J5521" i="1"/>
  <c r="I5513" i="1"/>
  <c r="J5513" i="1"/>
  <c r="I5505" i="1"/>
  <c r="J5505" i="1"/>
  <c r="I5497" i="1"/>
  <c r="J5497" i="1"/>
  <c r="I5489" i="1"/>
  <c r="J5489" i="1"/>
  <c r="I5481" i="1"/>
  <c r="J5481" i="1"/>
  <c r="I5473" i="1"/>
  <c r="J5473" i="1"/>
  <c r="I5465" i="1"/>
  <c r="J5465" i="1"/>
  <c r="I5457" i="1"/>
  <c r="J5457" i="1"/>
  <c r="I5449" i="1"/>
  <c r="J5449" i="1"/>
  <c r="I5441" i="1"/>
  <c r="J5441" i="1"/>
  <c r="I5433" i="1"/>
  <c r="J5433" i="1"/>
  <c r="I5425" i="1"/>
  <c r="J5425" i="1"/>
  <c r="I5417" i="1"/>
  <c r="J5417" i="1"/>
  <c r="I5409" i="1"/>
  <c r="J5409" i="1"/>
  <c r="I5401" i="1"/>
  <c r="J5401" i="1"/>
  <c r="I5393" i="1"/>
  <c r="J5393" i="1"/>
  <c r="I5385" i="1"/>
  <c r="J5385" i="1"/>
  <c r="I5377" i="1"/>
  <c r="J5377" i="1"/>
  <c r="I5369" i="1"/>
  <c r="J5369" i="1"/>
  <c r="I5361" i="1"/>
  <c r="J5361" i="1"/>
  <c r="I5353" i="1"/>
  <c r="J5353" i="1"/>
  <c r="I5345" i="1"/>
  <c r="J5345" i="1"/>
  <c r="I5337" i="1"/>
  <c r="J5337" i="1"/>
  <c r="I5329" i="1"/>
  <c r="J5329" i="1"/>
  <c r="I5321" i="1"/>
  <c r="J5321" i="1"/>
  <c r="I5313" i="1"/>
  <c r="J5313" i="1"/>
  <c r="I5305" i="1"/>
  <c r="J5305" i="1"/>
  <c r="I5297" i="1"/>
  <c r="J5297" i="1"/>
  <c r="I5289" i="1"/>
  <c r="J5289" i="1"/>
  <c r="I5281" i="1"/>
  <c r="J5281" i="1"/>
  <c r="I5273" i="1"/>
  <c r="J5273" i="1"/>
  <c r="I5265" i="1"/>
  <c r="J5265" i="1"/>
  <c r="I5257" i="1"/>
  <c r="J5257" i="1"/>
  <c r="I5249" i="1"/>
  <c r="J5249" i="1"/>
  <c r="I5241" i="1"/>
  <c r="J5241" i="1"/>
  <c r="I5233" i="1"/>
  <c r="J5233" i="1"/>
  <c r="I5225" i="1"/>
  <c r="J5225" i="1"/>
  <c r="I5217" i="1"/>
  <c r="J5217" i="1"/>
  <c r="I5209" i="1"/>
  <c r="J5209" i="1"/>
  <c r="I5201" i="1"/>
  <c r="J5201" i="1"/>
  <c r="I5193" i="1"/>
  <c r="J5193" i="1"/>
  <c r="I5185" i="1"/>
  <c r="J5185" i="1"/>
  <c r="I5177" i="1"/>
  <c r="J5177" i="1"/>
  <c r="I5169" i="1"/>
  <c r="J5169" i="1"/>
  <c r="I5161" i="1"/>
  <c r="J5161" i="1"/>
  <c r="I5153" i="1"/>
  <c r="J5153" i="1"/>
  <c r="I5145" i="1"/>
  <c r="J5145" i="1"/>
  <c r="I5137" i="1"/>
  <c r="J5137" i="1"/>
  <c r="I5129" i="1"/>
  <c r="J5129" i="1"/>
  <c r="I5121" i="1"/>
  <c r="J5121" i="1"/>
  <c r="I5113" i="1"/>
  <c r="J5113" i="1"/>
  <c r="I5105" i="1"/>
  <c r="J5105" i="1"/>
  <c r="I5097" i="1"/>
  <c r="J5097" i="1"/>
  <c r="I5089" i="1"/>
  <c r="J5089" i="1"/>
  <c r="I5081" i="1"/>
  <c r="J5081" i="1"/>
  <c r="I5073" i="1"/>
  <c r="J5073" i="1"/>
  <c r="I5065" i="1"/>
  <c r="J5065" i="1"/>
  <c r="I5057" i="1"/>
  <c r="J5057" i="1"/>
  <c r="I5049" i="1"/>
  <c r="J5049" i="1"/>
  <c r="I5041" i="1"/>
  <c r="J5041" i="1"/>
  <c r="I5033" i="1"/>
  <c r="J5033" i="1"/>
  <c r="I5025" i="1"/>
  <c r="J5025" i="1"/>
  <c r="I5017" i="1"/>
  <c r="J5017" i="1"/>
  <c r="I5009" i="1"/>
  <c r="J5009" i="1"/>
  <c r="I5001" i="1"/>
  <c r="J5001" i="1"/>
  <c r="I4993" i="1"/>
  <c r="J4993" i="1"/>
  <c r="I4985" i="1"/>
  <c r="J4985" i="1"/>
  <c r="I4977" i="1"/>
  <c r="J4977" i="1"/>
  <c r="I4969" i="1"/>
  <c r="J4969" i="1"/>
  <c r="I4961" i="1"/>
  <c r="J4961" i="1"/>
  <c r="I4953" i="1"/>
  <c r="J4953" i="1"/>
  <c r="I4945" i="1"/>
  <c r="J4945" i="1"/>
  <c r="I4937" i="1"/>
  <c r="J4937" i="1"/>
  <c r="I4929" i="1"/>
  <c r="J4929" i="1"/>
  <c r="I4921" i="1"/>
  <c r="J4921" i="1"/>
  <c r="I4913" i="1"/>
  <c r="J4913" i="1"/>
  <c r="I4905" i="1"/>
  <c r="J4905" i="1"/>
  <c r="I4897" i="1"/>
  <c r="J4897" i="1"/>
  <c r="I4889" i="1"/>
  <c r="J4889" i="1"/>
  <c r="I4881" i="1"/>
  <c r="J4881" i="1"/>
  <c r="I4873" i="1"/>
  <c r="J4873" i="1"/>
  <c r="I4865" i="1"/>
  <c r="J4865" i="1"/>
  <c r="I4857" i="1"/>
  <c r="J4857" i="1"/>
  <c r="I4849" i="1"/>
  <c r="J4849" i="1"/>
  <c r="I4841" i="1"/>
  <c r="J4841" i="1"/>
  <c r="I4833" i="1"/>
  <c r="J4833" i="1"/>
  <c r="I4825" i="1"/>
  <c r="J4825" i="1"/>
  <c r="I4817" i="1"/>
  <c r="J4817" i="1"/>
  <c r="I4809" i="1"/>
  <c r="J4809" i="1"/>
  <c r="I4801" i="1"/>
  <c r="J4801" i="1"/>
  <c r="I4793" i="1"/>
  <c r="J4793" i="1"/>
  <c r="I4785" i="1"/>
  <c r="J4785" i="1"/>
  <c r="I4777" i="1"/>
  <c r="J4777" i="1"/>
  <c r="I4769" i="1"/>
  <c r="J4769" i="1"/>
  <c r="I4761" i="1"/>
  <c r="J4761" i="1"/>
  <c r="I4753" i="1"/>
  <c r="J4753" i="1"/>
  <c r="I4745" i="1"/>
  <c r="J4745" i="1"/>
  <c r="I4737" i="1"/>
  <c r="J4737" i="1"/>
  <c r="I4729" i="1"/>
  <c r="J4729" i="1"/>
  <c r="I4721" i="1"/>
  <c r="J4721" i="1"/>
  <c r="I4713" i="1"/>
  <c r="J4713" i="1"/>
  <c r="I4705" i="1"/>
  <c r="J4705" i="1"/>
  <c r="I4697" i="1"/>
  <c r="J4697" i="1"/>
  <c r="I4689" i="1"/>
  <c r="J4689" i="1"/>
  <c r="I4681" i="1"/>
  <c r="J4681" i="1"/>
  <c r="I4673" i="1"/>
  <c r="J4673" i="1"/>
  <c r="I4665" i="1"/>
  <c r="J4665" i="1"/>
  <c r="I4657" i="1"/>
  <c r="J4657" i="1"/>
  <c r="I4649" i="1"/>
  <c r="J4649" i="1"/>
  <c r="I4641" i="1"/>
  <c r="J4641" i="1"/>
  <c r="I4633" i="1"/>
  <c r="J4633" i="1"/>
  <c r="I4625" i="1"/>
  <c r="J4625" i="1"/>
  <c r="I4617" i="1"/>
  <c r="J4617" i="1"/>
  <c r="I4609" i="1"/>
  <c r="J4609" i="1"/>
  <c r="I4601" i="1"/>
  <c r="J4601" i="1"/>
  <c r="I4593" i="1"/>
  <c r="J4593" i="1"/>
  <c r="I4585" i="1"/>
  <c r="J4585" i="1"/>
  <c r="I4577" i="1"/>
  <c r="J4577" i="1"/>
  <c r="I4569" i="1"/>
  <c r="J4569" i="1"/>
  <c r="I4561" i="1"/>
  <c r="J4561" i="1"/>
  <c r="I4553" i="1"/>
  <c r="J4553" i="1"/>
  <c r="I4545" i="1"/>
  <c r="J4545" i="1"/>
  <c r="I4537" i="1"/>
  <c r="J4537" i="1"/>
  <c r="I4529" i="1"/>
  <c r="J4529" i="1"/>
  <c r="I4521" i="1"/>
  <c r="J4521" i="1"/>
  <c r="I4513" i="1"/>
  <c r="J4513" i="1"/>
  <c r="I4505" i="1"/>
  <c r="J4505" i="1"/>
  <c r="I4497" i="1"/>
  <c r="J4497" i="1"/>
  <c r="I4489" i="1"/>
  <c r="J4489" i="1"/>
  <c r="I4481" i="1"/>
  <c r="J4481" i="1"/>
  <c r="I4473" i="1"/>
  <c r="J4473" i="1"/>
  <c r="I4465" i="1"/>
  <c r="J4465" i="1"/>
  <c r="I4457" i="1"/>
  <c r="J4457" i="1"/>
  <c r="I4449" i="1"/>
  <c r="J4449" i="1"/>
  <c r="I4441" i="1"/>
  <c r="J4441" i="1"/>
  <c r="I4433" i="1"/>
  <c r="J4433" i="1"/>
  <c r="I4425" i="1"/>
  <c r="J4425" i="1"/>
  <c r="I4417" i="1"/>
  <c r="J4417" i="1"/>
  <c r="I4409" i="1"/>
  <c r="J4409" i="1"/>
  <c r="I4401" i="1"/>
  <c r="J4401" i="1"/>
  <c r="I4393" i="1"/>
  <c r="J4393" i="1"/>
  <c r="I4385" i="1"/>
  <c r="J4385" i="1"/>
  <c r="I4377" i="1"/>
  <c r="J4377" i="1"/>
  <c r="I4369" i="1"/>
  <c r="J4369" i="1"/>
  <c r="I4361" i="1"/>
  <c r="J4361" i="1"/>
  <c r="I4353" i="1"/>
  <c r="J4353" i="1"/>
  <c r="I4345" i="1"/>
  <c r="J4345" i="1"/>
  <c r="I4337" i="1"/>
  <c r="J4337" i="1"/>
  <c r="I4329" i="1"/>
  <c r="J4329" i="1"/>
  <c r="I4321" i="1"/>
  <c r="J4321" i="1"/>
  <c r="I4313" i="1"/>
  <c r="J4313" i="1"/>
  <c r="I4305" i="1"/>
  <c r="J4305" i="1"/>
  <c r="I4297" i="1"/>
  <c r="J4297" i="1"/>
  <c r="I4289" i="1"/>
  <c r="J4289" i="1"/>
  <c r="I4281" i="1"/>
  <c r="J4281" i="1"/>
  <c r="I4273" i="1"/>
  <c r="J4273" i="1"/>
  <c r="I4265" i="1"/>
  <c r="J4265" i="1"/>
  <c r="I4257" i="1"/>
  <c r="J4257" i="1"/>
  <c r="I4249" i="1"/>
  <c r="J4249" i="1"/>
  <c r="I4241" i="1"/>
  <c r="J4241" i="1"/>
  <c r="I4233" i="1"/>
  <c r="J4233" i="1"/>
  <c r="I4225" i="1"/>
  <c r="J4225" i="1"/>
  <c r="I4217" i="1"/>
  <c r="J4217" i="1"/>
  <c r="I4209" i="1"/>
  <c r="J4209" i="1"/>
  <c r="I4201" i="1"/>
  <c r="J4201" i="1"/>
  <c r="I4193" i="1"/>
  <c r="J4193" i="1"/>
  <c r="I4185" i="1"/>
  <c r="J4185" i="1"/>
  <c r="I4177" i="1"/>
  <c r="J4177" i="1"/>
  <c r="I4169" i="1"/>
  <c r="J4169" i="1"/>
  <c r="I4161" i="1"/>
  <c r="J4161" i="1"/>
  <c r="I4153" i="1"/>
  <c r="J4153" i="1"/>
  <c r="I4145" i="1"/>
  <c r="J4145" i="1"/>
  <c r="I4137" i="1"/>
  <c r="J4137" i="1"/>
  <c r="I4129" i="1"/>
  <c r="J4129" i="1"/>
  <c r="I4121" i="1"/>
  <c r="J4121" i="1"/>
  <c r="I4113" i="1"/>
  <c r="J4113" i="1"/>
  <c r="I4105" i="1"/>
  <c r="J4105" i="1"/>
  <c r="I4097" i="1"/>
  <c r="J4097" i="1"/>
  <c r="I4089" i="1"/>
  <c r="J4089" i="1"/>
  <c r="I4081" i="1"/>
  <c r="J4081" i="1"/>
  <c r="I4073" i="1"/>
  <c r="J4073" i="1"/>
  <c r="I4065" i="1"/>
  <c r="J4065" i="1"/>
  <c r="I4057" i="1"/>
  <c r="J4057" i="1"/>
  <c r="I4049" i="1"/>
  <c r="J4049" i="1"/>
  <c r="I4041" i="1"/>
  <c r="J4041" i="1"/>
  <c r="I4033" i="1"/>
  <c r="J4033" i="1"/>
  <c r="I4025" i="1"/>
  <c r="J4025" i="1"/>
  <c r="I4017" i="1"/>
  <c r="J4017" i="1"/>
  <c r="I4009" i="1"/>
  <c r="J4009" i="1"/>
  <c r="I4001" i="1"/>
  <c r="J4001" i="1"/>
  <c r="I3993" i="1"/>
  <c r="J3993" i="1"/>
  <c r="I3985" i="1"/>
  <c r="J3985" i="1"/>
  <c r="I3977" i="1"/>
  <c r="J3977" i="1"/>
  <c r="I3969" i="1"/>
  <c r="J3969" i="1"/>
  <c r="I3961" i="1"/>
  <c r="J3961" i="1"/>
  <c r="I3953" i="1"/>
  <c r="J3953" i="1"/>
  <c r="I3945" i="1"/>
  <c r="J3945" i="1"/>
  <c r="I3937" i="1"/>
  <c r="J3937" i="1"/>
  <c r="I3929" i="1"/>
  <c r="J3929" i="1"/>
  <c r="I3921" i="1"/>
  <c r="J3921" i="1"/>
  <c r="I3913" i="1"/>
  <c r="J3913" i="1"/>
  <c r="I3905" i="1"/>
  <c r="J3905" i="1"/>
  <c r="I3897" i="1"/>
  <c r="J3897" i="1"/>
  <c r="I3889" i="1"/>
  <c r="J3889" i="1"/>
  <c r="I3881" i="1"/>
  <c r="J3881" i="1"/>
  <c r="I3873" i="1"/>
  <c r="J3873" i="1"/>
  <c r="I3865" i="1"/>
  <c r="J3865" i="1"/>
  <c r="I3857" i="1"/>
  <c r="J3857" i="1"/>
  <c r="I3849" i="1"/>
  <c r="J3849" i="1"/>
  <c r="I3841" i="1"/>
  <c r="J3841" i="1"/>
  <c r="I3833" i="1"/>
  <c r="J3833" i="1"/>
  <c r="I3825" i="1"/>
  <c r="J3825" i="1"/>
  <c r="I3817" i="1"/>
  <c r="J3817" i="1"/>
  <c r="I3809" i="1"/>
  <c r="J3809" i="1"/>
  <c r="I3801" i="1"/>
  <c r="J3801" i="1"/>
  <c r="I3793" i="1"/>
  <c r="J3793" i="1"/>
  <c r="I3785" i="1"/>
  <c r="J3785" i="1"/>
  <c r="I3777" i="1"/>
  <c r="J3777" i="1"/>
  <c r="I3769" i="1"/>
  <c r="J3769" i="1"/>
  <c r="I3761" i="1"/>
  <c r="J3761" i="1"/>
  <c r="I3753" i="1"/>
  <c r="J3753" i="1"/>
  <c r="I3745" i="1"/>
  <c r="J3745" i="1"/>
  <c r="I3737" i="1"/>
  <c r="J3737" i="1"/>
  <c r="I3729" i="1"/>
  <c r="J3729" i="1"/>
  <c r="I3721" i="1"/>
  <c r="J3721" i="1"/>
  <c r="I3713" i="1"/>
  <c r="J3713" i="1"/>
  <c r="I3705" i="1"/>
  <c r="J3705" i="1"/>
  <c r="I3697" i="1"/>
  <c r="J3697" i="1"/>
  <c r="I3689" i="1"/>
  <c r="J3689" i="1"/>
  <c r="I3681" i="1"/>
  <c r="J3681" i="1"/>
  <c r="I3673" i="1"/>
  <c r="J3673" i="1"/>
  <c r="I3665" i="1"/>
  <c r="J3665" i="1"/>
  <c r="I3657" i="1"/>
  <c r="J3657" i="1"/>
  <c r="I3649" i="1"/>
  <c r="J3649" i="1"/>
  <c r="I3641" i="1"/>
  <c r="J3641" i="1"/>
  <c r="I3633" i="1"/>
  <c r="J3633" i="1"/>
  <c r="I3625" i="1"/>
  <c r="J3625" i="1"/>
  <c r="I3617" i="1"/>
  <c r="J3617" i="1"/>
  <c r="I3609" i="1"/>
  <c r="J3609" i="1"/>
  <c r="I3601" i="1"/>
  <c r="J3601" i="1"/>
  <c r="I3593" i="1"/>
  <c r="J3593" i="1"/>
  <c r="I3585" i="1"/>
  <c r="J3585" i="1"/>
  <c r="I3577" i="1"/>
  <c r="J3577" i="1"/>
  <c r="I3569" i="1"/>
  <c r="J3569" i="1"/>
  <c r="I3561" i="1"/>
  <c r="J3561" i="1"/>
  <c r="I3553" i="1"/>
  <c r="J3553" i="1"/>
  <c r="I3545" i="1"/>
  <c r="J3545" i="1"/>
  <c r="I3537" i="1"/>
  <c r="J3537" i="1"/>
  <c r="I3529" i="1"/>
  <c r="J3529" i="1"/>
  <c r="I3521" i="1"/>
  <c r="J3521" i="1"/>
  <c r="I3513" i="1"/>
  <c r="J3513" i="1"/>
  <c r="I3505" i="1"/>
  <c r="J3505" i="1"/>
  <c r="I3497" i="1"/>
  <c r="J3497" i="1"/>
  <c r="I3489" i="1"/>
  <c r="J3489" i="1"/>
  <c r="I3481" i="1"/>
  <c r="J3481" i="1"/>
  <c r="I3473" i="1"/>
  <c r="J3473" i="1"/>
  <c r="I3465" i="1"/>
  <c r="J3465" i="1"/>
  <c r="I3457" i="1"/>
  <c r="J3457" i="1"/>
  <c r="I3449" i="1"/>
  <c r="J3449" i="1"/>
  <c r="I3441" i="1"/>
  <c r="J3441" i="1"/>
  <c r="I3433" i="1"/>
  <c r="J3433" i="1"/>
  <c r="I3425" i="1"/>
  <c r="J3425" i="1"/>
  <c r="I3417" i="1"/>
  <c r="J3417" i="1"/>
  <c r="I3409" i="1"/>
  <c r="J3409" i="1"/>
  <c r="I3401" i="1"/>
  <c r="J3401" i="1"/>
  <c r="I3393" i="1"/>
  <c r="J3393" i="1"/>
  <c r="I3385" i="1"/>
  <c r="J3385" i="1"/>
  <c r="I3377" i="1"/>
  <c r="J3377" i="1"/>
  <c r="I3369" i="1"/>
  <c r="J3369" i="1"/>
  <c r="I3361" i="1"/>
  <c r="J3361" i="1"/>
  <c r="I3353" i="1"/>
  <c r="J3353" i="1"/>
  <c r="I3345" i="1"/>
  <c r="J3345" i="1"/>
  <c r="I3337" i="1"/>
  <c r="J3337" i="1"/>
  <c r="I3329" i="1"/>
  <c r="J3329" i="1"/>
  <c r="I3321" i="1"/>
  <c r="J3321" i="1"/>
  <c r="I3313" i="1"/>
  <c r="J3313" i="1"/>
  <c r="I3305" i="1"/>
  <c r="J3305" i="1"/>
  <c r="I3297" i="1"/>
  <c r="J3297" i="1"/>
  <c r="I3289" i="1"/>
  <c r="J3289" i="1"/>
  <c r="I3281" i="1"/>
  <c r="J3281" i="1"/>
  <c r="I3273" i="1"/>
  <c r="J3273" i="1"/>
  <c r="I3265" i="1"/>
  <c r="J3265" i="1"/>
  <c r="I3257" i="1"/>
  <c r="J3257" i="1"/>
  <c r="I3249" i="1"/>
  <c r="J3249" i="1"/>
  <c r="I3241" i="1"/>
  <c r="J3241" i="1"/>
  <c r="I3233" i="1"/>
  <c r="J3233" i="1"/>
  <c r="I3225" i="1"/>
  <c r="J3225" i="1"/>
  <c r="I3217" i="1"/>
  <c r="J3217" i="1"/>
  <c r="I3209" i="1"/>
  <c r="J3209" i="1"/>
  <c r="I3201" i="1"/>
  <c r="J3201" i="1"/>
  <c r="I3193" i="1"/>
  <c r="J3193" i="1"/>
  <c r="I3185" i="1"/>
  <c r="J3185" i="1"/>
  <c r="I3177" i="1"/>
  <c r="J3177" i="1"/>
  <c r="I3169" i="1"/>
  <c r="J3169" i="1"/>
  <c r="I3161" i="1"/>
  <c r="J3161" i="1"/>
  <c r="I3153" i="1"/>
  <c r="J3153" i="1"/>
  <c r="I3145" i="1"/>
  <c r="J3145" i="1"/>
  <c r="I3137" i="1"/>
  <c r="J3137" i="1"/>
  <c r="I3129" i="1"/>
  <c r="J3129" i="1"/>
  <c r="I3121" i="1"/>
  <c r="J3121" i="1"/>
  <c r="I3113" i="1"/>
  <c r="J3113" i="1"/>
  <c r="I3105" i="1"/>
  <c r="J3105" i="1"/>
  <c r="I3097" i="1"/>
  <c r="J3097" i="1"/>
  <c r="I3057" i="1"/>
  <c r="J3057" i="1"/>
  <c r="I2993" i="1"/>
  <c r="J2993" i="1"/>
  <c r="I2929" i="1"/>
  <c r="J2929" i="1"/>
  <c r="I2865" i="1"/>
  <c r="J2865" i="1"/>
  <c r="I2801" i="1"/>
  <c r="J2801" i="1"/>
  <c r="I2737" i="1"/>
  <c r="J2737" i="1"/>
  <c r="I2673" i="1"/>
  <c r="J2673" i="1"/>
  <c r="I2609" i="1"/>
  <c r="J2609" i="1"/>
  <c r="I2545" i="1"/>
  <c r="J2545" i="1"/>
  <c r="I2481" i="1"/>
  <c r="J2481" i="1"/>
  <c r="I2417" i="1"/>
  <c r="J2417" i="1"/>
  <c r="I2353" i="1"/>
  <c r="J2353" i="1"/>
  <c r="I2289" i="1"/>
  <c r="J2289" i="1"/>
  <c r="I2225" i="1"/>
  <c r="J2225" i="1"/>
  <c r="I2161" i="1"/>
  <c r="J2161" i="1"/>
  <c r="I2097" i="1"/>
  <c r="J2097" i="1"/>
  <c r="I2033" i="1"/>
  <c r="J2033" i="1"/>
  <c r="I1257" i="1"/>
  <c r="J1257" i="1"/>
  <c r="I1193" i="1"/>
  <c r="J1193" i="1"/>
  <c r="I1129" i="1"/>
  <c r="J1129" i="1"/>
  <c r="I1065" i="1"/>
  <c r="J1065" i="1"/>
  <c r="I1001" i="1"/>
  <c r="J1001" i="1"/>
  <c r="I937" i="1"/>
  <c r="J937" i="1"/>
  <c r="J9988" i="1"/>
  <c r="J9972" i="1"/>
  <c r="J9948" i="1"/>
  <c r="J9940" i="1"/>
  <c r="J9916" i="1"/>
  <c r="J9900" i="1"/>
  <c r="J9892" i="1"/>
  <c r="J9868" i="1"/>
  <c r="J9860" i="1"/>
  <c r="J9852" i="1"/>
  <c r="J9820" i="1"/>
  <c r="J9812" i="1"/>
  <c r="J9796" i="1"/>
  <c r="J9772" i="1"/>
  <c r="J9764" i="1"/>
  <c r="J9748" i="1"/>
  <c r="J9724" i="1"/>
  <c r="J9716" i="1"/>
  <c r="J9708" i="1"/>
  <c r="J9676" i="1"/>
  <c r="J9668" i="1"/>
  <c r="J9660" i="1"/>
  <c r="J9652" i="1"/>
  <c r="J9644" i="1"/>
  <c r="J9636" i="1"/>
  <c r="J9628" i="1"/>
  <c r="J9612" i="1"/>
  <c r="J9604" i="1"/>
  <c r="J9596" i="1"/>
  <c r="J9588" i="1"/>
  <c r="J9580" i="1"/>
  <c r="J9556" i="1"/>
  <c r="J9548" i="1"/>
  <c r="J9532" i="1"/>
  <c r="J9516" i="1"/>
  <c r="J9500" i="1"/>
  <c r="J9492" i="1"/>
  <c r="J9484" i="1"/>
  <c r="J9468" i="1"/>
  <c r="J9452" i="1"/>
  <c r="J9444" i="1"/>
  <c r="J9436" i="1"/>
  <c r="J9412" i="1"/>
  <c r="J9404" i="1"/>
  <c r="J9396" i="1"/>
  <c r="J9380" i="1"/>
  <c r="J9372" i="1"/>
  <c r="J9364" i="1"/>
  <c r="J9348" i="1"/>
  <c r="J9340" i="1"/>
  <c r="J9332" i="1"/>
  <c r="J9324" i="1"/>
  <c r="J9308" i="1"/>
  <c r="J9300" i="1"/>
  <c r="J9292" i="1"/>
  <c r="J9284" i="1"/>
  <c r="J9276" i="1"/>
  <c r="J9260" i="1"/>
  <c r="J9252" i="1"/>
  <c r="J9244" i="1"/>
  <c r="J9220" i="1"/>
  <c r="J9212" i="1"/>
  <c r="J9204" i="1"/>
  <c r="J9188" i="1"/>
  <c r="J9180" i="1"/>
  <c r="J9172" i="1"/>
  <c r="J9164" i="1"/>
  <c r="J9156" i="1"/>
  <c r="J9140" i="1"/>
  <c r="J9132" i="1"/>
  <c r="J9124" i="1"/>
  <c r="J9100" i="1"/>
  <c r="J9092" i="1"/>
  <c r="J9084" i="1"/>
  <c r="J9068" i="1"/>
  <c r="J9060" i="1"/>
  <c r="J9052" i="1"/>
  <c r="J9044" i="1"/>
  <c r="J9012" i="1"/>
  <c r="J9004" i="1"/>
  <c r="J8996" i="1"/>
  <c r="J8972" i="1"/>
  <c r="J8964" i="1"/>
  <c r="J8948" i="1"/>
  <c r="J8924" i="1"/>
  <c r="J8916" i="1"/>
  <c r="J8908" i="1"/>
  <c r="J8900" i="1"/>
  <c r="J8884" i="1"/>
  <c r="J8876" i="1"/>
  <c r="J8868" i="1"/>
  <c r="J8844" i="1"/>
  <c r="J8828" i="1"/>
  <c r="J8820" i="1"/>
  <c r="J8804" i="1"/>
  <c r="J8796" i="1"/>
  <c r="J8788" i="1"/>
  <c r="J8780" i="1"/>
  <c r="J8756" i="1"/>
  <c r="J8748" i="1"/>
  <c r="J8740" i="1"/>
  <c r="J8724" i="1"/>
  <c r="J8716" i="1"/>
  <c r="J8708" i="1"/>
  <c r="J8700" i="1"/>
  <c r="J8684" i="1"/>
  <c r="J8668" i="1"/>
  <c r="J8660" i="1"/>
  <c r="J8652" i="1"/>
  <c r="J8636" i="1"/>
  <c r="J8628" i="1"/>
  <c r="J8620" i="1"/>
  <c r="J8604" i="1"/>
  <c r="J8596" i="1"/>
  <c r="J8580" i="1"/>
  <c r="J8572" i="1"/>
  <c r="J8556" i="1"/>
  <c r="J8540" i="1"/>
  <c r="J8524" i="1"/>
  <c r="J8508" i="1"/>
  <c r="J8492" i="1"/>
  <c r="J8484" i="1"/>
  <c r="J8468" i="1"/>
  <c r="J8460" i="1"/>
  <c r="J8452" i="1"/>
  <c r="J8436" i="1"/>
  <c r="J8420" i="1"/>
  <c r="J8404" i="1"/>
  <c r="J8388" i="1"/>
  <c r="J8380" i="1"/>
  <c r="J8356" i="1"/>
  <c r="J8348" i="1"/>
  <c r="J8340" i="1"/>
  <c r="J8324" i="1"/>
  <c r="J8316" i="1"/>
  <c r="J8292" i="1"/>
  <c r="J8284" i="1"/>
  <c r="J8276" i="1"/>
  <c r="J8268" i="1"/>
  <c r="J8260" i="1"/>
  <c r="J8252" i="1"/>
  <c r="J8244" i="1"/>
  <c r="J8236" i="1"/>
  <c r="J8228" i="1"/>
  <c r="J8212" i="1"/>
  <c r="J8204" i="1"/>
  <c r="J8196" i="1"/>
  <c r="J8188" i="1"/>
  <c r="J8172" i="1"/>
  <c r="J8164" i="1"/>
  <c r="J8156" i="1"/>
  <c r="J8148" i="1"/>
  <c r="J8140" i="1"/>
  <c r="J8124" i="1"/>
  <c r="J8116" i="1"/>
  <c r="J8092" i="1"/>
  <c r="J8084" i="1"/>
  <c r="J8076" i="1"/>
  <c r="J8068" i="1"/>
  <c r="J8044" i="1"/>
  <c r="J8036" i="1"/>
  <c r="J8028" i="1"/>
  <c r="J8020" i="1"/>
  <c r="J8004" i="1"/>
  <c r="J7996" i="1"/>
  <c r="J7988" i="1"/>
  <c r="J7972" i="1"/>
  <c r="J7956" i="1"/>
  <c r="J7948" i="1"/>
  <c r="J7940" i="1"/>
  <c r="J7924" i="1"/>
  <c r="J7916" i="1"/>
  <c r="J7908" i="1"/>
  <c r="J7900" i="1"/>
  <c r="J7892" i="1"/>
  <c r="J7884" i="1"/>
  <c r="J7876" i="1"/>
  <c r="J7868" i="1"/>
  <c r="J7860" i="1"/>
  <c r="J7852" i="1"/>
  <c r="J7836" i="1"/>
  <c r="J7820" i="1"/>
  <c r="J7788" i="1"/>
  <c r="J7780" i="1"/>
  <c r="J7772" i="1"/>
  <c r="J7748" i="1"/>
  <c r="J7732" i="1"/>
  <c r="J7724" i="1"/>
  <c r="J7684" i="1"/>
  <c r="J7660" i="1"/>
  <c r="J7644" i="1"/>
  <c r="J7628" i="1"/>
  <c r="J7604" i="1"/>
  <c r="J7596" i="1"/>
  <c r="J7580" i="1"/>
  <c r="J7556" i="1"/>
  <c r="J7532" i="1"/>
  <c r="J7508" i="1"/>
  <c r="J7500" i="1"/>
  <c r="J7492" i="1"/>
  <c r="J7484" i="1"/>
  <c r="J7476" i="1"/>
  <c r="J7460" i="1"/>
  <c r="J7444" i="1"/>
  <c r="J7436" i="1"/>
  <c r="J7412" i="1"/>
  <c r="J7404" i="1"/>
  <c r="J7396" i="1"/>
  <c r="J7372" i="1"/>
  <c r="J7356" i="1"/>
  <c r="J7348" i="1"/>
  <c r="J7340" i="1"/>
  <c r="J7308" i="1"/>
  <c r="J7268" i="1"/>
  <c r="J7244" i="1"/>
  <c r="J7228" i="1"/>
  <c r="J7220" i="1"/>
  <c r="J7212" i="1"/>
  <c r="J7172" i="1"/>
  <c r="J7164" i="1"/>
  <c r="J7116" i="1"/>
  <c r="J7100" i="1"/>
  <c r="J7092" i="1"/>
  <c r="J7052" i="1"/>
  <c r="J7036" i="1"/>
  <c r="J7004" i="1"/>
  <c r="J6964" i="1"/>
  <c r="J6956" i="1"/>
  <c r="J6940" i="1"/>
  <c r="J6916" i="1"/>
  <c r="J6900" i="1"/>
  <c r="J6892" i="1"/>
  <c r="J6852" i="1"/>
  <c r="J6836" i="1"/>
  <c r="J6828" i="1"/>
  <c r="J6820" i="1"/>
  <c r="J6804" i="1"/>
  <c r="J6780" i="1"/>
  <c r="J4436" i="1"/>
  <c r="J4262" i="1"/>
  <c r="J2054" i="1"/>
  <c r="J6695" i="1"/>
  <c r="J6663" i="1"/>
  <c r="J6631" i="1"/>
  <c r="J6599" i="1"/>
  <c r="J6567" i="1"/>
  <c r="J6503" i="1"/>
  <c r="J6471" i="1"/>
  <c r="J6439" i="1"/>
  <c r="J6375" i="1"/>
  <c r="J6311" i="1"/>
  <c r="J6279" i="1"/>
  <c r="J6215" i="1"/>
  <c r="J6183" i="1"/>
  <c r="J6151" i="1"/>
  <c r="J6119" i="1"/>
  <c r="J6087" i="1"/>
  <c r="J5991" i="1"/>
  <c r="J5927" i="1"/>
  <c r="J5895" i="1"/>
  <c r="J5863" i="1"/>
  <c r="J5799" i="1"/>
  <c r="J5671" i="1"/>
  <c r="J5607" i="1"/>
  <c r="J5543" i="1"/>
  <c r="J5511" i="1"/>
  <c r="J5479" i="1"/>
  <c r="J5447" i="1"/>
  <c r="J5415" i="1"/>
  <c r="J5383" i="1"/>
  <c r="J5319" i="1"/>
  <c r="J5223" i="1"/>
  <c r="J5127" i="1"/>
  <c r="J5095" i="1"/>
  <c r="J5063" i="1"/>
  <c r="J4967" i="1"/>
  <c r="J4903" i="1"/>
  <c r="J4871" i="1"/>
  <c r="J4839" i="1"/>
  <c r="J4743" i="1"/>
  <c r="J4679" i="1"/>
  <c r="J4647" i="1"/>
  <c r="J4583" i="1"/>
  <c r="J4487" i="1"/>
  <c r="J4348" i="1"/>
  <c r="J4174" i="1"/>
  <c r="J3934" i="1"/>
  <c r="J3292" i="1"/>
  <c r="J2950" i="1"/>
  <c r="E4463" i="1"/>
  <c r="J4463" i="1"/>
  <c r="E4455" i="1"/>
  <c r="J4455" i="1"/>
  <c r="E4447" i="1"/>
  <c r="J4447" i="1"/>
  <c r="E4439" i="1"/>
  <c r="J4439" i="1"/>
  <c r="E4423" i="1"/>
  <c r="J4423" i="1"/>
  <c r="E4415" i="1"/>
  <c r="J4415" i="1"/>
  <c r="E4407" i="1"/>
  <c r="J4407" i="1"/>
  <c r="E4399" i="1"/>
  <c r="J4399" i="1"/>
  <c r="E4383" i="1"/>
  <c r="J4383" i="1"/>
  <c r="E4367" i="1"/>
  <c r="J4367" i="1"/>
  <c r="E4343" i="1"/>
  <c r="J4343" i="1"/>
  <c r="E4335" i="1"/>
  <c r="J4335" i="1"/>
  <c r="E4319" i="1"/>
  <c r="J4319" i="1"/>
  <c r="E4311" i="1"/>
  <c r="J4311" i="1"/>
  <c r="E4295" i="1"/>
  <c r="J4295" i="1"/>
  <c r="E4279" i="1"/>
  <c r="J4279" i="1"/>
  <c r="E4271" i="1"/>
  <c r="J4271" i="1"/>
  <c r="E4263" i="1"/>
  <c r="J4263" i="1"/>
  <c r="E4255" i="1"/>
  <c r="J4255" i="1"/>
  <c r="E4247" i="1"/>
  <c r="J4247" i="1"/>
  <c r="E4239" i="1"/>
  <c r="J4239" i="1"/>
  <c r="E4223" i="1"/>
  <c r="J4223" i="1"/>
  <c r="E4215" i="1"/>
  <c r="J4215" i="1"/>
  <c r="E4207" i="1"/>
  <c r="J4207" i="1"/>
  <c r="E4199" i="1"/>
  <c r="J4199" i="1"/>
  <c r="E4183" i="1"/>
  <c r="J4183" i="1"/>
  <c r="E4175" i="1"/>
  <c r="J4175" i="1"/>
  <c r="E4159" i="1"/>
  <c r="J4159" i="1"/>
  <c r="E4143" i="1"/>
  <c r="J4143" i="1"/>
  <c r="E4127" i="1"/>
  <c r="J4127" i="1"/>
  <c r="E4119" i="1"/>
  <c r="J4119" i="1"/>
  <c r="E4103" i="1"/>
  <c r="J4103" i="1"/>
  <c r="E4087" i="1"/>
  <c r="J4087" i="1"/>
  <c r="E4079" i="1"/>
  <c r="J4079" i="1"/>
  <c r="E4071" i="1"/>
  <c r="J4071" i="1"/>
  <c r="E4063" i="1"/>
  <c r="J4063" i="1"/>
  <c r="E4055" i="1"/>
  <c r="J4055" i="1"/>
  <c r="E4047" i="1"/>
  <c r="J4047" i="1"/>
  <c r="E4039" i="1"/>
  <c r="J4039" i="1"/>
  <c r="E4023" i="1"/>
  <c r="J4023" i="1"/>
  <c r="E4015" i="1"/>
  <c r="J4015" i="1"/>
  <c r="E4007" i="1"/>
  <c r="J4007" i="1"/>
  <c r="E3967" i="1"/>
  <c r="J3967" i="1"/>
  <c r="E3943" i="1"/>
  <c r="J3943" i="1"/>
  <c r="E3911" i="1"/>
  <c r="J3911" i="1"/>
  <c r="E3895" i="1"/>
  <c r="J3895" i="1"/>
  <c r="E3871" i="1"/>
  <c r="J3871" i="1"/>
  <c r="E3839" i="1"/>
  <c r="J3839" i="1"/>
  <c r="E3823" i="1"/>
  <c r="J3823" i="1"/>
  <c r="E3815" i="1"/>
  <c r="J3815" i="1"/>
  <c r="E3807" i="1"/>
  <c r="J3807" i="1"/>
  <c r="E3791" i="1"/>
  <c r="J3791" i="1"/>
  <c r="E3775" i="1"/>
  <c r="J3775" i="1"/>
  <c r="E3759" i="1"/>
  <c r="J3759" i="1"/>
  <c r="E3743" i="1"/>
  <c r="J3743" i="1"/>
  <c r="E3727" i="1"/>
  <c r="J3727" i="1"/>
  <c r="E3711" i="1"/>
  <c r="J3711" i="1"/>
  <c r="E3695" i="1"/>
  <c r="J3695" i="1"/>
  <c r="E3679" i="1"/>
  <c r="J3679" i="1"/>
  <c r="E3647" i="1"/>
  <c r="J3647" i="1"/>
  <c r="E3631" i="1"/>
  <c r="J3631" i="1"/>
  <c r="E3623" i="1"/>
  <c r="J3623" i="1"/>
  <c r="E3607" i="1"/>
  <c r="J3607" i="1"/>
  <c r="E3567" i="1"/>
  <c r="J3567" i="1"/>
  <c r="E3551" i="1"/>
  <c r="J3551" i="1"/>
  <c r="E3535" i="1"/>
  <c r="J3535" i="1"/>
  <c r="E3519" i="1"/>
  <c r="J3519" i="1"/>
  <c r="E3503" i="1"/>
  <c r="J3503" i="1"/>
  <c r="E3487" i="1"/>
  <c r="J3487" i="1"/>
  <c r="E3471" i="1"/>
  <c r="J3471" i="1"/>
  <c r="E3455" i="1"/>
  <c r="J3455" i="1"/>
  <c r="E3447" i="1"/>
  <c r="J3447" i="1"/>
  <c r="E3431" i="1"/>
  <c r="J3431" i="1"/>
  <c r="E3415" i="1"/>
  <c r="J3415" i="1"/>
  <c r="E3399" i="1"/>
  <c r="J3399" i="1"/>
  <c r="E3383" i="1"/>
  <c r="J3383" i="1"/>
  <c r="E3367" i="1"/>
  <c r="J3367" i="1"/>
  <c r="E3351" i="1"/>
  <c r="J3351" i="1"/>
  <c r="E3335" i="1"/>
  <c r="J3335" i="1"/>
  <c r="E3319" i="1"/>
  <c r="J3319" i="1"/>
  <c r="E3303" i="1"/>
  <c r="J3303" i="1"/>
  <c r="E3295" i="1"/>
  <c r="J3295" i="1"/>
  <c r="E3279" i="1"/>
  <c r="J3279" i="1"/>
  <c r="E3263" i="1"/>
  <c r="J3263" i="1"/>
  <c r="E3247" i="1"/>
  <c r="J3247" i="1"/>
  <c r="E3231" i="1"/>
  <c r="J3231" i="1"/>
  <c r="E3215" i="1"/>
  <c r="J3215" i="1"/>
  <c r="E3191" i="1"/>
  <c r="J3191" i="1"/>
  <c r="E3175" i="1"/>
  <c r="J3175" i="1"/>
  <c r="E3159" i="1"/>
  <c r="J3159" i="1"/>
  <c r="E3143" i="1"/>
  <c r="J3143" i="1"/>
  <c r="E3127" i="1"/>
  <c r="J3127" i="1"/>
  <c r="E3111" i="1"/>
  <c r="J3111" i="1"/>
  <c r="E3087" i="1"/>
  <c r="J3087" i="1"/>
  <c r="E3071" i="1"/>
  <c r="J3071" i="1"/>
  <c r="E3055" i="1"/>
  <c r="J3055" i="1"/>
  <c r="E3039" i="1"/>
  <c r="J3039" i="1"/>
  <c r="E3023" i="1"/>
  <c r="J3023" i="1"/>
  <c r="E3007" i="1"/>
  <c r="J3007" i="1"/>
  <c r="E2999" i="1"/>
  <c r="J2999" i="1"/>
  <c r="E2983" i="1"/>
  <c r="J2983" i="1"/>
  <c r="E2967" i="1"/>
  <c r="J2967" i="1"/>
  <c r="E2951" i="1"/>
  <c r="J2951" i="1"/>
  <c r="E2935" i="1"/>
  <c r="J2935" i="1"/>
  <c r="E2911" i="1"/>
  <c r="J2911" i="1"/>
  <c r="E2895" i="1"/>
  <c r="J2895" i="1"/>
  <c r="E2879" i="1"/>
  <c r="J2879" i="1"/>
  <c r="E2863" i="1"/>
  <c r="J2863" i="1"/>
  <c r="I791" i="1"/>
  <c r="J791" i="1"/>
  <c r="I535" i="1"/>
  <c r="J535" i="1"/>
  <c r="J4326" i="1"/>
  <c r="J3228" i="1"/>
  <c r="E6742" i="1"/>
  <c r="J6742" i="1"/>
  <c r="E6734" i="1"/>
  <c r="J6734" i="1"/>
  <c r="E6726" i="1"/>
  <c r="J6726" i="1"/>
  <c r="E6718" i="1"/>
  <c r="J6718" i="1"/>
  <c r="E6710" i="1"/>
  <c r="J6710" i="1"/>
  <c r="E6702" i="1"/>
  <c r="J6702" i="1"/>
  <c r="E6694" i="1"/>
  <c r="J6694" i="1"/>
  <c r="E6686" i="1"/>
  <c r="J6686" i="1"/>
  <c r="E6678" i="1"/>
  <c r="J6678" i="1"/>
  <c r="E6670" i="1"/>
  <c r="J6670" i="1"/>
  <c r="E6662" i="1"/>
  <c r="J6662" i="1"/>
  <c r="E6654" i="1"/>
  <c r="J6654" i="1"/>
  <c r="E6646" i="1"/>
  <c r="J6646" i="1"/>
  <c r="E6638" i="1"/>
  <c r="J6638" i="1"/>
  <c r="E6630" i="1"/>
  <c r="J6630" i="1"/>
  <c r="E6622" i="1"/>
  <c r="J6622" i="1"/>
  <c r="E6614" i="1"/>
  <c r="J6614" i="1"/>
  <c r="E6606" i="1"/>
  <c r="J6606" i="1"/>
  <c r="E6598" i="1"/>
  <c r="J6598" i="1"/>
  <c r="E6590" i="1"/>
  <c r="J6590" i="1"/>
  <c r="E6582" i="1"/>
  <c r="J6582" i="1"/>
  <c r="E6574" i="1"/>
  <c r="J6574" i="1"/>
  <c r="E6566" i="1"/>
  <c r="J6566" i="1"/>
  <c r="E6558" i="1"/>
  <c r="J6558" i="1"/>
  <c r="E6550" i="1"/>
  <c r="J6550" i="1"/>
  <c r="E6542" i="1"/>
  <c r="J6542" i="1"/>
  <c r="E6534" i="1"/>
  <c r="J6534" i="1"/>
  <c r="E6526" i="1"/>
  <c r="J6526" i="1"/>
  <c r="E6518" i="1"/>
  <c r="J6518" i="1"/>
  <c r="E6510" i="1"/>
  <c r="J6510" i="1"/>
  <c r="E6502" i="1"/>
  <c r="J6502" i="1"/>
  <c r="E6494" i="1"/>
  <c r="J6494" i="1"/>
  <c r="E6486" i="1"/>
  <c r="J6486" i="1"/>
  <c r="E6478" i="1"/>
  <c r="J6478" i="1"/>
  <c r="E6462" i="1"/>
  <c r="J6462" i="1"/>
  <c r="E6454" i="1"/>
  <c r="J6454" i="1"/>
  <c r="E6446" i="1"/>
  <c r="J6446" i="1"/>
  <c r="E6438" i="1"/>
  <c r="J6438" i="1"/>
  <c r="E6430" i="1"/>
  <c r="J6430" i="1"/>
  <c r="E6422" i="1"/>
  <c r="J6422" i="1"/>
  <c r="E6414" i="1"/>
  <c r="J6414" i="1"/>
  <c r="E6406" i="1"/>
  <c r="J6406" i="1"/>
  <c r="E6398" i="1"/>
  <c r="J6398" i="1"/>
  <c r="E6390" i="1"/>
  <c r="J6390" i="1"/>
  <c r="E6382" i="1"/>
  <c r="J6382" i="1"/>
  <c r="E6366" i="1"/>
  <c r="J6366" i="1"/>
  <c r="E6358" i="1"/>
  <c r="J6358" i="1"/>
  <c r="E6350" i="1"/>
  <c r="J6350" i="1"/>
  <c r="E6334" i="1"/>
  <c r="J6334" i="1"/>
  <c r="E6326" i="1"/>
  <c r="J6326" i="1"/>
  <c r="E6318" i="1"/>
  <c r="J6318" i="1"/>
  <c r="E6310" i="1"/>
  <c r="J6310" i="1"/>
  <c r="E6302" i="1"/>
  <c r="J6302" i="1"/>
  <c r="E6294" i="1"/>
  <c r="J6294" i="1"/>
  <c r="E6286" i="1"/>
  <c r="J6286" i="1"/>
  <c r="E6270" i="1"/>
  <c r="J6270" i="1"/>
  <c r="E6262" i="1"/>
  <c r="J6262" i="1"/>
  <c r="E6254" i="1"/>
  <c r="J6254" i="1"/>
  <c r="E6238" i="1"/>
  <c r="J6238" i="1"/>
  <c r="E6222" i="1"/>
  <c r="J6222" i="1"/>
  <c r="E6214" i="1"/>
  <c r="J6214" i="1"/>
  <c r="E6206" i="1"/>
  <c r="J6206" i="1"/>
  <c r="E6198" i="1"/>
  <c r="J6198" i="1"/>
  <c r="E6190" i="1"/>
  <c r="J6190" i="1"/>
  <c r="E6182" i="1"/>
  <c r="J6182" i="1"/>
  <c r="E6174" i="1"/>
  <c r="J6174" i="1"/>
  <c r="E6166" i="1"/>
  <c r="J6166" i="1"/>
  <c r="E6158" i="1"/>
  <c r="J6158" i="1"/>
  <c r="E6150" i="1"/>
  <c r="J6150" i="1"/>
  <c r="E6142" i="1"/>
  <c r="J6142" i="1"/>
  <c r="E6134" i="1"/>
  <c r="J6134" i="1"/>
  <c r="E6126" i="1"/>
  <c r="J6126" i="1"/>
  <c r="E6118" i="1"/>
  <c r="J6118" i="1"/>
  <c r="E6110" i="1"/>
  <c r="J6110" i="1"/>
  <c r="E6102" i="1"/>
  <c r="J6102" i="1"/>
  <c r="E6094" i="1"/>
  <c r="J6094" i="1"/>
  <c r="E6086" i="1"/>
  <c r="J6086" i="1"/>
  <c r="E6070" i="1"/>
  <c r="J6070" i="1"/>
  <c r="E6054" i="1"/>
  <c r="J6054" i="1"/>
  <c r="E6038" i="1"/>
  <c r="J6038" i="1"/>
  <c r="E6022" i="1"/>
  <c r="J6022" i="1"/>
  <c r="E6006" i="1"/>
  <c r="J6006" i="1"/>
  <c r="E5990" i="1"/>
  <c r="J5990" i="1"/>
  <c r="E5974" i="1"/>
  <c r="J5974" i="1"/>
  <c r="E5958" i="1"/>
  <c r="J5958" i="1"/>
  <c r="E5942" i="1"/>
  <c r="J5942" i="1"/>
  <c r="E5926" i="1"/>
  <c r="J5926" i="1"/>
  <c r="E5910" i="1"/>
  <c r="J5910" i="1"/>
  <c r="E5902" i="1"/>
  <c r="J5902" i="1"/>
  <c r="E5894" i="1"/>
  <c r="J5894" i="1"/>
  <c r="E5886" i="1"/>
  <c r="J5886" i="1"/>
  <c r="E5878" i="1"/>
  <c r="J5878" i="1"/>
  <c r="E5870" i="1"/>
  <c r="J5870" i="1"/>
  <c r="E5862" i="1"/>
  <c r="J5862" i="1"/>
  <c r="E5854" i="1"/>
  <c r="J5854" i="1"/>
  <c r="E5846" i="1"/>
  <c r="J5846" i="1"/>
  <c r="E5838" i="1"/>
  <c r="J5838" i="1"/>
  <c r="E5830" i="1"/>
  <c r="J5830" i="1"/>
  <c r="E5822" i="1"/>
  <c r="J5822" i="1"/>
  <c r="E5814" i="1"/>
  <c r="J5814" i="1"/>
  <c r="E5806" i="1"/>
  <c r="J5806" i="1"/>
  <c r="E5798" i="1"/>
  <c r="J5798" i="1"/>
  <c r="E5790" i="1"/>
  <c r="J5790" i="1"/>
  <c r="E5782" i="1"/>
  <c r="J5782" i="1"/>
  <c r="E5774" i="1"/>
  <c r="J5774" i="1"/>
  <c r="E5766" i="1"/>
  <c r="J5766" i="1"/>
  <c r="E5758" i="1"/>
  <c r="J5758" i="1"/>
  <c r="E5750" i="1"/>
  <c r="J5750" i="1"/>
  <c r="E5742" i="1"/>
  <c r="J5742" i="1"/>
  <c r="E5734" i="1"/>
  <c r="J5734" i="1"/>
  <c r="E5726" i="1"/>
  <c r="J5726" i="1"/>
  <c r="E5718" i="1"/>
  <c r="J5718" i="1"/>
  <c r="E5702" i="1"/>
  <c r="J5702" i="1"/>
  <c r="E5686" i="1"/>
  <c r="J5686" i="1"/>
  <c r="E5670" i="1"/>
  <c r="J5670" i="1"/>
  <c r="E5654" i="1"/>
  <c r="J5654" i="1"/>
  <c r="E5638" i="1"/>
  <c r="J5638" i="1"/>
  <c r="E5622" i="1"/>
  <c r="J5622" i="1"/>
  <c r="E5606" i="1"/>
  <c r="J5606" i="1"/>
  <c r="E5590" i="1"/>
  <c r="J5590" i="1"/>
  <c r="E5582" i="1"/>
  <c r="J5582" i="1"/>
  <c r="E5574" i="1"/>
  <c r="J5574" i="1"/>
  <c r="E5566" i="1"/>
  <c r="J5566" i="1"/>
  <c r="E5558" i="1"/>
  <c r="J5558" i="1"/>
  <c r="E5550" i="1"/>
  <c r="J5550" i="1"/>
  <c r="E5542" i="1"/>
  <c r="J5542" i="1"/>
  <c r="E5534" i="1"/>
  <c r="J5534" i="1"/>
  <c r="E5526" i="1"/>
  <c r="J5526" i="1"/>
  <c r="E5518" i="1"/>
  <c r="J5518" i="1"/>
  <c r="E5510" i="1"/>
  <c r="J5510" i="1"/>
  <c r="E5502" i="1"/>
  <c r="J5502" i="1"/>
  <c r="E5494" i="1"/>
  <c r="J5494" i="1"/>
  <c r="E5486" i="1"/>
  <c r="J5486" i="1"/>
  <c r="E5478" i="1"/>
  <c r="J5478" i="1"/>
  <c r="E5470" i="1"/>
  <c r="J5470" i="1"/>
  <c r="E5462" i="1"/>
  <c r="J5462" i="1"/>
  <c r="E5454" i="1"/>
  <c r="J5454" i="1"/>
  <c r="E5438" i="1"/>
  <c r="J5438" i="1"/>
  <c r="E5422" i="1"/>
  <c r="J5422" i="1"/>
  <c r="E5406" i="1"/>
  <c r="J5406" i="1"/>
  <c r="E5390" i="1"/>
  <c r="J5390" i="1"/>
  <c r="E5374" i="1"/>
  <c r="J5374" i="1"/>
  <c r="E5358" i="1"/>
  <c r="J5358" i="1"/>
  <c r="E5342" i="1"/>
  <c r="J5342" i="1"/>
  <c r="E5326" i="1"/>
  <c r="J5326" i="1"/>
  <c r="E5318" i="1"/>
  <c r="J5318" i="1"/>
  <c r="E5310" i="1"/>
  <c r="J5310" i="1"/>
  <c r="E5302" i="1"/>
  <c r="J5302" i="1"/>
  <c r="E5294" i="1"/>
  <c r="J5294" i="1"/>
  <c r="E5286" i="1"/>
  <c r="J5286" i="1"/>
  <c r="E5278" i="1"/>
  <c r="J5278" i="1"/>
  <c r="E5270" i="1"/>
  <c r="J5270" i="1"/>
  <c r="E5262" i="1"/>
  <c r="J5262" i="1"/>
  <c r="E5254" i="1"/>
  <c r="J5254" i="1"/>
  <c r="E5246" i="1"/>
  <c r="J5246" i="1"/>
  <c r="E5238" i="1"/>
  <c r="J5238" i="1"/>
  <c r="E5230" i="1"/>
  <c r="J5230" i="1"/>
  <c r="E5222" i="1"/>
  <c r="J5222" i="1"/>
  <c r="E5214" i="1"/>
  <c r="J5214" i="1"/>
  <c r="E5206" i="1"/>
  <c r="J5206" i="1"/>
  <c r="E5198" i="1"/>
  <c r="J5198" i="1"/>
  <c r="E5182" i="1"/>
  <c r="J5182" i="1"/>
  <c r="E5166" i="1"/>
  <c r="J5166" i="1"/>
  <c r="E5150" i="1"/>
  <c r="J5150" i="1"/>
  <c r="E5134" i="1"/>
  <c r="J5134" i="1"/>
  <c r="E5118" i="1"/>
  <c r="J5118" i="1"/>
  <c r="E5110" i="1"/>
  <c r="J5110" i="1"/>
  <c r="E5102" i="1"/>
  <c r="J5102" i="1"/>
  <c r="E5094" i="1"/>
  <c r="J5094" i="1"/>
  <c r="E5078" i="1"/>
  <c r="J5078" i="1"/>
  <c r="E5062" i="1"/>
  <c r="J5062" i="1"/>
  <c r="E5046" i="1"/>
  <c r="J5046" i="1"/>
  <c r="E5030" i="1"/>
  <c r="J5030" i="1"/>
  <c r="E5014" i="1"/>
  <c r="J5014" i="1"/>
  <c r="E4998" i="1"/>
  <c r="J4998" i="1"/>
  <c r="E4982" i="1"/>
  <c r="J4982" i="1"/>
  <c r="E4966" i="1"/>
  <c r="J4966" i="1"/>
  <c r="E4950" i="1"/>
  <c r="J4950" i="1"/>
  <c r="E4934" i="1"/>
  <c r="J4934" i="1"/>
  <c r="E4918" i="1"/>
  <c r="J4918" i="1"/>
  <c r="E4910" i="1"/>
  <c r="J4910" i="1"/>
  <c r="E4902" i="1"/>
  <c r="J4902" i="1"/>
  <c r="E4894" i="1"/>
  <c r="J4894" i="1"/>
  <c r="E4886" i="1"/>
  <c r="J4886" i="1"/>
  <c r="E4878" i="1"/>
  <c r="J4878" i="1"/>
  <c r="E4870" i="1"/>
  <c r="J4870" i="1"/>
  <c r="E4862" i="1"/>
  <c r="J4862" i="1"/>
  <c r="E4854" i="1"/>
  <c r="J4854" i="1"/>
  <c r="E4838" i="1"/>
  <c r="J4838" i="1"/>
  <c r="E4822" i="1"/>
  <c r="J4822" i="1"/>
  <c r="E4806" i="1"/>
  <c r="J4806" i="1"/>
  <c r="E4790" i="1"/>
  <c r="J4790" i="1"/>
  <c r="E4774" i="1"/>
  <c r="J4774" i="1"/>
  <c r="E4758" i="1"/>
  <c r="J4758" i="1"/>
  <c r="E4742" i="1"/>
  <c r="J4742" i="1"/>
  <c r="E4726" i="1"/>
  <c r="J4726" i="1"/>
  <c r="E4710" i="1"/>
  <c r="J4710" i="1"/>
  <c r="E4694" i="1"/>
  <c r="J4694" i="1"/>
  <c r="E4678" i="1"/>
  <c r="J4678" i="1"/>
  <c r="E4662" i="1"/>
  <c r="J4662" i="1"/>
  <c r="E4646" i="1"/>
  <c r="J4646" i="1"/>
  <c r="E4630" i="1"/>
  <c r="J4630" i="1"/>
  <c r="E4614" i="1"/>
  <c r="J4614" i="1"/>
  <c r="E4598" i="1"/>
  <c r="J4598" i="1"/>
  <c r="E4582" i="1"/>
  <c r="J4582" i="1"/>
  <c r="E4566" i="1"/>
  <c r="J4566" i="1"/>
  <c r="E4550" i="1"/>
  <c r="J4550" i="1"/>
  <c r="E4534" i="1"/>
  <c r="J4534" i="1"/>
  <c r="E4518" i="1"/>
  <c r="J4518" i="1"/>
  <c r="E4502" i="1"/>
  <c r="J4502" i="1"/>
  <c r="E4486" i="1"/>
  <c r="J4486" i="1"/>
  <c r="E4470" i="1"/>
  <c r="J4470" i="1"/>
  <c r="E4438" i="1"/>
  <c r="J4438" i="1"/>
  <c r="E4422" i="1"/>
  <c r="J4422" i="1"/>
  <c r="E4406" i="1"/>
  <c r="J4406" i="1"/>
  <c r="E4374" i="1"/>
  <c r="J4374" i="1"/>
  <c r="E4358" i="1"/>
  <c r="J4358" i="1"/>
  <c r="E4350" i="1"/>
  <c r="J4350" i="1"/>
  <c r="E4342" i="1"/>
  <c r="J4342" i="1"/>
  <c r="E4334" i="1"/>
  <c r="J4334" i="1"/>
  <c r="E4318" i="1"/>
  <c r="J4318" i="1"/>
  <c r="E4310" i="1"/>
  <c r="J4310" i="1"/>
  <c r="E4294" i="1"/>
  <c r="J4294" i="1"/>
  <c r="E4286" i="1"/>
  <c r="J4286" i="1"/>
  <c r="E4278" i="1"/>
  <c r="J4278" i="1"/>
  <c r="E4270" i="1"/>
  <c r="J4270" i="1"/>
  <c r="E4254" i="1"/>
  <c r="J4254" i="1"/>
  <c r="E4246" i="1"/>
  <c r="J4246" i="1"/>
  <c r="E4230" i="1"/>
  <c r="J4230" i="1"/>
  <c r="E4222" i="1"/>
  <c r="J4222" i="1"/>
  <c r="E4206" i="1"/>
  <c r="J4206" i="1"/>
  <c r="E4190" i="1"/>
  <c r="J4190" i="1"/>
  <c r="E4158" i="1"/>
  <c r="J4158" i="1"/>
  <c r="E4142" i="1"/>
  <c r="J4142" i="1"/>
  <c r="E4110" i="1"/>
  <c r="J4110" i="1"/>
  <c r="E4086" i="1"/>
  <c r="J4086" i="1"/>
  <c r="E4070" i="1"/>
  <c r="J4070" i="1"/>
  <c r="E4054" i="1"/>
  <c r="J4054" i="1"/>
  <c r="E4038" i="1"/>
  <c r="J4038" i="1"/>
  <c r="E4022" i="1"/>
  <c r="J4022" i="1"/>
  <c r="E3982" i="1"/>
  <c r="J3982" i="1"/>
  <c r="E3974" i="1"/>
  <c r="J3974" i="1"/>
  <c r="E3958" i="1"/>
  <c r="J3958" i="1"/>
  <c r="E3942" i="1"/>
  <c r="J3942" i="1"/>
  <c r="E3918" i="1"/>
  <c r="J3918" i="1"/>
  <c r="E3886" i="1"/>
  <c r="J3886" i="1"/>
  <c r="E3854" i="1"/>
  <c r="J3854" i="1"/>
  <c r="E3822" i="1"/>
  <c r="J3822" i="1"/>
  <c r="E3782" i="1"/>
  <c r="J3782" i="1"/>
  <c r="I3078" i="1"/>
  <c r="J3078" i="1"/>
  <c r="I3014" i="1"/>
  <c r="J3014" i="1"/>
  <c r="I2886" i="1"/>
  <c r="J2886" i="1"/>
  <c r="I2822" i="1"/>
  <c r="J2822" i="1"/>
  <c r="I2758" i="1"/>
  <c r="J2758" i="1"/>
  <c r="H2566" i="1"/>
  <c r="J2566" i="1"/>
  <c r="H2502" i="1"/>
  <c r="J2502" i="1"/>
  <c r="H2374" i="1"/>
  <c r="J2374" i="1"/>
  <c r="I2310" i="1"/>
  <c r="J2310" i="1"/>
  <c r="I2246" i="1"/>
  <c r="J2246" i="1"/>
  <c r="I2182" i="1"/>
  <c r="J2182" i="1"/>
  <c r="I2118" i="1"/>
  <c r="J2118" i="1"/>
  <c r="J9953" i="1"/>
  <c r="J9937" i="1"/>
  <c r="J9921" i="1"/>
  <c r="J9889" i="1"/>
  <c r="J9873" i="1"/>
  <c r="J9825" i="1"/>
  <c r="J9809" i="1"/>
  <c r="J9761" i="1"/>
  <c r="J9753" i="1"/>
  <c r="J9745" i="1"/>
  <c r="J9697" i="1"/>
  <c r="J9681" i="1"/>
  <c r="J9633" i="1"/>
  <c r="J9617" i="1"/>
  <c r="J9585" i="1"/>
  <c r="J9569" i="1"/>
  <c r="J9553" i="1"/>
  <c r="J9505" i="1"/>
  <c r="J9489" i="1"/>
  <c r="J9441" i="1"/>
  <c r="J9425" i="1"/>
  <c r="J9409" i="1"/>
  <c r="J9377" i="1"/>
  <c r="J9361" i="1"/>
  <c r="J9313" i="1"/>
  <c r="J9297" i="1"/>
  <c r="J9249" i="1"/>
  <c r="J9241" i="1"/>
  <c r="J9233" i="1"/>
  <c r="J9185" i="1"/>
  <c r="J9169" i="1"/>
  <c r="J9121" i="1"/>
  <c r="J9105" i="1"/>
  <c r="J9073" i="1"/>
  <c r="J9057" i="1"/>
  <c r="J9041" i="1"/>
  <c r="J8993" i="1"/>
  <c r="J8977" i="1"/>
  <c r="J8929" i="1"/>
  <c r="J8913" i="1"/>
  <c r="J8897" i="1"/>
  <c r="J8865" i="1"/>
  <c r="J8849" i="1"/>
  <c r="J8801" i="1"/>
  <c r="J8785" i="1"/>
  <c r="J8737" i="1"/>
  <c r="J8729" i="1"/>
  <c r="J8721" i="1"/>
  <c r="J8673" i="1"/>
  <c r="J8657" i="1"/>
  <c r="J8609" i="1"/>
  <c r="J8593" i="1"/>
  <c r="J8561" i="1"/>
  <c r="J8545" i="1"/>
  <c r="J8513" i="1"/>
  <c r="J8497" i="1"/>
  <c r="J8473" i="1"/>
  <c r="J8449" i="1"/>
  <c r="J8433" i="1"/>
  <c r="J8409" i="1"/>
  <c r="J8385" i="1"/>
  <c r="J8369" i="1"/>
  <c r="J8345" i="1"/>
  <c r="J8321" i="1"/>
  <c r="J8305" i="1"/>
  <c r="J8281" i="1"/>
  <c r="J8257" i="1"/>
  <c r="J8241" i="1"/>
  <c r="J8217" i="1"/>
  <c r="J8193" i="1"/>
  <c r="J8177" i="1"/>
  <c r="J8153" i="1"/>
  <c r="J8129" i="1"/>
  <c r="J8113" i="1"/>
  <c r="J8089" i="1"/>
  <c r="J8065" i="1"/>
  <c r="J8049" i="1"/>
  <c r="J8041" i="1"/>
  <c r="J8033" i="1"/>
  <c r="J8025" i="1"/>
  <c r="J8017" i="1"/>
  <c r="J8009" i="1"/>
  <c r="J8001" i="1"/>
  <c r="J7993" i="1"/>
  <c r="J7985" i="1"/>
  <c r="J7977" i="1"/>
  <c r="J7969" i="1"/>
  <c r="J7961" i="1"/>
  <c r="J7953" i="1"/>
  <c r="J7945" i="1"/>
  <c r="J7937" i="1"/>
  <c r="J7929" i="1"/>
  <c r="J7921" i="1"/>
  <c r="J7913" i="1"/>
  <c r="J7905" i="1"/>
  <c r="J7897" i="1"/>
  <c r="J7889" i="1"/>
  <c r="J7881" i="1"/>
  <c r="J7873" i="1"/>
  <c r="J7865" i="1"/>
  <c r="J7857" i="1"/>
  <c r="J7849" i="1"/>
  <c r="J7841" i="1"/>
  <c r="J7833" i="1"/>
  <c r="J7825" i="1"/>
  <c r="J7817" i="1"/>
  <c r="J7809" i="1"/>
  <c r="J7801" i="1"/>
  <c r="J7793" i="1"/>
  <c r="J7785" i="1"/>
  <c r="J7777" i="1"/>
  <c r="J7769" i="1"/>
  <c r="J7761" i="1"/>
  <c r="J7753" i="1"/>
  <c r="J7745" i="1"/>
  <c r="J7737" i="1"/>
  <c r="J7729" i="1"/>
  <c r="J7721" i="1"/>
  <c r="J7713" i="1"/>
  <c r="J7705" i="1"/>
  <c r="J7697" i="1"/>
  <c r="J7689" i="1"/>
  <c r="J7681" i="1"/>
  <c r="J7673" i="1"/>
  <c r="J7665" i="1"/>
  <c r="J7657" i="1"/>
  <c r="J7649" i="1"/>
  <c r="J7641" i="1"/>
  <c r="J7633" i="1"/>
  <c r="J7625" i="1"/>
  <c r="J7617" i="1"/>
  <c r="J7609" i="1"/>
  <c r="J7601" i="1"/>
  <c r="J7593" i="1"/>
  <c r="J7585" i="1"/>
  <c r="J7577" i="1"/>
  <c r="J7569" i="1"/>
  <c r="J7561" i="1"/>
  <c r="J7553" i="1"/>
  <c r="J7545" i="1"/>
  <c r="J7537" i="1"/>
  <c r="J7529" i="1"/>
  <c r="J7521" i="1"/>
  <c r="J7513" i="1"/>
  <c r="J7505" i="1"/>
  <c r="J7497" i="1"/>
  <c r="J7489" i="1"/>
  <c r="J7481" i="1"/>
  <c r="J7473" i="1"/>
  <c r="J7465" i="1"/>
  <c r="J7457" i="1"/>
  <c r="J7449" i="1"/>
  <c r="J7441" i="1"/>
  <c r="J7433" i="1"/>
  <c r="J7425" i="1"/>
  <c r="J7417" i="1"/>
  <c r="J7409" i="1"/>
  <c r="J7401" i="1"/>
  <c r="J7393" i="1"/>
  <c r="J7385" i="1"/>
  <c r="J7377" i="1"/>
  <c r="J7369" i="1"/>
  <c r="J7361" i="1"/>
  <c r="J7353" i="1"/>
  <c r="J7345" i="1"/>
  <c r="J7337" i="1"/>
  <c r="J7329" i="1"/>
  <c r="J7321" i="1"/>
  <c r="J7313" i="1"/>
  <c r="J7305" i="1"/>
  <c r="J7297" i="1"/>
  <c r="J7289" i="1"/>
  <c r="J7281" i="1"/>
  <c r="J7273" i="1"/>
  <c r="J7265" i="1"/>
  <c r="J7257" i="1"/>
  <c r="J7249" i="1"/>
  <c r="J7241" i="1"/>
  <c r="J7233" i="1"/>
  <c r="J7225" i="1"/>
  <c r="J7217" i="1"/>
  <c r="J7209" i="1"/>
  <c r="J7201" i="1"/>
  <c r="J7193" i="1"/>
  <c r="J7185" i="1"/>
  <c r="J7177" i="1"/>
  <c r="J7169" i="1"/>
  <c r="J7161" i="1"/>
  <c r="J7153" i="1"/>
  <c r="J7145" i="1"/>
  <c r="J7137" i="1"/>
  <c r="J7129" i="1"/>
  <c r="J7121" i="1"/>
  <c r="J7113" i="1"/>
  <c r="J7105" i="1"/>
  <c r="J7097" i="1"/>
  <c r="J7089" i="1"/>
  <c r="J7081" i="1"/>
  <c r="J7073" i="1"/>
  <c r="J7065" i="1"/>
  <c r="J7057" i="1"/>
  <c r="J7049" i="1"/>
  <c r="J7041" i="1"/>
  <c r="J7033" i="1"/>
  <c r="J7025" i="1"/>
  <c r="J7017" i="1"/>
  <c r="J7009" i="1"/>
  <c r="J7001" i="1"/>
  <c r="J6993" i="1"/>
  <c r="J6985" i="1"/>
  <c r="J6977" i="1"/>
  <c r="J6969" i="1"/>
  <c r="J6961" i="1"/>
  <c r="J6953" i="1"/>
  <c r="J6945" i="1"/>
  <c r="J6937" i="1"/>
  <c r="J6929" i="1"/>
  <c r="J6921" i="1"/>
  <c r="J6913" i="1"/>
  <c r="J6905" i="1"/>
  <c r="J6897" i="1"/>
  <c r="J6889" i="1"/>
  <c r="J6881" i="1"/>
  <c r="J6873" i="1"/>
  <c r="J6865" i="1"/>
  <c r="J6857" i="1"/>
  <c r="J6849" i="1"/>
  <c r="J6841" i="1"/>
  <c r="J6833" i="1"/>
  <c r="J6825" i="1"/>
  <c r="J6817" i="1"/>
  <c r="J6809" i="1"/>
  <c r="J6801" i="1"/>
  <c r="J6793" i="1"/>
  <c r="J6785" i="1"/>
  <c r="J6777" i="1"/>
  <c r="J6769" i="1"/>
  <c r="J6761" i="1"/>
  <c r="J6753" i="1"/>
  <c r="J6745" i="1"/>
  <c r="J6687" i="1"/>
  <c r="J6655" i="1"/>
  <c r="J6591" i="1"/>
  <c r="J6559" i="1"/>
  <c r="J6527" i="1"/>
  <c r="J6495" i="1"/>
  <c r="J6463" i="1"/>
  <c r="J6367" i="1"/>
  <c r="J6335" i="1"/>
  <c r="J6239" i="1"/>
  <c r="J6207" i="1"/>
  <c r="J6175" i="1"/>
  <c r="J6111" i="1"/>
  <c r="J6079" i="1"/>
  <c r="J6047" i="1"/>
  <c r="J5983" i="1"/>
  <c r="J5951" i="1"/>
  <c r="J5887" i="1"/>
  <c r="J5855" i="1"/>
  <c r="J5823" i="1"/>
  <c r="J5791" i="1"/>
  <c r="J5727" i="1"/>
  <c r="J5631" i="1"/>
  <c r="J5599" i="1"/>
  <c r="J5567" i="1"/>
  <c r="J5535" i="1"/>
  <c r="J5503" i="1"/>
  <c r="J5471" i="1"/>
  <c r="J5439" i="1"/>
  <c r="J5407" i="1"/>
  <c r="J5375" i="1"/>
  <c r="J5343" i="1"/>
  <c r="J5311" i="1"/>
  <c r="J5247" i="1"/>
  <c r="J5215" i="1"/>
  <c r="J5183" i="1"/>
  <c r="J5151" i="1"/>
  <c r="J5119" i="1"/>
  <c r="J5087" i="1"/>
  <c r="J5055" i="1"/>
  <c r="J5023" i="1"/>
  <c r="J4927" i="1"/>
  <c r="J4895" i="1"/>
  <c r="J4863" i="1"/>
  <c r="J4831" i="1"/>
  <c r="J4799" i="1"/>
  <c r="J4703" i="1"/>
  <c r="J4671" i="1"/>
  <c r="J4639" i="1"/>
  <c r="J4607" i="1"/>
  <c r="J4575" i="1"/>
  <c r="J4543" i="1"/>
  <c r="J4238" i="1"/>
  <c r="J3902" i="1"/>
  <c r="J3774" i="1"/>
  <c r="J2868" i="1"/>
  <c r="J717" i="1"/>
  <c r="J653" i="1"/>
  <c r="J525" i="1"/>
  <c r="J461" i="1"/>
  <c r="J397" i="1"/>
  <c r="J9976" i="1"/>
  <c r="J9960" i="1"/>
  <c r="J9928" i="1"/>
  <c r="J9792" i="1"/>
  <c r="J9728" i="1"/>
  <c r="J9648" i="1"/>
  <c r="J9624" i="1"/>
  <c r="J9600" i="1"/>
  <c r="J9464" i="1"/>
  <c r="J9432" i="1"/>
  <c r="J9416" i="1"/>
  <c r="J9280" i="1"/>
  <c r="J9176" i="1"/>
  <c r="J9112" i="1"/>
  <c r="J9104" i="1"/>
  <c r="J9064" i="1"/>
  <c r="J9040" i="1"/>
  <c r="J9032" i="1"/>
  <c r="J9008" i="1"/>
  <c r="J8944" i="1"/>
  <c r="J8920" i="1"/>
  <c r="J8888" i="1"/>
  <c r="J8864" i="1"/>
  <c r="J8824" i="1"/>
  <c r="J8768" i="1"/>
  <c r="J8760" i="1"/>
  <c r="J8744" i="1"/>
  <c r="J8728" i="1"/>
  <c r="J8720" i="1"/>
  <c r="J8704" i="1"/>
  <c r="J8600" i="1"/>
  <c r="J8592" i="1"/>
  <c r="J8552" i="1"/>
  <c r="J8520" i="1"/>
  <c r="J8496" i="1"/>
  <c r="J8464" i="1"/>
  <c r="J8440" i="1"/>
  <c r="J8424" i="1"/>
  <c r="J8416" i="1"/>
  <c r="J8408" i="1"/>
  <c r="J8344" i="1"/>
  <c r="J8304" i="1"/>
  <c r="J8224" i="1"/>
  <c r="J8216" i="1"/>
  <c r="J8200" i="1"/>
  <c r="J8192" i="1"/>
  <c r="J8184" i="1"/>
  <c r="J8176" i="1"/>
  <c r="J8160" i="1"/>
  <c r="J8152" i="1"/>
  <c r="J8136" i="1"/>
  <c r="J8112" i="1"/>
  <c r="J8104" i="1"/>
  <c r="J8080" i="1"/>
  <c r="J8064" i="1"/>
  <c r="J8056" i="1"/>
  <c r="J8048" i="1"/>
  <c r="J8040" i="1"/>
  <c r="J8024" i="1"/>
  <c r="J8000" i="1"/>
  <c r="J7984" i="1"/>
  <c r="J7976" i="1"/>
  <c r="J7968" i="1"/>
  <c r="J7952" i="1"/>
  <c r="J7944" i="1"/>
  <c r="J7928" i="1"/>
  <c r="J7920" i="1"/>
  <c r="J7912" i="1"/>
  <c r="J7888" i="1"/>
  <c r="J7880" i="1"/>
  <c r="J7872" i="1"/>
  <c r="J4390" i="1"/>
  <c r="J2460" i="1"/>
  <c r="J6740" i="1"/>
  <c r="J6716" i="1"/>
  <c r="J6652" i="1"/>
  <c r="E6604" i="1"/>
  <c r="J6604" i="1"/>
  <c r="E6580" i="1"/>
  <c r="J6580" i="1"/>
  <c r="J6564" i="1"/>
  <c r="J6532" i="1"/>
  <c r="J6516" i="1"/>
  <c r="J6476" i="1"/>
  <c r="J6468" i="1"/>
  <c r="E6444" i="1"/>
  <c r="J6444" i="1"/>
  <c r="J6420" i="1"/>
  <c r="J6396" i="1"/>
  <c r="J6380" i="1"/>
  <c r="J6372" i="1"/>
  <c r="J6356" i="1"/>
  <c r="E6348" i="1"/>
  <c r="J6348" i="1"/>
  <c r="J6332" i="1"/>
  <c r="E6324" i="1"/>
  <c r="J6324" i="1"/>
  <c r="J6284" i="1"/>
  <c r="J6276" i="1"/>
  <c r="J6236" i="1"/>
  <c r="J6228" i="1"/>
  <c r="E6188" i="1"/>
  <c r="J6188" i="1"/>
  <c r="J6124" i="1"/>
  <c r="E6092" i="1"/>
  <c r="J6092" i="1"/>
  <c r="J6076" i="1"/>
  <c r="J6060" i="1"/>
  <c r="J6044" i="1"/>
  <c r="E6036" i="1"/>
  <c r="J6036" i="1"/>
  <c r="J6020" i="1"/>
  <c r="J6004" i="1"/>
  <c r="E5964" i="1"/>
  <c r="J5964" i="1"/>
  <c r="J5940" i="1"/>
  <c r="J5924" i="1"/>
  <c r="J5916" i="1"/>
  <c r="J5892" i="1"/>
  <c r="J5868" i="1"/>
  <c r="J5844" i="1"/>
  <c r="J5828" i="1"/>
  <c r="E5812" i="1"/>
  <c r="J5812" i="1"/>
  <c r="J5796" i="1"/>
  <c r="E5780" i="1"/>
  <c r="J5780" i="1"/>
  <c r="E5772" i="1"/>
  <c r="J5772" i="1"/>
  <c r="J5756" i="1"/>
  <c r="E5740" i="1"/>
  <c r="J5740" i="1"/>
  <c r="J5716" i="1"/>
  <c r="J5700" i="1"/>
  <c r="J5692" i="1"/>
  <c r="E5684" i="1"/>
  <c r="J5684" i="1"/>
  <c r="J5668" i="1"/>
  <c r="J5644" i="1"/>
  <c r="E5612" i="1"/>
  <c r="J5612" i="1"/>
  <c r="J5588" i="1"/>
  <c r="E5556" i="1"/>
  <c r="J5556" i="1"/>
  <c r="J5548" i="1"/>
  <c r="J5524" i="1"/>
  <c r="E5516" i="1"/>
  <c r="J5516" i="1"/>
  <c r="J5484" i="1"/>
  <c r="J5468" i="1"/>
  <c r="J5460" i="1"/>
  <c r="J5444" i="1"/>
  <c r="J5436" i="1"/>
  <c r="E5428" i="1"/>
  <c r="J5428" i="1"/>
  <c r="J5420" i="1"/>
  <c r="J5388" i="1"/>
  <c r="E5364" i="1"/>
  <c r="J5364" i="1"/>
  <c r="J5332" i="1"/>
  <c r="J5316" i="1"/>
  <c r="J5308" i="1"/>
  <c r="J5284" i="1"/>
  <c r="J5268" i="1"/>
  <c r="J5260" i="1"/>
  <c r="J5244" i="1"/>
  <c r="J5236" i="1"/>
  <c r="J5228" i="1"/>
  <c r="J5212" i="1"/>
  <c r="J5204" i="1"/>
  <c r="J5188" i="1"/>
  <c r="J5180" i="1"/>
  <c r="J5156" i="1"/>
  <c r="J5132" i="1"/>
  <c r="J5100" i="1"/>
  <c r="J5084" i="1"/>
  <c r="J5052" i="1"/>
  <c r="J5036" i="1"/>
  <c r="J5028" i="1"/>
  <c r="J4996" i="1"/>
  <c r="E4988" i="1"/>
  <c r="J4988" i="1"/>
  <c r="J4980" i="1"/>
  <c r="J4972" i="1"/>
  <c r="J4948" i="1"/>
  <c r="J4932" i="1"/>
  <c r="J4924" i="1"/>
  <c r="J4916" i="1"/>
  <c r="J4900" i="1"/>
  <c r="J4868" i="1"/>
  <c r="J4860" i="1"/>
  <c r="J4836" i="1"/>
  <c r="J4820" i="1"/>
  <c r="J4804" i="1"/>
  <c r="J4772" i="1"/>
  <c r="J4756" i="1"/>
  <c r="J4740" i="1"/>
  <c r="J4708" i="1"/>
  <c r="J4692" i="1"/>
  <c r="J4652" i="1"/>
  <c r="J4644" i="1"/>
  <c r="J4628" i="1"/>
  <c r="J4604" i="1"/>
  <c r="J4588" i="1"/>
  <c r="E4580" i="1"/>
  <c r="J4580" i="1"/>
  <c r="J4572" i="1"/>
  <c r="J4532" i="1"/>
  <c r="J4508" i="1"/>
  <c r="J4484" i="1"/>
  <c r="E4452" i="1"/>
  <c r="J4452" i="1"/>
  <c r="J4404" i="1"/>
  <c r="J4396" i="1"/>
  <c r="J4380" i="1"/>
  <c r="J4364" i="1"/>
  <c r="J4340" i="1"/>
  <c r="J4332" i="1"/>
  <c r="E4292" i="1"/>
  <c r="J4292" i="1"/>
  <c r="J4276" i="1"/>
  <c r="J4252" i="1"/>
  <c r="E4228" i="1"/>
  <c r="J4228" i="1"/>
  <c r="J4204" i="1"/>
  <c r="E4188" i="1"/>
  <c r="J4188" i="1"/>
  <c r="J4148" i="1"/>
  <c r="E4132" i="1"/>
  <c r="J4132" i="1"/>
  <c r="J4124" i="1"/>
  <c r="J4108" i="1"/>
  <c r="E4100" i="1"/>
  <c r="J4100" i="1"/>
  <c r="J4060" i="1"/>
  <c r="J4052" i="1"/>
  <c r="J4012" i="1"/>
  <c r="J3980" i="1"/>
  <c r="J3964" i="1"/>
  <c r="J3940" i="1"/>
  <c r="E3932" i="1"/>
  <c r="J3932" i="1"/>
  <c r="J3924" i="1"/>
  <c r="J3916" i="1"/>
  <c r="J3884" i="1"/>
  <c r="E3876" i="1"/>
  <c r="J3876" i="1"/>
  <c r="E3868" i="1"/>
  <c r="J3868" i="1"/>
  <c r="J3852" i="1"/>
  <c r="E3836" i="1"/>
  <c r="J3836" i="1"/>
  <c r="J3820" i="1"/>
  <c r="J3812" i="1"/>
  <c r="J3788" i="1"/>
  <c r="J3772" i="1"/>
  <c r="E3748" i="1"/>
  <c r="J3748" i="1"/>
  <c r="J3732" i="1"/>
  <c r="J3724" i="1"/>
  <c r="J3708" i="1"/>
  <c r="J3700" i="1"/>
  <c r="E3684" i="1"/>
  <c r="J3684" i="1"/>
  <c r="J3676" i="1"/>
  <c r="J3668" i="1"/>
  <c r="E3652" i="1"/>
  <c r="J3652" i="1"/>
  <c r="E3620" i="1"/>
  <c r="J3620" i="1"/>
  <c r="J3612" i="1"/>
  <c r="J3604" i="1"/>
  <c r="E3580" i="1"/>
  <c r="J3580" i="1"/>
  <c r="J3572" i="1"/>
  <c r="J3556" i="1"/>
  <c r="J3548" i="1"/>
  <c r="J3516" i="1"/>
  <c r="J3508" i="1"/>
  <c r="E3484" i="1"/>
  <c r="J3484" i="1"/>
  <c r="J3476" i="1"/>
  <c r="E3460" i="1"/>
  <c r="J3460" i="1"/>
  <c r="J3452" i="1"/>
  <c r="J3428" i="1"/>
  <c r="J3420" i="1"/>
  <c r="J3412" i="1"/>
  <c r="J3380" i="1"/>
  <c r="J3356" i="1"/>
  <c r="J3348" i="1"/>
  <c r="E3332" i="1"/>
  <c r="J3332" i="1"/>
  <c r="E3324" i="1"/>
  <c r="J3324" i="1"/>
  <c r="J3316" i="1"/>
  <c r="E3300" i="1"/>
  <c r="J3300" i="1"/>
  <c r="E3268" i="1"/>
  <c r="J3268" i="1"/>
  <c r="J3252" i="1"/>
  <c r="J3220" i="1"/>
  <c r="J3204" i="1"/>
  <c r="J3188" i="1"/>
  <c r="E3172" i="1"/>
  <c r="J3172" i="1"/>
  <c r="J3156" i="1"/>
  <c r="E3140" i="1"/>
  <c r="J3140" i="1"/>
  <c r="J3132" i="1"/>
  <c r="E3108" i="1"/>
  <c r="J3108" i="1"/>
  <c r="J3092" i="1"/>
  <c r="J3068" i="1"/>
  <c r="J3060" i="1"/>
  <c r="J3044" i="1"/>
  <c r="J3036" i="1"/>
  <c r="J3028" i="1"/>
  <c r="J3004" i="1"/>
  <c r="J2988" i="1"/>
  <c r="J2964" i="1"/>
  <c r="J2956" i="1"/>
  <c r="E2948" i="1"/>
  <c r="J2948" i="1"/>
  <c r="J2932" i="1"/>
  <c r="J2924" i="1"/>
  <c r="E2908" i="1"/>
  <c r="J2908" i="1"/>
  <c r="J2900" i="1"/>
  <c r="J2892" i="1"/>
  <c r="J2860" i="1"/>
  <c r="E2852" i="1"/>
  <c r="J2852" i="1"/>
  <c r="J2844" i="1"/>
  <c r="J2836" i="1"/>
  <c r="J2828" i="1"/>
  <c r="E2812" i="1"/>
  <c r="J2812" i="1"/>
  <c r="J2804" i="1"/>
  <c r="J2796" i="1"/>
  <c r="J2764" i="1"/>
  <c r="E2756" i="1"/>
  <c r="J2756" i="1"/>
  <c r="J2748" i="1"/>
  <c r="J2740" i="1"/>
  <c r="J2732" i="1"/>
  <c r="J2708" i="1"/>
  <c r="J2700" i="1"/>
  <c r="J2676" i="1"/>
  <c r="J2668" i="1"/>
  <c r="E2660" i="1"/>
  <c r="J2660" i="1"/>
  <c r="J2636" i="1"/>
  <c r="E2604" i="1"/>
  <c r="J2604" i="1"/>
  <c r="E2596" i="1"/>
  <c r="J2596" i="1"/>
  <c r="J2580" i="1"/>
  <c r="J2572" i="1"/>
  <c r="J2548" i="1"/>
  <c r="J2540" i="1"/>
  <c r="E2532" i="1"/>
  <c r="J2532" i="1"/>
  <c r="E2516" i="1"/>
  <c r="J2516" i="1"/>
  <c r="J2508" i="1"/>
  <c r="E2500" i="1"/>
  <c r="J2500" i="1"/>
  <c r="E2492" i="1"/>
  <c r="J2492" i="1"/>
  <c r="J2476" i="1"/>
  <c r="J2452" i="1"/>
  <c r="J2444" i="1"/>
  <c r="J2428" i="1"/>
  <c r="J2412" i="1"/>
  <c r="E2404" i="1"/>
  <c r="J2404" i="1"/>
  <c r="E2388" i="1"/>
  <c r="J2388" i="1"/>
  <c r="J2380" i="1"/>
  <c r="J2348" i="1"/>
  <c r="E2332" i="1"/>
  <c r="J2332" i="1"/>
  <c r="E2316" i="1"/>
  <c r="J2316" i="1"/>
  <c r="E2308" i="1"/>
  <c r="J2308" i="1"/>
  <c r="J2284" i="1"/>
  <c r="E2276" i="1"/>
  <c r="J2276" i="1"/>
  <c r="E2268" i="1"/>
  <c r="J2268" i="1"/>
  <c r="J2260" i="1"/>
  <c r="E2252" i="1"/>
  <c r="J2252" i="1"/>
  <c r="J2228" i="1"/>
  <c r="J2220" i="1"/>
  <c r="E2204" i="1"/>
  <c r="J2204" i="1"/>
  <c r="J2188" i="1"/>
  <c r="E2180" i="1"/>
  <c r="J2180" i="1"/>
  <c r="J2172" i="1"/>
  <c r="J2156" i="1"/>
  <c r="E2140" i="1"/>
  <c r="J2140" i="1"/>
  <c r="J2132" i="1"/>
  <c r="J2124" i="1"/>
  <c r="E2100" i="1"/>
  <c r="J2100" i="1"/>
  <c r="J2092" i="1"/>
  <c r="E2076" i="1"/>
  <c r="J2076" i="1"/>
  <c r="J2060" i="1"/>
  <c r="E2036" i="1"/>
  <c r="J2036" i="1"/>
  <c r="J2028" i="1"/>
  <c r="E2012" i="1"/>
  <c r="J2012" i="1"/>
  <c r="J2004" i="1"/>
  <c r="J1996" i="1"/>
  <c r="E1972" i="1"/>
  <c r="J1972" i="1"/>
  <c r="E1956" i="1"/>
  <c r="J1956" i="1"/>
  <c r="E1948" i="1"/>
  <c r="J1948" i="1"/>
  <c r="J1940" i="1"/>
  <c r="J1932" i="1"/>
  <c r="J1916" i="1"/>
  <c r="J1908" i="1"/>
  <c r="J1900" i="1"/>
  <c r="E1892" i="1"/>
  <c r="J1892" i="1"/>
  <c r="E1884" i="1"/>
  <c r="J1884" i="1"/>
  <c r="J1868" i="1"/>
  <c r="J1852" i="1"/>
  <c r="J1844" i="1"/>
  <c r="E1828" i="1"/>
  <c r="J1828" i="1"/>
  <c r="E1820" i="1"/>
  <c r="J1820" i="1"/>
  <c r="E1812" i="1"/>
  <c r="J1812" i="1"/>
  <c r="J1804" i="1"/>
  <c r="J1780" i="1"/>
  <c r="J1772" i="1"/>
  <c r="E1764" i="1"/>
  <c r="J1764" i="1"/>
  <c r="E1756" i="1"/>
  <c r="J1756" i="1"/>
  <c r="J1740" i="1"/>
  <c r="J1724" i="1"/>
  <c r="E1716" i="1"/>
  <c r="J1716" i="1"/>
  <c r="E1692" i="1"/>
  <c r="J1692" i="1"/>
  <c r="J1676" i="1"/>
  <c r="J1652" i="1"/>
  <c r="J1644" i="1"/>
  <c r="J1628" i="1"/>
  <c r="J1620" i="1"/>
  <c r="J1612" i="1"/>
  <c r="J1588" i="1"/>
  <c r="E1572" i="1"/>
  <c r="J1572" i="1"/>
  <c r="E1564" i="1"/>
  <c r="J1564" i="1"/>
  <c r="J1548" i="1"/>
  <c r="J1524" i="1"/>
  <c r="J1516" i="1"/>
  <c r="E1508" i="1"/>
  <c r="J1508" i="1"/>
  <c r="E1460" i="1"/>
  <c r="J1460" i="1"/>
  <c r="E1444" i="1"/>
  <c r="J1444" i="1"/>
  <c r="E1428" i="1"/>
  <c r="J1428" i="1"/>
  <c r="J1420" i="1"/>
  <c r="J1412" i="1"/>
  <c r="J1388" i="1"/>
  <c r="E1380" i="1"/>
  <c r="J1380" i="1"/>
  <c r="E1372" i="1"/>
  <c r="J1372" i="1"/>
  <c r="E1332" i="1"/>
  <c r="J1332" i="1"/>
  <c r="J1324" i="1"/>
  <c r="J1316" i="1"/>
  <c r="J1292" i="1"/>
  <c r="E1284" i="1"/>
  <c r="J1284" i="1"/>
  <c r="E1236" i="1"/>
  <c r="J1236" i="1"/>
  <c r="J1228" i="1"/>
  <c r="J1220" i="1"/>
  <c r="J1188" i="1"/>
  <c r="E1180" i="1"/>
  <c r="J1180" i="1"/>
  <c r="J1164" i="1"/>
  <c r="J1156" i="1"/>
  <c r="J1132" i="1"/>
  <c r="J1124" i="1"/>
  <c r="E1092" i="1"/>
  <c r="J1092" i="1"/>
  <c r="E1084" i="1"/>
  <c r="J1084" i="1"/>
  <c r="J1044" i="1"/>
  <c r="J1028" i="1"/>
  <c r="E996" i="1"/>
  <c r="J996" i="1"/>
  <c r="J956" i="1"/>
  <c r="E948" i="1"/>
  <c r="J948" i="1"/>
  <c r="E932" i="1"/>
  <c r="J932" i="1"/>
  <c r="J924" i="1"/>
  <c r="J900" i="1"/>
  <c r="J892" i="1"/>
  <c r="E884" i="1"/>
  <c r="J884" i="1"/>
  <c r="E860" i="1"/>
  <c r="J860" i="1"/>
  <c r="J836" i="1"/>
  <c r="J828" i="1"/>
  <c r="J812" i="1"/>
  <c r="J804" i="1"/>
  <c r="J796" i="1"/>
  <c r="E772" i="1"/>
  <c r="J772" i="1"/>
  <c r="J764" i="1"/>
  <c r="J740" i="1"/>
  <c r="J732" i="1"/>
  <c r="J716" i="1"/>
  <c r="J708" i="1"/>
  <c r="E668" i="1"/>
  <c r="J668" i="1"/>
  <c r="E660" i="1"/>
  <c r="J660" i="1"/>
  <c r="E596" i="1"/>
  <c r="J596" i="1"/>
  <c r="E580" i="1"/>
  <c r="J580" i="1"/>
  <c r="J564" i="1"/>
  <c r="E548" i="1"/>
  <c r="J548" i="1"/>
  <c r="J540" i="1"/>
  <c r="J532" i="1"/>
  <c r="E516" i="1"/>
  <c r="J516" i="1"/>
  <c r="J500" i="1"/>
  <c r="J492" i="1"/>
  <c r="E468" i="1"/>
  <c r="J468" i="1"/>
  <c r="E444" i="1"/>
  <c r="J444" i="1"/>
  <c r="E436" i="1"/>
  <c r="J436" i="1"/>
  <c r="J428" i="1"/>
  <c r="J396" i="1"/>
  <c r="J388" i="1"/>
  <c r="J364" i="1"/>
  <c r="E356" i="1"/>
  <c r="J356" i="1"/>
  <c r="J324" i="1"/>
  <c r="J9999" i="1"/>
  <c r="J9983" i="1"/>
  <c r="J9975" i="1"/>
  <c r="J9967" i="1"/>
  <c r="J9959" i="1"/>
  <c r="J9943" i="1"/>
  <c r="J9935" i="1"/>
  <c r="J9927" i="1"/>
  <c r="J9911" i="1"/>
  <c r="J9903" i="1"/>
  <c r="J9895" i="1"/>
  <c r="J9887" i="1"/>
  <c r="J9879" i="1"/>
  <c r="J9871" i="1"/>
  <c r="J9863" i="1"/>
  <c r="J9855" i="1"/>
  <c r="J9847" i="1"/>
  <c r="J9839" i="1"/>
  <c r="J9823" i="1"/>
  <c r="J9815" i="1"/>
  <c r="J9799" i="1"/>
  <c r="J9791" i="1"/>
  <c r="J9783" i="1"/>
  <c r="J9775" i="1"/>
  <c r="J9767" i="1"/>
  <c r="J9759" i="1"/>
  <c r="J9751" i="1"/>
  <c r="J9743" i="1"/>
  <c r="J9735" i="1"/>
  <c r="J9719" i="1"/>
  <c r="J9711" i="1"/>
  <c r="J9695" i="1"/>
  <c r="J9687" i="1"/>
  <c r="J9679" i="1"/>
  <c r="J9671" i="1"/>
  <c r="J9663" i="1"/>
  <c r="J9647" i="1"/>
  <c r="J9639" i="1"/>
  <c r="J9631" i="1"/>
  <c r="J9615" i="1"/>
  <c r="J9607" i="1"/>
  <c r="J9599" i="1"/>
  <c r="J9591" i="1"/>
  <c r="J9567" i="1"/>
  <c r="J9559" i="1"/>
  <c r="J9543" i="1"/>
  <c r="J9535" i="1"/>
  <c r="J9527" i="1"/>
  <c r="J9519" i="1"/>
  <c r="J9511" i="1"/>
  <c r="J9503" i="1"/>
  <c r="J9495" i="1"/>
  <c r="J9487" i="1"/>
  <c r="J9479" i="1"/>
  <c r="J9463" i="1"/>
  <c r="J9455" i="1"/>
  <c r="J9431" i="1"/>
  <c r="J9423" i="1"/>
  <c r="J9407" i="1"/>
  <c r="J9399" i="1"/>
  <c r="J9383" i="1"/>
  <c r="J9375" i="1"/>
  <c r="J9367" i="1"/>
  <c r="J9359" i="1"/>
  <c r="J9351" i="1"/>
  <c r="J9343" i="1"/>
  <c r="J9327" i="1"/>
  <c r="J9319" i="1"/>
  <c r="J9311" i="1"/>
  <c r="J9303" i="1"/>
  <c r="J9295" i="1"/>
  <c r="J9287" i="1"/>
  <c r="J9279" i="1"/>
  <c r="J9271" i="1"/>
  <c r="J9255" i="1"/>
  <c r="J9247" i="1"/>
  <c r="J9239" i="1"/>
  <c r="J9223" i="1"/>
  <c r="J9215" i="1"/>
  <c r="J9207" i="1"/>
  <c r="J9199" i="1"/>
  <c r="J9191" i="1"/>
  <c r="J9175" i="1"/>
  <c r="J9167" i="1"/>
  <c r="J9159" i="1"/>
  <c r="J9151" i="1"/>
  <c r="J9143" i="1"/>
  <c r="J9127" i="1"/>
  <c r="J9119" i="1"/>
  <c r="J9111" i="1"/>
  <c r="J9079" i="1"/>
  <c r="J9071" i="1"/>
  <c r="J9055" i="1"/>
  <c r="J9047" i="1"/>
  <c r="J9039" i="1"/>
  <c r="J9023" i="1"/>
  <c r="J9015" i="1"/>
  <c r="J9007" i="1"/>
  <c r="J8999" i="1"/>
  <c r="J8991" i="1"/>
  <c r="J8975" i="1"/>
  <c r="J8967" i="1"/>
  <c r="J8959" i="1"/>
  <c r="J8951" i="1"/>
  <c r="J8943" i="1"/>
  <c r="J8935" i="1"/>
  <c r="J8927" i="1"/>
  <c r="J8895" i="1"/>
  <c r="J8887" i="1"/>
  <c r="J8871" i="1"/>
  <c r="J8855" i="1"/>
  <c r="J8847" i="1"/>
  <c r="J8839" i="1"/>
  <c r="J8831" i="1"/>
  <c r="J8823" i="1"/>
  <c r="J8807" i="1"/>
  <c r="J8799" i="1"/>
  <c r="J8791" i="1"/>
  <c r="J8775" i="1"/>
  <c r="J8759" i="1"/>
  <c r="J8743" i="1"/>
  <c r="J8735" i="1"/>
  <c r="J8727" i="1"/>
  <c r="J8711" i="1"/>
  <c r="J8703" i="1"/>
  <c r="J8687" i="1"/>
  <c r="J8679" i="1"/>
  <c r="J8671" i="1"/>
  <c r="J8663" i="1"/>
  <c r="J8647" i="1"/>
  <c r="J8631" i="1"/>
  <c r="J8623" i="1"/>
  <c r="J8615" i="1"/>
  <c r="J8607" i="1"/>
  <c r="J8591" i="1"/>
  <c r="J8583" i="1"/>
  <c r="J8567" i="1"/>
  <c r="J8551" i="1"/>
  <c r="J8535" i="1"/>
  <c r="J8527" i="1"/>
  <c r="J8519" i="1"/>
  <c r="J8511" i="1"/>
  <c r="J8503" i="1"/>
  <c r="J8487" i="1"/>
  <c r="J8479" i="1"/>
  <c r="J8471" i="1"/>
  <c r="J8455" i="1"/>
  <c r="J8439" i="1"/>
  <c r="J8431" i="1"/>
  <c r="J8423" i="1"/>
  <c r="J8415" i="1"/>
  <c r="J8407" i="1"/>
  <c r="J8399" i="1"/>
  <c r="J8391" i="1"/>
  <c r="J8383" i="1"/>
  <c r="J8367" i="1"/>
  <c r="J8351" i="1"/>
  <c r="J8335" i="1"/>
  <c r="J8327" i="1"/>
  <c r="J8319" i="1"/>
  <c r="J8303" i="1"/>
  <c r="J8295" i="1"/>
  <c r="J8287" i="1"/>
  <c r="J8255" i="1"/>
  <c r="J8247" i="1"/>
  <c r="J8239" i="1"/>
  <c r="J8231" i="1"/>
  <c r="J8223" i="1"/>
  <c r="J8215" i="1"/>
  <c r="J8207" i="1"/>
  <c r="J8199" i="1"/>
  <c r="J8183" i="1"/>
  <c r="J8167" i="1"/>
  <c r="J8159" i="1"/>
  <c r="J8151" i="1"/>
  <c r="J8143" i="1"/>
  <c r="J8127" i="1"/>
  <c r="J8119" i="1"/>
  <c r="J8111" i="1"/>
  <c r="J8103" i="1"/>
  <c r="J8095" i="1"/>
  <c r="J8079" i="1"/>
  <c r="J8063" i="1"/>
  <c r="J8047" i="1"/>
  <c r="J8031" i="1"/>
  <c r="J8015" i="1"/>
  <c r="J7999" i="1"/>
  <c r="J7983" i="1"/>
  <c r="J7967" i="1"/>
  <c r="J7951" i="1"/>
  <c r="J7911" i="1"/>
  <c r="J7903" i="1"/>
  <c r="J7895" i="1"/>
  <c r="J7879" i="1"/>
  <c r="J7863" i="1"/>
  <c r="J7847" i="1"/>
  <c r="J7839" i="1"/>
  <c r="J7831" i="1"/>
  <c r="J7823" i="1"/>
  <c r="J7815" i="1"/>
  <c r="J7807" i="1"/>
  <c r="J7791" i="1"/>
  <c r="J7783" i="1"/>
  <c r="J7775" i="1"/>
  <c r="J7767" i="1"/>
  <c r="J7759" i="1"/>
  <c r="J7751" i="1"/>
  <c r="J7743" i="1"/>
  <c r="J7735" i="1"/>
  <c r="J7727" i="1"/>
  <c r="J7719" i="1"/>
  <c r="J7711" i="1"/>
  <c r="J7703" i="1"/>
  <c r="J7695" i="1"/>
  <c r="J7687" i="1"/>
  <c r="J7679" i="1"/>
  <c r="J7671" i="1"/>
  <c r="J7663" i="1"/>
  <c r="J7655" i="1"/>
  <c r="J7647" i="1"/>
  <c r="J7639" i="1"/>
  <c r="J7631" i="1"/>
  <c r="J7623" i="1"/>
  <c r="J7615" i="1"/>
  <c r="J7607" i="1"/>
  <c r="J7599" i="1"/>
  <c r="J7591" i="1"/>
  <c r="J7583" i="1"/>
  <c r="J7575" i="1"/>
  <c r="J7567" i="1"/>
  <c r="J7559" i="1"/>
  <c r="J7551" i="1"/>
  <c r="J7543" i="1"/>
  <c r="J7535" i="1"/>
  <c r="J7527" i="1"/>
  <c r="J7519" i="1"/>
  <c r="J7511" i="1"/>
  <c r="J7503" i="1"/>
  <c r="J7495" i="1"/>
  <c r="J7487" i="1"/>
  <c r="J7479" i="1"/>
  <c r="J7471" i="1"/>
  <c r="J7463" i="1"/>
  <c r="J7455" i="1"/>
  <c r="J7447" i="1"/>
  <c r="J7431" i="1"/>
  <c r="J7423" i="1"/>
  <c r="J7415" i="1"/>
  <c r="J7407" i="1"/>
  <c r="J7399" i="1"/>
  <c r="J7391" i="1"/>
  <c r="J7383" i="1"/>
  <c r="J7375" i="1"/>
  <c r="J7367" i="1"/>
  <c r="J7359" i="1"/>
  <c r="J7351" i="1"/>
  <c r="J7343" i="1"/>
  <c r="J7335" i="1"/>
  <c r="J7327" i="1"/>
  <c r="J7319" i="1"/>
  <c r="J7311" i="1"/>
  <c r="J7287" i="1"/>
  <c r="J7271" i="1"/>
  <c r="J7255" i="1"/>
  <c r="J7247" i="1"/>
  <c r="J7231" i="1"/>
  <c r="J7223" i="1"/>
  <c r="J7215" i="1"/>
  <c r="J7207" i="1"/>
  <c r="J7199" i="1"/>
  <c r="J7183" i="1"/>
  <c r="J7167" i="1"/>
  <c r="J7159" i="1"/>
  <c r="J7151" i="1"/>
  <c r="J7127" i="1"/>
  <c r="J7111" i="1"/>
  <c r="J7095" i="1"/>
  <c r="J7079" i="1"/>
  <c r="J7063" i="1"/>
  <c r="J7055" i="1"/>
  <c r="J7047" i="1"/>
  <c r="J7039" i="1"/>
  <c r="J7031" i="1"/>
  <c r="J7023" i="1"/>
  <c r="J7015" i="1"/>
  <c r="J7007" i="1"/>
  <c r="J6999" i="1"/>
  <c r="J6983" i="1"/>
  <c r="J6975" i="1"/>
  <c r="J6967" i="1"/>
  <c r="J6959" i="1"/>
  <c r="J6951" i="1"/>
  <c r="J6943" i="1"/>
  <c r="J6935" i="1"/>
  <c r="J6927" i="1"/>
  <c r="J6919" i="1"/>
  <c r="J6911" i="1"/>
  <c r="J6895" i="1"/>
  <c r="J6887" i="1"/>
  <c r="J6879" i="1"/>
  <c r="J6871" i="1"/>
  <c r="J6863" i="1"/>
  <c r="J6855" i="1"/>
  <c r="J6847" i="1"/>
  <c r="J6839" i="1"/>
  <c r="J6831" i="1"/>
  <c r="J6823" i="1"/>
  <c r="J6815" i="1"/>
  <c r="J6807" i="1"/>
  <c r="J6799" i="1"/>
  <c r="J6791" i="1"/>
  <c r="J6783" i="1"/>
  <c r="J6775" i="1"/>
  <c r="J6767" i="1"/>
  <c r="J6759" i="1"/>
  <c r="J6751" i="1"/>
  <c r="J6711" i="1"/>
  <c r="J6647" i="1"/>
  <c r="J6615" i="1"/>
  <c r="J6583" i="1"/>
  <c r="J6551" i="1"/>
  <c r="J6519" i="1"/>
  <c r="J6423" i="1"/>
  <c r="J6391" i="1"/>
  <c r="J6327" i="1"/>
  <c r="J6295" i="1"/>
  <c r="J6263" i="1"/>
  <c r="J6199" i="1"/>
  <c r="J6167" i="1"/>
  <c r="J6135" i="1"/>
  <c r="J6103" i="1"/>
  <c r="J6071" i="1"/>
  <c r="J6039" i="1"/>
  <c r="J6007" i="1"/>
  <c r="J5911" i="1"/>
  <c r="J5847" i="1"/>
  <c r="J5751" i="1"/>
  <c r="J5687" i="1"/>
  <c r="J5655" i="1"/>
  <c r="J5591" i="1"/>
  <c r="J5559" i="1"/>
  <c r="J5527" i="1"/>
  <c r="J5495" i="1"/>
  <c r="J5431" i="1"/>
  <c r="J5399" i="1"/>
  <c r="J5367" i="1"/>
  <c r="J5335" i="1"/>
  <c r="J5271" i="1"/>
  <c r="J5207" i="1"/>
  <c r="J5175" i="1"/>
  <c r="J5143" i="1"/>
  <c r="J5111" i="1"/>
  <c r="J5079" i="1"/>
  <c r="J5047" i="1"/>
  <c r="J5015" i="1"/>
  <c r="J4983" i="1"/>
  <c r="J4951" i="1"/>
  <c r="J4855" i="1"/>
  <c r="J4823" i="1"/>
  <c r="J4791" i="1"/>
  <c r="J4759" i="1"/>
  <c r="J4727" i="1"/>
  <c r="J4663" i="1"/>
  <c r="J4631" i="1"/>
  <c r="J4599" i="1"/>
  <c r="J4567" i="1"/>
  <c r="J4503" i="1"/>
  <c r="J4471" i="1"/>
  <c r="J4302" i="1"/>
  <c r="J4126" i="1"/>
  <c r="J3998" i="1"/>
  <c r="J3870" i="1"/>
  <c r="J3124" i="1"/>
  <c r="E9639" i="1"/>
  <c r="E9527" i="1"/>
  <c r="E9207" i="1"/>
  <c r="E9111" i="1"/>
  <c r="E8615" i="1"/>
  <c r="E8255" i="1"/>
  <c r="E8015" i="1"/>
  <c r="E7735" i="1"/>
  <c r="E9863" i="1"/>
  <c r="E9751" i="1"/>
  <c r="E9687" i="1"/>
  <c r="E9351" i="1"/>
  <c r="E9239" i="1"/>
  <c r="E9159" i="1"/>
  <c r="E8935" i="1"/>
  <c r="E8823" i="1"/>
  <c r="E8735" i="1"/>
  <c r="E8527" i="1"/>
  <c r="E8095" i="1"/>
  <c r="E9967" i="1"/>
  <c r="E9855" i="1"/>
  <c r="E9799" i="1"/>
  <c r="E9567" i="1"/>
  <c r="E9455" i="1"/>
  <c r="E9343" i="1"/>
  <c r="E9287" i="1"/>
  <c r="E9039" i="1"/>
  <c r="E8927" i="1"/>
  <c r="E8871" i="1"/>
  <c r="E8647" i="1"/>
  <c r="E8479" i="1"/>
  <c r="E8295" i="1"/>
  <c r="E8207" i="1"/>
  <c r="E7951" i="1"/>
  <c r="E7159" i="1"/>
  <c r="E9679" i="1"/>
  <c r="E9615" i="1"/>
  <c r="E9503" i="1"/>
  <c r="E9143" i="1"/>
  <c r="E8775" i="1"/>
  <c r="E8551" i="1"/>
  <c r="E8455" i="1"/>
  <c r="E8223" i="1"/>
  <c r="E8031" i="1"/>
  <c r="E7751" i="1"/>
  <c r="E9895" i="1"/>
  <c r="E9783" i="1"/>
  <c r="E9383" i="1"/>
  <c r="E9271" i="1"/>
  <c r="E8967" i="1"/>
  <c r="E8855" i="1"/>
  <c r="E8383" i="1"/>
  <c r="E8143" i="1"/>
  <c r="E7207" i="1"/>
  <c r="H9999" i="1"/>
  <c r="E9999" i="1"/>
  <c r="I9991" i="1"/>
  <c r="E9991" i="1"/>
  <c r="H9983" i="1"/>
  <c r="E9983" i="1"/>
  <c r="H9959" i="1"/>
  <c r="E9959" i="1"/>
  <c r="I9951" i="1"/>
  <c r="E9951" i="1"/>
  <c r="I9927" i="1"/>
  <c r="E9927" i="1"/>
  <c r="H9919" i="1"/>
  <c r="E9919" i="1"/>
  <c r="I9911" i="1"/>
  <c r="E9911" i="1"/>
  <c r="I9903" i="1"/>
  <c r="E9903" i="1"/>
  <c r="I9887" i="1"/>
  <c r="E9887" i="1"/>
  <c r="I9879" i="1"/>
  <c r="E9879" i="1"/>
  <c r="I9847" i="1"/>
  <c r="E9847" i="1"/>
  <c r="I9839" i="1"/>
  <c r="E9839" i="1"/>
  <c r="H9831" i="1"/>
  <c r="E9831" i="1"/>
  <c r="I9815" i="1"/>
  <c r="E9815" i="1"/>
  <c r="H9807" i="1"/>
  <c r="E9807" i="1"/>
  <c r="H9791" i="1"/>
  <c r="E9791" i="1"/>
  <c r="I9775" i="1"/>
  <c r="E9775" i="1"/>
  <c r="H9767" i="1"/>
  <c r="E9767" i="1"/>
  <c r="H9743" i="1"/>
  <c r="E9743" i="1"/>
  <c r="I9735" i="1"/>
  <c r="E9735" i="1"/>
  <c r="H9727" i="1"/>
  <c r="E9727" i="1"/>
  <c r="I9719" i="1"/>
  <c r="E9719" i="1"/>
  <c r="H9703" i="1"/>
  <c r="E9703" i="1"/>
  <c r="I9695" i="1"/>
  <c r="E9695" i="1"/>
  <c r="I9671" i="1"/>
  <c r="E9671" i="1"/>
  <c r="H9663" i="1"/>
  <c r="E9663" i="1"/>
  <c r="I9655" i="1"/>
  <c r="E9655" i="1"/>
  <c r="I9647" i="1"/>
  <c r="E9647" i="1"/>
  <c r="I9631" i="1"/>
  <c r="E9631" i="1"/>
  <c r="I9623" i="1"/>
  <c r="E9623" i="1"/>
  <c r="I9591" i="1"/>
  <c r="E9591" i="1"/>
  <c r="I9583" i="1"/>
  <c r="E9583" i="1"/>
  <c r="H9575" i="1"/>
  <c r="E9575" i="1"/>
  <c r="I9559" i="1"/>
  <c r="E9559" i="1"/>
  <c r="H9551" i="1"/>
  <c r="E9551" i="1"/>
  <c r="H9535" i="1"/>
  <c r="E9535" i="1"/>
  <c r="I9519" i="1"/>
  <c r="E9519" i="1"/>
  <c r="H9511" i="1"/>
  <c r="E9511" i="1"/>
  <c r="H9487" i="1"/>
  <c r="E9487" i="1"/>
  <c r="I9479" i="1"/>
  <c r="E9479" i="1"/>
  <c r="H9471" i="1"/>
  <c r="E9471" i="1"/>
  <c r="I9463" i="1"/>
  <c r="E9463" i="1"/>
  <c r="H9447" i="1"/>
  <c r="E9447" i="1"/>
  <c r="I9439" i="1"/>
  <c r="E9439" i="1"/>
  <c r="I9415" i="1"/>
  <c r="E9415" i="1"/>
  <c r="H9407" i="1"/>
  <c r="E9407" i="1"/>
  <c r="I9399" i="1"/>
  <c r="E9399" i="1"/>
  <c r="I9391" i="1"/>
  <c r="E9391" i="1"/>
  <c r="I9375" i="1"/>
  <c r="E9375" i="1"/>
  <c r="I9367" i="1"/>
  <c r="E9367" i="1"/>
  <c r="I9335" i="1"/>
  <c r="E9335" i="1"/>
  <c r="I9327" i="1"/>
  <c r="E9327" i="1"/>
  <c r="H9319" i="1"/>
  <c r="E9319" i="1"/>
  <c r="I9303" i="1"/>
  <c r="E9303" i="1"/>
  <c r="H9295" i="1"/>
  <c r="E9295" i="1"/>
  <c r="H9279" i="1"/>
  <c r="E9279" i="1"/>
  <c r="I9263" i="1"/>
  <c r="E9263" i="1"/>
  <c r="H9255" i="1"/>
  <c r="E9255" i="1"/>
  <c r="H9231" i="1"/>
  <c r="E9231" i="1"/>
  <c r="I9223" i="1"/>
  <c r="E9223" i="1"/>
  <c r="I9199" i="1"/>
  <c r="E9199" i="1"/>
  <c r="H9191" i="1"/>
  <c r="E9191" i="1"/>
  <c r="I9183" i="1"/>
  <c r="E9183" i="1"/>
  <c r="H9167" i="1"/>
  <c r="E9167" i="1"/>
  <c r="H9151" i="1"/>
  <c r="E9151" i="1"/>
  <c r="I9135" i="1"/>
  <c r="E9135" i="1"/>
  <c r="H9127" i="1"/>
  <c r="E9127" i="1"/>
  <c r="H9103" i="1"/>
  <c r="E9103" i="1"/>
  <c r="I9095" i="1"/>
  <c r="E9095" i="1"/>
  <c r="H9087" i="1"/>
  <c r="E9087" i="1"/>
  <c r="I9079" i="1"/>
  <c r="E9079" i="1"/>
  <c r="H9063" i="1"/>
  <c r="E9063" i="1"/>
  <c r="I9055" i="1"/>
  <c r="E9055" i="1"/>
  <c r="I9047" i="1"/>
  <c r="E9047" i="1"/>
  <c r="I9031" i="1"/>
  <c r="E9031" i="1"/>
  <c r="H9023" i="1"/>
  <c r="E9023" i="1"/>
  <c r="H8999" i="1"/>
  <c r="E8999" i="1"/>
  <c r="I8991" i="1"/>
  <c r="E8991" i="1"/>
  <c r="I8983" i="1"/>
  <c r="E8983" i="1"/>
  <c r="H8975" i="1"/>
  <c r="E8975" i="1"/>
  <c r="H8959" i="1"/>
  <c r="E8959" i="1"/>
  <c r="I8951" i="1"/>
  <c r="E8951" i="1"/>
  <c r="I8919" i="1"/>
  <c r="E8919" i="1"/>
  <c r="H8911" i="1"/>
  <c r="E8911" i="1"/>
  <c r="I8903" i="1"/>
  <c r="E8903" i="1"/>
  <c r="I8887" i="1"/>
  <c r="E8887" i="1"/>
  <c r="I8879" i="1"/>
  <c r="E8879" i="1"/>
  <c r="I8863" i="1"/>
  <c r="E8863" i="1"/>
  <c r="H8847" i="1"/>
  <c r="E8847" i="1"/>
  <c r="I8839" i="1"/>
  <c r="E8839" i="1"/>
  <c r="H8831" i="1"/>
  <c r="E8831" i="1"/>
  <c r="I8815" i="1"/>
  <c r="E8815" i="1"/>
  <c r="I8799" i="1"/>
  <c r="E8799" i="1"/>
  <c r="H8783" i="1"/>
  <c r="E8783" i="1"/>
  <c r="H8767" i="1"/>
  <c r="E8767" i="1"/>
  <c r="I8759" i="1"/>
  <c r="E8759" i="1"/>
  <c r="I8751" i="1"/>
  <c r="E8751" i="1"/>
  <c r="H8743" i="1"/>
  <c r="E8743" i="1"/>
  <c r="I8727" i="1"/>
  <c r="E8727" i="1"/>
  <c r="H8719" i="1"/>
  <c r="E8719" i="1"/>
  <c r="I8695" i="1"/>
  <c r="E8695" i="1"/>
  <c r="I8687" i="1"/>
  <c r="E8687" i="1"/>
  <c r="H8679" i="1"/>
  <c r="E8679" i="1"/>
  <c r="I8663" i="1"/>
  <c r="E8663" i="1"/>
  <c r="H8655" i="1"/>
  <c r="E8655" i="1"/>
  <c r="H8639" i="1"/>
  <c r="E8639" i="1"/>
  <c r="I8631" i="1"/>
  <c r="E8631" i="1"/>
  <c r="I8607" i="1"/>
  <c r="E8607" i="1"/>
  <c r="I8599" i="1"/>
  <c r="E8599" i="1"/>
  <c r="H8591" i="1"/>
  <c r="E8591" i="1"/>
  <c r="H8575" i="1"/>
  <c r="E8575" i="1"/>
  <c r="I8567" i="1"/>
  <c r="E8567" i="1"/>
  <c r="I8559" i="1"/>
  <c r="E8559" i="1"/>
  <c r="I8543" i="1"/>
  <c r="E8543" i="1"/>
  <c r="I8535" i="1"/>
  <c r="E8535" i="1"/>
  <c r="I8519" i="1"/>
  <c r="E8519" i="1"/>
  <c r="I8503" i="1"/>
  <c r="E8503" i="1"/>
  <c r="I8495" i="1"/>
  <c r="E8495" i="1"/>
  <c r="H8487" i="1"/>
  <c r="E8487" i="1"/>
  <c r="H8463" i="1"/>
  <c r="E8463" i="1"/>
  <c r="H8447" i="1"/>
  <c r="E8447" i="1"/>
  <c r="I8439" i="1"/>
  <c r="E8439" i="1"/>
  <c r="I8431" i="1"/>
  <c r="E8431" i="1"/>
  <c r="I8415" i="1"/>
  <c r="E8415" i="1"/>
  <c r="I8407" i="1"/>
  <c r="E8407" i="1"/>
  <c r="H8399" i="1"/>
  <c r="E8399" i="1"/>
  <c r="I8391" i="1"/>
  <c r="E8391" i="1"/>
  <c r="I8375" i="1"/>
  <c r="E8375" i="1"/>
  <c r="I8367" i="1"/>
  <c r="E8367" i="1"/>
  <c r="H8359" i="1"/>
  <c r="E8359" i="1"/>
  <c r="I8343" i="1"/>
  <c r="E8343" i="1"/>
  <c r="H8335" i="1"/>
  <c r="E8335" i="1"/>
  <c r="H8319" i="1"/>
  <c r="E8319" i="1"/>
  <c r="I8311" i="1"/>
  <c r="E8311" i="1"/>
  <c r="I8303" i="1"/>
  <c r="E8303" i="1"/>
  <c r="I8287" i="1"/>
  <c r="E8287" i="1"/>
  <c r="I8279" i="1"/>
  <c r="E8279" i="1"/>
  <c r="H8271" i="1"/>
  <c r="E8271" i="1"/>
  <c r="I8263" i="1"/>
  <c r="E8263" i="1"/>
  <c r="I8247" i="1"/>
  <c r="E8247" i="1"/>
  <c r="I8239" i="1"/>
  <c r="E8239" i="1"/>
  <c r="H8231" i="1"/>
  <c r="E8231" i="1"/>
  <c r="I8215" i="1"/>
  <c r="E8215" i="1"/>
  <c r="I8199" i="1"/>
  <c r="E8199" i="1"/>
  <c r="H8191" i="1"/>
  <c r="E8191" i="1"/>
  <c r="I8183" i="1"/>
  <c r="E8183" i="1"/>
  <c r="I8175" i="1"/>
  <c r="E8175" i="1"/>
  <c r="I8167" i="1"/>
  <c r="E8167" i="1"/>
  <c r="I8151" i="1"/>
  <c r="E8151" i="1"/>
  <c r="I8135" i="1"/>
  <c r="E8135" i="1"/>
  <c r="H8127" i="1"/>
  <c r="E8127" i="1"/>
  <c r="I8119" i="1"/>
  <c r="E8119" i="1"/>
  <c r="I8111" i="1"/>
  <c r="E8111" i="1"/>
  <c r="I8103" i="1"/>
  <c r="E8103" i="1"/>
  <c r="I8087" i="1"/>
  <c r="E8087" i="1"/>
  <c r="I8071" i="1"/>
  <c r="E8071" i="1"/>
  <c r="H8063" i="1"/>
  <c r="E8063" i="1"/>
  <c r="I8055" i="1"/>
  <c r="E8055" i="1"/>
  <c r="I8047" i="1"/>
  <c r="E8047" i="1"/>
  <c r="I8039" i="1"/>
  <c r="E8039" i="1"/>
  <c r="I8023" i="1"/>
  <c r="E8023" i="1"/>
  <c r="I8007" i="1"/>
  <c r="E8007" i="1"/>
  <c r="I7999" i="1"/>
  <c r="E7999" i="1"/>
  <c r="I7991" i="1"/>
  <c r="E7991" i="1"/>
  <c r="I7983" i="1"/>
  <c r="E7983" i="1"/>
  <c r="I7975" i="1"/>
  <c r="E7975" i="1"/>
  <c r="I7959" i="1"/>
  <c r="E7959" i="1"/>
  <c r="I7943" i="1"/>
  <c r="E7943" i="1"/>
  <c r="I7935" i="1"/>
  <c r="E7935" i="1"/>
  <c r="I7927" i="1"/>
  <c r="E7927" i="1"/>
  <c r="I7919" i="1"/>
  <c r="E7919" i="1"/>
  <c r="I7911" i="1"/>
  <c r="E7911" i="1"/>
  <c r="I7895" i="1"/>
  <c r="E7895" i="1"/>
  <c r="I7887" i="1"/>
  <c r="E7887" i="1"/>
  <c r="I7879" i="1"/>
  <c r="E7879" i="1"/>
  <c r="I7871" i="1"/>
  <c r="E7871" i="1"/>
  <c r="I7863" i="1"/>
  <c r="E7863" i="1"/>
  <c r="I7855" i="1"/>
  <c r="E7855" i="1"/>
  <c r="E7303" i="1"/>
  <c r="E7295" i="1"/>
  <c r="E7279" i="1"/>
  <c r="E7263" i="1"/>
  <c r="E7239" i="1"/>
  <c r="E7191" i="1"/>
  <c r="E7175" i="1"/>
  <c r="E7143" i="1"/>
  <c r="E7135" i="1"/>
  <c r="E7119" i="1"/>
  <c r="E7103" i="1"/>
  <c r="E7087" i="1"/>
  <c r="E7071" i="1"/>
  <c r="I9975" i="1"/>
  <c r="E9975" i="1"/>
  <c r="E9823" i="1"/>
  <c r="E9711" i="1"/>
  <c r="E9599" i="1"/>
  <c r="E9543" i="1"/>
  <c r="E9311" i="1"/>
  <c r="E9119" i="1"/>
  <c r="E8895" i="1"/>
  <c r="E8623" i="1"/>
  <c r="E8583" i="1"/>
  <c r="E8423" i="1"/>
  <c r="E8079" i="1"/>
  <c r="E7031" i="1"/>
  <c r="E9878" i="1"/>
  <c r="E9822" i="1"/>
  <c r="E9774" i="1"/>
  <c r="E9622" i="1"/>
  <c r="E9566" i="1"/>
  <c r="E9518" i="1"/>
  <c r="E9366" i="1"/>
  <c r="E9310" i="1"/>
  <c r="E9262" i="1"/>
  <c r="E9110" i="1"/>
  <c r="E9030" i="1"/>
  <c r="E8974" i="1"/>
  <c r="E8950" i="1"/>
  <c r="E8926" i="1"/>
  <c r="E8678" i="1"/>
  <c r="E8638" i="1"/>
  <c r="E8574" i="1"/>
  <c r="E8198" i="1"/>
  <c r="E8182" i="1"/>
  <c r="E8166" i="1"/>
  <c r="E8150" i="1"/>
  <c r="E8134" i="1"/>
  <c r="E8118" i="1"/>
  <c r="E8102" i="1"/>
  <c r="E8086" i="1"/>
  <c r="E8070" i="1"/>
  <c r="E8054" i="1"/>
  <c r="E8038" i="1"/>
  <c r="E8022" i="1"/>
  <c r="E8006" i="1"/>
  <c r="E7990" i="1"/>
  <c r="E7918" i="1"/>
  <c r="E9998" i="1"/>
  <c r="E9846" i="1"/>
  <c r="E9798" i="1"/>
  <c r="E9742" i="1"/>
  <c r="E9590" i="1"/>
  <c r="E9542" i="1"/>
  <c r="E9486" i="1"/>
  <c r="E9334" i="1"/>
  <c r="E9286" i="1"/>
  <c r="E9230" i="1"/>
  <c r="E9182" i="1"/>
  <c r="E9134" i="1"/>
  <c r="E9054" i="1"/>
  <c r="E8902" i="1"/>
  <c r="E8878" i="1"/>
  <c r="E8854" i="1"/>
  <c r="E8830" i="1"/>
  <c r="E8742" i="1"/>
  <c r="E8718" i="1"/>
  <c r="E8654" i="1"/>
  <c r="E8614" i="1"/>
  <c r="E8550" i="1"/>
  <c r="E7934" i="1"/>
  <c r="E9206" i="1"/>
  <c r="E8990" i="1"/>
  <c r="E8806" i="1"/>
  <c r="E8782" i="1"/>
  <c r="E8758" i="1"/>
  <c r="E8694" i="1"/>
  <c r="E8590" i="1"/>
  <c r="E7950" i="1"/>
  <c r="E9814" i="1"/>
  <c r="E9766" i="1"/>
  <c r="E9558" i="1"/>
  <c r="E9510" i="1"/>
  <c r="E9302" i="1"/>
  <c r="E9254" i="1"/>
  <c r="E9150" i="1"/>
  <c r="E9102" i="1"/>
  <c r="E8966" i="1"/>
  <c r="E8942" i="1"/>
  <c r="E8918" i="1"/>
  <c r="E8894" i="1"/>
  <c r="E8734" i="1"/>
  <c r="E8670" i="1"/>
  <c r="E8630" i="1"/>
  <c r="E8566" i="1"/>
  <c r="E8526" i="1"/>
  <c r="E8510" i="1"/>
  <c r="E8494" i="1"/>
  <c r="E8478" i="1"/>
  <c r="E8462" i="1"/>
  <c r="E8446" i="1"/>
  <c r="E8430" i="1"/>
  <c r="E8414" i="1"/>
  <c r="E8398" i="1"/>
  <c r="E8382" i="1"/>
  <c r="E8366" i="1"/>
  <c r="E8350" i="1"/>
  <c r="E8334" i="1"/>
  <c r="E8318" i="1"/>
  <c r="E8302" i="1"/>
  <c r="E8286" i="1"/>
  <c r="E8270" i="1"/>
  <c r="E8254" i="1"/>
  <c r="E8238" i="1"/>
  <c r="E8222" i="1"/>
  <c r="E7966" i="1"/>
  <c r="E9990" i="1"/>
  <c r="E9958" i="1"/>
  <c r="E9838" i="1"/>
  <c r="E9734" i="1"/>
  <c r="E9702" i="1"/>
  <c r="E9582" i="1"/>
  <c r="E9478" i="1"/>
  <c r="E9446" i="1"/>
  <c r="E9326" i="1"/>
  <c r="E9222" i="1"/>
  <c r="E9174" i="1"/>
  <c r="E9126" i="1"/>
  <c r="E9070" i="1"/>
  <c r="E9014" i="1"/>
  <c r="E8870" i="1"/>
  <c r="E8846" i="1"/>
  <c r="E8822" i="1"/>
  <c r="E8798" i="1"/>
  <c r="E8710" i="1"/>
  <c r="E8606" i="1"/>
  <c r="E8542" i="1"/>
  <c r="E8206" i="1"/>
  <c r="E8190" i="1"/>
  <c r="E8174" i="1"/>
  <c r="E8158" i="1"/>
  <c r="E8142" i="1"/>
  <c r="E8126" i="1"/>
  <c r="E8110" i="1"/>
  <c r="E8094" i="1"/>
  <c r="E8078" i="1"/>
  <c r="E8062" i="1"/>
  <c r="E8046" i="1"/>
  <c r="E8030" i="1"/>
  <c r="E8014" i="1"/>
  <c r="E7998" i="1"/>
  <c r="E7982" i="1"/>
  <c r="E7854" i="1"/>
  <c r="E9918" i="1"/>
  <c r="E9886" i="1"/>
  <c r="E9782" i="1"/>
  <c r="E9662" i="1"/>
  <c r="E9630" i="1"/>
  <c r="E9526" i="1"/>
  <c r="E9406" i="1"/>
  <c r="E9374" i="1"/>
  <c r="E9270" i="1"/>
  <c r="E8982" i="1"/>
  <c r="E8958" i="1"/>
  <c r="E8774" i="1"/>
  <c r="E8686" i="1"/>
  <c r="E8646" i="1"/>
  <c r="E8582" i="1"/>
  <c r="E7870" i="1"/>
  <c r="E9854" i="1"/>
  <c r="E9806" i="1"/>
  <c r="E9598" i="1"/>
  <c r="E9550" i="1"/>
  <c r="E9342" i="1"/>
  <c r="E9294" i="1"/>
  <c r="E9142" i="1"/>
  <c r="E9094" i="1"/>
  <c r="E8934" i="1"/>
  <c r="E8910" i="1"/>
  <c r="E8886" i="1"/>
  <c r="E8862" i="1"/>
  <c r="E8750" i="1"/>
  <c r="E8726" i="1"/>
  <c r="E8662" i="1"/>
  <c r="E8622" i="1"/>
  <c r="E8558" i="1"/>
  <c r="E7886" i="1"/>
  <c r="I7974" i="1"/>
  <c r="E7974" i="1"/>
  <c r="I7958" i="1"/>
  <c r="E7958" i="1"/>
  <c r="I7942" i="1"/>
  <c r="E7942" i="1"/>
  <c r="I7926" i="1"/>
  <c r="E7926" i="1"/>
  <c r="I7910" i="1"/>
  <c r="E7910" i="1"/>
  <c r="I7894" i="1"/>
  <c r="E7894" i="1"/>
  <c r="I7878" i="1"/>
  <c r="E7878" i="1"/>
  <c r="I7862" i="1"/>
  <c r="E7862" i="1"/>
  <c r="H2246" i="1"/>
  <c r="H7999" i="1"/>
  <c r="H7935" i="1"/>
  <c r="H7871" i="1"/>
  <c r="H7513" i="1"/>
  <c r="H7001" i="1"/>
  <c r="H6489" i="1"/>
  <c r="H5977" i="1"/>
  <c r="H5465" i="1"/>
  <c r="H4953" i="1"/>
  <c r="H4441" i="1"/>
  <c r="H3929" i="1"/>
  <c r="H3417" i="1"/>
  <c r="H2587" i="1"/>
  <c r="H9975" i="1"/>
  <c r="H9911" i="1"/>
  <c r="H9847" i="1"/>
  <c r="H9783" i="1"/>
  <c r="H9719" i="1"/>
  <c r="H9655" i="1"/>
  <c r="H9591" i="1"/>
  <c r="H9527" i="1"/>
  <c r="H9463" i="1"/>
  <c r="H9399" i="1"/>
  <c r="H9335" i="1"/>
  <c r="H9271" i="1"/>
  <c r="H9207" i="1"/>
  <c r="H9143" i="1"/>
  <c r="H9079" i="1"/>
  <c r="H9015" i="1"/>
  <c r="H8951" i="1"/>
  <c r="H8887" i="1"/>
  <c r="H8823" i="1"/>
  <c r="H8759" i="1"/>
  <c r="H8695" i="1"/>
  <c r="H8631" i="1"/>
  <c r="H8567" i="1"/>
  <c r="H8503" i="1"/>
  <c r="H8439" i="1"/>
  <c r="H8375" i="1"/>
  <c r="H8311" i="1"/>
  <c r="H8247" i="1"/>
  <c r="H8183" i="1"/>
  <c r="H8119" i="1"/>
  <c r="H8055" i="1"/>
  <c r="H7991" i="1"/>
  <c r="H7927" i="1"/>
  <c r="H7863" i="1"/>
  <c r="H7449" i="1"/>
  <c r="H6937" i="1"/>
  <c r="H6425" i="1"/>
  <c r="H5913" i="1"/>
  <c r="H5401" i="1"/>
  <c r="H4889" i="1"/>
  <c r="H4377" i="1"/>
  <c r="H3865" i="1"/>
  <c r="H3353" i="1"/>
  <c r="H2417" i="1"/>
  <c r="H9967" i="1"/>
  <c r="H9903" i="1"/>
  <c r="H9839" i="1"/>
  <c r="H9775" i="1"/>
  <c r="H9711" i="1"/>
  <c r="H9647" i="1"/>
  <c r="H9583" i="1"/>
  <c r="H9519" i="1"/>
  <c r="H9455" i="1"/>
  <c r="H9391" i="1"/>
  <c r="H9327" i="1"/>
  <c r="H9263" i="1"/>
  <c r="H9199" i="1"/>
  <c r="H9135" i="1"/>
  <c r="H9071" i="1"/>
  <c r="H9007" i="1"/>
  <c r="H8943" i="1"/>
  <c r="H8879" i="1"/>
  <c r="H8815" i="1"/>
  <c r="H8751" i="1"/>
  <c r="H8687" i="1"/>
  <c r="H8623" i="1"/>
  <c r="H8559" i="1"/>
  <c r="H8495" i="1"/>
  <c r="H8431" i="1"/>
  <c r="H8367" i="1"/>
  <c r="H8303" i="1"/>
  <c r="H8239" i="1"/>
  <c r="H8175" i="1"/>
  <c r="H8111" i="1"/>
  <c r="H8047" i="1"/>
  <c r="H7983" i="1"/>
  <c r="H7919" i="1"/>
  <c r="H7855" i="1"/>
  <c r="H7385" i="1"/>
  <c r="H6873" i="1"/>
  <c r="H6361" i="1"/>
  <c r="H5849" i="1"/>
  <c r="H5337" i="1"/>
  <c r="H4825" i="1"/>
  <c r="H4313" i="1"/>
  <c r="H3801" i="1"/>
  <c r="H3289" i="1"/>
  <c r="H8167" i="1"/>
  <c r="H8103" i="1"/>
  <c r="H8039" i="1"/>
  <c r="H7975" i="1"/>
  <c r="H7911" i="1"/>
  <c r="H7833" i="1"/>
  <c r="H7321" i="1"/>
  <c r="H6809" i="1"/>
  <c r="H6297" i="1"/>
  <c r="H5785" i="1"/>
  <c r="H5273" i="1"/>
  <c r="H4761" i="1"/>
  <c r="H4249" i="1"/>
  <c r="H3737" i="1"/>
  <c r="H3225" i="1"/>
  <c r="H2075" i="1"/>
  <c r="H9951" i="1"/>
  <c r="H9887" i="1"/>
  <c r="H9823" i="1"/>
  <c r="H9759" i="1"/>
  <c r="H9695" i="1"/>
  <c r="H9631" i="1"/>
  <c r="H9567" i="1"/>
  <c r="H9503" i="1"/>
  <c r="H9439" i="1"/>
  <c r="H9375" i="1"/>
  <c r="H9311" i="1"/>
  <c r="H9247" i="1"/>
  <c r="H9183" i="1"/>
  <c r="H9119" i="1"/>
  <c r="H9055" i="1"/>
  <c r="H8991" i="1"/>
  <c r="H8927" i="1"/>
  <c r="H8863" i="1"/>
  <c r="H8799" i="1"/>
  <c r="H8735" i="1"/>
  <c r="H8671" i="1"/>
  <c r="H8607" i="1"/>
  <c r="H8543" i="1"/>
  <c r="H8479" i="1"/>
  <c r="H8415" i="1"/>
  <c r="H8351" i="1"/>
  <c r="H8287" i="1"/>
  <c r="H8223" i="1"/>
  <c r="H8159" i="1"/>
  <c r="H8095" i="1"/>
  <c r="H8031" i="1"/>
  <c r="H7967" i="1"/>
  <c r="H7903" i="1"/>
  <c r="H7769" i="1"/>
  <c r="H7257" i="1"/>
  <c r="H6745" i="1"/>
  <c r="H6233" i="1"/>
  <c r="H5721" i="1"/>
  <c r="H5209" i="1"/>
  <c r="H4697" i="1"/>
  <c r="H4185" i="1"/>
  <c r="H3673" i="1"/>
  <c r="H3161" i="1"/>
  <c r="H1843" i="1"/>
  <c r="H9943" i="1"/>
  <c r="H9879" i="1"/>
  <c r="H9815" i="1"/>
  <c r="H9751" i="1"/>
  <c r="H9687" i="1"/>
  <c r="H9623" i="1"/>
  <c r="H9559" i="1"/>
  <c r="H9495" i="1"/>
  <c r="H9431" i="1"/>
  <c r="H9367" i="1"/>
  <c r="H9303" i="1"/>
  <c r="H9239" i="1"/>
  <c r="H9175" i="1"/>
  <c r="H9111" i="1"/>
  <c r="H9047" i="1"/>
  <c r="H8983" i="1"/>
  <c r="H8919" i="1"/>
  <c r="H8855" i="1"/>
  <c r="H8791" i="1"/>
  <c r="H8727" i="1"/>
  <c r="H8663" i="1"/>
  <c r="H8599" i="1"/>
  <c r="H8535" i="1"/>
  <c r="H8471" i="1"/>
  <c r="H8407" i="1"/>
  <c r="H8343" i="1"/>
  <c r="H8279" i="1"/>
  <c r="H8215" i="1"/>
  <c r="H8151" i="1"/>
  <c r="H8087" i="1"/>
  <c r="H8023" i="1"/>
  <c r="H7959" i="1"/>
  <c r="H7895" i="1"/>
  <c r="H7705" i="1"/>
  <c r="H7193" i="1"/>
  <c r="H6681" i="1"/>
  <c r="H6169" i="1"/>
  <c r="H5657" i="1"/>
  <c r="H5145" i="1"/>
  <c r="H4633" i="1"/>
  <c r="H4121" i="1"/>
  <c r="H3609" i="1"/>
  <c r="H3097" i="1"/>
  <c r="H1587" i="1"/>
  <c r="H8207" i="1"/>
  <c r="H8143" i="1"/>
  <c r="H8079" i="1"/>
  <c r="H8015" i="1"/>
  <c r="H7951" i="1"/>
  <c r="H7887" i="1"/>
  <c r="H7641" i="1"/>
  <c r="H7129" i="1"/>
  <c r="H6617" i="1"/>
  <c r="H6105" i="1"/>
  <c r="H5593" i="1"/>
  <c r="H5081" i="1"/>
  <c r="H4569" i="1"/>
  <c r="H4057" i="1"/>
  <c r="H3545" i="1"/>
  <c r="H2929" i="1"/>
  <c r="H1331" i="1"/>
  <c r="H9991" i="1"/>
  <c r="H9927" i="1"/>
  <c r="H9863" i="1"/>
  <c r="H9799" i="1"/>
  <c r="H9735" i="1"/>
  <c r="H9671" i="1"/>
  <c r="H9607" i="1"/>
  <c r="H9543" i="1"/>
  <c r="H9479" i="1"/>
  <c r="H9415" i="1"/>
  <c r="H9351" i="1"/>
  <c r="H9287" i="1"/>
  <c r="H9223" i="1"/>
  <c r="H9159" i="1"/>
  <c r="H9095" i="1"/>
  <c r="H9031" i="1"/>
  <c r="H8967" i="1"/>
  <c r="H8903" i="1"/>
  <c r="H8839" i="1"/>
  <c r="H8775" i="1"/>
  <c r="H8711" i="1"/>
  <c r="H8647" i="1"/>
  <c r="H8583" i="1"/>
  <c r="H8519" i="1"/>
  <c r="H8455" i="1"/>
  <c r="H8391" i="1"/>
  <c r="H8327" i="1"/>
  <c r="H8263" i="1"/>
  <c r="H8199" i="1"/>
  <c r="H8135" i="1"/>
  <c r="H8071" i="1"/>
  <c r="H8007" i="1"/>
  <c r="H7943" i="1"/>
  <c r="H7879" i="1"/>
  <c r="H7577" i="1"/>
  <c r="H7065" i="1"/>
  <c r="H6553" i="1"/>
  <c r="H6041" i="1"/>
  <c r="H5529" i="1"/>
  <c r="H5017" i="1"/>
  <c r="H4505" i="1"/>
  <c r="H3993" i="1"/>
  <c r="H3481" i="1"/>
  <c r="H2758" i="1"/>
  <c r="H791" i="1"/>
  <c r="I70" i="1"/>
  <c r="H70" i="1"/>
  <c r="I22" i="1"/>
  <c r="H22" i="1"/>
  <c r="I257" i="1"/>
  <c r="H257" i="1"/>
  <c r="E209" i="1"/>
  <c r="I209" i="1"/>
  <c r="H209" i="1"/>
  <c r="I161" i="1"/>
  <c r="H161" i="1"/>
  <c r="E113" i="1"/>
  <c r="I113" i="1"/>
  <c r="H113" i="1"/>
  <c r="E9996" i="1"/>
  <c r="I9996" i="1"/>
  <c r="E9956" i="1"/>
  <c r="I9956" i="1"/>
  <c r="E9924" i="1"/>
  <c r="I9924" i="1"/>
  <c r="E9876" i="1"/>
  <c r="I9876" i="1"/>
  <c r="E9828" i="1"/>
  <c r="I9828" i="1"/>
  <c r="E9780" i="1"/>
  <c r="I9780" i="1"/>
  <c r="E9732" i="1"/>
  <c r="I9732" i="1"/>
  <c r="F9460" i="1"/>
  <c r="I9460" i="1"/>
  <c r="E8956" i="1"/>
  <c r="I8956" i="1"/>
  <c r="E6612" i="1"/>
  <c r="I6612" i="1"/>
  <c r="H6612" i="1"/>
  <c r="E5980" i="1"/>
  <c r="I5980" i="1"/>
  <c r="H5980" i="1"/>
  <c r="I5932" i="1"/>
  <c r="H5932" i="1"/>
  <c r="E5876" i="1"/>
  <c r="I5876" i="1"/>
  <c r="H5876" i="1"/>
  <c r="E5820" i="1"/>
  <c r="I5820" i="1"/>
  <c r="H5820" i="1"/>
  <c r="E5764" i="1"/>
  <c r="I5764" i="1"/>
  <c r="H5764" i="1"/>
  <c r="I5708" i="1"/>
  <c r="H5708" i="1"/>
  <c r="I5652" i="1"/>
  <c r="H5652" i="1"/>
  <c r="E5596" i="1"/>
  <c r="I5596" i="1"/>
  <c r="H5596" i="1"/>
  <c r="E5540" i="1"/>
  <c r="I5540" i="1"/>
  <c r="H5540" i="1"/>
  <c r="E5476" i="1"/>
  <c r="I5476" i="1"/>
  <c r="H5476" i="1"/>
  <c r="E5412" i="1"/>
  <c r="I5412" i="1"/>
  <c r="H5412" i="1"/>
  <c r="I5356" i="1"/>
  <c r="H5356" i="1"/>
  <c r="I5300" i="1"/>
  <c r="H5300" i="1"/>
  <c r="E5252" i="1"/>
  <c r="I5252" i="1"/>
  <c r="H5252" i="1"/>
  <c r="I5196" i="1"/>
  <c r="H5196" i="1"/>
  <c r="I5140" i="1"/>
  <c r="H5140" i="1"/>
  <c r="E5076" i="1"/>
  <c r="I5076" i="1"/>
  <c r="H5076" i="1"/>
  <c r="E5020" i="1"/>
  <c r="I5020" i="1"/>
  <c r="H5020" i="1"/>
  <c r="I4964" i="1"/>
  <c r="H4964" i="1"/>
  <c r="E4908" i="1"/>
  <c r="I4908" i="1"/>
  <c r="H4908" i="1"/>
  <c r="E4852" i="1"/>
  <c r="I4852" i="1"/>
  <c r="H4852" i="1"/>
  <c r="E4796" i="1"/>
  <c r="I4796" i="1"/>
  <c r="H4796" i="1"/>
  <c r="I4732" i="1"/>
  <c r="H4732" i="1"/>
  <c r="E4676" i="1"/>
  <c r="I4676" i="1"/>
  <c r="H4676" i="1"/>
  <c r="E4620" i="1"/>
  <c r="I4620" i="1"/>
  <c r="H4620" i="1"/>
  <c r="E4564" i="1"/>
  <c r="I4564" i="1"/>
  <c r="H4564" i="1"/>
  <c r="E4500" i="1"/>
  <c r="I4500" i="1"/>
  <c r="H4500" i="1"/>
  <c r="E4444" i="1"/>
  <c r="I4444" i="1"/>
  <c r="H4444" i="1"/>
  <c r="E4388" i="1"/>
  <c r="I4388" i="1"/>
  <c r="H4388" i="1"/>
  <c r="I4324" i="1"/>
  <c r="H4324" i="1"/>
  <c r="I4164" i="1"/>
  <c r="H4164" i="1"/>
  <c r="E3636" i="1"/>
  <c r="I3636" i="1"/>
  <c r="H3636" i="1"/>
  <c r="I1732" i="1"/>
  <c r="H1732" i="1"/>
  <c r="I1684" i="1"/>
  <c r="H1684" i="1"/>
  <c r="I1636" i="1"/>
  <c r="H1636" i="1"/>
  <c r="E1580" i="1"/>
  <c r="I1580" i="1"/>
  <c r="H1580" i="1"/>
  <c r="I1532" i="1"/>
  <c r="H1532" i="1"/>
  <c r="E1484" i="1"/>
  <c r="I1484" i="1"/>
  <c r="H1484" i="1"/>
  <c r="I1436" i="1"/>
  <c r="H1436" i="1"/>
  <c r="I1396" i="1"/>
  <c r="H1396" i="1"/>
  <c r="I1348" i="1"/>
  <c r="H1348" i="1"/>
  <c r="I1300" i="1"/>
  <c r="H1300" i="1"/>
  <c r="I1252" i="1"/>
  <c r="H1252" i="1"/>
  <c r="I1212" i="1"/>
  <c r="H1212" i="1"/>
  <c r="I1172" i="1"/>
  <c r="H1172" i="1"/>
  <c r="I1108" i="1"/>
  <c r="H1108" i="1"/>
  <c r="I1060" i="1"/>
  <c r="H1060" i="1"/>
  <c r="I1012" i="1"/>
  <c r="H1012" i="1"/>
  <c r="I964" i="1"/>
  <c r="H964" i="1"/>
  <c r="I916" i="1"/>
  <c r="H916" i="1"/>
  <c r="I868" i="1"/>
  <c r="H868" i="1"/>
  <c r="I820" i="1"/>
  <c r="H820" i="1"/>
  <c r="E780" i="1"/>
  <c r="I780" i="1"/>
  <c r="H780" i="1"/>
  <c r="I724" i="1"/>
  <c r="H724" i="1"/>
  <c r="E684" i="1"/>
  <c r="I684" i="1"/>
  <c r="H684" i="1"/>
  <c r="I628" i="1"/>
  <c r="H628" i="1"/>
  <c r="I572" i="1"/>
  <c r="H572" i="1"/>
  <c r="E524" i="1"/>
  <c r="I524" i="1"/>
  <c r="H524" i="1"/>
  <c r="I476" i="1"/>
  <c r="H476" i="1"/>
  <c r="I420" i="1"/>
  <c r="H420" i="1"/>
  <c r="E348" i="1"/>
  <c r="I348" i="1"/>
  <c r="H348" i="1"/>
  <c r="I101" i="1"/>
  <c r="H101" i="1"/>
  <c r="I93" i="1"/>
  <c r="H93" i="1"/>
  <c r="I85" i="1"/>
  <c r="H85" i="1"/>
  <c r="I77" i="1"/>
  <c r="H77" i="1"/>
  <c r="I69" i="1"/>
  <c r="H69" i="1"/>
  <c r="I61" i="1"/>
  <c r="H61" i="1"/>
  <c r="I53" i="1"/>
  <c r="H53" i="1"/>
  <c r="I45" i="1"/>
  <c r="H45" i="1"/>
  <c r="I37" i="1"/>
  <c r="H37" i="1"/>
  <c r="I29" i="1"/>
  <c r="H29" i="1"/>
  <c r="I21" i="1"/>
  <c r="H21" i="1"/>
  <c r="I13" i="1"/>
  <c r="H13" i="1"/>
  <c r="I107" i="1"/>
  <c r="H107" i="1"/>
  <c r="I296" i="1"/>
  <c r="H296" i="1"/>
  <c r="I288" i="1"/>
  <c r="H288" i="1"/>
  <c r="I280" i="1"/>
  <c r="H280" i="1"/>
  <c r="I272" i="1"/>
  <c r="H272" i="1"/>
  <c r="I264" i="1"/>
  <c r="H264" i="1"/>
  <c r="I256" i="1"/>
  <c r="H256" i="1"/>
  <c r="I248" i="1"/>
  <c r="H248" i="1"/>
  <c r="I240" i="1"/>
  <c r="H240" i="1"/>
  <c r="I232" i="1"/>
  <c r="H232" i="1"/>
  <c r="I224" i="1"/>
  <c r="H224" i="1"/>
  <c r="I216" i="1"/>
  <c r="H216" i="1"/>
  <c r="I208" i="1"/>
  <c r="H208" i="1"/>
  <c r="I200" i="1"/>
  <c r="H200" i="1"/>
  <c r="I192" i="1"/>
  <c r="H192" i="1"/>
  <c r="I184" i="1"/>
  <c r="H184" i="1"/>
  <c r="I176" i="1"/>
  <c r="H176" i="1"/>
  <c r="I168" i="1"/>
  <c r="H168" i="1"/>
  <c r="I160" i="1"/>
  <c r="H160" i="1"/>
  <c r="I152" i="1"/>
  <c r="H152" i="1"/>
  <c r="I144" i="1"/>
  <c r="H144" i="1"/>
  <c r="I136" i="1"/>
  <c r="H136" i="1"/>
  <c r="I128" i="1"/>
  <c r="H128" i="1"/>
  <c r="I120" i="1"/>
  <c r="H120" i="1"/>
  <c r="I112" i="1"/>
  <c r="H112" i="1"/>
  <c r="E9604" i="1"/>
  <c r="E8148" i="1"/>
  <c r="E5644" i="1"/>
  <c r="E5388" i="1"/>
  <c r="E5260" i="1"/>
  <c r="E5132" i="1"/>
  <c r="E3556" i="1"/>
  <c r="E3044" i="1"/>
  <c r="E2548" i="1"/>
  <c r="E1524" i="1"/>
  <c r="E1172" i="1"/>
  <c r="E1060" i="1"/>
  <c r="E1012" i="1"/>
  <c r="E724" i="1"/>
  <c r="E500" i="1"/>
  <c r="I9995" i="1"/>
  <c r="I9987" i="1"/>
  <c r="I9971" i="1"/>
  <c r="I9963" i="1"/>
  <c r="I9931" i="1"/>
  <c r="I9923" i="1"/>
  <c r="I9891" i="1"/>
  <c r="I9883" i="1"/>
  <c r="I9867" i="1"/>
  <c r="I9859" i="1"/>
  <c r="I9819" i="1"/>
  <c r="I9803" i="1"/>
  <c r="I9795" i="1"/>
  <c r="I9779" i="1"/>
  <c r="I9755" i="1"/>
  <c r="I9739" i="1"/>
  <c r="I9731" i="1"/>
  <c r="I9699" i="1"/>
  <c r="I9691" i="1"/>
  <c r="I9683" i="1"/>
  <c r="I9667" i="1"/>
  <c r="I9619" i="1"/>
  <c r="I9611" i="1"/>
  <c r="I9603" i="1"/>
  <c r="I9579" i="1"/>
  <c r="I9571" i="1"/>
  <c r="I9563" i="1"/>
  <c r="I9547" i="1"/>
  <c r="I9539" i="1"/>
  <c r="I9483" i="1"/>
  <c r="I9475" i="1"/>
  <c r="I9459" i="1"/>
  <c r="I9443" i="1"/>
  <c r="I9411" i="1"/>
  <c r="I9347" i="1"/>
  <c r="I9283" i="1"/>
  <c r="I9219" i="1"/>
  <c r="I9155" i="1"/>
  <c r="I9091" i="1"/>
  <c r="I9027" i="1"/>
  <c r="I8963" i="1"/>
  <c r="I8899" i="1"/>
  <c r="I8835" i="1"/>
  <c r="I8771" i="1"/>
  <c r="I8707" i="1"/>
  <c r="I8643" i="1"/>
  <c r="I8579" i="1"/>
  <c r="I8515" i="1"/>
  <c r="I8451" i="1"/>
  <c r="I8387" i="1"/>
  <c r="I8323" i="1"/>
  <c r="I8259" i="1"/>
  <c r="I8195" i="1"/>
  <c r="I8131" i="1"/>
  <c r="I8067" i="1"/>
  <c r="I8003" i="1"/>
  <c r="I7939" i="1"/>
  <c r="I7875" i="1"/>
  <c r="I7843" i="1"/>
  <c r="H7843" i="1"/>
  <c r="I7835" i="1"/>
  <c r="H7835" i="1"/>
  <c r="I7827" i="1"/>
  <c r="H7827" i="1"/>
  <c r="I7819" i="1"/>
  <c r="H7819" i="1"/>
  <c r="I7811" i="1"/>
  <c r="H7811" i="1"/>
  <c r="I7803" i="1"/>
  <c r="H7803" i="1"/>
  <c r="I7795" i="1"/>
  <c r="H7795" i="1"/>
  <c r="I7787" i="1"/>
  <c r="H7787" i="1"/>
  <c r="I7779" i="1"/>
  <c r="H7779" i="1"/>
  <c r="I7771" i="1"/>
  <c r="H7771" i="1"/>
  <c r="I7763" i="1"/>
  <c r="H7763" i="1"/>
  <c r="I7755" i="1"/>
  <c r="H7755" i="1"/>
  <c r="I7747" i="1"/>
  <c r="H7747" i="1"/>
  <c r="I7739" i="1"/>
  <c r="H7739" i="1"/>
  <c r="I7731" i="1"/>
  <c r="H7731" i="1"/>
  <c r="I7723" i="1"/>
  <c r="H7723" i="1"/>
  <c r="I7715" i="1"/>
  <c r="H7715" i="1"/>
  <c r="I7707" i="1"/>
  <c r="H7707" i="1"/>
  <c r="I7699" i="1"/>
  <c r="H7699" i="1"/>
  <c r="I7691" i="1"/>
  <c r="H7691" i="1"/>
  <c r="I7683" i="1"/>
  <c r="H7683" i="1"/>
  <c r="I7675" i="1"/>
  <c r="H7675" i="1"/>
  <c r="I7667" i="1"/>
  <c r="H7667" i="1"/>
  <c r="I7659" i="1"/>
  <c r="H7659" i="1"/>
  <c r="I7651" i="1"/>
  <c r="H7651" i="1"/>
  <c r="I7643" i="1"/>
  <c r="H7643" i="1"/>
  <c r="I7635" i="1"/>
  <c r="H7635" i="1"/>
  <c r="I7627" i="1"/>
  <c r="H7627" i="1"/>
  <c r="I7619" i="1"/>
  <c r="H7619" i="1"/>
  <c r="I7611" i="1"/>
  <c r="H7611" i="1"/>
  <c r="I7603" i="1"/>
  <c r="H7603" i="1"/>
  <c r="I7595" i="1"/>
  <c r="H7595" i="1"/>
  <c r="I7587" i="1"/>
  <c r="H7587" i="1"/>
  <c r="I7579" i="1"/>
  <c r="H7579" i="1"/>
  <c r="I7571" i="1"/>
  <c r="H7571" i="1"/>
  <c r="I7563" i="1"/>
  <c r="H7563" i="1"/>
  <c r="I7555" i="1"/>
  <c r="H7555" i="1"/>
  <c r="I7547" i="1"/>
  <c r="H7547" i="1"/>
  <c r="I7539" i="1"/>
  <c r="H7539" i="1"/>
  <c r="I7531" i="1"/>
  <c r="H7531" i="1"/>
  <c r="I7523" i="1"/>
  <c r="H7523" i="1"/>
  <c r="I7515" i="1"/>
  <c r="H7515" i="1"/>
  <c r="I7507" i="1"/>
  <c r="H7507" i="1"/>
  <c r="I7499" i="1"/>
  <c r="H7499" i="1"/>
  <c r="I7491" i="1"/>
  <c r="H7491" i="1"/>
  <c r="I7483" i="1"/>
  <c r="H7483" i="1"/>
  <c r="I7475" i="1"/>
  <c r="H7475" i="1"/>
  <c r="I7467" i="1"/>
  <c r="H7467" i="1"/>
  <c r="I7459" i="1"/>
  <c r="H7459" i="1"/>
  <c r="I7451" i="1"/>
  <c r="H7451" i="1"/>
  <c r="I7443" i="1"/>
  <c r="H7443" i="1"/>
  <c r="I7435" i="1"/>
  <c r="H7435" i="1"/>
  <c r="I7427" i="1"/>
  <c r="H7427" i="1"/>
  <c r="I7419" i="1"/>
  <c r="H7419" i="1"/>
  <c r="I7411" i="1"/>
  <c r="H7411" i="1"/>
  <c r="I7403" i="1"/>
  <c r="H7403" i="1"/>
  <c r="I7395" i="1"/>
  <c r="H7395" i="1"/>
  <c r="I7387" i="1"/>
  <c r="H7387" i="1"/>
  <c r="I7379" i="1"/>
  <c r="H7379" i="1"/>
  <c r="I7371" i="1"/>
  <c r="H7371" i="1"/>
  <c r="I7363" i="1"/>
  <c r="H7363" i="1"/>
  <c r="I7355" i="1"/>
  <c r="H7355" i="1"/>
  <c r="I7347" i="1"/>
  <c r="H7347" i="1"/>
  <c r="I7339" i="1"/>
  <c r="H7339" i="1"/>
  <c r="I7331" i="1"/>
  <c r="H7331" i="1"/>
  <c r="I7323" i="1"/>
  <c r="H7323" i="1"/>
  <c r="I7315" i="1"/>
  <c r="H7315" i="1"/>
  <c r="I7307" i="1"/>
  <c r="H7307" i="1"/>
  <c r="I7299" i="1"/>
  <c r="H7299" i="1"/>
  <c r="I7291" i="1"/>
  <c r="H7291" i="1"/>
  <c r="I7283" i="1"/>
  <c r="H7283" i="1"/>
  <c r="I7275" i="1"/>
  <c r="H7275" i="1"/>
  <c r="I7267" i="1"/>
  <c r="H7267" i="1"/>
  <c r="I7259" i="1"/>
  <c r="H7259" i="1"/>
  <c r="I7251" i="1"/>
  <c r="H7251" i="1"/>
  <c r="I7243" i="1"/>
  <c r="H7243" i="1"/>
  <c r="I7235" i="1"/>
  <c r="H7235" i="1"/>
  <c r="I7227" i="1"/>
  <c r="H7227" i="1"/>
  <c r="I7219" i="1"/>
  <c r="H7219" i="1"/>
  <c r="I7211" i="1"/>
  <c r="H7211" i="1"/>
  <c r="I7203" i="1"/>
  <c r="H7203" i="1"/>
  <c r="I7195" i="1"/>
  <c r="H7195" i="1"/>
  <c r="I7187" i="1"/>
  <c r="H7187" i="1"/>
  <c r="I7179" i="1"/>
  <c r="H7179" i="1"/>
  <c r="I7171" i="1"/>
  <c r="H7171" i="1"/>
  <c r="I7163" i="1"/>
  <c r="H7163" i="1"/>
  <c r="I7155" i="1"/>
  <c r="H7155" i="1"/>
  <c r="I7147" i="1"/>
  <c r="H7147" i="1"/>
  <c r="I7139" i="1"/>
  <c r="H7139" i="1"/>
  <c r="I7131" i="1"/>
  <c r="H7131" i="1"/>
  <c r="I7123" i="1"/>
  <c r="H7123" i="1"/>
  <c r="I7115" i="1"/>
  <c r="H7115" i="1"/>
  <c r="I7107" i="1"/>
  <c r="H7107" i="1"/>
  <c r="I7099" i="1"/>
  <c r="H7099" i="1"/>
  <c r="I7091" i="1"/>
  <c r="H7091" i="1"/>
  <c r="I7083" i="1"/>
  <c r="H7083" i="1"/>
  <c r="I7075" i="1"/>
  <c r="H7075" i="1"/>
  <c r="I7067" i="1"/>
  <c r="H7067" i="1"/>
  <c r="I7059" i="1"/>
  <c r="H7059" i="1"/>
  <c r="I7051" i="1"/>
  <c r="H7051" i="1"/>
  <c r="I7043" i="1"/>
  <c r="H7043" i="1"/>
  <c r="I7035" i="1"/>
  <c r="H7035" i="1"/>
  <c r="I7027" i="1"/>
  <c r="H7027" i="1"/>
  <c r="I7019" i="1"/>
  <c r="H7019" i="1"/>
  <c r="I7011" i="1"/>
  <c r="H7011" i="1"/>
  <c r="I7003" i="1"/>
  <c r="H7003" i="1"/>
  <c r="I6995" i="1"/>
  <c r="H6995" i="1"/>
  <c r="I6987" i="1"/>
  <c r="H6987" i="1"/>
  <c r="I6979" i="1"/>
  <c r="H6979" i="1"/>
  <c r="I6971" i="1"/>
  <c r="H6971" i="1"/>
  <c r="I6963" i="1"/>
  <c r="H6963" i="1"/>
  <c r="I6955" i="1"/>
  <c r="H6955" i="1"/>
  <c r="I6947" i="1"/>
  <c r="H6947" i="1"/>
  <c r="I6939" i="1"/>
  <c r="H6939" i="1"/>
  <c r="I6931" i="1"/>
  <c r="H6931" i="1"/>
  <c r="I6923" i="1"/>
  <c r="H6923" i="1"/>
  <c r="I6915" i="1"/>
  <c r="H6915" i="1"/>
  <c r="I6907" i="1"/>
  <c r="H6907" i="1"/>
  <c r="I6899" i="1"/>
  <c r="H6899" i="1"/>
  <c r="I6891" i="1"/>
  <c r="H6891" i="1"/>
  <c r="I6883" i="1"/>
  <c r="H6883" i="1"/>
  <c r="I6875" i="1"/>
  <c r="H6875" i="1"/>
  <c r="I6867" i="1"/>
  <c r="H6867" i="1"/>
  <c r="I6859" i="1"/>
  <c r="H6859" i="1"/>
  <c r="I6851" i="1"/>
  <c r="H6851" i="1"/>
  <c r="I6843" i="1"/>
  <c r="H6843" i="1"/>
  <c r="I6835" i="1"/>
  <c r="H6835" i="1"/>
  <c r="I6827" i="1"/>
  <c r="H6827" i="1"/>
  <c r="I6819" i="1"/>
  <c r="H6819" i="1"/>
  <c r="I6811" i="1"/>
  <c r="H6811" i="1"/>
  <c r="I6803" i="1"/>
  <c r="H6803" i="1"/>
  <c r="I6795" i="1"/>
  <c r="H6795" i="1"/>
  <c r="I6787" i="1"/>
  <c r="H6787" i="1"/>
  <c r="I6779" i="1"/>
  <c r="H6779" i="1"/>
  <c r="I6771" i="1"/>
  <c r="H6771" i="1"/>
  <c r="I6763" i="1"/>
  <c r="H6763" i="1"/>
  <c r="I6755" i="1"/>
  <c r="H6755" i="1"/>
  <c r="I6747" i="1"/>
  <c r="H6747" i="1"/>
  <c r="I6739" i="1"/>
  <c r="H6739" i="1"/>
  <c r="I6731" i="1"/>
  <c r="H6731" i="1"/>
  <c r="I6723" i="1"/>
  <c r="H6723" i="1"/>
  <c r="I6715" i="1"/>
  <c r="H6715" i="1"/>
  <c r="I6707" i="1"/>
  <c r="H6707" i="1"/>
  <c r="I6699" i="1"/>
  <c r="H6699" i="1"/>
  <c r="I6691" i="1"/>
  <c r="H6691" i="1"/>
  <c r="I6683" i="1"/>
  <c r="H6683" i="1"/>
  <c r="I6675" i="1"/>
  <c r="H6675" i="1"/>
  <c r="I6667" i="1"/>
  <c r="H6667" i="1"/>
  <c r="I6659" i="1"/>
  <c r="H6659" i="1"/>
  <c r="I6651" i="1"/>
  <c r="H6651" i="1"/>
  <c r="I6643" i="1"/>
  <c r="H6643" i="1"/>
  <c r="I6635" i="1"/>
  <c r="H6635" i="1"/>
  <c r="I6627" i="1"/>
  <c r="H6627" i="1"/>
  <c r="I6619" i="1"/>
  <c r="H6619" i="1"/>
  <c r="I6611" i="1"/>
  <c r="H6611" i="1"/>
  <c r="I6603" i="1"/>
  <c r="H6603" i="1"/>
  <c r="I6595" i="1"/>
  <c r="H6595" i="1"/>
  <c r="I6587" i="1"/>
  <c r="H6587" i="1"/>
  <c r="I6579" i="1"/>
  <c r="H6579" i="1"/>
  <c r="I6571" i="1"/>
  <c r="H6571" i="1"/>
  <c r="I6563" i="1"/>
  <c r="H6563" i="1"/>
  <c r="I6555" i="1"/>
  <c r="H6555" i="1"/>
  <c r="I6547" i="1"/>
  <c r="H6547" i="1"/>
  <c r="I6539" i="1"/>
  <c r="H6539" i="1"/>
  <c r="I6531" i="1"/>
  <c r="H6531" i="1"/>
  <c r="I6523" i="1"/>
  <c r="H6523" i="1"/>
  <c r="I6515" i="1"/>
  <c r="H6515" i="1"/>
  <c r="I6507" i="1"/>
  <c r="H6507" i="1"/>
  <c r="I6499" i="1"/>
  <c r="H6499" i="1"/>
  <c r="I6491" i="1"/>
  <c r="H6491" i="1"/>
  <c r="I6483" i="1"/>
  <c r="H6483" i="1"/>
  <c r="I6475" i="1"/>
  <c r="H6475" i="1"/>
  <c r="I6467" i="1"/>
  <c r="H6467" i="1"/>
  <c r="I6459" i="1"/>
  <c r="H6459" i="1"/>
  <c r="I6451" i="1"/>
  <c r="H6451" i="1"/>
  <c r="I6443" i="1"/>
  <c r="H6443" i="1"/>
  <c r="I6435" i="1"/>
  <c r="H6435" i="1"/>
  <c r="I6427" i="1"/>
  <c r="H6427" i="1"/>
  <c r="I6419" i="1"/>
  <c r="H6419" i="1"/>
  <c r="I6411" i="1"/>
  <c r="H6411" i="1"/>
  <c r="I6403" i="1"/>
  <c r="H6403" i="1"/>
  <c r="I6395" i="1"/>
  <c r="H6395" i="1"/>
  <c r="I6387" i="1"/>
  <c r="H6387" i="1"/>
  <c r="I6379" i="1"/>
  <c r="H6379" i="1"/>
  <c r="I6371" i="1"/>
  <c r="H6371" i="1"/>
  <c r="I6363" i="1"/>
  <c r="H6363" i="1"/>
  <c r="I6355" i="1"/>
  <c r="H6355" i="1"/>
  <c r="I6347" i="1"/>
  <c r="H6347" i="1"/>
  <c r="I6339" i="1"/>
  <c r="H6339" i="1"/>
  <c r="I6331" i="1"/>
  <c r="H6331" i="1"/>
  <c r="I6323" i="1"/>
  <c r="H6323" i="1"/>
  <c r="I6315" i="1"/>
  <c r="H6315" i="1"/>
  <c r="I6307" i="1"/>
  <c r="H6307" i="1"/>
  <c r="I6299" i="1"/>
  <c r="H6299" i="1"/>
  <c r="I6291" i="1"/>
  <c r="H6291" i="1"/>
  <c r="I6283" i="1"/>
  <c r="H6283" i="1"/>
  <c r="I6275" i="1"/>
  <c r="H6275" i="1"/>
  <c r="I6267" i="1"/>
  <c r="H6267" i="1"/>
  <c r="I6259" i="1"/>
  <c r="H6259" i="1"/>
  <c r="I6251" i="1"/>
  <c r="H6251" i="1"/>
  <c r="I6243" i="1"/>
  <c r="H6243" i="1"/>
  <c r="I6235" i="1"/>
  <c r="H6235" i="1"/>
  <c r="I6227" i="1"/>
  <c r="H6227" i="1"/>
  <c r="I6219" i="1"/>
  <c r="H6219" i="1"/>
  <c r="I6211" i="1"/>
  <c r="H6211" i="1"/>
  <c r="I6203" i="1"/>
  <c r="H6203" i="1"/>
  <c r="I6195" i="1"/>
  <c r="H6195" i="1"/>
  <c r="I6187" i="1"/>
  <c r="H6187" i="1"/>
  <c r="I6179" i="1"/>
  <c r="H6179" i="1"/>
  <c r="I6171" i="1"/>
  <c r="H6171" i="1"/>
  <c r="I6163" i="1"/>
  <c r="H6163" i="1"/>
  <c r="I6155" i="1"/>
  <c r="H6155" i="1"/>
  <c r="I6147" i="1"/>
  <c r="H6147" i="1"/>
  <c r="I6139" i="1"/>
  <c r="H6139" i="1"/>
  <c r="I6131" i="1"/>
  <c r="H6131" i="1"/>
  <c r="I6123" i="1"/>
  <c r="H6123" i="1"/>
  <c r="I6115" i="1"/>
  <c r="H6115" i="1"/>
  <c r="I6107" i="1"/>
  <c r="H6107" i="1"/>
  <c r="I6099" i="1"/>
  <c r="H6099" i="1"/>
  <c r="I6091" i="1"/>
  <c r="H6091" i="1"/>
  <c r="I6083" i="1"/>
  <c r="H6083" i="1"/>
  <c r="I6075" i="1"/>
  <c r="H6075" i="1"/>
  <c r="I6067" i="1"/>
  <c r="H6067" i="1"/>
  <c r="I6059" i="1"/>
  <c r="H6059" i="1"/>
  <c r="I6051" i="1"/>
  <c r="H6051" i="1"/>
  <c r="I6043" i="1"/>
  <c r="H6043" i="1"/>
  <c r="I6035" i="1"/>
  <c r="H6035" i="1"/>
  <c r="I6027" i="1"/>
  <c r="H6027" i="1"/>
  <c r="I6019" i="1"/>
  <c r="H6019" i="1"/>
  <c r="I6011" i="1"/>
  <c r="H6011" i="1"/>
  <c r="I6003" i="1"/>
  <c r="H6003" i="1"/>
  <c r="I5995" i="1"/>
  <c r="H5995" i="1"/>
  <c r="I5987" i="1"/>
  <c r="H5987" i="1"/>
  <c r="I5979" i="1"/>
  <c r="H5979" i="1"/>
  <c r="I5971" i="1"/>
  <c r="H5971" i="1"/>
  <c r="I5963" i="1"/>
  <c r="H5963" i="1"/>
  <c r="I5955" i="1"/>
  <c r="H5955" i="1"/>
  <c r="I5947" i="1"/>
  <c r="H5947" i="1"/>
  <c r="I5939" i="1"/>
  <c r="H5939" i="1"/>
  <c r="I5931" i="1"/>
  <c r="H5931" i="1"/>
  <c r="I5923" i="1"/>
  <c r="H5923" i="1"/>
  <c r="I5915" i="1"/>
  <c r="H5915" i="1"/>
  <c r="I5907" i="1"/>
  <c r="H5907" i="1"/>
  <c r="I5899" i="1"/>
  <c r="H5899" i="1"/>
  <c r="I5891" i="1"/>
  <c r="H5891" i="1"/>
  <c r="I5883" i="1"/>
  <c r="H5883" i="1"/>
  <c r="I5875" i="1"/>
  <c r="H5875" i="1"/>
  <c r="I5867" i="1"/>
  <c r="H5867" i="1"/>
  <c r="I5859" i="1"/>
  <c r="H5859" i="1"/>
  <c r="I5851" i="1"/>
  <c r="H5851" i="1"/>
  <c r="I5843" i="1"/>
  <c r="H5843" i="1"/>
  <c r="I5835" i="1"/>
  <c r="H5835" i="1"/>
  <c r="I5827" i="1"/>
  <c r="H5827" i="1"/>
  <c r="I5819" i="1"/>
  <c r="H5819" i="1"/>
  <c r="I5811" i="1"/>
  <c r="H5811" i="1"/>
  <c r="I5803" i="1"/>
  <c r="H5803" i="1"/>
  <c r="I5795" i="1"/>
  <c r="H5795" i="1"/>
  <c r="I5787" i="1"/>
  <c r="H5787" i="1"/>
  <c r="I5779" i="1"/>
  <c r="H5779" i="1"/>
  <c r="I5771" i="1"/>
  <c r="H5771" i="1"/>
  <c r="I5763" i="1"/>
  <c r="H5763" i="1"/>
  <c r="I5755" i="1"/>
  <c r="H5755" i="1"/>
  <c r="I5747" i="1"/>
  <c r="H5747" i="1"/>
  <c r="I5739" i="1"/>
  <c r="H5739" i="1"/>
  <c r="I5731" i="1"/>
  <c r="H5731" i="1"/>
  <c r="I5723" i="1"/>
  <c r="H5723" i="1"/>
  <c r="I5715" i="1"/>
  <c r="H5715" i="1"/>
  <c r="I5707" i="1"/>
  <c r="H5707" i="1"/>
  <c r="I5699" i="1"/>
  <c r="H5699" i="1"/>
  <c r="I5691" i="1"/>
  <c r="H5691" i="1"/>
  <c r="I5683" i="1"/>
  <c r="H5683" i="1"/>
  <c r="I5675" i="1"/>
  <c r="H5675" i="1"/>
  <c r="I5667" i="1"/>
  <c r="H5667" i="1"/>
  <c r="I5659" i="1"/>
  <c r="H5659" i="1"/>
  <c r="I5651" i="1"/>
  <c r="H5651" i="1"/>
  <c r="I5643" i="1"/>
  <c r="H5643" i="1"/>
  <c r="I5635" i="1"/>
  <c r="H5635" i="1"/>
  <c r="I5627" i="1"/>
  <c r="H5627" i="1"/>
  <c r="I5619" i="1"/>
  <c r="H5619" i="1"/>
  <c r="I5611" i="1"/>
  <c r="H5611" i="1"/>
  <c r="I5603" i="1"/>
  <c r="H5603" i="1"/>
  <c r="I5595" i="1"/>
  <c r="H5595" i="1"/>
  <c r="I5587" i="1"/>
  <c r="H5587" i="1"/>
  <c r="I5579" i="1"/>
  <c r="H5579" i="1"/>
  <c r="I5571" i="1"/>
  <c r="H5571" i="1"/>
  <c r="I5563" i="1"/>
  <c r="H5563" i="1"/>
  <c r="I5555" i="1"/>
  <c r="H5555" i="1"/>
  <c r="I5547" i="1"/>
  <c r="H5547" i="1"/>
  <c r="I5539" i="1"/>
  <c r="H5539" i="1"/>
  <c r="I5531" i="1"/>
  <c r="H5531" i="1"/>
  <c r="I5523" i="1"/>
  <c r="H5523" i="1"/>
  <c r="I5515" i="1"/>
  <c r="H5515" i="1"/>
  <c r="I5507" i="1"/>
  <c r="H5507" i="1"/>
  <c r="I5499" i="1"/>
  <c r="H5499" i="1"/>
  <c r="I5491" i="1"/>
  <c r="H5491" i="1"/>
  <c r="I5483" i="1"/>
  <c r="H5483" i="1"/>
  <c r="I5475" i="1"/>
  <c r="H5475" i="1"/>
  <c r="I5467" i="1"/>
  <c r="H5467" i="1"/>
  <c r="I5459" i="1"/>
  <c r="H5459" i="1"/>
  <c r="I5451" i="1"/>
  <c r="H5451" i="1"/>
  <c r="I5443" i="1"/>
  <c r="H5443" i="1"/>
  <c r="I5435" i="1"/>
  <c r="H5435" i="1"/>
  <c r="I5427" i="1"/>
  <c r="H5427" i="1"/>
  <c r="I5419" i="1"/>
  <c r="H5419" i="1"/>
  <c r="I5411" i="1"/>
  <c r="H5411" i="1"/>
  <c r="I5403" i="1"/>
  <c r="H5403" i="1"/>
  <c r="I5395" i="1"/>
  <c r="H5395" i="1"/>
  <c r="I5387" i="1"/>
  <c r="H5387" i="1"/>
  <c r="I5379" i="1"/>
  <c r="H5379" i="1"/>
  <c r="I5371" i="1"/>
  <c r="H5371" i="1"/>
  <c r="I5363" i="1"/>
  <c r="H5363" i="1"/>
  <c r="I5355" i="1"/>
  <c r="H5355" i="1"/>
  <c r="I5347" i="1"/>
  <c r="H5347" i="1"/>
  <c r="I5339" i="1"/>
  <c r="H5339" i="1"/>
  <c r="I5331" i="1"/>
  <c r="H5331" i="1"/>
  <c r="I5323" i="1"/>
  <c r="H5323" i="1"/>
  <c r="I5315" i="1"/>
  <c r="H5315" i="1"/>
  <c r="I5307" i="1"/>
  <c r="H5307" i="1"/>
  <c r="I5299" i="1"/>
  <c r="H5299" i="1"/>
  <c r="I5291" i="1"/>
  <c r="H5291" i="1"/>
  <c r="I5283" i="1"/>
  <c r="H5283" i="1"/>
  <c r="I5275" i="1"/>
  <c r="H5275" i="1"/>
  <c r="I5267" i="1"/>
  <c r="H5267" i="1"/>
  <c r="I5259" i="1"/>
  <c r="H5259" i="1"/>
  <c r="I5251" i="1"/>
  <c r="H5251" i="1"/>
  <c r="I5243" i="1"/>
  <c r="H5243" i="1"/>
  <c r="I5235" i="1"/>
  <c r="H5235" i="1"/>
  <c r="I5227" i="1"/>
  <c r="H5227" i="1"/>
  <c r="I5219" i="1"/>
  <c r="H5219" i="1"/>
  <c r="I5211" i="1"/>
  <c r="H5211" i="1"/>
  <c r="I5203" i="1"/>
  <c r="H5203" i="1"/>
  <c r="I5195" i="1"/>
  <c r="H5195" i="1"/>
  <c r="I5187" i="1"/>
  <c r="H5187" i="1"/>
  <c r="I5179" i="1"/>
  <c r="H5179" i="1"/>
  <c r="I5171" i="1"/>
  <c r="H5171" i="1"/>
  <c r="I5163" i="1"/>
  <c r="H5163" i="1"/>
  <c r="I5155" i="1"/>
  <c r="H5155" i="1"/>
  <c r="I5147" i="1"/>
  <c r="H5147" i="1"/>
  <c r="I5139" i="1"/>
  <c r="H5139" i="1"/>
  <c r="I5131" i="1"/>
  <c r="H5131" i="1"/>
  <c r="I5123" i="1"/>
  <c r="H5123" i="1"/>
  <c r="I5115" i="1"/>
  <c r="H5115" i="1"/>
  <c r="I5107" i="1"/>
  <c r="H5107" i="1"/>
  <c r="I5099" i="1"/>
  <c r="H5099" i="1"/>
  <c r="I5091" i="1"/>
  <c r="H5091" i="1"/>
  <c r="I5083" i="1"/>
  <c r="H5083" i="1"/>
  <c r="I5075" i="1"/>
  <c r="H5075" i="1"/>
  <c r="I5067" i="1"/>
  <c r="H5067" i="1"/>
  <c r="I5059" i="1"/>
  <c r="H5059" i="1"/>
  <c r="I5051" i="1"/>
  <c r="H5051" i="1"/>
  <c r="I5043" i="1"/>
  <c r="H5043" i="1"/>
  <c r="I5035" i="1"/>
  <c r="H5035" i="1"/>
  <c r="I5027" i="1"/>
  <c r="H5027" i="1"/>
  <c r="I5019" i="1"/>
  <c r="H5019" i="1"/>
  <c r="I5011" i="1"/>
  <c r="H5011" i="1"/>
  <c r="I5003" i="1"/>
  <c r="H5003" i="1"/>
  <c r="I4995" i="1"/>
  <c r="H4995" i="1"/>
  <c r="I4987" i="1"/>
  <c r="H4987" i="1"/>
  <c r="I4979" i="1"/>
  <c r="H4979" i="1"/>
  <c r="I4971" i="1"/>
  <c r="H4971" i="1"/>
  <c r="I4963" i="1"/>
  <c r="H4963" i="1"/>
  <c r="I4955" i="1"/>
  <c r="H4955" i="1"/>
  <c r="I4947" i="1"/>
  <c r="H4947" i="1"/>
  <c r="I4939" i="1"/>
  <c r="H4939" i="1"/>
  <c r="I4931" i="1"/>
  <c r="H4931" i="1"/>
  <c r="I4923" i="1"/>
  <c r="H4923" i="1"/>
  <c r="I4915" i="1"/>
  <c r="H4915" i="1"/>
  <c r="I4907" i="1"/>
  <c r="H4907" i="1"/>
  <c r="I4899" i="1"/>
  <c r="H4899" i="1"/>
  <c r="I4891" i="1"/>
  <c r="H4891" i="1"/>
  <c r="I4883" i="1"/>
  <c r="H4883" i="1"/>
  <c r="I4875" i="1"/>
  <c r="H4875" i="1"/>
  <c r="I4867" i="1"/>
  <c r="H4867" i="1"/>
  <c r="I4859" i="1"/>
  <c r="H4859" i="1"/>
  <c r="I4851" i="1"/>
  <c r="H4851" i="1"/>
  <c r="I4843" i="1"/>
  <c r="H4843" i="1"/>
  <c r="I4835" i="1"/>
  <c r="H4835" i="1"/>
  <c r="I4827" i="1"/>
  <c r="H4827" i="1"/>
  <c r="I4819" i="1"/>
  <c r="H4819" i="1"/>
  <c r="I4811" i="1"/>
  <c r="H4811" i="1"/>
  <c r="I4803" i="1"/>
  <c r="H4803" i="1"/>
  <c r="I4795" i="1"/>
  <c r="H4795" i="1"/>
  <c r="I4787" i="1"/>
  <c r="H4787" i="1"/>
  <c r="I4779" i="1"/>
  <c r="H4779" i="1"/>
  <c r="I4771" i="1"/>
  <c r="H4771" i="1"/>
  <c r="I4763" i="1"/>
  <c r="H4763" i="1"/>
  <c r="I4755" i="1"/>
  <c r="H4755" i="1"/>
  <c r="I4747" i="1"/>
  <c r="H4747" i="1"/>
  <c r="I4739" i="1"/>
  <c r="H4739" i="1"/>
  <c r="I4731" i="1"/>
  <c r="H4731" i="1"/>
  <c r="I4723" i="1"/>
  <c r="H4723" i="1"/>
  <c r="I4715" i="1"/>
  <c r="H4715" i="1"/>
  <c r="I4707" i="1"/>
  <c r="H4707" i="1"/>
  <c r="I4699" i="1"/>
  <c r="H4699" i="1"/>
  <c r="I4691" i="1"/>
  <c r="H4691" i="1"/>
  <c r="I4683" i="1"/>
  <c r="H4683" i="1"/>
  <c r="I4675" i="1"/>
  <c r="H4675" i="1"/>
  <c r="I4667" i="1"/>
  <c r="H4667" i="1"/>
  <c r="I4659" i="1"/>
  <c r="H4659" i="1"/>
  <c r="I4651" i="1"/>
  <c r="H4651" i="1"/>
  <c r="I4643" i="1"/>
  <c r="H4643" i="1"/>
  <c r="I4635" i="1"/>
  <c r="H4635" i="1"/>
  <c r="I4627" i="1"/>
  <c r="H4627" i="1"/>
  <c r="I4619" i="1"/>
  <c r="H4619" i="1"/>
  <c r="I4611" i="1"/>
  <c r="H4611" i="1"/>
  <c r="I4603" i="1"/>
  <c r="H4603" i="1"/>
  <c r="I4595" i="1"/>
  <c r="H4595" i="1"/>
  <c r="I4587" i="1"/>
  <c r="H4587" i="1"/>
  <c r="I4579" i="1"/>
  <c r="H4579" i="1"/>
  <c r="I4571" i="1"/>
  <c r="H4571" i="1"/>
  <c r="I4563" i="1"/>
  <c r="H4563" i="1"/>
  <c r="I4555" i="1"/>
  <c r="H4555" i="1"/>
  <c r="I4547" i="1"/>
  <c r="H4547" i="1"/>
  <c r="I4539" i="1"/>
  <c r="H4539" i="1"/>
  <c r="I4531" i="1"/>
  <c r="H4531" i="1"/>
  <c r="I4523" i="1"/>
  <c r="H4523" i="1"/>
  <c r="I4515" i="1"/>
  <c r="H4515" i="1"/>
  <c r="I4507" i="1"/>
  <c r="H4507" i="1"/>
  <c r="I4499" i="1"/>
  <c r="H4499" i="1"/>
  <c r="I4491" i="1"/>
  <c r="H4491" i="1"/>
  <c r="I4483" i="1"/>
  <c r="H4483" i="1"/>
  <c r="I4475" i="1"/>
  <c r="H4475" i="1"/>
  <c r="I4467" i="1"/>
  <c r="H4467" i="1"/>
  <c r="I4459" i="1"/>
  <c r="H4459" i="1"/>
  <c r="I4451" i="1"/>
  <c r="H4451" i="1"/>
  <c r="I4443" i="1"/>
  <c r="H4443" i="1"/>
  <c r="I4435" i="1"/>
  <c r="H4435" i="1"/>
  <c r="I4427" i="1"/>
  <c r="H4427" i="1"/>
  <c r="I4419" i="1"/>
  <c r="H4419" i="1"/>
  <c r="I4411" i="1"/>
  <c r="H4411" i="1"/>
  <c r="I4403" i="1"/>
  <c r="H4403" i="1"/>
  <c r="I4395" i="1"/>
  <c r="H4395" i="1"/>
  <c r="I4387" i="1"/>
  <c r="H4387" i="1"/>
  <c r="I4379" i="1"/>
  <c r="H4379" i="1"/>
  <c r="I4371" i="1"/>
  <c r="H4371" i="1"/>
  <c r="I4363" i="1"/>
  <c r="H4363" i="1"/>
  <c r="I4355" i="1"/>
  <c r="H4355" i="1"/>
  <c r="I4347" i="1"/>
  <c r="H4347" i="1"/>
  <c r="I4339" i="1"/>
  <c r="H4339" i="1"/>
  <c r="I4331" i="1"/>
  <c r="H4331" i="1"/>
  <c r="I4323" i="1"/>
  <c r="H4323" i="1"/>
  <c r="I4315" i="1"/>
  <c r="H4315" i="1"/>
  <c r="I4307" i="1"/>
  <c r="H4307" i="1"/>
  <c r="I4299" i="1"/>
  <c r="H4299" i="1"/>
  <c r="I4291" i="1"/>
  <c r="H4291" i="1"/>
  <c r="I4283" i="1"/>
  <c r="H4283" i="1"/>
  <c r="I4275" i="1"/>
  <c r="H4275" i="1"/>
  <c r="I4267" i="1"/>
  <c r="H4267" i="1"/>
  <c r="I4259" i="1"/>
  <c r="H4259" i="1"/>
  <c r="I4251" i="1"/>
  <c r="H4251" i="1"/>
  <c r="I4243" i="1"/>
  <c r="H4243" i="1"/>
  <c r="I4235" i="1"/>
  <c r="H4235" i="1"/>
  <c r="I4227" i="1"/>
  <c r="H4227" i="1"/>
  <c r="I4219" i="1"/>
  <c r="H4219" i="1"/>
  <c r="I4211" i="1"/>
  <c r="H4211" i="1"/>
  <c r="I4203" i="1"/>
  <c r="H4203" i="1"/>
  <c r="I4195" i="1"/>
  <c r="H4195" i="1"/>
  <c r="I4187" i="1"/>
  <c r="H4187" i="1"/>
  <c r="I4179" i="1"/>
  <c r="H4179" i="1"/>
  <c r="I4171" i="1"/>
  <c r="H4171" i="1"/>
  <c r="I4163" i="1"/>
  <c r="H4163" i="1"/>
  <c r="I4155" i="1"/>
  <c r="H4155" i="1"/>
  <c r="I4147" i="1"/>
  <c r="H4147" i="1"/>
  <c r="I4139" i="1"/>
  <c r="H4139" i="1"/>
  <c r="I4131" i="1"/>
  <c r="H4131" i="1"/>
  <c r="I4123" i="1"/>
  <c r="H4123" i="1"/>
  <c r="I4115" i="1"/>
  <c r="H4115" i="1"/>
  <c r="I4107" i="1"/>
  <c r="H4107" i="1"/>
  <c r="I4099" i="1"/>
  <c r="H4099" i="1"/>
  <c r="I4091" i="1"/>
  <c r="H4091" i="1"/>
  <c r="I4083" i="1"/>
  <c r="H4083" i="1"/>
  <c r="I4075" i="1"/>
  <c r="H4075" i="1"/>
  <c r="I4067" i="1"/>
  <c r="H4067" i="1"/>
  <c r="I4059" i="1"/>
  <c r="H4059" i="1"/>
  <c r="I4051" i="1"/>
  <c r="H4051" i="1"/>
  <c r="I4043" i="1"/>
  <c r="H4043" i="1"/>
  <c r="I4035" i="1"/>
  <c r="H4035" i="1"/>
  <c r="I4027" i="1"/>
  <c r="H4027" i="1"/>
  <c r="I4019" i="1"/>
  <c r="H4019" i="1"/>
  <c r="I4011" i="1"/>
  <c r="H4011" i="1"/>
  <c r="I4003" i="1"/>
  <c r="H4003" i="1"/>
  <c r="I3995" i="1"/>
  <c r="H3995" i="1"/>
  <c r="I3987" i="1"/>
  <c r="H3987" i="1"/>
  <c r="I3979" i="1"/>
  <c r="H3979" i="1"/>
  <c r="I3971" i="1"/>
  <c r="H3971" i="1"/>
  <c r="I3963" i="1"/>
  <c r="H3963" i="1"/>
  <c r="I3955" i="1"/>
  <c r="H3955" i="1"/>
  <c r="I3947" i="1"/>
  <c r="H3947" i="1"/>
  <c r="I3939" i="1"/>
  <c r="H3939" i="1"/>
  <c r="I3931" i="1"/>
  <c r="H3931" i="1"/>
  <c r="I3923" i="1"/>
  <c r="H3923" i="1"/>
  <c r="I3915" i="1"/>
  <c r="H3915" i="1"/>
  <c r="I3907" i="1"/>
  <c r="H3907" i="1"/>
  <c r="I3899" i="1"/>
  <c r="H3899" i="1"/>
  <c r="I3891" i="1"/>
  <c r="H3891" i="1"/>
  <c r="I3883" i="1"/>
  <c r="H3883" i="1"/>
  <c r="I3875" i="1"/>
  <c r="H3875" i="1"/>
  <c r="I3867" i="1"/>
  <c r="H3867" i="1"/>
  <c r="I3859" i="1"/>
  <c r="H3859" i="1"/>
  <c r="I3851" i="1"/>
  <c r="H3851" i="1"/>
  <c r="I3843" i="1"/>
  <c r="H3843" i="1"/>
  <c r="I3835" i="1"/>
  <c r="H3835" i="1"/>
  <c r="I3827" i="1"/>
  <c r="H3827" i="1"/>
  <c r="I3819" i="1"/>
  <c r="H3819" i="1"/>
  <c r="I3811" i="1"/>
  <c r="H3811" i="1"/>
  <c r="I3803" i="1"/>
  <c r="H3803" i="1"/>
  <c r="I3795" i="1"/>
  <c r="H3795" i="1"/>
  <c r="I3787" i="1"/>
  <c r="H3787" i="1"/>
  <c r="I3779" i="1"/>
  <c r="H3779" i="1"/>
  <c r="I3771" i="1"/>
  <c r="H3771" i="1"/>
  <c r="I3763" i="1"/>
  <c r="H3763" i="1"/>
  <c r="I3755" i="1"/>
  <c r="H3755" i="1"/>
  <c r="I3747" i="1"/>
  <c r="H3747" i="1"/>
  <c r="I3739" i="1"/>
  <c r="H3739" i="1"/>
  <c r="I3731" i="1"/>
  <c r="H3731" i="1"/>
  <c r="I3723" i="1"/>
  <c r="H3723" i="1"/>
  <c r="I3715" i="1"/>
  <c r="H3715" i="1"/>
  <c r="I3707" i="1"/>
  <c r="H3707" i="1"/>
  <c r="I3699" i="1"/>
  <c r="H3699" i="1"/>
  <c r="I3691" i="1"/>
  <c r="H3691" i="1"/>
  <c r="I3683" i="1"/>
  <c r="H3683" i="1"/>
  <c r="I3675" i="1"/>
  <c r="H3675" i="1"/>
  <c r="I3667" i="1"/>
  <c r="H3667" i="1"/>
  <c r="I3659" i="1"/>
  <c r="H3659" i="1"/>
  <c r="I3651" i="1"/>
  <c r="H3651" i="1"/>
  <c r="I3643" i="1"/>
  <c r="H3643" i="1"/>
  <c r="I3635" i="1"/>
  <c r="H3635" i="1"/>
  <c r="I3627" i="1"/>
  <c r="H3627" i="1"/>
  <c r="I3619" i="1"/>
  <c r="H3619" i="1"/>
  <c r="I3611" i="1"/>
  <c r="H3611" i="1"/>
  <c r="I3603" i="1"/>
  <c r="H3603" i="1"/>
  <c r="I3595" i="1"/>
  <c r="H3595" i="1"/>
  <c r="I3587" i="1"/>
  <c r="H3587" i="1"/>
  <c r="I3579" i="1"/>
  <c r="H3579" i="1"/>
  <c r="I3571" i="1"/>
  <c r="H3571" i="1"/>
  <c r="I3563" i="1"/>
  <c r="H3563" i="1"/>
  <c r="I3555" i="1"/>
  <c r="H3555" i="1"/>
  <c r="I3547" i="1"/>
  <c r="H3547" i="1"/>
  <c r="I3539" i="1"/>
  <c r="H3539" i="1"/>
  <c r="I3531" i="1"/>
  <c r="H3531" i="1"/>
  <c r="I3523" i="1"/>
  <c r="H3523" i="1"/>
  <c r="I3515" i="1"/>
  <c r="H3515" i="1"/>
  <c r="I3507" i="1"/>
  <c r="H3507" i="1"/>
  <c r="I3499" i="1"/>
  <c r="H3499" i="1"/>
  <c r="I3491" i="1"/>
  <c r="H3491" i="1"/>
  <c r="I3483" i="1"/>
  <c r="H3483" i="1"/>
  <c r="I3475" i="1"/>
  <c r="H3475" i="1"/>
  <c r="I3467" i="1"/>
  <c r="H3467" i="1"/>
  <c r="I3459" i="1"/>
  <c r="H3459" i="1"/>
  <c r="I3451" i="1"/>
  <c r="H3451" i="1"/>
  <c r="I3443" i="1"/>
  <c r="H3443" i="1"/>
  <c r="I3435" i="1"/>
  <c r="H3435" i="1"/>
  <c r="I3427" i="1"/>
  <c r="H3427" i="1"/>
  <c r="I3419" i="1"/>
  <c r="H3419" i="1"/>
  <c r="I3411" i="1"/>
  <c r="H3411" i="1"/>
  <c r="I3403" i="1"/>
  <c r="H3403" i="1"/>
  <c r="I3395" i="1"/>
  <c r="H3395" i="1"/>
  <c r="I3387" i="1"/>
  <c r="H3387" i="1"/>
  <c r="I3379" i="1"/>
  <c r="H3379" i="1"/>
  <c r="I3371" i="1"/>
  <c r="H3371" i="1"/>
  <c r="I3363" i="1"/>
  <c r="H3363" i="1"/>
  <c r="I3355" i="1"/>
  <c r="H3355" i="1"/>
  <c r="I3347" i="1"/>
  <c r="H3347" i="1"/>
  <c r="I3339" i="1"/>
  <c r="H3339" i="1"/>
  <c r="I3331" i="1"/>
  <c r="H3331" i="1"/>
  <c r="I3323" i="1"/>
  <c r="H3323" i="1"/>
  <c r="I3315" i="1"/>
  <c r="H3315" i="1"/>
  <c r="I3307" i="1"/>
  <c r="H3307" i="1"/>
  <c r="I3299" i="1"/>
  <c r="H3299" i="1"/>
  <c r="I3291" i="1"/>
  <c r="H3291" i="1"/>
  <c r="I3283" i="1"/>
  <c r="H3283" i="1"/>
  <c r="I3275" i="1"/>
  <c r="H3275" i="1"/>
  <c r="I3267" i="1"/>
  <c r="H3267" i="1"/>
  <c r="I3259" i="1"/>
  <c r="H3259" i="1"/>
  <c r="I3251" i="1"/>
  <c r="H3251" i="1"/>
  <c r="I3243" i="1"/>
  <c r="H3243" i="1"/>
  <c r="I3235" i="1"/>
  <c r="H3235" i="1"/>
  <c r="I3227" i="1"/>
  <c r="H3227" i="1"/>
  <c r="I3219" i="1"/>
  <c r="H3219" i="1"/>
  <c r="I3211" i="1"/>
  <c r="H3211" i="1"/>
  <c r="I3203" i="1"/>
  <c r="H3203" i="1"/>
  <c r="I3195" i="1"/>
  <c r="H3195" i="1"/>
  <c r="I3187" i="1"/>
  <c r="H3187" i="1"/>
  <c r="I3179" i="1"/>
  <c r="H3179" i="1"/>
  <c r="I3171" i="1"/>
  <c r="H3171" i="1"/>
  <c r="I3163" i="1"/>
  <c r="H3163" i="1"/>
  <c r="I3155" i="1"/>
  <c r="H3155" i="1"/>
  <c r="I3147" i="1"/>
  <c r="H3147" i="1"/>
  <c r="I3139" i="1"/>
  <c r="H3139" i="1"/>
  <c r="I3131" i="1"/>
  <c r="H3131" i="1"/>
  <c r="I3123" i="1"/>
  <c r="H3123" i="1"/>
  <c r="I3115" i="1"/>
  <c r="H3115" i="1"/>
  <c r="I3107" i="1"/>
  <c r="H3107" i="1"/>
  <c r="I3099" i="1"/>
  <c r="H3099" i="1"/>
  <c r="I3091" i="1"/>
  <c r="H3091" i="1"/>
  <c r="I3083" i="1"/>
  <c r="H3083" i="1"/>
  <c r="I3075" i="1"/>
  <c r="H3075" i="1"/>
  <c r="I3067" i="1"/>
  <c r="H3067" i="1"/>
  <c r="I3059" i="1"/>
  <c r="H3059" i="1"/>
  <c r="I3051" i="1"/>
  <c r="H3051" i="1"/>
  <c r="I3043" i="1"/>
  <c r="H3043" i="1"/>
  <c r="I3027" i="1"/>
  <c r="H3027" i="1"/>
  <c r="I3019" i="1"/>
  <c r="H3019" i="1"/>
  <c r="I3011" i="1"/>
  <c r="H3011" i="1"/>
  <c r="I3003" i="1"/>
  <c r="H3003" i="1"/>
  <c r="I2995" i="1"/>
  <c r="H2995" i="1"/>
  <c r="I2987" i="1"/>
  <c r="H2987" i="1"/>
  <c r="I2979" i="1"/>
  <c r="H2979" i="1"/>
  <c r="I2963" i="1"/>
  <c r="H2963" i="1"/>
  <c r="I2955" i="1"/>
  <c r="H2955" i="1"/>
  <c r="I2947" i="1"/>
  <c r="H2947" i="1"/>
  <c r="I2939" i="1"/>
  <c r="H2939" i="1"/>
  <c r="I2931" i="1"/>
  <c r="H2931" i="1"/>
  <c r="I2923" i="1"/>
  <c r="H2923" i="1"/>
  <c r="I2915" i="1"/>
  <c r="H2915" i="1"/>
  <c r="I2899" i="1"/>
  <c r="H2899" i="1"/>
  <c r="I2891" i="1"/>
  <c r="H2891" i="1"/>
  <c r="I2883" i="1"/>
  <c r="H2883" i="1"/>
  <c r="I2875" i="1"/>
  <c r="H2875" i="1"/>
  <c r="I2867" i="1"/>
  <c r="H2867" i="1"/>
  <c r="I2859" i="1"/>
  <c r="H2859" i="1"/>
  <c r="I2851" i="1"/>
  <c r="H2851" i="1"/>
  <c r="I2835" i="1"/>
  <c r="H2835" i="1"/>
  <c r="I2827" i="1"/>
  <c r="H2827" i="1"/>
  <c r="I2819" i="1"/>
  <c r="H2819" i="1"/>
  <c r="I2811" i="1"/>
  <c r="H2811" i="1"/>
  <c r="I2803" i="1"/>
  <c r="H2803" i="1"/>
  <c r="I2795" i="1"/>
  <c r="H2795" i="1"/>
  <c r="I2787" i="1"/>
  <c r="H2787" i="1"/>
  <c r="I2771" i="1"/>
  <c r="H2771" i="1"/>
  <c r="I2763" i="1"/>
  <c r="H2763" i="1"/>
  <c r="I2755" i="1"/>
  <c r="H2755" i="1"/>
  <c r="I2747" i="1"/>
  <c r="H2747" i="1"/>
  <c r="I2739" i="1"/>
  <c r="H2739" i="1"/>
  <c r="I2731" i="1"/>
  <c r="H2731" i="1"/>
  <c r="I2723" i="1"/>
  <c r="H2723" i="1"/>
  <c r="I2707" i="1"/>
  <c r="H2707" i="1"/>
  <c r="I2699" i="1"/>
  <c r="H2699" i="1"/>
  <c r="I2691" i="1"/>
  <c r="H2691" i="1"/>
  <c r="I2683" i="1"/>
  <c r="H2683" i="1"/>
  <c r="I2675" i="1"/>
  <c r="H2675" i="1"/>
  <c r="I2667" i="1"/>
  <c r="H2667" i="1"/>
  <c r="I2659" i="1"/>
  <c r="H2659" i="1"/>
  <c r="I2643" i="1"/>
  <c r="H2643" i="1"/>
  <c r="I2635" i="1"/>
  <c r="H2635" i="1"/>
  <c r="I2627" i="1"/>
  <c r="H2627" i="1"/>
  <c r="I2619" i="1"/>
  <c r="H2619" i="1"/>
  <c r="I2611" i="1"/>
  <c r="H2611" i="1"/>
  <c r="I2603" i="1"/>
  <c r="H2603" i="1"/>
  <c r="I2595" i="1"/>
  <c r="H2595" i="1"/>
  <c r="I2579" i="1"/>
  <c r="H2579" i="1"/>
  <c r="I2571" i="1"/>
  <c r="H2571" i="1"/>
  <c r="I2563" i="1"/>
  <c r="H2563" i="1"/>
  <c r="I2555" i="1"/>
  <c r="H2555" i="1"/>
  <c r="I2547" i="1"/>
  <c r="H2547" i="1"/>
  <c r="I2539" i="1"/>
  <c r="H2539" i="1"/>
  <c r="I2531" i="1"/>
  <c r="H2531" i="1"/>
  <c r="I2515" i="1"/>
  <c r="H2515" i="1"/>
  <c r="I2507" i="1"/>
  <c r="H2507" i="1"/>
  <c r="I2499" i="1"/>
  <c r="H2499" i="1"/>
  <c r="I2491" i="1"/>
  <c r="H2491" i="1"/>
  <c r="I2483" i="1"/>
  <c r="H2483" i="1"/>
  <c r="I2475" i="1"/>
  <c r="H2475" i="1"/>
  <c r="I2467" i="1"/>
  <c r="H2467" i="1"/>
  <c r="I2451" i="1"/>
  <c r="H2451" i="1"/>
  <c r="I2443" i="1"/>
  <c r="H2443" i="1"/>
  <c r="I2435" i="1"/>
  <c r="H2435" i="1"/>
  <c r="I2427" i="1"/>
  <c r="H2427" i="1"/>
  <c r="I2419" i="1"/>
  <c r="H2419" i="1"/>
  <c r="I2411" i="1"/>
  <c r="H2411" i="1"/>
  <c r="I2403" i="1"/>
  <c r="H2403" i="1"/>
  <c r="I2387" i="1"/>
  <c r="H2387" i="1"/>
  <c r="I2379" i="1"/>
  <c r="H2379" i="1"/>
  <c r="I2371" i="1"/>
  <c r="H2371" i="1"/>
  <c r="I2363" i="1"/>
  <c r="H2363" i="1"/>
  <c r="I2355" i="1"/>
  <c r="H2355" i="1"/>
  <c r="I2347" i="1"/>
  <c r="H2347" i="1"/>
  <c r="I2339" i="1"/>
  <c r="H2339" i="1"/>
  <c r="I2323" i="1"/>
  <c r="H2323" i="1"/>
  <c r="I2315" i="1"/>
  <c r="H2315" i="1"/>
  <c r="I2307" i="1"/>
  <c r="H2307" i="1"/>
  <c r="I2299" i="1"/>
  <c r="H2299" i="1"/>
  <c r="I2291" i="1"/>
  <c r="H2291" i="1"/>
  <c r="I2283" i="1"/>
  <c r="H2283" i="1"/>
  <c r="I2275" i="1"/>
  <c r="H2275" i="1"/>
  <c r="I2259" i="1"/>
  <c r="H2259" i="1"/>
  <c r="I2251" i="1"/>
  <c r="H2251" i="1"/>
  <c r="I2243" i="1"/>
  <c r="H2243" i="1"/>
  <c r="I2235" i="1"/>
  <c r="H2235" i="1"/>
  <c r="I2227" i="1"/>
  <c r="H2227" i="1"/>
  <c r="I2219" i="1"/>
  <c r="H2219" i="1"/>
  <c r="I2211" i="1"/>
  <c r="H2211" i="1"/>
  <c r="I2195" i="1"/>
  <c r="H2195" i="1"/>
  <c r="I2187" i="1"/>
  <c r="H2187" i="1"/>
  <c r="I2179" i="1"/>
  <c r="H2179" i="1"/>
  <c r="I2171" i="1"/>
  <c r="H2171" i="1"/>
  <c r="I2163" i="1"/>
  <c r="H2163" i="1"/>
  <c r="I2155" i="1"/>
  <c r="H2155" i="1"/>
  <c r="I2147" i="1"/>
  <c r="H2147" i="1"/>
  <c r="I2131" i="1"/>
  <c r="H2131" i="1"/>
  <c r="I2123" i="1"/>
  <c r="H2123" i="1"/>
  <c r="I2115" i="1"/>
  <c r="H2115" i="1"/>
  <c r="I2107" i="1"/>
  <c r="H2107" i="1"/>
  <c r="I2099" i="1"/>
  <c r="H2099" i="1"/>
  <c r="I2091" i="1"/>
  <c r="H2091" i="1"/>
  <c r="I2083" i="1"/>
  <c r="H2083" i="1"/>
  <c r="I2067" i="1"/>
  <c r="H2067" i="1"/>
  <c r="I2059" i="1"/>
  <c r="H2059" i="1"/>
  <c r="I2051" i="1"/>
  <c r="H2051" i="1"/>
  <c r="I2043" i="1"/>
  <c r="H2043" i="1"/>
  <c r="I2035" i="1"/>
  <c r="H2035" i="1"/>
  <c r="I2027" i="1"/>
  <c r="H2027" i="1"/>
  <c r="I2019" i="1"/>
  <c r="H2019" i="1"/>
  <c r="I2011" i="1"/>
  <c r="H2011" i="1"/>
  <c r="I1995" i="1"/>
  <c r="H1995" i="1"/>
  <c r="I1987" i="1"/>
  <c r="H1987" i="1"/>
  <c r="I1979" i="1"/>
  <c r="H1979" i="1"/>
  <c r="I1963" i="1"/>
  <c r="H1963" i="1"/>
  <c r="I1955" i="1"/>
  <c r="H1955" i="1"/>
  <c r="I1947" i="1"/>
  <c r="H1947" i="1"/>
  <c r="I1939" i="1"/>
  <c r="I1931" i="1"/>
  <c r="H1931" i="1"/>
  <c r="I1923" i="1"/>
  <c r="H1923" i="1"/>
  <c r="I1915" i="1"/>
  <c r="H1915" i="1"/>
  <c r="I1899" i="1"/>
  <c r="H1899" i="1"/>
  <c r="I1891" i="1"/>
  <c r="H1891" i="1"/>
  <c r="I1883" i="1"/>
  <c r="H1883" i="1"/>
  <c r="I1875" i="1"/>
  <c r="I1867" i="1"/>
  <c r="H1867" i="1"/>
  <c r="I1859" i="1"/>
  <c r="H1859" i="1"/>
  <c r="I1851" i="1"/>
  <c r="H1851" i="1"/>
  <c r="I1835" i="1"/>
  <c r="H1835" i="1"/>
  <c r="I1827" i="1"/>
  <c r="H1827" i="1"/>
  <c r="I1819" i="1"/>
  <c r="H1819" i="1"/>
  <c r="I1811" i="1"/>
  <c r="I1803" i="1"/>
  <c r="H1803" i="1"/>
  <c r="I1795" i="1"/>
  <c r="H1795" i="1"/>
  <c r="I1787" i="1"/>
  <c r="H1787" i="1"/>
  <c r="I1771" i="1"/>
  <c r="H1771" i="1"/>
  <c r="I1763" i="1"/>
  <c r="H1763" i="1"/>
  <c r="I1755" i="1"/>
  <c r="H1755" i="1"/>
  <c r="I1747" i="1"/>
  <c r="I1739" i="1"/>
  <c r="H1739" i="1"/>
  <c r="I1731" i="1"/>
  <c r="H1731" i="1"/>
  <c r="I1723" i="1"/>
  <c r="H1723" i="1"/>
  <c r="I1707" i="1"/>
  <c r="H1707" i="1"/>
  <c r="I1699" i="1"/>
  <c r="H1699" i="1"/>
  <c r="I1691" i="1"/>
  <c r="H1691" i="1"/>
  <c r="I1683" i="1"/>
  <c r="I1675" i="1"/>
  <c r="H1675" i="1"/>
  <c r="I1667" i="1"/>
  <c r="H1667" i="1"/>
  <c r="I1659" i="1"/>
  <c r="H1659" i="1"/>
  <c r="I1643" i="1"/>
  <c r="H1643" i="1"/>
  <c r="I1635" i="1"/>
  <c r="H1635" i="1"/>
  <c r="I1627" i="1"/>
  <c r="H1627" i="1"/>
  <c r="I1619" i="1"/>
  <c r="I1611" i="1"/>
  <c r="H1611" i="1"/>
  <c r="I1603" i="1"/>
  <c r="H1603" i="1"/>
  <c r="I1595" i="1"/>
  <c r="H1595" i="1"/>
  <c r="I1579" i="1"/>
  <c r="H1579" i="1"/>
  <c r="I1571" i="1"/>
  <c r="H1571" i="1"/>
  <c r="I1563" i="1"/>
  <c r="H1563" i="1"/>
  <c r="I1555" i="1"/>
  <c r="I1547" i="1"/>
  <c r="H1547" i="1"/>
  <c r="I1539" i="1"/>
  <c r="H1539" i="1"/>
  <c r="I1531" i="1"/>
  <c r="H1531" i="1"/>
  <c r="I1515" i="1"/>
  <c r="H1515" i="1"/>
  <c r="I1507" i="1"/>
  <c r="H1507" i="1"/>
  <c r="I1499" i="1"/>
  <c r="H1499" i="1"/>
  <c r="I1491" i="1"/>
  <c r="I1483" i="1"/>
  <c r="H1483" i="1"/>
  <c r="I1475" i="1"/>
  <c r="H1475" i="1"/>
  <c r="I1467" i="1"/>
  <c r="H1467" i="1"/>
  <c r="I1451" i="1"/>
  <c r="H1451" i="1"/>
  <c r="I1443" i="1"/>
  <c r="H1443" i="1"/>
  <c r="I1435" i="1"/>
  <c r="H1435" i="1"/>
  <c r="I1427" i="1"/>
  <c r="I1419" i="1"/>
  <c r="H1419" i="1"/>
  <c r="I1411" i="1"/>
  <c r="H1411" i="1"/>
  <c r="I1403" i="1"/>
  <c r="H1403" i="1"/>
  <c r="I1387" i="1"/>
  <c r="H1387" i="1"/>
  <c r="I1379" i="1"/>
  <c r="H1379" i="1"/>
  <c r="I1371" i="1"/>
  <c r="H1371" i="1"/>
  <c r="I1363" i="1"/>
  <c r="I1355" i="1"/>
  <c r="H1355" i="1"/>
  <c r="I1347" i="1"/>
  <c r="H1347" i="1"/>
  <c r="I1339" i="1"/>
  <c r="H1339" i="1"/>
  <c r="I1323" i="1"/>
  <c r="H1323" i="1"/>
  <c r="I1315" i="1"/>
  <c r="H1315" i="1"/>
  <c r="I1307" i="1"/>
  <c r="H1307" i="1"/>
  <c r="I1299" i="1"/>
  <c r="I1291" i="1"/>
  <c r="H1291" i="1"/>
  <c r="I1283" i="1"/>
  <c r="H1283" i="1"/>
  <c r="I1275" i="1"/>
  <c r="H1275" i="1"/>
  <c r="I1267" i="1"/>
  <c r="H1267" i="1"/>
  <c r="I1259" i="1"/>
  <c r="H1259" i="1"/>
  <c r="I1251" i="1"/>
  <c r="H1251" i="1"/>
  <c r="I1243" i="1"/>
  <c r="H1243" i="1"/>
  <c r="I1235" i="1"/>
  <c r="H1235" i="1"/>
  <c r="I1227" i="1"/>
  <c r="H1227" i="1"/>
  <c r="I1219" i="1"/>
  <c r="H1219" i="1"/>
  <c r="I1211" i="1"/>
  <c r="H1211" i="1"/>
  <c r="I1203" i="1"/>
  <c r="H1203" i="1"/>
  <c r="I1195" i="1"/>
  <c r="H1195" i="1"/>
  <c r="I1187" i="1"/>
  <c r="H1187" i="1"/>
  <c r="I1179" i="1"/>
  <c r="H1179" i="1"/>
  <c r="I1171" i="1"/>
  <c r="H1171" i="1"/>
  <c r="I1163" i="1"/>
  <c r="H1163" i="1"/>
  <c r="I1155" i="1"/>
  <c r="H1155" i="1"/>
  <c r="I1147" i="1"/>
  <c r="H1147" i="1"/>
  <c r="I1139" i="1"/>
  <c r="H1139" i="1"/>
  <c r="I1131" i="1"/>
  <c r="H1131" i="1"/>
  <c r="I1123" i="1"/>
  <c r="H1123" i="1"/>
  <c r="I1115" i="1"/>
  <c r="H1115" i="1"/>
  <c r="I1107" i="1"/>
  <c r="H1107" i="1"/>
  <c r="I1099" i="1"/>
  <c r="H1099" i="1"/>
  <c r="I1091" i="1"/>
  <c r="H1091" i="1"/>
  <c r="I1083" i="1"/>
  <c r="H1083" i="1"/>
  <c r="I1075" i="1"/>
  <c r="H1075" i="1"/>
  <c r="I1067" i="1"/>
  <c r="H1067" i="1"/>
  <c r="I1059" i="1"/>
  <c r="H1059" i="1"/>
  <c r="I1051" i="1"/>
  <c r="H1051" i="1"/>
  <c r="I1043" i="1"/>
  <c r="H1043" i="1"/>
  <c r="I1035" i="1"/>
  <c r="H1035" i="1"/>
  <c r="I1027" i="1"/>
  <c r="H1027" i="1"/>
  <c r="I1019" i="1"/>
  <c r="H1019" i="1"/>
  <c r="I1011" i="1"/>
  <c r="H1011" i="1"/>
  <c r="I1003" i="1"/>
  <c r="H1003" i="1"/>
  <c r="I995" i="1"/>
  <c r="H995" i="1"/>
  <c r="I987" i="1"/>
  <c r="H987" i="1"/>
  <c r="I979" i="1"/>
  <c r="H979" i="1"/>
  <c r="I971" i="1"/>
  <c r="H971" i="1"/>
  <c r="I963" i="1"/>
  <c r="H963" i="1"/>
  <c r="I955" i="1"/>
  <c r="H955" i="1"/>
  <c r="I947" i="1"/>
  <c r="H947" i="1"/>
  <c r="I939" i="1"/>
  <c r="H939" i="1"/>
  <c r="I931" i="1"/>
  <c r="H931" i="1"/>
  <c r="I923" i="1"/>
  <c r="H923" i="1"/>
  <c r="I915" i="1"/>
  <c r="H915" i="1"/>
  <c r="I907" i="1"/>
  <c r="H907" i="1"/>
  <c r="I899" i="1"/>
  <c r="H899" i="1"/>
  <c r="I891" i="1"/>
  <c r="H891" i="1"/>
  <c r="I883" i="1"/>
  <c r="H883" i="1"/>
  <c r="I875" i="1"/>
  <c r="H875" i="1"/>
  <c r="I867" i="1"/>
  <c r="H867" i="1"/>
  <c r="I859" i="1"/>
  <c r="H859" i="1"/>
  <c r="I851" i="1"/>
  <c r="H851" i="1"/>
  <c r="I843" i="1"/>
  <c r="H843" i="1"/>
  <c r="I835" i="1"/>
  <c r="H835" i="1"/>
  <c r="I827" i="1"/>
  <c r="H827" i="1"/>
  <c r="I819" i="1"/>
  <c r="H819" i="1"/>
  <c r="I811" i="1"/>
  <c r="H811" i="1"/>
  <c r="I803" i="1"/>
  <c r="H803" i="1"/>
  <c r="I795" i="1"/>
  <c r="H795" i="1"/>
  <c r="I787" i="1"/>
  <c r="H787" i="1"/>
  <c r="I779" i="1"/>
  <c r="H779" i="1"/>
  <c r="I771" i="1"/>
  <c r="H771" i="1"/>
  <c r="I763" i="1"/>
  <c r="H763" i="1"/>
  <c r="I755" i="1"/>
  <c r="H755" i="1"/>
  <c r="I747" i="1"/>
  <c r="H747" i="1"/>
  <c r="I739" i="1"/>
  <c r="H739" i="1"/>
  <c r="I731" i="1"/>
  <c r="H731" i="1"/>
  <c r="I723" i="1"/>
  <c r="H723" i="1"/>
  <c r="I715" i="1"/>
  <c r="H715" i="1"/>
  <c r="I707" i="1"/>
  <c r="H707" i="1"/>
  <c r="I699" i="1"/>
  <c r="H699" i="1"/>
  <c r="I691" i="1"/>
  <c r="H691" i="1"/>
  <c r="I683" i="1"/>
  <c r="H683" i="1"/>
  <c r="I675" i="1"/>
  <c r="H675" i="1"/>
  <c r="I667" i="1"/>
  <c r="H667" i="1"/>
  <c r="I659" i="1"/>
  <c r="H659" i="1"/>
  <c r="I651" i="1"/>
  <c r="H651" i="1"/>
  <c r="I643" i="1"/>
  <c r="H643" i="1"/>
  <c r="I635" i="1"/>
  <c r="H635" i="1"/>
  <c r="I627" i="1"/>
  <c r="H627" i="1"/>
  <c r="I619" i="1"/>
  <c r="H619" i="1"/>
  <c r="I611" i="1"/>
  <c r="H611" i="1"/>
  <c r="I603" i="1"/>
  <c r="H603" i="1"/>
  <c r="I595" i="1"/>
  <c r="H595" i="1"/>
  <c r="I587" i="1"/>
  <c r="H587" i="1"/>
  <c r="I579" i="1"/>
  <c r="H579" i="1"/>
  <c r="I571" i="1"/>
  <c r="H571" i="1"/>
  <c r="I563" i="1"/>
  <c r="H563" i="1"/>
  <c r="I555" i="1"/>
  <c r="H555" i="1"/>
  <c r="I547" i="1"/>
  <c r="H547" i="1"/>
  <c r="I539" i="1"/>
  <c r="H539" i="1"/>
  <c r="I531" i="1"/>
  <c r="H531" i="1"/>
  <c r="I523" i="1"/>
  <c r="H523" i="1"/>
  <c r="I515" i="1"/>
  <c r="H515" i="1"/>
  <c r="I507" i="1"/>
  <c r="H507" i="1"/>
  <c r="I499" i="1"/>
  <c r="H499" i="1"/>
  <c r="I491" i="1"/>
  <c r="H491" i="1"/>
  <c r="I483" i="1"/>
  <c r="H483" i="1"/>
  <c r="I475" i="1"/>
  <c r="H475" i="1"/>
  <c r="I467" i="1"/>
  <c r="H467" i="1"/>
  <c r="I459" i="1"/>
  <c r="H459" i="1"/>
  <c r="I451" i="1"/>
  <c r="H451" i="1"/>
  <c r="I443" i="1"/>
  <c r="H443" i="1"/>
  <c r="I435" i="1"/>
  <c r="H435" i="1"/>
  <c r="I427" i="1"/>
  <c r="H427" i="1"/>
  <c r="I419" i="1"/>
  <c r="H419" i="1"/>
  <c r="I411" i="1"/>
  <c r="H411" i="1"/>
  <c r="I403" i="1"/>
  <c r="H403" i="1"/>
  <c r="E395" i="1"/>
  <c r="I395" i="1"/>
  <c r="H395" i="1"/>
  <c r="I387" i="1"/>
  <c r="H387" i="1"/>
  <c r="I379" i="1"/>
  <c r="H379" i="1"/>
  <c r="I371" i="1"/>
  <c r="H371" i="1"/>
  <c r="I363" i="1"/>
  <c r="H363" i="1"/>
  <c r="I355" i="1"/>
  <c r="H355" i="1"/>
  <c r="I347" i="1"/>
  <c r="H347" i="1"/>
  <c r="I339" i="1"/>
  <c r="H339" i="1"/>
  <c r="E331" i="1"/>
  <c r="I331" i="1"/>
  <c r="H331" i="1"/>
  <c r="I323" i="1"/>
  <c r="H323" i="1"/>
  <c r="I315" i="1"/>
  <c r="H315" i="1"/>
  <c r="I307" i="1"/>
  <c r="H307" i="1"/>
  <c r="H9990" i="1"/>
  <c r="H9918" i="1"/>
  <c r="H9886" i="1"/>
  <c r="H9878" i="1"/>
  <c r="H9854" i="1"/>
  <c r="H9846" i="1"/>
  <c r="H9838" i="1"/>
  <c r="H9822" i="1"/>
  <c r="H9814" i="1"/>
  <c r="H9798" i="1"/>
  <c r="H9774" i="1"/>
  <c r="H9766" i="1"/>
  <c r="H9734" i="1"/>
  <c r="H9662" i="1"/>
  <c r="H9630" i="1"/>
  <c r="H9622" i="1"/>
  <c r="H9598" i="1"/>
  <c r="H9582" i="1"/>
  <c r="H9566" i="1"/>
  <c r="H9558" i="1"/>
  <c r="H9550" i="1"/>
  <c r="H9542" i="1"/>
  <c r="H9518" i="1"/>
  <c r="H9510" i="1"/>
  <c r="H9478" i="1"/>
  <c r="H9406" i="1"/>
  <c r="H9374" i="1"/>
  <c r="H9366" i="1"/>
  <c r="H9342" i="1"/>
  <c r="H9334" i="1"/>
  <c r="H9326" i="1"/>
  <c r="H9310" i="1"/>
  <c r="H9302" i="1"/>
  <c r="H9286" i="1"/>
  <c r="H9262" i="1"/>
  <c r="H9254" i="1"/>
  <c r="H9222" i="1"/>
  <c r="H9214" i="1"/>
  <c r="H9206" i="1"/>
  <c r="H9182" i="1"/>
  <c r="H9174" i="1"/>
  <c r="H9166" i="1"/>
  <c r="H9150" i="1"/>
  <c r="H9134" i="1"/>
  <c r="H9110" i="1"/>
  <c r="H9094" i="1"/>
  <c r="H9070" i="1"/>
  <c r="H9054" i="1"/>
  <c r="H9038" i="1"/>
  <c r="H9030" i="1"/>
  <c r="H8998" i="1"/>
  <c r="H8990" i="1"/>
  <c r="H8982" i="1"/>
  <c r="H8966" i="1"/>
  <c r="H8958" i="1"/>
  <c r="H8942" i="1"/>
  <c r="H8926" i="1"/>
  <c r="H8918" i="1"/>
  <c r="H8910" i="1"/>
  <c r="H8902" i="1"/>
  <c r="H8894" i="1"/>
  <c r="H8878" i="1"/>
  <c r="H8870" i="1"/>
  <c r="H8862" i="1"/>
  <c r="H8854" i="1"/>
  <c r="H8838" i="1"/>
  <c r="H8830" i="1"/>
  <c r="H8822" i="1"/>
  <c r="H8814" i="1"/>
  <c r="H8798" i="1"/>
  <c r="H8790" i="1"/>
  <c r="H8774" i="1"/>
  <c r="H8766" i="1"/>
  <c r="H8750" i="1"/>
  <c r="H8734" i="1"/>
  <c r="H8726" i="1"/>
  <c r="H8710" i="1"/>
  <c r="H8702" i="1"/>
  <c r="H8694" i="1"/>
  <c r="H8686" i="1"/>
  <c r="H8670" i="1"/>
  <c r="H8662" i="1"/>
  <c r="H8654" i="1"/>
  <c r="H8646" i="1"/>
  <c r="H8638" i="1"/>
  <c r="H8622" i="1"/>
  <c r="H8606" i="1"/>
  <c r="H8598" i="1"/>
  <c r="H8582" i="1"/>
  <c r="H8574" i="1"/>
  <c r="H8558" i="1"/>
  <c r="H8542" i="1"/>
  <c r="H8534" i="1"/>
  <c r="H8526" i="1"/>
  <c r="H8518" i="1"/>
  <c r="H8510" i="1"/>
  <c r="H8494" i="1"/>
  <c r="H8486" i="1"/>
  <c r="H8478" i="1"/>
  <c r="H8470" i="1"/>
  <c r="H8454" i="1"/>
  <c r="H8446" i="1"/>
  <c r="H8430" i="1"/>
  <c r="H8414" i="1"/>
  <c r="H8406" i="1"/>
  <c r="H8390" i="1"/>
  <c r="H8382" i="1"/>
  <c r="H8366" i="1"/>
  <c r="H8358" i="1"/>
  <c r="H8350" i="1"/>
  <c r="H8342" i="1"/>
  <c r="H8326" i="1"/>
  <c r="H8318" i="1"/>
  <c r="H8310" i="1"/>
  <c r="H8302" i="1"/>
  <c r="H8286" i="1"/>
  <c r="H8278" i="1"/>
  <c r="H8262" i="1"/>
  <c r="H8254" i="1"/>
  <c r="H8238" i="1"/>
  <c r="H8222" i="1"/>
  <c r="H8214" i="1"/>
  <c r="H8206" i="1"/>
  <c r="H8198" i="1"/>
  <c r="H8190" i="1"/>
  <c r="H8182" i="1"/>
  <c r="H8174" i="1"/>
  <c r="H8158" i="1"/>
  <c r="H8150" i="1"/>
  <c r="H8142" i="1"/>
  <c r="H8134" i="1"/>
  <c r="H8126" i="1"/>
  <c r="H8118" i="1"/>
  <c r="H8110" i="1"/>
  <c r="H8094" i="1"/>
  <c r="H8086" i="1"/>
  <c r="H8078" i="1"/>
  <c r="H8070" i="1"/>
  <c r="H8062" i="1"/>
  <c r="H8054" i="1"/>
  <c r="H8046" i="1"/>
  <c r="H8038" i="1"/>
  <c r="H8030" i="1"/>
  <c r="H8022" i="1"/>
  <c r="H8014" i="1"/>
  <c r="H8006" i="1"/>
  <c r="H7998" i="1"/>
  <c r="H7990" i="1"/>
  <c r="H7982" i="1"/>
  <c r="H7974" i="1"/>
  <c r="H7966" i="1"/>
  <c r="H7958" i="1"/>
  <c r="H7950" i="1"/>
  <c r="H7942" i="1"/>
  <c r="H7934" i="1"/>
  <c r="H7926" i="1"/>
  <c r="H7918" i="1"/>
  <c r="H7910" i="1"/>
  <c r="H7902" i="1"/>
  <c r="H7894" i="1"/>
  <c r="H7886" i="1"/>
  <c r="H7878" i="1"/>
  <c r="H7870" i="1"/>
  <c r="H7862" i="1"/>
  <c r="H7854" i="1"/>
  <c r="H7825" i="1"/>
  <c r="H7761" i="1"/>
  <c r="H7697" i="1"/>
  <c r="H7633" i="1"/>
  <c r="H7569" i="1"/>
  <c r="H7505" i="1"/>
  <c r="H7441" i="1"/>
  <c r="H7377" i="1"/>
  <c r="H7313" i="1"/>
  <c r="H7249" i="1"/>
  <c r="H7185" i="1"/>
  <c r="H7121" i="1"/>
  <c r="H7057" i="1"/>
  <c r="H6993" i="1"/>
  <c r="H6929" i="1"/>
  <c r="H6865" i="1"/>
  <c r="H6801" i="1"/>
  <c r="H6737" i="1"/>
  <c r="H6673" i="1"/>
  <c r="H6609" i="1"/>
  <c r="H6545" i="1"/>
  <c r="H6481" i="1"/>
  <c r="H6417" i="1"/>
  <c r="H6353" i="1"/>
  <c r="H6289" i="1"/>
  <c r="H6225" i="1"/>
  <c r="H6161" i="1"/>
  <c r="H6097" i="1"/>
  <c r="H6033" i="1"/>
  <c r="H5969" i="1"/>
  <c r="H5905" i="1"/>
  <c r="H5841" i="1"/>
  <c r="H5777" i="1"/>
  <c r="H5713" i="1"/>
  <c r="H5649" i="1"/>
  <c r="H5585" i="1"/>
  <c r="H5521" i="1"/>
  <c r="H5457" i="1"/>
  <c r="H5393" i="1"/>
  <c r="H5329" i="1"/>
  <c r="H5265" i="1"/>
  <c r="H5201" i="1"/>
  <c r="H5137" i="1"/>
  <c r="H5073" i="1"/>
  <c r="H5009" i="1"/>
  <c r="H4945" i="1"/>
  <c r="H4881" i="1"/>
  <c r="H4817" i="1"/>
  <c r="H4753" i="1"/>
  <c r="H4689" i="1"/>
  <c r="H4625" i="1"/>
  <c r="H4561" i="1"/>
  <c r="H4497" i="1"/>
  <c r="H4433" i="1"/>
  <c r="H4369" i="1"/>
  <c r="H4305" i="1"/>
  <c r="H4241" i="1"/>
  <c r="H4177" i="1"/>
  <c r="H4113" i="1"/>
  <c r="H4049" i="1"/>
  <c r="H3985" i="1"/>
  <c r="H3921" i="1"/>
  <c r="H3857" i="1"/>
  <c r="H3793" i="1"/>
  <c r="H3729" i="1"/>
  <c r="H3665" i="1"/>
  <c r="H3601" i="1"/>
  <c r="H3537" i="1"/>
  <c r="H3473" i="1"/>
  <c r="H3409" i="1"/>
  <c r="H3345" i="1"/>
  <c r="H3281" i="1"/>
  <c r="H3217" i="1"/>
  <c r="H3153" i="1"/>
  <c r="H3078" i="1"/>
  <c r="H2907" i="1"/>
  <c r="H2737" i="1"/>
  <c r="H2395" i="1"/>
  <c r="H2225" i="1"/>
  <c r="H2054" i="1"/>
  <c r="H1811" i="1"/>
  <c r="H1555" i="1"/>
  <c r="H1299" i="1"/>
  <c r="H535" i="1"/>
  <c r="I94" i="1"/>
  <c r="H94" i="1"/>
  <c r="I46" i="1"/>
  <c r="H46" i="1"/>
  <c r="I108" i="1"/>
  <c r="H108" i="1"/>
  <c r="I265" i="1"/>
  <c r="H265" i="1"/>
  <c r="I217" i="1"/>
  <c r="H217" i="1"/>
  <c r="I169" i="1"/>
  <c r="H169" i="1"/>
  <c r="I153" i="1"/>
  <c r="H153" i="1"/>
  <c r="E9980" i="1"/>
  <c r="I9980" i="1"/>
  <c r="F9932" i="1"/>
  <c r="I9932" i="1"/>
  <c r="F9884" i="1"/>
  <c r="I9884" i="1"/>
  <c r="E9836" i="1"/>
  <c r="I9836" i="1"/>
  <c r="E9788" i="1"/>
  <c r="I9788" i="1"/>
  <c r="F9740" i="1"/>
  <c r="I9740" i="1"/>
  <c r="E9700" i="1"/>
  <c r="I9700" i="1"/>
  <c r="E9684" i="1"/>
  <c r="I9684" i="1"/>
  <c r="E9620" i="1"/>
  <c r="I9620" i="1"/>
  <c r="E9572" i="1"/>
  <c r="I9572" i="1"/>
  <c r="E9540" i="1"/>
  <c r="I9540" i="1"/>
  <c r="E9508" i="1"/>
  <c r="I9508" i="1"/>
  <c r="E9476" i="1"/>
  <c r="I9476" i="1"/>
  <c r="F9420" i="1"/>
  <c r="I9420" i="1"/>
  <c r="E9388" i="1"/>
  <c r="I9388" i="1"/>
  <c r="F9356" i="1"/>
  <c r="I9356" i="1"/>
  <c r="E9316" i="1"/>
  <c r="I9316" i="1"/>
  <c r="E9268" i="1"/>
  <c r="I9268" i="1"/>
  <c r="F9228" i="1"/>
  <c r="I9228" i="1"/>
  <c r="E9188" i="1"/>
  <c r="I9188" i="1"/>
  <c r="E9148" i="1"/>
  <c r="I9148" i="1"/>
  <c r="E9108" i="1"/>
  <c r="I9108" i="1"/>
  <c r="F9076" i="1"/>
  <c r="I9076" i="1"/>
  <c r="F9036" i="1"/>
  <c r="I9036" i="1"/>
  <c r="E9020" i="1"/>
  <c r="I9020" i="1"/>
  <c r="E8980" i="1"/>
  <c r="I8980" i="1"/>
  <c r="E8932" i="1"/>
  <c r="I8932" i="1"/>
  <c r="E8892" i="1"/>
  <c r="I8892" i="1"/>
  <c r="E8852" i="1"/>
  <c r="I8852" i="1"/>
  <c r="E8812" i="1"/>
  <c r="I8812" i="1"/>
  <c r="E8772" i="1"/>
  <c r="I8772" i="1"/>
  <c r="F8732" i="1"/>
  <c r="I8732" i="1"/>
  <c r="F8692" i="1"/>
  <c r="I8692" i="1"/>
  <c r="E8644" i="1"/>
  <c r="I8644" i="1"/>
  <c r="E8612" i="1"/>
  <c r="I8612" i="1"/>
  <c r="E8588" i="1"/>
  <c r="I8588" i="1"/>
  <c r="E8548" i="1"/>
  <c r="I8548" i="1"/>
  <c r="E8516" i="1"/>
  <c r="I8516" i="1"/>
  <c r="E8428" i="1"/>
  <c r="I8428" i="1"/>
  <c r="F8396" i="1"/>
  <c r="I8396" i="1"/>
  <c r="E8364" i="1"/>
  <c r="I8364" i="1"/>
  <c r="F8332" i="1"/>
  <c r="I8332" i="1"/>
  <c r="E8300" i="1"/>
  <c r="I8300" i="1"/>
  <c r="E8228" i="1"/>
  <c r="I8228" i="1"/>
  <c r="E8180" i="1"/>
  <c r="I8180" i="1"/>
  <c r="E8132" i="1"/>
  <c r="I8132" i="1"/>
  <c r="E8100" i="1"/>
  <c r="I8100" i="1"/>
  <c r="E8060" i="1"/>
  <c r="I8060" i="1"/>
  <c r="E8012" i="1"/>
  <c r="I8012" i="1"/>
  <c r="E7964" i="1"/>
  <c r="I7964" i="1"/>
  <c r="E7812" i="1"/>
  <c r="I7812" i="1"/>
  <c r="H7812" i="1"/>
  <c r="E7764" i="1"/>
  <c r="I7764" i="1"/>
  <c r="H7764" i="1"/>
  <c r="E7716" i="1"/>
  <c r="I7716" i="1"/>
  <c r="H7716" i="1"/>
  <c r="E7668" i="1"/>
  <c r="I7668" i="1"/>
  <c r="H7668" i="1"/>
  <c r="E7620" i="1"/>
  <c r="I7620" i="1"/>
  <c r="H7620" i="1"/>
  <c r="E7572" i="1"/>
  <c r="I7572" i="1"/>
  <c r="H7572" i="1"/>
  <c r="E7524" i="1"/>
  <c r="I7524" i="1"/>
  <c r="H7524" i="1"/>
  <c r="E7484" i="1"/>
  <c r="I7484" i="1"/>
  <c r="H7484" i="1"/>
  <c r="E7428" i="1"/>
  <c r="I7428" i="1"/>
  <c r="H7428" i="1"/>
  <c r="E7380" i="1"/>
  <c r="I7380" i="1"/>
  <c r="H7380" i="1"/>
  <c r="E7332" i="1"/>
  <c r="I7332" i="1"/>
  <c r="H7332" i="1"/>
  <c r="E7292" i="1"/>
  <c r="I7292" i="1"/>
  <c r="H7292" i="1"/>
  <c r="E7236" i="1"/>
  <c r="I7236" i="1"/>
  <c r="H7236" i="1"/>
  <c r="E7188" i="1"/>
  <c r="I7188" i="1"/>
  <c r="H7188" i="1"/>
  <c r="E7124" i="1"/>
  <c r="I7124" i="1"/>
  <c r="H7124" i="1"/>
  <c r="E7076" i="1"/>
  <c r="I7076" i="1"/>
  <c r="H7076" i="1"/>
  <c r="E7028" i="1"/>
  <c r="I7028" i="1"/>
  <c r="H7028" i="1"/>
  <c r="I6988" i="1"/>
  <c r="H6988" i="1"/>
  <c r="E6948" i="1"/>
  <c r="I6948" i="1"/>
  <c r="H6948" i="1"/>
  <c r="E6908" i="1"/>
  <c r="I6908" i="1"/>
  <c r="H6908" i="1"/>
  <c r="I6860" i="1"/>
  <c r="H6860" i="1"/>
  <c r="E6812" i="1"/>
  <c r="I6812" i="1"/>
  <c r="H6812" i="1"/>
  <c r="E6772" i="1"/>
  <c r="I6772" i="1"/>
  <c r="H6772" i="1"/>
  <c r="I6732" i="1"/>
  <c r="H6732" i="1"/>
  <c r="I6700" i="1"/>
  <c r="H6700" i="1"/>
  <c r="E6668" i="1"/>
  <c r="I6668" i="1"/>
  <c r="H6668" i="1"/>
  <c r="E6628" i="1"/>
  <c r="I6628" i="1"/>
  <c r="H6628" i="1"/>
  <c r="I6580" i="1"/>
  <c r="H6580" i="1"/>
  <c r="E6532" i="1"/>
  <c r="I6532" i="1"/>
  <c r="H6532" i="1"/>
  <c r="E6492" i="1"/>
  <c r="I6492" i="1"/>
  <c r="H6492" i="1"/>
  <c r="E6460" i="1"/>
  <c r="I6460" i="1"/>
  <c r="H6460" i="1"/>
  <c r="E6404" i="1"/>
  <c r="I6404" i="1"/>
  <c r="H6404" i="1"/>
  <c r="E6340" i="1"/>
  <c r="I6340" i="1"/>
  <c r="H6340" i="1"/>
  <c r="I6292" i="1"/>
  <c r="H6292" i="1"/>
  <c r="E6244" i="1"/>
  <c r="I6244" i="1"/>
  <c r="H6244" i="1"/>
  <c r="I6196" i="1"/>
  <c r="H6196" i="1"/>
  <c r="E6156" i="1"/>
  <c r="I6156" i="1"/>
  <c r="H6156" i="1"/>
  <c r="E6116" i="1"/>
  <c r="I6116" i="1"/>
  <c r="H6116" i="1"/>
  <c r="I6068" i="1"/>
  <c r="H6068" i="1"/>
  <c r="E6012" i="1"/>
  <c r="I6012" i="1"/>
  <c r="H6012" i="1"/>
  <c r="E5956" i="1"/>
  <c r="I5956" i="1"/>
  <c r="H5956" i="1"/>
  <c r="E5900" i="1"/>
  <c r="I5900" i="1"/>
  <c r="H5900" i="1"/>
  <c r="E5844" i="1"/>
  <c r="I5844" i="1"/>
  <c r="H5844" i="1"/>
  <c r="E5788" i="1"/>
  <c r="I5788" i="1"/>
  <c r="H5788" i="1"/>
  <c r="E5732" i="1"/>
  <c r="I5732" i="1"/>
  <c r="H5732" i="1"/>
  <c r="I5676" i="1"/>
  <c r="H5676" i="1"/>
  <c r="I5620" i="1"/>
  <c r="H5620" i="1"/>
  <c r="E5564" i="1"/>
  <c r="I5564" i="1"/>
  <c r="H5564" i="1"/>
  <c r="E5508" i="1"/>
  <c r="I5508" i="1"/>
  <c r="H5508" i="1"/>
  <c r="I5452" i="1"/>
  <c r="H5452" i="1"/>
  <c r="I5396" i="1"/>
  <c r="H5396" i="1"/>
  <c r="E5340" i="1"/>
  <c r="I5340" i="1"/>
  <c r="H5340" i="1"/>
  <c r="I5292" i="1"/>
  <c r="H5292" i="1"/>
  <c r="I5228" i="1"/>
  <c r="H5228" i="1"/>
  <c r="I5172" i="1"/>
  <c r="H5172" i="1"/>
  <c r="E5116" i="1"/>
  <c r="I5116" i="1"/>
  <c r="H5116" i="1"/>
  <c r="E5060" i="1"/>
  <c r="I5060" i="1"/>
  <c r="H5060" i="1"/>
  <c r="E5004" i="1"/>
  <c r="I5004" i="1"/>
  <c r="H5004" i="1"/>
  <c r="E4956" i="1"/>
  <c r="I4956" i="1"/>
  <c r="H4956" i="1"/>
  <c r="E4900" i="1"/>
  <c r="I4900" i="1"/>
  <c r="H4900" i="1"/>
  <c r="I4836" i="1"/>
  <c r="H4836" i="1"/>
  <c r="E4780" i="1"/>
  <c r="I4780" i="1"/>
  <c r="H4780" i="1"/>
  <c r="E4724" i="1"/>
  <c r="I4724" i="1"/>
  <c r="H4724" i="1"/>
  <c r="E4668" i="1"/>
  <c r="I4668" i="1"/>
  <c r="H4668" i="1"/>
  <c r="E4612" i="1"/>
  <c r="I4612" i="1"/>
  <c r="H4612" i="1"/>
  <c r="E4556" i="1"/>
  <c r="I4556" i="1"/>
  <c r="H4556" i="1"/>
  <c r="E4516" i="1"/>
  <c r="I4516" i="1"/>
  <c r="H4516" i="1"/>
  <c r="E4460" i="1"/>
  <c r="I4460" i="1"/>
  <c r="H4460" i="1"/>
  <c r="E4412" i="1"/>
  <c r="I4412" i="1"/>
  <c r="H4412" i="1"/>
  <c r="I4356" i="1"/>
  <c r="H4356" i="1"/>
  <c r="I4316" i="1"/>
  <c r="H4316" i="1"/>
  <c r="E4268" i="1"/>
  <c r="I4268" i="1"/>
  <c r="H4268" i="1"/>
  <c r="I4220" i="1"/>
  <c r="H4220" i="1"/>
  <c r="E4180" i="1"/>
  <c r="I4180" i="1"/>
  <c r="H4180" i="1"/>
  <c r="I4124" i="1"/>
  <c r="H4124" i="1"/>
  <c r="E4076" i="1"/>
  <c r="I4076" i="1"/>
  <c r="H4076" i="1"/>
  <c r="I4028" i="1"/>
  <c r="H4028" i="1"/>
  <c r="I4004" i="1"/>
  <c r="H4004" i="1"/>
  <c r="E3956" i="1"/>
  <c r="I3956" i="1"/>
  <c r="H3956" i="1"/>
  <c r="I3908" i="1"/>
  <c r="H3908" i="1"/>
  <c r="E3860" i="1"/>
  <c r="I3860" i="1"/>
  <c r="H3860" i="1"/>
  <c r="E3828" i="1"/>
  <c r="I3828" i="1"/>
  <c r="H3828" i="1"/>
  <c r="I3780" i="1"/>
  <c r="H3780" i="1"/>
  <c r="I3740" i="1"/>
  <c r="H3740" i="1"/>
  <c r="E3692" i="1"/>
  <c r="I3692" i="1"/>
  <c r="H3692" i="1"/>
  <c r="I3644" i="1"/>
  <c r="H3644" i="1"/>
  <c r="I3588" i="1"/>
  <c r="H3588" i="1"/>
  <c r="E3540" i="1"/>
  <c r="I3540" i="1"/>
  <c r="H3540" i="1"/>
  <c r="I3492" i="1"/>
  <c r="H3492" i="1"/>
  <c r="E3444" i="1"/>
  <c r="I3444" i="1"/>
  <c r="H3444" i="1"/>
  <c r="E3404" i="1"/>
  <c r="I3404" i="1"/>
  <c r="H3404" i="1"/>
  <c r="I3364" i="1"/>
  <c r="H3364" i="1"/>
  <c r="I3324" i="1"/>
  <c r="H3324" i="1"/>
  <c r="E3284" i="1"/>
  <c r="I3284" i="1"/>
  <c r="H3284" i="1"/>
  <c r="I3236" i="1"/>
  <c r="H3236" i="1"/>
  <c r="I3196" i="1"/>
  <c r="H3196" i="1"/>
  <c r="E3148" i="1"/>
  <c r="I3148" i="1"/>
  <c r="H3148" i="1"/>
  <c r="I3100" i="1"/>
  <c r="H3100" i="1"/>
  <c r="E3052" i="1"/>
  <c r="I3052" i="1"/>
  <c r="H3052" i="1"/>
  <c r="E2996" i="1"/>
  <c r="I2996" i="1"/>
  <c r="H2996" i="1"/>
  <c r="E2956" i="1"/>
  <c r="I2956" i="1"/>
  <c r="H2956" i="1"/>
  <c r="I2916" i="1"/>
  <c r="H2916" i="1"/>
  <c r="I2876" i="1"/>
  <c r="H2876" i="1"/>
  <c r="I2820" i="1"/>
  <c r="H2820" i="1"/>
  <c r="E2772" i="1"/>
  <c r="I2772" i="1"/>
  <c r="H2772" i="1"/>
  <c r="E2732" i="1"/>
  <c r="I2732" i="1"/>
  <c r="H2732" i="1"/>
  <c r="I2692" i="1"/>
  <c r="H2692" i="1"/>
  <c r="E2644" i="1"/>
  <c r="I2644" i="1"/>
  <c r="H2644" i="1"/>
  <c r="I2612" i="1"/>
  <c r="H2612" i="1"/>
  <c r="I2572" i="1"/>
  <c r="H2572" i="1"/>
  <c r="I2532" i="1"/>
  <c r="H2532" i="1"/>
  <c r="E2484" i="1"/>
  <c r="I2484" i="1"/>
  <c r="H2484" i="1"/>
  <c r="I2444" i="1"/>
  <c r="H2444" i="1"/>
  <c r="E2420" i="1"/>
  <c r="I2420" i="1"/>
  <c r="H2420" i="1"/>
  <c r="E2372" i="1"/>
  <c r="I2372" i="1"/>
  <c r="H2372" i="1"/>
  <c r="I2332" i="1"/>
  <c r="H2332" i="1"/>
  <c r="E2292" i="1"/>
  <c r="I2292" i="1"/>
  <c r="H2292" i="1"/>
  <c r="I2236" i="1"/>
  <c r="H2236" i="1"/>
  <c r="I2196" i="1"/>
  <c r="H2196" i="1"/>
  <c r="I2148" i="1"/>
  <c r="H2148" i="1"/>
  <c r="I2108" i="1"/>
  <c r="H2108" i="1"/>
  <c r="I2068" i="1"/>
  <c r="H2068" i="1"/>
  <c r="I2020" i="1"/>
  <c r="H2020" i="1"/>
  <c r="E1964" i="1"/>
  <c r="I1964" i="1"/>
  <c r="H1964" i="1"/>
  <c r="I1924" i="1"/>
  <c r="H1924" i="1"/>
  <c r="I1876" i="1"/>
  <c r="H1876" i="1"/>
  <c r="E1836" i="1"/>
  <c r="I1836" i="1"/>
  <c r="H1836" i="1"/>
  <c r="I1796" i="1"/>
  <c r="H1796" i="1"/>
  <c r="I1756" i="1"/>
  <c r="H1756" i="1"/>
  <c r="E1708" i="1"/>
  <c r="I1708" i="1"/>
  <c r="H1708" i="1"/>
  <c r="I1660" i="1"/>
  <c r="H1660" i="1"/>
  <c r="I1604" i="1"/>
  <c r="H1604" i="1"/>
  <c r="I1556" i="1"/>
  <c r="H1556" i="1"/>
  <c r="I1500" i="1"/>
  <c r="H1500" i="1"/>
  <c r="E1452" i="1"/>
  <c r="I1452" i="1"/>
  <c r="H1452" i="1"/>
  <c r="I1404" i="1"/>
  <c r="H1404" i="1"/>
  <c r="I1364" i="1"/>
  <c r="H1364" i="1"/>
  <c r="I1316" i="1"/>
  <c r="H1316" i="1"/>
  <c r="I1268" i="1"/>
  <c r="H1268" i="1"/>
  <c r="I1220" i="1"/>
  <c r="H1220" i="1"/>
  <c r="I1148" i="1"/>
  <c r="H1148" i="1"/>
  <c r="E1100" i="1"/>
  <c r="I1100" i="1"/>
  <c r="H1100" i="1"/>
  <c r="I1052" i="1"/>
  <c r="H1052" i="1"/>
  <c r="E1004" i="1"/>
  <c r="I1004" i="1"/>
  <c r="H1004" i="1"/>
  <c r="I956" i="1"/>
  <c r="H956" i="1"/>
  <c r="E908" i="1"/>
  <c r="I908" i="1"/>
  <c r="H908" i="1"/>
  <c r="I860" i="1"/>
  <c r="H860" i="1"/>
  <c r="I796" i="1"/>
  <c r="H796" i="1"/>
  <c r="E748" i="1"/>
  <c r="I748" i="1"/>
  <c r="H748" i="1"/>
  <c r="I700" i="1"/>
  <c r="H700" i="1"/>
  <c r="I644" i="1"/>
  <c r="H644" i="1"/>
  <c r="I604" i="1"/>
  <c r="H604" i="1"/>
  <c r="E556" i="1"/>
  <c r="I556" i="1"/>
  <c r="H556" i="1"/>
  <c r="I508" i="1"/>
  <c r="H508" i="1"/>
  <c r="E460" i="1"/>
  <c r="I460" i="1"/>
  <c r="H460" i="1"/>
  <c r="I412" i="1"/>
  <c r="H412" i="1"/>
  <c r="E372" i="1"/>
  <c r="I372" i="1"/>
  <c r="H372" i="1"/>
  <c r="I316" i="1"/>
  <c r="H316" i="1"/>
  <c r="I100" i="1"/>
  <c r="H100" i="1"/>
  <c r="I92" i="1"/>
  <c r="H92" i="1"/>
  <c r="I84" i="1"/>
  <c r="H84" i="1"/>
  <c r="I76" i="1"/>
  <c r="H76" i="1"/>
  <c r="I68" i="1"/>
  <c r="H68" i="1"/>
  <c r="I60" i="1"/>
  <c r="H60" i="1"/>
  <c r="I52" i="1"/>
  <c r="H52" i="1"/>
  <c r="I44" i="1"/>
  <c r="H44" i="1"/>
  <c r="I36" i="1"/>
  <c r="H36" i="1"/>
  <c r="I28" i="1"/>
  <c r="H28" i="1"/>
  <c r="I20" i="1"/>
  <c r="H20" i="1"/>
  <c r="I12" i="1"/>
  <c r="H12" i="1"/>
  <c r="I106" i="1"/>
  <c r="H106" i="1"/>
  <c r="I295" i="1"/>
  <c r="H295" i="1"/>
  <c r="E287" i="1"/>
  <c r="I287" i="1"/>
  <c r="H287" i="1"/>
  <c r="E279" i="1"/>
  <c r="I279" i="1"/>
  <c r="E271" i="1"/>
  <c r="I271" i="1"/>
  <c r="H271" i="1"/>
  <c r="I263" i="1"/>
  <c r="H263" i="1"/>
  <c r="E255" i="1"/>
  <c r="I255" i="1"/>
  <c r="H255" i="1"/>
  <c r="I247" i="1"/>
  <c r="H247" i="1"/>
  <c r="I239" i="1"/>
  <c r="H239" i="1"/>
  <c r="I231" i="1"/>
  <c r="H231" i="1"/>
  <c r="I223" i="1"/>
  <c r="H223" i="1"/>
  <c r="E215" i="1"/>
  <c r="I215" i="1"/>
  <c r="H215" i="1"/>
  <c r="E207" i="1"/>
  <c r="I207" i="1"/>
  <c r="H207" i="1"/>
  <c r="I199" i="1"/>
  <c r="H199" i="1"/>
  <c r="I191" i="1"/>
  <c r="H191" i="1"/>
  <c r="E183" i="1"/>
  <c r="I183" i="1"/>
  <c r="H183" i="1"/>
  <c r="I175" i="1"/>
  <c r="H175" i="1"/>
  <c r="E167" i="1"/>
  <c r="I167" i="1"/>
  <c r="H167" i="1"/>
  <c r="I159" i="1"/>
  <c r="H159" i="1"/>
  <c r="I151" i="1"/>
  <c r="H151" i="1"/>
  <c r="I143" i="1"/>
  <c r="H143" i="1"/>
  <c r="E135" i="1"/>
  <c r="I135" i="1"/>
  <c r="H135" i="1"/>
  <c r="I127" i="1"/>
  <c r="H127" i="1"/>
  <c r="I119" i="1"/>
  <c r="H119" i="1"/>
  <c r="E111" i="1"/>
  <c r="I111" i="1"/>
  <c r="H111" i="1"/>
  <c r="E8116" i="1"/>
  <c r="E6700" i="1"/>
  <c r="E6068" i="1"/>
  <c r="E5300" i="1"/>
  <c r="E5172" i="1"/>
  <c r="E4964" i="1"/>
  <c r="E4732" i="1"/>
  <c r="E4060" i="1"/>
  <c r="E4004" i="1"/>
  <c r="E3964" i="1"/>
  <c r="E3908" i="1"/>
  <c r="E3780" i="1"/>
  <c r="E3740" i="1"/>
  <c r="E3420" i="1"/>
  <c r="E3364" i="1"/>
  <c r="E3228" i="1"/>
  <c r="E2228" i="1"/>
  <c r="E1844" i="1"/>
  <c r="E1780" i="1"/>
  <c r="E1652" i="1"/>
  <c r="E1588" i="1"/>
  <c r="E1396" i="1"/>
  <c r="E572" i="1"/>
  <c r="E316" i="1"/>
  <c r="I7842" i="1"/>
  <c r="H7842" i="1"/>
  <c r="I7834" i="1"/>
  <c r="H7834" i="1"/>
  <c r="I7826" i="1"/>
  <c r="H7826" i="1"/>
  <c r="I7818" i="1"/>
  <c r="H7818" i="1"/>
  <c r="I7810" i="1"/>
  <c r="H7810" i="1"/>
  <c r="I7802" i="1"/>
  <c r="H7802" i="1"/>
  <c r="I7794" i="1"/>
  <c r="H7794" i="1"/>
  <c r="I7786" i="1"/>
  <c r="H7786" i="1"/>
  <c r="I7778" i="1"/>
  <c r="H7778" i="1"/>
  <c r="I7770" i="1"/>
  <c r="H7770" i="1"/>
  <c r="I7762" i="1"/>
  <c r="H7762" i="1"/>
  <c r="I7754" i="1"/>
  <c r="H7754" i="1"/>
  <c r="I7746" i="1"/>
  <c r="H7746" i="1"/>
  <c r="I7738" i="1"/>
  <c r="H7738" i="1"/>
  <c r="I7730" i="1"/>
  <c r="H7730" i="1"/>
  <c r="I7722" i="1"/>
  <c r="H7722" i="1"/>
  <c r="I7714" i="1"/>
  <c r="H7714" i="1"/>
  <c r="I7706" i="1"/>
  <c r="H7706" i="1"/>
  <c r="I7698" i="1"/>
  <c r="H7698" i="1"/>
  <c r="I7690" i="1"/>
  <c r="H7690" i="1"/>
  <c r="I7682" i="1"/>
  <c r="H7682" i="1"/>
  <c r="I7674" i="1"/>
  <c r="H7674" i="1"/>
  <c r="I7666" i="1"/>
  <c r="H7666" i="1"/>
  <c r="I7658" i="1"/>
  <c r="H7658" i="1"/>
  <c r="I7650" i="1"/>
  <c r="H7650" i="1"/>
  <c r="I7642" i="1"/>
  <c r="H7642" i="1"/>
  <c r="I7634" i="1"/>
  <c r="H7634" i="1"/>
  <c r="I7626" i="1"/>
  <c r="H7626" i="1"/>
  <c r="I7618" i="1"/>
  <c r="H7618" i="1"/>
  <c r="I7610" i="1"/>
  <c r="H7610" i="1"/>
  <c r="I7602" i="1"/>
  <c r="H7602" i="1"/>
  <c r="I7594" i="1"/>
  <c r="H7594" i="1"/>
  <c r="I7586" i="1"/>
  <c r="H7586" i="1"/>
  <c r="I7578" i="1"/>
  <c r="H7578" i="1"/>
  <c r="I7570" i="1"/>
  <c r="H7570" i="1"/>
  <c r="I7562" i="1"/>
  <c r="H7562" i="1"/>
  <c r="I7554" i="1"/>
  <c r="H7554" i="1"/>
  <c r="I7546" i="1"/>
  <c r="H7546" i="1"/>
  <c r="I7538" i="1"/>
  <c r="H7538" i="1"/>
  <c r="I7530" i="1"/>
  <c r="H7530" i="1"/>
  <c r="I7522" i="1"/>
  <c r="H7522" i="1"/>
  <c r="I7514" i="1"/>
  <c r="H7514" i="1"/>
  <c r="I7506" i="1"/>
  <c r="H7506" i="1"/>
  <c r="I7498" i="1"/>
  <c r="H7498" i="1"/>
  <c r="I7490" i="1"/>
  <c r="H7490" i="1"/>
  <c r="I7482" i="1"/>
  <c r="H7482" i="1"/>
  <c r="I7474" i="1"/>
  <c r="H7474" i="1"/>
  <c r="I7466" i="1"/>
  <c r="H7466" i="1"/>
  <c r="I7458" i="1"/>
  <c r="H7458" i="1"/>
  <c r="I7450" i="1"/>
  <c r="H7450" i="1"/>
  <c r="I7442" i="1"/>
  <c r="H7442" i="1"/>
  <c r="I7434" i="1"/>
  <c r="H7434" i="1"/>
  <c r="I7426" i="1"/>
  <c r="H7426" i="1"/>
  <c r="I7418" i="1"/>
  <c r="H7418" i="1"/>
  <c r="I7410" i="1"/>
  <c r="H7410" i="1"/>
  <c r="I7402" i="1"/>
  <c r="H7402" i="1"/>
  <c r="I7394" i="1"/>
  <c r="H7394" i="1"/>
  <c r="I7386" i="1"/>
  <c r="H7386" i="1"/>
  <c r="I7378" i="1"/>
  <c r="H7378" i="1"/>
  <c r="I7370" i="1"/>
  <c r="H7370" i="1"/>
  <c r="I7362" i="1"/>
  <c r="H7362" i="1"/>
  <c r="I7354" i="1"/>
  <c r="H7354" i="1"/>
  <c r="I7346" i="1"/>
  <c r="H7346" i="1"/>
  <c r="I7338" i="1"/>
  <c r="H7338" i="1"/>
  <c r="I7330" i="1"/>
  <c r="H7330" i="1"/>
  <c r="I7322" i="1"/>
  <c r="H7322" i="1"/>
  <c r="I7314" i="1"/>
  <c r="H7314" i="1"/>
  <c r="I7306" i="1"/>
  <c r="H7306" i="1"/>
  <c r="I7298" i="1"/>
  <c r="H7298" i="1"/>
  <c r="I7290" i="1"/>
  <c r="H7290" i="1"/>
  <c r="I7282" i="1"/>
  <c r="H7282" i="1"/>
  <c r="I7274" i="1"/>
  <c r="H7274" i="1"/>
  <c r="I7266" i="1"/>
  <c r="H7266" i="1"/>
  <c r="I7258" i="1"/>
  <c r="H7258" i="1"/>
  <c r="I7250" i="1"/>
  <c r="H7250" i="1"/>
  <c r="I7242" i="1"/>
  <c r="H7242" i="1"/>
  <c r="I7234" i="1"/>
  <c r="H7234" i="1"/>
  <c r="I7226" i="1"/>
  <c r="H7226" i="1"/>
  <c r="I7218" i="1"/>
  <c r="H7218" i="1"/>
  <c r="I7210" i="1"/>
  <c r="H7210" i="1"/>
  <c r="I7202" i="1"/>
  <c r="H7202" i="1"/>
  <c r="I7194" i="1"/>
  <c r="H7194" i="1"/>
  <c r="I7186" i="1"/>
  <c r="H7186" i="1"/>
  <c r="I7178" i="1"/>
  <c r="H7178" i="1"/>
  <c r="I7170" i="1"/>
  <c r="H7170" i="1"/>
  <c r="I7162" i="1"/>
  <c r="H7162" i="1"/>
  <c r="I7154" i="1"/>
  <c r="H7154" i="1"/>
  <c r="I7146" i="1"/>
  <c r="H7146" i="1"/>
  <c r="I7138" i="1"/>
  <c r="H7138" i="1"/>
  <c r="I7130" i="1"/>
  <c r="H7130" i="1"/>
  <c r="I7122" i="1"/>
  <c r="H7122" i="1"/>
  <c r="I7114" i="1"/>
  <c r="H7114" i="1"/>
  <c r="I7106" i="1"/>
  <c r="H7106" i="1"/>
  <c r="I7098" i="1"/>
  <c r="H7098" i="1"/>
  <c r="I7090" i="1"/>
  <c r="H7090" i="1"/>
  <c r="I7082" i="1"/>
  <c r="H7082" i="1"/>
  <c r="I7074" i="1"/>
  <c r="H7074" i="1"/>
  <c r="I7066" i="1"/>
  <c r="H7066" i="1"/>
  <c r="I7058" i="1"/>
  <c r="H7058" i="1"/>
  <c r="I7050" i="1"/>
  <c r="H7050" i="1"/>
  <c r="I7042" i="1"/>
  <c r="H7042" i="1"/>
  <c r="I7034" i="1"/>
  <c r="H7034" i="1"/>
  <c r="I7026" i="1"/>
  <c r="H7026" i="1"/>
  <c r="I7018" i="1"/>
  <c r="H7018" i="1"/>
  <c r="I7010" i="1"/>
  <c r="H7010" i="1"/>
  <c r="I7002" i="1"/>
  <c r="H7002" i="1"/>
  <c r="I6994" i="1"/>
  <c r="H6994" i="1"/>
  <c r="I6986" i="1"/>
  <c r="H6986" i="1"/>
  <c r="I6978" i="1"/>
  <c r="H6978" i="1"/>
  <c r="I6970" i="1"/>
  <c r="H6970" i="1"/>
  <c r="I6962" i="1"/>
  <c r="H6962" i="1"/>
  <c r="I6954" i="1"/>
  <c r="H6954" i="1"/>
  <c r="I6946" i="1"/>
  <c r="H6946" i="1"/>
  <c r="I6938" i="1"/>
  <c r="H6938" i="1"/>
  <c r="I6930" i="1"/>
  <c r="H6930" i="1"/>
  <c r="I6922" i="1"/>
  <c r="H6922" i="1"/>
  <c r="I6914" i="1"/>
  <c r="H6914" i="1"/>
  <c r="I6906" i="1"/>
  <c r="H6906" i="1"/>
  <c r="I6898" i="1"/>
  <c r="H6898" i="1"/>
  <c r="I6890" i="1"/>
  <c r="H6890" i="1"/>
  <c r="I6882" i="1"/>
  <c r="H6882" i="1"/>
  <c r="I6874" i="1"/>
  <c r="H6874" i="1"/>
  <c r="I6866" i="1"/>
  <c r="H6866" i="1"/>
  <c r="I6858" i="1"/>
  <c r="H6858" i="1"/>
  <c r="I6850" i="1"/>
  <c r="H6850" i="1"/>
  <c r="I6842" i="1"/>
  <c r="H6842" i="1"/>
  <c r="I6834" i="1"/>
  <c r="H6834" i="1"/>
  <c r="I6826" i="1"/>
  <c r="H6826" i="1"/>
  <c r="I6818" i="1"/>
  <c r="H6818" i="1"/>
  <c r="I6810" i="1"/>
  <c r="H6810" i="1"/>
  <c r="I6802" i="1"/>
  <c r="H6802" i="1"/>
  <c r="I6794" i="1"/>
  <c r="H6794" i="1"/>
  <c r="I6786" i="1"/>
  <c r="H6786" i="1"/>
  <c r="I6778" i="1"/>
  <c r="H6778" i="1"/>
  <c r="I6770" i="1"/>
  <c r="H6770" i="1"/>
  <c r="I6762" i="1"/>
  <c r="H6762" i="1"/>
  <c r="I6754" i="1"/>
  <c r="H6754" i="1"/>
  <c r="I6746" i="1"/>
  <c r="H6746" i="1"/>
  <c r="I6738" i="1"/>
  <c r="H6738" i="1"/>
  <c r="I6730" i="1"/>
  <c r="H6730" i="1"/>
  <c r="I6722" i="1"/>
  <c r="H6722" i="1"/>
  <c r="I6714" i="1"/>
  <c r="H6714" i="1"/>
  <c r="I6706" i="1"/>
  <c r="H6706" i="1"/>
  <c r="I6698" i="1"/>
  <c r="H6698" i="1"/>
  <c r="I6690" i="1"/>
  <c r="H6690" i="1"/>
  <c r="I6682" i="1"/>
  <c r="H6682" i="1"/>
  <c r="I6674" i="1"/>
  <c r="H6674" i="1"/>
  <c r="I6666" i="1"/>
  <c r="H6666" i="1"/>
  <c r="I6658" i="1"/>
  <c r="H6658" i="1"/>
  <c r="I6650" i="1"/>
  <c r="H6650" i="1"/>
  <c r="I6642" i="1"/>
  <c r="H6642" i="1"/>
  <c r="I6634" i="1"/>
  <c r="H6634" i="1"/>
  <c r="I6626" i="1"/>
  <c r="H6626" i="1"/>
  <c r="I6618" i="1"/>
  <c r="H6618" i="1"/>
  <c r="I6610" i="1"/>
  <c r="H6610" i="1"/>
  <c r="I6602" i="1"/>
  <c r="H6602" i="1"/>
  <c r="I6594" i="1"/>
  <c r="H6594" i="1"/>
  <c r="I6586" i="1"/>
  <c r="H6586" i="1"/>
  <c r="I6578" i="1"/>
  <c r="H6578" i="1"/>
  <c r="I6570" i="1"/>
  <c r="H6570" i="1"/>
  <c r="I6562" i="1"/>
  <c r="H6562" i="1"/>
  <c r="I6554" i="1"/>
  <c r="H6554" i="1"/>
  <c r="I6546" i="1"/>
  <c r="H6546" i="1"/>
  <c r="I6538" i="1"/>
  <c r="H6538" i="1"/>
  <c r="I6530" i="1"/>
  <c r="H6530" i="1"/>
  <c r="I6522" i="1"/>
  <c r="H6522" i="1"/>
  <c r="I6514" i="1"/>
  <c r="H6514" i="1"/>
  <c r="I6506" i="1"/>
  <c r="H6506" i="1"/>
  <c r="I6498" i="1"/>
  <c r="H6498" i="1"/>
  <c r="I6490" i="1"/>
  <c r="H6490" i="1"/>
  <c r="I6482" i="1"/>
  <c r="H6482" i="1"/>
  <c r="I6474" i="1"/>
  <c r="H6474" i="1"/>
  <c r="I6466" i="1"/>
  <c r="H6466" i="1"/>
  <c r="I6458" i="1"/>
  <c r="H6458" i="1"/>
  <c r="I6450" i="1"/>
  <c r="H6450" i="1"/>
  <c r="I6442" i="1"/>
  <c r="H6442" i="1"/>
  <c r="I6434" i="1"/>
  <c r="H6434" i="1"/>
  <c r="I6426" i="1"/>
  <c r="H6426" i="1"/>
  <c r="I6418" i="1"/>
  <c r="H6418" i="1"/>
  <c r="I6410" i="1"/>
  <c r="H6410" i="1"/>
  <c r="I6402" i="1"/>
  <c r="H6402" i="1"/>
  <c r="I6394" i="1"/>
  <c r="H6394" i="1"/>
  <c r="I6386" i="1"/>
  <c r="H6386" i="1"/>
  <c r="I6378" i="1"/>
  <c r="H6378" i="1"/>
  <c r="I6370" i="1"/>
  <c r="H6370" i="1"/>
  <c r="I6362" i="1"/>
  <c r="H6362" i="1"/>
  <c r="I6354" i="1"/>
  <c r="H6354" i="1"/>
  <c r="I6346" i="1"/>
  <c r="H6346" i="1"/>
  <c r="I6338" i="1"/>
  <c r="H6338" i="1"/>
  <c r="I6330" i="1"/>
  <c r="H6330" i="1"/>
  <c r="I6322" i="1"/>
  <c r="H6322" i="1"/>
  <c r="I6314" i="1"/>
  <c r="H6314" i="1"/>
  <c r="I6306" i="1"/>
  <c r="H6306" i="1"/>
  <c r="I6298" i="1"/>
  <c r="H6298" i="1"/>
  <c r="I6290" i="1"/>
  <c r="H6290" i="1"/>
  <c r="I6282" i="1"/>
  <c r="H6282" i="1"/>
  <c r="I6274" i="1"/>
  <c r="H6274" i="1"/>
  <c r="I6266" i="1"/>
  <c r="H6266" i="1"/>
  <c r="I6258" i="1"/>
  <c r="H6258" i="1"/>
  <c r="I6250" i="1"/>
  <c r="H6250" i="1"/>
  <c r="I6242" i="1"/>
  <c r="H6242" i="1"/>
  <c r="I6234" i="1"/>
  <c r="H6234" i="1"/>
  <c r="I6226" i="1"/>
  <c r="H6226" i="1"/>
  <c r="I6218" i="1"/>
  <c r="H6218" i="1"/>
  <c r="I6210" i="1"/>
  <c r="H6210" i="1"/>
  <c r="I6202" i="1"/>
  <c r="H6202" i="1"/>
  <c r="I6194" i="1"/>
  <c r="H6194" i="1"/>
  <c r="I6186" i="1"/>
  <c r="H6186" i="1"/>
  <c r="I6178" i="1"/>
  <c r="H6178" i="1"/>
  <c r="I6170" i="1"/>
  <c r="H6170" i="1"/>
  <c r="I6162" i="1"/>
  <c r="H6162" i="1"/>
  <c r="I6154" i="1"/>
  <c r="H6154" i="1"/>
  <c r="I6146" i="1"/>
  <c r="H6146" i="1"/>
  <c r="I6138" i="1"/>
  <c r="H6138" i="1"/>
  <c r="I6130" i="1"/>
  <c r="H6130" i="1"/>
  <c r="I6122" i="1"/>
  <c r="H6122" i="1"/>
  <c r="I6114" i="1"/>
  <c r="H6114" i="1"/>
  <c r="I6106" i="1"/>
  <c r="H6106" i="1"/>
  <c r="I6098" i="1"/>
  <c r="H6098" i="1"/>
  <c r="I6090" i="1"/>
  <c r="H6090" i="1"/>
  <c r="I6082" i="1"/>
  <c r="H6082" i="1"/>
  <c r="I6074" i="1"/>
  <c r="H6074" i="1"/>
  <c r="I6066" i="1"/>
  <c r="H6066" i="1"/>
  <c r="I6058" i="1"/>
  <c r="H6058" i="1"/>
  <c r="I6050" i="1"/>
  <c r="H6050" i="1"/>
  <c r="I6042" i="1"/>
  <c r="H6042" i="1"/>
  <c r="I6034" i="1"/>
  <c r="H6034" i="1"/>
  <c r="I6026" i="1"/>
  <c r="H6026" i="1"/>
  <c r="I6018" i="1"/>
  <c r="H6018" i="1"/>
  <c r="I6010" i="1"/>
  <c r="H6010" i="1"/>
  <c r="I6002" i="1"/>
  <c r="H6002" i="1"/>
  <c r="I5994" i="1"/>
  <c r="H5994" i="1"/>
  <c r="I5986" i="1"/>
  <c r="H5986" i="1"/>
  <c r="I5978" i="1"/>
  <c r="H5978" i="1"/>
  <c r="I5970" i="1"/>
  <c r="H5970" i="1"/>
  <c r="I5962" i="1"/>
  <c r="H5962" i="1"/>
  <c r="I5954" i="1"/>
  <c r="H5954" i="1"/>
  <c r="I5946" i="1"/>
  <c r="H5946" i="1"/>
  <c r="I5938" i="1"/>
  <c r="H5938" i="1"/>
  <c r="I5930" i="1"/>
  <c r="H5930" i="1"/>
  <c r="I5922" i="1"/>
  <c r="H5922" i="1"/>
  <c r="I5914" i="1"/>
  <c r="H5914" i="1"/>
  <c r="I5906" i="1"/>
  <c r="H5906" i="1"/>
  <c r="I5898" i="1"/>
  <c r="H5898" i="1"/>
  <c r="I5890" i="1"/>
  <c r="H5890" i="1"/>
  <c r="I5882" i="1"/>
  <c r="H5882" i="1"/>
  <c r="I5874" i="1"/>
  <c r="H5874" i="1"/>
  <c r="I5866" i="1"/>
  <c r="H5866" i="1"/>
  <c r="I5858" i="1"/>
  <c r="H5858" i="1"/>
  <c r="I5850" i="1"/>
  <c r="H5850" i="1"/>
  <c r="I5842" i="1"/>
  <c r="H5842" i="1"/>
  <c r="I5834" i="1"/>
  <c r="H5834" i="1"/>
  <c r="I5826" i="1"/>
  <c r="H5826" i="1"/>
  <c r="I5818" i="1"/>
  <c r="H5818" i="1"/>
  <c r="I5810" i="1"/>
  <c r="H5810" i="1"/>
  <c r="I5802" i="1"/>
  <c r="H5802" i="1"/>
  <c r="I5794" i="1"/>
  <c r="H5794" i="1"/>
  <c r="I5786" i="1"/>
  <c r="H5786" i="1"/>
  <c r="I5778" i="1"/>
  <c r="H5778" i="1"/>
  <c r="I5770" i="1"/>
  <c r="H5770" i="1"/>
  <c r="I5762" i="1"/>
  <c r="H5762" i="1"/>
  <c r="I5754" i="1"/>
  <c r="H5754" i="1"/>
  <c r="I5746" i="1"/>
  <c r="H5746" i="1"/>
  <c r="I5738" i="1"/>
  <c r="H5738" i="1"/>
  <c r="I5730" i="1"/>
  <c r="H5730" i="1"/>
  <c r="I5722" i="1"/>
  <c r="H5722" i="1"/>
  <c r="I5714" i="1"/>
  <c r="H5714" i="1"/>
  <c r="I5706" i="1"/>
  <c r="H5706" i="1"/>
  <c r="I5698" i="1"/>
  <c r="H5698" i="1"/>
  <c r="I5690" i="1"/>
  <c r="H5690" i="1"/>
  <c r="I5682" i="1"/>
  <c r="H5682" i="1"/>
  <c r="I5674" i="1"/>
  <c r="H5674" i="1"/>
  <c r="I5666" i="1"/>
  <c r="H5666" i="1"/>
  <c r="I5658" i="1"/>
  <c r="H5658" i="1"/>
  <c r="I5650" i="1"/>
  <c r="H5650" i="1"/>
  <c r="I5642" i="1"/>
  <c r="H5642" i="1"/>
  <c r="I5634" i="1"/>
  <c r="H5634" i="1"/>
  <c r="I5626" i="1"/>
  <c r="H5626" i="1"/>
  <c r="I5618" i="1"/>
  <c r="H5618" i="1"/>
  <c r="I5610" i="1"/>
  <c r="H5610" i="1"/>
  <c r="I5602" i="1"/>
  <c r="H5602" i="1"/>
  <c r="I5594" i="1"/>
  <c r="H5594" i="1"/>
  <c r="I5586" i="1"/>
  <c r="H5586" i="1"/>
  <c r="I5578" i="1"/>
  <c r="H5578" i="1"/>
  <c r="I5570" i="1"/>
  <c r="H5570" i="1"/>
  <c r="I5562" i="1"/>
  <c r="H5562" i="1"/>
  <c r="I5554" i="1"/>
  <c r="H5554" i="1"/>
  <c r="I5546" i="1"/>
  <c r="H5546" i="1"/>
  <c r="I5538" i="1"/>
  <c r="H5538" i="1"/>
  <c r="I5530" i="1"/>
  <c r="H5530" i="1"/>
  <c r="I5522" i="1"/>
  <c r="H5522" i="1"/>
  <c r="I5514" i="1"/>
  <c r="H5514" i="1"/>
  <c r="I5506" i="1"/>
  <c r="H5506" i="1"/>
  <c r="I5498" i="1"/>
  <c r="H5498" i="1"/>
  <c r="I5490" i="1"/>
  <c r="H5490" i="1"/>
  <c r="I5482" i="1"/>
  <c r="H5482" i="1"/>
  <c r="I5474" i="1"/>
  <c r="H5474" i="1"/>
  <c r="I5466" i="1"/>
  <c r="H5466" i="1"/>
  <c r="I5458" i="1"/>
  <c r="H5458" i="1"/>
  <c r="I5450" i="1"/>
  <c r="H5450" i="1"/>
  <c r="I5442" i="1"/>
  <c r="H5442" i="1"/>
  <c r="I5434" i="1"/>
  <c r="H5434" i="1"/>
  <c r="I5426" i="1"/>
  <c r="H5426" i="1"/>
  <c r="I5418" i="1"/>
  <c r="H5418" i="1"/>
  <c r="I5410" i="1"/>
  <c r="H5410" i="1"/>
  <c r="I5402" i="1"/>
  <c r="H5402" i="1"/>
  <c r="I5394" i="1"/>
  <c r="H5394" i="1"/>
  <c r="I5386" i="1"/>
  <c r="H5386" i="1"/>
  <c r="I5378" i="1"/>
  <c r="H5378" i="1"/>
  <c r="I5370" i="1"/>
  <c r="H5370" i="1"/>
  <c r="I5362" i="1"/>
  <c r="H5362" i="1"/>
  <c r="I5354" i="1"/>
  <c r="H5354" i="1"/>
  <c r="I5346" i="1"/>
  <c r="H5346" i="1"/>
  <c r="I5338" i="1"/>
  <c r="H5338" i="1"/>
  <c r="I5330" i="1"/>
  <c r="H5330" i="1"/>
  <c r="I5322" i="1"/>
  <c r="H5322" i="1"/>
  <c r="I5314" i="1"/>
  <c r="H5314" i="1"/>
  <c r="I5306" i="1"/>
  <c r="H5306" i="1"/>
  <c r="I5298" i="1"/>
  <c r="H5298" i="1"/>
  <c r="I5290" i="1"/>
  <c r="H5290" i="1"/>
  <c r="I5282" i="1"/>
  <c r="H5282" i="1"/>
  <c r="I5274" i="1"/>
  <c r="H5274" i="1"/>
  <c r="I5266" i="1"/>
  <c r="H5266" i="1"/>
  <c r="I5258" i="1"/>
  <c r="H5258" i="1"/>
  <c r="I5250" i="1"/>
  <c r="H5250" i="1"/>
  <c r="I5242" i="1"/>
  <c r="H5242" i="1"/>
  <c r="I5234" i="1"/>
  <c r="H5234" i="1"/>
  <c r="I5226" i="1"/>
  <c r="H5226" i="1"/>
  <c r="I5218" i="1"/>
  <c r="H5218" i="1"/>
  <c r="I5210" i="1"/>
  <c r="H5210" i="1"/>
  <c r="I5202" i="1"/>
  <c r="H5202" i="1"/>
  <c r="I5194" i="1"/>
  <c r="H5194" i="1"/>
  <c r="I5186" i="1"/>
  <c r="H5186" i="1"/>
  <c r="I5178" i="1"/>
  <c r="H5178" i="1"/>
  <c r="I5170" i="1"/>
  <c r="H5170" i="1"/>
  <c r="I5162" i="1"/>
  <c r="H5162" i="1"/>
  <c r="I5154" i="1"/>
  <c r="H5154" i="1"/>
  <c r="I5146" i="1"/>
  <c r="H5146" i="1"/>
  <c r="I5138" i="1"/>
  <c r="H5138" i="1"/>
  <c r="I5130" i="1"/>
  <c r="H5130" i="1"/>
  <c r="I5122" i="1"/>
  <c r="H5122" i="1"/>
  <c r="I5114" i="1"/>
  <c r="H5114" i="1"/>
  <c r="I5106" i="1"/>
  <c r="H5106" i="1"/>
  <c r="I5098" i="1"/>
  <c r="H5098" i="1"/>
  <c r="I5090" i="1"/>
  <c r="H5090" i="1"/>
  <c r="I5082" i="1"/>
  <c r="H5082" i="1"/>
  <c r="I5074" i="1"/>
  <c r="H5074" i="1"/>
  <c r="I5066" i="1"/>
  <c r="H5066" i="1"/>
  <c r="I5058" i="1"/>
  <c r="H5058" i="1"/>
  <c r="I5050" i="1"/>
  <c r="H5050" i="1"/>
  <c r="I5042" i="1"/>
  <c r="H5042" i="1"/>
  <c r="I5034" i="1"/>
  <c r="H5034" i="1"/>
  <c r="I5026" i="1"/>
  <c r="H5026" i="1"/>
  <c r="I5018" i="1"/>
  <c r="H5018" i="1"/>
  <c r="I5010" i="1"/>
  <c r="H5010" i="1"/>
  <c r="I5002" i="1"/>
  <c r="H5002" i="1"/>
  <c r="I4994" i="1"/>
  <c r="H4994" i="1"/>
  <c r="I4986" i="1"/>
  <c r="H4986" i="1"/>
  <c r="I4978" i="1"/>
  <c r="H4978" i="1"/>
  <c r="I4970" i="1"/>
  <c r="H4970" i="1"/>
  <c r="I4962" i="1"/>
  <c r="H4962" i="1"/>
  <c r="I4954" i="1"/>
  <c r="H4954" i="1"/>
  <c r="I4946" i="1"/>
  <c r="H4946" i="1"/>
  <c r="I4938" i="1"/>
  <c r="H4938" i="1"/>
  <c r="I4930" i="1"/>
  <c r="H4930" i="1"/>
  <c r="I4922" i="1"/>
  <c r="H4922" i="1"/>
  <c r="I4914" i="1"/>
  <c r="H4914" i="1"/>
  <c r="I4906" i="1"/>
  <c r="H4906" i="1"/>
  <c r="I4898" i="1"/>
  <c r="H4898" i="1"/>
  <c r="I4890" i="1"/>
  <c r="H4890" i="1"/>
  <c r="I4882" i="1"/>
  <c r="H4882" i="1"/>
  <c r="I4874" i="1"/>
  <c r="H4874" i="1"/>
  <c r="I4866" i="1"/>
  <c r="H4866" i="1"/>
  <c r="I4858" i="1"/>
  <c r="H4858" i="1"/>
  <c r="I4850" i="1"/>
  <c r="H4850" i="1"/>
  <c r="I4842" i="1"/>
  <c r="H4842" i="1"/>
  <c r="I4834" i="1"/>
  <c r="H4834" i="1"/>
  <c r="I4826" i="1"/>
  <c r="H4826" i="1"/>
  <c r="I4818" i="1"/>
  <c r="H4818" i="1"/>
  <c r="I4810" i="1"/>
  <c r="H4810" i="1"/>
  <c r="I4802" i="1"/>
  <c r="H4802" i="1"/>
  <c r="I4794" i="1"/>
  <c r="H4794" i="1"/>
  <c r="I4786" i="1"/>
  <c r="H4786" i="1"/>
  <c r="I4778" i="1"/>
  <c r="H4778" i="1"/>
  <c r="I4770" i="1"/>
  <c r="H4770" i="1"/>
  <c r="I4762" i="1"/>
  <c r="H4762" i="1"/>
  <c r="I4754" i="1"/>
  <c r="H4754" i="1"/>
  <c r="I4746" i="1"/>
  <c r="H4746" i="1"/>
  <c r="I4738" i="1"/>
  <c r="H4738" i="1"/>
  <c r="I4730" i="1"/>
  <c r="H4730" i="1"/>
  <c r="I4722" i="1"/>
  <c r="H4722" i="1"/>
  <c r="I4714" i="1"/>
  <c r="H4714" i="1"/>
  <c r="I4706" i="1"/>
  <c r="H4706" i="1"/>
  <c r="I4698" i="1"/>
  <c r="H4698" i="1"/>
  <c r="I4690" i="1"/>
  <c r="H4690" i="1"/>
  <c r="I4682" i="1"/>
  <c r="H4682" i="1"/>
  <c r="I4674" i="1"/>
  <c r="H4674" i="1"/>
  <c r="I4666" i="1"/>
  <c r="H4666" i="1"/>
  <c r="I4658" i="1"/>
  <c r="H4658" i="1"/>
  <c r="I4650" i="1"/>
  <c r="H4650" i="1"/>
  <c r="I4642" i="1"/>
  <c r="H4642" i="1"/>
  <c r="I4634" i="1"/>
  <c r="H4634" i="1"/>
  <c r="I4626" i="1"/>
  <c r="H4626" i="1"/>
  <c r="I4618" i="1"/>
  <c r="H4618" i="1"/>
  <c r="I4610" i="1"/>
  <c r="H4610" i="1"/>
  <c r="I4602" i="1"/>
  <c r="H4602" i="1"/>
  <c r="I4594" i="1"/>
  <c r="H4594" i="1"/>
  <c r="I4586" i="1"/>
  <c r="H4586" i="1"/>
  <c r="I4578" i="1"/>
  <c r="H4578" i="1"/>
  <c r="I4570" i="1"/>
  <c r="H4570" i="1"/>
  <c r="I4562" i="1"/>
  <c r="H4562" i="1"/>
  <c r="I4554" i="1"/>
  <c r="H4554" i="1"/>
  <c r="I4546" i="1"/>
  <c r="H4546" i="1"/>
  <c r="I4538" i="1"/>
  <c r="H4538" i="1"/>
  <c r="I4530" i="1"/>
  <c r="H4530" i="1"/>
  <c r="I4522" i="1"/>
  <c r="H4522" i="1"/>
  <c r="I4514" i="1"/>
  <c r="H4514" i="1"/>
  <c r="I4506" i="1"/>
  <c r="H4506" i="1"/>
  <c r="I4498" i="1"/>
  <c r="H4498" i="1"/>
  <c r="I4490" i="1"/>
  <c r="H4490" i="1"/>
  <c r="I4482" i="1"/>
  <c r="H4482" i="1"/>
  <c r="I4474" i="1"/>
  <c r="H4474" i="1"/>
  <c r="I4466" i="1"/>
  <c r="H4466" i="1"/>
  <c r="I4458" i="1"/>
  <c r="H4458" i="1"/>
  <c r="I4450" i="1"/>
  <c r="H4450" i="1"/>
  <c r="I4442" i="1"/>
  <c r="H4442" i="1"/>
  <c r="I4434" i="1"/>
  <c r="H4434" i="1"/>
  <c r="I4426" i="1"/>
  <c r="H4426" i="1"/>
  <c r="I4418" i="1"/>
  <c r="H4418" i="1"/>
  <c r="I4410" i="1"/>
  <c r="H4410" i="1"/>
  <c r="I4402" i="1"/>
  <c r="H4402" i="1"/>
  <c r="I4394" i="1"/>
  <c r="H4394" i="1"/>
  <c r="I4386" i="1"/>
  <c r="H4386" i="1"/>
  <c r="I4378" i="1"/>
  <c r="H4378" i="1"/>
  <c r="I4370" i="1"/>
  <c r="H4370" i="1"/>
  <c r="I4362" i="1"/>
  <c r="H4362" i="1"/>
  <c r="I4354" i="1"/>
  <c r="H4354" i="1"/>
  <c r="I4346" i="1"/>
  <c r="H4346" i="1"/>
  <c r="I4338" i="1"/>
  <c r="H4338" i="1"/>
  <c r="I4330" i="1"/>
  <c r="H4330" i="1"/>
  <c r="I4322" i="1"/>
  <c r="H4322" i="1"/>
  <c r="I4314" i="1"/>
  <c r="H4314" i="1"/>
  <c r="I4306" i="1"/>
  <c r="H4306" i="1"/>
  <c r="I4298" i="1"/>
  <c r="H4298" i="1"/>
  <c r="I4290" i="1"/>
  <c r="H4290" i="1"/>
  <c r="I4282" i="1"/>
  <c r="H4282" i="1"/>
  <c r="I4274" i="1"/>
  <c r="H4274" i="1"/>
  <c r="I4266" i="1"/>
  <c r="H4266" i="1"/>
  <c r="I4258" i="1"/>
  <c r="H4258" i="1"/>
  <c r="I4250" i="1"/>
  <c r="H4250" i="1"/>
  <c r="I4242" i="1"/>
  <c r="H4242" i="1"/>
  <c r="I4234" i="1"/>
  <c r="H4234" i="1"/>
  <c r="I4226" i="1"/>
  <c r="H4226" i="1"/>
  <c r="I4218" i="1"/>
  <c r="H4218" i="1"/>
  <c r="I4210" i="1"/>
  <c r="H4210" i="1"/>
  <c r="I4202" i="1"/>
  <c r="H4202" i="1"/>
  <c r="I4194" i="1"/>
  <c r="H4194" i="1"/>
  <c r="I4186" i="1"/>
  <c r="H4186" i="1"/>
  <c r="I4178" i="1"/>
  <c r="H4178" i="1"/>
  <c r="I4170" i="1"/>
  <c r="H4170" i="1"/>
  <c r="I4162" i="1"/>
  <c r="H4162" i="1"/>
  <c r="I4154" i="1"/>
  <c r="H4154" i="1"/>
  <c r="I4146" i="1"/>
  <c r="H4146" i="1"/>
  <c r="I4138" i="1"/>
  <c r="H4138" i="1"/>
  <c r="I4130" i="1"/>
  <c r="H4130" i="1"/>
  <c r="I4122" i="1"/>
  <c r="H4122" i="1"/>
  <c r="I4114" i="1"/>
  <c r="H4114" i="1"/>
  <c r="I4106" i="1"/>
  <c r="H4106" i="1"/>
  <c r="I4098" i="1"/>
  <c r="H4098" i="1"/>
  <c r="I4090" i="1"/>
  <c r="H4090" i="1"/>
  <c r="I4082" i="1"/>
  <c r="H4082" i="1"/>
  <c r="I4074" i="1"/>
  <c r="H4074" i="1"/>
  <c r="I4066" i="1"/>
  <c r="H4066" i="1"/>
  <c r="I4058" i="1"/>
  <c r="H4058" i="1"/>
  <c r="I4050" i="1"/>
  <c r="H4050" i="1"/>
  <c r="I4042" i="1"/>
  <c r="H4042" i="1"/>
  <c r="I4034" i="1"/>
  <c r="H4034" i="1"/>
  <c r="I4026" i="1"/>
  <c r="H4026" i="1"/>
  <c r="I4018" i="1"/>
  <c r="H4018" i="1"/>
  <c r="I4010" i="1"/>
  <c r="H4010" i="1"/>
  <c r="I4002" i="1"/>
  <c r="H4002" i="1"/>
  <c r="I3994" i="1"/>
  <c r="H3994" i="1"/>
  <c r="I3986" i="1"/>
  <c r="H3986" i="1"/>
  <c r="I3978" i="1"/>
  <c r="H3978" i="1"/>
  <c r="I3970" i="1"/>
  <c r="H3970" i="1"/>
  <c r="I3962" i="1"/>
  <c r="H3962" i="1"/>
  <c r="I3954" i="1"/>
  <c r="H3954" i="1"/>
  <c r="I3946" i="1"/>
  <c r="H3946" i="1"/>
  <c r="I3938" i="1"/>
  <c r="H3938" i="1"/>
  <c r="I3930" i="1"/>
  <c r="H3930" i="1"/>
  <c r="I3922" i="1"/>
  <c r="H3922" i="1"/>
  <c r="I3914" i="1"/>
  <c r="H3914" i="1"/>
  <c r="I3906" i="1"/>
  <c r="H3906" i="1"/>
  <c r="I3898" i="1"/>
  <c r="H3898" i="1"/>
  <c r="I3890" i="1"/>
  <c r="H3890" i="1"/>
  <c r="I3882" i="1"/>
  <c r="H3882" i="1"/>
  <c r="I3874" i="1"/>
  <c r="H3874" i="1"/>
  <c r="I3866" i="1"/>
  <c r="H3866" i="1"/>
  <c r="I3858" i="1"/>
  <c r="H3858" i="1"/>
  <c r="I3850" i="1"/>
  <c r="H3850" i="1"/>
  <c r="I3842" i="1"/>
  <c r="H3842" i="1"/>
  <c r="I3834" i="1"/>
  <c r="H3834" i="1"/>
  <c r="I3826" i="1"/>
  <c r="H3826" i="1"/>
  <c r="I3818" i="1"/>
  <c r="H3818" i="1"/>
  <c r="I3810" i="1"/>
  <c r="H3810" i="1"/>
  <c r="I3802" i="1"/>
  <c r="H3802" i="1"/>
  <c r="I3794" i="1"/>
  <c r="H3794" i="1"/>
  <c r="I3786" i="1"/>
  <c r="H3786" i="1"/>
  <c r="I3778" i="1"/>
  <c r="H3778" i="1"/>
  <c r="I3770" i="1"/>
  <c r="H3770" i="1"/>
  <c r="I3762" i="1"/>
  <c r="H3762" i="1"/>
  <c r="I3754" i="1"/>
  <c r="H3754" i="1"/>
  <c r="I3746" i="1"/>
  <c r="H3746" i="1"/>
  <c r="I3738" i="1"/>
  <c r="H3738" i="1"/>
  <c r="I3730" i="1"/>
  <c r="H3730" i="1"/>
  <c r="I3722" i="1"/>
  <c r="H3722" i="1"/>
  <c r="I3714" i="1"/>
  <c r="H3714" i="1"/>
  <c r="I3706" i="1"/>
  <c r="H3706" i="1"/>
  <c r="I3698" i="1"/>
  <c r="H3698" i="1"/>
  <c r="I3690" i="1"/>
  <c r="H3690" i="1"/>
  <c r="I3682" i="1"/>
  <c r="H3682" i="1"/>
  <c r="I3674" i="1"/>
  <c r="H3674" i="1"/>
  <c r="I3666" i="1"/>
  <c r="H3666" i="1"/>
  <c r="I3658" i="1"/>
  <c r="H3658" i="1"/>
  <c r="I3650" i="1"/>
  <c r="H3650" i="1"/>
  <c r="I3642" i="1"/>
  <c r="H3642" i="1"/>
  <c r="I3634" i="1"/>
  <c r="H3634" i="1"/>
  <c r="I3626" i="1"/>
  <c r="H3626" i="1"/>
  <c r="I3618" i="1"/>
  <c r="H3618" i="1"/>
  <c r="I3610" i="1"/>
  <c r="H3610" i="1"/>
  <c r="I3602" i="1"/>
  <c r="H3602" i="1"/>
  <c r="I3594" i="1"/>
  <c r="H3594" i="1"/>
  <c r="I3586" i="1"/>
  <c r="H3586" i="1"/>
  <c r="I3578" i="1"/>
  <c r="H3578" i="1"/>
  <c r="I3570" i="1"/>
  <c r="H3570" i="1"/>
  <c r="I3562" i="1"/>
  <c r="H3562" i="1"/>
  <c r="I3554" i="1"/>
  <c r="H3554" i="1"/>
  <c r="I3546" i="1"/>
  <c r="H3546" i="1"/>
  <c r="I3538" i="1"/>
  <c r="H3538" i="1"/>
  <c r="I3530" i="1"/>
  <c r="H3530" i="1"/>
  <c r="I3522" i="1"/>
  <c r="H3522" i="1"/>
  <c r="I3514" i="1"/>
  <c r="H3514" i="1"/>
  <c r="I3506" i="1"/>
  <c r="H3506" i="1"/>
  <c r="I3498" i="1"/>
  <c r="H3498" i="1"/>
  <c r="I3490" i="1"/>
  <c r="H3490" i="1"/>
  <c r="I3482" i="1"/>
  <c r="H3482" i="1"/>
  <c r="I3474" i="1"/>
  <c r="H3474" i="1"/>
  <c r="I3466" i="1"/>
  <c r="H3466" i="1"/>
  <c r="I3458" i="1"/>
  <c r="H3458" i="1"/>
  <c r="I3450" i="1"/>
  <c r="H3450" i="1"/>
  <c r="I3442" i="1"/>
  <c r="H3442" i="1"/>
  <c r="I3434" i="1"/>
  <c r="H3434" i="1"/>
  <c r="I3426" i="1"/>
  <c r="H3426" i="1"/>
  <c r="I3418" i="1"/>
  <c r="H3418" i="1"/>
  <c r="I3410" i="1"/>
  <c r="H3410" i="1"/>
  <c r="I3402" i="1"/>
  <c r="H3402" i="1"/>
  <c r="I3394" i="1"/>
  <c r="H3394" i="1"/>
  <c r="I3386" i="1"/>
  <c r="H3386" i="1"/>
  <c r="I3378" i="1"/>
  <c r="H3378" i="1"/>
  <c r="I3370" i="1"/>
  <c r="H3370" i="1"/>
  <c r="I3362" i="1"/>
  <c r="H3362" i="1"/>
  <c r="I3354" i="1"/>
  <c r="H3354" i="1"/>
  <c r="I3346" i="1"/>
  <c r="H3346" i="1"/>
  <c r="I3338" i="1"/>
  <c r="H3338" i="1"/>
  <c r="I3330" i="1"/>
  <c r="H3330" i="1"/>
  <c r="I3322" i="1"/>
  <c r="H3322" i="1"/>
  <c r="I3314" i="1"/>
  <c r="H3314" i="1"/>
  <c r="I3306" i="1"/>
  <c r="H3306" i="1"/>
  <c r="I3298" i="1"/>
  <c r="H3298" i="1"/>
  <c r="I3290" i="1"/>
  <c r="H3290" i="1"/>
  <c r="I3282" i="1"/>
  <c r="H3282" i="1"/>
  <c r="I3274" i="1"/>
  <c r="H3274" i="1"/>
  <c r="I3266" i="1"/>
  <c r="H3266" i="1"/>
  <c r="I3258" i="1"/>
  <c r="H3258" i="1"/>
  <c r="I3250" i="1"/>
  <c r="H3250" i="1"/>
  <c r="I3242" i="1"/>
  <c r="H3242" i="1"/>
  <c r="I3234" i="1"/>
  <c r="H3234" i="1"/>
  <c r="I3226" i="1"/>
  <c r="H3226" i="1"/>
  <c r="I3218" i="1"/>
  <c r="H3218" i="1"/>
  <c r="I3210" i="1"/>
  <c r="H3210" i="1"/>
  <c r="I3202" i="1"/>
  <c r="H3202" i="1"/>
  <c r="I3194" i="1"/>
  <c r="H3194" i="1"/>
  <c r="I3186" i="1"/>
  <c r="H3186" i="1"/>
  <c r="I3178" i="1"/>
  <c r="H3178" i="1"/>
  <c r="I3170" i="1"/>
  <c r="H3170" i="1"/>
  <c r="I3162" i="1"/>
  <c r="H3162" i="1"/>
  <c r="I3154" i="1"/>
  <c r="H3154" i="1"/>
  <c r="I3146" i="1"/>
  <c r="H3146" i="1"/>
  <c r="I3138" i="1"/>
  <c r="H3138" i="1"/>
  <c r="I3130" i="1"/>
  <c r="H3130" i="1"/>
  <c r="I3122" i="1"/>
  <c r="H3122" i="1"/>
  <c r="I3114" i="1"/>
  <c r="H3114" i="1"/>
  <c r="I3106" i="1"/>
  <c r="H3106" i="1"/>
  <c r="I3098" i="1"/>
  <c r="H3098" i="1"/>
  <c r="I3090" i="1"/>
  <c r="H3090" i="1"/>
  <c r="I3082" i="1"/>
  <c r="H3082" i="1"/>
  <c r="I3074" i="1"/>
  <c r="H3074" i="1"/>
  <c r="I3066" i="1"/>
  <c r="H3066" i="1"/>
  <c r="I3058" i="1"/>
  <c r="H3058" i="1"/>
  <c r="I3050" i="1"/>
  <c r="H3050" i="1"/>
  <c r="I3042" i="1"/>
  <c r="H3042" i="1"/>
  <c r="I3034" i="1"/>
  <c r="H3034" i="1"/>
  <c r="I3026" i="1"/>
  <c r="H3026" i="1"/>
  <c r="I3018" i="1"/>
  <c r="H3018" i="1"/>
  <c r="I3010" i="1"/>
  <c r="H3010" i="1"/>
  <c r="I3002" i="1"/>
  <c r="H3002" i="1"/>
  <c r="I2994" i="1"/>
  <c r="H2994" i="1"/>
  <c r="I2986" i="1"/>
  <c r="H2986" i="1"/>
  <c r="I2978" i="1"/>
  <c r="H2978" i="1"/>
  <c r="I2970" i="1"/>
  <c r="H2970" i="1"/>
  <c r="I2962" i="1"/>
  <c r="H2962" i="1"/>
  <c r="I2954" i="1"/>
  <c r="H2954" i="1"/>
  <c r="I2946" i="1"/>
  <c r="H2946" i="1"/>
  <c r="I2938" i="1"/>
  <c r="H2938" i="1"/>
  <c r="I2930" i="1"/>
  <c r="H2930" i="1"/>
  <c r="I2922" i="1"/>
  <c r="H2922" i="1"/>
  <c r="I2914" i="1"/>
  <c r="H2914" i="1"/>
  <c r="I2906" i="1"/>
  <c r="H2906" i="1"/>
  <c r="I2898" i="1"/>
  <c r="H2898" i="1"/>
  <c r="I2890" i="1"/>
  <c r="H2890" i="1"/>
  <c r="I2882" i="1"/>
  <c r="H2882" i="1"/>
  <c r="I2874" i="1"/>
  <c r="H2874" i="1"/>
  <c r="I2866" i="1"/>
  <c r="H2866" i="1"/>
  <c r="I2858" i="1"/>
  <c r="H2858" i="1"/>
  <c r="I2850" i="1"/>
  <c r="H2850" i="1"/>
  <c r="I2842" i="1"/>
  <c r="H2842" i="1"/>
  <c r="I2834" i="1"/>
  <c r="H2834" i="1"/>
  <c r="I2826" i="1"/>
  <c r="H2826" i="1"/>
  <c r="I2818" i="1"/>
  <c r="H2818" i="1"/>
  <c r="I2810" i="1"/>
  <c r="H2810" i="1"/>
  <c r="I2802" i="1"/>
  <c r="H2802" i="1"/>
  <c r="I2794" i="1"/>
  <c r="H2794" i="1"/>
  <c r="I2786" i="1"/>
  <c r="H2786" i="1"/>
  <c r="I2778" i="1"/>
  <c r="H2778" i="1"/>
  <c r="I2770" i="1"/>
  <c r="H2770" i="1"/>
  <c r="I2762" i="1"/>
  <c r="H2762" i="1"/>
  <c r="I2754" i="1"/>
  <c r="H2754" i="1"/>
  <c r="I2746" i="1"/>
  <c r="H2746" i="1"/>
  <c r="I2738" i="1"/>
  <c r="H2738" i="1"/>
  <c r="I2730" i="1"/>
  <c r="H2730" i="1"/>
  <c r="I2722" i="1"/>
  <c r="H2722" i="1"/>
  <c r="I2714" i="1"/>
  <c r="H2714" i="1"/>
  <c r="I2706" i="1"/>
  <c r="H2706" i="1"/>
  <c r="I2698" i="1"/>
  <c r="H2698" i="1"/>
  <c r="I2690" i="1"/>
  <c r="H2690" i="1"/>
  <c r="I2682" i="1"/>
  <c r="H2682" i="1"/>
  <c r="I2674" i="1"/>
  <c r="H2674" i="1"/>
  <c r="I2666" i="1"/>
  <c r="H2666" i="1"/>
  <c r="I2658" i="1"/>
  <c r="H2658" i="1"/>
  <c r="I2650" i="1"/>
  <c r="H2650" i="1"/>
  <c r="I2642" i="1"/>
  <c r="H2642" i="1"/>
  <c r="I2634" i="1"/>
  <c r="H2634" i="1"/>
  <c r="I2626" i="1"/>
  <c r="H2626" i="1"/>
  <c r="I2618" i="1"/>
  <c r="H2618" i="1"/>
  <c r="I2610" i="1"/>
  <c r="H2610" i="1"/>
  <c r="I2602" i="1"/>
  <c r="H2602" i="1"/>
  <c r="I2594" i="1"/>
  <c r="H2594" i="1"/>
  <c r="I2586" i="1"/>
  <c r="H2586" i="1"/>
  <c r="I2578" i="1"/>
  <c r="H2578" i="1"/>
  <c r="I2570" i="1"/>
  <c r="H2570" i="1"/>
  <c r="I2562" i="1"/>
  <c r="H2562" i="1"/>
  <c r="I2554" i="1"/>
  <c r="H2554" i="1"/>
  <c r="I2546" i="1"/>
  <c r="H2546" i="1"/>
  <c r="I2538" i="1"/>
  <c r="H2538" i="1"/>
  <c r="I2530" i="1"/>
  <c r="H2530" i="1"/>
  <c r="I2522" i="1"/>
  <c r="H2522" i="1"/>
  <c r="I2514" i="1"/>
  <c r="H2514" i="1"/>
  <c r="I2506" i="1"/>
  <c r="H2506" i="1"/>
  <c r="I2498" i="1"/>
  <c r="H2498" i="1"/>
  <c r="I2490" i="1"/>
  <c r="H2490" i="1"/>
  <c r="I2482" i="1"/>
  <c r="H2482" i="1"/>
  <c r="I2474" i="1"/>
  <c r="H2474" i="1"/>
  <c r="I2466" i="1"/>
  <c r="H2466" i="1"/>
  <c r="I2458" i="1"/>
  <c r="H2458" i="1"/>
  <c r="I2450" i="1"/>
  <c r="H2450" i="1"/>
  <c r="I2442" i="1"/>
  <c r="H2442" i="1"/>
  <c r="I2434" i="1"/>
  <c r="H2434" i="1"/>
  <c r="I2426" i="1"/>
  <c r="H2426" i="1"/>
  <c r="I2418" i="1"/>
  <c r="H2418" i="1"/>
  <c r="I2410" i="1"/>
  <c r="H2410" i="1"/>
  <c r="I2402" i="1"/>
  <c r="H2402" i="1"/>
  <c r="I2394" i="1"/>
  <c r="H2394" i="1"/>
  <c r="I2386" i="1"/>
  <c r="H2386" i="1"/>
  <c r="I2378" i="1"/>
  <c r="H2378" i="1"/>
  <c r="I2370" i="1"/>
  <c r="H2370" i="1"/>
  <c r="I2362" i="1"/>
  <c r="H2362" i="1"/>
  <c r="I2354" i="1"/>
  <c r="H2354" i="1"/>
  <c r="I2346" i="1"/>
  <c r="H2346" i="1"/>
  <c r="I2338" i="1"/>
  <c r="H2338" i="1"/>
  <c r="I2330" i="1"/>
  <c r="H2330" i="1"/>
  <c r="I2322" i="1"/>
  <c r="H2322" i="1"/>
  <c r="I2314" i="1"/>
  <c r="H2314" i="1"/>
  <c r="I2306" i="1"/>
  <c r="H2306" i="1"/>
  <c r="I2298" i="1"/>
  <c r="H2298" i="1"/>
  <c r="I2290" i="1"/>
  <c r="H2290" i="1"/>
  <c r="I2282" i="1"/>
  <c r="H2282" i="1"/>
  <c r="I2274" i="1"/>
  <c r="H2274" i="1"/>
  <c r="I2266" i="1"/>
  <c r="H2266" i="1"/>
  <c r="I2258" i="1"/>
  <c r="H2258" i="1"/>
  <c r="I2250" i="1"/>
  <c r="H2250" i="1"/>
  <c r="I2242" i="1"/>
  <c r="H2242" i="1"/>
  <c r="I2234" i="1"/>
  <c r="H2234" i="1"/>
  <c r="I2226" i="1"/>
  <c r="H2226" i="1"/>
  <c r="I2218" i="1"/>
  <c r="H2218" i="1"/>
  <c r="I2210" i="1"/>
  <c r="H2210" i="1"/>
  <c r="I2202" i="1"/>
  <c r="H2202" i="1"/>
  <c r="I2194" i="1"/>
  <c r="H2194" i="1"/>
  <c r="I2186" i="1"/>
  <c r="H2186" i="1"/>
  <c r="I2178" i="1"/>
  <c r="H2178" i="1"/>
  <c r="I2170" i="1"/>
  <c r="H2170" i="1"/>
  <c r="I2162" i="1"/>
  <c r="H2162" i="1"/>
  <c r="I2154" i="1"/>
  <c r="H2154" i="1"/>
  <c r="I2146" i="1"/>
  <c r="H2146" i="1"/>
  <c r="I2138" i="1"/>
  <c r="H2138" i="1"/>
  <c r="I2130" i="1"/>
  <c r="H2130" i="1"/>
  <c r="I2122" i="1"/>
  <c r="H2122" i="1"/>
  <c r="I2114" i="1"/>
  <c r="H2114" i="1"/>
  <c r="I2106" i="1"/>
  <c r="H2106" i="1"/>
  <c r="I2098" i="1"/>
  <c r="H2098" i="1"/>
  <c r="I2090" i="1"/>
  <c r="H2090" i="1"/>
  <c r="I2082" i="1"/>
  <c r="H2082" i="1"/>
  <c r="I2074" i="1"/>
  <c r="H2074" i="1"/>
  <c r="I2066" i="1"/>
  <c r="H2066" i="1"/>
  <c r="I2058" i="1"/>
  <c r="H2058" i="1"/>
  <c r="I2050" i="1"/>
  <c r="H2050" i="1"/>
  <c r="I2042" i="1"/>
  <c r="H2042" i="1"/>
  <c r="I2034" i="1"/>
  <c r="H2034" i="1"/>
  <c r="I2026" i="1"/>
  <c r="H2026" i="1"/>
  <c r="I2018" i="1"/>
  <c r="H2018" i="1"/>
  <c r="I2010" i="1"/>
  <c r="H2010" i="1"/>
  <c r="I2002" i="1"/>
  <c r="H2002" i="1"/>
  <c r="I1994" i="1"/>
  <c r="H1994" i="1"/>
  <c r="I1986" i="1"/>
  <c r="H1986" i="1"/>
  <c r="I1978" i="1"/>
  <c r="H1978" i="1"/>
  <c r="I1970" i="1"/>
  <c r="H1970" i="1"/>
  <c r="I1962" i="1"/>
  <c r="H1962" i="1"/>
  <c r="I1954" i="1"/>
  <c r="H1954" i="1"/>
  <c r="I1946" i="1"/>
  <c r="H1946" i="1"/>
  <c r="I1938" i="1"/>
  <c r="H1938" i="1"/>
  <c r="I1930" i="1"/>
  <c r="H1930" i="1"/>
  <c r="I1922" i="1"/>
  <c r="H1922" i="1"/>
  <c r="I1914" i="1"/>
  <c r="H1914" i="1"/>
  <c r="I1906" i="1"/>
  <c r="H1906" i="1"/>
  <c r="I1898" i="1"/>
  <c r="H1898" i="1"/>
  <c r="I1890" i="1"/>
  <c r="H1890" i="1"/>
  <c r="I1882" i="1"/>
  <c r="H1882" i="1"/>
  <c r="I1874" i="1"/>
  <c r="H1874" i="1"/>
  <c r="I1866" i="1"/>
  <c r="H1866" i="1"/>
  <c r="I1858" i="1"/>
  <c r="H1858" i="1"/>
  <c r="I1850" i="1"/>
  <c r="H1850" i="1"/>
  <c r="I1842" i="1"/>
  <c r="H1842" i="1"/>
  <c r="I1834" i="1"/>
  <c r="H1834" i="1"/>
  <c r="I1826" i="1"/>
  <c r="H1826" i="1"/>
  <c r="I1818" i="1"/>
  <c r="H1818" i="1"/>
  <c r="I1810" i="1"/>
  <c r="H1810" i="1"/>
  <c r="I1802" i="1"/>
  <c r="H1802" i="1"/>
  <c r="I1794" i="1"/>
  <c r="H1794" i="1"/>
  <c r="I1786" i="1"/>
  <c r="H1786" i="1"/>
  <c r="I1778" i="1"/>
  <c r="H1778" i="1"/>
  <c r="I1770" i="1"/>
  <c r="H1770" i="1"/>
  <c r="I1762" i="1"/>
  <c r="H1762" i="1"/>
  <c r="I1754" i="1"/>
  <c r="H1754" i="1"/>
  <c r="I1746" i="1"/>
  <c r="H1746" i="1"/>
  <c r="I1738" i="1"/>
  <c r="H1738" i="1"/>
  <c r="I1730" i="1"/>
  <c r="H1730" i="1"/>
  <c r="I1722" i="1"/>
  <c r="H1722" i="1"/>
  <c r="I1714" i="1"/>
  <c r="H1714" i="1"/>
  <c r="I1706" i="1"/>
  <c r="H1706" i="1"/>
  <c r="I1698" i="1"/>
  <c r="H1698" i="1"/>
  <c r="I1690" i="1"/>
  <c r="H1690" i="1"/>
  <c r="I1682" i="1"/>
  <c r="H1682" i="1"/>
  <c r="I1674" i="1"/>
  <c r="H1674" i="1"/>
  <c r="I1666" i="1"/>
  <c r="H1666" i="1"/>
  <c r="I1658" i="1"/>
  <c r="H1658" i="1"/>
  <c r="I1650" i="1"/>
  <c r="H1650" i="1"/>
  <c r="I1642" i="1"/>
  <c r="H1642" i="1"/>
  <c r="I1634" i="1"/>
  <c r="H1634" i="1"/>
  <c r="I1626" i="1"/>
  <c r="H1626" i="1"/>
  <c r="I1618" i="1"/>
  <c r="H1618" i="1"/>
  <c r="I1610" i="1"/>
  <c r="H1610" i="1"/>
  <c r="I1602" i="1"/>
  <c r="H1602" i="1"/>
  <c r="I1594" i="1"/>
  <c r="H1594" i="1"/>
  <c r="I1586" i="1"/>
  <c r="H1586" i="1"/>
  <c r="I1578" i="1"/>
  <c r="H1578" i="1"/>
  <c r="I1570" i="1"/>
  <c r="H1570" i="1"/>
  <c r="I1562" i="1"/>
  <c r="H1562" i="1"/>
  <c r="I1554" i="1"/>
  <c r="H1554" i="1"/>
  <c r="I1546" i="1"/>
  <c r="H1546" i="1"/>
  <c r="I1538" i="1"/>
  <c r="H1538" i="1"/>
  <c r="I1530" i="1"/>
  <c r="H1530" i="1"/>
  <c r="I1522" i="1"/>
  <c r="H1522" i="1"/>
  <c r="I1514" i="1"/>
  <c r="H1514" i="1"/>
  <c r="I1506" i="1"/>
  <c r="H1506" i="1"/>
  <c r="I1498" i="1"/>
  <c r="H1498" i="1"/>
  <c r="I1490" i="1"/>
  <c r="H1490" i="1"/>
  <c r="I1482" i="1"/>
  <c r="H1482" i="1"/>
  <c r="I1474" i="1"/>
  <c r="H1474" i="1"/>
  <c r="I1466" i="1"/>
  <c r="H1466" i="1"/>
  <c r="I1458" i="1"/>
  <c r="H1458" i="1"/>
  <c r="I1450" i="1"/>
  <c r="H1450" i="1"/>
  <c r="I1442" i="1"/>
  <c r="H1442" i="1"/>
  <c r="I1434" i="1"/>
  <c r="H1434" i="1"/>
  <c r="I1426" i="1"/>
  <c r="H1426" i="1"/>
  <c r="I1418" i="1"/>
  <c r="H1418" i="1"/>
  <c r="I1410" i="1"/>
  <c r="H1410" i="1"/>
  <c r="I1402" i="1"/>
  <c r="H1402" i="1"/>
  <c r="I1394" i="1"/>
  <c r="H1394" i="1"/>
  <c r="I1386" i="1"/>
  <c r="H1386" i="1"/>
  <c r="I1378" i="1"/>
  <c r="H1378" i="1"/>
  <c r="I1370" i="1"/>
  <c r="H1370" i="1"/>
  <c r="I1362" i="1"/>
  <c r="H1362" i="1"/>
  <c r="I1354" i="1"/>
  <c r="H1354" i="1"/>
  <c r="I1346" i="1"/>
  <c r="H1346" i="1"/>
  <c r="I1338" i="1"/>
  <c r="H1338" i="1"/>
  <c r="I1330" i="1"/>
  <c r="H1330" i="1"/>
  <c r="I1322" i="1"/>
  <c r="H1322" i="1"/>
  <c r="I1314" i="1"/>
  <c r="H1314" i="1"/>
  <c r="I1306" i="1"/>
  <c r="H1306" i="1"/>
  <c r="I1298" i="1"/>
  <c r="H1298" i="1"/>
  <c r="I1290" i="1"/>
  <c r="H1290" i="1"/>
  <c r="I1282" i="1"/>
  <c r="H1282" i="1"/>
  <c r="I1274" i="1"/>
  <c r="H1274" i="1"/>
  <c r="I1266" i="1"/>
  <c r="H1266" i="1"/>
  <c r="I1258" i="1"/>
  <c r="H1258" i="1"/>
  <c r="I1250" i="1"/>
  <c r="H1250" i="1"/>
  <c r="I1242" i="1"/>
  <c r="H1242" i="1"/>
  <c r="I1234" i="1"/>
  <c r="H1234" i="1"/>
  <c r="I1226" i="1"/>
  <c r="H1226" i="1"/>
  <c r="I1218" i="1"/>
  <c r="H1218" i="1"/>
  <c r="I1210" i="1"/>
  <c r="H1210" i="1"/>
  <c r="I1202" i="1"/>
  <c r="H1202" i="1"/>
  <c r="I1194" i="1"/>
  <c r="H1194" i="1"/>
  <c r="I1186" i="1"/>
  <c r="H1186" i="1"/>
  <c r="I1178" i="1"/>
  <c r="H1178" i="1"/>
  <c r="I1170" i="1"/>
  <c r="H1170" i="1"/>
  <c r="I1162" i="1"/>
  <c r="H1162" i="1"/>
  <c r="I1154" i="1"/>
  <c r="H1154" i="1"/>
  <c r="I1146" i="1"/>
  <c r="H1146" i="1"/>
  <c r="I1138" i="1"/>
  <c r="H1138" i="1"/>
  <c r="I1130" i="1"/>
  <c r="H1130" i="1"/>
  <c r="I1122" i="1"/>
  <c r="H1122" i="1"/>
  <c r="I1114" i="1"/>
  <c r="H1114" i="1"/>
  <c r="I1106" i="1"/>
  <c r="H1106" i="1"/>
  <c r="I1098" i="1"/>
  <c r="H1098" i="1"/>
  <c r="I1090" i="1"/>
  <c r="H1090" i="1"/>
  <c r="I1082" i="1"/>
  <c r="H1082" i="1"/>
  <c r="I1074" i="1"/>
  <c r="H1074" i="1"/>
  <c r="I1066" i="1"/>
  <c r="H1066" i="1"/>
  <c r="I1058" i="1"/>
  <c r="H1058" i="1"/>
  <c r="I1050" i="1"/>
  <c r="H1050" i="1"/>
  <c r="I1042" i="1"/>
  <c r="H1042" i="1"/>
  <c r="I1034" i="1"/>
  <c r="H1034" i="1"/>
  <c r="I1026" i="1"/>
  <c r="H1026" i="1"/>
  <c r="I1018" i="1"/>
  <c r="H1018" i="1"/>
  <c r="I1010" i="1"/>
  <c r="H1010" i="1"/>
  <c r="I1002" i="1"/>
  <c r="H1002" i="1"/>
  <c r="I994" i="1"/>
  <c r="H994" i="1"/>
  <c r="I986" i="1"/>
  <c r="H986" i="1"/>
  <c r="I978" i="1"/>
  <c r="H978" i="1"/>
  <c r="I970" i="1"/>
  <c r="H970" i="1"/>
  <c r="I962" i="1"/>
  <c r="H962" i="1"/>
  <c r="I954" i="1"/>
  <c r="H954" i="1"/>
  <c r="I946" i="1"/>
  <c r="H946" i="1"/>
  <c r="I938" i="1"/>
  <c r="H938" i="1"/>
  <c r="I930" i="1"/>
  <c r="H930" i="1"/>
  <c r="I922" i="1"/>
  <c r="H922" i="1"/>
  <c r="I914" i="1"/>
  <c r="H914" i="1"/>
  <c r="I906" i="1"/>
  <c r="H906" i="1"/>
  <c r="I898" i="1"/>
  <c r="H898" i="1"/>
  <c r="I890" i="1"/>
  <c r="H890" i="1"/>
  <c r="I882" i="1"/>
  <c r="H882" i="1"/>
  <c r="I874" i="1"/>
  <c r="H874" i="1"/>
  <c r="I866" i="1"/>
  <c r="H866" i="1"/>
  <c r="I858" i="1"/>
  <c r="H858" i="1"/>
  <c r="I850" i="1"/>
  <c r="H850" i="1"/>
  <c r="I842" i="1"/>
  <c r="H842" i="1"/>
  <c r="I834" i="1"/>
  <c r="H834" i="1"/>
  <c r="I826" i="1"/>
  <c r="H826" i="1"/>
  <c r="I818" i="1"/>
  <c r="H818" i="1"/>
  <c r="I810" i="1"/>
  <c r="H810" i="1"/>
  <c r="I802" i="1"/>
  <c r="H802" i="1"/>
  <c r="I794" i="1"/>
  <c r="H794" i="1"/>
  <c r="I786" i="1"/>
  <c r="H786" i="1"/>
  <c r="I778" i="1"/>
  <c r="H778" i="1"/>
  <c r="I770" i="1"/>
  <c r="H770" i="1"/>
  <c r="I762" i="1"/>
  <c r="H762" i="1"/>
  <c r="I754" i="1"/>
  <c r="H754" i="1"/>
  <c r="I746" i="1"/>
  <c r="H746" i="1"/>
  <c r="I738" i="1"/>
  <c r="H738" i="1"/>
  <c r="I730" i="1"/>
  <c r="H730" i="1"/>
  <c r="I722" i="1"/>
  <c r="H722" i="1"/>
  <c r="I714" i="1"/>
  <c r="H714" i="1"/>
  <c r="I706" i="1"/>
  <c r="H706" i="1"/>
  <c r="I698" i="1"/>
  <c r="H698" i="1"/>
  <c r="I690" i="1"/>
  <c r="H690" i="1"/>
  <c r="I682" i="1"/>
  <c r="H682" i="1"/>
  <c r="I674" i="1"/>
  <c r="H674" i="1"/>
  <c r="I666" i="1"/>
  <c r="H666" i="1"/>
  <c r="I658" i="1"/>
  <c r="H658" i="1"/>
  <c r="I650" i="1"/>
  <c r="H650" i="1"/>
  <c r="I642" i="1"/>
  <c r="H642" i="1"/>
  <c r="I634" i="1"/>
  <c r="H634" i="1"/>
  <c r="I626" i="1"/>
  <c r="H626" i="1"/>
  <c r="I618" i="1"/>
  <c r="H618" i="1"/>
  <c r="I610" i="1"/>
  <c r="H610" i="1"/>
  <c r="I602" i="1"/>
  <c r="H602" i="1"/>
  <c r="I594" i="1"/>
  <c r="H594" i="1"/>
  <c r="I586" i="1"/>
  <c r="H586" i="1"/>
  <c r="I578" i="1"/>
  <c r="H578" i="1"/>
  <c r="I570" i="1"/>
  <c r="H570" i="1"/>
  <c r="I562" i="1"/>
  <c r="H562" i="1"/>
  <c r="I554" i="1"/>
  <c r="H554" i="1"/>
  <c r="I546" i="1"/>
  <c r="H546" i="1"/>
  <c r="I538" i="1"/>
  <c r="H538" i="1"/>
  <c r="I530" i="1"/>
  <c r="H530" i="1"/>
  <c r="I522" i="1"/>
  <c r="H522" i="1"/>
  <c r="I514" i="1"/>
  <c r="H514" i="1"/>
  <c r="I506" i="1"/>
  <c r="H506" i="1"/>
  <c r="I498" i="1"/>
  <c r="H498" i="1"/>
  <c r="I490" i="1"/>
  <c r="H490" i="1"/>
  <c r="I482" i="1"/>
  <c r="H482" i="1"/>
  <c r="I474" i="1"/>
  <c r="H474" i="1"/>
  <c r="I466" i="1"/>
  <c r="H466" i="1"/>
  <c r="I458" i="1"/>
  <c r="H458" i="1"/>
  <c r="I450" i="1"/>
  <c r="H450" i="1"/>
  <c r="I442" i="1"/>
  <c r="H442" i="1"/>
  <c r="I434" i="1"/>
  <c r="H434" i="1"/>
  <c r="I426" i="1"/>
  <c r="H426" i="1"/>
  <c r="I418" i="1"/>
  <c r="H418" i="1"/>
  <c r="I410" i="1"/>
  <c r="H410" i="1"/>
  <c r="I402" i="1"/>
  <c r="H402" i="1"/>
  <c r="I394" i="1"/>
  <c r="H394" i="1"/>
  <c r="I386" i="1"/>
  <c r="H386" i="1"/>
  <c r="I378" i="1"/>
  <c r="H378" i="1"/>
  <c r="I370" i="1"/>
  <c r="H370" i="1"/>
  <c r="I362" i="1"/>
  <c r="H362" i="1"/>
  <c r="I354" i="1"/>
  <c r="H354" i="1"/>
  <c r="I346" i="1"/>
  <c r="H346" i="1"/>
  <c r="I338" i="1"/>
  <c r="H338" i="1"/>
  <c r="I330" i="1"/>
  <c r="H330" i="1"/>
  <c r="I322" i="1"/>
  <c r="H322" i="1"/>
  <c r="I314" i="1"/>
  <c r="H314" i="1"/>
  <c r="F306" i="1"/>
  <c r="I306" i="1"/>
  <c r="H306" i="1"/>
  <c r="H9997" i="1"/>
  <c r="H9989" i="1"/>
  <c r="H9981" i="1"/>
  <c r="H9973" i="1"/>
  <c r="H9965" i="1"/>
  <c r="H9957" i="1"/>
  <c r="H9949" i="1"/>
  <c r="H9941" i="1"/>
  <c r="H9933" i="1"/>
  <c r="H9925" i="1"/>
  <c r="H9917" i="1"/>
  <c r="H9909" i="1"/>
  <c r="H9901" i="1"/>
  <c r="H9893" i="1"/>
  <c r="H9885" i="1"/>
  <c r="H9877" i="1"/>
  <c r="H9869" i="1"/>
  <c r="H9861" i="1"/>
  <c r="H9853" i="1"/>
  <c r="H9845" i="1"/>
  <c r="H9837" i="1"/>
  <c r="H9829" i="1"/>
  <c r="H9821" i="1"/>
  <c r="H9813" i="1"/>
  <c r="H9805" i="1"/>
  <c r="H9797" i="1"/>
  <c r="H9789" i="1"/>
  <c r="H9781" i="1"/>
  <c r="H9773" i="1"/>
  <c r="H9765" i="1"/>
  <c r="H9757" i="1"/>
  <c r="H9749" i="1"/>
  <c r="H9741" i="1"/>
  <c r="H9733" i="1"/>
  <c r="H9725" i="1"/>
  <c r="H9717" i="1"/>
  <c r="H9709" i="1"/>
  <c r="H9701" i="1"/>
  <c r="H9693" i="1"/>
  <c r="H9685" i="1"/>
  <c r="H9677" i="1"/>
  <c r="H9669" i="1"/>
  <c r="H9661" i="1"/>
  <c r="H9653" i="1"/>
  <c r="H9645" i="1"/>
  <c r="H9637" i="1"/>
  <c r="H9629" i="1"/>
  <c r="H9621" i="1"/>
  <c r="H9613" i="1"/>
  <c r="H9605" i="1"/>
  <c r="H9597" i="1"/>
  <c r="H9589" i="1"/>
  <c r="H9581" i="1"/>
  <c r="H9573" i="1"/>
  <c r="H9565" i="1"/>
  <c r="H9557" i="1"/>
  <c r="H9549" i="1"/>
  <c r="H9541" i="1"/>
  <c r="H9533" i="1"/>
  <c r="H9525" i="1"/>
  <c r="H9517" i="1"/>
  <c r="H9509" i="1"/>
  <c r="H9501" i="1"/>
  <c r="H9493" i="1"/>
  <c r="H9485" i="1"/>
  <c r="H9477" i="1"/>
  <c r="H9469" i="1"/>
  <c r="H9461" i="1"/>
  <c r="H9453" i="1"/>
  <c r="H9445" i="1"/>
  <c r="H9437" i="1"/>
  <c r="H9429" i="1"/>
  <c r="H9421" i="1"/>
  <c r="H9413" i="1"/>
  <c r="H9405" i="1"/>
  <c r="H9397" i="1"/>
  <c r="H9389" i="1"/>
  <c r="H9381" i="1"/>
  <c r="H9373" i="1"/>
  <c r="H9365" i="1"/>
  <c r="H9357" i="1"/>
  <c r="H9349" i="1"/>
  <c r="H9341" i="1"/>
  <c r="H9333" i="1"/>
  <c r="H9325" i="1"/>
  <c r="H9317" i="1"/>
  <c r="H9309" i="1"/>
  <c r="H9301" i="1"/>
  <c r="H9293" i="1"/>
  <c r="H9285" i="1"/>
  <c r="H9277" i="1"/>
  <c r="H9269" i="1"/>
  <c r="H9261" i="1"/>
  <c r="H9253" i="1"/>
  <c r="H9245" i="1"/>
  <c r="H9237" i="1"/>
  <c r="H9229" i="1"/>
  <c r="H9221" i="1"/>
  <c r="H9213" i="1"/>
  <c r="H9205" i="1"/>
  <c r="H9197" i="1"/>
  <c r="H9189" i="1"/>
  <c r="H9181" i="1"/>
  <c r="H9173" i="1"/>
  <c r="H9165" i="1"/>
  <c r="H9157" i="1"/>
  <c r="H9149" i="1"/>
  <c r="H9141" i="1"/>
  <c r="H9133" i="1"/>
  <c r="H9125" i="1"/>
  <c r="H9117" i="1"/>
  <c r="H9109" i="1"/>
  <c r="H9101" i="1"/>
  <c r="H9093" i="1"/>
  <c r="H9085" i="1"/>
  <c r="H9077" i="1"/>
  <c r="H9069" i="1"/>
  <c r="H9061" i="1"/>
  <c r="H9053" i="1"/>
  <c r="H9045" i="1"/>
  <c r="H9037" i="1"/>
  <c r="H9029" i="1"/>
  <c r="H9021" i="1"/>
  <c r="H9013" i="1"/>
  <c r="H9005" i="1"/>
  <c r="H8997" i="1"/>
  <c r="H8989" i="1"/>
  <c r="H8981" i="1"/>
  <c r="H8973" i="1"/>
  <c r="H8965" i="1"/>
  <c r="H8957" i="1"/>
  <c r="H8949" i="1"/>
  <c r="H8941" i="1"/>
  <c r="H8933" i="1"/>
  <c r="H8925" i="1"/>
  <c r="H8917" i="1"/>
  <c r="H8909" i="1"/>
  <c r="H8901" i="1"/>
  <c r="H8893" i="1"/>
  <c r="H8885" i="1"/>
  <c r="H8877" i="1"/>
  <c r="H8869" i="1"/>
  <c r="H8861" i="1"/>
  <c r="H8853" i="1"/>
  <c r="H8845" i="1"/>
  <c r="H8837" i="1"/>
  <c r="H8829" i="1"/>
  <c r="H8821" i="1"/>
  <c r="H8813" i="1"/>
  <c r="H8805" i="1"/>
  <c r="H8797" i="1"/>
  <c r="H8789" i="1"/>
  <c r="H8781" i="1"/>
  <c r="H8773" i="1"/>
  <c r="H8765" i="1"/>
  <c r="H8757" i="1"/>
  <c r="H8749" i="1"/>
  <c r="H8741" i="1"/>
  <c r="H8733" i="1"/>
  <c r="H8725" i="1"/>
  <c r="H8717" i="1"/>
  <c r="H8709" i="1"/>
  <c r="H8701" i="1"/>
  <c r="H8693" i="1"/>
  <c r="H8685" i="1"/>
  <c r="H8677" i="1"/>
  <c r="H8669" i="1"/>
  <c r="H8661" i="1"/>
  <c r="H8653" i="1"/>
  <c r="H8645" i="1"/>
  <c r="H8637" i="1"/>
  <c r="H8629" i="1"/>
  <c r="H8621" i="1"/>
  <c r="H8613" i="1"/>
  <c r="H8605" i="1"/>
  <c r="H8597" i="1"/>
  <c r="H8589" i="1"/>
  <c r="H8581" i="1"/>
  <c r="H8573" i="1"/>
  <c r="H8565" i="1"/>
  <c r="H8557" i="1"/>
  <c r="H8549" i="1"/>
  <c r="H8541" i="1"/>
  <c r="H8533" i="1"/>
  <c r="H8525" i="1"/>
  <c r="H8517" i="1"/>
  <c r="H8509" i="1"/>
  <c r="H8501" i="1"/>
  <c r="H8493" i="1"/>
  <c r="H8485" i="1"/>
  <c r="H8477" i="1"/>
  <c r="H8469" i="1"/>
  <c r="H8461" i="1"/>
  <c r="H8453" i="1"/>
  <c r="H8445" i="1"/>
  <c r="H8437" i="1"/>
  <c r="H8429" i="1"/>
  <c r="H8421" i="1"/>
  <c r="H8413" i="1"/>
  <c r="H8405" i="1"/>
  <c r="H8397" i="1"/>
  <c r="H8389" i="1"/>
  <c r="H8381" i="1"/>
  <c r="H8373" i="1"/>
  <c r="H8365" i="1"/>
  <c r="H8357" i="1"/>
  <c r="H8349" i="1"/>
  <c r="H8341" i="1"/>
  <c r="H8333" i="1"/>
  <c r="H8325" i="1"/>
  <c r="H8317" i="1"/>
  <c r="H8309" i="1"/>
  <c r="H8301" i="1"/>
  <c r="H8293" i="1"/>
  <c r="H8285" i="1"/>
  <c r="H8277" i="1"/>
  <c r="H8269" i="1"/>
  <c r="H8261" i="1"/>
  <c r="H8253" i="1"/>
  <c r="H8245" i="1"/>
  <c r="H8237" i="1"/>
  <c r="H8229" i="1"/>
  <c r="H8221" i="1"/>
  <c r="H8213" i="1"/>
  <c r="H8205" i="1"/>
  <c r="H8197" i="1"/>
  <c r="H8189" i="1"/>
  <c r="H8181" i="1"/>
  <c r="H8173" i="1"/>
  <c r="H8165" i="1"/>
  <c r="H8157" i="1"/>
  <c r="H8149" i="1"/>
  <c r="H8141" i="1"/>
  <c r="H8133" i="1"/>
  <c r="H8125" i="1"/>
  <c r="H8117" i="1"/>
  <c r="H8109" i="1"/>
  <c r="H8101" i="1"/>
  <c r="H8093" i="1"/>
  <c r="H8085" i="1"/>
  <c r="H8077" i="1"/>
  <c r="H8069" i="1"/>
  <c r="H8061" i="1"/>
  <c r="H8053" i="1"/>
  <c r="H8045" i="1"/>
  <c r="H8037" i="1"/>
  <c r="H8029" i="1"/>
  <c r="H8021" i="1"/>
  <c r="H8013" i="1"/>
  <c r="H8005" i="1"/>
  <c r="H7997" i="1"/>
  <c r="H7989" i="1"/>
  <c r="H7981" i="1"/>
  <c r="H7973" i="1"/>
  <c r="H7965" i="1"/>
  <c r="H7957" i="1"/>
  <c r="H7949" i="1"/>
  <c r="H7941" i="1"/>
  <c r="H7933" i="1"/>
  <c r="H7925" i="1"/>
  <c r="H7917" i="1"/>
  <c r="H7909" i="1"/>
  <c r="H7901" i="1"/>
  <c r="H7893" i="1"/>
  <c r="H7885" i="1"/>
  <c r="H7877" i="1"/>
  <c r="H7869" i="1"/>
  <c r="H7861" i="1"/>
  <c r="H7853" i="1"/>
  <c r="H7817" i="1"/>
  <c r="H7753" i="1"/>
  <c r="H7689" i="1"/>
  <c r="H7625" i="1"/>
  <c r="H7561" i="1"/>
  <c r="H7497" i="1"/>
  <c r="H7433" i="1"/>
  <c r="H7369" i="1"/>
  <c r="H7305" i="1"/>
  <c r="H7241" i="1"/>
  <c r="H7177" i="1"/>
  <c r="H7113" i="1"/>
  <c r="H7049" i="1"/>
  <c r="H6985" i="1"/>
  <c r="H6921" i="1"/>
  <c r="H6857" i="1"/>
  <c r="H6793" i="1"/>
  <c r="H6729" i="1"/>
  <c r="H6665" i="1"/>
  <c r="H6601" i="1"/>
  <c r="H6537" i="1"/>
  <c r="H6473" i="1"/>
  <c r="H6409" i="1"/>
  <c r="H6345" i="1"/>
  <c r="H6281" i="1"/>
  <c r="H6217" i="1"/>
  <c r="H6153" i="1"/>
  <c r="H6089" i="1"/>
  <c r="H6025" i="1"/>
  <c r="H5961" i="1"/>
  <c r="H5897" i="1"/>
  <c r="H5833" i="1"/>
  <c r="H5769" i="1"/>
  <c r="H5705" i="1"/>
  <c r="H5641" i="1"/>
  <c r="H5577" i="1"/>
  <c r="H5513" i="1"/>
  <c r="H5449" i="1"/>
  <c r="H5385" i="1"/>
  <c r="H5321" i="1"/>
  <c r="H5257" i="1"/>
  <c r="H5193" i="1"/>
  <c r="H5129" i="1"/>
  <c r="H5065" i="1"/>
  <c r="H5001" i="1"/>
  <c r="H4937" i="1"/>
  <c r="H4873" i="1"/>
  <c r="H4809" i="1"/>
  <c r="H4745" i="1"/>
  <c r="H4681" i="1"/>
  <c r="H4617" i="1"/>
  <c r="H4553" i="1"/>
  <c r="H4489" i="1"/>
  <c r="H4425" i="1"/>
  <c r="H4361" i="1"/>
  <c r="H4297" i="1"/>
  <c r="H4233" i="1"/>
  <c r="H4169" i="1"/>
  <c r="H4105" i="1"/>
  <c r="H4041" i="1"/>
  <c r="H3977" i="1"/>
  <c r="H3913" i="1"/>
  <c r="H3849" i="1"/>
  <c r="H3785" i="1"/>
  <c r="H3721" i="1"/>
  <c r="H3657" i="1"/>
  <c r="H3593" i="1"/>
  <c r="H3529" i="1"/>
  <c r="H3465" i="1"/>
  <c r="H3401" i="1"/>
  <c r="H3337" i="1"/>
  <c r="H3273" i="1"/>
  <c r="H3209" i="1"/>
  <c r="H3145" i="1"/>
  <c r="H3057" i="1"/>
  <c r="H2886" i="1"/>
  <c r="H2715" i="1"/>
  <c r="H2545" i="1"/>
  <c r="H2203" i="1"/>
  <c r="H2033" i="1"/>
  <c r="H1779" i="1"/>
  <c r="H1523" i="1"/>
  <c r="H1257" i="1"/>
  <c r="H279" i="1"/>
  <c r="I86" i="1"/>
  <c r="H86" i="1"/>
  <c r="I38" i="1"/>
  <c r="H38" i="1"/>
  <c r="I297" i="1"/>
  <c r="H297" i="1"/>
  <c r="I249" i="1"/>
  <c r="H249" i="1"/>
  <c r="I201" i="1"/>
  <c r="H201" i="1"/>
  <c r="I121" i="1"/>
  <c r="H121" i="1"/>
  <c r="E9964" i="1"/>
  <c r="I9964" i="1"/>
  <c r="F9908" i="1"/>
  <c r="I9908" i="1"/>
  <c r="F9844" i="1"/>
  <c r="I9844" i="1"/>
  <c r="F9804" i="1"/>
  <c r="I9804" i="1"/>
  <c r="F9756" i="1"/>
  <c r="I9756" i="1"/>
  <c r="F9692" i="1"/>
  <c r="I9692" i="1"/>
  <c r="F9564" i="1"/>
  <c r="I9564" i="1"/>
  <c r="F9524" i="1"/>
  <c r="I9524" i="1"/>
  <c r="E9484" i="1"/>
  <c r="I9484" i="1"/>
  <c r="E9428" i="1"/>
  <c r="I9428" i="1"/>
  <c r="E9380" i="1"/>
  <c r="I9380" i="1"/>
  <c r="E9348" i="1"/>
  <c r="I9348" i="1"/>
  <c r="E9308" i="1"/>
  <c r="I9308" i="1"/>
  <c r="E9276" i="1"/>
  <c r="I9276" i="1"/>
  <c r="E9236" i="1"/>
  <c r="I9236" i="1"/>
  <c r="E9196" i="1"/>
  <c r="I9196" i="1"/>
  <c r="E9156" i="1"/>
  <c r="I9156" i="1"/>
  <c r="F9116" i="1"/>
  <c r="I9116" i="1"/>
  <c r="E9068" i="1"/>
  <c r="I9068" i="1"/>
  <c r="E9028" i="1"/>
  <c r="I9028" i="1"/>
  <c r="F8988" i="1"/>
  <c r="I8988" i="1"/>
  <c r="E8940" i="1"/>
  <c r="I8940" i="1"/>
  <c r="E8900" i="1"/>
  <c r="I8900" i="1"/>
  <c r="F8860" i="1"/>
  <c r="I8860" i="1"/>
  <c r="E8836" i="1"/>
  <c r="I8836" i="1"/>
  <c r="E8796" i="1"/>
  <c r="I8796" i="1"/>
  <c r="E8764" i="1"/>
  <c r="I8764" i="1"/>
  <c r="E8724" i="1"/>
  <c r="I8724" i="1"/>
  <c r="E8676" i="1"/>
  <c r="I8676" i="1"/>
  <c r="E8636" i="1"/>
  <c r="I8636" i="1"/>
  <c r="F8604" i="1"/>
  <c r="I8604" i="1"/>
  <c r="F8564" i="1"/>
  <c r="I8564" i="1"/>
  <c r="E8532" i="1"/>
  <c r="I8532" i="1"/>
  <c r="F8500" i="1"/>
  <c r="I8500" i="1"/>
  <c r="F8476" i="1"/>
  <c r="I8476" i="1"/>
  <c r="E8444" i="1"/>
  <c r="I8444" i="1"/>
  <c r="E8412" i="1"/>
  <c r="I8412" i="1"/>
  <c r="F8372" i="1"/>
  <c r="I8372" i="1"/>
  <c r="E8340" i="1"/>
  <c r="I8340" i="1"/>
  <c r="F8308" i="1"/>
  <c r="I8308" i="1"/>
  <c r="E8276" i="1"/>
  <c r="I8276" i="1"/>
  <c r="F8220" i="1"/>
  <c r="I8220" i="1"/>
  <c r="E8108" i="1"/>
  <c r="I8108" i="1"/>
  <c r="E8052" i="1"/>
  <c r="I8052" i="1"/>
  <c r="E8004" i="1"/>
  <c r="I8004" i="1"/>
  <c r="E7980" i="1"/>
  <c r="I7980" i="1"/>
  <c r="E7932" i="1"/>
  <c r="I7932" i="1"/>
  <c r="E7900" i="1"/>
  <c r="I7900" i="1"/>
  <c r="E7852" i="1"/>
  <c r="I7852" i="1"/>
  <c r="E7804" i="1"/>
  <c r="I7804" i="1"/>
  <c r="H7804" i="1"/>
  <c r="E7756" i="1"/>
  <c r="I7756" i="1"/>
  <c r="H7756" i="1"/>
  <c r="E7708" i="1"/>
  <c r="I7708" i="1"/>
  <c r="H7708" i="1"/>
  <c r="E7660" i="1"/>
  <c r="I7660" i="1"/>
  <c r="H7660" i="1"/>
  <c r="E7612" i="1"/>
  <c r="I7612" i="1"/>
  <c r="H7612" i="1"/>
  <c r="E7564" i="1"/>
  <c r="I7564" i="1"/>
  <c r="H7564" i="1"/>
  <c r="E7516" i="1"/>
  <c r="I7516" i="1"/>
  <c r="H7516" i="1"/>
  <c r="E7468" i="1"/>
  <c r="I7468" i="1"/>
  <c r="H7468" i="1"/>
  <c r="E7420" i="1"/>
  <c r="I7420" i="1"/>
  <c r="H7420" i="1"/>
  <c r="E7372" i="1"/>
  <c r="I7372" i="1"/>
  <c r="H7372" i="1"/>
  <c r="E7316" i="1"/>
  <c r="I7316" i="1"/>
  <c r="H7316" i="1"/>
  <c r="E7260" i="1"/>
  <c r="I7260" i="1"/>
  <c r="H7260" i="1"/>
  <c r="E7204" i="1"/>
  <c r="I7204" i="1"/>
  <c r="H7204" i="1"/>
  <c r="E7156" i="1"/>
  <c r="I7156" i="1"/>
  <c r="H7156" i="1"/>
  <c r="I7116" i="1"/>
  <c r="H7116" i="1"/>
  <c r="I7060" i="1"/>
  <c r="H7060" i="1"/>
  <c r="E7012" i="1"/>
  <c r="I7012" i="1"/>
  <c r="H7012" i="1"/>
  <c r="E6972" i="1"/>
  <c r="I6972" i="1"/>
  <c r="H6972" i="1"/>
  <c r="I6932" i="1"/>
  <c r="H6932" i="1"/>
  <c r="E6884" i="1"/>
  <c r="I6884" i="1"/>
  <c r="H6884" i="1"/>
  <c r="E6844" i="1"/>
  <c r="I6844" i="1"/>
  <c r="H6844" i="1"/>
  <c r="I6804" i="1"/>
  <c r="H6804" i="1"/>
  <c r="E6764" i="1"/>
  <c r="I6764" i="1"/>
  <c r="H6764" i="1"/>
  <c r="E6724" i="1"/>
  <c r="I6724" i="1"/>
  <c r="H6724" i="1"/>
  <c r="E6684" i="1"/>
  <c r="I6684" i="1"/>
  <c r="H6684" i="1"/>
  <c r="E6644" i="1"/>
  <c r="I6644" i="1"/>
  <c r="H6644" i="1"/>
  <c r="E6588" i="1"/>
  <c r="I6588" i="1"/>
  <c r="H6588" i="1"/>
  <c r="I6548" i="1"/>
  <c r="H6548" i="1"/>
  <c r="E6508" i="1"/>
  <c r="I6508" i="1"/>
  <c r="H6508" i="1"/>
  <c r="E6468" i="1"/>
  <c r="I6468" i="1"/>
  <c r="H6468" i="1"/>
  <c r="E6428" i="1"/>
  <c r="I6428" i="1"/>
  <c r="H6428" i="1"/>
  <c r="E6372" i="1"/>
  <c r="I6372" i="1"/>
  <c r="H6372" i="1"/>
  <c r="E6308" i="1"/>
  <c r="I6308" i="1"/>
  <c r="H6308" i="1"/>
  <c r="E6252" i="1"/>
  <c r="I6252" i="1"/>
  <c r="H6252" i="1"/>
  <c r="E6204" i="1"/>
  <c r="I6204" i="1"/>
  <c r="H6204" i="1"/>
  <c r="E6148" i="1"/>
  <c r="I6148" i="1"/>
  <c r="H6148" i="1"/>
  <c r="E6100" i="1"/>
  <c r="I6100" i="1"/>
  <c r="H6100" i="1"/>
  <c r="E6028" i="1"/>
  <c r="I6028" i="1"/>
  <c r="H6028" i="1"/>
  <c r="E5972" i="1"/>
  <c r="I5972" i="1"/>
  <c r="H5972" i="1"/>
  <c r="E5916" i="1"/>
  <c r="I5916" i="1"/>
  <c r="H5916" i="1"/>
  <c r="E5860" i="1"/>
  <c r="I5860" i="1"/>
  <c r="H5860" i="1"/>
  <c r="I5804" i="1"/>
  <c r="H5804" i="1"/>
  <c r="I5748" i="1"/>
  <c r="H5748" i="1"/>
  <c r="E5692" i="1"/>
  <c r="I5692" i="1"/>
  <c r="H5692" i="1"/>
  <c r="E5636" i="1"/>
  <c r="I5636" i="1"/>
  <c r="H5636" i="1"/>
  <c r="I5580" i="1"/>
  <c r="H5580" i="1"/>
  <c r="E5532" i="1"/>
  <c r="I5532" i="1"/>
  <c r="H5532" i="1"/>
  <c r="I5484" i="1"/>
  <c r="H5484" i="1"/>
  <c r="I5428" i="1"/>
  <c r="H5428" i="1"/>
  <c r="E5380" i="1"/>
  <c r="I5380" i="1"/>
  <c r="H5380" i="1"/>
  <c r="I5332" i="1"/>
  <c r="H5332" i="1"/>
  <c r="E5276" i="1"/>
  <c r="I5276" i="1"/>
  <c r="H5276" i="1"/>
  <c r="E5220" i="1"/>
  <c r="I5220" i="1"/>
  <c r="H5220" i="1"/>
  <c r="I5164" i="1"/>
  <c r="H5164" i="1"/>
  <c r="I5108" i="1"/>
  <c r="H5108" i="1"/>
  <c r="E5052" i="1"/>
  <c r="I5052" i="1"/>
  <c r="H5052" i="1"/>
  <c r="E4996" i="1"/>
  <c r="I4996" i="1"/>
  <c r="H4996" i="1"/>
  <c r="E4940" i="1"/>
  <c r="I4940" i="1"/>
  <c r="H4940" i="1"/>
  <c r="E4884" i="1"/>
  <c r="I4884" i="1"/>
  <c r="H4884" i="1"/>
  <c r="E4828" i="1"/>
  <c r="I4828" i="1"/>
  <c r="H4828" i="1"/>
  <c r="E4772" i="1"/>
  <c r="I4772" i="1"/>
  <c r="H4772" i="1"/>
  <c r="E4716" i="1"/>
  <c r="I4716" i="1"/>
  <c r="H4716" i="1"/>
  <c r="E4660" i="1"/>
  <c r="I4660" i="1"/>
  <c r="H4660" i="1"/>
  <c r="I4604" i="1"/>
  <c r="H4604" i="1"/>
  <c r="E4540" i="1"/>
  <c r="I4540" i="1"/>
  <c r="H4540" i="1"/>
  <c r="E4484" i="1"/>
  <c r="I4484" i="1"/>
  <c r="H4484" i="1"/>
  <c r="E4428" i="1"/>
  <c r="I4428" i="1"/>
  <c r="H4428" i="1"/>
  <c r="E4372" i="1"/>
  <c r="I4372" i="1"/>
  <c r="H4372" i="1"/>
  <c r="E4308" i="1"/>
  <c r="I4308" i="1"/>
  <c r="H4308" i="1"/>
  <c r="E4260" i="1"/>
  <c r="I4260" i="1"/>
  <c r="H4260" i="1"/>
  <c r="E4212" i="1"/>
  <c r="I4212" i="1"/>
  <c r="H4212" i="1"/>
  <c r="I4156" i="1"/>
  <c r="H4156" i="1"/>
  <c r="I4092" i="1"/>
  <c r="H4092" i="1"/>
  <c r="E4044" i="1"/>
  <c r="I4044" i="1"/>
  <c r="H4044" i="1"/>
  <c r="E3988" i="1"/>
  <c r="I3988" i="1"/>
  <c r="H3988" i="1"/>
  <c r="I3940" i="1"/>
  <c r="H3940" i="1"/>
  <c r="I3900" i="1"/>
  <c r="H3900" i="1"/>
  <c r="E3852" i="1"/>
  <c r="I3852" i="1"/>
  <c r="H3852" i="1"/>
  <c r="I3804" i="1"/>
  <c r="H3804" i="1"/>
  <c r="E3764" i="1"/>
  <c r="I3764" i="1"/>
  <c r="H3764" i="1"/>
  <c r="I3716" i="1"/>
  <c r="H3716" i="1"/>
  <c r="E3668" i="1"/>
  <c r="I3668" i="1"/>
  <c r="H3668" i="1"/>
  <c r="I3620" i="1"/>
  <c r="H3620" i="1"/>
  <c r="E3572" i="1"/>
  <c r="I3572" i="1"/>
  <c r="H3572" i="1"/>
  <c r="I3524" i="1"/>
  <c r="H3524" i="1"/>
  <c r="E3468" i="1"/>
  <c r="I3468" i="1"/>
  <c r="H3468" i="1"/>
  <c r="I3388" i="1"/>
  <c r="H3388" i="1"/>
  <c r="I3260" i="1"/>
  <c r="H3260" i="1"/>
  <c r="E3212" i="1"/>
  <c r="I3212" i="1"/>
  <c r="H3212" i="1"/>
  <c r="I3164" i="1"/>
  <c r="H3164" i="1"/>
  <c r="I3108" i="1"/>
  <c r="H3108" i="1"/>
  <c r="E3060" i="1"/>
  <c r="I3060" i="1"/>
  <c r="H3060" i="1"/>
  <c r="I3012" i="1"/>
  <c r="H3012" i="1"/>
  <c r="I2972" i="1"/>
  <c r="H2972" i="1"/>
  <c r="I2940" i="1"/>
  <c r="H2940" i="1"/>
  <c r="I2908" i="1"/>
  <c r="H2908" i="1"/>
  <c r="E2860" i="1"/>
  <c r="I2860" i="1"/>
  <c r="H2860" i="1"/>
  <c r="I2812" i="1"/>
  <c r="H2812" i="1"/>
  <c r="I2780" i="1"/>
  <c r="H2780" i="1"/>
  <c r="I2724" i="1"/>
  <c r="H2724" i="1"/>
  <c r="I2684" i="1"/>
  <c r="H2684" i="1"/>
  <c r="I2652" i="1"/>
  <c r="H2652" i="1"/>
  <c r="I2604" i="1"/>
  <c r="H2604" i="1"/>
  <c r="I2556" i="1"/>
  <c r="H2556" i="1"/>
  <c r="I2516" i="1"/>
  <c r="H2516" i="1"/>
  <c r="E2476" i="1"/>
  <c r="I2476" i="1"/>
  <c r="H2476" i="1"/>
  <c r="I2436" i="1"/>
  <c r="H2436" i="1"/>
  <c r="I2396" i="1"/>
  <c r="H2396" i="1"/>
  <c r="I2356" i="1"/>
  <c r="H2356" i="1"/>
  <c r="E2324" i="1"/>
  <c r="I2324" i="1"/>
  <c r="H2324" i="1"/>
  <c r="I2284" i="1"/>
  <c r="H2284" i="1"/>
  <c r="I2244" i="1"/>
  <c r="H2244" i="1"/>
  <c r="I2204" i="1"/>
  <c r="H2204" i="1"/>
  <c r="I2164" i="1"/>
  <c r="H2164" i="1"/>
  <c r="E2124" i="1"/>
  <c r="I2124" i="1"/>
  <c r="H2124" i="1"/>
  <c r="I2084" i="1"/>
  <c r="H2084" i="1"/>
  <c r="I2036" i="1"/>
  <c r="H2036" i="1"/>
  <c r="I1988" i="1"/>
  <c r="H1988" i="1"/>
  <c r="I1948" i="1"/>
  <c r="H1948" i="1"/>
  <c r="E1900" i="1"/>
  <c r="I1900" i="1"/>
  <c r="H1900" i="1"/>
  <c r="I1860" i="1"/>
  <c r="H1860" i="1"/>
  <c r="I1820" i="1"/>
  <c r="H1820" i="1"/>
  <c r="E1772" i="1"/>
  <c r="I1772" i="1"/>
  <c r="H1772" i="1"/>
  <c r="I1716" i="1"/>
  <c r="H1716" i="1"/>
  <c r="I1668" i="1"/>
  <c r="H1668" i="1"/>
  <c r="E1612" i="1"/>
  <c r="I1612" i="1"/>
  <c r="H1612" i="1"/>
  <c r="I1564" i="1"/>
  <c r="H1564" i="1"/>
  <c r="E1516" i="1"/>
  <c r="I1516" i="1"/>
  <c r="H1516" i="1"/>
  <c r="I1468" i="1"/>
  <c r="H1468" i="1"/>
  <c r="I1412" i="1"/>
  <c r="H1412" i="1"/>
  <c r="E1356" i="1"/>
  <c r="I1356" i="1"/>
  <c r="H1356" i="1"/>
  <c r="I1308" i="1"/>
  <c r="H1308" i="1"/>
  <c r="E1260" i="1"/>
  <c r="I1260" i="1"/>
  <c r="H1260" i="1"/>
  <c r="I1204" i="1"/>
  <c r="H1204" i="1"/>
  <c r="I1156" i="1"/>
  <c r="H1156" i="1"/>
  <c r="I1116" i="1"/>
  <c r="H1116" i="1"/>
  <c r="E1068" i="1"/>
  <c r="I1068" i="1"/>
  <c r="H1068" i="1"/>
  <c r="I1020" i="1"/>
  <c r="H1020" i="1"/>
  <c r="E972" i="1"/>
  <c r="I972" i="1"/>
  <c r="H972" i="1"/>
  <c r="I924" i="1"/>
  <c r="H924" i="1"/>
  <c r="E876" i="1"/>
  <c r="I876" i="1"/>
  <c r="H876" i="1"/>
  <c r="I828" i="1"/>
  <c r="H828" i="1"/>
  <c r="I772" i="1"/>
  <c r="H772" i="1"/>
  <c r="I732" i="1"/>
  <c r="H732" i="1"/>
  <c r="I676" i="1"/>
  <c r="H676" i="1"/>
  <c r="I636" i="1"/>
  <c r="H636" i="1"/>
  <c r="E588" i="1"/>
  <c r="I588" i="1"/>
  <c r="H588" i="1"/>
  <c r="I532" i="1"/>
  <c r="H532" i="1"/>
  <c r="I484" i="1"/>
  <c r="H484" i="1"/>
  <c r="I436" i="1"/>
  <c r="H436" i="1"/>
  <c r="I388" i="1"/>
  <c r="H388" i="1"/>
  <c r="E340" i="1"/>
  <c r="I340" i="1"/>
  <c r="H340" i="1"/>
  <c r="I67" i="1"/>
  <c r="H67" i="1"/>
  <c r="I286" i="1"/>
  <c r="H286" i="1"/>
  <c r="E254" i="1"/>
  <c r="I254" i="1"/>
  <c r="H254" i="1"/>
  <c r="I214" i="1"/>
  <c r="H214" i="1"/>
  <c r="I182" i="1"/>
  <c r="H182" i="1"/>
  <c r="I150" i="1"/>
  <c r="H150" i="1"/>
  <c r="I110" i="1"/>
  <c r="H110" i="1"/>
  <c r="E8540" i="1"/>
  <c r="E7988" i="1"/>
  <c r="E7060" i="1"/>
  <c r="E6804" i="1"/>
  <c r="E6548" i="1"/>
  <c r="E6292" i="1"/>
  <c r="E5932" i="1"/>
  <c r="E5484" i="1"/>
  <c r="E5356" i="1"/>
  <c r="E5228" i="1"/>
  <c r="E3644" i="1"/>
  <c r="E3524" i="1"/>
  <c r="E3132" i="1"/>
  <c r="E3068" i="1"/>
  <c r="E3012" i="1"/>
  <c r="E2972" i="1"/>
  <c r="E2444" i="1"/>
  <c r="E2356" i="1"/>
  <c r="E2164" i="1"/>
  <c r="E1908" i="1"/>
  <c r="E1636" i="1"/>
  <c r="E1308" i="1"/>
  <c r="E1220" i="1"/>
  <c r="E1156" i="1"/>
  <c r="E1108" i="1"/>
  <c r="E796" i="1"/>
  <c r="E708" i="1"/>
  <c r="E644" i="1"/>
  <c r="E484" i="1"/>
  <c r="E420" i="1"/>
  <c r="E9993" i="1"/>
  <c r="I9993" i="1"/>
  <c r="F9985" i="1"/>
  <c r="I9985" i="1"/>
  <c r="I9977" i="1"/>
  <c r="F9969" i="1"/>
  <c r="I9969" i="1"/>
  <c r="E9961" i="1"/>
  <c r="I9961" i="1"/>
  <c r="F9945" i="1"/>
  <c r="I9945" i="1"/>
  <c r="E9929" i="1"/>
  <c r="I9929" i="1"/>
  <c r="I9913" i="1"/>
  <c r="F9905" i="1"/>
  <c r="I9905" i="1"/>
  <c r="E9897" i="1"/>
  <c r="I9897" i="1"/>
  <c r="F9881" i="1"/>
  <c r="I9881" i="1"/>
  <c r="E9865" i="1"/>
  <c r="I9865" i="1"/>
  <c r="F9857" i="1"/>
  <c r="I9857" i="1"/>
  <c r="I9849" i="1"/>
  <c r="F9841" i="1"/>
  <c r="I9841" i="1"/>
  <c r="E9833" i="1"/>
  <c r="I9833" i="1"/>
  <c r="F9817" i="1"/>
  <c r="I9817" i="1"/>
  <c r="E9801" i="1"/>
  <c r="I9801" i="1"/>
  <c r="F9793" i="1"/>
  <c r="I9793" i="1"/>
  <c r="I9785" i="1"/>
  <c r="F9777" i="1"/>
  <c r="I9777" i="1"/>
  <c r="E9769" i="1"/>
  <c r="I9769" i="1"/>
  <c r="E9737" i="1"/>
  <c r="I9737" i="1"/>
  <c r="F9729" i="1"/>
  <c r="I9729" i="1"/>
  <c r="I9721" i="1"/>
  <c r="F9713" i="1"/>
  <c r="I9713" i="1"/>
  <c r="E9705" i="1"/>
  <c r="I9705" i="1"/>
  <c r="F9689" i="1"/>
  <c r="I9689" i="1"/>
  <c r="E9673" i="1"/>
  <c r="I9673" i="1"/>
  <c r="F9665" i="1"/>
  <c r="I9665" i="1"/>
  <c r="I9657" i="1"/>
  <c r="F9649" i="1"/>
  <c r="I9649" i="1"/>
  <c r="E9641" i="1"/>
  <c r="I9641" i="1"/>
  <c r="F9625" i="1"/>
  <c r="I9625" i="1"/>
  <c r="E9609" i="1"/>
  <c r="I9609" i="1"/>
  <c r="F9601" i="1"/>
  <c r="I9601" i="1"/>
  <c r="I9593" i="1"/>
  <c r="E9577" i="1"/>
  <c r="I9577" i="1"/>
  <c r="F9561" i="1"/>
  <c r="I9561" i="1"/>
  <c r="E9545" i="1"/>
  <c r="I9545" i="1"/>
  <c r="F9537" i="1"/>
  <c r="I9537" i="1"/>
  <c r="I9529" i="1"/>
  <c r="F9521" i="1"/>
  <c r="I9521" i="1"/>
  <c r="E9513" i="1"/>
  <c r="I9513" i="1"/>
  <c r="F9497" i="1"/>
  <c r="I9497" i="1"/>
  <c r="E9481" i="1"/>
  <c r="I9481" i="1"/>
  <c r="F9473" i="1"/>
  <c r="I9473" i="1"/>
  <c r="I9465" i="1"/>
  <c r="F9457" i="1"/>
  <c r="I9457" i="1"/>
  <c r="E9449" i="1"/>
  <c r="I9449" i="1"/>
  <c r="F9433" i="1"/>
  <c r="I9433" i="1"/>
  <c r="E9417" i="1"/>
  <c r="I9417" i="1"/>
  <c r="I9401" i="1"/>
  <c r="F9393" i="1"/>
  <c r="I9393" i="1"/>
  <c r="E9385" i="1"/>
  <c r="I9385" i="1"/>
  <c r="F9369" i="1"/>
  <c r="I9369" i="1"/>
  <c r="E9353" i="1"/>
  <c r="I9353" i="1"/>
  <c r="F9345" i="1"/>
  <c r="I9345" i="1"/>
  <c r="I9337" i="1"/>
  <c r="F9329" i="1"/>
  <c r="I9329" i="1"/>
  <c r="E9321" i="1"/>
  <c r="I9321" i="1"/>
  <c r="F9305" i="1"/>
  <c r="I9305" i="1"/>
  <c r="E9289" i="1"/>
  <c r="I9289" i="1"/>
  <c r="F9281" i="1"/>
  <c r="I9281" i="1"/>
  <c r="I9273" i="1"/>
  <c r="F9265" i="1"/>
  <c r="I9265" i="1"/>
  <c r="E9257" i="1"/>
  <c r="I9257" i="1"/>
  <c r="E9225" i="1"/>
  <c r="I9225" i="1"/>
  <c r="F9217" i="1"/>
  <c r="I9217" i="1"/>
  <c r="I9209" i="1"/>
  <c r="F9201" i="1"/>
  <c r="I9201" i="1"/>
  <c r="E9193" i="1"/>
  <c r="I9193" i="1"/>
  <c r="F9177" i="1"/>
  <c r="I9177" i="1"/>
  <c r="E9161" i="1"/>
  <c r="I9161" i="1"/>
  <c r="F9153" i="1"/>
  <c r="I9153" i="1"/>
  <c r="I9145" i="1"/>
  <c r="F9137" i="1"/>
  <c r="I9137" i="1"/>
  <c r="E9129" i="1"/>
  <c r="I9129" i="1"/>
  <c r="F9113" i="1"/>
  <c r="I9113" i="1"/>
  <c r="E9097" i="1"/>
  <c r="I9097" i="1"/>
  <c r="F9089" i="1"/>
  <c r="I9089" i="1"/>
  <c r="I9081" i="1"/>
  <c r="E9065" i="1"/>
  <c r="I9065" i="1"/>
  <c r="F9049" i="1"/>
  <c r="I9049" i="1"/>
  <c r="E9033" i="1"/>
  <c r="I9033" i="1"/>
  <c r="F9025" i="1"/>
  <c r="I9025" i="1"/>
  <c r="I9017" i="1"/>
  <c r="F9009" i="1"/>
  <c r="I9009" i="1"/>
  <c r="E9001" i="1"/>
  <c r="I9001" i="1"/>
  <c r="F8985" i="1"/>
  <c r="I8985" i="1"/>
  <c r="E8969" i="1"/>
  <c r="I8969" i="1"/>
  <c r="F8961" i="1"/>
  <c r="I8961" i="1"/>
  <c r="I8953" i="1"/>
  <c r="F8945" i="1"/>
  <c r="I8945" i="1"/>
  <c r="E8937" i="1"/>
  <c r="I8937" i="1"/>
  <c r="F8921" i="1"/>
  <c r="I8921" i="1"/>
  <c r="E8905" i="1"/>
  <c r="I8905" i="1"/>
  <c r="I8889" i="1"/>
  <c r="F8881" i="1"/>
  <c r="I8881" i="1"/>
  <c r="E8873" i="1"/>
  <c r="I8873" i="1"/>
  <c r="F8857" i="1"/>
  <c r="I8857" i="1"/>
  <c r="E8841" i="1"/>
  <c r="I8841" i="1"/>
  <c r="F8833" i="1"/>
  <c r="I8833" i="1"/>
  <c r="I8825" i="1"/>
  <c r="F8817" i="1"/>
  <c r="I8817" i="1"/>
  <c r="E8809" i="1"/>
  <c r="I8809" i="1"/>
  <c r="F8793" i="1"/>
  <c r="I8793" i="1"/>
  <c r="E8777" i="1"/>
  <c r="I8777" i="1"/>
  <c r="F8769" i="1"/>
  <c r="I8769" i="1"/>
  <c r="I8761" i="1"/>
  <c r="F8753" i="1"/>
  <c r="I8753" i="1"/>
  <c r="E8745" i="1"/>
  <c r="I8745" i="1"/>
  <c r="E8713" i="1"/>
  <c r="I8713" i="1"/>
  <c r="F8705" i="1"/>
  <c r="I8705" i="1"/>
  <c r="I8697" i="1"/>
  <c r="F8689" i="1"/>
  <c r="I8689" i="1"/>
  <c r="E8681" i="1"/>
  <c r="I8681" i="1"/>
  <c r="F8665" i="1"/>
  <c r="I8665" i="1"/>
  <c r="E8649" i="1"/>
  <c r="I8649" i="1"/>
  <c r="F8641" i="1"/>
  <c r="I8641" i="1"/>
  <c r="I8633" i="1"/>
  <c r="F8625" i="1"/>
  <c r="I8625" i="1"/>
  <c r="E8617" i="1"/>
  <c r="I8617" i="1"/>
  <c r="F8601" i="1"/>
  <c r="I8601" i="1"/>
  <c r="E8585" i="1"/>
  <c r="I8585" i="1"/>
  <c r="F8577" i="1"/>
  <c r="I8577" i="1"/>
  <c r="I8569" i="1"/>
  <c r="E8553" i="1"/>
  <c r="I8553" i="1"/>
  <c r="F8537" i="1"/>
  <c r="I8537" i="1"/>
  <c r="F8529" i="1"/>
  <c r="I8529" i="1"/>
  <c r="F8521" i="1"/>
  <c r="I8521" i="1"/>
  <c r="F8505" i="1"/>
  <c r="I8505" i="1"/>
  <c r="F8489" i="1"/>
  <c r="I8489" i="1"/>
  <c r="F8481" i="1"/>
  <c r="I8481" i="1"/>
  <c r="F8465" i="1"/>
  <c r="I8465" i="1"/>
  <c r="F8457" i="1"/>
  <c r="I8457" i="1"/>
  <c r="F8441" i="1"/>
  <c r="I8441" i="1"/>
  <c r="F8425" i="1"/>
  <c r="I8425" i="1"/>
  <c r="F8417" i="1"/>
  <c r="I8417" i="1"/>
  <c r="F8401" i="1"/>
  <c r="I8401" i="1"/>
  <c r="F8393" i="1"/>
  <c r="I8393" i="1"/>
  <c r="F8377" i="1"/>
  <c r="I8377" i="1"/>
  <c r="F8361" i="1"/>
  <c r="I8361" i="1"/>
  <c r="F8353" i="1"/>
  <c r="I8353" i="1"/>
  <c r="F8337" i="1"/>
  <c r="I8337" i="1"/>
  <c r="F8329" i="1"/>
  <c r="I8329" i="1"/>
  <c r="F8313" i="1"/>
  <c r="I8313" i="1"/>
  <c r="F8297" i="1"/>
  <c r="I8297" i="1"/>
  <c r="F8289" i="1"/>
  <c r="I8289" i="1"/>
  <c r="F8273" i="1"/>
  <c r="I8273" i="1"/>
  <c r="F8265" i="1"/>
  <c r="I8265" i="1"/>
  <c r="F8249" i="1"/>
  <c r="I8249" i="1"/>
  <c r="F8233" i="1"/>
  <c r="I8233" i="1"/>
  <c r="F8225" i="1"/>
  <c r="I8225" i="1"/>
  <c r="F8209" i="1"/>
  <c r="I8209" i="1"/>
  <c r="F8201" i="1"/>
  <c r="I8201" i="1"/>
  <c r="F8185" i="1"/>
  <c r="I8185" i="1"/>
  <c r="F8169" i="1"/>
  <c r="I8169" i="1"/>
  <c r="F8161" i="1"/>
  <c r="I8161" i="1"/>
  <c r="F8145" i="1"/>
  <c r="I8145" i="1"/>
  <c r="F8137" i="1"/>
  <c r="I8137" i="1"/>
  <c r="F8121" i="1"/>
  <c r="I8121" i="1"/>
  <c r="F8105" i="1"/>
  <c r="I8105" i="1"/>
  <c r="F8097" i="1"/>
  <c r="I8097" i="1"/>
  <c r="F8081" i="1"/>
  <c r="I8081" i="1"/>
  <c r="F8073" i="1"/>
  <c r="I8073" i="1"/>
  <c r="F8057" i="1"/>
  <c r="I8057" i="1"/>
  <c r="I3089" i="1"/>
  <c r="H3089" i="1"/>
  <c r="I3081" i="1"/>
  <c r="H3081" i="1"/>
  <c r="I3073" i="1"/>
  <c r="H3073" i="1"/>
  <c r="I3065" i="1"/>
  <c r="H3065" i="1"/>
  <c r="I3049" i="1"/>
  <c r="H3049" i="1"/>
  <c r="I3041" i="1"/>
  <c r="H3041" i="1"/>
  <c r="I3033" i="1"/>
  <c r="H3033" i="1"/>
  <c r="I3025" i="1"/>
  <c r="H3025" i="1"/>
  <c r="I3017" i="1"/>
  <c r="H3017" i="1"/>
  <c r="I3009" i="1"/>
  <c r="H3009" i="1"/>
  <c r="I3001" i="1"/>
  <c r="H3001" i="1"/>
  <c r="I2985" i="1"/>
  <c r="H2985" i="1"/>
  <c r="I2977" i="1"/>
  <c r="H2977" i="1"/>
  <c r="I2969" i="1"/>
  <c r="H2969" i="1"/>
  <c r="I2961" i="1"/>
  <c r="H2961" i="1"/>
  <c r="I2953" i="1"/>
  <c r="H2953" i="1"/>
  <c r="I2945" i="1"/>
  <c r="H2945" i="1"/>
  <c r="I2937" i="1"/>
  <c r="H2937" i="1"/>
  <c r="I2921" i="1"/>
  <c r="H2921" i="1"/>
  <c r="I2913" i="1"/>
  <c r="H2913" i="1"/>
  <c r="I2905" i="1"/>
  <c r="H2905" i="1"/>
  <c r="I2897" i="1"/>
  <c r="H2897" i="1"/>
  <c r="I2889" i="1"/>
  <c r="H2889" i="1"/>
  <c r="I2881" i="1"/>
  <c r="H2881" i="1"/>
  <c r="I2873" i="1"/>
  <c r="H2873" i="1"/>
  <c r="I2857" i="1"/>
  <c r="H2857" i="1"/>
  <c r="I2849" i="1"/>
  <c r="H2849" i="1"/>
  <c r="I2841" i="1"/>
  <c r="H2841" i="1"/>
  <c r="I2833" i="1"/>
  <c r="H2833" i="1"/>
  <c r="I2825" i="1"/>
  <c r="H2825" i="1"/>
  <c r="I2817" i="1"/>
  <c r="H2817" i="1"/>
  <c r="I2809" i="1"/>
  <c r="H2809" i="1"/>
  <c r="I2793" i="1"/>
  <c r="H2793" i="1"/>
  <c r="I2785" i="1"/>
  <c r="H2785" i="1"/>
  <c r="I2777" i="1"/>
  <c r="H2777" i="1"/>
  <c r="I2769" i="1"/>
  <c r="H2769" i="1"/>
  <c r="I2761" i="1"/>
  <c r="H2761" i="1"/>
  <c r="I2753" i="1"/>
  <c r="H2753" i="1"/>
  <c r="I2745" i="1"/>
  <c r="H2745" i="1"/>
  <c r="I2729" i="1"/>
  <c r="H2729" i="1"/>
  <c r="I2721" i="1"/>
  <c r="H2721" i="1"/>
  <c r="I2713" i="1"/>
  <c r="H2713" i="1"/>
  <c r="I2705" i="1"/>
  <c r="H2705" i="1"/>
  <c r="I2697" i="1"/>
  <c r="H2697" i="1"/>
  <c r="I2689" i="1"/>
  <c r="H2689" i="1"/>
  <c r="I2681" i="1"/>
  <c r="H2681" i="1"/>
  <c r="I2665" i="1"/>
  <c r="H2665" i="1"/>
  <c r="I2657" i="1"/>
  <c r="H2657" i="1"/>
  <c r="I2649" i="1"/>
  <c r="H2649" i="1"/>
  <c r="I2641" i="1"/>
  <c r="H2641" i="1"/>
  <c r="I2633" i="1"/>
  <c r="H2633" i="1"/>
  <c r="I2625" i="1"/>
  <c r="H2625" i="1"/>
  <c r="I2617" i="1"/>
  <c r="H2617" i="1"/>
  <c r="I2601" i="1"/>
  <c r="H2601" i="1"/>
  <c r="I2593" i="1"/>
  <c r="H2593" i="1"/>
  <c r="I2585" i="1"/>
  <c r="H2585" i="1"/>
  <c r="I2577" i="1"/>
  <c r="H2577" i="1"/>
  <c r="I2569" i="1"/>
  <c r="H2569" i="1"/>
  <c r="I2561" i="1"/>
  <c r="H2561" i="1"/>
  <c r="I2553" i="1"/>
  <c r="H2553" i="1"/>
  <c r="I2537" i="1"/>
  <c r="H2537" i="1"/>
  <c r="I2529" i="1"/>
  <c r="H2529" i="1"/>
  <c r="I2521" i="1"/>
  <c r="H2521" i="1"/>
  <c r="I2513" i="1"/>
  <c r="H2513" i="1"/>
  <c r="I2505" i="1"/>
  <c r="H2505" i="1"/>
  <c r="I2497" i="1"/>
  <c r="H2497" i="1"/>
  <c r="I2489" i="1"/>
  <c r="H2489" i="1"/>
  <c r="I2473" i="1"/>
  <c r="H2473" i="1"/>
  <c r="I2465" i="1"/>
  <c r="H2465" i="1"/>
  <c r="I2457" i="1"/>
  <c r="H2457" i="1"/>
  <c r="I2449" i="1"/>
  <c r="H2449" i="1"/>
  <c r="I2441" i="1"/>
  <c r="H2441" i="1"/>
  <c r="I2433" i="1"/>
  <c r="H2433" i="1"/>
  <c r="I2425" i="1"/>
  <c r="H2425" i="1"/>
  <c r="I2409" i="1"/>
  <c r="H2409" i="1"/>
  <c r="I2401" i="1"/>
  <c r="H2401" i="1"/>
  <c r="I2393" i="1"/>
  <c r="H2393" i="1"/>
  <c r="I2385" i="1"/>
  <c r="H2385" i="1"/>
  <c r="I2377" i="1"/>
  <c r="H2377" i="1"/>
  <c r="I2369" i="1"/>
  <c r="H2369" i="1"/>
  <c r="I2361" i="1"/>
  <c r="H2361" i="1"/>
  <c r="I2345" i="1"/>
  <c r="H2345" i="1"/>
  <c r="I2337" i="1"/>
  <c r="H2337" i="1"/>
  <c r="I2329" i="1"/>
  <c r="H2329" i="1"/>
  <c r="I2321" i="1"/>
  <c r="H2321" i="1"/>
  <c r="I2313" i="1"/>
  <c r="H2313" i="1"/>
  <c r="I2305" i="1"/>
  <c r="H2305" i="1"/>
  <c r="I2297" i="1"/>
  <c r="H2297" i="1"/>
  <c r="I2281" i="1"/>
  <c r="H2281" i="1"/>
  <c r="I2273" i="1"/>
  <c r="H2273" i="1"/>
  <c r="I2265" i="1"/>
  <c r="H2265" i="1"/>
  <c r="I2257" i="1"/>
  <c r="H2257" i="1"/>
  <c r="I2249" i="1"/>
  <c r="H2249" i="1"/>
  <c r="I2241" i="1"/>
  <c r="H2241" i="1"/>
  <c r="I2233" i="1"/>
  <c r="H2233" i="1"/>
  <c r="I2217" i="1"/>
  <c r="H2217" i="1"/>
  <c r="I2209" i="1"/>
  <c r="H2209" i="1"/>
  <c r="I2201" i="1"/>
  <c r="H2201" i="1"/>
  <c r="I2193" i="1"/>
  <c r="H2193" i="1"/>
  <c r="I2185" i="1"/>
  <c r="H2185" i="1"/>
  <c r="I2177" i="1"/>
  <c r="H2177" i="1"/>
  <c r="I2169" i="1"/>
  <c r="H2169" i="1"/>
  <c r="I2153" i="1"/>
  <c r="H2153" i="1"/>
  <c r="I2145" i="1"/>
  <c r="H2145" i="1"/>
  <c r="I2137" i="1"/>
  <c r="H2137" i="1"/>
  <c r="I2129" i="1"/>
  <c r="H2129" i="1"/>
  <c r="I2121" i="1"/>
  <c r="H2121" i="1"/>
  <c r="I2113" i="1"/>
  <c r="H2113" i="1"/>
  <c r="I2105" i="1"/>
  <c r="H2105" i="1"/>
  <c r="I2089" i="1"/>
  <c r="H2089" i="1"/>
  <c r="I2081" i="1"/>
  <c r="H2081" i="1"/>
  <c r="I2073" i="1"/>
  <c r="H2073" i="1"/>
  <c r="I2065" i="1"/>
  <c r="H2065" i="1"/>
  <c r="I2057" i="1"/>
  <c r="H2057" i="1"/>
  <c r="I2049" i="1"/>
  <c r="H2049" i="1"/>
  <c r="I2041" i="1"/>
  <c r="H2041" i="1"/>
  <c r="I2025" i="1"/>
  <c r="H2025" i="1"/>
  <c r="I2017" i="1"/>
  <c r="H2017" i="1"/>
  <c r="I2009" i="1"/>
  <c r="H2009" i="1"/>
  <c r="I2001" i="1"/>
  <c r="H2001" i="1"/>
  <c r="I1993" i="1"/>
  <c r="H1993" i="1"/>
  <c r="I1985" i="1"/>
  <c r="H1985" i="1"/>
  <c r="I1977" i="1"/>
  <c r="H1977" i="1"/>
  <c r="I1969" i="1"/>
  <c r="H1969" i="1"/>
  <c r="I1961" i="1"/>
  <c r="H1961" i="1"/>
  <c r="I1953" i="1"/>
  <c r="H1953" i="1"/>
  <c r="I1945" i="1"/>
  <c r="H1945" i="1"/>
  <c r="I1937" i="1"/>
  <c r="H1937" i="1"/>
  <c r="I1929" i="1"/>
  <c r="H1929" i="1"/>
  <c r="I1921" i="1"/>
  <c r="H1921" i="1"/>
  <c r="I1913" i="1"/>
  <c r="H1913" i="1"/>
  <c r="I1905" i="1"/>
  <c r="H1905" i="1"/>
  <c r="I1897" i="1"/>
  <c r="H1897" i="1"/>
  <c r="I1889" i="1"/>
  <c r="H1889" i="1"/>
  <c r="I1881" i="1"/>
  <c r="H1881" i="1"/>
  <c r="I1873" i="1"/>
  <c r="H1873" i="1"/>
  <c r="I1865" i="1"/>
  <c r="H1865" i="1"/>
  <c r="I1857" i="1"/>
  <c r="H1857" i="1"/>
  <c r="I1849" i="1"/>
  <c r="H1849" i="1"/>
  <c r="I1841" i="1"/>
  <c r="H1841" i="1"/>
  <c r="I1833" i="1"/>
  <c r="H1833" i="1"/>
  <c r="I1825" i="1"/>
  <c r="H1825" i="1"/>
  <c r="I1817" i="1"/>
  <c r="H1817" i="1"/>
  <c r="I1809" i="1"/>
  <c r="H1809" i="1"/>
  <c r="I1801" i="1"/>
  <c r="H1801" i="1"/>
  <c r="I1793" i="1"/>
  <c r="H1793" i="1"/>
  <c r="I1785" i="1"/>
  <c r="H1785" i="1"/>
  <c r="I1777" i="1"/>
  <c r="H1777" i="1"/>
  <c r="I1769" i="1"/>
  <c r="H1769" i="1"/>
  <c r="I1761" i="1"/>
  <c r="H1761" i="1"/>
  <c r="I1753" i="1"/>
  <c r="H1753" i="1"/>
  <c r="I1745" i="1"/>
  <c r="H1745" i="1"/>
  <c r="I1737" i="1"/>
  <c r="H1737" i="1"/>
  <c r="I1729" i="1"/>
  <c r="H1729" i="1"/>
  <c r="I1721" i="1"/>
  <c r="H1721" i="1"/>
  <c r="I1713" i="1"/>
  <c r="H1713" i="1"/>
  <c r="I1705" i="1"/>
  <c r="H1705" i="1"/>
  <c r="I1697" i="1"/>
  <c r="H1697" i="1"/>
  <c r="I1689" i="1"/>
  <c r="H1689" i="1"/>
  <c r="I1681" i="1"/>
  <c r="H1681" i="1"/>
  <c r="I1673" i="1"/>
  <c r="H1673" i="1"/>
  <c r="I1665" i="1"/>
  <c r="H1665" i="1"/>
  <c r="I1657" i="1"/>
  <c r="H1657" i="1"/>
  <c r="I1649" i="1"/>
  <c r="H1649" i="1"/>
  <c r="I1641" i="1"/>
  <c r="H1641" i="1"/>
  <c r="I1633" i="1"/>
  <c r="H1633" i="1"/>
  <c r="I1625" i="1"/>
  <c r="H1625" i="1"/>
  <c r="I1617" i="1"/>
  <c r="H1617" i="1"/>
  <c r="I1609" i="1"/>
  <c r="H1609" i="1"/>
  <c r="I1601" i="1"/>
  <c r="H1601" i="1"/>
  <c r="I1593" i="1"/>
  <c r="H1593" i="1"/>
  <c r="I1585" i="1"/>
  <c r="H1585" i="1"/>
  <c r="I1577" i="1"/>
  <c r="H1577" i="1"/>
  <c r="I1569" i="1"/>
  <c r="H1569" i="1"/>
  <c r="I1561" i="1"/>
  <c r="H1561" i="1"/>
  <c r="I1553" i="1"/>
  <c r="H1553" i="1"/>
  <c r="I1545" i="1"/>
  <c r="H1545" i="1"/>
  <c r="I1537" i="1"/>
  <c r="H1537" i="1"/>
  <c r="I1529" i="1"/>
  <c r="H1529" i="1"/>
  <c r="I1521" i="1"/>
  <c r="H1521" i="1"/>
  <c r="I1513" i="1"/>
  <c r="H1513" i="1"/>
  <c r="I1505" i="1"/>
  <c r="H1505" i="1"/>
  <c r="I1497" i="1"/>
  <c r="H1497" i="1"/>
  <c r="I1489" i="1"/>
  <c r="H1489" i="1"/>
  <c r="I1481" i="1"/>
  <c r="H1481" i="1"/>
  <c r="I1473" i="1"/>
  <c r="H1473" i="1"/>
  <c r="I1465" i="1"/>
  <c r="H1465" i="1"/>
  <c r="I1457" i="1"/>
  <c r="H1457" i="1"/>
  <c r="I1449" i="1"/>
  <c r="H1449" i="1"/>
  <c r="I1441" i="1"/>
  <c r="H1441" i="1"/>
  <c r="I1433" i="1"/>
  <c r="H1433" i="1"/>
  <c r="I1425" i="1"/>
  <c r="H1425" i="1"/>
  <c r="I1417" i="1"/>
  <c r="H1417" i="1"/>
  <c r="I1409" i="1"/>
  <c r="H1409" i="1"/>
  <c r="I1401" i="1"/>
  <c r="H1401" i="1"/>
  <c r="I1393" i="1"/>
  <c r="H1393" i="1"/>
  <c r="I1385" i="1"/>
  <c r="H1385" i="1"/>
  <c r="I1377" i="1"/>
  <c r="H1377" i="1"/>
  <c r="I1369" i="1"/>
  <c r="H1369" i="1"/>
  <c r="I1361" i="1"/>
  <c r="H1361" i="1"/>
  <c r="I1353" i="1"/>
  <c r="H1353" i="1"/>
  <c r="I1345" i="1"/>
  <c r="H1345" i="1"/>
  <c r="I1337" i="1"/>
  <c r="H1337" i="1"/>
  <c r="I1329" i="1"/>
  <c r="H1329" i="1"/>
  <c r="I1321" i="1"/>
  <c r="H1321" i="1"/>
  <c r="I1313" i="1"/>
  <c r="H1313" i="1"/>
  <c r="I1305" i="1"/>
  <c r="H1305" i="1"/>
  <c r="I1297" i="1"/>
  <c r="H1297" i="1"/>
  <c r="I1289" i="1"/>
  <c r="H1289" i="1"/>
  <c r="I1281" i="1"/>
  <c r="H1281" i="1"/>
  <c r="I1273" i="1"/>
  <c r="H1273" i="1"/>
  <c r="I1265" i="1"/>
  <c r="H1265" i="1"/>
  <c r="I1249" i="1"/>
  <c r="H1249" i="1"/>
  <c r="I1241" i="1"/>
  <c r="H1241" i="1"/>
  <c r="I1233" i="1"/>
  <c r="H1233" i="1"/>
  <c r="I1225" i="1"/>
  <c r="H1225" i="1"/>
  <c r="I1217" i="1"/>
  <c r="H1217" i="1"/>
  <c r="I1209" i="1"/>
  <c r="H1209" i="1"/>
  <c r="I1201" i="1"/>
  <c r="H1201" i="1"/>
  <c r="I1185" i="1"/>
  <c r="H1185" i="1"/>
  <c r="I1177" i="1"/>
  <c r="H1177" i="1"/>
  <c r="I1169" i="1"/>
  <c r="H1169" i="1"/>
  <c r="I1161" i="1"/>
  <c r="H1161" i="1"/>
  <c r="I1153" i="1"/>
  <c r="H1153" i="1"/>
  <c r="I1145" i="1"/>
  <c r="H1145" i="1"/>
  <c r="I1137" i="1"/>
  <c r="H1137" i="1"/>
  <c r="I1121" i="1"/>
  <c r="H1121" i="1"/>
  <c r="I1113" i="1"/>
  <c r="H1113" i="1"/>
  <c r="I1105" i="1"/>
  <c r="H1105" i="1"/>
  <c r="I1097" i="1"/>
  <c r="H1097" i="1"/>
  <c r="I1089" i="1"/>
  <c r="H1089" i="1"/>
  <c r="I1081" i="1"/>
  <c r="H1081" i="1"/>
  <c r="I1073" i="1"/>
  <c r="H1073" i="1"/>
  <c r="I1057" i="1"/>
  <c r="H1057" i="1"/>
  <c r="I1049" i="1"/>
  <c r="H1049" i="1"/>
  <c r="I1041" i="1"/>
  <c r="H1041" i="1"/>
  <c r="I1033" i="1"/>
  <c r="H1033" i="1"/>
  <c r="I1025" i="1"/>
  <c r="H1025" i="1"/>
  <c r="I1017" i="1"/>
  <c r="H1017" i="1"/>
  <c r="I1009" i="1"/>
  <c r="H1009" i="1"/>
  <c r="I993" i="1"/>
  <c r="H993" i="1"/>
  <c r="I985" i="1"/>
  <c r="H985" i="1"/>
  <c r="I977" i="1"/>
  <c r="H977" i="1"/>
  <c r="I969" i="1"/>
  <c r="H969" i="1"/>
  <c r="I961" i="1"/>
  <c r="H961" i="1"/>
  <c r="I953" i="1"/>
  <c r="H953" i="1"/>
  <c r="I945" i="1"/>
  <c r="H945" i="1"/>
  <c r="I929" i="1"/>
  <c r="H929" i="1"/>
  <c r="I921" i="1"/>
  <c r="H921" i="1"/>
  <c r="I913" i="1"/>
  <c r="H913" i="1"/>
  <c r="I905" i="1"/>
  <c r="H905" i="1"/>
  <c r="I897" i="1"/>
  <c r="H897" i="1"/>
  <c r="I889" i="1"/>
  <c r="H889" i="1"/>
  <c r="I881" i="1"/>
  <c r="H881" i="1"/>
  <c r="I873" i="1"/>
  <c r="H873" i="1"/>
  <c r="I865" i="1"/>
  <c r="H865" i="1"/>
  <c r="I857" i="1"/>
  <c r="H857" i="1"/>
  <c r="I849" i="1"/>
  <c r="H849" i="1"/>
  <c r="I841" i="1"/>
  <c r="H841" i="1"/>
  <c r="I833" i="1"/>
  <c r="H833" i="1"/>
  <c r="I825" i="1"/>
  <c r="H825" i="1"/>
  <c r="I817" i="1"/>
  <c r="H817" i="1"/>
  <c r="I809" i="1"/>
  <c r="H809" i="1"/>
  <c r="I801" i="1"/>
  <c r="H801" i="1"/>
  <c r="I793" i="1"/>
  <c r="H793" i="1"/>
  <c r="I785" i="1"/>
  <c r="H785" i="1"/>
  <c r="I777" i="1"/>
  <c r="H777" i="1"/>
  <c r="I769" i="1"/>
  <c r="H769" i="1"/>
  <c r="I761" i="1"/>
  <c r="H761" i="1"/>
  <c r="I753" i="1"/>
  <c r="H753" i="1"/>
  <c r="I745" i="1"/>
  <c r="H745" i="1"/>
  <c r="I737" i="1"/>
  <c r="H737" i="1"/>
  <c r="I729" i="1"/>
  <c r="H729" i="1"/>
  <c r="I721" i="1"/>
  <c r="H721" i="1"/>
  <c r="I713" i="1"/>
  <c r="H713" i="1"/>
  <c r="I705" i="1"/>
  <c r="H705" i="1"/>
  <c r="I697" i="1"/>
  <c r="H697" i="1"/>
  <c r="I689" i="1"/>
  <c r="H689" i="1"/>
  <c r="I681" i="1"/>
  <c r="H681" i="1"/>
  <c r="I673" i="1"/>
  <c r="H673" i="1"/>
  <c r="I665" i="1"/>
  <c r="H665" i="1"/>
  <c r="I657" i="1"/>
  <c r="H657" i="1"/>
  <c r="I649" i="1"/>
  <c r="H649" i="1"/>
  <c r="I641" i="1"/>
  <c r="H641" i="1"/>
  <c r="I633" i="1"/>
  <c r="H633" i="1"/>
  <c r="I625" i="1"/>
  <c r="H625" i="1"/>
  <c r="I617" i="1"/>
  <c r="H617" i="1"/>
  <c r="I609" i="1"/>
  <c r="H609" i="1"/>
  <c r="I601" i="1"/>
  <c r="H601" i="1"/>
  <c r="I593" i="1"/>
  <c r="H593" i="1"/>
  <c r="I585" i="1"/>
  <c r="H585" i="1"/>
  <c r="I577" i="1"/>
  <c r="H577" i="1"/>
  <c r="I569" i="1"/>
  <c r="H569" i="1"/>
  <c r="I561" i="1"/>
  <c r="H561" i="1"/>
  <c r="I553" i="1"/>
  <c r="H553" i="1"/>
  <c r="I545" i="1"/>
  <c r="H545" i="1"/>
  <c r="I537" i="1"/>
  <c r="H537" i="1"/>
  <c r="I529" i="1"/>
  <c r="H529" i="1"/>
  <c r="I521" i="1"/>
  <c r="H521" i="1"/>
  <c r="I513" i="1"/>
  <c r="H513" i="1"/>
  <c r="I505" i="1"/>
  <c r="H505" i="1"/>
  <c r="I497" i="1"/>
  <c r="H497" i="1"/>
  <c r="I489" i="1"/>
  <c r="H489" i="1"/>
  <c r="I481" i="1"/>
  <c r="H481" i="1"/>
  <c r="I473" i="1"/>
  <c r="H473" i="1"/>
  <c r="I465" i="1"/>
  <c r="H465" i="1"/>
  <c r="I457" i="1"/>
  <c r="H457" i="1"/>
  <c r="I449" i="1"/>
  <c r="H449" i="1"/>
  <c r="I441" i="1"/>
  <c r="H441" i="1"/>
  <c r="I433" i="1"/>
  <c r="H433" i="1"/>
  <c r="I425" i="1"/>
  <c r="H425" i="1"/>
  <c r="I417" i="1"/>
  <c r="H417" i="1"/>
  <c r="I409" i="1"/>
  <c r="H409" i="1"/>
  <c r="I401" i="1"/>
  <c r="H401" i="1"/>
  <c r="I393" i="1"/>
  <c r="H393" i="1"/>
  <c r="I385" i="1"/>
  <c r="H385" i="1"/>
  <c r="I377" i="1"/>
  <c r="H377" i="1"/>
  <c r="I369" i="1"/>
  <c r="H369" i="1"/>
  <c r="I361" i="1"/>
  <c r="H361" i="1"/>
  <c r="I353" i="1"/>
  <c r="H353" i="1"/>
  <c r="I345" i="1"/>
  <c r="H345" i="1"/>
  <c r="I337" i="1"/>
  <c r="H337" i="1"/>
  <c r="I329" i="1"/>
  <c r="H329" i="1"/>
  <c r="I321" i="1"/>
  <c r="H321" i="1"/>
  <c r="I313" i="1"/>
  <c r="H313" i="1"/>
  <c r="I305" i="1"/>
  <c r="H305" i="1"/>
  <c r="H9996" i="1"/>
  <c r="H9980" i="1"/>
  <c r="H9964" i="1"/>
  <c r="H9956" i="1"/>
  <c r="H9948" i="1"/>
  <c r="H9940" i="1"/>
  <c r="H9932" i="1"/>
  <c r="H9924" i="1"/>
  <c r="H9908" i="1"/>
  <c r="H9892" i="1"/>
  <c r="H9884" i="1"/>
  <c r="H9876" i="1"/>
  <c r="H9860" i="1"/>
  <c r="H9844" i="1"/>
  <c r="H9836" i="1"/>
  <c r="H9828" i="1"/>
  <c r="H9804" i="1"/>
  <c r="H9788" i="1"/>
  <c r="H9780" i="1"/>
  <c r="H9756" i="1"/>
  <c r="H9740" i="1"/>
  <c r="H9732" i="1"/>
  <c r="H9700" i="1"/>
  <c r="H9692" i="1"/>
  <c r="H9684" i="1"/>
  <c r="H9652" i="1"/>
  <c r="H9628" i="1"/>
  <c r="H9620" i="1"/>
  <c r="H9612" i="1"/>
  <c r="H9604" i="1"/>
  <c r="H9572" i="1"/>
  <c r="H9564" i="1"/>
  <c r="H9540" i="1"/>
  <c r="H9524" i="1"/>
  <c r="H9508" i="1"/>
  <c r="H9484" i="1"/>
  <c r="H9476" i="1"/>
  <c r="H9460" i="1"/>
  <c r="H9436" i="1"/>
  <c r="H9428" i="1"/>
  <c r="H9420" i="1"/>
  <c r="H9388" i="1"/>
  <c r="H9380" i="1"/>
  <c r="H9356" i="1"/>
  <c r="H9348" i="1"/>
  <c r="H9332" i="1"/>
  <c r="H9316" i="1"/>
  <c r="H9308" i="1"/>
  <c r="H9300" i="1"/>
  <c r="H9276" i="1"/>
  <c r="H9268" i="1"/>
  <c r="H9260" i="1"/>
  <c r="H9236" i="1"/>
  <c r="H9228" i="1"/>
  <c r="H9212" i="1"/>
  <c r="H9196" i="1"/>
  <c r="H9188" i="1"/>
  <c r="H9180" i="1"/>
  <c r="H9156" i="1"/>
  <c r="H9148" i="1"/>
  <c r="H9140" i="1"/>
  <c r="H9116" i="1"/>
  <c r="H9108" i="1"/>
  <c r="H9092" i="1"/>
  <c r="H9076" i="1"/>
  <c r="H9068" i="1"/>
  <c r="H9044" i="1"/>
  <c r="H9036" i="1"/>
  <c r="H9028" i="1"/>
  <c r="H9020" i="1"/>
  <c r="H9004" i="1"/>
  <c r="H8988" i="1"/>
  <c r="H8980" i="1"/>
  <c r="H8956" i="1"/>
  <c r="H8940" i="1"/>
  <c r="H8932" i="1"/>
  <c r="H8908" i="1"/>
  <c r="H8900" i="1"/>
  <c r="H8892" i="1"/>
  <c r="H8868" i="1"/>
  <c r="H8860" i="1"/>
  <c r="H8852" i="1"/>
  <c r="H8836" i="1"/>
  <c r="H8812" i="1"/>
  <c r="H8796" i="1"/>
  <c r="H8788" i="1"/>
  <c r="H8772" i="1"/>
  <c r="H8764" i="1"/>
  <c r="H8756" i="1"/>
  <c r="H8748" i="1"/>
  <c r="H8732" i="1"/>
  <c r="H8724" i="1"/>
  <c r="H8692" i="1"/>
  <c r="H8676" i="1"/>
  <c r="H8644" i="1"/>
  <c r="H8636" i="1"/>
  <c r="H8612" i="1"/>
  <c r="H8604" i="1"/>
  <c r="H8588" i="1"/>
  <c r="H8572" i="1"/>
  <c r="H8564" i="1"/>
  <c r="H8556" i="1"/>
  <c r="H8548" i="1"/>
  <c r="H8532" i="1"/>
  <c r="H8516" i="1"/>
  <c r="H8500" i="1"/>
  <c r="H8476" i="1"/>
  <c r="H8460" i="1"/>
  <c r="H8444" i="1"/>
  <c r="H8428" i="1"/>
  <c r="H8412" i="1"/>
  <c r="H8396" i="1"/>
  <c r="H8372" i="1"/>
  <c r="H8364" i="1"/>
  <c r="H8348" i="1"/>
  <c r="H8340" i="1"/>
  <c r="H8332" i="1"/>
  <c r="H8308" i="1"/>
  <c r="H8300" i="1"/>
  <c r="H8284" i="1"/>
  <c r="H8276" i="1"/>
  <c r="H8260" i="1"/>
  <c r="H8244" i="1"/>
  <c r="H8236" i="1"/>
  <c r="H8228" i="1"/>
  <c r="H8220" i="1"/>
  <c r="H8212" i="1"/>
  <c r="H8204" i="1"/>
  <c r="H8196" i="1"/>
  <c r="H8180" i="1"/>
  <c r="H8172" i="1"/>
  <c r="H8148" i="1"/>
  <c r="H8132" i="1"/>
  <c r="H8124" i="1"/>
  <c r="H8116" i="1"/>
  <c r="H8108" i="1"/>
  <c r="H8100" i="1"/>
  <c r="H8076" i="1"/>
  <c r="H8060" i="1"/>
  <c r="H8052" i="1"/>
  <c r="H8036" i="1"/>
  <c r="H8012" i="1"/>
  <c r="H8004" i="1"/>
  <c r="H7996" i="1"/>
  <c r="H7988" i="1"/>
  <c r="H7980" i="1"/>
  <c r="H7964" i="1"/>
  <c r="H7956" i="1"/>
  <c r="H7948" i="1"/>
  <c r="H7932" i="1"/>
  <c r="H7924" i="1"/>
  <c r="H7908" i="1"/>
  <c r="H7900" i="1"/>
  <c r="H7892" i="1"/>
  <c r="H7884" i="1"/>
  <c r="H7860" i="1"/>
  <c r="H7852" i="1"/>
  <c r="H7809" i="1"/>
  <c r="H7745" i="1"/>
  <c r="H7681" i="1"/>
  <c r="H7617" i="1"/>
  <c r="H7553" i="1"/>
  <c r="H7489" i="1"/>
  <c r="H7425" i="1"/>
  <c r="H7361" i="1"/>
  <c r="H7297" i="1"/>
  <c r="H7233" i="1"/>
  <c r="H7169" i="1"/>
  <c r="H7105" i="1"/>
  <c r="H7041" i="1"/>
  <c r="H6977" i="1"/>
  <c r="H6913" i="1"/>
  <c r="H6849" i="1"/>
  <c r="H6785" i="1"/>
  <c r="H6721" i="1"/>
  <c r="H6657" i="1"/>
  <c r="H6593" i="1"/>
  <c r="H6529" i="1"/>
  <c r="H6465" i="1"/>
  <c r="H6401" i="1"/>
  <c r="H6337" i="1"/>
  <c r="H6273" i="1"/>
  <c r="H6209" i="1"/>
  <c r="H6145" i="1"/>
  <c r="H6081" i="1"/>
  <c r="H6017" i="1"/>
  <c r="H5953" i="1"/>
  <c r="H5889" i="1"/>
  <c r="H5825" i="1"/>
  <c r="H5761" i="1"/>
  <c r="H5697" i="1"/>
  <c r="H5633" i="1"/>
  <c r="H5569" i="1"/>
  <c r="H5505" i="1"/>
  <c r="H5441" i="1"/>
  <c r="H5377" i="1"/>
  <c r="H5313" i="1"/>
  <c r="H5249" i="1"/>
  <c r="H5185" i="1"/>
  <c r="H5121" i="1"/>
  <c r="H5057" i="1"/>
  <c r="H4993" i="1"/>
  <c r="H4929" i="1"/>
  <c r="H4865" i="1"/>
  <c r="H4801" i="1"/>
  <c r="H4737" i="1"/>
  <c r="H4673" i="1"/>
  <c r="H4609" i="1"/>
  <c r="H4545" i="1"/>
  <c r="H4481" i="1"/>
  <c r="H4417" i="1"/>
  <c r="H4353" i="1"/>
  <c r="H4289" i="1"/>
  <c r="H4225" i="1"/>
  <c r="H4161" i="1"/>
  <c r="H4097" i="1"/>
  <c r="H4033" i="1"/>
  <c r="H3969" i="1"/>
  <c r="H3905" i="1"/>
  <c r="H3841" i="1"/>
  <c r="H3777" i="1"/>
  <c r="H3713" i="1"/>
  <c r="H3649" i="1"/>
  <c r="H3585" i="1"/>
  <c r="H3521" i="1"/>
  <c r="H3457" i="1"/>
  <c r="H3393" i="1"/>
  <c r="H3329" i="1"/>
  <c r="H3265" i="1"/>
  <c r="H3201" i="1"/>
  <c r="H3137" i="1"/>
  <c r="H3035" i="1"/>
  <c r="H2865" i="1"/>
  <c r="H2694" i="1"/>
  <c r="H2523" i="1"/>
  <c r="H2353" i="1"/>
  <c r="H2182" i="1"/>
  <c r="H2003" i="1"/>
  <c r="H1747" i="1"/>
  <c r="H1491" i="1"/>
  <c r="H1193" i="1"/>
  <c r="H23" i="1"/>
  <c r="I54" i="1"/>
  <c r="H54" i="1"/>
  <c r="I273" i="1"/>
  <c r="H273" i="1"/>
  <c r="I225" i="1"/>
  <c r="H225" i="1"/>
  <c r="I177" i="1"/>
  <c r="H177" i="1"/>
  <c r="I137" i="1"/>
  <c r="H137" i="1"/>
  <c r="F9972" i="1"/>
  <c r="I9972" i="1"/>
  <c r="E9916" i="1"/>
  <c r="I9916" i="1"/>
  <c r="F9868" i="1"/>
  <c r="I9868" i="1"/>
  <c r="E9820" i="1"/>
  <c r="I9820" i="1"/>
  <c r="E9772" i="1"/>
  <c r="I9772" i="1"/>
  <c r="E9724" i="1"/>
  <c r="I9724" i="1"/>
  <c r="F9676" i="1"/>
  <c r="I9676" i="1"/>
  <c r="E9636" i="1"/>
  <c r="I9636" i="1"/>
  <c r="E9596" i="1"/>
  <c r="I9596" i="1"/>
  <c r="E9556" i="1"/>
  <c r="I9556" i="1"/>
  <c r="E9516" i="1"/>
  <c r="I9516" i="1"/>
  <c r="E9492" i="1"/>
  <c r="I9492" i="1"/>
  <c r="E9452" i="1"/>
  <c r="I9452" i="1"/>
  <c r="E9404" i="1"/>
  <c r="I9404" i="1"/>
  <c r="E9364" i="1"/>
  <c r="I9364" i="1"/>
  <c r="E9324" i="1"/>
  <c r="I9324" i="1"/>
  <c r="E9284" i="1"/>
  <c r="I9284" i="1"/>
  <c r="F9244" i="1"/>
  <c r="I9244" i="1"/>
  <c r="F9204" i="1"/>
  <c r="I9204" i="1"/>
  <c r="F9164" i="1"/>
  <c r="I9164" i="1"/>
  <c r="E9124" i="1"/>
  <c r="I9124" i="1"/>
  <c r="E9084" i="1"/>
  <c r="I9084" i="1"/>
  <c r="F9052" i="1"/>
  <c r="I9052" i="1"/>
  <c r="F9012" i="1"/>
  <c r="I9012" i="1"/>
  <c r="E8972" i="1"/>
  <c r="I8972" i="1"/>
  <c r="E8924" i="1"/>
  <c r="I8924" i="1"/>
  <c r="F8884" i="1"/>
  <c r="I8884" i="1"/>
  <c r="F8844" i="1"/>
  <c r="I8844" i="1"/>
  <c r="E8804" i="1"/>
  <c r="I8804" i="1"/>
  <c r="F8780" i="1"/>
  <c r="I8780" i="1"/>
  <c r="E8740" i="1"/>
  <c r="I8740" i="1"/>
  <c r="E8700" i="1"/>
  <c r="I8700" i="1"/>
  <c r="E8660" i="1"/>
  <c r="I8660" i="1"/>
  <c r="E8628" i="1"/>
  <c r="I8628" i="1"/>
  <c r="E8580" i="1"/>
  <c r="I8580" i="1"/>
  <c r="F8540" i="1"/>
  <c r="I8540" i="1"/>
  <c r="E8508" i="1"/>
  <c r="I8508" i="1"/>
  <c r="E8484" i="1"/>
  <c r="I8484" i="1"/>
  <c r="E8452" i="1"/>
  <c r="I8452" i="1"/>
  <c r="E8420" i="1"/>
  <c r="I8420" i="1"/>
  <c r="E8388" i="1"/>
  <c r="I8388" i="1"/>
  <c r="E8356" i="1"/>
  <c r="I8356" i="1"/>
  <c r="E8324" i="1"/>
  <c r="I8324" i="1"/>
  <c r="E8292" i="1"/>
  <c r="I8292" i="1"/>
  <c r="F8268" i="1"/>
  <c r="I8268" i="1"/>
  <c r="E8164" i="1"/>
  <c r="I8164" i="1"/>
  <c r="E8068" i="1"/>
  <c r="I8068" i="1"/>
  <c r="E8020" i="1"/>
  <c r="I8020" i="1"/>
  <c r="E7972" i="1"/>
  <c r="I7972" i="1"/>
  <c r="E7844" i="1"/>
  <c r="I7844" i="1"/>
  <c r="H7844" i="1"/>
  <c r="E7796" i="1"/>
  <c r="I7796" i="1"/>
  <c r="H7796" i="1"/>
  <c r="E7748" i="1"/>
  <c r="I7748" i="1"/>
  <c r="H7748" i="1"/>
  <c r="E7700" i="1"/>
  <c r="I7700" i="1"/>
  <c r="H7700" i="1"/>
  <c r="E7652" i="1"/>
  <c r="I7652" i="1"/>
  <c r="H7652" i="1"/>
  <c r="I7596" i="1"/>
  <c r="H7596" i="1"/>
  <c r="E7540" i="1"/>
  <c r="I7540" i="1"/>
  <c r="H7540" i="1"/>
  <c r="I7476" i="1"/>
  <c r="H7476" i="1"/>
  <c r="E7436" i="1"/>
  <c r="I7436" i="1"/>
  <c r="H7436" i="1"/>
  <c r="E7388" i="1"/>
  <c r="I7388" i="1"/>
  <c r="H7388" i="1"/>
  <c r="I7340" i="1"/>
  <c r="H7340" i="1"/>
  <c r="E7284" i="1"/>
  <c r="I7284" i="1"/>
  <c r="H7284" i="1"/>
  <c r="I7244" i="1"/>
  <c r="H7244" i="1"/>
  <c r="E7180" i="1"/>
  <c r="I7180" i="1"/>
  <c r="H7180" i="1"/>
  <c r="E7132" i="1"/>
  <c r="I7132" i="1"/>
  <c r="H7132" i="1"/>
  <c r="I7084" i="1"/>
  <c r="H7084" i="1"/>
  <c r="E7044" i="1"/>
  <c r="I7044" i="1"/>
  <c r="H7044" i="1"/>
  <c r="E6996" i="1"/>
  <c r="I6996" i="1"/>
  <c r="H6996" i="1"/>
  <c r="I6956" i="1"/>
  <c r="H6956" i="1"/>
  <c r="E6924" i="1"/>
  <c r="I6924" i="1"/>
  <c r="H6924" i="1"/>
  <c r="E6876" i="1"/>
  <c r="I6876" i="1"/>
  <c r="H6876" i="1"/>
  <c r="I6836" i="1"/>
  <c r="H6836" i="1"/>
  <c r="E6788" i="1"/>
  <c r="I6788" i="1"/>
  <c r="H6788" i="1"/>
  <c r="E6748" i="1"/>
  <c r="I6748" i="1"/>
  <c r="H6748" i="1"/>
  <c r="I6708" i="1"/>
  <c r="H6708" i="1"/>
  <c r="E6660" i="1"/>
  <c r="I6660" i="1"/>
  <c r="H6660" i="1"/>
  <c r="E6620" i="1"/>
  <c r="I6620" i="1"/>
  <c r="H6620" i="1"/>
  <c r="I6572" i="1"/>
  <c r="H6572" i="1"/>
  <c r="E6540" i="1"/>
  <c r="I6540" i="1"/>
  <c r="H6540" i="1"/>
  <c r="E6500" i="1"/>
  <c r="I6500" i="1"/>
  <c r="H6500" i="1"/>
  <c r="I6452" i="1"/>
  <c r="H6452" i="1"/>
  <c r="E6412" i="1"/>
  <c r="I6412" i="1"/>
  <c r="H6412" i="1"/>
  <c r="E6364" i="1"/>
  <c r="I6364" i="1"/>
  <c r="H6364" i="1"/>
  <c r="I6316" i="1"/>
  <c r="H6316" i="1"/>
  <c r="E6268" i="1"/>
  <c r="I6268" i="1"/>
  <c r="H6268" i="1"/>
  <c r="E6212" i="1"/>
  <c r="I6212" i="1"/>
  <c r="H6212" i="1"/>
  <c r="I6164" i="1"/>
  <c r="H6164" i="1"/>
  <c r="E6108" i="1"/>
  <c r="I6108" i="1"/>
  <c r="H6108" i="1"/>
  <c r="I6060" i="1"/>
  <c r="H6060" i="1"/>
  <c r="E6020" i="1"/>
  <c r="I6020" i="1"/>
  <c r="H6020" i="1"/>
  <c r="I5964" i="1"/>
  <c r="H5964" i="1"/>
  <c r="I5908" i="1"/>
  <c r="H5908" i="1"/>
  <c r="E5852" i="1"/>
  <c r="I5852" i="1"/>
  <c r="H5852" i="1"/>
  <c r="E5796" i="1"/>
  <c r="I5796" i="1"/>
  <c r="H5796" i="1"/>
  <c r="I5740" i="1"/>
  <c r="H5740" i="1"/>
  <c r="I5684" i="1"/>
  <c r="H5684" i="1"/>
  <c r="E5628" i="1"/>
  <c r="I5628" i="1"/>
  <c r="H5628" i="1"/>
  <c r="E5572" i="1"/>
  <c r="I5572" i="1"/>
  <c r="H5572" i="1"/>
  <c r="I5516" i="1"/>
  <c r="H5516" i="1"/>
  <c r="I5460" i="1"/>
  <c r="H5460" i="1"/>
  <c r="E5404" i="1"/>
  <c r="I5404" i="1"/>
  <c r="H5404" i="1"/>
  <c r="E5348" i="1"/>
  <c r="I5348" i="1"/>
  <c r="H5348" i="1"/>
  <c r="E5284" i="1"/>
  <c r="I5284" i="1"/>
  <c r="H5284" i="1"/>
  <c r="I5236" i="1"/>
  <c r="H5236" i="1"/>
  <c r="E5180" i="1"/>
  <c r="I5180" i="1"/>
  <c r="H5180" i="1"/>
  <c r="E5124" i="1"/>
  <c r="I5124" i="1"/>
  <c r="H5124" i="1"/>
  <c r="E5068" i="1"/>
  <c r="I5068" i="1"/>
  <c r="H5068" i="1"/>
  <c r="E5012" i="1"/>
  <c r="I5012" i="1"/>
  <c r="H5012" i="1"/>
  <c r="E4948" i="1"/>
  <c r="I4948" i="1"/>
  <c r="H4948" i="1"/>
  <c r="E4892" i="1"/>
  <c r="I4892" i="1"/>
  <c r="H4892" i="1"/>
  <c r="E4844" i="1"/>
  <c r="I4844" i="1"/>
  <c r="H4844" i="1"/>
  <c r="E4788" i="1"/>
  <c r="I4788" i="1"/>
  <c r="H4788" i="1"/>
  <c r="E4748" i="1"/>
  <c r="I4748" i="1"/>
  <c r="H4748" i="1"/>
  <c r="E4692" i="1"/>
  <c r="I4692" i="1"/>
  <c r="H4692" i="1"/>
  <c r="E4636" i="1"/>
  <c r="I4636" i="1"/>
  <c r="H4636" i="1"/>
  <c r="E4596" i="1"/>
  <c r="I4596" i="1"/>
  <c r="H4596" i="1"/>
  <c r="E4548" i="1"/>
  <c r="I4548" i="1"/>
  <c r="H4548" i="1"/>
  <c r="E4492" i="1"/>
  <c r="I4492" i="1"/>
  <c r="H4492" i="1"/>
  <c r="E4436" i="1"/>
  <c r="I4436" i="1"/>
  <c r="H4436" i="1"/>
  <c r="I4380" i="1"/>
  <c r="H4380" i="1"/>
  <c r="E4332" i="1"/>
  <c r="I4332" i="1"/>
  <c r="H4332" i="1"/>
  <c r="E4284" i="1"/>
  <c r="I4284" i="1"/>
  <c r="H4284" i="1"/>
  <c r="E4236" i="1"/>
  <c r="I4236" i="1"/>
  <c r="H4236" i="1"/>
  <c r="I4188" i="1"/>
  <c r="H4188" i="1"/>
  <c r="I4132" i="1"/>
  <c r="H4132" i="1"/>
  <c r="E4084" i="1"/>
  <c r="I4084" i="1"/>
  <c r="H4084" i="1"/>
  <c r="I4036" i="1"/>
  <c r="H4036" i="1"/>
  <c r="E3980" i="1"/>
  <c r="I3980" i="1"/>
  <c r="H3980" i="1"/>
  <c r="E3948" i="1"/>
  <c r="I3948" i="1"/>
  <c r="H3948" i="1"/>
  <c r="E3892" i="1"/>
  <c r="I3892" i="1"/>
  <c r="H3892" i="1"/>
  <c r="I3844" i="1"/>
  <c r="H3844" i="1"/>
  <c r="E3796" i="1"/>
  <c r="I3796" i="1"/>
  <c r="H3796" i="1"/>
  <c r="I3772" i="1"/>
  <c r="H3772" i="1"/>
  <c r="E3724" i="1"/>
  <c r="I3724" i="1"/>
  <c r="H3724" i="1"/>
  <c r="I3684" i="1"/>
  <c r="H3684" i="1"/>
  <c r="E3628" i="1"/>
  <c r="I3628" i="1"/>
  <c r="H3628" i="1"/>
  <c r="I3580" i="1"/>
  <c r="H3580" i="1"/>
  <c r="E3532" i="1"/>
  <c r="I3532" i="1"/>
  <c r="H3532" i="1"/>
  <c r="I3484" i="1"/>
  <c r="H3484" i="1"/>
  <c r="E3436" i="1"/>
  <c r="I3436" i="1"/>
  <c r="H3436" i="1"/>
  <c r="I3396" i="1"/>
  <c r="H3396" i="1"/>
  <c r="E3348" i="1"/>
  <c r="I3348" i="1"/>
  <c r="H3348" i="1"/>
  <c r="E3308" i="1"/>
  <c r="I3308" i="1"/>
  <c r="H3308" i="1"/>
  <c r="I3268" i="1"/>
  <c r="H3268" i="1"/>
  <c r="E3220" i="1"/>
  <c r="I3220" i="1"/>
  <c r="H3220" i="1"/>
  <c r="I3172" i="1"/>
  <c r="H3172" i="1"/>
  <c r="E3124" i="1"/>
  <c r="I3124" i="1"/>
  <c r="H3124" i="1"/>
  <c r="I3076" i="1"/>
  <c r="H3076" i="1"/>
  <c r="E3028" i="1"/>
  <c r="I3028" i="1"/>
  <c r="H3028" i="1"/>
  <c r="E2988" i="1"/>
  <c r="I2988" i="1"/>
  <c r="H2988" i="1"/>
  <c r="I2948" i="1"/>
  <c r="H2948" i="1"/>
  <c r="E2900" i="1"/>
  <c r="I2900" i="1"/>
  <c r="H2900" i="1"/>
  <c r="E2868" i="1"/>
  <c r="I2868" i="1"/>
  <c r="H2868" i="1"/>
  <c r="E2828" i="1"/>
  <c r="I2828" i="1"/>
  <c r="H2828" i="1"/>
  <c r="I2788" i="1"/>
  <c r="H2788" i="1"/>
  <c r="E2740" i="1"/>
  <c r="I2740" i="1"/>
  <c r="H2740" i="1"/>
  <c r="E2700" i="1"/>
  <c r="I2700" i="1"/>
  <c r="H2700" i="1"/>
  <c r="I2660" i="1"/>
  <c r="H2660" i="1"/>
  <c r="E2620" i="1"/>
  <c r="I2620" i="1"/>
  <c r="H2620" i="1"/>
  <c r="E2564" i="1"/>
  <c r="I2564" i="1"/>
  <c r="H2564" i="1"/>
  <c r="E2524" i="1"/>
  <c r="I2524" i="1"/>
  <c r="H2524" i="1"/>
  <c r="I2492" i="1"/>
  <c r="H2492" i="1"/>
  <c r="I2452" i="1"/>
  <c r="H2452" i="1"/>
  <c r="I2412" i="1"/>
  <c r="H2412" i="1"/>
  <c r="E2380" i="1"/>
  <c r="I2380" i="1"/>
  <c r="H2380" i="1"/>
  <c r="I2340" i="1"/>
  <c r="H2340" i="1"/>
  <c r="I2300" i="1"/>
  <c r="H2300" i="1"/>
  <c r="I2268" i="1"/>
  <c r="H2268" i="1"/>
  <c r="I2228" i="1"/>
  <c r="H2228" i="1"/>
  <c r="E2188" i="1"/>
  <c r="I2188" i="1"/>
  <c r="H2188" i="1"/>
  <c r="I2140" i="1"/>
  <c r="H2140" i="1"/>
  <c r="I2100" i="1"/>
  <c r="H2100" i="1"/>
  <c r="I2052" i="1"/>
  <c r="H2052" i="1"/>
  <c r="I2012" i="1"/>
  <c r="H2012" i="1"/>
  <c r="I1972" i="1"/>
  <c r="H1972" i="1"/>
  <c r="E1932" i="1"/>
  <c r="I1932" i="1"/>
  <c r="H1932" i="1"/>
  <c r="I1884" i="1"/>
  <c r="H1884" i="1"/>
  <c r="I1828" i="1"/>
  <c r="H1828" i="1"/>
  <c r="I1788" i="1"/>
  <c r="H1788" i="1"/>
  <c r="I1748" i="1"/>
  <c r="H1748" i="1"/>
  <c r="I1700" i="1"/>
  <c r="H1700" i="1"/>
  <c r="E1644" i="1"/>
  <c r="I1644" i="1"/>
  <c r="H1644" i="1"/>
  <c r="I1596" i="1"/>
  <c r="H1596" i="1"/>
  <c r="E1548" i="1"/>
  <c r="I1548" i="1"/>
  <c r="H1548" i="1"/>
  <c r="I1492" i="1"/>
  <c r="H1492" i="1"/>
  <c r="I1444" i="1"/>
  <c r="H1444" i="1"/>
  <c r="E1388" i="1"/>
  <c r="I1388" i="1"/>
  <c r="H1388" i="1"/>
  <c r="I1340" i="1"/>
  <c r="H1340" i="1"/>
  <c r="E1292" i="1"/>
  <c r="I1292" i="1"/>
  <c r="H1292" i="1"/>
  <c r="I1244" i="1"/>
  <c r="H1244" i="1"/>
  <c r="E1196" i="1"/>
  <c r="I1196" i="1"/>
  <c r="H1196" i="1"/>
  <c r="I1140" i="1"/>
  <c r="H1140" i="1"/>
  <c r="I1084" i="1"/>
  <c r="H1084" i="1"/>
  <c r="E1036" i="1"/>
  <c r="I1036" i="1"/>
  <c r="H1036" i="1"/>
  <c r="I988" i="1"/>
  <c r="H988" i="1"/>
  <c r="E940" i="1"/>
  <c r="I940" i="1"/>
  <c r="H940" i="1"/>
  <c r="I892" i="1"/>
  <c r="H892" i="1"/>
  <c r="E844" i="1"/>
  <c r="I844" i="1"/>
  <c r="H844" i="1"/>
  <c r="I788" i="1"/>
  <c r="H788" i="1"/>
  <c r="I740" i="1"/>
  <c r="H740" i="1"/>
  <c r="I692" i="1"/>
  <c r="H692" i="1"/>
  <c r="E652" i="1"/>
  <c r="I652" i="1"/>
  <c r="H652" i="1"/>
  <c r="I596" i="1"/>
  <c r="H596" i="1"/>
  <c r="I548" i="1"/>
  <c r="H548" i="1"/>
  <c r="I500" i="1"/>
  <c r="H500" i="1"/>
  <c r="I452" i="1"/>
  <c r="H452" i="1"/>
  <c r="I404" i="1"/>
  <c r="H404" i="1"/>
  <c r="I364" i="1"/>
  <c r="H364" i="1"/>
  <c r="I332" i="1"/>
  <c r="H332" i="1"/>
  <c r="I99" i="1"/>
  <c r="H99" i="1"/>
  <c r="I75" i="1"/>
  <c r="H75" i="1"/>
  <c r="I43" i="1"/>
  <c r="H43" i="1"/>
  <c r="I19" i="1"/>
  <c r="H19" i="1"/>
  <c r="E270" i="1"/>
  <c r="I270" i="1"/>
  <c r="H270" i="1"/>
  <c r="I238" i="1"/>
  <c r="H238" i="1"/>
  <c r="I206" i="1"/>
  <c r="H206" i="1"/>
  <c r="I174" i="1"/>
  <c r="H174" i="1"/>
  <c r="I142" i="1"/>
  <c r="H142" i="1"/>
  <c r="I126" i="1"/>
  <c r="H126" i="1"/>
  <c r="I98" i="1"/>
  <c r="H98" i="1"/>
  <c r="I90" i="1"/>
  <c r="H90" i="1"/>
  <c r="I82" i="1"/>
  <c r="H82" i="1"/>
  <c r="I74" i="1"/>
  <c r="H74" i="1"/>
  <c r="I66" i="1"/>
  <c r="H66" i="1"/>
  <c r="I58" i="1"/>
  <c r="H58" i="1"/>
  <c r="I50" i="1"/>
  <c r="H50" i="1"/>
  <c r="I42" i="1"/>
  <c r="H42" i="1"/>
  <c r="I34" i="1"/>
  <c r="H34" i="1"/>
  <c r="I26" i="1"/>
  <c r="H26" i="1"/>
  <c r="I18" i="1"/>
  <c r="H18" i="1"/>
  <c r="I10" i="1"/>
  <c r="H10" i="1"/>
  <c r="E2" i="1"/>
  <c r="I104" i="1"/>
  <c r="H104" i="1"/>
  <c r="I301" i="1"/>
  <c r="H301" i="1"/>
  <c r="E293" i="1"/>
  <c r="I293" i="1"/>
  <c r="H293" i="1"/>
  <c r="I285" i="1"/>
  <c r="H285" i="1"/>
  <c r="I277" i="1"/>
  <c r="H277" i="1"/>
  <c r="E269" i="1"/>
  <c r="I269" i="1"/>
  <c r="H269" i="1"/>
  <c r="E261" i="1"/>
  <c r="I261" i="1"/>
  <c r="H261" i="1"/>
  <c r="I253" i="1"/>
  <c r="H253" i="1"/>
  <c r="I245" i="1"/>
  <c r="H245" i="1"/>
  <c r="I237" i="1"/>
  <c r="H237" i="1"/>
  <c r="E229" i="1"/>
  <c r="I229" i="1"/>
  <c r="H229" i="1"/>
  <c r="E221" i="1"/>
  <c r="I221" i="1"/>
  <c r="H221" i="1"/>
  <c r="I213" i="1"/>
  <c r="H213" i="1"/>
  <c r="E205" i="1"/>
  <c r="I205" i="1"/>
  <c r="H205" i="1"/>
  <c r="I197" i="1"/>
  <c r="H197" i="1"/>
  <c r="I189" i="1"/>
  <c r="H189" i="1"/>
  <c r="E181" i="1"/>
  <c r="I181" i="1"/>
  <c r="H181" i="1"/>
  <c r="I173" i="1"/>
  <c r="H173" i="1"/>
  <c r="I165" i="1"/>
  <c r="H165" i="1"/>
  <c r="E157" i="1"/>
  <c r="I157" i="1"/>
  <c r="H157" i="1"/>
  <c r="E149" i="1"/>
  <c r="I149" i="1"/>
  <c r="H149" i="1"/>
  <c r="I141" i="1"/>
  <c r="H141" i="1"/>
  <c r="E133" i="1"/>
  <c r="I133" i="1"/>
  <c r="H133" i="1"/>
  <c r="I125" i="1"/>
  <c r="H125" i="1"/>
  <c r="I117" i="1"/>
  <c r="H117" i="1"/>
  <c r="E109" i="1"/>
  <c r="I109" i="1"/>
  <c r="H109" i="1"/>
  <c r="E7956" i="1"/>
  <c r="E7116" i="1"/>
  <c r="E6860" i="1"/>
  <c r="E5652" i="1"/>
  <c r="E5524" i="1"/>
  <c r="E5396" i="1"/>
  <c r="E5268" i="1"/>
  <c r="E5140" i="1"/>
  <c r="E4604" i="1"/>
  <c r="E4316" i="1"/>
  <c r="E4156" i="1"/>
  <c r="E4028" i="1"/>
  <c r="E2820" i="1"/>
  <c r="E2780" i="1"/>
  <c r="E2612" i="1"/>
  <c r="E2572" i="1"/>
  <c r="E2556" i="1"/>
  <c r="E2340" i="1"/>
  <c r="E2148" i="1"/>
  <c r="E2084" i="1"/>
  <c r="E2020" i="1"/>
  <c r="E1700" i="1"/>
  <c r="E1532" i="1"/>
  <c r="E1468" i="1"/>
  <c r="E1404" i="1"/>
  <c r="E1244" i="1"/>
  <c r="E1044" i="1"/>
  <c r="E1020" i="1"/>
  <c r="E956" i="1"/>
  <c r="E892" i="1"/>
  <c r="E868" i="1"/>
  <c r="E820" i="1"/>
  <c r="E732" i="1"/>
  <c r="E532" i="1"/>
  <c r="E508" i="1"/>
  <c r="E10000" i="1"/>
  <c r="I10000" i="1"/>
  <c r="E9992" i="1"/>
  <c r="I9992" i="1"/>
  <c r="I9984" i="1"/>
  <c r="E9968" i="1"/>
  <c r="I9968" i="1"/>
  <c r="E9952" i="1"/>
  <c r="I9952" i="1"/>
  <c r="I9944" i="1"/>
  <c r="I9936" i="1"/>
  <c r="I9920" i="1"/>
  <c r="E9912" i="1"/>
  <c r="I9912" i="1"/>
  <c r="E9904" i="1"/>
  <c r="I9904" i="1"/>
  <c r="F9896" i="1"/>
  <c r="I9896" i="1"/>
  <c r="E9888" i="1"/>
  <c r="I9888" i="1"/>
  <c r="I9880" i="1"/>
  <c r="E9872" i="1"/>
  <c r="I9872" i="1"/>
  <c r="E9864" i="1"/>
  <c r="I9864" i="1"/>
  <c r="E9856" i="1"/>
  <c r="I9856" i="1"/>
  <c r="E9848" i="1"/>
  <c r="I9848" i="1"/>
  <c r="I9840" i="1"/>
  <c r="I9832" i="1"/>
  <c r="E9824" i="1"/>
  <c r="I9824" i="1"/>
  <c r="E9816" i="1"/>
  <c r="I9816" i="1"/>
  <c r="E9808" i="1"/>
  <c r="I9808" i="1"/>
  <c r="E9800" i="1"/>
  <c r="I9800" i="1"/>
  <c r="E9784" i="1"/>
  <c r="I9784" i="1"/>
  <c r="E9776" i="1"/>
  <c r="I9776" i="1"/>
  <c r="F9768" i="1"/>
  <c r="I9768" i="1"/>
  <c r="E9760" i="1"/>
  <c r="I9760" i="1"/>
  <c r="I9752" i="1"/>
  <c r="E9744" i="1"/>
  <c r="I9744" i="1"/>
  <c r="E9736" i="1"/>
  <c r="I9736" i="1"/>
  <c r="E9720" i="1"/>
  <c r="I9720" i="1"/>
  <c r="E9712" i="1"/>
  <c r="I9712" i="1"/>
  <c r="I9704" i="1"/>
  <c r="E9696" i="1"/>
  <c r="I9696" i="1"/>
  <c r="F9688" i="1"/>
  <c r="I9688" i="1"/>
  <c r="E9680" i="1"/>
  <c r="I9680" i="1"/>
  <c r="E9672" i="1"/>
  <c r="I9672" i="1"/>
  <c r="I9664" i="1"/>
  <c r="E9656" i="1"/>
  <c r="I9656" i="1"/>
  <c r="I9640" i="1"/>
  <c r="E9632" i="1"/>
  <c r="I9632" i="1"/>
  <c r="E9616" i="1"/>
  <c r="I9616" i="1"/>
  <c r="E9608" i="1"/>
  <c r="I9608" i="1"/>
  <c r="I9592" i="1"/>
  <c r="E9584" i="1"/>
  <c r="I9584" i="1"/>
  <c r="F9576" i="1"/>
  <c r="I9576" i="1"/>
  <c r="E9568" i="1"/>
  <c r="I9568" i="1"/>
  <c r="I9560" i="1"/>
  <c r="E9552" i="1"/>
  <c r="I9552" i="1"/>
  <c r="E9544" i="1"/>
  <c r="I9544" i="1"/>
  <c r="I9536" i="1"/>
  <c r="E9528" i="1"/>
  <c r="I9528" i="1"/>
  <c r="E9520" i="1"/>
  <c r="I9520" i="1"/>
  <c r="I9512" i="1"/>
  <c r="E9504" i="1"/>
  <c r="I9504" i="1"/>
  <c r="I9496" i="1"/>
  <c r="E9488" i="1"/>
  <c r="I9488" i="1"/>
  <c r="E9480" i="1"/>
  <c r="I9480" i="1"/>
  <c r="I9472" i="1"/>
  <c r="E9456" i="1"/>
  <c r="I9456" i="1"/>
  <c r="I9448" i="1"/>
  <c r="E9440" i="1"/>
  <c r="I9440" i="1"/>
  <c r="I9424" i="1"/>
  <c r="I9408" i="1"/>
  <c r="E9400" i="1"/>
  <c r="I9400" i="1"/>
  <c r="E9392" i="1"/>
  <c r="I9392" i="1"/>
  <c r="F9384" i="1"/>
  <c r="I9384" i="1"/>
  <c r="E9376" i="1"/>
  <c r="I9376" i="1"/>
  <c r="I9368" i="1"/>
  <c r="E9360" i="1"/>
  <c r="I9360" i="1"/>
  <c r="E9352" i="1"/>
  <c r="I9352" i="1"/>
  <c r="F9344" i="1"/>
  <c r="I9344" i="1"/>
  <c r="E9336" i="1"/>
  <c r="I9336" i="1"/>
  <c r="I9328" i="1"/>
  <c r="I9320" i="1"/>
  <c r="E9312" i="1"/>
  <c r="I9312" i="1"/>
  <c r="I9304" i="1"/>
  <c r="E9296" i="1"/>
  <c r="I9296" i="1"/>
  <c r="E9288" i="1"/>
  <c r="I9288" i="1"/>
  <c r="E9272" i="1"/>
  <c r="I9272" i="1"/>
  <c r="E9264" i="1"/>
  <c r="I9264" i="1"/>
  <c r="F9256" i="1"/>
  <c r="I9256" i="1"/>
  <c r="E9248" i="1"/>
  <c r="I9248" i="1"/>
  <c r="I9240" i="1"/>
  <c r="E9232" i="1"/>
  <c r="I9232" i="1"/>
  <c r="E9224" i="1"/>
  <c r="I9224" i="1"/>
  <c r="I9216" i="1"/>
  <c r="E9208" i="1"/>
  <c r="I9208" i="1"/>
  <c r="E9200" i="1"/>
  <c r="I9200" i="1"/>
  <c r="I9192" i="1"/>
  <c r="I9184" i="1"/>
  <c r="E9168" i="1"/>
  <c r="I9168" i="1"/>
  <c r="E9160" i="1"/>
  <c r="I9160" i="1"/>
  <c r="I9152" i="1"/>
  <c r="E9144" i="1"/>
  <c r="I9144" i="1"/>
  <c r="E9136" i="1"/>
  <c r="I9136" i="1"/>
  <c r="I9128" i="1"/>
  <c r="E9120" i="1"/>
  <c r="I9120" i="1"/>
  <c r="E9096" i="1"/>
  <c r="I9096" i="1"/>
  <c r="F9088" i="1"/>
  <c r="I9088" i="1"/>
  <c r="E9080" i="1"/>
  <c r="I9080" i="1"/>
  <c r="E9072" i="1"/>
  <c r="I9072" i="1"/>
  <c r="I9056" i="1"/>
  <c r="I9048" i="1"/>
  <c r="I9024" i="1"/>
  <c r="E9016" i="1"/>
  <c r="I9016" i="1"/>
  <c r="I9000" i="1"/>
  <c r="E8992" i="1"/>
  <c r="I8992" i="1"/>
  <c r="I8984" i="1"/>
  <c r="E8976" i="1"/>
  <c r="I8976" i="1"/>
  <c r="I8968" i="1"/>
  <c r="F8960" i="1"/>
  <c r="I8960" i="1"/>
  <c r="E8952" i="1"/>
  <c r="I8952" i="1"/>
  <c r="I8936" i="1"/>
  <c r="E8928" i="1"/>
  <c r="I8928" i="1"/>
  <c r="I8912" i="1"/>
  <c r="E8904" i="1"/>
  <c r="I8904" i="1"/>
  <c r="I8896" i="1"/>
  <c r="E8880" i="1"/>
  <c r="I8880" i="1"/>
  <c r="I8872" i="1"/>
  <c r="I8856" i="1"/>
  <c r="E8848" i="1"/>
  <c r="I8848" i="1"/>
  <c r="E8840" i="1"/>
  <c r="I8840" i="1"/>
  <c r="F8832" i="1"/>
  <c r="I8832" i="1"/>
  <c r="E8816" i="1"/>
  <c r="I8816" i="1"/>
  <c r="I8808" i="1"/>
  <c r="E8800" i="1"/>
  <c r="I8800" i="1"/>
  <c r="I8792" i="1"/>
  <c r="E8784" i="1"/>
  <c r="I8784" i="1"/>
  <c r="E8776" i="1"/>
  <c r="I8776" i="1"/>
  <c r="E8752" i="1"/>
  <c r="I8752" i="1"/>
  <c r="E8736" i="1"/>
  <c r="I8736" i="1"/>
  <c r="E8712" i="1"/>
  <c r="I8712" i="1"/>
  <c r="E8696" i="1"/>
  <c r="I8696" i="1"/>
  <c r="E8688" i="1"/>
  <c r="I8688" i="1"/>
  <c r="I8680" i="1"/>
  <c r="I8672" i="1"/>
  <c r="I8664" i="1"/>
  <c r="E8656" i="1"/>
  <c r="I8656" i="1"/>
  <c r="E8648" i="1"/>
  <c r="I8648" i="1"/>
  <c r="I8640" i="1"/>
  <c r="E8632" i="1"/>
  <c r="I8632" i="1"/>
  <c r="E8624" i="1"/>
  <c r="I8624" i="1"/>
  <c r="I8616" i="1"/>
  <c r="E8608" i="1"/>
  <c r="I8608" i="1"/>
  <c r="E8584" i="1"/>
  <c r="I8584" i="1"/>
  <c r="F8576" i="1"/>
  <c r="I8576" i="1"/>
  <c r="E8568" i="1"/>
  <c r="I8568" i="1"/>
  <c r="E8560" i="1"/>
  <c r="I8560" i="1"/>
  <c r="I8544" i="1"/>
  <c r="F8536" i="1"/>
  <c r="I8536" i="1"/>
  <c r="E8528" i="1"/>
  <c r="I8528" i="1"/>
  <c r="I8512" i="1"/>
  <c r="E8504" i="1"/>
  <c r="I8504" i="1"/>
  <c r="I8488" i="1"/>
  <c r="E8480" i="1"/>
  <c r="I8480" i="1"/>
  <c r="F8472" i="1"/>
  <c r="I8472" i="1"/>
  <c r="E8456" i="1"/>
  <c r="I8456" i="1"/>
  <c r="I8448" i="1"/>
  <c r="E8432" i="1"/>
  <c r="I8432" i="1"/>
  <c r="E8400" i="1"/>
  <c r="I8400" i="1"/>
  <c r="E8392" i="1"/>
  <c r="I8392" i="1"/>
  <c r="I8384" i="1"/>
  <c r="E8376" i="1"/>
  <c r="I8376" i="1"/>
  <c r="E8368" i="1"/>
  <c r="I8368" i="1"/>
  <c r="I8360" i="1"/>
  <c r="E8352" i="1"/>
  <c r="I8352" i="1"/>
  <c r="E8336" i="1"/>
  <c r="I8336" i="1"/>
  <c r="E8328" i="1"/>
  <c r="I8328" i="1"/>
  <c r="E8320" i="1"/>
  <c r="I8320" i="1"/>
  <c r="E8312" i="1"/>
  <c r="I8312" i="1"/>
  <c r="F8296" i="1"/>
  <c r="I8296" i="1"/>
  <c r="E8288" i="1"/>
  <c r="I8288" i="1"/>
  <c r="I8280" i="1"/>
  <c r="E8272" i="1"/>
  <c r="I8272" i="1"/>
  <c r="E8264" i="1"/>
  <c r="I8264" i="1"/>
  <c r="I8256" i="1"/>
  <c r="E8248" i="1"/>
  <c r="I8248" i="1"/>
  <c r="E8240" i="1"/>
  <c r="I8240" i="1"/>
  <c r="I8232" i="1"/>
  <c r="E8208" i="1"/>
  <c r="I8208" i="1"/>
  <c r="E8168" i="1"/>
  <c r="I8168" i="1"/>
  <c r="E8144" i="1"/>
  <c r="I8144" i="1"/>
  <c r="E8128" i="1"/>
  <c r="I8128" i="1"/>
  <c r="I8120" i="1"/>
  <c r="E8096" i="1"/>
  <c r="I8096" i="1"/>
  <c r="E8088" i="1"/>
  <c r="I8088" i="1"/>
  <c r="I8072" i="1"/>
  <c r="I8032" i="1"/>
  <c r="E8016" i="1"/>
  <c r="I8016" i="1"/>
  <c r="E8008" i="1"/>
  <c r="I8008" i="1"/>
  <c r="E7992" i="1"/>
  <c r="I7992" i="1"/>
  <c r="E7960" i="1"/>
  <c r="I7960" i="1"/>
  <c r="I7936" i="1"/>
  <c r="I7904" i="1"/>
  <c r="E7896" i="1"/>
  <c r="I7896" i="1"/>
  <c r="I7864" i="1"/>
  <c r="I7856" i="1"/>
  <c r="I7848" i="1"/>
  <c r="H7848" i="1"/>
  <c r="E7840" i="1"/>
  <c r="I7840" i="1"/>
  <c r="H7840" i="1"/>
  <c r="I7832" i="1"/>
  <c r="H7832" i="1"/>
  <c r="I7824" i="1"/>
  <c r="H7824" i="1"/>
  <c r="I7816" i="1"/>
  <c r="H7816" i="1"/>
  <c r="E7808" i="1"/>
  <c r="I7808" i="1"/>
  <c r="H7808" i="1"/>
  <c r="E7800" i="1"/>
  <c r="I7800" i="1"/>
  <c r="H7800" i="1"/>
  <c r="I7792" i="1"/>
  <c r="H7792" i="1"/>
  <c r="I7784" i="1"/>
  <c r="H7784" i="1"/>
  <c r="I7776" i="1"/>
  <c r="H7776" i="1"/>
  <c r="I7768" i="1"/>
  <c r="H7768" i="1"/>
  <c r="I7760" i="1"/>
  <c r="H7760" i="1"/>
  <c r="I7752" i="1"/>
  <c r="H7752" i="1"/>
  <c r="I7744" i="1"/>
  <c r="H7744" i="1"/>
  <c r="I7736" i="1"/>
  <c r="H7736" i="1"/>
  <c r="I7728" i="1"/>
  <c r="H7728" i="1"/>
  <c r="I7720" i="1"/>
  <c r="H7720" i="1"/>
  <c r="E7712" i="1"/>
  <c r="I7712" i="1"/>
  <c r="H7712" i="1"/>
  <c r="I7704" i="1"/>
  <c r="H7704" i="1"/>
  <c r="I7696" i="1"/>
  <c r="H7696" i="1"/>
  <c r="I7688" i="1"/>
  <c r="H7688" i="1"/>
  <c r="I7680" i="1"/>
  <c r="H7680" i="1"/>
  <c r="I7672" i="1"/>
  <c r="H7672" i="1"/>
  <c r="I7664" i="1"/>
  <c r="H7664" i="1"/>
  <c r="E7656" i="1"/>
  <c r="I7656" i="1"/>
  <c r="H7656" i="1"/>
  <c r="I7648" i="1"/>
  <c r="H7648" i="1"/>
  <c r="I7640" i="1"/>
  <c r="H7640" i="1"/>
  <c r="F7632" i="1"/>
  <c r="I7632" i="1"/>
  <c r="H7632" i="1"/>
  <c r="I7624" i="1"/>
  <c r="H7624" i="1"/>
  <c r="I7616" i="1"/>
  <c r="H7616" i="1"/>
  <c r="I7608" i="1"/>
  <c r="H7608" i="1"/>
  <c r="E7600" i="1"/>
  <c r="I7600" i="1"/>
  <c r="H7600" i="1"/>
  <c r="I7592" i="1"/>
  <c r="H7592" i="1"/>
  <c r="I7584" i="1"/>
  <c r="H7584" i="1"/>
  <c r="I7576" i="1"/>
  <c r="H7576" i="1"/>
  <c r="I7568" i="1"/>
  <c r="H7568" i="1"/>
  <c r="I7560" i="1"/>
  <c r="H7560" i="1"/>
  <c r="I7552" i="1"/>
  <c r="H7552" i="1"/>
  <c r="I7544" i="1"/>
  <c r="H7544" i="1"/>
  <c r="I7536" i="1"/>
  <c r="H7536" i="1"/>
  <c r="I7528" i="1"/>
  <c r="H7528" i="1"/>
  <c r="I7520" i="1"/>
  <c r="H7520" i="1"/>
  <c r="I7512" i="1"/>
  <c r="H7512" i="1"/>
  <c r="I7504" i="1"/>
  <c r="H7504" i="1"/>
  <c r="E7496" i="1"/>
  <c r="I7496" i="1"/>
  <c r="H7496" i="1"/>
  <c r="I7488" i="1"/>
  <c r="H7488" i="1"/>
  <c r="E7480" i="1"/>
  <c r="I7480" i="1"/>
  <c r="H7480" i="1"/>
  <c r="I7472" i="1"/>
  <c r="H7472" i="1"/>
  <c r="I7464" i="1"/>
  <c r="H7464" i="1"/>
  <c r="I7456" i="1"/>
  <c r="H7456" i="1"/>
  <c r="E7448" i="1"/>
  <c r="I7448" i="1"/>
  <c r="H7448" i="1"/>
  <c r="I7440" i="1"/>
  <c r="H7440" i="1"/>
  <c r="I7432" i="1"/>
  <c r="H7432" i="1"/>
  <c r="I7424" i="1"/>
  <c r="H7424" i="1"/>
  <c r="I7416" i="1"/>
  <c r="H7416" i="1"/>
  <c r="I7408" i="1"/>
  <c r="H7408" i="1"/>
  <c r="I7400" i="1"/>
  <c r="H7400" i="1"/>
  <c r="I7392" i="1"/>
  <c r="H7392" i="1"/>
  <c r="E7384" i="1"/>
  <c r="I7384" i="1"/>
  <c r="H7384" i="1"/>
  <c r="I7376" i="1"/>
  <c r="H7376" i="1"/>
  <c r="I7368" i="1"/>
  <c r="H7368" i="1"/>
  <c r="E7360" i="1"/>
  <c r="I7360" i="1"/>
  <c r="H7360" i="1"/>
  <c r="I7352" i="1"/>
  <c r="H7352" i="1"/>
  <c r="I7344" i="1"/>
  <c r="H7344" i="1"/>
  <c r="I7336" i="1"/>
  <c r="H7336" i="1"/>
  <c r="I7328" i="1"/>
  <c r="H7328" i="1"/>
  <c r="I7320" i="1"/>
  <c r="H7320" i="1"/>
  <c r="I7312" i="1"/>
  <c r="H7312" i="1"/>
  <c r="I7304" i="1"/>
  <c r="H7304" i="1"/>
  <c r="E7296" i="1"/>
  <c r="I7296" i="1"/>
  <c r="H7296" i="1"/>
  <c r="E7288" i="1"/>
  <c r="I7288" i="1"/>
  <c r="H7288" i="1"/>
  <c r="I7280" i="1"/>
  <c r="H7280" i="1"/>
  <c r="E7272" i="1"/>
  <c r="I7272" i="1"/>
  <c r="H7272" i="1"/>
  <c r="I7264" i="1"/>
  <c r="H7264" i="1"/>
  <c r="I7256" i="1"/>
  <c r="H7256" i="1"/>
  <c r="F7248" i="1"/>
  <c r="I7248" i="1"/>
  <c r="H7248" i="1"/>
  <c r="I7240" i="1"/>
  <c r="H7240" i="1"/>
  <c r="F7232" i="1"/>
  <c r="I7232" i="1"/>
  <c r="H7232" i="1"/>
  <c r="I7224" i="1"/>
  <c r="H7224" i="1"/>
  <c r="I7216" i="1"/>
  <c r="H7216" i="1"/>
  <c r="I7208" i="1"/>
  <c r="H7208" i="1"/>
  <c r="F7200" i="1"/>
  <c r="I7200" i="1"/>
  <c r="H7200" i="1"/>
  <c r="I7192" i="1"/>
  <c r="H7192" i="1"/>
  <c r="I7184" i="1"/>
  <c r="H7184" i="1"/>
  <c r="I7176" i="1"/>
  <c r="H7176" i="1"/>
  <c r="I7168" i="1"/>
  <c r="H7168" i="1"/>
  <c r="I7160" i="1"/>
  <c r="H7160" i="1"/>
  <c r="F7152" i="1"/>
  <c r="I7152" i="1"/>
  <c r="H7152" i="1"/>
  <c r="I7144" i="1"/>
  <c r="H7144" i="1"/>
  <c r="F7136" i="1"/>
  <c r="I7136" i="1"/>
  <c r="H7136" i="1"/>
  <c r="I7128" i="1"/>
  <c r="H7128" i="1"/>
  <c r="I7120" i="1"/>
  <c r="H7120" i="1"/>
  <c r="I7112" i="1"/>
  <c r="H7112" i="1"/>
  <c r="F7104" i="1"/>
  <c r="I7104" i="1"/>
  <c r="H7104" i="1"/>
  <c r="E7096" i="1"/>
  <c r="I7096" i="1"/>
  <c r="H7096" i="1"/>
  <c r="I7088" i="1"/>
  <c r="H7088" i="1"/>
  <c r="I7080" i="1"/>
  <c r="H7080" i="1"/>
  <c r="I7072" i="1"/>
  <c r="H7072" i="1"/>
  <c r="E7064" i="1"/>
  <c r="I7064" i="1"/>
  <c r="H7064" i="1"/>
  <c r="I7056" i="1"/>
  <c r="H7056" i="1"/>
  <c r="I7048" i="1"/>
  <c r="H7048" i="1"/>
  <c r="F7040" i="1"/>
  <c r="I7040" i="1"/>
  <c r="H7040" i="1"/>
  <c r="E7032" i="1"/>
  <c r="I7032" i="1"/>
  <c r="H7032" i="1"/>
  <c r="I7024" i="1"/>
  <c r="H7024" i="1"/>
  <c r="I7016" i="1"/>
  <c r="H7016" i="1"/>
  <c r="I7008" i="1"/>
  <c r="H7008" i="1"/>
  <c r="E7000" i="1"/>
  <c r="I7000" i="1"/>
  <c r="H7000" i="1"/>
  <c r="I6992" i="1"/>
  <c r="H6992" i="1"/>
  <c r="I6984" i="1"/>
  <c r="H6984" i="1"/>
  <c r="I6976" i="1"/>
  <c r="H6976" i="1"/>
  <c r="E6968" i="1"/>
  <c r="I6968" i="1"/>
  <c r="H6968" i="1"/>
  <c r="I6960" i="1"/>
  <c r="H6960" i="1"/>
  <c r="I6952" i="1"/>
  <c r="H6952" i="1"/>
  <c r="E6944" i="1"/>
  <c r="I6944" i="1"/>
  <c r="H6944" i="1"/>
  <c r="E6936" i="1"/>
  <c r="I6936" i="1"/>
  <c r="H6936" i="1"/>
  <c r="I6928" i="1"/>
  <c r="H6928" i="1"/>
  <c r="I6920" i="1"/>
  <c r="H6920" i="1"/>
  <c r="E6912" i="1"/>
  <c r="I6912" i="1"/>
  <c r="H6912" i="1"/>
  <c r="E6904" i="1"/>
  <c r="I6904" i="1"/>
  <c r="H6904" i="1"/>
  <c r="I6896" i="1"/>
  <c r="H6896" i="1"/>
  <c r="I6888" i="1"/>
  <c r="H6888" i="1"/>
  <c r="E6880" i="1"/>
  <c r="I6880" i="1"/>
  <c r="H6880" i="1"/>
  <c r="E6872" i="1"/>
  <c r="I6872" i="1"/>
  <c r="H6872" i="1"/>
  <c r="I6864" i="1"/>
  <c r="H6864" i="1"/>
  <c r="I6856" i="1"/>
  <c r="H6856" i="1"/>
  <c r="E6848" i="1"/>
  <c r="I6848" i="1"/>
  <c r="H6848" i="1"/>
  <c r="E6840" i="1"/>
  <c r="I6840" i="1"/>
  <c r="H6840" i="1"/>
  <c r="I6832" i="1"/>
  <c r="H6832" i="1"/>
  <c r="I6824" i="1"/>
  <c r="H6824" i="1"/>
  <c r="E6816" i="1"/>
  <c r="I6816" i="1"/>
  <c r="H6816" i="1"/>
  <c r="E6808" i="1"/>
  <c r="I6808" i="1"/>
  <c r="H6808" i="1"/>
  <c r="I6800" i="1"/>
  <c r="H6800" i="1"/>
  <c r="I6792" i="1"/>
  <c r="H6792" i="1"/>
  <c r="E6784" i="1"/>
  <c r="I6784" i="1"/>
  <c r="H6784" i="1"/>
  <c r="E6776" i="1"/>
  <c r="I6776" i="1"/>
  <c r="H6776" i="1"/>
  <c r="I6768" i="1"/>
  <c r="H6768" i="1"/>
  <c r="I6760" i="1"/>
  <c r="H6760" i="1"/>
  <c r="E6752" i="1"/>
  <c r="I6752" i="1"/>
  <c r="H6752" i="1"/>
  <c r="E6744" i="1"/>
  <c r="I6744" i="1"/>
  <c r="H6744" i="1"/>
  <c r="I6736" i="1"/>
  <c r="H6736" i="1"/>
  <c r="I6728" i="1"/>
  <c r="H6728" i="1"/>
  <c r="E6720" i="1"/>
  <c r="I6720" i="1"/>
  <c r="H6720" i="1"/>
  <c r="E6712" i="1"/>
  <c r="I6712" i="1"/>
  <c r="H6712" i="1"/>
  <c r="I6704" i="1"/>
  <c r="H6704" i="1"/>
  <c r="I6696" i="1"/>
  <c r="H6696" i="1"/>
  <c r="E6688" i="1"/>
  <c r="I6688" i="1"/>
  <c r="H6688" i="1"/>
  <c r="E6680" i="1"/>
  <c r="I6680" i="1"/>
  <c r="H6680" i="1"/>
  <c r="I6672" i="1"/>
  <c r="H6672" i="1"/>
  <c r="I6664" i="1"/>
  <c r="H6664" i="1"/>
  <c r="E6656" i="1"/>
  <c r="I6656" i="1"/>
  <c r="H6656" i="1"/>
  <c r="E6648" i="1"/>
  <c r="I6648" i="1"/>
  <c r="H6648" i="1"/>
  <c r="I6640" i="1"/>
  <c r="H6640" i="1"/>
  <c r="I6632" i="1"/>
  <c r="H6632" i="1"/>
  <c r="E6624" i="1"/>
  <c r="I6624" i="1"/>
  <c r="H6624" i="1"/>
  <c r="E6616" i="1"/>
  <c r="I6616" i="1"/>
  <c r="H6616" i="1"/>
  <c r="I6608" i="1"/>
  <c r="H6608" i="1"/>
  <c r="I6600" i="1"/>
  <c r="H6600" i="1"/>
  <c r="I6592" i="1"/>
  <c r="H6592" i="1"/>
  <c r="E6584" i="1"/>
  <c r="I6584" i="1"/>
  <c r="H6584" i="1"/>
  <c r="I6576" i="1"/>
  <c r="H6576" i="1"/>
  <c r="E6568" i="1"/>
  <c r="I6568" i="1"/>
  <c r="H6568" i="1"/>
  <c r="I6560" i="1"/>
  <c r="H6560" i="1"/>
  <c r="E6552" i="1"/>
  <c r="I6552" i="1"/>
  <c r="H6552" i="1"/>
  <c r="I6544" i="1"/>
  <c r="H6544" i="1"/>
  <c r="E6536" i="1"/>
  <c r="I6536" i="1"/>
  <c r="H6536" i="1"/>
  <c r="I6528" i="1"/>
  <c r="H6528" i="1"/>
  <c r="E6520" i="1"/>
  <c r="I6520" i="1"/>
  <c r="H6520" i="1"/>
  <c r="I6512" i="1"/>
  <c r="H6512" i="1"/>
  <c r="E6504" i="1"/>
  <c r="I6504" i="1"/>
  <c r="H6504" i="1"/>
  <c r="I6496" i="1"/>
  <c r="H6496" i="1"/>
  <c r="E6488" i="1"/>
  <c r="I6488" i="1"/>
  <c r="H6488" i="1"/>
  <c r="I6480" i="1"/>
  <c r="H6480" i="1"/>
  <c r="E6472" i="1"/>
  <c r="I6472" i="1"/>
  <c r="H6472" i="1"/>
  <c r="I6464" i="1"/>
  <c r="H6464" i="1"/>
  <c r="E6456" i="1"/>
  <c r="I6456" i="1"/>
  <c r="H6456" i="1"/>
  <c r="I6448" i="1"/>
  <c r="H6448" i="1"/>
  <c r="E6440" i="1"/>
  <c r="I6440" i="1"/>
  <c r="H6440" i="1"/>
  <c r="I6432" i="1"/>
  <c r="H6432" i="1"/>
  <c r="E6424" i="1"/>
  <c r="I6424" i="1"/>
  <c r="H6424" i="1"/>
  <c r="I6416" i="1"/>
  <c r="H6416" i="1"/>
  <c r="I6408" i="1"/>
  <c r="H6408" i="1"/>
  <c r="I6400" i="1"/>
  <c r="H6400" i="1"/>
  <c r="F6392" i="1"/>
  <c r="I6392" i="1"/>
  <c r="H6392" i="1"/>
  <c r="I6384" i="1"/>
  <c r="H6384" i="1"/>
  <c r="I6376" i="1"/>
  <c r="H6376" i="1"/>
  <c r="I6368" i="1"/>
  <c r="H6368" i="1"/>
  <c r="I6360" i="1"/>
  <c r="H6360" i="1"/>
  <c r="I6352" i="1"/>
  <c r="H6352" i="1"/>
  <c r="F6344" i="1"/>
  <c r="I6344" i="1"/>
  <c r="H6344" i="1"/>
  <c r="I6336" i="1"/>
  <c r="H6336" i="1"/>
  <c r="I6328" i="1"/>
  <c r="H6328" i="1"/>
  <c r="I6320" i="1"/>
  <c r="H6320" i="1"/>
  <c r="I6312" i="1"/>
  <c r="H6312" i="1"/>
  <c r="I6304" i="1"/>
  <c r="H6304" i="1"/>
  <c r="F6296" i="1"/>
  <c r="I6296" i="1"/>
  <c r="H6296" i="1"/>
  <c r="I6288" i="1"/>
  <c r="H6288" i="1"/>
  <c r="I6280" i="1"/>
  <c r="H6280" i="1"/>
  <c r="E6272" i="1"/>
  <c r="I6272" i="1"/>
  <c r="H6272" i="1"/>
  <c r="F6264" i="1"/>
  <c r="I6264" i="1"/>
  <c r="H6264" i="1"/>
  <c r="I6256" i="1"/>
  <c r="H6256" i="1"/>
  <c r="F6248" i="1"/>
  <c r="I6248" i="1"/>
  <c r="H6248" i="1"/>
  <c r="I6240" i="1"/>
  <c r="H6240" i="1"/>
  <c r="F6232" i="1"/>
  <c r="I6232" i="1"/>
  <c r="H6232" i="1"/>
  <c r="I6224" i="1"/>
  <c r="H6224" i="1"/>
  <c r="I6216" i="1"/>
  <c r="H6216" i="1"/>
  <c r="I6208" i="1"/>
  <c r="H6208" i="1"/>
  <c r="I6200" i="1"/>
  <c r="H6200" i="1"/>
  <c r="I6192" i="1"/>
  <c r="H6192" i="1"/>
  <c r="I6184" i="1"/>
  <c r="H6184" i="1"/>
  <c r="I6176" i="1"/>
  <c r="H6176" i="1"/>
  <c r="I6168" i="1"/>
  <c r="H6168" i="1"/>
  <c r="I6160" i="1"/>
  <c r="H6160" i="1"/>
  <c r="F6152" i="1"/>
  <c r="I6152" i="1"/>
  <c r="H6152" i="1"/>
  <c r="I6144" i="1"/>
  <c r="H6144" i="1"/>
  <c r="F6136" i="1"/>
  <c r="I6136" i="1"/>
  <c r="H6136" i="1"/>
  <c r="I6128" i="1"/>
  <c r="H6128" i="1"/>
  <c r="I6120" i="1"/>
  <c r="H6120" i="1"/>
  <c r="I6112" i="1"/>
  <c r="H6112" i="1"/>
  <c r="F6104" i="1"/>
  <c r="I6104" i="1"/>
  <c r="H6104" i="1"/>
  <c r="I6096" i="1"/>
  <c r="H6096" i="1"/>
  <c r="I6088" i="1"/>
  <c r="H6088" i="1"/>
  <c r="I6080" i="1"/>
  <c r="H6080" i="1"/>
  <c r="I6072" i="1"/>
  <c r="H6072" i="1"/>
  <c r="F6064" i="1"/>
  <c r="I6064" i="1"/>
  <c r="H6064" i="1"/>
  <c r="I6056" i="1"/>
  <c r="H6056" i="1"/>
  <c r="I6048" i="1"/>
  <c r="H6048" i="1"/>
  <c r="I6040" i="1"/>
  <c r="H6040" i="1"/>
  <c r="I6032" i="1"/>
  <c r="H6032" i="1"/>
  <c r="I6024" i="1"/>
  <c r="H6024" i="1"/>
  <c r="I6016" i="1"/>
  <c r="H6016" i="1"/>
  <c r="I6008" i="1"/>
  <c r="H6008" i="1"/>
  <c r="I6000" i="1"/>
  <c r="H6000" i="1"/>
  <c r="I5992" i="1"/>
  <c r="H5992" i="1"/>
  <c r="I5984" i="1"/>
  <c r="H5984" i="1"/>
  <c r="F5976" i="1"/>
  <c r="I5976" i="1"/>
  <c r="H5976" i="1"/>
  <c r="I5968" i="1"/>
  <c r="H5968" i="1"/>
  <c r="I5960" i="1"/>
  <c r="H5960" i="1"/>
  <c r="I5952" i="1"/>
  <c r="H5952" i="1"/>
  <c r="I5944" i="1"/>
  <c r="H5944" i="1"/>
  <c r="I5936" i="1"/>
  <c r="H5936" i="1"/>
  <c r="I5928" i="1"/>
  <c r="H5928" i="1"/>
  <c r="I5920" i="1"/>
  <c r="H5920" i="1"/>
  <c r="I5912" i="1"/>
  <c r="H5912" i="1"/>
  <c r="I5904" i="1"/>
  <c r="H5904" i="1"/>
  <c r="I5896" i="1"/>
  <c r="H5896" i="1"/>
  <c r="I5888" i="1"/>
  <c r="H5888" i="1"/>
  <c r="F5880" i="1"/>
  <c r="I5880" i="1"/>
  <c r="H5880" i="1"/>
  <c r="I5872" i="1"/>
  <c r="H5872" i="1"/>
  <c r="I5864" i="1"/>
  <c r="H5864" i="1"/>
  <c r="I5856" i="1"/>
  <c r="H5856" i="1"/>
  <c r="F5848" i="1"/>
  <c r="I5848" i="1"/>
  <c r="H5848" i="1"/>
  <c r="I5840" i="1"/>
  <c r="H5840" i="1"/>
  <c r="I5832" i="1"/>
  <c r="H5832" i="1"/>
  <c r="I5824" i="1"/>
  <c r="H5824" i="1"/>
  <c r="I5816" i="1"/>
  <c r="H5816" i="1"/>
  <c r="I5808" i="1"/>
  <c r="H5808" i="1"/>
  <c r="I5800" i="1"/>
  <c r="H5800" i="1"/>
  <c r="I5792" i="1"/>
  <c r="H5792" i="1"/>
  <c r="F5784" i="1"/>
  <c r="I5784" i="1"/>
  <c r="H5784" i="1"/>
  <c r="I5776" i="1"/>
  <c r="H5776" i="1"/>
  <c r="I5768" i="1"/>
  <c r="H5768" i="1"/>
  <c r="I5760" i="1"/>
  <c r="H5760" i="1"/>
  <c r="I5752" i="1"/>
  <c r="H5752" i="1"/>
  <c r="I5744" i="1"/>
  <c r="H5744" i="1"/>
  <c r="I5736" i="1"/>
  <c r="H5736" i="1"/>
  <c r="I5728" i="1"/>
  <c r="H5728" i="1"/>
  <c r="I5720" i="1"/>
  <c r="H5720" i="1"/>
  <c r="I5712" i="1"/>
  <c r="H5712" i="1"/>
  <c r="I5704" i="1"/>
  <c r="H5704" i="1"/>
  <c r="I5696" i="1"/>
  <c r="H5696" i="1"/>
  <c r="I5688" i="1"/>
  <c r="H5688" i="1"/>
  <c r="F5680" i="1"/>
  <c r="I5680" i="1"/>
  <c r="H5680" i="1"/>
  <c r="I5672" i="1"/>
  <c r="H5672" i="1"/>
  <c r="I5664" i="1"/>
  <c r="H5664" i="1"/>
  <c r="F5656" i="1"/>
  <c r="I5656" i="1"/>
  <c r="H5656" i="1"/>
  <c r="I5648" i="1"/>
  <c r="H5648" i="1"/>
  <c r="I5640" i="1"/>
  <c r="H5640" i="1"/>
  <c r="I5632" i="1"/>
  <c r="H5632" i="1"/>
  <c r="I5624" i="1"/>
  <c r="H5624" i="1"/>
  <c r="I5616" i="1"/>
  <c r="H5616" i="1"/>
  <c r="I5608" i="1"/>
  <c r="H5608" i="1"/>
  <c r="I5600" i="1"/>
  <c r="H5600" i="1"/>
  <c r="I5592" i="1"/>
  <c r="H5592" i="1"/>
  <c r="I5584" i="1"/>
  <c r="H5584" i="1"/>
  <c r="I5576" i="1"/>
  <c r="H5576" i="1"/>
  <c r="F5568" i="1"/>
  <c r="I5568" i="1"/>
  <c r="H5568" i="1"/>
  <c r="I5560" i="1"/>
  <c r="H5560" i="1"/>
  <c r="F5552" i="1"/>
  <c r="I5552" i="1"/>
  <c r="H5552" i="1"/>
  <c r="I5544" i="1"/>
  <c r="H5544" i="1"/>
  <c r="I5536" i="1"/>
  <c r="H5536" i="1"/>
  <c r="I5528" i="1"/>
  <c r="H5528" i="1"/>
  <c r="I5520" i="1"/>
  <c r="H5520" i="1"/>
  <c r="I5512" i="1"/>
  <c r="H5512" i="1"/>
  <c r="F5504" i="1"/>
  <c r="I5504" i="1"/>
  <c r="H5504" i="1"/>
  <c r="I5496" i="1"/>
  <c r="H5496" i="1"/>
  <c r="I5488" i="1"/>
  <c r="H5488" i="1"/>
  <c r="I5480" i="1"/>
  <c r="H5480" i="1"/>
  <c r="F5472" i="1"/>
  <c r="I5472" i="1"/>
  <c r="H5472" i="1"/>
  <c r="I5464" i="1"/>
  <c r="H5464" i="1"/>
  <c r="I5456" i="1"/>
  <c r="H5456" i="1"/>
  <c r="I5448" i="1"/>
  <c r="H5448" i="1"/>
  <c r="F5440" i="1"/>
  <c r="I5440" i="1"/>
  <c r="H5440" i="1"/>
  <c r="I5432" i="1"/>
  <c r="H5432" i="1"/>
  <c r="F5424" i="1"/>
  <c r="I5424" i="1"/>
  <c r="H5424" i="1"/>
  <c r="I5416" i="1"/>
  <c r="H5416" i="1"/>
  <c r="I5408" i="1"/>
  <c r="H5408" i="1"/>
  <c r="I5400" i="1"/>
  <c r="H5400" i="1"/>
  <c r="I5392" i="1"/>
  <c r="H5392" i="1"/>
  <c r="I5384" i="1"/>
  <c r="H5384" i="1"/>
  <c r="F5376" i="1"/>
  <c r="I5376" i="1"/>
  <c r="H5376" i="1"/>
  <c r="I5368" i="1"/>
  <c r="H5368" i="1"/>
  <c r="I5360" i="1"/>
  <c r="H5360" i="1"/>
  <c r="I5352" i="1"/>
  <c r="H5352" i="1"/>
  <c r="F5344" i="1"/>
  <c r="I5344" i="1"/>
  <c r="H5344" i="1"/>
  <c r="I5336" i="1"/>
  <c r="H5336" i="1"/>
  <c r="I5328" i="1"/>
  <c r="H5328" i="1"/>
  <c r="I5320" i="1"/>
  <c r="H5320" i="1"/>
  <c r="F5312" i="1"/>
  <c r="I5312" i="1"/>
  <c r="H5312" i="1"/>
  <c r="I5304" i="1"/>
  <c r="H5304" i="1"/>
  <c r="I5296" i="1"/>
  <c r="H5296" i="1"/>
  <c r="I5288" i="1"/>
  <c r="H5288" i="1"/>
  <c r="I5280" i="1"/>
  <c r="H5280" i="1"/>
  <c r="I5272" i="1"/>
  <c r="H5272" i="1"/>
  <c r="I5264" i="1"/>
  <c r="H5264" i="1"/>
  <c r="I5256" i="1"/>
  <c r="H5256" i="1"/>
  <c r="F5248" i="1"/>
  <c r="I5248" i="1"/>
  <c r="H5248" i="1"/>
  <c r="I5240" i="1"/>
  <c r="H5240" i="1"/>
  <c r="I5232" i="1"/>
  <c r="H5232" i="1"/>
  <c r="I5224" i="1"/>
  <c r="H5224" i="1"/>
  <c r="I5216" i="1"/>
  <c r="H5216" i="1"/>
  <c r="I5208" i="1"/>
  <c r="H5208" i="1"/>
  <c r="I5200" i="1"/>
  <c r="H5200" i="1"/>
  <c r="I5192" i="1"/>
  <c r="H5192" i="1"/>
  <c r="F5184" i="1"/>
  <c r="I5184" i="1"/>
  <c r="H5184" i="1"/>
  <c r="I5176" i="1"/>
  <c r="H5176" i="1"/>
  <c r="F5168" i="1"/>
  <c r="I5168" i="1"/>
  <c r="H5168" i="1"/>
  <c r="I5160" i="1"/>
  <c r="H5160" i="1"/>
  <c r="I5152" i="1"/>
  <c r="H5152" i="1"/>
  <c r="I5144" i="1"/>
  <c r="H5144" i="1"/>
  <c r="I5136" i="1"/>
  <c r="H5136" i="1"/>
  <c r="I5128" i="1"/>
  <c r="H5128" i="1"/>
  <c r="F5120" i="1"/>
  <c r="I5120" i="1"/>
  <c r="H5120" i="1"/>
  <c r="I5112" i="1"/>
  <c r="H5112" i="1"/>
  <c r="I5104" i="1"/>
  <c r="H5104" i="1"/>
  <c r="I5096" i="1"/>
  <c r="H5096" i="1"/>
  <c r="F5088" i="1"/>
  <c r="I5088" i="1"/>
  <c r="H5088" i="1"/>
  <c r="I5080" i="1"/>
  <c r="H5080" i="1"/>
  <c r="E5072" i="1"/>
  <c r="I5072" i="1"/>
  <c r="H5072" i="1"/>
  <c r="I5064" i="1"/>
  <c r="H5064" i="1"/>
  <c r="I5056" i="1"/>
  <c r="H5056" i="1"/>
  <c r="I5048" i="1"/>
  <c r="H5048" i="1"/>
  <c r="F5040" i="1"/>
  <c r="I5040" i="1"/>
  <c r="H5040" i="1"/>
  <c r="I5032" i="1"/>
  <c r="H5032" i="1"/>
  <c r="I5024" i="1"/>
  <c r="H5024" i="1"/>
  <c r="I5016" i="1"/>
  <c r="H5016" i="1"/>
  <c r="F5008" i="1"/>
  <c r="I5008" i="1"/>
  <c r="H5008" i="1"/>
  <c r="I5000" i="1"/>
  <c r="H5000" i="1"/>
  <c r="I4992" i="1"/>
  <c r="H4992" i="1"/>
  <c r="I4984" i="1"/>
  <c r="H4984" i="1"/>
  <c r="I4976" i="1"/>
  <c r="H4976" i="1"/>
  <c r="I4968" i="1"/>
  <c r="H4968" i="1"/>
  <c r="I4960" i="1"/>
  <c r="H4960" i="1"/>
  <c r="I4952" i="1"/>
  <c r="H4952" i="1"/>
  <c r="I4944" i="1"/>
  <c r="H4944" i="1"/>
  <c r="I4936" i="1"/>
  <c r="H4936" i="1"/>
  <c r="I4928" i="1"/>
  <c r="H4928" i="1"/>
  <c r="I4920" i="1"/>
  <c r="H4920" i="1"/>
  <c r="F4912" i="1"/>
  <c r="I4912" i="1"/>
  <c r="H4912" i="1"/>
  <c r="I4904" i="1"/>
  <c r="H4904" i="1"/>
  <c r="I4896" i="1"/>
  <c r="H4896" i="1"/>
  <c r="I4888" i="1"/>
  <c r="H4888" i="1"/>
  <c r="I4880" i="1"/>
  <c r="H4880" i="1"/>
  <c r="I4872" i="1"/>
  <c r="H4872" i="1"/>
  <c r="I4864" i="1"/>
  <c r="H4864" i="1"/>
  <c r="I4856" i="1"/>
  <c r="H4856" i="1"/>
  <c r="I4848" i="1"/>
  <c r="H4848" i="1"/>
  <c r="I4840" i="1"/>
  <c r="H4840" i="1"/>
  <c r="I4832" i="1"/>
  <c r="H4832" i="1"/>
  <c r="I4824" i="1"/>
  <c r="H4824" i="1"/>
  <c r="I4816" i="1"/>
  <c r="H4816" i="1"/>
  <c r="I4808" i="1"/>
  <c r="H4808" i="1"/>
  <c r="I4800" i="1"/>
  <c r="H4800" i="1"/>
  <c r="I4792" i="1"/>
  <c r="H4792" i="1"/>
  <c r="I4784" i="1"/>
  <c r="H4784" i="1"/>
  <c r="I4776" i="1"/>
  <c r="H4776" i="1"/>
  <c r="I4768" i="1"/>
  <c r="H4768" i="1"/>
  <c r="I4760" i="1"/>
  <c r="H4760" i="1"/>
  <c r="I4752" i="1"/>
  <c r="H4752" i="1"/>
  <c r="I4744" i="1"/>
  <c r="H4744" i="1"/>
  <c r="I4736" i="1"/>
  <c r="H4736" i="1"/>
  <c r="I4728" i="1"/>
  <c r="H4728" i="1"/>
  <c r="I4720" i="1"/>
  <c r="H4720" i="1"/>
  <c r="I4712" i="1"/>
  <c r="H4712" i="1"/>
  <c r="I4704" i="1"/>
  <c r="H4704" i="1"/>
  <c r="I4696" i="1"/>
  <c r="H4696" i="1"/>
  <c r="I4688" i="1"/>
  <c r="H4688" i="1"/>
  <c r="I4680" i="1"/>
  <c r="H4680" i="1"/>
  <c r="I4672" i="1"/>
  <c r="H4672" i="1"/>
  <c r="I4664" i="1"/>
  <c r="H4664" i="1"/>
  <c r="I4656" i="1"/>
  <c r="H4656" i="1"/>
  <c r="I4648" i="1"/>
  <c r="H4648" i="1"/>
  <c r="I4640" i="1"/>
  <c r="H4640" i="1"/>
  <c r="I4632" i="1"/>
  <c r="H4632" i="1"/>
  <c r="I4624" i="1"/>
  <c r="H4624" i="1"/>
  <c r="I4616" i="1"/>
  <c r="H4616" i="1"/>
  <c r="I4608" i="1"/>
  <c r="H4608" i="1"/>
  <c r="I4600" i="1"/>
  <c r="H4600" i="1"/>
  <c r="I4592" i="1"/>
  <c r="H4592" i="1"/>
  <c r="I4584" i="1"/>
  <c r="H4584" i="1"/>
  <c r="I4576" i="1"/>
  <c r="H4576" i="1"/>
  <c r="I4568" i="1"/>
  <c r="H4568" i="1"/>
  <c r="I4560" i="1"/>
  <c r="H4560" i="1"/>
  <c r="I4552" i="1"/>
  <c r="H4552" i="1"/>
  <c r="I4544" i="1"/>
  <c r="H4544" i="1"/>
  <c r="I4536" i="1"/>
  <c r="H4536" i="1"/>
  <c r="I4528" i="1"/>
  <c r="H4528" i="1"/>
  <c r="I4520" i="1"/>
  <c r="H4520" i="1"/>
  <c r="I4512" i="1"/>
  <c r="H4512" i="1"/>
  <c r="I4504" i="1"/>
  <c r="H4504" i="1"/>
  <c r="I4496" i="1"/>
  <c r="H4496" i="1"/>
  <c r="I4488" i="1"/>
  <c r="H4488" i="1"/>
  <c r="I4480" i="1"/>
  <c r="H4480" i="1"/>
  <c r="F4472" i="1"/>
  <c r="I4472" i="1"/>
  <c r="H4472" i="1"/>
  <c r="I4464" i="1"/>
  <c r="H4464" i="1"/>
  <c r="F4456" i="1"/>
  <c r="I4456" i="1"/>
  <c r="H4456" i="1"/>
  <c r="I4448" i="1"/>
  <c r="H4448" i="1"/>
  <c r="I4440" i="1"/>
  <c r="H4440" i="1"/>
  <c r="I4432" i="1"/>
  <c r="H4432" i="1"/>
  <c r="I4424" i="1"/>
  <c r="H4424" i="1"/>
  <c r="I4416" i="1"/>
  <c r="H4416" i="1"/>
  <c r="I4408" i="1"/>
  <c r="H4408" i="1"/>
  <c r="I4400" i="1"/>
  <c r="H4400" i="1"/>
  <c r="I4392" i="1"/>
  <c r="H4392" i="1"/>
  <c r="I4384" i="1"/>
  <c r="H4384" i="1"/>
  <c r="I4376" i="1"/>
  <c r="H4376" i="1"/>
  <c r="I4368" i="1"/>
  <c r="H4368" i="1"/>
  <c r="I4360" i="1"/>
  <c r="H4360" i="1"/>
  <c r="I4352" i="1"/>
  <c r="H4352" i="1"/>
  <c r="I4344" i="1"/>
  <c r="H4344" i="1"/>
  <c r="I4336" i="1"/>
  <c r="H4336" i="1"/>
  <c r="I4328" i="1"/>
  <c r="H4328" i="1"/>
  <c r="I4320" i="1"/>
  <c r="H4320" i="1"/>
  <c r="I4312" i="1"/>
  <c r="H4312" i="1"/>
  <c r="I4304" i="1"/>
  <c r="H4304" i="1"/>
  <c r="I4296" i="1"/>
  <c r="H4296" i="1"/>
  <c r="I4288" i="1"/>
  <c r="H4288" i="1"/>
  <c r="I4280" i="1"/>
  <c r="H4280" i="1"/>
  <c r="I4272" i="1"/>
  <c r="H4272" i="1"/>
  <c r="F4264" i="1"/>
  <c r="I4264" i="1"/>
  <c r="H4264" i="1"/>
  <c r="I4256" i="1"/>
  <c r="H4256" i="1"/>
  <c r="I4248" i="1"/>
  <c r="H4248" i="1"/>
  <c r="I4240" i="1"/>
  <c r="H4240" i="1"/>
  <c r="I4232" i="1"/>
  <c r="H4232" i="1"/>
  <c r="I4224" i="1"/>
  <c r="H4224" i="1"/>
  <c r="F4216" i="1"/>
  <c r="I4216" i="1"/>
  <c r="H4216" i="1"/>
  <c r="I4208" i="1"/>
  <c r="H4208" i="1"/>
  <c r="I4200" i="1"/>
  <c r="H4200" i="1"/>
  <c r="I4192" i="1"/>
  <c r="H4192" i="1"/>
  <c r="I4184" i="1"/>
  <c r="H4184" i="1"/>
  <c r="I4176" i="1"/>
  <c r="H4176" i="1"/>
  <c r="I4168" i="1"/>
  <c r="H4168" i="1"/>
  <c r="I4160" i="1"/>
  <c r="H4160" i="1"/>
  <c r="I4152" i="1"/>
  <c r="H4152" i="1"/>
  <c r="I4144" i="1"/>
  <c r="H4144" i="1"/>
  <c r="I4136" i="1"/>
  <c r="H4136" i="1"/>
  <c r="I4128" i="1"/>
  <c r="H4128" i="1"/>
  <c r="I4120" i="1"/>
  <c r="H4120" i="1"/>
  <c r="I4112" i="1"/>
  <c r="H4112" i="1"/>
  <c r="I4104" i="1"/>
  <c r="H4104" i="1"/>
  <c r="I4096" i="1"/>
  <c r="H4096" i="1"/>
  <c r="I4088" i="1"/>
  <c r="H4088" i="1"/>
  <c r="I4080" i="1"/>
  <c r="H4080" i="1"/>
  <c r="I4072" i="1"/>
  <c r="H4072" i="1"/>
  <c r="I4064" i="1"/>
  <c r="H4064" i="1"/>
  <c r="I4056" i="1"/>
  <c r="H4056" i="1"/>
  <c r="I4048" i="1"/>
  <c r="H4048" i="1"/>
  <c r="I4040" i="1"/>
  <c r="H4040" i="1"/>
  <c r="I4032" i="1"/>
  <c r="H4032" i="1"/>
  <c r="I4024" i="1"/>
  <c r="H4024" i="1"/>
  <c r="I4016" i="1"/>
  <c r="H4016" i="1"/>
  <c r="I4008" i="1"/>
  <c r="H4008" i="1"/>
  <c r="I4000" i="1"/>
  <c r="H4000" i="1"/>
  <c r="I3992" i="1"/>
  <c r="H3992" i="1"/>
  <c r="I3984" i="1"/>
  <c r="H3984" i="1"/>
  <c r="I3976" i="1"/>
  <c r="H3976" i="1"/>
  <c r="I3968" i="1"/>
  <c r="H3968" i="1"/>
  <c r="I3960" i="1"/>
  <c r="H3960" i="1"/>
  <c r="I3952" i="1"/>
  <c r="H3952" i="1"/>
  <c r="I3944" i="1"/>
  <c r="H3944" i="1"/>
  <c r="I3936" i="1"/>
  <c r="H3936" i="1"/>
  <c r="I3928" i="1"/>
  <c r="H3928" i="1"/>
  <c r="I3920" i="1"/>
  <c r="H3920" i="1"/>
  <c r="I3912" i="1"/>
  <c r="H3912" i="1"/>
  <c r="I3904" i="1"/>
  <c r="H3904" i="1"/>
  <c r="I3896" i="1"/>
  <c r="H3896" i="1"/>
  <c r="I3888" i="1"/>
  <c r="H3888" i="1"/>
  <c r="I3880" i="1"/>
  <c r="H3880" i="1"/>
  <c r="I3872" i="1"/>
  <c r="H3872" i="1"/>
  <c r="I3864" i="1"/>
  <c r="H3864" i="1"/>
  <c r="I3856" i="1"/>
  <c r="H3856" i="1"/>
  <c r="I3848" i="1"/>
  <c r="H3848" i="1"/>
  <c r="I3840" i="1"/>
  <c r="H3840" i="1"/>
  <c r="I3832" i="1"/>
  <c r="H3832" i="1"/>
  <c r="I3824" i="1"/>
  <c r="H3824" i="1"/>
  <c r="I3816" i="1"/>
  <c r="H3816" i="1"/>
  <c r="I3808" i="1"/>
  <c r="H3808" i="1"/>
  <c r="I3800" i="1"/>
  <c r="H3800" i="1"/>
  <c r="I3792" i="1"/>
  <c r="H3792" i="1"/>
  <c r="I3784" i="1"/>
  <c r="H3784" i="1"/>
  <c r="I3776" i="1"/>
  <c r="H3776" i="1"/>
  <c r="I3768" i="1"/>
  <c r="H3768" i="1"/>
  <c r="I3760" i="1"/>
  <c r="H3760" i="1"/>
  <c r="I3752" i="1"/>
  <c r="H3752" i="1"/>
  <c r="I3744" i="1"/>
  <c r="H3744" i="1"/>
  <c r="I3736" i="1"/>
  <c r="H3736" i="1"/>
  <c r="I3728" i="1"/>
  <c r="H3728" i="1"/>
  <c r="I3720" i="1"/>
  <c r="H3720" i="1"/>
  <c r="F3712" i="1"/>
  <c r="I3712" i="1"/>
  <c r="H3712" i="1"/>
  <c r="I3704" i="1"/>
  <c r="H3704" i="1"/>
  <c r="I3696" i="1"/>
  <c r="H3696" i="1"/>
  <c r="I3688" i="1"/>
  <c r="H3688" i="1"/>
  <c r="I3680" i="1"/>
  <c r="H3680" i="1"/>
  <c r="F3672" i="1"/>
  <c r="I3672" i="1"/>
  <c r="H3672" i="1"/>
  <c r="I3664" i="1"/>
  <c r="H3664" i="1"/>
  <c r="I3656" i="1"/>
  <c r="H3656" i="1"/>
  <c r="F3648" i="1"/>
  <c r="I3648" i="1"/>
  <c r="H3648" i="1"/>
  <c r="I3640" i="1"/>
  <c r="H3640" i="1"/>
  <c r="I3632" i="1"/>
  <c r="H3632" i="1"/>
  <c r="F3624" i="1"/>
  <c r="I3624" i="1"/>
  <c r="H3624" i="1"/>
  <c r="I3616" i="1"/>
  <c r="H3616" i="1"/>
  <c r="F3608" i="1"/>
  <c r="I3608" i="1"/>
  <c r="H3608" i="1"/>
  <c r="I3600" i="1"/>
  <c r="H3600" i="1"/>
  <c r="I3592" i="1"/>
  <c r="H3592" i="1"/>
  <c r="F3584" i="1"/>
  <c r="I3584" i="1"/>
  <c r="H3584" i="1"/>
  <c r="F3576" i="1"/>
  <c r="I3576" i="1"/>
  <c r="H3576" i="1"/>
  <c r="I3568" i="1"/>
  <c r="H3568" i="1"/>
  <c r="I3560" i="1"/>
  <c r="H3560" i="1"/>
  <c r="I3552" i="1"/>
  <c r="H3552" i="1"/>
  <c r="I3544" i="1"/>
  <c r="H3544" i="1"/>
  <c r="I3536" i="1"/>
  <c r="H3536" i="1"/>
  <c r="I3528" i="1"/>
  <c r="H3528" i="1"/>
  <c r="I3520" i="1"/>
  <c r="H3520" i="1"/>
  <c r="I3512" i="1"/>
  <c r="H3512" i="1"/>
  <c r="I3504" i="1"/>
  <c r="H3504" i="1"/>
  <c r="F3496" i="1"/>
  <c r="I3496" i="1"/>
  <c r="H3496" i="1"/>
  <c r="I3488" i="1"/>
  <c r="H3488" i="1"/>
  <c r="I3480" i="1"/>
  <c r="H3480" i="1"/>
  <c r="F3472" i="1"/>
  <c r="I3472" i="1"/>
  <c r="H3472" i="1"/>
  <c r="I3464" i="1"/>
  <c r="H3464" i="1"/>
  <c r="I3456" i="1"/>
  <c r="H3456" i="1"/>
  <c r="F3448" i="1"/>
  <c r="I3448" i="1"/>
  <c r="H3448" i="1"/>
  <c r="I3440" i="1"/>
  <c r="H3440" i="1"/>
  <c r="F3432" i="1"/>
  <c r="I3432" i="1"/>
  <c r="H3432" i="1"/>
  <c r="I3424" i="1"/>
  <c r="H3424" i="1"/>
  <c r="I3416" i="1"/>
  <c r="H3416" i="1"/>
  <c r="I3408" i="1"/>
  <c r="H3408" i="1"/>
  <c r="F3400" i="1"/>
  <c r="I3400" i="1"/>
  <c r="H3400" i="1"/>
  <c r="I3392" i="1"/>
  <c r="H3392" i="1"/>
  <c r="I3384" i="1"/>
  <c r="H3384" i="1"/>
  <c r="I3376" i="1"/>
  <c r="H3376" i="1"/>
  <c r="I3368" i="1"/>
  <c r="H3368" i="1"/>
  <c r="I3360" i="1"/>
  <c r="H3360" i="1"/>
  <c r="I3352" i="1"/>
  <c r="H3352" i="1"/>
  <c r="I3344" i="1"/>
  <c r="H3344" i="1"/>
  <c r="I3336" i="1"/>
  <c r="H3336" i="1"/>
  <c r="I3328" i="1"/>
  <c r="H3328" i="1"/>
  <c r="F3320" i="1"/>
  <c r="I3320" i="1"/>
  <c r="H3320" i="1"/>
  <c r="I3312" i="1"/>
  <c r="H3312" i="1"/>
  <c r="F3304" i="1"/>
  <c r="I3304" i="1"/>
  <c r="H3304" i="1"/>
  <c r="F3296" i="1"/>
  <c r="I3296" i="1"/>
  <c r="H3296" i="1"/>
  <c r="F3288" i="1"/>
  <c r="I3288" i="1"/>
  <c r="H3288" i="1"/>
  <c r="I3280" i="1"/>
  <c r="H3280" i="1"/>
  <c r="F3272" i="1"/>
  <c r="I3272" i="1"/>
  <c r="H3272" i="1"/>
  <c r="F3264" i="1"/>
  <c r="I3264" i="1"/>
  <c r="H3264" i="1"/>
  <c r="I3256" i="1"/>
  <c r="H3256" i="1"/>
  <c r="I3248" i="1"/>
  <c r="H3248" i="1"/>
  <c r="F3240" i="1"/>
  <c r="I3240" i="1"/>
  <c r="H3240" i="1"/>
  <c r="I3232" i="1"/>
  <c r="H3232" i="1"/>
  <c r="F3224" i="1"/>
  <c r="I3224" i="1"/>
  <c r="H3224" i="1"/>
  <c r="F3216" i="1"/>
  <c r="I3216" i="1"/>
  <c r="H3216" i="1"/>
  <c r="I3208" i="1"/>
  <c r="H3208" i="1"/>
  <c r="F3200" i="1"/>
  <c r="I3200" i="1"/>
  <c r="H3200" i="1"/>
  <c r="F3192" i="1"/>
  <c r="I3192" i="1"/>
  <c r="H3192" i="1"/>
  <c r="I3184" i="1"/>
  <c r="H3184" i="1"/>
  <c r="F3176" i="1"/>
  <c r="I3176" i="1"/>
  <c r="H3176" i="1"/>
  <c r="F3168" i="1"/>
  <c r="I3168" i="1"/>
  <c r="H3168" i="1"/>
  <c r="F3160" i="1"/>
  <c r="I3160" i="1"/>
  <c r="H3160" i="1"/>
  <c r="I3152" i="1"/>
  <c r="H3152" i="1"/>
  <c r="F3144" i="1"/>
  <c r="I3144" i="1"/>
  <c r="H3144" i="1"/>
  <c r="F3136" i="1"/>
  <c r="I3136" i="1"/>
  <c r="H3136" i="1"/>
  <c r="E3128" i="1"/>
  <c r="I3128" i="1"/>
  <c r="H3128" i="1"/>
  <c r="E3120" i="1"/>
  <c r="I3120" i="1"/>
  <c r="H3120" i="1"/>
  <c r="I3112" i="1"/>
  <c r="H3112" i="1"/>
  <c r="E3104" i="1"/>
  <c r="I3104" i="1"/>
  <c r="H3104" i="1"/>
  <c r="I3096" i="1"/>
  <c r="H3096" i="1"/>
  <c r="I3088" i="1"/>
  <c r="H3088" i="1"/>
  <c r="E3080" i="1"/>
  <c r="I3080" i="1"/>
  <c r="H3080" i="1"/>
  <c r="I3072" i="1"/>
  <c r="H3072" i="1"/>
  <c r="I3064" i="1"/>
  <c r="H3064" i="1"/>
  <c r="E3056" i="1"/>
  <c r="I3056" i="1"/>
  <c r="H3056" i="1"/>
  <c r="E3048" i="1"/>
  <c r="I3048" i="1"/>
  <c r="H3048" i="1"/>
  <c r="E3040" i="1"/>
  <c r="I3040" i="1"/>
  <c r="H3040" i="1"/>
  <c r="E3032" i="1"/>
  <c r="I3032" i="1"/>
  <c r="H3032" i="1"/>
  <c r="E3024" i="1"/>
  <c r="I3024" i="1"/>
  <c r="H3024" i="1"/>
  <c r="E3016" i="1"/>
  <c r="I3016" i="1"/>
  <c r="H3016" i="1"/>
  <c r="E3008" i="1"/>
  <c r="I3008" i="1"/>
  <c r="H3008" i="1"/>
  <c r="E3000" i="1"/>
  <c r="I3000" i="1"/>
  <c r="H3000" i="1"/>
  <c r="E2992" i="1"/>
  <c r="I2992" i="1"/>
  <c r="H2992" i="1"/>
  <c r="I2984" i="1"/>
  <c r="H2984" i="1"/>
  <c r="E2976" i="1"/>
  <c r="I2976" i="1"/>
  <c r="H2976" i="1"/>
  <c r="E2968" i="1"/>
  <c r="I2968" i="1"/>
  <c r="H2968" i="1"/>
  <c r="I2960" i="1"/>
  <c r="H2960" i="1"/>
  <c r="E2952" i="1"/>
  <c r="I2952" i="1"/>
  <c r="H2952" i="1"/>
  <c r="E2944" i="1"/>
  <c r="I2944" i="1"/>
  <c r="H2944" i="1"/>
  <c r="I2936" i="1"/>
  <c r="H2936" i="1"/>
  <c r="E2928" i="1"/>
  <c r="I2928" i="1"/>
  <c r="H2928" i="1"/>
  <c r="I2920" i="1"/>
  <c r="H2920" i="1"/>
  <c r="E2912" i="1"/>
  <c r="I2912" i="1"/>
  <c r="H2912" i="1"/>
  <c r="E2904" i="1"/>
  <c r="I2904" i="1"/>
  <c r="H2904" i="1"/>
  <c r="E2896" i="1"/>
  <c r="I2896" i="1"/>
  <c r="H2896" i="1"/>
  <c r="I2888" i="1"/>
  <c r="H2888" i="1"/>
  <c r="E2880" i="1"/>
  <c r="I2880" i="1"/>
  <c r="H2880" i="1"/>
  <c r="E2872" i="1"/>
  <c r="I2872" i="1"/>
  <c r="H2872" i="1"/>
  <c r="E2864" i="1"/>
  <c r="I2864" i="1"/>
  <c r="H2864" i="1"/>
  <c r="E2856" i="1"/>
  <c r="I2856" i="1"/>
  <c r="H2856" i="1"/>
  <c r="E2848" i="1"/>
  <c r="I2848" i="1"/>
  <c r="H2848" i="1"/>
  <c r="E2840" i="1"/>
  <c r="I2840" i="1"/>
  <c r="H2840" i="1"/>
  <c r="E2832" i="1"/>
  <c r="I2832" i="1"/>
  <c r="H2832" i="1"/>
  <c r="E2824" i="1"/>
  <c r="I2824" i="1"/>
  <c r="H2824" i="1"/>
  <c r="E2816" i="1"/>
  <c r="I2816" i="1"/>
  <c r="H2816" i="1"/>
  <c r="E2808" i="1"/>
  <c r="I2808" i="1"/>
  <c r="H2808" i="1"/>
  <c r="E2800" i="1"/>
  <c r="I2800" i="1"/>
  <c r="H2800" i="1"/>
  <c r="E2792" i="1"/>
  <c r="I2792" i="1"/>
  <c r="H2792" i="1"/>
  <c r="I2784" i="1"/>
  <c r="H2784" i="1"/>
  <c r="E2776" i="1"/>
  <c r="I2776" i="1"/>
  <c r="H2776" i="1"/>
  <c r="E2768" i="1"/>
  <c r="I2768" i="1"/>
  <c r="H2768" i="1"/>
  <c r="I2760" i="1"/>
  <c r="H2760" i="1"/>
  <c r="I2752" i="1"/>
  <c r="H2752" i="1"/>
  <c r="E2744" i="1"/>
  <c r="I2744" i="1"/>
  <c r="H2744" i="1"/>
  <c r="E2736" i="1"/>
  <c r="I2736" i="1"/>
  <c r="H2736" i="1"/>
  <c r="E2728" i="1"/>
  <c r="I2728" i="1"/>
  <c r="H2728" i="1"/>
  <c r="E2720" i="1"/>
  <c r="I2720" i="1"/>
  <c r="H2720" i="1"/>
  <c r="E2712" i="1"/>
  <c r="I2712" i="1"/>
  <c r="H2712" i="1"/>
  <c r="E2704" i="1"/>
  <c r="I2704" i="1"/>
  <c r="H2704" i="1"/>
  <c r="E2696" i="1"/>
  <c r="I2696" i="1"/>
  <c r="H2696" i="1"/>
  <c r="I2688" i="1"/>
  <c r="H2688" i="1"/>
  <c r="E2680" i="1"/>
  <c r="I2680" i="1"/>
  <c r="H2680" i="1"/>
  <c r="E2672" i="1"/>
  <c r="I2672" i="1"/>
  <c r="H2672" i="1"/>
  <c r="E2664" i="1"/>
  <c r="I2664" i="1"/>
  <c r="H2664" i="1"/>
  <c r="E2656" i="1"/>
  <c r="I2656" i="1"/>
  <c r="H2656" i="1"/>
  <c r="I2648" i="1"/>
  <c r="H2648" i="1"/>
  <c r="E2640" i="1"/>
  <c r="I2640" i="1"/>
  <c r="H2640" i="1"/>
  <c r="E2632" i="1"/>
  <c r="I2632" i="1"/>
  <c r="H2632" i="1"/>
  <c r="E2624" i="1"/>
  <c r="I2624" i="1"/>
  <c r="H2624" i="1"/>
  <c r="E2616" i="1"/>
  <c r="I2616" i="1"/>
  <c r="H2616" i="1"/>
  <c r="E2608" i="1"/>
  <c r="I2608" i="1"/>
  <c r="H2608" i="1"/>
  <c r="E2600" i="1"/>
  <c r="I2600" i="1"/>
  <c r="H2600" i="1"/>
  <c r="I2592" i="1"/>
  <c r="H2592" i="1"/>
  <c r="I2584" i="1"/>
  <c r="H2584" i="1"/>
  <c r="E2576" i="1"/>
  <c r="I2576" i="1"/>
  <c r="H2576" i="1"/>
  <c r="E2568" i="1"/>
  <c r="I2568" i="1"/>
  <c r="H2568" i="1"/>
  <c r="E2560" i="1"/>
  <c r="I2560" i="1"/>
  <c r="H2560" i="1"/>
  <c r="E2552" i="1"/>
  <c r="I2552" i="1"/>
  <c r="H2552" i="1"/>
  <c r="E2544" i="1"/>
  <c r="I2544" i="1"/>
  <c r="H2544" i="1"/>
  <c r="E2536" i="1"/>
  <c r="I2536" i="1"/>
  <c r="H2536" i="1"/>
  <c r="E2528" i="1"/>
  <c r="I2528" i="1"/>
  <c r="H2528" i="1"/>
  <c r="E2520" i="1"/>
  <c r="I2520" i="1"/>
  <c r="H2520" i="1"/>
  <c r="I2512" i="1"/>
  <c r="H2512" i="1"/>
  <c r="E2504" i="1"/>
  <c r="I2504" i="1"/>
  <c r="H2504" i="1"/>
  <c r="E2496" i="1"/>
  <c r="I2496" i="1"/>
  <c r="H2496" i="1"/>
  <c r="E2488" i="1"/>
  <c r="I2488" i="1"/>
  <c r="H2488" i="1"/>
  <c r="E2480" i="1"/>
  <c r="I2480" i="1"/>
  <c r="H2480" i="1"/>
  <c r="E2472" i="1"/>
  <c r="I2472" i="1"/>
  <c r="H2472" i="1"/>
  <c r="E2464" i="1"/>
  <c r="I2464" i="1"/>
  <c r="H2464" i="1"/>
  <c r="E2456" i="1"/>
  <c r="I2456" i="1"/>
  <c r="H2456" i="1"/>
  <c r="E2448" i="1"/>
  <c r="I2448" i="1"/>
  <c r="H2448" i="1"/>
  <c r="E2440" i="1"/>
  <c r="I2440" i="1"/>
  <c r="H2440" i="1"/>
  <c r="E2432" i="1"/>
  <c r="I2432" i="1"/>
  <c r="H2432" i="1"/>
  <c r="E2424" i="1"/>
  <c r="I2424" i="1"/>
  <c r="H2424" i="1"/>
  <c r="I2416" i="1"/>
  <c r="H2416" i="1"/>
  <c r="E2408" i="1"/>
  <c r="I2408" i="1"/>
  <c r="H2408" i="1"/>
  <c r="E2400" i="1"/>
  <c r="I2400" i="1"/>
  <c r="H2400" i="1"/>
  <c r="E2392" i="1"/>
  <c r="I2392" i="1"/>
  <c r="H2392" i="1"/>
  <c r="E2384" i="1"/>
  <c r="I2384" i="1"/>
  <c r="H2384" i="1"/>
  <c r="E2376" i="1"/>
  <c r="I2376" i="1"/>
  <c r="H2376" i="1"/>
  <c r="E2368" i="1"/>
  <c r="I2368" i="1"/>
  <c r="H2368" i="1"/>
  <c r="E2360" i="1"/>
  <c r="I2360" i="1"/>
  <c r="H2360" i="1"/>
  <c r="E2352" i="1"/>
  <c r="I2352" i="1"/>
  <c r="H2352" i="1"/>
  <c r="E2344" i="1"/>
  <c r="I2344" i="1"/>
  <c r="H2344" i="1"/>
  <c r="E2336" i="1"/>
  <c r="I2336" i="1"/>
  <c r="H2336" i="1"/>
  <c r="E2328" i="1"/>
  <c r="I2328" i="1"/>
  <c r="H2328" i="1"/>
  <c r="I2320" i="1"/>
  <c r="H2320" i="1"/>
  <c r="I2312" i="1"/>
  <c r="H2312" i="1"/>
  <c r="E2304" i="1"/>
  <c r="I2304" i="1"/>
  <c r="H2304" i="1"/>
  <c r="E2296" i="1"/>
  <c r="I2296" i="1"/>
  <c r="H2296" i="1"/>
  <c r="E2288" i="1"/>
  <c r="I2288" i="1"/>
  <c r="H2288" i="1"/>
  <c r="E2280" i="1"/>
  <c r="I2280" i="1"/>
  <c r="H2280" i="1"/>
  <c r="E2272" i="1"/>
  <c r="I2272" i="1"/>
  <c r="H2272" i="1"/>
  <c r="E2264" i="1"/>
  <c r="I2264" i="1"/>
  <c r="H2264" i="1"/>
  <c r="E2256" i="1"/>
  <c r="I2256" i="1"/>
  <c r="H2256" i="1"/>
  <c r="E2248" i="1"/>
  <c r="I2248" i="1"/>
  <c r="H2248" i="1"/>
  <c r="E2240" i="1"/>
  <c r="I2240" i="1"/>
  <c r="H2240" i="1"/>
  <c r="E2232" i="1"/>
  <c r="I2232" i="1"/>
  <c r="H2232" i="1"/>
  <c r="I2224" i="1"/>
  <c r="H2224" i="1"/>
  <c r="E2216" i="1"/>
  <c r="I2216" i="1"/>
  <c r="H2216" i="1"/>
  <c r="E2208" i="1"/>
  <c r="I2208" i="1"/>
  <c r="H2208" i="1"/>
  <c r="E2200" i="1"/>
  <c r="I2200" i="1"/>
  <c r="H2200" i="1"/>
  <c r="I2192" i="1"/>
  <c r="H2192" i="1"/>
  <c r="E2184" i="1"/>
  <c r="I2184" i="1"/>
  <c r="H2184" i="1"/>
  <c r="E2176" i="1"/>
  <c r="I2176" i="1"/>
  <c r="H2176" i="1"/>
  <c r="E2168" i="1"/>
  <c r="I2168" i="1"/>
  <c r="H2168" i="1"/>
  <c r="E2160" i="1"/>
  <c r="I2160" i="1"/>
  <c r="H2160" i="1"/>
  <c r="E2152" i="1"/>
  <c r="I2152" i="1"/>
  <c r="H2152" i="1"/>
  <c r="E2144" i="1"/>
  <c r="I2144" i="1"/>
  <c r="H2144" i="1"/>
  <c r="I2136" i="1"/>
  <c r="H2136" i="1"/>
  <c r="E2128" i="1"/>
  <c r="I2128" i="1"/>
  <c r="H2128" i="1"/>
  <c r="E2120" i="1"/>
  <c r="I2120" i="1"/>
  <c r="H2120" i="1"/>
  <c r="I2112" i="1"/>
  <c r="H2112" i="1"/>
  <c r="E2104" i="1"/>
  <c r="I2104" i="1"/>
  <c r="H2104" i="1"/>
  <c r="E2096" i="1"/>
  <c r="I2096" i="1"/>
  <c r="H2096" i="1"/>
  <c r="E2088" i="1"/>
  <c r="I2088" i="1"/>
  <c r="H2088" i="1"/>
  <c r="I2080" i="1"/>
  <c r="H2080" i="1"/>
  <c r="E2072" i="1"/>
  <c r="I2072" i="1"/>
  <c r="H2072" i="1"/>
  <c r="E2064" i="1"/>
  <c r="I2064" i="1"/>
  <c r="H2064" i="1"/>
  <c r="E2056" i="1"/>
  <c r="I2056" i="1"/>
  <c r="H2056" i="1"/>
  <c r="E2048" i="1"/>
  <c r="I2048" i="1"/>
  <c r="H2048" i="1"/>
  <c r="E2040" i="1"/>
  <c r="I2040" i="1"/>
  <c r="H2040" i="1"/>
  <c r="E2032" i="1"/>
  <c r="I2032" i="1"/>
  <c r="H2032" i="1"/>
  <c r="I2024" i="1"/>
  <c r="H2024" i="1"/>
  <c r="E2016" i="1"/>
  <c r="I2016" i="1"/>
  <c r="H2016" i="1"/>
  <c r="E2008" i="1"/>
  <c r="I2008" i="1"/>
  <c r="H2008" i="1"/>
  <c r="E2000" i="1"/>
  <c r="I2000" i="1"/>
  <c r="H2000" i="1"/>
  <c r="I1992" i="1"/>
  <c r="H1992" i="1"/>
  <c r="E1984" i="1"/>
  <c r="I1984" i="1"/>
  <c r="H1984" i="1"/>
  <c r="E1976" i="1"/>
  <c r="I1976" i="1"/>
  <c r="H1976" i="1"/>
  <c r="I1968" i="1"/>
  <c r="H1968" i="1"/>
  <c r="E1960" i="1"/>
  <c r="I1960" i="1"/>
  <c r="H1960" i="1"/>
  <c r="E1952" i="1"/>
  <c r="I1952" i="1"/>
  <c r="H1952" i="1"/>
  <c r="E1944" i="1"/>
  <c r="I1944" i="1"/>
  <c r="H1944" i="1"/>
  <c r="I1936" i="1"/>
  <c r="H1936" i="1"/>
  <c r="E1928" i="1"/>
  <c r="I1928" i="1"/>
  <c r="H1928" i="1"/>
  <c r="E1920" i="1"/>
  <c r="I1920" i="1"/>
  <c r="H1920" i="1"/>
  <c r="I1912" i="1"/>
  <c r="H1912" i="1"/>
  <c r="E1904" i="1"/>
  <c r="I1904" i="1"/>
  <c r="H1904" i="1"/>
  <c r="E1896" i="1"/>
  <c r="I1896" i="1"/>
  <c r="H1896" i="1"/>
  <c r="E1888" i="1"/>
  <c r="I1888" i="1"/>
  <c r="H1888" i="1"/>
  <c r="I1880" i="1"/>
  <c r="H1880" i="1"/>
  <c r="E1872" i="1"/>
  <c r="I1872" i="1"/>
  <c r="H1872" i="1"/>
  <c r="E1864" i="1"/>
  <c r="I1864" i="1"/>
  <c r="H1864" i="1"/>
  <c r="E1856" i="1"/>
  <c r="I1856" i="1"/>
  <c r="H1856" i="1"/>
  <c r="E1848" i="1"/>
  <c r="I1848" i="1"/>
  <c r="H1848" i="1"/>
  <c r="E1840" i="1"/>
  <c r="I1840" i="1"/>
  <c r="H1840" i="1"/>
  <c r="E1832" i="1"/>
  <c r="I1832" i="1"/>
  <c r="H1832" i="1"/>
  <c r="I1824" i="1"/>
  <c r="H1824" i="1"/>
  <c r="E1816" i="1"/>
  <c r="I1816" i="1"/>
  <c r="H1816" i="1"/>
  <c r="E1808" i="1"/>
  <c r="I1808" i="1"/>
  <c r="H1808" i="1"/>
  <c r="I1800" i="1"/>
  <c r="H1800" i="1"/>
  <c r="E1792" i="1"/>
  <c r="I1792" i="1"/>
  <c r="H1792" i="1"/>
  <c r="E1784" i="1"/>
  <c r="I1784" i="1"/>
  <c r="H1784" i="1"/>
  <c r="E1776" i="1"/>
  <c r="I1776" i="1"/>
  <c r="H1776" i="1"/>
  <c r="I1768" i="1"/>
  <c r="H1768" i="1"/>
  <c r="E1760" i="1"/>
  <c r="I1760" i="1"/>
  <c r="H1760" i="1"/>
  <c r="E1752" i="1"/>
  <c r="I1752" i="1"/>
  <c r="H1752" i="1"/>
  <c r="E1744" i="1"/>
  <c r="I1744" i="1"/>
  <c r="H1744" i="1"/>
  <c r="I1736" i="1"/>
  <c r="H1736" i="1"/>
  <c r="E1728" i="1"/>
  <c r="I1728" i="1"/>
  <c r="H1728" i="1"/>
  <c r="E1720" i="1"/>
  <c r="I1720" i="1"/>
  <c r="H1720" i="1"/>
  <c r="I1712" i="1"/>
  <c r="H1712" i="1"/>
  <c r="E1704" i="1"/>
  <c r="I1704" i="1"/>
  <c r="H1704" i="1"/>
  <c r="E1696" i="1"/>
  <c r="I1696" i="1"/>
  <c r="H1696" i="1"/>
  <c r="E1688" i="1"/>
  <c r="I1688" i="1"/>
  <c r="H1688" i="1"/>
  <c r="I1680" i="1"/>
  <c r="H1680" i="1"/>
  <c r="E1672" i="1"/>
  <c r="I1672" i="1"/>
  <c r="H1672" i="1"/>
  <c r="E1664" i="1"/>
  <c r="I1664" i="1"/>
  <c r="H1664" i="1"/>
  <c r="E1656" i="1"/>
  <c r="I1656" i="1"/>
  <c r="H1656" i="1"/>
  <c r="E1648" i="1"/>
  <c r="I1648" i="1"/>
  <c r="H1648" i="1"/>
  <c r="E1640" i="1"/>
  <c r="I1640" i="1"/>
  <c r="H1640" i="1"/>
  <c r="E1632" i="1"/>
  <c r="I1632" i="1"/>
  <c r="H1632" i="1"/>
  <c r="I1624" i="1"/>
  <c r="H1624" i="1"/>
  <c r="E1616" i="1"/>
  <c r="I1616" i="1"/>
  <c r="H1616" i="1"/>
  <c r="E1608" i="1"/>
  <c r="I1608" i="1"/>
  <c r="H1608" i="1"/>
  <c r="I1600" i="1"/>
  <c r="H1600" i="1"/>
  <c r="E1592" i="1"/>
  <c r="I1592" i="1"/>
  <c r="H1592" i="1"/>
  <c r="E1584" i="1"/>
  <c r="I1584" i="1"/>
  <c r="H1584" i="1"/>
  <c r="E1576" i="1"/>
  <c r="I1576" i="1"/>
  <c r="H1576" i="1"/>
  <c r="I1568" i="1"/>
  <c r="H1568" i="1"/>
  <c r="E1560" i="1"/>
  <c r="I1560" i="1"/>
  <c r="H1560" i="1"/>
  <c r="E1552" i="1"/>
  <c r="I1552" i="1"/>
  <c r="H1552" i="1"/>
  <c r="E1544" i="1"/>
  <c r="I1544" i="1"/>
  <c r="H1544" i="1"/>
  <c r="E1536" i="1"/>
  <c r="I1536" i="1"/>
  <c r="H1536" i="1"/>
  <c r="E1528" i="1"/>
  <c r="I1528" i="1"/>
  <c r="H1528" i="1"/>
  <c r="E1520" i="1"/>
  <c r="I1520" i="1"/>
  <c r="H1520" i="1"/>
  <c r="I1512" i="1"/>
  <c r="H1512" i="1"/>
  <c r="E1504" i="1"/>
  <c r="I1504" i="1"/>
  <c r="H1504" i="1"/>
  <c r="E1496" i="1"/>
  <c r="I1496" i="1"/>
  <c r="H1496" i="1"/>
  <c r="E1488" i="1"/>
  <c r="I1488" i="1"/>
  <c r="H1488" i="1"/>
  <c r="I1480" i="1"/>
  <c r="H1480" i="1"/>
  <c r="E1472" i="1"/>
  <c r="I1472" i="1"/>
  <c r="H1472" i="1"/>
  <c r="E1464" i="1"/>
  <c r="I1464" i="1"/>
  <c r="H1464" i="1"/>
  <c r="I1456" i="1"/>
  <c r="H1456" i="1"/>
  <c r="E1448" i="1"/>
  <c r="I1448" i="1"/>
  <c r="H1448" i="1"/>
  <c r="E1440" i="1"/>
  <c r="I1440" i="1"/>
  <c r="H1440" i="1"/>
  <c r="E1432" i="1"/>
  <c r="I1432" i="1"/>
  <c r="H1432" i="1"/>
  <c r="I1424" i="1"/>
  <c r="H1424" i="1"/>
  <c r="E1416" i="1"/>
  <c r="I1416" i="1"/>
  <c r="H1416" i="1"/>
  <c r="E1408" i="1"/>
  <c r="I1408" i="1"/>
  <c r="H1408" i="1"/>
  <c r="I1400" i="1"/>
  <c r="H1400" i="1"/>
  <c r="I1392" i="1"/>
  <c r="H1392" i="1"/>
  <c r="E1384" i="1"/>
  <c r="I1384" i="1"/>
  <c r="H1384" i="1"/>
  <c r="E1376" i="1"/>
  <c r="I1376" i="1"/>
  <c r="H1376" i="1"/>
  <c r="I1368" i="1"/>
  <c r="H1368" i="1"/>
  <c r="E1360" i="1"/>
  <c r="I1360" i="1"/>
  <c r="H1360" i="1"/>
  <c r="E1352" i="1"/>
  <c r="I1352" i="1"/>
  <c r="H1352" i="1"/>
  <c r="I1344" i="1"/>
  <c r="H1344" i="1"/>
  <c r="I1336" i="1"/>
  <c r="H1336" i="1"/>
  <c r="E1328" i="1"/>
  <c r="I1328" i="1"/>
  <c r="H1328" i="1"/>
  <c r="E1320" i="1"/>
  <c r="I1320" i="1"/>
  <c r="H1320" i="1"/>
  <c r="I1312" i="1"/>
  <c r="H1312" i="1"/>
  <c r="E1304" i="1"/>
  <c r="I1304" i="1"/>
  <c r="H1304" i="1"/>
  <c r="E1296" i="1"/>
  <c r="I1296" i="1"/>
  <c r="H1296" i="1"/>
  <c r="I1288" i="1"/>
  <c r="H1288" i="1"/>
  <c r="I1280" i="1"/>
  <c r="H1280" i="1"/>
  <c r="E1272" i="1"/>
  <c r="I1272" i="1"/>
  <c r="H1272" i="1"/>
  <c r="E1264" i="1"/>
  <c r="I1264" i="1"/>
  <c r="H1264" i="1"/>
  <c r="I1256" i="1"/>
  <c r="H1256" i="1"/>
  <c r="E1248" i="1"/>
  <c r="I1248" i="1"/>
  <c r="H1248" i="1"/>
  <c r="E1240" i="1"/>
  <c r="I1240" i="1"/>
  <c r="H1240" i="1"/>
  <c r="E1232" i="1"/>
  <c r="I1232" i="1"/>
  <c r="H1232" i="1"/>
  <c r="I1224" i="1"/>
  <c r="H1224" i="1"/>
  <c r="E1216" i="1"/>
  <c r="I1216" i="1"/>
  <c r="H1216" i="1"/>
  <c r="E1208" i="1"/>
  <c r="I1208" i="1"/>
  <c r="H1208" i="1"/>
  <c r="I1200" i="1"/>
  <c r="H1200" i="1"/>
  <c r="E1192" i="1"/>
  <c r="I1192" i="1"/>
  <c r="H1192" i="1"/>
  <c r="E1184" i="1"/>
  <c r="I1184" i="1"/>
  <c r="H1184" i="1"/>
  <c r="E1176" i="1"/>
  <c r="I1176" i="1"/>
  <c r="H1176" i="1"/>
  <c r="I1168" i="1"/>
  <c r="H1168" i="1"/>
  <c r="E1160" i="1"/>
  <c r="I1160" i="1"/>
  <c r="H1160" i="1"/>
  <c r="E1152" i="1"/>
  <c r="I1152" i="1"/>
  <c r="H1152" i="1"/>
  <c r="I1144" i="1"/>
  <c r="H1144" i="1"/>
  <c r="I1136" i="1"/>
  <c r="H1136" i="1"/>
  <c r="E1128" i="1"/>
  <c r="I1128" i="1"/>
  <c r="H1128" i="1"/>
  <c r="E1120" i="1"/>
  <c r="I1120" i="1"/>
  <c r="H1120" i="1"/>
  <c r="I1112" i="1"/>
  <c r="H1112" i="1"/>
  <c r="E1104" i="1"/>
  <c r="I1104" i="1"/>
  <c r="H1104" i="1"/>
  <c r="E1096" i="1"/>
  <c r="I1096" i="1"/>
  <c r="H1096" i="1"/>
  <c r="I1088" i="1"/>
  <c r="H1088" i="1"/>
  <c r="I1080" i="1"/>
  <c r="H1080" i="1"/>
  <c r="E1072" i="1"/>
  <c r="I1072" i="1"/>
  <c r="H1072" i="1"/>
  <c r="E1064" i="1"/>
  <c r="I1064" i="1"/>
  <c r="H1064" i="1"/>
  <c r="I1056" i="1"/>
  <c r="H1056" i="1"/>
  <c r="E1048" i="1"/>
  <c r="I1048" i="1"/>
  <c r="H1048" i="1"/>
  <c r="E1040" i="1"/>
  <c r="I1040" i="1"/>
  <c r="H1040" i="1"/>
  <c r="I1032" i="1"/>
  <c r="H1032" i="1"/>
  <c r="I1024" i="1"/>
  <c r="H1024" i="1"/>
  <c r="E1016" i="1"/>
  <c r="I1016" i="1"/>
  <c r="H1016" i="1"/>
  <c r="E1008" i="1"/>
  <c r="I1008" i="1"/>
  <c r="H1008" i="1"/>
  <c r="I1000" i="1"/>
  <c r="H1000" i="1"/>
  <c r="E992" i="1"/>
  <c r="I992" i="1"/>
  <c r="H992" i="1"/>
  <c r="E984" i="1"/>
  <c r="I984" i="1"/>
  <c r="H984" i="1"/>
  <c r="E976" i="1"/>
  <c r="I976" i="1"/>
  <c r="H976" i="1"/>
  <c r="I968" i="1"/>
  <c r="H968" i="1"/>
  <c r="E960" i="1"/>
  <c r="I960" i="1"/>
  <c r="H960" i="1"/>
  <c r="E952" i="1"/>
  <c r="I952" i="1"/>
  <c r="H952" i="1"/>
  <c r="I944" i="1"/>
  <c r="H944" i="1"/>
  <c r="E936" i="1"/>
  <c r="I936" i="1"/>
  <c r="H936" i="1"/>
  <c r="E928" i="1"/>
  <c r="I928" i="1"/>
  <c r="H928" i="1"/>
  <c r="E920" i="1"/>
  <c r="I920" i="1"/>
  <c r="H920" i="1"/>
  <c r="I912" i="1"/>
  <c r="H912" i="1"/>
  <c r="E904" i="1"/>
  <c r="I904" i="1"/>
  <c r="H904" i="1"/>
  <c r="E896" i="1"/>
  <c r="I896" i="1"/>
  <c r="H896" i="1"/>
  <c r="I888" i="1"/>
  <c r="H888" i="1"/>
  <c r="I880" i="1"/>
  <c r="H880" i="1"/>
  <c r="E872" i="1"/>
  <c r="I872" i="1"/>
  <c r="H872" i="1"/>
  <c r="E864" i="1"/>
  <c r="I864" i="1"/>
  <c r="H864" i="1"/>
  <c r="I856" i="1"/>
  <c r="H856" i="1"/>
  <c r="E848" i="1"/>
  <c r="I848" i="1"/>
  <c r="H848" i="1"/>
  <c r="E840" i="1"/>
  <c r="I840" i="1"/>
  <c r="H840" i="1"/>
  <c r="I832" i="1"/>
  <c r="H832" i="1"/>
  <c r="I824" i="1"/>
  <c r="H824" i="1"/>
  <c r="E816" i="1"/>
  <c r="I816" i="1"/>
  <c r="H816" i="1"/>
  <c r="E808" i="1"/>
  <c r="I808" i="1"/>
  <c r="H808" i="1"/>
  <c r="I800" i="1"/>
  <c r="H800" i="1"/>
  <c r="E792" i="1"/>
  <c r="I792" i="1"/>
  <c r="H792" i="1"/>
  <c r="E784" i="1"/>
  <c r="I784" i="1"/>
  <c r="H784" i="1"/>
  <c r="I776" i="1"/>
  <c r="H776" i="1"/>
  <c r="I768" i="1"/>
  <c r="H768" i="1"/>
  <c r="E760" i="1"/>
  <c r="I760" i="1"/>
  <c r="H760" i="1"/>
  <c r="E752" i="1"/>
  <c r="I752" i="1"/>
  <c r="H752" i="1"/>
  <c r="I744" i="1"/>
  <c r="H744" i="1"/>
  <c r="E736" i="1"/>
  <c r="I736" i="1"/>
  <c r="H736" i="1"/>
  <c r="E728" i="1"/>
  <c r="I728" i="1"/>
  <c r="H728" i="1"/>
  <c r="E720" i="1"/>
  <c r="I720" i="1"/>
  <c r="H720" i="1"/>
  <c r="I712" i="1"/>
  <c r="H712" i="1"/>
  <c r="E704" i="1"/>
  <c r="I704" i="1"/>
  <c r="H704" i="1"/>
  <c r="E696" i="1"/>
  <c r="I696" i="1"/>
  <c r="H696" i="1"/>
  <c r="I688" i="1"/>
  <c r="H688" i="1"/>
  <c r="E680" i="1"/>
  <c r="I680" i="1"/>
  <c r="H680" i="1"/>
  <c r="E672" i="1"/>
  <c r="I672" i="1"/>
  <c r="H672" i="1"/>
  <c r="E664" i="1"/>
  <c r="I664" i="1"/>
  <c r="H664" i="1"/>
  <c r="I656" i="1"/>
  <c r="H656" i="1"/>
  <c r="E648" i="1"/>
  <c r="I648" i="1"/>
  <c r="H648" i="1"/>
  <c r="E640" i="1"/>
  <c r="I640" i="1"/>
  <c r="H640" i="1"/>
  <c r="I632" i="1"/>
  <c r="H632" i="1"/>
  <c r="I624" i="1"/>
  <c r="H624" i="1"/>
  <c r="E616" i="1"/>
  <c r="I616" i="1"/>
  <c r="H616" i="1"/>
  <c r="E608" i="1"/>
  <c r="I608" i="1"/>
  <c r="H608" i="1"/>
  <c r="I600" i="1"/>
  <c r="H600" i="1"/>
  <c r="E592" i="1"/>
  <c r="I592" i="1"/>
  <c r="H592" i="1"/>
  <c r="E584" i="1"/>
  <c r="I584" i="1"/>
  <c r="H584" i="1"/>
  <c r="I576" i="1"/>
  <c r="H576" i="1"/>
  <c r="I568" i="1"/>
  <c r="H568" i="1"/>
  <c r="E560" i="1"/>
  <c r="I560" i="1"/>
  <c r="H560" i="1"/>
  <c r="E552" i="1"/>
  <c r="I552" i="1"/>
  <c r="H552" i="1"/>
  <c r="I544" i="1"/>
  <c r="H544" i="1"/>
  <c r="E536" i="1"/>
  <c r="I536" i="1"/>
  <c r="H536" i="1"/>
  <c r="E528" i="1"/>
  <c r="I528" i="1"/>
  <c r="H528" i="1"/>
  <c r="I520" i="1"/>
  <c r="H520" i="1"/>
  <c r="I512" i="1"/>
  <c r="H512" i="1"/>
  <c r="E504" i="1"/>
  <c r="I504" i="1"/>
  <c r="H504" i="1"/>
  <c r="E496" i="1"/>
  <c r="I496" i="1"/>
  <c r="H496" i="1"/>
  <c r="I488" i="1"/>
  <c r="H488" i="1"/>
  <c r="E480" i="1"/>
  <c r="I480" i="1"/>
  <c r="H480" i="1"/>
  <c r="E472" i="1"/>
  <c r="I472" i="1"/>
  <c r="H472" i="1"/>
  <c r="E464" i="1"/>
  <c r="I464" i="1"/>
  <c r="H464" i="1"/>
  <c r="I456" i="1"/>
  <c r="H456" i="1"/>
  <c r="E448" i="1"/>
  <c r="I448" i="1"/>
  <c r="H448" i="1"/>
  <c r="E440" i="1"/>
  <c r="I440" i="1"/>
  <c r="H440" i="1"/>
  <c r="I432" i="1"/>
  <c r="H432" i="1"/>
  <c r="E424" i="1"/>
  <c r="I424" i="1"/>
  <c r="H424" i="1"/>
  <c r="E416" i="1"/>
  <c r="I416" i="1"/>
  <c r="H416" i="1"/>
  <c r="E408" i="1"/>
  <c r="I408" i="1"/>
  <c r="H408" i="1"/>
  <c r="I400" i="1"/>
  <c r="H400" i="1"/>
  <c r="E392" i="1"/>
  <c r="I392" i="1"/>
  <c r="H392" i="1"/>
  <c r="E384" i="1"/>
  <c r="I384" i="1"/>
  <c r="H384" i="1"/>
  <c r="I376" i="1"/>
  <c r="H376" i="1"/>
  <c r="E368" i="1"/>
  <c r="I368" i="1"/>
  <c r="H368" i="1"/>
  <c r="E360" i="1"/>
  <c r="I360" i="1"/>
  <c r="H360" i="1"/>
  <c r="E352" i="1"/>
  <c r="I352" i="1"/>
  <c r="H352" i="1"/>
  <c r="I344" i="1"/>
  <c r="H344" i="1"/>
  <c r="E336" i="1"/>
  <c r="I336" i="1"/>
  <c r="H336" i="1"/>
  <c r="E328" i="1"/>
  <c r="I328" i="1"/>
  <c r="H328" i="1"/>
  <c r="I320" i="1"/>
  <c r="H320" i="1"/>
  <c r="E312" i="1"/>
  <c r="I312" i="1"/>
  <c r="H312" i="1"/>
  <c r="E304" i="1"/>
  <c r="I304" i="1"/>
  <c r="H304" i="1"/>
  <c r="H9995" i="1"/>
  <c r="H9987" i="1"/>
  <c r="H9979" i="1"/>
  <c r="H9971" i="1"/>
  <c r="H9963" i="1"/>
  <c r="H9955" i="1"/>
  <c r="H9947" i="1"/>
  <c r="H9939" i="1"/>
  <c r="H9931" i="1"/>
  <c r="H9923" i="1"/>
  <c r="H9915" i="1"/>
  <c r="H9907" i="1"/>
  <c r="H9899" i="1"/>
  <c r="H9891" i="1"/>
  <c r="H9883" i="1"/>
  <c r="H9875" i="1"/>
  <c r="H9867" i="1"/>
  <c r="H9859" i="1"/>
  <c r="H9851" i="1"/>
  <c r="H9843" i="1"/>
  <c r="H9835" i="1"/>
  <c r="H9827" i="1"/>
  <c r="H9819" i="1"/>
  <c r="H9811" i="1"/>
  <c r="H9803" i="1"/>
  <c r="H9795" i="1"/>
  <c r="H9787" i="1"/>
  <c r="H9779" i="1"/>
  <c r="H9771" i="1"/>
  <c r="H9763" i="1"/>
  <c r="H9755" i="1"/>
  <c r="H9747" i="1"/>
  <c r="H9739" i="1"/>
  <c r="H9731" i="1"/>
  <c r="H9723" i="1"/>
  <c r="H9715" i="1"/>
  <c r="H9707" i="1"/>
  <c r="H9699" i="1"/>
  <c r="H9691" i="1"/>
  <c r="H9683" i="1"/>
  <c r="H9675" i="1"/>
  <c r="H9667" i="1"/>
  <c r="H9659" i="1"/>
  <c r="H9651" i="1"/>
  <c r="H9643" i="1"/>
  <c r="H9635" i="1"/>
  <c r="H9627" i="1"/>
  <c r="H9619" i="1"/>
  <c r="H9611" i="1"/>
  <c r="H9603" i="1"/>
  <c r="H9595" i="1"/>
  <c r="H9587" i="1"/>
  <c r="H9579" i="1"/>
  <c r="H9571" i="1"/>
  <c r="H9563" i="1"/>
  <c r="H9555" i="1"/>
  <c r="H9547" i="1"/>
  <c r="H9539" i="1"/>
  <c r="H9531" i="1"/>
  <c r="H9523" i="1"/>
  <c r="H9515" i="1"/>
  <c r="H9507" i="1"/>
  <c r="H9499" i="1"/>
  <c r="H9491" i="1"/>
  <c r="H9483" i="1"/>
  <c r="H9475" i="1"/>
  <c r="H9467" i="1"/>
  <c r="H9459" i="1"/>
  <c r="H9451" i="1"/>
  <c r="H9443" i="1"/>
  <c r="H9435" i="1"/>
  <c r="H9427" i="1"/>
  <c r="H9419" i="1"/>
  <c r="H9411" i="1"/>
  <c r="H9403" i="1"/>
  <c r="H9395" i="1"/>
  <c r="H9387" i="1"/>
  <c r="H9379" i="1"/>
  <c r="H9371" i="1"/>
  <c r="H9363" i="1"/>
  <c r="H9355" i="1"/>
  <c r="H9347" i="1"/>
  <c r="H9339" i="1"/>
  <c r="H9331" i="1"/>
  <c r="H9323" i="1"/>
  <c r="H9315" i="1"/>
  <c r="H9307" i="1"/>
  <c r="H9299" i="1"/>
  <c r="H9291" i="1"/>
  <c r="H9283" i="1"/>
  <c r="H9275" i="1"/>
  <c r="H9267" i="1"/>
  <c r="H9259" i="1"/>
  <c r="H9251" i="1"/>
  <c r="H9243" i="1"/>
  <c r="H9235" i="1"/>
  <c r="H9227" i="1"/>
  <c r="H9219" i="1"/>
  <c r="H9211" i="1"/>
  <c r="H9203" i="1"/>
  <c r="H9195" i="1"/>
  <c r="H9187" i="1"/>
  <c r="H9179" i="1"/>
  <c r="H9171" i="1"/>
  <c r="H9163" i="1"/>
  <c r="H9155" i="1"/>
  <c r="H9147" i="1"/>
  <c r="H9139" i="1"/>
  <c r="H9131" i="1"/>
  <c r="H9123" i="1"/>
  <c r="H9115" i="1"/>
  <c r="H9107" i="1"/>
  <c r="H9099" i="1"/>
  <c r="H9091" i="1"/>
  <c r="H9083" i="1"/>
  <c r="H9075" i="1"/>
  <c r="H9067" i="1"/>
  <c r="H9059" i="1"/>
  <c r="H9051" i="1"/>
  <c r="H9043" i="1"/>
  <c r="H9035" i="1"/>
  <c r="H9027" i="1"/>
  <c r="H9019" i="1"/>
  <c r="H9011" i="1"/>
  <c r="H9003" i="1"/>
  <c r="H8995" i="1"/>
  <c r="H8987" i="1"/>
  <c r="H8979" i="1"/>
  <c r="H8971" i="1"/>
  <c r="H8963" i="1"/>
  <c r="H8955" i="1"/>
  <c r="H8947" i="1"/>
  <c r="H8939" i="1"/>
  <c r="H8931" i="1"/>
  <c r="H8923" i="1"/>
  <c r="H8915" i="1"/>
  <c r="H8907" i="1"/>
  <c r="H8899" i="1"/>
  <c r="H8891" i="1"/>
  <c r="H8883" i="1"/>
  <c r="H8875" i="1"/>
  <c r="H8867" i="1"/>
  <c r="H8859" i="1"/>
  <c r="H8851" i="1"/>
  <c r="H8843" i="1"/>
  <c r="H8835" i="1"/>
  <c r="H8827" i="1"/>
  <c r="H8819" i="1"/>
  <c r="H8811" i="1"/>
  <c r="H8803" i="1"/>
  <c r="H8795" i="1"/>
  <c r="H8787" i="1"/>
  <c r="H8779" i="1"/>
  <c r="H8771" i="1"/>
  <c r="H8763" i="1"/>
  <c r="H8755" i="1"/>
  <c r="H8747" i="1"/>
  <c r="H8739" i="1"/>
  <c r="H8731" i="1"/>
  <c r="H8723" i="1"/>
  <c r="H8715" i="1"/>
  <c r="H8707" i="1"/>
  <c r="H8699" i="1"/>
  <c r="H8691" i="1"/>
  <c r="H8683" i="1"/>
  <c r="H8675" i="1"/>
  <c r="H8667" i="1"/>
  <c r="H8659" i="1"/>
  <c r="H8651" i="1"/>
  <c r="H8643" i="1"/>
  <c r="H8635" i="1"/>
  <c r="H8627" i="1"/>
  <c r="H8619" i="1"/>
  <c r="H8611" i="1"/>
  <c r="H8603" i="1"/>
  <c r="H8595" i="1"/>
  <c r="H8587" i="1"/>
  <c r="H8579" i="1"/>
  <c r="H8571" i="1"/>
  <c r="H8563" i="1"/>
  <c r="H8555" i="1"/>
  <c r="H8547" i="1"/>
  <c r="H8539" i="1"/>
  <c r="H8531" i="1"/>
  <c r="H8523" i="1"/>
  <c r="H8515" i="1"/>
  <c r="H8507" i="1"/>
  <c r="H8499" i="1"/>
  <c r="H8491" i="1"/>
  <c r="H8483" i="1"/>
  <c r="H8475" i="1"/>
  <c r="H8467" i="1"/>
  <c r="H8459" i="1"/>
  <c r="H8451" i="1"/>
  <c r="H8443" i="1"/>
  <c r="H8435" i="1"/>
  <c r="H8427" i="1"/>
  <c r="H8419" i="1"/>
  <c r="H8411" i="1"/>
  <c r="H8403" i="1"/>
  <c r="H8395" i="1"/>
  <c r="H8387" i="1"/>
  <c r="H8379" i="1"/>
  <c r="H8371" i="1"/>
  <c r="H8363" i="1"/>
  <c r="H8355" i="1"/>
  <c r="H8347" i="1"/>
  <c r="H8339" i="1"/>
  <c r="H8331" i="1"/>
  <c r="H8323" i="1"/>
  <c r="H8315" i="1"/>
  <c r="H8307" i="1"/>
  <c r="H8299" i="1"/>
  <c r="H8291" i="1"/>
  <c r="H8283" i="1"/>
  <c r="H8275" i="1"/>
  <c r="H8267" i="1"/>
  <c r="H8259" i="1"/>
  <c r="H8251" i="1"/>
  <c r="H8243" i="1"/>
  <c r="H8235" i="1"/>
  <c r="H8227" i="1"/>
  <c r="H8219" i="1"/>
  <c r="H8211" i="1"/>
  <c r="H8203" i="1"/>
  <c r="H8195" i="1"/>
  <c r="H8187" i="1"/>
  <c r="H8179" i="1"/>
  <c r="H8171" i="1"/>
  <c r="H8163" i="1"/>
  <c r="H8155" i="1"/>
  <c r="H8147" i="1"/>
  <c r="H8139" i="1"/>
  <c r="H8131" i="1"/>
  <c r="H8123" i="1"/>
  <c r="H8115" i="1"/>
  <c r="H8107" i="1"/>
  <c r="H8099" i="1"/>
  <c r="H8091" i="1"/>
  <c r="H8083" i="1"/>
  <c r="H8075" i="1"/>
  <c r="H8067" i="1"/>
  <c r="H8059" i="1"/>
  <c r="H8051" i="1"/>
  <c r="H8043" i="1"/>
  <c r="H8035" i="1"/>
  <c r="H8027" i="1"/>
  <c r="H8019" i="1"/>
  <c r="H8011" i="1"/>
  <c r="H8003" i="1"/>
  <c r="H7995" i="1"/>
  <c r="H7987" i="1"/>
  <c r="H7979" i="1"/>
  <c r="H7971" i="1"/>
  <c r="H7963" i="1"/>
  <c r="H7955" i="1"/>
  <c r="H7947" i="1"/>
  <c r="H7939" i="1"/>
  <c r="H7931" i="1"/>
  <c r="H7923" i="1"/>
  <c r="H7915" i="1"/>
  <c r="H7907" i="1"/>
  <c r="H7899" i="1"/>
  <c r="H7891" i="1"/>
  <c r="H7883" i="1"/>
  <c r="H7875" i="1"/>
  <c r="H7867" i="1"/>
  <c r="H7859" i="1"/>
  <c r="H7851" i="1"/>
  <c r="H7801" i="1"/>
  <c r="H7737" i="1"/>
  <c r="H7673" i="1"/>
  <c r="H7609" i="1"/>
  <c r="H7545" i="1"/>
  <c r="H7481" i="1"/>
  <c r="H7417" i="1"/>
  <c r="H7353" i="1"/>
  <c r="H7289" i="1"/>
  <c r="H7225" i="1"/>
  <c r="H7161" i="1"/>
  <c r="H7097" i="1"/>
  <c r="H7033" i="1"/>
  <c r="H6969" i="1"/>
  <c r="H6905" i="1"/>
  <c r="H6841" i="1"/>
  <c r="H6777" i="1"/>
  <c r="H6713" i="1"/>
  <c r="H6649" i="1"/>
  <c r="H6585" i="1"/>
  <c r="H6521" i="1"/>
  <c r="H6457" i="1"/>
  <c r="H6393" i="1"/>
  <c r="H6329" i="1"/>
  <c r="H6265" i="1"/>
  <c r="H6201" i="1"/>
  <c r="H6137" i="1"/>
  <c r="H6073" i="1"/>
  <c r="H6009" i="1"/>
  <c r="H5945" i="1"/>
  <c r="H5881" i="1"/>
  <c r="H5817" i="1"/>
  <c r="H5753" i="1"/>
  <c r="H5689" i="1"/>
  <c r="H5625" i="1"/>
  <c r="H5561" i="1"/>
  <c r="H5497" i="1"/>
  <c r="H5433" i="1"/>
  <c r="H5369" i="1"/>
  <c r="H5305" i="1"/>
  <c r="H5241" i="1"/>
  <c r="H5177" i="1"/>
  <c r="H5113" i="1"/>
  <c r="H5049" i="1"/>
  <c r="H4985" i="1"/>
  <c r="H4921" i="1"/>
  <c r="H4857" i="1"/>
  <c r="H4793" i="1"/>
  <c r="H4729" i="1"/>
  <c r="H4665" i="1"/>
  <c r="H4601" i="1"/>
  <c r="H4537" i="1"/>
  <c r="H4473" i="1"/>
  <c r="H4409" i="1"/>
  <c r="H4345" i="1"/>
  <c r="H4281" i="1"/>
  <c r="H4217" i="1"/>
  <c r="H4153" i="1"/>
  <c r="H4089" i="1"/>
  <c r="H4025" i="1"/>
  <c r="H3961" i="1"/>
  <c r="H3897" i="1"/>
  <c r="H3833" i="1"/>
  <c r="H3769" i="1"/>
  <c r="H3705" i="1"/>
  <c r="H3641" i="1"/>
  <c r="H3577" i="1"/>
  <c r="H3513" i="1"/>
  <c r="H3449" i="1"/>
  <c r="H3385" i="1"/>
  <c r="H3321" i="1"/>
  <c r="H3257" i="1"/>
  <c r="H3193" i="1"/>
  <c r="H3129" i="1"/>
  <c r="H3014" i="1"/>
  <c r="H2843" i="1"/>
  <c r="H2673" i="1"/>
  <c r="H2331" i="1"/>
  <c r="H2161" i="1"/>
  <c r="H1971" i="1"/>
  <c r="H1715" i="1"/>
  <c r="H1459" i="1"/>
  <c r="H1129" i="1"/>
  <c r="I9766" i="1"/>
  <c r="I62" i="1"/>
  <c r="H62" i="1"/>
  <c r="I14" i="1"/>
  <c r="H14" i="1"/>
  <c r="I281" i="1"/>
  <c r="H281" i="1"/>
  <c r="I233" i="1"/>
  <c r="H233" i="1"/>
  <c r="I185" i="1"/>
  <c r="H185" i="1"/>
  <c r="I129" i="1"/>
  <c r="H129" i="1"/>
  <c r="E9988" i="1"/>
  <c r="I9988" i="1"/>
  <c r="E9940" i="1"/>
  <c r="I9940" i="1"/>
  <c r="E9892" i="1"/>
  <c r="I9892" i="1"/>
  <c r="E9852" i="1"/>
  <c r="I9852" i="1"/>
  <c r="E9812" i="1"/>
  <c r="I9812" i="1"/>
  <c r="E9764" i="1"/>
  <c r="I9764" i="1"/>
  <c r="F9716" i="1"/>
  <c r="I9716" i="1"/>
  <c r="E9668" i="1"/>
  <c r="I9668" i="1"/>
  <c r="E9644" i="1"/>
  <c r="I9644" i="1"/>
  <c r="E9580" i="1"/>
  <c r="I9580" i="1"/>
  <c r="F9548" i="1"/>
  <c r="I9548" i="1"/>
  <c r="F9500" i="1"/>
  <c r="I9500" i="1"/>
  <c r="E9468" i="1"/>
  <c r="I9468" i="1"/>
  <c r="E9444" i="1"/>
  <c r="I9444" i="1"/>
  <c r="E9412" i="1"/>
  <c r="I9412" i="1"/>
  <c r="F9372" i="1"/>
  <c r="I9372" i="1"/>
  <c r="F9332" i="1"/>
  <c r="I9332" i="1"/>
  <c r="F9292" i="1"/>
  <c r="I9292" i="1"/>
  <c r="E9252" i="1"/>
  <c r="I9252" i="1"/>
  <c r="E9212" i="1"/>
  <c r="I9212" i="1"/>
  <c r="E9172" i="1"/>
  <c r="I9172" i="1"/>
  <c r="E9132" i="1"/>
  <c r="I9132" i="1"/>
  <c r="E9100" i="1"/>
  <c r="I9100" i="1"/>
  <c r="E9060" i="1"/>
  <c r="I9060" i="1"/>
  <c r="E9004" i="1"/>
  <c r="I9004" i="1"/>
  <c r="E8964" i="1"/>
  <c r="I8964" i="1"/>
  <c r="E8916" i="1"/>
  <c r="I8916" i="1"/>
  <c r="E8868" i="1"/>
  <c r="I8868" i="1"/>
  <c r="F8820" i="1"/>
  <c r="I8820" i="1"/>
  <c r="F8716" i="1"/>
  <c r="I8716" i="1"/>
  <c r="E8684" i="1"/>
  <c r="I8684" i="1"/>
  <c r="F8652" i="1"/>
  <c r="I8652" i="1"/>
  <c r="E8620" i="1"/>
  <c r="I8620" i="1"/>
  <c r="E8596" i="1"/>
  <c r="I8596" i="1"/>
  <c r="E8556" i="1"/>
  <c r="I8556" i="1"/>
  <c r="F8524" i="1"/>
  <c r="I8524" i="1"/>
  <c r="E8492" i="1"/>
  <c r="I8492" i="1"/>
  <c r="E8468" i="1"/>
  <c r="I8468" i="1"/>
  <c r="F8436" i="1"/>
  <c r="I8436" i="1"/>
  <c r="E8404" i="1"/>
  <c r="I8404" i="1"/>
  <c r="E8380" i="1"/>
  <c r="I8380" i="1"/>
  <c r="F8348" i="1"/>
  <c r="I8348" i="1"/>
  <c r="E8316" i="1"/>
  <c r="I8316" i="1"/>
  <c r="E8284" i="1"/>
  <c r="I8284" i="1"/>
  <c r="E8252" i="1"/>
  <c r="I8252" i="1"/>
  <c r="E8236" i="1"/>
  <c r="I8236" i="1"/>
  <c r="E8188" i="1"/>
  <c r="I8188" i="1"/>
  <c r="F8140" i="1"/>
  <c r="I8140" i="1"/>
  <c r="E8092" i="1"/>
  <c r="I8092" i="1"/>
  <c r="E8044" i="1"/>
  <c r="I8044" i="1"/>
  <c r="E7948" i="1"/>
  <c r="I7948" i="1"/>
  <c r="E7916" i="1"/>
  <c r="I7916" i="1"/>
  <c r="E7876" i="1"/>
  <c r="I7876" i="1"/>
  <c r="E7836" i="1"/>
  <c r="I7836" i="1"/>
  <c r="H7836" i="1"/>
  <c r="E7788" i="1"/>
  <c r="I7788" i="1"/>
  <c r="H7788" i="1"/>
  <c r="E7740" i="1"/>
  <c r="I7740" i="1"/>
  <c r="H7740" i="1"/>
  <c r="E7692" i="1"/>
  <c r="I7692" i="1"/>
  <c r="H7692" i="1"/>
  <c r="E7636" i="1"/>
  <c r="I7636" i="1"/>
  <c r="H7636" i="1"/>
  <c r="E7588" i="1"/>
  <c r="I7588" i="1"/>
  <c r="H7588" i="1"/>
  <c r="E7548" i="1"/>
  <c r="I7548" i="1"/>
  <c r="H7548" i="1"/>
  <c r="E7508" i="1"/>
  <c r="I7508" i="1"/>
  <c r="H7508" i="1"/>
  <c r="E7460" i="1"/>
  <c r="I7460" i="1"/>
  <c r="H7460" i="1"/>
  <c r="E7412" i="1"/>
  <c r="I7412" i="1"/>
  <c r="H7412" i="1"/>
  <c r="E7364" i="1"/>
  <c r="I7364" i="1"/>
  <c r="H7364" i="1"/>
  <c r="E7324" i="1"/>
  <c r="I7324" i="1"/>
  <c r="H7324" i="1"/>
  <c r="E7276" i="1"/>
  <c r="I7276" i="1"/>
  <c r="H7276" i="1"/>
  <c r="E7228" i="1"/>
  <c r="I7228" i="1"/>
  <c r="H7228" i="1"/>
  <c r="E7196" i="1"/>
  <c r="I7196" i="1"/>
  <c r="H7196" i="1"/>
  <c r="E7148" i="1"/>
  <c r="I7148" i="1"/>
  <c r="H7148" i="1"/>
  <c r="I7092" i="1"/>
  <c r="H7092" i="1"/>
  <c r="E7052" i="1"/>
  <c r="I7052" i="1"/>
  <c r="H7052" i="1"/>
  <c r="E7004" i="1"/>
  <c r="I7004" i="1"/>
  <c r="H7004" i="1"/>
  <c r="I6964" i="1"/>
  <c r="H6964" i="1"/>
  <c r="E6916" i="1"/>
  <c r="I6916" i="1"/>
  <c r="H6916" i="1"/>
  <c r="E6868" i="1"/>
  <c r="I6868" i="1"/>
  <c r="H6868" i="1"/>
  <c r="I6828" i="1"/>
  <c r="H6828" i="1"/>
  <c r="E6796" i="1"/>
  <c r="I6796" i="1"/>
  <c r="H6796" i="1"/>
  <c r="E6756" i="1"/>
  <c r="I6756" i="1"/>
  <c r="H6756" i="1"/>
  <c r="E6716" i="1"/>
  <c r="I6716" i="1"/>
  <c r="H6716" i="1"/>
  <c r="I6676" i="1"/>
  <c r="H6676" i="1"/>
  <c r="E6636" i="1"/>
  <c r="I6636" i="1"/>
  <c r="H6636" i="1"/>
  <c r="E6596" i="1"/>
  <c r="I6596" i="1"/>
  <c r="H6596" i="1"/>
  <c r="E6556" i="1"/>
  <c r="I6556" i="1"/>
  <c r="H6556" i="1"/>
  <c r="E6524" i="1"/>
  <c r="I6524" i="1"/>
  <c r="H6524" i="1"/>
  <c r="E6484" i="1"/>
  <c r="I6484" i="1"/>
  <c r="H6484" i="1"/>
  <c r="I6444" i="1"/>
  <c r="H6444" i="1"/>
  <c r="E6396" i="1"/>
  <c r="I6396" i="1"/>
  <c r="H6396" i="1"/>
  <c r="I6348" i="1"/>
  <c r="H6348" i="1"/>
  <c r="E6300" i="1"/>
  <c r="I6300" i="1"/>
  <c r="H6300" i="1"/>
  <c r="E6260" i="1"/>
  <c r="I6260" i="1"/>
  <c r="H6260" i="1"/>
  <c r="I6220" i="1"/>
  <c r="H6220" i="1"/>
  <c r="E6172" i="1"/>
  <c r="I6172" i="1"/>
  <c r="H6172" i="1"/>
  <c r="E6140" i="1"/>
  <c r="I6140" i="1"/>
  <c r="H6140" i="1"/>
  <c r="I6092" i="1"/>
  <c r="H6092" i="1"/>
  <c r="E6052" i="1"/>
  <c r="I6052" i="1"/>
  <c r="H6052" i="1"/>
  <c r="E5996" i="1"/>
  <c r="I5996" i="1"/>
  <c r="H5996" i="1"/>
  <c r="E5948" i="1"/>
  <c r="I5948" i="1"/>
  <c r="H5948" i="1"/>
  <c r="E5884" i="1"/>
  <c r="I5884" i="1"/>
  <c r="H5884" i="1"/>
  <c r="I5836" i="1"/>
  <c r="H5836" i="1"/>
  <c r="I5780" i="1"/>
  <c r="H5780" i="1"/>
  <c r="E5724" i="1"/>
  <c r="I5724" i="1"/>
  <c r="H5724" i="1"/>
  <c r="E5668" i="1"/>
  <c r="I5668" i="1"/>
  <c r="H5668" i="1"/>
  <c r="I5612" i="1"/>
  <c r="H5612" i="1"/>
  <c r="I5556" i="1"/>
  <c r="H5556" i="1"/>
  <c r="I5492" i="1"/>
  <c r="H5492" i="1"/>
  <c r="E5436" i="1"/>
  <c r="I5436" i="1"/>
  <c r="H5436" i="1"/>
  <c r="E5372" i="1"/>
  <c r="I5372" i="1"/>
  <c r="H5372" i="1"/>
  <c r="I5324" i="1"/>
  <c r="H5324" i="1"/>
  <c r="I5260" i="1"/>
  <c r="H5260" i="1"/>
  <c r="E5212" i="1"/>
  <c r="I5212" i="1"/>
  <c r="H5212" i="1"/>
  <c r="E5156" i="1"/>
  <c r="I5156" i="1"/>
  <c r="H5156" i="1"/>
  <c r="I5092" i="1"/>
  <c r="H5092" i="1"/>
  <c r="E5044" i="1"/>
  <c r="I5044" i="1"/>
  <c r="H5044" i="1"/>
  <c r="E4980" i="1"/>
  <c r="I4980" i="1"/>
  <c r="H4980" i="1"/>
  <c r="E4924" i="1"/>
  <c r="I4924" i="1"/>
  <c r="H4924" i="1"/>
  <c r="E4876" i="1"/>
  <c r="I4876" i="1"/>
  <c r="H4876" i="1"/>
  <c r="E4820" i="1"/>
  <c r="I4820" i="1"/>
  <c r="H4820" i="1"/>
  <c r="E4764" i="1"/>
  <c r="I4764" i="1"/>
  <c r="H4764" i="1"/>
  <c r="I4708" i="1"/>
  <c r="H4708" i="1"/>
  <c r="E4652" i="1"/>
  <c r="I4652" i="1"/>
  <c r="H4652" i="1"/>
  <c r="I4580" i="1"/>
  <c r="H4580" i="1"/>
  <c r="E4524" i="1"/>
  <c r="I4524" i="1"/>
  <c r="H4524" i="1"/>
  <c r="E4468" i="1"/>
  <c r="I4468" i="1"/>
  <c r="H4468" i="1"/>
  <c r="E4404" i="1"/>
  <c r="I4404" i="1"/>
  <c r="H4404" i="1"/>
  <c r="I4348" i="1"/>
  <c r="H4348" i="1"/>
  <c r="I4292" i="1"/>
  <c r="H4292" i="1"/>
  <c r="I4252" i="1"/>
  <c r="H4252" i="1"/>
  <c r="I4196" i="1"/>
  <c r="H4196" i="1"/>
  <c r="E4148" i="1"/>
  <c r="I4148" i="1"/>
  <c r="H4148" i="1"/>
  <c r="E4108" i="1"/>
  <c r="I4108" i="1"/>
  <c r="H4108" i="1"/>
  <c r="I4068" i="1"/>
  <c r="H4068" i="1"/>
  <c r="E4020" i="1"/>
  <c r="I4020" i="1"/>
  <c r="H4020" i="1"/>
  <c r="I3972" i="1"/>
  <c r="H3972" i="1"/>
  <c r="E3924" i="1"/>
  <c r="I3924" i="1"/>
  <c r="H3924" i="1"/>
  <c r="I3876" i="1"/>
  <c r="H3876" i="1"/>
  <c r="I3812" i="1"/>
  <c r="H3812" i="1"/>
  <c r="E3756" i="1"/>
  <c r="I3756" i="1"/>
  <c r="H3756" i="1"/>
  <c r="I3708" i="1"/>
  <c r="H3708" i="1"/>
  <c r="E3660" i="1"/>
  <c r="I3660" i="1"/>
  <c r="H3660" i="1"/>
  <c r="I3612" i="1"/>
  <c r="H3612" i="1"/>
  <c r="E3564" i="1"/>
  <c r="I3564" i="1"/>
  <c r="H3564" i="1"/>
  <c r="E3508" i="1"/>
  <c r="I3508" i="1"/>
  <c r="H3508" i="1"/>
  <c r="I3460" i="1"/>
  <c r="H3460" i="1"/>
  <c r="E3412" i="1"/>
  <c r="I3412" i="1"/>
  <c r="H3412" i="1"/>
  <c r="I3356" i="1"/>
  <c r="H3356" i="1"/>
  <c r="E3316" i="1"/>
  <c r="I3316" i="1"/>
  <c r="H3316" i="1"/>
  <c r="E3276" i="1"/>
  <c r="I3276" i="1"/>
  <c r="H3276" i="1"/>
  <c r="I3228" i="1"/>
  <c r="H3228" i="1"/>
  <c r="E3180" i="1"/>
  <c r="I3180" i="1"/>
  <c r="H3180" i="1"/>
  <c r="I3132" i="1"/>
  <c r="H3132" i="1"/>
  <c r="E3084" i="1"/>
  <c r="I3084" i="1"/>
  <c r="H3084" i="1"/>
  <c r="I3036" i="1"/>
  <c r="H3036" i="1"/>
  <c r="I2980" i="1"/>
  <c r="H2980" i="1"/>
  <c r="E2932" i="1"/>
  <c r="I2932" i="1"/>
  <c r="H2932" i="1"/>
  <c r="I2884" i="1"/>
  <c r="H2884" i="1"/>
  <c r="E2836" i="1"/>
  <c r="I2836" i="1"/>
  <c r="H2836" i="1"/>
  <c r="E2796" i="1"/>
  <c r="I2796" i="1"/>
  <c r="H2796" i="1"/>
  <c r="I2756" i="1"/>
  <c r="H2756" i="1"/>
  <c r="I2716" i="1"/>
  <c r="H2716" i="1"/>
  <c r="E2676" i="1"/>
  <c r="I2676" i="1"/>
  <c r="H2676" i="1"/>
  <c r="E2628" i="1"/>
  <c r="I2628" i="1"/>
  <c r="H2628" i="1"/>
  <c r="E2588" i="1"/>
  <c r="I2588" i="1"/>
  <c r="H2588" i="1"/>
  <c r="I2548" i="1"/>
  <c r="H2548" i="1"/>
  <c r="I2500" i="1"/>
  <c r="H2500" i="1"/>
  <c r="I2460" i="1"/>
  <c r="H2460" i="1"/>
  <c r="I2404" i="1"/>
  <c r="H2404" i="1"/>
  <c r="E2364" i="1"/>
  <c r="I2364" i="1"/>
  <c r="H2364" i="1"/>
  <c r="I2308" i="1"/>
  <c r="H2308" i="1"/>
  <c r="I2260" i="1"/>
  <c r="H2260" i="1"/>
  <c r="I2212" i="1"/>
  <c r="H2212" i="1"/>
  <c r="E2156" i="1"/>
  <c r="I2156" i="1"/>
  <c r="H2156" i="1"/>
  <c r="I2116" i="1"/>
  <c r="H2116" i="1"/>
  <c r="I2076" i="1"/>
  <c r="H2076" i="1"/>
  <c r="I2044" i="1"/>
  <c r="H2044" i="1"/>
  <c r="I2004" i="1"/>
  <c r="H2004" i="1"/>
  <c r="I1980" i="1"/>
  <c r="H1980" i="1"/>
  <c r="I1940" i="1"/>
  <c r="H1940" i="1"/>
  <c r="I1908" i="1"/>
  <c r="H1908" i="1"/>
  <c r="E1868" i="1"/>
  <c r="I1868" i="1"/>
  <c r="H1868" i="1"/>
  <c r="I1844" i="1"/>
  <c r="H1844" i="1"/>
  <c r="E1804" i="1"/>
  <c r="I1804" i="1"/>
  <c r="H1804" i="1"/>
  <c r="I1780" i="1"/>
  <c r="H1780" i="1"/>
  <c r="E1740" i="1"/>
  <c r="I1740" i="1"/>
  <c r="H1740" i="1"/>
  <c r="I1692" i="1"/>
  <c r="H1692" i="1"/>
  <c r="I1652" i="1"/>
  <c r="H1652" i="1"/>
  <c r="I1620" i="1"/>
  <c r="H1620" i="1"/>
  <c r="I1588" i="1"/>
  <c r="H1588" i="1"/>
  <c r="I1540" i="1"/>
  <c r="H1540" i="1"/>
  <c r="I1508" i="1"/>
  <c r="H1508" i="1"/>
  <c r="I1460" i="1"/>
  <c r="H1460" i="1"/>
  <c r="E1420" i="1"/>
  <c r="I1420" i="1"/>
  <c r="H1420" i="1"/>
  <c r="I1380" i="1"/>
  <c r="H1380" i="1"/>
  <c r="I1332" i="1"/>
  <c r="H1332" i="1"/>
  <c r="I1284" i="1"/>
  <c r="H1284" i="1"/>
  <c r="I1236" i="1"/>
  <c r="H1236" i="1"/>
  <c r="I1188" i="1"/>
  <c r="H1188" i="1"/>
  <c r="E1164" i="1"/>
  <c r="I1164" i="1"/>
  <c r="H1164" i="1"/>
  <c r="I1124" i="1"/>
  <c r="H1124" i="1"/>
  <c r="I1076" i="1"/>
  <c r="H1076" i="1"/>
  <c r="I1028" i="1"/>
  <c r="H1028" i="1"/>
  <c r="I980" i="1"/>
  <c r="H980" i="1"/>
  <c r="I932" i="1"/>
  <c r="H932" i="1"/>
  <c r="I884" i="1"/>
  <c r="H884" i="1"/>
  <c r="I836" i="1"/>
  <c r="H836" i="1"/>
  <c r="I804" i="1"/>
  <c r="H804" i="1"/>
  <c r="I756" i="1"/>
  <c r="H756" i="1"/>
  <c r="I708" i="1"/>
  <c r="H708" i="1"/>
  <c r="I660" i="1"/>
  <c r="H660" i="1"/>
  <c r="I612" i="1"/>
  <c r="H612" i="1"/>
  <c r="I580" i="1"/>
  <c r="H580" i="1"/>
  <c r="I540" i="1"/>
  <c r="H540" i="1"/>
  <c r="E492" i="1"/>
  <c r="I492" i="1"/>
  <c r="H492" i="1"/>
  <c r="I444" i="1"/>
  <c r="H444" i="1"/>
  <c r="E396" i="1"/>
  <c r="I396" i="1"/>
  <c r="H396" i="1"/>
  <c r="I356" i="1"/>
  <c r="H356" i="1"/>
  <c r="I308" i="1"/>
  <c r="H308" i="1"/>
  <c r="I91" i="1"/>
  <c r="H91" i="1"/>
  <c r="I59" i="1"/>
  <c r="H59" i="1"/>
  <c r="I27" i="1"/>
  <c r="H27" i="1"/>
  <c r="I105" i="1"/>
  <c r="H105" i="1"/>
  <c r="E278" i="1"/>
  <c r="I278" i="1"/>
  <c r="H278" i="1"/>
  <c r="I246" i="1"/>
  <c r="H246" i="1"/>
  <c r="E222" i="1"/>
  <c r="I222" i="1"/>
  <c r="H222" i="1"/>
  <c r="I190" i="1"/>
  <c r="H190" i="1"/>
  <c r="E158" i="1"/>
  <c r="I158" i="1"/>
  <c r="H158" i="1"/>
  <c r="E134" i="1"/>
  <c r="I134" i="1"/>
  <c r="H134" i="1"/>
  <c r="I97" i="1"/>
  <c r="H97" i="1"/>
  <c r="I89" i="1"/>
  <c r="H89" i="1"/>
  <c r="I81" i="1"/>
  <c r="H81" i="1"/>
  <c r="I73" i="1"/>
  <c r="H73" i="1"/>
  <c r="I65" i="1"/>
  <c r="H65" i="1"/>
  <c r="I57" i="1"/>
  <c r="H57" i="1"/>
  <c r="I49" i="1"/>
  <c r="H49" i="1"/>
  <c r="I41" i="1"/>
  <c r="H41" i="1"/>
  <c r="I33" i="1"/>
  <c r="H33" i="1"/>
  <c r="I25" i="1"/>
  <c r="H25" i="1"/>
  <c r="I17" i="1"/>
  <c r="H17" i="1"/>
  <c r="I9" i="1"/>
  <c r="H9" i="1"/>
  <c r="I103" i="1"/>
  <c r="H103" i="1"/>
  <c r="I300" i="1"/>
  <c r="H300" i="1"/>
  <c r="I292" i="1"/>
  <c r="H292" i="1"/>
  <c r="I284" i="1"/>
  <c r="H284" i="1"/>
  <c r="I276" i="1"/>
  <c r="H276" i="1"/>
  <c r="I268" i="1"/>
  <c r="H268" i="1"/>
  <c r="I260" i="1"/>
  <c r="H260" i="1"/>
  <c r="I252" i="1"/>
  <c r="H252" i="1"/>
  <c r="I244" i="1"/>
  <c r="H244" i="1"/>
  <c r="I236" i="1"/>
  <c r="H236" i="1"/>
  <c r="I228" i="1"/>
  <c r="H228" i="1"/>
  <c r="I220" i="1"/>
  <c r="H220" i="1"/>
  <c r="I212" i="1"/>
  <c r="H212" i="1"/>
  <c r="I204" i="1"/>
  <c r="H204" i="1"/>
  <c r="I196" i="1"/>
  <c r="H196" i="1"/>
  <c r="I188" i="1"/>
  <c r="H188" i="1"/>
  <c r="I180" i="1"/>
  <c r="H180" i="1"/>
  <c r="I172" i="1"/>
  <c r="H172" i="1"/>
  <c r="I164" i="1"/>
  <c r="H164" i="1"/>
  <c r="I156" i="1"/>
  <c r="H156" i="1"/>
  <c r="I148" i="1"/>
  <c r="H148" i="1"/>
  <c r="I140" i="1"/>
  <c r="H140" i="1"/>
  <c r="I132" i="1"/>
  <c r="H132" i="1"/>
  <c r="I124" i="1"/>
  <c r="H124" i="1"/>
  <c r="I116" i="1"/>
  <c r="H116" i="1"/>
  <c r="E7892" i="1"/>
  <c r="E7596" i="1"/>
  <c r="E6964" i="1"/>
  <c r="E6708" i="1"/>
  <c r="E6452" i="1"/>
  <c r="E6196" i="1"/>
  <c r="E5836" i="1"/>
  <c r="E5708" i="1"/>
  <c r="E5580" i="1"/>
  <c r="E5452" i="1"/>
  <c r="E5324" i="1"/>
  <c r="E5196" i="1"/>
  <c r="E4836" i="1"/>
  <c r="E4356" i="1"/>
  <c r="E4196" i="1"/>
  <c r="E4068" i="1"/>
  <c r="E3972" i="1"/>
  <c r="E3804" i="1"/>
  <c r="E3708" i="1"/>
  <c r="E3588" i="1"/>
  <c r="E3428" i="1"/>
  <c r="E3388" i="1"/>
  <c r="E3236" i="1"/>
  <c r="E3196" i="1"/>
  <c r="E3076" i="1"/>
  <c r="E2916" i="1"/>
  <c r="E2876" i="1"/>
  <c r="E2724" i="1"/>
  <c r="E2684" i="1"/>
  <c r="E2412" i="1"/>
  <c r="E2236" i="1"/>
  <c r="E2212" i="1"/>
  <c r="E2044" i="1"/>
  <c r="E1980" i="1"/>
  <c r="E1916" i="1"/>
  <c r="E1852" i="1"/>
  <c r="E1788" i="1"/>
  <c r="E1724" i="1"/>
  <c r="E1660" i="1"/>
  <c r="E1596" i="1"/>
  <c r="E1492" i="1"/>
  <c r="E1316" i="1"/>
  <c r="E1268" i="1"/>
  <c r="E1204" i="1"/>
  <c r="E1116" i="1"/>
  <c r="E980" i="1"/>
  <c r="E916" i="1"/>
  <c r="E804" i="1"/>
  <c r="E756" i="1"/>
  <c r="E692" i="1"/>
  <c r="E604" i="1"/>
  <c r="E404" i="1"/>
  <c r="E364" i="1"/>
  <c r="F9999" i="1"/>
  <c r="I9999" i="1"/>
  <c r="F9983" i="1"/>
  <c r="I9983" i="1"/>
  <c r="F9959" i="1"/>
  <c r="I9959" i="1"/>
  <c r="F9935" i="1"/>
  <c r="I9935" i="1"/>
  <c r="F9919" i="1"/>
  <c r="I9919" i="1"/>
  <c r="F9895" i="1"/>
  <c r="I9895" i="1"/>
  <c r="F9871" i="1"/>
  <c r="I9871" i="1"/>
  <c r="F9855" i="1"/>
  <c r="I9855" i="1"/>
  <c r="F9831" i="1"/>
  <c r="I9831" i="1"/>
  <c r="F9807" i="1"/>
  <c r="I9807" i="1"/>
  <c r="F9791" i="1"/>
  <c r="I9791" i="1"/>
  <c r="F9767" i="1"/>
  <c r="I9767" i="1"/>
  <c r="F9743" i="1"/>
  <c r="I9743" i="1"/>
  <c r="F9727" i="1"/>
  <c r="I9727" i="1"/>
  <c r="F9703" i="1"/>
  <c r="I9703" i="1"/>
  <c r="F9679" i="1"/>
  <c r="I9679" i="1"/>
  <c r="F9663" i="1"/>
  <c r="I9663" i="1"/>
  <c r="F9639" i="1"/>
  <c r="I9639" i="1"/>
  <c r="F9615" i="1"/>
  <c r="I9615" i="1"/>
  <c r="F9599" i="1"/>
  <c r="I9599" i="1"/>
  <c r="F9575" i="1"/>
  <c r="I9575" i="1"/>
  <c r="F9551" i="1"/>
  <c r="I9551" i="1"/>
  <c r="F9535" i="1"/>
  <c r="I9535" i="1"/>
  <c r="F9511" i="1"/>
  <c r="I9511" i="1"/>
  <c r="F9487" i="1"/>
  <c r="I9487" i="1"/>
  <c r="F9471" i="1"/>
  <c r="I9471" i="1"/>
  <c r="F9447" i="1"/>
  <c r="I9447" i="1"/>
  <c r="F9423" i="1"/>
  <c r="I9423" i="1"/>
  <c r="F9407" i="1"/>
  <c r="I9407" i="1"/>
  <c r="F9383" i="1"/>
  <c r="I9383" i="1"/>
  <c r="F9359" i="1"/>
  <c r="I9359" i="1"/>
  <c r="F9343" i="1"/>
  <c r="I9343" i="1"/>
  <c r="F9319" i="1"/>
  <c r="I9319" i="1"/>
  <c r="F9295" i="1"/>
  <c r="I9295" i="1"/>
  <c r="F9279" i="1"/>
  <c r="I9279" i="1"/>
  <c r="F9255" i="1"/>
  <c r="I9255" i="1"/>
  <c r="F9231" i="1"/>
  <c r="I9231" i="1"/>
  <c r="F9215" i="1"/>
  <c r="I9215" i="1"/>
  <c r="F9191" i="1"/>
  <c r="I9191" i="1"/>
  <c r="F9167" i="1"/>
  <c r="I9167" i="1"/>
  <c r="F9151" i="1"/>
  <c r="I9151" i="1"/>
  <c r="F9127" i="1"/>
  <c r="I9127" i="1"/>
  <c r="F9103" i="1"/>
  <c r="I9103" i="1"/>
  <c r="F9087" i="1"/>
  <c r="I9087" i="1"/>
  <c r="F9063" i="1"/>
  <c r="I9063" i="1"/>
  <c r="F9039" i="1"/>
  <c r="I9039" i="1"/>
  <c r="F9023" i="1"/>
  <c r="I9023" i="1"/>
  <c r="F8999" i="1"/>
  <c r="I8999" i="1"/>
  <c r="F8975" i="1"/>
  <c r="I8975" i="1"/>
  <c r="F8959" i="1"/>
  <c r="I8959" i="1"/>
  <c r="F8935" i="1"/>
  <c r="I8935" i="1"/>
  <c r="F8911" i="1"/>
  <c r="I8911" i="1"/>
  <c r="F8895" i="1"/>
  <c r="I8895" i="1"/>
  <c r="F8871" i="1"/>
  <c r="I8871" i="1"/>
  <c r="F8847" i="1"/>
  <c r="I8847" i="1"/>
  <c r="F8831" i="1"/>
  <c r="I8831" i="1"/>
  <c r="F8807" i="1"/>
  <c r="I8807" i="1"/>
  <c r="F8783" i="1"/>
  <c r="I8783" i="1"/>
  <c r="F8767" i="1"/>
  <c r="I8767" i="1"/>
  <c r="F8743" i="1"/>
  <c r="I8743" i="1"/>
  <c r="F8719" i="1"/>
  <c r="I8719" i="1"/>
  <c r="F8703" i="1"/>
  <c r="I8703" i="1"/>
  <c r="F8679" i="1"/>
  <c r="I8679" i="1"/>
  <c r="F8655" i="1"/>
  <c r="I8655" i="1"/>
  <c r="F8639" i="1"/>
  <c r="I8639" i="1"/>
  <c r="F8615" i="1"/>
  <c r="I8615" i="1"/>
  <c r="F8591" i="1"/>
  <c r="I8591" i="1"/>
  <c r="F8575" i="1"/>
  <c r="I8575" i="1"/>
  <c r="F8551" i="1"/>
  <c r="I8551" i="1"/>
  <c r="F8527" i="1"/>
  <c r="I8527" i="1"/>
  <c r="F8511" i="1"/>
  <c r="I8511" i="1"/>
  <c r="F8487" i="1"/>
  <c r="I8487" i="1"/>
  <c r="F8463" i="1"/>
  <c r="I8463" i="1"/>
  <c r="F8447" i="1"/>
  <c r="I8447" i="1"/>
  <c r="F8423" i="1"/>
  <c r="I8423" i="1"/>
  <c r="F8399" i="1"/>
  <c r="I8399" i="1"/>
  <c r="F8383" i="1"/>
  <c r="I8383" i="1"/>
  <c r="F8359" i="1"/>
  <c r="I8359" i="1"/>
  <c r="F8335" i="1"/>
  <c r="I8335" i="1"/>
  <c r="F8319" i="1"/>
  <c r="I8319" i="1"/>
  <c r="F8295" i="1"/>
  <c r="I8295" i="1"/>
  <c r="F8271" i="1"/>
  <c r="I8271" i="1"/>
  <c r="F8255" i="1"/>
  <c r="I8255" i="1"/>
  <c r="F8231" i="1"/>
  <c r="I8231" i="1"/>
  <c r="F8191" i="1"/>
  <c r="I8191" i="1"/>
  <c r="F8127" i="1"/>
  <c r="I8127" i="1"/>
  <c r="F8063" i="1"/>
  <c r="I8063" i="1"/>
  <c r="I7847" i="1"/>
  <c r="H7847" i="1"/>
  <c r="I7839" i="1"/>
  <c r="H7839" i="1"/>
  <c r="I7831" i="1"/>
  <c r="H7831" i="1"/>
  <c r="I7823" i="1"/>
  <c r="H7823" i="1"/>
  <c r="I7815" i="1"/>
  <c r="H7815" i="1"/>
  <c r="I7807" i="1"/>
  <c r="H7807" i="1"/>
  <c r="I7799" i="1"/>
  <c r="H7799" i="1"/>
  <c r="I7791" i="1"/>
  <c r="H7791" i="1"/>
  <c r="I7783" i="1"/>
  <c r="H7783" i="1"/>
  <c r="I7775" i="1"/>
  <c r="H7775" i="1"/>
  <c r="I7767" i="1"/>
  <c r="H7767" i="1"/>
  <c r="I7759" i="1"/>
  <c r="H7759" i="1"/>
  <c r="I7751" i="1"/>
  <c r="H7751" i="1"/>
  <c r="I7743" i="1"/>
  <c r="H7743" i="1"/>
  <c r="I7735" i="1"/>
  <c r="H7735" i="1"/>
  <c r="I7727" i="1"/>
  <c r="H7727" i="1"/>
  <c r="I7719" i="1"/>
  <c r="H7719" i="1"/>
  <c r="I7711" i="1"/>
  <c r="H7711" i="1"/>
  <c r="I7703" i="1"/>
  <c r="H7703" i="1"/>
  <c r="I7695" i="1"/>
  <c r="H7695" i="1"/>
  <c r="I7687" i="1"/>
  <c r="H7687" i="1"/>
  <c r="I7679" i="1"/>
  <c r="H7679" i="1"/>
  <c r="I7671" i="1"/>
  <c r="H7671" i="1"/>
  <c r="I7663" i="1"/>
  <c r="H7663" i="1"/>
  <c r="I7655" i="1"/>
  <c r="H7655" i="1"/>
  <c r="I7647" i="1"/>
  <c r="H7647" i="1"/>
  <c r="I7639" i="1"/>
  <c r="H7639" i="1"/>
  <c r="I7631" i="1"/>
  <c r="H7631" i="1"/>
  <c r="I7623" i="1"/>
  <c r="H7623" i="1"/>
  <c r="I7615" i="1"/>
  <c r="H7615" i="1"/>
  <c r="I7607" i="1"/>
  <c r="H7607" i="1"/>
  <c r="I7599" i="1"/>
  <c r="H7599" i="1"/>
  <c r="I7591" i="1"/>
  <c r="H7591" i="1"/>
  <c r="I7583" i="1"/>
  <c r="H7583" i="1"/>
  <c r="I7575" i="1"/>
  <c r="H7575" i="1"/>
  <c r="I7567" i="1"/>
  <c r="H7567" i="1"/>
  <c r="I7559" i="1"/>
  <c r="H7559" i="1"/>
  <c r="I7551" i="1"/>
  <c r="H7551" i="1"/>
  <c r="I7543" i="1"/>
  <c r="H7543" i="1"/>
  <c r="I7535" i="1"/>
  <c r="H7535" i="1"/>
  <c r="I7527" i="1"/>
  <c r="H7527" i="1"/>
  <c r="I7519" i="1"/>
  <c r="H7519" i="1"/>
  <c r="I7511" i="1"/>
  <c r="H7511" i="1"/>
  <c r="I7503" i="1"/>
  <c r="H7503" i="1"/>
  <c r="I7495" i="1"/>
  <c r="H7495" i="1"/>
  <c r="I7487" i="1"/>
  <c r="H7487" i="1"/>
  <c r="I7479" i="1"/>
  <c r="H7479" i="1"/>
  <c r="I7471" i="1"/>
  <c r="H7471" i="1"/>
  <c r="I7463" i="1"/>
  <c r="H7463" i="1"/>
  <c r="I7455" i="1"/>
  <c r="H7455" i="1"/>
  <c r="I7447" i="1"/>
  <c r="H7447" i="1"/>
  <c r="I7439" i="1"/>
  <c r="H7439" i="1"/>
  <c r="I7431" i="1"/>
  <c r="H7431" i="1"/>
  <c r="I7423" i="1"/>
  <c r="H7423" i="1"/>
  <c r="I7415" i="1"/>
  <c r="H7415" i="1"/>
  <c r="I7407" i="1"/>
  <c r="H7407" i="1"/>
  <c r="I7399" i="1"/>
  <c r="H7399" i="1"/>
  <c r="I7391" i="1"/>
  <c r="H7391" i="1"/>
  <c r="I7383" i="1"/>
  <c r="H7383" i="1"/>
  <c r="I7375" i="1"/>
  <c r="H7375" i="1"/>
  <c r="I7367" i="1"/>
  <c r="H7367" i="1"/>
  <c r="I7359" i="1"/>
  <c r="H7359" i="1"/>
  <c r="I7351" i="1"/>
  <c r="H7351" i="1"/>
  <c r="I7343" i="1"/>
  <c r="H7343" i="1"/>
  <c r="I7335" i="1"/>
  <c r="H7335" i="1"/>
  <c r="I7327" i="1"/>
  <c r="H7327" i="1"/>
  <c r="I7319" i="1"/>
  <c r="H7319" i="1"/>
  <c r="I7311" i="1"/>
  <c r="H7311" i="1"/>
  <c r="I7303" i="1"/>
  <c r="H7303" i="1"/>
  <c r="I7295" i="1"/>
  <c r="H7295" i="1"/>
  <c r="I7287" i="1"/>
  <c r="H7287" i="1"/>
  <c r="I7279" i="1"/>
  <c r="H7279" i="1"/>
  <c r="I7271" i="1"/>
  <c r="H7271" i="1"/>
  <c r="I7263" i="1"/>
  <c r="H7263" i="1"/>
  <c r="I7255" i="1"/>
  <c r="H7255" i="1"/>
  <c r="I7247" i="1"/>
  <c r="H7247" i="1"/>
  <c r="I7239" i="1"/>
  <c r="H7239" i="1"/>
  <c r="I7231" i="1"/>
  <c r="H7231" i="1"/>
  <c r="I7223" i="1"/>
  <c r="H7223" i="1"/>
  <c r="I7215" i="1"/>
  <c r="H7215" i="1"/>
  <c r="I7207" i="1"/>
  <c r="H7207" i="1"/>
  <c r="I7199" i="1"/>
  <c r="H7199" i="1"/>
  <c r="I7191" i="1"/>
  <c r="H7191" i="1"/>
  <c r="I7183" i="1"/>
  <c r="H7183" i="1"/>
  <c r="I7175" i="1"/>
  <c r="H7175" i="1"/>
  <c r="I7167" i="1"/>
  <c r="H7167" i="1"/>
  <c r="I7159" i="1"/>
  <c r="H7159" i="1"/>
  <c r="I7151" i="1"/>
  <c r="H7151" i="1"/>
  <c r="I7143" i="1"/>
  <c r="H7143" i="1"/>
  <c r="I7135" i="1"/>
  <c r="H7135" i="1"/>
  <c r="I7127" i="1"/>
  <c r="H7127" i="1"/>
  <c r="I7119" i="1"/>
  <c r="H7119" i="1"/>
  <c r="I7111" i="1"/>
  <c r="H7111" i="1"/>
  <c r="I7103" i="1"/>
  <c r="H7103" i="1"/>
  <c r="I7095" i="1"/>
  <c r="H7095" i="1"/>
  <c r="I7087" i="1"/>
  <c r="H7087" i="1"/>
  <c r="I7079" i="1"/>
  <c r="H7079" i="1"/>
  <c r="I7071" i="1"/>
  <c r="H7071" i="1"/>
  <c r="I7063" i="1"/>
  <c r="H7063" i="1"/>
  <c r="I7055" i="1"/>
  <c r="H7055" i="1"/>
  <c r="I7047" i="1"/>
  <c r="H7047" i="1"/>
  <c r="I7039" i="1"/>
  <c r="H7039" i="1"/>
  <c r="I7031" i="1"/>
  <c r="H7031" i="1"/>
  <c r="I7023" i="1"/>
  <c r="H7023" i="1"/>
  <c r="I7015" i="1"/>
  <c r="H7015" i="1"/>
  <c r="I7007" i="1"/>
  <c r="H7007" i="1"/>
  <c r="I6999" i="1"/>
  <c r="H6999" i="1"/>
  <c r="I6991" i="1"/>
  <c r="H6991" i="1"/>
  <c r="I6983" i="1"/>
  <c r="H6983" i="1"/>
  <c r="I6975" i="1"/>
  <c r="H6975" i="1"/>
  <c r="I6967" i="1"/>
  <c r="H6967" i="1"/>
  <c r="I6959" i="1"/>
  <c r="H6959" i="1"/>
  <c r="I6951" i="1"/>
  <c r="H6951" i="1"/>
  <c r="I6943" i="1"/>
  <c r="H6943" i="1"/>
  <c r="I6935" i="1"/>
  <c r="H6935" i="1"/>
  <c r="I6927" i="1"/>
  <c r="H6927" i="1"/>
  <c r="I6919" i="1"/>
  <c r="H6919" i="1"/>
  <c r="I6911" i="1"/>
  <c r="H6911" i="1"/>
  <c r="I6903" i="1"/>
  <c r="H6903" i="1"/>
  <c r="I6895" i="1"/>
  <c r="H6895" i="1"/>
  <c r="I6887" i="1"/>
  <c r="H6887" i="1"/>
  <c r="I6879" i="1"/>
  <c r="H6879" i="1"/>
  <c r="I6871" i="1"/>
  <c r="H6871" i="1"/>
  <c r="I6863" i="1"/>
  <c r="H6863" i="1"/>
  <c r="I6855" i="1"/>
  <c r="H6855" i="1"/>
  <c r="I6847" i="1"/>
  <c r="H6847" i="1"/>
  <c r="I6839" i="1"/>
  <c r="H6839" i="1"/>
  <c r="I6831" i="1"/>
  <c r="H6831" i="1"/>
  <c r="I6823" i="1"/>
  <c r="H6823" i="1"/>
  <c r="I6815" i="1"/>
  <c r="H6815" i="1"/>
  <c r="I6807" i="1"/>
  <c r="H6807" i="1"/>
  <c r="I6799" i="1"/>
  <c r="H6799" i="1"/>
  <c r="I6791" i="1"/>
  <c r="H6791" i="1"/>
  <c r="I6783" i="1"/>
  <c r="H6783" i="1"/>
  <c r="I6775" i="1"/>
  <c r="H6775" i="1"/>
  <c r="I6767" i="1"/>
  <c r="H6767" i="1"/>
  <c r="I6759" i="1"/>
  <c r="H6759" i="1"/>
  <c r="I6751" i="1"/>
  <c r="H6751" i="1"/>
  <c r="I6743" i="1"/>
  <c r="H6743" i="1"/>
  <c r="I6735" i="1"/>
  <c r="H6735" i="1"/>
  <c r="I6727" i="1"/>
  <c r="H6727" i="1"/>
  <c r="I6719" i="1"/>
  <c r="H6719" i="1"/>
  <c r="I6711" i="1"/>
  <c r="H6711" i="1"/>
  <c r="I6703" i="1"/>
  <c r="H6703" i="1"/>
  <c r="I6695" i="1"/>
  <c r="H6695" i="1"/>
  <c r="I6687" i="1"/>
  <c r="H6687" i="1"/>
  <c r="I6679" i="1"/>
  <c r="H6679" i="1"/>
  <c r="I6671" i="1"/>
  <c r="H6671" i="1"/>
  <c r="I6663" i="1"/>
  <c r="H6663" i="1"/>
  <c r="I6655" i="1"/>
  <c r="H6655" i="1"/>
  <c r="I6647" i="1"/>
  <c r="H6647" i="1"/>
  <c r="I6639" i="1"/>
  <c r="H6639" i="1"/>
  <c r="I6631" i="1"/>
  <c r="H6631" i="1"/>
  <c r="I6623" i="1"/>
  <c r="H6623" i="1"/>
  <c r="I6615" i="1"/>
  <c r="H6615" i="1"/>
  <c r="I6607" i="1"/>
  <c r="H6607" i="1"/>
  <c r="I6599" i="1"/>
  <c r="H6599" i="1"/>
  <c r="I6591" i="1"/>
  <c r="H6591" i="1"/>
  <c r="I6583" i="1"/>
  <c r="H6583" i="1"/>
  <c r="I6575" i="1"/>
  <c r="H6575" i="1"/>
  <c r="I6567" i="1"/>
  <c r="H6567" i="1"/>
  <c r="I6559" i="1"/>
  <c r="H6559" i="1"/>
  <c r="I6551" i="1"/>
  <c r="H6551" i="1"/>
  <c r="I6543" i="1"/>
  <c r="H6543" i="1"/>
  <c r="I6535" i="1"/>
  <c r="H6535" i="1"/>
  <c r="I6527" i="1"/>
  <c r="H6527" i="1"/>
  <c r="I6519" i="1"/>
  <c r="H6519" i="1"/>
  <c r="I6511" i="1"/>
  <c r="H6511" i="1"/>
  <c r="I6503" i="1"/>
  <c r="H6503" i="1"/>
  <c r="I6495" i="1"/>
  <c r="H6495" i="1"/>
  <c r="I6487" i="1"/>
  <c r="H6487" i="1"/>
  <c r="I6479" i="1"/>
  <c r="H6479" i="1"/>
  <c r="F6471" i="1"/>
  <c r="I6471" i="1"/>
  <c r="H6471" i="1"/>
  <c r="F6463" i="1"/>
  <c r="I6463" i="1"/>
  <c r="H6463" i="1"/>
  <c r="F6455" i="1"/>
  <c r="I6455" i="1"/>
  <c r="H6455" i="1"/>
  <c r="F6447" i="1"/>
  <c r="I6447" i="1"/>
  <c r="H6447" i="1"/>
  <c r="F6439" i="1"/>
  <c r="I6439" i="1"/>
  <c r="H6439" i="1"/>
  <c r="F6431" i="1"/>
  <c r="I6431" i="1"/>
  <c r="H6431" i="1"/>
  <c r="F6423" i="1"/>
  <c r="I6423" i="1"/>
  <c r="H6423" i="1"/>
  <c r="F6415" i="1"/>
  <c r="I6415" i="1"/>
  <c r="H6415" i="1"/>
  <c r="F6407" i="1"/>
  <c r="I6407" i="1"/>
  <c r="H6407" i="1"/>
  <c r="F6399" i="1"/>
  <c r="I6399" i="1"/>
  <c r="H6399" i="1"/>
  <c r="F6391" i="1"/>
  <c r="I6391" i="1"/>
  <c r="H6391" i="1"/>
  <c r="F6383" i="1"/>
  <c r="I6383" i="1"/>
  <c r="H6383" i="1"/>
  <c r="F6375" i="1"/>
  <c r="I6375" i="1"/>
  <c r="H6375" i="1"/>
  <c r="F6367" i="1"/>
  <c r="I6367" i="1"/>
  <c r="H6367" i="1"/>
  <c r="F6359" i="1"/>
  <c r="I6359" i="1"/>
  <c r="H6359" i="1"/>
  <c r="F6351" i="1"/>
  <c r="I6351" i="1"/>
  <c r="H6351" i="1"/>
  <c r="F6343" i="1"/>
  <c r="I6343" i="1"/>
  <c r="H6343" i="1"/>
  <c r="F6335" i="1"/>
  <c r="I6335" i="1"/>
  <c r="H6335" i="1"/>
  <c r="F6327" i="1"/>
  <c r="I6327" i="1"/>
  <c r="H6327" i="1"/>
  <c r="F6319" i="1"/>
  <c r="I6319" i="1"/>
  <c r="H6319" i="1"/>
  <c r="F6311" i="1"/>
  <c r="I6311" i="1"/>
  <c r="H6311" i="1"/>
  <c r="F6303" i="1"/>
  <c r="I6303" i="1"/>
  <c r="H6303" i="1"/>
  <c r="F6295" i="1"/>
  <c r="I6295" i="1"/>
  <c r="H6295" i="1"/>
  <c r="F6287" i="1"/>
  <c r="I6287" i="1"/>
  <c r="H6287" i="1"/>
  <c r="F6279" i="1"/>
  <c r="I6279" i="1"/>
  <c r="H6279" i="1"/>
  <c r="F6271" i="1"/>
  <c r="I6271" i="1"/>
  <c r="H6271" i="1"/>
  <c r="F6263" i="1"/>
  <c r="I6263" i="1"/>
  <c r="H6263" i="1"/>
  <c r="F6255" i="1"/>
  <c r="I6255" i="1"/>
  <c r="H6255" i="1"/>
  <c r="F6247" i="1"/>
  <c r="I6247" i="1"/>
  <c r="H6247" i="1"/>
  <c r="F6239" i="1"/>
  <c r="I6239" i="1"/>
  <c r="H6239" i="1"/>
  <c r="F6231" i="1"/>
  <c r="I6231" i="1"/>
  <c r="H6231" i="1"/>
  <c r="F6223" i="1"/>
  <c r="I6223" i="1"/>
  <c r="H6223" i="1"/>
  <c r="F6215" i="1"/>
  <c r="I6215" i="1"/>
  <c r="H6215" i="1"/>
  <c r="F6207" i="1"/>
  <c r="I6207" i="1"/>
  <c r="H6207" i="1"/>
  <c r="F6199" i="1"/>
  <c r="I6199" i="1"/>
  <c r="H6199" i="1"/>
  <c r="F6191" i="1"/>
  <c r="I6191" i="1"/>
  <c r="H6191" i="1"/>
  <c r="F6183" i="1"/>
  <c r="I6183" i="1"/>
  <c r="H6183" i="1"/>
  <c r="F6175" i="1"/>
  <c r="I6175" i="1"/>
  <c r="H6175" i="1"/>
  <c r="F6167" i="1"/>
  <c r="I6167" i="1"/>
  <c r="H6167" i="1"/>
  <c r="F6159" i="1"/>
  <c r="I6159" i="1"/>
  <c r="H6159" i="1"/>
  <c r="F6151" i="1"/>
  <c r="I6151" i="1"/>
  <c r="H6151" i="1"/>
  <c r="F6143" i="1"/>
  <c r="I6143" i="1"/>
  <c r="H6143" i="1"/>
  <c r="F6135" i="1"/>
  <c r="I6135" i="1"/>
  <c r="H6135" i="1"/>
  <c r="F6127" i="1"/>
  <c r="I6127" i="1"/>
  <c r="H6127" i="1"/>
  <c r="F6119" i="1"/>
  <c r="I6119" i="1"/>
  <c r="H6119" i="1"/>
  <c r="F6111" i="1"/>
  <c r="I6111" i="1"/>
  <c r="H6111" i="1"/>
  <c r="F6103" i="1"/>
  <c r="I6103" i="1"/>
  <c r="H6103" i="1"/>
  <c r="F6095" i="1"/>
  <c r="I6095" i="1"/>
  <c r="H6095" i="1"/>
  <c r="F6087" i="1"/>
  <c r="I6087" i="1"/>
  <c r="H6087" i="1"/>
  <c r="F6079" i="1"/>
  <c r="I6079" i="1"/>
  <c r="H6079" i="1"/>
  <c r="F6071" i="1"/>
  <c r="I6071" i="1"/>
  <c r="H6071" i="1"/>
  <c r="F6063" i="1"/>
  <c r="I6063" i="1"/>
  <c r="H6063" i="1"/>
  <c r="F6055" i="1"/>
  <c r="I6055" i="1"/>
  <c r="H6055" i="1"/>
  <c r="F6047" i="1"/>
  <c r="I6047" i="1"/>
  <c r="H6047" i="1"/>
  <c r="F6039" i="1"/>
  <c r="I6039" i="1"/>
  <c r="H6039" i="1"/>
  <c r="F6031" i="1"/>
  <c r="I6031" i="1"/>
  <c r="H6031" i="1"/>
  <c r="F6023" i="1"/>
  <c r="I6023" i="1"/>
  <c r="H6023" i="1"/>
  <c r="F6015" i="1"/>
  <c r="I6015" i="1"/>
  <c r="H6015" i="1"/>
  <c r="F6007" i="1"/>
  <c r="I6007" i="1"/>
  <c r="H6007" i="1"/>
  <c r="F5999" i="1"/>
  <c r="I5999" i="1"/>
  <c r="H5999" i="1"/>
  <c r="F5991" i="1"/>
  <c r="I5991" i="1"/>
  <c r="H5991" i="1"/>
  <c r="F5983" i="1"/>
  <c r="I5983" i="1"/>
  <c r="H5983" i="1"/>
  <c r="F5975" i="1"/>
  <c r="I5975" i="1"/>
  <c r="H5975" i="1"/>
  <c r="F5967" i="1"/>
  <c r="I5967" i="1"/>
  <c r="H5967" i="1"/>
  <c r="F5959" i="1"/>
  <c r="I5959" i="1"/>
  <c r="H5959" i="1"/>
  <c r="F5951" i="1"/>
  <c r="I5951" i="1"/>
  <c r="H5951" i="1"/>
  <c r="F5943" i="1"/>
  <c r="I5943" i="1"/>
  <c r="H5943" i="1"/>
  <c r="F5935" i="1"/>
  <c r="I5935" i="1"/>
  <c r="H5935" i="1"/>
  <c r="F5927" i="1"/>
  <c r="I5927" i="1"/>
  <c r="H5927" i="1"/>
  <c r="F5919" i="1"/>
  <c r="I5919" i="1"/>
  <c r="H5919" i="1"/>
  <c r="F5911" i="1"/>
  <c r="I5911" i="1"/>
  <c r="H5911" i="1"/>
  <c r="F5903" i="1"/>
  <c r="I5903" i="1"/>
  <c r="H5903" i="1"/>
  <c r="F5895" i="1"/>
  <c r="I5895" i="1"/>
  <c r="H5895" i="1"/>
  <c r="F5887" i="1"/>
  <c r="I5887" i="1"/>
  <c r="H5887" i="1"/>
  <c r="F5879" i="1"/>
  <c r="I5879" i="1"/>
  <c r="H5879" i="1"/>
  <c r="F5871" i="1"/>
  <c r="I5871" i="1"/>
  <c r="H5871" i="1"/>
  <c r="F5863" i="1"/>
  <c r="I5863" i="1"/>
  <c r="H5863" i="1"/>
  <c r="F5855" i="1"/>
  <c r="I5855" i="1"/>
  <c r="H5855" i="1"/>
  <c r="F5847" i="1"/>
  <c r="I5847" i="1"/>
  <c r="H5847" i="1"/>
  <c r="F5839" i="1"/>
  <c r="I5839" i="1"/>
  <c r="H5839" i="1"/>
  <c r="F5831" i="1"/>
  <c r="I5831" i="1"/>
  <c r="H5831" i="1"/>
  <c r="F5823" i="1"/>
  <c r="I5823" i="1"/>
  <c r="H5823" i="1"/>
  <c r="F5815" i="1"/>
  <c r="I5815" i="1"/>
  <c r="H5815" i="1"/>
  <c r="F5807" i="1"/>
  <c r="I5807" i="1"/>
  <c r="H5807" i="1"/>
  <c r="F5799" i="1"/>
  <c r="I5799" i="1"/>
  <c r="H5799" i="1"/>
  <c r="F5791" i="1"/>
  <c r="I5791" i="1"/>
  <c r="H5791" i="1"/>
  <c r="F5783" i="1"/>
  <c r="I5783" i="1"/>
  <c r="H5783" i="1"/>
  <c r="F5775" i="1"/>
  <c r="I5775" i="1"/>
  <c r="H5775" i="1"/>
  <c r="F5767" i="1"/>
  <c r="I5767" i="1"/>
  <c r="H5767" i="1"/>
  <c r="F5759" i="1"/>
  <c r="I5759" i="1"/>
  <c r="H5759" i="1"/>
  <c r="F5751" i="1"/>
  <c r="I5751" i="1"/>
  <c r="H5751" i="1"/>
  <c r="F5743" i="1"/>
  <c r="I5743" i="1"/>
  <c r="H5743" i="1"/>
  <c r="F5735" i="1"/>
  <c r="I5735" i="1"/>
  <c r="H5735" i="1"/>
  <c r="F5727" i="1"/>
  <c r="I5727" i="1"/>
  <c r="H5727" i="1"/>
  <c r="F5719" i="1"/>
  <c r="I5719" i="1"/>
  <c r="H5719" i="1"/>
  <c r="F5711" i="1"/>
  <c r="I5711" i="1"/>
  <c r="H5711" i="1"/>
  <c r="F5703" i="1"/>
  <c r="I5703" i="1"/>
  <c r="H5703" i="1"/>
  <c r="F5695" i="1"/>
  <c r="I5695" i="1"/>
  <c r="H5695" i="1"/>
  <c r="F5687" i="1"/>
  <c r="I5687" i="1"/>
  <c r="H5687" i="1"/>
  <c r="F5679" i="1"/>
  <c r="I5679" i="1"/>
  <c r="H5679" i="1"/>
  <c r="F5671" i="1"/>
  <c r="I5671" i="1"/>
  <c r="H5671" i="1"/>
  <c r="F5663" i="1"/>
  <c r="I5663" i="1"/>
  <c r="H5663" i="1"/>
  <c r="F5655" i="1"/>
  <c r="I5655" i="1"/>
  <c r="H5655" i="1"/>
  <c r="F5647" i="1"/>
  <c r="I5647" i="1"/>
  <c r="H5647" i="1"/>
  <c r="F5639" i="1"/>
  <c r="I5639" i="1"/>
  <c r="H5639" i="1"/>
  <c r="F5631" i="1"/>
  <c r="I5631" i="1"/>
  <c r="H5631" i="1"/>
  <c r="I5623" i="1"/>
  <c r="H5623" i="1"/>
  <c r="I5615" i="1"/>
  <c r="H5615" i="1"/>
  <c r="I5607" i="1"/>
  <c r="H5607" i="1"/>
  <c r="I5599" i="1"/>
  <c r="H5599" i="1"/>
  <c r="I5591" i="1"/>
  <c r="H5591" i="1"/>
  <c r="I5583" i="1"/>
  <c r="H5583" i="1"/>
  <c r="I5575" i="1"/>
  <c r="H5575" i="1"/>
  <c r="I5567" i="1"/>
  <c r="H5567" i="1"/>
  <c r="I5559" i="1"/>
  <c r="H5559" i="1"/>
  <c r="I5551" i="1"/>
  <c r="H5551" i="1"/>
  <c r="I5543" i="1"/>
  <c r="H5543" i="1"/>
  <c r="I5535" i="1"/>
  <c r="H5535" i="1"/>
  <c r="I5527" i="1"/>
  <c r="H5527" i="1"/>
  <c r="I5519" i="1"/>
  <c r="H5519" i="1"/>
  <c r="I5511" i="1"/>
  <c r="H5511" i="1"/>
  <c r="I5503" i="1"/>
  <c r="H5503" i="1"/>
  <c r="I5495" i="1"/>
  <c r="H5495" i="1"/>
  <c r="I5487" i="1"/>
  <c r="H5487" i="1"/>
  <c r="I5479" i="1"/>
  <c r="H5479" i="1"/>
  <c r="I5471" i="1"/>
  <c r="H5471" i="1"/>
  <c r="I5463" i="1"/>
  <c r="H5463" i="1"/>
  <c r="I5455" i="1"/>
  <c r="H5455" i="1"/>
  <c r="I5447" i="1"/>
  <c r="H5447" i="1"/>
  <c r="I5439" i="1"/>
  <c r="H5439" i="1"/>
  <c r="I5431" i="1"/>
  <c r="H5431" i="1"/>
  <c r="I5423" i="1"/>
  <c r="H5423" i="1"/>
  <c r="I5415" i="1"/>
  <c r="H5415" i="1"/>
  <c r="I5407" i="1"/>
  <c r="H5407" i="1"/>
  <c r="I5399" i="1"/>
  <c r="H5399" i="1"/>
  <c r="I5391" i="1"/>
  <c r="H5391" i="1"/>
  <c r="I5383" i="1"/>
  <c r="H5383" i="1"/>
  <c r="I5375" i="1"/>
  <c r="H5375" i="1"/>
  <c r="I5367" i="1"/>
  <c r="H5367" i="1"/>
  <c r="I5359" i="1"/>
  <c r="H5359" i="1"/>
  <c r="I5351" i="1"/>
  <c r="H5351" i="1"/>
  <c r="I5343" i="1"/>
  <c r="H5343" i="1"/>
  <c r="I5335" i="1"/>
  <c r="H5335" i="1"/>
  <c r="I5327" i="1"/>
  <c r="H5327" i="1"/>
  <c r="I5319" i="1"/>
  <c r="H5319" i="1"/>
  <c r="I5311" i="1"/>
  <c r="H5311" i="1"/>
  <c r="I5303" i="1"/>
  <c r="H5303" i="1"/>
  <c r="I5295" i="1"/>
  <c r="H5295" i="1"/>
  <c r="I5287" i="1"/>
  <c r="H5287" i="1"/>
  <c r="I5279" i="1"/>
  <c r="H5279" i="1"/>
  <c r="I5271" i="1"/>
  <c r="H5271" i="1"/>
  <c r="I5263" i="1"/>
  <c r="H5263" i="1"/>
  <c r="I5255" i="1"/>
  <c r="H5255" i="1"/>
  <c r="I5247" i="1"/>
  <c r="H5247" i="1"/>
  <c r="I5239" i="1"/>
  <c r="H5239" i="1"/>
  <c r="I5231" i="1"/>
  <c r="H5231" i="1"/>
  <c r="I5223" i="1"/>
  <c r="H5223" i="1"/>
  <c r="I5215" i="1"/>
  <c r="H5215" i="1"/>
  <c r="I5207" i="1"/>
  <c r="H5207" i="1"/>
  <c r="I5199" i="1"/>
  <c r="H5199" i="1"/>
  <c r="I5191" i="1"/>
  <c r="H5191" i="1"/>
  <c r="I5183" i="1"/>
  <c r="H5183" i="1"/>
  <c r="I5175" i="1"/>
  <c r="H5175" i="1"/>
  <c r="I5167" i="1"/>
  <c r="H5167" i="1"/>
  <c r="I5159" i="1"/>
  <c r="H5159" i="1"/>
  <c r="I5151" i="1"/>
  <c r="H5151" i="1"/>
  <c r="I5143" i="1"/>
  <c r="H5143" i="1"/>
  <c r="I5135" i="1"/>
  <c r="H5135" i="1"/>
  <c r="I5127" i="1"/>
  <c r="H5127" i="1"/>
  <c r="I5119" i="1"/>
  <c r="H5119" i="1"/>
  <c r="I5111" i="1"/>
  <c r="H5111" i="1"/>
  <c r="I5103" i="1"/>
  <c r="H5103" i="1"/>
  <c r="I5095" i="1"/>
  <c r="H5095" i="1"/>
  <c r="I5087" i="1"/>
  <c r="H5087" i="1"/>
  <c r="I5079" i="1"/>
  <c r="H5079" i="1"/>
  <c r="I5071" i="1"/>
  <c r="H5071" i="1"/>
  <c r="I5063" i="1"/>
  <c r="H5063" i="1"/>
  <c r="I5055" i="1"/>
  <c r="H5055" i="1"/>
  <c r="I5047" i="1"/>
  <c r="H5047" i="1"/>
  <c r="I5039" i="1"/>
  <c r="H5039" i="1"/>
  <c r="I5031" i="1"/>
  <c r="H5031" i="1"/>
  <c r="I5023" i="1"/>
  <c r="H5023" i="1"/>
  <c r="I5015" i="1"/>
  <c r="H5015" i="1"/>
  <c r="I5007" i="1"/>
  <c r="H5007" i="1"/>
  <c r="I4999" i="1"/>
  <c r="H4999" i="1"/>
  <c r="I4991" i="1"/>
  <c r="H4991" i="1"/>
  <c r="I4983" i="1"/>
  <c r="H4983" i="1"/>
  <c r="I4975" i="1"/>
  <c r="H4975" i="1"/>
  <c r="I4967" i="1"/>
  <c r="H4967" i="1"/>
  <c r="I4959" i="1"/>
  <c r="H4959" i="1"/>
  <c r="I4951" i="1"/>
  <c r="H4951" i="1"/>
  <c r="I4943" i="1"/>
  <c r="H4943" i="1"/>
  <c r="I4935" i="1"/>
  <c r="H4935" i="1"/>
  <c r="I4927" i="1"/>
  <c r="H4927" i="1"/>
  <c r="I4919" i="1"/>
  <c r="H4919" i="1"/>
  <c r="I4911" i="1"/>
  <c r="H4911" i="1"/>
  <c r="I4903" i="1"/>
  <c r="H4903" i="1"/>
  <c r="I4895" i="1"/>
  <c r="H4895" i="1"/>
  <c r="I4887" i="1"/>
  <c r="H4887" i="1"/>
  <c r="I4879" i="1"/>
  <c r="H4879" i="1"/>
  <c r="I4871" i="1"/>
  <c r="H4871" i="1"/>
  <c r="I4863" i="1"/>
  <c r="H4863" i="1"/>
  <c r="I4855" i="1"/>
  <c r="H4855" i="1"/>
  <c r="I4847" i="1"/>
  <c r="H4847" i="1"/>
  <c r="I4839" i="1"/>
  <c r="H4839" i="1"/>
  <c r="I4831" i="1"/>
  <c r="H4831" i="1"/>
  <c r="I4823" i="1"/>
  <c r="H4823" i="1"/>
  <c r="I4815" i="1"/>
  <c r="H4815" i="1"/>
  <c r="I4807" i="1"/>
  <c r="H4807" i="1"/>
  <c r="I4799" i="1"/>
  <c r="H4799" i="1"/>
  <c r="I4791" i="1"/>
  <c r="H4791" i="1"/>
  <c r="I4783" i="1"/>
  <c r="H4783" i="1"/>
  <c r="I4775" i="1"/>
  <c r="H4775" i="1"/>
  <c r="I4767" i="1"/>
  <c r="H4767" i="1"/>
  <c r="I4759" i="1"/>
  <c r="H4759" i="1"/>
  <c r="I4751" i="1"/>
  <c r="H4751" i="1"/>
  <c r="I4743" i="1"/>
  <c r="H4743" i="1"/>
  <c r="I4735" i="1"/>
  <c r="H4735" i="1"/>
  <c r="I4727" i="1"/>
  <c r="H4727" i="1"/>
  <c r="I4719" i="1"/>
  <c r="H4719" i="1"/>
  <c r="I4711" i="1"/>
  <c r="H4711" i="1"/>
  <c r="I4703" i="1"/>
  <c r="H4703" i="1"/>
  <c r="I4695" i="1"/>
  <c r="H4695" i="1"/>
  <c r="I4687" i="1"/>
  <c r="H4687" i="1"/>
  <c r="I4679" i="1"/>
  <c r="H4679" i="1"/>
  <c r="I4671" i="1"/>
  <c r="H4671" i="1"/>
  <c r="I4663" i="1"/>
  <c r="H4663" i="1"/>
  <c r="I4655" i="1"/>
  <c r="H4655" i="1"/>
  <c r="I4647" i="1"/>
  <c r="H4647" i="1"/>
  <c r="I4639" i="1"/>
  <c r="H4639" i="1"/>
  <c r="I4631" i="1"/>
  <c r="H4631" i="1"/>
  <c r="I4623" i="1"/>
  <c r="H4623" i="1"/>
  <c r="I4615" i="1"/>
  <c r="H4615" i="1"/>
  <c r="I4607" i="1"/>
  <c r="H4607" i="1"/>
  <c r="I4599" i="1"/>
  <c r="H4599" i="1"/>
  <c r="I4591" i="1"/>
  <c r="H4591" i="1"/>
  <c r="I4583" i="1"/>
  <c r="H4583" i="1"/>
  <c r="I4575" i="1"/>
  <c r="H4575" i="1"/>
  <c r="I4567" i="1"/>
  <c r="H4567" i="1"/>
  <c r="I4559" i="1"/>
  <c r="H4559" i="1"/>
  <c r="I4551" i="1"/>
  <c r="H4551" i="1"/>
  <c r="I4543" i="1"/>
  <c r="H4543" i="1"/>
  <c r="I4535" i="1"/>
  <c r="H4535" i="1"/>
  <c r="I4527" i="1"/>
  <c r="H4527" i="1"/>
  <c r="I4519" i="1"/>
  <c r="H4519" i="1"/>
  <c r="I4511" i="1"/>
  <c r="H4511" i="1"/>
  <c r="I4503" i="1"/>
  <c r="H4503" i="1"/>
  <c r="I4495" i="1"/>
  <c r="H4495" i="1"/>
  <c r="I4487" i="1"/>
  <c r="H4487" i="1"/>
  <c r="I4479" i="1"/>
  <c r="H4479" i="1"/>
  <c r="I4471" i="1"/>
  <c r="H4471" i="1"/>
  <c r="I4463" i="1"/>
  <c r="H4463" i="1"/>
  <c r="I4455" i="1"/>
  <c r="H4455" i="1"/>
  <c r="I4447" i="1"/>
  <c r="H4447" i="1"/>
  <c r="I4439" i="1"/>
  <c r="H4439" i="1"/>
  <c r="I4431" i="1"/>
  <c r="H4431" i="1"/>
  <c r="I4423" i="1"/>
  <c r="H4423" i="1"/>
  <c r="I4415" i="1"/>
  <c r="H4415" i="1"/>
  <c r="I4407" i="1"/>
  <c r="H4407" i="1"/>
  <c r="I4399" i="1"/>
  <c r="H4399" i="1"/>
  <c r="I4391" i="1"/>
  <c r="H4391" i="1"/>
  <c r="I4383" i="1"/>
  <c r="H4383" i="1"/>
  <c r="I4375" i="1"/>
  <c r="H4375" i="1"/>
  <c r="I4367" i="1"/>
  <c r="H4367" i="1"/>
  <c r="I4359" i="1"/>
  <c r="H4359" i="1"/>
  <c r="I4351" i="1"/>
  <c r="H4351" i="1"/>
  <c r="I4343" i="1"/>
  <c r="H4343" i="1"/>
  <c r="I4335" i="1"/>
  <c r="H4335" i="1"/>
  <c r="I4327" i="1"/>
  <c r="H4327" i="1"/>
  <c r="I4319" i="1"/>
  <c r="H4319" i="1"/>
  <c r="I4311" i="1"/>
  <c r="H4311" i="1"/>
  <c r="I4303" i="1"/>
  <c r="H4303" i="1"/>
  <c r="I4295" i="1"/>
  <c r="H4295" i="1"/>
  <c r="I4287" i="1"/>
  <c r="H4287" i="1"/>
  <c r="I4279" i="1"/>
  <c r="H4279" i="1"/>
  <c r="I4271" i="1"/>
  <c r="H4271" i="1"/>
  <c r="I4263" i="1"/>
  <c r="H4263" i="1"/>
  <c r="I4255" i="1"/>
  <c r="H4255" i="1"/>
  <c r="I4247" i="1"/>
  <c r="H4247" i="1"/>
  <c r="I4239" i="1"/>
  <c r="H4239" i="1"/>
  <c r="I4231" i="1"/>
  <c r="H4231" i="1"/>
  <c r="I4223" i="1"/>
  <c r="H4223" i="1"/>
  <c r="I4215" i="1"/>
  <c r="H4215" i="1"/>
  <c r="I4207" i="1"/>
  <c r="H4207" i="1"/>
  <c r="I4199" i="1"/>
  <c r="H4199" i="1"/>
  <c r="I4191" i="1"/>
  <c r="H4191" i="1"/>
  <c r="I4183" i="1"/>
  <c r="H4183" i="1"/>
  <c r="I4175" i="1"/>
  <c r="H4175" i="1"/>
  <c r="I4167" i="1"/>
  <c r="H4167" i="1"/>
  <c r="I4159" i="1"/>
  <c r="H4159" i="1"/>
  <c r="I4151" i="1"/>
  <c r="H4151" i="1"/>
  <c r="I4143" i="1"/>
  <c r="H4143" i="1"/>
  <c r="I4135" i="1"/>
  <c r="H4135" i="1"/>
  <c r="I4127" i="1"/>
  <c r="H4127" i="1"/>
  <c r="I4119" i="1"/>
  <c r="H4119" i="1"/>
  <c r="I4111" i="1"/>
  <c r="H4111" i="1"/>
  <c r="I4103" i="1"/>
  <c r="H4103" i="1"/>
  <c r="I4095" i="1"/>
  <c r="H4095" i="1"/>
  <c r="I4087" i="1"/>
  <c r="H4087" i="1"/>
  <c r="I4079" i="1"/>
  <c r="H4079" i="1"/>
  <c r="I4071" i="1"/>
  <c r="H4071" i="1"/>
  <c r="I4063" i="1"/>
  <c r="H4063" i="1"/>
  <c r="I4055" i="1"/>
  <c r="H4055" i="1"/>
  <c r="I4047" i="1"/>
  <c r="H4047" i="1"/>
  <c r="I4039" i="1"/>
  <c r="H4039" i="1"/>
  <c r="I4031" i="1"/>
  <c r="H4031" i="1"/>
  <c r="I4023" i="1"/>
  <c r="H4023" i="1"/>
  <c r="I4015" i="1"/>
  <c r="H4015" i="1"/>
  <c r="I4007" i="1"/>
  <c r="H4007" i="1"/>
  <c r="I3999" i="1"/>
  <c r="H3999" i="1"/>
  <c r="I3991" i="1"/>
  <c r="H3991" i="1"/>
  <c r="I3983" i="1"/>
  <c r="H3983" i="1"/>
  <c r="I3975" i="1"/>
  <c r="H3975" i="1"/>
  <c r="I3967" i="1"/>
  <c r="H3967" i="1"/>
  <c r="I3959" i="1"/>
  <c r="H3959" i="1"/>
  <c r="I3951" i="1"/>
  <c r="H3951" i="1"/>
  <c r="I3943" i="1"/>
  <c r="H3943" i="1"/>
  <c r="I3935" i="1"/>
  <c r="H3935" i="1"/>
  <c r="I3927" i="1"/>
  <c r="H3927" i="1"/>
  <c r="I3919" i="1"/>
  <c r="H3919" i="1"/>
  <c r="I3911" i="1"/>
  <c r="H3911" i="1"/>
  <c r="I3903" i="1"/>
  <c r="H3903" i="1"/>
  <c r="I3895" i="1"/>
  <c r="H3895" i="1"/>
  <c r="I3887" i="1"/>
  <c r="H3887" i="1"/>
  <c r="I3879" i="1"/>
  <c r="H3879" i="1"/>
  <c r="I3871" i="1"/>
  <c r="H3871" i="1"/>
  <c r="I3863" i="1"/>
  <c r="H3863" i="1"/>
  <c r="I3855" i="1"/>
  <c r="H3855" i="1"/>
  <c r="I3847" i="1"/>
  <c r="H3847" i="1"/>
  <c r="I3839" i="1"/>
  <c r="H3839" i="1"/>
  <c r="I3831" i="1"/>
  <c r="H3831" i="1"/>
  <c r="I3823" i="1"/>
  <c r="H3823" i="1"/>
  <c r="I3815" i="1"/>
  <c r="H3815" i="1"/>
  <c r="I3807" i="1"/>
  <c r="H3807" i="1"/>
  <c r="I3799" i="1"/>
  <c r="H3799" i="1"/>
  <c r="I3791" i="1"/>
  <c r="H3791" i="1"/>
  <c r="I3783" i="1"/>
  <c r="H3783" i="1"/>
  <c r="I3775" i="1"/>
  <c r="H3775" i="1"/>
  <c r="I3767" i="1"/>
  <c r="H3767" i="1"/>
  <c r="I3759" i="1"/>
  <c r="H3759" i="1"/>
  <c r="I3751" i="1"/>
  <c r="H3751" i="1"/>
  <c r="I3743" i="1"/>
  <c r="H3743" i="1"/>
  <c r="I3735" i="1"/>
  <c r="H3735" i="1"/>
  <c r="I3727" i="1"/>
  <c r="H3727" i="1"/>
  <c r="I3719" i="1"/>
  <c r="H3719" i="1"/>
  <c r="I3711" i="1"/>
  <c r="H3711" i="1"/>
  <c r="I3703" i="1"/>
  <c r="H3703" i="1"/>
  <c r="I3695" i="1"/>
  <c r="H3695" i="1"/>
  <c r="I3687" i="1"/>
  <c r="H3687" i="1"/>
  <c r="I3679" i="1"/>
  <c r="H3679" i="1"/>
  <c r="I3671" i="1"/>
  <c r="H3671" i="1"/>
  <c r="I3663" i="1"/>
  <c r="H3663" i="1"/>
  <c r="I3655" i="1"/>
  <c r="H3655" i="1"/>
  <c r="I3647" i="1"/>
  <c r="H3647" i="1"/>
  <c r="I3639" i="1"/>
  <c r="H3639" i="1"/>
  <c r="I3631" i="1"/>
  <c r="H3631" i="1"/>
  <c r="I3623" i="1"/>
  <c r="H3623" i="1"/>
  <c r="I3615" i="1"/>
  <c r="H3615" i="1"/>
  <c r="I3607" i="1"/>
  <c r="H3607" i="1"/>
  <c r="I3599" i="1"/>
  <c r="H3599" i="1"/>
  <c r="I3591" i="1"/>
  <c r="H3591" i="1"/>
  <c r="I3583" i="1"/>
  <c r="H3583" i="1"/>
  <c r="I3575" i="1"/>
  <c r="H3575" i="1"/>
  <c r="I3567" i="1"/>
  <c r="H3567" i="1"/>
  <c r="I3559" i="1"/>
  <c r="H3559" i="1"/>
  <c r="I3551" i="1"/>
  <c r="H3551" i="1"/>
  <c r="I3543" i="1"/>
  <c r="H3543" i="1"/>
  <c r="I3535" i="1"/>
  <c r="H3535" i="1"/>
  <c r="I3527" i="1"/>
  <c r="H3527" i="1"/>
  <c r="I3519" i="1"/>
  <c r="H3519" i="1"/>
  <c r="I3511" i="1"/>
  <c r="H3511" i="1"/>
  <c r="I3503" i="1"/>
  <c r="H3503" i="1"/>
  <c r="I3495" i="1"/>
  <c r="H3495" i="1"/>
  <c r="I3487" i="1"/>
  <c r="H3487" i="1"/>
  <c r="I3479" i="1"/>
  <c r="H3479" i="1"/>
  <c r="I3471" i="1"/>
  <c r="H3471" i="1"/>
  <c r="I3463" i="1"/>
  <c r="H3463" i="1"/>
  <c r="I3455" i="1"/>
  <c r="H3455" i="1"/>
  <c r="I3447" i="1"/>
  <c r="H3447" i="1"/>
  <c r="I3439" i="1"/>
  <c r="H3439" i="1"/>
  <c r="I3431" i="1"/>
  <c r="H3431" i="1"/>
  <c r="I3423" i="1"/>
  <c r="H3423" i="1"/>
  <c r="I3415" i="1"/>
  <c r="H3415" i="1"/>
  <c r="I3407" i="1"/>
  <c r="H3407" i="1"/>
  <c r="I3399" i="1"/>
  <c r="H3399" i="1"/>
  <c r="I3391" i="1"/>
  <c r="H3391" i="1"/>
  <c r="I3383" i="1"/>
  <c r="H3383" i="1"/>
  <c r="I3375" i="1"/>
  <c r="H3375" i="1"/>
  <c r="I3367" i="1"/>
  <c r="H3367" i="1"/>
  <c r="I3359" i="1"/>
  <c r="H3359" i="1"/>
  <c r="I3351" i="1"/>
  <c r="H3351" i="1"/>
  <c r="I3343" i="1"/>
  <c r="H3343" i="1"/>
  <c r="I3335" i="1"/>
  <c r="H3335" i="1"/>
  <c r="I3327" i="1"/>
  <c r="H3327" i="1"/>
  <c r="I3319" i="1"/>
  <c r="H3319" i="1"/>
  <c r="I3311" i="1"/>
  <c r="H3311" i="1"/>
  <c r="I3303" i="1"/>
  <c r="H3303" i="1"/>
  <c r="I3295" i="1"/>
  <c r="H3295" i="1"/>
  <c r="I3287" i="1"/>
  <c r="H3287" i="1"/>
  <c r="I3279" i="1"/>
  <c r="H3279" i="1"/>
  <c r="I3271" i="1"/>
  <c r="H3271" i="1"/>
  <c r="I3263" i="1"/>
  <c r="H3263" i="1"/>
  <c r="I3255" i="1"/>
  <c r="H3255" i="1"/>
  <c r="I3247" i="1"/>
  <c r="H3247" i="1"/>
  <c r="I3239" i="1"/>
  <c r="H3239" i="1"/>
  <c r="I3231" i="1"/>
  <c r="H3231" i="1"/>
  <c r="I3223" i="1"/>
  <c r="H3223" i="1"/>
  <c r="I3215" i="1"/>
  <c r="H3215" i="1"/>
  <c r="I3207" i="1"/>
  <c r="H3207" i="1"/>
  <c r="I3199" i="1"/>
  <c r="H3199" i="1"/>
  <c r="I3191" i="1"/>
  <c r="H3191" i="1"/>
  <c r="I3183" i="1"/>
  <c r="H3183" i="1"/>
  <c r="I3175" i="1"/>
  <c r="H3175" i="1"/>
  <c r="I3167" i="1"/>
  <c r="H3167" i="1"/>
  <c r="I3159" i="1"/>
  <c r="H3159" i="1"/>
  <c r="I3151" i="1"/>
  <c r="H3151" i="1"/>
  <c r="I3143" i="1"/>
  <c r="H3143" i="1"/>
  <c r="I3135" i="1"/>
  <c r="H3135" i="1"/>
  <c r="I3127" i="1"/>
  <c r="H3127" i="1"/>
  <c r="I3119" i="1"/>
  <c r="H3119" i="1"/>
  <c r="I3111" i="1"/>
  <c r="H3111" i="1"/>
  <c r="I3103" i="1"/>
  <c r="H3103" i="1"/>
  <c r="I3095" i="1"/>
  <c r="H3095" i="1"/>
  <c r="I3087" i="1"/>
  <c r="H3087" i="1"/>
  <c r="I3079" i="1"/>
  <c r="H3079" i="1"/>
  <c r="I3071" i="1"/>
  <c r="H3071" i="1"/>
  <c r="I3063" i="1"/>
  <c r="H3063" i="1"/>
  <c r="I3055" i="1"/>
  <c r="H3055" i="1"/>
  <c r="I3047" i="1"/>
  <c r="H3047" i="1"/>
  <c r="I3039" i="1"/>
  <c r="H3039" i="1"/>
  <c r="I3031" i="1"/>
  <c r="H3031" i="1"/>
  <c r="I3023" i="1"/>
  <c r="H3023" i="1"/>
  <c r="I3015" i="1"/>
  <c r="H3015" i="1"/>
  <c r="I3007" i="1"/>
  <c r="H3007" i="1"/>
  <c r="I2999" i="1"/>
  <c r="H2999" i="1"/>
  <c r="I2991" i="1"/>
  <c r="H2991" i="1"/>
  <c r="I2983" i="1"/>
  <c r="H2983" i="1"/>
  <c r="I2975" i="1"/>
  <c r="H2975" i="1"/>
  <c r="I2967" i="1"/>
  <c r="H2967" i="1"/>
  <c r="I2959" i="1"/>
  <c r="H2959" i="1"/>
  <c r="I2951" i="1"/>
  <c r="H2951" i="1"/>
  <c r="I2943" i="1"/>
  <c r="H2943" i="1"/>
  <c r="I2935" i="1"/>
  <c r="H2935" i="1"/>
  <c r="I2927" i="1"/>
  <c r="H2927" i="1"/>
  <c r="I2919" i="1"/>
  <c r="H2919" i="1"/>
  <c r="I2911" i="1"/>
  <c r="H2911" i="1"/>
  <c r="I2903" i="1"/>
  <c r="H2903" i="1"/>
  <c r="I2895" i="1"/>
  <c r="H2895" i="1"/>
  <c r="I2887" i="1"/>
  <c r="H2887" i="1"/>
  <c r="I2879" i="1"/>
  <c r="H2879" i="1"/>
  <c r="I2871" i="1"/>
  <c r="H2871" i="1"/>
  <c r="I2863" i="1"/>
  <c r="H2863" i="1"/>
  <c r="I2855" i="1"/>
  <c r="H2855" i="1"/>
  <c r="I2847" i="1"/>
  <c r="H2847" i="1"/>
  <c r="I2839" i="1"/>
  <c r="H2839" i="1"/>
  <c r="I2831" i="1"/>
  <c r="H2831" i="1"/>
  <c r="I2823" i="1"/>
  <c r="H2823" i="1"/>
  <c r="I2815" i="1"/>
  <c r="H2815" i="1"/>
  <c r="I2807" i="1"/>
  <c r="H2807" i="1"/>
  <c r="I2799" i="1"/>
  <c r="H2799" i="1"/>
  <c r="I2791" i="1"/>
  <c r="H2791" i="1"/>
  <c r="I2783" i="1"/>
  <c r="H2783" i="1"/>
  <c r="I2775" i="1"/>
  <c r="H2775" i="1"/>
  <c r="I2767" i="1"/>
  <c r="H2767" i="1"/>
  <c r="I2759" i="1"/>
  <c r="H2759" i="1"/>
  <c r="I2751" i="1"/>
  <c r="H2751" i="1"/>
  <c r="I2743" i="1"/>
  <c r="H2743" i="1"/>
  <c r="I2735" i="1"/>
  <c r="H2735" i="1"/>
  <c r="I2727" i="1"/>
  <c r="H2727" i="1"/>
  <c r="I2719" i="1"/>
  <c r="H2719" i="1"/>
  <c r="I2711" i="1"/>
  <c r="H2711" i="1"/>
  <c r="I2703" i="1"/>
  <c r="H2703" i="1"/>
  <c r="I2695" i="1"/>
  <c r="H2695" i="1"/>
  <c r="I2687" i="1"/>
  <c r="H2687" i="1"/>
  <c r="I2679" i="1"/>
  <c r="H2679" i="1"/>
  <c r="I2671" i="1"/>
  <c r="H2671" i="1"/>
  <c r="I2663" i="1"/>
  <c r="H2663" i="1"/>
  <c r="I2655" i="1"/>
  <c r="H2655" i="1"/>
  <c r="I2647" i="1"/>
  <c r="H2647" i="1"/>
  <c r="I2639" i="1"/>
  <c r="H2639" i="1"/>
  <c r="I2631" i="1"/>
  <c r="H2631" i="1"/>
  <c r="I2623" i="1"/>
  <c r="H2623" i="1"/>
  <c r="I2615" i="1"/>
  <c r="H2615" i="1"/>
  <c r="I2607" i="1"/>
  <c r="H2607" i="1"/>
  <c r="I2599" i="1"/>
  <c r="H2599" i="1"/>
  <c r="I2591" i="1"/>
  <c r="H2591" i="1"/>
  <c r="I2583" i="1"/>
  <c r="H2583" i="1"/>
  <c r="I2575" i="1"/>
  <c r="H2575" i="1"/>
  <c r="I2567" i="1"/>
  <c r="H2567" i="1"/>
  <c r="I2559" i="1"/>
  <c r="H2559" i="1"/>
  <c r="I2551" i="1"/>
  <c r="H2551" i="1"/>
  <c r="I2543" i="1"/>
  <c r="H2543" i="1"/>
  <c r="I2535" i="1"/>
  <c r="H2535" i="1"/>
  <c r="I2527" i="1"/>
  <c r="H2527" i="1"/>
  <c r="I2519" i="1"/>
  <c r="H2519" i="1"/>
  <c r="I2511" i="1"/>
  <c r="H2511" i="1"/>
  <c r="I2503" i="1"/>
  <c r="H2503" i="1"/>
  <c r="I2495" i="1"/>
  <c r="H2495" i="1"/>
  <c r="I2487" i="1"/>
  <c r="H2487" i="1"/>
  <c r="I2479" i="1"/>
  <c r="H2479" i="1"/>
  <c r="I2471" i="1"/>
  <c r="H2471" i="1"/>
  <c r="I2463" i="1"/>
  <c r="H2463" i="1"/>
  <c r="I2455" i="1"/>
  <c r="H2455" i="1"/>
  <c r="I2447" i="1"/>
  <c r="H2447" i="1"/>
  <c r="I2439" i="1"/>
  <c r="H2439" i="1"/>
  <c r="I2431" i="1"/>
  <c r="H2431" i="1"/>
  <c r="I2423" i="1"/>
  <c r="H2423" i="1"/>
  <c r="I2415" i="1"/>
  <c r="H2415" i="1"/>
  <c r="I2407" i="1"/>
  <c r="H2407" i="1"/>
  <c r="I2399" i="1"/>
  <c r="H2399" i="1"/>
  <c r="I2391" i="1"/>
  <c r="H2391" i="1"/>
  <c r="I2383" i="1"/>
  <c r="H2383" i="1"/>
  <c r="I2375" i="1"/>
  <c r="H2375" i="1"/>
  <c r="I2367" i="1"/>
  <c r="H2367" i="1"/>
  <c r="I2359" i="1"/>
  <c r="H2359" i="1"/>
  <c r="I2351" i="1"/>
  <c r="H2351" i="1"/>
  <c r="I2343" i="1"/>
  <c r="H2343" i="1"/>
  <c r="I2335" i="1"/>
  <c r="H2335" i="1"/>
  <c r="I2327" i="1"/>
  <c r="H2327" i="1"/>
  <c r="I2319" i="1"/>
  <c r="H2319" i="1"/>
  <c r="I2311" i="1"/>
  <c r="H2311" i="1"/>
  <c r="I2303" i="1"/>
  <c r="H2303" i="1"/>
  <c r="I2295" i="1"/>
  <c r="H2295" i="1"/>
  <c r="I2287" i="1"/>
  <c r="H2287" i="1"/>
  <c r="I2279" i="1"/>
  <c r="H2279" i="1"/>
  <c r="I2271" i="1"/>
  <c r="H2271" i="1"/>
  <c r="I2263" i="1"/>
  <c r="H2263" i="1"/>
  <c r="I2255" i="1"/>
  <c r="H2255" i="1"/>
  <c r="I2247" i="1"/>
  <c r="H2247" i="1"/>
  <c r="I2239" i="1"/>
  <c r="H2239" i="1"/>
  <c r="I2231" i="1"/>
  <c r="H2231" i="1"/>
  <c r="I2223" i="1"/>
  <c r="H2223" i="1"/>
  <c r="I2215" i="1"/>
  <c r="H2215" i="1"/>
  <c r="I2207" i="1"/>
  <c r="H2207" i="1"/>
  <c r="I2199" i="1"/>
  <c r="H2199" i="1"/>
  <c r="I2191" i="1"/>
  <c r="H2191" i="1"/>
  <c r="I2183" i="1"/>
  <c r="H2183" i="1"/>
  <c r="I2175" i="1"/>
  <c r="H2175" i="1"/>
  <c r="I2167" i="1"/>
  <c r="H2167" i="1"/>
  <c r="I2159" i="1"/>
  <c r="H2159" i="1"/>
  <c r="I2151" i="1"/>
  <c r="H2151" i="1"/>
  <c r="I2143" i="1"/>
  <c r="H2143" i="1"/>
  <c r="I2135" i="1"/>
  <c r="H2135" i="1"/>
  <c r="I2127" i="1"/>
  <c r="H2127" i="1"/>
  <c r="I2119" i="1"/>
  <c r="H2119" i="1"/>
  <c r="I2111" i="1"/>
  <c r="H2111" i="1"/>
  <c r="I2103" i="1"/>
  <c r="H2103" i="1"/>
  <c r="I2095" i="1"/>
  <c r="H2095" i="1"/>
  <c r="I2087" i="1"/>
  <c r="H2087" i="1"/>
  <c r="I2079" i="1"/>
  <c r="H2079" i="1"/>
  <c r="I2071" i="1"/>
  <c r="H2071" i="1"/>
  <c r="I2063" i="1"/>
  <c r="H2063" i="1"/>
  <c r="I2055" i="1"/>
  <c r="H2055" i="1"/>
  <c r="I2047" i="1"/>
  <c r="H2047" i="1"/>
  <c r="I2039" i="1"/>
  <c r="H2039" i="1"/>
  <c r="I2031" i="1"/>
  <c r="H2031" i="1"/>
  <c r="I2023" i="1"/>
  <c r="H2023" i="1"/>
  <c r="I2015" i="1"/>
  <c r="H2015" i="1"/>
  <c r="I2007" i="1"/>
  <c r="H2007" i="1"/>
  <c r="I1999" i="1"/>
  <c r="H1999" i="1"/>
  <c r="I1991" i="1"/>
  <c r="H1991" i="1"/>
  <c r="I1983" i="1"/>
  <c r="H1983" i="1"/>
  <c r="I1975" i="1"/>
  <c r="H1975" i="1"/>
  <c r="I1967" i="1"/>
  <c r="H1967" i="1"/>
  <c r="I1959" i="1"/>
  <c r="H1959" i="1"/>
  <c r="I1951" i="1"/>
  <c r="H1951" i="1"/>
  <c r="I1943" i="1"/>
  <c r="H1943" i="1"/>
  <c r="I1935" i="1"/>
  <c r="H1935" i="1"/>
  <c r="I1927" i="1"/>
  <c r="H1927" i="1"/>
  <c r="I1919" i="1"/>
  <c r="H1919" i="1"/>
  <c r="I1911" i="1"/>
  <c r="H1911" i="1"/>
  <c r="I1903" i="1"/>
  <c r="H1903" i="1"/>
  <c r="I1895" i="1"/>
  <c r="H1895" i="1"/>
  <c r="I1887" i="1"/>
  <c r="H1887" i="1"/>
  <c r="I1879" i="1"/>
  <c r="H1879" i="1"/>
  <c r="I1871" i="1"/>
  <c r="H1871" i="1"/>
  <c r="I1863" i="1"/>
  <c r="H1863" i="1"/>
  <c r="I1855" i="1"/>
  <c r="H1855" i="1"/>
  <c r="I1847" i="1"/>
  <c r="H1847" i="1"/>
  <c r="I1839" i="1"/>
  <c r="H1839" i="1"/>
  <c r="I1831" i="1"/>
  <c r="H1831" i="1"/>
  <c r="I1823" i="1"/>
  <c r="H1823" i="1"/>
  <c r="I1815" i="1"/>
  <c r="H1815" i="1"/>
  <c r="I1807" i="1"/>
  <c r="H1807" i="1"/>
  <c r="I1799" i="1"/>
  <c r="H1799" i="1"/>
  <c r="I1791" i="1"/>
  <c r="H1791" i="1"/>
  <c r="I1783" i="1"/>
  <c r="H1783" i="1"/>
  <c r="I1775" i="1"/>
  <c r="H1775" i="1"/>
  <c r="I1767" i="1"/>
  <c r="H1767" i="1"/>
  <c r="I1759" i="1"/>
  <c r="H1759" i="1"/>
  <c r="I1751" i="1"/>
  <c r="H1751" i="1"/>
  <c r="I1743" i="1"/>
  <c r="H1743" i="1"/>
  <c r="I1735" i="1"/>
  <c r="H1735" i="1"/>
  <c r="I1727" i="1"/>
  <c r="H1727" i="1"/>
  <c r="I1719" i="1"/>
  <c r="H1719" i="1"/>
  <c r="I1711" i="1"/>
  <c r="H1711" i="1"/>
  <c r="I1703" i="1"/>
  <c r="H1703" i="1"/>
  <c r="I1695" i="1"/>
  <c r="H1695" i="1"/>
  <c r="I1687" i="1"/>
  <c r="H1687" i="1"/>
  <c r="I1679" i="1"/>
  <c r="H1679" i="1"/>
  <c r="I1671" i="1"/>
  <c r="H1671" i="1"/>
  <c r="I1663" i="1"/>
  <c r="H1663" i="1"/>
  <c r="I1655" i="1"/>
  <c r="H1655" i="1"/>
  <c r="I1647" i="1"/>
  <c r="H1647" i="1"/>
  <c r="I1639" i="1"/>
  <c r="H1639" i="1"/>
  <c r="I1631" i="1"/>
  <c r="H1631" i="1"/>
  <c r="I1623" i="1"/>
  <c r="H1623" i="1"/>
  <c r="I1615" i="1"/>
  <c r="H1615" i="1"/>
  <c r="I1607" i="1"/>
  <c r="H1607" i="1"/>
  <c r="I1599" i="1"/>
  <c r="H1599" i="1"/>
  <c r="I1591" i="1"/>
  <c r="H1591" i="1"/>
  <c r="I1583" i="1"/>
  <c r="H1583" i="1"/>
  <c r="I1575" i="1"/>
  <c r="H1575" i="1"/>
  <c r="I1567" i="1"/>
  <c r="H1567" i="1"/>
  <c r="I1559" i="1"/>
  <c r="H1559" i="1"/>
  <c r="I1551" i="1"/>
  <c r="H1551" i="1"/>
  <c r="I1543" i="1"/>
  <c r="H1543" i="1"/>
  <c r="I1535" i="1"/>
  <c r="H1535" i="1"/>
  <c r="I1527" i="1"/>
  <c r="H1527" i="1"/>
  <c r="I1519" i="1"/>
  <c r="H1519" i="1"/>
  <c r="I1511" i="1"/>
  <c r="H1511" i="1"/>
  <c r="I1503" i="1"/>
  <c r="H1503" i="1"/>
  <c r="I1495" i="1"/>
  <c r="H1495" i="1"/>
  <c r="I1487" i="1"/>
  <c r="H1487" i="1"/>
  <c r="I1479" i="1"/>
  <c r="H1479" i="1"/>
  <c r="I1471" i="1"/>
  <c r="H1471" i="1"/>
  <c r="I1463" i="1"/>
  <c r="H1463" i="1"/>
  <c r="I1455" i="1"/>
  <c r="H1455" i="1"/>
  <c r="I1447" i="1"/>
  <c r="H1447" i="1"/>
  <c r="I1439" i="1"/>
  <c r="H1439" i="1"/>
  <c r="I1431" i="1"/>
  <c r="H1431" i="1"/>
  <c r="I1423" i="1"/>
  <c r="H1423" i="1"/>
  <c r="I1415" i="1"/>
  <c r="H1415" i="1"/>
  <c r="I1407" i="1"/>
  <c r="H1407" i="1"/>
  <c r="I1399" i="1"/>
  <c r="H1399" i="1"/>
  <c r="I1391" i="1"/>
  <c r="H1391" i="1"/>
  <c r="I1383" i="1"/>
  <c r="H1383" i="1"/>
  <c r="I1375" i="1"/>
  <c r="H1375" i="1"/>
  <c r="I1367" i="1"/>
  <c r="H1367" i="1"/>
  <c r="I1359" i="1"/>
  <c r="H1359" i="1"/>
  <c r="I1351" i="1"/>
  <c r="H1351" i="1"/>
  <c r="I1343" i="1"/>
  <c r="H1343" i="1"/>
  <c r="I1335" i="1"/>
  <c r="H1335" i="1"/>
  <c r="I1327" i="1"/>
  <c r="H1327" i="1"/>
  <c r="I1319" i="1"/>
  <c r="H1319" i="1"/>
  <c r="I1311" i="1"/>
  <c r="H1311" i="1"/>
  <c r="I1303" i="1"/>
  <c r="H1303" i="1"/>
  <c r="I1295" i="1"/>
  <c r="H1295" i="1"/>
  <c r="I1287" i="1"/>
  <c r="H1287" i="1"/>
  <c r="I1279" i="1"/>
  <c r="H1279" i="1"/>
  <c r="I1271" i="1"/>
  <c r="H1271" i="1"/>
  <c r="I1263" i="1"/>
  <c r="H1263" i="1"/>
  <c r="I1255" i="1"/>
  <c r="H1255" i="1"/>
  <c r="I1247" i="1"/>
  <c r="H1247" i="1"/>
  <c r="I1239" i="1"/>
  <c r="H1239" i="1"/>
  <c r="I1231" i="1"/>
  <c r="H1231" i="1"/>
  <c r="I1223" i="1"/>
  <c r="H1223" i="1"/>
  <c r="I1215" i="1"/>
  <c r="H1215" i="1"/>
  <c r="I1207" i="1"/>
  <c r="H1207" i="1"/>
  <c r="I1199" i="1"/>
  <c r="H1199" i="1"/>
  <c r="I1191" i="1"/>
  <c r="H1191" i="1"/>
  <c r="I1183" i="1"/>
  <c r="H1183" i="1"/>
  <c r="I1175" i="1"/>
  <c r="H1175" i="1"/>
  <c r="I1167" i="1"/>
  <c r="H1167" i="1"/>
  <c r="I1159" i="1"/>
  <c r="H1159" i="1"/>
  <c r="I1151" i="1"/>
  <c r="H1151" i="1"/>
  <c r="I1143" i="1"/>
  <c r="H1143" i="1"/>
  <c r="I1135" i="1"/>
  <c r="H1135" i="1"/>
  <c r="I1127" i="1"/>
  <c r="H1127" i="1"/>
  <c r="I1119" i="1"/>
  <c r="H1119" i="1"/>
  <c r="I1111" i="1"/>
  <c r="H1111" i="1"/>
  <c r="I1103" i="1"/>
  <c r="H1103" i="1"/>
  <c r="I1095" i="1"/>
  <c r="H1095" i="1"/>
  <c r="I1087" i="1"/>
  <c r="H1087" i="1"/>
  <c r="I1079" i="1"/>
  <c r="H1079" i="1"/>
  <c r="I1071" i="1"/>
  <c r="H1071" i="1"/>
  <c r="I1063" i="1"/>
  <c r="H1063" i="1"/>
  <c r="I1055" i="1"/>
  <c r="H1055" i="1"/>
  <c r="I1047" i="1"/>
  <c r="H1047" i="1"/>
  <c r="I1039" i="1"/>
  <c r="H1039" i="1"/>
  <c r="I1031" i="1"/>
  <c r="H1031" i="1"/>
  <c r="I1023" i="1"/>
  <c r="H1023" i="1"/>
  <c r="I1015" i="1"/>
  <c r="H1015" i="1"/>
  <c r="I1007" i="1"/>
  <c r="H1007" i="1"/>
  <c r="I999" i="1"/>
  <c r="H999" i="1"/>
  <c r="I991" i="1"/>
  <c r="H991" i="1"/>
  <c r="I983" i="1"/>
  <c r="H983" i="1"/>
  <c r="I975" i="1"/>
  <c r="H975" i="1"/>
  <c r="I967" i="1"/>
  <c r="H967" i="1"/>
  <c r="I959" i="1"/>
  <c r="H959" i="1"/>
  <c r="I951" i="1"/>
  <c r="H951" i="1"/>
  <c r="I943" i="1"/>
  <c r="H943" i="1"/>
  <c r="I935" i="1"/>
  <c r="H935" i="1"/>
  <c r="I927" i="1"/>
  <c r="H927" i="1"/>
  <c r="I919" i="1"/>
  <c r="H919" i="1"/>
  <c r="I911" i="1"/>
  <c r="H911" i="1"/>
  <c r="I903" i="1"/>
  <c r="H903" i="1"/>
  <c r="I895" i="1"/>
  <c r="H895" i="1"/>
  <c r="I887" i="1"/>
  <c r="H887" i="1"/>
  <c r="I879" i="1"/>
  <c r="H879" i="1"/>
  <c r="I871" i="1"/>
  <c r="H871" i="1"/>
  <c r="I863" i="1"/>
  <c r="H863" i="1"/>
  <c r="I855" i="1"/>
  <c r="H855" i="1"/>
  <c r="I847" i="1"/>
  <c r="H847" i="1"/>
  <c r="I839" i="1"/>
  <c r="H839" i="1"/>
  <c r="I831" i="1"/>
  <c r="H831" i="1"/>
  <c r="I823" i="1"/>
  <c r="H823" i="1"/>
  <c r="I815" i="1"/>
  <c r="H815" i="1"/>
  <c r="I807" i="1"/>
  <c r="H807" i="1"/>
  <c r="I799" i="1"/>
  <c r="H799" i="1"/>
  <c r="I783" i="1"/>
  <c r="H783" i="1"/>
  <c r="I775" i="1"/>
  <c r="H775" i="1"/>
  <c r="I767" i="1"/>
  <c r="H767" i="1"/>
  <c r="I759" i="1"/>
  <c r="H759" i="1"/>
  <c r="I751" i="1"/>
  <c r="H751" i="1"/>
  <c r="I743" i="1"/>
  <c r="H743" i="1"/>
  <c r="I735" i="1"/>
  <c r="H735" i="1"/>
  <c r="I727" i="1"/>
  <c r="H727" i="1"/>
  <c r="I719" i="1"/>
  <c r="H719" i="1"/>
  <c r="I711" i="1"/>
  <c r="H711" i="1"/>
  <c r="I703" i="1"/>
  <c r="H703" i="1"/>
  <c r="I695" i="1"/>
  <c r="H695" i="1"/>
  <c r="I687" i="1"/>
  <c r="H687" i="1"/>
  <c r="I679" i="1"/>
  <c r="H679" i="1"/>
  <c r="I671" i="1"/>
  <c r="H671" i="1"/>
  <c r="I663" i="1"/>
  <c r="H663" i="1"/>
  <c r="I655" i="1"/>
  <c r="H655" i="1"/>
  <c r="I647" i="1"/>
  <c r="H647" i="1"/>
  <c r="I639" i="1"/>
  <c r="H639" i="1"/>
  <c r="I631" i="1"/>
  <c r="H631" i="1"/>
  <c r="I623" i="1"/>
  <c r="H623" i="1"/>
  <c r="I615" i="1"/>
  <c r="H615" i="1"/>
  <c r="I607" i="1"/>
  <c r="H607" i="1"/>
  <c r="I599" i="1"/>
  <c r="H599" i="1"/>
  <c r="I591" i="1"/>
  <c r="H591" i="1"/>
  <c r="I583" i="1"/>
  <c r="H583" i="1"/>
  <c r="I575" i="1"/>
  <c r="H575" i="1"/>
  <c r="I567" i="1"/>
  <c r="H567" i="1"/>
  <c r="I559" i="1"/>
  <c r="H559" i="1"/>
  <c r="I551" i="1"/>
  <c r="H551" i="1"/>
  <c r="I543" i="1"/>
  <c r="H543" i="1"/>
  <c r="I527" i="1"/>
  <c r="H527" i="1"/>
  <c r="I519" i="1"/>
  <c r="H519" i="1"/>
  <c r="I511" i="1"/>
  <c r="H511" i="1"/>
  <c r="I503" i="1"/>
  <c r="H503" i="1"/>
  <c r="I495" i="1"/>
  <c r="H495" i="1"/>
  <c r="I487" i="1"/>
  <c r="H487" i="1"/>
  <c r="I479" i="1"/>
  <c r="H479" i="1"/>
  <c r="I471" i="1"/>
  <c r="H471" i="1"/>
  <c r="I463" i="1"/>
  <c r="H463" i="1"/>
  <c r="I455" i="1"/>
  <c r="H455" i="1"/>
  <c r="I447" i="1"/>
  <c r="H447" i="1"/>
  <c r="I439" i="1"/>
  <c r="H439" i="1"/>
  <c r="I431" i="1"/>
  <c r="H431" i="1"/>
  <c r="I423" i="1"/>
  <c r="H423" i="1"/>
  <c r="I415" i="1"/>
  <c r="H415" i="1"/>
  <c r="I407" i="1"/>
  <c r="H407" i="1"/>
  <c r="I399" i="1"/>
  <c r="H399" i="1"/>
  <c r="I391" i="1"/>
  <c r="H391" i="1"/>
  <c r="I383" i="1"/>
  <c r="H383" i="1"/>
  <c r="I375" i="1"/>
  <c r="H375" i="1"/>
  <c r="I367" i="1"/>
  <c r="H367" i="1"/>
  <c r="I359" i="1"/>
  <c r="H359" i="1"/>
  <c r="I351" i="1"/>
  <c r="H351" i="1"/>
  <c r="I343" i="1"/>
  <c r="H343" i="1"/>
  <c r="I335" i="1"/>
  <c r="H335" i="1"/>
  <c r="I327" i="1"/>
  <c r="H327" i="1"/>
  <c r="I319" i="1"/>
  <c r="H319" i="1"/>
  <c r="I311" i="1"/>
  <c r="H311" i="1"/>
  <c r="I303" i="1"/>
  <c r="H303" i="1"/>
  <c r="H9994" i="1"/>
  <c r="H9986" i="1"/>
  <c r="H9978" i="1"/>
  <c r="H9970" i="1"/>
  <c r="H9962" i="1"/>
  <c r="H9954" i="1"/>
  <c r="H9946" i="1"/>
  <c r="H9938" i="1"/>
  <c r="H9930" i="1"/>
  <c r="H9922" i="1"/>
  <c r="H9914" i="1"/>
  <c r="H9906" i="1"/>
  <c r="H9898" i="1"/>
  <c r="H9890" i="1"/>
  <c r="H9882" i="1"/>
  <c r="H9874" i="1"/>
  <c r="H9866" i="1"/>
  <c r="H9858" i="1"/>
  <c r="H9850" i="1"/>
  <c r="H9842" i="1"/>
  <c r="H9834" i="1"/>
  <c r="H9826" i="1"/>
  <c r="H9818" i="1"/>
  <c r="H9810" i="1"/>
  <c r="H9802" i="1"/>
  <c r="H9794" i="1"/>
  <c r="H9786" i="1"/>
  <c r="H9778" i="1"/>
  <c r="H9770" i="1"/>
  <c r="H9762" i="1"/>
  <c r="H9754" i="1"/>
  <c r="H9746" i="1"/>
  <c r="H9738" i="1"/>
  <c r="H9730" i="1"/>
  <c r="H9722" i="1"/>
  <c r="H9714" i="1"/>
  <c r="H9706" i="1"/>
  <c r="H9698" i="1"/>
  <c r="H9690" i="1"/>
  <c r="H9682" i="1"/>
  <c r="H9674" i="1"/>
  <c r="H9666" i="1"/>
  <c r="H9658" i="1"/>
  <c r="H9650" i="1"/>
  <c r="H9642" i="1"/>
  <c r="H9634" i="1"/>
  <c r="H9626" i="1"/>
  <c r="H9618" i="1"/>
  <c r="H9610" i="1"/>
  <c r="H9602" i="1"/>
  <c r="H9594" i="1"/>
  <c r="H9586" i="1"/>
  <c r="H9578" i="1"/>
  <c r="H9570" i="1"/>
  <c r="H9562" i="1"/>
  <c r="H9554" i="1"/>
  <c r="H9546" i="1"/>
  <c r="H9538" i="1"/>
  <c r="H9530" i="1"/>
  <c r="H9522" i="1"/>
  <c r="H9514" i="1"/>
  <c r="H9506" i="1"/>
  <c r="H9498" i="1"/>
  <c r="H9490" i="1"/>
  <c r="H9482" i="1"/>
  <c r="H9474" i="1"/>
  <c r="H9466" i="1"/>
  <c r="H9458" i="1"/>
  <c r="H9450" i="1"/>
  <c r="H9442" i="1"/>
  <c r="H9434" i="1"/>
  <c r="H9426" i="1"/>
  <c r="H9418" i="1"/>
  <c r="H9410" i="1"/>
  <c r="H9402" i="1"/>
  <c r="H9394" i="1"/>
  <c r="H9386" i="1"/>
  <c r="H9378" i="1"/>
  <c r="H9370" i="1"/>
  <c r="H9362" i="1"/>
  <c r="H9354" i="1"/>
  <c r="H9346" i="1"/>
  <c r="H9338" i="1"/>
  <c r="H9330" i="1"/>
  <c r="H9322" i="1"/>
  <c r="H9314" i="1"/>
  <c r="H9306" i="1"/>
  <c r="H9298" i="1"/>
  <c r="H9290" i="1"/>
  <c r="H9282" i="1"/>
  <c r="H9274" i="1"/>
  <c r="H9266" i="1"/>
  <c r="H9258" i="1"/>
  <c r="H9250" i="1"/>
  <c r="H9242" i="1"/>
  <c r="H9234" i="1"/>
  <c r="H9226" i="1"/>
  <c r="H9218" i="1"/>
  <c r="H9210" i="1"/>
  <c r="H9202" i="1"/>
  <c r="H9194" i="1"/>
  <c r="H9186" i="1"/>
  <c r="H9178" i="1"/>
  <c r="H9170" i="1"/>
  <c r="H9162" i="1"/>
  <c r="H9154" i="1"/>
  <c r="H9146" i="1"/>
  <c r="H9138" i="1"/>
  <c r="H9130" i="1"/>
  <c r="H9122" i="1"/>
  <c r="H9114" i="1"/>
  <c r="H9106" i="1"/>
  <c r="H9098" i="1"/>
  <c r="H9090" i="1"/>
  <c r="H9082" i="1"/>
  <c r="H9074" i="1"/>
  <c r="H9066" i="1"/>
  <c r="H9058" i="1"/>
  <c r="H9050" i="1"/>
  <c r="H9042" i="1"/>
  <c r="H9034" i="1"/>
  <c r="H9026" i="1"/>
  <c r="H9018" i="1"/>
  <c r="H9010" i="1"/>
  <c r="H9002" i="1"/>
  <c r="H8994" i="1"/>
  <c r="H8986" i="1"/>
  <c r="H8978" i="1"/>
  <c r="H8970" i="1"/>
  <c r="H8962" i="1"/>
  <c r="H8954" i="1"/>
  <c r="H8946" i="1"/>
  <c r="H8938" i="1"/>
  <c r="H8930" i="1"/>
  <c r="H8922" i="1"/>
  <c r="H8914" i="1"/>
  <c r="H8906" i="1"/>
  <c r="H8898" i="1"/>
  <c r="H8890" i="1"/>
  <c r="H8882" i="1"/>
  <c r="H8874" i="1"/>
  <c r="H8866" i="1"/>
  <c r="H8858" i="1"/>
  <c r="H8850" i="1"/>
  <c r="H8842" i="1"/>
  <c r="H8834" i="1"/>
  <c r="H8826" i="1"/>
  <c r="H8818" i="1"/>
  <c r="H8810" i="1"/>
  <c r="H8802" i="1"/>
  <c r="H8794" i="1"/>
  <c r="H8786" i="1"/>
  <c r="H8778" i="1"/>
  <c r="H8770" i="1"/>
  <c r="H8762" i="1"/>
  <c r="H8754" i="1"/>
  <c r="H8746" i="1"/>
  <c r="H8738" i="1"/>
  <c r="H8730" i="1"/>
  <c r="H8722" i="1"/>
  <c r="H8714" i="1"/>
  <c r="H8706" i="1"/>
  <c r="H8698" i="1"/>
  <c r="H8690" i="1"/>
  <c r="H8682" i="1"/>
  <c r="H8674" i="1"/>
  <c r="H8666" i="1"/>
  <c r="H8658" i="1"/>
  <c r="H8650" i="1"/>
  <c r="H8642" i="1"/>
  <c r="H8634" i="1"/>
  <c r="H8626" i="1"/>
  <c r="H8618" i="1"/>
  <c r="H8610" i="1"/>
  <c r="H8602" i="1"/>
  <c r="H8594" i="1"/>
  <c r="H8586" i="1"/>
  <c r="H8578" i="1"/>
  <c r="H8570" i="1"/>
  <c r="H8562" i="1"/>
  <c r="H8554" i="1"/>
  <c r="H8546" i="1"/>
  <c r="H8538" i="1"/>
  <c r="H8530" i="1"/>
  <c r="H8522" i="1"/>
  <c r="H8514" i="1"/>
  <c r="H8506" i="1"/>
  <c r="H8498" i="1"/>
  <c r="H8490" i="1"/>
  <c r="H8482" i="1"/>
  <c r="H8474" i="1"/>
  <c r="H8466" i="1"/>
  <c r="H8458" i="1"/>
  <c r="H8450" i="1"/>
  <c r="H8442" i="1"/>
  <c r="H8434" i="1"/>
  <c r="H8426" i="1"/>
  <c r="H8418" i="1"/>
  <c r="H8410" i="1"/>
  <c r="H8402" i="1"/>
  <c r="H8394" i="1"/>
  <c r="H8386" i="1"/>
  <c r="H8378" i="1"/>
  <c r="H8370" i="1"/>
  <c r="H8362" i="1"/>
  <c r="H8354" i="1"/>
  <c r="H8346" i="1"/>
  <c r="H8338" i="1"/>
  <c r="H8330" i="1"/>
  <c r="H8322" i="1"/>
  <c r="H8314" i="1"/>
  <c r="H8306" i="1"/>
  <c r="H8298" i="1"/>
  <c r="H8290" i="1"/>
  <c r="H8282" i="1"/>
  <c r="H8274" i="1"/>
  <c r="H8266" i="1"/>
  <c r="H8258" i="1"/>
  <c r="H8250" i="1"/>
  <c r="H8242" i="1"/>
  <c r="H8234" i="1"/>
  <c r="H8226" i="1"/>
  <c r="H8218" i="1"/>
  <c r="H8210" i="1"/>
  <c r="H8202" i="1"/>
  <c r="H8194" i="1"/>
  <c r="H8186" i="1"/>
  <c r="H8178" i="1"/>
  <c r="H8170" i="1"/>
  <c r="H8162" i="1"/>
  <c r="H8154" i="1"/>
  <c r="H8146" i="1"/>
  <c r="H8138" i="1"/>
  <c r="H8130" i="1"/>
  <c r="H8122" i="1"/>
  <c r="H8114" i="1"/>
  <c r="H8106" i="1"/>
  <c r="H8098" i="1"/>
  <c r="H8090" i="1"/>
  <c r="H8082" i="1"/>
  <c r="H8074" i="1"/>
  <c r="H8066" i="1"/>
  <c r="H8058" i="1"/>
  <c r="H8050" i="1"/>
  <c r="H8042" i="1"/>
  <c r="H8034" i="1"/>
  <c r="H8026" i="1"/>
  <c r="H8018" i="1"/>
  <c r="H8010" i="1"/>
  <c r="H8002" i="1"/>
  <c r="H7994" i="1"/>
  <c r="H7986" i="1"/>
  <c r="H7978" i="1"/>
  <c r="H7970" i="1"/>
  <c r="H7962" i="1"/>
  <c r="H7954" i="1"/>
  <c r="H7946" i="1"/>
  <c r="H7938" i="1"/>
  <c r="H7930" i="1"/>
  <c r="H7922" i="1"/>
  <c r="H7914" i="1"/>
  <c r="H7906" i="1"/>
  <c r="H7898" i="1"/>
  <c r="H7890" i="1"/>
  <c r="H7882" i="1"/>
  <c r="H7874" i="1"/>
  <c r="H7866" i="1"/>
  <c r="H7858" i="1"/>
  <c r="H7850" i="1"/>
  <c r="H7793" i="1"/>
  <c r="H7729" i="1"/>
  <c r="H7665" i="1"/>
  <c r="H7601" i="1"/>
  <c r="H7537" i="1"/>
  <c r="H7473" i="1"/>
  <c r="H7409" i="1"/>
  <c r="H7345" i="1"/>
  <c r="H7281" i="1"/>
  <c r="H7217" i="1"/>
  <c r="H7153" i="1"/>
  <c r="H7089" i="1"/>
  <c r="H7025" i="1"/>
  <c r="H6961" i="1"/>
  <c r="H6897" i="1"/>
  <c r="H6833" i="1"/>
  <c r="H6769" i="1"/>
  <c r="H6705" i="1"/>
  <c r="H6641" i="1"/>
  <c r="H6577" i="1"/>
  <c r="H6513" i="1"/>
  <c r="H6449" i="1"/>
  <c r="H6385" i="1"/>
  <c r="H6321" i="1"/>
  <c r="H6257" i="1"/>
  <c r="H6193" i="1"/>
  <c r="H6129" i="1"/>
  <c r="H6065" i="1"/>
  <c r="H6001" i="1"/>
  <c r="H5937" i="1"/>
  <c r="H5873" i="1"/>
  <c r="H5809" i="1"/>
  <c r="H5745" i="1"/>
  <c r="H5681" i="1"/>
  <c r="H5617" i="1"/>
  <c r="H5553" i="1"/>
  <c r="H5489" i="1"/>
  <c r="H5425" i="1"/>
  <c r="H5361" i="1"/>
  <c r="H5297" i="1"/>
  <c r="H5233" i="1"/>
  <c r="H5169" i="1"/>
  <c r="H5105" i="1"/>
  <c r="H5041" i="1"/>
  <c r="H4977" i="1"/>
  <c r="H4913" i="1"/>
  <c r="H4849" i="1"/>
  <c r="H4785" i="1"/>
  <c r="H4721" i="1"/>
  <c r="H4657" i="1"/>
  <c r="H4593" i="1"/>
  <c r="H4529" i="1"/>
  <c r="H4465" i="1"/>
  <c r="H4401" i="1"/>
  <c r="H4337" i="1"/>
  <c r="H4273" i="1"/>
  <c r="H4209" i="1"/>
  <c r="H4145" i="1"/>
  <c r="H4081" i="1"/>
  <c r="H4017" i="1"/>
  <c r="H3953" i="1"/>
  <c r="H3889" i="1"/>
  <c r="H3825" i="1"/>
  <c r="H3761" i="1"/>
  <c r="H3697" i="1"/>
  <c r="H3633" i="1"/>
  <c r="H3569" i="1"/>
  <c r="H3505" i="1"/>
  <c r="H3441" i="1"/>
  <c r="H3377" i="1"/>
  <c r="H3313" i="1"/>
  <c r="H3249" i="1"/>
  <c r="H3185" i="1"/>
  <c r="H3121" i="1"/>
  <c r="H2993" i="1"/>
  <c r="H2822" i="1"/>
  <c r="H2651" i="1"/>
  <c r="H2481" i="1"/>
  <c r="H2310" i="1"/>
  <c r="H2139" i="1"/>
  <c r="H1939" i="1"/>
  <c r="H1683" i="1"/>
  <c r="H1427" i="1"/>
  <c r="H1065" i="1"/>
  <c r="I78" i="1"/>
  <c r="H78" i="1"/>
  <c r="I30" i="1"/>
  <c r="H30" i="1"/>
  <c r="I289" i="1"/>
  <c r="H289" i="1"/>
  <c r="I241" i="1"/>
  <c r="H241" i="1"/>
  <c r="I193" i="1"/>
  <c r="H193" i="1"/>
  <c r="I145" i="1"/>
  <c r="H145" i="1"/>
  <c r="E8196" i="1"/>
  <c r="I8196" i="1"/>
  <c r="E8172" i="1"/>
  <c r="I8172" i="1"/>
  <c r="E8124" i="1"/>
  <c r="I8124" i="1"/>
  <c r="E8084" i="1"/>
  <c r="I8084" i="1"/>
  <c r="E8036" i="1"/>
  <c r="I8036" i="1"/>
  <c r="E7924" i="1"/>
  <c r="I7924" i="1"/>
  <c r="E7884" i="1"/>
  <c r="I7884" i="1"/>
  <c r="E7828" i="1"/>
  <c r="I7828" i="1"/>
  <c r="H7828" i="1"/>
  <c r="E7772" i="1"/>
  <c r="I7772" i="1"/>
  <c r="H7772" i="1"/>
  <c r="E7724" i="1"/>
  <c r="I7724" i="1"/>
  <c r="H7724" i="1"/>
  <c r="E7676" i="1"/>
  <c r="I7676" i="1"/>
  <c r="H7676" i="1"/>
  <c r="E7628" i="1"/>
  <c r="I7628" i="1"/>
  <c r="H7628" i="1"/>
  <c r="E7580" i="1"/>
  <c r="I7580" i="1"/>
  <c r="H7580" i="1"/>
  <c r="E7532" i="1"/>
  <c r="I7532" i="1"/>
  <c r="H7532" i="1"/>
  <c r="E7492" i="1"/>
  <c r="I7492" i="1"/>
  <c r="H7492" i="1"/>
  <c r="E7452" i="1"/>
  <c r="I7452" i="1"/>
  <c r="H7452" i="1"/>
  <c r="E7396" i="1"/>
  <c r="I7396" i="1"/>
  <c r="H7396" i="1"/>
  <c r="I7348" i="1"/>
  <c r="H7348" i="1"/>
  <c r="E7300" i="1"/>
  <c r="I7300" i="1"/>
  <c r="H7300" i="1"/>
  <c r="E7252" i="1"/>
  <c r="I7252" i="1"/>
  <c r="H7252" i="1"/>
  <c r="E7212" i="1"/>
  <c r="I7212" i="1"/>
  <c r="H7212" i="1"/>
  <c r="E7164" i="1"/>
  <c r="I7164" i="1"/>
  <c r="H7164" i="1"/>
  <c r="E7108" i="1"/>
  <c r="I7108" i="1"/>
  <c r="H7108" i="1"/>
  <c r="E7036" i="1"/>
  <c r="I7036" i="1"/>
  <c r="H7036" i="1"/>
  <c r="E6892" i="1"/>
  <c r="I6892" i="1"/>
  <c r="H6892" i="1"/>
  <c r="I6420" i="1"/>
  <c r="H6420" i="1"/>
  <c r="E6380" i="1"/>
  <c r="I6380" i="1"/>
  <c r="H6380" i="1"/>
  <c r="E6332" i="1"/>
  <c r="I6332" i="1"/>
  <c r="H6332" i="1"/>
  <c r="E6284" i="1"/>
  <c r="I6284" i="1"/>
  <c r="H6284" i="1"/>
  <c r="E6236" i="1"/>
  <c r="I6236" i="1"/>
  <c r="H6236" i="1"/>
  <c r="I6188" i="1"/>
  <c r="H6188" i="1"/>
  <c r="E6132" i="1"/>
  <c r="I6132" i="1"/>
  <c r="H6132" i="1"/>
  <c r="E6084" i="1"/>
  <c r="I6084" i="1"/>
  <c r="H6084" i="1"/>
  <c r="E6044" i="1"/>
  <c r="I6044" i="1"/>
  <c r="H6044" i="1"/>
  <c r="E6004" i="1"/>
  <c r="I6004" i="1"/>
  <c r="H6004" i="1"/>
  <c r="I5940" i="1"/>
  <c r="H5940" i="1"/>
  <c r="E5892" i="1"/>
  <c r="I5892" i="1"/>
  <c r="H5892" i="1"/>
  <c r="E5828" i="1"/>
  <c r="I5828" i="1"/>
  <c r="H5828" i="1"/>
  <c r="I5772" i="1"/>
  <c r="H5772" i="1"/>
  <c r="I5716" i="1"/>
  <c r="H5716" i="1"/>
  <c r="E5660" i="1"/>
  <c r="I5660" i="1"/>
  <c r="H5660" i="1"/>
  <c r="E5604" i="1"/>
  <c r="I5604" i="1"/>
  <c r="H5604" i="1"/>
  <c r="I5548" i="1"/>
  <c r="H5548" i="1"/>
  <c r="E5500" i="1"/>
  <c r="I5500" i="1"/>
  <c r="H5500" i="1"/>
  <c r="E5444" i="1"/>
  <c r="I5444" i="1"/>
  <c r="H5444" i="1"/>
  <c r="I5388" i="1"/>
  <c r="H5388" i="1"/>
  <c r="E5316" i="1"/>
  <c r="I5316" i="1"/>
  <c r="H5316" i="1"/>
  <c r="I5268" i="1"/>
  <c r="H5268" i="1"/>
  <c r="I5204" i="1"/>
  <c r="H5204" i="1"/>
  <c r="E5148" i="1"/>
  <c r="I5148" i="1"/>
  <c r="H5148" i="1"/>
  <c r="E5100" i="1"/>
  <c r="I5100" i="1"/>
  <c r="H5100" i="1"/>
  <c r="E5036" i="1"/>
  <c r="I5036" i="1"/>
  <c r="H5036" i="1"/>
  <c r="I4988" i="1"/>
  <c r="H4988" i="1"/>
  <c r="E4932" i="1"/>
  <c r="I4932" i="1"/>
  <c r="H4932" i="1"/>
  <c r="E4868" i="1"/>
  <c r="I4868" i="1"/>
  <c r="H4868" i="1"/>
  <c r="E4812" i="1"/>
  <c r="I4812" i="1"/>
  <c r="H4812" i="1"/>
  <c r="E4756" i="1"/>
  <c r="I4756" i="1"/>
  <c r="H4756" i="1"/>
  <c r="E4700" i="1"/>
  <c r="I4700" i="1"/>
  <c r="H4700" i="1"/>
  <c r="E4644" i="1"/>
  <c r="I4644" i="1"/>
  <c r="H4644" i="1"/>
  <c r="E4588" i="1"/>
  <c r="I4588" i="1"/>
  <c r="H4588" i="1"/>
  <c r="E4532" i="1"/>
  <c r="I4532" i="1"/>
  <c r="H4532" i="1"/>
  <c r="I4476" i="1"/>
  <c r="H4476" i="1"/>
  <c r="E4420" i="1"/>
  <c r="I4420" i="1"/>
  <c r="H4420" i="1"/>
  <c r="E4364" i="1"/>
  <c r="I4364" i="1"/>
  <c r="H4364" i="1"/>
  <c r="E4300" i="1"/>
  <c r="I4300" i="1"/>
  <c r="H4300" i="1"/>
  <c r="E4244" i="1"/>
  <c r="I4244" i="1"/>
  <c r="H4244" i="1"/>
  <c r="E4204" i="1"/>
  <c r="I4204" i="1"/>
  <c r="H4204" i="1"/>
  <c r="E4140" i="1"/>
  <c r="I4140" i="1"/>
  <c r="H4140" i="1"/>
  <c r="I4100" i="1"/>
  <c r="H4100" i="1"/>
  <c r="I4060" i="1"/>
  <c r="H4060" i="1"/>
  <c r="E4012" i="1"/>
  <c r="I4012" i="1"/>
  <c r="H4012" i="1"/>
  <c r="I3964" i="1"/>
  <c r="H3964" i="1"/>
  <c r="E3916" i="1"/>
  <c r="I3916" i="1"/>
  <c r="H3916" i="1"/>
  <c r="I3868" i="1"/>
  <c r="H3868" i="1"/>
  <c r="E3820" i="1"/>
  <c r="I3820" i="1"/>
  <c r="H3820" i="1"/>
  <c r="I3748" i="1"/>
  <c r="H3748" i="1"/>
  <c r="E3700" i="1"/>
  <c r="I3700" i="1"/>
  <c r="H3700" i="1"/>
  <c r="I3652" i="1"/>
  <c r="H3652" i="1"/>
  <c r="E3596" i="1"/>
  <c r="I3596" i="1"/>
  <c r="H3596" i="1"/>
  <c r="I3548" i="1"/>
  <c r="H3548" i="1"/>
  <c r="E3500" i="1"/>
  <c r="I3500" i="1"/>
  <c r="H3500" i="1"/>
  <c r="I3452" i="1"/>
  <c r="H3452" i="1"/>
  <c r="I3420" i="1"/>
  <c r="H3420" i="1"/>
  <c r="E3372" i="1"/>
  <c r="I3372" i="1"/>
  <c r="H3372" i="1"/>
  <c r="I3332" i="1"/>
  <c r="H3332" i="1"/>
  <c r="I3292" i="1"/>
  <c r="H3292" i="1"/>
  <c r="E3244" i="1"/>
  <c r="I3244" i="1"/>
  <c r="H3244" i="1"/>
  <c r="E3188" i="1"/>
  <c r="I3188" i="1"/>
  <c r="H3188" i="1"/>
  <c r="I3140" i="1"/>
  <c r="H3140" i="1"/>
  <c r="E3092" i="1"/>
  <c r="I3092" i="1"/>
  <c r="H3092" i="1"/>
  <c r="E3020" i="1"/>
  <c r="I3020" i="1"/>
  <c r="H3020" i="1"/>
  <c r="I2844" i="1"/>
  <c r="H2844" i="1"/>
  <c r="I2172" i="1"/>
  <c r="H2172" i="1"/>
  <c r="I96" i="1"/>
  <c r="H96" i="1"/>
  <c r="I88" i="1"/>
  <c r="H88" i="1"/>
  <c r="I80" i="1"/>
  <c r="H80" i="1"/>
  <c r="I72" i="1"/>
  <c r="H72" i="1"/>
  <c r="I64" i="1"/>
  <c r="H64" i="1"/>
  <c r="I56" i="1"/>
  <c r="H56" i="1"/>
  <c r="I48" i="1"/>
  <c r="H48" i="1"/>
  <c r="I40" i="1"/>
  <c r="H40" i="1"/>
  <c r="I32" i="1"/>
  <c r="H32" i="1"/>
  <c r="I24" i="1"/>
  <c r="H24" i="1"/>
  <c r="I16" i="1"/>
  <c r="H16" i="1"/>
  <c r="I8" i="1"/>
  <c r="H8" i="1"/>
  <c r="I102" i="1"/>
  <c r="H102" i="1"/>
  <c r="E299" i="1"/>
  <c r="I299" i="1"/>
  <c r="H299" i="1"/>
  <c r="I291" i="1"/>
  <c r="H291" i="1"/>
  <c r="E283" i="1"/>
  <c r="I283" i="1"/>
  <c r="H283" i="1"/>
  <c r="E275" i="1"/>
  <c r="I275" i="1"/>
  <c r="H275" i="1"/>
  <c r="E267" i="1"/>
  <c r="I267" i="1"/>
  <c r="H267" i="1"/>
  <c r="I259" i="1"/>
  <c r="H259" i="1"/>
  <c r="E251" i="1"/>
  <c r="I251" i="1"/>
  <c r="H251" i="1"/>
  <c r="I243" i="1"/>
  <c r="H243" i="1"/>
  <c r="I235" i="1"/>
  <c r="H235" i="1"/>
  <c r="E227" i="1"/>
  <c r="I227" i="1"/>
  <c r="H227" i="1"/>
  <c r="I219" i="1"/>
  <c r="H219" i="1"/>
  <c r="E211" i="1"/>
  <c r="I211" i="1"/>
  <c r="H211" i="1"/>
  <c r="I203" i="1"/>
  <c r="H203" i="1"/>
  <c r="E195" i="1"/>
  <c r="I195" i="1"/>
  <c r="H195" i="1"/>
  <c r="E187" i="1"/>
  <c r="I187" i="1"/>
  <c r="H187" i="1"/>
  <c r="E179" i="1"/>
  <c r="I179" i="1"/>
  <c r="H179" i="1"/>
  <c r="E171" i="1"/>
  <c r="I171" i="1"/>
  <c r="H171" i="1"/>
  <c r="I163" i="1"/>
  <c r="H163" i="1"/>
  <c r="E155" i="1"/>
  <c r="I155" i="1"/>
  <c r="H155" i="1"/>
  <c r="E147" i="1"/>
  <c r="I147" i="1"/>
  <c r="H147" i="1"/>
  <c r="E139" i="1"/>
  <c r="I139" i="1"/>
  <c r="H139" i="1"/>
  <c r="E131" i="1"/>
  <c r="I131" i="1"/>
  <c r="H131" i="1"/>
  <c r="E123" i="1"/>
  <c r="I123" i="1"/>
  <c r="H123" i="1"/>
  <c r="E115" i="1"/>
  <c r="I115" i="1"/>
  <c r="H115" i="1"/>
  <c r="E7860" i="1"/>
  <c r="E7084" i="1"/>
  <c r="E6828" i="1"/>
  <c r="E6572" i="1"/>
  <c r="E6316" i="1"/>
  <c r="E5940" i="1"/>
  <c r="E5748" i="1"/>
  <c r="E5620" i="1"/>
  <c r="E5492" i="1"/>
  <c r="E5236" i="1"/>
  <c r="E4476" i="1"/>
  <c r="E4252" i="1"/>
  <c r="E4124" i="1"/>
  <c r="E3844" i="1"/>
  <c r="E3612" i="1"/>
  <c r="E3548" i="1"/>
  <c r="E3492" i="1"/>
  <c r="E3452" i="1"/>
  <c r="E3100" i="1"/>
  <c r="E3036" i="1"/>
  <c r="E2980" i="1"/>
  <c r="E2940" i="1"/>
  <c r="E2788" i="1"/>
  <c r="E2452" i="1"/>
  <c r="E2396" i="1"/>
  <c r="E2300" i="1"/>
  <c r="E2260" i="1"/>
  <c r="E2172" i="1"/>
  <c r="E2108" i="1"/>
  <c r="E2004" i="1"/>
  <c r="E1940" i="1"/>
  <c r="E1748" i="1"/>
  <c r="E1684" i="1"/>
  <c r="E1620" i="1"/>
  <c r="E1556" i="1"/>
  <c r="E1340" i="1"/>
  <c r="E1140" i="1"/>
  <c r="E1028" i="1"/>
  <c r="E828" i="1"/>
  <c r="E628" i="1"/>
  <c r="F9998" i="1"/>
  <c r="I9998" i="1"/>
  <c r="E9982" i="1"/>
  <c r="I9982" i="1"/>
  <c r="F9974" i="1"/>
  <c r="I9974" i="1"/>
  <c r="E9966" i="1"/>
  <c r="I9966" i="1"/>
  <c r="F9958" i="1"/>
  <c r="I9958" i="1"/>
  <c r="E9950" i="1"/>
  <c r="I9950" i="1"/>
  <c r="E9942" i="1"/>
  <c r="I9942" i="1"/>
  <c r="F9934" i="1"/>
  <c r="I9934" i="1"/>
  <c r="E9926" i="1"/>
  <c r="I9926" i="1"/>
  <c r="F9910" i="1"/>
  <c r="I9910" i="1"/>
  <c r="E9902" i="1"/>
  <c r="I9902" i="1"/>
  <c r="E9894" i="1"/>
  <c r="I9894" i="1"/>
  <c r="F9870" i="1"/>
  <c r="I9870" i="1"/>
  <c r="E9862" i="1"/>
  <c r="I9862" i="1"/>
  <c r="F9830" i="1"/>
  <c r="I9830" i="1"/>
  <c r="F9806" i="1"/>
  <c r="I9806" i="1"/>
  <c r="E9790" i="1"/>
  <c r="I9790" i="1"/>
  <c r="F9782" i="1"/>
  <c r="I9782" i="1"/>
  <c r="E9758" i="1"/>
  <c r="I9758" i="1"/>
  <c r="E9750" i="1"/>
  <c r="I9750" i="1"/>
  <c r="F9742" i="1"/>
  <c r="I9742" i="1"/>
  <c r="E9726" i="1"/>
  <c r="I9726" i="1"/>
  <c r="E9718" i="1"/>
  <c r="I9718" i="1"/>
  <c r="E9710" i="1"/>
  <c r="I9710" i="1"/>
  <c r="F9702" i="1"/>
  <c r="I9702" i="1"/>
  <c r="E9694" i="1"/>
  <c r="I9694" i="1"/>
  <c r="E9686" i="1"/>
  <c r="I9686" i="1"/>
  <c r="E9678" i="1"/>
  <c r="I9678" i="1"/>
  <c r="E9670" i="1"/>
  <c r="I9670" i="1"/>
  <c r="F9654" i="1"/>
  <c r="I9654" i="1"/>
  <c r="E9646" i="1"/>
  <c r="I9646" i="1"/>
  <c r="F9638" i="1"/>
  <c r="I9638" i="1"/>
  <c r="F9614" i="1"/>
  <c r="I9614" i="1"/>
  <c r="E9606" i="1"/>
  <c r="I9606" i="1"/>
  <c r="F9590" i="1"/>
  <c r="I9590" i="1"/>
  <c r="F9574" i="1"/>
  <c r="I9574" i="1"/>
  <c r="E9534" i="1"/>
  <c r="I9534" i="1"/>
  <c r="F9526" i="1"/>
  <c r="I9526" i="1"/>
  <c r="E9502" i="1"/>
  <c r="I9502" i="1"/>
  <c r="E9494" i="1"/>
  <c r="I9494" i="1"/>
  <c r="F9486" i="1"/>
  <c r="I9486" i="1"/>
  <c r="E9470" i="1"/>
  <c r="I9470" i="1"/>
  <c r="F9462" i="1"/>
  <c r="I9462" i="1"/>
  <c r="E9454" i="1"/>
  <c r="I9454" i="1"/>
  <c r="F9446" i="1"/>
  <c r="I9446" i="1"/>
  <c r="E9438" i="1"/>
  <c r="I9438" i="1"/>
  <c r="E9430" i="1"/>
  <c r="I9430" i="1"/>
  <c r="F9422" i="1"/>
  <c r="I9422" i="1"/>
  <c r="E9414" i="1"/>
  <c r="I9414" i="1"/>
  <c r="F9398" i="1"/>
  <c r="I9398" i="1"/>
  <c r="E9390" i="1"/>
  <c r="I9390" i="1"/>
  <c r="E9382" i="1"/>
  <c r="I9382" i="1"/>
  <c r="F9358" i="1"/>
  <c r="I9358" i="1"/>
  <c r="E9350" i="1"/>
  <c r="I9350" i="1"/>
  <c r="F9318" i="1"/>
  <c r="I9318" i="1"/>
  <c r="F9294" i="1"/>
  <c r="I9294" i="1"/>
  <c r="E9278" i="1"/>
  <c r="I9278" i="1"/>
  <c r="F9270" i="1"/>
  <c r="I9270" i="1"/>
  <c r="E9246" i="1"/>
  <c r="I9246" i="1"/>
  <c r="E9238" i="1"/>
  <c r="I9238" i="1"/>
  <c r="F9230" i="1"/>
  <c r="I9230" i="1"/>
  <c r="E9198" i="1"/>
  <c r="I9198" i="1"/>
  <c r="F9190" i="1"/>
  <c r="I9190" i="1"/>
  <c r="E9158" i="1"/>
  <c r="I9158" i="1"/>
  <c r="F9142" i="1"/>
  <c r="I9142" i="1"/>
  <c r="F9126" i="1"/>
  <c r="I9126" i="1"/>
  <c r="E9118" i="1"/>
  <c r="I9118" i="1"/>
  <c r="F9102" i="1"/>
  <c r="I9102" i="1"/>
  <c r="E9086" i="1"/>
  <c r="I9086" i="1"/>
  <c r="F9078" i="1"/>
  <c r="I9078" i="1"/>
  <c r="F9062" i="1"/>
  <c r="I9062" i="1"/>
  <c r="E9046" i="1"/>
  <c r="I9046" i="1"/>
  <c r="E9022" i="1"/>
  <c r="I9022" i="1"/>
  <c r="F9014" i="1"/>
  <c r="I9014" i="1"/>
  <c r="E9006" i="1"/>
  <c r="I9006" i="1"/>
  <c r="F8974" i="1"/>
  <c r="I8974" i="1"/>
  <c r="F8950" i="1"/>
  <c r="I8950" i="1"/>
  <c r="F8934" i="1"/>
  <c r="I8934" i="1"/>
  <c r="F8886" i="1"/>
  <c r="I8886" i="1"/>
  <c r="F8846" i="1"/>
  <c r="I8846" i="1"/>
  <c r="F8806" i="1"/>
  <c r="I8806" i="1"/>
  <c r="F8782" i="1"/>
  <c r="I8782" i="1"/>
  <c r="F8758" i="1"/>
  <c r="I8758" i="1"/>
  <c r="F8742" i="1"/>
  <c r="I8742" i="1"/>
  <c r="F8718" i="1"/>
  <c r="I8718" i="1"/>
  <c r="F8678" i="1"/>
  <c r="I8678" i="1"/>
  <c r="F8630" i="1"/>
  <c r="I8630" i="1"/>
  <c r="F8614" i="1"/>
  <c r="I8614" i="1"/>
  <c r="F8590" i="1"/>
  <c r="I8590" i="1"/>
  <c r="F8566" i="1"/>
  <c r="I8566" i="1"/>
  <c r="F8550" i="1"/>
  <c r="I8550" i="1"/>
  <c r="F8502" i="1"/>
  <c r="I8502" i="1"/>
  <c r="F8462" i="1"/>
  <c r="I8462" i="1"/>
  <c r="F8438" i="1"/>
  <c r="I8438" i="1"/>
  <c r="F8422" i="1"/>
  <c r="I8422" i="1"/>
  <c r="F8398" i="1"/>
  <c r="I8398" i="1"/>
  <c r="F8374" i="1"/>
  <c r="I8374" i="1"/>
  <c r="F8334" i="1"/>
  <c r="I8334" i="1"/>
  <c r="F8294" i="1"/>
  <c r="I8294" i="1"/>
  <c r="F8270" i="1"/>
  <c r="I8270" i="1"/>
  <c r="F8246" i="1"/>
  <c r="I8246" i="1"/>
  <c r="F8230" i="1"/>
  <c r="I8230" i="1"/>
  <c r="F8166" i="1"/>
  <c r="I8166" i="1"/>
  <c r="F8102" i="1"/>
  <c r="I8102" i="1"/>
  <c r="I7846" i="1"/>
  <c r="H7846" i="1"/>
  <c r="I7838" i="1"/>
  <c r="H7838" i="1"/>
  <c r="I7830" i="1"/>
  <c r="H7830" i="1"/>
  <c r="I7822" i="1"/>
  <c r="H7822" i="1"/>
  <c r="I7814" i="1"/>
  <c r="H7814" i="1"/>
  <c r="I7806" i="1"/>
  <c r="H7806" i="1"/>
  <c r="I7798" i="1"/>
  <c r="H7798" i="1"/>
  <c r="I7790" i="1"/>
  <c r="H7790" i="1"/>
  <c r="I7782" i="1"/>
  <c r="H7782" i="1"/>
  <c r="I7774" i="1"/>
  <c r="H7774" i="1"/>
  <c r="I7766" i="1"/>
  <c r="H7766" i="1"/>
  <c r="I7758" i="1"/>
  <c r="H7758" i="1"/>
  <c r="I7750" i="1"/>
  <c r="H7750" i="1"/>
  <c r="I7742" i="1"/>
  <c r="H7742" i="1"/>
  <c r="I7734" i="1"/>
  <c r="H7734" i="1"/>
  <c r="I7726" i="1"/>
  <c r="H7726" i="1"/>
  <c r="I7718" i="1"/>
  <c r="H7718" i="1"/>
  <c r="I7710" i="1"/>
  <c r="H7710" i="1"/>
  <c r="I7702" i="1"/>
  <c r="H7702" i="1"/>
  <c r="I7694" i="1"/>
  <c r="H7694" i="1"/>
  <c r="I7686" i="1"/>
  <c r="H7686" i="1"/>
  <c r="I7678" i="1"/>
  <c r="H7678" i="1"/>
  <c r="I7670" i="1"/>
  <c r="H7670" i="1"/>
  <c r="I7662" i="1"/>
  <c r="H7662" i="1"/>
  <c r="I7654" i="1"/>
  <c r="H7654" i="1"/>
  <c r="I7646" i="1"/>
  <c r="H7646" i="1"/>
  <c r="I7638" i="1"/>
  <c r="H7638" i="1"/>
  <c r="I7630" i="1"/>
  <c r="H7630" i="1"/>
  <c r="I7622" i="1"/>
  <c r="H7622" i="1"/>
  <c r="I7614" i="1"/>
  <c r="H7614" i="1"/>
  <c r="I7606" i="1"/>
  <c r="H7606" i="1"/>
  <c r="I7598" i="1"/>
  <c r="H7598" i="1"/>
  <c r="I7590" i="1"/>
  <c r="H7590" i="1"/>
  <c r="I7582" i="1"/>
  <c r="H7582" i="1"/>
  <c r="I7574" i="1"/>
  <c r="H7574" i="1"/>
  <c r="I7566" i="1"/>
  <c r="H7566" i="1"/>
  <c r="I7558" i="1"/>
  <c r="H7558" i="1"/>
  <c r="I7550" i="1"/>
  <c r="H7550" i="1"/>
  <c r="I7542" i="1"/>
  <c r="H7542" i="1"/>
  <c r="I7534" i="1"/>
  <c r="H7534" i="1"/>
  <c r="I7526" i="1"/>
  <c r="H7526" i="1"/>
  <c r="I7518" i="1"/>
  <c r="H7518" i="1"/>
  <c r="I7510" i="1"/>
  <c r="H7510" i="1"/>
  <c r="I7502" i="1"/>
  <c r="H7502" i="1"/>
  <c r="I7494" i="1"/>
  <c r="H7494" i="1"/>
  <c r="I7486" i="1"/>
  <c r="H7486" i="1"/>
  <c r="I7478" i="1"/>
  <c r="H7478" i="1"/>
  <c r="I7470" i="1"/>
  <c r="H7470" i="1"/>
  <c r="I7462" i="1"/>
  <c r="H7462" i="1"/>
  <c r="I7454" i="1"/>
  <c r="H7454" i="1"/>
  <c r="I7446" i="1"/>
  <c r="H7446" i="1"/>
  <c r="I7438" i="1"/>
  <c r="H7438" i="1"/>
  <c r="I7430" i="1"/>
  <c r="H7430" i="1"/>
  <c r="I7422" i="1"/>
  <c r="H7422" i="1"/>
  <c r="I7414" i="1"/>
  <c r="H7414" i="1"/>
  <c r="I7406" i="1"/>
  <c r="H7406" i="1"/>
  <c r="I7398" i="1"/>
  <c r="H7398" i="1"/>
  <c r="I7390" i="1"/>
  <c r="H7390" i="1"/>
  <c r="I7382" i="1"/>
  <c r="H7382" i="1"/>
  <c r="I7374" i="1"/>
  <c r="H7374" i="1"/>
  <c r="I7366" i="1"/>
  <c r="H7366" i="1"/>
  <c r="I7358" i="1"/>
  <c r="H7358" i="1"/>
  <c r="I7350" i="1"/>
  <c r="H7350" i="1"/>
  <c r="I7342" i="1"/>
  <c r="H7342" i="1"/>
  <c r="I7334" i="1"/>
  <c r="H7334" i="1"/>
  <c r="I7326" i="1"/>
  <c r="H7326" i="1"/>
  <c r="I7318" i="1"/>
  <c r="H7318" i="1"/>
  <c r="I7310" i="1"/>
  <c r="H7310" i="1"/>
  <c r="I7302" i="1"/>
  <c r="H7302" i="1"/>
  <c r="I7294" i="1"/>
  <c r="H7294" i="1"/>
  <c r="I7286" i="1"/>
  <c r="H7286" i="1"/>
  <c r="I7278" i="1"/>
  <c r="H7278" i="1"/>
  <c r="I7270" i="1"/>
  <c r="H7270" i="1"/>
  <c r="I7262" i="1"/>
  <c r="H7262" i="1"/>
  <c r="I7254" i="1"/>
  <c r="H7254" i="1"/>
  <c r="I7246" i="1"/>
  <c r="H7246" i="1"/>
  <c r="I7238" i="1"/>
  <c r="H7238" i="1"/>
  <c r="I7230" i="1"/>
  <c r="H7230" i="1"/>
  <c r="I7222" i="1"/>
  <c r="H7222" i="1"/>
  <c r="I7214" i="1"/>
  <c r="H7214" i="1"/>
  <c r="I7206" i="1"/>
  <c r="H7206" i="1"/>
  <c r="I7198" i="1"/>
  <c r="H7198" i="1"/>
  <c r="I7190" i="1"/>
  <c r="H7190" i="1"/>
  <c r="I7182" i="1"/>
  <c r="H7182" i="1"/>
  <c r="I7174" i="1"/>
  <c r="H7174" i="1"/>
  <c r="I7166" i="1"/>
  <c r="H7166" i="1"/>
  <c r="I7158" i="1"/>
  <c r="H7158" i="1"/>
  <c r="I7150" i="1"/>
  <c r="H7150" i="1"/>
  <c r="I7142" i="1"/>
  <c r="H7142" i="1"/>
  <c r="I7134" i="1"/>
  <c r="H7134" i="1"/>
  <c r="I7126" i="1"/>
  <c r="H7126" i="1"/>
  <c r="I7118" i="1"/>
  <c r="H7118" i="1"/>
  <c r="I7110" i="1"/>
  <c r="H7110" i="1"/>
  <c r="I7102" i="1"/>
  <c r="H7102" i="1"/>
  <c r="I7094" i="1"/>
  <c r="H7094" i="1"/>
  <c r="I7086" i="1"/>
  <c r="H7086" i="1"/>
  <c r="I7078" i="1"/>
  <c r="H7078" i="1"/>
  <c r="I7070" i="1"/>
  <c r="H7070" i="1"/>
  <c r="I7062" i="1"/>
  <c r="H7062" i="1"/>
  <c r="I7054" i="1"/>
  <c r="H7054" i="1"/>
  <c r="I7046" i="1"/>
  <c r="H7046" i="1"/>
  <c r="I7038" i="1"/>
  <c r="H7038" i="1"/>
  <c r="I7030" i="1"/>
  <c r="H7030" i="1"/>
  <c r="I7022" i="1"/>
  <c r="H7022" i="1"/>
  <c r="I7014" i="1"/>
  <c r="H7014" i="1"/>
  <c r="I7006" i="1"/>
  <c r="H7006" i="1"/>
  <c r="I6998" i="1"/>
  <c r="H6998" i="1"/>
  <c r="I6990" i="1"/>
  <c r="H6990" i="1"/>
  <c r="I6982" i="1"/>
  <c r="H6982" i="1"/>
  <c r="I6974" i="1"/>
  <c r="H6974" i="1"/>
  <c r="I6966" i="1"/>
  <c r="H6966" i="1"/>
  <c r="I6958" i="1"/>
  <c r="H6958" i="1"/>
  <c r="I6950" i="1"/>
  <c r="H6950" i="1"/>
  <c r="I6942" i="1"/>
  <c r="H6942" i="1"/>
  <c r="I6934" i="1"/>
  <c r="H6934" i="1"/>
  <c r="I6926" i="1"/>
  <c r="H6926" i="1"/>
  <c r="I6918" i="1"/>
  <c r="H6918" i="1"/>
  <c r="I6910" i="1"/>
  <c r="H6910" i="1"/>
  <c r="I6902" i="1"/>
  <c r="H6902" i="1"/>
  <c r="I6894" i="1"/>
  <c r="H6894" i="1"/>
  <c r="I6886" i="1"/>
  <c r="H6886" i="1"/>
  <c r="I6878" i="1"/>
  <c r="H6878" i="1"/>
  <c r="I6870" i="1"/>
  <c r="H6870" i="1"/>
  <c r="I6862" i="1"/>
  <c r="H6862" i="1"/>
  <c r="I6854" i="1"/>
  <c r="H6854" i="1"/>
  <c r="I6846" i="1"/>
  <c r="H6846" i="1"/>
  <c r="I6838" i="1"/>
  <c r="H6838" i="1"/>
  <c r="I6830" i="1"/>
  <c r="H6830" i="1"/>
  <c r="I6822" i="1"/>
  <c r="H6822" i="1"/>
  <c r="I6814" i="1"/>
  <c r="H6814" i="1"/>
  <c r="I6806" i="1"/>
  <c r="H6806" i="1"/>
  <c r="I6798" i="1"/>
  <c r="H6798" i="1"/>
  <c r="I6790" i="1"/>
  <c r="H6790" i="1"/>
  <c r="I6782" i="1"/>
  <c r="H6782" i="1"/>
  <c r="I6774" i="1"/>
  <c r="H6774" i="1"/>
  <c r="I6766" i="1"/>
  <c r="H6766" i="1"/>
  <c r="I6758" i="1"/>
  <c r="H6758" i="1"/>
  <c r="I6750" i="1"/>
  <c r="H6750" i="1"/>
  <c r="I6742" i="1"/>
  <c r="H6742" i="1"/>
  <c r="I6734" i="1"/>
  <c r="H6734" i="1"/>
  <c r="I6726" i="1"/>
  <c r="H6726" i="1"/>
  <c r="I6718" i="1"/>
  <c r="H6718" i="1"/>
  <c r="I6710" i="1"/>
  <c r="H6710" i="1"/>
  <c r="I6702" i="1"/>
  <c r="H6702" i="1"/>
  <c r="I6694" i="1"/>
  <c r="H6694" i="1"/>
  <c r="I6686" i="1"/>
  <c r="H6686" i="1"/>
  <c r="I6678" i="1"/>
  <c r="H6678" i="1"/>
  <c r="I6670" i="1"/>
  <c r="H6670" i="1"/>
  <c r="I6662" i="1"/>
  <c r="H6662" i="1"/>
  <c r="I6654" i="1"/>
  <c r="H6654" i="1"/>
  <c r="I6646" i="1"/>
  <c r="H6646" i="1"/>
  <c r="I6638" i="1"/>
  <c r="H6638" i="1"/>
  <c r="I6630" i="1"/>
  <c r="H6630" i="1"/>
  <c r="I6622" i="1"/>
  <c r="H6622" i="1"/>
  <c r="I6614" i="1"/>
  <c r="H6614" i="1"/>
  <c r="I6606" i="1"/>
  <c r="H6606" i="1"/>
  <c r="I6598" i="1"/>
  <c r="H6598" i="1"/>
  <c r="I6590" i="1"/>
  <c r="H6590" i="1"/>
  <c r="I6582" i="1"/>
  <c r="H6582" i="1"/>
  <c r="I6574" i="1"/>
  <c r="H6574" i="1"/>
  <c r="I6566" i="1"/>
  <c r="H6566" i="1"/>
  <c r="I6558" i="1"/>
  <c r="H6558" i="1"/>
  <c r="I6550" i="1"/>
  <c r="H6550" i="1"/>
  <c r="I6542" i="1"/>
  <c r="H6542" i="1"/>
  <c r="I6534" i="1"/>
  <c r="H6534" i="1"/>
  <c r="I6526" i="1"/>
  <c r="H6526" i="1"/>
  <c r="I6518" i="1"/>
  <c r="H6518" i="1"/>
  <c r="I6510" i="1"/>
  <c r="H6510" i="1"/>
  <c r="I6502" i="1"/>
  <c r="H6502" i="1"/>
  <c r="I6494" i="1"/>
  <c r="H6494" i="1"/>
  <c r="I6486" i="1"/>
  <c r="H6486" i="1"/>
  <c r="I6478" i="1"/>
  <c r="H6478" i="1"/>
  <c r="I6470" i="1"/>
  <c r="H6470" i="1"/>
  <c r="I6462" i="1"/>
  <c r="H6462" i="1"/>
  <c r="I6454" i="1"/>
  <c r="H6454" i="1"/>
  <c r="I6446" i="1"/>
  <c r="H6446" i="1"/>
  <c r="I6438" i="1"/>
  <c r="H6438" i="1"/>
  <c r="I6430" i="1"/>
  <c r="H6430" i="1"/>
  <c r="I6422" i="1"/>
  <c r="H6422" i="1"/>
  <c r="I6414" i="1"/>
  <c r="H6414" i="1"/>
  <c r="I6406" i="1"/>
  <c r="H6406" i="1"/>
  <c r="I6398" i="1"/>
  <c r="H6398" i="1"/>
  <c r="I6390" i="1"/>
  <c r="H6390" i="1"/>
  <c r="I6382" i="1"/>
  <c r="H6382" i="1"/>
  <c r="I6374" i="1"/>
  <c r="H6374" i="1"/>
  <c r="I6366" i="1"/>
  <c r="H6366" i="1"/>
  <c r="I6358" i="1"/>
  <c r="H6358" i="1"/>
  <c r="I6350" i="1"/>
  <c r="H6350" i="1"/>
  <c r="I6342" i="1"/>
  <c r="H6342" i="1"/>
  <c r="I6334" i="1"/>
  <c r="H6334" i="1"/>
  <c r="I6326" i="1"/>
  <c r="H6326" i="1"/>
  <c r="I6318" i="1"/>
  <c r="H6318" i="1"/>
  <c r="I6310" i="1"/>
  <c r="H6310" i="1"/>
  <c r="I6302" i="1"/>
  <c r="H6302" i="1"/>
  <c r="I6294" i="1"/>
  <c r="H6294" i="1"/>
  <c r="I6286" i="1"/>
  <c r="H6286" i="1"/>
  <c r="I6278" i="1"/>
  <c r="H6278" i="1"/>
  <c r="I6270" i="1"/>
  <c r="H6270" i="1"/>
  <c r="I6262" i="1"/>
  <c r="H6262" i="1"/>
  <c r="I6254" i="1"/>
  <c r="H6254" i="1"/>
  <c r="I6246" i="1"/>
  <c r="H6246" i="1"/>
  <c r="I6238" i="1"/>
  <c r="H6238" i="1"/>
  <c r="I6230" i="1"/>
  <c r="H6230" i="1"/>
  <c r="I6222" i="1"/>
  <c r="H6222" i="1"/>
  <c r="I6214" i="1"/>
  <c r="H6214" i="1"/>
  <c r="I6206" i="1"/>
  <c r="H6206" i="1"/>
  <c r="I6198" i="1"/>
  <c r="H6198" i="1"/>
  <c r="I6190" i="1"/>
  <c r="H6190" i="1"/>
  <c r="I6182" i="1"/>
  <c r="H6182" i="1"/>
  <c r="I6174" i="1"/>
  <c r="H6174" i="1"/>
  <c r="I6166" i="1"/>
  <c r="H6166" i="1"/>
  <c r="I6158" i="1"/>
  <c r="H6158" i="1"/>
  <c r="I6150" i="1"/>
  <c r="H6150" i="1"/>
  <c r="I6142" i="1"/>
  <c r="H6142" i="1"/>
  <c r="I6134" i="1"/>
  <c r="H6134" i="1"/>
  <c r="I6126" i="1"/>
  <c r="H6126" i="1"/>
  <c r="I6118" i="1"/>
  <c r="H6118" i="1"/>
  <c r="I6110" i="1"/>
  <c r="H6110" i="1"/>
  <c r="I6102" i="1"/>
  <c r="H6102" i="1"/>
  <c r="I6094" i="1"/>
  <c r="H6094" i="1"/>
  <c r="I6086" i="1"/>
  <c r="H6086" i="1"/>
  <c r="I6078" i="1"/>
  <c r="H6078" i="1"/>
  <c r="I6070" i="1"/>
  <c r="H6070" i="1"/>
  <c r="I6062" i="1"/>
  <c r="H6062" i="1"/>
  <c r="I6054" i="1"/>
  <c r="H6054" i="1"/>
  <c r="I6046" i="1"/>
  <c r="H6046" i="1"/>
  <c r="I6038" i="1"/>
  <c r="H6038" i="1"/>
  <c r="I6030" i="1"/>
  <c r="H6030" i="1"/>
  <c r="I6022" i="1"/>
  <c r="H6022" i="1"/>
  <c r="I6014" i="1"/>
  <c r="H6014" i="1"/>
  <c r="I6006" i="1"/>
  <c r="H6006" i="1"/>
  <c r="I5998" i="1"/>
  <c r="H5998" i="1"/>
  <c r="I5990" i="1"/>
  <c r="H5990" i="1"/>
  <c r="I5982" i="1"/>
  <c r="H5982" i="1"/>
  <c r="I5974" i="1"/>
  <c r="H5974" i="1"/>
  <c r="I5966" i="1"/>
  <c r="H5966" i="1"/>
  <c r="I5958" i="1"/>
  <c r="H5958" i="1"/>
  <c r="I5950" i="1"/>
  <c r="H5950" i="1"/>
  <c r="I5942" i="1"/>
  <c r="H5942" i="1"/>
  <c r="I5934" i="1"/>
  <c r="H5934" i="1"/>
  <c r="I5926" i="1"/>
  <c r="H5926" i="1"/>
  <c r="I5918" i="1"/>
  <c r="H5918" i="1"/>
  <c r="I5910" i="1"/>
  <c r="H5910" i="1"/>
  <c r="I5902" i="1"/>
  <c r="H5902" i="1"/>
  <c r="I5894" i="1"/>
  <c r="H5894" i="1"/>
  <c r="I5886" i="1"/>
  <c r="H5886" i="1"/>
  <c r="I5878" i="1"/>
  <c r="H5878" i="1"/>
  <c r="I5870" i="1"/>
  <c r="H5870" i="1"/>
  <c r="I5862" i="1"/>
  <c r="H5862" i="1"/>
  <c r="I5854" i="1"/>
  <c r="H5854" i="1"/>
  <c r="I5846" i="1"/>
  <c r="H5846" i="1"/>
  <c r="I5838" i="1"/>
  <c r="H5838" i="1"/>
  <c r="I5830" i="1"/>
  <c r="H5830" i="1"/>
  <c r="I5822" i="1"/>
  <c r="H5822" i="1"/>
  <c r="I5814" i="1"/>
  <c r="H5814" i="1"/>
  <c r="I5806" i="1"/>
  <c r="H5806" i="1"/>
  <c r="I5798" i="1"/>
  <c r="H5798" i="1"/>
  <c r="I5790" i="1"/>
  <c r="H5790" i="1"/>
  <c r="I5782" i="1"/>
  <c r="H5782" i="1"/>
  <c r="I5774" i="1"/>
  <c r="H5774" i="1"/>
  <c r="I5766" i="1"/>
  <c r="H5766" i="1"/>
  <c r="I5758" i="1"/>
  <c r="H5758" i="1"/>
  <c r="I5750" i="1"/>
  <c r="H5750" i="1"/>
  <c r="I5742" i="1"/>
  <c r="H5742" i="1"/>
  <c r="I5734" i="1"/>
  <c r="H5734" i="1"/>
  <c r="I5726" i="1"/>
  <c r="H5726" i="1"/>
  <c r="I5718" i="1"/>
  <c r="H5718" i="1"/>
  <c r="I5710" i="1"/>
  <c r="H5710" i="1"/>
  <c r="I5702" i="1"/>
  <c r="H5702" i="1"/>
  <c r="I5694" i="1"/>
  <c r="H5694" i="1"/>
  <c r="F5686" i="1"/>
  <c r="I5686" i="1"/>
  <c r="H5686" i="1"/>
  <c r="F5678" i="1"/>
  <c r="I5678" i="1"/>
  <c r="H5678" i="1"/>
  <c r="F5670" i="1"/>
  <c r="I5670" i="1"/>
  <c r="H5670" i="1"/>
  <c r="F5662" i="1"/>
  <c r="I5662" i="1"/>
  <c r="H5662" i="1"/>
  <c r="F5654" i="1"/>
  <c r="I5654" i="1"/>
  <c r="H5654" i="1"/>
  <c r="I5646" i="1"/>
  <c r="H5646" i="1"/>
  <c r="I5638" i="1"/>
  <c r="H5638" i="1"/>
  <c r="I5630" i="1"/>
  <c r="H5630" i="1"/>
  <c r="I5622" i="1"/>
  <c r="H5622" i="1"/>
  <c r="I5614" i="1"/>
  <c r="H5614" i="1"/>
  <c r="I5606" i="1"/>
  <c r="H5606" i="1"/>
  <c r="I5598" i="1"/>
  <c r="H5598" i="1"/>
  <c r="I5590" i="1"/>
  <c r="H5590" i="1"/>
  <c r="I5582" i="1"/>
  <c r="H5582" i="1"/>
  <c r="I5574" i="1"/>
  <c r="H5574" i="1"/>
  <c r="I5566" i="1"/>
  <c r="H5566" i="1"/>
  <c r="I5558" i="1"/>
  <c r="H5558" i="1"/>
  <c r="I5550" i="1"/>
  <c r="H5550" i="1"/>
  <c r="I5542" i="1"/>
  <c r="H5542" i="1"/>
  <c r="I5534" i="1"/>
  <c r="H5534" i="1"/>
  <c r="I5526" i="1"/>
  <c r="H5526" i="1"/>
  <c r="I5518" i="1"/>
  <c r="H5518" i="1"/>
  <c r="I5510" i="1"/>
  <c r="H5510" i="1"/>
  <c r="I5502" i="1"/>
  <c r="H5502" i="1"/>
  <c r="I5494" i="1"/>
  <c r="H5494" i="1"/>
  <c r="I5486" i="1"/>
  <c r="H5486" i="1"/>
  <c r="I5478" i="1"/>
  <c r="H5478" i="1"/>
  <c r="I5470" i="1"/>
  <c r="H5470" i="1"/>
  <c r="I5462" i="1"/>
  <c r="H5462" i="1"/>
  <c r="I5454" i="1"/>
  <c r="H5454" i="1"/>
  <c r="I5446" i="1"/>
  <c r="H5446" i="1"/>
  <c r="I5438" i="1"/>
  <c r="H5438" i="1"/>
  <c r="I5430" i="1"/>
  <c r="H5430" i="1"/>
  <c r="I5422" i="1"/>
  <c r="H5422" i="1"/>
  <c r="I5414" i="1"/>
  <c r="H5414" i="1"/>
  <c r="I5406" i="1"/>
  <c r="H5406" i="1"/>
  <c r="I5398" i="1"/>
  <c r="H5398" i="1"/>
  <c r="I5390" i="1"/>
  <c r="H5390" i="1"/>
  <c r="I5382" i="1"/>
  <c r="H5382" i="1"/>
  <c r="I5374" i="1"/>
  <c r="H5374" i="1"/>
  <c r="I5366" i="1"/>
  <c r="H5366" i="1"/>
  <c r="I5358" i="1"/>
  <c r="H5358" i="1"/>
  <c r="I5350" i="1"/>
  <c r="H5350" i="1"/>
  <c r="I5342" i="1"/>
  <c r="H5342" i="1"/>
  <c r="I5334" i="1"/>
  <c r="H5334" i="1"/>
  <c r="I5326" i="1"/>
  <c r="H5326" i="1"/>
  <c r="I5318" i="1"/>
  <c r="H5318" i="1"/>
  <c r="I5310" i="1"/>
  <c r="H5310" i="1"/>
  <c r="I5302" i="1"/>
  <c r="H5302" i="1"/>
  <c r="I5294" i="1"/>
  <c r="H5294" i="1"/>
  <c r="I5286" i="1"/>
  <c r="H5286" i="1"/>
  <c r="I5278" i="1"/>
  <c r="H5278" i="1"/>
  <c r="I5270" i="1"/>
  <c r="H5270" i="1"/>
  <c r="I5262" i="1"/>
  <c r="H5262" i="1"/>
  <c r="I5254" i="1"/>
  <c r="H5254" i="1"/>
  <c r="I5246" i="1"/>
  <c r="H5246" i="1"/>
  <c r="I5238" i="1"/>
  <c r="H5238" i="1"/>
  <c r="I5230" i="1"/>
  <c r="H5230" i="1"/>
  <c r="I5222" i="1"/>
  <c r="H5222" i="1"/>
  <c r="I5214" i="1"/>
  <c r="H5214" i="1"/>
  <c r="I5206" i="1"/>
  <c r="H5206" i="1"/>
  <c r="I5198" i="1"/>
  <c r="H5198" i="1"/>
  <c r="I5190" i="1"/>
  <c r="H5190" i="1"/>
  <c r="I5182" i="1"/>
  <c r="H5182" i="1"/>
  <c r="I5174" i="1"/>
  <c r="H5174" i="1"/>
  <c r="I5166" i="1"/>
  <c r="H5166" i="1"/>
  <c r="I5158" i="1"/>
  <c r="H5158" i="1"/>
  <c r="I5150" i="1"/>
  <c r="H5150" i="1"/>
  <c r="I5142" i="1"/>
  <c r="H5142" i="1"/>
  <c r="I5134" i="1"/>
  <c r="H5134" i="1"/>
  <c r="I5126" i="1"/>
  <c r="H5126" i="1"/>
  <c r="I5118" i="1"/>
  <c r="H5118" i="1"/>
  <c r="I5110" i="1"/>
  <c r="H5110" i="1"/>
  <c r="I5102" i="1"/>
  <c r="H5102" i="1"/>
  <c r="I5094" i="1"/>
  <c r="H5094" i="1"/>
  <c r="I5086" i="1"/>
  <c r="H5086" i="1"/>
  <c r="I5078" i="1"/>
  <c r="H5078" i="1"/>
  <c r="I5070" i="1"/>
  <c r="H5070" i="1"/>
  <c r="I5062" i="1"/>
  <c r="H5062" i="1"/>
  <c r="I5054" i="1"/>
  <c r="H5054" i="1"/>
  <c r="I5046" i="1"/>
  <c r="H5046" i="1"/>
  <c r="I5038" i="1"/>
  <c r="H5038" i="1"/>
  <c r="I5030" i="1"/>
  <c r="H5030" i="1"/>
  <c r="I5022" i="1"/>
  <c r="H5022" i="1"/>
  <c r="I5014" i="1"/>
  <c r="H5014" i="1"/>
  <c r="I5006" i="1"/>
  <c r="H5006" i="1"/>
  <c r="I4998" i="1"/>
  <c r="H4998" i="1"/>
  <c r="I4990" i="1"/>
  <c r="H4990" i="1"/>
  <c r="I4982" i="1"/>
  <c r="H4982" i="1"/>
  <c r="I4974" i="1"/>
  <c r="H4974" i="1"/>
  <c r="I4966" i="1"/>
  <c r="H4966" i="1"/>
  <c r="I4958" i="1"/>
  <c r="H4958" i="1"/>
  <c r="I4950" i="1"/>
  <c r="H4950" i="1"/>
  <c r="I4942" i="1"/>
  <c r="H4942" i="1"/>
  <c r="I4934" i="1"/>
  <c r="H4934" i="1"/>
  <c r="I4926" i="1"/>
  <c r="H4926" i="1"/>
  <c r="I4918" i="1"/>
  <c r="H4918" i="1"/>
  <c r="I4910" i="1"/>
  <c r="H4910" i="1"/>
  <c r="I4902" i="1"/>
  <c r="H4902" i="1"/>
  <c r="I4894" i="1"/>
  <c r="H4894" i="1"/>
  <c r="I4886" i="1"/>
  <c r="H4886" i="1"/>
  <c r="I4878" i="1"/>
  <c r="H4878" i="1"/>
  <c r="I4870" i="1"/>
  <c r="H4870" i="1"/>
  <c r="I4862" i="1"/>
  <c r="H4862" i="1"/>
  <c r="I4854" i="1"/>
  <c r="H4854" i="1"/>
  <c r="I4846" i="1"/>
  <c r="H4846" i="1"/>
  <c r="I4838" i="1"/>
  <c r="H4838" i="1"/>
  <c r="I4830" i="1"/>
  <c r="H4830" i="1"/>
  <c r="I4822" i="1"/>
  <c r="H4822" i="1"/>
  <c r="I4814" i="1"/>
  <c r="H4814" i="1"/>
  <c r="I4806" i="1"/>
  <c r="H4806" i="1"/>
  <c r="I4798" i="1"/>
  <c r="H4798" i="1"/>
  <c r="I4790" i="1"/>
  <c r="H4790" i="1"/>
  <c r="I4782" i="1"/>
  <c r="H4782" i="1"/>
  <c r="I4774" i="1"/>
  <c r="H4774" i="1"/>
  <c r="I4766" i="1"/>
  <c r="H4766" i="1"/>
  <c r="I4758" i="1"/>
  <c r="H4758" i="1"/>
  <c r="I4750" i="1"/>
  <c r="H4750" i="1"/>
  <c r="I4742" i="1"/>
  <c r="H4742" i="1"/>
  <c r="I4734" i="1"/>
  <c r="H4734" i="1"/>
  <c r="I4726" i="1"/>
  <c r="H4726" i="1"/>
  <c r="I4718" i="1"/>
  <c r="H4718" i="1"/>
  <c r="I4710" i="1"/>
  <c r="H4710" i="1"/>
  <c r="I4702" i="1"/>
  <c r="H4702" i="1"/>
  <c r="I4694" i="1"/>
  <c r="H4694" i="1"/>
  <c r="I4686" i="1"/>
  <c r="H4686" i="1"/>
  <c r="I4678" i="1"/>
  <c r="H4678" i="1"/>
  <c r="I4670" i="1"/>
  <c r="H4670" i="1"/>
  <c r="I4662" i="1"/>
  <c r="H4662" i="1"/>
  <c r="I4654" i="1"/>
  <c r="H4654" i="1"/>
  <c r="I4646" i="1"/>
  <c r="H4646" i="1"/>
  <c r="I4638" i="1"/>
  <c r="H4638" i="1"/>
  <c r="I4630" i="1"/>
  <c r="H4630" i="1"/>
  <c r="I4622" i="1"/>
  <c r="H4622" i="1"/>
  <c r="I4614" i="1"/>
  <c r="H4614" i="1"/>
  <c r="I4606" i="1"/>
  <c r="H4606" i="1"/>
  <c r="I4598" i="1"/>
  <c r="H4598" i="1"/>
  <c r="I4590" i="1"/>
  <c r="H4590" i="1"/>
  <c r="I4582" i="1"/>
  <c r="H4582" i="1"/>
  <c r="I4574" i="1"/>
  <c r="H4574" i="1"/>
  <c r="I4566" i="1"/>
  <c r="H4566" i="1"/>
  <c r="I4558" i="1"/>
  <c r="H4558" i="1"/>
  <c r="I4550" i="1"/>
  <c r="H4550" i="1"/>
  <c r="I4542" i="1"/>
  <c r="H4542" i="1"/>
  <c r="I4534" i="1"/>
  <c r="H4534" i="1"/>
  <c r="I4526" i="1"/>
  <c r="H4526" i="1"/>
  <c r="I4518" i="1"/>
  <c r="H4518" i="1"/>
  <c r="I4510" i="1"/>
  <c r="H4510" i="1"/>
  <c r="I4502" i="1"/>
  <c r="H4502" i="1"/>
  <c r="I4494" i="1"/>
  <c r="H4494" i="1"/>
  <c r="I4486" i="1"/>
  <c r="H4486" i="1"/>
  <c r="I4478" i="1"/>
  <c r="H4478" i="1"/>
  <c r="I4470" i="1"/>
  <c r="H4470" i="1"/>
  <c r="I4462" i="1"/>
  <c r="H4462" i="1"/>
  <c r="I4454" i="1"/>
  <c r="H4454" i="1"/>
  <c r="I4446" i="1"/>
  <c r="H4446" i="1"/>
  <c r="I4438" i="1"/>
  <c r="H4438" i="1"/>
  <c r="I4430" i="1"/>
  <c r="H4430" i="1"/>
  <c r="I4422" i="1"/>
  <c r="H4422" i="1"/>
  <c r="I4414" i="1"/>
  <c r="H4414" i="1"/>
  <c r="I4406" i="1"/>
  <c r="H4406" i="1"/>
  <c r="I4398" i="1"/>
  <c r="H4398" i="1"/>
  <c r="I4390" i="1"/>
  <c r="H4390" i="1"/>
  <c r="I4382" i="1"/>
  <c r="H4382" i="1"/>
  <c r="I4374" i="1"/>
  <c r="H4374" i="1"/>
  <c r="I4366" i="1"/>
  <c r="H4366" i="1"/>
  <c r="I4358" i="1"/>
  <c r="H4358" i="1"/>
  <c r="I4350" i="1"/>
  <c r="H4350" i="1"/>
  <c r="I4342" i="1"/>
  <c r="H4342" i="1"/>
  <c r="I4334" i="1"/>
  <c r="H4334" i="1"/>
  <c r="I4326" i="1"/>
  <c r="H4326" i="1"/>
  <c r="I4318" i="1"/>
  <c r="H4318" i="1"/>
  <c r="I4310" i="1"/>
  <c r="H4310" i="1"/>
  <c r="I4302" i="1"/>
  <c r="H4302" i="1"/>
  <c r="I4294" i="1"/>
  <c r="H4294" i="1"/>
  <c r="I4286" i="1"/>
  <c r="H4286" i="1"/>
  <c r="I4278" i="1"/>
  <c r="H4278" i="1"/>
  <c r="I4270" i="1"/>
  <c r="H4270" i="1"/>
  <c r="I4262" i="1"/>
  <c r="H4262" i="1"/>
  <c r="I4254" i="1"/>
  <c r="H4254" i="1"/>
  <c r="I4246" i="1"/>
  <c r="H4246" i="1"/>
  <c r="I4238" i="1"/>
  <c r="H4238" i="1"/>
  <c r="I4230" i="1"/>
  <c r="H4230" i="1"/>
  <c r="I4222" i="1"/>
  <c r="H4222" i="1"/>
  <c r="I4214" i="1"/>
  <c r="H4214" i="1"/>
  <c r="I4206" i="1"/>
  <c r="H4206" i="1"/>
  <c r="I4198" i="1"/>
  <c r="H4198" i="1"/>
  <c r="I4190" i="1"/>
  <c r="H4190" i="1"/>
  <c r="I4182" i="1"/>
  <c r="H4182" i="1"/>
  <c r="I4174" i="1"/>
  <c r="H4174" i="1"/>
  <c r="I4166" i="1"/>
  <c r="H4166" i="1"/>
  <c r="I4158" i="1"/>
  <c r="H4158" i="1"/>
  <c r="I4150" i="1"/>
  <c r="H4150" i="1"/>
  <c r="I4142" i="1"/>
  <c r="H4142" i="1"/>
  <c r="I4134" i="1"/>
  <c r="H4134" i="1"/>
  <c r="I4126" i="1"/>
  <c r="H4126" i="1"/>
  <c r="I4118" i="1"/>
  <c r="H4118" i="1"/>
  <c r="I4110" i="1"/>
  <c r="H4110" i="1"/>
  <c r="I4102" i="1"/>
  <c r="H4102" i="1"/>
  <c r="I4094" i="1"/>
  <c r="H4094" i="1"/>
  <c r="I4086" i="1"/>
  <c r="H4086" i="1"/>
  <c r="I4078" i="1"/>
  <c r="H4078" i="1"/>
  <c r="I4070" i="1"/>
  <c r="H4070" i="1"/>
  <c r="I4062" i="1"/>
  <c r="H4062" i="1"/>
  <c r="I4054" i="1"/>
  <c r="H4054" i="1"/>
  <c r="I4046" i="1"/>
  <c r="H4046" i="1"/>
  <c r="I4038" i="1"/>
  <c r="H4038" i="1"/>
  <c r="I4030" i="1"/>
  <c r="H4030" i="1"/>
  <c r="I4022" i="1"/>
  <c r="H4022" i="1"/>
  <c r="I4014" i="1"/>
  <c r="H4014" i="1"/>
  <c r="I4006" i="1"/>
  <c r="H4006" i="1"/>
  <c r="I3998" i="1"/>
  <c r="H3998" i="1"/>
  <c r="I3990" i="1"/>
  <c r="H3990" i="1"/>
  <c r="I3982" i="1"/>
  <c r="H3982" i="1"/>
  <c r="I3974" i="1"/>
  <c r="H3974" i="1"/>
  <c r="I3966" i="1"/>
  <c r="H3966" i="1"/>
  <c r="I3958" i="1"/>
  <c r="H3958" i="1"/>
  <c r="I3950" i="1"/>
  <c r="H3950" i="1"/>
  <c r="I3942" i="1"/>
  <c r="H3942" i="1"/>
  <c r="I3934" i="1"/>
  <c r="H3934" i="1"/>
  <c r="I3926" i="1"/>
  <c r="H3926" i="1"/>
  <c r="I3918" i="1"/>
  <c r="H3918" i="1"/>
  <c r="I3910" i="1"/>
  <c r="H3910" i="1"/>
  <c r="I3902" i="1"/>
  <c r="H3902" i="1"/>
  <c r="I3894" i="1"/>
  <c r="H3894" i="1"/>
  <c r="I3886" i="1"/>
  <c r="H3886" i="1"/>
  <c r="I3878" i="1"/>
  <c r="H3878" i="1"/>
  <c r="I3870" i="1"/>
  <c r="H3870" i="1"/>
  <c r="I3862" i="1"/>
  <c r="H3862" i="1"/>
  <c r="I3854" i="1"/>
  <c r="H3854" i="1"/>
  <c r="I3846" i="1"/>
  <c r="H3846" i="1"/>
  <c r="I3838" i="1"/>
  <c r="H3838" i="1"/>
  <c r="I3830" i="1"/>
  <c r="H3830" i="1"/>
  <c r="I3822" i="1"/>
  <c r="H3822" i="1"/>
  <c r="I3814" i="1"/>
  <c r="H3814" i="1"/>
  <c r="I3806" i="1"/>
  <c r="H3806" i="1"/>
  <c r="I3798" i="1"/>
  <c r="H3798" i="1"/>
  <c r="I3790" i="1"/>
  <c r="H3790" i="1"/>
  <c r="I3782" i="1"/>
  <c r="H3782" i="1"/>
  <c r="I3774" i="1"/>
  <c r="H3774" i="1"/>
  <c r="I3766" i="1"/>
  <c r="H3766" i="1"/>
  <c r="I3758" i="1"/>
  <c r="H3758" i="1"/>
  <c r="I3750" i="1"/>
  <c r="H3750" i="1"/>
  <c r="I3742" i="1"/>
  <c r="H3742" i="1"/>
  <c r="I3734" i="1"/>
  <c r="H3734" i="1"/>
  <c r="I3726" i="1"/>
  <c r="H3726" i="1"/>
  <c r="I3718" i="1"/>
  <c r="H3718" i="1"/>
  <c r="I3710" i="1"/>
  <c r="H3710" i="1"/>
  <c r="I3702" i="1"/>
  <c r="H3702" i="1"/>
  <c r="I3694" i="1"/>
  <c r="H3694" i="1"/>
  <c r="I3686" i="1"/>
  <c r="H3686" i="1"/>
  <c r="I3678" i="1"/>
  <c r="H3678" i="1"/>
  <c r="I3670" i="1"/>
  <c r="H3670" i="1"/>
  <c r="I3662" i="1"/>
  <c r="H3662" i="1"/>
  <c r="I3654" i="1"/>
  <c r="H3654" i="1"/>
  <c r="I3646" i="1"/>
  <c r="H3646" i="1"/>
  <c r="I3638" i="1"/>
  <c r="H3638" i="1"/>
  <c r="I3630" i="1"/>
  <c r="H3630" i="1"/>
  <c r="I3622" i="1"/>
  <c r="H3622" i="1"/>
  <c r="I3614" i="1"/>
  <c r="H3614" i="1"/>
  <c r="I3606" i="1"/>
  <c r="H3606" i="1"/>
  <c r="I3598" i="1"/>
  <c r="H3598" i="1"/>
  <c r="I3590" i="1"/>
  <c r="H3590" i="1"/>
  <c r="I3582" i="1"/>
  <c r="H3582" i="1"/>
  <c r="I3574" i="1"/>
  <c r="H3574" i="1"/>
  <c r="I3566" i="1"/>
  <c r="H3566" i="1"/>
  <c r="I3558" i="1"/>
  <c r="H3558" i="1"/>
  <c r="I3550" i="1"/>
  <c r="H3550" i="1"/>
  <c r="I3542" i="1"/>
  <c r="H3542" i="1"/>
  <c r="I3534" i="1"/>
  <c r="H3534" i="1"/>
  <c r="I3526" i="1"/>
  <c r="H3526" i="1"/>
  <c r="I3518" i="1"/>
  <c r="H3518" i="1"/>
  <c r="I3510" i="1"/>
  <c r="H3510" i="1"/>
  <c r="I3502" i="1"/>
  <c r="H3502" i="1"/>
  <c r="I3494" i="1"/>
  <c r="H3494" i="1"/>
  <c r="I3486" i="1"/>
  <c r="H3486" i="1"/>
  <c r="I3478" i="1"/>
  <c r="H3478" i="1"/>
  <c r="I3470" i="1"/>
  <c r="H3470" i="1"/>
  <c r="I3462" i="1"/>
  <c r="H3462" i="1"/>
  <c r="I3454" i="1"/>
  <c r="H3454" i="1"/>
  <c r="I3446" i="1"/>
  <c r="H3446" i="1"/>
  <c r="I3438" i="1"/>
  <c r="H3438" i="1"/>
  <c r="I3430" i="1"/>
  <c r="H3430" i="1"/>
  <c r="I3422" i="1"/>
  <c r="H3422" i="1"/>
  <c r="I3414" i="1"/>
  <c r="H3414" i="1"/>
  <c r="I3406" i="1"/>
  <c r="H3406" i="1"/>
  <c r="I3398" i="1"/>
  <c r="H3398" i="1"/>
  <c r="I3390" i="1"/>
  <c r="H3390" i="1"/>
  <c r="I3382" i="1"/>
  <c r="H3382" i="1"/>
  <c r="I3374" i="1"/>
  <c r="H3374" i="1"/>
  <c r="I3366" i="1"/>
  <c r="H3366" i="1"/>
  <c r="I3358" i="1"/>
  <c r="H3358" i="1"/>
  <c r="I3350" i="1"/>
  <c r="H3350" i="1"/>
  <c r="I3342" i="1"/>
  <c r="H3342" i="1"/>
  <c r="I3334" i="1"/>
  <c r="H3334" i="1"/>
  <c r="I3326" i="1"/>
  <c r="H3326" i="1"/>
  <c r="I3318" i="1"/>
  <c r="H3318" i="1"/>
  <c r="I3310" i="1"/>
  <c r="H3310" i="1"/>
  <c r="I3302" i="1"/>
  <c r="H3302" i="1"/>
  <c r="I3294" i="1"/>
  <c r="H3294" i="1"/>
  <c r="I3286" i="1"/>
  <c r="H3286" i="1"/>
  <c r="I3278" i="1"/>
  <c r="H3278" i="1"/>
  <c r="I3270" i="1"/>
  <c r="H3270" i="1"/>
  <c r="I3262" i="1"/>
  <c r="H3262" i="1"/>
  <c r="I3254" i="1"/>
  <c r="H3254" i="1"/>
  <c r="I3246" i="1"/>
  <c r="H3246" i="1"/>
  <c r="I3238" i="1"/>
  <c r="H3238" i="1"/>
  <c r="I3230" i="1"/>
  <c r="H3230" i="1"/>
  <c r="I3222" i="1"/>
  <c r="H3222" i="1"/>
  <c r="I3214" i="1"/>
  <c r="H3214" i="1"/>
  <c r="I3206" i="1"/>
  <c r="H3206" i="1"/>
  <c r="I3198" i="1"/>
  <c r="H3198" i="1"/>
  <c r="I3190" i="1"/>
  <c r="H3190" i="1"/>
  <c r="I3182" i="1"/>
  <c r="H3182" i="1"/>
  <c r="I3174" i="1"/>
  <c r="H3174" i="1"/>
  <c r="I3166" i="1"/>
  <c r="H3166" i="1"/>
  <c r="I3158" i="1"/>
  <c r="H3158" i="1"/>
  <c r="I3150" i="1"/>
  <c r="H3150" i="1"/>
  <c r="I3142" i="1"/>
  <c r="H3142" i="1"/>
  <c r="I3134" i="1"/>
  <c r="H3134" i="1"/>
  <c r="I3126" i="1"/>
  <c r="H3126" i="1"/>
  <c r="I3118" i="1"/>
  <c r="H3118" i="1"/>
  <c r="I3110" i="1"/>
  <c r="H3110" i="1"/>
  <c r="I3102" i="1"/>
  <c r="H3102" i="1"/>
  <c r="I3094" i="1"/>
  <c r="H3094" i="1"/>
  <c r="I3086" i="1"/>
  <c r="H3086" i="1"/>
  <c r="I3070" i="1"/>
  <c r="H3070" i="1"/>
  <c r="I3062" i="1"/>
  <c r="H3062" i="1"/>
  <c r="I3054" i="1"/>
  <c r="H3054" i="1"/>
  <c r="I3046" i="1"/>
  <c r="H3046" i="1"/>
  <c r="I3038" i="1"/>
  <c r="H3038" i="1"/>
  <c r="I3030" i="1"/>
  <c r="H3030" i="1"/>
  <c r="I3022" i="1"/>
  <c r="H3022" i="1"/>
  <c r="I3006" i="1"/>
  <c r="H3006" i="1"/>
  <c r="I2998" i="1"/>
  <c r="H2998" i="1"/>
  <c r="I2990" i="1"/>
  <c r="H2990" i="1"/>
  <c r="I2982" i="1"/>
  <c r="H2982" i="1"/>
  <c r="I2974" i="1"/>
  <c r="H2974" i="1"/>
  <c r="I2966" i="1"/>
  <c r="H2966" i="1"/>
  <c r="I2958" i="1"/>
  <c r="H2958" i="1"/>
  <c r="I2942" i="1"/>
  <c r="H2942" i="1"/>
  <c r="I2934" i="1"/>
  <c r="H2934" i="1"/>
  <c r="I2926" i="1"/>
  <c r="H2926" i="1"/>
  <c r="I2918" i="1"/>
  <c r="H2918" i="1"/>
  <c r="I2910" i="1"/>
  <c r="H2910" i="1"/>
  <c r="I2902" i="1"/>
  <c r="H2902" i="1"/>
  <c r="I2894" i="1"/>
  <c r="H2894" i="1"/>
  <c r="I2878" i="1"/>
  <c r="H2878" i="1"/>
  <c r="I2870" i="1"/>
  <c r="H2870" i="1"/>
  <c r="I2862" i="1"/>
  <c r="H2862" i="1"/>
  <c r="I2854" i="1"/>
  <c r="H2854" i="1"/>
  <c r="I2846" i="1"/>
  <c r="H2846" i="1"/>
  <c r="I2838" i="1"/>
  <c r="H2838" i="1"/>
  <c r="I2830" i="1"/>
  <c r="H2830" i="1"/>
  <c r="I2814" i="1"/>
  <c r="H2814" i="1"/>
  <c r="I2806" i="1"/>
  <c r="H2806" i="1"/>
  <c r="I2798" i="1"/>
  <c r="H2798" i="1"/>
  <c r="I2790" i="1"/>
  <c r="H2790" i="1"/>
  <c r="I2782" i="1"/>
  <c r="H2782" i="1"/>
  <c r="I2774" i="1"/>
  <c r="H2774" i="1"/>
  <c r="I2766" i="1"/>
  <c r="H2766" i="1"/>
  <c r="I2750" i="1"/>
  <c r="H2750" i="1"/>
  <c r="I2742" i="1"/>
  <c r="H2742" i="1"/>
  <c r="I2734" i="1"/>
  <c r="H2734" i="1"/>
  <c r="I2726" i="1"/>
  <c r="H2726" i="1"/>
  <c r="I2718" i="1"/>
  <c r="H2718" i="1"/>
  <c r="I2710" i="1"/>
  <c r="H2710" i="1"/>
  <c r="I2702" i="1"/>
  <c r="H2702" i="1"/>
  <c r="I2686" i="1"/>
  <c r="H2686" i="1"/>
  <c r="I2678" i="1"/>
  <c r="H2678" i="1"/>
  <c r="I2670" i="1"/>
  <c r="H2670" i="1"/>
  <c r="I2662" i="1"/>
  <c r="H2662" i="1"/>
  <c r="I2654" i="1"/>
  <c r="H2654" i="1"/>
  <c r="I2646" i="1"/>
  <c r="H2646" i="1"/>
  <c r="I2638" i="1"/>
  <c r="H2638" i="1"/>
  <c r="E2630" i="1"/>
  <c r="I2630" i="1"/>
  <c r="I2622" i="1"/>
  <c r="H2622" i="1"/>
  <c r="I2614" i="1"/>
  <c r="H2614" i="1"/>
  <c r="I2606" i="1"/>
  <c r="H2606" i="1"/>
  <c r="E2598" i="1"/>
  <c r="I2598" i="1"/>
  <c r="H2598" i="1"/>
  <c r="I2590" i="1"/>
  <c r="H2590" i="1"/>
  <c r="I2582" i="1"/>
  <c r="H2582" i="1"/>
  <c r="I2574" i="1"/>
  <c r="H2574" i="1"/>
  <c r="E2566" i="1"/>
  <c r="I2566" i="1"/>
  <c r="I2558" i="1"/>
  <c r="H2558" i="1"/>
  <c r="I2550" i="1"/>
  <c r="H2550" i="1"/>
  <c r="I2542" i="1"/>
  <c r="H2542" i="1"/>
  <c r="E2534" i="1"/>
  <c r="I2534" i="1"/>
  <c r="H2534" i="1"/>
  <c r="I2526" i="1"/>
  <c r="H2526" i="1"/>
  <c r="I2518" i="1"/>
  <c r="H2518" i="1"/>
  <c r="I2510" i="1"/>
  <c r="H2510" i="1"/>
  <c r="E2502" i="1"/>
  <c r="I2502" i="1"/>
  <c r="I2494" i="1"/>
  <c r="H2494" i="1"/>
  <c r="I2486" i="1"/>
  <c r="H2486" i="1"/>
  <c r="I2478" i="1"/>
  <c r="H2478" i="1"/>
  <c r="E2470" i="1"/>
  <c r="I2470" i="1"/>
  <c r="H2470" i="1"/>
  <c r="I2462" i="1"/>
  <c r="H2462" i="1"/>
  <c r="I2454" i="1"/>
  <c r="H2454" i="1"/>
  <c r="I2446" i="1"/>
  <c r="H2446" i="1"/>
  <c r="E2438" i="1"/>
  <c r="I2438" i="1"/>
  <c r="I2430" i="1"/>
  <c r="H2430" i="1"/>
  <c r="I2422" i="1"/>
  <c r="H2422" i="1"/>
  <c r="I2414" i="1"/>
  <c r="H2414" i="1"/>
  <c r="E2406" i="1"/>
  <c r="I2406" i="1"/>
  <c r="H2406" i="1"/>
  <c r="I2398" i="1"/>
  <c r="H2398" i="1"/>
  <c r="I2390" i="1"/>
  <c r="H2390" i="1"/>
  <c r="I2382" i="1"/>
  <c r="H2382" i="1"/>
  <c r="E2374" i="1"/>
  <c r="I2374" i="1"/>
  <c r="I2366" i="1"/>
  <c r="H2366" i="1"/>
  <c r="I2358" i="1"/>
  <c r="H2358" i="1"/>
  <c r="I2350" i="1"/>
  <c r="H2350" i="1"/>
  <c r="E2342" i="1"/>
  <c r="I2342" i="1"/>
  <c r="H2342" i="1"/>
  <c r="I2334" i="1"/>
  <c r="H2334" i="1"/>
  <c r="I2326" i="1"/>
  <c r="H2326" i="1"/>
  <c r="I2318" i="1"/>
  <c r="H2318" i="1"/>
  <c r="I2302" i="1"/>
  <c r="H2302" i="1"/>
  <c r="I2294" i="1"/>
  <c r="H2294" i="1"/>
  <c r="I2286" i="1"/>
  <c r="H2286" i="1"/>
  <c r="I2278" i="1"/>
  <c r="H2278" i="1"/>
  <c r="I2270" i="1"/>
  <c r="H2270" i="1"/>
  <c r="I2262" i="1"/>
  <c r="H2262" i="1"/>
  <c r="I2254" i="1"/>
  <c r="H2254" i="1"/>
  <c r="I2238" i="1"/>
  <c r="H2238" i="1"/>
  <c r="I2230" i="1"/>
  <c r="H2230" i="1"/>
  <c r="I2222" i="1"/>
  <c r="H2222" i="1"/>
  <c r="I2214" i="1"/>
  <c r="H2214" i="1"/>
  <c r="I2206" i="1"/>
  <c r="H2206" i="1"/>
  <c r="I2198" i="1"/>
  <c r="H2198" i="1"/>
  <c r="I2190" i="1"/>
  <c r="H2190" i="1"/>
  <c r="I2174" i="1"/>
  <c r="H2174" i="1"/>
  <c r="I2166" i="1"/>
  <c r="H2166" i="1"/>
  <c r="I2158" i="1"/>
  <c r="H2158" i="1"/>
  <c r="I2150" i="1"/>
  <c r="H2150" i="1"/>
  <c r="I2142" i="1"/>
  <c r="H2142" i="1"/>
  <c r="I2134" i="1"/>
  <c r="H2134" i="1"/>
  <c r="I2126" i="1"/>
  <c r="H2126" i="1"/>
  <c r="I2110" i="1"/>
  <c r="H2110" i="1"/>
  <c r="I2102" i="1"/>
  <c r="H2102" i="1"/>
  <c r="I2094" i="1"/>
  <c r="H2094" i="1"/>
  <c r="I2086" i="1"/>
  <c r="H2086" i="1"/>
  <c r="I2078" i="1"/>
  <c r="H2078" i="1"/>
  <c r="I2070" i="1"/>
  <c r="H2070" i="1"/>
  <c r="I2062" i="1"/>
  <c r="H2062" i="1"/>
  <c r="I2046" i="1"/>
  <c r="H2046" i="1"/>
  <c r="I2038" i="1"/>
  <c r="H2038" i="1"/>
  <c r="I2030" i="1"/>
  <c r="H2030" i="1"/>
  <c r="I2022" i="1"/>
  <c r="H2022" i="1"/>
  <c r="I2014" i="1"/>
  <c r="H2014" i="1"/>
  <c r="I2006" i="1"/>
  <c r="H2006" i="1"/>
  <c r="I1998" i="1"/>
  <c r="H1998" i="1"/>
  <c r="I1990" i="1"/>
  <c r="H1990" i="1"/>
  <c r="I1982" i="1"/>
  <c r="H1982" i="1"/>
  <c r="I1974" i="1"/>
  <c r="H1974" i="1"/>
  <c r="I1966" i="1"/>
  <c r="H1966" i="1"/>
  <c r="I1958" i="1"/>
  <c r="H1958" i="1"/>
  <c r="I1950" i="1"/>
  <c r="H1950" i="1"/>
  <c r="I1942" i="1"/>
  <c r="H1942" i="1"/>
  <c r="I1934" i="1"/>
  <c r="H1934" i="1"/>
  <c r="I1926" i="1"/>
  <c r="H1926" i="1"/>
  <c r="I1918" i="1"/>
  <c r="H1918" i="1"/>
  <c r="I1910" i="1"/>
  <c r="H1910" i="1"/>
  <c r="I1902" i="1"/>
  <c r="H1902" i="1"/>
  <c r="I1894" i="1"/>
  <c r="H1894" i="1"/>
  <c r="I1886" i="1"/>
  <c r="H1886" i="1"/>
  <c r="I1878" i="1"/>
  <c r="H1878" i="1"/>
  <c r="I1870" i="1"/>
  <c r="H1870" i="1"/>
  <c r="I1862" i="1"/>
  <c r="H1862" i="1"/>
  <c r="I1854" i="1"/>
  <c r="H1854" i="1"/>
  <c r="I1846" i="1"/>
  <c r="H1846" i="1"/>
  <c r="I1838" i="1"/>
  <c r="H1838" i="1"/>
  <c r="I1830" i="1"/>
  <c r="H1830" i="1"/>
  <c r="I1822" i="1"/>
  <c r="H1822" i="1"/>
  <c r="I1814" i="1"/>
  <c r="H1814" i="1"/>
  <c r="I1806" i="1"/>
  <c r="H1806" i="1"/>
  <c r="I1798" i="1"/>
  <c r="H1798" i="1"/>
  <c r="I1790" i="1"/>
  <c r="H1790" i="1"/>
  <c r="I1782" i="1"/>
  <c r="H1782" i="1"/>
  <c r="I1774" i="1"/>
  <c r="H1774" i="1"/>
  <c r="I1766" i="1"/>
  <c r="H1766" i="1"/>
  <c r="I1758" i="1"/>
  <c r="H1758" i="1"/>
  <c r="I1750" i="1"/>
  <c r="H1750" i="1"/>
  <c r="I1742" i="1"/>
  <c r="H1742" i="1"/>
  <c r="I1734" i="1"/>
  <c r="H1734" i="1"/>
  <c r="I1726" i="1"/>
  <c r="H1726" i="1"/>
  <c r="I1718" i="1"/>
  <c r="H1718" i="1"/>
  <c r="I1710" i="1"/>
  <c r="H1710" i="1"/>
  <c r="I1702" i="1"/>
  <c r="H1702" i="1"/>
  <c r="I1694" i="1"/>
  <c r="H1694" i="1"/>
  <c r="I1686" i="1"/>
  <c r="H1686" i="1"/>
  <c r="I1678" i="1"/>
  <c r="H1678" i="1"/>
  <c r="I1670" i="1"/>
  <c r="H1670" i="1"/>
  <c r="I1662" i="1"/>
  <c r="H1662" i="1"/>
  <c r="I1654" i="1"/>
  <c r="H1654" i="1"/>
  <c r="I1646" i="1"/>
  <c r="H1646" i="1"/>
  <c r="I1638" i="1"/>
  <c r="H1638" i="1"/>
  <c r="I1630" i="1"/>
  <c r="H1630" i="1"/>
  <c r="I1622" i="1"/>
  <c r="H1622" i="1"/>
  <c r="I1614" i="1"/>
  <c r="H1614" i="1"/>
  <c r="I1606" i="1"/>
  <c r="H1606" i="1"/>
  <c r="I1598" i="1"/>
  <c r="H1598" i="1"/>
  <c r="I1590" i="1"/>
  <c r="H1590" i="1"/>
  <c r="I1582" i="1"/>
  <c r="H1582" i="1"/>
  <c r="I1574" i="1"/>
  <c r="H1574" i="1"/>
  <c r="I1566" i="1"/>
  <c r="H1566" i="1"/>
  <c r="I1558" i="1"/>
  <c r="H1558" i="1"/>
  <c r="I1550" i="1"/>
  <c r="H1550" i="1"/>
  <c r="I1542" i="1"/>
  <c r="H1542" i="1"/>
  <c r="I1534" i="1"/>
  <c r="H1534" i="1"/>
  <c r="I1526" i="1"/>
  <c r="H1526" i="1"/>
  <c r="I1518" i="1"/>
  <c r="H1518" i="1"/>
  <c r="I1510" i="1"/>
  <c r="H1510" i="1"/>
  <c r="I1502" i="1"/>
  <c r="H1502" i="1"/>
  <c r="I1494" i="1"/>
  <c r="H1494" i="1"/>
  <c r="I1486" i="1"/>
  <c r="H1486" i="1"/>
  <c r="I1478" i="1"/>
  <c r="H1478" i="1"/>
  <c r="I1470" i="1"/>
  <c r="H1470" i="1"/>
  <c r="I1462" i="1"/>
  <c r="H1462" i="1"/>
  <c r="I1454" i="1"/>
  <c r="H1454" i="1"/>
  <c r="I1446" i="1"/>
  <c r="H1446" i="1"/>
  <c r="I1438" i="1"/>
  <c r="H1438" i="1"/>
  <c r="I1430" i="1"/>
  <c r="H1430" i="1"/>
  <c r="I1422" i="1"/>
  <c r="H1422" i="1"/>
  <c r="I1414" i="1"/>
  <c r="H1414" i="1"/>
  <c r="I1406" i="1"/>
  <c r="H1406" i="1"/>
  <c r="I1398" i="1"/>
  <c r="H1398" i="1"/>
  <c r="I1390" i="1"/>
  <c r="H1390" i="1"/>
  <c r="I1382" i="1"/>
  <c r="H1382" i="1"/>
  <c r="I1374" i="1"/>
  <c r="H1374" i="1"/>
  <c r="I1366" i="1"/>
  <c r="H1366" i="1"/>
  <c r="I1358" i="1"/>
  <c r="H1358" i="1"/>
  <c r="I1350" i="1"/>
  <c r="H1350" i="1"/>
  <c r="I1342" i="1"/>
  <c r="H1342" i="1"/>
  <c r="I1334" i="1"/>
  <c r="H1334" i="1"/>
  <c r="I1326" i="1"/>
  <c r="H1326" i="1"/>
  <c r="I1318" i="1"/>
  <c r="H1318" i="1"/>
  <c r="I1310" i="1"/>
  <c r="H1310" i="1"/>
  <c r="I1302" i="1"/>
  <c r="H1302" i="1"/>
  <c r="I1294" i="1"/>
  <c r="H1294" i="1"/>
  <c r="I1286" i="1"/>
  <c r="H1286" i="1"/>
  <c r="I1278" i="1"/>
  <c r="H1278" i="1"/>
  <c r="I1270" i="1"/>
  <c r="H1270" i="1"/>
  <c r="I1262" i="1"/>
  <c r="H1262" i="1"/>
  <c r="I1254" i="1"/>
  <c r="H1254" i="1"/>
  <c r="I1246" i="1"/>
  <c r="H1246" i="1"/>
  <c r="I1238" i="1"/>
  <c r="H1238" i="1"/>
  <c r="I1230" i="1"/>
  <c r="H1230" i="1"/>
  <c r="I1222" i="1"/>
  <c r="H1222" i="1"/>
  <c r="I1214" i="1"/>
  <c r="H1214" i="1"/>
  <c r="I1206" i="1"/>
  <c r="H1206" i="1"/>
  <c r="I1198" i="1"/>
  <c r="H1198" i="1"/>
  <c r="I1190" i="1"/>
  <c r="H1190" i="1"/>
  <c r="I1182" i="1"/>
  <c r="H1182" i="1"/>
  <c r="I1174" i="1"/>
  <c r="H1174" i="1"/>
  <c r="I1166" i="1"/>
  <c r="H1166" i="1"/>
  <c r="I1158" i="1"/>
  <c r="H1158" i="1"/>
  <c r="I1150" i="1"/>
  <c r="H1150" i="1"/>
  <c r="I1142" i="1"/>
  <c r="H1142" i="1"/>
  <c r="I1134" i="1"/>
  <c r="H1134" i="1"/>
  <c r="I1126" i="1"/>
  <c r="H1126" i="1"/>
  <c r="I1118" i="1"/>
  <c r="H1118" i="1"/>
  <c r="I1110" i="1"/>
  <c r="H1110" i="1"/>
  <c r="I1102" i="1"/>
  <c r="H1102" i="1"/>
  <c r="I1094" i="1"/>
  <c r="H1094" i="1"/>
  <c r="I1086" i="1"/>
  <c r="H1086" i="1"/>
  <c r="I1078" i="1"/>
  <c r="H1078" i="1"/>
  <c r="I1070" i="1"/>
  <c r="H1070" i="1"/>
  <c r="I1062" i="1"/>
  <c r="H1062" i="1"/>
  <c r="I1054" i="1"/>
  <c r="H1054" i="1"/>
  <c r="I1046" i="1"/>
  <c r="H1046" i="1"/>
  <c r="I1038" i="1"/>
  <c r="H1038" i="1"/>
  <c r="I1030" i="1"/>
  <c r="H1030" i="1"/>
  <c r="I1022" i="1"/>
  <c r="H1022" i="1"/>
  <c r="I1014" i="1"/>
  <c r="H1014" i="1"/>
  <c r="I1006" i="1"/>
  <c r="H1006" i="1"/>
  <c r="I998" i="1"/>
  <c r="H998" i="1"/>
  <c r="I990" i="1"/>
  <c r="H990" i="1"/>
  <c r="I982" i="1"/>
  <c r="H982" i="1"/>
  <c r="I974" i="1"/>
  <c r="H974" i="1"/>
  <c r="I966" i="1"/>
  <c r="H966" i="1"/>
  <c r="I958" i="1"/>
  <c r="H958" i="1"/>
  <c r="I950" i="1"/>
  <c r="H950" i="1"/>
  <c r="I942" i="1"/>
  <c r="H942" i="1"/>
  <c r="I934" i="1"/>
  <c r="H934" i="1"/>
  <c r="I926" i="1"/>
  <c r="H926" i="1"/>
  <c r="I918" i="1"/>
  <c r="H918" i="1"/>
  <c r="I910" i="1"/>
  <c r="H910" i="1"/>
  <c r="I902" i="1"/>
  <c r="H902" i="1"/>
  <c r="I894" i="1"/>
  <c r="H894" i="1"/>
  <c r="I886" i="1"/>
  <c r="H886" i="1"/>
  <c r="I878" i="1"/>
  <c r="H878" i="1"/>
  <c r="I870" i="1"/>
  <c r="H870" i="1"/>
  <c r="I862" i="1"/>
  <c r="H862" i="1"/>
  <c r="I854" i="1"/>
  <c r="H854" i="1"/>
  <c r="I846" i="1"/>
  <c r="H846" i="1"/>
  <c r="I838" i="1"/>
  <c r="H838" i="1"/>
  <c r="I830" i="1"/>
  <c r="H830" i="1"/>
  <c r="I822" i="1"/>
  <c r="H822" i="1"/>
  <c r="I814" i="1"/>
  <c r="H814" i="1"/>
  <c r="I806" i="1"/>
  <c r="H806" i="1"/>
  <c r="I798" i="1"/>
  <c r="H798" i="1"/>
  <c r="I790" i="1"/>
  <c r="H790" i="1"/>
  <c r="I782" i="1"/>
  <c r="H782" i="1"/>
  <c r="I774" i="1"/>
  <c r="H774" i="1"/>
  <c r="I766" i="1"/>
  <c r="H766" i="1"/>
  <c r="I758" i="1"/>
  <c r="H758" i="1"/>
  <c r="I750" i="1"/>
  <c r="H750" i="1"/>
  <c r="I742" i="1"/>
  <c r="H742" i="1"/>
  <c r="I734" i="1"/>
  <c r="H734" i="1"/>
  <c r="I726" i="1"/>
  <c r="H726" i="1"/>
  <c r="I718" i="1"/>
  <c r="H718" i="1"/>
  <c r="I710" i="1"/>
  <c r="H710" i="1"/>
  <c r="I702" i="1"/>
  <c r="H702" i="1"/>
  <c r="I694" i="1"/>
  <c r="H694" i="1"/>
  <c r="I686" i="1"/>
  <c r="H686" i="1"/>
  <c r="I678" i="1"/>
  <c r="H678" i="1"/>
  <c r="I670" i="1"/>
  <c r="H670" i="1"/>
  <c r="I662" i="1"/>
  <c r="H662" i="1"/>
  <c r="I654" i="1"/>
  <c r="H654" i="1"/>
  <c r="I646" i="1"/>
  <c r="H646" i="1"/>
  <c r="I638" i="1"/>
  <c r="H638" i="1"/>
  <c r="I630" i="1"/>
  <c r="H630" i="1"/>
  <c r="I622" i="1"/>
  <c r="H622" i="1"/>
  <c r="I614" i="1"/>
  <c r="H614" i="1"/>
  <c r="I606" i="1"/>
  <c r="H606" i="1"/>
  <c r="I598" i="1"/>
  <c r="H598" i="1"/>
  <c r="I590" i="1"/>
  <c r="H590" i="1"/>
  <c r="I582" i="1"/>
  <c r="H582" i="1"/>
  <c r="I574" i="1"/>
  <c r="H574" i="1"/>
  <c r="I566" i="1"/>
  <c r="H566" i="1"/>
  <c r="I558" i="1"/>
  <c r="H558" i="1"/>
  <c r="I550" i="1"/>
  <c r="H550" i="1"/>
  <c r="I542" i="1"/>
  <c r="H542" i="1"/>
  <c r="I534" i="1"/>
  <c r="H534" i="1"/>
  <c r="I526" i="1"/>
  <c r="H526" i="1"/>
  <c r="I518" i="1"/>
  <c r="H518" i="1"/>
  <c r="I510" i="1"/>
  <c r="H510" i="1"/>
  <c r="I502" i="1"/>
  <c r="H502" i="1"/>
  <c r="I494" i="1"/>
  <c r="H494" i="1"/>
  <c r="I486" i="1"/>
  <c r="H486" i="1"/>
  <c r="I478" i="1"/>
  <c r="H478" i="1"/>
  <c r="I470" i="1"/>
  <c r="H470" i="1"/>
  <c r="I462" i="1"/>
  <c r="H462" i="1"/>
  <c r="I454" i="1"/>
  <c r="H454" i="1"/>
  <c r="I446" i="1"/>
  <c r="H446" i="1"/>
  <c r="I438" i="1"/>
  <c r="H438" i="1"/>
  <c r="I430" i="1"/>
  <c r="H430" i="1"/>
  <c r="I422" i="1"/>
  <c r="H422" i="1"/>
  <c r="I414" i="1"/>
  <c r="H414" i="1"/>
  <c r="I406" i="1"/>
  <c r="H406" i="1"/>
  <c r="I398" i="1"/>
  <c r="H398" i="1"/>
  <c r="I390" i="1"/>
  <c r="H390" i="1"/>
  <c r="I382" i="1"/>
  <c r="H382" i="1"/>
  <c r="I374" i="1"/>
  <c r="H374" i="1"/>
  <c r="I366" i="1"/>
  <c r="H366" i="1"/>
  <c r="I358" i="1"/>
  <c r="H358" i="1"/>
  <c r="I350" i="1"/>
  <c r="H350" i="1"/>
  <c r="I342" i="1"/>
  <c r="H342" i="1"/>
  <c r="I334" i="1"/>
  <c r="H334" i="1"/>
  <c r="I326" i="1"/>
  <c r="H326" i="1"/>
  <c r="I318" i="1"/>
  <c r="H318" i="1"/>
  <c r="I310" i="1"/>
  <c r="H310" i="1"/>
  <c r="I302" i="1"/>
  <c r="H302" i="1"/>
  <c r="H9993" i="1"/>
  <c r="H9985" i="1"/>
  <c r="H9977" i="1"/>
  <c r="H9969" i="1"/>
  <c r="H9961" i="1"/>
  <c r="H9953" i="1"/>
  <c r="H9945" i="1"/>
  <c r="H9937" i="1"/>
  <c r="H9929" i="1"/>
  <c r="H9921" i="1"/>
  <c r="H9913" i="1"/>
  <c r="H9905" i="1"/>
  <c r="H9897" i="1"/>
  <c r="H9889" i="1"/>
  <c r="H9881" i="1"/>
  <c r="H9873" i="1"/>
  <c r="H9865" i="1"/>
  <c r="H9857" i="1"/>
  <c r="H9849" i="1"/>
  <c r="H9841" i="1"/>
  <c r="H9833" i="1"/>
  <c r="H9825" i="1"/>
  <c r="H9817" i="1"/>
  <c r="H9809" i="1"/>
  <c r="H9801" i="1"/>
  <c r="H9793" i="1"/>
  <c r="H9785" i="1"/>
  <c r="H9777" i="1"/>
  <c r="H9769" i="1"/>
  <c r="H9761" i="1"/>
  <c r="H9753" i="1"/>
  <c r="H9745" i="1"/>
  <c r="H9737" i="1"/>
  <c r="H9729" i="1"/>
  <c r="H9721" i="1"/>
  <c r="H9713" i="1"/>
  <c r="H9705" i="1"/>
  <c r="H9697" i="1"/>
  <c r="H9689" i="1"/>
  <c r="H9681" i="1"/>
  <c r="H9673" i="1"/>
  <c r="H9665" i="1"/>
  <c r="H9657" i="1"/>
  <c r="H9649" i="1"/>
  <c r="H9641" i="1"/>
  <c r="H9633" i="1"/>
  <c r="H9625" i="1"/>
  <c r="H9617" i="1"/>
  <c r="H9609" i="1"/>
  <c r="H9601" i="1"/>
  <c r="H9593" i="1"/>
  <c r="H9585" i="1"/>
  <c r="H9577" i="1"/>
  <c r="H9569" i="1"/>
  <c r="H9561" i="1"/>
  <c r="H9553" i="1"/>
  <c r="H9545" i="1"/>
  <c r="H9537" i="1"/>
  <c r="H9529" i="1"/>
  <c r="H9521" i="1"/>
  <c r="H9513" i="1"/>
  <c r="H9505" i="1"/>
  <c r="H9497" i="1"/>
  <c r="H9489" i="1"/>
  <c r="H9481" i="1"/>
  <c r="H9473" i="1"/>
  <c r="H9465" i="1"/>
  <c r="H9457" i="1"/>
  <c r="H9449" i="1"/>
  <c r="H9441" i="1"/>
  <c r="H9433" i="1"/>
  <c r="H9425" i="1"/>
  <c r="H9417" i="1"/>
  <c r="H9409" i="1"/>
  <c r="H9401" i="1"/>
  <c r="H9393" i="1"/>
  <c r="H9385" i="1"/>
  <c r="H9377" i="1"/>
  <c r="H9369" i="1"/>
  <c r="H9361" i="1"/>
  <c r="H9353" i="1"/>
  <c r="H9345" i="1"/>
  <c r="H9337" i="1"/>
  <c r="H9329" i="1"/>
  <c r="H9321" i="1"/>
  <c r="H9313" i="1"/>
  <c r="H9305" i="1"/>
  <c r="H9297" i="1"/>
  <c r="H9289" i="1"/>
  <c r="H9281" i="1"/>
  <c r="H9273" i="1"/>
  <c r="H9265" i="1"/>
  <c r="H9257" i="1"/>
  <c r="H9249" i="1"/>
  <c r="H9241" i="1"/>
  <c r="H9233" i="1"/>
  <c r="H9225" i="1"/>
  <c r="H9217" i="1"/>
  <c r="H9209" i="1"/>
  <c r="H9201" i="1"/>
  <c r="H9193" i="1"/>
  <c r="H9185" i="1"/>
  <c r="H9177" i="1"/>
  <c r="H9169" i="1"/>
  <c r="H9161" i="1"/>
  <c r="H9153" i="1"/>
  <c r="H9145" i="1"/>
  <c r="H9137" i="1"/>
  <c r="H9129" i="1"/>
  <c r="H9121" i="1"/>
  <c r="H9113" i="1"/>
  <c r="H9105" i="1"/>
  <c r="H9097" i="1"/>
  <c r="H9089" i="1"/>
  <c r="H9081" i="1"/>
  <c r="H9073" i="1"/>
  <c r="H9065" i="1"/>
  <c r="H9057" i="1"/>
  <c r="H9049" i="1"/>
  <c r="H9041" i="1"/>
  <c r="H9033" i="1"/>
  <c r="H9025" i="1"/>
  <c r="H9017" i="1"/>
  <c r="H9009" i="1"/>
  <c r="H9001" i="1"/>
  <c r="H8993" i="1"/>
  <c r="H8985" i="1"/>
  <c r="H8977" i="1"/>
  <c r="H8969" i="1"/>
  <c r="H8961" i="1"/>
  <c r="H8953" i="1"/>
  <c r="H8945" i="1"/>
  <c r="H8937" i="1"/>
  <c r="H8929" i="1"/>
  <c r="H8921" i="1"/>
  <c r="H8913" i="1"/>
  <c r="H8905" i="1"/>
  <c r="H8897" i="1"/>
  <c r="H8889" i="1"/>
  <c r="H8881" i="1"/>
  <c r="H8873" i="1"/>
  <c r="H8865" i="1"/>
  <c r="H8857" i="1"/>
  <c r="H8849" i="1"/>
  <c r="H8841" i="1"/>
  <c r="H8833" i="1"/>
  <c r="H8825" i="1"/>
  <c r="H8817" i="1"/>
  <c r="H8809" i="1"/>
  <c r="H8801" i="1"/>
  <c r="H8793" i="1"/>
  <c r="H8785" i="1"/>
  <c r="H8777" i="1"/>
  <c r="H8769" i="1"/>
  <c r="H8761" i="1"/>
  <c r="H8753" i="1"/>
  <c r="H8745" i="1"/>
  <c r="H8737" i="1"/>
  <c r="H8729" i="1"/>
  <c r="H8721" i="1"/>
  <c r="H8713" i="1"/>
  <c r="H8705" i="1"/>
  <c r="H8697" i="1"/>
  <c r="H8689" i="1"/>
  <c r="H8681" i="1"/>
  <c r="H8673" i="1"/>
  <c r="H8665" i="1"/>
  <c r="H8657" i="1"/>
  <c r="H8649" i="1"/>
  <c r="H8641" i="1"/>
  <c r="H8633" i="1"/>
  <c r="H8625" i="1"/>
  <c r="H8617" i="1"/>
  <c r="H8609" i="1"/>
  <c r="H8601" i="1"/>
  <c r="H8593" i="1"/>
  <c r="H8585" i="1"/>
  <c r="H8577" i="1"/>
  <c r="H8569" i="1"/>
  <c r="H8561" i="1"/>
  <c r="H8553" i="1"/>
  <c r="H8545" i="1"/>
  <c r="H8537" i="1"/>
  <c r="H8529" i="1"/>
  <c r="H8521" i="1"/>
  <c r="H8513" i="1"/>
  <c r="H8505" i="1"/>
  <c r="H8497" i="1"/>
  <c r="H8489" i="1"/>
  <c r="H8481" i="1"/>
  <c r="H8473" i="1"/>
  <c r="H8465" i="1"/>
  <c r="H8457" i="1"/>
  <c r="H8449" i="1"/>
  <c r="H8441" i="1"/>
  <c r="H8433" i="1"/>
  <c r="H8425" i="1"/>
  <c r="H8417" i="1"/>
  <c r="H8409" i="1"/>
  <c r="H8401" i="1"/>
  <c r="H8393" i="1"/>
  <c r="H8385" i="1"/>
  <c r="H8377" i="1"/>
  <c r="H8369" i="1"/>
  <c r="H8361" i="1"/>
  <c r="H8353" i="1"/>
  <c r="H8345" i="1"/>
  <c r="H8337" i="1"/>
  <c r="H8329" i="1"/>
  <c r="H8321" i="1"/>
  <c r="H8313" i="1"/>
  <c r="H8305" i="1"/>
  <c r="H8297" i="1"/>
  <c r="H8289" i="1"/>
  <c r="H8281" i="1"/>
  <c r="H8273" i="1"/>
  <c r="H8265" i="1"/>
  <c r="H8257" i="1"/>
  <c r="H8249" i="1"/>
  <c r="H8241" i="1"/>
  <c r="H8233" i="1"/>
  <c r="H8225" i="1"/>
  <c r="H8217" i="1"/>
  <c r="H8209" i="1"/>
  <c r="H8201" i="1"/>
  <c r="H8193" i="1"/>
  <c r="H8185" i="1"/>
  <c r="H8177" i="1"/>
  <c r="H8169" i="1"/>
  <c r="H8161" i="1"/>
  <c r="H8153" i="1"/>
  <c r="H8145" i="1"/>
  <c r="H8137" i="1"/>
  <c r="H8129" i="1"/>
  <c r="H8121" i="1"/>
  <c r="H8113" i="1"/>
  <c r="H8105" i="1"/>
  <c r="H8097" i="1"/>
  <c r="H8089" i="1"/>
  <c r="H8081" i="1"/>
  <c r="H8073" i="1"/>
  <c r="H8065" i="1"/>
  <c r="H8057" i="1"/>
  <c r="H8049" i="1"/>
  <c r="H8041" i="1"/>
  <c r="H8033" i="1"/>
  <c r="H8025" i="1"/>
  <c r="H8017" i="1"/>
  <c r="H8009" i="1"/>
  <c r="H8001" i="1"/>
  <c r="H7993" i="1"/>
  <c r="H7985" i="1"/>
  <c r="H7977" i="1"/>
  <c r="H7969" i="1"/>
  <c r="H7961" i="1"/>
  <c r="H7953" i="1"/>
  <c r="H7945" i="1"/>
  <c r="H7937" i="1"/>
  <c r="H7929" i="1"/>
  <c r="H7921" i="1"/>
  <c r="H7913" i="1"/>
  <c r="H7905" i="1"/>
  <c r="H7897" i="1"/>
  <c r="H7889" i="1"/>
  <c r="H7881" i="1"/>
  <c r="H7873" i="1"/>
  <c r="H7865" i="1"/>
  <c r="H7857" i="1"/>
  <c r="H7849" i="1"/>
  <c r="H7785" i="1"/>
  <c r="H7721" i="1"/>
  <c r="H7657" i="1"/>
  <c r="H7593" i="1"/>
  <c r="H7529" i="1"/>
  <c r="H7465" i="1"/>
  <c r="H7401" i="1"/>
  <c r="H7337" i="1"/>
  <c r="H7273" i="1"/>
  <c r="H7209" i="1"/>
  <c r="H7145" i="1"/>
  <c r="H7081" i="1"/>
  <c r="H7017" i="1"/>
  <c r="H6953" i="1"/>
  <c r="H6889" i="1"/>
  <c r="H6825" i="1"/>
  <c r="H6761" i="1"/>
  <c r="H6697" i="1"/>
  <c r="H6633" i="1"/>
  <c r="H6569" i="1"/>
  <c r="H6505" i="1"/>
  <c r="H6441" i="1"/>
  <c r="H6377" i="1"/>
  <c r="H6313" i="1"/>
  <c r="H6249" i="1"/>
  <c r="H6185" i="1"/>
  <c r="H6121" i="1"/>
  <c r="H6057" i="1"/>
  <c r="H5993" i="1"/>
  <c r="H5929" i="1"/>
  <c r="H5865" i="1"/>
  <c r="H5801" i="1"/>
  <c r="H5737" i="1"/>
  <c r="H5673" i="1"/>
  <c r="H5609" i="1"/>
  <c r="H5545" i="1"/>
  <c r="H5481" i="1"/>
  <c r="H5417" i="1"/>
  <c r="H5353" i="1"/>
  <c r="H5289" i="1"/>
  <c r="H5225" i="1"/>
  <c r="H5161" i="1"/>
  <c r="H5097" i="1"/>
  <c r="H5033" i="1"/>
  <c r="H4969" i="1"/>
  <c r="H4905" i="1"/>
  <c r="H4841" i="1"/>
  <c r="H4777" i="1"/>
  <c r="H4713" i="1"/>
  <c r="H4649" i="1"/>
  <c r="H4585" i="1"/>
  <c r="H4521" i="1"/>
  <c r="H4457" i="1"/>
  <c r="H4393" i="1"/>
  <c r="H4329" i="1"/>
  <c r="H4265" i="1"/>
  <c r="H4201" i="1"/>
  <c r="H4137" i="1"/>
  <c r="H4073" i="1"/>
  <c r="H4009" i="1"/>
  <c r="H3945" i="1"/>
  <c r="H3881" i="1"/>
  <c r="H3817" i="1"/>
  <c r="H3753" i="1"/>
  <c r="H3689" i="1"/>
  <c r="H3625" i="1"/>
  <c r="H3561" i="1"/>
  <c r="H3497" i="1"/>
  <c r="H3433" i="1"/>
  <c r="H3369" i="1"/>
  <c r="H3305" i="1"/>
  <c r="H3241" i="1"/>
  <c r="H3177" i="1"/>
  <c r="H3113" i="1"/>
  <c r="H2971" i="1"/>
  <c r="H2801" i="1"/>
  <c r="H2630" i="1"/>
  <c r="H2459" i="1"/>
  <c r="H2289" i="1"/>
  <c r="H2118" i="1"/>
  <c r="H1907" i="1"/>
  <c r="H1651" i="1"/>
  <c r="H1395" i="1"/>
  <c r="H1001" i="1"/>
  <c r="I9254" i="1"/>
  <c r="E9900" i="1"/>
  <c r="I9900" i="1"/>
  <c r="E9860" i="1"/>
  <c r="I9860" i="1"/>
  <c r="E9796" i="1"/>
  <c r="I9796" i="1"/>
  <c r="E9748" i="1"/>
  <c r="I9748" i="1"/>
  <c r="E9708" i="1"/>
  <c r="I9708" i="1"/>
  <c r="E9660" i="1"/>
  <c r="I9660" i="1"/>
  <c r="F9628" i="1"/>
  <c r="I9628" i="1"/>
  <c r="F9588" i="1"/>
  <c r="I9588" i="1"/>
  <c r="E9532" i="1"/>
  <c r="I9532" i="1"/>
  <c r="F9396" i="1"/>
  <c r="I9396" i="1"/>
  <c r="E9340" i="1"/>
  <c r="I9340" i="1"/>
  <c r="E9300" i="1"/>
  <c r="I9300" i="1"/>
  <c r="E9260" i="1"/>
  <c r="I9260" i="1"/>
  <c r="E9220" i="1"/>
  <c r="I9220" i="1"/>
  <c r="F9180" i="1"/>
  <c r="I9180" i="1"/>
  <c r="E9140" i="1"/>
  <c r="I9140" i="1"/>
  <c r="E9092" i="1"/>
  <c r="I9092" i="1"/>
  <c r="E9044" i="1"/>
  <c r="I9044" i="1"/>
  <c r="E8996" i="1"/>
  <c r="I8996" i="1"/>
  <c r="F8948" i="1"/>
  <c r="I8948" i="1"/>
  <c r="F8908" i="1"/>
  <c r="I8908" i="1"/>
  <c r="E8876" i="1"/>
  <c r="I8876" i="1"/>
  <c r="E8828" i="1"/>
  <c r="I8828" i="1"/>
  <c r="E8788" i="1"/>
  <c r="I8788" i="1"/>
  <c r="E8748" i="1"/>
  <c r="I8748" i="1"/>
  <c r="E8708" i="1"/>
  <c r="I8708" i="1"/>
  <c r="F8668" i="1"/>
  <c r="I8668" i="1"/>
  <c r="E8572" i="1"/>
  <c r="I8572" i="1"/>
  <c r="E8260" i="1"/>
  <c r="I8260" i="1"/>
  <c r="E8156" i="1"/>
  <c r="I8156" i="1"/>
  <c r="E8028" i="1"/>
  <c r="I8028" i="1"/>
  <c r="E7996" i="1"/>
  <c r="I7996" i="1"/>
  <c r="E7940" i="1"/>
  <c r="I7940" i="1"/>
  <c r="E7908" i="1"/>
  <c r="I7908" i="1"/>
  <c r="E7868" i="1"/>
  <c r="I7868" i="1"/>
  <c r="E7820" i="1"/>
  <c r="I7820" i="1"/>
  <c r="H7820" i="1"/>
  <c r="E7780" i="1"/>
  <c r="I7780" i="1"/>
  <c r="H7780" i="1"/>
  <c r="I7732" i="1"/>
  <c r="H7732" i="1"/>
  <c r="E7684" i="1"/>
  <c r="I7684" i="1"/>
  <c r="H7684" i="1"/>
  <c r="E7644" i="1"/>
  <c r="I7644" i="1"/>
  <c r="H7644" i="1"/>
  <c r="I7604" i="1"/>
  <c r="H7604" i="1"/>
  <c r="E7556" i="1"/>
  <c r="I7556" i="1"/>
  <c r="H7556" i="1"/>
  <c r="I7500" i="1"/>
  <c r="H7500" i="1"/>
  <c r="E7444" i="1"/>
  <c r="I7444" i="1"/>
  <c r="H7444" i="1"/>
  <c r="E7404" i="1"/>
  <c r="I7404" i="1"/>
  <c r="H7404" i="1"/>
  <c r="E7356" i="1"/>
  <c r="I7356" i="1"/>
  <c r="H7356" i="1"/>
  <c r="E7308" i="1"/>
  <c r="I7308" i="1"/>
  <c r="H7308" i="1"/>
  <c r="E7268" i="1"/>
  <c r="I7268" i="1"/>
  <c r="H7268" i="1"/>
  <c r="I7220" i="1"/>
  <c r="H7220" i="1"/>
  <c r="E7172" i="1"/>
  <c r="I7172" i="1"/>
  <c r="H7172" i="1"/>
  <c r="E7140" i="1"/>
  <c r="I7140" i="1"/>
  <c r="H7140" i="1"/>
  <c r="E7100" i="1"/>
  <c r="I7100" i="1"/>
  <c r="H7100" i="1"/>
  <c r="E7068" i="1"/>
  <c r="I7068" i="1"/>
  <c r="H7068" i="1"/>
  <c r="E7020" i="1"/>
  <c r="I7020" i="1"/>
  <c r="H7020" i="1"/>
  <c r="E6980" i="1"/>
  <c r="I6980" i="1"/>
  <c r="H6980" i="1"/>
  <c r="E6940" i="1"/>
  <c r="I6940" i="1"/>
  <c r="H6940" i="1"/>
  <c r="E6900" i="1"/>
  <c r="I6900" i="1"/>
  <c r="H6900" i="1"/>
  <c r="E6852" i="1"/>
  <c r="I6852" i="1"/>
  <c r="H6852" i="1"/>
  <c r="E6820" i="1"/>
  <c r="I6820" i="1"/>
  <c r="H6820" i="1"/>
  <c r="E6780" i="1"/>
  <c r="I6780" i="1"/>
  <c r="H6780" i="1"/>
  <c r="E6740" i="1"/>
  <c r="I6740" i="1"/>
  <c r="H6740" i="1"/>
  <c r="E6692" i="1"/>
  <c r="I6692" i="1"/>
  <c r="H6692" i="1"/>
  <c r="E6652" i="1"/>
  <c r="I6652" i="1"/>
  <c r="H6652" i="1"/>
  <c r="I6604" i="1"/>
  <c r="H6604" i="1"/>
  <c r="E6564" i="1"/>
  <c r="I6564" i="1"/>
  <c r="H6564" i="1"/>
  <c r="E6516" i="1"/>
  <c r="I6516" i="1"/>
  <c r="H6516" i="1"/>
  <c r="I6476" i="1"/>
  <c r="H6476" i="1"/>
  <c r="E6436" i="1"/>
  <c r="I6436" i="1"/>
  <c r="H6436" i="1"/>
  <c r="E6388" i="1"/>
  <c r="I6388" i="1"/>
  <c r="H6388" i="1"/>
  <c r="E6356" i="1"/>
  <c r="I6356" i="1"/>
  <c r="H6356" i="1"/>
  <c r="I6324" i="1"/>
  <c r="H6324" i="1"/>
  <c r="E6276" i="1"/>
  <c r="I6276" i="1"/>
  <c r="H6276" i="1"/>
  <c r="E6228" i="1"/>
  <c r="I6228" i="1"/>
  <c r="H6228" i="1"/>
  <c r="E6180" i="1"/>
  <c r="I6180" i="1"/>
  <c r="H6180" i="1"/>
  <c r="E6124" i="1"/>
  <c r="I6124" i="1"/>
  <c r="H6124" i="1"/>
  <c r="E6076" i="1"/>
  <c r="I6076" i="1"/>
  <c r="H6076" i="1"/>
  <c r="I6036" i="1"/>
  <c r="H6036" i="1"/>
  <c r="E5988" i="1"/>
  <c r="I5988" i="1"/>
  <c r="H5988" i="1"/>
  <c r="E5924" i="1"/>
  <c r="I5924" i="1"/>
  <c r="H5924" i="1"/>
  <c r="E5868" i="1"/>
  <c r="I5868" i="1"/>
  <c r="H5868" i="1"/>
  <c r="I5812" i="1"/>
  <c r="H5812" i="1"/>
  <c r="E5756" i="1"/>
  <c r="I5756" i="1"/>
  <c r="H5756" i="1"/>
  <c r="E5700" i="1"/>
  <c r="I5700" i="1"/>
  <c r="H5700" i="1"/>
  <c r="I5644" i="1"/>
  <c r="H5644" i="1"/>
  <c r="I5588" i="1"/>
  <c r="H5588" i="1"/>
  <c r="I5524" i="1"/>
  <c r="H5524" i="1"/>
  <c r="E5468" i="1"/>
  <c r="I5468" i="1"/>
  <c r="H5468" i="1"/>
  <c r="I5420" i="1"/>
  <c r="H5420" i="1"/>
  <c r="I5364" i="1"/>
  <c r="H5364" i="1"/>
  <c r="E5308" i="1"/>
  <c r="I5308" i="1"/>
  <c r="H5308" i="1"/>
  <c r="E5244" i="1"/>
  <c r="I5244" i="1"/>
  <c r="H5244" i="1"/>
  <c r="E5188" i="1"/>
  <c r="I5188" i="1"/>
  <c r="H5188" i="1"/>
  <c r="I5132" i="1"/>
  <c r="H5132" i="1"/>
  <c r="E5084" i="1"/>
  <c r="I5084" i="1"/>
  <c r="H5084" i="1"/>
  <c r="E5028" i="1"/>
  <c r="I5028" i="1"/>
  <c r="H5028" i="1"/>
  <c r="E4972" i="1"/>
  <c r="I4972" i="1"/>
  <c r="H4972" i="1"/>
  <c r="E4916" i="1"/>
  <c r="I4916" i="1"/>
  <c r="H4916" i="1"/>
  <c r="I4860" i="1"/>
  <c r="H4860" i="1"/>
  <c r="E4804" i="1"/>
  <c r="I4804" i="1"/>
  <c r="H4804" i="1"/>
  <c r="E4740" i="1"/>
  <c r="I4740" i="1"/>
  <c r="H4740" i="1"/>
  <c r="E4684" i="1"/>
  <c r="I4684" i="1"/>
  <c r="H4684" i="1"/>
  <c r="E4628" i="1"/>
  <c r="I4628" i="1"/>
  <c r="H4628" i="1"/>
  <c r="E4572" i="1"/>
  <c r="I4572" i="1"/>
  <c r="H4572" i="1"/>
  <c r="E4508" i="1"/>
  <c r="I4508" i="1"/>
  <c r="H4508" i="1"/>
  <c r="I4452" i="1"/>
  <c r="H4452" i="1"/>
  <c r="E4396" i="1"/>
  <c r="I4396" i="1"/>
  <c r="H4396" i="1"/>
  <c r="E4340" i="1"/>
  <c r="I4340" i="1"/>
  <c r="H4340" i="1"/>
  <c r="E4276" i="1"/>
  <c r="I4276" i="1"/>
  <c r="H4276" i="1"/>
  <c r="I4228" i="1"/>
  <c r="H4228" i="1"/>
  <c r="E4172" i="1"/>
  <c r="I4172" i="1"/>
  <c r="H4172" i="1"/>
  <c r="E4116" i="1"/>
  <c r="I4116" i="1"/>
  <c r="H4116" i="1"/>
  <c r="E4052" i="1"/>
  <c r="I4052" i="1"/>
  <c r="H4052" i="1"/>
  <c r="I3996" i="1"/>
  <c r="H3996" i="1"/>
  <c r="I3932" i="1"/>
  <c r="H3932" i="1"/>
  <c r="E3884" i="1"/>
  <c r="I3884" i="1"/>
  <c r="H3884" i="1"/>
  <c r="I3836" i="1"/>
  <c r="H3836" i="1"/>
  <c r="E3788" i="1"/>
  <c r="I3788" i="1"/>
  <c r="H3788" i="1"/>
  <c r="E3732" i="1"/>
  <c r="I3732" i="1"/>
  <c r="H3732" i="1"/>
  <c r="I3676" i="1"/>
  <c r="H3676" i="1"/>
  <c r="E3604" i="1"/>
  <c r="I3604" i="1"/>
  <c r="H3604" i="1"/>
  <c r="I3556" i="1"/>
  <c r="H3556" i="1"/>
  <c r="I3516" i="1"/>
  <c r="H3516" i="1"/>
  <c r="E3476" i="1"/>
  <c r="I3476" i="1"/>
  <c r="H3476" i="1"/>
  <c r="I3428" i="1"/>
  <c r="H3428" i="1"/>
  <c r="E3380" i="1"/>
  <c r="I3380" i="1"/>
  <c r="H3380" i="1"/>
  <c r="E3340" i="1"/>
  <c r="I3340" i="1"/>
  <c r="H3340" i="1"/>
  <c r="I3300" i="1"/>
  <c r="H3300" i="1"/>
  <c r="E3252" i="1"/>
  <c r="I3252" i="1"/>
  <c r="H3252" i="1"/>
  <c r="I3204" i="1"/>
  <c r="H3204" i="1"/>
  <c r="E3156" i="1"/>
  <c r="I3156" i="1"/>
  <c r="H3156" i="1"/>
  <c r="E3116" i="1"/>
  <c r="I3116" i="1"/>
  <c r="H3116" i="1"/>
  <c r="I3068" i="1"/>
  <c r="H3068" i="1"/>
  <c r="I3044" i="1"/>
  <c r="H3044" i="1"/>
  <c r="I3004" i="1"/>
  <c r="H3004" i="1"/>
  <c r="E2964" i="1"/>
  <c r="I2964" i="1"/>
  <c r="H2964" i="1"/>
  <c r="E2924" i="1"/>
  <c r="I2924" i="1"/>
  <c r="H2924" i="1"/>
  <c r="E2892" i="1"/>
  <c r="I2892" i="1"/>
  <c r="H2892" i="1"/>
  <c r="I2852" i="1"/>
  <c r="H2852" i="1"/>
  <c r="E2804" i="1"/>
  <c r="I2804" i="1"/>
  <c r="H2804" i="1"/>
  <c r="E2764" i="1"/>
  <c r="I2764" i="1"/>
  <c r="H2764" i="1"/>
  <c r="I2748" i="1"/>
  <c r="H2748" i="1"/>
  <c r="E2708" i="1"/>
  <c r="I2708" i="1"/>
  <c r="H2708" i="1"/>
  <c r="E2668" i="1"/>
  <c r="I2668" i="1"/>
  <c r="H2668" i="1"/>
  <c r="E2636" i="1"/>
  <c r="I2636" i="1"/>
  <c r="H2636" i="1"/>
  <c r="I2596" i="1"/>
  <c r="H2596" i="1"/>
  <c r="E2580" i="1"/>
  <c r="I2580" i="1"/>
  <c r="H2580" i="1"/>
  <c r="E2540" i="1"/>
  <c r="I2540" i="1"/>
  <c r="H2540" i="1"/>
  <c r="I2508" i="1"/>
  <c r="H2508" i="1"/>
  <c r="E2468" i="1"/>
  <c r="I2468" i="1"/>
  <c r="H2468" i="1"/>
  <c r="E2428" i="1"/>
  <c r="I2428" i="1"/>
  <c r="H2428" i="1"/>
  <c r="I2388" i="1"/>
  <c r="H2388" i="1"/>
  <c r="I2348" i="1"/>
  <c r="H2348" i="1"/>
  <c r="I2316" i="1"/>
  <c r="H2316" i="1"/>
  <c r="I2276" i="1"/>
  <c r="H2276" i="1"/>
  <c r="I2252" i="1"/>
  <c r="H2252" i="1"/>
  <c r="I2220" i="1"/>
  <c r="H2220" i="1"/>
  <c r="I2180" i="1"/>
  <c r="H2180" i="1"/>
  <c r="I2132" i="1"/>
  <c r="H2132" i="1"/>
  <c r="E2092" i="1"/>
  <c r="I2092" i="1"/>
  <c r="H2092" i="1"/>
  <c r="E2060" i="1"/>
  <c r="I2060" i="1"/>
  <c r="H2060" i="1"/>
  <c r="E2028" i="1"/>
  <c r="I2028" i="1"/>
  <c r="H2028" i="1"/>
  <c r="E1996" i="1"/>
  <c r="I1996" i="1"/>
  <c r="H1996" i="1"/>
  <c r="I1956" i="1"/>
  <c r="H1956" i="1"/>
  <c r="I1916" i="1"/>
  <c r="H1916" i="1"/>
  <c r="I1892" i="1"/>
  <c r="H1892" i="1"/>
  <c r="I1852" i="1"/>
  <c r="H1852" i="1"/>
  <c r="I1812" i="1"/>
  <c r="H1812" i="1"/>
  <c r="I1764" i="1"/>
  <c r="H1764" i="1"/>
  <c r="I1724" i="1"/>
  <c r="H1724" i="1"/>
  <c r="E1676" i="1"/>
  <c r="I1676" i="1"/>
  <c r="H1676" i="1"/>
  <c r="I1628" i="1"/>
  <c r="H1628" i="1"/>
  <c r="I1572" i="1"/>
  <c r="H1572" i="1"/>
  <c r="I1524" i="1"/>
  <c r="H1524" i="1"/>
  <c r="I1476" i="1"/>
  <c r="H1476" i="1"/>
  <c r="I1428" i="1"/>
  <c r="H1428" i="1"/>
  <c r="I1372" i="1"/>
  <c r="H1372" i="1"/>
  <c r="E1324" i="1"/>
  <c r="I1324" i="1"/>
  <c r="H1324" i="1"/>
  <c r="I1276" i="1"/>
  <c r="H1276" i="1"/>
  <c r="E1228" i="1"/>
  <c r="I1228" i="1"/>
  <c r="H1228" i="1"/>
  <c r="I1180" i="1"/>
  <c r="H1180" i="1"/>
  <c r="E1132" i="1"/>
  <c r="I1132" i="1"/>
  <c r="H1132" i="1"/>
  <c r="I1092" i="1"/>
  <c r="H1092" i="1"/>
  <c r="I1044" i="1"/>
  <c r="H1044" i="1"/>
  <c r="I996" i="1"/>
  <c r="H996" i="1"/>
  <c r="I948" i="1"/>
  <c r="H948" i="1"/>
  <c r="I900" i="1"/>
  <c r="H900" i="1"/>
  <c r="I852" i="1"/>
  <c r="H852" i="1"/>
  <c r="E812" i="1"/>
  <c r="I812" i="1"/>
  <c r="H812" i="1"/>
  <c r="I764" i="1"/>
  <c r="H764" i="1"/>
  <c r="E716" i="1"/>
  <c r="I716" i="1"/>
  <c r="H716" i="1"/>
  <c r="I668" i="1"/>
  <c r="H668" i="1"/>
  <c r="E620" i="1"/>
  <c r="I620" i="1"/>
  <c r="H620" i="1"/>
  <c r="I564" i="1"/>
  <c r="H564" i="1"/>
  <c r="I516" i="1"/>
  <c r="H516" i="1"/>
  <c r="I468" i="1"/>
  <c r="H468" i="1"/>
  <c r="E428" i="1"/>
  <c r="I428" i="1"/>
  <c r="H428" i="1"/>
  <c r="E380" i="1"/>
  <c r="I380" i="1"/>
  <c r="H380" i="1"/>
  <c r="E324" i="1"/>
  <c r="I324" i="1"/>
  <c r="H324" i="1"/>
  <c r="I83" i="1"/>
  <c r="H83" i="1"/>
  <c r="I51" i="1"/>
  <c r="H51" i="1"/>
  <c r="I35" i="1"/>
  <c r="H35" i="1"/>
  <c r="I11" i="1"/>
  <c r="H11" i="1"/>
  <c r="I294" i="1"/>
  <c r="H294" i="1"/>
  <c r="I262" i="1"/>
  <c r="H262" i="1"/>
  <c r="I230" i="1"/>
  <c r="H230" i="1"/>
  <c r="E198" i="1"/>
  <c r="I198" i="1"/>
  <c r="H198" i="1"/>
  <c r="I166" i="1"/>
  <c r="H166" i="1"/>
  <c r="E118" i="1"/>
  <c r="I118" i="1"/>
  <c r="H118" i="1"/>
  <c r="I95" i="1"/>
  <c r="H95" i="1"/>
  <c r="I87" i="1"/>
  <c r="H87" i="1"/>
  <c r="I79" i="1"/>
  <c r="H79" i="1"/>
  <c r="I71" i="1"/>
  <c r="H71" i="1"/>
  <c r="I63" i="1"/>
  <c r="H63" i="1"/>
  <c r="I55" i="1"/>
  <c r="H55" i="1"/>
  <c r="I47" i="1"/>
  <c r="H47" i="1"/>
  <c r="I39" i="1"/>
  <c r="H39" i="1"/>
  <c r="I31" i="1"/>
  <c r="H31" i="1"/>
  <c r="I15" i="1"/>
  <c r="H15" i="1"/>
  <c r="I7" i="1"/>
  <c r="H7" i="1"/>
  <c r="E298" i="1"/>
  <c r="I298" i="1"/>
  <c r="H298" i="1"/>
  <c r="E290" i="1"/>
  <c r="I290" i="1"/>
  <c r="H290" i="1"/>
  <c r="I282" i="1"/>
  <c r="H282" i="1"/>
  <c r="E274" i="1"/>
  <c r="I274" i="1"/>
  <c r="H274" i="1"/>
  <c r="E266" i="1"/>
  <c r="I266" i="1"/>
  <c r="H266" i="1"/>
  <c r="E258" i="1"/>
  <c r="I258" i="1"/>
  <c r="H258" i="1"/>
  <c r="E250" i="1"/>
  <c r="I250" i="1"/>
  <c r="H250" i="1"/>
  <c r="I242" i="1"/>
  <c r="H242" i="1"/>
  <c r="I234" i="1"/>
  <c r="H234" i="1"/>
  <c r="E226" i="1"/>
  <c r="I226" i="1"/>
  <c r="H226" i="1"/>
  <c r="E218" i="1"/>
  <c r="I218" i="1"/>
  <c r="H218" i="1"/>
  <c r="I210" i="1"/>
  <c r="H210" i="1"/>
  <c r="E202" i="1"/>
  <c r="I202" i="1"/>
  <c r="H202" i="1"/>
  <c r="E194" i="1"/>
  <c r="I194" i="1"/>
  <c r="H194" i="1"/>
  <c r="E186" i="1"/>
  <c r="I186" i="1"/>
  <c r="H186" i="1"/>
  <c r="I178" i="1"/>
  <c r="H178" i="1"/>
  <c r="I170" i="1"/>
  <c r="H170" i="1"/>
  <c r="I162" i="1"/>
  <c r="H162" i="1"/>
  <c r="E154" i="1"/>
  <c r="I154" i="1"/>
  <c r="H154" i="1"/>
  <c r="I146" i="1"/>
  <c r="H146" i="1"/>
  <c r="I138" i="1"/>
  <c r="H138" i="1"/>
  <c r="E130" i="1"/>
  <c r="I130" i="1"/>
  <c r="H130" i="1"/>
  <c r="E122" i="1"/>
  <c r="I122" i="1"/>
  <c r="H122" i="1"/>
  <c r="E114" i="1"/>
  <c r="I114" i="1"/>
  <c r="H114" i="1"/>
  <c r="E8716" i="1"/>
  <c r="E8244" i="1"/>
  <c r="E7732" i="1"/>
  <c r="E7220" i="1"/>
  <c r="E6932" i="1"/>
  <c r="E6676" i="1"/>
  <c r="E6420" i="1"/>
  <c r="E6164" i="1"/>
  <c r="E6060" i="1"/>
  <c r="E5804" i="1"/>
  <c r="E5676" i="1"/>
  <c r="E5548" i="1"/>
  <c r="E5420" i="1"/>
  <c r="E5292" i="1"/>
  <c r="E5164" i="1"/>
  <c r="E5108" i="1"/>
  <c r="E4708" i="1"/>
  <c r="E4324" i="1"/>
  <c r="E4164" i="1"/>
  <c r="E4036" i="1"/>
  <c r="E3996" i="1"/>
  <c r="E3900" i="1"/>
  <c r="E3716" i="1"/>
  <c r="E3676" i="1"/>
  <c r="E3356" i="1"/>
  <c r="E3204" i="1"/>
  <c r="E3164" i="1"/>
  <c r="E2844" i="1"/>
  <c r="E2692" i="1"/>
  <c r="E2652" i="1"/>
  <c r="E2436" i="1"/>
  <c r="E2284" i="1"/>
  <c r="E2196" i="1"/>
  <c r="E2132" i="1"/>
  <c r="E2068" i="1"/>
  <c r="E1876" i="1"/>
  <c r="E1604" i="1"/>
  <c r="E1540" i="1"/>
  <c r="E1476" i="1"/>
  <c r="E1412" i="1"/>
  <c r="E1364" i="1"/>
  <c r="E1252" i="1"/>
  <c r="E1188" i="1"/>
  <c r="E1052" i="1"/>
  <c r="E964" i="1"/>
  <c r="E900" i="1"/>
  <c r="E852" i="1"/>
  <c r="E740" i="1"/>
  <c r="E676" i="1"/>
  <c r="E540" i="1"/>
  <c r="E452" i="1"/>
  <c r="E388" i="1"/>
  <c r="E308" i="1"/>
  <c r="I7845" i="1"/>
  <c r="H7845" i="1"/>
  <c r="I7837" i="1"/>
  <c r="H7837" i="1"/>
  <c r="I7829" i="1"/>
  <c r="H7829" i="1"/>
  <c r="I7821" i="1"/>
  <c r="H7821" i="1"/>
  <c r="I7813" i="1"/>
  <c r="H7813" i="1"/>
  <c r="I7805" i="1"/>
  <c r="H7805" i="1"/>
  <c r="I7797" i="1"/>
  <c r="H7797" i="1"/>
  <c r="I7789" i="1"/>
  <c r="H7789" i="1"/>
  <c r="I7781" i="1"/>
  <c r="H7781" i="1"/>
  <c r="I7773" i="1"/>
  <c r="H7773" i="1"/>
  <c r="I7765" i="1"/>
  <c r="H7765" i="1"/>
  <c r="I7757" i="1"/>
  <c r="H7757" i="1"/>
  <c r="I7749" i="1"/>
  <c r="H7749" i="1"/>
  <c r="I7741" i="1"/>
  <c r="H7741" i="1"/>
  <c r="I7733" i="1"/>
  <c r="H7733" i="1"/>
  <c r="I7725" i="1"/>
  <c r="H7725" i="1"/>
  <c r="I7717" i="1"/>
  <c r="H7717" i="1"/>
  <c r="I7709" i="1"/>
  <c r="H7709" i="1"/>
  <c r="I7701" i="1"/>
  <c r="H7701" i="1"/>
  <c r="I7693" i="1"/>
  <c r="H7693" i="1"/>
  <c r="I7685" i="1"/>
  <c r="H7685" i="1"/>
  <c r="I7677" i="1"/>
  <c r="H7677" i="1"/>
  <c r="I7669" i="1"/>
  <c r="H7669" i="1"/>
  <c r="I7661" i="1"/>
  <c r="H7661" i="1"/>
  <c r="I7653" i="1"/>
  <c r="H7653" i="1"/>
  <c r="I7645" i="1"/>
  <c r="H7645" i="1"/>
  <c r="I7637" i="1"/>
  <c r="H7637" i="1"/>
  <c r="I7629" i="1"/>
  <c r="H7629" i="1"/>
  <c r="I7621" i="1"/>
  <c r="H7621" i="1"/>
  <c r="I7613" i="1"/>
  <c r="H7613" i="1"/>
  <c r="I7605" i="1"/>
  <c r="H7605" i="1"/>
  <c r="I7597" i="1"/>
  <c r="H7597" i="1"/>
  <c r="I7589" i="1"/>
  <c r="H7589" i="1"/>
  <c r="I7581" i="1"/>
  <c r="H7581" i="1"/>
  <c r="I7573" i="1"/>
  <c r="H7573" i="1"/>
  <c r="I7565" i="1"/>
  <c r="H7565" i="1"/>
  <c r="I7557" i="1"/>
  <c r="H7557" i="1"/>
  <c r="I7549" i="1"/>
  <c r="H7549" i="1"/>
  <c r="I7541" i="1"/>
  <c r="H7541" i="1"/>
  <c r="I7533" i="1"/>
  <c r="H7533" i="1"/>
  <c r="I7525" i="1"/>
  <c r="H7525" i="1"/>
  <c r="I7517" i="1"/>
  <c r="H7517" i="1"/>
  <c r="I7509" i="1"/>
  <c r="H7509" i="1"/>
  <c r="I7501" i="1"/>
  <c r="H7501" i="1"/>
  <c r="I7493" i="1"/>
  <c r="H7493" i="1"/>
  <c r="I7485" i="1"/>
  <c r="H7485" i="1"/>
  <c r="I7477" i="1"/>
  <c r="H7477" i="1"/>
  <c r="I7469" i="1"/>
  <c r="H7469" i="1"/>
  <c r="I7461" i="1"/>
  <c r="H7461" i="1"/>
  <c r="I7453" i="1"/>
  <c r="H7453" i="1"/>
  <c r="I7445" i="1"/>
  <c r="H7445" i="1"/>
  <c r="I7437" i="1"/>
  <c r="H7437" i="1"/>
  <c r="I7429" i="1"/>
  <c r="H7429" i="1"/>
  <c r="I7421" i="1"/>
  <c r="H7421" i="1"/>
  <c r="I7413" i="1"/>
  <c r="H7413" i="1"/>
  <c r="I7405" i="1"/>
  <c r="H7405" i="1"/>
  <c r="I7397" i="1"/>
  <c r="H7397" i="1"/>
  <c r="I7389" i="1"/>
  <c r="H7389" i="1"/>
  <c r="I7381" i="1"/>
  <c r="H7381" i="1"/>
  <c r="I7373" i="1"/>
  <c r="H7373" i="1"/>
  <c r="I7365" i="1"/>
  <c r="H7365" i="1"/>
  <c r="I7357" i="1"/>
  <c r="H7357" i="1"/>
  <c r="I7349" i="1"/>
  <c r="H7349" i="1"/>
  <c r="I7341" i="1"/>
  <c r="H7341" i="1"/>
  <c r="I7333" i="1"/>
  <c r="H7333" i="1"/>
  <c r="I7325" i="1"/>
  <c r="H7325" i="1"/>
  <c r="I7317" i="1"/>
  <c r="H7317" i="1"/>
  <c r="I7309" i="1"/>
  <c r="H7309" i="1"/>
  <c r="I7301" i="1"/>
  <c r="H7301" i="1"/>
  <c r="I7293" i="1"/>
  <c r="H7293" i="1"/>
  <c r="I7285" i="1"/>
  <c r="H7285" i="1"/>
  <c r="I7277" i="1"/>
  <c r="H7277" i="1"/>
  <c r="I7269" i="1"/>
  <c r="H7269" i="1"/>
  <c r="I7261" i="1"/>
  <c r="H7261" i="1"/>
  <c r="I7253" i="1"/>
  <c r="H7253" i="1"/>
  <c r="I7245" i="1"/>
  <c r="H7245" i="1"/>
  <c r="I7237" i="1"/>
  <c r="H7237" i="1"/>
  <c r="I7229" i="1"/>
  <c r="H7229" i="1"/>
  <c r="I7221" i="1"/>
  <c r="H7221" i="1"/>
  <c r="I7213" i="1"/>
  <c r="H7213" i="1"/>
  <c r="I7205" i="1"/>
  <c r="H7205" i="1"/>
  <c r="I7197" i="1"/>
  <c r="H7197" i="1"/>
  <c r="I7189" i="1"/>
  <c r="H7189" i="1"/>
  <c r="I7181" i="1"/>
  <c r="H7181" i="1"/>
  <c r="I7173" i="1"/>
  <c r="H7173" i="1"/>
  <c r="I7165" i="1"/>
  <c r="H7165" i="1"/>
  <c r="I7157" i="1"/>
  <c r="H7157" i="1"/>
  <c r="I7149" i="1"/>
  <c r="H7149" i="1"/>
  <c r="I7141" i="1"/>
  <c r="H7141" i="1"/>
  <c r="I7133" i="1"/>
  <c r="H7133" i="1"/>
  <c r="I7125" i="1"/>
  <c r="H7125" i="1"/>
  <c r="I7117" i="1"/>
  <c r="H7117" i="1"/>
  <c r="I7109" i="1"/>
  <c r="H7109" i="1"/>
  <c r="I7101" i="1"/>
  <c r="H7101" i="1"/>
  <c r="I7093" i="1"/>
  <c r="H7093" i="1"/>
  <c r="I7085" i="1"/>
  <c r="H7085" i="1"/>
  <c r="I7077" i="1"/>
  <c r="H7077" i="1"/>
  <c r="I7069" i="1"/>
  <c r="H7069" i="1"/>
  <c r="I7061" i="1"/>
  <c r="H7061" i="1"/>
  <c r="I7053" i="1"/>
  <c r="H7053" i="1"/>
  <c r="I7045" i="1"/>
  <c r="H7045" i="1"/>
  <c r="I7037" i="1"/>
  <c r="H7037" i="1"/>
  <c r="I7029" i="1"/>
  <c r="H7029" i="1"/>
  <c r="I7021" i="1"/>
  <c r="H7021" i="1"/>
  <c r="I7013" i="1"/>
  <c r="H7013" i="1"/>
  <c r="I7005" i="1"/>
  <c r="H7005" i="1"/>
  <c r="I6997" i="1"/>
  <c r="H6997" i="1"/>
  <c r="I6989" i="1"/>
  <c r="H6989" i="1"/>
  <c r="I6981" i="1"/>
  <c r="H6981" i="1"/>
  <c r="I6973" i="1"/>
  <c r="H6973" i="1"/>
  <c r="I6965" i="1"/>
  <c r="H6965" i="1"/>
  <c r="I6957" i="1"/>
  <c r="H6957" i="1"/>
  <c r="I6949" i="1"/>
  <c r="H6949" i="1"/>
  <c r="I6941" i="1"/>
  <c r="H6941" i="1"/>
  <c r="I6933" i="1"/>
  <c r="H6933" i="1"/>
  <c r="I6925" i="1"/>
  <c r="H6925" i="1"/>
  <c r="I6917" i="1"/>
  <c r="H6917" i="1"/>
  <c r="I6909" i="1"/>
  <c r="H6909" i="1"/>
  <c r="I6901" i="1"/>
  <c r="H6901" i="1"/>
  <c r="I6893" i="1"/>
  <c r="H6893" i="1"/>
  <c r="I6885" i="1"/>
  <c r="H6885" i="1"/>
  <c r="I6877" i="1"/>
  <c r="H6877" i="1"/>
  <c r="I6869" i="1"/>
  <c r="H6869" i="1"/>
  <c r="I6861" i="1"/>
  <c r="H6861" i="1"/>
  <c r="I6853" i="1"/>
  <c r="H6853" i="1"/>
  <c r="I6845" i="1"/>
  <c r="H6845" i="1"/>
  <c r="I6837" i="1"/>
  <c r="H6837" i="1"/>
  <c r="I6829" i="1"/>
  <c r="H6829" i="1"/>
  <c r="I6821" i="1"/>
  <c r="H6821" i="1"/>
  <c r="I6813" i="1"/>
  <c r="H6813" i="1"/>
  <c r="I6805" i="1"/>
  <c r="H6805" i="1"/>
  <c r="I6797" i="1"/>
  <c r="H6797" i="1"/>
  <c r="I6789" i="1"/>
  <c r="H6789" i="1"/>
  <c r="I6781" i="1"/>
  <c r="H6781" i="1"/>
  <c r="I6773" i="1"/>
  <c r="H6773" i="1"/>
  <c r="I6765" i="1"/>
  <c r="H6765" i="1"/>
  <c r="I6757" i="1"/>
  <c r="H6757" i="1"/>
  <c r="I6749" i="1"/>
  <c r="H6749" i="1"/>
  <c r="I6741" i="1"/>
  <c r="H6741" i="1"/>
  <c r="I6733" i="1"/>
  <c r="H6733" i="1"/>
  <c r="I6725" i="1"/>
  <c r="H6725" i="1"/>
  <c r="I6717" i="1"/>
  <c r="H6717" i="1"/>
  <c r="I6709" i="1"/>
  <c r="H6709" i="1"/>
  <c r="I6701" i="1"/>
  <c r="H6701" i="1"/>
  <c r="I6693" i="1"/>
  <c r="H6693" i="1"/>
  <c r="I6685" i="1"/>
  <c r="H6685" i="1"/>
  <c r="I6677" i="1"/>
  <c r="H6677" i="1"/>
  <c r="I6669" i="1"/>
  <c r="H6669" i="1"/>
  <c r="I6661" i="1"/>
  <c r="H6661" i="1"/>
  <c r="I6653" i="1"/>
  <c r="H6653" i="1"/>
  <c r="I6645" i="1"/>
  <c r="H6645" i="1"/>
  <c r="I6637" i="1"/>
  <c r="H6637" i="1"/>
  <c r="I6629" i="1"/>
  <c r="H6629" i="1"/>
  <c r="I6621" i="1"/>
  <c r="H6621" i="1"/>
  <c r="I6613" i="1"/>
  <c r="H6613" i="1"/>
  <c r="I6605" i="1"/>
  <c r="H6605" i="1"/>
  <c r="I6597" i="1"/>
  <c r="H6597" i="1"/>
  <c r="I6589" i="1"/>
  <c r="H6589" i="1"/>
  <c r="I6581" i="1"/>
  <c r="H6581" i="1"/>
  <c r="I6573" i="1"/>
  <c r="H6573" i="1"/>
  <c r="I6565" i="1"/>
  <c r="H6565" i="1"/>
  <c r="I6557" i="1"/>
  <c r="H6557" i="1"/>
  <c r="I6549" i="1"/>
  <c r="H6549" i="1"/>
  <c r="I6541" i="1"/>
  <c r="H6541" i="1"/>
  <c r="I6533" i="1"/>
  <c r="H6533" i="1"/>
  <c r="I6525" i="1"/>
  <c r="H6525" i="1"/>
  <c r="I6517" i="1"/>
  <c r="H6517" i="1"/>
  <c r="I6509" i="1"/>
  <c r="H6509" i="1"/>
  <c r="I6501" i="1"/>
  <c r="H6501" i="1"/>
  <c r="I6493" i="1"/>
  <c r="H6493" i="1"/>
  <c r="I6485" i="1"/>
  <c r="H6485" i="1"/>
  <c r="I6477" i="1"/>
  <c r="H6477" i="1"/>
  <c r="I6469" i="1"/>
  <c r="H6469" i="1"/>
  <c r="I6461" i="1"/>
  <c r="H6461" i="1"/>
  <c r="I6453" i="1"/>
  <c r="H6453" i="1"/>
  <c r="I6445" i="1"/>
  <c r="H6445" i="1"/>
  <c r="I6437" i="1"/>
  <c r="H6437" i="1"/>
  <c r="I6429" i="1"/>
  <c r="H6429" i="1"/>
  <c r="I6421" i="1"/>
  <c r="H6421" i="1"/>
  <c r="I6413" i="1"/>
  <c r="H6413" i="1"/>
  <c r="I6405" i="1"/>
  <c r="H6405" i="1"/>
  <c r="I6397" i="1"/>
  <c r="H6397" i="1"/>
  <c r="I6389" i="1"/>
  <c r="H6389" i="1"/>
  <c r="I6381" i="1"/>
  <c r="H6381" i="1"/>
  <c r="I6373" i="1"/>
  <c r="H6373" i="1"/>
  <c r="I6365" i="1"/>
  <c r="H6365" i="1"/>
  <c r="I6357" i="1"/>
  <c r="H6357" i="1"/>
  <c r="I6349" i="1"/>
  <c r="H6349" i="1"/>
  <c r="I6341" i="1"/>
  <c r="H6341" i="1"/>
  <c r="I6333" i="1"/>
  <c r="H6333" i="1"/>
  <c r="I6325" i="1"/>
  <c r="H6325" i="1"/>
  <c r="I6317" i="1"/>
  <c r="H6317" i="1"/>
  <c r="I6309" i="1"/>
  <c r="H6309" i="1"/>
  <c r="I6301" i="1"/>
  <c r="H6301" i="1"/>
  <c r="I6293" i="1"/>
  <c r="H6293" i="1"/>
  <c r="I6285" i="1"/>
  <c r="H6285" i="1"/>
  <c r="I6277" i="1"/>
  <c r="H6277" i="1"/>
  <c r="I6269" i="1"/>
  <c r="H6269" i="1"/>
  <c r="I6261" i="1"/>
  <c r="H6261" i="1"/>
  <c r="I6253" i="1"/>
  <c r="H6253" i="1"/>
  <c r="I6245" i="1"/>
  <c r="H6245" i="1"/>
  <c r="I6237" i="1"/>
  <c r="H6237" i="1"/>
  <c r="I6229" i="1"/>
  <c r="H6229" i="1"/>
  <c r="I6221" i="1"/>
  <c r="H6221" i="1"/>
  <c r="I6213" i="1"/>
  <c r="H6213" i="1"/>
  <c r="I6205" i="1"/>
  <c r="H6205" i="1"/>
  <c r="I6197" i="1"/>
  <c r="H6197" i="1"/>
  <c r="I6189" i="1"/>
  <c r="H6189" i="1"/>
  <c r="I6181" i="1"/>
  <c r="H6181" i="1"/>
  <c r="I6173" i="1"/>
  <c r="H6173" i="1"/>
  <c r="I6165" i="1"/>
  <c r="H6165" i="1"/>
  <c r="I6157" i="1"/>
  <c r="H6157" i="1"/>
  <c r="I6149" i="1"/>
  <c r="H6149" i="1"/>
  <c r="I6141" i="1"/>
  <c r="H6141" i="1"/>
  <c r="I6133" i="1"/>
  <c r="H6133" i="1"/>
  <c r="I6125" i="1"/>
  <c r="H6125" i="1"/>
  <c r="I6117" i="1"/>
  <c r="H6117" i="1"/>
  <c r="I6109" i="1"/>
  <c r="H6109" i="1"/>
  <c r="I6101" i="1"/>
  <c r="H6101" i="1"/>
  <c r="I6093" i="1"/>
  <c r="H6093" i="1"/>
  <c r="I6085" i="1"/>
  <c r="H6085" i="1"/>
  <c r="I6077" i="1"/>
  <c r="H6077" i="1"/>
  <c r="I6069" i="1"/>
  <c r="H6069" i="1"/>
  <c r="I6061" i="1"/>
  <c r="H6061" i="1"/>
  <c r="I6053" i="1"/>
  <c r="H6053" i="1"/>
  <c r="I6045" i="1"/>
  <c r="H6045" i="1"/>
  <c r="I6037" i="1"/>
  <c r="H6037" i="1"/>
  <c r="I6029" i="1"/>
  <c r="H6029" i="1"/>
  <c r="I6021" i="1"/>
  <c r="H6021" i="1"/>
  <c r="I6013" i="1"/>
  <c r="H6013" i="1"/>
  <c r="I6005" i="1"/>
  <c r="H6005" i="1"/>
  <c r="I5997" i="1"/>
  <c r="H5997" i="1"/>
  <c r="I5989" i="1"/>
  <c r="H5989" i="1"/>
  <c r="I5981" i="1"/>
  <c r="H5981" i="1"/>
  <c r="I5973" i="1"/>
  <c r="H5973" i="1"/>
  <c r="I5965" i="1"/>
  <c r="H5965" i="1"/>
  <c r="I5957" i="1"/>
  <c r="H5957" i="1"/>
  <c r="I5949" i="1"/>
  <c r="H5949" i="1"/>
  <c r="I5941" i="1"/>
  <c r="H5941" i="1"/>
  <c r="I5933" i="1"/>
  <c r="H5933" i="1"/>
  <c r="I5925" i="1"/>
  <c r="H5925" i="1"/>
  <c r="I5917" i="1"/>
  <c r="H5917" i="1"/>
  <c r="I5909" i="1"/>
  <c r="H5909" i="1"/>
  <c r="I5901" i="1"/>
  <c r="H5901" i="1"/>
  <c r="I5893" i="1"/>
  <c r="H5893" i="1"/>
  <c r="I5885" i="1"/>
  <c r="H5885" i="1"/>
  <c r="I5877" i="1"/>
  <c r="H5877" i="1"/>
  <c r="I5869" i="1"/>
  <c r="H5869" i="1"/>
  <c r="I5861" i="1"/>
  <c r="H5861" i="1"/>
  <c r="I5853" i="1"/>
  <c r="H5853" i="1"/>
  <c r="I5845" i="1"/>
  <c r="H5845" i="1"/>
  <c r="I5837" i="1"/>
  <c r="H5837" i="1"/>
  <c r="I5829" i="1"/>
  <c r="H5829" i="1"/>
  <c r="I5821" i="1"/>
  <c r="H5821" i="1"/>
  <c r="I5813" i="1"/>
  <c r="H5813" i="1"/>
  <c r="I5805" i="1"/>
  <c r="H5805" i="1"/>
  <c r="I5797" i="1"/>
  <c r="H5797" i="1"/>
  <c r="I5789" i="1"/>
  <c r="H5789" i="1"/>
  <c r="I5781" i="1"/>
  <c r="H5781" i="1"/>
  <c r="I5773" i="1"/>
  <c r="H5773" i="1"/>
  <c r="I5765" i="1"/>
  <c r="H5765" i="1"/>
  <c r="I5757" i="1"/>
  <c r="H5757" i="1"/>
  <c r="I5749" i="1"/>
  <c r="H5749" i="1"/>
  <c r="I5741" i="1"/>
  <c r="H5741" i="1"/>
  <c r="I5733" i="1"/>
  <c r="H5733" i="1"/>
  <c r="I5725" i="1"/>
  <c r="H5725" i="1"/>
  <c r="I5717" i="1"/>
  <c r="H5717" i="1"/>
  <c r="I5709" i="1"/>
  <c r="H5709" i="1"/>
  <c r="I5701" i="1"/>
  <c r="H5701" i="1"/>
  <c r="I5693" i="1"/>
  <c r="H5693" i="1"/>
  <c r="I5685" i="1"/>
  <c r="H5685" i="1"/>
  <c r="I5677" i="1"/>
  <c r="H5677" i="1"/>
  <c r="I5669" i="1"/>
  <c r="H5669" i="1"/>
  <c r="I5661" i="1"/>
  <c r="H5661" i="1"/>
  <c r="I5653" i="1"/>
  <c r="H5653" i="1"/>
  <c r="I5645" i="1"/>
  <c r="H5645" i="1"/>
  <c r="I5637" i="1"/>
  <c r="H5637" i="1"/>
  <c r="I5629" i="1"/>
  <c r="H5629" i="1"/>
  <c r="I5621" i="1"/>
  <c r="H5621" i="1"/>
  <c r="I5613" i="1"/>
  <c r="H5613" i="1"/>
  <c r="I5605" i="1"/>
  <c r="H5605" i="1"/>
  <c r="I5597" i="1"/>
  <c r="H5597" i="1"/>
  <c r="I5589" i="1"/>
  <c r="H5589" i="1"/>
  <c r="I5581" i="1"/>
  <c r="H5581" i="1"/>
  <c r="I5573" i="1"/>
  <c r="H5573" i="1"/>
  <c r="I5565" i="1"/>
  <c r="H5565" i="1"/>
  <c r="I5557" i="1"/>
  <c r="H5557" i="1"/>
  <c r="I5549" i="1"/>
  <c r="H5549" i="1"/>
  <c r="I5541" i="1"/>
  <c r="H5541" i="1"/>
  <c r="I5533" i="1"/>
  <c r="H5533" i="1"/>
  <c r="I5525" i="1"/>
  <c r="H5525" i="1"/>
  <c r="I5517" i="1"/>
  <c r="H5517" i="1"/>
  <c r="I5509" i="1"/>
  <c r="H5509" i="1"/>
  <c r="I5501" i="1"/>
  <c r="H5501" i="1"/>
  <c r="I5493" i="1"/>
  <c r="H5493" i="1"/>
  <c r="I5485" i="1"/>
  <c r="H5485" i="1"/>
  <c r="I5477" i="1"/>
  <c r="H5477" i="1"/>
  <c r="I5469" i="1"/>
  <c r="H5469" i="1"/>
  <c r="I5461" i="1"/>
  <c r="H5461" i="1"/>
  <c r="I5453" i="1"/>
  <c r="H5453" i="1"/>
  <c r="I5445" i="1"/>
  <c r="H5445" i="1"/>
  <c r="I5437" i="1"/>
  <c r="H5437" i="1"/>
  <c r="I5429" i="1"/>
  <c r="H5429" i="1"/>
  <c r="I5421" i="1"/>
  <c r="H5421" i="1"/>
  <c r="I5413" i="1"/>
  <c r="H5413" i="1"/>
  <c r="I5405" i="1"/>
  <c r="H5405" i="1"/>
  <c r="I5397" i="1"/>
  <c r="H5397" i="1"/>
  <c r="I5389" i="1"/>
  <c r="H5389" i="1"/>
  <c r="I5381" i="1"/>
  <c r="H5381" i="1"/>
  <c r="I5373" i="1"/>
  <c r="H5373" i="1"/>
  <c r="I5365" i="1"/>
  <c r="H5365" i="1"/>
  <c r="I5357" i="1"/>
  <c r="H5357" i="1"/>
  <c r="I5349" i="1"/>
  <c r="H5349" i="1"/>
  <c r="I5341" i="1"/>
  <c r="H5341" i="1"/>
  <c r="I5333" i="1"/>
  <c r="H5333" i="1"/>
  <c r="I5325" i="1"/>
  <c r="H5325" i="1"/>
  <c r="I5317" i="1"/>
  <c r="H5317" i="1"/>
  <c r="I5309" i="1"/>
  <c r="H5309" i="1"/>
  <c r="I5301" i="1"/>
  <c r="H5301" i="1"/>
  <c r="I5293" i="1"/>
  <c r="H5293" i="1"/>
  <c r="I5285" i="1"/>
  <c r="H5285" i="1"/>
  <c r="I5277" i="1"/>
  <c r="H5277" i="1"/>
  <c r="I5269" i="1"/>
  <c r="H5269" i="1"/>
  <c r="I5261" i="1"/>
  <c r="H5261" i="1"/>
  <c r="I5253" i="1"/>
  <c r="H5253" i="1"/>
  <c r="I5245" i="1"/>
  <c r="H5245" i="1"/>
  <c r="I5237" i="1"/>
  <c r="H5237" i="1"/>
  <c r="I5229" i="1"/>
  <c r="H5229" i="1"/>
  <c r="I5221" i="1"/>
  <c r="H5221" i="1"/>
  <c r="I5213" i="1"/>
  <c r="H5213" i="1"/>
  <c r="I5205" i="1"/>
  <c r="H5205" i="1"/>
  <c r="I5197" i="1"/>
  <c r="H5197" i="1"/>
  <c r="I5189" i="1"/>
  <c r="H5189" i="1"/>
  <c r="I5181" i="1"/>
  <c r="H5181" i="1"/>
  <c r="I5173" i="1"/>
  <c r="H5173" i="1"/>
  <c r="I5165" i="1"/>
  <c r="H5165" i="1"/>
  <c r="I5157" i="1"/>
  <c r="H5157" i="1"/>
  <c r="I5149" i="1"/>
  <c r="H5149" i="1"/>
  <c r="I5141" i="1"/>
  <c r="H5141" i="1"/>
  <c r="I5133" i="1"/>
  <c r="H5133" i="1"/>
  <c r="I5125" i="1"/>
  <c r="H5125" i="1"/>
  <c r="I5117" i="1"/>
  <c r="H5117" i="1"/>
  <c r="I5109" i="1"/>
  <c r="H5109" i="1"/>
  <c r="I5101" i="1"/>
  <c r="H5101" i="1"/>
  <c r="I5093" i="1"/>
  <c r="H5093" i="1"/>
  <c r="I5085" i="1"/>
  <c r="H5085" i="1"/>
  <c r="I5077" i="1"/>
  <c r="H5077" i="1"/>
  <c r="I5069" i="1"/>
  <c r="H5069" i="1"/>
  <c r="I5061" i="1"/>
  <c r="H5061" i="1"/>
  <c r="I5053" i="1"/>
  <c r="H5053" i="1"/>
  <c r="I5045" i="1"/>
  <c r="H5045" i="1"/>
  <c r="I5037" i="1"/>
  <c r="H5037" i="1"/>
  <c r="I5029" i="1"/>
  <c r="H5029" i="1"/>
  <c r="I5021" i="1"/>
  <c r="H5021" i="1"/>
  <c r="I5013" i="1"/>
  <c r="H5013" i="1"/>
  <c r="I5005" i="1"/>
  <c r="H5005" i="1"/>
  <c r="I4997" i="1"/>
  <c r="H4997" i="1"/>
  <c r="I4989" i="1"/>
  <c r="H4989" i="1"/>
  <c r="I4981" i="1"/>
  <c r="H4981" i="1"/>
  <c r="I4973" i="1"/>
  <c r="H4973" i="1"/>
  <c r="I4965" i="1"/>
  <c r="H4965" i="1"/>
  <c r="I4957" i="1"/>
  <c r="H4957" i="1"/>
  <c r="I4949" i="1"/>
  <c r="H4949" i="1"/>
  <c r="I4941" i="1"/>
  <c r="H4941" i="1"/>
  <c r="I4933" i="1"/>
  <c r="H4933" i="1"/>
  <c r="I4925" i="1"/>
  <c r="H4925" i="1"/>
  <c r="I4917" i="1"/>
  <c r="H4917" i="1"/>
  <c r="I4909" i="1"/>
  <c r="H4909" i="1"/>
  <c r="I4901" i="1"/>
  <c r="H4901" i="1"/>
  <c r="I4893" i="1"/>
  <c r="H4893" i="1"/>
  <c r="I4885" i="1"/>
  <c r="H4885" i="1"/>
  <c r="I4877" i="1"/>
  <c r="H4877" i="1"/>
  <c r="I4869" i="1"/>
  <c r="H4869" i="1"/>
  <c r="I4861" i="1"/>
  <c r="H4861" i="1"/>
  <c r="I4853" i="1"/>
  <c r="H4853" i="1"/>
  <c r="I4845" i="1"/>
  <c r="H4845" i="1"/>
  <c r="I4837" i="1"/>
  <c r="H4837" i="1"/>
  <c r="I4829" i="1"/>
  <c r="H4829" i="1"/>
  <c r="I4821" i="1"/>
  <c r="H4821" i="1"/>
  <c r="I4813" i="1"/>
  <c r="H4813" i="1"/>
  <c r="I4805" i="1"/>
  <c r="H4805" i="1"/>
  <c r="I4797" i="1"/>
  <c r="H4797" i="1"/>
  <c r="I4789" i="1"/>
  <c r="H4789" i="1"/>
  <c r="I4781" i="1"/>
  <c r="H4781" i="1"/>
  <c r="I4773" i="1"/>
  <c r="H4773" i="1"/>
  <c r="I4765" i="1"/>
  <c r="H4765" i="1"/>
  <c r="I4757" i="1"/>
  <c r="H4757" i="1"/>
  <c r="I4749" i="1"/>
  <c r="H4749" i="1"/>
  <c r="I4741" i="1"/>
  <c r="H4741" i="1"/>
  <c r="I4733" i="1"/>
  <c r="H4733" i="1"/>
  <c r="I4725" i="1"/>
  <c r="H4725" i="1"/>
  <c r="I4717" i="1"/>
  <c r="H4717" i="1"/>
  <c r="I4709" i="1"/>
  <c r="H4709" i="1"/>
  <c r="I4701" i="1"/>
  <c r="H4701" i="1"/>
  <c r="I4693" i="1"/>
  <c r="H4693" i="1"/>
  <c r="I4685" i="1"/>
  <c r="H4685" i="1"/>
  <c r="I4677" i="1"/>
  <c r="H4677" i="1"/>
  <c r="I4669" i="1"/>
  <c r="H4669" i="1"/>
  <c r="I4661" i="1"/>
  <c r="H4661" i="1"/>
  <c r="I4653" i="1"/>
  <c r="H4653" i="1"/>
  <c r="I4645" i="1"/>
  <c r="H4645" i="1"/>
  <c r="I4637" i="1"/>
  <c r="H4637" i="1"/>
  <c r="I4629" i="1"/>
  <c r="H4629" i="1"/>
  <c r="I4621" i="1"/>
  <c r="H4621" i="1"/>
  <c r="I4613" i="1"/>
  <c r="H4613" i="1"/>
  <c r="I4605" i="1"/>
  <c r="H4605" i="1"/>
  <c r="I4597" i="1"/>
  <c r="H4597" i="1"/>
  <c r="I4589" i="1"/>
  <c r="H4589" i="1"/>
  <c r="I4581" i="1"/>
  <c r="H4581" i="1"/>
  <c r="I4573" i="1"/>
  <c r="H4573" i="1"/>
  <c r="I4565" i="1"/>
  <c r="H4565" i="1"/>
  <c r="I4557" i="1"/>
  <c r="H4557" i="1"/>
  <c r="I4549" i="1"/>
  <c r="H4549" i="1"/>
  <c r="I4541" i="1"/>
  <c r="H4541" i="1"/>
  <c r="I4533" i="1"/>
  <c r="H4533" i="1"/>
  <c r="I4525" i="1"/>
  <c r="H4525" i="1"/>
  <c r="I4517" i="1"/>
  <c r="H4517" i="1"/>
  <c r="I4509" i="1"/>
  <c r="H4509" i="1"/>
  <c r="I4501" i="1"/>
  <c r="H4501" i="1"/>
  <c r="I4493" i="1"/>
  <c r="H4493" i="1"/>
  <c r="I4485" i="1"/>
  <c r="H4485" i="1"/>
  <c r="I4477" i="1"/>
  <c r="H4477" i="1"/>
  <c r="I4469" i="1"/>
  <c r="H4469" i="1"/>
  <c r="I4461" i="1"/>
  <c r="H4461" i="1"/>
  <c r="I4453" i="1"/>
  <c r="H4453" i="1"/>
  <c r="I4445" i="1"/>
  <c r="H4445" i="1"/>
  <c r="I4437" i="1"/>
  <c r="H4437" i="1"/>
  <c r="I4429" i="1"/>
  <c r="H4429" i="1"/>
  <c r="I4421" i="1"/>
  <c r="H4421" i="1"/>
  <c r="I4413" i="1"/>
  <c r="H4413" i="1"/>
  <c r="I4405" i="1"/>
  <c r="H4405" i="1"/>
  <c r="I4397" i="1"/>
  <c r="H4397" i="1"/>
  <c r="I4389" i="1"/>
  <c r="H4389" i="1"/>
  <c r="I4381" i="1"/>
  <c r="H4381" i="1"/>
  <c r="I4373" i="1"/>
  <c r="H4373" i="1"/>
  <c r="I4365" i="1"/>
  <c r="H4365" i="1"/>
  <c r="I4357" i="1"/>
  <c r="H4357" i="1"/>
  <c r="I4349" i="1"/>
  <c r="H4349" i="1"/>
  <c r="I4341" i="1"/>
  <c r="H4341" i="1"/>
  <c r="I4333" i="1"/>
  <c r="H4333" i="1"/>
  <c r="I4325" i="1"/>
  <c r="H4325" i="1"/>
  <c r="I4317" i="1"/>
  <c r="H4317" i="1"/>
  <c r="I4309" i="1"/>
  <c r="H4309" i="1"/>
  <c r="I4301" i="1"/>
  <c r="H4301" i="1"/>
  <c r="I4293" i="1"/>
  <c r="H4293" i="1"/>
  <c r="I4285" i="1"/>
  <c r="H4285" i="1"/>
  <c r="I4277" i="1"/>
  <c r="H4277" i="1"/>
  <c r="I4269" i="1"/>
  <c r="H4269" i="1"/>
  <c r="I4261" i="1"/>
  <c r="H4261" i="1"/>
  <c r="I4253" i="1"/>
  <c r="H4253" i="1"/>
  <c r="I4245" i="1"/>
  <c r="H4245" i="1"/>
  <c r="I4237" i="1"/>
  <c r="H4237" i="1"/>
  <c r="I4229" i="1"/>
  <c r="H4229" i="1"/>
  <c r="I4221" i="1"/>
  <c r="H4221" i="1"/>
  <c r="I4213" i="1"/>
  <c r="H4213" i="1"/>
  <c r="I4205" i="1"/>
  <c r="H4205" i="1"/>
  <c r="I4197" i="1"/>
  <c r="H4197" i="1"/>
  <c r="I4189" i="1"/>
  <c r="H4189" i="1"/>
  <c r="I4181" i="1"/>
  <c r="H4181" i="1"/>
  <c r="I4173" i="1"/>
  <c r="H4173" i="1"/>
  <c r="I4165" i="1"/>
  <c r="H4165" i="1"/>
  <c r="I4157" i="1"/>
  <c r="H4157" i="1"/>
  <c r="I4149" i="1"/>
  <c r="H4149" i="1"/>
  <c r="I4141" i="1"/>
  <c r="H4141" i="1"/>
  <c r="I4133" i="1"/>
  <c r="H4133" i="1"/>
  <c r="I4125" i="1"/>
  <c r="H4125" i="1"/>
  <c r="I4117" i="1"/>
  <c r="H4117" i="1"/>
  <c r="I4109" i="1"/>
  <c r="H4109" i="1"/>
  <c r="I4101" i="1"/>
  <c r="H4101" i="1"/>
  <c r="I4093" i="1"/>
  <c r="H4093" i="1"/>
  <c r="I4085" i="1"/>
  <c r="H4085" i="1"/>
  <c r="I4077" i="1"/>
  <c r="H4077" i="1"/>
  <c r="I4069" i="1"/>
  <c r="H4069" i="1"/>
  <c r="I4061" i="1"/>
  <c r="H4061" i="1"/>
  <c r="I4053" i="1"/>
  <c r="H4053" i="1"/>
  <c r="I4045" i="1"/>
  <c r="H4045" i="1"/>
  <c r="I4037" i="1"/>
  <c r="H4037" i="1"/>
  <c r="I4029" i="1"/>
  <c r="H4029" i="1"/>
  <c r="I4021" i="1"/>
  <c r="H4021" i="1"/>
  <c r="I4013" i="1"/>
  <c r="H4013" i="1"/>
  <c r="I4005" i="1"/>
  <c r="H4005" i="1"/>
  <c r="I3997" i="1"/>
  <c r="H3997" i="1"/>
  <c r="I3989" i="1"/>
  <c r="H3989" i="1"/>
  <c r="I3981" i="1"/>
  <c r="H3981" i="1"/>
  <c r="I3973" i="1"/>
  <c r="H3973" i="1"/>
  <c r="I3965" i="1"/>
  <c r="H3965" i="1"/>
  <c r="I3957" i="1"/>
  <c r="H3957" i="1"/>
  <c r="I3949" i="1"/>
  <c r="H3949" i="1"/>
  <c r="I3941" i="1"/>
  <c r="H3941" i="1"/>
  <c r="I3933" i="1"/>
  <c r="H3933" i="1"/>
  <c r="I3925" i="1"/>
  <c r="H3925" i="1"/>
  <c r="I3917" i="1"/>
  <c r="H3917" i="1"/>
  <c r="I3909" i="1"/>
  <c r="H3909" i="1"/>
  <c r="I3901" i="1"/>
  <c r="H3901" i="1"/>
  <c r="I3893" i="1"/>
  <c r="H3893" i="1"/>
  <c r="I3885" i="1"/>
  <c r="H3885" i="1"/>
  <c r="I3877" i="1"/>
  <c r="H3877" i="1"/>
  <c r="I3869" i="1"/>
  <c r="H3869" i="1"/>
  <c r="I3861" i="1"/>
  <c r="H3861" i="1"/>
  <c r="I3853" i="1"/>
  <c r="H3853" i="1"/>
  <c r="I3845" i="1"/>
  <c r="H3845" i="1"/>
  <c r="I3837" i="1"/>
  <c r="H3837" i="1"/>
  <c r="I3829" i="1"/>
  <c r="H3829" i="1"/>
  <c r="I3821" i="1"/>
  <c r="H3821" i="1"/>
  <c r="I3813" i="1"/>
  <c r="H3813" i="1"/>
  <c r="I3805" i="1"/>
  <c r="H3805" i="1"/>
  <c r="I3797" i="1"/>
  <c r="H3797" i="1"/>
  <c r="I3789" i="1"/>
  <c r="H3789" i="1"/>
  <c r="I3781" i="1"/>
  <c r="H3781" i="1"/>
  <c r="I3773" i="1"/>
  <c r="H3773" i="1"/>
  <c r="I3765" i="1"/>
  <c r="H3765" i="1"/>
  <c r="I3757" i="1"/>
  <c r="H3757" i="1"/>
  <c r="I3749" i="1"/>
  <c r="H3749" i="1"/>
  <c r="I3741" i="1"/>
  <c r="H3741" i="1"/>
  <c r="I3733" i="1"/>
  <c r="H3733" i="1"/>
  <c r="I3725" i="1"/>
  <c r="H3725" i="1"/>
  <c r="I3717" i="1"/>
  <c r="H3717" i="1"/>
  <c r="I3709" i="1"/>
  <c r="H3709" i="1"/>
  <c r="I3701" i="1"/>
  <c r="H3701" i="1"/>
  <c r="I3693" i="1"/>
  <c r="H3693" i="1"/>
  <c r="I3685" i="1"/>
  <c r="H3685" i="1"/>
  <c r="I3677" i="1"/>
  <c r="H3677" i="1"/>
  <c r="I3669" i="1"/>
  <c r="H3669" i="1"/>
  <c r="I3661" i="1"/>
  <c r="H3661" i="1"/>
  <c r="I3653" i="1"/>
  <c r="H3653" i="1"/>
  <c r="I3645" i="1"/>
  <c r="H3645" i="1"/>
  <c r="I3637" i="1"/>
  <c r="H3637" i="1"/>
  <c r="I3629" i="1"/>
  <c r="H3629" i="1"/>
  <c r="I3621" i="1"/>
  <c r="H3621" i="1"/>
  <c r="I3613" i="1"/>
  <c r="H3613" i="1"/>
  <c r="I3605" i="1"/>
  <c r="H3605" i="1"/>
  <c r="I3597" i="1"/>
  <c r="H3597" i="1"/>
  <c r="I3589" i="1"/>
  <c r="H3589" i="1"/>
  <c r="I3581" i="1"/>
  <c r="H3581" i="1"/>
  <c r="I3573" i="1"/>
  <c r="H3573" i="1"/>
  <c r="I3565" i="1"/>
  <c r="H3565" i="1"/>
  <c r="I3557" i="1"/>
  <c r="H3557" i="1"/>
  <c r="I3549" i="1"/>
  <c r="H3549" i="1"/>
  <c r="I3541" i="1"/>
  <c r="H3541" i="1"/>
  <c r="I3533" i="1"/>
  <c r="H3533" i="1"/>
  <c r="I3525" i="1"/>
  <c r="H3525" i="1"/>
  <c r="I3517" i="1"/>
  <c r="H3517" i="1"/>
  <c r="I3509" i="1"/>
  <c r="H3509" i="1"/>
  <c r="I3501" i="1"/>
  <c r="H3501" i="1"/>
  <c r="I3493" i="1"/>
  <c r="H3493" i="1"/>
  <c r="I3485" i="1"/>
  <c r="H3485" i="1"/>
  <c r="I3477" i="1"/>
  <c r="H3477" i="1"/>
  <c r="I3469" i="1"/>
  <c r="H3469" i="1"/>
  <c r="I3461" i="1"/>
  <c r="H3461" i="1"/>
  <c r="I3453" i="1"/>
  <c r="H3453" i="1"/>
  <c r="I3445" i="1"/>
  <c r="H3445" i="1"/>
  <c r="I3437" i="1"/>
  <c r="H3437" i="1"/>
  <c r="I3429" i="1"/>
  <c r="H3429" i="1"/>
  <c r="I3421" i="1"/>
  <c r="H3421" i="1"/>
  <c r="I3413" i="1"/>
  <c r="H3413" i="1"/>
  <c r="I3405" i="1"/>
  <c r="H3405" i="1"/>
  <c r="I3397" i="1"/>
  <c r="H3397" i="1"/>
  <c r="I3389" i="1"/>
  <c r="H3389" i="1"/>
  <c r="I3381" i="1"/>
  <c r="H3381" i="1"/>
  <c r="I3373" i="1"/>
  <c r="H3373" i="1"/>
  <c r="I3365" i="1"/>
  <c r="H3365" i="1"/>
  <c r="I3357" i="1"/>
  <c r="H3357" i="1"/>
  <c r="I3349" i="1"/>
  <c r="H3349" i="1"/>
  <c r="I3341" i="1"/>
  <c r="H3341" i="1"/>
  <c r="I3333" i="1"/>
  <c r="H3333" i="1"/>
  <c r="I3325" i="1"/>
  <c r="H3325" i="1"/>
  <c r="I3317" i="1"/>
  <c r="H3317" i="1"/>
  <c r="I3309" i="1"/>
  <c r="H3309" i="1"/>
  <c r="I3301" i="1"/>
  <c r="H3301" i="1"/>
  <c r="I3293" i="1"/>
  <c r="H3293" i="1"/>
  <c r="I3285" i="1"/>
  <c r="H3285" i="1"/>
  <c r="I3277" i="1"/>
  <c r="H3277" i="1"/>
  <c r="I3269" i="1"/>
  <c r="H3269" i="1"/>
  <c r="I3261" i="1"/>
  <c r="H3261" i="1"/>
  <c r="I3253" i="1"/>
  <c r="H3253" i="1"/>
  <c r="I3245" i="1"/>
  <c r="H3245" i="1"/>
  <c r="I3237" i="1"/>
  <c r="H3237" i="1"/>
  <c r="I3229" i="1"/>
  <c r="H3229" i="1"/>
  <c r="I3221" i="1"/>
  <c r="H3221" i="1"/>
  <c r="I3213" i="1"/>
  <c r="H3213" i="1"/>
  <c r="I3205" i="1"/>
  <c r="H3205" i="1"/>
  <c r="I3197" i="1"/>
  <c r="H3197" i="1"/>
  <c r="I3189" i="1"/>
  <c r="H3189" i="1"/>
  <c r="I3181" i="1"/>
  <c r="H3181" i="1"/>
  <c r="I3173" i="1"/>
  <c r="H3173" i="1"/>
  <c r="I3165" i="1"/>
  <c r="H3165" i="1"/>
  <c r="I3157" i="1"/>
  <c r="H3157" i="1"/>
  <c r="I3149" i="1"/>
  <c r="H3149" i="1"/>
  <c r="I3141" i="1"/>
  <c r="H3141" i="1"/>
  <c r="I3133" i="1"/>
  <c r="H3133" i="1"/>
  <c r="I3125" i="1"/>
  <c r="H3125" i="1"/>
  <c r="I3117" i="1"/>
  <c r="H3117" i="1"/>
  <c r="I3109" i="1"/>
  <c r="H3109" i="1"/>
  <c r="I3101" i="1"/>
  <c r="H3101" i="1"/>
  <c r="I3093" i="1"/>
  <c r="H3093" i="1"/>
  <c r="I3085" i="1"/>
  <c r="H3085" i="1"/>
  <c r="I3077" i="1"/>
  <c r="H3077" i="1"/>
  <c r="I3069" i="1"/>
  <c r="H3069" i="1"/>
  <c r="I3061" i="1"/>
  <c r="H3061" i="1"/>
  <c r="I3053" i="1"/>
  <c r="H3053" i="1"/>
  <c r="I3045" i="1"/>
  <c r="H3045" i="1"/>
  <c r="I3037" i="1"/>
  <c r="H3037" i="1"/>
  <c r="I3029" i="1"/>
  <c r="H3029" i="1"/>
  <c r="I3021" i="1"/>
  <c r="H3021" i="1"/>
  <c r="I3013" i="1"/>
  <c r="H3013" i="1"/>
  <c r="I3005" i="1"/>
  <c r="H3005" i="1"/>
  <c r="I2997" i="1"/>
  <c r="H2997" i="1"/>
  <c r="I2989" i="1"/>
  <c r="H2989" i="1"/>
  <c r="I2981" i="1"/>
  <c r="H2981" i="1"/>
  <c r="I2973" i="1"/>
  <c r="H2973" i="1"/>
  <c r="I2965" i="1"/>
  <c r="H2965" i="1"/>
  <c r="I2957" i="1"/>
  <c r="H2957" i="1"/>
  <c r="I2949" i="1"/>
  <c r="H2949" i="1"/>
  <c r="I2941" i="1"/>
  <c r="H2941" i="1"/>
  <c r="I2933" i="1"/>
  <c r="H2933" i="1"/>
  <c r="I2925" i="1"/>
  <c r="H2925" i="1"/>
  <c r="I2917" i="1"/>
  <c r="H2917" i="1"/>
  <c r="I2909" i="1"/>
  <c r="H2909" i="1"/>
  <c r="I2901" i="1"/>
  <c r="H2901" i="1"/>
  <c r="I2893" i="1"/>
  <c r="H2893" i="1"/>
  <c r="I2885" i="1"/>
  <c r="H2885" i="1"/>
  <c r="I2877" i="1"/>
  <c r="H2877" i="1"/>
  <c r="I2869" i="1"/>
  <c r="H2869" i="1"/>
  <c r="I2861" i="1"/>
  <c r="H2861" i="1"/>
  <c r="I2853" i="1"/>
  <c r="H2853" i="1"/>
  <c r="I2845" i="1"/>
  <c r="H2845" i="1"/>
  <c r="I2837" i="1"/>
  <c r="H2837" i="1"/>
  <c r="I2829" i="1"/>
  <c r="H2829" i="1"/>
  <c r="I2821" i="1"/>
  <c r="H2821" i="1"/>
  <c r="I2813" i="1"/>
  <c r="H2813" i="1"/>
  <c r="I2805" i="1"/>
  <c r="H2805" i="1"/>
  <c r="I2797" i="1"/>
  <c r="H2797" i="1"/>
  <c r="I2789" i="1"/>
  <c r="H2789" i="1"/>
  <c r="I2781" i="1"/>
  <c r="H2781" i="1"/>
  <c r="I2773" i="1"/>
  <c r="H2773" i="1"/>
  <c r="I2765" i="1"/>
  <c r="H2765" i="1"/>
  <c r="I2757" i="1"/>
  <c r="H2757" i="1"/>
  <c r="I2749" i="1"/>
  <c r="H2749" i="1"/>
  <c r="I2741" i="1"/>
  <c r="H2741" i="1"/>
  <c r="I2733" i="1"/>
  <c r="H2733" i="1"/>
  <c r="I2725" i="1"/>
  <c r="H2725" i="1"/>
  <c r="I2717" i="1"/>
  <c r="H2717" i="1"/>
  <c r="I2709" i="1"/>
  <c r="H2709" i="1"/>
  <c r="I2701" i="1"/>
  <c r="H2701" i="1"/>
  <c r="I2693" i="1"/>
  <c r="H2693" i="1"/>
  <c r="I2685" i="1"/>
  <c r="H2685" i="1"/>
  <c r="I2677" i="1"/>
  <c r="H2677" i="1"/>
  <c r="I2669" i="1"/>
  <c r="H2669" i="1"/>
  <c r="I2661" i="1"/>
  <c r="H2661" i="1"/>
  <c r="I2653" i="1"/>
  <c r="H2653" i="1"/>
  <c r="I2645" i="1"/>
  <c r="H2645" i="1"/>
  <c r="I2637" i="1"/>
  <c r="H2637" i="1"/>
  <c r="I2629" i="1"/>
  <c r="H2629" i="1"/>
  <c r="I2621" i="1"/>
  <c r="H2621" i="1"/>
  <c r="I2613" i="1"/>
  <c r="H2613" i="1"/>
  <c r="I2605" i="1"/>
  <c r="H2605" i="1"/>
  <c r="I2597" i="1"/>
  <c r="H2597" i="1"/>
  <c r="I2589" i="1"/>
  <c r="H2589" i="1"/>
  <c r="I2581" i="1"/>
  <c r="H2581" i="1"/>
  <c r="I2573" i="1"/>
  <c r="H2573" i="1"/>
  <c r="I2565" i="1"/>
  <c r="H2565" i="1"/>
  <c r="I2557" i="1"/>
  <c r="H2557" i="1"/>
  <c r="I2549" i="1"/>
  <c r="H2549" i="1"/>
  <c r="I2541" i="1"/>
  <c r="H2541" i="1"/>
  <c r="I2533" i="1"/>
  <c r="H2533" i="1"/>
  <c r="I2525" i="1"/>
  <c r="H2525" i="1"/>
  <c r="I2517" i="1"/>
  <c r="H2517" i="1"/>
  <c r="I2509" i="1"/>
  <c r="H2509" i="1"/>
  <c r="I2501" i="1"/>
  <c r="H2501" i="1"/>
  <c r="I2493" i="1"/>
  <c r="H2493" i="1"/>
  <c r="I2485" i="1"/>
  <c r="H2485" i="1"/>
  <c r="I2477" i="1"/>
  <c r="H2477" i="1"/>
  <c r="I2469" i="1"/>
  <c r="H2469" i="1"/>
  <c r="I2461" i="1"/>
  <c r="H2461" i="1"/>
  <c r="I2453" i="1"/>
  <c r="H2453" i="1"/>
  <c r="I2445" i="1"/>
  <c r="H2445" i="1"/>
  <c r="I2437" i="1"/>
  <c r="H2437" i="1"/>
  <c r="I2429" i="1"/>
  <c r="H2429" i="1"/>
  <c r="I2421" i="1"/>
  <c r="H2421" i="1"/>
  <c r="I2413" i="1"/>
  <c r="H2413" i="1"/>
  <c r="I2405" i="1"/>
  <c r="H2405" i="1"/>
  <c r="I2397" i="1"/>
  <c r="H2397" i="1"/>
  <c r="I2389" i="1"/>
  <c r="H2389" i="1"/>
  <c r="I2381" i="1"/>
  <c r="H2381" i="1"/>
  <c r="I2373" i="1"/>
  <c r="H2373" i="1"/>
  <c r="I2365" i="1"/>
  <c r="H2365" i="1"/>
  <c r="I2357" i="1"/>
  <c r="H2357" i="1"/>
  <c r="I2349" i="1"/>
  <c r="H2349" i="1"/>
  <c r="I2341" i="1"/>
  <c r="H2341" i="1"/>
  <c r="I2333" i="1"/>
  <c r="H2333" i="1"/>
  <c r="I2325" i="1"/>
  <c r="H2325" i="1"/>
  <c r="I2317" i="1"/>
  <c r="H2317" i="1"/>
  <c r="I2309" i="1"/>
  <c r="H2309" i="1"/>
  <c r="I2301" i="1"/>
  <c r="H2301" i="1"/>
  <c r="I2293" i="1"/>
  <c r="H2293" i="1"/>
  <c r="I2285" i="1"/>
  <c r="H2285" i="1"/>
  <c r="I2277" i="1"/>
  <c r="H2277" i="1"/>
  <c r="I2269" i="1"/>
  <c r="H2269" i="1"/>
  <c r="I2261" i="1"/>
  <c r="H2261" i="1"/>
  <c r="I2253" i="1"/>
  <c r="H2253" i="1"/>
  <c r="I2245" i="1"/>
  <c r="H2245" i="1"/>
  <c r="I2237" i="1"/>
  <c r="H2237" i="1"/>
  <c r="I2229" i="1"/>
  <c r="H2229" i="1"/>
  <c r="I2221" i="1"/>
  <c r="H2221" i="1"/>
  <c r="I2213" i="1"/>
  <c r="H2213" i="1"/>
  <c r="I2205" i="1"/>
  <c r="H2205" i="1"/>
  <c r="I2197" i="1"/>
  <c r="H2197" i="1"/>
  <c r="I2189" i="1"/>
  <c r="H2189" i="1"/>
  <c r="I2181" i="1"/>
  <c r="H2181" i="1"/>
  <c r="I2173" i="1"/>
  <c r="H2173" i="1"/>
  <c r="I2165" i="1"/>
  <c r="H2165" i="1"/>
  <c r="I2157" i="1"/>
  <c r="H2157" i="1"/>
  <c r="I2149" i="1"/>
  <c r="H2149" i="1"/>
  <c r="I2141" i="1"/>
  <c r="H2141" i="1"/>
  <c r="I2133" i="1"/>
  <c r="H2133" i="1"/>
  <c r="I2125" i="1"/>
  <c r="H2125" i="1"/>
  <c r="I2117" i="1"/>
  <c r="H2117" i="1"/>
  <c r="I2109" i="1"/>
  <c r="H2109" i="1"/>
  <c r="I2101" i="1"/>
  <c r="H2101" i="1"/>
  <c r="I2093" i="1"/>
  <c r="H2093" i="1"/>
  <c r="I2085" i="1"/>
  <c r="H2085" i="1"/>
  <c r="I2077" i="1"/>
  <c r="H2077" i="1"/>
  <c r="I2069" i="1"/>
  <c r="H2069" i="1"/>
  <c r="I2061" i="1"/>
  <c r="H2061" i="1"/>
  <c r="I2053" i="1"/>
  <c r="H2053" i="1"/>
  <c r="I2045" i="1"/>
  <c r="H2045" i="1"/>
  <c r="I2037" i="1"/>
  <c r="H2037" i="1"/>
  <c r="I2029" i="1"/>
  <c r="H2029" i="1"/>
  <c r="I2021" i="1"/>
  <c r="H2021" i="1"/>
  <c r="I2013" i="1"/>
  <c r="H2013" i="1"/>
  <c r="I2005" i="1"/>
  <c r="H2005" i="1"/>
  <c r="I1997" i="1"/>
  <c r="H1997" i="1"/>
  <c r="I1989" i="1"/>
  <c r="H1989" i="1"/>
  <c r="I1981" i="1"/>
  <c r="H1981" i="1"/>
  <c r="I1973" i="1"/>
  <c r="H1973" i="1"/>
  <c r="I1965" i="1"/>
  <c r="H1965" i="1"/>
  <c r="I1957" i="1"/>
  <c r="H1957" i="1"/>
  <c r="I1949" i="1"/>
  <c r="H1949" i="1"/>
  <c r="I1941" i="1"/>
  <c r="H1941" i="1"/>
  <c r="I1933" i="1"/>
  <c r="H1933" i="1"/>
  <c r="I1925" i="1"/>
  <c r="H1925" i="1"/>
  <c r="I1917" i="1"/>
  <c r="H1917" i="1"/>
  <c r="I1909" i="1"/>
  <c r="H1909" i="1"/>
  <c r="I1901" i="1"/>
  <c r="H1901" i="1"/>
  <c r="I1893" i="1"/>
  <c r="H1893" i="1"/>
  <c r="I1885" i="1"/>
  <c r="H1885" i="1"/>
  <c r="I1877" i="1"/>
  <c r="H1877" i="1"/>
  <c r="I1869" i="1"/>
  <c r="H1869" i="1"/>
  <c r="I1861" i="1"/>
  <c r="H1861" i="1"/>
  <c r="I1853" i="1"/>
  <c r="H1853" i="1"/>
  <c r="I1845" i="1"/>
  <c r="H1845" i="1"/>
  <c r="I1837" i="1"/>
  <c r="H1837" i="1"/>
  <c r="I1829" i="1"/>
  <c r="H1829" i="1"/>
  <c r="I1821" i="1"/>
  <c r="H1821" i="1"/>
  <c r="I1813" i="1"/>
  <c r="H1813" i="1"/>
  <c r="I1805" i="1"/>
  <c r="H1805" i="1"/>
  <c r="I1797" i="1"/>
  <c r="H1797" i="1"/>
  <c r="I1789" i="1"/>
  <c r="H1789" i="1"/>
  <c r="I1781" i="1"/>
  <c r="H1781" i="1"/>
  <c r="I1773" i="1"/>
  <c r="H1773" i="1"/>
  <c r="I1765" i="1"/>
  <c r="H1765" i="1"/>
  <c r="I1757" i="1"/>
  <c r="H1757" i="1"/>
  <c r="I1749" i="1"/>
  <c r="H1749" i="1"/>
  <c r="I1741" i="1"/>
  <c r="H1741" i="1"/>
  <c r="I1733" i="1"/>
  <c r="H1733" i="1"/>
  <c r="I1725" i="1"/>
  <c r="H1725" i="1"/>
  <c r="I1717" i="1"/>
  <c r="H1717" i="1"/>
  <c r="I1709" i="1"/>
  <c r="H1709" i="1"/>
  <c r="I1701" i="1"/>
  <c r="H1701" i="1"/>
  <c r="I1693" i="1"/>
  <c r="H1693" i="1"/>
  <c r="I1685" i="1"/>
  <c r="H1685" i="1"/>
  <c r="I1677" i="1"/>
  <c r="H1677" i="1"/>
  <c r="I1669" i="1"/>
  <c r="H1669" i="1"/>
  <c r="I1661" i="1"/>
  <c r="H1661" i="1"/>
  <c r="I1653" i="1"/>
  <c r="H1653" i="1"/>
  <c r="I1645" i="1"/>
  <c r="H1645" i="1"/>
  <c r="I1637" i="1"/>
  <c r="H1637" i="1"/>
  <c r="I1629" i="1"/>
  <c r="H1629" i="1"/>
  <c r="I1621" i="1"/>
  <c r="H1621" i="1"/>
  <c r="I1613" i="1"/>
  <c r="H1613" i="1"/>
  <c r="I1605" i="1"/>
  <c r="H1605" i="1"/>
  <c r="I1597" i="1"/>
  <c r="H1597" i="1"/>
  <c r="I1589" i="1"/>
  <c r="H1589" i="1"/>
  <c r="I1581" i="1"/>
  <c r="H1581" i="1"/>
  <c r="I1573" i="1"/>
  <c r="H1573" i="1"/>
  <c r="I1565" i="1"/>
  <c r="H1565" i="1"/>
  <c r="I1557" i="1"/>
  <c r="H1557" i="1"/>
  <c r="I1549" i="1"/>
  <c r="H1549" i="1"/>
  <c r="I1541" i="1"/>
  <c r="H1541" i="1"/>
  <c r="I1533" i="1"/>
  <c r="H1533" i="1"/>
  <c r="I1525" i="1"/>
  <c r="H1525" i="1"/>
  <c r="I1517" i="1"/>
  <c r="H1517" i="1"/>
  <c r="I1509" i="1"/>
  <c r="H1509" i="1"/>
  <c r="I1501" i="1"/>
  <c r="H1501" i="1"/>
  <c r="I1493" i="1"/>
  <c r="H1493" i="1"/>
  <c r="I1485" i="1"/>
  <c r="H1485" i="1"/>
  <c r="I1477" i="1"/>
  <c r="H1477" i="1"/>
  <c r="I1469" i="1"/>
  <c r="H1469" i="1"/>
  <c r="I1461" i="1"/>
  <c r="H1461" i="1"/>
  <c r="I1453" i="1"/>
  <c r="H1453" i="1"/>
  <c r="I1445" i="1"/>
  <c r="H1445" i="1"/>
  <c r="I1437" i="1"/>
  <c r="H1437" i="1"/>
  <c r="I1429" i="1"/>
  <c r="H1429" i="1"/>
  <c r="I1421" i="1"/>
  <c r="H1421" i="1"/>
  <c r="I1413" i="1"/>
  <c r="H1413" i="1"/>
  <c r="I1405" i="1"/>
  <c r="H1405" i="1"/>
  <c r="I1397" i="1"/>
  <c r="H1397" i="1"/>
  <c r="I1389" i="1"/>
  <c r="H1389" i="1"/>
  <c r="I1381" i="1"/>
  <c r="H1381" i="1"/>
  <c r="I1373" i="1"/>
  <c r="H1373" i="1"/>
  <c r="I1365" i="1"/>
  <c r="H1365" i="1"/>
  <c r="I1357" i="1"/>
  <c r="H1357" i="1"/>
  <c r="I1349" i="1"/>
  <c r="H1349" i="1"/>
  <c r="I1341" i="1"/>
  <c r="H1341" i="1"/>
  <c r="I1333" i="1"/>
  <c r="H1333" i="1"/>
  <c r="I1325" i="1"/>
  <c r="H1325" i="1"/>
  <c r="I1317" i="1"/>
  <c r="H1317" i="1"/>
  <c r="I1309" i="1"/>
  <c r="H1309" i="1"/>
  <c r="I1301" i="1"/>
  <c r="H1301" i="1"/>
  <c r="I1293" i="1"/>
  <c r="H1293" i="1"/>
  <c r="I1285" i="1"/>
  <c r="H1285" i="1"/>
  <c r="I1277" i="1"/>
  <c r="H1277" i="1"/>
  <c r="I1269" i="1"/>
  <c r="H1269" i="1"/>
  <c r="I1261" i="1"/>
  <c r="H1261" i="1"/>
  <c r="I1253" i="1"/>
  <c r="H1253" i="1"/>
  <c r="I1245" i="1"/>
  <c r="H1245" i="1"/>
  <c r="I1237" i="1"/>
  <c r="H1237" i="1"/>
  <c r="I1229" i="1"/>
  <c r="H1229" i="1"/>
  <c r="I1221" i="1"/>
  <c r="H1221" i="1"/>
  <c r="I1213" i="1"/>
  <c r="H1213" i="1"/>
  <c r="I1205" i="1"/>
  <c r="H1205" i="1"/>
  <c r="I1197" i="1"/>
  <c r="H1197" i="1"/>
  <c r="I1189" i="1"/>
  <c r="H1189" i="1"/>
  <c r="I1181" i="1"/>
  <c r="H1181" i="1"/>
  <c r="I1173" i="1"/>
  <c r="H1173" i="1"/>
  <c r="I1165" i="1"/>
  <c r="H1165" i="1"/>
  <c r="I1157" i="1"/>
  <c r="H1157" i="1"/>
  <c r="I1149" i="1"/>
  <c r="H1149" i="1"/>
  <c r="I1141" i="1"/>
  <c r="H1141" i="1"/>
  <c r="I1133" i="1"/>
  <c r="H1133" i="1"/>
  <c r="I1125" i="1"/>
  <c r="H1125" i="1"/>
  <c r="I1117" i="1"/>
  <c r="H1117" i="1"/>
  <c r="I1109" i="1"/>
  <c r="H1109" i="1"/>
  <c r="I1101" i="1"/>
  <c r="H1101" i="1"/>
  <c r="I1093" i="1"/>
  <c r="H1093" i="1"/>
  <c r="I1085" i="1"/>
  <c r="H1085" i="1"/>
  <c r="I1077" i="1"/>
  <c r="H1077" i="1"/>
  <c r="I1069" i="1"/>
  <c r="H1069" i="1"/>
  <c r="I1061" i="1"/>
  <c r="H1061" i="1"/>
  <c r="I1053" i="1"/>
  <c r="H1053" i="1"/>
  <c r="I1045" i="1"/>
  <c r="H1045" i="1"/>
  <c r="I1037" i="1"/>
  <c r="H1037" i="1"/>
  <c r="I1029" i="1"/>
  <c r="H1029" i="1"/>
  <c r="I1021" i="1"/>
  <c r="H1021" i="1"/>
  <c r="I1013" i="1"/>
  <c r="H1013" i="1"/>
  <c r="I1005" i="1"/>
  <c r="H1005" i="1"/>
  <c r="I997" i="1"/>
  <c r="H997" i="1"/>
  <c r="I989" i="1"/>
  <c r="H989" i="1"/>
  <c r="I981" i="1"/>
  <c r="H981" i="1"/>
  <c r="I973" i="1"/>
  <c r="H973" i="1"/>
  <c r="I965" i="1"/>
  <c r="H965" i="1"/>
  <c r="I957" i="1"/>
  <c r="H957" i="1"/>
  <c r="I949" i="1"/>
  <c r="H949" i="1"/>
  <c r="I941" i="1"/>
  <c r="H941" i="1"/>
  <c r="I933" i="1"/>
  <c r="H933" i="1"/>
  <c r="I925" i="1"/>
  <c r="H925" i="1"/>
  <c r="I917" i="1"/>
  <c r="H917" i="1"/>
  <c r="I909" i="1"/>
  <c r="H909" i="1"/>
  <c r="I901" i="1"/>
  <c r="H901" i="1"/>
  <c r="I893" i="1"/>
  <c r="H893" i="1"/>
  <c r="I885" i="1"/>
  <c r="H885" i="1"/>
  <c r="I877" i="1"/>
  <c r="H877" i="1"/>
  <c r="I869" i="1"/>
  <c r="H869" i="1"/>
  <c r="I861" i="1"/>
  <c r="H861" i="1"/>
  <c r="I853" i="1"/>
  <c r="H853" i="1"/>
  <c r="I845" i="1"/>
  <c r="H845" i="1"/>
  <c r="I837" i="1"/>
  <c r="H837" i="1"/>
  <c r="I829" i="1"/>
  <c r="H829" i="1"/>
  <c r="I821" i="1"/>
  <c r="H821" i="1"/>
  <c r="I813" i="1"/>
  <c r="H813" i="1"/>
  <c r="I805" i="1"/>
  <c r="H805" i="1"/>
  <c r="I797" i="1"/>
  <c r="H797" i="1"/>
  <c r="I789" i="1"/>
  <c r="H789" i="1"/>
  <c r="I781" i="1"/>
  <c r="H781" i="1"/>
  <c r="I773" i="1"/>
  <c r="H773" i="1"/>
  <c r="I765" i="1"/>
  <c r="H765" i="1"/>
  <c r="I757" i="1"/>
  <c r="H757" i="1"/>
  <c r="I749" i="1"/>
  <c r="H749" i="1"/>
  <c r="I741" i="1"/>
  <c r="H741" i="1"/>
  <c r="I733" i="1"/>
  <c r="H733" i="1"/>
  <c r="I725" i="1"/>
  <c r="H725" i="1"/>
  <c r="I717" i="1"/>
  <c r="H717" i="1"/>
  <c r="I709" i="1"/>
  <c r="H709" i="1"/>
  <c r="I701" i="1"/>
  <c r="H701" i="1"/>
  <c r="I693" i="1"/>
  <c r="H693" i="1"/>
  <c r="I685" i="1"/>
  <c r="H685" i="1"/>
  <c r="I677" i="1"/>
  <c r="H677" i="1"/>
  <c r="I669" i="1"/>
  <c r="H669" i="1"/>
  <c r="I661" i="1"/>
  <c r="H661" i="1"/>
  <c r="I653" i="1"/>
  <c r="H653" i="1"/>
  <c r="I645" i="1"/>
  <c r="H645" i="1"/>
  <c r="I637" i="1"/>
  <c r="H637" i="1"/>
  <c r="I629" i="1"/>
  <c r="H629" i="1"/>
  <c r="I621" i="1"/>
  <c r="H621" i="1"/>
  <c r="I613" i="1"/>
  <c r="H613" i="1"/>
  <c r="I605" i="1"/>
  <c r="H605" i="1"/>
  <c r="I597" i="1"/>
  <c r="H597" i="1"/>
  <c r="I589" i="1"/>
  <c r="H589" i="1"/>
  <c r="I581" i="1"/>
  <c r="H581" i="1"/>
  <c r="I573" i="1"/>
  <c r="H573" i="1"/>
  <c r="I565" i="1"/>
  <c r="H565" i="1"/>
  <c r="I557" i="1"/>
  <c r="H557" i="1"/>
  <c r="I549" i="1"/>
  <c r="H549" i="1"/>
  <c r="I541" i="1"/>
  <c r="H541" i="1"/>
  <c r="I533" i="1"/>
  <c r="H533" i="1"/>
  <c r="I525" i="1"/>
  <c r="H525" i="1"/>
  <c r="I517" i="1"/>
  <c r="H517" i="1"/>
  <c r="I509" i="1"/>
  <c r="H509" i="1"/>
  <c r="I501" i="1"/>
  <c r="H501" i="1"/>
  <c r="I493" i="1"/>
  <c r="H493" i="1"/>
  <c r="I485" i="1"/>
  <c r="H485" i="1"/>
  <c r="I477" i="1"/>
  <c r="H477" i="1"/>
  <c r="I469" i="1"/>
  <c r="H469" i="1"/>
  <c r="I461" i="1"/>
  <c r="H461" i="1"/>
  <c r="I453" i="1"/>
  <c r="H453" i="1"/>
  <c r="I445" i="1"/>
  <c r="H445" i="1"/>
  <c r="I437" i="1"/>
  <c r="H437" i="1"/>
  <c r="I429" i="1"/>
  <c r="H429" i="1"/>
  <c r="I421" i="1"/>
  <c r="H421" i="1"/>
  <c r="I413" i="1"/>
  <c r="H413" i="1"/>
  <c r="I405" i="1"/>
  <c r="H405" i="1"/>
  <c r="I397" i="1"/>
  <c r="H397" i="1"/>
  <c r="I389" i="1"/>
  <c r="H389" i="1"/>
  <c r="I381" i="1"/>
  <c r="H381" i="1"/>
  <c r="I373" i="1"/>
  <c r="H373" i="1"/>
  <c r="I365" i="1"/>
  <c r="H365" i="1"/>
  <c r="I357" i="1"/>
  <c r="H357" i="1"/>
  <c r="I349" i="1"/>
  <c r="H349" i="1"/>
  <c r="I341" i="1"/>
  <c r="H341" i="1"/>
  <c r="I333" i="1"/>
  <c r="H333" i="1"/>
  <c r="I325" i="1"/>
  <c r="H325" i="1"/>
  <c r="I317" i="1"/>
  <c r="H317" i="1"/>
  <c r="I309" i="1"/>
  <c r="H309" i="1"/>
  <c r="H10000" i="1"/>
  <c r="H9992" i="1"/>
  <c r="H9984" i="1"/>
  <c r="H9976" i="1"/>
  <c r="H9968" i="1"/>
  <c r="H9960" i="1"/>
  <c r="H9952" i="1"/>
  <c r="H9944" i="1"/>
  <c r="H9936" i="1"/>
  <c r="H9928" i="1"/>
  <c r="H9920" i="1"/>
  <c r="H9912" i="1"/>
  <c r="H9904" i="1"/>
  <c r="H9896" i="1"/>
  <c r="H9888" i="1"/>
  <c r="H9880" i="1"/>
  <c r="H9872" i="1"/>
  <c r="H9864" i="1"/>
  <c r="H9856" i="1"/>
  <c r="H9848" i="1"/>
  <c r="H9840" i="1"/>
  <c r="H9832" i="1"/>
  <c r="H9824" i="1"/>
  <c r="H9816" i="1"/>
  <c r="H9808" i="1"/>
  <c r="H9800" i="1"/>
  <c r="H9792" i="1"/>
  <c r="H9784" i="1"/>
  <c r="H9776" i="1"/>
  <c r="H9768" i="1"/>
  <c r="H9760" i="1"/>
  <c r="H9752" i="1"/>
  <c r="H9744" i="1"/>
  <c r="H9736" i="1"/>
  <c r="H9728" i="1"/>
  <c r="H9720" i="1"/>
  <c r="H9712" i="1"/>
  <c r="H9704" i="1"/>
  <c r="H9696" i="1"/>
  <c r="H9688" i="1"/>
  <c r="H9680" i="1"/>
  <c r="H9672" i="1"/>
  <c r="H9664" i="1"/>
  <c r="H9656" i="1"/>
  <c r="H9648" i="1"/>
  <c r="H9640" i="1"/>
  <c r="H9632" i="1"/>
  <c r="H9624" i="1"/>
  <c r="H9616" i="1"/>
  <c r="H9608" i="1"/>
  <c r="H9600" i="1"/>
  <c r="H9592" i="1"/>
  <c r="H9584" i="1"/>
  <c r="H9576" i="1"/>
  <c r="H9568" i="1"/>
  <c r="H9560" i="1"/>
  <c r="H9552" i="1"/>
  <c r="H9544" i="1"/>
  <c r="H9536" i="1"/>
  <c r="H9528" i="1"/>
  <c r="H9520" i="1"/>
  <c r="H9512" i="1"/>
  <c r="H9504" i="1"/>
  <c r="H9496" i="1"/>
  <c r="H9488" i="1"/>
  <c r="H9480" i="1"/>
  <c r="H9472" i="1"/>
  <c r="H9464" i="1"/>
  <c r="H9456" i="1"/>
  <c r="H9448" i="1"/>
  <c r="H9440" i="1"/>
  <c r="H9432" i="1"/>
  <c r="H9424" i="1"/>
  <c r="H9416" i="1"/>
  <c r="H9408" i="1"/>
  <c r="H9400" i="1"/>
  <c r="H9392" i="1"/>
  <c r="H9384" i="1"/>
  <c r="H9376" i="1"/>
  <c r="H9368" i="1"/>
  <c r="H9360" i="1"/>
  <c r="H9352" i="1"/>
  <c r="H9344" i="1"/>
  <c r="H9336" i="1"/>
  <c r="H9328" i="1"/>
  <c r="H9320" i="1"/>
  <c r="H9312" i="1"/>
  <c r="H9304" i="1"/>
  <c r="H9296" i="1"/>
  <c r="H9288" i="1"/>
  <c r="H9280" i="1"/>
  <c r="H9272" i="1"/>
  <c r="H9264" i="1"/>
  <c r="H9256" i="1"/>
  <c r="H9248" i="1"/>
  <c r="H9240" i="1"/>
  <c r="H9232" i="1"/>
  <c r="H9224" i="1"/>
  <c r="H9216" i="1"/>
  <c r="H9208" i="1"/>
  <c r="H9200" i="1"/>
  <c r="H9192" i="1"/>
  <c r="H9184" i="1"/>
  <c r="H9176" i="1"/>
  <c r="H9168" i="1"/>
  <c r="H9160" i="1"/>
  <c r="H9152" i="1"/>
  <c r="H9144" i="1"/>
  <c r="H9136" i="1"/>
  <c r="H9128" i="1"/>
  <c r="H9120" i="1"/>
  <c r="H9112" i="1"/>
  <c r="H9104" i="1"/>
  <c r="H9096" i="1"/>
  <c r="H9088" i="1"/>
  <c r="H9080" i="1"/>
  <c r="H9072" i="1"/>
  <c r="H9064" i="1"/>
  <c r="H9056" i="1"/>
  <c r="H9048" i="1"/>
  <c r="H9040" i="1"/>
  <c r="H9032" i="1"/>
  <c r="H9024" i="1"/>
  <c r="H9016" i="1"/>
  <c r="H9008" i="1"/>
  <c r="H9000" i="1"/>
  <c r="H8992" i="1"/>
  <c r="H8984" i="1"/>
  <c r="H8976" i="1"/>
  <c r="H8968" i="1"/>
  <c r="H8960" i="1"/>
  <c r="H8952" i="1"/>
  <c r="H8944" i="1"/>
  <c r="H8936" i="1"/>
  <c r="H8928" i="1"/>
  <c r="H8920" i="1"/>
  <c r="H8912" i="1"/>
  <c r="H8904" i="1"/>
  <c r="H8896" i="1"/>
  <c r="H8888" i="1"/>
  <c r="H8880" i="1"/>
  <c r="H8872" i="1"/>
  <c r="H8864" i="1"/>
  <c r="H8856" i="1"/>
  <c r="H8848" i="1"/>
  <c r="H8840" i="1"/>
  <c r="H8832" i="1"/>
  <c r="H8824" i="1"/>
  <c r="H8816" i="1"/>
  <c r="H8808" i="1"/>
  <c r="H8800" i="1"/>
  <c r="H8792" i="1"/>
  <c r="H8784" i="1"/>
  <c r="H8776" i="1"/>
  <c r="H8768" i="1"/>
  <c r="H8760" i="1"/>
  <c r="H8752" i="1"/>
  <c r="H8744" i="1"/>
  <c r="H8736" i="1"/>
  <c r="H8728" i="1"/>
  <c r="H8720" i="1"/>
  <c r="H8712" i="1"/>
  <c r="H8704" i="1"/>
  <c r="H8696" i="1"/>
  <c r="H8688" i="1"/>
  <c r="H8680" i="1"/>
  <c r="H8672" i="1"/>
  <c r="H8664" i="1"/>
  <c r="H8656" i="1"/>
  <c r="H8648" i="1"/>
  <c r="H8640" i="1"/>
  <c r="H8632" i="1"/>
  <c r="H8624" i="1"/>
  <c r="H8616" i="1"/>
  <c r="H8608" i="1"/>
  <c r="H8600" i="1"/>
  <c r="H8592" i="1"/>
  <c r="H8584" i="1"/>
  <c r="H8576" i="1"/>
  <c r="H8568" i="1"/>
  <c r="H8560" i="1"/>
  <c r="H8552" i="1"/>
  <c r="H8544" i="1"/>
  <c r="H8536" i="1"/>
  <c r="H8528" i="1"/>
  <c r="H8520" i="1"/>
  <c r="H8512" i="1"/>
  <c r="H8504" i="1"/>
  <c r="H8496" i="1"/>
  <c r="H8488" i="1"/>
  <c r="H8480" i="1"/>
  <c r="H8472" i="1"/>
  <c r="H8464" i="1"/>
  <c r="H8456" i="1"/>
  <c r="H8448" i="1"/>
  <c r="H8440" i="1"/>
  <c r="H8432" i="1"/>
  <c r="H8424" i="1"/>
  <c r="H8416" i="1"/>
  <c r="H8408" i="1"/>
  <c r="H8400" i="1"/>
  <c r="H8392" i="1"/>
  <c r="H8384" i="1"/>
  <c r="H8376" i="1"/>
  <c r="H8368" i="1"/>
  <c r="H8360" i="1"/>
  <c r="H8352" i="1"/>
  <c r="H8344" i="1"/>
  <c r="H8336" i="1"/>
  <c r="H8328" i="1"/>
  <c r="H8320" i="1"/>
  <c r="H8312" i="1"/>
  <c r="H8304" i="1"/>
  <c r="H8296" i="1"/>
  <c r="H8288" i="1"/>
  <c r="H8280" i="1"/>
  <c r="H8272" i="1"/>
  <c r="H8264" i="1"/>
  <c r="H8256" i="1"/>
  <c r="H8248" i="1"/>
  <c r="H8240" i="1"/>
  <c r="H8232" i="1"/>
  <c r="H8224" i="1"/>
  <c r="H8216" i="1"/>
  <c r="H8208" i="1"/>
  <c r="H8200" i="1"/>
  <c r="H8192" i="1"/>
  <c r="H8184" i="1"/>
  <c r="H8176" i="1"/>
  <c r="H8168" i="1"/>
  <c r="H8160" i="1"/>
  <c r="H8152" i="1"/>
  <c r="H8144" i="1"/>
  <c r="H8136" i="1"/>
  <c r="H8128" i="1"/>
  <c r="H8120" i="1"/>
  <c r="H8112" i="1"/>
  <c r="H8104" i="1"/>
  <c r="H8096" i="1"/>
  <c r="H8088" i="1"/>
  <c r="H8080" i="1"/>
  <c r="H8072" i="1"/>
  <c r="H8064" i="1"/>
  <c r="H8056" i="1"/>
  <c r="H8048" i="1"/>
  <c r="H8040" i="1"/>
  <c r="H8032" i="1"/>
  <c r="H8024" i="1"/>
  <c r="H8016" i="1"/>
  <c r="H8008" i="1"/>
  <c r="H8000" i="1"/>
  <c r="H7992" i="1"/>
  <c r="H7984" i="1"/>
  <c r="H7976" i="1"/>
  <c r="H7968" i="1"/>
  <c r="H7960" i="1"/>
  <c r="H7952" i="1"/>
  <c r="H7944" i="1"/>
  <c r="H7936" i="1"/>
  <c r="H7928" i="1"/>
  <c r="H7920" i="1"/>
  <c r="H7912" i="1"/>
  <c r="H7904" i="1"/>
  <c r="H7896" i="1"/>
  <c r="H7888" i="1"/>
  <c r="H7880" i="1"/>
  <c r="H7872" i="1"/>
  <c r="H7864" i="1"/>
  <c r="H7856" i="1"/>
  <c r="H7841" i="1"/>
  <c r="H7777" i="1"/>
  <c r="H7713" i="1"/>
  <c r="H7649" i="1"/>
  <c r="H7585" i="1"/>
  <c r="H7521" i="1"/>
  <c r="H7457" i="1"/>
  <c r="H7393" i="1"/>
  <c r="H7329" i="1"/>
  <c r="H7265" i="1"/>
  <c r="H7201" i="1"/>
  <c r="H7137" i="1"/>
  <c r="H7073" i="1"/>
  <c r="H7009" i="1"/>
  <c r="H6945" i="1"/>
  <c r="H6881" i="1"/>
  <c r="H6817" i="1"/>
  <c r="H6753" i="1"/>
  <c r="H6689" i="1"/>
  <c r="H6625" i="1"/>
  <c r="H6561" i="1"/>
  <c r="H6497" i="1"/>
  <c r="H6433" i="1"/>
  <c r="H6369" i="1"/>
  <c r="H6305" i="1"/>
  <c r="H6241" i="1"/>
  <c r="H6177" i="1"/>
  <c r="H6113" i="1"/>
  <c r="H6049" i="1"/>
  <c r="H5985" i="1"/>
  <c r="H5921" i="1"/>
  <c r="H5857" i="1"/>
  <c r="H5793" i="1"/>
  <c r="H5729" i="1"/>
  <c r="H5665" i="1"/>
  <c r="H5601" i="1"/>
  <c r="H5537" i="1"/>
  <c r="H5473" i="1"/>
  <c r="H5409" i="1"/>
  <c r="H5345" i="1"/>
  <c r="H5281" i="1"/>
  <c r="H5217" i="1"/>
  <c r="H5153" i="1"/>
  <c r="H5089" i="1"/>
  <c r="H5025" i="1"/>
  <c r="H4961" i="1"/>
  <c r="H4897" i="1"/>
  <c r="H4833" i="1"/>
  <c r="H4769" i="1"/>
  <c r="H4705" i="1"/>
  <c r="H4641" i="1"/>
  <c r="H4577" i="1"/>
  <c r="H4513" i="1"/>
  <c r="H4449" i="1"/>
  <c r="H4385" i="1"/>
  <c r="H4321" i="1"/>
  <c r="H4257" i="1"/>
  <c r="H4193" i="1"/>
  <c r="H4129" i="1"/>
  <c r="H4065" i="1"/>
  <c r="H4001" i="1"/>
  <c r="H3937" i="1"/>
  <c r="H3873" i="1"/>
  <c r="H3809" i="1"/>
  <c r="H3745" i="1"/>
  <c r="H3681" i="1"/>
  <c r="H3617" i="1"/>
  <c r="H3553" i="1"/>
  <c r="H3489" i="1"/>
  <c r="H3425" i="1"/>
  <c r="H3361" i="1"/>
  <c r="H3297" i="1"/>
  <c r="H3233" i="1"/>
  <c r="H3169" i="1"/>
  <c r="H3105" i="1"/>
  <c r="H2950" i="1"/>
  <c r="H2779" i="1"/>
  <c r="H2609" i="1"/>
  <c r="H2438" i="1"/>
  <c r="H2267" i="1"/>
  <c r="H2097" i="1"/>
  <c r="H1875" i="1"/>
  <c r="H1619" i="1"/>
  <c r="H1363" i="1"/>
  <c r="H937" i="1"/>
  <c r="I8910" i="1"/>
  <c r="E9052" i="1"/>
  <c r="E8308" i="1"/>
  <c r="E8604" i="1"/>
  <c r="E9012" i="1"/>
  <c r="E125" i="1"/>
  <c r="E182" i="1"/>
  <c r="E7432" i="1"/>
  <c r="E7576" i="1"/>
  <c r="E5440" i="1"/>
  <c r="E9416" i="1"/>
  <c r="E9032" i="1"/>
  <c r="E8888" i="1"/>
  <c r="E8760" i="1"/>
  <c r="F8728" i="1"/>
  <c r="E8720" i="1"/>
  <c r="F8704" i="1"/>
  <c r="E8704" i="1"/>
  <c r="E8592" i="1"/>
  <c r="E8464" i="1"/>
  <c r="E8440" i="1"/>
  <c r="F8344" i="1"/>
  <c r="E8344" i="1"/>
  <c r="E8200" i="1"/>
  <c r="E8176" i="1"/>
  <c r="E8136" i="1"/>
  <c r="E8064" i="1"/>
  <c r="E8040" i="1"/>
  <c r="E7928" i="1"/>
  <c r="E7832" i="1"/>
  <c r="E7768" i="1"/>
  <c r="F7760" i="1"/>
  <c r="E7720" i="1"/>
  <c r="E7688" i="1"/>
  <c r="E7624" i="1"/>
  <c r="F7584" i="1"/>
  <c r="E7584" i="1"/>
  <c r="E7560" i="1"/>
  <c r="F7552" i="1"/>
  <c r="E7528" i="1"/>
  <c r="E7416" i="1"/>
  <c r="E7336" i="1"/>
  <c r="E7256" i="1"/>
  <c r="E7240" i="1"/>
  <c r="E7224" i="1"/>
  <c r="E7208" i="1"/>
  <c r="E7192" i="1"/>
  <c r="E7176" i="1"/>
  <c r="E7160" i="1"/>
  <c r="E7144" i="1"/>
  <c r="E7128" i="1"/>
  <c r="E7112" i="1"/>
  <c r="F7088" i="1"/>
  <c r="E7088" i="1"/>
  <c r="E7080" i="1"/>
  <c r="F7056" i="1"/>
  <c r="E7048" i="1"/>
  <c r="E7016" i="1"/>
  <c r="E6984" i="1"/>
  <c r="F6976" i="1"/>
  <c r="E6976" i="1"/>
  <c r="E6952" i="1"/>
  <c r="E6928" i="1"/>
  <c r="E6920" i="1"/>
  <c r="E6896" i="1"/>
  <c r="E6888" i="1"/>
  <c r="E6864" i="1"/>
  <c r="E6856" i="1"/>
  <c r="E6832" i="1"/>
  <c r="E6824" i="1"/>
  <c r="E6800" i="1"/>
  <c r="E6792" i="1"/>
  <c r="E6768" i="1"/>
  <c r="E6760" i="1"/>
  <c r="E6736" i="1"/>
  <c r="E6728" i="1"/>
  <c r="E6704" i="1"/>
  <c r="E6696" i="1"/>
  <c r="E6672" i="1"/>
  <c r="E6664" i="1"/>
  <c r="E6640" i="1"/>
  <c r="E6632" i="1"/>
  <c r="E6608" i="1"/>
  <c r="E6600" i="1"/>
  <c r="E6592" i="1"/>
  <c r="E6576" i="1"/>
  <c r="E6560" i="1"/>
  <c r="E6544" i="1"/>
  <c r="E6528" i="1"/>
  <c r="E6512" i="1"/>
  <c r="E6496" i="1"/>
  <c r="E6480" i="1"/>
  <c r="E6464" i="1"/>
  <c r="E6448" i="1"/>
  <c r="E6432" i="1"/>
  <c r="F6408" i="1"/>
  <c r="E6408" i="1"/>
  <c r="F6368" i="1"/>
  <c r="F6360" i="1"/>
  <c r="E6360" i="1"/>
  <c r="F6336" i="1"/>
  <c r="F6320" i="1"/>
  <c r="F6272" i="1"/>
  <c r="F6208" i="1"/>
  <c r="F6176" i="1"/>
  <c r="E6176" i="1"/>
  <c r="F6112" i="1"/>
  <c r="F6088" i="1"/>
  <c r="E6088" i="1"/>
  <c r="F6080" i="1"/>
  <c r="F6040" i="1"/>
  <c r="E6040" i="1"/>
  <c r="F6016" i="1"/>
  <c r="F6008" i="1"/>
  <c r="E6008" i="1"/>
  <c r="F5992" i="1"/>
  <c r="F5952" i="1"/>
  <c r="E5952" i="1"/>
  <c r="F5920" i="1"/>
  <c r="F5896" i="1"/>
  <c r="F5856" i="1"/>
  <c r="F5832" i="1"/>
  <c r="F5824" i="1"/>
  <c r="F5808" i="1"/>
  <c r="E5808" i="1"/>
  <c r="F5760" i="1"/>
  <c r="F5728" i="1"/>
  <c r="E5728" i="1"/>
  <c r="F5704" i="1"/>
  <c r="F5696" i="1"/>
  <c r="E5632" i="1"/>
  <c r="F5600" i="1"/>
  <c r="F5576" i="1"/>
  <c r="F5528" i="1"/>
  <c r="F5448" i="1"/>
  <c r="E5448" i="1"/>
  <c r="F5400" i="1"/>
  <c r="E5400" i="1"/>
  <c r="F5320" i="1"/>
  <c r="F5296" i="1"/>
  <c r="E5296" i="1"/>
  <c r="F5272" i="1"/>
  <c r="F5216" i="1"/>
  <c r="E5216" i="1"/>
  <c r="F5192" i="1"/>
  <c r="F5144" i="1"/>
  <c r="F5096" i="1"/>
  <c r="F5048" i="1"/>
  <c r="F5024" i="1"/>
  <c r="E5024" i="1"/>
  <c r="F4984" i="1"/>
  <c r="F4960" i="1"/>
  <c r="E4960" i="1"/>
  <c r="F4936" i="1"/>
  <c r="F4928" i="1"/>
  <c r="F4896" i="1"/>
  <c r="F4872" i="1"/>
  <c r="E4872" i="1"/>
  <c r="F4864" i="1"/>
  <c r="F4848" i="1"/>
  <c r="E4848" i="1"/>
  <c r="F4840" i="1"/>
  <c r="F4824" i="1"/>
  <c r="E4816" i="1"/>
  <c r="F4800" i="1"/>
  <c r="F4784" i="1"/>
  <c r="F4760" i="1"/>
  <c r="E4760" i="1"/>
  <c r="F4752" i="1"/>
  <c r="E4752" i="1"/>
  <c r="F4736" i="1"/>
  <c r="E4736" i="1"/>
  <c r="F4728" i="1"/>
  <c r="F4712" i="1"/>
  <c r="E4712" i="1"/>
  <c r="F4704" i="1"/>
  <c r="F4688" i="1"/>
  <c r="F4672" i="1"/>
  <c r="E4672" i="1"/>
  <c r="F4648" i="1"/>
  <c r="F4640" i="1"/>
  <c r="F4608" i="1"/>
  <c r="E4608" i="1"/>
  <c r="F4584" i="1"/>
  <c r="E4584" i="1"/>
  <c r="F4496" i="1"/>
  <c r="F4432" i="1"/>
  <c r="F4240" i="1"/>
  <c r="E4240" i="1"/>
  <c r="F4192" i="1"/>
  <c r="F4184" i="1"/>
  <c r="E4184" i="1"/>
  <c r="F4120" i="1"/>
  <c r="E4120" i="1"/>
  <c r="F4080" i="1"/>
  <c r="F4056" i="1"/>
  <c r="E4056" i="1"/>
  <c r="F4032" i="1"/>
  <c r="E4032" i="1"/>
  <c r="F4008" i="1"/>
  <c r="F3992" i="1"/>
  <c r="E3992" i="1"/>
  <c r="F3984" i="1"/>
  <c r="F3968" i="1"/>
  <c r="E3968" i="1"/>
  <c r="F3960" i="1"/>
  <c r="F3944" i="1"/>
  <c r="E3944" i="1"/>
  <c r="F3936" i="1"/>
  <c r="E3936" i="1"/>
  <c r="F3880" i="1"/>
  <c r="E3880" i="1"/>
  <c r="E3856" i="1"/>
  <c r="F3832" i="1"/>
  <c r="E3832" i="1"/>
  <c r="F3824" i="1"/>
  <c r="E3824" i="1"/>
  <c r="F3808" i="1"/>
  <c r="E3808" i="1"/>
  <c r="F3784" i="1"/>
  <c r="E3784" i="1"/>
  <c r="F3776" i="1"/>
  <c r="E9976" i="1"/>
  <c r="E9928" i="1"/>
  <c r="F9728" i="1"/>
  <c r="E9728" i="1"/>
  <c r="E9648" i="1"/>
  <c r="E9464" i="1"/>
  <c r="F9112" i="1"/>
  <c r="E9112" i="1"/>
  <c r="E8944" i="1"/>
  <c r="E9104" i="1"/>
  <c r="E9040" i="1"/>
  <c r="E9008" i="1"/>
  <c r="E8864" i="1"/>
  <c r="E8824" i="1"/>
  <c r="E8520" i="1"/>
  <c r="E8496" i="1"/>
  <c r="E8416" i="1"/>
  <c r="F8408" i="1"/>
  <c r="E8304" i="1"/>
  <c r="E126" i="1"/>
  <c r="E294" i="1"/>
  <c r="E291" i="1"/>
  <c r="E203" i="1"/>
  <c r="E246" i="1"/>
  <c r="E243" i="1"/>
  <c r="E237" i="1"/>
  <c r="E150" i="1"/>
  <c r="E206" i="1"/>
  <c r="E235" i="1"/>
  <c r="E174" i="1"/>
  <c r="E259" i="1"/>
  <c r="E219" i="1"/>
  <c r="E9576" i="1"/>
  <c r="E9056" i="1"/>
  <c r="E8472" i="1"/>
  <c r="E7760" i="1"/>
  <c r="E7632" i="1"/>
  <c r="E9936" i="1"/>
  <c r="E9840" i="1"/>
  <c r="E9592" i="1"/>
  <c r="E9424" i="1"/>
  <c r="E9328" i="1"/>
  <c r="E8728" i="1"/>
  <c r="E8544" i="1"/>
  <c r="E8120" i="1"/>
  <c r="E7864" i="1"/>
  <c r="E7784" i="1"/>
  <c r="E7552" i="1"/>
  <c r="E9768" i="1"/>
  <c r="E9344" i="1"/>
  <c r="E9256" i="1"/>
  <c r="E8968" i="1"/>
  <c r="E8912" i="1"/>
  <c r="E8672" i="1"/>
  <c r="E8408" i="1"/>
  <c r="E8296" i="1"/>
  <c r="E277" i="1"/>
  <c r="E173" i="1"/>
  <c r="E9688" i="1"/>
  <c r="E9184" i="1"/>
  <c r="E8576" i="1"/>
  <c r="F9984" i="1"/>
  <c r="E9984" i="1"/>
  <c r="F9960" i="1"/>
  <c r="E9960" i="1"/>
  <c r="F9944" i="1"/>
  <c r="E9944" i="1"/>
  <c r="F9920" i="1"/>
  <c r="E9920" i="1"/>
  <c r="F9880" i="1"/>
  <c r="E9880" i="1"/>
  <c r="F9832" i="1"/>
  <c r="E9832" i="1"/>
  <c r="F9792" i="1"/>
  <c r="E9792" i="1"/>
  <c r="F9752" i="1"/>
  <c r="E9752" i="1"/>
  <c r="F9704" i="1"/>
  <c r="E9704" i="1"/>
  <c r="F9664" i="1"/>
  <c r="E9664" i="1"/>
  <c r="F9640" i="1"/>
  <c r="E9640" i="1"/>
  <c r="F9624" i="1"/>
  <c r="E9624" i="1"/>
  <c r="F9600" i="1"/>
  <c r="E9600" i="1"/>
  <c r="F9560" i="1"/>
  <c r="E9560" i="1"/>
  <c r="F9536" i="1"/>
  <c r="E9536" i="1"/>
  <c r="F9512" i="1"/>
  <c r="G9512" i="1"/>
  <c r="E9512" i="1"/>
  <c r="F9496" i="1"/>
  <c r="E9496" i="1"/>
  <c r="F9472" i="1"/>
  <c r="E9472" i="1"/>
  <c r="F9448" i="1"/>
  <c r="E9448" i="1"/>
  <c r="F9432" i="1"/>
  <c r="E9432" i="1"/>
  <c r="F9408" i="1"/>
  <c r="E9408" i="1"/>
  <c r="F9368" i="1"/>
  <c r="E9368" i="1"/>
  <c r="F9320" i="1"/>
  <c r="E9320" i="1"/>
  <c r="F9304" i="1"/>
  <c r="E9304" i="1"/>
  <c r="F9280" i="1"/>
  <c r="E9280" i="1"/>
  <c r="F9240" i="1"/>
  <c r="E9240" i="1"/>
  <c r="F9216" i="1"/>
  <c r="E9216" i="1"/>
  <c r="F9192" i="1"/>
  <c r="E9192" i="1"/>
  <c r="F9176" i="1"/>
  <c r="E9176" i="1"/>
  <c r="F9152" i="1"/>
  <c r="E9152" i="1"/>
  <c r="F9128" i="1"/>
  <c r="E9128" i="1"/>
  <c r="F9064" i="1"/>
  <c r="E9064" i="1"/>
  <c r="F9048" i="1"/>
  <c r="E9048" i="1"/>
  <c r="F9024" i="1"/>
  <c r="E9024" i="1"/>
  <c r="F9000" i="1"/>
  <c r="E9000" i="1"/>
  <c r="F8984" i="1"/>
  <c r="E8984" i="1"/>
  <c r="F8936" i="1"/>
  <c r="E8936" i="1"/>
  <c r="F8920" i="1"/>
  <c r="E8920" i="1"/>
  <c r="F8896" i="1"/>
  <c r="E8896" i="1"/>
  <c r="F8872" i="1"/>
  <c r="E8872" i="1"/>
  <c r="F8856" i="1"/>
  <c r="E8856" i="1"/>
  <c r="F8808" i="1"/>
  <c r="E8808" i="1"/>
  <c r="F8792" i="1"/>
  <c r="E8792" i="1"/>
  <c r="F8768" i="1"/>
  <c r="E8768" i="1"/>
  <c r="F8744" i="1"/>
  <c r="E8744" i="1"/>
  <c r="F8680" i="1"/>
  <c r="E8680" i="1"/>
  <c r="F8664" i="1"/>
  <c r="E8664" i="1"/>
  <c r="F8640" i="1"/>
  <c r="E8640" i="1"/>
  <c r="F8616" i="1"/>
  <c r="G8616" i="1"/>
  <c r="E8616" i="1"/>
  <c r="F8600" i="1"/>
  <c r="E8600" i="1"/>
  <c r="F8552" i="1"/>
  <c r="E8552" i="1"/>
  <c r="F8512" i="1"/>
  <c r="E8512" i="1"/>
  <c r="F8488" i="1"/>
  <c r="G8488" i="1"/>
  <c r="E8488" i="1"/>
  <c r="F8448" i="1"/>
  <c r="E8448" i="1"/>
  <c r="F8424" i="1"/>
  <c r="E8424" i="1"/>
  <c r="F8384" i="1"/>
  <c r="E8384" i="1"/>
  <c r="F8360" i="1"/>
  <c r="E8360" i="1"/>
  <c r="F8320" i="1"/>
  <c r="G8320" i="1"/>
  <c r="F8280" i="1"/>
  <c r="E8280" i="1"/>
  <c r="F8256" i="1"/>
  <c r="E8256" i="1"/>
  <c r="F8232" i="1"/>
  <c r="E8232" i="1"/>
  <c r="E8224" i="1"/>
  <c r="F8216" i="1"/>
  <c r="E8216" i="1"/>
  <c r="E8192" i="1"/>
  <c r="E8184" i="1"/>
  <c r="E8160" i="1"/>
  <c r="F8152" i="1"/>
  <c r="E8152" i="1"/>
  <c r="E8112" i="1"/>
  <c r="E8104" i="1"/>
  <c r="F8088" i="1"/>
  <c r="E8080" i="1"/>
  <c r="E8056" i="1"/>
  <c r="F8048" i="1"/>
  <c r="F8032" i="1"/>
  <c r="E8032" i="1"/>
  <c r="E8024" i="1"/>
  <c r="F8016" i="1"/>
  <c r="F8000" i="1"/>
  <c r="E8000" i="1"/>
  <c r="F7984" i="1"/>
  <c r="E7984" i="1"/>
  <c r="E7976" i="1"/>
  <c r="F7968" i="1"/>
  <c r="E7968" i="1"/>
  <c r="F7952" i="1"/>
  <c r="E7952" i="1"/>
  <c r="E7944" i="1"/>
  <c r="F7936" i="1"/>
  <c r="E7936" i="1"/>
  <c r="F7920" i="1"/>
  <c r="E7920" i="1"/>
  <c r="E7912" i="1"/>
  <c r="F7904" i="1"/>
  <c r="E7904" i="1"/>
  <c r="F7888" i="1"/>
  <c r="E7888" i="1"/>
  <c r="E7880" i="1"/>
  <c r="F7872" i="1"/>
  <c r="E7872" i="1"/>
  <c r="F7856" i="1"/>
  <c r="E7856" i="1"/>
  <c r="E7848" i="1"/>
  <c r="F7840" i="1"/>
  <c r="G7840" i="1"/>
  <c r="F7824" i="1"/>
  <c r="E7824" i="1"/>
  <c r="F7808" i="1"/>
  <c r="F7792" i="1"/>
  <c r="E7792" i="1"/>
  <c r="F7776" i="1"/>
  <c r="E7776" i="1"/>
  <c r="E7752" i="1"/>
  <c r="F7744" i="1"/>
  <c r="E7744" i="1"/>
  <c r="E7736" i="1"/>
  <c r="F7728" i="1"/>
  <c r="E7728" i="1"/>
  <c r="F7712" i="1"/>
  <c r="E7704" i="1"/>
  <c r="F7696" i="1"/>
  <c r="F7680" i="1"/>
  <c r="E7680" i="1"/>
  <c r="E7672" i="1"/>
  <c r="F7664" i="1"/>
  <c r="E7664" i="1"/>
  <c r="F7648" i="1"/>
  <c r="E7648" i="1"/>
  <c r="E7640" i="1"/>
  <c r="F7616" i="1"/>
  <c r="E7616" i="1"/>
  <c r="E7608" i="1"/>
  <c r="F7600" i="1"/>
  <c r="E7592" i="1"/>
  <c r="F7568" i="1"/>
  <c r="E7568" i="1"/>
  <c r="E7544" i="1"/>
  <c r="F7536" i="1"/>
  <c r="E7536" i="1"/>
  <c r="F7520" i="1"/>
  <c r="E7520" i="1"/>
  <c r="E7512" i="1"/>
  <c r="F7504" i="1"/>
  <c r="E7504" i="1"/>
  <c r="F7488" i="1"/>
  <c r="E7488" i="1"/>
  <c r="F7472" i="1"/>
  <c r="E7472" i="1"/>
  <c r="E7464" i="1"/>
  <c r="F7456" i="1"/>
  <c r="G7456" i="1"/>
  <c r="E7456" i="1"/>
  <c r="F7440" i="1"/>
  <c r="E7440" i="1"/>
  <c r="F7424" i="1"/>
  <c r="E7424" i="1"/>
  <c r="F7408" i="1"/>
  <c r="E7408" i="1"/>
  <c r="E7400" i="1"/>
  <c r="F7392" i="1"/>
  <c r="E7392" i="1"/>
  <c r="F7376" i="1"/>
  <c r="E7376" i="1"/>
  <c r="E7368" i="1"/>
  <c r="F7360" i="1"/>
  <c r="E7352" i="1"/>
  <c r="F7344" i="1"/>
  <c r="E7344" i="1"/>
  <c r="F7328" i="1"/>
  <c r="G7328" i="1"/>
  <c r="E7328" i="1"/>
  <c r="E7320" i="1"/>
  <c r="F7312" i="1"/>
  <c r="E7312" i="1"/>
  <c r="E7304" i="1"/>
  <c r="F7296" i="1"/>
  <c r="F7280" i="1"/>
  <c r="E7280" i="1"/>
  <c r="E8960" i="1"/>
  <c r="E8048" i="1"/>
  <c r="E234" i="1"/>
  <c r="E9896" i="1"/>
  <c r="E9384" i="1"/>
  <c r="E9088" i="1"/>
  <c r="E8832" i="1"/>
  <c r="E8536" i="1"/>
  <c r="E8072" i="1"/>
  <c r="E7816" i="1"/>
  <c r="E7696" i="1"/>
  <c r="E6320" i="1"/>
  <c r="E6112" i="1"/>
  <c r="E5992" i="1"/>
  <c r="E5896" i="1"/>
  <c r="E5696" i="1"/>
  <c r="E5656" i="1"/>
  <c r="E5552" i="1"/>
  <c r="E5472" i="1"/>
  <c r="E5184" i="1"/>
  <c r="E5144" i="1"/>
  <c r="E5008" i="1"/>
  <c r="E4896" i="1"/>
  <c r="E4432" i="1"/>
  <c r="E4216" i="1"/>
  <c r="E4080" i="1"/>
  <c r="E7200" i="1"/>
  <c r="E7056" i="1"/>
  <c r="E6344" i="1"/>
  <c r="E6264" i="1"/>
  <c r="E6208" i="1"/>
  <c r="E5976" i="1"/>
  <c r="E5880" i="1"/>
  <c r="E5760" i="1"/>
  <c r="E5576" i="1"/>
  <c r="E5248" i="1"/>
  <c r="E5048" i="1"/>
  <c r="E4936" i="1"/>
  <c r="E4840" i="1"/>
  <c r="E4800" i="1"/>
  <c r="E4648" i="1"/>
  <c r="E4472" i="1"/>
  <c r="E7104" i="1"/>
  <c r="E7040" i="1"/>
  <c r="E6368" i="1"/>
  <c r="E6248" i="1"/>
  <c r="E6152" i="1"/>
  <c r="E6016" i="1"/>
  <c r="E5920" i="1"/>
  <c r="E5824" i="1"/>
  <c r="E5784" i="1"/>
  <c r="E5680" i="1"/>
  <c r="E5600" i="1"/>
  <c r="E5312" i="1"/>
  <c r="E5272" i="1"/>
  <c r="E5168" i="1"/>
  <c r="E4864" i="1"/>
  <c r="E4784" i="1"/>
  <c r="E4704" i="1"/>
  <c r="E4456" i="1"/>
  <c r="E7248" i="1"/>
  <c r="E6232" i="1"/>
  <c r="E6136" i="1"/>
  <c r="E5848" i="1"/>
  <c r="E5704" i="1"/>
  <c r="E5376" i="1"/>
  <c r="E5192" i="1"/>
  <c r="E5088" i="1"/>
  <c r="E4824" i="1"/>
  <c r="E4728" i="1"/>
  <c r="E4688" i="1"/>
  <c r="E4496" i="1"/>
  <c r="E4264" i="1"/>
  <c r="F7264" i="1"/>
  <c r="E7264" i="1"/>
  <c r="F7216" i="1"/>
  <c r="E7216" i="1"/>
  <c r="F7184" i="1"/>
  <c r="E7184" i="1"/>
  <c r="F7168" i="1"/>
  <c r="E7168" i="1"/>
  <c r="F7120" i="1"/>
  <c r="E7120" i="1"/>
  <c r="F7072" i="1"/>
  <c r="E7072" i="1"/>
  <c r="F7024" i="1"/>
  <c r="E7024" i="1"/>
  <c r="F7008" i="1"/>
  <c r="E7008" i="1"/>
  <c r="F6992" i="1"/>
  <c r="E6992" i="1"/>
  <c r="F6960" i="1"/>
  <c r="E6960" i="1"/>
  <c r="F6416" i="1"/>
  <c r="E6416" i="1"/>
  <c r="F6400" i="1"/>
  <c r="E6400" i="1"/>
  <c r="F6384" i="1"/>
  <c r="E6384" i="1"/>
  <c r="F6376" i="1"/>
  <c r="E6376" i="1"/>
  <c r="F6352" i="1"/>
  <c r="E6352" i="1"/>
  <c r="F6328" i="1"/>
  <c r="E6328" i="1"/>
  <c r="F6312" i="1"/>
  <c r="E6312" i="1"/>
  <c r="F6304" i="1"/>
  <c r="E6304" i="1"/>
  <c r="F6288" i="1"/>
  <c r="E6288" i="1"/>
  <c r="F6280" i="1"/>
  <c r="E6280" i="1"/>
  <c r="F6256" i="1"/>
  <c r="E6256" i="1"/>
  <c r="F6240" i="1"/>
  <c r="E6240" i="1"/>
  <c r="F6224" i="1"/>
  <c r="E6224" i="1"/>
  <c r="F6216" i="1"/>
  <c r="E6216" i="1"/>
  <c r="F6200" i="1"/>
  <c r="E6200" i="1"/>
  <c r="F6192" i="1"/>
  <c r="E6192" i="1"/>
  <c r="F6184" i="1"/>
  <c r="E6184" i="1"/>
  <c r="F6168" i="1"/>
  <c r="E6168" i="1"/>
  <c r="F6160" i="1"/>
  <c r="E6160" i="1"/>
  <c r="F6144" i="1"/>
  <c r="E6144" i="1"/>
  <c r="F6128" i="1"/>
  <c r="E6128" i="1"/>
  <c r="F6120" i="1"/>
  <c r="E6120" i="1"/>
  <c r="F6096" i="1"/>
  <c r="E6096" i="1"/>
  <c r="F6072" i="1"/>
  <c r="E6072" i="1"/>
  <c r="F6056" i="1"/>
  <c r="E6056" i="1"/>
  <c r="F6048" i="1"/>
  <c r="E6048" i="1"/>
  <c r="F6032" i="1"/>
  <c r="E6032" i="1"/>
  <c r="F6024" i="1"/>
  <c r="E6024" i="1"/>
  <c r="F6000" i="1"/>
  <c r="E6000" i="1"/>
  <c r="F5984" i="1"/>
  <c r="E5984" i="1"/>
  <c r="F5968" i="1"/>
  <c r="E5968" i="1"/>
  <c r="F5960" i="1"/>
  <c r="E5960" i="1"/>
  <c r="F5944" i="1"/>
  <c r="E5944" i="1"/>
  <c r="F5936" i="1"/>
  <c r="E5936" i="1"/>
  <c r="F5928" i="1"/>
  <c r="E5928" i="1"/>
  <c r="F5912" i="1"/>
  <c r="E5912" i="1"/>
  <c r="F5904" i="1"/>
  <c r="E5904" i="1"/>
  <c r="F5888" i="1"/>
  <c r="E5888" i="1"/>
  <c r="F5872" i="1"/>
  <c r="E5872" i="1"/>
  <c r="F5864" i="1"/>
  <c r="E5864" i="1"/>
  <c r="F5840" i="1"/>
  <c r="E5840" i="1"/>
  <c r="F5816" i="1"/>
  <c r="E5816" i="1"/>
  <c r="F5800" i="1"/>
  <c r="E5800" i="1"/>
  <c r="F5792" i="1"/>
  <c r="E5792" i="1"/>
  <c r="F5776" i="1"/>
  <c r="E5776" i="1"/>
  <c r="F5768" i="1"/>
  <c r="E5768" i="1"/>
  <c r="F5752" i="1"/>
  <c r="E5752" i="1"/>
  <c r="F5744" i="1"/>
  <c r="E5744" i="1"/>
  <c r="F5736" i="1"/>
  <c r="E5736" i="1"/>
  <c r="F5720" i="1"/>
  <c r="E5720" i="1"/>
  <c r="F5712" i="1"/>
  <c r="E5712" i="1"/>
  <c r="F5688" i="1"/>
  <c r="E5688" i="1"/>
  <c r="F5672" i="1"/>
  <c r="E5672" i="1"/>
  <c r="F5664" i="1"/>
  <c r="E5664" i="1"/>
  <c r="F5648" i="1"/>
  <c r="E5648" i="1"/>
  <c r="F5640" i="1"/>
  <c r="E5640" i="1"/>
  <c r="F5632" i="1"/>
  <c r="G5632" i="1"/>
  <c r="F5624" i="1"/>
  <c r="E5624" i="1"/>
  <c r="F5616" i="1"/>
  <c r="E5616" i="1"/>
  <c r="F5608" i="1"/>
  <c r="E5608" i="1"/>
  <c r="F5592" i="1"/>
  <c r="E5592" i="1"/>
  <c r="F5584" i="1"/>
  <c r="G5584" i="1"/>
  <c r="E5584" i="1"/>
  <c r="F5560" i="1"/>
  <c r="E5560" i="1"/>
  <c r="F5544" i="1"/>
  <c r="E5544" i="1"/>
  <c r="F5536" i="1"/>
  <c r="E5536" i="1"/>
  <c r="F5520" i="1"/>
  <c r="E5520" i="1"/>
  <c r="F5512" i="1"/>
  <c r="E5512" i="1"/>
  <c r="F5496" i="1"/>
  <c r="E5496" i="1"/>
  <c r="F5488" i="1"/>
  <c r="E5488" i="1"/>
  <c r="F5480" i="1"/>
  <c r="E5480" i="1"/>
  <c r="F5464" i="1"/>
  <c r="E5464" i="1"/>
  <c r="F5456" i="1"/>
  <c r="E5456" i="1"/>
  <c r="F5432" i="1"/>
  <c r="E5432" i="1"/>
  <c r="F5416" i="1"/>
  <c r="E5416" i="1"/>
  <c r="F5408" i="1"/>
  <c r="E5408" i="1"/>
  <c r="F5392" i="1"/>
  <c r="G5392" i="1"/>
  <c r="E5392" i="1"/>
  <c r="F5384" i="1"/>
  <c r="E5384" i="1"/>
  <c r="F5368" i="1"/>
  <c r="E5368" i="1"/>
  <c r="F5360" i="1"/>
  <c r="E5360" i="1"/>
  <c r="F5352" i="1"/>
  <c r="E5352" i="1"/>
  <c r="F5336" i="1"/>
  <c r="E5336" i="1"/>
  <c r="F5328" i="1"/>
  <c r="G5328" i="1"/>
  <c r="E5328" i="1"/>
  <c r="F5304" i="1"/>
  <c r="E5304" i="1"/>
  <c r="F5288" i="1"/>
  <c r="E5288" i="1"/>
  <c r="F5280" i="1"/>
  <c r="E5280" i="1"/>
  <c r="F5264" i="1"/>
  <c r="E5264" i="1"/>
  <c r="F5256" i="1"/>
  <c r="E5256" i="1"/>
  <c r="F5240" i="1"/>
  <c r="E5240" i="1"/>
  <c r="F5232" i="1"/>
  <c r="E5232" i="1"/>
  <c r="F5224" i="1"/>
  <c r="E5224" i="1"/>
  <c r="F5208" i="1"/>
  <c r="E5208" i="1"/>
  <c r="F5200" i="1"/>
  <c r="E5200" i="1"/>
  <c r="F5176" i="1"/>
  <c r="E5176" i="1"/>
  <c r="F5160" i="1"/>
  <c r="E5160" i="1"/>
  <c r="F5152" i="1"/>
  <c r="E5152" i="1"/>
  <c r="F5136" i="1"/>
  <c r="G5136" i="1"/>
  <c r="E5136" i="1"/>
  <c r="F5128" i="1"/>
  <c r="E5128" i="1"/>
  <c r="F5112" i="1"/>
  <c r="E5112" i="1"/>
  <c r="F5104" i="1"/>
  <c r="E5104" i="1"/>
  <c r="F5080" i="1"/>
  <c r="E5080" i="1"/>
  <c r="F5072" i="1"/>
  <c r="G5072" i="1"/>
  <c r="F5064" i="1"/>
  <c r="E5064" i="1"/>
  <c r="F5056" i="1"/>
  <c r="E5056" i="1"/>
  <c r="F5032" i="1"/>
  <c r="E5032" i="1"/>
  <c r="F5016" i="1"/>
  <c r="E5016" i="1"/>
  <c r="F5000" i="1"/>
  <c r="E5000" i="1"/>
  <c r="F4992" i="1"/>
  <c r="E4992" i="1"/>
  <c r="F4976" i="1"/>
  <c r="E4976" i="1"/>
  <c r="F4968" i="1"/>
  <c r="E4968" i="1"/>
  <c r="F4952" i="1"/>
  <c r="E4952" i="1"/>
  <c r="F4944" i="1"/>
  <c r="E4944" i="1"/>
  <c r="F4920" i="1"/>
  <c r="E4920" i="1"/>
  <c r="F4904" i="1"/>
  <c r="E4904" i="1"/>
  <c r="F4888" i="1"/>
  <c r="E4888" i="1"/>
  <c r="F4880" i="1"/>
  <c r="G4880" i="1"/>
  <c r="E4880" i="1"/>
  <c r="F4856" i="1"/>
  <c r="E4856" i="1"/>
  <c r="F4832" i="1"/>
  <c r="E4832" i="1"/>
  <c r="F4816" i="1"/>
  <c r="G4816" i="1"/>
  <c r="F4808" i="1"/>
  <c r="E4808" i="1"/>
  <c r="F4792" i="1"/>
  <c r="E4792" i="1"/>
  <c r="F4776" i="1"/>
  <c r="E4776" i="1"/>
  <c r="F4768" i="1"/>
  <c r="E4768" i="1"/>
  <c r="F4744" i="1"/>
  <c r="E4744" i="1"/>
  <c r="F4720" i="1"/>
  <c r="E4720" i="1"/>
  <c r="F4696" i="1"/>
  <c r="E4696" i="1"/>
  <c r="F4680" i="1"/>
  <c r="E4680" i="1"/>
  <c r="F4664" i="1"/>
  <c r="E4664" i="1"/>
  <c r="F4656" i="1"/>
  <c r="E4656" i="1"/>
  <c r="F4632" i="1"/>
  <c r="E4632" i="1"/>
  <c r="F4624" i="1"/>
  <c r="E4624" i="1"/>
  <c r="G4624" i="1"/>
  <c r="F4616" i="1"/>
  <c r="E4616" i="1"/>
  <c r="F4600" i="1"/>
  <c r="E4600" i="1"/>
  <c r="F4592" i="1"/>
  <c r="E4592" i="1"/>
  <c r="F4576" i="1"/>
  <c r="E4576" i="1"/>
  <c r="F4568" i="1"/>
  <c r="E4568" i="1"/>
  <c r="F4560" i="1"/>
  <c r="G4560" i="1"/>
  <c r="E4560" i="1"/>
  <c r="F4552" i="1"/>
  <c r="E4552" i="1"/>
  <c r="F4544" i="1"/>
  <c r="E4544" i="1"/>
  <c r="F4536" i="1"/>
  <c r="E4536" i="1"/>
  <c r="F4528" i="1"/>
  <c r="E4528" i="1"/>
  <c r="F4520" i="1"/>
  <c r="E4520" i="1"/>
  <c r="F4512" i="1"/>
  <c r="E4512" i="1"/>
  <c r="F4504" i="1"/>
  <c r="E4504" i="1"/>
  <c r="F4488" i="1"/>
  <c r="E4488" i="1"/>
  <c r="F4480" i="1"/>
  <c r="E4480" i="1"/>
  <c r="F4464" i="1"/>
  <c r="E4464" i="1"/>
  <c r="F4448" i="1"/>
  <c r="E4448" i="1"/>
  <c r="F4440" i="1"/>
  <c r="E4440" i="1"/>
  <c r="F4424" i="1"/>
  <c r="E4424" i="1"/>
  <c r="F4416" i="1"/>
  <c r="E4416" i="1"/>
  <c r="F4408" i="1"/>
  <c r="E4408" i="1"/>
  <c r="F4400" i="1"/>
  <c r="E4400" i="1"/>
  <c r="F4392" i="1"/>
  <c r="E4392" i="1"/>
  <c r="F4384" i="1"/>
  <c r="E4384" i="1"/>
  <c r="F4376" i="1"/>
  <c r="E4376" i="1"/>
  <c r="F4368" i="1"/>
  <c r="G4368" i="1"/>
  <c r="E4368" i="1"/>
  <c r="F4360" i="1"/>
  <c r="E4360" i="1"/>
  <c r="F4352" i="1"/>
  <c r="E4352" i="1"/>
  <c r="F4344" i="1"/>
  <c r="E4344" i="1"/>
  <c r="F4336" i="1"/>
  <c r="E4336" i="1"/>
  <c r="F4328" i="1"/>
  <c r="E4328" i="1"/>
  <c r="F4320" i="1"/>
  <c r="E4320" i="1"/>
  <c r="F4312" i="1"/>
  <c r="E4312" i="1"/>
  <c r="F4304" i="1"/>
  <c r="G4304" i="1"/>
  <c r="E4304" i="1"/>
  <c r="F4296" i="1"/>
  <c r="E4296" i="1"/>
  <c r="F4288" i="1"/>
  <c r="E4288" i="1"/>
  <c r="F4280" i="1"/>
  <c r="E4280" i="1"/>
  <c r="F4272" i="1"/>
  <c r="E4272" i="1"/>
  <c r="F4256" i="1"/>
  <c r="E4256" i="1"/>
  <c r="F4248" i="1"/>
  <c r="E4248" i="1"/>
  <c r="F4232" i="1"/>
  <c r="E4232" i="1"/>
  <c r="F4224" i="1"/>
  <c r="E4224" i="1"/>
  <c r="F4208" i="1"/>
  <c r="E4208" i="1"/>
  <c r="F4200" i="1"/>
  <c r="E4200" i="1"/>
  <c r="F4176" i="1"/>
  <c r="E4176" i="1"/>
  <c r="F4168" i="1"/>
  <c r="E4168" i="1"/>
  <c r="F4160" i="1"/>
  <c r="E4160" i="1"/>
  <c r="F4152" i="1"/>
  <c r="E4152" i="1"/>
  <c r="F4144" i="1"/>
  <c r="E4144" i="1"/>
  <c r="F4136" i="1"/>
  <c r="E4136" i="1"/>
  <c r="F4128" i="1"/>
  <c r="E4128" i="1"/>
  <c r="F4112" i="1"/>
  <c r="G4112" i="1"/>
  <c r="E4112" i="1"/>
  <c r="F4104" i="1"/>
  <c r="E4104" i="1"/>
  <c r="F4096" i="1"/>
  <c r="E4096" i="1"/>
  <c r="F4088" i="1"/>
  <c r="E4088" i="1"/>
  <c r="F4072" i="1"/>
  <c r="E4072" i="1"/>
  <c r="F4064" i="1"/>
  <c r="E4064" i="1"/>
  <c r="F4048" i="1"/>
  <c r="E4048" i="1"/>
  <c r="G4048" i="1"/>
  <c r="F4040" i="1"/>
  <c r="E4040" i="1"/>
  <c r="F4024" i="1"/>
  <c r="E4024" i="1"/>
  <c r="F4016" i="1"/>
  <c r="E4016" i="1"/>
  <c r="F4000" i="1"/>
  <c r="E4000" i="1"/>
  <c r="F3976" i="1"/>
  <c r="E3976" i="1"/>
  <c r="F3952" i="1"/>
  <c r="E3952" i="1"/>
  <c r="F3928" i="1"/>
  <c r="E3928" i="1"/>
  <c r="F3920" i="1"/>
  <c r="E3920" i="1"/>
  <c r="F3912" i="1"/>
  <c r="E3912" i="1"/>
  <c r="F3904" i="1"/>
  <c r="E3904" i="1"/>
  <c r="F3896" i="1"/>
  <c r="E3896" i="1"/>
  <c r="F3888" i="1"/>
  <c r="E3888" i="1"/>
  <c r="F3872" i="1"/>
  <c r="E3872" i="1"/>
  <c r="F3864" i="1"/>
  <c r="E3864" i="1"/>
  <c r="F3856" i="1"/>
  <c r="G3856" i="1"/>
  <c r="F3848" i="1"/>
  <c r="E3848" i="1"/>
  <c r="F3840" i="1"/>
  <c r="E3840" i="1"/>
  <c r="F3816" i="1"/>
  <c r="E3816" i="1"/>
  <c r="F3800" i="1"/>
  <c r="E3800" i="1"/>
  <c r="F3792" i="1"/>
  <c r="E3792" i="1"/>
  <c r="G3792" i="1"/>
  <c r="F3768" i="1"/>
  <c r="E3768" i="1"/>
  <c r="F3760" i="1"/>
  <c r="E3760" i="1"/>
  <c r="F3752" i="1"/>
  <c r="E3752" i="1"/>
  <c r="F3744" i="1"/>
  <c r="E3744" i="1"/>
  <c r="F3736" i="1"/>
  <c r="E3736" i="1"/>
  <c r="F3728" i="1"/>
  <c r="E3728" i="1"/>
  <c r="F3720" i="1"/>
  <c r="E3720" i="1"/>
  <c r="F3704" i="1"/>
  <c r="E3704" i="1"/>
  <c r="F3696" i="1"/>
  <c r="E3696" i="1"/>
  <c r="F3688" i="1"/>
  <c r="E3688" i="1"/>
  <c r="F3680" i="1"/>
  <c r="E3680" i="1"/>
  <c r="F3664" i="1"/>
  <c r="E3664" i="1"/>
  <c r="F3656" i="1"/>
  <c r="E3656" i="1"/>
  <c r="F3640" i="1"/>
  <c r="E3640" i="1"/>
  <c r="F3632" i="1"/>
  <c r="E3632" i="1"/>
  <c r="F3616" i="1"/>
  <c r="E3616" i="1"/>
  <c r="F3600" i="1"/>
  <c r="G3600" i="1"/>
  <c r="F3592" i="1"/>
  <c r="E3592" i="1"/>
  <c r="F3568" i="1"/>
  <c r="E3568" i="1"/>
  <c r="F3560" i="1"/>
  <c r="E3560" i="1"/>
  <c r="F3552" i="1"/>
  <c r="E3552" i="1"/>
  <c r="F3544" i="1"/>
  <c r="E3544" i="1"/>
  <c r="F3536" i="1"/>
  <c r="G3536" i="1"/>
  <c r="E3536" i="1"/>
  <c r="F3528" i="1"/>
  <c r="E3528" i="1"/>
  <c r="F3520" i="1"/>
  <c r="E3520" i="1"/>
  <c r="F3512" i="1"/>
  <c r="E3512" i="1"/>
  <c r="F3504" i="1"/>
  <c r="E3504" i="1"/>
  <c r="F3488" i="1"/>
  <c r="E3488" i="1"/>
  <c r="F3480" i="1"/>
  <c r="E3480" i="1"/>
  <c r="F3464" i="1"/>
  <c r="E3464" i="1"/>
  <c r="F3456" i="1"/>
  <c r="E3456" i="1"/>
  <c r="F3440" i="1"/>
  <c r="E3440" i="1"/>
  <c r="F3424" i="1"/>
  <c r="E3424" i="1"/>
  <c r="F3416" i="1"/>
  <c r="E3416" i="1"/>
  <c r="F3408" i="1"/>
  <c r="E3408" i="1"/>
  <c r="F3392" i="1"/>
  <c r="E3392" i="1"/>
  <c r="F3384" i="1"/>
  <c r="E3384" i="1"/>
  <c r="F3376" i="1"/>
  <c r="E3376" i="1"/>
  <c r="F3368" i="1"/>
  <c r="E3368" i="1"/>
  <c r="F3360" i="1"/>
  <c r="E3360" i="1"/>
  <c r="F3352" i="1"/>
  <c r="E3352" i="1"/>
  <c r="F3344" i="1"/>
  <c r="G3344" i="1"/>
  <c r="E3344" i="1"/>
  <c r="F3336" i="1"/>
  <c r="E3336" i="1"/>
  <c r="F3328" i="1"/>
  <c r="E3328" i="1"/>
  <c r="E7232" i="1"/>
  <c r="E7152" i="1"/>
  <c r="E6392" i="1"/>
  <c r="E6104" i="1"/>
  <c r="E5832" i="1"/>
  <c r="E5504" i="1"/>
  <c r="E5320" i="1"/>
  <c r="E5096" i="1"/>
  <c r="E7136" i="1"/>
  <c r="E6336" i="1"/>
  <c r="E6296" i="1"/>
  <c r="E6064" i="1"/>
  <c r="E5856" i="1"/>
  <c r="E5568" i="1"/>
  <c r="E5528" i="1"/>
  <c r="E5424" i="1"/>
  <c r="E5344" i="1"/>
  <c r="E5040" i="1"/>
  <c r="E4984" i="1"/>
  <c r="E4928" i="1"/>
  <c r="E4640" i="1"/>
  <c r="E4192" i="1"/>
  <c r="E3288" i="1"/>
  <c r="E3224" i="1"/>
  <c r="F3312" i="1"/>
  <c r="E3312" i="1"/>
  <c r="F3280" i="1"/>
  <c r="G3280" i="1"/>
  <c r="E3280" i="1"/>
  <c r="F3256" i="1"/>
  <c r="E3256" i="1"/>
  <c r="F3248" i="1"/>
  <c r="E3248" i="1"/>
  <c r="F3232" i="1"/>
  <c r="E3232" i="1"/>
  <c r="F3208" i="1"/>
  <c r="E3208" i="1"/>
  <c r="F3184" i="1"/>
  <c r="E3184" i="1"/>
  <c r="F3152" i="1"/>
  <c r="E3152" i="1"/>
  <c r="E3320" i="1"/>
  <c r="E3144" i="1"/>
  <c r="E3304" i="1"/>
  <c r="E3168" i="1"/>
  <c r="E3240" i="1"/>
  <c r="E3216" i="1"/>
  <c r="E3192" i="1"/>
  <c r="E3176" i="1"/>
  <c r="G9231" i="1"/>
  <c r="G8767" i="1"/>
  <c r="E245" i="1"/>
  <c r="E9974" i="1"/>
  <c r="E9934" i="1"/>
  <c r="E9638" i="1"/>
  <c r="E9462" i="1"/>
  <c r="E9422" i="1"/>
  <c r="E9180" i="1"/>
  <c r="E8884" i="1"/>
  <c r="E8844" i="1"/>
  <c r="E295" i="1"/>
  <c r="E9972" i="1"/>
  <c r="E9932" i="1"/>
  <c r="E9756" i="1"/>
  <c r="E9716" i="1"/>
  <c r="E9676" i="1"/>
  <c r="E9500" i="1"/>
  <c r="E9460" i="1"/>
  <c r="E9420" i="1"/>
  <c r="E9244" i="1"/>
  <c r="E8476" i="1"/>
  <c r="E8348" i="1"/>
  <c r="E8220" i="1"/>
  <c r="E9204" i="1"/>
  <c r="E9164" i="1"/>
  <c r="E8988" i="1"/>
  <c r="E8948" i="1"/>
  <c r="E8908" i="1"/>
  <c r="E8732" i="1"/>
  <c r="E8668" i="1"/>
  <c r="F9894" i="1"/>
  <c r="G9894" i="1"/>
  <c r="F9846" i="1"/>
  <c r="G9846" i="1"/>
  <c r="F9718" i="1"/>
  <c r="G9718" i="1"/>
  <c r="F9678" i="1"/>
  <c r="G9678" i="1"/>
  <c r="F9550" i="1"/>
  <c r="G9550" i="1"/>
  <c r="F9510" i="1"/>
  <c r="G9510" i="1"/>
  <c r="F9382" i="1"/>
  <c r="G9382" i="1"/>
  <c r="F9334" i="1"/>
  <c r="G9334" i="1"/>
  <c r="F9206" i="1"/>
  <c r="G9206" i="1"/>
  <c r="F9166" i="1"/>
  <c r="G9166" i="1"/>
  <c r="F9038" i="1"/>
  <c r="G9038" i="1"/>
  <c r="F8998" i="1"/>
  <c r="G8998" i="1"/>
  <c r="F8870" i="1"/>
  <c r="G8870" i="1"/>
  <c r="F8822" i="1"/>
  <c r="G8822" i="1"/>
  <c r="F8694" i="1"/>
  <c r="G8694" i="1"/>
  <c r="F8654" i="1"/>
  <c r="G8654" i="1"/>
  <c r="F8526" i="1"/>
  <c r="G8526" i="1"/>
  <c r="F8486" i="1"/>
  <c r="G8486" i="1"/>
  <c r="F8358" i="1"/>
  <c r="G8358" i="1"/>
  <c r="F8310" i="1"/>
  <c r="G8310" i="1"/>
  <c r="E197" i="1"/>
  <c r="E146" i="1"/>
  <c r="E9740" i="1"/>
  <c r="E9564" i="1"/>
  <c r="E9524" i="1"/>
  <c r="E9228" i="1"/>
  <c r="E8692" i="1"/>
  <c r="E8564" i="1"/>
  <c r="F9996" i="1"/>
  <c r="G9996" i="1"/>
  <c r="F9948" i="1"/>
  <c r="G9948" i="1"/>
  <c r="F9820" i="1"/>
  <c r="G9820" i="1"/>
  <c r="F9780" i="1"/>
  <c r="G9780" i="1"/>
  <c r="F9652" i="1"/>
  <c r="G9652" i="1"/>
  <c r="F9612" i="1"/>
  <c r="G9612" i="1"/>
  <c r="F9484" i="1"/>
  <c r="G9484" i="1"/>
  <c r="F9436" i="1"/>
  <c r="G9436" i="1"/>
  <c r="F9308" i="1"/>
  <c r="G9308" i="1"/>
  <c r="F9268" i="1"/>
  <c r="G9268" i="1"/>
  <c r="F9140" i="1"/>
  <c r="G9140" i="1"/>
  <c r="F9100" i="1"/>
  <c r="G9100" i="1"/>
  <c r="F8972" i="1"/>
  <c r="G8972" i="1"/>
  <c r="F8924" i="1"/>
  <c r="G8924" i="1"/>
  <c r="F8796" i="1"/>
  <c r="G8796" i="1"/>
  <c r="F8756" i="1"/>
  <c r="G8756" i="1"/>
  <c r="F8628" i="1"/>
  <c r="G8628" i="1"/>
  <c r="F8588" i="1"/>
  <c r="G8588" i="1"/>
  <c r="F8460" i="1"/>
  <c r="G8460" i="1"/>
  <c r="F8412" i="1"/>
  <c r="G8412" i="1"/>
  <c r="F8284" i="1"/>
  <c r="G8284" i="1"/>
  <c r="F8244" i="1"/>
  <c r="G8244" i="1"/>
  <c r="F8204" i="1"/>
  <c r="G8204" i="1"/>
  <c r="F8076" i="1"/>
  <c r="G8076" i="1"/>
  <c r="E285" i="1"/>
  <c r="E253" i="1"/>
  <c r="E231" i="1"/>
  <c r="E210" i="1"/>
  <c r="E162" i="1"/>
  <c r="E138" i="1"/>
  <c r="E9884" i="1"/>
  <c r="E9844" i="1"/>
  <c r="E9804" i="1"/>
  <c r="E9628" i="1"/>
  <c r="E9588" i="1"/>
  <c r="E9548" i="1"/>
  <c r="E9372" i="1"/>
  <c r="E9332" i="1"/>
  <c r="E9292" i="1"/>
  <c r="E9078" i="1"/>
  <c r="E9038" i="1"/>
  <c r="E8998" i="1"/>
  <c r="E8524" i="1"/>
  <c r="E8460" i="1"/>
  <c r="E8396" i="1"/>
  <c r="E8332" i="1"/>
  <c r="E8268" i="1"/>
  <c r="E8204" i="1"/>
  <c r="E8140" i="1"/>
  <c r="E8076" i="1"/>
  <c r="E9910" i="1"/>
  <c r="E9870" i="1"/>
  <c r="E9830" i="1"/>
  <c r="E9654" i="1"/>
  <c r="E9614" i="1"/>
  <c r="E9574" i="1"/>
  <c r="E9398" i="1"/>
  <c r="E9358" i="1"/>
  <c r="E9318" i="1"/>
  <c r="E9116" i="1"/>
  <c r="E9076" i="1"/>
  <c r="E9036" i="1"/>
  <c r="E8860" i="1"/>
  <c r="E8820" i="1"/>
  <c r="E8780" i="1"/>
  <c r="E282" i="1"/>
  <c r="E9948" i="1"/>
  <c r="E9908" i="1"/>
  <c r="E9868" i="1"/>
  <c r="E9692" i="1"/>
  <c r="E9652" i="1"/>
  <c r="E9612" i="1"/>
  <c r="E9436" i="1"/>
  <c r="E9396" i="1"/>
  <c r="E9356" i="1"/>
  <c r="E8500" i="1"/>
  <c r="E8436" i="1"/>
  <c r="E8372" i="1"/>
  <c r="F9921" i="1"/>
  <c r="G9921" i="1"/>
  <c r="F9753" i="1"/>
  <c r="G9753" i="1"/>
  <c r="F9585" i="1"/>
  <c r="G9585" i="1"/>
  <c r="F9409" i="1"/>
  <c r="G9409" i="1"/>
  <c r="F9241" i="1"/>
  <c r="G9241" i="1"/>
  <c r="F9073" i="1"/>
  <c r="G9073" i="1"/>
  <c r="F8897" i="1"/>
  <c r="G8897" i="1"/>
  <c r="F8729" i="1"/>
  <c r="G8729" i="1"/>
  <c r="F8561" i="1"/>
  <c r="G8561" i="1"/>
  <c r="F8513" i="1"/>
  <c r="G8513" i="1"/>
  <c r="F8497" i="1"/>
  <c r="G8497" i="1"/>
  <c r="F8473" i="1"/>
  <c r="G8473" i="1"/>
  <c r="F8449" i="1"/>
  <c r="G8449" i="1"/>
  <c r="F8433" i="1"/>
  <c r="G8433" i="1"/>
  <c r="F8409" i="1"/>
  <c r="G8409" i="1"/>
  <c r="F8385" i="1"/>
  <c r="G8385" i="1"/>
  <c r="F8369" i="1"/>
  <c r="G8369" i="1"/>
  <c r="F8345" i="1"/>
  <c r="G8345" i="1"/>
  <c r="F8321" i="1"/>
  <c r="G8321" i="1"/>
  <c r="F8305" i="1"/>
  <c r="G8305" i="1"/>
  <c r="F8281" i="1"/>
  <c r="G8281" i="1"/>
  <c r="F8257" i="1"/>
  <c r="G8257" i="1"/>
  <c r="F8241" i="1"/>
  <c r="G8241" i="1"/>
  <c r="F8217" i="1"/>
  <c r="G8217" i="1"/>
  <c r="F8193" i="1"/>
  <c r="G8193" i="1"/>
  <c r="F8177" i="1"/>
  <c r="G8177" i="1"/>
  <c r="F8153" i="1"/>
  <c r="G8153" i="1"/>
  <c r="F8129" i="1"/>
  <c r="G8129" i="1"/>
  <c r="F8113" i="1"/>
  <c r="G8113" i="1"/>
  <c r="F8089" i="1"/>
  <c r="G8089" i="1"/>
  <c r="F8065" i="1"/>
  <c r="G8065" i="1"/>
  <c r="G9984" i="1"/>
  <c r="F9856" i="1"/>
  <c r="G9856" i="1"/>
  <c r="F9816" i="1"/>
  <c r="G9816" i="1"/>
  <c r="G9575" i="1"/>
  <c r="G9103" i="1"/>
  <c r="G8960" i="1"/>
  <c r="G7968" i="1"/>
  <c r="G9688" i="1"/>
  <c r="G9407" i="1"/>
  <c r="G8935" i="1"/>
  <c r="G8792" i="1"/>
  <c r="G8423" i="1"/>
  <c r="G8255" i="1"/>
  <c r="G8152" i="1"/>
  <c r="G7936" i="1"/>
  <c r="G7424" i="1"/>
  <c r="G5631" i="1"/>
  <c r="G5384" i="1"/>
  <c r="G5128" i="1"/>
  <c r="G4872" i="1"/>
  <c r="G4616" i="1"/>
  <c r="G4360" i="1"/>
  <c r="G4104" i="1"/>
  <c r="G3848" i="1"/>
  <c r="G3592" i="1"/>
  <c r="G3336" i="1"/>
  <c r="G9959" i="1"/>
  <c r="G9344" i="1"/>
  <c r="G9063" i="1"/>
  <c r="G8591" i="1"/>
  <c r="G7808" i="1"/>
  <c r="G7296" i="1"/>
  <c r="G5576" i="1"/>
  <c r="G5320" i="1"/>
  <c r="G5064" i="1"/>
  <c r="G4808" i="1"/>
  <c r="G4552" i="1"/>
  <c r="G4296" i="1"/>
  <c r="G4040" i="1"/>
  <c r="G3784" i="1"/>
  <c r="G3528" i="1"/>
  <c r="G3272" i="1"/>
  <c r="G9791" i="1"/>
  <c r="G9640" i="1"/>
  <c r="G9176" i="1"/>
  <c r="G8895" i="1"/>
  <c r="G7712" i="1"/>
  <c r="G7200" i="1"/>
  <c r="G5520" i="1"/>
  <c r="G5264" i="1"/>
  <c r="G5008" i="1"/>
  <c r="G4752" i="1"/>
  <c r="G4496" i="1"/>
  <c r="G4240" i="1"/>
  <c r="G3984" i="1"/>
  <c r="G3728" i="1"/>
  <c r="G3472" i="1"/>
  <c r="G3216" i="1"/>
  <c r="G9615" i="1"/>
  <c r="G9472" i="1"/>
  <c r="G9000" i="1"/>
  <c r="G8719" i="1"/>
  <c r="G8383" i="1"/>
  <c r="G7680" i="1"/>
  <c r="G7168" i="1"/>
  <c r="G5512" i="1"/>
  <c r="G5256" i="1"/>
  <c r="G5000" i="1"/>
  <c r="G4744" i="1"/>
  <c r="G4488" i="1"/>
  <c r="G4232" i="1"/>
  <c r="G3976" i="1"/>
  <c r="G3720" i="1"/>
  <c r="G3464" i="1"/>
  <c r="G3208" i="1"/>
  <c r="G9919" i="1"/>
  <c r="G9447" i="1"/>
  <c r="G9304" i="1"/>
  <c r="G8832" i="1"/>
  <c r="G8551" i="1"/>
  <c r="G7584" i="1"/>
  <c r="G7072" i="1"/>
  <c r="G5456" i="1"/>
  <c r="G5200" i="1"/>
  <c r="G4944" i="1"/>
  <c r="G4688" i="1"/>
  <c r="G4432" i="1"/>
  <c r="G4176" i="1"/>
  <c r="G3920" i="1"/>
  <c r="G3664" i="1"/>
  <c r="G3408" i="1"/>
  <c r="G3152" i="1"/>
  <c r="G9743" i="1"/>
  <c r="G9279" i="1"/>
  <c r="G9128" i="1"/>
  <c r="G8664" i="1"/>
  <c r="G8448" i="1"/>
  <c r="G8280" i="1"/>
  <c r="G8063" i="1"/>
  <c r="G7552" i="1"/>
  <c r="G7040" i="1"/>
  <c r="G5448" i="1"/>
  <c r="G5192" i="1"/>
  <c r="G4936" i="1"/>
  <c r="G4680" i="1"/>
  <c r="G4424" i="1"/>
  <c r="G4168" i="1"/>
  <c r="G3912" i="1"/>
  <c r="G3656" i="1"/>
  <c r="G3400" i="1"/>
  <c r="G3144" i="1"/>
  <c r="F68" i="1"/>
  <c r="G68" i="1"/>
  <c r="F28" i="1"/>
  <c r="G28" i="1"/>
  <c r="F265" i="1"/>
  <c r="G265" i="1"/>
  <c r="F217" i="1"/>
  <c r="G217" i="1"/>
  <c r="E169" i="1"/>
  <c r="F169" i="1"/>
  <c r="G169" i="1"/>
  <c r="F137" i="1"/>
  <c r="G137" i="1"/>
  <c r="F9979" i="1"/>
  <c r="G9979" i="1"/>
  <c r="F9939" i="1"/>
  <c r="G9939" i="1"/>
  <c r="E9899" i="1"/>
  <c r="F9899" i="1"/>
  <c r="G9899" i="1"/>
  <c r="E9851" i="1"/>
  <c r="F9851" i="1"/>
  <c r="G9851" i="1"/>
  <c r="E9811" i="1"/>
  <c r="F9811" i="1"/>
  <c r="G9811" i="1"/>
  <c r="E9763" i="1"/>
  <c r="F9763" i="1"/>
  <c r="G9763" i="1"/>
  <c r="E9715" i="1"/>
  <c r="F9715" i="1"/>
  <c r="G9715" i="1"/>
  <c r="E9675" i="1"/>
  <c r="F9675" i="1"/>
  <c r="G9675" i="1"/>
  <c r="E9643" i="1"/>
  <c r="F9643" i="1"/>
  <c r="G9643" i="1"/>
  <c r="E9603" i="1"/>
  <c r="F9603" i="1"/>
  <c r="G9603" i="1"/>
  <c r="E9555" i="1"/>
  <c r="F9555" i="1"/>
  <c r="G9555" i="1"/>
  <c r="E9515" i="1"/>
  <c r="F9515" i="1"/>
  <c r="G9515" i="1"/>
  <c r="E9499" i="1"/>
  <c r="F9499" i="1"/>
  <c r="G9499" i="1"/>
  <c r="E9475" i="1"/>
  <c r="F9475" i="1"/>
  <c r="G9475" i="1"/>
  <c r="E9451" i="1"/>
  <c r="F9451" i="1"/>
  <c r="G9451" i="1"/>
  <c r="E9435" i="1"/>
  <c r="F9435" i="1"/>
  <c r="G9435" i="1"/>
  <c r="E9427" i="1"/>
  <c r="F9427" i="1"/>
  <c r="G9427" i="1"/>
  <c r="E9419" i="1"/>
  <c r="F9419" i="1"/>
  <c r="G9419" i="1"/>
  <c r="E9411" i="1"/>
  <c r="F9411" i="1"/>
  <c r="G9411" i="1"/>
  <c r="E9403" i="1"/>
  <c r="F9403" i="1"/>
  <c r="G9403" i="1"/>
  <c r="E9395" i="1"/>
  <c r="F9395" i="1"/>
  <c r="G9395" i="1"/>
  <c r="E9387" i="1"/>
  <c r="F9387" i="1"/>
  <c r="G9387" i="1"/>
  <c r="E9379" i="1"/>
  <c r="F9379" i="1"/>
  <c r="G9379" i="1"/>
  <c r="E9371" i="1"/>
  <c r="F9371" i="1"/>
  <c r="G9371" i="1"/>
  <c r="E9363" i="1"/>
  <c r="F9363" i="1"/>
  <c r="G9363" i="1"/>
  <c r="E9355" i="1"/>
  <c r="F9355" i="1"/>
  <c r="G9355" i="1"/>
  <c r="E9347" i="1"/>
  <c r="F9347" i="1"/>
  <c r="G9347" i="1"/>
  <c r="E9339" i="1"/>
  <c r="F9339" i="1"/>
  <c r="G9339" i="1"/>
  <c r="E9331" i="1"/>
  <c r="F9331" i="1"/>
  <c r="G9331" i="1"/>
  <c r="E9323" i="1"/>
  <c r="F9323" i="1"/>
  <c r="G9323" i="1"/>
  <c r="E9315" i="1"/>
  <c r="F9315" i="1"/>
  <c r="G9315" i="1"/>
  <c r="E9307" i="1"/>
  <c r="F9307" i="1"/>
  <c r="G9307" i="1"/>
  <c r="E9299" i="1"/>
  <c r="F9299" i="1"/>
  <c r="G9299" i="1"/>
  <c r="E9291" i="1"/>
  <c r="F9291" i="1"/>
  <c r="G9291" i="1"/>
  <c r="E9283" i="1"/>
  <c r="F9283" i="1"/>
  <c r="G9283" i="1"/>
  <c r="E9275" i="1"/>
  <c r="F9275" i="1"/>
  <c r="G9275" i="1"/>
  <c r="E9267" i="1"/>
  <c r="F9267" i="1"/>
  <c r="G9267" i="1"/>
  <c r="E9259" i="1"/>
  <c r="F9259" i="1"/>
  <c r="G9259" i="1"/>
  <c r="E9243" i="1"/>
  <c r="F9243" i="1"/>
  <c r="G9243" i="1"/>
  <c r="E9227" i="1"/>
  <c r="F9227" i="1"/>
  <c r="G9227" i="1"/>
  <c r="E9203" i="1"/>
  <c r="F9203" i="1"/>
  <c r="G9203" i="1"/>
  <c r="E9195" i="1"/>
  <c r="F9195" i="1"/>
  <c r="G9195" i="1"/>
  <c r="E9187" i="1"/>
  <c r="F9187" i="1"/>
  <c r="G9187" i="1"/>
  <c r="E9179" i="1"/>
  <c r="F9179" i="1"/>
  <c r="G9179" i="1"/>
  <c r="E9171" i="1"/>
  <c r="F9171" i="1"/>
  <c r="G9171" i="1"/>
  <c r="E9163" i="1"/>
  <c r="F9163" i="1"/>
  <c r="G9163" i="1"/>
  <c r="E9155" i="1"/>
  <c r="F9155" i="1"/>
  <c r="G9155" i="1"/>
  <c r="E9147" i="1"/>
  <c r="F9147" i="1"/>
  <c r="G9147" i="1"/>
  <c r="E9139" i="1"/>
  <c r="F9139" i="1"/>
  <c r="G9139" i="1"/>
  <c r="E9131" i="1"/>
  <c r="F9131" i="1"/>
  <c r="G9131" i="1"/>
  <c r="E9123" i="1"/>
  <c r="F9123" i="1"/>
  <c r="G9123" i="1"/>
  <c r="E9115" i="1"/>
  <c r="F9115" i="1"/>
  <c r="G9115" i="1"/>
  <c r="E9107" i="1"/>
  <c r="F9107" i="1"/>
  <c r="G9107" i="1"/>
  <c r="E9099" i="1"/>
  <c r="F9099" i="1"/>
  <c r="G9099" i="1"/>
  <c r="E9091" i="1"/>
  <c r="F9091" i="1"/>
  <c r="G9091" i="1"/>
  <c r="E9083" i="1"/>
  <c r="F9083" i="1"/>
  <c r="G9083" i="1"/>
  <c r="E9075" i="1"/>
  <c r="F9075" i="1"/>
  <c r="G9075" i="1"/>
  <c r="E9067" i="1"/>
  <c r="F9067" i="1"/>
  <c r="G9067" i="1"/>
  <c r="E9059" i="1"/>
  <c r="F9059" i="1"/>
  <c r="G9059" i="1"/>
  <c r="E9051" i="1"/>
  <c r="F9051" i="1"/>
  <c r="G9051" i="1"/>
  <c r="E9043" i="1"/>
  <c r="F9043" i="1"/>
  <c r="G9043" i="1"/>
  <c r="E9035" i="1"/>
  <c r="F9035" i="1"/>
  <c r="G9035" i="1"/>
  <c r="E9027" i="1"/>
  <c r="F9027" i="1"/>
  <c r="G9027" i="1"/>
  <c r="E9019" i="1"/>
  <c r="F9019" i="1"/>
  <c r="G9019" i="1"/>
  <c r="E9011" i="1"/>
  <c r="F9011" i="1"/>
  <c r="G9011" i="1"/>
  <c r="E9003" i="1"/>
  <c r="F9003" i="1"/>
  <c r="G9003" i="1"/>
  <c r="E8995" i="1"/>
  <c r="F8995" i="1"/>
  <c r="G8995" i="1"/>
  <c r="E8987" i="1"/>
  <c r="F8987" i="1"/>
  <c r="G8987" i="1"/>
  <c r="E8979" i="1"/>
  <c r="F8979" i="1"/>
  <c r="G8979" i="1"/>
  <c r="E8971" i="1"/>
  <c r="F8971" i="1"/>
  <c r="G8971" i="1"/>
  <c r="E8963" i="1"/>
  <c r="F8963" i="1"/>
  <c r="G8963" i="1"/>
  <c r="E8955" i="1"/>
  <c r="F8955" i="1"/>
  <c r="G8955" i="1"/>
  <c r="E8947" i="1"/>
  <c r="F8947" i="1"/>
  <c r="G8947" i="1"/>
  <c r="E8939" i="1"/>
  <c r="F8939" i="1"/>
  <c r="G8939" i="1"/>
  <c r="E8931" i="1"/>
  <c r="F8931" i="1"/>
  <c r="G8931" i="1"/>
  <c r="E8923" i="1"/>
  <c r="F8923" i="1"/>
  <c r="G8923" i="1"/>
  <c r="E8915" i="1"/>
  <c r="F8915" i="1"/>
  <c r="G8915" i="1"/>
  <c r="E8907" i="1"/>
  <c r="F8907" i="1"/>
  <c r="G8907" i="1"/>
  <c r="E8899" i="1"/>
  <c r="F8899" i="1"/>
  <c r="G8899" i="1"/>
  <c r="E8891" i="1"/>
  <c r="F8891" i="1"/>
  <c r="G8891" i="1"/>
  <c r="E8883" i="1"/>
  <c r="F8883" i="1"/>
  <c r="G8883" i="1"/>
  <c r="E8875" i="1"/>
  <c r="F8875" i="1"/>
  <c r="G8875" i="1"/>
  <c r="E8867" i="1"/>
  <c r="F8867" i="1"/>
  <c r="G8867" i="1"/>
  <c r="E8859" i="1"/>
  <c r="F8859" i="1"/>
  <c r="G8859" i="1"/>
  <c r="E8851" i="1"/>
  <c r="F8851" i="1"/>
  <c r="G8851" i="1"/>
  <c r="E8843" i="1"/>
  <c r="F8843" i="1"/>
  <c r="G8843" i="1"/>
  <c r="E8835" i="1"/>
  <c r="F8835" i="1"/>
  <c r="G8835" i="1"/>
  <c r="E8827" i="1"/>
  <c r="F8827" i="1"/>
  <c r="G8827" i="1"/>
  <c r="E8819" i="1"/>
  <c r="F8819" i="1"/>
  <c r="G8819" i="1"/>
  <c r="E8811" i="1"/>
  <c r="F8811" i="1"/>
  <c r="G8811" i="1"/>
  <c r="E8803" i="1"/>
  <c r="F8803" i="1"/>
  <c r="G8803" i="1"/>
  <c r="E8795" i="1"/>
  <c r="F8795" i="1"/>
  <c r="G8795" i="1"/>
  <c r="E8787" i="1"/>
  <c r="F8787" i="1"/>
  <c r="G8787" i="1"/>
  <c r="E8779" i="1"/>
  <c r="F8779" i="1"/>
  <c r="G8779" i="1"/>
  <c r="E8771" i="1"/>
  <c r="F8771" i="1"/>
  <c r="G8771" i="1"/>
  <c r="E8763" i="1"/>
  <c r="F8763" i="1"/>
  <c r="G8763" i="1"/>
  <c r="E8755" i="1"/>
  <c r="F8755" i="1"/>
  <c r="G8755" i="1"/>
  <c r="E8747" i="1"/>
  <c r="F8747" i="1"/>
  <c r="G8747" i="1"/>
  <c r="E8739" i="1"/>
  <c r="F8739" i="1"/>
  <c r="G8739" i="1"/>
  <c r="E8731" i="1"/>
  <c r="F8731" i="1"/>
  <c r="G8731" i="1"/>
  <c r="E8723" i="1"/>
  <c r="F8723" i="1"/>
  <c r="G8723" i="1"/>
  <c r="E8715" i="1"/>
  <c r="F8715" i="1"/>
  <c r="G8715" i="1"/>
  <c r="E8707" i="1"/>
  <c r="F8707" i="1"/>
  <c r="G8707" i="1"/>
  <c r="E8699" i="1"/>
  <c r="F8699" i="1"/>
  <c r="G8699" i="1"/>
  <c r="E8691" i="1"/>
  <c r="F8691" i="1"/>
  <c r="G8691" i="1"/>
  <c r="E8683" i="1"/>
  <c r="F8683" i="1"/>
  <c r="G8683" i="1"/>
  <c r="E8675" i="1"/>
  <c r="F8675" i="1"/>
  <c r="G8675" i="1"/>
  <c r="E8667" i="1"/>
  <c r="F8667" i="1"/>
  <c r="G8667" i="1"/>
  <c r="E8659" i="1"/>
  <c r="F8659" i="1"/>
  <c r="G8659" i="1"/>
  <c r="E8651" i="1"/>
  <c r="F8651" i="1"/>
  <c r="G8651" i="1"/>
  <c r="E8643" i="1"/>
  <c r="F8643" i="1"/>
  <c r="G8643" i="1"/>
  <c r="E8635" i="1"/>
  <c r="F8635" i="1"/>
  <c r="G8635" i="1"/>
  <c r="E8627" i="1"/>
  <c r="F8627" i="1"/>
  <c r="G8627" i="1"/>
  <c r="E8619" i="1"/>
  <c r="F8619" i="1"/>
  <c r="G8619" i="1"/>
  <c r="E8611" i="1"/>
  <c r="F8611" i="1"/>
  <c r="G8611" i="1"/>
  <c r="E8603" i="1"/>
  <c r="F8603" i="1"/>
  <c r="G8603" i="1"/>
  <c r="E8595" i="1"/>
  <c r="F8595" i="1"/>
  <c r="G8595" i="1"/>
  <c r="E8587" i="1"/>
  <c r="F8587" i="1"/>
  <c r="G8587" i="1"/>
  <c r="E8579" i="1"/>
  <c r="F8579" i="1"/>
  <c r="G8579" i="1"/>
  <c r="E8571" i="1"/>
  <c r="F8571" i="1"/>
  <c r="G8571" i="1"/>
  <c r="E8563" i="1"/>
  <c r="F8563" i="1"/>
  <c r="G8563" i="1"/>
  <c r="E8555" i="1"/>
  <c r="F8555" i="1"/>
  <c r="G8555" i="1"/>
  <c r="E8547" i="1"/>
  <c r="F8547" i="1"/>
  <c r="G8547" i="1"/>
  <c r="E8539" i="1"/>
  <c r="F8539" i="1"/>
  <c r="G8539" i="1"/>
  <c r="E8531" i="1"/>
  <c r="F8531" i="1"/>
  <c r="G8531" i="1"/>
  <c r="E8523" i="1"/>
  <c r="F8523" i="1"/>
  <c r="G8523" i="1"/>
  <c r="E8515" i="1"/>
  <c r="F8515" i="1"/>
  <c r="G8515" i="1"/>
  <c r="E8507" i="1"/>
  <c r="F8507" i="1"/>
  <c r="G8507" i="1"/>
  <c r="E8499" i="1"/>
  <c r="F8499" i="1"/>
  <c r="G8499" i="1"/>
  <c r="E8491" i="1"/>
  <c r="F8491" i="1"/>
  <c r="G8491" i="1"/>
  <c r="E8483" i="1"/>
  <c r="F8483" i="1"/>
  <c r="G8483" i="1"/>
  <c r="E8475" i="1"/>
  <c r="F8475" i="1"/>
  <c r="G8475" i="1"/>
  <c r="E8467" i="1"/>
  <c r="F8467" i="1"/>
  <c r="G8467" i="1"/>
  <c r="E8459" i="1"/>
  <c r="F8459" i="1"/>
  <c r="G8459" i="1"/>
  <c r="E8451" i="1"/>
  <c r="F8451" i="1"/>
  <c r="G8451" i="1"/>
  <c r="E8443" i="1"/>
  <c r="F8443" i="1"/>
  <c r="G8443" i="1"/>
  <c r="E8435" i="1"/>
  <c r="F8435" i="1"/>
  <c r="G8435" i="1"/>
  <c r="E8427" i="1"/>
  <c r="F8427" i="1"/>
  <c r="G8427" i="1"/>
  <c r="E8419" i="1"/>
  <c r="F8419" i="1"/>
  <c r="G8419" i="1"/>
  <c r="E8411" i="1"/>
  <c r="F8411" i="1"/>
  <c r="G8411" i="1"/>
  <c r="E8403" i="1"/>
  <c r="F8403" i="1"/>
  <c r="G8403" i="1"/>
  <c r="E8395" i="1"/>
  <c r="F8395" i="1"/>
  <c r="G8395" i="1"/>
  <c r="E8387" i="1"/>
  <c r="F8387" i="1"/>
  <c r="G8387" i="1"/>
  <c r="E8379" i="1"/>
  <c r="F8379" i="1"/>
  <c r="G8379" i="1"/>
  <c r="E8371" i="1"/>
  <c r="F8371" i="1"/>
  <c r="G8371" i="1"/>
  <c r="E8363" i="1"/>
  <c r="F8363" i="1"/>
  <c r="G8363" i="1"/>
  <c r="E8355" i="1"/>
  <c r="F8355" i="1"/>
  <c r="G8355" i="1"/>
  <c r="E8347" i="1"/>
  <c r="F8347" i="1"/>
  <c r="G8347" i="1"/>
  <c r="E8339" i="1"/>
  <c r="F8339" i="1"/>
  <c r="G8339" i="1"/>
  <c r="E8331" i="1"/>
  <c r="F8331" i="1"/>
  <c r="G8331" i="1"/>
  <c r="E8323" i="1"/>
  <c r="F8323" i="1"/>
  <c r="G8323" i="1"/>
  <c r="E8315" i="1"/>
  <c r="F8315" i="1"/>
  <c r="G8315" i="1"/>
  <c r="E8307" i="1"/>
  <c r="F8307" i="1"/>
  <c r="G8307" i="1"/>
  <c r="E8299" i="1"/>
  <c r="F8299" i="1"/>
  <c r="G8299" i="1"/>
  <c r="E8291" i="1"/>
  <c r="F8291" i="1"/>
  <c r="G8291" i="1"/>
  <c r="E8283" i="1"/>
  <c r="F8283" i="1"/>
  <c r="G8283" i="1"/>
  <c r="E8275" i="1"/>
  <c r="F8275" i="1"/>
  <c r="G8275" i="1"/>
  <c r="E8267" i="1"/>
  <c r="F8267" i="1"/>
  <c r="G8267" i="1"/>
  <c r="E8259" i="1"/>
  <c r="F8259" i="1"/>
  <c r="G8259" i="1"/>
  <c r="E8251" i="1"/>
  <c r="F8251" i="1"/>
  <c r="G8251" i="1"/>
  <c r="E8243" i="1"/>
  <c r="F8243" i="1"/>
  <c r="G8243" i="1"/>
  <c r="E8235" i="1"/>
  <c r="F8235" i="1"/>
  <c r="G8235" i="1"/>
  <c r="E8227" i="1"/>
  <c r="F8227" i="1"/>
  <c r="G8227" i="1"/>
  <c r="E8219" i="1"/>
  <c r="F8219" i="1"/>
  <c r="G8219" i="1"/>
  <c r="E8211" i="1"/>
  <c r="F8211" i="1"/>
  <c r="G8211" i="1"/>
  <c r="E8203" i="1"/>
  <c r="F8203" i="1"/>
  <c r="G8203" i="1"/>
  <c r="E8195" i="1"/>
  <c r="F8195" i="1"/>
  <c r="G8195" i="1"/>
  <c r="E8187" i="1"/>
  <c r="F8187" i="1"/>
  <c r="G8187" i="1"/>
  <c r="E8179" i="1"/>
  <c r="F8179" i="1"/>
  <c r="G8179" i="1"/>
  <c r="E8171" i="1"/>
  <c r="F8171" i="1"/>
  <c r="G8171" i="1"/>
  <c r="E8163" i="1"/>
  <c r="F8163" i="1"/>
  <c r="G8163" i="1"/>
  <c r="E8155" i="1"/>
  <c r="F8155" i="1"/>
  <c r="G8155" i="1"/>
  <c r="E8147" i="1"/>
  <c r="F8147" i="1"/>
  <c r="G8147" i="1"/>
  <c r="E8139" i="1"/>
  <c r="F8139" i="1"/>
  <c r="G8139" i="1"/>
  <c r="E8131" i="1"/>
  <c r="F8131" i="1"/>
  <c r="G8131" i="1"/>
  <c r="E8123" i="1"/>
  <c r="F8123" i="1"/>
  <c r="G8123" i="1"/>
  <c r="E8115" i="1"/>
  <c r="F8115" i="1"/>
  <c r="G8115" i="1"/>
  <c r="E8107" i="1"/>
  <c r="F8107" i="1"/>
  <c r="G8107" i="1"/>
  <c r="E8099" i="1"/>
  <c r="F8099" i="1"/>
  <c r="G8099" i="1"/>
  <c r="E8091" i="1"/>
  <c r="F8091" i="1"/>
  <c r="G8091" i="1"/>
  <c r="E8083" i="1"/>
  <c r="F8083" i="1"/>
  <c r="G8083" i="1"/>
  <c r="E8075" i="1"/>
  <c r="F8075" i="1"/>
  <c r="G8075" i="1"/>
  <c r="E8067" i="1"/>
  <c r="F8067" i="1"/>
  <c r="G8067" i="1"/>
  <c r="E8059" i="1"/>
  <c r="F8059" i="1"/>
  <c r="G8059" i="1"/>
  <c r="E8051" i="1"/>
  <c r="F8051" i="1"/>
  <c r="G8051" i="1"/>
  <c r="E8043" i="1"/>
  <c r="F8043" i="1"/>
  <c r="G8043" i="1"/>
  <c r="E8035" i="1"/>
  <c r="F8035" i="1"/>
  <c r="G8035" i="1"/>
  <c r="E8027" i="1"/>
  <c r="F8027" i="1"/>
  <c r="G8027" i="1"/>
  <c r="E8019" i="1"/>
  <c r="F8019" i="1"/>
  <c r="G8019" i="1"/>
  <c r="E8011" i="1"/>
  <c r="F8011" i="1"/>
  <c r="G8011" i="1"/>
  <c r="E8003" i="1"/>
  <c r="F8003" i="1"/>
  <c r="G8003" i="1"/>
  <c r="E7995" i="1"/>
  <c r="F7995" i="1"/>
  <c r="G7995" i="1"/>
  <c r="E7987" i="1"/>
  <c r="F7987" i="1"/>
  <c r="G7987" i="1"/>
  <c r="E7979" i="1"/>
  <c r="F7979" i="1"/>
  <c r="G7979" i="1"/>
  <c r="E7971" i="1"/>
  <c r="F7971" i="1"/>
  <c r="G7971" i="1"/>
  <c r="E7963" i="1"/>
  <c r="F7963" i="1"/>
  <c r="G7963" i="1"/>
  <c r="E7955" i="1"/>
  <c r="F7955" i="1"/>
  <c r="G7955" i="1"/>
  <c r="E7947" i="1"/>
  <c r="F7947" i="1"/>
  <c r="G7947" i="1"/>
  <c r="E7939" i="1"/>
  <c r="F7939" i="1"/>
  <c r="G7939" i="1"/>
  <c r="E7931" i="1"/>
  <c r="F7931" i="1"/>
  <c r="G7931" i="1"/>
  <c r="E7923" i="1"/>
  <c r="F7923" i="1"/>
  <c r="G7923" i="1"/>
  <c r="E7915" i="1"/>
  <c r="F7915" i="1"/>
  <c r="G7915" i="1"/>
  <c r="E7907" i="1"/>
  <c r="F7907" i="1"/>
  <c r="G7907" i="1"/>
  <c r="E7899" i="1"/>
  <c r="F7899" i="1"/>
  <c r="G7899" i="1"/>
  <c r="E7891" i="1"/>
  <c r="F7891" i="1"/>
  <c r="G7891" i="1"/>
  <c r="E7883" i="1"/>
  <c r="F7883" i="1"/>
  <c r="G7883" i="1"/>
  <c r="E7875" i="1"/>
  <c r="F7875" i="1"/>
  <c r="G7875" i="1"/>
  <c r="E7867" i="1"/>
  <c r="F7867" i="1"/>
  <c r="G7867" i="1"/>
  <c r="E7859" i="1"/>
  <c r="F7859" i="1"/>
  <c r="G7859" i="1"/>
  <c r="E7851" i="1"/>
  <c r="F7851" i="1"/>
  <c r="G7851" i="1"/>
  <c r="E7843" i="1"/>
  <c r="F7843" i="1"/>
  <c r="G7843" i="1"/>
  <c r="E7835" i="1"/>
  <c r="F7835" i="1"/>
  <c r="G7835" i="1"/>
  <c r="E7827" i="1"/>
  <c r="F7827" i="1"/>
  <c r="G7827" i="1"/>
  <c r="E7819" i="1"/>
  <c r="F7819" i="1"/>
  <c r="G7819" i="1"/>
  <c r="E7811" i="1"/>
  <c r="F7811" i="1"/>
  <c r="G7811" i="1"/>
  <c r="E7803" i="1"/>
  <c r="F7803" i="1"/>
  <c r="G7803" i="1"/>
  <c r="E7795" i="1"/>
  <c r="F7795" i="1"/>
  <c r="G7795" i="1"/>
  <c r="E7787" i="1"/>
  <c r="F7787" i="1"/>
  <c r="G7787" i="1"/>
  <c r="E7779" i="1"/>
  <c r="F7779" i="1"/>
  <c r="G7779" i="1"/>
  <c r="E7771" i="1"/>
  <c r="F7771" i="1"/>
  <c r="G7771" i="1"/>
  <c r="E7763" i="1"/>
  <c r="F7763" i="1"/>
  <c r="G7763" i="1"/>
  <c r="E7755" i="1"/>
  <c r="F7755" i="1"/>
  <c r="G7755" i="1"/>
  <c r="E7747" i="1"/>
  <c r="F7747" i="1"/>
  <c r="G7747" i="1"/>
  <c r="E7739" i="1"/>
  <c r="F7739" i="1"/>
  <c r="G7739" i="1"/>
  <c r="E7731" i="1"/>
  <c r="F7731" i="1"/>
  <c r="G7731" i="1"/>
  <c r="E7723" i="1"/>
  <c r="F7723" i="1"/>
  <c r="G7723" i="1"/>
  <c r="E7715" i="1"/>
  <c r="F7715" i="1"/>
  <c r="G7715" i="1"/>
  <c r="E7707" i="1"/>
  <c r="F7707" i="1"/>
  <c r="G7707" i="1"/>
  <c r="E7699" i="1"/>
  <c r="F7699" i="1"/>
  <c r="G7699" i="1"/>
  <c r="E7691" i="1"/>
  <c r="F7691" i="1"/>
  <c r="G7691" i="1"/>
  <c r="E7683" i="1"/>
  <c r="F7683" i="1"/>
  <c r="G7683" i="1"/>
  <c r="E7675" i="1"/>
  <c r="F7675" i="1"/>
  <c r="G7675" i="1"/>
  <c r="E7667" i="1"/>
  <c r="F7667" i="1"/>
  <c r="G7667" i="1"/>
  <c r="E7659" i="1"/>
  <c r="F7659" i="1"/>
  <c r="G7659" i="1"/>
  <c r="E7651" i="1"/>
  <c r="F7651" i="1"/>
  <c r="G7651" i="1"/>
  <c r="E7643" i="1"/>
  <c r="F7643" i="1"/>
  <c r="G7643" i="1"/>
  <c r="E7635" i="1"/>
  <c r="F7635" i="1"/>
  <c r="G7635" i="1"/>
  <c r="E7627" i="1"/>
  <c r="F7627" i="1"/>
  <c r="G7627" i="1"/>
  <c r="E7619" i="1"/>
  <c r="F7619" i="1"/>
  <c r="G7619" i="1"/>
  <c r="E7611" i="1"/>
  <c r="F7611" i="1"/>
  <c r="G7611" i="1"/>
  <c r="E7603" i="1"/>
  <c r="F7603" i="1"/>
  <c r="G7603" i="1"/>
  <c r="E7595" i="1"/>
  <c r="F7595" i="1"/>
  <c r="G7595" i="1"/>
  <c r="E7587" i="1"/>
  <c r="F7587" i="1"/>
  <c r="G7587" i="1"/>
  <c r="E7579" i="1"/>
  <c r="F7579" i="1"/>
  <c r="G7579" i="1"/>
  <c r="E7571" i="1"/>
  <c r="F7571" i="1"/>
  <c r="G7571" i="1"/>
  <c r="E7563" i="1"/>
  <c r="F7563" i="1"/>
  <c r="G7563" i="1"/>
  <c r="E7555" i="1"/>
  <c r="F7555" i="1"/>
  <c r="G7555" i="1"/>
  <c r="E7547" i="1"/>
  <c r="F7547" i="1"/>
  <c r="G7547" i="1"/>
  <c r="E7539" i="1"/>
  <c r="F7539" i="1"/>
  <c r="G7539" i="1"/>
  <c r="E7531" i="1"/>
  <c r="F7531" i="1"/>
  <c r="G7531" i="1"/>
  <c r="E7523" i="1"/>
  <c r="F7523" i="1"/>
  <c r="G7523" i="1"/>
  <c r="E7515" i="1"/>
  <c r="F7515" i="1"/>
  <c r="G7515" i="1"/>
  <c r="E7507" i="1"/>
  <c r="F7507" i="1"/>
  <c r="G7507" i="1"/>
  <c r="E7499" i="1"/>
  <c r="F7499" i="1"/>
  <c r="G7499" i="1"/>
  <c r="E7491" i="1"/>
  <c r="F7491" i="1"/>
  <c r="G7491" i="1"/>
  <c r="E7483" i="1"/>
  <c r="F7483" i="1"/>
  <c r="G7483" i="1"/>
  <c r="E7475" i="1"/>
  <c r="F7475" i="1"/>
  <c r="G7475" i="1"/>
  <c r="E7467" i="1"/>
  <c r="F7467" i="1"/>
  <c r="G7467" i="1"/>
  <c r="E7459" i="1"/>
  <c r="F7459" i="1"/>
  <c r="G7459" i="1"/>
  <c r="E7451" i="1"/>
  <c r="F7451" i="1"/>
  <c r="G7451" i="1"/>
  <c r="E7443" i="1"/>
  <c r="F7443" i="1"/>
  <c r="G7443" i="1"/>
  <c r="E7435" i="1"/>
  <c r="F7435" i="1"/>
  <c r="G7435" i="1"/>
  <c r="E7427" i="1"/>
  <c r="F7427" i="1"/>
  <c r="G7427" i="1"/>
  <c r="E7419" i="1"/>
  <c r="F7419" i="1"/>
  <c r="G7419" i="1"/>
  <c r="E7411" i="1"/>
  <c r="F7411" i="1"/>
  <c r="G7411" i="1"/>
  <c r="E7403" i="1"/>
  <c r="F7403" i="1"/>
  <c r="G7403" i="1"/>
  <c r="E7395" i="1"/>
  <c r="F7395" i="1"/>
  <c r="G7395" i="1"/>
  <c r="E7387" i="1"/>
  <c r="F7387" i="1"/>
  <c r="G7387" i="1"/>
  <c r="E7379" i="1"/>
  <c r="F7379" i="1"/>
  <c r="G7379" i="1"/>
  <c r="E7371" i="1"/>
  <c r="F7371" i="1"/>
  <c r="G7371" i="1"/>
  <c r="E7363" i="1"/>
  <c r="F7363" i="1"/>
  <c r="G7363" i="1"/>
  <c r="E7355" i="1"/>
  <c r="F7355" i="1"/>
  <c r="G7355" i="1"/>
  <c r="E7347" i="1"/>
  <c r="F7347" i="1"/>
  <c r="G7347" i="1"/>
  <c r="E7339" i="1"/>
  <c r="F7339" i="1"/>
  <c r="G7339" i="1"/>
  <c r="E7331" i="1"/>
  <c r="F7331" i="1"/>
  <c r="G7331" i="1"/>
  <c r="E7323" i="1"/>
  <c r="F7323" i="1"/>
  <c r="G7323" i="1"/>
  <c r="E7315" i="1"/>
  <c r="F7315" i="1"/>
  <c r="G7315" i="1"/>
  <c r="E7307" i="1"/>
  <c r="F7307" i="1"/>
  <c r="G7307" i="1"/>
  <c r="E7299" i="1"/>
  <c r="F7299" i="1"/>
  <c r="G7299" i="1"/>
  <c r="E7291" i="1"/>
  <c r="F7291" i="1"/>
  <c r="G7291" i="1"/>
  <c r="E7283" i="1"/>
  <c r="F7283" i="1"/>
  <c r="G7283" i="1"/>
  <c r="E7275" i="1"/>
  <c r="F7275" i="1"/>
  <c r="G7275" i="1"/>
  <c r="E7267" i="1"/>
  <c r="F7267" i="1"/>
  <c r="G7267" i="1"/>
  <c r="E7259" i="1"/>
  <c r="F7259" i="1"/>
  <c r="G7259" i="1"/>
  <c r="E7251" i="1"/>
  <c r="F7251" i="1"/>
  <c r="G7251" i="1"/>
  <c r="E7243" i="1"/>
  <c r="F7243" i="1"/>
  <c r="G7243" i="1"/>
  <c r="E7235" i="1"/>
  <c r="F7235" i="1"/>
  <c r="G7235" i="1"/>
  <c r="E7227" i="1"/>
  <c r="F7227" i="1"/>
  <c r="G7227" i="1"/>
  <c r="E7219" i="1"/>
  <c r="F7219" i="1"/>
  <c r="G7219" i="1"/>
  <c r="E7211" i="1"/>
  <c r="F7211" i="1"/>
  <c r="G7211" i="1"/>
  <c r="E7203" i="1"/>
  <c r="F7203" i="1"/>
  <c r="G7203" i="1"/>
  <c r="E7195" i="1"/>
  <c r="F7195" i="1"/>
  <c r="G7195" i="1"/>
  <c r="E7187" i="1"/>
  <c r="F7187" i="1"/>
  <c r="G7187" i="1"/>
  <c r="E7179" i="1"/>
  <c r="F7179" i="1"/>
  <c r="G7179" i="1"/>
  <c r="E7171" i="1"/>
  <c r="F7171" i="1"/>
  <c r="G7171" i="1"/>
  <c r="E7163" i="1"/>
  <c r="F7163" i="1"/>
  <c r="G7163" i="1"/>
  <c r="E7155" i="1"/>
  <c r="F7155" i="1"/>
  <c r="G7155" i="1"/>
  <c r="E7147" i="1"/>
  <c r="F7147" i="1"/>
  <c r="G7147" i="1"/>
  <c r="E7139" i="1"/>
  <c r="F7139" i="1"/>
  <c r="G7139" i="1"/>
  <c r="E7131" i="1"/>
  <c r="F7131" i="1"/>
  <c r="G7131" i="1"/>
  <c r="E7123" i="1"/>
  <c r="F7123" i="1"/>
  <c r="G7123" i="1"/>
  <c r="E7115" i="1"/>
  <c r="F7115" i="1"/>
  <c r="G7115" i="1"/>
  <c r="E7107" i="1"/>
  <c r="F7107" i="1"/>
  <c r="G7107" i="1"/>
  <c r="E7099" i="1"/>
  <c r="F7099" i="1"/>
  <c r="G7099" i="1"/>
  <c r="E7091" i="1"/>
  <c r="F7091" i="1"/>
  <c r="G7091" i="1"/>
  <c r="E7083" i="1"/>
  <c r="F7083" i="1"/>
  <c r="G7083" i="1"/>
  <c r="E7075" i="1"/>
  <c r="F7075" i="1"/>
  <c r="G7075" i="1"/>
  <c r="E7067" i="1"/>
  <c r="F7067" i="1"/>
  <c r="G7067" i="1"/>
  <c r="E7059" i="1"/>
  <c r="F7059" i="1"/>
  <c r="G7059" i="1"/>
  <c r="E7051" i="1"/>
  <c r="F7051" i="1"/>
  <c r="G7051" i="1"/>
  <c r="E7043" i="1"/>
  <c r="F7043" i="1"/>
  <c r="G7043" i="1"/>
  <c r="E7035" i="1"/>
  <c r="F7035" i="1"/>
  <c r="G7035" i="1"/>
  <c r="E7027" i="1"/>
  <c r="F7027" i="1"/>
  <c r="G7027" i="1"/>
  <c r="E7019" i="1"/>
  <c r="F7019" i="1"/>
  <c r="G7019" i="1"/>
  <c r="E7011" i="1"/>
  <c r="F7011" i="1"/>
  <c r="G7011" i="1"/>
  <c r="E7003" i="1"/>
  <c r="F7003" i="1"/>
  <c r="G7003" i="1"/>
  <c r="E6995" i="1"/>
  <c r="F6995" i="1"/>
  <c r="G6995" i="1"/>
  <c r="E6987" i="1"/>
  <c r="F6987" i="1"/>
  <c r="G6987" i="1"/>
  <c r="E6979" i="1"/>
  <c r="F6979" i="1"/>
  <c r="G6979" i="1"/>
  <c r="E6971" i="1"/>
  <c r="F6971" i="1"/>
  <c r="G6971" i="1"/>
  <c r="E6963" i="1"/>
  <c r="F6963" i="1"/>
  <c r="G6963" i="1"/>
  <c r="E6955" i="1"/>
  <c r="F6955" i="1"/>
  <c r="G6955" i="1"/>
  <c r="E6947" i="1"/>
  <c r="F6947" i="1"/>
  <c r="G6947" i="1"/>
  <c r="E6939" i="1"/>
  <c r="F6939" i="1"/>
  <c r="G6939" i="1"/>
  <c r="E6931" i="1"/>
  <c r="F6931" i="1"/>
  <c r="G6931" i="1"/>
  <c r="E6923" i="1"/>
  <c r="F6923" i="1"/>
  <c r="G6923" i="1"/>
  <c r="E6915" i="1"/>
  <c r="F6915" i="1"/>
  <c r="G6915" i="1"/>
  <c r="E6907" i="1"/>
  <c r="F6907" i="1"/>
  <c r="G6907" i="1"/>
  <c r="E6899" i="1"/>
  <c r="F6899" i="1"/>
  <c r="G6899" i="1"/>
  <c r="E6891" i="1"/>
  <c r="F6891" i="1"/>
  <c r="G6891" i="1"/>
  <c r="E6883" i="1"/>
  <c r="F6883" i="1"/>
  <c r="G6883" i="1"/>
  <c r="E6875" i="1"/>
  <c r="F6875" i="1"/>
  <c r="G6875" i="1"/>
  <c r="E6867" i="1"/>
  <c r="F6867" i="1"/>
  <c r="G6867" i="1"/>
  <c r="E6859" i="1"/>
  <c r="F6859" i="1"/>
  <c r="G6859" i="1"/>
  <c r="E6851" i="1"/>
  <c r="F6851" i="1"/>
  <c r="G6851" i="1"/>
  <c r="E6843" i="1"/>
  <c r="F6843" i="1"/>
  <c r="G6843" i="1"/>
  <c r="E6835" i="1"/>
  <c r="F6835" i="1"/>
  <c r="G6835" i="1"/>
  <c r="E6827" i="1"/>
  <c r="F6827" i="1"/>
  <c r="G6827" i="1"/>
  <c r="E6819" i="1"/>
  <c r="F6819" i="1"/>
  <c r="G6819" i="1"/>
  <c r="E6811" i="1"/>
  <c r="F6811" i="1"/>
  <c r="G6811" i="1"/>
  <c r="E6803" i="1"/>
  <c r="F6803" i="1"/>
  <c r="G6803" i="1"/>
  <c r="E6795" i="1"/>
  <c r="F6795" i="1"/>
  <c r="G6795" i="1"/>
  <c r="E6787" i="1"/>
  <c r="F6787" i="1"/>
  <c r="G6787" i="1"/>
  <c r="E6779" i="1"/>
  <c r="F6779" i="1"/>
  <c r="G6779" i="1"/>
  <c r="E6771" i="1"/>
  <c r="F6771" i="1"/>
  <c r="G6771" i="1"/>
  <c r="E6763" i="1"/>
  <c r="F6763" i="1"/>
  <c r="G6763" i="1"/>
  <c r="E6755" i="1"/>
  <c r="F6755" i="1"/>
  <c r="G6755" i="1"/>
  <c r="E6747" i="1"/>
  <c r="F6747" i="1"/>
  <c r="G6747" i="1"/>
  <c r="E6739" i="1"/>
  <c r="F6739" i="1"/>
  <c r="G6739" i="1"/>
  <c r="E6731" i="1"/>
  <c r="F6731" i="1"/>
  <c r="G6731" i="1"/>
  <c r="E6723" i="1"/>
  <c r="F6723" i="1"/>
  <c r="G6723" i="1"/>
  <c r="E6715" i="1"/>
  <c r="F6715" i="1"/>
  <c r="G6715" i="1"/>
  <c r="E6707" i="1"/>
  <c r="F6707" i="1"/>
  <c r="G6707" i="1"/>
  <c r="E6699" i="1"/>
  <c r="F6699" i="1"/>
  <c r="G6699" i="1"/>
  <c r="E6691" i="1"/>
  <c r="F6691" i="1"/>
  <c r="G6691" i="1"/>
  <c r="E6683" i="1"/>
  <c r="F6683" i="1"/>
  <c r="G6683" i="1"/>
  <c r="E6675" i="1"/>
  <c r="F6675" i="1"/>
  <c r="G6675" i="1"/>
  <c r="E6667" i="1"/>
  <c r="F6667" i="1"/>
  <c r="G6667" i="1"/>
  <c r="E6659" i="1"/>
  <c r="F6659" i="1"/>
  <c r="G6659" i="1"/>
  <c r="E6651" i="1"/>
  <c r="F6651" i="1"/>
  <c r="G6651" i="1"/>
  <c r="E6643" i="1"/>
  <c r="F6643" i="1"/>
  <c r="G6643" i="1"/>
  <c r="E6635" i="1"/>
  <c r="F6635" i="1"/>
  <c r="G6635" i="1"/>
  <c r="E6627" i="1"/>
  <c r="F6627" i="1"/>
  <c r="G6627" i="1"/>
  <c r="E6619" i="1"/>
  <c r="F6619" i="1"/>
  <c r="G6619" i="1"/>
  <c r="E6611" i="1"/>
  <c r="F6611" i="1"/>
  <c r="G6611" i="1"/>
  <c r="E6603" i="1"/>
  <c r="F6603" i="1"/>
  <c r="G6603" i="1"/>
  <c r="E6595" i="1"/>
  <c r="F6595" i="1"/>
  <c r="G6595" i="1"/>
  <c r="E6587" i="1"/>
  <c r="F6587" i="1"/>
  <c r="G6587" i="1"/>
  <c r="E6579" i="1"/>
  <c r="F6579" i="1"/>
  <c r="G6579" i="1"/>
  <c r="E6571" i="1"/>
  <c r="F6571" i="1"/>
  <c r="G6571" i="1"/>
  <c r="E6563" i="1"/>
  <c r="F6563" i="1"/>
  <c r="G6563" i="1"/>
  <c r="E6555" i="1"/>
  <c r="F6555" i="1"/>
  <c r="G6555" i="1"/>
  <c r="E6547" i="1"/>
  <c r="F6547" i="1"/>
  <c r="G6547" i="1"/>
  <c r="E6539" i="1"/>
  <c r="F6539" i="1"/>
  <c r="G6539" i="1"/>
  <c r="E6531" i="1"/>
  <c r="F6531" i="1"/>
  <c r="G6531" i="1"/>
  <c r="E6523" i="1"/>
  <c r="F6523" i="1"/>
  <c r="G6523" i="1"/>
  <c r="E6515" i="1"/>
  <c r="F6515" i="1"/>
  <c r="G6515" i="1"/>
  <c r="E6507" i="1"/>
  <c r="F6507" i="1"/>
  <c r="G6507" i="1"/>
  <c r="E6499" i="1"/>
  <c r="F6499" i="1"/>
  <c r="G6499" i="1"/>
  <c r="E6491" i="1"/>
  <c r="F6491" i="1"/>
  <c r="G6491" i="1"/>
  <c r="E6483" i="1"/>
  <c r="F6483" i="1"/>
  <c r="G6483" i="1"/>
  <c r="E6475" i="1"/>
  <c r="F6475" i="1"/>
  <c r="G6475" i="1"/>
  <c r="E6467" i="1"/>
  <c r="F6467" i="1"/>
  <c r="G6467" i="1"/>
  <c r="E6459" i="1"/>
  <c r="F6459" i="1"/>
  <c r="G6459" i="1"/>
  <c r="E6451" i="1"/>
  <c r="F6451" i="1"/>
  <c r="G6451" i="1"/>
  <c r="E6443" i="1"/>
  <c r="F6443" i="1"/>
  <c r="G6443" i="1"/>
  <c r="E6435" i="1"/>
  <c r="F6435" i="1"/>
  <c r="G6435" i="1"/>
  <c r="E6427" i="1"/>
  <c r="F6427" i="1"/>
  <c r="G6427" i="1"/>
  <c r="E6419" i="1"/>
  <c r="F6419" i="1"/>
  <c r="G6419" i="1"/>
  <c r="E6411" i="1"/>
  <c r="F6411" i="1"/>
  <c r="G6411" i="1"/>
  <c r="E6403" i="1"/>
  <c r="F6403" i="1"/>
  <c r="G6403" i="1"/>
  <c r="E6395" i="1"/>
  <c r="F6395" i="1"/>
  <c r="G6395" i="1"/>
  <c r="E6387" i="1"/>
  <c r="F6387" i="1"/>
  <c r="G6387" i="1"/>
  <c r="E6379" i="1"/>
  <c r="F6379" i="1"/>
  <c r="G6379" i="1"/>
  <c r="E6371" i="1"/>
  <c r="F6371" i="1"/>
  <c r="G6371" i="1"/>
  <c r="E6363" i="1"/>
  <c r="F6363" i="1"/>
  <c r="G6363" i="1"/>
  <c r="E6355" i="1"/>
  <c r="F6355" i="1"/>
  <c r="G6355" i="1"/>
  <c r="E6347" i="1"/>
  <c r="F6347" i="1"/>
  <c r="G6347" i="1"/>
  <c r="E6339" i="1"/>
  <c r="F6339" i="1"/>
  <c r="G6339" i="1"/>
  <c r="E6331" i="1"/>
  <c r="F6331" i="1"/>
  <c r="G6331" i="1"/>
  <c r="E6323" i="1"/>
  <c r="F6323" i="1"/>
  <c r="G6323" i="1"/>
  <c r="E6315" i="1"/>
  <c r="F6315" i="1"/>
  <c r="G6315" i="1"/>
  <c r="E6307" i="1"/>
  <c r="F6307" i="1"/>
  <c r="G6307" i="1"/>
  <c r="E6299" i="1"/>
  <c r="F6299" i="1"/>
  <c r="G6299" i="1"/>
  <c r="E6291" i="1"/>
  <c r="F6291" i="1"/>
  <c r="G6291" i="1"/>
  <c r="E6283" i="1"/>
  <c r="F6283" i="1"/>
  <c r="G6283" i="1"/>
  <c r="E6275" i="1"/>
  <c r="F6275" i="1"/>
  <c r="G6275" i="1"/>
  <c r="E6267" i="1"/>
  <c r="F6267" i="1"/>
  <c r="G6267" i="1"/>
  <c r="E6259" i="1"/>
  <c r="F6259" i="1"/>
  <c r="G6259" i="1"/>
  <c r="E6251" i="1"/>
  <c r="F6251" i="1"/>
  <c r="G6251" i="1"/>
  <c r="E6243" i="1"/>
  <c r="F6243" i="1"/>
  <c r="G6243" i="1"/>
  <c r="E6235" i="1"/>
  <c r="F6235" i="1"/>
  <c r="G6235" i="1"/>
  <c r="E6227" i="1"/>
  <c r="F6227" i="1"/>
  <c r="G6227" i="1"/>
  <c r="E6219" i="1"/>
  <c r="F6219" i="1"/>
  <c r="G6219" i="1"/>
  <c r="E6211" i="1"/>
  <c r="F6211" i="1"/>
  <c r="G6211" i="1"/>
  <c r="E6203" i="1"/>
  <c r="F6203" i="1"/>
  <c r="G6203" i="1"/>
  <c r="E6195" i="1"/>
  <c r="F6195" i="1"/>
  <c r="G6195" i="1"/>
  <c r="E6187" i="1"/>
  <c r="F6187" i="1"/>
  <c r="G6187" i="1"/>
  <c r="E6179" i="1"/>
  <c r="F6179" i="1"/>
  <c r="G6179" i="1"/>
  <c r="E6171" i="1"/>
  <c r="F6171" i="1"/>
  <c r="G6171" i="1"/>
  <c r="E6163" i="1"/>
  <c r="F6163" i="1"/>
  <c r="G6163" i="1"/>
  <c r="E6155" i="1"/>
  <c r="F6155" i="1"/>
  <c r="G6155" i="1"/>
  <c r="E6147" i="1"/>
  <c r="F6147" i="1"/>
  <c r="G6147" i="1"/>
  <c r="E6139" i="1"/>
  <c r="F6139" i="1"/>
  <c r="G6139" i="1"/>
  <c r="E6131" i="1"/>
  <c r="F6131" i="1"/>
  <c r="G6131" i="1"/>
  <c r="E6123" i="1"/>
  <c r="F6123" i="1"/>
  <c r="G6123" i="1"/>
  <c r="E6115" i="1"/>
  <c r="F6115" i="1"/>
  <c r="G6115" i="1"/>
  <c r="E6107" i="1"/>
  <c r="F6107" i="1"/>
  <c r="G6107" i="1"/>
  <c r="E6099" i="1"/>
  <c r="F6099" i="1"/>
  <c r="G6099" i="1"/>
  <c r="E6091" i="1"/>
  <c r="F6091" i="1"/>
  <c r="G6091" i="1"/>
  <c r="E6083" i="1"/>
  <c r="F6083" i="1"/>
  <c r="G6083" i="1"/>
  <c r="E6075" i="1"/>
  <c r="F6075" i="1"/>
  <c r="G6075" i="1"/>
  <c r="E6067" i="1"/>
  <c r="F6067" i="1"/>
  <c r="G6067" i="1"/>
  <c r="E6059" i="1"/>
  <c r="F6059" i="1"/>
  <c r="G6059" i="1"/>
  <c r="E6051" i="1"/>
  <c r="F6051" i="1"/>
  <c r="G6051" i="1"/>
  <c r="E6043" i="1"/>
  <c r="F6043" i="1"/>
  <c r="G6043" i="1"/>
  <c r="E6035" i="1"/>
  <c r="F6035" i="1"/>
  <c r="G6035" i="1"/>
  <c r="E6027" i="1"/>
  <c r="F6027" i="1"/>
  <c r="G6027" i="1"/>
  <c r="E6019" i="1"/>
  <c r="F6019" i="1"/>
  <c r="G6019" i="1"/>
  <c r="E6011" i="1"/>
  <c r="F6011" i="1"/>
  <c r="G6011" i="1"/>
  <c r="E6003" i="1"/>
  <c r="F6003" i="1"/>
  <c r="G6003" i="1"/>
  <c r="E5995" i="1"/>
  <c r="F5995" i="1"/>
  <c r="G5995" i="1"/>
  <c r="E5987" i="1"/>
  <c r="F5987" i="1"/>
  <c r="G5987" i="1"/>
  <c r="E5979" i="1"/>
  <c r="F5979" i="1"/>
  <c r="G5979" i="1"/>
  <c r="E5971" i="1"/>
  <c r="F5971" i="1"/>
  <c r="G5971" i="1"/>
  <c r="E5963" i="1"/>
  <c r="F5963" i="1"/>
  <c r="G5963" i="1"/>
  <c r="E5955" i="1"/>
  <c r="F5955" i="1"/>
  <c r="G5955" i="1"/>
  <c r="E5947" i="1"/>
  <c r="F5947" i="1"/>
  <c r="G5947" i="1"/>
  <c r="E5939" i="1"/>
  <c r="F5939" i="1"/>
  <c r="G5939" i="1"/>
  <c r="E5931" i="1"/>
  <c r="F5931" i="1"/>
  <c r="G5931" i="1"/>
  <c r="E5923" i="1"/>
  <c r="F5923" i="1"/>
  <c r="G5923" i="1"/>
  <c r="E5915" i="1"/>
  <c r="F5915" i="1"/>
  <c r="G5915" i="1"/>
  <c r="E5907" i="1"/>
  <c r="F5907" i="1"/>
  <c r="G5907" i="1"/>
  <c r="E5899" i="1"/>
  <c r="F5899" i="1"/>
  <c r="G5899" i="1"/>
  <c r="E5891" i="1"/>
  <c r="F5891" i="1"/>
  <c r="G5891" i="1"/>
  <c r="E5883" i="1"/>
  <c r="F5883" i="1"/>
  <c r="G5883" i="1"/>
  <c r="E5875" i="1"/>
  <c r="F5875" i="1"/>
  <c r="G5875" i="1"/>
  <c r="E5867" i="1"/>
  <c r="F5867" i="1"/>
  <c r="G5867" i="1"/>
  <c r="E5859" i="1"/>
  <c r="F5859" i="1"/>
  <c r="G5859" i="1"/>
  <c r="E5851" i="1"/>
  <c r="F5851" i="1"/>
  <c r="G5851" i="1"/>
  <c r="E5843" i="1"/>
  <c r="F5843" i="1"/>
  <c r="G5843" i="1"/>
  <c r="E5835" i="1"/>
  <c r="F5835" i="1"/>
  <c r="G5835" i="1"/>
  <c r="E5827" i="1"/>
  <c r="F5827" i="1"/>
  <c r="G5827" i="1"/>
  <c r="E5819" i="1"/>
  <c r="F5819" i="1"/>
  <c r="G5819" i="1"/>
  <c r="E5811" i="1"/>
  <c r="F5811" i="1"/>
  <c r="G5811" i="1"/>
  <c r="E5803" i="1"/>
  <c r="F5803" i="1"/>
  <c r="G5803" i="1"/>
  <c r="E5795" i="1"/>
  <c r="F5795" i="1"/>
  <c r="G5795" i="1"/>
  <c r="E5787" i="1"/>
  <c r="F5787" i="1"/>
  <c r="G5787" i="1"/>
  <c r="E5779" i="1"/>
  <c r="F5779" i="1"/>
  <c r="G5779" i="1"/>
  <c r="E5771" i="1"/>
  <c r="F5771" i="1"/>
  <c r="G5771" i="1"/>
  <c r="E5763" i="1"/>
  <c r="F5763" i="1"/>
  <c r="G5763" i="1"/>
  <c r="E5755" i="1"/>
  <c r="F5755" i="1"/>
  <c r="G5755" i="1"/>
  <c r="E5747" i="1"/>
  <c r="F5747" i="1"/>
  <c r="G5747" i="1"/>
  <c r="E5739" i="1"/>
  <c r="F5739" i="1"/>
  <c r="G5739" i="1"/>
  <c r="E5731" i="1"/>
  <c r="F5731" i="1"/>
  <c r="G5731" i="1"/>
  <c r="E5723" i="1"/>
  <c r="F5723" i="1"/>
  <c r="G5723" i="1"/>
  <c r="E5715" i="1"/>
  <c r="F5715" i="1"/>
  <c r="G5715" i="1"/>
  <c r="E5707" i="1"/>
  <c r="F5707" i="1"/>
  <c r="G5707" i="1"/>
  <c r="E5699" i="1"/>
  <c r="F5699" i="1"/>
  <c r="G5699" i="1"/>
  <c r="E5691" i="1"/>
  <c r="F5691" i="1"/>
  <c r="G5691" i="1"/>
  <c r="E5683" i="1"/>
  <c r="F5683" i="1"/>
  <c r="G5683" i="1"/>
  <c r="E5675" i="1"/>
  <c r="F5675" i="1"/>
  <c r="G5675" i="1"/>
  <c r="E5667" i="1"/>
  <c r="F5667" i="1"/>
  <c r="G5667" i="1"/>
  <c r="E5659" i="1"/>
  <c r="F5659" i="1"/>
  <c r="G5659" i="1"/>
  <c r="E5651" i="1"/>
  <c r="F5651" i="1"/>
  <c r="G5651" i="1"/>
  <c r="E5643" i="1"/>
  <c r="F5643" i="1"/>
  <c r="G5643" i="1"/>
  <c r="E5635" i="1"/>
  <c r="F5635" i="1"/>
  <c r="G5635" i="1"/>
  <c r="E5627" i="1"/>
  <c r="F5627" i="1"/>
  <c r="G5627" i="1"/>
  <c r="E5619" i="1"/>
  <c r="F5619" i="1"/>
  <c r="G5619" i="1"/>
  <c r="E5611" i="1"/>
  <c r="F5611" i="1"/>
  <c r="G5611" i="1"/>
  <c r="E5603" i="1"/>
  <c r="F5603" i="1"/>
  <c r="G5603" i="1"/>
  <c r="E5595" i="1"/>
  <c r="F5595" i="1"/>
  <c r="G5595" i="1"/>
  <c r="E5587" i="1"/>
  <c r="F5587" i="1"/>
  <c r="G5587" i="1"/>
  <c r="E5579" i="1"/>
  <c r="F5579" i="1"/>
  <c r="G5579" i="1"/>
  <c r="E5571" i="1"/>
  <c r="F5571" i="1"/>
  <c r="G5571" i="1"/>
  <c r="E5563" i="1"/>
  <c r="F5563" i="1"/>
  <c r="G5563" i="1"/>
  <c r="E5555" i="1"/>
  <c r="F5555" i="1"/>
  <c r="G5555" i="1"/>
  <c r="E5547" i="1"/>
  <c r="F5547" i="1"/>
  <c r="G5547" i="1"/>
  <c r="E5539" i="1"/>
  <c r="F5539" i="1"/>
  <c r="G5539" i="1"/>
  <c r="E5531" i="1"/>
  <c r="F5531" i="1"/>
  <c r="G5531" i="1"/>
  <c r="E5523" i="1"/>
  <c r="F5523" i="1"/>
  <c r="G5523" i="1"/>
  <c r="E5515" i="1"/>
  <c r="F5515" i="1"/>
  <c r="G5515" i="1"/>
  <c r="E5507" i="1"/>
  <c r="F5507" i="1"/>
  <c r="G5507" i="1"/>
  <c r="E5499" i="1"/>
  <c r="F5499" i="1"/>
  <c r="G5499" i="1"/>
  <c r="E5491" i="1"/>
  <c r="F5491" i="1"/>
  <c r="G5491" i="1"/>
  <c r="E5483" i="1"/>
  <c r="F5483" i="1"/>
  <c r="G5483" i="1"/>
  <c r="E5475" i="1"/>
  <c r="F5475" i="1"/>
  <c r="G5475" i="1"/>
  <c r="E5467" i="1"/>
  <c r="F5467" i="1"/>
  <c r="G5467" i="1"/>
  <c r="E5459" i="1"/>
  <c r="F5459" i="1"/>
  <c r="G5459" i="1"/>
  <c r="E5451" i="1"/>
  <c r="F5451" i="1"/>
  <c r="G5451" i="1"/>
  <c r="E5443" i="1"/>
  <c r="F5443" i="1"/>
  <c r="G5443" i="1"/>
  <c r="E5435" i="1"/>
  <c r="F5435" i="1"/>
  <c r="G5435" i="1"/>
  <c r="E5427" i="1"/>
  <c r="F5427" i="1"/>
  <c r="G5427" i="1"/>
  <c r="E5419" i="1"/>
  <c r="F5419" i="1"/>
  <c r="G5419" i="1"/>
  <c r="E5411" i="1"/>
  <c r="F5411" i="1"/>
  <c r="G5411" i="1"/>
  <c r="E5403" i="1"/>
  <c r="F5403" i="1"/>
  <c r="G5403" i="1"/>
  <c r="E5395" i="1"/>
  <c r="F5395" i="1"/>
  <c r="G5395" i="1"/>
  <c r="E5387" i="1"/>
  <c r="F5387" i="1"/>
  <c r="G5387" i="1"/>
  <c r="E5379" i="1"/>
  <c r="F5379" i="1"/>
  <c r="G5379" i="1"/>
  <c r="E5371" i="1"/>
  <c r="F5371" i="1"/>
  <c r="G5371" i="1"/>
  <c r="E5363" i="1"/>
  <c r="F5363" i="1"/>
  <c r="G5363" i="1"/>
  <c r="E5355" i="1"/>
  <c r="F5355" i="1"/>
  <c r="G5355" i="1"/>
  <c r="E5347" i="1"/>
  <c r="F5347" i="1"/>
  <c r="G5347" i="1"/>
  <c r="E5339" i="1"/>
  <c r="F5339" i="1"/>
  <c r="G5339" i="1"/>
  <c r="E5331" i="1"/>
  <c r="F5331" i="1"/>
  <c r="G5331" i="1"/>
  <c r="E5323" i="1"/>
  <c r="F5323" i="1"/>
  <c r="G5323" i="1"/>
  <c r="E5315" i="1"/>
  <c r="F5315" i="1"/>
  <c r="G5315" i="1"/>
  <c r="E5307" i="1"/>
  <c r="F5307" i="1"/>
  <c r="G5307" i="1"/>
  <c r="E5299" i="1"/>
  <c r="F5299" i="1"/>
  <c r="G5299" i="1"/>
  <c r="E5291" i="1"/>
  <c r="F5291" i="1"/>
  <c r="G5291" i="1"/>
  <c r="E5283" i="1"/>
  <c r="F5283" i="1"/>
  <c r="G5283" i="1"/>
  <c r="E5275" i="1"/>
  <c r="F5275" i="1"/>
  <c r="G5275" i="1"/>
  <c r="E5267" i="1"/>
  <c r="F5267" i="1"/>
  <c r="G5267" i="1"/>
  <c r="E5259" i="1"/>
  <c r="F5259" i="1"/>
  <c r="G5259" i="1"/>
  <c r="E5251" i="1"/>
  <c r="F5251" i="1"/>
  <c r="G5251" i="1"/>
  <c r="E5243" i="1"/>
  <c r="F5243" i="1"/>
  <c r="G5243" i="1"/>
  <c r="E5235" i="1"/>
  <c r="F5235" i="1"/>
  <c r="G5235" i="1"/>
  <c r="E5227" i="1"/>
  <c r="F5227" i="1"/>
  <c r="G5227" i="1"/>
  <c r="E5219" i="1"/>
  <c r="F5219" i="1"/>
  <c r="G5219" i="1"/>
  <c r="E5211" i="1"/>
  <c r="F5211" i="1"/>
  <c r="G5211" i="1"/>
  <c r="E5203" i="1"/>
  <c r="F5203" i="1"/>
  <c r="G5203" i="1"/>
  <c r="E5195" i="1"/>
  <c r="F5195" i="1"/>
  <c r="G5195" i="1"/>
  <c r="E5187" i="1"/>
  <c r="F5187" i="1"/>
  <c r="G5187" i="1"/>
  <c r="E5179" i="1"/>
  <c r="F5179" i="1"/>
  <c r="G5179" i="1"/>
  <c r="E5171" i="1"/>
  <c r="F5171" i="1"/>
  <c r="G5171" i="1"/>
  <c r="E5163" i="1"/>
  <c r="F5163" i="1"/>
  <c r="G5163" i="1"/>
  <c r="E5155" i="1"/>
  <c r="F5155" i="1"/>
  <c r="G5155" i="1"/>
  <c r="E5147" i="1"/>
  <c r="F5147" i="1"/>
  <c r="G5147" i="1"/>
  <c r="E5139" i="1"/>
  <c r="F5139" i="1"/>
  <c r="G5139" i="1"/>
  <c r="E5131" i="1"/>
  <c r="F5131" i="1"/>
  <c r="G5131" i="1"/>
  <c r="E5123" i="1"/>
  <c r="F5123" i="1"/>
  <c r="G5123" i="1"/>
  <c r="E5115" i="1"/>
  <c r="F5115" i="1"/>
  <c r="G5115" i="1"/>
  <c r="E5107" i="1"/>
  <c r="F5107" i="1"/>
  <c r="G5107" i="1"/>
  <c r="E5099" i="1"/>
  <c r="F5099" i="1"/>
  <c r="G5099" i="1"/>
  <c r="E5091" i="1"/>
  <c r="F5091" i="1"/>
  <c r="G5091" i="1"/>
  <c r="E5083" i="1"/>
  <c r="F5083" i="1"/>
  <c r="G5083" i="1"/>
  <c r="E5075" i="1"/>
  <c r="F5075" i="1"/>
  <c r="G5075" i="1"/>
  <c r="E5067" i="1"/>
  <c r="F5067" i="1"/>
  <c r="G5067" i="1"/>
  <c r="E5059" i="1"/>
  <c r="F5059" i="1"/>
  <c r="G5059" i="1"/>
  <c r="E5051" i="1"/>
  <c r="F5051" i="1"/>
  <c r="G5051" i="1"/>
  <c r="E5043" i="1"/>
  <c r="F5043" i="1"/>
  <c r="G5043" i="1"/>
  <c r="E5035" i="1"/>
  <c r="F5035" i="1"/>
  <c r="G5035" i="1"/>
  <c r="E5027" i="1"/>
  <c r="F5027" i="1"/>
  <c r="G5027" i="1"/>
  <c r="E5019" i="1"/>
  <c r="F5019" i="1"/>
  <c r="G5019" i="1"/>
  <c r="E5011" i="1"/>
  <c r="F5011" i="1"/>
  <c r="G5011" i="1"/>
  <c r="E5003" i="1"/>
  <c r="F5003" i="1"/>
  <c r="G5003" i="1"/>
  <c r="E4995" i="1"/>
  <c r="F4995" i="1"/>
  <c r="G4995" i="1"/>
  <c r="E4987" i="1"/>
  <c r="F4987" i="1"/>
  <c r="G4987" i="1"/>
  <c r="E4979" i="1"/>
  <c r="F4979" i="1"/>
  <c r="G4979" i="1"/>
  <c r="E4971" i="1"/>
  <c r="F4971" i="1"/>
  <c r="G4971" i="1"/>
  <c r="E4963" i="1"/>
  <c r="F4963" i="1"/>
  <c r="G4963" i="1"/>
  <c r="E4955" i="1"/>
  <c r="F4955" i="1"/>
  <c r="G4955" i="1"/>
  <c r="E4947" i="1"/>
  <c r="F4947" i="1"/>
  <c r="G4947" i="1"/>
  <c r="E4939" i="1"/>
  <c r="F4939" i="1"/>
  <c r="G4939" i="1"/>
  <c r="E4931" i="1"/>
  <c r="F4931" i="1"/>
  <c r="G4931" i="1"/>
  <c r="E4923" i="1"/>
  <c r="F4923" i="1"/>
  <c r="G4923" i="1"/>
  <c r="E4915" i="1"/>
  <c r="F4915" i="1"/>
  <c r="G4915" i="1"/>
  <c r="E4907" i="1"/>
  <c r="F4907" i="1"/>
  <c r="G4907" i="1"/>
  <c r="E4899" i="1"/>
  <c r="F4899" i="1"/>
  <c r="G4899" i="1"/>
  <c r="E4891" i="1"/>
  <c r="F4891" i="1"/>
  <c r="G4891" i="1"/>
  <c r="E4883" i="1"/>
  <c r="F4883" i="1"/>
  <c r="G4883" i="1"/>
  <c r="E4875" i="1"/>
  <c r="F4875" i="1"/>
  <c r="G4875" i="1"/>
  <c r="E4867" i="1"/>
  <c r="F4867" i="1"/>
  <c r="G4867" i="1"/>
  <c r="E4859" i="1"/>
  <c r="F4859" i="1"/>
  <c r="G4859" i="1"/>
  <c r="E4851" i="1"/>
  <c r="F4851" i="1"/>
  <c r="G4851" i="1"/>
  <c r="E4843" i="1"/>
  <c r="F4843" i="1"/>
  <c r="G4843" i="1"/>
  <c r="E4835" i="1"/>
  <c r="F4835" i="1"/>
  <c r="G4835" i="1"/>
  <c r="E4827" i="1"/>
  <c r="F4827" i="1"/>
  <c r="G4827" i="1"/>
  <c r="E4819" i="1"/>
  <c r="F4819" i="1"/>
  <c r="G4819" i="1"/>
  <c r="E4811" i="1"/>
  <c r="F4811" i="1"/>
  <c r="G4811" i="1"/>
  <c r="E4803" i="1"/>
  <c r="F4803" i="1"/>
  <c r="G4803" i="1"/>
  <c r="E4795" i="1"/>
  <c r="F4795" i="1"/>
  <c r="G4795" i="1"/>
  <c r="E4787" i="1"/>
  <c r="F4787" i="1"/>
  <c r="G4787" i="1"/>
  <c r="E4779" i="1"/>
  <c r="F4779" i="1"/>
  <c r="G4779" i="1"/>
  <c r="E4771" i="1"/>
  <c r="F4771" i="1"/>
  <c r="G4771" i="1"/>
  <c r="E4763" i="1"/>
  <c r="F4763" i="1"/>
  <c r="G4763" i="1"/>
  <c r="E4755" i="1"/>
  <c r="F4755" i="1"/>
  <c r="G4755" i="1"/>
  <c r="E4747" i="1"/>
  <c r="F4747" i="1"/>
  <c r="G4747" i="1"/>
  <c r="E4739" i="1"/>
  <c r="F4739" i="1"/>
  <c r="G4739" i="1"/>
  <c r="E4731" i="1"/>
  <c r="F4731" i="1"/>
  <c r="G4731" i="1"/>
  <c r="E4723" i="1"/>
  <c r="F4723" i="1"/>
  <c r="G4723" i="1"/>
  <c r="E4715" i="1"/>
  <c r="F4715" i="1"/>
  <c r="G4715" i="1"/>
  <c r="E4707" i="1"/>
  <c r="F4707" i="1"/>
  <c r="G4707" i="1"/>
  <c r="E4699" i="1"/>
  <c r="F4699" i="1"/>
  <c r="G4699" i="1"/>
  <c r="E4691" i="1"/>
  <c r="F4691" i="1"/>
  <c r="G4691" i="1"/>
  <c r="E4683" i="1"/>
  <c r="F4683" i="1"/>
  <c r="G4683" i="1"/>
  <c r="E4675" i="1"/>
  <c r="F4675" i="1"/>
  <c r="G4675" i="1"/>
  <c r="E4667" i="1"/>
  <c r="F4667" i="1"/>
  <c r="G4667" i="1"/>
  <c r="E4659" i="1"/>
  <c r="F4659" i="1"/>
  <c r="G4659" i="1"/>
  <c r="E4651" i="1"/>
  <c r="F4651" i="1"/>
  <c r="G4651" i="1"/>
  <c r="E4643" i="1"/>
  <c r="F4643" i="1"/>
  <c r="G4643" i="1"/>
  <c r="E4635" i="1"/>
  <c r="F4635" i="1"/>
  <c r="G4635" i="1"/>
  <c r="E4627" i="1"/>
  <c r="F4627" i="1"/>
  <c r="G4627" i="1"/>
  <c r="E4619" i="1"/>
  <c r="F4619" i="1"/>
  <c r="G4619" i="1"/>
  <c r="E4611" i="1"/>
  <c r="F4611" i="1"/>
  <c r="G4611" i="1"/>
  <c r="E4603" i="1"/>
  <c r="F4603" i="1"/>
  <c r="G4603" i="1"/>
  <c r="E4595" i="1"/>
  <c r="F4595" i="1"/>
  <c r="G4595" i="1"/>
  <c r="E4587" i="1"/>
  <c r="F4587" i="1"/>
  <c r="G4587" i="1"/>
  <c r="E4579" i="1"/>
  <c r="F4579" i="1"/>
  <c r="G4579" i="1"/>
  <c r="E4531" i="1"/>
  <c r="F4531" i="1"/>
  <c r="G4531" i="1"/>
  <c r="E4523" i="1"/>
  <c r="F4523" i="1"/>
  <c r="G4523" i="1"/>
  <c r="E4515" i="1"/>
  <c r="F4515" i="1"/>
  <c r="G4515" i="1"/>
  <c r="E4507" i="1"/>
  <c r="F4507" i="1"/>
  <c r="G4507" i="1"/>
  <c r="E4499" i="1"/>
  <c r="F4499" i="1"/>
  <c r="G4499" i="1"/>
  <c r="E4491" i="1"/>
  <c r="F4491" i="1"/>
  <c r="G4491" i="1"/>
  <c r="E4483" i="1"/>
  <c r="F4483" i="1"/>
  <c r="G4483" i="1"/>
  <c r="E4475" i="1"/>
  <c r="F4475" i="1"/>
  <c r="G4475" i="1"/>
  <c r="E4467" i="1"/>
  <c r="F4467" i="1"/>
  <c r="G4467" i="1"/>
  <c r="E4459" i="1"/>
  <c r="F4459" i="1"/>
  <c r="G4459" i="1"/>
  <c r="E4451" i="1"/>
  <c r="F4451" i="1"/>
  <c r="G4451" i="1"/>
  <c r="E4443" i="1"/>
  <c r="F4443" i="1"/>
  <c r="G4443" i="1"/>
  <c r="E4435" i="1"/>
  <c r="F4435" i="1"/>
  <c r="G4435" i="1"/>
  <c r="E4427" i="1"/>
  <c r="F4427" i="1"/>
  <c r="G4427" i="1"/>
  <c r="E4419" i="1"/>
  <c r="F4419" i="1"/>
  <c r="G4419" i="1"/>
  <c r="E4411" i="1"/>
  <c r="F4411" i="1"/>
  <c r="G4411" i="1"/>
  <c r="E4403" i="1"/>
  <c r="F4403" i="1"/>
  <c r="G4403" i="1"/>
  <c r="E4395" i="1"/>
  <c r="F4395" i="1"/>
  <c r="G4395" i="1"/>
  <c r="E4387" i="1"/>
  <c r="F4387" i="1"/>
  <c r="G4387" i="1"/>
  <c r="E4379" i="1"/>
  <c r="F4379" i="1"/>
  <c r="G4379" i="1"/>
  <c r="E4371" i="1"/>
  <c r="F4371" i="1"/>
  <c r="G4371" i="1"/>
  <c r="E4363" i="1"/>
  <c r="F4363" i="1"/>
  <c r="G4363" i="1"/>
  <c r="E4355" i="1"/>
  <c r="F4355" i="1"/>
  <c r="G4355" i="1"/>
  <c r="E4347" i="1"/>
  <c r="F4347" i="1"/>
  <c r="G4347" i="1"/>
  <c r="E4339" i="1"/>
  <c r="F4339" i="1"/>
  <c r="G4339" i="1"/>
  <c r="E4331" i="1"/>
  <c r="F4331" i="1"/>
  <c r="G4331" i="1"/>
  <c r="E4323" i="1"/>
  <c r="F4323" i="1"/>
  <c r="G4323" i="1"/>
  <c r="E4315" i="1"/>
  <c r="F4315" i="1"/>
  <c r="G4315" i="1"/>
  <c r="E4307" i="1"/>
  <c r="F4307" i="1"/>
  <c r="G4307" i="1"/>
  <c r="E4299" i="1"/>
  <c r="F4299" i="1"/>
  <c r="G4299" i="1"/>
  <c r="E4291" i="1"/>
  <c r="F4291" i="1"/>
  <c r="G4291" i="1"/>
  <c r="E4283" i="1"/>
  <c r="F4283" i="1"/>
  <c r="G4283" i="1"/>
  <c r="E4275" i="1"/>
  <c r="F4275" i="1"/>
  <c r="G4275" i="1"/>
  <c r="E4267" i="1"/>
  <c r="F4267" i="1"/>
  <c r="G4267" i="1"/>
  <c r="E4259" i="1"/>
  <c r="F4259" i="1"/>
  <c r="G4259" i="1"/>
  <c r="E4251" i="1"/>
  <c r="F4251" i="1"/>
  <c r="G4251" i="1"/>
  <c r="E4243" i="1"/>
  <c r="F4243" i="1"/>
  <c r="G4243" i="1"/>
  <c r="E4235" i="1"/>
  <c r="F4235" i="1"/>
  <c r="G4235" i="1"/>
  <c r="E4227" i="1"/>
  <c r="F4227" i="1"/>
  <c r="G4227" i="1"/>
  <c r="E4219" i="1"/>
  <c r="F4219" i="1"/>
  <c r="G4219" i="1"/>
  <c r="E4211" i="1"/>
  <c r="F4211" i="1"/>
  <c r="G4211" i="1"/>
  <c r="E4203" i="1"/>
  <c r="F4203" i="1"/>
  <c r="G4203" i="1"/>
  <c r="E4195" i="1"/>
  <c r="F4195" i="1"/>
  <c r="G4195" i="1"/>
  <c r="E4187" i="1"/>
  <c r="F4187" i="1"/>
  <c r="G4187" i="1"/>
  <c r="E4179" i="1"/>
  <c r="F4179" i="1"/>
  <c r="G4179" i="1"/>
  <c r="E4171" i="1"/>
  <c r="F4171" i="1"/>
  <c r="G4171" i="1"/>
  <c r="E4163" i="1"/>
  <c r="F4163" i="1"/>
  <c r="G4163" i="1"/>
  <c r="E4155" i="1"/>
  <c r="F4155" i="1"/>
  <c r="G4155" i="1"/>
  <c r="E4147" i="1"/>
  <c r="F4147" i="1"/>
  <c r="G4147" i="1"/>
  <c r="E4139" i="1"/>
  <c r="F4139" i="1"/>
  <c r="G4139" i="1"/>
  <c r="E4131" i="1"/>
  <c r="F4131" i="1"/>
  <c r="G4131" i="1"/>
  <c r="E4123" i="1"/>
  <c r="F4123" i="1"/>
  <c r="G4123" i="1"/>
  <c r="E4115" i="1"/>
  <c r="F4115" i="1"/>
  <c r="G4115" i="1"/>
  <c r="E4107" i="1"/>
  <c r="F4107" i="1"/>
  <c r="G4107" i="1"/>
  <c r="E4099" i="1"/>
  <c r="F4099" i="1"/>
  <c r="G4099" i="1"/>
  <c r="E4091" i="1"/>
  <c r="F4091" i="1"/>
  <c r="G4091" i="1"/>
  <c r="E4083" i="1"/>
  <c r="F4083" i="1"/>
  <c r="G4083" i="1"/>
  <c r="E4075" i="1"/>
  <c r="F4075" i="1"/>
  <c r="G4075" i="1"/>
  <c r="E4067" i="1"/>
  <c r="F4067" i="1"/>
  <c r="G4067" i="1"/>
  <c r="E4059" i="1"/>
  <c r="F4059" i="1"/>
  <c r="G4059" i="1"/>
  <c r="E4051" i="1"/>
  <c r="F4051" i="1"/>
  <c r="G4051" i="1"/>
  <c r="E4043" i="1"/>
  <c r="F4043" i="1"/>
  <c r="G4043" i="1"/>
  <c r="E4035" i="1"/>
  <c r="F4035" i="1"/>
  <c r="G4035" i="1"/>
  <c r="E4027" i="1"/>
  <c r="F4027" i="1"/>
  <c r="G4027" i="1"/>
  <c r="E4019" i="1"/>
  <c r="F4019" i="1"/>
  <c r="G4019" i="1"/>
  <c r="E4011" i="1"/>
  <c r="F4011" i="1"/>
  <c r="G4011" i="1"/>
  <c r="E4003" i="1"/>
  <c r="F4003" i="1"/>
  <c r="G4003" i="1"/>
  <c r="E3995" i="1"/>
  <c r="F3995" i="1"/>
  <c r="G3995" i="1"/>
  <c r="E3987" i="1"/>
  <c r="F3987" i="1"/>
  <c r="G3987" i="1"/>
  <c r="E3979" i="1"/>
  <c r="F3979" i="1"/>
  <c r="G3979" i="1"/>
  <c r="E3971" i="1"/>
  <c r="F3971" i="1"/>
  <c r="G3971" i="1"/>
  <c r="E3963" i="1"/>
  <c r="F3963" i="1"/>
  <c r="G3963" i="1"/>
  <c r="E3955" i="1"/>
  <c r="F3955" i="1"/>
  <c r="G3955" i="1"/>
  <c r="E3947" i="1"/>
  <c r="F3947" i="1"/>
  <c r="G3947" i="1"/>
  <c r="E3939" i="1"/>
  <c r="F3939" i="1"/>
  <c r="G3939" i="1"/>
  <c r="E3931" i="1"/>
  <c r="F3931" i="1"/>
  <c r="G3931" i="1"/>
  <c r="E3923" i="1"/>
  <c r="F3923" i="1"/>
  <c r="G3923" i="1"/>
  <c r="E3915" i="1"/>
  <c r="F3915" i="1"/>
  <c r="G3915" i="1"/>
  <c r="E3907" i="1"/>
  <c r="F3907" i="1"/>
  <c r="G3907" i="1"/>
  <c r="E3899" i="1"/>
  <c r="F3899" i="1"/>
  <c r="G3899" i="1"/>
  <c r="E3891" i="1"/>
  <c r="F3891" i="1"/>
  <c r="G3891" i="1"/>
  <c r="E3883" i="1"/>
  <c r="F3883" i="1"/>
  <c r="G3883" i="1"/>
  <c r="E3875" i="1"/>
  <c r="F3875" i="1"/>
  <c r="G3875" i="1"/>
  <c r="E3867" i="1"/>
  <c r="F3867" i="1"/>
  <c r="G3867" i="1"/>
  <c r="E3859" i="1"/>
  <c r="F3859" i="1"/>
  <c r="G3859" i="1"/>
  <c r="E3851" i="1"/>
  <c r="F3851" i="1"/>
  <c r="G3851" i="1"/>
  <c r="E3843" i="1"/>
  <c r="F3843" i="1"/>
  <c r="G3843" i="1"/>
  <c r="E3835" i="1"/>
  <c r="F3835" i="1"/>
  <c r="G3835" i="1"/>
  <c r="E3827" i="1"/>
  <c r="F3827" i="1"/>
  <c r="G3827" i="1"/>
  <c r="E3819" i="1"/>
  <c r="F3819" i="1"/>
  <c r="G3819" i="1"/>
  <c r="E3811" i="1"/>
  <c r="F3811" i="1"/>
  <c r="G3811" i="1"/>
  <c r="E3803" i="1"/>
  <c r="F3803" i="1"/>
  <c r="G3803" i="1"/>
  <c r="E3795" i="1"/>
  <c r="F3795" i="1"/>
  <c r="G3795" i="1"/>
  <c r="E3787" i="1"/>
  <c r="F3787" i="1"/>
  <c r="G3787" i="1"/>
  <c r="E3779" i="1"/>
  <c r="F3779" i="1"/>
  <c r="G3779" i="1"/>
  <c r="E3771" i="1"/>
  <c r="F3771" i="1"/>
  <c r="G3771" i="1"/>
  <c r="E3763" i="1"/>
  <c r="F3763" i="1"/>
  <c r="G3763" i="1"/>
  <c r="E3755" i="1"/>
  <c r="F3755" i="1"/>
  <c r="G3755" i="1"/>
  <c r="E3747" i="1"/>
  <c r="F3747" i="1"/>
  <c r="G3747" i="1"/>
  <c r="E3739" i="1"/>
  <c r="F3739" i="1"/>
  <c r="G3739" i="1"/>
  <c r="E3731" i="1"/>
  <c r="F3731" i="1"/>
  <c r="G3731" i="1"/>
  <c r="E3723" i="1"/>
  <c r="F3723" i="1"/>
  <c r="G3723" i="1"/>
  <c r="E3715" i="1"/>
  <c r="F3715" i="1"/>
  <c r="G3715" i="1"/>
  <c r="E3707" i="1"/>
  <c r="F3707" i="1"/>
  <c r="G3707" i="1"/>
  <c r="E3699" i="1"/>
  <c r="F3699" i="1"/>
  <c r="G3699" i="1"/>
  <c r="E3691" i="1"/>
  <c r="F3691" i="1"/>
  <c r="G3691" i="1"/>
  <c r="E3683" i="1"/>
  <c r="F3683" i="1"/>
  <c r="G3683" i="1"/>
  <c r="E3675" i="1"/>
  <c r="F3675" i="1"/>
  <c r="G3675" i="1"/>
  <c r="E3667" i="1"/>
  <c r="F3667" i="1"/>
  <c r="G3667" i="1"/>
  <c r="E3659" i="1"/>
  <c r="F3659" i="1"/>
  <c r="G3659" i="1"/>
  <c r="E3651" i="1"/>
  <c r="F3651" i="1"/>
  <c r="G3651" i="1"/>
  <c r="E3643" i="1"/>
  <c r="F3643" i="1"/>
  <c r="G3643" i="1"/>
  <c r="E3635" i="1"/>
  <c r="F3635" i="1"/>
  <c r="G3635" i="1"/>
  <c r="E3627" i="1"/>
  <c r="F3627" i="1"/>
  <c r="G3627" i="1"/>
  <c r="E3619" i="1"/>
  <c r="F3619" i="1"/>
  <c r="G3619" i="1"/>
  <c r="E3611" i="1"/>
  <c r="F3611" i="1"/>
  <c r="G3611" i="1"/>
  <c r="E3603" i="1"/>
  <c r="F3603" i="1"/>
  <c r="G3603" i="1"/>
  <c r="E3595" i="1"/>
  <c r="F3595" i="1"/>
  <c r="G3595" i="1"/>
  <c r="E3587" i="1"/>
  <c r="F3587" i="1"/>
  <c r="G3587" i="1"/>
  <c r="E3579" i="1"/>
  <c r="F3579" i="1"/>
  <c r="G3579" i="1"/>
  <c r="E3571" i="1"/>
  <c r="F3571" i="1"/>
  <c r="G3571" i="1"/>
  <c r="E3563" i="1"/>
  <c r="F3563" i="1"/>
  <c r="G3563" i="1"/>
  <c r="E3555" i="1"/>
  <c r="F3555" i="1"/>
  <c r="G3555" i="1"/>
  <c r="E3547" i="1"/>
  <c r="F3547" i="1"/>
  <c r="G3547" i="1"/>
  <c r="E3539" i="1"/>
  <c r="F3539" i="1"/>
  <c r="G3539" i="1"/>
  <c r="E3531" i="1"/>
  <c r="F3531" i="1"/>
  <c r="G3531" i="1"/>
  <c r="E3523" i="1"/>
  <c r="F3523" i="1"/>
  <c r="G3523" i="1"/>
  <c r="E3515" i="1"/>
  <c r="F3515" i="1"/>
  <c r="G3515" i="1"/>
  <c r="E3507" i="1"/>
  <c r="F3507" i="1"/>
  <c r="G3507" i="1"/>
  <c r="E3499" i="1"/>
  <c r="F3499" i="1"/>
  <c r="G3499" i="1"/>
  <c r="E3491" i="1"/>
  <c r="F3491" i="1"/>
  <c r="G3491" i="1"/>
  <c r="E3483" i="1"/>
  <c r="F3483" i="1"/>
  <c r="G3483" i="1"/>
  <c r="E3475" i="1"/>
  <c r="F3475" i="1"/>
  <c r="G3475" i="1"/>
  <c r="E3467" i="1"/>
  <c r="F3467" i="1"/>
  <c r="G3467" i="1"/>
  <c r="E3459" i="1"/>
  <c r="F3459" i="1"/>
  <c r="G3459" i="1"/>
  <c r="E3451" i="1"/>
  <c r="F3451" i="1"/>
  <c r="G3451" i="1"/>
  <c r="E3443" i="1"/>
  <c r="F3443" i="1"/>
  <c r="G3443" i="1"/>
  <c r="E3435" i="1"/>
  <c r="F3435" i="1"/>
  <c r="G3435" i="1"/>
  <c r="E3427" i="1"/>
  <c r="F3427" i="1"/>
  <c r="G3427" i="1"/>
  <c r="E3419" i="1"/>
  <c r="F3419" i="1"/>
  <c r="G3419" i="1"/>
  <c r="E3411" i="1"/>
  <c r="F3411" i="1"/>
  <c r="G3411" i="1"/>
  <c r="E3403" i="1"/>
  <c r="F3403" i="1"/>
  <c r="G3403" i="1"/>
  <c r="E3395" i="1"/>
  <c r="F3395" i="1"/>
  <c r="G3395" i="1"/>
  <c r="E3387" i="1"/>
  <c r="F3387" i="1"/>
  <c r="G3387" i="1"/>
  <c r="E3379" i="1"/>
  <c r="F3379" i="1"/>
  <c r="G3379" i="1"/>
  <c r="E3371" i="1"/>
  <c r="F3371" i="1"/>
  <c r="G3371" i="1"/>
  <c r="E3363" i="1"/>
  <c r="F3363" i="1"/>
  <c r="G3363" i="1"/>
  <c r="E3355" i="1"/>
  <c r="F3355" i="1"/>
  <c r="G3355" i="1"/>
  <c r="E3347" i="1"/>
  <c r="F3347" i="1"/>
  <c r="G3347" i="1"/>
  <c r="E3339" i="1"/>
  <c r="F3339" i="1"/>
  <c r="G3339" i="1"/>
  <c r="E3331" i="1"/>
  <c r="F3331" i="1"/>
  <c r="G3331" i="1"/>
  <c r="E3323" i="1"/>
  <c r="F3323" i="1"/>
  <c r="G3323" i="1"/>
  <c r="E3315" i="1"/>
  <c r="F3315" i="1"/>
  <c r="G3315" i="1"/>
  <c r="E3307" i="1"/>
  <c r="F3307" i="1"/>
  <c r="G3307" i="1"/>
  <c r="E3299" i="1"/>
  <c r="F3299" i="1"/>
  <c r="G3299" i="1"/>
  <c r="E3291" i="1"/>
  <c r="F3291" i="1"/>
  <c r="G3291" i="1"/>
  <c r="E3283" i="1"/>
  <c r="F3283" i="1"/>
  <c r="G3283" i="1"/>
  <c r="E3275" i="1"/>
  <c r="F3275" i="1"/>
  <c r="G3275" i="1"/>
  <c r="E3267" i="1"/>
  <c r="F3267" i="1"/>
  <c r="G3267" i="1"/>
  <c r="E3259" i="1"/>
  <c r="F3259" i="1"/>
  <c r="G3259" i="1"/>
  <c r="E3251" i="1"/>
  <c r="F3251" i="1"/>
  <c r="G3251" i="1"/>
  <c r="E3243" i="1"/>
  <c r="F3243" i="1"/>
  <c r="G3243" i="1"/>
  <c r="E3235" i="1"/>
  <c r="F3235" i="1"/>
  <c r="G3235" i="1"/>
  <c r="E3227" i="1"/>
  <c r="F3227" i="1"/>
  <c r="G3227" i="1"/>
  <c r="E3219" i="1"/>
  <c r="F3219" i="1"/>
  <c r="G3219" i="1"/>
  <c r="E3211" i="1"/>
  <c r="F3211" i="1"/>
  <c r="G3211" i="1"/>
  <c r="E3203" i="1"/>
  <c r="F3203" i="1"/>
  <c r="G3203" i="1"/>
  <c r="E3195" i="1"/>
  <c r="F3195" i="1"/>
  <c r="G3195" i="1"/>
  <c r="E3187" i="1"/>
  <c r="F3187" i="1"/>
  <c r="G3187" i="1"/>
  <c r="E3179" i="1"/>
  <c r="F3179" i="1"/>
  <c r="G3179" i="1"/>
  <c r="E3171" i="1"/>
  <c r="F3171" i="1"/>
  <c r="G3171" i="1"/>
  <c r="E3163" i="1"/>
  <c r="F3163" i="1"/>
  <c r="G3163" i="1"/>
  <c r="E3155" i="1"/>
  <c r="F3155" i="1"/>
  <c r="G3155" i="1"/>
  <c r="E3147" i="1"/>
  <c r="F3147" i="1"/>
  <c r="G3147" i="1"/>
  <c r="E3139" i="1"/>
  <c r="F3139" i="1"/>
  <c r="G3139" i="1"/>
  <c r="E3131" i="1"/>
  <c r="F3131" i="1"/>
  <c r="G3131" i="1"/>
  <c r="E3123" i="1"/>
  <c r="F3123" i="1"/>
  <c r="G3123" i="1"/>
  <c r="E3115" i="1"/>
  <c r="F3115" i="1"/>
  <c r="G3115" i="1"/>
  <c r="E3107" i="1"/>
  <c r="F3107" i="1"/>
  <c r="G3107" i="1"/>
  <c r="E3099" i="1"/>
  <c r="F3099" i="1"/>
  <c r="G3099" i="1"/>
  <c r="E3091" i="1"/>
  <c r="F3091" i="1"/>
  <c r="G3091" i="1"/>
  <c r="E3083" i="1"/>
  <c r="F3083" i="1"/>
  <c r="G3083" i="1"/>
  <c r="E3075" i="1"/>
  <c r="F3075" i="1"/>
  <c r="G3075" i="1"/>
  <c r="E3067" i="1"/>
  <c r="F3067" i="1"/>
  <c r="G3067" i="1"/>
  <c r="F3059" i="1"/>
  <c r="G3059" i="1"/>
  <c r="E3051" i="1"/>
  <c r="F3051" i="1"/>
  <c r="G3051" i="1"/>
  <c r="E3043" i="1"/>
  <c r="F3043" i="1"/>
  <c r="G3043" i="1"/>
  <c r="E3035" i="1"/>
  <c r="F3035" i="1"/>
  <c r="G3035" i="1"/>
  <c r="E3027" i="1"/>
  <c r="F3027" i="1"/>
  <c r="G3027" i="1"/>
  <c r="E3019" i="1"/>
  <c r="F3019" i="1"/>
  <c r="G3019" i="1"/>
  <c r="E3011" i="1"/>
  <c r="F3011" i="1"/>
  <c r="G3011" i="1"/>
  <c r="E3003" i="1"/>
  <c r="F3003" i="1"/>
  <c r="G3003" i="1"/>
  <c r="E2995" i="1"/>
  <c r="F2995" i="1"/>
  <c r="G2995" i="1"/>
  <c r="E2987" i="1"/>
  <c r="F2987" i="1"/>
  <c r="G2987" i="1"/>
  <c r="E2979" i="1"/>
  <c r="F2979" i="1"/>
  <c r="G2979" i="1"/>
  <c r="E2971" i="1"/>
  <c r="F2971" i="1"/>
  <c r="G2971" i="1"/>
  <c r="E2963" i="1"/>
  <c r="F2963" i="1"/>
  <c r="G2963" i="1"/>
  <c r="E2955" i="1"/>
  <c r="F2955" i="1"/>
  <c r="G2955" i="1"/>
  <c r="E2947" i="1"/>
  <c r="F2947" i="1"/>
  <c r="G2947" i="1"/>
  <c r="E2939" i="1"/>
  <c r="F2939" i="1"/>
  <c r="G2939" i="1"/>
  <c r="E2931" i="1"/>
  <c r="F2931" i="1"/>
  <c r="G2931" i="1"/>
  <c r="E2923" i="1"/>
  <c r="F2923" i="1"/>
  <c r="G2923" i="1"/>
  <c r="E2915" i="1"/>
  <c r="F2915" i="1"/>
  <c r="G2915" i="1"/>
  <c r="E2907" i="1"/>
  <c r="F2907" i="1"/>
  <c r="G2907" i="1"/>
  <c r="E2899" i="1"/>
  <c r="F2899" i="1"/>
  <c r="G2899" i="1"/>
  <c r="E2891" i="1"/>
  <c r="F2891" i="1"/>
  <c r="G2891" i="1"/>
  <c r="E2883" i="1"/>
  <c r="F2883" i="1"/>
  <c r="G2883" i="1"/>
  <c r="E2875" i="1"/>
  <c r="F2875" i="1"/>
  <c r="G2875" i="1"/>
  <c r="E2867" i="1"/>
  <c r="F2867" i="1"/>
  <c r="G2867" i="1"/>
  <c r="E2859" i="1"/>
  <c r="F2859" i="1"/>
  <c r="G2859" i="1"/>
  <c r="E2851" i="1"/>
  <c r="F2851" i="1"/>
  <c r="G2851" i="1"/>
  <c r="E2843" i="1"/>
  <c r="F2843" i="1"/>
  <c r="G2843" i="1"/>
  <c r="E2835" i="1"/>
  <c r="F2835" i="1"/>
  <c r="G2835" i="1"/>
  <c r="E2827" i="1"/>
  <c r="F2827" i="1"/>
  <c r="G2827" i="1"/>
  <c r="E2819" i="1"/>
  <c r="F2819" i="1"/>
  <c r="G2819" i="1"/>
  <c r="E2811" i="1"/>
  <c r="F2811" i="1"/>
  <c r="G2811" i="1"/>
  <c r="E2803" i="1"/>
  <c r="F2803" i="1"/>
  <c r="G2803" i="1"/>
  <c r="E2795" i="1"/>
  <c r="F2795" i="1"/>
  <c r="G2795" i="1"/>
  <c r="E2787" i="1"/>
  <c r="F2787" i="1"/>
  <c r="G2787" i="1"/>
  <c r="E2779" i="1"/>
  <c r="F2779" i="1"/>
  <c r="G2779" i="1"/>
  <c r="E2771" i="1"/>
  <c r="F2771" i="1"/>
  <c r="G2771" i="1"/>
  <c r="E2763" i="1"/>
  <c r="F2763" i="1"/>
  <c r="G2763" i="1"/>
  <c r="E2755" i="1"/>
  <c r="F2755" i="1"/>
  <c r="G2755" i="1"/>
  <c r="E2747" i="1"/>
  <c r="F2747" i="1"/>
  <c r="G2747" i="1"/>
  <c r="E2739" i="1"/>
  <c r="F2739" i="1"/>
  <c r="G2739" i="1"/>
  <c r="E2731" i="1"/>
  <c r="F2731" i="1"/>
  <c r="G2731" i="1"/>
  <c r="E2723" i="1"/>
  <c r="F2723" i="1"/>
  <c r="G2723" i="1"/>
  <c r="E2715" i="1"/>
  <c r="F2715" i="1"/>
  <c r="G2715" i="1"/>
  <c r="E2707" i="1"/>
  <c r="F2707" i="1"/>
  <c r="G2707" i="1"/>
  <c r="E2699" i="1"/>
  <c r="F2699" i="1"/>
  <c r="G2699" i="1"/>
  <c r="E2691" i="1"/>
  <c r="F2691" i="1"/>
  <c r="G2691" i="1"/>
  <c r="E2683" i="1"/>
  <c r="F2683" i="1"/>
  <c r="G2683" i="1"/>
  <c r="E2675" i="1"/>
  <c r="F2675" i="1"/>
  <c r="G2675" i="1"/>
  <c r="E2667" i="1"/>
  <c r="F2667" i="1"/>
  <c r="G2667" i="1"/>
  <c r="E2659" i="1"/>
  <c r="F2659" i="1"/>
  <c r="G2659" i="1"/>
  <c r="E2651" i="1"/>
  <c r="F2651" i="1"/>
  <c r="G2651" i="1"/>
  <c r="E2643" i="1"/>
  <c r="F2643" i="1"/>
  <c r="G2643" i="1"/>
  <c r="E2635" i="1"/>
  <c r="F2635" i="1"/>
  <c r="G2635" i="1"/>
  <c r="E2627" i="1"/>
  <c r="F2627" i="1"/>
  <c r="G2627" i="1"/>
  <c r="E2619" i="1"/>
  <c r="F2619" i="1"/>
  <c r="G2619" i="1"/>
  <c r="E2611" i="1"/>
  <c r="F2611" i="1"/>
  <c r="G2611" i="1"/>
  <c r="E2603" i="1"/>
  <c r="F2603" i="1"/>
  <c r="G2603" i="1"/>
  <c r="E2595" i="1"/>
  <c r="F2595" i="1"/>
  <c r="G2595" i="1"/>
  <c r="E2587" i="1"/>
  <c r="F2587" i="1"/>
  <c r="G2587" i="1"/>
  <c r="E2579" i="1"/>
  <c r="F2579" i="1"/>
  <c r="G2579" i="1"/>
  <c r="E2571" i="1"/>
  <c r="F2571" i="1"/>
  <c r="G2571" i="1"/>
  <c r="E2563" i="1"/>
  <c r="F2563" i="1"/>
  <c r="G2563" i="1"/>
  <c r="E2555" i="1"/>
  <c r="F2555" i="1"/>
  <c r="G2555" i="1"/>
  <c r="E2547" i="1"/>
  <c r="F2547" i="1"/>
  <c r="G2547" i="1"/>
  <c r="E2539" i="1"/>
  <c r="F2539" i="1"/>
  <c r="G2539" i="1"/>
  <c r="E2531" i="1"/>
  <c r="F2531" i="1"/>
  <c r="G2531" i="1"/>
  <c r="E2523" i="1"/>
  <c r="F2523" i="1"/>
  <c r="G2523" i="1"/>
  <c r="E2515" i="1"/>
  <c r="F2515" i="1"/>
  <c r="G2515" i="1"/>
  <c r="E2507" i="1"/>
  <c r="F2507" i="1"/>
  <c r="G2507" i="1"/>
  <c r="E2499" i="1"/>
  <c r="F2499" i="1"/>
  <c r="G2499" i="1"/>
  <c r="E2491" i="1"/>
  <c r="F2491" i="1"/>
  <c r="G2491" i="1"/>
  <c r="E2483" i="1"/>
  <c r="F2483" i="1"/>
  <c r="G2483" i="1"/>
  <c r="E2475" i="1"/>
  <c r="F2475" i="1"/>
  <c r="G2475" i="1"/>
  <c r="E2467" i="1"/>
  <c r="F2467" i="1"/>
  <c r="G2467" i="1"/>
  <c r="E2459" i="1"/>
  <c r="F2459" i="1"/>
  <c r="G2459" i="1"/>
  <c r="E2451" i="1"/>
  <c r="F2451" i="1"/>
  <c r="G2451" i="1"/>
  <c r="E2443" i="1"/>
  <c r="F2443" i="1"/>
  <c r="G2443" i="1"/>
  <c r="E2435" i="1"/>
  <c r="F2435" i="1"/>
  <c r="G2435" i="1"/>
  <c r="E2427" i="1"/>
  <c r="F2427" i="1"/>
  <c r="G2427" i="1"/>
  <c r="E2419" i="1"/>
  <c r="F2419" i="1"/>
  <c r="G2419" i="1"/>
  <c r="E2411" i="1"/>
  <c r="F2411" i="1"/>
  <c r="G2411" i="1"/>
  <c r="E2403" i="1"/>
  <c r="F2403" i="1"/>
  <c r="G2403" i="1"/>
  <c r="E2395" i="1"/>
  <c r="F2395" i="1"/>
  <c r="G2395" i="1"/>
  <c r="E2387" i="1"/>
  <c r="F2387" i="1"/>
  <c r="G2387" i="1"/>
  <c r="E2379" i="1"/>
  <c r="F2379" i="1"/>
  <c r="G2379" i="1"/>
  <c r="E2371" i="1"/>
  <c r="F2371" i="1"/>
  <c r="G2371" i="1"/>
  <c r="E2363" i="1"/>
  <c r="F2363" i="1"/>
  <c r="G2363" i="1"/>
  <c r="E2355" i="1"/>
  <c r="F2355" i="1"/>
  <c r="G2355" i="1"/>
  <c r="E2347" i="1"/>
  <c r="F2347" i="1"/>
  <c r="G2347" i="1"/>
  <c r="E2339" i="1"/>
  <c r="F2339" i="1"/>
  <c r="G2339" i="1"/>
  <c r="E2331" i="1"/>
  <c r="F2331" i="1"/>
  <c r="G2331" i="1"/>
  <c r="E2323" i="1"/>
  <c r="F2323" i="1"/>
  <c r="G2323" i="1"/>
  <c r="E2315" i="1"/>
  <c r="F2315" i="1"/>
  <c r="G2315" i="1"/>
  <c r="E2307" i="1"/>
  <c r="F2307" i="1"/>
  <c r="G2307" i="1"/>
  <c r="E2299" i="1"/>
  <c r="F2299" i="1"/>
  <c r="G2299" i="1"/>
  <c r="E2291" i="1"/>
  <c r="F2291" i="1"/>
  <c r="G2291" i="1"/>
  <c r="E2283" i="1"/>
  <c r="F2283" i="1"/>
  <c r="G2283" i="1"/>
  <c r="E2275" i="1"/>
  <c r="F2275" i="1"/>
  <c r="G2275" i="1"/>
  <c r="E2267" i="1"/>
  <c r="F2267" i="1"/>
  <c r="G2267" i="1"/>
  <c r="E2259" i="1"/>
  <c r="F2259" i="1"/>
  <c r="G2259" i="1"/>
  <c r="E2251" i="1"/>
  <c r="F2251" i="1"/>
  <c r="G2251" i="1"/>
  <c r="E2243" i="1"/>
  <c r="F2243" i="1"/>
  <c r="G2243" i="1"/>
  <c r="E2235" i="1"/>
  <c r="F2235" i="1"/>
  <c r="G2235" i="1"/>
  <c r="E2227" i="1"/>
  <c r="F2227" i="1"/>
  <c r="G2227" i="1"/>
  <c r="E2219" i="1"/>
  <c r="F2219" i="1"/>
  <c r="G2219" i="1"/>
  <c r="E2211" i="1"/>
  <c r="F2211" i="1"/>
  <c r="G2211" i="1"/>
  <c r="E2203" i="1"/>
  <c r="F2203" i="1"/>
  <c r="G2203" i="1"/>
  <c r="E2195" i="1"/>
  <c r="F2195" i="1"/>
  <c r="G2195" i="1"/>
  <c r="E2187" i="1"/>
  <c r="F2187" i="1"/>
  <c r="G2187" i="1"/>
  <c r="E2179" i="1"/>
  <c r="F2179" i="1"/>
  <c r="G2179" i="1"/>
  <c r="E2171" i="1"/>
  <c r="F2171" i="1"/>
  <c r="G2171" i="1"/>
  <c r="E2163" i="1"/>
  <c r="F2163" i="1"/>
  <c r="G2163" i="1"/>
  <c r="E2155" i="1"/>
  <c r="F2155" i="1"/>
  <c r="G2155" i="1"/>
  <c r="E2147" i="1"/>
  <c r="F2147" i="1"/>
  <c r="G2147" i="1"/>
  <c r="E2139" i="1"/>
  <c r="F2139" i="1"/>
  <c r="G2139" i="1"/>
  <c r="E2131" i="1"/>
  <c r="F2131" i="1"/>
  <c r="G2131" i="1"/>
  <c r="E2123" i="1"/>
  <c r="F2123" i="1"/>
  <c r="G2123" i="1"/>
  <c r="E2115" i="1"/>
  <c r="F2115" i="1"/>
  <c r="G2115" i="1"/>
  <c r="E2107" i="1"/>
  <c r="F2107" i="1"/>
  <c r="G2107" i="1"/>
  <c r="E2099" i="1"/>
  <c r="F2099" i="1"/>
  <c r="G2099" i="1"/>
  <c r="E2091" i="1"/>
  <c r="F2091" i="1"/>
  <c r="G2091" i="1"/>
  <c r="E2083" i="1"/>
  <c r="F2083" i="1"/>
  <c r="G2083" i="1"/>
  <c r="E2075" i="1"/>
  <c r="F2075" i="1"/>
  <c r="G2075" i="1"/>
  <c r="E2067" i="1"/>
  <c r="F2067" i="1"/>
  <c r="G2067" i="1"/>
  <c r="E2059" i="1"/>
  <c r="F2059" i="1"/>
  <c r="G2059" i="1"/>
  <c r="E2051" i="1"/>
  <c r="F2051" i="1"/>
  <c r="G2051" i="1"/>
  <c r="E2043" i="1"/>
  <c r="F2043" i="1"/>
  <c r="G2043" i="1"/>
  <c r="E2035" i="1"/>
  <c r="F2035" i="1"/>
  <c r="G2035" i="1"/>
  <c r="E2027" i="1"/>
  <c r="F2027" i="1"/>
  <c r="G2027" i="1"/>
  <c r="E2019" i="1"/>
  <c r="F2019" i="1"/>
  <c r="G2019" i="1"/>
  <c r="E2011" i="1"/>
  <c r="F2011" i="1"/>
  <c r="G2011" i="1"/>
  <c r="E2003" i="1"/>
  <c r="F2003" i="1"/>
  <c r="G2003" i="1"/>
  <c r="E1995" i="1"/>
  <c r="F1995" i="1"/>
  <c r="G1995" i="1"/>
  <c r="E1987" i="1"/>
  <c r="F1987" i="1"/>
  <c r="G1987" i="1"/>
  <c r="E1979" i="1"/>
  <c r="F1979" i="1"/>
  <c r="G1979" i="1"/>
  <c r="E1971" i="1"/>
  <c r="F1971" i="1"/>
  <c r="G1971" i="1"/>
  <c r="E1963" i="1"/>
  <c r="F1963" i="1"/>
  <c r="G1963" i="1"/>
  <c r="E1955" i="1"/>
  <c r="F1955" i="1"/>
  <c r="G1955" i="1"/>
  <c r="E1947" i="1"/>
  <c r="F1947" i="1"/>
  <c r="G1947" i="1"/>
  <c r="E1939" i="1"/>
  <c r="F1939" i="1"/>
  <c r="G1939" i="1"/>
  <c r="E1931" i="1"/>
  <c r="F1931" i="1"/>
  <c r="G1931" i="1"/>
  <c r="E1923" i="1"/>
  <c r="F1923" i="1"/>
  <c r="G1923" i="1"/>
  <c r="E1915" i="1"/>
  <c r="F1915" i="1"/>
  <c r="G1915" i="1"/>
  <c r="E1907" i="1"/>
  <c r="F1907" i="1"/>
  <c r="G1907" i="1"/>
  <c r="E1899" i="1"/>
  <c r="F1899" i="1"/>
  <c r="G1899" i="1"/>
  <c r="E1891" i="1"/>
  <c r="F1891" i="1"/>
  <c r="G1891" i="1"/>
  <c r="E1883" i="1"/>
  <c r="F1883" i="1"/>
  <c r="G1883" i="1"/>
  <c r="E1875" i="1"/>
  <c r="F1875" i="1"/>
  <c r="G1875" i="1"/>
  <c r="E1867" i="1"/>
  <c r="F1867" i="1"/>
  <c r="G1867" i="1"/>
  <c r="E1859" i="1"/>
  <c r="F1859" i="1"/>
  <c r="G1859" i="1"/>
  <c r="E1851" i="1"/>
  <c r="F1851" i="1"/>
  <c r="G1851" i="1"/>
  <c r="E1843" i="1"/>
  <c r="F1843" i="1"/>
  <c r="G1843" i="1"/>
  <c r="E1835" i="1"/>
  <c r="F1835" i="1"/>
  <c r="G1835" i="1"/>
  <c r="E1827" i="1"/>
  <c r="F1827" i="1"/>
  <c r="G1827" i="1"/>
  <c r="E1819" i="1"/>
  <c r="F1819" i="1"/>
  <c r="G1819" i="1"/>
  <c r="E1811" i="1"/>
  <c r="F1811" i="1"/>
  <c r="G1811" i="1"/>
  <c r="E1803" i="1"/>
  <c r="F1803" i="1"/>
  <c r="G1803" i="1"/>
  <c r="E1795" i="1"/>
  <c r="F1795" i="1"/>
  <c r="G1795" i="1"/>
  <c r="E1787" i="1"/>
  <c r="F1787" i="1"/>
  <c r="G1787" i="1"/>
  <c r="E1779" i="1"/>
  <c r="F1779" i="1"/>
  <c r="G1779" i="1"/>
  <c r="E1771" i="1"/>
  <c r="F1771" i="1"/>
  <c r="G1771" i="1"/>
  <c r="E1763" i="1"/>
  <c r="F1763" i="1"/>
  <c r="G1763" i="1"/>
  <c r="E1755" i="1"/>
  <c r="F1755" i="1"/>
  <c r="G1755" i="1"/>
  <c r="E1747" i="1"/>
  <c r="F1747" i="1"/>
  <c r="G1747" i="1"/>
  <c r="E1739" i="1"/>
  <c r="F1739" i="1"/>
  <c r="G1739" i="1"/>
  <c r="E1731" i="1"/>
  <c r="F1731" i="1"/>
  <c r="G1731" i="1"/>
  <c r="E1723" i="1"/>
  <c r="F1723" i="1"/>
  <c r="G1723" i="1"/>
  <c r="E1715" i="1"/>
  <c r="F1715" i="1"/>
  <c r="G1715" i="1"/>
  <c r="E1707" i="1"/>
  <c r="F1707" i="1"/>
  <c r="G1707" i="1"/>
  <c r="E1699" i="1"/>
  <c r="F1699" i="1"/>
  <c r="G1699" i="1"/>
  <c r="E1691" i="1"/>
  <c r="F1691" i="1"/>
  <c r="G1691" i="1"/>
  <c r="E1683" i="1"/>
  <c r="F1683" i="1"/>
  <c r="G1683" i="1"/>
  <c r="E1675" i="1"/>
  <c r="F1675" i="1"/>
  <c r="G1675" i="1"/>
  <c r="E1667" i="1"/>
  <c r="F1667" i="1"/>
  <c r="G1667" i="1"/>
  <c r="E1659" i="1"/>
  <c r="F1659" i="1"/>
  <c r="G1659" i="1"/>
  <c r="E1651" i="1"/>
  <c r="F1651" i="1"/>
  <c r="G1651" i="1"/>
  <c r="E1643" i="1"/>
  <c r="F1643" i="1"/>
  <c r="G1643" i="1"/>
  <c r="E1635" i="1"/>
  <c r="F1635" i="1"/>
  <c r="G1635" i="1"/>
  <c r="E1627" i="1"/>
  <c r="F1627" i="1"/>
  <c r="G1627" i="1"/>
  <c r="E1619" i="1"/>
  <c r="F1619" i="1"/>
  <c r="G1619" i="1"/>
  <c r="E1611" i="1"/>
  <c r="F1611" i="1"/>
  <c r="G1611" i="1"/>
  <c r="E1603" i="1"/>
  <c r="F1603" i="1"/>
  <c r="G1603" i="1"/>
  <c r="E1595" i="1"/>
  <c r="F1595" i="1"/>
  <c r="G1595" i="1"/>
  <c r="E1587" i="1"/>
  <c r="F1587" i="1"/>
  <c r="G1587" i="1"/>
  <c r="E1579" i="1"/>
  <c r="F1579" i="1"/>
  <c r="G1579" i="1"/>
  <c r="E1571" i="1"/>
  <c r="F1571" i="1"/>
  <c r="G1571" i="1"/>
  <c r="E1563" i="1"/>
  <c r="F1563" i="1"/>
  <c r="G1563" i="1"/>
  <c r="E1555" i="1"/>
  <c r="F1555" i="1"/>
  <c r="G1555" i="1"/>
  <c r="E1547" i="1"/>
  <c r="F1547" i="1"/>
  <c r="G1547" i="1"/>
  <c r="E1539" i="1"/>
  <c r="F1539" i="1"/>
  <c r="G1539" i="1"/>
  <c r="E1531" i="1"/>
  <c r="F1531" i="1"/>
  <c r="G1531" i="1"/>
  <c r="E1523" i="1"/>
  <c r="F1523" i="1"/>
  <c r="G1523" i="1"/>
  <c r="E1515" i="1"/>
  <c r="F1515" i="1"/>
  <c r="G1515" i="1"/>
  <c r="E1507" i="1"/>
  <c r="F1507" i="1"/>
  <c r="G1507" i="1"/>
  <c r="E1499" i="1"/>
  <c r="F1499" i="1"/>
  <c r="G1499" i="1"/>
  <c r="E1491" i="1"/>
  <c r="F1491" i="1"/>
  <c r="G1491" i="1"/>
  <c r="E1483" i="1"/>
  <c r="F1483" i="1"/>
  <c r="G1483" i="1"/>
  <c r="E1475" i="1"/>
  <c r="F1475" i="1"/>
  <c r="G1475" i="1"/>
  <c r="E1467" i="1"/>
  <c r="F1467" i="1"/>
  <c r="G1467" i="1"/>
  <c r="E1459" i="1"/>
  <c r="F1459" i="1"/>
  <c r="G1459" i="1"/>
  <c r="E1451" i="1"/>
  <c r="F1451" i="1"/>
  <c r="G1451" i="1"/>
  <c r="E1443" i="1"/>
  <c r="F1443" i="1"/>
  <c r="G1443" i="1"/>
  <c r="E1435" i="1"/>
  <c r="F1435" i="1"/>
  <c r="G1435" i="1"/>
  <c r="E1427" i="1"/>
  <c r="F1427" i="1"/>
  <c r="G1427" i="1"/>
  <c r="E1419" i="1"/>
  <c r="F1419" i="1"/>
  <c r="G1419" i="1"/>
  <c r="E1411" i="1"/>
  <c r="F1411" i="1"/>
  <c r="G1411" i="1"/>
  <c r="E1403" i="1"/>
  <c r="F1403" i="1"/>
  <c r="G1403" i="1"/>
  <c r="E1395" i="1"/>
  <c r="F1395" i="1"/>
  <c r="G1395" i="1"/>
  <c r="E1387" i="1"/>
  <c r="F1387" i="1"/>
  <c r="G1387" i="1"/>
  <c r="E1379" i="1"/>
  <c r="F1379" i="1"/>
  <c r="G1379" i="1"/>
  <c r="E1371" i="1"/>
  <c r="F1371" i="1"/>
  <c r="G1371" i="1"/>
  <c r="E1363" i="1"/>
  <c r="F1363" i="1"/>
  <c r="G1363" i="1"/>
  <c r="E1355" i="1"/>
  <c r="F1355" i="1"/>
  <c r="G1355" i="1"/>
  <c r="E1347" i="1"/>
  <c r="F1347" i="1"/>
  <c r="G1347" i="1"/>
  <c r="E1339" i="1"/>
  <c r="F1339" i="1"/>
  <c r="G1339" i="1"/>
  <c r="E1331" i="1"/>
  <c r="F1331" i="1"/>
  <c r="G1331" i="1"/>
  <c r="E1323" i="1"/>
  <c r="F1323" i="1"/>
  <c r="G1323" i="1"/>
  <c r="E1315" i="1"/>
  <c r="F1315" i="1"/>
  <c r="G1315" i="1"/>
  <c r="E1307" i="1"/>
  <c r="F1307" i="1"/>
  <c r="G1307" i="1"/>
  <c r="E1299" i="1"/>
  <c r="F1299" i="1"/>
  <c r="G1299" i="1"/>
  <c r="E1291" i="1"/>
  <c r="F1291" i="1"/>
  <c r="G1291" i="1"/>
  <c r="E1283" i="1"/>
  <c r="F1283" i="1"/>
  <c r="G1283" i="1"/>
  <c r="E1275" i="1"/>
  <c r="F1275" i="1"/>
  <c r="G1275" i="1"/>
  <c r="E1267" i="1"/>
  <c r="F1267" i="1"/>
  <c r="G1267" i="1"/>
  <c r="E1259" i="1"/>
  <c r="F1259" i="1"/>
  <c r="G1259" i="1"/>
  <c r="E1251" i="1"/>
  <c r="F1251" i="1"/>
  <c r="G1251" i="1"/>
  <c r="E1243" i="1"/>
  <c r="F1243" i="1"/>
  <c r="G1243" i="1"/>
  <c r="E1235" i="1"/>
  <c r="F1235" i="1"/>
  <c r="G1235" i="1"/>
  <c r="E1227" i="1"/>
  <c r="F1227" i="1"/>
  <c r="G1227" i="1"/>
  <c r="E1219" i="1"/>
  <c r="F1219" i="1"/>
  <c r="G1219" i="1"/>
  <c r="E1211" i="1"/>
  <c r="F1211" i="1"/>
  <c r="G1211" i="1"/>
  <c r="E1203" i="1"/>
  <c r="F1203" i="1"/>
  <c r="G1203" i="1"/>
  <c r="E1195" i="1"/>
  <c r="F1195" i="1"/>
  <c r="G1195" i="1"/>
  <c r="E1187" i="1"/>
  <c r="F1187" i="1"/>
  <c r="G1187" i="1"/>
  <c r="E1179" i="1"/>
  <c r="F1179" i="1"/>
  <c r="G1179" i="1"/>
  <c r="E1171" i="1"/>
  <c r="F1171" i="1"/>
  <c r="G1171" i="1"/>
  <c r="E1163" i="1"/>
  <c r="F1163" i="1"/>
  <c r="G1163" i="1"/>
  <c r="E1155" i="1"/>
  <c r="F1155" i="1"/>
  <c r="G1155" i="1"/>
  <c r="E1147" i="1"/>
  <c r="F1147" i="1"/>
  <c r="G1147" i="1"/>
  <c r="E1139" i="1"/>
  <c r="F1139" i="1"/>
  <c r="G1139" i="1"/>
  <c r="E1131" i="1"/>
  <c r="F1131" i="1"/>
  <c r="G1131" i="1"/>
  <c r="E1123" i="1"/>
  <c r="F1123" i="1"/>
  <c r="G1123" i="1"/>
  <c r="E1115" i="1"/>
  <c r="F1115" i="1"/>
  <c r="G1115" i="1"/>
  <c r="E1107" i="1"/>
  <c r="F1107" i="1"/>
  <c r="G1107" i="1"/>
  <c r="E1099" i="1"/>
  <c r="F1099" i="1"/>
  <c r="G1099" i="1"/>
  <c r="E1091" i="1"/>
  <c r="F1091" i="1"/>
  <c r="G1091" i="1"/>
  <c r="E1083" i="1"/>
  <c r="F1083" i="1"/>
  <c r="G1083" i="1"/>
  <c r="E1075" i="1"/>
  <c r="F1075" i="1"/>
  <c r="G1075" i="1"/>
  <c r="E1067" i="1"/>
  <c r="F1067" i="1"/>
  <c r="G1067" i="1"/>
  <c r="E1059" i="1"/>
  <c r="F1059" i="1"/>
  <c r="G1059" i="1"/>
  <c r="E1051" i="1"/>
  <c r="F1051" i="1"/>
  <c r="G1051" i="1"/>
  <c r="E1043" i="1"/>
  <c r="F1043" i="1"/>
  <c r="G1043" i="1"/>
  <c r="E1035" i="1"/>
  <c r="F1035" i="1"/>
  <c r="G1035" i="1"/>
  <c r="E1027" i="1"/>
  <c r="F1027" i="1"/>
  <c r="G1027" i="1"/>
  <c r="E1019" i="1"/>
  <c r="F1019" i="1"/>
  <c r="G1019" i="1"/>
  <c r="E1011" i="1"/>
  <c r="F1011" i="1"/>
  <c r="G1011" i="1"/>
  <c r="E1003" i="1"/>
  <c r="F1003" i="1"/>
  <c r="G1003" i="1"/>
  <c r="E995" i="1"/>
  <c r="F995" i="1"/>
  <c r="G995" i="1"/>
  <c r="E987" i="1"/>
  <c r="F987" i="1"/>
  <c r="G987" i="1"/>
  <c r="E979" i="1"/>
  <c r="F979" i="1"/>
  <c r="G979" i="1"/>
  <c r="E971" i="1"/>
  <c r="F971" i="1"/>
  <c r="G971" i="1"/>
  <c r="E963" i="1"/>
  <c r="F963" i="1"/>
  <c r="G963" i="1"/>
  <c r="E955" i="1"/>
  <c r="F955" i="1"/>
  <c r="G955" i="1"/>
  <c r="E947" i="1"/>
  <c r="F947" i="1"/>
  <c r="G947" i="1"/>
  <c r="E939" i="1"/>
  <c r="F939" i="1"/>
  <c r="G939" i="1"/>
  <c r="E931" i="1"/>
  <c r="F931" i="1"/>
  <c r="G931" i="1"/>
  <c r="E923" i="1"/>
  <c r="F923" i="1"/>
  <c r="G923" i="1"/>
  <c r="E915" i="1"/>
  <c r="F915" i="1"/>
  <c r="G915" i="1"/>
  <c r="E907" i="1"/>
  <c r="F907" i="1"/>
  <c r="G907" i="1"/>
  <c r="E899" i="1"/>
  <c r="F899" i="1"/>
  <c r="G899" i="1"/>
  <c r="E891" i="1"/>
  <c r="F891" i="1"/>
  <c r="G891" i="1"/>
  <c r="E883" i="1"/>
  <c r="F883" i="1"/>
  <c r="G883" i="1"/>
  <c r="E875" i="1"/>
  <c r="F875" i="1"/>
  <c r="G875" i="1"/>
  <c r="E867" i="1"/>
  <c r="F867" i="1"/>
  <c r="G867" i="1"/>
  <c r="E859" i="1"/>
  <c r="F859" i="1"/>
  <c r="G859" i="1"/>
  <c r="E851" i="1"/>
  <c r="F851" i="1"/>
  <c r="G851" i="1"/>
  <c r="E843" i="1"/>
  <c r="F843" i="1"/>
  <c r="G843" i="1"/>
  <c r="E835" i="1"/>
  <c r="F835" i="1"/>
  <c r="G835" i="1"/>
  <c r="E827" i="1"/>
  <c r="F827" i="1"/>
  <c r="G827" i="1"/>
  <c r="E819" i="1"/>
  <c r="F819" i="1"/>
  <c r="G819" i="1"/>
  <c r="E811" i="1"/>
  <c r="F811" i="1"/>
  <c r="G811" i="1"/>
  <c r="E803" i="1"/>
  <c r="F803" i="1"/>
  <c r="G803" i="1"/>
  <c r="E795" i="1"/>
  <c r="F795" i="1"/>
  <c r="G795" i="1"/>
  <c r="E787" i="1"/>
  <c r="F787" i="1"/>
  <c r="G787" i="1"/>
  <c r="E779" i="1"/>
  <c r="F779" i="1"/>
  <c r="G779" i="1"/>
  <c r="E771" i="1"/>
  <c r="F771" i="1"/>
  <c r="G771" i="1"/>
  <c r="E763" i="1"/>
  <c r="F763" i="1"/>
  <c r="G763" i="1"/>
  <c r="E755" i="1"/>
  <c r="F755" i="1"/>
  <c r="G755" i="1"/>
  <c r="E747" i="1"/>
  <c r="F747" i="1"/>
  <c r="G747" i="1"/>
  <c r="E739" i="1"/>
  <c r="F739" i="1"/>
  <c r="G739" i="1"/>
  <c r="E731" i="1"/>
  <c r="F731" i="1"/>
  <c r="G731" i="1"/>
  <c r="E723" i="1"/>
  <c r="F723" i="1"/>
  <c r="G723" i="1"/>
  <c r="E715" i="1"/>
  <c r="F715" i="1"/>
  <c r="G715" i="1"/>
  <c r="E707" i="1"/>
  <c r="F707" i="1"/>
  <c r="G707" i="1"/>
  <c r="E699" i="1"/>
  <c r="F699" i="1"/>
  <c r="G699" i="1"/>
  <c r="E691" i="1"/>
  <c r="F691" i="1"/>
  <c r="G691" i="1"/>
  <c r="E683" i="1"/>
  <c r="F683" i="1"/>
  <c r="G683" i="1"/>
  <c r="E675" i="1"/>
  <c r="F675" i="1"/>
  <c r="G675" i="1"/>
  <c r="E667" i="1"/>
  <c r="F667" i="1"/>
  <c r="G667" i="1"/>
  <c r="E659" i="1"/>
  <c r="F659" i="1"/>
  <c r="G659" i="1"/>
  <c r="E651" i="1"/>
  <c r="F651" i="1"/>
  <c r="G651" i="1"/>
  <c r="E643" i="1"/>
  <c r="F643" i="1"/>
  <c r="G643" i="1"/>
  <c r="E635" i="1"/>
  <c r="F635" i="1"/>
  <c r="G635" i="1"/>
  <c r="E627" i="1"/>
  <c r="F627" i="1"/>
  <c r="G627" i="1"/>
  <c r="E619" i="1"/>
  <c r="F619" i="1"/>
  <c r="G619" i="1"/>
  <c r="E611" i="1"/>
  <c r="F611" i="1"/>
  <c r="G611" i="1"/>
  <c r="E603" i="1"/>
  <c r="F603" i="1"/>
  <c r="G603" i="1"/>
  <c r="E595" i="1"/>
  <c r="F595" i="1"/>
  <c r="G595" i="1"/>
  <c r="E587" i="1"/>
  <c r="F587" i="1"/>
  <c r="G587" i="1"/>
  <c r="E579" i="1"/>
  <c r="F579" i="1"/>
  <c r="G579" i="1"/>
  <c r="E571" i="1"/>
  <c r="F571" i="1"/>
  <c r="G571" i="1"/>
  <c r="E563" i="1"/>
  <c r="F563" i="1"/>
  <c r="G563" i="1"/>
  <c r="E555" i="1"/>
  <c r="F555" i="1"/>
  <c r="G555" i="1"/>
  <c r="E547" i="1"/>
  <c r="F547" i="1"/>
  <c r="G547" i="1"/>
  <c r="E539" i="1"/>
  <c r="F539" i="1"/>
  <c r="G539" i="1"/>
  <c r="E531" i="1"/>
  <c r="F531" i="1"/>
  <c r="G531" i="1"/>
  <c r="E523" i="1"/>
  <c r="F523" i="1"/>
  <c r="G523" i="1"/>
  <c r="E515" i="1"/>
  <c r="F515" i="1"/>
  <c r="G515" i="1"/>
  <c r="E507" i="1"/>
  <c r="F507" i="1"/>
  <c r="G507" i="1"/>
  <c r="E499" i="1"/>
  <c r="F499" i="1"/>
  <c r="G499" i="1"/>
  <c r="E491" i="1"/>
  <c r="F491" i="1"/>
  <c r="G491" i="1"/>
  <c r="E483" i="1"/>
  <c r="F483" i="1"/>
  <c r="G483" i="1"/>
  <c r="E475" i="1"/>
  <c r="F475" i="1"/>
  <c r="G475" i="1"/>
  <c r="E467" i="1"/>
  <c r="F467" i="1"/>
  <c r="G467" i="1"/>
  <c r="E459" i="1"/>
  <c r="F459" i="1"/>
  <c r="G459" i="1"/>
  <c r="F451" i="1"/>
  <c r="G451" i="1"/>
  <c r="F443" i="1"/>
  <c r="G443" i="1"/>
  <c r="F435" i="1"/>
  <c r="G435" i="1"/>
  <c r="F427" i="1"/>
  <c r="G427" i="1"/>
  <c r="F419" i="1"/>
  <c r="G419" i="1"/>
  <c r="F411" i="1"/>
  <c r="G411" i="1"/>
  <c r="F403" i="1"/>
  <c r="G403" i="1"/>
  <c r="F395" i="1"/>
  <c r="G395" i="1"/>
  <c r="F387" i="1"/>
  <c r="G387" i="1"/>
  <c r="F379" i="1"/>
  <c r="G379" i="1"/>
  <c r="F371" i="1"/>
  <c r="G371" i="1"/>
  <c r="F363" i="1"/>
  <c r="G363" i="1"/>
  <c r="F355" i="1"/>
  <c r="G355" i="1"/>
  <c r="F347" i="1"/>
  <c r="G347" i="1"/>
  <c r="F339" i="1"/>
  <c r="G339" i="1"/>
  <c r="F331" i="1"/>
  <c r="G331" i="1"/>
  <c r="F323" i="1"/>
  <c r="G323" i="1"/>
  <c r="F315" i="1"/>
  <c r="G315" i="1"/>
  <c r="F307" i="1"/>
  <c r="G307" i="1"/>
  <c r="F99" i="1"/>
  <c r="G99" i="1"/>
  <c r="F91" i="1"/>
  <c r="G91" i="1"/>
  <c r="F83" i="1"/>
  <c r="G83" i="1"/>
  <c r="F75" i="1"/>
  <c r="G75" i="1"/>
  <c r="F67" i="1"/>
  <c r="G67" i="1"/>
  <c r="F59" i="1"/>
  <c r="G59" i="1"/>
  <c r="F51" i="1"/>
  <c r="G51" i="1"/>
  <c r="F43" i="1"/>
  <c r="G43" i="1"/>
  <c r="F35" i="1"/>
  <c r="G35" i="1"/>
  <c r="F27" i="1"/>
  <c r="G27" i="1"/>
  <c r="F19" i="1"/>
  <c r="G19" i="1"/>
  <c r="F11" i="1"/>
  <c r="G11" i="1"/>
  <c r="F106" i="1"/>
  <c r="G106" i="1"/>
  <c r="E159" i="1"/>
  <c r="E296" i="1"/>
  <c r="F296" i="1"/>
  <c r="G296" i="1"/>
  <c r="E288" i="1"/>
  <c r="F288" i="1"/>
  <c r="G288" i="1"/>
  <c r="E280" i="1"/>
  <c r="F280" i="1"/>
  <c r="G280" i="1"/>
  <c r="E272" i="1"/>
  <c r="F272" i="1"/>
  <c r="G272" i="1"/>
  <c r="E264" i="1"/>
  <c r="F264" i="1"/>
  <c r="G264" i="1"/>
  <c r="E256" i="1"/>
  <c r="F256" i="1"/>
  <c r="G256" i="1"/>
  <c r="E248" i="1"/>
  <c r="F248" i="1"/>
  <c r="G248" i="1"/>
  <c r="E240" i="1"/>
  <c r="F240" i="1"/>
  <c r="G240" i="1"/>
  <c r="E232" i="1"/>
  <c r="F232" i="1"/>
  <c r="G232" i="1"/>
  <c r="E224" i="1"/>
  <c r="F224" i="1"/>
  <c r="G224" i="1"/>
  <c r="E216" i="1"/>
  <c r="F216" i="1"/>
  <c r="G216" i="1"/>
  <c r="E208" i="1"/>
  <c r="F208" i="1"/>
  <c r="G208" i="1"/>
  <c r="E200" i="1"/>
  <c r="F200" i="1"/>
  <c r="G200" i="1"/>
  <c r="E192" i="1"/>
  <c r="F192" i="1"/>
  <c r="G192" i="1"/>
  <c r="E184" i="1"/>
  <c r="F184" i="1"/>
  <c r="G184" i="1"/>
  <c r="E176" i="1"/>
  <c r="F176" i="1"/>
  <c r="G176" i="1"/>
  <c r="E168" i="1"/>
  <c r="F168" i="1"/>
  <c r="G168" i="1"/>
  <c r="E160" i="1"/>
  <c r="F160" i="1"/>
  <c r="G160" i="1"/>
  <c r="E152" i="1"/>
  <c r="F152" i="1"/>
  <c r="G152" i="1"/>
  <c r="E144" i="1"/>
  <c r="F144" i="1"/>
  <c r="G144" i="1"/>
  <c r="E136" i="1"/>
  <c r="F136" i="1"/>
  <c r="G136" i="1"/>
  <c r="E128" i="1"/>
  <c r="F128" i="1"/>
  <c r="G128" i="1"/>
  <c r="E120" i="1"/>
  <c r="F120" i="1"/>
  <c r="G120" i="1"/>
  <c r="E112" i="1"/>
  <c r="F112" i="1"/>
  <c r="G112" i="1"/>
  <c r="E403" i="1"/>
  <c r="E339" i="1"/>
  <c r="F9994" i="1"/>
  <c r="G9994" i="1"/>
  <c r="F9986" i="1"/>
  <c r="G9986" i="1"/>
  <c r="F9978" i="1"/>
  <c r="G9978" i="1"/>
  <c r="F9970" i="1"/>
  <c r="G9970" i="1"/>
  <c r="F9962" i="1"/>
  <c r="G9962" i="1"/>
  <c r="F9954" i="1"/>
  <c r="G9954" i="1"/>
  <c r="F9946" i="1"/>
  <c r="G9946" i="1"/>
  <c r="F9938" i="1"/>
  <c r="G9938" i="1"/>
  <c r="F9930" i="1"/>
  <c r="G9930" i="1"/>
  <c r="F9922" i="1"/>
  <c r="G9922" i="1"/>
  <c r="F9914" i="1"/>
  <c r="G9914" i="1"/>
  <c r="F9906" i="1"/>
  <c r="G9906" i="1"/>
  <c r="F9898" i="1"/>
  <c r="G9898" i="1"/>
  <c r="F9890" i="1"/>
  <c r="G9890" i="1"/>
  <c r="F9882" i="1"/>
  <c r="G9882" i="1"/>
  <c r="F9874" i="1"/>
  <c r="G9874" i="1"/>
  <c r="F9866" i="1"/>
  <c r="G9866" i="1"/>
  <c r="F9858" i="1"/>
  <c r="G9858" i="1"/>
  <c r="F9850" i="1"/>
  <c r="G9850" i="1"/>
  <c r="F9842" i="1"/>
  <c r="G9842" i="1"/>
  <c r="F9834" i="1"/>
  <c r="G9834" i="1"/>
  <c r="F9826" i="1"/>
  <c r="G9826" i="1"/>
  <c r="F9818" i="1"/>
  <c r="G9818" i="1"/>
  <c r="F9810" i="1"/>
  <c r="G9810" i="1"/>
  <c r="F9802" i="1"/>
  <c r="G9802" i="1"/>
  <c r="F9794" i="1"/>
  <c r="G9794" i="1"/>
  <c r="F9786" i="1"/>
  <c r="G9786" i="1"/>
  <c r="F9778" i="1"/>
  <c r="G9778" i="1"/>
  <c r="F9770" i="1"/>
  <c r="G9770" i="1"/>
  <c r="F9762" i="1"/>
  <c r="G9762" i="1"/>
  <c r="F9754" i="1"/>
  <c r="G9754" i="1"/>
  <c r="F9746" i="1"/>
  <c r="G9746" i="1"/>
  <c r="F9738" i="1"/>
  <c r="G9738" i="1"/>
  <c r="F9730" i="1"/>
  <c r="G9730" i="1"/>
  <c r="F9722" i="1"/>
  <c r="G9722" i="1"/>
  <c r="F9714" i="1"/>
  <c r="G9714" i="1"/>
  <c r="F9706" i="1"/>
  <c r="G9706" i="1"/>
  <c r="F9698" i="1"/>
  <c r="G9698" i="1"/>
  <c r="F9690" i="1"/>
  <c r="G9690" i="1"/>
  <c r="F9682" i="1"/>
  <c r="G9682" i="1"/>
  <c r="F9674" i="1"/>
  <c r="G9674" i="1"/>
  <c r="F9666" i="1"/>
  <c r="G9666" i="1"/>
  <c r="F9658" i="1"/>
  <c r="G9658" i="1"/>
  <c r="F9650" i="1"/>
  <c r="G9650" i="1"/>
  <c r="F9642" i="1"/>
  <c r="G9642" i="1"/>
  <c r="F9634" i="1"/>
  <c r="G9634" i="1"/>
  <c r="F9626" i="1"/>
  <c r="G9626" i="1"/>
  <c r="F9618" i="1"/>
  <c r="G9618" i="1"/>
  <c r="F9610" i="1"/>
  <c r="G9610" i="1"/>
  <c r="F9602" i="1"/>
  <c r="G9602" i="1"/>
  <c r="F9594" i="1"/>
  <c r="G9594" i="1"/>
  <c r="F9586" i="1"/>
  <c r="G9586" i="1"/>
  <c r="F9578" i="1"/>
  <c r="G9578" i="1"/>
  <c r="F9570" i="1"/>
  <c r="G9570" i="1"/>
  <c r="F9562" i="1"/>
  <c r="G9562" i="1"/>
  <c r="F9554" i="1"/>
  <c r="G9554" i="1"/>
  <c r="F9546" i="1"/>
  <c r="G9546" i="1"/>
  <c r="F9538" i="1"/>
  <c r="G9538" i="1"/>
  <c r="F9530" i="1"/>
  <c r="G9530" i="1"/>
  <c r="F9522" i="1"/>
  <c r="G9522" i="1"/>
  <c r="F9514" i="1"/>
  <c r="G9514" i="1"/>
  <c r="F9506" i="1"/>
  <c r="G9506" i="1"/>
  <c r="F9498" i="1"/>
  <c r="G9498" i="1"/>
  <c r="F9490" i="1"/>
  <c r="G9490" i="1"/>
  <c r="F9482" i="1"/>
  <c r="G9482" i="1"/>
  <c r="F9474" i="1"/>
  <c r="G9474" i="1"/>
  <c r="F9466" i="1"/>
  <c r="G9466" i="1"/>
  <c r="F9458" i="1"/>
  <c r="G9458" i="1"/>
  <c r="F9450" i="1"/>
  <c r="G9450" i="1"/>
  <c r="F9442" i="1"/>
  <c r="G9442" i="1"/>
  <c r="F9434" i="1"/>
  <c r="G9434" i="1"/>
  <c r="F9426" i="1"/>
  <c r="G9426" i="1"/>
  <c r="F9418" i="1"/>
  <c r="G9418" i="1"/>
  <c r="F9410" i="1"/>
  <c r="G9410" i="1"/>
  <c r="F9402" i="1"/>
  <c r="G9402" i="1"/>
  <c r="F9394" i="1"/>
  <c r="G9394" i="1"/>
  <c r="F9386" i="1"/>
  <c r="G9386" i="1"/>
  <c r="F9378" i="1"/>
  <c r="G9378" i="1"/>
  <c r="F9370" i="1"/>
  <c r="G9370" i="1"/>
  <c r="F9362" i="1"/>
  <c r="G9362" i="1"/>
  <c r="F9354" i="1"/>
  <c r="G9354" i="1"/>
  <c r="F9346" i="1"/>
  <c r="G9346" i="1"/>
  <c r="F9338" i="1"/>
  <c r="G9338" i="1"/>
  <c r="F9330" i="1"/>
  <c r="G9330" i="1"/>
  <c r="F9322" i="1"/>
  <c r="G9322" i="1"/>
  <c r="F9314" i="1"/>
  <c r="G9314" i="1"/>
  <c r="F9306" i="1"/>
  <c r="G9306" i="1"/>
  <c r="F9298" i="1"/>
  <c r="G9298" i="1"/>
  <c r="F9290" i="1"/>
  <c r="G9290" i="1"/>
  <c r="F9282" i="1"/>
  <c r="G9282" i="1"/>
  <c r="F9274" i="1"/>
  <c r="G9274" i="1"/>
  <c r="F9266" i="1"/>
  <c r="G9266" i="1"/>
  <c r="F9258" i="1"/>
  <c r="G9258" i="1"/>
  <c r="F9250" i="1"/>
  <c r="G9250" i="1"/>
  <c r="F9242" i="1"/>
  <c r="G9242" i="1"/>
  <c r="F9234" i="1"/>
  <c r="G9234" i="1"/>
  <c r="F9226" i="1"/>
  <c r="G9226" i="1"/>
  <c r="F9218" i="1"/>
  <c r="G9218" i="1"/>
  <c r="F9210" i="1"/>
  <c r="G9210" i="1"/>
  <c r="F9202" i="1"/>
  <c r="G9202" i="1"/>
  <c r="F9194" i="1"/>
  <c r="G9194" i="1"/>
  <c r="F9186" i="1"/>
  <c r="G9186" i="1"/>
  <c r="F9178" i="1"/>
  <c r="G9178" i="1"/>
  <c r="F9170" i="1"/>
  <c r="G9170" i="1"/>
  <c r="F9162" i="1"/>
  <c r="G9162" i="1"/>
  <c r="F9154" i="1"/>
  <c r="G9154" i="1"/>
  <c r="F9146" i="1"/>
  <c r="G9146" i="1"/>
  <c r="F9138" i="1"/>
  <c r="G9138" i="1"/>
  <c r="F9130" i="1"/>
  <c r="G9130" i="1"/>
  <c r="F9122" i="1"/>
  <c r="G9122" i="1"/>
  <c r="F9114" i="1"/>
  <c r="G9114" i="1"/>
  <c r="F9106" i="1"/>
  <c r="G9106" i="1"/>
  <c r="F9098" i="1"/>
  <c r="G9098" i="1"/>
  <c r="F9090" i="1"/>
  <c r="G9090" i="1"/>
  <c r="F9082" i="1"/>
  <c r="G9082" i="1"/>
  <c r="F9074" i="1"/>
  <c r="G9074" i="1"/>
  <c r="F9066" i="1"/>
  <c r="G9066" i="1"/>
  <c r="F9058" i="1"/>
  <c r="G9058" i="1"/>
  <c r="F9050" i="1"/>
  <c r="G9050" i="1"/>
  <c r="F9042" i="1"/>
  <c r="G9042" i="1"/>
  <c r="F9034" i="1"/>
  <c r="G9034" i="1"/>
  <c r="F9026" i="1"/>
  <c r="G9026" i="1"/>
  <c r="F9018" i="1"/>
  <c r="G9018" i="1"/>
  <c r="F9010" i="1"/>
  <c r="G9010" i="1"/>
  <c r="F9002" i="1"/>
  <c r="G9002" i="1"/>
  <c r="F8994" i="1"/>
  <c r="G8994" i="1"/>
  <c r="F8986" i="1"/>
  <c r="G8986" i="1"/>
  <c r="F8978" i="1"/>
  <c r="G8978" i="1"/>
  <c r="F8970" i="1"/>
  <c r="G8970" i="1"/>
  <c r="F8962" i="1"/>
  <c r="G8962" i="1"/>
  <c r="F8954" i="1"/>
  <c r="G8954" i="1"/>
  <c r="F8946" i="1"/>
  <c r="G8946" i="1"/>
  <c r="F8938" i="1"/>
  <c r="G8938" i="1"/>
  <c r="F8930" i="1"/>
  <c r="G8930" i="1"/>
  <c r="F8922" i="1"/>
  <c r="G8922" i="1"/>
  <c r="F8914" i="1"/>
  <c r="G8914" i="1"/>
  <c r="F8906" i="1"/>
  <c r="G8906" i="1"/>
  <c r="F8898" i="1"/>
  <c r="G8898" i="1"/>
  <c r="F8890" i="1"/>
  <c r="G8890" i="1"/>
  <c r="F8882" i="1"/>
  <c r="G8882" i="1"/>
  <c r="F8874" i="1"/>
  <c r="G8874" i="1"/>
  <c r="F8866" i="1"/>
  <c r="G8866" i="1"/>
  <c r="F8858" i="1"/>
  <c r="G8858" i="1"/>
  <c r="F8850" i="1"/>
  <c r="G8850" i="1"/>
  <c r="F8842" i="1"/>
  <c r="G8842" i="1"/>
  <c r="F8834" i="1"/>
  <c r="G8834" i="1"/>
  <c r="F8826" i="1"/>
  <c r="G8826" i="1"/>
  <c r="F8818" i="1"/>
  <c r="G8818" i="1"/>
  <c r="F8810" i="1"/>
  <c r="G8810" i="1"/>
  <c r="F8802" i="1"/>
  <c r="G8802" i="1"/>
  <c r="F8794" i="1"/>
  <c r="G8794" i="1"/>
  <c r="F8786" i="1"/>
  <c r="G8786" i="1"/>
  <c r="F8778" i="1"/>
  <c r="G8778" i="1"/>
  <c r="F8770" i="1"/>
  <c r="G8770" i="1"/>
  <c r="F8762" i="1"/>
  <c r="G8762" i="1"/>
  <c r="F8754" i="1"/>
  <c r="G8754" i="1"/>
  <c r="F8746" i="1"/>
  <c r="G8746" i="1"/>
  <c r="F8738" i="1"/>
  <c r="G8738" i="1"/>
  <c r="F8730" i="1"/>
  <c r="G8730" i="1"/>
  <c r="F8722" i="1"/>
  <c r="G8722" i="1"/>
  <c r="F8714" i="1"/>
  <c r="G8714" i="1"/>
  <c r="F8706" i="1"/>
  <c r="G8706" i="1"/>
  <c r="F8698" i="1"/>
  <c r="G8698" i="1"/>
  <c r="F8690" i="1"/>
  <c r="G8690" i="1"/>
  <c r="F8682" i="1"/>
  <c r="G8682" i="1"/>
  <c r="F8674" i="1"/>
  <c r="G8674" i="1"/>
  <c r="F8666" i="1"/>
  <c r="G8666" i="1"/>
  <c r="F8658" i="1"/>
  <c r="G8658" i="1"/>
  <c r="F8650" i="1"/>
  <c r="G8650" i="1"/>
  <c r="F8642" i="1"/>
  <c r="G8642" i="1"/>
  <c r="F8634" i="1"/>
  <c r="G8634" i="1"/>
  <c r="F8626" i="1"/>
  <c r="G8626" i="1"/>
  <c r="F8618" i="1"/>
  <c r="G8618" i="1"/>
  <c r="F8610" i="1"/>
  <c r="G8610" i="1"/>
  <c r="F8602" i="1"/>
  <c r="G8602" i="1"/>
  <c r="F8594" i="1"/>
  <c r="G8594" i="1"/>
  <c r="F8586" i="1"/>
  <c r="G8586" i="1"/>
  <c r="F8578" i="1"/>
  <c r="G8578" i="1"/>
  <c r="F8570" i="1"/>
  <c r="G8570" i="1"/>
  <c r="F8562" i="1"/>
  <c r="G8562" i="1"/>
  <c r="F8554" i="1"/>
  <c r="G8554" i="1"/>
  <c r="F8546" i="1"/>
  <c r="G8546" i="1"/>
  <c r="F8538" i="1"/>
  <c r="G8538" i="1"/>
  <c r="F8530" i="1"/>
  <c r="G8530" i="1"/>
  <c r="F8522" i="1"/>
  <c r="G8522" i="1"/>
  <c r="F8514" i="1"/>
  <c r="G8514" i="1"/>
  <c r="F8506" i="1"/>
  <c r="G8506" i="1"/>
  <c r="F8498" i="1"/>
  <c r="G8498" i="1"/>
  <c r="F8490" i="1"/>
  <c r="G8490" i="1"/>
  <c r="F8482" i="1"/>
  <c r="G8482" i="1"/>
  <c r="F8474" i="1"/>
  <c r="G8474" i="1"/>
  <c r="F8466" i="1"/>
  <c r="G8466" i="1"/>
  <c r="F8458" i="1"/>
  <c r="G8458" i="1"/>
  <c r="F8450" i="1"/>
  <c r="G8450" i="1"/>
  <c r="F8442" i="1"/>
  <c r="G8442" i="1"/>
  <c r="F8434" i="1"/>
  <c r="G8434" i="1"/>
  <c r="F8426" i="1"/>
  <c r="G8426" i="1"/>
  <c r="F8418" i="1"/>
  <c r="G8418" i="1"/>
  <c r="F8410" i="1"/>
  <c r="G8410" i="1"/>
  <c r="F8402" i="1"/>
  <c r="G8402" i="1"/>
  <c r="F8394" i="1"/>
  <c r="G8394" i="1"/>
  <c r="F8386" i="1"/>
  <c r="G8386" i="1"/>
  <c r="F8378" i="1"/>
  <c r="G8378" i="1"/>
  <c r="F8370" i="1"/>
  <c r="G8370" i="1"/>
  <c r="F8362" i="1"/>
  <c r="G8362" i="1"/>
  <c r="G8354" i="1"/>
  <c r="F8354" i="1"/>
  <c r="F8346" i="1"/>
  <c r="G8346" i="1"/>
  <c r="F8338" i="1"/>
  <c r="G8338" i="1"/>
  <c r="F8330" i="1"/>
  <c r="G8330" i="1"/>
  <c r="F8322" i="1"/>
  <c r="G8322" i="1"/>
  <c r="F8314" i="1"/>
  <c r="G8314" i="1"/>
  <c r="F8306" i="1"/>
  <c r="G8306" i="1"/>
  <c r="G8298" i="1"/>
  <c r="F8298" i="1"/>
  <c r="G8290" i="1"/>
  <c r="F8290" i="1"/>
  <c r="F8282" i="1"/>
  <c r="G8282" i="1"/>
  <c r="F8274" i="1"/>
  <c r="G8274" i="1"/>
  <c r="G8266" i="1"/>
  <c r="F8266" i="1"/>
  <c r="G8258" i="1"/>
  <c r="F8258" i="1"/>
  <c r="F8250" i="1"/>
  <c r="G8250" i="1"/>
  <c r="F8242" i="1"/>
  <c r="G8242" i="1"/>
  <c r="G8234" i="1"/>
  <c r="F8234" i="1"/>
  <c r="G8226" i="1"/>
  <c r="F8226" i="1"/>
  <c r="F8218" i="1"/>
  <c r="G8218" i="1"/>
  <c r="F8210" i="1"/>
  <c r="G8210" i="1"/>
  <c r="F8202" i="1"/>
  <c r="G8202" i="1"/>
  <c r="F8194" i="1"/>
  <c r="G8194" i="1"/>
  <c r="F8186" i="1"/>
  <c r="G8186" i="1"/>
  <c r="F8178" i="1"/>
  <c r="G8178" i="1"/>
  <c r="G8170" i="1"/>
  <c r="F8170" i="1"/>
  <c r="G8162" i="1"/>
  <c r="F8162" i="1"/>
  <c r="F8154" i="1"/>
  <c r="G8154" i="1"/>
  <c r="F8146" i="1"/>
  <c r="G8146" i="1"/>
  <c r="G8138" i="1"/>
  <c r="F8138" i="1"/>
  <c r="G8130" i="1"/>
  <c r="F8130" i="1"/>
  <c r="F8122" i="1"/>
  <c r="G8122" i="1"/>
  <c r="F8114" i="1"/>
  <c r="G8114" i="1"/>
  <c r="G8106" i="1"/>
  <c r="F8106" i="1"/>
  <c r="G8098" i="1"/>
  <c r="F8098" i="1"/>
  <c r="F8090" i="1"/>
  <c r="G8090" i="1"/>
  <c r="F8082" i="1"/>
  <c r="G8082" i="1"/>
  <c r="F8074" i="1"/>
  <c r="G8074" i="1"/>
  <c r="F8066" i="1"/>
  <c r="G8066" i="1"/>
  <c r="F8058" i="1"/>
  <c r="G8058" i="1"/>
  <c r="F8050" i="1"/>
  <c r="G8050" i="1"/>
  <c r="G8042" i="1"/>
  <c r="F8042" i="1"/>
  <c r="G8034" i="1"/>
  <c r="F8034" i="1"/>
  <c r="F8026" i="1"/>
  <c r="G8026" i="1"/>
  <c r="F8018" i="1"/>
  <c r="G8018" i="1"/>
  <c r="G8010" i="1"/>
  <c r="F8010" i="1"/>
  <c r="G8002" i="1"/>
  <c r="F8002" i="1"/>
  <c r="F7994" i="1"/>
  <c r="G7994" i="1"/>
  <c r="F7986" i="1"/>
  <c r="G7986" i="1"/>
  <c r="G7978" i="1"/>
  <c r="F7978" i="1"/>
  <c r="G7970" i="1"/>
  <c r="F7970" i="1"/>
  <c r="F7962" i="1"/>
  <c r="G7962" i="1"/>
  <c r="F7954" i="1"/>
  <c r="G7954" i="1"/>
  <c r="F7946" i="1"/>
  <c r="G7946" i="1"/>
  <c r="F7938" i="1"/>
  <c r="G7938" i="1"/>
  <c r="F7930" i="1"/>
  <c r="G7930" i="1"/>
  <c r="F7922" i="1"/>
  <c r="G7922" i="1"/>
  <c r="G7914" i="1"/>
  <c r="F7914" i="1"/>
  <c r="G7906" i="1"/>
  <c r="F7906" i="1"/>
  <c r="F7898" i="1"/>
  <c r="G7898" i="1"/>
  <c r="F7890" i="1"/>
  <c r="G7890" i="1"/>
  <c r="G7882" i="1"/>
  <c r="F7882" i="1"/>
  <c r="G7874" i="1"/>
  <c r="F7874" i="1"/>
  <c r="F7866" i="1"/>
  <c r="G7866" i="1"/>
  <c r="F7858" i="1"/>
  <c r="G7858" i="1"/>
  <c r="G7850" i="1"/>
  <c r="F7850" i="1"/>
  <c r="G7842" i="1"/>
  <c r="F7842" i="1"/>
  <c r="F7834" i="1"/>
  <c r="G7834" i="1"/>
  <c r="F7826" i="1"/>
  <c r="G7826" i="1"/>
  <c r="F7818" i="1"/>
  <c r="G7818" i="1"/>
  <c r="F7810" i="1"/>
  <c r="G7810" i="1"/>
  <c r="F7802" i="1"/>
  <c r="G7802" i="1"/>
  <c r="F7794" i="1"/>
  <c r="G7794" i="1"/>
  <c r="G7786" i="1"/>
  <c r="F7786" i="1"/>
  <c r="G7778" i="1"/>
  <c r="F7778" i="1"/>
  <c r="F7770" i="1"/>
  <c r="G7770" i="1"/>
  <c r="F7762" i="1"/>
  <c r="G7762" i="1"/>
  <c r="G7754" i="1"/>
  <c r="F7754" i="1"/>
  <c r="G7746" i="1"/>
  <c r="F7746" i="1"/>
  <c r="F7738" i="1"/>
  <c r="G7738" i="1"/>
  <c r="F7730" i="1"/>
  <c r="G7730" i="1"/>
  <c r="G7722" i="1"/>
  <c r="F7722" i="1"/>
  <c r="G7714" i="1"/>
  <c r="F7714" i="1"/>
  <c r="F7706" i="1"/>
  <c r="G7706" i="1"/>
  <c r="F7698" i="1"/>
  <c r="G7698" i="1"/>
  <c r="F7690" i="1"/>
  <c r="G7690" i="1"/>
  <c r="F7682" i="1"/>
  <c r="G7682" i="1"/>
  <c r="F7674" i="1"/>
  <c r="G7674" i="1"/>
  <c r="F7666" i="1"/>
  <c r="G7666" i="1"/>
  <c r="G7658" i="1"/>
  <c r="F7658" i="1"/>
  <c r="G7650" i="1"/>
  <c r="F7650" i="1"/>
  <c r="F7642" i="1"/>
  <c r="G7642" i="1"/>
  <c r="F7634" i="1"/>
  <c r="G7634" i="1"/>
  <c r="G7626" i="1"/>
  <c r="F7626" i="1"/>
  <c r="G7618" i="1"/>
  <c r="F7618" i="1"/>
  <c r="F7610" i="1"/>
  <c r="G7610" i="1"/>
  <c r="F7602" i="1"/>
  <c r="G7602" i="1"/>
  <c r="G7594" i="1"/>
  <c r="F7594" i="1"/>
  <c r="G7586" i="1"/>
  <c r="F7586" i="1"/>
  <c r="F7578" i="1"/>
  <c r="G7578" i="1"/>
  <c r="F7570" i="1"/>
  <c r="G7570" i="1"/>
  <c r="F7562" i="1"/>
  <c r="G7562" i="1"/>
  <c r="F7554" i="1"/>
  <c r="G7554" i="1"/>
  <c r="F7546" i="1"/>
  <c r="G7546" i="1"/>
  <c r="F7538" i="1"/>
  <c r="G7538" i="1"/>
  <c r="G7530" i="1"/>
  <c r="F7530" i="1"/>
  <c r="G7522" i="1"/>
  <c r="F7522" i="1"/>
  <c r="F7514" i="1"/>
  <c r="G7514" i="1"/>
  <c r="F7506" i="1"/>
  <c r="G7506" i="1"/>
  <c r="G7498" i="1"/>
  <c r="F7498" i="1"/>
  <c r="G7490" i="1"/>
  <c r="F7490" i="1"/>
  <c r="F7482" i="1"/>
  <c r="G7482" i="1"/>
  <c r="F7474" i="1"/>
  <c r="G7474" i="1"/>
  <c r="G7466" i="1"/>
  <c r="F7466" i="1"/>
  <c r="G7458" i="1"/>
  <c r="F7458" i="1"/>
  <c r="F7450" i="1"/>
  <c r="G7450" i="1"/>
  <c r="F7442" i="1"/>
  <c r="G7442" i="1"/>
  <c r="F7434" i="1"/>
  <c r="G7434" i="1"/>
  <c r="F7426" i="1"/>
  <c r="G7426" i="1"/>
  <c r="F7418" i="1"/>
  <c r="G7418" i="1"/>
  <c r="F7410" i="1"/>
  <c r="G7410" i="1"/>
  <c r="G7402" i="1"/>
  <c r="F7402" i="1"/>
  <c r="G7394" i="1"/>
  <c r="F7394" i="1"/>
  <c r="F7386" i="1"/>
  <c r="G7386" i="1"/>
  <c r="F7378" i="1"/>
  <c r="G7378" i="1"/>
  <c r="G7370" i="1"/>
  <c r="F7370" i="1"/>
  <c r="G7362" i="1"/>
  <c r="F7362" i="1"/>
  <c r="F7354" i="1"/>
  <c r="G7354" i="1"/>
  <c r="F7346" i="1"/>
  <c r="G7346" i="1"/>
  <c r="G7338" i="1"/>
  <c r="F7338" i="1"/>
  <c r="G7330" i="1"/>
  <c r="F7330" i="1"/>
  <c r="F7322" i="1"/>
  <c r="G7322" i="1"/>
  <c r="F7314" i="1"/>
  <c r="G7314" i="1"/>
  <c r="F7306" i="1"/>
  <c r="G7306" i="1"/>
  <c r="F7298" i="1"/>
  <c r="G7298" i="1"/>
  <c r="F7290" i="1"/>
  <c r="G7290" i="1"/>
  <c r="F7282" i="1"/>
  <c r="G7282" i="1"/>
  <c r="G7274" i="1"/>
  <c r="F7274" i="1"/>
  <c r="G7266" i="1"/>
  <c r="F7266" i="1"/>
  <c r="F7258" i="1"/>
  <c r="G7258" i="1"/>
  <c r="F7250" i="1"/>
  <c r="G7250" i="1"/>
  <c r="G7242" i="1"/>
  <c r="F7242" i="1"/>
  <c r="G7234" i="1"/>
  <c r="F7234" i="1"/>
  <c r="F7226" i="1"/>
  <c r="G7226" i="1"/>
  <c r="F7218" i="1"/>
  <c r="G7218" i="1"/>
  <c r="G7210" i="1"/>
  <c r="F7210" i="1"/>
  <c r="G7202" i="1"/>
  <c r="F7202" i="1"/>
  <c r="F7194" i="1"/>
  <c r="G7194" i="1"/>
  <c r="F7186" i="1"/>
  <c r="G7186" i="1"/>
  <c r="F7178" i="1"/>
  <c r="G7178" i="1"/>
  <c r="F7170" i="1"/>
  <c r="G7170" i="1"/>
  <c r="F7162" i="1"/>
  <c r="G7162" i="1"/>
  <c r="F7154" i="1"/>
  <c r="G7154" i="1"/>
  <c r="G7146" i="1"/>
  <c r="F7146" i="1"/>
  <c r="G7138" i="1"/>
  <c r="F7138" i="1"/>
  <c r="F7130" i="1"/>
  <c r="G7130" i="1"/>
  <c r="F7122" i="1"/>
  <c r="G7122" i="1"/>
  <c r="G7114" i="1"/>
  <c r="F7114" i="1"/>
  <c r="G7106" i="1"/>
  <c r="F7106" i="1"/>
  <c r="F7098" i="1"/>
  <c r="G7098" i="1"/>
  <c r="F7090" i="1"/>
  <c r="G7090" i="1"/>
  <c r="G7082" i="1"/>
  <c r="F7082" i="1"/>
  <c r="G7074" i="1"/>
  <c r="F7074" i="1"/>
  <c r="F7066" i="1"/>
  <c r="G7066" i="1"/>
  <c r="F7058" i="1"/>
  <c r="G7058" i="1"/>
  <c r="F7050" i="1"/>
  <c r="G7050" i="1"/>
  <c r="F7042" i="1"/>
  <c r="G7042" i="1"/>
  <c r="F7034" i="1"/>
  <c r="G7034" i="1"/>
  <c r="F7026" i="1"/>
  <c r="G7026" i="1"/>
  <c r="G7018" i="1"/>
  <c r="F7018" i="1"/>
  <c r="G7010" i="1"/>
  <c r="F7010" i="1"/>
  <c r="F7002" i="1"/>
  <c r="G7002" i="1"/>
  <c r="F6994" i="1"/>
  <c r="G6994" i="1"/>
  <c r="G6986" i="1"/>
  <c r="F6986" i="1"/>
  <c r="G6978" i="1"/>
  <c r="F6978" i="1"/>
  <c r="F6970" i="1"/>
  <c r="G6970" i="1"/>
  <c r="F6962" i="1"/>
  <c r="G6962" i="1"/>
  <c r="G6954" i="1"/>
  <c r="F6954" i="1"/>
  <c r="G6946" i="1"/>
  <c r="F6946" i="1"/>
  <c r="F6938" i="1"/>
  <c r="G6938" i="1"/>
  <c r="F6930" i="1"/>
  <c r="G6930" i="1"/>
  <c r="F6922" i="1"/>
  <c r="G6922" i="1"/>
  <c r="F6914" i="1"/>
  <c r="G6914" i="1"/>
  <c r="F6906" i="1"/>
  <c r="G6906" i="1"/>
  <c r="F6898" i="1"/>
  <c r="G6898" i="1"/>
  <c r="G6890" i="1"/>
  <c r="F6890" i="1"/>
  <c r="G6882" i="1"/>
  <c r="F6882" i="1"/>
  <c r="F6874" i="1"/>
  <c r="G6874" i="1"/>
  <c r="F6866" i="1"/>
  <c r="G6866" i="1"/>
  <c r="G6858" i="1"/>
  <c r="F6858" i="1"/>
  <c r="G6850" i="1"/>
  <c r="F6850" i="1"/>
  <c r="F6842" i="1"/>
  <c r="G6842" i="1"/>
  <c r="F6834" i="1"/>
  <c r="G6834" i="1"/>
  <c r="G6826" i="1"/>
  <c r="F6826" i="1"/>
  <c r="G6818" i="1"/>
  <c r="F6818" i="1"/>
  <c r="F6810" i="1"/>
  <c r="G6810" i="1"/>
  <c r="F6802" i="1"/>
  <c r="G6802" i="1"/>
  <c r="F6794" i="1"/>
  <c r="G6794" i="1"/>
  <c r="F6786" i="1"/>
  <c r="G6786" i="1"/>
  <c r="F6778" i="1"/>
  <c r="G6778" i="1"/>
  <c r="F6770" i="1"/>
  <c r="G6770" i="1"/>
  <c r="G6762" i="1"/>
  <c r="F6762" i="1"/>
  <c r="G6754" i="1"/>
  <c r="F6754" i="1"/>
  <c r="F6746" i="1"/>
  <c r="G6746" i="1"/>
  <c r="F6738" i="1"/>
  <c r="G6738" i="1"/>
  <c r="G6730" i="1"/>
  <c r="F6730" i="1"/>
  <c r="G6722" i="1"/>
  <c r="F6722" i="1"/>
  <c r="F6714" i="1"/>
  <c r="G6714" i="1"/>
  <c r="F6706" i="1"/>
  <c r="G6706" i="1"/>
  <c r="G6698" i="1"/>
  <c r="F6698" i="1"/>
  <c r="G6690" i="1"/>
  <c r="F6690" i="1"/>
  <c r="F6682" i="1"/>
  <c r="G6682" i="1"/>
  <c r="F6674" i="1"/>
  <c r="G6674" i="1"/>
  <c r="F6666" i="1"/>
  <c r="G6666" i="1"/>
  <c r="F6658" i="1"/>
  <c r="G6658" i="1"/>
  <c r="F6650" i="1"/>
  <c r="G6650" i="1"/>
  <c r="F6642" i="1"/>
  <c r="G6642" i="1"/>
  <c r="G6634" i="1"/>
  <c r="F6634" i="1"/>
  <c r="G6626" i="1"/>
  <c r="F6626" i="1"/>
  <c r="F6618" i="1"/>
  <c r="G6618" i="1"/>
  <c r="F6610" i="1"/>
  <c r="G6610" i="1"/>
  <c r="G6602" i="1"/>
  <c r="F6602" i="1"/>
  <c r="G6594" i="1"/>
  <c r="F6594" i="1"/>
  <c r="F6586" i="1"/>
  <c r="G6586" i="1"/>
  <c r="F6578" i="1"/>
  <c r="G6578" i="1"/>
  <c r="G6570" i="1"/>
  <c r="F6570" i="1"/>
  <c r="G6562" i="1"/>
  <c r="F6562" i="1"/>
  <c r="F6554" i="1"/>
  <c r="G6554" i="1"/>
  <c r="F6546" i="1"/>
  <c r="G6546" i="1"/>
  <c r="F6538" i="1"/>
  <c r="G6538" i="1"/>
  <c r="F6530" i="1"/>
  <c r="G6530" i="1"/>
  <c r="F6522" i="1"/>
  <c r="G6522" i="1"/>
  <c r="F6514" i="1"/>
  <c r="G6514" i="1"/>
  <c r="G6506" i="1"/>
  <c r="F6506" i="1"/>
  <c r="G6498" i="1"/>
  <c r="F6498" i="1"/>
  <c r="F6490" i="1"/>
  <c r="G6490" i="1"/>
  <c r="F6482" i="1"/>
  <c r="G6482" i="1"/>
  <c r="G6474" i="1"/>
  <c r="F6474" i="1"/>
  <c r="G6466" i="1"/>
  <c r="F6466" i="1"/>
  <c r="F6458" i="1"/>
  <c r="G6458" i="1"/>
  <c r="F6450" i="1"/>
  <c r="G6450" i="1"/>
  <c r="G6442" i="1"/>
  <c r="F6442" i="1"/>
  <c r="G6434" i="1"/>
  <c r="F6434" i="1"/>
  <c r="F6426" i="1"/>
  <c r="G6426" i="1"/>
  <c r="F6418" i="1"/>
  <c r="G6418" i="1"/>
  <c r="F6410" i="1"/>
  <c r="G6410" i="1"/>
  <c r="F6402" i="1"/>
  <c r="G6402" i="1"/>
  <c r="F6394" i="1"/>
  <c r="G6394" i="1"/>
  <c r="F6386" i="1"/>
  <c r="G6386" i="1"/>
  <c r="G6378" i="1"/>
  <c r="F6378" i="1"/>
  <c r="G6370" i="1"/>
  <c r="F6370" i="1"/>
  <c r="F6362" i="1"/>
  <c r="G6362" i="1"/>
  <c r="F6354" i="1"/>
  <c r="G6354" i="1"/>
  <c r="G6346" i="1"/>
  <c r="F6346" i="1"/>
  <c r="G6338" i="1"/>
  <c r="F6338" i="1"/>
  <c r="F6330" i="1"/>
  <c r="G6330" i="1"/>
  <c r="F6322" i="1"/>
  <c r="G6322" i="1"/>
  <c r="G6314" i="1"/>
  <c r="F6314" i="1"/>
  <c r="G6306" i="1"/>
  <c r="F6306" i="1"/>
  <c r="F6298" i="1"/>
  <c r="G6298" i="1"/>
  <c r="F6290" i="1"/>
  <c r="G6290" i="1"/>
  <c r="F6282" i="1"/>
  <c r="G6282" i="1"/>
  <c r="F6274" i="1"/>
  <c r="G6274" i="1"/>
  <c r="F6266" i="1"/>
  <c r="G6266" i="1"/>
  <c r="F6258" i="1"/>
  <c r="G6258" i="1"/>
  <c r="F6250" i="1"/>
  <c r="G6250" i="1"/>
  <c r="F6242" i="1"/>
  <c r="G6242" i="1"/>
  <c r="F6234" i="1"/>
  <c r="G6234" i="1"/>
  <c r="F6226" i="1"/>
  <c r="G6226" i="1"/>
  <c r="F6218" i="1"/>
  <c r="G6218" i="1"/>
  <c r="F6210" i="1"/>
  <c r="G6210" i="1"/>
  <c r="F6202" i="1"/>
  <c r="G6202" i="1"/>
  <c r="F6194" i="1"/>
  <c r="G6194" i="1"/>
  <c r="F6186" i="1"/>
  <c r="G6186" i="1"/>
  <c r="F6178" i="1"/>
  <c r="G6178" i="1"/>
  <c r="F6170" i="1"/>
  <c r="G6170" i="1"/>
  <c r="F6162" i="1"/>
  <c r="G6162" i="1"/>
  <c r="F6154" i="1"/>
  <c r="G6154" i="1"/>
  <c r="F6146" i="1"/>
  <c r="G6146" i="1"/>
  <c r="F6138" i="1"/>
  <c r="G6138" i="1"/>
  <c r="F6130" i="1"/>
  <c r="G6130" i="1"/>
  <c r="F6122" i="1"/>
  <c r="G6122" i="1"/>
  <c r="F6114" i="1"/>
  <c r="G6114" i="1"/>
  <c r="F6106" i="1"/>
  <c r="G6106" i="1"/>
  <c r="F6098" i="1"/>
  <c r="G6098" i="1"/>
  <c r="F6090" i="1"/>
  <c r="G6090" i="1"/>
  <c r="F6082" i="1"/>
  <c r="G6082" i="1"/>
  <c r="F6074" i="1"/>
  <c r="G6074" i="1"/>
  <c r="F6066" i="1"/>
  <c r="G6066" i="1"/>
  <c r="F6058" i="1"/>
  <c r="G6058" i="1"/>
  <c r="F6050" i="1"/>
  <c r="G6050" i="1"/>
  <c r="F6042" i="1"/>
  <c r="G6042" i="1"/>
  <c r="F6034" i="1"/>
  <c r="G6034" i="1"/>
  <c r="F6026" i="1"/>
  <c r="G6026" i="1"/>
  <c r="F6018" i="1"/>
  <c r="G6018" i="1"/>
  <c r="F6010" i="1"/>
  <c r="G6010" i="1"/>
  <c r="F6002" i="1"/>
  <c r="G6002" i="1"/>
  <c r="F5994" i="1"/>
  <c r="G5994" i="1"/>
  <c r="F5986" i="1"/>
  <c r="G5986" i="1"/>
  <c r="F5978" i="1"/>
  <c r="G5978" i="1"/>
  <c r="F5970" i="1"/>
  <c r="G5970" i="1"/>
  <c r="F5962" i="1"/>
  <c r="G5962" i="1"/>
  <c r="F5954" i="1"/>
  <c r="G5954" i="1"/>
  <c r="F5946" i="1"/>
  <c r="G5946" i="1"/>
  <c r="F5938" i="1"/>
  <c r="G5938" i="1"/>
  <c r="F5930" i="1"/>
  <c r="G5930" i="1"/>
  <c r="F5922" i="1"/>
  <c r="G5922" i="1"/>
  <c r="F5914" i="1"/>
  <c r="G5914" i="1"/>
  <c r="F5906" i="1"/>
  <c r="G5906" i="1"/>
  <c r="F5898" i="1"/>
  <c r="G5898" i="1"/>
  <c r="F5890" i="1"/>
  <c r="G5890" i="1"/>
  <c r="F5882" i="1"/>
  <c r="G5882" i="1"/>
  <c r="F5874" i="1"/>
  <c r="G5874" i="1"/>
  <c r="F5866" i="1"/>
  <c r="G5866" i="1"/>
  <c r="F5858" i="1"/>
  <c r="G5858" i="1"/>
  <c r="F5850" i="1"/>
  <c r="G5850" i="1"/>
  <c r="F5842" i="1"/>
  <c r="G5842" i="1"/>
  <c r="F5834" i="1"/>
  <c r="G5834" i="1"/>
  <c r="F5826" i="1"/>
  <c r="G5826" i="1"/>
  <c r="F5818" i="1"/>
  <c r="G5818" i="1"/>
  <c r="F5810" i="1"/>
  <c r="G5810" i="1"/>
  <c r="F5802" i="1"/>
  <c r="G5802" i="1"/>
  <c r="F5794" i="1"/>
  <c r="G5794" i="1"/>
  <c r="F5786" i="1"/>
  <c r="G5786" i="1"/>
  <c r="F5778" i="1"/>
  <c r="G5778" i="1"/>
  <c r="F5770" i="1"/>
  <c r="G5770" i="1"/>
  <c r="F5762" i="1"/>
  <c r="G5762" i="1"/>
  <c r="F5754" i="1"/>
  <c r="G5754" i="1"/>
  <c r="F5746" i="1"/>
  <c r="G5746" i="1"/>
  <c r="F5738" i="1"/>
  <c r="G5738" i="1"/>
  <c r="F5730" i="1"/>
  <c r="G5730" i="1"/>
  <c r="F5722" i="1"/>
  <c r="G5722" i="1"/>
  <c r="F5714" i="1"/>
  <c r="G5714" i="1"/>
  <c r="F5706" i="1"/>
  <c r="G5706" i="1"/>
  <c r="F5698" i="1"/>
  <c r="G5698" i="1"/>
  <c r="F5690" i="1"/>
  <c r="G5690" i="1"/>
  <c r="F5682" i="1"/>
  <c r="G5682" i="1"/>
  <c r="F5674" i="1"/>
  <c r="G5674" i="1"/>
  <c r="F5666" i="1"/>
  <c r="G5666" i="1"/>
  <c r="F5658" i="1"/>
  <c r="G5658" i="1"/>
  <c r="F5650" i="1"/>
  <c r="G5650" i="1"/>
  <c r="F5642" i="1"/>
  <c r="G5642" i="1"/>
  <c r="F5634" i="1"/>
  <c r="G5634" i="1"/>
  <c r="F5626" i="1"/>
  <c r="G5626" i="1"/>
  <c r="F5618" i="1"/>
  <c r="G5618" i="1"/>
  <c r="F5610" i="1"/>
  <c r="G5610" i="1"/>
  <c r="F5602" i="1"/>
  <c r="G5602" i="1"/>
  <c r="F5594" i="1"/>
  <c r="G5594" i="1"/>
  <c r="F5586" i="1"/>
  <c r="G5586" i="1"/>
  <c r="F5578" i="1"/>
  <c r="G5578" i="1"/>
  <c r="F5570" i="1"/>
  <c r="G5570" i="1"/>
  <c r="F5562" i="1"/>
  <c r="G5562" i="1"/>
  <c r="F5554" i="1"/>
  <c r="G5554" i="1"/>
  <c r="F5546" i="1"/>
  <c r="G5546" i="1"/>
  <c r="F5538" i="1"/>
  <c r="G5538" i="1"/>
  <c r="F5530" i="1"/>
  <c r="G5530" i="1"/>
  <c r="F5522" i="1"/>
  <c r="G5522" i="1"/>
  <c r="F5514" i="1"/>
  <c r="G5514" i="1"/>
  <c r="F5506" i="1"/>
  <c r="G5506" i="1"/>
  <c r="F5498" i="1"/>
  <c r="G5498" i="1"/>
  <c r="F5490" i="1"/>
  <c r="G5490" i="1"/>
  <c r="F5482" i="1"/>
  <c r="G5482" i="1"/>
  <c r="F5474" i="1"/>
  <c r="G5474" i="1"/>
  <c r="F5466" i="1"/>
  <c r="G5466" i="1"/>
  <c r="F5458" i="1"/>
  <c r="G5458" i="1"/>
  <c r="F5450" i="1"/>
  <c r="G5450" i="1"/>
  <c r="F5442" i="1"/>
  <c r="G5442" i="1"/>
  <c r="F5434" i="1"/>
  <c r="G5434" i="1"/>
  <c r="F5426" i="1"/>
  <c r="G5426" i="1"/>
  <c r="F5418" i="1"/>
  <c r="G5418" i="1"/>
  <c r="F5410" i="1"/>
  <c r="G5410" i="1"/>
  <c r="F5402" i="1"/>
  <c r="G5402" i="1"/>
  <c r="F5394" i="1"/>
  <c r="G5394" i="1"/>
  <c r="F5386" i="1"/>
  <c r="G5386" i="1"/>
  <c r="F5378" i="1"/>
  <c r="G5378" i="1"/>
  <c r="F5370" i="1"/>
  <c r="G5370" i="1"/>
  <c r="F5362" i="1"/>
  <c r="G5362" i="1"/>
  <c r="F5354" i="1"/>
  <c r="G5354" i="1"/>
  <c r="F5346" i="1"/>
  <c r="G5346" i="1"/>
  <c r="F5338" i="1"/>
  <c r="G5338" i="1"/>
  <c r="F5330" i="1"/>
  <c r="G5330" i="1"/>
  <c r="F5322" i="1"/>
  <c r="G5322" i="1"/>
  <c r="F5314" i="1"/>
  <c r="G5314" i="1"/>
  <c r="F5306" i="1"/>
  <c r="G5306" i="1"/>
  <c r="F5298" i="1"/>
  <c r="G5298" i="1"/>
  <c r="F5290" i="1"/>
  <c r="G5290" i="1"/>
  <c r="F5282" i="1"/>
  <c r="G5282" i="1"/>
  <c r="F5274" i="1"/>
  <c r="G5274" i="1"/>
  <c r="F5266" i="1"/>
  <c r="G5266" i="1"/>
  <c r="F5258" i="1"/>
  <c r="G5258" i="1"/>
  <c r="F5250" i="1"/>
  <c r="G5250" i="1"/>
  <c r="F5242" i="1"/>
  <c r="G5242" i="1"/>
  <c r="F5234" i="1"/>
  <c r="G5234" i="1"/>
  <c r="F5226" i="1"/>
  <c r="G5226" i="1"/>
  <c r="F5218" i="1"/>
  <c r="G5218" i="1"/>
  <c r="F5210" i="1"/>
  <c r="G5210" i="1"/>
  <c r="F5202" i="1"/>
  <c r="G5202" i="1"/>
  <c r="F5194" i="1"/>
  <c r="G5194" i="1"/>
  <c r="F5186" i="1"/>
  <c r="G5186" i="1"/>
  <c r="F5178" i="1"/>
  <c r="G5178" i="1"/>
  <c r="F5170" i="1"/>
  <c r="G5170" i="1"/>
  <c r="F5162" i="1"/>
  <c r="G5162" i="1"/>
  <c r="F5154" i="1"/>
  <c r="G5154" i="1"/>
  <c r="F5146" i="1"/>
  <c r="G5146" i="1"/>
  <c r="F5138" i="1"/>
  <c r="G5138" i="1"/>
  <c r="F5130" i="1"/>
  <c r="G5130" i="1"/>
  <c r="F5122" i="1"/>
  <c r="G5122" i="1"/>
  <c r="F5114" i="1"/>
  <c r="G5114" i="1"/>
  <c r="F5106" i="1"/>
  <c r="G5106" i="1"/>
  <c r="F5098" i="1"/>
  <c r="G5098" i="1"/>
  <c r="F5090" i="1"/>
  <c r="G5090" i="1"/>
  <c r="F5082" i="1"/>
  <c r="G5082" i="1"/>
  <c r="F5074" i="1"/>
  <c r="G5074" i="1"/>
  <c r="F5066" i="1"/>
  <c r="G5066" i="1"/>
  <c r="F5058" i="1"/>
  <c r="G5058" i="1"/>
  <c r="F5050" i="1"/>
  <c r="G5050" i="1"/>
  <c r="F5042" i="1"/>
  <c r="G5042" i="1"/>
  <c r="F5034" i="1"/>
  <c r="G5034" i="1"/>
  <c r="F5026" i="1"/>
  <c r="G5026" i="1"/>
  <c r="F5018" i="1"/>
  <c r="G5018" i="1"/>
  <c r="F5010" i="1"/>
  <c r="G5010" i="1"/>
  <c r="F5002" i="1"/>
  <c r="G5002" i="1"/>
  <c r="F4994" i="1"/>
  <c r="G4994" i="1"/>
  <c r="F4986" i="1"/>
  <c r="G4986" i="1"/>
  <c r="F4978" i="1"/>
  <c r="G4978" i="1"/>
  <c r="F4970" i="1"/>
  <c r="G4970" i="1"/>
  <c r="F4962" i="1"/>
  <c r="G4962" i="1"/>
  <c r="F4954" i="1"/>
  <c r="G4954" i="1"/>
  <c r="F4946" i="1"/>
  <c r="G4946" i="1"/>
  <c r="F4938" i="1"/>
  <c r="G4938" i="1"/>
  <c r="F4930" i="1"/>
  <c r="G4930" i="1"/>
  <c r="F4922" i="1"/>
  <c r="G4922" i="1"/>
  <c r="F4914" i="1"/>
  <c r="G4914" i="1"/>
  <c r="F4906" i="1"/>
  <c r="G4906" i="1"/>
  <c r="F4898" i="1"/>
  <c r="G4898" i="1"/>
  <c r="F4890" i="1"/>
  <c r="G4890" i="1"/>
  <c r="F4882" i="1"/>
  <c r="G4882" i="1"/>
  <c r="F4874" i="1"/>
  <c r="G4874" i="1"/>
  <c r="F4866" i="1"/>
  <c r="G4866" i="1"/>
  <c r="F4858" i="1"/>
  <c r="G4858" i="1"/>
  <c r="F4850" i="1"/>
  <c r="G4850" i="1"/>
  <c r="F4842" i="1"/>
  <c r="G4842" i="1"/>
  <c r="F4834" i="1"/>
  <c r="G4834" i="1"/>
  <c r="F4826" i="1"/>
  <c r="G4826" i="1"/>
  <c r="F4818" i="1"/>
  <c r="G4818" i="1"/>
  <c r="F4810" i="1"/>
  <c r="G4810" i="1"/>
  <c r="F4802" i="1"/>
  <c r="G4802" i="1"/>
  <c r="F4794" i="1"/>
  <c r="G4794" i="1"/>
  <c r="F4786" i="1"/>
  <c r="G4786" i="1"/>
  <c r="F4778" i="1"/>
  <c r="G4778" i="1"/>
  <c r="F4770" i="1"/>
  <c r="G4770" i="1"/>
  <c r="F4762" i="1"/>
  <c r="G4762" i="1"/>
  <c r="F4754" i="1"/>
  <c r="G4754" i="1"/>
  <c r="F4746" i="1"/>
  <c r="G4746" i="1"/>
  <c r="F4738" i="1"/>
  <c r="G4738" i="1"/>
  <c r="F4730" i="1"/>
  <c r="G4730" i="1"/>
  <c r="F4722" i="1"/>
  <c r="G4722" i="1"/>
  <c r="F4714" i="1"/>
  <c r="G4714" i="1"/>
  <c r="F4706" i="1"/>
  <c r="G4706" i="1"/>
  <c r="F4698" i="1"/>
  <c r="G4698" i="1"/>
  <c r="F4690" i="1"/>
  <c r="G4690" i="1"/>
  <c r="F4682" i="1"/>
  <c r="G4682" i="1"/>
  <c r="F4674" i="1"/>
  <c r="G4674" i="1"/>
  <c r="F4666" i="1"/>
  <c r="G4666" i="1"/>
  <c r="F4658" i="1"/>
  <c r="G4658" i="1"/>
  <c r="F4650" i="1"/>
  <c r="G4650" i="1"/>
  <c r="F4642" i="1"/>
  <c r="G4642" i="1"/>
  <c r="F4634" i="1"/>
  <c r="G4634" i="1"/>
  <c r="F4626" i="1"/>
  <c r="G4626" i="1"/>
  <c r="F4618" i="1"/>
  <c r="G4618" i="1"/>
  <c r="F4610" i="1"/>
  <c r="G4610" i="1"/>
  <c r="F4602" i="1"/>
  <c r="G4602" i="1"/>
  <c r="F4594" i="1"/>
  <c r="G4594" i="1"/>
  <c r="F4586" i="1"/>
  <c r="G4586" i="1"/>
  <c r="F4578" i="1"/>
  <c r="G4578" i="1"/>
  <c r="F4570" i="1"/>
  <c r="G4570" i="1"/>
  <c r="F4562" i="1"/>
  <c r="G4562" i="1"/>
  <c r="F4554" i="1"/>
  <c r="G4554" i="1"/>
  <c r="F4546" i="1"/>
  <c r="G4546" i="1"/>
  <c r="F4538" i="1"/>
  <c r="G4538" i="1"/>
  <c r="F4530" i="1"/>
  <c r="G4530" i="1"/>
  <c r="F4522" i="1"/>
  <c r="G4522" i="1"/>
  <c r="F4514" i="1"/>
  <c r="G4514" i="1"/>
  <c r="F4506" i="1"/>
  <c r="G4506" i="1"/>
  <c r="F4498" i="1"/>
  <c r="G4498" i="1"/>
  <c r="F4490" i="1"/>
  <c r="G4490" i="1"/>
  <c r="F4482" i="1"/>
  <c r="G4482" i="1"/>
  <c r="F4474" i="1"/>
  <c r="G4474" i="1"/>
  <c r="F4466" i="1"/>
  <c r="G4466" i="1"/>
  <c r="F4458" i="1"/>
  <c r="G4458" i="1"/>
  <c r="F4450" i="1"/>
  <c r="G4450" i="1"/>
  <c r="F4442" i="1"/>
  <c r="G4442" i="1"/>
  <c r="F4434" i="1"/>
  <c r="G4434" i="1"/>
  <c r="F4426" i="1"/>
  <c r="G4426" i="1"/>
  <c r="F4418" i="1"/>
  <c r="G4418" i="1"/>
  <c r="F4410" i="1"/>
  <c r="G4410" i="1"/>
  <c r="F4402" i="1"/>
  <c r="G4402" i="1"/>
  <c r="F4394" i="1"/>
  <c r="G4394" i="1"/>
  <c r="F4386" i="1"/>
  <c r="G4386" i="1"/>
  <c r="F4378" i="1"/>
  <c r="G4378" i="1"/>
  <c r="F4370" i="1"/>
  <c r="G4370" i="1"/>
  <c r="F4362" i="1"/>
  <c r="G4362" i="1"/>
  <c r="F4354" i="1"/>
  <c r="G4354" i="1"/>
  <c r="F4346" i="1"/>
  <c r="G4346" i="1"/>
  <c r="F4338" i="1"/>
  <c r="G4338" i="1"/>
  <c r="F4330" i="1"/>
  <c r="G4330" i="1"/>
  <c r="F4322" i="1"/>
  <c r="G4322" i="1"/>
  <c r="F4314" i="1"/>
  <c r="G4314" i="1"/>
  <c r="F4306" i="1"/>
  <c r="G4306" i="1"/>
  <c r="F4298" i="1"/>
  <c r="G4298" i="1"/>
  <c r="F4290" i="1"/>
  <c r="G4290" i="1"/>
  <c r="F4282" i="1"/>
  <c r="G4282" i="1"/>
  <c r="F4274" i="1"/>
  <c r="G4274" i="1"/>
  <c r="F4266" i="1"/>
  <c r="G4266" i="1"/>
  <c r="F4258" i="1"/>
  <c r="G4258" i="1"/>
  <c r="F4250" i="1"/>
  <c r="G4250" i="1"/>
  <c r="F4242" i="1"/>
  <c r="G4242" i="1"/>
  <c r="F4234" i="1"/>
  <c r="G4234" i="1"/>
  <c r="F4226" i="1"/>
  <c r="G4226" i="1"/>
  <c r="F4218" i="1"/>
  <c r="G4218" i="1"/>
  <c r="F4210" i="1"/>
  <c r="G4210" i="1"/>
  <c r="F4202" i="1"/>
  <c r="G4202" i="1"/>
  <c r="F4194" i="1"/>
  <c r="G4194" i="1"/>
  <c r="F4186" i="1"/>
  <c r="G4186" i="1"/>
  <c r="F4178" i="1"/>
  <c r="G4178" i="1"/>
  <c r="F4170" i="1"/>
  <c r="G4170" i="1"/>
  <c r="F4162" i="1"/>
  <c r="G4162" i="1"/>
  <c r="F4154" i="1"/>
  <c r="G4154" i="1"/>
  <c r="F4146" i="1"/>
  <c r="G4146" i="1"/>
  <c r="F4138" i="1"/>
  <c r="G4138" i="1"/>
  <c r="F4130" i="1"/>
  <c r="G4130" i="1"/>
  <c r="F4122" i="1"/>
  <c r="G4122" i="1"/>
  <c r="F4114" i="1"/>
  <c r="G4114" i="1"/>
  <c r="F4106" i="1"/>
  <c r="G4106" i="1"/>
  <c r="F4098" i="1"/>
  <c r="G4098" i="1"/>
  <c r="F4090" i="1"/>
  <c r="G4090" i="1"/>
  <c r="F4082" i="1"/>
  <c r="G4082" i="1"/>
  <c r="F4074" i="1"/>
  <c r="G4074" i="1"/>
  <c r="F4066" i="1"/>
  <c r="G4066" i="1"/>
  <c r="F4058" i="1"/>
  <c r="G4058" i="1"/>
  <c r="F4050" i="1"/>
  <c r="G4050" i="1"/>
  <c r="F4042" i="1"/>
  <c r="G4042" i="1"/>
  <c r="F4034" i="1"/>
  <c r="G4034" i="1"/>
  <c r="F4026" i="1"/>
  <c r="G4026" i="1"/>
  <c r="F4018" i="1"/>
  <c r="G4018" i="1"/>
  <c r="F4010" i="1"/>
  <c r="G4010" i="1"/>
  <c r="F4002" i="1"/>
  <c r="G4002" i="1"/>
  <c r="F3994" i="1"/>
  <c r="G3994" i="1"/>
  <c r="F3986" i="1"/>
  <c r="G3986" i="1"/>
  <c r="F3978" i="1"/>
  <c r="G3978" i="1"/>
  <c r="F3970" i="1"/>
  <c r="G3970" i="1"/>
  <c r="F3962" i="1"/>
  <c r="G3962" i="1"/>
  <c r="F3954" i="1"/>
  <c r="G3954" i="1"/>
  <c r="F3946" i="1"/>
  <c r="G3946" i="1"/>
  <c r="F3938" i="1"/>
  <c r="G3938" i="1"/>
  <c r="F3930" i="1"/>
  <c r="G3930" i="1"/>
  <c r="F3922" i="1"/>
  <c r="G3922" i="1"/>
  <c r="F3914" i="1"/>
  <c r="G3914" i="1"/>
  <c r="F3906" i="1"/>
  <c r="G3906" i="1"/>
  <c r="F3898" i="1"/>
  <c r="G3898" i="1"/>
  <c r="F3890" i="1"/>
  <c r="G3890" i="1"/>
  <c r="F3882" i="1"/>
  <c r="G3882" i="1"/>
  <c r="F3874" i="1"/>
  <c r="G3874" i="1"/>
  <c r="F3866" i="1"/>
  <c r="G3866" i="1"/>
  <c r="F3858" i="1"/>
  <c r="G3858" i="1"/>
  <c r="F3850" i="1"/>
  <c r="G3850" i="1"/>
  <c r="F3842" i="1"/>
  <c r="G3842" i="1"/>
  <c r="F3834" i="1"/>
  <c r="G3834" i="1"/>
  <c r="F3826" i="1"/>
  <c r="G3826" i="1"/>
  <c r="F3818" i="1"/>
  <c r="G3818" i="1"/>
  <c r="F3810" i="1"/>
  <c r="G3810" i="1"/>
  <c r="F3802" i="1"/>
  <c r="G3802" i="1"/>
  <c r="F3794" i="1"/>
  <c r="G3794" i="1"/>
  <c r="F3786" i="1"/>
  <c r="G3786" i="1"/>
  <c r="F3778" i="1"/>
  <c r="G3778" i="1"/>
  <c r="F3770" i="1"/>
  <c r="G3770" i="1"/>
  <c r="F3762" i="1"/>
  <c r="G3762" i="1"/>
  <c r="F3754" i="1"/>
  <c r="G3754" i="1"/>
  <c r="F3746" i="1"/>
  <c r="G3746" i="1"/>
  <c r="F3738" i="1"/>
  <c r="G3738" i="1"/>
  <c r="F3730" i="1"/>
  <c r="G3730" i="1"/>
  <c r="F3722" i="1"/>
  <c r="G3722" i="1"/>
  <c r="F3714" i="1"/>
  <c r="G3714" i="1"/>
  <c r="F3706" i="1"/>
  <c r="G3706" i="1"/>
  <c r="F3698" i="1"/>
  <c r="G3698" i="1"/>
  <c r="F3690" i="1"/>
  <c r="G3690" i="1"/>
  <c r="F3682" i="1"/>
  <c r="G3682" i="1"/>
  <c r="F3674" i="1"/>
  <c r="G3674" i="1"/>
  <c r="F3666" i="1"/>
  <c r="G3666" i="1"/>
  <c r="F3658" i="1"/>
  <c r="G3658" i="1"/>
  <c r="F3650" i="1"/>
  <c r="G3650" i="1"/>
  <c r="F3642" i="1"/>
  <c r="G3642" i="1"/>
  <c r="F3634" i="1"/>
  <c r="G3634" i="1"/>
  <c r="F3626" i="1"/>
  <c r="G3626" i="1"/>
  <c r="F3618" i="1"/>
  <c r="G3618" i="1"/>
  <c r="F3610" i="1"/>
  <c r="G3610" i="1"/>
  <c r="F3602" i="1"/>
  <c r="G3602" i="1"/>
  <c r="F3594" i="1"/>
  <c r="G3594" i="1"/>
  <c r="F3586" i="1"/>
  <c r="G3586" i="1"/>
  <c r="F3578" i="1"/>
  <c r="G3578" i="1"/>
  <c r="F3570" i="1"/>
  <c r="G3570" i="1"/>
  <c r="F3562" i="1"/>
  <c r="G3562" i="1"/>
  <c r="F3554" i="1"/>
  <c r="G3554" i="1"/>
  <c r="F3546" i="1"/>
  <c r="G3546" i="1"/>
  <c r="F3538" i="1"/>
  <c r="G3538" i="1"/>
  <c r="F3530" i="1"/>
  <c r="G3530" i="1"/>
  <c r="F3522" i="1"/>
  <c r="G3522" i="1"/>
  <c r="F3514" i="1"/>
  <c r="G3514" i="1"/>
  <c r="F3506" i="1"/>
  <c r="G3506" i="1"/>
  <c r="F3498" i="1"/>
  <c r="G3498" i="1"/>
  <c r="F3490" i="1"/>
  <c r="G3490" i="1"/>
  <c r="F3482" i="1"/>
  <c r="G3482" i="1"/>
  <c r="F3474" i="1"/>
  <c r="G3474" i="1"/>
  <c r="F3466" i="1"/>
  <c r="G3466" i="1"/>
  <c r="F3458" i="1"/>
  <c r="G3458" i="1"/>
  <c r="F3450" i="1"/>
  <c r="G3450" i="1"/>
  <c r="F3442" i="1"/>
  <c r="G3442" i="1"/>
  <c r="F3434" i="1"/>
  <c r="G3434" i="1"/>
  <c r="F3426" i="1"/>
  <c r="G3426" i="1"/>
  <c r="F3418" i="1"/>
  <c r="G3418" i="1"/>
  <c r="F3410" i="1"/>
  <c r="G3410" i="1"/>
  <c r="F3402" i="1"/>
  <c r="G3402" i="1"/>
  <c r="F3394" i="1"/>
  <c r="G3394" i="1"/>
  <c r="F3386" i="1"/>
  <c r="G3386" i="1"/>
  <c r="F3378" i="1"/>
  <c r="G3378" i="1"/>
  <c r="F3370" i="1"/>
  <c r="G3370" i="1"/>
  <c r="F3362" i="1"/>
  <c r="G3362" i="1"/>
  <c r="F3354" i="1"/>
  <c r="G3354" i="1"/>
  <c r="F3346" i="1"/>
  <c r="G3346" i="1"/>
  <c r="F3338" i="1"/>
  <c r="G3338" i="1"/>
  <c r="F3330" i="1"/>
  <c r="G3330" i="1"/>
  <c r="F3322" i="1"/>
  <c r="G3322" i="1"/>
  <c r="F3314" i="1"/>
  <c r="G3314" i="1"/>
  <c r="F3306" i="1"/>
  <c r="G3306" i="1"/>
  <c r="F3298" i="1"/>
  <c r="G3298" i="1"/>
  <c r="F3290" i="1"/>
  <c r="G3290" i="1"/>
  <c r="F3282" i="1"/>
  <c r="G3282" i="1"/>
  <c r="F3274" i="1"/>
  <c r="G3274" i="1"/>
  <c r="F3266" i="1"/>
  <c r="G3266" i="1"/>
  <c r="F3258" i="1"/>
  <c r="G3258" i="1"/>
  <c r="F3250" i="1"/>
  <c r="G3250" i="1"/>
  <c r="F3242" i="1"/>
  <c r="G3242" i="1"/>
  <c r="F3234" i="1"/>
  <c r="G3234" i="1"/>
  <c r="F3226" i="1"/>
  <c r="G3226" i="1"/>
  <c r="F3218" i="1"/>
  <c r="G3218" i="1"/>
  <c r="F3210" i="1"/>
  <c r="G3210" i="1"/>
  <c r="F3202" i="1"/>
  <c r="G3202" i="1"/>
  <c r="F3194" i="1"/>
  <c r="G3194" i="1"/>
  <c r="F3186" i="1"/>
  <c r="G3186" i="1"/>
  <c r="F3178" i="1"/>
  <c r="G3178" i="1"/>
  <c r="F3170" i="1"/>
  <c r="G3170" i="1"/>
  <c r="F3162" i="1"/>
  <c r="G3162" i="1"/>
  <c r="F3154" i="1"/>
  <c r="G3154" i="1"/>
  <c r="F3146" i="1"/>
  <c r="G3146" i="1"/>
  <c r="F3138" i="1"/>
  <c r="G3138" i="1"/>
  <c r="F3130" i="1"/>
  <c r="G3130" i="1"/>
  <c r="F3122" i="1"/>
  <c r="G3122" i="1"/>
  <c r="F3114" i="1"/>
  <c r="G3114" i="1"/>
  <c r="F3106" i="1"/>
  <c r="G3106" i="1"/>
  <c r="F3098" i="1"/>
  <c r="G3098" i="1"/>
  <c r="F3090" i="1"/>
  <c r="G3090" i="1"/>
  <c r="F3082" i="1"/>
  <c r="G3082" i="1"/>
  <c r="F3074" i="1"/>
  <c r="G3074" i="1"/>
  <c r="F3066" i="1"/>
  <c r="G3066" i="1"/>
  <c r="F3058" i="1"/>
  <c r="G3058" i="1"/>
  <c r="F3050" i="1"/>
  <c r="G3050" i="1"/>
  <c r="F3042" i="1"/>
  <c r="G3042" i="1"/>
  <c r="F3034" i="1"/>
  <c r="G3034" i="1"/>
  <c r="F3026" i="1"/>
  <c r="G3026" i="1"/>
  <c r="F3018" i="1"/>
  <c r="G3018" i="1"/>
  <c r="F3010" i="1"/>
  <c r="G3010" i="1"/>
  <c r="F3002" i="1"/>
  <c r="G3002" i="1"/>
  <c r="F2994" i="1"/>
  <c r="G2994" i="1"/>
  <c r="F2986" i="1"/>
  <c r="G2986" i="1"/>
  <c r="F2978" i="1"/>
  <c r="G2978" i="1"/>
  <c r="F2970" i="1"/>
  <c r="G2970" i="1"/>
  <c r="F2962" i="1"/>
  <c r="G2962" i="1"/>
  <c r="F2954" i="1"/>
  <c r="G2954" i="1"/>
  <c r="F2946" i="1"/>
  <c r="G2946" i="1"/>
  <c r="F2938" i="1"/>
  <c r="G2938" i="1"/>
  <c r="F2930" i="1"/>
  <c r="G2930" i="1"/>
  <c r="F2922" i="1"/>
  <c r="G2922" i="1"/>
  <c r="F2914" i="1"/>
  <c r="G2914" i="1"/>
  <c r="F2906" i="1"/>
  <c r="G2906" i="1"/>
  <c r="F2898" i="1"/>
  <c r="G2898" i="1"/>
  <c r="F2890" i="1"/>
  <c r="G2890" i="1"/>
  <c r="F2882" i="1"/>
  <c r="G2882" i="1"/>
  <c r="F2874" i="1"/>
  <c r="G2874" i="1"/>
  <c r="F2866" i="1"/>
  <c r="G2866" i="1"/>
  <c r="F2858" i="1"/>
  <c r="G2858" i="1"/>
  <c r="F2850" i="1"/>
  <c r="G2850" i="1"/>
  <c r="F2842" i="1"/>
  <c r="G2842" i="1"/>
  <c r="F2834" i="1"/>
  <c r="G2834" i="1"/>
  <c r="F2826" i="1"/>
  <c r="G2826" i="1"/>
  <c r="F2818" i="1"/>
  <c r="G2818" i="1"/>
  <c r="F2810" i="1"/>
  <c r="G2810" i="1"/>
  <c r="F2802" i="1"/>
  <c r="G2802" i="1"/>
  <c r="F2794" i="1"/>
  <c r="G2794" i="1"/>
  <c r="F2786" i="1"/>
  <c r="G2786" i="1"/>
  <c r="F2778" i="1"/>
  <c r="G2778" i="1"/>
  <c r="F2770" i="1"/>
  <c r="G2770" i="1"/>
  <c r="F2762" i="1"/>
  <c r="G2762" i="1"/>
  <c r="F2754" i="1"/>
  <c r="G2754" i="1"/>
  <c r="F2746" i="1"/>
  <c r="G2746" i="1"/>
  <c r="F2738" i="1"/>
  <c r="G2738" i="1"/>
  <c r="F2730" i="1"/>
  <c r="G2730" i="1"/>
  <c r="F2722" i="1"/>
  <c r="G2722" i="1"/>
  <c r="F2714" i="1"/>
  <c r="G2714" i="1"/>
  <c r="F2706" i="1"/>
  <c r="G2706" i="1"/>
  <c r="F2698" i="1"/>
  <c r="G2698" i="1"/>
  <c r="F2690" i="1"/>
  <c r="G2690" i="1"/>
  <c r="F2682" i="1"/>
  <c r="G2682" i="1"/>
  <c r="F2674" i="1"/>
  <c r="G2674" i="1"/>
  <c r="F2666" i="1"/>
  <c r="G2666" i="1"/>
  <c r="F2658" i="1"/>
  <c r="G2658" i="1"/>
  <c r="F2650" i="1"/>
  <c r="G2650" i="1"/>
  <c r="F2642" i="1"/>
  <c r="G2642" i="1"/>
  <c r="F2634" i="1"/>
  <c r="G2634" i="1"/>
  <c r="F2626" i="1"/>
  <c r="G2626" i="1"/>
  <c r="F2618" i="1"/>
  <c r="G2618" i="1"/>
  <c r="F2610" i="1"/>
  <c r="G2610" i="1"/>
  <c r="F2602" i="1"/>
  <c r="G2602" i="1"/>
  <c r="F2594" i="1"/>
  <c r="G2594" i="1"/>
  <c r="F2586" i="1"/>
  <c r="G2586" i="1"/>
  <c r="F2578" i="1"/>
  <c r="G2578" i="1"/>
  <c r="F2570" i="1"/>
  <c r="G2570" i="1"/>
  <c r="F2562" i="1"/>
  <c r="G2562" i="1"/>
  <c r="F2554" i="1"/>
  <c r="G2554" i="1"/>
  <c r="F2546" i="1"/>
  <c r="G2546" i="1"/>
  <c r="F2538" i="1"/>
  <c r="G2538" i="1"/>
  <c r="F2530" i="1"/>
  <c r="G2530" i="1"/>
  <c r="F2522" i="1"/>
  <c r="G2522" i="1"/>
  <c r="F2514" i="1"/>
  <c r="G2514" i="1"/>
  <c r="F2506" i="1"/>
  <c r="G2506" i="1"/>
  <c r="F2498" i="1"/>
  <c r="G2498" i="1"/>
  <c r="F2490" i="1"/>
  <c r="G2490" i="1"/>
  <c r="F2482" i="1"/>
  <c r="G2482" i="1"/>
  <c r="F2474" i="1"/>
  <c r="G2474" i="1"/>
  <c r="F2466" i="1"/>
  <c r="G2466" i="1"/>
  <c r="F2458" i="1"/>
  <c r="G2458" i="1"/>
  <c r="F2450" i="1"/>
  <c r="G2450" i="1"/>
  <c r="F2442" i="1"/>
  <c r="G2442" i="1"/>
  <c r="F2434" i="1"/>
  <c r="G2434" i="1"/>
  <c r="F2426" i="1"/>
  <c r="G2426" i="1"/>
  <c r="F2418" i="1"/>
  <c r="G2418" i="1"/>
  <c r="F2410" i="1"/>
  <c r="G2410" i="1"/>
  <c r="F2402" i="1"/>
  <c r="G2402" i="1"/>
  <c r="F2394" i="1"/>
  <c r="G2394" i="1"/>
  <c r="F2386" i="1"/>
  <c r="G2386" i="1"/>
  <c r="F2378" i="1"/>
  <c r="G2378" i="1"/>
  <c r="F2370" i="1"/>
  <c r="G2370" i="1"/>
  <c r="F2362" i="1"/>
  <c r="G2362" i="1"/>
  <c r="F2354" i="1"/>
  <c r="G2354" i="1"/>
  <c r="F2346" i="1"/>
  <c r="G2346" i="1"/>
  <c r="F2338" i="1"/>
  <c r="G2338" i="1"/>
  <c r="F2330" i="1"/>
  <c r="G2330" i="1"/>
  <c r="F2322" i="1"/>
  <c r="G2322" i="1"/>
  <c r="F2314" i="1"/>
  <c r="G2314" i="1"/>
  <c r="F2306" i="1"/>
  <c r="G2306" i="1"/>
  <c r="F2298" i="1"/>
  <c r="G2298" i="1"/>
  <c r="F2290" i="1"/>
  <c r="G2290" i="1"/>
  <c r="F2282" i="1"/>
  <c r="G2282" i="1"/>
  <c r="F2274" i="1"/>
  <c r="G2274" i="1"/>
  <c r="F2266" i="1"/>
  <c r="G2266" i="1"/>
  <c r="F2258" i="1"/>
  <c r="G2258" i="1"/>
  <c r="F2250" i="1"/>
  <c r="G2250" i="1"/>
  <c r="F2242" i="1"/>
  <c r="G2242" i="1"/>
  <c r="F2234" i="1"/>
  <c r="G2234" i="1"/>
  <c r="F2226" i="1"/>
  <c r="G2226" i="1"/>
  <c r="F2218" i="1"/>
  <c r="G2218" i="1"/>
  <c r="F2210" i="1"/>
  <c r="G2210" i="1"/>
  <c r="F2202" i="1"/>
  <c r="G2202" i="1"/>
  <c r="F2194" i="1"/>
  <c r="G2194" i="1"/>
  <c r="F2186" i="1"/>
  <c r="G2186" i="1"/>
  <c r="F2178" i="1"/>
  <c r="G2178" i="1"/>
  <c r="F2170" i="1"/>
  <c r="G2170" i="1"/>
  <c r="F2162" i="1"/>
  <c r="G2162" i="1"/>
  <c r="F2154" i="1"/>
  <c r="G2154" i="1"/>
  <c r="F2146" i="1"/>
  <c r="G2146" i="1"/>
  <c r="F2138" i="1"/>
  <c r="G2138" i="1"/>
  <c r="F2130" i="1"/>
  <c r="G2130" i="1"/>
  <c r="F2122" i="1"/>
  <c r="G2122" i="1"/>
  <c r="F2114" i="1"/>
  <c r="G2114" i="1"/>
  <c r="F2106" i="1"/>
  <c r="G2106" i="1"/>
  <c r="F2098" i="1"/>
  <c r="G2098" i="1"/>
  <c r="F2090" i="1"/>
  <c r="G2090" i="1"/>
  <c r="F2082" i="1"/>
  <c r="G2082" i="1"/>
  <c r="F2074" i="1"/>
  <c r="G2074" i="1"/>
  <c r="F2066" i="1"/>
  <c r="G2066" i="1"/>
  <c r="F2058" i="1"/>
  <c r="G2058" i="1"/>
  <c r="F2050" i="1"/>
  <c r="G2050" i="1"/>
  <c r="F2042" i="1"/>
  <c r="G2042" i="1"/>
  <c r="F2034" i="1"/>
  <c r="G2034" i="1"/>
  <c r="F2026" i="1"/>
  <c r="G2026" i="1"/>
  <c r="F2018" i="1"/>
  <c r="G2018" i="1"/>
  <c r="F2010" i="1"/>
  <c r="G2010" i="1"/>
  <c r="F2002" i="1"/>
  <c r="G2002" i="1"/>
  <c r="F1994" i="1"/>
  <c r="G1994" i="1"/>
  <c r="F1986" i="1"/>
  <c r="G1986" i="1"/>
  <c r="F1978" i="1"/>
  <c r="G1978" i="1"/>
  <c r="F1970" i="1"/>
  <c r="G1970" i="1"/>
  <c r="F1962" i="1"/>
  <c r="G1962" i="1"/>
  <c r="F1954" i="1"/>
  <c r="G1954" i="1"/>
  <c r="F1946" i="1"/>
  <c r="G1946" i="1"/>
  <c r="F1938" i="1"/>
  <c r="G1938" i="1"/>
  <c r="F1930" i="1"/>
  <c r="G1930" i="1"/>
  <c r="F1922" i="1"/>
  <c r="G1922" i="1"/>
  <c r="F1914" i="1"/>
  <c r="G1914" i="1"/>
  <c r="F1906" i="1"/>
  <c r="G1906" i="1"/>
  <c r="F1898" i="1"/>
  <c r="G1898" i="1"/>
  <c r="F1890" i="1"/>
  <c r="G1890" i="1"/>
  <c r="F1882" i="1"/>
  <c r="G1882" i="1"/>
  <c r="F1874" i="1"/>
  <c r="G1874" i="1"/>
  <c r="F1866" i="1"/>
  <c r="G1866" i="1"/>
  <c r="F1858" i="1"/>
  <c r="G1858" i="1"/>
  <c r="F1850" i="1"/>
  <c r="G1850" i="1"/>
  <c r="F1842" i="1"/>
  <c r="G1842" i="1"/>
  <c r="F1834" i="1"/>
  <c r="G1834" i="1"/>
  <c r="F1826" i="1"/>
  <c r="G1826" i="1"/>
  <c r="F1818" i="1"/>
  <c r="G1818" i="1"/>
  <c r="F1810" i="1"/>
  <c r="G1810" i="1"/>
  <c r="F1802" i="1"/>
  <c r="G1802" i="1"/>
  <c r="F1794" i="1"/>
  <c r="G1794" i="1"/>
  <c r="F1786" i="1"/>
  <c r="G1786" i="1"/>
  <c r="F1778" i="1"/>
  <c r="G1778" i="1"/>
  <c r="F1770" i="1"/>
  <c r="G1770" i="1"/>
  <c r="F1762" i="1"/>
  <c r="G1762" i="1"/>
  <c r="F1754" i="1"/>
  <c r="G1754" i="1"/>
  <c r="F1746" i="1"/>
  <c r="G1746" i="1"/>
  <c r="F1738" i="1"/>
  <c r="G1738" i="1"/>
  <c r="F1730" i="1"/>
  <c r="G1730" i="1"/>
  <c r="F1722" i="1"/>
  <c r="G1722" i="1"/>
  <c r="F1714" i="1"/>
  <c r="G1714" i="1"/>
  <c r="F1706" i="1"/>
  <c r="G1706" i="1"/>
  <c r="F1698" i="1"/>
  <c r="G1698" i="1"/>
  <c r="F1690" i="1"/>
  <c r="G1690" i="1"/>
  <c r="F1682" i="1"/>
  <c r="G1682" i="1"/>
  <c r="F1674" i="1"/>
  <c r="G1674" i="1"/>
  <c r="F1666" i="1"/>
  <c r="G1666" i="1"/>
  <c r="F1658" i="1"/>
  <c r="G1658" i="1"/>
  <c r="F1650" i="1"/>
  <c r="G1650" i="1"/>
  <c r="F1642" i="1"/>
  <c r="G1642" i="1"/>
  <c r="F1634" i="1"/>
  <c r="G1634" i="1"/>
  <c r="F1626" i="1"/>
  <c r="G1626" i="1"/>
  <c r="F1618" i="1"/>
  <c r="G1618" i="1"/>
  <c r="F1610" i="1"/>
  <c r="G1610" i="1"/>
  <c r="F1602" i="1"/>
  <c r="G1602" i="1"/>
  <c r="F1594" i="1"/>
  <c r="G1594" i="1"/>
  <c r="F1586" i="1"/>
  <c r="G1586" i="1"/>
  <c r="F1578" i="1"/>
  <c r="G1578" i="1"/>
  <c r="F1570" i="1"/>
  <c r="G1570" i="1"/>
  <c r="F1562" i="1"/>
  <c r="G1562" i="1"/>
  <c r="F1554" i="1"/>
  <c r="G1554" i="1"/>
  <c r="F1546" i="1"/>
  <c r="G1546" i="1"/>
  <c r="F1538" i="1"/>
  <c r="G1538" i="1"/>
  <c r="F1530" i="1"/>
  <c r="G1530" i="1"/>
  <c r="F1522" i="1"/>
  <c r="G1522" i="1"/>
  <c r="F1514" i="1"/>
  <c r="G1514" i="1"/>
  <c r="F1506" i="1"/>
  <c r="G1506" i="1"/>
  <c r="F1498" i="1"/>
  <c r="G1498" i="1"/>
  <c r="F1490" i="1"/>
  <c r="G1490" i="1"/>
  <c r="F1482" i="1"/>
  <c r="G1482" i="1"/>
  <c r="F1474" i="1"/>
  <c r="G1474" i="1"/>
  <c r="F1466" i="1"/>
  <c r="G1466" i="1"/>
  <c r="F1458" i="1"/>
  <c r="G1458" i="1"/>
  <c r="F1450" i="1"/>
  <c r="G1450" i="1"/>
  <c r="F1442" i="1"/>
  <c r="G1442" i="1"/>
  <c r="F1434" i="1"/>
  <c r="G1434" i="1"/>
  <c r="F1426" i="1"/>
  <c r="G1426" i="1"/>
  <c r="F1418" i="1"/>
  <c r="G1418" i="1"/>
  <c r="F1410" i="1"/>
  <c r="G1410" i="1"/>
  <c r="F1402" i="1"/>
  <c r="G1402" i="1"/>
  <c r="F1394" i="1"/>
  <c r="G1394" i="1"/>
  <c r="F1386" i="1"/>
  <c r="G1386" i="1"/>
  <c r="F1378" i="1"/>
  <c r="G1378" i="1"/>
  <c r="F1370" i="1"/>
  <c r="G1370" i="1"/>
  <c r="F1362" i="1"/>
  <c r="G1362" i="1"/>
  <c r="F1354" i="1"/>
  <c r="G1354" i="1"/>
  <c r="F1346" i="1"/>
  <c r="G1346" i="1"/>
  <c r="F1338" i="1"/>
  <c r="G1338" i="1"/>
  <c r="F1330" i="1"/>
  <c r="G1330" i="1"/>
  <c r="F1322" i="1"/>
  <c r="G1322" i="1"/>
  <c r="F1314" i="1"/>
  <c r="G1314" i="1"/>
  <c r="F1306" i="1"/>
  <c r="G1306" i="1"/>
  <c r="F1298" i="1"/>
  <c r="G1298" i="1"/>
  <c r="F1290" i="1"/>
  <c r="G1290" i="1"/>
  <c r="F1282" i="1"/>
  <c r="G1282" i="1"/>
  <c r="F1274" i="1"/>
  <c r="G1274" i="1"/>
  <c r="F1266" i="1"/>
  <c r="G1266" i="1"/>
  <c r="F1258" i="1"/>
  <c r="G1258" i="1"/>
  <c r="F1250" i="1"/>
  <c r="G1250" i="1"/>
  <c r="F1242" i="1"/>
  <c r="G1242" i="1"/>
  <c r="F1234" i="1"/>
  <c r="G1234" i="1"/>
  <c r="F1226" i="1"/>
  <c r="G1226" i="1"/>
  <c r="F1218" i="1"/>
  <c r="G1218" i="1"/>
  <c r="F1210" i="1"/>
  <c r="G1210" i="1"/>
  <c r="F1202" i="1"/>
  <c r="G1202" i="1"/>
  <c r="F1194" i="1"/>
  <c r="G1194" i="1"/>
  <c r="F1186" i="1"/>
  <c r="G1186" i="1"/>
  <c r="F1178" i="1"/>
  <c r="G1178" i="1"/>
  <c r="F1170" i="1"/>
  <c r="G1170" i="1"/>
  <c r="F1162" i="1"/>
  <c r="G1162" i="1"/>
  <c r="F1154" i="1"/>
  <c r="G1154" i="1"/>
  <c r="F1146" i="1"/>
  <c r="G1146" i="1"/>
  <c r="F1138" i="1"/>
  <c r="G1138" i="1"/>
  <c r="F1130" i="1"/>
  <c r="G1130" i="1"/>
  <c r="F1122" i="1"/>
  <c r="G1122" i="1"/>
  <c r="F1114" i="1"/>
  <c r="G1114" i="1"/>
  <c r="F1106" i="1"/>
  <c r="G1106" i="1"/>
  <c r="F1098" i="1"/>
  <c r="G1098" i="1"/>
  <c r="F1090" i="1"/>
  <c r="G1090" i="1"/>
  <c r="F1082" i="1"/>
  <c r="G1082" i="1"/>
  <c r="F1074" i="1"/>
  <c r="G1074" i="1"/>
  <c r="F1066" i="1"/>
  <c r="G1066" i="1"/>
  <c r="F1058" i="1"/>
  <c r="G1058" i="1"/>
  <c r="F1050" i="1"/>
  <c r="G1050" i="1"/>
  <c r="F1042" i="1"/>
  <c r="G1042" i="1"/>
  <c r="F1034" i="1"/>
  <c r="G1034" i="1"/>
  <c r="F1026" i="1"/>
  <c r="G1026" i="1"/>
  <c r="F1018" i="1"/>
  <c r="G1018" i="1"/>
  <c r="F1010" i="1"/>
  <c r="G1010" i="1"/>
  <c r="F1002" i="1"/>
  <c r="G1002" i="1"/>
  <c r="F994" i="1"/>
  <c r="G994" i="1"/>
  <c r="F986" i="1"/>
  <c r="G986" i="1"/>
  <c r="F978" i="1"/>
  <c r="G978" i="1"/>
  <c r="F970" i="1"/>
  <c r="G970" i="1"/>
  <c r="F962" i="1"/>
  <c r="G962" i="1"/>
  <c r="F954" i="1"/>
  <c r="G954" i="1"/>
  <c r="F946" i="1"/>
  <c r="G946" i="1"/>
  <c r="F938" i="1"/>
  <c r="G938" i="1"/>
  <c r="F930" i="1"/>
  <c r="G930" i="1"/>
  <c r="F922" i="1"/>
  <c r="G922" i="1"/>
  <c r="F914" i="1"/>
  <c r="G914" i="1"/>
  <c r="F906" i="1"/>
  <c r="G906" i="1"/>
  <c r="F898" i="1"/>
  <c r="G898" i="1"/>
  <c r="F890" i="1"/>
  <c r="G890" i="1"/>
  <c r="F882" i="1"/>
  <c r="G882" i="1"/>
  <c r="F874" i="1"/>
  <c r="G874" i="1"/>
  <c r="F866" i="1"/>
  <c r="G866" i="1"/>
  <c r="F858" i="1"/>
  <c r="G858" i="1"/>
  <c r="F850" i="1"/>
  <c r="G850" i="1"/>
  <c r="F842" i="1"/>
  <c r="G842" i="1"/>
  <c r="F834" i="1"/>
  <c r="G834" i="1"/>
  <c r="F826" i="1"/>
  <c r="G826" i="1"/>
  <c r="F818" i="1"/>
  <c r="G818" i="1"/>
  <c r="F810" i="1"/>
  <c r="G810" i="1"/>
  <c r="F802" i="1"/>
  <c r="G802" i="1"/>
  <c r="F794" i="1"/>
  <c r="G794" i="1"/>
  <c r="F786" i="1"/>
  <c r="G786" i="1"/>
  <c r="F778" i="1"/>
  <c r="G778" i="1"/>
  <c r="F770" i="1"/>
  <c r="G770" i="1"/>
  <c r="F762" i="1"/>
  <c r="G762" i="1"/>
  <c r="F754" i="1"/>
  <c r="G754" i="1"/>
  <c r="F746" i="1"/>
  <c r="G746" i="1"/>
  <c r="F738" i="1"/>
  <c r="G738" i="1"/>
  <c r="F730" i="1"/>
  <c r="G730" i="1"/>
  <c r="F722" i="1"/>
  <c r="G722" i="1"/>
  <c r="F714" i="1"/>
  <c r="G714" i="1"/>
  <c r="F706" i="1"/>
  <c r="G706" i="1"/>
  <c r="F698" i="1"/>
  <c r="G698" i="1"/>
  <c r="F690" i="1"/>
  <c r="G690" i="1"/>
  <c r="F682" i="1"/>
  <c r="G682" i="1"/>
  <c r="F674" i="1"/>
  <c r="G674" i="1"/>
  <c r="F666" i="1"/>
  <c r="G666" i="1"/>
  <c r="F658" i="1"/>
  <c r="G658" i="1"/>
  <c r="F650" i="1"/>
  <c r="G650" i="1"/>
  <c r="F642" i="1"/>
  <c r="G642" i="1"/>
  <c r="F634" i="1"/>
  <c r="G634" i="1"/>
  <c r="F626" i="1"/>
  <c r="G626" i="1"/>
  <c r="F618" i="1"/>
  <c r="G618" i="1"/>
  <c r="F610" i="1"/>
  <c r="G610" i="1"/>
  <c r="F602" i="1"/>
  <c r="G602" i="1"/>
  <c r="F594" i="1"/>
  <c r="G594" i="1"/>
  <c r="F586" i="1"/>
  <c r="G586" i="1"/>
  <c r="F578" i="1"/>
  <c r="G578" i="1"/>
  <c r="F570" i="1"/>
  <c r="G570" i="1"/>
  <c r="F562" i="1"/>
  <c r="G562" i="1"/>
  <c r="F554" i="1"/>
  <c r="G554" i="1"/>
  <c r="F546" i="1"/>
  <c r="G546" i="1"/>
  <c r="F538" i="1"/>
  <c r="G538" i="1"/>
  <c r="F530" i="1"/>
  <c r="G530" i="1"/>
  <c r="F522" i="1"/>
  <c r="G522" i="1"/>
  <c r="F514" i="1"/>
  <c r="G514" i="1"/>
  <c r="F506" i="1"/>
  <c r="G506" i="1"/>
  <c r="F498" i="1"/>
  <c r="G498" i="1"/>
  <c r="F490" i="1"/>
  <c r="G490" i="1"/>
  <c r="F482" i="1"/>
  <c r="G482" i="1"/>
  <c r="F474" i="1"/>
  <c r="G474" i="1"/>
  <c r="F466" i="1"/>
  <c r="G466" i="1"/>
  <c r="F458" i="1"/>
  <c r="G458" i="1"/>
  <c r="F450" i="1"/>
  <c r="G450" i="1"/>
  <c r="F442" i="1"/>
  <c r="G442" i="1"/>
  <c r="F434" i="1"/>
  <c r="G434" i="1"/>
  <c r="F426" i="1"/>
  <c r="G426" i="1"/>
  <c r="F418" i="1"/>
  <c r="G418" i="1"/>
  <c r="F410" i="1"/>
  <c r="G410" i="1"/>
  <c r="F402" i="1"/>
  <c r="G402" i="1"/>
  <c r="F394" i="1"/>
  <c r="G394" i="1"/>
  <c r="F386" i="1"/>
  <c r="G386" i="1"/>
  <c r="F378" i="1"/>
  <c r="G378" i="1"/>
  <c r="F370" i="1"/>
  <c r="G370" i="1"/>
  <c r="F362" i="1"/>
  <c r="G362" i="1"/>
  <c r="F354" i="1"/>
  <c r="G354" i="1"/>
  <c r="F346" i="1"/>
  <c r="G346" i="1"/>
  <c r="F338" i="1"/>
  <c r="G338" i="1"/>
  <c r="F330" i="1"/>
  <c r="G330" i="1"/>
  <c r="F322" i="1"/>
  <c r="G322" i="1"/>
  <c r="F314" i="1"/>
  <c r="G314" i="1"/>
  <c r="G9985" i="1"/>
  <c r="G9958" i="1"/>
  <c r="G9920" i="1"/>
  <c r="G9884" i="1"/>
  <c r="G9855" i="1"/>
  <c r="G9817" i="1"/>
  <c r="G9782" i="1"/>
  <c r="G9752" i="1"/>
  <c r="G9716" i="1"/>
  <c r="G9679" i="1"/>
  <c r="G9649" i="1"/>
  <c r="G9614" i="1"/>
  <c r="G9576" i="1"/>
  <c r="G9548" i="1"/>
  <c r="G9511" i="1"/>
  <c r="G9473" i="1"/>
  <c r="G9446" i="1"/>
  <c r="G9408" i="1"/>
  <c r="G9372" i="1"/>
  <c r="G9343" i="1"/>
  <c r="G9305" i="1"/>
  <c r="G9270" i="1"/>
  <c r="G9240" i="1"/>
  <c r="G9204" i="1"/>
  <c r="G9167" i="1"/>
  <c r="G9137" i="1"/>
  <c r="G9102" i="1"/>
  <c r="G9064" i="1"/>
  <c r="G9036" i="1"/>
  <c r="G8999" i="1"/>
  <c r="G8961" i="1"/>
  <c r="G8934" i="1"/>
  <c r="G8896" i="1"/>
  <c r="G8860" i="1"/>
  <c r="G8831" i="1"/>
  <c r="G8793" i="1"/>
  <c r="G8758" i="1"/>
  <c r="G8728" i="1"/>
  <c r="G8692" i="1"/>
  <c r="G8655" i="1"/>
  <c r="G8625" i="1"/>
  <c r="G8590" i="1"/>
  <c r="G8552" i="1"/>
  <c r="G8524" i="1"/>
  <c r="G8487" i="1"/>
  <c r="G8422" i="1"/>
  <c r="G8384" i="1"/>
  <c r="G8348" i="1"/>
  <c r="G8319" i="1"/>
  <c r="G8246" i="1"/>
  <c r="G8216" i="1"/>
  <c r="G8140" i="1"/>
  <c r="G7952" i="1"/>
  <c r="G7824" i="1"/>
  <c r="G7696" i="1"/>
  <c r="G7568" i="1"/>
  <c r="G7440" i="1"/>
  <c r="G7312" i="1"/>
  <c r="G7184" i="1"/>
  <c r="G7056" i="1"/>
  <c r="F76" i="1"/>
  <c r="G76" i="1"/>
  <c r="F36" i="1"/>
  <c r="G36" i="1"/>
  <c r="E289" i="1"/>
  <c r="F289" i="1"/>
  <c r="G289" i="1"/>
  <c r="F241" i="1"/>
  <c r="G241" i="1"/>
  <c r="E193" i="1"/>
  <c r="F193" i="1"/>
  <c r="G193" i="1"/>
  <c r="F145" i="1"/>
  <c r="G145" i="1"/>
  <c r="F9987" i="1"/>
  <c r="G9987" i="1"/>
  <c r="F9947" i="1"/>
  <c r="G9947" i="1"/>
  <c r="E9907" i="1"/>
  <c r="F9907" i="1"/>
  <c r="G9907" i="1"/>
  <c r="E9867" i="1"/>
  <c r="F9867" i="1"/>
  <c r="G9867" i="1"/>
  <c r="E9827" i="1"/>
  <c r="F9827" i="1"/>
  <c r="G9827" i="1"/>
  <c r="E9787" i="1"/>
  <c r="F9787" i="1"/>
  <c r="G9787" i="1"/>
  <c r="E9747" i="1"/>
  <c r="F9747" i="1"/>
  <c r="G9747" i="1"/>
  <c r="E9707" i="1"/>
  <c r="F9707" i="1"/>
  <c r="G9707" i="1"/>
  <c r="E9667" i="1"/>
  <c r="F9667" i="1"/>
  <c r="G9667" i="1"/>
  <c r="E9627" i="1"/>
  <c r="F9627" i="1"/>
  <c r="G9627" i="1"/>
  <c r="E9587" i="1"/>
  <c r="F9587" i="1"/>
  <c r="G9587" i="1"/>
  <c r="E9547" i="1"/>
  <c r="F9547" i="1"/>
  <c r="G9547" i="1"/>
  <c r="E9491" i="1"/>
  <c r="F9491" i="1"/>
  <c r="G9491" i="1"/>
  <c r="E9251" i="1"/>
  <c r="F9251" i="1"/>
  <c r="G9251" i="1"/>
  <c r="E4547" i="1"/>
  <c r="F4547" i="1"/>
  <c r="G4547" i="1"/>
  <c r="F74" i="1"/>
  <c r="G74" i="1"/>
  <c r="F34" i="1"/>
  <c r="G34" i="1"/>
  <c r="E105" i="1"/>
  <c r="F105" i="1"/>
  <c r="G105" i="1"/>
  <c r="F271" i="1"/>
  <c r="G271" i="1"/>
  <c r="F239" i="1"/>
  <c r="G239" i="1"/>
  <c r="F207" i="1"/>
  <c r="G207" i="1"/>
  <c r="F175" i="1"/>
  <c r="G175" i="1"/>
  <c r="F143" i="1"/>
  <c r="G143" i="1"/>
  <c r="F111" i="1"/>
  <c r="G111" i="1"/>
  <c r="E411" i="1"/>
  <c r="E347" i="1"/>
  <c r="F9993" i="1"/>
  <c r="G9993" i="1"/>
  <c r="F9977" i="1"/>
  <c r="G9977" i="1"/>
  <c r="F9961" i="1"/>
  <c r="G9961" i="1"/>
  <c r="F9953" i="1"/>
  <c r="G9953" i="1"/>
  <c r="F9937" i="1"/>
  <c r="G9937" i="1"/>
  <c r="F9929" i="1"/>
  <c r="G9929" i="1"/>
  <c r="F9913" i="1"/>
  <c r="G9913" i="1"/>
  <c r="F9897" i="1"/>
  <c r="G9897" i="1"/>
  <c r="F9889" i="1"/>
  <c r="G9889" i="1"/>
  <c r="F9873" i="1"/>
  <c r="G9873" i="1"/>
  <c r="F9865" i="1"/>
  <c r="G9865" i="1"/>
  <c r="F9849" i="1"/>
  <c r="G9849" i="1"/>
  <c r="F9833" i="1"/>
  <c r="G9833" i="1"/>
  <c r="F9825" i="1"/>
  <c r="G9825" i="1"/>
  <c r="F9809" i="1"/>
  <c r="G9809" i="1"/>
  <c r="F9801" i="1"/>
  <c r="G9801" i="1"/>
  <c r="F9785" i="1"/>
  <c r="G9785" i="1"/>
  <c r="F9769" i="1"/>
  <c r="G9769" i="1"/>
  <c r="F9761" i="1"/>
  <c r="G9761" i="1"/>
  <c r="F9745" i="1"/>
  <c r="G9745" i="1"/>
  <c r="F9737" i="1"/>
  <c r="G9737" i="1"/>
  <c r="F9721" i="1"/>
  <c r="G9721" i="1"/>
  <c r="F9705" i="1"/>
  <c r="G9705" i="1"/>
  <c r="F9697" i="1"/>
  <c r="G9697" i="1"/>
  <c r="F9681" i="1"/>
  <c r="G9681" i="1"/>
  <c r="F9673" i="1"/>
  <c r="G9673" i="1"/>
  <c r="F9657" i="1"/>
  <c r="G9657" i="1"/>
  <c r="F9641" i="1"/>
  <c r="G9641" i="1"/>
  <c r="F9633" i="1"/>
  <c r="G9633" i="1"/>
  <c r="F9617" i="1"/>
  <c r="G9617" i="1"/>
  <c r="F9609" i="1"/>
  <c r="G9609" i="1"/>
  <c r="F9593" i="1"/>
  <c r="G9593" i="1"/>
  <c r="F9577" i="1"/>
  <c r="G9577" i="1"/>
  <c r="F9569" i="1"/>
  <c r="G9569" i="1"/>
  <c r="F9553" i="1"/>
  <c r="G9553" i="1"/>
  <c r="F9545" i="1"/>
  <c r="G9545" i="1"/>
  <c r="F9529" i="1"/>
  <c r="G9529" i="1"/>
  <c r="F9513" i="1"/>
  <c r="G9513" i="1"/>
  <c r="F9505" i="1"/>
  <c r="G9505" i="1"/>
  <c r="F9489" i="1"/>
  <c r="G9489" i="1"/>
  <c r="F9481" i="1"/>
  <c r="G9481" i="1"/>
  <c r="F9465" i="1"/>
  <c r="G9465" i="1"/>
  <c r="F9449" i="1"/>
  <c r="G9449" i="1"/>
  <c r="F9441" i="1"/>
  <c r="G9441" i="1"/>
  <c r="F9425" i="1"/>
  <c r="G9425" i="1"/>
  <c r="F9417" i="1"/>
  <c r="G9417" i="1"/>
  <c r="F9401" i="1"/>
  <c r="G9401" i="1"/>
  <c r="F9385" i="1"/>
  <c r="G9385" i="1"/>
  <c r="F9377" i="1"/>
  <c r="G9377" i="1"/>
  <c r="F9361" i="1"/>
  <c r="G9361" i="1"/>
  <c r="F9353" i="1"/>
  <c r="G9353" i="1"/>
  <c r="F9337" i="1"/>
  <c r="G9337" i="1"/>
  <c r="F9321" i="1"/>
  <c r="G9321" i="1"/>
  <c r="F9313" i="1"/>
  <c r="G9313" i="1"/>
  <c r="F9297" i="1"/>
  <c r="G9297" i="1"/>
  <c r="F9289" i="1"/>
  <c r="G9289" i="1"/>
  <c r="F9273" i="1"/>
  <c r="G9273" i="1"/>
  <c r="F9257" i="1"/>
  <c r="G9257" i="1"/>
  <c r="F9249" i="1"/>
  <c r="G9249" i="1"/>
  <c r="F9233" i="1"/>
  <c r="G9233" i="1"/>
  <c r="F9225" i="1"/>
  <c r="G9225" i="1"/>
  <c r="F9209" i="1"/>
  <c r="G9209" i="1"/>
  <c r="F9193" i="1"/>
  <c r="G9193" i="1"/>
  <c r="F9185" i="1"/>
  <c r="G9185" i="1"/>
  <c r="F9169" i="1"/>
  <c r="G9169" i="1"/>
  <c r="F9161" i="1"/>
  <c r="G9161" i="1"/>
  <c r="F9145" i="1"/>
  <c r="G9145" i="1"/>
  <c r="F9129" i="1"/>
  <c r="G9129" i="1"/>
  <c r="F9121" i="1"/>
  <c r="G9121" i="1"/>
  <c r="F9105" i="1"/>
  <c r="G9105" i="1"/>
  <c r="F9097" i="1"/>
  <c r="G9097" i="1"/>
  <c r="F9081" i="1"/>
  <c r="G9081" i="1"/>
  <c r="F9065" i="1"/>
  <c r="G9065" i="1"/>
  <c r="F9057" i="1"/>
  <c r="G9057" i="1"/>
  <c r="F9041" i="1"/>
  <c r="G9041" i="1"/>
  <c r="F9033" i="1"/>
  <c r="G9033" i="1"/>
  <c r="F9017" i="1"/>
  <c r="G9017" i="1"/>
  <c r="F9001" i="1"/>
  <c r="G9001" i="1"/>
  <c r="F8993" i="1"/>
  <c r="G8993" i="1"/>
  <c r="F8977" i="1"/>
  <c r="G8977" i="1"/>
  <c r="F8969" i="1"/>
  <c r="G8969" i="1"/>
  <c r="F8953" i="1"/>
  <c r="G8953" i="1"/>
  <c r="F8937" i="1"/>
  <c r="G8937" i="1"/>
  <c r="F8929" i="1"/>
  <c r="G8929" i="1"/>
  <c r="F8913" i="1"/>
  <c r="G8913" i="1"/>
  <c r="F8905" i="1"/>
  <c r="G8905" i="1"/>
  <c r="F8889" i="1"/>
  <c r="G8889" i="1"/>
  <c r="F8873" i="1"/>
  <c r="G8873" i="1"/>
  <c r="F8865" i="1"/>
  <c r="G8865" i="1"/>
  <c r="F8849" i="1"/>
  <c r="G8849" i="1"/>
  <c r="F8841" i="1"/>
  <c r="G8841" i="1"/>
  <c r="F8825" i="1"/>
  <c r="G8825" i="1"/>
  <c r="F8809" i="1"/>
  <c r="G8809" i="1"/>
  <c r="F8801" i="1"/>
  <c r="G8801" i="1"/>
  <c r="F8785" i="1"/>
  <c r="G8785" i="1"/>
  <c r="F8777" i="1"/>
  <c r="G8777" i="1"/>
  <c r="F8761" i="1"/>
  <c r="G8761" i="1"/>
  <c r="F8745" i="1"/>
  <c r="G8745" i="1"/>
  <c r="F8737" i="1"/>
  <c r="G8737" i="1"/>
  <c r="F8721" i="1"/>
  <c r="G8721" i="1"/>
  <c r="F8713" i="1"/>
  <c r="G8713" i="1"/>
  <c r="F8697" i="1"/>
  <c r="G8697" i="1"/>
  <c r="F8681" i="1"/>
  <c r="G8681" i="1"/>
  <c r="F8673" i="1"/>
  <c r="G8673" i="1"/>
  <c r="F8657" i="1"/>
  <c r="G8657" i="1"/>
  <c r="F8649" i="1"/>
  <c r="G8649" i="1"/>
  <c r="F8633" i="1"/>
  <c r="G8633" i="1"/>
  <c r="F8617" i="1"/>
  <c r="G8617" i="1"/>
  <c r="F8609" i="1"/>
  <c r="G8609" i="1"/>
  <c r="F8593" i="1"/>
  <c r="G8593" i="1"/>
  <c r="F8585" i="1"/>
  <c r="G8585" i="1"/>
  <c r="F8569" i="1"/>
  <c r="G8569" i="1"/>
  <c r="F8553" i="1"/>
  <c r="G8553" i="1"/>
  <c r="F8545" i="1"/>
  <c r="G8545" i="1"/>
  <c r="G9881" i="1"/>
  <c r="G9713" i="1"/>
  <c r="G9537" i="1"/>
  <c r="G9369" i="1"/>
  <c r="G9201" i="1"/>
  <c r="G9025" i="1"/>
  <c r="G8857" i="1"/>
  <c r="G8689" i="1"/>
  <c r="E97" i="1"/>
  <c r="F97" i="1"/>
  <c r="G97" i="1"/>
  <c r="E89" i="1"/>
  <c r="F89" i="1"/>
  <c r="G89" i="1"/>
  <c r="E81" i="1"/>
  <c r="F81" i="1"/>
  <c r="G81" i="1"/>
  <c r="E73" i="1"/>
  <c r="F73" i="1"/>
  <c r="G73" i="1"/>
  <c r="E65" i="1"/>
  <c r="F65" i="1"/>
  <c r="G65" i="1"/>
  <c r="E57" i="1"/>
  <c r="F57" i="1"/>
  <c r="G57" i="1"/>
  <c r="E49" i="1"/>
  <c r="F49" i="1"/>
  <c r="G49" i="1"/>
  <c r="E41" i="1"/>
  <c r="F41" i="1"/>
  <c r="G41" i="1"/>
  <c r="E33" i="1"/>
  <c r="F33" i="1"/>
  <c r="G33" i="1"/>
  <c r="E25" i="1"/>
  <c r="F25" i="1"/>
  <c r="G25" i="1"/>
  <c r="E17" i="1"/>
  <c r="F17" i="1"/>
  <c r="G17" i="1"/>
  <c r="E9" i="1"/>
  <c r="F9" i="1"/>
  <c r="G9" i="1"/>
  <c r="E104" i="1"/>
  <c r="F104" i="1"/>
  <c r="G104" i="1"/>
  <c r="E242" i="1"/>
  <c r="E170" i="1"/>
  <c r="E145" i="1"/>
  <c r="E119" i="1"/>
  <c r="F294" i="1"/>
  <c r="G294" i="1"/>
  <c r="F286" i="1"/>
  <c r="G286" i="1"/>
  <c r="F278" i="1"/>
  <c r="G278" i="1"/>
  <c r="F270" i="1"/>
  <c r="G270" i="1"/>
  <c r="F262" i="1"/>
  <c r="G262" i="1"/>
  <c r="F254" i="1"/>
  <c r="G254" i="1"/>
  <c r="F246" i="1"/>
  <c r="G246" i="1"/>
  <c r="F238" i="1"/>
  <c r="G238" i="1"/>
  <c r="F230" i="1"/>
  <c r="G230" i="1"/>
  <c r="F222" i="1"/>
  <c r="G222" i="1"/>
  <c r="F214" i="1"/>
  <c r="G214" i="1"/>
  <c r="F206" i="1"/>
  <c r="G206" i="1"/>
  <c r="F198" i="1"/>
  <c r="G198" i="1"/>
  <c r="F190" i="1"/>
  <c r="G190" i="1"/>
  <c r="F182" i="1"/>
  <c r="G182" i="1"/>
  <c r="F174" i="1"/>
  <c r="G174" i="1"/>
  <c r="F166" i="1"/>
  <c r="G166" i="1"/>
  <c r="F158" i="1"/>
  <c r="G158" i="1"/>
  <c r="F150" i="1"/>
  <c r="G150" i="1"/>
  <c r="F142" i="1"/>
  <c r="G142" i="1"/>
  <c r="F134" i="1"/>
  <c r="G134" i="1"/>
  <c r="F126" i="1"/>
  <c r="G126" i="1"/>
  <c r="F118" i="1"/>
  <c r="G118" i="1"/>
  <c r="F110" i="1"/>
  <c r="G110" i="1"/>
  <c r="E9969" i="1"/>
  <c r="E9937" i="1"/>
  <c r="E9905" i="1"/>
  <c r="E9873" i="1"/>
  <c r="E9841" i="1"/>
  <c r="E9809" i="1"/>
  <c r="E9777" i="1"/>
  <c r="E9745" i="1"/>
  <c r="E9713" i="1"/>
  <c r="E9681" i="1"/>
  <c r="E9649" i="1"/>
  <c r="E9617" i="1"/>
  <c r="E9585" i="1"/>
  <c r="E9553" i="1"/>
  <c r="E9521" i="1"/>
  <c r="E9489" i="1"/>
  <c r="E9457" i="1"/>
  <c r="E9425" i="1"/>
  <c r="E9393" i="1"/>
  <c r="E9361" i="1"/>
  <c r="E9329" i="1"/>
  <c r="E9297" i="1"/>
  <c r="E9265" i="1"/>
  <c r="E9233" i="1"/>
  <c r="E9201" i="1"/>
  <c r="E9169" i="1"/>
  <c r="E9137" i="1"/>
  <c r="E9105" i="1"/>
  <c r="E9073" i="1"/>
  <c r="E9041" i="1"/>
  <c r="E9009" i="1"/>
  <c r="E8977" i="1"/>
  <c r="E8945" i="1"/>
  <c r="E8913" i="1"/>
  <c r="E8881" i="1"/>
  <c r="E8849" i="1"/>
  <c r="E8817" i="1"/>
  <c r="E8785" i="1"/>
  <c r="E8753" i="1"/>
  <c r="E8721" i="1"/>
  <c r="E8689" i="1"/>
  <c r="E8657" i="1"/>
  <c r="E8625" i="1"/>
  <c r="E8593" i="1"/>
  <c r="E8561" i="1"/>
  <c r="E419" i="1"/>
  <c r="E355" i="1"/>
  <c r="F10000" i="1"/>
  <c r="G10000" i="1"/>
  <c r="F9992" i="1"/>
  <c r="G9992" i="1"/>
  <c r="F9976" i="1"/>
  <c r="G9976" i="1"/>
  <c r="F9968" i="1"/>
  <c r="G9968" i="1"/>
  <c r="F9952" i="1"/>
  <c r="G9952" i="1"/>
  <c r="F9936" i="1"/>
  <c r="G9936" i="1"/>
  <c r="F9928" i="1"/>
  <c r="G9928" i="1"/>
  <c r="F9912" i="1"/>
  <c r="G9912" i="1"/>
  <c r="F9904" i="1"/>
  <c r="G9904" i="1"/>
  <c r="F9888" i="1"/>
  <c r="G9888" i="1"/>
  <c r="F9872" i="1"/>
  <c r="G9872" i="1"/>
  <c r="F9864" i="1"/>
  <c r="G9864" i="1"/>
  <c r="F9848" i="1"/>
  <c r="G9848" i="1"/>
  <c r="F9840" i="1"/>
  <c r="G9840" i="1"/>
  <c r="F9824" i="1"/>
  <c r="G9824" i="1"/>
  <c r="F9808" i="1"/>
  <c r="G9808" i="1"/>
  <c r="F9800" i="1"/>
  <c r="G9800" i="1"/>
  <c r="F9784" i="1"/>
  <c r="G9784" i="1"/>
  <c r="F9776" i="1"/>
  <c r="G9776" i="1"/>
  <c r="F9760" i="1"/>
  <c r="G9760" i="1"/>
  <c r="F9744" i="1"/>
  <c r="G9744" i="1"/>
  <c r="F9736" i="1"/>
  <c r="G9736" i="1"/>
  <c r="F9720" i="1"/>
  <c r="G9720" i="1"/>
  <c r="F9712" i="1"/>
  <c r="G9712" i="1"/>
  <c r="F9696" i="1"/>
  <c r="G9696" i="1"/>
  <c r="F9680" i="1"/>
  <c r="G9680" i="1"/>
  <c r="F9672" i="1"/>
  <c r="G9672" i="1"/>
  <c r="F9656" i="1"/>
  <c r="G9656" i="1"/>
  <c r="F9648" i="1"/>
  <c r="G9648" i="1"/>
  <c r="F9632" i="1"/>
  <c r="G9632" i="1"/>
  <c r="F9616" i="1"/>
  <c r="G9616" i="1"/>
  <c r="F9608" i="1"/>
  <c r="G9608" i="1"/>
  <c r="F9592" i="1"/>
  <c r="G9592" i="1"/>
  <c r="F9584" i="1"/>
  <c r="G9584" i="1"/>
  <c r="F9568" i="1"/>
  <c r="G9568" i="1"/>
  <c r="F9552" i="1"/>
  <c r="G9552" i="1"/>
  <c r="F9544" i="1"/>
  <c r="G9544" i="1"/>
  <c r="F9528" i="1"/>
  <c r="G9528" i="1"/>
  <c r="F9520" i="1"/>
  <c r="G9520" i="1"/>
  <c r="F9504" i="1"/>
  <c r="G9504" i="1"/>
  <c r="F9488" i="1"/>
  <c r="G9488" i="1"/>
  <c r="F9480" i="1"/>
  <c r="G9480" i="1"/>
  <c r="F9464" i="1"/>
  <c r="G9464" i="1"/>
  <c r="F9456" i="1"/>
  <c r="G9456" i="1"/>
  <c r="F9440" i="1"/>
  <c r="G9440" i="1"/>
  <c r="F9424" i="1"/>
  <c r="G9424" i="1"/>
  <c r="F9416" i="1"/>
  <c r="G9416" i="1"/>
  <c r="F9400" i="1"/>
  <c r="G9400" i="1"/>
  <c r="F9392" i="1"/>
  <c r="G9392" i="1"/>
  <c r="F9376" i="1"/>
  <c r="G9376" i="1"/>
  <c r="F9360" i="1"/>
  <c r="G9360" i="1"/>
  <c r="F9352" i="1"/>
  <c r="G9352" i="1"/>
  <c r="F9336" i="1"/>
  <c r="G9336" i="1"/>
  <c r="F9328" i="1"/>
  <c r="G9328" i="1"/>
  <c r="F9312" i="1"/>
  <c r="G9312" i="1"/>
  <c r="F9296" i="1"/>
  <c r="G9296" i="1"/>
  <c r="F9288" i="1"/>
  <c r="G9288" i="1"/>
  <c r="F9272" i="1"/>
  <c r="G9272" i="1"/>
  <c r="F9264" i="1"/>
  <c r="G9264" i="1"/>
  <c r="F9248" i="1"/>
  <c r="G9248" i="1"/>
  <c r="F9232" i="1"/>
  <c r="G9232" i="1"/>
  <c r="F9224" i="1"/>
  <c r="G9224" i="1"/>
  <c r="F9208" i="1"/>
  <c r="G9208" i="1"/>
  <c r="F9200" i="1"/>
  <c r="G9200" i="1"/>
  <c r="F9184" i="1"/>
  <c r="G9184" i="1"/>
  <c r="F9168" i="1"/>
  <c r="G9168" i="1"/>
  <c r="F9160" i="1"/>
  <c r="G9160" i="1"/>
  <c r="F9144" i="1"/>
  <c r="G9144" i="1"/>
  <c r="F9136" i="1"/>
  <c r="G9136" i="1"/>
  <c r="F9120" i="1"/>
  <c r="G9120" i="1"/>
  <c r="F9104" i="1"/>
  <c r="G9104" i="1"/>
  <c r="F9096" i="1"/>
  <c r="G9096" i="1"/>
  <c r="F9080" i="1"/>
  <c r="G9080" i="1"/>
  <c r="F9072" i="1"/>
  <c r="G9072" i="1"/>
  <c r="F9056" i="1"/>
  <c r="G9056" i="1"/>
  <c r="F9040" i="1"/>
  <c r="G9040" i="1"/>
  <c r="F9032" i="1"/>
  <c r="G9032" i="1"/>
  <c r="F9016" i="1"/>
  <c r="G9016" i="1"/>
  <c r="F9008" i="1"/>
  <c r="G9008" i="1"/>
  <c r="F8992" i="1"/>
  <c r="G8992" i="1"/>
  <c r="F8976" i="1"/>
  <c r="G8976" i="1"/>
  <c r="F8968" i="1"/>
  <c r="G8968" i="1"/>
  <c r="F8952" i="1"/>
  <c r="G8952" i="1"/>
  <c r="F8944" i="1"/>
  <c r="G8944" i="1"/>
  <c r="F8928" i="1"/>
  <c r="G8928" i="1"/>
  <c r="F8912" i="1"/>
  <c r="G8912" i="1"/>
  <c r="F8904" i="1"/>
  <c r="G8904" i="1"/>
  <c r="F8888" i="1"/>
  <c r="G8888" i="1"/>
  <c r="F8880" i="1"/>
  <c r="G8880" i="1"/>
  <c r="F8864" i="1"/>
  <c r="G8864" i="1"/>
  <c r="F8848" i="1"/>
  <c r="G8848" i="1"/>
  <c r="F8840" i="1"/>
  <c r="G8840" i="1"/>
  <c r="F8824" i="1"/>
  <c r="G8824" i="1"/>
  <c r="F8816" i="1"/>
  <c r="G8816" i="1"/>
  <c r="F8800" i="1"/>
  <c r="G8800" i="1"/>
  <c r="F8784" i="1"/>
  <c r="G8784" i="1"/>
  <c r="F8776" i="1"/>
  <c r="G8776" i="1"/>
  <c r="F8760" i="1"/>
  <c r="G8760" i="1"/>
  <c r="F8752" i="1"/>
  <c r="G8752" i="1"/>
  <c r="F8736" i="1"/>
  <c r="G8736" i="1"/>
  <c r="F8720" i="1"/>
  <c r="G8720" i="1"/>
  <c r="F8712" i="1"/>
  <c r="G8712" i="1"/>
  <c r="F8696" i="1"/>
  <c r="G8696" i="1"/>
  <c r="F8688" i="1"/>
  <c r="G8688" i="1"/>
  <c r="F8672" i="1"/>
  <c r="G8672" i="1"/>
  <c r="F8656" i="1"/>
  <c r="G8656" i="1"/>
  <c r="F8648" i="1"/>
  <c r="G8648" i="1"/>
  <c r="F8632" i="1"/>
  <c r="G8632" i="1"/>
  <c r="F8624" i="1"/>
  <c r="G8624" i="1"/>
  <c r="F8608" i="1"/>
  <c r="G8608" i="1"/>
  <c r="F8592" i="1"/>
  <c r="G8592" i="1"/>
  <c r="F8584" i="1"/>
  <c r="G8584" i="1"/>
  <c r="F8568" i="1"/>
  <c r="G8568" i="1"/>
  <c r="F8560" i="1"/>
  <c r="G8560" i="1"/>
  <c r="F8544" i="1"/>
  <c r="G8544" i="1"/>
  <c r="F8528" i="1"/>
  <c r="G8528" i="1"/>
  <c r="F8520" i="1"/>
  <c r="G8520" i="1"/>
  <c r="F8504" i="1"/>
  <c r="G8504" i="1"/>
  <c r="F8496" i="1"/>
  <c r="G8496" i="1"/>
  <c r="F8480" i="1"/>
  <c r="G8480" i="1"/>
  <c r="F8464" i="1"/>
  <c r="G8464" i="1"/>
  <c r="F8456" i="1"/>
  <c r="G8456" i="1"/>
  <c r="F8440" i="1"/>
  <c r="G8440" i="1"/>
  <c r="F8432" i="1"/>
  <c r="G8432" i="1"/>
  <c r="F8416" i="1"/>
  <c r="G8416" i="1"/>
  <c r="F8400" i="1"/>
  <c r="G8400" i="1"/>
  <c r="F8392" i="1"/>
  <c r="G8392" i="1"/>
  <c r="F8376" i="1"/>
  <c r="G8376" i="1"/>
  <c r="F8368" i="1"/>
  <c r="G8368" i="1"/>
  <c r="F8352" i="1"/>
  <c r="G8352" i="1"/>
  <c r="F8336" i="1"/>
  <c r="G8336" i="1"/>
  <c r="F8328" i="1"/>
  <c r="G8328" i="1"/>
  <c r="F8312" i="1"/>
  <c r="G8312" i="1"/>
  <c r="F8304" i="1"/>
  <c r="G8304" i="1"/>
  <c r="F8288" i="1"/>
  <c r="G8288" i="1"/>
  <c r="F8272" i="1"/>
  <c r="G8272" i="1"/>
  <c r="F8264" i="1"/>
  <c r="G8264" i="1"/>
  <c r="F8248" i="1"/>
  <c r="G8248" i="1"/>
  <c r="F8240" i="1"/>
  <c r="G8240" i="1"/>
  <c r="F8224" i="1"/>
  <c r="G8224" i="1"/>
  <c r="F8208" i="1"/>
  <c r="G8208" i="1"/>
  <c r="F8200" i="1"/>
  <c r="G8200" i="1"/>
  <c r="F8192" i="1"/>
  <c r="G8192" i="1"/>
  <c r="F8184" i="1"/>
  <c r="G8184" i="1"/>
  <c r="F8176" i="1"/>
  <c r="G8176" i="1"/>
  <c r="F8168" i="1"/>
  <c r="G8168" i="1"/>
  <c r="F8160" i="1"/>
  <c r="G8160" i="1"/>
  <c r="F8144" i="1"/>
  <c r="G8144" i="1"/>
  <c r="F8136" i="1"/>
  <c r="G8136" i="1"/>
  <c r="F8128" i="1"/>
  <c r="G8128" i="1"/>
  <c r="F8120" i="1"/>
  <c r="G8120" i="1"/>
  <c r="F8112" i="1"/>
  <c r="G8112" i="1"/>
  <c r="F8104" i="1"/>
  <c r="G8104" i="1"/>
  <c r="F8096" i="1"/>
  <c r="G8096" i="1"/>
  <c r="F8080" i="1"/>
  <c r="G8080" i="1"/>
  <c r="F8072" i="1"/>
  <c r="G8072" i="1"/>
  <c r="F8064" i="1"/>
  <c r="G8064" i="1"/>
  <c r="F8056" i="1"/>
  <c r="G8056" i="1"/>
  <c r="F8040" i="1"/>
  <c r="G8040" i="1"/>
  <c r="F8024" i="1"/>
  <c r="G8024" i="1"/>
  <c r="F8008" i="1"/>
  <c r="G8008" i="1"/>
  <c r="F7992" i="1"/>
  <c r="G7992" i="1"/>
  <c r="F7976" i="1"/>
  <c r="G7976" i="1"/>
  <c r="F7960" i="1"/>
  <c r="G7960" i="1"/>
  <c r="F7944" i="1"/>
  <c r="G7944" i="1"/>
  <c r="F7928" i="1"/>
  <c r="G7928" i="1"/>
  <c r="F7912" i="1"/>
  <c r="G7912" i="1"/>
  <c r="F7896" i="1"/>
  <c r="G7896" i="1"/>
  <c r="F7880" i="1"/>
  <c r="G7880" i="1"/>
  <c r="F7864" i="1"/>
  <c r="G7864" i="1"/>
  <c r="F7848" i="1"/>
  <c r="G7848" i="1"/>
  <c r="F7832" i="1"/>
  <c r="G7832" i="1"/>
  <c r="F7816" i="1"/>
  <c r="G7816" i="1"/>
  <c r="F7800" i="1"/>
  <c r="G7800" i="1"/>
  <c r="F7784" i="1"/>
  <c r="G7784" i="1"/>
  <c r="F7768" i="1"/>
  <c r="G7768" i="1"/>
  <c r="F7752" i="1"/>
  <c r="G7752" i="1"/>
  <c r="F7736" i="1"/>
  <c r="G7736" i="1"/>
  <c r="F7720" i="1"/>
  <c r="G7720" i="1"/>
  <c r="F7704" i="1"/>
  <c r="G7704" i="1"/>
  <c r="F7688" i="1"/>
  <c r="G7688" i="1"/>
  <c r="F7672" i="1"/>
  <c r="G7672" i="1"/>
  <c r="F7656" i="1"/>
  <c r="G7656" i="1"/>
  <c r="F7640" i="1"/>
  <c r="G7640" i="1"/>
  <c r="F7624" i="1"/>
  <c r="G7624" i="1"/>
  <c r="F7608" i="1"/>
  <c r="G7608" i="1"/>
  <c r="F7592" i="1"/>
  <c r="G7592" i="1"/>
  <c r="F7576" i="1"/>
  <c r="G7576" i="1"/>
  <c r="F7560" i="1"/>
  <c r="G7560" i="1"/>
  <c r="F7544" i="1"/>
  <c r="G7544" i="1"/>
  <c r="F7528" i="1"/>
  <c r="G7528" i="1"/>
  <c r="F7512" i="1"/>
  <c r="G7512" i="1"/>
  <c r="F7496" i="1"/>
  <c r="G7496" i="1"/>
  <c r="F7480" i="1"/>
  <c r="G7480" i="1"/>
  <c r="F7464" i="1"/>
  <c r="G7464" i="1"/>
  <c r="F7448" i="1"/>
  <c r="G7448" i="1"/>
  <c r="F7432" i="1"/>
  <c r="G7432" i="1"/>
  <c r="F7416" i="1"/>
  <c r="G7416" i="1"/>
  <c r="F7400" i="1"/>
  <c r="G7400" i="1"/>
  <c r="F7384" i="1"/>
  <c r="G7384" i="1"/>
  <c r="F7368" i="1"/>
  <c r="G7368" i="1"/>
  <c r="F7352" i="1"/>
  <c r="G7352" i="1"/>
  <c r="F7336" i="1"/>
  <c r="G7336" i="1"/>
  <c r="F7320" i="1"/>
  <c r="G7320" i="1"/>
  <c r="F7304" i="1"/>
  <c r="G7304" i="1"/>
  <c r="F7288" i="1"/>
  <c r="G7288" i="1"/>
  <c r="F7272" i="1"/>
  <c r="G7272" i="1"/>
  <c r="F7256" i="1"/>
  <c r="G7256" i="1"/>
  <c r="F7240" i="1"/>
  <c r="G7240" i="1"/>
  <c r="F7224" i="1"/>
  <c r="G7224" i="1"/>
  <c r="F7208" i="1"/>
  <c r="G7208" i="1"/>
  <c r="F7192" i="1"/>
  <c r="G7192" i="1"/>
  <c r="F7176" i="1"/>
  <c r="G7176" i="1"/>
  <c r="F7160" i="1"/>
  <c r="G7160" i="1"/>
  <c r="F7144" i="1"/>
  <c r="G7144" i="1"/>
  <c r="F7128" i="1"/>
  <c r="G7128" i="1"/>
  <c r="F7112" i="1"/>
  <c r="G7112" i="1"/>
  <c r="F7096" i="1"/>
  <c r="G7096" i="1"/>
  <c r="F7080" i="1"/>
  <c r="G7080" i="1"/>
  <c r="F7064" i="1"/>
  <c r="G7064" i="1"/>
  <c r="F7048" i="1"/>
  <c r="G7048" i="1"/>
  <c r="F7032" i="1"/>
  <c r="G7032" i="1"/>
  <c r="F7016" i="1"/>
  <c r="G7016" i="1"/>
  <c r="F7000" i="1"/>
  <c r="G7000" i="1"/>
  <c r="F6984" i="1"/>
  <c r="G6984" i="1"/>
  <c r="F6968" i="1"/>
  <c r="G6968" i="1"/>
  <c r="F6952" i="1"/>
  <c r="G6952" i="1"/>
  <c r="F6944" i="1"/>
  <c r="G6944" i="1"/>
  <c r="F6936" i="1"/>
  <c r="G6936" i="1"/>
  <c r="F6928" i="1"/>
  <c r="G6928" i="1"/>
  <c r="F6920" i="1"/>
  <c r="G6920" i="1"/>
  <c r="F6912" i="1"/>
  <c r="G6912" i="1"/>
  <c r="F6904" i="1"/>
  <c r="G6904" i="1"/>
  <c r="F6896" i="1"/>
  <c r="G6896" i="1"/>
  <c r="F6888" i="1"/>
  <c r="G6888" i="1"/>
  <c r="F6880" i="1"/>
  <c r="G6880" i="1"/>
  <c r="F6872" i="1"/>
  <c r="G6872" i="1"/>
  <c r="F6864" i="1"/>
  <c r="G6864" i="1"/>
  <c r="F6856" i="1"/>
  <c r="G6856" i="1"/>
  <c r="F6848" i="1"/>
  <c r="G6848" i="1"/>
  <c r="F6840" i="1"/>
  <c r="G6840" i="1"/>
  <c r="F6832" i="1"/>
  <c r="G6832" i="1"/>
  <c r="F6824" i="1"/>
  <c r="G6824" i="1"/>
  <c r="F6816" i="1"/>
  <c r="G6816" i="1"/>
  <c r="F6808" i="1"/>
  <c r="G6808" i="1"/>
  <c r="F6800" i="1"/>
  <c r="G6800" i="1"/>
  <c r="F6792" i="1"/>
  <c r="G6792" i="1"/>
  <c r="F6784" i="1"/>
  <c r="G6784" i="1"/>
  <c r="F6776" i="1"/>
  <c r="G6776" i="1"/>
  <c r="F6768" i="1"/>
  <c r="G6768" i="1"/>
  <c r="F6760" i="1"/>
  <c r="G6760" i="1"/>
  <c r="F6752" i="1"/>
  <c r="G6752" i="1"/>
  <c r="F6744" i="1"/>
  <c r="G6744" i="1"/>
  <c r="F6736" i="1"/>
  <c r="G6736" i="1"/>
  <c r="F6728" i="1"/>
  <c r="G6728" i="1"/>
  <c r="F6720" i="1"/>
  <c r="G6720" i="1"/>
  <c r="F6712" i="1"/>
  <c r="G6712" i="1"/>
  <c r="F6704" i="1"/>
  <c r="G6704" i="1"/>
  <c r="F6696" i="1"/>
  <c r="G6696" i="1"/>
  <c r="F6688" i="1"/>
  <c r="G6688" i="1"/>
  <c r="F6680" i="1"/>
  <c r="G6680" i="1"/>
  <c r="F6672" i="1"/>
  <c r="G6672" i="1"/>
  <c r="F6664" i="1"/>
  <c r="G6664" i="1"/>
  <c r="F6656" i="1"/>
  <c r="G6656" i="1"/>
  <c r="F6648" i="1"/>
  <c r="G6648" i="1"/>
  <c r="F6640" i="1"/>
  <c r="G6640" i="1"/>
  <c r="F6632" i="1"/>
  <c r="G6632" i="1"/>
  <c r="F6624" i="1"/>
  <c r="G6624" i="1"/>
  <c r="F6616" i="1"/>
  <c r="G6616" i="1"/>
  <c r="F6608" i="1"/>
  <c r="G6608" i="1"/>
  <c r="F6600" i="1"/>
  <c r="G6600" i="1"/>
  <c r="F6592" i="1"/>
  <c r="G6592" i="1"/>
  <c r="F6584" i="1"/>
  <c r="G6584" i="1"/>
  <c r="F6576" i="1"/>
  <c r="G6576" i="1"/>
  <c r="F6568" i="1"/>
  <c r="G6568" i="1"/>
  <c r="F6560" i="1"/>
  <c r="G6560" i="1"/>
  <c r="F6552" i="1"/>
  <c r="G6552" i="1"/>
  <c r="F6544" i="1"/>
  <c r="G6544" i="1"/>
  <c r="F6536" i="1"/>
  <c r="G6536" i="1"/>
  <c r="F6528" i="1"/>
  <c r="G6528" i="1"/>
  <c r="F6520" i="1"/>
  <c r="G6520" i="1"/>
  <c r="F6512" i="1"/>
  <c r="G6512" i="1"/>
  <c r="F6504" i="1"/>
  <c r="G6504" i="1"/>
  <c r="F6496" i="1"/>
  <c r="G6496" i="1"/>
  <c r="F6488" i="1"/>
  <c r="G6488" i="1"/>
  <c r="F6480" i="1"/>
  <c r="G6480" i="1"/>
  <c r="F6472" i="1"/>
  <c r="G6472" i="1"/>
  <c r="F6464" i="1"/>
  <c r="G6464" i="1"/>
  <c r="F6456" i="1"/>
  <c r="G6456" i="1"/>
  <c r="F6448" i="1"/>
  <c r="G6448" i="1"/>
  <c r="F6440" i="1"/>
  <c r="G6440" i="1"/>
  <c r="F6432" i="1"/>
  <c r="G6432" i="1"/>
  <c r="F6424" i="1"/>
  <c r="G6424" i="1"/>
  <c r="G9983" i="1"/>
  <c r="G9945" i="1"/>
  <c r="G9910" i="1"/>
  <c r="G9880" i="1"/>
  <c r="G9844" i="1"/>
  <c r="G9807" i="1"/>
  <c r="G9777" i="1"/>
  <c r="G9742" i="1"/>
  <c r="G9704" i="1"/>
  <c r="G9676" i="1"/>
  <c r="G9639" i="1"/>
  <c r="G9601" i="1"/>
  <c r="G9574" i="1"/>
  <c r="G9536" i="1"/>
  <c r="G9500" i="1"/>
  <c r="G9471" i="1"/>
  <c r="G9433" i="1"/>
  <c r="G9398" i="1"/>
  <c r="G9368" i="1"/>
  <c r="G9332" i="1"/>
  <c r="G9295" i="1"/>
  <c r="G9265" i="1"/>
  <c r="G9230" i="1"/>
  <c r="G9192" i="1"/>
  <c r="G9164" i="1"/>
  <c r="G9127" i="1"/>
  <c r="G9089" i="1"/>
  <c r="G9062" i="1"/>
  <c r="G9024" i="1"/>
  <c r="G8988" i="1"/>
  <c r="G8959" i="1"/>
  <c r="G8921" i="1"/>
  <c r="G8886" i="1"/>
  <c r="G8856" i="1"/>
  <c r="G8820" i="1"/>
  <c r="G8783" i="1"/>
  <c r="G8753" i="1"/>
  <c r="G8718" i="1"/>
  <c r="G8680" i="1"/>
  <c r="G8652" i="1"/>
  <c r="G8615" i="1"/>
  <c r="G8577" i="1"/>
  <c r="G8550" i="1"/>
  <c r="G8512" i="1"/>
  <c r="G8476" i="1"/>
  <c r="G8447" i="1"/>
  <c r="G8374" i="1"/>
  <c r="G8344" i="1"/>
  <c r="G8308" i="1"/>
  <c r="G8271" i="1"/>
  <c r="G8127" i="1"/>
  <c r="G8048" i="1"/>
  <c r="G7920" i="1"/>
  <c r="G7792" i="1"/>
  <c r="G7664" i="1"/>
  <c r="G7536" i="1"/>
  <c r="G7408" i="1"/>
  <c r="G7280" i="1"/>
  <c r="G7152" i="1"/>
  <c r="G7024" i="1"/>
  <c r="F92" i="1"/>
  <c r="G92" i="1"/>
  <c r="F52" i="1"/>
  <c r="G52" i="1"/>
  <c r="F12" i="1"/>
  <c r="G12" i="1"/>
  <c r="F281" i="1"/>
  <c r="G281" i="1"/>
  <c r="E233" i="1"/>
  <c r="F233" i="1"/>
  <c r="G233" i="1"/>
  <c r="E185" i="1"/>
  <c r="F185" i="1"/>
  <c r="G185" i="1"/>
  <c r="E129" i="1"/>
  <c r="F129" i="1"/>
  <c r="G129" i="1"/>
  <c r="E4563" i="1"/>
  <c r="F4563" i="1"/>
  <c r="G4563" i="1"/>
  <c r="F90" i="1"/>
  <c r="G90" i="1"/>
  <c r="F58" i="1"/>
  <c r="G58" i="1"/>
  <c r="F18" i="1"/>
  <c r="G18" i="1"/>
  <c r="E32" i="1"/>
  <c r="F32" i="1"/>
  <c r="G32" i="1"/>
  <c r="F301" i="1"/>
  <c r="G301" i="1"/>
  <c r="F277" i="1"/>
  <c r="G277" i="1"/>
  <c r="F245" i="1"/>
  <c r="G245" i="1"/>
  <c r="F221" i="1"/>
  <c r="G221" i="1"/>
  <c r="F197" i="1"/>
  <c r="G197" i="1"/>
  <c r="F173" i="1"/>
  <c r="G173" i="1"/>
  <c r="F149" i="1"/>
  <c r="G149" i="1"/>
  <c r="F117" i="1"/>
  <c r="G117" i="1"/>
  <c r="E427" i="1"/>
  <c r="E363" i="1"/>
  <c r="F9991" i="1"/>
  <c r="G9991" i="1"/>
  <c r="F9975" i="1"/>
  <c r="G9975" i="1"/>
  <c r="F9967" i="1"/>
  <c r="G9967" i="1"/>
  <c r="F9951" i="1"/>
  <c r="G9951" i="1"/>
  <c r="F9943" i="1"/>
  <c r="G9943" i="1"/>
  <c r="F9927" i="1"/>
  <c r="G9927" i="1"/>
  <c r="F9911" i="1"/>
  <c r="G9911" i="1"/>
  <c r="F9903" i="1"/>
  <c r="G9903" i="1"/>
  <c r="F9887" i="1"/>
  <c r="G9887" i="1"/>
  <c r="F9879" i="1"/>
  <c r="G9879" i="1"/>
  <c r="F9863" i="1"/>
  <c r="G9863" i="1"/>
  <c r="F9847" i="1"/>
  <c r="G9847" i="1"/>
  <c r="F9839" i="1"/>
  <c r="G9839" i="1"/>
  <c r="F9823" i="1"/>
  <c r="G9823" i="1"/>
  <c r="F9815" i="1"/>
  <c r="G9815" i="1"/>
  <c r="F9799" i="1"/>
  <c r="G9799" i="1"/>
  <c r="F9783" i="1"/>
  <c r="G9783" i="1"/>
  <c r="F9775" i="1"/>
  <c r="G9775" i="1"/>
  <c r="F9759" i="1"/>
  <c r="G9759" i="1"/>
  <c r="F9751" i="1"/>
  <c r="G9751" i="1"/>
  <c r="F9735" i="1"/>
  <c r="G9735" i="1"/>
  <c r="F9719" i="1"/>
  <c r="G9719" i="1"/>
  <c r="F9711" i="1"/>
  <c r="G9711" i="1"/>
  <c r="F9695" i="1"/>
  <c r="G9695" i="1"/>
  <c r="F9687" i="1"/>
  <c r="G9687" i="1"/>
  <c r="F9671" i="1"/>
  <c r="G9671" i="1"/>
  <c r="F9655" i="1"/>
  <c r="G9655" i="1"/>
  <c r="F9647" i="1"/>
  <c r="G9647" i="1"/>
  <c r="F9631" i="1"/>
  <c r="G9631" i="1"/>
  <c r="F9623" i="1"/>
  <c r="G9623" i="1"/>
  <c r="F9607" i="1"/>
  <c r="G9607" i="1"/>
  <c r="F9591" i="1"/>
  <c r="G9591" i="1"/>
  <c r="F9583" i="1"/>
  <c r="G9583" i="1"/>
  <c r="F9567" i="1"/>
  <c r="G9567" i="1"/>
  <c r="F9559" i="1"/>
  <c r="G9559" i="1"/>
  <c r="F9543" i="1"/>
  <c r="G9543" i="1"/>
  <c r="F9527" i="1"/>
  <c r="G9527" i="1"/>
  <c r="F9519" i="1"/>
  <c r="G9519" i="1"/>
  <c r="F9503" i="1"/>
  <c r="G9503" i="1"/>
  <c r="F9495" i="1"/>
  <c r="G9495" i="1"/>
  <c r="F9479" i="1"/>
  <c r="G9479" i="1"/>
  <c r="F9463" i="1"/>
  <c r="G9463" i="1"/>
  <c r="F9455" i="1"/>
  <c r="G9455" i="1"/>
  <c r="F9439" i="1"/>
  <c r="G9439" i="1"/>
  <c r="F9431" i="1"/>
  <c r="G9431" i="1"/>
  <c r="F9415" i="1"/>
  <c r="G9415" i="1"/>
  <c r="F9399" i="1"/>
  <c r="G9399" i="1"/>
  <c r="F9391" i="1"/>
  <c r="G9391" i="1"/>
  <c r="F9375" i="1"/>
  <c r="G9375" i="1"/>
  <c r="F9367" i="1"/>
  <c r="G9367" i="1"/>
  <c r="F9351" i="1"/>
  <c r="G9351" i="1"/>
  <c r="F9335" i="1"/>
  <c r="G9335" i="1"/>
  <c r="F9327" i="1"/>
  <c r="G9327" i="1"/>
  <c r="F9311" i="1"/>
  <c r="G9311" i="1"/>
  <c r="F9303" i="1"/>
  <c r="G9303" i="1"/>
  <c r="F9287" i="1"/>
  <c r="G9287" i="1"/>
  <c r="F9271" i="1"/>
  <c r="G9271" i="1"/>
  <c r="F9263" i="1"/>
  <c r="G9263" i="1"/>
  <c r="F9247" i="1"/>
  <c r="G9247" i="1"/>
  <c r="F9239" i="1"/>
  <c r="G9239" i="1"/>
  <c r="F9223" i="1"/>
  <c r="G9223" i="1"/>
  <c r="F9207" i="1"/>
  <c r="G9207" i="1"/>
  <c r="F9199" i="1"/>
  <c r="G9199" i="1"/>
  <c r="F9183" i="1"/>
  <c r="G9183" i="1"/>
  <c r="F9175" i="1"/>
  <c r="G9175" i="1"/>
  <c r="F9159" i="1"/>
  <c r="G9159" i="1"/>
  <c r="F9143" i="1"/>
  <c r="G9143" i="1"/>
  <c r="F9135" i="1"/>
  <c r="G9135" i="1"/>
  <c r="F9119" i="1"/>
  <c r="G9119" i="1"/>
  <c r="F9111" i="1"/>
  <c r="G9111" i="1"/>
  <c r="F9095" i="1"/>
  <c r="G9095" i="1"/>
  <c r="F9079" i="1"/>
  <c r="G9079" i="1"/>
  <c r="F9071" i="1"/>
  <c r="G9071" i="1"/>
  <c r="F9055" i="1"/>
  <c r="G9055" i="1"/>
  <c r="F9047" i="1"/>
  <c r="G9047" i="1"/>
  <c r="F9031" i="1"/>
  <c r="G9031" i="1"/>
  <c r="F9015" i="1"/>
  <c r="G9015" i="1"/>
  <c r="F9007" i="1"/>
  <c r="G9007" i="1"/>
  <c r="F8991" i="1"/>
  <c r="G8991" i="1"/>
  <c r="F8983" i="1"/>
  <c r="G8983" i="1"/>
  <c r="F8967" i="1"/>
  <c r="G8967" i="1"/>
  <c r="F8951" i="1"/>
  <c r="G8951" i="1"/>
  <c r="F8943" i="1"/>
  <c r="G8943" i="1"/>
  <c r="F8927" i="1"/>
  <c r="G8927" i="1"/>
  <c r="F8919" i="1"/>
  <c r="G8919" i="1"/>
  <c r="F8903" i="1"/>
  <c r="G8903" i="1"/>
  <c r="F8887" i="1"/>
  <c r="G8887" i="1"/>
  <c r="F8879" i="1"/>
  <c r="G8879" i="1"/>
  <c r="F8863" i="1"/>
  <c r="G8863" i="1"/>
  <c r="F8855" i="1"/>
  <c r="G8855" i="1"/>
  <c r="F8839" i="1"/>
  <c r="G8839" i="1"/>
  <c r="F8823" i="1"/>
  <c r="G8823" i="1"/>
  <c r="F8815" i="1"/>
  <c r="G8815" i="1"/>
  <c r="F8799" i="1"/>
  <c r="G8799" i="1"/>
  <c r="F8791" i="1"/>
  <c r="G8791" i="1"/>
  <c r="F8775" i="1"/>
  <c r="G8775" i="1"/>
  <c r="F8759" i="1"/>
  <c r="G8759" i="1"/>
  <c r="F8751" i="1"/>
  <c r="G8751" i="1"/>
  <c r="F8735" i="1"/>
  <c r="G8735" i="1"/>
  <c r="F8727" i="1"/>
  <c r="G8727" i="1"/>
  <c r="F8711" i="1"/>
  <c r="G8711" i="1"/>
  <c r="F8695" i="1"/>
  <c r="G8695" i="1"/>
  <c r="F8687" i="1"/>
  <c r="G8687" i="1"/>
  <c r="F8671" i="1"/>
  <c r="G8671" i="1"/>
  <c r="F8663" i="1"/>
  <c r="G8663" i="1"/>
  <c r="F8647" i="1"/>
  <c r="G8647" i="1"/>
  <c r="F8631" i="1"/>
  <c r="G8631" i="1"/>
  <c r="F8623" i="1"/>
  <c r="G8623" i="1"/>
  <c r="F8607" i="1"/>
  <c r="G8607" i="1"/>
  <c r="F8599" i="1"/>
  <c r="G8599" i="1"/>
  <c r="F8583" i="1"/>
  <c r="G8583" i="1"/>
  <c r="F8567" i="1"/>
  <c r="G8567" i="1"/>
  <c r="F8559" i="1"/>
  <c r="G8559" i="1"/>
  <c r="F8543" i="1"/>
  <c r="G8543" i="1"/>
  <c r="F8535" i="1"/>
  <c r="G8535" i="1"/>
  <c r="F8519" i="1"/>
  <c r="G8519" i="1"/>
  <c r="F8503" i="1"/>
  <c r="G8503" i="1"/>
  <c r="F8495" i="1"/>
  <c r="G8495" i="1"/>
  <c r="F8479" i="1"/>
  <c r="G8479" i="1"/>
  <c r="F8471" i="1"/>
  <c r="G8471" i="1"/>
  <c r="F8455" i="1"/>
  <c r="G8455" i="1"/>
  <c r="F8439" i="1"/>
  <c r="G8439" i="1"/>
  <c r="F8431" i="1"/>
  <c r="G8431" i="1"/>
  <c r="F8415" i="1"/>
  <c r="G8415" i="1"/>
  <c r="F8407" i="1"/>
  <c r="G8407" i="1"/>
  <c r="F8391" i="1"/>
  <c r="G8391" i="1"/>
  <c r="F8375" i="1"/>
  <c r="G8375" i="1"/>
  <c r="F8367" i="1"/>
  <c r="G8367" i="1"/>
  <c r="F8351" i="1"/>
  <c r="G8351" i="1"/>
  <c r="F8343" i="1"/>
  <c r="G8343" i="1"/>
  <c r="F8327" i="1"/>
  <c r="G8327" i="1"/>
  <c r="F8311" i="1"/>
  <c r="G8311" i="1"/>
  <c r="F8303" i="1"/>
  <c r="G8303" i="1"/>
  <c r="F8287" i="1"/>
  <c r="G8287" i="1"/>
  <c r="F8279" i="1"/>
  <c r="G8279" i="1"/>
  <c r="F8263" i="1"/>
  <c r="G8263" i="1"/>
  <c r="F8247" i="1"/>
  <c r="G8247" i="1"/>
  <c r="F8239" i="1"/>
  <c r="G8239" i="1"/>
  <c r="F8223" i="1"/>
  <c r="G8223" i="1"/>
  <c r="F8215" i="1"/>
  <c r="G8215" i="1"/>
  <c r="F8207" i="1"/>
  <c r="G8207" i="1"/>
  <c r="F8199" i="1"/>
  <c r="G8199" i="1"/>
  <c r="F8183" i="1"/>
  <c r="G8183" i="1"/>
  <c r="F8175" i="1"/>
  <c r="G8175" i="1"/>
  <c r="F8167" i="1"/>
  <c r="G8167" i="1"/>
  <c r="F8159" i="1"/>
  <c r="G8159" i="1"/>
  <c r="F8151" i="1"/>
  <c r="G8151" i="1"/>
  <c r="F8143" i="1"/>
  <c r="G8143" i="1"/>
  <c r="F8135" i="1"/>
  <c r="G8135" i="1"/>
  <c r="F8119" i="1"/>
  <c r="G8119" i="1"/>
  <c r="F8111" i="1"/>
  <c r="G8111" i="1"/>
  <c r="F8103" i="1"/>
  <c r="G8103" i="1"/>
  <c r="F8095" i="1"/>
  <c r="G8095" i="1"/>
  <c r="F8087" i="1"/>
  <c r="G8087" i="1"/>
  <c r="F8079" i="1"/>
  <c r="G8079" i="1"/>
  <c r="F8071" i="1"/>
  <c r="G8071" i="1"/>
  <c r="F8055" i="1"/>
  <c r="G8055" i="1"/>
  <c r="F8047" i="1"/>
  <c r="G8047" i="1"/>
  <c r="F8039" i="1"/>
  <c r="G8039" i="1"/>
  <c r="F8031" i="1"/>
  <c r="G8031" i="1"/>
  <c r="F8023" i="1"/>
  <c r="G8023" i="1"/>
  <c r="F8015" i="1"/>
  <c r="G8015" i="1"/>
  <c r="F8007" i="1"/>
  <c r="G8007" i="1"/>
  <c r="F7999" i="1"/>
  <c r="G7999" i="1"/>
  <c r="F7991" i="1"/>
  <c r="G7991" i="1"/>
  <c r="F7983" i="1"/>
  <c r="G7983" i="1"/>
  <c r="F7975" i="1"/>
  <c r="G7975" i="1"/>
  <c r="F7967" i="1"/>
  <c r="G7967" i="1"/>
  <c r="F7959" i="1"/>
  <c r="G7959" i="1"/>
  <c r="F7951" i="1"/>
  <c r="G7951" i="1"/>
  <c r="F7943" i="1"/>
  <c r="G7943" i="1"/>
  <c r="F7935" i="1"/>
  <c r="G7935" i="1"/>
  <c r="F7927" i="1"/>
  <c r="G7927" i="1"/>
  <c r="F7919" i="1"/>
  <c r="G7919" i="1"/>
  <c r="F7911" i="1"/>
  <c r="G7911" i="1"/>
  <c r="F7903" i="1"/>
  <c r="G7903" i="1"/>
  <c r="F7895" i="1"/>
  <c r="G7895" i="1"/>
  <c r="F7887" i="1"/>
  <c r="G7887" i="1"/>
  <c r="F7879" i="1"/>
  <c r="G7879" i="1"/>
  <c r="F7871" i="1"/>
  <c r="G7871" i="1"/>
  <c r="F7863" i="1"/>
  <c r="G7863" i="1"/>
  <c r="F7855" i="1"/>
  <c r="G7855" i="1"/>
  <c r="F7847" i="1"/>
  <c r="G7847" i="1"/>
  <c r="F7839" i="1"/>
  <c r="G7839" i="1"/>
  <c r="F7831" i="1"/>
  <c r="G7831" i="1"/>
  <c r="F7823" i="1"/>
  <c r="G7823" i="1"/>
  <c r="F7815" i="1"/>
  <c r="G7815" i="1"/>
  <c r="F7807" i="1"/>
  <c r="G7807" i="1"/>
  <c r="F7799" i="1"/>
  <c r="G7799" i="1"/>
  <c r="F7791" i="1"/>
  <c r="G7791" i="1"/>
  <c r="F7783" i="1"/>
  <c r="G7783" i="1"/>
  <c r="F7775" i="1"/>
  <c r="G7775" i="1"/>
  <c r="F7767" i="1"/>
  <c r="G7767" i="1"/>
  <c r="F7759" i="1"/>
  <c r="G7759" i="1"/>
  <c r="F7751" i="1"/>
  <c r="G7751" i="1"/>
  <c r="F7743" i="1"/>
  <c r="G7743" i="1"/>
  <c r="F7735" i="1"/>
  <c r="G7735" i="1"/>
  <c r="F7727" i="1"/>
  <c r="G7727" i="1"/>
  <c r="F7719" i="1"/>
  <c r="G7719" i="1"/>
  <c r="F7711" i="1"/>
  <c r="G7711" i="1"/>
  <c r="F7703" i="1"/>
  <c r="G7703" i="1"/>
  <c r="F7695" i="1"/>
  <c r="G7695" i="1"/>
  <c r="F7687" i="1"/>
  <c r="G7687" i="1"/>
  <c r="F7679" i="1"/>
  <c r="G7679" i="1"/>
  <c r="F7671" i="1"/>
  <c r="G7671" i="1"/>
  <c r="F7663" i="1"/>
  <c r="G7663" i="1"/>
  <c r="F7655" i="1"/>
  <c r="G7655" i="1"/>
  <c r="F7647" i="1"/>
  <c r="G7647" i="1"/>
  <c r="F7639" i="1"/>
  <c r="G7639" i="1"/>
  <c r="F7631" i="1"/>
  <c r="G7631" i="1"/>
  <c r="F7623" i="1"/>
  <c r="G7623" i="1"/>
  <c r="F7615" i="1"/>
  <c r="G7615" i="1"/>
  <c r="F7607" i="1"/>
  <c r="G7607" i="1"/>
  <c r="F7599" i="1"/>
  <c r="G7599" i="1"/>
  <c r="F7591" i="1"/>
  <c r="G7591" i="1"/>
  <c r="F7583" i="1"/>
  <c r="G7583" i="1"/>
  <c r="F7575" i="1"/>
  <c r="G7575" i="1"/>
  <c r="F7567" i="1"/>
  <c r="G7567" i="1"/>
  <c r="F7559" i="1"/>
  <c r="G7559" i="1"/>
  <c r="F7551" i="1"/>
  <c r="G7551" i="1"/>
  <c r="F7543" i="1"/>
  <c r="G7543" i="1"/>
  <c r="F7535" i="1"/>
  <c r="G7535" i="1"/>
  <c r="F7527" i="1"/>
  <c r="G7527" i="1"/>
  <c r="F7519" i="1"/>
  <c r="G7519" i="1"/>
  <c r="F7511" i="1"/>
  <c r="G7511" i="1"/>
  <c r="F7503" i="1"/>
  <c r="G7503" i="1"/>
  <c r="F7495" i="1"/>
  <c r="G7495" i="1"/>
  <c r="F7487" i="1"/>
  <c r="G7487" i="1"/>
  <c r="F7479" i="1"/>
  <c r="G7479" i="1"/>
  <c r="F7471" i="1"/>
  <c r="G7471" i="1"/>
  <c r="F7463" i="1"/>
  <c r="G7463" i="1"/>
  <c r="F7455" i="1"/>
  <c r="G7455" i="1"/>
  <c r="F7447" i="1"/>
  <c r="G7447" i="1"/>
  <c r="F7439" i="1"/>
  <c r="G7439" i="1"/>
  <c r="F7431" i="1"/>
  <c r="G7431" i="1"/>
  <c r="F7423" i="1"/>
  <c r="G7423" i="1"/>
  <c r="F7415" i="1"/>
  <c r="G7415" i="1"/>
  <c r="F7407" i="1"/>
  <c r="G7407" i="1"/>
  <c r="F7399" i="1"/>
  <c r="G7399" i="1"/>
  <c r="F7391" i="1"/>
  <c r="G7391" i="1"/>
  <c r="F7383" i="1"/>
  <c r="G7383" i="1"/>
  <c r="F7375" i="1"/>
  <c r="G7375" i="1"/>
  <c r="F7367" i="1"/>
  <c r="G7367" i="1"/>
  <c r="F7359" i="1"/>
  <c r="G7359" i="1"/>
  <c r="F7351" i="1"/>
  <c r="G7351" i="1"/>
  <c r="F7343" i="1"/>
  <c r="G7343" i="1"/>
  <c r="F7335" i="1"/>
  <c r="G7335" i="1"/>
  <c r="F7327" i="1"/>
  <c r="G7327" i="1"/>
  <c r="F7319" i="1"/>
  <c r="G7319" i="1"/>
  <c r="F7311" i="1"/>
  <c r="G7311" i="1"/>
  <c r="F7303" i="1"/>
  <c r="G7303" i="1"/>
  <c r="F7295" i="1"/>
  <c r="G7295" i="1"/>
  <c r="F7287" i="1"/>
  <c r="G7287" i="1"/>
  <c r="F7279" i="1"/>
  <c r="G7279" i="1"/>
  <c r="F7271" i="1"/>
  <c r="G7271" i="1"/>
  <c r="F7263" i="1"/>
  <c r="G7263" i="1"/>
  <c r="F7255" i="1"/>
  <c r="G7255" i="1"/>
  <c r="F7247" i="1"/>
  <c r="G7247" i="1"/>
  <c r="F7239" i="1"/>
  <c r="G7239" i="1"/>
  <c r="F7231" i="1"/>
  <c r="G7231" i="1"/>
  <c r="F7223" i="1"/>
  <c r="G7223" i="1"/>
  <c r="F7215" i="1"/>
  <c r="G7215" i="1"/>
  <c r="F7207" i="1"/>
  <c r="G7207" i="1"/>
  <c r="F7199" i="1"/>
  <c r="G7199" i="1"/>
  <c r="F7191" i="1"/>
  <c r="G7191" i="1"/>
  <c r="F7183" i="1"/>
  <c r="G7183" i="1"/>
  <c r="F7175" i="1"/>
  <c r="G7175" i="1"/>
  <c r="F7167" i="1"/>
  <c r="G7167" i="1"/>
  <c r="F7159" i="1"/>
  <c r="G7159" i="1"/>
  <c r="F7151" i="1"/>
  <c r="G7151" i="1"/>
  <c r="F7143" i="1"/>
  <c r="G7143" i="1"/>
  <c r="F7135" i="1"/>
  <c r="G7135" i="1"/>
  <c r="F7127" i="1"/>
  <c r="G7127" i="1"/>
  <c r="F7119" i="1"/>
  <c r="G7119" i="1"/>
  <c r="F7111" i="1"/>
  <c r="G7111" i="1"/>
  <c r="F7103" i="1"/>
  <c r="G7103" i="1"/>
  <c r="F7095" i="1"/>
  <c r="G7095" i="1"/>
  <c r="F7087" i="1"/>
  <c r="G7087" i="1"/>
  <c r="F7079" i="1"/>
  <c r="G7079" i="1"/>
  <c r="F7071" i="1"/>
  <c r="G7071" i="1"/>
  <c r="F7063" i="1"/>
  <c r="G7063" i="1"/>
  <c r="F7055" i="1"/>
  <c r="G7055" i="1"/>
  <c r="F7047" i="1"/>
  <c r="G7047" i="1"/>
  <c r="F7039" i="1"/>
  <c r="G7039" i="1"/>
  <c r="F7031" i="1"/>
  <c r="G7031" i="1"/>
  <c r="F7023" i="1"/>
  <c r="G7023" i="1"/>
  <c r="F7015" i="1"/>
  <c r="G7015" i="1"/>
  <c r="F7007" i="1"/>
  <c r="G7007" i="1"/>
  <c r="F6999" i="1"/>
  <c r="G6999" i="1"/>
  <c r="F6991" i="1"/>
  <c r="G6991" i="1"/>
  <c r="F6983" i="1"/>
  <c r="G6983" i="1"/>
  <c r="F6975" i="1"/>
  <c r="G6975" i="1"/>
  <c r="F6967" i="1"/>
  <c r="G6967" i="1"/>
  <c r="F6959" i="1"/>
  <c r="G6959" i="1"/>
  <c r="F6951" i="1"/>
  <c r="G6951" i="1"/>
  <c r="F6943" i="1"/>
  <c r="G6943" i="1"/>
  <c r="F6935" i="1"/>
  <c r="G6935" i="1"/>
  <c r="F6927" i="1"/>
  <c r="G6927" i="1"/>
  <c r="F6919" i="1"/>
  <c r="G6919" i="1"/>
  <c r="F6911" i="1"/>
  <c r="G6911" i="1"/>
  <c r="F6903" i="1"/>
  <c r="G6903" i="1"/>
  <c r="F6895" i="1"/>
  <c r="G6895" i="1"/>
  <c r="F6887" i="1"/>
  <c r="G6887" i="1"/>
  <c r="F6879" i="1"/>
  <c r="G6879" i="1"/>
  <c r="F6871" i="1"/>
  <c r="G6871" i="1"/>
  <c r="F6863" i="1"/>
  <c r="G6863" i="1"/>
  <c r="F6855" i="1"/>
  <c r="G6855" i="1"/>
  <c r="F6847" i="1"/>
  <c r="G6847" i="1"/>
  <c r="F6839" i="1"/>
  <c r="G6839" i="1"/>
  <c r="F6831" i="1"/>
  <c r="G6831" i="1"/>
  <c r="F6823" i="1"/>
  <c r="G6823" i="1"/>
  <c r="F6815" i="1"/>
  <c r="G6815" i="1"/>
  <c r="F6807" i="1"/>
  <c r="G6807" i="1"/>
  <c r="F6799" i="1"/>
  <c r="G6799" i="1"/>
  <c r="F6791" i="1"/>
  <c r="G6791" i="1"/>
  <c r="F6783" i="1"/>
  <c r="G6783" i="1"/>
  <c r="F6775" i="1"/>
  <c r="G6775" i="1"/>
  <c r="F6767" i="1"/>
  <c r="G6767" i="1"/>
  <c r="F6759" i="1"/>
  <c r="G6759" i="1"/>
  <c r="F6751" i="1"/>
  <c r="G6751" i="1"/>
  <c r="F6743" i="1"/>
  <c r="G6743" i="1"/>
  <c r="F6735" i="1"/>
  <c r="G6735" i="1"/>
  <c r="F6727" i="1"/>
  <c r="G6727" i="1"/>
  <c r="F6719" i="1"/>
  <c r="G6719" i="1"/>
  <c r="F6711" i="1"/>
  <c r="G6711" i="1"/>
  <c r="F6703" i="1"/>
  <c r="G6703" i="1"/>
  <c r="F6695" i="1"/>
  <c r="G6695" i="1"/>
  <c r="F6687" i="1"/>
  <c r="G6687" i="1"/>
  <c r="F6679" i="1"/>
  <c r="G6679" i="1"/>
  <c r="F6671" i="1"/>
  <c r="G6671" i="1"/>
  <c r="F6663" i="1"/>
  <c r="G6663" i="1"/>
  <c r="F6655" i="1"/>
  <c r="G6655" i="1"/>
  <c r="F6647" i="1"/>
  <c r="G6647" i="1"/>
  <c r="F6639" i="1"/>
  <c r="G6639" i="1"/>
  <c r="F6631" i="1"/>
  <c r="G6631" i="1"/>
  <c r="F6623" i="1"/>
  <c r="G6623" i="1"/>
  <c r="F6615" i="1"/>
  <c r="G6615" i="1"/>
  <c r="F6607" i="1"/>
  <c r="G6607" i="1"/>
  <c r="F6599" i="1"/>
  <c r="G6599" i="1"/>
  <c r="F6591" i="1"/>
  <c r="G6591" i="1"/>
  <c r="F6583" i="1"/>
  <c r="G6583" i="1"/>
  <c r="F6575" i="1"/>
  <c r="G6575" i="1"/>
  <c r="F6567" i="1"/>
  <c r="G6567" i="1"/>
  <c r="F6559" i="1"/>
  <c r="G6559" i="1"/>
  <c r="F6551" i="1"/>
  <c r="G6551" i="1"/>
  <c r="F6543" i="1"/>
  <c r="G6543" i="1"/>
  <c r="F6535" i="1"/>
  <c r="G6535" i="1"/>
  <c r="F6527" i="1"/>
  <c r="G6527" i="1"/>
  <c r="F6519" i="1"/>
  <c r="G6519" i="1"/>
  <c r="F6511" i="1"/>
  <c r="G6511" i="1"/>
  <c r="F6503" i="1"/>
  <c r="G6503" i="1"/>
  <c r="F6495" i="1"/>
  <c r="G6495" i="1"/>
  <c r="F6487" i="1"/>
  <c r="G6487" i="1"/>
  <c r="F6479" i="1"/>
  <c r="G6479" i="1"/>
  <c r="G9974" i="1"/>
  <c r="G9944" i="1"/>
  <c r="G9908" i="1"/>
  <c r="G9871" i="1"/>
  <c r="G9841" i="1"/>
  <c r="G9806" i="1"/>
  <c r="G9768" i="1"/>
  <c r="G9740" i="1"/>
  <c r="G9703" i="1"/>
  <c r="G9665" i="1"/>
  <c r="G9638" i="1"/>
  <c r="G9600" i="1"/>
  <c r="G9564" i="1"/>
  <c r="G9535" i="1"/>
  <c r="G9497" i="1"/>
  <c r="G9462" i="1"/>
  <c r="G9432" i="1"/>
  <c r="G9396" i="1"/>
  <c r="G9359" i="1"/>
  <c r="G9329" i="1"/>
  <c r="G9294" i="1"/>
  <c r="G9256" i="1"/>
  <c r="G9228" i="1"/>
  <c r="G9191" i="1"/>
  <c r="G9153" i="1"/>
  <c r="G9126" i="1"/>
  <c r="G9088" i="1"/>
  <c r="G9052" i="1"/>
  <c r="G9023" i="1"/>
  <c r="G8985" i="1"/>
  <c r="G8950" i="1"/>
  <c r="G8920" i="1"/>
  <c r="G8884" i="1"/>
  <c r="G8847" i="1"/>
  <c r="G8817" i="1"/>
  <c r="G8782" i="1"/>
  <c r="G8744" i="1"/>
  <c r="G8716" i="1"/>
  <c r="G8679" i="1"/>
  <c r="G8641" i="1"/>
  <c r="G8614" i="1"/>
  <c r="G8576" i="1"/>
  <c r="G8540" i="1"/>
  <c r="G8511" i="1"/>
  <c r="G8438" i="1"/>
  <c r="G8408" i="1"/>
  <c r="G8372" i="1"/>
  <c r="G8335" i="1"/>
  <c r="G8270" i="1"/>
  <c r="G8232" i="1"/>
  <c r="G8191" i="1"/>
  <c r="G8032" i="1"/>
  <c r="G7904" i="1"/>
  <c r="G7776" i="1"/>
  <c r="G7648" i="1"/>
  <c r="G7520" i="1"/>
  <c r="G7392" i="1"/>
  <c r="G7264" i="1"/>
  <c r="G7136" i="1"/>
  <c r="G7008" i="1"/>
  <c r="F84" i="1"/>
  <c r="G84" i="1"/>
  <c r="F44" i="1"/>
  <c r="G44" i="1"/>
  <c r="F107" i="1"/>
  <c r="G107" i="1"/>
  <c r="E257" i="1"/>
  <c r="F257" i="1"/>
  <c r="G257" i="1"/>
  <c r="F209" i="1"/>
  <c r="G209" i="1"/>
  <c r="E161" i="1"/>
  <c r="F161" i="1"/>
  <c r="G161" i="1"/>
  <c r="F113" i="1"/>
  <c r="G113" i="1"/>
  <c r="F9995" i="1"/>
  <c r="G9995" i="1"/>
  <c r="F9955" i="1"/>
  <c r="G9955" i="1"/>
  <c r="E9915" i="1"/>
  <c r="F9915" i="1"/>
  <c r="G9915" i="1"/>
  <c r="E9875" i="1"/>
  <c r="F9875" i="1"/>
  <c r="G9875" i="1"/>
  <c r="E9835" i="1"/>
  <c r="F9835" i="1"/>
  <c r="G9835" i="1"/>
  <c r="E9795" i="1"/>
  <c r="F9795" i="1"/>
  <c r="G9795" i="1"/>
  <c r="E9755" i="1"/>
  <c r="F9755" i="1"/>
  <c r="G9755" i="1"/>
  <c r="E9723" i="1"/>
  <c r="F9723" i="1"/>
  <c r="G9723" i="1"/>
  <c r="E9683" i="1"/>
  <c r="F9683" i="1"/>
  <c r="G9683" i="1"/>
  <c r="E9635" i="1"/>
  <c r="F9635" i="1"/>
  <c r="G9635" i="1"/>
  <c r="E9595" i="1"/>
  <c r="F9595" i="1"/>
  <c r="G9595" i="1"/>
  <c r="E9563" i="1"/>
  <c r="F9563" i="1"/>
  <c r="G9563" i="1"/>
  <c r="E9539" i="1"/>
  <c r="F9539" i="1"/>
  <c r="G9539" i="1"/>
  <c r="E9507" i="1"/>
  <c r="F9507" i="1"/>
  <c r="G9507" i="1"/>
  <c r="E9483" i="1"/>
  <c r="F9483" i="1"/>
  <c r="G9483" i="1"/>
  <c r="E9443" i="1"/>
  <c r="F9443" i="1"/>
  <c r="G9443" i="1"/>
  <c r="E9219" i="1"/>
  <c r="F9219" i="1"/>
  <c r="G9219" i="1"/>
  <c r="E4555" i="1"/>
  <c r="F4555" i="1"/>
  <c r="G4555" i="1"/>
  <c r="F82" i="1"/>
  <c r="G82" i="1"/>
  <c r="F50" i="1"/>
  <c r="G50" i="1"/>
  <c r="F26" i="1"/>
  <c r="G26" i="1"/>
  <c r="F279" i="1"/>
  <c r="G279" i="1"/>
  <c r="F247" i="1"/>
  <c r="G247" i="1"/>
  <c r="F223" i="1"/>
  <c r="G223" i="1"/>
  <c r="F183" i="1"/>
  <c r="G183" i="1"/>
  <c r="F151" i="1"/>
  <c r="G151" i="1"/>
  <c r="F127" i="1"/>
  <c r="G127" i="1"/>
  <c r="E3059" i="1"/>
  <c r="E88" i="1"/>
  <c r="F88" i="1"/>
  <c r="G88" i="1"/>
  <c r="E72" i="1"/>
  <c r="F72" i="1"/>
  <c r="G72" i="1"/>
  <c r="E56" i="1"/>
  <c r="F56" i="1"/>
  <c r="G56" i="1"/>
  <c r="E40" i="1"/>
  <c r="F40" i="1"/>
  <c r="G40" i="1"/>
  <c r="E16" i="1"/>
  <c r="F16" i="1"/>
  <c r="G16" i="1"/>
  <c r="F103" i="1"/>
  <c r="G103" i="1"/>
  <c r="E191" i="1"/>
  <c r="E143" i="1"/>
  <c r="F285" i="1"/>
  <c r="G285" i="1"/>
  <c r="F261" i="1"/>
  <c r="G261" i="1"/>
  <c r="F229" i="1"/>
  <c r="G229" i="1"/>
  <c r="F205" i="1"/>
  <c r="G205" i="1"/>
  <c r="F181" i="1"/>
  <c r="G181" i="1"/>
  <c r="F157" i="1"/>
  <c r="G157" i="1"/>
  <c r="F133" i="1"/>
  <c r="G133" i="1"/>
  <c r="F109" i="1"/>
  <c r="G109" i="1"/>
  <c r="F95" i="1"/>
  <c r="G95" i="1"/>
  <c r="F71" i="1"/>
  <c r="G71" i="1"/>
  <c r="F55" i="1"/>
  <c r="G55" i="1"/>
  <c r="F39" i="1"/>
  <c r="G39" i="1"/>
  <c r="F15" i="1"/>
  <c r="G15" i="1"/>
  <c r="E102" i="1"/>
  <c r="F102" i="1"/>
  <c r="G102" i="1"/>
  <c r="E239" i="1"/>
  <c r="E214" i="1"/>
  <c r="E190" i="1"/>
  <c r="E166" i="1"/>
  <c r="E142" i="1"/>
  <c r="E300" i="1"/>
  <c r="F300" i="1"/>
  <c r="G300" i="1"/>
  <c r="E284" i="1"/>
  <c r="F284" i="1"/>
  <c r="G284" i="1"/>
  <c r="E268" i="1"/>
  <c r="F268" i="1"/>
  <c r="G268" i="1"/>
  <c r="E252" i="1"/>
  <c r="F252" i="1"/>
  <c r="G252" i="1"/>
  <c r="E236" i="1"/>
  <c r="F236" i="1"/>
  <c r="G236" i="1"/>
  <c r="E220" i="1"/>
  <c r="F220" i="1"/>
  <c r="G220" i="1"/>
  <c r="E204" i="1"/>
  <c r="F204" i="1"/>
  <c r="G204" i="1"/>
  <c r="E188" i="1"/>
  <c r="F188" i="1"/>
  <c r="G188" i="1"/>
  <c r="E172" i="1"/>
  <c r="F172" i="1"/>
  <c r="G172" i="1"/>
  <c r="E156" i="1"/>
  <c r="F156" i="1"/>
  <c r="G156" i="1"/>
  <c r="E140" i="1"/>
  <c r="F140" i="1"/>
  <c r="G140" i="1"/>
  <c r="E116" i="1"/>
  <c r="F116" i="1"/>
  <c r="G116" i="1"/>
  <c r="E9977" i="1"/>
  <c r="E9945" i="1"/>
  <c r="E9913" i="1"/>
  <c r="E9881" i="1"/>
  <c r="E9849" i="1"/>
  <c r="E9817" i="1"/>
  <c r="E9785" i="1"/>
  <c r="E9753" i="1"/>
  <c r="E9721" i="1"/>
  <c r="E9689" i="1"/>
  <c r="E9657" i="1"/>
  <c r="E9625" i="1"/>
  <c r="E9593" i="1"/>
  <c r="E9561" i="1"/>
  <c r="E9529" i="1"/>
  <c r="E9497" i="1"/>
  <c r="E9465" i="1"/>
  <c r="E9433" i="1"/>
  <c r="E9401" i="1"/>
  <c r="E9369" i="1"/>
  <c r="E9337" i="1"/>
  <c r="E9305" i="1"/>
  <c r="E9273" i="1"/>
  <c r="E9241" i="1"/>
  <c r="E9209" i="1"/>
  <c r="E9177" i="1"/>
  <c r="E9145" i="1"/>
  <c r="E9113" i="1"/>
  <c r="E9081" i="1"/>
  <c r="E9049" i="1"/>
  <c r="E9017" i="1"/>
  <c r="E8985" i="1"/>
  <c r="E8953" i="1"/>
  <c r="E8921" i="1"/>
  <c r="E8889" i="1"/>
  <c r="E8857" i="1"/>
  <c r="E8825" i="1"/>
  <c r="E8793" i="1"/>
  <c r="E8761" i="1"/>
  <c r="E8729" i="1"/>
  <c r="E8697" i="1"/>
  <c r="E8665" i="1"/>
  <c r="E8633" i="1"/>
  <c r="E8601" i="1"/>
  <c r="E8569" i="1"/>
  <c r="E8537" i="1"/>
  <c r="E435" i="1"/>
  <c r="E371" i="1"/>
  <c r="E307" i="1"/>
  <c r="F9990" i="1"/>
  <c r="G9990" i="1"/>
  <c r="F9982" i="1"/>
  <c r="G9982" i="1"/>
  <c r="F9966" i="1"/>
  <c r="G9966" i="1"/>
  <c r="F9950" i="1"/>
  <c r="G9950" i="1"/>
  <c r="F9942" i="1"/>
  <c r="G9942" i="1"/>
  <c r="F9926" i="1"/>
  <c r="G9926" i="1"/>
  <c r="F9918" i="1"/>
  <c r="G9918" i="1"/>
  <c r="F9902" i="1"/>
  <c r="G9902" i="1"/>
  <c r="F9886" i="1"/>
  <c r="G9886" i="1"/>
  <c r="F9878" i="1"/>
  <c r="G9878" i="1"/>
  <c r="F9862" i="1"/>
  <c r="G9862" i="1"/>
  <c r="F9854" i="1"/>
  <c r="G9854" i="1"/>
  <c r="F9838" i="1"/>
  <c r="G9838" i="1"/>
  <c r="F9822" i="1"/>
  <c r="G9822" i="1"/>
  <c r="F9814" i="1"/>
  <c r="G9814" i="1"/>
  <c r="F9798" i="1"/>
  <c r="G9798" i="1"/>
  <c r="F9790" i="1"/>
  <c r="G9790" i="1"/>
  <c r="F9774" i="1"/>
  <c r="G9774" i="1"/>
  <c r="F9758" i="1"/>
  <c r="G9758" i="1"/>
  <c r="F9750" i="1"/>
  <c r="G9750" i="1"/>
  <c r="F9734" i="1"/>
  <c r="G9734" i="1"/>
  <c r="F9726" i="1"/>
  <c r="G9726" i="1"/>
  <c r="F9710" i="1"/>
  <c r="G9710" i="1"/>
  <c r="F9694" i="1"/>
  <c r="G9694" i="1"/>
  <c r="F9686" i="1"/>
  <c r="G9686" i="1"/>
  <c r="F9670" i="1"/>
  <c r="G9670" i="1"/>
  <c r="F9662" i="1"/>
  <c r="G9662" i="1"/>
  <c r="F9646" i="1"/>
  <c r="G9646" i="1"/>
  <c r="F9630" i="1"/>
  <c r="G9630" i="1"/>
  <c r="F9622" i="1"/>
  <c r="G9622" i="1"/>
  <c r="F9606" i="1"/>
  <c r="G9606" i="1"/>
  <c r="F9598" i="1"/>
  <c r="G9598" i="1"/>
  <c r="F9582" i="1"/>
  <c r="G9582" i="1"/>
  <c r="F9566" i="1"/>
  <c r="G9566" i="1"/>
  <c r="F9558" i="1"/>
  <c r="G9558" i="1"/>
  <c r="F9542" i="1"/>
  <c r="G9542" i="1"/>
  <c r="F9534" i="1"/>
  <c r="G9534" i="1"/>
  <c r="F9518" i="1"/>
  <c r="G9518" i="1"/>
  <c r="F9502" i="1"/>
  <c r="G9502" i="1"/>
  <c r="F9494" i="1"/>
  <c r="G9494" i="1"/>
  <c r="F9478" i="1"/>
  <c r="G9478" i="1"/>
  <c r="F9470" i="1"/>
  <c r="G9470" i="1"/>
  <c r="F9454" i="1"/>
  <c r="G9454" i="1"/>
  <c r="F9438" i="1"/>
  <c r="G9438" i="1"/>
  <c r="F9430" i="1"/>
  <c r="G9430" i="1"/>
  <c r="F9414" i="1"/>
  <c r="G9414" i="1"/>
  <c r="F9406" i="1"/>
  <c r="G9406" i="1"/>
  <c r="F9390" i="1"/>
  <c r="G9390" i="1"/>
  <c r="F9374" i="1"/>
  <c r="G9374" i="1"/>
  <c r="F9366" i="1"/>
  <c r="G9366" i="1"/>
  <c r="F9350" i="1"/>
  <c r="G9350" i="1"/>
  <c r="F9342" i="1"/>
  <c r="G9342" i="1"/>
  <c r="F9326" i="1"/>
  <c r="G9326" i="1"/>
  <c r="F9310" i="1"/>
  <c r="G9310" i="1"/>
  <c r="F9302" i="1"/>
  <c r="G9302" i="1"/>
  <c r="F9286" i="1"/>
  <c r="G9286" i="1"/>
  <c r="F9278" i="1"/>
  <c r="G9278" i="1"/>
  <c r="F9262" i="1"/>
  <c r="G9262" i="1"/>
  <c r="F9246" i="1"/>
  <c r="G9246" i="1"/>
  <c r="F9238" i="1"/>
  <c r="G9238" i="1"/>
  <c r="F9222" i="1"/>
  <c r="G9222" i="1"/>
  <c r="F9214" i="1"/>
  <c r="G9214" i="1"/>
  <c r="F9198" i="1"/>
  <c r="G9198" i="1"/>
  <c r="F9182" i="1"/>
  <c r="G9182" i="1"/>
  <c r="F9174" i="1"/>
  <c r="G9174" i="1"/>
  <c r="F9158" i="1"/>
  <c r="G9158" i="1"/>
  <c r="F9150" i="1"/>
  <c r="G9150" i="1"/>
  <c r="F9134" i="1"/>
  <c r="G9134" i="1"/>
  <c r="F9118" i="1"/>
  <c r="G9118" i="1"/>
  <c r="F9110" i="1"/>
  <c r="G9110" i="1"/>
  <c r="F9094" i="1"/>
  <c r="G9094" i="1"/>
  <c r="F9086" i="1"/>
  <c r="G9086" i="1"/>
  <c r="F9070" i="1"/>
  <c r="G9070" i="1"/>
  <c r="F9054" i="1"/>
  <c r="G9054" i="1"/>
  <c r="F9046" i="1"/>
  <c r="G9046" i="1"/>
  <c r="F9030" i="1"/>
  <c r="G9030" i="1"/>
  <c r="F9022" i="1"/>
  <c r="G9022" i="1"/>
  <c r="F9006" i="1"/>
  <c r="G9006" i="1"/>
  <c r="F8990" i="1"/>
  <c r="G8990" i="1"/>
  <c r="F8982" i="1"/>
  <c r="G8982" i="1"/>
  <c r="F8966" i="1"/>
  <c r="G8966" i="1"/>
  <c r="F8958" i="1"/>
  <c r="G8958" i="1"/>
  <c r="F8942" i="1"/>
  <c r="G8942" i="1"/>
  <c r="F8926" i="1"/>
  <c r="G8926" i="1"/>
  <c r="F8918" i="1"/>
  <c r="G8918" i="1"/>
  <c r="F8902" i="1"/>
  <c r="G8902" i="1"/>
  <c r="F8894" i="1"/>
  <c r="G8894" i="1"/>
  <c r="F8878" i="1"/>
  <c r="G8878" i="1"/>
  <c r="F8862" i="1"/>
  <c r="G8862" i="1"/>
  <c r="F8854" i="1"/>
  <c r="G8854" i="1"/>
  <c r="F8838" i="1"/>
  <c r="G8838" i="1"/>
  <c r="F8830" i="1"/>
  <c r="G8830" i="1"/>
  <c r="F8814" i="1"/>
  <c r="G8814" i="1"/>
  <c r="F8798" i="1"/>
  <c r="G8798" i="1"/>
  <c r="F8790" i="1"/>
  <c r="G8790" i="1"/>
  <c r="F8774" i="1"/>
  <c r="G8774" i="1"/>
  <c r="F8766" i="1"/>
  <c r="G8766" i="1"/>
  <c r="F8750" i="1"/>
  <c r="G8750" i="1"/>
  <c r="F8734" i="1"/>
  <c r="G8734" i="1"/>
  <c r="F8726" i="1"/>
  <c r="G8726" i="1"/>
  <c r="F8710" i="1"/>
  <c r="G8710" i="1"/>
  <c r="F8702" i="1"/>
  <c r="G8702" i="1"/>
  <c r="F8686" i="1"/>
  <c r="G8686" i="1"/>
  <c r="F8670" i="1"/>
  <c r="G8670" i="1"/>
  <c r="F8662" i="1"/>
  <c r="G8662" i="1"/>
  <c r="F8646" i="1"/>
  <c r="G8646" i="1"/>
  <c r="F8638" i="1"/>
  <c r="G8638" i="1"/>
  <c r="F8622" i="1"/>
  <c r="G8622" i="1"/>
  <c r="F8606" i="1"/>
  <c r="G8606" i="1"/>
  <c r="F8598" i="1"/>
  <c r="G8598" i="1"/>
  <c r="F8582" i="1"/>
  <c r="G8582" i="1"/>
  <c r="F8574" i="1"/>
  <c r="G8574" i="1"/>
  <c r="F8558" i="1"/>
  <c r="G8558" i="1"/>
  <c r="F8542" i="1"/>
  <c r="G8542" i="1"/>
  <c r="F8534" i="1"/>
  <c r="G8534" i="1"/>
  <c r="F8518" i="1"/>
  <c r="G8518" i="1"/>
  <c r="F8510" i="1"/>
  <c r="G8510" i="1"/>
  <c r="F8494" i="1"/>
  <c r="G8494" i="1"/>
  <c r="F8478" i="1"/>
  <c r="G8478" i="1"/>
  <c r="F8470" i="1"/>
  <c r="G8470" i="1"/>
  <c r="F8454" i="1"/>
  <c r="G8454" i="1"/>
  <c r="F8446" i="1"/>
  <c r="G8446" i="1"/>
  <c r="F8430" i="1"/>
  <c r="G8430" i="1"/>
  <c r="F8414" i="1"/>
  <c r="G8414" i="1"/>
  <c r="F8406" i="1"/>
  <c r="G8406" i="1"/>
  <c r="F8390" i="1"/>
  <c r="G8390" i="1"/>
  <c r="F8382" i="1"/>
  <c r="G8382" i="1"/>
  <c r="F8366" i="1"/>
  <c r="G8366" i="1"/>
  <c r="F8350" i="1"/>
  <c r="G8350" i="1"/>
  <c r="F8342" i="1"/>
  <c r="G8342" i="1"/>
  <c r="F8326" i="1"/>
  <c r="G8326" i="1"/>
  <c r="F8318" i="1"/>
  <c r="G8318" i="1"/>
  <c r="F8302" i="1"/>
  <c r="G8302" i="1"/>
  <c r="F8286" i="1"/>
  <c r="G8286" i="1"/>
  <c r="F8278" i="1"/>
  <c r="G8278" i="1"/>
  <c r="F8262" i="1"/>
  <c r="G8262" i="1"/>
  <c r="F8254" i="1"/>
  <c r="G8254" i="1"/>
  <c r="F8238" i="1"/>
  <c r="G8238" i="1"/>
  <c r="F8222" i="1"/>
  <c r="G8222" i="1"/>
  <c r="F8214" i="1"/>
  <c r="G8214" i="1"/>
  <c r="F8206" i="1"/>
  <c r="G8206" i="1"/>
  <c r="F8198" i="1"/>
  <c r="G8198" i="1"/>
  <c r="F8190" i="1"/>
  <c r="G8190" i="1"/>
  <c r="F8182" i="1"/>
  <c r="G8182" i="1"/>
  <c r="F8174" i="1"/>
  <c r="G8174" i="1"/>
  <c r="F8158" i="1"/>
  <c r="G8158" i="1"/>
  <c r="F8150" i="1"/>
  <c r="G8150" i="1"/>
  <c r="F8142" i="1"/>
  <c r="G8142" i="1"/>
  <c r="F8134" i="1"/>
  <c r="G8134" i="1"/>
  <c r="F8126" i="1"/>
  <c r="G8126" i="1"/>
  <c r="F8118" i="1"/>
  <c r="G8118" i="1"/>
  <c r="F8110" i="1"/>
  <c r="G8110" i="1"/>
  <c r="F8094" i="1"/>
  <c r="G8094" i="1"/>
  <c r="F8086" i="1"/>
  <c r="G8086" i="1"/>
  <c r="F8078" i="1"/>
  <c r="G8078" i="1"/>
  <c r="F8070" i="1"/>
  <c r="G8070" i="1"/>
  <c r="F8062" i="1"/>
  <c r="G8062" i="1"/>
  <c r="F8054" i="1"/>
  <c r="G8054" i="1"/>
  <c r="F8046" i="1"/>
  <c r="G8046" i="1"/>
  <c r="F8038" i="1"/>
  <c r="G8038" i="1"/>
  <c r="F8030" i="1"/>
  <c r="G8030" i="1"/>
  <c r="F8022" i="1"/>
  <c r="G8022" i="1"/>
  <c r="F8014" i="1"/>
  <c r="G8014" i="1"/>
  <c r="F8006" i="1"/>
  <c r="G8006" i="1"/>
  <c r="F7998" i="1"/>
  <c r="G7998" i="1"/>
  <c r="F7990" i="1"/>
  <c r="G7990" i="1"/>
  <c r="F7982" i="1"/>
  <c r="G7982" i="1"/>
  <c r="F7974" i="1"/>
  <c r="G7974" i="1"/>
  <c r="F7966" i="1"/>
  <c r="G7966" i="1"/>
  <c r="F7958" i="1"/>
  <c r="G7958" i="1"/>
  <c r="F7950" i="1"/>
  <c r="G7950" i="1"/>
  <c r="F7942" i="1"/>
  <c r="G7942" i="1"/>
  <c r="F7934" i="1"/>
  <c r="G7934" i="1"/>
  <c r="F7926" i="1"/>
  <c r="G7926" i="1"/>
  <c r="F7918" i="1"/>
  <c r="G7918" i="1"/>
  <c r="F7910" i="1"/>
  <c r="G7910" i="1"/>
  <c r="F7902" i="1"/>
  <c r="G7902" i="1"/>
  <c r="F7894" i="1"/>
  <c r="G7894" i="1"/>
  <c r="F7886" i="1"/>
  <c r="G7886" i="1"/>
  <c r="F7878" i="1"/>
  <c r="G7878" i="1"/>
  <c r="F7870" i="1"/>
  <c r="G7870" i="1"/>
  <c r="F7862" i="1"/>
  <c r="G7862" i="1"/>
  <c r="F7854" i="1"/>
  <c r="G7854" i="1"/>
  <c r="F7846" i="1"/>
  <c r="G7846" i="1"/>
  <c r="F7838" i="1"/>
  <c r="G7838" i="1"/>
  <c r="F7830" i="1"/>
  <c r="G7830" i="1"/>
  <c r="F7822" i="1"/>
  <c r="G7822" i="1"/>
  <c r="F7814" i="1"/>
  <c r="G7814" i="1"/>
  <c r="F7806" i="1"/>
  <c r="G7806" i="1"/>
  <c r="F7798" i="1"/>
  <c r="G7798" i="1"/>
  <c r="F7790" i="1"/>
  <c r="G7790" i="1"/>
  <c r="F7782" i="1"/>
  <c r="G7782" i="1"/>
  <c r="F7774" i="1"/>
  <c r="G7774" i="1"/>
  <c r="F7766" i="1"/>
  <c r="G7766" i="1"/>
  <c r="F7758" i="1"/>
  <c r="G7758" i="1"/>
  <c r="F7750" i="1"/>
  <c r="G7750" i="1"/>
  <c r="F7742" i="1"/>
  <c r="G7742" i="1"/>
  <c r="F7734" i="1"/>
  <c r="G7734" i="1"/>
  <c r="F7726" i="1"/>
  <c r="G7726" i="1"/>
  <c r="F7718" i="1"/>
  <c r="G7718" i="1"/>
  <c r="F7710" i="1"/>
  <c r="G7710" i="1"/>
  <c r="F7702" i="1"/>
  <c r="G7702" i="1"/>
  <c r="F7694" i="1"/>
  <c r="G7694" i="1"/>
  <c r="F7686" i="1"/>
  <c r="G7686" i="1"/>
  <c r="F7678" i="1"/>
  <c r="G7678" i="1"/>
  <c r="F7670" i="1"/>
  <c r="G7670" i="1"/>
  <c r="F7662" i="1"/>
  <c r="G7662" i="1"/>
  <c r="F7654" i="1"/>
  <c r="G7654" i="1"/>
  <c r="F7646" i="1"/>
  <c r="G7646" i="1"/>
  <c r="F7638" i="1"/>
  <c r="G7638" i="1"/>
  <c r="F7630" i="1"/>
  <c r="G7630" i="1"/>
  <c r="F7622" i="1"/>
  <c r="G7622" i="1"/>
  <c r="F7614" i="1"/>
  <c r="G7614" i="1"/>
  <c r="F7606" i="1"/>
  <c r="G7606" i="1"/>
  <c r="F7598" i="1"/>
  <c r="G7598" i="1"/>
  <c r="F7590" i="1"/>
  <c r="G7590" i="1"/>
  <c r="F7582" i="1"/>
  <c r="G7582" i="1"/>
  <c r="F7574" i="1"/>
  <c r="G7574" i="1"/>
  <c r="F7566" i="1"/>
  <c r="G7566" i="1"/>
  <c r="F7558" i="1"/>
  <c r="G7558" i="1"/>
  <c r="F7550" i="1"/>
  <c r="G7550" i="1"/>
  <c r="F7542" i="1"/>
  <c r="G7542" i="1"/>
  <c r="F7534" i="1"/>
  <c r="G7534" i="1"/>
  <c r="F7526" i="1"/>
  <c r="G7526" i="1"/>
  <c r="F7518" i="1"/>
  <c r="G7518" i="1"/>
  <c r="F7510" i="1"/>
  <c r="G7510" i="1"/>
  <c r="F7502" i="1"/>
  <c r="G7502" i="1"/>
  <c r="F7494" i="1"/>
  <c r="G7494" i="1"/>
  <c r="F7486" i="1"/>
  <c r="G7486" i="1"/>
  <c r="F7478" i="1"/>
  <c r="G7478" i="1"/>
  <c r="F7470" i="1"/>
  <c r="G7470" i="1"/>
  <c r="F7462" i="1"/>
  <c r="G7462" i="1"/>
  <c r="F7454" i="1"/>
  <c r="G7454" i="1"/>
  <c r="F7446" i="1"/>
  <c r="G7446" i="1"/>
  <c r="F7438" i="1"/>
  <c r="G7438" i="1"/>
  <c r="F7430" i="1"/>
  <c r="G7430" i="1"/>
  <c r="F7422" i="1"/>
  <c r="G7422" i="1"/>
  <c r="F7414" i="1"/>
  <c r="G7414" i="1"/>
  <c r="F7406" i="1"/>
  <c r="G7406" i="1"/>
  <c r="F7398" i="1"/>
  <c r="G7398" i="1"/>
  <c r="F7390" i="1"/>
  <c r="G7390" i="1"/>
  <c r="F7382" i="1"/>
  <c r="G7382" i="1"/>
  <c r="F7374" i="1"/>
  <c r="G7374" i="1"/>
  <c r="F7366" i="1"/>
  <c r="G7366" i="1"/>
  <c r="F7358" i="1"/>
  <c r="G7358" i="1"/>
  <c r="F7350" i="1"/>
  <c r="G7350" i="1"/>
  <c r="F7342" i="1"/>
  <c r="G7342" i="1"/>
  <c r="F7334" i="1"/>
  <c r="G7334" i="1"/>
  <c r="F7326" i="1"/>
  <c r="G7326" i="1"/>
  <c r="F7318" i="1"/>
  <c r="G7318" i="1"/>
  <c r="F7310" i="1"/>
  <c r="G7310" i="1"/>
  <c r="F7302" i="1"/>
  <c r="G7302" i="1"/>
  <c r="F7294" i="1"/>
  <c r="G7294" i="1"/>
  <c r="F7286" i="1"/>
  <c r="G7286" i="1"/>
  <c r="F7278" i="1"/>
  <c r="G7278" i="1"/>
  <c r="F7270" i="1"/>
  <c r="G7270" i="1"/>
  <c r="F7262" i="1"/>
  <c r="G7262" i="1"/>
  <c r="F7254" i="1"/>
  <c r="G7254" i="1"/>
  <c r="F7246" i="1"/>
  <c r="G7246" i="1"/>
  <c r="F7238" i="1"/>
  <c r="G7238" i="1"/>
  <c r="F7230" i="1"/>
  <c r="G7230" i="1"/>
  <c r="F7222" i="1"/>
  <c r="G7222" i="1"/>
  <c r="F7214" i="1"/>
  <c r="G7214" i="1"/>
  <c r="F7206" i="1"/>
  <c r="G7206" i="1"/>
  <c r="F7198" i="1"/>
  <c r="G7198" i="1"/>
  <c r="F7190" i="1"/>
  <c r="G7190" i="1"/>
  <c r="F7182" i="1"/>
  <c r="G7182" i="1"/>
  <c r="F7174" i="1"/>
  <c r="G7174" i="1"/>
  <c r="F7166" i="1"/>
  <c r="G7166" i="1"/>
  <c r="F7158" i="1"/>
  <c r="G7158" i="1"/>
  <c r="F7150" i="1"/>
  <c r="G7150" i="1"/>
  <c r="F7142" i="1"/>
  <c r="G7142" i="1"/>
  <c r="F7134" i="1"/>
  <c r="G7134" i="1"/>
  <c r="F7126" i="1"/>
  <c r="G7126" i="1"/>
  <c r="F7118" i="1"/>
  <c r="G7118" i="1"/>
  <c r="F7110" i="1"/>
  <c r="G7110" i="1"/>
  <c r="F7102" i="1"/>
  <c r="G7102" i="1"/>
  <c r="F7094" i="1"/>
  <c r="G7094" i="1"/>
  <c r="F7086" i="1"/>
  <c r="G7086" i="1"/>
  <c r="F7078" i="1"/>
  <c r="G7078" i="1"/>
  <c r="F7070" i="1"/>
  <c r="G7070" i="1"/>
  <c r="F7062" i="1"/>
  <c r="G7062" i="1"/>
  <c r="F7054" i="1"/>
  <c r="G7054" i="1"/>
  <c r="F7046" i="1"/>
  <c r="G7046" i="1"/>
  <c r="F7038" i="1"/>
  <c r="G7038" i="1"/>
  <c r="F7030" i="1"/>
  <c r="G7030" i="1"/>
  <c r="F7022" i="1"/>
  <c r="G7022" i="1"/>
  <c r="F7014" i="1"/>
  <c r="G7014" i="1"/>
  <c r="F7006" i="1"/>
  <c r="G7006" i="1"/>
  <c r="F6998" i="1"/>
  <c r="G6998" i="1"/>
  <c r="F6990" i="1"/>
  <c r="G6990" i="1"/>
  <c r="F6982" i="1"/>
  <c r="G6982" i="1"/>
  <c r="F6974" i="1"/>
  <c r="G6974" i="1"/>
  <c r="F6966" i="1"/>
  <c r="G6966" i="1"/>
  <c r="F6958" i="1"/>
  <c r="G6958" i="1"/>
  <c r="F6950" i="1"/>
  <c r="G6950" i="1"/>
  <c r="F6942" i="1"/>
  <c r="G6942" i="1"/>
  <c r="F6934" i="1"/>
  <c r="G6934" i="1"/>
  <c r="F6926" i="1"/>
  <c r="G6926" i="1"/>
  <c r="F6918" i="1"/>
  <c r="G6918" i="1"/>
  <c r="F6910" i="1"/>
  <c r="G6910" i="1"/>
  <c r="F6902" i="1"/>
  <c r="G6902" i="1"/>
  <c r="F6894" i="1"/>
  <c r="G6894" i="1"/>
  <c r="F6886" i="1"/>
  <c r="G6886" i="1"/>
  <c r="F6878" i="1"/>
  <c r="G6878" i="1"/>
  <c r="F6870" i="1"/>
  <c r="G6870" i="1"/>
  <c r="F6862" i="1"/>
  <c r="G6862" i="1"/>
  <c r="F6854" i="1"/>
  <c r="G6854" i="1"/>
  <c r="F6846" i="1"/>
  <c r="G6846" i="1"/>
  <c r="F6838" i="1"/>
  <c r="G6838" i="1"/>
  <c r="F6830" i="1"/>
  <c r="G6830" i="1"/>
  <c r="F6822" i="1"/>
  <c r="G6822" i="1"/>
  <c r="F6814" i="1"/>
  <c r="G6814" i="1"/>
  <c r="F6806" i="1"/>
  <c r="G6806" i="1"/>
  <c r="F6798" i="1"/>
  <c r="G6798" i="1"/>
  <c r="F6790" i="1"/>
  <c r="G6790" i="1"/>
  <c r="F6782" i="1"/>
  <c r="G6782" i="1"/>
  <c r="F6774" i="1"/>
  <c r="G6774" i="1"/>
  <c r="F6766" i="1"/>
  <c r="G6766" i="1"/>
  <c r="F6758" i="1"/>
  <c r="G6758" i="1"/>
  <c r="F6750" i="1"/>
  <c r="G6750" i="1"/>
  <c r="F6742" i="1"/>
  <c r="G6742" i="1"/>
  <c r="F6734" i="1"/>
  <c r="G6734" i="1"/>
  <c r="F6726" i="1"/>
  <c r="G6726" i="1"/>
  <c r="F6718" i="1"/>
  <c r="G6718" i="1"/>
  <c r="F6710" i="1"/>
  <c r="G6710" i="1"/>
  <c r="F6702" i="1"/>
  <c r="G6702" i="1"/>
  <c r="F6694" i="1"/>
  <c r="G6694" i="1"/>
  <c r="F6686" i="1"/>
  <c r="G6686" i="1"/>
  <c r="F6678" i="1"/>
  <c r="G6678" i="1"/>
  <c r="F6670" i="1"/>
  <c r="G6670" i="1"/>
  <c r="F6662" i="1"/>
  <c r="G6662" i="1"/>
  <c r="F6654" i="1"/>
  <c r="G6654" i="1"/>
  <c r="F6646" i="1"/>
  <c r="G6646" i="1"/>
  <c r="F6638" i="1"/>
  <c r="G6638" i="1"/>
  <c r="F6630" i="1"/>
  <c r="G6630" i="1"/>
  <c r="F6622" i="1"/>
  <c r="G6622" i="1"/>
  <c r="F6614" i="1"/>
  <c r="G6614" i="1"/>
  <c r="F6606" i="1"/>
  <c r="G6606" i="1"/>
  <c r="F6598" i="1"/>
  <c r="G6598" i="1"/>
  <c r="F6590" i="1"/>
  <c r="G6590" i="1"/>
  <c r="F6582" i="1"/>
  <c r="G6582" i="1"/>
  <c r="F6574" i="1"/>
  <c r="G6574" i="1"/>
  <c r="F6566" i="1"/>
  <c r="G6566" i="1"/>
  <c r="F6558" i="1"/>
  <c r="G6558" i="1"/>
  <c r="F6550" i="1"/>
  <c r="G6550" i="1"/>
  <c r="F6542" i="1"/>
  <c r="G6542" i="1"/>
  <c r="F6534" i="1"/>
  <c r="G6534" i="1"/>
  <c r="F6526" i="1"/>
  <c r="G6526" i="1"/>
  <c r="F6518" i="1"/>
  <c r="G6518" i="1"/>
  <c r="F6510" i="1"/>
  <c r="G6510" i="1"/>
  <c r="F6502" i="1"/>
  <c r="G6502" i="1"/>
  <c r="F6494" i="1"/>
  <c r="G6494" i="1"/>
  <c r="F6486" i="1"/>
  <c r="G6486" i="1"/>
  <c r="F6478" i="1"/>
  <c r="G6478" i="1"/>
  <c r="F6470" i="1"/>
  <c r="G6470" i="1"/>
  <c r="F6462" i="1"/>
  <c r="G6462" i="1"/>
  <c r="F6454" i="1"/>
  <c r="G6454" i="1"/>
  <c r="F6446" i="1"/>
  <c r="G6446" i="1"/>
  <c r="F6438" i="1"/>
  <c r="G6438" i="1"/>
  <c r="F6430" i="1"/>
  <c r="G6430" i="1"/>
  <c r="F6422" i="1"/>
  <c r="G6422" i="1"/>
  <c r="F6414" i="1"/>
  <c r="G6414" i="1"/>
  <c r="F6406" i="1"/>
  <c r="G6406" i="1"/>
  <c r="F6398" i="1"/>
  <c r="G6398" i="1"/>
  <c r="F6390" i="1"/>
  <c r="G6390" i="1"/>
  <c r="F6382" i="1"/>
  <c r="G6382" i="1"/>
  <c r="F6374" i="1"/>
  <c r="G6374" i="1"/>
  <c r="F6366" i="1"/>
  <c r="G6366" i="1"/>
  <c r="F6358" i="1"/>
  <c r="G6358" i="1"/>
  <c r="F6350" i="1"/>
  <c r="G6350" i="1"/>
  <c r="F6342" i="1"/>
  <c r="G6342" i="1"/>
  <c r="F6334" i="1"/>
  <c r="G6334" i="1"/>
  <c r="F6326" i="1"/>
  <c r="G6326" i="1"/>
  <c r="F6318" i="1"/>
  <c r="G6318" i="1"/>
  <c r="F6310" i="1"/>
  <c r="G6310" i="1"/>
  <c r="F6302" i="1"/>
  <c r="G6302" i="1"/>
  <c r="F6294" i="1"/>
  <c r="G6294" i="1"/>
  <c r="F6286" i="1"/>
  <c r="G6286" i="1"/>
  <c r="F6278" i="1"/>
  <c r="G6278" i="1"/>
  <c r="F6270" i="1"/>
  <c r="G6270" i="1"/>
  <c r="F6262" i="1"/>
  <c r="G6262" i="1"/>
  <c r="F6254" i="1"/>
  <c r="G6254" i="1"/>
  <c r="F6246" i="1"/>
  <c r="G6246" i="1"/>
  <c r="F6238" i="1"/>
  <c r="G6238" i="1"/>
  <c r="F6230" i="1"/>
  <c r="G6230" i="1"/>
  <c r="F6222" i="1"/>
  <c r="G6222" i="1"/>
  <c r="F6214" i="1"/>
  <c r="G6214" i="1"/>
  <c r="F6206" i="1"/>
  <c r="G6206" i="1"/>
  <c r="F6198" i="1"/>
  <c r="G6198" i="1"/>
  <c r="F6190" i="1"/>
  <c r="G6190" i="1"/>
  <c r="F6182" i="1"/>
  <c r="G6182" i="1"/>
  <c r="F6174" i="1"/>
  <c r="G6174" i="1"/>
  <c r="F6166" i="1"/>
  <c r="G6166" i="1"/>
  <c r="F6158" i="1"/>
  <c r="G6158" i="1"/>
  <c r="F6150" i="1"/>
  <c r="G6150" i="1"/>
  <c r="F6142" i="1"/>
  <c r="G6142" i="1"/>
  <c r="F6134" i="1"/>
  <c r="G6134" i="1"/>
  <c r="F6126" i="1"/>
  <c r="G6126" i="1"/>
  <c r="F6118" i="1"/>
  <c r="G6118" i="1"/>
  <c r="F6110" i="1"/>
  <c r="G6110" i="1"/>
  <c r="F6102" i="1"/>
  <c r="G6102" i="1"/>
  <c r="F6094" i="1"/>
  <c r="G6094" i="1"/>
  <c r="F6086" i="1"/>
  <c r="G6086" i="1"/>
  <c r="F6078" i="1"/>
  <c r="G6078" i="1"/>
  <c r="F6070" i="1"/>
  <c r="G6070" i="1"/>
  <c r="F6062" i="1"/>
  <c r="G6062" i="1"/>
  <c r="F6054" i="1"/>
  <c r="G6054" i="1"/>
  <c r="F6046" i="1"/>
  <c r="G6046" i="1"/>
  <c r="F6038" i="1"/>
  <c r="G6038" i="1"/>
  <c r="F6030" i="1"/>
  <c r="G6030" i="1"/>
  <c r="F6022" i="1"/>
  <c r="G6022" i="1"/>
  <c r="F6014" i="1"/>
  <c r="G6014" i="1"/>
  <c r="F6006" i="1"/>
  <c r="G6006" i="1"/>
  <c r="F5998" i="1"/>
  <c r="G5998" i="1"/>
  <c r="F5990" i="1"/>
  <c r="G5990" i="1"/>
  <c r="F5982" i="1"/>
  <c r="G5982" i="1"/>
  <c r="F5974" i="1"/>
  <c r="G5974" i="1"/>
  <c r="F5966" i="1"/>
  <c r="G5966" i="1"/>
  <c r="F5958" i="1"/>
  <c r="G5958" i="1"/>
  <c r="F5950" i="1"/>
  <c r="G5950" i="1"/>
  <c r="F5942" i="1"/>
  <c r="G5942" i="1"/>
  <c r="F5934" i="1"/>
  <c r="G5934" i="1"/>
  <c r="F5926" i="1"/>
  <c r="G5926" i="1"/>
  <c r="F5918" i="1"/>
  <c r="G5918" i="1"/>
  <c r="F5910" i="1"/>
  <c r="G5910" i="1"/>
  <c r="F5902" i="1"/>
  <c r="G5902" i="1"/>
  <c r="F5894" i="1"/>
  <c r="G5894" i="1"/>
  <c r="F5886" i="1"/>
  <c r="G5886" i="1"/>
  <c r="F5878" i="1"/>
  <c r="G5878" i="1"/>
  <c r="F5870" i="1"/>
  <c r="G5870" i="1"/>
  <c r="F5862" i="1"/>
  <c r="G5862" i="1"/>
  <c r="F5854" i="1"/>
  <c r="G5854" i="1"/>
  <c r="F5846" i="1"/>
  <c r="G5846" i="1"/>
  <c r="F5838" i="1"/>
  <c r="G5838" i="1"/>
  <c r="F5830" i="1"/>
  <c r="G5830" i="1"/>
  <c r="F5822" i="1"/>
  <c r="G5822" i="1"/>
  <c r="F5814" i="1"/>
  <c r="G5814" i="1"/>
  <c r="F5806" i="1"/>
  <c r="G5806" i="1"/>
  <c r="F5798" i="1"/>
  <c r="G5798" i="1"/>
  <c r="F5790" i="1"/>
  <c r="G5790" i="1"/>
  <c r="F5782" i="1"/>
  <c r="G5782" i="1"/>
  <c r="F5774" i="1"/>
  <c r="G5774" i="1"/>
  <c r="F5766" i="1"/>
  <c r="G5766" i="1"/>
  <c r="F5758" i="1"/>
  <c r="G5758" i="1"/>
  <c r="F5750" i="1"/>
  <c r="G5750" i="1"/>
  <c r="F5742" i="1"/>
  <c r="G5742" i="1"/>
  <c r="F5734" i="1"/>
  <c r="G5734" i="1"/>
  <c r="F5726" i="1"/>
  <c r="G5726" i="1"/>
  <c r="F5718" i="1"/>
  <c r="G5718" i="1"/>
  <c r="F5710" i="1"/>
  <c r="G5710" i="1"/>
  <c r="F5702" i="1"/>
  <c r="G5702" i="1"/>
  <c r="F5694" i="1"/>
  <c r="G5694" i="1"/>
  <c r="G9972" i="1"/>
  <c r="G9935" i="1"/>
  <c r="G9905" i="1"/>
  <c r="G9870" i="1"/>
  <c r="G9832" i="1"/>
  <c r="G9804" i="1"/>
  <c r="G9767" i="1"/>
  <c r="G9729" i="1"/>
  <c r="G9702" i="1"/>
  <c r="G9664" i="1"/>
  <c r="G9628" i="1"/>
  <c r="G9599" i="1"/>
  <c r="G9561" i="1"/>
  <c r="G9526" i="1"/>
  <c r="G9496" i="1"/>
  <c r="G9460" i="1"/>
  <c r="G9423" i="1"/>
  <c r="G9393" i="1"/>
  <c r="G9358" i="1"/>
  <c r="G9320" i="1"/>
  <c r="G9292" i="1"/>
  <c r="G9255" i="1"/>
  <c r="G9217" i="1"/>
  <c r="G9190" i="1"/>
  <c r="G9152" i="1"/>
  <c r="G9116" i="1"/>
  <c r="G9087" i="1"/>
  <c r="G9049" i="1"/>
  <c r="G9014" i="1"/>
  <c r="G8984" i="1"/>
  <c r="G8948" i="1"/>
  <c r="G8911" i="1"/>
  <c r="G8881" i="1"/>
  <c r="G8846" i="1"/>
  <c r="G8808" i="1"/>
  <c r="G8780" i="1"/>
  <c r="G8743" i="1"/>
  <c r="G8705" i="1"/>
  <c r="G8678" i="1"/>
  <c r="G8640" i="1"/>
  <c r="G8604" i="1"/>
  <c r="G8575" i="1"/>
  <c r="G8537" i="1"/>
  <c r="G8502" i="1"/>
  <c r="G8472" i="1"/>
  <c r="G8436" i="1"/>
  <c r="G8399" i="1"/>
  <c r="G8334" i="1"/>
  <c r="G8296" i="1"/>
  <c r="G8268" i="1"/>
  <c r="G8231" i="1"/>
  <c r="G8102" i="1"/>
  <c r="G8016" i="1"/>
  <c r="G7888" i="1"/>
  <c r="G7760" i="1"/>
  <c r="G7632" i="1"/>
  <c r="G7504" i="1"/>
  <c r="G7376" i="1"/>
  <c r="G7248" i="1"/>
  <c r="G7120" i="1"/>
  <c r="G6992" i="1"/>
  <c r="F100" i="1"/>
  <c r="G100" i="1"/>
  <c r="F60" i="1"/>
  <c r="G60" i="1"/>
  <c r="F20" i="1"/>
  <c r="G20" i="1"/>
  <c r="F273" i="1"/>
  <c r="G273" i="1"/>
  <c r="E225" i="1"/>
  <c r="F225" i="1"/>
  <c r="G225" i="1"/>
  <c r="F177" i="1"/>
  <c r="G177" i="1"/>
  <c r="E121" i="1"/>
  <c r="F121" i="1"/>
  <c r="G121" i="1"/>
  <c r="F9963" i="1"/>
  <c r="G9963" i="1"/>
  <c r="E9923" i="1"/>
  <c r="F9923" i="1"/>
  <c r="G9923" i="1"/>
  <c r="E9883" i="1"/>
  <c r="F9883" i="1"/>
  <c r="G9883" i="1"/>
  <c r="E9843" i="1"/>
  <c r="F9843" i="1"/>
  <c r="G9843" i="1"/>
  <c r="E9803" i="1"/>
  <c r="F9803" i="1"/>
  <c r="G9803" i="1"/>
  <c r="E9771" i="1"/>
  <c r="F9771" i="1"/>
  <c r="G9771" i="1"/>
  <c r="E9739" i="1"/>
  <c r="F9739" i="1"/>
  <c r="G9739" i="1"/>
  <c r="E9699" i="1"/>
  <c r="F9699" i="1"/>
  <c r="G9699" i="1"/>
  <c r="E9651" i="1"/>
  <c r="F9651" i="1"/>
  <c r="G9651" i="1"/>
  <c r="E9611" i="1"/>
  <c r="F9611" i="1"/>
  <c r="G9611" i="1"/>
  <c r="E9579" i="1"/>
  <c r="F9579" i="1"/>
  <c r="G9579" i="1"/>
  <c r="E9523" i="1"/>
  <c r="F9523" i="1"/>
  <c r="G9523" i="1"/>
  <c r="E9467" i="1"/>
  <c r="F9467" i="1"/>
  <c r="G9467" i="1"/>
  <c r="E9235" i="1"/>
  <c r="F9235" i="1"/>
  <c r="G9235" i="1"/>
  <c r="E4539" i="1"/>
  <c r="F4539" i="1"/>
  <c r="G4539" i="1"/>
  <c r="F295" i="1"/>
  <c r="G295" i="1"/>
  <c r="F263" i="1"/>
  <c r="G263" i="1"/>
  <c r="F231" i="1"/>
  <c r="G231" i="1"/>
  <c r="F199" i="1"/>
  <c r="G199" i="1"/>
  <c r="F167" i="1"/>
  <c r="G167" i="1"/>
  <c r="F135" i="1"/>
  <c r="G135" i="1"/>
  <c r="E96" i="1"/>
  <c r="F96" i="1"/>
  <c r="G96" i="1"/>
  <c r="E80" i="1"/>
  <c r="F80" i="1"/>
  <c r="G80" i="1"/>
  <c r="E64" i="1"/>
  <c r="F64" i="1"/>
  <c r="G64" i="1"/>
  <c r="E48" i="1"/>
  <c r="F48" i="1"/>
  <c r="G48" i="1"/>
  <c r="E24" i="1"/>
  <c r="F24" i="1"/>
  <c r="G24" i="1"/>
  <c r="E8" i="1"/>
  <c r="F8" i="1"/>
  <c r="E241" i="1"/>
  <c r="F293" i="1"/>
  <c r="G293" i="1"/>
  <c r="F269" i="1"/>
  <c r="G269" i="1"/>
  <c r="F253" i="1"/>
  <c r="G253" i="1"/>
  <c r="F237" i="1"/>
  <c r="G237" i="1"/>
  <c r="F213" i="1"/>
  <c r="G213" i="1"/>
  <c r="F189" i="1"/>
  <c r="G189" i="1"/>
  <c r="F165" i="1"/>
  <c r="G165" i="1"/>
  <c r="F141" i="1"/>
  <c r="G141" i="1"/>
  <c r="F125" i="1"/>
  <c r="G125" i="1"/>
  <c r="F87" i="1"/>
  <c r="G87" i="1"/>
  <c r="F79" i="1"/>
  <c r="G79" i="1"/>
  <c r="F63" i="1"/>
  <c r="G63" i="1"/>
  <c r="F47" i="1"/>
  <c r="G47" i="1"/>
  <c r="F31" i="1"/>
  <c r="G31" i="1"/>
  <c r="F23" i="1"/>
  <c r="G23" i="1"/>
  <c r="F7" i="1"/>
  <c r="G7" i="1"/>
  <c r="E301" i="1"/>
  <c r="E263" i="1"/>
  <c r="E178" i="1"/>
  <c r="E117" i="1"/>
  <c r="E292" i="1"/>
  <c r="F292" i="1"/>
  <c r="G292" i="1"/>
  <c r="E276" i="1"/>
  <c r="F276" i="1"/>
  <c r="G276" i="1"/>
  <c r="E260" i="1"/>
  <c r="F260" i="1"/>
  <c r="G260" i="1"/>
  <c r="E244" i="1"/>
  <c r="F244" i="1"/>
  <c r="G244" i="1"/>
  <c r="E228" i="1"/>
  <c r="F228" i="1"/>
  <c r="G228" i="1"/>
  <c r="E212" i="1"/>
  <c r="F212" i="1"/>
  <c r="G212" i="1"/>
  <c r="E196" i="1"/>
  <c r="F196" i="1"/>
  <c r="G196" i="1"/>
  <c r="E180" i="1"/>
  <c r="F180" i="1"/>
  <c r="G180" i="1"/>
  <c r="E164" i="1"/>
  <c r="F164" i="1"/>
  <c r="G164" i="1"/>
  <c r="E148" i="1"/>
  <c r="F148" i="1"/>
  <c r="G148" i="1"/>
  <c r="E132" i="1"/>
  <c r="F132" i="1"/>
  <c r="G132" i="1"/>
  <c r="E124" i="1"/>
  <c r="F124" i="1"/>
  <c r="G124" i="1"/>
  <c r="F94" i="1"/>
  <c r="G94" i="1"/>
  <c r="F86" i="1"/>
  <c r="G86" i="1"/>
  <c r="F78" i="1"/>
  <c r="G78" i="1"/>
  <c r="F70" i="1"/>
  <c r="G70" i="1"/>
  <c r="F62" i="1"/>
  <c r="G62" i="1"/>
  <c r="F54" i="1"/>
  <c r="G54" i="1"/>
  <c r="F46" i="1"/>
  <c r="G46" i="1"/>
  <c r="F38" i="1"/>
  <c r="G38" i="1"/>
  <c r="F30" i="1"/>
  <c r="G30" i="1"/>
  <c r="F22" i="1"/>
  <c r="G22" i="1"/>
  <c r="F14" i="1"/>
  <c r="G14" i="1"/>
  <c r="E286" i="1"/>
  <c r="E262" i="1"/>
  <c r="E238" i="1"/>
  <c r="E213" i="1"/>
  <c r="E189" i="1"/>
  <c r="E177" i="1"/>
  <c r="E165" i="1"/>
  <c r="E151" i="1"/>
  <c r="E141" i="1"/>
  <c r="E127" i="1"/>
  <c r="F299" i="1"/>
  <c r="G299" i="1"/>
  <c r="F291" i="1"/>
  <c r="G291" i="1"/>
  <c r="F283" i="1"/>
  <c r="G283" i="1"/>
  <c r="F275" i="1"/>
  <c r="G275" i="1"/>
  <c r="F267" i="1"/>
  <c r="G267" i="1"/>
  <c r="F259" i="1"/>
  <c r="G259" i="1"/>
  <c r="F251" i="1"/>
  <c r="G251" i="1"/>
  <c r="F243" i="1"/>
  <c r="G243" i="1"/>
  <c r="F235" i="1"/>
  <c r="G235" i="1"/>
  <c r="F227" i="1"/>
  <c r="G227" i="1"/>
  <c r="F219" i="1"/>
  <c r="G219" i="1"/>
  <c r="F211" i="1"/>
  <c r="G211" i="1"/>
  <c r="F203" i="1"/>
  <c r="G203" i="1"/>
  <c r="F195" i="1"/>
  <c r="G195" i="1"/>
  <c r="F187" i="1"/>
  <c r="G187" i="1"/>
  <c r="F179" i="1"/>
  <c r="G179" i="1"/>
  <c r="F171" i="1"/>
  <c r="G171" i="1"/>
  <c r="F163" i="1"/>
  <c r="G163" i="1"/>
  <c r="F155" i="1"/>
  <c r="G155" i="1"/>
  <c r="F147" i="1"/>
  <c r="G147" i="1"/>
  <c r="F139" i="1"/>
  <c r="G139" i="1"/>
  <c r="F131" i="1"/>
  <c r="G131" i="1"/>
  <c r="F123" i="1"/>
  <c r="G123" i="1"/>
  <c r="F115" i="1"/>
  <c r="G115" i="1"/>
  <c r="E9986" i="1"/>
  <c r="E9954" i="1"/>
  <c r="E9922" i="1"/>
  <c r="E9890" i="1"/>
  <c r="E9858" i="1"/>
  <c r="E9826" i="1"/>
  <c r="E9794" i="1"/>
  <c r="E9762" i="1"/>
  <c r="E9730" i="1"/>
  <c r="E9698" i="1"/>
  <c r="E9666" i="1"/>
  <c r="E9634" i="1"/>
  <c r="E9602" i="1"/>
  <c r="E9570" i="1"/>
  <c r="E9538" i="1"/>
  <c r="E9506" i="1"/>
  <c r="E9474" i="1"/>
  <c r="E9442" i="1"/>
  <c r="E9410" i="1"/>
  <c r="E9378" i="1"/>
  <c r="E9346" i="1"/>
  <c r="E9314" i="1"/>
  <c r="E9282" i="1"/>
  <c r="E9250" i="1"/>
  <c r="E9186" i="1"/>
  <c r="E9154" i="1"/>
  <c r="E9122" i="1"/>
  <c r="E9090" i="1"/>
  <c r="E9058" i="1"/>
  <c r="E9026" i="1"/>
  <c r="E8994" i="1"/>
  <c r="E8962" i="1"/>
  <c r="E8930" i="1"/>
  <c r="E8898" i="1"/>
  <c r="E8866" i="1"/>
  <c r="E8834" i="1"/>
  <c r="E8802" i="1"/>
  <c r="E8770" i="1"/>
  <c r="E8738" i="1"/>
  <c r="E443" i="1"/>
  <c r="E379" i="1"/>
  <c r="E315" i="1"/>
  <c r="F9997" i="1"/>
  <c r="G9997" i="1"/>
  <c r="F9989" i="1"/>
  <c r="G9989" i="1"/>
  <c r="F9981" i="1"/>
  <c r="G9981" i="1"/>
  <c r="G9973" i="1"/>
  <c r="F9973" i="1"/>
  <c r="F9965" i="1"/>
  <c r="G9965" i="1"/>
  <c r="F9957" i="1"/>
  <c r="G9957" i="1"/>
  <c r="F9949" i="1"/>
  <c r="G9949" i="1"/>
  <c r="G9941" i="1"/>
  <c r="F9941" i="1"/>
  <c r="F9933" i="1"/>
  <c r="G9933" i="1"/>
  <c r="F9925" i="1"/>
  <c r="G9925" i="1"/>
  <c r="F9917" i="1"/>
  <c r="G9917" i="1"/>
  <c r="G9909" i="1"/>
  <c r="F9909" i="1"/>
  <c r="F9901" i="1"/>
  <c r="G9901" i="1"/>
  <c r="F9893" i="1"/>
  <c r="G9893" i="1"/>
  <c r="F9885" i="1"/>
  <c r="G9885" i="1"/>
  <c r="G9877" i="1"/>
  <c r="F9877" i="1"/>
  <c r="F9869" i="1"/>
  <c r="G9869" i="1"/>
  <c r="F9861" i="1"/>
  <c r="G9861" i="1"/>
  <c r="F9853" i="1"/>
  <c r="G9853" i="1"/>
  <c r="G9845" i="1"/>
  <c r="F9845" i="1"/>
  <c r="F9837" i="1"/>
  <c r="G9837" i="1"/>
  <c r="F9829" i="1"/>
  <c r="G9829" i="1"/>
  <c r="F9821" i="1"/>
  <c r="G9821" i="1"/>
  <c r="G9813" i="1"/>
  <c r="F9813" i="1"/>
  <c r="F9805" i="1"/>
  <c r="G9805" i="1"/>
  <c r="F9797" i="1"/>
  <c r="G9797" i="1"/>
  <c r="F9789" i="1"/>
  <c r="G9789" i="1"/>
  <c r="G9781" i="1"/>
  <c r="F9781" i="1"/>
  <c r="F9773" i="1"/>
  <c r="G9773" i="1"/>
  <c r="F9765" i="1"/>
  <c r="G9765" i="1"/>
  <c r="F9757" i="1"/>
  <c r="G9757" i="1"/>
  <c r="G9749" i="1"/>
  <c r="F9749" i="1"/>
  <c r="F9741" i="1"/>
  <c r="G9741" i="1"/>
  <c r="F9733" i="1"/>
  <c r="G9733" i="1"/>
  <c r="F9725" i="1"/>
  <c r="G9725" i="1"/>
  <c r="G9717" i="1"/>
  <c r="F9717" i="1"/>
  <c r="F9709" i="1"/>
  <c r="G9709" i="1"/>
  <c r="F9701" i="1"/>
  <c r="G9701" i="1"/>
  <c r="F9693" i="1"/>
  <c r="G9693" i="1"/>
  <c r="G9685" i="1"/>
  <c r="F9685" i="1"/>
  <c r="F9677" i="1"/>
  <c r="G9677" i="1"/>
  <c r="F9669" i="1"/>
  <c r="G9669" i="1"/>
  <c r="F9661" i="1"/>
  <c r="G9661" i="1"/>
  <c r="G9653" i="1"/>
  <c r="F9653" i="1"/>
  <c r="F9645" i="1"/>
  <c r="G9645" i="1"/>
  <c r="F9637" i="1"/>
  <c r="G9637" i="1"/>
  <c r="F9629" i="1"/>
  <c r="G9629" i="1"/>
  <c r="G9621" i="1"/>
  <c r="F9621" i="1"/>
  <c r="F9613" i="1"/>
  <c r="G9613" i="1"/>
  <c r="F9605" i="1"/>
  <c r="G9605" i="1"/>
  <c r="F9597" i="1"/>
  <c r="G9597" i="1"/>
  <c r="G9589" i="1"/>
  <c r="F9589" i="1"/>
  <c r="F9581" i="1"/>
  <c r="G9581" i="1"/>
  <c r="F9573" i="1"/>
  <c r="G9573" i="1"/>
  <c r="F9565" i="1"/>
  <c r="G9565" i="1"/>
  <c r="G9557" i="1"/>
  <c r="F9557" i="1"/>
  <c r="F9549" i="1"/>
  <c r="G9549" i="1"/>
  <c r="F9541" i="1"/>
  <c r="G9541" i="1"/>
  <c r="F9533" i="1"/>
  <c r="G9533" i="1"/>
  <c r="G9525" i="1"/>
  <c r="F9525" i="1"/>
  <c r="F9517" i="1"/>
  <c r="G9517" i="1"/>
  <c r="F9509" i="1"/>
  <c r="G9509" i="1"/>
  <c r="F9501" i="1"/>
  <c r="G9501" i="1"/>
  <c r="G9493" i="1"/>
  <c r="F9493" i="1"/>
  <c r="F9485" i="1"/>
  <c r="G9485" i="1"/>
  <c r="F9477" i="1"/>
  <c r="G9477" i="1"/>
  <c r="F9469" i="1"/>
  <c r="G9469" i="1"/>
  <c r="G9461" i="1"/>
  <c r="F9461" i="1"/>
  <c r="F9453" i="1"/>
  <c r="G9453" i="1"/>
  <c r="F9445" i="1"/>
  <c r="G9445" i="1"/>
  <c r="F9437" i="1"/>
  <c r="G9437" i="1"/>
  <c r="G9429" i="1"/>
  <c r="F9429" i="1"/>
  <c r="F9421" i="1"/>
  <c r="G9421" i="1"/>
  <c r="F9413" i="1"/>
  <c r="G9413" i="1"/>
  <c r="F9405" i="1"/>
  <c r="G9405" i="1"/>
  <c r="G9397" i="1"/>
  <c r="F9397" i="1"/>
  <c r="F9389" i="1"/>
  <c r="G9389" i="1"/>
  <c r="F9381" i="1"/>
  <c r="G9381" i="1"/>
  <c r="F9373" i="1"/>
  <c r="G9373" i="1"/>
  <c r="G9365" i="1"/>
  <c r="F9365" i="1"/>
  <c r="F9357" i="1"/>
  <c r="G9357" i="1"/>
  <c r="F9349" i="1"/>
  <c r="G9349" i="1"/>
  <c r="F9341" i="1"/>
  <c r="G9341" i="1"/>
  <c r="G9333" i="1"/>
  <c r="F9333" i="1"/>
  <c r="F9325" i="1"/>
  <c r="G9325" i="1"/>
  <c r="F9317" i="1"/>
  <c r="G9317" i="1"/>
  <c r="F9309" i="1"/>
  <c r="G9309" i="1"/>
  <c r="G9301" i="1"/>
  <c r="F9301" i="1"/>
  <c r="F9293" i="1"/>
  <c r="G9293" i="1"/>
  <c r="F9285" i="1"/>
  <c r="G9285" i="1"/>
  <c r="F9277" i="1"/>
  <c r="G9277" i="1"/>
  <c r="G9269" i="1"/>
  <c r="F9269" i="1"/>
  <c r="F9261" i="1"/>
  <c r="G9261" i="1"/>
  <c r="F9253" i="1"/>
  <c r="G9253" i="1"/>
  <c r="F9245" i="1"/>
  <c r="G9245" i="1"/>
  <c r="G9237" i="1"/>
  <c r="F9237" i="1"/>
  <c r="F9229" i="1"/>
  <c r="G9229" i="1"/>
  <c r="F9221" i="1"/>
  <c r="G9221" i="1"/>
  <c r="F9213" i="1"/>
  <c r="G9213" i="1"/>
  <c r="G9205" i="1"/>
  <c r="F9205" i="1"/>
  <c r="F9197" i="1"/>
  <c r="G9197" i="1"/>
  <c r="F9189" i="1"/>
  <c r="G9189" i="1"/>
  <c r="F9181" i="1"/>
  <c r="G9181" i="1"/>
  <c r="G9173" i="1"/>
  <c r="F9173" i="1"/>
  <c r="F9165" i="1"/>
  <c r="G9165" i="1"/>
  <c r="F9157" i="1"/>
  <c r="G9157" i="1"/>
  <c r="F9149" i="1"/>
  <c r="G9149" i="1"/>
  <c r="G9141" i="1"/>
  <c r="F9141" i="1"/>
  <c r="F9133" i="1"/>
  <c r="G9133" i="1"/>
  <c r="F9125" i="1"/>
  <c r="G9125" i="1"/>
  <c r="F9117" i="1"/>
  <c r="G9117" i="1"/>
  <c r="G9109" i="1"/>
  <c r="F9109" i="1"/>
  <c r="F9101" i="1"/>
  <c r="G9101" i="1"/>
  <c r="F9093" i="1"/>
  <c r="G9093" i="1"/>
  <c r="F9085" i="1"/>
  <c r="G9085" i="1"/>
  <c r="G9077" i="1"/>
  <c r="F9077" i="1"/>
  <c r="F9069" i="1"/>
  <c r="G9069" i="1"/>
  <c r="F9061" i="1"/>
  <c r="G9061" i="1"/>
  <c r="F9053" i="1"/>
  <c r="G9053" i="1"/>
  <c r="G9045" i="1"/>
  <c r="F9045" i="1"/>
  <c r="F9037" i="1"/>
  <c r="G9037" i="1"/>
  <c r="F9029" i="1"/>
  <c r="G9029" i="1"/>
  <c r="F9021" i="1"/>
  <c r="G9021" i="1"/>
  <c r="G9013" i="1"/>
  <c r="F9013" i="1"/>
  <c r="F9005" i="1"/>
  <c r="G9005" i="1"/>
  <c r="F8997" i="1"/>
  <c r="G8997" i="1"/>
  <c r="F8989" i="1"/>
  <c r="G8989" i="1"/>
  <c r="G8981" i="1"/>
  <c r="F8981" i="1"/>
  <c r="F8973" i="1"/>
  <c r="G8973" i="1"/>
  <c r="F8965" i="1"/>
  <c r="G8965" i="1"/>
  <c r="F8957" i="1"/>
  <c r="G8957" i="1"/>
  <c r="G8949" i="1"/>
  <c r="F8949" i="1"/>
  <c r="F8941" i="1"/>
  <c r="G8941" i="1"/>
  <c r="F8933" i="1"/>
  <c r="G8933" i="1"/>
  <c r="F8925" i="1"/>
  <c r="G8925" i="1"/>
  <c r="G8917" i="1"/>
  <c r="F8917" i="1"/>
  <c r="F8909" i="1"/>
  <c r="G8909" i="1"/>
  <c r="F8901" i="1"/>
  <c r="G8901" i="1"/>
  <c r="F8893" i="1"/>
  <c r="G8893" i="1"/>
  <c r="G8885" i="1"/>
  <c r="F8885" i="1"/>
  <c r="F8877" i="1"/>
  <c r="G8877" i="1"/>
  <c r="F8869" i="1"/>
  <c r="G8869" i="1"/>
  <c r="F8861" i="1"/>
  <c r="G8861" i="1"/>
  <c r="G8853" i="1"/>
  <c r="F8853" i="1"/>
  <c r="F8845" i="1"/>
  <c r="G8845" i="1"/>
  <c r="F8837" i="1"/>
  <c r="G8837" i="1"/>
  <c r="F8829" i="1"/>
  <c r="G8829" i="1"/>
  <c r="G8821" i="1"/>
  <c r="F8821" i="1"/>
  <c r="F8813" i="1"/>
  <c r="G8813" i="1"/>
  <c r="F8805" i="1"/>
  <c r="G8805" i="1"/>
  <c r="F8797" i="1"/>
  <c r="G8797" i="1"/>
  <c r="G8789" i="1"/>
  <c r="F8789" i="1"/>
  <c r="F8781" i="1"/>
  <c r="G8781" i="1"/>
  <c r="F8773" i="1"/>
  <c r="G8773" i="1"/>
  <c r="F8765" i="1"/>
  <c r="G8765" i="1"/>
  <c r="G8757" i="1"/>
  <c r="F8757" i="1"/>
  <c r="F8749" i="1"/>
  <c r="G8749" i="1"/>
  <c r="F8741" i="1"/>
  <c r="G8741" i="1"/>
  <c r="F8733" i="1"/>
  <c r="G8733" i="1"/>
  <c r="G8725" i="1"/>
  <c r="F8725" i="1"/>
  <c r="F8717" i="1"/>
  <c r="G8717" i="1"/>
  <c r="F8709" i="1"/>
  <c r="G8709" i="1"/>
  <c r="F8701" i="1"/>
  <c r="G8701" i="1"/>
  <c r="G8693" i="1"/>
  <c r="F8693" i="1"/>
  <c r="F8685" i="1"/>
  <c r="G8685" i="1"/>
  <c r="F8677" i="1"/>
  <c r="G8677" i="1"/>
  <c r="G9999" i="1"/>
  <c r="G9969" i="1"/>
  <c r="G9934" i="1"/>
  <c r="G9896" i="1"/>
  <c r="G9868" i="1"/>
  <c r="G9831" i="1"/>
  <c r="G9793" i="1"/>
  <c r="G9766" i="1"/>
  <c r="G9728" i="1"/>
  <c r="G9692" i="1"/>
  <c r="G9663" i="1"/>
  <c r="G9625" i="1"/>
  <c r="G9590" i="1"/>
  <c r="G9560" i="1"/>
  <c r="G9524" i="1"/>
  <c r="G9487" i="1"/>
  <c r="G9457" i="1"/>
  <c r="G9422" i="1"/>
  <c r="G9384" i="1"/>
  <c r="G9356" i="1"/>
  <c r="G9319" i="1"/>
  <c r="G9281" i="1"/>
  <c r="G9254" i="1"/>
  <c r="G9216" i="1"/>
  <c r="G9180" i="1"/>
  <c r="G9151" i="1"/>
  <c r="G9113" i="1"/>
  <c r="G9078" i="1"/>
  <c r="G9048" i="1"/>
  <c r="G9012" i="1"/>
  <c r="G8975" i="1"/>
  <c r="G8945" i="1"/>
  <c r="G8910" i="1"/>
  <c r="G8872" i="1"/>
  <c r="G8844" i="1"/>
  <c r="G8807" i="1"/>
  <c r="G8769" i="1"/>
  <c r="G8742" i="1"/>
  <c r="G8704" i="1"/>
  <c r="G8668" i="1"/>
  <c r="G8639" i="1"/>
  <c r="G8601" i="1"/>
  <c r="G8566" i="1"/>
  <c r="G8536" i="1"/>
  <c r="G8500" i="1"/>
  <c r="G8463" i="1"/>
  <c r="G8398" i="1"/>
  <c r="G8360" i="1"/>
  <c r="G8332" i="1"/>
  <c r="G8295" i="1"/>
  <c r="G8230" i="1"/>
  <c r="G8166" i="1"/>
  <c r="G8000" i="1"/>
  <c r="G7872" i="1"/>
  <c r="G7744" i="1"/>
  <c r="G7616" i="1"/>
  <c r="G7488" i="1"/>
  <c r="G7360" i="1"/>
  <c r="G7232" i="1"/>
  <c r="G7104" i="1"/>
  <c r="G6976" i="1"/>
  <c r="F297" i="1"/>
  <c r="G297" i="1"/>
  <c r="E249" i="1"/>
  <c r="F249" i="1"/>
  <c r="G249" i="1"/>
  <c r="F201" i="1"/>
  <c r="G201" i="1"/>
  <c r="F153" i="1"/>
  <c r="G153" i="1"/>
  <c r="F9971" i="1"/>
  <c r="G9971" i="1"/>
  <c r="F9931" i="1"/>
  <c r="G9931" i="1"/>
  <c r="E9891" i="1"/>
  <c r="F9891" i="1"/>
  <c r="G9891" i="1"/>
  <c r="E9859" i="1"/>
  <c r="F9859" i="1"/>
  <c r="G9859" i="1"/>
  <c r="E9819" i="1"/>
  <c r="F9819" i="1"/>
  <c r="G9819" i="1"/>
  <c r="E9779" i="1"/>
  <c r="F9779" i="1"/>
  <c r="G9779" i="1"/>
  <c r="E9731" i="1"/>
  <c r="F9731" i="1"/>
  <c r="G9731" i="1"/>
  <c r="E9691" i="1"/>
  <c r="F9691" i="1"/>
  <c r="G9691" i="1"/>
  <c r="E9659" i="1"/>
  <c r="F9659" i="1"/>
  <c r="G9659" i="1"/>
  <c r="E9619" i="1"/>
  <c r="F9619" i="1"/>
  <c r="G9619" i="1"/>
  <c r="E9571" i="1"/>
  <c r="F9571" i="1"/>
  <c r="G9571" i="1"/>
  <c r="E9531" i="1"/>
  <c r="F9531" i="1"/>
  <c r="G9531" i="1"/>
  <c r="E9459" i="1"/>
  <c r="F9459" i="1"/>
  <c r="G9459" i="1"/>
  <c r="E9211" i="1"/>
  <c r="F9211" i="1"/>
  <c r="G9211" i="1"/>
  <c r="E4571" i="1"/>
  <c r="F4571" i="1"/>
  <c r="G4571" i="1"/>
  <c r="F98" i="1"/>
  <c r="G98" i="1"/>
  <c r="F66" i="1"/>
  <c r="G66" i="1"/>
  <c r="F42" i="1"/>
  <c r="G42" i="1"/>
  <c r="F10" i="1"/>
  <c r="G10" i="1"/>
  <c r="F287" i="1"/>
  <c r="G287" i="1"/>
  <c r="F255" i="1"/>
  <c r="G255" i="1"/>
  <c r="F215" i="1"/>
  <c r="G215" i="1"/>
  <c r="F191" i="1"/>
  <c r="G191" i="1"/>
  <c r="F159" i="1"/>
  <c r="G159" i="1"/>
  <c r="F119" i="1"/>
  <c r="G119" i="1"/>
  <c r="F101" i="1"/>
  <c r="G101" i="1"/>
  <c r="F93" i="1"/>
  <c r="G93" i="1"/>
  <c r="F85" i="1"/>
  <c r="G85" i="1"/>
  <c r="F77" i="1"/>
  <c r="G77" i="1"/>
  <c r="F69" i="1"/>
  <c r="G69" i="1"/>
  <c r="F61" i="1"/>
  <c r="G61" i="1"/>
  <c r="F53" i="1"/>
  <c r="G53" i="1"/>
  <c r="F45" i="1"/>
  <c r="G45" i="1"/>
  <c r="F37" i="1"/>
  <c r="G37" i="1"/>
  <c r="F29" i="1"/>
  <c r="G29" i="1"/>
  <c r="F21" i="1"/>
  <c r="G21" i="1"/>
  <c r="F13" i="1"/>
  <c r="G13" i="1"/>
  <c r="F108" i="1"/>
  <c r="G108" i="1"/>
  <c r="E273" i="1"/>
  <c r="E247" i="1"/>
  <c r="E223" i="1"/>
  <c r="E199" i="1"/>
  <c r="E175" i="1"/>
  <c r="F298" i="1"/>
  <c r="G298" i="1"/>
  <c r="F290" i="1"/>
  <c r="G290" i="1"/>
  <c r="F282" i="1"/>
  <c r="G282" i="1"/>
  <c r="F274" i="1"/>
  <c r="G274" i="1"/>
  <c r="F266" i="1"/>
  <c r="G266" i="1"/>
  <c r="F258" i="1"/>
  <c r="G258" i="1"/>
  <c r="F250" i="1"/>
  <c r="G250" i="1"/>
  <c r="F242" i="1"/>
  <c r="G242" i="1"/>
  <c r="F234" i="1"/>
  <c r="G234" i="1"/>
  <c r="F226" i="1"/>
  <c r="G226" i="1"/>
  <c r="F218" i="1"/>
  <c r="G218" i="1"/>
  <c r="F210" i="1"/>
  <c r="G210" i="1"/>
  <c r="F202" i="1"/>
  <c r="G202" i="1"/>
  <c r="F194" i="1"/>
  <c r="G194" i="1"/>
  <c r="F186" i="1"/>
  <c r="G186" i="1"/>
  <c r="F178" i="1"/>
  <c r="G178" i="1"/>
  <c r="F170" i="1"/>
  <c r="G170" i="1"/>
  <c r="F162" i="1"/>
  <c r="G162" i="1"/>
  <c r="F154" i="1"/>
  <c r="G154" i="1"/>
  <c r="F146" i="1"/>
  <c r="G146" i="1"/>
  <c r="F138" i="1"/>
  <c r="G138" i="1"/>
  <c r="F130" i="1"/>
  <c r="G130" i="1"/>
  <c r="F122" i="1"/>
  <c r="G122" i="1"/>
  <c r="F114" i="1"/>
  <c r="G114" i="1"/>
  <c r="E9985" i="1"/>
  <c r="E9953" i="1"/>
  <c r="E9921" i="1"/>
  <c r="E9889" i="1"/>
  <c r="E9857" i="1"/>
  <c r="E9825" i="1"/>
  <c r="E9793" i="1"/>
  <c r="E9761" i="1"/>
  <c r="E9729" i="1"/>
  <c r="E9697" i="1"/>
  <c r="E9665" i="1"/>
  <c r="E9633" i="1"/>
  <c r="E9601" i="1"/>
  <c r="E9569" i="1"/>
  <c r="E9537" i="1"/>
  <c r="E9505" i="1"/>
  <c r="E9473" i="1"/>
  <c r="E9441" i="1"/>
  <c r="E9409" i="1"/>
  <c r="E9377" i="1"/>
  <c r="E9345" i="1"/>
  <c r="E9313" i="1"/>
  <c r="E9281" i="1"/>
  <c r="E9249" i="1"/>
  <c r="E9217" i="1"/>
  <c r="E9185" i="1"/>
  <c r="E9153" i="1"/>
  <c r="E9121" i="1"/>
  <c r="E9089" i="1"/>
  <c r="E9057" i="1"/>
  <c r="E9025" i="1"/>
  <c r="E8993" i="1"/>
  <c r="E8961" i="1"/>
  <c r="E8929" i="1"/>
  <c r="E8897" i="1"/>
  <c r="E8865" i="1"/>
  <c r="E8833" i="1"/>
  <c r="E8801" i="1"/>
  <c r="E8769" i="1"/>
  <c r="E8737" i="1"/>
  <c r="E8705" i="1"/>
  <c r="E8673" i="1"/>
  <c r="E8641" i="1"/>
  <c r="E8609" i="1"/>
  <c r="E8577" i="1"/>
  <c r="E8545" i="1"/>
  <c r="E451" i="1"/>
  <c r="E387" i="1"/>
  <c r="E323" i="1"/>
  <c r="F9988" i="1"/>
  <c r="G9988" i="1"/>
  <c r="F9980" i="1"/>
  <c r="G9980" i="1"/>
  <c r="F9964" i="1"/>
  <c r="G9964" i="1"/>
  <c r="F9956" i="1"/>
  <c r="G9956" i="1"/>
  <c r="F9940" i="1"/>
  <c r="G9940" i="1"/>
  <c r="F9924" i="1"/>
  <c r="G9924" i="1"/>
  <c r="F9916" i="1"/>
  <c r="G9916" i="1"/>
  <c r="F9900" i="1"/>
  <c r="G9900" i="1"/>
  <c r="F9892" i="1"/>
  <c r="G9892" i="1"/>
  <c r="F9876" i="1"/>
  <c r="G9876" i="1"/>
  <c r="F9860" i="1"/>
  <c r="G9860" i="1"/>
  <c r="F9852" i="1"/>
  <c r="G9852" i="1"/>
  <c r="F9836" i="1"/>
  <c r="G9836" i="1"/>
  <c r="F9828" i="1"/>
  <c r="G9828" i="1"/>
  <c r="F9812" i="1"/>
  <c r="G9812" i="1"/>
  <c r="F9796" i="1"/>
  <c r="G9796" i="1"/>
  <c r="F9788" i="1"/>
  <c r="G9788" i="1"/>
  <c r="F9772" i="1"/>
  <c r="G9772" i="1"/>
  <c r="F9764" i="1"/>
  <c r="G9764" i="1"/>
  <c r="F9748" i="1"/>
  <c r="G9748" i="1"/>
  <c r="F9732" i="1"/>
  <c r="G9732" i="1"/>
  <c r="F9724" i="1"/>
  <c r="G9724" i="1"/>
  <c r="F9708" i="1"/>
  <c r="G9708" i="1"/>
  <c r="F9700" i="1"/>
  <c r="G9700" i="1"/>
  <c r="F9684" i="1"/>
  <c r="G9684" i="1"/>
  <c r="F9668" i="1"/>
  <c r="G9668" i="1"/>
  <c r="F9660" i="1"/>
  <c r="G9660" i="1"/>
  <c r="F9644" i="1"/>
  <c r="G9644" i="1"/>
  <c r="F9636" i="1"/>
  <c r="G9636" i="1"/>
  <c r="F9620" i="1"/>
  <c r="G9620" i="1"/>
  <c r="F9604" i="1"/>
  <c r="G9604" i="1"/>
  <c r="F9596" i="1"/>
  <c r="G9596" i="1"/>
  <c r="F9580" i="1"/>
  <c r="G9580" i="1"/>
  <c r="F9572" i="1"/>
  <c r="G9572" i="1"/>
  <c r="F9556" i="1"/>
  <c r="G9556" i="1"/>
  <c r="F9540" i="1"/>
  <c r="G9540" i="1"/>
  <c r="F9532" i="1"/>
  <c r="G9532" i="1"/>
  <c r="F9516" i="1"/>
  <c r="G9516" i="1"/>
  <c r="F9508" i="1"/>
  <c r="G9508" i="1"/>
  <c r="F9492" i="1"/>
  <c r="G9492" i="1"/>
  <c r="F9476" i="1"/>
  <c r="G9476" i="1"/>
  <c r="F9468" i="1"/>
  <c r="G9468" i="1"/>
  <c r="F9452" i="1"/>
  <c r="G9452" i="1"/>
  <c r="F9444" i="1"/>
  <c r="G9444" i="1"/>
  <c r="F9428" i="1"/>
  <c r="G9428" i="1"/>
  <c r="F9412" i="1"/>
  <c r="G9412" i="1"/>
  <c r="F9404" i="1"/>
  <c r="G9404" i="1"/>
  <c r="F9388" i="1"/>
  <c r="G9388" i="1"/>
  <c r="F9380" i="1"/>
  <c r="G9380" i="1"/>
  <c r="F9364" i="1"/>
  <c r="G9364" i="1"/>
  <c r="F9348" i="1"/>
  <c r="G9348" i="1"/>
  <c r="F9340" i="1"/>
  <c r="G9340" i="1"/>
  <c r="F9324" i="1"/>
  <c r="G9324" i="1"/>
  <c r="F9316" i="1"/>
  <c r="G9316" i="1"/>
  <c r="F9300" i="1"/>
  <c r="G9300" i="1"/>
  <c r="F9284" i="1"/>
  <c r="G9284" i="1"/>
  <c r="F9276" i="1"/>
  <c r="G9276" i="1"/>
  <c r="F9260" i="1"/>
  <c r="G9260" i="1"/>
  <c r="F9252" i="1"/>
  <c r="G9252" i="1"/>
  <c r="F9236" i="1"/>
  <c r="G9236" i="1"/>
  <c r="F9220" i="1"/>
  <c r="G9220" i="1"/>
  <c r="F9212" i="1"/>
  <c r="G9212" i="1"/>
  <c r="F9196" i="1"/>
  <c r="G9196" i="1"/>
  <c r="F9188" i="1"/>
  <c r="G9188" i="1"/>
  <c r="F9172" i="1"/>
  <c r="G9172" i="1"/>
  <c r="F9156" i="1"/>
  <c r="G9156" i="1"/>
  <c r="F9148" i="1"/>
  <c r="G9148" i="1"/>
  <c r="F9132" i="1"/>
  <c r="G9132" i="1"/>
  <c r="F9124" i="1"/>
  <c r="G9124" i="1"/>
  <c r="F9108" i="1"/>
  <c r="G9108" i="1"/>
  <c r="F9092" i="1"/>
  <c r="G9092" i="1"/>
  <c r="F9084" i="1"/>
  <c r="G9084" i="1"/>
  <c r="F9068" i="1"/>
  <c r="G9068" i="1"/>
  <c r="F9060" i="1"/>
  <c r="G9060" i="1"/>
  <c r="F9044" i="1"/>
  <c r="G9044" i="1"/>
  <c r="F9028" i="1"/>
  <c r="G9028" i="1"/>
  <c r="F9020" i="1"/>
  <c r="G9020" i="1"/>
  <c r="F9004" i="1"/>
  <c r="G9004" i="1"/>
  <c r="F8996" i="1"/>
  <c r="G8996" i="1"/>
  <c r="F8980" i="1"/>
  <c r="G8980" i="1"/>
  <c r="F8964" i="1"/>
  <c r="G8964" i="1"/>
  <c r="F8956" i="1"/>
  <c r="G8956" i="1"/>
  <c r="F8940" i="1"/>
  <c r="G8940" i="1"/>
  <c r="F8932" i="1"/>
  <c r="G8932" i="1"/>
  <c r="F8916" i="1"/>
  <c r="G8916" i="1"/>
  <c r="F8900" i="1"/>
  <c r="G8900" i="1"/>
  <c r="F8892" i="1"/>
  <c r="G8892" i="1"/>
  <c r="F8876" i="1"/>
  <c r="G8876" i="1"/>
  <c r="F8868" i="1"/>
  <c r="G8868" i="1"/>
  <c r="F8852" i="1"/>
  <c r="G8852" i="1"/>
  <c r="F8836" i="1"/>
  <c r="G8836" i="1"/>
  <c r="F8828" i="1"/>
  <c r="G8828" i="1"/>
  <c r="F8812" i="1"/>
  <c r="G8812" i="1"/>
  <c r="F8804" i="1"/>
  <c r="G8804" i="1"/>
  <c r="F8788" i="1"/>
  <c r="G8788" i="1"/>
  <c r="F8772" i="1"/>
  <c r="G8772" i="1"/>
  <c r="F8764" i="1"/>
  <c r="G8764" i="1"/>
  <c r="F8748" i="1"/>
  <c r="G8748" i="1"/>
  <c r="F8740" i="1"/>
  <c r="G8740" i="1"/>
  <c r="F8724" i="1"/>
  <c r="G8724" i="1"/>
  <c r="F8708" i="1"/>
  <c r="G8708" i="1"/>
  <c r="F8700" i="1"/>
  <c r="G8700" i="1"/>
  <c r="F8684" i="1"/>
  <c r="G8684" i="1"/>
  <c r="F8676" i="1"/>
  <c r="G8676" i="1"/>
  <c r="F8660" i="1"/>
  <c r="G8660" i="1"/>
  <c r="F8644" i="1"/>
  <c r="G8644" i="1"/>
  <c r="F8636" i="1"/>
  <c r="G8636" i="1"/>
  <c r="F8620" i="1"/>
  <c r="G8620" i="1"/>
  <c r="F8612" i="1"/>
  <c r="G8612" i="1"/>
  <c r="F8596" i="1"/>
  <c r="G8596" i="1"/>
  <c r="F8580" i="1"/>
  <c r="G8580" i="1"/>
  <c r="F8572" i="1"/>
  <c r="G8572" i="1"/>
  <c r="F8556" i="1"/>
  <c r="G8556" i="1"/>
  <c r="F8548" i="1"/>
  <c r="G8548" i="1"/>
  <c r="F8532" i="1"/>
  <c r="G8532" i="1"/>
  <c r="F8516" i="1"/>
  <c r="G8516" i="1"/>
  <c r="F8508" i="1"/>
  <c r="G8508" i="1"/>
  <c r="F8492" i="1"/>
  <c r="G8492" i="1"/>
  <c r="F8484" i="1"/>
  <c r="G8484" i="1"/>
  <c r="F8468" i="1"/>
  <c r="G8468" i="1"/>
  <c r="F8452" i="1"/>
  <c r="G8452" i="1"/>
  <c r="F8444" i="1"/>
  <c r="G8444" i="1"/>
  <c r="F8428" i="1"/>
  <c r="G8428" i="1"/>
  <c r="F8420" i="1"/>
  <c r="G8420" i="1"/>
  <c r="F8404" i="1"/>
  <c r="G8404" i="1"/>
  <c r="F8388" i="1"/>
  <c r="G8388" i="1"/>
  <c r="F8380" i="1"/>
  <c r="G8380" i="1"/>
  <c r="F8364" i="1"/>
  <c r="G8364" i="1"/>
  <c r="F8356" i="1"/>
  <c r="G8356" i="1"/>
  <c r="F8340" i="1"/>
  <c r="G8340" i="1"/>
  <c r="F8324" i="1"/>
  <c r="G8324" i="1"/>
  <c r="F8316" i="1"/>
  <c r="G8316" i="1"/>
  <c r="F8300" i="1"/>
  <c r="G8300" i="1"/>
  <c r="F8292" i="1"/>
  <c r="G8292" i="1"/>
  <c r="F8276" i="1"/>
  <c r="G8276" i="1"/>
  <c r="F8260" i="1"/>
  <c r="G8260" i="1"/>
  <c r="F8252" i="1"/>
  <c r="G8252" i="1"/>
  <c r="F8236" i="1"/>
  <c r="G8236" i="1"/>
  <c r="F8228" i="1"/>
  <c r="G8228" i="1"/>
  <c r="F8212" i="1"/>
  <c r="G8212" i="1"/>
  <c r="F8196" i="1"/>
  <c r="G8196" i="1"/>
  <c r="F8188" i="1"/>
  <c r="G8188" i="1"/>
  <c r="F8180" i="1"/>
  <c r="G8180" i="1"/>
  <c r="F8172" i="1"/>
  <c r="G8172" i="1"/>
  <c r="F8164" i="1"/>
  <c r="G8164" i="1"/>
  <c r="F8156" i="1"/>
  <c r="G8156" i="1"/>
  <c r="F8148" i="1"/>
  <c r="G8148" i="1"/>
  <c r="F8132" i="1"/>
  <c r="G8132" i="1"/>
  <c r="F8124" i="1"/>
  <c r="G8124" i="1"/>
  <c r="F8116" i="1"/>
  <c r="G8116" i="1"/>
  <c r="F8108" i="1"/>
  <c r="G8108" i="1"/>
  <c r="F8100" i="1"/>
  <c r="G8100" i="1"/>
  <c r="F8092" i="1"/>
  <c r="G8092" i="1"/>
  <c r="F8084" i="1"/>
  <c r="G8084" i="1"/>
  <c r="F8068" i="1"/>
  <c r="G8068" i="1"/>
  <c r="F8060" i="1"/>
  <c r="G8060" i="1"/>
  <c r="F8052" i="1"/>
  <c r="G8052" i="1"/>
  <c r="F8044" i="1"/>
  <c r="G8044" i="1"/>
  <c r="F8036" i="1"/>
  <c r="G8036" i="1"/>
  <c r="F8028" i="1"/>
  <c r="G8028" i="1"/>
  <c r="F8020" i="1"/>
  <c r="G8020" i="1"/>
  <c r="F8012" i="1"/>
  <c r="G8012" i="1"/>
  <c r="F8004" i="1"/>
  <c r="G8004" i="1"/>
  <c r="F7996" i="1"/>
  <c r="G7996" i="1"/>
  <c r="F7988" i="1"/>
  <c r="G7988" i="1"/>
  <c r="F7980" i="1"/>
  <c r="G7980" i="1"/>
  <c r="F7972" i="1"/>
  <c r="G7972" i="1"/>
  <c r="F7964" i="1"/>
  <c r="G7964" i="1"/>
  <c r="F7956" i="1"/>
  <c r="G7956" i="1"/>
  <c r="F7948" i="1"/>
  <c r="G7948" i="1"/>
  <c r="F7940" i="1"/>
  <c r="G7940" i="1"/>
  <c r="F7932" i="1"/>
  <c r="G7932" i="1"/>
  <c r="F7924" i="1"/>
  <c r="G7924" i="1"/>
  <c r="F7916" i="1"/>
  <c r="G7916" i="1"/>
  <c r="F7908" i="1"/>
  <c r="G7908" i="1"/>
  <c r="F7900" i="1"/>
  <c r="G7900" i="1"/>
  <c r="F7892" i="1"/>
  <c r="G7892" i="1"/>
  <c r="F7884" i="1"/>
  <c r="G7884" i="1"/>
  <c r="F7876" i="1"/>
  <c r="G7876" i="1"/>
  <c r="F7868" i="1"/>
  <c r="G7868" i="1"/>
  <c r="F7860" i="1"/>
  <c r="G7860" i="1"/>
  <c r="F7852" i="1"/>
  <c r="G7852" i="1"/>
  <c r="F7844" i="1"/>
  <c r="G7844" i="1"/>
  <c r="F7836" i="1"/>
  <c r="G7836" i="1"/>
  <c r="F7828" i="1"/>
  <c r="G7828" i="1"/>
  <c r="F7820" i="1"/>
  <c r="G7820" i="1"/>
  <c r="F7812" i="1"/>
  <c r="G7812" i="1"/>
  <c r="F7804" i="1"/>
  <c r="G7804" i="1"/>
  <c r="F7796" i="1"/>
  <c r="G7796" i="1"/>
  <c r="F7788" i="1"/>
  <c r="G7788" i="1"/>
  <c r="F7780" i="1"/>
  <c r="G7780" i="1"/>
  <c r="F7772" i="1"/>
  <c r="G7772" i="1"/>
  <c r="F7764" i="1"/>
  <c r="G7764" i="1"/>
  <c r="F7756" i="1"/>
  <c r="G7756" i="1"/>
  <c r="F7748" i="1"/>
  <c r="G7748" i="1"/>
  <c r="F7740" i="1"/>
  <c r="G7740" i="1"/>
  <c r="F7732" i="1"/>
  <c r="G7732" i="1"/>
  <c r="F7724" i="1"/>
  <c r="G7724" i="1"/>
  <c r="F7716" i="1"/>
  <c r="G7716" i="1"/>
  <c r="F7708" i="1"/>
  <c r="G7708" i="1"/>
  <c r="F7700" i="1"/>
  <c r="G7700" i="1"/>
  <c r="F7692" i="1"/>
  <c r="G7692" i="1"/>
  <c r="F7684" i="1"/>
  <c r="G7684" i="1"/>
  <c r="F7676" i="1"/>
  <c r="G7676" i="1"/>
  <c r="F7668" i="1"/>
  <c r="G7668" i="1"/>
  <c r="F7660" i="1"/>
  <c r="G7660" i="1"/>
  <c r="F7652" i="1"/>
  <c r="G7652" i="1"/>
  <c r="F7644" i="1"/>
  <c r="G7644" i="1"/>
  <c r="F7636" i="1"/>
  <c r="G7636" i="1"/>
  <c r="F7628" i="1"/>
  <c r="G7628" i="1"/>
  <c r="F7620" i="1"/>
  <c r="G7620" i="1"/>
  <c r="F7612" i="1"/>
  <c r="G7612" i="1"/>
  <c r="F7604" i="1"/>
  <c r="G7604" i="1"/>
  <c r="F7596" i="1"/>
  <c r="G7596" i="1"/>
  <c r="F7588" i="1"/>
  <c r="G7588" i="1"/>
  <c r="F7580" i="1"/>
  <c r="G7580" i="1"/>
  <c r="F7572" i="1"/>
  <c r="G7572" i="1"/>
  <c r="F7564" i="1"/>
  <c r="G7564" i="1"/>
  <c r="F7556" i="1"/>
  <c r="G7556" i="1"/>
  <c r="F7548" i="1"/>
  <c r="G7548" i="1"/>
  <c r="F7540" i="1"/>
  <c r="G7540" i="1"/>
  <c r="F7532" i="1"/>
  <c r="G7532" i="1"/>
  <c r="F7524" i="1"/>
  <c r="G7524" i="1"/>
  <c r="F7516" i="1"/>
  <c r="G7516" i="1"/>
  <c r="F7508" i="1"/>
  <c r="G7508" i="1"/>
  <c r="F7500" i="1"/>
  <c r="G7500" i="1"/>
  <c r="F7492" i="1"/>
  <c r="G7492" i="1"/>
  <c r="F7484" i="1"/>
  <c r="G7484" i="1"/>
  <c r="F7476" i="1"/>
  <c r="G7476" i="1"/>
  <c r="F7468" i="1"/>
  <c r="G7468" i="1"/>
  <c r="F7460" i="1"/>
  <c r="G7460" i="1"/>
  <c r="F7452" i="1"/>
  <c r="G7452" i="1"/>
  <c r="F7444" i="1"/>
  <c r="G7444" i="1"/>
  <c r="F7436" i="1"/>
  <c r="G7436" i="1"/>
  <c r="F7428" i="1"/>
  <c r="G7428" i="1"/>
  <c r="F7420" i="1"/>
  <c r="G7420" i="1"/>
  <c r="F7412" i="1"/>
  <c r="G7412" i="1"/>
  <c r="F7404" i="1"/>
  <c r="G7404" i="1"/>
  <c r="F7396" i="1"/>
  <c r="G7396" i="1"/>
  <c r="F7388" i="1"/>
  <c r="G7388" i="1"/>
  <c r="F7380" i="1"/>
  <c r="G7380" i="1"/>
  <c r="F7372" i="1"/>
  <c r="G7372" i="1"/>
  <c r="F7364" i="1"/>
  <c r="G7364" i="1"/>
  <c r="F7356" i="1"/>
  <c r="G7356" i="1"/>
  <c r="F7348" i="1"/>
  <c r="G7348" i="1"/>
  <c r="F7340" i="1"/>
  <c r="G7340" i="1"/>
  <c r="F7332" i="1"/>
  <c r="G7332" i="1"/>
  <c r="F7324" i="1"/>
  <c r="G7324" i="1"/>
  <c r="F7316" i="1"/>
  <c r="G7316" i="1"/>
  <c r="F7308" i="1"/>
  <c r="G7308" i="1"/>
  <c r="F7300" i="1"/>
  <c r="G7300" i="1"/>
  <c r="F7292" i="1"/>
  <c r="G7292" i="1"/>
  <c r="F7284" i="1"/>
  <c r="G7284" i="1"/>
  <c r="F7276" i="1"/>
  <c r="G7276" i="1"/>
  <c r="F7268" i="1"/>
  <c r="G7268" i="1"/>
  <c r="F7260" i="1"/>
  <c r="G7260" i="1"/>
  <c r="F7252" i="1"/>
  <c r="G7252" i="1"/>
  <c r="F7244" i="1"/>
  <c r="G7244" i="1"/>
  <c r="F7236" i="1"/>
  <c r="G7236" i="1"/>
  <c r="F7228" i="1"/>
  <c r="G7228" i="1"/>
  <c r="F7220" i="1"/>
  <c r="G7220" i="1"/>
  <c r="F7212" i="1"/>
  <c r="G7212" i="1"/>
  <c r="F7204" i="1"/>
  <c r="G7204" i="1"/>
  <c r="F7196" i="1"/>
  <c r="G7196" i="1"/>
  <c r="F7188" i="1"/>
  <c r="G7188" i="1"/>
  <c r="F7180" i="1"/>
  <c r="G7180" i="1"/>
  <c r="F7172" i="1"/>
  <c r="G7172" i="1"/>
  <c r="F7164" i="1"/>
  <c r="G7164" i="1"/>
  <c r="F7156" i="1"/>
  <c r="G7156" i="1"/>
  <c r="F7148" i="1"/>
  <c r="G7148" i="1"/>
  <c r="F7140" i="1"/>
  <c r="G7140" i="1"/>
  <c r="F7132" i="1"/>
  <c r="G7132" i="1"/>
  <c r="F7124" i="1"/>
  <c r="G7124" i="1"/>
  <c r="F7116" i="1"/>
  <c r="G7116" i="1"/>
  <c r="F7108" i="1"/>
  <c r="G7108" i="1"/>
  <c r="F7100" i="1"/>
  <c r="G7100" i="1"/>
  <c r="F7092" i="1"/>
  <c r="G7092" i="1"/>
  <c r="F7084" i="1"/>
  <c r="G7084" i="1"/>
  <c r="F7076" i="1"/>
  <c r="G7076" i="1"/>
  <c r="F7068" i="1"/>
  <c r="G7068" i="1"/>
  <c r="F7060" i="1"/>
  <c r="G7060" i="1"/>
  <c r="F7052" i="1"/>
  <c r="G7052" i="1"/>
  <c r="F7044" i="1"/>
  <c r="G7044" i="1"/>
  <c r="F7036" i="1"/>
  <c r="G7036" i="1"/>
  <c r="F7028" i="1"/>
  <c r="G7028" i="1"/>
  <c r="F7020" i="1"/>
  <c r="G7020" i="1"/>
  <c r="F7012" i="1"/>
  <c r="G7012" i="1"/>
  <c r="F7004" i="1"/>
  <c r="G7004" i="1"/>
  <c r="F6996" i="1"/>
  <c r="G6996" i="1"/>
  <c r="F6988" i="1"/>
  <c r="G6988" i="1"/>
  <c r="F6980" i="1"/>
  <c r="G6980" i="1"/>
  <c r="F6972" i="1"/>
  <c r="G6972" i="1"/>
  <c r="F6964" i="1"/>
  <c r="G6964" i="1"/>
  <c r="F6956" i="1"/>
  <c r="G6956" i="1"/>
  <c r="F6948" i="1"/>
  <c r="G6948" i="1"/>
  <c r="F6940" i="1"/>
  <c r="G6940" i="1"/>
  <c r="F6932" i="1"/>
  <c r="G6932" i="1"/>
  <c r="F6924" i="1"/>
  <c r="G6924" i="1"/>
  <c r="F6916" i="1"/>
  <c r="G6916" i="1"/>
  <c r="F6908" i="1"/>
  <c r="G6908" i="1"/>
  <c r="F6900" i="1"/>
  <c r="G6900" i="1"/>
  <c r="F6892" i="1"/>
  <c r="G6892" i="1"/>
  <c r="F6884" i="1"/>
  <c r="G6884" i="1"/>
  <c r="F6876" i="1"/>
  <c r="G6876" i="1"/>
  <c r="F6868" i="1"/>
  <c r="G6868" i="1"/>
  <c r="F6860" i="1"/>
  <c r="G6860" i="1"/>
  <c r="F6852" i="1"/>
  <c r="G6852" i="1"/>
  <c r="F6844" i="1"/>
  <c r="G6844" i="1"/>
  <c r="F6836" i="1"/>
  <c r="G6836" i="1"/>
  <c r="F6828" i="1"/>
  <c r="G6828" i="1"/>
  <c r="F6820" i="1"/>
  <c r="G6820" i="1"/>
  <c r="F6812" i="1"/>
  <c r="G6812" i="1"/>
  <c r="F6804" i="1"/>
  <c r="G6804" i="1"/>
  <c r="F6796" i="1"/>
  <c r="G6796" i="1"/>
  <c r="F6788" i="1"/>
  <c r="G6788" i="1"/>
  <c r="F6780" i="1"/>
  <c r="G6780" i="1"/>
  <c r="F6772" i="1"/>
  <c r="G6772" i="1"/>
  <c r="F6764" i="1"/>
  <c r="G6764" i="1"/>
  <c r="F6756" i="1"/>
  <c r="G6756" i="1"/>
  <c r="F6748" i="1"/>
  <c r="G6748" i="1"/>
  <c r="F6740" i="1"/>
  <c r="G6740" i="1"/>
  <c r="F6732" i="1"/>
  <c r="G6732" i="1"/>
  <c r="F6724" i="1"/>
  <c r="G6724" i="1"/>
  <c r="F6716" i="1"/>
  <c r="G6716" i="1"/>
  <c r="F6708" i="1"/>
  <c r="G6708" i="1"/>
  <c r="F6700" i="1"/>
  <c r="G6700" i="1"/>
  <c r="F6692" i="1"/>
  <c r="G6692" i="1"/>
  <c r="F6684" i="1"/>
  <c r="G6684" i="1"/>
  <c r="F6676" i="1"/>
  <c r="G6676" i="1"/>
  <c r="F6668" i="1"/>
  <c r="G6668" i="1"/>
  <c r="F6660" i="1"/>
  <c r="G6660" i="1"/>
  <c r="F6652" i="1"/>
  <c r="G6652" i="1"/>
  <c r="F6644" i="1"/>
  <c r="G6644" i="1"/>
  <c r="F6636" i="1"/>
  <c r="G6636" i="1"/>
  <c r="F6628" i="1"/>
  <c r="G6628" i="1"/>
  <c r="F6620" i="1"/>
  <c r="G6620" i="1"/>
  <c r="F6612" i="1"/>
  <c r="G6612" i="1"/>
  <c r="F6604" i="1"/>
  <c r="G6604" i="1"/>
  <c r="F6596" i="1"/>
  <c r="G6596" i="1"/>
  <c r="F6588" i="1"/>
  <c r="G6588" i="1"/>
  <c r="F6580" i="1"/>
  <c r="G6580" i="1"/>
  <c r="F6572" i="1"/>
  <c r="G6572" i="1"/>
  <c r="F6564" i="1"/>
  <c r="G6564" i="1"/>
  <c r="F6556" i="1"/>
  <c r="G6556" i="1"/>
  <c r="F6548" i="1"/>
  <c r="G6548" i="1"/>
  <c r="F6540" i="1"/>
  <c r="G6540" i="1"/>
  <c r="F6532" i="1"/>
  <c r="G6532" i="1"/>
  <c r="F6524" i="1"/>
  <c r="G6524" i="1"/>
  <c r="F6516" i="1"/>
  <c r="G6516" i="1"/>
  <c r="F6508" i="1"/>
  <c r="G6508" i="1"/>
  <c r="F6500" i="1"/>
  <c r="G6500" i="1"/>
  <c r="F6492" i="1"/>
  <c r="G6492" i="1"/>
  <c r="F6484" i="1"/>
  <c r="G6484" i="1"/>
  <c r="F6476" i="1"/>
  <c r="G6476" i="1"/>
  <c r="F6468" i="1"/>
  <c r="G6468" i="1"/>
  <c r="F6460" i="1"/>
  <c r="G6460" i="1"/>
  <c r="F6452" i="1"/>
  <c r="G6452" i="1"/>
  <c r="F6444" i="1"/>
  <c r="G6444" i="1"/>
  <c r="F6436" i="1"/>
  <c r="G6436" i="1"/>
  <c r="F6428" i="1"/>
  <c r="G6428" i="1"/>
  <c r="F6420" i="1"/>
  <c r="G6420" i="1"/>
  <c r="F6412" i="1"/>
  <c r="G6412" i="1"/>
  <c r="F6404" i="1"/>
  <c r="G6404" i="1"/>
  <c r="F6396" i="1"/>
  <c r="G6396" i="1"/>
  <c r="F6388" i="1"/>
  <c r="G6388" i="1"/>
  <c r="F6380" i="1"/>
  <c r="G6380" i="1"/>
  <c r="F6372" i="1"/>
  <c r="G6372" i="1"/>
  <c r="F6364" i="1"/>
  <c r="G6364" i="1"/>
  <c r="F6356" i="1"/>
  <c r="G6356" i="1"/>
  <c r="F6348" i="1"/>
  <c r="G6348" i="1"/>
  <c r="F6340" i="1"/>
  <c r="G6340" i="1"/>
  <c r="F6332" i="1"/>
  <c r="G6332" i="1"/>
  <c r="F6324" i="1"/>
  <c r="G6324" i="1"/>
  <c r="F6316" i="1"/>
  <c r="G6316" i="1"/>
  <c r="F6308" i="1"/>
  <c r="G6308" i="1"/>
  <c r="F6300" i="1"/>
  <c r="G6300" i="1"/>
  <c r="F6292" i="1"/>
  <c r="G6292" i="1"/>
  <c r="F6284" i="1"/>
  <c r="G6284" i="1"/>
  <c r="F6276" i="1"/>
  <c r="G6276" i="1"/>
  <c r="F6268" i="1"/>
  <c r="G6268" i="1"/>
  <c r="F6260" i="1"/>
  <c r="G6260" i="1"/>
  <c r="F6252" i="1"/>
  <c r="G6252" i="1"/>
  <c r="F6244" i="1"/>
  <c r="G6244" i="1"/>
  <c r="F6236" i="1"/>
  <c r="G6236" i="1"/>
  <c r="F6228" i="1"/>
  <c r="G6228" i="1"/>
  <c r="F6220" i="1"/>
  <c r="G6220" i="1"/>
  <c r="F6212" i="1"/>
  <c r="G6212" i="1"/>
  <c r="F6204" i="1"/>
  <c r="G6204" i="1"/>
  <c r="F6196" i="1"/>
  <c r="G6196" i="1"/>
  <c r="F6188" i="1"/>
  <c r="G6188" i="1"/>
  <c r="F6180" i="1"/>
  <c r="G6180" i="1"/>
  <c r="F6172" i="1"/>
  <c r="G6172" i="1"/>
  <c r="F6164" i="1"/>
  <c r="G6164" i="1"/>
  <c r="F6156" i="1"/>
  <c r="G6156" i="1"/>
  <c r="F6148" i="1"/>
  <c r="G6148" i="1"/>
  <c r="F6140" i="1"/>
  <c r="G6140" i="1"/>
  <c r="F6132" i="1"/>
  <c r="G6132" i="1"/>
  <c r="F6124" i="1"/>
  <c r="G6124" i="1"/>
  <c r="F6116" i="1"/>
  <c r="G6116" i="1"/>
  <c r="F6108" i="1"/>
  <c r="G6108" i="1"/>
  <c r="F6100" i="1"/>
  <c r="G6100" i="1"/>
  <c r="F6092" i="1"/>
  <c r="G6092" i="1"/>
  <c r="F6084" i="1"/>
  <c r="G6084" i="1"/>
  <c r="F6076" i="1"/>
  <c r="G6076" i="1"/>
  <c r="F6068" i="1"/>
  <c r="G6068" i="1"/>
  <c r="F6060" i="1"/>
  <c r="G6060" i="1"/>
  <c r="F6052" i="1"/>
  <c r="G6052" i="1"/>
  <c r="F6044" i="1"/>
  <c r="G6044" i="1"/>
  <c r="F6036" i="1"/>
  <c r="G6036" i="1"/>
  <c r="F6028" i="1"/>
  <c r="G6028" i="1"/>
  <c r="F6020" i="1"/>
  <c r="G6020" i="1"/>
  <c r="F6012" i="1"/>
  <c r="G6012" i="1"/>
  <c r="F6004" i="1"/>
  <c r="G6004" i="1"/>
  <c r="F5996" i="1"/>
  <c r="G5996" i="1"/>
  <c r="F5988" i="1"/>
  <c r="G5988" i="1"/>
  <c r="F5980" i="1"/>
  <c r="G5980" i="1"/>
  <c r="F5972" i="1"/>
  <c r="G5972" i="1"/>
  <c r="F5964" i="1"/>
  <c r="G5964" i="1"/>
  <c r="F5956" i="1"/>
  <c r="G5956" i="1"/>
  <c r="F5948" i="1"/>
  <c r="G5948" i="1"/>
  <c r="F5940" i="1"/>
  <c r="G5940" i="1"/>
  <c r="F5932" i="1"/>
  <c r="G5932" i="1"/>
  <c r="F5924" i="1"/>
  <c r="G5924" i="1"/>
  <c r="F5916" i="1"/>
  <c r="G5916" i="1"/>
  <c r="F5908" i="1"/>
  <c r="G5908" i="1"/>
  <c r="F5900" i="1"/>
  <c r="G5900" i="1"/>
  <c r="F5892" i="1"/>
  <c r="G5892" i="1"/>
  <c r="F5884" i="1"/>
  <c r="G5884" i="1"/>
  <c r="F5876" i="1"/>
  <c r="G5876" i="1"/>
  <c r="F5868" i="1"/>
  <c r="G5868" i="1"/>
  <c r="F5860" i="1"/>
  <c r="G5860" i="1"/>
  <c r="F5852" i="1"/>
  <c r="G5852" i="1"/>
  <c r="F5844" i="1"/>
  <c r="G5844" i="1"/>
  <c r="F5836" i="1"/>
  <c r="G5836" i="1"/>
  <c r="F5828" i="1"/>
  <c r="G5828" i="1"/>
  <c r="F5820" i="1"/>
  <c r="G5820" i="1"/>
  <c r="F5812" i="1"/>
  <c r="G5812" i="1"/>
  <c r="F5804" i="1"/>
  <c r="G5804" i="1"/>
  <c r="F5796" i="1"/>
  <c r="G5796" i="1"/>
  <c r="F5788" i="1"/>
  <c r="G5788" i="1"/>
  <c r="F5780" i="1"/>
  <c r="G5780" i="1"/>
  <c r="F5772" i="1"/>
  <c r="G5772" i="1"/>
  <c r="F5764" i="1"/>
  <c r="G5764" i="1"/>
  <c r="F5756" i="1"/>
  <c r="G5756" i="1"/>
  <c r="F5748" i="1"/>
  <c r="G5748" i="1"/>
  <c r="F5740" i="1"/>
  <c r="G5740" i="1"/>
  <c r="F5732" i="1"/>
  <c r="G5732" i="1"/>
  <c r="F5724" i="1"/>
  <c r="G5724" i="1"/>
  <c r="F5716" i="1"/>
  <c r="G5716" i="1"/>
  <c r="F5708" i="1"/>
  <c r="G5708" i="1"/>
  <c r="F5700" i="1"/>
  <c r="G5700" i="1"/>
  <c r="F5692" i="1"/>
  <c r="G5692" i="1"/>
  <c r="F5684" i="1"/>
  <c r="G5684" i="1"/>
  <c r="F5676" i="1"/>
  <c r="G5676" i="1"/>
  <c r="F5668" i="1"/>
  <c r="G5668" i="1"/>
  <c r="F5660" i="1"/>
  <c r="G5660" i="1"/>
  <c r="F5652" i="1"/>
  <c r="G5652" i="1"/>
  <c r="F5644" i="1"/>
  <c r="G5644" i="1"/>
  <c r="F5636" i="1"/>
  <c r="G5636" i="1"/>
  <c r="F5628" i="1"/>
  <c r="G5628" i="1"/>
  <c r="F5620" i="1"/>
  <c r="G5620" i="1"/>
  <c r="G5612" i="1"/>
  <c r="F5612" i="1"/>
  <c r="F5604" i="1"/>
  <c r="G5604" i="1"/>
  <c r="F5596" i="1"/>
  <c r="G5596" i="1"/>
  <c r="F5588" i="1"/>
  <c r="G5588" i="1"/>
  <c r="G5580" i="1"/>
  <c r="F5580" i="1"/>
  <c r="F5572" i="1"/>
  <c r="G5572" i="1"/>
  <c r="F5564" i="1"/>
  <c r="G5564" i="1"/>
  <c r="F5556" i="1"/>
  <c r="G5556" i="1"/>
  <c r="F5548" i="1"/>
  <c r="G5548" i="1"/>
  <c r="F5540" i="1"/>
  <c r="G5540" i="1"/>
  <c r="F5532" i="1"/>
  <c r="G5532" i="1"/>
  <c r="F5524" i="1"/>
  <c r="G5524" i="1"/>
  <c r="F5516" i="1"/>
  <c r="G5516" i="1"/>
  <c r="F5508" i="1"/>
  <c r="G5508" i="1"/>
  <c r="F5500" i="1"/>
  <c r="G5500" i="1"/>
  <c r="F5492" i="1"/>
  <c r="G5492" i="1"/>
  <c r="G5484" i="1"/>
  <c r="F5484" i="1"/>
  <c r="F5476" i="1"/>
  <c r="G5476" i="1"/>
  <c r="F5468" i="1"/>
  <c r="G5468" i="1"/>
  <c r="F5460" i="1"/>
  <c r="G5460" i="1"/>
  <c r="G5452" i="1"/>
  <c r="F5452" i="1"/>
  <c r="F5444" i="1"/>
  <c r="G5444" i="1"/>
  <c r="F5436" i="1"/>
  <c r="G5436" i="1"/>
  <c r="F5428" i="1"/>
  <c r="G5428" i="1"/>
  <c r="F5420" i="1"/>
  <c r="G5420" i="1"/>
  <c r="F5412" i="1"/>
  <c r="G5412" i="1"/>
  <c r="F5404" i="1"/>
  <c r="G5404" i="1"/>
  <c r="F5396" i="1"/>
  <c r="G5396" i="1"/>
  <c r="F5388" i="1"/>
  <c r="G5388" i="1"/>
  <c r="F5380" i="1"/>
  <c r="G5380" i="1"/>
  <c r="F5372" i="1"/>
  <c r="G5372" i="1"/>
  <c r="F5364" i="1"/>
  <c r="G5364" i="1"/>
  <c r="F5356" i="1"/>
  <c r="G5356" i="1"/>
  <c r="F5348" i="1"/>
  <c r="G5348" i="1"/>
  <c r="F5340" i="1"/>
  <c r="G5340" i="1"/>
  <c r="F5332" i="1"/>
  <c r="G5332" i="1"/>
  <c r="F5324" i="1"/>
  <c r="G5324" i="1"/>
  <c r="F5316" i="1"/>
  <c r="G5316" i="1"/>
  <c r="F5308" i="1"/>
  <c r="G5308" i="1"/>
  <c r="F5300" i="1"/>
  <c r="G5300" i="1"/>
  <c r="F5292" i="1"/>
  <c r="G5292" i="1"/>
  <c r="F5284" i="1"/>
  <c r="G5284" i="1"/>
  <c r="F5276" i="1"/>
  <c r="G5276" i="1"/>
  <c r="F5268" i="1"/>
  <c r="G5268" i="1"/>
  <c r="F5260" i="1"/>
  <c r="G5260" i="1"/>
  <c r="F5252" i="1"/>
  <c r="G5252" i="1"/>
  <c r="F5244" i="1"/>
  <c r="G5244" i="1"/>
  <c r="F5236" i="1"/>
  <c r="G5236" i="1"/>
  <c r="F5228" i="1"/>
  <c r="G5228" i="1"/>
  <c r="F5220" i="1"/>
  <c r="G5220" i="1"/>
  <c r="F5212" i="1"/>
  <c r="G5212" i="1"/>
  <c r="F5204" i="1"/>
  <c r="G5204" i="1"/>
  <c r="F5196" i="1"/>
  <c r="G5196" i="1"/>
  <c r="F5188" i="1"/>
  <c r="G5188" i="1"/>
  <c r="F5180" i="1"/>
  <c r="G5180" i="1"/>
  <c r="F5172" i="1"/>
  <c r="G5172" i="1"/>
  <c r="F5164" i="1"/>
  <c r="G5164" i="1"/>
  <c r="F5156" i="1"/>
  <c r="G5156" i="1"/>
  <c r="F5148" i="1"/>
  <c r="G5148" i="1"/>
  <c r="F5140" i="1"/>
  <c r="G5140" i="1"/>
  <c r="F5132" i="1"/>
  <c r="G5132" i="1"/>
  <c r="F5124" i="1"/>
  <c r="G5124" i="1"/>
  <c r="F5116" i="1"/>
  <c r="G5116" i="1"/>
  <c r="F5108" i="1"/>
  <c r="G5108" i="1"/>
  <c r="G5100" i="1"/>
  <c r="F5100" i="1"/>
  <c r="F5092" i="1"/>
  <c r="G5092" i="1"/>
  <c r="F5084" i="1"/>
  <c r="G5084" i="1"/>
  <c r="F5076" i="1"/>
  <c r="G5076" i="1"/>
  <c r="G5068" i="1"/>
  <c r="F5068" i="1"/>
  <c r="F5060" i="1"/>
  <c r="G5060" i="1"/>
  <c r="F5052" i="1"/>
  <c r="G5052" i="1"/>
  <c r="F5044" i="1"/>
  <c r="G5044" i="1"/>
  <c r="F5036" i="1"/>
  <c r="G5036" i="1"/>
  <c r="F5028" i="1"/>
  <c r="G5028" i="1"/>
  <c r="F5020" i="1"/>
  <c r="G5020" i="1"/>
  <c r="F5012" i="1"/>
  <c r="G5012" i="1"/>
  <c r="F5004" i="1"/>
  <c r="G5004" i="1"/>
  <c r="F4996" i="1"/>
  <c r="G4996" i="1"/>
  <c r="F4988" i="1"/>
  <c r="G4988" i="1"/>
  <c r="F4980" i="1"/>
  <c r="G4980" i="1"/>
  <c r="G4972" i="1"/>
  <c r="F4972" i="1"/>
  <c r="F4964" i="1"/>
  <c r="G4964" i="1"/>
  <c r="F4956" i="1"/>
  <c r="G4956" i="1"/>
  <c r="F4948" i="1"/>
  <c r="G4948" i="1"/>
  <c r="G4940" i="1"/>
  <c r="F4940" i="1"/>
  <c r="F4932" i="1"/>
  <c r="G4932" i="1"/>
  <c r="F4924" i="1"/>
  <c r="G4924" i="1"/>
  <c r="F4916" i="1"/>
  <c r="G4916" i="1"/>
  <c r="F4908" i="1"/>
  <c r="G4908" i="1"/>
  <c r="F4900" i="1"/>
  <c r="G4900" i="1"/>
  <c r="F4892" i="1"/>
  <c r="G4892" i="1"/>
  <c r="F4884" i="1"/>
  <c r="G4884" i="1"/>
  <c r="F4876" i="1"/>
  <c r="G4876" i="1"/>
  <c r="F4868" i="1"/>
  <c r="G4868" i="1"/>
  <c r="F4860" i="1"/>
  <c r="G4860" i="1"/>
  <c r="F4852" i="1"/>
  <c r="G4852" i="1"/>
  <c r="F4844" i="1"/>
  <c r="G4844" i="1"/>
  <c r="F4836" i="1"/>
  <c r="G4836" i="1"/>
  <c r="F4828" i="1"/>
  <c r="G4828" i="1"/>
  <c r="F4820" i="1"/>
  <c r="G4820" i="1"/>
  <c r="F4812" i="1"/>
  <c r="G4812" i="1"/>
  <c r="F4804" i="1"/>
  <c r="G4804" i="1"/>
  <c r="F4796" i="1"/>
  <c r="G4796" i="1"/>
  <c r="F4788" i="1"/>
  <c r="G4788" i="1"/>
  <c r="F4780" i="1"/>
  <c r="G4780" i="1"/>
  <c r="F4772" i="1"/>
  <c r="G4772" i="1"/>
  <c r="F4764" i="1"/>
  <c r="G4764" i="1"/>
  <c r="F4756" i="1"/>
  <c r="G4756" i="1"/>
  <c r="F4748" i="1"/>
  <c r="G4748" i="1"/>
  <c r="F4740" i="1"/>
  <c r="G4740" i="1"/>
  <c r="F4732" i="1"/>
  <c r="G4732" i="1"/>
  <c r="F4724" i="1"/>
  <c r="G4724" i="1"/>
  <c r="F4716" i="1"/>
  <c r="G4716" i="1"/>
  <c r="F4708" i="1"/>
  <c r="G4708" i="1"/>
  <c r="F4700" i="1"/>
  <c r="G4700" i="1"/>
  <c r="F4692" i="1"/>
  <c r="G4692" i="1"/>
  <c r="F4684" i="1"/>
  <c r="G4684" i="1"/>
  <c r="F4676" i="1"/>
  <c r="G4676" i="1"/>
  <c r="F4668" i="1"/>
  <c r="G4668" i="1"/>
  <c r="F4660" i="1"/>
  <c r="G4660" i="1"/>
  <c r="F4652" i="1"/>
  <c r="G4652" i="1"/>
  <c r="F4644" i="1"/>
  <c r="G4644" i="1"/>
  <c r="F4636" i="1"/>
  <c r="G4636" i="1"/>
  <c r="F4628" i="1"/>
  <c r="G4628" i="1"/>
  <c r="F4620" i="1"/>
  <c r="G4620" i="1"/>
  <c r="F4612" i="1"/>
  <c r="G4612" i="1"/>
  <c r="F4604" i="1"/>
  <c r="G4604" i="1"/>
  <c r="F4596" i="1"/>
  <c r="G4596" i="1"/>
  <c r="G4588" i="1"/>
  <c r="F4588" i="1"/>
  <c r="F4580" i="1"/>
  <c r="G4580" i="1"/>
  <c r="F4572" i="1"/>
  <c r="G4572" i="1"/>
  <c r="F4564" i="1"/>
  <c r="G4564" i="1"/>
  <c r="G4556" i="1"/>
  <c r="F4556" i="1"/>
  <c r="F4548" i="1"/>
  <c r="G4548" i="1"/>
  <c r="F4540" i="1"/>
  <c r="G4540" i="1"/>
  <c r="F4532" i="1"/>
  <c r="G4532" i="1"/>
  <c r="F4524" i="1"/>
  <c r="G4524" i="1"/>
  <c r="F4516" i="1"/>
  <c r="G4516" i="1"/>
  <c r="F4508" i="1"/>
  <c r="G4508" i="1"/>
  <c r="F4500" i="1"/>
  <c r="G4500" i="1"/>
  <c r="F4492" i="1"/>
  <c r="G4492" i="1"/>
  <c r="F4484" i="1"/>
  <c r="G4484" i="1"/>
  <c r="F4476" i="1"/>
  <c r="G4476" i="1"/>
  <c r="F4468" i="1"/>
  <c r="G4468" i="1"/>
  <c r="G4460" i="1"/>
  <c r="F4460" i="1"/>
  <c r="F4452" i="1"/>
  <c r="G4452" i="1"/>
  <c r="F4444" i="1"/>
  <c r="G4444" i="1"/>
  <c r="F4436" i="1"/>
  <c r="G4436" i="1"/>
  <c r="G4428" i="1"/>
  <c r="F4428" i="1"/>
  <c r="F4420" i="1"/>
  <c r="G4420" i="1"/>
  <c r="F4412" i="1"/>
  <c r="G4412" i="1"/>
  <c r="F4404" i="1"/>
  <c r="G4404" i="1"/>
  <c r="F4396" i="1"/>
  <c r="G4396" i="1"/>
  <c r="F4388" i="1"/>
  <c r="G4388" i="1"/>
  <c r="F4380" i="1"/>
  <c r="G4380" i="1"/>
  <c r="F4372" i="1"/>
  <c r="G4372" i="1"/>
  <c r="F4364" i="1"/>
  <c r="G4364" i="1"/>
  <c r="F4356" i="1"/>
  <c r="G4356" i="1"/>
  <c r="F4348" i="1"/>
  <c r="G4348" i="1"/>
  <c r="F4340" i="1"/>
  <c r="G4340" i="1"/>
  <c r="F4332" i="1"/>
  <c r="G4332" i="1"/>
  <c r="F4324" i="1"/>
  <c r="G4324" i="1"/>
  <c r="F4316" i="1"/>
  <c r="G4316" i="1"/>
  <c r="F4308" i="1"/>
  <c r="G4308" i="1"/>
  <c r="F4300" i="1"/>
  <c r="G4300" i="1"/>
  <c r="F4292" i="1"/>
  <c r="G4292" i="1"/>
  <c r="F4284" i="1"/>
  <c r="G4284" i="1"/>
  <c r="F4276" i="1"/>
  <c r="G4276" i="1"/>
  <c r="F4268" i="1"/>
  <c r="G4268" i="1"/>
  <c r="F4260" i="1"/>
  <c r="G4260" i="1"/>
  <c r="F4252" i="1"/>
  <c r="G4252" i="1"/>
  <c r="F4244" i="1"/>
  <c r="G4244" i="1"/>
  <c r="F4236" i="1"/>
  <c r="G4236" i="1"/>
  <c r="F4228" i="1"/>
  <c r="G4228" i="1"/>
  <c r="F4220" i="1"/>
  <c r="G4220" i="1"/>
  <c r="F4212" i="1"/>
  <c r="G4212" i="1"/>
  <c r="F4204" i="1"/>
  <c r="G4204" i="1"/>
  <c r="F4196" i="1"/>
  <c r="G4196" i="1"/>
  <c r="F4188" i="1"/>
  <c r="G4188" i="1"/>
  <c r="F4180" i="1"/>
  <c r="G4180" i="1"/>
  <c r="F4172" i="1"/>
  <c r="G4172" i="1"/>
  <c r="F4164" i="1"/>
  <c r="G4164" i="1"/>
  <c r="F4156" i="1"/>
  <c r="G4156" i="1"/>
  <c r="F4148" i="1"/>
  <c r="G4148" i="1"/>
  <c r="F4140" i="1"/>
  <c r="G4140" i="1"/>
  <c r="F4132" i="1"/>
  <c r="G4132" i="1"/>
  <c r="F4124" i="1"/>
  <c r="G4124" i="1"/>
  <c r="F4116" i="1"/>
  <c r="G4116" i="1"/>
  <c r="F4108" i="1"/>
  <c r="G4108" i="1"/>
  <c r="F4100" i="1"/>
  <c r="G4100" i="1"/>
  <c r="F4092" i="1"/>
  <c r="G4092" i="1"/>
  <c r="F4084" i="1"/>
  <c r="G4084" i="1"/>
  <c r="G4076" i="1"/>
  <c r="F4076" i="1"/>
  <c r="F4068" i="1"/>
  <c r="G4068" i="1"/>
  <c r="F4060" i="1"/>
  <c r="G4060" i="1"/>
  <c r="F4052" i="1"/>
  <c r="G4052" i="1"/>
  <c r="G4044" i="1"/>
  <c r="F4044" i="1"/>
  <c r="F4036" i="1"/>
  <c r="G4036" i="1"/>
  <c r="F4028" i="1"/>
  <c r="G4028" i="1"/>
  <c r="F4020" i="1"/>
  <c r="G4020" i="1"/>
  <c r="F4012" i="1"/>
  <c r="G4012" i="1"/>
  <c r="F4004" i="1"/>
  <c r="G4004" i="1"/>
  <c r="F3996" i="1"/>
  <c r="G3996" i="1"/>
  <c r="F3988" i="1"/>
  <c r="G3988" i="1"/>
  <c r="F3980" i="1"/>
  <c r="G3980" i="1"/>
  <c r="F3972" i="1"/>
  <c r="G3972" i="1"/>
  <c r="F3964" i="1"/>
  <c r="G3964" i="1"/>
  <c r="F3956" i="1"/>
  <c r="G3956" i="1"/>
  <c r="G3948" i="1"/>
  <c r="F3948" i="1"/>
  <c r="F3940" i="1"/>
  <c r="G3940" i="1"/>
  <c r="F3932" i="1"/>
  <c r="G3932" i="1"/>
  <c r="F3924" i="1"/>
  <c r="G3924" i="1"/>
  <c r="G3916" i="1"/>
  <c r="F3916" i="1"/>
  <c r="F3908" i="1"/>
  <c r="G3908" i="1"/>
  <c r="F3900" i="1"/>
  <c r="G3900" i="1"/>
  <c r="F3892" i="1"/>
  <c r="G3892" i="1"/>
  <c r="F3884" i="1"/>
  <c r="G3884" i="1"/>
  <c r="F3876" i="1"/>
  <c r="G3876" i="1"/>
  <c r="F3868" i="1"/>
  <c r="G3868" i="1"/>
  <c r="F3860" i="1"/>
  <c r="G3860" i="1"/>
  <c r="F3852" i="1"/>
  <c r="G3852" i="1"/>
  <c r="F3844" i="1"/>
  <c r="G3844" i="1"/>
  <c r="F3836" i="1"/>
  <c r="G3836" i="1"/>
  <c r="F3828" i="1"/>
  <c r="G3828" i="1"/>
  <c r="F3820" i="1"/>
  <c r="G3820" i="1"/>
  <c r="F3812" i="1"/>
  <c r="G3812" i="1"/>
  <c r="F3804" i="1"/>
  <c r="G3804" i="1"/>
  <c r="F3796" i="1"/>
  <c r="G3796" i="1"/>
  <c r="F3788" i="1"/>
  <c r="G3788" i="1"/>
  <c r="F3780" i="1"/>
  <c r="G3780" i="1"/>
  <c r="F3772" i="1"/>
  <c r="G3772" i="1"/>
  <c r="F3764" i="1"/>
  <c r="G3764" i="1"/>
  <c r="F3756" i="1"/>
  <c r="G3756" i="1"/>
  <c r="F3748" i="1"/>
  <c r="G3748" i="1"/>
  <c r="F3740" i="1"/>
  <c r="G3740" i="1"/>
  <c r="F3732" i="1"/>
  <c r="G3732" i="1"/>
  <c r="F3724" i="1"/>
  <c r="G3724" i="1"/>
  <c r="F3716" i="1"/>
  <c r="G3716" i="1"/>
  <c r="F3708" i="1"/>
  <c r="G3708" i="1"/>
  <c r="F3700" i="1"/>
  <c r="G3700" i="1"/>
  <c r="F3692" i="1"/>
  <c r="G3692" i="1"/>
  <c r="F3684" i="1"/>
  <c r="G3684" i="1"/>
  <c r="F3676" i="1"/>
  <c r="G3676" i="1"/>
  <c r="F3668" i="1"/>
  <c r="G3668" i="1"/>
  <c r="F3660" i="1"/>
  <c r="G3660" i="1"/>
  <c r="F3652" i="1"/>
  <c r="G3652" i="1"/>
  <c r="F3644" i="1"/>
  <c r="G3644" i="1"/>
  <c r="F3636" i="1"/>
  <c r="G3636" i="1"/>
  <c r="F3628" i="1"/>
  <c r="G3628" i="1"/>
  <c r="F3620" i="1"/>
  <c r="G3620" i="1"/>
  <c r="F3612" i="1"/>
  <c r="G3612" i="1"/>
  <c r="F3604" i="1"/>
  <c r="G3604" i="1"/>
  <c r="F3596" i="1"/>
  <c r="G3596" i="1"/>
  <c r="F3588" i="1"/>
  <c r="G3588" i="1"/>
  <c r="F3580" i="1"/>
  <c r="G3580" i="1"/>
  <c r="F3572" i="1"/>
  <c r="G3572" i="1"/>
  <c r="F3564" i="1"/>
  <c r="G3564" i="1"/>
  <c r="F3556" i="1"/>
  <c r="G3556" i="1"/>
  <c r="F3548" i="1"/>
  <c r="G3548" i="1"/>
  <c r="F3540" i="1"/>
  <c r="G3540" i="1"/>
  <c r="F3532" i="1"/>
  <c r="G3532" i="1"/>
  <c r="F3524" i="1"/>
  <c r="G3524" i="1"/>
  <c r="F3516" i="1"/>
  <c r="G3516" i="1"/>
  <c r="F3508" i="1"/>
  <c r="G3508" i="1"/>
  <c r="F3500" i="1"/>
  <c r="G3500" i="1"/>
  <c r="F3492" i="1"/>
  <c r="G3492" i="1"/>
  <c r="F3484" i="1"/>
  <c r="G3484" i="1"/>
  <c r="F3476" i="1"/>
  <c r="G3476" i="1"/>
  <c r="F3468" i="1"/>
  <c r="G3468" i="1"/>
  <c r="F3460" i="1"/>
  <c r="G3460" i="1"/>
  <c r="F3452" i="1"/>
  <c r="G3452" i="1"/>
  <c r="F3444" i="1"/>
  <c r="G3444" i="1"/>
  <c r="F3436" i="1"/>
  <c r="G3436" i="1"/>
  <c r="F3428" i="1"/>
  <c r="G3428" i="1"/>
  <c r="F3420" i="1"/>
  <c r="G3420" i="1"/>
  <c r="F3412" i="1"/>
  <c r="G3412" i="1"/>
  <c r="F3404" i="1"/>
  <c r="G3404" i="1"/>
  <c r="F3396" i="1"/>
  <c r="G3396" i="1"/>
  <c r="F3388" i="1"/>
  <c r="G3388" i="1"/>
  <c r="F3380" i="1"/>
  <c r="G3380" i="1"/>
  <c r="F3372" i="1"/>
  <c r="G3372" i="1"/>
  <c r="F3364" i="1"/>
  <c r="G3364" i="1"/>
  <c r="F3356" i="1"/>
  <c r="G3356" i="1"/>
  <c r="F3348" i="1"/>
  <c r="G3348" i="1"/>
  <c r="F3340" i="1"/>
  <c r="G3340" i="1"/>
  <c r="F3332" i="1"/>
  <c r="G3332" i="1"/>
  <c r="F3324" i="1"/>
  <c r="G3324" i="1"/>
  <c r="F3316" i="1"/>
  <c r="G3316" i="1"/>
  <c r="F3308" i="1"/>
  <c r="G3308" i="1"/>
  <c r="F3300" i="1"/>
  <c r="G3300" i="1"/>
  <c r="F3292" i="1"/>
  <c r="G3292" i="1"/>
  <c r="F3284" i="1"/>
  <c r="G3284" i="1"/>
  <c r="F3276" i="1"/>
  <c r="G3276" i="1"/>
  <c r="F3268" i="1"/>
  <c r="G3268" i="1"/>
  <c r="F3260" i="1"/>
  <c r="G3260" i="1"/>
  <c r="F3252" i="1"/>
  <c r="G3252" i="1"/>
  <c r="F3244" i="1"/>
  <c r="G3244" i="1"/>
  <c r="F3236" i="1"/>
  <c r="G3236" i="1"/>
  <c r="F3228" i="1"/>
  <c r="G3228" i="1"/>
  <c r="F3220" i="1"/>
  <c r="G3220" i="1"/>
  <c r="F3212" i="1"/>
  <c r="G3212" i="1"/>
  <c r="F3204" i="1"/>
  <c r="G3204" i="1"/>
  <c r="F3196" i="1"/>
  <c r="G3196" i="1"/>
  <c r="F3188" i="1"/>
  <c r="G3188" i="1"/>
  <c r="F3180" i="1"/>
  <c r="G3180" i="1"/>
  <c r="F3172" i="1"/>
  <c r="G3172" i="1"/>
  <c r="F3164" i="1"/>
  <c r="G3164" i="1"/>
  <c r="F3156" i="1"/>
  <c r="G3156" i="1"/>
  <c r="F3148" i="1"/>
  <c r="G3148" i="1"/>
  <c r="F3140" i="1"/>
  <c r="G3140" i="1"/>
  <c r="F3132" i="1"/>
  <c r="G3132" i="1"/>
  <c r="F3124" i="1"/>
  <c r="G3124" i="1"/>
  <c r="F3116" i="1"/>
  <c r="G3116" i="1"/>
  <c r="F3108" i="1"/>
  <c r="G3108" i="1"/>
  <c r="F3100" i="1"/>
  <c r="G3100" i="1"/>
  <c r="F3092" i="1"/>
  <c r="G3092" i="1"/>
  <c r="F3084" i="1"/>
  <c r="G3084" i="1"/>
  <c r="F3076" i="1"/>
  <c r="G3076" i="1"/>
  <c r="F3068" i="1"/>
  <c r="G3068" i="1"/>
  <c r="F3060" i="1"/>
  <c r="G3060" i="1"/>
  <c r="F3052" i="1"/>
  <c r="G3052" i="1"/>
  <c r="F3044" i="1"/>
  <c r="G3044" i="1"/>
  <c r="F3036" i="1"/>
  <c r="G3036" i="1"/>
  <c r="F3028" i="1"/>
  <c r="G3028" i="1"/>
  <c r="F3020" i="1"/>
  <c r="G3020" i="1"/>
  <c r="F3012" i="1"/>
  <c r="G3012" i="1"/>
  <c r="F3004" i="1"/>
  <c r="G3004" i="1"/>
  <c r="F2996" i="1"/>
  <c r="G2996" i="1"/>
  <c r="F2988" i="1"/>
  <c r="G2988" i="1"/>
  <c r="F2980" i="1"/>
  <c r="G2980" i="1"/>
  <c r="F2972" i="1"/>
  <c r="G2972" i="1"/>
  <c r="F2964" i="1"/>
  <c r="G2964" i="1"/>
  <c r="F2956" i="1"/>
  <c r="G2956" i="1"/>
  <c r="F2948" i="1"/>
  <c r="G2948" i="1"/>
  <c r="F2940" i="1"/>
  <c r="G2940" i="1"/>
  <c r="F2932" i="1"/>
  <c r="G2932" i="1"/>
  <c r="F2924" i="1"/>
  <c r="G2924" i="1"/>
  <c r="F2916" i="1"/>
  <c r="G2916" i="1"/>
  <c r="F2908" i="1"/>
  <c r="G2908" i="1"/>
  <c r="F2900" i="1"/>
  <c r="G2900" i="1"/>
  <c r="F2892" i="1"/>
  <c r="G2892" i="1"/>
  <c r="F2884" i="1"/>
  <c r="G2884" i="1"/>
  <c r="F2876" i="1"/>
  <c r="G2876" i="1"/>
  <c r="F2868" i="1"/>
  <c r="G2868" i="1"/>
  <c r="F2860" i="1"/>
  <c r="G2860" i="1"/>
  <c r="F2852" i="1"/>
  <c r="G2852" i="1"/>
  <c r="F2844" i="1"/>
  <c r="G2844" i="1"/>
  <c r="F2836" i="1"/>
  <c r="G2836" i="1"/>
  <c r="F2828" i="1"/>
  <c r="G2828" i="1"/>
  <c r="F2820" i="1"/>
  <c r="G2820" i="1"/>
  <c r="F2812" i="1"/>
  <c r="G2812" i="1"/>
  <c r="F2804" i="1"/>
  <c r="G2804" i="1"/>
  <c r="F2796" i="1"/>
  <c r="G2796" i="1"/>
  <c r="F2788" i="1"/>
  <c r="G2788" i="1"/>
  <c r="F2780" i="1"/>
  <c r="G2780" i="1"/>
  <c r="F2772" i="1"/>
  <c r="G2772" i="1"/>
  <c r="F2764" i="1"/>
  <c r="G2764" i="1"/>
  <c r="F2756" i="1"/>
  <c r="G2756" i="1"/>
  <c r="F2748" i="1"/>
  <c r="G2748" i="1"/>
  <c r="F2740" i="1"/>
  <c r="G2740" i="1"/>
  <c r="F2732" i="1"/>
  <c r="G2732" i="1"/>
  <c r="F2724" i="1"/>
  <c r="G2724" i="1"/>
  <c r="F2716" i="1"/>
  <c r="G2716" i="1"/>
  <c r="F2708" i="1"/>
  <c r="G2708" i="1"/>
  <c r="F2700" i="1"/>
  <c r="G2700" i="1"/>
  <c r="F2692" i="1"/>
  <c r="G2692" i="1"/>
  <c r="F2684" i="1"/>
  <c r="G2684" i="1"/>
  <c r="F2676" i="1"/>
  <c r="G2676" i="1"/>
  <c r="F2668" i="1"/>
  <c r="G2668" i="1"/>
  <c r="F2660" i="1"/>
  <c r="G2660" i="1"/>
  <c r="F2652" i="1"/>
  <c r="G2652" i="1"/>
  <c r="F2644" i="1"/>
  <c r="G2644" i="1"/>
  <c r="F2636" i="1"/>
  <c r="G2636" i="1"/>
  <c r="F2628" i="1"/>
  <c r="G2628" i="1"/>
  <c r="F2620" i="1"/>
  <c r="G2620" i="1"/>
  <c r="F2612" i="1"/>
  <c r="G2612" i="1"/>
  <c r="F2604" i="1"/>
  <c r="G2604" i="1"/>
  <c r="F2596" i="1"/>
  <c r="G2596" i="1"/>
  <c r="F2588" i="1"/>
  <c r="G2588" i="1"/>
  <c r="F2580" i="1"/>
  <c r="G2580" i="1"/>
  <c r="F2572" i="1"/>
  <c r="G2572" i="1"/>
  <c r="F2564" i="1"/>
  <c r="G2564" i="1"/>
  <c r="F2556" i="1"/>
  <c r="G2556" i="1"/>
  <c r="F2548" i="1"/>
  <c r="G2548" i="1"/>
  <c r="F2540" i="1"/>
  <c r="G2540" i="1"/>
  <c r="F2532" i="1"/>
  <c r="G2532" i="1"/>
  <c r="F2524" i="1"/>
  <c r="G2524" i="1"/>
  <c r="F2516" i="1"/>
  <c r="G2516" i="1"/>
  <c r="F2508" i="1"/>
  <c r="G2508" i="1"/>
  <c r="F2500" i="1"/>
  <c r="G2500" i="1"/>
  <c r="F2492" i="1"/>
  <c r="G2492" i="1"/>
  <c r="F2484" i="1"/>
  <c r="G2484" i="1"/>
  <c r="F2476" i="1"/>
  <c r="G2476" i="1"/>
  <c r="F2468" i="1"/>
  <c r="G2468" i="1"/>
  <c r="F2460" i="1"/>
  <c r="G2460" i="1"/>
  <c r="F2452" i="1"/>
  <c r="G2452" i="1"/>
  <c r="F2444" i="1"/>
  <c r="G2444" i="1"/>
  <c r="F2436" i="1"/>
  <c r="G2436" i="1"/>
  <c r="F2428" i="1"/>
  <c r="G2428" i="1"/>
  <c r="F2420" i="1"/>
  <c r="G2420" i="1"/>
  <c r="F2412" i="1"/>
  <c r="G2412" i="1"/>
  <c r="F2404" i="1"/>
  <c r="G2404" i="1"/>
  <c r="F2396" i="1"/>
  <c r="G2396" i="1"/>
  <c r="F2388" i="1"/>
  <c r="G2388" i="1"/>
  <c r="F2380" i="1"/>
  <c r="G2380" i="1"/>
  <c r="F2372" i="1"/>
  <c r="G2372" i="1"/>
  <c r="F2364" i="1"/>
  <c r="G2364" i="1"/>
  <c r="F2356" i="1"/>
  <c r="G2356" i="1"/>
  <c r="F2348" i="1"/>
  <c r="G2348" i="1"/>
  <c r="F2340" i="1"/>
  <c r="G2340" i="1"/>
  <c r="F2332" i="1"/>
  <c r="G2332" i="1"/>
  <c r="F2324" i="1"/>
  <c r="G2324" i="1"/>
  <c r="F2316" i="1"/>
  <c r="G2316" i="1"/>
  <c r="F2308" i="1"/>
  <c r="G2308" i="1"/>
  <c r="F2300" i="1"/>
  <c r="G2300" i="1"/>
  <c r="F2292" i="1"/>
  <c r="G2292" i="1"/>
  <c r="F2284" i="1"/>
  <c r="G2284" i="1"/>
  <c r="F2276" i="1"/>
  <c r="G2276" i="1"/>
  <c r="F2268" i="1"/>
  <c r="G2268" i="1"/>
  <c r="F2260" i="1"/>
  <c r="G2260" i="1"/>
  <c r="F2252" i="1"/>
  <c r="G2252" i="1"/>
  <c r="F2244" i="1"/>
  <c r="G2244" i="1"/>
  <c r="F2236" i="1"/>
  <c r="G2236" i="1"/>
  <c r="F2228" i="1"/>
  <c r="G2228" i="1"/>
  <c r="F2220" i="1"/>
  <c r="G2220" i="1"/>
  <c r="F2212" i="1"/>
  <c r="G2212" i="1"/>
  <c r="F2204" i="1"/>
  <c r="G2204" i="1"/>
  <c r="F2196" i="1"/>
  <c r="G2196" i="1"/>
  <c r="F2188" i="1"/>
  <c r="G2188" i="1"/>
  <c r="F2180" i="1"/>
  <c r="G2180" i="1"/>
  <c r="F2172" i="1"/>
  <c r="G2172" i="1"/>
  <c r="F2164" i="1"/>
  <c r="G2164" i="1"/>
  <c r="F2156" i="1"/>
  <c r="G2156" i="1"/>
  <c r="F2148" i="1"/>
  <c r="G2148" i="1"/>
  <c r="F2140" i="1"/>
  <c r="G2140" i="1"/>
  <c r="F2132" i="1"/>
  <c r="G2132" i="1"/>
  <c r="F2124" i="1"/>
  <c r="G2124" i="1"/>
  <c r="F2116" i="1"/>
  <c r="G2116" i="1"/>
  <c r="F2108" i="1"/>
  <c r="G2108" i="1"/>
  <c r="F2100" i="1"/>
  <c r="G2100" i="1"/>
  <c r="F2092" i="1"/>
  <c r="G2092" i="1"/>
  <c r="F2084" i="1"/>
  <c r="G2084" i="1"/>
  <c r="F2076" i="1"/>
  <c r="G2076" i="1"/>
  <c r="F2068" i="1"/>
  <c r="G2068" i="1"/>
  <c r="F2060" i="1"/>
  <c r="G2060" i="1"/>
  <c r="F2052" i="1"/>
  <c r="G2052" i="1"/>
  <c r="F2044" i="1"/>
  <c r="G2044" i="1"/>
  <c r="F2036" i="1"/>
  <c r="G2036" i="1"/>
  <c r="F2028" i="1"/>
  <c r="G2028" i="1"/>
  <c r="F2020" i="1"/>
  <c r="G2020" i="1"/>
  <c r="F2012" i="1"/>
  <c r="G2012" i="1"/>
  <c r="F2004" i="1"/>
  <c r="G2004" i="1"/>
  <c r="F1996" i="1"/>
  <c r="G1996" i="1"/>
  <c r="F1988" i="1"/>
  <c r="G1988" i="1"/>
  <c r="F1980" i="1"/>
  <c r="G1980" i="1"/>
  <c r="F1972" i="1"/>
  <c r="G1972" i="1"/>
  <c r="F1964" i="1"/>
  <c r="G1964" i="1"/>
  <c r="F1956" i="1"/>
  <c r="G1956" i="1"/>
  <c r="F1948" i="1"/>
  <c r="G1948" i="1"/>
  <c r="F1940" i="1"/>
  <c r="G1940" i="1"/>
  <c r="F1932" i="1"/>
  <c r="G1932" i="1"/>
  <c r="F1924" i="1"/>
  <c r="G1924" i="1"/>
  <c r="F1916" i="1"/>
  <c r="G1916" i="1"/>
  <c r="F1908" i="1"/>
  <c r="G1908" i="1"/>
  <c r="F1900" i="1"/>
  <c r="G1900" i="1"/>
  <c r="F1892" i="1"/>
  <c r="G1892" i="1"/>
  <c r="F1884" i="1"/>
  <c r="G1884" i="1"/>
  <c r="F1876" i="1"/>
  <c r="G1876" i="1"/>
  <c r="F1868" i="1"/>
  <c r="G1868" i="1"/>
  <c r="F1860" i="1"/>
  <c r="G1860" i="1"/>
  <c r="F1852" i="1"/>
  <c r="G1852" i="1"/>
  <c r="F1844" i="1"/>
  <c r="G1844" i="1"/>
  <c r="F1836" i="1"/>
  <c r="G1836" i="1"/>
  <c r="F1828" i="1"/>
  <c r="G1828" i="1"/>
  <c r="F1820" i="1"/>
  <c r="G1820" i="1"/>
  <c r="F1812" i="1"/>
  <c r="G1812" i="1"/>
  <c r="F1804" i="1"/>
  <c r="G1804" i="1"/>
  <c r="F1796" i="1"/>
  <c r="G1796" i="1"/>
  <c r="F1788" i="1"/>
  <c r="G1788" i="1"/>
  <c r="F1780" i="1"/>
  <c r="G1780" i="1"/>
  <c r="F1772" i="1"/>
  <c r="G1772" i="1"/>
  <c r="F1764" i="1"/>
  <c r="G1764" i="1"/>
  <c r="F1756" i="1"/>
  <c r="G1756" i="1"/>
  <c r="F1748" i="1"/>
  <c r="G1748" i="1"/>
  <c r="F1740" i="1"/>
  <c r="G1740" i="1"/>
  <c r="F1732" i="1"/>
  <c r="G1732" i="1"/>
  <c r="F1724" i="1"/>
  <c r="G1724" i="1"/>
  <c r="F1716" i="1"/>
  <c r="G1716" i="1"/>
  <c r="F1708" i="1"/>
  <c r="G1708" i="1"/>
  <c r="F1700" i="1"/>
  <c r="G1700" i="1"/>
  <c r="F1692" i="1"/>
  <c r="G1692" i="1"/>
  <c r="F1684" i="1"/>
  <c r="G1684" i="1"/>
  <c r="F1676" i="1"/>
  <c r="G1676" i="1"/>
  <c r="F1668" i="1"/>
  <c r="G1668" i="1"/>
  <c r="F1660" i="1"/>
  <c r="G1660" i="1"/>
  <c r="F1652" i="1"/>
  <c r="G1652" i="1"/>
  <c r="F1644" i="1"/>
  <c r="G1644" i="1"/>
  <c r="F1636" i="1"/>
  <c r="G1636" i="1"/>
  <c r="F1628" i="1"/>
  <c r="G1628" i="1"/>
  <c r="F1620" i="1"/>
  <c r="G1620" i="1"/>
  <c r="F1612" i="1"/>
  <c r="G1612" i="1"/>
  <c r="F1604" i="1"/>
  <c r="G1604" i="1"/>
  <c r="F1596" i="1"/>
  <c r="G1596" i="1"/>
  <c r="F1588" i="1"/>
  <c r="G1588" i="1"/>
  <c r="F1580" i="1"/>
  <c r="G1580" i="1"/>
  <c r="F1572" i="1"/>
  <c r="G1572" i="1"/>
  <c r="F1564" i="1"/>
  <c r="G1564" i="1"/>
  <c r="F1556" i="1"/>
  <c r="G1556" i="1"/>
  <c r="F1548" i="1"/>
  <c r="G1548" i="1"/>
  <c r="F1540" i="1"/>
  <c r="G1540" i="1"/>
  <c r="F1532" i="1"/>
  <c r="G1532" i="1"/>
  <c r="F1524" i="1"/>
  <c r="G1524" i="1"/>
  <c r="F1516" i="1"/>
  <c r="G1516" i="1"/>
  <c r="F1508" i="1"/>
  <c r="G1508" i="1"/>
  <c r="F1500" i="1"/>
  <c r="G1500" i="1"/>
  <c r="F1492" i="1"/>
  <c r="G1492" i="1"/>
  <c r="F1484" i="1"/>
  <c r="G1484" i="1"/>
  <c r="F1476" i="1"/>
  <c r="G1476" i="1"/>
  <c r="F1468" i="1"/>
  <c r="G1468" i="1"/>
  <c r="F1460" i="1"/>
  <c r="G1460" i="1"/>
  <c r="F1452" i="1"/>
  <c r="G1452" i="1"/>
  <c r="F1444" i="1"/>
  <c r="G1444" i="1"/>
  <c r="F1436" i="1"/>
  <c r="G1436" i="1"/>
  <c r="F1428" i="1"/>
  <c r="G1428" i="1"/>
  <c r="F1420" i="1"/>
  <c r="G1420" i="1"/>
  <c r="F1412" i="1"/>
  <c r="G1412" i="1"/>
  <c r="F1404" i="1"/>
  <c r="G1404" i="1"/>
  <c r="F1396" i="1"/>
  <c r="G1396" i="1"/>
  <c r="F1388" i="1"/>
  <c r="G1388" i="1"/>
  <c r="F1380" i="1"/>
  <c r="G1380" i="1"/>
  <c r="F1372" i="1"/>
  <c r="G1372" i="1"/>
  <c r="F1364" i="1"/>
  <c r="G1364" i="1"/>
  <c r="F1356" i="1"/>
  <c r="G1356" i="1"/>
  <c r="F1348" i="1"/>
  <c r="G1348" i="1"/>
  <c r="F1340" i="1"/>
  <c r="G1340" i="1"/>
  <c r="F1332" i="1"/>
  <c r="G1332" i="1"/>
  <c r="F1324" i="1"/>
  <c r="G1324" i="1"/>
  <c r="F1316" i="1"/>
  <c r="G1316" i="1"/>
  <c r="F1308" i="1"/>
  <c r="G1308" i="1"/>
  <c r="F1300" i="1"/>
  <c r="G1300" i="1"/>
  <c r="F1292" i="1"/>
  <c r="G1292" i="1"/>
  <c r="F1284" i="1"/>
  <c r="G1284" i="1"/>
  <c r="F1276" i="1"/>
  <c r="G1276" i="1"/>
  <c r="F1268" i="1"/>
  <c r="G1268" i="1"/>
  <c r="F1260" i="1"/>
  <c r="G1260" i="1"/>
  <c r="F1252" i="1"/>
  <c r="G1252" i="1"/>
  <c r="F1244" i="1"/>
  <c r="G1244" i="1"/>
  <c r="F1236" i="1"/>
  <c r="G1236" i="1"/>
  <c r="F1228" i="1"/>
  <c r="G1228" i="1"/>
  <c r="F1220" i="1"/>
  <c r="G1220" i="1"/>
  <c r="F1212" i="1"/>
  <c r="G1212" i="1"/>
  <c r="F1204" i="1"/>
  <c r="G1204" i="1"/>
  <c r="F1196" i="1"/>
  <c r="G1196" i="1"/>
  <c r="F1188" i="1"/>
  <c r="G1188" i="1"/>
  <c r="F1180" i="1"/>
  <c r="G1180" i="1"/>
  <c r="F1172" i="1"/>
  <c r="G1172" i="1"/>
  <c r="F1164" i="1"/>
  <c r="G1164" i="1"/>
  <c r="F1156" i="1"/>
  <c r="G1156" i="1"/>
  <c r="F1148" i="1"/>
  <c r="G1148" i="1"/>
  <c r="F1140" i="1"/>
  <c r="G1140" i="1"/>
  <c r="F1132" i="1"/>
  <c r="G1132" i="1"/>
  <c r="F1124" i="1"/>
  <c r="G1124" i="1"/>
  <c r="F1116" i="1"/>
  <c r="G1116" i="1"/>
  <c r="F1108" i="1"/>
  <c r="G1108" i="1"/>
  <c r="F1100" i="1"/>
  <c r="G1100" i="1"/>
  <c r="F1092" i="1"/>
  <c r="G1092" i="1"/>
  <c r="F1084" i="1"/>
  <c r="G1084" i="1"/>
  <c r="F1076" i="1"/>
  <c r="G1076" i="1"/>
  <c r="F1068" i="1"/>
  <c r="G1068" i="1"/>
  <c r="F1060" i="1"/>
  <c r="G1060" i="1"/>
  <c r="F1052" i="1"/>
  <c r="G1052" i="1"/>
  <c r="F1044" i="1"/>
  <c r="G1044" i="1"/>
  <c r="F1036" i="1"/>
  <c r="G1036" i="1"/>
  <c r="F1028" i="1"/>
  <c r="G1028" i="1"/>
  <c r="F1020" i="1"/>
  <c r="G1020" i="1"/>
  <c r="F1012" i="1"/>
  <c r="G1012" i="1"/>
  <c r="F1004" i="1"/>
  <c r="G1004" i="1"/>
  <c r="F996" i="1"/>
  <c r="G996" i="1"/>
  <c r="F988" i="1"/>
  <c r="G988" i="1"/>
  <c r="F980" i="1"/>
  <c r="G980" i="1"/>
  <c r="F972" i="1"/>
  <c r="G972" i="1"/>
  <c r="F964" i="1"/>
  <c r="G964" i="1"/>
  <c r="F956" i="1"/>
  <c r="G956" i="1"/>
  <c r="F948" i="1"/>
  <c r="G948" i="1"/>
  <c r="F940" i="1"/>
  <c r="G940" i="1"/>
  <c r="F932" i="1"/>
  <c r="G932" i="1"/>
  <c r="F924" i="1"/>
  <c r="G924" i="1"/>
  <c r="F916" i="1"/>
  <c r="G916" i="1"/>
  <c r="F908" i="1"/>
  <c r="G908" i="1"/>
  <c r="F900" i="1"/>
  <c r="G900" i="1"/>
  <c r="F892" i="1"/>
  <c r="G892" i="1"/>
  <c r="F884" i="1"/>
  <c r="G884" i="1"/>
  <c r="F876" i="1"/>
  <c r="G876" i="1"/>
  <c r="F868" i="1"/>
  <c r="G868" i="1"/>
  <c r="F860" i="1"/>
  <c r="G860" i="1"/>
  <c r="F852" i="1"/>
  <c r="G852" i="1"/>
  <c r="F844" i="1"/>
  <c r="G844" i="1"/>
  <c r="F836" i="1"/>
  <c r="G836" i="1"/>
  <c r="F828" i="1"/>
  <c r="G828" i="1"/>
  <c r="F820" i="1"/>
  <c r="G820" i="1"/>
  <c r="F812" i="1"/>
  <c r="G812" i="1"/>
  <c r="F804" i="1"/>
  <c r="G804" i="1"/>
  <c r="F796" i="1"/>
  <c r="G796" i="1"/>
  <c r="F788" i="1"/>
  <c r="G788" i="1"/>
  <c r="F780" i="1"/>
  <c r="G780" i="1"/>
  <c r="F772" i="1"/>
  <c r="G772" i="1"/>
  <c r="F764" i="1"/>
  <c r="G764" i="1"/>
  <c r="F756" i="1"/>
  <c r="G756" i="1"/>
  <c r="F748" i="1"/>
  <c r="G748" i="1"/>
  <c r="F740" i="1"/>
  <c r="G740" i="1"/>
  <c r="F732" i="1"/>
  <c r="G732" i="1"/>
  <c r="F724" i="1"/>
  <c r="G724" i="1"/>
  <c r="F716" i="1"/>
  <c r="G716" i="1"/>
  <c r="F708" i="1"/>
  <c r="G708" i="1"/>
  <c r="F700" i="1"/>
  <c r="G700" i="1"/>
  <c r="F692" i="1"/>
  <c r="G692" i="1"/>
  <c r="F684" i="1"/>
  <c r="G684" i="1"/>
  <c r="F676" i="1"/>
  <c r="G676" i="1"/>
  <c r="F668" i="1"/>
  <c r="G668" i="1"/>
  <c r="F660" i="1"/>
  <c r="G660" i="1"/>
  <c r="F652" i="1"/>
  <c r="G652" i="1"/>
  <c r="F644" i="1"/>
  <c r="G644" i="1"/>
  <c r="F636" i="1"/>
  <c r="G636" i="1"/>
  <c r="F628" i="1"/>
  <c r="G628" i="1"/>
  <c r="F620" i="1"/>
  <c r="G620" i="1"/>
  <c r="F612" i="1"/>
  <c r="G612" i="1"/>
  <c r="F604" i="1"/>
  <c r="G604" i="1"/>
  <c r="F596" i="1"/>
  <c r="G596" i="1"/>
  <c r="F588" i="1"/>
  <c r="G588" i="1"/>
  <c r="F580" i="1"/>
  <c r="G580" i="1"/>
  <c r="F572" i="1"/>
  <c r="G572" i="1"/>
  <c r="F564" i="1"/>
  <c r="G564" i="1"/>
  <c r="F556" i="1"/>
  <c r="G556" i="1"/>
  <c r="F548" i="1"/>
  <c r="G548" i="1"/>
  <c r="F540" i="1"/>
  <c r="G540" i="1"/>
  <c r="F532" i="1"/>
  <c r="G532" i="1"/>
  <c r="F524" i="1"/>
  <c r="G524" i="1"/>
  <c r="F516" i="1"/>
  <c r="G516" i="1"/>
  <c r="F508" i="1"/>
  <c r="G508" i="1"/>
  <c r="F500" i="1"/>
  <c r="G500" i="1"/>
  <c r="F492" i="1"/>
  <c r="G492" i="1"/>
  <c r="F484" i="1"/>
  <c r="G484" i="1"/>
  <c r="F476" i="1"/>
  <c r="G476" i="1"/>
  <c r="F468" i="1"/>
  <c r="G468" i="1"/>
  <c r="F460" i="1"/>
  <c r="G460" i="1"/>
  <c r="F452" i="1"/>
  <c r="G452" i="1"/>
  <c r="F444" i="1"/>
  <c r="G444" i="1"/>
  <c r="F436" i="1"/>
  <c r="G436" i="1"/>
  <c r="F428" i="1"/>
  <c r="G428" i="1"/>
  <c r="F420" i="1"/>
  <c r="G420" i="1"/>
  <c r="F412" i="1"/>
  <c r="G412" i="1"/>
  <c r="F404" i="1"/>
  <c r="G404" i="1"/>
  <c r="F396" i="1"/>
  <c r="G396" i="1"/>
  <c r="F388" i="1"/>
  <c r="G388" i="1"/>
  <c r="F380" i="1"/>
  <c r="G380" i="1"/>
  <c r="F372" i="1"/>
  <c r="G372" i="1"/>
  <c r="F364" i="1"/>
  <c r="G364" i="1"/>
  <c r="F356" i="1"/>
  <c r="G356" i="1"/>
  <c r="F348" i="1"/>
  <c r="G348" i="1"/>
  <c r="F340" i="1"/>
  <c r="G340" i="1"/>
  <c r="F332" i="1"/>
  <c r="G332" i="1"/>
  <c r="F324" i="1"/>
  <c r="G324" i="1"/>
  <c r="F316" i="1"/>
  <c r="G316" i="1"/>
  <c r="F308" i="1"/>
  <c r="G308" i="1"/>
  <c r="G9998" i="1"/>
  <c r="G9960" i="1"/>
  <c r="G9932" i="1"/>
  <c r="G9895" i="1"/>
  <c r="G9857" i="1"/>
  <c r="G9830" i="1"/>
  <c r="G9792" i="1"/>
  <c r="G9756" i="1"/>
  <c r="G9727" i="1"/>
  <c r="G9689" i="1"/>
  <c r="G9654" i="1"/>
  <c r="G9624" i="1"/>
  <c r="G9588" i="1"/>
  <c r="G9551" i="1"/>
  <c r="G9521" i="1"/>
  <c r="G9486" i="1"/>
  <c r="G9448" i="1"/>
  <c r="G9420" i="1"/>
  <c r="G9383" i="1"/>
  <c r="G9345" i="1"/>
  <c r="G9318" i="1"/>
  <c r="G9280" i="1"/>
  <c r="G9244" i="1"/>
  <c r="G9215" i="1"/>
  <c r="G9177" i="1"/>
  <c r="G9142" i="1"/>
  <c r="G9112" i="1"/>
  <c r="G9076" i="1"/>
  <c r="G9039" i="1"/>
  <c r="G9009" i="1"/>
  <c r="G8974" i="1"/>
  <c r="G8936" i="1"/>
  <c r="G8908" i="1"/>
  <c r="G8871" i="1"/>
  <c r="G8833" i="1"/>
  <c r="G8806" i="1"/>
  <c r="G8768" i="1"/>
  <c r="G8732" i="1"/>
  <c r="G8703" i="1"/>
  <c r="G8665" i="1"/>
  <c r="G8630" i="1"/>
  <c r="G8600" i="1"/>
  <c r="G8564" i="1"/>
  <c r="G8527" i="1"/>
  <c r="G8462" i="1"/>
  <c r="G8424" i="1"/>
  <c r="G8396" i="1"/>
  <c r="G8359" i="1"/>
  <c r="G8294" i="1"/>
  <c r="G8256" i="1"/>
  <c r="G8220" i="1"/>
  <c r="G8088" i="1"/>
  <c r="G7984" i="1"/>
  <c r="G7856" i="1"/>
  <c r="G7728" i="1"/>
  <c r="G7600" i="1"/>
  <c r="G7472" i="1"/>
  <c r="G7344" i="1"/>
  <c r="G7216" i="1"/>
  <c r="G7088" i="1"/>
  <c r="G6960" i="1"/>
  <c r="G5686" i="1"/>
  <c r="G5670" i="1"/>
  <c r="G5654" i="1"/>
  <c r="G6416" i="1"/>
  <c r="G6400" i="1"/>
  <c r="G6384" i="1"/>
  <c r="G6368" i="1"/>
  <c r="G6352" i="1"/>
  <c r="G6336" i="1"/>
  <c r="G6320" i="1"/>
  <c r="G6304" i="1"/>
  <c r="G6288" i="1"/>
  <c r="G6272" i="1"/>
  <c r="G6256" i="1"/>
  <c r="G6240" i="1"/>
  <c r="G6224" i="1"/>
  <c r="G6208" i="1"/>
  <c r="G6192" i="1"/>
  <c r="G6176" i="1"/>
  <c r="G6160" i="1"/>
  <c r="G6144" i="1"/>
  <c r="G6128" i="1"/>
  <c r="G6112" i="1"/>
  <c r="G6096" i="1"/>
  <c r="G6080" i="1"/>
  <c r="G6064" i="1"/>
  <c r="G6048" i="1"/>
  <c r="G6032" i="1"/>
  <c r="G6016" i="1"/>
  <c r="G6000" i="1"/>
  <c r="G5984" i="1"/>
  <c r="G5968" i="1"/>
  <c r="G5952" i="1"/>
  <c r="G5936" i="1"/>
  <c r="G5920" i="1"/>
  <c r="G5904" i="1"/>
  <c r="G5888" i="1"/>
  <c r="G5872" i="1"/>
  <c r="G5856" i="1"/>
  <c r="G5840" i="1"/>
  <c r="G5824" i="1"/>
  <c r="G5808" i="1"/>
  <c r="G5792" i="1"/>
  <c r="G5776" i="1"/>
  <c r="G5760" i="1"/>
  <c r="G5744" i="1"/>
  <c r="G5728" i="1"/>
  <c r="G5712" i="1"/>
  <c r="G5696" i="1"/>
  <c r="G5680" i="1"/>
  <c r="G5664" i="1"/>
  <c r="G5648" i="1"/>
  <c r="G5568" i="1"/>
  <c r="G5504" i="1"/>
  <c r="G5440" i="1"/>
  <c r="G5376" i="1"/>
  <c r="G5312" i="1"/>
  <c r="G5248" i="1"/>
  <c r="G5184" i="1"/>
  <c r="G5120" i="1"/>
  <c r="G5056" i="1"/>
  <c r="G4992" i="1"/>
  <c r="G4928" i="1"/>
  <c r="G4864" i="1"/>
  <c r="G4800" i="1"/>
  <c r="G4736" i="1"/>
  <c r="G4672" i="1"/>
  <c r="G4608" i="1"/>
  <c r="G4544" i="1"/>
  <c r="G4480" i="1"/>
  <c r="G4416" i="1"/>
  <c r="G4352" i="1"/>
  <c r="G4288" i="1"/>
  <c r="G4224" i="1"/>
  <c r="G4160" i="1"/>
  <c r="G4096" i="1"/>
  <c r="G4032" i="1"/>
  <c r="G3968" i="1"/>
  <c r="G3904" i="1"/>
  <c r="G3840" i="1"/>
  <c r="G3776" i="1"/>
  <c r="G3712" i="1"/>
  <c r="G3648" i="1"/>
  <c r="G3584" i="1"/>
  <c r="G3520" i="1"/>
  <c r="G3456" i="1"/>
  <c r="G3392" i="1"/>
  <c r="G3328" i="1"/>
  <c r="G3264" i="1"/>
  <c r="G3200" i="1"/>
  <c r="G3136" i="1"/>
  <c r="F8049" i="1"/>
  <c r="G8049" i="1"/>
  <c r="F8041" i="1"/>
  <c r="G8041" i="1"/>
  <c r="F8033" i="1"/>
  <c r="G8033" i="1"/>
  <c r="F8025" i="1"/>
  <c r="G8025" i="1"/>
  <c r="F8017" i="1"/>
  <c r="G8017" i="1"/>
  <c r="F8009" i="1"/>
  <c r="G8009" i="1"/>
  <c r="F8001" i="1"/>
  <c r="G8001" i="1"/>
  <c r="F7993" i="1"/>
  <c r="G7993" i="1"/>
  <c r="F7985" i="1"/>
  <c r="G7985" i="1"/>
  <c r="F7977" i="1"/>
  <c r="G7977" i="1"/>
  <c r="F7969" i="1"/>
  <c r="G7969" i="1"/>
  <c r="F7961" i="1"/>
  <c r="G7961" i="1"/>
  <c r="F7953" i="1"/>
  <c r="G7953" i="1"/>
  <c r="F7945" i="1"/>
  <c r="G7945" i="1"/>
  <c r="F7937" i="1"/>
  <c r="G7937" i="1"/>
  <c r="F7929" i="1"/>
  <c r="G7929" i="1"/>
  <c r="F7921" i="1"/>
  <c r="G7921" i="1"/>
  <c r="F7913" i="1"/>
  <c r="G7913" i="1"/>
  <c r="F7905" i="1"/>
  <c r="G7905" i="1"/>
  <c r="F7897" i="1"/>
  <c r="G7897" i="1"/>
  <c r="F7889" i="1"/>
  <c r="G7889" i="1"/>
  <c r="F7881" i="1"/>
  <c r="G7881" i="1"/>
  <c r="F7873" i="1"/>
  <c r="G7873" i="1"/>
  <c r="F7865" i="1"/>
  <c r="G7865" i="1"/>
  <c r="F7857" i="1"/>
  <c r="G7857" i="1"/>
  <c r="F7849" i="1"/>
  <c r="G7849" i="1"/>
  <c r="F7841" i="1"/>
  <c r="G7841" i="1"/>
  <c r="F7833" i="1"/>
  <c r="G7833" i="1"/>
  <c r="F7825" i="1"/>
  <c r="G7825" i="1"/>
  <c r="F7817" i="1"/>
  <c r="G7817" i="1"/>
  <c r="F7809" i="1"/>
  <c r="G7809" i="1"/>
  <c r="F7801" i="1"/>
  <c r="G7801" i="1"/>
  <c r="F7793" i="1"/>
  <c r="G7793" i="1"/>
  <c r="F7785" i="1"/>
  <c r="G7785" i="1"/>
  <c r="F7777" i="1"/>
  <c r="G7777" i="1"/>
  <c r="F7769" i="1"/>
  <c r="G7769" i="1"/>
  <c r="F7761" i="1"/>
  <c r="G7761" i="1"/>
  <c r="F7753" i="1"/>
  <c r="G7753" i="1"/>
  <c r="F7745" i="1"/>
  <c r="G7745" i="1"/>
  <c r="F7737" i="1"/>
  <c r="G7737" i="1"/>
  <c r="F7729" i="1"/>
  <c r="G7729" i="1"/>
  <c r="F7721" i="1"/>
  <c r="G7721" i="1"/>
  <c r="F7713" i="1"/>
  <c r="G7713" i="1"/>
  <c r="F7705" i="1"/>
  <c r="G7705" i="1"/>
  <c r="F7697" i="1"/>
  <c r="G7697" i="1"/>
  <c r="F7689" i="1"/>
  <c r="G7689" i="1"/>
  <c r="F7681" i="1"/>
  <c r="G7681" i="1"/>
  <c r="F7673" i="1"/>
  <c r="G7673" i="1"/>
  <c r="F7665" i="1"/>
  <c r="G7665" i="1"/>
  <c r="F7657" i="1"/>
  <c r="G7657" i="1"/>
  <c r="F7649" i="1"/>
  <c r="G7649" i="1"/>
  <c r="F7641" i="1"/>
  <c r="G7641" i="1"/>
  <c r="F7633" i="1"/>
  <c r="G7633" i="1"/>
  <c r="F7625" i="1"/>
  <c r="G7625" i="1"/>
  <c r="F7617" i="1"/>
  <c r="G7617" i="1"/>
  <c r="F7609" i="1"/>
  <c r="G7609" i="1"/>
  <c r="F7601" i="1"/>
  <c r="G7601" i="1"/>
  <c r="F7593" i="1"/>
  <c r="G7593" i="1"/>
  <c r="F7585" i="1"/>
  <c r="G7585" i="1"/>
  <c r="F7577" i="1"/>
  <c r="G7577" i="1"/>
  <c r="F7569" i="1"/>
  <c r="G7569" i="1"/>
  <c r="F7561" i="1"/>
  <c r="G7561" i="1"/>
  <c r="F7553" i="1"/>
  <c r="G7553" i="1"/>
  <c r="F7545" i="1"/>
  <c r="G7545" i="1"/>
  <c r="F7537" i="1"/>
  <c r="G7537" i="1"/>
  <c r="F7529" i="1"/>
  <c r="G7529" i="1"/>
  <c r="F7521" i="1"/>
  <c r="G7521" i="1"/>
  <c r="F7513" i="1"/>
  <c r="G7513" i="1"/>
  <c r="F7505" i="1"/>
  <c r="G7505" i="1"/>
  <c r="F7497" i="1"/>
  <c r="G7497" i="1"/>
  <c r="F7489" i="1"/>
  <c r="G7489" i="1"/>
  <c r="F7481" i="1"/>
  <c r="G7481" i="1"/>
  <c r="F7473" i="1"/>
  <c r="G7473" i="1"/>
  <c r="F7465" i="1"/>
  <c r="G7465" i="1"/>
  <c r="F7457" i="1"/>
  <c r="G7457" i="1"/>
  <c r="F7449" i="1"/>
  <c r="G7449" i="1"/>
  <c r="F7441" i="1"/>
  <c r="G7441" i="1"/>
  <c r="F7433" i="1"/>
  <c r="G7433" i="1"/>
  <c r="F7425" i="1"/>
  <c r="G7425" i="1"/>
  <c r="F7417" i="1"/>
  <c r="G7417" i="1"/>
  <c r="F7409" i="1"/>
  <c r="G7409" i="1"/>
  <c r="F7401" i="1"/>
  <c r="G7401" i="1"/>
  <c r="F7393" i="1"/>
  <c r="G7393" i="1"/>
  <c r="F7385" i="1"/>
  <c r="G7385" i="1"/>
  <c r="F7377" i="1"/>
  <c r="G7377" i="1"/>
  <c r="F7369" i="1"/>
  <c r="G7369" i="1"/>
  <c r="F7361" i="1"/>
  <c r="G7361" i="1"/>
  <c r="F7353" i="1"/>
  <c r="G7353" i="1"/>
  <c r="F7345" i="1"/>
  <c r="G7345" i="1"/>
  <c r="F7337" i="1"/>
  <c r="G7337" i="1"/>
  <c r="F7329" i="1"/>
  <c r="G7329" i="1"/>
  <c r="F7321" i="1"/>
  <c r="G7321" i="1"/>
  <c r="F7313" i="1"/>
  <c r="G7313" i="1"/>
  <c r="F7305" i="1"/>
  <c r="G7305" i="1"/>
  <c r="F7297" i="1"/>
  <c r="G7297" i="1"/>
  <c r="F7289" i="1"/>
  <c r="G7289" i="1"/>
  <c r="F7281" i="1"/>
  <c r="G7281" i="1"/>
  <c r="F7273" i="1"/>
  <c r="G7273" i="1"/>
  <c r="F7265" i="1"/>
  <c r="G7265" i="1"/>
  <c r="F7257" i="1"/>
  <c r="G7257" i="1"/>
  <c r="F7249" i="1"/>
  <c r="G7249" i="1"/>
  <c r="F7241" i="1"/>
  <c r="G7241" i="1"/>
  <c r="F7233" i="1"/>
  <c r="G7233" i="1"/>
  <c r="F7225" i="1"/>
  <c r="G7225" i="1"/>
  <c r="F7217" i="1"/>
  <c r="G7217" i="1"/>
  <c r="F7209" i="1"/>
  <c r="G7209" i="1"/>
  <c r="F7201" i="1"/>
  <c r="G7201" i="1"/>
  <c r="F7193" i="1"/>
  <c r="G7193" i="1"/>
  <c r="F7185" i="1"/>
  <c r="G7185" i="1"/>
  <c r="F7177" i="1"/>
  <c r="G7177" i="1"/>
  <c r="F7169" i="1"/>
  <c r="G7169" i="1"/>
  <c r="F7161" i="1"/>
  <c r="G7161" i="1"/>
  <c r="F7153" i="1"/>
  <c r="G7153" i="1"/>
  <c r="F7145" i="1"/>
  <c r="G7145" i="1"/>
  <c r="F7137" i="1"/>
  <c r="G7137" i="1"/>
  <c r="F7129" i="1"/>
  <c r="G7129" i="1"/>
  <c r="F7121" i="1"/>
  <c r="G7121" i="1"/>
  <c r="F7113" i="1"/>
  <c r="G7113" i="1"/>
  <c r="F7105" i="1"/>
  <c r="G7105" i="1"/>
  <c r="F7097" i="1"/>
  <c r="G7097" i="1"/>
  <c r="F7089" i="1"/>
  <c r="G7089" i="1"/>
  <c r="F7081" i="1"/>
  <c r="G7081" i="1"/>
  <c r="F7073" i="1"/>
  <c r="G7073" i="1"/>
  <c r="F7065" i="1"/>
  <c r="G7065" i="1"/>
  <c r="F7057" i="1"/>
  <c r="G7057" i="1"/>
  <c r="F7049" i="1"/>
  <c r="G7049" i="1"/>
  <c r="F7041" i="1"/>
  <c r="G7041" i="1"/>
  <c r="F7033" i="1"/>
  <c r="G7033" i="1"/>
  <c r="F7025" i="1"/>
  <c r="G7025" i="1"/>
  <c r="F7017" i="1"/>
  <c r="G7017" i="1"/>
  <c r="F7009" i="1"/>
  <c r="G7009" i="1"/>
  <c r="F7001" i="1"/>
  <c r="G7001" i="1"/>
  <c r="F6993" i="1"/>
  <c r="G6993" i="1"/>
  <c r="F6985" i="1"/>
  <c r="G6985" i="1"/>
  <c r="F6977" i="1"/>
  <c r="G6977" i="1"/>
  <c r="F6969" i="1"/>
  <c r="G6969" i="1"/>
  <c r="F6961" i="1"/>
  <c r="G6961" i="1"/>
  <c r="F6953" i="1"/>
  <c r="G6953" i="1"/>
  <c r="F6945" i="1"/>
  <c r="G6945" i="1"/>
  <c r="F6937" i="1"/>
  <c r="G6937" i="1"/>
  <c r="F6929" i="1"/>
  <c r="G6929" i="1"/>
  <c r="F6921" i="1"/>
  <c r="G6921" i="1"/>
  <c r="F6913" i="1"/>
  <c r="G6913" i="1"/>
  <c r="F6905" i="1"/>
  <c r="G6905" i="1"/>
  <c r="F6897" i="1"/>
  <c r="G6897" i="1"/>
  <c r="F6889" i="1"/>
  <c r="G6889" i="1"/>
  <c r="F6881" i="1"/>
  <c r="G6881" i="1"/>
  <c r="F6873" i="1"/>
  <c r="G6873" i="1"/>
  <c r="F6865" i="1"/>
  <c r="G6865" i="1"/>
  <c r="F6857" i="1"/>
  <c r="G6857" i="1"/>
  <c r="F6849" i="1"/>
  <c r="G6849" i="1"/>
  <c r="F6841" i="1"/>
  <c r="G6841" i="1"/>
  <c r="F6833" i="1"/>
  <c r="G6833" i="1"/>
  <c r="F6825" i="1"/>
  <c r="G6825" i="1"/>
  <c r="F6817" i="1"/>
  <c r="G6817" i="1"/>
  <c r="F6809" i="1"/>
  <c r="G6809" i="1"/>
  <c r="F6801" i="1"/>
  <c r="G6801" i="1"/>
  <c r="F6793" i="1"/>
  <c r="G6793" i="1"/>
  <c r="F6785" i="1"/>
  <c r="G6785" i="1"/>
  <c r="F6777" i="1"/>
  <c r="G6777" i="1"/>
  <c r="F6769" i="1"/>
  <c r="G6769" i="1"/>
  <c r="F6761" i="1"/>
  <c r="G6761" i="1"/>
  <c r="F6753" i="1"/>
  <c r="G6753" i="1"/>
  <c r="F6745" i="1"/>
  <c r="G6745" i="1"/>
  <c r="F6737" i="1"/>
  <c r="G6737" i="1"/>
  <c r="F6729" i="1"/>
  <c r="G6729" i="1"/>
  <c r="F6721" i="1"/>
  <c r="G6721" i="1"/>
  <c r="F6713" i="1"/>
  <c r="G6713" i="1"/>
  <c r="F6705" i="1"/>
  <c r="G6705" i="1"/>
  <c r="F6697" i="1"/>
  <c r="G6697" i="1"/>
  <c r="F6689" i="1"/>
  <c r="G6689" i="1"/>
  <c r="F6681" i="1"/>
  <c r="G6681" i="1"/>
  <c r="F6673" i="1"/>
  <c r="G6673" i="1"/>
  <c r="F6665" i="1"/>
  <c r="G6665" i="1"/>
  <c r="F6657" i="1"/>
  <c r="G6657" i="1"/>
  <c r="F6649" i="1"/>
  <c r="G6649" i="1"/>
  <c r="F6641" i="1"/>
  <c r="G6641" i="1"/>
  <c r="F6633" i="1"/>
  <c r="G6633" i="1"/>
  <c r="F6625" i="1"/>
  <c r="G6625" i="1"/>
  <c r="F6617" i="1"/>
  <c r="G6617" i="1"/>
  <c r="F6609" i="1"/>
  <c r="G6609" i="1"/>
  <c r="F6601" i="1"/>
  <c r="G6601" i="1"/>
  <c r="F6593" i="1"/>
  <c r="G6593" i="1"/>
  <c r="F6585" i="1"/>
  <c r="G6585" i="1"/>
  <c r="F6577" i="1"/>
  <c r="G6577" i="1"/>
  <c r="F6569" i="1"/>
  <c r="G6569" i="1"/>
  <c r="F6561" i="1"/>
  <c r="G6561" i="1"/>
  <c r="F6553" i="1"/>
  <c r="G6553" i="1"/>
  <c r="F6545" i="1"/>
  <c r="G6545" i="1"/>
  <c r="F6537" i="1"/>
  <c r="G6537" i="1"/>
  <c r="F6529" i="1"/>
  <c r="G6529" i="1"/>
  <c r="F6521" i="1"/>
  <c r="G6521" i="1"/>
  <c r="F6513" i="1"/>
  <c r="G6513" i="1"/>
  <c r="F6505" i="1"/>
  <c r="G6505" i="1"/>
  <c r="F6497" i="1"/>
  <c r="G6497" i="1"/>
  <c r="F6489" i="1"/>
  <c r="G6489" i="1"/>
  <c r="F6481" i="1"/>
  <c r="G6481" i="1"/>
  <c r="F6473" i="1"/>
  <c r="G6473" i="1"/>
  <c r="F6465" i="1"/>
  <c r="G6465" i="1"/>
  <c r="F6457" i="1"/>
  <c r="G6457" i="1"/>
  <c r="F6449" i="1"/>
  <c r="G6449" i="1"/>
  <c r="F6441" i="1"/>
  <c r="G6441" i="1"/>
  <c r="F6433" i="1"/>
  <c r="G6433" i="1"/>
  <c r="F6425" i="1"/>
  <c r="G6425" i="1"/>
  <c r="F6417" i="1"/>
  <c r="G6417" i="1"/>
  <c r="F6409" i="1"/>
  <c r="G6409" i="1"/>
  <c r="F6401" i="1"/>
  <c r="G6401" i="1"/>
  <c r="F6393" i="1"/>
  <c r="G6393" i="1"/>
  <c r="F6385" i="1"/>
  <c r="G6385" i="1"/>
  <c r="F6377" i="1"/>
  <c r="G6377" i="1"/>
  <c r="F6369" i="1"/>
  <c r="G6369" i="1"/>
  <c r="F6361" i="1"/>
  <c r="G6361" i="1"/>
  <c r="F6353" i="1"/>
  <c r="G6353" i="1"/>
  <c r="F6345" i="1"/>
  <c r="G6345" i="1"/>
  <c r="F6337" i="1"/>
  <c r="G6337" i="1"/>
  <c r="F6329" i="1"/>
  <c r="G6329" i="1"/>
  <c r="F6321" i="1"/>
  <c r="G6321" i="1"/>
  <c r="F6313" i="1"/>
  <c r="G6313" i="1"/>
  <c r="F6305" i="1"/>
  <c r="G6305" i="1"/>
  <c r="F6297" i="1"/>
  <c r="G6297" i="1"/>
  <c r="F6289" i="1"/>
  <c r="G6289" i="1"/>
  <c r="F6281" i="1"/>
  <c r="G6281" i="1"/>
  <c r="F6273" i="1"/>
  <c r="G6273" i="1"/>
  <c r="F6265" i="1"/>
  <c r="G6265" i="1"/>
  <c r="F6257" i="1"/>
  <c r="G6257" i="1"/>
  <c r="F6249" i="1"/>
  <c r="G6249" i="1"/>
  <c r="F6241" i="1"/>
  <c r="G6241" i="1"/>
  <c r="F6233" i="1"/>
  <c r="G6233" i="1"/>
  <c r="F6225" i="1"/>
  <c r="G6225" i="1"/>
  <c r="F6217" i="1"/>
  <c r="G6217" i="1"/>
  <c r="F6209" i="1"/>
  <c r="G6209" i="1"/>
  <c r="F6201" i="1"/>
  <c r="G6201" i="1"/>
  <c r="F6193" i="1"/>
  <c r="G6193" i="1"/>
  <c r="F6185" i="1"/>
  <c r="G6185" i="1"/>
  <c r="F6177" i="1"/>
  <c r="G6177" i="1"/>
  <c r="F6169" i="1"/>
  <c r="G6169" i="1"/>
  <c r="F6161" i="1"/>
  <c r="G6161" i="1"/>
  <c r="F6153" i="1"/>
  <c r="G6153" i="1"/>
  <c r="F6145" i="1"/>
  <c r="G6145" i="1"/>
  <c r="F6137" i="1"/>
  <c r="G6137" i="1"/>
  <c r="F6129" i="1"/>
  <c r="G6129" i="1"/>
  <c r="F6121" i="1"/>
  <c r="G6121" i="1"/>
  <c r="F6113" i="1"/>
  <c r="G6113" i="1"/>
  <c r="F6105" i="1"/>
  <c r="G6105" i="1"/>
  <c r="F6097" i="1"/>
  <c r="G6097" i="1"/>
  <c r="F6089" i="1"/>
  <c r="G6089" i="1"/>
  <c r="F6081" i="1"/>
  <c r="G6081" i="1"/>
  <c r="F6073" i="1"/>
  <c r="G6073" i="1"/>
  <c r="F6065" i="1"/>
  <c r="G6065" i="1"/>
  <c r="F6057" i="1"/>
  <c r="G6057" i="1"/>
  <c r="F6049" i="1"/>
  <c r="G6049" i="1"/>
  <c r="F6041" i="1"/>
  <c r="G6041" i="1"/>
  <c r="F6033" i="1"/>
  <c r="G6033" i="1"/>
  <c r="F6025" i="1"/>
  <c r="G6025" i="1"/>
  <c r="F6017" i="1"/>
  <c r="G6017" i="1"/>
  <c r="F6009" i="1"/>
  <c r="G6009" i="1"/>
  <c r="F6001" i="1"/>
  <c r="G6001" i="1"/>
  <c r="F5993" i="1"/>
  <c r="G5993" i="1"/>
  <c r="F5985" i="1"/>
  <c r="G5985" i="1"/>
  <c r="F5977" i="1"/>
  <c r="G5977" i="1"/>
  <c r="F5969" i="1"/>
  <c r="G5969" i="1"/>
  <c r="F5961" i="1"/>
  <c r="G5961" i="1"/>
  <c r="F5953" i="1"/>
  <c r="G5953" i="1"/>
  <c r="F5945" i="1"/>
  <c r="G5945" i="1"/>
  <c r="F5937" i="1"/>
  <c r="G5937" i="1"/>
  <c r="F5929" i="1"/>
  <c r="G5929" i="1"/>
  <c r="F5921" i="1"/>
  <c r="G5921" i="1"/>
  <c r="F5913" i="1"/>
  <c r="G5913" i="1"/>
  <c r="F5905" i="1"/>
  <c r="G5905" i="1"/>
  <c r="F5897" i="1"/>
  <c r="G5897" i="1"/>
  <c r="F5889" i="1"/>
  <c r="G5889" i="1"/>
  <c r="F5881" i="1"/>
  <c r="G5881" i="1"/>
  <c r="F5873" i="1"/>
  <c r="G5873" i="1"/>
  <c r="F5865" i="1"/>
  <c r="G5865" i="1"/>
  <c r="F5857" i="1"/>
  <c r="G5857" i="1"/>
  <c r="F5849" i="1"/>
  <c r="G5849" i="1"/>
  <c r="F5841" i="1"/>
  <c r="G5841" i="1"/>
  <c r="F5833" i="1"/>
  <c r="G5833" i="1"/>
  <c r="F5825" i="1"/>
  <c r="G5825" i="1"/>
  <c r="F5817" i="1"/>
  <c r="G5817" i="1"/>
  <c r="F5809" i="1"/>
  <c r="G5809" i="1"/>
  <c r="F5801" i="1"/>
  <c r="G5801" i="1"/>
  <c r="F5793" i="1"/>
  <c r="G5793" i="1"/>
  <c r="F5785" i="1"/>
  <c r="G5785" i="1"/>
  <c r="F5777" i="1"/>
  <c r="G5777" i="1"/>
  <c r="F5769" i="1"/>
  <c r="G5769" i="1"/>
  <c r="F5761" i="1"/>
  <c r="G5761" i="1"/>
  <c r="F5753" i="1"/>
  <c r="G5753" i="1"/>
  <c r="F5745" i="1"/>
  <c r="G5745" i="1"/>
  <c r="F5737" i="1"/>
  <c r="G5737" i="1"/>
  <c r="F5729" i="1"/>
  <c r="G5729" i="1"/>
  <c r="F5721" i="1"/>
  <c r="G5721" i="1"/>
  <c r="F5713" i="1"/>
  <c r="G5713" i="1"/>
  <c r="F5705" i="1"/>
  <c r="G5705" i="1"/>
  <c r="F5697" i="1"/>
  <c r="G5697" i="1"/>
  <c r="F5689" i="1"/>
  <c r="G5689" i="1"/>
  <c r="F5681" i="1"/>
  <c r="G5681" i="1"/>
  <c r="F5673" i="1"/>
  <c r="G5673" i="1"/>
  <c r="F5665" i="1"/>
  <c r="G5665" i="1"/>
  <c r="F5657" i="1"/>
  <c r="G5657" i="1"/>
  <c r="F5649" i="1"/>
  <c r="G5649" i="1"/>
  <c r="F5641" i="1"/>
  <c r="G5641" i="1"/>
  <c r="F5633" i="1"/>
  <c r="G5633" i="1"/>
  <c r="F5625" i="1"/>
  <c r="G5625" i="1"/>
  <c r="F5617" i="1"/>
  <c r="G5617" i="1"/>
  <c r="F5609" i="1"/>
  <c r="G5609" i="1"/>
  <c r="F5601" i="1"/>
  <c r="G5601" i="1"/>
  <c r="F5593" i="1"/>
  <c r="G5593" i="1"/>
  <c r="F5585" i="1"/>
  <c r="G5585" i="1"/>
  <c r="F5577" i="1"/>
  <c r="G5577" i="1"/>
  <c r="F5569" i="1"/>
  <c r="G5569" i="1"/>
  <c r="F5561" i="1"/>
  <c r="G5561" i="1"/>
  <c r="F5553" i="1"/>
  <c r="G5553" i="1"/>
  <c r="F5545" i="1"/>
  <c r="G5545" i="1"/>
  <c r="F5537" i="1"/>
  <c r="G5537" i="1"/>
  <c r="F5529" i="1"/>
  <c r="G5529" i="1"/>
  <c r="F5521" i="1"/>
  <c r="G5521" i="1"/>
  <c r="F5513" i="1"/>
  <c r="G5513" i="1"/>
  <c r="F5505" i="1"/>
  <c r="G5505" i="1"/>
  <c r="F5497" i="1"/>
  <c r="G5497" i="1"/>
  <c r="F5489" i="1"/>
  <c r="G5489" i="1"/>
  <c r="F5481" i="1"/>
  <c r="G5481" i="1"/>
  <c r="F5473" i="1"/>
  <c r="G5473" i="1"/>
  <c r="F5465" i="1"/>
  <c r="G5465" i="1"/>
  <c r="F5457" i="1"/>
  <c r="G5457" i="1"/>
  <c r="F5449" i="1"/>
  <c r="G5449" i="1"/>
  <c r="F5441" i="1"/>
  <c r="G5441" i="1"/>
  <c r="F5433" i="1"/>
  <c r="G5433" i="1"/>
  <c r="F5425" i="1"/>
  <c r="G5425" i="1"/>
  <c r="F5417" i="1"/>
  <c r="G5417" i="1"/>
  <c r="F5409" i="1"/>
  <c r="G5409" i="1"/>
  <c r="F5401" i="1"/>
  <c r="G5401" i="1"/>
  <c r="F5393" i="1"/>
  <c r="G5393" i="1"/>
  <c r="F5385" i="1"/>
  <c r="G5385" i="1"/>
  <c r="F5377" i="1"/>
  <c r="G5377" i="1"/>
  <c r="F5369" i="1"/>
  <c r="G5369" i="1"/>
  <c r="F5361" i="1"/>
  <c r="G5361" i="1"/>
  <c r="F5353" i="1"/>
  <c r="G5353" i="1"/>
  <c r="F5345" i="1"/>
  <c r="G5345" i="1"/>
  <c r="F5337" i="1"/>
  <c r="G5337" i="1"/>
  <c r="F5329" i="1"/>
  <c r="G5329" i="1"/>
  <c r="F5321" i="1"/>
  <c r="G5321" i="1"/>
  <c r="F5313" i="1"/>
  <c r="G5313" i="1"/>
  <c r="F5305" i="1"/>
  <c r="G5305" i="1"/>
  <c r="F5297" i="1"/>
  <c r="G5297" i="1"/>
  <c r="F5289" i="1"/>
  <c r="G5289" i="1"/>
  <c r="F5281" i="1"/>
  <c r="G5281" i="1"/>
  <c r="F5273" i="1"/>
  <c r="G5273" i="1"/>
  <c r="F5265" i="1"/>
  <c r="G5265" i="1"/>
  <c r="F5257" i="1"/>
  <c r="G5257" i="1"/>
  <c r="F5249" i="1"/>
  <c r="G5249" i="1"/>
  <c r="F5241" i="1"/>
  <c r="G5241" i="1"/>
  <c r="F5233" i="1"/>
  <c r="G5233" i="1"/>
  <c r="F5225" i="1"/>
  <c r="G5225" i="1"/>
  <c r="F5217" i="1"/>
  <c r="G5217" i="1"/>
  <c r="F5209" i="1"/>
  <c r="G5209" i="1"/>
  <c r="F5201" i="1"/>
  <c r="G5201" i="1"/>
  <c r="F5193" i="1"/>
  <c r="G5193" i="1"/>
  <c r="F5185" i="1"/>
  <c r="G5185" i="1"/>
  <c r="F5177" i="1"/>
  <c r="G5177" i="1"/>
  <c r="F5169" i="1"/>
  <c r="G5169" i="1"/>
  <c r="F5161" i="1"/>
  <c r="G5161" i="1"/>
  <c r="F5153" i="1"/>
  <c r="G5153" i="1"/>
  <c r="F5145" i="1"/>
  <c r="G5145" i="1"/>
  <c r="F5137" i="1"/>
  <c r="G5137" i="1"/>
  <c r="F5129" i="1"/>
  <c r="G5129" i="1"/>
  <c r="F5121" i="1"/>
  <c r="G5121" i="1"/>
  <c r="F5113" i="1"/>
  <c r="G5113" i="1"/>
  <c r="F5105" i="1"/>
  <c r="G5105" i="1"/>
  <c r="F5097" i="1"/>
  <c r="G5097" i="1"/>
  <c r="F5089" i="1"/>
  <c r="G5089" i="1"/>
  <c r="F5081" i="1"/>
  <c r="G5081" i="1"/>
  <c r="F5073" i="1"/>
  <c r="G5073" i="1"/>
  <c r="F5065" i="1"/>
  <c r="G5065" i="1"/>
  <c r="F5057" i="1"/>
  <c r="G5057" i="1"/>
  <c r="F5049" i="1"/>
  <c r="G5049" i="1"/>
  <c r="F5041" i="1"/>
  <c r="G5041" i="1"/>
  <c r="F5033" i="1"/>
  <c r="G5033" i="1"/>
  <c r="F5025" i="1"/>
  <c r="G5025" i="1"/>
  <c r="F5017" i="1"/>
  <c r="G5017" i="1"/>
  <c r="F5009" i="1"/>
  <c r="G5009" i="1"/>
  <c r="F5001" i="1"/>
  <c r="G5001" i="1"/>
  <c r="F4993" i="1"/>
  <c r="G4993" i="1"/>
  <c r="F4985" i="1"/>
  <c r="G4985" i="1"/>
  <c r="F4977" i="1"/>
  <c r="G4977" i="1"/>
  <c r="F4969" i="1"/>
  <c r="G4969" i="1"/>
  <c r="F4961" i="1"/>
  <c r="G4961" i="1"/>
  <c r="F4953" i="1"/>
  <c r="G4953" i="1"/>
  <c r="F4945" i="1"/>
  <c r="G4945" i="1"/>
  <c r="F4937" i="1"/>
  <c r="G4937" i="1"/>
  <c r="F4929" i="1"/>
  <c r="G4929" i="1"/>
  <c r="F4921" i="1"/>
  <c r="G4921" i="1"/>
  <c r="F4913" i="1"/>
  <c r="G4913" i="1"/>
  <c r="F4905" i="1"/>
  <c r="G4905" i="1"/>
  <c r="F4897" i="1"/>
  <c r="G4897" i="1"/>
  <c r="F4889" i="1"/>
  <c r="G4889" i="1"/>
  <c r="F4881" i="1"/>
  <c r="G4881" i="1"/>
  <c r="F4873" i="1"/>
  <c r="G4873" i="1"/>
  <c r="F4865" i="1"/>
  <c r="G4865" i="1"/>
  <c r="F4857" i="1"/>
  <c r="G4857" i="1"/>
  <c r="F4849" i="1"/>
  <c r="G4849" i="1"/>
  <c r="F4841" i="1"/>
  <c r="G4841" i="1"/>
  <c r="F4833" i="1"/>
  <c r="G4833" i="1"/>
  <c r="F4825" i="1"/>
  <c r="G4825" i="1"/>
  <c r="F4817" i="1"/>
  <c r="G4817" i="1"/>
  <c r="F4809" i="1"/>
  <c r="G4809" i="1"/>
  <c r="F4801" i="1"/>
  <c r="G4801" i="1"/>
  <c r="F4793" i="1"/>
  <c r="G4793" i="1"/>
  <c r="F4785" i="1"/>
  <c r="G4785" i="1"/>
  <c r="F4777" i="1"/>
  <c r="G4777" i="1"/>
  <c r="F4769" i="1"/>
  <c r="G4769" i="1"/>
  <c r="F4761" i="1"/>
  <c r="G4761" i="1"/>
  <c r="F4753" i="1"/>
  <c r="G4753" i="1"/>
  <c r="F4745" i="1"/>
  <c r="G4745" i="1"/>
  <c r="F4737" i="1"/>
  <c r="G4737" i="1"/>
  <c r="F4729" i="1"/>
  <c r="G4729" i="1"/>
  <c r="F4721" i="1"/>
  <c r="G4721" i="1"/>
  <c r="F4713" i="1"/>
  <c r="G4713" i="1"/>
  <c r="F4705" i="1"/>
  <c r="G4705" i="1"/>
  <c r="F4697" i="1"/>
  <c r="G4697" i="1"/>
  <c r="F4689" i="1"/>
  <c r="G4689" i="1"/>
  <c r="F4681" i="1"/>
  <c r="G4681" i="1"/>
  <c r="F4673" i="1"/>
  <c r="G4673" i="1"/>
  <c r="F4665" i="1"/>
  <c r="G4665" i="1"/>
  <c r="F4657" i="1"/>
  <c r="G4657" i="1"/>
  <c r="F4649" i="1"/>
  <c r="G4649" i="1"/>
  <c r="F4641" i="1"/>
  <c r="G4641" i="1"/>
  <c r="F4633" i="1"/>
  <c r="G4633" i="1"/>
  <c r="F4625" i="1"/>
  <c r="G4625" i="1"/>
  <c r="F4617" i="1"/>
  <c r="G4617" i="1"/>
  <c r="F4609" i="1"/>
  <c r="G4609" i="1"/>
  <c r="F4601" i="1"/>
  <c r="G4601" i="1"/>
  <c r="F4593" i="1"/>
  <c r="G4593" i="1"/>
  <c r="F4585" i="1"/>
  <c r="G4585" i="1"/>
  <c r="F4577" i="1"/>
  <c r="G4577" i="1"/>
  <c r="F4569" i="1"/>
  <c r="G4569" i="1"/>
  <c r="F4561" i="1"/>
  <c r="G4561" i="1"/>
  <c r="F4553" i="1"/>
  <c r="G4553" i="1"/>
  <c r="F4545" i="1"/>
  <c r="G4545" i="1"/>
  <c r="F4537" i="1"/>
  <c r="G4537" i="1"/>
  <c r="F4529" i="1"/>
  <c r="G4529" i="1"/>
  <c r="F4521" i="1"/>
  <c r="G4521" i="1"/>
  <c r="F4513" i="1"/>
  <c r="G4513" i="1"/>
  <c r="F4505" i="1"/>
  <c r="G4505" i="1"/>
  <c r="F4497" i="1"/>
  <c r="G4497" i="1"/>
  <c r="F4489" i="1"/>
  <c r="G4489" i="1"/>
  <c r="F4481" i="1"/>
  <c r="G4481" i="1"/>
  <c r="F4473" i="1"/>
  <c r="G4473" i="1"/>
  <c r="F4465" i="1"/>
  <c r="G4465" i="1"/>
  <c r="F4457" i="1"/>
  <c r="G4457" i="1"/>
  <c r="F4449" i="1"/>
  <c r="G4449" i="1"/>
  <c r="F4441" i="1"/>
  <c r="G4441" i="1"/>
  <c r="F4433" i="1"/>
  <c r="G4433" i="1"/>
  <c r="F4425" i="1"/>
  <c r="G4425" i="1"/>
  <c r="F4417" i="1"/>
  <c r="G4417" i="1"/>
  <c r="F4409" i="1"/>
  <c r="G4409" i="1"/>
  <c r="F4401" i="1"/>
  <c r="G4401" i="1"/>
  <c r="F4393" i="1"/>
  <c r="G4393" i="1"/>
  <c r="F4385" i="1"/>
  <c r="G4385" i="1"/>
  <c r="F4377" i="1"/>
  <c r="G4377" i="1"/>
  <c r="F4369" i="1"/>
  <c r="G4369" i="1"/>
  <c r="F4361" i="1"/>
  <c r="G4361" i="1"/>
  <c r="F4353" i="1"/>
  <c r="G4353" i="1"/>
  <c r="F4345" i="1"/>
  <c r="G4345" i="1"/>
  <c r="F4337" i="1"/>
  <c r="G4337" i="1"/>
  <c r="F4329" i="1"/>
  <c r="G4329" i="1"/>
  <c r="F4321" i="1"/>
  <c r="G4321" i="1"/>
  <c r="F4313" i="1"/>
  <c r="G4313" i="1"/>
  <c r="F4305" i="1"/>
  <c r="G4305" i="1"/>
  <c r="F4297" i="1"/>
  <c r="G4297" i="1"/>
  <c r="F4289" i="1"/>
  <c r="G4289" i="1"/>
  <c r="F4281" i="1"/>
  <c r="G4281" i="1"/>
  <c r="F4273" i="1"/>
  <c r="G4273" i="1"/>
  <c r="F4265" i="1"/>
  <c r="G4265" i="1"/>
  <c r="F4257" i="1"/>
  <c r="G4257" i="1"/>
  <c r="F4249" i="1"/>
  <c r="G4249" i="1"/>
  <c r="F4241" i="1"/>
  <c r="G4241" i="1"/>
  <c r="F4233" i="1"/>
  <c r="G4233" i="1"/>
  <c r="F4225" i="1"/>
  <c r="G4225" i="1"/>
  <c r="F4217" i="1"/>
  <c r="G4217" i="1"/>
  <c r="F4209" i="1"/>
  <c r="G4209" i="1"/>
  <c r="F4201" i="1"/>
  <c r="G4201" i="1"/>
  <c r="F4193" i="1"/>
  <c r="G4193" i="1"/>
  <c r="F4185" i="1"/>
  <c r="G4185" i="1"/>
  <c r="F4177" i="1"/>
  <c r="G4177" i="1"/>
  <c r="F4169" i="1"/>
  <c r="G4169" i="1"/>
  <c r="F4161" i="1"/>
  <c r="G4161" i="1"/>
  <c r="F4153" i="1"/>
  <c r="G4153" i="1"/>
  <c r="F4145" i="1"/>
  <c r="G4145" i="1"/>
  <c r="F4137" i="1"/>
  <c r="G4137" i="1"/>
  <c r="F4129" i="1"/>
  <c r="G4129" i="1"/>
  <c r="F4121" i="1"/>
  <c r="G4121" i="1"/>
  <c r="F4113" i="1"/>
  <c r="G4113" i="1"/>
  <c r="F4105" i="1"/>
  <c r="G4105" i="1"/>
  <c r="F4097" i="1"/>
  <c r="G4097" i="1"/>
  <c r="F4089" i="1"/>
  <c r="G4089" i="1"/>
  <c r="F4081" i="1"/>
  <c r="G4081" i="1"/>
  <c r="F4073" i="1"/>
  <c r="G4073" i="1"/>
  <c r="F4065" i="1"/>
  <c r="G4065" i="1"/>
  <c r="F4057" i="1"/>
  <c r="G4057" i="1"/>
  <c r="F4049" i="1"/>
  <c r="G4049" i="1"/>
  <c r="F4041" i="1"/>
  <c r="G4041" i="1"/>
  <c r="F4033" i="1"/>
  <c r="G4033" i="1"/>
  <c r="F4025" i="1"/>
  <c r="G4025" i="1"/>
  <c r="F4017" i="1"/>
  <c r="G4017" i="1"/>
  <c r="F4009" i="1"/>
  <c r="G4009" i="1"/>
  <c r="F4001" i="1"/>
  <c r="G4001" i="1"/>
  <c r="F3993" i="1"/>
  <c r="G3993" i="1"/>
  <c r="F3985" i="1"/>
  <c r="G3985" i="1"/>
  <c r="F3977" i="1"/>
  <c r="G3977" i="1"/>
  <c r="F3969" i="1"/>
  <c r="G3969" i="1"/>
  <c r="F3961" i="1"/>
  <c r="G3961" i="1"/>
  <c r="F3953" i="1"/>
  <c r="G3953" i="1"/>
  <c r="F3945" i="1"/>
  <c r="G3945" i="1"/>
  <c r="F3937" i="1"/>
  <c r="G3937" i="1"/>
  <c r="F3929" i="1"/>
  <c r="G3929" i="1"/>
  <c r="F3921" i="1"/>
  <c r="G3921" i="1"/>
  <c r="F3913" i="1"/>
  <c r="G3913" i="1"/>
  <c r="F3905" i="1"/>
  <c r="G3905" i="1"/>
  <c r="F3897" i="1"/>
  <c r="G3897" i="1"/>
  <c r="F3889" i="1"/>
  <c r="G3889" i="1"/>
  <c r="F3881" i="1"/>
  <c r="G3881" i="1"/>
  <c r="F3873" i="1"/>
  <c r="G3873" i="1"/>
  <c r="F3865" i="1"/>
  <c r="G3865" i="1"/>
  <c r="F3857" i="1"/>
  <c r="G3857" i="1"/>
  <c r="F3849" i="1"/>
  <c r="G3849" i="1"/>
  <c r="F3841" i="1"/>
  <c r="G3841" i="1"/>
  <c r="F3833" i="1"/>
  <c r="G3833" i="1"/>
  <c r="F3825" i="1"/>
  <c r="G3825" i="1"/>
  <c r="F3817" i="1"/>
  <c r="G3817" i="1"/>
  <c r="F3809" i="1"/>
  <c r="G3809" i="1"/>
  <c r="F3801" i="1"/>
  <c r="G3801" i="1"/>
  <c r="F3793" i="1"/>
  <c r="G3793" i="1"/>
  <c r="F3785" i="1"/>
  <c r="G3785" i="1"/>
  <c r="F3777" i="1"/>
  <c r="G3777" i="1"/>
  <c r="F3769" i="1"/>
  <c r="G3769" i="1"/>
  <c r="F3761" i="1"/>
  <c r="G3761" i="1"/>
  <c r="F3753" i="1"/>
  <c r="G3753" i="1"/>
  <c r="F3745" i="1"/>
  <c r="G3745" i="1"/>
  <c r="F3737" i="1"/>
  <c r="G3737" i="1"/>
  <c r="F3729" i="1"/>
  <c r="G3729" i="1"/>
  <c r="F3721" i="1"/>
  <c r="G3721" i="1"/>
  <c r="F3713" i="1"/>
  <c r="G3713" i="1"/>
  <c r="F3705" i="1"/>
  <c r="G3705" i="1"/>
  <c r="F3697" i="1"/>
  <c r="G3697" i="1"/>
  <c r="F3689" i="1"/>
  <c r="G3689" i="1"/>
  <c r="F3681" i="1"/>
  <c r="G3681" i="1"/>
  <c r="F3673" i="1"/>
  <c r="G3673" i="1"/>
  <c r="F3665" i="1"/>
  <c r="G3665" i="1"/>
  <c r="F3657" i="1"/>
  <c r="G3657" i="1"/>
  <c r="F3649" i="1"/>
  <c r="G3649" i="1"/>
  <c r="F3641" i="1"/>
  <c r="G3641" i="1"/>
  <c r="F3633" i="1"/>
  <c r="G3633" i="1"/>
  <c r="F3625" i="1"/>
  <c r="G3625" i="1"/>
  <c r="F3617" i="1"/>
  <c r="G3617" i="1"/>
  <c r="F3609" i="1"/>
  <c r="G3609" i="1"/>
  <c r="F3601" i="1"/>
  <c r="G3601" i="1"/>
  <c r="F3593" i="1"/>
  <c r="G3593" i="1"/>
  <c r="F3585" i="1"/>
  <c r="G3585" i="1"/>
  <c r="F3577" i="1"/>
  <c r="G3577" i="1"/>
  <c r="F3569" i="1"/>
  <c r="G3569" i="1"/>
  <c r="F3561" i="1"/>
  <c r="G3561" i="1"/>
  <c r="F3553" i="1"/>
  <c r="G3553" i="1"/>
  <c r="F3545" i="1"/>
  <c r="G3545" i="1"/>
  <c r="F3537" i="1"/>
  <c r="G3537" i="1"/>
  <c r="F3529" i="1"/>
  <c r="G3529" i="1"/>
  <c r="F3521" i="1"/>
  <c r="G3521" i="1"/>
  <c r="F3513" i="1"/>
  <c r="G3513" i="1"/>
  <c r="F3505" i="1"/>
  <c r="G3505" i="1"/>
  <c r="F3497" i="1"/>
  <c r="G3497" i="1"/>
  <c r="F3489" i="1"/>
  <c r="G3489" i="1"/>
  <c r="F3481" i="1"/>
  <c r="G3481" i="1"/>
  <c r="F3473" i="1"/>
  <c r="G3473" i="1"/>
  <c r="F3465" i="1"/>
  <c r="G3465" i="1"/>
  <c r="F3457" i="1"/>
  <c r="G3457" i="1"/>
  <c r="F3449" i="1"/>
  <c r="G3449" i="1"/>
  <c r="F3441" i="1"/>
  <c r="G3441" i="1"/>
  <c r="F3433" i="1"/>
  <c r="G3433" i="1"/>
  <c r="F3425" i="1"/>
  <c r="G3425" i="1"/>
  <c r="F3417" i="1"/>
  <c r="G3417" i="1"/>
  <c r="F3409" i="1"/>
  <c r="G3409" i="1"/>
  <c r="F3401" i="1"/>
  <c r="G3401" i="1"/>
  <c r="F3393" i="1"/>
  <c r="G3393" i="1"/>
  <c r="F3385" i="1"/>
  <c r="G3385" i="1"/>
  <c r="F3377" i="1"/>
  <c r="G3377" i="1"/>
  <c r="F3369" i="1"/>
  <c r="G3369" i="1"/>
  <c r="F3361" i="1"/>
  <c r="G3361" i="1"/>
  <c r="F3353" i="1"/>
  <c r="G3353" i="1"/>
  <c r="F3345" i="1"/>
  <c r="G3345" i="1"/>
  <c r="F3337" i="1"/>
  <c r="G3337" i="1"/>
  <c r="F3329" i="1"/>
  <c r="G3329" i="1"/>
  <c r="F3321" i="1"/>
  <c r="G3321" i="1"/>
  <c r="F3313" i="1"/>
  <c r="G3313" i="1"/>
  <c r="F3305" i="1"/>
  <c r="G3305" i="1"/>
  <c r="F3297" i="1"/>
  <c r="G3297" i="1"/>
  <c r="F3289" i="1"/>
  <c r="G3289" i="1"/>
  <c r="F3281" i="1"/>
  <c r="G3281" i="1"/>
  <c r="F3273" i="1"/>
  <c r="G3273" i="1"/>
  <c r="F3265" i="1"/>
  <c r="G3265" i="1"/>
  <c r="F3257" i="1"/>
  <c r="G3257" i="1"/>
  <c r="F3249" i="1"/>
  <c r="G3249" i="1"/>
  <c r="F3241" i="1"/>
  <c r="G3241" i="1"/>
  <c r="F3233" i="1"/>
  <c r="G3233" i="1"/>
  <c r="F3225" i="1"/>
  <c r="G3225" i="1"/>
  <c r="F3217" i="1"/>
  <c r="G3217" i="1"/>
  <c r="F3209" i="1"/>
  <c r="G3209" i="1"/>
  <c r="F3201" i="1"/>
  <c r="G3201" i="1"/>
  <c r="F3193" i="1"/>
  <c r="G3193" i="1"/>
  <c r="F3185" i="1"/>
  <c r="G3185" i="1"/>
  <c r="F3177" i="1"/>
  <c r="G3177" i="1"/>
  <c r="F3169" i="1"/>
  <c r="G3169" i="1"/>
  <c r="F3161" i="1"/>
  <c r="G3161" i="1"/>
  <c r="F3153" i="1"/>
  <c r="G3153" i="1"/>
  <c r="F3145" i="1"/>
  <c r="G3145" i="1"/>
  <c r="F3137" i="1"/>
  <c r="G3137" i="1"/>
  <c r="F3129" i="1"/>
  <c r="G3129" i="1"/>
  <c r="F3121" i="1"/>
  <c r="G3121" i="1"/>
  <c r="F3113" i="1"/>
  <c r="G3113" i="1"/>
  <c r="F3105" i="1"/>
  <c r="G3105" i="1"/>
  <c r="F3097" i="1"/>
  <c r="G3097" i="1"/>
  <c r="F3089" i="1"/>
  <c r="G3089" i="1"/>
  <c r="F3081" i="1"/>
  <c r="G3081" i="1"/>
  <c r="F3073" i="1"/>
  <c r="G3073" i="1"/>
  <c r="F3065" i="1"/>
  <c r="G3065" i="1"/>
  <c r="F3057" i="1"/>
  <c r="G3057" i="1"/>
  <c r="F3049" i="1"/>
  <c r="G3049" i="1"/>
  <c r="F3041" i="1"/>
  <c r="G3041" i="1"/>
  <c r="F3033" i="1"/>
  <c r="G3033" i="1"/>
  <c r="F3025" i="1"/>
  <c r="G3025" i="1"/>
  <c r="F3017" i="1"/>
  <c r="G3017" i="1"/>
  <c r="F3009" i="1"/>
  <c r="G3009" i="1"/>
  <c r="F3001" i="1"/>
  <c r="G3001" i="1"/>
  <c r="F2993" i="1"/>
  <c r="G2993" i="1"/>
  <c r="F2985" i="1"/>
  <c r="G2985" i="1"/>
  <c r="F2977" i="1"/>
  <c r="G2977" i="1"/>
  <c r="F2969" i="1"/>
  <c r="G2969" i="1"/>
  <c r="F2961" i="1"/>
  <c r="G2961" i="1"/>
  <c r="F2953" i="1"/>
  <c r="G2953" i="1"/>
  <c r="F2945" i="1"/>
  <c r="G2945" i="1"/>
  <c r="F2937" i="1"/>
  <c r="G2937" i="1"/>
  <c r="F2929" i="1"/>
  <c r="G2929" i="1"/>
  <c r="F2921" i="1"/>
  <c r="G2921" i="1"/>
  <c r="F2913" i="1"/>
  <c r="G2913" i="1"/>
  <c r="F2905" i="1"/>
  <c r="G2905" i="1"/>
  <c r="F2897" i="1"/>
  <c r="G2897" i="1"/>
  <c r="F2889" i="1"/>
  <c r="G2889" i="1"/>
  <c r="F2881" i="1"/>
  <c r="G2881" i="1"/>
  <c r="F2873" i="1"/>
  <c r="G2873" i="1"/>
  <c r="F2865" i="1"/>
  <c r="G2865" i="1"/>
  <c r="F2857" i="1"/>
  <c r="G2857" i="1"/>
  <c r="F2849" i="1"/>
  <c r="G2849" i="1"/>
  <c r="F2841" i="1"/>
  <c r="G2841" i="1"/>
  <c r="F2833" i="1"/>
  <c r="G2833" i="1"/>
  <c r="F2825" i="1"/>
  <c r="G2825" i="1"/>
  <c r="F2817" i="1"/>
  <c r="G2817" i="1"/>
  <c r="F2809" i="1"/>
  <c r="G2809" i="1"/>
  <c r="F2801" i="1"/>
  <c r="G2801" i="1"/>
  <c r="F2793" i="1"/>
  <c r="G2793" i="1"/>
  <c r="F2785" i="1"/>
  <c r="G2785" i="1"/>
  <c r="F2777" i="1"/>
  <c r="G2777" i="1"/>
  <c r="F2769" i="1"/>
  <c r="G2769" i="1"/>
  <c r="F2761" i="1"/>
  <c r="G2761" i="1"/>
  <c r="F2753" i="1"/>
  <c r="G2753" i="1"/>
  <c r="F2745" i="1"/>
  <c r="G2745" i="1"/>
  <c r="F2737" i="1"/>
  <c r="G2737" i="1"/>
  <c r="F2729" i="1"/>
  <c r="G2729" i="1"/>
  <c r="F2721" i="1"/>
  <c r="G2721" i="1"/>
  <c r="F2713" i="1"/>
  <c r="G2713" i="1"/>
  <c r="F2705" i="1"/>
  <c r="G2705" i="1"/>
  <c r="F2697" i="1"/>
  <c r="G2697" i="1"/>
  <c r="F2689" i="1"/>
  <c r="G2689" i="1"/>
  <c r="F2681" i="1"/>
  <c r="G2681" i="1"/>
  <c r="F2673" i="1"/>
  <c r="G2673" i="1"/>
  <c r="F2665" i="1"/>
  <c r="G2665" i="1"/>
  <c r="F2657" i="1"/>
  <c r="G2657" i="1"/>
  <c r="F2649" i="1"/>
  <c r="G2649" i="1"/>
  <c r="F2641" i="1"/>
  <c r="G2641" i="1"/>
  <c r="F2633" i="1"/>
  <c r="G2633" i="1"/>
  <c r="F2625" i="1"/>
  <c r="G2625" i="1"/>
  <c r="F2617" i="1"/>
  <c r="G2617" i="1"/>
  <c r="F2609" i="1"/>
  <c r="G2609" i="1"/>
  <c r="F2601" i="1"/>
  <c r="G2601" i="1"/>
  <c r="F2593" i="1"/>
  <c r="G2593" i="1"/>
  <c r="F2585" i="1"/>
  <c r="G2585" i="1"/>
  <c r="F2577" i="1"/>
  <c r="G2577" i="1"/>
  <c r="F2569" i="1"/>
  <c r="G2569" i="1"/>
  <c r="F2561" i="1"/>
  <c r="G2561" i="1"/>
  <c r="F2553" i="1"/>
  <c r="G2553" i="1"/>
  <c r="F2545" i="1"/>
  <c r="G2545" i="1"/>
  <c r="F2537" i="1"/>
  <c r="G2537" i="1"/>
  <c r="F2529" i="1"/>
  <c r="G2529" i="1"/>
  <c r="F2521" i="1"/>
  <c r="G2521" i="1"/>
  <c r="F2513" i="1"/>
  <c r="G2513" i="1"/>
  <c r="F2505" i="1"/>
  <c r="G2505" i="1"/>
  <c r="F2497" i="1"/>
  <c r="G2497" i="1"/>
  <c r="F2489" i="1"/>
  <c r="G2489" i="1"/>
  <c r="F2481" i="1"/>
  <c r="G2481" i="1"/>
  <c r="F2473" i="1"/>
  <c r="G2473" i="1"/>
  <c r="F2465" i="1"/>
  <c r="G2465" i="1"/>
  <c r="F2457" i="1"/>
  <c r="G2457" i="1"/>
  <c r="F2449" i="1"/>
  <c r="G2449" i="1"/>
  <c r="F2441" i="1"/>
  <c r="G2441" i="1"/>
  <c r="F2433" i="1"/>
  <c r="G2433" i="1"/>
  <c r="F2425" i="1"/>
  <c r="G2425" i="1"/>
  <c r="F2417" i="1"/>
  <c r="G2417" i="1"/>
  <c r="F2409" i="1"/>
  <c r="G2409" i="1"/>
  <c r="F2401" i="1"/>
  <c r="G2401" i="1"/>
  <c r="F2393" i="1"/>
  <c r="G2393" i="1"/>
  <c r="F2385" i="1"/>
  <c r="G2385" i="1"/>
  <c r="F2377" i="1"/>
  <c r="G2377" i="1"/>
  <c r="F2369" i="1"/>
  <c r="G2369" i="1"/>
  <c r="F2361" i="1"/>
  <c r="G2361" i="1"/>
  <c r="F2353" i="1"/>
  <c r="G2353" i="1"/>
  <c r="F2345" i="1"/>
  <c r="G2345" i="1"/>
  <c r="F2337" i="1"/>
  <c r="G2337" i="1"/>
  <c r="F2329" i="1"/>
  <c r="G2329" i="1"/>
  <c r="F2321" i="1"/>
  <c r="G2321" i="1"/>
  <c r="F2313" i="1"/>
  <c r="G2313" i="1"/>
  <c r="F2305" i="1"/>
  <c r="G2305" i="1"/>
  <c r="F2297" i="1"/>
  <c r="G2297" i="1"/>
  <c r="F2289" i="1"/>
  <c r="G2289" i="1"/>
  <c r="F2281" i="1"/>
  <c r="G2281" i="1"/>
  <c r="F2273" i="1"/>
  <c r="G2273" i="1"/>
  <c r="F2265" i="1"/>
  <c r="G2265" i="1"/>
  <c r="F2257" i="1"/>
  <c r="G2257" i="1"/>
  <c r="F2249" i="1"/>
  <c r="G2249" i="1"/>
  <c r="F2241" i="1"/>
  <c r="G2241" i="1"/>
  <c r="F2233" i="1"/>
  <c r="G2233" i="1"/>
  <c r="F2225" i="1"/>
  <c r="G2225" i="1"/>
  <c r="F2217" i="1"/>
  <c r="G2217" i="1"/>
  <c r="F2209" i="1"/>
  <c r="G2209" i="1"/>
  <c r="F2201" i="1"/>
  <c r="G2201" i="1"/>
  <c r="F2193" i="1"/>
  <c r="G2193" i="1"/>
  <c r="F2185" i="1"/>
  <c r="G2185" i="1"/>
  <c r="F2177" i="1"/>
  <c r="G2177" i="1"/>
  <c r="F2169" i="1"/>
  <c r="G2169" i="1"/>
  <c r="F2161" i="1"/>
  <c r="G2161" i="1"/>
  <c r="F2153" i="1"/>
  <c r="G2153" i="1"/>
  <c r="F2145" i="1"/>
  <c r="G2145" i="1"/>
  <c r="F2137" i="1"/>
  <c r="G2137" i="1"/>
  <c r="F2129" i="1"/>
  <c r="G2129" i="1"/>
  <c r="F2121" i="1"/>
  <c r="G2121" i="1"/>
  <c r="F2113" i="1"/>
  <c r="G2113" i="1"/>
  <c r="F2105" i="1"/>
  <c r="G2105" i="1"/>
  <c r="F2097" i="1"/>
  <c r="G2097" i="1"/>
  <c r="F2089" i="1"/>
  <c r="G2089" i="1"/>
  <c r="F2081" i="1"/>
  <c r="G2081" i="1"/>
  <c r="F2073" i="1"/>
  <c r="G2073" i="1"/>
  <c r="F2065" i="1"/>
  <c r="G2065" i="1"/>
  <c r="F2057" i="1"/>
  <c r="G2057" i="1"/>
  <c r="F2049" i="1"/>
  <c r="G2049" i="1"/>
  <c r="F2041" i="1"/>
  <c r="G2041" i="1"/>
  <c r="F2033" i="1"/>
  <c r="G2033" i="1"/>
  <c r="F2025" i="1"/>
  <c r="G2025" i="1"/>
  <c r="F2017" i="1"/>
  <c r="G2017" i="1"/>
  <c r="F2009" i="1"/>
  <c r="G2009" i="1"/>
  <c r="F2001" i="1"/>
  <c r="G2001" i="1"/>
  <c r="F1993" i="1"/>
  <c r="G1993" i="1"/>
  <c r="F1985" i="1"/>
  <c r="G1985" i="1"/>
  <c r="F1977" i="1"/>
  <c r="G1977" i="1"/>
  <c r="F1969" i="1"/>
  <c r="G1969" i="1"/>
  <c r="F1961" i="1"/>
  <c r="G1961" i="1"/>
  <c r="F1953" i="1"/>
  <c r="G1953" i="1"/>
  <c r="F1945" i="1"/>
  <c r="G1945" i="1"/>
  <c r="F1937" i="1"/>
  <c r="G1937" i="1"/>
  <c r="F1929" i="1"/>
  <c r="G1929" i="1"/>
  <c r="F1921" i="1"/>
  <c r="G1921" i="1"/>
  <c r="F1913" i="1"/>
  <c r="G1913" i="1"/>
  <c r="F1905" i="1"/>
  <c r="G1905" i="1"/>
  <c r="F1897" i="1"/>
  <c r="G1897" i="1"/>
  <c r="F1889" i="1"/>
  <c r="G1889" i="1"/>
  <c r="F1881" i="1"/>
  <c r="G1881" i="1"/>
  <c r="F1873" i="1"/>
  <c r="G1873" i="1"/>
  <c r="F1865" i="1"/>
  <c r="G1865" i="1"/>
  <c r="F1857" i="1"/>
  <c r="G1857" i="1"/>
  <c r="F1849" i="1"/>
  <c r="G1849" i="1"/>
  <c r="F1841" i="1"/>
  <c r="G1841" i="1"/>
  <c r="F1833" i="1"/>
  <c r="G1833" i="1"/>
  <c r="F1825" i="1"/>
  <c r="G1825" i="1"/>
  <c r="F1817" i="1"/>
  <c r="G1817" i="1"/>
  <c r="F1809" i="1"/>
  <c r="G1809" i="1"/>
  <c r="F1801" i="1"/>
  <c r="G1801" i="1"/>
  <c r="F1793" i="1"/>
  <c r="G1793" i="1"/>
  <c r="F1785" i="1"/>
  <c r="G1785" i="1"/>
  <c r="F1777" i="1"/>
  <c r="G1777" i="1"/>
  <c r="F1769" i="1"/>
  <c r="G1769" i="1"/>
  <c r="F1761" i="1"/>
  <c r="G1761" i="1"/>
  <c r="F1753" i="1"/>
  <c r="G1753" i="1"/>
  <c r="F1745" i="1"/>
  <c r="G1745" i="1"/>
  <c r="F1737" i="1"/>
  <c r="G1737" i="1"/>
  <c r="F1729" i="1"/>
  <c r="G1729" i="1"/>
  <c r="F1721" i="1"/>
  <c r="G1721" i="1"/>
  <c r="F1713" i="1"/>
  <c r="G1713" i="1"/>
  <c r="F1705" i="1"/>
  <c r="G1705" i="1"/>
  <c r="F1697" i="1"/>
  <c r="G1697" i="1"/>
  <c r="F1689" i="1"/>
  <c r="G1689" i="1"/>
  <c r="F1681" i="1"/>
  <c r="G1681" i="1"/>
  <c r="F1673" i="1"/>
  <c r="G1673" i="1"/>
  <c r="F1665" i="1"/>
  <c r="G1665" i="1"/>
  <c r="F1657" i="1"/>
  <c r="G1657" i="1"/>
  <c r="F1649" i="1"/>
  <c r="G1649" i="1"/>
  <c r="F1641" i="1"/>
  <c r="G1641" i="1"/>
  <c r="F1633" i="1"/>
  <c r="G1633" i="1"/>
  <c r="F1625" i="1"/>
  <c r="G1625" i="1"/>
  <c r="F1617" i="1"/>
  <c r="G1617" i="1"/>
  <c r="F1609" i="1"/>
  <c r="G1609" i="1"/>
  <c r="F1601" i="1"/>
  <c r="G1601" i="1"/>
  <c r="F1593" i="1"/>
  <c r="G1593" i="1"/>
  <c r="F1585" i="1"/>
  <c r="G1585" i="1"/>
  <c r="F1577" i="1"/>
  <c r="G1577" i="1"/>
  <c r="F1569" i="1"/>
  <c r="G1569" i="1"/>
  <c r="F1561" i="1"/>
  <c r="G1561" i="1"/>
  <c r="F1553" i="1"/>
  <c r="G1553" i="1"/>
  <c r="F1545" i="1"/>
  <c r="G1545" i="1"/>
  <c r="F1537" i="1"/>
  <c r="G1537" i="1"/>
  <c r="F1529" i="1"/>
  <c r="G1529" i="1"/>
  <c r="F1521" i="1"/>
  <c r="G1521" i="1"/>
  <c r="F1513" i="1"/>
  <c r="G1513" i="1"/>
  <c r="F1505" i="1"/>
  <c r="G1505" i="1"/>
  <c r="F1497" i="1"/>
  <c r="G1497" i="1"/>
  <c r="F1489" i="1"/>
  <c r="G1489" i="1"/>
  <c r="F1481" i="1"/>
  <c r="G1481" i="1"/>
  <c r="F1473" i="1"/>
  <c r="G1473" i="1"/>
  <c r="F1465" i="1"/>
  <c r="G1465" i="1"/>
  <c r="F1457" i="1"/>
  <c r="G1457" i="1"/>
  <c r="F1449" i="1"/>
  <c r="G1449" i="1"/>
  <c r="F1441" i="1"/>
  <c r="G1441" i="1"/>
  <c r="F1433" i="1"/>
  <c r="G1433" i="1"/>
  <c r="F1425" i="1"/>
  <c r="G1425" i="1"/>
  <c r="F1417" i="1"/>
  <c r="G1417" i="1"/>
  <c r="F1409" i="1"/>
  <c r="G1409" i="1"/>
  <c r="F1401" i="1"/>
  <c r="G1401" i="1"/>
  <c r="F1393" i="1"/>
  <c r="G1393" i="1"/>
  <c r="F1385" i="1"/>
  <c r="G1385" i="1"/>
  <c r="F1377" i="1"/>
  <c r="G1377" i="1"/>
  <c r="F1369" i="1"/>
  <c r="G1369" i="1"/>
  <c r="F1361" i="1"/>
  <c r="G1361" i="1"/>
  <c r="F1353" i="1"/>
  <c r="G1353" i="1"/>
  <c r="F1345" i="1"/>
  <c r="G1345" i="1"/>
  <c r="F1337" i="1"/>
  <c r="G1337" i="1"/>
  <c r="F1329" i="1"/>
  <c r="G1329" i="1"/>
  <c r="F1321" i="1"/>
  <c r="G1321" i="1"/>
  <c r="F1313" i="1"/>
  <c r="G1313" i="1"/>
  <c r="F1305" i="1"/>
  <c r="G1305" i="1"/>
  <c r="F1297" i="1"/>
  <c r="G1297" i="1"/>
  <c r="F1289" i="1"/>
  <c r="G1289" i="1"/>
  <c r="F1281" i="1"/>
  <c r="G1281" i="1"/>
  <c r="F1273" i="1"/>
  <c r="G1273" i="1"/>
  <c r="F1265" i="1"/>
  <c r="G1265" i="1"/>
  <c r="F1257" i="1"/>
  <c r="G1257" i="1"/>
  <c r="F1249" i="1"/>
  <c r="G1249" i="1"/>
  <c r="F1241" i="1"/>
  <c r="G1241" i="1"/>
  <c r="F1233" i="1"/>
  <c r="G1233" i="1"/>
  <c r="F1225" i="1"/>
  <c r="G1225" i="1"/>
  <c r="F1217" i="1"/>
  <c r="G1217" i="1"/>
  <c r="F1209" i="1"/>
  <c r="G1209" i="1"/>
  <c r="F1201" i="1"/>
  <c r="G1201" i="1"/>
  <c r="F1193" i="1"/>
  <c r="G1193" i="1"/>
  <c r="F1185" i="1"/>
  <c r="G1185" i="1"/>
  <c r="F1177" i="1"/>
  <c r="G1177" i="1"/>
  <c r="F1169" i="1"/>
  <c r="G1169" i="1"/>
  <c r="F1161" i="1"/>
  <c r="G1161" i="1"/>
  <c r="F1153" i="1"/>
  <c r="G1153" i="1"/>
  <c r="F1145" i="1"/>
  <c r="G1145" i="1"/>
  <c r="F1137" i="1"/>
  <c r="G1137" i="1"/>
  <c r="F1129" i="1"/>
  <c r="G1129" i="1"/>
  <c r="F1121" i="1"/>
  <c r="G1121" i="1"/>
  <c r="F1113" i="1"/>
  <c r="G1113" i="1"/>
  <c r="F1105" i="1"/>
  <c r="G1105" i="1"/>
  <c r="F1097" i="1"/>
  <c r="G1097" i="1"/>
  <c r="F1089" i="1"/>
  <c r="G1089" i="1"/>
  <c r="F1081" i="1"/>
  <c r="G1081" i="1"/>
  <c r="F1073" i="1"/>
  <c r="G1073" i="1"/>
  <c r="F1065" i="1"/>
  <c r="G1065" i="1"/>
  <c r="F1057" i="1"/>
  <c r="G1057" i="1"/>
  <c r="F1049" i="1"/>
  <c r="G1049" i="1"/>
  <c r="F1041" i="1"/>
  <c r="G1041" i="1"/>
  <c r="F1033" i="1"/>
  <c r="G1033" i="1"/>
  <c r="F1025" i="1"/>
  <c r="G1025" i="1"/>
  <c r="F1017" i="1"/>
  <c r="G1017" i="1"/>
  <c r="F1009" i="1"/>
  <c r="G1009" i="1"/>
  <c r="F1001" i="1"/>
  <c r="G1001" i="1"/>
  <c r="F993" i="1"/>
  <c r="G993" i="1"/>
  <c r="F985" i="1"/>
  <c r="G985" i="1"/>
  <c r="F977" i="1"/>
  <c r="G977" i="1"/>
  <c r="F969" i="1"/>
  <c r="G969" i="1"/>
  <c r="F961" i="1"/>
  <c r="G961" i="1"/>
  <c r="F953" i="1"/>
  <c r="G953" i="1"/>
  <c r="F945" i="1"/>
  <c r="G945" i="1"/>
  <c r="F937" i="1"/>
  <c r="G937" i="1"/>
  <c r="F929" i="1"/>
  <c r="G929" i="1"/>
  <c r="F921" i="1"/>
  <c r="G921" i="1"/>
  <c r="F913" i="1"/>
  <c r="G913" i="1"/>
  <c r="F905" i="1"/>
  <c r="G905" i="1"/>
  <c r="F897" i="1"/>
  <c r="G897" i="1"/>
  <c r="F889" i="1"/>
  <c r="G889" i="1"/>
  <c r="F881" i="1"/>
  <c r="G881" i="1"/>
  <c r="F873" i="1"/>
  <c r="G873" i="1"/>
  <c r="F865" i="1"/>
  <c r="G865" i="1"/>
  <c r="F857" i="1"/>
  <c r="G857" i="1"/>
  <c r="F849" i="1"/>
  <c r="G849" i="1"/>
  <c r="F841" i="1"/>
  <c r="G841" i="1"/>
  <c r="F833" i="1"/>
  <c r="G833" i="1"/>
  <c r="F825" i="1"/>
  <c r="G825" i="1"/>
  <c r="F817" i="1"/>
  <c r="G817" i="1"/>
  <c r="F809" i="1"/>
  <c r="G809" i="1"/>
  <c r="F801" i="1"/>
  <c r="G801" i="1"/>
  <c r="F793" i="1"/>
  <c r="G793" i="1"/>
  <c r="F785" i="1"/>
  <c r="G785" i="1"/>
  <c r="F777" i="1"/>
  <c r="G777" i="1"/>
  <c r="F769" i="1"/>
  <c r="G769" i="1"/>
  <c r="F761" i="1"/>
  <c r="G761" i="1"/>
  <c r="F753" i="1"/>
  <c r="G753" i="1"/>
  <c r="F745" i="1"/>
  <c r="G745" i="1"/>
  <c r="F737" i="1"/>
  <c r="G737" i="1"/>
  <c r="F729" i="1"/>
  <c r="G729" i="1"/>
  <c r="F721" i="1"/>
  <c r="G721" i="1"/>
  <c r="F713" i="1"/>
  <c r="G713" i="1"/>
  <c r="F705" i="1"/>
  <c r="G705" i="1"/>
  <c r="F697" i="1"/>
  <c r="G697" i="1"/>
  <c r="F689" i="1"/>
  <c r="G689" i="1"/>
  <c r="F681" i="1"/>
  <c r="G681" i="1"/>
  <c r="F673" i="1"/>
  <c r="G673" i="1"/>
  <c r="F665" i="1"/>
  <c r="G665" i="1"/>
  <c r="F657" i="1"/>
  <c r="G657" i="1"/>
  <c r="F649" i="1"/>
  <c r="G649" i="1"/>
  <c r="F641" i="1"/>
  <c r="G641" i="1"/>
  <c r="F633" i="1"/>
  <c r="G633" i="1"/>
  <c r="F625" i="1"/>
  <c r="G625" i="1"/>
  <c r="F617" i="1"/>
  <c r="G617" i="1"/>
  <c r="F609" i="1"/>
  <c r="G609" i="1"/>
  <c r="F601" i="1"/>
  <c r="G601" i="1"/>
  <c r="F593" i="1"/>
  <c r="G593" i="1"/>
  <c r="F585" i="1"/>
  <c r="G585" i="1"/>
  <c r="F577" i="1"/>
  <c r="G577" i="1"/>
  <c r="F569" i="1"/>
  <c r="G569" i="1"/>
  <c r="F561" i="1"/>
  <c r="G561" i="1"/>
  <c r="F553" i="1"/>
  <c r="G553" i="1"/>
  <c r="F545" i="1"/>
  <c r="G545" i="1"/>
  <c r="F537" i="1"/>
  <c r="G537" i="1"/>
  <c r="F529" i="1"/>
  <c r="G529" i="1"/>
  <c r="F521" i="1"/>
  <c r="G521" i="1"/>
  <c r="F513" i="1"/>
  <c r="G513" i="1"/>
  <c r="F505" i="1"/>
  <c r="G505" i="1"/>
  <c r="F497" i="1"/>
  <c r="G497" i="1"/>
  <c r="F489" i="1"/>
  <c r="G489" i="1"/>
  <c r="F481" i="1"/>
  <c r="G481" i="1"/>
  <c r="F473" i="1"/>
  <c r="G473" i="1"/>
  <c r="F465" i="1"/>
  <c r="G465" i="1"/>
  <c r="F457" i="1"/>
  <c r="G457" i="1"/>
  <c r="F449" i="1"/>
  <c r="G449" i="1"/>
  <c r="F441" i="1"/>
  <c r="G441" i="1"/>
  <c r="F433" i="1"/>
  <c r="G433" i="1"/>
  <c r="F425" i="1"/>
  <c r="G425" i="1"/>
  <c r="F417" i="1"/>
  <c r="G417" i="1"/>
  <c r="F409" i="1"/>
  <c r="G409" i="1"/>
  <c r="F401" i="1"/>
  <c r="G401" i="1"/>
  <c r="F393" i="1"/>
  <c r="G393" i="1"/>
  <c r="F385" i="1"/>
  <c r="G385" i="1"/>
  <c r="F377" i="1"/>
  <c r="G377" i="1"/>
  <c r="F369" i="1"/>
  <c r="G369" i="1"/>
  <c r="F361" i="1"/>
  <c r="G361" i="1"/>
  <c r="F353" i="1"/>
  <c r="G353" i="1"/>
  <c r="F345" i="1"/>
  <c r="G345" i="1"/>
  <c r="F337" i="1"/>
  <c r="G337" i="1"/>
  <c r="F329" i="1"/>
  <c r="G329" i="1"/>
  <c r="F321" i="1"/>
  <c r="G321" i="1"/>
  <c r="F313" i="1"/>
  <c r="G313" i="1"/>
  <c r="F305" i="1"/>
  <c r="G305" i="1"/>
  <c r="G8521" i="1"/>
  <c r="G8457" i="1"/>
  <c r="G8393" i="1"/>
  <c r="G8329" i="1"/>
  <c r="G8265" i="1"/>
  <c r="G8201" i="1"/>
  <c r="G8137" i="1"/>
  <c r="G8073" i="1"/>
  <c r="G6463" i="1"/>
  <c r="G6447" i="1"/>
  <c r="G6431" i="1"/>
  <c r="G6415" i="1"/>
  <c r="G6399" i="1"/>
  <c r="G6383" i="1"/>
  <c r="G6367" i="1"/>
  <c r="G6351" i="1"/>
  <c r="G6335" i="1"/>
  <c r="G6319" i="1"/>
  <c r="G6303" i="1"/>
  <c r="G6287" i="1"/>
  <c r="G6271" i="1"/>
  <c r="G6255" i="1"/>
  <c r="G6239" i="1"/>
  <c r="G6223" i="1"/>
  <c r="G6207" i="1"/>
  <c r="G6191" i="1"/>
  <c r="G6175" i="1"/>
  <c r="G6159" i="1"/>
  <c r="G6143" i="1"/>
  <c r="G6127" i="1"/>
  <c r="G6111" i="1"/>
  <c r="G6095" i="1"/>
  <c r="G6079" i="1"/>
  <c r="G6063" i="1"/>
  <c r="G6047" i="1"/>
  <c r="G6031" i="1"/>
  <c r="G6015" i="1"/>
  <c r="G5999" i="1"/>
  <c r="G5983" i="1"/>
  <c r="G5967" i="1"/>
  <c r="G5951" i="1"/>
  <c r="G5935" i="1"/>
  <c r="G5919" i="1"/>
  <c r="G5903" i="1"/>
  <c r="G5887" i="1"/>
  <c r="G5871" i="1"/>
  <c r="G5855" i="1"/>
  <c r="G5839" i="1"/>
  <c r="G5823" i="1"/>
  <c r="G5807" i="1"/>
  <c r="G5791" i="1"/>
  <c r="G5775" i="1"/>
  <c r="G5759" i="1"/>
  <c r="G5743" i="1"/>
  <c r="G5727" i="1"/>
  <c r="G5711" i="1"/>
  <c r="G5695" i="1"/>
  <c r="G5679" i="1"/>
  <c r="G5663" i="1"/>
  <c r="G5647" i="1"/>
  <c r="G5624" i="1"/>
  <c r="G5560" i="1"/>
  <c r="G5496" i="1"/>
  <c r="G5432" i="1"/>
  <c r="G5368" i="1"/>
  <c r="G5304" i="1"/>
  <c r="G5240" i="1"/>
  <c r="G5176" i="1"/>
  <c r="G5112" i="1"/>
  <c r="G5048" i="1"/>
  <c r="G4984" i="1"/>
  <c r="G4920" i="1"/>
  <c r="G4856" i="1"/>
  <c r="G4792" i="1"/>
  <c r="G4728" i="1"/>
  <c r="G4664" i="1"/>
  <c r="G4600" i="1"/>
  <c r="G4536" i="1"/>
  <c r="G4472" i="1"/>
  <c r="G4408" i="1"/>
  <c r="G4344" i="1"/>
  <c r="G4280" i="1"/>
  <c r="G4216" i="1"/>
  <c r="G4152" i="1"/>
  <c r="G4088" i="1"/>
  <c r="G4024" i="1"/>
  <c r="G3960" i="1"/>
  <c r="G3896" i="1"/>
  <c r="G3832" i="1"/>
  <c r="G3768" i="1"/>
  <c r="G3704" i="1"/>
  <c r="G3640" i="1"/>
  <c r="G3576" i="1"/>
  <c r="G3512" i="1"/>
  <c r="G3448" i="1"/>
  <c r="G3384" i="1"/>
  <c r="G3320" i="1"/>
  <c r="G3256" i="1"/>
  <c r="G3192" i="1"/>
  <c r="F3128" i="1"/>
  <c r="G3128" i="1"/>
  <c r="F3120" i="1"/>
  <c r="G3120" i="1"/>
  <c r="F3112" i="1"/>
  <c r="G3112" i="1"/>
  <c r="F3104" i="1"/>
  <c r="G3104" i="1"/>
  <c r="F3096" i="1"/>
  <c r="G3096" i="1"/>
  <c r="F3088" i="1"/>
  <c r="G3088" i="1"/>
  <c r="F3080" i="1"/>
  <c r="G3080" i="1"/>
  <c r="F3072" i="1"/>
  <c r="G3072" i="1"/>
  <c r="F3064" i="1"/>
  <c r="G3064" i="1"/>
  <c r="F3056" i="1"/>
  <c r="G3056" i="1"/>
  <c r="F3048" i="1"/>
  <c r="G3048" i="1"/>
  <c r="F3040" i="1"/>
  <c r="G3040" i="1"/>
  <c r="F3032" i="1"/>
  <c r="G3032" i="1"/>
  <c r="F3024" i="1"/>
  <c r="G3024" i="1"/>
  <c r="F3016" i="1"/>
  <c r="G3016" i="1"/>
  <c r="F3008" i="1"/>
  <c r="G3008" i="1"/>
  <c r="F3000" i="1"/>
  <c r="G3000" i="1"/>
  <c r="F2992" i="1"/>
  <c r="G2992" i="1"/>
  <c r="F2984" i="1"/>
  <c r="G2984" i="1"/>
  <c r="F2976" i="1"/>
  <c r="G2976" i="1"/>
  <c r="F2968" i="1"/>
  <c r="G2968" i="1"/>
  <c r="F2960" i="1"/>
  <c r="G2960" i="1"/>
  <c r="F2952" i="1"/>
  <c r="G2952" i="1"/>
  <c r="F2944" i="1"/>
  <c r="G2944" i="1"/>
  <c r="F2936" i="1"/>
  <c r="G2936" i="1"/>
  <c r="F2928" i="1"/>
  <c r="G2928" i="1"/>
  <c r="F2920" i="1"/>
  <c r="G2920" i="1"/>
  <c r="F2912" i="1"/>
  <c r="G2912" i="1"/>
  <c r="F2904" i="1"/>
  <c r="G2904" i="1"/>
  <c r="F2896" i="1"/>
  <c r="G2896" i="1"/>
  <c r="F2888" i="1"/>
  <c r="G2888" i="1"/>
  <c r="F2880" i="1"/>
  <c r="G2880" i="1"/>
  <c r="F2872" i="1"/>
  <c r="G2872" i="1"/>
  <c r="F2864" i="1"/>
  <c r="G2864" i="1"/>
  <c r="F2856" i="1"/>
  <c r="G2856" i="1"/>
  <c r="F2848" i="1"/>
  <c r="G2848" i="1"/>
  <c r="F2840" i="1"/>
  <c r="G2840" i="1"/>
  <c r="F2832" i="1"/>
  <c r="G2832" i="1"/>
  <c r="F2824" i="1"/>
  <c r="G2824" i="1"/>
  <c r="F2816" i="1"/>
  <c r="G2816" i="1"/>
  <c r="F2808" i="1"/>
  <c r="G2808" i="1"/>
  <c r="F2800" i="1"/>
  <c r="G2800" i="1"/>
  <c r="F2792" i="1"/>
  <c r="G2792" i="1"/>
  <c r="F2784" i="1"/>
  <c r="G2784" i="1"/>
  <c r="F2776" i="1"/>
  <c r="G2776" i="1"/>
  <c r="F2768" i="1"/>
  <c r="G2768" i="1"/>
  <c r="F2760" i="1"/>
  <c r="G2760" i="1"/>
  <c r="F2752" i="1"/>
  <c r="G2752" i="1"/>
  <c r="F2744" i="1"/>
  <c r="G2744" i="1"/>
  <c r="F2736" i="1"/>
  <c r="G2736" i="1"/>
  <c r="F2728" i="1"/>
  <c r="G2728" i="1"/>
  <c r="F2720" i="1"/>
  <c r="G2720" i="1"/>
  <c r="F2712" i="1"/>
  <c r="G2712" i="1"/>
  <c r="F2704" i="1"/>
  <c r="G2704" i="1"/>
  <c r="F2696" i="1"/>
  <c r="G2696" i="1"/>
  <c r="F2688" i="1"/>
  <c r="G2688" i="1"/>
  <c r="F2680" i="1"/>
  <c r="G2680" i="1"/>
  <c r="F2672" i="1"/>
  <c r="G2672" i="1"/>
  <c r="F2664" i="1"/>
  <c r="G2664" i="1"/>
  <c r="F2656" i="1"/>
  <c r="G2656" i="1"/>
  <c r="F2648" i="1"/>
  <c r="G2648" i="1"/>
  <c r="F2640" i="1"/>
  <c r="G2640" i="1"/>
  <c r="F2632" i="1"/>
  <c r="G2632" i="1"/>
  <c r="F2624" i="1"/>
  <c r="G2624" i="1"/>
  <c r="F2616" i="1"/>
  <c r="G2616" i="1"/>
  <c r="F2608" i="1"/>
  <c r="G2608" i="1"/>
  <c r="F2600" i="1"/>
  <c r="G2600" i="1"/>
  <c r="F2592" i="1"/>
  <c r="G2592" i="1"/>
  <c r="F2584" i="1"/>
  <c r="G2584" i="1"/>
  <c r="F2576" i="1"/>
  <c r="G2576" i="1"/>
  <c r="F2568" i="1"/>
  <c r="G2568" i="1"/>
  <c r="F2560" i="1"/>
  <c r="G2560" i="1"/>
  <c r="F2552" i="1"/>
  <c r="G2552" i="1"/>
  <c r="F2544" i="1"/>
  <c r="G2544" i="1"/>
  <c r="F2536" i="1"/>
  <c r="G2536" i="1"/>
  <c r="F2528" i="1"/>
  <c r="G2528" i="1"/>
  <c r="F2520" i="1"/>
  <c r="G2520" i="1"/>
  <c r="F2512" i="1"/>
  <c r="G2512" i="1"/>
  <c r="F2504" i="1"/>
  <c r="G2504" i="1"/>
  <c r="F2496" i="1"/>
  <c r="G2496" i="1"/>
  <c r="F2488" i="1"/>
  <c r="G2488" i="1"/>
  <c r="F2480" i="1"/>
  <c r="G2480" i="1"/>
  <c r="F2472" i="1"/>
  <c r="G2472" i="1"/>
  <c r="F2464" i="1"/>
  <c r="G2464" i="1"/>
  <c r="F2456" i="1"/>
  <c r="G2456" i="1"/>
  <c r="F2448" i="1"/>
  <c r="G2448" i="1"/>
  <c r="F2440" i="1"/>
  <c r="G2440" i="1"/>
  <c r="F2432" i="1"/>
  <c r="G2432" i="1"/>
  <c r="F2424" i="1"/>
  <c r="G2424" i="1"/>
  <c r="F2416" i="1"/>
  <c r="G2416" i="1"/>
  <c r="F2408" i="1"/>
  <c r="G2408" i="1"/>
  <c r="F2400" i="1"/>
  <c r="G2400" i="1"/>
  <c r="F2392" i="1"/>
  <c r="G2392" i="1"/>
  <c r="F2384" i="1"/>
  <c r="G2384" i="1"/>
  <c r="F2376" i="1"/>
  <c r="G2376" i="1"/>
  <c r="F2368" i="1"/>
  <c r="G2368" i="1"/>
  <c r="F2360" i="1"/>
  <c r="G2360" i="1"/>
  <c r="F2352" i="1"/>
  <c r="G2352" i="1"/>
  <c r="F2344" i="1"/>
  <c r="G2344" i="1"/>
  <c r="F2336" i="1"/>
  <c r="G2336" i="1"/>
  <c r="F2328" i="1"/>
  <c r="G2328" i="1"/>
  <c r="F2320" i="1"/>
  <c r="G2320" i="1"/>
  <c r="F2312" i="1"/>
  <c r="G2312" i="1"/>
  <c r="F2304" i="1"/>
  <c r="G2304" i="1"/>
  <c r="F2296" i="1"/>
  <c r="G2296" i="1"/>
  <c r="F2288" i="1"/>
  <c r="G2288" i="1"/>
  <c r="F2280" i="1"/>
  <c r="G2280" i="1"/>
  <c r="F2272" i="1"/>
  <c r="G2272" i="1"/>
  <c r="F2264" i="1"/>
  <c r="G2264" i="1"/>
  <c r="F2256" i="1"/>
  <c r="G2256" i="1"/>
  <c r="F2248" i="1"/>
  <c r="G2248" i="1"/>
  <c r="F2240" i="1"/>
  <c r="G2240" i="1"/>
  <c r="F2232" i="1"/>
  <c r="G2232" i="1"/>
  <c r="F2224" i="1"/>
  <c r="G2224" i="1"/>
  <c r="F2216" i="1"/>
  <c r="G2216" i="1"/>
  <c r="F2208" i="1"/>
  <c r="G2208" i="1"/>
  <c r="F2200" i="1"/>
  <c r="G2200" i="1"/>
  <c r="F2192" i="1"/>
  <c r="G2192" i="1"/>
  <c r="F2184" i="1"/>
  <c r="G2184" i="1"/>
  <c r="F2176" i="1"/>
  <c r="G2176" i="1"/>
  <c r="F2168" i="1"/>
  <c r="G2168" i="1"/>
  <c r="F2160" i="1"/>
  <c r="G2160" i="1"/>
  <c r="F2152" i="1"/>
  <c r="G2152" i="1"/>
  <c r="F2144" i="1"/>
  <c r="G2144" i="1"/>
  <c r="F2136" i="1"/>
  <c r="G2136" i="1"/>
  <c r="F2128" i="1"/>
  <c r="G2128" i="1"/>
  <c r="F2120" i="1"/>
  <c r="G2120" i="1"/>
  <c r="F2112" i="1"/>
  <c r="G2112" i="1"/>
  <c r="F2104" i="1"/>
  <c r="G2104" i="1"/>
  <c r="F2096" i="1"/>
  <c r="G2096" i="1"/>
  <c r="F2088" i="1"/>
  <c r="G2088" i="1"/>
  <c r="F2080" i="1"/>
  <c r="G2080" i="1"/>
  <c r="F2072" i="1"/>
  <c r="G2072" i="1"/>
  <c r="F2064" i="1"/>
  <c r="G2064" i="1"/>
  <c r="F2056" i="1"/>
  <c r="G2056" i="1"/>
  <c r="F2048" i="1"/>
  <c r="G2048" i="1"/>
  <c r="F2040" i="1"/>
  <c r="G2040" i="1"/>
  <c r="F2032" i="1"/>
  <c r="G2032" i="1"/>
  <c r="F2024" i="1"/>
  <c r="G2024" i="1"/>
  <c r="F2016" i="1"/>
  <c r="G2016" i="1"/>
  <c r="F2008" i="1"/>
  <c r="G2008" i="1"/>
  <c r="F2000" i="1"/>
  <c r="G2000" i="1"/>
  <c r="F1992" i="1"/>
  <c r="G1992" i="1"/>
  <c r="F1984" i="1"/>
  <c r="G1984" i="1"/>
  <c r="F1976" i="1"/>
  <c r="G1976" i="1"/>
  <c r="F1968" i="1"/>
  <c r="G1968" i="1"/>
  <c r="F1960" i="1"/>
  <c r="G1960" i="1"/>
  <c r="F1952" i="1"/>
  <c r="G1952" i="1"/>
  <c r="F1944" i="1"/>
  <c r="G1944" i="1"/>
  <c r="F1936" i="1"/>
  <c r="G1936" i="1"/>
  <c r="F1928" i="1"/>
  <c r="G1928" i="1"/>
  <c r="F1920" i="1"/>
  <c r="G1920" i="1"/>
  <c r="F1912" i="1"/>
  <c r="G1912" i="1"/>
  <c r="F1904" i="1"/>
  <c r="G1904" i="1"/>
  <c r="F1896" i="1"/>
  <c r="G1896" i="1"/>
  <c r="F1888" i="1"/>
  <c r="G1888" i="1"/>
  <c r="F1880" i="1"/>
  <c r="G1880" i="1"/>
  <c r="F1872" i="1"/>
  <c r="G1872" i="1"/>
  <c r="F1864" i="1"/>
  <c r="G1864" i="1"/>
  <c r="F1856" i="1"/>
  <c r="G1856" i="1"/>
  <c r="F1848" i="1"/>
  <c r="G1848" i="1"/>
  <c r="F1840" i="1"/>
  <c r="G1840" i="1"/>
  <c r="F1832" i="1"/>
  <c r="G1832" i="1"/>
  <c r="F1824" i="1"/>
  <c r="G1824" i="1"/>
  <c r="F1816" i="1"/>
  <c r="G1816" i="1"/>
  <c r="F1808" i="1"/>
  <c r="G1808" i="1"/>
  <c r="F1800" i="1"/>
  <c r="G1800" i="1"/>
  <c r="F1792" i="1"/>
  <c r="G1792" i="1"/>
  <c r="F1784" i="1"/>
  <c r="G1784" i="1"/>
  <c r="F1776" i="1"/>
  <c r="G1776" i="1"/>
  <c r="F1768" i="1"/>
  <c r="G1768" i="1"/>
  <c r="F1760" i="1"/>
  <c r="G1760" i="1"/>
  <c r="F1752" i="1"/>
  <c r="G1752" i="1"/>
  <c r="F1744" i="1"/>
  <c r="G1744" i="1"/>
  <c r="F1736" i="1"/>
  <c r="G1736" i="1"/>
  <c r="F1728" i="1"/>
  <c r="G1728" i="1"/>
  <c r="F1720" i="1"/>
  <c r="G1720" i="1"/>
  <c r="F1712" i="1"/>
  <c r="G1712" i="1"/>
  <c r="F1704" i="1"/>
  <c r="G1704" i="1"/>
  <c r="F1696" i="1"/>
  <c r="G1696" i="1"/>
  <c r="F1688" i="1"/>
  <c r="G1688" i="1"/>
  <c r="F1680" i="1"/>
  <c r="G1680" i="1"/>
  <c r="F1672" i="1"/>
  <c r="G1672" i="1"/>
  <c r="F1664" i="1"/>
  <c r="G1664" i="1"/>
  <c r="F1656" i="1"/>
  <c r="G1656" i="1"/>
  <c r="F1648" i="1"/>
  <c r="G1648" i="1"/>
  <c r="F1640" i="1"/>
  <c r="G1640" i="1"/>
  <c r="F1632" i="1"/>
  <c r="G1632" i="1"/>
  <c r="F1624" i="1"/>
  <c r="G1624" i="1"/>
  <c r="F1616" i="1"/>
  <c r="G1616" i="1"/>
  <c r="F1608" i="1"/>
  <c r="G1608" i="1"/>
  <c r="F1600" i="1"/>
  <c r="G1600" i="1"/>
  <c r="F1592" i="1"/>
  <c r="G1592" i="1"/>
  <c r="F1584" i="1"/>
  <c r="G1584" i="1"/>
  <c r="F1576" i="1"/>
  <c r="G1576" i="1"/>
  <c r="F1568" i="1"/>
  <c r="G1568" i="1"/>
  <c r="F1560" i="1"/>
  <c r="G1560" i="1"/>
  <c r="F1552" i="1"/>
  <c r="G1552" i="1"/>
  <c r="F1544" i="1"/>
  <c r="G1544" i="1"/>
  <c r="F1536" i="1"/>
  <c r="G1536" i="1"/>
  <c r="F1528" i="1"/>
  <c r="G1528" i="1"/>
  <c r="F1520" i="1"/>
  <c r="G1520" i="1"/>
  <c r="F1512" i="1"/>
  <c r="G1512" i="1"/>
  <c r="F1504" i="1"/>
  <c r="G1504" i="1"/>
  <c r="F1496" i="1"/>
  <c r="G1496" i="1"/>
  <c r="F1488" i="1"/>
  <c r="G1488" i="1"/>
  <c r="F1480" i="1"/>
  <c r="G1480" i="1"/>
  <c r="F1472" i="1"/>
  <c r="G1472" i="1"/>
  <c r="F1464" i="1"/>
  <c r="G1464" i="1"/>
  <c r="F1456" i="1"/>
  <c r="G1456" i="1"/>
  <c r="F1448" i="1"/>
  <c r="G1448" i="1"/>
  <c r="F1440" i="1"/>
  <c r="G1440" i="1"/>
  <c r="F1432" i="1"/>
  <c r="G1432" i="1"/>
  <c r="F1424" i="1"/>
  <c r="G1424" i="1"/>
  <c r="F1416" i="1"/>
  <c r="G1416" i="1"/>
  <c r="F1408" i="1"/>
  <c r="G1408" i="1"/>
  <c r="F1400" i="1"/>
  <c r="G1400" i="1"/>
  <c r="F1392" i="1"/>
  <c r="G1392" i="1"/>
  <c r="F1384" i="1"/>
  <c r="G1384" i="1"/>
  <c r="F1376" i="1"/>
  <c r="G1376" i="1"/>
  <c r="F1368" i="1"/>
  <c r="G1368" i="1"/>
  <c r="F1360" i="1"/>
  <c r="G1360" i="1"/>
  <c r="F1352" i="1"/>
  <c r="G1352" i="1"/>
  <c r="F1344" i="1"/>
  <c r="G1344" i="1"/>
  <c r="F1336" i="1"/>
  <c r="G1336" i="1"/>
  <c r="F1328" i="1"/>
  <c r="G1328" i="1"/>
  <c r="F1320" i="1"/>
  <c r="G1320" i="1"/>
  <c r="F1312" i="1"/>
  <c r="G1312" i="1"/>
  <c r="F1304" i="1"/>
  <c r="G1304" i="1"/>
  <c r="F1296" i="1"/>
  <c r="G1296" i="1"/>
  <c r="F1288" i="1"/>
  <c r="G1288" i="1"/>
  <c r="F1280" i="1"/>
  <c r="G1280" i="1"/>
  <c r="F1272" i="1"/>
  <c r="G1272" i="1"/>
  <c r="F1264" i="1"/>
  <c r="G1264" i="1"/>
  <c r="F1256" i="1"/>
  <c r="G1256" i="1"/>
  <c r="F1248" i="1"/>
  <c r="G1248" i="1"/>
  <c r="F1240" i="1"/>
  <c r="G1240" i="1"/>
  <c r="F1232" i="1"/>
  <c r="G1232" i="1"/>
  <c r="F1224" i="1"/>
  <c r="G1224" i="1"/>
  <c r="F1216" i="1"/>
  <c r="G1216" i="1"/>
  <c r="F1208" i="1"/>
  <c r="G1208" i="1"/>
  <c r="F1200" i="1"/>
  <c r="G1200" i="1"/>
  <c r="F1192" i="1"/>
  <c r="G1192" i="1"/>
  <c r="F1184" i="1"/>
  <c r="G1184" i="1"/>
  <c r="F1176" i="1"/>
  <c r="G1176" i="1"/>
  <c r="F1168" i="1"/>
  <c r="G1168" i="1"/>
  <c r="F1160" i="1"/>
  <c r="G1160" i="1"/>
  <c r="F1152" i="1"/>
  <c r="G1152" i="1"/>
  <c r="F1144" i="1"/>
  <c r="G1144" i="1"/>
  <c r="F1136" i="1"/>
  <c r="G1136" i="1"/>
  <c r="F1128" i="1"/>
  <c r="G1128" i="1"/>
  <c r="F1120" i="1"/>
  <c r="G1120" i="1"/>
  <c r="F1112" i="1"/>
  <c r="G1112" i="1"/>
  <c r="F1104" i="1"/>
  <c r="G1104" i="1"/>
  <c r="F1096" i="1"/>
  <c r="G1096" i="1"/>
  <c r="F1088" i="1"/>
  <c r="G1088" i="1"/>
  <c r="F1080" i="1"/>
  <c r="G1080" i="1"/>
  <c r="F1072" i="1"/>
  <c r="G1072" i="1"/>
  <c r="F1064" i="1"/>
  <c r="G1064" i="1"/>
  <c r="F1056" i="1"/>
  <c r="G1056" i="1"/>
  <c r="F1048" i="1"/>
  <c r="G1048" i="1"/>
  <c r="F1040" i="1"/>
  <c r="G1040" i="1"/>
  <c r="F1032" i="1"/>
  <c r="G1032" i="1"/>
  <c r="F1024" i="1"/>
  <c r="G1024" i="1"/>
  <c r="F1016" i="1"/>
  <c r="G1016" i="1"/>
  <c r="F1008" i="1"/>
  <c r="G1008" i="1"/>
  <c r="F1000" i="1"/>
  <c r="G1000" i="1"/>
  <c r="F992" i="1"/>
  <c r="G992" i="1"/>
  <c r="F984" i="1"/>
  <c r="G984" i="1"/>
  <c r="F976" i="1"/>
  <c r="G976" i="1"/>
  <c r="F968" i="1"/>
  <c r="G968" i="1"/>
  <c r="F960" i="1"/>
  <c r="G960" i="1"/>
  <c r="F952" i="1"/>
  <c r="G952" i="1"/>
  <c r="F944" i="1"/>
  <c r="G944" i="1"/>
  <c r="F936" i="1"/>
  <c r="G936" i="1"/>
  <c r="F928" i="1"/>
  <c r="G928" i="1"/>
  <c r="F920" i="1"/>
  <c r="G920" i="1"/>
  <c r="F912" i="1"/>
  <c r="G912" i="1"/>
  <c r="F904" i="1"/>
  <c r="G904" i="1"/>
  <c r="F896" i="1"/>
  <c r="G896" i="1"/>
  <c r="F888" i="1"/>
  <c r="G888" i="1"/>
  <c r="F880" i="1"/>
  <c r="G880" i="1"/>
  <c r="F872" i="1"/>
  <c r="G872" i="1"/>
  <c r="F864" i="1"/>
  <c r="G864" i="1"/>
  <c r="F856" i="1"/>
  <c r="G856" i="1"/>
  <c r="F848" i="1"/>
  <c r="G848" i="1"/>
  <c r="F840" i="1"/>
  <c r="G840" i="1"/>
  <c r="F832" i="1"/>
  <c r="G832" i="1"/>
  <c r="F824" i="1"/>
  <c r="G824" i="1"/>
  <c r="F816" i="1"/>
  <c r="G816" i="1"/>
  <c r="F808" i="1"/>
  <c r="G808" i="1"/>
  <c r="F800" i="1"/>
  <c r="G800" i="1"/>
  <c r="F792" i="1"/>
  <c r="G792" i="1"/>
  <c r="F784" i="1"/>
  <c r="G784" i="1"/>
  <c r="F776" i="1"/>
  <c r="G776" i="1"/>
  <c r="F768" i="1"/>
  <c r="G768" i="1"/>
  <c r="F760" i="1"/>
  <c r="G760" i="1"/>
  <c r="F752" i="1"/>
  <c r="G752" i="1"/>
  <c r="F744" i="1"/>
  <c r="G744" i="1"/>
  <c r="F736" i="1"/>
  <c r="G736" i="1"/>
  <c r="F728" i="1"/>
  <c r="G728" i="1"/>
  <c r="F720" i="1"/>
  <c r="G720" i="1"/>
  <c r="F712" i="1"/>
  <c r="G712" i="1"/>
  <c r="F704" i="1"/>
  <c r="G704" i="1"/>
  <c r="F696" i="1"/>
  <c r="G696" i="1"/>
  <c r="F688" i="1"/>
  <c r="G688" i="1"/>
  <c r="F680" i="1"/>
  <c r="G680" i="1"/>
  <c r="F672" i="1"/>
  <c r="G672" i="1"/>
  <c r="F664" i="1"/>
  <c r="G664" i="1"/>
  <c r="F656" i="1"/>
  <c r="G656" i="1"/>
  <c r="F648" i="1"/>
  <c r="G648" i="1"/>
  <c r="F640" i="1"/>
  <c r="G640" i="1"/>
  <c r="F632" i="1"/>
  <c r="G632" i="1"/>
  <c r="F624" i="1"/>
  <c r="G624" i="1"/>
  <c r="F616" i="1"/>
  <c r="G616" i="1"/>
  <c r="F608" i="1"/>
  <c r="G608" i="1"/>
  <c r="F600" i="1"/>
  <c r="G600" i="1"/>
  <c r="F592" i="1"/>
  <c r="G592" i="1"/>
  <c r="F584" i="1"/>
  <c r="G584" i="1"/>
  <c r="F576" i="1"/>
  <c r="G576" i="1"/>
  <c r="F568" i="1"/>
  <c r="G568" i="1"/>
  <c r="F560" i="1"/>
  <c r="G560" i="1"/>
  <c r="F552" i="1"/>
  <c r="G552" i="1"/>
  <c r="F544" i="1"/>
  <c r="G544" i="1"/>
  <c r="F536" i="1"/>
  <c r="G536" i="1"/>
  <c r="F528" i="1"/>
  <c r="G528" i="1"/>
  <c r="F520" i="1"/>
  <c r="G520" i="1"/>
  <c r="F512" i="1"/>
  <c r="G512" i="1"/>
  <c r="F504" i="1"/>
  <c r="G504" i="1"/>
  <c r="F496" i="1"/>
  <c r="G496" i="1"/>
  <c r="F488" i="1"/>
  <c r="G488" i="1"/>
  <c r="F480" i="1"/>
  <c r="G480" i="1"/>
  <c r="F472" i="1"/>
  <c r="G472" i="1"/>
  <c r="F464" i="1"/>
  <c r="G464" i="1"/>
  <c r="F456" i="1"/>
  <c r="G456" i="1"/>
  <c r="F448" i="1"/>
  <c r="G448" i="1"/>
  <c r="F440" i="1"/>
  <c r="G440" i="1"/>
  <c r="F432" i="1"/>
  <c r="G432" i="1"/>
  <c r="F424" i="1"/>
  <c r="G424" i="1"/>
  <c r="F416" i="1"/>
  <c r="G416" i="1"/>
  <c r="F408" i="1"/>
  <c r="G408" i="1"/>
  <c r="F400" i="1"/>
  <c r="G400" i="1"/>
  <c r="F392" i="1"/>
  <c r="G392" i="1"/>
  <c r="F384" i="1"/>
  <c r="G384" i="1"/>
  <c r="F376" i="1"/>
  <c r="G376" i="1"/>
  <c r="F368" i="1"/>
  <c r="G368" i="1"/>
  <c r="F360" i="1"/>
  <c r="G360" i="1"/>
  <c r="F352" i="1"/>
  <c r="G352" i="1"/>
  <c r="F344" i="1"/>
  <c r="G344" i="1"/>
  <c r="F336" i="1"/>
  <c r="G336" i="1"/>
  <c r="F328" i="1"/>
  <c r="G328" i="1"/>
  <c r="F320" i="1"/>
  <c r="G320" i="1"/>
  <c r="F312" i="1"/>
  <c r="G312" i="1"/>
  <c r="G8481" i="1"/>
  <c r="G8417" i="1"/>
  <c r="G8353" i="1"/>
  <c r="G8289" i="1"/>
  <c r="G8225" i="1"/>
  <c r="G8161" i="1"/>
  <c r="G8097" i="1"/>
  <c r="G5678" i="1"/>
  <c r="G5662" i="1"/>
  <c r="G5616" i="1"/>
  <c r="G5552" i="1"/>
  <c r="G5488" i="1"/>
  <c r="G5424" i="1"/>
  <c r="G5360" i="1"/>
  <c r="G5296" i="1"/>
  <c r="G5232" i="1"/>
  <c r="G5168" i="1"/>
  <c r="G5104" i="1"/>
  <c r="G5040" i="1"/>
  <c r="G4976" i="1"/>
  <c r="G4912" i="1"/>
  <c r="G4848" i="1"/>
  <c r="G4784" i="1"/>
  <c r="G4720" i="1"/>
  <c r="G4656" i="1"/>
  <c r="G4592" i="1"/>
  <c r="G4528" i="1"/>
  <c r="G4464" i="1"/>
  <c r="G4400" i="1"/>
  <c r="G4336" i="1"/>
  <c r="G4272" i="1"/>
  <c r="G4208" i="1"/>
  <c r="G4144" i="1"/>
  <c r="G4080" i="1"/>
  <c r="G4016" i="1"/>
  <c r="G3952" i="1"/>
  <c r="G3888" i="1"/>
  <c r="G3824" i="1"/>
  <c r="G3760" i="1"/>
  <c r="G3696" i="1"/>
  <c r="G3632" i="1"/>
  <c r="G3568" i="1"/>
  <c r="G3504" i="1"/>
  <c r="G3440" i="1"/>
  <c r="G3376" i="1"/>
  <c r="G3312" i="1"/>
  <c r="G3248" i="1"/>
  <c r="G3184" i="1"/>
  <c r="F5623" i="1"/>
  <c r="G5623" i="1"/>
  <c r="F5615" i="1"/>
  <c r="G5615" i="1"/>
  <c r="F5607" i="1"/>
  <c r="G5607" i="1"/>
  <c r="F5599" i="1"/>
  <c r="G5599" i="1"/>
  <c r="F5591" i="1"/>
  <c r="G5591" i="1"/>
  <c r="F5583" i="1"/>
  <c r="G5583" i="1"/>
  <c r="F5575" i="1"/>
  <c r="G5575" i="1"/>
  <c r="F5567" i="1"/>
  <c r="G5567" i="1"/>
  <c r="F5559" i="1"/>
  <c r="G5559" i="1"/>
  <c r="F5551" i="1"/>
  <c r="G5551" i="1"/>
  <c r="F5543" i="1"/>
  <c r="G5543" i="1"/>
  <c r="F5535" i="1"/>
  <c r="G5535" i="1"/>
  <c r="F5527" i="1"/>
  <c r="G5527" i="1"/>
  <c r="F5519" i="1"/>
  <c r="G5519" i="1"/>
  <c r="F5511" i="1"/>
  <c r="G5511" i="1"/>
  <c r="F5503" i="1"/>
  <c r="G5503" i="1"/>
  <c r="F5495" i="1"/>
  <c r="G5495" i="1"/>
  <c r="F5487" i="1"/>
  <c r="G5487" i="1"/>
  <c r="F5479" i="1"/>
  <c r="G5479" i="1"/>
  <c r="F5471" i="1"/>
  <c r="G5471" i="1"/>
  <c r="F5463" i="1"/>
  <c r="G5463" i="1"/>
  <c r="F5455" i="1"/>
  <c r="G5455" i="1"/>
  <c r="F5447" i="1"/>
  <c r="G5447" i="1"/>
  <c r="F5439" i="1"/>
  <c r="G5439" i="1"/>
  <c r="F5431" i="1"/>
  <c r="G5431" i="1"/>
  <c r="F5423" i="1"/>
  <c r="G5423" i="1"/>
  <c r="F5415" i="1"/>
  <c r="G5415" i="1"/>
  <c r="F5407" i="1"/>
  <c r="G5407" i="1"/>
  <c r="F5399" i="1"/>
  <c r="G5399" i="1"/>
  <c r="F5391" i="1"/>
  <c r="G5391" i="1"/>
  <c r="F5383" i="1"/>
  <c r="G5383" i="1"/>
  <c r="F5375" i="1"/>
  <c r="G5375" i="1"/>
  <c r="F5367" i="1"/>
  <c r="G5367" i="1"/>
  <c r="F5359" i="1"/>
  <c r="G5359" i="1"/>
  <c r="F5351" i="1"/>
  <c r="G5351" i="1"/>
  <c r="F5343" i="1"/>
  <c r="G5343" i="1"/>
  <c r="F5335" i="1"/>
  <c r="G5335" i="1"/>
  <c r="F5327" i="1"/>
  <c r="G5327" i="1"/>
  <c r="F5319" i="1"/>
  <c r="G5319" i="1"/>
  <c r="F5311" i="1"/>
  <c r="G5311" i="1"/>
  <c r="F5303" i="1"/>
  <c r="G5303" i="1"/>
  <c r="F5295" i="1"/>
  <c r="G5295" i="1"/>
  <c r="F5287" i="1"/>
  <c r="G5287" i="1"/>
  <c r="F5279" i="1"/>
  <c r="G5279" i="1"/>
  <c r="F5271" i="1"/>
  <c r="G5271" i="1"/>
  <c r="F5263" i="1"/>
  <c r="G5263" i="1"/>
  <c r="F5255" i="1"/>
  <c r="G5255" i="1"/>
  <c r="F5247" i="1"/>
  <c r="G5247" i="1"/>
  <c r="F5239" i="1"/>
  <c r="G5239" i="1"/>
  <c r="F5231" i="1"/>
  <c r="G5231" i="1"/>
  <c r="F5223" i="1"/>
  <c r="G5223" i="1"/>
  <c r="F5215" i="1"/>
  <c r="G5215" i="1"/>
  <c r="F5207" i="1"/>
  <c r="G5207" i="1"/>
  <c r="F5199" i="1"/>
  <c r="G5199" i="1"/>
  <c r="F5191" i="1"/>
  <c r="G5191" i="1"/>
  <c r="F5183" i="1"/>
  <c r="G5183" i="1"/>
  <c r="F5175" i="1"/>
  <c r="G5175" i="1"/>
  <c r="F5167" i="1"/>
  <c r="G5167" i="1"/>
  <c r="F5159" i="1"/>
  <c r="G5159" i="1"/>
  <c r="F5151" i="1"/>
  <c r="G5151" i="1"/>
  <c r="F5143" i="1"/>
  <c r="G5143" i="1"/>
  <c r="F5135" i="1"/>
  <c r="G5135" i="1"/>
  <c r="F5127" i="1"/>
  <c r="G5127" i="1"/>
  <c r="F5119" i="1"/>
  <c r="G5119" i="1"/>
  <c r="F5111" i="1"/>
  <c r="G5111" i="1"/>
  <c r="F5103" i="1"/>
  <c r="G5103" i="1"/>
  <c r="F5095" i="1"/>
  <c r="G5095" i="1"/>
  <c r="F5087" i="1"/>
  <c r="G5087" i="1"/>
  <c r="F5079" i="1"/>
  <c r="G5079" i="1"/>
  <c r="F5071" i="1"/>
  <c r="G5071" i="1"/>
  <c r="F5063" i="1"/>
  <c r="G5063" i="1"/>
  <c r="F5055" i="1"/>
  <c r="G5055" i="1"/>
  <c r="F5047" i="1"/>
  <c r="G5047" i="1"/>
  <c r="F5039" i="1"/>
  <c r="G5039" i="1"/>
  <c r="F5031" i="1"/>
  <c r="G5031" i="1"/>
  <c r="F5023" i="1"/>
  <c r="G5023" i="1"/>
  <c r="F5015" i="1"/>
  <c r="G5015" i="1"/>
  <c r="F5007" i="1"/>
  <c r="G5007" i="1"/>
  <c r="F4999" i="1"/>
  <c r="G4999" i="1"/>
  <c r="F4991" i="1"/>
  <c r="G4991" i="1"/>
  <c r="F4983" i="1"/>
  <c r="G4983" i="1"/>
  <c r="F4975" i="1"/>
  <c r="G4975" i="1"/>
  <c r="F4967" i="1"/>
  <c r="G4967" i="1"/>
  <c r="F4959" i="1"/>
  <c r="G4959" i="1"/>
  <c r="F4951" i="1"/>
  <c r="G4951" i="1"/>
  <c r="F4943" i="1"/>
  <c r="G4943" i="1"/>
  <c r="F4935" i="1"/>
  <c r="G4935" i="1"/>
  <c r="F4927" i="1"/>
  <c r="G4927" i="1"/>
  <c r="F4919" i="1"/>
  <c r="G4919" i="1"/>
  <c r="F4911" i="1"/>
  <c r="G4911" i="1"/>
  <c r="F4903" i="1"/>
  <c r="G4903" i="1"/>
  <c r="F4895" i="1"/>
  <c r="G4895" i="1"/>
  <c r="F4887" i="1"/>
  <c r="G4887" i="1"/>
  <c r="F4879" i="1"/>
  <c r="G4879" i="1"/>
  <c r="F4871" i="1"/>
  <c r="G4871" i="1"/>
  <c r="F4863" i="1"/>
  <c r="G4863" i="1"/>
  <c r="F4855" i="1"/>
  <c r="G4855" i="1"/>
  <c r="F4847" i="1"/>
  <c r="G4847" i="1"/>
  <c r="F4839" i="1"/>
  <c r="G4839" i="1"/>
  <c r="F4831" i="1"/>
  <c r="G4831" i="1"/>
  <c r="F4823" i="1"/>
  <c r="G4823" i="1"/>
  <c r="F4815" i="1"/>
  <c r="G4815" i="1"/>
  <c r="F4807" i="1"/>
  <c r="G4807" i="1"/>
  <c r="F4799" i="1"/>
  <c r="G4799" i="1"/>
  <c r="F4791" i="1"/>
  <c r="G4791" i="1"/>
  <c r="F4783" i="1"/>
  <c r="G4783" i="1"/>
  <c r="F4775" i="1"/>
  <c r="G4775" i="1"/>
  <c r="F4767" i="1"/>
  <c r="G4767" i="1"/>
  <c r="F4759" i="1"/>
  <c r="G4759" i="1"/>
  <c r="F4751" i="1"/>
  <c r="G4751" i="1"/>
  <c r="F4743" i="1"/>
  <c r="G4743" i="1"/>
  <c r="F4735" i="1"/>
  <c r="G4735" i="1"/>
  <c r="F4727" i="1"/>
  <c r="G4727" i="1"/>
  <c r="F4719" i="1"/>
  <c r="G4719" i="1"/>
  <c r="F4711" i="1"/>
  <c r="G4711" i="1"/>
  <c r="F4703" i="1"/>
  <c r="G4703" i="1"/>
  <c r="F4695" i="1"/>
  <c r="G4695" i="1"/>
  <c r="F4687" i="1"/>
  <c r="G4687" i="1"/>
  <c r="F4679" i="1"/>
  <c r="G4679" i="1"/>
  <c r="F4671" i="1"/>
  <c r="G4671" i="1"/>
  <c r="F4663" i="1"/>
  <c r="G4663" i="1"/>
  <c r="F4655" i="1"/>
  <c r="G4655" i="1"/>
  <c r="F4647" i="1"/>
  <c r="G4647" i="1"/>
  <c r="F4639" i="1"/>
  <c r="G4639" i="1"/>
  <c r="F4631" i="1"/>
  <c r="G4631" i="1"/>
  <c r="F4623" i="1"/>
  <c r="G4623" i="1"/>
  <c r="F4615" i="1"/>
  <c r="G4615" i="1"/>
  <c r="F4607" i="1"/>
  <c r="G4607" i="1"/>
  <c r="F4599" i="1"/>
  <c r="G4599" i="1"/>
  <c r="F4591" i="1"/>
  <c r="G4591" i="1"/>
  <c r="F4583" i="1"/>
  <c r="G4583" i="1"/>
  <c r="F4575" i="1"/>
  <c r="G4575" i="1"/>
  <c r="F4567" i="1"/>
  <c r="G4567" i="1"/>
  <c r="F4559" i="1"/>
  <c r="G4559" i="1"/>
  <c r="F4551" i="1"/>
  <c r="G4551" i="1"/>
  <c r="F4543" i="1"/>
  <c r="G4543" i="1"/>
  <c r="F4535" i="1"/>
  <c r="G4535" i="1"/>
  <c r="F4527" i="1"/>
  <c r="G4527" i="1"/>
  <c r="F4519" i="1"/>
  <c r="G4519" i="1"/>
  <c r="F4511" i="1"/>
  <c r="G4511" i="1"/>
  <c r="F4503" i="1"/>
  <c r="G4503" i="1"/>
  <c r="F4495" i="1"/>
  <c r="G4495" i="1"/>
  <c r="F4487" i="1"/>
  <c r="G4487" i="1"/>
  <c r="F4479" i="1"/>
  <c r="G4479" i="1"/>
  <c r="F4471" i="1"/>
  <c r="G4471" i="1"/>
  <c r="F4463" i="1"/>
  <c r="G4463" i="1"/>
  <c r="F4455" i="1"/>
  <c r="G4455" i="1"/>
  <c r="F4447" i="1"/>
  <c r="G4447" i="1"/>
  <c r="F4439" i="1"/>
  <c r="G4439" i="1"/>
  <c r="F4431" i="1"/>
  <c r="G4431" i="1"/>
  <c r="F4423" i="1"/>
  <c r="G4423" i="1"/>
  <c r="F4415" i="1"/>
  <c r="G4415" i="1"/>
  <c r="F4407" i="1"/>
  <c r="G4407" i="1"/>
  <c r="F4399" i="1"/>
  <c r="G4399" i="1"/>
  <c r="F4391" i="1"/>
  <c r="G4391" i="1"/>
  <c r="F4383" i="1"/>
  <c r="G4383" i="1"/>
  <c r="F4375" i="1"/>
  <c r="G4375" i="1"/>
  <c r="F4367" i="1"/>
  <c r="G4367" i="1"/>
  <c r="F4359" i="1"/>
  <c r="G4359" i="1"/>
  <c r="F4351" i="1"/>
  <c r="G4351" i="1"/>
  <c r="F4343" i="1"/>
  <c r="G4343" i="1"/>
  <c r="F4335" i="1"/>
  <c r="G4335" i="1"/>
  <c r="F4327" i="1"/>
  <c r="G4327" i="1"/>
  <c r="F4319" i="1"/>
  <c r="G4319" i="1"/>
  <c r="F4311" i="1"/>
  <c r="G4311" i="1"/>
  <c r="F4303" i="1"/>
  <c r="G4303" i="1"/>
  <c r="F4295" i="1"/>
  <c r="G4295" i="1"/>
  <c r="F4287" i="1"/>
  <c r="G4287" i="1"/>
  <c r="F4279" i="1"/>
  <c r="G4279" i="1"/>
  <c r="F4271" i="1"/>
  <c r="G4271" i="1"/>
  <c r="F4263" i="1"/>
  <c r="G4263" i="1"/>
  <c r="F4255" i="1"/>
  <c r="G4255" i="1"/>
  <c r="F4247" i="1"/>
  <c r="G4247" i="1"/>
  <c r="F4239" i="1"/>
  <c r="G4239" i="1"/>
  <c r="F4231" i="1"/>
  <c r="G4231" i="1"/>
  <c r="F4223" i="1"/>
  <c r="G4223" i="1"/>
  <c r="F4215" i="1"/>
  <c r="G4215" i="1"/>
  <c r="F4207" i="1"/>
  <c r="G4207" i="1"/>
  <c r="F4199" i="1"/>
  <c r="G4199" i="1"/>
  <c r="F4191" i="1"/>
  <c r="G4191" i="1"/>
  <c r="F4183" i="1"/>
  <c r="G4183" i="1"/>
  <c r="F4175" i="1"/>
  <c r="G4175" i="1"/>
  <c r="F4167" i="1"/>
  <c r="G4167" i="1"/>
  <c r="F4159" i="1"/>
  <c r="G4159" i="1"/>
  <c r="F4151" i="1"/>
  <c r="G4151" i="1"/>
  <c r="F4143" i="1"/>
  <c r="G4143" i="1"/>
  <c r="F4135" i="1"/>
  <c r="G4135" i="1"/>
  <c r="F4127" i="1"/>
  <c r="G4127" i="1"/>
  <c r="F4119" i="1"/>
  <c r="G4119" i="1"/>
  <c r="F4111" i="1"/>
  <c r="G4111" i="1"/>
  <c r="F4103" i="1"/>
  <c r="G4103" i="1"/>
  <c r="F4095" i="1"/>
  <c r="G4095" i="1"/>
  <c r="F4087" i="1"/>
  <c r="G4087" i="1"/>
  <c r="F4079" i="1"/>
  <c r="G4079" i="1"/>
  <c r="F4071" i="1"/>
  <c r="G4071" i="1"/>
  <c r="F4063" i="1"/>
  <c r="G4063" i="1"/>
  <c r="F4055" i="1"/>
  <c r="G4055" i="1"/>
  <c r="F4047" i="1"/>
  <c r="G4047" i="1"/>
  <c r="F4039" i="1"/>
  <c r="G4039" i="1"/>
  <c r="F4031" i="1"/>
  <c r="G4031" i="1"/>
  <c r="F4023" i="1"/>
  <c r="G4023" i="1"/>
  <c r="F4015" i="1"/>
  <c r="G4015" i="1"/>
  <c r="F4007" i="1"/>
  <c r="G4007" i="1"/>
  <c r="F3999" i="1"/>
  <c r="G3999" i="1"/>
  <c r="F3991" i="1"/>
  <c r="G3991" i="1"/>
  <c r="F3983" i="1"/>
  <c r="G3983" i="1"/>
  <c r="F3975" i="1"/>
  <c r="G3975" i="1"/>
  <c r="F3967" i="1"/>
  <c r="G3967" i="1"/>
  <c r="F3959" i="1"/>
  <c r="G3959" i="1"/>
  <c r="F3951" i="1"/>
  <c r="G3951" i="1"/>
  <c r="F3943" i="1"/>
  <c r="G3943" i="1"/>
  <c r="F3935" i="1"/>
  <c r="G3935" i="1"/>
  <c r="F3927" i="1"/>
  <c r="G3927" i="1"/>
  <c r="F3919" i="1"/>
  <c r="G3919" i="1"/>
  <c r="F3911" i="1"/>
  <c r="G3911" i="1"/>
  <c r="F3903" i="1"/>
  <c r="G3903" i="1"/>
  <c r="F3895" i="1"/>
  <c r="G3895" i="1"/>
  <c r="F3887" i="1"/>
  <c r="G3887" i="1"/>
  <c r="F3879" i="1"/>
  <c r="G3879" i="1"/>
  <c r="F3871" i="1"/>
  <c r="G3871" i="1"/>
  <c r="F3863" i="1"/>
  <c r="G3863" i="1"/>
  <c r="F3855" i="1"/>
  <c r="G3855" i="1"/>
  <c r="F3847" i="1"/>
  <c r="G3847" i="1"/>
  <c r="F3839" i="1"/>
  <c r="G3839" i="1"/>
  <c r="F3831" i="1"/>
  <c r="G3831" i="1"/>
  <c r="F3823" i="1"/>
  <c r="G3823" i="1"/>
  <c r="F3815" i="1"/>
  <c r="G3815" i="1"/>
  <c r="F3807" i="1"/>
  <c r="G3807" i="1"/>
  <c r="F3799" i="1"/>
  <c r="G3799" i="1"/>
  <c r="F3791" i="1"/>
  <c r="G3791" i="1"/>
  <c r="F3783" i="1"/>
  <c r="G3783" i="1"/>
  <c r="F3775" i="1"/>
  <c r="G3775" i="1"/>
  <c r="F3767" i="1"/>
  <c r="G3767" i="1"/>
  <c r="F3759" i="1"/>
  <c r="G3759" i="1"/>
  <c r="F3751" i="1"/>
  <c r="G3751" i="1"/>
  <c r="F3743" i="1"/>
  <c r="G3743" i="1"/>
  <c r="F3735" i="1"/>
  <c r="G3735" i="1"/>
  <c r="F3727" i="1"/>
  <c r="G3727" i="1"/>
  <c r="F3719" i="1"/>
  <c r="G3719" i="1"/>
  <c r="F3711" i="1"/>
  <c r="G3711" i="1"/>
  <c r="F3703" i="1"/>
  <c r="G3703" i="1"/>
  <c r="F3695" i="1"/>
  <c r="G3695" i="1"/>
  <c r="F3687" i="1"/>
  <c r="G3687" i="1"/>
  <c r="F3679" i="1"/>
  <c r="G3679" i="1"/>
  <c r="F3671" i="1"/>
  <c r="G3671" i="1"/>
  <c r="F3663" i="1"/>
  <c r="G3663" i="1"/>
  <c r="F3655" i="1"/>
  <c r="G3655" i="1"/>
  <c r="F3647" i="1"/>
  <c r="G3647" i="1"/>
  <c r="F3639" i="1"/>
  <c r="G3639" i="1"/>
  <c r="F3631" i="1"/>
  <c r="G3631" i="1"/>
  <c r="F3623" i="1"/>
  <c r="G3623" i="1"/>
  <c r="F3615" i="1"/>
  <c r="G3615" i="1"/>
  <c r="F3607" i="1"/>
  <c r="G3607" i="1"/>
  <c r="F3599" i="1"/>
  <c r="G3599" i="1"/>
  <c r="F3591" i="1"/>
  <c r="G3591" i="1"/>
  <c r="F3583" i="1"/>
  <c r="G3583" i="1"/>
  <c r="F3575" i="1"/>
  <c r="G3575" i="1"/>
  <c r="F3567" i="1"/>
  <c r="G3567" i="1"/>
  <c r="F3559" i="1"/>
  <c r="G3559" i="1"/>
  <c r="F3551" i="1"/>
  <c r="G3551" i="1"/>
  <c r="F3543" i="1"/>
  <c r="G3543" i="1"/>
  <c r="F3535" i="1"/>
  <c r="G3535" i="1"/>
  <c r="F3527" i="1"/>
  <c r="G3527" i="1"/>
  <c r="F3519" i="1"/>
  <c r="G3519" i="1"/>
  <c r="F3511" i="1"/>
  <c r="G3511" i="1"/>
  <c r="F3503" i="1"/>
  <c r="G3503" i="1"/>
  <c r="F3495" i="1"/>
  <c r="G3495" i="1"/>
  <c r="F3487" i="1"/>
  <c r="G3487" i="1"/>
  <c r="F3479" i="1"/>
  <c r="G3479" i="1"/>
  <c r="F3471" i="1"/>
  <c r="G3471" i="1"/>
  <c r="F3463" i="1"/>
  <c r="G3463" i="1"/>
  <c r="F3455" i="1"/>
  <c r="G3455" i="1"/>
  <c r="F3447" i="1"/>
  <c r="G3447" i="1"/>
  <c r="F3439" i="1"/>
  <c r="G3439" i="1"/>
  <c r="F3431" i="1"/>
  <c r="G3431" i="1"/>
  <c r="F3423" i="1"/>
  <c r="G3423" i="1"/>
  <c r="F3415" i="1"/>
  <c r="G3415" i="1"/>
  <c r="F3407" i="1"/>
  <c r="G3407" i="1"/>
  <c r="F3399" i="1"/>
  <c r="G3399" i="1"/>
  <c r="F3391" i="1"/>
  <c r="G3391" i="1"/>
  <c r="F3383" i="1"/>
  <c r="G3383" i="1"/>
  <c r="F3375" i="1"/>
  <c r="G3375" i="1"/>
  <c r="F3367" i="1"/>
  <c r="G3367" i="1"/>
  <c r="F3359" i="1"/>
  <c r="G3359" i="1"/>
  <c r="F3351" i="1"/>
  <c r="G3351" i="1"/>
  <c r="F3343" i="1"/>
  <c r="G3343" i="1"/>
  <c r="F3335" i="1"/>
  <c r="G3335" i="1"/>
  <c r="F3327" i="1"/>
  <c r="G3327" i="1"/>
  <c r="F3319" i="1"/>
  <c r="G3319" i="1"/>
  <c r="F3311" i="1"/>
  <c r="G3311" i="1"/>
  <c r="F3303" i="1"/>
  <c r="G3303" i="1"/>
  <c r="F3295" i="1"/>
  <c r="G3295" i="1"/>
  <c r="F3287" i="1"/>
  <c r="G3287" i="1"/>
  <c r="F3279" i="1"/>
  <c r="G3279" i="1"/>
  <c r="F3271" i="1"/>
  <c r="G3271" i="1"/>
  <c r="F3263" i="1"/>
  <c r="G3263" i="1"/>
  <c r="F3255" i="1"/>
  <c r="G3255" i="1"/>
  <c r="F3247" i="1"/>
  <c r="G3247" i="1"/>
  <c r="F3239" i="1"/>
  <c r="G3239" i="1"/>
  <c r="F3231" i="1"/>
  <c r="G3231" i="1"/>
  <c r="F3223" i="1"/>
  <c r="G3223" i="1"/>
  <c r="F3215" i="1"/>
  <c r="G3215" i="1"/>
  <c r="F3207" i="1"/>
  <c r="G3207" i="1"/>
  <c r="F3199" i="1"/>
  <c r="G3199" i="1"/>
  <c r="F3191" i="1"/>
  <c r="G3191" i="1"/>
  <c r="F3183" i="1"/>
  <c r="G3183" i="1"/>
  <c r="F3175" i="1"/>
  <c r="G3175" i="1"/>
  <c r="F3167" i="1"/>
  <c r="G3167" i="1"/>
  <c r="F3159" i="1"/>
  <c r="G3159" i="1"/>
  <c r="F3151" i="1"/>
  <c r="G3151" i="1"/>
  <c r="F3143" i="1"/>
  <c r="G3143" i="1"/>
  <c r="F3135" i="1"/>
  <c r="G3135" i="1"/>
  <c r="F3127" i="1"/>
  <c r="G3127" i="1"/>
  <c r="F3119" i="1"/>
  <c r="G3119" i="1"/>
  <c r="F3111" i="1"/>
  <c r="G3111" i="1"/>
  <c r="F3103" i="1"/>
  <c r="G3103" i="1"/>
  <c r="F3095" i="1"/>
  <c r="G3095" i="1"/>
  <c r="F3087" i="1"/>
  <c r="G3087" i="1"/>
  <c r="F3079" i="1"/>
  <c r="G3079" i="1"/>
  <c r="F3071" i="1"/>
  <c r="G3071" i="1"/>
  <c r="F3063" i="1"/>
  <c r="G3063" i="1"/>
  <c r="F3055" i="1"/>
  <c r="G3055" i="1"/>
  <c r="F3047" i="1"/>
  <c r="G3047" i="1"/>
  <c r="F3039" i="1"/>
  <c r="G3039" i="1"/>
  <c r="F3031" i="1"/>
  <c r="G3031" i="1"/>
  <c r="F3023" i="1"/>
  <c r="G3023" i="1"/>
  <c r="F3015" i="1"/>
  <c r="G3015" i="1"/>
  <c r="F3007" i="1"/>
  <c r="G3007" i="1"/>
  <c r="F2999" i="1"/>
  <c r="G2999" i="1"/>
  <c r="F2991" i="1"/>
  <c r="G2991" i="1"/>
  <c r="F2983" i="1"/>
  <c r="G2983" i="1"/>
  <c r="F2975" i="1"/>
  <c r="G2975" i="1"/>
  <c r="F2967" i="1"/>
  <c r="G2967" i="1"/>
  <c r="F2959" i="1"/>
  <c r="G2959" i="1"/>
  <c r="F2951" i="1"/>
  <c r="G2951" i="1"/>
  <c r="F2943" i="1"/>
  <c r="G2943" i="1"/>
  <c r="F2935" i="1"/>
  <c r="G2935" i="1"/>
  <c r="F2927" i="1"/>
  <c r="G2927" i="1"/>
  <c r="F2919" i="1"/>
  <c r="G2919" i="1"/>
  <c r="F2911" i="1"/>
  <c r="G2911" i="1"/>
  <c r="F2903" i="1"/>
  <c r="G2903" i="1"/>
  <c r="F2895" i="1"/>
  <c r="G2895" i="1"/>
  <c r="F2887" i="1"/>
  <c r="G2887" i="1"/>
  <c r="F2879" i="1"/>
  <c r="G2879" i="1"/>
  <c r="F2871" i="1"/>
  <c r="G2871" i="1"/>
  <c r="F2863" i="1"/>
  <c r="G2863" i="1"/>
  <c r="F2855" i="1"/>
  <c r="G2855" i="1"/>
  <c r="F2847" i="1"/>
  <c r="G2847" i="1"/>
  <c r="F2839" i="1"/>
  <c r="G2839" i="1"/>
  <c r="F2831" i="1"/>
  <c r="G2831" i="1"/>
  <c r="F2823" i="1"/>
  <c r="G2823" i="1"/>
  <c r="F2815" i="1"/>
  <c r="G2815" i="1"/>
  <c r="F2807" i="1"/>
  <c r="G2807" i="1"/>
  <c r="F2799" i="1"/>
  <c r="G2799" i="1"/>
  <c r="F2791" i="1"/>
  <c r="G2791" i="1"/>
  <c r="F2783" i="1"/>
  <c r="G2783" i="1"/>
  <c r="F2775" i="1"/>
  <c r="G2775" i="1"/>
  <c r="F2767" i="1"/>
  <c r="G2767" i="1"/>
  <c r="F2759" i="1"/>
  <c r="G2759" i="1"/>
  <c r="F2751" i="1"/>
  <c r="G2751" i="1"/>
  <c r="F2743" i="1"/>
  <c r="G2743" i="1"/>
  <c r="F2735" i="1"/>
  <c r="G2735" i="1"/>
  <c r="F2727" i="1"/>
  <c r="G2727" i="1"/>
  <c r="F2719" i="1"/>
  <c r="G2719" i="1"/>
  <c r="F2711" i="1"/>
  <c r="G2711" i="1"/>
  <c r="F2703" i="1"/>
  <c r="G2703" i="1"/>
  <c r="F2695" i="1"/>
  <c r="G2695" i="1"/>
  <c r="F2687" i="1"/>
  <c r="G2687" i="1"/>
  <c r="F2679" i="1"/>
  <c r="G2679" i="1"/>
  <c r="F2671" i="1"/>
  <c r="G2671" i="1"/>
  <c r="F2663" i="1"/>
  <c r="G2663" i="1"/>
  <c r="F2655" i="1"/>
  <c r="G2655" i="1"/>
  <c r="F2647" i="1"/>
  <c r="G2647" i="1"/>
  <c r="F2639" i="1"/>
  <c r="G2639" i="1"/>
  <c r="F2631" i="1"/>
  <c r="G2631" i="1"/>
  <c r="F2623" i="1"/>
  <c r="G2623" i="1"/>
  <c r="F2615" i="1"/>
  <c r="G2615" i="1"/>
  <c r="F2607" i="1"/>
  <c r="G2607" i="1"/>
  <c r="F2599" i="1"/>
  <c r="G2599" i="1"/>
  <c r="F2591" i="1"/>
  <c r="G2591" i="1"/>
  <c r="F2583" i="1"/>
  <c r="G2583" i="1"/>
  <c r="F2575" i="1"/>
  <c r="G2575" i="1"/>
  <c r="F2567" i="1"/>
  <c r="G2567" i="1"/>
  <c r="F2559" i="1"/>
  <c r="G2559" i="1"/>
  <c r="F2551" i="1"/>
  <c r="G2551" i="1"/>
  <c r="F2543" i="1"/>
  <c r="G2543" i="1"/>
  <c r="F2535" i="1"/>
  <c r="G2535" i="1"/>
  <c r="F2527" i="1"/>
  <c r="G2527" i="1"/>
  <c r="F2519" i="1"/>
  <c r="G2519" i="1"/>
  <c r="F2511" i="1"/>
  <c r="G2511" i="1"/>
  <c r="F2503" i="1"/>
  <c r="G2503" i="1"/>
  <c r="F2495" i="1"/>
  <c r="G2495" i="1"/>
  <c r="F2487" i="1"/>
  <c r="G2487" i="1"/>
  <c r="F2479" i="1"/>
  <c r="G2479" i="1"/>
  <c r="F2471" i="1"/>
  <c r="G2471" i="1"/>
  <c r="F2463" i="1"/>
  <c r="G2463" i="1"/>
  <c r="F2455" i="1"/>
  <c r="G2455" i="1"/>
  <c r="F2447" i="1"/>
  <c r="G2447" i="1"/>
  <c r="F2439" i="1"/>
  <c r="G2439" i="1"/>
  <c r="F2431" i="1"/>
  <c r="G2431" i="1"/>
  <c r="F2423" i="1"/>
  <c r="G2423" i="1"/>
  <c r="F2415" i="1"/>
  <c r="G2415" i="1"/>
  <c r="F2407" i="1"/>
  <c r="G2407" i="1"/>
  <c r="F2399" i="1"/>
  <c r="G2399" i="1"/>
  <c r="F2391" i="1"/>
  <c r="G2391" i="1"/>
  <c r="F2383" i="1"/>
  <c r="G2383" i="1"/>
  <c r="F2375" i="1"/>
  <c r="G2375" i="1"/>
  <c r="F2367" i="1"/>
  <c r="G2367" i="1"/>
  <c r="F2359" i="1"/>
  <c r="G2359" i="1"/>
  <c r="F2351" i="1"/>
  <c r="G2351" i="1"/>
  <c r="F2343" i="1"/>
  <c r="G2343" i="1"/>
  <c r="F2335" i="1"/>
  <c r="G2335" i="1"/>
  <c r="F2327" i="1"/>
  <c r="G2327" i="1"/>
  <c r="F2319" i="1"/>
  <c r="G2319" i="1"/>
  <c r="F2311" i="1"/>
  <c r="G2311" i="1"/>
  <c r="F2303" i="1"/>
  <c r="G2303" i="1"/>
  <c r="F2295" i="1"/>
  <c r="G2295" i="1"/>
  <c r="F2287" i="1"/>
  <c r="G2287" i="1"/>
  <c r="F2279" i="1"/>
  <c r="G2279" i="1"/>
  <c r="F2271" i="1"/>
  <c r="G2271" i="1"/>
  <c r="F2263" i="1"/>
  <c r="G2263" i="1"/>
  <c r="F2255" i="1"/>
  <c r="G2255" i="1"/>
  <c r="F2247" i="1"/>
  <c r="G2247" i="1"/>
  <c r="F2239" i="1"/>
  <c r="G2239" i="1"/>
  <c r="F2231" i="1"/>
  <c r="G2231" i="1"/>
  <c r="F2223" i="1"/>
  <c r="G2223" i="1"/>
  <c r="F2215" i="1"/>
  <c r="G2215" i="1"/>
  <c r="F2207" i="1"/>
  <c r="G2207" i="1"/>
  <c r="F2199" i="1"/>
  <c r="G2199" i="1"/>
  <c r="F2191" i="1"/>
  <c r="G2191" i="1"/>
  <c r="F2183" i="1"/>
  <c r="G2183" i="1"/>
  <c r="F2175" i="1"/>
  <c r="G2175" i="1"/>
  <c r="F2167" i="1"/>
  <c r="G2167" i="1"/>
  <c r="F2159" i="1"/>
  <c r="G2159" i="1"/>
  <c r="F2151" i="1"/>
  <c r="G2151" i="1"/>
  <c r="F2143" i="1"/>
  <c r="G2143" i="1"/>
  <c r="F2135" i="1"/>
  <c r="G2135" i="1"/>
  <c r="F2127" i="1"/>
  <c r="G2127" i="1"/>
  <c r="F2119" i="1"/>
  <c r="G2119" i="1"/>
  <c r="F2111" i="1"/>
  <c r="G2111" i="1"/>
  <c r="F2103" i="1"/>
  <c r="G2103" i="1"/>
  <c r="F2095" i="1"/>
  <c r="G2095" i="1"/>
  <c r="F2087" i="1"/>
  <c r="G2087" i="1"/>
  <c r="F2079" i="1"/>
  <c r="G2079" i="1"/>
  <c r="F2071" i="1"/>
  <c r="G2071" i="1"/>
  <c r="F2063" i="1"/>
  <c r="G2063" i="1"/>
  <c r="F2055" i="1"/>
  <c r="G2055" i="1"/>
  <c r="F2047" i="1"/>
  <c r="G2047" i="1"/>
  <c r="F2039" i="1"/>
  <c r="G2039" i="1"/>
  <c r="F2031" i="1"/>
  <c r="G2031" i="1"/>
  <c r="F2023" i="1"/>
  <c r="G2023" i="1"/>
  <c r="F2015" i="1"/>
  <c r="G2015" i="1"/>
  <c r="F2007" i="1"/>
  <c r="G2007" i="1"/>
  <c r="F1999" i="1"/>
  <c r="G1999" i="1"/>
  <c r="F1991" i="1"/>
  <c r="G1991" i="1"/>
  <c r="F1983" i="1"/>
  <c r="G1983" i="1"/>
  <c r="F1975" i="1"/>
  <c r="G1975" i="1"/>
  <c r="F1967" i="1"/>
  <c r="G1967" i="1"/>
  <c r="F1959" i="1"/>
  <c r="G1959" i="1"/>
  <c r="F1951" i="1"/>
  <c r="G1951" i="1"/>
  <c r="F1943" i="1"/>
  <c r="G1943" i="1"/>
  <c r="F1935" i="1"/>
  <c r="G1935" i="1"/>
  <c r="F1927" i="1"/>
  <c r="G1927" i="1"/>
  <c r="F1919" i="1"/>
  <c r="G1919" i="1"/>
  <c r="F1911" i="1"/>
  <c r="G1911" i="1"/>
  <c r="F1903" i="1"/>
  <c r="G1903" i="1"/>
  <c r="F1895" i="1"/>
  <c r="G1895" i="1"/>
  <c r="F1887" i="1"/>
  <c r="G1887" i="1"/>
  <c r="F1879" i="1"/>
  <c r="G1879" i="1"/>
  <c r="F1871" i="1"/>
  <c r="G1871" i="1"/>
  <c r="F1863" i="1"/>
  <c r="G1863" i="1"/>
  <c r="F1855" i="1"/>
  <c r="G1855" i="1"/>
  <c r="F1847" i="1"/>
  <c r="G1847" i="1"/>
  <c r="F1839" i="1"/>
  <c r="G1839" i="1"/>
  <c r="F1831" i="1"/>
  <c r="G1831" i="1"/>
  <c r="F1823" i="1"/>
  <c r="G1823" i="1"/>
  <c r="F1815" i="1"/>
  <c r="G1815" i="1"/>
  <c r="F1807" i="1"/>
  <c r="G1807" i="1"/>
  <c r="F1799" i="1"/>
  <c r="G1799" i="1"/>
  <c r="F1791" i="1"/>
  <c r="G1791" i="1"/>
  <c r="F1783" i="1"/>
  <c r="G1783" i="1"/>
  <c r="F1775" i="1"/>
  <c r="G1775" i="1"/>
  <c r="F1767" i="1"/>
  <c r="G1767" i="1"/>
  <c r="F1759" i="1"/>
  <c r="G1759" i="1"/>
  <c r="F1751" i="1"/>
  <c r="G1751" i="1"/>
  <c r="F1743" i="1"/>
  <c r="G1743" i="1"/>
  <c r="F1735" i="1"/>
  <c r="G1735" i="1"/>
  <c r="F1727" i="1"/>
  <c r="G1727" i="1"/>
  <c r="F1719" i="1"/>
  <c r="G1719" i="1"/>
  <c r="F1711" i="1"/>
  <c r="G1711" i="1"/>
  <c r="F1703" i="1"/>
  <c r="G1703" i="1"/>
  <c r="F1695" i="1"/>
  <c r="G1695" i="1"/>
  <c r="F1687" i="1"/>
  <c r="G1687" i="1"/>
  <c r="F1679" i="1"/>
  <c r="G1679" i="1"/>
  <c r="F1671" i="1"/>
  <c r="G1671" i="1"/>
  <c r="F1663" i="1"/>
  <c r="G1663" i="1"/>
  <c r="F1655" i="1"/>
  <c r="G1655" i="1"/>
  <c r="F1647" i="1"/>
  <c r="G1647" i="1"/>
  <c r="F1639" i="1"/>
  <c r="G1639" i="1"/>
  <c r="F1631" i="1"/>
  <c r="G1631" i="1"/>
  <c r="F1623" i="1"/>
  <c r="G1623" i="1"/>
  <c r="F1615" i="1"/>
  <c r="G1615" i="1"/>
  <c r="F1607" i="1"/>
  <c r="G1607" i="1"/>
  <c r="F1599" i="1"/>
  <c r="G1599" i="1"/>
  <c r="F1591" i="1"/>
  <c r="G1591" i="1"/>
  <c r="F1583" i="1"/>
  <c r="G1583" i="1"/>
  <c r="F1575" i="1"/>
  <c r="G1575" i="1"/>
  <c r="F1567" i="1"/>
  <c r="G1567" i="1"/>
  <c r="F1559" i="1"/>
  <c r="G1559" i="1"/>
  <c r="F1551" i="1"/>
  <c r="G1551" i="1"/>
  <c r="F1543" i="1"/>
  <c r="G1543" i="1"/>
  <c r="F1535" i="1"/>
  <c r="G1535" i="1"/>
  <c r="F1527" i="1"/>
  <c r="G1527" i="1"/>
  <c r="F1519" i="1"/>
  <c r="G1519" i="1"/>
  <c r="F1511" i="1"/>
  <c r="G1511" i="1"/>
  <c r="F1503" i="1"/>
  <c r="G1503" i="1"/>
  <c r="F1495" i="1"/>
  <c r="G1495" i="1"/>
  <c r="F1487" i="1"/>
  <c r="G1487" i="1"/>
  <c r="F1479" i="1"/>
  <c r="G1479" i="1"/>
  <c r="F1471" i="1"/>
  <c r="G1471" i="1"/>
  <c r="F1463" i="1"/>
  <c r="G1463" i="1"/>
  <c r="F1455" i="1"/>
  <c r="G1455" i="1"/>
  <c r="F1447" i="1"/>
  <c r="G1447" i="1"/>
  <c r="F1439" i="1"/>
  <c r="G1439" i="1"/>
  <c r="F1431" i="1"/>
  <c r="G1431" i="1"/>
  <c r="F1423" i="1"/>
  <c r="G1423" i="1"/>
  <c r="F1415" i="1"/>
  <c r="G1415" i="1"/>
  <c r="F1407" i="1"/>
  <c r="G1407" i="1"/>
  <c r="F1399" i="1"/>
  <c r="G1399" i="1"/>
  <c r="F1391" i="1"/>
  <c r="G1391" i="1"/>
  <c r="F1383" i="1"/>
  <c r="G1383" i="1"/>
  <c r="F1375" i="1"/>
  <c r="G1375" i="1"/>
  <c r="F1367" i="1"/>
  <c r="G1367" i="1"/>
  <c r="F1359" i="1"/>
  <c r="G1359" i="1"/>
  <c r="F1351" i="1"/>
  <c r="G1351" i="1"/>
  <c r="F1343" i="1"/>
  <c r="G1343" i="1"/>
  <c r="F1335" i="1"/>
  <c r="G1335" i="1"/>
  <c r="F1327" i="1"/>
  <c r="G1327" i="1"/>
  <c r="F1319" i="1"/>
  <c r="G1319" i="1"/>
  <c r="F1311" i="1"/>
  <c r="G1311" i="1"/>
  <c r="F1303" i="1"/>
  <c r="G1303" i="1"/>
  <c r="F1295" i="1"/>
  <c r="G1295" i="1"/>
  <c r="F1287" i="1"/>
  <c r="G1287" i="1"/>
  <c r="F1279" i="1"/>
  <c r="G1279" i="1"/>
  <c r="F1271" i="1"/>
  <c r="G1271" i="1"/>
  <c r="F1263" i="1"/>
  <c r="G1263" i="1"/>
  <c r="F1255" i="1"/>
  <c r="G1255" i="1"/>
  <c r="F1247" i="1"/>
  <c r="G1247" i="1"/>
  <c r="F1239" i="1"/>
  <c r="G1239" i="1"/>
  <c r="F1231" i="1"/>
  <c r="G1231" i="1"/>
  <c r="F1223" i="1"/>
  <c r="G1223" i="1"/>
  <c r="F1215" i="1"/>
  <c r="G1215" i="1"/>
  <c r="F1207" i="1"/>
  <c r="G1207" i="1"/>
  <c r="F1199" i="1"/>
  <c r="G1199" i="1"/>
  <c r="F1191" i="1"/>
  <c r="G1191" i="1"/>
  <c r="F1183" i="1"/>
  <c r="G1183" i="1"/>
  <c r="F1175" i="1"/>
  <c r="G1175" i="1"/>
  <c r="F1167" i="1"/>
  <c r="G1167" i="1"/>
  <c r="F1159" i="1"/>
  <c r="G1159" i="1"/>
  <c r="F1151" i="1"/>
  <c r="G1151" i="1"/>
  <c r="F1143" i="1"/>
  <c r="G1143" i="1"/>
  <c r="F1135" i="1"/>
  <c r="G1135" i="1"/>
  <c r="F1127" i="1"/>
  <c r="G1127" i="1"/>
  <c r="F1119" i="1"/>
  <c r="G1119" i="1"/>
  <c r="F1111" i="1"/>
  <c r="G1111" i="1"/>
  <c r="F1103" i="1"/>
  <c r="G1103" i="1"/>
  <c r="F1095" i="1"/>
  <c r="G1095" i="1"/>
  <c r="F1087" i="1"/>
  <c r="G1087" i="1"/>
  <c r="F1079" i="1"/>
  <c r="G1079" i="1"/>
  <c r="F1071" i="1"/>
  <c r="G1071" i="1"/>
  <c r="F1063" i="1"/>
  <c r="G1063" i="1"/>
  <c r="F1055" i="1"/>
  <c r="G1055" i="1"/>
  <c r="F1047" i="1"/>
  <c r="G1047" i="1"/>
  <c r="F1039" i="1"/>
  <c r="G1039" i="1"/>
  <c r="F1031" i="1"/>
  <c r="G1031" i="1"/>
  <c r="F1023" i="1"/>
  <c r="G1023" i="1"/>
  <c r="F1015" i="1"/>
  <c r="G1015" i="1"/>
  <c r="F1007" i="1"/>
  <c r="G1007" i="1"/>
  <c r="F999" i="1"/>
  <c r="G999" i="1"/>
  <c r="F991" i="1"/>
  <c r="G991" i="1"/>
  <c r="F983" i="1"/>
  <c r="G983" i="1"/>
  <c r="F975" i="1"/>
  <c r="G975" i="1"/>
  <c r="F967" i="1"/>
  <c r="G967" i="1"/>
  <c r="F959" i="1"/>
  <c r="G959" i="1"/>
  <c r="F951" i="1"/>
  <c r="G951" i="1"/>
  <c r="F943" i="1"/>
  <c r="G943" i="1"/>
  <c r="F935" i="1"/>
  <c r="G935" i="1"/>
  <c r="F927" i="1"/>
  <c r="G927" i="1"/>
  <c r="F919" i="1"/>
  <c r="G919" i="1"/>
  <c r="F911" i="1"/>
  <c r="G911" i="1"/>
  <c r="F903" i="1"/>
  <c r="G903" i="1"/>
  <c r="F895" i="1"/>
  <c r="G895" i="1"/>
  <c r="F887" i="1"/>
  <c r="G887" i="1"/>
  <c r="F879" i="1"/>
  <c r="G879" i="1"/>
  <c r="F871" i="1"/>
  <c r="G871" i="1"/>
  <c r="F863" i="1"/>
  <c r="G863" i="1"/>
  <c r="F855" i="1"/>
  <c r="G855" i="1"/>
  <c r="F847" i="1"/>
  <c r="G847" i="1"/>
  <c r="F839" i="1"/>
  <c r="G839" i="1"/>
  <c r="F831" i="1"/>
  <c r="G831" i="1"/>
  <c r="F823" i="1"/>
  <c r="G823" i="1"/>
  <c r="F815" i="1"/>
  <c r="G815" i="1"/>
  <c r="F807" i="1"/>
  <c r="G807" i="1"/>
  <c r="F799" i="1"/>
  <c r="G799" i="1"/>
  <c r="F791" i="1"/>
  <c r="G791" i="1"/>
  <c r="F783" i="1"/>
  <c r="G783" i="1"/>
  <c r="F775" i="1"/>
  <c r="G775" i="1"/>
  <c r="F767" i="1"/>
  <c r="G767" i="1"/>
  <c r="F759" i="1"/>
  <c r="G759" i="1"/>
  <c r="F751" i="1"/>
  <c r="G751" i="1"/>
  <c r="F743" i="1"/>
  <c r="G743" i="1"/>
  <c r="F735" i="1"/>
  <c r="G735" i="1"/>
  <c r="F727" i="1"/>
  <c r="G727" i="1"/>
  <c r="F719" i="1"/>
  <c r="G719" i="1"/>
  <c r="F711" i="1"/>
  <c r="G711" i="1"/>
  <c r="F703" i="1"/>
  <c r="G703" i="1"/>
  <c r="F695" i="1"/>
  <c r="G695" i="1"/>
  <c r="F687" i="1"/>
  <c r="G687" i="1"/>
  <c r="F679" i="1"/>
  <c r="G679" i="1"/>
  <c r="F671" i="1"/>
  <c r="G671" i="1"/>
  <c r="F663" i="1"/>
  <c r="G663" i="1"/>
  <c r="F655" i="1"/>
  <c r="G655" i="1"/>
  <c r="F647" i="1"/>
  <c r="G647" i="1"/>
  <c r="F639" i="1"/>
  <c r="G639" i="1"/>
  <c r="F631" i="1"/>
  <c r="G631" i="1"/>
  <c r="F623" i="1"/>
  <c r="G623" i="1"/>
  <c r="F615" i="1"/>
  <c r="G615" i="1"/>
  <c r="F607" i="1"/>
  <c r="G607" i="1"/>
  <c r="F599" i="1"/>
  <c r="G599" i="1"/>
  <c r="F591" i="1"/>
  <c r="G591" i="1"/>
  <c r="F583" i="1"/>
  <c r="G583" i="1"/>
  <c r="F575" i="1"/>
  <c r="G575" i="1"/>
  <c r="F567" i="1"/>
  <c r="G567" i="1"/>
  <c r="F559" i="1"/>
  <c r="G559" i="1"/>
  <c r="F551" i="1"/>
  <c r="G551" i="1"/>
  <c r="F543" i="1"/>
  <c r="G543" i="1"/>
  <c r="F535" i="1"/>
  <c r="G535" i="1"/>
  <c r="F527" i="1"/>
  <c r="G527" i="1"/>
  <c r="F519" i="1"/>
  <c r="G519" i="1"/>
  <c r="F511" i="1"/>
  <c r="G511" i="1"/>
  <c r="F503" i="1"/>
  <c r="G503" i="1"/>
  <c r="F495" i="1"/>
  <c r="G495" i="1"/>
  <c r="F487" i="1"/>
  <c r="G487" i="1"/>
  <c r="F479" i="1"/>
  <c r="G479" i="1"/>
  <c r="F471" i="1"/>
  <c r="G471" i="1"/>
  <c r="F463" i="1"/>
  <c r="G463" i="1"/>
  <c r="F455" i="1"/>
  <c r="G455" i="1"/>
  <c r="F447" i="1"/>
  <c r="G447" i="1"/>
  <c r="F439" i="1"/>
  <c r="G439" i="1"/>
  <c r="F431" i="1"/>
  <c r="G431" i="1"/>
  <c r="F423" i="1"/>
  <c r="G423" i="1"/>
  <c r="F415" i="1"/>
  <c r="G415" i="1"/>
  <c r="F407" i="1"/>
  <c r="G407" i="1"/>
  <c r="F399" i="1"/>
  <c r="G399" i="1"/>
  <c r="F391" i="1"/>
  <c r="G391" i="1"/>
  <c r="F383" i="1"/>
  <c r="G383" i="1"/>
  <c r="F375" i="1"/>
  <c r="G375" i="1"/>
  <c r="F367" i="1"/>
  <c r="G367" i="1"/>
  <c r="F359" i="1"/>
  <c r="G359" i="1"/>
  <c r="F351" i="1"/>
  <c r="G351" i="1"/>
  <c r="F343" i="1"/>
  <c r="G343" i="1"/>
  <c r="F335" i="1"/>
  <c r="G335" i="1"/>
  <c r="F327" i="1"/>
  <c r="G327" i="1"/>
  <c r="F319" i="1"/>
  <c r="G319" i="1"/>
  <c r="F311" i="1"/>
  <c r="G311" i="1"/>
  <c r="G8505" i="1"/>
  <c r="G8441" i="1"/>
  <c r="G8377" i="1"/>
  <c r="G8313" i="1"/>
  <c r="G8249" i="1"/>
  <c r="G8185" i="1"/>
  <c r="G8121" i="1"/>
  <c r="G8057" i="1"/>
  <c r="G5640" i="1"/>
  <c r="G5608" i="1"/>
  <c r="G5544" i="1"/>
  <c r="G5480" i="1"/>
  <c r="G5416" i="1"/>
  <c r="G5352" i="1"/>
  <c r="G5288" i="1"/>
  <c r="G5224" i="1"/>
  <c r="G5160" i="1"/>
  <c r="G5096" i="1"/>
  <c r="G5032" i="1"/>
  <c r="G4968" i="1"/>
  <c r="G4904" i="1"/>
  <c r="G4840" i="1"/>
  <c r="G4776" i="1"/>
  <c r="G4712" i="1"/>
  <c r="G4648" i="1"/>
  <c r="G4584" i="1"/>
  <c r="G4520" i="1"/>
  <c r="G4456" i="1"/>
  <c r="G4392" i="1"/>
  <c r="G4328" i="1"/>
  <c r="G4264" i="1"/>
  <c r="G4200" i="1"/>
  <c r="G4136" i="1"/>
  <c r="G4072" i="1"/>
  <c r="G4008" i="1"/>
  <c r="G3944" i="1"/>
  <c r="G3880" i="1"/>
  <c r="G3816" i="1"/>
  <c r="G3752" i="1"/>
  <c r="G3688" i="1"/>
  <c r="G3624" i="1"/>
  <c r="G3560" i="1"/>
  <c r="G3496" i="1"/>
  <c r="G3432" i="1"/>
  <c r="G3368" i="1"/>
  <c r="G3304" i="1"/>
  <c r="G3240" i="1"/>
  <c r="G3176" i="1"/>
  <c r="F5646" i="1"/>
  <c r="G5646" i="1"/>
  <c r="F5638" i="1"/>
  <c r="G5638" i="1"/>
  <c r="F5630" i="1"/>
  <c r="G5630" i="1"/>
  <c r="F5622" i="1"/>
  <c r="G5622" i="1"/>
  <c r="F5614" i="1"/>
  <c r="G5614" i="1"/>
  <c r="F5606" i="1"/>
  <c r="G5606" i="1"/>
  <c r="F5598" i="1"/>
  <c r="G5598" i="1"/>
  <c r="F5590" i="1"/>
  <c r="G5590" i="1"/>
  <c r="F5582" i="1"/>
  <c r="G5582" i="1"/>
  <c r="F5574" i="1"/>
  <c r="G5574" i="1"/>
  <c r="F5566" i="1"/>
  <c r="G5566" i="1"/>
  <c r="F5558" i="1"/>
  <c r="G5558" i="1"/>
  <c r="F5550" i="1"/>
  <c r="G5550" i="1"/>
  <c r="F5542" i="1"/>
  <c r="G5542" i="1"/>
  <c r="F5534" i="1"/>
  <c r="G5534" i="1"/>
  <c r="F5526" i="1"/>
  <c r="G5526" i="1"/>
  <c r="F5518" i="1"/>
  <c r="G5518" i="1"/>
  <c r="F5510" i="1"/>
  <c r="G5510" i="1"/>
  <c r="F5502" i="1"/>
  <c r="G5502" i="1"/>
  <c r="F5494" i="1"/>
  <c r="G5494" i="1"/>
  <c r="F5486" i="1"/>
  <c r="G5486" i="1"/>
  <c r="F5478" i="1"/>
  <c r="G5478" i="1"/>
  <c r="F5470" i="1"/>
  <c r="G5470" i="1"/>
  <c r="F5462" i="1"/>
  <c r="G5462" i="1"/>
  <c r="F5454" i="1"/>
  <c r="G5454" i="1"/>
  <c r="F5446" i="1"/>
  <c r="G5446" i="1"/>
  <c r="F5438" i="1"/>
  <c r="G5438" i="1"/>
  <c r="F5430" i="1"/>
  <c r="G5430" i="1"/>
  <c r="F5422" i="1"/>
  <c r="G5422" i="1"/>
  <c r="F5414" i="1"/>
  <c r="G5414" i="1"/>
  <c r="F5406" i="1"/>
  <c r="G5406" i="1"/>
  <c r="F5398" i="1"/>
  <c r="G5398" i="1"/>
  <c r="F5390" i="1"/>
  <c r="G5390" i="1"/>
  <c r="F5382" i="1"/>
  <c r="G5382" i="1"/>
  <c r="F5374" i="1"/>
  <c r="G5374" i="1"/>
  <c r="F5366" i="1"/>
  <c r="G5366" i="1"/>
  <c r="F5358" i="1"/>
  <c r="G5358" i="1"/>
  <c r="F5350" i="1"/>
  <c r="G5350" i="1"/>
  <c r="F5342" i="1"/>
  <c r="G5342" i="1"/>
  <c r="F5334" i="1"/>
  <c r="G5334" i="1"/>
  <c r="F5326" i="1"/>
  <c r="G5326" i="1"/>
  <c r="F5318" i="1"/>
  <c r="G5318" i="1"/>
  <c r="F5310" i="1"/>
  <c r="G5310" i="1"/>
  <c r="F5302" i="1"/>
  <c r="G5302" i="1"/>
  <c r="F5294" i="1"/>
  <c r="G5294" i="1"/>
  <c r="F5286" i="1"/>
  <c r="G5286" i="1"/>
  <c r="F5278" i="1"/>
  <c r="G5278" i="1"/>
  <c r="F5270" i="1"/>
  <c r="G5270" i="1"/>
  <c r="F5262" i="1"/>
  <c r="G5262" i="1"/>
  <c r="F5254" i="1"/>
  <c r="G5254" i="1"/>
  <c r="F5246" i="1"/>
  <c r="G5246" i="1"/>
  <c r="F5238" i="1"/>
  <c r="G5238" i="1"/>
  <c r="F5230" i="1"/>
  <c r="G5230" i="1"/>
  <c r="F5222" i="1"/>
  <c r="G5222" i="1"/>
  <c r="F5214" i="1"/>
  <c r="G5214" i="1"/>
  <c r="F5206" i="1"/>
  <c r="G5206" i="1"/>
  <c r="F5198" i="1"/>
  <c r="G5198" i="1"/>
  <c r="F5190" i="1"/>
  <c r="G5190" i="1"/>
  <c r="F5182" i="1"/>
  <c r="G5182" i="1"/>
  <c r="F5174" i="1"/>
  <c r="G5174" i="1"/>
  <c r="F5166" i="1"/>
  <c r="G5166" i="1"/>
  <c r="F5158" i="1"/>
  <c r="G5158" i="1"/>
  <c r="F5150" i="1"/>
  <c r="G5150" i="1"/>
  <c r="F5142" i="1"/>
  <c r="G5142" i="1"/>
  <c r="F5134" i="1"/>
  <c r="G5134" i="1"/>
  <c r="F5126" i="1"/>
  <c r="G5126" i="1"/>
  <c r="F5118" i="1"/>
  <c r="G5118" i="1"/>
  <c r="F5110" i="1"/>
  <c r="G5110" i="1"/>
  <c r="F5102" i="1"/>
  <c r="G5102" i="1"/>
  <c r="F5094" i="1"/>
  <c r="G5094" i="1"/>
  <c r="F5086" i="1"/>
  <c r="G5086" i="1"/>
  <c r="F5078" i="1"/>
  <c r="G5078" i="1"/>
  <c r="F5070" i="1"/>
  <c r="G5070" i="1"/>
  <c r="F5062" i="1"/>
  <c r="G5062" i="1"/>
  <c r="F5054" i="1"/>
  <c r="G5054" i="1"/>
  <c r="F5046" i="1"/>
  <c r="G5046" i="1"/>
  <c r="F5038" i="1"/>
  <c r="G5038" i="1"/>
  <c r="F5030" i="1"/>
  <c r="G5030" i="1"/>
  <c r="F5022" i="1"/>
  <c r="G5022" i="1"/>
  <c r="F5014" i="1"/>
  <c r="G5014" i="1"/>
  <c r="F5006" i="1"/>
  <c r="G5006" i="1"/>
  <c r="F4998" i="1"/>
  <c r="G4998" i="1"/>
  <c r="F4990" i="1"/>
  <c r="G4990" i="1"/>
  <c r="F4982" i="1"/>
  <c r="G4982" i="1"/>
  <c r="F4974" i="1"/>
  <c r="G4974" i="1"/>
  <c r="F4966" i="1"/>
  <c r="G4966" i="1"/>
  <c r="F4958" i="1"/>
  <c r="G4958" i="1"/>
  <c r="F4950" i="1"/>
  <c r="G4950" i="1"/>
  <c r="F4942" i="1"/>
  <c r="G4942" i="1"/>
  <c r="F4934" i="1"/>
  <c r="G4934" i="1"/>
  <c r="F4926" i="1"/>
  <c r="G4926" i="1"/>
  <c r="F4918" i="1"/>
  <c r="G4918" i="1"/>
  <c r="F4910" i="1"/>
  <c r="G4910" i="1"/>
  <c r="F4902" i="1"/>
  <c r="G4902" i="1"/>
  <c r="F4894" i="1"/>
  <c r="G4894" i="1"/>
  <c r="F4886" i="1"/>
  <c r="G4886" i="1"/>
  <c r="F4878" i="1"/>
  <c r="G4878" i="1"/>
  <c r="F4870" i="1"/>
  <c r="G4870" i="1"/>
  <c r="F4862" i="1"/>
  <c r="G4862" i="1"/>
  <c r="F4854" i="1"/>
  <c r="G4854" i="1"/>
  <c r="F4846" i="1"/>
  <c r="G4846" i="1"/>
  <c r="F4838" i="1"/>
  <c r="G4838" i="1"/>
  <c r="F4830" i="1"/>
  <c r="G4830" i="1"/>
  <c r="F4822" i="1"/>
  <c r="G4822" i="1"/>
  <c r="F4814" i="1"/>
  <c r="G4814" i="1"/>
  <c r="F4806" i="1"/>
  <c r="G4806" i="1"/>
  <c r="F4798" i="1"/>
  <c r="G4798" i="1"/>
  <c r="F4790" i="1"/>
  <c r="G4790" i="1"/>
  <c r="F4782" i="1"/>
  <c r="G4782" i="1"/>
  <c r="F4774" i="1"/>
  <c r="G4774" i="1"/>
  <c r="F4766" i="1"/>
  <c r="G4766" i="1"/>
  <c r="F4758" i="1"/>
  <c r="G4758" i="1"/>
  <c r="F4750" i="1"/>
  <c r="G4750" i="1"/>
  <c r="F4742" i="1"/>
  <c r="G4742" i="1"/>
  <c r="F4734" i="1"/>
  <c r="G4734" i="1"/>
  <c r="F4726" i="1"/>
  <c r="G4726" i="1"/>
  <c r="F4718" i="1"/>
  <c r="G4718" i="1"/>
  <c r="F4710" i="1"/>
  <c r="G4710" i="1"/>
  <c r="F4702" i="1"/>
  <c r="G4702" i="1"/>
  <c r="F4694" i="1"/>
  <c r="G4694" i="1"/>
  <c r="F4686" i="1"/>
  <c r="G4686" i="1"/>
  <c r="F4678" i="1"/>
  <c r="G4678" i="1"/>
  <c r="F4670" i="1"/>
  <c r="G4670" i="1"/>
  <c r="F4662" i="1"/>
  <c r="G4662" i="1"/>
  <c r="F4654" i="1"/>
  <c r="G4654" i="1"/>
  <c r="F4646" i="1"/>
  <c r="G4646" i="1"/>
  <c r="F4638" i="1"/>
  <c r="G4638" i="1"/>
  <c r="F4630" i="1"/>
  <c r="G4630" i="1"/>
  <c r="F4622" i="1"/>
  <c r="G4622" i="1"/>
  <c r="F4614" i="1"/>
  <c r="G4614" i="1"/>
  <c r="F4606" i="1"/>
  <c r="G4606" i="1"/>
  <c r="F4598" i="1"/>
  <c r="G4598" i="1"/>
  <c r="F4590" i="1"/>
  <c r="G4590" i="1"/>
  <c r="F4582" i="1"/>
  <c r="G4582" i="1"/>
  <c r="F4574" i="1"/>
  <c r="G4574" i="1"/>
  <c r="F4566" i="1"/>
  <c r="G4566" i="1"/>
  <c r="F4558" i="1"/>
  <c r="G4558" i="1"/>
  <c r="F4550" i="1"/>
  <c r="G4550" i="1"/>
  <c r="F4542" i="1"/>
  <c r="G4542" i="1"/>
  <c r="F4534" i="1"/>
  <c r="G4534" i="1"/>
  <c r="F4526" i="1"/>
  <c r="G4526" i="1"/>
  <c r="F4518" i="1"/>
  <c r="G4518" i="1"/>
  <c r="F4510" i="1"/>
  <c r="G4510" i="1"/>
  <c r="F4502" i="1"/>
  <c r="G4502" i="1"/>
  <c r="F4494" i="1"/>
  <c r="G4494" i="1"/>
  <c r="F4486" i="1"/>
  <c r="G4486" i="1"/>
  <c r="F4478" i="1"/>
  <c r="G4478" i="1"/>
  <c r="F4470" i="1"/>
  <c r="G4470" i="1"/>
  <c r="F4462" i="1"/>
  <c r="G4462" i="1"/>
  <c r="F4454" i="1"/>
  <c r="G4454" i="1"/>
  <c r="F4446" i="1"/>
  <c r="G4446" i="1"/>
  <c r="F4438" i="1"/>
  <c r="G4438" i="1"/>
  <c r="F4430" i="1"/>
  <c r="G4430" i="1"/>
  <c r="F4422" i="1"/>
  <c r="G4422" i="1"/>
  <c r="F4414" i="1"/>
  <c r="G4414" i="1"/>
  <c r="F4406" i="1"/>
  <c r="G4406" i="1"/>
  <c r="F4398" i="1"/>
  <c r="G4398" i="1"/>
  <c r="F4390" i="1"/>
  <c r="G4390" i="1"/>
  <c r="F4382" i="1"/>
  <c r="G4382" i="1"/>
  <c r="F4374" i="1"/>
  <c r="G4374" i="1"/>
  <c r="F4366" i="1"/>
  <c r="G4366" i="1"/>
  <c r="F4358" i="1"/>
  <c r="G4358" i="1"/>
  <c r="F4350" i="1"/>
  <c r="G4350" i="1"/>
  <c r="F4342" i="1"/>
  <c r="G4342" i="1"/>
  <c r="F4334" i="1"/>
  <c r="G4334" i="1"/>
  <c r="F4326" i="1"/>
  <c r="G4326" i="1"/>
  <c r="F4318" i="1"/>
  <c r="G4318" i="1"/>
  <c r="F4310" i="1"/>
  <c r="G4310" i="1"/>
  <c r="F4302" i="1"/>
  <c r="G4302" i="1"/>
  <c r="F4294" i="1"/>
  <c r="G4294" i="1"/>
  <c r="F4286" i="1"/>
  <c r="G4286" i="1"/>
  <c r="F4278" i="1"/>
  <c r="G4278" i="1"/>
  <c r="F4270" i="1"/>
  <c r="G4270" i="1"/>
  <c r="F4262" i="1"/>
  <c r="G4262" i="1"/>
  <c r="F4254" i="1"/>
  <c r="G4254" i="1"/>
  <c r="F4246" i="1"/>
  <c r="G4246" i="1"/>
  <c r="F4238" i="1"/>
  <c r="G4238" i="1"/>
  <c r="F4230" i="1"/>
  <c r="G4230" i="1"/>
  <c r="F4222" i="1"/>
  <c r="G4222" i="1"/>
  <c r="F4214" i="1"/>
  <c r="G4214" i="1"/>
  <c r="F4206" i="1"/>
  <c r="G4206" i="1"/>
  <c r="F4198" i="1"/>
  <c r="G4198" i="1"/>
  <c r="F4190" i="1"/>
  <c r="G4190" i="1"/>
  <c r="F4182" i="1"/>
  <c r="G4182" i="1"/>
  <c r="F4174" i="1"/>
  <c r="G4174" i="1"/>
  <c r="F4166" i="1"/>
  <c r="G4166" i="1"/>
  <c r="F4158" i="1"/>
  <c r="G4158" i="1"/>
  <c r="F4150" i="1"/>
  <c r="G4150" i="1"/>
  <c r="F4142" i="1"/>
  <c r="G4142" i="1"/>
  <c r="F4134" i="1"/>
  <c r="G4134" i="1"/>
  <c r="F4126" i="1"/>
  <c r="G4126" i="1"/>
  <c r="F4118" i="1"/>
  <c r="G4118" i="1"/>
  <c r="F4110" i="1"/>
  <c r="G4110" i="1"/>
  <c r="F4102" i="1"/>
  <c r="G4102" i="1"/>
  <c r="F4094" i="1"/>
  <c r="G4094" i="1"/>
  <c r="F4086" i="1"/>
  <c r="G4086" i="1"/>
  <c r="F4078" i="1"/>
  <c r="G4078" i="1"/>
  <c r="F4070" i="1"/>
  <c r="G4070" i="1"/>
  <c r="F4062" i="1"/>
  <c r="G4062" i="1"/>
  <c r="F4054" i="1"/>
  <c r="G4054" i="1"/>
  <c r="F4046" i="1"/>
  <c r="G4046" i="1"/>
  <c r="F4038" i="1"/>
  <c r="G4038" i="1"/>
  <c r="F4030" i="1"/>
  <c r="G4030" i="1"/>
  <c r="F4022" i="1"/>
  <c r="G4022" i="1"/>
  <c r="F4014" i="1"/>
  <c r="G4014" i="1"/>
  <c r="F4006" i="1"/>
  <c r="G4006" i="1"/>
  <c r="F3998" i="1"/>
  <c r="G3998" i="1"/>
  <c r="F3990" i="1"/>
  <c r="G3990" i="1"/>
  <c r="F3982" i="1"/>
  <c r="G3982" i="1"/>
  <c r="F3974" i="1"/>
  <c r="G3974" i="1"/>
  <c r="F3966" i="1"/>
  <c r="G3966" i="1"/>
  <c r="F3958" i="1"/>
  <c r="G3958" i="1"/>
  <c r="F3950" i="1"/>
  <c r="G3950" i="1"/>
  <c r="F3942" i="1"/>
  <c r="G3942" i="1"/>
  <c r="F3934" i="1"/>
  <c r="G3934" i="1"/>
  <c r="F3926" i="1"/>
  <c r="G3926" i="1"/>
  <c r="F3918" i="1"/>
  <c r="G3918" i="1"/>
  <c r="F3910" i="1"/>
  <c r="G3910" i="1"/>
  <c r="F3902" i="1"/>
  <c r="G3902" i="1"/>
  <c r="F3894" i="1"/>
  <c r="G3894" i="1"/>
  <c r="F3886" i="1"/>
  <c r="G3886" i="1"/>
  <c r="F3878" i="1"/>
  <c r="G3878" i="1"/>
  <c r="F3870" i="1"/>
  <c r="G3870" i="1"/>
  <c r="F3862" i="1"/>
  <c r="G3862" i="1"/>
  <c r="F3854" i="1"/>
  <c r="G3854" i="1"/>
  <c r="F3846" i="1"/>
  <c r="G3846" i="1"/>
  <c r="F3838" i="1"/>
  <c r="G3838" i="1"/>
  <c r="F3830" i="1"/>
  <c r="G3830" i="1"/>
  <c r="F3822" i="1"/>
  <c r="G3822" i="1"/>
  <c r="F3814" i="1"/>
  <c r="G3814" i="1"/>
  <c r="F3806" i="1"/>
  <c r="G3806" i="1"/>
  <c r="F3798" i="1"/>
  <c r="G3798" i="1"/>
  <c r="F3790" i="1"/>
  <c r="G3790" i="1"/>
  <c r="F3782" i="1"/>
  <c r="G3782" i="1"/>
  <c r="F3774" i="1"/>
  <c r="G3774" i="1"/>
  <c r="F3766" i="1"/>
  <c r="G3766" i="1"/>
  <c r="F3758" i="1"/>
  <c r="G3758" i="1"/>
  <c r="F3750" i="1"/>
  <c r="G3750" i="1"/>
  <c r="F3742" i="1"/>
  <c r="G3742" i="1"/>
  <c r="F3734" i="1"/>
  <c r="G3734" i="1"/>
  <c r="F3726" i="1"/>
  <c r="G3726" i="1"/>
  <c r="F3718" i="1"/>
  <c r="G3718" i="1"/>
  <c r="F3710" i="1"/>
  <c r="G3710" i="1"/>
  <c r="F3702" i="1"/>
  <c r="G3702" i="1"/>
  <c r="F3694" i="1"/>
  <c r="G3694" i="1"/>
  <c r="F3686" i="1"/>
  <c r="G3686" i="1"/>
  <c r="F3678" i="1"/>
  <c r="G3678" i="1"/>
  <c r="F3670" i="1"/>
  <c r="G3670" i="1"/>
  <c r="F3662" i="1"/>
  <c r="G3662" i="1"/>
  <c r="F3654" i="1"/>
  <c r="G3654" i="1"/>
  <c r="F3646" i="1"/>
  <c r="G3646" i="1"/>
  <c r="F3638" i="1"/>
  <c r="G3638" i="1"/>
  <c r="F3630" i="1"/>
  <c r="G3630" i="1"/>
  <c r="F3622" i="1"/>
  <c r="G3622" i="1"/>
  <c r="F3614" i="1"/>
  <c r="G3614" i="1"/>
  <c r="F3606" i="1"/>
  <c r="G3606" i="1"/>
  <c r="F3598" i="1"/>
  <c r="G3598" i="1"/>
  <c r="F3590" i="1"/>
  <c r="G3590" i="1"/>
  <c r="F3582" i="1"/>
  <c r="G3582" i="1"/>
  <c r="F3574" i="1"/>
  <c r="G3574" i="1"/>
  <c r="F3566" i="1"/>
  <c r="G3566" i="1"/>
  <c r="F3558" i="1"/>
  <c r="G3558" i="1"/>
  <c r="F3550" i="1"/>
  <c r="G3550" i="1"/>
  <c r="F3542" i="1"/>
  <c r="G3542" i="1"/>
  <c r="F3534" i="1"/>
  <c r="G3534" i="1"/>
  <c r="F3526" i="1"/>
  <c r="G3526" i="1"/>
  <c r="F3518" i="1"/>
  <c r="G3518" i="1"/>
  <c r="F3510" i="1"/>
  <c r="G3510" i="1"/>
  <c r="F3502" i="1"/>
  <c r="G3502" i="1"/>
  <c r="F3494" i="1"/>
  <c r="G3494" i="1"/>
  <c r="F3486" i="1"/>
  <c r="G3486" i="1"/>
  <c r="F3478" i="1"/>
  <c r="G3478" i="1"/>
  <c r="F3470" i="1"/>
  <c r="G3470" i="1"/>
  <c r="F3462" i="1"/>
  <c r="G3462" i="1"/>
  <c r="F3454" i="1"/>
  <c r="G3454" i="1"/>
  <c r="F3446" i="1"/>
  <c r="G3446" i="1"/>
  <c r="F3438" i="1"/>
  <c r="G3438" i="1"/>
  <c r="F3430" i="1"/>
  <c r="G3430" i="1"/>
  <c r="F3422" i="1"/>
  <c r="G3422" i="1"/>
  <c r="F3414" i="1"/>
  <c r="G3414" i="1"/>
  <c r="F3406" i="1"/>
  <c r="G3406" i="1"/>
  <c r="F3398" i="1"/>
  <c r="G3398" i="1"/>
  <c r="F3390" i="1"/>
  <c r="G3390" i="1"/>
  <c r="F3382" i="1"/>
  <c r="G3382" i="1"/>
  <c r="F3374" i="1"/>
  <c r="G3374" i="1"/>
  <c r="F3366" i="1"/>
  <c r="G3366" i="1"/>
  <c r="F3358" i="1"/>
  <c r="G3358" i="1"/>
  <c r="F3350" i="1"/>
  <c r="G3350" i="1"/>
  <c r="F3342" i="1"/>
  <c r="G3342" i="1"/>
  <c r="F3334" i="1"/>
  <c r="G3334" i="1"/>
  <c r="F3326" i="1"/>
  <c r="G3326" i="1"/>
  <c r="F3318" i="1"/>
  <c r="G3318" i="1"/>
  <c r="F3310" i="1"/>
  <c r="G3310" i="1"/>
  <c r="F3302" i="1"/>
  <c r="G3302" i="1"/>
  <c r="F3294" i="1"/>
  <c r="G3294" i="1"/>
  <c r="F3286" i="1"/>
  <c r="G3286" i="1"/>
  <c r="F3278" i="1"/>
  <c r="G3278" i="1"/>
  <c r="F3270" i="1"/>
  <c r="G3270" i="1"/>
  <c r="F3262" i="1"/>
  <c r="G3262" i="1"/>
  <c r="F3254" i="1"/>
  <c r="G3254" i="1"/>
  <c r="F3246" i="1"/>
  <c r="G3246" i="1"/>
  <c r="F3238" i="1"/>
  <c r="G3238" i="1"/>
  <c r="F3230" i="1"/>
  <c r="G3230" i="1"/>
  <c r="F3222" i="1"/>
  <c r="G3222" i="1"/>
  <c r="F3214" i="1"/>
  <c r="G3214" i="1"/>
  <c r="F3206" i="1"/>
  <c r="G3206" i="1"/>
  <c r="F3198" i="1"/>
  <c r="G3198" i="1"/>
  <c r="F3190" i="1"/>
  <c r="G3190" i="1"/>
  <c r="F3182" i="1"/>
  <c r="G3182" i="1"/>
  <c r="F3174" i="1"/>
  <c r="G3174" i="1"/>
  <c r="F3166" i="1"/>
  <c r="G3166" i="1"/>
  <c r="F3158" i="1"/>
  <c r="G3158" i="1"/>
  <c r="F3150" i="1"/>
  <c r="G3150" i="1"/>
  <c r="F3142" i="1"/>
  <c r="G3142" i="1"/>
  <c r="F3134" i="1"/>
  <c r="G3134" i="1"/>
  <c r="F3126" i="1"/>
  <c r="G3126" i="1"/>
  <c r="F3118" i="1"/>
  <c r="G3118" i="1"/>
  <c r="F3110" i="1"/>
  <c r="G3110" i="1"/>
  <c r="F3102" i="1"/>
  <c r="G3102" i="1"/>
  <c r="F3094" i="1"/>
  <c r="G3094" i="1"/>
  <c r="F3086" i="1"/>
  <c r="G3086" i="1"/>
  <c r="F3078" i="1"/>
  <c r="G3078" i="1"/>
  <c r="F3070" i="1"/>
  <c r="G3070" i="1"/>
  <c r="F3062" i="1"/>
  <c r="G3062" i="1"/>
  <c r="F3054" i="1"/>
  <c r="G3054" i="1"/>
  <c r="F3046" i="1"/>
  <c r="G3046" i="1"/>
  <c r="F3038" i="1"/>
  <c r="G3038" i="1"/>
  <c r="G3030" i="1"/>
  <c r="F3030" i="1"/>
  <c r="F3022" i="1"/>
  <c r="G3022" i="1"/>
  <c r="F3014" i="1"/>
  <c r="G3014" i="1"/>
  <c r="F3006" i="1"/>
  <c r="G3006" i="1"/>
  <c r="F2998" i="1"/>
  <c r="G2998" i="1"/>
  <c r="F2990" i="1"/>
  <c r="G2990" i="1"/>
  <c r="F2982" i="1"/>
  <c r="G2982" i="1"/>
  <c r="F2974" i="1"/>
  <c r="G2974" i="1"/>
  <c r="G2966" i="1"/>
  <c r="F2966" i="1"/>
  <c r="F2958" i="1"/>
  <c r="G2958" i="1"/>
  <c r="F2950" i="1"/>
  <c r="G2950" i="1"/>
  <c r="F2942" i="1"/>
  <c r="G2942" i="1"/>
  <c r="F2934" i="1"/>
  <c r="G2934" i="1"/>
  <c r="F2926" i="1"/>
  <c r="G2926" i="1"/>
  <c r="F2918" i="1"/>
  <c r="G2918" i="1"/>
  <c r="F2910" i="1"/>
  <c r="G2910" i="1"/>
  <c r="F2902" i="1"/>
  <c r="G2902" i="1"/>
  <c r="F2894" i="1"/>
  <c r="G2894" i="1"/>
  <c r="F2886" i="1"/>
  <c r="G2886" i="1"/>
  <c r="F2878" i="1"/>
  <c r="G2878" i="1"/>
  <c r="F2870" i="1"/>
  <c r="G2870" i="1"/>
  <c r="F2862" i="1"/>
  <c r="G2862" i="1"/>
  <c r="F2854" i="1"/>
  <c r="G2854" i="1"/>
  <c r="F2846" i="1"/>
  <c r="G2846" i="1"/>
  <c r="F2838" i="1"/>
  <c r="G2838" i="1"/>
  <c r="F2830" i="1"/>
  <c r="G2830" i="1"/>
  <c r="F2822" i="1"/>
  <c r="G2822" i="1"/>
  <c r="F2814" i="1"/>
  <c r="G2814" i="1"/>
  <c r="F2806" i="1"/>
  <c r="G2806" i="1"/>
  <c r="F2798" i="1"/>
  <c r="G2798" i="1"/>
  <c r="F2790" i="1"/>
  <c r="G2790" i="1"/>
  <c r="F2782" i="1"/>
  <c r="G2782" i="1"/>
  <c r="G2774" i="1"/>
  <c r="F2774" i="1"/>
  <c r="F2766" i="1"/>
  <c r="G2766" i="1"/>
  <c r="F2758" i="1"/>
  <c r="G2758" i="1"/>
  <c r="F2750" i="1"/>
  <c r="G2750" i="1"/>
  <c r="F2742" i="1"/>
  <c r="G2742" i="1"/>
  <c r="F2734" i="1"/>
  <c r="G2734" i="1"/>
  <c r="F2726" i="1"/>
  <c r="G2726" i="1"/>
  <c r="F2718" i="1"/>
  <c r="G2718" i="1"/>
  <c r="G2710" i="1"/>
  <c r="F2710" i="1"/>
  <c r="F2702" i="1"/>
  <c r="G2702" i="1"/>
  <c r="F2694" i="1"/>
  <c r="G2694" i="1"/>
  <c r="F2686" i="1"/>
  <c r="G2686" i="1"/>
  <c r="F2678" i="1"/>
  <c r="G2678" i="1"/>
  <c r="F2670" i="1"/>
  <c r="G2670" i="1"/>
  <c r="F2662" i="1"/>
  <c r="G2662" i="1"/>
  <c r="F2654" i="1"/>
  <c r="G2654" i="1"/>
  <c r="F2646" i="1"/>
  <c r="G2646" i="1"/>
  <c r="F2638" i="1"/>
  <c r="G2638" i="1"/>
  <c r="F2630" i="1"/>
  <c r="G2630" i="1"/>
  <c r="F2622" i="1"/>
  <c r="G2622" i="1"/>
  <c r="F2614" i="1"/>
  <c r="G2614" i="1"/>
  <c r="F2606" i="1"/>
  <c r="G2606" i="1"/>
  <c r="F2598" i="1"/>
  <c r="G2598" i="1"/>
  <c r="F2590" i="1"/>
  <c r="G2590" i="1"/>
  <c r="F2582" i="1"/>
  <c r="G2582" i="1"/>
  <c r="F2574" i="1"/>
  <c r="G2574" i="1"/>
  <c r="F2566" i="1"/>
  <c r="G2566" i="1"/>
  <c r="F2558" i="1"/>
  <c r="G2558" i="1"/>
  <c r="F2550" i="1"/>
  <c r="G2550" i="1"/>
  <c r="F2542" i="1"/>
  <c r="G2542" i="1"/>
  <c r="F2534" i="1"/>
  <c r="G2534" i="1"/>
  <c r="F2526" i="1"/>
  <c r="G2526" i="1"/>
  <c r="G2518" i="1"/>
  <c r="F2518" i="1"/>
  <c r="F2510" i="1"/>
  <c r="G2510" i="1"/>
  <c r="F2502" i="1"/>
  <c r="G2502" i="1"/>
  <c r="F2494" i="1"/>
  <c r="G2494" i="1"/>
  <c r="F2486" i="1"/>
  <c r="G2486" i="1"/>
  <c r="F2478" i="1"/>
  <c r="G2478" i="1"/>
  <c r="F2470" i="1"/>
  <c r="G2470" i="1"/>
  <c r="F2462" i="1"/>
  <c r="G2462" i="1"/>
  <c r="G2454" i="1"/>
  <c r="F2454" i="1"/>
  <c r="F2446" i="1"/>
  <c r="G2446" i="1"/>
  <c r="F2438" i="1"/>
  <c r="G2438" i="1"/>
  <c r="F2430" i="1"/>
  <c r="G2430" i="1"/>
  <c r="F2422" i="1"/>
  <c r="G2422" i="1"/>
  <c r="F2414" i="1"/>
  <c r="G2414" i="1"/>
  <c r="F2406" i="1"/>
  <c r="G2406" i="1"/>
  <c r="F2398" i="1"/>
  <c r="G2398" i="1"/>
  <c r="F2390" i="1"/>
  <c r="G2390" i="1"/>
  <c r="F2382" i="1"/>
  <c r="G2382" i="1"/>
  <c r="F2374" i="1"/>
  <c r="G2374" i="1"/>
  <c r="F2366" i="1"/>
  <c r="G2366" i="1"/>
  <c r="F2358" i="1"/>
  <c r="G2358" i="1"/>
  <c r="F2350" i="1"/>
  <c r="G2350" i="1"/>
  <c r="F2342" i="1"/>
  <c r="G2342" i="1"/>
  <c r="F2334" i="1"/>
  <c r="G2334" i="1"/>
  <c r="F2326" i="1"/>
  <c r="G2326" i="1"/>
  <c r="F2318" i="1"/>
  <c r="G2318" i="1"/>
  <c r="F2310" i="1"/>
  <c r="G2310" i="1"/>
  <c r="F2302" i="1"/>
  <c r="G2302" i="1"/>
  <c r="F2294" i="1"/>
  <c r="G2294" i="1"/>
  <c r="F2286" i="1"/>
  <c r="G2286" i="1"/>
  <c r="F2278" i="1"/>
  <c r="G2278" i="1"/>
  <c r="F2270" i="1"/>
  <c r="G2270" i="1"/>
  <c r="F2262" i="1"/>
  <c r="G2262" i="1"/>
  <c r="F2254" i="1"/>
  <c r="G2254" i="1"/>
  <c r="F2246" i="1"/>
  <c r="G2246" i="1"/>
  <c r="F2238" i="1"/>
  <c r="G2238" i="1"/>
  <c r="F2230" i="1"/>
  <c r="G2230" i="1"/>
  <c r="F2222" i="1"/>
  <c r="G2222" i="1"/>
  <c r="F2214" i="1"/>
  <c r="G2214" i="1"/>
  <c r="F2206" i="1"/>
  <c r="G2206" i="1"/>
  <c r="F2198" i="1"/>
  <c r="G2198" i="1"/>
  <c r="F2190" i="1"/>
  <c r="G2190" i="1"/>
  <c r="F2182" i="1"/>
  <c r="G2182" i="1"/>
  <c r="F2174" i="1"/>
  <c r="G2174" i="1"/>
  <c r="F2166" i="1"/>
  <c r="G2166" i="1"/>
  <c r="F2158" i="1"/>
  <c r="G2158" i="1"/>
  <c r="F2150" i="1"/>
  <c r="G2150" i="1"/>
  <c r="F2142" i="1"/>
  <c r="G2142" i="1"/>
  <c r="F2134" i="1"/>
  <c r="G2134" i="1"/>
  <c r="F2126" i="1"/>
  <c r="G2126" i="1"/>
  <c r="F2118" i="1"/>
  <c r="G2118" i="1"/>
  <c r="F2110" i="1"/>
  <c r="G2110" i="1"/>
  <c r="F2102" i="1"/>
  <c r="G2102" i="1"/>
  <c r="F2094" i="1"/>
  <c r="G2094" i="1"/>
  <c r="F2086" i="1"/>
  <c r="G2086" i="1"/>
  <c r="F2078" i="1"/>
  <c r="G2078" i="1"/>
  <c r="F2070" i="1"/>
  <c r="G2070" i="1"/>
  <c r="F2062" i="1"/>
  <c r="G2062" i="1"/>
  <c r="F2054" i="1"/>
  <c r="G2054" i="1"/>
  <c r="F2046" i="1"/>
  <c r="G2046" i="1"/>
  <c r="F2038" i="1"/>
  <c r="G2038" i="1"/>
  <c r="F2030" i="1"/>
  <c r="G2030" i="1"/>
  <c r="F2022" i="1"/>
  <c r="G2022" i="1"/>
  <c r="F2014" i="1"/>
  <c r="G2014" i="1"/>
  <c r="F2006" i="1"/>
  <c r="G2006" i="1"/>
  <c r="F1998" i="1"/>
  <c r="G1998" i="1"/>
  <c r="F1990" i="1"/>
  <c r="G1990" i="1"/>
  <c r="F1982" i="1"/>
  <c r="G1982" i="1"/>
  <c r="F1974" i="1"/>
  <c r="G1974" i="1"/>
  <c r="F1966" i="1"/>
  <c r="G1966" i="1"/>
  <c r="F1958" i="1"/>
  <c r="G1958" i="1"/>
  <c r="F1950" i="1"/>
  <c r="G1950" i="1"/>
  <c r="F1942" i="1"/>
  <c r="G1942" i="1"/>
  <c r="F1934" i="1"/>
  <c r="G1934" i="1"/>
  <c r="F1926" i="1"/>
  <c r="G1926" i="1"/>
  <c r="F1918" i="1"/>
  <c r="G1918" i="1"/>
  <c r="F1910" i="1"/>
  <c r="G1910" i="1"/>
  <c r="F1902" i="1"/>
  <c r="G1902" i="1"/>
  <c r="F1894" i="1"/>
  <c r="G1894" i="1"/>
  <c r="F1886" i="1"/>
  <c r="G1886" i="1"/>
  <c r="F1878" i="1"/>
  <c r="G1878" i="1"/>
  <c r="F1870" i="1"/>
  <c r="G1870" i="1"/>
  <c r="F1862" i="1"/>
  <c r="G1862" i="1"/>
  <c r="F1854" i="1"/>
  <c r="G1854" i="1"/>
  <c r="F1846" i="1"/>
  <c r="G1846" i="1"/>
  <c r="F1838" i="1"/>
  <c r="G1838" i="1"/>
  <c r="F1830" i="1"/>
  <c r="G1830" i="1"/>
  <c r="F1822" i="1"/>
  <c r="G1822" i="1"/>
  <c r="F1814" i="1"/>
  <c r="G1814" i="1"/>
  <c r="F1806" i="1"/>
  <c r="G1806" i="1"/>
  <c r="F1798" i="1"/>
  <c r="G1798" i="1"/>
  <c r="F1790" i="1"/>
  <c r="G1790" i="1"/>
  <c r="F1782" i="1"/>
  <c r="G1782" i="1"/>
  <c r="F1774" i="1"/>
  <c r="G1774" i="1"/>
  <c r="F1766" i="1"/>
  <c r="G1766" i="1"/>
  <c r="F1758" i="1"/>
  <c r="G1758" i="1"/>
  <c r="F1750" i="1"/>
  <c r="G1750" i="1"/>
  <c r="F1742" i="1"/>
  <c r="G1742" i="1"/>
  <c r="F1734" i="1"/>
  <c r="G1734" i="1"/>
  <c r="F1726" i="1"/>
  <c r="G1726" i="1"/>
  <c r="F1718" i="1"/>
  <c r="G1718" i="1"/>
  <c r="F1710" i="1"/>
  <c r="G1710" i="1"/>
  <c r="F1702" i="1"/>
  <c r="G1702" i="1"/>
  <c r="F1694" i="1"/>
  <c r="G1694" i="1"/>
  <c r="F1686" i="1"/>
  <c r="G1686" i="1"/>
  <c r="F1678" i="1"/>
  <c r="G1678" i="1"/>
  <c r="F1670" i="1"/>
  <c r="G1670" i="1"/>
  <c r="F1662" i="1"/>
  <c r="G1662" i="1"/>
  <c r="F1654" i="1"/>
  <c r="G1654" i="1"/>
  <c r="F1646" i="1"/>
  <c r="G1646" i="1"/>
  <c r="F1638" i="1"/>
  <c r="G1638" i="1"/>
  <c r="F1630" i="1"/>
  <c r="G1630" i="1"/>
  <c r="F1622" i="1"/>
  <c r="G1622" i="1"/>
  <c r="F1614" i="1"/>
  <c r="G1614" i="1"/>
  <c r="F1606" i="1"/>
  <c r="G1606" i="1"/>
  <c r="F1598" i="1"/>
  <c r="G1598" i="1"/>
  <c r="F1590" i="1"/>
  <c r="G1590" i="1"/>
  <c r="F1582" i="1"/>
  <c r="G1582" i="1"/>
  <c r="F1574" i="1"/>
  <c r="G1574" i="1"/>
  <c r="F1566" i="1"/>
  <c r="G1566" i="1"/>
  <c r="F1558" i="1"/>
  <c r="G1558" i="1"/>
  <c r="F1550" i="1"/>
  <c r="G1550" i="1"/>
  <c r="F1542" i="1"/>
  <c r="G1542" i="1"/>
  <c r="F1534" i="1"/>
  <c r="G1534" i="1"/>
  <c r="F1526" i="1"/>
  <c r="G1526" i="1"/>
  <c r="F1518" i="1"/>
  <c r="G1518" i="1"/>
  <c r="F1510" i="1"/>
  <c r="G1510" i="1"/>
  <c r="F1502" i="1"/>
  <c r="G1502" i="1"/>
  <c r="F1494" i="1"/>
  <c r="G1494" i="1"/>
  <c r="F1486" i="1"/>
  <c r="G1486" i="1"/>
  <c r="F1478" i="1"/>
  <c r="G1478" i="1"/>
  <c r="F1470" i="1"/>
  <c r="G1470" i="1"/>
  <c r="F1462" i="1"/>
  <c r="G1462" i="1"/>
  <c r="F1454" i="1"/>
  <c r="G1454" i="1"/>
  <c r="F1446" i="1"/>
  <c r="G1446" i="1"/>
  <c r="F1438" i="1"/>
  <c r="G1438" i="1"/>
  <c r="F1430" i="1"/>
  <c r="G1430" i="1"/>
  <c r="F1422" i="1"/>
  <c r="G1422" i="1"/>
  <c r="F1414" i="1"/>
  <c r="G1414" i="1"/>
  <c r="F1406" i="1"/>
  <c r="G1406" i="1"/>
  <c r="F1398" i="1"/>
  <c r="G1398" i="1"/>
  <c r="F1390" i="1"/>
  <c r="G1390" i="1"/>
  <c r="F1382" i="1"/>
  <c r="G1382" i="1"/>
  <c r="F1374" i="1"/>
  <c r="G1374" i="1"/>
  <c r="F1366" i="1"/>
  <c r="G1366" i="1"/>
  <c r="F1358" i="1"/>
  <c r="G1358" i="1"/>
  <c r="F1350" i="1"/>
  <c r="G1350" i="1"/>
  <c r="F1342" i="1"/>
  <c r="G1342" i="1"/>
  <c r="F1334" i="1"/>
  <c r="G1334" i="1"/>
  <c r="F1326" i="1"/>
  <c r="G1326" i="1"/>
  <c r="F1318" i="1"/>
  <c r="G1318" i="1"/>
  <c r="F1310" i="1"/>
  <c r="G1310" i="1"/>
  <c r="F1302" i="1"/>
  <c r="G1302" i="1"/>
  <c r="F1294" i="1"/>
  <c r="G1294" i="1"/>
  <c r="F1286" i="1"/>
  <c r="G1286" i="1"/>
  <c r="F1278" i="1"/>
  <c r="G1278" i="1"/>
  <c r="F1270" i="1"/>
  <c r="G1270" i="1"/>
  <c r="F1262" i="1"/>
  <c r="G1262" i="1"/>
  <c r="F1254" i="1"/>
  <c r="G1254" i="1"/>
  <c r="F1246" i="1"/>
  <c r="G1246" i="1"/>
  <c r="F1238" i="1"/>
  <c r="G1238" i="1"/>
  <c r="F1230" i="1"/>
  <c r="G1230" i="1"/>
  <c r="F1222" i="1"/>
  <c r="G1222" i="1"/>
  <c r="F1214" i="1"/>
  <c r="G1214" i="1"/>
  <c r="F1206" i="1"/>
  <c r="G1206" i="1"/>
  <c r="F1198" i="1"/>
  <c r="G1198" i="1"/>
  <c r="F1190" i="1"/>
  <c r="G1190" i="1"/>
  <c r="F1182" i="1"/>
  <c r="G1182" i="1"/>
  <c r="F1174" i="1"/>
  <c r="G1174" i="1"/>
  <c r="F1166" i="1"/>
  <c r="G1166" i="1"/>
  <c r="F1158" i="1"/>
  <c r="G1158" i="1"/>
  <c r="F1150" i="1"/>
  <c r="G1150" i="1"/>
  <c r="F1142" i="1"/>
  <c r="G1142" i="1"/>
  <c r="F1134" i="1"/>
  <c r="G1134" i="1"/>
  <c r="F1126" i="1"/>
  <c r="G1126" i="1"/>
  <c r="F1118" i="1"/>
  <c r="G1118" i="1"/>
  <c r="F1110" i="1"/>
  <c r="G1110" i="1"/>
  <c r="F1102" i="1"/>
  <c r="G1102" i="1"/>
  <c r="F1094" i="1"/>
  <c r="G1094" i="1"/>
  <c r="F1086" i="1"/>
  <c r="G1086" i="1"/>
  <c r="F1078" i="1"/>
  <c r="G1078" i="1"/>
  <c r="F1070" i="1"/>
  <c r="G1070" i="1"/>
  <c r="F1062" i="1"/>
  <c r="G1062" i="1"/>
  <c r="F1054" i="1"/>
  <c r="G1054" i="1"/>
  <c r="F1046" i="1"/>
  <c r="G1046" i="1"/>
  <c r="F1038" i="1"/>
  <c r="G1038" i="1"/>
  <c r="F1030" i="1"/>
  <c r="G1030" i="1"/>
  <c r="F1022" i="1"/>
  <c r="G1022" i="1"/>
  <c r="F1014" i="1"/>
  <c r="G1014" i="1"/>
  <c r="F1006" i="1"/>
  <c r="G1006" i="1"/>
  <c r="F998" i="1"/>
  <c r="G998" i="1"/>
  <c r="F990" i="1"/>
  <c r="G990" i="1"/>
  <c r="F982" i="1"/>
  <c r="G982" i="1"/>
  <c r="F974" i="1"/>
  <c r="G974" i="1"/>
  <c r="F966" i="1"/>
  <c r="G966" i="1"/>
  <c r="F958" i="1"/>
  <c r="G958" i="1"/>
  <c r="F950" i="1"/>
  <c r="G950" i="1"/>
  <c r="F942" i="1"/>
  <c r="G942" i="1"/>
  <c r="F934" i="1"/>
  <c r="G934" i="1"/>
  <c r="F926" i="1"/>
  <c r="G926" i="1"/>
  <c r="F918" i="1"/>
  <c r="G918" i="1"/>
  <c r="F910" i="1"/>
  <c r="G910" i="1"/>
  <c r="F902" i="1"/>
  <c r="G902" i="1"/>
  <c r="F894" i="1"/>
  <c r="G894" i="1"/>
  <c r="F886" i="1"/>
  <c r="G886" i="1"/>
  <c r="F878" i="1"/>
  <c r="G878" i="1"/>
  <c r="F870" i="1"/>
  <c r="G870" i="1"/>
  <c r="F862" i="1"/>
  <c r="G862" i="1"/>
  <c r="F854" i="1"/>
  <c r="G854" i="1"/>
  <c r="F846" i="1"/>
  <c r="G846" i="1"/>
  <c r="F838" i="1"/>
  <c r="G838" i="1"/>
  <c r="F830" i="1"/>
  <c r="G830" i="1"/>
  <c r="F822" i="1"/>
  <c r="G822" i="1"/>
  <c r="F814" i="1"/>
  <c r="G814" i="1"/>
  <c r="F806" i="1"/>
  <c r="G806" i="1"/>
  <c r="F798" i="1"/>
  <c r="G798" i="1"/>
  <c r="F790" i="1"/>
  <c r="G790" i="1"/>
  <c r="F782" i="1"/>
  <c r="G782" i="1"/>
  <c r="F774" i="1"/>
  <c r="G774" i="1"/>
  <c r="F766" i="1"/>
  <c r="G766" i="1"/>
  <c r="F758" i="1"/>
  <c r="G758" i="1"/>
  <c r="F750" i="1"/>
  <c r="G750" i="1"/>
  <c r="F742" i="1"/>
  <c r="G742" i="1"/>
  <c r="F734" i="1"/>
  <c r="G734" i="1"/>
  <c r="F726" i="1"/>
  <c r="G726" i="1"/>
  <c r="F718" i="1"/>
  <c r="G718" i="1"/>
  <c r="F710" i="1"/>
  <c r="G710" i="1"/>
  <c r="F702" i="1"/>
  <c r="G702" i="1"/>
  <c r="F694" i="1"/>
  <c r="G694" i="1"/>
  <c r="F686" i="1"/>
  <c r="G686" i="1"/>
  <c r="F678" i="1"/>
  <c r="G678" i="1"/>
  <c r="F670" i="1"/>
  <c r="G670" i="1"/>
  <c r="F662" i="1"/>
  <c r="G662" i="1"/>
  <c r="F654" i="1"/>
  <c r="G654" i="1"/>
  <c r="F646" i="1"/>
  <c r="G646" i="1"/>
  <c r="F638" i="1"/>
  <c r="G638" i="1"/>
  <c r="F630" i="1"/>
  <c r="G630" i="1"/>
  <c r="F622" i="1"/>
  <c r="G622" i="1"/>
  <c r="F614" i="1"/>
  <c r="G614" i="1"/>
  <c r="F606" i="1"/>
  <c r="G606" i="1"/>
  <c r="F598" i="1"/>
  <c r="G598" i="1"/>
  <c r="F590" i="1"/>
  <c r="G590" i="1"/>
  <c r="F582" i="1"/>
  <c r="G582" i="1"/>
  <c r="F574" i="1"/>
  <c r="G574" i="1"/>
  <c r="F566" i="1"/>
  <c r="G566" i="1"/>
  <c r="F558" i="1"/>
  <c r="G558" i="1"/>
  <c r="F550" i="1"/>
  <c r="G550" i="1"/>
  <c r="F542" i="1"/>
  <c r="G542" i="1"/>
  <c r="F534" i="1"/>
  <c r="G534" i="1"/>
  <c r="F526" i="1"/>
  <c r="G526" i="1"/>
  <c r="F518" i="1"/>
  <c r="G518" i="1"/>
  <c r="F510" i="1"/>
  <c r="G510" i="1"/>
  <c r="F502" i="1"/>
  <c r="G502" i="1"/>
  <c r="F494" i="1"/>
  <c r="G494" i="1"/>
  <c r="F486" i="1"/>
  <c r="G486" i="1"/>
  <c r="F478" i="1"/>
  <c r="G478" i="1"/>
  <c r="F470" i="1"/>
  <c r="G470" i="1"/>
  <c r="F462" i="1"/>
  <c r="G462" i="1"/>
  <c r="F454" i="1"/>
  <c r="G454" i="1"/>
  <c r="F446" i="1"/>
  <c r="G446" i="1"/>
  <c r="F438" i="1"/>
  <c r="G438" i="1"/>
  <c r="F430" i="1"/>
  <c r="G430" i="1"/>
  <c r="F422" i="1"/>
  <c r="G422" i="1"/>
  <c r="F414" i="1"/>
  <c r="G414" i="1"/>
  <c r="F406" i="1"/>
  <c r="G406" i="1"/>
  <c r="F398" i="1"/>
  <c r="G398" i="1"/>
  <c r="F390" i="1"/>
  <c r="G390" i="1"/>
  <c r="F382" i="1"/>
  <c r="G382" i="1"/>
  <c r="F374" i="1"/>
  <c r="G374" i="1"/>
  <c r="F366" i="1"/>
  <c r="G366" i="1"/>
  <c r="F358" i="1"/>
  <c r="G358" i="1"/>
  <c r="F350" i="1"/>
  <c r="G350" i="1"/>
  <c r="F342" i="1"/>
  <c r="G342" i="1"/>
  <c r="F334" i="1"/>
  <c r="G334" i="1"/>
  <c r="F326" i="1"/>
  <c r="G326" i="1"/>
  <c r="F318" i="1"/>
  <c r="G318" i="1"/>
  <c r="F310" i="1"/>
  <c r="G310" i="1"/>
  <c r="F302" i="1"/>
  <c r="G302" i="1"/>
  <c r="G8529" i="1"/>
  <c r="G8465" i="1"/>
  <c r="G8401" i="1"/>
  <c r="G8337" i="1"/>
  <c r="G8273" i="1"/>
  <c r="G8209" i="1"/>
  <c r="G8145" i="1"/>
  <c r="G8081" i="1"/>
  <c r="G6408" i="1"/>
  <c r="G6392" i="1"/>
  <c r="G6376" i="1"/>
  <c r="G6360" i="1"/>
  <c r="G6344" i="1"/>
  <c r="G6328" i="1"/>
  <c r="G6312" i="1"/>
  <c r="G6296" i="1"/>
  <c r="G6280" i="1"/>
  <c r="G6264" i="1"/>
  <c r="G6248" i="1"/>
  <c r="G6232" i="1"/>
  <c r="G6216" i="1"/>
  <c r="G6200" i="1"/>
  <c r="G6184" i="1"/>
  <c r="G6168" i="1"/>
  <c r="G6152" i="1"/>
  <c r="G6136" i="1"/>
  <c r="G6120" i="1"/>
  <c r="G6104" i="1"/>
  <c r="G6088" i="1"/>
  <c r="G6072" i="1"/>
  <c r="G6056" i="1"/>
  <c r="G6040" i="1"/>
  <c r="G6024" i="1"/>
  <c r="G6008" i="1"/>
  <c r="G5992" i="1"/>
  <c r="G5976" i="1"/>
  <c r="G5960" i="1"/>
  <c r="G5944" i="1"/>
  <c r="G5928" i="1"/>
  <c r="G5912" i="1"/>
  <c r="G5896" i="1"/>
  <c r="G5880" i="1"/>
  <c r="G5864" i="1"/>
  <c r="G5848" i="1"/>
  <c r="G5832" i="1"/>
  <c r="G5816" i="1"/>
  <c r="G5800" i="1"/>
  <c r="G5784" i="1"/>
  <c r="G5768" i="1"/>
  <c r="G5752" i="1"/>
  <c r="G5736" i="1"/>
  <c r="G5720" i="1"/>
  <c r="G5704" i="1"/>
  <c r="G5688" i="1"/>
  <c r="G5672" i="1"/>
  <c r="G5656" i="1"/>
  <c r="G5639" i="1"/>
  <c r="G5600" i="1"/>
  <c r="G5536" i="1"/>
  <c r="G5472" i="1"/>
  <c r="G5408" i="1"/>
  <c r="G5344" i="1"/>
  <c r="G5280" i="1"/>
  <c r="G5216" i="1"/>
  <c r="G5152" i="1"/>
  <c r="G5088" i="1"/>
  <c r="G5024" i="1"/>
  <c r="G4960" i="1"/>
  <c r="G4896" i="1"/>
  <c r="G4832" i="1"/>
  <c r="G4768" i="1"/>
  <c r="G4704" i="1"/>
  <c r="G4640" i="1"/>
  <c r="G4576" i="1"/>
  <c r="G4512" i="1"/>
  <c r="G4448" i="1"/>
  <c r="G4384" i="1"/>
  <c r="G4320" i="1"/>
  <c r="G4256" i="1"/>
  <c r="G4192" i="1"/>
  <c r="G4128" i="1"/>
  <c r="G4064" i="1"/>
  <c r="G4000" i="1"/>
  <c r="G3936" i="1"/>
  <c r="G3872" i="1"/>
  <c r="G3808" i="1"/>
  <c r="G3744" i="1"/>
  <c r="G3680" i="1"/>
  <c r="G3616" i="1"/>
  <c r="G3552" i="1"/>
  <c r="G3488" i="1"/>
  <c r="G3424" i="1"/>
  <c r="G3360" i="1"/>
  <c r="G3296" i="1"/>
  <c r="G3232" i="1"/>
  <c r="G3168" i="1"/>
  <c r="F8669" i="1"/>
  <c r="G8669" i="1"/>
  <c r="G8661" i="1"/>
  <c r="F8661" i="1"/>
  <c r="F8653" i="1"/>
  <c r="G8653" i="1"/>
  <c r="F8645" i="1"/>
  <c r="G8645" i="1"/>
  <c r="F8637" i="1"/>
  <c r="G8637" i="1"/>
  <c r="G8629" i="1"/>
  <c r="F8629" i="1"/>
  <c r="F8621" i="1"/>
  <c r="G8621" i="1"/>
  <c r="F8613" i="1"/>
  <c r="G8613" i="1"/>
  <c r="F8605" i="1"/>
  <c r="G8605" i="1"/>
  <c r="G8597" i="1"/>
  <c r="F8597" i="1"/>
  <c r="F8589" i="1"/>
  <c r="G8589" i="1"/>
  <c r="F8581" i="1"/>
  <c r="G8581" i="1"/>
  <c r="F8573" i="1"/>
  <c r="G8573" i="1"/>
  <c r="G8565" i="1"/>
  <c r="F8565" i="1"/>
  <c r="F8557" i="1"/>
  <c r="G8557" i="1"/>
  <c r="F8549" i="1"/>
  <c r="G8549" i="1"/>
  <c r="F8541" i="1"/>
  <c r="G8541" i="1"/>
  <c r="G8533" i="1"/>
  <c r="F8533" i="1"/>
  <c r="F8525" i="1"/>
  <c r="G8525" i="1"/>
  <c r="F8517" i="1"/>
  <c r="G8517" i="1"/>
  <c r="F8509" i="1"/>
  <c r="G8509" i="1"/>
  <c r="G8501" i="1"/>
  <c r="F8501" i="1"/>
  <c r="F8493" i="1"/>
  <c r="G8493" i="1"/>
  <c r="F8485" i="1"/>
  <c r="G8485" i="1"/>
  <c r="F8477" i="1"/>
  <c r="G8477" i="1"/>
  <c r="G8469" i="1"/>
  <c r="F8469" i="1"/>
  <c r="F8461" i="1"/>
  <c r="G8461" i="1"/>
  <c r="F8453" i="1"/>
  <c r="G8453" i="1"/>
  <c r="F8445" i="1"/>
  <c r="G8445" i="1"/>
  <c r="G8437" i="1"/>
  <c r="F8437" i="1"/>
  <c r="F8429" i="1"/>
  <c r="G8429" i="1"/>
  <c r="F8421" i="1"/>
  <c r="G8421" i="1"/>
  <c r="F8413" i="1"/>
  <c r="G8413" i="1"/>
  <c r="G8405" i="1"/>
  <c r="F8405" i="1"/>
  <c r="F8397" i="1"/>
  <c r="G8397" i="1"/>
  <c r="F8389" i="1"/>
  <c r="G8389" i="1"/>
  <c r="F8381" i="1"/>
  <c r="G8381" i="1"/>
  <c r="G8373" i="1"/>
  <c r="F8373" i="1"/>
  <c r="F8365" i="1"/>
  <c r="G8365" i="1"/>
  <c r="F8357" i="1"/>
  <c r="G8357" i="1"/>
  <c r="F8349" i="1"/>
  <c r="G8349" i="1"/>
  <c r="F8341" i="1"/>
  <c r="G8341" i="1"/>
  <c r="F8333" i="1"/>
  <c r="G8333" i="1"/>
  <c r="F8325" i="1"/>
  <c r="G8325" i="1"/>
  <c r="F8317" i="1"/>
  <c r="G8317" i="1"/>
  <c r="F8309" i="1"/>
  <c r="G8309" i="1"/>
  <c r="F8301" i="1"/>
  <c r="G8301" i="1"/>
  <c r="F8293" i="1"/>
  <c r="G8293" i="1"/>
  <c r="F8285" i="1"/>
  <c r="G8285" i="1"/>
  <c r="F8277" i="1"/>
  <c r="G8277" i="1"/>
  <c r="F8269" i="1"/>
  <c r="G8269" i="1"/>
  <c r="F8261" i="1"/>
  <c r="G8261" i="1"/>
  <c r="F8253" i="1"/>
  <c r="G8253" i="1"/>
  <c r="F8245" i="1"/>
  <c r="G8245" i="1"/>
  <c r="F8237" i="1"/>
  <c r="G8237" i="1"/>
  <c r="F8229" i="1"/>
  <c r="G8229" i="1"/>
  <c r="F8221" i="1"/>
  <c r="G8221" i="1"/>
  <c r="F8213" i="1"/>
  <c r="G8213" i="1"/>
  <c r="F8205" i="1"/>
  <c r="G8205" i="1"/>
  <c r="F8197" i="1"/>
  <c r="G8197" i="1"/>
  <c r="F8189" i="1"/>
  <c r="G8189" i="1"/>
  <c r="F8181" i="1"/>
  <c r="G8181" i="1"/>
  <c r="F8173" i="1"/>
  <c r="G8173" i="1"/>
  <c r="F8165" i="1"/>
  <c r="G8165" i="1"/>
  <c r="F8157" i="1"/>
  <c r="G8157" i="1"/>
  <c r="F8149" i="1"/>
  <c r="G8149" i="1"/>
  <c r="F8141" i="1"/>
  <c r="G8141" i="1"/>
  <c r="F8133" i="1"/>
  <c r="G8133" i="1"/>
  <c r="F8125" i="1"/>
  <c r="G8125" i="1"/>
  <c r="F8117" i="1"/>
  <c r="G8117" i="1"/>
  <c r="F8109" i="1"/>
  <c r="G8109" i="1"/>
  <c r="F8101" i="1"/>
  <c r="G8101" i="1"/>
  <c r="F8093" i="1"/>
  <c r="G8093" i="1"/>
  <c r="F8085" i="1"/>
  <c r="G8085" i="1"/>
  <c r="F8077" i="1"/>
  <c r="G8077" i="1"/>
  <c r="F8069" i="1"/>
  <c r="G8069" i="1"/>
  <c r="F8061" i="1"/>
  <c r="G8061" i="1"/>
  <c r="F8053" i="1"/>
  <c r="G8053" i="1"/>
  <c r="F8045" i="1"/>
  <c r="G8045" i="1"/>
  <c r="F8037" i="1"/>
  <c r="G8037" i="1"/>
  <c r="F8029" i="1"/>
  <c r="G8029" i="1"/>
  <c r="F8021" i="1"/>
  <c r="G8021" i="1"/>
  <c r="F8013" i="1"/>
  <c r="G8013" i="1"/>
  <c r="F8005" i="1"/>
  <c r="G8005" i="1"/>
  <c r="F7997" i="1"/>
  <c r="G7997" i="1"/>
  <c r="F7989" i="1"/>
  <c r="G7989" i="1"/>
  <c r="F7981" i="1"/>
  <c r="G7981" i="1"/>
  <c r="F7973" i="1"/>
  <c r="G7973" i="1"/>
  <c r="F7965" i="1"/>
  <c r="G7965" i="1"/>
  <c r="F7957" i="1"/>
  <c r="G7957" i="1"/>
  <c r="F7949" i="1"/>
  <c r="G7949" i="1"/>
  <c r="F7941" i="1"/>
  <c r="G7941" i="1"/>
  <c r="F7933" i="1"/>
  <c r="G7933" i="1"/>
  <c r="F7925" i="1"/>
  <c r="G7925" i="1"/>
  <c r="F7917" i="1"/>
  <c r="G7917" i="1"/>
  <c r="F7909" i="1"/>
  <c r="G7909" i="1"/>
  <c r="F7901" i="1"/>
  <c r="G7901" i="1"/>
  <c r="F7893" i="1"/>
  <c r="G7893" i="1"/>
  <c r="F7885" i="1"/>
  <c r="G7885" i="1"/>
  <c r="F7877" i="1"/>
  <c r="G7877" i="1"/>
  <c r="F7869" i="1"/>
  <c r="G7869" i="1"/>
  <c r="F7861" i="1"/>
  <c r="G7861" i="1"/>
  <c r="F7853" i="1"/>
  <c r="G7853" i="1"/>
  <c r="F7845" i="1"/>
  <c r="G7845" i="1"/>
  <c r="F7837" i="1"/>
  <c r="G7837" i="1"/>
  <c r="F7829" i="1"/>
  <c r="G7829" i="1"/>
  <c r="F7821" i="1"/>
  <c r="G7821" i="1"/>
  <c r="F7813" i="1"/>
  <c r="G7813" i="1"/>
  <c r="F7805" i="1"/>
  <c r="G7805" i="1"/>
  <c r="F7797" i="1"/>
  <c r="G7797" i="1"/>
  <c r="F7789" i="1"/>
  <c r="G7789" i="1"/>
  <c r="F7781" i="1"/>
  <c r="G7781" i="1"/>
  <c r="F7773" i="1"/>
  <c r="G7773" i="1"/>
  <c r="F7765" i="1"/>
  <c r="G7765" i="1"/>
  <c r="F7757" i="1"/>
  <c r="G7757" i="1"/>
  <c r="F7749" i="1"/>
  <c r="G7749" i="1"/>
  <c r="F7741" i="1"/>
  <c r="G7741" i="1"/>
  <c r="F7733" i="1"/>
  <c r="G7733" i="1"/>
  <c r="F7725" i="1"/>
  <c r="G7725" i="1"/>
  <c r="F7717" i="1"/>
  <c r="G7717" i="1"/>
  <c r="F7709" i="1"/>
  <c r="G7709" i="1"/>
  <c r="F7701" i="1"/>
  <c r="G7701" i="1"/>
  <c r="F7693" i="1"/>
  <c r="G7693" i="1"/>
  <c r="F7685" i="1"/>
  <c r="G7685" i="1"/>
  <c r="F7677" i="1"/>
  <c r="G7677" i="1"/>
  <c r="F7669" i="1"/>
  <c r="G7669" i="1"/>
  <c r="F7661" i="1"/>
  <c r="G7661" i="1"/>
  <c r="F7653" i="1"/>
  <c r="G7653" i="1"/>
  <c r="F7645" i="1"/>
  <c r="G7645" i="1"/>
  <c r="F7637" i="1"/>
  <c r="G7637" i="1"/>
  <c r="F7629" i="1"/>
  <c r="G7629" i="1"/>
  <c r="F7621" i="1"/>
  <c r="G7621" i="1"/>
  <c r="F7613" i="1"/>
  <c r="G7613" i="1"/>
  <c r="F7605" i="1"/>
  <c r="G7605" i="1"/>
  <c r="F7597" i="1"/>
  <c r="G7597" i="1"/>
  <c r="F7589" i="1"/>
  <c r="G7589" i="1"/>
  <c r="F7581" i="1"/>
  <c r="G7581" i="1"/>
  <c r="F7573" i="1"/>
  <c r="G7573" i="1"/>
  <c r="F7565" i="1"/>
  <c r="G7565" i="1"/>
  <c r="F7557" i="1"/>
  <c r="G7557" i="1"/>
  <c r="F7549" i="1"/>
  <c r="G7549" i="1"/>
  <c r="F7541" i="1"/>
  <c r="G7541" i="1"/>
  <c r="F7533" i="1"/>
  <c r="G7533" i="1"/>
  <c r="F7525" i="1"/>
  <c r="G7525" i="1"/>
  <c r="F7517" i="1"/>
  <c r="G7517" i="1"/>
  <c r="F7509" i="1"/>
  <c r="G7509" i="1"/>
  <c r="F7501" i="1"/>
  <c r="G7501" i="1"/>
  <c r="F7493" i="1"/>
  <c r="G7493" i="1"/>
  <c r="F7485" i="1"/>
  <c r="G7485" i="1"/>
  <c r="F7477" i="1"/>
  <c r="G7477" i="1"/>
  <c r="F7469" i="1"/>
  <c r="G7469" i="1"/>
  <c r="F7461" i="1"/>
  <c r="G7461" i="1"/>
  <c r="F7453" i="1"/>
  <c r="G7453" i="1"/>
  <c r="F7445" i="1"/>
  <c r="G7445" i="1"/>
  <c r="F7437" i="1"/>
  <c r="G7437" i="1"/>
  <c r="F7429" i="1"/>
  <c r="G7429" i="1"/>
  <c r="F7421" i="1"/>
  <c r="G7421" i="1"/>
  <c r="F7413" i="1"/>
  <c r="G7413" i="1"/>
  <c r="F7405" i="1"/>
  <c r="G7405" i="1"/>
  <c r="F7397" i="1"/>
  <c r="G7397" i="1"/>
  <c r="F7389" i="1"/>
  <c r="G7389" i="1"/>
  <c r="F7381" i="1"/>
  <c r="G7381" i="1"/>
  <c r="F7373" i="1"/>
  <c r="G7373" i="1"/>
  <c r="F7365" i="1"/>
  <c r="G7365" i="1"/>
  <c r="F7357" i="1"/>
  <c r="G7357" i="1"/>
  <c r="F7349" i="1"/>
  <c r="G7349" i="1"/>
  <c r="F7341" i="1"/>
  <c r="G7341" i="1"/>
  <c r="F7333" i="1"/>
  <c r="G7333" i="1"/>
  <c r="F7325" i="1"/>
  <c r="G7325" i="1"/>
  <c r="F7317" i="1"/>
  <c r="G7317" i="1"/>
  <c r="F7309" i="1"/>
  <c r="G7309" i="1"/>
  <c r="F7301" i="1"/>
  <c r="G7301" i="1"/>
  <c r="F7293" i="1"/>
  <c r="G7293" i="1"/>
  <c r="F7285" i="1"/>
  <c r="G7285" i="1"/>
  <c r="F7277" i="1"/>
  <c r="G7277" i="1"/>
  <c r="F7269" i="1"/>
  <c r="G7269" i="1"/>
  <c r="F7261" i="1"/>
  <c r="G7261" i="1"/>
  <c r="F7253" i="1"/>
  <c r="G7253" i="1"/>
  <c r="F7245" i="1"/>
  <c r="G7245" i="1"/>
  <c r="F7237" i="1"/>
  <c r="G7237" i="1"/>
  <c r="F7229" i="1"/>
  <c r="G7229" i="1"/>
  <c r="F7221" i="1"/>
  <c r="G7221" i="1"/>
  <c r="F7213" i="1"/>
  <c r="G7213" i="1"/>
  <c r="F7205" i="1"/>
  <c r="G7205" i="1"/>
  <c r="F7197" i="1"/>
  <c r="G7197" i="1"/>
  <c r="F7189" i="1"/>
  <c r="G7189" i="1"/>
  <c r="F7181" i="1"/>
  <c r="G7181" i="1"/>
  <c r="F7173" i="1"/>
  <c r="G7173" i="1"/>
  <c r="F7165" i="1"/>
  <c r="G7165" i="1"/>
  <c r="F7157" i="1"/>
  <c r="G7157" i="1"/>
  <c r="F7149" i="1"/>
  <c r="G7149" i="1"/>
  <c r="F7141" i="1"/>
  <c r="G7141" i="1"/>
  <c r="F7133" i="1"/>
  <c r="G7133" i="1"/>
  <c r="F7125" i="1"/>
  <c r="G7125" i="1"/>
  <c r="F7117" i="1"/>
  <c r="G7117" i="1"/>
  <c r="F7109" i="1"/>
  <c r="G7109" i="1"/>
  <c r="F7101" i="1"/>
  <c r="G7101" i="1"/>
  <c r="F7093" i="1"/>
  <c r="G7093" i="1"/>
  <c r="F7085" i="1"/>
  <c r="G7085" i="1"/>
  <c r="F7077" i="1"/>
  <c r="G7077" i="1"/>
  <c r="F7069" i="1"/>
  <c r="G7069" i="1"/>
  <c r="F7061" i="1"/>
  <c r="G7061" i="1"/>
  <c r="F7053" i="1"/>
  <c r="G7053" i="1"/>
  <c r="F7045" i="1"/>
  <c r="G7045" i="1"/>
  <c r="F7037" i="1"/>
  <c r="G7037" i="1"/>
  <c r="F7029" i="1"/>
  <c r="G7029" i="1"/>
  <c r="F7021" i="1"/>
  <c r="G7021" i="1"/>
  <c r="F7013" i="1"/>
  <c r="G7013" i="1"/>
  <c r="F7005" i="1"/>
  <c r="G7005" i="1"/>
  <c r="F6997" i="1"/>
  <c r="G6997" i="1"/>
  <c r="F6989" i="1"/>
  <c r="G6989" i="1"/>
  <c r="F6981" i="1"/>
  <c r="G6981" i="1"/>
  <c r="F6973" i="1"/>
  <c r="G6973" i="1"/>
  <c r="F6965" i="1"/>
  <c r="G6965" i="1"/>
  <c r="F6957" i="1"/>
  <c r="G6957" i="1"/>
  <c r="F6949" i="1"/>
  <c r="G6949" i="1"/>
  <c r="F6941" i="1"/>
  <c r="G6941" i="1"/>
  <c r="F6933" i="1"/>
  <c r="G6933" i="1"/>
  <c r="F6925" i="1"/>
  <c r="G6925" i="1"/>
  <c r="F6917" i="1"/>
  <c r="G6917" i="1"/>
  <c r="F6909" i="1"/>
  <c r="G6909" i="1"/>
  <c r="F6901" i="1"/>
  <c r="G6901" i="1"/>
  <c r="F6893" i="1"/>
  <c r="G6893" i="1"/>
  <c r="F6885" i="1"/>
  <c r="G6885" i="1"/>
  <c r="F6877" i="1"/>
  <c r="G6877" i="1"/>
  <c r="F6869" i="1"/>
  <c r="G6869" i="1"/>
  <c r="F6861" i="1"/>
  <c r="G6861" i="1"/>
  <c r="F6853" i="1"/>
  <c r="G6853" i="1"/>
  <c r="F6845" i="1"/>
  <c r="G6845" i="1"/>
  <c r="F6837" i="1"/>
  <c r="G6837" i="1"/>
  <c r="F6829" i="1"/>
  <c r="G6829" i="1"/>
  <c r="F6821" i="1"/>
  <c r="G6821" i="1"/>
  <c r="F6813" i="1"/>
  <c r="G6813" i="1"/>
  <c r="F6805" i="1"/>
  <c r="G6805" i="1"/>
  <c r="F6797" i="1"/>
  <c r="G6797" i="1"/>
  <c r="F6789" i="1"/>
  <c r="G6789" i="1"/>
  <c r="F6781" i="1"/>
  <c r="G6781" i="1"/>
  <c r="F6773" i="1"/>
  <c r="G6773" i="1"/>
  <c r="F6765" i="1"/>
  <c r="G6765" i="1"/>
  <c r="F6757" i="1"/>
  <c r="G6757" i="1"/>
  <c r="F6749" i="1"/>
  <c r="G6749" i="1"/>
  <c r="F6741" i="1"/>
  <c r="G6741" i="1"/>
  <c r="F6733" i="1"/>
  <c r="G6733" i="1"/>
  <c r="F6725" i="1"/>
  <c r="G6725" i="1"/>
  <c r="F6717" i="1"/>
  <c r="G6717" i="1"/>
  <c r="F6709" i="1"/>
  <c r="G6709" i="1"/>
  <c r="F6701" i="1"/>
  <c r="G6701" i="1"/>
  <c r="F6693" i="1"/>
  <c r="G6693" i="1"/>
  <c r="F6685" i="1"/>
  <c r="G6685" i="1"/>
  <c r="F6677" i="1"/>
  <c r="G6677" i="1"/>
  <c r="F6669" i="1"/>
  <c r="G6669" i="1"/>
  <c r="F6661" i="1"/>
  <c r="G6661" i="1"/>
  <c r="F6653" i="1"/>
  <c r="G6653" i="1"/>
  <c r="F6645" i="1"/>
  <c r="G6645" i="1"/>
  <c r="F6637" i="1"/>
  <c r="G6637" i="1"/>
  <c r="F6629" i="1"/>
  <c r="G6629" i="1"/>
  <c r="F6621" i="1"/>
  <c r="G6621" i="1"/>
  <c r="F6613" i="1"/>
  <c r="G6613" i="1"/>
  <c r="F6605" i="1"/>
  <c r="G6605" i="1"/>
  <c r="F6597" i="1"/>
  <c r="G6597" i="1"/>
  <c r="F6589" i="1"/>
  <c r="G6589" i="1"/>
  <c r="F6581" i="1"/>
  <c r="G6581" i="1"/>
  <c r="F6573" i="1"/>
  <c r="G6573" i="1"/>
  <c r="F6565" i="1"/>
  <c r="G6565" i="1"/>
  <c r="F6557" i="1"/>
  <c r="G6557" i="1"/>
  <c r="F6549" i="1"/>
  <c r="G6549" i="1"/>
  <c r="F6541" i="1"/>
  <c r="G6541" i="1"/>
  <c r="F6533" i="1"/>
  <c r="G6533" i="1"/>
  <c r="F6525" i="1"/>
  <c r="G6525" i="1"/>
  <c r="F6517" i="1"/>
  <c r="G6517" i="1"/>
  <c r="F6509" i="1"/>
  <c r="G6509" i="1"/>
  <c r="F6501" i="1"/>
  <c r="G6501" i="1"/>
  <c r="F6493" i="1"/>
  <c r="G6493" i="1"/>
  <c r="F6485" i="1"/>
  <c r="G6485" i="1"/>
  <c r="F6477" i="1"/>
  <c r="G6477" i="1"/>
  <c r="F6469" i="1"/>
  <c r="G6469" i="1"/>
  <c r="F6461" i="1"/>
  <c r="G6461" i="1"/>
  <c r="F6453" i="1"/>
  <c r="G6453" i="1"/>
  <c r="F6445" i="1"/>
  <c r="G6445" i="1"/>
  <c r="F6437" i="1"/>
  <c r="G6437" i="1"/>
  <c r="F6429" i="1"/>
  <c r="G6429" i="1"/>
  <c r="F6421" i="1"/>
  <c r="G6421" i="1"/>
  <c r="F6413" i="1"/>
  <c r="G6413" i="1"/>
  <c r="F6405" i="1"/>
  <c r="G6405" i="1"/>
  <c r="F6397" i="1"/>
  <c r="G6397" i="1"/>
  <c r="F6389" i="1"/>
  <c r="G6389" i="1"/>
  <c r="F6381" i="1"/>
  <c r="G6381" i="1"/>
  <c r="F6373" i="1"/>
  <c r="G6373" i="1"/>
  <c r="F6365" i="1"/>
  <c r="G6365" i="1"/>
  <c r="F6357" i="1"/>
  <c r="G6357" i="1"/>
  <c r="F6349" i="1"/>
  <c r="G6349" i="1"/>
  <c r="F6341" i="1"/>
  <c r="G6341" i="1"/>
  <c r="F6333" i="1"/>
  <c r="G6333" i="1"/>
  <c r="F6325" i="1"/>
  <c r="G6325" i="1"/>
  <c r="F6317" i="1"/>
  <c r="G6317" i="1"/>
  <c r="F6309" i="1"/>
  <c r="G6309" i="1"/>
  <c r="F6301" i="1"/>
  <c r="G6301" i="1"/>
  <c r="F6293" i="1"/>
  <c r="G6293" i="1"/>
  <c r="F6285" i="1"/>
  <c r="G6285" i="1"/>
  <c r="F6277" i="1"/>
  <c r="G6277" i="1"/>
  <c r="F6269" i="1"/>
  <c r="G6269" i="1"/>
  <c r="F6261" i="1"/>
  <c r="G6261" i="1"/>
  <c r="F6253" i="1"/>
  <c r="G6253" i="1"/>
  <c r="F6245" i="1"/>
  <c r="G6245" i="1"/>
  <c r="F6237" i="1"/>
  <c r="G6237" i="1"/>
  <c r="F6229" i="1"/>
  <c r="G6229" i="1"/>
  <c r="F6221" i="1"/>
  <c r="G6221" i="1"/>
  <c r="F6213" i="1"/>
  <c r="G6213" i="1"/>
  <c r="F6205" i="1"/>
  <c r="G6205" i="1"/>
  <c r="F6197" i="1"/>
  <c r="G6197" i="1"/>
  <c r="F6189" i="1"/>
  <c r="G6189" i="1"/>
  <c r="F6181" i="1"/>
  <c r="G6181" i="1"/>
  <c r="F6173" i="1"/>
  <c r="G6173" i="1"/>
  <c r="F6165" i="1"/>
  <c r="G6165" i="1"/>
  <c r="F6157" i="1"/>
  <c r="G6157" i="1"/>
  <c r="F6149" i="1"/>
  <c r="G6149" i="1"/>
  <c r="F6141" i="1"/>
  <c r="G6141" i="1"/>
  <c r="F6133" i="1"/>
  <c r="G6133" i="1"/>
  <c r="F6125" i="1"/>
  <c r="G6125" i="1"/>
  <c r="F6117" i="1"/>
  <c r="G6117" i="1"/>
  <c r="F6109" i="1"/>
  <c r="G6109" i="1"/>
  <c r="F6101" i="1"/>
  <c r="G6101" i="1"/>
  <c r="F6093" i="1"/>
  <c r="G6093" i="1"/>
  <c r="F6085" i="1"/>
  <c r="G6085" i="1"/>
  <c r="F6077" i="1"/>
  <c r="G6077" i="1"/>
  <c r="F6069" i="1"/>
  <c r="G6069" i="1"/>
  <c r="F6061" i="1"/>
  <c r="G6061" i="1"/>
  <c r="F6053" i="1"/>
  <c r="G6053" i="1"/>
  <c r="F6045" i="1"/>
  <c r="G6045" i="1"/>
  <c r="F6037" i="1"/>
  <c r="G6037" i="1"/>
  <c r="F6029" i="1"/>
  <c r="G6029" i="1"/>
  <c r="F6021" i="1"/>
  <c r="G6021" i="1"/>
  <c r="F6013" i="1"/>
  <c r="G6013" i="1"/>
  <c r="F6005" i="1"/>
  <c r="G6005" i="1"/>
  <c r="F5997" i="1"/>
  <c r="G5997" i="1"/>
  <c r="F5989" i="1"/>
  <c r="G5989" i="1"/>
  <c r="F5981" i="1"/>
  <c r="G5981" i="1"/>
  <c r="F5973" i="1"/>
  <c r="G5973" i="1"/>
  <c r="F5965" i="1"/>
  <c r="G5965" i="1"/>
  <c r="F5957" i="1"/>
  <c r="G5957" i="1"/>
  <c r="F5949" i="1"/>
  <c r="G5949" i="1"/>
  <c r="F5941" i="1"/>
  <c r="G5941" i="1"/>
  <c r="F5933" i="1"/>
  <c r="G5933" i="1"/>
  <c r="F5925" i="1"/>
  <c r="G5925" i="1"/>
  <c r="F5917" i="1"/>
  <c r="G5917" i="1"/>
  <c r="F5909" i="1"/>
  <c r="G5909" i="1"/>
  <c r="F5901" i="1"/>
  <c r="G5901" i="1"/>
  <c r="F5893" i="1"/>
  <c r="G5893" i="1"/>
  <c r="F5885" i="1"/>
  <c r="G5885" i="1"/>
  <c r="F5877" i="1"/>
  <c r="G5877" i="1"/>
  <c r="F5869" i="1"/>
  <c r="G5869" i="1"/>
  <c r="F5861" i="1"/>
  <c r="G5861" i="1"/>
  <c r="F5853" i="1"/>
  <c r="G5853" i="1"/>
  <c r="F5845" i="1"/>
  <c r="G5845" i="1"/>
  <c r="F5837" i="1"/>
  <c r="G5837" i="1"/>
  <c r="F5829" i="1"/>
  <c r="G5829" i="1"/>
  <c r="F5821" i="1"/>
  <c r="G5821" i="1"/>
  <c r="F5813" i="1"/>
  <c r="G5813" i="1"/>
  <c r="F5805" i="1"/>
  <c r="G5805" i="1"/>
  <c r="F5797" i="1"/>
  <c r="G5797" i="1"/>
  <c r="F5789" i="1"/>
  <c r="G5789" i="1"/>
  <c r="F5781" i="1"/>
  <c r="G5781" i="1"/>
  <c r="F5773" i="1"/>
  <c r="G5773" i="1"/>
  <c r="F5765" i="1"/>
  <c r="G5765" i="1"/>
  <c r="F5757" i="1"/>
  <c r="G5757" i="1"/>
  <c r="F5749" i="1"/>
  <c r="G5749" i="1"/>
  <c r="F5741" i="1"/>
  <c r="G5741" i="1"/>
  <c r="F5733" i="1"/>
  <c r="G5733" i="1"/>
  <c r="F5725" i="1"/>
  <c r="G5725" i="1"/>
  <c r="F5717" i="1"/>
  <c r="G5717" i="1"/>
  <c r="F5709" i="1"/>
  <c r="G5709" i="1"/>
  <c r="F5701" i="1"/>
  <c r="G5701" i="1"/>
  <c r="F5693" i="1"/>
  <c r="G5693" i="1"/>
  <c r="F5685" i="1"/>
  <c r="G5685" i="1"/>
  <c r="F5677" i="1"/>
  <c r="G5677" i="1"/>
  <c r="F5669" i="1"/>
  <c r="G5669" i="1"/>
  <c r="F5661" i="1"/>
  <c r="G5661" i="1"/>
  <c r="F5653" i="1"/>
  <c r="G5653" i="1"/>
  <c r="F5645" i="1"/>
  <c r="G5645" i="1"/>
  <c r="F5637" i="1"/>
  <c r="G5637" i="1"/>
  <c r="F5629" i="1"/>
  <c r="G5629" i="1"/>
  <c r="F5621" i="1"/>
  <c r="G5621" i="1"/>
  <c r="F5613" i="1"/>
  <c r="G5613" i="1"/>
  <c r="F5605" i="1"/>
  <c r="G5605" i="1"/>
  <c r="F5597" i="1"/>
  <c r="G5597" i="1"/>
  <c r="F5589" i="1"/>
  <c r="G5589" i="1"/>
  <c r="F5581" i="1"/>
  <c r="G5581" i="1"/>
  <c r="F5573" i="1"/>
  <c r="G5573" i="1"/>
  <c r="F5565" i="1"/>
  <c r="G5565" i="1"/>
  <c r="F5557" i="1"/>
  <c r="G5557" i="1"/>
  <c r="F5549" i="1"/>
  <c r="G5549" i="1"/>
  <c r="F5541" i="1"/>
  <c r="G5541" i="1"/>
  <c r="F5533" i="1"/>
  <c r="G5533" i="1"/>
  <c r="F5525" i="1"/>
  <c r="G5525" i="1"/>
  <c r="F5517" i="1"/>
  <c r="G5517" i="1"/>
  <c r="F5509" i="1"/>
  <c r="G5509" i="1"/>
  <c r="F5501" i="1"/>
  <c r="G5501" i="1"/>
  <c r="F5493" i="1"/>
  <c r="G5493" i="1"/>
  <c r="F5485" i="1"/>
  <c r="G5485" i="1"/>
  <c r="F5477" i="1"/>
  <c r="G5477" i="1"/>
  <c r="F5469" i="1"/>
  <c r="G5469" i="1"/>
  <c r="F5461" i="1"/>
  <c r="G5461" i="1"/>
  <c r="F5453" i="1"/>
  <c r="G5453" i="1"/>
  <c r="F5445" i="1"/>
  <c r="G5445" i="1"/>
  <c r="F5437" i="1"/>
  <c r="G5437" i="1"/>
  <c r="F5429" i="1"/>
  <c r="G5429" i="1"/>
  <c r="F5421" i="1"/>
  <c r="G5421" i="1"/>
  <c r="F5413" i="1"/>
  <c r="G5413" i="1"/>
  <c r="F5405" i="1"/>
  <c r="G5405" i="1"/>
  <c r="F5397" i="1"/>
  <c r="G5397" i="1"/>
  <c r="F5389" i="1"/>
  <c r="G5389" i="1"/>
  <c r="F5381" i="1"/>
  <c r="G5381" i="1"/>
  <c r="F5373" i="1"/>
  <c r="G5373" i="1"/>
  <c r="F5365" i="1"/>
  <c r="G5365" i="1"/>
  <c r="F5357" i="1"/>
  <c r="G5357" i="1"/>
  <c r="F5349" i="1"/>
  <c r="G5349" i="1"/>
  <c r="F5341" i="1"/>
  <c r="G5341" i="1"/>
  <c r="F5333" i="1"/>
  <c r="G5333" i="1"/>
  <c r="F5325" i="1"/>
  <c r="G5325" i="1"/>
  <c r="F5317" i="1"/>
  <c r="G5317" i="1"/>
  <c r="F5309" i="1"/>
  <c r="G5309" i="1"/>
  <c r="F5301" i="1"/>
  <c r="G5301" i="1"/>
  <c r="F5293" i="1"/>
  <c r="G5293" i="1"/>
  <c r="F5285" i="1"/>
  <c r="G5285" i="1"/>
  <c r="F5277" i="1"/>
  <c r="G5277" i="1"/>
  <c r="F5269" i="1"/>
  <c r="G5269" i="1"/>
  <c r="F5261" i="1"/>
  <c r="G5261" i="1"/>
  <c r="F5253" i="1"/>
  <c r="G5253" i="1"/>
  <c r="F5245" i="1"/>
  <c r="G5245" i="1"/>
  <c r="F5237" i="1"/>
  <c r="G5237" i="1"/>
  <c r="F5229" i="1"/>
  <c r="G5229" i="1"/>
  <c r="F5221" i="1"/>
  <c r="G5221" i="1"/>
  <c r="F5213" i="1"/>
  <c r="G5213" i="1"/>
  <c r="F5205" i="1"/>
  <c r="G5205" i="1"/>
  <c r="F5197" i="1"/>
  <c r="G5197" i="1"/>
  <c r="F5189" i="1"/>
  <c r="G5189" i="1"/>
  <c r="F5181" i="1"/>
  <c r="G5181" i="1"/>
  <c r="F5173" i="1"/>
  <c r="G5173" i="1"/>
  <c r="F5165" i="1"/>
  <c r="G5165" i="1"/>
  <c r="F5157" i="1"/>
  <c r="G5157" i="1"/>
  <c r="F5149" i="1"/>
  <c r="G5149" i="1"/>
  <c r="F5141" i="1"/>
  <c r="G5141" i="1"/>
  <c r="F5133" i="1"/>
  <c r="G5133" i="1"/>
  <c r="F5125" i="1"/>
  <c r="G5125" i="1"/>
  <c r="F5117" i="1"/>
  <c r="G5117" i="1"/>
  <c r="F5109" i="1"/>
  <c r="G5109" i="1"/>
  <c r="F5101" i="1"/>
  <c r="G5101" i="1"/>
  <c r="F5093" i="1"/>
  <c r="G5093" i="1"/>
  <c r="F5085" i="1"/>
  <c r="G5085" i="1"/>
  <c r="F5077" i="1"/>
  <c r="G5077" i="1"/>
  <c r="F5069" i="1"/>
  <c r="G5069" i="1"/>
  <c r="F5061" i="1"/>
  <c r="G5061" i="1"/>
  <c r="F5053" i="1"/>
  <c r="G5053" i="1"/>
  <c r="F5045" i="1"/>
  <c r="G5045" i="1"/>
  <c r="F5037" i="1"/>
  <c r="G5037" i="1"/>
  <c r="F5029" i="1"/>
  <c r="G5029" i="1"/>
  <c r="F5021" i="1"/>
  <c r="G5021" i="1"/>
  <c r="F5013" i="1"/>
  <c r="G5013" i="1"/>
  <c r="F5005" i="1"/>
  <c r="G5005" i="1"/>
  <c r="F4997" i="1"/>
  <c r="G4997" i="1"/>
  <c r="F4989" i="1"/>
  <c r="G4989" i="1"/>
  <c r="F4981" i="1"/>
  <c r="G4981" i="1"/>
  <c r="F4973" i="1"/>
  <c r="G4973" i="1"/>
  <c r="F4965" i="1"/>
  <c r="G4965" i="1"/>
  <c r="F4957" i="1"/>
  <c r="G4957" i="1"/>
  <c r="F4949" i="1"/>
  <c r="G4949" i="1"/>
  <c r="F4941" i="1"/>
  <c r="G4941" i="1"/>
  <c r="F4933" i="1"/>
  <c r="G4933" i="1"/>
  <c r="F4925" i="1"/>
  <c r="G4925" i="1"/>
  <c r="F4917" i="1"/>
  <c r="G4917" i="1"/>
  <c r="F4909" i="1"/>
  <c r="G4909" i="1"/>
  <c r="F4901" i="1"/>
  <c r="G4901" i="1"/>
  <c r="F4893" i="1"/>
  <c r="G4893" i="1"/>
  <c r="F4885" i="1"/>
  <c r="G4885" i="1"/>
  <c r="F4877" i="1"/>
  <c r="G4877" i="1"/>
  <c r="F4869" i="1"/>
  <c r="G4869" i="1"/>
  <c r="F4861" i="1"/>
  <c r="G4861" i="1"/>
  <c r="F4853" i="1"/>
  <c r="G4853" i="1"/>
  <c r="F4845" i="1"/>
  <c r="G4845" i="1"/>
  <c r="F4837" i="1"/>
  <c r="G4837" i="1"/>
  <c r="F4829" i="1"/>
  <c r="G4829" i="1"/>
  <c r="F4821" i="1"/>
  <c r="G4821" i="1"/>
  <c r="F4813" i="1"/>
  <c r="G4813" i="1"/>
  <c r="F4805" i="1"/>
  <c r="G4805" i="1"/>
  <c r="F4797" i="1"/>
  <c r="G4797" i="1"/>
  <c r="F4789" i="1"/>
  <c r="G4789" i="1"/>
  <c r="F4781" i="1"/>
  <c r="G4781" i="1"/>
  <c r="F4773" i="1"/>
  <c r="G4773" i="1"/>
  <c r="F4765" i="1"/>
  <c r="G4765" i="1"/>
  <c r="F4757" i="1"/>
  <c r="G4757" i="1"/>
  <c r="F4749" i="1"/>
  <c r="G4749" i="1"/>
  <c r="F4741" i="1"/>
  <c r="G4741" i="1"/>
  <c r="F4733" i="1"/>
  <c r="G4733" i="1"/>
  <c r="F4725" i="1"/>
  <c r="G4725" i="1"/>
  <c r="F4717" i="1"/>
  <c r="G4717" i="1"/>
  <c r="F4709" i="1"/>
  <c r="G4709" i="1"/>
  <c r="F4701" i="1"/>
  <c r="G4701" i="1"/>
  <c r="F4693" i="1"/>
  <c r="G4693" i="1"/>
  <c r="F4685" i="1"/>
  <c r="G4685" i="1"/>
  <c r="F4677" i="1"/>
  <c r="G4677" i="1"/>
  <c r="F4669" i="1"/>
  <c r="G4669" i="1"/>
  <c r="F4661" i="1"/>
  <c r="G4661" i="1"/>
  <c r="F4653" i="1"/>
  <c r="G4653" i="1"/>
  <c r="F4645" i="1"/>
  <c r="G4645" i="1"/>
  <c r="F4637" i="1"/>
  <c r="G4637" i="1"/>
  <c r="F4629" i="1"/>
  <c r="G4629" i="1"/>
  <c r="F4621" i="1"/>
  <c r="G4621" i="1"/>
  <c r="F4613" i="1"/>
  <c r="G4613" i="1"/>
  <c r="F4605" i="1"/>
  <c r="G4605" i="1"/>
  <c r="F4597" i="1"/>
  <c r="G4597" i="1"/>
  <c r="F4589" i="1"/>
  <c r="G4589" i="1"/>
  <c r="F4581" i="1"/>
  <c r="G4581" i="1"/>
  <c r="F4573" i="1"/>
  <c r="G4573" i="1"/>
  <c r="F4565" i="1"/>
  <c r="G4565" i="1"/>
  <c r="F4557" i="1"/>
  <c r="G4557" i="1"/>
  <c r="F4549" i="1"/>
  <c r="G4549" i="1"/>
  <c r="F4541" i="1"/>
  <c r="G4541" i="1"/>
  <c r="F4533" i="1"/>
  <c r="G4533" i="1"/>
  <c r="F4525" i="1"/>
  <c r="G4525" i="1"/>
  <c r="F4517" i="1"/>
  <c r="G4517" i="1"/>
  <c r="F4509" i="1"/>
  <c r="G4509" i="1"/>
  <c r="F4501" i="1"/>
  <c r="G4501" i="1"/>
  <c r="F4493" i="1"/>
  <c r="G4493" i="1"/>
  <c r="F4485" i="1"/>
  <c r="G4485" i="1"/>
  <c r="F4477" i="1"/>
  <c r="G4477" i="1"/>
  <c r="F4469" i="1"/>
  <c r="G4469" i="1"/>
  <c r="F4461" i="1"/>
  <c r="G4461" i="1"/>
  <c r="F4453" i="1"/>
  <c r="G4453" i="1"/>
  <c r="F4445" i="1"/>
  <c r="G4445" i="1"/>
  <c r="F4437" i="1"/>
  <c r="G4437" i="1"/>
  <c r="F4429" i="1"/>
  <c r="G4429" i="1"/>
  <c r="F4421" i="1"/>
  <c r="G4421" i="1"/>
  <c r="F4413" i="1"/>
  <c r="G4413" i="1"/>
  <c r="F4405" i="1"/>
  <c r="G4405" i="1"/>
  <c r="F4397" i="1"/>
  <c r="G4397" i="1"/>
  <c r="F4389" i="1"/>
  <c r="G4389" i="1"/>
  <c r="F4381" i="1"/>
  <c r="G4381" i="1"/>
  <c r="F4373" i="1"/>
  <c r="G4373" i="1"/>
  <c r="F4365" i="1"/>
  <c r="G4365" i="1"/>
  <c r="F4357" i="1"/>
  <c r="G4357" i="1"/>
  <c r="F4349" i="1"/>
  <c r="G4349" i="1"/>
  <c r="F4341" i="1"/>
  <c r="G4341" i="1"/>
  <c r="F4333" i="1"/>
  <c r="G4333" i="1"/>
  <c r="F4325" i="1"/>
  <c r="G4325" i="1"/>
  <c r="F4317" i="1"/>
  <c r="G4317" i="1"/>
  <c r="F4309" i="1"/>
  <c r="G4309" i="1"/>
  <c r="F4301" i="1"/>
  <c r="G4301" i="1"/>
  <c r="F4293" i="1"/>
  <c r="G4293" i="1"/>
  <c r="F4285" i="1"/>
  <c r="G4285" i="1"/>
  <c r="F4277" i="1"/>
  <c r="G4277" i="1"/>
  <c r="F4269" i="1"/>
  <c r="G4269" i="1"/>
  <c r="F4261" i="1"/>
  <c r="G4261" i="1"/>
  <c r="F4253" i="1"/>
  <c r="G4253" i="1"/>
  <c r="F4245" i="1"/>
  <c r="G4245" i="1"/>
  <c r="F4237" i="1"/>
  <c r="G4237" i="1"/>
  <c r="F4229" i="1"/>
  <c r="G4229" i="1"/>
  <c r="F4221" i="1"/>
  <c r="G4221" i="1"/>
  <c r="F4213" i="1"/>
  <c r="G4213" i="1"/>
  <c r="F4205" i="1"/>
  <c r="G4205" i="1"/>
  <c r="F4197" i="1"/>
  <c r="G4197" i="1"/>
  <c r="F4189" i="1"/>
  <c r="G4189" i="1"/>
  <c r="F4181" i="1"/>
  <c r="G4181" i="1"/>
  <c r="F4173" i="1"/>
  <c r="G4173" i="1"/>
  <c r="F4165" i="1"/>
  <c r="G4165" i="1"/>
  <c r="F4157" i="1"/>
  <c r="G4157" i="1"/>
  <c r="F4149" i="1"/>
  <c r="G4149" i="1"/>
  <c r="F4141" i="1"/>
  <c r="G4141" i="1"/>
  <c r="F4133" i="1"/>
  <c r="G4133" i="1"/>
  <c r="F4125" i="1"/>
  <c r="G4125" i="1"/>
  <c r="F4117" i="1"/>
  <c r="G4117" i="1"/>
  <c r="F4109" i="1"/>
  <c r="G4109" i="1"/>
  <c r="F4101" i="1"/>
  <c r="G4101" i="1"/>
  <c r="F4093" i="1"/>
  <c r="G4093" i="1"/>
  <c r="F4085" i="1"/>
  <c r="G4085" i="1"/>
  <c r="F4077" i="1"/>
  <c r="G4077" i="1"/>
  <c r="F4069" i="1"/>
  <c r="G4069" i="1"/>
  <c r="F4061" i="1"/>
  <c r="G4061" i="1"/>
  <c r="F4053" i="1"/>
  <c r="G4053" i="1"/>
  <c r="F4045" i="1"/>
  <c r="G4045" i="1"/>
  <c r="F4037" i="1"/>
  <c r="G4037" i="1"/>
  <c r="F4029" i="1"/>
  <c r="G4029" i="1"/>
  <c r="F4021" i="1"/>
  <c r="G4021" i="1"/>
  <c r="F4013" i="1"/>
  <c r="G4013" i="1"/>
  <c r="F4005" i="1"/>
  <c r="G4005" i="1"/>
  <c r="F3997" i="1"/>
  <c r="G3997" i="1"/>
  <c r="F3989" i="1"/>
  <c r="G3989" i="1"/>
  <c r="F3981" i="1"/>
  <c r="G3981" i="1"/>
  <c r="F3973" i="1"/>
  <c r="G3973" i="1"/>
  <c r="F3965" i="1"/>
  <c r="G3965" i="1"/>
  <c r="F3957" i="1"/>
  <c r="G3957" i="1"/>
  <c r="F3949" i="1"/>
  <c r="G3949" i="1"/>
  <c r="F3941" i="1"/>
  <c r="G3941" i="1"/>
  <c r="F3933" i="1"/>
  <c r="G3933" i="1"/>
  <c r="F3925" i="1"/>
  <c r="G3925" i="1"/>
  <c r="F3917" i="1"/>
  <c r="G3917" i="1"/>
  <c r="F3909" i="1"/>
  <c r="G3909" i="1"/>
  <c r="F3901" i="1"/>
  <c r="G3901" i="1"/>
  <c r="F3893" i="1"/>
  <c r="G3893" i="1"/>
  <c r="F3885" i="1"/>
  <c r="G3885" i="1"/>
  <c r="F3877" i="1"/>
  <c r="G3877" i="1"/>
  <c r="F3869" i="1"/>
  <c r="G3869" i="1"/>
  <c r="F3861" i="1"/>
  <c r="G3861" i="1"/>
  <c r="F3853" i="1"/>
  <c r="G3853" i="1"/>
  <c r="F3845" i="1"/>
  <c r="G3845" i="1"/>
  <c r="F3837" i="1"/>
  <c r="G3837" i="1"/>
  <c r="F3829" i="1"/>
  <c r="G3829" i="1"/>
  <c r="F3821" i="1"/>
  <c r="G3821" i="1"/>
  <c r="F3813" i="1"/>
  <c r="G3813" i="1"/>
  <c r="F3805" i="1"/>
  <c r="G3805" i="1"/>
  <c r="F3797" i="1"/>
  <c r="G3797" i="1"/>
  <c r="F3789" i="1"/>
  <c r="G3789" i="1"/>
  <c r="F3781" i="1"/>
  <c r="G3781" i="1"/>
  <c r="F3773" i="1"/>
  <c r="G3773" i="1"/>
  <c r="F3765" i="1"/>
  <c r="G3765" i="1"/>
  <c r="F3757" i="1"/>
  <c r="G3757" i="1"/>
  <c r="F3749" i="1"/>
  <c r="G3749" i="1"/>
  <c r="F3741" i="1"/>
  <c r="G3741" i="1"/>
  <c r="F3733" i="1"/>
  <c r="G3733" i="1"/>
  <c r="F3725" i="1"/>
  <c r="G3725" i="1"/>
  <c r="F3717" i="1"/>
  <c r="G3717" i="1"/>
  <c r="F3709" i="1"/>
  <c r="G3709" i="1"/>
  <c r="F3701" i="1"/>
  <c r="G3701" i="1"/>
  <c r="F3693" i="1"/>
  <c r="G3693" i="1"/>
  <c r="F3685" i="1"/>
  <c r="G3685" i="1"/>
  <c r="F3677" i="1"/>
  <c r="G3677" i="1"/>
  <c r="F3669" i="1"/>
  <c r="G3669" i="1"/>
  <c r="F3661" i="1"/>
  <c r="G3661" i="1"/>
  <c r="F3653" i="1"/>
  <c r="G3653" i="1"/>
  <c r="F3645" i="1"/>
  <c r="G3645" i="1"/>
  <c r="F3637" i="1"/>
  <c r="G3637" i="1"/>
  <c r="F3629" i="1"/>
  <c r="G3629" i="1"/>
  <c r="F3621" i="1"/>
  <c r="G3621" i="1"/>
  <c r="F3613" i="1"/>
  <c r="G3613" i="1"/>
  <c r="F3605" i="1"/>
  <c r="G3605" i="1"/>
  <c r="F3597" i="1"/>
  <c r="G3597" i="1"/>
  <c r="F3589" i="1"/>
  <c r="G3589" i="1"/>
  <c r="F3581" i="1"/>
  <c r="G3581" i="1"/>
  <c r="F3573" i="1"/>
  <c r="G3573" i="1"/>
  <c r="F3565" i="1"/>
  <c r="G3565" i="1"/>
  <c r="F3557" i="1"/>
  <c r="G3557" i="1"/>
  <c r="F3549" i="1"/>
  <c r="G3549" i="1"/>
  <c r="F3541" i="1"/>
  <c r="G3541" i="1"/>
  <c r="F3533" i="1"/>
  <c r="G3533" i="1"/>
  <c r="F3525" i="1"/>
  <c r="G3525" i="1"/>
  <c r="F3517" i="1"/>
  <c r="G3517" i="1"/>
  <c r="F3509" i="1"/>
  <c r="G3509" i="1"/>
  <c r="F3501" i="1"/>
  <c r="G3501" i="1"/>
  <c r="F3493" i="1"/>
  <c r="G3493" i="1"/>
  <c r="F3485" i="1"/>
  <c r="G3485" i="1"/>
  <c r="F3477" i="1"/>
  <c r="G3477" i="1"/>
  <c r="F3469" i="1"/>
  <c r="G3469" i="1"/>
  <c r="F3461" i="1"/>
  <c r="G3461" i="1"/>
  <c r="F3453" i="1"/>
  <c r="G3453" i="1"/>
  <c r="F3445" i="1"/>
  <c r="G3445" i="1"/>
  <c r="F3437" i="1"/>
  <c r="G3437" i="1"/>
  <c r="F3429" i="1"/>
  <c r="G3429" i="1"/>
  <c r="F3421" i="1"/>
  <c r="G3421" i="1"/>
  <c r="F3413" i="1"/>
  <c r="G3413" i="1"/>
  <c r="F3405" i="1"/>
  <c r="G3405" i="1"/>
  <c r="F3397" i="1"/>
  <c r="G3397" i="1"/>
  <c r="F3389" i="1"/>
  <c r="G3389" i="1"/>
  <c r="F3381" i="1"/>
  <c r="G3381" i="1"/>
  <c r="F3373" i="1"/>
  <c r="G3373" i="1"/>
  <c r="F3365" i="1"/>
  <c r="G3365" i="1"/>
  <c r="F3357" i="1"/>
  <c r="G3357" i="1"/>
  <c r="F3349" i="1"/>
  <c r="G3349" i="1"/>
  <c r="F3341" i="1"/>
  <c r="G3341" i="1"/>
  <c r="F3333" i="1"/>
  <c r="G3333" i="1"/>
  <c r="F3325" i="1"/>
  <c r="G3325" i="1"/>
  <c r="F3317" i="1"/>
  <c r="G3317" i="1"/>
  <c r="F3309" i="1"/>
  <c r="G3309" i="1"/>
  <c r="F3301" i="1"/>
  <c r="G3301" i="1"/>
  <c r="F3293" i="1"/>
  <c r="G3293" i="1"/>
  <c r="F3285" i="1"/>
  <c r="G3285" i="1"/>
  <c r="F3277" i="1"/>
  <c r="G3277" i="1"/>
  <c r="F3269" i="1"/>
  <c r="G3269" i="1"/>
  <c r="F3261" i="1"/>
  <c r="G3261" i="1"/>
  <c r="F3253" i="1"/>
  <c r="G3253" i="1"/>
  <c r="F3245" i="1"/>
  <c r="G3245" i="1"/>
  <c r="F3237" i="1"/>
  <c r="G3237" i="1"/>
  <c r="F3229" i="1"/>
  <c r="G3229" i="1"/>
  <c r="F3221" i="1"/>
  <c r="G3221" i="1"/>
  <c r="F3213" i="1"/>
  <c r="G3213" i="1"/>
  <c r="F3205" i="1"/>
  <c r="G3205" i="1"/>
  <c r="F3197" i="1"/>
  <c r="G3197" i="1"/>
  <c r="F3189" i="1"/>
  <c r="G3189" i="1"/>
  <c r="F3181" i="1"/>
  <c r="G3181" i="1"/>
  <c r="F3173" i="1"/>
  <c r="G3173" i="1"/>
  <c r="F3165" i="1"/>
  <c r="G3165" i="1"/>
  <c r="F3157" i="1"/>
  <c r="G3157" i="1"/>
  <c r="F3149" i="1"/>
  <c r="G3149" i="1"/>
  <c r="F3141" i="1"/>
  <c r="G3141" i="1"/>
  <c r="F3133" i="1"/>
  <c r="G3133" i="1"/>
  <c r="F3125" i="1"/>
  <c r="G3125" i="1"/>
  <c r="F3117" i="1"/>
  <c r="G3117" i="1"/>
  <c r="F3109" i="1"/>
  <c r="G3109" i="1"/>
  <c r="F3101" i="1"/>
  <c r="G3101" i="1"/>
  <c r="F3093" i="1"/>
  <c r="G3093" i="1"/>
  <c r="F3085" i="1"/>
  <c r="G3085" i="1"/>
  <c r="F3077" i="1"/>
  <c r="G3077" i="1"/>
  <c r="F3069" i="1"/>
  <c r="G3069" i="1"/>
  <c r="F3061" i="1"/>
  <c r="G3061" i="1"/>
  <c r="F3053" i="1"/>
  <c r="G3053" i="1"/>
  <c r="F3045" i="1"/>
  <c r="G3045" i="1"/>
  <c r="F3037" i="1"/>
  <c r="G3037" i="1"/>
  <c r="F3029" i="1"/>
  <c r="G3029" i="1"/>
  <c r="F3021" i="1"/>
  <c r="G3021" i="1"/>
  <c r="F3013" i="1"/>
  <c r="G3013" i="1"/>
  <c r="F3005" i="1"/>
  <c r="G3005" i="1"/>
  <c r="F2997" i="1"/>
  <c r="G2997" i="1"/>
  <c r="F2989" i="1"/>
  <c r="G2989" i="1"/>
  <c r="F2981" i="1"/>
  <c r="G2981" i="1"/>
  <c r="F2973" i="1"/>
  <c r="G2973" i="1"/>
  <c r="F2965" i="1"/>
  <c r="G2965" i="1"/>
  <c r="F2957" i="1"/>
  <c r="G2957" i="1"/>
  <c r="F2949" i="1"/>
  <c r="G2949" i="1"/>
  <c r="F2941" i="1"/>
  <c r="G2941" i="1"/>
  <c r="F2933" i="1"/>
  <c r="G2933" i="1"/>
  <c r="F2925" i="1"/>
  <c r="G2925" i="1"/>
  <c r="F2917" i="1"/>
  <c r="G2917" i="1"/>
  <c r="F2909" i="1"/>
  <c r="G2909" i="1"/>
  <c r="F2901" i="1"/>
  <c r="G2901" i="1"/>
  <c r="F2893" i="1"/>
  <c r="G2893" i="1"/>
  <c r="F2885" i="1"/>
  <c r="G2885" i="1"/>
  <c r="F2877" i="1"/>
  <c r="G2877" i="1"/>
  <c r="F2869" i="1"/>
  <c r="G2869" i="1"/>
  <c r="F2861" i="1"/>
  <c r="G2861" i="1"/>
  <c r="F2853" i="1"/>
  <c r="G2853" i="1"/>
  <c r="F2845" i="1"/>
  <c r="G2845" i="1"/>
  <c r="F2837" i="1"/>
  <c r="G2837" i="1"/>
  <c r="F2829" i="1"/>
  <c r="G2829" i="1"/>
  <c r="F2821" i="1"/>
  <c r="G2821" i="1"/>
  <c r="F2813" i="1"/>
  <c r="G2813" i="1"/>
  <c r="F2805" i="1"/>
  <c r="G2805" i="1"/>
  <c r="F2797" i="1"/>
  <c r="G2797" i="1"/>
  <c r="F2789" i="1"/>
  <c r="G2789" i="1"/>
  <c r="F2781" i="1"/>
  <c r="G2781" i="1"/>
  <c r="F2773" i="1"/>
  <c r="G2773" i="1"/>
  <c r="F2765" i="1"/>
  <c r="G2765" i="1"/>
  <c r="F2757" i="1"/>
  <c r="G2757" i="1"/>
  <c r="F2749" i="1"/>
  <c r="G2749" i="1"/>
  <c r="F2741" i="1"/>
  <c r="G2741" i="1"/>
  <c r="F2733" i="1"/>
  <c r="G2733" i="1"/>
  <c r="F2725" i="1"/>
  <c r="G2725" i="1"/>
  <c r="F2717" i="1"/>
  <c r="G2717" i="1"/>
  <c r="F2709" i="1"/>
  <c r="G2709" i="1"/>
  <c r="F2701" i="1"/>
  <c r="G2701" i="1"/>
  <c r="F2693" i="1"/>
  <c r="G2693" i="1"/>
  <c r="F2685" i="1"/>
  <c r="G2685" i="1"/>
  <c r="F2677" i="1"/>
  <c r="G2677" i="1"/>
  <c r="F2669" i="1"/>
  <c r="G2669" i="1"/>
  <c r="F2661" i="1"/>
  <c r="G2661" i="1"/>
  <c r="F2653" i="1"/>
  <c r="G2653" i="1"/>
  <c r="F2645" i="1"/>
  <c r="G2645" i="1"/>
  <c r="F2637" i="1"/>
  <c r="G2637" i="1"/>
  <c r="F2629" i="1"/>
  <c r="G2629" i="1"/>
  <c r="F2621" i="1"/>
  <c r="G2621" i="1"/>
  <c r="F2613" i="1"/>
  <c r="G2613" i="1"/>
  <c r="F2605" i="1"/>
  <c r="G2605" i="1"/>
  <c r="F2597" i="1"/>
  <c r="G2597" i="1"/>
  <c r="F2589" i="1"/>
  <c r="G2589" i="1"/>
  <c r="F2581" i="1"/>
  <c r="G2581" i="1"/>
  <c r="F2573" i="1"/>
  <c r="G2573" i="1"/>
  <c r="F2565" i="1"/>
  <c r="G2565" i="1"/>
  <c r="F2557" i="1"/>
  <c r="G2557" i="1"/>
  <c r="F2549" i="1"/>
  <c r="G2549" i="1"/>
  <c r="F2541" i="1"/>
  <c r="G2541" i="1"/>
  <c r="F2533" i="1"/>
  <c r="G2533" i="1"/>
  <c r="F2525" i="1"/>
  <c r="G2525" i="1"/>
  <c r="F2517" i="1"/>
  <c r="G2517" i="1"/>
  <c r="F2509" i="1"/>
  <c r="G2509" i="1"/>
  <c r="F2501" i="1"/>
  <c r="G2501" i="1"/>
  <c r="F2493" i="1"/>
  <c r="G2493" i="1"/>
  <c r="F2485" i="1"/>
  <c r="G2485" i="1"/>
  <c r="F2477" i="1"/>
  <c r="G2477" i="1"/>
  <c r="F2469" i="1"/>
  <c r="G2469" i="1"/>
  <c r="F2461" i="1"/>
  <c r="G2461" i="1"/>
  <c r="F2453" i="1"/>
  <c r="G2453" i="1"/>
  <c r="F2445" i="1"/>
  <c r="G2445" i="1"/>
  <c r="F2437" i="1"/>
  <c r="G2437" i="1"/>
  <c r="F2429" i="1"/>
  <c r="G2429" i="1"/>
  <c r="F2421" i="1"/>
  <c r="G2421" i="1"/>
  <c r="F2413" i="1"/>
  <c r="G2413" i="1"/>
  <c r="F2405" i="1"/>
  <c r="G2405" i="1"/>
  <c r="F2397" i="1"/>
  <c r="G2397" i="1"/>
  <c r="F2389" i="1"/>
  <c r="G2389" i="1"/>
  <c r="F2381" i="1"/>
  <c r="G2381" i="1"/>
  <c r="F2373" i="1"/>
  <c r="G2373" i="1"/>
  <c r="F2365" i="1"/>
  <c r="G2365" i="1"/>
  <c r="F2357" i="1"/>
  <c r="G2357" i="1"/>
  <c r="F2349" i="1"/>
  <c r="G2349" i="1"/>
  <c r="F2341" i="1"/>
  <c r="G2341" i="1"/>
  <c r="F2333" i="1"/>
  <c r="G2333" i="1"/>
  <c r="F2325" i="1"/>
  <c r="G2325" i="1"/>
  <c r="F2317" i="1"/>
  <c r="G2317" i="1"/>
  <c r="F2309" i="1"/>
  <c r="G2309" i="1"/>
  <c r="F2301" i="1"/>
  <c r="G2301" i="1"/>
  <c r="F2293" i="1"/>
  <c r="G2293" i="1"/>
  <c r="F2285" i="1"/>
  <c r="G2285" i="1"/>
  <c r="F2277" i="1"/>
  <c r="G2277" i="1"/>
  <c r="F2269" i="1"/>
  <c r="G2269" i="1"/>
  <c r="F2261" i="1"/>
  <c r="G2261" i="1"/>
  <c r="F2253" i="1"/>
  <c r="G2253" i="1"/>
  <c r="F2245" i="1"/>
  <c r="G2245" i="1"/>
  <c r="F2237" i="1"/>
  <c r="G2237" i="1"/>
  <c r="F2229" i="1"/>
  <c r="G2229" i="1"/>
  <c r="F2221" i="1"/>
  <c r="G2221" i="1"/>
  <c r="F2213" i="1"/>
  <c r="G2213" i="1"/>
  <c r="F2205" i="1"/>
  <c r="G2205" i="1"/>
  <c r="F2197" i="1"/>
  <c r="G2197" i="1"/>
  <c r="F2189" i="1"/>
  <c r="G2189" i="1"/>
  <c r="F2181" i="1"/>
  <c r="G2181" i="1"/>
  <c r="F2173" i="1"/>
  <c r="G2173" i="1"/>
  <c r="F2165" i="1"/>
  <c r="G2165" i="1"/>
  <c r="F2157" i="1"/>
  <c r="G2157" i="1"/>
  <c r="F2149" i="1"/>
  <c r="G2149" i="1"/>
  <c r="F2141" i="1"/>
  <c r="G2141" i="1"/>
  <c r="F2133" i="1"/>
  <c r="G2133" i="1"/>
  <c r="F2125" i="1"/>
  <c r="G2125" i="1"/>
  <c r="F2117" i="1"/>
  <c r="G2117" i="1"/>
  <c r="F2109" i="1"/>
  <c r="G2109" i="1"/>
  <c r="F2101" i="1"/>
  <c r="G2101" i="1"/>
  <c r="F2093" i="1"/>
  <c r="G2093" i="1"/>
  <c r="F2085" i="1"/>
  <c r="G2085" i="1"/>
  <c r="F2077" i="1"/>
  <c r="G2077" i="1"/>
  <c r="F2069" i="1"/>
  <c r="G2069" i="1"/>
  <c r="F2061" i="1"/>
  <c r="G2061" i="1"/>
  <c r="F2053" i="1"/>
  <c r="G2053" i="1"/>
  <c r="F2045" i="1"/>
  <c r="G2045" i="1"/>
  <c r="F2037" i="1"/>
  <c r="G2037" i="1"/>
  <c r="F2029" i="1"/>
  <c r="G2029" i="1"/>
  <c r="F2021" i="1"/>
  <c r="G2021" i="1"/>
  <c r="F2013" i="1"/>
  <c r="G2013" i="1"/>
  <c r="F2005" i="1"/>
  <c r="G2005" i="1"/>
  <c r="F1997" i="1"/>
  <c r="G1997" i="1"/>
  <c r="F1989" i="1"/>
  <c r="G1989" i="1"/>
  <c r="F1981" i="1"/>
  <c r="G1981" i="1"/>
  <c r="F1973" i="1"/>
  <c r="G1973" i="1"/>
  <c r="F1965" i="1"/>
  <c r="G1965" i="1"/>
  <c r="F1957" i="1"/>
  <c r="G1957" i="1"/>
  <c r="F1949" i="1"/>
  <c r="G1949" i="1"/>
  <c r="F1941" i="1"/>
  <c r="G1941" i="1"/>
  <c r="F1933" i="1"/>
  <c r="G1933" i="1"/>
  <c r="F1925" i="1"/>
  <c r="G1925" i="1"/>
  <c r="F1917" i="1"/>
  <c r="G1917" i="1"/>
  <c r="F1909" i="1"/>
  <c r="G1909" i="1"/>
  <c r="F1901" i="1"/>
  <c r="G1901" i="1"/>
  <c r="F1893" i="1"/>
  <c r="G1893" i="1"/>
  <c r="F1885" i="1"/>
  <c r="G1885" i="1"/>
  <c r="F1877" i="1"/>
  <c r="G1877" i="1"/>
  <c r="F1869" i="1"/>
  <c r="G1869" i="1"/>
  <c r="F1861" i="1"/>
  <c r="G1861" i="1"/>
  <c r="F1853" i="1"/>
  <c r="G1853" i="1"/>
  <c r="F1845" i="1"/>
  <c r="G1845" i="1"/>
  <c r="F1837" i="1"/>
  <c r="G1837" i="1"/>
  <c r="F1829" i="1"/>
  <c r="G1829" i="1"/>
  <c r="F1821" i="1"/>
  <c r="G1821" i="1"/>
  <c r="F1813" i="1"/>
  <c r="G1813" i="1"/>
  <c r="F1805" i="1"/>
  <c r="G1805" i="1"/>
  <c r="F1797" i="1"/>
  <c r="G1797" i="1"/>
  <c r="F1789" i="1"/>
  <c r="G1789" i="1"/>
  <c r="F1781" i="1"/>
  <c r="G1781" i="1"/>
  <c r="F1773" i="1"/>
  <c r="G1773" i="1"/>
  <c r="F1765" i="1"/>
  <c r="G1765" i="1"/>
  <c r="F1757" i="1"/>
  <c r="G1757" i="1"/>
  <c r="F1749" i="1"/>
  <c r="G1749" i="1"/>
  <c r="F1741" i="1"/>
  <c r="G1741" i="1"/>
  <c r="F1733" i="1"/>
  <c r="G1733" i="1"/>
  <c r="F1725" i="1"/>
  <c r="G1725" i="1"/>
  <c r="F1717" i="1"/>
  <c r="G1717" i="1"/>
  <c r="F1709" i="1"/>
  <c r="G1709" i="1"/>
  <c r="F1701" i="1"/>
  <c r="G1701" i="1"/>
  <c r="F1693" i="1"/>
  <c r="G1693" i="1"/>
  <c r="F1685" i="1"/>
  <c r="G1685" i="1"/>
  <c r="F1677" i="1"/>
  <c r="G1677" i="1"/>
  <c r="F1669" i="1"/>
  <c r="G1669" i="1"/>
  <c r="F1661" i="1"/>
  <c r="G1661" i="1"/>
  <c r="F1653" i="1"/>
  <c r="G1653" i="1"/>
  <c r="F1645" i="1"/>
  <c r="G1645" i="1"/>
  <c r="F1637" i="1"/>
  <c r="G1637" i="1"/>
  <c r="F1629" i="1"/>
  <c r="G1629" i="1"/>
  <c r="F1621" i="1"/>
  <c r="G1621" i="1"/>
  <c r="F1613" i="1"/>
  <c r="G1613" i="1"/>
  <c r="F1605" i="1"/>
  <c r="G1605" i="1"/>
  <c r="F1597" i="1"/>
  <c r="G1597" i="1"/>
  <c r="F1589" i="1"/>
  <c r="G1589" i="1"/>
  <c r="F1581" i="1"/>
  <c r="G1581" i="1"/>
  <c r="F1573" i="1"/>
  <c r="G1573" i="1"/>
  <c r="F1565" i="1"/>
  <c r="G1565" i="1"/>
  <c r="F1557" i="1"/>
  <c r="G1557" i="1"/>
  <c r="F1549" i="1"/>
  <c r="G1549" i="1"/>
  <c r="F1541" i="1"/>
  <c r="G1541" i="1"/>
  <c r="F1533" i="1"/>
  <c r="G1533" i="1"/>
  <c r="F1525" i="1"/>
  <c r="G1525" i="1"/>
  <c r="F1517" i="1"/>
  <c r="G1517" i="1"/>
  <c r="F1509" i="1"/>
  <c r="G1509" i="1"/>
  <c r="F1501" i="1"/>
  <c r="G1501" i="1"/>
  <c r="F1493" i="1"/>
  <c r="G1493" i="1"/>
  <c r="F1485" i="1"/>
  <c r="G1485" i="1"/>
  <c r="F1477" i="1"/>
  <c r="G1477" i="1"/>
  <c r="F1469" i="1"/>
  <c r="G1469" i="1"/>
  <c r="F1461" i="1"/>
  <c r="G1461" i="1"/>
  <c r="F1453" i="1"/>
  <c r="G1453" i="1"/>
  <c r="F1445" i="1"/>
  <c r="G1445" i="1"/>
  <c r="F1437" i="1"/>
  <c r="G1437" i="1"/>
  <c r="F1429" i="1"/>
  <c r="G1429" i="1"/>
  <c r="F1421" i="1"/>
  <c r="G1421" i="1"/>
  <c r="F1413" i="1"/>
  <c r="G1413" i="1"/>
  <c r="F1405" i="1"/>
  <c r="G1405" i="1"/>
  <c r="F1397" i="1"/>
  <c r="G1397" i="1"/>
  <c r="F1389" i="1"/>
  <c r="G1389" i="1"/>
  <c r="F1381" i="1"/>
  <c r="G1381" i="1"/>
  <c r="F1373" i="1"/>
  <c r="G1373" i="1"/>
  <c r="F1365" i="1"/>
  <c r="G1365" i="1"/>
  <c r="F1357" i="1"/>
  <c r="G1357" i="1"/>
  <c r="F1349" i="1"/>
  <c r="G1349" i="1"/>
  <c r="F1341" i="1"/>
  <c r="G1341" i="1"/>
  <c r="F1333" i="1"/>
  <c r="G1333" i="1"/>
  <c r="F1325" i="1"/>
  <c r="G1325" i="1"/>
  <c r="F1317" i="1"/>
  <c r="G1317" i="1"/>
  <c r="F1309" i="1"/>
  <c r="G1309" i="1"/>
  <c r="F1301" i="1"/>
  <c r="G1301" i="1"/>
  <c r="F1293" i="1"/>
  <c r="G1293" i="1"/>
  <c r="F1285" i="1"/>
  <c r="G1285" i="1"/>
  <c r="F1277" i="1"/>
  <c r="G1277" i="1"/>
  <c r="F1269" i="1"/>
  <c r="G1269" i="1"/>
  <c r="F1261" i="1"/>
  <c r="G1261" i="1"/>
  <c r="F1253" i="1"/>
  <c r="G1253" i="1"/>
  <c r="F1245" i="1"/>
  <c r="G1245" i="1"/>
  <c r="F1237" i="1"/>
  <c r="G1237" i="1"/>
  <c r="F1229" i="1"/>
  <c r="G1229" i="1"/>
  <c r="F1221" i="1"/>
  <c r="G1221" i="1"/>
  <c r="F1213" i="1"/>
  <c r="G1213" i="1"/>
  <c r="F1205" i="1"/>
  <c r="G1205" i="1"/>
  <c r="F1197" i="1"/>
  <c r="G1197" i="1"/>
  <c r="F1189" i="1"/>
  <c r="G1189" i="1"/>
  <c r="F1181" i="1"/>
  <c r="G1181" i="1"/>
  <c r="F1173" i="1"/>
  <c r="G1173" i="1"/>
  <c r="F1165" i="1"/>
  <c r="G1165" i="1"/>
  <c r="F1157" i="1"/>
  <c r="G1157" i="1"/>
  <c r="F1149" i="1"/>
  <c r="G1149" i="1"/>
  <c r="F1141" i="1"/>
  <c r="G1141" i="1"/>
  <c r="F1133" i="1"/>
  <c r="G1133" i="1"/>
  <c r="F1125" i="1"/>
  <c r="G1125" i="1"/>
  <c r="F1117" i="1"/>
  <c r="G1117" i="1"/>
  <c r="F1109" i="1"/>
  <c r="G1109" i="1"/>
  <c r="F1101" i="1"/>
  <c r="G1101" i="1"/>
  <c r="F1093" i="1"/>
  <c r="G1093" i="1"/>
  <c r="F1085" i="1"/>
  <c r="G1085" i="1"/>
  <c r="F1077" i="1"/>
  <c r="G1077" i="1"/>
  <c r="F1069" i="1"/>
  <c r="G1069" i="1"/>
  <c r="F1061" i="1"/>
  <c r="G1061" i="1"/>
  <c r="F1053" i="1"/>
  <c r="G1053" i="1"/>
  <c r="F1045" i="1"/>
  <c r="G1045" i="1"/>
  <c r="F1037" i="1"/>
  <c r="G1037" i="1"/>
  <c r="F1029" i="1"/>
  <c r="G1029" i="1"/>
  <c r="F1021" i="1"/>
  <c r="G1021" i="1"/>
  <c r="F1013" i="1"/>
  <c r="G1013" i="1"/>
  <c r="F1005" i="1"/>
  <c r="G1005" i="1"/>
  <c r="F997" i="1"/>
  <c r="G997" i="1"/>
  <c r="F989" i="1"/>
  <c r="G989" i="1"/>
  <c r="F981" i="1"/>
  <c r="G981" i="1"/>
  <c r="F973" i="1"/>
  <c r="G973" i="1"/>
  <c r="F965" i="1"/>
  <c r="G965" i="1"/>
  <c r="F957" i="1"/>
  <c r="G957" i="1"/>
  <c r="F949" i="1"/>
  <c r="G949" i="1"/>
  <c r="F941" i="1"/>
  <c r="G941" i="1"/>
  <c r="F933" i="1"/>
  <c r="G933" i="1"/>
  <c r="F925" i="1"/>
  <c r="G925" i="1"/>
  <c r="F917" i="1"/>
  <c r="G917" i="1"/>
  <c r="F909" i="1"/>
  <c r="G909" i="1"/>
  <c r="F901" i="1"/>
  <c r="G901" i="1"/>
  <c r="F893" i="1"/>
  <c r="G893" i="1"/>
  <c r="F885" i="1"/>
  <c r="G885" i="1"/>
  <c r="F877" i="1"/>
  <c r="G877" i="1"/>
  <c r="F869" i="1"/>
  <c r="G869" i="1"/>
  <c r="F861" i="1"/>
  <c r="G861" i="1"/>
  <c r="F853" i="1"/>
  <c r="G853" i="1"/>
  <c r="F845" i="1"/>
  <c r="G845" i="1"/>
  <c r="F837" i="1"/>
  <c r="G837" i="1"/>
  <c r="F829" i="1"/>
  <c r="G829" i="1"/>
  <c r="F821" i="1"/>
  <c r="G821" i="1"/>
  <c r="F813" i="1"/>
  <c r="G813" i="1"/>
  <c r="F805" i="1"/>
  <c r="G805" i="1"/>
  <c r="F797" i="1"/>
  <c r="G797" i="1"/>
  <c r="F789" i="1"/>
  <c r="G789" i="1"/>
  <c r="F781" i="1"/>
  <c r="G781" i="1"/>
  <c r="F773" i="1"/>
  <c r="G773" i="1"/>
  <c r="F765" i="1"/>
  <c r="G765" i="1"/>
  <c r="F757" i="1"/>
  <c r="G757" i="1"/>
  <c r="E749" i="1"/>
  <c r="F749" i="1"/>
  <c r="G749" i="1"/>
  <c r="E741" i="1"/>
  <c r="F741" i="1"/>
  <c r="G741" i="1"/>
  <c r="E733" i="1"/>
  <c r="F733" i="1"/>
  <c r="G733" i="1"/>
  <c r="E725" i="1"/>
  <c r="F725" i="1"/>
  <c r="G725" i="1"/>
  <c r="E717" i="1"/>
  <c r="F717" i="1"/>
  <c r="G717" i="1"/>
  <c r="E709" i="1"/>
  <c r="F709" i="1"/>
  <c r="G709" i="1"/>
  <c r="E701" i="1"/>
  <c r="F701" i="1"/>
  <c r="G701" i="1"/>
  <c r="E693" i="1"/>
  <c r="F693" i="1"/>
  <c r="G693" i="1"/>
  <c r="E685" i="1"/>
  <c r="F685" i="1"/>
  <c r="G685" i="1"/>
  <c r="E677" i="1"/>
  <c r="F677" i="1"/>
  <c r="G677" i="1"/>
  <c r="E669" i="1"/>
  <c r="F669" i="1"/>
  <c r="G669" i="1"/>
  <c r="E661" i="1"/>
  <c r="F661" i="1"/>
  <c r="G661" i="1"/>
  <c r="E653" i="1"/>
  <c r="F653" i="1"/>
  <c r="G653" i="1"/>
  <c r="E645" i="1"/>
  <c r="F645" i="1"/>
  <c r="G645" i="1"/>
  <c r="E637" i="1"/>
  <c r="F637" i="1"/>
  <c r="G637" i="1"/>
  <c r="E629" i="1"/>
  <c r="F629" i="1"/>
  <c r="G629" i="1"/>
  <c r="E621" i="1"/>
  <c r="F621" i="1"/>
  <c r="G621" i="1"/>
  <c r="E613" i="1"/>
  <c r="F613" i="1"/>
  <c r="G613" i="1"/>
  <c r="E605" i="1"/>
  <c r="F605" i="1"/>
  <c r="G605" i="1"/>
  <c r="E597" i="1"/>
  <c r="F597" i="1"/>
  <c r="G597" i="1"/>
  <c r="E589" i="1"/>
  <c r="F589" i="1"/>
  <c r="G589" i="1"/>
  <c r="E581" i="1"/>
  <c r="F581" i="1"/>
  <c r="G581" i="1"/>
  <c r="E573" i="1"/>
  <c r="F573" i="1"/>
  <c r="G573" i="1"/>
  <c r="E565" i="1"/>
  <c r="F565" i="1"/>
  <c r="G565" i="1"/>
  <c r="E557" i="1"/>
  <c r="F557" i="1"/>
  <c r="G557" i="1"/>
  <c r="E549" i="1"/>
  <c r="F549" i="1"/>
  <c r="G549" i="1"/>
  <c r="E541" i="1"/>
  <c r="F541" i="1"/>
  <c r="G541" i="1"/>
  <c r="E533" i="1"/>
  <c r="F533" i="1"/>
  <c r="G533" i="1"/>
  <c r="E525" i="1"/>
  <c r="F525" i="1"/>
  <c r="G525" i="1"/>
  <c r="E517" i="1"/>
  <c r="F517" i="1"/>
  <c r="G517" i="1"/>
  <c r="E509" i="1"/>
  <c r="F509" i="1"/>
  <c r="G509" i="1"/>
  <c r="E501" i="1"/>
  <c r="F501" i="1"/>
  <c r="G501" i="1"/>
  <c r="E493" i="1"/>
  <c r="F493" i="1"/>
  <c r="G493" i="1"/>
  <c r="E485" i="1"/>
  <c r="F485" i="1"/>
  <c r="G485" i="1"/>
  <c r="E477" i="1"/>
  <c r="F477" i="1"/>
  <c r="G477" i="1"/>
  <c r="E469" i="1"/>
  <c r="F469" i="1"/>
  <c r="G469" i="1"/>
  <c r="E461" i="1"/>
  <c r="F461" i="1"/>
  <c r="G461" i="1"/>
  <c r="E453" i="1"/>
  <c r="F453" i="1"/>
  <c r="G453" i="1"/>
  <c r="E445" i="1"/>
  <c r="F445" i="1"/>
  <c r="G445" i="1"/>
  <c r="E437" i="1"/>
  <c r="F437" i="1"/>
  <c r="G437" i="1"/>
  <c r="E429" i="1"/>
  <c r="F429" i="1"/>
  <c r="G429" i="1"/>
  <c r="E421" i="1"/>
  <c r="F421" i="1"/>
  <c r="G421" i="1"/>
  <c r="E413" i="1"/>
  <c r="F413" i="1"/>
  <c r="G413" i="1"/>
  <c r="E405" i="1"/>
  <c r="F405" i="1"/>
  <c r="G405" i="1"/>
  <c r="E397" i="1"/>
  <c r="F397" i="1"/>
  <c r="G397" i="1"/>
  <c r="E389" i="1"/>
  <c r="F389" i="1"/>
  <c r="G389" i="1"/>
  <c r="E381" i="1"/>
  <c r="F381" i="1"/>
  <c r="G381" i="1"/>
  <c r="E373" i="1"/>
  <c r="F373" i="1"/>
  <c r="G373" i="1"/>
  <c r="E365" i="1"/>
  <c r="F365" i="1"/>
  <c r="G365" i="1"/>
  <c r="E357" i="1"/>
  <c r="F357" i="1"/>
  <c r="G357" i="1"/>
  <c r="E349" i="1"/>
  <c r="F349" i="1"/>
  <c r="G349" i="1"/>
  <c r="E341" i="1"/>
  <c r="F341" i="1"/>
  <c r="G341" i="1"/>
  <c r="E333" i="1"/>
  <c r="F333" i="1"/>
  <c r="G333" i="1"/>
  <c r="E325" i="1"/>
  <c r="F325" i="1"/>
  <c r="G325" i="1"/>
  <c r="E317" i="1"/>
  <c r="F317" i="1"/>
  <c r="G317" i="1"/>
  <c r="F309" i="1"/>
  <c r="G309" i="1"/>
  <c r="G8489" i="1"/>
  <c r="G8425" i="1"/>
  <c r="G8361" i="1"/>
  <c r="G8297" i="1"/>
  <c r="G8233" i="1"/>
  <c r="G8169" i="1"/>
  <c r="G8105" i="1"/>
  <c r="G6471" i="1"/>
  <c r="G6455" i="1"/>
  <c r="G6439" i="1"/>
  <c r="G6423" i="1"/>
  <c r="G6407" i="1"/>
  <c r="G6391" i="1"/>
  <c r="G6375" i="1"/>
  <c r="G6359" i="1"/>
  <c r="G6343" i="1"/>
  <c r="G6327" i="1"/>
  <c r="G6311" i="1"/>
  <c r="G6295" i="1"/>
  <c r="G6279" i="1"/>
  <c r="G6263" i="1"/>
  <c r="G6247" i="1"/>
  <c r="G6231" i="1"/>
  <c r="G6215" i="1"/>
  <c r="G6199" i="1"/>
  <c r="G6183" i="1"/>
  <c r="G6167" i="1"/>
  <c r="G6151" i="1"/>
  <c r="G6135" i="1"/>
  <c r="G6119" i="1"/>
  <c r="G6103" i="1"/>
  <c r="G6087" i="1"/>
  <c r="G6071" i="1"/>
  <c r="G6055" i="1"/>
  <c r="G6039" i="1"/>
  <c r="G6023" i="1"/>
  <c r="G6007" i="1"/>
  <c r="G5991" i="1"/>
  <c r="G5975" i="1"/>
  <c r="G5959" i="1"/>
  <c r="G5943" i="1"/>
  <c r="G5927" i="1"/>
  <c r="G5911" i="1"/>
  <c r="G5895" i="1"/>
  <c r="G5879" i="1"/>
  <c r="G5863" i="1"/>
  <c r="G5847" i="1"/>
  <c r="G5831" i="1"/>
  <c r="G5815" i="1"/>
  <c r="G5799" i="1"/>
  <c r="G5783" i="1"/>
  <c r="G5767" i="1"/>
  <c r="G5751" i="1"/>
  <c r="G5735" i="1"/>
  <c r="G5719" i="1"/>
  <c r="G5703" i="1"/>
  <c r="G5687" i="1"/>
  <c r="G5671" i="1"/>
  <c r="G5655" i="1"/>
  <c r="G5592" i="1"/>
  <c r="G5528" i="1"/>
  <c r="G5464" i="1"/>
  <c r="G5400" i="1"/>
  <c r="G5336" i="1"/>
  <c r="G5272" i="1"/>
  <c r="G5208" i="1"/>
  <c r="G5144" i="1"/>
  <c r="G5080" i="1"/>
  <c r="G5016" i="1"/>
  <c r="G4952" i="1"/>
  <c r="G4888" i="1"/>
  <c r="G4824" i="1"/>
  <c r="G4760" i="1"/>
  <c r="G4696" i="1"/>
  <c r="G4632" i="1"/>
  <c r="G4568" i="1"/>
  <c r="G4504" i="1"/>
  <c r="G4440" i="1"/>
  <c r="G4376" i="1"/>
  <c r="G4312" i="1"/>
  <c r="G4248" i="1"/>
  <c r="G4184" i="1"/>
  <c r="G4120" i="1"/>
  <c r="G4056" i="1"/>
  <c r="G3992" i="1"/>
  <c r="G3928" i="1"/>
  <c r="G3864" i="1"/>
  <c r="G3800" i="1"/>
  <c r="G3736" i="1"/>
  <c r="G3672" i="1"/>
  <c r="G3608" i="1"/>
  <c r="G3544" i="1"/>
  <c r="G3480" i="1"/>
  <c r="G3416" i="1"/>
  <c r="G3352" i="1"/>
  <c r="G3288" i="1"/>
  <c r="G3224" i="1"/>
  <c r="G3160" i="1"/>
  <c r="F304" i="1"/>
  <c r="G304" i="1"/>
  <c r="F303" i="1"/>
  <c r="G303" i="1"/>
  <c r="G306" i="1"/>
  <c r="G8" i="1"/>
  <c r="E9965" i="1"/>
  <c r="E9925" i="1"/>
  <c r="E9877" i="1"/>
  <c r="E9829" i="1"/>
  <c r="E9781" i="1"/>
  <c r="E9741" i="1"/>
  <c r="E9709" i="1"/>
  <c r="E9669" i="1"/>
  <c r="E9621" i="1"/>
  <c r="E9581" i="1"/>
  <c r="E9541" i="1"/>
  <c r="E9517" i="1"/>
  <c r="E9477" i="1"/>
  <c r="E9429" i="1"/>
  <c r="E9389" i="1"/>
  <c r="E9349" i="1"/>
  <c r="E9309" i="1"/>
  <c r="E9269" i="1"/>
  <c r="E9229" i="1"/>
  <c r="E9189" i="1"/>
  <c r="E9149" i="1"/>
  <c r="E9125" i="1"/>
  <c r="E9093" i="1"/>
  <c r="E9061" i="1"/>
  <c r="E9021" i="1"/>
  <c r="E8989" i="1"/>
  <c r="E8965" i="1"/>
  <c r="E8933" i="1"/>
  <c r="E8901" i="1"/>
  <c r="E8869" i="1"/>
  <c r="E8845" i="1"/>
  <c r="E8813" i="1"/>
  <c r="E8789" i="1"/>
  <c r="E8757" i="1"/>
  <c r="E8725" i="1"/>
  <c r="E8693" i="1"/>
  <c r="E8661" i="1"/>
  <c r="E8621" i="1"/>
  <c r="E8589" i="1"/>
  <c r="E8565" i="1"/>
  <c r="E8525" i="1"/>
  <c r="E8485" i="1"/>
  <c r="E8453" i="1"/>
  <c r="E8429" i="1"/>
  <c r="E8421" i="1"/>
  <c r="E8413" i="1"/>
  <c r="E8389" i="1"/>
  <c r="E8373" i="1"/>
  <c r="E8365" i="1"/>
  <c r="E8357" i="1"/>
  <c r="E8349" i="1"/>
  <c r="E8341" i="1"/>
  <c r="E8333" i="1"/>
  <c r="E8325" i="1"/>
  <c r="E8317" i="1"/>
  <c r="E8309" i="1"/>
  <c r="E8301" i="1"/>
  <c r="E8293" i="1"/>
  <c r="E8285" i="1"/>
  <c r="E8277" i="1"/>
  <c r="E8269" i="1"/>
  <c r="E8261" i="1"/>
  <c r="E8253" i="1"/>
  <c r="E8245" i="1"/>
  <c r="E8237" i="1"/>
  <c r="E8229" i="1"/>
  <c r="E8221" i="1"/>
  <c r="E8213" i="1"/>
  <c r="E8205" i="1"/>
  <c r="E8197" i="1"/>
  <c r="E8189" i="1"/>
  <c r="E8181" i="1"/>
  <c r="E8173" i="1"/>
  <c r="E8165" i="1"/>
  <c r="E8157" i="1"/>
  <c r="E8149" i="1"/>
  <c r="E8141" i="1"/>
  <c r="E8133" i="1"/>
  <c r="E8125" i="1"/>
  <c r="E8117" i="1"/>
  <c r="E8109" i="1"/>
  <c r="E8101" i="1"/>
  <c r="E8093" i="1"/>
  <c r="E8085" i="1"/>
  <c r="E8077" i="1"/>
  <c r="E8069" i="1"/>
  <c r="E8061" i="1"/>
  <c r="E8053" i="1"/>
  <c r="E8045" i="1"/>
  <c r="E8037" i="1"/>
  <c r="E8029" i="1"/>
  <c r="E8021" i="1"/>
  <c r="E8013" i="1"/>
  <c r="E8005" i="1"/>
  <c r="E7997" i="1"/>
  <c r="E7989" i="1"/>
  <c r="E7981" i="1"/>
  <c r="E7973" i="1"/>
  <c r="E7965" i="1"/>
  <c r="E7957" i="1"/>
  <c r="E7949" i="1"/>
  <c r="E7941" i="1"/>
  <c r="E7933" i="1"/>
  <c r="E7925" i="1"/>
  <c r="E7917" i="1"/>
  <c r="E7909" i="1"/>
  <c r="E7901" i="1"/>
  <c r="E7893" i="1"/>
  <c r="E7885" i="1"/>
  <c r="E7877" i="1"/>
  <c r="E7869" i="1"/>
  <c r="E7861" i="1"/>
  <c r="E7853" i="1"/>
  <c r="E7845" i="1"/>
  <c r="E7837" i="1"/>
  <c r="E7829" i="1"/>
  <c r="E7821" i="1"/>
  <c r="E7813" i="1"/>
  <c r="E7805" i="1"/>
  <c r="E7797" i="1"/>
  <c r="E7789" i="1"/>
  <c r="E7781" i="1"/>
  <c r="E7773" i="1"/>
  <c r="E7765" i="1"/>
  <c r="E7757" i="1"/>
  <c r="E7749" i="1"/>
  <c r="E7741" i="1"/>
  <c r="E7733" i="1"/>
  <c r="E7725" i="1"/>
  <c r="E7717" i="1"/>
  <c r="E7709" i="1"/>
  <c r="E7701" i="1"/>
  <c r="E7693" i="1"/>
  <c r="E7685" i="1"/>
  <c r="E7677" i="1"/>
  <c r="E7669" i="1"/>
  <c r="E7661" i="1"/>
  <c r="E7653" i="1"/>
  <c r="E7645" i="1"/>
  <c r="E7637" i="1"/>
  <c r="E7629" i="1"/>
  <c r="E7621" i="1"/>
  <c r="E7613" i="1"/>
  <c r="E7605" i="1"/>
  <c r="E7597" i="1"/>
  <c r="E7589" i="1"/>
  <c r="E7581" i="1"/>
  <c r="E7573" i="1"/>
  <c r="E7565" i="1"/>
  <c r="E7557" i="1"/>
  <c r="E7549" i="1"/>
  <c r="E7541" i="1"/>
  <c r="E7533" i="1"/>
  <c r="E7525" i="1"/>
  <c r="E7517" i="1"/>
  <c r="E7509" i="1"/>
  <c r="E7501" i="1"/>
  <c r="E7493" i="1"/>
  <c r="E7477" i="1"/>
  <c r="E7469" i="1"/>
  <c r="E7461" i="1"/>
  <c r="E7453" i="1"/>
  <c r="E7445" i="1"/>
  <c r="E7437" i="1"/>
  <c r="E7429" i="1"/>
  <c r="E7421" i="1"/>
  <c r="E7413" i="1"/>
  <c r="E7405" i="1"/>
  <c r="E7397" i="1"/>
  <c r="E7389" i="1"/>
  <c r="E7381" i="1"/>
  <c r="E7373" i="1"/>
  <c r="E7365" i="1"/>
  <c r="E7357" i="1"/>
  <c r="E7349" i="1"/>
  <c r="E7341" i="1"/>
  <c r="E7333" i="1"/>
  <c r="E7325" i="1"/>
  <c r="E7317" i="1"/>
  <c r="E7309" i="1"/>
  <c r="E7301" i="1"/>
  <c r="E7293" i="1"/>
  <c r="E7285" i="1"/>
  <c r="E7277" i="1"/>
  <c r="E7269" i="1"/>
  <c r="E7237" i="1"/>
  <c r="E7229" i="1"/>
  <c r="E7221" i="1"/>
  <c r="E7213" i="1"/>
  <c r="E7205" i="1"/>
  <c r="E7197" i="1"/>
  <c r="E7189" i="1"/>
  <c r="E7181" i="1"/>
  <c r="E7173" i="1"/>
  <c r="E7165" i="1"/>
  <c r="E7157" i="1"/>
  <c r="E7149" i="1"/>
  <c r="E7141" i="1"/>
  <c r="E7133" i="1"/>
  <c r="E7125" i="1"/>
  <c r="E7117" i="1"/>
  <c r="E7109" i="1"/>
  <c r="E7101" i="1"/>
  <c r="E7093" i="1"/>
  <c r="E7085" i="1"/>
  <c r="E7077" i="1"/>
  <c r="E7069" i="1"/>
  <c r="E7061" i="1"/>
  <c r="E7053" i="1"/>
  <c r="E7045" i="1"/>
  <c r="E7037" i="1"/>
  <c r="E7029" i="1"/>
  <c r="E7021" i="1"/>
  <c r="E7013" i="1"/>
  <c r="E7005" i="1"/>
  <c r="E6997" i="1"/>
  <c r="E6989" i="1"/>
  <c r="E6981" i="1"/>
  <c r="E6973" i="1"/>
  <c r="E6965" i="1"/>
  <c r="E6957" i="1"/>
  <c r="E6949" i="1"/>
  <c r="E6941" i="1"/>
  <c r="E6933" i="1"/>
  <c r="E6925" i="1"/>
  <c r="E6917" i="1"/>
  <c r="E6909" i="1"/>
  <c r="E6901" i="1"/>
  <c r="E6893" i="1"/>
  <c r="E6885" i="1"/>
  <c r="E6877" i="1"/>
  <c r="E6869" i="1"/>
  <c r="E6861" i="1"/>
  <c r="E6853" i="1"/>
  <c r="E6845" i="1"/>
  <c r="E6837" i="1"/>
  <c r="E6829" i="1"/>
  <c r="E6821" i="1"/>
  <c r="E6813" i="1"/>
  <c r="E6805" i="1"/>
  <c r="E6797" i="1"/>
  <c r="E6789" i="1"/>
  <c r="E6781" i="1"/>
  <c r="E6773" i="1"/>
  <c r="E6765" i="1"/>
  <c r="E6757" i="1"/>
  <c r="E6749" i="1"/>
  <c r="E6741" i="1"/>
  <c r="E6733" i="1"/>
  <c r="E6725" i="1"/>
  <c r="E6717" i="1"/>
  <c r="E6709" i="1"/>
  <c r="E6701" i="1"/>
  <c r="E6693" i="1"/>
  <c r="E6685" i="1"/>
  <c r="E6677" i="1"/>
  <c r="E6669" i="1"/>
  <c r="E6661" i="1"/>
  <c r="E6653" i="1"/>
  <c r="E6645" i="1"/>
  <c r="E6637" i="1"/>
  <c r="E6629" i="1"/>
  <c r="E6621" i="1"/>
  <c r="E6613" i="1"/>
  <c r="E6605" i="1"/>
  <c r="E6597" i="1"/>
  <c r="E6589" i="1"/>
  <c r="E6581" i="1"/>
  <c r="E6573" i="1"/>
  <c r="E6565" i="1"/>
  <c r="E6557" i="1"/>
  <c r="E6549" i="1"/>
  <c r="E6541" i="1"/>
  <c r="E6517" i="1"/>
  <c r="E9997" i="1"/>
  <c r="E9957" i="1"/>
  <c r="E9917" i="1"/>
  <c r="E9885" i="1"/>
  <c r="E9845" i="1"/>
  <c r="E9805" i="1"/>
  <c r="E9765" i="1"/>
  <c r="E9717" i="1"/>
  <c r="E9677" i="1"/>
  <c r="E9637" i="1"/>
  <c r="E9613" i="1"/>
  <c r="E9573" i="1"/>
  <c r="E9533" i="1"/>
  <c r="E9493" i="1"/>
  <c r="E9453" i="1"/>
  <c r="E9413" i="1"/>
  <c r="E9365" i="1"/>
  <c r="E9325" i="1"/>
  <c r="E9293" i="1"/>
  <c r="E9253" i="1"/>
  <c r="E9213" i="1"/>
  <c r="E9165" i="1"/>
  <c r="E9037" i="1"/>
  <c r="E7485" i="1"/>
  <c r="E8557" i="1"/>
  <c r="E9981" i="1"/>
  <c r="E9941" i="1"/>
  <c r="E9909" i="1"/>
  <c r="E9869" i="1"/>
  <c r="E9837" i="1"/>
  <c r="E9797" i="1"/>
  <c r="E9757" i="1"/>
  <c r="E9725" i="1"/>
  <c r="E9685" i="1"/>
  <c r="E9645" i="1"/>
  <c r="E9605" i="1"/>
  <c r="E9565" i="1"/>
  <c r="E9525" i="1"/>
  <c r="E9485" i="1"/>
  <c r="E9445" i="1"/>
  <c r="E9405" i="1"/>
  <c r="E9373" i="1"/>
  <c r="E9333" i="1"/>
  <c r="E9301" i="1"/>
  <c r="E9261" i="1"/>
  <c r="E9221" i="1"/>
  <c r="E9181" i="1"/>
  <c r="E9141" i="1"/>
  <c r="E9109" i="1"/>
  <c r="E9069" i="1"/>
  <c r="E9029" i="1"/>
  <c r="E9005" i="1"/>
  <c r="E8973" i="1"/>
  <c r="E8941" i="1"/>
  <c r="E8909" i="1"/>
  <c r="E8877" i="1"/>
  <c r="E8837" i="1"/>
  <c r="E8805" i="1"/>
  <c r="E8773" i="1"/>
  <c r="E8741" i="1"/>
  <c r="E8709" i="1"/>
  <c r="E8685" i="1"/>
  <c r="E8653" i="1"/>
  <c r="E8629" i="1"/>
  <c r="E8605" i="1"/>
  <c r="E8581" i="1"/>
  <c r="E8541" i="1"/>
  <c r="E8517" i="1"/>
  <c r="E8493" i="1"/>
  <c r="E8461" i="1"/>
  <c r="E8445" i="1"/>
  <c r="E8397" i="1"/>
  <c r="E7245" i="1"/>
  <c r="E9989" i="1"/>
  <c r="E9949" i="1"/>
  <c r="E9901" i="1"/>
  <c r="E9861" i="1"/>
  <c r="E9821" i="1"/>
  <c r="E9789" i="1"/>
  <c r="E9749" i="1"/>
  <c r="E9701" i="1"/>
  <c r="E9661" i="1"/>
  <c r="E9629" i="1"/>
  <c r="E9589" i="1"/>
  <c r="E9549" i="1"/>
  <c r="E9509" i="1"/>
  <c r="E9469" i="1"/>
  <c r="E9437" i="1"/>
  <c r="E9397" i="1"/>
  <c r="E9357" i="1"/>
  <c r="E9317" i="1"/>
  <c r="E9277" i="1"/>
  <c r="E9245" i="1"/>
  <c r="E9205" i="1"/>
  <c r="E9173" i="1"/>
  <c r="E9133" i="1"/>
  <c r="E9101" i="1"/>
  <c r="E9077" i="1"/>
  <c r="E9053" i="1"/>
  <c r="E9013" i="1"/>
  <c r="E8981" i="1"/>
  <c r="E8949" i="1"/>
  <c r="E8917" i="1"/>
  <c r="E8893" i="1"/>
  <c r="E8861" i="1"/>
  <c r="E8829" i="1"/>
  <c r="E8797" i="1"/>
  <c r="E8765" i="1"/>
  <c r="E8733" i="1"/>
  <c r="E8701" i="1"/>
  <c r="E8669" i="1"/>
  <c r="E8645" i="1"/>
  <c r="E8613" i="1"/>
  <c r="E8573" i="1"/>
  <c r="E8533" i="1"/>
  <c r="E8501" i="1"/>
  <c r="E8469" i="1"/>
  <c r="E8437" i="1"/>
  <c r="E8381" i="1"/>
  <c r="E7261" i="1"/>
  <c r="E9973" i="1"/>
  <c r="E9933" i="1"/>
  <c r="E9893" i="1"/>
  <c r="E9853" i="1"/>
  <c r="E9813" i="1"/>
  <c r="E9773" i="1"/>
  <c r="E9733" i="1"/>
  <c r="E9693" i="1"/>
  <c r="E9653" i="1"/>
  <c r="E9597" i="1"/>
  <c r="E9557" i="1"/>
  <c r="E9501" i="1"/>
  <c r="E9461" i="1"/>
  <c r="E9421" i="1"/>
  <c r="E9381" i="1"/>
  <c r="E9341" i="1"/>
  <c r="E9285" i="1"/>
  <c r="E9237" i="1"/>
  <c r="E9197" i="1"/>
  <c r="E9157" i="1"/>
  <c r="E9117" i="1"/>
  <c r="E9085" i="1"/>
  <c r="E9045" i="1"/>
  <c r="E8997" i="1"/>
  <c r="E8957" i="1"/>
  <c r="E8925" i="1"/>
  <c r="E8885" i="1"/>
  <c r="E8853" i="1"/>
  <c r="E8821" i="1"/>
  <c r="E8781" i="1"/>
  <c r="E8749" i="1"/>
  <c r="E8717" i="1"/>
  <c r="E8677" i="1"/>
  <c r="E8637" i="1"/>
  <c r="E8597" i="1"/>
  <c r="E8549" i="1"/>
  <c r="E8509" i="1"/>
  <c r="E8477" i="1"/>
  <c r="E8405" i="1"/>
  <c r="E7253" i="1"/>
  <c r="E6501" i="1"/>
  <c r="E6453" i="1"/>
  <c r="E6421" i="1"/>
  <c r="E6365" i="1"/>
  <c r="E6317" i="1"/>
  <c r="E6277" i="1"/>
  <c r="E6237" i="1"/>
  <c r="E6189" i="1"/>
  <c r="E6149" i="1"/>
  <c r="E6109" i="1"/>
  <c r="E6077" i="1"/>
  <c r="E6037" i="1"/>
  <c r="E5989" i="1"/>
  <c r="E5941" i="1"/>
  <c r="E5893" i="1"/>
  <c r="E5845" i="1"/>
  <c r="E5805" i="1"/>
  <c r="E5765" i="1"/>
  <c r="E5725" i="1"/>
  <c r="E5677" i="1"/>
  <c r="E5637" i="1"/>
  <c r="E5597" i="1"/>
  <c r="E5557" i="1"/>
  <c r="E5517" i="1"/>
  <c r="E5469" i="1"/>
  <c r="E5421" i="1"/>
  <c r="E5373" i="1"/>
  <c r="E5341" i="1"/>
  <c r="E5293" i="1"/>
  <c r="E5261" i="1"/>
  <c r="E5221" i="1"/>
  <c r="E5173" i="1"/>
  <c r="E5133" i="1"/>
  <c r="E5093" i="1"/>
  <c r="E5045" i="1"/>
  <c r="E5005" i="1"/>
  <c r="E4957" i="1"/>
  <c r="E4909" i="1"/>
  <c r="E4861" i="1"/>
  <c r="E4813" i="1"/>
  <c r="E4773" i="1"/>
  <c r="E4733" i="1"/>
  <c r="E4685" i="1"/>
  <c r="E4629" i="1"/>
  <c r="E4581" i="1"/>
  <c r="E4533" i="1"/>
  <c r="E4485" i="1"/>
  <c r="E4429" i="1"/>
  <c r="E4373" i="1"/>
  <c r="E4325" i="1"/>
  <c r="E4269" i="1"/>
  <c r="E4221" i="1"/>
  <c r="E4173" i="1"/>
  <c r="E4125" i="1"/>
  <c r="E4069" i="1"/>
  <c r="E4021" i="1"/>
  <c r="E3973" i="1"/>
  <c r="E3933" i="1"/>
  <c r="E3861" i="1"/>
  <c r="E3805" i="1"/>
  <c r="E3733" i="1"/>
  <c r="E3677" i="1"/>
  <c r="E3621" i="1"/>
  <c r="E3589" i="1"/>
  <c r="E3541" i="1"/>
  <c r="E3493" i="1"/>
  <c r="E3445" i="1"/>
  <c r="E3405" i="1"/>
  <c r="E3373" i="1"/>
  <c r="E3325" i="1"/>
  <c r="E3269" i="1"/>
  <c r="E3213" i="1"/>
  <c r="E3165" i="1"/>
  <c r="E3125" i="1"/>
  <c r="E3077" i="1"/>
  <c r="E3029" i="1"/>
  <c r="E2981" i="1"/>
  <c r="E2949" i="1"/>
  <c r="E2901" i="1"/>
  <c r="E2853" i="1"/>
  <c r="E2821" i="1"/>
  <c r="E2773" i="1"/>
  <c r="E2725" i="1"/>
  <c r="E2677" i="1"/>
  <c r="E2645" i="1"/>
  <c r="E2597" i="1"/>
  <c r="E2565" i="1"/>
  <c r="E2517" i="1"/>
  <c r="E2469" i="1"/>
  <c r="E2413" i="1"/>
  <c r="E2365" i="1"/>
  <c r="E2317" i="1"/>
  <c r="E2269" i="1"/>
  <c r="E2221" i="1"/>
  <c r="E2181" i="1"/>
  <c r="E2133" i="1"/>
  <c r="E2085" i="1"/>
  <c r="E2029" i="1"/>
  <c r="E1981" i="1"/>
  <c r="E1933" i="1"/>
  <c r="E1885" i="1"/>
  <c r="E1845" i="1"/>
  <c r="E1797" i="1"/>
  <c r="E1749" i="1"/>
  <c r="E1701" i="1"/>
  <c r="E1653" i="1"/>
  <c r="E1621" i="1"/>
  <c r="E1573" i="1"/>
  <c r="E1525" i="1"/>
  <c r="E1477" i="1"/>
  <c r="E1429" i="1"/>
  <c r="E1389" i="1"/>
  <c r="E1341" i="1"/>
  <c r="E1293" i="1"/>
  <c r="E1245" i="1"/>
  <c r="E1189" i="1"/>
  <c r="E1149" i="1"/>
  <c r="E1101" i="1"/>
  <c r="E1061" i="1"/>
  <c r="E1013" i="1"/>
  <c r="E957" i="1"/>
  <c r="E909" i="1"/>
  <c r="E861" i="1"/>
  <c r="E813" i="1"/>
  <c r="E805" i="1"/>
  <c r="E757" i="1"/>
  <c r="E297" i="1"/>
  <c r="E265" i="1"/>
  <c r="E201" i="1"/>
  <c r="E137" i="1"/>
  <c r="E6469" i="1"/>
  <c r="E6405" i="1"/>
  <c r="E6381" i="1"/>
  <c r="E6333" i="1"/>
  <c r="E6269" i="1"/>
  <c r="E6213" i="1"/>
  <c r="E6165" i="1"/>
  <c r="E6125" i="1"/>
  <c r="E6085" i="1"/>
  <c r="E6029" i="1"/>
  <c r="E5981" i="1"/>
  <c r="E5925" i="1"/>
  <c r="E5877" i="1"/>
  <c r="E5829" i="1"/>
  <c r="E5781" i="1"/>
  <c r="E5733" i="1"/>
  <c r="E5685" i="1"/>
  <c r="E5629" i="1"/>
  <c r="E5581" i="1"/>
  <c r="E5533" i="1"/>
  <c r="E5485" i="1"/>
  <c r="E5437" i="1"/>
  <c r="E5389" i="1"/>
  <c r="E5333" i="1"/>
  <c r="E5285" i="1"/>
  <c r="E5237" i="1"/>
  <c r="E5181" i="1"/>
  <c r="E5125" i="1"/>
  <c r="E5069" i="1"/>
  <c r="E5013" i="1"/>
  <c r="E4965" i="1"/>
  <c r="E4917" i="1"/>
  <c r="E4869" i="1"/>
  <c r="E4829" i="1"/>
  <c r="E4781" i="1"/>
  <c r="E4725" i="1"/>
  <c r="E4677" i="1"/>
  <c r="E4637" i="1"/>
  <c r="E4589" i="1"/>
  <c r="E4541" i="1"/>
  <c r="E4493" i="1"/>
  <c r="E4445" i="1"/>
  <c r="E4405" i="1"/>
  <c r="E4357" i="1"/>
  <c r="E4317" i="1"/>
  <c r="E4285" i="1"/>
  <c r="E4245" i="1"/>
  <c r="E4197" i="1"/>
  <c r="E4149" i="1"/>
  <c r="E4109" i="1"/>
  <c r="E4085" i="1"/>
  <c r="E4037" i="1"/>
  <c r="E3989" i="1"/>
  <c r="E3957" i="1"/>
  <c r="E3909" i="1"/>
  <c r="E3885" i="1"/>
  <c r="E3837" i="1"/>
  <c r="E3789" i="1"/>
  <c r="E3765" i="1"/>
  <c r="E3717" i="1"/>
  <c r="E3669" i="1"/>
  <c r="E3629" i="1"/>
  <c r="E3581" i="1"/>
  <c r="E3533" i="1"/>
  <c r="E3517" i="1"/>
  <c r="E3469" i="1"/>
  <c r="E3421" i="1"/>
  <c r="E3357" i="1"/>
  <c r="E3309" i="1"/>
  <c r="E3261" i="1"/>
  <c r="E3221" i="1"/>
  <c r="E3181" i="1"/>
  <c r="E3133" i="1"/>
  <c r="E3085" i="1"/>
  <c r="E3037" i="1"/>
  <c r="E2989" i="1"/>
  <c r="E2957" i="1"/>
  <c r="E2909" i="1"/>
  <c r="E2861" i="1"/>
  <c r="E2805" i="1"/>
  <c r="E2765" i="1"/>
  <c r="E2717" i="1"/>
  <c r="E2669" i="1"/>
  <c r="E2621" i="1"/>
  <c r="E2589" i="1"/>
  <c r="E2541" i="1"/>
  <c r="E2493" i="1"/>
  <c r="E2461" i="1"/>
  <c r="E2421" i="1"/>
  <c r="E2389" i="1"/>
  <c r="E2341" i="1"/>
  <c r="E2293" i="1"/>
  <c r="E2245" i="1"/>
  <c r="E2197" i="1"/>
  <c r="E2165" i="1"/>
  <c r="E2117" i="1"/>
  <c r="E2069" i="1"/>
  <c r="E2037" i="1"/>
  <c r="E1989" i="1"/>
  <c r="E1941" i="1"/>
  <c r="E1917" i="1"/>
  <c r="E1877" i="1"/>
  <c r="E1829" i="1"/>
  <c r="E1805" i="1"/>
  <c r="E1765" i="1"/>
  <c r="E1725" i="1"/>
  <c r="E1677" i="1"/>
  <c r="E1637" i="1"/>
  <c r="E1597" i="1"/>
  <c r="E1565" i="1"/>
  <c r="E1517" i="1"/>
  <c r="E1469" i="1"/>
  <c r="E1421" i="1"/>
  <c r="E1397" i="1"/>
  <c r="E1365" i="1"/>
  <c r="E1317" i="1"/>
  <c r="E1269" i="1"/>
  <c r="E1237" i="1"/>
  <c r="E1197" i="1"/>
  <c r="E1165" i="1"/>
  <c r="E1117" i="1"/>
  <c r="E1077" i="1"/>
  <c r="E1037" i="1"/>
  <c r="E1005" i="1"/>
  <c r="E965" i="1"/>
  <c r="E917" i="1"/>
  <c r="E877" i="1"/>
  <c r="E853" i="1"/>
  <c r="E797" i="1"/>
  <c r="E6525" i="1"/>
  <c r="E6485" i="1"/>
  <c r="E6437" i="1"/>
  <c r="E6389" i="1"/>
  <c r="E6341" i="1"/>
  <c r="E6293" i="1"/>
  <c r="E6253" i="1"/>
  <c r="E6197" i="1"/>
  <c r="E6141" i="1"/>
  <c r="E6093" i="1"/>
  <c r="E6045" i="1"/>
  <c r="E5997" i="1"/>
  <c r="E5949" i="1"/>
  <c r="E5901" i="1"/>
  <c r="E5853" i="1"/>
  <c r="E5797" i="1"/>
  <c r="E5749" i="1"/>
  <c r="E5701" i="1"/>
  <c r="E5653" i="1"/>
  <c r="E5605" i="1"/>
  <c r="E5565" i="1"/>
  <c r="E5509" i="1"/>
  <c r="E5461" i="1"/>
  <c r="E5413" i="1"/>
  <c r="E5365" i="1"/>
  <c r="E5317" i="1"/>
  <c r="E5269" i="1"/>
  <c r="E5213" i="1"/>
  <c r="E5165" i="1"/>
  <c r="E5117" i="1"/>
  <c r="E5077" i="1"/>
  <c r="E5029" i="1"/>
  <c r="E4981" i="1"/>
  <c r="E4933" i="1"/>
  <c r="E4885" i="1"/>
  <c r="E4837" i="1"/>
  <c r="E4789" i="1"/>
  <c r="E4749" i="1"/>
  <c r="E4693" i="1"/>
  <c r="E4645" i="1"/>
  <c r="E4605" i="1"/>
  <c r="E4557" i="1"/>
  <c r="E4501" i="1"/>
  <c r="E4461" i="1"/>
  <c r="E4413" i="1"/>
  <c r="E4365" i="1"/>
  <c r="E4309" i="1"/>
  <c r="E4261" i="1"/>
  <c r="E4213" i="1"/>
  <c r="E4165" i="1"/>
  <c r="E4117" i="1"/>
  <c r="E4061" i="1"/>
  <c r="E4005" i="1"/>
  <c r="E3941" i="1"/>
  <c r="E3901" i="1"/>
  <c r="E3853" i="1"/>
  <c r="E3813" i="1"/>
  <c r="E3757" i="1"/>
  <c r="E3709" i="1"/>
  <c r="E3653" i="1"/>
  <c r="E3613" i="1"/>
  <c r="E3565" i="1"/>
  <c r="E3509" i="1"/>
  <c r="E3461" i="1"/>
  <c r="E3413" i="1"/>
  <c r="E3365" i="1"/>
  <c r="E3317" i="1"/>
  <c r="E3277" i="1"/>
  <c r="E3229" i="1"/>
  <c r="E3173" i="1"/>
  <c r="E3117" i="1"/>
  <c r="E3069" i="1"/>
  <c r="E3021" i="1"/>
  <c r="E2973" i="1"/>
  <c r="E2925" i="1"/>
  <c r="E2877" i="1"/>
  <c r="E2837" i="1"/>
  <c r="E2789" i="1"/>
  <c r="E2741" i="1"/>
  <c r="E2693" i="1"/>
  <c r="E2637" i="1"/>
  <c r="E2573" i="1"/>
  <c r="E2525" i="1"/>
  <c r="E2485" i="1"/>
  <c r="E2429" i="1"/>
  <c r="E2381" i="1"/>
  <c r="E2333" i="1"/>
  <c r="E2285" i="1"/>
  <c r="E2229" i="1"/>
  <c r="E2173" i="1"/>
  <c r="E2125" i="1"/>
  <c r="E2077" i="1"/>
  <c r="E2021" i="1"/>
  <c r="E1973" i="1"/>
  <c r="E1925" i="1"/>
  <c r="E1869" i="1"/>
  <c r="E1821" i="1"/>
  <c r="E1773" i="1"/>
  <c r="E1717" i="1"/>
  <c r="E1669" i="1"/>
  <c r="E1613" i="1"/>
  <c r="E1549" i="1"/>
  <c r="E1501" i="1"/>
  <c r="E1453" i="1"/>
  <c r="E1405" i="1"/>
  <c r="E1357" i="1"/>
  <c r="E1301" i="1"/>
  <c r="E1261" i="1"/>
  <c r="E1213" i="1"/>
  <c r="E1157" i="1"/>
  <c r="E1109" i="1"/>
  <c r="E1053" i="1"/>
  <c r="E989" i="1"/>
  <c r="E941" i="1"/>
  <c r="E893" i="1"/>
  <c r="E845" i="1"/>
  <c r="E789" i="1"/>
  <c r="E6533" i="1"/>
  <c r="E6477" i="1"/>
  <c r="E6429" i="1"/>
  <c r="E6373" i="1"/>
  <c r="E6325" i="1"/>
  <c r="E6285" i="1"/>
  <c r="E6229" i="1"/>
  <c r="E6181" i="1"/>
  <c r="E6133" i="1"/>
  <c r="E6061" i="1"/>
  <c r="E6005" i="1"/>
  <c r="E5965" i="1"/>
  <c r="E5917" i="1"/>
  <c r="E5869" i="1"/>
  <c r="E5821" i="1"/>
  <c r="E5773" i="1"/>
  <c r="E5717" i="1"/>
  <c r="E5669" i="1"/>
  <c r="E5621" i="1"/>
  <c r="E5573" i="1"/>
  <c r="E5525" i="1"/>
  <c r="E5477" i="1"/>
  <c r="E5429" i="1"/>
  <c r="E5381" i="1"/>
  <c r="E5325" i="1"/>
  <c r="E5277" i="1"/>
  <c r="E5229" i="1"/>
  <c r="E5189" i="1"/>
  <c r="E5141" i="1"/>
  <c r="E5085" i="1"/>
  <c r="E5037" i="1"/>
  <c r="E4989" i="1"/>
  <c r="E4941" i="1"/>
  <c r="E4893" i="1"/>
  <c r="E4845" i="1"/>
  <c r="E4797" i="1"/>
  <c r="E4741" i="1"/>
  <c r="E4701" i="1"/>
  <c r="E4653" i="1"/>
  <c r="E4597" i="1"/>
  <c r="E4549" i="1"/>
  <c r="E4509" i="1"/>
  <c r="E4453" i="1"/>
  <c r="E4397" i="1"/>
  <c r="E4349" i="1"/>
  <c r="E4301" i="1"/>
  <c r="E4253" i="1"/>
  <c r="E4205" i="1"/>
  <c r="E4157" i="1"/>
  <c r="E4101" i="1"/>
  <c r="E4053" i="1"/>
  <c r="E3997" i="1"/>
  <c r="E3949" i="1"/>
  <c r="E3893" i="1"/>
  <c r="E3845" i="1"/>
  <c r="E3797" i="1"/>
  <c r="E3749" i="1"/>
  <c r="E3701" i="1"/>
  <c r="E3661" i="1"/>
  <c r="E3605" i="1"/>
  <c r="E3557" i="1"/>
  <c r="E3501" i="1"/>
  <c r="E3453" i="1"/>
  <c r="E3397" i="1"/>
  <c r="E3341" i="1"/>
  <c r="E3293" i="1"/>
  <c r="E3245" i="1"/>
  <c r="E3197" i="1"/>
  <c r="E3149" i="1"/>
  <c r="E3101" i="1"/>
  <c r="E3053" i="1"/>
  <c r="E3005" i="1"/>
  <c r="E2941" i="1"/>
  <c r="E2885" i="1"/>
  <c r="E2829" i="1"/>
  <c r="E2781" i="1"/>
  <c r="E2733" i="1"/>
  <c r="E2685" i="1"/>
  <c r="E2629" i="1"/>
  <c r="E2581" i="1"/>
  <c r="E2533" i="1"/>
  <c r="E2477" i="1"/>
  <c r="E2437" i="1"/>
  <c r="E2373" i="1"/>
  <c r="E2325" i="1"/>
  <c r="E2277" i="1"/>
  <c r="E2237" i="1"/>
  <c r="E2189" i="1"/>
  <c r="E2141" i="1"/>
  <c r="E2093" i="1"/>
  <c r="E2045" i="1"/>
  <c r="E1997" i="1"/>
  <c r="E1957" i="1"/>
  <c r="E1893" i="1"/>
  <c r="E1861" i="1"/>
  <c r="E1813" i="1"/>
  <c r="E1757" i="1"/>
  <c r="E1709" i="1"/>
  <c r="E1661" i="1"/>
  <c r="E1605" i="1"/>
  <c r="E1557" i="1"/>
  <c r="E1509" i="1"/>
  <c r="E1461" i="1"/>
  <c r="E1413" i="1"/>
  <c r="E1349" i="1"/>
  <c r="E1309" i="1"/>
  <c r="E1253" i="1"/>
  <c r="E1205" i="1"/>
  <c r="E1141" i="1"/>
  <c r="E1093" i="1"/>
  <c r="E1045" i="1"/>
  <c r="E997" i="1"/>
  <c r="E949" i="1"/>
  <c r="E901" i="1"/>
  <c r="E837" i="1"/>
  <c r="E781" i="1"/>
  <c r="E103" i="1"/>
  <c r="E281" i="1"/>
  <c r="E217" i="1"/>
  <c r="E153" i="1"/>
  <c r="E6493" i="1"/>
  <c r="E6445" i="1"/>
  <c r="E6397" i="1"/>
  <c r="E6349" i="1"/>
  <c r="E6301" i="1"/>
  <c r="E6245" i="1"/>
  <c r="E6205" i="1"/>
  <c r="E6157" i="1"/>
  <c r="E6101" i="1"/>
  <c r="E6053" i="1"/>
  <c r="E6013" i="1"/>
  <c r="E5957" i="1"/>
  <c r="E5909" i="1"/>
  <c r="E5861" i="1"/>
  <c r="E5813" i="1"/>
  <c r="E5757" i="1"/>
  <c r="E5709" i="1"/>
  <c r="E5661" i="1"/>
  <c r="E5613" i="1"/>
  <c r="E5549" i="1"/>
  <c r="E5501" i="1"/>
  <c r="E5453" i="1"/>
  <c r="E5397" i="1"/>
  <c r="E5357" i="1"/>
  <c r="E5309" i="1"/>
  <c r="E5253" i="1"/>
  <c r="E5205" i="1"/>
  <c r="E5157" i="1"/>
  <c r="E5109" i="1"/>
  <c r="E5061" i="1"/>
  <c r="E5021" i="1"/>
  <c r="E4973" i="1"/>
  <c r="E4925" i="1"/>
  <c r="E4877" i="1"/>
  <c r="E4821" i="1"/>
  <c r="E4765" i="1"/>
  <c r="E4717" i="1"/>
  <c r="E4669" i="1"/>
  <c r="E4621" i="1"/>
  <c r="E4573" i="1"/>
  <c r="E4525" i="1"/>
  <c r="E4477" i="1"/>
  <c r="E4437" i="1"/>
  <c r="E4381" i="1"/>
  <c r="E4333" i="1"/>
  <c r="E4277" i="1"/>
  <c r="E4229" i="1"/>
  <c r="E4181" i="1"/>
  <c r="E4133" i="1"/>
  <c r="E4077" i="1"/>
  <c r="E4029" i="1"/>
  <c r="E3981" i="1"/>
  <c r="E3925" i="1"/>
  <c r="E3877" i="1"/>
  <c r="E3829" i="1"/>
  <c r="E3781" i="1"/>
  <c r="E3741" i="1"/>
  <c r="E3693" i="1"/>
  <c r="E3645" i="1"/>
  <c r="E3597" i="1"/>
  <c r="E3549" i="1"/>
  <c r="E3485" i="1"/>
  <c r="E3429" i="1"/>
  <c r="E3381" i="1"/>
  <c r="E3333" i="1"/>
  <c r="E3285" i="1"/>
  <c r="E3237" i="1"/>
  <c r="E3189" i="1"/>
  <c r="E3141" i="1"/>
  <c r="E3093" i="1"/>
  <c r="E3045" i="1"/>
  <c r="E2997" i="1"/>
  <c r="E2933" i="1"/>
  <c r="E2893" i="1"/>
  <c r="E2845" i="1"/>
  <c r="E2797" i="1"/>
  <c r="E2749" i="1"/>
  <c r="E2701" i="1"/>
  <c r="E2661" i="1"/>
  <c r="E2605" i="1"/>
  <c r="E2549" i="1"/>
  <c r="E2501" i="1"/>
  <c r="E2453" i="1"/>
  <c r="E2405" i="1"/>
  <c r="E2357" i="1"/>
  <c r="E2309" i="1"/>
  <c r="E2261" i="1"/>
  <c r="E2205" i="1"/>
  <c r="E2149" i="1"/>
  <c r="E2101" i="1"/>
  <c r="E2061" i="1"/>
  <c r="E2013" i="1"/>
  <c r="E1949" i="1"/>
  <c r="E1909" i="1"/>
  <c r="E1853" i="1"/>
  <c r="E1781" i="1"/>
  <c r="E1733" i="1"/>
  <c r="E1685" i="1"/>
  <c r="E1629" i="1"/>
  <c r="E1581" i="1"/>
  <c r="E1533" i="1"/>
  <c r="E1485" i="1"/>
  <c r="E1437" i="1"/>
  <c r="E1381" i="1"/>
  <c r="E1325" i="1"/>
  <c r="E1285" i="1"/>
  <c r="E1229" i="1"/>
  <c r="E1181" i="1"/>
  <c r="E1133" i="1"/>
  <c r="E1085" i="1"/>
  <c r="E1029" i="1"/>
  <c r="E981" i="1"/>
  <c r="E933" i="1"/>
  <c r="E885" i="1"/>
  <c r="E829" i="1"/>
  <c r="E773" i="1"/>
  <c r="E6509" i="1"/>
  <c r="E6461" i="1"/>
  <c r="E6413" i="1"/>
  <c r="E6357" i="1"/>
  <c r="E6309" i="1"/>
  <c r="E6261" i="1"/>
  <c r="E6221" i="1"/>
  <c r="E6173" i="1"/>
  <c r="E6117" i="1"/>
  <c r="E6069" i="1"/>
  <c r="E6021" i="1"/>
  <c r="E5973" i="1"/>
  <c r="E5933" i="1"/>
  <c r="E5885" i="1"/>
  <c r="E5837" i="1"/>
  <c r="E5789" i="1"/>
  <c r="E5741" i="1"/>
  <c r="E5693" i="1"/>
  <c r="E5645" i="1"/>
  <c r="E5589" i="1"/>
  <c r="E5541" i="1"/>
  <c r="E5493" i="1"/>
  <c r="E5445" i="1"/>
  <c r="E5405" i="1"/>
  <c r="E5349" i="1"/>
  <c r="E5301" i="1"/>
  <c r="E5245" i="1"/>
  <c r="E5197" i="1"/>
  <c r="E5149" i="1"/>
  <c r="E5101" i="1"/>
  <c r="E5053" i="1"/>
  <c r="E4997" i="1"/>
  <c r="E4949" i="1"/>
  <c r="E4901" i="1"/>
  <c r="E4853" i="1"/>
  <c r="E4805" i="1"/>
  <c r="E4757" i="1"/>
  <c r="E4709" i="1"/>
  <c r="E4661" i="1"/>
  <c r="E4613" i="1"/>
  <c r="E4565" i="1"/>
  <c r="E4517" i="1"/>
  <c r="E4469" i="1"/>
  <c r="E4421" i="1"/>
  <c r="E4389" i="1"/>
  <c r="E4341" i="1"/>
  <c r="E4293" i="1"/>
  <c r="E4237" i="1"/>
  <c r="E4189" i="1"/>
  <c r="E4141" i="1"/>
  <c r="E4093" i="1"/>
  <c r="E4045" i="1"/>
  <c r="E4013" i="1"/>
  <c r="E3965" i="1"/>
  <c r="E3917" i="1"/>
  <c r="E3869" i="1"/>
  <c r="E3821" i="1"/>
  <c r="E3773" i="1"/>
  <c r="E3725" i="1"/>
  <c r="E3685" i="1"/>
  <c r="E3637" i="1"/>
  <c r="E3573" i="1"/>
  <c r="E3525" i="1"/>
  <c r="E3477" i="1"/>
  <c r="E3437" i="1"/>
  <c r="E3389" i="1"/>
  <c r="E3349" i="1"/>
  <c r="E3301" i="1"/>
  <c r="E3253" i="1"/>
  <c r="E3205" i="1"/>
  <c r="E3157" i="1"/>
  <c r="E3109" i="1"/>
  <c r="E3061" i="1"/>
  <c r="E3013" i="1"/>
  <c r="E2965" i="1"/>
  <c r="E2917" i="1"/>
  <c r="E2869" i="1"/>
  <c r="E2813" i="1"/>
  <c r="E2757" i="1"/>
  <c r="E2709" i="1"/>
  <c r="E2653" i="1"/>
  <c r="E2613" i="1"/>
  <c r="E2557" i="1"/>
  <c r="E2509" i="1"/>
  <c r="E2445" i="1"/>
  <c r="E2397" i="1"/>
  <c r="E2349" i="1"/>
  <c r="E2301" i="1"/>
  <c r="E2253" i="1"/>
  <c r="E2213" i="1"/>
  <c r="E2157" i="1"/>
  <c r="E2109" i="1"/>
  <c r="E2053" i="1"/>
  <c r="E2005" i="1"/>
  <c r="E1965" i="1"/>
  <c r="E1901" i="1"/>
  <c r="E1837" i="1"/>
  <c r="E1789" i="1"/>
  <c r="E1741" i="1"/>
  <c r="E1693" i="1"/>
  <c r="E1645" i="1"/>
  <c r="E1589" i="1"/>
  <c r="E1541" i="1"/>
  <c r="E1493" i="1"/>
  <c r="E1445" i="1"/>
  <c r="E1373" i="1"/>
  <c r="E1333" i="1"/>
  <c r="E1277" i="1"/>
  <c r="E1221" i="1"/>
  <c r="E1173" i="1"/>
  <c r="E1125" i="1"/>
  <c r="E1069" i="1"/>
  <c r="E1021" i="1"/>
  <c r="E973" i="1"/>
  <c r="E925" i="1"/>
  <c r="E869" i="1"/>
  <c r="E821" i="1"/>
  <c r="E765" i="1"/>
  <c r="E9995" i="1"/>
  <c r="E9987" i="1"/>
  <c r="E9979" i="1"/>
  <c r="E9971" i="1"/>
  <c r="E9963" i="1"/>
  <c r="E9955" i="1"/>
  <c r="E9947" i="1"/>
  <c r="E9939" i="1"/>
  <c r="E9931" i="1"/>
  <c r="E309" i="1"/>
  <c r="E107" i="1"/>
  <c r="E106" i="1"/>
  <c r="E70" i="1"/>
  <c r="E38" i="1"/>
  <c r="E95" i="1"/>
  <c r="E63" i="1"/>
  <c r="E31" i="1"/>
  <c r="E94" i="1"/>
  <c r="E62" i="1"/>
  <c r="E30" i="1"/>
  <c r="E87" i="1"/>
  <c r="E55" i="1"/>
  <c r="E23" i="1"/>
  <c r="E86" i="1"/>
  <c r="E54" i="1"/>
  <c r="E22" i="1"/>
  <c r="E79" i="1"/>
  <c r="E47" i="1"/>
  <c r="E15" i="1"/>
  <c r="E78" i="1"/>
  <c r="E46" i="1"/>
  <c r="E14" i="1"/>
  <c r="E71" i="1"/>
  <c r="E39" i="1"/>
  <c r="E7" i="1"/>
  <c r="E101" i="1"/>
  <c r="E93" i="1"/>
  <c r="E85" i="1"/>
  <c r="E77" i="1"/>
  <c r="E69" i="1"/>
  <c r="E61" i="1"/>
  <c r="E53" i="1"/>
  <c r="E45" i="1"/>
  <c r="E37" i="1"/>
  <c r="E29" i="1"/>
  <c r="E21" i="1"/>
  <c r="E13" i="1"/>
  <c r="E108" i="1"/>
  <c r="E100" i="1"/>
  <c r="E92" i="1"/>
  <c r="E84" i="1"/>
  <c r="E76" i="1"/>
  <c r="E68" i="1"/>
  <c r="E60" i="1"/>
  <c r="E52" i="1"/>
  <c r="E44" i="1"/>
  <c r="E36" i="1"/>
  <c r="E28" i="1"/>
  <c r="E20" i="1"/>
  <c r="E12" i="1"/>
  <c r="E99" i="1"/>
  <c r="E91" i="1"/>
  <c r="E83" i="1"/>
  <c r="E75" i="1"/>
  <c r="E67" i="1"/>
  <c r="E59" i="1"/>
  <c r="E51" i="1"/>
  <c r="E43" i="1"/>
  <c r="E35" i="1"/>
  <c r="E27" i="1"/>
  <c r="E19" i="1"/>
  <c r="E11" i="1"/>
  <c r="E98" i="1"/>
  <c r="E90" i="1"/>
  <c r="E82" i="1"/>
  <c r="E74" i="1"/>
  <c r="E66" i="1"/>
  <c r="E58" i="1"/>
  <c r="E50" i="1"/>
  <c r="E42" i="1"/>
  <c r="E34" i="1"/>
  <c r="E26" i="1"/>
  <c r="E18" i="1"/>
  <c r="E10" i="1"/>
  <c r="E5" i="1"/>
  <c r="F5" i="1" s="1"/>
  <c r="I5" i="1" s="1"/>
  <c r="L5" i="1" s="1"/>
  <c r="E4" i="1"/>
  <c r="F4" i="1" s="1"/>
  <c r="I4" i="1" s="1"/>
  <c r="L4" i="1" s="1"/>
  <c r="E3" i="1"/>
  <c r="H4" i="1" l="1"/>
  <c r="K4" i="1" s="1"/>
  <c r="H5" i="1"/>
  <c r="K5" i="1" s="1"/>
  <c r="F2" i="1"/>
  <c r="F3" i="1"/>
  <c r="G5" i="1"/>
  <c r="G4" i="1"/>
  <c r="J4" i="1" l="1"/>
  <c r="J5" i="1"/>
  <c r="G2" i="1"/>
  <c r="I2" i="1"/>
  <c r="L2" i="1" s="1"/>
  <c r="H2" i="1"/>
  <c r="K2" i="1" s="1"/>
  <c r="G3" i="1"/>
  <c r="I3" i="1"/>
  <c r="L3" i="1" s="1"/>
  <c r="H3" i="1"/>
  <c r="K3" i="1" s="1"/>
  <c r="J3" i="1" l="1"/>
  <c r="J2" i="1"/>
</calcChain>
</file>

<file path=xl/sharedStrings.xml><?xml version="1.0" encoding="utf-8"?>
<sst xmlns="http://schemas.openxmlformats.org/spreadsheetml/2006/main" count="40" uniqueCount="34">
  <si>
    <t>Birthweight (grams)</t>
  </si>
  <si>
    <t>Gestation (days)</t>
  </si>
  <si>
    <t>Birthweight Centile</t>
  </si>
  <si>
    <t>Birthweight Z-Score</t>
  </si>
  <si>
    <t>Male</t>
  </si>
  <si>
    <t>Female</t>
  </si>
  <si>
    <t>Unknown</t>
  </si>
  <si>
    <t>Fetal Sex (Male, Female or Unknown)</t>
  </si>
  <si>
    <t>Is Data Valid</t>
  </si>
  <si>
    <t>BW40</t>
  </si>
  <si>
    <t>BW40_3705</t>
  </si>
  <si>
    <t>BW_GA</t>
  </si>
  <si>
    <t>DO NOT EDIT VALUES IN THIS COLUMN</t>
  </si>
  <si>
    <r>
      <t xml:space="preserve">Standard Deviation of Birthweight at 40 weeks
</t>
    </r>
    <r>
      <rPr>
        <sz val="11"/>
        <color theme="1"/>
        <rFont val="Calibri"/>
        <family val="2"/>
        <scheme val="minor"/>
      </rPr>
      <t>(expressed as a % of mean birthweight)</t>
    </r>
  </si>
  <si>
    <t>Birthweight Z-Score (BW-10%)</t>
  </si>
  <si>
    <t>Birthweight Z-Score (BW+10%)</t>
  </si>
  <si>
    <t>Birthweight Centile (BW-10%)</t>
  </si>
  <si>
    <t>Birthweight Centile (BW+10%)</t>
  </si>
  <si>
    <t>Mean Birthweight at 40 weeks by Sex</t>
  </si>
  <si>
    <t>Data Source</t>
  </si>
  <si>
    <t>Standard Deviation (%)</t>
  </si>
  <si>
    <t>Male (g)</t>
  </si>
  <si>
    <t>Female (g)</t>
  </si>
  <si>
    <t>AIHW 2013-2023</t>
  </si>
  <si>
    <t>Selected Data Source</t>
  </si>
  <si>
    <t>Values outside this box are not selectable</t>
  </si>
  <si>
    <t>Reference</t>
  </si>
  <si>
    <t>THIS COLUMN IS POPULATED FROM THE SELECTED DATA SOURCE</t>
  </si>
  <si>
    <t>Unknown (g)</t>
  </si>
  <si>
    <t>AIHW 2004-2013</t>
  </si>
  <si>
    <t>https://www.aihw.gov.au/reports/mothers-babies/australias-mothers-babies/data</t>
  </si>
  <si>
    <t>https://www.aihw.gov.au/reports/mothers-babies/australias-mothers-babies/archived-content</t>
  </si>
  <si>
    <r>
      <rPr>
        <b/>
        <sz val="11"/>
        <color theme="1"/>
        <rFont val="Calibri"/>
        <family val="2"/>
        <scheme val="minor"/>
      </rPr>
      <t xml:space="preserve">How to Use:
</t>
    </r>
    <r>
      <rPr>
        <i/>
        <sz val="11"/>
        <color theme="1"/>
        <rFont val="Calibri"/>
        <family val="2"/>
        <scheme val="minor"/>
      </rPr>
      <t>To use the calculator, first select a data source on the 'Backend' tab using the selector shown in cell B1. If you would like to add a new data source, add it as a new row on the 'Sources' tab.
The three birthweight values and the standard deviation of birthweight at 40 weeks will be calculated on the 'Backend' tab based on the data source you draw the data from. These values can be adjusted depending on the population. The BW40_3705 values will automatically be generated from the data you provide.
Once you have selected a data source, enter your data into columns A, B and C on the 'Calculator' tab.
The 'Calculator' tab will also provide birthweight centiles assuming a +/-10% measurement error in the input birthweight, giving a range that the estimated fetal weight centile may fall between given the uncertainty in the input measurement.</t>
    </r>
  </si>
  <si>
    <t>&lt;- Select source using this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</si>
</sst>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9"/>
      <name val="Calibri"/>
      <family val="2"/>
      <scheme val="minor"/>
    </font>
    <font>
      <i/>
      <sz val="11"/>
      <color theme="1"/>
      <name val="Calibri"/>
      <family val="2"/>
      <scheme val="minor"/>
    </font>
    <font>
      <b/>
      <sz val="11"/>
      <color rgb="FFFF0000"/>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7" fillId="0" borderId="0" applyNumberFormat="0" applyFill="0" applyBorder="0" applyAlignment="0" applyProtection="0"/>
  </cellStyleXfs>
  <cellXfs count="35">
    <xf numFmtId="0" fontId="0" fillId="0" borderId="0" xfId="0"/>
    <xf numFmtId="0" fontId="2" fillId="0" borderId="0" xfId="0" applyFont="1"/>
    <xf numFmtId="0" fontId="0" fillId="0" borderId="1" xfId="0" applyBorder="1"/>
    <xf numFmtId="0" fontId="0" fillId="0" borderId="2" xfId="0" applyBorder="1"/>
    <xf numFmtId="0" fontId="2" fillId="0" borderId="3" xfId="0" applyFont="1" applyBorder="1"/>
    <xf numFmtId="0" fontId="2" fillId="0" borderId="4" xfId="0" applyFont="1" applyBorder="1"/>
    <xf numFmtId="0" fontId="0" fillId="0" borderId="5" xfId="0" applyBorder="1"/>
    <xf numFmtId="0" fontId="0" fillId="0" borderId="6" xfId="0" applyBorder="1"/>
    <xf numFmtId="0" fontId="0" fillId="0" borderId="4" xfId="0" applyBorder="1"/>
    <xf numFmtId="0" fontId="1" fillId="0" borderId="2" xfId="0" applyFont="1" applyBorder="1"/>
    <xf numFmtId="0" fontId="4" fillId="0" borderId="0" xfId="0" applyFont="1"/>
    <xf numFmtId="0" fontId="2" fillId="0" borderId="0" xfId="0" applyFont="1" applyAlignment="1">
      <alignment horizontal="left" wrapText="1"/>
    </xf>
    <xf numFmtId="164" fontId="0" fillId="0" borderId="4" xfId="0" applyNumberFormat="1" applyBorder="1"/>
    <xf numFmtId="164" fontId="0" fillId="0" borderId="1" xfId="0" applyNumberFormat="1" applyBorder="1"/>
    <xf numFmtId="0" fontId="0" fillId="0" borderId="0" xfId="0" applyAlignment="1">
      <alignment vertical="center"/>
    </xf>
    <xf numFmtId="0" fontId="4" fillId="0" borderId="0" xfId="0" applyFon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Alignment="1">
      <alignment horizontal="left"/>
    </xf>
    <xf numFmtId="0" fontId="1" fillId="0" borderId="0" xfId="0" applyFont="1"/>
    <xf numFmtId="0" fontId="5" fillId="0" borderId="0" xfId="0" applyFont="1" applyAlignment="1">
      <alignment horizontal="center" vertical="center"/>
    </xf>
    <xf numFmtId="0" fontId="3" fillId="0" borderId="0" xfId="0" applyFont="1" applyAlignment="1">
      <alignment horizontal="center" vertical="center" wrapText="1"/>
    </xf>
    <xf numFmtId="0" fontId="0" fillId="0" borderId="15" xfId="0" applyBorder="1" applyAlignment="1">
      <alignment horizontal="left"/>
    </xf>
    <xf numFmtId="0" fontId="2" fillId="0" borderId="0" xfId="0" applyFont="1" applyAlignment="1">
      <alignment horizontal="left"/>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7" fillId="0" borderId="0" xfId="1" applyFill="1"/>
    <xf numFmtId="0" fontId="7" fillId="0" borderId="0" xfId="1"/>
    <xf numFmtId="0" fontId="4" fillId="0" borderId="16" xfId="0" applyFont="1" applyBorder="1" applyAlignment="1">
      <alignment horizontal="left" wrapText="1"/>
    </xf>
    <xf numFmtId="0" fontId="4" fillId="0" borderId="17" xfId="0" applyFont="1" applyBorder="1" applyAlignment="1">
      <alignment horizontal="left"/>
    </xf>
    <xf numFmtId="0" fontId="4" fillId="0" borderId="18" xfId="0" applyFont="1" applyBorder="1" applyAlignment="1">
      <alignment horizontal="left"/>
    </xf>
  </cellXfs>
  <cellStyles count="2">
    <cellStyle name="Hyperlink" xfId="1" builtinId="8"/>
    <cellStyle name="Normal" xfId="0" builtinId="0"/>
  </cellStyles>
  <dxfs count="18">
    <dxf>
      <font>
        <color rgb="FF9C0006"/>
      </font>
      <fill>
        <patternFill>
          <bgColor rgb="FFFFC7CE"/>
        </patternFill>
      </fill>
    </dxf>
    <dxf>
      <fill>
        <patternFill>
          <bgColor theme="9"/>
        </patternFill>
      </fil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6151ED-2199-4980-A334-5E64881ACEB2}" name="Table1" displayName="Table1" ref="A1:L10000" totalsRowShown="0" headerRowDxfId="17" headerRowBorderDxfId="16" tableBorderDxfId="15" totalsRowBorderDxfId="14">
  <autoFilter ref="A1:L10000" xr:uid="{BF0CF05B-938F-421A-9180-8DC4B1A1AC8F}"/>
  <tableColumns count="12">
    <tableColumn id="1" xr3:uid="{BE7D907C-5562-4B07-B02D-FC2C3F0410FD}" name="Fetal Sex (Male, Female or Unknown)" dataDxfId="13"/>
    <tableColumn id="2" xr3:uid="{19B779BB-EF16-42CB-92AD-EA2FF71BE731}" name="Birthweight (grams)" dataDxfId="12"/>
    <tableColumn id="3" xr3:uid="{63FB85A4-D7F2-4339-9271-73A19C0D861E}" name="Gestation (days)" dataDxfId="11"/>
    <tableColumn id="4" xr3:uid="{1449F3AF-BFDB-46F1-A9D2-BAA71CCCFFE0}" name="Is Data Valid" dataDxfId="10">
      <calculatedColumnFormula>IF(AND(NOT(ISBLANK(Table1[[#This Row],[Fetal Sex (Male, Female or Unknown)]])),ISNUMBER(Table1[[#This Row],[Birthweight (grams)]]),ISNUMBER(Table1[[#This Row],[Gestation (days)]])),TRUE,FALSE)</calculatedColumnFormula>
    </tableColumn>
    <tableColumn id="6" xr3:uid="{C058B929-879C-47EF-96E9-7DC23E90EEC2}" name="BW40_3705" dataDxfId="9">
      <calculatedColumnFormula>IF(Table1[[#This Row],[Is Data Valid]]=TRUE,IF(Table1[[#This Row],[Fetal Sex (Male, Female or Unknown)]]="Male",Backend!$C$6,IF(Table1[[#This Row],[Fetal Sex (Male, Female or Unknown)]]="Female",Backend!$C$7,IF(Table1[[#This Row],[Fetal Sex (Male, Female or Unknown)]]="Unknown",Backend!$C$8,"Error"))),"")</calculatedColumnFormula>
    </tableColumn>
    <tableColumn id="5" xr3:uid="{C482702C-9F5E-41C7-B806-F3E751419A0A}" name="BW_GA" dataDxfId="8">
      <calculatedColumnFormula>IF(Table1[[#This Row],[Is Data Valid]]=TRUE,EXP(0.578+0.332*((Table1[[#This Row],[Gestation (days)]]+0.5)/7)-0.00354*((Table1[[#This Row],[Gestation (days)]]+0.5)/7)^2)*Table1[[#This Row],[BW40_3705]],"")</calculatedColumnFormula>
    </tableColumn>
    <tableColumn id="7" xr3:uid="{E0F3AAA2-C175-4D19-9787-9EF24EF4E639}" name="Birthweight Z-Score" dataDxfId="7">
      <calculatedColumnFormula>IF(Table1[[#This Row],[Is Data Valid]]=TRUE,((Table1[[#This Row],[Birthweight (grams)]]/Table1[[#This Row],[BW_GA]])-1)/(Backend!$B$4/100*Table1[[#This Row],[BW40_3705]]),"")</calculatedColumnFormula>
    </tableColumn>
    <tableColumn id="16" xr3:uid="{B60E5F23-FB97-4C9A-A489-C1726EC0F565}" name="Birthweight Z-Score (BW-10%)" dataDxfId="6">
      <calculatedColumnFormula>IF(Table1[[#This Row],[Is Data Valid]]=TRUE,((Table1[[#This Row],[Birthweight (grams)]]*0.9/Table1[[#This Row],[BW_GA]])-1)/(Backend!$B$4/100*Table1[[#This Row],[BW40_3705]]),"")</calculatedColumnFormula>
    </tableColumn>
    <tableColumn id="17" xr3:uid="{9A7FF9B4-F4AF-43B7-84D0-4773784D1199}" name="Birthweight Z-Score (BW+10%)" dataDxfId="5">
      <calculatedColumnFormula>IF(Table1[[#This Row],[Is Data Valid]]=TRUE,((Table1[[#This Row],[Birthweight (grams)]]*1.1/Table1[[#This Row],[BW_GA]])-1)/(Backend!$B$4/100*Table1[[#This Row],[BW40_3705]]),"")</calculatedColumnFormula>
    </tableColumn>
    <tableColumn id="20" xr3:uid="{E3462B65-3C11-494D-BE9F-E58D63EBA144}" name="Birthweight Centile" dataDxfId="4">
      <calculatedColumnFormula>IF(Table1[[#This Row],[Is Data Valid]]=TRUE,_xlfn.NORM.S.DIST(Table1[[#This Row],[Birthweight Z-Score]],TRUE)*100,"")</calculatedColumnFormula>
    </tableColumn>
    <tableColumn id="21" xr3:uid="{0039442D-EF70-447A-978E-8E630E929055}" name="Birthweight Centile (BW-10%)" dataDxfId="3">
      <calculatedColumnFormula>IF(Table1[[#This Row],[Is Data Valid]]=TRUE,_xlfn.NORM.S.DIST(Table1[[#This Row],[Birthweight Z-Score (BW-10%)]],TRUE)*100,"")</calculatedColumnFormula>
    </tableColumn>
    <tableColumn id="8" xr3:uid="{64147AE8-7F67-4B5A-B85B-0FBDF08FB63C}" name="Birthweight Centile (BW+10%)" dataDxfId="2">
      <calculatedColumnFormula>IF(Table1[[#This Row],[Is Data Valid]]=TRUE,_xlfn.NORM.S.DIST(Table1[[#This Row],[Birthweight Z-Score (BW+10%)]],TRUE)*100,"")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s://www.aihw.gov.au/reports/mothers-babies/australias-mothers-babies/archived-content" TargetMode="External"/><Relationship Id="rId1" Type="http://schemas.openxmlformats.org/officeDocument/2006/relationships/hyperlink" Target="https://www.aihw.gov.au/reports/mothers-babies/australias-mothers-babies/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DB1B-23CE-4995-B023-61D6298B89F1}">
  <dimension ref="A1:C1"/>
  <sheetViews>
    <sheetView workbookViewId="0">
      <selection activeCell="C4" sqref="C4"/>
    </sheetView>
  </sheetViews>
  <sheetFormatPr defaultRowHeight="14.5" x14ac:dyDescent="0.35"/>
  <cols>
    <col min="3" max="3" width="71.90625" customWidth="1"/>
  </cols>
  <sheetData>
    <row r="1" spans="1:3" ht="206" customHeight="1" thickBot="1" x14ac:dyDescent="0.4">
      <c r="A1" s="32" t="s">
        <v>32</v>
      </c>
      <c r="B1" s="33"/>
      <c r="C1" s="34"/>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44BE6-E5AE-49A7-A85A-3097CAF2600A}">
  <dimension ref="A1:L10000"/>
  <sheetViews>
    <sheetView zoomScale="85" zoomScaleNormal="85" workbookViewId="0">
      <selection activeCell="K12" sqref="K12"/>
    </sheetView>
  </sheetViews>
  <sheetFormatPr defaultRowHeight="14.5" x14ac:dyDescent="0.35"/>
  <cols>
    <col min="1" max="1" width="26.453125" customWidth="1"/>
    <col min="2" max="2" width="20.7265625" customWidth="1"/>
    <col min="3" max="3" width="17.7265625" customWidth="1"/>
    <col min="4" max="4" width="20.54296875" customWidth="1"/>
    <col min="5" max="5" width="20.453125" hidden="1" customWidth="1"/>
    <col min="6" max="6" width="17.81640625" hidden="1" customWidth="1"/>
    <col min="7" max="7" width="22.453125" hidden="1" customWidth="1"/>
    <col min="8" max="8" width="29.54296875" hidden="1" customWidth="1"/>
    <col min="9" max="9" width="29.453125" hidden="1" customWidth="1"/>
    <col min="10" max="10" width="22.453125" customWidth="1"/>
    <col min="11" max="11" width="28.7265625" customWidth="1"/>
    <col min="12" max="12" width="29.26953125" customWidth="1"/>
  </cols>
  <sheetData>
    <row r="1" spans="1:12" x14ac:dyDescent="0.35">
      <c r="A1" s="4" t="s">
        <v>7</v>
      </c>
      <c r="B1" s="5" t="s">
        <v>0</v>
      </c>
      <c r="C1" s="5" t="s">
        <v>1</v>
      </c>
      <c r="D1" s="5" t="s">
        <v>8</v>
      </c>
      <c r="E1" s="5" t="s">
        <v>10</v>
      </c>
      <c r="F1" s="5" t="s">
        <v>11</v>
      </c>
      <c r="G1" s="5" t="s">
        <v>3</v>
      </c>
      <c r="H1" s="5" t="s">
        <v>14</v>
      </c>
      <c r="I1" s="5" t="s">
        <v>15</v>
      </c>
      <c r="J1" s="5" t="s">
        <v>2</v>
      </c>
      <c r="K1" s="5" t="s">
        <v>16</v>
      </c>
      <c r="L1" s="5" t="s">
        <v>17</v>
      </c>
    </row>
    <row r="2" spans="1:12" x14ac:dyDescent="0.35">
      <c r="A2" s="3" t="s">
        <v>6</v>
      </c>
      <c r="B2" s="2">
        <v>1939</v>
      </c>
      <c r="C2" s="2">
        <v>250</v>
      </c>
      <c r="D2" s="8" t="b">
        <f>IF(AND(NOT(ISBLANK(Table1[[#This Row],[Fetal Sex (Male, Female or Unknown)]])),ISNUMBER(Table1[[#This Row],[Birthweight (grams)]]),ISNUMBER(Table1[[#This Row],[Gestation (days)]])),TRUE,FALSE)</f>
        <v>1</v>
      </c>
      <c r="E2" s="8">
        <f>IF(Table1[[#This Row],[Is Data Valid]]=TRUE,IF(Table1[[#This Row],[Fetal Sex (Male, Female or Unknown)]]="Male",Backend!$C$6,IF(Table1[[#This Row],[Fetal Sex (Male, Female or Unknown)]]="Female",Backend!$C$7,IF(Table1[[#This Row],[Fetal Sex (Male, Female or Unknown)]]="Unknown",Backend!$C$8,"Error"))),"")</f>
        <v>0.96302294197031035</v>
      </c>
      <c r="F2" s="8">
        <f>IF(Table1[[#This Row],[Is Data Valid]]=TRUE,EXP(0.578+0.332*((Table1[[#This Row],[Gestation (days)]]+0.5)/7)-0.00354*((Table1[[#This Row],[Gestation (days)]]+0.5)/7)^2)*Table1[[#This Row],[BW40_3705]],"")</f>
        <v>2664.5585901395007</v>
      </c>
      <c r="G2" s="8">
        <f>IF(Table1[[#This Row],[Is Data Valid]]=TRUE,((Table1[[#This Row],[Birthweight (grams)]]/Table1[[#This Row],[BW_GA]])-1)/(Backend!$B$4/100*Table1[[#This Row],[BW40_3705]]),"")</f>
        <v>-2.5284763995784298</v>
      </c>
      <c r="H2" s="8">
        <f>IF(Table1[[#This Row],[Is Data Valid]]=TRUE,((Table1[[#This Row],[Birthweight (grams)]]*0.9/Table1[[#This Row],[BW_GA]])-1)/(Backend!$B$4/100*Table1[[#This Row],[BW40_3705]]),"")</f>
        <v>-3.2041924348389239</v>
      </c>
      <c r="I2" s="8">
        <f>IF(Table1[[#This Row],[Is Data Valid]]=TRUE,((Table1[[#This Row],[Birthweight (grams)]]*1.1/Table1[[#This Row],[BW_GA]])-1)/(Backend!$B$4/100*Table1[[#This Row],[BW40_3705]]),"")</f>
        <v>-1.8527603643179344</v>
      </c>
      <c r="J2" s="12">
        <f>IF(Table1[[#This Row],[Is Data Valid]]=TRUE,_xlfn.NORM.S.DIST(Table1[[#This Row],[Birthweight Z-Score]],TRUE)*100,"")</f>
        <v>0.57279394037943554</v>
      </c>
      <c r="K2" s="12">
        <f>IF(Table1[[#This Row],[Is Data Valid]]=TRUE,_xlfn.NORM.S.DIST(Table1[[#This Row],[Birthweight Z-Score (BW-10%)]],TRUE)*100,"")</f>
        <v>6.7720957996392578E-2</v>
      </c>
      <c r="L2" s="12">
        <f>IF(Table1[[#This Row],[Is Data Valid]]=TRUE,_xlfn.NORM.S.DIST(Table1[[#This Row],[Birthweight Z-Score (BW+10%)]],TRUE)*100,"")</f>
        <v>3.1958356799426206</v>
      </c>
    </row>
    <row r="3" spans="1:12" x14ac:dyDescent="0.35">
      <c r="A3" s="3" t="s">
        <v>6</v>
      </c>
      <c r="B3" s="2">
        <v>1070</v>
      </c>
      <c r="C3" s="2">
        <v>200</v>
      </c>
      <c r="D3" s="2" t="b">
        <f>IF(AND(NOT(ISBLANK(Table1[[#This Row],[Fetal Sex (Male, Female or Unknown)]])),ISNUMBER(Table1[[#This Row],[Birthweight (grams)]]),ISNUMBER(Table1[[#This Row],[Gestation (days)]])),TRUE,FALSE)</f>
        <v>1</v>
      </c>
      <c r="E3" s="2">
        <f>IF(Table1[[#This Row],[Is Data Valid]]=TRUE,IF(Table1[[#This Row],[Fetal Sex (Male, Female or Unknown)]]="Male",Backend!$C$6,IF(Table1[[#This Row],[Fetal Sex (Male, Female or Unknown)]]="Female",Backend!$C$7,IF(Table1[[#This Row],[Fetal Sex (Male, Female or Unknown)]]="Unknown",Backend!$C$8,"Error"))),"")</f>
        <v>0.96302294197031035</v>
      </c>
      <c r="F3" s="8">
        <f>IF(Table1[[#This Row],[Is Data Valid]]=TRUE,EXP(0.578+0.332*((Table1[[#This Row],[Gestation (days)]]+0.5)/7)-0.00354*((Table1[[#This Row],[Gestation (days)]]+0.5)/7)^2)*Table1[[#This Row],[BW40_3705]],"")</f>
        <v>1268.3695911726686</v>
      </c>
      <c r="G3" s="2">
        <f>IF(Table1[[#This Row],[Is Data Valid]]=TRUE,((Table1[[#This Row],[Birthweight (grams)]]/Table1[[#This Row],[BW_GA]])-1)/(Backend!$B$4/100*Table1[[#This Row],[BW40_3705]]),"")</f>
        <v>-1.4522486025587515</v>
      </c>
      <c r="H3" s="2">
        <f>IF(Table1[[#This Row],[Is Data Valid]]=TRUE,((Table1[[#This Row],[Birthweight (grams)]]*0.9/Table1[[#This Row],[BW_GA]])-1)/(Backend!$B$4/100*Table1[[#This Row],[BW40_3705]]),"")</f>
        <v>-2.2355874175212134</v>
      </c>
      <c r="I3" s="2">
        <f>IF(Table1[[#This Row],[Is Data Valid]]=TRUE,((Table1[[#This Row],[Birthweight (grams)]]*1.1/Table1[[#This Row],[BW_GA]])-1)/(Backend!$B$4/100*Table1[[#This Row],[BW40_3705]]),"")</f>
        <v>-0.66890978759628883</v>
      </c>
      <c r="J3" s="13">
        <f>IF(Table1[[#This Row],[Is Data Valid]]=TRUE,_xlfn.NORM.S.DIST(Table1[[#This Row],[Birthweight Z-Score]],TRUE)*100,"")</f>
        <v>7.3216246507952745</v>
      </c>
      <c r="K3" s="13">
        <f>IF(Table1[[#This Row],[Is Data Valid]]=TRUE,_xlfn.NORM.S.DIST(Table1[[#This Row],[Birthweight Z-Score (BW-10%)]],TRUE)*100,"")</f>
        <v>1.2689404778816258</v>
      </c>
      <c r="L3" s="13">
        <f>IF(Table1[[#This Row],[Is Data Valid]]=TRUE,_xlfn.NORM.S.DIST(Table1[[#This Row],[Birthweight Z-Score (BW+10%)]],TRUE)*100,"")</f>
        <v>25.177651315036272</v>
      </c>
    </row>
    <row r="4" spans="1:12" x14ac:dyDescent="0.35">
      <c r="A4" s="3" t="s">
        <v>4</v>
      </c>
      <c r="B4" s="2">
        <v>3035</v>
      </c>
      <c r="C4" s="2">
        <v>280</v>
      </c>
      <c r="D4" s="2" t="b">
        <f>IF(AND(NOT(ISBLANK(Table1[[#This Row],[Fetal Sex (Male, Female or Unknown)]])),ISNUMBER(Table1[[#This Row],[Birthweight (grams)]]),ISNUMBER(Table1[[#This Row],[Gestation (days)]])),TRUE,FALSE)</f>
        <v>1</v>
      </c>
      <c r="E4" s="2">
        <f>IF(Table1[[#This Row],[Is Data Valid]]=TRUE,IF(Table1[[#This Row],[Fetal Sex (Male, Female or Unknown)]]="Male",Backend!$C$6,IF(Table1[[#This Row],[Fetal Sex (Male, Female or Unknown)]]="Female",Backend!$C$7,IF(Table1[[#This Row],[Fetal Sex (Male, Female or Unknown)]]="Unknown",Backend!$C$8,"Error"))),"")</f>
        <v>0.98056680161943321</v>
      </c>
      <c r="F4" s="8">
        <f>IF(Table1[[#This Row],[Is Data Valid]]=TRUE,EXP(0.578+0.332*((Table1[[#This Row],[Gestation (days)]]+0.5)/7)-0.00354*((Table1[[#This Row],[Gestation (days)]]+0.5)/7)^2)*Table1[[#This Row],[BW40_3705]],"")</f>
        <v>3561.1654631253887</v>
      </c>
      <c r="G4" s="2">
        <f>IF(Table1[[#This Row],[Is Data Valid]]=TRUE,((Table1[[#This Row],[Birthweight (grams)]]/Table1[[#This Row],[BW_GA]])-1)/(Backend!$B$4/100*Table1[[#This Row],[BW40_3705]]),"")</f>
        <v>-1.347414831416595</v>
      </c>
      <c r="H4" s="2">
        <f>IF(Table1[[#This Row],[Is Data Valid]]=TRUE,((Table1[[#This Row],[Birthweight (grams)]]*0.9/Table1[[#This Row],[BW_GA]])-1)/(Backend!$B$4/100*Table1[[#This Row],[BW40_3705]]),"")</f>
        <v>-2.1246235803638509</v>
      </c>
      <c r="I4" s="2">
        <f>IF(Table1[[#This Row],[Is Data Valid]]=TRUE,((Table1[[#This Row],[Birthweight (grams)]]*1.1/Table1[[#This Row],[BW_GA]])-1)/(Backend!$B$4/100*Table1[[#This Row],[BW40_3705]]),"")</f>
        <v>-0.57020608246933835</v>
      </c>
      <c r="J4" s="13">
        <f>IF(Table1[[#This Row],[Is Data Valid]]=TRUE,_xlfn.NORM.S.DIST(Table1[[#This Row],[Birthweight Z-Score]],TRUE)*100,"")</f>
        <v>8.8923333259579227</v>
      </c>
      <c r="K4" s="13">
        <f>IF(Table1[[#This Row],[Is Data Valid]]=TRUE,_xlfn.NORM.S.DIST(Table1[[#This Row],[Birthweight Z-Score (BW-10%)]],TRUE)*100,"")</f>
        <v>1.6809017328831777</v>
      </c>
      <c r="L4" s="13">
        <f>IF(Table1[[#This Row],[Is Data Valid]]=TRUE,_xlfn.NORM.S.DIST(Table1[[#This Row],[Birthweight Z-Score (BW+10%)]],TRUE)*100,"")</f>
        <v>28.426896557552244</v>
      </c>
    </row>
    <row r="5" spans="1:12" x14ac:dyDescent="0.35">
      <c r="A5" s="3" t="s">
        <v>5</v>
      </c>
      <c r="B5" s="2">
        <v>2918</v>
      </c>
      <c r="C5" s="2">
        <v>280</v>
      </c>
      <c r="D5" s="2" t="b">
        <f>IF(AND(NOT(ISBLANK(Table1[[#This Row],[Fetal Sex (Male, Female or Unknown)]])),ISNUMBER(Table1[[#This Row],[Birthweight (grams)]]),ISNUMBER(Table1[[#This Row],[Gestation (days)]])),TRUE,FALSE)</f>
        <v>1</v>
      </c>
      <c r="E5" s="2">
        <f>IF(Table1[[#This Row],[Is Data Valid]]=TRUE,IF(Table1[[#This Row],[Fetal Sex (Male, Female or Unknown)]]="Male",Backend!$C$6,IF(Table1[[#This Row],[Fetal Sex (Male, Female or Unknown)]]="Female",Backend!$C$7,IF(Table1[[#This Row],[Fetal Sex (Male, Female or Unknown)]]="Unknown",Backend!$C$8,"Error"))),"")</f>
        <v>0.9454790823211876</v>
      </c>
      <c r="F5" s="8">
        <f>IF(Table1[[#This Row],[Is Data Valid]]=TRUE,EXP(0.578+0.332*((Table1[[#This Row],[Gestation (days)]]+0.5)/7)-0.00354*((Table1[[#This Row],[Gestation (days)]]+0.5)/7)^2)*Table1[[#This Row],[BW40_3705]],"")</f>
        <v>3433.735925496349</v>
      </c>
      <c r="G5" s="2">
        <f>IF(Table1[[#This Row],[Is Data Valid]]=TRUE,((Table1[[#This Row],[Birthweight (grams)]]/Table1[[#This Row],[BW_GA]])-1)/(Backend!$B$4/100*Table1[[#This Row],[BW40_3705]]),"")</f>
        <v>-1.4205511998478058</v>
      </c>
      <c r="H5" s="2">
        <f>IF(Table1[[#This Row],[Is Data Valid]]=TRUE,((Table1[[#This Row],[Birthweight (grams)]]*0.9/Table1[[#This Row],[BW_GA]])-1)/(Backend!$B$4/100*Table1[[#This Row],[BW40_3705]]),"")</f>
        <v>-2.22428974049078</v>
      </c>
      <c r="I5" s="2">
        <f>IF(Table1[[#This Row],[Is Data Valid]]=TRUE,((Table1[[#This Row],[Birthweight (grams)]]*1.1/Table1[[#This Row],[BW_GA]])-1)/(Backend!$B$4/100*Table1[[#This Row],[BW40_3705]]),"")</f>
        <v>-0.6168126592048303</v>
      </c>
      <c r="J5" s="13">
        <f>IF(Table1[[#This Row],[Is Data Valid]]=TRUE,_xlfn.NORM.S.DIST(Table1[[#This Row],[Birthweight Z-Score]],TRUE)*100,"")</f>
        <v>7.7723636996183805</v>
      </c>
      <c r="K5" s="13">
        <f>IF(Table1[[#This Row],[Is Data Valid]]=TRUE,_xlfn.NORM.S.DIST(Table1[[#This Row],[Birthweight Z-Score (BW-10%)]],TRUE)*100,"")</f>
        <v>1.3064478265724704</v>
      </c>
      <c r="L5" s="13">
        <f>IF(Table1[[#This Row],[Is Data Valid]]=TRUE,_xlfn.NORM.S.DIST(Table1[[#This Row],[Birthweight Z-Score (BW+10%)]],TRUE)*100,"")</f>
        <v>26.867915055051512</v>
      </c>
    </row>
    <row r="6" spans="1:12" x14ac:dyDescent="0.35">
      <c r="A6" s="3"/>
      <c r="B6" s="2"/>
      <c r="C6" s="2"/>
      <c r="D6" s="2" t="b">
        <f>IF(AND(NOT(ISBLANK(Table1[[#This Row],[Fetal Sex (Male, Female or Unknown)]])),ISNUMBER(Table1[[#This Row],[Birthweight (grams)]]),ISNUMBER(Table1[[#This Row],[Gestation (days)]])),TRUE,FALSE)</f>
        <v>0</v>
      </c>
      <c r="E6" s="2" t="str">
        <f>IF(Table1[[#This Row],[Is Data Valid]]=TRUE,IF(Table1[[#This Row],[Fetal Sex (Male, Female or Unknown)]]="Male",Backend!$C$6,IF(Table1[[#This Row],[Fetal Sex (Male, Female or Unknown)]]="Female",Backend!$C$7,IF(Table1[[#This Row],[Fetal Sex (Male, Female or Unknown)]]="Unknown",Backend!$C$8,"Error"))),"")</f>
        <v/>
      </c>
      <c r="F6" s="8" t="str">
        <f>IF(Table1[[#This Row],[Is Data Valid]]=TRUE,EXP(0.578+0.332*((Table1[[#This Row],[Gestation (days)]]+0.5)/7)-0.00354*((Table1[[#This Row],[Gestation (days)]]+0.5)/7)^2)*Table1[[#This Row],[BW40_3705]],"")</f>
        <v/>
      </c>
      <c r="G6" s="2" t="str">
        <f>IF(Table1[[#This Row],[Is Data Valid]]=TRUE,((Table1[[#This Row],[Birthweight (grams)]]/Table1[[#This Row],[BW_GA]])-1)/(Backend!$B$4/100*Table1[[#This Row],[BW40_3705]]),"")</f>
        <v/>
      </c>
      <c r="H6" s="2" t="str">
        <f>IF(Table1[[#This Row],[Is Data Valid]]=TRUE,((Table1[[#This Row],[Birthweight (grams)]]*0.9/Table1[[#This Row],[BW_GA]])-1)/(Backend!$B$4/100*Table1[[#This Row],[BW40_3705]]),"")</f>
        <v/>
      </c>
      <c r="I6" s="2" t="str">
        <f>IF(Table1[[#This Row],[Is Data Valid]]=TRUE,((Table1[[#This Row],[Birthweight (grams)]]*1.1/Table1[[#This Row],[BW_GA]])-1)/(Backend!$B$4/100*Table1[[#This Row],[BW40_3705]]),"")</f>
        <v/>
      </c>
      <c r="J6" s="2" t="str">
        <f>IF(Table1[[#This Row],[Is Data Valid]]=TRUE,_xlfn.NORM.S.DIST(Table1[[#This Row],[Birthweight Z-Score]],TRUE)*100,"")</f>
        <v/>
      </c>
      <c r="K6" s="2" t="str">
        <f>IF(Table1[[#This Row],[Is Data Valid]]=TRUE,_xlfn.NORM.S.DIST(Table1[[#This Row],[Birthweight Z-Score (BW-10%)]],TRUE)*100,"")</f>
        <v/>
      </c>
      <c r="L6" s="2" t="str">
        <f>IF(Table1[[#This Row],[Is Data Valid]]=TRUE,_xlfn.NORM.S.DIST(Table1[[#This Row],[Birthweight Z-Score (BW+10%)]],TRUE)*100,"")</f>
        <v/>
      </c>
    </row>
    <row r="7" spans="1:12" x14ac:dyDescent="0.35">
      <c r="A7" s="3"/>
      <c r="B7" s="2"/>
      <c r="C7" s="2"/>
      <c r="D7" s="2" t="b">
        <f>IF(AND(NOT(ISBLANK(Table1[[#This Row],[Fetal Sex (Male, Female or Unknown)]])),ISNUMBER(Table1[[#This Row],[Birthweight (grams)]]),ISNUMBER(Table1[[#This Row],[Gestation (days)]])),TRUE,FALSE)</f>
        <v>0</v>
      </c>
      <c r="E7" s="2" t="str">
        <f>IF(Table1[[#This Row],[Is Data Valid]]=TRUE,IF(Table1[[#This Row],[Fetal Sex (Male, Female or Unknown)]]="Male",Backend!$C$6,IF(Table1[[#This Row],[Fetal Sex (Male, Female or Unknown)]]="Female",Backend!$C$7,IF(Table1[[#This Row],[Fetal Sex (Male, Female or Unknown)]]="Unknown",Backend!$C$8,"Error"))),"")</f>
        <v/>
      </c>
      <c r="F7" s="8" t="str">
        <f>IF(Table1[[#This Row],[Is Data Valid]]=TRUE,EXP(0.578+0.332*((Table1[[#This Row],[Gestation (days)]]+0.5)/7)-0.00354*((Table1[[#This Row],[Gestation (days)]]+0.5)/7)^2)*Table1[[#This Row],[BW40_3705]],"")</f>
        <v/>
      </c>
      <c r="G7" s="2" t="str">
        <f>IF(Table1[[#This Row],[Is Data Valid]]=TRUE,((Table1[[#This Row],[Birthweight (grams)]]/Table1[[#This Row],[BW_GA]])-1)/(Backend!$B$4/100*Table1[[#This Row],[BW40_3705]]),"")</f>
        <v/>
      </c>
      <c r="H7" s="2" t="str">
        <f>IF(Table1[[#This Row],[Is Data Valid]]=TRUE,((Table1[[#This Row],[Birthweight (grams)]]*0.9/Table1[[#This Row],[BW_GA]])-1)/(Backend!$B$4/100*Table1[[#This Row],[BW40_3705]]),"")</f>
        <v/>
      </c>
      <c r="I7" s="2" t="str">
        <f>IF(Table1[[#This Row],[Is Data Valid]]=TRUE,((Table1[[#This Row],[Birthweight (grams)]]*1.1/Table1[[#This Row],[BW_GA]])-1)/(Backend!$B$4/100*Table1[[#This Row],[BW40_3705]]),"")</f>
        <v/>
      </c>
      <c r="J7" s="2" t="str">
        <f>IF(Table1[[#This Row],[Is Data Valid]]=TRUE,_xlfn.NORM.S.DIST(Table1[[#This Row],[Birthweight Z-Score]],TRUE)*100,"")</f>
        <v/>
      </c>
      <c r="K7" s="2" t="str">
        <f>IF(Table1[[#This Row],[Is Data Valid]]=TRUE,_xlfn.NORM.S.DIST(Table1[[#This Row],[Birthweight Z-Score (BW-10%)]],TRUE)*100,"")</f>
        <v/>
      </c>
      <c r="L7" s="2" t="str">
        <f>IF(Table1[[#This Row],[Is Data Valid]]=TRUE,_xlfn.NORM.S.DIST(Table1[[#This Row],[Birthweight Z-Score (BW+10%)]],TRUE)*100,"")</f>
        <v/>
      </c>
    </row>
    <row r="8" spans="1:12" x14ac:dyDescent="0.35">
      <c r="A8" s="3"/>
      <c r="B8" s="2"/>
      <c r="C8" s="2"/>
      <c r="D8" s="2" t="b">
        <f>IF(AND(NOT(ISBLANK(Table1[[#This Row],[Fetal Sex (Male, Female or Unknown)]])),ISNUMBER(Table1[[#This Row],[Birthweight (grams)]]),ISNUMBER(Table1[[#This Row],[Gestation (days)]])),TRUE,FALSE)</f>
        <v>0</v>
      </c>
      <c r="E8" s="2" t="str">
        <f>IF(Table1[[#This Row],[Is Data Valid]]=TRUE,IF(Table1[[#This Row],[Fetal Sex (Male, Female or Unknown)]]="Male",Backend!$C$6,IF(Table1[[#This Row],[Fetal Sex (Male, Female or Unknown)]]="Female",Backend!$C$7,IF(Table1[[#This Row],[Fetal Sex (Male, Female or Unknown)]]="Unknown",Backend!$C$8,"Error"))),"")</f>
        <v/>
      </c>
      <c r="F8" s="8" t="str">
        <f>IF(Table1[[#This Row],[Is Data Valid]]=TRUE,EXP(0.578+0.332*((Table1[[#This Row],[Gestation (days)]]+0.5)/7)-0.00354*((Table1[[#This Row],[Gestation (days)]]+0.5)/7)^2)*Table1[[#This Row],[BW40_3705]],"")</f>
        <v/>
      </c>
      <c r="G8" s="2" t="str">
        <f>IF(Table1[[#This Row],[Is Data Valid]]=TRUE,((Table1[[#This Row],[Birthweight (grams)]]/Table1[[#This Row],[BW_GA]])-1)/(Backend!$B$4/100*Table1[[#This Row],[BW40_3705]]),"")</f>
        <v/>
      </c>
      <c r="H8" s="2" t="str">
        <f>IF(Table1[[#This Row],[Is Data Valid]]=TRUE,((Table1[[#This Row],[Birthweight (grams)]]*0.9/Table1[[#This Row],[BW_GA]])-1)/(Backend!$B$4/100*Table1[[#This Row],[BW40_3705]]),"")</f>
        <v/>
      </c>
      <c r="I8" s="2" t="str">
        <f>IF(Table1[[#This Row],[Is Data Valid]]=TRUE,((Table1[[#This Row],[Birthweight (grams)]]*1.1/Table1[[#This Row],[BW_GA]])-1)/(Backend!$B$4/100*Table1[[#This Row],[BW40_3705]]),"")</f>
        <v/>
      </c>
      <c r="J8" s="2" t="str">
        <f>IF(Table1[[#This Row],[Is Data Valid]]=TRUE,_xlfn.NORM.S.DIST(Table1[[#This Row],[Birthweight Z-Score]],TRUE)*100,"")</f>
        <v/>
      </c>
      <c r="K8" s="2" t="str">
        <f>IF(Table1[[#This Row],[Is Data Valid]]=TRUE,_xlfn.NORM.S.DIST(Table1[[#This Row],[Birthweight Z-Score (BW-10%)]],TRUE)*100,"")</f>
        <v/>
      </c>
      <c r="L8" s="2" t="str">
        <f>IF(Table1[[#This Row],[Is Data Valid]]=TRUE,_xlfn.NORM.S.DIST(Table1[[#This Row],[Birthweight Z-Score (BW+10%)]],TRUE)*100,"")</f>
        <v/>
      </c>
    </row>
    <row r="9" spans="1:12" x14ac:dyDescent="0.35">
      <c r="A9" s="3"/>
      <c r="B9" s="2"/>
      <c r="C9" s="2"/>
      <c r="D9" s="2" t="b">
        <f>IF(AND(NOT(ISBLANK(Table1[[#This Row],[Fetal Sex (Male, Female or Unknown)]])),ISNUMBER(Table1[[#This Row],[Birthweight (grams)]]),ISNUMBER(Table1[[#This Row],[Gestation (days)]])),TRUE,FALSE)</f>
        <v>0</v>
      </c>
      <c r="E9" s="2" t="str">
        <f>IF(Table1[[#This Row],[Is Data Valid]]=TRUE,IF(Table1[[#This Row],[Fetal Sex (Male, Female or Unknown)]]="Male",Backend!$C$6,IF(Table1[[#This Row],[Fetal Sex (Male, Female or Unknown)]]="Female",Backend!$C$7,IF(Table1[[#This Row],[Fetal Sex (Male, Female or Unknown)]]="Unknown",Backend!$C$8,"Error"))),"")</f>
        <v/>
      </c>
      <c r="F9" s="8" t="str">
        <f>IF(Table1[[#This Row],[Is Data Valid]]=TRUE,EXP(0.578+0.332*((Table1[[#This Row],[Gestation (days)]]+0.5)/7)-0.00354*((Table1[[#This Row],[Gestation (days)]]+0.5)/7)^2)*Table1[[#This Row],[BW40_3705]],"")</f>
        <v/>
      </c>
      <c r="G9" s="2" t="str">
        <f>IF(Table1[[#This Row],[Is Data Valid]]=TRUE,((Table1[[#This Row],[Birthweight (grams)]]/Table1[[#This Row],[BW_GA]])-1)/(Backend!$B$4/100*Table1[[#This Row],[BW40_3705]]),"")</f>
        <v/>
      </c>
      <c r="H9" s="2" t="str">
        <f>IF(Table1[[#This Row],[Is Data Valid]]=TRUE,((Table1[[#This Row],[Birthweight (grams)]]*0.9/Table1[[#This Row],[BW_GA]])-1)/(Backend!$B$4/100*Table1[[#This Row],[BW40_3705]]),"")</f>
        <v/>
      </c>
      <c r="I9" s="2" t="str">
        <f>IF(Table1[[#This Row],[Is Data Valid]]=TRUE,((Table1[[#This Row],[Birthweight (grams)]]*1.1/Table1[[#This Row],[BW_GA]])-1)/(Backend!$B$4/100*Table1[[#This Row],[BW40_3705]]),"")</f>
        <v/>
      </c>
      <c r="J9" s="2" t="str">
        <f>IF(Table1[[#This Row],[Is Data Valid]]=TRUE,_xlfn.NORM.S.DIST(Table1[[#This Row],[Birthweight Z-Score]],TRUE)*100,"")</f>
        <v/>
      </c>
      <c r="K9" s="2" t="str">
        <f>IF(Table1[[#This Row],[Is Data Valid]]=TRUE,_xlfn.NORM.S.DIST(Table1[[#This Row],[Birthweight Z-Score (BW-10%)]],TRUE)*100,"")</f>
        <v/>
      </c>
      <c r="L9" s="2" t="str">
        <f>IF(Table1[[#This Row],[Is Data Valid]]=TRUE,_xlfn.NORM.S.DIST(Table1[[#This Row],[Birthweight Z-Score (BW+10%)]],TRUE)*100,"")</f>
        <v/>
      </c>
    </row>
    <row r="10" spans="1:12" x14ac:dyDescent="0.35">
      <c r="A10" s="3"/>
      <c r="B10" s="2"/>
      <c r="C10" s="2"/>
      <c r="D10" s="2" t="b">
        <f>IF(AND(NOT(ISBLANK(Table1[[#This Row],[Fetal Sex (Male, Female or Unknown)]])),ISNUMBER(Table1[[#This Row],[Birthweight (grams)]]),ISNUMBER(Table1[[#This Row],[Gestation (days)]])),TRUE,FALSE)</f>
        <v>0</v>
      </c>
      <c r="E10" s="2" t="str">
        <f>IF(Table1[[#This Row],[Is Data Valid]]=TRUE,IF(Table1[[#This Row],[Fetal Sex (Male, Female or Unknown)]]="Male",Backend!$C$6,IF(Table1[[#This Row],[Fetal Sex (Male, Female or Unknown)]]="Female",Backend!$C$7,IF(Table1[[#This Row],[Fetal Sex (Male, Female or Unknown)]]="Unknown",Backend!$C$8,"Error"))),"")</f>
        <v/>
      </c>
      <c r="F10" s="8" t="str">
        <f>IF(Table1[[#This Row],[Is Data Valid]]=TRUE,EXP(0.578+0.332*((Table1[[#This Row],[Gestation (days)]]+0.5)/7)-0.00354*((Table1[[#This Row],[Gestation (days)]]+0.5)/7)^2)*Table1[[#This Row],[BW40_3705]],"")</f>
        <v/>
      </c>
      <c r="G10" s="2" t="str">
        <f>IF(Table1[[#This Row],[Is Data Valid]]=TRUE,((Table1[[#This Row],[Birthweight (grams)]]/Table1[[#This Row],[BW_GA]])-1)/(Backend!$B$4/100*Table1[[#This Row],[BW40_3705]]),"")</f>
        <v/>
      </c>
      <c r="H10" s="2" t="str">
        <f>IF(Table1[[#This Row],[Is Data Valid]]=TRUE,((Table1[[#This Row],[Birthweight (grams)]]*0.9/Table1[[#This Row],[BW_GA]])-1)/(Backend!$B$4/100*Table1[[#This Row],[BW40_3705]]),"")</f>
        <v/>
      </c>
      <c r="I10" s="2" t="str">
        <f>IF(Table1[[#This Row],[Is Data Valid]]=TRUE,((Table1[[#This Row],[Birthweight (grams)]]*1.1/Table1[[#This Row],[BW_GA]])-1)/(Backend!$B$4/100*Table1[[#This Row],[BW40_3705]]),"")</f>
        <v/>
      </c>
      <c r="J10" s="2" t="str">
        <f>IF(Table1[[#This Row],[Is Data Valid]]=TRUE,_xlfn.NORM.S.DIST(Table1[[#This Row],[Birthweight Z-Score]],TRUE)*100,"")</f>
        <v/>
      </c>
      <c r="K10" s="2" t="str">
        <f>IF(Table1[[#This Row],[Is Data Valid]]=TRUE,_xlfn.NORM.S.DIST(Table1[[#This Row],[Birthweight Z-Score (BW-10%)]],TRUE)*100,"")</f>
        <v/>
      </c>
      <c r="L10" s="2" t="str">
        <f>IF(Table1[[#This Row],[Is Data Valid]]=TRUE,_xlfn.NORM.S.DIST(Table1[[#This Row],[Birthweight Z-Score (BW+10%)]],TRUE)*100,"")</f>
        <v/>
      </c>
    </row>
    <row r="11" spans="1:12" x14ac:dyDescent="0.35">
      <c r="A11" s="3"/>
      <c r="B11" s="2"/>
      <c r="C11" s="2"/>
      <c r="D11" s="2" t="b">
        <f>IF(AND(NOT(ISBLANK(Table1[[#This Row],[Fetal Sex (Male, Female or Unknown)]])),ISNUMBER(Table1[[#This Row],[Birthweight (grams)]]),ISNUMBER(Table1[[#This Row],[Gestation (days)]])),TRUE,FALSE)</f>
        <v>0</v>
      </c>
      <c r="E11" s="2" t="str">
        <f>IF(Table1[[#This Row],[Is Data Valid]]=TRUE,IF(Table1[[#This Row],[Fetal Sex (Male, Female or Unknown)]]="Male",Backend!$C$6,IF(Table1[[#This Row],[Fetal Sex (Male, Female or Unknown)]]="Female",Backend!$C$7,IF(Table1[[#This Row],[Fetal Sex (Male, Female or Unknown)]]="Unknown",Backend!$C$8,"Error"))),"")</f>
        <v/>
      </c>
      <c r="F11" s="8" t="str">
        <f>IF(Table1[[#This Row],[Is Data Valid]]=TRUE,EXP(0.578+0.332*((Table1[[#This Row],[Gestation (days)]]+0.5)/7)-0.00354*((Table1[[#This Row],[Gestation (days)]]+0.5)/7)^2)*Table1[[#This Row],[BW40_3705]],"")</f>
        <v/>
      </c>
      <c r="G11" s="2" t="str">
        <f>IF(Table1[[#This Row],[Is Data Valid]]=TRUE,((Table1[[#This Row],[Birthweight (grams)]]/Table1[[#This Row],[BW_GA]])-1)/(Backend!$B$4/100*Table1[[#This Row],[BW40_3705]]),"")</f>
        <v/>
      </c>
      <c r="H11" s="2" t="str">
        <f>IF(Table1[[#This Row],[Is Data Valid]]=TRUE,((Table1[[#This Row],[Birthweight (grams)]]*0.9/Table1[[#This Row],[BW_GA]])-1)/(Backend!$B$4/100*Table1[[#This Row],[BW40_3705]]),"")</f>
        <v/>
      </c>
      <c r="I11" s="2" t="str">
        <f>IF(Table1[[#This Row],[Is Data Valid]]=TRUE,((Table1[[#This Row],[Birthweight (grams)]]*1.1/Table1[[#This Row],[BW_GA]])-1)/(Backend!$B$4/100*Table1[[#This Row],[BW40_3705]]),"")</f>
        <v/>
      </c>
      <c r="J11" s="2" t="str">
        <f>IF(Table1[[#This Row],[Is Data Valid]]=TRUE,_xlfn.NORM.S.DIST(Table1[[#This Row],[Birthweight Z-Score]],TRUE)*100,"")</f>
        <v/>
      </c>
      <c r="K11" s="2" t="str">
        <f>IF(Table1[[#This Row],[Is Data Valid]]=TRUE,_xlfn.NORM.S.DIST(Table1[[#This Row],[Birthweight Z-Score (BW-10%)]],TRUE)*100,"")</f>
        <v/>
      </c>
      <c r="L11" s="2" t="str">
        <f>IF(Table1[[#This Row],[Is Data Valid]]=TRUE,_xlfn.NORM.S.DIST(Table1[[#This Row],[Birthweight Z-Score (BW+10%)]],TRUE)*100,"")</f>
        <v/>
      </c>
    </row>
    <row r="12" spans="1:12" x14ac:dyDescent="0.35">
      <c r="A12" s="3"/>
      <c r="B12" s="2"/>
      <c r="C12" s="2"/>
      <c r="D12" s="2" t="b">
        <f>IF(AND(NOT(ISBLANK(Table1[[#This Row],[Fetal Sex (Male, Female or Unknown)]])),ISNUMBER(Table1[[#This Row],[Birthweight (grams)]]),ISNUMBER(Table1[[#This Row],[Gestation (days)]])),TRUE,FALSE)</f>
        <v>0</v>
      </c>
      <c r="E12" s="2" t="str">
        <f>IF(Table1[[#This Row],[Is Data Valid]]=TRUE,IF(Table1[[#This Row],[Fetal Sex (Male, Female or Unknown)]]="Male",Backend!$C$6,IF(Table1[[#This Row],[Fetal Sex (Male, Female or Unknown)]]="Female",Backend!$C$7,IF(Table1[[#This Row],[Fetal Sex (Male, Female or Unknown)]]="Unknown",Backend!$C$8,"Error"))),"")</f>
        <v/>
      </c>
      <c r="F12" s="8" t="str">
        <f>IF(Table1[[#This Row],[Is Data Valid]]=TRUE,EXP(0.578+0.332*((Table1[[#This Row],[Gestation (days)]]+0.5)/7)-0.00354*((Table1[[#This Row],[Gestation (days)]]+0.5)/7)^2)*Table1[[#This Row],[BW40_3705]],"")</f>
        <v/>
      </c>
      <c r="G12" s="2" t="str">
        <f>IF(Table1[[#This Row],[Is Data Valid]]=TRUE,((Table1[[#This Row],[Birthweight (grams)]]/Table1[[#This Row],[BW_GA]])-1)/(Backend!$B$4/100*Table1[[#This Row],[BW40_3705]]),"")</f>
        <v/>
      </c>
      <c r="H12" s="2" t="str">
        <f>IF(Table1[[#This Row],[Is Data Valid]]=TRUE,((Table1[[#This Row],[Birthweight (grams)]]*0.9/Table1[[#This Row],[BW_GA]])-1)/(Backend!$B$4/100*Table1[[#This Row],[BW40_3705]]),"")</f>
        <v/>
      </c>
      <c r="I12" s="2" t="str">
        <f>IF(Table1[[#This Row],[Is Data Valid]]=TRUE,((Table1[[#This Row],[Birthweight (grams)]]*1.1/Table1[[#This Row],[BW_GA]])-1)/(Backend!$B$4/100*Table1[[#This Row],[BW40_3705]]),"")</f>
        <v/>
      </c>
      <c r="J12" s="2" t="str">
        <f>IF(Table1[[#This Row],[Is Data Valid]]=TRUE,_xlfn.NORM.S.DIST(Table1[[#This Row],[Birthweight Z-Score]],TRUE)*100,"")</f>
        <v/>
      </c>
      <c r="K12" s="2" t="str">
        <f>IF(Table1[[#This Row],[Is Data Valid]]=TRUE,_xlfn.NORM.S.DIST(Table1[[#This Row],[Birthweight Z-Score (BW-10%)]],TRUE)*100,"")</f>
        <v/>
      </c>
      <c r="L12" s="2" t="str">
        <f>IF(Table1[[#This Row],[Is Data Valid]]=TRUE,_xlfn.NORM.S.DIST(Table1[[#This Row],[Birthweight Z-Score (BW+10%)]],TRUE)*100,"")</f>
        <v/>
      </c>
    </row>
    <row r="13" spans="1:12" x14ac:dyDescent="0.35">
      <c r="A13" s="3"/>
      <c r="B13" s="2"/>
      <c r="C13" s="2"/>
      <c r="D13" s="2" t="b">
        <f>IF(AND(NOT(ISBLANK(Table1[[#This Row],[Fetal Sex (Male, Female or Unknown)]])),ISNUMBER(Table1[[#This Row],[Birthweight (grams)]]),ISNUMBER(Table1[[#This Row],[Gestation (days)]])),TRUE,FALSE)</f>
        <v>0</v>
      </c>
      <c r="E13" s="2" t="str">
        <f>IF(Table1[[#This Row],[Is Data Valid]]=TRUE,IF(Table1[[#This Row],[Fetal Sex (Male, Female or Unknown)]]="Male",Backend!$C$6,IF(Table1[[#This Row],[Fetal Sex (Male, Female or Unknown)]]="Female",Backend!$C$7,IF(Table1[[#This Row],[Fetal Sex (Male, Female or Unknown)]]="Unknown",Backend!$C$8,"Error"))),"")</f>
        <v/>
      </c>
      <c r="F13" s="8" t="str">
        <f>IF(Table1[[#This Row],[Is Data Valid]]=TRUE,EXP(0.578+0.332*((Table1[[#This Row],[Gestation (days)]]+0.5)/7)-0.00354*((Table1[[#This Row],[Gestation (days)]]+0.5)/7)^2)*Table1[[#This Row],[BW40_3705]],"")</f>
        <v/>
      </c>
      <c r="G13" s="2" t="str">
        <f>IF(Table1[[#This Row],[Is Data Valid]]=TRUE,((Table1[[#This Row],[Birthweight (grams)]]/Table1[[#This Row],[BW_GA]])-1)/(Backend!$B$4/100*Table1[[#This Row],[BW40_3705]]),"")</f>
        <v/>
      </c>
      <c r="H13" s="2" t="str">
        <f>IF(Table1[[#This Row],[Is Data Valid]]=TRUE,((Table1[[#This Row],[Birthweight (grams)]]*0.9/Table1[[#This Row],[BW_GA]])-1)/(Backend!$B$4/100*Table1[[#This Row],[BW40_3705]]),"")</f>
        <v/>
      </c>
      <c r="I13" s="2" t="str">
        <f>IF(Table1[[#This Row],[Is Data Valid]]=TRUE,((Table1[[#This Row],[Birthweight (grams)]]*1.1/Table1[[#This Row],[BW_GA]])-1)/(Backend!$B$4/100*Table1[[#This Row],[BW40_3705]]),"")</f>
        <v/>
      </c>
      <c r="J13" s="2" t="str">
        <f>IF(Table1[[#This Row],[Is Data Valid]]=TRUE,_xlfn.NORM.S.DIST(Table1[[#This Row],[Birthweight Z-Score]],TRUE)*100,"")</f>
        <v/>
      </c>
      <c r="K13" s="2" t="str">
        <f>IF(Table1[[#This Row],[Is Data Valid]]=TRUE,_xlfn.NORM.S.DIST(Table1[[#This Row],[Birthweight Z-Score (BW-10%)]],TRUE)*100,"")</f>
        <v/>
      </c>
      <c r="L13" s="2" t="str">
        <f>IF(Table1[[#This Row],[Is Data Valid]]=TRUE,_xlfn.NORM.S.DIST(Table1[[#This Row],[Birthweight Z-Score (BW+10%)]],TRUE)*100,"")</f>
        <v/>
      </c>
    </row>
    <row r="14" spans="1:12" x14ac:dyDescent="0.35">
      <c r="A14" s="3"/>
      <c r="B14" s="2"/>
      <c r="C14" s="2"/>
      <c r="D14" s="2" t="b">
        <f>IF(AND(NOT(ISBLANK(Table1[[#This Row],[Fetal Sex (Male, Female or Unknown)]])),ISNUMBER(Table1[[#This Row],[Birthweight (grams)]]),ISNUMBER(Table1[[#This Row],[Gestation (days)]])),TRUE,FALSE)</f>
        <v>0</v>
      </c>
      <c r="E14" s="2" t="str">
        <f>IF(Table1[[#This Row],[Is Data Valid]]=TRUE,IF(Table1[[#This Row],[Fetal Sex (Male, Female or Unknown)]]="Male",Backend!$C$6,IF(Table1[[#This Row],[Fetal Sex (Male, Female or Unknown)]]="Female",Backend!$C$7,IF(Table1[[#This Row],[Fetal Sex (Male, Female or Unknown)]]="Unknown",Backend!$C$8,"Error"))),"")</f>
        <v/>
      </c>
      <c r="F14" s="8" t="str">
        <f>IF(Table1[[#This Row],[Is Data Valid]]=TRUE,EXP(0.578+0.332*((Table1[[#This Row],[Gestation (days)]]+0.5)/7)-0.00354*((Table1[[#This Row],[Gestation (days)]]+0.5)/7)^2)*Table1[[#This Row],[BW40_3705]],"")</f>
        <v/>
      </c>
      <c r="G14" s="2" t="str">
        <f>IF(Table1[[#This Row],[Is Data Valid]]=TRUE,((Table1[[#This Row],[Birthweight (grams)]]/Table1[[#This Row],[BW_GA]])-1)/(Backend!$B$4/100*Table1[[#This Row],[BW40_3705]]),"")</f>
        <v/>
      </c>
      <c r="H14" s="2" t="str">
        <f>IF(Table1[[#This Row],[Is Data Valid]]=TRUE,((Table1[[#This Row],[Birthweight (grams)]]*0.9/Table1[[#This Row],[BW_GA]])-1)/(Backend!$B$4/100*Table1[[#This Row],[BW40_3705]]),"")</f>
        <v/>
      </c>
      <c r="I14" s="2" t="str">
        <f>IF(Table1[[#This Row],[Is Data Valid]]=TRUE,((Table1[[#This Row],[Birthweight (grams)]]*1.1/Table1[[#This Row],[BW_GA]])-1)/(Backend!$B$4/100*Table1[[#This Row],[BW40_3705]]),"")</f>
        <v/>
      </c>
      <c r="J14" s="2" t="str">
        <f>IF(Table1[[#This Row],[Is Data Valid]]=TRUE,_xlfn.NORM.S.DIST(Table1[[#This Row],[Birthweight Z-Score]],TRUE)*100,"")</f>
        <v/>
      </c>
      <c r="K14" s="2" t="str">
        <f>IF(Table1[[#This Row],[Is Data Valid]]=TRUE,_xlfn.NORM.S.DIST(Table1[[#This Row],[Birthweight Z-Score (BW-10%)]],TRUE)*100,"")</f>
        <v/>
      </c>
      <c r="L14" s="2" t="str">
        <f>IF(Table1[[#This Row],[Is Data Valid]]=TRUE,_xlfn.NORM.S.DIST(Table1[[#This Row],[Birthweight Z-Score (BW+10%)]],TRUE)*100,"")</f>
        <v/>
      </c>
    </row>
    <row r="15" spans="1:12" x14ac:dyDescent="0.35">
      <c r="A15" s="3"/>
      <c r="B15" s="2"/>
      <c r="C15" s="2"/>
      <c r="D15" s="2" t="b">
        <f>IF(AND(NOT(ISBLANK(Table1[[#This Row],[Fetal Sex (Male, Female or Unknown)]])),ISNUMBER(Table1[[#This Row],[Birthweight (grams)]]),ISNUMBER(Table1[[#This Row],[Gestation (days)]])),TRUE,FALSE)</f>
        <v>0</v>
      </c>
      <c r="E15" s="2" t="str">
        <f>IF(Table1[[#This Row],[Is Data Valid]]=TRUE,IF(Table1[[#This Row],[Fetal Sex (Male, Female or Unknown)]]="Male",Backend!$C$6,IF(Table1[[#This Row],[Fetal Sex (Male, Female or Unknown)]]="Female",Backend!$C$7,IF(Table1[[#This Row],[Fetal Sex (Male, Female or Unknown)]]="Unknown",Backend!$C$8,"Error"))),"")</f>
        <v/>
      </c>
      <c r="F15" s="8" t="str">
        <f>IF(Table1[[#This Row],[Is Data Valid]]=TRUE,EXP(0.578+0.332*((Table1[[#This Row],[Gestation (days)]]+0.5)/7)-0.00354*((Table1[[#This Row],[Gestation (days)]]+0.5)/7)^2)*Table1[[#This Row],[BW40_3705]],"")</f>
        <v/>
      </c>
      <c r="G15" s="2" t="str">
        <f>IF(Table1[[#This Row],[Is Data Valid]]=TRUE,((Table1[[#This Row],[Birthweight (grams)]]/Table1[[#This Row],[BW_GA]])-1)/(Backend!$B$4/100*Table1[[#This Row],[BW40_3705]]),"")</f>
        <v/>
      </c>
      <c r="H15" s="2" t="str">
        <f>IF(Table1[[#This Row],[Is Data Valid]]=TRUE,((Table1[[#This Row],[Birthweight (grams)]]*0.9/Table1[[#This Row],[BW_GA]])-1)/(Backend!$B$4/100*Table1[[#This Row],[BW40_3705]]),"")</f>
        <v/>
      </c>
      <c r="I15" s="2" t="str">
        <f>IF(Table1[[#This Row],[Is Data Valid]]=TRUE,((Table1[[#This Row],[Birthweight (grams)]]*1.1/Table1[[#This Row],[BW_GA]])-1)/(Backend!$B$4/100*Table1[[#This Row],[BW40_3705]]),"")</f>
        <v/>
      </c>
      <c r="J15" s="2" t="str">
        <f>IF(Table1[[#This Row],[Is Data Valid]]=TRUE,_xlfn.NORM.S.DIST(Table1[[#This Row],[Birthweight Z-Score]],TRUE)*100,"")</f>
        <v/>
      </c>
      <c r="K15" s="2" t="str">
        <f>IF(Table1[[#This Row],[Is Data Valid]]=TRUE,_xlfn.NORM.S.DIST(Table1[[#This Row],[Birthweight Z-Score (BW-10%)]],TRUE)*100,"")</f>
        <v/>
      </c>
      <c r="L15" s="2" t="str">
        <f>IF(Table1[[#This Row],[Is Data Valid]]=TRUE,_xlfn.NORM.S.DIST(Table1[[#This Row],[Birthweight Z-Score (BW+10%)]],TRUE)*100,"")</f>
        <v/>
      </c>
    </row>
    <row r="16" spans="1:12" x14ac:dyDescent="0.35">
      <c r="A16" s="3"/>
      <c r="B16" s="2"/>
      <c r="C16" s="2"/>
      <c r="D16" s="2" t="b">
        <f>IF(AND(NOT(ISBLANK(Table1[[#This Row],[Fetal Sex (Male, Female or Unknown)]])),ISNUMBER(Table1[[#This Row],[Birthweight (grams)]]),ISNUMBER(Table1[[#This Row],[Gestation (days)]])),TRUE,FALSE)</f>
        <v>0</v>
      </c>
      <c r="E16" s="2" t="str">
        <f>IF(Table1[[#This Row],[Is Data Valid]]=TRUE,IF(Table1[[#This Row],[Fetal Sex (Male, Female or Unknown)]]="Male",Backend!$C$6,IF(Table1[[#This Row],[Fetal Sex (Male, Female or Unknown)]]="Female",Backend!$C$7,IF(Table1[[#This Row],[Fetal Sex (Male, Female or Unknown)]]="Unknown",Backend!$C$8,"Error"))),"")</f>
        <v/>
      </c>
      <c r="F16" s="8" t="str">
        <f>IF(Table1[[#This Row],[Is Data Valid]]=TRUE,EXP(0.578+0.332*((Table1[[#This Row],[Gestation (days)]]+0.5)/7)-0.00354*((Table1[[#This Row],[Gestation (days)]]+0.5)/7)^2)*Table1[[#This Row],[BW40_3705]],"")</f>
        <v/>
      </c>
      <c r="G16" s="2" t="str">
        <f>IF(Table1[[#This Row],[Is Data Valid]]=TRUE,((Table1[[#This Row],[Birthweight (grams)]]/Table1[[#This Row],[BW_GA]])-1)/(Backend!$B$4/100*Table1[[#This Row],[BW40_3705]]),"")</f>
        <v/>
      </c>
      <c r="H16" s="2" t="str">
        <f>IF(Table1[[#This Row],[Is Data Valid]]=TRUE,((Table1[[#This Row],[Birthweight (grams)]]*0.9/Table1[[#This Row],[BW_GA]])-1)/(Backend!$B$4/100*Table1[[#This Row],[BW40_3705]]),"")</f>
        <v/>
      </c>
      <c r="I16" s="2" t="str">
        <f>IF(Table1[[#This Row],[Is Data Valid]]=TRUE,((Table1[[#This Row],[Birthweight (grams)]]*1.1/Table1[[#This Row],[BW_GA]])-1)/(Backend!$B$4/100*Table1[[#This Row],[BW40_3705]]),"")</f>
        <v/>
      </c>
      <c r="J16" s="2" t="str">
        <f>IF(Table1[[#This Row],[Is Data Valid]]=TRUE,_xlfn.NORM.S.DIST(Table1[[#This Row],[Birthweight Z-Score]],TRUE)*100,"")</f>
        <v/>
      </c>
      <c r="K16" s="2" t="str">
        <f>IF(Table1[[#This Row],[Is Data Valid]]=TRUE,_xlfn.NORM.S.DIST(Table1[[#This Row],[Birthweight Z-Score (BW-10%)]],TRUE)*100,"")</f>
        <v/>
      </c>
      <c r="L16" s="2" t="str">
        <f>IF(Table1[[#This Row],[Is Data Valid]]=TRUE,_xlfn.NORM.S.DIST(Table1[[#This Row],[Birthweight Z-Score (BW+10%)]],TRUE)*100,"")</f>
        <v/>
      </c>
    </row>
    <row r="17" spans="1:12" x14ac:dyDescent="0.35">
      <c r="A17" s="3"/>
      <c r="B17" s="2"/>
      <c r="C17" s="2"/>
      <c r="D17" s="2" t="b">
        <f>IF(AND(NOT(ISBLANK(Table1[[#This Row],[Fetal Sex (Male, Female or Unknown)]])),ISNUMBER(Table1[[#This Row],[Birthweight (grams)]]),ISNUMBER(Table1[[#This Row],[Gestation (days)]])),TRUE,FALSE)</f>
        <v>0</v>
      </c>
      <c r="E17" s="2" t="str">
        <f>IF(Table1[[#This Row],[Is Data Valid]]=TRUE,IF(Table1[[#This Row],[Fetal Sex (Male, Female or Unknown)]]="Male",Backend!$C$6,IF(Table1[[#This Row],[Fetal Sex (Male, Female or Unknown)]]="Female",Backend!$C$7,IF(Table1[[#This Row],[Fetal Sex (Male, Female or Unknown)]]="Unknown",Backend!$C$8,"Error"))),"")</f>
        <v/>
      </c>
      <c r="F17" s="8" t="str">
        <f>IF(Table1[[#This Row],[Is Data Valid]]=TRUE,EXP(0.578+0.332*((Table1[[#This Row],[Gestation (days)]]+0.5)/7)-0.00354*((Table1[[#This Row],[Gestation (days)]]+0.5)/7)^2)*Table1[[#This Row],[BW40_3705]],"")</f>
        <v/>
      </c>
      <c r="G17" s="2" t="str">
        <f>IF(Table1[[#This Row],[Is Data Valid]]=TRUE,((Table1[[#This Row],[Birthweight (grams)]]/Table1[[#This Row],[BW_GA]])-1)/(Backend!$B$4/100*Table1[[#This Row],[BW40_3705]]),"")</f>
        <v/>
      </c>
      <c r="H17" s="2" t="str">
        <f>IF(Table1[[#This Row],[Is Data Valid]]=TRUE,((Table1[[#This Row],[Birthweight (grams)]]*0.9/Table1[[#This Row],[BW_GA]])-1)/(Backend!$B$4/100*Table1[[#This Row],[BW40_3705]]),"")</f>
        <v/>
      </c>
      <c r="I17" s="2" t="str">
        <f>IF(Table1[[#This Row],[Is Data Valid]]=TRUE,((Table1[[#This Row],[Birthweight (grams)]]*1.1/Table1[[#This Row],[BW_GA]])-1)/(Backend!$B$4/100*Table1[[#This Row],[BW40_3705]]),"")</f>
        <v/>
      </c>
      <c r="J17" s="2" t="str">
        <f>IF(Table1[[#This Row],[Is Data Valid]]=TRUE,_xlfn.NORM.S.DIST(Table1[[#This Row],[Birthweight Z-Score]],TRUE)*100,"")</f>
        <v/>
      </c>
      <c r="K17" s="2" t="str">
        <f>IF(Table1[[#This Row],[Is Data Valid]]=TRUE,_xlfn.NORM.S.DIST(Table1[[#This Row],[Birthweight Z-Score (BW-10%)]],TRUE)*100,"")</f>
        <v/>
      </c>
      <c r="L17" s="2" t="str">
        <f>IF(Table1[[#This Row],[Is Data Valid]]=TRUE,_xlfn.NORM.S.DIST(Table1[[#This Row],[Birthweight Z-Score (BW+10%)]],TRUE)*100,"")</f>
        <v/>
      </c>
    </row>
    <row r="18" spans="1:12" x14ac:dyDescent="0.35">
      <c r="A18" s="3"/>
      <c r="B18" s="2"/>
      <c r="C18" s="2"/>
      <c r="D18" s="2" t="b">
        <f>IF(AND(NOT(ISBLANK(Table1[[#This Row],[Fetal Sex (Male, Female or Unknown)]])),ISNUMBER(Table1[[#This Row],[Birthweight (grams)]]),ISNUMBER(Table1[[#This Row],[Gestation (days)]])),TRUE,FALSE)</f>
        <v>0</v>
      </c>
      <c r="E18" s="2" t="str">
        <f>IF(Table1[[#This Row],[Is Data Valid]]=TRUE,IF(Table1[[#This Row],[Fetal Sex (Male, Female or Unknown)]]="Male",Backend!$C$6,IF(Table1[[#This Row],[Fetal Sex (Male, Female or Unknown)]]="Female",Backend!$C$7,IF(Table1[[#This Row],[Fetal Sex (Male, Female or Unknown)]]="Unknown",Backend!$C$8,"Error"))),"")</f>
        <v/>
      </c>
      <c r="F18" s="8" t="str">
        <f>IF(Table1[[#This Row],[Is Data Valid]]=TRUE,EXP(0.578+0.332*((Table1[[#This Row],[Gestation (days)]]+0.5)/7)-0.00354*((Table1[[#This Row],[Gestation (days)]]+0.5)/7)^2)*Table1[[#This Row],[BW40_3705]],"")</f>
        <v/>
      </c>
      <c r="G18" s="2" t="str">
        <f>IF(Table1[[#This Row],[Is Data Valid]]=TRUE,((Table1[[#This Row],[Birthweight (grams)]]/Table1[[#This Row],[BW_GA]])-1)/(Backend!$B$4/100*Table1[[#This Row],[BW40_3705]]),"")</f>
        <v/>
      </c>
      <c r="H18" s="2" t="str">
        <f>IF(Table1[[#This Row],[Is Data Valid]]=TRUE,((Table1[[#This Row],[Birthweight (grams)]]*0.9/Table1[[#This Row],[BW_GA]])-1)/(Backend!$B$4/100*Table1[[#This Row],[BW40_3705]]),"")</f>
        <v/>
      </c>
      <c r="I18" s="2" t="str">
        <f>IF(Table1[[#This Row],[Is Data Valid]]=TRUE,((Table1[[#This Row],[Birthweight (grams)]]*1.1/Table1[[#This Row],[BW_GA]])-1)/(Backend!$B$4/100*Table1[[#This Row],[BW40_3705]]),"")</f>
        <v/>
      </c>
      <c r="J18" s="2" t="str">
        <f>IF(Table1[[#This Row],[Is Data Valid]]=TRUE,_xlfn.NORM.S.DIST(Table1[[#This Row],[Birthweight Z-Score]],TRUE)*100,"")</f>
        <v/>
      </c>
      <c r="K18" s="2" t="str">
        <f>IF(Table1[[#This Row],[Is Data Valid]]=TRUE,_xlfn.NORM.S.DIST(Table1[[#This Row],[Birthweight Z-Score (BW-10%)]],TRUE)*100,"")</f>
        <v/>
      </c>
      <c r="L18" s="2" t="str">
        <f>IF(Table1[[#This Row],[Is Data Valid]]=TRUE,_xlfn.NORM.S.DIST(Table1[[#This Row],[Birthweight Z-Score (BW+10%)]],TRUE)*100,"")</f>
        <v/>
      </c>
    </row>
    <row r="19" spans="1:12" x14ac:dyDescent="0.35">
      <c r="A19" s="3"/>
      <c r="B19" s="2"/>
      <c r="C19" s="2"/>
      <c r="D19" s="2" t="b">
        <f>IF(AND(NOT(ISBLANK(Table1[[#This Row],[Fetal Sex (Male, Female or Unknown)]])),ISNUMBER(Table1[[#This Row],[Birthweight (grams)]]),ISNUMBER(Table1[[#This Row],[Gestation (days)]])),TRUE,FALSE)</f>
        <v>0</v>
      </c>
      <c r="E19" s="2" t="str">
        <f>IF(Table1[[#This Row],[Is Data Valid]]=TRUE,IF(Table1[[#This Row],[Fetal Sex (Male, Female or Unknown)]]="Male",Backend!$C$6,IF(Table1[[#This Row],[Fetal Sex (Male, Female or Unknown)]]="Female",Backend!$C$7,IF(Table1[[#This Row],[Fetal Sex (Male, Female or Unknown)]]="Unknown",Backend!$C$8,"Error"))),"")</f>
        <v/>
      </c>
      <c r="F19" s="8" t="str">
        <f>IF(Table1[[#This Row],[Is Data Valid]]=TRUE,EXP(0.578+0.332*((Table1[[#This Row],[Gestation (days)]]+0.5)/7)-0.00354*((Table1[[#This Row],[Gestation (days)]]+0.5)/7)^2)*Table1[[#This Row],[BW40_3705]],"")</f>
        <v/>
      </c>
      <c r="G19" s="2" t="str">
        <f>IF(Table1[[#This Row],[Is Data Valid]]=TRUE,((Table1[[#This Row],[Birthweight (grams)]]/Table1[[#This Row],[BW_GA]])-1)/(Backend!$B$4/100*Table1[[#This Row],[BW40_3705]]),"")</f>
        <v/>
      </c>
      <c r="H19" s="2" t="str">
        <f>IF(Table1[[#This Row],[Is Data Valid]]=TRUE,((Table1[[#This Row],[Birthweight (grams)]]*0.9/Table1[[#This Row],[BW_GA]])-1)/(Backend!$B$4/100*Table1[[#This Row],[BW40_3705]]),"")</f>
        <v/>
      </c>
      <c r="I19" s="2" t="str">
        <f>IF(Table1[[#This Row],[Is Data Valid]]=TRUE,((Table1[[#This Row],[Birthweight (grams)]]*1.1/Table1[[#This Row],[BW_GA]])-1)/(Backend!$B$4/100*Table1[[#This Row],[BW40_3705]]),"")</f>
        <v/>
      </c>
      <c r="J19" s="2" t="str">
        <f>IF(Table1[[#This Row],[Is Data Valid]]=TRUE,_xlfn.NORM.S.DIST(Table1[[#This Row],[Birthweight Z-Score]],TRUE)*100,"")</f>
        <v/>
      </c>
      <c r="K19" s="2" t="str">
        <f>IF(Table1[[#This Row],[Is Data Valid]]=TRUE,_xlfn.NORM.S.DIST(Table1[[#This Row],[Birthweight Z-Score (BW-10%)]],TRUE)*100,"")</f>
        <v/>
      </c>
      <c r="L19" s="2" t="str">
        <f>IF(Table1[[#This Row],[Is Data Valid]]=TRUE,_xlfn.NORM.S.DIST(Table1[[#This Row],[Birthweight Z-Score (BW+10%)]],TRUE)*100,"")</f>
        <v/>
      </c>
    </row>
    <row r="20" spans="1:12" x14ac:dyDescent="0.35">
      <c r="A20" s="3"/>
      <c r="B20" s="2"/>
      <c r="C20" s="2"/>
      <c r="D20" s="2" t="b">
        <f>IF(AND(NOT(ISBLANK(Table1[[#This Row],[Fetal Sex (Male, Female or Unknown)]])),ISNUMBER(Table1[[#This Row],[Birthweight (grams)]]),ISNUMBER(Table1[[#This Row],[Gestation (days)]])),TRUE,FALSE)</f>
        <v>0</v>
      </c>
      <c r="E20" s="2" t="str">
        <f>IF(Table1[[#This Row],[Is Data Valid]]=TRUE,IF(Table1[[#This Row],[Fetal Sex (Male, Female or Unknown)]]="Male",Backend!$C$6,IF(Table1[[#This Row],[Fetal Sex (Male, Female or Unknown)]]="Female",Backend!$C$7,IF(Table1[[#This Row],[Fetal Sex (Male, Female or Unknown)]]="Unknown",Backend!$C$8,"Error"))),"")</f>
        <v/>
      </c>
      <c r="F20" s="8" t="str">
        <f>IF(Table1[[#This Row],[Is Data Valid]]=TRUE,EXP(0.578+0.332*((Table1[[#This Row],[Gestation (days)]]+0.5)/7)-0.00354*((Table1[[#This Row],[Gestation (days)]]+0.5)/7)^2)*Table1[[#This Row],[BW40_3705]],"")</f>
        <v/>
      </c>
      <c r="G20" s="2" t="str">
        <f>IF(Table1[[#This Row],[Is Data Valid]]=TRUE,((Table1[[#This Row],[Birthweight (grams)]]/Table1[[#This Row],[BW_GA]])-1)/(Backend!$B$4/100*Table1[[#This Row],[BW40_3705]]),"")</f>
        <v/>
      </c>
      <c r="H20" s="2" t="str">
        <f>IF(Table1[[#This Row],[Is Data Valid]]=TRUE,((Table1[[#This Row],[Birthweight (grams)]]*0.9/Table1[[#This Row],[BW_GA]])-1)/(Backend!$B$4/100*Table1[[#This Row],[BW40_3705]]),"")</f>
        <v/>
      </c>
      <c r="I20" s="2" t="str">
        <f>IF(Table1[[#This Row],[Is Data Valid]]=TRUE,((Table1[[#This Row],[Birthweight (grams)]]*1.1/Table1[[#This Row],[BW_GA]])-1)/(Backend!$B$4/100*Table1[[#This Row],[BW40_3705]]),"")</f>
        <v/>
      </c>
      <c r="J20" s="2" t="str">
        <f>IF(Table1[[#This Row],[Is Data Valid]]=TRUE,_xlfn.NORM.S.DIST(Table1[[#This Row],[Birthweight Z-Score]],TRUE)*100,"")</f>
        <v/>
      </c>
      <c r="K20" s="2" t="str">
        <f>IF(Table1[[#This Row],[Is Data Valid]]=TRUE,_xlfn.NORM.S.DIST(Table1[[#This Row],[Birthweight Z-Score (BW-10%)]],TRUE)*100,"")</f>
        <v/>
      </c>
      <c r="L20" s="2" t="str">
        <f>IF(Table1[[#This Row],[Is Data Valid]]=TRUE,_xlfn.NORM.S.DIST(Table1[[#This Row],[Birthweight Z-Score (BW+10%)]],TRUE)*100,"")</f>
        <v/>
      </c>
    </row>
    <row r="21" spans="1:12" x14ac:dyDescent="0.35">
      <c r="A21" s="3"/>
      <c r="B21" s="2"/>
      <c r="C21" s="2"/>
      <c r="D21" s="2" t="b">
        <f>IF(AND(NOT(ISBLANK(Table1[[#This Row],[Fetal Sex (Male, Female or Unknown)]])),ISNUMBER(Table1[[#This Row],[Birthweight (grams)]]),ISNUMBER(Table1[[#This Row],[Gestation (days)]])),TRUE,FALSE)</f>
        <v>0</v>
      </c>
      <c r="E21" s="2" t="str">
        <f>IF(Table1[[#This Row],[Is Data Valid]]=TRUE,IF(Table1[[#This Row],[Fetal Sex (Male, Female or Unknown)]]="Male",Backend!$C$6,IF(Table1[[#This Row],[Fetal Sex (Male, Female or Unknown)]]="Female",Backend!$C$7,IF(Table1[[#This Row],[Fetal Sex (Male, Female or Unknown)]]="Unknown",Backend!$C$8,"Error"))),"")</f>
        <v/>
      </c>
      <c r="F21" s="8" t="str">
        <f>IF(Table1[[#This Row],[Is Data Valid]]=TRUE,EXP(0.578+0.332*((Table1[[#This Row],[Gestation (days)]]+0.5)/7)-0.00354*((Table1[[#This Row],[Gestation (days)]]+0.5)/7)^2)*Table1[[#This Row],[BW40_3705]],"")</f>
        <v/>
      </c>
      <c r="G21" s="2" t="str">
        <f>IF(Table1[[#This Row],[Is Data Valid]]=TRUE,((Table1[[#This Row],[Birthweight (grams)]]/Table1[[#This Row],[BW_GA]])-1)/(Backend!$B$4/100*Table1[[#This Row],[BW40_3705]]),"")</f>
        <v/>
      </c>
      <c r="H21" s="2" t="str">
        <f>IF(Table1[[#This Row],[Is Data Valid]]=TRUE,((Table1[[#This Row],[Birthweight (grams)]]*0.9/Table1[[#This Row],[BW_GA]])-1)/(Backend!$B$4/100*Table1[[#This Row],[BW40_3705]]),"")</f>
        <v/>
      </c>
      <c r="I21" s="2" t="str">
        <f>IF(Table1[[#This Row],[Is Data Valid]]=TRUE,((Table1[[#This Row],[Birthweight (grams)]]*1.1/Table1[[#This Row],[BW_GA]])-1)/(Backend!$B$4/100*Table1[[#This Row],[BW40_3705]]),"")</f>
        <v/>
      </c>
      <c r="J21" s="2" t="str">
        <f>IF(Table1[[#This Row],[Is Data Valid]]=TRUE,_xlfn.NORM.S.DIST(Table1[[#This Row],[Birthweight Z-Score]],TRUE)*100,"")</f>
        <v/>
      </c>
      <c r="K21" s="2" t="str">
        <f>IF(Table1[[#This Row],[Is Data Valid]]=TRUE,_xlfn.NORM.S.DIST(Table1[[#This Row],[Birthweight Z-Score (BW-10%)]],TRUE)*100,"")</f>
        <v/>
      </c>
      <c r="L21" s="2" t="str">
        <f>IF(Table1[[#This Row],[Is Data Valid]]=TRUE,_xlfn.NORM.S.DIST(Table1[[#This Row],[Birthweight Z-Score (BW+10%)]],TRUE)*100,"")</f>
        <v/>
      </c>
    </row>
    <row r="22" spans="1:12" x14ac:dyDescent="0.35">
      <c r="A22" s="3"/>
      <c r="B22" s="2"/>
      <c r="C22" s="2"/>
      <c r="D22" s="2" t="b">
        <f>IF(AND(NOT(ISBLANK(Table1[[#This Row],[Fetal Sex (Male, Female or Unknown)]])),ISNUMBER(Table1[[#This Row],[Birthweight (grams)]]),ISNUMBER(Table1[[#This Row],[Gestation (days)]])),TRUE,FALSE)</f>
        <v>0</v>
      </c>
      <c r="E22" s="2" t="str">
        <f>IF(Table1[[#This Row],[Is Data Valid]]=TRUE,IF(Table1[[#This Row],[Fetal Sex (Male, Female or Unknown)]]="Male",Backend!$C$6,IF(Table1[[#This Row],[Fetal Sex (Male, Female or Unknown)]]="Female",Backend!$C$7,IF(Table1[[#This Row],[Fetal Sex (Male, Female or Unknown)]]="Unknown",Backend!$C$8,"Error"))),"")</f>
        <v/>
      </c>
      <c r="F22" s="8" t="str">
        <f>IF(Table1[[#This Row],[Is Data Valid]]=TRUE,EXP(0.578+0.332*((Table1[[#This Row],[Gestation (days)]]+0.5)/7)-0.00354*((Table1[[#This Row],[Gestation (days)]]+0.5)/7)^2)*Table1[[#This Row],[BW40_3705]],"")</f>
        <v/>
      </c>
      <c r="G22" s="2" t="str">
        <f>IF(Table1[[#This Row],[Is Data Valid]]=TRUE,((Table1[[#This Row],[Birthweight (grams)]]/Table1[[#This Row],[BW_GA]])-1)/(Backend!$B$4/100*Table1[[#This Row],[BW40_3705]]),"")</f>
        <v/>
      </c>
      <c r="H22" s="2" t="str">
        <f>IF(Table1[[#This Row],[Is Data Valid]]=TRUE,((Table1[[#This Row],[Birthweight (grams)]]*0.9/Table1[[#This Row],[BW_GA]])-1)/(Backend!$B$4/100*Table1[[#This Row],[BW40_3705]]),"")</f>
        <v/>
      </c>
      <c r="I22" s="2" t="str">
        <f>IF(Table1[[#This Row],[Is Data Valid]]=TRUE,((Table1[[#This Row],[Birthweight (grams)]]*1.1/Table1[[#This Row],[BW_GA]])-1)/(Backend!$B$4/100*Table1[[#This Row],[BW40_3705]]),"")</f>
        <v/>
      </c>
      <c r="J22" s="2" t="str">
        <f>IF(Table1[[#This Row],[Is Data Valid]]=TRUE,_xlfn.NORM.S.DIST(Table1[[#This Row],[Birthweight Z-Score]],TRUE)*100,"")</f>
        <v/>
      </c>
      <c r="K22" s="2" t="str">
        <f>IF(Table1[[#This Row],[Is Data Valid]]=TRUE,_xlfn.NORM.S.DIST(Table1[[#This Row],[Birthweight Z-Score (BW-10%)]],TRUE)*100,"")</f>
        <v/>
      </c>
      <c r="L22" s="2" t="str">
        <f>IF(Table1[[#This Row],[Is Data Valid]]=TRUE,_xlfn.NORM.S.DIST(Table1[[#This Row],[Birthweight Z-Score (BW+10%)]],TRUE)*100,"")</f>
        <v/>
      </c>
    </row>
    <row r="23" spans="1:12" x14ac:dyDescent="0.35">
      <c r="A23" s="3"/>
      <c r="B23" s="2"/>
      <c r="C23" s="2"/>
      <c r="D23" s="2" t="b">
        <f>IF(AND(NOT(ISBLANK(Table1[[#This Row],[Fetal Sex (Male, Female or Unknown)]])),ISNUMBER(Table1[[#This Row],[Birthweight (grams)]]),ISNUMBER(Table1[[#This Row],[Gestation (days)]])),TRUE,FALSE)</f>
        <v>0</v>
      </c>
      <c r="E23" s="2" t="str">
        <f>IF(Table1[[#This Row],[Is Data Valid]]=TRUE,IF(Table1[[#This Row],[Fetal Sex (Male, Female or Unknown)]]="Male",Backend!$C$6,IF(Table1[[#This Row],[Fetal Sex (Male, Female or Unknown)]]="Female",Backend!$C$7,IF(Table1[[#This Row],[Fetal Sex (Male, Female or Unknown)]]="Unknown",Backend!$C$8,"Error"))),"")</f>
        <v/>
      </c>
      <c r="F23" s="8" t="str">
        <f>IF(Table1[[#This Row],[Is Data Valid]]=TRUE,EXP(0.578+0.332*((Table1[[#This Row],[Gestation (days)]]+0.5)/7)-0.00354*((Table1[[#This Row],[Gestation (days)]]+0.5)/7)^2)*Table1[[#This Row],[BW40_3705]],"")</f>
        <v/>
      </c>
      <c r="G23" s="2" t="str">
        <f>IF(Table1[[#This Row],[Is Data Valid]]=TRUE,((Table1[[#This Row],[Birthweight (grams)]]/Table1[[#This Row],[BW_GA]])-1)/(Backend!$B$4/100*Table1[[#This Row],[BW40_3705]]),"")</f>
        <v/>
      </c>
      <c r="H23" s="2" t="str">
        <f>IF(Table1[[#This Row],[Is Data Valid]]=TRUE,((Table1[[#This Row],[Birthweight (grams)]]*0.9/Table1[[#This Row],[BW_GA]])-1)/(Backend!$B$4/100*Table1[[#This Row],[BW40_3705]]),"")</f>
        <v/>
      </c>
      <c r="I23" s="2" t="str">
        <f>IF(Table1[[#This Row],[Is Data Valid]]=TRUE,((Table1[[#This Row],[Birthweight (grams)]]*1.1/Table1[[#This Row],[BW_GA]])-1)/(Backend!$B$4/100*Table1[[#This Row],[BW40_3705]]),"")</f>
        <v/>
      </c>
      <c r="J23" s="2" t="str">
        <f>IF(Table1[[#This Row],[Is Data Valid]]=TRUE,_xlfn.NORM.S.DIST(Table1[[#This Row],[Birthweight Z-Score]],TRUE)*100,"")</f>
        <v/>
      </c>
      <c r="K23" s="2" t="str">
        <f>IF(Table1[[#This Row],[Is Data Valid]]=TRUE,_xlfn.NORM.S.DIST(Table1[[#This Row],[Birthweight Z-Score (BW-10%)]],TRUE)*100,"")</f>
        <v/>
      </c>
      <c r="L23" s="2" t="str">
        <f>IF(Table1[[#This Row],[Is Data Valid]]=TRUE,_xlfn.NORM.S.DIST(Table1[[#This Row],[Birthweight Z-Score (BW+10%)]],TRUE)*100,"")</f>
        <v/>
      </c>
    </row>
    <row r="24" spans="1:12" x14ac:dyDescent="0.35">
      <c r="A24" s="3"/>
      <c r="B24" s="2"/>
      <c r="C24" s="2"/>
      <c r="D24" s="2" t="b">
        <f>IF(AND(NOT(ISBLANK(Table1[[#This Row],[Fetal Sex (Male, Female or Unknown)]])),ISNUMBER(Table1[[#This Row],[Birthweight (grams)]]),ISNUMBER(Table1[[#This Row],[Gestation (days)]])),TRUE,FALSE)</f>
        <v>0</v>
      </c>
      <c r="E24" s="2" t="str">
        <f>IF(Table1[[#This Row],[Is Data Valid]]=TRUE,IF(Table1[[#This Row],[Fetal Sex (Male, Female or Unknown)]]="Male",Backend!$C$6,IF(Table1[[#This Row],[Fetal Sex (Male, Female or Unknown)]]="Female",Backend!$C$7,IF(Table1[[#This Row],[Fetal Sex (Male, Female or Unknown)]]="Unknown",Backend!$C$8,"Error"))),"")</f>
        <v/>
      </c>
      <c r="F24" s="8" t="str">
        <f>IF(Table1[[#This Row],[Is Data Valid]]=TRUE,EXP(0.578+0.332*((Table1[[#This Row],[Gestation (days)]]+0.5)/7)-0.00354*((Table1[[#This Row],[Gestation (days)]]+0.5)/7)^2)*Table1[[#This Row],[BW40_3705]],"")</f>
        <v/>
      </c>
      <c r="G24" s="2" t="str">
        <f>IF(Table1[[#This Row],[Is Data Valid]]=TRUE,((Table1[[#This Row],[Birthweight (grams)]]/Table1[[#This Row],[BW_GA]])-1)/(Backend!$B$4/100*Table1[[#This Row],[BW40_3705]]),"")</f>
        <v/>
      </c>
      <c r="H24" s="2" t="str">
        <f>IF(Table1[[#This Row],[Is Data Valid]]=TRUE,((Table1[[#This Row],[Birthweight (grams)]]*0.9/Table1[[#This Row],[BW_GA]])-1)/(Backend!$B$4/100*Table1[[#This Row],[BW40_3705]]),"")</f>
        <v/>
      </c>
      <c r="I24" s="2" t="str">
        <f>IF(Table1[[#This Row],[Is Data Valid]]=TRUE,((Table1[[#This Row],[Birthweight (grams)]]*1.1/Table1[[#This Row],[BW_GA]])-1)/(Backend!$B$4/100*Table1[[#This Row],[BW40_3705]]),"")</f>
        <v/>
      </c>
      <c r="J24" s="2" t="str">
        <f>IF(Table1[[#This Row],[Is Data Valid]]=TRUE,_xlfn.NORM.S.DIST(Table1[[#This Row],[Birthweight Z-Score]],TRUE)*100,"")</f>
        <v/>
      </c>
      <c r="K24" s="2" t="str">
        <f>IF(Table1[[#This Row],[Is Data Valid]]=TRUE,_xlfn.NORM.S.DIST(Table1[[#This Row],[Birthweight Z-Score (BW-10%)]],TRUE)*100,"")</f>
        <v/>
      </c>
      <c r="L24" s="2" t="str">
        <f>IF(Table1[[#This Row],[Is Data Valid]]=TRUE,_xlfn.NORM.S.DIST(Table1[[#This Row],[Birthweight Z-Score (BW+10%)]],TRUE)*100,"")</f>
        <v/>
      </c>
    </row>
    <row r="25" spans="1:12" x14ac:dyDescent="0.35">
      <c r="A25" s="3"/>
      <c r="B25" s="2"/>
      <c r="C25" s="2"/>
      <c r="D25" s="2" t="b">
        <f>IF(AND(NOT(ISBLANK(Table1[[#This Row],[Fetal Sex (Male, Female or Unknown)]])),ISNUMBER(Table1[[#This Row],[Birthweight (grams)]]),ISNUMBER(Table1[[#This Row],[Gestation (days)]])),TRUE,FALSE)</f>
        <v>0</v>
      </c>
      <c r="E25" s="2" t="str">
        <f>IF(Table1[[#This Row],[Is Data Valid]]=TRUE,IF(Table1[[#This Row],[Fetal Sex (Male, Female or Unknown)]]="Male",Backend!$C$6,IF(Table1[[#This Row],[Fetal Sex (Male, Female or Unknown)]]="Female",Backend!$C$7,IF(Table1[[#This Row],[Fetal Sex (Male, Female or Unknown)]]="Unknown",Backend!$C$8,"Error"))),"")</f>
        <v/>
      </c>
      <c r="F25" s="8" t="str">
        <f>IF(Table1[[#This Row],[Is Data Valid]]=TRUE,EXP(0.578+0.332*((Table1[[#This Row],[Gestation (days)]]+0.5)/7)-0.00354*((Table1[[#This Row],[Gestation (days)]]+0.5)/7)^2)*Table1[[#This Row],[BW40_3705]],"")</f>
        <v/>
      </c>
      <c r="G25" s="2" t="str">
        <f>IF(Table1[[#This Row],[Is Data Valid]]=TRUE,((Table1[[#This Row],[Birthweight (grams)]]/Table1[[#This Row],[BW_GA]])-1)/(Backend!$B$4/100*Table1[[#This Row],[BW40_3705]]),"")</f>
        <v/>
      </c>
      <c r="H25" s="2" t="str">
        <f>IF(Table1[[#This Row],[Is Data Valid]]=TRUE,((Table1[[#This Row],[Birthweight (grams)]]*0.9/Table1[[#This Row],[BW_GA]])-1)/(Backend!$B$4/100*Table1[[#This Row],[BW40_3705]]),"")</f>
        <v/>
      </c>
      <c r="I25" s="2" t="str">
        <f>IF(Table1[[#This Row],[Is Data Valid]]=TRUE,((Table1[[#This Row],[Birthweight (grams)]]*1.1/Table1[[#This Row],[BW_GA]])-1)/(Backend!$B$4/100*Table1[[#This Row],[BW40_3705]]),"")</f>
        <v/>
      </c>
      <c r="J25" s="2" t="str">
        <f>IF(Table1[[#This Row],[Is Data Valid]]=TRUE,_xlfn.NORM.S.DIST(Table1[[#This Row],[Birthweight Z-Score]],TRUE)*100,"")</f>
        <v/>
      </c>
      <c r="K25" s="2" t="str">
        <f>IF(Table1[[#This Row],[Is Data Valid]]=TRUE,_xlfn.NORM.S.DIST(Table1[[#This Row],[Birthweight Z-Score (BW-10%)]],TRUE)*100,"")</f>
        <v/>
      </c>
      <c r="L25" s="2" t="str">
        <f>IF(Table1[[#This Row],[Is Data Valid]]=TRUE,_xlfn.NORM.S.DIST(Table1[[#This Row],[Birthweight Z-Score (BW+10%)]],TRUE)*100,"")</f>
        <v/>
      </c>
    </row>
    <row r="26" spans="1:12" x14ac:dyDescent="0.35">
      <c r="A26" s="3"/>
      <c r="B26" s="2"/>
      <c r="C26" s="2"/>
      <c r="D26" s="2" t="b">
        <f>IF(AND(NOT(ISBLANK(Table1[[#This Row],[Fetal Sex (Male, Female or Unknown)]])),ISNUMBER(Table1[[#This Row],[Birthweight (grams)]]),ISNUMBER(Table1[[#This Row],[Gestation (days)]])),TRUE,FALSE)</f>
        <v>0</v>
      </c>
      <c r="E26" s="2" t="str">
        <f>IF(Table1[[#This Row],[Is Data Valid]]=TRUE,IF(Table1[[#This Row],[Fetal Sex (Male, Female or Unknown)]]="Male",Backend!$C$6,IF(Table1[[#This Row],[Fetal Sex (Male, Female or Unknown)]]="Female",Backend!$C$7,IF(Table1[[#This Row],[Fetal Sex (Male, Female or Unknown)]]="Unknown",Backend!$C$8,"Error"))),"")</f>
        <v/>
      </c>
      <c r="F26" s="8" t="str">
        <f>IF(Table1[[#This Row],[Is Data Valid]]=TRUE,EXP(0.578+0.332*((Table1[[#This Row],[Gestation (days)]]+0.5)/7)-0.00354*((Table1[[#This Row],[Gestation (days)]]+0.5)/7)^2)*Table1[[#This Row],[BW40_3705]],"")</f>
        <v/>
      </c>
      <c r="G26" s="2" t="str">
        <f>IF(Table1[[#This Row],[Is Data Valid]]=TRUE,((Table1[[#This Row],[Birthweight (grams)]]/Table1[[#This Row],[BW_GA]])-1)/(Backend!$B$4/100*Table1[[#This Row],[BW40_3705]]),"")</f>
        <v/>
      </c>
      <c r="H26" s="2" t="str">
        <f>IF(Table1[[#This Row],[Is Data Valid]]=TRUE,((Table1[[#This Row],[Birthweight (grams)]]*0.9/Table1[[#This Row],[BW_GA]])-1)/(Backend!$B$4/100*Table1[[#This Row],[BW40_3705]]),"")</f>
        <v/>
      </c>
      <c r="I26" s="2" t="str">
        <f>IF(Table1[[#This Row],[Is Data Valid]]=TRUE,((Table1[[#This Row],[Birthweight (grams)]]*1.1/Table1[[#This Row],[BW_GA]])-1)/(Backend!$B$4/100*Table1[[#This Row],[BW40_3705]]),"")</f>
        <v/>
      </c>
      <c r="J26" s="2" t="str">
        <f>IF(Table1[[#This Row],[Is Data Valid]]=TRUE,_xlfn.NORM.S.DIST(Table1[[#This Row],[Birthweight Z-Score]],TRUE)*100,"")</f>
        <v/>
      </c>
      <c r="K26" s="2" t="str">
        <f>IF(Table1[[#This Row],[Is Data Valid]]=TRUE,_xlfn.NORM.S.DIST(Table1[[#This Row],[Birthweight Z-Score (BW-10%)]],TRUE)*100,"")</f>
        <v/>
      </c>
      <c r="L26" s="2" t="str">
        <f>IF(Table1[[#This Row],[Is Data Valid]]=TRUE,_xlfn.NORM.S.DIST(Table1[[#This Row],[Birthweight Z-Score (BW+10%)]],TRUE)*100,"")</f>
        <v/>
      </c>
    </row>
    <row r="27" spans="1:12" x14ac:dyDescent="0.35">
      <c r="A27" s="3"/>
      <c r="B27" s="2"/>
      <c r="C27" s="2"/>
      <c r="D27" s="2" t="b">
        <f>IF(AND(NOT(ISBLANK(Table1[[#This Row],[Fetal Sex (Male, Female or Unknown)]])),ISNUMBER(Table1[[#This Row],[Birthweight (grams)]]),ISNUMBER(Table1[[#This Row],[Gestation (days)]])),TRUE,FALSE)</f>
        <v>0</v>
      </c>
      <c r="E27" s="2" t="str">
        <f>IF(Table1[[#This Row],[Is Data Valid]]=TRUE,IF(Table1[[#This Row],[Fetal Sex (Male, Female or Unknown)]]="Male",Backend!$C$6,IF(Table1[[#This Row],[Fetal Sex (Male, Female or Unknown)]]="Female",Backend!$C$7,IF(Table1[[#This Row],[Fetal Sex (Male, Female or Unknown)]]="Unknown",Backend!$C$8,"Error"))),"")</f>
        <v/>
      </c>
      <c r="F27" s="8" t="str">
        <f>IF(Table1[[#This Row],[Is Data Valid]]=TRUE,EXP(0.578+0.332*((Table1[[#This Row],[Gestation (days)]]+0.5)/7)-0.00354*((Table1[[#This Row],[Gestation (days)]]+0.5)/7)^2)*Table1[[#This Row],[BW40_3705]],"")</f>
        <v/>
      </c>
      <c r="G27" s="2" t="str">
        <f>IF(Table1[[#This Row],[Is Data Valid]]=TRUE,((Table1[[#This Row],[Birthweight (grams)]]/Table1[[#This Row],[BW_GA]])-1)/(Backend!$B$4/100*Table1[[#This Row],[BW40_3705]]),"")</f>
        <v/>
      </c>
      <c r="H27" s="2" t="str">
        <f>IF(Table1[[#This Row],[Is Data Valid]]=TRUE,((Table1[[#This Row],[Birthweight (grams)]]*0.9/Table1[[#This Row],[BW_GA]])-1)/(Backend!$B$4/100*Table1[[#This Row],[BW40_3705]]),"")</f>
        <v/>
      </c>
      <c r="I27" s="2" t="str">
        <f>IF(Table1[[#This Row],[Is Data Valid]]=TRUE,((Table1[[#This Row],[Birthweight (grams)]]*1.1/Table1[[#This Row],[BW_GA]])-1)/(Backend!$B$4/100*Table1[[#This Row],[BW40_3705]]),"")</f>
        <v/>
      </c>
      <c r="J27" s="2" t="str">
        <f>IF(Table1[[#This Row],[Is Data Valid]]=TRUE,_xlfn.NORM.S.DIST(Table1[[#This Row],[Birthweight Z-Score]],TRUE)*100,"")</f>
        <v/>
      </c>
      <c r="K27" s="2" t="str">
        <f>IF(Table1[[#This Row],[Is Data Valid]]=TRUE,_xlfn.NORM.S.DIST(Table1[[#This Row],[Birthweight Z-Score (BW-10%)]],TRUE)*100,"")</f>
        <v/>
      </c>
      <c r="L27" s="2" t="str">
        <f>IF(Table1[[#This Row],[Is Data Valid]]=TRUE,_xlfn.NORM.S.DIST(Table1[[#This Row],[Birthweight Z-Score (BW+10%)]],TRUE)*100,"")</f>
        <v/>
      </c>
    </row>
    <row r="28" spans="1:12" x14ac:dyDescent="0.35">
      <c r="A28" s="3"/>
      <c r="B28" s="2"/>
      <c r="C28" s="2"/>
      <c r="D28" s="2" t="b">
        <f>IF(AND(NOT(ISBLANK(Table1[[#This Row],[Fetal Sex (Male, Female or Unknown)]])),ISNUMBER(Table1[[#This Row],[Birthweight (grams)]]),ISNUMBER(Table1[[#This Row],[Gestation (days)]])),TRUE,FALSE)</f>
        <v>0</v>
      </c>
      <c r="E28" s="2" t="str">
        <f>IF(Table1[[#This Row],[Is Data Valid]]=TRUE,IF(Table1[[#This Row],[Fetal Sex (Male, Female or Unknown)]]="Male",Backend!$C$6,IF(Table1[[#This Row],[Fetal Sex (Male, Female or Unknown)]]="Female",Backend!$C$7,IF(Table1[[#This Row],[Fetal Sex (Male, Female or Unknown)]]="Unknown",Backend!$C$8,"Error"))),"")</f>
        <v/>
      </c>
      <c r="F28" s="8" t="str">
        <f>IF(Table1[[#This Row],[Is Data Valid]]=TRUE,EXP(0.578+0.332*((Table1[[#This Row],[Gestation (days)]]+0.5)/7)-0.00354*((Table1[[#This Row],[Gestation (days)]]+0.5)/7)^2)*Table1[[#This Row],[BW40_3705]],"")</f>
        <v/>
      </c>
      <c r="G28" s="2" t="str">
        <f>IF(Table1[[#This Row],[Is Data Valid]]=TRUE,((Table1[[#This Row],[Birthweight (grams)]]/Table1[[#This Row],[BW_GA]])-1)/(Backend!$B$4/100*Table1[[#This Row],[BW40_3705]]),"")</f>
        <v/>
      </c>
      <c r="H28" s="2" t="str">
        <f>IF(Table1[[#This Row],[Is Data Valid]]=TRUE,((Table1[[#This Row],[Birthweight (grams)]]*0.9/Table1[[#This Row],[BW_GA]])-1)/(Backend!$B$4/100*Table1[[#This Row],[BW40_3705]]),"")</f>
        <v/>
      </c>
      <c r="I28" s="2" t="str">
        <f>IF(Table1[[#This Row],[Is Data Valid]]=TRUE,((Table1[[#This Row],[Birthweight (grams)]]*1.1/Table1[[#This Row],[BW_GA]])-1)/(Backend!$B$4/100*Table1[[#This Row],[BW40_3705]]),"")</f>
        <v/>
      </c>
      <c r="J28" s="2" t="str">
        <f>IF(Table1[[#This Row],[Is Data Valid]]=TRUE,_xlfn.NORM.S.DIST(Table1[[#This Row],[Birthweight Z-Score]],TRUE)*100,"")</f>
        <v/>
      </c>
      <c r="K28" s="2" t="str">
        <f>IF(Table1[[#This Row],[Is Data Valid]]=TRUE,_xlfn.NORM.S.DIST(Table1[[#This Row],[Birthweight Z-Score (BW-10%)]],TRUE)*100,"")</f>
        <v/>
      </c>
      <c r="L28" s="2" t="str">
        <f>IF(Table1[[#This Row],[Is Data Valid]]=TRUE,_xlfn.NORM.S.DIST(Table1[[#This Row],[Birthweight Z-Score (BW+10%)]],TRUE)*100,"")</f>
        <v/>
      </c>
    </row>
    <row r="29" spans="1:12" x14ac:dyDescent="0.35">
      <c r="A29" s="3"/>
      <c r="B29" s="2"/>
      <c r="C29" s="2"/>
      <c r="D29" s="2" t="b">
        <f>IF(AND(NOT(ISBLANK(Table1[[#This Row],[Fetal Sex (Male, Female or Unknown)]])),ISNUMBER(Table1[[#This Row],[Birthweight (grams)]]),ISNUMBER(Table1[[#This Row],[Gestation (days)]])),TRUE,FALSE)</f>
        <v>0</v>
      </c>
      <c r="E29" s="2" t="str">
        <f>IF(Table1[[#This Row],[Is Data Valid]]=TRUE,IF(Table1[[#This Row],[Fetal Sex (Male, Female or Unknown)]]="Male",Backend!$C$6,IF(Table1[[#This Row],[Fetal Sex (Male, Female or Unknown)]]="Female",Backend!$C$7,IF(Table1[[#This Row],[Fetal Sex (Male, Female or Unknown)]]="Unknown",Backend!$C$8,"Error"))),"")</f>
        <v/>
      </c>
      <c r="F29" s="8" t="str">
        <f>IF(Table1[[#This Row],[Is Data Valid]]=TRUE,EXP(0.578+0.332*((Table1[[#This Row],[Gestation (days)]]+0.5)/7)-0.00354*((Table1[[#This Row],[Gestation (days)]]+0.5)/7)^2)*Table1[[#This Row],[BW40_3705]],"")</f>
        <v/>
      </c>
      <c r="G29" s="2" t="str">
        <f>IF(Table1[[#This Row],[Is Data Valid]]=TRUE,((Table1[[#This Row],[Birthweight (grams)]]/Table1[[#This Row],[BW_GA]])-1)/(Backend!$B$4/100*Table1[[#This Row],[BW40_3705]]),"")</f>
        <v/>
      </c>
      <c r="H29" s="2" t="str">
        <f>IF(Table1[[#This Row],[Is Data Valid]]=TRUE,((Table1[[#This Row],[Birthweight (grams)]]*0.9/Table1[[#This Row],[BW_GA]])-1)/(Backend!$B$4/100*Table1[[#This Row],[BW40_3705]]),"")</f>
        <v/>
      </c>
      <c r="I29" s="2" t="str">
        <f>IF(Table1[[#This Row],[Is Data Valid]]=TRUE,((Table1[[#This Row],[Birthweight (grams)]]*1.1/Table1[[#This Row],[BW_GA]])-1)/(Backend!$B$4/100*Table1[[#This Row],[BW40_3705]]),"")</f>
        <v/>
      </c>
      <c r="J29" s="2" t="str">
        <f>IF(Table1[[#This Row],[Is Data Valid]]=TRUE,_xlfn.NORM.S.DIST(Table1[[#This Row],[Birthweight Z-Score]],TRUE)*100,"")</f>
        <v/>
      </c>
      <c r="K29" s="2" t="str">
        <f>IF(Table1[[#This Row],[Is Data Valid]]=TRUE,_xlfn.NORM.S.DIST(Table1[[#This Row],[Birthweight Z-Score (BW-10%)]],TRUE)*100,"")</f>
        <v/>
      </c>
      <c r="L29" s="2" t="str">
        <f>IF(Table1[[#This Row],[Is Data Valid]]=TRUE,_xlfn.NORM.S.DIST(Table1[[#This Row],[Birthweight Z-Score (BW+10%)]],TRUE)*100,"")</f>
        <v/>
      </c>
    </row>
    <row r="30" spans="1:12" x14ac:dyDescent="0.35">
      <c r="A30" s="3"/>
      <c r="B30" s="2"/>
      <c r="C30" s="2"/>
      <c r="D30" s="2" t="b">
        <f>IF(AND(NOT(ISBLANK(Table1[[#This Row],[Fetal Sex (Male, Female or Unknown)]])),ISNUMBER(Table1[[#This Row],[Birthweight (grams)]]),ISNUMBER(Table1[[#This Row],[Gestation (days)]])),TRUE,FALSE)</f>
        <v>0</v>
      </c>
      <c r="E30" s="2" t="str">
        <f>IF(Table1[[#This Row],[Is Data Valid]]=TRUE,IF(Table1[[#This Row],[Fetal Sex (Male, Female or Unknown)]]="Male",Backend!$C$6,IF(Table1[[#This Row],[Fetal Sex (Male, Female or Unknown)]]="Female",Backend!$C$7,IF(Table1[[#This Row],[Fetal Sex (Male, Female or Unknown)]]="Unknown",Backend!$C$8,"Error"))),"")</f>
        <v/>
      </c>
      <c r="F30" s="8" t="str">
        <f>IF(Table1[[#This Row],[Is Data Valid]]=TRUE,EXP(0.578+0.332*((Table1[[#This Row],[Gestation (days)]]+0.5)/7)-0.00354*((Table1[[#This Row],[Gestation (days)]]+0.5)/7)^2)*Table1[[#This Row],[BW40_3705]],"")</f>
        <v/>
      </c>
      <c r="G30" s="2" t="str">
        <f>IF(Table1[[#This Row],[Is Data Valid]]=TRUE,((Table1[[#This Row],[Birthweight (grams)]]/Table1[[#This Row],[BW_GA]])-1)/(Backend!$B$4/100*Table1[[#This Row],[BW40_3705]]),"")</f>
        <v/>
      </c>
      <c r="H30" s="2" t="str">
        <f>IF(Table1[[#This Row],[Is Data Valid]]=TRUE,((Table1[[#This Row],[Birthweight (grams)]]*0.9/Table1[[#This Row],[BW_GA]])-1)/(Backend!$B$4/100*Table1[[#This Row],[BW40_3705]]),"")</f>
        <v/>
      </c>
      <c r="I30" s="2" t="str">
        <f>IF(Table1[[#This Row],[Is Data Valid]]=TRUE,((Table1[[#This Row],[Birthweight (grams)]]*1.1/Table1[[#This Row],[BW_GA]])-1)/(Backend!$B$4/100*Table1[[#This Row],[BW40_3705]]),"")</f>
        <v/>
      </c>
      <c r="J30" s="2" t="str">
        <f>IF(Table1[[#This Row],[Is Data Valid]]=TRUE,_xlfn.NORM.S.DIST(Table1[[#This Row],[Birthweight Z-Score]],TRUE)*100,"")</f>
        <v/>
      </c>
      <c r="K30" s="2" t="str">
        <f>IF(Table1[[#This Row],[Is Data Valid]]=TRUE,_xlfn.NORM.S.DIST(Table1[[#This Row],[Birthweight Z-Score (BW-10%)]],TRUE)*100,"")</f>
        <v/>
      </c>
      <c r="L30" s="2" t="str">
        <f>IF(Table1[[#This Row],[Is Data Valid]]=TRUE,_xlfn.NORM.S.DIST(Table1[[#This Row],[Birthweight Z-Score (BW+10%)]],TRUE)*100,"")</f>
        <v/>
      </c>
    </row>
    <row r="31" spans="1:12" x14ac:dyDescent="0.35">
      <c r="A31" s="3"/>
      <c r="B31" s="2"/>
      <c r="C31" s="2"/>
      <c r="D31" s="2" t="b">
        <f>IF(AND(NOT(ISBLANK(Table1[[#This Row],[Fetal Sex (Male, Female or Unknown)]])),ISNUMBER(Table1[[#This Row],[Birthweight (grams)]]),ISNUMBER(Table1[[#This Row],[Gestation (days)]])),TRUE,FALSE)</f>
        <v>0</v>
      </c>
      <c r="E31" s="2" t="str">
        <f>IF(Table1[[#This Row],[Is Data Valid]]=TRUE,IF(Table1[[#This Row],[Fetal Sex (Male, Female or Unknown)]]="Male",Backend!$C$6,IF(Table1[[#This Row],[Fetal Sex (Male, Female or Unknown)]]="Female",Backend!$C$7,IF(Table1[[#This Row],[Fetal Sex (Male, Female or Unknown)]]="Unknown",Backend!$C$8,"Error"))),"")</f>
        <v/>
      </c>
      <c r="F31" s="8" t="str">
        <f>IF(Table1[[#This Row],[Is Data Valid]]=TRUE,EXP(0.578+0.332*((Table1[[#This Row],[Gestation (days)]]+0.5)/7)-0.00354*((Table1[[#This Row],[Gestation (days)]]+0.5)/7)^2)*Table1[[#This Row],[BW40_3705]],"")</f>
        <v/>
      </c>
      <c r="G31" s="2" t="str">
        <f>IF(Table1[[#This Row],[Is Data Valid]]=TRUE,((Table1[[#This Row],[Birthweight (grams)]]/Table1[[#This Row],[BW_GA]])-1)/(Backend!$B$4/100*Table1[[#This Row],[BW40_3705]]),"")</f>
        <v/>
      </c>
      <c r="H31" s="2" t="str">
        <f>IF(Table1[[#This Row],[Is Data Valid]]=TRUE,((Table1[[#This Row],[Birthweight (grams)]]*0.9/Table1[[#This Row],[BW_GA]])-1)/(Backend!$B$4/100*Table1[[#This Row],[BW40_3705]]),"")</f>
        <v/>
      </c>
      <c r="I31" s="2" t="str">
        <f>IF(Table1[[#This Row],[Is Data Valid]]=TRUE,((Table1[[#This Row],[Birthweight (grams)]]*1.1/Table1[[#This Row],[BW_GA]])-1)/(Backend!$B$4/100*Table1[[#This Row],[BW40_3705]]),"")</f>
        <v/>
      </c>
      <c r="J31" s="2" t="str">
        <f>IF(Table1[[#This Row],[Is Data Valid]]=TRUE,_xlfn.NORM.S.DIST(Table1[[#This Row],[Birthweight Z-Score]],TRUE)*100,"")</f>
        <v/>
      </c>
      <c r="K31" s="2" t="str">
        <f>IF(Table1[[#This Row],[Is Data Valid]]=TRUE,_xlfn.NORM.S.DIST(Table1[[#This Row],[Birthweight Z-Score (BW-10%)]],TRUE)*100,"")</f>
        <v/>
      </c>
      <c r="L31" s="2" t="str">
        <f>IF(Table1[[#This Row],[Is Data Valid]]=TRUE,_xlfn.NORM.S.DIST(Table1[[#This Row],[Birthweight Z-Score (BW+10%)]],TRUE)*100,"")</f>
        <v/>
      </c>
    </row>
    <row r="32" spans="1:12" x14ac:dyDescent="0.35">
      <c r="A32" s="3"/>
      <c r="B32" s="2"/>
      <c r="C32" s="2"/>
      <c r="D32" s="2" t="b">
        <f>IF(AND(NOT(ISBLANK(Table1[[#This Row],[Fetal Sex (Male, Female or Unknown)]])),ISNUMBER(Table1[[#This Row],[Birthweight (grams)]]),ISNUMBER(Table1[[#This Row],[Gestation (days)]])),TRUE,FALSE)</f>
        <v>0</v>
      </c>
      <c r="E32" s="2" t="str">
        <f>IF(Table1[[#This Row],[Is Data Valid]]=TRUE,IF(Table1[[#This Row],[Fetal Sex (Male, Female or Unknown)]]="Male",Backend!$C$6,IF(Table1[[#This Row],[Fetal Sex (Male, Female or Unknown)]]="Female",Backend!$C$7,IF(Table1[[#This Row],[Fetal Sex (Male, Female or Unknown)]]="Unknown",Backend!$C$8,"Error"))),"")</f>
        <v/>
      </c>
      <c r="F32" s="8" t="str">
        <f>IF(Table1[[#This Row],[Is Data Valid]]=TRUE,EXP(0.578+0.332*((Table1[[#This Row],[Gestation (days)]]+0.5)/7)-0.00354*((Table1[[#This Row],[Gestation (days)]]+0.5)/7)^2)*Table1[[#This Row],[BW40_3705]],"")</f>
        <v/>
      </c>
      <c r="G32" s="2" t="str">
        <f>IF(Table1[[#This Row],[Is Data Valid]]=TRUE,((Table1[[#This Row],[Birthweight (grams)]]/Table1[[#This Row],[BW_GA]])-1)/(Backend!$B$4/100*Table1[[#This Row],[BW40_3705]]),"")</f>
        <v/>
      </c>
      <c r="H32" s="2" t="str">
        <f>IF(Table1[[#This Row],[Is Data Valid]]=TRUE,((Table1[[#This Row],[Birthweight (grams)]]*0.9/Table1[[#This Row],[BW_GA]])-1)/(Backend!$B$4/100*Table1[[#This Row],[BW40_3705]]),"")</f>
        <v/>
      </c>
      <c r="I32" s="2" t="str">
        <f>IF(Table1[[#This Row],[Is Data Valid]]=TRUE,((Table1[[#This Row],[Birthweight (grams)]]*1.1/Table1[[#This Row],[BW_GA]])-1)/(Backend!$B$4/100*Table1[[#This Row],[BW40_3705]]),"")</f>
        <v/>
      </c>
      <c r="J32" s="2" t="str">
        <f>IF(Table1[[#This Row],[Is Data Valid]]=TRUE,_xlfn.NORM.S.DIST(Table1[[#This Row],[Birthweight Z-Score]],TRUE)*100,"")</f>
        <v/>
      </c>
      <c r="K32" s="2" t="str">
        <f>IF(Table1[[#This Row],[Is Data Valid]]=TRUE,_xlfn.NORM.S.DIST(Table1[[#This Row],[Birthweight Z-Score (BW-10%)]],TRUE)*100,"")</f>
        <v/>
      </c>
      <c r="L32" s="2" t="str">
        <f>IF(Table1[[#This Row],[Is Data Valid]]=TRUE,_xlfn.NORM.S.DIST(Table1[[#This Row],[Birthweight Z-Score (BW+10%)]],TRUE)*100,"")</f>
        <v/>
      </c>
    </row>
    <row r="33" spans="1:12" x14ac:dyDescent="0.35">
      <c r="A33" s="3"/>
      <c r="B33" s="2"/>
      <c r="C33" s="2"/>
      <c r="D33" s="2" t="b">
        <f>IF(AND(NOT(ISBLANK(Table1[[#This Row],[Fetal Sex (Male, Female or Unknown)]])),ISNUMBER(Table1[[#This Row],[Birthweight (grams)]]),ISNUMBER(Table1[[#This Row],[Gestation (days)]])),TRUE,FALSE)</f>
        <v>0</v>
      </c>
      <c r="E33" s="2" t="str">
        <f>IF(Table1[[#This Row],[Is Data Valid]]=TRUE,IF(Table1[[#This Row],[Fetal Sex (Male, Female or Unknown)]]="Male",Backend!$C$6,IF(Table1[[#This Row],[Fetal Sex (Male, Female or Unknown)]]="Female",Backend!$C$7,IF(Table1[[#This Row],[Fetal Sex (Male, Female or Unknown)]]="Unknown",Backend!$C$8,"Error"))),"")</f>
        <v/>
      </c>
      <c r="F33" s="8" t="str">
        <f>IF(Table1[[#This Row],[Is Data Valid]]=TRUE,EXP(0.578+0.332*((Table1[[#This Row],[Gestation (days)]]+0.5)/7)-0.00354*((Table1[[#This Row],[Gestation (days)]]+0.5)/7)^2)*Table1[[#This Row],[BW40_3705]],"")</f>
        <v/>
      </c>
      <c r="G33" s="2" t="str">
        <f>IF(Table1[[#This Row],[Is Data Valid]]=TRUE,((Table1[[#This Row],[Birthweight (grams)]]/Table1[[#This Row],[BW_GA]])-1)/(Backend!$B$4/100*Table1[[#This Row],[BW40_3705]]),"")</f>
        <v/>
      </c>
      <c r="H33" s="2" t="str">
        <f>IF(Table1[[#This Row],[Is Data Valid]]=TRUE,((Table1[[#This Row],[Birthweight (grams)]]*0.9/Table1[[#This Row],[BW_GA]])-1)/(Backend!$B$4/100*Table1[[#This Row],[BW40_3705]]),"")</f>
        <v/>
      </c>
      <c r="I33" s="2" t="str">
        <f>IF(Table1[[#This Row],[Is Data Valid]]=TRUE,((Table1[[#This Row],[Birthweight (grams)]]*1.1/Table1[[#This Row],[BW_GA]])-1)/(Backend!$B$4/100*Table1[[#This Row],[BW40_3705]]),"")</f>
        <v/>
      </c>
      <c r="J33" s="2" t="str">
        <f>IF(Table1[[#This Row],[Is Data Valid]]=TRUE,_xlfn.NORM.S.DIST(Table1[[#This Row],[Birthweight Z-Score]],TRUE)*100,"")</f>
        <v/>
      </c>
      <c r="K33" s="2" t="str">
        <f>IF(Table1[[#This Row],[Is Data Valid]]=TRUE,_xlfn.NORM.S.DIST(Table1[[#This Row],[Birthweight Z-Score (BW-10%)]],TRUE)*100,"")</f>
        <v/>
      </c>
      <c r="L33" s="2" t="str">
        <f>IF(Table1[[#This Row],[Is Data Valid]]=TRUE,_xlfn.NORM.S.DIST(Table1[[#This Row],[Birthweight Z-Score (BW+10%)]],TRUE)*100,"")</f>
        <v/>
      </c>
    </row>
    <row r="34" spans="1:12" x14ac:dyDescent="0.35">
      <c r="A34" s="3"/>
      <c r="B34" s="2"/>
      <c r="C34" s="2"/>
      <c r="D34" s="2" t="b">
        <f>IF(AND(NOT(ISBLANK(Table1[[#This Row],[Fetal Sex (Male, Female or Unknown)]])),ISNUMBER(Table1[[#This Row],[Birthweight (grams)]]),ISNUMBER(Table1[[#This Row],[Gestation (days)]])),TRUE,FALSE)</f>
        <v>0</v>
      </c>
      <c r="E34" s="2" t="str">
        <f>IF(Table1[[#This Row],[Is Data Valid]]=TRUE,IF(Table1[[#This Row],[Fetal Sex (Male, Female or Unknown)]]="Male",Backend!$C$6,IF(Table1[[#This Row],[Fetal Sex (Male, Female or Unknown)]]="Female",Backend!$C$7,IF(Table1[[#This Row],[Fetal Sex (Male, Female or Unknown)]]="Unknown",Backend!$C$8,"Error"))),"")</f>
        <v/>
      </c>
      <c r="F34" s="8" t="str">
        <f>IF(Table1[[#This Row],[Is Data Valid]]=TRUE,EXP(0.578+0.332*((Table1[[#This Row],[Gestation (days)]]+0.5)/7)-0.00354*((Table1[[#This Row],[Gestation (days)]]+0.5)/7)^2)*Table1[[#This Row],[BW40_3705]],"")</f>
        <v/>
      </c>
      <c r="G34" s="2" t="str">
        <f>IF(Table1[[#This Row],[Is Data Valid]]=TRUE,((Table1[[#This Row],[Birthweight (grams)]]/Table1[[#This Row],[BW_GA]])-1)/(Backend!$B$4/100*Table1[[#This Row],[BW40_3705]]),"")</f>
        <v/>
      </c>
      <c r="H34" s="2" t="str">
        <f>IF(Table1[[#This Row],[Is Data Valid]]=TRUE,((Table1[[#This Row],[Birthweight (grams)]]*0.9/Table1[[#This Row],[BW_GA]])-1)/(Backend!$B$4/100*Table1[[#This Row],[BW40_3705]]),"")</f>
        <v/>
      </c>
      <c r="I34" s="2" t="str">
        <f>IF(Table1[[#This Row],[Is Data Valid]]=TRUE,((Table1[[#This Row],[Birthweight (grams)]]*1.1/Table1[[#This Row],[BW_GA]])-1)/(Backend!$B$4/100*Table1[[#This Row],[BW40_3705]]),"")</f>
        <v/>
      </c>
      <c r="J34" s="2" t="str">
        <f>IF(Table1[[#This Row],[Is Data Valid]]=TRUE,_xlfn.NORM.S.DIST(Table1[[#This Row],[Birthweight Z-Score]],TRUE)*100,"")</f>
        <v/>
      </c>
      <c r="K34" s="2" t="str">
        <f>IF(Table1[[#This Row],[Is Data Valid]]=TRUE,_xlfn.NORM.S.DIST(Table1[[#This Row],[Birthweight Z-Score (BW-10%)]],TRUE)*100,"")</f>
        <v/>
      </c>
      <c r="L34" s="2" t="str">
        <f>IF(Table1[[#This Row],[Is Data Valid]]=TRUE,_xlfn.NORM.S.DIST(Table1[[#This Row],[Birthweight Z-Score (BW+10%)]],TRUE)*100,"")</f>
        <v/>
      </c>
    </row>
    <row r="35" spans="1:12" x14ac:dyDescent="0.35">
      <c r="A35" s="3"/>
      <c r="B35" s="2"/>
      <c r="C35" s="2"/>
      <c r="D35" s="2" t="b">
        <f>IF(AND(NOT(ISBLANK(Table1[[#This Row],[Fetal Sex (Male, Female or Unknown)]])),ISNUMBER(Table1[[#This Row],[Birthweight (grams)]]),ISNUMBER(Table1[[#This Row],[Gestation (days)]])),TRUE,FALSE)</f>
        <v>0</v>
      </c>
      <c r="E35" s="2" t="str">
        <f>IF(Table1[[#This Row],[Is Data Valid]]=TRUE,IF(Table1[[#This Row],[Fetal Sex (Male, Female or Unknown)]]="Male",Backend!$C$6,IF(Table1[[#This Row],[Fetal Sex (Male, Female or Unknown)]]="Female",Backend!$C$7,IF(Table1[[#This Row],[Fetal Sex (Male, Female or Unknown)]]="Unknown",Backend!$C$8,"Error"))),"")</f>
        <v/>
      </c>
      <c r="F35" s="8" t="str">
        <f>IF(Table1[[#This Row],[Is Data Valid]]=TRUE,EXP(0.578+0.332*((Table1[[#This Row],[Gestation (days)]]+0.5)/7)-0.00354*((Table1[[#This Row],[Gestation (days)]]+0.5)/7)^2)*Table1[[#This Row],[BW40_3705]],"")</f>
        <v/>
      </c>
      <c r="G35" s="2" t="str">
        <f>IF(Table1[[#This Row],[Is Data Valid]]=TRUE,((Table1[[#This Row],[Birthweight (grams)]]/Table1[[#This Row],[BW_GA]])-1)/(Backend!$B$4/100*Table1[[#This Row],[BW40_3705]]),"")</f>
        <v/>
      </c>
      <c r="H35" s="2" t="str">
        <f>IF(Table1[[#This Row],[Is Data Valid]]=TRUE,((Table1[[#This Row],[Birthweight (grams)]]*0.9/Table1[[#This Row],[BW_GA]])-1)/(Backend!$B$4/100*Table1[[#This Row],[BW40_3705]]),"")</f>
        <v/>
      </c>
      <c r="I35" s="2" t="str">
        <f>IF(Table1[[#This Row],[Is Data Valid]]=TRUE,((Table1[[#This Row],[Birthweight (grams)]]*1.1/Table1[[#This Row],[BW_GA]])-1)/(Backend!$B$4/100*Table1[[#This Row],[BW40_3705]]),"")</f>
        <v/>
      </c>
      <c r="J35" s="2" t="str">
        <f>IF(Table1[[#This Row],[Is Data Valid]]=TRUE,_xlfn.NORM.S.DIST(Table1[[#This Row],[Birthweight Z-Score]],TRUE)*100,"")</f>
        <v/>
      </c>
      <c r="K35" s="2" t="str">
        <f>IF(Table1[[#This Row],[Is Data Valid]]=TRUE,_xlfn.NORM.S.DIST(Table1[[#This Row],[Birthweight Z-Score (BW-10%)]],TRUE)*100,"")</f>
        <v/>
      </c>
      <c r="L35" s="2" t="str">
        <f>IF(Table1[[#This Row],[Is Data Valid]]=TRUE,_xlfn.NORM.S.DIST(Table1[[#This Row],[Birthweight Z-Score (BW+10%)]],TRUE)*100,"")</f>
        <v/>
      </c>
    </row>
    <row r="36" spans="1:12" x14ac:dyDescent="0.35">
      <c r="A36" s="3"/>
      <c r="B36" s="2"/>
      <c r="C36" s="2"/>
      <c r="D36" s="2" t="b">
        <f>IF(AND(NOT(ISBLANK(Table1[[#This Row],[Fetal Sex (Male, Female or Unknown)]])),ISNUMBER(Table1[[#This Row],[Birthweight (grams)]]),ISNUMBER(Table1[[#This Row],[Gestation (days)]])),TRUE,FALSE)</f>
        <v>0</v>
      </c>
      <c r="E36" s="2" t="str">
        <f>IF(Table1[[#This Row],[Is Data Valid]]=TRUE,IF(Table1[[#This Row],[Fetal Sex (Male, Female or Unknown)]]="Male",Backend!$C$6,IF(Table1[[#This Row],[Fetal Sex (Male, Female or Unknown)]]="Female",Backend!$C$7,IF(Table1[[#This Row],[Fetal Sex (Male, Female or Unknown)]]="Unknown",Backend!$C$8,"Error"))),"")</f>
        <v/>
      </c>
      <c r="F36" s="8" t="str">
        <f>IF(Table1[[#This Row],[Is Data Valid]]=TRUE,EXP(0.578+0.332*((Table1[[#This Row],[Gestation (days)]]+0.5)/7)-0.00354*((Table1[[#This Row],[Gestation (days)]]+0.5)/7)^2)*Table1[[#This Row],[BW40_3705]],"")</f>
        <v/>
      </c>
      <c r="G36" s="2" t="str">
        <f>IF(Table1[[#This Row],[Is Data Valid]]=TRUE,((Table1[[#This Row],[Birthweight (grams)]]/Table1[[#This Row],[BW_GA]])-1)/(Backend!$B$4/100*Table1[[#This Row],[BW40_3705]]),"")</f>
        <v/>
      </c>
      <c r="H36" s="2" t="str">
        <f>IF(Table1[[#This Row],[Is Data Valid]]=TRUE,((Table1[[#This Row],[Birthweight (grams)]]*0.9/Table1[[#This Row],[BW_GA]])-1)/(Backend!$B$4/100*Table1[[#This Row],[BW40_3705]]),"")</f>
        <v/>
      </c>
      <c r="I36" s="2" t="str">
        <f>IF(Table1[[#This Row],[Is Data Valid]]=TRUE,((Table1[[#This Row],[Birthweight (grams)]]*1.1/Table1[[#This Row],[BW_GA]])-1)/(Backend!$B$4/100*Table1[[#This Row],[BW40_3705]]),"")</f>
        <v/>
      </c>
      <c r="J36" s="2" t="str">
        <f>IF(Table1[[#This Row],[Is Data Valid]]=TRUE,_xlfn.NORM.S.DIST(Table1[[#This Row],[Birthweight Z-Score]],TRUE)*100,"")</f>
        <v/>
      </c>
      <c r="K36" s="2" t="str">
        <f>IF(Table1[[#This Row],[Is Data Valid]]=TRUE,_xlfn.NORM.S.DIST(Table1[[#This Row],[Birthweight Z-Score (BW-10%)]],TRUE)*100,"")</f>
        <v/>
      </c>
      <c r="L36" s="2" t="str">
        <f>IF(Table1[[#This Row],[Is Data Valid]]=TRUE,_xlfn.NORM.S.DIST(Table1[[#This Row],[Birthweight Z-Score (BW+10%)]],TRUE)*100,"")</f>
        <v/>
      </c>
    </row>
    <row r="37" spans="1:12" x14ac:dyDescent="0.35">
      <c r="A37" s="3"/>
      <c r="B37" s="2"/>
      <c r="C37" s="2"/>
      <c r="D37" s="2" t="b">
        <f>IF(AND(NOT(ISBLANK(Table1[[#This Row],[Fetal Sex (Male, Female or Unknown)]])),ISNUMBER(Table1[[#This Row],[Birthweight (grams)]]),ISNUMBER(Table1[[#This Row],[Gestation (days)]])),TRUE,FALSE)</f>
        <v>0</v>
      </c>
      <c r="E37" s="2" t="str">
        <f>IF(Table1[[#This Row],[Is Data Valid]]=TRUE,IF(Table1[[#This Row],[Fetal Sex (Male, Female or Unknown)]]="Male",Backend!$C$6,IF(Table1[[#This Row],[Fetal Sex (Male, Female or Unknown)]]="Female",Backend!$C$7,IF(Table1[[#This Row],[Fetal Sex (Male, Female or Unknown)]]="Unknown",Backend!$C$8,"Error"))),"")</f>
        <v/>
      </c>
      <c r="F37" s="8" t="str">
        <f>IF(Table1[[#This Row],[Is Data Valid]]=TRUE,EXP(0.578+0.332*((Table1[[#This Row],[Gestation (days)]]+0.5)/7)-0.00354*((Table1[[#This Row],[Gestation (days)]]+0.5)/7)^2)*Table1[[#This Row],[BW40_3705]],"")</f>
        <v/>
      </c>
      <c r="G37" s="2" t="str">
        <f>IF(Table1[[#This Row],[Is Data Valid]]=TRUE,((Table1[[#This Row],[Birthweight (grams)]]/Table1[[#This Row],[BW_GA]])-1)/(Backend!$B$4/100*Table1[[#This Row],[BW40_3705]]),"")</f>
        <v/>
      </c>
      <c r="H37" s="2" t="str">
        <f>IF(Table1[[#This Row],[Is Data Valid]]=TRUE,((Table1[[#This Row],[Birthweight (grams)]]*0.9/Table1[[#This Row],[BW_GA]])-1)/(Backend!$B$4/100*Table1[[#This Row],[BW40_3705]]),"")</f>
        <v/>
      </c>
      <c r="I37" s="2" t="str">
        <f>IF(Table1[[#This Row],[Is Data Valid]]=TRUE,((Table1[[#This Row],[Birthweight (grams)]]*1.1/Table1[[#This Row],[BW_GA]])-1)/(Backend!$B$4/100*Table1[[#This Row],[BW40_3705]]),"")</f>
        <v/>
      </c>
      <c r="J37" s="2" t="str">
        <f>IF(Table1[[#This Row],[Is Data Valid]]=TRUE,_xlfn.NORM.S.DIST(Table1[[#This Row],[Birthweight Z-Score]],TRUE)*100,"")</f>
        <v/>
      </c>
      <c r="K37" s="2" t="str">
        <f>IF(Table1[[#This Row],[Is Data Valid]]=TRUE,_xlfn.NORM.S.DIST(Table1[[#This Row],[Birthweight Z-Score (BW-10%)]],TRUE)*100,"")</f>
        <v/>
      </c>
      <c r="L37" s="2" t="str">
        <f>IF(Table1[[#This Row],[Is Data Valid]]=TRUE,_xlfn.NORM.S.DIST(Table1[[#This Row],[Birthweight Z-Score (BW+10%)]],TRUE)*100,"")</f>
        <v/>
      </c>
    </row>
    <row r="38" spans="1:12" x14ac:dyDescent="0.35">
      <c r="A38" s="3"/>
      <c r="B38" s="2"/>
      <c r="C38" s="2"/>
      <c r="D38" s="2" t="b">
        <f>IF(AND(NOT(ISBLANK(Table1[[#This Row],[Fetal Sex (Male, Female or Unknown)]])),ISNUMBER(Table1[[#This Row],[Birthweight (grams)]]),ISNUMBER(Table1[[#This Row],[Gestation (days)]])),TRUE,FALSE)</f>
        <v>0</v>
      </c>
      <c r="E38" s="2" t="str">
        <f>IF(Table1[[#This Row],[Is Data Valid]]=TRUE,IF(Table1[[#This Row],[Fetal Sex (Male, Female or Unknown)]]="Male",Backend!$C$6,IF(Table1[[#This Row],[Fetal Sex (Male, Female or Unknown)]]="Female",Backend!$C$7,IF(Table1[[#This Row],[Fetal Sex (Male, Female or Unknown)]]="Unknown",Backend!$C$8,"Error"))),"")</f>
        <v/>
      </c>
      <c r="F38" s="8" t="str">
        <f>IF(Table1[[#This Row],[Is Data Valid]]=TRUE,EXP(0.578+0.332*((Table1[[#This Row],[Gestation (days)]]+0.5)/7)-0.00354*((Table1[[#This Row],[Gestation (days)]]+0.5)/7)^2)*Table1[[#This Row],[BW40_3705]],"")</f>
        <v/>
      </c>
      <c r="G38" s="2" t="str">
        <f>IF(Table1[[#This Row],[Is Data Valid]]=TRUE,((Table1[[#This Row],[Birthweight (grams)]]/Table1[[#This Row],[BW_GA]])-1)/(Backend!$B$4/100*Table1[[#This Row],[BW40_3705]]),"")</f>
        <v/>
      </c>
      <c r="H38" s="2" t="str">
        <f>IF(Table1[[#This Row],[Is Data Valid]]=TRUE,((Table1[[#This Row],[Birthweight (grams)]]*0.9/Table1[[#This Row],[BW_GA]])-1)/(Backend!$B$4/100*Table1[[#This Row],[BW40_3705]]),"")</f>
        <v/>
      </c>
      <c r="I38" s="2" t="str">
        <f>IF(Table1[[#This Row],[Is Data Valid]]=TRUE,((Table1[[#This Row],[Birthweight (grams)]]*1.1/Table1[[#This Row],[BW_GA]])-1)/(Backend!$B$4/100*Table1[[#This Row],[BW40_3705]]),"")</f>
        <v/>
      </c>
      <c r="J38" s="2" t="str">
        <f>IF(Table1[[#This Row],[Is Data Valid]]=TRUE,_xlfn.NORM.S.DIST(Table1[[#This Row],[Birthweight Z-Score]],TRUE)*100,"")</f>
        <v/>
      </c>
      <c r="K38" s="2" t="str">
        <f>IF(Table1[[#This Row],[Is Data Valid]]=TRUE,_xlfn.NORM.S.DIST(Table1[[#This Row],[Birthweight Z-Score (BW-10%)]],TRUE)*100,"")</f>
        <v/>
      </c>
      <c r="L38" s="2" t="str">
        <f>IF(Table1[[#This Row],[Is Data Valid]]=TRUE,_xlfn.NORM.S.DIST(Table1[[#This Row],[Birthweight Z-Score (BW+10%)]],TRUE)*100,"")</f>
        <v/>
      </c>
    </row>
    <row r="39" spans="1:12" x14ac:dyDescent="0.35">
      <c r="A39" s="3"/>
      <c r="B39" s="2"/>
      <c r="C39" s="2"/>
      <c r="D39" s="2" t="b">
        <f>IF(AND(NOT(ISBLANK(Table1[[#This Row],[Fetal Sex (Male, Female or Unknown)]])),ISNUMBER(Table1[[#This Row],[Birthweight (grams)]]),ISNUMBER(Table1[[#This Row],[Gestation (days)]])),TRUE,FALSE)</f>
        <v>0</v>
      </c>
      <c r="E39" s="2" t="str">
        <f>IF(Table1[[#This Row],[Is Data Valid]]=TRUE,IF(Table1[[#This Row],[Fetal Sex (Male, Female or Unknown)]]="Male",Backend!$C$6,IF(Table1[[#This Row],[Fetal Sex (Male, Female or Unknown)]]="Female",Backend!$C$7,IF(Table1[[#This Row],[Fetal Sex (Male, Female or Unknown)]]="Unknown",Backend!$C$8,"Error"))),"")</f>
        <v/>
      </c>
      <c r="F39" s="8" t="str">
        <f>IF(Table1[[#This Row],[Is Data Valid]]=TRUE,EXP(0.578+0.332*((Table1[[#This Row],[Gestation (days)]]+0.5)/7)-0.00354*((Table1[[#This Row],[Gestation (days)]]+0.5)/7)^2)*Table1[[#This Row],[BW40_3705]],"")</f>
        <v/>
      </c>
      <c r="G39" s="2" t="str">
        <f>IF(Table1[[#This Row],[Is Data Valid]]=TRUE,((Table1[[#This Row],[Birthweight (grams)]]/Table1[[#This Row],[BW_GA]])-1)/(Backend!$B$4/100*Table1[[#This Row],[BW40_3705]]),"")</f>
        <v/>
      </c>
      <c r="H39" s="2" t="str">
        <f>IF(Table1[[#This Row],[Is Data Valid]]=TRUE,((Table1[[#This Row],[Birthweight (grams)]]*0.9/Table1[[#This Row],[BW_GA]])-1)/(Backend!$B$4/100*Table1[[#This Row],[BW40_3705]]),"")</f>
        <v/>
      </c>
      <c r="I39" s="2" t="str">
        <f>IF(Table1[[#This Row],[Is Data Valid]]=TRUE,((Table1[[#This Row],[Birthweight (grams)]]*1.1/Table1[[#This Row],[BW_GA]])-1)/(Backend!$B$4/100*Table1[[#This Row],[BW40_3705]]),"")</f>
        <v/>
      </c>
      <c r="J39" s="2" t="str">
        <f>IF(Table1[[#This Row],[Is Data Valid]]=TRUE,_xlfn.NORM.S.DIST(Table1[[#This Row],[Birthweight Z-Score]],TRUE)*100,"")</f>
        <v/>
      </c>
      <c r="K39" s="2" t="str">
        <f>IF(Table1[[#This Row],[Is Data Valid]]=TRUE,_xlfn.NORM.S.DIST(Table1[[#This Row],[Birthweight Z-Score (BW-10%)]],TRUE)*100,"")</f>
        <v/>
      </c>
      <c r="L39" s="2" t="str">
        <f>IF(Table1[[#This Row],[Is Data Valid]]=TRUE,_xlfn.NORM.S.DIST(Table1[[#This Row],[Birthweight Z-Score (BW+10%)]],TRUE)*100,"")</f>
        <v/>
      </c>
    </row>
    <row r="40" spans="1:12" x14ac:dyDescent="0.35">
      <c r="A40" s="3"/>
      <c r="B40" s="2"/>
      <c r="C40" s="2"/>
      <c r="D40" s="2" t="b">
        <f>IF(AND(NOT(ISBLANK(Table1[[#This Row],[Fetal Sex (Male, Female or Unknown)]])),ISNUMBER(Table1[[#This Row],[Birthweight (grams)]]),ISNUMBER(Table1[[#This Row],[Gestation (days)]])),TRUE,FALSE)</f>
        <v>0</v>
      </c>
      <c r="E40" s="2" t="str">
        <f>IF(Table1[[#This Row],[Is Data Valid]]=TRUE,IF(Table1[[#This Row],[Fetal Sex (Male, Female or Unknown)]]="Male",Backend!$C$6,IF(Table1[[#This Row],[Fetal Sex (Male, Female or Unknown)]]="Female",Backend!$C$7,IF(Table1[[#This Row],[Fetal Sex (Male, Female or Unknown)]]="Unknown",Backend!$C$8,"Error"))),"")</f>
        <v/>
      </c>
      <c r="F40" s="8" t="str">
        <f>IF(Table1[[#This Row],[Is Data Valid]]=TRUE,EXP(0.578+0.332*((Table1[[#This Row],[Gestation (days)]]+0.5)/7)-0.00354*((Table1[[#This Row],[Gestation (days)]]+0.5)/7)^2)*Table1[[#This Row],[BW40_3705]],"")</f>
        <v/>
      </c>
      <c r="G40" s="2" t="str">
        <f>IF(Table1[[#This Row],[Is Data Valid]]=TRUE,((Table1[[#This Row],[Birthweight (grams)]]/Table1[[#This Row],[BW_GA]])-1)/(Backend!$B$4/100*Table1[[#This Row],[BW40_3705]]),"")</f>
        <v/>
      </c>
      <c r="H40" s="2" t="str">
        <f>IF(Table1[[#This Row],[Is Data Valid]]=TRUE,((Table1[[#This Row],[Birthweight (grams)]]*0.9/Table1[[#This Row],[BW_GA]])-1)/(Backend!$B$4/100*Table1[[#This Row],[BW40_3705]]),"")</f>
        <v/>
      </c>
      <c r="I40" s="2" t="str">
        <f>IF(Table1[[#This Row],[Is Data Valid]]=TRUE,((Table1[[#This Row],[Birthweight (grams)]]*1.1/Table1[[#This Row],[BW_GA]])-1)/(Backend!$B$4/100*Table1[[#This Row],[BW40_3705]]),"")</f>
        <v/>
      </c>
      <c r="J40" s="2" t="str">
        <f>IF(Table1[[#This Row],[Is Data Valid]]=TRUE,_xlfn.NORM.S.DIST(Table1[[#This Row],[Birthweight Z-Score]],TRUE)*100,"")</f>
        <v/>
      </c>
      <c r="K40" s="2" t="str">
        <f>IF(Table1[[#This Row],[Is Data Valid]]=TRUE,_xlfn.NORM.S.DIST(Table1[[#This Row],[Birthweight Z-Score (BW-10%)]],TRUE)*100,"")</f>
        <v/>
      </c>
      <c r="L40" s="2" t="str">
        <f>IF(Table1[[#This Row],[Is Data Valid]]=TRUE,_xlfn.NORM.S.DIST(Table1[[#This Row],[Birthweight Z-Score (BW+10%)]],TRUE)*100,"")</f>
        <v/>
      </c>
    </row>
    <row r="41" spans="1:12" x14ac:dyDescent="0.35">
      <c r="A41" s="3"/>
      <c r="B41" s="2"/>
      <c r="C41" s="2"/>
      <c r="D41" s="2" t="b">
        <f>IF(AND(NOT(ISBLANK(Table1[[#This Row],[Fetal Sex (Male, Female or Unknown)]])),ISNUMBER(Table1[[#This Row],[Birthweight (grams)]]),ISNUMBER(Table1[[#This Row],[Gestation (days)]])),TRUE,FALSE)</f>
        <v>0</v>
      </c>
      <c r="E41" s="2" t="str">
        <f>IF(Table1[[#This Row],[Is Data Valid]]=TRUE,IF(Table1[[#This Row],[Fetal Sex (Male, Female or Unknown)]]="Male",Backend!$C$6,IF(Table1[[#This Row],[Fetal Sex (Male, Female or Unknown)]]="Female",Backend!$C$7,IF(Table1[[#This Row],[Fetal Sex (Male, Female or Unknown)]]="Unknown",Backend!$C$8,"Error"))),"")</f>
        <v/>
      </c>
      <c r="F41" s="8" t="str">
        <f>IF(Table1[[#This Row],[Is Data Valid]]=TRUE,EXP(0.578+0.332*((Table1[[#This Row],[Gestation (days)]]+0.5)/7)-0.00354*((Table1[[#This Row],[Gestation (days)]]+0.5)/7)^2)*Table1[[#This Row],[BW40_3705]],"")</f>
        <v/>
      </c>
      <c r="G41" s="2" t="str">
        <f>IF(Table1[[#This Row],[Is Data Valid]]=TRUE,((Table1[[#This Row],[Birthweight (grams)]]/Table1[[#This Row],[BW_GA]])-1)/(Backend!$B$4/100*Table1[[#This Row],[BW40_3705]]),"")</f>
        <v/>
      </c>
      <c r="H41" s="2" t="str">
        <f>IF(Table1[[#This Row],[Is Data Valid]]=TRUE,((Table1[[#This Row],[Birthweight (grams)]]*0.9/Table1[[#This Row],[BW_GA]])-1)/(Backend!$B$4/100*Table1[[#This Row],[BW40_3705]]),"")</f>
        <v/>
      </c>
      <c r="I41" s="2" t="str">
        <f>IF(Table1[[#This Row],[Is Data Valid]]=TRUE,((Table1[[#This Row],[Birthweight (grams)]]*1.1/Table1[[#This Row],[BW_GA]])-1)/(Backend!$B$4/100*Table1[[#This Row],[BW40_3705]]),"")</f>
        <v/>
      </c>
      <c r="J41" s="2" t="str">
        <f>IF(Table1[[#This Row],[Is Data Valid]]=TRUE,_xlfn.NORM.S.DIST(Table1[[#This Row],[Birthweight Z-Score]],TRUE)*100,"")</f>
        <v/>
      </c>
      <c r="K41" s="2" t="str">
        <f>IF(Table1[[#This Row],[Is Data Valid]]=TRUE,_xlfn.NORM.S.DIST(Table1[[#This Row],[Birthweight Z-Score (BW-10%)]],TRUE)*100,"")</f>
        <v/>
      </c>
      <c r="L41" s="2" t="str">
        <f>IF(Table1[[#This Row],[Is Data Valid]]=TRUE,_xlfn.NORM.S.DIST(Table1[[#This Row],[Birthweight Z-Score (BW+10%)]],TRUE)*100,"")</f>
        <v/>
      </c>
    </row>
    <row r="42" spans="1:12" x14ac:dyDescent="0.35">
      <c r="A42" s="3"/>
      <c r="B42" s="2"/>
      <c r="C42" s="2"/>
      <c r="D42" s="2" t="b">
        <f>IF(AND(NOT(ISBLANK(Table1[[#This Row],[Fetal Sex (Male, Female or Unknown)]])),ISNUMBER(Table1[[#This Row],[Birthweight (grams)]]),ISNUMBER(Table1[[#This Row],[Gestation (days)]])),TRUE,FALSE)</f>
        <v>0</v>
      </c>
      <c r="E42" s="2" t="str">
        <f>IF(Table1[[#This Row],[Is Data Valid]]=TRUE,IF(Table1[[#This Row],[Fetal Sex (Male, Female or Unknown)]]="Male",Backend!$C$6,IF(Table1[[#This Row],[Fetal Sex (Male, Female or Unknown)]]="Female",Backend!$C$7,IF(Table1[[#This Row],[Fetal Sex (Male, Female or Unknown)]]="Unknown",Backend!$C$8,"Error"))),"")</f>
        <v/>
      </c>
      <c r="F42" s="8" t="str">
        <f>IF(Table1[[#This Row],[Is Data Valid]]=TRUE,EXP(0.578+0.332*((Table1[[#This Row],[Gestation (days)]]+0.5)/7)-0.00354*((Table1[[#This Row],[Gestation (days)]]+0.5)/7)^2)*Table1[[#This Row],[BW40_3705]],"")</f>
        <v/>
      </c>
      <c r="G42" s="2" t="str">
        <f>IF(Table1[[#This Row],[Is Data Valid]]=TRUE,((Table1[[#This Row],[Birthweight (grams)]]/Table1[[#This Row],[BW_GA]])-1)/(Backend!$B$4/100*Table1[[#This Row],[BW40_3705]]),"")</f>
        <v/>
      </c>
      <c r="H42" s="2" t="str">
        <f>IF(Table1[[#This Row],[Is Data Valid]]=TRUE,((Table1[[#This Row],[Birthweight (grams)]]*0.9/Table1[[#This Row],[BW_GA]])-1)/(Backend!$B$4/100*Table1[[#This Row],[BW40_3705]]),"")</f>
        <v/>
      </c>
      <c r="I42" s="2" t="str">
        <f>IF(Table1[[#This Row],[Is Data Valid]]=TRUE,((Table1[[#This Row],[Birthweight (grams)]]*1.1/Table1[[#This Row],[BW_GA]])-1)/(Backend!$B$4/100*Table1[[#This Row],[BW40_3705]]),"")</f>
        <v/>
      </c>
      <c r="J42" s="2" t="str">
        <f>IF(Table1[[#This Row],[Is Data Valid]]=TRUE,_xlfn.NORM.S.DIST(Table1[[#This Row],[Birthweight Z-Score]],TRUE)*100,"")</f>
        <v/>
      </c>
      <c r="K42" s="2" t="str">
        <f>IF(Table1[[#This Row],[Is Data Valid]]=TRUE,_xlfn.NORM.S.DIST(Table1[[#This Row],[Birthweight Z-Score (BW-10%)]],TRUE)*100,"")</f>
        <v/>
      </c>
      <c r="L42" s="2" t="str">
        <f>IF(Table1[[#This Row],[Is Data Valid]]=TRUE,_xlfn.NORM.S.DIST(Table1[[#This Row],[Birthweight Z-Score (BW+10%)]],TRUE)*100,"")</f>
        <v/>
      </c>
    </row>
    <row r="43" spans="1:12" x14ac:dyDescent="0.35">
      <c r="A43" s="3"/>
      <c r="B43" s="2"/>
      <c r="C43" s="2"/>
      <c r="D43" s="2" t="b">
        <f>IF(AND(NOT(ISBLANK(Table1[[#This Row],[Fetal Sex (Male, Female or Unknown)]])),ISNUMBER(Table1[[#This Row],[Birthweight (grams)]]),ISNUMBER(Table1[[#This Row],[Gestation (days)]])),TRUE,FALSE)</f>
        <v>0</v>
      </c>
      <c r="E43" s="2" t="str">
        <f>IF(Table1[[#This Row],[Is Data Valid]]=TRUE,IF(Table1[[#This Row],[Fetal Sex (Male, Female or Unknown)]]="Male",Backend!$C$6,IF(Table1[[#This Row],[Fetal Sex (Male, Female or Unknown)]]="Female",Backend!$C$7,IF(Table1[[#This Row],[Fetal Sex (Male, Female or Unknown)]]="Unknown",Backend!$C$8,"Error"))),"")</f>
        <v/>
      </c>
      <c r="F43" s="8" t="str">
        <f>IF(Table1[[#This Row],[Is Data Valid]]=TRUE,EXP(0.578+0.332*((Table1[[#This Row],[Gestation (days)]]+0.5)/7)-0.00354*((Table1[[#This Row],[Gestation (days)]]+0.5)/7)^2)*Table1[[#This Row],[BW40_3705]],"")</f>
        <v/>
      </c>
      <c r="G43" s="2" t="str">
        <f>IF(Table1[[#This Row],[Is Data Valid]]=TRUE,((Table1[[#This Row],[Birthweight (grams)]]/Table1[[#This Row],[BW_GA]])-1)/(Backend!$B$4/100*Table1[[#This Row],[BW40_3705]]),"")</f>
        <v/>
      </c>
      <c r="H43" s="2" t="str">
        <f>IF(Table1[[#This Row],[Is Data Valid]]=TRUE,((Table1[[#This Row],[Birthweight (grams)]]*0.9/Table1[[#This Row],[BW_GA]])-1)/(Backend!$B$4/100*Table1[[#This Row],[BW40_3705]]),"")</f>
        <v/>
      </c>
      <c r="I43" s="2" t="str">
        <f>IF(Table1[[#This Row],[Is Data Valid]]=TRUE,((Table1[[#This Row],[Birthweight (grams)]]*1.1/Table1[[#This Row],[BW_GA]])-1)/(Backend!$B$4/100*Table1[[#This Row],[BW40_3705]]),"")</f>
        <v/>
      </c>
      <c r="J43" s="2" t="str">
        <f>IF(Table1[[#This Row],[Is Data Valid]]=TRUE,_xlfn.NORM.S.DIST(Table1[[#This Row],[Birthweight Z-Score]],TRUE)*100,"")</f>
        <v/>
      </c>
      <c r="K43" s="2" t="str">
        <f>IF(Table1[[#This Row],[Is Data Valid]]=TRUE,_xlfn.NORM.S.DIST(Table1[[#This Row],[Birthweight Z-Score (BW-10%)]],TRUE)*100,"")</f>
        <v/>
      </c>
      <c r="L43" s="2" t="str">
        <f>IF(Table1[[#This Row],[Is Data Valid]]=TRUE,_xlfn.NORM.S.DIST(Table1[[#This Row],[Birthweight Z-Score (BW+10%)]],TRUE)*100,"")</f>
        <v/>
      </c>
    </row>
    <row r="44" spans="1:12" x14ac:dyDescent="0.35">
      <c r="A44" s="3"/>
      <c r="B44" s="2"/>
      <c r="C44" s="2"/>
      <c r="D44" s="2" t="b">
        <f>IF(AND(NOT(ISBLANK(Table1[[#This Row],[Fetal Sex (Male, Female or Unknown)]])),ISNUMBER(Table1[[#This Row],[Birthweight (grams)]]),ISNUMBER(Table1[[#This Row],[Gestation (days)]])),TRUE,FALSE)</f>
        <v>0</v>
      </c>
      <c r="E44" s="2" t="str">
        <f>IF(Table1[[#This Row],[Is Data Valid]]=TRUE,IF(Table1[[#This Row],[Fetal Sex (Male, Female or Unknown)]]="Male",Backend!$C$6,IF(Table1[[#This Row],[Fetal Sex (Male, Female or Unknown)]]="Female",Backend!$C$7,IF(Table1[[#This Row],[Fetal Sex (Male, Female or Unknown)]]="Unknown",Backend!$C$8,"Error"))),"")</f>
        <v/>
      </c>
      <c r="F44" s="8" t="str">
        <f>IF(Table1[[#This Row],[Is Data Valid]]=TRUE,EXP(0.578+0.332*((Table1[[#This Row],[Gestation (days)]]+0.5)/7)-0.00354*((Table1[[#This Row],[Gestation (days)]]+0.5)/7)^2)*Table1[[#This Row],[BW40_3705]],"")</f>
        <v/>
      </c>
      <c r="G44" s="2" t="str">
        <f>IF(Table1[[#This Row],[Is Data Valid]]=TRUE,((Table1[[#This Row],[Birthweight (grams)]]/Table1[[#This Row],[BW_GA]])-1)/(Backend!$B$4/100*Table1[[#This Row],[BW40_3705]]),"")</f>
        <v/>
      </c>
      <c r="H44" s="2" t="str">
        <f>IF(Table1[[#This Row],[Is Data Valid]]=TRUE,((Table1[[#This Row],[Birthweight (grams)]]*0.9/Table1[[#This Row],[BW_GA]])-1)/(Backend!$B$4/100*Table1[[#This Row],[BW40_3705]]),"")</f>
        <v/>
      </c>
      <c r="I44" s="2" t="str">
        <f>IF(Table1[[#This Row],[Is Data Valid]]=TRUE,((Table1[[#This Row],[Birthweight (grams)]]*1.1/Table1[[#This Row],[BW_GA]])-1)/(Backend!$B$4/100*Table1[[#This Row],[BW40_3705]]),"")</f>
        <v/>
      </c>
      <c r="J44" s="2" t="str">
        <f>IF(Table1[[#This Row],[Is Data Valid]]=TRUE,_xlfn.NORM.S.DIST(Table1[[#This Row],[Birthweight Z-Score]],TRUE)*100,"")</f>
        <v/>
      </c>
      <c r="K44" s="2" t="str">
        <f>IF(Table1[[#This Row],[Is Data Valid]]=TRUE,_xlfn.NORM.S.DIST(Table1[[#This Row],[Birthweight Z-Score (BW-10%)]],TRUE)*100,"")</f>
        <v/>
      </c>
      <c r="L44" s="2" t="str">
        <f>IF(Table1[[#This Row],[Is Data Valid]]=TRUE,_xlfn.NORM.S.DIST(Table1[[#This Row],[Birthweight Z-Score (BW+10%)]],TRUE)*100,"")</f>
        <v/>
      </c>
    </row>
    <row r="45" spans="1:12" x14ac:dyDescent="0.35">
      <c r="A45" s="3"/>
      <c r="B45" s="2"/>
      <c r="C45" s="2"/>
      <c r="D45" s="2" t="b">
        <f>IF(AND(NOT(ISBLANK(Table1[[#This Row],[Fetal Sex (Male, Female or Unknown)]])),ISNUMBER(Table1[[#This Row],[Birthweight (grams)]]),ISNUMBER(Table1[[#This Row],[Gestation (days)]])),TRUE,FALSE)</f>
        <v>0</v>
      </c>
      <c r="E45" s="2" t="str">
        <f>IF(Table1[[#This Row],[Is Data Valid]]=TRUE,IF(Table1[[#This Row],[Fetal Sex (Male, Female or Unknown)]]="Male",Backend!$C$6,IF(Table1[[#This Row],[Fetal Sex (Male, Female or Unknown)]]="Female",Backend!$C$7,IF(Table1[[#This Row],[Fetal Sex (Male, Female or Unknown)]]="Unknown",Backend!$C$8,"Error"))),"")</f>
        <v/>
      </c>
      <c r="F45" s="8" t="str">
        <f>IF(Table1[[#This Row],[Is Data Valid]]=TRUE,EXP(0.578+0.332*((Table1[[#This Row],[Gestation (days)]]+0.5)/7)-0.00354*((Table1[[#This Row],[Gestation (days)]]+0.5)/7)^2)*Table1[[#This Row],[BW40_3705]],"")</f>
        <v/>
      </c>
      <c r="G45" s="2" t="str">
        <f>IF(Table1[[#This Row],[Is Data Valid]]=TRUE,((Table1[[#This Row],[Birthweight (grams)]]/Table1[[#This Row],[BW_GA]])-1)/(Backend!$B$4/100*Table1[[#This Row],[BW40_3705]]),"")</f>
        <v/>
      </c>
      <c r="H45" s="2" t="str">
        <f>IF(Table1[[#This Row],[Is Data Valid]]=TRUE,((Table1[[#This Row],[Birthweight (grams)]]*0.9/Table1[[#This Row],[BW_GA]])-1)/(Backend!$B$4/100*Table1[[#This Row],[BW40_3705]]),"")</f>
        <v/>
      </c>
      <c r="I45" s="2" t="str">
        <f>IF(Table1[[#This Row],[Is Data Valid]]=TRUE,((Table1[[#This Row],[Birthweight (grams)]]*1.1/Table1[[#This Row],[BW_GA]])-1)/(Backend!$B$4/100*Table1[[#This Row],[BW40_3705]]),"")</f>
        <v/>
      </c>
      <c r="J45" s="2" t="str">
        <f>IF(Table1[[#This Row],[Is Data Valid]]=TRUE,_xlfn.NORM.S.DIST(Table1[[#This Row],[Birthweight Z-Score]],TRUE)*100,"")</f>
        <v/>
      </c>
      <c r="K45" s="2" t="str">
        <f>IF(Table1[[#This Row],[Is Data Valid]]=TRUE,_xlfn.NORM.S.DIST(Table1[[#This Row],[Birthweight Z-Score (BW-10%)]],TRUE)*100,"")</f>
        <v/>
      </c>
      <c r="L45" s="2" t="str">
        <f>IF(Table1[[#This Row],[Is Data Valid]]=TRUE,_xlfn.NORM.S.DIST(Table1[[#This Row],[Birthweight Z-Score (BW+10%)]],TRUE)*100,"")</f>
        <v/>
      </c>
    </row>
    <row r="46" spans="1:12" x14ac:dyDescent="0.35">
      <c r="A46" s="3"/>
      <c r="B46" s="2"/>
      <c r="C46" s="2"/>
      <c r="D46" s="2" t="b">
        <f>IF(AND(NOT(ISBLANK(Table1[[#This Row],[Fetal Sex (Male, Female or Unknown)]])),ISNUMBER(Table1[[#This Row],[Birthweight (grams)]]),ISNUMBER(Table1[[#This Row],[Gestation (days)]])),TRUE,FALSE)</f>
        <v>0</v>
      </c>
      <c r="E46" s="2" t="str">
        <f>IF(Table1[[#This Row],[Is Data Valid]]=TRUE,IF(Table1[[#This Row],[Fetal Sex (Male, Female or Unknown)]]="Male",Backend!$C$6,IF(Table1[[#This Row],[Fetal Sex (Male, Female or Unknown)]]="Female",Backend!$C$7,IF(Table1[[#This Row],[Fetal Sex (Male, Female or Unknown)]]="Unknown",Backend!$C$8,"Error"))),"")</f>
        <v/>
      </c>
      <c r="F46" s="8" t="str">
        <f>IF(Table1[[#This Row],[Is Data Valid]]=TRUE,EXP(0.578+0.332*((Table1[[#This Row],[Gestation (days)]]+0.5)/7)-0.00354*((Table1[[#This Row],[Gestation (days)]]+0.5)/7)^2)*Table1[[#This Row],[BW40_3705]],"")</f>
        <v/>
      </c>
      <c r="G46" s="2" t="str">
        <f>IF(Table1[[#This Row],[Is Data Valid]]=TRUE,((Table1[[#This Row],[Birthweight (grams)]]/Table1[[#This Row],[BW_GA]])-1)/(Backend!$B$4/100*Table1[[#This Row],[BW40_3705]]),"")</f>
        <v/>
      </c>
      <c r="H46" s="2" t="str">
        <f>IF(Table1[[#This Row],[Is Data Valid]]=TRUE,((Table1[[#This Row],[Birthweight (grams)]]*0.9/Table1[[#This Row],[BW_GA]])-1)/(Backend!$B$4/100*Table1[[#This Row],[BW40_3705]]),"")</f>
        <v/>
      </c>
      <c r="I46" s="2" t="str">
        <f>IF(Table1[[#This Row],[Is Data Valid]]=TRUE,((Table1[[#This Row],[Birthweight (grams)]]*1.1/Table1[[#This Row],[BW_GA]])-1)/(Backend!$B$4/100*Table1[[#This Row],[BW40_3705]]),"")</f>
        <v/>
      </c>
      <c r="J46" s="2" t="str">
        <f>IF(Table1[[#This Row],[Is Data Valid]]=TRUE,_xlfn.NORM.S.DIST(Table1[[#This Row],[Birthweight Z-Score]],TRUE)*100,"")</f>
        <v/>
      </c>
      <c r="K46" s="2" t="str">
        <f>IF(Table1[[#This Row],[Is Data Valid]]=TRUE,_xlfn.NORM.S.DIST(Table1[[#This Row],[Birthweight Z-Score (BW-10%)]],TRUE)*100,"")</f>
        <v/>
      </c>
      <c r="L46" s="2" t="str">
        <f>IF(Table1[[#This Row],[Is Data Valid]]=TRUE,_xlfn.NORM.S.DIST(Table1[[#This Row],[Birthweight Z-Score (BW+10%)]],TRUE)*100,"")</f>
        <v/>
      </c>
    </row>
    <row r="47" spans="1:12" x14ac:dyDescent="0.35">
      <c r="A47" s="3"/>
      <c r="B47" s="2"/>
      <c r="C47" s="2"/>
      <c r="D47" s="2" t="b">
        <f>IF(AND(NOT(ISBLANK(Table1[[#This Row],[Fetal Sex (Male, Female or Unknown)]])),ISNUMBER(Table1[[#This Row],[Birthweight (grams)]]),ISNUMBER(Table1[[#This Row],[Gestation (days)]])),TRUE,FALSE)</f>
        <v>0</v>
      </c>
      <c r="E47" s="2" t="str">
        <f>IF(Table1[[#This Row],[Is Data Valid]]=TRUE,IF(Table1[[#This Row],[Fetal Sex (Male, Female or Unknown)]]="Male",Backend!$C$6,IF(Table1[[#This Row],[Fetal Sex (Male, Female or Unknown)]]="Female",Backend!$C$7,IF(Table1[[#This Row],[Fetal Sex (Male, Female or Unknown)]]="Unknown",Backend!$C$8,"Error"))),"")</f>
        <v/>
      </c>
      <c r="F47" s="8" t="str">
        <f>IF(Table1[[#This Row],[Is Data Valid]]=TRUE,EXP(0.578+0.332*((Table1[[#This Row],[Gestation (days)]]+0.5)/7)-0.00354*((Table1[[#This Row],[Gestation (days)]]+0.5)/7)^2)*Table1[[#This Row],[BW40_3705]],"")</f>
        <v/>
      </c>
      <c r="G47" s="2" t="str">
        <f>IF(Table1[[#This Row],[Is Data Valid]]=TRUE,((Table1[[#This Row],[Birthweight (grams)]]/Table1[[#This Row],[BW_GA]])-1)/(Backend!$B$4/100*Table1[[#This Row],[BW40_3705]]),"")</f>
        <v/>
      </c>
      <c r="H47" s="2" t="str">
        <f>IF(Table1[[#This Row],[Is Data Valid]]=TRUE,((Table1[[#This Row],[Birthweight (grams)]]*0.9/Table1[[#This Row],[BW_GA]])-1)/(Backend!$B$4/100*Table1[[#This Row],[BW40_3705]]),"")</f>
        <v/>
      </c>
      <c r="I47" s="2" t="str">
        <f>IF(Table1[[#This Row],[Is Data Valid]]=TRUE,((Table1[[#This Row],[Birthweight (grams)]]*1.1/Table1[[#This Row],[BW_GA]])-1)/(Backend!$B$4/100*Table1[[#This Row],[BW40_3705]]),"")</f>
        <v/>
      </c>
      <c r="J47" s="2" t="str">
        <f>IF(Table1[[#This Row],[Is Data Valid]]=TRUE,_xlfn.NORM.S.DIST(Table1[[#This Row],[Birthweight Z-Score]],TRUE)*100,"")</f>
        <v/>
      </c>
      <c r="K47" s="2" t="str">
        <f>IF(Table1[[#This Row],[Is Data Valid]]=TRUE,_xlfn.NORM.S.DIST(Table1[[#This Row],[Birthweight Z-Score (BW-10%)]],TRUE)*100,"")</f>
        <v/>
      </c>
      <c r="L47" s="2" t="str">
        <f>IF(Table1[[#This Row],[Is Data Valid]]=TRUE,_xlfn.NORM.S.DIST(Table1[[#This Row],[Birthweight Z-Score (BW+10%)]],TRUE)*100,"")</f>
        <v/>
      </c>
    </row>
    <row r="48" spans="1:12" x14ac:dyDescent="0.35">
      <c r="A48" s="3"/>
      <c r="B48" s="2"/>
      <c r="C48" s="2"/>
      <c r="D48" s="2" t="b">
        <f>IF(AND(NOT(ISBLANK(Table1[[#This Row],[Fetal Sex (Male, Female or Unknown)]])),ISNUMBER(Table1[[#This Row],[Birthweight (grams)]]),ISNUMBER(Table1[[#This Row],[Gestation (days)]])),TRUE,FALSE)</f>
        <v>0</v>
      </c>
      <c r="E48" s="2" t="str">
        <f>IF(Table1[[#This Row],[Is Data Valid]]=TRUE,IF(Table1[[#This Row],[Fetal Sex (Male, Female or Unknown)]]="Male",Backend!$C$6,IF(Table1[[#This Row],[Fetal Sex (Male, Female or Unknown)]]="Female",Backend!$C$7,IF(Table1[[#This Row],[Fetal Sex (Male, Female or Unknown)]]="Unknown",Backend!$C$8,"Error"))),"")</f>
        <v/>
      </c>
      <c r="F48" s="8" t="str">
        <f>IF(Table1[[#This Row],[Is Data Valid]]=TRUE,EXP(0.578+0.332*((Table1[[#This Row],[Gestation (days)]]+0.5)/7)-0.00354*((Table1[[#This Row],[Gestation (days)]]+0.5)/7)^2)*Table1[[#This Row],[BW40_3705]],"")</f>
        <v/>
      </c>
      <c r="G48" s="2" t="str">
        <f>IF(Table1[[#This Row],[Is Data Valid]]=TRUE,((Table1[[#This Row],[Birthweight (grams)]]/Table1[[#This Row],[BW_GA]])-1)/(Backend!$B$4/100*Table1[[#This Row],[BW40_3705]]),"")</f>
        <v/>
      </c>
      <c r="H48" s="2" t="str">
        <f>IF(Table1[[#This Row],[Is Data Valid]]=TRUE,((Table1[[#This Row],[Birthweight (grams)]]*0.9/Table1[[#This Row],[BW_GA]])-1)/(Backend!$B$4/100*Table1[[#This Row],[BW40_3705]]),"")</f>
        <v/>
      </c>
      <c r="I48" s="2" t="str">
        <f>IF(Table1[[#This Row],[Is Data Valid]]=TRUE,((Table1[[#This Row],[Birthweight (grams)]]*1.1/Table1[[#This Row],[BW_GA]])-1)/(Backend!$B$4/100*Table1[[#This Row],[BW40_3705]]),"")</f>
        <v/>
      </c>
      <c r="J48" s="2" t="str">
        <f>IF(Table1[[#This Row],[Is Data Valid]]=TRUE,_xlfn.NORM.S.DIST(Table1[[#This Row],[Birthweight Z-Score]],TRUE)*100,"")</f>
        <v/>
      </c>
      <c r="K48" s="2" t="str">
        <f>IF(Table1[[#This Row],[Is Data Valid]]=TRUE,_xlfn.NORM.S.DIST(Table1[[#This Row],[Birthweight Z-Score (BW-10%)]],TRUE)*100,"")</f>
        <v/>
      </c>
      <c r="L48" s="2" t="str">
        <f>IF(Table1[[#This Row],[Is Data Valid]]=TRUE,_xlfn.NORM.S.DIST(Table1[[#This Row],[Birthweight Z-Score (BW+10%)]],TRUE)*100,"")</f>
        <v/>
      </c>
    </row>
    <row r="49" spans="1:12" x14ac:dyDescent="0.35">
      <c r="A49" s="3"/>
      <c r="B49" s="2"/>
      <c r="C49" s="2"/>
      <c r="D49" s="2" t="b">
        <f>IF(AND(NOT(ISBLANK(Table1[[#This Row],[Fetal Sex (Male, Female or Unknown)]])),ISNUMBER(Table1[[#This Row],[Birthweight (grams)]]),ISNUMBER(Table1[[#This Row],[Gestation (days)]])),TRUE,FALSE)</f>
        <v>0</v>
      </c>
      <c r="E49" s="2" t="str">
        <f>IF(Table1[[#This Row],[Is Data Valid]]=TRUE,IF(Table1[[#This Row],[Fetal Sex (Male, Female or Unknown)]]="Male",Backend!$C$6,IF(Table1[[#This Row],[Fetal Sex (Male, Female or Unknown)]]="Female",Backend!$C$7,IF(Table1[[#This Row],[Fetal Sex (Male, Female or Unknown)]]="Unknown",Backend!$C$8,"Error"))),"")</f>
        <v/>
      </c>
      <c r="F49" s="8" t="str">
        <f>IF(Table1[[#This Row],[Is Data Valid]]=TRUE,EXP(0.578+0.332*((Table1[[#This Row],[Gestation (days)]]+0.5)/7)-0.00354*((Table1[[#This Row],[Gestation (days)]]+0.5)/7)^2)*Table1[[#This Row],[BW40_3705]],"")</f>
        <v/>
      </c>
      <c r="G49" s="2" t="str">
        <f>IF(Table1[[#This Row],[Is Data Valid]]=TRUE,((Table1[[#This Row],[Birthweight (grams)]]/Table1[[#This Row],[BW_GA]])-1)/(Backend!$B$4/100*Table1[[#This Row],[BW40_3705]]),"")</f>
        <v/>
      </c>
      <c r="H49" s="2" t="str">
        <f>IF(Table1[[#This Row],[Is Data Valid]]=TRUE,((Table1[[#This Row],[Birthweight (grams)]]*0.9/Table1[[#This Row],[BW_GA]])-1)/(Backend!$B$4/100*Table1[[#This Row],[BW40_3705]]),"")</f>
        <v/>
      </c>
      <c r="I49" s="2" t="str">
        <f>IF(Table1[[#This Row],[Is Data Valid]]=TRUE,((Table1[[#This Row],[Birthweight (grams)]]*1.1/Table1[[#This Row],[BW_GA]])-1)/(Backend!$B$4/100*Table1[[#This Row],[BW40_3705]]),"")</f>
        <v/>
      </c>
      <c r="J49" s="2" t="str">
        <f>IF(Table1[[#This Row],[Is Data Valid]]=TRUE,_xlfn.NORM.S.DIST(Table1[[#This Row],[Birthweight Z-Score]],TRUE)*100,"")</f>
        <v/>
      </c>
      <c r="K49" s="2" t="str">
        <f>IF(Table1[[#This Row],[Is Data Valid]]=TRUE,_xlfn.NORM.S.DIST(Table1[[#This Row],[Birthweight Z-Score (BW-10%)]],TRUE)*100,"")</f>
        <v/>
      </c>
      <c r="L49" s="2" t="str">
        <f>IF(Table1[[#This Row],[Is Data Valid]]=TRUE,_xlfn.NORM.S.DIST(Table1[[#This Row],[Birthweight Z-Score (BW+10%)]],TRUE)*100,"")</f>
        <v/>
      </c>
    </row>
    <row r="50" spans="1:12" x14ac:dyDescent="0.35">
      <c r="A50" s="3"/>
      <c r="B50" s="2"/>
      <c r="C50" s="2"/>
      <c r="D50" s="2" t="b">
        <f>IF(AND(NOT(ISBLANK(Table1[[#This Row],[Fetal Sex (Male, Female or Unknown)]])),ISNUMBER(Table1[[#This Row],[Birthweight (grams)]]),ISNUMBER(Table1[[#This Row],[Gestation (days)]])),TRUE,FALSE)</f>
        <v>0</v>
      </c>
      <c r="E50" s="2" t="str">
        <f>IF(Table1[[#This Row],[Is Data Valid]]=TRUE,IF(Table1[[#This Row],[Fetal Sex (Male, Female or Unknown)]]="Male",Backend!$C$6,IF(Table1[[#This Row],[Fetal Sex (Male, Female or Unknown)]]="Female",Backend!$C$7,IF(Table1[[#This Row],[Fetal Sex (Male, Female or Unknown)]]="Unknown",Backend!$C$8,"Error"))),"")</f>
        <v/>
      </c>
      <c r="F50" s="8" t="str">
        <f>IF(Table1[[#This Row],[Is Data Valid]]=TRUE,EXP(0.578+0.332*((Table1[[#This Row],[Gestation (days)]]+0.5)/7)-0.00354*((Table1[[#This Row],[Gestation (days)]]+0.5)/7)^2)*Table1[[#This Row],[BW40_3705]],"")</f>
        <v/>
      </c>
      <c r="G50" s="2" t="str">
        <f>IF(Table1[[#This Row],[Is Data Valid]]=TRUE,((Table1[[#This Row],[Birthweight (grams)]]/Table1[[#This Row],[BW_GA]])-1)/(Backend!$B$4/100*Table1[[#This Row],[BW40_3705]]),"")</f>
        <v/>
      </c>
      <c r="H50" s="2" t="str">
        <f>IF(Table1[[#This Row],[Is Data Valid]]=TRUE,((Table1[[#This Row],[Birthweight (grams)]]*0.9/Table1[[#This Row],[BW_GA]])-1)/(Backend!$B$4/100*Table1[[#This Row],[BW40_3705]]),"")</f>
        <v/>
      </c>
      <c r="I50" s="2" t="str">
        <f>IF(Table1[[#This Row],[Is Data Valid]]=TRUE,((Table1[[#This Row],[Birthweight (grams)]]*1.1/Table1[[#This Row],[BW_GA]])-1)/(Backend!$B$4/100*Table1[[#This Row],[BW40_3705]]),"")</f>
        <v/>
      </c>
      <c r="J50" s="2" t="str">
        <f>IF(Table1[[#This Row],[Is Data Valid]]=TRUE,_xlfn.NORM.S.DIST(Table1[[#This Row],[Birthweight Z-Score]],TRUE)*100,"")</f>
        <v/>
      </c>
      <c r="K50" s="2" t="str">
        <f>IF(Table1[[#This Row],[Is Data Valid]]=TRUE,_xlfn.NORM.S.DIST(Table1[[#This Row],[Birthweight Z-Score (BW-10%)]],TRUE)*100,"")</f>
        <v/>
      </c>
      <c r="L50" s="2" t="str">
        <f>IF(Table1[[#This Row],[Is Data Valid]]=TRUE,_xlfn.NORM.S.DIST(Table1[[#This Row],[Birthweight Z-Score (BW+10%)]],TRUE)*100,"")</f>
        <v/>
      </c>
    </row>
    <row r="51" spans="1:12" x14ac:dyDescent="0.35">
      <c r="A51" s="3"/>
      <c r="B51" s="2"/>
      <c r="C51" s="2"/>
      <c r="D51" s="2" t="b">
        <f>IF(AND(NOT(ISBLANK(Table1[[#This Row],[Fetal Sex (Male, Female or Unknown)]])),ISNUMBER(Table1[[#This Row],[Birthweight (grams)]]),ISNUMBER(Table1[[#This Row],[Gestation (days)]])),TRUE,FALSE)</f>
        <v>0</v>
      </c>
      <c r="E51" s="2" t="str">
        <f>IF(Table1[[#This Row],[Is Data Valid]]=TRUE,IF(Table1[[#This Row],[Fetal Sex (Male, Female or Unknown)]]="Male",Backend!$C$6,IF(Table1[[#This Row],[Fetal Sex (Male, Female or Unknown)]]="Female",Backend!$C$7,IF(Table1[[#This Row],[Fetal Sex (Male, Female or Unknown)]]="Unknown",Backend!$C$8,"Error"))),"")</f>
        <v/>
      </c>
      <c r="F51" s="8" t="str">
        <f>IF(Table1[[#This Row],[Is Data Valid]]=TRUE,EXP(0.578+0.332*((Table1[[#This Row],[Gestation (days)]]+0.5)/7)-0.00354*((Table1[[#This Row],[Gestation (days)]]+0.5)/7)^2)*Table1[[#This Row],[BW40_3705]],"")</f>
        <v/>
      </c>
      <c r="G51" s="2" t="str">
        <f>IF(Table1[[#This Row],[Is Data Valid]]=TRUE,((Table1[[#This Row],[Birthweight (grams)]]/Table1[[#This Row],[BW_GA]])-1)/(Backend!$B$4/100*Table1[[#This Row],[BW40_3705]]),"")</f>
        <v/>
      </c>
      <c r="H51" s="2" t="str">
        <f>IF(Table1[[#This Row],[Is Data Valid]]=TRUE,((Table1[[#This Row],[Birthweight (grams)]]*0.9/Table1[[#This Row],[BW_GA]])-1)/(Backend!$B$4/100*Table1[[#This Row],[BW40_3705]]),"")</f>
        <v/>
      </c>
      <c r="I51" s="2" t="str">
        <f>IF(Table1[[#This Row],[Is Data Valid]]=TRUE,((Table1[[#This Row],[Birthweight (grams)]]*1.1/Table1[[#This Row],[BW_GA]])-1)/(Backend!$B$4/100*Table1[[#This Row],[BW40_3705]]),"")</f>
        <v/>
      </c>
      <c r="J51" s="2" t="str">
        <f>IF(Table1[[#This Row],[Is Data Valid]]=TRUE,_xlfn.NORM.S.DIST(Table1[[#This Row],[Birthweight Z-Score]],TRUE)*100,"")</f>
        <v/>
      </c>
      <c r="K51" s="2" t="str">
        <f>IF(Table1[[#This Row],[Is Data Valid]]=TRUE,_xlfn.NORM.S.DIST(Table1[[#This Row],[Birthweight Z-Score (BW-10%)]],TRUE)*100,"")</f>
        <v/>
      </c>
      <c r="L51" s="2" t="str">
        <f>IF(Table1[[#This Row],[Is Data Valid]]=TRUE,_xlfn.NORM.S.DIST(Table1[[#This Row],[Birthweight Z-Score (BW+10%)]],TRUE)*100,"")</f>
        <v/>
      </c>
    </row>
    <row r="52" spans="1:12" x14ac:dyDescent="0.35">
      <c r="A52" s="3"/>
      <c r="B52" s="2"/>
      <c r="C52" s="2"/>
      <c r="D52" s="2" t="b">
        <f>IF(AND(NOT(ISBLANK(Table1[[#This Row],[Fetal Sex (Male, Female or Unknown)]])),ISNUMBER(Table1[[#This Row],[Birthweight (grams)]]),ISNUMBER(Table1[[#This Row],[Gestation (days)]])),TRUE,FALSE)</f>
        <v>0</v>
      </c>
      <c r="E52" s="2" t="str">
        <f>IF(Table1[[#This Row],[Is Data Valid]]=TRUE,IF(Table1[[#This Row],[Fetal Sex (Male, Female or Unknown)]]="Male",Backend!$C$6,IF(Table1[[#This Row],[Fetal Sex (Male, Female or Unknown)]]="Female",Backend!$C$7,IF(Table1[[#This Row],[Fetal Sex (Male, Female or Unknown)]]="Unknown",Backend!$C$8,"Error"))),"")</f>
        <v/>
      </c>
      <c r="F52" s="8" t="str">
        <f>IF(Table1[[#This Row],[Is Data Valid]]=TRUE,EXP(0.578+0.332*((Table1[[#This Row],[Gestation (days)]]+0.5)/7)-0.00354*((Table1[[#This Row],[Gestation (days)]]+0.5)/7)^2)*Table1[[#This Row],[BW40_3705]],"")</f>
        <v/>
      </c>
      <c r="G52" s="2" t="str">
        <f>IF(Table1[[#This Row],[Is Data Valid]]=TRUE,((Table1[[#This Row],[Birthweight (grams)]]/Table1[[#This Row],[BW_GA]])-1)/(Backend!$B$4/100*Table1[[#This Row],[BW40_3705]]),"")</f>
        <v/>
      </c>
      <c r="H52" s="2" t="str">
        <f>IF(Table1[[#This Row],[Is Data Valid]]=TRUE,((Table1[[#This Row],[Birthweight (grams)]]*0.9/Table1[[#This Row],[BW_GA]])-1)/(Backend!$B$4/100*Table1[[#This Row],[BW40_3705]]),"")</f>
        <v/>
      </c>
      <c r="I52" s="2" t="str">
        <f>IF(Table1[[#This Row],[Is Data Valid]]=TRUE,((Table1[[#This Row],[Birthweight (grams)]]*1.1/Table1[[#This Row],[BW_GA]])-1)/(Backend!$B$4/100*Table1[[#This Row],[BW40_3705]]),"")</f>
        <v/>
      </c>
      <c r="J52" s="2" t="str">
        <f>IF(Table1[[#This Row],[Is Data Valid]]=TRUE,_xlfn.NORM.S.DIST(Table1[[#This Row],[Birthweight Z-Score]],TRUE)*100,"")</f>
        <v/>
      </c>
      <c r="K52" s="2" t="str">
        <f>IF(Table1[[#This Row],[Is Data Valid]]=TRUE,_xlfn.NORM.S.DIST(Table1[[#This Row],[Birthweight Z-Score (BW-10%)]],TRUE)*100,"")</f>
        <v/>
      </c>
      <c r="L52" s="2" t="str">
        <f>IF(Table1[[#This Row],[Is Data Valid]]=TRUE,_xlfn.NORM.S.DIST(Table1[[#This Row],[Birthweight Z-Score (BW+10%)]],TRUE)*100,"")</f>
        <v/>
      </c>
    </row>
    <row r="53" spans="1:12" x14ac:dyDescent="0.35">
      <c r="A53" s="3"/>
      <c r="B53" s="2"/>
      <c r="C53" s="2"/>
      <c r="D53" s="2" t="b">
        <f>IF(AND(NOT(ISBLANK(Table1[[#This Row],[Fetal Sex (Male, Female or Unknown)]])),ISNUMBER(Table1[[#This Row],[Birthweight (grams)]]),ISNUMBER(Table1[[#This Row],[Gestation (days)]])),TRUE,FALSE)</f>
        <v>0</v>
      </c>
      <c r="E53" s="2" t="str">
        <f>IF(Table1[[#This Row],[Is Data Valid]]=TRUE,IF(Table1[[#This Row],[Fetal Sex (Male, Female or Unknown)]]="Male",Backend!$C$6,IF(Table1[[#This Row],[Fetal Sex (Male, Female or Unknown)]]="Female",Backend!$C$7,IF(Table1[[#This Row],[Fetal Sex (Male, Female or Unknown)]]="Unknown",Backend!$C$8,"Error"))),"")</f>
        <v/>
      </c>
      <c r="F53" s="8" t="str">
        <f>IF(Table1[[#This Row],[Is Data Valid]]=TRUE,EXP(0.578+0.332*((Table1[[#This Row],[Gestation (days)]]+0.5)/7)-0.00354*((Table1[[#This Row],[Gestation (days)]]+0.5)/7)^2)*Table1[[#This Row],[BW40_3705]],"")</f>
        <v/>
      </c>
      <c r="G53" s="2" t="str">
        <f>IF(Table1[[#This Row],[Is Data Valid]]=TRUE,((Table1[[#This Row],[Birthweight (grams)]]/Table1[[#This Row],[BW_GA]])-1)/(Backend!$B$4/100*Table1[[#This Row],[BW40_3705]]),"")</f>
        <v/>
      </c>
      <c r="H53" s="2" t="str">
        <f>IF(Table1[[#This Row],[Is Data Valid]]=TRUE,((Table1[[#This Row],[Birthweight (grams)]]*0.9/Table1[[#This Row],[BW_GA]])-1)/(Backend!$B$4/100*Table1[[#This Row],[BW40_3705]]),"")</f>
        <v/>
      </c>
      <c r="I53" s="2" t="str">
        <f>IF(Table1[[#This Row],[Is Data Valid]]=TRUE,((Table1[[#This Row],[Birthweight (grams)]]*1.1/Table1[[#This Row],[BW_GA]])-1)/(Backend!$B$4/100*Table1[[#This Row],[BW40_3705]]),"")</f>
        <v/>
      </c>
      <c r="J53" s="2" t="str">
        <f>IF(Table1[[#This Row],[Is Data Valid]]=TRUE,_xlfn.NORM.S.DIST(Table1[[#This Row],[Birthweight Z-Score]],TRUE)*100,"")</f>
        <v/>
      </c>
      <c r="K53" s="2" t="str">
        <f>IF(Table1[[#This Row],[Is Data Valid]]=TRUE,_xlfn.NORM.S.DIST(Table1[[#This Row],[Birthweight Z-Score (BW-10%)]],TRUE)*100,"")</f>
        <v/>
      </c>
      <c r="L53" s="2" t="str">
        <f>IF(Table1[[#This Row],[Is Data Valid]]=TRUE,_xlfn.NORM.S.DIST(Table1[[#This Row],[Birthweight Z-Score (BW+10%)]],TRUE)*100,"")</f>
        <v/>
      </c>
    </row>
    <row r="54" spans="1:12" x14ac:dyDescent="0.35">
      <c r="A54" s="3"/>
      <c r="B54" s="2"/>
      <c r="C54" s="2"/>
      <c r="D54" s="2" t="b">
        <f>IF(AND(NOT(ISBLANK(Table1[[#This Row],[Fetal Sex (Male, Female or Unknown)]])),ISNUMBER(Table1[[#This Row],[Birthweight (grams)]]),ISNUMBER(Table1[[#This Row],[Gestation (days)]])),TRUE,FALSE)</f>
        <v>0</v>
      </c>
      <c r="E54" s="2" t="str">
        <f>IF(Table1[[#This Row],[Is Data Valid]]=TRUE,IF(Table1[[#This Row],[Fetal Sex (Male, Female or Unknown)]]="Male",Backend!$C$6,IF(Table1[[#This Row],[Fetal Sex (Male, Female or Unknown)]]="Female",Backend!$C$7,IF(Table1[[#This Row],[Fetal Sex (Male, Female or Unknown)]]="Unknown",Backend!$C$8,"Error"))),"")</f>
        <v/>
      </c>
      <c r="F54" s="8" t="str">
        <f>IF(Table1[[#This Row],[Is Data Valid]]=TRUE,EXP(0.578+0.332*((Table1[[#This Row],[Gestation (days)]]+0.5)/7)-0.00354*((Table1[[#This Row],[Gestation (days)]]+0.5)/7)^2)*Table1[[#This Row],[BW40_3705]],"")</f>
        <v/>
      </c>
      <c r="G54" s="2" t="str">
        <f>IF(Table1[[#This Row],[Is Data Valid]]=TRUE,((Table1[[#This Row],[Birthweight (grams)]]/Table1[[#This Row],[BW_GA]])-1)/(Backend!$B$4/100*Table1[[#This Row],[BW40_3705]]),"")</f>
        <v/>
      </c>
      <c r="H54" s="2" t="str">
        <f>IF(Table1[[#This Row],[Is Data Valid]]=TRUE,((Table1[[#This Row],[Birthweight (grams)]]*0.9/Table1[[#This Row],[BW_GA]])-1)/(Backend!$B$4/100*Table1[[#This Row],[BW40_3705]]),"")</f>
        <v/>
      </c>
      <c r="I54" s="2" t="str">
        <f>IF(Table1[[#This Row],[Is Data Valid]]=TRUE,((Table1[[#This Row],[Birthweight (grams)]]*1.1/Table1[[#This Row],[BW_GA]])-1)/(Backend!$B$4/100*Table1[[#This Row],[BW40_3705]]),"")</f>
        <v/>
      </c>
      <c r="J54" s="2" t="str">
        <f>IF(Table1[[#This Row],[Is Data Valid]]=TRUE,_xlfn.NORM.S.DIST(Table1[[#This Row],[Birthweight Z-Score]],TRUE)*100,"")</f>
        <v/>
      </c>
      <c r="K54" s="2" t="str">
        <f>IF(Table1[[#This Row],[Is Data Valid]]=TRUE,_xlfn.NORM.S.DIST(Table1[[#This Row],[Birthweight Z-Score (BW-10%)]],TRUE)*100,"")</f>
        <v/>
      </c>
      <c r="L54" s="2" t="str">
        <f>IF(Table1[[#This Row],[Is Data Valid]]=TRUE,_xlfn.NORM.S.DIST(Table1[[#This Row],[Birthweight Z-Score (BW+10%)]],TRUE)*100,"")</f>
        <v/>
      </c>
    </row>
    <row r="55" spans="1:12" x14ac:dyDescent="0.35">
      <c r="A55" s="3"/>
      <c r="B55" s="2"/>
      <c r="C55" s="2"/>
      <c r="D55" s="2" t="b">
        <f>IF(AND(NOT(ISBLANK(Table1[[#This Row],[Fetal Sex (Male, Female or Unknown)]])),ISNUMBER(Table1[[#This Row],[Birthweight (grams)]]),ISNUMBER(Table1[[#This Row],[Gestation (days)]])),TRUE,FALSE)</f>
        <v>0</v>
      </c>
      <c r="E55" s="2" t="str">
        <f>IF(Table1[[#This Row],[Is Data Valid]]=TRUE,IF(Table1[[#This Row],[Fetal Sex (Male, Female or Unknown)]]="Male",Backend!$C$6,IF(Table1[[#This Row],[Fetal Sex (Male, Female or Unknown)]]="Female",Backend!$C$7,IF(Table1[[#This Row],[Fetal Sex (Male, Female or Unknown)]]="Unknown",Backend!$C$8,"Error"))),"")</f>
        <v/>
      </c>
      <c r="F55" s="8" t="str">
        <f>IF(Table1[[#This Row],[Is Data Valid]]=TRUE,EXP(0.578+0.332*((Table1[[#This Row],[Gestation (days)]]+0.5)/7)-0.00354*((Table1[[#This Row],[Gestation (days)]]+0.5)/7)^2)*Table1[[#This Row],[BW40_3705]],"")</f>
        <v/>
      </c>
      <c r="G55" s="2" t="str">
        <f>IF(Table1[[#This Row],[Is Data Valid]]=TRUE,((Table1[[#This Row],[Birthweight (grams)]]/Table1[[#This Row],[BW_GA]])-1)/(Backend!$B$4/100*Table1[[#This Row],[BW40_3705]]),"")</f>
        <v/>
      </c>
      <c r="H55" s="2" t="str">
        <f>IF(Table1[[#This Row],[Is Data Valid]]=TRUE,((Table1[[#This Row],[Birthweight (grams)]]*0.9/Table1[[#This Row],[BW_GA]])-1)/(Backend!$B$4/100*Table1[[#This Row],[BW40_3705]]),"")</f>
        <v/>
      </c>
      <c r="I55" s="2" t="str">
        <f>IF(Table1[[#This Row],[Is Data Valid]]=TRUE,((Table1[[#This Row],[Birthweight (grams)]]*1.1/Table1[[#This Row],[BW_GA]])-1)/(Backend!$B$4/100*Table1[[#This Row],[BW40_3705]]),"")</f>
        <v/>
      </c>
      <c r="J55" s="2" t="str">
        <f>IF(Table1[[#This Row],[Is Data Valid]]=TRUE,_xlfn.NORM.S.DIST(Table1[[#This Row],[Birthweight Z-Score]],TRUE)*100,"")</f>
        <v/>
      </c>
      <c r="K55" s="2" t="str">
        <f>IF(Table1[[#This Row],[Is Data Valid]]=TRUE,_xlfn.NORM.S.DIST(Table1[[#This Row],[Birthweight Z-Score (BW-10%)]],TRUE)*100,"")</f>
        <v/>
      </c>
      <c r="L55" s="2" t="str">
        <f>IF(Table1[[#This Row],[Is Data Valid]]=TRUE,_xlfn.NORM.S.DIST(Table1[[#This Row],[Birthweight Z-Score (BW+10%)]],TRUE)*100,"")</f>
        <v/>
      </c>
    </row>
    <row r="56" spans="1:12" x14ac:dyDescent="0.35">
      <c r="A56" s="3"/>
      <c r="B56" s="2"/>
      <c r="C56" s="2"/>
      <c r="D56" s="2" t="b">
        <f>IF(AND(NOT(ISBLANK(Table1[[#This Row],[Fetal Sex (Male, Female or Unknown)]])),ISNUMBER(Table1[[#This Row],[Birthweight (grams)]]),ISNUMBER(Table1[[#This Row],[Gestation (days)]])),TRUE,FALSE)</f>
        <v>0</v>
      </c>
      <c r="E56" s="2" t="str">
        <f>IF(Table1[[#This Row],[Is Data Valid]]=TRUE,IF(Table1[[#This Row],[Fetal Sex (Male, Female or Unknown)]]="Male",Backend!$C$6,IF(Table1[[#This Row],[Fetal Sex (Male, Female or Unknown)]]="Female",Backend!$C$7,IF(Table1[[#This Row],[Fetal Sex (Male, Female or Unknown)]]="Unknown",Backend!$C$8,"Error"))),"")</f>
        <v/>
      </c>
      <c r="F56" s="8" t="str">
        <f>IF(Table1[[#This Row],[Is Data Valid]]=TRUE,EXP(0.578+0.332*((Table1[[#This Row],[Gestation (days)]]+0.5)/7)-0.00354*((Table1[[#This Row],[Gestation (days)]]+0.5)/7)^2)*Table1[[#This Row],[BW40_3705]],"")</f>
        <v/>
      </c>
      <c r="G56" s="2" t="str">
        <f>IF(Table1[[#This Row],[Is Data Valid]]=TRUE,((Table1[[#This Row],[Birthweight (grams)]]/Table1[[#This Row],[BW_GA]])-1)/(Backend!$B$4/100*Table1[[#This Row],[BW40_3705]]),"")</f>
        <v/>
      </c>
      <c r="H56" s="2" t="str">
        <f>IF(Table1[[#This Row],[Is Data Valid]]=TRUE,((Table1[[#This Row],[Birthweight (grams)]]*0.9/Table1[[#This Row],[BW_GA]])-1)/(Backend!$B$4/100*Table1[[#This Row],[BW40_3705]]),"")</f>
        <v/>
      </c>
      <c r="I56" s="2" t="str">
        <f>IF(Table1[[#This Row],[Is Data Valid]]=TRUE,((Table1[[#This Row],[Birthweight (grams)]]*1.1/Table1[[#This Row],[BW_GA]])-1)/(Backend!$B$4/100*Table1[[#This Row],[BW40_3705]]),"")</f>
        <v/>
      </c>
      <c r="J56" s="2" t="str">
        <f>IF(Table1[[#This Row],[Is Data Valid]]=TRUE,_xlfn.NORM.S.DIST(Table1[[#This Row],[Birthweight Z-Score]],TRUE)*100,"")</f>
        <v/>
      </c>
      <c r="K56" s="2" t="str">
        <f>IF(Table1[[#This Row],[Is Data Valid]]=TRUE,_xlfn.NORM.S.DIST(Table1[[#This Row],[Birthweight Z-Score (BW-10%)]],TRUE)*100,"")</f>
        <v/>
      </c>
      <c r="L56" s="2" t="str">
        <f>IF(Table1[[#This Row],[Is Data Valid]]=TRUE,_xlfn.NORM.S.DIST(Table1[[#This Row],[Birthweight Z-Score (BW+10%)]],TRUE)*100,"")</f>
        <v/>
      </c>
    </row>
    <row r="57" spans="1:12" x14ac:dyDescent="0.35">
      <c r="A57" s="3"/>
      <c r="B57" s="2"/>
      <c r="C57" s="2"/>
      <c r="D57" s="2" t="b">
        <f>IF(AND(NOT(ISBLANK(Table1[[#This Row],[Fetal Sex (Male, Female or Unknown)]])),ISNUMBER(Table1[[#This Row],[Birthweight (grams)]]),ISNUMBER(Table1[[#This Row],[Gestation (days)]])),TRUE,FALSE)</f>
        <v>0</v>
      </c>
      <c r="E57" s="2" t="str">
        <f>IF(Table1[[#This Row],[Is Data Valid]]=TRUE,IF(Table1[[#This Row],[Fetal Sex (Male, Female or Unknown)]]="Male",Backend!$C$6,IF(Table1[[#This Row],[Fetal Sex (Male, Female or Unknown)]]="Female",Backend!$C$7,IF(Table1[[#This Row],[Fetal Sex (Male, Female or Unknown)]]="Unknown",Backend!$C$8,"Error"))),"")</f>
        <v/>
      </c>
      <c r="F57" s="8" t="str">
        <f>IF(Table1[[#This Row],[Is Data Valid]]=TRUE,EXP(0.578+0.332*((Table1[[#This Row],[Gestation (days)]]+0.5)/7)-0.00354*((Table1[[#This Row],[Gestation (days)]]+0.5)/7)^2)*Table1[[#This Row],[BW40_3705]],"")</f>
        <v/>
      </c>
      <c r="G57" s="2" t="str">
        <f>IF(Table1[[#This Row],[Is Data Valid]]=TRUE,((Table1[[#This Row],[Birthweight (grams)]]/Table1[[#This Row],[BW_GA]])-1)/(Backend!$B$4/100*Table1[[#This Row],[BW40_3705]]),"")</f>
        <v/>
      </c>
      <c r="H57" s="2" t="str">
        <f>IF(Table1[[#This Row],[Is Data Valid]]=TRUE,((Table1[[#This Row],[Birthweight (grams)]]*0.9/Table1[[#This Row],[BW_GA]])-1)/(Backend!$B$4/100*Table1[[#This Row],[BW40_3705]]),"")</f>
        <v/>
      </c>
      <c r="I57" s="2" t="str">
        <f>IF(Table1[[#This Row],[Is Data Valid]]=TRUE,((Table1[[#This Row],[Birthweight (grams)]]*1.1/Table1[[#This Row],[BW_GA]])-1)/(Backend!$B$4/100*Table1[[#This Row],[BW40_3705]]),"")</f>
        <v/>
      </c>
      <c r="J57" s="2" t="str">
        <f>IF(Table1[[#This Row],[Is Data Valid]]=TRUE,_xlfn.NORM.S.DIST(Table1[[#This Row],[Birthweight Z-Score]],TRUE)*100,"")</f>
        <v/>
      </c>
      <c r="K57" s="2" t="str">
        <f>IF(Table1[[#This Row],[Is Data Valid]]=TRUE,_xlfn.NORM.S.DIST(Table1[[#This Row],[Birthweight Z-Score (BW-10%)]],TRUE)*100,"")</f>
        <v/>
      </c>
      <c r="L57" s="2" t="str">
        <f>IF(Table1[[#This Row],[Is Data Valid]]=TRUE,_xlfn.NORM.S.DIST(Table1[[#This Row],[Birthweight Z-Score (BW+10%)]],TRUE)*100,"")</f>
        <v/>
      </c>
    </row>
    <row r="58" spans="1:12" x14ac:dyDescent="0.35">
      <c r="A58" s="3"/>
      <c r="B58" s="2"/>
      <c r="C58" s="2"/>
      <c r="D58" s="2" t="b">
        <f>IF(AND(NOT(ISBLANK(Table1[[#This Row],[Fetal Sex (Male, Female or Unknown)]])),ISNUMBER(Table1[[#This Row],[Birthweight (grams)]]),ISNUMBER(Table1[[#This Row],[Gestation (days)]])),TRUE,FALSE)</f>
        <v>0</v>
      </c>
      <c r="E58" s="2" t="str">
        <f>IF(Table1[[#This Row],[Is Data Valid]]=TRUE,IF(Table1[[#This Row],[Fetal Sex (Male, Female or Unknown)]]="Male",Backend!$C$6,IF(Table1[[#This Row],[Fetal Sex (Male, Female or Unknown)]]="Female",Backend!$C$7,IF(Table1[[#This Row],[Fetal Sex (Male, Female or Unknown)]]="Unknown",Backend!$C$8,"Error"))),"")</f>
        <v/>
      </c>
      <c r="F58" s="8" t="str">
        <f>IF(Table1[[#This Row],[Is Data Valid]]=TRUE,EXP(0.578+0.332*((Table1[[#This Row],[Gestation (days)]]+0.5)/7)-0.00354*((Table1[[#This Row],[Gestation (days)]]+0.5)/7)^2)*Table1[[#This Row],[BW40_3705]],"")</f>
        <v/>
      </c>
      <c r="G58" s="2" t="str">
        <f>IF(Table1[[#This Row],[Is Data Valid]]=TRUE,((Table1[[#This Row],[Birthweight (grams)]]/Table1[[#This Row],[BW_GA]])-1)/(Backend!$B$4/100*Table1[[#This Row],[BW40_3705]]),"")</f>
        <v/>
      </c>
      <c r="H58" s="2" t="str">
        <f>IF(Table1[[#This Row],[Is Data Valid]]=TRUE,((Table1[[#This Row],[Birthweight (grams)]]*0.9/Table1[[#This Row],[BW_GA]])-1)/(Backend!$B$4/100*Table1[[#This Row],[BW40_3705]]),"")</f>
        <v/>
      </c>
      <c r="I58" s="2" t="str">
        <f>IF(Table1[[#This Row],[Is Data Valid]]=TRUE,((Table1[[#This Row],[Birthweight (grams)]]*1.1/Table1[[#This Row],[BW_GA]])-1)/(Backend!$B$4/100*Table1[[#This Row],[BW40_3705]]),"")</f>
        <v/>
      </c>
      <c r="J58" s="2" t="str">
        <f>IF(Table1[[#This Row],[Is Data Valid]]=TRUE,_xlfn.NORM.S.DIST(Table1[[#This Row],[Birthweight Z-Score]],TRUE)*100,"")</f>
        <v/>
      </c>
      <c r="K58" s="2" t="str">
        <f>IF(Table1[[#This Row],[Is Data Valid]]=TRUE,_xlfn.NORM.S.DIST(Table1[[#This Row],[Birthweight Z-Score (BW-10%)]],TRUE)*100,"")</f>
        <v/>
      </c>
      <c r="L58" s="2" t="str">
        <f>IF(Table1[[#This Row],[Is Data Valid]]=TRUE,_xlfn.NORM.S.DIST(Table1[[#This Row],[Birthweight Z-Score (BW+10%)]],TRUE)*100,"")</f>
        <v/>
      </c>
    </row>
    <row r="59" spans="1:12" x14ac:dyDescent="0.35">
      <c r="A59" s="3"/>
      <c r="B59" s="2"/>
      <c r="C59" s="2"/>
      <c r="D59" s="2" t="b">
        <f>IF(AND(NOT(ISBLANK(Table1[[#This Row],[Fetal Sex (Male, Female or Unknown)]])),ISNUMBER(Table1[[#This Row],[Birthweight (grams)]]),ISNUMBER(Table1[[#This Row],[Gestation (days)]])),TRUE,FALSE)</f>
        <v>0</v>
      </c>
      <c r="E59" s="2" t="str">
        <f>IF(Table1[[#This Row],[Is Data Valid]]=TRUE,IF(Table1[[#This Row],[Fetal Sex (Male, Female or Unknown)]]="Male",Backend!$C$6,IF(Table1[[#This Row],[Fetal Sex (Male, Female or Unknown)]]="Female",Backend!$C$7,IF(Table1[[#This Row],[Fetal Sex (Male, Female or Unknown)]]="Unknown",Backend!$C$8,"Error"))),"")</f>
        <v/>
      </c>
      <c r="F59" s="8" t="str">
        <f>IF(Table1[[#This Row],[Is Data Valid]]=TRUE,EXP(0.578+0.332*((Table1[[#This Row],[Gestation (days)]]+0.5)/7)-0.00354*((Table1[[#This Row],[Gestation (days)]]+0.5)/7)^2)*Table1[[#This Row],[BW40_3705]],"")</f>
        <v/>
      </c>
      <c r="G59" s="2" t="str">
        <f>IF(Table1[[#This Row],[Is Data Valid]]=TRUE,((Table1[[#This Row],[Birthweight (grams)]]/Table1[[#This Row],[BW_GA]])-1)/(Backend!$B$4/100*Table1[[#This Row],[BW40_3705]]),"")</f>
        <v/>
      </c>
      <c r="H59" s="2" t="str">
        <f>IF(Table1[[#This Row],[Is Data Valid]]=TRUE,((Table1[[#This Row],[Birthweight (grams)]]*0.9/Table1[[#This Row],[BW_GA]])-1)/(Backend!$B$4/100*Table1[[#This Row],[BW40_3705]]),"")</f>
        <v/>
      </c>
      <c r="I59" s="2" t="str">
        <f>IF(Table1[[#This Row],[Is Data Valid]]=TRUE,((Table1[[#This Row],[Birthweight (grams)]]*1.1/Table1[[#This Row],[BW_GA]])-1)/(Backend!$B$4/100*Table1[[#This Row],[BW40_3705]]),"")</f>
        <v/>
      </c>
      <c r="J59" s="2" t="str">
        <f>IF(Table1[[#This Row],[Is Data Valid]]=TRUE,_xlfn.NORM.S.DIST(Table1[[#This Row],[Birthweight Z-Score]],TRUE)*100,"")</f>
        <v/>
      </c>
      <c r="K59" s="2" t="str">
        <f>IF(Table1[[#This Row],[Is Data Valid]]=TRUE,_xlfn.NORM.S.DIST(Table1[[#This Row],[Birthweight Z-Score (BW-10%)]],TRUE)*100,"")</f>
        <v/>
      </c>
      <c r="L59" s="2" t="str">
        <f>IF(Table1[[#This Row],[Is Data Valid]]=TRUE,_xlfn.NORM.S.DIST(Table1[[#This Row],[Birthweight Z-Score (BW+10%)]],TRUE)*100,"")</f>
        <v/>
      </c>
    </row>
    <row r="60" spans="1:12" x14ac:dyDescent="0.35">
      <c r="A60" s="3"/>
      <c r="B60" s="2"/>
      <c r="C60" s="2"/>
      <c r="D60" s="2" t="b">
        <f>IF(AND(NOT(ISBLANK(Table1[[#This Row],[Fetal Sex (Male, Female or Unknown)]])),ISNUMBER(Table1[[#This Row],[Birthweight (grams)]]),ISNUMBER(Table1[[#This Row],[Gestation (days)]])),TRUE,FALSE)</f>
        <v>0</v>
      </c>
      <c r="E60" s="2" t="str">
        <f>IF(Table1[[#This Row],[Is Data Valid]]=TRUE,IF(Table1[[#This Row],[Fetal Sex (Male, Female or Unknown)]]="Male",Backend!$C$6,IF(Table1[[#This Row],[Fetal Sex (Male, Female or Unknown)]]="Female",Backend!$C$7,IF(Table1[[#This Row],[Fetal Sex (Male, Female or Unknown)]]="Unknown",Backend!$C$8,"Error"))),"")</f>
        <v/>
      </c>
      <c r="F60" s="8" t="str">
        <f>IF(Table1[[#This Row],[Is Data Valid]]=TRUE,EXP(0.578+0.332*((Table1[[#This Row],[Gestation (days)]]+0.5)/7)-0.00354*((Table1[[#This Row],[Gestation (days)]]+0.5)/7)^2)*Table1[[#This Row],[BW40_3705]],"")</f>
        <v/>
      </c>
      <c r="G60" s="2" t="str">
        <f>IF(Table1[[#This Row],[Is Data Valid]]=TRUE,((Table1[[#This Row],[Birthweight (grams)]]/Table1[[#This Row],[BW_GA]])-1)/(Backend!$B$4/100*Table1[[#This Row],[BW40_3705]]),"")</f>
        <v/>
      </c>
      <c r="H60" s="2" t="str">
        <f>IF(Table1[[#This Row],[Is Data Valid]]=TRUE,((Table1[[#This Row],[Birthweight (grams)]]*0.9/Table1[[#This Row],[BW_GA]])-1)/(Backend!$B$4/100*Table1[[#This Row],[BW40_3705]]),"")</f>
        <v/>
      </c>
      <c r="I60" s="2" t="str">
        <f>IF(Table1[[#This Row],[Is Data Valid]]=TRUE,((Table1[[#This Row],[Birthweight (grams)]]*1.1/Table1[[#This Row],[BW_GA]])-1)/(Backend!$B$4/100*Table1[[#This Row],[BW40_3705]]),"")</f>
        <v/>
      </c>
      <c r="J60" s="2" t="str">
        <f>IF(Table1[[#This Row],[Is Data Valid]]=TRUE,_xlfn.NORM.S.DIST(Table1[[#This Row],[Birthweight Z-Score]],TRUE)*100,"")</f>
        <v/>
      </c>
      <c r="K60" s="2" t="str">
        <f>IF(Table1[[#This Row],[Is Data Valid]]=TRUE,_xlfn.NORM.S.DIST(Table1[[#This Row],[Birthweight Z-Score (BW-10%)]],TRUE)*100,"")</f>
        <v/>
      </c>
      <c r="L60" s="2" t="str">
        <f>IF(Table1[[#This Row],[Is Data Valid]]=TRUE,_xlfn.NORM.S.DIST(Table1[[#This Row],[Birthweight Z-Score (BW+10%)]],TRUE)*100,"")</f>
        <v/>
      </c>
    </row>
    <row r="61" spans="1:12" x14ac:dyDescent="0.35">
      <c r="A61" s="3"/>
      <c r="B61" s="2"/>
      <c r="C61" s="2"/>
      <c r="D61" s="2" t="b">
        <f>IF(AND(NOT(ISBLANK(Table1[[#This Row],[Fetal Sex (Male, Female or Unknown)]])),ISNUMBER(Table1[[#This Row],[Birthweight (grams)]]),ISNUMBER(Table1[[#This Row],[Gestation (days)]])),TRUE,FALSE)</f>
        <v>0</v>
      </c>
      <c r="E61" s="2" t="str">
        <f>IF(Table1[[#This Row],[Is Data Valid]]=TRUE,IF(Table1[[#This Row],[Fetal Sex (Male, Female or Unknown)]]="Male",Backend!$C$6,IF(Table1[[#This Row],[Fetal Sex (Male, Female or Unknown)]]="Female",Backend!$C$7,IF(Table1[[#This Row],[Fetal Sex (Male, Female or Unknown)]]="Unknown",Backend!$C$8,"Error"))),"")</f>
        <v/>
      </c>
      <c r="F61" s="8" t="str">
        <f>IF(Table1[[#This Row],[Is Data Valid]]=TRUE,EXP(0.578+0.332*((Table1[[#This Row],[Gestation (days)]]+0.5)/7)-0.00354*((Table1[[#This Row],[Gestation (days)]]+0.5)/7)^2)*Table1[[#This Row],[BW40_3705]],"")</f>
        <v/>
      </c>
      <c r="G61" s="2" t="str">
        <f>IF(Table1[[#This Row],[Is Data Valid]]=TRUE,((Table1[[#This Row],[Birthweight (grams)]]/Table1[[#This Row],[BW_GA]])-1)/(Backend!$B$4/100*Table1[[#This Row],[BW40_3705]]),"")</f>
        <v/>
      </c>
      <c r="H61" s="2" t="str">
        <f>IF(Table1[[#This Row],[Is Data Valid]]=TRUE,((Table1[[#This Row],[Birthweight (grams)]]*0.9/Table1[[#This Row],[BW_GA]])-1)/(Backend!$B$4/100*Table1[[#This Row],[BW40_3705]]),"")</f>
        <v/>
      </c>
      <c r="I61" s="2" t="str">
        <f>IF(Table1[[#This Row],[Is Data Valid]]=TRUE,((Table1[[#This Row],[Birthweight (grams)]]*1.1/Table1[[#This Row],[BW_GA]])-1)/(Backend!$B$4/100*Table1[[#This Row],[BW40_3705]]),"")</f>
        <v/>
      </c>
      <c r="J61" s="2" t="str">
        <f>IF(Table1[[#This Row],[Is Data Valid]]=TRUE,_xlfn.NORM.S.DIST(Table1[[#This Row],[Birthweight Z-Score]],TRUE)*100,"")</f>
        <v/>
      </c>
      <c r="K61" s="2" t="str">
        <f>IF(Table1[[#This Row],[Is Data Valid]]=TRUE,_xlfn.NORM.S.DIST(Table1[[#This Row],[Birthweight Z-Score (BW-10%)]],TRUE)*100,"")</f>
        <v/>
      </c>
      <c r="L61" s="2" t="str">
        <f>IF(Table1[[#This Row],[Is Data Valid]]=TRUE,_xlfn.NORM.S.DIST(Table1[[#This Row],[Birthweight Z-Score (BW+10%)]],TRUE)*100,"")</f>
        <v/>
      </c>
    </row>
    <row r="62" spans="1:12" x14ac:dyDescent="0.35">
      <c r="A62" s="3"/>
      <c r="B62" s="2"/>
      <c r="C62" s="2"/>
      <c r="D62" s="2" t="b">
        <f>IF(AND(NOT(ISBLANK(Table1[[#This Row],[Fetal Sex (Male, Female or Unknown)]])),ISNUMBER(Table1[[#This Row],[Birthweight (grams)]]),ISNUMBER(Table1[[#This Row],[Gestation (days)]])),TRUE,FALSE)</f>
        <v>0</v>
      </c>
      <c r="E62" s="2" t="str">
        <f>IF(Table1[[#This Row],[Is Data Valid]]=TRUE,IF(Table1[[#This Row],[Fetal Sex (Male, Female or Unknown)]]="Male",Backend!$C$6,IF(Table1[[#This Row],[Fetal Sex (Male, Female or Unknown)]]="Female",Backend!$C$7,IF(Table1[[#This Row],[Fetal Sex (Male, Female or Unknown)]]="Unknown",Backend!$C$8,"Error"))),"")</f>
        <v/>
      </c>
      <c r="F62" s="8" t="str">
        <f>IF(Table1[[#This Row],[Is Data Valid]]=TRUE,EXP(0.578+0.332*((Table1[[#This Row],[Gestation (days)]]+0.5)/7)-0.00354*((Table1[[#This Row],[Gestation (days)]]+0.5)/7)^2)*Table1[[#This Row],[BW40_3705]],"")</f>
        <v/>
      </c>
      <c r="G62" s="2" t="str">
        <f>IF(Table1[[#This Row],[Is Data Valid]]=TRUE,((Table1[[#This Row],[Birthweight (grams)]]/Table1[[#This Row],[BW_GA]])-1)/(Backend!$B$4/100*Table1[[#This Row],[BW40_3705]]),"")</f>
        <v/>
      </c>
      <c r="H62" s="2" t="str">
        <f>IF(Table1[[#This Row],[Is Data Valid]]=TRUE,((Table1[[#This Row],[Birthweight (grams)]]*0.9/Table1[[#This Row],[BW_GA]])-1)/(Backend!$B$4/100*Table1[[#This Row],[BW40_3705]]),"")</f>
        <v/>
      </c>
      <c r="I62" s="2" t="str">
        <f>IF(Table1[[#This Row],[Is Data Valid]]=TRUE,((Table1[[#This Row],[Birthweight (grams)]]*1.1/Table1[[#This Row],[BW_GA]])-1)/(Backend!$B$4/100*Table1[[#This Row],[BW40_3705]]),"")</f>
        <v/>
      </c>
      <c r="J62" s="2" t="str">
        <f>IF(Table1[[#This Row],[Is Data Valid]]=TRUE,_xlfn.NORM.S.DIST(Table1[[#This Row],[Birthweight Z-Score]],TRUE)*100,"")</f>
        <v/>
      </c>
      <c r="K62" s="2" t="str">
        <f>IF(Table1[[#This Row],[Is Data Valid]]=TRUE,_xlfn.NORM.S.DIST(Table1[[#This Row],[Birthweight Z-Score (BW-10%)]],TRUE)*100,"")</f>
        <v/>
      </c>
      <c r="L62" s="2" t="str">
        <f>IF(Table1[[#This Row],[Is Data Valid]]=TRUE,_xlfn.NORM.S.DIST(Table1[[#This Row],[Birthweight Z-Score (BW+10%)]],TRUE)*100,"")</f>
        <v/>
      </c>
    </row>
    <row r="63" spans="1:12" x14ac:dyDescent="0.35">
      <c r="A63" s="3"/>
      <c r="B63" s="2"/>
      <c r="C63" s="2"/>
      <c r="D63" s="2" t="b">
        <f>IF(AND(NOT(ISBLANK(Table1[[#This Row],[Fetal Sex (Male, Female or Unknown)]])),ISNUMBER(Table1[[#This Row],[Birthweight (grams)]]),ISNUMBER(Table1[[#This Row],[Gestation (days)]])),TRUE,FALSE)</f>
        <v>0</v>
      </c>
      <c r="E63" s="2" t="str">
        <f>IF(Table1[[#This Row],[Is Data Valid]]=TRUE,IF(Table1[[#This Row],[Fetal Sex (Male, Female or Unknown)]]="Male",Backend!$C$6,IF(Table1[[#This Row],[Fetal Sex (Male, Female or Unknown)]]="Female",Backend!$C$7,IF(Table1[[#This Row],[Fetal Sex (Male, Female or Unknown)]]="Unknown",Backend!$C$8,"Error"))),"")</f>
        <v/>
      </c>
      <c r="F63" s="8" t="str">
        <f>IF(Table1[[#This Row],[Is Data Valid]]=TRUE,EXP(0.578+0.332*((Table1[[#This Row],[Gestation (days)]]+0.5)/7)-0.00354*((Table1[[#This Row],[Gestation (days)]]+0.5)/7)^2)*Table1[[#This Row],[BW40_3705]],"")</f>
        <v/>
      </c>
      <c r="G63" s="2" t="str">
        <f>IF(Table1[[#This Row],[Is Data Valid]]=TRUE,((Table1[[#This Row],[Birthweight (grams)]]/Table1[[#This Row],[BW_GA]])-1)/(Backend!$B$4/100*Table1[[#This Row],[BW40_3705]]),"")</f>
        <v/>
      </c>
      <c r="H63" s="2" t="str">
        <f>IF(Table1[[#This Row],[Is Data Valid]]=TRUE,((Table1[[#This Row],[Birthweight (grams)]]*0.9/Table1[[#This Row],[BW_GA]])-1)/(Backend!$B$4/100*Table1[[#This Row],[BW40_3705]]),"")</f>
        <v/>
      </c>
      <c r="I63" s="2" t="str">
        <f>IF(Table1[[#This Row],[Is Data Valid]]=TRUE,((Table1[[#This Row],[Birthweight (grams)]]*1.1/Table1[[#This Row],[BW_GA]])-1)/(Backend!$B$4/100*Table1[[#This Row],[BW40_3705]]),"")</f>
        <v/>
      </c>
      <c r="J63" s="2" t="str">
        <f>IF(Table1[[#This Row],[Is Data Valid]]=TRUE,_xlfn.NORM.S.DIST(Table1[[#This Row],[Birthweight Z-Score]],TRUE)*100,"")</f>
        <v/>
      </c>
      <c r="K63" s="2" t="str">
        <f>IF(Table1[[#This Row],[Is Data Valid]]=TRUE,_xlfn.NORM.S.DIST(Table1[[#This Row],[Birthweight Z-Score (BW-10%)]],TRUE)*100,"")</f>
        <v/>
      </c>
      <c r="L63" s="2" t="str">
        <f>IF(Table1[[#This Row],[Is Data Valid]]=TRUE,_xlfn.NORM.S.DIST(Table1[[#This Row],[Birthweight Z-Score (BW+10%)]],TRUE)*100,"")</f>
        <v/>
      </c>
    </row>
    <row r="64" spans="1:12" x14ac:dyDescent="0.35">
      <c r="A64" s="3"/>
      <c r="B64" s="2"/>
      <c r="C64" s="2"/>
      <c r="D64" s="2" t="b">
        <f>IF(AND(NOT(ISBLANK(Table1[[#This Row],[Fetal Sex (Male, Female or Unknown)]])),ISNUMBER(Table1[[#This Row],[Birthweight (grams)]]),ISNUMBER(Table1[[#This Row],[Gestation (days)]])),TRUE,FALSE)</f>
        <v>0</v>
      </c>
      <c r="E64" s="2" t="str">
        <f>IF(Table1[[#This Row],[Is Data Valid]]=TRUE,IF(Table1[[#This Row],[Fetal Sex (Male, Female or Unknown)]]="Male",Backend!$C$6,IF(Table1[[#This Row],[Fetal Sex (Male, Female or Unknown)]]="Female",Backend!$C$7,IF(Table1[[#This Row],[Fetal Sex (Male, Female or Unknown)]]="Unknown",Backend!$C$8,"Error"))),"")</f>
        <v/>
      </c>
      <c r="F64" s="8" t="str">
        <f>IF(Table1[[#This Row],[Is Data Valid]]=TRUE,EXP(0.578+0.332*((Table1[[#This Row],[Gestation (days)]]+0.5)/7)-0.00354*((Table1[[#This Row],[Gestation (days)]]+0.5)/7)^2)*Table1[[#This Row],[BW40_3705]],"")</f>
        <v/>
      </c>
      <c r="G64" s="2" t="str">
        <f>IF(Table1[[#This Row],[Is Data Valid]]=TRUE,((Table1[[#This Row],[Birthweight (grams)]]/Table1[[#This Row],[BW_GA]])-1)/(Backend!$B$4/100*Table1[[#This Row],[BW40_3705]]),"")</f>
        <v/>
      </c>
      <c r="H64" s="2" t="str">
        <f>IF(Table1[[#This Row],[Is Data Valid]]=TRUE,((Table1[[#This Row],[Birthweight (grams)]]*0.9/Table1[[#This Row],[BW_GA]])-1)/(Backend!$B$4/100*Table1[[#This Row],[BW40_3705]]),"")</f>
        <v/>
      </c>
      <c r="I64" s="2" t="str">
        <f>IF(Table1[[#This Row],[Is Data Valid]]=TRUE,((Table1[[#This Row],[Birthweight (grams)]]*1.1/Table1[[#This Row],[BW_GA]])-1)/(Backend!$B$4/100*Table1[[#This Row],[BW40_3705]]),"")</f>
        <v/>
      </c>
      <c r="J64" s="2" t="str">
        <f>IF(Table1[[#This Row],[Is Data Valid]]=TRUE,_xlfn.NORM.S.DIST(Table1[[#This Row],[Birthweight Z-Score]],TRUE)*100,"")</f>
        <v/>
      </c>
      <c r="K64" s="2" t="str">
        <f>IF(Table1[[#This Row],[Is Data Valid]]=TRUE,_xlfn.NORM.S.DIST(Table1[[#This Row],[Birthweight Z-Score (BW-10%)]],TRUE)*100,"")</f>
        <v/>
      </c>
      <c r="L64" s="2" t="str">
        <f>IF(Table1[[#This Row],[Is Data Valid]]=TRUE,_xlfn.NORM.S.DIST(Table1[[#This Row],[Birthweight Z-Score (BW+10%)]],TRUE)*100,"")</f>
        <v/>
      </c>
    </row>
    <row r="65" spans="1:12" x14ac:dyDescent="0.35">
      <c r="A65" s="3"/>
      <c r="B65" s="2"/>
      <c r="C65" s="2"/>
      <c r="D65" s="2" t="b">
        <f>IF(AND(NOT(ISBLANK(Table1[[#This Row],[Fetal Sex (Male, Female or Unknown)]])),ISNUMBER(Table1[[#This Row],[Birthweight (grams)]]),ISNUMBER(Table1[[#This Row],[Gestation (days)]])),TRUE,FALSE)</f>
        <v>0</v>
      </c>
      <c r="E65" s="2" t="str">
        <f>IF(Table1[[#This Row],[Is Data Valid]]=TRUE,IF(Table1[[#This Row],[Fetal Sex (Male, Female or Unknown)]]="Male",Backend!$C$6,IF(Table1[[#This Row],[Fetal Sex (Male, Female or Unknown)]]="Female",Backend!$C$7,IF(Table1[[#This Row],[Fetal Sex (Male, Female or Unknown)]]="Unknown",Backend!$C$8,"Error"))),"")</f>
        <v/>
      </c>
      <c r="F65" s="8" t="str">
        <f>IF(Table1[[#This Row],[Is Data Valid]]=TRUE,EXP(0.578+0.332*((Table1[[#This Row],[Gestation (days)]]+0.5)/7)-0.00354*((Table1[[#This Row],[Gestation (days)]]+0.5)/7)^2)*Table1[[#This Row],[BW40_3705]],"")</f>
        <v/>
      </c>
      <c r="G65" s="2" t="str">
        <f>IF(Table1[[#This Row],[Is Data Valid]]=TRUE,((Table1[[#This Row],[Birthweight (grams)]]/Table1[[#This Row],[BW_GA]])-1)/(Backend!$B$4/100*Table1[[#This Row],[BW40_3705]]),"")</f>
        <v/>
      </c>
      <c r="H65" s="2" t="str">
        <f>IF(Table1[[#This Row],[Is Data Valid]]=TRUE,((Table1[[#This Row],[Birthweight (grams)]]*0.9/Table1[[#This Row],[BW_GA]])-1)/(Backend!$B$4/100*Table1[[#This Row],[BW40_3705]]),"")</f>
        <v/>
      </c>
      <c r="I65" s="2" t="str">
        <f>IF(Table1[[#This Row],[Is Data Valid]]=TRUE,((Table1[[#This Row],[Birthweight (grams)]]*1.1/Table1[[#This Row],[BW_GA]])-1)/(Backend!$B$4/100*Table1[[#This Row],[BW40_3705]]),"")</f>
        <v/>
      </c>
      <c r="J65" s="2" t="str">
        <f>IF(Table1[[#This Row],[Is Data Valid]]=TRUE,_xlfn.NORM.S.DIST(Table1[[#This Row],[Birthweight Z-Score]],TRUE)*100,"")</f>
        <v/>
      </c>
      <c r="K65" s="2" t="str">
        <f>IF(Table1[[#This Row],[Is Data Valid]]=TRUE,_xlfn.NORM.S.DIST(Table1[[#This Row],[Birthweight Z-Score (BW-10%)]],TRUE)*100,"")</f>
        <v/>
      </c>
      <c r="L65" s="2" t="str">
        <f>IF(Table1[[#This Row],[Is Data Valid]]=TRUE,_xlfn.NORM.S.DIST(Table1[[#This Row],[Birthweight Z-Score (BW+10%)]],TRUE)*100,"")</f>
        <v/>
      </c>
    </row>
    <row r="66" spans="1:12" x14ac:dyDescent="0.35">
      <c r="A66" s="3"/>
      <c r="B66" s="2"/>
      <c r="C66" s="2"/>
      <c r="D66" s="2" t="b">
        <f>IF(AND(NOT(ISBLANK(Table1[[#This Row],[Fetal Sex (Male, Female or Unknown)]])),ISNUMBER(Table1[[#This Row],[Birthweight (grams)]]),ISNUMBER(Table1[[#This Row],[Gestation (days)]])),TRUE,FALSE)</f>
        <v>0</v>
      </c>
      <c r="E66" s="2" t="str">
        <f>IF(Table1[[#This Row],[Is Data Valid]]=TRUE,IF(Table1[[#This Row],[Fetal Sex (Male, Female or Unknown)]]="Male",Backend!$C$6,IF(Table1[[#This Row],[Fetal Sex (Male, Female or Unknown)]]="Female",Backend!$C$7,IF(Table1[[#This Row],[Fetal Sex (Male, Female or Unknown)]]="Unknown",Backend!$C$8,"Error"))),"")</f>
        <v/>
      </c>
      <c r="F66" s="8" t="str">
        <f>IF(Table1[[#This Row],[Is Data Valid]]=TRUE,EXP(0.578+0.332*((Table1[[#This Row],[Gestation (days)]]+0.5)/7)-0.00354*((Table1[[#This Row],[Gestation (days)]]+0.5)/7)^2)*Table1[[#This Row],[BW40_3705]],"")</f>
        <v/>
      </c>
      <c r="G66" s="2" t="str">
        <f>IF(Table1[[#This Row],[Is Data Valid]]=TRUE,((Table1[[#This Row],[Birthweight (grams)]]/Table1[[#This Row],[BW_GA]])-1)/(Backend!$B$4/100*Table1[[#This Row],[BW40_3705]]),"")</f>
        <v/>
      </c>
      <c r="H66" s="2" t="str">
        <f>IF(Table1[[#This Row],[Is Data Valid]]=TRUE,((Table1[[#This Row],[Birthweight (grams)]]*0.9/Table1[[#This Row],[BW_GA]])-1)/(Backend!$B$4/100*Table1[[#This Row],[BW40_3705]]),"")</f>
        <v/>
      </c>
      <c r="I66" s="2" t="str">
        <f>IF(Table1[[#This Row],[Is Data Valid]]=TRUE,((Table1[[#This Row],[Birthweight (grams)]]*1.1/Table1[[#This Row],[BW_GA]])-1)/(Backend!$B$4/100*Table1[[#This Row],[BW40_3705]]),"")</f>
        <v/>
      </c>
      <c r="J66" s="2" t="str">
        <f>IF(Table1[[#This Row],[Is Data Valid]]=TRUE,_xlfn.NORM.S.DIST(Table1[[#This Row],[Birthweight Z-Score]],TRUE)*100,"")</f>
        <v/>
      </c>
      <c r="K66" s="2" t="str">
        <f>IF(Table1[[#This Row],[Is Data Valid]]=TRUE,_xlfn.NORM.S.DIST(Table1[[#This Row],[Birthweight Z-Score (BW-10%)]],TRUE)*100,"")</f>
        <v/>
      </c>
      <c r="L66" s="2" t="str">
        <f>IF(Table1[[#This Row],[Is Data Valid]]=TRUE,_xlfn.NORM.S.DIST(Table1[[#This Row],[Birthweight Z-Score (BW+10%)]],TRUE)*100,"")</f>
        <v/>
      </c>
    </row>
    <row r="67" spans="1:12" x14ac:dyDescent="0.35">
      <c r="A67" s="3"/>
      <c r="B67" s="2"/>
      <c r="C67" s="2"/>
      <c r="D67" s="2" t="b">
        <f>IF(AND(NOT(ISBLANK(Table1[[#This Row],[Fetal Sex (Male, Female or Unknown)]])),ISNUMBER(Table1[[#This Row],[Birthweight (grams)]]),ISNUMBER(Table1[[#This Row],[Gestation (days)]])),TRUE,FALSE)</f>
        <v>0</v>
      </c>
      <c r="E67" s="2" t="str">
        <f>IF(Table1[[#This Row],[Is Data Valid]]=TRUE,IF(Table1[[#This Row],[Fetal Sex (Male, Female or Unknown)]]="Male",Backend!$C$6,IF(Table1[[#This Row],[Fetal Sex (Male, Female or Unknown)]]="Female",Backend!$C$7,IF(Table1[[#This Row],[Fetal Sex (Male, Female or Unknown)]]="Unknown",Backend!$C$8,"Error"))),"")</f>
        <v/>
      </c>
      <c r="F67" s="8" t="str">
        <f>IF(Table1[[#This Row],[Is Data Valid]]=TRUE,EXP(0.578+0.332*((Table1[[#This Row],[Gestation (days)]]+0.5)/7)-0.00354*((Table1[[#This Row],[Gestation (days)]]+0.5)/7)^2)*Table1[[#This Row],[BW40_3705]],"")</f>
        <v/>
      </c>
      <c r="G67" s="2" t="str">
        <f>IF(Table1[[#This Row],[Is Data Valid]]=TRUE,((Table1[[#This Row],[Birthweight (grams)]]/Table1[[#This Row],[BW_GA]])-1)/(Backend!$B$4/100*Table1[[#This Row],[BW40_3705]]),"")</f>
        <v/>
      </c>
      <c r="H67" s="2" t="str">
        <f>IF(Table1[[#This Row],[Is Data Valid]]=TRUE,((Table1[[#This Row],[Birthweight (grams)]]*0.9/Table1[[#This Row],[BW_GA]])-1)/(Backend!$B$4/100*Table1[[#This Row],[BW40_3705]]),"")</f>
        <v/>
      </c>
      <c r="I67" s="2" t="str">
        <f>IF(Table1[[#This Row],[Is Data Valid]]=TRUE,((Table1[[#This Row],[Birthweight (grams)]]*1.1/Table1[[#This Row],[BW_GA]])-1)/(Backend!$B$4/100*Table1[[#This Row],[BW40_3705]]),"")</f>
        <v/>
      </c>
      <c r="J67" s="2" t="str">
        <f>IF(Table1[[#This Row],[Is Data Valid]]=TRUE,_xlfn.NORM.S.DIST(Table1[[#This Row],[Birthweight Z-Score]],TRUE)*100,"")</f>
        <v/>
      </c>
      <c r="K67" s="2" t="str">
        <f>IF(Table1[[#This Row],[Is Data Valid]]=TRUE,_xlfn.NORM.S.DIST(Table1[[#This Row],[Birthweight Z-Score (BW-10%)]],TRUE)*100,"")</f>
        <v/>
      </c>
      <c r="L67" s="2" t="str">
        <f>IF(Table1[[#This Row],[Is Data Valid]]=TRUE,_xlfn.NORM.S.DIST(Table1[[#This Row],[Birthweight Z-Score (BW+10%)]],TRUE)*100,"")</f>
        <v/>
      </c>
    </row>
    <row r="68" spans="1:12" x14ac:dyDescent="0.35">
      <c r="A68" s="3"/>
      <c r="B68" s="2"/>
      <c r="C68" s="2"/>
      <c r="D68" s="2" t="b">
        <f>IF(AND(NOT(ISBLANK(Table1[[#This Row],[Fetal Sex (Male, Female or Unknown)]])),ISNUMBER(Table1[[#This Row],[Birthweight (grams)]]),ISNUMBER(Table1[[#This Row],[Gestation (days)]])),TRUE,FALSE)</f>
        <v>0</v>
      </c>
      <c r="E68" s="2" t="str">
        <f>IF(Table1[[#This Row],[Is Data Valid]]=TRUE,IF(Table1[[#This Row],[Fetal Sex (Male, Female or Unknown)]]="Male",Backend!$C$6,IF(Table1[[#This Row],[Fetal Sex (Male, Female or Unknown)]]="Female",Backend!$C$7,IF(Table1[[#This Row],[Fetal Sex (Male, Female or Unknown)]]="Unknown",Backend!$C$8,"Error"))),"")</f>
        <v/>
      </c>
      <c r="F68" s="8" t="str">
        <f>IF(Table1[[#This Row],[Is Data Valid]]=TRUE,EXP(0.578+0.332*((Table1[[#This Row],[Gestation (days)]]+0.5)/7)-0.00354*((Table1[[#This Row],[Gestation (days)]]+0.5)/7)^2)*Table1[[#This Row],[BW40_3705]],"")</f>
        <v/>
      </c>
      <c r="G68" s="2" t="str">
        <f>IF(Table1[[#This Row],[Is Data Valid]]=TRUE,((Table1[[#This Row],[Birthweight (grams)]]/Table1[[#This Row],[BW_GA]])-1)/(Backend!$B$4/100*Table1[[#This Row],[BW40_3705]]),"")</f>
        <v/>
      </c>
      <c r="H68" s="2" t="str">
        <f>IF(Table1[[#This Row],[Is Data Valid]]=TRUE,((Table1[[#This Row],[Birthweight (grams)]]*0.9/Table1[[#This Row],[BW_GA]])-1)/(Backend!$B$4/100*Table1[[#This Row],[BW40_3705]]),"")</f>
        <v/>
      </c>
      <c r="I68" s="2" t="str">
        <f>IF(Table1[[#This Row],[Is Data Valid]]=TRUE,((Table1[[#This Row],[Birthweight (grams)]]*1.1/Table1[[#This Row],[BW_GA]])-1)/(Backend!$B$4/100*Table1[[#This Row],[BW40_3705]]),"")</f>
        <v/>
      </c>
      <c r="J68" s="2" t="str">
        <f>IF(Table1[[#This Row],[Is Data Valid]]=TRUE,_xlfn.NORM.S.DIST(Table1[[#This Row],[Birthweight Z-Score]],TRUE)*100,"")</f>
        <v/>
      </c>
      <c r="K68" s="2" t="str">
        <f>IF(Table1[[#This Row],[Is Data Valid]]=TRUE,_xlfn.NORM.S.DIST(Table1[[#This Row],[Birthweight Z-Score (BW-10%)]],TRUE)*100,"")</f>
        <v/>
      </c>
      <c r="L68" s="2" t="str">
        <f>IF(Table1[[#This Row],[Is Data Valid]]=TRUE,_xlfn.NORM.S.DIST(Table1[[#This Row],[Birthweight Z-Score (BW+10%)]],TRUE)*100,"")</f>
        <v/>
      </c>
    </row>
    <row r="69" spans="1:12" x14ac:dyDescent="0.35">
      <c r="A69" s="3"/>
      <c r="B69" s="2"/>
      <c r="C69" s="2"/>
      <c r="D69" s="2" t="b">
        <f>IF(AND(NOT(ISBLANK(Table1[[#This Row],[Fetal Sex (Male, Female or Unknown)]])),ISNUMBER(Table1[[#This Row],[Birthweight (grams)]]),ISNUMBER(Table1[[#This Row],[Gestation (days)]])),TRUE,FALSE)</f>
        <v>0</v>
      </c>
      <c r="E69" s="2" t="str">
        <f>IF(Table1[[#This Row],[Is Data Valid]]=TRUE,IF(Table1[[#This Row],[Fetal Sex (Male, Female or Unknown)]]="Male",Backend!$C$6,IF(Table1[[#This Row],[Fetal Sex (Male, Female or Unknown)]]="Female",Backend!$C$7,IF(Table1[[#This Row],[Fetal Sex (Male, Female or Unknown)]]="Unknown",Backend!$C$8,"Error"))),"")</f>
        <v/>
      </c>
      <c r="F69" s="8" t="str">
        <f>IF(Table1[[#This Row],[Is Data Valid]]=TRUE,EXP(0.578+0.332*((Table1[[#This Row],[Gestation (days)]]+0.5)/7)-0.00354*((Table1[[#This Row],[Gestation (days)]]+0.5)/7)^2)*Table1[[#This Row],[BW40_3705]],"")</f>
        <v/>
      </c>
      <c r="G69" s="2" t="str">
        <f>IF(Table1[[#This Row],[Is Data Valid]]=TRUE,((Table1[[#This Row],[Birthweight (grams)]]/Table1[[#This Row],[BW_GA]])-1)/(Backend!$B$4/100*Table1[[#This Row],[BW40_3705]]),"")</f>
        <v/>
      </c>
      <c r="H69" s="2" t="str">
        <f>IF(Table1[[#This Row],[Is Data Valid]]=TRUE,((Table1[[#This Row],[Birthweight (grams)]]*0.9/Table1[[#This Row],[BW_GA]])-1)/(Backend!$B$4/100*Table1[[#This Row],[BW40_3705]]),"")</f>
        <v/>
      </c>
      <c r="I69" s="2" t="str">
        <f>IF(Table1[[#This Row],[Is Data Valid]]=TRUE,((Table1[[#This Row],[Birthweight (grams)]]*1.1/Table1[[#This Row],[BW_GA]])-1)/(Backend!$B$4/100*Table1[[#This Row],[BW40_3705]]),"")</f>
        <v/>
      </c>
      <c r="J69" s="2" t="str">
        <f>IF(Table1[[#This Row],[Is Data Valid]]=TRUE,_xlfn.NORM.S.DIST(Table1[[#This Row],[Birthweight Z-Score]],TRUE)*100,"")</f>
        <v/>
      </c>
      <c r="K69" s="2" t="str">
        <f>IF(Table1[[#This Row],[Is Data Valid]]=TRUE,_xlfn.NORM.S.DIST(Table1[[#This Row],[Birthweight Z-Score (BW-10%)]],TRUE)*100,"")</f>
        <v/>
      </c>
      <c r="L69" s="2" t="str">
        <f>IF(Table1[[#This Row],[Is Data Valid]]=TRUE,_xlfn.NORM.S.DIST(Table1[[#This Row],[Birthweight Z-Score (BW+10%)]],TRUE)*100,"")</f>
        <v/>
      </c>
    </row>
    <row r="70" spans="1:12" x14ac:dyDescent="0.35">
      <c r="A70" s="3"/>
      <c r="B70" s="2"/>
      <c r="C70" s="2"/>
      <c r="D70" s="2" t="b">
        <f>IF(AND(NOT(ISBLANK(Table1[[#This Row],[Fetal Sex (Male, Female or Unknown)]])),ISNUMBER(Table1[[#This Row],[Birthweight (grams)]]),ISNUMBER(Table1[[#This Row],[Gestation (days)]])),TRUE,FALSE)</f>
        <v>0</v>
      </c>
      <c r="E70" s="2" t="str">
        <f>IF(Table1[[#This Row],[Is Data Valid]]=TRUE,IF(Table1[[#This Row],[Fetal Sex (Male, Female or Unknown)]]="Male",Backend!$C$6,IF(Table1[[#This Row],[Fetal Sex (Male, Female or Unknown)]]="Female",Backend!$C$7,IF(Table1[[#This Row],[Fetal Sex (Male, Female or Unknown)]]="Unknown",Backend!$C$8,"Error"))),"")</f>
        <v/>
      </c>
      <c r="F70" s="8" t="str">
        <f>IF(Table1[[#This Row],[Is Data Valid]]=TRUE,EXP(0.578+0.332*((Table1[[#This Row],[Gestation (days)]]+0.5)/7)-0.00354*((Table1[[#This Row],[Gestation (days)]]+0.5)/7)^2)*Table1[[#This Row],[BW40_3705]],"")</f>
        <v/>
      </c>
      <c r="G70" s="2" t="str">
        <f>IF(Table1[[#This Row],[Is Data Valid]]=TRUE,((Table1[[#This Row],[Birthweight (grams)]]/Table1[[#This Row],[BW_GA]])-1)/(Backend!$B$4/100*Table1[[#This Row],[BW40_3705]]),"")</f>
        <v/>
      </c>
      <c r="H70" s="2" t="str">
        <f>IF(Table1[[#This Row],[Is Data Valid]]=TRUE,((Table1[[#This Row],[Birthweight (grams)]]*0.9/Table1[[#This Row],[BW_GA]])-1)/(Backend!$B$4/100*Table1[[#This Row],[BW40_3705]]),"")</f>
        <v/>
      </c>
      <c r="I70" s="2" t="str">
        <f>IF(Table1[[#This Row],[Is Data Valid]]=TRUE,((Table1[[#This Row],[Birthweight (grams)]]*1.1/Table1[[#This Row],[BW_GA]])-1)/(Backend!$B$4/100*Table1[[#This Row],[BW40_3705]]),"")</f>
        <v/>
      </c>
      <c r="J70" s="2" t="str">
        <f>IF(Table1[[#This Row],[Is Data Valid]]=TRUE,_xlfn.NORM.S.DIST(Table1[[#This Row],[Birthweight Z-Score]],TRUE)*100,"")</f>
        <v/>
      </c>
      <c r="K70" s="2" t="str">
        <f>IF(Table1[[#This Row],[Is Data Valid]]=TRUE,_xlfn.NORM.S.DIST(Table1[[#This Row],[Birthweight Z-Score (BW-10%)]],TRUE)*100,"")</f>
        <v/>
      </c>
      <c r="L70" s="2" t="str">
        <f>IF(Table1[[#This Row],[Is Data Valid]]=TRUE,_xlfn.NORM.S.DIST(Table1[[#This Row],[Birthweight Z-Score (BW+10%)]],TRUE)*100,"")</f>
        <v/>
      </c>
    </row>
    <row r="71" spans="1:12" x14ac:dyDescent="0.35">
      <c r="A71" s="3"/>
      <c r="B71" s="2"/>
      <c r="C71" s="2"/>
      <c r="D71" s="2" t="b">
        <f>IF(AND(NOT(ISBLANK(Table1[[#This Row],[Fetal Sex (Male, Female or Unknown)]])),ISNUMBER(Table1[[#This Row],[Birthweight (grams)]]),ISNUMBER(Table1[[#This Row],[Gestation (days)]])),TRUE,FALSE)</f>
        <v>0</v>
      </c>
      <c r="E71" s="2" t="str">
        <f>IF(Table1[[#This Row],[Is Data Valid]]=TRUE,IF(Table1[[#This Row],[Fetal Sex (Male, Female or Unknown)]]="Male",Backend!$C$6,IF(Table1[[#This Row],[Fetal Sex (Male, Female or Unknown)]]="Female",Backend!$C$7,IF(Table1[[#This Row],[Fetal Sex (Male, Female or Unknown)]]="Unknown",Backend!$C$8,"Error"))),"")</f>
        <v/>
      </c>
      <c r="F71" s="8" t="str">
        <f>IF(Table1[[#This Row],[Is Data Valid]]=TRUE,EXP(0.578+0.332*((Table1[[#This Row],[Gestation (days)]]+0.5)/7)-0.00354*((Table1[[#This Row],[Gestation (days)]]+0.5)/7)^2)*Table1[[#This Row],[BW40_3705]],"")</f>
        <v/>
      </c>
      <c r="G71" s="2" t="str">
        <f>IF(Table1[[#This Row],[Is Data Valid]]=TRUE,((Table1[[#This Row],[Birthweight (grams)]]/Table1[[#This Row],[BW_GA]])-1)/(Backend!$B$4/100*Table1[[#This Row],[BW40_3705]]),"")</f>
        <v/>
      </c>
      <c r="H71" s="2" t="str">
        <f>IF(Table1[[#This Row],[Is Data Valid]]=TRUE,((Table1[[#This Row],[Birthweight (grams)]]*0.9/Table1[[#This Row],[BW_GA]])-1)/(Backend!$B$4/100*Table1[[#This Row],[BW40_3705]]),"")</f>
        <v/>
      </c>
      <c r="I71" s="2" t="str">
        <f>IF(Table1[[#This Row],[Is Data Valid]]=TRUE,((Table1[[#This Row],[Birthweight (grams)]]*1.1/Table1[[#This Row],[BW_GA]])-1)/(Backend!$B$4/100*Table1[[#This Row],[BW40_3705]]),"")</f>
        <v/>
      </c>
      <c r="J71" s="2" t="str">
        <f>IF(Table1[[#This Row],[Is Data Valid]]=TRUE,_xlfn.NORM.S.DIST(Table1[[#This Row],[Birthweight Z-Score]],TRUE)*100,"")</f>
        <v/>
      </c>
      <c r="K71" s="2" t="str">
        <f>IF(Table1[[#This Row],[Is Data Valid]]=TRUE,_xlfn.NORM.S.DIST(Table1[[#This Row],[Birthweight Z-Score (BW-10%)]],TRUE)*100,"")</f>
        <v/>
      </c>
      <c r="L71" s="2" t="str">
        <f>IF(Table1[[#This Row],[Is Data Valid]]=TRUE,_xlfn.NORM.S.DIST(Table1[[#This Row],[Birthweight Z-Score (BW+10%)]],TRUE)*100,"")</f>
        <v/>
      </c>
    </row>
    <row r="72" spans="1:12" x14ac:dyDescent="0.35">
      <c r="A72" s="3"/>
      <c r="B72" s="2"/>
      <c r="C72" s="2"/>
      <c r="D72" s="2" t="b">
        <f>IF(AND(NOT(ISBLANK(Table1[[#This Row],[Fetal Sex (Male, Female or Unknown)]])),ISNUMBER(Table1[[#This Row],[Birthweight (grams)]]),ISNUMBER(Table1[[#This Row],[Gestation (days)]])),TRUE,FALSE)</f>
        <v>0</v>
      </c>
      <c r="E72" s="2" t="str">
        <f>IF(Table1[[#This Row],[Is Data Valid]]=TRUE,IF(Table1[[#This Row],[Fetal Sex (Male, Female or Unknown)]]="Male",Backend!$C$6,IF(Table1[[#This Row],[Fetal Sex (Male, Female or Unknown)]]="Female",Backend!$C$7,IF(Table1[[#This Row],[Fetal Sex (Male, Female or Unknown)]]="Unknown",Backend!$C$8,"Error"))),"")</f>
        <v/>
      </c>
      <c r="F72" s="8" t="str">
        <f>IF(Table1[[#This Row],[Is Data Valid]]=TRUE,EXP(0.578+0.332*((Table1[[#This Row],[Gestation (days)]]+0.5)/7)-0.00354*((Table1[[#This Row],[Gestation (days)]]+0.5)/7)^2)*Table1[[#This Row],[BW40_3705]],"")</f>
        <v/>
      </c>
      <c r="G72" s="2" t="str">
        <f>IF(Table1[[#This Row],[Is Data Valid]]=TRUE,((Table1[[#This Row],[Birthweight (grams)]]/Table1[[#This Row],[BW_GA]])-1)/(Backend!$B$4/100*Table1[[#This Row],[BW40_3705]]),"")</f>
        <v/>
      </c>
      <c r="H72" s="2" t="str">
        <f>IF(Table1[[#This Row],[Is Data Valid]]=TRUE,((Table1[[#This Row],[Birthweight (grams)]]*0.9/Table1[[#This Row],[BW_GA]])-1)/(Backend!$B$4/100*Table1[[#This Row],[BW40_3705]]),"")</f>
        <v/>
      </c>
      <c r="I72" s="2" t="str">
        <f>IF(Table1[[#This Row],[Is Data Valid]]=TRUE,((Table1[[#This Row],[Birthweight (grams)]]*1.1/Table1[[#This Row],[BW_GA]])-1)/(Backend!$B$4/100*Table1[[#This Row],[BW40_3705]]),"")</f>
        <v/>
      </c>
      <c r="J72" s="2" t="str">
        <f>IF(Table1[[#This Row],[Is Data Valid]]=TRUE,_xlfn.NORM.S.DIST(Table1[[#This Row],[Birthweight Z-Score]],TRUE)*100,"")</f>
        <v/>
      </c>
      <c r="K72" s="2" t="str">
        <f>IF(Table1[[#This Row],[Is Data Valid]]=TRUE,_xlfn.NORM.S.DIST(Table1[[#This Row],[Birthweight Z-Score (BW-10%)]],TRUE)*100,"")</f>
        <v/>
      </c>
      <c r="L72" s="2" t="str">
        <f>IF(Table1[[#This Row],[Is Data Valid]]=TRUE,_xlfn.NORM.S.DIST(Table1[[#This Row],[Birthweight Z-Score (BW+10%)]],TRUE)*100,"")</f>
        <v/>
      </c>
    </row>
    <row r="73" spans="1:12" x14ac:dyDescent="0.35">
      <c r="A73" s="3"/>
      <c r="B73" s="2"/>
      <c r="C73" s="2"/>
      <c r="D73" s="2" t="b">
        <f>IF(AND(NOT(ISBLANK(Table1[[#This Row],[Fetal Sex (Male, Female or Unknown)]])),ISNUMBER(Table1[[#This Row],[Birthweight (grams)]]),ISNUMBER(Table1[[#This Row],[Gestation (days)]])),TRUE,FALSE)</f>
        <v>0</v>
      </c>
      <c r="E73" s="2" t="str">
        <f>IF(Table1[[#This Row],[Is Data Valid]]=TRUE,IF(Table1[[#This Row],[Fetal Sex (Male, Female or Unknown)]]="Male",Backend!$C$6,IF(Table1[[#This Row],[Fetal Sex (Male, Female or Unknown)]]="Female",Backend!$C$7,IF(Table1[[#This Row],[Fetal Sex (Male, Female or Unknown)]]="Unknown",Backend!$C$8,"Error"))),"")</f>
        <v/>
      </c>
      <c r="F73" s="8" t="str">
        <f>IF(Table1[[#This Row],[Is Data Valid]]=TRUE,EXP(0.578+0.332*((Table1[[#This Row],[Gestation (days)]]+0.5)/7)-0.00354*((Table1[[#This Row],[Gestation (days)]]+0.5)/7)^2)*Table1[[#This Row],[BW40_3705]],"")</f>
        <v/>
      </c>
      <c r="G73" s="2" t="str">
        <f>IF(Table1[[#This Row],[Is Data Valid]]=TRUE,((Table1[[#This Row],[Birthweight (grams)]]/Table1[[#This Row],[BW_GA]])-1)/(Backend!$B$4/100*Table1[[#This Row],[BW40_3705]]),"")</f>
        <v/>
      </c>
      <c r="H73" s="2" t="str">
        <f>IF(Table1[[#This Row],[Is Data Valid]]=TRUE,((Table1[[#This Row],[Birthweight (grams)]]*0.9/Table1[[#This Row],[BW_GA]])-1)/(Backend!$B$4/100*Table1[[#This Row],[BW40_3705]]),"")</f>
        <v/>
      </c>
      <c r="I73" s="2" t="str">
        <f>IF(Table1[[#This Row],[Is Data Valid]]=TRUE,((Table1[[#This Row],[Birthweight (grams)]]*1.1/Table1[[#This Row],[BW_GA]])-1)/(Backend!$B$4/100*Table1[[#This Row],[BW40_3705]]),"")</f>
        <v/>
      </c>
      <c r="J73" s="2" t="str">
        <f>IF(Table1[[#This Row],[Is Data Valid]]=TRUE,_xlfn.NORM.S.DIST(Table1[[#This Row],[Birthweight Z-Score]],TRUE)*100,"")</f>
        <v/>
      </c>
      <c r="K73" s="2" t="str">
        <f>IF(Table1[[#This Row],[Is Data Valid]]=TRUE,_xlfn.NORM.S.DIST(Table1[[#This Row],[Birthweight Z-Score (BW-10%)]],TRUE)*100,"")</f>
        <v/>
      </c>
      <c r="L73" s="2" t="str">
        <f>IF(Table1[[#This Row],[Is Data Valid]]=TRUE,_xlfn.NORM.S.DIST(Table1[[#This Row],[Birthweight Z-Score (BW+10%)]],TRUE)*100,"")</f>
        <v/>
      </c>
    </row>
    <row r="74" spans="1:12" x14ac:dyDescent="0.35">
      <c r="A74" s="3"/>
      <c r="B74" s="2"/>
      <c r="C74" s="2"/>
      <c r="D74" s="2" t="b">
        <f>IF(AND(NOT(ISBLANK(Table1[[#This Row],[Fetal Sex (Male, Female or Unknown)]])),ISNUMBER(Table1[[#This Row],[Birthweight (grams)]]),ISNUMBER(Table1[[#This Row],[Gestation (days)]])),TRUE,FALSE)</f>
        <v>0</v>
      </c>
      <c r="E74" s="2" t="str">
        <f>IF(Table1[[#This Row],[Is Data Valid]]=TRUE,IF(Table1[[#This Row],[Fetal Sex (Male, Female or Unknown)]]="Male",Backend!$C$6,IF(Table1[[#This Row],[Fetal Sex (Male, Female or Unknown)]]="Female",Backend!$C$7,IF(Table1[[#This Row],[Fetal Sex (Male, Female or Unknown)]]="Unknown",Backend!$C$8,"Error"))),"")</f>
        <v/>
      </c>
      <c r="F74" s="8" t="str">
        <f>IF(Table1[[#This Row],[Is Data Valid]]=TRUE,EXP(0.578+0.332*((Table1[[#This Row],[Gestation (days)]]+0.5)/7)-0.00354*((Table1[[#This Row],[Gestation (days)]]+0.5)/7)^2)*Table1[[#This Row],[BW40_3705]],"")</f>
        <v/>
      </c>
      <c r="G74" s="2" t="str">
        <f>IF(Table1[[#This Row],[Is Data Valid]]=TRUE,((Table1[[#This Row],[Birthweight (grams)]]/Table1[[#This Row],[BW_GA]])-1)/(Backend!$B$4/100*Table1[[#This Row],[BW40_3705]]),"")</f>
        <v/>
      </c>
      <c r="H74" s="2" t="str">
        <f>IF(Table1[[#This Row],[Is Data Valid]]=TRUE,((Table1[[#This Row],[Birthweight (grams)]]*0.9/Table1[[#This Row],[BW_GA]])-1)/(Backend!$B$4/100*Table1[[#This Row],[BW40_3705]]),"")</f>
        <v/>
      </c>
      <c r="I74" s="2" t="str">
        <f>IF(Table1[[#This Row],[Is Data Valid]]=TRUE,((Table1[[#This Row],[Birthweight (grams)]]*1.1/Table1[[#This Row],[BW_GA]])-1)/(Backend!$B$4/100*Table1[[#This Row],[BW40_3705]]),"")</f>
        <v/>
      </c>
      <c r="J74" s="2" t="str">
        <f>IF(Table1[[#This Row],[Is Data Valid]]=TRUE,_xlfn.NORM.S.DIST(Table1[[#This Row],[Birthweight Z-Score]],TRUE)*100,"")</f>
        <v/>
      </c>
      <c r="K74" s="2" t="str">
        <f>IF(Table1[[#This Row],[Is Data Valid]]=TRUE,_xlfn.NORM.S.DIST(Table1[[#This Row],[Birthweight Z-Score (BW-10%)]],TRUE)*100,"")</f>
        <v/>
      </c>
      <c r="L74" s="2" t="str">
        <f>IF(Table1[[#This Row],[Is Data Valid]]=TRUE,_xlfn.NORM.S.DIST(Table1[[#This Row],[Birthweight Z-Score (BW+10%)]],TRUE)*100,"")</f>
        <v/>
      </c>
    </row>
    <row r="75" spans="1:12" x14ac:dyDescent="0.35">
      <c r="A75" s="3"/>
      <c r="B75" s="2"/>
      <c r="C75" s="2"/>
      <c r="D75" s="2" t="b">
        <f>IF(AND(NOT(ISBLANK(Table1[[#This Row],[Fetal Sex (Male, Female or Unknown)]])),ISNUMBER(Table1[[#This Row],[Birthweight (grams)]]),ISNUMBER(Table1[[#This Row],[Gestation (days)]])),TRUE,FALSE)</f>
        <v>0</v>
      </c>
      <c r="E75" s="2" t="str">
        <f>IF(Table1[[#This Row],[Is Data Valid]]=TRUE,IF(Table1[[#This Row],[Fetal Sex (Male, Female or Unknown)]]="Male",Backend!$C$6,IF(Table1[[#This Row],[Fetal Sex (Male, Female or Unknown)]]="Female",Backend!$C$7,IF(Table1[[#This Row],[Fetal Sex (Male, Female or Unknown)]]="Unknown",Backend!$C$8,"Error"))),"")</f>
        <v/>
      </c>
      <c r="F75" s="8" t="str">
        <f>IF(Table1[[#This Row],[Is Data Valid]]=TRUE,EXP(0.578+0.332*((Table1[[#This Row],[Gestation (days)]]+0.5)/7)-0.00354*((Table1[[#This Row],[Gestation (days)]]+0.5)/7)^2)*Table1[[#This Row],[BW40_3705]],"")</f>
        <v/>
      </c>
      <c r="G75" s="2" t="str">
        <f>IF(Table1[[#This Row],[Is Data Valid]]=TRUE,((Table1[[#This Row],[Birthweight (grams)]]/Table1[[#This Row],[BW_GA]])-1)/(Backend!$B$4/100*Table1[[#This Row],[BW40_3705]]),"")</f>
        <v/>
      </c>
      <c r="H75" s="2" t="str">
        <f>IF(Table1[[#This Row],[Is Data Valid]]=TRUE,((Table1[[#This Row],[Birthweight (grams)]]*0.9/Table1[[#This Row],[BW_GA]])-1)/(Backend!$B$4/100*Table1[[#This Row],[BW40_3705]]),"")</f>
        <v/>
      </c>
      <c r="I75" s="2" t="str">
        <f>IF(Table1[[#This Row],[Is Data Valid]]=TRUE,((Table1[[#This Row],[Birthweight (grams)]]*1.1/Table1[[#This Row],[BW_GA]])-1)/(Backend!$B$4/100*Table1[[#This Row],[BW40_3705]]),"")</f>
        <v/>
      </c>
      <c r="J75" s="2" t="str">
        <f>IF(Table1[[#This Row],[Is Data Valid]]=TRUE,_xlfn.NORM.S.DIST(Table1[[#This Row],[Birthweight Z-Score]],TRUE)*100,"")</f>
        <v/>
      </c>
      <c r="K75" s="2" t="str">
        <f>IF(Table1[[#This Row],[Is Data Valid]]=TRUE,_xlfn.NORM.S.DIST(Table1[[#This Row],[Birthweight Z-Score (BW-10%)]],TRUE)*100,"")</f>
        <v/>
      </c>
      <c r="L75" s="2" t="str">
        <f>IF(Table1[[#This Row],[Is Data Valid]]=TRUE,_xlfn.NORM.S.DIST(Table1[[#This Row],[Birthweight Z-Score (BW+10%)]],TRUE)*100,"")</f>
        <v/>
      </c>
    </row>
    <row r="76" spans="1:12" x14ac:dyDescent="0.35">
      <c r="A76" s="3"/>
      <c r="B76" s="2"/>
      <c r="C76" s="2"/>
      <c r="D76" s="2" t="b">
        <f>IF(AND(NOT(ISBLANK(Table1[[#This Row],[Fetal Sex (Male, Female or Unknown)]])),ISNUMBER(Table1[[#This Row],[Birthweight (grams)]]),ISNUMBER(Table1[[#This Row],[Gestation (days)]])),TRUE,FALSE)</f>
        <v>0</v>
      </c>
      <c r="E76" s="2" t="str">
        <f>IF(Table1[[#This Row],[Is Data Valid]]=TRUE,IF(Table1[[#This Row],[Fetal Sex (Male, Female or Unknown)]]="Male",Backend!$C$6,IF(Table1[[#This Row],[Fetal Sex (Male, Female or Unknown)]]="Female",Backend!$C$7,IF(Table1[[#This Row],[Fetal Sex (Male, Female or Unknown)]]="Unknown",Backend!$C$8,"Error"))),"")</f>
        <v/>
      </c>
      <c r="F76" s="8" t="str">
        <f>IF(Table1[[#This Row],[Is Data Valid]]=TRUE,EXP(0.578+0.332*((Table1[[#This Row],[Gestation (days)]]+0.5)/7)-0.00354*((Table1[[#This Row],[Gestation (days)]]+0.5)/7)^2)*Table1[[#This Row],[BW40_3705]],"")</f>
        <v/>
      </c>
      <c r="G76" s="2" t="str">
        <f>IF(Table1[[#This Row],[Is Data Valid]]=TRUE,((Table1[[#This Row],[Birthweight (grams)]]/Table1[[#This Row],[BW_GA]])-1)/(Backend!$B$4/100*Table1[[#This Row],[BW40_3705]]),"")</f>
        <v/>
      </c>
      <c r="H76" s="2" t="str">
        <f>IF(Table1[[#This Row],[Is Data Valid]]=TRUE,((Table1[[#This Row],[Birthweight (grams)]]*0.9/Table1[[#This Row],[BW_GA]])-1)/(Backend!$B$4/100*Table1[[#This Row],[BW40_3705]]),"")</f>
        <v/>
      </c>
      <c r="I76" s="2" t="str">
        <f>IF(Table1[[#This Row],[Is Data Valid]]=TRUE,((Table1[[#This Row],[Birthweight (grams)]]*1.1/Table1[[#This Row],[BW_GA]])-1)/(Backend!$B$4/100*Table1[[#This Row],[BW40_3705]]),"")</f>
        <v/>
      </c>
      <c r="J76" s="2" t="str">
        <f>IF(Table1[[#This Row],[Is Data Valid]]=TRUE,_xlfn.NORM.S.DIST(Table1[[#This Row],[Birthweight Z-Score]],TRUE)*100,"")</f>
        <v/>
      </c>
      <c r="K76" s="2" t="str">
        <f>IF(Table1[[#This Row],[Is Data Valid]]=TRUE,_xlfn.NORM.S.DIST(Table1[[#This Row],[Birthweight Z-Score (BW-10%)]],TRUE)*100,"")</f>
        <v/>
      </c>
      <c r="L76" s="2" t="str">
        <f>IF(Table1[[#This Row],[Is Data Valid]]=TRUE,_xlfn.NORM.S.DIST(Table1[[#This Row],[Birthweight Z-Score (BW+10%)]],TRUE)*100,"")</f>
        <v/>
      </c>
    </row>
    <row r="77" spans="1:12" x14ac:dyDescent="0.35">
      <c r="A77" s="3"/>
      <c r="B77" s="2"/>
      <c r="C77" s="2"/>
      <c r="D77" s="2" t="b">
        <f>IF(AND(NOT(ISBLANK(Table1[[#This Row],[Fetal Sex (Male, Female or Unknown)]])),ISNUMBER(Table1[[#This Row],[Birthweight (grams)]]),ISNUMBER(Table1[[#This Row],[Gestation (days)]])),TRUE,FALSE)</f>
        <v>0</v>
      </c>
      <c r="E77" s="2" t="str">
        <f>IF(Table1[[#This Row],[Is Data Valid]]=TRUE,IF(Table1[[#This Row],[Fetal Sex (Male, Female or Unknown)]]="Male",Backend!$C$6,IF(Table1[[#This Row],[Fetal Sex (Male, Female or Unknown)]]="Female",Backend!$C$7,IF(Table1[[#This Row],[Fetal Sex (Male, Female or Unknown)]]="Unknown",Backend!$C$8,"Error"))),"")</f>
        <v/>
      </c>
      <c r="F77" s="8" t="str">
        <f>IF(Table1[[#This Row],[Is Data Valid]]=TRUE,EXP(0.578+0.332*((Table1[[#This Row],[Gestation (days)]]+0.5)/7)-0.00354*((Table1[[#This Row],[Gestation (days)]]+0.5)/7)^2)*Table1[[#This Row],[BW40_3705]],"")</f>
        <v/>
      </c>
      <c r="G77" s="2" t="str">
        <f>IF(Table1[[#This Row],[Is Data Valid]]=TRUE,((Table1[[#This Row],[Birthweight (grams)]]/Table1[[#This Row],[BW_GA]])-1)/(Backend!$B$4/100*Table1[[#This Row],[BW40_3705]]),"")</f>
        <v/>
      </c>
      <c r="H77" s="2" t="str">
        <f>IF(Table1[[#This Row],[Is Data Valid]]=TRUE,((Table1[[#This Row],[Birthweight (grams)]]*0.9/Table1[[#This Row],[BW_GA]])-1)/(Backend!$B$4/100*Table1[[#This Row],[BW40_3705]]),"")</f>
        <v/>
      </c>
      <c r="I77" s="2" t="str">
        <f>IF(Table1[[#This Row],[Is Data Valid]]=TRUE,((Table1[[#This Row],[Birthweight (grams)]]*1.1/Table1[[#This Row],[BW_GA]])-1)/(Backend!$B$4/100*Table1[[#This Row],[BW40_3705]]),"")</f>
        <v/>
      </c>
      <c r="J77" s="2" t="str">
        <f>IF(Table1[[#This Row],[Is Data Valid]]=TRUE,_xlfn.NORM.S.DIST(Table1[[#This Row],[Birthweight Z-Score]],TRUE)*100,"")</f>
        <v/>
      </c>
      <c r="K77" s="2" t="str">
        <f>IF(Table1[[#This Row],[Is Data Valid]]=TRUE,_xlfn.NORM.S.DIST(Table1[[#This Row],[Birthweight Z-Score (BW-10%)]],TRUE)*100,"")</f>
        <v/>
      </c>
      <c r="L77" s="2" t="str">
        <f>IF(Table1[[#This Row],[Is Data Valid]]=TRUE,_xlfn.NORM.S.DIST(Table1[[#This Row],[Birthweight Z-Score (BW+10%)]],TRUE)*100,"")</f>
        <v/>
      </c>
    </row>
    <row r="78" spans="1:12" x14ac:dyDescent="0.35">
      <c r="A78" s="3"/>
      <c r="B78" s="2"/>
      <c r="C78" s="2"/>
      <c r="D78" s="2" t="b">
        <f>IF(AND(NOT(ISBLANK(Table1[[#This Row],[Fetal Sex (Male, Female or Unknown)]])),ISNUMBER(Table1[[#This Row],[Birthweight (grams)]]),ISNUMBER(Table1[[#This Row],[Gestation (days)]])),TRUE,FALSE)</f>
        <v>0</v>
      </c>
      <c r="E78" s="2" t="str">
        <f>IF(Table1[[#This Row],[Is Data Valid]]=TRUE,IF(Table1[[#This Row],[Fetal Sex (Male, Female or Unknown)]]="Male",Backend!$C$6,IF(Table1[[#This Row],[Fetal Sex (Male, Female or Unknown)]]="Female",Backend!$C$7,IF(Table1[[#This Row],[Fetal Sex (Male, Female or Unknown)]]="Unknown",Backend!$C$8,"Error"))),"")</f>
        <v/>
      </c>
      <c r="F78" s="8" t="str">
        <f>IF(Table1[[#This Row],[Is Data Valid]]=TRUE,EXP(0.578+0.332*((Table1[[#This Row],[Gestation (days)]]+0.5)/7)-0.00354*((Table1[[#This Row],[Gestation (days)]]+0.5)/7)^2)*Table1[[#This Row],[BW40_3705]],"")</f>
        <v/>
      </c>
      <c r="G78" s="2" t="str">
        <f>IF(Table1[[#This Row],[Is Data Valid]]=TRUE,((Table1[[#This Row],[Birthweight (grams)]]/Table1[[#This Row],[BW_GA]])-1)/(Backend!$B$4/100*Table1[[#This Row],[BW40_3705]]),"")</f>
        <v/>
      </c>
      <c r="H78" s="2" t="str">
        <f>IF(Table1[[#This Row],[Is Data Valid]]=TRUE,((Table1[[#This Row],[Birthweight (grams)]]*0.9/Table1[[#This Row],[BW_GA]])-1)/(Backend!$B$4/100*Table1[[#This Row],[BW40_3705]]),"")</f>
        <v/>
      </c>
      <c r="I78" s="2" t="str">
        <f>IF(Table1[[#This Row],[Is Data Valid]]=TRUE,((Table1[[#This Row],[Birthweight (grams)]]*1.1/Table1[[#This Row],[BW_GA]])-1)/(Backend!$B$4/100*Table1[[#This Row],[BW40_3705]]),"")</f>
        <v/>
      </c>
      <c r="J78" s="2" t="str">
        <f>IF(Table1[[#This Row],[Is Data Valid]]=TRUE,_xlfn.NORM.S.DIST(Table1[[#This Row],[Birthweight Z-Score]],TRUE)*100,"")</f>
        <v/>
      </c>
      <c r="K78" s="2" t="str">
        <f>IF(Table1[[#This Row],[Is Data Valid]]=TRUE,_xlfn.NORM.S.DIST(Table1[[#This Row],[Birthweight Z-Score (BW-10%)]],TRUE)*100,"")</f>
        <v/>
      </c>
      <c r="L78" s="2" t="str">
        <f>IF(Table1[[#This Row],[Is Data Valid]]=TRUE,_xlfn.NORM.S.DIST(Table1[[#This Row],[Birthweight Z-Score (BW+10%)]],TRUE)*100,"")</f>
        <v/>
      </c>
    </row>
    <row r="79" spans="1:12" x14ac:dyDescent="0.35">
      <c r="A79" s="3"/>
      <c r="B79" s="2"/>
      <c r="C79" s="2"/>
      <c r="D79" s="2" t="b">
        <f>IF(AND(NOT(ISBLANK(Table1[[#This Row],[Fetal Sex (Male, Female or Unknown)]])),ISNUMBER(Table1[[#This Row],[Birthweight (grams)]]),ISNUMBER(Table1[[#This Row],[Gestation (days)]])),TRUE,FALSE)</f>
        <v>0</v>
      </c>
      <c r="E79" s="2" t="str">
        <f>IF(Table1[[#This Row],[Is Data Valid]]=TRUE,IF(Table1[[#This Row],[Fetal Sex (Male, Female or Unknown)]]="Male",Backend!$C$6,IF(Table1[[#This Row],[Fetal Sex (Male, Female or Unknown)]]="Female",Backend!$C$7,IF(Table1[[#This Row],[Fetal Sex (Male, Female or Unknown)]]="Unknown",Backend!$C$8,"Error"))),"")</f>
        <v/>
      </c>
      <c r="F79" s="8" t="str">
        <f>IF(Table1[[#This Row],[Is Data Valid]]=TRUE,EXP(0.578+0.332*((Table1[[#This Row],[Gestation (days)]]+0.5)/7)-0.00354*((Table1[[#This Row],[Gestation (days)]]+0.5)/7)^2)*Table1[[#This Row],[BW40_3705]],"")</f>
        <v/>
      </c>
      <c r="G79" s="2" t="str">
        <f>IF(Table1[[#This Row],[Is Data Valid]]=TRUE,((Table1[[#This Row],[Birthweight (grams)]]/Table1[[#This Row],[BW_GA]])-1)/(Backend!$B$4/100*Table1[[#This Row],[BW40_3705]]),"")</f>
        <v/>
      </c>
      <c r="H79" s="2" t="str">
        <f>IF(Table1[[#This Row],[Is Data Valid]]=TRUE,((Table1[[#This Row],[Birthweight (grams)]]*0.9/Table1[[#This Row],[BW_GA]])-1)/(Backend!$B$4/100*Table1[[#This Row],[BW40_3705]]),"")</f>
        <v/>
      </c>
      <c r="I79" s="2" t="str">
        <f>IF(Table1[[#This Row],[Is Data Valid]]=TRUE,((Table1[[#This Row],[Birthweight (grams)]]*1.1/Table1[[#This Row],[BW_GA]])-1)/(Backend!$B$4/100*Table1[[#This Row],[BW40_3705]]),"")</f>
        <v/>
      </c>
      <c r="J79" s="2" t="str">
        <f>IF(Table1[[#This Row],[Is Data Valid]]=TRUE,_xlfn.NORM.S.DIST(Table1[[#This Row],[Birthweight Z-Score]],TRUE)*100,"")</f>
        <v/>
      </c>
      <c r="K79" s="2" t="str">
        <f>IF(Table1[[#This Row],[Is Data Valid]]=TRUE,_xlfn.NORM.S.DIST(Table1[[#This Row],[Birthweight Z-Score (BW-10%)]],TRUE)*100,"")</f>
        <v/>
      </c>
      <c r="L79" s="2" t="str">
        <f>IF(Table1[[#This Row],[Is Data Valid]]=TRUE,_xlfn.NORM.S.DIST(Table1[[#This Row],[Birthweight Z-Score (BW+10%)]],TRUE)*100,"")</f>
        <v/>
      </c>
    </row>
    <row r="80" spans="1:12" x14ac:dyDescent="0.35">
      <c r="A80" s="3"/>
      <c r="B80" s="2"/>
      <c r="C80" s="2"/>
      <c r="D80" s="2" t="b">
        <f>IF(AND(NOT(ISBLANK(Table1[[#This Row],[Fetal Sex (Male, Female or Unknown)]])),ISNUMBER(Table1[[#This Row],[Birthweight (grams)]]),ISNUMBER(Table1[[#This Row],[Gestation (days)]])),TRUE,FALSE)</f>
        <v>0</v>
      </c>
      <c r="E80" s="2" t="str">
        <f>IF(Table1[[#This Row],[Is Data Valid]]=TRUE,IF(Table1[[#This Row],[Fetal Sex (Male, Female or Unknown)]]="Male",Backend!$C$6,IF(Table1[[#This Row],[Fetal Sex (Male, Female or Unknown)]]="Female",Backend!$C$7,IF(Table1[[#This Row],[Fetal Sex (Male, Female or Unknown)]]="Unknown",Backend!$C$8,"Error"))),"")</f>
        <v/>
      </c>
      <c r="F80" s="8" t="str">
        <f>IF(Table1[[#This Row],[Is Data Valid]]=TRUE,EXP(0.578+0.332*((Table1[[#This Row],[Gestation (days)]]+0.5)/7)-0.00354*((Table1[[#This Row],[Gestation (days)]]+0.5)/7)^2)*Table1[[#This Row],[BW40_3705]],"")</f>
        <v/>
      </c>
      <c r="G80" s="2" t="str">
        <f>IF(Table1[[#This Row],[Is Data Valid]]=TRUE,((Table1[[#This Row],[Birthweight (grams)]]/Table1[[#This Row],[BW_GA]])-1)/(Backend!$B$4/100*Table1[[#This Row],[BW40_3705]]),"")</f>
        <v/>
      </c>
      <c r="H80" s="2" t="str">
        <f>IF(Table1[[#This Row],[Is Data Valid]]=TRUE,((Table1[[#This Row],[Birthweight (grams)]]*0.9/Table1[[#This Row],[BW_GA]])-1)/(Backend!$B$4/100*Table1[[#This Row],[BW40_3705]]),"")</f>
        <v/>
      </c>
      <c r="I80" s="2" t="str">
        <f>IF(Table1[[#This Row],[Is Data Valid]]=TRUE,((Table1[[#This Row],[Birthweight (grams)]]*1.1/Table1[[#This Row],[BW_GA]])-1)/(Backend!$B$4/100*Table1[[#This Row],[BW40_3705]]),"")</f>
        <v/>
      </c>
      <c r="J80" s="2" t="str">
        <f>IF(Table1[[#This Row],[Is Data Valid]]=TRUE,_xlfn.NORM.S.DIST(Table1[[#This Row],[Birthweight Z-Score]],TRUE)*100,"")</f>
        <v/>
      </c>
      <c r="K80" s="2" t="str">
        <f>IF(Table1[[#This Row],[Is Data Valid]]=TRUE,_xlfn.NORM.S.DIST(Table1[[#This Row],[Birthweight Z-Score (BW-10%)]],TRUE)*100,"")</f>
        <v/>
      </c>
      <c r="L80" s="2" t="str">
        <f>IF(Table1[[#This Row],[Is Data Valid]]=TRUE,_xlfn.NORM.S.DIST(Table1[[#This Row],[Birthweight Z-Score (BW+10%)]],TRUE)*100,"")</f>
        <v/>
      </c>
    </row>
    <row r="81" spans="1:12" x14ac:dyDescent="0.35">
      <c r="A81" s="3"/>
      <c r="B81" s="2"/>
      <c r="C81" s="2"/>
      <c r="D81" s="2" t="b">
        <f>IF(AND(NOT(ISBLANK(Table1[[#This Row],[Fetal Sex (Male, Female or Unknown)]])),ISNUMBER(Table1[[#This Row],[Birthweight (grams)]]),ISNUMBER(Table1[[#This Row],[Gestation (days)]])),TRUE,FALSE)</f>
        <v>0</v>
      </c>
      <c r="E81" s="2" t="str">
        <f>IF(Table1[[#This Row],[Is Data Valid]]=TRUE,IF(Table1[[#This Row],[Fetal Sex (Male, Female or Unknown)]]="Male",Backend!$C$6,IF(Table1[[#This Row],[Fetal Sex (Male, Female or Unknown)]]="Female",Backend!$C$7,IF(Table1[[#This Row],[Fetal Sex (Male, Female or Unknown)]]="Unknown",Backend!$C$8,"Error"))),"")</f>
        <v/>
      </c>
      <c r="F81" s="8" t="str">
        <f>IF(Table1[[#This Row],[Is Data Valid]]=TRUE,EXP(0.578+0.332*((Table1[[#This Row],[Gestation (days)]]+0.5)/7)-0.00354*((Table1[[#This Row],[Gestation (days)]]+0.5)/7)^2)*Table1[[#This Row],[BW40_3705]],"")</f>
        <v/>
      </c>
      <c r="G81" s="2" t="str">
        <f>IF(Table1[[#This Row],[Is Data Valid]]=TRUE,((Table1[[#This Row],[Birthweight (grams)]]/Table1[[#This Row],[BW_GA]])-1)/(Backend!$B$4/100*Table1[[#This Row],[BW40_3705]]),"")</f>
        <v/>
      </c>
      <c r="H81" s="2" t="str">
        <f>IF(Table1[[#This Row],[Is Data Valid]]=TRUE,((Table1[[#This Row],[Birthweight (grams)]]*0.9/Table1[[#This Row],[BW_GA]])-1)/(Backend!$B$4/100*Table1[[#This Row],[BW40_3705]]),"")</f>
        <v/>
      </c>
      <c r="I81" s="2" t="str">
        <f>IF(Table1[[#This Row],[Is Data Valid]]=TRUE,((Table1[[#This Row],[Birthweight (grams)]]*1.1/Table1[[#This Row],[BW_GA]])-1)/(Backend!$B$4/100*Table1[[#This Row],[BW40_3705]]),"")</f>
        <v/>
      </c>
      <c r="J81" s="2" t="str">
        <f>IF(Table1[[#This Row],[Is Data Valid]]=TRUE,_xlfn.NORM.S.DIST(Table1[[#This Row],[Birthweight Z-Score]],TRUE)*100,"")</f>
        <v/>
      </c>
      <c r="K81" s="2" t="str">
        <f>IF(Table1[[#This Row],[Is Data Valid]]=TRUE,_xlfn.NORM.S.DIST(Table1[[#This Row],[Birthweight Z-Score (BW-10%)]],TRUE)*100,"")</f>
        <v/>
      </c>
      <c r="L81" s="2" t="str">
        <f>IF(Table1[[#This Row],[Is Data Valid]]=TRUE,_xlfn.NORM.S.DIST(Table1[[#This Row],[Birthweight Z-Score (BW+10%)]],TRUE)*100,"")</f>
        <v/>
      </c>
    </row>
    <row r="82" spans="1:12" x14ac:dyDescent="0.35">
      <c r="A82" s="3"/>
      <c r="B82" s="2"/>
      <c r="C82" s="2"/>
      <c r="D82" s="2" t="b">
        <f>IF(AND(NOT(ISBLANK(Table1[[#This Row],[Fetal Sex (Male, Female or Unknown)]])),ISNUMBER(Table1[[#This Row],[Birthweight (grams)]]),ISNUMBER(Table1[[#This Row],[Gestation (days)]])),TRUE,FALSE)</f>
        <v>0</v>
      </c>
      <c r="E82" s="2" t="str">
        <f>IF(Table1[[#This Row],[Is Data Valid]]=TRUE,IF(Table1[[#This Row],[Fetal Sex (Male, Female or Unknown)]]="Male",Backend!$C$6,IF(Table1[[#This Row],[Fetal Sex (Male, Female or Unknown)]]="Female",Backend!$C$7,IF(Table1[[#This Row],[Fetal Sex (Male, Female or Unknown)]]="Unknown",Backend!$C$8,"Error"))),"")</f>
        <v/>
      </c>
      <c r="F82" s="8" t="str">
        <f>IF(Table1[[#This Row],[Is Data Valid]]=TRUE,EXP(0.578+0.332*((Table1[[#This Row],[Gestation (days)]]+0.5)/7)-0.00354*((Table1[[#This Row],[Gestation (days)]]+0.5)/7)^2)*Table1[[#This Row],[BW40_3705]],"")</f>
        <v/>
      </c>
      <c r="G82" s="2" t="str">
        <f>IF(Table1[[#This Row],[Is Data Valid]]=TRUE,((Table1[[#This Row],[Birthweight (grams)]]/Table1[[#This Row],[BW_GA]])-1)/(Backend!$B$4/100*Table1[[#This Row],[BW40_3705]]),"")</f>
        <v/>
      </c>
      <c r="H82" s="2" t="str">
        <f>IF(Table1[[#This Row],[Is Data Valid]]=TRUE,((Table1[[#This Row],[Birthweight (grams)]]*0.9/Table1[[#This Row],[BW_GA]])-1)/(Backend!$B$4/100*Table1[[#This Row],[BW40_3705]]),"")</f>
        <v/>
      </c>
      <c r="I82" s="2" t="str">
        <f>IF(Table1[[#This Row],[Is Data Valid]]=TRUE,((Table1[[#This Row],[Birthweight (grams)]]*1.1/Table1[[#This Row],[BW_GA]])-1)/(Backend!$B$4/100*Table1[[#This Row],[BW40_3705]]),"")</f>
        <v/>
      </c>
      <c r="J82" s="2" t="str">
        <f>IF(Table1[[#This Row],[Is Data Valid]]=TRUE,_xlfn.NORM.S.DIST(Table1[[#This Row],[Birthweight Z-Score]],TRUE)*100,"")</f>
        <v/>
      </c>
      <c r="K82" s="2" t="str">
        <f>IF(Table1[[#This Row],[Is Data Valid]]=TRUE,_xlfn.NORM.S.DIST(Table1[[#This Row],[Birthweight Z-Score (BW-10%)]],TRUE)*100,"")</f>
        <v/>
      </c>
      <c r="L82" s="2" t="str">
        <f>IF(Table1[[#This Row],[Is Data Valid]]=TRUE,_xlfn.NORM.S.DIST(Table1[[#This Row],[Birthweight Z-Score (BW+10%)]],TRUE)*100,"")</f>
        <v/>
      </c>
    </row>
    <row r="83" spans="1:12" x14ac:dyDescent="0.35">
      <c r="A83" s="3"/>
      <c r="B83" s="2"/>
      <c r="C83" s="2"/>
      <c r="D83" s="2" t="b">
        <f>IF(AND(NOT(ISBLANK(Table1[[#This Row],[Fetal Sex (Male, Female or Unknown)]])),ISNUMBER(Table1[[#This Row],[Birthweight (grams)]]),ISNUMBER(Table1[[#This Row],[Gestation (days)]])),TRUE,FALSE)</f>
        <v>0</v>
      </c>
      <c r="E83" s="2" t="str">
        <f>IF(Table1[[#This Row],[Is Data Valid]]=TRUE,IF(Table1[[#This Row],[Fetal Sex (Male, Female or Unknown)]]="Male",Backend!$C$6,IF(Table1[[#This Row],[Fetal Sex (Male, Female or Unknown)]]="Female",Backend!$C$7,IF(Table1[[#This Row],[Fetal Sex (Male, Female or Unknown)]]="Unknown",Backend!$C$8,"Error"))),"")</f>
        <v/>
      </c>
      <c r="F83" s="8" t="str">
        <f>IF(Table1[[#This Row],[Is Data Valid]]=TRUE,EXP(0.578+0.332*((Table1[[#This Row],[Gestation (days)]]+0.5)/7)-0.00354*((Table1[[#This Row],[Gestation (days)]]+0.5)/7)^2)*Table1[[#This Row],[BW40_3705]],"")</f>
        <v/>
      </c>
      <c r="G83" s="2" t="str">
        <f>IF(Table1[[#This Row],[Is Data Valid]]=TRUE,((Table1[[#This Row],[Birthweight (grams)]]/Table1[[#This Row],[BW_GA]])-1)/(Backend!$B$4/100*Table1[[#This Row],[BW40_3705]]),"")</f>
        <v/>
      </c>
      <c r="H83" s="2" t="str">
        <f>IF(Table1[[#This Row],[Is Data Valid]]=TRUE,((Table1[[#This Row],[Birthweight (grams)]]*0.9/Table1[[#This Row],[BW_GA]])-1)/(Backend!$B$4/100*Table1[[#This Row],[BW40_3705]]),"")</f>
        <v/>
      </c>
      <c r="I83" s="2" t="str">
        <f>IF(Table1[[#This Row],[Is Data Valid]]=TRUE,((Table1[[#This Row],[Birthweight (grams)]]*1.1/Table1[[#This Row],[BW_GA]])-1)/(Backend!$B$4/100*Table1[[#This Row],[BW40_3705]]),"")</f>
        <v/>
      </c>
      <c r="J83" s="2" t="str">
        <f>IF(Table1[[#This Row],[Is Data Valid]]=TRUE,_xlfn.NORM.S.DIST(Table1[[#This Row],[Birthweight Z-Score]],TRUE)*100,"")</f>
        <v/>
      </c>
      <c r="K83" s="2" t="str">
        <f>IF(Table1[[#This Row],[Is Data Valid]]=TRUE,_xlfn.NORM.S.DIST(Table1[[#This Row],[Birthweight Z-Score (BW-10%)]],TRUE)*100,"")</f>
        <v/>
      </c>
      <c r="L83" s="2" t="str">
        <f>IF(Table1[[#This Row],[Is Data Valid]]=TRUE,_xlfn.NORM.S.DIST(Table1[[#This Row],[Birthweight Z-Score (BW+10%)]],TRUE)*100,"")</f>
        <v/>
      </c>
    </row>
    <row r="84" spans="1:12" x14ac:dyDescent="0.35">
      <c r="A84" s="3"/>
      <c r="B84" s="2"/>
      <c r="C84" s="2"/>
      <c r="D84" s="2" t="b">
        <f>IF(AND(NOT(ISBLANK(Table1[[#This Row],[Fetal Sex (Male, Female or Unknown)]])),ISNUMBER(Table1[[#This Row],[Birthweight (grams)]]),ISNUMBER(Table1[[#This Row],[Gestation (days)]])),TRUE,FALSE)</f>
        <v>0</v>
      </c>
      <c r="E84" s="2" t="str">
        <f>IF(Table1[[#This Row],[Is Data Valid]]=TRUE,IF(Table1[[#This Row],[Fetal Sex (Male, Female or Unknown)]]="Male",Backend!$C$6,IF(Table1[[#This Row],[Fetal Sex (Male, Female or Unknown)]]="Female",Backend!$C$7,IF(Table1[[#This Row],[Fetal Sex (Male, Female or Unknown)]]="Unknown",Backend!$C$8,"Error"))),"")</f>
        <v/>
      </c>
      <c r="F84" s="8" t="str">
        <f>IF(Table1[[#This Row],[Is Data Valid]]=TRUE,EXP(0.578+0.332*((Table1[[#This Row],[Gestation (days)]]+0.5)/7)-0.00354*((Table1[[#This Row],[Gestation (days)]]+0.5)/7)^2)*Table1[[#This Row],[BW40_3705]],"")</f>
        <v/>
      </c>
      <c r="G84" s="2" t="str">
        <f>IF(Table1[[#This Row],[Is Data Valid]]=TRUE,((Table1[[#This Row],[Birthweight (grams)]]/Table1[[#This Row],[BW_GA]])-1)/(Backend!$B$4/100*Table1[[#This Row],[BW40_3705]]),"")</f>
        <v/>
      </c>
      <c r="H84" s="2" t="str">
        <f>IF(Table1[[#This Row],[Is Data Valid]]=TRUE,((Table1[[#This Row],[Birthweight (grams)]]*0.9/Table1[[#This Row],[BW_GA]])-1)/(Backend!$B$4/100*Table1[[#This Row],[BW40_3705]]),"")</f>
        <v/>
      </c>
      <c r="I84" s="2" t="str">
        <f>IF(Table1[[#This Row],[Is Data Valid]]=TRUE,((Table1[[#This Row],[Birthweight (grams)]]*1.1/Table1[[#This Row],[BW_GA]])-1)/(Backend!$B$4/100*Table1[[#This Row],[BW40_3705]]),"")</f>
        <v/>
      </c>
      <c r="J84" s="2" t="str">
        <f>IF(Table1[[#This Row],[Is Data Valid]]=TRUE,_xlfn.NORM.S.DIST(Table1[[#This Row],[Birthweight Z-Score]],TRUE)*100,"")</f>
        <v/>
      </c>
      <c r="K84" s="2" t="str">
        <f>IF(Table1[[#This Row],[Is Data Valid]]=TRUE,_xlfn.NORM.S.DIST(Table1[[#This Row],[Birthweight Z-Score (BW-10%)]],TRUE)*100,"")</f>
        <v/>
      </c>
      <c r="L84" s="2" t="str">
        <f>IF(Table1[[#This Row],[Is Data Valid]]=TRUE,_xlfn.NORM.S.DIST(Table1[[#This Row],[Birthweight Z-Score (BW+10%)]],TRUE)*100,"")</f>
        <v/>
      </c>
    </row>
    <row r="85" spans="1:12" x14ac:dyDescent="0.35">
      <c r="A85" s="3"/>
      <c r="B85" s="2"/>
      <c r="C85" s="2"/>
      <c r="D85" s="2" t="b">
        <f>IF(AND(NOT(ISBLANK(Table1[[#This Row],[Fetal Sex (Male, Female or Unknown)]])),ISNUMBER(Table1[[#This Row],[Birthweight (grams)]]),ISNUMBER(Table1[[#This Row],[Gestation (days)]])),TRUE,FALSE)</f>
        <v>0</v>
      </c>
      <c r="E85" s="2" t="str">
        <f>IF(Table1[[#This Row],[Is Data Valid]]=TRUE,IF(Table1[[#This Row],[Fetal Sex (Male, Female or Unknown)]]="Male",Backend!$C$6,IF(Table1[[#This Row],[Fetal Sex (Male, Female or Unknown)]]="Female",Backend!$C$7,IF(Table1[[#This Row],[Fetal Sex (Male, Female or Unknown)]]="Unknown",Backend!$C$8,"Error"))),"")</f>
        <v/>
      </c>
      <c r="F85" s="8" t="str">
        <f>IF(Table1[[#This Row],[Is Data Valid]]=TRUE,EXP(0.578+0.332*((Table1[[#This Row],[Gestation (days)]]+0.5)/7)-0.00354*((Table1[[#This Row],[Gestation (days)]]+0.5)/7)^2)*Table1[[#This Row],[BW40_3705]],"")</f>
        <v/>
      </c>
      <c r="G85" s="2" t="str">
        <f>IF(Table1[[#This Row],[Is Data Valid]]=TRUE,((Table1[[#This Row],[Birthweight (grams)]]/Table1[[#This Row],[BW_GA]])-1)/(Backend!$B$4/100*Table1[[#This Row],[BW40_3705]]),"")</f>
        <v/>
      </c>
      <c r="H85" s="2" t="str">
        <f>IF(Table1[[#This Row],[Is Data Valid]]=TRUE,((Table1[[#This Row],[Birthweight (grams)]]*0.9/Table1[[#This Row],[BW_GA]])-1)/(Backend!$B$4/100*Table1[[#This Row],[BW40_3705]]),"")</f>
        <v/>
      </c>
      <c r="I85" s="2" t="str">
        <f>IF(Table1[[#This Row],[Is Data Valid]]=TRUE,((Table1[[#This Row],[Birthweight (grams)]]*1.1/Table1[[#This Row],[BW_GA]])-1)/(Backend!$B$4/100*Table1[[#This Row],[BW40_3705]]),"")</f>
        <v/>
      </c>
      <c r="J85" s="2" t="str">
        <f>IF(Table1[[#This Row],[Is Data Valid]]=TRUE,_xlfn.NORM.S.DIST(Table1[[#This Row],[Birthweight Z-Score]],TRUE)*100,"")</f>
        <v/>
      </c>
      <c r="K85" s="2" t="str">
        <f>IF(Table1[[#This Row],[Is Data Valid]]=TRUE,_xlfn.NORM.S.DIST(Table1[[#This Row],[Birthweight Z-Score (BW-10%)]],TRUE)*100,"")</f>
        <v/>
      </c>
      <c r="L85" s="2" t="str">
        <f>IF(Table1[[#This Row],[Is Data Valid]]=TRUE,_xlfn.NORM.S.DIST(Table1[[#This Row],[Birthweight Z-Score (BW+10%)]],TRUE)*100,"")</f>
        <v/>
      </c>
    </row>
    <row r="86" spans="1:12" x14ac:dyDescent="0.35">
      <c r="A86" s="3"/>
      <c r="B86" s="2"/>
      <c r="C86" s="2"/>
      <c r="D86" s="2" t="b">
        <f>IF(AND(NOT(ISBLANK(Table1[[#This Row],[Fetal Sex (Male, Female or Unknown)]])),ISNUMBER(Table1[[#This Row],[Birthweight (grams)]]),ISNUMBER(Table1[[#This Row],[Gestation (days)]])),TRUE,FALSE)</f>
        <v>0</v>
      </c>
      <c r="E86" s="2" t="str">
        <f>IF(Table1[[#This Row],[Is Data Valid]]=TRUE,IF(Table1[[#This Row],[Fetal Sex (Male, Female or Unknown)]]="Male",Backend!$C$6,IF(Table1[[#This Row],[Fetal Sex (Male, Female or Unknown)]]="Female",Backend!$C$7,IF(Table1[[#This Row],[Fetal Sex (Male, Female or Unknown)]]="Unknown",Backend!$C$8,"Error"))),"")</f>
        <v/>
      </c>
      <c r="F86" s="8" t="str">
        <f>IF(Table1[[#This Row],[Is Data Valid]]=TRUE,EXP(0.578+0.332*((Table1[[#This Row],[Gestation (days)]]+0.5)/7)-0.00354*((Table1[[#This Row],[Gestation (days)]]+0.5)/7)^2)*Table1[[#This Row],[BW40_3705]],"")</f>
        <v/>
      </c>
      <c r="G86" s="2" t="str">
        <f>IF(Table1[[#This Row],[Is Data Valid]]=TRUE,((Table1[[#This Row],[Birthweight (grams)]]/Table1[[#This Row],[BW_GA]])-1)/(Backend!$B$4/100*Table1[[#This Row],[BW40_3705]]),"")</f>
        <v/>
      </c>
      <c r="H86" s="2" t="str">
        <f>IF(Table1[[#This Row],[Is Data Valid]]=TRUE,((Table1[[#This Row],[Birthweight (grams)]]*0.9/Table1[[#This Row],[BW_GA]])-1)/(Backend!$B$4/100*Table1[[#This Row],[BW40_3705]]),"")</f>
        <v/>
      </c>
      <c r="I86" s="2" t="str">
        <f>IF(Table1[[#This Row],[Is Data Valid]]=TRUE,((Table1[[#This Row],[Birthweight (grams)]]*1.1/Table1[[#This Row],[BW_GA]])-1)/(Backend!$B$4/100*Table1[[#This Row],[BW40_3705]]),"")</f>
        <v/>
      </c>
      <c r="J86" s="2" t="str">
        <f>IF(Table1[[#This Row],[Is Data Valid]]=TRUE,_xlfn.NORM.S.DIST(Table1[[#This Row],[Birthweight Z-Score]],TRUE)*100,"")</f>
        <v/>
      </c>
      <c r="K86" s="2" t="str">
        <f>IF(Table1[[#This Row],[Is Data Valid]]=TRUE,_xlfn.NORM.S.DIST(Table1[[#This Row],[Birthweight Z-Score (BW-10%)]],TRUE)*100,"")</f>
        <v/>
      </c>
      <c r="L86" s="2" t="str">
        <f>IF(Table1[[#This Row],[Is Data Valid]]=TRUE,_xlfn.NORM.S.DIST(Table1[[#This Row],[Birthweight Z-Score (BW+10%)]],TRUE)*100,"")</f>
        <v/>
      </c>
    </row>
    <row r="87" spans="1:12" x14ac:dyDescent="0.35">
      <c r="A87" s="3"/>
      <c r="B87" s="2"/>
      <c r="C87" s="2"/>
      <c r="D87" s="2" t="b">
        <f>IF(AND(NOT(ISBLANK(Table1[[#This Row],[Fetal Sex (Male, Female or Unknown)]])),ISNUMBER(Table1[[#This Row],[Birthweight (grams)]]),ISNUMBER(Table1[[#This Row],[Gestation (days)]])),TRUE,FALSE)</f>
        <v>0</v>
      </c>
      <c r="E87" s="2" t="str">
        <f>IF(Table1[[#This Row],[Is Data Valid]]=TRUE,IF(Table1[[#This Row],[Fetal Sex (Male, Female or Unknown)]]="Male",Backend!$C$6,IF(Table1[[#This Row],[Fetal Sex (Male, Female or Unknown)]]="Female",Backend!$C$7,IF(Table1[[#This Row],[Fetal Sex (Male, Female or Unknown)]]="Unknown",Backend!$C$8,"Error"))),"")</f>
        <v/>
      </c>
      <c r="F87" s="8" t="str">
        <f>IF(Table1[[#This Row],[Is Data Valid]]=TRUE,EXP(0.578+0.332*((Table1[[#This Row],[Gestation (days)]]+0.5)/7)-0.00354*((Table1[[#This Row],[Gestation (days)]]+0.5)/7)^2)*Table1[[#This Row],[BW40_3705]],"")</f>
        <v/>
      </c>
      <c r="G87" s="2" t="str">
        <f>IF(Table1[[#This Row],[Is Data Valid]]=TRUE,((Table1[[#This Row],[Birthweight (grams)]]/Table1[[#This Row],[BW_GA]])-1)/(Backend!$B$4/100*Table1[[#This Row],[BW40_3705]]),"")</f>
        <v/>
      </c>
      <c r="H87" s="2" t="str">
        <f>IF(Table1[[#This Row],[Is Data Valid]]=TRUE,((Table1[[#This Row],[Birthweight (grams)]]*0.9/Table1[[#This Row],[BW_GA]])-1)/(Backend!$B$4/100*Table1[[#This Row],[BW40_3705]]),"")</f>
        <v/>
      </c>
      <c r="I87" s="2" t="str">
        <f>IF(Table1[[#This Row],[Is Data Valid]]=TRUE,((Table1[[#This Row],[Birthweight (grams)]]*1.1/Table1[[#This Row],[BW_GA]])-1)/(Backend!$B$4/100*Table1[[#This Row],[BW40_3705]]),"")</f>
        <v/>
      </c>
      <c r="J87" s="2" t="str">
        <f>IF(Table1[[#This Row],[Is Data Valid]]=TRUE,_xlfn.NORM.S.DIST(Table1[[#This Row],[Birthweight Z-Score]],TRUE)*100,"")</f>
        <v/>
      </c>
      <c r="K87" s="2" t="str">
        <f>IF(Table1[[#This Row],[Is Data Valid]]=TRUE,_xlfn.NORM.S.DIST(Table1[[#This Row],[Birthweight Z-Score (BW-10%)]],TRUE)*100,"")</f>
        <v/>
      </c>
      <c r="L87" s="2" t="str">
        <f>IF(Table1[[#This Row],[Is Data Valid]]=TRUE,_xlfn.NORM.S.DIST(Table1[[#This Row],[Birthweight Z-Score (BW+10%)]],TRUE)*100,"")</f>
        <v/>
      </c>
    </row>
    <row r="88" spans="1:12" x14ac:dyDescent="0.35">
      <c r="A88" s="3"/>
      <c r="B88" s="2"/>
      <c r="C88" s="2"/>
      <c r="D88" s="2" t="b">
        <f>IF(AND(NOT(ISBLANK(Table1[[#This Row],[Fetal Sex (Male, Female or Unknown)]])),ISNUMBER(Table1[[#This Row],[Birthweight (grams)]]),ISNUMBER(Table1[[#This Row],[Gestation (days)]])),TRUE,FALSE)</f>
        <v>0</v>
      </c>
      <c r="E88" s="2" t="str">
        <f>IF(Table1[[#This Row],[Is Data Valid]]=TRUE,IF(Table1[[#This Row],[Fetal Sex (Male, Female or Unknown)]]="Male",Backend!$C$6,IF(Table1[[#This Row],[Fetal Sex (Male, Female or Unknown)]]="Female",Backend!$C$7,IF(Table1[[#This Row],[Fetal Sex (Male, Female or Unknown)]]="Unknown",Backend!$C$8,"Error"))),"")</f>
        <v/>
      </c>
      <c r="F88" s="8" t="str">
        <f>IF(Table1[[#This Row],[Is Data Valid]]=TRUE,EXP(0.578+0.332*((Table1[[#This Row],[Gestation (days)]]+0.5)/7)-0.00354*((Table1[[#This Row],[Gestation (days)]]+0.5)/7)^2)*Table1[[#This Row],[BW40_3705]],"")</f>
        <v/>
      </c>
      <c r="G88" s="2" t="str">
        <f>IF(Table1[[#This Row],[Is Data Valid]]=TRUE,((Table1[[#This Row],[Birthweight (grams)]]/Table1[[#This Row],[BW_GA]])-1)/(Backend!$B$4/100*Table1[[#This Row],[BW40_3705]]),"")</f>
        <v/>
      </c>
      <c r="H88" s="2" t="str">
        <f>IF(Table1[[#This Row],[Is Data Valid]]=TRUE,((Table1[[#This Row],[Birthweight (grams)]]*0.9/Table1[[#This Row],[BW_GA]])-1)/(Backend!$B$4/100*Table1[[#This Row],[BW40_3705]]),"")</f>
        <v/>
      </c>
      <c r="I88" s="2" t="str">
        <f>IF(Table1[[#This Row],[Is Data Valid]]=TRUE,((Table1[[#This Row],[Birthweight (grams)]]*1.1/Table1[[#This Row],[BW_GA]])-1)/(Backend!$B$4/100*Table1[[#This Row],[BW40_3705]]),"")</f>
        <v/>
      </c>
      <c r="J88" s="2" t="str">
        <f>IF(Table1[[#This Row],[Is Data Valid]]=TRUE,_xlfn.NORM.S.DIST(Table1[[#This Row],[Birthweight Z-Score]],TRUE)*100,"")</f>
        <v/>
      </c>
      <c r="K88" s="2" t="str">
        <f>IF(Table1[[#This Row],[Is Data Valid]]=TRUE,_xlfn.NORM.S.DIST(Table1[[#This Row],[Birthweight Z-Score (BW-10%)]],TRUE)*100,"")</f>
        <v/>
      </c>
      <c r="L88" s="2" t="str">
        <f>IF(Table1[[#This Row],[Is Data Valid]]=TRUE,_xlfn.NORM.S.DIST(Table1[[#This Row],[Birthweight Z-Score (BW+10%)]],TRUE)*100,"")</f>
        <v/>
      </c>
    </row>
    <row r="89" spans="1:12" x14ac:dyDescent="0.35">
      <c r="A89" s="3"/>
      <c r="B89" s="2"/>
      <c r="C89" s="2"/>
      <c r="D89" s="2" t="b">
        <f>IF(AND(NOT(ISBLANK(Table1[[#This Row],[Fetal Sex (Male, Female or Unknown)]])),ISNUMBER(Table1[[#This Row],[Birthweight (grams)]]),ISNUMBER(Table1[[#This Row],[Gestation (days)]])),TRUE,FALSE)</f>
        <v>0</v>
      </c>
      <c r="E89" s="2" t="str">
        <f>IF(Table1[[#This Row],[Is Data Valid]]=TRUE,IF(Table1[[#This Row],[Fetal Sex (Male, Female or Unknown)]]="Male",Backend!$C$6,IF(Table1[[#This Row],[Fetal Sex (Male, Female or Unknown)]]="Female",Backend!$C$7,IF(Table1[[#This Row],[Fetal Sex (Male, Female or Unknown)]]="Unknown",Backend!$C$8,"Error"))),"")</f>
        <v/>
      </c>
      <c r="F89" s="8" t="str">
        <f>IF(Table1[[#This Row],[Is Data Valid]]=TRUE,EXP(0.578+0.332*((Table1[[#This Row],[Gestation (days)]]+0.5)/7)-0.00354*((Table1[[#This Row],[Gestation (days)]]+0.5)/7)^2)*Table1[[#This Row],[BW40_3705]],"")</f>
        <v/>
      </c>
      <c r="G89" s="2" t="str">
        <f>IF(Table1[[#This Row],[Is Data Valid]]=TRUE,((Table1[[#This Row],[Birthweight (grams)]]/Table1[[#This Row],[BW_GA]])-1)/(Backend!$B$4/100*Table1[[#This Row],[BW40_3705]]),"")</f>
        <v/>
      </c>
      <c r="H89" s="2" t="str">
        <f>IF(Table1[[#This Row],[Is Data Valid]]=TRUE,((Table1[[#This Row],[Birthweight (grams)]]*0.9/Table1[[#This Row],[BW_GA]])-1)/(Backend!$B$4/100*Table1[[#This Row],[BW40_3705]]),"")</f>
        <v/>
      </c>
      <c r="I89" s="2" t="str">
        <f>IF(Table1[[#This Row],[Is Data Valid]]=TRUE,((Table1[[#This Row],[Birthweight (grams)]]*1.1/Table1[[#This Row],[BW_GA]])-1)/(Backend!$B$4/100*Table1[[#This Row],[BW40_3705]]),"")</f>
        <v/>
      </c>
      <c r="J89" s="2" t="str">
        <f>IF(Table1[[#This Row],[Is Data Valid]]=TRUE,_xlfn.NORM.S.DIST(Table1[[#This Row],[Birthweight Z-Score]],TRUE)*100,"")</f>
        <v/>
      </c>
      <c r="K89" s="2" t="str">
        <f>IF(Table1[[#This Row],[Is Data Valid]]=TRUE,_xlfn.NORM.S.DIST(Table1[[#This Row],[Birthweight Z-Score (BW-10%)]],TRUE)*100,"")</f>
        <v/>
      </c>
      <c r="L89" s="2" t="str">
        <f>IF(Table1[[#This Row],[Is Data Valid]]=TRUE,_xlfn.NORM.S.DIST(Table1[[#This Row],[Birthweight Z-Score (BW+10%)]],TRUE)*100,"")</f>
        <v/>
      </c>
    </row>
    <row r="90" spans="1:12" x14ac:dyDescent="0.35">
      <c r="A90" s="3"/>
      <c r="B90" s="2"/>
      <c r="C90" s="2"/>
      <c r="D90" s="2" t="b">
        <f>IF(AND(NOT(ISBLANK(Table1[[#This Row],[Fetal Sex (Male, Female or Unknown)]])),ISNUMBER(Table1[[#This Row],[Birthweight (grams)]]),ISNUMBER(Table1[[#This Row],[Gestation (days)]])),TRUE,FALSE)</f>
        <v>0</v>
      </c>
      <c r="E90" s="2" t="str">
        <f>IF(Table1[[#This Row],[Is Data Valid]]=TRUE,IF(Table1[[#This Row],[Fetal Sex (Male, Female or Unknown)]]="Male",Backend!$C$6,IF(Table1[[#This Row],[Fetal Sex (Male, Female or Unknown)]]="Female",Backend!$C$7,IF(Table1[[#This Row],[Fetal Sex (Male, Female or Unknown)]]="Unknown",Backend!$C$8,"Error"))),"")</f>
        <v/>
      </c>
      <c r="F90" s="8" t="str">
        <f>IF(Table1[[#This Row],[Is Data Valid]]=TRUE,EXP(0.578+0.332*((Table1[[#This Row],[Gestation (days)]]+0.5)/7)-0.00354*((Table1[[#This Row],[Gestation (days)]]+0.5)/7)^2)*Table1[[#This Row],[BW40_3705]],"")</f>
        <v/>
      </c>
      <c r="G90" s="2" t="str">
        <f>IF(Table1[[#This Row],[Is Data Valid]]=TRUE,((Table1[[#This Row],[Birthweight (grams)]]/Table1[[#This Row],[BW_GA]])-1)/(Backend!$B$4/100*Table1[[#This Row],[BW40_3705]]),"")</f>
        <v/>
      </c>
      <c r="H90" s="2" t="str">
        <f>IF(Table1[[#This Row],[Is Data Valid]]=TRUE,((Table1[[#This Row],[Birthweight (grams)]]*0.9/Table1[[#This Row],[BW_GA]])-1)/(Backend!$B$4/100*Table1[[#This Row],[BW40_3705]]),"")</f>
        <v/>
      </c>
      <c r="I90" s="2" t="str">
        <f>IF(Table1[[#This Row],[Is Data Valid]]=TRUE,((Table1[[#This Row],[Birthweight (grams)]]*1.1/Table1[[#This Row],[BW_GA]])-1)/(Backend!$B$4/100*Table1[[#This Row],[BW40_3705]]),"")</f>
        <v/>
      </c>
      <c r="J90" s="2" t="str">
        <f>IF(Table1[[#This Row],[Is Data Valid]]=TRUE,_xlfn.NORM.S.DIST(Table1[[#This Row],[Birthweight Z-Score]],TRUE)*100,"")</f>
        <v/>
      </c>
      <c r="K90" s="2" t="str">
        <f>IF(Table1[[#This Row],[Is Data Valid]]=TRUE,_xlfn.NORM.S.DIST(Table1[[#This Row],[Birthweight Z-Score (BW-10%)]],TRUE)*100,"")</f>
        <v/>
      </c>
      <c r="L90" s="2" t="str">
        <f>IF(Table1[[#This Row],[Is Data Valid]]=TRUE,_xlfn.NORM.S.DIST(Table1[[#This Row],[Birthweight Z-Score (BW+10%)]],TRUE)*100,"")</f>
        <v/>
      </c>
    </row>
    <row r="91" spans="1:12" x14ac:dyDescent="0.35">
      <c r="A91" s="3"/>
      <c r="B91" s="2"/>
      <c r="C91" s="2"/>
      <c r="D91" s="2" t="b">
        <f>IF(AND(NOT(ISBLANK(Table1[[#This Row],[Fetal Sex (Male, Female or Unknown)]])),ISNUMBER(Table1[[#This Row],[Birthweight (grams)]]),ISNUMBER(Table1[[#This Row],[Gestation (days)]])),TRUE,FALSE)</f>
        <v>0</v>
      </c>
      <c r="E91" s="2" t="str">
        <f>IF(Table1[[#This Row],[Is Data Valid]]=TRUE,IF(Table1[[#This Row],[Fetal Sex (Male, Female or Unknown)]]="Male",Backend!$C$6,IF(Table1[[#This Row],[Fetal Sex (Male, Female or Unknown)]]="Female",Backend!$C$7,IF(Table1[[#This Row],[Fetal Sex (Male, Female or Unknown)]]="Unknown",Backend!$C$8,"Error"))),"")</f>
        <v/>
      </c>
      <c r="F91" s="8" t="str">
        <f>IF(Table1[[#This Row],[Is Data Valid]]=TRUE,EXP(0.578+0.332*((Table1[[#This Row],[Gestation (days)]]+0.5)/7)-0.00354*((Table1[[#This Row],[Gestation (days)]]+0.5)/7)^2)*Table1[[#This Row],[BW40_3705]],"")</f>
        <v/>
      </c>
      <c r="G91" s="2" t="str">
        <f>IF(Table1[[#This Row],[Is Data Valid]]=TRUE,((Table1[[#This Row],[Birthweight (grams)]]/Table1[[#This Row],[BW_GA]])-1)/(Backend!$B$4/100*Table1[[#This Row],[BW40_3705]]),"")</f>
        <v/>
      </c>
      <c r="H91" s="2" t="str">
        <f>IF(Table1[[#This Row],[Is Data Valid]]=TRUE,((Table1[[#This Row],[Birthweight (grams)]]*0.9/Table1[[#This Row],[BW_GA]])-1)/(Backend!$B$4/100*Table1[[#This Row],[BW40_3705]]),"")</f>
        <v/>
      </c>
      <c r="I91" s="2" t="str">
        <f>IF(Table1[[#This Row],[Is Data Valid]]=TRUE,((Table1[[#This Row],[Birthweight (grams)]]*1.1/Table1[[#This Row],[BW_GA]])-1)/(Backend!$B$4/100*Table1[[#This Row],[BW40_3705]]),"")</f>
        <v/>
      </c>
      <c r="J91" s="2" t="str">
        <f>IF(Table1[[#This Row],[Is Data Valid]]=TRUE,_xlfn.NORM.S.DIST(Table1[[#This Row],[Birthweight Z-Score]],TRUE)*100,"")</f>
        <v/>
      </c>
      <c r="K91" s="2" t="str">
        <f>IF(Table1[[#This Row],[Is Data Valid]]=TRUE,_xlfn.NORM.S.DIST(Table1[[#This Row],[Birthweight Z-Score (BW-10%)]],TRUE)*100,"")</f>
        <v/>
      </c>
      <c r="L91" s="2" t="str">
        <f>IF(Table1[[#This Row],[Is Data Valid]]=TRUE,_xlfn.NORM.S.DIST(Table1[[#This Row],[Birthweight Z-Score (BW+10%)]],TRUE)*100,"")</f>
        <v/>
      </c>
    </row>
    <row r="92" spans="1:12" x14ac:dyDescent="0.35">
      <c r="A92" s="3"/>
      <c r="B92" s="2"/>
      <c r="C92" s="2"/>
      <c r="D92" s="2" t="b">
        <f>IF(AND(NOT(ISBLANK(Table1[[#This Row],[Fetal Sex (Male, Female or Unknown)]])),ISNUMBER(Table1[[#This Row],[Birthweight (grams)]]),ISNUMBER(Table1[[#This Row],[Gestation (days)]])),TRUE,FALSE)</f>
        <v>0</v>
      </c>
      <c r="E92" s="2" t="str">
        <f>IF(Table1[[#This Row],[Is Data Valid]]=TRUE,IF(Table1[[#This Row],[Fetal Sex (Male, Female or Unknown)]]="Male",Backend!$C$6,IF(Table1[[#This Row],[Fetal Sex (Male, Female or Unknown)]]="Female",Backend!$C$7,IF(Table1[[#This Row],[Fetal Sex (Male, Female or Unknown)]]="Unknown",Backend!$C$8,"Error"))),"")</f>
        <v/>
      </c>
      <c r="F92" s="8" t="str">
        <f>IF(Table1[[#This Row],[Is Data Valid]]=TRUE,EXP(0.578+0.332*((Table1[[#This Row],[Gestation (days)]]+0.5)/7)-0.00354*((Table1[[#This Row],[Gestation (days)]]+0.5)/7)^2)*Table1[[#This Row],[BW40_3705]],"")</f>
        <v/>
      </c>
      <c r="G92" s="2" t="str">
        <f>IF(Table1[[#This Row],[Is Data Valid]]=TRUE,((Table1[[#This Row],[Birthweight (grams)]]/Table1[[#This Row],[BW_GA]])-1)/(Backend!$B$4/100*Table1[[#This Row],[BW40_3705]]),"")</f>
        <v/>
      </c>
      <c r="H92" s="2" t="str">
        <f>IF(Table1[[#This Row],[Is Data Valid]]=TRUE,((Table1[[#This Row],[Birthweight (grams)]]*0.9/Table1[[#This Row],[BW_GA]])-1)/(Backend!$B$4/100*Table1[[#This Row],[BW40_3705]]),"")</f>
        <v/>
      </c>
      <c r="I92" s="2" t="str">
        <f>IF(Table1[[#This Row],[Is Data Valid]]=TRUE,((Table1[[#This Row],[Birthweight (grams)]]*1.1/Table1[[#This Row],[BW_GA]])-1)/(Backend!$B$4/100*Table1[[#This Row],[BW40_3705]]),"")</f>
        <v/>
      </c>
      <c r="J92" s="2" t="str">
        <f>IF(Table1[[#This Row],[Is Data Valid]]=TRUE,_xlfn.NORM.S.DIST(Table1[[#This Row],[Birthweight Z-Score]],TRUE)*100,"")</f>
        <v/>
      </c>
      <c r="K92" s="2" t="str">
        <f>IF(Table1[[#This Row],[Is Data Valid]]=TRUE,_xlfn.NORM.S.DIST(Table1[[#This Row],[Birthweight Z-Score (BW-10%)]],TRUE)*100,"")</f>
        <v/>
      </c>
      <c r="L92" s="2" t="str">
        <f>IF(Table1[[#This Row],[Is Data Valid]]=TRUE,_xlfn.NORM.S.DIST(Table1[[#This Row],[Birthweight Z-Score (BW+10%)]],TRUE)*100,"")</f>
        <v/>
      </c>
    </row>
    <row r="93" spans="1:12" x14ac:dyDescent="0.35">
      <c r="A93" s="3"/>
      <c r="B93" s="2"/>
      <c r="C93" s="2"/>
      <c r="D93" s="2" t="b">
        <f>IF(AND(NOT(ISBLANK(Table1[[#This Row],[Fetal Sex (Male, Female or Unknown)]])),ISNUMBER(Table1[[#This Row],[Birthweight (grams)]]),ISNUMBER(Table1[[#This Row],[Gestation (days)]])),TRUE,FALSE)</f>
        <v>0</v>
      </c>
      <c r="E93" s="2" t="str">
        <f>IF(Table1[[#This Row],[Is Data Valid]]=TRUE,IF(Table1[[#This Row],[Fetal Sex (Male, Female or Unknown)]]="Male",Backend!$C$6,IF(Table1[[#This Row],[Fetal Sex (Male, Female or Unknown)]]="Female",Backend!$C$7,IF(Table1[[#This Row],[Fetal Sex (Male, Female or Unknown)]]="Unknown",Backend!$C$8,"Error"))),"")</f>
        <v/>
      </c>
      <c r="F93" s="8" t="str">
        <f>IF(Table1[[#This Row],[Is Data Valid]]=TRUE,EXP(0.578+0.332*((Table1[[#This Row],[Gestation (days)]]+0.5)/7)-0.00354*((Table1[[#This Row],[Gestation (days)]]+0.5)/7)^2)*Table1[[#This Row],[BW40_3705]],"")</f>
        <v/>
      </c>
      <c r="G93" s="2" t="str">
        <f>IF(Table1[[#This Row],[Is Data Valid]]=TRUE,((Table1[[#This Row],[Birthweight (grams)]]/Table1[[#This Row],[BW_GA]])-1)/(Backend!$B$4/100*Table1[[#This Row],[BW40_3705]]),"")</f>
        <v/>
      </c>
      <c r="H93" s="2" t="str">
        <f>IF(Table1[[#This Row],[Is Data Valid]]=TRUE,((Table1[[#This Row],[Birthweight (grams)]]*0.9/Table1[[#This Row],[BW_GA]])-1)/(Backend!$B$4/100*Table1[[#This Row],[BW40_3705]]),"")</f>
        <v/>
      </c>
      <c r="I93" s="2" t="str">
        <f>IF(Table1[[#This Row],[Is Data Valid]]=TRUE,((Table1[[#This Row],[Birthweight (grams)]]*1.1/Table1[[#This Row],[BW_GA]])-1)/(Backend!$B$4/100*Table1[[#This Row],[BW40_3705]]),"")</f>
        <v/>
      </c>
      <c r="J93" s="2" t="str">
        <f>IF(Table1[[#This Row],[Is Data Valid]]=TRUE,_xlfn.NORM.S.DIST(Table1[[#This Row],[Birthweight Z-Score]],TRUE)*100,"")</f>
        <v/>
      </c>
      <c r="K93" s="2" t="str">
        <f>IF(Table1[[#This Row],[Is Data Valid]]=TRUE,_xlfn.NORM.S.DIST(Table1[[#This Row],[Birthweight Z-Score (BW-10%)]],TRUE)*100,"")</f>
        <v/>
      </c>
      <c r="L93" s="2" t="str">
        <f>IF(Table1[[#This Row],[Is Data Valid]]=TRUE,_xlfn.NORM.S.DIST(Table1[[#This Row],[Birthweight Z-Score (BW+10%)]],TRUE)*100,"")</f>
        <v/>
      </c>
    </row>
    <row r="94" spans="1:12" x14ac:dyDescent="0.35">
      <c r="A94" s="3"/>
      <c r="B94" s="2"/>
      <c r="C94" s="2"/>
      <c r="D94" s="2" t="b">
        <f>IF(AND(NOT(ISBLANK(Table1[[#This Row],[Fetal Sex (Male, Female or Unknown)]])),ISNUMBER(Table1[[#This Row],[Birthweight (grams)]]),ISNUMBER(Table1[[#This Row],[Gestation (days)]])),TRUE,FALSE)</f>
        <v>0</v>
      </c>
      <c r="E94" s="2" t="str">
        <f>IF(Table1[[#This Row],[Is Data Valid]]=TRUE,IF(Table1[[#This Row],[Fetal Sex (Male, Female or Unknown)]]="Male",Backend!$C$6,IF(Table1[[#This Row],[Fetal Sex (Male, Female or Unknown)]]="Female",Backend!$C$7,IF(Table1[[#This Row],[Fetal Sex (Male, Female or Unknown)]]="Unknown",Backend!$C$8,"Error"))),"")</f>
        <v/>
      </c>
      <c r="F94" s="8" t="str">
        <f>IF(Table1[[#This Row],[Is Data Valid]]=TRUE,EXP(0.578+0.332*((Table1[[#This Row],[Gestation (days)]]+0.5)/7)-0.00354*((Table1[[#This Row],[Gestation (days)]]+0.5)/7)^2)*Table1[[#This Row],[BW40_3705]],"")</f>
        <v/>
      </c>
      <c r="G94" s="2" t="str">
        <f>IF(Table1[[#This Row],[Is Data Valid]]=TRUE,((Table1[[#This Row],[Birthweight (grams)]]/Table1[[#This Row],[BW_GA]])-1)/(Backend!$B$4/100*Table1[[#This Row],[BW40_3705]]),"")</f>
        <v/>
      </c>
      <c r="H94" s="2" t="str">
        <f>IF(Table1[[#This Row],[Is Data Valid]]=TRUE,((Table1[[#This Row],[Birthweight (grams)]]*0.9/Table1[[#This Row],[BW_GA]])-1)/(Backend!$B$4/100*Table1[[#This Row],[BW40_3705]]),"")</f>
        <v/>
      </c>
      <c r="I94" s="2" t="str">
        <f>IF(Table1[[#This Row],[Is Data Valid]]=TRUE,((Table1[[#This Row],[Birthweight (grams)]]*1.1/Table1[[#This Row],[BW_GA]])-1)/(Backend!$B$4/100*Table1[[#This Row],[BW40_3705]]),"")</f>
        <v/>
      </c>
      <c r="J94" s="2" t="str">
        <f>IF(Table1[[#This Row],[Is Data Valid]]=TRUE,_xlfn.NORM.S.DIST(Table1[[#This Row],[Birthweight Z-Score]],TRUE)*100,"")</f>
        <v/>
      </c>
      <c r="K94" s="2" t="str">
        <f>IF(Table1[[#This Row],[Is Data Valid]]=TRUE,_xlfn.NORM.S.DIST(Table1[[#This Row],[Birthweight Z-Score (BW-10%)]],TRUE)*100,"")</f>
        <v/>
      </c>
      <c r="L94" s="2" t="str">
        <f>IF(Table1[[#This Row],[Is Data Valid]]=TRUE,_xlfn.NORM.S.DIST(Table1[[#This Row],[Birthweight Z-Score (BW+10%)]],TRUE)*100,"")</f>
        <v/>
      </c>
    </row>
    <row r="95" spans="1:12" x14ac:dyDescent="0.35">
      <c r="A95" s="3"/>
      <c r="B95" s="2"/>
      <c r="C95" s="2"/>
      <c r="D95" s="2" t="b">
        <f>IF(AND(NOT(ISBLANK(Table1[[#This Row],[Fetal Sex (Male, Female or Unknown)]])),ISNUMBER(Table1[[#This Row],[Birthweight (grams)]]),ISNUMBER(Table1[[#This Row],[Gestation (days)]])),TRUE,FALSE)</f>
        <v>0</v>
      </c>
      <c r="E95" s="2" t="str">
        <f>IF(Table1[[#This Row],[Is Data Valid]]=TRUE,IF(Table1[[#This Row],[Fetal Sex (Male, Female or Unknown)]]="Male",Backend!$C$6,IF(Table1[[#This Row],[Fetal Sex (Male, Female or Unknown)]]="Female",Backend!$C$7,IF(Table1[[#This Row],[Fetal Sex (Male, Female or Unknown)]]="Unknown",Backend!$C$8,"Error"))),"")</f>
        <v/>
      </c>
      <c r="F95" s="8" t="str">
        <f>IF(Table1[[#This Row],[Is Data Valid]]=TRUE,EXP(0.578+0.332*((Table1[[#This Row],[Gestation (days)]]+0.5)/7)-0.00354*((Table1[[#This Row],[Gestation (days)]]+0.5)/7)^2)*Table1[[#This Row],[BW40_3705]],"")</f>
        <v/>
      </c>
      <c r="G95" s="2" t="str">
        <f>IF(Table1[[#This Row],[Is Data Valid]]=TRUE,((Table1[[#This Row],[Birthweight (grams)]]/Table1[[#This Row],[BW_GA]])-1)/(Backend!$B$4/100*Table1[[#This Row],[BW40_3705]]),"")</f>
        <v/>
      </c>
      <c r="H95" s="2" t="str">
        <f>IF(Table1[[#This Row],[Is Data Valid]]=TRUE,((Table1[[#This Row],[Birthweight (grams)]]*0.9/Table1[[#This Row],[BW_GA]])-1)/(Backend!$B$4/100*Table1[[#This Row],[BW40_3705]]),"")</f>
        <v/>
      </c>
      <c r="I95" s="2" t="str">
        <f>IF(Table1[[#This Row],[Is Data Valid]]=TRUE,((Table1[[#This Row],[Birthweight (grams)]]*1.1/Table1[[#This Row],[BW_GA]])-1)/(Backend!$B$4/100*Table1[[#This Row],[BW40_3705]]),"")</f>
        <v/>
      </c>
      <c r="J95" s="2" t="str">
        <f>IF(Table1[[#This Row],[Is Data Valid]]=TRUE,_xlfn.NORM.S.DIST(Table1[[#This Row],[Birthweight Z-Score]],TRUE)*100,"")</f>
        <v/>
      </c>
      <c r="K95" s="2" t="str">
        <f>IF(Table1[[#This Row],[Is Data Valid]]=TRUE,_xlfn.NORM.S.DIST(Table1[[#This Row],[Birthweight Z-Score (BW-10%)]],TRUE)*100,"")</f>
        <v/>
      </c>
      <c r="L95" s="2" t="str">
        <f>IF(Table1[[#This Row],[Is Data Valid]]=TRUE,_xlfn.NORM.S.DIST(Table1[[#This Row],[Birthweight Z-Score (BW+10%)]],TRUE)*100,"")</f>
        <v/>
      </c>
    </row>
    <row r="96" spans="1:12" x14ac:dyDescent="0.35">
      <c r="A96" s="3"/>
      <c r="B96" s="2"/>
      <c r="C96" s="2"/>
      <c r="D96" s="2" t="b">
        <f>IF(AND(NOT(ISBLANK(Table1[[#This Row],[Fetal Sex (Male, Female or Unknown)]])),ISNUMBER(Table1[[#This Row],[Birthweight (grams)]]),ISNUMBER(Table1[[#This Row],[Gestation (days)]])),TRUE,FALSE)</f>
        <v>0</v>
      </c>
      <c r="E96" s="2" t="str">
        <f>IF(Table1[[#This Row],[Is Data Valid]]=TRUE,IF(Table1[[#This Row],[Fetal Sex (Male, Female or Unknown)]]="Male",Backend!$C$6,IF(Table1[[#This Row],[Fetal Sex (Male, Female or Unknown)]]="Female",Backend!$C$7,IF(Table1[[#This Row],[Fetal Sex (Male, Female or Unknown)]]="Unknown",Backend!$C$8,"Error"))),"")</f>
        <v/>
      </c>
      <c r="F96" s="8" t="str">
        <f>IF(Table1[[#This Row],[Is Data Valid]]=TRUE,EXP(0.578+0.332*((Table1[[#This Row],[Gestation (days)]]+0.5)/7)-0.00354*((Table1[[#This Row],[Gestation (days)]]+0.5)/7)^2)*Table1[[#This Row],[BW40_3705]],"")</f>
        <v/>
      </c>
      <c r="G96" s="2" t="str">
        <f>IF(Table1[[#This Row],[Is Data Valid]]=TRUE,((Table1[[#This Row],[Birthweight (grams)]]/Table1[[#This Row],[BW_GA]])-1)/(Backend!$B$4/100*Table1[[#This Row],[BW40_3705]]),"")</f>
        <v/>
      </c>
      <c r="H96" s="2" t="str">
        <f>IF(Table1[[#This Row],[Is Data Valid]]=TRUE,((Table1[[#This Row],[Birthweight (grams)]]*0.9/Table1[[#This Row],[BW_GA]])-1)/(Backend!$B$4/100*Table1[[#This Row],[BW40_3705]]),"")</f>
        <v/>
      </c>
      <c r="I96" s="2" t="str">
        <f>IF(Table1[[#This Row],[Is Data Valid]]=TRUE,((Table1[[#This Row],[Birthweight (grams)]]*1.1/Table1[[#This Row],[BW_GA]])-1)/(Backend!$B$4/100*Table1[[#This Row],[BW40_3705]]),"")</f>
        <v/>
      </c>
      <c r="J96" s="2" t="str">
        <f>IF(Table1[[#This Row],[Is Data Valid]]=TRUE,_xlfn.NORM.S.DIST(Table1[[#This Row],[Birthweight Z-Score]],TRUE)*100,"")</f>
        <v/>
      </c>
      <c r="K96" s="2" t="str">
        <f>IF(Table1[[#This Row],[Is Data Valid]]=TRUE,_xlfn.NORM.S.DIST(Table1[[#This Row],[Birthweight Z-Score (BW-10%)]],TRUE)*100,"")</f>
        <v/>
      </c>
      <c r="L96" s="2" t="str">
        <f>IF(Table1[[#This Row],[Is Data Valid]]=TRUE,_xlfn.NORM.S.DIST(Table1[[#This Row],[Birthweight Z-Score (BW+10%)]],TRUE)*100,"")</f>
        <v/>
      </c>
    </row>
    <row r="97" spans="1:12" x14ac:dyDescent="0.35">
      <c r="A97" s="3"/>
      <c r="B97" s="2"/>
      <c r="C97" s="2"/>
      <c r="D97" s="2" t="b">
        <f>IF(AND(NOT(ISBLANK(Table1[[#This Row],[Fetal Sex (Male, Female or Unknown)]])),ISNUMBER(Table1[[#This Row],[Birthweight (grams)]]),ISNUMBER(Table1[[#This Row],[Gestation (days)]])),TRUE,FALSE)</f>
        <v>0</v>
      </c>
      <c r="E97" s="2" t="str">
        <f>IF(Table1[[#This Row],[Is Data Valid]]=TRUE,IF(Table1[[#This Row],[Fetal Sex (Male, Female or Unknown)]]="Male",Backend!$C$6,IF(Table1[[#This Row],[Fetal Sex (Male, Female or Unknown)]]="Female",Backend!$C$7,IF(Table1[[#This Row],[Fetal Sex (Male, Female or Unknown)]]="Unknown",Backend!$C$8,"Error"))),"")</f>
        <v/>
      </c>
      <c r="F97" s="8" t="str">
        <f>IF(Table1[[#This Row],[Is Data Valid]]=TRUE,EXP(0.578+0.332*((Table1[[#This Row],[Gestation (days)]]+0.5)/7)-0.00354*((Table1[[#This Row],[Gestation (days)]]+0.5)/7)^2)*Table1[[#This Row],[BW40_3705]],"")</f>
        <v/>
      </c>
      <c r="G97" s="2" t="str">
        <f>IF(Table1[[#This Row],[Is Data Valid]]=TRUE,((Table1[[#This Row],[Birthweight (grams)]]/Table1[[#This Row],[BW_GA]])-1)/(Backend!$B$4/100*Table1[[#This Row],[BW40_3705]]),"")</f>
        <v/>
      </c>
      <c r="H97" s="2" t="str">
        <f>IF(Table1[[#This Row],[Is Data Valid]]=TRUE,((Table1[[#This Row],[Birthweight (grams)]]*0.9/Table1[[#This Row],[BW_GA]])-1)/(Backend!$B$4/100*Table1[[#This Row],[BW40_3705]]),"")</f>
        <v/>
      </c>
      <c r="I97" s="2" t="str">
        <f>IF(Table1[[#This Row],[Is Data Valid]]=TRUE,((Table1[[#This Row],[Birthweight (grams)]]*1.1/Table1[[#This Row],[BW_GA]])-1)/(Backend!$B$4/100*Table1[[#This Row],[BW40_3705]]),"")</f>
        <v/>
      </c>
      <c r="J97" s="2" t="str">
        <f>IF(Table1[[#This Row],[Is Data Valid]]=TRUE,_xlfn.NORM.S.DIST(Table1[[#This Row],[Birthweight Z-Score]],TRUE)*100,"")</f>
        <v/>
      </c>
      <c r="K97" s="2" t="str">
        <f>IF(Table1[[#This Row],[Is Data Valid]]=TRUE,_xlfn.NORM.S.DIST(Table1[[#This Row],[Birthweight Z-Score (BW-10%)]],TRUE)*100,"")</f>
        <v/>
      </c>
      <c r="L97" s="2" t="str">
        <f>IF(Table1[[#This Row],[Is Data Valid]]=TRUE,_xlfn.NORM.S.DIST(Table1[[#This Row],[Birthweight Z-Score (BW+10%)]],TRUE)*100,"")</f>
        <v/>
      </c>
    </row>
    <row r="98" spans="1:12" x14ac:dyDescent="0.35">
      <c r="A98" s="3"/>
      <c r="B98" s="2"/>
      <c r="C98" s="2"/>
      <c r="D98" s="2" t="b">
        <f>IF(AND(NOT(ISBLANK(Table1[[#This Row],[Fetal Sex (Male, Female or Unknown)]])),ISNUMBER(Table1[[#This Row],[Birthweight (grams)]]),ISNUMBER(Table1[[#This Row],[Gestation (days)]])),TRUE,FALSE)</f>
        <v>0</v>
      </c>
      <c r="E98" s="2" t="str">
        <f>IF(Table1[[#This Row],[Is Data Valid]]=TRUE,IF(Table1[[#This Row],[Fetal Sex (Male, Female or Unknown)]]="Male",Backend!$C$6,IF(Table1[[#This Row],[Fetal Sex (Male, Female or Unknown)]]="Female",Backend!$C$7,IF(Table1[[#This Row],[Fetal Sex (Male, Female or Unknown)]]="Unknown",Backend!$C$8,"Error"))),"")</f>
        <v/>
      </c>
      <c r="F98" s="8" t="str">
        <f>IF(Table1[[#This Row],[Is Data Valid]]=TRUE,EXP(0.578+0.332*((Table1[[#This Row],[Gestation (days)]]+0.5)/7)-0.00354*((Table1[[#This Row],[Gestation (days)]]+0.5)/7)^2)*Table1[[#This Row],[BW40_3705]],"")</f>
        <v/>
      </c>
      <c r="G98" s="2" t="str">
        <f>IF(Table1[[#This Row],[Is Data Valid]]=TRUE,((Table1[[#This Row],[Birthweight (grams)]]/Table1[[#This Row],[BW_GA]])-1)/(Backend!$B$4/100*Table1[[#This Row],[BW40_3705]]),"")</f>
        <v/>
      </c>
      <c r="H98" s="2" t="str">
        <f>IF(Table1[[#This Row],[Is Data Valid]]=TRUE,((Table1[[#This Row],[Birthweight (grams)]]*0.9/Table1[[#This Row],[BW_GA]])-1)/(Backend!$B$4/100*Table1[[#This Row],[BW40_3705]]),"")</f>
        <v/>
      </c>
      <c r="I98" s="2" t="str">
        <f>IF(Table1[[#This Row],[Is Data Valid]]=TRUE,((Table1[[#This Row],[Birthweight (grams)]]*1.1/Table1[[#This Row],[BW_GA]])-1)/(Backend!$B$4/100*Table1[[#This Row],[BW40_3705]]),"")</f>
        <v/>
      </c>
      <c r="J98" s="2" t="str">
        <f>IF(Table1[[#This Row],[Is Data Valid]]=TRUE,_xlfn.NORM.S.DIST(Table1[[#This Row],[Birthweight Z-Score]],TRUE)*100,"")</f>
        <v/>
      </c>
      <c r="K98" s="2" t="str">
        <f>IF(Table1[[#This Row],[Is Data Valid]]=TRUE,_xlfn.NORM.S.DIST(Table1[[#This Row],[Birthweight Z-Score (BW-10%)]],TRUE)*100,"")</f>
        <v/>
      </c>
      <c r="L98" s="2" t="str">
        <f>IF(Table1[[#This Row],[Is Data Valid]]=TRUE,_xlfn.NORM.S.DIST(Table1[[#This Row],[Birthweight Z-Score (BW+10%)]],TRUE)*100,"")</f>
        <v/>
      </c>
    </row>
    <row r="99" spans="1:12" x14ac:dyDescent="0.35">
      <c r="A99" s="3"/>
      <c r="B99" s="2"/>
      <c r="C99" s="2"/>
      <c r="D99" s="2" t="b">
        <f>IF(AND(NOT(ISBLANK(Table1[[#This Row],[Fetal Sex (Male, Female or Unknown)]])),ISNUMBER(Table1[[#This Row],[Birthweight (grams)]]),ISNUMBER(Table1[[#This Row],[Gestation (days)]])),TRUE,FALSE)</f>
        <v>0</v>
      </c>
      <c r="E99" s="2" t="str">
        <f>IF(Table1[[#This Row],[Is Data Valid]]=TRUE,IF(Table1[[#This Row],[Fetal Sex (Male, Female or Unknown)]]="Male",Backend!$C$6,IF(Table1[[#This Row],[Fetal Sex (Male, Female or Unknown)]]="Female",Backend!$C$7,IF(Table1[[#This Row],[Fetal Sex (Male, Female or Unknown)]]="Unknown",Backend!$C$8,"Error"))),"")</f>
        <v/>
      </c>
      <c r="F99" s="8" t="str">
        <f>IF(Table1[[#This Row],[Is Data Valid]]=TRUE,EXP(0.578+0.332*((Table1[[#This Row],[Gestation (days)]]+0.5)/7)-0.00354*((Table1[[#This Row],[Gestation (days)]]+0.5)/7)^2)*Table1[[#This Row],[BW40_3705]],"")</f>
        <v/>
      </c>
      <c r="G99" s="2" t="str">
        <f>IF(Table1[[#This Row],[Is Data Valid]]=TRUE,((Table1[[#This Row],[Birthweight (grams)]]/Table1[[#This Row],[BW_GA]])-1)/(Backend!$B$4/100*Table1[[#This Row],[BW40_3705]]),"")</f>
        <v/>
      </c>
      <c r="H99" s="2" t="str">
        <f>IF(Table1[[#This Row],[Is Data Valid]]=TRUE,((Table1[[#This Row],[Birthweight (grams)]]*0.9/Table1[[#This Row],[BW_GA]])-1)/(Backend!$B$4/100*Table1[[#This Row],[BW40_3705]]),"")</f>
        <v/>
      </c>
      <c r="I99" s="2" t="str">
        <f>IF(Table1[[#This Row],[Is Data Valid]]=TRUE,((Table1[[#This Row],[Birthweight (grams)]]*1.1/Table1[[#This Row],[BW_GA]])-1)/(Backend!$B$4/100*Table1[[#This Row],[BW40_3705]]),"")</f>
        <v/>
      </c>
      <c r="J99" s="2" t="str">
        <f>IF(Table1[[#This Row],[Is Data Valid]]=TRUE,_xlfn.NORM.S.DIST(Table1[[#This Row],[Birthweight Z-Score]],TRUE)*100,"")</f>
        <v/>
      </c>
      <c r="K99" s="2" t="str">
        <f>IF(Table1[[#This Row],[Is Data Valid]]=TRUE,_xlfn.NORM.S.DIST(Table1[[#This Row],[Birthweight Z-Score (BW-10%)]],TRUE)*100,"")</f>
        <v/>
      </c>
      <c r="L99" s="2" t="str">
        <f>IF(Table1[[#This Row],[Is Data Valid]]=TRUE,_xlfn.NORM.S.DIST(Table1[[#This Row],[Birthweight Z-Score (BW+10%)]],TRUE)*100,"")</f>
        <v/>
      </c>
    </row>
    <row r="100" spans="1:12" x14ac:dyDescent="0.35">
      <c r="A100" s="3"/>
      <c r="B100" s="2"/>
      <c r="C100" s="2"/>
      <c r="D100" s="2" t="b">
        <f>IF(AND(NOT(ISBLANK(Table1[[#This Row],[Fetal Sex (Male, Female or Unknown)]])),ISNUMBER(Table1[[#This Row],[Birthweight (grams)]]),ISNUMBER(Table1[[#This Row],[Gestation (days)]])),TRUE,FALSE)</f>
        <v>0</v>
      </c>
      <c r="E100" s="2" t="str">
        <f>IF(Table1[[#This Row],[Is Data Valid]]=TRUE,IF(Table1[[#This Row],[Fetal Sex (Male, Female or Unknown)]]="Male",Backend!$C$6,IF(Table1[[#This Row],[Fetal Sex (Male, Female or Unknown)]]="Female",Backend!$C$7,IF(Table1[[#This Row],[Fetal Sex (Male, Female or Unknown)]]="Unknown",Backend!$C$8,"Error"))),"")</f>
        <v/>
      </c>
      <c r="F100" s="8" t="str">
        <f>IF(Table1[[#This Row],[Is Data Valid]]=TRUE,EXP(0.578+0.332*((Table1[[#This Row],[Gestation (days)]]+0.5)/7)-0.00354*((Table1[[#This Row],[Gestation (days)]]+0.5)/7)^2)*Table1[[#This Row],[BW40_3705]],"")</f>
        <v/>
      </c>
      <c r="G100" s="2" t="str">
        <f>IF(Table1[[#This Row],[Is Data Valid]]=TRUE,((Table1[[#This Row],[Birthweight (grams)]]/Table1[[#This Row],[BW_GA]])-1)/(Backend!$B$4/100*Table1[[#This Row],[BW40_3705]]),"")</f>
        <v/>
      </c>
      <c r="H100" s="2" t="str">
        <f>IF(Table1[[#This Row],[Is Data Valid]]=TRUE,((Table1[[#This Row],[Birthweight (grams)]]*0.9/Table1[[#This Row],[BW_GA]])-1)/(Backend!$B$4/100*Table1[[#This Row],[BW40_3705]]),"")</f>
        <v/>
      </c>
      <c r="I100" s="2" t="str">
        <f>IF(Table1[[#This Row],[Is Data Valid]]=TRUE,((Table1[[#This Row],[Birthweight (grams)]]*1.1/Table1[[#This Row],[BW_GA]])-1)/(Backend!$B$4/100*Table1[[#This Row],[BW40_3705]]),"")</f>
        <v/>
      </c>
      <c r="J100" s="2" t="str">
        <f>IF(Table1[[#This Row],[Is Data Valid]]=TRUE,_xlfn.NORM.S.DIST(Table1[[#This Row],[Birthweight Z-Score]],TRUE)*100,"")</f>
        <v/>
      </c>
      <c r="K100" s="2" t="str">
        <f>IF(Table1[[#This Row],[Is Data Valid]]=TRUE,_xlfn.NORM.S.DIST(Table1[[#This Row],[Birthweight Z-Score (BW-10%)]],TRUE)*100,"")</f>
        <v/>
      </c>
      <c r="L100" s="2" t="str">
        <f>IF(Table1[[#This Row],[Is Data Valid]]=TRUE,_xlfn.NORM.S.DIST(Table1[[#This Row],[Birthweight Z-Score (BW+10%)]],TRUE)*100,"")</f>
        <v/>
      </c>
    </row>
    <row r="101" spans="1:12" x14ac:dyDescent="0.35">
      <c r="A101" s="6"/>
      <c r="B101" s="7"/>
      <c r="C101" s="7"/>
      <c r="D101" s="7" t="b">
        <f>IF(AND(NOT(ISBLANK(Table1[[#This Row],[Fetal Sex (Male, Female or Unknown)]])),ISNUMBER(Table1[[#This Row],[Birthweight (grams)]]),ISNUMBER(Table1[[#This Row],[Gestation (days)]])),TRUE,FALSE)</f>
        <v>0</v>
      </c>
      <c r="E101" s="7" t="str">
        <f>IF(Table1[[#This Row],[Is Data Valid]]=TRUE,IF(Table1[[#This Row],[Fetal Sex (Male, Female or Unknown)]]="Male",Backend!$C$6,IF(Table1[[#This Row],[Fetal Sex (Male, Female or Unknown)]]="Female",Backend!$C$7,IF(Table1[[#This Row],[Fetal Sex (Male, Female or Unknown)]]="Unknown",Backend!$C$8,"Error"))),"")</f>
        <v/>
      </c>
      <c r="F101" s="8" t="str">
        <f>IF(Table1[[#This Row],[Is Data Valid]]=TRUE,EXP(0.578+0.332*((Table1[[#This Row],[Gestation (days)]]+0.5)/7)-0.00354*((Table1[[#This Row],[Gestation (days)]]+0.5)/7)^2)*Table1[[#This Row],[BW40_3705]],"")</f>
        <v/>
      </c>
      <c r="G101" s="7" t="str">
        <f>IF(Table1[[#This Row],[Is Data Valid]]=TRUE,((Table1[[#This Row],[Birthweight (grams)]]/Table1[[#This Row],[BW_GA]])-1)/(Backend!$B$4/100*Table1[[#This Row],[BW40_3705]]),"")</f>
        <v/>
      </c>
      <c r="H101" s="7" t="str">
        <f>IF(Table1[[#This Row],[Is Data Valid]]=TRUE,((Table1[[#This Row],[Birthweight (grams)]]*0.9/Table1[[#This Row],[BW_GA]])-1)/(Backend!$B$4/100*Table1[[#This Row],[BW40_3705]]),"")</f>
        <v/>
      </c>
      <c r="I101" s="7" t="str">
        <f>IF(Table1[[#This Row],[Is Data Valid]]=TRUE,((Table1[[#This Row],[Birthweight (grams)]]*1.1/Table1[[#This Row],[BW_GA]])-1)/(Backend!$B$4/100*Table1[[#This Row],[BW40_3705]]),"")</f>
        <v/>
      </c>
      <c r="J101" s="7" t="str">
        <f>IF(Table1[[#This Row],[Is Data Valid]]=TRUE,_xlfn.NORM.S.DIST(Table1[[#This Row],[Birthweight Z-Score]],TRUE)*100,"")</f>
        <v/>
      </c>
      <c r="K101" s="7" t="str">
        <f>IF(Table1[[#This Row],[Is Data Valid]]=TRUE,_xlfn.NORM.S.DIST(Table1[[#This Row],[Birthweight Z-Score (BW-10%)]],TRUE)*100,"")</f>
        <v/>
      </c>
      <c r="L101" s="7" t="str">
        <f>IF(Table1[[#This Row],[Is Data Valid]]=TRUE,_xlfn.NORM.S.DIST(Table1[[#This Row],[Birthweight Z-Score (BW+10%)]],TRUE)*100,"")</f>
        <v/>
      </c>
    </row>
    <row r="102" spans="1:12" x14ac:dyDescent="0.35">
      <c r="A102" s="9"/>
      <c r="B102" s="2"/>
      <c r="C102" s="2"/>
      <c r="D102" s="2" t="b">
        <f>IF(AND(NOT(ISBLANK(Table1[[#This Row],[Fetal Sex (Male, Female or Unknown)]])),ISNUMBER(Table1[[#This Row],[Birthweight (grams)]]),ISNUMBER(Table1[[#This Row],[Gestation (days)]])),TRUE,FALSE)</f>
        <v>0</v>
      </c>
      <c r="E102" s="2" t="str">
        <f>IF(Table1[[#This Row],[Is Data Valid]]=TRUE,IF(Table1[[#This Row],[Fetal Sex (Male, Female or Unknown)]]="Male",Backend!$C$6,IF(Table1[[#This Row],[Fetal Sex (Male, Female or Unknown)]]="Female",Backend!$C$7,IF(Table1[[#This Row],[Fetal Sex (Male, Female or Unknown)]]="Unknown",Backend!$C$8,"Error"))),"")</f>
        <v/>
      </c>
      <c r="F102" s="8" t="str">
        <f>IF(Table1[[#This Row],[Is Data Valid]]=TRUE,EXP(0.578+0.332*((Table1[[#This Row],[Gestation (days)]]+0.5)/7)-0.00354*((Table1[[#This Row],[Gestation (days)]]+0.5)/7)^2)*Table1[[#This Row],[BW40_3705]],"")</f>
        <v/>
      </c>
      <c r="G102" s="2" t="str">
        <f>IF(Table1[[#This Row],[Is Data Valid]]=TRUE,((Table1[[#This Row],[Birthweight (grams)]]/Table1[[#This Row],[BW_GA]])-1)/(Backend!$B$4/100*Table1[[#This Row],[BW40_3705]]),"")</f>
        <v/>
      </c>
      <c r="H102" s="2" t="str">
        <f>IF(Table1[[#This Row],[Is Data Valid]]=TRUE,((Table1[[#This Row],[Birthweight (grams)]]*0.9/Table1[[#This Row],[BW_GA]])-1)/(Backend!$B$4/100*Table1[[#This Row],[BW40_3705]]),"")</f>
        <v/>
      </c>
      <c r="I102" s="2" t="str">
        <f>IF(Table1[[#This Row],[Is Data Valid]]=TRUE,((Table1[[#This Row],[Birthweight (grams)]]*1.1/Table1[[#This Row],[BW_GA]])-1)/(Backend!$B$4/100*Table1[[#This Row],[BW40_3705]]),"")</f>
        <v/>
      </c>
      <c r="J102" s="2" t="str">
        <f>IF(Table1[[#This Row],[Is Data Valid]]=TRUE,_xlfn.NORM.S.DIST(Table1[[#This Row],[Birthweight Z-Score]],TRUE)*100,"")</f>
        <v/>
      </c>
      <c r="K102" s="2" t="str">
        <f>IF(Table1[[#This Row],[Is Data Valid]]=TRUE,_xlfn.NORM.S.DIST(Table1[[#This Row],[Birthweight Z-Score (BW-10%)]],TRUE)*100,"")</f>
        <v/>
      </c>
      <c r="L102" s="2" t="str">
        <f>IF(Table1[[#This Row],[Is Data Valid]]=TRUE,_xlfn.NORM.S.DIST(Table1[[#This Row],[Birthweight Z-Score (BW+10%)]],TRUE)*100,"")</f>
        <v/>
      </c>
    </row>
    <row r="103" spans="1:12" x14ac:dyDescent="0.35">
      <c r="A103" s="3"/>
      <c r="B103" s="2"/>
      <c r="C103" s="2"/>
      <c r="D103" s="2" t="b">
        <f>IF(AND(NOT(ISBLANK(Table1[[#This Row],[Fetal Sex (Male, Female or Unknown)]])),ISNUMBER(Table1[[#This Row],[Birthweight (grams)]]),ISNUMBER(Table1[[#This Row],[Gestation (days)]])),TRUE,FALSE)</f>
        <v>0</v>
      </c>
      <c r="E103" s="2" t="str">
        <f>IF(Table1[[#This Row],[Is Data Valid]]=TRUE,IF(Table1[[#This Row],[Fetal Sex (Male, Female or Unknown)]]="Male",Backend!$C$6,IF(Table1[[#This Row],[Fetal Sex (Male, Female or Unknown)]]="Female",Backend!$C$7,IF(Table1[[#This Row],[Fetal Sex (Male, Female or Unknown)]]="Unknown",Backend!$C$8,"Error"))),"")</f>
        <v/>
      </c>
      <c r="F103" s="8" t="str">
        <f>IF(Table1[[#This Row],[Is Data Valid]]=TRUE,EXP(0.578+0.332*((Table1[[#This Row],[Gestation (days)]]+0.5)/7)-0.00354*((Table1[[#This Row],[Gestation (days)]]+0.5)/7)^2)*Table1[[#This Row],[BW40_3705]],"")</f>
        <v/>
      </c>
      <c r="G103" s="2" t="str">
        <f>IF(Table1[[#This Row],[Is Data Valid]]=TRUE,((Table1[[#This Row],[Birthweight (grams)]]/Table1[[#This Row],[BW_GA]])-1)/(Backend!$B$4/100*Table1[[#This Row],[BW40_3705]]),"")</f>
        <v/>
      </c>
      <c r="H103" s="2" t="str">
        <f>IF(Table1[[#This Row],[Is Data Valid]]=TRUE,((Table1[[#This Row],[Birthweight (grams)]]*0.9/Table1[[#This Row],[BW_GA]])-1)/(Backend!$B$4/100*Table1[[#This Row],[BW40_3705]]),"")</f>
        <v/>
      </c>
      <c r="I103" s="2" t="str">
        <f>IF(Table1[[#This Row],[Is Data Valid]]=TRUE,((Table1[[#This Row],[Birthweight (grams)]]*1.1/Table1[[#This Row],[BW_GA]])-1)/(Backend!$B$4/100*Table1[[#This Row],[BW40_3705]]),"")</f>
        <v/>
      </c>
      <c r="J103" s="2" t="str">
        <f>IF(Table1[[#This Row],[Is Data Valid]]=TRUE,_xlfn.NORM.S.DIST(Table1[[#This Row],[Birthweight Z-Score]],TRUE)*100,"")</f>
        <v/>
      </c>
      <c r="K103" s="2" t="str">
        <f>IF(Table1[[#This Row],[Is Data Valid]]=TRUE,_xlfn.NORM.S.DIST(Table1[[#This Row],[Birthweight Z-Score (BW-10%)]],TRUE)*100,"")</f>
        <v/>
      </c>
      <c r="L103" s="2" t="str">
        <f>IF(Table1[[#This Row],[Is Data Valid]]=TRUE,_xlfn.NORM.S.DIST(Table1[[#This Row],[Birthweight Z-Score (BW+10%)]],TRUE)*100,"")</f>
        <v/>
      </c>
    </row>
    <row r="104" spans="1:12" x14ac:dyDescent="0.35">
      <c r="A104" s="3"/>
      <c r="B104" s="2"/>
      <c r="C104" s="2"/>
      <c r="D104" s="2" t="b">
        <f>IF(AND(NOT(ISBLANK(Table1[[#This Row],[Fetal Sex (Male, Female or Unknown)]])),ISNUMBER(Table1[[#This Row],[Birthweight (grams)]]),ISNUMBER(Table1[[#This Row],[Gestation (days)]])),TRUE,FALSE)</f>
        <v>0</v>
      </c>
      <c r="E104" s="2" t="str">
        <f>IF(Table1[[#This Row],[Is Data Valid]]=TRUE,IF(Table1[[#This Row],[Fetal Sex (Male, Female or Unknown)]]="Male",Backend!$C$6,IF(Table1[[#This Row],[Fetal Sex (Male, Female or Unknown)]]="Female",Backend!$C$7,IF(Table1[[#This Row],[Fetal Sex (Male, Female or Unknown)]]="Unknown",Backend!$C$8,"Error"))),"")</f>
        <v/>
      </c>
      <c r="F104" s="8" t="str">
        <f>IF(Table1[[#This Row],[Is Data Valid]]=TRUE,EXP(0.578+0.332*((Table1[[#This Row],[Gestation (days)]]+0.5)/7)-0.00354*((Table1[[#This Row],[Gestation (days)]]+0.5)/7)^2)*Table1[[#This Row],[BW40_3705]],"")</f>
        <v/>
      </c>
      <c r="G104" s="2" t="str">
        <f>IF(Table1[[#This Row],[Is Data Valid]]=TRUE,((Table1[[#This Row],[Birthweight (grams)]]/Table1[[#This Row],[BW_GA]])-1)/(Backend!$B$4/100*Table1[[#This Row],[BW40_3705]]),"")</f>
        <v/>
      </c>
      <c r="H104" s="2" t="str">
        <f>IF(Table1[[#This Row],[Is Data Valid]]=TRUE,((Table1[[#This Row],[Birthweight (grams)]]*0.9/Table1[[#This Row],[BW_GA]])-1)/(Backend!$B$4/100*Table1[[#This Row],[BW40_3705]]),"")</f>
        <v/>
      </c>
      <c r="I104" s="2" t="str">
        <f>IF(Table1[[#This Row],[Is Data Valid]]=TRUE,((Table1[[#This Row],[Birthweight (grams)]]*1.1/Table1[[#This Row],[BW_GA]])-1)/(Backend!$B$4/100*Table1[[#This Row],[BW40_3705]]),"")</f>
        <v/>
      </c>
      <c r="J104" s="2" t="str">
        <f>IF(Table1[[#This Row],[Is Data Valid]]=TRUE,_xlfn.NORM.S.DIST(Table1[[#This Row],[Birthweight Z-Score]],TRUE)*100,"")</f>
        <v/>
      </c>
      <c r="K104" s="2" t="str">
        <f>IF(Table1[[#This Row],[Is Data Valid]]=TRUE,_xlfn.NORM.S.DIST(Table1[[#This Row],[Birthweight Z-Score (BW-10%)]],TRUE)*100,"")</f>
        <v/>
      </c>
      <c r="L104" s="2" t="str">
        <f>IF(Table1[[#This Row],[Is Data Valid]]=TRUE,_xlfn.NORM.S.DIST(Table1[[#This Row],[Birthweight Z-Score (BW+10%)]],TRUE)*100,"")</f>
        <v/>
      </c>
    </row>
    <row r="105" spans="1:12" x14ac:dyDescent="0.35">
      <c r="A105" s="3"/>
      <c r="B105" s="2"/>
      <c r="C105" s="2"/>
      <c r="D105" s="2" t="b">
        <f>IF(AND(NOT(ISBLANK(Table1[[#This Row],[Fetal Sex (Male, Female or Unknown)]])),ISNUMBER(Table1[[#This Row],[Birthweight (grams)]]),ISNUMBER(Table1[[#This Row],[Gestation (days)]])),TRUE,FALSE)</f>
        <v>0</v>
      </c>
      <c r="E105" s="2" t="str">
        <f>IF(Table1[[#This Row],[Is Data Valid]]=TRUE,IF(Table1[[#This Row],[Fetal Sex (Male, Female or Unknown)]]="Male",Backend!$C$6,IF(Table1[[#This Row],[Fetal Sex (Male, Female or Unknown)]]="Female",Backend!$C$7,IF(Table1[[#This Row],[Fetal Sex (Male, Female or Unknown)]]="Unknown",Backend!$C$8,"Error"))),"")</f>
        <v/>
      </c>
      <c r="F105" s="8" t="str">
        <f>IF(Table1[[#This Row],[Is Data Valid]]=TRUE,EXP(0.578+0.332*((Table1[[#This Row],[Gestation (days)]]+0.5)/7)-0.00354*((Table1[[#This Row],[Gestation (days)]]+0.5)/7)^2)*Table1[[#This Row],[BW40_3705]],"")</f>
        <v/>
      </c>
      <c r="G105" s="2" t="str">
        <f>IF(Table1[[#This Row],[Is Data Valid]]=TRUE,((Table1[[#This Row],[Birthweight (grams)]]/Table1[[#This Row],[BW_GA]])-1)/(Backend!$B$4/100*Table1[[#This Row],[BW40_3705]]),"")</f>
        <v/>
      </c>
      <c r="H105" s="2" t="str">
        <f>IF(Table1[[#This Row],[Is Data Valid]]=TRUE,((Table1[[#This Row],[Birthweight (grams)]]*0.9/Table1[[#This Row],[BW_GA]])-1)/(Backend!$B$4/100*Table1[[#This Row],[BW40_3705]]),"")</f>
        <v/>
      </c>
      <c r="I105" s="2" t="str">
        <f>IF(Table1[[#This Row],[Is Data Valid]]=TRUE,((Table1[[#This Row],[Birthweight (grams)]]*1.1/Table1[[#This Row],[BW_GA]])-1)/(Backend!$B$4/100*Table1[[#This Row],[BW40_3705]]),"")</f>
        <v/>
      </c>
      <c r="J105" s="2" t="str">
        <f>IF(Table1[[#This Row],[Is Data Valid]]=TRUE,_xlfn.NORM.S.DIST(Table1[[#This Row],[Birthweight Z-Score]],TRUE)*100,"")</f>
        <v/>
      </c>
      <c r="K105" s="2" t="str">
        <f>IF(Table1[[#This Row],[Is Data Valid]]=TRUE,_xlfn.NORM.S.DIST(Table1[[#This Row],[Birthweight Z-Score (BW-10%)]],TRUE)*100,"")</f>
        <v/>
      </c>
      <c r="L105" s="2" t="str">
        <f>IF(Table1[[#This Row],[Is Data Valid]]=TRUE,_xlfn.NORM.S.DIST(Table1[[#This Row],[Birthweight Z-Score (BW+10%)]],TRUE)*100,"")</f>
        <v/>
      </c>
    </row>
    <row r="106" spans="1:12" x14ac:dyDescent="0.35">
      <c r="A106" s="3"/>
      <c r="B106" s="2"/>
      <c r="C106" s="2"/>
      <c r="D106" s="2" t="b">
        <f>IF(AND(NOT(ISBLANK(Table1[[#This Row],[Fetal Sex (Male, Female or Unknown)]])),ISNUMBER(Table1[[#This Row],[Birthweight (grams)]]),ISNUMBER(Table1[[#This Row],[Gestation (days)]])),TRUE,FALSE)</f>
        <v>0</v>
      </c>
      <c r="E106" s="2" t="str">
        <f>IF(Table1[[#This Row],[Is Data Valid]]=TRUE,IF(Table1[[#This Row],[Fetal Sex (Male, Female or Unknown)]]="Male",Backend!$C$6,IF(Table1[[#This Row],[Fetal Sex (Male, Female or Unknown)]]="Female",Backend!$C$7,IF(Table1[[#This Row],[Fetal Sex (Male, Female or Unknown)]]="Unknown",Backend!$C$8,"Error"))),"")</f>
        <v/>
      </c>
      <c r="F106" s="8" t="str">
        <f>IF(Table1[[#This Row],[Is Data Valid]]=TRUE,EXP(0.578+0.332*((Table1[[#This Row],[Gestation (days)]]+0.5)/7)-0.00354*((Table1[[#This Row],[Gestation (days)]]+0.5)/7)^2)*Table1[[#This Row],[BW40_3705]],"")</f>
        <v/>
      </c>
      <c r="G106" s="2" t="str">
        <f>IF(Table1[[#This Row],[Is Data Valid]]=TRUE,((Table1[[#This Row],[Birthweight (grams)]]/Table1[[#This Row],[BW_GA]])-1)/(Backend!$B$4/100*Table1[[#This Row],[BW40_3705]]),"")</f>
        <v/>
      </c>
      <c r="H106" s="2" t="str">
        <f>IF(Table1[[#This Row],[Is Data Valid]]=TRUE,((Table1[[#This Row],[Birthweight (grams)]]*0.9/Table1[[#This Row],[BW_GA]])-1)/(Backend!$B$4/100*Table1[[#This Row],[BW40_3705]]),"")</f>
        <v/>
      </c>
      <c r="I106" s="2" t="str">
        <f>IF(Table1[[#This Row],[Is Data Valid]]=TRUE,((Table1[[#This Row],[Birthweight (grams)]]*1.1/Table1[[#This Row],[BW_GA]])-1)/(Backend!$B$4/100*Table1[[#This Row],[BW40_3705]]),"")</f>
        <v/>
      </c>
      <c r="J106" s="2" t="str">
        <f>IF(Table1[[#This Row],[Is Data Valid]]=TRUE,_xlfn.NORM.S.DIST(Table1[[#This Row],[Birthweight Z-Score]],TRUE)*100,"")</f>
        <v/>
      </c>
      <c r="K106" s="2" t="str">
        <f>IF(Table1[[#This Row],[Is Data Valid]]=TRUE,_xlfn.NORM.S.DIST(Table1[[#This Row],[Birthweight Z-Score (BW-10%)]],TRUE)*100,"")</f>
        <v/>
      </c>
      <c r="L106" s="2" t="str">
        <f>IF(Table1[[#This Row],[Is Data Valid]]=TRUE,_xlfn.NORM.S.DIST(Table1[[#This Row],[Birthweight Z-Score (BW+10%)]],TRUE)*100,"")</f>
        <v/>
      </c>
    </row>
    <row r="107" spans="1:12" x14ac:dyDescent="0.35">
      <c r="A107" s="3"/>
      <c r="B107" s="2"/>
      <c r="C107" s="2"/>
      <c r="D107" s="2" t="b">
        <f>IF(AND(NOT(ISBLANK(Table1[[#This Row],[Fetal Sex (Male, Female or Unknown)]])),ISNUMBER(Table1[[#This Row],[Birthweight (grams)]]),ISNUMBER(Table1[[#This Row],[Gestation (days)]])),TRUE,FALSE)</f>
        <v>0</v>
      </c>
      <c r="E107" s="2" t="str">
        <f>IF(Table1[[#This Row],[Is Data Valid]]=TRUE,IF(Table1[[#This Row],[Fetal Sex (Male, Female or Unknown)]]="Male",Backend!$C$6,IF(Table1[[#This Row],[Fetal Sex (Male, Female or Unknown)]]="Female",Backend!$C$7,IF(Table1[[#This Row],[Fetal Sex (Male, Female or Unknown)]]="Unknown",Backend!$C$8,"Error"))),"")</f>
        <v/>
      </c>
      <c r="F107" s="8" t="str">
        <f>IF(Table1[[#This Row],[Is Data Valid]]=TRUE,EXP(0.578+0.332*((Table1[[#This Row],[Gestation (days)]]+0.5)/7)-0.00354*((Table1[[#This Row],[Gestation (days)]]+0.5)/7)^2)*Table1[[#This Row],[BW40_3705]],"")</f>
        <v/>
      </c>
      <c r="G107" s="2" t="str">
        <f>IF(Table1[[#This Row],[Is Data Valid]]=TRUE,((Table1[[#This Row],[Birthweight (grams)]]/Table1[[#This Row],[BW_GA]])-1)/(Backend!$B$4/100*Table1[[#This Row],[BW40_3705]]),"")</f>
        <v/>
      </c>
      <c r="H107" s="2" t="str">
        <f>IF(Table1[[#This Row],[Is Data Valid]]=TRUE,((Table1[[#This Row],[Birthweight (grams)]]*0.9/Table1[[#This Row],[BW_GA]])-1)/(Backend!$B$4/100*Table1[[#This Row],[BW40_3705]]),"")</f>
        <v/>
      </c>
      <c r="I107" s="2" t="str">
        <f>IF(Table1[[#This Row],[Is Data Valid]]=TRUE,((Table1[[#This Row],[Birthweight (grams)]]*1.1/Table1[[#This Row],[BW_GA]])-1)/(Backend!$B$4/100*Table1[[#This Row],[BW40_3705]]),"")</f>
        <v/>
      </c>
      <c r="J107" s="2" t="str">
        <f>IF(Table1[[#This Row],[Is Data Valid]]=TRUE,_xlfn.NORM.S.DIST(Table1[[#This Row],[Birthweight Z-Score]],TRUE)*100,"")</f>
        <v/>
      </c>
      <c r="K107" s="2" t="str">
        <f>IF(Table1[[#This Row],[Is Data Valid]]=TRUE,_xlfn.NORM.S.DIST(Table1[[#This Row],[Birthweight Z-Score (BW-10%)]],TRUE)*100,"")</f>
        <v/>
      </c>
      <c r="L107" s="2" t="str">
        <f>IF(Table1[[#This Row],[Is Data Valid]]=TRUE,_xlfn.NORM.S.DIST(Table1[[#This Row],[Birthweight Z-Score (BW+10%)]],TRUE)*100,"")</f>
        <v/>
      </c>
    </row>
    <row r="108" spans="1:12" x14ac:dyDescent="0.35">
      <c r="A108" s="6"/>
      <c r="B108" s="7"/>
      <c r="C108" s="7"/>
      <c r="D108" s="7" t="b">
        <f>IF(AND(NOT(ISBLANK(Table1[[#This Row],[Fetal Sex (Male, Female or Unknown)]])),ISNUMBER(Table1[[#This Row],[Birthweight (grams)]]),ISNUMBER(Table1[[#This Row],[Gestation (days)]])),TRUE,FALSE)</f>
        <v>0</v>
      </c>
      <c r="E108" s="7" t="str">
        <f>IF(Table1[[#This Row],[Is Data Valid]]=TRUE,IF(Table1[[#This Row],[Fetal Sex (Male, Female or Unknown)]]="Male",Backend!$C$6,IF(Table1[[#This Row],[Fetal Sex (Male, Female or Unknown)]]="Female",Backend!$C$7,IF(Table1[[#This Row],[Fetal Sex (Male, Female or Unknown)]]="Unknown",Backend!$C$8,"Error"))),"")</f>
        <v/>
      </c>
      <c r="F108" s="8" t="str">
        <f>IF(Table1[[#This Row],[Is Data Valid]]=TRUE,EXP(0.578+0.332*((Table1[[#This Row],[Gestation (days)]]+0.5)/7)-0.00354*((Table1[[#This Row],[Gestation (days)]]+0.5)/7)^2)*Table1[[#This Row],[BW40_3705]],"")</f>
        <v/>
      </c>
      <c r="G108" s="7" t="str">
        <f>IF(Table1[[#This Row],[Is Data Valid]]=TRUE,((Table1[[#This Row],[Birthweight (grams)]]/Table1[[#This Row],[BW_GA]])-1)/(Backend!$B$4/100*Table1[[#This Row],[BW40_3705]]),"")</f>
        <v/>
      </c>
      <c r="H108" s="7" t="str">
        <f>IF(Table1[[#This Row],[Is Data Valid]]=TRUE,((Table1[[#This Row],[Birthweight (grams)]]*0.9/Table1[[#This Row],[BW_GA]])-1)/(Backend!$B$4/100*Table1[[#This Row],[BW40_3705]]),"")</f>
        <v/>
      </c>
      <c r="I108" s="7" t="str">
        <f>IF(Table1[[#This Row],[Is Data Valid]]=TRUE,((Table1[[#This Row],[Birthweight (grams)]]*1.1/Table1[[#This Row],[BW_GA]])-1)/(Backend!$B$4/100*Table1[[#This Row],[BW40_3705]]),"")</f>
        <v/>
      </c>
      <c r="J108" s="7" t="str">
        <f>IF(Table1[[#This Row],[Is Data Valid]]=TRUE,_xlfn.NORM.S.DIST(Table1[[#This Row],[Birthweight Z-Score]],TRUE)*100,"")</f>
        <v/>
      </c>
      <c r="K108" s="7" t="str">
        <f>IF(Table1[[#This Row],[Is Data Valid]]=TRUE,_xlfn.NORM.S.DIST(Table1[[#This Row],[Birthweight Z-Score (BW-10%)]],TRUE)*100,"")</f>
        <v/>
      </c>
      <c r="L108" s="7" t="str">
        <f>IF(Table1[[#This Row],[Is Data Valid]]=TRUE,_xlfn.NORM.S.DIST(Table1[[#This Row],[Birthweight Z-Score (BW+10%)]],TRUE)*100,"")</f>
        <v/>
      </c>
    </row>
    <row r="109" spans="1:12" x14ac:dyDescent="0.35">
      <c r="A109" s="3"/>
      <c r="B109" s="2"/>
      <c r="C109" s="2"/>
      <c r="D109" s="2" t="b">
        <f>IF(AND(NOT(ISBLANK(Table1[[#This Row],[Fetal Sex (Male, Female or Unknown)]])),ISNUMBER(Table1[[#This Row],[Birthweight (grams)]]),ISNUMBER(Table1[[#This Row],[Gestation (days)]])),TRUE,FALSE)</f>
        <v>0</v>
      </c>
      <c r="E109" s="2" t="str">
        <f>IF(Table1[[#This Row],[Is Data Valid]]=TRUE,IF(Table1[[#This Row],[Fetal Sex (Male, Female or Unknown)]]="Male",Backend!$C$6,IF(Table1[[#This Row],[Fetal Sex (Male, Female or Unknown)]]="Female",Backend!$C$7,IF(Table1[[#This Row],[Fetal Sex (Male, Female or Unknown)]]="Unknown",Backend!$C$8,"Error"))),"")</f>
        <v/>
      </c>
      <c r="F109" s="8" t="str">
        <f>IF(Table1[[#This Row],[Is Data Valid]]=TRUE,EXP(0.578+0.332*((Table1[[#This Row],[Gestation (days)]]+0.5)/7)-0.00354*((Table1[[#This Row],[Gestation (days)]]+0.5)/7)^2)*Table1[[#This Row],[BW40_3705]],"")</f>
        <v/>
      </c>
      <c r="G109" s="2" t="str">
        <f>IF(Table1[[#This Row],[Is Data Valid]]=TRUE,((Table1[[#This Row],[Birthweight (grams)]]/Table1[[#This Row],[BW_GA]])-1)/(Backend!$B$4/100*Table1[[#This Row],[BW40_3705]]),"")</f>
        <v/>
      </c>
      <c r="H109" s="7" t="str">
        <f>IF(Table1[[#This Row],[Is Data Valid]]=TRUE,((Table1[[#This Row],[Birthweight (grams)]]*0.9/Table1[[#This Row],[BW_GA]])-1)/(Backend!$B$4/100*Table1[[#This Row],[BW40_3705]]),"")</f>
        <v/>
      </c>
      <c r="I109" s="7" t="str">
        <f>IF(Table1[[#This Row],[Is Data Valid]]=TRUE,((Table1[[#This Row],[Birthweight (grams)]]*1.1/Table1[[#This Row],[BW_GA]])-1)/(Backend!$B$4/100*Table1[[#This Row],[BW40_3705]]),"")</f>
        <v/>
      </c>
      <c r="J109" s="7" t="str">
        <f>IF(Table1[[#This Row],[Is Data Valid]]=TRUE,_xlfn.NORM.S.DIST(Table1[[#This Row],[Birthweight Z-Score]],TRUE)*100,"")</f>
        <v/>
      </c>
      <c r="K109" s="7" t="str">
        <f>IF(Table1[[#This Row],[Is Data Valid]]=TRUE,_xlfn.NORM.S.DIST(Table1[[#This Row],[Birthweight Z-Score (BW-10%)]],TRUE)*100,"")</f>
        <v/>
      </c>
      <c r="L109" s="7" t="str">
        <f>IF(Table1[[#This Row],[Is Data Valid]]=TRUE,_xlfn.NORM.S.DIST(Table1[[#This Row],[Birthweight Z-Score (BW+10%)]],TRUE)*100,"")</f>
        <v/>
      </c>
    </row>
    <row r="110" spans="1:12" x14ac:dyDescent="0.35">
      <c r="A110" s="3"/>
      <c r="B110" s="2"/>
      <c r="C110" s="2"/>
      <c r="D110" s="2" t="b">
        <f>IF(AND(NOT(ISBLANK(Table1[[#This Row],[Fetal Sex (Male, Female or Unknown)]])),ISNUMBER(Table1[[#This Row],[Birthweight (grams)]]),ISNUMBER(Table1[[#This Row],[Gestation (days)]])),TRUE,FALSE)</f>
        <v>0</v>
      </c>
      <c r="E110" s="2" t="str">
        <f>IF(Table1[[#This Row],[Is Data Valid]]=TRUE,IF(Table1[[#This Row],[Fetal Sex (Male, Female or Unknown)]]="Male",Backend!$C$6,IF(Table1[[#This Row],[Fetal Sex (Male, Female or Unknown)]]="Female",Backend!$C$7,IF(Table1[[#This Row],[Fetal Sex (Male, Female or Unknown)]]="Unknown",Backend!$C$8,"Error"))),"")</f>
        <v/>
      </c>
      <c r="F110" s="8" t="str">
        <f>IF(Table1[[#This Row],[Is Data Valid]]=TRUE,EXP(0.578+0.332*((Table1[[#This Row],[Gestation (days)]]+0.5)/7)-0.00354*((Table1[[#This Row],[Gestation (days)]]+0.5)/7)^2)*Table1[[#This Row],[BW40_3705]],"")</f>
        <v/>
      </c>
      <c r="G110" s="2" t="str">
        <f>IF(Table1[[#This Row],[Is Data Valid]]=TRUE,((Table1[[#This Row],[Birthweight (grams)]]/Table1[[#This Row],[BW_GA]])-1)/(Backend!$B$4/100*Table1[[#This Row],[BW40_3705]]),"")</f>
        <v/>
      </c>
      <c r="H110" s="7" t="str">
        <f>IF(Table1[[#This Row],[Is Data Valid]]=TRUE,((Table1[[#This Row],[Birthweight (grams)]]*0.9/Table1[[#This Row],[BW_GA]])-1)/(Backend!$B$4/100*Table1[[#This Row],[BW40_3705]]),"")</f>
        <v/>
      </c>
      <c r="I110" s="7" t="str">
        <f>IF(Table1[[#This Row],[Is Data Valid]]=TRUE,((Table1[[#This Row],[Birthweight (grams)]]*1.1/Table1[[#This Row],[BW_GA]])-1)/(Backend!$B$4/100*Table1[[#This Row],[BW40_3705]]),"")</f>
        <v/>
      </c>
      <c r="J110" s="7" t="str">
        <f>IF(Table1[[#This Row],[Is Data Valid]]=TRUE,_xlfn.NORM.S.DIST(Table1[[#This Row],[Birthweight Z-Score]],TRUE)*100,"")</f>
        <v/>
      </c>
      <c r="K110" s="7" t="str">
        <f>IF(Table1[[#This Row],[Is Data Valid]]=TRUE,_xlfn.NORM.S.DIST(Table1[[#This Row],[Birthweight Z-Score (BW-10%)]],TRUE)*100,"")</f>
        <v/>
      </c>
      <c r="L110" s="7" t="str">
        <f>IF(Table1[[#This Row],[Is Data Valid]]=TRUE,_xlfn.NORM.S.DIST(Table1[[#This Row],[Birthweight Z-Score (BW+10%)]],TRUE)*100,"")</f>
        <v/>
      </c>
    </row>
    <row r="111" spans="1:12" x14ac:dyDescent="0.35">
      <c r="A111" s="3"/>
      <c r="B111" s="2"/>
      <c r="C111" s="2"/>
      <c r="D111" s="2" t="b">
        <f>IF(AND(NOT(ISBLANK(Table1[[#This Row],[Fetal Sex (Male, Female or Unknown)]])),ISNUMBER(Table1[[#This Row],[Birthweight (grams)]]),ISNUMBER(Table1[[#This Row],[Gestation (days)]])),TRUE,FALSE)</f>
        <v>0</v>
      </c>
      <c r="E111" s="2" t="str">
        <f>IF(Table1[[#This Row],[Is Data Valid]]=TRUE,IF(Table1[[#This Row],[Fetal Sex (Male, Female or Unknown)]]="Male",Backend!$C$6,IF(Table1[[#This Row],[Fetal Sex (Male, Female or Unknown)]]="Female",Backend!$C$7,IF(Table1[[#This Row],[Fetal Sex (Male, Female or Unknown)]]="Unknown",Backend!$C$8,"Error"))),"")</f>
        <v/>
      </c>
      <c r="F111" s="8" t="str">
        <f>IF(Table1[[#This Row],[Is Data Valid]]=TRUE,EXP(0.578+0.332*((Table1[[#This Row],[Gestation (days)]]+0.5)/7)-0.00354*((Table1[[#This Row],[Gestation (days)]]+0.5)/7)^2)*Table1[[#This Row],[BW40_3705]],"")</f>
        <v/>
      </c>
      <c r="G111" s="2" t="str">
        <f>IF(Table1[[#This Row],[Is Data Valid]]=TRUE,((Table1[[#This Row],[Birthweight (grams)]]/Table1[[#This Row],[BW_GA]])-1)/(Backend!$B$4/100*Table1[[#This Row],[BW40_3705]]),"")</f>
        <v/>
      </c>
      <c r="H111" s="7" t="str">
        <f>IF(Table1[[#This Row],[Is Data Valid]]=TRUE,((Table1[[#This Row],[Birthweight (grams)]]*0.9/Table1[[#This Row],[BW_GA]])-1)/(Backend!$B$4/100*Table1[[#This Row],[BW40_3705]]),"")</f>
        <v/>
      </c>
      <c r="I111" s="7" t="str">
        <f>IF(Table1[[#This Row],[Is Data Valid]]=TRUE,((Table1[[#This Row],[Birthweight (grams)]]*1.1/Table1[[#This Row],[BW_GA]])-1)/(Backend!$B$4/100*Table1[[#This Row],[BW40_3705]]),"")</f>
        <v/>
      </c>
      <c r="J111" s="7" t="str">
        <f>IF(Table1[[#This Row],[Is Data Valid]]=TRUE,_xlfn.NORM.S.DIST(Table1[[#This Row],[Birthweight Z-Score]],TRUE)*100,"")</f>
        <v/>
      </c>
      <c r="K111" s="7" t="str">
        <f>IF(Table1[[#This Row],[Is Data Valid]]=TRUE,_xlfn.NORM.S.DIST(Table1[[#This Row],[Birthweight Z-Score (BW-10%)]],TRUE)*100,"")</f>
        <v/>
      </c>
      <c r="L111" s="7" t="str">
        <f>IF(Table1[[#This Row],[Is Data Valid]]=TRUE,_xlfn.NORM.S.DIST(Table1[[#This Row],[Birthweight Z-Score (BW+10%)]],TRUE)*100,"")</f>
        <v/>
      </c>
    </row>
    <row r="112" spans="1:12" x14ac:dyDescent="0.35">
      <c r="A112" s="3"/>
      <c r="B112" s="2"/>
      <c r="C112" s="2"/>
      <c r="D112" s="2" t="b">
        <f>IF(AND(NOT(ISBLANK(Table1[[#This Row],[Fetal Sex (Male, Female or Unknown)]])),ISNUMBER(Table1[[#This Row],[Birthweight (grams)]]),ISNUMBER(Table1[[#This Row],[Gestation (days)]])),TRUE,FALSE)</f>
        <v>0</v>
      </c>
      <c r="E112" s="2" t="str">
        <f>IF(Table1[[#This Row],[Is Data Valid]]=TRUE,IF(Table1[[#This Row],[Fetal Sex (Male, Female or Unknown)]]="Male",Backend!$C$6,IF(Table1[[#This Row],[Fetal Sex (Male, Female or Unknown)]]="Female",Backend!$C$7,IF(Table1[[#This Row],[Fetal Sex (Male, Female or Unknown)]]="Unknown",Backend!$C$8,"Error"))),"")</f>
        <v/>
      </c>
      <c r="F112" s="8" t="str">
        <f>IF(Table1[[#This Row],[Is Data Valid]]=TRUE,EXP(0.578+0.332*((Table1[[#This Row],[Gestation (days)]]+0.5)/7)-0.00354*((Table1[[#This Row],[Gestation (days)]]+0.5)/7)^2)*Table1[[#This Row],[BW40_3705]],"")</f>
        <v/>
      </c>
      <c r="G112" s="2" t="str">
        <f>IF(Table1[[#This Row],[Is Data Valid]]=TRUE,((Table1[[#This Row],[Birthweight (grams)]]/Table1[[#This Row],[BW_GA]])-1)/(Backend!$B$4/100*Table1[[#This Row],[BW40_3705]]),"")</f>
        <v/>
      </c>
      <c r="H112" s="7" t="str">
        <f>IF(Table1[[#This Row],[Is Data Valid]]=TRUE,((Table1[[#This Row],[Birthweight (grams)]]*0.9/Table1[[#This Row],[BW_GA]])-1)/(Backend!$B$4/100*Table1[[#This Row],[BW40_3705]]),"")</f>
        <v/>
      </c>
      <c r="I112" s="7" t="str">
        <f>IF(Table1[[#This Row],[Is Data Valid]]=TRUE,((Table1[[#This Row],[Birthweight (grams)]]*1.1/Table1[[#This Row],[BW_GA]])-1)/(Backend!$B$4/100*Table1[[#This Row],[BW40_3705]]),"")</f>
        <v/>
      </c>
      <c r="J112" s="7" t="str">
        <f>IF(Table1[[#This Row],[Is Data Valid]]=TRUE,_xlfn.NORM.S.DIST(Table1[[#This Row],[Birthweight Z-Score]],TRUE)*100,"")</f>
        <v/>
      </c>
      <c r="K112" s="7" t="str">
        <f>IF(Table1[[#This Row],[Is Data Valid]]=TRUE,_xlfn.NORM.S.DIST(Table1[[#This Row],[Birthweight Z-Score (BW-10%)]],TRUE)*100,"")</f>
        <v/>
      </c>
      <c r="L112" s="7" t="str">
        <f>IF(Table1[[#This Row],[Is Data Valid]]=TRUE,_xlfn.NORM.S.DIST(Table1[[#This Row],[Birthweight Z-Score (BW+10%)]],TRUE)*100,"")</f>
        <v/>
      </c>
    </row>
    <row r="113" spans="1:12" x14ac:dyDescent="0.35">
      <c r="A113" s="3"/>
      <c r="B113" s="2"/>
      <c r="C113" s="2"/>
      <c r="D113" s="2" t="b">
        <f>IF(AND(NOT(ISBLANK(Table1[[#This Row],[Fetal Sex (Male, Female or Unknown)]])),ISNUMBER(Table1[[#This Row],[Birthweight (grams)]]),ISNUMBER(Table1[[#This Row],[Gestation (days)]])),TRUE,FALSE)</f>
        <v>0</v>
      </c>
      <c r="E113" s="2" t="str">
        <f>IF(Table1[[#This Row],[Is Data Valid]]=TRUE,IF(Table1[[#This Row],[Fetal Sex (Male, Female or Unknown)]]="Male",Backend!$C$6,IF(Table1[[#This Row],[Fetal Sex (Male, Female or Unknown)]]="Female",Backend!$C$7,IF(Table1[[#This Row],[Fetal Sex (Male, Female or Unknown)]]="Unknown",Backend!$C$8,"Error"))),"")</f>
        <v/>
      </c>
      <c r="F113" s="8" t="str">
        <f>IF(Table1[[#This Row],[Is Data Valid]]=TRUE,EXP(0.578+0.332*((Table1[[#This Row],[Gestation (days)]]+0.5)/7)-0.00354*((Table1[[#This Row],[Gestation (days)]]+0.5)/7)^2)*Table1[[#This Row],[BW40_3705]],"")</f>
        <v/>
      </c>
      <c r="G113" s="2" t="str">
        <f>IF(Table1[[#This Row],[Is Data Valid]]=TRUE,((Table1[[#This Row],[Birthweight (grams)]]/Table1[[#This Row],[BW_GA]])-1)/(Backend!$B$4/100*Table1[[#This Row],[BW40_3705]]),"")</f>
        <v/>
      </c>
      <c r="H113" s="7" t="str">
        <f>IF(Table1[[#This Row],[Is Data Valid]]=TRUE,((Table1[[#This Row],[Birthweight (grams)]]*0.9/Table1[[#This Row],[BW_GA]])-1)/(Backend!$B$4/100*Table1[[#This Row],[BW40_3705]]),"")</f>
        <v/>
      </c>
      <c r="I113" s="7" t="str">
        <f>IF(Table1[[#This Row],[Is Data Valid]]=TRUE,((Table1[[#This Row],[Birthweight (grams)]]*1.1/Table1[[#This Row],[BW_GA]])-1)/(Backend!$B$4/100*Table1[[#This Row],[BW40_3705]]),"")</f>
        <v/>
      </c>
      <c r="J113" s="7" t="str">
        <f>IF(Table1[[#This Row],[Is Data Valid]]=TRUE,_xlfn.NORM.S.DIST(Table1[[#This Row],[Birthweight Z-Score]],TRUE)*100,"")</f>
        <v/>
      </c>
      <c r="K113" s="7" t="str">
        <f>IF(Table1[[#This Row],[Is Data Valid]]=TRUE,_xlfn.NORM.S.DIST(Table1[[#This Row],[Birthweight Z-Score (BW-10%)]],TRUE)*100,"")</f>
        <v/>
      </c>
      <c r="L113" s="7" t="str">
        <f>IF(Table1[[#This Row],[Is Data Valid]]=TRUE,_xlfn.NORM.S.DIST(Table1[[#This Row],[Birthweight Z-Score (BW+10%)]],TRUE)*100,"")</f>
        <v/>
      </c>
    </row>
    <row r="114" spans="1:12" x14ac:dyDescent="0.35">
      <c r="A114" s="3"/>
      <c r="B114" s="2"/>
      <c r="C114" s="2"/>
      <c r="D114" s="2" t="b">
        <f>IF(AND(NOT(ISBLANK(Table1[[#This Row],[Fetal Sex (Male, Female or Unknown)]])),ISNUMBER(Table1[[#This Row],[Birthweight (grams)]]),ISNUMBER(Table1[[#This Row],[Gestation (days)]])),TRUE,FALSE)</f>
        <v>0</v>
      </c>
      <c r="E114" s="2" t="str">
        <f>IF(Table1[[#This Row],[Is Data Valid]]=TRUE,IF(Table1[[#This Row],[Fetal Sex (Male, Female or Unknown)]]="Male",Backend!$C$6,IF(Table1[[#This Row],[Fetal Sex (Male, Female or Unknown)]]="Female",Backend!$C$7,IF(Table1[[#This Row],[Fetal Sex (Male, Female or Unknown)]]="Unknown",Backend!$C$8,"Error"))),"")</f>
        <v/>
      </c>
      <c r="F114" s="8" t="str">
        <f>IF(Table1[[#This Row],[Is Data Valid]]=TRUE,EXP(0.578+0.332*((Table1[[#This Row],[Gestation (days)]]+0.5)/7)-0.00354*((Table1[[#This Row],[Gestation (days)]]+0.5)/7)^2)*Table1[[#This Row],[BW40_3705]],"")</f>
        <v/>
      </c>
      <c r="G114" s="2" t="str">
        <f>IF(Table1[[#This Row],[Is Data Valid]]=TRUE,((Table1[[#This Row],[Birthweight (grams)]]/Table1[[#This Row],[BW_GA]])-1)/(Backend!$B$4/100*Table1[[#This Row],[BW40_3705]]),"")</f>
        <v/>
      </c>
      <c r="H114" s="7" t="str">
        <f>IF(Table1[[#This Row],[Is Data Valid]]=TRUE,((Table1[[#This Row],[Birthweight (grams)]]*0.9/Table1[[#This Row],[BW_GA]])-1)/(Backend!$B$4/100*Table1[[#This Row],[BW40_3705]]),"")</f>
        <v/>
      </c>
      <c r="I114" s="7" t="str">
        <f>IF(Table1[[#This Row],[Is Data Valid]]=TRUE,((Table1[[#This Row],[Birthweight (grams)]]*1.1/Table1[[#This Row],[BW_GA]])-1)/(Backend!$B$4/100*Table1[[#This Row],[BW40_3705]]),"")</f>
        <v/>
      </c>
      <c r="J114" s="7" t="str">
        <f>IF(Table1[[#This Row],[Is Data Valid]]=TRUE,_xlfn.NORM.S.DIST(Table1[[#This Row],[Birthweight Z-Score]],TRUE)*100,"")</f>
        <v/>
      </c>
      <c r="K114" s="7" t="str">
        <f>IF(Table1[[#This Row],[Is Data Valid]]=TRUE,_xlfn.NORM.S.DIST(Table1[[#This Row],[Birthweight Z-Score (BW-10%)]],TRUE)*100,"")</f>
        <v/>
      </c>
      <c r="L114" s="7" t="str">
        <f>IF(Table1[[#This Row],[Is Data Valid]]=TRUE,_xlfn.NORM.S.DIST(Table1[[#This Row],[Birthweight Z-Score (BW+10%)]],TRUE)*100,"")</f>
        <v/>
      </c>
    </row>
    <row r="115" spans="1:12" x14ac:dyDescent="0.35">
      <c r="A115" s="3"/>
      <c r="B115" s="2"/>
      <c r="C115" s="2"/>
      <c r="D115" s="2" t="b">
        <f>IF(AND(NOT(ISBLANK(Table1[[#This Row],[Fetal Sex (Male, Female or Unknown)]])),ISNUMBER(Table1[[#This Row],[Birthweight (grams)]]),ISNUMBER(Table1[[#This Row],[Gestation (days)]])),TRUE,FALSE)</f>
        <v>0</v>
      </c>
      <c r="E115" s="2" t="str">
        <f>IF(Table1[[#This Row],[Is Data Valid]]=TRUE,IF(Table1[[#This Row],[Fetal Sex (Male, Female or Unknown)]]="Male",Backend!$C$6,IF(Table1[[#This Row],[Fetal Sex (Male, Female or Unknown)]]="Female",Backend!$C$7,IF(Table1[[#This Row],[Fetal Sex (Male, Female or Unknown)]]="Unknown",Backend!$C$8,"Error"))),"")</f>
        <v/>
      </c>
      <c r="F115" s="8" t="str">
        <f>IF(Table1[[#This Row],[Is Data Valid]]=TRUE,EXP(0.578+0.332*((Table1[[#This Row],[Gestation (days)]]+0.5)/7)-0.00354*((Table1[[#This Row],[Gestation (days)]]+0.5)/7)^2)*Table1[[#This Row],[BW40_3705]],"")</f>
        <v/>
      </c>
      <c r="G115" s="2" t="str">
        <f>IF(Table1[[#This Row],[Is Data Valid]]=TRUE,((Table1[[#This Row],[Birthweight (grams)]]/Table1[[#This Row],[BW_GA]])-1)/(Backend!$B$4/100*Table1[[#This Row],[BW40_3705]]),"")</f>
        <v/>
      </c>
      <c r="H115" s="7" t="str">
        <f>IF(Table1[[#This Row],[Is Data Valid]]=TRUE,((Table1[[#This Row],[Birthweight (grams)]]*0.9/Table1[[#This Row],[BW_GA]])-1)/(Backend!$B$4/100*Table1[[#This Row],[BW40_3705]]),"")</f>
        <v/>
      </c>
      <c r="I115" s="7" t="str">
        <f>IF(Table1[[#This Row],[Is Data Valid]]=TRUE,((Table1[[#This Row],[Birthweight (grams)]]*1.1/Table1[[#This Row],[BW_GA]])-1)/(Backend!$B$4/100*Table1[[#This Row],[BW40_3705]]),"")</f>
        <v/>
      </c>
      <c r="J115" s="7" t="str">
        <f>IF(Table1[[#This Row],[Is Data Valid]]=TRUE,_xlfn.NORM.S.DIST(Table1[[#This Row],[Birthweight Z-Score]],TRUE)*100,"")</f>
        <v/>
      </c>
      <c r="K115" s="7" t="str">
        <f>IF(Table1[[#This Row],[Is Data Valid]]=TRUE,_xlfn.NORM.S.DIST(Table1[[#This Row],[Birthweight Z-Score (BW-10%)]],TRUE)*100,"")</f>
        <v/>
      </c>
      <c r="L115" s="7" t="str">
        <f>IF(Table1[[#This Row],[Is Data Valid]]=TRUE,_xlfn.NORM.S.DIST(Table1[[#This Row],[Birthweight Z-Score (BW+10%)]],TRUE)*100,"")</f>
        <v/>
      </c>
    </row>
    <row r="116" spans="1:12" x14ac:dyDescent="0.35">
      <c r="A116" s="3"/>
      <c r="B116" s="2"/>
      <c r="C116" s="2"/>
      <c r="D116" s="2" t="b">
        <f>IF(AND(NOT(ISBLANK(Table1[[#This Row],[Fetal Sex (Male, Female or Unknown)]])),ISNUMBER(Table1[[#This Row],[Birthweight (grams)]]),ISNUMBER(Table1[[#This Row],[Gestation (days)]])),TRUE,FALSE)</f>
        <v>0</v>
      </c>
      <c r="E116" s="2" t="str">
        <f>IF(Table1[[#This Row],[Is Data Valid]]=TRUE,IF(Table1[[#This Row],[Fetal Sex (Male, Female or Unknown)]]="Male",Backend!$C$6,IF(Table1[[#This Row],[Fetal Sex (Male, Female or Unknown)]]="Female",Backend!$C$7,IF(Table1[[#This Row],[Fetal Sex (Male, Female or Unknown)]]="Unknown",Backend!$C$8,"Error"))),"")</f>
        <v/>
      </c>
      <c r="F116" s="8" t="str">
        <f>IF(Table1[[#This Row],[Is Data Valid]]=TRUE,EXP(0.578+0.332*((Table1[[#This Row],[Gestation (days)]]+0.5)/7)-0.00354*((Table1[[#This Row],[Gestation (days)]]+0.5)/7)^2)*Table1[[#This Row],[BW40_3705]],"")</f>
        <v/>
      </c>
      <c r="G116" s="2" t="str">
        <f>IF(Table1[[#This Row],[Is Data Valid]]=TRUE,((Table1[[#This Row],[Birthweight (grams)]]/Table1[[#This Row],[BW_GA]])-1)/(Backend!$B$4/100*Table1[[#This Row],[BW40_3705]]),"")</f>
        <v/>
      </c>
      <c r="H116" s="7" t="str">
        <f>IF(Table1[[#This Row],[Is Data Valid]]=TRUE,((Table1[[#This Row],[Birthweight (grams)]]*0.9/Table1[[#This Row],[BW_GA]])-1)/(Backend!$B$4/100*Table1[[#This Row],[BW40_3705]]),"")</f>
        <v/>
      </c>
      <c r="I116" s="7" t="str">
        <f>IF(Table1[[#This Row],[Is Data Valid]]=TRUE,((Table1[[#This Row],[Birthweight (grams)]]*1.1/Table1[[#This Row],[BW_GA]])-1)/(Backend!$B$4/100*Table1[[#This Row],[BW40_3705]]),"")</f>
        <v/>
      </c>
      <c r="J116" s="7" t="str">
        <f>IF(Table1[[#This Row],[Is Data Valid]]=TRUE,_xlfn.NORM.S.DIST(Table1[[#This Row],[Birthweight Z-Score]],TRUE)*100,"")</f>
        <v/>
      </c>
      <c r="K116" s="7" t="str">
        <f>IF(Table1[[#This Row],[Is Data Valid]]=TRUE,_xlfn.NORM.S.DIST(Table1[[#This Row],[Birthweight Z-Score (BW-10%)]],TRUE)*100,"")</f>
        <v/>
      </c>
      <c r="L116" s="7" t="str">
        <f>IF(Table1[[#This Row],[Is Data Valid]]=TRUE,_xlfn.NORM.S.DIST(Table1[[#This Row],[Birthweight Z-Score (BW+10%)]],TRUE)*100,"")</f>
        <v/>
      </c>
    </row>
    <row r="117" spans="1:12" x14ac:dyDescent="0.35">
      <c r="A117" s="3"/>
      <c r="B117" s="2"/>
      <c r="C117" s="2"/>
      <c r="D117" s="2" t="b">
        <f>IF(AND(NOT(ISBLANK(Table1[[#This Row],[Fetal Sex (Male, Female or Unknown)]])),ISNUMBER(Table1[[#This Row],[Birthweight (grams)]]),ISNUMBER(Table1[[#This Row],[Gestation (days)]])),TRUE,FALSE)</f>
        <v>0</v>
      </c>
      <c r="E117" s="2" t="str">
        <f>IF(Table1[[#This Row],[Is Data Valid]]=TRUE,IF(Table1[[#This Row],[Fetal Sex (Male, Female or Unknown)]]="Male",Backend!$C$6,IF(Table1[[#This Row],[Fetal Sex (Male, Female or Unknown)]]="Female",Backend!$C$7,IF(Table1[[#This Row],[Fetal Sex (Male, Female or Unknown)]]="Unknown",Backend!$C$8,"Error"))),"")</f>
        <v/>
      </c>
      <c r="F117" s="8" t="str">
        <f>IF(Table1[[#This Row],[Is Data Valid]]=TRUE,EXP(0.578+0.332*((Table1[[#This Row],[Gestation (days)]]+0.5)/7)-0.00354*((Table1[[#This Row],[Gestation (days)]]+0.5)/7)^2)*Table1[[#This Row],[BW40_3705]],"")</f>
        <v/>
      </c>
      <c r="G117" s="2" t="str">
        <f>IF(Table1[[#This Row],[Is Data Valid]]=TRUE,((Table1[[#This Row],[Birthweight (grams)]]/Table1[[#This Row],[BW_GA]])-1)/(Backend!$B$4/100*Table1[[#This Row],[BW40_3705]]),"")</f>
        <v/>
      </c>
      <c r="H117" s="7" t="str">
        <f>IF(Table1[[#This Row],[Is Data Valid]]=TRUE,((Table1[[#This Row],[Birthweight (grams)]]*0.9/Table1[[#This Row],[BW_GA]])-1)/(Backend!$B$4/100*Table1[[#This Row],[BW40_3705]]),"")</f>
        <v/>
      </c>
      <c r="I117" s="7" t="str">
        <f>IF(Table1[[#This Row],[Is Data Valid]]=TRUE,((Table1[[#This Row],[Birthweight (grams)]]*1.1/Table1[[#This Row],[BW_GA]])-1)/(Backend!$B$4/100*Table1[[#This Row],[BW40_3705]]),"")</f>
        <v/>
      </c>
      <c r="J117" s="7" t="str">
        <f>IF(Table1[[#This Row],[Is Data Valid]]=TRUE,_xlfn.NORM.S.DIST(Table1[[#This Row],[Birthweight Z-Score]],TRUE)*100,"")</f>
        <v/>
      </c>
      <c r="K117" s="7" t="str">
        <f>IF(Table1[[#This Row],[Is Data Valid]]=TRUE,_xlfn.NORM.S.DIST(Table1[[#This Row],[Birthweight Z-Score (BW-10%)]],TRUE)*100,"")</f>
        <v/>
      </c>
      <c r="L117" s="7" t="str">
        <f>IF(Table1[[#This Row],[Is Data Valid]]=TRUE,_xlfn.NORM.S.DIST(Table1[[#This Row],[Birthweight Z-Score (BW+10%)]],TRUE)*100,"")</f>
        <v/>
      </c>
    </row>
    <row r="118" spans="1:12" x14ac:dyDescent="0.35">
      <c r="A118" s="3"/>
      <c r="B118" s="2"/>
      <c r="C118" s="2"/>
      <c r="D118" s="2" t="b">
        <f>IF(AND(NOT(ISBLANK(Table1[[#This Row],[Fetal Sex (Male, Female or Unknown)]])),ISNUMBER(Table1[[#This Row],[Birthweight (grams)]]),ISNUMBER(Table1[[#This Row],[Gestation (days)]])),TRUE,FALSE)</f>
        <v>0</v>
      </c>
      <c r="E118" s="2" t="str">
        <f>IF(Table1[[#This Row],[Is Data Valid]]=TRUE,IF(Table1[[#This Row],[Fetal Sex (Male, Female or Unknown)]]="Male",Backend!$C$6,IF(Table1[[#This Row],[Fetal Sex (Male, Female or Unknown)]]="Female",Backend!$C$7,IF(Table1[[#This Row],[Fetal Sex (Male, Female or Unknown)]]="Unknown",Backend!$C$8,"Error"))),"")</f>
        <v/>
      </c>
      <c r="F118" s="8" t="str">
        <f>IF(Table1[[#This Row],[Is Data Valid]]=TRUE,EXP(0.578+0.332*((Table1[[#This Row],[Gestation (days)]]+0.5)/7)-0.00354*((Table1[[#This Row],[Gestation (days)]]+0.5)/7)^2)*Table1[[#This Row],[BW40_3705]],"")</f>
        <v/>
      </c>
      <c r="G118" s="2" t="str">
        <f>IF(Table1[[#This Row],[Is Data Valid]]=TRUE,((Table1[[#This Row],[Birthweight (grams)]]/Table1[[#This Row],[BW_GA]])-1)/(Backend!$B$4/100*Table1[[#This Row],[BW40_3705]]),"")</f>
        <v/>
      </c>
      <c r="H118" s="7" t="str">
        <f>IF(Table1[[#This Row],[Is Data Valid]]=TRUE,((Table1[[#This Row],[Birthweight (grams)]]*0.9/Table1[[#This Row],[BW_GA]])-1)/(Backend!$B$4/100*Table1[[#This Row],[BW40_3705]]),"")</f>
        <v/>
      </c>
      <c r="I118" s="7" t="str">
        <f>IF(Table1[[#This Row],[Is Data Valid]]=TRUE,((Table1[[#This Row],[Birthweight (grams)]]*1.1/Table1[[#This Row],[BW_GA]])-1)/(Backend!$B$4/100*Table1[[#This Row],[BW40_3705]]),"")</f>
        <v/>
      </c>
      <c r="J118" s="7" t="str">
        <f>IF(Table1[[#This Row],[Is Data Valid]]=TRUE,_xlfn.NORM.S.DIST(Table1[[#This Row],[Birthweight Z-Score]],TRUE)*100,"")</f>
        <v/>
      </c>
      <c r="K118" s="7" t="str">
        <f>IF(Table1[[#This Row],[Is Data Valid]]=TRUE,_xlfn.NORM.S.DIST(Table1[[#This Row],[Birthweight Z-Score (BW-10%)]],TRUE)*100,"")</f>
        <v/>
      </c>
      <c r="L118" s="7" t="str">
        <f>IF(Table1[[#This Row],[Is Data Valid]]=TRUE,_xlfn.NORM.S.DIST(Table1[[#This Row],[Birthweight Z-Score (BW+10%)]],TRUE)*100,"")</f>
        <v/>
      </c>
    </row>
    <row r="119" spans="1:12" x14ac:dyDescent="0.35">
      <c r="A119" s="3"/>
      <c r="B119" s="2"/>
      <c r="C119" s="2"/>
      <c r="D119" s="2" t="b">
        <f>IF(AND(NOT(ISBLANK(Table1[[#This Row],[Fetal Sex (Male, Female or Unknown)]])),ISNUMBER(Table1[[#This Row],[Birthweight (grams)]]),ISNUMBER(Table1[[#This Row],[Gestation (days)]])),TRUE,FALSE)</f>
        <v>0</v>
      </c>
      <c r="E119" s="2" t="str">
        <f>IF(Table1[[#This Row],[Is Data Valid]]=TRUE,IF(Table1[[#This Row],[Fetal Sex (Male, Female or Unknown)]]="Male",Backend!$C$6,IF(Table1[[#This Row],[Fetal Sex (Male, Female or Unknown)]]="Female",Backend!$C$7,IF(Table1[[#This Row],[Fetal Sex (Male, Female or Unknown)]]="Unknown",Backend!$C$8,"Error"))),"")</f>
        <v/>
      </c>
      <c r="F119" s="8" t="str">
        <f>IF(Table1[[#This Row],[Is Data Valid]]=TRUE,EXP(0.578+0.332*((Table1[[#This Row],[Gestation (days)]]+0.5)/7)-0.00354*((Table1[[#This Row],[Gestation (days)]]+0.5)/7)^2)*Table1[[#This Row],[BW40_3705]],"")</f>
        <v/>
      </c>
      <c r="G119" s="2" t="str">
        <f>IF(Table1[[#This Row],[Is Data Valid]]=TRUE,((Table1[[#This Row],[Birthweight (grams)]]/Table1[[#This Row],[BW_GA]])-1)/(Backend!$B$4/100*Table1[[#This Row],[BW40_3705]]),"")</f>
        <v/>
      </c>
      <c r="H119" s="7" t="str">
        <f>IF(Table1[[#This Row],[Is Data Valid]]=TRUE,((Table1[[#This Row],[Birthweight (grams)]]*0.9/Table1[[#This Row],[BW_GA]])-1)/(Backend!$B$4/100*Table1[[#This Row],[BW40_3705]]),"")</f>
        <v/>
      </c>
      <c r="I119" s="7" t="str">
        <f>IF(Table1[[#This Row],[Is Data Valid]]=TRUE,((Table1[[#This Row],[Birthweight (grams)]]*1.1/Table1[[#This Row],[BW_GA]])-1)/(Backend!$B$4/100*Table1[[#This Row],[BW40_3705]]),"")</f>
        <v/>
      </c>
      <c r="J119" s="7" t="str">
        <f>IF(Table1[[#This Row],[Is Data Valid]]=TRUE,_xlfn.NORM.S.DIST(Table1[[#This Row],[Birthweight Z-Score]],TRUE)*100,"")</f>
        <v/>
      </c>
      <c r="K119" s="7" t="str">
        <f>IF(Table1[[#This Row],[Is Data Valid]]=TRUE,_xlfn.NORM.S.DIST(Table1[[#This Row],[Birthweight Z-Score (BW-10%)]],TRUE)*100,"")</f>
        <v/>
      </c>
      <c r="L119" s="7" t="str">
        <f>IF(Table1[[#This Row],[Is Data Valid]]=TRUE,_xlfn.NORM.S.DIST(Table1[[#This Row],[Birthweight Z-Score (BW+10%)]],TRUE)*100,"")</f>
        <v/>
      </c>
    </row>
    <row r="120" spans="1:12" x14ac:dyDescent="0.35">
      <c r="A120" s="3"/>
      <c r="B120" s="2"/>
      <c r="C120" s="2"/>
      <c r="D120" s="2" t="b">
        <f>IF(AND(NOT(ISBLANK(Table1[[#This Row],[Fetal Sex (Male, Female or Unknown)]])),ISNUMBER(Table1[[#This Row],[Birthweight (grams)]]),ISNUMBER(Table1[[#This Row],[Gestation (days)]])),TRUE,FALSE)</f>
        <v>0</v>
      </c>
      <c r="E120" s="2" t="str">
        <f>IF(Table1[[#This Row],[Is Data Valid]]=TRUE,IF(Table1[[#This Row],[Fetal Sex (Male, Female or Unknown)]]="Male",Backend!$C$6,IF(Table1[[#This Row],[Fetal Sex (Male, Female or Unknown)]]="Female",Backend!$C$7,IF(Table1[[#This Row],[Fetal Sex (Male, Female or Unknown)]]="Unknown",Backend!$C$8,"Error"))),"")</f>
        <v/>
      </c>
      <c r="F120" s="8" t="str">
        <f>IF(Table1[[#This Row],[Is Data Valid]]=TRUE,EXP(0.578+0.332*((Table1[[#This Row],[Gestation (days)]]+0.5)/7)-0.00354*((Table1[[#This Row],[Gestation (days)]]+0.5)/7)^2)*Table1[[#This Row],[BW40_3705]],"")</f>
        <v/>
      </c>
      <c r="G120" s="2" t="str">
        <f>IF(Table1[[#This Row],[Is Data Valid]]=TRUE,((Table1[[#This Row],[Birthweight (grams)]]/Table1[[#This Row],[BW_GA]])-1)/(Backend!$B$4/100*Table1[[#This Row],[BW40_3705]]),"")</f>
        <v/>
      </c>
      <c r="H120" s="7" t="str">
        <f>IF(Table1[[#This Row],[Is Data Valid]]=TRUE,((Table1[[#This Row],[Birthweight (grams)]]*0.9/Table1[[#This Row],[BW_GA]])-1)/(Backend!$B$4/100*Table1[[#This Row],[BW40_3705]]),"")</f>
        <v/>
      </c>
      <c r="I120" s="7" t="str">
        <f>IF(Table1[[#This Row],[Is Data Valid]]=TRUE,((Table1[[#This Row],[Birthweight (grams)]]*1.1/Table1[[#This Row],[BW_GA]])-1)/(Backend!$B$4/100*Table1[[#This Row],[BW40_3705]]),"")</f>
        <v/>
      </c>
      <c r="J120" s="7" t="str">
        <f>IF(Table1[[#This Row],[Is Data Valid]]=TRUE,_xlfn.NORM.S.DIST(Table1[[#This Row],[Birthweight Z-Score]],TRUE)*100,"")</f>
        <v/>
      </c>
      <c r="K120" s="7" t="str">
        <f>IF(Table1[[#This Row],[Is Data Valid]]=TRUE,_xlfn.NORM.S.DIST(Table1[[#This Row],[Birthweight Z-Score (BW-10%)]],TRUE)*100,"")</f>
        <v/>
      </c>
      <c r="L120" s="7" t="str">
        <f>IF(Table1[[#This Row],[Is Data Valid]]=TRUE,_xlfn.NORM.S.DIST(Table1[[#This Row],[Birthweight Z-Score (BW+10%)]],TRUE)*100,"")</f>
        <v/>
      </c>
    </row>
    <row r="121" spans="1:12" x14ac:dyDescent="0.35">
      <c r="A121" s="3"/>
      <c r="B121" s="2"/>
      <c r="C121" s="2"/>
      <c r="D121" s="2" t="b">
        <f>IF(AND(NOT(ISBLANK(Table1[[#This Row],[Fetal Sex (Male, Female or Unknown)]])),ISNUMBER(Table1[[#This Row],[Birthweight (grams)]]),ISNUMBER(Table1[[#This Row],[Gestation (days)]])),TRUE,FALSE)</f>
        <v>0</v>
      </c>
      <c r="E121" s="2" t="str">
        <f>IF(Table1[[#This Row],[Is Data Valid]]=TRUE,IF(Table1[[#This Row],[Fetal Sex (Male, Female or Unknown)]]="Male",Backend!$C$6,IF(Table1[[#This Row],[Fetal Sex (Male, Female or Unknown)]]="Female",Backend!$C$7,IF(Table1[[#This Row],[Fetal Sex (Male, Female or Unknown)]]="Unknown",Backend!$C$8,"Error"))),"")</f>
        <v/>
      </c>
      <c r="F121" s="8" t="str">
        <f>IF(Table1[[#This Row],[Is Data Valid]]=TRUE,EXP(0.578+0.332*((Table1[[#This Row],[Gestation (days)]]+0.5)/7)-0.00354*((Table1[[#This Row],[Gestation (days)]]+0.5)/7)^2)*Table1[[#This Row],[BW40_3705]],"")</f>
        <v/>
      </c>
      <c r="G121" s="2" t="str">
        <f>IF(Table1[[#This Row],[Is Data Valid]]=TRUE,((Table1[[#This Row],[Birthweight (grams)]]/Table1[[#This Row],[BW_GA]])-1)/(Backend!$B$4/100*Table1[[#This Row],[BW40_3705]]),"")</f>
        <v/>
      </c>
      <c r="H121" s="7" t="str">
        <f>IF(Table1[[#This Row],[Is Data Valid]]=TRUE,((Table1[[#This Row],[Birthweight (grams)]]*0.9/Table1[[#This Row],[BW_GA]])-1)/(Backend!$B$4/100*Table1[[#This Row],[BW40_3705]]),"")</f>
        <v/>
      </c>
      <c r="I121" s="7" t="str">
        <f>IF(Table1[[#This Row],[Is Data Valid]]=TRUE,((Table1[[#This Row],[Birthweight (grams)]]*1.1/Table1[[#This Row],[BW_GA]])-1)/(Backend!$B$4/100*Table1[[#This Row],[BW40_3705]]),"")</f>
        <v/>
      </c>
      <c r="J121" s="7" t="str">
        <f>IF(Table1[[#This Row],[Is Data Valid]]=TRUE,_xlfn.NORM.S.DIST(Table1[[#This Row],[Birthweight Z-Score]],TRUE)*100,"")</f>
        <v/>
      </c>
      <c r="K121" s="7" t="str">
        <f>IF(Table1[[#This Row],[Is Data Valid]]=TRUE,_xlfn.NORM.S.DIST(Table1[[#This Row],[Birthweight Z-Score (BW-10%)]],TRUE)*100,"")</f>
        <v/>
      </c>
      <c r="L121" s="7" t="str">
        <f>IF(Table1[[#This Row],[Is Data Valid]]=TRUE,_xlfn.NORM.S.DIST(Table1[[#This Row],[Birthweight Z-Score (BW+10%)]],TRUE)*100,"")</f>
        <v/>
      </c>
    </row>
    <row r="122" spans="1:12" x14ac:dyDescent="0.35">
      <c r="A122" s="3"/>
      <c r="B122" s="2"/>
      <c r="C122" s="2"/>
      <c r="D122" s="2" t="b">
        <f>IF(AND(NOT(ISBLANK(Table1[[#This Row],[Fetal Sex (Male, Female or Unknown)]])),ISNUMBER(Table1[[#This Row],[Birthweight (grams)]]),ISNUMBER(Table1[[#This Row],[Gestation (days)]])),TRUE,FALSE)</f>
        <v>0</v>
      </c>
      <c r="E122" s="2" t="str">
        <f>IF(Table1[[#This Row],[Is Data Valid]]=TRUE,IF(Table1[[#This Row],[Fetal Sex (Male, Female or Unknown)]]="Male",Backend!$C$6,IF(Table1[[#This Row],[Fetal Sex (Male, Female or Unknown)]]="Female",Backend!$C$7,IF(Table1[[#This Row],[Fetal Sex (Male, Female or Unknown)]]="Unknown",Backend!$C$8,"Error"))),"")</f>
        <v/>
      </c>
      <c r="F122" s="8" t="str">
        <f>IF(Table1[[#This Row],[Is Data Valid]]=TRUE,EXP(0.578+0.332*((Table1[[#This Row],[Gestation (days)]]+0.5)/7)-0.00354*((Table1[[#This Row],[Gestation (days)]]+0.5)/7)^2)*Table1[[#This Row],[BW40_3705]],"")</f>
        <v/>
      </c>
      <c r="G122" s="2" t="str">
        <f>IF(Table1[[#This Row],[Is Data Valid]]=TRUE,((Table1[[#This Row],[Birthweight (grams)]]/Table1[[#This Row],[BW_GA]])-1)/(Backend!$B$4/100*Table1[[#This Row],[BW40_3705]]),"")</f>
        <v/>
      </c>
      <c r="H122" s="7" t="str">
        <f>IF(Table1[[#This Row],[Is Data Valid]]=TRUE,((Table1[[#This Row],[Birthweight (grams)]]*0.9/Table1[[#This Row],[BW_GA]])-1)/(Backend!$B$4/100*Table1[[#This Row],[BW40_3705]]),"")</f>
        <v/>
      </c>
      <c r="I122" s="7" t="str">
        <f>IF(Table1[[#This Row],[Is Data Valid]]=TRUE,((Table1[[#This Row],[Birthweight (grams)]]*1.1/Table1[[#This Row],[BW_GA]])-1)/(Backend!$B$4/100*Table1[[#This Row],[BW40_3705]]),"")</f>
        <v/>
      </c>
      <c r="J122" s="7" t="str">
        <f>IF(Table1[[#This Row],[Is Data Valid]]=TRUE,_xlfn.NORM.S.DIST(Table1[[#This Row],[Birthweight Z-Score]],TRUE)*100,"")</f>
        <v/>
      </c>
      <c r="K122" s="7" t="str">
        <f>IF(Table1[[#This Row],[Is Data Valid]]=TRUE,_xlfn.NORM.S.DIST(Table1[[#This Row],[Birthweight Z-Score (BW-10%)]],TRUE)*100,"")</f>
        <v/>
      </c>
      <c r="L122" s="7" t="str">
        <f>IF(Table1[[#This Row],[Is Data Valid]]=TRUE,_xlfn.NORM.S.DIST(Table1[[#This Row],[Birthweight Z-Score (BW+10%)]],TRUE)*100,"")</f>
        <v/>
      </c>
    </row>
    <row r="123" spans="1:12" x14ac:dyDescent="0.35">
      <c r="A123" s="3"/>
      <c r="B123" s="2"/>
      <c r="C123" s="2"/>
      <c r="D123" s="2" t="b">
        <f>IF(AND(NOT(ISBLANK(Table1[[#This Row],[Fetal Sex (Male, Female or Unknown)]])),ISNUMBER(Table1[[#This Row],[Birthweight (grams)]]),ISNUMBER(Table1[[#This Row],[Gestation (days)]])),TRUE,FALSE)</f>
        <v>0</v>
      </c>
      <c r="E123" s="2" t="str">
        <f>IF(Table1[[#This Row],[Is Data Valid]]=TRUE,IF(Table1[[#This Row],[Fetal Sex (Male, Female or Unknown)]]="Male",Backend!$C$6,IF(Table1[[#This Row],[Fetal Sex (Male, Female or Unknown)]]="Female",Backend!$C$7,IF(Table1[[#This Row],[Fetal Sex (Male, Female or Unknown)]]="Unknown",Backend!$C$8,"Error"))),"")</f>
        <v/>
      </c>
      <c r="F123" s="8" t="str">
        <f>IF(Table1[[#This Row],[Is Data Valid]]=TRUE,EXP(0.578+0.332*((Table1[[#This Row],[Gestation (days)]]+0.5)/7)-0.00354*((Table1[[#This Row],[Gestation (days)]]+0.5)/7)^2)*Table1[[#This Row],[BW40_3705]],"")</f>
        <v/>
      </c>
      <c r="G123" s="2" t="str">
        <f>IF(Table1[[#This Row],[Is Data Valid]]=TRUE,((Table1[[#This Row],[Birthweight (grams)]]/Table1[[#This Row],[BW_GA]])-1)/(Backend!$B$4/100*Table1[[#This Row],[BW40_3705]]),"")</f>
        <v/>
      </c>
      <c r="H123" s="7" t="str">
        <f>IF(Table1[[#This Row],[Is Data Valid]]=TRUE,((Table1[[#This Row],[Birthweight (grams)]]*0.9/Table1[[#This Row],[BW_GA]])-1)/(Backend!$B$4/100*Table1[[#This Row],[BW40_3705]]),"")</f>
        <v/>
      </c>
      <c r="I123" s="7" t="str">
        <f>IF(Table1[[#This Row],[Is Data Valid]]=TRUE,((Table1[[#This Row],[Birthweight (grams)]]*1.1/Table1[[#This Row],[BW_GA]])-1)/(Backend!$B$4/100*Table1[[#This Row],[BW40_3705]]),"")</f>
        <v/>
      </c>
      <c r="J123" s="7" t="str">
        <f>IF(Table1[[#This Row],[Is Data Valid]]=TRUE,_xlfn.NORM.S.DIST(Table1[[#This Row],[Birthweight Z-Score]],TRUE)*100,"")</f>
        <v/>
      </c>
      <c r="K123" s="7" t="str">
        <f>IF(Table1[[#This Row],[Is Data Valid]]=TRUE,_xlfn.NORM.S.DIST(Table1[[#This Row],[Birthweight Z-Score (BW-10%)]],TRUE)*100,"")</f>
        <v/>
      </c>
      <c r="L123" s="7" t="str">
        <f>IF(Table1[[#This Row],[Is Data Valid]]=TRUE,_xlfn.NORM.S.DIST(Table1[[#This Row],[Birthweight Z-Score (BW+10%)]],TRUE)*100,"")</f>
        <v/>
      </c>
    </row>
    <row r="124" spans="1:12" x14ac:dyDescent="0.35">
      <c r="A124" s="3"/>
      <c r="B124" s="2"/>
      <c r="C124" s="2"/>
      <c r="D124" s="2" t="b">
        <f>IF(AND(NOT(ISBLANK(Table1[[#This Row],[Fetal Sex (Male, Female or Unknown)]])),ISNUMBER(Table1[[#This Row],[Birthweight (grams)]]),ISNUMBER(Table1[[#This Row],[Gestation (days)]])),TRUE,FALSE)</f>
        <v>0</v>
      </c>
      <c r="E124" s="2" t="str">
        <f>IF(Table1[[#This Row],[Is Data Valid]]=TRUE,IF(Table1[[#This Row],[Fetal Sex (Male, Female or Unknown)]]="Male",Backend!$C$6,IF(Table1[[#This Row],[Fetal Sex (Male, Female or Unknown)]]="Female",Backend!$C$7,IF(Table1[[#This Row],[Fetal Sex (Male, Female or Unknown)]]="Unknown",Backend!$C$8,"Error"))),"")</f>
        <v/>
      </c>
      <c r="F124" s="8" t="str">
        <f>IF(Table1[[#This Row],[Is Data Valid]]=TRUE,EXP(0.578+0.332*((Table1[[#This Row],[Gestation (days)]]+0.5)/7)-0.00354*((Table1[[#This Row],[Gestation (days)]]+0.5)/7)^2)*Table1[[#This Row],[BW40_3705]],"")</f>
        <v/>
      </c>
      <c r="G124" s="2" t="str">
        <f>IF(Table1[[#This Row],[Is Data Valid]]=TRUE,((Table1[[#This Row],[Birthweight (grams)]]/Table1[[#This Row],[BW_GA]])-1)/(Backend!$B$4/100*Table1[[#This Row],[BW40_3705]]),"")</f>
        <v/>
      </c>
      <c r="H124" s="7" t="str">
        <f>IF(Table1[[#This Row],[Is Data Valid]]=TRUE,((Table1[[#This Row],[Birthweight (grams)]]*0.9/Table1[[#This Row],[BW_GA]])-1)/(Backend!$B$4/100*Table1[[#This Row],[BW40_3705]]),"")</f>
        <v/>
      </c>
      <c r="I124" s="7" t="str">
        <f>IF(Table1[[#This Row],[Is Data Valid]]=TRUE,((Table1[[#This Row],[Birthweight (grams)]]*1.1/Table1[[#This Row],[BW_GA]])-1)/(Backend!$B$4/100*Table1[[#This Row],[BW40_3705]]),"")</f>
        <v/>
      </c>
      <c r="J124" s="7" t="str">
        <f>IF(Table1[[#This Row],[Is Data Valid]]=TRUE,_xlfn.NORM.S.DIST(Table1[[#This Row],[Birthweight Z-Score]],TRUE)*100,"")</f>
        <v/>
      </c>
      <c r="K124" s="7" t="str">
        <f>IF(Table1[[#This Row],[Is Data Valid]]=TRUE,_xlfn.NORM.S.DIST(Table1[[#This Row],[Birthweight Z-Score (BW-10%)]],TRUE)*100,"")</f>
        <v/>
      </c>
      <c r="L124" s="7" t="str">
        <f>IF(Table1[[#This Row],[Is Data Valid]]=TRUE,_xlfn.NORM.S.DIST(Table1[[#This Row],[Birthweight Z-Score (BW+10%)]],TRUE)*100,"")</f>
        <v/>
      </c>
    </row>
    <row r="125" spans="1:12" x14ac:dyDescent="0.35">
      <c r="A125" s="3"/>
      <c r="B125" s="2"/>
      <c r="C125" s="2"/>
      <c r="D125" s="2" t="b">
        <f>IF(AND(NOT(ISBLANK(Table1[[#This Row],[Fetal Sex (Male, Female or Unknown)]])),ISNUMBER(Table1[[#This Row],[Birthweight (grams)]]),ISNUMBER(Table1[[#This Row],[Gestation (days)]])),TRUE,FALSE)</f>
        <v>0</v>
      </c>
      <c r="E125" s="2" t="str">
        <f>IF(Table1[[#This Row],[Is Data Valid]]=TRUE,IF(Table1[[#This Row],[Fetal Sex (Male, Female or Unknown)]]="Male",Backend!$C$6,IF(Table1[[#This Row],[Fetal Sex (Male, Female or Unknown)]]="Female",Backend!$C$7,IF(Table1[[#This Row],[Fetal Sex (Male, Female or Unknown)]]="Unknown",Backend!$C$8,"Error"))),"")</f>
        <v/>
      </c>
      <c r="F125" s="8" t="str">
        <f>IF(Table1[[#This Row],[Is Data Valid]]=TRUE,EXP(0.578+0.332*((Table1[[#This Row],[Gestation (days)]]+0.5)/7)-0.00354*((Table1[[#This Row],[Gestation (days)]]+0.5)/7)^2)*Table1[[#This Row],[BW40_3705]],"")</f>
        <v/>
      </c>
      <c r="G125" s="2" t="str">
        <f>IF(Table1[[#This Row],[Is Data Valid]]=TRUE,((Table1[[#This Row],[Birthweight (grams)]]/Table1[[#This Row],[BW_GA]])-1)/(Backend!$B$4/100*Table1[[#This Row],[BW40_3705]]),"")</f>
        <v/>
      </c>
      <c r="H125" s="7" t="str">
        <f>IF(Table1[[#This Row],[Is Data Valid]]=TRUE,((Table1[[#This Row],[Birthweight (grams)]]*0.9/Table1[[#This Row],[BW_GA]])-1)/(Backend!$B$4/100*Table1[[#This Row],[BW40_3705]]),"")</f>
        <v/>
      </c>
      <c r="I125" s="7" t="str">
        <f>IF(Table1[[#This Row],[Is Data Valid]]=TRUE,((Table1[[#This Row],[Birthweight (grams)]]*1.1/Table1[[#This Row],[BW_GA]])-1)/(Backend!$B$4/100*Table1[[#This Row],[BW40_3705]]),"")</f>
        <v/>
      </c>
      <c r="J125" s="7" t="str">
        <f>IF(Table1[[#This Row],[Is Data Valid]]=TRUE,_xlfn.NORM.S.DIST(Table1[[#This Row],[Birthweight Z-Score]],TRUE)*100,"")</f>
        <v/>
      </c>
      <c r="K125" s="7" t="str">
        <f>IF(Table1[[#This Row],[Is Data Valid]]=TRUE,_xlfn.NORM.S.DIST(Table1[[#This Row],[Birthweight Z-Score (BW-10%)]],TRUE)*100,"")</f>
        <v/>
      </c>
      <c r="L125" s="7" t="str">
        <f>IF(Table1[[#This Row],[Is Data Valid]]=TRUE,_xlfn.NORM.S.DIST(Table1[[#This Row],[Birthweight Z-Score (BW+10%)]],TRUE)*100,"")</f>
        <v/>
      </c>
    </row>
    <row r="126" spans="1:12" x14ac:dyDescent="0.35">
      <c r="A126" s="3"/>
      <c r="B126" s="2"/>
      <c r="C126" s="2"/>
      <c r="D126" s="2" t="b">
        <f>IF(AND(NOT(ISBLANK(Table1[[#This Row],[Fetal Sex (Male, Female or Unknown)]])),ISNUMBER(Table1[[#This Row],[Birthweight (grams)]]),ISNUMBER(Table1[[#This Row],[Gestation (days)]])),TRUE,FALSE)</f>
        <v>0</v>
      </c>
      <c r="E126" s="2" t="str">
        <f>IF(Table1[[#This Row],[Is Data Valid]]=TRUE,IF(Table1[[#This Row],[Fetal Sex (Male, Female or Unknown)]]="Male",Backend!$C$6,IF(Table1[[#This Row],[Fetal Sex (Male, Female or Unknown)]]="Female",Backend!$C$7,IF(Table1[[#This Row],[Fetal Sex (Male, Female or Unknown)]]="Unknown",Backend!$C$8,"Error"))),"")</f>
        <v/>
      </c>
      <c r="F126" s="8" t="str">
        <f>IF(Table1[[#This Row],[Is Data Valid]]=TRUE,EXP(0.578+0.332*((Table1[[#This Row],[Gestation (days)]]+0.5)/7)-0.00354*((Table1[[#This Row],[Gestation (days)]]+0.5)/7)^2)*Table1[[#This Row],[BW40_3705]],"")</f>
        <v/>
      </c>
      <c r="G126" s="2" t="str">
        <f>IF(Table1[[#This Row],[Is Data Valid]]=TRUE,((Table1[[#This Row],[Birthweight (grams)]]/Table1[[#This Row],[BW_GA]])-1)/(Backend!$B$4/100*Table1[[#This Row],[BW40_3705]]),"")</f>
        <v/>
      </c>
      <c r="H126" s="7" t="str">
        <f>IF(Table1[[#This Row],[Is Data Valid]]=TRUE,((Table1[[#This Row],[Birthweight (grams)]]*0.9/Table1[[#This Row],[BW_GA]])-1)/(Backend!$B$4/100*Table1[[#This Row],[BW40_3705]]),"")</f>
        <v/>
      </c>
      <c r="I126" s="7" t="str">
        <f>IF(Table1[[#This Row],[Is Data Valid]]=TRUE,((Table1[[#This Row],[Birthweight (grams)]]*1.1/Table1[[#This Row],[BW_GA]])-1)/(Backend!$B$4/100*Table1[[#This Row],[BW40_3705]]),"")</f>
        <v/>
      </c>
      <c r="J126" s="7" t="str">
        <f>IF(Table1[[#This Row],[Is Data Valid]]=TRUE,_xlfn.NORM.S.DIST(Table1[[#This Row],[Birthweight Z-Score]],TRUE)*100,"")</f>
        <v/>
      </c>
      <c r="K126" s="7" t="str">
        <f>IF(Table1[[#This Row],[Is Data Valid]]=TRUE,_xlfn.NORM.S.DIST(Table1[[#This Row],[Birthweight Z-Score (BW-10%)]],TRUE)*100,"")</f>
        <v/>
      </c>
      <c r="L126" s="7" t="str">
        <f>IF(Table1[[#This Row],[Is Data Valid]]=TRUE,_xlfn.NORM.S.DIST(Table1[[#This Row],[Birthweight Z-Score (BW+10%)]],TRUE)*100,"")</f>
        <v/>
      </c>
    </row>
    <row r="127" spans="1:12" x14ac:dyDescent="0.35">
      <c r="A127" s="3"/>
      <c r="B127" s="2"/>
      <c r="C127" s="2"/>
      <c r="D127" s="2" t="b">
        <f>IF(AND(NOT(ISBLANK(Table1[[#This Row],[Fetal Sex (Male, Female or Unknown)]])),ISNUMBER(Table1[[#This Row],[Birthweight (grams)]]),ISNUMBER(Table1[[#This Row],[Gestation (days)]])),TRUE,FALSE)</f>
        <v>0</v>
      </c>
      <c r="E127" s="2" t="str">
        <f>IF(Table1[[#This Row],[Is Data Valid]]=TRUE,IF(Table1[[#This Row],[Fetal Sex (Male, Female or Unknown)]]="Male",Backend!$C$6,IF(Table1[[#This Row],[Fetal Sex (Male, Female or Unknown)]]="Female",Backend!$C$7,IF(Table1[[#This Row],[Fetal Sex (Male, Female or Unknown)]]="Unknown",Backend!$C$8,"Error"))),"")</f>
        <v/>
      </c>
      <c r="F127" s="8" t="str">
        <f>IF(Table1[[#This Row],[Is Data Valid]]=TRUE,EXP(0.578+0.332*((Table1[[#This Row],[Gestation (days)]]+0.5)/7)-0.00354*((Table1[[#This Row],[Gestation (days)]]+0.5)/7)^2)*Table1[[#This Row],[BW40_3705]],"")</f>
        <v/>
      </c>
      <c r="G127" s="2" t="str">
        <f>IF(Table1[[#This Row],[Is Data Valid]]=TRUE,((Table1[[#This Row],[Birthweight (grams)]]/Table1[[#This Row],[BW_GA]])-1)/(Backend!$B$4/100*Table1[[#This Row],[BW40_3705]]),"")</f>
        <v/>
      </c>
      <c r="H127" s="7" t="str">
        <f>IF(Table1[[#This Row],[Is Data Valid]]=TRUE,((Table1[[#This Row],[Birthweight (grams)]]*0.9/Table1[[#This Row],[BW_GA]])-1)/(Backend!$B$4/100*Table1[[#This Row],[BW40_3705]]),"")</f>
        <v/>
      </c>
      <c r="I127" s="7" t="str">
        <f>IF(Table1[[#This Row],[Is Data Valid]]=TRUE,((Table1[[#This Row],[Birthweight (grams)]]*1.1/Table1[[#This Row],[BW_GA]])-1)/(Backend!$B$4/100*Table1[[#This Row],[BW40_3705]]),"")</f>
        <v/>
      </c>
      <c r="J127" s="7" t="str">
        <f>IF(Table1[[#This Row],[Is Data Valid]]=TRUE,_xlfn.NORM.S.DIST(Table1[[#This Row],[Birthweight Z-Score]],TRUE)*100,"")</f>
        <v/>
      </c>
      <c r="K127" s="7" t="str">
        <f>IF(Table1[[#This Row],[Is Data Valid]]=TRUE,_xlfn.NORM.S.DIST(Table1[[#This Row],[Birthweight Z-Score (BW-10%)]],TRUE)*100,"")</f>
        <v/>
      </c>
      <c r="L127" s="7" t="str">
        <f>IF(Table1[[#This Row],[Is Data Valid]]=TRUE,_xlfn.NORM.S.DIST(Table1[[#This Row],[Birthweight Z-Score (BW+10%)]],TRUE)*100,"")</f>
        <v/>
      </c>
    </row>
    <row r="128" spans="1:12" x14ac:dyDescent="0.35">
      <c r="A128" s="3"/>
      <c r="B128" s="2"/>
      <c r="C128" s="2"/>
      <c r="D128" s="2" t="b">
        <f>IF(AND(NOT(ISBLANK(Table1[[#This Row],[Fetal Sex (Male, Female or Unknown)]])),ISNUMBER(Table1[[#This Row],[Birthweight (grams)]]),ISNUMBER(Table1[[#This Row],[Gestation (days)]])),TRUE,FALSE)</f>
        <v>0</v>
      </c>
      <c r="E128" s="2" t="str">
        <f>IF(Table1[[#This Row],[Is Data Valid]]=TRUE,IF(Table1[[#This Row],[Fetal Sex (Male, Female or Unknown)]]="Male",Backend!$C$6,IF(Table1[[#This Row],[Fetal Sex (Male, Female or Unknown)]]="Female",Backend!$C$7,IF(Table1[[#This Row],[Fetal Sex (Male, Female or Unknown)]]="Unknown",Backend!$C$8,"Error"))),"")</f>
        <v/>
      </c>
      <c r="F128" s="8" t="str">
        <f>IF(Table1[[#This Row],[Is Data Valid]]=TRUE,EXP(0.578+0.332*((Table1[[#This Row],[Gestation (days)]]+0.5)/7)-0.00354*((Table1[[#This Row],[Gestation (days)]]+0.5)/7)^2)*Table1[[#This Row],[BW40_3705]],"")</f>
        <v/>
      </c>
      <c r="G128" s="2" t="str">
        <f>IF(Table1[[#This Row],[Is Data Valid]]=TRUE,((Table1[[#This Row],[Birthweight (grams)]]/Table1[[#This Row],[BW_GA]])-1)/(Backend!$B$4/100*Table1[[#This Row],[BW40_3705]]),"")</f>
        <v/>
      </c>
      <c r="H128" s="7" t="str">
        <f>IF(Table1[[#This Row],[Is Data Valid]]=TRUE,((Table1[[#This Row],[Birthweight (grams)]]*0.9/Table1[[#This Row],[BW_GA]])-1)/(Backend!$B$4/100*Table1[[#This Row],[BW40_3705]]),"")</f>
        <v/>
      </c>
      <c r="I128" s="7" t="str">
        <f>IF(Table1[[#This Row],[Is Data Valid]]=TRUE,((Table1[[#This Row],[Birthweight (grams)]]*1.1/Table1[[#This Row],[BW_GA]])-1)/(Backend!$B$4/100*Table1[[#This Row],[BW40_3705]]),"")</f>
        <v/>
      </c>
      <c r="J128" s="7" t="str">
        <f>IF(Table1[[#This Row],[Is Data Valid]]=TRUE,_xlfn.NORM.S.DIST(Table1[[#This Row],[Birthweight Z-Score]],TRUE)*100,"")</f>
        <v/>
      </c>
      <c r="K128" s="7" t="str">
        <f>IF(Table1[[#This Row],[Is Data Valid]]=TRUE,_xlfn.NORM.S.DIST(Table1[[#This Row],[Birthweight Z-Score (BW-10%)]],TRUE)*100,"")</f>
        <v/>
      </c>
      <c r="L128" s="7" t="str">
        <f>IF(Table1[[#This Row],[Is Data Valid]]=TRUE,_xlfn.NORM.S.DIST(Table1[[#This Row],[Birthweight Z-Score (BW+10%)]],TRUE)*100,"")</f>
        <v/>
      </c>
    </row>
    <row r="129" spans="1:12" x14ac:dyDescent="0.35">
      <c r="A129" s="3"/>
      <c r="B129" s="2"/>
      <c r="C129" s="2"/>
      <c r="D129" s="2" t="b">
        <f>IF(AND(NOT(ISBLANK(Table1[[#This Row],[Fetal Sex (Male, Female or Unknown)]])),ISNUMBER(Table1[[#This Row],[Birthweight (grams)]]),ISNUMBER(Table1[[#This Row],[Gestation (days)]])),TRUE,FALSE)</f>
        <v>0</v>
      </c>
      <c r="E129" s="2" t="str">
        <f>IF(Table1[[#This Row],[Is Data Valid]]=TRUE,IF(Table1[[#This Row],[Fetal Sex (Male, Female or Unknown)]]="Male",Backend!$C$6,IF(Table1[[#This Row],[Fetal Sex (Male, Female or Unknown)]]="Female",Backend!$C$7,IF(Table1[[#This Row],[Fetal Sex (Male, Female or Unknown)]]="Unknown",Backend!$C$8,"Error"))),"")</f>
        <v/>
      </c>
      <c r="F129" s="8" t="str">
        <f>IF(Table1[[#This Row],[Is Data Valid]]=TRUE,EXP(0.578+0.332*((Table1[[#This Row],[Gestation (days)]]+0.5)/7)-0.00354*((Table1[[#This Row],[Gestation (days)]]+0.5)/7)^2)*Table1[[#This Row],[BW40_3705]],"")</f>
        <v/>
      </c>
      <c r="G129" s="2" t="str">
        <f>IF(Table1[[#This Row],[Is Data Valid]]=TRUE,((Table1[[#This Row],[Birthweight (grams)]]/Table1[[#This Row],[BW_GA]])-1)/(Backend!$B$4/100*Table1[[#This Row],[BW40_3705]]),"")</f>
        <v/>
      </c>
      <c r="H129" s="7" t="str">
        <f>IF(Table1[[#This Row],[Is Data Valid]]=TRUE,((Table1[[#This Row],[Birthweight (grams)]]*0.9/Table1[[#This Row],[BW_GA]])-1)/(Backend!$B$4/100*Table1[[#This Row],[BW40_3705]]),"")</f>
        <v/>
      </c>
      <c r="I129" s="7" t="str">
        <f>IF(Table1[[#This Row],[Is Data Valid]]=TRUE,((Table1[[#This Row],[Birthweight (grams)]]*1.1/Table1[[#This Row],[BW_GA]])-1)/(Backend!$B$4/100*Table1[[#This Row],[BW40_3705]]),"")</f>
        <v/>
      </c>
      <c r="J129" s="7" t="str">
        <f>IF(Table1[[#This Row],[Is Data Valid]]=TRUE,_xlfn.NORM.S.DIST(Table1[[#This Row],[Birthweight Z-Score]],TRUE)*100,"")</f>
        <v/>
      </c>
      <c r="K129" s="7" t="str">
        <f>IF(Table1[[#This Row],[Is Data Valid]]=TRUE,_xlfn.NORM.S.DIST(Table1[[#This Row],[Birthweight Z-Score (BW-10%)]],TRUE)*100,"")</f>
        <v/>
      </c>
      <c r="L129" s="7" t="str">
        <f>IF(Table1[[#This Row],[Is Data Valid]]=TRUE,_xlfn.NORM.S.DIST(Table1[[#This Row],[Birthweight Z-Score (BW+10%)]],TRUE)*100,"")</f>
        <v/>
      </c>
    </row>
    <row r="130" spans="1:12" x14ac:dyDescent="0.35">
      <c r="A130" s="3"/>
      <c r="B130" s="2"/>
      <c r="C130" s="2"/>
      <c r="D130" s="2" t="b">
        <f>IF(AND(NOT(ISBLANK(Table1[[#This Row],[Fetal Sex (Male, Female or Unknown)]])),ISNUMBER(Table1[[#This Row],[Birthweight (grams)]]),ISNUMBER(Table1[[#This Row],[Gestation (days)]])),TRUE,FALSE)</f>
        <v>0</v>
      </c>
      <c r="E130" s="2" t="str">
        <f>IF(Table1[[#This Row],[Is Data Valid]]=TRUE,IF(Table1[[#This Row],[Fetal Sex (Male, Female or Unknown)]]="Male",Backend!$C$6,IF(Table1[[#This Row],[Fetal Sex (Male, Female or Unknown)]]="Female",Backend!$C$7,IF(Table1[[#This Row],[Fetal Sex (Male, Female or Unknown)]]="Unknown",Backend!$C$8,"Error"))),"")</f>
        <v/>
      </c>
      <c r="F130" s="8" t="str">
        <f>IF(Table1[[#This Row],[Is Data Valid]]=TRUE,EXP(0.578+0.332*((Table1[[#This Row],[Gestation (days)]]+0.5)/7)-0.00354*((Table1[[#This Row],[Gestation (days)]]+0.5)/7)^2)*Table1[[#This Row],[BW40_3705]],"")</f>
        <v/>
      </c>
      <c r="G130" s="2" t="str">
        <f>IF(Table1[[#This Row],[Is Data Valid]]=TRUE,((Table1[[#This Row],[Birthweight (grams)]]/Table1[[#This Row],[BW_GA]])-1)/(Backend!$B$4/100*Table1[[#This Row],[BW40_3705]]),"")</f>
        <v/>
      </c>
      <c r="H130" s="7" t="str">
        <f>IF(Table1[[#This Row],[Is Data Valid]]=TRUE,((Table1[[#This Row],[Birthweight (grams)]]*0.9/Table1[[#This Row],[BW_GA]])-1)/(Backend!$B$4/100*Table1[[#This Row],[BW40_3705]]),"")</f>
        <v/>
      </c>
      <c r="I130" s="7" t="str">
        <f>IF(Table1[[#This Row],[Is Data Valid]]=TRUE,((Table1[[#This Row],[Birthweight (grams)]]*1.1/Table1[[#This Row],[BW_GA]])-1)/(Backend!$B$4/100*Table1[[#This Row],[BW40_3705]]),"")</f>
        <v/>
      </c>
      <c r="J130" s="7" t="str">
        <f>IF(Table1[[#This Row],[Is Data Valid]]=TRUE,_xlfn.NORM.S.DIST(Table1[[#This Row],[Birthweight Z-Score]],TRUE)*100,"")</f>
        <v/>
      </c>
      <c r="K130" s="7" t="str">
        <f>IF(Table1[[#This Row],[Is Data Valid]]=TRUE,_xlfn.NORM.S.DIST(Table1[[#This Row],[Birthweight Z-Score (BW-10%)]],TRUE)*100,"")</f>
        <v/>
      </c>
      <c r="L130" s="7" t="str">
        <f>IF(Table1[[#This Row],[Is Data Valid]]=TRUE,_xlfn.NORM.S.DIST(Table1[[#This Row],[Birthweight Z-Score (BW+10%)]],TRUE)*100,"")</f>
        <v/>
      </c>
    </row>
    <row r="131" spans="1:12" x14ac:dyDescent="0.35">
      <c r="A131" s="3"/>
      <c r="B131" s="2"/>
      <c r="C131" s="2"/>
      <c r="D131" s="2" t="b">
        <f>IF(AND(NOT(ISBLANK(Table1[[#This Row],[Fetal Sex (Male, Female or Unknown)]])),ISNUMBER(Table1[[#This Row],[Birthweight (grams)]]),ISNUMBER(Table1[[#This Row],[Gestation (days)]])),TRUE,FALSE)</f>
        <v>0</v>
      </c>
      <c r="E131" s="2" t="str">
        <f>IF(Table1[[#This Row],[Is Data Valid]]=TRUE,IF(Table1[[#This Row],[Fetal Sex (Male, Female or Unknown)]]="Male",Backend!$C$6,IF(Table1[[#This Row],[Fetal Sex (Male, Female or Unknown)]]="Female",Backend!$C$7,IF(Table1[[#This Row],[Fetal Sex (Male, Female or Unknown)]]="Unknown",Backend!$C$8,"Error"))),"")</f>
        <v/>
      </c>
      <c r="F131" s="8" t="str">
        <f>IF(Table1[[#This Row],[Is Data Valid]]=TRUE,EXP(0.578+0.332*((Table1[[#This Row],[Gestation (days)]]+0.5)/7)-0.00354*((Table1[[#This Row],[Gestation (days)]]+0.5)/7)^2)*Table1[[#This Row],[BW40_3705]],"")</f>
        <v/>
      </c>
      <c r="G131" s="2" t="str">
        <f>IF(Table1[[#This Row],[Is Data Valid]]=TRUE,((Table1[[#This Row],[Birthweight (grams)]]/Table1[[#This Row],[BW_GA]])-1)/(Backend!$B$4/100*Table1[[#This Row],[BW40_3705]]),"")</f>
        <v/>
      </c>
      <c r="H131" s="7" t="str">
        <f>IF(Table1[[#This Row],[Is Data Valid]]=TRUE,((Table1[[#This Row],[Birthweight (grams)]]*0.9/Table1[[#This Row],[BW_GA]])-1)/(Backend!$B$4/100*Table1[[#This Row],[BW40_3705]]),"")</f>
        <v/>
      </c>
      <c r="I131" s="7" t="str">
        <f>IF(Table1[[#This Row],[Is Data Valid]]=TRUE,((Table1[[#This Row],[Birthweight (grams)]]*1.1/Table1[[#This Row],[BW_GA]])-1)/(Backend!$B$4/100*Table1[[#This Row],[BW40_3705]]),"")</f>
        <v/>
      </c>
      <c r="J131" s="7" t="str">
        <f>IF(Table1[[#This Row],[Is Data Valid]]=TRUE,_xlfn.NORM.S.DIST(Table1[[#This Row],[Birthweight Z-Score]],TRUE)*100,"")</f>
        <v/>
      </c>
      <c r="K131" s="7" t="str">
        <f>IF(Table1[[#This Row],[Is Data Valid]]=TRUE,_xlfn.NORM.S.DIST(Table1[[#This Row],[Birthweight Z-Score (BW-10%)]],TRUE)*100,"")</f>
        <v/>
      </c>
      <c r="L131" s="7" t="str">
        <f>IF(Table1[[#This Row],[Is Data Valid]]=TRUE,_xlfn.NORM.S.DIST(Table1[[#This Row],[Birthweight Z-Score (BW+10%)]],TRUE)*100,"")</f>
        <v/>
      </c>
    </row>
    <row r="132" spans="1:12" x14ac:dyDescent="0.35">
      <c r="A132" s="3"/>
      <c r="B132" s="2"/>
      <c r="C132" s="2"/>
      <c r="D132" s="2" t="b">
        <f>IF(AND(NOT(ISBLANK(Table1[[#This Row],[Fetal Sex (Male, Female or Unknown)]])),ISNUMBER(Table1[[#This Row],[Birthweight (grams)]]),ISNUMBER(Table1[[#This Row],[Gestation (days)]])),TRUE,FALSE)</f>
        <v>0</v>
      </c>
      <c r="E132" s="2" t="str">
        <f>IF(Table1[[#This Row],[Is Data Valid]]=TRUE,IF(Table1[[#This Row],[Fetal Sex (Male, Female or Unknown)]]="Male",Backend!$C$6,IF(Table1[[#This Row],[Fetal Sex (Male, Female or Unknown)]]="Female",Backend!$C$7,IF(Table1[[#This Row],[Fetal Sex (Male, Female or Unknown)]]="Unknown",Backend!$C$8,"Error"))),"")</f>
        <v/>
      </c>
      <c r="F132" s="8" t="str">
        <f>IF(Table1[[#This Row],[Is Data Valid]]=TRUE,EXP(0.578+0.332*((Table1[[#This Row],[Gestation (days)]]+0.5)/7)-0.00354*((Table1[[#This Row],[Gestation (days)]]+0.5)/7)^2)*Table1[[#This Row],[BW40_3705]],"")</f>
        <v/>
      </c>
      <c r="G132" s="2" t="str">
        <f>IF(Table1[[#This Row],[Is Data Valid]]=TRUE,((Table1[[#This Row],[Birthweight (grams)]]/Table1[[#This Row],[BW_GA]])-1)/(Backend!$B$4/100*Table1[[#This Row],[BW40_3705]]),"")</f>
        <v/>
      </c>
      <c r="H132" s="7" t="str">
        <f>IF(Table1[[#This Row],[Is Data Valid]]=TRUE,((Table1[[#This Row],[Birthweight (grams)]]*0.9/Table1[[#This Row],[BW_GA]])-1)/(Backend!$B$4/100*Table1[[#This Row],[BW40_3705]]),"")</f>
        <v/>
      </c>
      <c r="I132" s="7" t="str">
        <f>IF(Table1[[#This Row],[Is Data Valid]]=TRUE,((Table1[[#This Row],[Birthweight (grams)]]*1.1/Table1[[#This Row],[BW_GA]])-1)/(Backend!$B$4/100*Table1[[#This Row],[BW40_3705]]),"")</f>
        <v/>
      </c>
      <c r="J132" s="7" t="str">
        <f>IF(Table1[[#This Row],[Is Data Valid]]=TRUE,_xlfn.NORM.S.DIST(Table1[[#This Row],[Birthweight Z-Score]],TRUE)*100,"")</f>
        <v/>
      </c>
      <c r="K132" s="7" t="str">
        <f>IF(Table1[[#This Row],[Is Data Valid]]=TRUE,_xlfn.NORM.S.DIST(Table1[[#This Row],[Birthweight Z-Score (BW-10%)]],TRUE)*100,"")</f>
        <v/>
      </c>
      <c r="L132" s="7" t="str">
        <f>IF(Table1[[#This Row],[Is Data Valid]]=TRUE,_xlfn.NORM.S.DIST(Table1[[#This Row],[Birthweight Z-Score (BW+10%)]],TRUE)*100,"")</f>
        <v/>
      </c>
    </row>
    <row r="133" spans="1:12" x14ac:dyDescent="0.35">
      <c r="A133" s="3"/>
      <c r="B133" s="2"/>
      <c r="C133" s="2"/>
      <c r="D133" s="2" t="b">
        <f>IF(AND(NOT(ISBLANK(Table1[[#This Row],[Fetal Sex (Male, Female or Unknown)]])),ISNUMBER(Table1[[#This Row],[Birthweight (grams)]]),ISNUMBER(Table1[[#This Row],[Gestation (days)]])),TRUE,FALSE)</f>
        <v>0</v>
      </c>
      <c r="E133" s="2" t="str">
        <f>IF(Table1[[#This Row],[Is Data Valid]]=TRUE,IF(Table1[[#This Row],[Fetal Sex (Male, Female or Unknown)]]="Male",Backend!$C$6,IF(Table1[[#This Row],[Fetal Sex (Male, Female or Unknown)]]="Female",Backend!$C$7,IF(Table1[[#This Row],[Fetal Sex (Male, Female or Unknown)]]="Unknown",Backend!$C$8,"Error"))),"")</f>
        <v/>
      </c>
      <c r="F133" s="8" t="str">
        <f>IF(Table1[[#This Row],[Is Data Valid]]=TRUE,EXP(0.578+0.332*((Table1[[#This Row],[Gestation (days)]]+0.5)/7)-0.00354*((Table1[[#This Row],[Gestation (days)]]+0.5)/7)^2)*Table1[[#This Row],[BW40_3705]],"")</f>
        <v/>
      </c>
      <c r="G133" s="2" t="str">
        <f>IF(Table1[[#This Row],[Is Data Valid]]=TRUE,((Table1[[#This Row],[Birthweight (grams)]]/Table1[[#This Row],[BW_GA]])-1)/(Backend!$B$4/100*Table1[[#This Row],[BW40_3705]]),"")</f>
        <v/>
      </c>
      <c r="H133" s="7" t="str">
        <f>IF(Table1[[#This Row],[Is Data Valid]]=TRUE,((Table1[[#This Row],[Birthweight (grams)]]*0.9/Table1[[#This Row],[BW_GA]])-1)/(Backend!$B$4/100*Table1[[#This Row],[BW40_3705]]),"")</f>
        <v/>
      </c>
      <c r="I133" s="7" t="str">
        <f>IF(Table1[[#This Row],[Is Data Valid]]=TRUE,((Table1[[#This Row],[Birthweight (grams)]]*1.1/Table1[[#This Row],[BW_GA]])-1)/(Backend!$B$4/100*Table1[[#This Row],[BW40_3705]]),"")</f>
        <v/>
      </c>
      <c r="J133" s="7" t="str">
        <f>IF(Table1[[#This Row],[Is Data Valid]]=TRUE,_xlfn.NORM.S.DIST(Table1[[#This Row],[Birthweight Z-Score]],TRUE)*100,"")</f>
        <v/>
      </c>
      <c r="K133" s="7" t="str">
        <f>IF(Table1[[#This Row],[Is Data Valid]]=TRUE,_xlfn.NORM.S.DIST(Table1[[#This Row],[Birthweight Z-Score (BW-10%)]],TRUE)*100,"")</f>
        <v/>
      </c>
      <c r="L133" s="7" t="str">
        <f>IF(Table1[[#This Row],[Is Data Valid]]=TRUE,_xlfn.NORM.S.DIST(Table1[[#This Row],[Birthweight Z-Score (BW+10%)]],TRUE)*100,"")</f>
        <v/>
      </c>
    </row>
    <row r="134" spans="1:12" x14ac:dyDescent="0.35">
      <c r="A134" s="3"/>
      <c r="B134" s="2"/>
      <c r="C134" s="2"/>
      <c r="D134" s="2" t="b">
        <f>IF(AND(NOT(ISBLANK(Table1[[#This Row],[Fetal Sex (Male, Female or Unknown)]])),ISNUMBER(Table1[[#This Row],[Birthweight (grams)]]),ISNUMBER(Table1[[#This Row],[Gestation (days)]])),TRUE,FALSE)</f>
        <v>0</v>
      </c>
      <c r="E134" s="2" t="str">
        <f>IF(Table1[[#This Row],[Is Data Valid]]=TRUE,IF(Table1[[#This Row],[Fetal Sex (Male, Female or Unknown)]]="Male",Backend!$C$6,IF(Table1[[#This Row],[Fetal Sex (Male, Female or Unknown)]]="Female",Backend!$C$7,IF(Table1[[#This Row],[Fetal Sex (Male, Female or Unknown)]]="Unknown",Backend!$C$8,"Error"))),"")</f>
        <v/>
      </c>
      <c r="F134" s="8" t="str">
        <f>IF(Table1[[#This Row],[Is Data Valid]]=TRUE,EXP(0.578+0.332*((Table1[[#This Row],[Gestation (days)]]+0.5)/7)-0.00354*((Table1[[#This Row],[Gestation (days)]]+0.5)/7)^2)*Table1[[#This Row],[BW40_3705]],"")</f>
        <v/>
      </c>
      <c r="G134" s="2" t="str">
        <f>IF(Table1[[#This Row],[Is Data Valid]]=TRUE,((Table1[[#This Row],[Birthweight (grams)]]/Table1[[#This Row],[BW_GA]])-1)/(Backend!$B$4/100*Table1[[#This Row],[BW40_3705]]),"")</f>
        <v/>
      </c>
      <c r="H134" s="7" t="str">
        <f>IF(Table1[[#This Row],[Is Data Valid]]=TRUE,((Table1[[#This Row],[Birthweight (grams)]]*0.9/Table1[[#This Row],[BW_GA]])-1)/(Backend!$B$4/100*Table1[[#This Row],[BW40_3705]]),"")</f>
        <v/>
      </c>
      <c r="I134" s="7" t="str">
        <f>IF(Table1[[#This Row],[Is Data Valid]]=TRUE,((Table1[[#This Row],[Birthweight (grams)]]*1.1/Table1[[#This Row],[BW_GA]])-1)/(Backend!$B$4/100*Table1[[#This Row],[BW40_3705]]),"")</f>
        <v/>
      </c>
      <c r="J134" s="7" t="str">
        <f>IF(Table1[[#This Row],[Is Data Valid]]=TRUE,_xlfn.NORM.S.DIST(Table1[[#This Row],[Birthweight Z-Score]],TRUE)*100,"")</f>
        <v/>
      </c>
      <c r="K134" s="7" t="str">
        <f>IF(Table1[[#This Row],[Is Data Valid]]=TRUE,_xlfn.NORM.S.DIST(Table1[[#This Row],[Birthweight Z-Score (BW-10%)]],TRUE)*100,"")</f>
        <v/>
      </c>
      <c r="L134" s="7" t="str">
        <f>IF(Table1[[#This Row],[Is Data Valid]]=TRUE,_xlfn.NORM.S.DIST(Table1[[#This Row],[Birthweight Z-Score (BW+10%)]],TRUE)*100,"")</f>
        <v/>
      </c>
    </row>
    <row r="135" spans="1:12" x14ac:dyDescent="0.35">
      <c r="A135" s="3"/>
      <c r="B135" s="2"/>
      <c r="C135" s="2"/>
      <c r="D135" s="2" t="b">
        <f>IF(AND(NOT(ISBLANK(Table1[[#This Row],[Fetal Sex (Male, Female or Unknown)]])),ISNUMBER(Table1[[#This Row],[Birthweight (grams)]]),ISNUMBER(Table1[[#This Row],[Gestation (days)]])),TRUE,FALSE)</f>
        <v>0</v>
      </c>
      <c r="E135" s="2" t="str">
        <f>IF(Table1[[#This Row],[Is Data Valid]]=TRUE,IF(Table1[[#This Row],[Fetal Sex (Male, Female or Unknown)]]="Male",Backend!$C$6,IF(Table1[[#This Row],[Fetal Sex (Male, Female or Unknown)]]="Female",Backend!$C$7,IF(Table1[[#This Row],[Fetal Sex (Male, Female or Unknown)]]="Unknown",Backend!$C$8,"Error"))),"")</f>
        <v/>
      </c>
      <c r="F135" s="8" t="str">
        <f>IF(Table1[[#This Row],[Is Data Valid]]=TRUE,EXP(0.578+0.332*((Table1[[#This Row],[Gestation (days)]]+0.5)/7)-0.00354*((Table1[[#This Row],[Gestation (days)]]+0.5)/7)^2)*Table1[[#This Row],[BW40_3705]],"")</f>
        <v/>
      </c>
      <c r="G135" s="2" t="str">
        <f>IF(Table1[[#This Row],[Is Data Valid]]=TRUE,((Table1[[#This Row],[Birthweight (grams)]]/Table1[[#This Row],[BW_GA]])-1)/(Backend!$B$4/100*Table1[[#This Row],[BW40_3705]]),"")</f>
        <v/>
      </c>
      <c r="H135" s="7" t="str">
        <f>IF(Table1[[#This Row],[Is Data Valid]]=TRUE,((Table1[[#This Row],[Birthweight (grams)]]*0.9/Table1[[#This Row],[BW_GA]])-1)/(Backend!$B$4/100*Table1[[#This Row],[BW40_3705]]),"")</f>
        <v/>
      </c>
      <c r="I135" s="7" t="str">
        <f>IF(Table1[[#This Row],[Is Data Valid]]=TRUE,((Table1[[#This Row],[Birthweight (grams)]]*1.1/Table1[[#This Row],[BW_GA]])-1)/(Backend!$B$4/100*Table1[[#This Row],[BW40_3705]]),"")</f>
        <v/>
      </c>
      <c r="J135" s="7" t="str">
        <f>IF(Table1[[#This Row],[Is Data Valid]]=TRUE,_xlfn.NORM.S.DIST(Table1[[#This Row],[Birthweight Z-Score]],TRUE)*100,"")</f>
        <v/>
      </c>
      <c r="K135" s="7" t="str">
        <f>IF(Table1[[#This Row],[Is Data Valid]]=TRUE,_xlfn.NORM.S.DIST(Table1[[#This Row],[Birthweight Z-Score (BW-10%)]],TRUE)*100,"")</f>
        <v/>
      </c>
      <c r="L135" s="7" t="str">
        <f>IF(Table1[[#This Row],[Is Data Valid]]=TRUE,_xlfn.NORM.S.DIST(Table1[[#This Row],[Birthweight Z-Score (BW+10%)]],TRUE)*100,"")</f>
        <v/>
      </c>
    </row>
    <row r="136" spans="1:12" x14ac:dyDescent="0.35">
      <c r="A136" s="3"/>
      <c r="B136" s="2"/>
      <c r="C136" s="2"/>
      <c r="D136" s="2" t="b">
        <f>IF(AND(NOT(ISBLANK(Table1[[#This Row],[Fetal Sex (Male, Female or Unknown)]])),ISNUMBER(Table1[[#This Row],[Birthweight (grams)]]),ISNUMBER(Table1[[#This Row],[Gestation (days)]])),TRUE,FALSE)</f>
        <v>0</v>
      </c>
      <c r="E136" s="2" t="str">
        <f>IF(Table1[[#This Row],[Is Data Valid]]=TRUE,IF(Table1[[#This Row],[Fetal Sex (Male, Female or Unknown)]]="Male",Backend!$C$6,IF(Table1[[#This Row],[Fetal Sex (Male, Female or Unknown)]]="Female",Backend!$C$7,IF(Table1[[#This Row],[Fetal Sex (Male, Female or Unknown)]]="Unknown",Backend!$C$8,"Error"))),"")</f>
        <v/>
      </c>
      <c r="F136" s="8" t="str">
        <f>IF(Table1[[#This Row],[Is Data Valid]]=TRUE,EXP(0.578+0.332*((Table1[[#This Row],[Gestation (days)]]+0.5)/7)-0.00354*((Table1[[#This Row],[Gestation (days)]]+0.5)/7)^2)*Table1[[#This Row],[BW40_3705]],"")</f>
        <v/>
      </c>
      <c r="G136" s="2" t="str">
        <f>IF(Table1[[#This Row],[Is Data Valid]]=TRUE,((Table1[[#This Row],[Birthweight (grams)]]/Table1[[#This Row],[BW_GA]])-1)/(Backend!$B$4/100*Table1[[#This Row],[BW40_3705]]),"")</f>
        <v/>
      </c>
      <c r="H136" s="7" t="str">
        <f>IF(Table1[[#This Row],[Is Data Valid]]=TRUE,((Table1[[#This Row],[Birthweight (grams)]]*0.9/Table1[[#This Row],[BW_GA]])-1)/(Backend!$B$4/100*Table1[[#This Row],[BW40_3705]]),"")</f>
        <v/>
      </c>
      <c r="I136" s="7" t="str">
        <f>IF(Table1[[#This Row],[Is Data Valid]]=TRUE,((Table1[[#This Row],[Birthweight (grams)]]*1.1/Table1[[#This Row],[BW_GA]])-1)/(Backend!$B$4/100*Table1[[#This Row],[BW40_3705]]),"")</f>
        <v/>
      </c>
      <c r="J136" s="7" t="str">
        <f>IF(Table1[[#This Row],[Is Data Valid]]=TRUE,_xlfn.NORM.S.DIST(Table1[[#This Row],[Birthweight Z-Score]],TRUE)*100,"")</f>
        <v/>
      </c>
      <c r="K136" s="7" t="str">
        <f>IF(Table1[[#This Row],[Is Data Valid]]=TRUE,_xlfn.NORM.S.DIST(Table1[[#This Row],[Birthweight Z-Score (BW-10%)]],TRUE)*100,"")</f>
        <v/>
      </c>
      <c r="L136" s="7" t="str">
        <f>IF(Table1[[#This Row],[Is Data Valid]]=TRUE,_xlfn.NORM.S.DIST(Table1[[#This Row],[Birthweight Z-Score (BW+10%)]],TRUE)*100,"")</f>
        <v/>
      </c>
    </row>
    <row r="137" spans="1:12" x14ac:dyDescent="0.35">
      <c r="A137" s="3"/>
      <c r="B137" s="2"/>
      <c r="C137" s="2"/>
      <c r="D137" s="2" t="b">
        <f>IF(AND(NOT(ISBLANK(Table1[[#This Row],[Fetal Sex (Male, Female or Unknown)]])),ISNUMBER(Table1[[#This Row],[Birthweight (grams)]]),ISNUMBER(Table1[[#This Row],[Gestation (days)]])),TRUE,FALSE)</f>
        <v>0</v>
      </c>
      <c r="E137" s="2" t="str">
        <f>IF(Table1[[#This Row],[Is Data Valid]]=TRUE,IF(Table1[[#This Row],[Fetal Sex (Male, Female or Unknown)]]="Male",Backend!$C$6,IF(Table1[[#This Row],[Fetal Sex (Male, Female or Unknown)]]="Female",Backend!$C$7,IF(Table1[[#This Row],[Fetal Sex (Male, Female or Unknown)]]="Unknown",Backend!$C$8,"Error"))),"")</f>
        <v/>
      </c>
      <c r="F137" s="8" t="str">
        <f>IF(Table1[[#This Row],[Is Data Valid]]=TRUE,EXP(0.578+0.332*((Table1[[#This Row],[Gestation (days)]]+0.5)/7)-0.00354*((Table1[[#This Row],[Gestation (days)]]+0.5)/7)^2)*Table1[[#This Row],[BW40_3705]],"")</f>
        <v/>
      </c>
      <c r="G137" s="2" t="str">
        <f>IF(Table1[[#This Row],[Is Data Valid]]=TRUE,((Table1[[#This Row],[Birthweight (grams)]]/Table1[[#This Row],[BW_GA]])-1)/(Backend!$B$4/100*Table1[[#This Row],[BW40_3705]]),"")</f>
        <v/>
      </c>
      <c r="H137" s="7" t="str">
        <f>IF(Table1[[#This Row],[Is Data Valid]]=TRUE,((Table1[[#This Row],[Birthweight (grams)]]*0.9/Table1[[#This Row],[BW_GA]])-1)/(Backend!$B$4/100*Table1[[#This Row],[BW40_3705]]),"")</f>
        <v/>
      </c>
      <c r="I137" s="7" t="str">
        <f>IF(Table1[[#This Row],[Is Data Valid]]=TRUE,((Table1[[#This Row],[Birthweight (grams)]]*1.1/Table1[[#This Row],[BW_GA]])-1)/(Backend!$B$4/100*Table1[[#This Row],[BW40_3705]]),"")</f>
        <v/>
      </c>
      <c r="J137" s="7" t="str">
        <f>IF(Table1[[#This Row],[Is Data Valid]]=TRUE,_xlfn.NORM.S.DIST(Table1[[#This Row],[Birthweight Z-Score]],TRUE)*100,"")</f>
        <v/>
      </c>
      <c r="K137" s="7" t="str">
        <f>IF(Table1[[#This Row],[Is Data Valid]]=TRUE,_xlfn.NORM.S.DIST(Table1[[#This Row],[Birthweight Z-Score (BW-10%)]],TRUE)*100,"")</f>
        <v/>
      </c>
      <c r="L137" s="7" t="str">
        <f>IF(Table1[[#This Row],[Is Data Valid]]=TRUE,_xlfn.NORM.S.DIST(Table1[[#This Row],[Birthweight Z-Score (BW+10%)]],TRUE)*100,"")</f>
        <v/>
      </c>
    </row>
    <row r="138" spans="1:12" x14ac:dyDescent="0.35">
      <c r="A138" s="3"/>
      <c r="B138" s="2"/>
      <c r="C138" s="2"/>
      <c r="D138" s="2" t="b">
        <f>IF(AND(NOT(ISBLANK(Table1[[#This Row],[Fetal Sex (Male, Female or Unknown)]])),ISNUMBER(Table1[[#This Row],[Birthweight (grams)]]),ISNUMBER(Table1[[#This Row],[Gestation (days)]])),TRUE,FALSE)</f>
        <v>0</v>
      </c>
      <c r="E138" s="2" t="str">
        <f>IF(Table1[[#This Row],[Is Data Valid]]=TRUE,IF(Table1[[#This Row],[Fetal Sex (Male, Female or Unknown)]]="Male",Backend!$C$6,IF(Table1[[#This Row],[Fetal Sex (Male, Female or Unknown)]]="Female",Backend!$C$7,IF(Table1[[#This Row],[Fetal Sex (Male, Female or Unknown)]]="Unknown",Backend!$C$8,"Error"))),"")</f>
        <v/>
      </c>
      <c r="F138" s="8" t="str">
        <f>IF(Table1[[#This Row],[Is Data Valid]]=TRUE,EXP(0.578+0.332*((Table1[[#This Row],[Gestation (days)]]+0.5)/7)-0.00354*((Table1[[#This Row],[Gestation (days)]]+0.5)/7)^2)*Table1[[#This Row],[BW40_3705]],"")</f>
        <v/>
      </c>
      <c r="G138" s="2" t="str">
        <f>IF(Table1[[#This Row],[Is Data Valid]]=TRUE,((Table1[[#This Row],[Birthweight (grams)]]/Table1[[#This Row],[BW_GA]])-1)/(Backend!$B$4/100*Table1[[#This Row],[BW40_3705]]),"")</f>
        <v/>
      </c>
      <c r="H138" s="7" t="str">
        <f>IF(Table1[[#This Row],[Is Data Valid]]=TRUE,((Table1[[#This Row],[Birthweight (grams)]]*0.9/Table1[[#This Row],[BW_GA]])-1)/(Backend!$B$4/100*Table1[[#This Row],[BW40_3705]]),"")</f>
        <v/>
      </c>
      <c r="I138" s="7" t="str">
        <f>IF(Table1[[#This Row],[Is Data Valid]]=TRUE,((Table1[[#This Row],[Birthweight (grams)]]*1.1/Table1[[#This Row],[BW_GA]])-1)/(Backend!$B$4/100*Table1[[#This Row],[BW40_3705]]),"")</f>
        <v/>
      </c>
      <c r="J138" s="7" t="str">
        <f>IF(Table1[[#This Row],[Is Data Valid]]=TRUE,_xlfn.NORM.S.DIST(Table1[[#This Row],[Birthweight Z-Score]],TRUE)*100,"")</f>
        <v/>
      </c>
      <c r="K138" s="7" t="str">
        <f>IF(Table1[[#This Row],[Is Data Valid]]=TRUE,_xlfn.NORM.S.DIST(Table1[[#This Row],[Birthweight Z-Score (BW-10%)]],TRUE)*100,"")</f>
        <v/>
      </c>
      <c r="L138" s="7" t="str">
        <f>IF(Table1[[#This Row],[Is Data Valid]]=TRUE,_xlfn.NORM.S.DIST(Table1[[#This Row],[Birthweight Z-Score (BW+10%)]],TRUE)*100,"")</f>
        <v/>
      </c>
    </row>
    <row r="139" spans="1:12" x14ac:dyDescent="0.35">
      <c r="A139" s="3"/>
      <c r="B139" s="2"/>
      <c r="C139" s="2"/>
      <c r="D139" s="2" t="b">
        <f>IF(AND(NOT(ISBLANK(Table1[[#This Row],[Fetal Sex (Male, Female or Unknown)]])),ISNUMBER(Table1[[#This Row],[Birthweight (grams)]]),ISNUMBER(Table1[[#This Row],[Gestation (days)]])),TRUE,FALSE)</f>
        <v>0</v>
      </c>
      <c r="E139" s="2" t="str">
        <f>IF(Table1[[#This Row],[Is Data Valid]]=TRUE,IF(Table1[[#This Row],[Fetal Sex (Male, Female or Unknown)]]="Male",Backend!$C$6,IF(Table1[[#This Row],[Fetal Sex (Male, Female or Unknown)]]="Female",Backend!$C$7,IF(Table1[[#This Row],[Fetal Sex (Male, Female or Unknown)]]="Unknown",Backend!$C$8,"Error"))),"")</f>
        <v/>
      </c>
      <c r="F139" s="8" t="str">
        <f>IF(Table1[[#This Row],[Is Data Valid]]=TRUE,EXP(0.578+0.332*((Table1[[#This Row],[Gestation (days)]]+0.5)/7)-0.00354*((Table1[[#This Row],[Gestation (days)]]+0.5)/7)^2)*Table1[[#This Row],[BW40_3705]],"")</f>
        <v/>
      </c>
      <c r="G139" s="2" t="str">
        <f>IF(Table1[[#This Row],[Is Data Valid]]=TRUE,((Table1[[#This Row],[Birthweight (grams)]]/Table1[[#This Row],[BW_GA]])-1)/(Backend!$B$4/100*Table1[[#This Row],[BW40_3705]]),"")</f>
        <v/>
      </c>
      <c r="H139" s="7" t="str">
        <f>IF(Table1[[#This Row],[Is Data Valid]]=TRUE,((Table1[[#This Row],[Birthweight (grams)]]*0.9/Table1[[#This Row],[BW_GA]])-1)/(Backend!$B$4/100*Table1[[#This Row],[BW40_3705]]),"")</f>
        <v/>
      </c>
      <c r="I139" s="7" t="str">
        <f>IF(Table1[[#This Row],[Is Data Valid]]=TRUE,((Table1[[#This Row],[Birthweight (grams)]]*1.1/Table1[[#This Row],[BW_GA]])-1)/(Backend!$B$4/100*Table1[[#This Row],[BW40_3705]]),"")</f>
        <v/>
      </c>
      <c r="J139" s="7" t="str">
        <f>IF(Table1[[#This Row],[Is Data Valid]]=TRUE,_xlfn.NORM.S.DIST(Table1[[#This Row],[Birthweight Z-Score]],TRUE)*100,"")</f>
        <v/>
      </c>
      <c r="K139" s="7" t="str">
        <f>IF(Table1[[#This Row],[Is Data Valid]]=TRUE,_xlfn.NORM.S.DIST(Table1[[#This Row],[Birthweight Z-Score (BW-10%)]],TRUE)*100,"")</f>
        <v/>
      </c>
      <c r="L139" s="7" t="str">
        <f>IF(Table1[[#This Row],[Is Data Valid]]=TRUE,_xlfn.NORM.S.DIST(Table1[[#This Row],[Birthweight Z-Score (BW+10%)]],TRUE)*100,"")</f>
        <v/>
      </c>
    </row>
    <row r="140" spans="1:12" x14ac:dyDescent="0.35">
      <c r="A140" s="3"/>
      <c r="B140" s="2"/>
      <c r="C140" s="2"/>
      <c r="D140" s="2" t="b">
        <f>IF(AND(NOT(ISBLANK(Table1[[#This Row],[Fetal Sex (Male, Female or Unknown)]])),ISNUMBER(Table1[[#This Row],[Birthweight (grams)]]),ISNUMBER(Table1[[#This Row],[Gestation (days)]])),TRUE,FALSE)</f>
        <v>0</v>
      </c>
      <c r="E140" s="2" t="str">
        <f>IF(Table1[[#This Row],[Is Data Valid]]=TRUE,IF(Table1[[#This Row],[Fetal Sex (Male, Female or Unknown)]]="Male",Backend!$C$6,IF(Table1[[#This Row],[Fetal Sex (Male, Female or Unknown)]]="Female",Backend!$C$7,IF(Table1[[#This Row],[Fetal Sex (Male, Female or Unknown)]]="Unknown",Backend!$C$8,"Error"))),"")</f>
        <v/>
      </c>
      <c r="F140" s="8" t="str">
        <f>IF(Table1[[#This Row],[Is Data Valid]]=TRUE,EXP(0.578+0.332*((Table1[[#This Row],[Gestation (days)]]+0.5)/7)-0.00354*((Table1[[#This Row],[Gestation (days)]]+0.5)/7)^2)*Table1[[#This Row],[BW40_3705]],"")</f>
        <v/>
      </c>
      <c r="G140" s="2" t="str">
        <f>IF(Table1[[#This Row],[Is Data Valid]]=TRUE,((Table1[[#This Row],[Birthweight (grams)]]/Table1[[#This Row],[BW_GA]])-1)/(Backend!$B$4/100*Table1[[#This Row],[BW40_3705]]),"")</f>
        <v/>
      </c>
      <c r="H140" s="7" t="str">
        <f>IF(Table1[[#This Row],[Is Data Valid]]=TRUE,((Table1[[#This Row],[Birthweight (grams)]]*0.9/Table1[[#This Row],[BW_GA]])-1)/(Backend!$B$4/100*Table1[[#This Row],[BW40_3705]]),"")</f>
        <v/>
      </c>
      <c r="I140" s="7" t="str">
        <f>IF(Table1[[#This Row],[Is Data Valid]]=TRUE,((Table1[[#This Row],[Birthweight (grams)]]*1.1/Table1[[#This Row],[BW_GA]])-1)/(Backend!$B$4/100*Table1[[#This Row],[BW40_3705]]),"")</f>
        <v/>
      </c>
      <c r="J140" s="7" t="str">
        <f>IF(Table1[[#This Row],[Is Data Valid]]=TRUE,_xlfn.NORM.S.DIST(Table1[[#This Row],[Birthweight Z-Score]],TRUE)*100,"")</f>
        <v/>
      </c>
      <c r="K140" s="7" t="str">
        <f>IF(Table1[[#This Row],[Is Data Valid]]=TRUE,_xlfn.NORM.S.DIST(Table1[[#This Row],[Birthweight Z-Score (BW-10%)]],TRUE)*100,"")</f>
        <v/>
      </c>
      <c r="L140" s="7" t="str">
        <f>IF(Table1[[#This Row],[Is Data Valid]]=TRUE,_xlfn.NORM.S.DIST(Table1[[#This Row],[Birthweight Z-Score (BW+10%)]],TRUE)*100,"")</f>
        <v/>
      </c>
    </row>
    <row r="141" spans="1:12" x14ac:dyDescent="0.35">
      <c r="A141" s="3"/>
      <c r="B141" s="2"/>
      <c r="C141" s="2"/>
      <c r="D141" s="2" t="b">
        <f>IF(AND(NOT(ISBLANK(Table1[[#This Row],[Fetal Sex (Male, Female or Unknown)]])),ISNUMBER(Table1[[#This Row],[Birthweight (grams)]]),ISNUMBER(Table1[[#This Row],[Gestation (days)]])),TRUE,FALSE)</f>
        <v>0</v>
      </c>
      <c r="E141" s="2" t="str">
        <f>IF(Table1[[#This Row],[Is Data Valid]]=TRUE,IF(Table1[[#This Row],[Fetal Sex (Male, Female or Unknown)]]="Male",Backend!$C$6,IF(Table1[[#This Row],[Fetal Sex (Male, Female or Unknown)]]="Female",Backend!$C$7,IF(Table1[[#This Row],[Fetal Sex (Male, Female or Unknown)]]="Unknown",Backend!$C$8,"Error"))),"")</f>
        <v/>
      </c>
      <c r="F141" s="8" t="str">
        <f>IF(Table1[[#This Row],[Is Data Valid]]=TRUE,EXP(0.578+0.332*((Table1[[#This Row],[Gestation (days)]]+0.5)/7)-0.00354*((Table1[[#This Row],[Gestation (days)]]+0.5)/7)^2)*Table1[[#This Row],[BW40_3705]],"")</f>
        <v/>
      </c>
      <c r="G141" s="2" t="str">
        <f>IF(Table1[[#This Row],[Is Data Valid]]=TRUE,((Table1[[#This Row],[Birthweight (grams)]]/Table1[[#This Row],[BW_GA]])-1)/(Backend!$B$4/100*Table1[[#This Row],[BW40_3705]]),"")</f>
        <v/>
      </c>
      <c r="H141" s="7" t="str">
        <f>IF(Table1[[#This Row],[Is Data Valid]]=TRUE,((Table1[[#This Row],[Birthweight (grams)]]*0.9/Table1[[#This Row],[BW_GA]])-1)/(Backend!$B$4/100*Table1[[#This Row],[BW40_3705]]),"")</f>
        <v/>
      </c>
      <c r="I141" s="7" t="str">
        <f>IF(Table1[[#This Row],[Is Data Valid]]=TRUE,((Table1[[#This Row],[Birthweight (grams)]]*1.1/Table1[[#This Row],[BW_GA]])-1)/(Backend!$B$4/100*Table1[[#This Row],[BW40_3705]]),"")</f>
        <v/>
      </c>
      <c r="J141" s="7" t="str">
        <f>IF(Table1[[#This Row],[Is Data Valid]]=TRUE,_xlfn.NORM.S.DIST(Table1[[#This Row],[Birthweight Z-Score]],TRUE)*100,"")</f>
        <v/>
      </c>
      <c r="K141" s="7" t="str">
        <f>IF(Table1[[#This Row],[Is Data Valid]]=TRUE,_xlfn.NORM.S.DIST(Table1[[#This Row],[Birthweight Z-Score (BW-10%)]],TRUE)*100,"")</f>
        <v/>
      </c>
      <c r="L141" s="7" t="str">
        <f>IF(Table1[[#This Row],[Is Data Valid]]=TRUE,_xlfn.NORM.S.DIST(Table1[[#This Row],[Birthweight Z-Score (BW+10%)]],TRUE)*100,"")</f>
        <v/>
      </c>
    </row>
    <row r="142" spans="1:12" x14ac:dyDescent="0.35">
      <c r="A142" s="3"/>
      <c r="B142" s="2"/>
      <c r="C142" s="2"/>
      <c r="D142" s="2" t="b">
        <f>IF(AND(NOT(ISBLANK(Table1[[#This Row],[Fetal Sex (Male, Female or Unknown)]])),ISNUMBER(Table1[[#This Row],[Birthweight (grams)]]),ISNUMBER(Table1[[#This Row],[Gestation (days)]])),TRUE,FALSE)</f>
        <v>0</v>
      </c>
      <c r="E142" s="2" t="str">
        <f>IF(Table1[[#This Row],[Is Data Valid]]=TRUE,IF(Table1[[#This Row],[Fetal Sex (Male, Female or Unknown)]]="Male",Backend!$C$6,IF(Table1[[#This Row],[Fetal Sex (Male, Female or Unknown)]]="Female",Backend!$C$7,IF(Table1[[#This Row],[Fetal Sex (Male, Female or Unknown)]]="Unknown",Backend!$C$8,"Error"))),"")</f>
        <v/>
      </c>
      <c r="F142" s="8" t="str">
        <f>IF(Table1[[#This Row],[Is Data Valid]]=TRUE,EXP(0.578+0.332*((Table1[[#This Row],[Gestation (days)]]+0.5)/7)-0.00354*((Table1[[#This Row],[Gestation (days)]]+0.5)/7)^2)*Table1[[#This Row],[BW40_3705]],"")</f>
        <v/>
      </c>
      <c r="G142" s="2" t="str">
        <f>IF(Table1[[#This Row],[Is Data Valid]]=TRUE,((Table1[[#This Row],[Birthweight (grams)]]/Table1[[#This Row],[BW_GA]])-1)/(Backend!$B$4/100*Table1[[#This Row],[BW40_3705]]),"")</f>
        <v/>
      </c>
      <c r="H142" s="7" t="str">
        <f>IF(Table1[[#This Row],[Is Data Valid]]=TRUE,((Table1[[#This Row],[Birthweight (grams)]]*0.9/Table1[[#This Row],[BW_GA]])-1)/(Backend!$B$4/100*Table1[[#This Row],[BW40_3705]]),"")</f>
        <v/>
      </c>
      <c r="I142" s="7" t="str">
        <f>IF(Table1[[#This Row],[Is Data Valid]]=TRUE,((Table1[[#This Row],[Birthweight (grams)]]*1.1/Table1[[#This Row],[BW_GA]])-1)/(Backend!$B$4/100*Table1[[#This Row],[BW40_3705]]),"")</f>
        <v/>
      </c>
      <c r="J142" s="7" t="str">
        <f>IF(Table1[[#This Row],[Is Data Valid]]=TRUE,_xlfn.NORM.S.DIST(Table1[[#This Row],[Birthweight Z-Score]],TRUE)*100,"")</f>
        <v/>
      </c>
      <c r="K142" s="7" t="str">
        <f>IF(Table1[[#This Row],[Is Data Valid]]=TRUE,_xlfn.NORM.S.DIST(Table1[[#This Row],[Birthweight Z-Score (BW-10%)]],TRUE)*100,"")</f>
        <v/>
      </c>
      <c r="L142" s="7" t="str">
        <f>IF(Table1[[#This Row],[Is Data Valid]]=TRUE,_xlfn.NORM.S.DIST(Table1[[#This Row],[Birthweight Z-Score (BW+10%)]],TRUE)*100,"")</f>
        <v/>
      </c>
    </row>
    <row r="143" spans="1:12" x14ac:dyDescent="0.35">
      <c r="A143" s="3"/>
      <c r="B143" s="2"/>
      <c r="C143" s="2"/>
      <c r="D143" s="2" t="b">
        <f>IF(AND(NOT(ISBLANK(Table1[[#This Row],[Fetal Sex (Male, Female or Unknown)]])),ISNUMBER(Table1[[#This Row],[Birthweight (grams)]]),ISNUMBER(Table1[[#This Row],[Gestation (days)]])),TRUE,FALSE)</f>
        <v>0</v>
      </c>
      <c r="E143" s="2" t="str">
        <f>IF(Table1[[#This Row],[Is Data Valid]]=TRUE,IF(Table1[[#This Row],[Fetal Sex (Male, Female or Unknown)]]="Male",Backend!$C$6,IF(Table1[[#This Row],[Fetal Sex (Male, Female or Unknown)]]="Female",Backend!$C$7,IF(Table1[[#This Row],[Fetal Sex (Male, Female or Unknown)]]="Unknown",Backend!$C$8,"Error"))),"")</f>
        <v/>
      </c>
      <c r="F143" s="8" t="str">
        <f>IF(Table1[[#This Row],[Is Data Valid]]=TRUE,EXP(0.578+0.332*((Table1[[#This Row],[Gestation (days)]]+0.5)/7)-0.00354*((Table1[[#This Row],[Gestation (days)]]+0.5)/7)^2)*Table1[[#This Row],[BW40_3705]],"")</f>
        <v/>
      </c>
      <c r="G143" s="2" t="str">
        <f>IF(Table1[[#This Row],[Is Data Valid]]=TRUE,((Table1[[#This Row],[Birthweight (grams)]]/Table1[[#This Row],[BW_GA]])-1)/(Backend!$B$4/100*Table1[[#This Row],[BW40_3705]]),"")</f>
        <v/>
      </c>
      <c r="H143" s="7" t="str">
        <f>IF(Table1[[#This Row],[Is Data Valid]]=TRUE,((Table1[[#This Row],[Birthweight (grams)]]*0.9/Table1[[#This Row],[BW_GA]])-1)/(Backend!$B$4/100*Table1[[#This Row],[BW40_3705]]),"")</f>
        <v/>
      </c>
      <c r="I143" s="7" t="str">
        <f>IF(Table1[[#This Row],[Is Data Valid]]=TRUE,((Table1[[#This Row],[Birthweight (grams)]]*1.1/Table1[[#This Row],[BW_GA]])-1)/(Backend!$B$4/100*Table1[[#This Row],[BW40_3705]]),"")</f>
        <v/>
      </c>
      <c r="J143" s="7" t="str">
        <f>IF(Table1[[#This Row],[Is Data Valid]]=TRUE,_xlfn.NORM.S.DIST(Table1[[#This Row],[Birthweight Z-Score]],TRUE)*100,"")</f>
        <v/>
      </c>
      <c r="K143" s="7" t="str">
        <f>IF(Table1[[#This Row],[Is Data Valid]]=TRUE,_xlfn.NORM.S.DIST(Table1[[#This Row],[Birthweight Z-Score (BW-10%)]],TRUE)*100,"")</f>
        <v/>
      </c>
      <c r="L143" s="7" t="str">
        <f>IF(Table1[[#This Row],[Is Data Valid]]=TRUE,_xlfn.NORM.S.DIST(Table1[[#This Row],[Birthweight Z-Score (BW+10%)]],TRUE)*100,"")</f>
        <v/>
      </c>
    </row>
    <row r="144" spans="1:12" x14ac:dyDescent="0.35">
      <c r="A144" s="3"/>
      <c r="B144" s="2"/>
      <c r="C144" s="2"/>
      <c r="D144" s="2" t="b">
        <f>IF(AND(NOT(ISBLANK(Table1[[#This Row],[Fetal Sex (Male, Female or Unknown)]])),ISNUMBER(Table1[[#This Row],[Birthweight (grams)]]),ISNUMBER(Table1[[#This Row],[Gestation (days)]])),TRUE,FALSE)</f>
        <v>0</v>
      </c>
      <c r="E144" s="2" t="str">
        <f>IF(Table1[[#This Row],[Is Data Valid]]=TRUE,IF(Table1[[#This Row],[Fetal Sex (Male, Female or Unknown)]]="Male",Backend!$C$6,IF(Table1[[#This Row],[Fetal Sex (Male, Female or Unknown)]]="Female",Backend!$C$7,IF(Table1[[#This Row],[Fetal Sex (Male, Female or Unknown)]]="Unknown",Backend!$C$8,"Error"))),"")</f>
        <v/>
      </c>
      <c r="F144" s="8" t="str">
        <f>IF(Table1[[#This Row],[Is Data Valid]]=TRUE,EXP(0.578+0.332*((Table1[[#This Row],[Gestation (days)]]+0.5)/7)-0.00354*((Table1[[#This Row],[Gestation (days)]]+0.5)/7)^2)*Table1[[#This Row],[BW40_3705]],"")</f>
        <v/>
      </c>
      <c r="G144" s="2" t="str">
        <f>IF(Table1[[#This Row],[Is Data Valid]]=TRUE,((Table1[[#This Row],[Birthweight (grams)]]/Table1[[#This Row],[BW_GA]])-1)/(Backend!$B$4/100*Table1[[#This Row],[BW40_3705]]),"")</f>
        <v/>
      </c>
      <c r="H144" s="7" t="str">
        <f>IF(Table1[[#This Row],[Is Data Valid]]=TRUE,((Table1[[#This Row],[Birthweight (grams)]]*0.9/Table1[[#This Row],[BW_GA]])-1)/(Backend!$B$4/100*Table1[[#This Row],[BW40_3705]]),"")</f>
        <v/>
      </c>
      <c r="I144" s="7" t="str">
        <f>IF(Table1[[#This Row],[Is Data Valid]]=TRUE,((Table1[[#This Row],[Birthweight (grams)]]*1.1/Table1[[#This Row],[BW_GA]])-1)/(Backend!$B$4/100*Table1[[#This Row],[BW40_3705]]),"")</f>
        <v/>
      </c>
      <c r="J144" s="7" t="str">
        <f>IF(Table1[[#This Row],[Is Data Valid]]=TRUE,_xlfn.NORM.S.DIST(Table1[[#This Row],[Birthweight Z-Score]],TRUE)*100,"")</f>
        <v/>
      </c>
      <c r="K144" s="7" t="str">
        <f>IF(Table1[[#This Row],[Is Data Valid]]=TRUE,_xlfn.NORM.S.DIST(Table1[[#This Row],[Birthweight Z-Score (BW-10%)]],TRUE)*100,"")</f>
        <v/>
      </c>
      <c r="L144" s="7" t="str">
        <f>IF(Table1[[#This Row],[Is Data Valid]]=TRUE,_xlfn.NORM.S.DIST(Table1[[#This Row],[Birthweight Z-Score (BW+10%)]],TRUE)*100,"")</f>
        <v/>
      </c>
    </row>
    <row r="145" spans="1:12" x14ac:dyDescent="0.35">
      <c r="A145" s="3"/>
      <c r="B145" s="2"/>
      <c r="C145" s="2"/>
      <c r="D145" s="2" t="b">
        <f>IF(AND(NOT(ISBLANK(Table1[[#This Row],[Fetal Sex (Male, Female or Unknown)]])),ISNUMBER(Table1[[#This Row],[Birthweight (grams)]]),ISNUMBER(Table1[[#This Row],[Gestation (days)]])),TRUE,FALSE)</f>
        <v>0</v>
      </c>
      <c r="E145" s="2" t="str">
        <f>IF(Table1[[#This Row],[Is Data Valid]]=TRUE,IF(Table1[[#This Row],[Fetal Sex (Male, Female or Unknown)]]="Male",Backend!$C$6,IF(Table1[[#This Row],[Fetal Sex (Male, Female or Unknown)]]="Female",Backend!$C$7,IF(Table1[[#This Row],[Fetal Sex (Male, Female or Unknown)]]="Unknown",Backend!$C$8,"Error"))),"")</f>
        <v/>
      </c>
      <c r="F145" s="8" t="str">
        <f>IF(Table1[[#This Row],[Is Data Valid]]=TRUE,EXP(0.578+0.332*((Table1[[#This Row],[Gestation (days)]]+0.5)/7)-0.00354*((Table1[[#This Row],[Gestation (days)]]+0.5)/7)^2)*Table1[[#This Row],[BW40_3705]],"")</f>
        <v/>
      </c>
      <c r="G145" s="2" t="str">
        <f>IF(Table1[[#This Row],[Is Data Valid]]=TRUE,((Table1[[#This Row],[Birthweight (grams)]]/Table1[[#This Row],[BW_GA]])-1)/(Backend!$B$4/100*Table1[[#This Row],[BW40_3705]]),"")</f>
        <v/>
      </c>
      <c r="H145" s="7" t="str">
        <f>IF(Table1[[#This Row],[Is Data Valid]]=TRUE,((Table1[[#This Row],[Birthweight (grams)]]*0.9/Table1[[#This Row],[BW_GA]])-1)/(Backend!$B$4/100*Table1[[#This Row],[BW40_3705]]),"")</f>
        <v/>
      </c>
      <c r="I145" s="7" t="str">
        <f>IF(Table1[[#This Row],[Is Data Valid]]=TRUE,((Table1[[#This Row],[Birthweight (grams)]]*1.1/Table1[[#This Row],[BW_GA]])-1)/(Backend!$B$4/100*Table1[[#This Row],[BW40_3705]]),"")</f>
        <v/>
      </c>
      <c r="J145" s="7" t="str">
        <f>IF(Table1[[#This Row],[Is Data Valid]]=TRUE,_xlfn.NORM.S.DIST(Table1[[#This Row],[Birthweight Z-Score]],TRUE)*100,"")</f>
        <v/>
      </c>
      <c r="K145" s="7" t="str">
        <f>IF(Table1[[#This Row],[Is Data Valid]]=TRUE,_xlfn.NORM.S.DIST(Table1[[#This Row],[Birthweight Z-Score (BW-10%)]],TRUE)*100,"")</f>
        <v/>
      </c>
      <c r="L145" s="7" t="str">
        <f>IF(Table1[[#This Row],[Is Data Valid]]=TRUE,_xlfn.NORM.S.DIST(Table1[[#This Row],[Birthweight Z-Score (BW+10%)]],TRUE)*100,"")</f>
        <v/>
      </c>
    </row>
    <row r="146" spans="1:12" x14ac:dyDescent="0.35">
      <c r="A146" s="3"/>
      <c r="B146" s="2"/>
      <c r="C146" s="2"/>
      <c r="D146" s="2" t="b">
        <f>IF(AND(NOT(ISBLANK(Table1[[#This Row],[Fetal Sex (Male, Female or Unknown)]])),ISNUMBER(Table1[[#This Row],[Birthweight (grams)]]),ISNUMBER(Table1[[#This Row],[Gestation (days)]])),TRUE,FALSE)</f>
        <v>0</v>
      </c>
      <c r="E146" s="2" t="str">
        <f>IF(Table1[[#This Row],[Is Data Valid]]=TRUE,IF(Table1[[#This Row],[Fetal Sex (Male, Female or Unknown)]]="Male",Backend!$C$6,IF(Table1[[#This Row],[Fetal Sex (Male, Female or Unknown)]]="Female",Backend!$C$7,IF(Table1[[#This Row],[Fetal Sex (Male, Female or Unknown)]]="Unknown",Backend!$C$8,"Error"))),"")</f>
        <v/>
      </c>
      <c r="F146" s="8" t="str">
        <f>IF(Table1[[#This Row],[Is Data Valid]]=TRUE,EXP(0.578+0.332*((Table1[[#This Row],[Gestation (days)]]+0.5)/7)-0.00354*((Table1[[#This Row],[Gestation (days)]]+0.5)/7)^2)*Table1[[#This Row],[BW40_3705]],"")</f>
        <v/>
      </c>
      <c r="G146" s="2" t="str">
        <f>IF(Table1[[#This Row],[Is Data Valid]]=TRUE,((Table1[[#This Row],[Birthweight (grams)]]/Table1[[#This Row],[BW_GA]])-1)/(Backend!$B$4/100*Table1[[#This Row],[BW40_3705]]),"")</f>
        <v/>
      </c>
      <c r="H146" s="7" t="str">
        <f>IF(Table1[[#This Row],[Is Data Valid]]=TRUE,((Table1[[#This Row],[Birthweight (grams)]]*0.9/Table1[[#This Row],[BW_GA]])-1)/(Backend!$B$4/100*Table1[[#This Row],[BW40_3705]]),"")</f>
        <v/>
      </c>
      <c r="I146" s="7" t="str">
        <f>IF(Table1[[#This Row],[Is Data Valid]]=TRUE,((Table1[[#This Row],[Birthweight (grams)]]*1.1/Table1[[#This Row],[BW_GA]])-1)/(Backend!$B$4/100*Table1[[#This Row],[BW40_3705]]),"")</f>
        <v/>
      </c>
      <c r="J146" s="7" t="str">
        <f>IF(Table1[[#This Row],[Is Data Valid]]=TRUE,_xlfn.NORM.S.DIST(Table1[[#This Row],[Birthweight Z-Score]],TRUE)*100,"")</f>
        <v/>
      </c>
      <c r="K146" s="7" t="str">
        <f>IF(Table1[[#This Row],[Is Data Valid]]=TRUE,_xlfn.NORM.S.DIST(Table1[[#This Row],[Birthweight Z-Score (BW-10%)]],TRUE)*100,"")</f>
        <v/>
      </c>
      <c r="L146" s="7" t="str">
        <f>IF(Table1[[#This Row],[Is Data Valid]]=TRUE,_xlfn.NORM.S.DIST(Table1[[#This Row],[Birthweight Z-Score (BW+10%)]],TRUE)*100,"")</f>
        <v/>
      </c>
    </row>
    <row r="147" spans="1:12" x14ac:dyDescent="0.35">
      <c r="A147" s="3"/>
      <c r="B147" s="2"/>
      <c r="C147" s="2"/>
      <c r="D147" s="2" t="b">
        <f>IF(AND(NOT(ISBLANK(Table1[[#This Row],[Fetal Sex (Male, Female or Unknown)]])),ISNUMBER(Table1[[#This Row],[Birthweight (grams)]]),ISNUMBER(Table1[[#This Row],[Gestation (days)]])),TRUE,FALSE)</f>
        <v>0</v>
      </c>
      <c r="E147" s="2" t="str">
        <f>IF(Table1[[#This Row],[Is Data Valid]]=TRUE,IF(Table1[[#This Row],[Fetal Sex (Male, Female or Unknown)]]="Male",Backend!$C$6,IF(Table1[[#This Row],[Fetal Sex (Male, Female or Unknown)]]="Female",Backend!$C$7,IF(Table1[[#This Row],[Fetal Sex (Male, Female or Unknown)]]="Unknown",Backend!$C$8,"Error"))),"")</f>
        <v/>
      </c>
      <c r="F147" s="8" t="str">
        <f>IF(Table1[[#This Row],[Is Data Valid]]=TRUE,EXP(0.578+0.332*((Table1[[#This Row],[Gestation (days)]]+0.5)/7)-0.00354*((Table1[[#This Row],[Gestation (days)]]+0.5)/7)^2)*Table1[[#This Row],[BW40_3705]],"")</f>
        <v/>
      </c>
      <c r="G147" s="2" t="str">
        <f>IF(Table1[[#This Row],[Is Data Valid]]=TRUE,((Table1[[#This Row],[Birthweight (grams)]]/Table1[[#This Row],[BW_GA]])-1)/(Backend!$B$4/100*Table1[[#This Row],[BW40_3705]]),"")</f>
        <v/>
      </c>
      <c r="H147" s="7" t="str">
        <f>IF(Table1[[#This Row],[Is Data Valid]]=TRUE,((Table1[[#This Row],[Birthweight (grams)]]*0.9/Table1[[#This Row],[BW_GA]])-1)/(Backend!$B$4/100*Table1[[#This Row],[BW40_3705]]),"")</f>
        <v/>
      </c>
      <c r="I147" s="7" t="str">
        <f>IF(Table1[[#This Row],[Is Data Valid]]=TRUE,((Table1[[#This Row],[Birthweight (grams)]]*1.1/Table1[[#This Row],[BW_GA]])-1)/(Backend!$B$4/100*Table1[[#This Row],[BW40_3705]]),"")</f>
        <v/>
      </c>
      <c r="J147" s="7" t="str">
        <f>IF(Table1[[#This Row],[Is Data Valid]]=TRUE,_xlfn.NORM.S.DIST(Table1[[#This Row],[Birthweight Z-Score]],TRUE)*100,"")</f>
        <v/>
      </c>
      <c r="K147" s="7" t="str">
        <f>IF(Table1[[#This Row],[Is Data Valid]]=TRUE,_xlfn.NORM.S.DIST(Table1[[#This Row],[Birthweight Z-Score (BW-10%)]],TRUE)*100,"")</f>
        <v/>
      </c>
      <c r="L147" s="7" t="str">
        <f>IF(Table1[[#This Row],[Is Data Valid]]=TRUE,_xlfn.NORM.S.DIST(Table1[[#This Row],[Birthweight Z-Score (BW+10%)]],TRUE)*100,"")</f>
        <v/>
      </c>
    </row>
    <row r="148" spans="1:12" x14ac:dyDescent="0.35">
      <c r="A148" s="3"/>
      <c r="B148" s="2"/>
      <c r="C148" s="2"/>
      <c r="D148" s="2" t="b">
        <f>IF(AND(NOT(ISBLANK(Table1[[#This Row],[Fetal Sex (Male, Female or Unknown)]])),ISNUMBER(Table1[[#This Row],[Birthweight (grams)]]),ISNUMBER(Table1[[#This Row],[Gestation (days)]])),TRUE,FALSE)</f>
        <v>0</v>
      </c>
      <c r="E148" s="2" t="str">
        <f>IF(Table1[[#This Row],[Is Data Valid]]=TRUE,IF(Table1[[#This Row],[Fetal Sex (Male, Female or Unknown)]]="Male",Backend!$C$6,IF(Table1[[#This Row],[Fetal Sex (Male, Female or Unknown)]]="Female",Backend!$C$7,IF(Table1[[#This Row],[Fetal Sex (Male, Female or Unknown)]]="Unknown",Backend!$C$8,"Error"))),"")</f>
        <v/>
      </c>
      <c r="F148" s="8" t="str">
        <f>IF(Table1[[#This Row],[Is Data Valid]]=TRUE,EXP(0.578+0.332*((Table1[[#This Row],[Gestation (days)]]+0.5)/7)-0.00354*((Table1[[#This Row],[Gestation (days)]]+0.5)/7)^2)*Table1[[#This Row],[BW40_3705]],"")</f>
        <v/>
      </c>
      <c r="G148" s="2" t="str">
        <f>IF(Table1[[#This Row],[Is Data Valid]]=TRUE,((Table1[[#This Row],[Birthweight (grams)]]/Table1[[#This Row],[BW_GA]])-1)/(Backend!$B$4/100*Table1[[#This Row],[BW40_3705]]),"")</f>
        <v/>
      </c>
      <c r="H148" s="7" t="str">
        <f>IF(Table1[[#This Row],[Is Data Valid]]=TRUE,((Table1[[#This Row],[Birthweight (grams)]]*0.9/Table1[[#This Row],[BW_GA]])-1)/(Backend!$B$4/100*Table1[[#This Row],[BW40_3705]]),"")</f>
        <v/>
      </c>
      <c r="I148" s="7" t="str">
        <f>IF(Table1[[#This Row],[Is Data Valid]]=TRUE,((Table1[[#This Row],[Birthweight (grams)]]*1.1/Table1[[#This Row],[BW_GA]])-1)/(Backend!$B$4/100*Table1[[#This Row],[BW40_3705]]),"")</f>
        <v/>
      </c>
      <c r="J148" s="7" t="str">
        <f>IF(Table1[[#This Row],[Is Data Valid]]=TRUE,_xlfn.NORM.S.DIST(Table1[[#This Row],[Birthweight Z-Score]],TRUE)*100,"")</f>
        <v/>
      </c>
      <c r="K148" s="7" t="str">
        <f>IF(Table1[[#This Row],[Is Data Valid]]=TRUE,_xlfn.NORM.S.DIST(Table1[[#This Row],[Birthweight Z-Score (BW-10%)]],TRUE)*100,"")</f>
        <v/>
      </c>
      <c r="L148" s="7" t="str">
        <f>IF(Table1[[#This Row],[Is Data Valid]]=TRUE,_xlfn.NORM.S.DIST(Table1[[#This Row],[Birthweight Z-Score (BW+10%)]],TRUE)*100,"")</f>
        <v/>
      </c>
    </row>
    <row r="149" spans="1:12" x14ac:dyDescent="0.35">
      <c r="A149" s="3"/>
      <c r="B149" s="2"/>
      <c r="C149" s="2"/>
      <c r="D149" s="2" t="b">
        <f>IF(AND(NOT(ISBLANK(Table1[[#This Row],[Fetal Sex (Male, Female or Unknown)]])),ISNUMBER(Table1[[#This Row],[Birthweight (grams)]]),ISNUMBER(Table1[[#This Row],[Gestation (days)]])),TRUE,FALSE)</f>
        <v>0</v>
      </c>
      <c r="E149" s="2" t="str">
        <f>IF(Table1[[#This Row],[Is Data Valid]]=TRUE,IF(Table1[[#This Row],[Fetal Sex (Male, Female or Unknown)]]="Male",Backend!$C$6,IF(Table1[[#This Row],[Fetal Sex (Male, Female or Unknown)]]="Female",Backend!$C$7,IF(Table1[[#This Row],[Fetal Sex (Male, Female or Unknown)]]="Unknown",Backend!$C$8,"Error"))),"")</f>
        <v/>
      </c>
      <c r="F149" s="8" t="str">
        <f>IF(Table1[[#This Row],[Is Data Valid]]=TRUE,EXP(0.578+0.332*((Table1[[#This Row],[Gestation (days)]]+0.5)/7)-0.00354*((Table1[[#This Row],[Gestation (days)]]+0.5)/7)^2)*Table1[[#This Row],[BW40_3705]],"")</f>
        <v/>
      </c>
      <c r="G149" s="2" t="str">
        <f>IF(Table1[[#This Row],[Is Data Valid]]=TRUE,((Table1[[#This Row],[Birthweight (grams)]]/Table1[[#This Row],[BW_GA]])-1)/(Backend!$B$4/100*Table1[[#This Row],[BW40_3705]]),"")</f>
        <v/>
      </c>
      <c r="H149" s="7" t="str">
        <f>IF(Table1[[#This Row],[Is Data Valid]]=TRUE,((Table1[[#This Row],[Birthweight (grams)]]*0.9/Table1[[#This Row],[BW_GA]])-1)/(Backend!$B$4/100*Table1[[#This Row],[BW40_3705]]),"")</f>
        <v/>
      </c>
      <c r="I149" s="7" t="str">
        <f>IF(Table1[[#This Row],[Is Data Valid]]=TRUE,((Table1[[#This Row],[Birthweight (grams)]]*1.1/Table1[[#This Row],[BW_GA]])-1)/(Backend!$B$4/100*Table1[[#This Row],[BW40_3705]]),"")</f>
        <v/>
      </c>
      <c r="J149" s="7" t="str">
        <f>IF(Table1[[#This Row],[Is Data Valid]]=TRUE,_xlfn.NORM.S.DIST(Table1[[#This Row],[Birthweight Z-Score]],TRUE)*100,"")</f>
        <v/>
      </c>
      <c r="K149" s="7" t="str">
        <f>IF(Table1[[#This Row],[Is Data Valid]]=TRUE,_xlfn.NORM.S.DIST(Table1[[#This Row],[Birthweight Z-Score (BW-10%)]],TRUE)*100,"")</f>
        <v/>
      </c>
      <c r="L149" s="7" t="str">
        <f>IF(Table1[[#This Row],[Is Data Valid]]=TRUE,_xlfn.NORM.S.DIST(Table1[[#This Row],[Birthweight Z-Score (BW+10%)]],TRUE)*100,"")</f>
        <v/>
      </c>
    </row>
    <row r="150" spans="1:12" x14ac:dyDescent="0.35">
      <c r="A150" s="3"/>
      <c r="B150" s="2"/>
      <c r="C150" s="2"/>
      <c r="D150" s="2" t="b">
        <f>IF(AND(NOT(ISBLANK(Table1[[#This Row],[Fetal Sex (Male, Female or Unknown)]])),ISNUMBER(Table1[[#This Row],[Birthweight (grams)]]),ISNUMBER(Table1[[#This Row],[Gestation (days)]])),TRUE,FALSE)</f>
        <v>0</v>
      </c>
      <c r="E150" s="2" t="str">
        <f>IF(Table1[[#This Row],[Is Data Valid]]=TRUE,IF(Table1[[#This Row],[Fetal Sex (Male, Female or Unknown)]]="Male",Backend!$C$6,IF(Table1[[#This Row],[Fetal Sex (Male, Female or Unknown)]]="Female",Backend!$C$7,IF(Table1[[#This Row],[Fetal Sex (Male, Female or Unknown)]]="Unknown",Backend!$C$8,"Error"))),"")</f>
        <v/>
      </c>
      <c r="F150" s="8" t="str">
        <f>IF(Table1[[#This Row],[Is Data Valid]]=TRUE,EXP(0.578+0.332*((Table1[[#This Row],[Gestation (days)]]+0.5)/7)-0.00354*((Table1[[#This Row],[Gestation (days)]]+0.5)/7)^2)*Table1[[#This Row],[BW40_3705]],"")</f>
        <v/>
      </c>
      <c r="G150" s="2" t="str">
        <f>IF(Table1[[#This Row],[Is Data Valid]]=TRUE,((Table1[[#This Row],[Birthweight (grams)]]/Table1[[#This Row],[BW_GA]])-1)/(Backend!$B$4/100*Table1[[#This Row],[BW40_3705]]),"")</f>
        <v/>
      </c>
      <c r="H150" s="7" t="str">
        <f>IF(Table1[[#This Row],[Is Data Valid]]=TRUE,((Table1[[#This Row],[Birthweight (grams)]]*0.9/Table1[[#This Row],[BW_GA]])-1)/(Backend!$B$4/100*Table1[[#This Row],[BW40_3705]]),"")</f>
        <v/>
      </c>
      <c r="I150" s="7" t="str">
        <f>IF(Table1[[#This Row],[Is Data Valid]]=TRUE,((Table1[[#This Row],[Birthweight (grams)]]*1.1/Table1[[#This Row],[BW_GA]])-1)/(Backend!$B$4/100*Table1[[#This Row],[BW40_3705]]),"")</f>
        <v/>
      </c>
      <c r="J150" s="7" t="str">
        <f>IF(Table1[[#This Row],[Is Data Valid]]=TRUE,_xlfn.NORM.S.DIST(Table1[[#This Row],[Birthweight Z-Score]],TRUE)*100,"")</f>
        <v/>
      </c>
      <c r="K150" s="7" t="str">
        <f>IF(Table1[[#This Row],[Is Data Valid]]=TRUE,_xlfn.NORM.S.DIST(Table1[[#This Row],[Birthweight Z-Score (BW-10%)]],TRUE)*100,"")</f>
        <v/>
      </c>
      <c r="L150" s="7" t="str">
        <f>IF(Table1[[#This Row],[Is Data Valid]]=TRUE,_xlfn.NORM.S.DIST(Table1[[#This Row],[Birthweight Z-Score (BW+10%)]],TRUE)*100,"")</f>
        <v/>
      </c>
    </row>
    <row r="151" spans="1:12" x14ac:dyDescent="0.35">
      <c r="A151" s="3"/>
      <c r="B151" s="2"/>
      <c r="C151" s="2"/>
      <c r="D151" s="2" t="b">
        <f>IF(AND(NOT(ISBLANK(Table1[[#This Row],[Fetal Sex (Male, Female or Unknown)]])),ISNUMBER(Table1[[#This Row],[Birthweight (grams)]]),ISNUMBER(Table1[[#This Row],[Gestation (days)]])),TRUE,FALSE)</f>
        <v>0</v>
      </c>
      <c r="E151" s="2" t="str">
        <f>IF(Table1[[#This Row],[Is Data Valid]]=TRUE,IF(Table1[[#This Row],[Fetal Sex (Male, Female or Unknown)]]="Male",Backend!$C$6,IF(Table1[[#This Row],[Fetal Sex (Male, Female or Unknown)]]="Female",Backend!$C$7,IF(Table1[[#This Row],[Fetal Sex (Male, Female or Unknown)]]="Unknown",Backend!$C$8,"Error"))),"")</f>
        <v/>
      </c>
      <c r="F151" s="8" t="str">
        <f>IF(Table1[[#This Row],[Is Data Valid]]=TRUE,EXP(0.578+0.332*((Table1[[#This Row],[Gestation (days)]]+0.5)/7)-0.00354*((Table1[[#This Row],[Gestation (days)]]+0.5)/7)^2)*Table1[[#This Row],[BW40_3705]],"")</f>
        <v/>
      </c>
      <c r="G151" s="2" t="str">
        <f>IF(Table1[[#This Row],[Is Data Valid]]=TRUE,((Table1[[#This Row],[Birthweight (grams)]]/Table1[[#This Row],[BW_GA]])-1)/(Backend!$B$4/100*Table1[[#This Row],[BW40_3705]]),"")</f>
        <v/>
      </c>
      <c r="H151" s="7" t="str">
        <f>IF(Table1[[#This Row],[Is Data Valid]]=TRUE,((Table1[[#This Row],[Birthweight (grams)]]*0.9/Table1[[#This Row],[BW_GA]])-1)/(Backend!$B$4/100*Table1[[#This Row],[BW40_3705]]),"")</f>
        <v/>
      </c>
      <c r="I151" s="7" t="str">
        <f>IF(Table1[[#This Row],[Is Data Valid]]=TRUE,((Table1[[#This Row],[Birthweight (grams)]]*1.1/Table1[[#This Row],[BW_GA]])-1)/(Backend!$B$4/100*Table1[[#This Row],[BW40_3705]]),"")</f>
        <v/>
      </c>
      <c r="J151" s="7" t="str">
        <f>IF(Table1[[#This Row],[Is Data Valid]]=TRUE,_xlfn.NORM.S.DIST(Table1[[#This Row],[Birthweight Z-Score]],TRUE)*100,"")</f>
        <v/>
      </c>
      <c r="K151" s="7" t="str">
        <f>IF(Table1[[#This Row],[Is Data Valid]]=TRUE,_xlfn.NORM.S.DIST(Table1[[#This Row],[Birthweight Z-Score (BW-10%)]],TRUE)*100,"")</f>
        <v/>
      </c>
      <c r="L151" s="7" t="str">
        <f>IF(Table1[[#This Row],[Is Data Valid]]=TRUE,_xlfn.NORM.S.DIST(Table1[[#This Row],[Birthweight Z-Score (BW+10%)]],TRUE)*100,"")</f>
        <v/>
      </c>
    </row>
    <row r="152" spans="1:12" x14ac:dyDescent="0.35">
      <c r="A152" s="3"/>
      <c r="B152" s="2"/>
      <c r="C152" s="2"/>
      <c r="D152" s="2" t="b">
        <f>IF(AND(NOT(ISBLANK(Table1[[#This Row],[Fetal Sex (Male, Female or Unknown)]])),ISNUMBER(Table1[[#This Row],[Birthweight (grams)]]),ISNUMBER(Table1[[#This Row],[Gestation (days)]])),TRUE,FALSE)</f>
        <v>0</v>
      </c>
      <c r="E152" s="2" t="str">
        <f>IF(Table1[[#This Row],[Is Data Valid]]=TRUE,IF(Table1[[#This Row],[Fetal Sex (Male, Female or Unknown)]]="Male",Backend!$C$6,IF(Table1[[#This Row],[Fetal Sex (Male, Female or Unknown)]]="Female",Backend!$C$7,IF(Table1[[#This Row],[Fetal Sex (Male, Female or Unknown)]]="Unknown",Backend!$C$8,"Error"))),"")</f>
        <v/>
      </c>
      <c r="F152" s="8" t="str">
        <f>IF(Table1[[#This Row],[Is Data Valid]]=TRUE,EXP(0.578+0.332*((Table1[[#This Row],[Gestation (days)]]+0.5)/7)-0.00354*((Table1[[#This Row],[Gestation (days)]]+0.5)/7)^2)*Table1[[#This Row],[BW40_3705]],"")</f>
        <v/>
      </c>
      <c r="G152" s="2" t="str">
        <f>IF(Table1[[#This Row],[Is Data Valid]]=TRUE,((Table1[[#This Row],[Birthweight (grams)]]/Table1[[#This Row],[BW_GA]])-1)/(Backend!$B$4/100*Table1[[#This Row],[BW40_3705]]),"")</f>
        <v/>
      </c>
      <c r="H152" s="7" t="str">
        <f>IF(Table1[[#This Row],[Is Data Valid]]=TRUE,((Table1[[#This Row],[Birthweight (grams)]]*0.9/Table1[[#This Row],[BW_GA]])-1)/(Backend!$B$4/100*Table1[[#This Row],[BW40_3705]]),"")</f>
        <v/>
      </c>
      <c r="I152" s="7" t="str">
        <f>IF(Table1[[#This Row],[Is Data Valid]]=TRUE,((Table1[[#This Row],[Birthweight (grams)]]*1.1/Table1[[#This Row],[BW_GA]])-1)/(Backend!$B$4/100*Table1[[#This Row],[BW40_3705]]),"")</f>
        <v/>
      </c>
      <c r="J152" s="7" t="str">
        <f>IF(Table1[[#This Row],[Is Data Valid]]=TRUE,_xlfn.NORM.S.DIST(Table1[[#This Row],[Birthweight Z-Score]],TRUE)*100,"")</f>
        <v/>
      </c>
      <c r="K152" s="7" t="str">
        <f>IF(Table1[[#This Row],[Is Data Valid]]=TRUE,_xlfn.NORM.S.DIST(Table1[[#This Row],[Birthweight Z-Score (BW-10%)]],TRUE)*100,"")</f>
        <v/>
      </c>
      <c r="L152" s="7" t="str">
        <f>IF(Table1[[#This Row],[Is Data Valid]]=TRUE,_xlfn.NORM.S.DIST(Table1[[#This Row],[Birthweight Z-Score (BW+10%)]],TRUE)*100,"")</f>
        <v/>
      </c>
    </row>
    <row r="153" spans="1:12" x14ac:dyDescent="0.35">
      <c r="A153" s="3"/>
      <c r="B153" s="2"/>
      <c r="C153" s="2"/>
      <c r="D153" s="2" t="b">
        <f>IF(AND(NOT(ISBLANK(Table1[[#This Row],[Fetal Sex (Male, Female or Unknown)]])),ISNUMBER(Table1[[#This Row],[Birthweight (grams)]]),ISNUMBER(Table1[[#This Row],[Gestation (days)]])),TRUE,FALSE)</f>
        <v>0</v>
      </c>
      <c r="E153" s="2" t="str">
        <f>IF(Table1[[#This Row],[Is Data Valid]]=TRUE,IF(Table1[[#This Row],[Fetal Sex (Male, Female or Unknown)]]="Male",Backend!$C$6,IF(Table1[[#This Row],[Fetal Sex (Male, Female or Unknown)]]="Female",Backend!$C$7,IF(Table1[[#This Row],[Fetal Sex (Male, Female or Unknown)]]="Unknown",Backend!$C$8,"Error"))),"")</f>
        <v/>
      </c>
      <c r="F153" s="8" t="str">
        <f>IF(Table1[[#This Row],[Is Data Valid]]=TRUE,EXP(0.578+0.332*((Table1[[#This Row],[Gestation (days)]]+0.5)/7)-0.00354*((Table1[[#This Row],[Gestation (days)]]+0.5)/7)^2)*Table1[[#This Row],[BW40_3705]],"")</f>
        <v/>
      </c>
      <c r="G153" s="2" t="str">
        <f>IF(Table1[[#This Row],[Is Data Valid]]=TRUE,((Table1[[#This Row],[Birthweight (grams)]]/Table1[[#This Row],[BW_GA]])-1)/(Backend!$B$4/100*Table1[[#This Row],[BW40_3705]]),"")</f>
        <v/>
      </c>
      <c r="H153" s="7" t="str">
        <f>IF(Table1[[#This Row],[Is Data Valid]]=TRUE,((Table1[[#This Row],[Birthweight (grams)]]*0.9/Table1[[#This Row],[BW_GA]])-1)/(Backend!$B$4/100*Table1[[#This Row],[BW40_3705]]),"")</f>
        <v/>
      </c>
      <c r="I153" s="7" t="str">
        <f>IF(Table1[[#This Row],[Is Data Valid]]=TRUE,((Table1[[#This Row],[Birthweight (grams)]]*1.1/Table1[[#This Row],[BW_GA]])-1)/(Backend!$B$4/100*Table1[[#This Row],[BW40_3705]]),"")</f>
        <v/>
      </c>
      <c r="J153" s="7" t="str">
        <f>IF(Table1[[#This Row],[Is Data Valid]]=TRUE,_xlfn.NORM.S.DIST(Table1[[#This Row],[Birthweight Z-Score]],TRUE)*100,"")</f>
        <v/>
      </c>
      <c r="K153" s="7" t="str">
        <f>IF(Table1[[#This Row],[Is Data Valid]]=TRUE,_xlfn.NORM.S.DIST(Table1[[#This Row],[Birthweight Z-Score (BW-10%)]],TRUE)*100,"")</f>
        <v/>
      </c>
      <c r="L153" s="7" t="str">
        <f>IF(Table1[[#This Row],[Is Data Valid]]=TRUE,_xlfn.NORM.S.DIST(Table1[[#This Row],[Birthweight Z-Score (BW+10%)]],TRUE)*100,"")</f>
        <v/>
      </c>
    </row>
    <row r="154" spans="1:12" x14ac:dyDescent="0.35">
      <c r="A154" s="3"/>
      <c r="B154" s="2"/>
      <c r="C154" s="2"/>
      <c r="D154" s="2" t="b">
        <f>IF(AND(NOT(ISBLANK(Table1[[#This Row],[Fetal Sex (Male, Female or Unknown)]])),ISNUMBER(Table1[[#This Row],[Birthweight (grams)]]),ISNUMBER(Table1[[#This Row],[Gestation (days)]])),TRUE,FALSE)</f>
        <v>0</v>
      </c>
      <c r="E154" s="2" t="str">
        <f>IF(Table1[[#This Row],[Is Data Valid]]=TRUE,IF(Table1[[#This Row],[Fetal Sex (Male, Female or Unknown)]]="Male",Backend!$C$6,IF(Table1[[#This Row],[Fetal Sex (Male, Female or Unknown)]]="Female",Backend!$C$7,IF(Table1[[#This Row],[Fetal Sex (Male, Female or Unknown)]]="Unknown",Backend!$C$8,"Error"))),"")</f>
        <v/>
      </c>
      <c r="F154" s="8" t="str">
        <f>IF(Table1[[#This Row],[Is Data Valid]]=TRUE,EXP(0.578+0.332*((Table1[[#This Row],[Gestation (days)]]+0.5)/7)-0.00354*((Table1[[#This Row],[Gestation (days)]]+0.5)/7)^2)*Table1[[#This Row],[BW40_3705]],"")</f>
        <v/>
      </c>
      <c r="G154" s="2" t="str">
        <f>IF(Table1[[#This Row],[Is Data Valid]]=TRUE,((Table1[[#This Row],[Birthweight (grams)]]/Table1[[#This Row],[BW_GA]])-1)/(Backend!$B$4/100*Table1[[#This Row],[BW40_3705]]),"")</f>
        <v/>
      </c>
      <c r="H154" s="7" t="str">
        <f>IF(Table1[[#This Row],[Is Data Valid]]=TRUE,((Table1[[#This Row],[Birthweight (grams)]]*0.9/Table1[[#This Row],[BW_GA]])-1)/(Backend!$B$4/100*Table1[[#This Row],[BW40_3705]]),"")</f>
        <v/>
      </c>
      <c r="I154" s="7" t="str">
        <f>IF(Table1[[#This Row],[Is Data Valid]]=TRUE,((Table1[[#This Row],[Birthweight (grams)]]*1.1/Table1[[#This Row],[BW_GA]])-1)/(Backend!$B$4/100*Table1[[#This Row],[BW40_3705]]),"")</f>
        <v/>
      </c>
      <c r="J154" s="7" t="str">
        <f>IF(Table1[[#This Row],[Is Data Valid]]=TRUE,_xlfn.NORM.S.DIST(Table1[[#This Row],[Birthweight Z-Score]],TRUE)*100,"")</f>
        <v/>
      </c>
      <c r="K154" s="7" t="str">
        <f>IF(Table1[[#This Row],[Is Data Valid]]=TRUE,_xlfn.NORM.S.DIST(Table1[[#This Row],[Birthweight Z-Score (BW-10%)]],TRUE)*100,"")</f>
        <v/>
      </c>
      <c r="L154" s="7" t="str">
        <f>IF(Table1[[#This Row],[Is Data Valid]]=TRUE,_xlfn.NORM.S.DIST(Table1[[#This Row],[Birthweight Z-Score (BW+10%)]],TRUE)*100,"")</f>
        <v/>
      </c>
    </row>
    <row r="155" spans="1:12" x14ac:dyDescent="0.35">
      <c r="A155" s="3"/>
      <c r="B155" s="2"/>
      <c r="C155" s="2"/>
      <c r="D155" s="2" t="b">
        <f>IF(AND(NOT(ISBLANK(Table1[[#This Row],[Fetal Sex (Male, Female or Unknown)]])),ISNUMBER(Table1[[#This Row],[Birthweight (grams)]]),ISNUMBER(Table1[[#This Row],[Gestation (days)]])),TRUE,FALSE)</f>
        <v>0</v>
      </c>
      <c r="E155" s="2" t="str">
        <f>IF(Table1[[#This Row],[Is Data Valid]]=TRUE,IF(Table1[[#This Row],[Fetal Sex (Male, Female or Unknown)]]="Male",Backend!$C$6,IF(Table1[[#This Row],[Fetal Sex (Male, Female or Unknown)]]="Female",Backend!$C$7,IF(Table1[[#This Row],[Fetal Sex (Male, Female or Unknown)]]="Unknown",Backend!$C$8,"Error"))),"")</f>
        <v/>
      </c>
      <c r="F155" s="8" t="str">
        <f>IF(Table1[[#This Row],[Is Data Valid]]=TRUE,EXP(0.578+0.332*((Table1[[#This Row],[Gestation (days)]]+0.5)/7)-0.00354*((Table1[[#This Row],[Gestation (days)]]+0.5)/7)^2)*Table1[[#This Row],[BW40_3705]],"")</f>
        <v/>
      </c>
      <c r="G155" s="2" t="str">
        <f>IF(Table1[[#This Row],[Is Data Valid]]=TRUE,((Table1[[#This Row],[Birthweight (grams)]]/Table1[[#This Row],[BW_GA]])-1)/(Backend!$B$4/100*Table1[[#This Row],[BW40_3705]]),"")</f>
        <v/>
      </c>
      <c r="H155" s="7" t="str">
        <f>IF(Table1[[#This Row],[Is Data Valid]]=TRUE,((Table1[[#This Row],[Birthweight (grams)]]*0.9/Table1[[#This Row],[BW_GA]])-1)/(Backend!$B$4/100*Table1[[#This Row],[BW40_3705]]),"")</f>
        <v/>
      </c>
      <c r="I155" s="7" t="str">
        <f>IF(Table1[[#This Row],[Is Data Valid]]=TRUE,((Table1[[#This Row],[Birthweight (grams)]]*1.1/Table1[[#This Row],[BW_GA]])-1)/(Backend!$B$4/100*Table1[[#This Row],[BW40_3705]]),"")</f>
        <v/>
      </c>
      <c r="J155" s="7" t="str">
        <f>IF(Table1[[#This Row],[Is Data Valid]]=TRUE,_xlfn.NORM.S.DIST(Table1[[#This Row],[Birthweight Z-Score]],TRUE)*100,"")</f>
        <v/>
      </c>
      <c r="K155" s="7" t="str">
        <f>IF(Table1[[#This Row],[Is Data Valid]]=TRUE,_xlfn.NORM.S.DIST(Table1[[#This Row],[Birthweight Z-Score (BW-10%)]],TRUE)*100,"")</f>
        <v/>
      </c>
      <c r="L155" s="7" t="str">
        <f>IF(Table1[[#This Row],[Is Data Valid]]=TRUE,_xlfn.NORM.S.DIST(Table1[[#This Row],[Birthweight Z-Score (BW+10%)]],TRUE)*100,"")</f>
        <v/>
      </c>
    </row>
    <row r="156" spans="1:12" x14ac:dyDescent="0.35">
      <c r="A156" s="3"/>
      <c r="B156" s="2"/>
      <c r="C156" s="2"/>
      <c r="D156" s="2" t="b">
        <f>IF(AND(NOT(ISBLANK(Table1[[#This Row],[Fetal Sex (Male, Female or Unknown)]])),ISNUMBER(Table1[[#This Row],[Birthweight (grams)]]),ISNUMBER(Table1[[#This Row],[Gestation (days)]])),TRUE,FALSE)</f>
        <v>0</v>
      </c>
      <c r="E156" s="2" t="str">
        <f>IF(Table1[[#This Row],[Is Data Valid]]=TRUE,IF(Table1[[#This Row],[Fetal Sex (Male, Female or Unknown)]]="Male",Backend!$C$6,IF(Table1[[#This Row],[Fetal Sex (Male, Female or Unknown)]]="Female",Backend!$C$7,IF(Table1[[#This Row],[Fetal Sex (Male, Female or Unknown)]]="Unknown",Backend!$C$8,"Error"))),"")</f>
        <v/>
      </c>
      <c r="F156" s="8" t="str">
        <f>IF(Table1[[#This Row],[Is Data Valid]]=TRUE,EXP(0.578+0.332*((Table1[[#This Row],[Gestation (days)]]+0.5)/7)-0.00354*((Table1[[#This Row],[Gestation (days)]]+0.5)/7)^2)*Table1[[#This Row],[BW40_3705]],"")</f>
        <v/>
      </c>
      <c r="G156" s="2" t="str">
        <f>IF(Table1[[#This Row],[Is Data Valid]]=TRUE,((Table1[[#This Row],[Birthweight (grams)]]/Table1[[#This Row],[BW_GA]])-1)/(Backend!$B$4/100*Table1[[#This Row],[BW40_3705]]),"")</f>
        <v/>
      </c>
      <c r="H156" s="7" t="str">
        <f>IF(Table1[[#This Row],[Is Data Valid]]=TRUE,((Table1[[#This Row],[Birthweight (grams)]]*0.9/Table1[[#This Row],[BW_GA]])-1)/(Backend!$B$4/100*Table1[[#This Row],[BW40_3705]]),"")</f>
        <v/>
      </c>
      <c r="I156" s="7" t="str">
        <f>IF(Table1[[#This Row],[Is Data Valid]]=TRUE,((Table1[[#This Row],[Birthweight (grams)]]*1.1/Table1[[#This Row],[BW_GA]])-1)/(Backend!$B$4/100*Table1[[#This Row],[BW40_3705]]),"")</f>
        <v/>
      </c>
      <c r="J156" s="7" t="str">
        <f>IF(Table1[[#This Row],[Is Data Valid]]=TRUE,_xlfn.NORM.S.DIST(Table1[[#This Row],[Birthweight Z-Score]],TRUE)*100,"")</f>
        <v/>
      </c>
      <c r="K156" s="7" t="str">
        <f>IF(Table1[[#This Row],[Is Data Valid]]=TRUE,_xlfn.NORM.S.DIST(Table1[[#This Row],[Birthweight Z-Score (BW-10%)]],TRUE)*100,"")</f>
        <v/>
      </c>
      <c r="L156" s="7" t="str">
        <f>IF(Table1[[#This Row],[Is Data Valid]]=TRUE,_xlfn.NORM.S.DIST(Table1[[#This Row],[Birthweight Z-Score (BW+10%)]],TRUE)*100,"")</f>
        <v/>
      </c>
    </row>
    <row r="157" spans="1:12" x14ac:dyDescent="0.35">
      <c r="A157" s="3"/>
      <c r="B157" s="2"/>
      <c r="C157" s="2"/>
      <c r="D157" s="2" t="b">
        <f>IF(AND(NOT(ISBLANK(Table1[[#This Row],[Fetal Sex (Male, Female or Unknown)]])),ISNUMBER(Table1[[#This Row],[Birthweight (grams)]]),ISNUMBER(Table1[[#This Row],[Gestation (days)]])),TRUE,FALSE)</f>
        <v>0</v>
      </c>
      <c r="E157" s="2" t="str">
        <f>IF(Table1[[#This Row],[Is Data Valid]]=TRUE,IF(Table1[[#This Row],[Fetal Sex (Male, Female or Unknown)]]="Male",Backend!$C$6,IF(Table1[[#This Row],[Fetal Sex (Male, Female or Unknown)]]="Female",Backend!$C$7,IF(Table1[[#This Row],[Fetal Sex (Male, Female or Unknown)]]="Unknown",Backend!$C$8,"Error"))),"")</f>
        <v/>
      </c>
      <c r="F157" s="8" t="str">
        <f>IF(Table1[[#This Row],[Is Data Valid]]=TRUE,EXP(0.578+0.332*((Table1[[#This Row],[Gestation (days)]]+0.5)/7)-0.00354*((Table1[[#This Row],[Gestation (days)]]+0.5)/7)^2)*Table1[[#This Row],[BW40_3705]],"")</f>
        <v/>
      </c>
      <c r="G157" s="2" t="str">
        <f>IF(Table1[[#This Row],[Is Data Valid]]=TRUE,((Table1[[#This Row],[Birthweight (grams)]]/Table1[[#This Row],[BW_GA]])-1)/(Backend!$B$4/100*Table1[[#This Row],[BW40_3705]]),"")</f>
        <v/>
      </c>
      <c r="H157" s="7" t="str">
        <f>IF(Table1[[#This Row],[Is Data Valid]]=TRUE,((Table1[[#This Row],[Birthweight (grams)]]*0.9/Table1[[#This Row],[BW_GA]])-1)/(Backend!$B$4/100*Table1[[#This Row],[BW40_3705]]),"")</f>
        <v/>
      </c>
      <c r="I157" s="7" t="str">
        <f>IF(Table1[[#This Row],[Is Data Valid]]=TRUE,((Table1[[#This Row],[Birthweight (grams)]]*1.1/Table1[[#This Row],[BW_GA]])-1)/(Backend!$B$4/100*Table1[[#This Row],[BW40_3705]]),"")</f>
        <v/>
      </c>
      <c r="J157" s="7" t="str">
        <f>IF(Table1[[#This Row],[Is Data Valid]]=TRUE,_xlfn.NORM.S.DIST(Table1[[#This Row],[Birthweight Z-Score]],TRUE)*100,"")</f>
        <v/>
      </c>
      <c r="K157" s="7" t="str">
        <f>IF(Table1[[#This Row],[Is Data Valid]]=TRUE,_xlfn.NORM.S.DIST(Table1[[#This Row],[Birthweight Z-Score (BW-10%)]],TRUE)*100,"")</f>
        <v/>
      </c>
      <c r="L157" s="7" t="str">
        <f>IF(Table1[[#This Row],[Is Data Valid]]=TRUE,_xlfn.NORM.S.DIST(Table1[[#This Row],[Birthweight Z-Score (BW+10%)]],TRUE)*100,"")</f>
        <v/>
      </c>
    </row>
    <row r="158" spans="1:12" x14ac:dyDescent="0.35">
      <c r="A158" s="3"/>
      <c r="B158" s="2"/>
      <c r="C158" s="2"/>
      <c r="D158" s="2" t="b">
        <f>IF(AND(NOT(ISBLANK(Table1[[#This Row],[Fetal Sex (Male, Female or Unknown)]])),ISNUMBER(Table1[[#This Row],[Birthweight (grams)]]),ISNUMBER(Table1[[#This Row],[Gestation (days)]])),TRUE,FALSE)</f>
        <v>0</v>
      </c>
      <c r="E158" s="2" t="str">
        <f>IF(Table1[[#This Row],[Is Data Valid]]=TRUE,IF(Table1[[#This Row],[Fetal Sex (Male, Female or Unknown)]]="Male",Backend!$C$6,IF(Table1[[#This Row],[Fetal Sex (Male, Female or Unknown)]]="Female",Backend!$C$7,IF(Table1[[#This Row],[Fetal Sex (Male, Female or Unknown)]]="Unknown",Backend!$C$8,"Error"))),"")</f>
        <v/>
      </c>
      <c r="F158" s="8" t="str">
        <f>IF(Table1[[#This Row],[Is Data Valid]]=TRUE,EXP(0.578+0.332*((Table1[[#This Row],[Gestation (days)]]+0.5)/7)-0.00354*((Table1[[#This Row],[Gestation (days)]]+0.5)/7)^2)*Table1[[#This Row],[BW40_3705]],"")</f>
        <v/>
      </c>
      <c r="G158" s="2" t="str">
        <f>IF(Table1[[#This Row],[Is Data Valid]]=TRUE,((Table1[[#This Row],[Birthweight (grams)]]/Table1[[#This Row],[BW_GA]])-1)/(Backend!$B$4/100*Table1[[#This Row],[BW40_3705]]),"")</f>
        <v/>
      </c>
      <c r="H158" s="7" t="str">
        <f>IF(Table1[[#This Row],[Is Data Valid]]=TRUE,((Table1[[#This Row],[Birthweight (grams)]]*0.9/Table1[[#This Row],[BW_GA]])-1)/(Backend!$B$4/100*Table1[[#This Row],[BW40_3705]]),"")</f>
        <v/>
      </c>
      <c r="I158" s="7" t="str">
        <f>IF(Table1[[#This Row],[Is Data Valid]]=TRUE,((Table1[[#This Row],[Birthweight (grams)]]*1.1/Table1[[#This Row],[BW_GA]])-1)/(Backend!$B$4/100*Table1[[#This Row],[BW40_3705]]),"")</f>
        <v/>
      </c>
      <c r="J158" s="7" t="str">
        <f>IF(Table1[[#This Row],[Is Data Valid]]=TRUE,_xlfn.NORM.S.DIST(Table1[[#This Row],[Birthweight Z-Score]],TRUE)*100,"")</f>
        <v/>
      </c>
      <c r="K158" s="7" t="str">
        <f>IF(Table1[[#This Row],[Is Data Valid]]=TRUE,_xlfn.NORM.S.DIST(Table1[[#This Row],[Birthweight Z-Score (BW-10%)]],TRUE)*100,"")</f>
        <v/>
      </c>
      <c r="L158" s="7" t="str">
        <f>IF(Table1[[#This Row],[Is Data Valid]]=TRUE,_xlfn.NORM.S.DIST(Table1[[#This Row],[Birthweight Z-Score (BW+10%)]],TRUE)*100,"")</f>
        <v/>
      </c>
    </row>
    <row r="159" spans="1:12" x14ac:dyDescent="0.35">
      <c r="A159" s="3"/>
      <c r="B159" s="2"/>
      <c r="C159" s="2"/>
      <c r="D159" s="2" t="b">
        <f>IF(AND(NOT(ISBLANK(Table1[[#This Row],[Fetal Sex (Male, Female or Unknown)]])),ISNUMBER(Table1[[#This Row],[Birthweight (grams)]]),ISNUMBER(Table1[[#This Row],[Gestation (days)]])),TRUE,FALSE)</f>
        <v>0</v>
      </c>
      <c r="E159" s="2" t="str">
        <f>IF(Table1[[#This Row],[Is Data Valid]]=TRUE,IF(Table1[[#This Row],[Fetal Sex (Male, Female or Unknown)]]="Male",Backend!$C$6,IF(Table1[[#This Row],[Fetal Sex (Male, Female or Unknown)]]="Female",Backend!$C$7,IF(Table1[[#This Row],[Fetal Sex (Male, Female or Unknown)]]="Unknown",Backend!$C$8,"Error"))),"")</f>
        <v/>
      </c>
      <c r="F159" s="8" t="str">
        <f>IF(Table1[[#This Row],[Is Data Valid]]=TRUE,EXP(0.578+0.332*((Table1[[#This Row],[Gestation (days)]]+0.5)/7)-0.00354*((Table1[[#This Row],[Gestation (days)]]+0.5)/7)^2)*Table1[[#This Row],[BW40_3705]],"")</f>
        <v/>
      </c>
      <c r="G159" s="2" t="str">
        <f>IF(Table1[[#This Row],[Is Data Valid]]=TRUE,((Table1[[#This Row],[Birthweight (grams)]]/Table1[[#This Row],[BW_GA]])-1)/(Backend!$B$4/100*Table1[[#This Row],[BW40_3705]]),"")</f>
        <v/>
      </c>
      <c r="H159" s="7" t="str">
        <f>IF(Table1[[#This Row],[Is Data Valid]]=TRUE,((Table1[[#This Row],[Birthweight (grams)]]*0.9/Table1[[#This Row],[BW_GA]])-1)/(Backend!$B$4/100*Table1[[#This Row],[BW40_3705]]),"")</f>
        <v/>
      </c>
      <c r="I159" s="7" t="str">
        <f>IF(Table1[[#This Row],[Is Data Valid]]=TRUE,((Table1[[#This Row],[Birthweight (grams)]]*1.1/Table1[[#This Row],[BW_GA]])-1)/(Backend!$B$4/100*Table1[[#This Row],[BW40_3705]]),"")</f>
        <v/>
      </c>
      <c r="J159" s="7" t="str">
        <f>IF(Table1[[#This Row],[Is Data Valid]]=TRUE,_xlfn.NORM.S.DIST(Table1[[#This Row],[Birthweight Z-Score]],TRUE)*100,"")</f>
        <v/>
      </c>
      <c r="K159" s="7" t="str">
        <f>IF(Table1[[#This Row],[Is Data Valid]]=TRUE,_xlfn.NORM.S.DIST(Table1[[#This Row],[Birthweight Z-Score (BW-10%)]],TRUE)*100,"")</f>
        <v/>
      </c>
      <c r="L159" s="7" t="str">
        <f>IF(Table1[[#This Row],[Is Data Valid]]=TRUE,_xlfn.NORM.S.DIST(Table1[[#This Row],[Birthweight Z-Score (BW+10%)]],TRUE)*100,"")</f>
        <v/>
      </c>
    </row>
    <row r="160" spans="1:12" x14ac:dyDescent="0.35">
      <c r="A160" s="3"/>
      <c r="B160" s="2"/>
      <c r="C160" s="2"/>
      <c r="D160" s="2" t="b">
        <f>IF(AND(NOT(ISBLANK(Table1[[#This Row],[Fetal Sex (Male, Female or Unknown)]])),ISNUMBER(Table1[[#This Row],[Birthweight (grams)]]),ISNUMBER(Table1[[#This Row],[Gestation (days)]])),TRUE,FALSE)</f>
        <v>0</v>
      </c>
      <c r="E160" s="2" t="str">
        <f>IF(Table1[[#This Row],[Is Data Valid]]=TRUE,IF(Table1[[#This Row],[Fetal Sex (Male, Female or Unknown)]]="Male",Backend!$C$6,IF(Table1[[#This Row],[Fetal Sex (Male, Female or Unknown)]]="Female",Backend!$C$7,IF(Table1[[#This Row],[Fetal Sex (Male, Female or Unknown)]]="Unknown",Backend!$C$8,"Error"))),"")</f>
        <v/>
      </c>
      <c r="F160" s="8" t="str">
        <f>IF(Table1[[#This Row],[Is Data Valid]]=TRUE,EXP(0.578+0.332*((Table1[[#This Row],[Gestation (days)]]+0.5)/7)-0.00354*((Table1[[#This Row],[Gestation (days)]]+0.5)/7)^2)*Table1[[#This Row],[BW40_3705]],"")</f>
        <v/>
      </c>
      <c r="G160" s="2" t="str">
        <f>IF(Table1[[#This Row],[Is Data Valid]]=TRUE,((Table1[[#This Row],[Birthweight (grams)]]/Table1[[#This Row],[BW_GA]])-1)/(Backend!$B$4/100*Table1[[#This Row],[BW40_3705]]),"")</f>
        <v/>
      </c>
      <c r="H160" s="7" t="str">
        <f>IF(Table1[[#This Row],[Is Data Valid]]=TRUE,((Table1[[#This Row],[Birthweight (grams)]]*0.9/Table1[[#This Row],[BW_GA]])-1)/(Backend!$B$4/100*Table1[[#This Row],[BW40_3705]]),"")</f>
        <v/>
      </c>
      <c r="I160" s="7" t="str">
        <f>IF(Table1[[#This Row],[Is Data Valid]]=TRUE,((Table1[[#This Row],[Birthweight (grams)]]*1.1/Table1[[#This Row],[BW_GA]])-1)/(Backend!$B$4/100*Table1[[#This Row],[BW40_3705]]),"")</f>
        <v/>
      </c>
      <c r="J160" s="7" t="str">
        <f>IF(Table1[[#This Row],[Is Data Valid]]=TRUE,_xlfn.NORM.S.DIST(Table1[[#This Row],[Birthweight Z-Score]],TRUE)*100,"")</f>
        <v/>
      </c>
      <c r="K160" s="7" t="str">
        <f>IF(Table1[[#This Row],[Is Data Valid]]=TRUE,_xlfn.NORM.S.DIST(Table1[[#This Row],[Birthweight Z-Score (BW-10%)]],TRUE)*100,"")</f>
        <v/>
      </c>
      <c r="L160" s="7" t="str">
        <f>IF(Table1[[#This Row],[Is Data Valid]]=TRUE,_xlfn.NORM.S.DIST(Table1[[#This Row],[Birthweight Z-Score (BW+10%)]],TRUE)*100,"")</f>
        <v/>
      </c>
    </row>
    <row r="161" spans="1:12" x14ac:dyDescent="0.35">
      <c r="A161" s="3"/>
      <c r="B161" s="2"/>
      <c r="C161" s="2"/>
      <c r="D161" s="2" t="b">
        <f>IF(AND(NOT(ISBLANK(Table1[[#This Row],[Fetal Sex (Male, Female or Unknown)]])),ISNUMBER(Table1[[#This Row],[Birthweight (grams)]]),ISNUMBER(Table1[[#This Row],[Gestation (days)]])),TRUE,FALSE)</f>
        <v>0</v>
      </c>
      <c r="E161" s="2" t="str">
        <f>IF(Table1[[#This Row],[Is Data Valid]]=TRUE,IF(Table1[[#This Row],[Fetal Sex (Male, Female or Unknown)]]="Male",Backend!$C$6,IF(Table1[[#This Row],[Fetal Sex (Male, Female or Unknown)]]="Female",Backend!$C$7,IF(Table1[[#This Row],[Fetal Sex (Male, Female or Unknown)]]="Unknown",Backend!$C$8,"Error"))),"")</f>
        <v/>
      </c>
      <c r="F161" s="8" t="str">
        <f>IF(Table1[[#This Row],[Is Data Valid]]=TRUE,EXP(0.578+0.332*((Table1[[#This Row],[Gestation (days)]]+0.5)/7)-0.00354*((Table1[[#This Row],[Gestation (days)]]+0.5)/7)^2)*Table1[[#This Row],[BW40_3705]],"")</f>
        <v/>
      </c>
      <c r="G161" s="2" t="str">
        <f>IF(Table1[[#This Row],[Is Data Valid]]=TRUE,((Table1[[#This Row],[Birthweight (grams)]]/Table1[[#This Row],[BW_GA]])-1)/(Backend!$B$4/100*Table1[[#This Row],[BW40_3705]]),"")</f>
        <v/>
      </c>
      <c r="H161" s="7" t="str">
        <f>IF(Table1[[#This Row],[Is Data Valid]]=TRUE,((Table1[[#This Row],[Birthweight (grams)]]*0.9/Table1[[#This Row],[BW_GA]])-1)/(Backend!$B$4/100*Table1[[#This Row],[BW40_3705]]),"")</f>
        <v/>
      </c>
      <c r="I161" s="7" t="str">
        <f>IF(Table1[[#This Row],[Is Data Valid]]=TRUE,((Table1[[#This Row],[Birthweight (grams)]]*1.1/Table1[[#This Row],[BW_GA]])-1)/(Backend!$B$4/100*Table1[[#This Row],[BW40_3705]]),"")</f>
        <v/>
      </c>
      <c r="J161" s="7" t="str">
        <f>IF(Table1[[#This Row],[Is Data Valid]]=TRUE,_xlfn.NORM.S.DIST(Table1[[#This Row],[Birthweight Z-Score]],TRUE)*100,"")</f>
        <v/>
      </c>
      <c r="K161" s="7" t="str">
        <f>IF(Table1[[#This Row],[Is Data Valid]]=TRUE,_xlfn.NORM.S.DIST(Table1[[#This Row],[Birthweight Z-Score (BW-10%)]],TRUE)*100,"")</f>
        <v/>
      </c>
      <c r="L161" s="7" t="str">
        <f>IF(Table1[[#This Row],[Is Data Valid]]=TRUE,_xlfn.NORM.S.DIST(Table1[[#This Row],[Birthweight Z-Score (BW+10%)]],TRUE)*100,"")</f>
        <v/>
      </c>
    </row>
    <row r="162" spans="1:12" x14ac:dyDescent="0.35">
      <c r="A162" s="3"/>
      <c r="B162" s="2"/>
      <c r="C162" s="2"/>
      <c r="D162" s="2" t="b">
        <f>IF(AND(NOT(ISBLANK(Table1[[#This Row],[Fetal Sex (Male, Female or Unknown)]])),ISNUMBER(Table1[[#This Row],[Birthweight (grams)]]),ISNUMBER(Table1[[#This Row],[Gestation (days)]])),TRUE,FALSE)</f>
        <v>0</v>
      </c>
      <c r="E162" s="2" t="str">
        <f>IF(Table1[[#This Row],[Is Data Valid]]=TRUE,IF(Table1[[#This Row],[Fetal Sex (Male, Female or Unknown)]]="Male",Backend!$C$6,IF(Table1[[#This Row],[Fetal Sex (Male, Female or Unknown)]]="Female",Backend!$C$7,IF(Table1[[#This Row],[Fetal Sex (Male, Female or Unknown)]]="Unknown",Backend!$C$8,"Error"))),"")</f>
        <v/>
      </c>
      <c r="F162" s="8" t="str">
        <f>IF(Table1[[#This Row],[Is Data Valid]]=TRUE,EXP(0.578+0.332*((Table1[[#This Row],[Gestation (days)]]+0.5)/7)-0.00354*((Table1[[#This Row],[Gestation (days)]]+0.5)/7)^2)*Table1[[#This Row],[BW40_3705]],"")</f>
        <v/>
      </c>
      <c r="G162" s="2" t="str">
        <f>IF(Table1[[#This Row],[Is Data Valid]]=TRUE,((Table1[[#This Row],[Birthweight (grams)]]/Table1[[#This Row],[BW_GA]])-1)/(Backend!$B$4/100*Table1[[#This Row],[BW40_3705]]),"")</f>
        <v/>
      </c>
      <c r="H162" s="7" t="str">
        <f>IF(Table1[[#This Row],[Is Data Valid]]=TRUE,((Table1[[#This Row],[Birthweight (grams)]]*0.9/Table1[[#This Row],[BW_GA]])-1)/(Backend!$B$4/100*Table1[[#This Row],[BW40_3705]]),"")</f>
        <v/>
      </c>
      <c r="I162" s="7" t="str">
        <f>IF(Table1[[#This Row],[Is Data Valid]]=TRUE,((Table1[[#This Row],[Birthweight (grams)]]*1.1/Table1[[#This Row],[BW_GA]])-1)/(Backend!$B$4/100*Table1[[#This Row],[BW40_3705]]),"")</f>
        <v/>
      </c>
      <c r="J162" s="7" t="str">
        <f>IF(Table1[[#This Row],[Is Data Valid]]=TRUE,_xlfn.NORM.S.DIST(Table1[[#This Row],[Birthweight Z-Score]],TRUE)*100,"")</f>
        <v/>
      </c>
      <c r="K162" s="7" t="str">
        <f>IF(Table1[[#This Row],[Is Data Valid]]=TRUE,_xlfn.NORM.S.DIST(Table1[[#This Row],[Birthweight Z-Score (BW-10%)]],TRUE)*100,"")</f>
        <v/>
      </c>
      <c r="L162" s="7" t="str">
        <f>IF(Table1[[#This Row],[Is Data Valid]]=TRUE,_xlfn.NORM.S.DIST(Table1[[#This Row],[Birthweight Z-Score (BW+10%)]],TRUE)*100,"")</f>
        <v/>
      </c>
    </row>
    <row r="163" spans="1:12" x14ac:dyDescent="0.35">
      <c r="A163" s="3"/>
      <c r="B163" s="2"/>
      <c r="C163" s="2"/>
      <c r="D163" s="2" t="b">
        <f>IF(AND(NOT(ISBLANK(Table1[[#This Row],[Fetal Sex (Male, Female or Unknown)]])),ISNUMBER(Table1[[#This Row],[Birthweight (grams)]]),ISNUMBER(Table1[[#This Row],[Gestation (days)]])),TRUE,FALSE)</f>
        <v>0</v>
      </c>
      <c r="E163" s="2" t="str">
        <f>IF(Table1[[#This Row],[Is Data Valid]]=TRUE,IF(Table1[[#This Row],[Fetal Sex (Male, Female or Unknown)]]="Male",Backend!$C$6,IF(Table1[[#This Row],[Fetal Sex (Male, Female or Unknown)]]="Female",Backend!$C$7,IF(Table1[[#This Row],[Fetal Sex (Male, Female or Unknown)]]="Unknown",Backend!$C$8,"Error"))),"")</f>
        <v/>
      </c>
      <c r="F163" s="8" t="str">
        <f>IF(Table1[[#This Row],[Is Data Valid]]=TRUE,EXP(0.578+0.332*((Table1[[#This Row],[Gestation (days)]]+0.5)/7)-0.00354*((Table1[[#This Row],[Gestation (days)]]+0.5)/7)^2)*Table1[[#This Row],[BW40_3705]],"")</f>
        <v/>
      </c>
      <c r="G163" s="2" t="str">
        <f>IF(Table1[[#This Row],[Is Data Valid]]=TRUE,((Table1[[#This Row],[Birthweight (grams)]]/Table1[[#This Row],[BW_GA]])-1)/(Backend!$B$4/100*Table1[[#This Row],[BW40_3705]]),"")</f>
        <v/>
      </c>
      <c r="H163" s="7" t="str">
        <f>IF(Table1[[#This Row],[Is Data Valid]]=TRUE,((Table1[[#This Row],[Birthweight (grams)]]*0.9/Table1[[#This Row],[BW_GA]])-1)/(Backend!$B$4/100*Table1[[#This Row],[BW40_3705]]),"")</f>
        <v/>
      </c>
      <c r="I163" s="7" t="str">
        <f>IF(Table1[[#This Row],[Is Data Valid]]=TRUE,((Table1[[#This Row],[Birthweight (grams)]]*1.1/Table1[[#This Row],[BW_GA]])-1)/(Backend!$B$4/100*Table1[[#This Row],[BW40_3705]]),"")</f>
        <v/>
      </c>
      <c r="J163" s="7" t="str">
        <f>IF(Table1[[#This Row],[Is Data Valid]]=TRUE,_xlfn.NORM.S.DIST(Table1[[#This Row],[Birthweight Z-Score]],TRUE)*100,"")</f>
        <v/>
      </c>
      <c r="K163" s="7" t="str">
        <f>IF(Table1[[#This Row],[Is Data Valid]]=TRUE,_xlfn.NORM.S.DIST(Table1[[#This Row],[Birthweight Z-Score (BW-10%)]],TRUE)*100,"")</f>
        <v/>
      </c>
      <c r="L163" s="7" t="str">
        <f>IF(Table1[[#This Row],[Is Data Valid]]=TRUE,_xlfn.NORM.S.DIST(Table1[[#This Row],[Birthweight Z-Score (BW+10%)]],TRUE)*100,"")</f>
        <v/>
      </c>
    </row>
    <row r="164" spans="1:12" x14ac:dyDescent="0.35">
      <c r="A164" s="3"/>
      <c r="B164" s="2"/>
      <c r="C164" s="2"/>
      <c r="D164" s="2" t="b">
        <f>IF(AND(NOT(ISBLANK(Table1[[#This Row],[Fetal Sex (Male, Female or Unknown)]])),ISNUMBER(Table1[[#This Row],[Birthweight (grams)]]),ISNUMBER(Table1[[#This Row],[Gestation (days)]])),TRUE,FALSE)</f>
        <v>0</v>
      </c>
      <c r="E164" s="2" t="str">
        <f>IF(Table1[[#This Row],[Is Data Valid]]=TRUE,IF(Table1[[#This Row],[Fetal Sex (Male, Female or Unknown)]]="Male",Backend!$C$6,IF(Table1[[#This Row],[Fetal Sex (Male, Female or Unknown)]]="Female",Backend!$C$7,IF(Table1[[#This Row],[Fetal Sex (Male, Female or Unknown)]]="Unknown",Backend!$C$8,"Error"))),"")</f>
        <v/>
      </c>
      <c r="F164" s="8" t="str">
        <f>IF(Table1[[#This Row],[Is Data Valid]]=TRUE,EXP(0.578+0.332*((Table1[[#This Row],[Gestation (days)]]+0.5)/7)-0.00354*((Table1[[#This Row],[Gestation (days)]]+0.5)/7)^2)*Table1[[#This Row],[BW40_3705]],"")</f>
        <v/>
      </c>
      <c r="G164" s="2" t="str">
        <f>IF(Table1[[#This Row],[Is Data Valid]]=TRUE,((Table1[[#This Row],[Birthweight (grams)]]/Table1[[#This Row],[BW_GA]])-1)/(Backend!$B$4/100*Table1[[#This Row],[BW40_3705]]),"")</f>
        <v/>
      </c>
      <c r="H164" s="7" t="str">
        <f>IF(Table1[[#This Row],[Is Data Valid]]=TRUE,((Table1[[#This Row],[Birthweight (grams)]]*0.9/Table1[[#This Row],[BW_GA]])-1)/(Backend!$B$4/100*Table1[[#This Row],[BW40_3705]]),"")</f>
        <v/>
      </c>
      <c r="I164" s="7" t="str">
        <f>IF(Table1[[#This Row],[Is Data Valid]]=TRUE,((Table1[[#This Row],[Birthweight (grams)]]*1.1/Table1[[#This Row],[BW_GA]])-1)/(Backend!$B$4/100*Table1[[#This Row],[BW40_3705]]),"")</f>
        <v/>
      </c>
      <c r="J164" s="7" t="str">
        <f>IF(Table1[[#This Row],[Is Data Valid]]=TRUE,_xlfn.NORM.S.DIST(Table1[[#This Row],[Birthweight Z-Score]],TRUE)*100,"")</f>
        <v/>
      </c>
      <c r="K164" s="7" t="str">
        <f>IF(Table1[[#This Row],[Is Data Valid]]=TRUE,_xlfn.NORM.S.DIST(Table1[[#This Row],[Birthweight Z-Score (BW-10%)]],TRUE)*100,"")</f>
        <v/>
      </c>
      <c r="L164" s="7" t="str">
        <f>IF(Table1[[#This Row],[Is Data Valid]]=TRUE,_xlfn.NORM.S.DIST(Table1[[#This Row],[Birthweight Z-Score (BW+10%)]],TRUE)*100,"")</f>
        <v/>
      </c>
    </row>
    <row r="165" spans="1:12" x14ac:dyDescent="0.35">
      <c r="A165" s="3"/>
      <c r="B165" s="2"/>
      <c r="C165" s="2"/>
      <c r="D165" s="2" t="b">
        <f>IF(AND(NOT(ISBLANK(Table1[[#This Row],[Fetal Sex (Male, Female or Unknown)]])),ISNUMBER(Table1[[#This Row],[Birthweight (grams)]]),ISNUMBER(Table1[[#This Row],[Gestation (days)]])),TRUE,FALSE)</f>
        <v>0</v>
      </c>
      <c r="E165" s="2" t="str">
        <f>IF(Table1[[#This Row],[Is Data Valid]]=TRUE,IF(Table1[[#This Row],[Fetal Sex (Male, Female or Unknown)]]="Male",Backend!$C$6,IF(Table1[[#This Row],[Fetal Sex (Male, Female or Unknown)]]="Female",Backend!$C$7,IF(Table1[[#This Row],[Fetal Sex (Male, Female or Unknown)]]="Unknown",Backend!$C$8,"Error"))),"")</f>
        <v/>
      </c>
      <c r="F165" s="8" t="str">
        <f>IF(Table1[[#This Row],[Is Data Valid]]=TRUE,EXP(0.578+0.332*((Table1[[#This Row],[Gestation (days)]]+0.5)/7)-0.00354*((Table1[[#This Row],[Gestation (days)]]+0.5)/7)^2)*Table1[[#This Row],[BW40_3705]],"")</f>
        <v/>
      </c>
      <c r="G165" s="2" t="str">
        <f>IF(Table1[[#This Row],[Is Data Valid]]=TRUE,((Table1[[#This Row],[Birthweight (grams)]]/Table1[[#This Row],[BW_GA]])-1)/(Backend!$B$4/100*Table1[[#This Row],[BW40_3705]]),"")</f>
        <v/>
      </c>
      <c r="H165" s="7" t="str">
        <f>IF(Table1[[#This Row],[Is Data Valid]]=TRUE,((Table1[[#This Row],[Birthweight (grams)]]*0.9/Table1[[#This Row],[BW_GA]])-1)/(Backend!$B$4/100*Table1[[#This Row],[BW40_3705]]),"")</f>
        <v/>
      </c>
      <c r="I165" s="7" t="str">
        <f>IF(Table1[[#This Row],[Is Data Valid]]=TRUE,((Table1[[#This Row],[Birthweight (grams)]]*1.1/Table1[[#This Row],[BW_GA]])-1)/(Backend!$B$4/100*Table1[[#This Row],[BW40_3705]]),"")</f>
        <v/>
      </c>
      <c r="J165" s="7" t="str">
        <f>IF(Table1[[#This Row],[Is Data Valid]]=TRUE,_xlfn.NORM.S.DIST(Table1[[#This Row],[Birthweight Z-Score]],TRUE)*100,"")</f>
        <v/>
      </c>
      <c r="K165" s="7" t="str">
        <f>IF(Table1[[#This Row],[Is Data Valid]]=TRUE,_xlfn.NORM.S.DIST(Table1[[#This Row],[Birthweight Z-Score (BW-10%)]],TRUE)*100,"")</f>
        <v/>
      </c>
      <c r="L165" s="7" t="str">
        <f>IF(Table1[[#This Row],[Is Data Valid]]=TRUE,_xlfn.NORM.S.DIST(Table1[[#This Row],[Birthweight Z-Score (BW+10%)]],TRUE)*100,"")</f>
        <v/>
      </c>
    </row>
    <row r="166" spans="1:12" x14ac:dyDescent="0.35">
      <c r="A166" s="3"/>
      <c r="B166" s="2"/>
      <c r="C166" s="2"/>
      <c r="D166" s="2" t="b">
        <f>IF(AND(NOT(ISBLANK(Table1[[#This Row],[Fetal Sex (Male, Female or Unknown)]])),ISNUMBER(Table1[[#This Row],[Birthweight (grams)]]),ISNUMBER(Table1[[#This Row],[Gestation (days)]])),TRUE,FALSE)</f>
        <v>0</v>
      </c>
      <c r="E166" s="2" t="str">
        <f>IF(Table1[[#This Row],[Is Data Valid]]=TRUE,IF(Table1[[#This Row],[Fetal Sex (Male, Female or Unknown)]]="Male",Backend!$C$6,IF(Table1[[#This Row],[Fetal Sex (Male, Female or Unknown)]]="Female",Backend!$C$7,IF(Table1[[#This Row],[Fetal Sex (Male, Female or Unknown)]]="Unknown",Backend!$C$8,"Error"))),"")</f>
        <v/>
      </c>
      <c r="F166" s="8" t="str">
        <f>IF(Table1[[#This Row],[Is Data Valid]]=TRUE,EXP(0.578+0.332*((Table1[[#This Row],[Gestation (days)]]+0.5)/7)-0.00354*((Table1[[#This Row],[Gestation (days)]]+0.5)/7)^2)*Table1[[#This Row],[BW40_3705]],"")</f>
        <v/>
      </c>
      <c r="G166" s="2" t="str">
        <f>IF(Table1[[#This Row],[Is Data Valid]]=TRUE,((Table1[[#This Row],[Birthweight (grams)]]/Table1[[#This Row],[BW_GA]])-1)/(Backend!$B$4/100*Table1[[#This Row],[BW40_3705]]),"")</f>
        <v/>
      </c>
      <c r="H166" s="7" t="str">
        <f>IF(Table1[[#This Row],[Is Data Valid]]=TRUE,((Table1[[#This Row],[Birthweight (grams)]]*0.9/Table1[[#This Row],[BW_GA]])-1)/(Backend!$B$4/100*Table1[[#This Row],[BW40_3705]]),"")</f>
        <v/>
      </c>
      <c r="I166" s="7" t="str">
        <f>IF(Table1[[#This Row],[Is Data Valid]]=TRUE,((Table1[[#This Row],[Birthweight (grams)]]*1.1/Table1[[#This Row],[BW_GA]])-1)/(Backend!$B$4/100*Table1[[#This Row],[BW40_3705]]),"")</f>
        <v/>
      </c>
      <c r="J166" s="7" t="str">
        <f>IF(Table1[[#This Row],[Is Data Valid]]=TRUE,_xlfn.NORM.S.DIST(Table1[[#This Row],[Birthweight Z-Score]],TRUE)*100,"")</f>
        <v/>
      </c>
      <c r="K166" s="7" t="str">
        <f>IF(Table1[[#This Row],[Is Data Valid]]=TRUE,_xlfn.NORM.S.DIST(Table1[[#This Row],[Birthweight Z-Score (BW-10%)]],TRUE)*100,"")</f>
        <v/>
      </c>
      <c r="L166" s="7" t="str">
        <f>IF(Table1[[#This Row],[Is Data Valid]]=TRUE,_xlfn.NORM.S.DIST(Table1[[#This Row],[Birthweight Z-Score (BW+10%)]],TRUE)*100,"")</f>
        <v/>
      </c>
    </row>
    <row r="167" spans="1:12" x14ac:dyDescent="0.35">
      <c r="A167" s="3"/>
      <c r="B167" s="2"/>
      <c r="C167" s="2"/>
      <c r="D167" s="2" t="b">
        <f>IF(AND(NOT(ISBLANK(Table1[[#This Row],[Fetal Sex (Male, Female or Unknown)]])),ISNUMBER(Table1[[#This Row],[Birthweight (grams)]]),ISNUMBER(Table1[[#This Row],[Gestation (days)]])),TRUE,FALSE)</f>
        <v>0</v>
      </c>
      <c r="E167" s="2" t="str">
        <f>IF(Table1[[#This Row],[Is Data Valid]]=TRUE,IF(Table1[[#This Row],[Fetal Sex (Male, Female or Unknown)]]="Male",Backend!$C$6,IF(Table1[[#This Row],[Fetal Sex (Male, Female or Unknown)]]="Female",Backend!$C$7,IF(Table1[[#This Row],[Fetal Sex (Male, Female or Unknown)]]="Unknown",Backend!$C$8,"Error"))),"")</f>
        <v/>
      </c>
      <c r="F167" s="8" t="str">
        <f>IF(Table1[[#This Row],[Is Data Valid]]=TRUE,EXP(0.578+0.332*((Table1[[#This Row],[Gestation (days)]]+0.5)/7)-0.00354*((Table1[[#This Row],[Gestation (days)]]+0.5)/7)^2)*Table1[[#This Row],[BW40_3705]],"")</f>
        <v/>
      </c>
      <c r="G167" s="2" t="str">
        <f>IF(Table1[[#This Row],[Is Data Valid]]=TRUE,((Table1[[#This Row],[Birthweight (grams)]]/Table1[[#This Row],[BW_GA]])-1)/(Backend!$B$4/100*Table1[[#This Row],[BW40_3705]]),"")</f>
        <v/>
      </c>
      <c r="H167" s="7" t="str">
        <f>IF(Table1[[#This Row],[Is Data Valid]]=TRUE,((Table1[[#This Row],[Birthweight (grams)]]*0.9/Table1[[#This Row],[BW_GA]])-1)/(Backend!$B$4/100*Table1[[#This Row],[BW40_3705]]),"")</f>
        <v/>
      </c>
      <c r="I167" s="7" t="str">
        <f>IF(Table1[[#This Row],[Is Data Valid]]=TRUE,((Table1[[#This Row],[Birthweight (grams)]]*1.1/Table1[[#This Row],[BW_GA]])-1)/(Backend!$B$4/100*Table1[[#This Row],[BW40_3705]]),"")</f>
        <v/>
      </c>
      <c r="J167" s="7" t="str">
        <f>IF(Table1[[#This Row],[Is Data Valid]]=TRUE,_xlfn.NORM.S.DIST(Table1[[#This Row],[Birthweight Z-Score]],TRUE)*100,"")</f>
        <v/>
      </c>
      <c r="K167" s="7" t="str">
        <f>IF(Table1[[#This Row],[Is Data Valid]]=TRUE,_xlfn.NORM.S.DIST(Table1[[#This Row],[Birthweight Z-Score (BW-10%)]],TRUE)*100,"")</f>
        <v/>
      </c>
      <c r="L167" s="7" t="str">
        <f>IF(Table1[[#This Row],[Is Data Valid]]=TRUE,_xlfn.NORM.S.DIST(Table1[[#This Row],[Birthweight Z-Score (BW+10%)]],TRUE)*100,"")</f>
        <v/>
      </c>
    </row>
    <row r="168" spans="1:12" x14ac:dyDescent="0.35">
      <c r="A168" s="3"/>
      <c r="B168" s="2"/>
      <c r="C168" s="2"/>
      <c r="D168" s="2" t="b">
        <f>IF(AND(NOT(ISBLANK(Table1[[#This Row],[Fetal Sex (Male, Female or Unknown)]])),ISNUMBER(Table1[[#This Row],[Birthweight (grams)]]),ISNUMBER(Table1[[#This Row],[Gestation (days)]])),TRUE,FALSE)</f>
        <v>0</v>
      </c>
      <c r="E168" s="2" t="str">
        <f>IF(Table1[[#This Row],[Is Data Valid]]=TRUE,IF(Table1[[#This Row],[Fetal Sex (Male, Female or Unknown)]]="Male",Backend!$C$6,IF(Table1[[#This Row],[Fetal Sex (Male, Female or Unknown)]]="Female",Backend!$C$7,IF(Table1[[#This Row],[Fetal Sex (Male, Female or Unknown)]]="Unknown",Backend!$C$8,"Error"))),"")</f>
        <v/>
      </c>
      <c r="F168" s="8" t="str">
        <f>IF(Table1[[#This Row],[Is Data Valid]]=TRUE,EXP(0.578+0.332*((Table1[[#This Row],[Gestation (days)]]+0.5)/7)-0.00354*((Table1[[#This Row],[Gestation (days)]]+0.5)/7)^2)*Table1[[#This Row],[BW40_3705]],"")</f>
        <v/>
      </c>
      <c r="G168" s="2" t="str">
        <f>IF(Table1[[#This Row],[Is Data Valid]]=TRUE,((Table1[[#This Row],[Birthweight (grams)]]/Table1[[#This Row],[BW_GA]])-1)/(Backend!$B$4/100*Table1[[#This Row],[BW40_3705]]),"")</f>
        <v/>
      </c>
      <c r="H168" s="7" t="str">
        <f>IF(Table1[[#This Row],[Is Data Valid]]=TRUE,((Table1[[#This Row],[Birthweight (grams)]]*0.9/Table1[[#This Row],[BW_GA]])-1)/(Backend!$B$4/100*Table1[[#This Row],[BW40_3705]]),"")</f>
        <v/>
      </c>
      <c r="I168" s="7" t="str">
        <f>IF(Table1[[#This Row],[Is Data Valid]]=TRUE,((Table1[[#This Row],[Birthweight (grams)]]*1.1/Table1[[#This Row],[BW_GA]])-1)/(Backend!$B$4/100*Table1[[#This Row],[BW40_3705]]),"")</f>
        <v/>
      </c>
      <c r="J168" s="7" t="str">
        <f>IF(Table1[[#This Row],[Is Data Valid]]=TRUE,_xlfn.NORM.S.DIST(Table1[[#This Row],[Birthweight Z-Score]],TRUE)*100,"")</f>
        <v/>
      </c>
      <c r="K168" s="7" t="str">
        <f>IF(Table1[[#This Row],[Is Data Valid]]=TRUE,_xlfn.NORM.S.DIST(Table1[[#This Row],[Birthweight Z-Score (BW-10%)]],TRUE)*100,"")</f>
        <v/>
      </c>
      <c r="L168" s="7" t="str">
        <f>IF(Table1[[#This Row],[Is Data Valid]]=TRUE,_xlfn.NORM.S.DIST(Table1[[#This Row],[Birthweight Z-Score (BW+10%)]],TRUE)*100,"")</f>
        <v/>
      </c>
    </row>
    <row r="169" spans="1:12" x14ac:dyDescent="0.35">
      <c r="A169" s="3"/>
      <c r="B169" s="2"/>
      <c r="C169" s="2"/>
      <c r="D169" s="2" t="b">
        <f>IF(AND(NOT(ISBLANK(Table1[[#This Row],[Fetal Sex (Male, Female or Unknown)]])),ISNUMBER(Table1[[#This Row],[Birthweight (grams)]]),ISNUMBER(Table1[[#This Row],[Gestation (days)]])),TRUE,FALSE)</f>
        <v>0</v>
      </c>
      <c r="E169" s="2" t="str">
        <f>IF(Table1[[#This Row],[Is Data Valid]]=TRUE,IF(Table1[[#This Row],[Fetal Sex (Male, Female or Unknown)]]="Male",Backend!$C$6,IF(Table1[[#This Row],[Fetal Sex (Male, Female or Unknown)]]="Female",Backend!$C$7,IF(Table1[[#This Row],[Fetal Sex (Male, Female or Unknown)]]="Unknown",Backend!$C$8,"Error"))),"")</f>
        <v/>
      </c>
      <c r="F169" s="8" t="str">
        <f>IF(Table1[[#This Row],[Is Data Valid]]=TRUE,EXP(0.578+0.332*((Table1[[#This Row],[Gestation (days)]]+0.5)/7)-0.00354*((Table1[[#This Row],[Gestation (days)]]+0.5)/7)^2)*Table1[[#This Row],[BW40_3705]],"")</f>
        <v/>
      </c>
      <c r="G169" s="2" t="str">
        <f>IF(Table1[[#This Row],[Is Data Valid]]=TRUE,((Table1[[#This Row],[Birthweight (grams)]]/Table1[[#This Row],[BW_GA]])-1)/(Backend!$B$4/100*Table1[[#This Row],[BW40_3705]]),"")</f>
        <v/>
      </c>
      <c r="H169" s="7" t="str">
        <f>IF(Table1[[#This Row],[Is Data Valid]]=TRUE,((Table1[[#This Row],[Birthweight (grams)]]*0.9/Table1[[#This Row],[BW_GA]])-1)/(Backend!$B$4/100*Table1[[#This Row],[BW40_3705]]),"")</f>
        <v/>
      </c>
      <c r="I169" s="7" t="str">
        <f>IF(Table1[[#This Row],[Is Data Valid]]=TRUE,((Table1[[#This Row],[Birthweight (grams)]]*1.1/Table1[[#This Row],[BW_GA]])-1)/(Backend!$B$4/100*Table1[[#This Row],[BW40_3705]]),"")</f>
        <v/>
      </c>
      <c r="J169" s="7" t="str">
        <f>IF(Table1[[#This Row],[Is Data Valid]]=TRUE,_xlfn.NORM.S.DIST(Table1[[#This Row],[Birthweight Z-Score]],TRUE)*100,"")</f>
        <v/>
      </c>
      <c r="K169" s="7" t="str">
        <f>IF(Table1[[#This Row],[Is Data Valid]]=TRUE,_xlfn.NORM.S.DIST(Table1[[#This Row],[Birthweight Z-Score (BW-10%)]],TRUE)*100,"")</f>
        <v/>
      </c>
      <c r="L169" s="7" t="str">
        <f>IF(Table1[[#This Row],[Is Data Valid]]=TRUE,_xlfn.NORM.S.DIST(Table1[[#This Row],[Birthweight Z-Score (BW+10%)]],TRUE)*100,"")</f>
        <v/>
      </c>
    </row>
    <row r="170" spans="1:12" x14ac:dyDescent="0.35">
      <c r="A170" s="3"/>
      <c r="B170" s="2"/>
      <c r="C170" s="2"/>
      <c r="D170" s="2" t="b">
        <f>IF(AND(NOT(ISBLANK(Table1[[#This Row],[Fetal Sex (Male, Female or Unknown)]])),ISNUMBER(Table1[[#This Row],[Birthweight (grams)]]),ISNUMBER(Table1[[#This Row],[Gestation (days)]])),TRUE,FALSE)</f>
        <v>0</v>
      </c>
      <c r="E170" s="2" t="str">
        <f>IF(Table1[[#This Row],[Is Data Valid]]=TRUE,IF(Table1[[#This Row],[Fetal Sex (Male, Female or Unknown)]]="Male",Backend!$C$6,IF(Table1[[#This Row],[Fetal Sex (Male, Female or Unknown)]]="Female",Backend!$C$7,IF(Table1[[#This Row],[Fetal Sex (Male, Female or Unknown)]]="Unknown",Backend!$C$8,"Error"))),"")</f>
        <v/>
      </c>
      <c r="F170" s="8" t="str">
        <f>IF(Table1[[#This Row],[Is Data Valid]]=TRUE,EXP(0.578+0.332*((Table1[[#This Row],[Gestation (days)]]+0.5)/7)-0.00354*((Table1[[#This Row],[Gestation (days)]]+0.5)/7)^2)*Table1[[#This Row],[BW40_3705]],"")</f>
        <v/>
      </c>
      <c r="G170" s="2" t="str">
        <f>IF(Table1[[#This Row],[Is Data Valid]]=TRUE,((Table1[[#This Row],[Birthweight (grams)]]/Table1[[#This Row],[BW_GA]])-1)/(Backend!$B$4/100*Table1[[#This Row],[BW40_3705]]),"")</f>
        <v/>
      </c>
      <c r="H170" s="7" t="str">
        <f>IF(Table1[[#This Row],[Is Data Valid]]=TRUE,((Table1[[#This Row],[Birthweight (grams)]]*0.9/Table1[[#This Row],[BW_GA]])-1)/(Backend!$B$4/100*Table1[[#This Row],[BW40_3705]]),"")</f>
        <v/>
      </c>
      <c r="I170" s="7" t="str">
        <f>IF(Table1[[#This Row],[Is Data Valid]]=TRUE,((Table1[[#This Row],[Birthweight (grams)]]*1.1/Table1[[#This Row],[BW_GA]])-1)/(Backend!$B$4/100*Table1[[#This Row],[BW40_3705]]),"")</f>
        <v/>
      </c>
      <c r="J170" s="7" t="str">
        <f>IF(Table1[[#This Row],[Is Data Valid]]=TRUE,_xlfn.NORM.S.DIST(Table1[[#This Row],[Birthweight Z-Score]],TRUE)*100,"")</f>
        <v/>
      </c>
      <c r="K170" s="7" t="str">
        <f>IF(Table1[[#This Row],[Is Data Valid]]=TRUE,_xlfn.NORM.S.DIST(Table1[[#This Row],[Birthweight Z-Score (BW-10%)]],TRUE)*100,"")</f>
        <v/>
      </c>
      <c r="L170" s="7" t="str">
        <f>IF(Table1[[#This Row],[Is Data Valid]]=TRUE,_xlfn.NORM.S.DIST(Table1[[#This Row],[Birthweight Z-Score (BW+10%)]],TRUE)*100,"")</f>
        <v/>
      </c>
    </row>
    <row r="171" spans="1:12" x14ac:dyDescent="0.35">
      <c r="A171" s="3"/>
      <c r="B171" s="2"/>
      <c r="C171" s="2"/>
      <c r="D171" s="2" t="b">
        <f>IF(AND(NOT(ISBLANK(Table1[[#This Row],[Fetal Sex (Male, Female or Unknown)]])),ISNUMBER(Table1[[#This Row],[Birthweight (grams)]]),ISNUMBER(Table1[[#This Row],[Gestation (days)]])),TRUE,FALSE)</f>
        <v>0</v>
      </c>
      <c r="E171" s="2" t="str">
        <f>IF(Table1[[#This Row],[Is Data Valid]]=TRUE,IF(Table1[[#This Row],[Fetal Sex (Male, Female or Unknown)]]="Male",Backend!$C$6,IF(Table1[[#This Row],[Fetal Sex (Male, Female or Unknown)]]="Female",Backend!$C$7,IF(Table1[[#This Row],[Fetal Sex (Male, Female or Unknown)]]="Unknown",Backend!$C$8,"Error"))),"")</f>
        <v/>
      </c>
      <c r="F171" s="8" t="str">
        <f>IF(Table1[[#This Row],[Is Data Valid]]=TRUE,EXP(0.578+0.332*((Table1[[#This Row],[Gestation (days)]]+0.5)/7)-0.00354*((Table1[[#This Row],[Gestation (days)]]+0.5)/7)^2)*Table1[[#This Row],[BW40_3705]],"")</f>
        <v/>
      </c>
      <c r="G171" s="2" t="str">
        <f>IF(Table1[[#This Row],[Is Data Valid]]=TRUE,((Table1[[#This Row],[Birthweight (grams)]]/Table1[[#This Row],[BW_GA]])-1)/(Backend!$B$4/100*Table1[[#This Row],[BW40_3705]]),"")</f>
        <v/>
      </c>
      <c r="H171" s="7" t="str">
        <f>IF(Table1[[#This Row],[Is Data Valid]]=TRUE,((Table1[[#This Row],[Birthweight (grams)]]*0.9/Table1[[#This Row],[BW_GA]])-1)/(Backend!$B$4/100*Table1[[#This Row],[BW40_3705]]),"")</f>
        <v/>
      </c>
      <c r="I171" s="7" t="str">
        <f>IF(Table1[[#This Row],[Is Data Valid]]=TRUE,((Table1[[#This Row],[Birthweight (grams)]]*1.1/Table1[[#This Row],[BW_GA]])-1)/(Backend!$B$4/100*Table1[[#This Row],[BW40_3705]]),"")</f>
        <v/>
      </c>
      <c r="J171" s="7" t="str">
        <f>IF(Table1[[#This Row],[Is Data Valid]]=TRUE,_xlfn.NORM.S.DIST(Table1[[#This Row],[Birthweight Z-Score]],TRUE)*100,"")</f>
        <v/>
      </c>
      <c r="K171" s="7" t="str">
        <f>IF(Table1[[#This Row],[Is Data Valid]]=TRUE,_xlfn.NORM.S.DIST(Table1[[#This Row],[Birthweight Z-Score (BW-10%)]],TRUE)*100,"")</f>
        <v/>
      </c>
      <c r="L171" s="7" t="str">
        <f>IF(Table1[[#This Row],[Is Data Valid]]=TRUE,_xlfn.NORM.S.DIST(Table1[[#This Row],[Birthweight Z-Score (BW+10%)]],TRUE)*100,"")</f>
        <v/>
      </c>
    </row>
    <row r="172" spans="1:12" x14ac:dyDescent="0.35">
      <c r="A172" s="3"/>
      <c r="B172" s="2"/>
      <c r="C172" s="2"/>
      <c r="D172" s="2" t="b">
        <f>IF(AND(NOT(ISBLANK(Table1[[#This Row],[Fetal Sex (Male, Female or Unknown)]])),ISNUMBER(Table1[[#This Row],[Birthweight (grams)]]),ISNUMBER(Table1[[#This Row],[Gestation (days)]])),TRUE,FALSE)</f>
        <v>0</v>
      </c>
      <c r="E172" s="2" t="str">
        <f>IF(Table1[[#This Row],[Is Data Valid]]=TRUE,IF(Table1[[#This Row],[Fetal Sex (Male, Female or Unknown)]]="Male",Backend!$C$6,IF(Table1[[#This Row],[Fetal Sex (Male, Female or Unknown)]]="Female",Backend!$C$7,IF(Table1[[#This Row],[Fetal Sex (Male, Female or Unknown)]]="Unknown",Backend!$C$8,"Error"))),"")</f>
        <v/>
      </c>
      <c r="F172" s="8" t="str">
        <f>IF(Table1[[#This Row],[Is Data Valid]]=TRUE,EXP(0.578+0.332*((Table1[[#This Row],[Gestation (days)]]+0.5)/7)-0.00354*((Table1[[#This Row],[Gestation (days)]]+0.5)/7)^2)*Table1[[#This Row],[BW40_3705]],"")</f>
        <v/>
      </c>
      <c r="G172" s="2" t="str">
        <f>IF(Table1[[#This Row],[Is Data Valid]]=TRUE,((Table1[[#This Row],[Birthweight (grams)]]/Table1[[#This Row],[BW_GA]])-1)/(Backend!$B$4/100*Table1[[#This Row],[BW40_3705]]),"")</f>
        <v/>
      </c>
      <c r="H172" s="7" t="str">
        <f>IF(Table1[[#This Row],[Is Data Valid]]=TRUE,((Table1[[#This Row],[Birthweight (grams)]]*0.9/Table1[[#This Row],[BW_GA]])-1)/(Backend!$B$4/100*Table1[[#This Row],[BW40_3705]]),"")</f>
        <v/>
      </c>
      <c r="I172" s="7" t="str">
        <f>IF(Table1[[#This Row],[Is Data Valid]]=TRUE,((Table1[[#This Row],[Birthweight (grams)]]*1.1/Table1[[#This Row],[BW_GA]])-1)/(Backend!$B$4/100*Table1[[#This Row],[BW40_3705]]),"")</f>
        <v/>
      </c>
      <c r="J172" s="7" t="str">
        <f>IF(Table1[[#This Row],[Is Data Valid]]=TRUE,_xlfn.NORM.S.DIST(Table1[[#This Row],[Birthweight Z-Score]],TRUE)*100,"")</f>
        <v/>
      </c>
      <c r="K172" s="7" t="str">
        <f>IF(Table1[[#This Row],[Is Data Valid]]=TRUE,_xlfn.NORM.S.DIST(Table1[[#This Row],[Birthweight Z-Score (BW-10%)]],TRUE)*100,"")</f>
        <v/>
      </c>
      <c r="L172" s="7" t="str">
        <f>IF(Table1[[#This Row],[Is Data Valid]]=TRUE,_xlfn.NORM.S.DIST(Table1[[#This Row],[Birthweight Z-Score (BW+10%)]],TRUE)*100,"")</f>
        <v/>
      </c>
    </row>
    <row r="173" spans="1:12" x14ac:dyDescent="0.35">
      <c r="A173" s="3"/>
      <c r="B173" s="2"/>
      <c r="C173" s="2"/>
      <c r="D173" s="2" t="b">
        <f>IF(AND(NOT(ISBLANK(Table1[[#This Row],[Fetal Sex (Male, Female or Unknown)]])),ISNUMBER(Table1[[#This Row],[Birthweight (grams)]]),ISNUMBER(Table1[[#This Row],[Gestation (days)]])),TRUE,FALSE)</f>
        <v>0</v>
      </c>
      <c r="E173" s="2" t="str">
        <f>IF(Table1[[#This Row],[Is Data Valid]]=TRUE,IF(Table1[[#This Row],[Fetal Sex (Male, Female or Unknown)]]="Male",Backend!$C$6,IF(Table1[[#This Row],[Fetal Sex (Male, Female or Unknown)]]="Female",Backend!$C$7,IF(Table1[[#This Row],[Fetal Sex (Male, Female or Unknown)]]="Unknown",Backend!$C$8,"Error"))),"")</f>
        <v/>
      </c>
      <c r="F173" s="8" t="str">
        <f>IF(Table1[[#This Row],[Is Data Valid]]=TRUE,EXP(0.578+0.332*((Table1[[#This Row],[Gestation (days)]]+0.5)/7)-0.00354*((Table1[[#This Row],[Gestation (days)]]+0.5)/7)^2)*Table1[[#This Row],[BW40_3705]],"")</f>
        <v/>
      </c>
      <c r="G173" s="2" t="str">
        <f>IF(Table1[[#This Row],[Is Data Valid]]=TRUE,((Table1[[#This Row],[Birthweight (grams)]]/Table1[[#This Row],[BW_GA]])-1)/(Backend!$B$4/100*Table1[[#This Row],[BW40_3705]]),"")</f>
        <v/>
      </c>
      <c r="H173" s="7" t="str">
        <f>IF(Table1[[#This Row],[Is Data Valid]]=TRUE,((Table1[[#This Row],[Birthweight (grams)]]*0.9/Table1[[#This Row],[BW_GA]])-1)/(Backend!$B$4/100*Table1[[#This Row],[BW40_3705]]),"")</f>
        <v/>
      </c>
      <c r="I173" s="7" t="str">
        <f>IF(Table1[[#This Row],[Is Data Valid]]=TRUE,((Table1[[#This Row],[Birthweight (grams)]]*1.1/Table1[[#This Row],[BW_GA]])-1)/(Backend!$B$4/100*Table1[[#This Row],[BW40_3705]]),"")</f>
        <v/>
      </c>
      <c r="J173" s="7" t="str">
        <f>IF(Table1[[#This Row],[Is Data Valid]]=TRUE,_xlfn.NORM.S.DIST(Table1[[#This Row],[Birthweight Z-Score]],TRUE)*100,"")</f>
        <v/>
      </c>
      <c r="K173" s="7" t="str">
        <f>IF(Table1[[#This Row],[Is Data Valid]]=TRUE,_xlfn.NORM.S.DIST(Table1[[#This Row],[Birthweight Z-Score (BW-10%)]],TRUE)*100,"")</f>
        <v/>
      </c>
      <c r="L173" s="7" t="str">
        <f>IF(Table1[[#This Row],[Is Data Valid]]=TRUE,_xlfn.NORM.S.DIST(Table1[[#This Row],[Birthweight Z-Score (BW+10%)]],TRUE)*100,"")</f>
        <v/>
      </c>
    </row>
    <row r="174" spans="1:12" x14ac:dyDescent="0.35">
      <c r="A174" s="3"/>
      <c r="B174" s="2"/>
      <c r="C174" s="2"/>
      <c r="D174" s="2" t="b">
        <f>IF(AND(NOT(ISBLANK(Table1[[#This Row],[Fetal Sex (Male, Female or Unknown)]])),ISNUMBER(Table1[[#This Row],[Birthweight (grams)]]),ISNUMBER(Table1[[#This Row],[Gestation (days)]])),TRUE,FALSE)</f>
        <v>0</v>
      </c>
      <c r="E174" s="2" t="str">
        <f>IF(Table1[[#This Row],[Is Data Valid]]=TRUE,IF(Table1[[#This Row],[Fetal Sex (Male, Female or Unknown)]]="Male",Backend!$C$6,IF(Table1[[#This Row],[Fetal Sex (Male, Female or Unknown)]]="Female",Backend!$C$7,IF(Table1[[#This Row],[Fetal Sex (Male, Female or Unknown)]]="Unknown",Backend!$C$8,"Error"))),"")</f>
        <v/>
      </c>
      <c r="F174" s="8" t="str">
        <f>IF(Table1[[#This Row],[Is Data Valid]]=TRUE,EXP(0.578+0.332*((Table1[[#This Row],[Gestation (days)]]+0.5)/7)-0.00354*((Table1[[#This Row],[Gestation (days)]]+0.5)/7)^2)*Table1[[#This Row],[BW40_3705]],"")</f>
        <v/>
      </c>
      <c r="G174" s="2" t="str">
        <f>IF(Table1[[#This Row],[Is Data Valid]]=TRUE,((Table1[[#This Row],[Birthweight (grams)]]/Table1[[#This Row],[BW_GA]])-1)/(Backend!$B$4/100*Table1[[#This Row],[BW40_3705]]),"")</f>
        <v/>
      </c>
      <c r="H174" s="7" t="str">
        <f>IF(Table1[[#This Row],[Is Data Valid]]=TRUE,((Table1[[#This Row],[Birthweight (grams)]]*0.9/Table1[[#This Row],[BW_GA]])-1)/(Backend!$B$4/100*Table1[[#This Row],[BW40_3705]]),"")</f>
        <v/>
      </c>
      <c r="I174" s="7" t="str">
        <f>IF(Table1[[#This Row],[Is Data Valid]]=TRUE,((Table1[[#This Row],[Birthweight (grams)]]*1.1/Table1[[#This Row],[BW_GA]])-1)/(Backend!$B$4/100*Table1[[#This Row],[BW40_3705]]),"")</f>
        <v/>
      </c>
      <c r="J174" s="7" t="str">
        <f>IF(Table1[[#This Row],[Is Data Valid]]=TRUE,_xlfn.NORM.S.DIST(Table1[[#This Row],[Birthweight Z-Score]],TRUE)*100,"")</f>
        <v/>
      </c>
      <c r="K174" s="7" t="str">
        <f>IF(Table1[[#This Row],[Is Data Valid]]=TRUE,_xlfn.NORM.S.DIST(Table1[[#This Row],[Birthweight Z-Score (BW-10%)]],TRUE)*100,"")</f>
        <v/>
      </c>
      <c r="L174" s="7" t="str">
        <f>IF(Table1[[#This Row],[Is Data Valid]]=TRUE,_xlfn.NORM.S.DIST(Table1[[#This Row],[Birthweight Z-Score (BW+10%)]],TRUE)*100,"")</f>
        <v/>
      </c>
    </row>
    <row r="175" spans="1:12" x14ac:dyDescent="0.35">
      <c r="A175" s="3"/>
      <c r="B175" s="2"/>
      <c r="C175" s="2"/>
      <c r="D175" s="2" t="b">
        <f>IF(AND(NOT(ISBLANK(Table1[[#This Row],[Fetal Sex (Male, Female or Unknown)]])),ISNUMBER(Table1[[#This Row],[Birthweight (grams)]]),ISNUMBER(Table1[[#This Row],[Gestation (days)]])),TRUE,FALSE)</f>
        <v>0</v>
      </c>
      <c r="E175" s="2" t="str">
        <f>IF(Table1[[#This Row],[Is Data Valid]]=TRUE,IF(Table1[[#This Row],[Fetal Sex (Male, Female or Unknown)]]="Male",Backend!$C$6,IF(Table1[[#This Row],[Fetal Sex (Male, Female or Unknown)]]="Female",Backend!$C$7,IF(Table1[[#This Row],[Fetal Sex (Male, Female or Unknown)]]="Unknown",Backend!$C$8,"Error"))),"")</f>
        <v/>
      </c>
      <c r="F175" s="8" t="str">
        <f>IF(Table1[[#This Row],[Is Data Valid]]=TRUE,EXP(0.578+0.332*((Table1[[#This Row],[Gestation (days)]]+0.5)/7)-0.00354*((Table1[[#This Row],[Gestation (days)]]+0.5)/7)^2)*Table1[[#This Row],[BW40_3705]],"")</f>
        <v/>
      </c>
      <c r="G175" s="2" t="str">
        <f>IF(Table1[[#This Row],[Is Data Valid]]=TRUE,((Table1[[#This Row],[Birthweight (grams)]]/Table1[[#This Row],[BW_GA]])-1)/(Backend!$B$4/100*Table1[[#This Row],[BW40_3705]]),"")</f>
        <v/>
      </c>
      <c r="H175" s="7" t="str">
        <f>IF(Table1[[#This Row],[Is Data Valid]]=TRUE,((Table1[[#This Row],[Birthweight (grams)]]*0.9/Table1[[#This Row],[BW_GA]])-1)/(Backend!$B$4/100*Table1[[#This Row],[BW40_3705]]),"")</f>
        <v/>
      </c>
      <c r="I175" s="7" t="str">
        <f>IF(Table1[[#This Row],[Is Data Valid]]=TRUE,((Table1[[#This Row],[Birthweight (grams)]]*1.1/Table1[[#This Row],[BW_GA]])-1)/(Backend!$B$4/100*Table1[[#This Row],[BW40_3705]]),"")</f>
        <v/>
      </c>
      <c r="J175" s="7" t="str">
        <f>IF(Table1[[#This Row],[Is Data Valid]]=TRUE,_xlfn.NORM.S.DIST(Table1[[#This Row],[Birthweight Z-Score]],TRUE)*100,"")</f>
        <v/>
      </c>
      <c r="K175" s="7" t="str">
        <f>IF(Table1[[#This Row],[Is Data Valid]]=TRUE,_xlfn.NORM.S.DIST(Table1[[#This Row],[Birthweight Z-Score (BW-10%)]],TRUE)*100,"")</f>
        <v/>
      </c>
      <c r="L175" s="7" t="str">
        <f>IF(Table1[[#This Row],[Is Data Valid]]=TRUE,_xlfn.NORM.S.DIST(Table1[[#This Row],[Birthweight Z-Score (BW+10%)]],TRUE)*100,"")</f>
        <v/>
      </c>
    </row>
    <row r="176" spans="1:12" x14ac:dyDescent="0.35">
      <c r="A176" s="3"/>
      <c r="B176" s="2"/>
      <c r="C176" s="2"/>
      <c r="D176" s="2" t="b">
        <f>IF(AND(NOT(ISBLANK(Table1[[#This Row],[Fetal Sex (Male, Female or Unknown)]])),ISNUMBER(Table1[[#This Row],[Birthweight (grams)]]),ISNUMBER(Table1[[#This Row],[Gestation (days)]])),TRUE,FALSE)</f>
        <v>0</v>
      </c>
      <c r="E176" s="2" t="str">
        <f>IF(Table1[[#This Row],[Is Data Valid]]=TRUE,IF(Table1[[#This Row],[Fetal Sex (Male, Female or Unknown)]]="Male",Backend!$C$6,IF(Table1[[#This Row],[Fetal Sex (Male, Female or Unknown)]]="Female",Backend!$C$7,IF(Table1[[#This Row],[Fetal Sex (Male, Female or Unknown)]]="Unknown",Backend!$C$8,"Error"))),"")</f>
        <v/>
      </c>
      <c r="F176" s="8" t="str">
        <f>IF(Table1[[#This Row],[Is Data Valid]]=TRUE,EXP(0.578+0.332*((Table1[[#This Row],[Gestation (days)]]+0.5)/7)-0.00354*((Table1[[#This Row],[Gestation (days)]]+0.5)/7)^2)*Table1[[#This Row],[BW40_3705]],"")</f>
        <v/>
      </c>
      <c r="G176" s="2" t="str">
        <f>IF(Table1[[#This Row],[Is Data Valid]]=TRUE,((Table1[[#This Row],[Birthweight (grams)]]/Table1[[#This Row],[BW_GA]])-1)/(Backend!$B$4/100*Table1[[#This Row],[BW40_3705]]),"")</f>
        <v/>
      </c>
      <c r="H176" s="7" t="str">
        <f>IF(Table1[[#This Row],[Is Data Valid]]=TRUE,((Table1[[#This Row],[Birthweight (grams)]]*0.9/Table1[[#This Row],[BW_GA]])-1)/(Backend!$B$4/100*Table1[[#This Row],[BW40_3705]]),"")</f>
        <v/>
      </c>
      <c r="I176" s="7" t="str">
        <f>IF(Table1[[#This Row],[Is Data Valid]]=TRUE,((Table1[[#This Row],[Birthweight (grams)]]*1.1/Table1[[#This Row],[BW_GA]])-1)/(Backend!$B$4/100*Table1[[#This Row],[BW40_3705]]),"")</f>
        <v/>
      </c>
      <c r="J176" s="7" t="str">
        <f>IF(Table1[[#This Row],[Is Data Valid]]=TRUE,_xlfn.NORM.S.DIST(Table1[[#This Row],[Birthweight Z-Score]],TRUE)*100,"")</f>
        <v/>
      </c>
      <c r="K176" s="7" t="str">
        <f>IF(Table1[[#This Row],[Is Data Valid]]=TRUE,_xlfn.NORM.S.DIST(Table1[[#This Row],[Birthweight Z-Score (BW-10%)]],TRUE)*100,"")</f>
        <v/>
      </c>
      <c r="L176" s="7" t="str">
        <f>IF(Table1[[#This Row],[Is Data Valid]]=TRUE,_xlfn.NORM.S.DIST(Table1[[#This Row],[Birthweight Z-Score (BW+10%)]],TRUE)*100,"")</f>
        <v/>
      </c>
    </row>
    <row r="177" spans="1:12" x14ac:dyDescent="0.35">
      <c r="A177" s="3"/>
      <c r="B177" s="2"/>
      <c r="C177" s="2"/>
      <c r="D177" s="2" t="b">
        <f>IF(AND(NOT(ISBLANK(Table1[[#This Row],[Fetal Sex (Male, Female or Unknown)]])),ISNUMBER(Table1[[#This Row],[Birthweight (grams)]]),ISNUMBER(Table1[[#This Row],[Gestation (days)]])),TRUE,FALSE)</f>
        <v>0</v>
      </c>
      <c r="E177" s="2" t="str">
        <f>IF(Table1[[#This Row],[Is Data Valid]]=TRUE,IF(Table1[[#This Row],[Fetal Sex (Male, Female or Unknown)]]="Male",Backend!$C$6,IF(Table1[[#This Row],[Fetal Sex (Male, Female or Unknown)]]="Female",Backend!$C$7,IF(Table1[[#This Row],[Fetal Sex (Male, Female or Unknown)]]="Unknown",Backend!$C$8,"Error"))),"")</f>
        <v/>
      </c>
      <c r="F177" s="8" t="str">
        <f>IF(Table1[[#This Row],[Is Data Valid]]=TRUE,EXP(0.578+0.332*((Table1[[#This Row],[Gestation (days)]]+0.5)/7)-0.00354*((Table1[[#This Row],[Gestation (days)]]+0.5)/7)^2)*Table1[[#This Row],[BW40_3705]],"")</f>
        <v/>
      </c>
      <c r="G177" s="2" t="str">
        <f>IF(Table1[[#This Row],[Is Data Valid]]=TRUE,((Table1[[#This Row],[Birthweight (grams)]]/Table1[[#This Row],[BW_GA]])-1)/(Backend!$B$4/100*Table1[[#This Row],[BW40_3705]]),"")</f>
        <v/>
      </c>
      <c r="H177" s="7" t="str">
        <f>IF(Table1[[#This Row],[Is Data Valid]]=TRUE,((Table1[[#This Row],[Birthweight (grams)]]*0.9/Table1[[#This Row],[BW_GA]])-1)/(Backend!$B$4/100*Table1[[#This Row],[BW40_3705]]),"")</f>
        <v/>
      </c>
      <c r="I177" s="7" t="str">
        <f>IF(Table1[[#This Row],[Is Data Valid]]=TRUE,((Table1[[#This Row],[Birthweight (grams)]]*1.1/Table1[[#This Row],[BW_GA]])-1)/(Backend!$B$4/100*Table1[[#This Row],[BW40_3705]]),"")</f>
        <v/>
      </c>
      <c r="J177" s="7" t="str">
        <f>IF(Table1[[#This Row],[Is Data Valid]]=TRUE,_xlfn.NORM.S.DIST(Table1[[#This Row],[Birthweight Z-Score]],TRUE)*100,"")</f>
        <v/>
      </c>
      <c r="K177" s="7" t="str">
        <f>IF(Table1[[#This Row],[Is Data Valid]]=TRUE,_xlfn.NORM.S.DIST(Table1[[#This Row],[Birthweight Z-Score (BW-10%)]],TRUE)*100,"")</f>
        <v/>
      </c>
      <c r="L177" s="7" t="str">
        <f>IF(Table1[[#This Row],[Is Data Valid]]=TRUE,_xlfn.NORM.S.DIST(Table1[[#This Row],[Birthweight Z-Score (BW+10%)]],TRUE)*100,"")</f>
        <v/>
      </c>
    </row>
    <row r="178" spans="1:12" x14ac:dyDescent="0.35">
      <c r="A178" s="3"/>
      <c r="B178" s="2"/>
      <c r="C178" s="2"/>
      <c r="D178" s="2" t="b">
        <f>IF(AND(NOT(ISBLANK(Table1[[#This Row],[Fetal Sex (Male, Female or Unknown)]])),ISNUMBER(Table1[[#This Row],[Birthweight (grams)]]),ISNUMBER(Table1[[#This Row],[Gestation (days)]])),TRUE,FALSE)</f>
        <v>0</v>
      </c>
      <c r="E178" s="2" t="str">
        <f>IF(Table1[[#This Row],[Is Data Valid]]=TRUE,IF(Table1[[#This Row],[Fetal Sex (Male, Female or Unknown)]]="Male",Backend!$C$6,IF(Table1[[#This Row],[Fetal Sex (Male, Female or Unknown)]]="Female",Backend!$C$7,IF(Table1[[#This Row],[Fetal Sex (Male, Female or Unknown)]]="Unknown",Backend!$C$8,"Error"))),"")</f>
        <v/>
      </c>
      <c r="F178" s="8" t="str">
        <f>IF(Table1[[#This Row],[Is Data Valid]]=TRUE,EXP(0.578+0.332*((Table1[[#This Row],[Gestation (days)]]+0.5)/7)-0.00354*((Table1[[#This Row],[Gestation (days)]]+0.5)/7)^2)*Table1[[#This Row],[BW40_3705]],"")</f>
        <v/>
      </c>
      <c r="G178" s="2" t="str">
        <f>IF(Table1[[#This Row],[Is Data Valid]]=TRUE,((Table1[[#This Row],[Birthweight (grams)]]/Table1[[#This Row],[BW_GA]])-1)/(Backend!$B$4/100*Table1[[#This Row],[BW40_3705]]),"")</f>
        <v/>
      </c>
      <c r="H178" s="7" t="str">
        <f>IF(Table1[[#This Row],[Is Data Valid]]=TRUE,((Table1[[#This Row],[Birthweight (grams)]]*0.9/Table1[[#This Row],[BW_GA]])-1)/(Backend!$B$4/100*Table1[[#This Row],[BW40_3705]]),"")</f>
        <v/>
      </c>
      <c r="I178" s="7" t="str">
        <f>IF(Table1[[#This Row],[Is Data Valid]]=TRUE,((Table1[[#This Row],[Birthweight (grams)]]*1.1/Table1[[#This Row],[BW_GA]])-1)/(Backend!$B$4/100*Table1[[#This Row],[BW40_3705]]),"")</f>
        <v/>
      </c>
      <c r="J178" s="7" t="str">
        <f>IF(Table1[[#This Row],[Is Data Valid]]=TRUE,_xlfn.NORM.S.DIST(Table1[[#This Row],[Birthweight Z-Score]],TRUE)*100,"")</f>
        <v/>
      </c>
      <c r="K178" s="7" t="str">
        <f>IF(Table1[[#This Row],[Is Data Valid]]=TRUE,_xlfn.NORM.S.DIST(Table1[[#This Row],[Birthweight Z-Score (BW-10%)]],TRUE)*100,"")</f>
        <v/>
      </c>
      <c r="L178" s="7" t="str">
        <f>IF(Table1[[#This Row],[Is Data Valid]]=TRUE,_xlfn.NORM.S.DIST(Table1[[#This Row],[Birthweight Z-Score (BW+10%)]],TRUE)*100,"")</f>
        <v/>
      </c>
    </row>
    <row r="179" spans="1:12" x14ac:dyDescent="0.35">
      <c r="A179" s="3"/>
      <c r="B179" s="2"/>
      <c r="C179" s="2"/>
      <c r="D179" s="2" t="b">
        <f>IF(AND(NOT(ISBLANK(Table1[[#This Row],[Fetal Sex (Male, Female or Unknown)]])),ISNUMBER(Table1[[#This Row],[Birthweight (grams)]]),ISNUMBER(Table1[[#This Row],[Gestation (days)]])),TRUE,FALSE)</f>
        <v>0</v>
      </c>
      <c r="E179" s="2" t="str">
        <f>IF(Table1[[#This Row],[Is Data Valid]]=TRUE,IF(Table1[[#This Row],[Fetal Sex (Male, Female or Unknown)]]="Male",Backend!$C$6,IF(Table1[[#This Row],[Fetal Sex (Male, Female or Unknown)]]="Female",Backend!$C$7,IF(Table1[[#This Row],[Fetal Sex (Male, Female or Unknown)]]="Unknown",Backend!$C$8,"Error"))),"")</f>
        <v/>
      </c>
      <c r="F179" s="8" t="str">
        <f>IF(Table1[[#This Row],[Is Data Valid]]=TRUE,EXP(0.578+0.332*((Table1[[#This Row],[Gestation (days)]]+0.5)/7)-0.00354*((Table1[[#This Row],[Gestation (days)]]+0.5)/7)^2)*Table1[[#This Row],[BW40_3705]],"")</f>
        <v/>
      </c>
      <c r="G179" s="2" t="str">
        <f>IF(Table1[[#This Row],[Is Data Valid]]=TRUE,((Table1[[#This Row],[Birthweight (grams)]]/Table1[[#This Row],[BW_GA]])-1)/(Backend!$B$4/100*Table1[[#This Row],[BW40_3705]]),"")</f>
        <v/>
      </c>
      <c r="H179" s="7" t="str">
        <f>IF(Table1[[#This Row],[Is Data Valid]]=TRUE,((Table1[[#This Row],[Birthweight (grams)]]*0.9/Table1[[#This Row],[BW_GA]])-1)/(Backend!$B$4/100*Table1[[#This Row],[BW40_3705]]),"")</f>
        <v/>
      </c>
      <c r="I179" s="7" t="str">
        <f>IF(Table1[[#This Row],[Is Data Valid]]=TRUE,((Table1[[#This Row],[Birthweight (grams)]]*1.1/Table1[[#This Row],[BW_GA]])-1)/(Backend!$B$4/100*Table1[[#This Row],[BW40_3705]]),"")</f>
        <v/>
      </c>
      <c r="J179" s="7" t="str">
        <f>IF(Table1[[#This Row],[Is Data Valid]]=TRUE,_xlfn.NORM.S.DIST(Table1[[#This Row],[Birthweight Z-Score]],TRUE)*100,"")</f>
        <v/>
      </c>
      <c r="K179" s="7" t="str">
        <f>IF(Table1[[#This Row],[Is Data Valid]]=TRUE,_xlfn.NORM.S.DIST(Table1[[#This Row],[Birthweight Z-Score (BW-10%)]],TRUE)*100,"")</f>
        <v/>
      </c>
      <c r="L179" s="7" t="str">
        <f>IF(Table1[[#This Row],[Is Data Valid]]=TRUE,_xlfn.NORM.S.DIST(Table1[[#This Row],[Birthweight Z-Score (BW+10%)]],TRUE)*100,"")</f>
        <v/>
      </c>
    </row>
    <row r="180" spans="1:12" x14ac:dyDescent="0.35">
      <c r="A180" s="3"/>
      <c r="B180" s="2"/>
      <c r="C180" s="2"/>
      <c r="D180" s="2" t="b">
        <f>IF(AND(NOT(ISBLANK(Table1[[#This Row],[Fetal Sex (Male, Female or Unknown)]])),ISNUMBER(Table1[[#This Row],[Birthweight (grams)]]),ISNUMBER(Table1[[#This Row],[Gestation (days)]])),TRUE,FALSE)</f>
        <v>0</v>
      </c>
      <c r="E180" s="2" t="str">
        <f>IF(Table1[[#This Row],[Is Data Valid]]=TRUE,IF(Table1[[#This Row],[Fetal Sex (Male, Female or Unknown)]]="Male",Backend!$C$6,IF(Table1[[#This Row],[Fetal Sex (Male, Female or Unknown)]]="Female",Backend!$C$7,IF(Table1[[#This Row],[Fetal Sex (Male, Female or Unknown)]]="Unknown",Backend!$C$8,"Error"))),"")</f>
        <v/>
      </c>
      <c r="F180" s="8" t="str">
        <f>IF(Table1[[#This Row],[Is Data Valid]]=TRUE,EXP(0.578+0.332*((Table1[[#This Row],[Gestation (days)]]+0.5)/7)-0.00354*((Table1[[#This Row],[Gestation (days)]]+0.5)/7)^2)*Table1[[#This Row],[BW40_3705]],"")</f>
        <v/>
      </c>
      <c r="G180" s="2" t="str">
        <f>IF(Table1[[#This Row],[Is Data Valid]]=TRUE,((Table1[[#This Row],[Birthweight (grams)]]/Table1[[#This Row],[BW_GA]])-1)/(Backend!$B$4/100*Table1[[#This Row],[BW40_3705]]),"")</f>
        <v/>
      </c>
      <c r="H180" s="7" t="str">
        <f>IF(Table1[[#This Row],[Is Data Valid]]=TRUE,((Table1[[#This Row],[Birthweight (grams)]]*0.9/Table1[[#This Row],[BW_GA]])-1)/(Backend!$B$4/100*Table1[[#This Row],[BW40_3705]]),"")</f>
        <v/>
      </c>
      <c r="I180" s="7" t="str">
        <f>IF(Table1[[#This Row],[Is Data Valid]]=TRUE,((Table1[[#This Row],[Birthweight (grams)]]*1.1/Table1[[#This Row],[BW_GA]])-1)/(Backend!$B$4/100*Table1[[#This Row],[BW40_3705]]),"")</f>
        <v/>
      </c>
      <c r="J180" s="7" t="str">
        <f>IF(Table1[[#This Row],[Is Data Valid]]=TRUE,_xlfn.NORM.S.DIST(Table1[[#This Row],[Birthweight Z-Score]],TRUE)*100,"")</f>
        <v/>
      </c>
      <c r="K180" s="7" t="str">
        <f>IF(Table1[[#This Row],[Is Data Valid]]=TRUE,_xlfn.NORM.S.DIST(Table1[[#This Row],[Birthweight Z-Score (BW-10%)]],TRUE)*100,"")</f>
        <v/>
      </c>
      <c r="L180" s="7" t="str">
        <f>IF(Table1[[#This Row],[Is Data Valid]]=TRUE,_xlfn.NORM.S.DIST(Table1[[#This Row],[Birthweight Z-Score (BW+10%)]],TRUE)*100,"")</f>
        <v/>
      </c>
    </row>
    <row r="181" spans="1:12" x14ac:dyDescent="0.35">
      <c r="A181" s="3"/>
      <c r="B181" s="2"/>
      <c r="C181" s="2"/>
      <c r="D181" s="2" t="b">
        <f>IF(AND(NOT(ISBLANK(Table1[[#This Row],[Fetal Sex (Male, Female or Unknown)]])),ISNUMBER(Table1[[#This Row],[Birthweight (grams)]]),ISNUMBER(Table1[[#This Row],[Gestation (days)]])),TRUE,FALSE)</f>
        <v>0</v>
      </c>
      <c r="E181" s="2" t="str">
        <f>IF(Table1[[#This Row],[Is Data Valid]]=TRUE,IF(Table1[[#This Row],[Fetal Sex (Male, Female or Unknown)]]="Male",Backend!$C$6,IF(Table1[[#This Row],[Fetal Sex (Male, Female or Unknown)]]="Female",Backend!$C$7,IF(Table1[[#This Row],[Fetal Sex (Male, Female or Unknown)]]="Unknown",Backend!$C$8,"Error"))),"")</f>
        <v/>
      </c>
      <c r="F181" s="8" t="str">
        <f>IF(Table1[[#This Row],[Is Data Valid]]=TRUE,EXP(0.578+0.332*((Table1[[#This Row],[Gestation (days)]]+0.5)/7)-0.00354*((Table1[[#This Row],[Gestation (days)]]+0.5)/7)^2)*Table1[[#This Row],[BW40_3705]],"")</f>
        <v/>
      </c>
      <c r="G181" s="2" t="str">
        <f>IF(Table1[[#This Row],[Is Data Valid]]=TRUE,((Table1[[#This Row],[Birthweight (grams)]]/Table1[[#This Row],[BW_GA]])-1)/(Backend!$B$4/100*Table1[[#This Row],[BW40_3705]]),"")</f>
        <v/>
      </c>
      <c r="H181" s="7" t="str">
        <f>IF(Table1[[#This Row],[Is Data Valid]]=TRUE,((Table1[[#This Row],[Birthweight (grams)]]*0.9/Table1[[#This Row],[BW_GA]])-1)/(Backend!$B$4/100*Table1[[#This Row],[BW40_3705]]),"")</f>
        <v/>
      </c>
      <c r="I181" s="7" t="str">
        <f>IF(Table1[[#This Row],[Is Data Valid]]=TRUE,((Table1[[#This Row],[Birthweight (grams)]]*1.1/Table1[[#This Row],[BW_GA]])-1)/(Backend!$B$4/100*Table1[[#This Row],[BW40_3705]]),"")</f>
        <v/>
      </c>
      <c r="J181" s="7" t="str">
        <f>IF(Table1[[#This Row],[Is Data Valid]]=TRUE,_xlfn.NORM.S.DIST(Table1[[#This Row],[Birthweight Z-Score]],TRUE)*100,"")</f>
        <v/>
      </c>
      <c r="K181" s="7" t="str">
        <f>IF(Table1[[#This Row],[Is Data Valid]]=TRUE,_xlfn.NORM.S.DIST(Table1[[#This Row],[Birthweight Z-Score (BW-10%)]],TRUE)*100,"")</f>
        <v/>
      </c>
      <c r="L181" s="7" t="str">
        <f>IF(Table1[[#This Row],[Is Data Valid]]=TRUE,_xlfn.NORM.S.DIST(Table1[[#This Row],[Birthweight Z-Score (BW+10%)]],TRUE)*100,"")</f>
        <v/>
      </c>
    </row>
    <row r="182" spans="1:12" x14ac:dyDescent="0.35">
      <c r="A182" s="3"/>
      <c r="B182" s="2"/>
      <c r="C182" s="2"/>
      <c r="D182" s="2" t="b">
        <f>IF(AND(NOT(ISBLANK(Table1[[#This Row],[Fetal Sex (Male, Female or Unknown)]])),ISNUMBER(Table1[[#This Row],[Birthweight (grams)]]),ISNUMBER(Table1[[#This Row],[Gestation (days)]])),TRUE,FALSE)</f>
        <v>0</v>
      </c>
      <c r="E182" s="2" t="str">
        <f>IF(Table1[[#This Row],[Is Data Valid]]=TRUE,IF(Table1[[#This Row],[Fetal Sex (Male, Female or Unknown)]]="Male",Backend!$C$6,IF(Table1[[#This Row],[Fetal Sex (Male, Female or Unknown)]]="Female",Backend!$C$7,IF(Table1[[#This Row],[Fetal Sex (Male, Female or Unknown)]]="Unknown",Backend!$C$8,"Error"))),"")</f>
        <v/>
      </c>
      <c r="F182" s="8" t="str">
        <f>IF(Table1[[#This Row],[Is Data Valid]]=TRUE,EXP(0.578+0.332*((Table1[[#This Row],[Gestation (days)]]+0.5)/7)-0.00354*((Table1[[#This Row],[Gestation (days)]]+0.5)/7)^2)*Table1[[#This Row],[BW40_3705]],"")</f>
        <v/>
      </c>
      <c r="G182" s="2" t="str">
        <f>IF(Table1[[#This Row],[Is Data Valid]]=TRUE,((Table1[[#This Row],[Birthweight (grams)]]/Table1[[#This Row],[BW_GA]])-1)/(Backend!$B$4/100*Table1[[#This Row],[BW40_3705]]),"")</f>
        <v/>
      </c>
      <c r="H182" s="7" t="str">
        <f>IF(Table1[[#This Row],[Is Data Valid]]=TRUE,((Table1[[#This Row],[Birthweight (grams)]]*0.9/Table1[[#This Row],[BW_GA]])-1)/(Backend!$B$4/100*Table1[[#This Row],[BW40_3705]]),"")</f>
        <v/>
      </c>
      <c r="I182" s="7" t="str">
        <f>IF(Table1[[#This Row],[Is Data Valid]]=TRUE,((Table1[[#This Row],[Birthweight (grams)]]*1.1/Table1[[#This Row],[BW_GA]])-1)/(Backend!$B$4/100*Table1[[#This Row],[BW40_3705]]),"")</f>
        <v/>
      </c>
      <c r="J182" s="7" t="str">
        <f>IF(Table1[[#This Row],[Is Data Valid]]=TRUE,_xlfn.NORM.S.DIST(Table1[[#This Row],[Birthweight Z-Score]],TRUE)*100,"")</f>
        <v/>
      </c>
      <c r="K182" s="7" t="str">
        <f>IF(Table1[[#This Row],[Is Data Valid]]=TRUE,_xlfn.NORM.S.DIST(Table1[[#This Row],[Birthweight Z-Score (BW-10%)]],TRUE)*100,"")</f>
        <v/>
      </c>
      <c r="L182" s="7" t="str">
        <f>IF(Table1[[#This Row],[Is Data Valid]]=TRUE,_xlfn.NORM.S.DIST(Table1[[#This Row],[Birthweight Z-Score (BW+10%)]],TRUE)*100,"")</f>
        <v/>
      </c>
    </row>
    <row r="183" spans="1:12" x14ac:dyDescent="0.35">
      <c r="A183" s="3"/>
      <c r="B183" s="2"/>
      <c r="C183" s="2"/>
      <c r="D183" s="2" t="b">
        <f>IF(AND(NOT(ISBLANK(Table1[[#This Row],[Fetal Sex (Male, Female or Unknown)]])),ISNUMBER(Table1[[#This Row],[Birthweight (grams)]]),ISNUMBER(Table1[[#This Row],[Gestation (days)]])),TRUE,FALSE)</f>
        <v>0</v>
      </c>
      <c r="E183" s="2" t="str">
        <f>IF(Table1[[#This Row],[Is Data Valid]]=TRUE,IF(Table1[[#This Row],[Fetal Sex (Male, Female or Unknown)]]="Male",Backend!$C$6,IF(Table1[[#This Row],[Fetal Sex (Male, Female or Unknown)]]="Female",Backend!$C$7,IF(Table1[[#This Row],[Fetal Sex (Male, Female or Unknown)]]="Unknown",Backend!$C$8,"Error"))),"")</f>
        <v/>
      </c>
      <c r="F183" s="8" t="str">
        <f>IF(Table1[[#This Row],[Is Data Valid]]=TRUE,EXP(0.578+0.332*((Table1[[#This Row],[Gestation (days)]]+0.5)/7)-0.00354*((Table1[[#This Row],[Gestation (days)]]+0.5)/7)^2)*Table1[[#This Row],[BW40_3705]],"")</f>
        <v/>
      </c>
      <c r="G183" s="2" t="str">
        <f>IF(Table1[[#This Row],[Is Data Valid]]=TRUE,((Table1[[#This Row],[Birthweight (grams)]]/Table1[[#This Row],[BW_GA]])-1)/(Backend!$B$4/100*Table1[[#This Row],[BW40_3705]]),"")</f>
        <v/>
      </c>
      <c r="H183" s="7" t="str">
        <f>IF(Table1[[#This Row],[Is Data Valid]]=TRUE,((Table1[[#This Row],[Birthweight (grams)]]*0.9/Table1[[#This Row],[BW_GA]])-1)/(Backend!$B$4/100*Table1[[#This Row],[BW40_3705]]),"")</f>
        <v/>
      </c>
      <c r="I183" s="7" t="str">
        <f>IF(Table1[[#This Row],[Is Data Valid]]=TRUE,((Table1[[#This Row],[Birthweight (grams)]]*1.1/Table1[[#This Row],[BW_GA]])-1)/(Backend!$B$4/100*Table1[[#This Row],[BW40_3705]]),"")</f>
        <v/>
      </c>
      <c r="J183" s="7" t="str">
        <f>IF(Table1[[#This Row],[Is Data Valid]]=TRUE,_xlfn.NORM.S.DIST(Table1[[#This Row],[Birthweight Z-Score]],TRUE)*100,"")</f>
        <v/>
      </c>
      <c r="K183" s="7" t="str">
        <f>IF(Table1[[#This Row],[Is Data Valid]]=TRUE,_xlfn.NORM.S.DIST(Table1[[#This Row],[Birthweight Z-Score (BW-10%)]],TRUE)*100,"")</f>
        <v/>
      </c>
      <c r="L183" s="7" t="str">
        <f>IF(Table1[[#This Row],[Is Data Valid]]=TRUE,_xlfn.NORM.S.DIST(Table1[[#This Row],[Birthweight Z-Score (BW+10%)]],TRUE)*100,"")</f>
        <v/>
      </c>
    </row>
    <row r="184" spans="1:12" x14ac:dyDescent="0.35">
      <c r="A184" s="3"/>
      <c r="B184" s="2"/>
      <c r="C184" s="2"/>
      <c r="D184" s="2" t="b">
        <f>IF(AND(NOT(ISBLANK(Table1[[#This Row],[Fetal Sex (Male, Female or Unknown)]])),ISNUMBER(Table1[[#This Row],[Birthweight (grams)]]),ISNUMBER(Table1[[#This Row],[Gestation (days)]])),TRUE,FALSE)</f>
        <v>0</v>
      </c>
      <c r="E184" s="2" t="str">
        <f>IF(Table1[[#This Row],[Is Data Valid]]=TRUE,IF(Table1[[#This Row],[Fetal Sex (Male, Female or Unknown)]]="Male",Backend!$C$6,IF(Table1[[#This Row],[Fetal Sex (Male, Female or Unknown)]]="Female",Backend!$C$7,IF(Table1[[#This Row],[Fetal Sex (Male, Female or Unknown)]]="Unknown",Backend!$C$8,"Error"))),"")</f>
        <v/>
      </c>
      <c r="F184" s="8" t="str">
        <f>IF(Table1[[#This Row],[Is Data Valid]]=TRUE,EXP(0.578+0.332*((Table1[[#This Row],[Gestation (days)]]+0.5)/7)-0.00354*((Table1[[#This Row],[Gestation (days)]]+0.5)/7)^2)*Table1[[#This Row],[BW40_3705]],"")</f>
        <v/>
      </c>
      <c r="G184" s="2" t="str">
        <f>IF(Table1[[#This Row],[Is Data Valid]]=TRUE,((Table1[[#This Row],[Birthweight (grams)]]/Table1[[#This Row],[BW_GA]])-1)/(Backend!$B$4/100*Table1[[#This Row],[BW40_3705]]),"")</f>
        <v/>
      </c>
      <c r="H184" s="7" t="str">
        <f>IF(Table1[[#This Row],[Is Data Valid]]=TRUE,((Table1[[#This Row],[Birthweight (grams)]]*0.9/Table1[[#This Row],[BW_GA]])-1)/(Backend!$B$4/100*Table1[[#This Row],[BW40_3705]]),"")</f>
        <v/>
      </c>
      <c r="I184" s="7" t="str">
        <f>IF(Table1[[#This Row],[Is Data Valid]]=TRUE,((Table1[[#This Row],[Birthweight (grams)]]*1.1/Table1[[#This Row],[BW_GA]])-1)/(Backend!$B$4/100*Table1[[#This Row],[BW40_3705]]),"")</f>
        <v/>
      </c>
      <c r="J184" s="7" t="str">
        <f>IF(Table1[[#This Row],[Is Data Valid]]=TRUE,_xlfn.NORM.S.DIST(Table1[[#This Row],[Birthweight Z-Score]],TRUE)*100,"")</f>
        <v/>
      </c>
      <c r="K184" s="7" t="str">
        <f>IF(Table1[[#This Row],[Is Data Valid]]=TRUE,_xlfn.NORM.S.DIST(Table1[[#This Row],[Birthweight Z-Score (BW-10%)]],TRUE)*100,"")</f>
        <v/>
      </c>
      <c r="L184" s="7" t="str">
        <f>IF(Table1[[#This Row],[Is Data Valid]]=TRUE,_xlfn.NORM.S.DIST(Table1[[#This Row],[Birthweight Z-Score (BW+10%)]],TRUE)*100,"")</f>
        <v/>
      </c>
    </row>
    <row r="185" spans="1:12" x14ac:dyDescent="0.35">
      <c r="A185" s="3"/>
      <c r="B185" s="2"/>
      <c r="C185" s="2"/>
      <c r="D185" s="2" t="b">
        <f>IF(AND(NOT(ISBLANK(Table1[[#This Row],[Fetal Sex (Male, Female or Unknown)]])),ISNUMBER(Table1[[#This Row],[Birthweight (grams)]]),ISNUMBER(Table1[[#This Row],[Gestation (days)]])),TRUE,FALSE)</f>
        <v>0</v>
      </c>
      <c r="E185" s="2" t="str">
        <f>IF(Table1[[#This Row],[Is Data Valid]]=TRUE,IF(Table1[[#This Row],[Fetal Sex (Male, Female or Unknown)]]="Male",Backend!$C$6,IF(Table1[[#This Row],[Fetal Sex (Male, Female or Unknown)]]="Female",Backend!$C$7,IF(Table1[[#This Row],[Fetal Sex (Male, Female or Unknown)]]="Unknown",Backend!$C$8,"Error"))),"")</f>
        <v/>
      </c>
      <c r="F185" s="8" t="str">
        <f>IF(Table1[[#This Row],[Is Data Valid]]=TRUE,EXP(0.578+0.332*((Table1[[#This Row],[Gestation (days)]]+0.5)/7)-0.00354*((Table1[[#This Row],[Gestation (days)]]+0.5)/7)^2)*Table1[[#This Row],[BW40_3705]],"")</f>
        <v/>
      </c>
      <c r="G185" s="2" t="str">
        <f>IF(Table1[[#This Row],[Is Data Valid]]=TRUE,((Table1[[#This Row],[Birthweight (grams)]]/Table1[[#This Row],[BW_GA]])-1)/(Backend!$B$4/100*Table1[[#This Row],[BW40_3705]]),"")</f>
        <v/>
      </c>
      <c r="H185" s="7" t="str">
        <f>IF(Table1[[#This Row],[Is Data Valid]]=TRUE,((Table1[[#This Row],[Birthweight (grams)]]*0.9/Table1[[#This Row],[BW_GA]])-1)/(Backend!$B$4/100*Table1[[#This Row],[BW40_3705]]),"")</f>
        <v/>
      </c>
      <c r="I185" s="7" t="str">
        <f>IF(Table1[[#This Row],[Is Data Valid]]=TRUE,((Table1[[#This Row],[Birthweight (grams)]]*1.1/Table1[[#This Row],[BW_GA]])-1)/(Backend!$B$4/100*Table1[[#This Row],[BW40_3705]]),"")</f>
        <v/>
      </c>
      <c r="J185" s="7" t="str">
        <f>IF(Table1[[#This Row],[Is Data Valid]]=TRUE,_xlfn.NORM.S.DIST(Table1[[#This Row],[Birthweight Z-Score]],TRUE)*100,"")</f>
        <v/>
      </c>
      <c r="K185" s="7" t="str">
        <f>IF(Table1[[#This Row],[Is Data Valid]]=TRUE,_xlfn.NORM.S.DIST(Table1[[#This Row],[Birthweight Z-Score (BW-10%)]],TRUE)*100,"")</f>
        <v/>
      </c>
      <c r="L185" s="7" t="str">
        <f>IF(Table1[[#This Row],[Is Data Valid]]=TRUE,_xlfn.NORM.S.DIST(Table1[[#This Row],[Birthweight Z-Score (BW+10%)]],TRUE)*100,"")</f>
        <v/>
      </c>
    </row>
    <row r="186" spans="1:12" x14ac:dyDescent="0.35">
      <c r="A186" s="3"/>
      <c r="B186" s="2"/>
      <c r="C186" s="2"/>
      <c r="D186" s="2" t="b">
        <f>IF(AND(NOT(ISBLANK(Table1[[#This Row],[Fetal Sex (Male, Female or Unknown)]])),ISNUMBER(Table1[[#This Row],[Birthweight (grams)]]),ISNUMBER(Table1[[#This Row],[Gestation (days)]])),TRUE,FALSE)</f>
        <v>0</v>
      </c>
      <c r="E186" s="2" t="str">
        <f>IF(Table1[[#This Row],[Is Data Valid]]=TRUE,IF(Table1[[#This Row],[Fetal Sex (Male, Female or Unknown)]]="Male",Backend!$C$6,IF(Table1[[#This Row],[Fetal Sex (Male, Female or Unknown)]]="Female",Backend!$C$7,IF(Table1[[#This Row],[Fetal Sex (Male, Female or Unknown)]]="Unknown",Backend!$C$8,"Error"))),"")</f>
        <v/>
      </c>
      <c r="F186" s="8" t="str">
        <f>IF(Table1[[#This Row],[Is Data Valid]]=TRUE,EXP(0.578+0.332*((Table1[[#This Row],[Gestation (days)]]+0.5)/7)-0.00354*((Table1[[#This Row],[Gestation (days)]]+0.5)/7)^2)*Table1[[#This Row],[BW40_3705]],"")</f>
        <v/>
      </c>
      <c r="G186" s="2" t="str">
        <f>IF(Table1[[#This Row],[Is Data Valid]]=TRUE,((Table1[[#This Row],[Birthweight (grams)]]/Table1[[#This Row],[BW_GA]])-1)/(Backend!$B$4/100*Table1[[#This Row],[BW40_3705]]),"")</f>
        <v/>
      </c>
      <c r="H186" s="7" t="str">
        <f>IF(Table1[[#This Row],[Is Data Valid]]=TRUE,((Table1[[#This Row],[Birthweight (grams)]]*0.9/Table1[[#This Row],[BW_GA]])-1)/(Backend!$B$4/100*Table1[[#This Row],[BW40_3705]]),"")</f>
        <v/>
      </c>
      <c r="I186" s="7" t="str">
        <f>IF(Table1[[#This Row],[Is Data Valid]]=TRUE,((Table1[[#This Row],[Birthweight (grams)]]*1.1/Table1[[#This Row],[BW_GA]])-1)/(Backend!$B$4/100*Table1[[#This Row],[BW40_3705]]),"")</f>
        <v/>
      </c>
      <c r="J186" s="7" t="str">
        <f>IF(Table1[[#This Row],[Is Data Valid]]=TRUE,_xlfn.NORM.S.DIST(Table1[[#This Row],[Birthweight Z-Score]],TRUE)*100,"")</f>
        <v/>
      </c>
      <c r="K186" s="7" t="str">
        <f>IF(Table1[[#This Row],[Is Data Valid]]=TRUE,_xlfn.NORM.S.DIST(Table1[[#This Row],[Birthweight Z-Score (BW-10%)]],TRUE)*100,"")</f>
        <v/>
      </c>
      <c r="L186" s="7" t="str">
        <f>IF(Table1[[#This Row],[Is Data Valid]]=TRUE,_xlfn.NORM.S.DIST(Table1[[#This Row],[Birthweight Z-Score (BW+10%)]],TRUE)*100,"")</f>
        <v/>
      </c>
    </row>
    <row r="187" spans="1:12" x14ac:dyDescent="0.35">
      <c r="A187" s="3"/>
      <c r="B187" s="2"/>
      <c r="C187" s="2"/>
      <c r="D187" s="2" t="b">
        <f>IF(AND(NOT(ISBLANK(Table1[[#This Row],[Fetal Sex (Male, Female or Unknown)]])),ISNUMBER(Table1[[#This Row],[Birthweight (grams)]]),ISNUMBER(Table1[[#This Row],[Gestation (days)]])),TRUE,FALSE)</f>
        <v>0</v>
      </c>
      <c r="E187" s="2" t="str">
        <f>IF(Table1[[#This Row],[Is Data Valid]]=TRUE,IF(Table1[[#This Row],[Fetal Sex (Male, Female or Unknown)]]="Male",Backend!$C$6,IF(Table1[[#This Row],[Fetal Sex (Male, Female or Unknown)]]="Female",Backend!$C$7,IF(Table1[[#This Row],[Fetal Sex (Male, Female or Unknown)]]="Unknown",Backend!$C$8,"Error"))),"")</f>
        <v/>
      </c>
      <c r="F187" s="8" t="str">
        <f>IF(Table1[[#This Row],[Is Data Valid]]=TRUE,EXP(0.578+0.332*((Table1[[#This Row],[Gestation (days)]]+0.5)/7)-0.00354*((Table1[[#This Row],[Gestation (days)]]+0.5)/7)^2)*Table1[[#This Row],[BW40_3705]],"")</f>
        <v/>
      </c>
      <c r="G187" s="2" t="str">
        <f>IF(Table1[[#This Row],[Is Data Valid]]=TRUE,((Table1[[#This Row],[Birthweight (grams)]]/Table1[[#This Row],[BW_GA]])-1)/(Backend!$B$4/100*Table1[[#This Row],[BW40_3705]]),"")</f>
        <v/>
      </c>
      <c r="H187" s="7" t="str">
        <f>IF(Table1[[#This Row],[Is Data Valid]]=TRUE,((Table1[[#This Row],[Birthweight (grams)]]*0.9/Table1[[#This Row],[BW_GA]])-1)/(Backend!$B$4/100*Table1[[#This Row],[BW40_3705]]),"")</f>
        <v/>
      </c>
      <c r="I187" s="7" t="str">
        <f>IF(Table1[[#This Row],[Is Data Valid]]=TRUE,((Table1[[#This Row],[Birthweight (grams)]]*1.1/Table1[[#This Row],[BW_GA]])-1)/(Backend!$B$4/100*Table1[[#This Row],[BW40_3705]]),"")</f>
        <v/>
      </c>
      <c r="J187" s="7" t="str">
        <f>IF(Table1[[#This Row],[Is Data Valid]]=TRUE,_xlfn.NORM.S.DIST(Table1[[#This Row],[Birthweight Z-Score]],TRUE)*100,"")</f>
        <v/>
      </c>
      <c r="K187" s="7" t="str">
        <f>IF(Table1[[#This Row],[Is Data Valid]]=TRUE,_xlfn.NORM.S.DIST(Table1[[#This Row],[Birthweight Z-Score (BW-10%)]],TRUE)*100,"")</f>
        <v/>
      </c>
      <c r="L187" s="7" t="str">
        <f>IF(Table1[[#This Row],[Is Data Valid]]=TRUE,_xlfn.NORM.S.DIST(Table1[[#This Row],[Birthweight Z-Score (BW+10%)]],TRUE)*100,"")</f>
        <v/>
      </c>
    </row>
    <row r="188" spans="1:12" x14ac:dyDescent="0.35">
      <c r="A188" s="3"/>
      <c r="B188" s="2"/>
      <c r="C188" s="2"/>
      <c r="D188" s="2" t="b">
        <f>IF(AND(NOT(ISBLANK(Table1[[#This Row],[Fetal Sex (Male, Female or Unknown)]])),ISNUMBER(Table1[[#This Row],[Birthweight (grams)]]),ISNUMBER(Table1[[#This Row],[Gestation (days)]])),TRUE,FALSE)</f>
        <v>0</v>
      </c>
      <c r="E188" s="2" t="str">
        <f>IF(Table1[[#This Row],[Is Data Valid]]=TRUE,IF(Table1[[#This Row],[Fetal Sex (Male, Female or Unknown)]]="Male",Backend!$C$6,IF(Table1[[#This Row],[Fetal Sex (Male, Female or Unknown)]]="Female",Backend!$C$7,IF(Table1[[#This Row],[Fetal Sex (Male, Female or Unknown)]]="Unknown",Backend!$C$8,"Error"))),"")</f>
        <v/>
      </c>
      <c r="F188" s="8" t="str">
        <f>IF(Table1[[#This Row],[Is Data Valid]]=TRUE,EXP(0.578+0.332*((Table1[[#This Row],[Gestation (days)]]+0.5)/7)-0.00354*((Table1[[#This Row],[Gestation (days)]]+0.5)/7)^2)*Table1[[#This Row],[BW40_3705]],"")</f>
        <v/>
      </c>
      <c r="G188" s="2" t="str">
        <f>IF(Table1[[#This Row],[Is Data Valid]]=TRUE,((Table1[[#This Row],[Birthweight (grams)]]/Table1[[#This Row],[BW_GA]])-1)/(Backend!$B$4/100*Table1[[#This Row],[BW40_3705]]),"")</f>
        <v/>
      </c>
      <c r="H188" s="7" t="str">
        <f>IF(Table1[[#This Row],[Is Data Valid]]=TRUE,((Table1[[#This Row],[Birthweight (grams)]]*0.9/Table1[[#This Row],[BW_GA]])-1)/(Backend!$B$4/100*Table1[[#This Row],[BW40_3705]]),"")</f>
        <v/>
      </c>
      <c r="I188" s="7" t="str">
        <f>IF(Table1[[#This Row],[Is Data Valid]]=TRUE,((Table1[[#This Row],[Birthweight (grams)]]*1.1/Table1[[#This Row],[BW_GA]])-1)/(Backend!$B$4/100*Table1[[#This Row],[BW40_3705]]),"")</f>
        <v/>
      </c>
      <c r="J188" s="7" t="str">
        <f>IF(Table1[[#This Row],[Is Data Valid]]=TRUE,_xlfn.NORM.S.DIST(Table1[[#This Row],[Birthweight Z-Score]],TRUE)*100,"")</f>
        <v/>
      </c>
      <c r="K188" s="7" t="str">
        <f>IF(Table1[[#This Row],[Is Data Valid]]=TRUE,_xlfn.NORM.S.DIST(Table1[[#This Row],[Birthweight Z-Score (BW-10%)]],TRUE)*100,"")</f>
        <v/>
      </c>
      <c r="L188" s="7" t="str">
        <f>IF(Table1[[#This Row],[Is Data Valid]]=TRUE,_xlfn.NORM.S.DIST(Table1[[#This Row],[Birthweight Z-Score (BW+10%)]],TRUE)*100,"")</f>
        <v/>
      </c>
    </row>
    <row r="189" spans="1:12" x14ac:dyDescent="0.35">
      <c r="A189" s="3"/>
      <c r="B189" s="2"/>
      <c r="C189" s="2"/>
      <c r="D189" s="2" t="b">
        <f>IF(AND(NOT(ISBLANK(Table1[[#This Row],[Fetal Sex (Male, Female or Unknown)]])),ISNUMBER(Table1[[#This Row],[Birthweight (grams)]]),ISNUMBER(Table1[[#This Row],[Gestation (days)]])),TRUE,FALSE)</f>
        <v>0</v>
      </c>
      <c r="E189" s="2" t="str">
        <f>IF(Table1[[#This Row],[Is Data Valid]]=TRUE,IF(Table1[[#This Row],[Fetal Sex (Male, Female or Unknown)]]="Male",Backend!$C$6,IF(Table1[[#This Row],[Fetal Sex (Male, Female or Unknown)]]="Female",Backend!$C$7,IF(Table1[[#This Row],[Fetal Sex (Male, Female or Unknown)]]="Unknown",Backend!$C$8,"Error"))),"")</f>
        <v/>
      </c>
      <c r="F189" s="8" t="str">
        <f>IF(Table1[[#This Row],[Is Data Valid]]=TRUE,EXP(0.578+0.332*((Table1[[#This Row],[Gestation (days)]]+0.5)/7)-0.00354*((Table1[[#This Row],[Gestation (days)]]+0.5)/7)^2)*Table1[[#This Row],[BW40_3705]],"")</f>
        <v/>
      </c>
      <c r="G189" s="2" t="str">
        <f>IF(Table1[[#This Row],[Is Data Valid]]=TRUE,((Table1[[#This Row],[Birthweight (grams)]]/Table1[[#This Row],[BW_GA]])-1)/(Backend!$B$4/100*Table1[[#This Row],[BW40_3705]]),"")</f>
        <v/>
      </c>
      <c r="H189" s="7" t="str">
        <f>IF(Table1[[#This Row],[Is Data Valid]]=TRUE,((Table1[[#This Row],[Birthweight (grams)]]*0.9/Table1[[#This Row],[BW_GA]])-1)/(Backend!$B$4/100*Table1[[#This Row],[BW40_3705]]),"")</f>
        <v/>
      </c>
      <c r="I189" s="7" t="str">
        <f>IF(Table1[[#This Row],[Is Data Valid]]=TRUE,((Table1[[#This Row],[Birthweight (grams)]]*1.1/Table1[[#This Row],[BW_GA]])-1)/(Backend!$B$4/100*Table1[[#This Row],[BW40_3705]]),"")</f>
        <v/>
      </c>
      <c r="J189" s="7" t="str">
        <f>IF(Table1[[#This Row],[Is Data Valid]]=TRUE,_xlfn.NORM.S.DIST(Table1[[#This Row],[Birthweight Z-Score]],TRUE)*100,"")</f>
        <v/>
      </c>
      <c r="K189" s="7" t="str">
        <f>IF(Table1[[#This Row],[Is Data Valid]]=TRUE,_xlfn.NORM.S.DIST(Table1[[#This Row],[Birthweight Z-Score (BW-10%)]],TRUE)*100,"")</f>
        <v/>
      </c>
      <c r="L189" s="7" t="str">
        <f>IF(Table1[[#This Row],[Is Data Valid]]=TRUE,_xlfn.NORM.S.DIST(Table1[[#This Row],[Birthweight Z-Score (BW+10%)]],TRUE)*100,"")</f>
        <v/>
      </c>
    </row>
    <row r="190" spans="1:12" x14ac:dyDescent="0.35">
      <c r="A190" s="3"/>
      <c r="B190" s="2"/>
      <c r="C190" s="2"/>
      <c r="D190" s="2" t="b">
        <f>IF(AND(NOT(ISBLANK(Table1[[#This Row],[Fetal Sex (Male, Female or Unknown)]])),ISNUMBER(Table1[[#This Row],[Birthweight (grams)]]),ISNUMBER(Table1[[#This Row],[Gestation (days)]])),TRUE,FALSE)</f>
        <v>0</v>
      </c>
      <c r="E190" s="2" t="str">
        <f>IF(Table1[[#This Row],[Is Data Valid]]=TRUE,IF(Table1[[#This Row],[Fetal Sex (Male, Female or Unknown)]]="Male",Backend!$C$6,IF(Table1[[#This Row],[Fetal Sex (Male, Female or Unknown)]]="Female",Backend!$C$7,IF(Table1[[#This Row],[Fetal Sex (Male, Female or Unknown)]]="Unknown",Backend!$C$8,"Error"))),"")</f>
        <v/>
      </c>
      <c r="F190" s="8" t="str">
        <f>IF(Table1[[#This Row],[Is Data Valid]]=TRUE,EXP(0.578+0.332*((Table1[[#This Row],[Gestation (days)]]+0.5)/7)-0.00354*((Table1[[#This Row],[Gestation (days)]]+0.5)/7)^2)*Table1[[#This Row],[BW40_3705]],"")</f>
        <v/>
      </c>
      <c r="G190" s="2" t="str">
        <f>IF(Table1[[#This Row],[Is Data Valid]]=TRUE,((Table1[[#This Row],[Birthweight (grams)]]/Table1[[#This Row],[BW_GA]])-1)/(Backend!$B$4/100*Table1[[#This Row],[BW40_3705]]),"")</f>
        <v/>
      </c>
      <c r="H190" s="7" t="str">
        <f>IF(Table1[[#This Row],[Is Data Valid]]=TRUE,((Table1[[#This Row],[Birthweight (grams)]]*0.9/Table1[[#This Row],[BW_GA]])-1)/(Backend!$B$4/100*Table1[[#This Row],[BW40_3705]]),"")</f>
        <v/>
      </c>
      <c r="I190" s="7" t="str">
        <f>IF(Table1[[#This Row],[Is Data Valid]]=TRUE,((Table1[[#This Row],[Birthweight (grams)]]*1.1/Table1[[#This Row],[BW_GA]])-1)/(Backend!$B$4/100*Table1[[#This Row],[BW40_3705]]),"")</f>
        <v/>
      </c>
      <c r="J190" s="7" t="str">
        <f>IF(Table1[[#This Row],[Is Data Valid]]=TRUE,_xlfn.NORM.S.DIST(Table1[[#This Row],[Birthweight Z-Score]],TRUE)*100,"")</f>
        <v/>
      </c>
      <c r="K190" s="7" t="str">
        <f>IF(Table1[[#This Row],[Is Data Valid]]=TRUE,_xlfn.NORM.S.DIST(Table1[[#This Row],[Birthweight Z-Score (BW-10%)]],TRUE)*100,"")</f>
        <v/>
      </c>
      <c r="L190" s="7" t="str">
        <f>IF(Table1[[#This Row],[Is Data Valid]]=TRUE,_xlfn.NORM.S.DIST(Table1[[#This Row],[Birthweight Z-Score (BW+10%)]],TRUE)*100,"")</f>
        <v/>
      </c>
    </row>
    <row r="191" spans="1:12" x14ac:dyDescent="0.35">
      <c r="A191" s="3"/>
      <c r="B191" s="2"/>
      <c r="C191" s="2"/>
      <c r="D191" s="2" t="b">
        <f>IF(AND(NOT(ISBLANK(Table1[[#This Row],[Fetal Sex (Male, Female or Unknown)]])),ISNUMBER(Table1[[#This Row],[Birthweight (grams)]]),ISNUMBER(Table1[[#This Row],[Gestation (days)]])),TRUE,FALSE)</f>
        <v>0</v>
      </c>
      <c r="E191" s="2" t="str">
        <f>IF(Table1[[#This Row],[Is Data Valid]]=TRUE,IF(Table1[[#This Row],[Fetal Sex (Male, Female or Unknown)]]="Male",Backend!$C$6,IF(Table1[[#This Row],[Fetal Sex (Male, Female or Unknown)]]="Female",Backend!$C$7,IF(Table1[[#This Row],[Fetal Sex (Male, Female or Unknown)]]="Unknown",Backend!$C$8,"Error"))),"")</f>
        <v/>
      </c>
      <c r="F191" s="8" t="str">
        <f>IF(Table1[[#This Row],[Is Data Valid]]=TRUE,EXP(0.578+0.332*((Table1[[#This Row],[Gestation (days)]]+0.5)/7)-0.00354*((Table1[[#This Row],[Gestation (days)]]+0.5)/7)^2)*Table1[[#This Row],[BW40_3705]],"")</f>
        <v/>
      </c>
      <c r="G191" s="2" t="str">
        <f>IF(Table1[[#This Row],[Is Data Valid]]=TRUE,((Table1[[#This Row],[Birthweight (grams)]]/Table1[[#This Row],[BW_GA]])-1)/(Backend!$B$4/100*Table1[[#This Row],[BW40_3705]]),"")</f>
        <v/>
      </c>
      <c r="H191" s="7" t="str">
        <f>IF(Table1[[#This Row],[Is Data Valid]]=TRUE,((Table1[[#This Row],[Birthweight (grams)]]*0.9/Table1[[#This Row],[BW_GA]])-1)/(Backend!$B$4/100*Table1[[#This Row],[BW40_3705]]),"")</f>
        <v/>
      </c>
      <c r="I191" s="7" t="str">
        <f>IF(Table1[[#This Row],[Is Data Valid]]=TRUE,((Table1[[#This Row],[Birthweight (grams)]]*1.1/Table1[[#This Row],[BW_GA]])-1)/(Backend!$B$4/100*Table1[[#This Row],[BW40_3705]]),"")</f>
        <v/>
      </c>
      <c r="J191" s="7" t="str">
        <f>IF(Table1[[#This Row],[Is Data Valid]]=TRUE,_xlfn.NORM.S.DIST(Table1[[#This Row],[Birthweight Z-Score]],TRUE)*100,"")</f>
        <v/>
      </c>
      <c r="K191" s="7" t="str">
        <f>IF(Table1[[#This Row],[Is Data Valid]]=TRUE,_xlfn.NORM.S.DIST(Table1[[#This Row],[Birthweight Z-Score (BW-10%)]],TRUE)*100,"")</f>
        <v/>
      </c>
      <c r="L191" s="7" t="str">
        <f>IF(Table1[[#This Row],[Is Data Valid]]=TRUE,_xlfn.NORM.S.DIST(Table1[[#This Row],[Birthweight Z-Score (BW+10%)]],TRUE)*100,"")</f>
        <v/>
      </c>
    </row>
    <row r="192" spans="1:12" x14ac:dyDescent="0.35">
      <c r="A192" s="3"/>
      <c r="B192" s="2"/>
      <c r="C192" s="2"/>
      <c r="D192" s="2" t="b">
        <f>IF(AND(NOT(ISBLANK(Table1[[#This Row],[Fetal Sex (Male, Female or Unknown)]])),ISNUMBER(Table1[[#This Row],[Birthweight (grams)]]),ISNUMBER(Table1[[#This Row],[Gestation (days)]])),TRUE,FALSE)</f>
        <v>0</v>
      </c>
      <c r="E192" s="2" t="str">
        <f>IF(Table1[[#This Row],[Is Data Valid]]=TRUE,IF(Table1[[#This Row],[Fetal Sex (Male, Female or Unknown)]]="Male",Backend!$C$6,IF(Table1[[#This Row],[Fetal Sex (Male, Female or Unknown)]]="Female",Backend!$C$7,IF(Table1[[#This Row],[Fetal Sex (Male, Female or Unknown)]]="Unknown",Backend!$C$8,"Error"))),"")</f>
        <v/>
      </c>
      <c r="F192" s="8" t="str">
        <f>IF(Table1[[#This Row],[Is Data Valid]]=TRUE,EXP(0.578+0.332*((Table1[[#This Row],[Gestation (days)]]+0.5)/7)-0.00354*((Table1[[#This Row],[Gestation (days)]]+0.5)/7)^2)*Table1[[#This Row],[BW40_3705]],"")</f>
        <v/>
      </c>
      <c r="G192" s="2" t="str">
        <f>IF(Table1[[#This Row],[Is Data Valid]]=TRUE,((Table1[[#This Row],[Birthweight (grams)]]/Table1[[#This Row],[BW_GA]])-1)/(Backend!$B$4/100*Table1[[#This Row],[BW40_3705]]),"")</f>
        <v/>
      </c>
      <c r="H192" s="7" t="str">
        <f>IF(Table1[[#This Row],[Is Data Valid]]=TRUE,((Table1[[#This Row],[Birthweight (grams)]]*0.9/Table1[[#This Row],[BW_GA]])-1)/(Backend!$B$4/100*Table1[[#This Row],[BW40_3705]]),"")</f>
        <v/>
      </c>
      <c r="I192" s="7" t="str">
        <f>IF(Table1[[#This Row],[Is Data Valid]]=TRUE,((Table1[[#This Row],[Birthweight (grams)]]*1.1/Table1[[#This Row],[BW_GA]])-1)/(Backend!$B$4/100*Table1[[#This Row],[BW40_3705]]),"")</f>
        <v/>
      </c>
      <c r="J192" s="7" t="str">
        <f>IF(Table1[[#This Row],[Is Data Valid]]=TRUE,_xlfn.NORM.S.DIST(Table1[[#This Row],[Birthweight Z-Score]],TRUE)*100,"")</f>
        <v/>
      </c>
      <c r="K192" s="7" t="str">
        <f>IF(Table1[[#This Row],[Is Data Valid]]=TRUE,_xlfn.NORM.S.DIST(Table1[[#This Row],[Birthweight Z-Score (BW-10%)]],TRUE)*100,"")</f>
        <v/>
      </c>
      <c r="L192" s="7" t="str">
        <f>IF(Table1[[#This Row],[Is Data Valid]]=TRUE,_xlfn.NORM.S.DIST(Table1[[#This Row],[Birthweight Z-Score (BW+10%)]],TRUE)*100,"")</f>
        <v/>
      </c>
    </row>
    <row r="193" spans="1:12" x14ac:dyDescent="0.35">
      <c r="A193" s="3"/>
      <c r="B193" s="2"/>
      <c r="C193" s="2"/>
      <c r="D193" s="2" t="b">
        <f>IF(AND(NOT(ISBLANK(Table1[[#This Row],[Fetal Sex (Male, Female or Unknown)]])),ISNUMBER(Table1[[#This Row],[Birthweight (grams)]]),ISNUMBER(Table1[[#This Row],[Gestation (days)]])),TRUE,FALSE)</f>
        <v>0</v>
      </c>
      <c r="E193" s="2" t="str">
        <f>IF(Table1[[#This Row],[Is Data Valid]]=TRUE,IF(Table1[[#This Row],[Fetal Sex (Male, Female or Unknown)]]="Male",Backend!$C$6,IF(Table1[[#This Row],[Fetal Sex (Male, Female or Unknown)]]="Female",Backend!$C$7,IF(Table1[[#This Row],[Fetal Sex (Male, Female or Unknown)]]="Unknown",Backend!$C$8,"Error"))),"")</f>
        <v/>
      </c>
      <c r="F193" s="8" t="str">
        <f>IF(Table1[[#This Row],[Is Data Valid]]=TRUE,EXP(0.578+0.332*((Table1[[#This Row],[Gestation (days)]]+0.5)/7)-0.00354*((Table1[[#This Row],[Gestation (days)]]+0.5)/7)^2)*Table1[[#This Row],[BW40_3705]],"")</f>
        <v/>
      </c>
      <c r="G193" s="2" t="str">
        <f>IF(Table1[[#This Row],[Is Data Valid]]=TRUE,((Table1[[#This Row],[Birthweight (grams)]]/Table1[[#This Row],[BW_GA]])-1)/(Backend!$B$4/100*Table1[[#This Row],[BW40_3705]]),"")</f>
        <v/>
      </c>
      <c r="H193" s="7" t="str">
        <f>IF(Table1[[#This Row],[Is Data Valid]]=TRUE,((Table1[[#This Row],[Birthweight (grams)]]*0.9/Table1[[#This Row],[BW_GA]])-1)/(Backend!$B$4/100*Table1[[#This Row],[BW40_3705]]),"")</f>
        <v/>
      </c>
      <c r="I193" s="7" t="str">
        <f>IF(Table1[[#This Row],[Is Data Valid]]=TRUE,((Table1[[#This Row],[Birthweight (grams)]]*1.1/Table1[[#This Row],[BW_GA]])-1)/(Backend!$B$4/100*Table1[[#This Row],[BW40_3705]]),"")</f>
        <v/>
      </c>
      <c r="J193" s="7" t="str">
        <f>IF(Table1[[#This Row],[Is Data Valid]]=TRUE,_xlfn.NORM.S.DIST(Table1[[#This Row],[Birthweight Z-Score]],TRUE)*100,"")</f>
        <v/>
      </c>
      <c r="K193" s="7" t="str">
        <f>IF(Table1[[#This Row],[Is Data Valid]]=TRUE,_xlfn.NORM.S.DIST(Table1[[#This Row],[Birthweight Z-Score (BW-10%)]],TRUE)*100,"")</f>
        <v/>
      </c>
      <c r="L193" s="7" t="str">
        <f>IF(Table1[[#This Row],[Is Data Valid]]=TRUE,_xlfn.NORM.S.DIST(Table1[[#This Row],[Birthweight Z-Score (BW+10%)]],TRUE)*100,"")</f>
        <v/>
      </c>
    </row>
    <row r="194" spans="1:12" x14ac:dyDescent="0.35">
      <c r="A194" s="3"/>
      <c r="B194" s="2"/>
      <c r="C194" s="2"/>
      <c r="D194" s="2" t="b">
        <f>IF(AND(NOT(ISBLANK(Table1[[#This Row],[Fetal Sex (Male, Female or Unknown)]])),ISNUMBER(Table1[[#This Row],[Birthweight (grams)]]),ISNUMBER(Table1[[#This Row],[Gestation (days)]])),TRUE,FALSE)</f>
        <v>0</v>
      </c>
      <c r="E194" s="2" t="str">
        <f>IF(Table1[[#This Row],[Is Data Valid]]=TRUE,IF(Table1[[#This Row],[Fetal Sex (Male, Female or Unknown)]]="Male",Backend!$C$6,IF(Table1[[#This Row],[Fetal Sex (Male, Female or Unknown)]]="Female",Backend!$C$7,IF(Table1[[#This Row],[Fetal Sex (Male, Female or Unknown)]]="Unknown",Backend!$C$8,"Error"))),"")</f>
        <v/>
      </c>
      <c r="F194" s="8" t="str">
        <f>IF(Table1[[#This Row],[Is Data Valid]]=TRUE,EXP(0.578+0.332*((Table1[[#This Row],[Gestation (days)]]+0.5)/7)-0.00354*((Table1[[#This Row],[Gestation (days)]]+0.5)/7)^2)*Table1[[#This Row],[BW40_3705]],"")</f>
        <v/>
      </c>
      <c r="G194" s="2" t="str">
        <f>IF(Table1[[#This Row],[Is Data Valid]]=TRUE,((Table1[[#This Row],[Birthweight (grams)]]/Table1[[#This Row],[BW_GA]])-1)/(Backend!$B$4/100*Table1[[#This Row],[BW40_3705]]),"")</f>
        <v/>
      </c>
      <c r="H194" s="7" t="str">
        <f>IF(Table1[[#This Row],[Is Data Valid]]=TRUE,((Table1[[#This Row],[Birthweight (grams)]]*0.9/Table1[[#This Row],[BW_GA]])-1)/(Backend!$B$4/100*Table1[[#This Row],[BW40_3705]]),"")</f>
        <v/>
      </c>
      <c r="I194" s="7" t="str">
        <f>IF(Table1[[#This Row],[Is Data Valid]]=TRUE,((Table1[[#This Row],[Birthweight (grams)]]*1.1/Table1[[#This Row],[BW_GA]])-1)/(Backend!$B$4/100*Table1[[#This Row],[BW40_3705]]),"")</f>
        <v/>
      </c>
      <c r="J194" s="7" t="str">
        <f>IF(Table1[[#This Row],[Is Data Valid]]=TRUE,_xlfn.NORM.S.DIST(Table1[[#This Row],[Birthweight Z-Score]],TRUE)*100,"")</f>
        <v/>
      </c>
      <c r="K194" s="7" t="str">
        <f>IF(Table1[[#This Row],[Is Data Valid]]=TRUE,_xlfn.NORM.S.DIST(Table1[[#This Row],[Birthweight Z-Score (BW-10%)]],TRUE)*100,"")</f>
        <v/>
      </c>
      <c r="L194" s="7" t="str">
        <f>IF(Table1[[#This Row],[Is Data Valid]]=TRUE,_xlfn.NORM.S.DIST(Table1[[#This Row],[Birthweight Z-Score (BW+10%)]],TRUE)*100,"")</f>
        <v/>
      </c>
    </row>
    <row r="195" spans="1:12" x14ac:dyDescent="0.35">
      <c r="A195" s="3"/>
      <c r="B195" s="2"/>
      <c r="C195" s="2"/>
      <c r="D195" s="2" t="b">
        <f>IF(AND(NOT(ISBLANK(Table1[[#This Row],[Fetal Sex (Male, Female or Unknown)]])),ISNUMBER(Table1[[#This Row],[Birthweight (grams)]]),ISNUMBER(Table1[[#This Row],[Gestation (days)]])),TRUE,FALSE)</f>
        <v>0</v>
      </c>
      <c r="E195" s="2" t="str">
        <f>IF(Table1[[#This Row],[Is Data Valid]]=TRUE,IF(Table1[[#This Row],[Fetal Sex (Male, Female or Unknown)]]="Male",Backend!$C$6,IF(Table1[[#This Row],[Fetal Sex (Male, Female or Unknown)]]="Female",Backend!$C$7,IF(Table1[[#This Row],[Fetal Sex (Male, Female or Unknown)]]="Unknown",Backend!$C$8,"Error"))),"")</f>
        <v/>
      </c>
      <c r="F195" s="8" t="str">
        <f>IF(Table1[[#This Row],[Is Data Valid]]=TRUE,EXP(0.578+0.332*((Table1[[#This Row],[Gestation (days)]]+0.5)/7)-0.00354*((Table1[[#This Row],[Gestation (days)]]+0.5)/7)^2)*Table1[[#This Row],[BW40_3705]],"")</f>
        <v/>
      </c>
      <c r="G195" s="2" t="str">
        <f>IF(Table1[[#This Row],[Is Data Valid]]=TRUE,((Table1[[#This Row],[Birthweight (grams)]]/Table1[[#This Row],[BW_GA]])-1)/(Backend!$B$4/100*Table1[[#This Row],[BW40_3705]]),"")</f>
        <v/>
      </c>
      <c r="H195" s="7" t="str">
        <f>IF(Table1[[#This Row],[Is Data Valid]]=TRUE,((Table1[[#This Row],[Birthweight (grams)]]*0.9/Table1[[#This Row],[BW_GA]])-1)/(Backend!$B$4/100*Table1[[#This Row],[BW40_3705]]),"")</f>
        <v/>
      </c>
      <c r="I195" s="7" t="str">
        <f>IF(Table1[[#This Row],[Is Data Valid]]=TRUE,((Table1[[#This Row],[Birthweight (grams)]]*1.1/Table1[[#This Row],[BW_GA]])-1)/(Backend!$B$4/100*Table1[[#This Row],[BW40_3705]]),"")</f>
        <v/>
      </c>
      <c r="J195" s="7" t="str">
        <f>IF(Table1[[#This Row],[Is Data Valid]]=TRUE,_xlfn.NORM.S.DIST(Table1[[#This Row],[Birthweight Z-Score]],TRUE)*100,"")</f>
        <v/>
      </c>
      <c r="K195" s="7" t="str">
        <f>IF(Table1[[#This Row],[Is Data Valid]]=TRUE,_xlfn.NORM.S.DIST(Table1[[#This Row],[Birthweight Z-Score (BW-10%)]],TRUE)*100,"")</f>
        <v/>
      </c>
      <c r="L195" s="7" t="str">
        <f>IF(Table1[[#This Row],[Is Data Valid]]=TRUE,_xlfn.NORM.S.DIST(Table1[[#This Row],[Birthweight Z-Score (BW+10%)]],TRUE)*100,"")</f>
        <v/>
      </c>
    </row>
    <row r="196" spans="1:12" x14ac:dyDescent="0.35">
      <c r="A196" s="3"/>
      <c r="B196" s="2"/>
      <c r="C196" s="2"/>
      <c r="D196" s="2" t="b">
        <f>IF(AND(NOT(ISBLANK(Table1[[#This Row],[Fetal Sex (Male, Female or Unknown)]])),ISNUMBER(Table1[[#This Row],[Birthweight (grams)]]),ISNUMBER(Table1[[#This Row],[Gestation (days)]])),TRUE,FALSE)</f>
        <v>0</v>
      </c>
      <c r="E196" s="2" t="str">
        <f>IF(Table1[[#This Row],[Is Data Valid]]=TRUE,IF(Table1[[#This Row],[Fetal Sex (Male, Female or Unknown)]]="Male",Backend!$C$6,IF(Table1[[#This Row],[Fetal Sex (Male, Female or Unknown)]]="Female",Backend!$C$7,IF(Table1[[#This Row],[Fetal Sex (Male, Female or Unknown)]]="Unknown",Backend!$C$8,"Error"))),"")</f>
        <v/>
      </c>
      <c r="F196" s="8" t="str">
        <f>IF(Table1[[#This Row],[Is Data Valid]]=TRUE,EXP(0.578+0.332*((Table1[[#This Row],[Gestation (days)]]+0.5)/7)-0.00354*((Table1[[#This Row],[Gestation (days)]]+0.5)/7)^2)*Table1[[#This Row],[BW40_3705]],"")</f>
        <v/>
      </c>
      <c r="G196" s="2" t="str">
        <f>IF(Table1[[#This Row],[Is Data Valid]]=TRUE,((Table1[[#This Row],[Birthweight (grams)]]/Table1[[#This Row],[BW_GA]])-1)/(Backend!$B$4/100*Table1[[#This Row],[BW40_3705]]),"")</f>
        <v/>
      </c>
      <c r="H196" s="7" t="str">
        <f>IF(Table1[[#This Row],[Is Data Valid]]=TRUE,((Table1[[#This Row],[Birthweight (grams)]]*0.9/Table1[[#This Row],[BW_GA]])-1)/(Backend!$B$4/100*Table1[[#This Row],[BW40_3705]]),"")</f>
        <v/>
      </c>
      <c r="I196" s="7" t="str">
        <f>IF(Table1[[#This Row],[Is Data Valid]]=TRUE,((Table1[[#This Row],[Birthweight (grams)]]*1.1/Table1[[#This Row],[BW_GA]])-1)/(Backend!$B$4/100*Table1[[#This Row],[BW40_3705]]),"")</f>
        <v/>
      </c>
      <c r="J196" s="7" t="str">
        <f>IF(Table1[[#This Row],[Is Data Valid]]=TRUE,_xlfn.NORM.S.DIST(Table1[[#This Row],[Birthweight Z-Score]],TRUE)*100,"")</f>
        <v/>
      </c>
      <c r="K196" s="7" t="str">
        <f>IF(Table1[[#This Row],[Is Data Valid]]=TRUE,_xlfn.NORM.S.DIST(Table1[[#This Row],[Birthweight Z-Score (BW-10%)]],TRUE)*100,"")</f>
        <v/>
      </c>
      <c r="L196" s="7" t="str">
        <f>IF(Table1[[#This Row],[Is Data Valid]]=TRUE,_xlfn.NORM.S.DIST(Table1[[#This Row],[Birthweight Z-Score (BW+10%)]],TRUE)*100,"")</f>
        <v/>
      </c>
    </row>
    <row r="197" spans="1:12" x14ac:dyDescent="0.35">
      <c r="A197" s="3"/>
      <c r="B197" s="2"/>
      <c r="C197" s="2"/>
      <c r="D197" s="2" t="b">
        <f>IF(AND(NOT(ISBLANK(Table1[[#This Row],[Fetal Sex (Male, Female or Unknown)]])),ISNUMBER(Table1[[#This Row],[Birthweight (grams)]]),ISNUMBER(Table1[[#This Row],[Gestation (days)]])),TRUE,FALSE)</f>
        <v>0</v>
      </c>
      <c r="E197" s="2" t="str">
        <f>IF(Table1[[#This Row],[Is Data Valid]]=TRUE,IF(Table1[[#This Row],[Fetal Sex (Male, Female or Unknown)]]="Male",Backend!$C$6,IF(Table1[[#This Row],[Fetal Sex (Male, Female or Unknown)]]="Female",Backend!$C$7,IF(Table1[[#This Row],[Fetal Sex (Male, Female or Unknown)]]="Unknown",Backend!$C$8,"Error"))),"")</f>
        <v/>
      </c>
      <c r="F197" s="8" t="str">
        <f>IF(Table1[[#This Row],[Is Data Valid]]=TRUE,EXP(0.578+0.332*((Table1[[#This Row],[Gestation (days)]]+0.5)/7)-0.00354*((Table1[[#This Row],[Gestation (days)]]+0.5)/7)^2)*Table1[[#This Row],[BW40_3705]],"")</f>
        <v/>
      </c>
      <c r="G197" s="2" t="str">
        <f>IF(Table1[[#This Row],[Is Data Valid]]=TRUE,((Table1[[#This Row],[Birthweight (grams)]]/Table1[[#This Row],[BW_GA]])-1)/(Backend!$B$4/100*Table1[[#This Row],[BW40_3705]]),"")</f>
        <v/>
      </c>
      <c r="H197" s="7" t="str">
        <f>IF(Table1[[#This Row],[Is Data Valid]]=TRUE,((Table1[[#This Row],[Birthweight (grams)]]*0.9/Table1[[#This Row],[BW_GA]])-1)/(Backend!$B$4/100*Table1[[#This Row],[BW40_3705]]),"")</f>
        <v/>
      </c>
      <c r="I197" s="7" t="str">
        <f>IF(Table1[[#This Row],[Is Data Valid]]=TRUE,((Table1[[#This Row],[Birthweight (grams)]]*1.1/Table1[[#This Row],[BW_GA]])-1)/(Backend!$B$4/100*Table1[[#This Row],[BW40_3705]]),"")</f>
        <v/>
      </c>
      <c r="J197" s="7" t="str">
        <f>IF(Table1[[#This Row],[Is Data Valid]]=TRUE,_xlfn.NORM.S.DIST(Table1[[#This Row],[Birthweight Z-Score]],TRUE)*100,"")</f>
        <v/>
      </c>
      <c r="K197" s="7" t="str">
        <f>IF(Table1[[#This Row],[Is Data Valid]]=TRUE,_xlfn.NORM.S.DIST(Table1[[#This Row],[Birthweight Z-Score (BW-10%)]],TRUE)*100,"")</f>
        <v/>
      </c>
      <c r="L197" s="7" t="str">
        <f>IF(Table1[[#This Row],[Is Data Valid]]=TRUE,_xlfn.NORM.S.DIST(Table1[[#This Row],[Birthweight Z-Score (BW+10%)]],TRUE)*100,"")</f>
        <v/>
      </c>
    </row>
    <row r="198" spans="1:12" x14ac:dyDescent="0.35">
      <c r="A198" s="3"/>
      <c r="B198" s="2"/>
      <c r="C198" s="2"/>
      <c r="D198" s="2" t="b">
        <f>IF(AND(NOT(ISBLANK(Table1[[#This Row],[Fetal Sex (Male, Female or Unknown)]])),ISNUMBER(Table1[[#This Row],[Birthweight (grams)]]),ISNUMBER(Table1[[#This Row],[Gestation (days)]])),TRUE,FALSE)</f>
        <v>0</v>
      </c>
      <c r="E198" s="2" t="str">
        <f>IF(Table1[[#This Row],[Is Data Valid]]=TRUE,IF(Table1[[#This Row],[Fetal Sex (Male, Female or Unknown)]]="Male",Backend!$C$6,IF(Table1[[#This Row],[Fetal Sex (Male, Female or Unknown)]]="Female",Backend!$C$7,IF(Table1[[#This Row],[Fetal Sex (Male, Female or Unknown)]]="Unknown",Backend!$C$8,"Error"))),"")</f>
        <v/>
      </c>
      <c r="F198" s="8" t="str">
        <f>IF(Table1[[#This Row],[Is Data Valid]]=TRUE,EXP(0.578+0.332*((Table1[[#This Row],[Gestation (days)]]+0.5)/7)-0.00354*((Table1[[#This Row],[Gestation (days)]]+0.5)/7)^2)*Table1[[#This Row],[BW40_3705]],"")</f>
        <v/>
      </c>
      <c r="G198" s="2" t="str">
        <f>IF(Table1[[#This Row],[Is Data Valid]]=TRUE,((Table1[[#This Row],[Birthweight (grams)]]/Table1[[#This Row],[BW_GA]])-1)/(Backend!$B$4/100*Table1[[#This Row],[BW40_3705]]),"")</f>
        <v/>
      </c>
      <c r="H198" s="7" t="str">
        <f>IF(Table1[[#This Row],[Is Data Valid]]=TRUE,((Table1[[#This Row],[Birthweight (grams)]]*0.9/Table1[[#This Row],[BW_GA]])-1)/(Backend!$B$4/100*Table1[[#This Row],[BW40_3705]]),"")</f>
        <v/>
      </c>
      <c r="I198" s="7" t="str">
        <f>IF(Table1[[#This Row],[Is Data Valid]]=TRUE,((Table1[[#This Row],[Birthweight (grams)]]*1.1/Table1[[#This Row],[BW_GA]])-1)/(Backend!$B$4/100*Table1[[#This Row],[BW40_3705]]),"")</f>
        <v/>
      </c>
      <c r="J198" s="7" t="str">
        <f>IF(Table1[[#This Row],[Is Data Valid]]=TRUE,_xlfn.NORM.S.DIST(Table1[[#This Row],[Birthweight Z-Score]],TRUE)*100,"")</f>
        <v/>
      </c>
      <c r="K198" s="7" t="str">
        <f>IF(Table1[[#This Row],[Is Data Valid]]=TRUE,_xlfn.NORM.S.DIST(Table1[[#This Row],[Birthweight Z-Score (BW-10%)]],TRUE)*100,"")</f>
        <v/>
      </c>
      <c r="L198" s="7" t="str">
        <f>IF(Table1[[#This Row],[Is Data Valid]]=TRUE,_xlfn.NORM.S.DIST(Table1[[#This Row],[Birthweight Z-Score (BW+10%)]],TRUE)*100,"")</f>
        <v/>
      </c>
    </row>
    <row r="199" spans="1:12" x14ac:dyDescent="0.35">
      <c r="A199" s="3"/>
      <c r="B199" s="2"/>
      <c r="C199" s="2"/>
      <c r="D199" s="2" t="b">
        <f>IF(AND(NOT(ISBLANK(Table1[[#This Row],[Fetal Sex (Male, Female or Unknown)]])),ISNUMBER(Table1[[#This Row],[Birthweight (grams)]]),ISNUMBER(Table1[[#This Row],[Gestation (days)]])),TRUE,FALSE)</f>
        <v>0</v>
      </c>
      <c r="E199" s="2" t="str">
        <f>IF(Table1[[#This Row],[Is Data Valid]]=TRUE,IF(Table1[[#This Row],[Fetal Sex (Male, Female or Unknown)]]="Male",Backend!$C$6,IF(Table1[[#This Row],[Fetal Sex (Male, Female or Unknown)]]="Female",Backend!$C$7,IF(Table1[[#This Row],[Fetal Sex (Male, Female or Unknown)]]="Unknown",Backend!$C$8,"Error"))),"")</f>
        <v/>
      </c>
      <c r="F199" s="8" t="str">
        <f>IF(Table1[[#This Row],[Is Data Valid]]=TRUE,EXP(0.578+0.332*((Table1[[#This Row],[Gestation (days)]]+0.5)/7)-0.00354*((Table1[[#This Row],[Gestation (days)]]+0.5)/7)^2)*Table1[[#This Row],[BW40_3705]],"")</f>
        <v/>
      </c>
      <c r="G199" s="2" t="str">
        <f>IF(Table1[[#This Row],[Is Data Valid]]=TRUE,((Table1[[#This Row],[Birthweight (grams)]]/Table1[[#This Row],[BW_GA]])-1)/(Backend!$B$4/100*Table1[[#This Row],[BW40_3705]]),"")</f>
        <v/>
      </c>
      <c r="H199" s="7" t="str">
        <f>IF(Table1[[#This Row],[Is Data Valid]]=TRUE,((Table1[[#This Row],[Birthweight (grams)]]*0.9/Table1[[#This Row],[BW_GA]])-1)/(Backend!$B$4/100*Table1[[#This Row],[BW40_3705]]),"")</f>
        <v/>
      </c>
      <c r="I199" s="7" t="str">
        <f>IF(Table1[[#This Row],[Is Data Valid]]=TRUE,((Table1[[#This Row],[Birthweight (grams)]]*1.1/Table1[[#This Row],[BW_GA]])-1)/(Backend!$B$4/100*Table1[[#This Row],[BW40_3705]]),"")</f>
        <v/>
      </c>
      <c r="J199" s="7" t="str">
        <f>IF(Table1[[#This Row],[Is Data Valid]]=TRUE,_xlfn.NORM.S.DIST(Table1[[#This Row],[Birthweight Z-Score]],TRUE)*100,"")</f>
        <v/>
      </c>
      <c r="K199" s="7" t="str">
        <f>IF(Table1[[#This Row],[Is Data Valid]]=TRUE,_xlfn.NORM.S.DIST(Table1[[#This Row],[Birthweight Z-Score (BW-10%)]],TRUE)*100,"")</f>
        <v/>
      </c>
      <c r="L199" s="7" t="str">
        <f>IF(Table1[[#This Row],[Is Data Valid]]=TRUE,_xlfn.NORM.S.DIST(Table1[[#This Row],[Birthweight Z-Score (BW+10%)]],TRUE)*100,"")</f>
        <v/>
      </c>
    </row>
    <row r="200" spans="1:12" x14ac:dyDescent="0.35">
      <c r="A200" s="3"/>
      <c r="B200" s="2"/>
      <c r="C200" s="2"/>
      <c r="D200" s="2" t="b">
        <f>IF(AND(NOT(ISBLANK(Table1[[#This Row],[Fetal Sex (Male, Female or Unknown)]])),ISNUMBER(Table1[[#This Row],[Birthweight (grams)]]),ISNUMBER(Table1[[#This Row],[Gestation (days)]])),TRUE,FALSE)</f>
        <v>0</v>
      </c>
      <c r="E200" s="2" t="str">
        <f>IF(Table1[[#This Row],[Is Data Valid]]=TRUE,IF(Table1[[#This Row],[Fetal Sex (Male, Female or Unknown)]]="Male",Backend!$C$6,IF(Table1[[#This Row],[Fetal Sex (Male, Female or Unknown)]]="Female",Backend!$C$7,IF(Table1[[#This Row],[Fetal Sex (Male, Female or Unknown)]]="Unknown",Backend!$C$8,"Error"))),"")</f>
        <v/>
      </c>
      <c r="F200" s="8" t="str">
        <f>IF(Table1[[#This Row],[Is Data Valid]]=TRUE,EXP(0.578+0.332*((Table1[[#This Row],[Gestation (days)]]+0.5)/7)-0.00354*((Table1[[#This Row],[Gestation (days)]]+0.5)/7)^2)*Table1[[#This Row],[BW40_3705]],"")</f>
        <v/>
      </c>
      <c r="G200" s="2" t="str">
        <f>IF(Table1[[#This Row],[Is Data Valid]]=TRUE,((Table1[[#This Row],[Birthweight (grams)]]/Table1[[#This Row],[BW_GA]])-1)/(Backend!$B$4/100*Table1[[#This Row],[BW40_3705]]),"")</f>
        <v/>
      </c>
      <c r="H200" s="7" t="str">
        <f>IF(Table1[[#This Row],[Is Data Valid]]=TRUE,((Table1[[#This Row],[Birthweight (grams)]]*0.9/Table1[[#This Row],[BW_GA]])-1)/(Backend!$B$4/100*Table1[[#This Row],[BW40_3705]]),"")</f>
        <v/>
      </c>
      <c r="I200" s="7" t="str">
        <f>IF(Table1[[#This Row],[Is Data Valid]]=TRUE,((Table1[[#This Row],[Birthweight (grams)]]*1.1/Table1[[#This Row],[BW_GA]])-1)/(Backend!$B$4/100*Table1[[#This Row],[BW40_3705]]),"")</f>
        <v/>
      </c>
      <c r="J200" s="7" t="str">
        <f>IF(Table1[[#This Row],[Is Data Valid]]=TRUE,_xlfn.NORM.S.DIST(Table1[[#This Row],[Birthweight Z-Score]],TRUE)*100,"")</f>
        <v/>
      </c>
      <c r="K200" s="7" t="str">
        <f>IF(Table1[[#This Row],[Is Data Valid]]=TRUE,_xlfn.NORM.S.DIST(Table1[[#This Row],[Birthweight Z-Score (BW-10%)]],TRUE)*100,"")</f>
        <v/>
      </c>
      <c r="L200" s="7" t="str">
        <f>IF(Table1[[#This Row],[Is Data Valid]]=TRUE,_xlfn.NORM.S.DIST(Table1[[#This Row],[Birthweight Z-Score (BW+10%)]],TRUE)*100,"")</f>
        <v/>
      </c>
    </row>
    <row r="201" spans="1:12" x14ac:dyDescent="0.35">
      <c r="A201" s="3"/>
      <c r="B201" s="2"/>
      <c r="C201" s="2"/>
      <c r="D201" s="2" t="b">
        <f>IF(AND(NOT(ISBLANK(Table1[[#This Row],[Fetal Sex (Male, Female or Unknown)]])),ISNUMBER(Table1[[#This Row],[Birthweight (grams)]]),ISNUMBER(Table1[[#This Row],[Gestation (days)]])),TRUE,FALSE)</f>
        <v>0</v>
      </c>
      <c r="E201" s="2" t="str">
        <f>IF(Table1[[#This Row],[Is Data Valid]]=TRUE,IF(Table1[[#This Row],[Fetal Sex (Male, Female or Unknown)]]="Male",Backend!$C$6,IF(Table1[[#This Row],[Fetal Sex (Male, Female or Unknown)]]="Female",Backend!$C$7,IF(Table1[[#This Row],[Fetal Sex (Male, Female or Unknown)]]="Unknown",Backend!$C$8,"Error"))),"")</f>
        <v/>
      </c>
      <c r="F201" s="8" t="str">
        <f>IF(Table1[[#This Row],[Is Data Valid]]=TRUE,EXP(0.578+0.332*((Table1[[#This Row],[Gestation (days)]]+0.5)/7)-0.00354*((Table1[[#This Row],[Gestation (days)]]+0.5)/7)^2)*Table1[[#This Row],[BW40_3705]],"")</f>
        <v/>
      </c>
      <c r="G201" s="2" t="str">
        <f>IF(Table1[[#This Row],[Is Data Valid]]=TRUE,((Table1[[#This Row],[Birthweight (grams)]]/Table1[[#This Row],[BW_GA]])-1)/(Backend!$B$4/100*Table1[[#This Row],[BW40_3705]]),"")</f>
        <v/>
      </c>
      <c r="H201" s="7" t="str">
        <f>IF(Table1[[#This Row],[Is Data Valid]]=TRUE,((Table1[[#This Row],[Birthweight (grams)]]*0.9/Table1[[#This Row],[BW_GA]])-1)/(Backend!$B$4/100*Table1[[#This Row],[BW40_3705]]),"")</f>
        <v/>
      </c>
      <c r="I201" s="7" t="str">
        <f>IF(Table1[[#This Row],[Is Data Valid]]=TRUE,((Table1[[#This Row],[Birthweight (grams)]]*1.1/Table1[[#This Row],[BW_GA]])-1)/(Backend!$B$4/100*Table1[[#This Row],[BW40_3705]]),"")</f>
        <v/>
      </c>
      <c r="J201" s="7" t="str">
        <f>IF(Table1[[#This Row],[Is Data Valid]]=TRUE,_xlfn.NORM.S.DIST(Table1[[#This Row],[Birthweight Z-Score]],TRUE)*100,"")</f>
        <v/>
      </c>
      <c r="K201" s="7" t="str">
        <f>IF(Table1[[#This Row],[Is Data Valid]]=TRUE,_xlfn.NORM.S.DIST(Table1[[#This Row],[Birthweight Z-Score (BW-10%)]],TRUE)*100,"")</f>
        <v/>
      </c>
      <c r="L201" s="7" t="str">
        <f>IF(Table1[[#This Row],[Is Data Valid]]=TRUE,_xlfn.NORM.S.DIST(Table1[[#This Row],[Birthweight Z-Score (BW+10%)]],TRUE)*100,"")</f>
        <v/>
      </c>
    </row>
    <row r="202" spans="1:12" x14ac:dyDescent="0.35">
      <c r="A202" s="3"/>
      <c r="B202" s="2"/>
      <c r="C202" s="2"/>
      <c r="D202" s="2" t="b">
        <f>IF(AND(NOT(ISBLANK(Table1[[#This Row],[Fetal Sex (Male, Female or Unknown)]])),ISNUMBER(Table1[[#This Row],[Birthweight (grams)]]),ISNUMBER(Table1[[#This Row],[Gestation (days)]])),TRUE,FALSE)</f>
        <v>0</v>
      </c>
      <c r="E202" s="2" t="str">
        <f>IF(Table1[[#This Row],[Is Data Valid]]=TRUE,IF(Table1[[#This Row],[Fetal Sex (Male, Female or Unknown)]]="Male",Backend!$C$6,IF(Table1[[#This Row],[Fetal Sex (Male, Female or Unknown)]]="Female",Backend!$C$7,IF(Table1[[#This Row],[Fetal Sex (Male, Female or Unknown)]]="Unknown",Backend!$C$8,"Error"))),"")</f>
        <v/>
      </c>
      <c r="F202" s="8" t="str">
        <f>IF(Table1[[#This Row],[Is Data Valid]]=TRUE,EXP(0.578+0.332*((Table1[[#This Row],[Gestation (days)]]+0.5)/7)-0.00354*((Table1[[#This Row],[Gestation (days)]]+0.5)/7)^2)*Table1[[#This Row],[BW40_3705]],"")</f>
        <v/>
      </c>
      <c r="G202" s="2" t="str">
        <f>IF(Table1[[#This Row],[Is Data Valid]]=TRUE,((Table1[[#This Row],[Birthweight (grams)]]/Table1[[#This Row],[BW_GA]])-1)/(Backend!$B$4/100*Table1[[#This Row],[BW40_3705]]),"")</f>
        <v/>
      </c>
      <c r="H202" s="7" t="str">
        <f>IF(Table1[[#This Row],[Is Data Valid]]=TRUE,((Table1[[#This Row],[Birthweight (grams)]]*0.9/Table1[[#This Row],[BW_GA]])-1)/(Backend!$B$4/100*Table1[[#This Row],[BW40_3705]]),"")</f>
        <v/>
      </c>
      <c r="I202" s="7" t="str">
        <f>IF(Table1[[#This Row],[Is Data Valid]]=TRUE,((Table1[[#This Row],[Birthweight (grams)]]*1.1/Table1[[#This Row],[BW_GA]])-1)/(Backend!$B$4/100*Table1[[#This Row],[BW40_3705]]),"")</f>
        <v/>
      </c>
      <c r="J202" s="7" t="str">
        <f>IF(Table1[[#This Row],[Is Data Valid]]=TRUE,_xlfn.NORM.S.DIST(Table1[[#This Row],[Birthweight Z-Score]],TRUE)*100,"")</f>
        <v/>
      </c>
      <c r="K202" s="7" t="str">
        <f>IF(Table1[[#This Row],[Is Data Valid]]=TRUE,_xlfn.NORM.S.DIST(Table1[[#This Row],[Birthweight Z-Score (BW-10%)]],TRUE)*100,"")</f>
        <v/>
      </c>
      <c r="L202" s="7" t="str">
        <f>IF(Table1[[#This Row],[Is Data Valid]]=TRUE,_xlfn.NORM.S.DIST(Table1[[#This Row],[Birthweight Z-Score (BW+10%)]],TRUE)*100,"")</f>
        <v/>
      </c>
    </row>
    <row r="203" spans="1:12" x14ac:dyDescent="0.35">
      <c r="A203" s="3"/>
      <c r="B203" s="2"/>
      <c r="C203" s="2"/>
      <c r="D203" s="2" t="b">
        <f>IF(AND(NOT(ISBLANK(Table1[[#This Row],[Fetal Sex (Male, Female or Unknown)]])),ISNUMBER(Table1[[#This Row],[Birthweight (grams)]]),ISNUMBER(Table1[[#This Row],[Gestation (days)]])),TRUE,FALSE)</f>
        <v>0</v>
      </c>
      <c r="E203" s="2" t="str">
        <f>IF(Table1[[#This Row],[Is Data Valid]]=TRUE,IF(Table1[[#This Row],[Fetal Sex (Male, Female or Unknown)]]="Male",Backend!$C$6,IF(Table1[[#This Row],[Fetal Sex (Male, Female or Unknown)]]="Female",Backend!$C$7,IF(Table1[[#This Row],[Fetal Sex (Male, Female or Unknown)]]="Unknown",Backend!$C$8,"Error"))),"")</f>
        <v/>
      </c>
      <c r="F203" s="8" t="str">
        <f>IF(Table1[[#This Row],[Is Data Valid]]=TRUE,EXP(0.578+0.332*((Table1[[#This Row],[Gestation (days)]]+0.5)/7)-0.00354*((Table1[[#This Row],[Gestation (days)]]+0.5)/7)^2)*Table1[[#This Row],[BW40_3705]],"")</f>
        <v/>
      </c>
      <c r="G203" s="2" t="str">
        <f>IF(Table1[[#This Row],[Is Data Valid]]=TRUE,((Table1[[#This Row],[Birthweight (grams)]]/Table1[[#This Row],[BW_GA]])-1)/(Backend!$B$4/100*Table1[[#This Row],[BW40_3705]]),"")</f>
        <v/>
      </c>
      <c r="H203" s="7" t="str">
        <f>IF(Table1[[#This Row],[Is Data Valid]]=TRUE,((Table1[[#This Row],[Birthweight (grams)]]*0.9/Table1[[#This Row],[BW_GA]])-1)/(Backend!$B$4/100*Table1[[#This Row],[BW40_3705]]),"")</f>
        <v/>
      </c>
      <c r="I203" s="7" t="str">
        <f>IF(Table1[[#This Row],[Is Data Valid]]=TRUE,((Table1[[#This Row],[Birthweight (grams)]]*1.1/Table1[[#This Row],[BW_GA]])-1)/(Backend!$B$4/100*Table1[[#This Row],[BW40_3705]]),"")</f>
        <v/>
      </c>
      <c r="J203" s="7" t="str">
        <f>IF(Table1[[#This Row],[Is Data Valid]]=TRUE,_xlfn.NORM.S.DIST(Table1[[#This Row],[Birthweight Z-Score]],TRUE)*100,"")</f>
        <v/>
      </c>
      <c r="K203" s="7" t="str">
        <f>IF(Table1[[#This Row],[Is Data Valid]]=TRUE,_xlfn.NORM.S.DIST(Table1[[#This Row],[Birthweight Z-Score (BW-10%)]],TRUE)*100,"")</f>
        <v/>
      </c>
      <c r="L203" s="7" t="str">
        <f>IF(Table1[[#This Row],[Is Data Valid]]=TRUE,_xlfn.NORM.S.DIST(Table1[[#This Row],[Birthweight Z-Score (BW+10%)]],TRUE)*100,"")</f>
        <v/>
      </c>
    </row>
    <row r="204" spans="1:12" x14ac:dyDescent="0.35">
      <c r="A204" s="3"/>
      <c r="B204" s="2"/>
      <c r="C204" s="2"/>
      <c r="D204" s="2" t="b">
        <f>IF(AND(NOT(ISBLANK(Table1[[#This Row],[Fetal Sex (Male, Female or Unknown)]])),ISNUMBER(Table1[[#This Row],[Birthweight (grams)]]),ISNUMBER(Table1[[#This Row],[Gestation (days)]])),TRUE,FALSE)</f>
        <v>0</v>
      </c>
      <c r="E204" s="2" t="str">
        <f>IF(Table1[[#This Row],[Is Data Valid]]=TRUE,IF(Table1[[#This Row],[Fetal Sex (Male, Female or Unknown)]]="Male",Backend!$C$6,IF(Table1[[#This Row],[Fetal Sex (Male, Female or Unknown)]]="Female",Backend!$C$7,IF(Table1[[#This Row],[Fetal Sex (Male, Female or Unknown)]]="Unknown",Backend!$C$8,"Error"))),"")</f>
        <v/>
      </c>
      <c r="F204" s="8" t="str">
        <f>IF(Table1[[#This Row],[Is Data Valid]]=TRUE,EXP(0.578+0.332*((Table1[[#This Row],[Gestation (days)]]+0.5)/7)-0.00354*((Table1[[#This Row],[Gestation (days)]]+0.5)/7)^2)*Table1[[#This Row],[BW40_3705]],"")</f>
        <v/>
      </c>
      <c r="G204" s="2" t="str">
        <f>IF(Table1[[#This Row],[Is Data Valid]]=TRUE,((Table1[[#This Row],[Birthweight (grams)]]/Table1[[#This Row],[BW_GA]])-1)/(Backend!$B$4/100*Table1[[#This Row],[BW40_3705]]),"")</f>
        <v/>
      </c>
      <c r="H204" s="7" t="str">
        <f>IF(Table1[[#This Row],[Is Data Valid]]=TRUE,((Table1[[#This Row],[Birthweight (grams)]]*0.9/Table1[[#This Row],[BW_GA]])-1)/(Backend!$B$4/100*Table1[[#This Row],[BW40_3705]]),"")</f>
        <v/>
      </c>
      <c r="I204" s="7" t="str">
        <f>IF(Table1[[#This Row],[Is Data Valid]]=TRUE,((Table1[[#This Row],[Birthweight (grams)]]*1.1/Table1[[#This Row],[BW_GA]])-1)/(Backend!$B$4/100*Table1[[#This Row],[BW40_3705]]),"")</f>
        <v/>
      </c>
      <c r="J204" s="7" t="str">
        <f>IF(Table1[[#This Row],[Is Data Valid]]=TRUE,_xlfn.NORM.S.DIST(Table1[[#This Row],[Birthweight Z-Score]],TRUE)*100,"")</f>
        <v/>
      </c>
      <c r="K204" s="7" t="str">
        <f>IF(Table1[[#This Row],[Is Data Valid]]=TRUE,_xlfn.NORM.S.DIST(Table1[[#This Row],[Birthweight Z-Score (BW-10%)]],TRUE)*100,"")</f>
        <v/>
      </c>
      <c r="L204" s="7" t="str">
        <f>IF(Table1[[#This Row],[Is Data Valid]]=TRUE,_xlfn.NORM.S.DIST(Table1[[#This Row],[Birthweight Z-Score (BW+10%)]],TRUE)*100,"")</f>
        <v/>
      </c>
    </row>
    <row r="205" spans="1:12" x14ac:dyDescent="0.35">
      <c r="A205" s="3"/>
      <c r="B205" s="2"/>
      <c r="C205" s="2"/>
      <c r="D205" s="2" t="b">
        <f>IF(AND(NOT(ISBLANK(Table1[[#This Row],[Fetal Sex (Male, Female or Unknown)]])),ISNUMBER(Table1[[#This Row],[Birthweight (grams)]]),ISNUMBER(Table1[[#This Row],[Gestation (days)]])),TRUE,FALSE)</f>
        <v>0</v>
      </c>
      <c r="E205" s="2" t="str">
        <f>IF(Table1[[#This Row],[Is Data Valid]]=TRUE,IF(Table1[[#This Row],[Fetal Sex (Male, Female or Unknown)]]="Male",Backend!$C$6,IF(Table1[[#This Row],[Fetal Sex (Male, Female or Unknown)]]="Female",Backend!$C$7,IF(Table1[[#This Row],[Fetal Sex (Male, Female or Unknown)]]="Unknown",Backend!$C$8,"Error"))),"")</f>
        <v/>
      </c>
      <c r="F205" s="8" t="str">
        <f>IF(Table1[[#This Row],[Is Data Valid]]=TRUE,EXP(0.578+0.332*((Table1[[#This Row],[Gestation (days)]]+0.5)/7)-0.00354*((Table1[[#This Row],[Gestation (days)]]+0.5)/7)^2)*Table1[[#This Row],[BW40_3705]],"")</f>
        <v/>
      </c>
      <c r="G205" s="2" t="str">
        <f>IF(Table1[[#This Row],[Is Data Valid]]=TRUE,((Table1[[#This Row],[Birthweight (grams)]]/Table1[[#This Row],[BW_GA]])-1)/(Backend!$B$4/100*Table1[[#This Row],[BW40_3705]]),"")</f>
        <v/>
      </c>
      <c r="H205" s="7" t="str">
        <f>IF(Table1[[#This Row],[Is Data Valid]]=TRUE,((Table1[[#This Row],[Birthweight (grams)]]*0.9/Table1[[#This Row],[BW_GA]])-1)/(Backend!$B$4/100*Table1[[#This Row],[BW40_3705]]),"")</f>
        <v/>
      </c>
      <c r="I205" s="7" t="str">
        <f>IF(Table1[[#This Row],[Is Data Valid]]=TRUE,((Table1[[#This Row],[Birthweight (grams)]]*1.1/Table1[[#This Row],[BW_GA]])-1)/(Backend!$B$4/100*Table1[[#This Row],[BW40_3705]]),"")</f>
        <v/>
      </c>
      <c r="J205" s="7" t="str">
        <f>IF(Table1[[#This Row],[Is Data Valid]]=TRUE,_xlfn.NORM.S.DIST(Table1[[#This Row],[Birthweight Z-Score]],TRUE)*100,"")</f>
        <v/>
      </c>
      <c r="K205" s="7" t="str">
        <f>IF(Table1[[#This Row],[Is Data Valid]]=TRUE,_xlfn.NORM.S.DIST(Table1[[#This Row],[Birthweight Z-Score (BW-10%)]],TRUE)*100,"")</f>
        <v/>
      </c>
      <c r="L205" s="7" t="str">
        <f>IF(Table1[[#This Row],[Is Data Valid]]=TRUE,_xlfn.NORM.S.DIST(Table1[[#This Row],[Birthweight Z-Score (BW+10%)]],TRUE)*100,"")</f>
        <v/>
      </c>
    </row>
    <row r="206" spans="1:12" x14ac:dyDescent="0.35">
      <c r="A206" s="3"/>
      <c r="B206" s="2"/>
      <c r="C206" s="2"/>
      <c r="D206" s="2" t="b">
        <f>IF(AND(NOT(ISBLANK(Table1[[#This Row],[Fetal Sex (Male, Female or Unknown)]])),ISNUMBER(Table1[[#This Row],[Birthweight (grams)]]),ISNUMBER(Table1[[#This Row],[Gestation (days)]])),TRUE,FALSE)</f>
        <v>0</v>
      </c>
      <c r="E206" s="2" t="str">
        <f>IF(Table1[[#This Row],[Is Data Valid]]=TRUE,IF(Table1[[#This Row],[Fetal Sex (Male, Female or Unknown)]]="Male",Backend!$C$6,IF(Table1[[#This Row],[Fetal Sex (Male, Female or Unknown)]]="Female",Backend!$C$7,IF(Table1[[#This Row],[Fetal Sex (Male, Female or Unknown)]]="Unknown",Backend!$C$8,"Error"))),"")</f>
        <v/>
      </c>
      <c r="F206" s="8" t="str">
        <f>IF(Table1[[#This Row],[Is Data Valid]]=TRUE,EXP(0.578+0.332*((Table1[[#This Row],[Gestation (days)]]+0.5)/7)-0.00354*((Table1[[#This Row],[Gestation (days)]]+0.5)/7)^2)*Table1[[#This Row],[BW40_3705]],"")</f>
        <v/>
      </c>
      <c r="G206" s="2" t="str">
        <f>IF(Table1[[#This Row],[Is Data Valid]]=TRUE,((Table1[[#This Row],[Birthweight (grams)]]/Table1[[#This Row],[BW_GA]])-1)/(Backend!$B$4/100*Table1[[#This Row],[BW40_3705]]),"")</f>
        <v/>
      </c>
      <c r="H206" s="7" t="str">
        <f>IF(Table1[[#This Row],[Is Data Valid]]=TRUE,((Table1[[#This Row],[Birthweight (grams)]]*0.9/Table1[[#This Row],[BW_GA]])-1)/(Backend!$B$4/100*Table1[[#This Row],[BW40_3705]]),"")</f>
        <v/>
      </c>
      <c r="I206" s="7" t="str">
        <f>IF(Table1[[#This Row],[Is Data Valid]]=TRUE,((Table1[[#This Row],[Birthweight (grams)]]*1.1/Table1[[#This Row],[BW_GA]])-1)/(Backend!$B$4/100*Table1[[#This Row],[BW40_3705]]),"")</f>
        <v/>
      </c>
      <c r="J206" s="7" t="str">
        <f>IF(Table1[[#This Row],[Is Data Valid]]=TRUE,_xlfn.NORM.S.DIST(Table1[[#This Row],[Birthweight Z-Score]],TRUE)*100,"")</f>
        <v/>
      </c>
      <c r="K206" s="7" t="str">
        <f>IF(Table1[[#This Row],[Is Data Valid]]=TRUE,_xlfn.NORM.S.DIST(Table1[[#This Row],[Birthweight Z-Score (BW-10%)]],TRUE)*100,"")</f>
        <v/>
      </c>
      <c r="L206" s="7" t="str">
        <f>IF(Table1[[#This Row],[Is Data Valid]]=TRUE,_xlfn.NORM.S.DIST(Table1[[#This Row],[Birthweight Z-Score (BW+10%)]],TRUE)*100,"")</f>
        <v/>
      </c>
    </row>
    <row r="207" spans="1:12" x14ac:dyDescent="0.35">
      <c r="A207" s="3"/>
      <c r="B207" s="2"/>
      <c r="C207" s="2"/>
      <c r="D207" s="2" t="b">
        <f>IF(AND(NOT(ISBLANK(Table1[[#This Row],[Fetal Sex (Male, Female or Unknown)]])),ISNUMBER(Table1[[#This Row],[Birthweight (grams)]]),ISNUMBER(Table1[[#This Row],[Gestation (days)]])),TRUE,FALSE)</f>
        <v>0</v>
      </c>
      <c r="E207" s="2" t="str">
        <f>IF(Table1[[#This Row],[Is Data Valid]]=TRUE,IF(Table1[[#This Row],[Fetal Sex (Male, Female or Unknown)]]="Male",Backend!$C$6,IF(Table1[[#This Row],[Fetal Sex (Male, Female or Unknown)]]="Female",Backend!$C$7,IF(Table1[[#This Row],[Fetal Sex (Male, Female or Unknown)]]="Unknown",Backend!$C$8,"Error"))),"")</f>
        <v/>
      </c>
      <c r="F207" s="8" t="str">
        <f>IF(Table1[[#This Row],[Is Data Valid]]=TRUE,EXP(0.578+0.332*((Table1[[#This Row],[Gestation (days)]]+0.5)/7)-0.00354*((Table1[[#This Row],[Gestation (days)]]+0.5)/7)^2)*Table1[[#This Row],[BW40_3705]],"")</f>
        <v/>
      </c>
      <c r="G207" s="2" t="str">
        <f>IF(Table1[[#This Row],[Is Data Valid]]=TRUE,((Table1[[#This Row],[Birthweight (grams)]]/Table1[[#This Row],[BW_GA]])-1)/(Backend!$B$4/100*Table1[[#This Row],[BW40_3705]]),"")</f>
        <v/>
      </c>
      <c r="H207" s="7" t="str">
        <f>IF(Table1[[#This Row],[Is Data Valid]]=TRUE,((Table1[[#This Row],[Birthweight (grams)]]*0.9/Table1[[#This Row],[BW_GA]])-1)/(Backend!$B$4/100*Table1[[#This Row],[BW40_3705]]),"")</f>
        <v/>
      </c>
      <c r="I207" s="7" t="str">
        <f>IF(Table1[[#This Row],[Is Data Valid]]=TRUE,((Table1[[#This Row],[Birthweight (grams)]]*1.1/Table1[[#This Row],[BW_GA]])-1)/(Backend!$B$4/100*Table1[[#This Row],[BW40_3705]]),"")</f>
        <v/>
      </c>
      <c r="J207" s="7" t="str">
        <f>IF(Table1[[#This Row],[Is Data Valid]]=TRUE,_xlfn.NORM.S.DIST(Table1[[#This Row],[Birthweight Z-Score]],TRUE)*100,"")</f>
        <v/>
      </c>
      <c r="K207" s="7" t="str">
        <f>IF(Table1[[#This Row],[Is Data Valid]]=TRUE,_xlfn.NORM.S.DIST(Table1[[#This Row],[Birthweight Z-Score (BW-10%)]],TRUE)*100,"")</f>
        <v/>
      </c>
      <c r="L207" s="7" t="str">
        <f>IF(Table1[[#This Row],[Is Data Valid]]=TRUE,_xlfn.NORM.S.DIST(Table1[[#This Row],[Birthweight Z-Score (BW+10%)]],TRUE)*100,"")</f>
        <v/>
      </c>
    </row>
    <row r="208" spans="1:12" x14ac:dyDescent="0.35">
      <c r="A208" s="3"/>
      <c r="B208" s="2"/>
      <c r="C208" s="2"/>
      <c r="D208" s="2" t="b">
        <f>IF(AND(NOT(ISBLANK(Table1[[#This Row],[Fetal Sex (Male, Female or Unknown)]])),ISNUMBER(Table1[[#This Row],[Birthweight (grams)]]),ISNUMBER(Table1[[#This Row],[Gestation (days)]])),TRUE,FALSE)</f>
        <v>0</v>
      </c>
      <c r="E208" s="2" t="str">
        <f>IF(Table1[[#This Row],[Is Data Valid]]=TRUE,IF(Table1[[#This Row],[Fetal Sex (Male, Female or Unknown)]]="Male",Backend!$C$6,IF(Table1[[#This Row],[Fetal Sex (Male, Female or Unknown)]]="Female",Backend!$C$7,IF(Table1[[#This Row],[Fetal Sex (Male, Female or Unknown)]]="Unknown",Backend!$C$8,"Error"))),"")</f>
        <v/>
      </c>
      <c r="F208" s="8" t="str">
        <f>IF(Table1[[#This Row],[Is Data Valid]]=TRUE,EXP(0.578+0.332*((Table1[[#This Row],[Gestation (days)]]+0.5)/7)-0.00354*((Table1[[#This Row],[Gestation (days)]]+0.5)/7)^2)*Table1[[#This Row],[BW40_3705]],"")</f>
        <v/>
      </c>
      <c r="G208" s="2" t="str">
        <f>IF(Table1[[#This Row],[Is Data Valid]]=TRUE,((Table1[[#This Row],[Birthweight (grams)]]/Table1[[#This Row],[BW_GA]])-1)/(Backend!$B$4/100*Table1[[#This Row],[BW40_3705]]),"")</f>
        <v/>
      </c>
      <c r="H208" s="7" t="str">
        <f>IF(Table1[[#This Row],[Is Data Valid]]=TRUE,((Table1[[#This Row],[Birthweight (grams)]]*0.9/Table1[[#This Row],[BW_GA]])-1)/(Backend!$B$4/100*Table1[[#This Row],[BW40_3705]]),"")</f>
        <v/>
      </c>
      <c r="I208" s="7" t="str">
        <f>IF(Table1[[#This Row],[Is Data Valid]]=TRUE,((Table1[[#This Row],[Birthweight (grams)]]*1.1/Table1[[#This Row],[BW_GA]])-1)/(Backend!$B$4/100*Table1[[#This Row],[BW40_3705]]),"")</f>
        <v/>
      </c>
      <c r="J208" s="7" t="str">
        <f>IF(Table1[[#This Row],[Is Data Valid]]=TRUE,_xlfn.NORM.S.DIST(Table1[[#This Row],[Birthweight Z-Score]],TRUE)*100,"")</f>
        <v/>
      </c>
      <c r="K208" s="7" t="str">
        <f>IF(Table1[[#This Row],[Is Data Valid]]=TRUE,_xlfn.NORM.S.DIST(Table1[[#This Row],[Birthweight Z-Score (BW-10%)]],TRUE)*100,"")</f>
        <v/>
      </c>
      <c r="L208" s="7" t="str">
        <f>IF(Table1[[#This Row],[Is Data Valid]]=TRUE,_xlfn.NORM.S.DIST(Table1[[#This Row],[Birthweight Z-Score (BW+10%)]],TRUE)*100,"")</f>
        <v/>
      </c>
    </row>
    <row r="209" spans="1:12" x14ac:dyDescent="0.35">
      <c r="A209" s="3"/>
      <c r="B209" s="2"/>
      <c r="C209" s="2"/>
      <c r="D209" s="2" t="b">
        <f>IF(AND(NOT(ISBLANK(Table1[[#This Row],[Fetal Sex (Male, Female or Unknown)]])),ISNUMBER(Table1[[#This Row],[Birthweight (grams)]]),ISNUMBER(Table1[[#This Row],[Gestation (days)]])),TRUE,FALSE)</f>
        <v>0</v>
      </c>
      <c r="E209" s="2" t="str">
        <f>IF(Table1[[#This Row],[Is Data Valid]]=TRUE,IF(Table1[[#This Row],[Fetal Sex (Male, Female or Unknown)]]="Male",Backend!$C$6,IF(Table1[[#This Row],[Fetal Sex (Male, Female or Unknown)]]="Female",Backend!$C$7,IF(Table1[[#This Row],[Fetal Sex (Male, Female or Unknown)]]="Unknown",Backend!$C$8,"Error"))),"")</f>
        <v/>
      </c>
      <c r="F209" s="8" t="str">
        <f>IF(Table1[[#This Row],[Is Data Valid]]=TRUE,EXP(0.578+0.332*((Table1[[#This Row],[Gestation (days)]]+0.5)/7)-0.00354*((Table1[[#This Row],[Gestation (days)]]+0.5)/7)^2)*Table1[[#This Row],[BW40_3705]],"")</f>
        <v/>
      </c>
      <c r="G209" s="2" t="str">
        <f>IF(Table1[[#This Row],[Is Data Valid]]=TRUE,((Table1[[#This Row],[Birthweight (grams)]]/Table1[[#This Row],[BW_GA]])-1)/(Backend!$B$4/100*Table1[[#This Row],[BW40_3705]]),"")</f>
        <v/>
      </c>
      <c r="H209" s="7" t="str">
        <f>IF(Table1[[#This Row],[Is Data Valid]]=TRUE,((Table1[[#This Row],[Birthweight (grams)]]*0.9/Table1[[#This Row],[BW_GA]])-1)/(Backend!$B$4/100*Table1[[#This Row],[BW40_3705]]),"")</f>
        <v/>
      </c>
      <c r="I209" s="7" t="str">
        <f>IF(Table1[[#This Row],[Is Data Valid]]=TRUE,((Table1[[#This Row],[Birthweight (grams)]]*1.1/Table1[[#This Row],[BW_GA]])-1)/(Backend!$B$4/100*Table1[[#This Row],[BW40_3705]]),"")</f>
        <v/>
      </c>
      <c r="J209" s="7" t="str">
        <f>IF(Table1[[#This Row],[Is Data Valid]]=TRUE,_xlfn.NORM.S.DIST(Table1[[#This Row],[Birthweight Z-Score]],TRUE)*100,"")</f>
        <v/>
      </c>
      <c r="K209" s="7" t="str">
        <f>IF(Table1[[#This Row],[Is Data Valid]]=TRUE,_xlfn.NORM.S.DIST(Table1[[#This Row],[Birthweight Z-Score (BW-10%)]],TRUE)*100,"")</f>
        <v/>
      </c>
      <c r="L209" s="7" t="str">
        <f>IF(Table1[[#This Row],[Is Data Valid]]=TRUE,_xlfn.NORM.S.DIST(Table1[[#This Row],[Birthweight Z-Score (BW+10%)]],TRUE)*100,"")</f>
        <v/>
      </c>
    </row>
    <row r="210" spans="1:12" x14ac:dyDescent="0.35">
      <c r="A210" s="3"/>
      <c r="B210" s="2"/>
      <c r="C210" s="2"/>
      <c r="D210" s="2" t="b">
        <f>IF(AND(NOT(ISBLANK(Table1[[#This Row],[Fetal Sex (Male, Female or Unknown)]])),ISNUMBER(Table1[[#This Row],[Birthweight (grams)]]),ISNUMBER(Table1[[#This Row],[Gestation (days)]])),TRUE,FALSE)</f>
        <v>0</v>
      </c>
      <c r="E210" s="2" t="str">
        <f>IF(Table1[[#This Row],[Is Data Valid]]=TRUE,IF(Table1[[#This Row],[Fetal Sex (Male, Female or Unknown)]]="Male",Backend!$C$6,IF(Table1[[#This Row],[Fetal Sex (Male, Female or Unknown)]]="Female",Backend!$C$7,IF(Table1[[#This Row],[Fetal Sex (Male, Female or Unknown)]]="Unknown",Backend!$C$8,"Error"))),"")</f>
        <v/>
      </c>
      <c r="F210" s="8" t="str">
        <f>IF(Table1[[#This Row],[Is Data Valid]]=TRUE,EXP(0.578+0.332*((Table1[[#This Row],[Gestation (days)]]+0.5)/7)-0.00354*((Table1[[#This Row],[Gestation (days)]]+0.5)/7)^2)*Table1[[#This Row],[BW40_3705]],"")</f>
        <v/>
      </c>
      <c r="G210" s="2" t="str">
        <f>IF(Table1[[#This Row],[Is Data Valid]]=TRUE,((Table1[[#This Row],[Birthweight (grams)]]/Table1[[#This Row],[BW_GA]])-1)/(Backend!$B$4/100*Table1[[#This Row],[BW40_3705]]),"")</f>
        <v/>
      </c>
      <c r="H210" s="7" t="str">
        <f>IF(Table1[[#This Row],[Is Data Valid]]=TRUE,((Table1[[#This Row],[Birthweight (grams)]]*0.9/Table1[[#This Row],[BW_GA]])-1)/(Backend!$B$4/100*Table1[[#This Row],[BW40_3705]]),"")</f>
        <v/>
      </c>
      <c r="I210" s="7" t="str">
        <f>IF(Table1[[#This Row],[Is Data Valid]]=TRUE,((Table1[[#This Row],[Birthweight (grams)]]*1.1/Table1[[#This Row],[BW_GA]])-1)/(Backend!$B$4/100*Table1[[#This Row],[BW40_3705]]),"")</f>
        <v/>
      </c>
      <c r="J210" s="7" t="str">
        <f>IF(Table1[[#This Row],[Is Data Valid]]=TRUE,_xlfn.NORM.S.DIST(Table1[[#This Row],[Birthweight Z-Score]],TRUE)*100,"")</f>
        <v/>
      </c>
      <c r="K210" s="7" t="str">
        <f>IF(Table1[[#This Row],[Is Data Valid]]=TRUE,_xlfn.NORM.S.DIST(Table1[[#This Row],[Birthweight Z-Score (BW-10%)]],TRUE)*100,"")</f>
        <v/>
      </c>
      <c r="L210" s="7" t="str">
        <f>IF(Table1[[#This Row],[Is Data Valid]]=TRUE,_xlfn.NORM.S.DIST(Table1[[#This Row],[Birthweight Z-Score (BW+10%)]],TRUE)*100,"")</f>
        <v/>
      </c>
    </row>
    <row r="211" spans="1:12" x14ac:dyDescent="0.35">
      <c r="A211" s="3"/>
      <c r="B211" s="2"/>
      <c r="C211" s="2"/>
      <c r="D211" s="2" t="b">
        <f>IF(AND(NOT(ISBLANK(Table1[[#This Row],[Fetal Sex (Male, Female or Unknown)]])),ISNUMBER(Table1[[#This Row],[Birthweight (grams)]]),ISNUMBER(Table1[[#This Row],[Gestation (days)]])),TRUE,FALSE)</f>
        <v>0</v>
      </c>
      <c r="E211" s="2" t="str">
        <f>IF(Table1[[#This Row],[Is Data Valid]]=TRUE,IF(Table1[[#This Row],[Fetal Sex (Male, Female or Unknown)]]="Male",Backend!$C$6,IF(Table1[[#This Row],[Fetal Sex (Male, Female or Unknown)]]="Female",Backend!$C$7,IF(Table1[[#This Row],[Fetal Sex (Male, Female or Unknown)]]="Unknown",Backend!$C$8,"Error"))),"")</f>
        <v/>
      </c>
      <c r="F211" s="8" t="str">
        <f>IF(Table1[[#This Row],[Is Data Valid]]=TRUE,EXP(0.578+0.332*((Table1[[#This Row],[Gestation (days)]]+0.5)/7)-0.00354*((Table1[[#This Row],[Gestation (days)]]+0.5)/7)^2)*Table1[[#This Row],[BW40_3705]],"")</f>
        <v/>
      </c>
      <c r="G211" s="2" t="str">
        <f>IF(Table1[[#This Row],[Is Data Valid]]=TRUE,((Table1[[#This Row],[Birthweight (grams)]]/Table1[[#This Row],[BW_GA]])-1)/(Backend!$B$4/100*Table1[[#This Row],[BW40_3705]]),"")</f>
        <v/>
      </c>
      <c r="H211" s="7" t="str">
        <f>IF(Table1[[#This Row],[Is Data Valid]]=TRUE,((Table1[[#This Row],[Birthweight (grams)]]*0.9/Table1[[#This Row],[BW_GA]])-1)/(Backend!$B$4/100*Table1[[#This Row],[BW40_3705]]),"")</f>
        <v/>
      </c>
      <c r="I211" s="7" t="str">
        <f>IF(Table1[[#This Row],[Is Data Valid]]=TRUE,((Table1[[#This Row],[Birthweight (grams)]]*1.1/Table1[[#This Row],[BW_GA]])-1)/(Backend!$B$4/100*Table1[[#This Row],[BW40_3705]]),"")</f>
        <v/>
      </c>
      <c r="J211" s="7" t="str">
        <f>IF(Table1[[#This Row],[Is Data Valid]]=TRUE,_xlfn.NORM.S.DIST(Table1[[#This Row],[Birthweight Z-Score]],TRUE)*100,"")</f>
        <v/>
      </c>
      <c r="K211" s="7" t="str">
        <f>IF(Table1[[#This Row],[Is Data Valid]]=TRUE,_xlfn.NORM.S.DIST(Table1[[#This Row],[Birthweight Z-Score (BW-10%)]],TRUE)*100,"")</f>
        <v/>
      </c>
      <c r="L211" s="7" t="str">
        <f>IF(Table1[[#This Row],[Is Data Valid]]=TRUE,_xlfn.NORM.S.DIST(Table1[[#This Row],[Birthweight Z-Score (BW+10%)]],TRUE)*100,"")</f>
        <v/>
      </c>
    </row>
    <row r="212" spans="1:12" x14ac:dyDescent="0.35">
      <c r="A212" s="3"/>
      <c r="B212" s="2"/>
      <c r="C212" s="2"/>
      <c r="D212" s="2" t="b">
        <f>IF(AND(NOT(ISBLANK(Table1[[#This Row],[Fetal Sex (Male, Female or Unknown)]])),ISNUMBER(Table1[[#This Row],[Birthweight (grams)]]),ISNUMBER(Table1[[#This Row],[Gestation (days)]])),TRUE,FALSE)</f>
        <v>0</v>
      </c>
      <c r="E212" s="2" t="str">
        <f>IF(Table1[[#This Row],[Is Data Valid]]=TRUE,IF(Table1[[#This Row],[Fetal Sex (Male, Female or Unknown)]]="Male",Backend!$C$6,IF(Table1[[#This Row],[Fetal Sex (Male, Female or Unknown)]]="Female",Backend!$C$7,IF(Table1[[#This Row],[Fetal Sex (Male, Female or Unknown)]]="Unknown",Backend!$C$8,"Error"))),"")</f>
        <v/>
      </c>
      <c r="F212" s="8" t="str">
        <f>IF(Table1[[#This Row],[Is Data Valid]]=TRUE,EXP(0.578+0.332*((Table1[[#This Row],[Gestation (days)]]+0.5)/7)-0.00354*((Table1[[#This Row],[Gestation (days)]]+0.5)/7)^2)*Table1[[#This Row],[BW40_3705]],"")</f>
        <v/>
      </c>
      <c r="G212" s="2" t="str">
        <f>IF(Table1[[#This Row],[Is Data Valid]]=TRUE,((Table1[[#This Row],[Birthweight (grams)]]/Table1[[#This Row],[BW_GA]])-1)/(Backend!$B$4/100*Table1[[#This Row],[BW40_3705]]),"")</f>
        <v/>
      </c>
      <c r="H212" s="7" t="str">
        <f>IF(Table1[[#This Row],[Is Data Valid]]=TRUE,((Table1[[#This Row],[Birthweight (grams)]]*0.9/Table1[[#This Row],[BW_GA]])-1)/(Backend!$B$4/100*Table1[[#This Row],[BW40_3705]]),"")</f>
        <v/>
      </c>
      <c r="I212" s="7" t="str">
        <f>IF(Table1[[#This Row],[Is Data Valid]]=TRUE,((Table1[[#This Row],[Birthweight (grams)]]*1.1/Table1[[#This Row],[BW_GA]])-1)/(Backend!$B$4/100*Table1[[#This Row],[BW40_3705]]),"")</f>
        <v/>
      </c>
      <c r="J212" s="7" t="str">
        <f>IF(Table1[[#This Row],[Is Data Valid]]=TRUE,_xlfn.NORM.S.DIST(Table1[[#This Row],[Birthweight Z-Score]],TRUE)*100,"")</f>
        <v/>
      </c>
      <c r="K212" s="7" t="str">
        <f>IF(Table1[[#This Row],[Is Data Valid]]=TRUE,_xlfn.NORM.S.DIST(Table1[[#This Row],[Birthweight Z-Score (BW-10%)]],TRUE)*100,"")</f>
        <v/>
      </c>
      <c r="L212" s="7" t="str">
        <f>IF(Table1[[#This Row],[Is Data Valid]]=TRUE,_xlfn.NORM.S.DIST(Table1[[#This Row],[Birthweight Z-Score (BW+10%)]],TRUE)*100,"")</f>
        <v/>
      </c>
    </row>
    <row r="213" spans="1:12" x14ac:dyDescent="0.35">
      <c r="A213" s="3"/>
      <c r="B213" s="2"/>
      <c r="C213" s="2"/>
      <c r="D213" s="2" t="b">
        <f>IF(AND(NOT(ISBLANK(Table1[[#This Row],[Fetal Sex (Male, Female or Unknown)]])),ISNUMBER(Table1[[#This Row],[Birthweight (grams)]]),ISNUMBER(Table1[[#This Row],[Gestation (days)]])),TRUE,FALSE)</f>
        <v>0</v>
      </c>
      <c r="E213" s="2" t="str">
        <f>IF(Table1[[#This Row],[Is Data Valid]]=TRUE,IF(Table1[[#This Row],[Fetal Sex (Male, Female or Unknown)]]="Male",Backend!$C$6,IF(Table1[[#This Row],[Fetal Sex (Male, Female or Unknown)]]="Female",Backend!$C$7,IF(Table1[[#This Row],[Fetal Sex (Male, Female or Unknown)]]="Unknown",Backend!$C$8,"Error"))),"")</f>
        <v/>
      </c>
      <c r="F213" s="8" t="str">
        <f>IF(Table1[[#This Row],[Is Data Valid]]=TRUE,EXP(0.578+0.332*((Table1[[#This Row],[Gestation (days)]]+0.5)/7)-0.00354*((Table1[[#This Row],[Gestation (days)]]+0.5)/7)^2)*Table1[[#This Row],[BW40_3705]],"")</f>
        <v/>
      </c>
      <c r="G213" s="2" t="str">
        <f>IF(Table1[[#This Row],[Is Data Valid]]=TRUE,((Table1[[#This Row],[Birthweight (grams)]]/Table1[[#This Row],[BW_GA]])-1)/(Backend!$B$4/100*Table1[[#This Row],[BW40_3705]]),"")</f>
        <v/>
      </c>
      <c r="H213" s="7" t="str">
        <f>IF(Table1[[#This Row],[Is Data Valid]]=TRUE,((Table1[[#This Row],[Birthweight (grams)]]*0.9/Table1[[#This Row],[BW_GA]])-1)/(Backend!$B$4/100*Table1[[#This Row],[BW40_3705]]),"")</f>
        <v/>
      </c>
      <c r="I213" s="7" t="str">
        <f>IF(Table1[[#This Row],[Is Data Valid]]=TRUE,((Table1[[#This Row],[Birthweight (grams)]]*1.1/Table1[[#This Row],[BW_GA]])-1)/(Backend!$B$4/100*Table1[[#This Row],[BW40_3705]]),"")</f>
        <v/>
      </c>
      <c r="J213" s="7" t="str">
        <f>IF(Table1[[#This Row],[Is Data Valid]]=TRUE,_xlfn.NORM.S.DIST(Table1[[#This Row],[Birthweight Z-Score]],TRUE)*100,"")</f>
        <v/>
      </c>
      <c r="K213" s="7" t="str">
        <f>IF(Table1[[#This Row],[Is Data Valid]]=TRUE,_xlfn.NORM.S.DIST(Table1[[#This Row],[Birthweight Z-Score (BW-10%)]],TRUE)*100,"")</f>
        <v/>
      </c>
      <c r="L213" s="7" t="str">
        <f>IF(Table1[[#This Row],[Is Data Valid]]=TRUE,_xlfn.NORM.S.DIST(Table1[[#This Row],[Birthweight Z-Score (BW+10%)]],TRUE)*100,"")</f>
        <v/>
      </c>
    </row>
    <row r="214" spans="1:12" x14ac:dyDescent="0.35">
      <c r="A214" s="3"/>
      <c r="B214" s="2"/>
      <c r="C214" s="2"/>
      <c r="D214" s="2" t="b">
        <f>IF(AND(NOT(ISBLANK(Table1[[#This Row],[Fetal Sex (Male, Female or Unknown)]])),ISNUMBER(Table1[[#This Row],[Birthweight (grams)]]),ISNUMBER(Table1[[#This Row],[Gestation (days)]])),TRUE,FALSE)</f>
        <v>0</v>
      </c>
      <c r="E214" s="2" t="str">
        <f>IF(Table1[[#This Row],[Is Data Valid]]=TRUE,IF(Table1[[#This Row],[Fetal Sex (Male, Female or Unknown)]]="Male",Backend!$C$6,IF(Table1[[#This Row],[Fetal Sex (Male, Female or Unknown)]]="Female",Backend!$C$7,IF(Table1[[#This Row],[Fetal Sex (Male, Female or Unknown)]]="Unknown",Backend!$C$8,"Error"))),"")</f>
        <v/>
      </c>
      <c r="F214" s="8" t="str">
        <f>IF(Table1[[#This Row],[Is Data Valid]]=TRUE,EXP(0.578+0.332*((Table1[[#This Row],[Gestation (days)]]+0.5)/7)-0.00354*((Table1[[#This Row],[Gestation (days)]]+0.5)/7)^2)*Table1[[#This Row],[BW40_3705]],"")</f>
        <v/>
      </c>
      <c r="G214" s="2" t="str">
        <f>IF(Table1[[#This Row],[Is Data Valid]]=TRUE,((Table1[[#This Row],[Birthweight (grams)]]/Table1[[#This Row],[BW_GA]])-1)/(Backend!$B$4/100*Table1[[#This Row],[BW40_3705]]),"")</f>
        <v/>
      </c>
      <c r="H214" s="7" t="str">
        <f>IF(Table1[[#This Row],[Is Data Valid]]=TRUE,((Table1[[#This Row],[Birthweight (grams)]]*0.9/Table1[[#This Row],[BW_GA]])-1)/(Backend!$B$4/100*Table1[[#This Row],[BW40_3705]]),"")</f>
        <v/>
      </c>
      <c r="I214" s="7" t="str">
        <f>IF(Table1[[#This Row],[Is Data Valid]]=TRUE,((Table1[[#This Row],[Birthweight (grams)]]*1.1/Table1[[#This Row],[BW_GA]])-1)/(Backend!$B$4/100*Table1[[#This Row],[BW40_3705]]),"")</f>
        <v/>
      </c>
      <c r="J214" s="7" t="str">
        <f>IF(Table1[[#This Row],[Is Data Valid]]=TRUE,_xlfn.NORM.S.DIST(Table1[[#This Row],[Birthweight Z-Score]],TRUE)*100,"")</f>
        <v/>
      </c>
      <c r="K214" s="7" t="str">
        <f>IF(Table1[[#This Row],[Is Data Valid]]=TRUE,_xlfn.NORM.S.DIST(Table1[[#This Row],[Birthweight Z-Score (BW-10%)]],TRUE)*100,"")</f>
        <v/>
      </c>
      <c r="L214" s="7" t="str">
        <f>IF(Table1[[#This Row],[Is Data Valid]]=TRUE,_xlfn.NORM.S.DIST(Table1[[#This Row],[Birthweight Z-Score (BW+10%)]],TRUE)*100,"")</f>
        <v/>
      </c>
    </row>
    <row r="215" spans="1:12" x14ac:dyDescent="0.35">
      <c r="A215" s="3"/>
      <c r="B215" s="2"/>
      <c r="C215" s="2"/>
      <c r="D215" s="2" t="b">
        <f>IF(AND(NOT(ISBLANK(Table1[[#This Row],[Fetal Sex (Male, Female or Unknown)]])),ISNUMBER(Table1[[#This Row],[Birthweight (grams)]]),ISNUMBER(Table1[[#This Row],[Gestation (days)]])),TRUE,FALSE)</f>
        <v>0</v>
      </c>
      <c r="E215" s="2" t="str">
        <f>IF(Table1[[#This Row],[Is Data Valid]]=TRUE,IF(Table1[[#This Row],[Fetal Sex (Male, Female or Unknown)]]="Male",Backend!$C$6,IF(Table1[[#This Row],[Fetal Sex (Male, Female or Unknown)]]="Female",Backend!$C$7,IF(Table1[[#This Row],[Fetal Sex (Male, Female or Unknown)]]="Unknown",Backend!$C$8,"Error"))),"")</f>
        <v/>
      </c>
      <c r="F215" s="8" t="str">
        <f>IF(Table1[[#This Row],[Is Data Valid]]=TRUE,EXP(0.578+0.332*((Table1[[#This Row],[Gestation (days)]]+0.5)/7)-0.00354*((Table1[[#This Row],[Gestation (days)]]+0.5)/7)^2)*Table1[[#This Row],[BW40_3705]],"")</f>
        <v/>
      </c>
      <c r="G215" s="2" t="str">
        <f>IF(Table1[[#This Row],[Is Data Valid]]=TRUE,((Table1[[#This Row],[Birthweight (grams)]]/Table1[[#This Row],[BW_GA]])-1)/(Backend!$B$4/100*Table1[[#This Row],[BW40_3705]]),"")</f>
        <v/>
      </c>
      <c r="H215" s="7" t="str">
        <f>IF(Table1[[#This Row],[Is Data Valid]]=TRUE,((Table1[[#This Row],[Birthweight (grams)]]*0.9/Table1[[#This Row],[BW_GA]])-1)/(Backend!$B$4/100*Table1[[#This Row],[BW40_3705]]),"")</f>
        <v/>
      </c>
      <c r="I215" s="7" t="str">
        <f>IF(Table1[[#This Row],[Is Data Valid]]=TRUE,((Table1[[#This Row],[Birthweight (grams)]]*1.1/Table1[[#This Row],[BW_GA]])-1)/(Backend!$B$4/100*Table1[[#This Row],[BW40_3705]]),"")</f>
        <v/>
      </c>
      <c r="J215" s="7" t="str">
        <f>IF(Table1[[#This Row],[Is Data Valid]]=TRUE,_xlfn.NORM.S.DIST(Table1[[#This Row],[Birthweight Z-Score]],TRUE)*100,"")</f>
        <v/>
      </c>
      <c r="K215" s="7" t="str">
        <f>IF(Table1[[#This Row],[Is Data Valid]]=TRUE,_xlfn.NORM.S.DIST(Table1[[#This Row],[Birthweight Z-Score (BW-10%)]],TRUE)*100,"")</f>
        <v/>
      </c>
      <c r="L215" s="7" t="str">
        <f>IF(Table1[[#This Row],[Is Data Valid]]=TRUE,_xlfn.NORM.S.DIST(Table1[[#This Row],[Birthweight Z-Score (BW+10%)]],TRUE)*100,"")</f>
        <v/>
      </c>
    </row>
    <row r="216" spans="1:12" x14ac:dyDescent="0.35">
      <c r="A216" s="3"/>
      <c r="B216" s="2"/>
      <c r="C216" s="2"/>
      <c r="D216" s="2" t="b">
        <f>IF(AND(NOT(ISBLANK(Table1[[#This Row],[Fetal Sex (Male, Female or Unknown)]])),ISNUMBER(Table1[[#This Row],[Birthweight (grams)]]),ISNUMBER(Table1[[#This Row],[Gestation (days)]])),TRUE,FALSE)</f>
        <v>0</v>
      </c>
      <c r="E216" s="2" t="str">
        <f>IF(Table1[[#This Row],[Is Data Valid]]=TRUE,IF(Table1[[#This Row],[Fetal Sex (Male, Female or Unknown)]]="Male",Backend!$C$6,IF(Table1[[#This Row],[Fetal Sex (Male, Female or Unknown)]]="Female",Backend!$C$7,IF(Table1[[#This Row],[Fetal Sex (Male, Female or Unknown)]]="Unknown",Backend!$C$8,"Error"))),"")</f>
        <v/>
      </c>
      <c r="F216" s="8" t="str">
        <f>IF(Table1[[#This Row],[Is Data Valid]]=TRUE,EXP(0.578+0.332*((Table1[[#This Row],[Gestation (days)]]+0.5)/7)-0.00354*((Table1[[#This Row],[Gestation (days)]]+0.5)/7)^2)*Table1[[#This Row],[BW40_3705]],"")</f>
        <v/>
      </c>
      <c r="G216" s="2" t="str">
        <f>IF(Table1[[#This Row],[Is Data Valid]]=TRUE,((Table1[[#This Row],[Birthweight (grams)]]/Table1[[#This Row],[BW_GA]])-1)/(Backend!$B$4/100*Table1[[#This Row],[BW40_3705]]),"")</f>
        <v/>
      </c>
      <c r="H216" s="7" t="str">
        <f>IF(Table1[[#This Row],[Is Data Valid]]=TRUE,((Table1[[#This Row],[Birthweight (grams)]]*0.9/Table1[[#This Row],[BW_GA]])-1)/(Backend!$B$4/100*Table1[[#This Row],[BW40_3705]]),"")</f>
        <v/>
      </c>
      <c r="I216" s="7" t="str">
        <f>IF(Table1[[#This Row],[Is Data Valid]]=TRUE,((Table1[[#This Row],[Birthweight (grams)]]*1.1/Table1[[#This Row],[BW_GA]])-1)/(Backend!$B$4/100*Table1[[#This Row],[BW40_3705]]),"")</f>
        <v/>
      </c>
      <c r="J216" s="7" t="str">
        <f>IF(Table1[[#This Row],[Is Data Valid]]=TRUE,_xlfn.NORM.S.DIST(Table1[[#This Row],[Birthweight Z-Score]],TRUE)*100,"")</f>
        <v/>
      </c>
      <c r="K216" s="7" t="str">
        <f>IF(Table1[[#This Row],[Is Data Valid]]=TRUE,_xlfn.NORM.S.DIST(Table1[[#This Row],[Birthweight Z-Score (BW-10%)]],TRUE)*100,"")</f>
        <v/>
      </c>
      <c r="L216" s="7" t="str">
        <f>IF(Table1[[#This Row],[Is Data Valid]]=TRUE,_xlfn.NORM.S.DIST(Table1[[#This Row],[Birthweight Z-Score (BW+10%)]],TRUE)*100,"")</f>
        <v/>
      </c>
    </row>
    <row r="217" spans="1:12" x14ac:dyDescent="0.35">
      <c r="A217" s="3"/>
      <c r="B217" s="2"/>
      <c r="C217" s="2"/>
      <c r="D217" s="2" t="b">
        <f>IF(AND(NOT(ISBLANK(Table1[[#This Row],[Fetal Sex (Male, Female or Unknown)]])),ISNUMBER(Table1[[#This Row],[Birthweight (grams)]]),ISNUMBER(Table1[[#This Row],[Gestation (days)]])),TRUE,FALSE)</f>
        <v>0</v>
      </c>
      <c r="E217" s="2" t="str">
        <f>IF(Table1[[#This Row],[Is Data Valid]]=TRUE,IF(Table1[[#This Row],[Fetal Sex (Male, Female or Unknown)]]="Male",Backend!$C$6,IF(Table1[[#This Row],[Fetal Sex (Male, Female or Unknown)]]="Female",Backend!$C$7,IF(Table1[[#This Row],[Fetal Sex (Male, Female or Unknown)]]="Unknown",Backend!$C$8,"Error"))),"")</f>
        <v/>
      </c>
      <c r="F217" s="8" t="str">
        <f>IF(Table1[[#This Row],[Is Data Valid]]=TRUE,EXP(0.578+0.332*((Table1[[#This Row],[Gestation (days)]]+0.5)/7)-0.00354*((Table1[[#This Row],[Gestation (days)]]+0.5)/7)^2)*Table1[[#This Row],[BW40_3705]],"")</f>
        <v/>
      </c>
      <c r="G217" s="2" t="str">
        <f>IF(Table1[[#This Row],[Is Data Valid]]=TRUE,((Table1[[#This Row],[Birthweight (grams)]]/Table1[[#This Row],[BW_GA]])-1)/(Backend!$B$4/100*Table1[[#This Row],[BW40_3705]]),"")</f>
        <v/>
      </c>
      <c r="H217" s="7" t="str">
        <f>IF(Table1[[#This Row],[Is Data Valid]]=TRUE,((Table1[[#This Row],[Birthweight (grams)]]*0.9/Table1[[#This Row],[BW_GA]])-1)/(Backend!$B$4/100*Table1[[#This Row],[BW40_3705]]),"")</f>
        <v/>
      </c>
      <c r="I217" s="7" t="str">
        <f>IF(Table1[[#This Row],[Is Data Valid]]=TRUE,((Table1[[#This Row],[Birthweight (grams)]]*1.1/Table1[[#This Row],[BW_GA]])-1)/(Backend!$B$4/100*Table1[[#This Row],[BW40_3705]]),"")</f>
        <v/>
      </c>
      <c r="J217" s="7" t="str">
        <f>IF(Table1[[#This Row],[Is Data Valid]]=TRUE,_xlfn.NORM.S.DIST(Table1[[#This Row],[Birthweight Z-Score]],TRUE)*100,"")</f>
        <v/>
      </c>
      <c r="K217" s="7" t="str">
        <f>IF(Table1[[#This Row],[Is Data Valid]]=TRUE,_xlfn.NORM.S.DIST(Table1[[#This Row],[Birthweight Z-Score (BW-10%)]],TRUE)*100,"")</f>
        <v/>
      </c>
      <c r="L217" s="7" t="str">
        <f>IF(Table1[[#This Row],[Is Data Valid]]=TRUE,_xlfn.NORM.S.DIST(Table1[[#This Row],[Birthweight Z-Score (BW+10%)]],TRUE)*100,"")</f>
        <v/>
      </c>
    </row>
    <row r="218" spans="1:12" x14ac:dyDescent="0.35">
      <c r="A218" s="3"/>
      <c r="B218" s="2"/>
      <c r="C218" s="2"/>
      <c r="D218" s="2" t="b">
        <f>IF(AND(NOT(ISBLANK(Table1[[#This Row],[Fetal Sex (Male, Female or Unknown)]])),ISNUMBER(Table1[[#This Row],[Birthweight (grams)]]),ISNUMBER(Table1[[#This Row],[Gestation (days)]])),TRUE,FALSE)</f>
        <v>0</v>
      </c>
      <c r="E218" s="2" t="str">
        <f>IF(Table1[[#This Row],[Is Data Valid]]=TRUE,IF(Table1[[#This Row],[Fetal Sex (Male, Female or Unknown)]]="Male",Backend!$C$6,IF(Table1[[#This Row],[Fetal Sex (Male, Female or Unknown)]]="Female",Backend!$C$7,IF(Table1[[#This Row],[Fetal Sex (Male, Female or Unknown)]]="Unknown",Backend!$C$8,"Error"))),"")</f>
        <v/>
      </c>
      <c r="F218" s="8" t="str">
        <f>IF(Table1[[#This Row],[Is Data Valid]]=TRUE,EXP(0.578+0.332*((Table1[[#This Row],[Gestation (days)]]+0.5)/7)-0.00354*((Table1[[#This Row],[Gestation (days)]]+0.5)/7)^2)*Table1[[#This Row],[BW40_3705]],"")</f>
        <v/>
      </c>
      <c r="G218" s="2" t="str">
        <f>IF(Table1[[#This Row],[Is Data Valid]]=TRUE,((Table1[[#This Row],[Birthweight (grams)]]/Table1[[#This Row],[BW_GA]])-1)/(Backend!$B$4/100*Table1[[#This Row],[BW40_3705]]),"")</f>
        <v/>
      </c>
      <c r="H218" s="7" t="str">
        <f>IF(Table1[[#This Row],[Is Data Valid]]=TRUE,((Table1[[#This Row],[Birthweight (grams)]]*0.9/Table1[[#This Row],[BW_GA]])-1)/(Backend!$B$4/100*Table1[[#This Row],[BW40_3705]]),"")</f>
        <v/>
      </c>
      <c r="I218" s="7" t="str">
        <f>IF(Table1[[#This Row],[Is Data Valid]]=TRUE,((Table1[[#This Row],[Birthweight (grams)]]*1.1/Table1[[#This Row],[BW_GA]])-1)/(Backend!$B$4/100*Table1[[#This Row],[BW40_3705]]),"")</f>
        <v/>
      </c>
      <c r="J218" s="7" t="str">
        <f>IF(Table1[[#This Row],[Is Data Valid]]=TRUE,_xlfn.NORM.S.DIST(Table1[[#This Row],[Birthweight Z-Score]],TRUE)*100,"")</f>
        <v/>
      </c>
      <c r="K218" s="7" t="str">
        <f>IF(Table1[[#This Row],[Is Data Valid]]=TRUE,_xlfn.NORM.S.DIST(Table1[[#This Row],[Birthweight Z-Score (BW-10%)]],TRUE)*100,"")</f>
        <v/>
      </c>
      <c r="L218" s="7" t="str">
        <f>IF(Table1[[#This Row],[Is Data Valid]]=TRUE,_xlfn.NORM.S.DIST(Table1[[#This Row],[Birthweight Z-Score (BW+10%)]],TRUE)*100,"")</f>
        <v/>
      </c>
    </row>
    <row r="219" spans="1:12" x14ac:dyDescent="0.35">
      <c r="A219" s="3"/>
      <c r="B219" s="2"/>
      <c r="C219" s="2"/>
      <c r="D219" s="2" t="b">
        <f>IF(AND(NOT(ISBLANK(Table1[[#This Row],[Fetal Sex (Male, Female or Unknown)]])),ISNUMBER(Table1[[#This Row],[Birthweight (grams)]]),ISNUMBER(Table1[[#This Row],[Gestation (days)]])),TRUE,FALSE)</f>
        <v>0</v>
      </c>
      <c r="E219" s="2" t="str">
        <f>IF(Table1[[#This Row],[Is Data Valid]]=TRUE,IF(Table1[[#This Row],[Fetal Sex (Male, Female or Unknown)]]="Male",Backend!$C$6,IF(Table1[[#This Row],[Fetal Sex (Male, Female or Unknown)]]="Female",Backend!$C$7,IF(Table1[[#This Row],[Fetal Sex (Male, Female or Unknown)]]="Unknown",Backend!$C$8,"Error"))),"")</f>
        <v/>
      </c>
      <c r="F219" s="8" t="str">
        <f>IF(Table1[[#This Row],[Is Data Valid]]=TRUE,EXP(0.578+0.332*((Table1[[#This Row],[Gestation (days)]]+0.5)/7)-0.00354*((Table1[[#This Row],[Gestation (days)]]+0.5)/7)^2)*Table1[[#This Row],[BW40_3705]],"")</f>
        <v/>
      </c>
      <c r="G219" s="2" t="str">
        <f>IF(Table1[[#This Row],[Is Data Valid]]=TRUE,((Table1[[#This Row],[Birthweight (grams)]]/Table1[[#This Row],[BW_GA]])-1)/(Backend!$B$4/100*Table1[[#This Row],[BW40_3705]]),"")</f>
        <v/>
      </c>
      <c r="H219" s="7" t="str">
        <f>IF(Table1[[#This Row],[Is Data Valid]]=TRUE,((Table1[[#This Row],[Birthweight (grams)]]*0.9/Table1[[#This Row],[BW_GA]])-1)/(Backend!$B$4/100*Table1[[#This Row],[BW40_3705]]),"")</f>
        <v/>
      </c>
      <c r="I219" s="7" t="str">
        <f>IF(Table1[[#This Row],[Is Data Valid]]=TRUE,((Table1[[#This Row],[Birthweight (grams)]]*1.1/Table1[[#This Row],[BW_GA]])-1)/(Backend!$B$4/100*Table1[[#This Row],[BW40_3705]]),"")</f>
        <v/>
      </c>
      <c r="J219" s="7" t="str">
        <f>IF(Table1[[#This Row],[Is Data Valid]]=TRUE,_xlfn.NORM.S.DIST(Table1[[#This Row],[Birthweight Z-Score]],TRUE)*100,"")</f>
        <v/>
      </c>
      <c r="K219" s="7" t="str">
        <f>IF(Table1[[#This Row],[Is Data Valid]]=TRUE,_xlfn.NORM.S.DIST(Table1[[#This Row],[Birthweight Z-Score (BW-10%)]],TRUE)*100,"")</f>
        <v/>
      </c>
      <c r="L219" s="7" t="str">
        <f>IF(Table1[[#This Row],[Is Data Valid]]=TRUE,_xlfn.NORM.S.DIST(Table1[[#This Row],[Birthweight Z-Score (BW+10%)]],TRUE)*100,"")</f>
        <v/>
      </c>
    </row>
    <row r="220" spans="1:12" x14ac:dyDescent="0.35">
      <c r="A220" s="3"/>
      <c r="B220" s="2"/>
      <c r="C220" s="2"/>
      <c r="D220" s="2" t="b">
        <f>IF(AND(NOT(ISBLANK(Table1[[#This Row],[Fetal Sex (Male, Female or Unknown)]])),ISNUMBER(Table1[[#This Row],[Birthweight (grams)]]),ISNUMBER(Table1[[#This Row],[Gestation (days)]])),TRUE,FALSE)</f>
        <v>0</v>
      </c>
      <c r="E220" s="2" t="str">
        <f>IF(Table1[[#This Row],[Is Data Valid]]=TRUE,IF(Table1[[#This Row],[Fetal Sex (Male, Female or Unknown)]]="Male",Backend!$C$6,IF(Table1[[#This Row],[Fetal Sex (Male, Female or Unknown)]]="Female",Backend!$C$7,IF(Table1[[#This Row],[Fetal Sex (Male, Female or Unknown)]]="Unknown",Backend!$C$8,"Error"))),"")</f>
        <v/>
      </c>
      <c r="F220" s="8" t="str">
        <f>IF(Table1[[#This Row],[Is Data Valid]]=TRUE,EXP(0.578+0.332*((Table1[[#This Row],[Gestation (days)]]+0.5)/7)-0.00354*((Table1[[#This Row],[Gestation (days)]]+0.5)/7)^2)*Table1[[#This Row],[BW40_3705]],"")</f>
        <v/>
      </c>
      <c r="G220" s="2" t="str">
        <f>IF(Table1[[#This Row],[Is Data Valid]]=TRUE,((Table1[[#This Row],[Birthweight (grams)]]/Table1[[#This Row],[BW_GA]])-1)/(Backend!$B$4/100*Table1[[#This Row],[BW40_3705]]),"")</f>
        <v/>
      </c>
      <c r="H220" s="7" t="str">
        <f>IF(Table1[[#This Row],[Is Data Valid]]=TRUE,((Table1[[#This Row],[Birthweight (grams)]]*0.9/Table1[[#This Row],[BW_GA]])-1)/(Backend!$B$4/100*Table1[[#This Row],[BW40_3705]]),"")</f>
        <v/>
      </c>
      <c r="I220" s="7" t="str">
        <f>IF(Table1[[#This Row],[Is Data Valid]]=TRUE,((Table1[[#This Row],[Birthweight (grams)]]*1.1/Table1[[#This Row],[BW_GA]])-1)/(Backend!$B$4/100*Table1[[#This Row],[BW40_3705]]),"")</f>
        <v/>
      </c>
      <c r="J220" s="7" t="str">
        <f>IF(Table1[[#This Row],[Is Data Valid]]=TRUE,_xlfn.NORM.S.DIST(Table1[[#This Row],[Birthweight Z-Score]],TRUE)*100,"")</f>
        <v/>
      </c>
      <c r="K220" s="7" t="str">
        <f>IF(Table1[[#This Row],[Is Data Valid]]=TRUE,_xlfn.NORM.S.DIST(Table1[[#This Row],[Birthweight Z-Score (BW-10%)]],TRUE)*100,"")</f>
        <v/>
      </c>
      <c r="L220" s="7" t="str">
        <f>IF(Table1[[#This Row],[Is Data Valid]]=TRUE,_xlfn.NORM.S.DIST(Table1[[#This Row],[Birthweight Z-Score (BW+10%)]],TRUE)*100,"")</f>
        <v/>
      </c>
    </row>
    <row r="221" spans="1:12" x14ac:dyDescent="0.35">
      <c r="A221" s="3"/>
      <c r="B221" s="2"/>
      <c r="C221" s="2"/>
      <c r="D221" s="2" t="b">
        <f>IF(AND(NOT(ISBLANK(Table1[[#This Row],[Fetal Sex (Male, Female or Unknown)]])),ISNUMBER(Table1[[#This Row],[Birthweight (grams)]]),ISNUMBER(Table1[[#This Row],[Gestation (days)]])),TRUE,FALSE)</f>
        <v>0</v>
      </c>
      <c r="E221" s="2" t="str">
        <f>IF(Table1[[#This Row],[Is Data Valid]]=TRUE,IF(Table1[[#This Row],[Fetal Sex (Male, Female or Unknown)]]="Male",Backend!$C$6,IF(Table1[[#This Row],[Fetal Sex (Male, Female or Unknown)]]="Female",Backend!$C$7,IF(Table1[[#This Row],[Fetal Sex (Male, Female or Unknown)]]="Unknown",Backend!$C$8,"Error"))),"")</f>
        <v/>
      </c>
      <c r="F221" s="8" t="str">
        <f>IF(Table1[[#This Row],[Is Data Valid]]=TRUE,EXP(0.578+0.332*((Table1[[#This Row],[Gestation (days)]]+0.5)/7)-0.00354*((Table1[[#This Row],[Gestation (days)]]+0.5)/7)^2)*Table1[[#This Row],[BW40_3705]],"")</f>
        <v/>
      </c>
      <c r="G221" s="2" t="str">
        <f>IF(Table1[[#This Row],[Is Data Valid]]=TRUE,((Table1[[#This Row],[Birthweight (grams)]]/Table1[[#This Row],[BW_GA]])-1)/(Backend!$B$4/100*Table1[[#This Row],[BW40_3705]]),"")</f>
        <v/>
      </c>
      <c r="H221" s="7" t="str">
        <f>IF(Table1[[#This Row],[Is Data Valid]]=TRUE,((Table1[[#This Row],[Birthweight (grams)]]*0.9/Table1[[#This Row],[BW_GA]])-1)/(Backend!$B$4/100*Table1[[#This Row],[BW40_3705]]),"")</f>
        <v/>
      </c>
      <c r="I221" s="7" t="str">
        <f>IF(Table1[[#This Row],[Is Data Valid]]=TRUE,((Table1[[#This Row],[Birthweight (grams)]]*1.1/Table1[[#This Row],[BW_GA]])-1)/(Backend!$B$4/100*Table1[[#This Row],[BW40_3705]]),"")</f>
        <v/>
      </c>
      <c r="J221" s="7" t="str">
        <f>IF(Table1[[#This Row],[Is Data Valid]]=TRUE,_xlfn.NORM.S.DIST(Table1[[#This Row],[Birthweight Z-Score]],TRUE)*100,"")</f>
        <v/>
      </c>
      <c r="K221" s="7" t="str">
        <f>IF(Table1[[#This Row],[Is Data Valid]]=TRUE,_xlfn.NORM.S.DIST(Table1[[#This Row],[Birthweight Z-Score (BW-10%)]],TRUE)*100,"")</f>
        <v/>
      </c>
      <c r="L221" s="7" t="str">
        <f>IF(Table1[[#This Row],[Is Data Valid]]=TRUE,_xlfn.NORM.S.DIST(Table1[[#This Row],[Birthweight Z-Score (BW+10%)]],TRUE)*100,"")</f>
        <v/>
      </c>
    </row>
    <row r="222" spans="1:12" x14ac:dyDescent="0.35">
      <c r="A222" s="3"/>
      <c r="B222" s="2"/>
      <c r="C222" s="2"/>
      <c r="D222" s="2" t="b">
        <f>IF(AND(NOT(ISBLANK(Table1[[#This Row],[Fetal Sex (Male, Female or Unknown)]])),ISNUMBER(Table1[[#This Row],[Birthweight (grams)]]),ISNUMBER(Table1[[#This Row],[Gestation (days)]])),TRUE,FALSE)</f>
        <v>0</v>
      </c>
      <c r="E222" s="2" t="str">
        <f>IF(Table1[[#This Row],[Is Data Valid]]=TRUE,IF(Table1[[#This Row],[Fetal Sex (Male, Female or Unknown)]]="Male",Backend!$C$6,IF(Table1[[#This Row],[Fetal Sex (Male, Female or Unknown)]]="Female",Backend!$C$7,IF(Table1[[#This Row],[Fetal Sex (Male, Female or Unknown)]]="Unknown",Backend!$C$8,"Error"))),"")</f>
        <v/>
      </c>
      <c r="F222" s="8" t="str">
        <f>IF(Table1[[#This Row],[Is Data Valid]]=TRUE,EXP(0.578+0.332*((Table1[[#This Row],[Gestation (days)]]+0.5)/7)-0.00354*((Table1[[#This Row],[Gestation (days)]]+0.5)/7)^2)*Table1[[#This Row],[BW40_3705]],"")</f>
        <v/>
      </c>
      <c r="G222" s="2" t="str">
        <f>IF(Table1[[#This Row],[Is Data Valid]]=TRUE,((Table1[[#This Row],[Birthweight (grams)]]/Table1[[#This Row],[BW_GA]])-1)/(Backend!$B$4/100*Table1[[#This Row],[BW40_3705]]),"")</f>
        <v/>
      </c>
      <c r="H222" s="7" t="str">
        <f>IF(Table1[[#This Row],[Is Data Valid]]=TRUE,((Table1[[#This Row],[Birthweight (grams)]]*0.9/Table1[[#This Row],[BW_GA]])-1)/(Backend!$B$4/100*Table1[[#This Row],[BW40_3705]]),"")</f>
        <v/>
      </c>
      <c r="I222" s="7" t="str">
        <f>IF(Table1[[#This Row],[Is Data Valid]]=TRUE,((Table1[[#This Row],[Birthweight (grams)]]*1.1/Table1[[#This Row],[BW_GA]])-1)/(Backend!$B$4/100*Table1[[#This Row],[BW40_3705]]),"")</f>
        <v/>
      </c>
      <c r="J222" s="7" t="str">
        <f>IF(Table1[[#This Row],[Is Data Valid]]=TRUE,_xlfn.NORM.S.DIST(Table1[[#This Row],[Birthweight Z-Score]],TRUE)*100,"")</f>
        <v/>
      </c>
      <c r="K222" s="7" t="str">
        <f>IF(Table1[[#This Row],[Is Data Valid]]=TRUE,_xlfn.NORM.S.DIST(Table1[[#This Row],[Birthweight Z-Score (BW-10%)]],TRUE)*100,"")</f>
        <v/>
      </c>
      <c r="L222" s="7" t="str">
        <f>IF(Table1[[#This Row],[Is Data Valid]]=TRUE,_xlfn.NORM.S.DIST(Table1[[#This Row],[Birthweight Z-Score (BW+10%)]],TRUE)*100,"")</f>
        <v/>
      </c>
    </row>
    <row r="223" spans="1:12" x14ac:dyDescent="0.35">
      <c r="A223" s="3"/>
      <c r="B223" s="2"/>
      <c r="C223" s="2"/>
      <c r="D223" s="2" t="b">
        <f>IF(AND(NOT(ISBLANK(Table1[[#This Row],[Fetal Sex (Male, Female or Unknown)]])),ISNUMBER(Table1[[#This Row],[Birthweight (grams)]]),ISNUMBER(Table1[[#This Row],[Gestation (days)]])),TRUE,FALSE)</f>
        <v>0</v>
      </c>
      <c r="E223" s="2" t="str">
        <f>IF(Table1[[#This Row],[Is Data Valid]]=TRUE,IF(Table1[[#This Row],[Fetal Sex (Male, Female or Unknown)]]="Male",Backend!$C$6,IF(Table1[[#This Row],[Fetal Sex (Male, Female or Unknown)]]="Female",Backend!$C$7,IF(Table1[[#This Row],[Fetal Sex (Male, Female or Unknown)]]="Unknown",Backend!$C$8,"Error"))),"")</f>
        <v/>
      </c>
      <c r="F223" s="8" t="str">
        <f>IF(Table1[[#This Row],[Is Data Valid]]=TRUE,EXP(0.578+0.332*((Table1[[#This Row],[Gestation (days)]]+0.5)/7)-0.00354*((Table1[[#This Row],[Gestation (days)]]+0.5)/7)^2)*Table1[[#This Row],[BW40_3705]],"")</f>
        <v/>
      </c>
      <c r="G223" s="2" t="str">
        <f>IF(Table1[[#This Row],[Is Data Valid]]=TRUE,((Table1[[#This Row],[Birthweight (grams)]]/Table1[[#This Row],[BW_GA]])-1)/(Backend!$B$4/100*Table1[[#This Row],[BW40_3705]]),"")</f>
        <v/>
      </c>
      <c r="H223" s="7" t="str">
        <f>IF(Table1[[#This Row],[Is Data Valid]]=TRUE,((Table1[[#This Row],[Birthweight (grams)]]*0.9/Table1[[#This Row],[BW_GA]])-1)/(Backend!$B$4/100*Table1[[#This Row],[BW40_3705]]),"")</f>
        <v/>
      </c>
      <c r="I223" s="7" t="str">
        <f>IF(Table1[[#This Row],[Is Data Valid]]=TRUE,((Table1[[#This Row],[Birthweight (grams)]]*1.1/Table1[[#This Row],[BW_GA]])-1)/(Backend!$B$4/100*Table1[[#This Row],[BW40_3705]]),"")</f>
        <v/>
      </c>
      <c r="J223" s="7" t="str">
        <f>IF(Table1[[#This Row],[Is Data Valid]]=TRUE,_xlfn.NORM.S.DIST(Table1[[#This Row],[Birthweight Z-Score]],TRUE)*100,"")</f>
        <v/>
      </c>
      <c r="K223" s="7" t="str">
        <f>IF(Table1[[#This Row],[Is Data Valid]]=TRUE,_xlfn.NORM.S.DIST(Table1[[#This Row],[Birthweight Z-Score (BW-10%)]],TRUE)*100,"")</f>
        <v/>
      </c>
      <c r="L223" s="7" t="str">
        <f>IF(Table1[[#This Row],[Is Data Valid]]=TRUE,_xlfn.NORM.S.DIST(Table1[[#This Row],[Birthweight Z-Score (BW+10%)]],TRUE)*100,"")</f>
        <v/>
      </c>
    </row>
    <row r="224" spans="1:12" x14ac:dyDescent="0.35">
      <c r="A224" s="3"/>
      <c r="B224" s="2"/>
      <c r="C224" s="2"/>
      <c r="D224" s="2" t="b">
        <f>IF(AND(NOT(ISBLANK(Table1[[#This Row],[Fetal Sex (Male, Female or Unknown)]])),ISNUMBER(Table1[[#This Row],[Birthweight (grams)]]),ISNUMBER(Table1[[#This Row],[Gestation (days)]])),TRUE,FALSE)</f>
        <v>0</v>
      </c>
      <c r="E224" s="2" t="str">
        <f>IF(Table1[[#This Row],[Is Data Valid]]=TRUE,IF(Table1[[#This Row],[Fetal Sex (Male, Female or Unknown)]]="Male",Backend!$C$6,IF(Table1[[#This Row],[Fetal Sex (Male, Female or Unknown)]]="Female",Backend!$C$7,IF(Table1[[#This Row],[Fetal Sex (Male, Female or Unknown)]]="Unknown",Backend!$C$8,"Error"))),"")</f>
        <v/>
      </c>
      <c r="F224" s="8" t="str">
        <f>IF(Table1[[#This Row],[Is Data Valid]]=TRUE,EXP(0.578+0.332*((Table1[[#This Row],[Gestation (days)]]+0.5)/7)-0.00354*((Table1[[#This Row],[Gestation (days)]]+0.5)/7)^2)*Table1[[#This Row],[BW40_3705]],"")</f>
        <v/>
      </c>
      <c r="G224" s="2" t="str">
        <f>IF(Table1[[#This Row],[Is Data Valid]]=TRUE,((Table1[[#This Row],[Birthweight (grams)]]/Table1[[#This Row],[BW_GA]])-1)/(Backend!$B$4/100*Table1[[#This Row],[BW40_3705]]),"")</f>
        <v/>
      </c>
      <c r="H224" s="7" t="str">
        <f>IF(Table1[[#This Row],[Is Data Valid]]=TRUE,((Table1[[#This Row],[Birthweight (grams)]]*0.9/Table1[[#This Row],[BW_GA]])-1)/(Backend!$B$4/100*Table1[[#This Row],[BW40_3705]]),"")</f>
        <v/>
      </c>
      <c r="I224" s="7" t="str">
        <f>IF(Table1[[#This Row],[Is Data Valid]]=TRUE,((Table1[[#This Row],[Birthweight (grams)]]*1.1/Table1[[#This Row],[BW_GA]])-1)/(Backend!$B$4/100*Table1[[#This Row],[BW40_3705]]),"")</f>
        <v/>
      </c>
      <c r="J224" s="7" t="str">
        <f>IF(Table1[[#This Row],[Is Data Valid]]=TRUE,_xlfn.NORM.S.DIST(Table1[[#This Row],[Birthweight Z-Score]],TRUE)*100,"")</f>
        <v/>
      </c>
      <c r="K224" s="7" t="str">
        <f>IF(Table1[[#This Row],[Is Data Valid]]=TRUE,_xlfn.NORM.S.DIST(Table1[[#This Row],[Birthweight Z-Score (BW-10%)]],TRUE)*100,"")</f>
        <v/>
      </c>
      <c r="L224" s="7" t="str">
        <f>IF(Table1[[#This Row],[Is Data Valid]]=TRUE,_xlfn.NORM.S.DIST(Table1[[#This Row],[Birthweight Z-Score (BW+10%)]],TRUE)*100,"")</f>
        <v/>
      </c>
    </row>
    <row r="225" spans="1:12" x14ac:dyDescent="0.35">
      <c r="A225" s="3"/>
      <c r="B225" s="2"/>
      <c r="C225" s="2"/>
      <c r="D225" s="2" t="b">
        <f>IF(AND(NOT(ISBLANK(Table1[[#This Row],[Fetal Sex (Male, Female or Unknown)]])),ISNUMBER(Table1[[#This Row],[Birthweight (grams)]]),ISNUMBER(Table1[[#This Row],[Gestation (days)]])),TRUE,FALSE)</f>
        <v>0</v>
      </c>
      <c r="E225" s="2" t="str">
        <f>IF(Table1[[#This Row],[Is Data Valid]]=TRUE,IF(Table1[[#This Row],[Fetal Sex (Male, Female or Unknown)]]="Male",Backend!$C$6,IF(Table1[[#This Row],[Fetal Sex (Male, Female or Unknown)]]="Female",Backend!$C$7,IF(Table1[[#This Row],[Fetal Sex (Male, Female or Unknown)]]="Unknown",Backend!$C$8,"Error"))),"")</f>
        <v/>
      </c>
      <c r="F225" s="8" t="str">
        <f>IF(Table1[[#This Row],[Is Data Valid]]=TRUE,EXP(0.578+0.332*((Table1[[#This Row],[Gestation (days)]]+0.5)/7)-0.00354*((Table1[[#This Row],[Gestation (days)]]+0.5)/7)^2)*Table1[[#This Row],[BW40_3705]],"")</f>
        <v/>
      </c>
      <c r="G225" s="2" t="str">
        <f>IF(Table1[[#This Row],[Is Data Valid]]=TRUE,((Table1[[#This Row],[Birthweight (grams)]]/Table1[[#This Row],[BW_GA]])-1)/(Backend!$B$4/100*Table1[[#This Row],[BW40_3705]]),"")</f>
        <v/>
      </c>
      <c r="H225" s="7" t="str">
        <f>IF(Table1[[#This Row],[Is Data Valid]]=TRUE,((Table1[[#This Row],[Birthweight (grams)]]*0.9/Table1[[#This Row],[BW_GA]])-1)/(Backend!$B$4/100*Table1[[#This Row],[BW40_3705]]),"")</f>
        <v/>
      </c>
      <c r="I225" s="7" t="str">
        <f>IF(Table1[[#This Row],[Is Data Valid]]=TRUE,((Table1[[#This Row],[Birthweight (grams)]]*1.1/Table1[[#This Row],[BW_GA]])-1)/(Backend!$B$4/100*Table1[[#This Row],[BW40_3705]]),"")</f>
        <v/>
      </c>
      <c r="J225" s="7" t="str">
        <f>IF(Table1[[#This Row],[Is Data Valid]]=TRUE,_xlfn.NORM.S.DIST(Table1[[#This Row],[Birthweight Z-Score]],TRUE)*100,"")</f>
        <v/>
      </c>
      <c r="K225" s="7" t="str">
        <f>IF(Table1[[#This Row],[Is Data Valid]]=TRUE,_xlfn.NORM.S.DIST(Table1[[#This Row],[Birthweight Z-Score (BW-10%)]],TRUE)*100,"")</f>
        <v/>
      </c>
      <c r="L225" s="7" t="str">
        <f>IF(Table1[[#This Row],[Is Data Valid]]=TRUE,_xlfn.NORM.S.DIST(Table1[[#This Row],[Birthweight Z-Score (BW+10%)]],TRUE)*100,"")</f>
        <v/>
      </c>
    </row>
    <row r="226" spans="1:12" x14ac:dyDescent="0.35">
      <c r="A226" s="3"/>
      <c r="B226" s="2"/>
      <c r="C226" s="2"/>
      <c r="D226" s="2" t="b">
        <f>IF(AND(NOT(ISBLANK(Table1[[#This Row],[Fetal Sex (Male, Female or Unknown)]])),ISNUMBER(Table1[[#This Row],[Birthweight (grams)]]),ISNUMBER(Table1[[#This Row],[Gestation (days)]])),TRUE,FALSE)</f>
        <v>0</v>
      </c>
      <c r="E226" s="2" t="str">
        <f>IF(Table1[[#This Row],[Is Data Valid]]=TRUE,IF(Table1[[#This Row],[Fetal Sex (Male, Female or Unknown)]]="Male",Backend!$C$6,IF(Table1[[#This Row],[Fetal Sex (Male, Female or Unknown)]]="Female",Backend!$C$7,IF(Table1[[#This Row],[Fetal Sex (Male, Female or Unknown)]]="Unknown",Backend!$C$8,"Error"))),"")</f>
        <v/>
      </c>
      <c r="F226" s="8" t="str">
        <f>IF(Table1[[#This Row],[Is Data Valid]]=TRUE,EXP(0.578+0.332*((Table1[[#This Row],[Gestation (days)]]+0.5)/7)-0.00354*((Table1[[#This Row],[Gestation (days)]]+0.5)/7)^2)*Table1[[#This Row],[BW40_3705]],"")</f>
        <v/>
      </c>
      <c r="G226" s="2" t="str">
        <f>IF(Table1[[#This Row],[Is Data Valid]]=TRUE,((Table1[[#This Row],[Birthweight (grams)]]/Table1[[#This Row],[BW_GA]])-1)/(Backend!$B$4/100*Table1[[#This Row],[BW40_3705]]),"")</f>
        <v/>
      </c>
      <c r="H226" s="7" t="str">
        <f>IF(Table1[[#This Row],[Is Data Valid]]=TRUE,((Table1[[#This Row],[Birthweight (grams)]]*0.9/Table1[[#This Row],[BW_GA]])-1)/(Backend!$B$4/100*Table1[[#This Row],[BW40_3705]]),"")</f>
        <v/>
      </c>
      <c r="I226" s="7" t="str">
        <f>IF(Table1[[#This Row],[Is Data Valid]]=TRUE,((Table1[[#This Row],[Birthweight (grams)]]*1.1/Table1[[#This Row],[BW_GA]])-1)/(Backend!$B$4/100*Table1[[#This Row],[BW40_3705]]),"")</f>
        <v/>
      </c>
      <c r="J226" s="7" t="str">
        <f>IF(Table1[[#This Row],[Is Data Valid]]=TRUE,_xlfn.NORM.S.DIST(Table1[[#This Row],[Birthweight Z-Score]],TRUE)*100,"")</f>
        <v/>
      </c>
      <c r="K226" s="7" t="str">
        <f>IF(Table1[[#This Row],[Is Data Valid]]=TRUE,_xlfn.NORM.S.DIST(Table1[[#This Row],[Birthweight Z-Score (BW-10%)]],TRUE)*100,"")</f>
        <v/>
      </c>
      <c r="L226" s="7" t="str">
        <f>IF(Table1[[#This Row],[Is Data Valid]]=TRUE,_xlfn.NORM.S.DIST(Table1[[#This Row],[Birthweight Z-Score (BW+10%)]],TRUE)*100,"")</f>
        <v/>
      </c>
    </row>
    <row r="227" spans="1:12" x14ac:dyDescent="0.35">
      <c r="A227" s="3"/>
      <c r="B227" s="2"/>
      <c r="C227" s="2"/>
      <c r="D227" s="2" t="b">
        <f>IF(AND(NOT(ISBLANK(Table1[[#This Row],[Fetal Sex (Male, Female or Unknown)]])),ISNUMBER(Table1[[#This Row],[Birthweight (grams)]]),ISNUMBER(Table1[[#This Row],[Gestation (days)]])),TRUE,FALSE)</f>
        <v>0</v>
      </c>
      <c r="E227" s="2" t="str">
        <f>IF(Table1[[#This Row],[Is Data Valid]]=TRUE,IF(Table1[[#This Row],[Fetal Sex (Male, Female or Unknown)]]="Male",Backend!$C$6,IF(Table1[[#This Row],[Fetal Sex (Male, Female or Unknown)]]="Female",Backend!$C$7,IF(Table1[[#This Row],[Fetal Sex (Male, Female or Unknown)]]="Unknown",Backend!$C$8,"Error"))),"")</f>
        <v/>
      </c>
      <c r="F227" s="8" t="str">
        <f>IF(Table1[[#This Row],[Is Data Valid]]=TRUE,EXP(0.578+0.332*((Table1[[#This Row],[Gestation (days)]]+0.5)/7)-0.00354*((Table1[[#This Row],[Gestation (days)]]+0.5)/7)^2)*Table1[[#This Row],[BW40_3705]],"")</f>
        <v/>
      </c>
      <c r="G227" s="2" t="str">
        <f>IF(Table1[[#This Row],[Is Data Valid]]=TRUE,((Table1[[#This Row],[Birthweight (grams)]]/Table1[[#This Row],[BW_GA]])-1)/(Backend!$B$4/100*Table1[[#This Row],[BW40_3705]]),"")</f>
        <v/>
      </c>
      <c r="H227" s="7" t="str">
        <f>IF(Table1[[#This Row],[Is Data Valid]]=TRUE,((Table1[[#This Row],[Birthweight (grams)]]*0.9/Table1[[#This Row],[BW_GA]])-1)/(Backend!$B$4/100*Table1[[#This Row],[BW40_3705]]),"")</f>
        <v/>
      </c>
      <c r="I227" s="7" t="str">
        <f>IF(Table1[[#This Row],[Is Data Valid]]=TRUE,((Table1[[#This Row],[Birthweight (grams)]]*1.1/Table1[[#This Row],[BW_GA]])-1)/(Backend!$B$4/100*Table1[[#This Row],[BW40_3705]]),"")</f>
        <v/>
      </c>
      <c r="J227" s="7" t="str">
        <f>IF(Table1[[#This Row],[Is Data Valid]]=TRUE,_xlfn.NORM.S.DIST(Table1[[#This Row],[Birthweight Z-Score]],TRUE)*100,"")</f>
        <v/>
      </c>
      <c r="K227" s="7" t="str">
        <f>IF(Table1[[#This Row],[Is Data Valid]]=TRUE,_xlfn.NORM.S.DIST(Table1[[#This Row],[Birthweight Z-Score (BW-10%)]],TRUE)*100,"")</f>
        <v/>
      </c>
      <c r="L227" s="7" t="str">
        <f>IF(Table1[[#This Row],[Is Data Valid]]=TRUE,_xlfn.NORM.S.DIST(Table1[[#This Row],[Birthweight Z-Score (BW+10%)]],TRUE)*100,"")</f>
        <v/>
      </c>
    </row>
    <row r="228" spans="1:12" x14ac:dyDescent="0.35">
      <c r="A228" s="3"/>
      <c r="B228" s="2"/>
      <c r="C228" s="2"/>
      <c r="D228" s="2" t="b">
        <f>IF(AND(NOT(ISBLANK(Table1[[#This Row],[Fetal Sex (Male, Female or Unknown)]])),ISNUMBER(Table1[[#This Row],[Birthweight (grams)]]),ISNUMBER(Table1[[#This Row],[Gestation (days)]])),TRUE,FALSE)</f>
        <v>0</v>
      </c>
      <c r="E228" s="2" t="str">
        <f>IF(Table1[[#This Row],[Is Data Valid]]=TRUE,IF(Table1[[#This Row],[Fetal Sex (Male, Female or Unknown)]]="Male",Backend!$C$6,IF(Table1[[#This Row],[Fetal Sex (Male, Female or Unknown)]]="Female",Backend!$C$7,IF(Table1[[#This Row],[Fetal Sex (Male, Female or Unknown)]]="Unknown",Backend!$C$8,"Error"))),"")</f>
        <v/>
      </c>
      <c r="F228" s="8" t="str">
        <f>IF(Table1[[#This Row],[Is Data Valid]]=TRUE,EXP(0.578+0.332*((Table1[[#This Row],[Gestation (days)]]+0.5)/7)-0.00354*((Table1[[#This Row],[Gestation (days)]]+0.5)/7)^2)*Table1[[#This Row],[BW40_3705]],"")</f>
        <v/>
      </c>
      <c r="G228" s="2" t="str">
        <f>IF(Table1[[#This Row],[Is Data Valid]]=TRUE,((Table1[[#This Row],[Birthweight (grams)]]/Table1[[#This Row],[BW_GA]])-1)/(Backend!$B$4/100*Table1[[#This Row],[BW40_3705]]),"")</f>
        <v/>
      </c>
      <c r="H228" s="7" t="str">
        <f>IF(Table1[[#This Row],[Is Data Valid]]=TRUE,((Table1[[#This Row],[Birthweight (grams)]]*0.9/Table1[[#This Row],[BW_GA]])-1)/(Backend!$B$4/100*Table1[[#This Row],[BW40_3705]]),"")</f>
        <v/>
      </c>
      <c r="I228" s="7" t="str">
        <f>IF(Table1[[#This Row],[Is Data Valid]]=TRUE,((Table1[[#This Row],[Birthweight (grams)]]*1.1/Table1[[#This Row],[BW_GA]])-1)/(Backend!$B$4/100*Table1[[#This Row],[BW40_3705]]),"")</f>
        <v/>
      </c>
      <c r="J228" s="7" t="str">
        <f>IF(Table1[[#This Row],[Is Data Valid]]=TRUE,_xlfn.NORM.S.DIST(Table1[[#This Row],[Birthweight Z-Score]],TRUE)*100,"")</f>
        <v/>
      </c>
      <c r="K228" s="7" t="str">
        <f>IF(Table1[[#This Row],[Is Data Valid]]=TRUE,_xlfn.NORM.S.DIST(Table1[[#This Row],[Birthweight Z-Score (BW-10%)]],TRUE)*100,"")</f>
        <v/>
      </c>
      <c r="L228" s="7" t="str">
        <f>IF(Table1[[#This Row],[Is Data Valid]]=TRUE,_xlfn.NORM.S.DIST(Table1[[#This Row],[Birthweight Z-Score (BW+10%)]],TRUE)*100,"")</f>
        <v/>
      </c>
    </row>
    <row r="229" spans="1:12" x14ac:dyDescent="0.35">
      <c r="A229" s="3"/>
      <c r="B229" s="2"/>
      <c r="C229" s="2"/>
      <c r="D229" s="2" t="b">
        <f>IF(AND(NOT(ISBLANK(Table1[[#This Row],[Fetal Sex (Male, Female or Unknown)]])),ISNUMBER(Table1[[#This Row],[Birthweight (grams)]]),ISNUMBER(Table1[[#This Row],[Gestation (days)]])),TRUE,FALSE)</f>
        <v>0</v>
      </c>
      <c r="E229" s="2" t="str">
        <f>IF(Table1[[#This Row],[Is Data Valid]]=TRUE,IF(Table1[[#This Row],[Fetal Sex (Male, Female or Unknown)]]="Male",Backend!$C$6,IF(Table1[[#This Row],[Fetal Sex (Male, Female or Unknown)]]="Female",Backend!$C$7,IF(Table1[[#This Row],[Fetal Sex (Male, Female or Unknown)]]="Unknown",Backend!$C$8,"Error"))),"")</f>
        <v/>
      </c>
      <c r="F229" s="8" t="str">
        <f>IF(Table1[[#This Row],[Is Data Valid]]=TRUE,EXP(0.578+0.332*((Table1[[#This Row],[Gestation (days)]]+0.5)/7)-0.00354*((Table1[[#This Row],[Gestation (days)]]+0.5)/7)^2)*Table1[[#This Row],[BW40_3705]],"")</f>
        <v/>
      </c>
      <c r="G229" s="2" t="str">
        <f>IF(Table1[[#This Row],[Is Data Valid]]=TRUE,((Table1[[#This Row],[Birthweight (grams)]]/Table1[[#This Row],[BW_GA]])-1)/(Backend!$B$4/100*Table1[[#This Row],[BW40_3705]]),"")</f>
        <v/>
      </c>
      <c r="H229" s="7" t="str">
        <f>IF(Table1[[#This Row],[Is Data Valid]]=TRUE,((Table1[[#This Row],[Birthweight (grams)]]*0.9/Table1[[#This Row],[BW_GA]])-1)/(Backend!$B$4/100*Table1[[#This Row],[BW40_3705]]),"")</f>
        <v/>
      </c>
      <c r="I229" s="7" t="str">
        <f>IF(Table1[[#This Row],[Is Data Valid]]=TRUE,((Table1[[#This Row],[Birthweight (grams)]]*1.1/Table1[[#This Row],[BW_GA]])-1)/(Backend!$B$4/100*Table1[[#This Row],[BW40_3705]]),"")</f>
        <v/>
      </c>
      <c r="J229" s="7" t="str">
        <f>IF(Table1[[#This Row],[Is Data Valid]]=TRUE,_xlfn.NORM.S.DIST(Table1[[#This Row],[Birthweight Z-Score]],TRUE)*100,"")</f>
        <v/>
      </c>
      <c r="K229" s="7" t="str">
        <f>IF(Table1[[#This Row],[Is Data Valid]]=TRUE,_xlfn.NORM.S.DIST(Table1[[#This Row],[Birthweight Z-Score (BW-10%)]],TRUE)*100,"")</f>
        <v/>
      </c>
      <c r="L229" s="7" t="str">
        <f>IF(Table1[[#This Row],[Is Data Valid]]=TRUE,_xlfn.NORM.S.DIST(Table1[[#This Row],[Birthweight Z-Score (BW+10%)]],TRUE)*100,"")</f>
        <v/>
      </c>
    </row>
    <row r="230" spans="1:12" x14ac:dyDescent="0.35">
      <c r="A230" s="3"/>
      <c r="B230" s="2"/>
      <c r="C230" s="2"/>
      <c r="D230" s="2" t="b">
        <f>IF(AND(NOT(ISBLANK(Table1[[#This Row],[Fetal Sex (Male, Female or Unknown)]])),ISNUMBER(Table1[[#This Row],[Birthweight (grams)]]),ISNUMBER(Table1[[#This Row],[Gestation (days)]])),TRUE,FALSE)</f>
        <v>0</v>
      </c>
      <c r="E230" s="2" t="str">
        <f>IF(Table1[[#This Row],[Is Data Valid]]=TRUE,IF(Table1[[#This Row],[Fetal Sex (Male, Female or Unknown)]]="Male",Backend!$C$6,IF(Table1[[#This Row],[Fetal Sex (Male, Female or Unknown)]]="Female",Backend!$C$7,IF(Table1[[#This Row],[Fetal Sex (Male, Female or Unknown)]]="Unknown",Backend!$C$8,"Error"))),"")</f>
        <v/>
      </c>
      <c r="F230" s="8" t="str">
        <f>IF(Table1[[#This Row],[Is Data Valid]]=TRUE,EXP(0.578+0.332*((Table1[[#This Row],[Gestation (days)]]+0.5)/7)-0.00354*((Table1[[#This Row],[Gestation (days)]]+0.5)/7)^2)*Table1[[#This Row],[BW40_3705]],"")</f>
        <v/>
      </c>
      <c r="G230" s="2" t="str">
        <f>IF(Table1[[#This Row],[Is Data Valid]]=TRUE,((Table1[[#This Row],[Birthweight (grams)]]/Table1[[#This Row],[BW_GA]])-1)/(Backend!$B$4/100*Table1[[#This Row],[BW40_3705]]),"")</f>
        <v/>
      </c>
      <c r="H230" s="7" t="str">
        <f>IF(Table1[[#This Row],[Is Data Valid]]=TRUE,((Table1[[#This Row],[Birthweight (grams)]]*0.9/Table1[[#This Row],[BW_GA]])-1)/(Backend!$B$4/100*Table1[[#This Row],[BW40_3705]]),"")</f>
        <v/>
      </c>
      <c r="I230" s="7" t="str">
        <f>IF(Table1[[#This Row],[Is Data Valid]]=TRUE,((Table1[[#This Row],[Birthweight (grams)]]*1.1/Table1[[#This Row],[BW_GA]])-1)/(Backend!$B$4/100*Table1[[#This Row],[BW40_3705]]),"")</f>
        <v/>
      </c>
      <c r="J230" s="7" t="str">
        <f>IF(Table1[[#This Row],[Is Data Valid]]=TRUE,_xlfn.NORM.S.DIST(Table1[[#This Row],[Birthweight Z-Score]],TRUE)*100,"")</f>
        <v/>
      </c>
      <c r="K230" s="7" t="str">
        <f>IF(Table1[[#This Row],[Is Data Valid]]=TRUE,_xlfn.NORM.S.DIST(Table1[[#This Row],[Birthweight Z-Score (BW-10%)]],TRUE)*100,"")</f>
        <v/>
      </c>
      <c r="L230" s="7" t="str">
        <f>IF(Table1[[#This Row],[Is Data Valid]]=TRUE,_xlfn.NORM.S.DIST(Table1[[#This Row],[Birthweight Z-Score (BW+10%)]],TRUE)*100,"")</f>
        <v/>
      </c>
    </row>
    <row r="231" spans="1:12" x14ac:dyDescent="0.35">
      <c r="A231" s="3"/>
      <c r="B231" s="2"/>
      <c r="C231" s="2"/>
      <c r="D231" s="2" t="b">
        <f>IF(AND(NOT(ISBLANK(Table1[[#This Row],[Fetal Sex (Male, Female or Unknown)]])),ISNUMBER(Table1[[#This Row],[Birthweight (grams)]]),ISNUMBER(Table1[[#This Row],[Gestation (days)]])),TRUE,FALSE)</f>
        <v>0</v>
      </c>
      <c r="E231" s="2" t="str">
        <f>IF(Table1[[#This Row],[Is Data Valid]]=TRUE,IF(Table1[[#This Row],[Fetal Sex (Male, Female or Unknown)]]="Male",Backend!$C$6,IF(Table1[[#This Row],[Fetal Sex (Male, Female or Unknown)]]="Female",Backend!$C$7,IF(Table1[[#This Row],[Fetal Sex (Male, Female or Unknown)]]="Unknown",Backend!$C$8,"Error"))),"")</f>
        <v/>
      </c>
      <c r="F231" s="8" t="str">
        <f>IF(Table1[[#This Row],[Is Data Valid]]=TRUE,EXP(0.578+0.332*((Table1[[#This Row],[Gestation (days)]]+0.5)/7)-0.00354*((Table1[[#This Row],[Gestation (days)]]+0.5)/7)^2)*Table1[[#This Row],[BW40_3705]],"")</f>
        <v/>
      </c>
      <c r="G231" s="2" t="str">
        <f>IF(Table1[[#This Row],[Is Data Valid]]=TRUE,((Table1[[#This Row],[Birthweight (grams)]]/Table1[[#This Row],[BW_GA]])-1)/(Backend!$B$4/100*Table1[[#This Row],[BW40_3705]]),"")</f>
        <v/>
      </c>
      <c r="H231" s="7" t="str">
        <f>IF(Table1[[#This Row],[Is Data Valid]]=TRUE,((Table1[[#This Row],[Birthweight (grams)]]*0.9/Table1[[#This Row],[BW_GA]])-1)/(Backend!$B$4/100*Table1[[#This Row],[BW40_3705]]),"")</f>
        <v/>
      </c>
      <c r="I231" s="7" t="str">
        <f>IF(Table1[[#This Row],[Is Data Valid]]=TRUE,((Table1[[#This Row],[Birthweight (grams)]]*1.1/Table1[[#This Row],[BW_GA]])-1)/(Backend!$B$4/100*Table1[[#This Row],[BW40_3705]]),"")</f>
        <v/>
      </c>
      <c r="J231" s="7" t="str">
        <f>IF(Table1[[#This Row],[Is Data Valid]]=TRUE,_xlfn.NORM.S.DIST(Table1[[#This Row],[Birthweight Z-Score]],TRUE)*100,"")</f>
        <v/>
      </c>
      <c r="K231" s="7" t="str">
        <f>IF(Table1[[#This Row],[Is Data Valid]]=TRUE,_xlfn.NORM.S.DIST(Table1[[#This Row],[Birthweight Z-Score (BW-10%)]],TRUE)*100,"")</f>
        <v/>
      </c>
      <c r="L231" s="7" t="str">
        <f>IF(Table1[[#This Row],[Is Data Valid]]=TRUE,_xlfn.NORM.S.DIST(Table1[[#This Row],[Birthweight Z-Score (BW+10%)]],TRUE)*100,"")</f>
        <v/>
      </c>
    </row>
    <row r="232" spans="1:12" x14ac:dyDescent="0.35">
      <c r="A232" s="3"/>
      <c r="B232" s="2"/>
      <c r="C232" s="2"/>
      <c r="D232" s="2" t="b">
        <f>IF(AND(NOT(ISBLANK(Table1[[#This Row],[Fetal Sex (Male, Female or Unknown)]])),ISNUMBER(Table1[[#This Row],[Birthweight (grams)]]),ISNUMBER(Table1[[#This Row],[Gestation (days)]])),TRUE,FALSE)</f>
        <v>0</v>
      </c>
      <c r="E232" s="2" t="str">
        <f>IF(Table1[[#This Row],[Is Data Valid]]=TRUE,IF(Table1[[#This Row],[Fetal Sex (Male, Female or Unknown)]]="Male",Backend!$C$6,IF(Table1[[#This Row],[Fetal Sex (Male, Female or Unknown)]]="Female",Backend!$C$7,IF(Table1[[#This Row],[Fetal Sex (Male, Female or Unknown)]]="Unknown",Backend!$C$8,"Error"))),"")</f>
        <v/>
      </c>
      <c r="F232" s="8" t="str">
        <f>IF(Table1[[#This Row],[Is Data Valid]]=TRUE,EXP(0.578+0.332*((Table1[[#This Row],[Gestation (days)]]+0.5)/7)-0.00354*((Table1[[#This Row],[Gestation (days)]]+0.5)/7)^2)*Table1[[#This Row],[BW40_3705]],"")</f>
        <v/>
      </c>
      <c r="G232" s="2" t="str">
        <f>IF(Table1[[#This Row],[Is Data Valid]]=TRUE,((Table1[[#This Row],[Birthweight (grams)]]/Table1[[#This Row],[BW_GA]])-1)/(Backend!$B$4/100*Table1[[#This Row],[BW40_3705]]),"")</f>
        <v/>
      </c>
      <c r="H232" s="7" t="str">
        <f>IF(Table1[[#This Row],[Is Data Valid]]=TRUE,((Table1[[#This Row],[Birthweight (grams)]]*0.9/Table1[[#This Row],[BW_GA]])-1)/(Backend!$B$4/100*Table1[[#This Row],[BW40_3705]]),"")</f>
        <v/>
      </c>
      <c r="I232" s="7" t="str">
        <f>IF(Table1[[#This Row],[Is Data Valid]]=TRUE,((Table1[[#This Row],[Birthweight (grams)]]*1.1/Table1[[#This Row],[BW_GA]])-1)/(Backend!$B$4/100*Table1[[#This Row],[BW40_3705]]),"")</f>
        <v/>
      </c>
      <c r="J232" s="7" t="str">
        <f>IF(Table1[[#This Row],[Is Data Valid]]=TRUE,_xlfn.NORM.S.DIST(Table1[[#This Row],[Birthweight Z-Score]],TRUE)*100,"")</f>
        <v/>
      </c>
      <c r="K232" s="7" t="str">
        <f>IF(Table1[[#This Row],[Is Data Valid]]=TRUE,_xlfn.NORM.S.DIST(Table1[[#This Row],[Birthweight Z-Score (BW-10%)]],TRUE)*100,"")</f>
        <v/>
      </c>
      <c r="L232" s="7" t="str">
        <f>IF(Table1[[#This Row],[Is Data Valid]]=TRUE,_xlfn.NORM.S.DIST(Table1[[#This Row],[Birthweight Z-Score (BW+10%)]],TRUE)*100,"")</f>
        <v/>
      </c>
    </row>
    <row r="233" spans="1:12" x14ac:dyDescent="0.35">
      <c r="A233" s="3"/>
      <c r="B233" s="2"/>
      <c r="C233" s="2"/>
      <c r="D233" s="2" t="b">
        <f>IF(AND(NOT(ISBLANK(Table1[[#This Row],[Fetal Sex (Male, Female or Unknown)]])),ISNUMBER(Table1[[#This Row],[Birthweight (grams)]]),ISNUMBER(Table1[[#This Row],[Gestation (days)]])),TRUE,FALSE)</f>
        <v>0</v>
      </c>
      <c r="E233" s="2" t="str">
        <f>IF(Table1[[#This Row],[Is Data Valid]]=TRUE,IF(Table1[[#This Row],[Fetal Sex (Male, Female or Unknown)]]="Male",Backend!$C$6,IF(Table1[[#This Row],[Fetal Sex (Male, Female or Unknown)]]="Female",Backend!$C$7,IF(Table1[[#This Row],[Fetal Sex (Male, Female or Unknown)]]="Unknown",Backend!$C$8,"Error"))),"")</f>
        <v/>
      </c>
      <c r="F233" s="8" t="str">
        <f>IF(Table1[[#This Row],[Is Data Valid]]=TRUE,EXP(0.578+0.332*((Table1[[#This Row],[Gestation (days)]]+0.5)/7)-0.00354*((Table1[[#This Row],[Gestation (days)]]+0.5)/7)^2)*Table1[[#This Row],[BW40_3705]],"")</f>
        <v/>
      </c>
      <c r="G233" s="2" t="str">
        <f>IF(Table1[[#This Row],[Is Data Valid]]=TRUE,((Table1[[#This Row],[Birthweight (grams)]]/Table1[[#This Row],[BW_GA]])-1)/(Backend!$B$4/100*Table1[[#This Row],[BW40_3705]]),"")</f>
        <v/>
      </c>
      <c r="H233" s="7" t="str">
        <f>IF(Table1[[#This Row],[Is Data Valid]]=TRUE,((Table1[[#This Row],[Birthweight (grams)]]*0.9/Table1[[#This Row],[BW_GA]])-1)/(Backend!$B$4/100*Table1[[#This Row],[BW40_3705]]),"")</f>
        <v/>
      </c>
      <c r="I233" s="7" t="str">
        <f>IF(Table1[[#This Row],[Is Data Valid]]=TRUE,((Table1[[#This Row],[Birthweight (grams)]]*1.1/Table1[[#This Row],[BW_GA]])-1)/(Backend!$B$4/100*Table1[[#This Row],[BW40_3705]]),"")</f>
        <v/>
      </c>
      <c r="J233" s="7" t="str">
        <f>IF(Table1[[#This Row],[Is Data Valid]]=TRUE,_xlfn.NORM.S.DIST(Table1[[#This Row],[Birthweight Z-Score]],TRUE)*100,"")</f>
        <v/>
      </c>
      <c r="K233" s="7" t="str">
        <f>IF(Table1[[#This Row],[Is Data Valid]]=TRUE,_xlfn.NORM.S.DIST(Table1[[#This Row],[Birthweight Z-Score (BW-10%)]],TRUE)*100,"")</f>
        <v/>
      </c>
      <c r="L233" s="7" t="str">
        <f>IF(Table1[[#This Row],[Is Data Valid]]=TRUE,_xlfn.NORM.S.DIST(Table1[[#This Row],[Birthweight Z-Score (BW+10%)]],TRUE)*100,"")</f>
        <v/>
      </c>
    </row>
    <row r="234" spans="1:12" x14ac:dyDescent="0.35">
      <c r="A234" s="3"/>
      <c r="B234" s="2"/>
      <c r="C234" s="2"/>
      <c r="D234" s="2" t="b">
        <f>IF(AND(NOT(ISBLANK(Table1[[#This Row],[Fetal Sex (Male, Female or Unknown)]])),ISNUMBER(Table1[[#This Row],[Birthweight (grams)]]),ISNUMBER(Table1[[#This Row],[Gestation (days)]])),TRUE,FALSE)</f>
        <v>0</v>
      </c>
      <c r="E234" s="2" t="str">
        <f>IF(Table1[[#This Row],[Is Data Valid]]=TRUE,IF(Table1[[#This Row],[Fetal Sex (Male, Female or Unknown)]]="Male",Backend!$C$6,IF(Table1[[#This Row],[Fetal Sex (Male, Female or Unknown)]]="Female",Backend!$C$7,IF(Table1[[#This Row],[Fetal Sex (Male, Female or Unknown)]]="Unknown",Backend!$C$8,"Error"))),"")</f>
        <v/>
      </c>
      <c r="F234" s="8" t="str">
        <f>IF(Table1[[#This Row],[Is Data Valid]]=TRUE,EXP(0.578+0.332*((Table1[[#This Row],[Gestation (days)]]+0.5)/7)-0.00354*((Table1[[#This Row],[Gestation (days)]]+0.5)/7)^2)*Table1[[#This Row],[BW40_3705]],"")</f>
        <v/>
      </c>
      <c r="G234" s="2" t="str">
        <f>IF(Table1[[#This Row],[Is Data Valid]]=TRUE,((Table1[[#This Row],[Birthweight (grams)]]/Table1[[#This Row],[BW_GA]])-1)/(Backend!$B$4/100*Table1[[#This Row],[BW40_3705]]),"")</f>
        <v/>
      </c>
      <c r="H234" s="7" t="str">
        <f>IF(Table1[[#This Row],[Is Data Valid]]=TRUE,((Table1[[#This Row],[Birthweight (grams)]]*0.9/Table1[[#This Row],[BW_GA]])-1)/(Backend!$B$4/100*Table1[[#This Row],[BW40_3705]]),"")</f>
        <v/>
      </c>
      <c r="I234" s="7" t="str">
        <f>IF(Table1[[#This Row],[Is Data Valid]]=TRUE,((Table1[[#This Row],[Birthweight (grams)]]*1.1/Table1[[#This Row],[BW_GA]])-1)/(Backend!$B$4/100*Table1[[#This Row],[BW40_3705]]),"")</f>
        <v/>
      </c>
      <c r="J234" s="7" t="str">
        <f>IF(Table1[[#This Row],[Is Data Valid]]=TRUE,_xlfn.NORM.S.DIST(Table1[[#This Row],[Birthweight Z-Score]],TRUE)*100,"")</f>
        <v/>
      </c>
      <c r="K234" s="7" t="str">
        <f>IF(Table1[[#This Row],[Is Data Valid]]=TRUE,_xlfn.NORM.S.DIST(Table1[[#This Row],[Birthweight Z-Score (BW-10%)]],TRUE)*100,"")</f>
        <v/>
      </c>
      <c r="L234" s="7" t="str">
        <f>IF(Table1[[#This Row],[Is Data Valid]]=TRUE,_xlfn.NORM.S.DIST(Table1[[#This Row],[Birthweight Z-Score (BW+10%)]],TRUE)*100,"")</f>
        <v/>
      </c>
    </row>
    <row r="235" spans="1:12" x14ac:dyDescent="0.35">
      <c r="A235" s="3"/>
      <c r="B235" s="2"/>
      <c r="C235" s="2"/>
      <c r="D235" s="2" t="b">
        <f>IF(AND(NOT(ISBLANK(Table1[[#This Row],[Fetal Sex (Male, Female or Unknown)]])),ISNUMBER(Table1[[#This Row],[Birthweight (grams)]]),ISNUMBER(Table1[[#This Row],[Gestation (days)]])),TRUE,FALSE)</f>
        <v>0</v>
      </c>
      <c r="E235" s="2" t="str">
        <f>IF(Table1[[#This Row],[Is Data Valid]]=TRUE,IF(Table1[[#This Row],[Fetal Sex (Male, Female or Unknown)]]="Male",Backend!$C$6,IF(Table1[[#This Row],[Fetal Sex (Male, Female or Unknown)]]="Female",Backend!$C$7,IF(Table1[[#This Row],[Fetal Sex (Male, Female or Unknown)]]="Unknown",Backend!$C$8,"Error"))),"")</f>
        <v/>
      </c>
      <c r="F235" s="8" t="str">
        <f>IF(Table1[[#This Row],[Is Data Valid]]=TRUE,EXP(0.578+0.332*((Table1[[#This Row],[Gestation (days)]]+0.5)/7)-0.00354*((Table1[[#This Row],[Gestation (days)]]+0.5)/7)^2)*Table1[[#This Row],[BW40_3705]],"")</f>
        <v/>
      </c>
      <c r="G235" s="2" t="str">
        <f>IF(Table1[[#This Row],[Is Data Valid]]=TRUE,((Table1[[#This Row],[Birthweight (grams)]]/Table1[[#This Row],[BW_GA]])-1)/(Backend!$B$4/100*Table1[[#This Row],[BW40_3705]]),"")</f>
        <v/>
      </c>
      <c r="H235" s="7" t="str">
        <f>IF(Table1[[#This Row],[Is Data Valid]]=TRUE,((Table1[[#This Row],[Birthweight (grams)]]*0.9/Table1[[#This Row],[BW_GA]])-1)/(Backend!$B$4/100*Table1[[#This Row],[BW40_3705]]),"")</f>
        <v/>
      </c>
      <c r="I235" s="7" t="str">
        <f>IF(Table1[[#This Row],[Is Data Valid]]=TRUE,((Table1[[#This Row],[Birthweight (grams)]]*1.1/Table1[[#This Row],[BW_GA]])-1)/(Backend!$B$4/100*Table1[[#This Row],[BW40_3705]]),"")</f>
        <v/>
      </c>
      <c r="J235" s="7" t="str">
        <f>IF(Table1[[#This Row],[Is Data Valid]]=TRUE,_xlfn.NORM.S.DIST(Table1[[#This Row],[Birthweight Z-Score]],TRUE)*100,"")</f>
        <v/>
      </c>
      <c r="K235" s="7" t="str">
        <f>IF(Table1[[#This Row],[Is Data Valid]]=TRUE,_xlfn.NORM.S.DIST(Table1[[#This Row],[Birthweight Z-Score (BW-10%)]],TRUE)*100,"")</f>
        <v/>
      </c>
      <c r="L235" s="7" t="str">
        <f>IF(Table1[[#This Row],[Is Data Valid]]=TRUE,_xlfn.NORM.S.DIST(Table1[[#This Row],[Birthweight Z-Score (BW+10%)]],TRUE)*100,"")</f>
        <v/>
      </c>
    </row>
    <row r="236" spans="1:12" x14ac:dyDescent="0.35">
      <c r="A236" s="3"/>
      <c r="B236" s="2"/>
      <c r="C236" s="2"/>
      <c r="D236" s="2" t="b">
        <f>IF(AND(NOT(ISBLANK(Table1[[#This Row],[Fetal Sex (Male, Female or Unknown)]])),ISNUMBER(Table1[[#This Row],[Birthweight (grams)]]),ISNUMBER(Table1[[#This Row],[Gestation (days)]])),TRUE,FALSE)</f>
        <v>0</v>
      </c>
      <c r="E236" s="2" t="str">
        <f>IF(Table1[[#This Row],[Is Data Valid]]=TRUE,IF(Table1[[#This Row],[Fetal Sex (Male, Female or Unknown)]]="Male",Backend!$C$6,IF(Table1[[#This Row],[Fetal Sex (Male, Female or Unknown)]]="Female",Backend!$C$7,IF(Table1[[#This Row],[Fetal Sex (Male, Female or Unknown)]]="Unknown",Backend!$C$8,"Error"))),"")</f>
        <v/>
      </c>
      <c r="F236" s="8" t="str">
        <f>IF(Table1[[#This Row],[Is Data Valid]]=TRUE,EXP(0.578+0.332*((Table1[[#This Row],[Gestation (days)]]+0.5)/7)-0.00354*((Table1[[#This Row],[Gestation (days)]]+0.5)/7)^2)*Table1[[#This Row],[BW40_3705]],"")</f>
        <v/>
      </c>
      <c r="G236" s="2" t="str">
        <f>IF(Table1[[#This Row],[Is Data Valid]]=TRUE,((Table1[[#This Row],[Birthweight (grams)]]/Table1[[#This Row],[BW_GA]])-1)/(Backend!$B$4/100*Table1[[#This Row],[BW40_3705]]),"")</f>
        <v/>
      </c>
      <c r="H236" s="7" t="str">
        <f>IF(Table1[[#This Row],[Is Data Valid]]=TRUE,((Table1[[#This Row],[Birthweight (grams)]]*0.9/Table1[[#This Row],[BW_GA]])-1)/(Backend!$B$4/100*Table1[[#This Row],[BW40_3705]]),"")</f>
        <v/>
      </c>
      <c r="I236" s="7" t="str">
        <f>IF(Table1[[#This Row],[Is Data Valid]]=TRUE,((Table1[[#This Row],[Birthweight (grams)]]*1.1/Table1[[#This Row],[BW_GA]])-1)/(Backend!$B$4/100*Table1[[#This Row],[BW40_3705]]),"")</f>
        <v/>
      </c>
      <c r="J236" s="7" t="str">
        <f>IF(Table1[[#This Row],[Is Data Valid]]=TRUE,_xlfn.NORM.S.DIST(Table1[[#This Row],[Birthweight Z-Score]],TRUE)*100,"")</f>
        <v/>
      </c>
      <c r="K236" s="7" t="str">
        <f>IF(Table1[[#This Row],[Is Data Valid]]=TRUE,_xlfn.NORM.S.DIST(Table1[[#This Row],[Birthweight Z-Score (BW-10%)]],TRUE)*100,"")</f>
        <v/>
      </c>
      <c r="L236" s="7" t="str">
        <f>IF(Table1[[#This Row],[Is Data Valid]]=TRUE,_xlfn.NORM.S.DIST(Table1[[#This Row],[Birthweight Z-Score (BW+10%)]],TRUE)*100,"")</f>
        <v/>
      </c>
    </row>
    <row r="237" spans="1:12" x14ac:dyDescent="0.35">
      <c r="A237" s="3"/>
      <c r="B237" s="2"/>
      <c r="C237" s="2"/>
      <c r="D237" s="2" t="b">
        <f>IF(AND(NOT(ISBLANK(Table1[[#This Row],[Fetal Sex (Male, Female or Unknown)]])),ISNUMBER(Table1[[#This Row],[Birthweight (grams)]]),ISNUMBER(Table1[[#This Row],[Gestation (days)]])),TRUE,FALSE)</f>
        <v>0</v>
      </c>
      <c r="E237" s="2" t="str">
        <f>IF(Table1[[#This Row],[Is Data Valid]]=TRUE,IF(Table1[[#This Row],[Fetal Sex (Male, Female or Unknown)]]="Male",Backend!$C$6,IF(Table1[[#This Row],[Fetal Sex (Male, Female or Unknown)]]="Female",Backend!$C$7,IF(Table1[[#This Row],[Fetal Sex (Male, Female or Unknown)]]="Unknown",Backend!$C$8,"Error"))),"")</f>
        <v/>
      </c>
      <c r="F237" s="8" t="str">
        <f>IF(Table1[[#This Row],[Is Data Valid]]=TRUE,EXP(0.578+0.332*((Table1[[#This Row],[Gestation (days)]]+0.5)/7)-0.00354*((Table1[[#This Row],[Gestation (days)]]+0.5)/7)^2)*Table1[[#This Row],[BW40_3705]],"")</f>
        <v/>
      </c>
      <c r="G237" s="2" t="str">
        <f>IF(Table1[[#This Row],[Is Data Valid]]=TRUE,((Table1[[#This Row],[Birthweight (grams)]]/Table1[[#This Row],[BW_GA]])-1)/(Backend!$B$4/100*Table1[[#This Row],[BW40_3705]]),"")</f>
        <v/>
      </c>
      <c r="H237" s="7" t="str">
        <f>IF(Table1[[#This Row],[Is Data Valid]]=TRUE,((Table1[[#This Row],[Birthweight (grams)]]*0.9/Table1[[#This Row],[BW_GA]])-1)/(Backend!$B$4/100*Table1[[#This Row],[BW40_3705]]),"")</f>
        <v/>
      </c>
      <c r="I237" s="7" t="str">
        <f>IF(Table1[[#This Row],[Is Data Valid]]=TRUE,((Table1[[#This Row],[Birthweight (grams)]]*1.1/Table1[[#This Row],[BW_GA]])-1)/(Backend!$B$4/100*Table1[[#This Row],[BW40_3705]]),"")</f>
        <v/>
      </c>
      <c r="J237" s="7" t="str">
        <f>IF(Table1[[#This Row],[Is Data Valid]]=TRUE,_xlfn.NORM.S.DIST(Table1[[#This Row],[Birthweight Z-Score]],TRUE)*100,"")</f>
        <v/>
      </c>
      <c r="K237" s="7" t="str">
        <f>IF(Table1[[#This Row],[Is Data Valid]]=TRUE,_xlfn.NORM.S.DIST(Table1[[#This Row],[Birthweight Z-Score (BW-10%)]],TRUE)*100,"")</f>
        <v/>
      </c>
      <c r="L237" s="7" t="str">
        <f>IF(Table1[[#This Row],[Is Data Valid]]=TRUE,_xlfn.NORM.S.DIST(Table1[[#This Row],[Birthweight Z-Score (BW+10%)]],TRUE)*100,"")</f>
        <v/>
      </c>
    </row>
    <row r="238" spans="1:12" x14ac:dyDescent="0.35">
      <c r="A238" s="3"/>
      <c r="B238" s="2"/>
      <c r="C238" s="2"/>
      <c r="D238" s="2" t="b">
        <f>IF(AND(NOT(ISBLANK(Table1[[#This Row],[Fetal Sex (Male, Female or Unknown)]])),ISNUMBER(Table1[[#This Row],[Birthweight (grams)]]),ISNUMBER(Table1[[#This Row],[Gestation (days)]])),TRUE,FALSE)</f>
        <v>0</v>
      </c>
      <c r="E238" s="2" t="str">
        <f>IF(Table1[[#This Row],[Is Data Valid]]=TRUE,IF(Table1[[#This Row],[Fetal Sex (Male, Female or Unknown)]]="Male",Backend!$C$6,IF(Table1[[#This Row],[Fetal Sex (Male, Female or Unknown)]]="Female",Backend!$C$7,IF(Table1[[#This Row],[Fetal Sex (Male, Female or Unknown)]]="Unknown",Backend!$C$8,"Error"))),"")</f>
        <v/>
      </c>
      <c r="F238" s="8" t="str">
        <f>IF(Table1[[#This Row],[Is Data Valid]]=TRUE,EXP(0.578+0.332*((Table1[[#This Row],[Gestation (days)]]+0.5)/7)-0.00354*((Table1[[#This Row],[Gestation (days)]]+0.5)/7)^2)*Table1[[#This Row],[BW40_3705]],"")</f>
        <v/>
      </c>
      <c r="G238" s="2" t="str">
        <f>IF(Table1[[#This Row],[Is Data Valid]]=TRUE,((Table1[[#This Row],[Birthweight (grams)]]/Table1[[#This Row],[BW_GA]])-1)/(Backend!$B$4/100*Table1[[#This Row],[BW40_3705]]),"")</f>
        <v/>
      </c>
      <c r="H238" s="7" t="str">
        <f>IF(Table1[[#This Row],[Is Data Valid]]=TRUE,((Table1[[#This Row],[Birthweight (grams)]]*0.9/Table1[[#This Row],[BW_GA]])-1)/(Backend!$B$4/100*Table1[[#This Row],[BW40_3705]]),"")</f>
        <v/>
      </c>
      <c r="I238" s="7" t="str">
        <f>IF(Table1[[#This Row],[Is Data Valid]]=TRUE,((Table1[[#This Row],[Birthweight (grams)]]*1.1/Table1[[#This Row],[BW_GA]])-1)/(Backend!$B$4/100*Table1[[#This Row],[BW40_3705]]),"")</f>
        <v/>
      </c>
      <c r="J238" s="7" t="str">
        <f>IF(Table1[[#This Row],[Is Data Valid]]=TRUE,_xlfn.NORM.S.DIST(Table1[[#This Row],[Birthweight Z-Score]],TRUE)*100,"")</f>
        <v/>
      </c>
      <c r="K238" s="7" t="str">
        <f>IF(Table1[[#This Row],[Is Data Valid]]=TRUE,_xlfn.NORM.S.DIST(Table1[[#This Row],[Birthweight Z-Score (BW-10%)]],TRUE)*100,"")</f>
        <v/>
      </c>
      <c r="L238" s="7" t="str">
        <f>IF(Table1[[#This Row],[Is Data Valid]]=TRUE,_xlfn.NORM.S.DIST(Table1[[#This Row],[Birthweight Z-Score (BW+10%)]],TRUE)*100,"")</f>
        <v/>
      </c>
    </row>
    <row r="239" spans="1:12" x14ac:dyDescent="0.35">
      <c r="A239" s="3"/>
      <c r="B239" s="2"/>
      <c r="C239" s="2"/>
      <c r="D239" s="2" t="b">
        <f>IF(AND(NOT(ISBLANK(Table1[[#This Row],[Fetal Sex (Male, Female or Unknown)]])),ISNUMBER(Table1[[#This Row],[Birthweight (grams)]]),ISNUMBER(Table1[[#This Row],[Gestation (days)]])),TRUE,FALSE)</f>
        <v>0</v>
      </c>
      <c r="E239" s="2" t="str">
        <f>IF(Table1[[#This Row],[Is Data Valid]]=TRUE,IF(Table1[[#This Row],[Fetal Sex (Male, Female or Unknown)]]="Male",Backend!$C$6,IF(Table1[[#This Row],[Fetal Sex (Male, Female or Unknown)]]="Female",Backend!$C$7,IF(Table1[[#This Row],[Fetal Sex (Male, Female or Unknown)]]="Unknown",Backend!$C$8,"Error"))),"")</f>
        <v/>
      </c>
      <c r="F239" s="8" t="str">
        <f>IF(Table1[[#This Row],[Is Data Valid]]=TRUE,EXP(0.578+0.332*((Table1[[#This Row],[Gestation (days)]]+0.5)/7)-0.00354*((Table1[[#This Row],[Gestation (days)]]+0.5)/7)^2)*Table1[[#This Row],[BW40_3705]],"")</f>
        <v/>
      </c>
      <c r="G239" s="2" t="str">
        <f>IF(Table1[[#This Row],[Is Data Valid]]=TRUE,((Table1[[#This Row],[Birthweight (grams)]]/Table1[[#This Row],[BW_GA]])-1)/(Backend!$B$4/100*Table1[[#This Row],[BW40_3705]]),"")</f>
        <v/>
      </c>
      <c r="H239" s="7" t="str">
        <f>IF(Table1[[#This Row],[Is Data Valid]]=TRUE,((Table1[[#This Row],[Birthweight (grams)]]*0.9/Table1[[#This Row],[BW_GA]])-1)/(Backend!$B$4/100*Table1[[#This Row],[BW40_3705]]),"")</f>
        <v/>
      </c>
      <c r="I239" s="7" t="str">
        <f>IF(Table1[[#This Row],[Is Data Valid]]=TRUE,((Table1[[#This Row],[Birthweight (grams)]]*1.1/Table1[[#This Row],[BW_GA]])-1)/(Backend!$B$4/100*Table1[[#This Row],[BW40_3705]]),"")</f>
        <v/>
      </c>
      <c r="J239" s="7" t="str">
        <f>IF(Table1[[#This Row],[Is Data Valid]]=TRUE,_xlfn.NORM.S.DIST(Table1[[#This Row],[Birthweight Z-Score]],TRUE)*100,"")</f>
        <v/>
      </c>
      <c r="K239" s="7" t="str">
        <f>IF(Table1[[#This Row],[Is Data Valid]]=TRUE,_xlfn.NORM.S.DIST(Table1[[#This Row],[Birthweight Z-Score (BW-10%)]],TRUE)*100,"")</f>
        <v/>
      </c>
      <c r="L239" s="7" t="str">
        <f>IF(Table1[[#This Row],[Is Data Valid]]=TRUE,_xlfn.NORM.S.DIST(Table1[[#This Row],[Birthweight Z-Score (BW+10%)]],TRUE)*100,"")</f>
        <v/>
      </c>
    </row>
    <row r="240" spans="1:12" x14ac:dyDescent="0.35">
      <c r="A240" s="3"/>
      <c r="B240" s="2"/>
      <c r="C240" s="2"/>
      <c r="D240" s="2" t="b">
        <f>IF(AND(NOT(ISBLANK(Table1[[#This Row],[Fetal Sex (Male, Female or Unknown)]])),ISNUMBER(Table1[[#This Row],[Birthweight (grams)]]),ISNUMBER(Table1[[#This Row],[Gestation (days)]])),TRUE,FALSE)</f>
        <v>0</v>
      </c>
      <c r="E240" s="2" t="str">
        <f>IF(Table1[[#This Row],[Is Data Valid]]=TRUE,IF(Table1[[#This Row],[Fetal Sex (Male, Female or Unknown)]]="Male",Backend!$C$6,IF(Table1[[#This Row],[Fetal Sex (Male, Female or Unknown)]]="Female",Backend!$C$7,IF(Table1[[#This Row],[Fetal Sex (Male, Female or Unknown)]]="Unknown",Backend!$C$8,"Error"))),"")</f>
        <v/>
      </c>
      <c r="F240" s="8" t="str">
        <f>IF(Table1[[#This Row],[Is Data Valid]]=TRUE,EXP(0.578+0.332*((Table1[[#This Row],[Gestation (days)]]+0.5)/7)-0.00354*((Table1[[#This Row],[Gestation (days)]]+0.5)/7)^2)*Table1[[#This Row],[BW40_3705]],"")</f>
        <v/>
      </c>
      <c r="G240" s="2" t="str">
        <f>IF(Table1[[#This Row],[Is Data Valid]]=TRUE,((Table1[[#This Row],[Birthweight (grams)]]/Table1[[#This Row],[BW_GA]])-1)/(Backend!$B$4/100*Table1[[#This Row],[BW40_3705]]),"")</f>
        <v/>
      </c>
      <c r="H240" s="7" t="str">
        <f>IF(Table1[[#This Row],[Is Data Valid]]=TRUE,((Table1[[#This Row],[Birthweight (grams)]]*0.9/Table1[[#This Row],[BW_GA]])-1)/(Backend!$B$4/100*Table1[[#This Row],[BW40_3705]]),"")</f>
        <v/>
      </c>
      <c r="I240" s="7" t="str">
        <f>IF(Table1[[#This Row],[Is Data Valid]]=TRUE,((Table1[[#This Row],[Birthweight (grams)]]*1.1/Table1[[#This Row],[BW_GA]])-1)/(Backend!$B$4/100*Table1[[#This Row],[BW40_3705]]),"")</f>
        <v/>
      </c>
      <c r="J240" s="7" t="str">
        <f>IF(Table1[[#This Row],[Is Data Valid]]=TRUE,_xlfn.NORM.S.DIST(Table1[[#This Row],[Birthweight Z-Score]],TRUE)*100,"")</f>
        <v/>
      </c>
      <c r="K240" s="7" t="str">
        <f>IF(Table1[[#This Row],[Is Data Valid]]=TRUE,_xlfn.NORM.S.DIST(Table1[[#This Row],[Birthweight Z-Score (BW-10%)]],TRUE)*100,"")</f>
        <v/>
      </c>
      <c r="L240" s="7" t="str">
        <f>IF(Table1[[#This Row],[Is Data Valid]]=TRUE,_xlfn.NORM.S.DIST(Table1[[#This Row],[Birthweight Z-Score (BW+10%)]],TRUE)*100,"")</f>
        <v/>
      </c>
    </row>
    <row r="241" spans="1:12" x14ac:dyDescent="0.35">
      <c r="A241" s="3"/>
      <c r="B241" s="2"/>
      <c r="C241" s="2"/>
      <c r="D241" s="2" t="b">
        <f>IF(AND(NOT(ISBLANK(Table1[[#This Row],[Fetal Sex (Male, Female or Unknown)]])),ISNUMBER(Table1[[#This Row],[Birthweight (grams)]]),ISNUMBER(Table1[[#This Row],[Gestation (days)]])),TRUE,FALSE)</f>
        <v>0</v>
      </c>
      <c r="E241" s="2" t="str">
        <f>IF(Table1[[#This Row],[Is Data Valid]]=TRUE,IF(Table1[[#This Row],[Fetal Sex (Male, Female or Unknown)]]="Male",Backend!$C$6,IF(Table1[[#This Row],[Fetal Sex (Male, Female or Unknown)]]="Female",Backend!$C$7,IF(Table1[[#This Row],[Fetal Sex (Male, Female or Unknown)]]="Unknown",Backend!$C$8,"Error"))),"")</f>
        <v/>
      </c>
      <c r="F241" s="8" t="str">
        <f>IF(Table1[[#This Row],[Is Data Valid]]=TRUE,EXP(0.578+0.332*((Table1[[#This Row],[Gestation (days)]]+0.5)/7)-0.00354*((Table1[[#This Row],[Gestation (days)]]+0.5)/7)^2)*Table1[[#This Row],[BW40_3705]],"")</f>
        <v/>
      </c>
      <c r="G241" s="2" t="str">
        <f>IF(Table1[[#This Row],[Is Data Valid]]=TRUE,((Table1[[#This Row],[Birthweight (grams)]]/Table1[[#This Row],[BW_GA]])-1)/(Backend!$B$4/100*Table1[[#This Row],[BW40_3705]]),"")</f>
        <v/>
      </c>
      <c r="H241" s="7" t="str">
        <f>IF(Table1[[#This Row],[Is Data Valid]]=TRUE,((Table1[[#This Row],[Birthweight (grams)]]*0.9/Table1[[#This Row],[BW_GA]])-1)/(Backend!$B$4/100*Table1[[#This Row],[BW40_3705]]),"")</f>
        <v/>
      </c>
      <c r="I241" s="7" t="str">
        <f>IF(Table1[[#This Row],[Is Data Valid]]=TRUE,((Table1[[#This Row],[Birthweight (grams)]]*1.1/Table1[[#This Row],[BW_GA]])-1)/(Backend!$B$4/100*Table1[[#This Row],[BW40_3705]]),"")</f>
        <v/>
      </c>
      <c r="J241" s="7" t="str">
        <f>IF(Table1[[#This Row],[Is Data Valid]]=TRUE,_xlfn.NORM.S.DIST(Table1[[#This Row],[Birthweight Z-Score]],TRUE)*100,"")</f>
        <v/>
      </c>
      <c r="K241" s="7" t="str">
        <f>IF(Table1[[#This Row],[Is Data Valid]]=TRUE,_xlfn.NORM.S.DIST(Table1[[#This Row],[Birthweight Z-Score (BW-10%)]],TRUE)*100,"")</f>
        <v/>
      </c>
      <c r="L241" s="7" t="str">
        <f>IF(Table1[[#This Row],[Is Data Valid]]=TRUE,_xlfn.NORM.S.DIST(Table1[[#This Row],[Birthweight Z-Score (BW+10%)]],TRUE)*100,"")</f>
        <v/>
      </c>
    </row>
    <row r="242" spans="1:12" x14ac:dyDescent="0.35">
      <c r="A242" s="3"/>
      <c r="B242" s="2"/>
      <c r="C242" s="2"/>
      <c r="D242" s="2" t="b">
        <f>IF(AND(NOT(ISBLANK(Table1[[#This Row],[Fetal Sex (Male, Female or Unknown)]])),ISNUMBER(Table1[[#This Row],[Birthweight (grams)]]),ISNUMBER(Table1[[#This Row],[Gestation (days)]])),TRUE,FALSE)</f>
        <v>0</v>
      </c>
      <c r="E242" s="2" t="str">
        <f>IF(Table1[[#This Row],[Is Data Valid]]=TRUE,IF(Table1[[#This Row],[Fetal Sex (Male, Female or Unknown)]]="Male",Backend!$C$6,IF(Table1[[#This Row],[Fetal Sex (Male, Female or Unknown)]]="Female",Backend!$C$7,IF(Table1[[#This Row],[Fetal Sex (Male, Female or Unknown)]]="Unknown",Backend!$C$8,"Error"))),"")</f>
        <v/>
      </c>
      <c r="F242" s="8" t="str">
        <f>IF(Table1[[#This Row],[Is Data Valid]]=TRUE,EXP(0.578+0.332*((Table1[[#This Row],[Gestation (days)]]+0.5)/7)-0.00354*((Table1[[#This Row],[Gestation (days)]]+0.5)/7)^2)*Table1[[#This Row],[BW40_3705]],"")</f>
        <v/>
      </c>
      <c r="G242" s="2" t="str">
        <f>IF(Table1[[#This Row],[Is Data Valid]]=TRUE,((Table1[[#This Row],[Birthweight (grams)]]/Table1[[#This Row],[BW_GA]])-1)/(Backend!$B$4/100*Table1[[#This Row],[BW40_3705]]),"")</f>
        <v/>
      </c>
      <c r="H242" s="7" t="str">
        <f>IF(Table1[[#This Row],[Is Data Valid]]=TRUE,((Table1[[#This Row],[Birthweight (grams)]]*0.9/Table1[[#This Row],[BW_GA]])-1)/(Backend!$B$4/100*Table1[[#This Row],[BW40_3705]]),"")</f>
        <v/>
      </c>
      <c r="I242" s="7" t="str">
        <f>IF(Table1[[#This Row],[Is Data Valid]]=TRUE,((Table1[[#This Row],[Birthweight (grams)]]*1.1/Table1[[#This Row],[BW_GA]])-1)/(Backend!$B$4/100*Table1[[#This Row],[BW40_3705]]),"")</f>
        <v/>
      </c>
      <c r="J242" s="7" t="str">
        <f>IF(Table1[[#This Row],[Is Data Valid]]=TRUE,_xlfn.NORM.S.DIST(Table1[[#This Row],[Birthweight Z-Score]],TRUE)*100,"")</f>
        <v/>
      </c>
      <c r="K242" s="7" t="str">
        <f>IF(Table1[[#This Row],[Is Data Valid]]=TRUE,_xlfn.NORM.S.DIST(Table1[[#This Row],[Birthweight Z-Score (BW-10%)]],TRUE)*100,"")</f>
        <v/>
      </c>
      <c r="L242" s="7" t="str">
        <f>IF(Table1[[#This Row],[Is Data Valid]]=TRUE,_xlfn.NORM.S.DIST(Table1[[#This Row],[Birthweight Z-Score (BW+10%)]],TRUE)*100,"")</f>
        <v/>
      </c>
    </row>
    <row r="243" spans="1:12" x14ac:dyDescent="0.35">
      <c r="A243" s="3"/>
      <c r="B243" s="2"/>
      <c r="C243" s="2"/>
      <c r="D243" s="2" t="b">
        <f>IF(AND(NOT(ISBLANK(Table1[[#This Row],[Fetal Sex (Male, Female or Unknown)]])),ISNUMBER(Table1[[#This Row],[Birthweight (grams)]]),ISNUMBER(Table1[[#This Row],[Gestation (days)]])),TRUE,FALSE)</f>
        <v>0</v>
      </c>
      <c r="E243" s="2" t="str">
        <f>IF(Table1[[#This Row],[Is Data Valid]]=TRUE,IF(Table1[[#This Row],[Fetal Sex (Male, Female or Unknown)]]="Male",Backend!$C$6,IF(Table1[[#This Row],[Fetal Sex (Male, Female or Unknown)]]="Female",Backend!$C$7,IF(Table1[[#This Row],[Fetal Sex (Male, Female or Unknown)]]="Unknown",Backend!$C$8,"Error"))),"")</f>
        <v/>
      </c>
      <c r="F243" s="8" t="str">
        <f>IF(Table1[[#This Row],[Is Data Valid]]=TRUE,EXP(0.578+0.332*((Table1[[#This Row],[Gestation (days)]]+0.5)/7)-0.00354*((Table1[[#This Row],[Gestation (days)]]+0.5)/7)^2)*Table1[[#This Row],[BW40_3705]],"")</f>
        <v/>
      </c>
      <c r="G243" s="2" t="str">
        <f>IF(Table1[[#This Row],[Is Data Valid]]=TRUE,((Table1[[#This Row],[Birthweight (grams)]]/Table1[[#This Row],[BW_GA]])-1)/(Backend!$B$4/100*Table1[[#This Row],[BW40_3705]]),"")</f>
        <v/>
      </c>
      <c r="H243" s="7" t="str">
        <f>IF(Table1[[#This Row],[Is Data Valid]]=TRUE,((Table1[[#This Row],[Birthweight (grams)]]*0.9/Table1[[#This Row],[BW_GA]])-1)/(Backend!$B$4/100*Table1[[#This Row],[BW40_3705]]),"")</f>
        <v/>
      </c>
      <c r="I243" s="7" t="str">
        <f>IF(Table1[[#This Row],[Is Data Valid]]=TRUE,((Table1[[#This Row],[Birthweight (grams)]]*1.1/Table1[[#This Row],[BW_GA]])-1)/(Backend!$B$4/100*Table1[[#This Row],[BW40_3705]]),"")</f>
        <v/>
      </c>
      <c r="J243" s="7" t="str">
        <f>IF(Table1[[#This Row],[Is Data Valid]]=TRUE,_xlfn.NORM.S.DIST(Table1[[#This Row],[Birthweight Z-Score]],TRUE)*100,"")</f>
        <v/>
      </c>
      <c r="K243" s="7" t="str">
        <f>IF(Table1[[#This Row],[Is Data Valid]]=TRUE,_xlfn.NORM.S.DIST(Table1[[#This Row],[Birthweight Z-Score (BW-10%)]],TRUE)*100,"")</f>
        <v/>
      </c>
      <c r="L243" s="7" t="str">
        <f>IF(Table1[[#This Row],[Is Data Valid]]=TRUE,_xlfn.NORM.S.DIST(Table1[[#This Row],[Birthweight Z-Score (BW+10%)]],TRUE)*100,"")</f>
        <v/>
      </c>
    </row>
    <row r="244" spans="1:12" x14ac:dyDescent="0.35">
      <c r="A244" s="3"/>
      <c r="B244" s="2"/>
      <c r="C244" s="2"/>
      <c r="D244" s="2" t="b">
        <f>IF(AND(NOT(ISBLANK(Table1[[#This Row],[Fetal Sex (Male, Female or Unknown)]])),ISNUMBER(Table1[[#This Row],[Birthweight (grams)]]),ISNUMBER(Table1[[#This Row],[Gestation (days)]])),TRUE,FALSE)</f>
        <v>0</v>
      </c>
      <c r="E244" s="2" t="str">
        <f>IF(Table1[[#This Row],[Is Data Valid]]=TRUE,IF(Table1[[#This Row],[Fetal Sex (Male, Female or Unknown)]]="Male",Backend!$C$6,IF(Table1[[#This Row],[Fetal Sex (Male, Female or Unknown)]]="Female",Backend!$C$7,IF(Table1[[#This Row],[Fetal Sex (Male, Female or Unknown)]]="Unknown",Backend!$C$8,"Error"))),"")</f>
        <v/>
      </c>
      <c r="F244" s="8" t="str">
        <f>IF(Table1[[#This Row],[Is Data Valid]]=TRUE,EXP(0.578+0.332*((Table1[[#This Row],[Gestation (days)]]+0.5)/7)-0.00354*((Table1[[#This Row],[Gestation (days)]]+0.5)/7)^2)*Table1[[#This Row],[BW40_3705]],"")</f>
        <v/>
      </c>
      <c r="G244" s="2" t="str">
        <f>IF(Table1[[#This Row],[Is Data Valid]]=TRUE,((Table1[[#This Row],[Birthweight (grams)]]/Table1[[#This Row],[BW_GA]])-1)/(Backend!$B$4/100*Table1[[#This Row],[BW40_3705]]),"")</f>
        <v/>
      </c>
      <c r="H244" s="7" t="str">
        <f>IF(Table1[[#This Row],[Is Data Valid]]=TRUE,((Table1[[#This Row],[Birthweight (grams)]]*0.9/Table1[[#This Row],[BW_GA]])-1)/(Backend!$B$4/100*Table1[[#This Row],[BW40_3705]]),"")</f>
        <v/>
      </c>
      <c r="I244" s="7" t="str">
        <f>IF(Table1[[#This Row],[Is Data Valid]]=TRUE,((Table1[[#This Row],[Birthweight (grams)]]*1.1/Table1[[#This Row],[BW_GA]])-1)/(Backend!$B$4/100*Table1[[#This Row],[BW40_3705]]),"")</f>
        <v/>
      </c>
      <c r="J244" s="7" t="str">
        <f>IF(Table1[[#This Row],[Is Data Valid]]=TRUE,_xlfn.NORM.S.DIST(Table1[[#This Row],[Birthweight Z-Score]],TRUE)*100,"")</f>
        <v/>
      </c>
      <c r="K244" s="7" t="str">
        <f>IF(Table1[[#This Row],[Is Data Valid]]=TRUE,_xlfn.NORM.S.DIST(Table1[[#This Row],[Birthweight Z-Score (BW-10%)]],TRUE)*100,"")</f>
        <v/>
      </c>
      <c r="L244" s="7" t="str">
        <f>IF(Table1[[#This Row],[Is Data Valid]]=TRUE,_xlfn.NORM.S.DIST(Table1[[#This Row],[Birthweight Z-Score (BW+10%)]],TRUE)*100,"")</f>
        <v/>
      </c>
    </row>
    <row r="245" spans="1:12" x14ac:dyDescent="0.35">
      <c r="A245" s="3"/>
      <c r="B245" s="2"/>
      <c r="C245" s="2"/>
      <c r="D245" s="2" t="b">
        <f>IF(AND(NOT(ISBLANK(Table1[[#This Row],[Fetal Sex (Male, Female or Unknown)]])),ISNUMBER(Table1[[#This Row],[Birthweight (grams)]]),ISNUMBER(Table1[[#This Row],[Gestation (days)]])),TRUE,FALSE)</f>
        <v>0</v>
      </c>
      <c r="E245" s="2" t="str">
        <f>IF(Table1[[#This Row],[Is Data Valid]]=TRUE,IF(Table1[[#This Row],[Fetal Sex (Male, Female or Unknown)]]="Male",Backend!$C$6,IF(Table1[[#This Row],[Fetal Sex (Male, Female or Unknown)]]="Female",Backend!$C$7,IF(Table1[[#This Row],[Fetal Sex (Male, Female or Unknown)]]="Unknown",Backend!$C$8,"Error"))),"")</f>
        <v/>
      </c>
      <c r="F245" s="8" t="str">
        <f>IF(Table1[[#This Row],[Is Data Valid]]=TRUE,EXP(0.578+0.332*((Table1[[#This Row],[Gestation (days)]]+0.5)/7)-0.00354*((Table1[[#This Row],[Gestation (days)]]+0.5)/7)^2)*Table1[[#This Row],[BW40_3705]],"")</f>
        <v/>
      </c>
      <c r="G245" s="2" t="str">
        <f>IF(Table1[[#This Row],[Is Data Valid]]=TRUE,((Table1[[#This Row],[Birthweight (grams)]]/Table1[[#This Row],[BW_GA]])-1)/(Backend!$B$4/100*Table1[[#This Row],[BW40_3705]]),"")</f>
        <v/>
      </c>
      <c r="H245" s="7" t="str">
        <f>IF(Table1[[#This Row],[Is Data Valid]]=TRUE,((Table1[[#This Row],[Birthweight (grams)]]*0.9/Table1[[#This Row],[BW_GA]])-1)/(Backend!$B$4/100*Table1[[#This Row],[BW40_3705]]),"")</f>
        <v/>
      </c>
      <c r="I245" s="7" t="str">
        <f>IF(Table1[[#This Row],[Is Data Valid]]=TRUE,((Table1[[#This Row],[Birthweight (grams)]]*1.1/Table1[[#This Row],[BW_GA]])-1)/(Backend!$B$4/100*Table1[[#This Row],[BW40_3705]]),"")</f>
        <v/>
      </c>
      <c r="J245" s="7" t="str">
        <f>IF(Table1[[#This Row],[Is Data Valid]]=TRUE,_xlfn.NORM.S.DIST(Table1[[#This Row],[Birthweight Z-Score]],TRUE)*100,"")</f>
        <v/>
      </c>
      <c r="K245" s="7" t="str">
        <f>IF(Table1[[#This Row],[Is Data Valid]]=TRUE,_xlfn.NORM.S.DIST(Table1[[#This Row],[Birthweight Z-Score (BW-10%)]],TRUE)*100,"")</f>
        <v/>
      </c>
      <c r="L245" s="7" t="str">
        <f>IF(Table1[[#This Row],[Is Data Valid]]=TRUE,_xlfn.NORM.S.DIST(Table1[[#This Row],[Birthweight Z-Score (BW+10%)]],TRUE)*100,"")</f>
        <v/>
      </c>
    </row>
    <row r="246" spans="1:12" x14ac:dyDescent="0.35">
      <c r="A246" s="3"/>
      <c r="B246" s="2"/>
      <c r="C246" s="2"/>
      <c r="D246" s="2" t="b">
        <f>IF(AND(NOT(ISBLANK(Table1[[#This Row],[Fetal Sex (Male, Female or Unknown)]])),ISNUMBER(Table1[[#This Row],[Birthweight (grams)]]),ISNUMBER(Table1[[#This Row],[Gestation (days)]])),TRUE,FALSE)</f>
        <v>0</v>
      </c>
      <c r="E246" s="2" t="str">
        <f>IF(Table1[[#This Row],[Is Data Valid]]=TRUE,IF(Table1[[#This Row],[Fetal Sex (Male, Female or Unknown)]]="Male",Backend!$C$6,IF(Table1[[#This Row],[Fetal Sex (Male, Female or Unknown)]]="Female",Backend!$C$7,IF(Table1[[#This Row],[Fetal Sex (Male, Female or Unknown)]]="Unknown",Backend!$C$8,"Error"))),"")</f>
        <v/>
      </c>
      <c r="F246" s="8" t="str">
        <f>IF(Table1[[#This Row],[Is Data Valid]]=TRUE,EXP(0.578+0.332*((Table1[[#This Row],[Gestation (days)]]+0.5)/7)-0.00354*((Table1[[#This Row],[Gestation (days)]]+0.5)/7)^2)*Table1[[#This Row],[BW40_3705]],"")</f>
        <v/>
      </c>
      <c r="G246" s="2" t="str">
        <f>IF(Table1[[#This Row],[Is Data Valid]]=TRUE,((Table1[[#This Row],[Birthweight (grams)]]/Table1[[#This Row],[BW_GA]])-1)/(Backend!$B$4/100*Table1[[#This Row],[BW40_3705]]),"")</f>
        <v/>
      </c>
      <c r="H246" s="7" t="str">
        <f>IF(Table1[[#This Row],[Is Data Valid]]=TRUE,((Table1[[#This Row],[Birthweight (grams)]]*0.9/Table1[[#This Row],[BW_GA]])-1)/(Backend!$B$4/100*Table1[[#This Row],[BW40_3705]]),"")</f>
        <v/>
      </c>
      <c r="I246" s="7" t="str">
        <f>IF(Table1[[#This Row],[Is Data Valid]]=TRUE,((Table1[[#This Row],[Birthweight (grams)]]*1.1/Table1[[#This Row],[BW_GA]])-1)/(Backend!$B$4/100*Table1[[#This Row],[BW40_3705]]),"")</f>
        <v/>
      </c>
      <c r="J246" s="7" t="str">
        <f>IF(Table1[[#This Row],[Is Data Valid]]=TRUE,_xlfn.NORM.S.DIST(Table1[[#This Row],[Birthweight Z-Score]],TRUE)*100,"")</f>
        <v/>
      </c>
      <c r="K246" s="7" t="str">
        <f>IF(Table1[[#This Row],[Is Data Valid]]=TRUE,_xlfn.NORM.S.DIST(Table1[[#This Row],[Birthweight Z-Score (BW-10%)]],TRUE)*100,"")</f>
        <v/>
      </c>
      <c r="L246" s="7" t="str">
        <f>IF(Table1[[#This Row],[Is Data Valid]]=TRUE,_xlfn.NORM.S.DIST(Table1[[#This Row],[Birthweight Z-Score (BW+10%)]],TRUE)*100,"")</f>
        <v/>
      </c>
    </row>
    <row r="247" spans="1:12" x14ac:dyDescent="0.35">
      <c r="A247" s="3"/>
      <c r="B247" s="2"/>
      <c r="C247" s="2"/>
      <c r="D247" s="2" t="b">
        <f>IF(AND(NOT(ISBLANK(Table1[[#This Row],[Fetal Sex (Male, Female or Unknown)]])),ISNUMBER(Table1[[#This Row],[Birthweight (grams)]]),ISNUMBER(Table1[[#This Row],[Gestation (days)]])),TRUE,FALSE)</f>
        <v>0</v>
      </c>
      <c r="E247" s="2" t="str">
        <f>IF(Table1[[#This Row],[Is Data Valid]]=TRUE,IF(Table1[[#This Row],[Fetal Sex (Male, Female or Unknown)]]="Male",Backend!$C$6,IF(Table1[[#This Row],[Fetal Sex (Male, Female or Unknown)]]="Female",Backend!$C$7,IF(Table1[[#This Row],[Fetal Sex (Male, Female or Unknown)]]="Unknown",Backend!$C$8,"Error"))),"")</f>
        <v/>
      </c>
      <c r="F247" s="8" t="str">
        <f>IF(Table1[[#This Row],[Is Data Valid]]=TRUE,EXP(0.578+0.332*((Table1[[#This Row],[Gestation (days)]]+0.5)/7)-0.00354*((Table1[[#This Row],[Gestation (days)]]+0.5)/7)^2)*Table1[[#This Row],[BW40_3705]],"")</f>
        <v/>
      </c>
      <c r="G247" s="2" t="str">
        <f>IF(Table1[[#This Row],[Is Data Valid]]=TRUE,((Table1[[#This Row],[Birthweight (grams)]]/Table1[[#This Row],[BW_GA]])-1)/(Backend!$B$4/100*Table1[[#This Row],[BW40_3705]]),"")</f>
        <v/>
      </c>
      <c r="H247" s="7" t="str">
        <f>IF(Table1[[#This Row],[Is Data Valid]]=TRUE,((Table1[[#This Row],[Birthweight (grams)]]*0.9/Table1[[#This Row],[BW_GA]])-1)/(Backend!$B$4/100*Table1[[#This Row],[BW40_3705]]),"")</f>
        <v/>
      </c>
      <c r="I247" s="7" t="str">
        <f>IF(Table1[[#This Row],[Is Data Valid]]=TRUE,((Table1[[#This Row],[Birthweight (grams)]]*1.1/Table1[[#This Row],[BW_GA]])-1)/(Backend!$B$4/100*Table1[[#This Row],[BW40_3705]]),"")</f>
        <v/>
      </c>
      <c r="J247" s="7" t="str">
        <f>IF(Table1[[#This Row],[Is Data Valid]]=TRUE,_xlfn.NORM.S.DIST(Table1[[#This Row],[Birthweight Z-Score]],TRUE)*100,"")</f>
        <v/>
      </c>
      <c r="K247" s="7" t="str">
        <f>IF(Table1[[#This Row],[Is Data Valid]]=TRUE,_xlfn.NORM.S.DIST(Table1[[#This Row],[Birthweight Z-Score (BW-10%)]],TRUE)*100,"")</f>
        <v/>
      </c>
      <c r="L247" s="7" t="str">
        <f>IF(Table1[[#This Row],[Is Data Valid]]=TRUE,_xlfn.NORM.S.DIST(Table1[[#This Row],[Birthweight Z-Score (BW+10%)]],TRUE)*100,"")</f>
        <v/>
      </c>
    </row>
    <row r="248" spans="1:12" x14ac:dyDescent="0.35">
      <c r="A248" s="3"/>
      <c r="B248" s="2"/>
      <c r="C248" s="2"/>
      <c r="D248" s="2" t="b">
        <f>IF(AND(NOT(ISBLANK(Table1[[#This Row],[Fetal Sex (Male, Female or Unknown)]])),ISNUMBER(Table1[[#This Row],[Birthweight (grams)]]),ISNUMBER(Table1[[#This Row],[Gestation (days)]])),TRUE,FALSE)</f>
        <v>0</v>
      </c>
      <c r="E248" s="2" t="str">
        <f>IF(Table1[[#This Row],[Is Data Valid]]=TRUE,IF(Table1[[#This Row],[Fetal Sex (Male, Female or Unknown)]]="Male",Backend!$C$6,IF(Table1[[#This Row],[Fetal Sex (Male, Female or Unknown)]]="Female",Backend!$C$7,IF(Table1[[#This Row],[Fetal Sex (Male, Female or Unknown)]]="Unknown",Backend!$C$8,"Error"))),"")</f>
        <v/>
      </c>
      <c r="F248" s="8" t="str">
        <f>IF(Table1[[#This Row],[Is Data Valid]]=TRUE,EXP(0.578+0.332*((Table1[[#This Row],[Gestation (days)]]+0.5)/7)-0.00354*((Table1[[#This Row],[Gestation (days)]]+0.5)/7)^2)*Table1[[#This Row],[BW40_3705]],"")</f>
        <v/>
      </c>
      <c r="G248" s="2" t="str">
        <f>IF(Table1[[#This Row],[Is Data Valid]]=TRUE,((Table1[[#This Row],[Birthweight (grams)]]/Table1[[#This Row],[BW_GA]])-1)/(Backend!$B$4/100*Table1[[#This Row],[BW40_3705]]),"")</f>
        <v/>
      </c>
      <c r="H248" s="7" t="str">
        <f>IF(Table1[[#This Row],[Is Data Valid]]=TRUE,((Table1[[#This Row],[Birthweight (grams)]]*0.9/Table1[[#This Row],[BW_GA]])-1)/(Backend!$B$4/100*Table1[[#This Row],[BW40_3705]]),"")</f>
        <v/>
      </c>
      <c r="I248" s="7" t="str">
        <f>IF(Table1[[#This Row],[Is Data Valid]]=TRUE,((Table1[[#This Row],[Birthweight (grams)]]*1.1/Table1[[#This Row],[BW_GA]])-1)/(Backend!$B$4/100*Table1[[#This Row],[BW40_3705]]),"")</f>
        <v/>
      </c>
      <c r="J248" s="7" t="str">
        <f>IF(Table1[[#This Row],[Is Data Valid]]=TRUE,_xlfn.NORM.S.DIST(Table1[[#This Row],[Birthweight Z-Score]],TRUE)*100,"")</f>
        <v/>
      </c>
      <c r="K248" s="7" t="str">
        <f>IF(Table1[[#This Row],[Is Data Valid]]=TRUE,_xlfn.NORM.S.DIST(Table1[[#This Row],[Birthweight Z-Score (BW-10%)]],TRUE)*100,"")</f>
        <v/>
      </c>
      <c r="L248" s="7" t="str">
        <f>IF(Table1[[#This Row],[Is Data Valid]]=TRUE,_xlfn.NORM.S.DIST(Table1[[#This Row],[Birthweight Z-Score (BW+10%)]],TRUE)*100,"")</f>
        <v/>
      </c>
    </row>
    <row r="249" spans="1:12" x14ac:dyDescent="0.35">
      <c r="A249" s="3"/>
      <c r="B249" s="2"/>
      <c r="C249" s="2"/>
      <c r="D249" s="2" t="b">
        <f>IF(AND(NOT(ISBLANK(Table1[[#This Row],[Fetal Sex (Male, Female or Unknown)]])),ISNUMBER(Table1[[#This Row],[Birthweight (grams)]]),ISNUMBER(Table1[[#This Row],[Gestation (days)]])),TRUE,FALSE)</f>
        <v>0</v>
      </c>
      <c r="E249" s="2" t="str">
        <f>IF(Table1[[#This Row],[Is Data Valid]]=TRUE,IF(Table1[[#This Row],[Fetal Sex (Male, Female or Unknown)]]="Male",Backend!$C$6,IF(Table1[[#This Row],[Fetal Sex (Male, Female or Unknown)]]="Female",Backend!$C$7,IF(Table1[[#This Row],[Fetal Sex (Male, Female or Unknown)]]="Unknown",Backend!$C$8,"Error"))),"")</f>
        <v/>
      </c>
      <c r="F249" s="8" t="str">
        <f>IF(Table1[[#This Row],[Is Data Valid]]=TRUE,EXP(0.578+0.332*((Table1[[#This Row],[Gestation (days)]]+0.5)/7)-0.00354*((Table1[[#This Row],[Gestation (days)]]+0.5)/7)^2)*Table1[[#This Row],[BW40_3705]],"")</f>
        <v/>
      </c>
      <c r="G249" s="2" t="str">
        <f>IF(Table1[[#This Row],[Is Data Valid]]=TRUE,((Table1[[#This Row],[Birthweight (grams)]]/Table1[[#This Row],[BW_GA]])-1)/(Backend!$B$4/100*Table1[[#This Row],[BW40_3705]]),"")</f>
        <v/>
      </c>
      <c r="H249" s="7" t="str">
        <f>IF(Table1[[#This Row],[Is Data Valid]]=TRUE,((Table1[[#This Row],[Birthweight (grams)]]*0.9/Table1[[#This Row],[BW_GA]])-1)/(Backend!$B$4/100*Table1[[#This Row],[BW40_3705]]),"")</f>
        <v/>
      </c>
      <c r="I249" s="7" t="str">
        <f>IF(Table1[[#This Row],[Is Data Valid]]=TRUE,((Table1[[#This Row],[Birthweight (grams)]]*1.1/Table1[[#This Row],[BW_GA]])-1)/(Backend!$B$4/100*Table1[[#This Row],[BW40_3705]]),"")</f>
        <v/>
      </c>
      <c r="J249" s="7" t="str">
        <f>IF(Table1[[#This Row],[Is Data Valid]]=TRUE,_xlfn.NORM.S.DIST(Table1[[#This Row],[Birthweight Z-Score]],TRUE)*100,"")</f>
        <v/>
      </c>
      <c r="K249" s="7" t="str">
        <f>IF(Table1[[#This Row],[Is Data Valid]]=TRUE,_xlfn.NORM.S.DIST(Table1[[#This Row],[Birthweight Z-Score (BW-10%)]],TRUE)*100,"")</f>
        <v/>
      </c>
      <c r="L249" s="7" t="str">
        <f>IF(Table1[[#This Row],[Is Data Valid]]=TRUE,_xlfn.NORM.S.DIST(Table1[[#This Row],[Birthweight Z-Score (BW+10%)]],TRUE)*100,"")</f>
        <v/>
      </c>
    </row>
    <row r="250" spans="1:12" x14ac:dyDescent="0.35">
      <c r="A250" s="3"/>
      <c r="B250" s="2"/>
      <c r="C250" s="2"/>
      <c r="D250" s="2" t="b">
        <f>IF(AND(NOT(ISBLANK(Table1[[#This Row],[Fetal Sex (Male, Female or Unknown)]])),ISNUMBER(Table1[[#This Row],[Birthweight (grams)]]),ISNUMBER(Table1[[#This Row],[Gestation (days)]])),TRUE,FALSE)</f>
        <v>0</v>
      </c>
      <c r="E250" s="2" t="str">
        <f>IF(Table1[[#This Row],[Is Data Valid]]=TRUE,IF(Table1[[#This Row],[Fetal Sex (Male, Female or Unknown)]]="Male",Backend!$C$6,IF(Table1[[#This Row],[Fetal Sex (Male, Female or Unknown)]]="Female",Backend!$C$7,IF(Table1[[#This Row],[Fetal Sex (Male, Female or Unknown)]]="Unknown",Backend!$C$8,"Error"))),"")</f>
        <v/>
      </c>
      <c r="F250" s="8" t="str">
        <f>IF(Table1[[#This Row],[Is Data Valid]]=TRUE,EXP(0.578+0.332*((Table1[[#This Row],[Gestation (days)]]+0.5)/7)-0.00354*((Table1[[#This Row],[Gestation (days)]]+0.5)/7)^2)*Table1[[#This Row],[BW40_3705]],"")</f>
        <v/>
      </c>
      <c r="G250" s="2" t="str">
        <f>IF(Table1[[#This Row],[Is Data Valid]]=TRUE,((Table1[[#This Row],[Birthweight (grams)]]/Table1[[#This Row],[BW_GA]])-1)/(Backend!$B$4/100*Table1[[#This Row],[BW40_3705]]),"")</f>
        <v/>
      </c>
      <c r="H250" s="7" t="str">
        <f>IF(Table1[[#This Row],[Is Data Valid]]=TRUE,((Table1[[#This Row],[Birthweight (grams)]]*0.9/Table1[[#This Row],[BW_GA]])-1)/(Backend!$B$4/100*Table1[[#This Row],[BW40_3705]]),"")</f>
        <v/>
      </c>
      <c r="I250" s="7" t="str">
        <f>IF(Table1[[#This Row],[Is Data Valid]]=TRUE,((Table1[[#This Row],[Birthweight (grams)]]*1.1/Table1[[#This Row],[BW_GA]])-1)/(Backend!$B$4/100*Table1[[#This Row],[BW40_3705]]),"")</f>
        <v/>
      </c>
      <c r="J250" s="7" t="str">
        <f>IF(Table1[[#This Row],[Is Data Valid]]=TRUE,_xlfn.NORM.S.DIST(Table1[[#This Row],[Birthweight Z-Score]],TRUE)*100,"")</f>
        <v/>
      </c>
      <c r="K250" s="7" t="str">
        <f>IF(Table1[[#This Row],[Is Data Valid]]=TRUE,_xlfn.NORM.S.DIST(Table1[[#This Row],[Birthweight Z-Score (BW-10%)]],TRUE)*100,"")</f>
        <v/>
      </c>
      <c r="L250" s="7" t="str">
        <f>IF(Table1[[#This Row],[Is Data Valid]]=TRUE,_xlfn.NORM.S.DIST(Table1[[#This Row],[Birthweight Z-Score (BW+10%)]],TRUE)*100,"")</f>
        <v/>
      </c>
    </row>
    <row r="251" spans="1:12" x14ac:dyDescent="0.35">
      <c r="A251" s="3"/>
      <c r="B251" s="2"/>
      <c r="C251" s="2"/>
      <c r="D251" s="2" t="b">
        <f>IF(AND(NOT(ISBLANK(Table1[[#This Row],[Fetal Sex (Male, Female or Unknown)]])),ISNUMBER(Table1[[#This Row],[Birthweight (grams)]]),ISNUMBER(Table1[[#This Row],[Gestation (days)]])),TRUE,FALSE)</f>
        <v>0</v>
      </c>
      <c r="E251" s="2" t="str">
        <f>IF(Table1[[#This Row],[Is Data Valid]]=TRUE,IF(Table1[[#This Row],[Fetal Sex (Male, Female or Unknown)]]="Male",Backend!$C$6,IF(Table1[[#This Row],[Fetal Sex (Male, Female or Unknown)]]="Female",Backend!$C$7,IF(Table1[[#This Row],[Fetal Sex (Male, Female or Unknown)]]="Unknown",Backend!$C$8,"Error"))),"")</f>
        <v/>
      </c>
      <c r="F251" s="8" t="str">
        <f>IF(Table1[[#This Row],[Is Data Valid]]=TRUE,EXP(0.578+0.332*((Table1[[#This Row],[Gestation (days)]]+0.5)/7)-0.00354*((Table1[[#This Row],[Gestation (days)]]+0.5)/7)^2)*Table1[[#This Row],[BW40_3705]],"")</f>
        <v/>
      </c>
      <c r="G251" s="2" t="str">
        <f>IF(Table1[[#This Row],[Is Data Valid]]=TRUE,((Table1[[#This Row],[Birthweight (grams)]]/Table1[[#This Row],[BW_GA]])-1)/(Backend!$B$4/100*Table1[[#This Row],[BW40_3705]]),"")</f>
        <v/>
      </c>
      <c r="H251" s="7" t="str">
        <f>IF(Table1[[#This Row],[Is Data Valid]]=TRUE,((Table1[[#This Row],[Birthweight (grams)]]*0.9/Table1[[#This Row],[BW_GA]])-1)/(Backend!$B$4/100*Table1[[#This Row],[BW40_3705]]),"")</f>
        <v/>
      </c>
      <c r="I251" s="7" t="str">
        <f>IF(Table1[[#This Row],[Is Data Valid]]=TRUE,((Table1[[#This Row],[Birthweight (grams)]]*1.1/Table1[[#This Row],[BW_GA]])-1)/(Backend!$B$4/100*Table1[[#This Row],[BW40_3705]]),"")</f>
        <v/>
      </c>
      <c r="J251" s="7" t="str">
        <f>IF(Table1[[#This Row],[Is Data Valid]]=TRUE,_xlfn.NORM.S.DIST(Table1[[#This Row],[Birthweight Z-Score]],TRUE)*100,"")</f>
        <v/>
      </c>
      <c r="K251" s="7" t="str">
        <f>IF(Table1[[#This Row],[Is Data Valid]]=TRUE,_xlfn.NORM.S.DIST(Table1[[#This Row],[Birthweight Z-Score (BW-10%)]],TRUE)*100,"")</f>
        <v/>
      </c>
      <c r="L251" s="7" t="str">
        <f>IF(Table1[[#This Row],[Is Data Valid]]=TRUE,_xlfn.NORM.S.DIST(Table1[[#This Row],[Birthweight Z-Score (BW+10%)]],TRUE)*100,"")</f>
        <v/>
      </c>
    </row>
    <row r="252" spans="1:12" x14ac:dyDescent="0.35">
      <c r="A252" s="3"/>
      <c r="B252" s="2"/>
      <c r="C252" s="2"/>
      <c r="D252" s="2" t="b">
        <f>IF(AND(NOT(ISBLANK(Table1[[#This Row],[Fetal Sex (Male, Female or Unknown)]])),ISNUMBER(Table1[[#This Row],[Birthweight (grams)]]),ISNUMBER(Table1[[#This Row],[Gestation (days)]])),TRUE,FALSE)</f>
        <v>0</v>
      </c>
      <c r="E252" s="2" t="str">
        <f>IF(Table1[[#This Row],[Is Data Valid]]=TRUE,IF(Table1[[#This Row],[Fetal Sex (Male, Female or Unknown)]]="Male",Backend!$C$6,IF(Table1[[#This Row],[Fetal Sex (Male, Female or Unknown)]]="Female",Backend!$C$7,IF(Table1[[#This Row],[Fetal Sex (Male, Female or Unknown)]]="Unknown",Backend!$C$8,"Error"))),"")</f>
        <v/>
      </c>
      <c r="F252" s="8" t="str">
        <f>IF(Table1[[#This Row],[Is Data Valid]]=TRUE,EXP(0.578+0.332*((Table1[[#This Row],[Gestation (days)]]+0.5)/7)-0.00354*((Table1[[#This Row],[Gestation (days)]]+0.5)/7)^2)*Table1[[#This Row],[BW40_3705]],"")</f>
        <v/>
      </c>
      <c r="G252" s="2" t="str">
        <f>IF(Table1[[#This Row],[Is Data Valid]]=TRUE,((Table1[[#This Row],[Birthweight (grams)]]/Table1[[#This Row],[BW_GA]])-1)/(Backend!$B$4/100*Table1[[#This Row],[BW40_3705]]),"")</f>
        <v/>
      </c>
      <c r="H252" s="7" t="str">
        <f>IF(Table1[[#This Row],[Is Data Valid]]=TRUE,((Table1[[#This Row],[Birthweight (grams)]]*0.9/Table1[[#This Row],[BW_GA]])-1)/(Backend!$B$4/100*Table1[[#This Row],[BW40_3705]]),"")</f>
        <v/>
      </c>
      <c r="I252" s="7" t="str">
        <f>IF(Table1[[#This Row],[Is Data Valid]]=TRUE,((Table1[[#This Row],[Birthweight (grams)]]*1.1/Table1[[#This Row],[BW_GA]])-1)/(Backend!$B$4/100*Table1[[#This Row],[BW40_3705]]),"")</f>
        <v/>
      </c>
      <c r="J252" s="7" t="str">
        <f>IF(Table1[[#This Row],[Is Data Valid]]=TRUE,_xlfn.NORM.S.DIST(Table1[[#This Row],[Birthweight Z-Score]],TRUE)*100,"")</f>
        <v/>
      </c>
      <c r="K252" s="7" t="str">
        <f>IF(Table1[[#This Row],[Is Data Valid]]=TRUE,_xlfn.NORM.S.DIST(Table1[[#This Row],[Birthweight Z-Score (BW-10%)]],TRUE)*100,"")</f>
        <v/>
      </c>
      <c r="L252" s="7" t="str">
        <f>IF(Table1[[#This Row],[Is Data Valid]]=TRUE,_xlfn.NORM.S.DIST(Table1[[#This Row],[Birthweight Z-Score (BW+10%)]],TRUE)*100,"")</f>
        <v/>
      </c>
    </row>
    <row r="253" spans="1:12" x14ac:dyDescent="0.35">
      <c r="A253" s="3"/>
      <c r="B253" s="2"/>
      <c r="C253" s="2"/>
      <c r="D253" s="2" t="b">
        <f>IF(AND(NOT(ISBLANK(Table1[[#This Row],[Fetal Sex (Male, Female or Unknown)]])),ISNUMBER(Table1[[#This Row],[Birthweight (grams)]]),ISNUMBER(Table1[[#This Row],[Gestation (days)]])),TRUE,FALSE)</f>
        <v>0</v>
      </c>
      <c r="E253" s="2" t="str">
        <f>IF(Table1[[#This Row],[Is Data Valid]]=TRUE,IF(Table1[[#This Row],[Fetal Sex (Male, Female or Unknown)]]="Male",Backend!$C$6,IF(Table1[[#This Row],[Fetal Sex (Male, Female or Unknown)]]="Female",Backend!$C$7,IF(Table1[[#This Row],[Fetal Sex (Male, Female or Unknown)]]="Unknown",Backend!$C$8,"Error"))),"")</f>
        <v/>
      </c>
      <c r="F253" s="8" t="str">
        <f>IF(Table1[[#This Row],[Is Data Valid]]=TRUE,EXP(0.578+0.332*((Table1[[#This Row],[Gestation (days)]]+0.5)/7)-0.00354*((Table1[[#This Row],[Gestation (days)]]+0.5)/7)^2)*Table1[[#This Row],[BW40_3705]],"")</f>
        <v/>
      </c>
      <c r="G253" s="2" t="str">
        <f>IF(Table1[[#This Row],[Is Data Valid]]=TRUE,((Table1[[#This Row],[Birthweight (grams)]]/Table1[[#This Row],[BW_GA]])-1)/(Backend!$B$4/100*Table1[[#This Row],[BW40_3705]]),"")</f>
        <v/>
      </c>
      <c r="H253" s="7" t="str">
        <f>IF(Table1[[#This Row],[Is Data Valid]]=TRUE,((Table1[[#This Row],[Birthweight (grams)]]*0.9/Table1[[#This Row],[BW_GA]])-1)/(Backend!$B$4/100*Table1[[#This Row],[BW40_3705]]),"")</f>
        <v/>
      </c>
      <c r="I253" s="7" t="str">
        <f>IF(Table1[[#This Row],[Is Data Valid]]=TRUE,((Table1[[#This Row],[Birthweight (grams)]]*1.1/Table1[[#This Row],[BW_GA]])-1)/(Backend!$B$4/100*Table1[[#This Row],[BW40_3705]]),"")</f>
        <v/>
      </c>
      <c r="J253" s="7" t="str">
        <f>IF(Table1[[#This Row],[Is Data Valid]]=TRUE,_xlfn.NORM.S.DIST(Table1[[#This Row],[Birthweight Z-Score]],TRUE)*100,"")</f>
        <v/>
      </c>
      <c r="K253" s="7" t="str">
        <f>IF(Table1[[#This Row],[Is Data Valid]]=TRUE,_xlfn.NORM.S.DIST(Table1[[#This Row],[Birthweight Z-Score (BW-10%)]],TRUE)*100,"")</f>
        <v/>
      </c>
      <c r="L253" s="7" t="str">
        <f>IF(Table1[[#This Row],[Is Data Valid]]=TRUE,_xlfn.NORM.S.DIST(Table1[[#This Row],[Birthweight Z-Score (BW+10%)]],TRUE)*100,"")</f>
        <v/>
      </c>
    </row>
    <row r="254" spans="1:12" x14ac:dyDescent="0.35">
      <c r="A254" s="3"/>
      <c r="B254" s="2"/>
      <c r="C254" s="2"/>
      <c r="D254" s="2" t="b">
        <f>IF(AND(NOT(ISBLANK(Table1[[#This Row],[Fetal Sex (Male, Female or Unknown)]])),ISNUMBER(Table1[[#This Row],[Birthweight (grams)]]),ISNUMBER(Table1[[#This Row],[Gestation (days)]])),TRUE,FALSE)</f>
        <v>0</v>
      </c>
      <c r="E254" s="2" t="str">
        <f>IF(Table1[[#This Row],[Is Data Valid]]=TRUE,IF(Table1[[#This Row],[Fetal Sex (Male, Female or Unknown)]]="Male",Backend!$C$6,IF(Table1[[#This Row],[Fetal Sex (Male, Female or Unknown)]]="Female",Backend!$C$7,IF(Table1[[#This Row],[Fetal Sex (Male, Female or Unknown)]]="Unknown",Backend!$C$8,"Error"))),"")</f>
        <v/>
      </c>
      <c r="F254" s="8" t="str">
        <f>IF(Table1[[#This Row],[Is Data Valid]]=TRUE,EXP(0.578+0.332*((Table1[[#This Row],[Gestation (days)]]+0.5)/7)-0.00354*((Table1[[#This Row],[Gestation (days)]]+0.5)/7)^2)*Table1[[#This Row],[BW40_3705]],"")</f>
        <v/>
      </c>
      <c r="G254" s="2" t="str">
        <f>IF(Table1[[#This Row],[Is Data Valid]]=TRUE,((Table1[[#This Row],[Birthweight (grams)]]/Table1[[#This Row],[BW_GA]])-1)/(Backend!$B$4/100*Table1[[#This Row],[BW40_3705]]),"")</f>
        <v/>
      </c>
      <c r="H254" s="7" t="str">
        <f>IF(Table1[[#This Row],[Is Data Valid]]=TRUE,((Table1[[#This Row],[Birthweight (grams)]]*0.9/Table1[[#This Row],[BW_GA]])-1)/(Backend!$B$4/100*Table1[[#This Row],[BW40_3705]]),"")</f>
        <v/>
      </c>
      <c r="I254" s="7" t="str">
        <f>IF(Table1[[#This Row],[Is Data Valid]]=TRUE,((Table1[[#This Row],[Birthweight (grams)]]*1.1/Table1[[#This Row],[BW_GA]])-1)/(Backend!$B$4/100*Table1[[#This Row],[BW40_3705]]),"")</f>
        <v/>
      </c>
      <c r="J254" s="7" t="str">
        <f>IF(Table1[[#This Row],[Is Data Valid]]=TRUE,_xlfn.NORM.S.DIST(Table1[[#This Row],[Birthweight Z-Score]],TRUE)*100,"")</f>
        <v/>
      </c>
      <c r="K254" s="7" t="str">
        <f>IF(Table1[[#This Row],[Is Data Valid]]=TRUE,_xlfn.NORM.S.DIST(Table1[[#This Row],[Birthweight Z-Score (BW-10%)]],TRUE)*100,"")</f>
        <v/>
      </c>
      <c r="L254" s="7" t="str">
        <f>IF(Table1[[#This Row],[Is Data Valid]]=TRUE,_xlfn.NORM.S.DIST(Table1[[#This Row],[Birthweight Z-Score (BW+10%)]],TRUE)*100,"")</f>
        <v/>
      </c>
    </row>
    <row r="255" spans="1:12" x14ac:dyDescent="0.35">
      <c r="A255" s="3"/>
      <c r="B255" s="2"/>
      <c r="C255" s="2"/>
      <c r="D255" s="2" t="b">
        <f>IF(AND(NOT(ISBLANK(Table1[[#This Row],[Fetal Sex (Male, Female or Unknown)]])),ISNUMBER(Table1[[#This Row],[Birthweight (grams)]]),ISNUMBER(Table1[[#This Row],[Gestation (days)]])),TRUE,FALSE)</f>
        <v>0</v>
      </c>
      <c r="E255" s="2" t="str">
        <f>IF(Table1[[#This Row],[Is Data Valid]]=TRUE,IF(Table1[[#This Row],[Fetal Sex (Male, Female or Unknown)]]="Male",Backend!$C$6,IF(Table1[[#This Row],[Fetal Sex (Male, Female or Unknown)]]="Female",Backend!$C$7,IF(Table1[[#This Row],[Fetal Sex (Male, Female or Unknown)]]="Unknown",Backend!$C$8,"Error"))),"")</f>
        <v/>
      </c>
      <c r="F255" s="8" t="str">
        <f>IF(Table1[[#This Row],[Is Data Valid]]=TRUE,EXP(0.578+0.332*((Table1[[#This Row],[Gestation (days)]]+0.5)/7)-0.00354*((Table1[[#This Row],[Gestation (days)]]+0.5)/7)^2)*Table1[[#This Row],[BW40_3705]],"")</f>
        <v/>
      </c>
      <c r="G255" s="2" t="str">
        <f>IF(Table1[[#This Row],[Is Data Valid]]=TRUE,((Table1[[#This Row],[Birthweight (grams)]]/Table1[[#This Row],[BW_GA]])-1)/(Backend!$B$4/100*Table1[[#This Row],[BW40_3705]]),"")</f>
        <v/>
      </c>
      <c r="H255" s="7" t="str">
        <f>IF(Table1[[#This Row],[Is Data Valid]]=TRUE,((Table1[[#This Row],[Birthweight (grams)]]*0.9/Table1[[#This Row],[BW_GA]])-1)/(Backend!$B$4/100*Table1[[#This Row],[BW40_3705]]),"")</f>
        <v/>
      </c>
      <c r="I255" s="7" t="str">
        <f>IF(Table1[[#This Row],[Is Data Valid]]=TRUE,((Table1[[#This Row],[Birthweight (grams)]]*1.1/Table1[[#This Row],[BW_GA]])-1)/(Backend!$B$4/100*Table1[[#This Row],[BW40_3705]]),"")</f>
        <v/>
      </c>
      <c r="J255" s="7" t="str">
        <f>IF(Table1[[#This Row],[Is Data Valid]]=TRUE,_xlfn.NORM.S.DIST(Table1[[#This Row],[Birthweight Z-Score]],TRUE)*100,"")</f>
        <v/>
      </c>
      <c r="K255" s="7" t="str">
        <f>IF(Table1[[#This Row],[Is Data Valid]]=TRUE,_xlfn.NORM.S.DIST(Table1[[#This Row],[Birthweight Z-Score (BW-10%)]],TRUE)*100,"")</f>
        <v/>
      </c>
      <c r="L255" s="7" t="str">
        <f>IF(Table1[[#This Row],[Is Data Valid]]=TRUE,_xlfn.NORM.S.DIST(Table1[[#This Row],[Birthweight Z-Score (BW+10%)]],TRUE)*100,"")</f>
        <v/>
      </c>
    </row>
    <row r="256" spans="1:12" x14ac:dyDescent="0.35">
      <c r="A256" s="3"/>
      <c r="B256" s="2"/>
      <c r="C256" s="2"/>
      <c r="D256" s="2" t="b">
        <f>IF(AND(NOT(ISBLANK(Table1[[#This Row],[Fetal Sex (Male, Female or Unknown)]])),ISNUMBER(Table1[[#This Row],[Birthweight (grams)]]),ISNUMBER(Table1[[#This Row],[Gestation (days)]])),TRUE,FALSE)</f>
        <v>0</v>
      </c>
      <c r="E256" s="2" t="str">
        <f>IF(Table1[[#This Row],[Is Data Valid]]=TRUE,IF(Table1[[#This Row],[Fetal Sex (Male, Female or Unknown)]]="Male",Backend!$C$6,IF(Table1[[#This Row],[Fetal Sex (Male, Female or Unknown)]]="Female",Backend!$C$7,IF(Table1[[#This Row],[Fetal Sex (Male, Female or Unknown)]]="Unknown",Backend!$C$8,"Error"))),"")</f>
        <v/>
      </c>
      <c r="F256" s="8" t="str">
        <f>IF(Table1[[#This Row],[Is Data Valid]]=TRUE,EXP(0.578+0.332*((Table1[[#This Row],[Gestation (days)]]+0.5)/7)-0.00354*((Table1[[#This Row],[Gestation (days)]]+0.5)/7)^2)*Table1[[#This Row],[BW40_3705]],"")</f>
        <v/>
      </c>
      <c r="G256" s="2" t="str">
        <f>IF(Table1[[#This Row],[Is Data Valid]]=TRUE,((Table1[[#This Row],[Birthweight (grams)]]/Table1[[#This Row],[BW_GA]])-1)/(Backend!$B$4/100*Table1[[#This Row],[BW40_3705]]),"")</f>
        <v/>
      </c>
      <c r="H256" s="7" t="str">
        <f>IF(Table1[[#This Row],[Is Data Valid]]=TRUE,((Table1[[#This Row],[Birthweight (grams)]]*0.9/Table1[[#This Row],[BW_GA]])-1)/(Backend!$B$4/100*Table1[[#This Row],[BW40_3705]]),"")</f>
        <v/>
      </c>
      <c r="I256" s="7" t="str">
        <f>IF(Table1[[#This Row],[Is Data Valid]]=TRUE,((Table1[[#This Row],[Birthweight (grams)]]*1.1/Table1[[#This Row],[BW_GA]])-1)/(Backend!$B$4/100*Table1[[#This Row],[BW40_3705]]),"")</f>
        <v/>
      </c>
      <c r="J256" s="7" t="str">
        <f>IF(Table1[[#This Row],[Is Data Valid]]=TRUE,_xlfn.NORM.S.DIST(Table1[[#This Row],[Birthweight Z-Score]],TRUE)*100,"")</f>
        <v/>
      </c>
      <c r="K256" s="7" t="str">
        <f>IF(Table1[[#This Row],[Is Data Valid]]=TRUE,_xlfn.NORM.S.DIST(Table1[[#This Row],[Birthweight Z-Score (BW-10%)]],TRUE)*100,"")</f>
        <v/>
      </c>
      <c r="L256" s="7" t="str">
        <f>IF(Table1[[#This Row],[Is Data Valid]]=TRUE,_xlfn.NORM.S.DIST(Table1[[#This Row],[Birthweight Z-Score (BW+10%)]],TRUE)*100,"")</f>
        <v/>
      </c>
    </row>
    <row r="257" spans="1:12" x14ac:dyDescent="0.35">
      <c r="A257" s="3"/>
      <c r="B257" s="2"/>
      <c r="C257" s="2"/>
      <c r="D257" s="2" t="b">
        <f>IF(AND(NOT(ISBLANK(Table1[[#This Row],[Fetal Sex (Male, Female or Unknown)]])),ISNUMBER(Table1[[#This Row],[Birthweight (grams)]]),ISNUMBER(Table1[[#This Row],[Gestation (days)]])),TRUE,FALSE)</f>
        <v>0</v>
      </c>
      <c r="E257" s="2" t="str">
        <f>IF(Table1[[#This Row],[Is Data Valid]]=TRUE,IF(Table1[[#This Row],[Fetal Sex (Male, Female or Unknown)]]="Male",Backend!$C$6,IF(Table1[[#This Row],[Fetal Sex (Male, Female or Unknown)]]="Female",Backend!$C$7,IF(Table1[[#This Row],[Fetal Sex (Male, Female or Unknown)]]="Unknown",Backend!$C$8,"Error"))),"")</f>
        <v/>
      </c>
      <c r="F257" s="8" t="str">
        <f>IF(Table1[[#This Row],[Is Data Valid]]=TRUE,EXP(0.578+0.332*((Table1[[#This Row],[Gestation (days)]]+0.5)/7)-0.00354*((Table1[[#This Row],[Gestation (days)]]+0.5)/7)^2)*Table1[[#This Row],[BW40_3705]],"")</f>
        <v/>
      </c>
      <c r="G257" s="2" t="str">
        <f>IF(Table1[[#This Row],[Is Data Valid]]=TRUE,((Table1[[#This Row],[Birthweight (grams)]]/Table1[[#This Row],[BW_GA]])-1)/(Backend!$B$4/100*Table1[[#This Row],[BW40_3705]]),"")</f>
        <v/>
      </c>
      <c r="H257" s="7" t="str">
        <f>IF(Table1[[#This Row],[Is Data Valid]]=TRUE,((Table1[[#This Row],[Birthweight (grams)]]*0.9/Table1[[#This Row],[BW_GA]])-1)/(Backend!$B$4/100*Table1[[#This Row],[BW40_3705]]),"")</f>
        <v/>
      </c>
      <c r="I257" s="7" t="str">
        <f>IF(Table1[[#This Row],[Is Data Valid]]=TRUE,((Table1[[#This Row],[Birthweight (grams)]]*1.1/Table1[[#This Row],[BW_GA]])-1)/(Backend!$B$4/100*Table1[[#This Row],[BW40_3705]]),"")</f>
        <v/>
      </c>
      <c r="J257" s="7" t="str">
        <f>IF(Table1[[#This Row],[Is Data Valid]]=TRUE,_xlfn.NORM.S.DIST(Table1[[#This Row],[Birthweight Z-Score]],TRUE)*100,"")</f>
        <v/>
      </c>
      <c r="K257" s="7" t="str">
        <f>IF(Table1[[#This Row],[Is Data Valid]]=TRUE,_xlfn.NORM.S.DIST(Table1[[#This Row],[Birthweight Z-Score (BW-10%)]],TRUE)*100,"")</f>
        <v/>
      </c>
      <c r="L257" s="7" t="str">
        <f>IF(Table1[[#This Row],[Is Data Valid]]=TRUE,_xlfn.NORM.S.DIST(Table1[[#This Row],[Birthweight Z-Score (BW+10%)]],TRUE)*100,"")</f>
        <v/>
      </c>
    </row>
    <row r="258" spans="1:12" x14ac:dyDescent="0.35">
      <c r="A258" s="3"/>
      <c r="B258" s="2"/>
      <c r="C258" s="2"/>
      <c r="D258" s="2" t="b">
        <f>IF(AND(NOT(ISBLANK(Table1[[#This Row],[Fetal Sex (Male, Female or Unknown)]])),ISNUMBER(Table1[[#This Row],[Birthweight (grams)]]),ISNUMBER(Table1[[#This Row],[Gestation (days)]])),TRUE,FALSE)</f>
        <v>0</v>
      </c>
      <c r="E258" s="2" t="str">
        <f>IF(Table1[[#This Row],[Is Data Valid]]=TRUE,IF(Table1[[#This Row],[Fetal Sex (Male, Female or Unknown)]]="Male",Backend!$C$6,IF(Table1[[#This Row],[Fetal Sex (Male, Female or Unknown)]]="Female",Backend!$C$7,IF(Table1[[#This Row],[Fetal Sex (Male, Female or Unknown)]]="Unknown",Backend!$C$8,"Error"))),"")</f>
        <v/>
      </c>
      <c r="F258" s="8" t="str">
        <f>IF(Table1[[#This Row],[Is Data Valid]]=TRUE,EXP(0.578+0.332*((Table1[[#This Row],[Gestation (days)]]+0.5)/7)-0.00354*((Table1[[#This Row],[Gestation (days)]]+0.5)/7)^2)*Table1[[#This Row],[BW40_3705]],"")</f>
        <v/>
      </c>
      <c r="G258" s="2" t="str">
        <f>IF(Table1[[#This Row],[Is Data Valid]]=TRUE,((Table1[[#This Row],[Birthweight (grams)]]/Table1[[#This Row],[BW_GA]])-1)/(Backend!$B$4/100*Table1[[#This Row],[BW40_3705]]),"")</f>
        <v/>
      </c>
      <c r="H258" s="7" t="str">
        <f>IF(Table1[[#This Row],[Is Data Valid]]=TRUE,((Table1[[#This Row],[Birthweight (grams)]]*0.9/Table1[[#This Row],[BW_GA]])-1)/(Backend!$B$4/100*Table1[[#This Row],[BW40_3705]]),"")</f>
        <v/>
      </c>
      <c r="I258" s="7" t="str">
        <f>IF(Table1[[#This Row],[Is Data Valid]]=TRUE,((Table1[[#This Row],[Birthweight (grams)]]*1.1/Table1[[#This Row],[BW_GA]])-1)/(Backend!$B$4/100*Table1[[#This Row],[BW40_3705]]),"")</f>
        <v/>
      </c>
      <c r="J258" s="7" t="str">
        <f>IF(Table1[[#This Row],[Is Data Valid]]=TRUE,_xlfn.NORM.S.DIST(Table1[[#This Row],[Birthweight Z-Score]],TRUE)*100,"")</f>
        <v/>
      </c>
      <c r="K258" s="7" t="str">
        <f>IF(Table1[[#This Row],[Is Data Valid]]=TRUE,_xlfn.NORM.S.DIST(Table1[[#This Row],[Birthweight Z-Score (BW-10%)]],TRUE)*100,"")</f>
        <v/>
      </c>
      <c r="L258" s="7" t="str">
        <f>IF(Table1[[#This Row],[Is Data Valid]]=TRUE,_xlfn.NORM.S.DIST(Table1[[#This Row],[Birthweight Z-Score (BW+10%)]],TRUE)*100,"")</f>
        <v/>
      </c>
    </row>
    <row r="259" spans="1:12" x14ac:dyDescent="0.35">
      <c r="A259" s="3"/>
      <c r="B259" s="2"/>
      <c r="C259" s="2"/>
      <c r="D259" s="2" t="b">
        <f>IF(AND(NOT(ISBLANK(Table1[[#This Row],[Fetal Sex (Male, Female or Unknown)]])),ISNUMBER(Table1[[#This Row],[Birthweight (grams)]]),ISNUMBER(Table1[[#This Row],[Gestation (days)]])),TRUE,FALSE)</f>
        <v>0</v>
      </c>
      <c r="E259" s="2" t="str">
        <f>IF(Table1[[#This Row],[Is Data Valid]]=TRUE,IF(Table1[[#This Row],[Fetal Sex (Male, Female or Unknown)]]="Male",Backend!$C$6,IF(Table1[[#This Row],[Fetal Sex (Male, Female or Unknown)]]="Female",Backend!$C$7,IF(Table1[[#This Row],[Fetal Sex (Male, Female or Unknown)]]="Unknown",Backend!$C$8,"Error"))),"")</f>
        <v/>
      </c>
      <c r="F259" s="8" t="str">
        <f>IF(Table1[[#This Row],[Is Data Valid]]=TRUE,EXP(0.578+0.332*((Table1[[#This Row],[Gestation (days)]]+0.5)/7)-0.00354*((Table1[[#This Row],[Gestation (days)]]+0.5)/7)^2)*Table1[[#This Row],[BW40_3705]],"")</f>
        <v/>
      </c>
      <c r="G259" s="2" t="str">
        <f>IF(Table1[[#This Row],[Is Data Valid]]=TRUE,((Table1[[#This Row],[Birthweight (grams)]]/Table1[[#This Row],[BW_GA]])-1)/(Backend!$B$4/100*Table1[[#This Row],[BW40_3705]]),"")</f>
        <v/>
      </c>
      <c r="H259" s="7" t="str">
        <f>IF(Table1[[#This Row],[Is Data Valid]]=TRUE,((Table1[[#This Row],[Birthweight (grams)]]*0.9/Table1[[#This Row],[BW_GA]])-1)/(Backend!$B$4/100*Table1[[#This Row],[BW40_3705]]),"")</f>
        <v/>
      </c>
      <c r="I259" s="7" t="str">
        <f>IF(Table1[[#This Row],[Is Data Valid]]=TRUE,((Table1[[#This Row],[Birthweight (grams)]]*1.1/Table1[[#This Row],[BW_GA]])-1)/(Backend!$B$4/100*Table1[[#This Row],[BW40_3705]]),"")</f>
        <v/>
      </c>
      <c r="J259" s="7" t="str">
        <f>IF(Table1[[#This Row],[Is Data Valid]]=TRUE,_xlfn.NORM.S.DIST(Table1[[#This Row],[Birthweight Z-Score]],TRUE)*100,"")</f>
        <v/>
      </c>
      <c r="K259" s="7" t="str">
        <f>IF(Table1[[#This Row],[Is Data Valid]]=TRUE,_xlfn.NORM.S.DIST(Table1[[#This Row],[Birthweight Z-Score (BW-10%)]],TRUE)*100,"")</f>
        <v/>
      </c>
      <c r="L259" s="7" t="str">
        <f>IF(Table1[[#This Row],[Is Data Valid]]=TRUE,_xlfn.NORM.S.DIST(Table1[[#This Row],[Birthweight Z-Score (BW+10%)]],TRUE)*100,"")</f>
        <v/>
      </c>
    </row>
    <row r="260" spans="1:12" x14ac:dyDescent="0.35">
      <c r="A260" s="3"/>
      <c r="B260" s="2"/>
      <c r="C260" s="2"/>
      <c r="D260" s="2" t="b">
        <f>IF(AND(NOT(ISBLANK(Table1[[#This Row],[Fetal Sex (Male, Female or Unknown)]])),ISNUMBER(Table1[[#This Row],[Birthweight (grams)]]),ISNUMBER(Table1[[#This Row],[Gestation (days)]])),TRUE,FALSE)</f>
        <v>0</v>
      </c>
      <c r="E260" s="2" t="str">
        <f>IF(Table1[[#This Row],[Is Data Valid]]=TRUE,IF(Table1[[#This Row],[Fetal Sex (Male, Female or Unknown)]]="Male",Backend!$C$6,IF(Table1[[#This Row],[Fetal Sex (Male, Female or Unknown)]]="Female",Backend!$C$7,IF(Table1[[#This Row],[Fetal Sex (Male, Female or Unknown)]]="Unknown",Backend!$C$8,"Error"))),"")</f>
        <v/>
      </c>
      <c r="F260" s="8" t="str">
        <f>IF(Table1[[#This Row],[Is Data Valid]]=TRUE,EXP(0.578+0.332*((Table1[[#This Row],[Gestation (days)]]+0.5)/7)-0.00354*((Table1[[#This Row],[Gestation (days)]]+0.5)/7)^2)*Table1[[#This Row],[BW40_3705]],"")</f>
        <v/>
      </c>
      <c r="G260" s="2" t="str">
        <f>IF(Table1[[#This Row],[Is Data Valid]]=TRUE,((Table1[[#This Row],[Birthweight (grams)]]/Table1[[#This Row],[BW_GA]])-1)/(Backend!$B$4/100*Table1[[#This Row],[BW40_3705]]),"")</f>
        <v/>
      </c>
      <c r="H260" s="7" t="str">
        <f>IF(Table1[[#This Row],[Is Data Valid]]=TRUE,((Table1[[#This Row],[Birthweight (grams)]]*0.9/Table1[[#This Row],[BW_GA]])-1)/(Backend!$B$4/100*Table1[[#This Row],[BW40_3705]]),"")</f>
        <v/>
      </c>
      <c r="I260" s="7" t="str">
        <f>IF(Table1[[#This Row],[Is Data Valid]]=TRUE,((Table1[[#This Row],[Birthweight (grams)]]*1.1/Table1[[#This Row],[BW_GA]])-1)/(Backend!$B$4/100*Table1[[#This Row],[BW40_3705]]),"")</f>
        <v/>
      </c>
      <c r="J260" s="7" t="str">
        <f>IF(Table1[[#This Row],[Is Data Valid]]=TRUE,_xlfn.NORM.S.DIST(Table1[[#This Row],[Birthweight Z-Score]],TRUE)*100,"")</f>
        <v/>
      </c>
      <c r="K260" s="7" t="str">
        <f>IF(Table1[[#This Row],[Is Data Valid]]=TRUE,_xlfn.NORM.S.DIST(Table1[[#This Row],[Birthweight Z-Score (BW-10%)]],TRUE)*100,"")</f>
        <v/>
      </c>
      <c r="L260" s="7" t="str">
        <f>IF(Table1[[#This Row],[Is Data Valid]]=TRUE,_xlfn.NORM.S.DIST(Table1[[#This Row],[Birthweight Z-Score (BW+10%)]],TRUE)*100,"")</f>
        <v/>
      </c>
    </row>
    <row r="261" spans="1:12" x14ac:dyDescent="0.35">
      <c r="A261" s="3"/>
      <c r="B261" s="2"/>
      <c r="C261" s="2"/>
      <c r="D261" s="2" t="b">
        <f>IF(AND(NOT(ISBLANK(Table1[[#This Row],[Fetal Sex (Male, Female or Unknown)]])),ISNUMBER(Table1[[#This Row],[Birthweight (grams)]]),ISNUMBER(Table1[[#This Row],[Gestation (days)]])),TRUE,FALSE)</f>
        <v>0</v>
      </c>
      <c r="E261" s="2" t="str">
        <f>IF(Table1[[#This Row],[Is Data Valid]]=TRUE,IF(Table1[[#This Row],[Fetal Sex (Male, Female or Unknown)]]="Male",Backend!$C$6,IF(Table1[[#This Row],[Fetal Sex (Male, Female or Unknown)]]="Female",Backend!$C$7,IF(Table1[[#This Row],[Fetal Sex (Male, Female or Unknown)]]="Unknown",Backend!$C$8,"Error"))),"")</f>
        <v/>
      </c>
      <c r="F261" s="8" t="str">
        <f>IF(Table1[[#This Row],[Is Data Valid]]=TRUE,EXP(0.578+0.332*((Table1[[#This Row],[Gestation (days)]]+0.5)/7)-0.00354*((Table1[[#This Row],[Gestation (days)]]+0.5)/7)^2)*Table1[[#This Row],[BW40_3705]],"")</f>
        <v/>
      </c>
      <c r="G261" s="2" t="str">
        <f>IF(Table1[[#This Row],[Is Data Valid]]=TRUE,((Table1[[#This Row],[Birthweight (grams)]]/Table1[[#This Row],[BW_GA]])-1)/(Backend!$B$4/100*Table1[[#This Row],[BW40_3705]]),"")</f>
        <v/>
      </c>
      <c r="H261" s="7" t="str">
        <f>IF(Table1[[#This Row],[Is Data Valid]]=TRUE,((Table1[[#This Row],[Birthweight (grams)]]*0.9/Table1[[#This Row],[BW_GA]])-1)/(Backend!$B$4/100*Table1[[#This Row],[BW40_3705]]),"")</f>
        <v/>
      </c>
      <c r="I261" s="7" t="str">
        <f>IF(Table1[[#This Row],[Is Data Valid]]=TRUE,((Table1[[#This Row],[Birthweight (grams)]]*1.1/Table1[[#This Row],[BW_GA]])-1)/(Backend!$B$4/100*Table1[[#This Row],[BW40_3705]]),"")</f>
        <v/>
      </c>
      <c r="J261" s="7" t="str">
        <f>IF(Table1[[#This Row],[Is Data Valid]]=TRUE,_xlfn.NORM.S.DIST(Table1[[#This Row],[Birthweight Z-Score]],TRUE)*100,"")</f>
        <v/>
      </c>
      <c r="K261" s="7" t="str">
        <f>IF(Table1[[#This Row],[Is Data Valid]]=TRUE,_xlfn.NORM.S.DIST(Table1[[#This Row],[Birthweight Z-Score (BW-10%)]],TRUE)*100,"")</f>
        <v/>
      </c>
      <c r="L261" s="7" t="str">
        <f>IF(Table1[[#This Row],[Is Data Valid]]=TRUE,_xlfn.NORM.S.DIST(Table1[[#This Row],[Birthweight Z-Score (BW+10%)]],TRUE)*100,"")</f>
        <v/>
      </c>
    </row>
    <row r="262" spans="1:12" x14ac:dyDescent="0.35">
      <c r="A262" s="3"/>
      <c r="B262" s="2"/>
      <c r="C262" s="2"/>
      <c r="D262" s="2" t="b">
        <f>IF(AND(NOT(ISBLANK(Table1[[#This Row],[Fetal Sex (Male, Female or Unknown)]])),ISNUMBER(Table1[[#This Row],[Birthweight (grams)]]),ISNUMBER(Table1[[#This Row],[Gestation (days)]])),TRUE,FALSE)</f>
        <v>0</v>
      </c>
      <c r="E262" s="2" t="str">
        <f>IF(Table1[[#This Row],[Is Data Valid]]=TRUE,IF(Table1[[#This Row],[Fetal Sex (Male, Female or Unknown)]]="Male",Backend!$C$6,IF(Table1[[#This Row],[Fetal Sex (Male, Female or Unknown)]]="Female",Backend!$C$7,IF(Table1[[#This Row],[Fetal Sex (Male, Female or Unknown)]]="Unknown",Backend!$C$8,"Error"))),"")</f>
        <v/>
      </c>
      <c r="F262" s="8" t="str">
        <f>IF(Table1[[#This Row],[Is Data Valid]]=TRUE,EXP(0.578+0.332*((Table1[[#This Row],[Gestation (days)]]+0.5)/7)-0.00354*((Table1[[#This Row],[Gestation (days)]]+0.5)/7)^2)*Table1[[#This Row],[BW40_3705]],"")</f>
        <v/>
      </c>
      <c r="G262" s="2" t="str">
        <f>IF(Table1[[#This Row],[Is Data Valid]]=TRUE,((Table1[[#This Row],[Birthweight (grams)]]/Table1[[#This Row],[BW_GA]])-1)/(Backend!$B$4/100*Table1[[#This Row],[BW40_3705]]),"")</f>
        <v/>
      </c>
      <c r="H262" s="7" t="str">
        <f>IF(Table1[[#This Row],[Is Data Valid]]=TRUE,((Table1[[#This Row],[Birthweight (grams)]]*0.9/Table1[[#This Row],[BW_GA]])-1)/(Backend!$B$4/100*Table1[[#This Row],[BW40_3705]]),"")</f>
        <v/>
      </c>
      <c r="I262" s="7" t="str">
        <f>IF(Table1[[#This Row],[Is Data Valid]]=TRUE,((Table1[[#This Row],[Birthweight (grams)]]*1.1/Table1[[#This Row],[BW_GA]])-1)/(Backend!$B$4/100*Table1[[#This Row],[BW40_3705]]),"")</f>
        <v/>
      </c>
      <c r="J262" s="7" t="str">
        <f>IF(Table1[[#This Row],[Is Data Valid]]=TRUE,_xlfn.NORM.S.DIST(Table1[[#This Row],[Birthweight Z-Score]],TRUE)*100,"")</f>
        <v/>
      </c>
      <c r="K262" s="7" t="str">
        <f>IF(Table1[[#This Row],[Is Data Valid]]=TRUE,_xlfn.NORM.S.DIST(Table1[[#This Row],[Birthweight Z-Score (BW-10%)]],TRUE)*100,"")</f>
        <v/>
      </c>
      <c r="L262" s="7" t="str">
        <f>IF(Table1[[#This Row],[Is Data Valid]]=TRUE,_xlfn.NORM.S.DIST(Table1[[#This Row],[Birthweight Z-Score (BW+10%)]],TRUE)*100,"")</f>
        <v/>
      </c>
    </row>
    <row r="263" spans="1:12" x14ac:dyDescent="0.35">
      <c r="A263" s="3"/>
      <c r="B263" s="2"/>
      <c r="C263" s="2"/>
      <c r="D263" s="2" t="b">
        <f>IF(AND(NOT(ISBLANK(Table1[[#This Row],[Fetal Sex (Male, Female or Unknown)]])),ISNUMBER(Table1[[#This Row],[Birthweight (grams)]]),ISNUMBER(Table1[[#This Row],[Gestation (days)]])),TRUE,FALSE)</f>
        <v>0</v>
      </c>
      <c r="E263" s="2" t="str">
        <f>IF(Table1[[#This Row],[Is Data Valid]]=TRUE,IF(Table1[[#This Row],[Fetal Sex (Male, Female or Unknown)]]="Male",Backend!$C$6,IF(Table1[[#This Row],[Fetal Sex (Male, Female or Unknown)]]="Female",Backend!$C$7,IF(Table1[[#This Row],[Fetal Sex (Male, Female or Unknown)]]="Unknown",Backend!$C$8,"Error"))),"")</f>
        <v/>
      </c>
      <c r="F263" s="8" t="str">
        <f>IF(Table1[[#This Row],[Is Data Valid]]=TRUE,EXP(0.578+0.332*((Table1[[#This Row],[Gestation (days)]]+0.5)/7)-0.00354*((Table1[[#This Row],[Gestation (days)]]+0.5)/7)^2)*Table1[[#This Row],[BW40_3705]],"")</f>
        <v/>
      </c>
      <c r="G263" s="2" t="str">
        <f>IF(Table1[[#This Row],[Is Data Valid]]=TRUE,((Table1[[#This Row],[Birthweight (grams)]]/Table1[[#This Row],[BW_GA]])-1)/(Backend!$B$4/100*Table1[[#This Row],[BW40_3705]]),"")</f>
        <v/>
      </c>
      <c r="H263" s="7" t="str">
        <f>IF(Table1[[#This Row],[Is Data Valid]]=TRUE,((Table1[[#This Row],[Birthweight (grams)]]*0.9/Table1[[#This Row],[BW_GA]])-1)/(Backend!$B$4/100*Table1[[#This Row],[BW40_3705]]),"")</f>
        <v/>
      </c>
      <c r="I263" s="7" t="str">
        <f>IF(Table1[[#This Row],[Is Data Valid]]=TRUE,((Table1[[#This Row],[Birthweight (grams)]]*1.1/Table1[[#This Row],[BW_GA]])-1)/(Backend!$B$4/100*Table1[[#This Row],[BW40_3705]]),"")</f>
        <v/>
      </c>
      <c r="J263" s="7" t="str">
        <f>IF(Table1[[#This Row],[Is Data Valid]]=TRUE,_xlfn.NORM.S.DIST(Table1[[#This Row],[Birthweight Z-Score]],TRUE)*100,"")</f>
        <v/>
      </c>
      <c r="K263" s="7" t="str">
        <f>IF(Table1[[#This Row],[Is Data Valid]]=TRUE,_xlfn.NORM.S.DIST(Table1[[#This Row],[Birthweight Z-Score (BW-10%)]],TRUE)*100,"")</f>
        <v/>
      </c>
      <c r="L263" s="7" t="str">
        <f>IF(Table1[[#This Row],[Is Data Valid]]=TRUE,_xlfn.NORM.S.DIST(Table1[[#This Row],[Birthweight Z-Score (BW+10%)]],TRUE)*100,"")</f>
        <v/>
      </c>
    </row>
    <row r="264" spans="1:12" x14ac:dyDescent="0.35">
      <c r="A264" s="3"/>
      <c r="B264" s="2"/>
      <c r="C264" s="2"/>
      <c r="D264" s="2" t="b">
        <f>IF(AND(NOT(ISBLANK(Table1[[#This Row],[Fetal Sex (Male, Female or Unknown)]])),ISNUMBER(Table1[[#This Row],[Birthweight (grams)]]),ISNUMBER(Table1[[#This Row],[Gestation (days)]])),TRUE,FALSE)</f>
        <v>0</v>
      </c>
      <c r="E264" s="2" t="str">
        <f>IF(Table1[[#This Row],[Is Data Valid]]=TRUE,IF(Table1[[#This Row],[Fetal Sex (Male, Female or Unknown)]]="Male",Backend!$C$6,IF(Table1[[#This Row],[Fetal Sex (Male, Female or Unknown)]]="Female",Backend!$C$7,IF(Table1[[#This Row],[Fetal Sex (Male, Female or Unknown)]]="Unknown",Backend!$C$8,"Error"))),"")</f>
        <v/>
      </c>
      <c r="F264" s="8" t="str">
        <f>IF(Table1[[#This Row],[Is Data Valid]]=TRUE,EXP(0.578+0.332*((Table1[[#This Row],[Gestation (days)]]+0.5)/7)-0.00354*((Table1[[#This Row],[Gestation (days)]]+0.5)/7)^2)*Table1[[#This Row],[BW40_3705]],"")</f>
        <v/>
      </c>
      <c r="G264" s="2" t="str">
        <f>IF(Table1[[#This Row],[Is Data Valid]]=TRUE,((Table1[[#This Row],[Birthweight (grams)]]/Table1[[#This Row],[BW_GA]])-1)/(Backend!$B$4/100*Table1[[#This Row],[BW40_3705]]),"")</f>
        <v/>
      </c>
      <c r="H264" s="7" t="str">
        <f>IF(Table1[[#This Row],[Is Data Valid]]=TRUE,((Table1[[#This Row],[Birthweight (grams)]]*0.9/Table1[[#This Row],[BW_GA]])-1)/(Backend!$B$4/100*Table1[[#This Row],[BW40_3705]]),"")</f>
        <v/>
      </c>
      <c r="I264" s="7" t="str">
        <f>IF(Table1[[#This Row],[Is Data Valid]]=TRUE,((Table1[[#This Row],[Birthweight (grams)]]*1.1/Table1[[#This Row],[BW_GA]])-1)/(Backend!$B$4/100*Table1[[#This Row],[BW40_3705]]),"")</f>
        <v/>
      </c>
      <c r="J264" s="7" t="str">
        <f>IF(Table1[[#This Row],[Is Data Valid]]=TRUE,_xlfn.NORM.S.DIST(Table1[[#This Row],[Birthweight Z-Score]],TRUE)*100,"")</f>
        <v/>
      </c>
      <c r="K264" s="7" t="str">
        <f>IF(Table1[[#This Row],[Is Data Valid]]=TRUE,_xlfn.NORM.S.DIST(Table1[[#This Row],[Birthweight Z-Score (BW-10%)]],TRUE)*100,"")</f>
        <v/>
      </c>
      <c r="L264" s="7" t="str">
        <f>IF(Table1[[#This Row],[Is Data Valid]]=TRUE,_xlfn.NORM.S.DIST(Table1[[#This Row],[Birthweight Z-Score (BW+10%)]],TRUE)*100,"")</f>
        <v/>
      </c>
    </row>
    <row r="265" spans="1:12" x14ac:dyDescent="0.35">
      <c r="A265" s="3"/>
      <c r="B265" s="2"/>
      <c r="C265" s="2"/>
      <c r="D265" s="2" t="b">
        <f>IF(AND(NOT(ISBLANK(Table1[[#This Row],[Fetal Sex (Male, Female or Unknown)]])),ISNUMBER(Table1[[#This Row],[Birthweight (grams)]]),ISNUMBER(Table1[[#This Row],[Gestation (days)]])),TRUE,FALSE)</f>
        <v>0</v>
      </c>
      <c r="E265" s="2" t="str">
        <f>IF(Table1[[#This Row],[Is Data Valid]]=TRUE,IF(Table1[[#This Row],[Fetal Sex (Male, Female or Unknown)]]="Male",Backend!$C$6,IF(Table1[[#This Row],[Fetal Sex (Male, Female or Unknown)]]="Female",Backend!$C$7,IF(Table1[[#This Row],[Fetal Sex (Male, Female or Unknown)]]="Unknown",Backend!$C$8,"Error"))),"")</f>
        <v/>
      </c>
      <c r="F265" s="8" t="str">
        <f>IF(Table1[[#This Row],[Is Data Valid]]=TRUE,EXP(0.578+0.332*((Table1[[#This Row],[Gestation (days)]]+0.5)/7)-0.00354*((Table1[[#This Row],[Gestation (days)]]+0.5)/7)^2)*Table1[[#This Row],[BW40_3705]],"")</f>
        <v/>
      </c>
      <c r="G265" s="2" t="str">
        <f>IF(Table1[[#This Row],[Is Data Valid]]=TRUE,((Table1[[#This Row],[Birthweight (grams)]]/Table1[[#This Row],[BW_GA]])-1)/(Backend!$B$4/100*Table1[[#This Row],[BW40_3705]]),"")</f>
        <v/>
      </c>
      <c r="H265" s="7" t="str">
        <f>IF(Table1[[#This Row],[Is Data Valid]]=TRUE,((Table1[[#This Row],[Birthweight (grams)]]*0.9/Table1[[#This Row],[BW_GA]])-1)/(Backend!$B$4/100*Table1[[#This Row],[BW40_3705]]),"")</f>
        <v/>
      </c>
      <c r="I265" s="7" t="str">
        <f>IF(Table1[[#This Row],[Is Data Valid]]=TRUE,((Table1[[#This Row],[Birthweight (grams)]]*1.1/Table1[[#This Row],[BW_GA]])-1)/(Backend!$B$4/100*Table1[[#This Row],[BW40_3705]]),"")</f>
        <v/>
      </c>
      <c r="J265" s="7" t="str">
        <f>IF(Table1[[#This Row],[Is Data Valid]]=TRUE,_xlfn.NORM.S.DIST(Table1[[#This Row],[Birthweight Z-Score]],TRUE)*100,"")</f>
        <v/>
      </c>
      <c r="K265" s="7" t="str">
        <f>IF(Table1[[#This Row],[Is Data Valid]]=TRUE,_xlfn.NORM.S.DIST(Table1[[#This Row],[Birthweight Z-Score (BW-10%)]],TRUE)*100,"")</f>
        <v/>
      </c>
      <c r="L265" s="7" t="str">
        <f>IF(Table1[[#This Row],[Is Data Valid]]=TRUE,_xlfn.NORM.S.DIST(Table1[[#This Row],[Birthweight Z-Score (BW+10%)]],TRUE)*100,"")</f>
        <v/>
      </c>
    </row>
    <row r="266" spans="1:12" x14ac:dyDescent="0.35">
      <c r="A266" s="3"/>
      <c r="B266" s="2"/>
      <c r="C266" s="2"/>
      <c r="D266" s="2" t="b">
        <f>IF(AND(NOT(ISBLANK(Table1[[#This Row],[Fetal Sex (Male, Female or Unknown)]])),ISNUMBER(Table1[[#This Row],[Birthweight (grams)]]),ISNUMBER(Table1[[#This Row],[Gestation (days)]])),TRUE,FALSE)</f>
        <v>0</v>
      </c>
      <c r="E266" s="2" t="str">
        <f>IF(Table1[[#This Row],[Is Data Valid]]=TRUE,IF(Table1[[#This Row],[Fetal Sex (Male, Female or Unknown)]]="Male",Backend!$C$6,IF(Table1[[#This Row],[Fetal Sex (Male, Female or Unknown)]]="Female",Backend!$C$7,IF(Table1[[#This Row],[Fetal Sex (Male, Female or Unknown)]]="Unknown",Backend!$C$8,"Error"))),"")</f>
        <v/>
      </c>
      <c r="F266" s="8" t="str">
        <f>IF(Table1[[#This Row],[Is Data Valid]]=TRUE,EXP(0.578+0.332*((Table1[[#This Row],[Gestation (days)]]+0.5)/7)-0.00354*((Table1[[#This Row],[Gestation (days)]]+0.5)/7)^2)*Table1[[#This Row],[BW40_3705]],"")</f>
        <v/>
      </c>
      <c r="G266" s="2" t="str">
        <f>IF(Table1[[#This Row],[Is Data Valid]]=TRUE,((Table1[[#This Row],[Birthweight (grams)]]/Table1[[#This Row],[BW_GA]])-1)/(Backend!$B$4/100*Table1[[#This Row],[BW40_3705]]),"")</f>
        <v/>
      </c>
      <c r="H266" s="7" t="str">
        <f>IF(Table1[[#This Row],[Is Data Valid]]=TRUE,((Table1[[#This Row],[Birthweight (grams)]]*0.9/Table1[[#This Row],[BW_GA]])-1)/(Backend!$B$4/100*Table1[[#This Row],[BW40_3705]]),"")</f>
        <v/>
      </c>
      <c r="I266" s="7" t="str">
        <f>IF(Table1[[#This Row],[Is Data Valid]]=TRUE,((Table1[[#This Row],[Birthweight (grams)]]*1.1/Table1[[#This Row],[BW_GA]])-1)/(Backend!$B$4/100*Table1[[#This Row],[BW40_3705]]),"")</f>
        <v/>
      </c>
      <c r="J266" s="7" t="str">
        <f>IF(Table1[[#This Row],[Is Data Valid]]=TRUE,_xlfn.NORM.S.DIST(Table1[[#This Row],[Birthweight Z-Score]],TRUE)*100,"")</f>
        <v/>
      </c>
      <c r="K266" s="7" t="str">
        <f>IF(Table1[[#This Row],[Is Data Valid]]=TRUE,_xlfn.NORM.S.DIST(Table1[[#This Row],[Birthweight Z-Score (BW-10%)]],TRUE)*100,"")</f>
        <v/>
      </c>
      <c r="L266" s="7" t="str">
        <f>IF(Table1[[#This Row],[Is Data Valid]]=TRUE,_xlfn.NORM.S.DIST(Table1[[#This Row],[Birthweight Z-Score (BW+10%)]],TRUE)*100,"")</f>
        <v/>
      </c>
    </row>
    <row r="267" spans="1:12" x14ac:dyDescent="0.35">
      <c r="A267" s="3"/>
      <c r="B267" s="2"/>
      <c r="C267" s="2"/>
      <c r="D267" s="2" t="b">
        <f>IF(AND(NOT(ISBLANK(Table1[[#This Row],[Fetal Sex (Male, Female or Unknown)]])),ISNUMBER(Table1[[#This Row],[Birthweight (grams)]]),ISNUMBER(Table1[[#This Row],[Gestation (days)]])),TRUE,FALSE)</f>
        <v>0</v>
      </c>
      <c r="E267" s="2" t="str">
        <f>IF(Table1[[#This Row],[Is Data Valid]]=TRUE,IF(Table1[[#This Row],[Fetal Sex (Male, Female or Unknown)]]="Male",Backend!$C$6,IF(Table1[[#This Row],[Fetal Sex (Male, Female or Unknown)]]="Female",Backend!$C$7,IF(Table1[[#This Row],[Fetal Sex (Male, Female or Unknown)]]="Unknown",Backend!$C$8,"Error"))),"")</f>
        <v/>
      </c>
      <c r="F267" s="8" t="str">
        <f>IF(Table1[[#This Row],[Is Data Valid]]=TRUE,EXP(0.578+0.332*((Table1[[#This Row],[Gestation (days)]]+0.5)/7)-0.00354*((Table1[[#This Row],[Gestation (days)]]+0.5)/7)^2)*Table1[[#This Row],[BW40_3705]],"")</f>
        <v/>
      </c>
      <c r="G267" s="2" t="str">
        <f>IF(Table1[[#This Row],[Is Data Valid]]=TRUE,((Table1[[#This Row],[Birthweight (grams)]]/Table1[[#This Row],[BW_GA]])-1)/(Backend!$B$4/100*Table1[[#This Row],[BW40_3705]]),"")</f>
        <v/>
      </c>
      <c r="H267" s="7" t="str">
        <f>IF(Table1[[#This Row],[Is Data Valid]]=TRUE,((Table1[[#This Row],[Birthweight (grams)]]*0.9/Table1[[#This Row],[BW_GA]])-1)/(Backend!$B$4/100*Table1[[#This Row],[BW40_3705]]),"")</f>
        <v/>
      </c>
      <c r="I267" s="7" t="str">
        <f>IF(Table1[[#This Row],[Is Data Valid]]=TRUE,((Table1[[#This Row],[Birthweight (grams)]]*1.1/Table1[[#This Row],[BW_GA]])-1)/(Backend!$B$4/100*Table1[[#This Row],[BW40_3705]]),"")</f>
        <v/>
      </c>
      <c r="J267" s="7" t="str">
        <f>IF(Table1[[#This Row],[Is Data Valid]]=TRUE,_xlfn.NORM.S.DIST(Table1[[#This Row],[Birthweight Z-Score]],TRUE)*100,"")</f>
        <v/>
      </c>
      <c r="K267" s="7" t="str">
        <f>IF(Table1[[#This Row],[Is Data Valid]]=TRUE,_xlfn.NORM.S.DIST(Table1[[#This Row],[Birthweight Z-Score (BW-10%)]],TRUE)*100,"")</f>
        <v/>
      </c>
      <c r="L267" s="7" t="str">
        <f>IF(Table1[[#This Row],[Is Data Valid]]=TRUE,_xlfn.NORM.S.DIST(Table1[[#This Row],[Birthweight Z-Score (BW+10%)]],TRUE)*100,"")</f>
        <v/>
      </c>
    </row>
    <row r="268" spans="1:12" x14ac:dyDescent="0.35">
      <c r="A268" s="3"/>
      <c r="B268" s="2"/>
      <c r="C268" s="2"/>
      <c r="D268" s="2" t="b">
        <f>IF(AND(NOT(ISBLANK(Table1[[#This Row],[Fetal Sex (Male, Female or Unknown)]])),ISNUMBER(Table1[[#This Row],[Birthweight (grams)]]),ISNUMBER(Table1[[#This Row],[Gestation (days)]])),TRUE,FALSE)</f>
        <v>0</v>
      </c>
      <c r="E268" s="2" t="str">
        <f>IF(Table1[[#This Row],[Is Data Valid]]=TRUE,IF(Table1[[#This Row],[Fetal Sex (Male, Female or Unknown)]]="Male",Backend!$C$6,IF(Table1[[#This Row],[Fetal Sex (Male, Female or Unknown)]]="Female",Backend!$C$7,IF(Table1[[#This Row],[Fetal Sex (Male, Female or Unknown)]]="Unknown",Backend!$C$8,"Error"))),"")</f>
        <v/>
      </c>
      <c r="F268" s="8" t="str">
        <f>IF(Table1[[#This Row],[Is Data Valid]]=TRUE,EXP(0.578+0.332*((Table1[[#This Row],[Gestation (days)]]+0.5)/7)-0.00354*((Table1[[#This Row],[Gestation (days)]]+0.5)/7)^2)*Table1[[#This Row],[BW40_3705]],"")</f>
        <v/>
      </c>
      <c r="G268" s="2" t="str">
        <f>IF(Table1[[#This Row],[Is Data Valid]]=TRUE,((Table1[[#This Row],[Birthweight (grams)]]/Table1[[#This Row],[BW_GA]])-1)/(Backend!$B$4/100*Table1[[#This Row],[BW40_3705]]),"")</f>
        <v/>
      </c>
      <c r="H268" s="7" t="str">
        <f>IF(Table1[[#This Row],[Is Data Valid]]=TRUE,((Table1[[#This Row],[Birthweight (grams)]]*0.9/Table1[[#This Row],[BW_GA]])-1)/(Backend!$B$4/100*Table1[[#This Row],[BW40_3705]]),"")</f>
        <v/>
      </c>
      <c r="I268" s="7" t="str">
        <f>IF(Table1[[#This Row],[Is Data Valid]]=TRUE,((Table1[[#This Row],[Birthweight (grams)]]*1.1/Table1[[#This Row],[BW_GA]])-1)/(Backend!$B$4/100*Table1[[#This Row],[BW40_3705]]),"")</f>
        <v/>
      </c>
      <c r="J268" s="7" t="str">
        <f>IF(Table1[[#This Row],[Is Data Valid]]=TRUE,_xlfn.NORM.S.DIST(Table1[[#This Row],[Birthweight Z-Score]],TRUE)*100,"")</f>
        <v/>
      </c>
      <c r="K268" s="7" t="str">
        <f>IF(Table1[[#This Row],[Is Data Valid]]=TRUE,_xlfn.NORM.S.DIST(Table1[[#This Row],[Birthweight Z-Score (BW-10%)]],TRUE)*100,"")</f>
        <v/>
      </c>
      <c r="L268" s="7" t="str">
        <f>IF(Table1[[#This Row],[Is Data Valid]]=TRUE,_xlfn.NORM.S.DIST(Table1[[#This Row],[Birthweight Z-Score (BW+10%)]],TRUE)*100,"")</f>
        <v/>
      </c>
    </row>
    <row r="269" spans="1:12" x14ac:dyDescent="0.35">
      <c r="A269" s="3"/>
      <c r="B269" s="2"/>
      <c r="C269" s="2"/>
      <c r="D269" s="2" t="b">
        <f>IF(AND(NOT(ISBLANK(Table1[[#This Row],[Fetal Sex (Male, Female or Unknown)]])),ISNUMBER(Table1[[#This Row],[Birthweight (grams)]]),ISNUMBER(Table1[[#This Row],[Gestation (days)]])),TRUE,FALSE)</f>
        <v>0</v>
      </c>
      <c r="E269" s="2" t="str">
        <f>IF(Table1[[#This Row],[Is Data Valid]]=TRUE,IF(Table1[[#This Row],[Fetal Sex (Male, Female or Unknown)]]="Male",Backend!$C$6,IF(Table1[[#This Row],[Fetal Sex (Male, Female or Unknown)]]="Female",Backend!$C$7,IF(Table1[[#This Row],[Fetal Sex (Male, Female or Unknown)]]="Unknown",Backend!$C$8,"Error"))),"")</f>
        <v/>
      </c>
      <c r="F269" s="8" t="str">
        <f>IF(Table1[[#This Row],[Is Data Valid]]=TRUE,EXP(0.578+0.332*((Table1[[#This Row],[Gestation (days)]]+0.5)/7)-0.00354*((Table1[[#This Row],[Gestation (days)]]+0.5)/7)^2)*Table1[[#This Row],[BW40_3705]],"")</f>
        <v/>
      </c>
      <c r="G269" s="2" t="str">
        <f>IF(Table1[[#This Row],[Is Data Valid]]=TRUE,((Table1[[#This Row],[Birthweight (grams)]]/Table1[[#This Row],[BW_GA]])-1)/(Backend!$B$4/100*Table1[[#This Row],[BW40_3705]]),"")</f>
        <v/>
      </c>
      <c r="H269" s="7" t="str">
        <f>IF(Table1[[#This Row],[Is Data Valid]]=TRUE,((Table1[[#This Row],[Birthweight (grams)]]*0.9/Table1[[#This Row],[BW_GA]])-1)/(Backend!$B$4/100*Table1[[#This Row],[BW40_3705]]),"")</f>
        <v/>
      </c>
      <c r="I269" s="7" t="str">
        <f>IF(Table1[[#This Row],[Is Data Valid]]=TRUE,((Table1[[#This Row],[Birthweight (grams)]]*1.1/Table1[[#This Row],[BW_GA]])-1)/(Backend!$B$4/100*Table1[[#This Row],[BW40_3705]]),"")</f>
        <v/>
      </c>
      <c r="J269" s="7" t="str">
        <f>IF(Table1[[#This Row],[Is Data Valid]]=TRUE,_xlfn.NORM.S.DIST(Table1[[#This Row],[Birthweight Z-Score]],TRUE)*100,"")</f>
        <v/>
      </c>
      <c r="K269" s="7" t="str">
        <f>IF(Table1[[#This Row],[Is Data Valid]]=TRUE,_xlfn.NORM.S.DIST(Table1[[#This Row],[Birthweight Z-Score (BW-10%)]],TRUE)*100,"")</f>
        <v/>
      </c>
      <c r="L269" s="7" t="str">
        <f>IF(Table1[[#This Row],[Is Data Valid]]=TRUE,_xlfn.NORM.S.DIST(Table1[[#This Row],[Birthweight Z-Score (BW+10%)]],TRUE)*100,"")</f>
        <v/>
      </c>
    </row>
    <row r="270" spans="1:12" x14ac:dyDescent="0.35">
      <c r="A270" s="3"/>
      <c r="B270" s="2"/>
      <c r="C270" s="2"/>
      <c r="D270" s="2" t="b">
        <f>IF(AND(NOT(ISBLANK(Table1[[#This Row],[Fetal Sex (Male, Female or Unknown)]])),ISNUMBER(Table1[[#This Row],[Birthweight (grams)]]),ISNUMBER(Table1[[#This Row],[Gestation (days)]])),TRUE,FALSE)</f>
        <v>0</v>
      </c>
      <c r="E270" s="2" t="str">
        <f>IF(Table1[[#This Row],[Is Data Valid]]=TRUE,IF(Table1[[#This Row],[Fetal Sex (Male, Female or Unknown)]]="Male",Backend!$C$6,IF(Table1[[#This Row],[Fetal Sex (Male, Female or Unknown)]]="Female",Backend!$C$7,IF(Table1[[#This Row],[Fetal Sex (Male, Female or Unknown)]]="Unknown",Backend!$C$8,"Error"))),"")</f>
        <v/>
      </c>
      <c r="F270" s="8" t="str">
        <f>IF(Table1[[#This Row],[Is Data Valid]]=TRUE,EXP(0.578+0.332*((Table1[[#This Row],[Gestation (days)]]+0.5)/7)-0.00354*((Table1[[#This Row],[Gestation (days)]]+0.5)/7)^2)*Table1[[#This Row],[BW40_3705]],"")</f>
        <v/>
      </c>
      <c r="G270" s="2" t="str">
        <f>IF(Table1[[#This Row],[Is Data Valid]]=TRUE,((Table1[[#This Row],[Birthweight (grams)]]/Table1[[#This Row],[BW_GA]])-1)/(Backend!$B$4/100*Table1[[#This Row],[BW40_3705]]),"")</f>
        <v/>
      </c>
      <c r="H270" s="7" t="str">
        <f>IF(Table1[[#This Row],[Is Data Valid]]=TRUE,((Table1[[#This Row],[Birthweight (grams)]]*0.9/Table1[[#This Row],[BW_GA]])-1)/(Backend!$B$4/100*Table1[[#This Row],[BW40_3705]]),"")</f>
        <v/>
      </c>
      <c r="I270" s="7" t="str">
        <f>IF(Table1[[#This Row],[Is Data Valid]]=TRUE,((Table1[[#This Row],[Birthweight (grams)]]*1.1/Table1[[#This Row],[BW_GA]])-1)/(Backend!$B$4/100*Table1[[#This Row],[BW40_3705]]),"")</f>
        <v/>
      </c>
      <c r="J270" s="7" t="str">
        <f>IF(Table1[[#This Row],[Is Data Valid]]=TRUE,_xlfn.NORM.S.DIST(Table1[[#This Row],[Birthweight Z-Score]],TRUE)*100,"")</f>
        <v/>
      </c>
      <c r="K270" s="7" t="str">
        <f>IF(Table1[[#This Row],[Is Data Valid]]=TRUE,_xlfn.NORM.S.DIST(Table1[[#This Row],[Birthweight Z-Score (BW-10%)]],TRUE)*100,"")</f>
        <v/>
      </c>
      <c r="L270" s="7" t="str">
        <f>IF(Table1[[#This Row],[Is Data Valid]]=TRUE,_xlfn.NORM.S.DIST(Table1[[#This Row],[Birthweight Z-Score (BW+10%)]],TRUE)*100,"")</f>
        <v/>
      </c>
    </row>
    <row r="271" spans="1:12" x14ac:dyDescent="0.35">
      <c r="A271" s="3"/>
      <c r="B271" s="2"/>
      <c r="C271" s="2"/>
      <c r="D271" s="2" t="b">
        <f>IF(AND(NOT(ISBLANK(Table1[[#This Row],[Fetal Sex (Male, Female or Unknown)]])),ISNUMBER(Table1[[#This Row],[Birthweight (grams)]]),ISNUMBER(Table1[[#This Row],[Gestation (days)]])),TRUE,FALSE)</f>
        <v>0</v>
      </c>
      <c r="E271" s="2" t="str">
        <f>IF(Table1[[#This Row],[Is Data Valid]]=TRUE,IF(Table1[[#This Row],[Fetal Sex (Male, Female or Unknown)]]="Male",Backend!$C$6,IF(Table1[[#This Row],[Fetal Sex (Male, Female or Unknown)]]="Female",Backend!$C$7,IF(Table1[[#This Row],[Fetal Sex (Male, Female or Unknown)]]="Unknown",Backend!$C$8,"Error"))),"")</f>
        <v/>
      </c>
      <c r="F271" s="8" t="str">
        <f>IF(Table1[[#This Row],[Is Data Valid]]=TRUE,EXP(0.578+0.332*((Table1[[#This Row],[Gestation (days)]]+0.5)/7)-0.00354*((Table1[[#This Row],[Gestation (days)]]+0.5)/7)^2)*Table1[[#This Row],[BW40_3705]],"")</f>
        <v/>
      </c>
      <c r="G271" s="2" t="str">
        <f>IF(Table1[[#This Row],[Is Data Valid]]=TRUE,((Table1[[#This Row],[Birthweight (grams)]]/Table1[[#This Row],[BW_GA]])-1)/(Backend!$B$4/100*Table1[[#This Row],[BW40_3705]]),"")</f>
        <v/>
      </c>
      <c r="H271" s="7" t="str">
        <f>IF(Table1[[#This Row],[Is Data Valid]]=TRUE,((Table1[[#This Row],[Birthweight (grams)]]*0.9/Table1[[#This Row],[BW_GA]])-1)/(Backend!$B$4/100*Table1[[#This Row],[BW40_3705]]),"")</f>
        <v/>
      </c>
      <c r="I271" s="7" t="str">
        <f>IF(Table1[[#This Row],[Is Data Valid]]=TRUE,((Table1[[#This Row],[Birthweight (grams)]]*1.1/Table1[[#This Row],[BW_GA]])-1)/(Backend!$B$4/100*Table1[[#This Row],[BW40_3705]]),"")</f>
        <v/>
      </c>
      <c r="J271" s="7" t="str">
        <f>IF(Table1[[#This Row],[Is Data Valid]]=TRUE,_xlfn.NORM.S.DIST(Table1[[#This Row],[Birthweight Z-Score]],TRUE)*100,"")</f>
        <v/>
      </c>
      <c r="K271" s="7" t="str">
        <f>IF(Table1[[#This Row],[Is Data Valid]]=TRUE,_xlfn.NORM.S.DIST(Table1[[#This Row],[Birthweight Z-Score (BW-10%)]],TRUE)*100,"")</f>
        <v/>
      </c>
      <c r="L271" s="7" t="str">
        <f>IF(Table1[[#This Row],[Is Data Valid]]=TRUE,_xlfn.NORM.S.DIST(Table1[[#This Row],[Birthweight Z-Score (BW+10%)]],TRUE)*100,"")</f>
        <v/>
      </c>
    </row>
    <row r="272" spans="1:12" x14ac:dyDescent="0.35">
      <c r="A272" s="3"/>
      <c r="B272" s="2"/>
      <c r="C272" s="2"/>
      <c r="D272" s="2" t="b">
        <f>IF(AND(NOT(ISBLANK(Table1[[#This Row],[Fetal Sex (Male, Female or Unknown)]])),ISNUMBER(Table1[[#This Row],[Birthweight (grams)]]),ISNUMBER(Table1[[#This Row],[Gestation (days)]])),TRUE,FALSE)</f>
        <v>0</v>
      </c>
      <c r="E272" s="2" t="str">
        <f>IF(Table1[[#This Row],[Is Data Valid]]=TRUE,IF(Table1[[#This Row],[Fetal Sex (Male, Female or Unknown)]]="Male",Backend!$C$6,IF(Table1[[#This Row],[Fetal Sex (Male, Female or Unknown)]]="Female",Backend!$C$7,IF(Table1[[#This Row],[Fetal Sex (Male, Female or Unknown)]]="Unknown",Backend!$C$8,"Error"))),"")</f>
        <v/>
      </c>
      <c r="F272" s="8" t="str">
        <f>IF(Table1[[#This Row],[Is Data Valid]]=TRUE,EXP(0.578+0.332*((Table1[[#This Row],[Gestation (days)]]+0.5)/7)-0.00354*((Table1[[#This Row],[Gestation (days)]]+0.5)/7)^2)*Table1[[#This Row],[BW40_3705]],"")</f>
        <v/>
      </c>
      <c r="G272" s="2" t="str">
        <f>IF(Table1[[#This Row],[Is Data Valid]]=TRUE,((Table1[[#This Row],[Birthweight (grams)]]/Table1[[#This Row],[BW_GA]])-1)/(Backend!$B$4/100*Table1[[#This Row],[BW40_3705]]),"")</f>
        <v/>
      </c>
      <c r="H272" s="7" t="str">
        <f>IF(Table1[[#This Row],[Is Data Valid]]=TRUE,((Table1[[#This Row],[Birthweight (grams)]]*0.9/Table1[[#This Row],[BW_GA]])-1)/(Backend!$B$4/100*Table1[[#This Row],[BW40_3705]]),"")</f>
        <v/>
      </c>
      <c r="I272" s="7" t="str">
        <f>IF(Table1[[#This Row],[Is Data Valid]]=TRUE,((Table1[[#This Row],[Birthweight (grams)]]*1.1/Table1[[#This Row],[BW_GA]])-1)/(Backend!$B$4/100*Table1[[#This Row],[BW40_3705]]),"")</f>
        <v/>
      </c>
      <c r="J272" s="7" t="str">
        <f>IF(Table1[[#This Row],[Is Data Valid]]=TRUE,_xlfn.NORM.S.DIST(Table1[[#This Row],[Birthweight Z-Score]],TRUE)*100,"")</f>
        <v/>
      </c>
      <c r="K272" s="7" t="str">
        <f>IF(Table1[[#This Row],[Is Data Valid]]=TRUE,_xlfn.NORM.S.DIST(Table1[[#This Row],[Birthweight Z-Score (BW-10%)]],TRUE)*100,"")</f>
        <v/>
      </c>
      <c r="L272" s="7" t="str">
        <f>IF(Table1[[#This Row],[Is Data Valid]]=TRUE,_xlfn.NORM.S.DIST(Table1[[#This Row],[Birthweight Z-Score (BW+10%)]],TRUE)*100,"")</f>
        <v/>
      </c>
    </row>
    <row r="273" spans="1:12" x14ac:dyDescent="0.35">
      <c r="A273" s="3"/>
      <c r="B273" s="2"/>
      <c r="C273" s="2"/>
      <c r="D273" s="2" t="b">
        <f>IF(AND(NOT(ISBLANK(Table1[[#This Row],[Fetal Sex (Male, Female or Unknown)]])),ISNUMBER(Table1[[#This Row],[Birthweight (grams)]]),ISNUMBER(Table1[[#This Row],[Gestation (days)]])),TRUE,FALSE)</f>
        <v>0</v>
      </c>
      <c r="E273" s="2" t="str">
        <f>IF(Table1[[#This Row],[Is Data Valid]]=TRUE,IF(Table1[[#This Row],[Fetal Sex (Male, Female or Unknown)]]="Male",Backend!$C$6,IF(Table1[[#This Row],[Fetal Sex (Male, Female or Unknown)]]="Female",Backend!$C$7,IF(Table1[[#This Row],[Fetal Sex (Male, Female or Unknown)]]="Unknown",Backend!$C$8,"Error"))),"")</f>
        <v/>
      </c>
      <c r="F273" s="8" t="str">
        <f>IF(Table1[[#This Row],[Is Data Valid]]=TRUE,EXP(0.578+0.332*((Table1[[#This Row],[Gestation (days)]]+0.5)/7)-0.00354*((Table1[[#This Row],[Gestation (days)]]+0.5)/7)^2)*Table1[[#This Row],[BW40_3705]],"")</f>
        <v/>
      </c>
      <c r="G273" s="2" t="str">
        <f>IF(Table1[[#This Row],[Is Data Valid]]=TRUE,((Table1[[#This Row],[Birthweight (grams)]]/Table1[[#This Row],[BW_GA]])-1)/(Backend!$B$4/100*Table1[[#This Row],[BW40_3705]]),"")</f>
        <v/>
      </c>
      <c r="H273" s="7" t="str">
        <f>IF(Table1[[#This Row],[Is Data Valid]]=TRUE,((Table1[[#This Row],[Birthweight (grams)]]*0.9/Table1[[#This Row],[BW_GA]])-1)/(Backend!$B$4/100*Table1[[#This Row],[BW40_3705]]),"")</f>
        <v/>
      </c>
      <c r="I273" s="7" t="str">
        <f>IF(Table1[[#This Row],[Is Data Valid]]=TRUE,((Table1[[#This Row],[Birthweight (grams)]]*1.1/Table1[[#This Row],[BW_GA]])-1)/(Backend!$B$4/100*Table1[[#This Row],[BW40_3705]]),"")</f>
        <v/>
      </c>
      <c r="J273" s="7" t="str">
        <f>IF(Table1[[#This Row],[Is Data Valid]]=TRUE,_xlfn.NORM.S.DIST(Table1[[#This Row],[Birthweight Z-Score]],TRUE)*100,"")</f>
        <v/>
      </c>
      <c r="K273" s="7" t="str">
        <f>IF(Table1[[#This Row],[Is Data Valid]]=TRUE,_xlfn.NORM.S.DIST(Table1[[#This Row],[Birthweight Z-Score (BW-10%)]],TRUE)*100,"")</f>
        <v/>
      </c>
      <c r="L273" s="7" t="str">
        <f>IF(Table1[[#This Row],[Is Data Valid]]=TRUE,_xlfn.NORM.S.DIST(Table1[[#This Row],[Birthweight Z-Score (BW+10%)]],TRUE)*100,"")</f>
        <v/>
      </c>
    </row>
    <row r="274" spans="1:12" x14ac:dyDescent="0.35">
      <c r="A274" s="3"/>
      <c r="B274" s="2"/>
      <c r="C274" s="2"/>
      <c r="D274" s="2" t="b">
        <f>IF(AND(NOT(ISBLANK(Table1[[#This Row],[Fetal Sex (Male, Female or Unknown)]])),ISNUMBER(Table1[[#This Row],[Birthweight (grams)]]),ISNUMBER(Table1[[#This Row],[Gestation (days)]])),TRUE,FALSE)</f>
        <v>0</v>
      </c>
      <c r="E274" s="2" t="str">
        <f>IF(Table1[[#This Row],[Is Data Valid]]=TRUE,IF(Table1[[#This Row],[Fetal Sex (Male, Female or Unknown)]]="Male",Backend!$C$6,IF(Table1[[#This Row],[Fetal Sex (Male, Female or Unknown)]]="Female",Backend!$C$7,IF(Table1[[#This Row],[Fetal Sex (Male, Female or Unknown)]]="Unknown",Backend!$C$8,"Error"))),"")</f>
        <v/>
      </c>
      <c r="F274" s="8" t="str">
        <f>IF(Table1[[#This Row],[Is Data Valid]]=TRUE,EXP(0.578+0.332*((Table1[[#This Row],[Gestation (days)]]+0.5)/7)-0.00354*((Table1[[#This Row],[Gestation (days)]]+0.5)/7)^2)*Table1[[#This Row],[BW40_3705]],"")</f>
        <v/>
      </c>
      <c r="G274" s="2" t="str">
        <f>IF(Table1[[#This Row],[Is Data Valid]]=TRUE,((Table1[[#This Row],[Birthweight (grams)]]/Table1[[#This Row],[BW_GA]])-1)/(Backend!$B$4/100*Table1[[#This Row],[BW40_3705]]),"")</f>
        <v/>
      </c>
      <c r="H274" s="7" t="str">
        <f>IF(Table1[[#This Row],[Is Data Valid]]=TRUE,((Table1[[#This Row],[Birthweight (grams)]]*0.9/Table1[[#This Row],[BW_GA]])-1)/(Backend!$B$4/100*Table1[[#This Row],[BW40_3705]]),"")</f>
        <v/>
      </c>
      <c r="I274" s="7" t="str">
        <f>IF(Table1[[#This Row],[Is Data Valid]]=TRUE,((Table1[[#This Row],[Birthweight (grams)]]*1.1/Table1[[#This Row],[BW_GA]])-1)/(Backend!$B$4/100*Table1[[#This Row],[BW40_3705]]),"")</f>
        <v/>
      </c>
      <c r="J274" s="7" t="str">
        <f>IF(Table1[[#This Row],[Is Data Valid]]=TRUE,_xlfn.NORM.S.DIST(Table1[[#This Row],[Birthweight Z-Score]],TRUE)*100,"")</f>
        <v/>
      </c>
      <c r="K274" s="7" t="str">
        <f>IF(Table1[[#This Row],[Is Data Valid]]=TRUE,_xlfn.NORM.S.DIST(Table1[[#This Row],[Birthweight Z-Score (BW-10%)]],TRUE)*100,"")</f>
        <v/>
      </c>
      <c r="L274" s="7" t="str">
        <f>IF(Table1[[#This Row],[Is Data Valid]]=TRUE,_xlfn.NORM.S.DIST(Table1[[#This Row],[Birthweight Z-Score (BW+10%)]],TRUE)*100,"")</f>
        <v/>
      </c>
    </row>
    <row r="275" spans="1:12" x14ac:dyDescent="0.35">
      <c r="A275" s="3"/>
      <c r="B275" s="2"/>
      <c r="C275" s="2"/>
      <c r="D275" s="2" t="b">
        <f>IF(AND(NOT(ISBLANK(Table1[[#This Row],[Fetal Sex (Male, Female or Unknown)]])),ISNUMBER(Table1[[#This Row],[Birthweight (grams)]]),ISNUMBER(Table1[[#This Row],[Gestation (days)]])),TRUE,FALSE)</f>
        <v>0</v>
      </c>
      <c r="E275" s="2" t="str">
        <f>IF(Table1[[#This Row],[Is Data Valid]]=TRUE,IF(Table1[[#This Row],[Fetal Sex (Male, Female or Unknown)]]="Male",Backend!$C$6,IF(Table1[[#This Row],[Fetal Sex (Male, Female or Unknown)]]="Female",Backend!$C$7,IF(Table1[[#This Row],[Fetal Sex (Male, Female or Unknown)]]="Unknown",Backend!$C$8,"Error"))),"")</f>
        <v/>
      </c>
      <c r="F275" s="8" t="str">
        <f>IF(Table1[[#This Row],[Is Data Valid]]=TRUE,EXP(0.578+0.332*((Table1[[#This Row],[Gestation (days)]]+0.5)/7)-0.00354*((Table1[[#This Row],[Gestation (days)]]+0.5)/7)^2)*Table1[[#This Row],[BW40_3705]],"")</f>
        <v/>
      </c>
      <c r="G275" s="2" t="str">
        <f>IF(Table1[[#This Row],[Is Data Valid]]=TRUE,((Table1[[#This Row],[Birthweight (grams)]]/Table1[[#This Row],[BW_GA]])-1)/(Backend!$B$4/100*Table1[[#This Row],[BW40_3705]]),"")</f>
        <v/>
      </c>
      <c r="H275" s="7" t="str">
        <f>IF(Table1[[#This Row],[Is Data Valid]]=TRUE,((Table1[[#This Row],[Birthweight (grams)]]*0.9/Table1[[#This Row],[BW_GA]])-1)/(Backend!$B$4/100*Table1[[#This Row],[BW40_3705]]),"")</f>
        <v/>
      </c>
      <c r="I275" s="7" t="str">
        <f>IF(Table1[[#This Row],[Is Data Valid]]=TRUE,((Table1[[#This Row],[Birthweight (grams)]]*1.1/Table1[[#This Row],[BW_GA]])-1)/(Backend!$B$4/100*Table1[[#This Row],[BW40_3705]]),"")</f>
        <v/>
      </c>
      <c r="J275" s="7" t="str">
        <f>IF(Table1[[#This Row],[Is Data Valid]]=TRUE,_xlfn.NORM.S.DIST(Table1[[#This Row],[Birthweight Z-Score]],TRUE)*100,"")</f>
        <v/>
      </c>
      <c r="K275" s="7" t="str">
        <f>IF(Table1[[#This Row],[Is Data Valid]]=TRUE,_xlfn.NORM.S.DIST(Table1[[#This Row],[Birthweight Z-Score (BW-10%)]],TRUE)*100,"")</f>
        <v/>
      </c>
      <c r="L275" s="7" t="str">
        <f>IF(Table1[[#This Row],[Is Data Valid]]=TRUE,_xlfn.NORM.S.DIST(Table1[[#This Row],[Birthweight Z-Score (BW+10%)]],TRUE)*100,"")</f>
        <v/>
      </c>
    </row>
    <row r="276" spans="1:12" x14ac:dyDescent="0.35">
      <c r="A276" s="3"/>
      <c r="B276" s="2"/>
      <c r="C276" s="2"/>
      <c r="D276" s="2" t="b">
        <f>IF(AND(NOT(ISBLANK(Table1[[#This Row],[Fetal Sex (Male, Female or Unknown)]])),ISNUMBER(Table1[[#This Row],[Birthweight (grams)]]),ISNUMBER(Table1[[#This Row],[Gestation (days)]])),TRUE,FALSE)</f>
        <v>0</v>
      </c>
      <c r="E276" s="2" t="str">
        <f>IF(Table1[[#This Row],[Is Data Valid]]=TRUE,IF(Table1[[#This Row],[Fetal Sex (Male, Female or Unknown)]]="Male",Backend!$C$6,IF(Table1[[#This Row],[Fetal Sex (Male, Female or Unknown)]]="Female",Backend!$C$7,IF(Table1[[#This Row],[Fetal Sex (Male, Female or Unknown)]]="Unknown",Backend!$C$8,"Error"))),"")</f>
        <v/>
      </c>
      <c r="F276" s="8" t="str">
        <f>IF(Table1[[#This Row],[Is Data Valid]]=TRUE,EXP(0.578+0.332*((Table1[[#This Row],[Gestation (days)]]+0.5)/7)-0.00354*((Table1[[#This Row],[Gestation (days)]]+0.5)/7)^2)*Table1[[#This Row],[BW40_3705]],"")</f>
        <v/>
      </c>
      <c r="G276" s="2" t="str">
        <f>IF(Table1[[#This Row],[Is Data Valid]]=TRUE,((Table1[[#This Row],[Birthweight (grams)]]/Table1[[#This Row],[BW_GA]])-1)/(Backend!$B$4/100*Table1[[#This Row],[BW40_3705]]),"")</f>
        <v/>
      </c>
      <c r="H276" s="7" t="str">
        <f>IF(Table1[[#This Row],[Is Data Valid]]=TRUE,((Table1[[#This Row],[Birthweight (grams)]]*0.9/Table1[[#This Row],[BW_GA]])-1)/(Backend!$B$4/100*Table1[[#This Row],[BW40_3705]]),"")</f>
        <v/>
      </c>
      <c r="I276" s="7" t="str">
        <f>IF(Table1[[#This Row],[Is Data Valid]]=TRUE,((Table1[[#This Row],[Birthweight (grams)]]*1.1/Table1[[#This Row],[BW_GA]])-1)/(Backend!$B$4/100*Table1[[#This Row],[BW40_3705]]),"")</f>
        <v/>
      </c>
      <c r="J276" s="7" t="str">
        <f>IF(Table1[[#This Row],[Is Data Valid]]=TRUE,_xlfn.NORM.S.DIST(Table1[[#This Row],[Birthweight Z-Score]],TRUE)*100,"")</f>
        <v/>
      </c>
      <c r="K276" s="7" t="str">
        <f>IF(Table1[[#This Row],[Is Data Valid]]=TRUE,_xlfn.NORM.S.DIST(Table1[[#This Row],[Birthweight Z-Score (BW-10%)]],TRUE)*100,"")</f>
        <v/>
      </c>
      <c r="L276" s="7" t="str">
        <f>IF(Table1[[#This Row],[Is Data Valid]]=TRUE,_xlfn.NORM.S.DIST(Table1[[#This Row],[Birthweight Z-Score (BW+10%)]],TRUE)*100,"")</f>
        <v/>
      </c>
    </row>
    <row r="277" spans="1:12" x14ac:dyDescent="0.35">
      <c r="A277" s="3"/>
      <c r="B277" s="2"/>
      <c r="C277" s="2"/>
      <c r="D277" s="2" t="b">
        <f>IF(AND(NOT(ISBLANK(Table1[[#This Row],[Fetal Sex (Male, Female or Unknown)]])),ISNUMBER(Table1[[#This Row],[Birthweight (grams)]]),ISNUMBER(Table1[[#This Row],[Gestation (days)]])),TRUE,FALSE)</f>
        <v>0</v>
      </c>
      <c r="E277" s="2" t="str">
        <f>IF(Table1[[#This Row],[Is Data Valid]]=TRUE,IF(Table1[[#This Row],[Fetal Sex (Male, Female or Unknown)]]="Male",Backend!$C$6,IF(Table1[[#This Row],[Fetal Sex (Male, Female or Unknown)]]="Female",Backend!$C$7,IF(Table1[[#This Row],[Fetal Sex (Male, Female or Unknown)]]="Unknown",Backend!$C$8,"Error"))),"")</f>
        <v/>
      </c>
      <c r="F277" s="8" t="str">
        <f>IF(Table1[[#This Row],[Is Data Valid]]=TRUE,EXP(0.578+0.332*((Table1[[#This Row],[Gestation (days)]]+0.5)/7)-0.00354*((Table1[[#This Row],[Gestation (days)]]+0.5)/7)^2)*Table1[[#This Row],[BW40_3705]],"")</f>
        <v/>
      </c>
      <c r="G277" s="2" t="str">
        <f>IF(Table1[[#This Row],[Is Data Valid]]=TRUE,((Table1[[#This Row],[Birthweight (grams)]]/Table1[[#This Row],[BW_GA]])-1)/(Backend!$B$4/100*Table1[[#This Row],[BW40_3705]]),"")</f>
        <v/>
      </c>
      <c r="H277" s="7" t="str">
        <f>IF(Table1[[#This Row],[Is Data Valid]]=TRUE,((Table1[[#This Row],[Birthweight (grams)]]*0.9/Table1[[#This Row],[BW_GA]])-1)/(Backend!$B$4/100*Table1[[#This Row],[BW40_3705]]),"")</f>
        <v/>
      </c>
      <c r="I277" s="7" t="str">
        <f>IF(Table1[[#This Row],[Is Data Valid]]=TRUE,((Table1[[#This Row],[Birthweight (grams)]]*1.1/Table1[[#This Row],[BW_GA]])-1)/(Backend!$B$4/100*Table1[[#This Row],[BW40_3705]]),"")</f>
        <v/>
      </c>
      <c r="J277" s="7" t="str">
        <f>IF(Table1[[#This Row],[Is Data Valid]]=TRUE,_xlfn.NORM.S.DIST(Table1[[#This Row],[Birthweight Z-Score]],TRUE)*100,"")</f>
        <v/>
      </c>
      <c r="K277" s="7" t="str">
        <f>IF(Table1[[#This Row],[Is Data Valid]]=TRUE,_xlfn.NORM.S.DIST(Table1[[#This Row],[Birthweight Z-Score (BW-10%)]],TRUE)*100,"")</f>
        <v/>
      </c>
      <c r="L277" s="7" t="str">
        <f>IF(Table1[[#This Row],[Is Data Valid]]=TRUE,_xlfn.NORM.S.DIST(Table1[[#This Row],[Birthweight Z-Score (BW+10%)]],TRUE)*100,"")</f>
        <v/>
      </c>
    </row>
    <row r="278" spans="1:12" x14ac:dyDescent="0.35">
      <c r="A278" s="3"/>
      <c r="B278" s="2"/>
      <c r="C278" s="2"/>
      <c r="D278" s="2" t="b">
        <f>IF(AND(NOT(ISBLANK(Table1[[#This Row],[Fetal Sex (Male, Female or Unknown)]])),ISNUMBER(Table1[[#This Row],[Birthweight (grams)]]),ISNUMBER(Table1[[#This Row],[Gestation (days)]])),TRUE,FALSE)</f>
        <v>0</v>
      </c>
      <c r="E278" s="2" t="str">
        <f>IF(Table1[[#This Row],[Is Data Valid]]=TRUE,IF(Table1[[#This Row],[Fetal Sex (Male, Female or Unknown)]]="Male",Backend!$C$6,IF(Table1[[#This Row],[Fetal Sex (Male, Female or Unknown)]]="Female",Backend!$C$7,IF(Table1[[#This Row],[Fetal Sex (Male, Female or Unknown)]]="Unknown",Backend!$C$8,"Error"))),"")</f>
        <v/>
      </c>
      <c r="F278" s="8" t="str">
        <f>IF(Table1[[#This Row],[Is Data Valid]]=TRUE,EXP(0.578+0.332*((Table1[[#This Row],[Gestation (days)]]+0.5)/7)-0.00354*((Table1[[#This Row],[Gestation (days)]]+0.5)/7)^2)*Table1[[#This Row],[BW40_3705]],"")</f>
        <v/>
      </c>
      <c r="G278" s="2" t="str">
        <f>IF(Table1[[#This Row],[Is Data Valid]]=TRUE,((Table1[[#This Row],[Birthweight (grams)]]/Table1[[#This Row],[BW_GA]])-1)/(Backend!$B$4/100*Table1[[#This Row],[BW40_3705]]),"")</f>
        <v/>
      </c>
      <c r="H278" s="7" t="str">
        <f>IF(Table1[[#This Row],[Is Data Valid]]=TRUE,((Table1[[#This Row],[Birthweight (grams)]]*0.9/Table1[[#This Row],[BW_GA]])-1)/(Backend!$B$4/100*Table1[[#This Row],[BW40_3705]]),"")</f>
        <v/>
      </c>
      <c r="I278" s="7" t="str">
        <f>IF(Table1[[#This Row],[Is Data Valid]]=TRUE,((Table1[[#This Row],[Birthweight (grams)]]*1.1/Table1[[#This Row],[BW_GA]])-1)/(Backend!$B$4/100*Table1[[#This Row],[BW40_3705]]),"")</f>
        <v/>
      </c>
      <c r="J278" s="7" t="str">
        <f>IF(Table1[[#This Row],[Is Data Valid]]=TRUE,_xlfn.NORM.S.DIST(Table1[[#This Row],[Birthweight Z-Score]],TRUE)*100,"")</f>
        <v/>
      </c>
      <c r="K278" s="7" t="str">
        <f>IF(Table1[[#This Row],[Is Data Valid]]=TRUE,_xlfn.NORM.S.DIST(Table1[[#This Row],[Birthweight Z-Score (BW-10%)]],TRUE)*100,"")</f>
        <v/>
      </c>
      <c r="L278" s="7" t="str">
        <f>IF(Table1[[#This Row],[Is Data Valid]]=TRUE,_xlfn.NORM.S.DIST(Table1[[#This Row],[Birthweight Z-Score (BW+10%)]],TRUE)*100,"")</f>
        <v/>
      </c>
    </row>
    <row r="279" spans="1:12" x14ac:dyDescent="0.35">
      <c r="A279" s="3"/>
      <c r="B279" s="2"/>
      <c r="C279" s="2"/>
      <c r="D279" s="2" t="b">
        <f>IF(AND(NOT(ISBLANK(Table1[[#This Row],[Fetal Sex (Male, Female or Unknown)]])),ISNUMBER(Table1[[#This Row],[Birthweight (grams)]]),ISNUMBER(Table1[[#This Row],[Gestation (days)]])),TRUE,FALSE)</f>
        <v>0</v>
      </c>
      <c r="E279" s="2" t="str">
        <f>IF(Table1[[#This Row],[Is Data Valid]]=TRUE,IF(Table1[[#This Row],[Fetal Sex (Male, Female or Unknown)]]="Male",Backend!$C$6,IF(Table1[[#This Row],[Fetal Sex (Male, Female or Unknown)]]="Female",Backend!$C$7,IF(Table1[[#This Row],[Fetal Sex (Male, Female or Unknown)]]="Unknown",Backend!$C$8,"Error"))),"")</f>
        <v/>
      </c>
      <c r="F279" s="8" t="str">
        <f>IF(Table1[[#This Row],[Is Data Valid]]=TRUE,EXP(0.578+0.332*((Table1[[#This Row],[Gestation (days)]]+0.5)/7)-0.00354*((Table1[[#This Row],[Gestation (days)]]+0.5)/7)^2)*Table1[[#This Row],[BW40_3705]],"")</f>
        <v/>
      </c>
      <c r="G279" s="2" t="str">
        <f>IF(Table1[[#This Row],[Is Data Valid]]=TRUE,((Table1[[#This Row],[Birthweight (grams)]]/Table1[[#This Row],[BW_GA]])-1)/(Backend!$B$4/100*Table1[[#This Row],[BW40_3705]]),"")</f>
        <v/>
      </c>
      <c r="H279" s="7" t="str">
        <f>IF(Table1[[#This Row],[Is Data Valid]]=TRUE,((Table1[[#This Row],[Birthweight (grams)]]*0.9/Table1[[#This Row],[BW_GA]])-1)/(Backend!$B$4/100*Table1[[#This Row],[BW40_3705]]),"")</f>
        <v/>
      </c>
      <c r="I279" s="7" t="str">
        <f>IF(Table1[[#This Row],[Is Data Valid]]=TRUE,((Table1[[#This Row],[Birthweight (grams)]]*1.1/Table1[[#This Row],[BW_GA]])-1)/(Backend!$B$4/100*Table1[[#This Row],[BW40_3705]]),"")</f>
        <v/>
      </c>
      <c r="J279" s="7" t="str">
        <f>IF(Table1[[#This Row],[Is Data Valid]]=TRUE,_xlfn.NORM.S.DIST(Table1[[#This Row],[Birthweight Z-Score]],TRUE)*100,"")</f>
        <v/>
      </c>
      <c r="K279" s="7" t="str">
        <f>IF(Table1[[#This Row],[Is Data Valid]]=TRUE,_xlfn.NORM.S.DIST(Table1[[#This Row],[Birthweight Z-Score (BW-10%)]],TRUE)*100,"")</f>
        <v/>
      </c>
      <c r="L279" s="7" t="str">
        <f>IF(Table1[[#This Row],[Is Data Valid]]=TRUE,_xlfn.NORM.S.DIST(Table1[[#This Row],[Birthweight Z-Score (BW+10%)]],TRUE)*100,"")</f>
        <v/>
      </c>
    </row>
    <row r="280" spans="1:12" x14ac:dyDescent="0.35">
      <c r="A280" s="3"/>
      <c r="B280" s="2"/>
      <c r="C280" s="2"/>
      <c r="D280" s="2" t="b">
        <f>IF(AND(NOT(ISBLANK(Table1[[#This Row],[Fetal Sex (Male, Female or Unknown)]])),ISNUMBER(Table1[[#This Row],[Birthweight (grams)]]),ISNUMBER(Table1[[#This Row],[Gestation (days)]])),TRUE,FALSE)</f>
        <v>0</v>
      </c>
      <c r="E280" s="2" t="str">
        <f>IF(Table1[[#This Row],[Is Data Valid]]=TRUE,IF(Table1[[#This Row],[Fetal Sex (Male, Female or Unknown)]]="Male",Backend!$C$6,IF(Table1[[#This Row],[Fetal Sex (Male, Female or Unknown)]]="Female",Backend!$C$7,IF(Table1[[#This Row],[Fetal Sex (Male, Female or Unknown)]]="Unknown",Backend!$C$8,"Error"))),"")</f>
        <v/>
      </c>
      <c r="F280" s="8" t="str">
        <f>IF(Table1[[#This Row],[Is Data Valid]]=TRUE,EXP(0.578+0.332*((Table1[[#This Row],[Gestation (days)]]+0.5)/7)-0.00354*((Table1[[#This Row],[Gestation (days)]]+0.5)/7)^2)*Table1[[#This Row],[BW40_3705]],"")</f>
        <v/>
      </c>
      <c r="G280" s="2" t="str">
        <f>IF(Table1[[#This Row],[Is Data Valid]]=TRUE,((Table1[[#This Row],[Birthweight (grams)]]/Table1[[#This Row],[BW_GA]])-1)/(Backend!$B$4/100*Table1[[#This Row],[BW40_3705]]),"")</f>
        <v/>
      </c>
      <c r="H280" s="7" t="str">
        <f>IF(Table1[[#This Row],[Is Data Valid]]=TRUE,((Table1[[#This Row],[Birthweight (grams)]]*0.9/Table1[[#This Row],[BW_GA]])-1)/(Backend!$B$4/100*Table1[[#This Row],[BW40_3705]]),"")</f>
        <v/>
      </c>
      <c r="I280" s="7" t="str">
        <f>IF(Table1[[#This Row],[Is Data Valid]]=TRUE,((Table1[[#This Row],[Birthweight (grams)]]*1.1/Table1[[#This Row],[BW_GA]])-1)/(Backend!$B$4/100*Table1[[#This Row],[BW40_3705]]),"")</f>
        <v/>
      </c>
      <c r="J280" s="7" t="str">
        <f>IF(Table1[[#This Row],[Is Data Valid]]=TRUE,_xlfn.NORM.S.DIST(Table1[[#This Row],[Birthweight Z-Score]],TRUE)*100,"")</f>
        <v/>
      </c>
      <c r="K280" s="7" t="str">
        <f>IF(Table1[[#This Row],[Is Data Valid]]=TRUE,_xlfn.NORM.S.DIST(Table1[[#This Row],[Birthweight Z-Score (BW-10%)]],TRUE)*100,"")</f>
        <v/>
      </c>
      <c r="L280" s="7" t="str">
        <f>IF(Table1[[#This Row],[Is Data Valid]]=TRUE,_xlfn.NORM.S.DIST(Table1[[#This Row],[Birthweight Z-Score (BW+10%)]],TRUE)*100,"")</f>
        <v/>
      </c>
    </row>
    <row r="281" spans="1:12" x14ac:dyDescent="0.35">
      <c r="A281" s="3"/>
      <c r="B281" s="2"/>
      <c r="C281" s="2"/>
      <c r="D281" s="2" t="b">
        <f>IF(AND(NOT(ISBLANK(Table1[[#This Row],[Fetal Sex (Male, Female or Unknown)]])),ISNUMBER(Table1[[#This Row],[Birthweight (grams)]]),ISNUMBER(Table1[[#This Row],[Gestation (days)]])),TRUE,FALSE)</f>
        <v>0</v>
      </c>
      <c r="E281" s="2" t="str">
        <f>IF(Table1[[#This Row],[Is Data Valid]]=TRUE,IF(Table1[[#This Row],[Fetal Sex (Male, Female or Unknown)]]="Male",Backend!$C$6,IF(Table1[[#This Row],[Fetal Sex (Male, Female or Unknown)]]="Female",Backend!$C$7,IF(Table1[[#This Row],[Fetal Sex (Male, Female or Unknown)]]="Unknown",Backend!$C$8,"Error"))),"")</f>
        <v/>
      </c>
      <c r="F281" s="8" t="str">
        <f>IF(Table1[[#This Row],[Is Data Valid]]=TRUE,EXP(0.578+0.332*((Table1[[#This Row],[Gestation (days)]]+0.5)/7)-0.00354*((Table1[[#This Row],[Gestation (days)]]+0.5)/7)^2)*Table1[[#This Row],[BW40_3705]],"")</f>
        <v/>
      </c>
      <c r="G281" s="2" t="str">
        <f>IF(Table1[[#This Row],[Is Data Valid]]=TRUE,((Table1[[#This Row],[Birthweight (grams)]]/Table1[[#This Row],[BW_GA]])-1)/(Backend!$B$4/100*Table1[[#This Row],[BW40_3705]]),"")</f>
        <v/>
      </c>
      <c r="H281" s="7" t="str">
        <f>IF(Table1[[#This Row],[Is Data Valid]]=TRUE,((Table1[[#This Row],[Birthweight (grams)]]*0.9/Table1[[#This Row],[BW_GA]])-1)/(Backend!$B$4/100*Table1[[#This Row],[BW40_3705]]),"")</f>
        <v/>
      </c>
      <c r="I281" s="7" t="str">
        <f>IF(Table1[[#This Row],[Is Data Valid]]=TRUE,((Table1[[#This Row],[Birthweight (grams)]]*1.1/Table1[[#This Row],[BW_GA]])-1)/(Backend!$B$4/100*Table1[[#This Row],[BW40_3705]]),"")</f>
        <v/>
      </c>
      <c r="J281" s="7" t="str">
        <f>IF(Table1[[#This Row],[Is Data Valid]]=TRUE,_xlfn.NORM.S.DIST(Table1[[#This Row],[Birthweight Z-Score]],TRUE)*100,"")</f>
        <v/>
      </c>
      <c r="K281" s="7" t="str">
        <f>IF(Table1[[#This Row],[Is Data Valid]]=TRUE,_xlfn.NORM.S.DIST(Table1[[#This Row],[Birthweight Z-Score (BW-10%)]],TRUE)*100,"")</f>
        <v/>
      </c>
      <c r="L281" s="7" t="str">
        <f>IF(Table1[[#This Row],[Is Data Valid]]=TRUE,_xlfn.NORM.S.DIST(Table1[[#This Row],[Birthweight Z-Score (BW+10%)]],TRUE)*100,"")</f>
        <v/>
      </c>
    </row>
    <row r="282" spans="1:12" x14ac:dyDescent="0.35">
      <c r="A282" s="3"/>
      <c r="B282" s="2"/>
      <c r="C282" s="2"/>
      <c r="D282" s="2" t="b">
        <f>IF(AND(NOT(ISBLANK(Table1[[#This Row],[Fetal Sex (Male, Female or Unknown)]])),ISNUMBER(Table1[[#This Row],[Birthweight (grams)]]),ISNUMBER(Table1[[#This Row],[Gestation (days)]])),TRUE,FALSE)</f>
        <v>0</v>
      </c>
      <c r="E282" s="2" t="str">
        <f>IF(Table1[[#This Row],[Is Data Valid]]=TRUE,IF(Table1[[#This Row],[Fetal Sex (Male, Female or Unknown)]]="Male",Backend!$C$6,IF(Table1[[#This Row],[Fetal Sex (Male, Female or Unknown)]]="Female",Backend!$C$7,IF(Table1[[#This Row],[Fetal Sex (Male, Female or Unknown)]]="Unknown",Backend!$C$8,"Error"))),"")</f>
        <v/>
      </c>
      <c r="F282" s="8" t="str">
        <f>IF(Table1[[#This Row],[Is Data Valid]]=TRUE,EXP(0.578+0.332*((Table1[[#This Row],[Gestation (days)]]+0.5)/7)-0.00354*((Table1[[#This Row],[Gestation (days)]]+0.5)/7)^2)*Table1[[#This Row],[BW40_3705]],"")</f>
        <v/>
      </c>
      <c r="G282" s="2" t="str">
        <f>IF(Table1[[#This Row],[Is Data Valid]]=TRUE,((Table1[[#This Row],[Birthweight (grams)]]/Table1[[#This Row],[BW_GA]])-1)/(Backend!$B$4/100*Table1[[#This Row],[BW40_3705]]),"")</f>
        <v/>
      </c>
      <c r="H282" s="7" t="str">
        <f>IF(Table1[[#This Row],[Is Data Valid]]=TRUE,((Table1[[#This Row],[Birthweight (grams)]]*0.9/Table1[[#This Row],[BW_GA]])-1)/(Backend!$B$4/100*Table1[[#This Row],[BW40_3705]]),"")</f>
        <v/>
      </c>
      <c r="I282" s="7" t="str">
        <f>IF(Table1[[#This Row],[Is Data Valid]]=TRUE,((Table1[[#This Row],[Birthweight (grams)]]*1.1/Table1[[#This Row],[BW_GA]])-1)/(Backend!$B$4/100*Table1[[#This Row],[BW40_3705]]),"")</f>
        <v/>
      </c>
      <c r="J282" s="7" t="str">
        <f>IF(Table1[[#This Row],[Is Data Valid]]=TRUE,_xlfn.NORM.S.DIST(Table1[[#This Row],[Birthweight Z-Score]],TRUE)*100,"")</f>
        <v/>
      </c>
      <c r="K282" s="7" t="str">
        <f>IF(Table1[[#This Row],[Is Data Valid]]=TRUE,_xlfn.NORM.S.DIST(Table1[[#This Row],[Birthweight Z-Score (BW-10%)]],TRUE)*100,"")</f>
        <v/>
      </c>
      <c r="L282" s="7" t="str">
        <f>IF(Table1[[#This Row],[Is Data Valid]]=TRUE,_xlfn.NORM.S.DIST(Table1[[#This Row],[Birthweight Z-Score (BW+10%)]],TRUE)*100,"")</f>
        <v/>
      </c>
    </row>
    <row r="283" spans="1:12" x14ac:dyDescent="0.35">
      <c r="A283" s="3"/>
      <c r="B283" s="2"/>
      <c r="C283" s="2"/>
      <c r="D283" s="2" t="b">
        <f>IF(AND(NOT(ISBLANK(Table1[[#This Row],[Fetal Sex (Male, Female or Unknown)]])),ISNUMBER(Table1[[#This Row],[Birthweight (grams)]]),ISNUMBER(Table1[[#This Row],[Gestation (days)]])),TRUE,FALSE)</f>
        <v>0</v>
      </c>
      <c r="E283" s="2" t="str">
        <f>IF(Table1[[#This Row],[Is Data Valid]]=TRUE,IF(Table1[[#This Row],[Fetal Sex (Male, Female or Unknown)]]="Male",Backend!$C$6,IF(Table1[[#This Row],[Fetal Sex (Male, Female or Unknown)]]="Female",Backend!$C$7,IF(Table1[[#This Row],[Fetal Sex (Male, Female or Unknown)]]="Unknown",Backend!$C$8,"Error"))),"")</f>
        <v/>
      </c>
      <c r="F283" s="8" t="str">
        <f>IF(Table1[[#This Row],[Is Data Valid]]=TRUE,EXP(0.578+0.332*((Table1[[#This Row],[Gestation (days)]]+0.5)/7)-0.00354*((Table1[[#This Row],[Gestation (days)]]+0.5)/7)^2)*Table1[[#This Row],[BW40_3705]],"")</f>
        <v/>
      </c>
      <c r="G283" s="2" t="str">
        <f>IF(Table1[[#This Row],[Is Data Valid]]=TRUE,((Table1[[#This Row],[Birthweight (grams)]]/Table1[[#This Row],[BW_GA]])-1)/(Backend!$B$4/100*Table1[[#This Row],[BW40_3705]]),"")</f>
        <v/>
      </c>
      <c r="H283" s="7" t="str">
        <f>IF(Table1[[#This Row],[Is Data Valid]]=TRUE,((Table1[[#This Row],[Birthweight (grams)]]*0.9/Table1[[#This Row],[BW_GA]])-1)/(Backend!$B$4/100*Table1[[#This Row],[BW40_3705]]),"")</f>
        <v/>
      </c>
      <c r="I283" s="7" t="str">
        <f>IF(Table1[[#This Row],[Is Data Valid]]=TRUE,((Table1[[#This Row],[Birthweight (grams)]]*1.1/Table1[[#This Row],[BW_GA]])-1)/(Backend!$B$4/100*Table1[[#This Row],[BW40_3705]]),"")</f>
        <v/>
      </c>
      <c r="J283" s="7" t="str">
        <f>IF(Table1[[#This Row],[Is Data Valid]]=TRUE,_xlfn.NORM.S.DIST(Table1[[#This Row],[Birthweight Z-Score]],TRUE)*100,"")</f>
        <v/>
      </c>
      <c r="K283" s="7" t="str">
        <f>IF(Table1[[#This Row],[Is Data Valid]]=TRUE,_xlfn.NORM.S.DIST(Table1[[#This Row],[Birthweight Z-Score (BW-10%)]],TRUE)*100,"")</f>
        <v/>
      </c>
      <c r="L283" s="7" t="str">
        <f>IF(Table1[[#This Row],[Is Data Valid]]=TRUE,_xlfn.NORM.S.DIST(Table1[[#This Row],[Birthweight Z-Score (BW+10%)]],TRUE)*100,"")</f>
        <v/>
      </c>
    </row>
    <row r="284" spans="1:12" x14ac:dyDescent="0.35">
      <c r="A284" s="3"/>
      <c r="B284" s="2"/>
      <c r="C284" s="2"/>
      <c r="D284" s="2" t="b">
        <f>IF(AND(NOT(ISBLANK(Table1[[#This Row],[Fetal Sex (Male, Female or Unknown)]])),ISNUMBER(Table1[[#This Row],[Birthweight (grams)]]),ISNUMBER(Table1[[#This Row],[Gestation (days)]])),TRUE,FALSE)</f>
        <v>0</v>
      </c>
      <c r="E284" s="2" t="str">
        <f>IF(Table1[[#This Row],[Is Data Valid]]=TRUE,IF(Table1[[#This Row],[Fetal Sex (Male, Female or Unknown)]]="Male",Backend!$C$6,IF(Table1[[#This Row],[Fetal Sex (Male, Female or Unknown)]]="Female",Backend!$C$7,IF(Table1[[#This Row],[Fetal Sex (Male, Female or Unknown)]]="Unknown",Backend!$C$8,"Error"))),"")</f>
        <v/>
      </c>
      <c r="F284" s="8" t="str">
        <f>IF(Table1[[#This Row],[Is Data Valid]]=TRUE,EXP(0.578+0.332*((Table1[[#This Row],[Gestation (days)]]+0.5)/7)-0.00354*((Table1[[#This Row],[Gestation (days)]]+0.5)/7)^2)*Table1[[#This Row],[BW40_3705]],"")</f>
        <v/>
      </c>
      <c r="G284" s="2" t="str">
        <f>IF(Table1[[#This Row],[Is Data Valid]]=TRUE,((Table1[[#This Row],[Birthweight (grams)]]/Table1[[#This Row],[BW_GA]])-1)/(Backend!$B$4/100*Table1[[#This Row],[BW40_3705]]),"")</f>
        <v/>
      </c>
      <c r="H284" s="7" t="str">
        <f>IF(Table1[[#This Row],[Is Data Valid]]=TRUE,((Table1[[#This Row],[Birthweight (grams)]]*0.9/Table1[[#This Row],[BW_GA]])-1)/(Backend!$B$4/100*Table1[[#This Row],[BW40_3705]]),"")</f>
        <v/>
      </c>
      <c r="I284" s="7" t="str">
        <f>IF(Table1[[#This Row],[Is Data Valid]]=TRUE,((Table1[[#This Row],[Birthweight (grams)]]*1.1/Table1[[#This Row],[BW_GA]])-1)/(Backend!$B$4/100*Table1[[#This Row],[BW40_3705]]),"")</f>
        <v/>
      </c>
      <c r="J284" s="7" t="str">
        <f>IF(Table1[[#This Row],[Is Data Valid]]=TRUE,_xlfn.NORM.S.DIST(Table1[[#This Row],[Birthweight Z-Score]],TRUE)*100,"")</f>
        <v/>
      </c>
      <c r="K284" s="7" t="str">
        <f>IF(Table1[[#This Row],[Is Data Valid]]=TRUE,_xlfn.NORM.S.DIST(Table1[[#This Row],[Birthweight Z-Score (BW-10%)]],TRUE)*100,"")</f>
        <v/>
      </c>
      <c r="L284" s="7" t="str">
        <f>IF(Table1[[#This Row],[Is Data Valid]]=TRUE,_xlfn.NORM.S.DIST(Table1[[#This Row],[Birthweight Z-Score (BW+10%)]],TRUE)*100,"")</f>
        <v/>
      </c>
    </row>
    <row r="285" spans="1:12" x14ac:dyDescent="0.35">
      <c r="A285" s="3"/>
      <c r="B285" s="2"/>
      <c r="C285" s="2"/>
      <c r="D285" s="2" t="b">
        <f>IF(AND(NOT(ISBLANK(Table1[[#This Row],[Fetal Sex (Male, Female or Unknown)]])),ISNUMBER(Table1[[#This Row],[Birthweight (grams)]]),ISNUMBER(Table1[[#This Row],[Gestation (days)]])),TRUE,FALSE)</f>
        <v>0</v>
      </c>
      <c r="E285" s="2" t="str">
        <f>IF(Table1[[#This Row],[Is Data Valid]]=TRUE,IF(Table1[[#This Row],[Fetal Sex (Male, Female or Unknown)]]="Male",Backend!$C$6,IF(Table1[[#This Row],[Fetal Sex (Male, Female or Unknown)]]="Female",Backend!$C$7,IF(Table1[[#This Row],[Fetal Sex (Male, Female or Unknown)]]="Unknown",Backend!$C$8,"Error"))),"")</f>
        <v/>
      </c>
      <c r="F285" s="8" t="str">
        <f>IF(Table1[[#This Row],[Is Data Valid]]=TRUE,EXP(0.578+0.332*((Table1[[#This Row],[Gestation (days)]]+0.5)/7)-0.00354*((Table1[[#This Row],[Gestation (days)]]+0.5)/7)^2)*Table1[[#This Row],[BW40_3705]],"")</f>
        <v/>
      </c>
      <c r="G285" s="2" t="str">
        <f>IF(Table1[[#This Row],[Is Data Valid]]=TRUE,((Table1[[#This Row],[Birthweight (grams)]]/Table1[[#This Row],[BW_GA]])-1)/(Backend!$B$4/100*Table1[[#This Row],[BW40_3705]]),"")</f>
        <v/>
      </c>
      <c r="H285" s="7" t="str">
        <f>IF(Table1[[#This Row],[Is Data Valid]]=TRUE,((Table1[[#This Row],[Birthweight (grams)]]*0.9/Table1[[#This Row],[BW_GA]])-1)/(Backend!$B$4/100*Table1[[#This Row],[BW40_3705]]),"")</f>
        <v/>
      </c>
      <c r="I285" s="7" t="str">
        <f>IF(Table1[[#This Row],[Is Data Valid]]=TRUE,((Table1[[#This Row],[Birthweight (grams)]]*1.1/Table1[[#This Row],[BW_GA]])-1)/(Backend!$B$4/100*Table1[[#This Row],[BW40_3705]]),"")</f>
        <v/>
      </c>
      <c r="J285" s="7" t="str">
        <f>IF(Table1[[#This Row],[Is Data Valid]]=TRUE,_xlfn.NORM.S.DIST(Table1[[#This Row],[Birthweight Z-Score]],TRUE)*100,"")</f>
        <v/>
      </c>
      <c r="K285" s="7" t="str">
        <f>IF(Table1[[#This Row],[Is Data Valid]]=TRUE,_xlfn.NORM.S.DIST(Table1[[#This Row],[Birthweight Z-Score (BW-10%)]],TRUE)*100,"")</f>
        <v/>
      </c>
      <c r="L285" s="7" t="str">
        <f>IF(Table1[[#This Row],[Is Data Valid]]=TRUE,_xlfn.NORM.S.DIST(Table1[[#This Row],[Birthweight Z-Score (BW+10%)]],TRUE)*100,"")</f>
        <v/>
      </c>
    </row>
    <row r="286" spans="1:12" x14ac:dyDescent="0.35">
      <c r="A286" s="3"/>
      <c r="B286" s="2"/>
      <c r="C286" s="2"/>
      <c r="D286" s="2" t="b">
        <f>IF(AND(NOT(ISBLANK(Table1[[#This Row],[Fetal Sex (Male, Female or Unknown)]])),ISNUMBER(Table1[[#This Row],[Birthweight (grams)]]),ISNUMBER(Table1[[#This Row],[Gestation (days)]])),TRUE,FALSE)</f>
        <v>0</v>
      </c>
      <c r="E286" s="2" t="str">
        <f>IF(Table1[[#This Row],[Is Data Valid]]=TRUE,IF(Table1[[#This Row],[Fetal Sex (Male, Female or Unknown)]]="Male",Backend!$C$6,IF(Table1[[#This Row],[Fetal Sex (Male, Female or Unknown)]]="Female",Backend!$C$7,IF(Table1[[#This Row],[Fetal Sex (Male, Female or Unknown)]]="Unknown",Backend!$C$8,"Error"))),"")</f>
        <v/>
      </c>
      <c r="F286" s="8" t="str">
        <f>IF(Table1[[#This Row],[Is Data Valid]]=TRUE,EXP(0.578+0.332*((Table1[[#This Row],[Gestation (days)]]+0.5)/7)-0.00354*((Table1[[#This Row],[Gestation (days)]]+0.5)/7)^2)*Table1[[#This Row],[BW40_3705]],"")</f>
        <v/>
      </c>
      <c r="G286" s="2" t="str">
        <f>IF(Table1[[#This Row],[Is Data Valid]]=TRUE,((Table1[[#This Row],[Birthweight (grams)]]/Table1[[#This Row],[BW_GA]])-1)/(Backend!$B$4/100*Table1[[#This Row],[BW40_3705]]),"")</f>
        <v/>
      </c>
      <c r="H286" s="7" t="str">
        <f>IF(Table1[[#This Row],[Is Data Valid]]=TRUE,((Table1[[#This Row],[Birthweight (grams)]]*0.9/Table1[[#This Row],[BW_GA]])-1)/(Backend!$B$4/100*Table1[[#This Row],[BW40_3705]]),"")</f>
        <v/>
      </c>
      <c r="I286" s="7" t="str">
        <f>IF(Table1[[#This Row],[Is Data Valid]]=TRUE,((Table1[[#This Row],[Birthweight (grams)]]*1.1/Table1[[#This Row],[BW_GA]])-1)/(Backend!$B$4/100*Table1[[#This Row],[BW40_3705]]),"")</f>
        <v/>
      </c>
      <c r="J286" s="7" t="str">
        <f>IF(Table1[[#This Row],[Is Data Valid]]=TRUE,_xlfn.NORM.S.DIST(Table1[[#This Row],[Birthweight Z-Score]],TRUE)*100,"")</f>
        <v/>
      </c>
      <c r="K286" s="7" t="str">
        <f>IF(Table1[[#This Row],[Is Data Valid]]=TRUE,_xlfn.NORM.S.DIST(Table1[[#This Row],[Birthweight Z-Score (BW-10%)]],TRUE)*100,"")</f>
        <v/>
      </c>
      <c r="L286" s="7" t="str">
        <f>IF(Table1[[#This Row],[Is Data Valid]]=TRUE,_xlfn.NORM.S.DIST(Table1[[#This Row],[Birthweight Z-Score (BW+10%)]],TRUE)*100,"")</f>
        <v/>
      </c>
    </row>
    <row r="287" spans="1:12" x14ac:dyDescent="0.35">
      <c r="A287" s="3"/>
      <c r="B287" s="2"/>
      <c r="C287" s="2"/>
      <c r="D287" s="2" t="b">
        <f>IF(AND(NOT(ISBLANK(Table1[[#This Row],[Fetal Sex (Male, Female or Unknown)]])),ISNUMBER(Table1[[#This Row],[Birthweight (grams)]]),ISNUMBER(Table1[[#This Row],[Gestation (days)]])),TRUE,FALSE)</f>
        <v>0</v>
      </c>
      <c r="E287" s="2" t="str">
        <f>IF(Table1[[#This Row],[Is Data Valid]]=TRUE,IF(Table1[[#This Row],[Fetal Sex (Male, Female or Unknown)]]="Male",Backend!$C$6,IF(Table1[[#This Row],[Fetal Sex (Male, Female or Unknown)]]="Female",Backend!$C$7,IF(Table1[[#This Row],[Fetal Sex (Male, Female or Unknown)]]="Unknown",Backend!$C$8,"Error"))),"")</f>
        <v/>
      </c>
      <c r="F287" s="8" t="str">
        <f>IF(Table1[[#This Row],[Is Data Valid]]=TRUE,EXP(0.578+0.332*((Table1[[#This Row],[Gestation (days)]]+0.5)/7)-0.00354*((Table1[[#This Row],[Gestation (days)]]+0.5)/7)^2)*Table1[[#This Row],[BW40_3705]],"")</f>
        <v/>
      </c>
      <c r="G287" s="2" t="str">
        <f>IF(Table1[[#This Row],[Is Data Valid]]=TRUE,((Table1[[#This Row],[Birthweight (grams)]]/Table1[[#This Row],[BW_GA]])-1)/(Backend!$B$4/100*Table1[[#This Row],[BW40_3705]]),"")</f>
        <v/>
      </c>
      <c r="H287" s="7" t="str">
        <f>IF(Table1[[#This Row],[Is Data Valid]]=TRUE,((Table1[[#This Row],[Birthweight (grams)]]*0.9/Table1[[#This Row],[BW_GA]])-1)/(Backend!$B$4/100*Table1[[#This Row],[BW40_3705]]),"")</f>
        <v/>
      </c>
      <c r="I287" s="7" t="str">
        <f>IF(Table1[[#This Row],[Is Data Valid]]=TRUE,((Table1[[#This Row],[Birthweight (grams)]]*1.1/Table1[[#This Row],[BW_GA]])-1)/(Backend!$B$4/100*Table1[[#This Row],[BW40_3705]]),"")</f>
        <v/>
      </c>
      <c r="J287" s="7" t="str">
        <f>IF(Table1[[#This Row],[Is Data Valid]]=TRUE,_xlfn.NORM.S.DIST(Table1[[#This Row],[Birthweight Z-Score]],TRUE)*100,"")</f>
        <v/>
      </c>
      <c r="K287" s="7" t="str">
        <f>IF(Table1[[#This Row],[Is Data Valid]]=TRUE,_xlfn.NORM.S.DIST(Table1[[#This Row],[Birthweight Z-Score (BW-10%)]],TRUE)*100,"")</f>
        <v/>
      </c>
      <c r="L287" s="7" t="str">
        <f>IF(Table1[[#This Row],[Is Data Valid]]=TRUE,_xlfn.NORM.S.DIST(Table1[[#This Row],[Birthweight Z-Score (BW+10%)]],TRUE)*100,"")</f>
        <v/>
      </c>
    </row>
    <row r="288" spans="1:12" x14ac:dyDescent="0.35">
      <c r="A288" s="3"/>
      <c r="B288" s="2"/>
      <c r="C288" s="2"/>
      <c r="D288" s="2" t="b">
        <f>IF(AND(NOT(ISBLANK(Table1[[#This Row],[Fetal Sex (Male, Female or Unknown)]])),ISNUMBER(Table1[[#This Row],[Birthweight (grams)]]),ISNUMBER(Table1[[#This Row],[Gestation (days)]])),TRUE,FALSE)</f>
        <v>0</v>
      </c>
      <c r="E288" s="2" t="str">
        <f>IF(Table1[[#This Row],[Is Data Valid]]=TRUE,IF(Table1[[#This Row],[Fetal Sex (Male, Female or Unknown)]]="Male",Backend!$C$6,IF(Table1[[#This Row],[Fetal Sex (Male, Female or Unknown)]]="Female",Backend!$C$7,IF(Table1[[#This Row],[Fetal Sex (Male, Female or Unknown)]]="Unknown",Backend!$C$8,"Error"))),"")</f>
        <v/>
      </c>
      <c r="F288" s="8" t="str">
        <f>IF(Table1[[#This Row],[Is Data Valid]]=TRUE,EXP(0.578+0.332*((Table1[[#This Row],[Gestation (days)]]+0.5)/7)-0.00354*((Table1[[#This Row],[Gestation (days)]]+0.5)/7)^2)*Table1[[#This Row],[BW40_3705]],"")</f>
        <v/>
      </c>
      <c r="G288" s="2" t="str">
        <f>IF(Table1[[#This Row],[Is Data Valid]]=TRUE,((Table1[[#This Row],[Birthweight (grams)]]/Table1[[#This Row],[BW_GA]])-1)/(Backend!$B$4/100*Table1[[#This Row],[BW40_3705]]),"")</f>
        <v/>
      </c>
      <c r="H288" s="7" t="str">
        <f>IF(Table1[[#This Row],[Is Data Valid]]=TRUE,((Table1[[#This Row],[Birthweight (grams)]]*0.9/Table1[[#This Row],[BW_GA]])-1)/(Backend!$B$4/100*Table1[[#This Row],[BW40_3705]]),"")</f>
        <v/>
      </c>
      <c r="I288" s="7" t="str">
        <f>IF(Table1[[#This Row],[Is Data Valid]]=TRUE,((Table1[[#This Row],[Birthweight (grams)]]*1.1/Table1[[#This Row],[BW_GA]])-1)/(Backend!$B$4/100*Table1[[#This Row],[BW40_3705]]),"")</f>
        <v/>
      </c>
      <c r="J288" s="7" t="str">
        <f>IF(Table1[[#This Row],[Is Data Valid]]=TRUE,_xlfn.NORM.S.DIST(Table1[[#This Row],[Birthweight Z-Score]],TRUE)*100,"")</f>
        <v/>
      </c>
      <c r="K288" s="7" t="str">
        <f>IF(Table1[[#This Row],[Is Data Valid]]=TRUE,_xlfn.NORM.S.DIST(Table1[[#This Row],[Birthweight Z-Score (BW-10%)]],TRUE)*100,"")</f>
        <v/>
      </c>
      <c r="L288" s="7" t="str">
        <f>IF(Table1[[#This Row],[Is Data Valid]]=TRUE,_xlfn.NORM.S.DIST(Table1[[#This Row],[Birthweight Z-Score (BW+10%)]],TRUE)*100,"")</f>
        <v/>
      </c>
    </row>
    <row r="289" spans="1:12" x14ac:dyDescent="0.35">
      <c r="A289" s="3"/>
      <c r="B289" s="2"/>
      <c r="C289" s="2"/>
      <c r="D289" s="2" t="b">
        <f>IF(AND(NOT(ISBLANK(Table1[[#This Row],[Fetal Sex (Male, Female or Unknown)]])),ISNUMBER(Table1[[#This Row],[Birthweight (grams)]]),ISNUMBER(Table1[[#This Row],[Gestation (days)]])),TRUE,FALSE)</f>
        <v>0</v>
      </c>
      <c r="E289" s="2" t="str">
        <f>IF(Table1[[#This Row],[Is Data Valid]]=TRUE,IF(Table1[[#This Row],[Fetal Sex (Male, Female or Unknown)]]="Male",Backend!$C$6,IF(Table1[[#This Row],[Fetal Sex (Male, Female or Unknown)]]="Female",Backend!$C$7,IF(Table1[[#This Row],[Fetal Sex (Male, Female or Unknown)]]="Unknown",Backend!$C$8,"Error"))),"")</f>
        <v/>
      </c>
      <c r="F289" s="8" t="str">
        <f>IF(Table1[[#This Row],[Is Data Valid]]=TRUE,EXP(0.578+0.332*((Table1[[#This Row],[Gestation (days)]]+0.5)/7)-0.00354*((Table1[[#This Row],[Gestation (days)]]+0.5)/7)^2)*Table1[[#This Row],[BW40_3705]],"")</f>
        <v/>
      </c>
      <c r="G289" s="2" t="str">
        <f>IF(Table1[[#This Row],[Is Data Valid]]=TRUE,((Table1[[#This Row],[Birthweight (grams)]]/Table1[[#This Row],[BW_GA]])-1)/(Backend!$B$4/100*Table1[[#This Row],[BW40_3705]]),"")</f>
        <v/>
      </c>
      <c r="H289" s="7" t="str">
        <f>IF(Table1[[#This Row],[Is Data Valid]]=TRUE,((Table1[[#This Row],[Birthweight (grams)]]*0.9/Table1[[#This Row],[BW_GA]])-1)/(Backend!$B$4/100*Table1[[#This Row],[BW40_3705]]),"")</f>
        <v/>
      </c>
      <c r="I289" s="7" t="str">
        <f>IF(Table1[[#This Row],[Is Data Valid]]=TRUE,((Table1[[#This Row],[Birthweight (grams)]]*1.1/Table1[[#This Row],[BW_GA]])-1)/(Backend!$B$4/100*Table1[[#This Row],[BW40_3705]]),"")</f>
        <v/>
      </c>
      <c r="J289" s="7" t="str">
        <f>IF(Table1[[#This Row],[Is Data Valid]]=TRUE,_xlfn.NORM.S.DIST(Table1[[#This Row],[Birthweight Z-Score]],TRUE)*100,"")</f>
        <v/>
      </c>
      <c r="K289" s="7" t="str">
        <f>IF(Table1[[#This Row],[Is Data Valid]]=TRUE,_xlfn.NORM.S.DIST(Table1[[#This Row],[Birthweight Z-Score (BW-10%)]],TRUE)*100,"")</f>
        <v/>
      </c>
      <c r="L289" s="7" t="str">
        <f>IF(Table1[[#This Row],[Is Data Valid]]=TRUE,_xlfn.NORM.S.DIST(Table1[[#This Row],[Birthweight Z-Score (BW+10%)]],TRUE)*100,"")</f>
        <v/>
      </c>
    </row>
    <row r="290" spans="1:12" x14ac:dyDescent="0.35">
      <c r="A290" s="3"/>
      <c r="B290" s="2"/>
      <c r="C290" s="2"/>
      <c r="D290" s="2" t="b">
        <f>IF(AND(NOT(ISBLANK(Table1[[#This Row],[Fetal Sex (Male, Female or Unknown)]])),ISNUMBER(Table1[[#This Row],[Birthweight (grams)]]),ISNUMBER(Table1[[#This Row],[Gestation (days)]])),TRUE,FALSE)</f>
        <v>0</v>
      </c>
      <c r="E290" s="2" t="str">
        <f>IF(Table1[[#This Row],[Is Data Valid]]=TRUE,IF(Table1[[#This Row],[Fetal Sex (Male, Female or Unknown)]]="Male",Backend!$C$6,IF(Table1[[#This Row],[Fetal Sex (Male, Female or Unknown)]]="Female",Backend!$C$7,IF(Table1[[#This Row],[Fetal Sex (Male, Female or Unknown)]]="Unknown",Backend!$C$8,"Error"))),"")</f>
        <v/>
      </c>
      <c r="F290" s="8" t="str">
        <f>IF(Table1[[#This Row],[Is Data Valid]]=TRUE,EXP(0.578+0.332*((Table1[[#This Row],[Gestation (days)]]+0.5)/7)-0.00354*((Table1[[#This Row],[Gestation (days)]]+0.5)/7)^2)*Table1[[#This Row],[BW40_3705]],"")</f>
        <v/>
      </c>
      <c r="G290" s="2" t="str">
        <f>IF(Table1[[#This Row],[Is Data Valid]]=TRUE,((Table1[[#This Row],[Birthweight (grams)]]/Table1[[#This Row],[BW_GA]])-1)/(Backend!$B$4/100*Table1[[#This Row],[BW40_3705]]),"")</f>
        <v/>
      </c>
      <c r="H290" s="7" t="str">
        <f>IF(Table1[[#This Row],[Is Data Valid]]=TRUE,((Table1[[#This Row],[Birthweight (grams)]]*0.9/Table1[[#This Row],[BW_GA]])-1)/(Backend!$B$4/100*Table1[[#This Row],[BW40_3705]]),"")</f>
        <v/>
      </c>
      <c r="I290" s="7" t="str">
        <f>IF(Table1[[#This Row],[Is Data Valid]]=TRUE,((Table1[[#This Row],[Birthweight (grams)]]*1.1/Table1[[#This Row],[BW_GA]])-1)/(Backend!$B$4/100*Table1[[#This Row],[BW40_3705]]),"")</f>
        <v/>
      </c>
      <c r="J290" s="7" t="str">
        <f>IF(Table1[[#This Row],[Is Data Valid]]=TRUE,_xlfn.NORM.S.DIST(Table1[[#This Row],[Birthweight Z-Score]],TRUE)*100,"")</f>
        <v/>
      </c>
      <c r="K290" s="7" t="str">
        <f>IF(Table1[[#This Row],[Is Data Valid]]=TRUE,_xlfn.NORM.S.DIST(Table1[[#This Row],[Birthweight Z-Score (BW-10%)]],TRUE)*100,"")</f>
        <v/>
      </c>
      <c r="L290" s="7" t="str">
        <f>IF(Table1[[#This Row],[Is Data Valid]]=TRUE,_xlfn.NORM.S.DIST(Table1[[#This Row],[Birthweight Z-Score (BW+10%)]],TRUE)*100,"")</f>
        <v/>
      </c>
    </row>
    <row r="291" spans="1:12" x14ac:dyDescent="0.35">
      <c r="A291" s="3"/>
      <c r="B291" s="2"/>
      <c r="C291" s="2"/>
      <c r="D291" s="2" t="b">
        <f>IF(AND(NOT(ISBLANK(Table1[[#This Row],[Fetal Sex (Male, Female or Unknown)]])),ISNUMBER(Table1[[#This Row],[Birthweight (grams)]]),ISNUMBER(Table1[[#This Row],[Gestation (days)]])),TRUE,FALSE)</f>
        <v>0</v>
      </c>
      <c r="E291" s="2" t="str">
        <f>IF(Table1[[#This Row],[Is Data Valid]]=TRUE,IF(Table1[[#This Row],[Fetal Sex (Male, Female or Unknown)]]="Male",Backend!$C$6,IF(Table1[[#This Row],[Fetal Sex (Male, Female or Unknown)]]="Female",Backend!$C$7,IF(Table1[[#This Row],[Fetal Sex (Male, Female or Unknown)]]="Unknown",Backend!$C$8,"Error"))),"")</f>
        <v/>
      </c>
      <c r="F291" s="8" t="str">
        <f>IF(Table1[[#This Row],[Is Data Valid]]=TRUE,EXP(0.578+0.332*((Table1[[#This Row],[Gestation (days)]]+0.5)/7)-0.00354*((Table1[[#This Row],[Gestation (days)]]+0.5)/7)^2)*Table1[[#This Row],[BW40_3705]],"")</f>
        <v/>
      </c>
      <c r="G291" s="2" t="str">
        <f>IF(Table1[[#This Row],[Is Data Valid]]=TRUE,((Table1[[#This Row],[Birthweight (grams)]]/Table1[[#This Row],[BW_GA]])-1)/(Backend!$B$4/100*Table1[[#This Row],[BW40_3705]]),"")</f>
        <v/>
      </c>
      <c r="H291" s="7" t="str">
        <f>IF(Table1[[#This Row],[Is Data Valid]]=TRUE,((Table1[[#This Row],[Birthweight (grams)]]*0.9/Table1[[#This Row],[BW_GA]])-1)/(Backend!$B$4/100*Table1[[#This Row],[BW40_3705]]),"")</f>
        <v/>
      </c>
      <c r="I291" s="7" t="str">
        <f>IF(Table1[[#This Row],[Is Data Valid]]=TRUE,((Table1[[#This Row],[Birthweight (grams)]]*1.1/Table1[[#This Row],[BW_GA]])-1)/(Backend!$B$4/100*Table1[[#This Row],[BW40_3705]]),"")</f>
        <v/>
      </c>
      <c r="J291" s="7" t="str">
        <f>IF(Table1[[#This Row],[Is Data Valid]]=TRUE,_xlfn.NORM.S.DIST(Table1[[#This Row],[Birthweight Z-Score]],TRUE)*100,"")</f>
        <v/>
      </c>
      <c r="K291" s="7" t="str">
        <f>IF(Table1[[#This Row],[Is Data Valid]]=TRUE,_xlfn.NORM.S.DIST(Table1[[#This Row],[Birthweight Z-Score (BW-10%)]],TRUE)*100,"")</f>
        <v/>
      </c>
      <c r="L291" s="7" t="str">
        <f>IF(Table1[[#This Row],[Is Data Valid]]=TRUE,_xlfn.NORM.S.DIST(Table1[[#This Row],[Birthweight Z-Score (BW+10%)]],TRUE)*100,"")</f>
        <v/>
      </c>
    </row>
    <row r="292" spans="1:12" x14ac:dyDescent="0.35">
      <c r="A292" s="3"/>
      <c r="B292" s="2"/>
      <c r="C292" s="2"/>
      <c r="D292" s="2" t="b">
        <f>IF(AND(NOT(ISBLANK(Table1[[#This Row],[Fetal Sex (Male, Female or Unknown)]])),ISNUMBER(Table1[[#This Row],[Birthweight (grams)]]),ISNUMBER(Table1[[#This Row],[Gestation (days)]])),TRUE,FALSE)</f>
        <v>0</v>
      </c>
      <c r="E292" s="2" t="str">
        <f>IF(Table1[[#This Row],[Is Data Valid]]=TRUE,IF(Table1[[#This Row],[Fetal Sex (Male, Female or Unknown)]]="Male",Backend!$C$6,IF(Table1[[#This Row],[Fetal Sex (Male, Female or Unknown)]]="Female",Backend!$C$7,IF(Table1[[#This Row],[Fetal Sex (Male, Female or Unknown)]]="Unknown",Backend!$C$8,"Error"))),"")</f>
        <v/>
      </c>
      <c r="F292" s="8" t="str">
        <f>IF(Table1[[#This Row],[Is Data Valid]]=TRUE,EXP(0.578+0.332*((Table1[[#This Row],[Gestation (days)]]+0.5)/7)-0.00354*((Table1[[#This Row],[Gestation (days)]]+0.5)/7)^2)*Table1[[#This Row],[BW40_3705]],"")</f>
        <v/>
      </c>
      <c r="G292" s="2" t="str">
        <f>IF(Table1[[#This Row],[Is Data Valid]]=TRUE,((Table1[[#This Row],[Birthweight (grams)]]/Table1[[#This Row],[BW_GA]])-1)/(Backend!$B$4/100*Table1[[#This Row],[BW40_3705]]),"")</f>
        <v/>
      </c>
      <c r="H292" s="7" t="str">
        <f>IF(Table1[[#This Row],[Is Data Valid]]=TRUE,((Table1[[#This Row],[Birthweight (grams)]]*0.9/Table1[[#This Row],[BW_GA]])-1)/(Backend!$B$4/100*Table1[[#This Row],[BW40_3705]]),"")</f>
        <v/>
      </c>
      <c r="I292" s="7" t="str">
        <f>IF(Table1[[#This Row],[Is Data Valid]]=TRUE,((Table1[[#This Row],[Birthweight (grams)]]*1.1/Table1[[#This Row],[BW_GA]])-1)/(Backend!$B$4/100*Table1[[#This Row],[BW40_3705]]),"")</f>
        <v/>
      </c>
      <c r="J292" s="7" t="str">
        <f>IF(Table1[[#This Row],[Is Data Valid]]=TRUE,_xlfn.NORM.S.DIST(Table1[[#This Row],[Birthweight Z-Score]],TRUE)*100,"")</f>
        <v/>
      </c>
      <c r="K292" s="7" t="str">
        <f>IF(Table1[[#This Row],[Is Data Valid]]=TRUE,_xlfn.NORM.S.DIST(Table1[[#This Row],[Birthweight Z-Score (BW-10%)]],TRUE)*100,"")</f>
        <v/>
      </c>
      <c r="L292" s="7" t="str">
        <f>IF(Table1[[#This Row],[Is Data Valid]]=TRUE,_xlfn.NORM.S.DIST(Table1[[#This Row],[Birthweight Z-Score (BW+10%)]],TRUE)*100,"")</f>
        <v/>
      </c>
    </row>
    <row r="293" spans="1:12" x14ac:dyDescent="0.35">
      <c r="A293" s="3"/>
      <c r="B293" s="2"/>
      <c r="C293" s="2"/>
      <c r="D293" s="2" t="b">
        <f>IF(AND(NOT(ISBLANK(Table1[[#This Row],[Fetal Sex (Male, Female or Unknown)]])),ISNUMBER(Table1[[#This Row],[Birthweight (grams)]]),ISNUMBER(Table1[[#This Row],[Gestation (days)]])),TRUE,FALSE)</f>
        <v>0</v>
      </c>
      <c r="E293" s="2" t="str">
        <f>IF(Table1[[#This Row],[Is Data Valid]]=TRUE,IF(Table1[[#This Row],[Fetal Sex (Male, Female or Unknown)]]="Male",Backend!$C$6,IF(Table1[[#This Row],[Fetal Sex (Male, Female or Unknown)]]="Female",Backend!$C$7,IF(Table1[[#This Row],[Fetal Sex (Male, Female or Unknown)]]="Unknown",Backend!$C$8,"Error"))),"")</f>
        <v/>
      </c>
      <c r="F293" s="8" t="str">
        <f>IF(Table1[[#This Row],[Is Data Valid]]=TRUE,EXP(0.578+0.332*((Table1[[#This Row],[Gestation (days)]]+0.5)/7)-0.00354*((Table1[[#This Row],[Gestation (days)]]+0.5)/7)^2)*Table1[[#This Row],[BW40_3705]],"")</f>
        <v/>
      </c>
      <c r="G293" s="2" t="str">
        <f>IF(Table1[[#This Row],[Is Data Valid]]=TRUE,((Table1[[#This Row],[Birthweight (grams)]]/Table1[[#This Row],[BW_GA]])-1)/(Backend!$B$4/100*Table1[[#This Row],[BW40_3705]]),"")</f>
        <v/>
      </c>
      <c r="H293" s="7" t="str">
        <f>IF(Table1[[#This Row],[Is Data Valid]]=TRUE,((Table1[[#This Row],[Birthweight (grams)]]*0.9/Table1[[#This Row],[BW_GA]])-1)/(Backend!$B$4/100*Table1[[#This Row],[BW40_3705]]),"")</f>
        <v/>
      </c>
      <c r="I293" s="7" t="str">
        <f>IF(Table1[[#This Row],[Is Data Valid]]=TRUE,((Table1[[#This Row],[Birthweight (grams)]]*1.1/Table1[[#This Row],[BW_GA]])-1)/(Backend!$B$4/100*Table1[[#This Row],[BW40_3705]]),"")</f>
        <v/>
      </c>
      <c r="J293" s="7" t="str">
        <f>IF(Table1[[#This Row],[Is Data Valid]]=TRUE,_xlfn.NORM.S.DIST(Table1[[#This Row],[Birthweight Z-Score]],TRUE)*100,"")</f>
        <v/>
      </c>
      <c r="K293" s="7" t="str">
        <f>IF(Table1[[#This Row],[Is Data Valid]]=TRUE,_xlfn.NORM.S.DIST(Table1[[#This Row],[Birthweight Z-Score (BW-10%)]],TRUE)*100,"")</f>
        <v/>
      </c>
      <c r="L293" s="7" t="str">
        <f>IF(Table1[[#This Row],[Is Data Valid]]=TRUE,_xlfn.NORM.S.DIST(Table1[[#This Row],[Birthweight Z-Score (BW+10%)]],TRUE)*100,"")</f>
        <v/>
      </c>
    </row>
    <row r="294" spans="1:12" x14ac:dyDescent="0.35">
      <c r="A294" s="3"/>
      <c r="B294" s="2"/>
      <c r="C294" s="2"/>
      <c r="D294" s="2" t="b">
        <f>IF(AND(NOT(ISBLANK(Table1[[#This Row],[Fetal Sex (Male, Female or Unknown)]])),ISNUMBER(Table1[[#This Row],[Birthweight (grams)]]),ISNUMBER(Table1[[#This Row],[Gestation (days)]])),TRUE,FALSE)</f>
        <v>0</v>
      </c>
      <c r="E294" s="2" t="str">
        <f>IF(Table1[[#This Row],[Is Data Valid]]=TRUE,IF(Table1[[#This Row],[Fetal Sex (Male, Female or Unknown)]]="Male",Backend!$C$6,IF(Table1[[#This Row],[Fetal Sex (Male, Female or Unknown)]]="Female",Backend!$C$7,IF(Table1[[#This Row],[Fetal Sex (Male, Female or Unknown)]]="Unknown",Backend!$C$8,"Error"))),"")</f>
        <v/>
      </c>
      <c r="F294" s="8" t="str">
        <f>IF(Table1[[#This Row],[Is Data Valid]]=TRUE,EXP(0.578+0.332*((Table1[[#This Row],[Gestation (days)]]+0.5)/7)-0.00354*((Table1[[#This Row],[Gestation (days)]]+0.5)/7)^2)*Table1[[#This Row],[BW40_3705]],"")</f>
        <v/>
      </c>
      <c r="G294" s="2" t="str">
        <f>IF(Table1[[#This Row],[Is Data Valid]]=TRUE,((Table1[[#This Row],[Birthweight (grams)]]/Table1[[#This Row],[BW_GA]])-1)/(Backend!$B$4/100*Table1[[#This Row],[BW40_3705]]),"")</f>
        <v/>
      </c>
      <c r="H294" s="7" t="str">
        <f>IF(Table1[[#This Row],[Is Data Valid]]=TRUE,((Table1[[#This Row],[Birthweight (grams)]]*0.9/Table1[[#This Row],[BW_GA]])-1)/(Backend!$B$4/100*Table1[[#This Row],[BW40_3705]]),"")</f>
        <v/>
      </c>
      <c r="I294" s="7" t="str">
        <f>IF(Table1[[#This Row],[Is Data Valid]]=TRUE,((Table1[[#This Row],[Birthweight (grams)]]*1.1/Table1[[#This Row],[BW_GA]])-1)/(Backend!$B$4/100*Table1[[#This Row],[BW40_3705]]),"")</f>
        <v/>
      </c>
      <c r="J294" s="7" t="str">
        <f>IF(Table1[[#This Row],[Is Data Valid]]=TRUE,_xlfn.NORM.S.DIST(Table1[[#This Row],[Birthweight Z-Score]],TRUE)*100,"")</f>
        <v/>
      </c>
      <c r="K294" s="7" t="str">
        <f>IF(Table1[[#This Row],[Is Data Valid]]=TRUE,_xlfn.NORM.S.DIST(Table1[[#This Row],[Birthweight Z-Score (BW-10%)]],TRUE)*100,"")</f>
        <v/>
      </c>
      <c r="L294" s="7" t="str">
        <f>IF(Table1[[#This Row],[Is Data Valid]]=TRUE,_xlfn.NORM.S.DIST(Table1[[#This Row],[Birthweight Z-Score (BW+10%)]],TRUE)*100,"")</f>
        <v/>
      </c>
    </row>
    <row r="295" spans="1:12" x14ac:dyDescent="0.35">
      <c r="A295" s="3"/>
      <c r="B295" s="2"/>
      <c r="C295" s="2"/>
      <c r="D295" s="2" t="b">
        <f>IF(AND(NOT(ISBLANK(Table1[[#This Row],[Fetal Sex (Male, Female or Unknown)]])),ISNUMBER(Table1[[#This Row],[Birthweight (grams)]]),ISNUMBER(Table1[[#This Row],[Gestation (days)]])),TRUE,FALSE)</f>
        <v>0</v>
      </c>
      <c r="E295" s="2" t="str">
        <f>IF(Table1[[#This Row],[Is Data Valid]]=TRUE,IF(Table1[[#This Row],[Fetal Sex (Male, Female or Unknown)]]="Male",Backend!$C$6,IF(Table1[[#This Row],[Fetal Sex (Male, Female or Unknown)]]="Female",Backend!$C$7,IF(Table1[[#This Row],[Fetal Sex (Male, Female or Unknown)]]="Unknown",Backend!$C$8,"Error"))),"")</f>
        <v/>
      </c>
      <c r="F295" s="8" t="str">
        <f>IF(Table1[[#This Row],[Is Data Valid]]=TRUE,EXP(0.578+0.332*((Table1[[#This Row],[Gestation (days)]]+0.5)/7)-0.00354*((Table1[[#This Row],[Gestation (days)]]+0.5)/7)^2)*Table1[[#This Row],[BW40_3705]],"")</f>
        <v/>
      </c>
      <c r="G295" s="2" t="str">
        <f>IF(Table1[[#This Row],[Is Data Valid]]=TRUE,((Table1[[#This Row],[Birthweight (grams)]]/Table1[[#This Row],[BW_GA]])-1)/(Backend!$B$4/100*Table1[[#This Row],[BW40_3705]]),"")</f>
        <v/>
      </c>
      <c r="H295" s="7" t="str">
        <f>IF(Table1[[#This Row],[Is Data Valid]]=TRUE,((Table1[[#This Row],[Birthweight (grams)]]*0.9/Table1[[#This Row],[BW_GA]])-1)/(Backend!$B$4/100*Table1[[#This Row],[BW40_3705]]),"")</f>
        <v/>
      </c>
      <c r="I295" s="7" t="str">
        <f>IF(Table1[[#This Row],[Is Data Valid]]=TRUE,((Table1[[#This Row],[Birthweight (grams)]]*1.1/Table1[[#This Row],[BW_GA]])-1)/(Backend!$B$4/100*Table1[[#This Row],[BW40_3705]]),"")</f>
        <v/>
      </c>
      <c r="J295" s="7" t="str">
        <f>IF(Table1[[#This Row],[Is Data Valid]]=TRUE,_xlfn.NORM.S.DIST(Table1[[#This Row],[Birthweight Z-Score]],TRUE)*100,"")</f>
        <v/>
      </c>
      <c r="K295" s="7" t="str">
        <f>IF(Table1[[#This Row],[Is Data Valid]]=TRUE,_xlfn.NORM.S.DIST(Table1[[#This Row],[Birthweight Z-Score (BW-10%)]],TRUE)*100,"")</f>
        <v/>
      </c>
      <c r="L295" s="7" t="str">
        <f>IF(Table1[[#This Row],[Is Data Valid]]=TRUE,_xlfn.NORM.S.DIST(Table1[[#This Row],[Birthweight Z-Score (BW+10%)]],TRUE)*100,"")</f>
        <v/>
      </c>
    </row>
    <row r="296" spans="1:12" x14ac:dyDescent="0.35">
      <c r="A296" s="3"/>
      <c r="B296" s="2"/>
      <c r="C296" s="2"/>
      <c r="D296" s="2" t="b">
        <f>IF(AND(NOT(ISBLANK(Table1[[#This Row],[Fetal Sex (Male, Female or Unknown)]])),ISNUMBER(Table1[[#This Row],[Birthweight (grams)]]),ISNUMBER(Table1[[#This Row],[Gestation (days)]])),TRUE,FALSE)</f>
        <v>0</v>
      </c>
      <c r="E296" s="2" t="str">
        <f>IF(Table1[[#This Row],[Is Data Valid]]=TRUE,IF(Table1[[#This Row],[Fetal Sex (Male, Female or Unknown)]]="Male",Backend!$C$6,IF(Table1[[#This Row],[Fetal Sex (Male, Female or Unknown)]]="Female",Backend!$C$7,IF(Table1[[#This Row],[Fetal Sex (Male, Female or Unknown)]]="Unknown",Backend!$C$8,"Error"))),"")</f>
        <v/>
      </c>
      <c r="F296" s="8" t="str">
        <f>IF(Table1[[#This Row],[Is Data Valid]]=TRUE,EXP(0.578+0.332*((Table1[[#This Row],[Gestation (days)]]+0.5)/7)-0.00354*((Table1[[#This Row],[Gestation (days)]]+0.5)/7)^2)*Table1[[#This Row],[BW40_3705]],"")</f>
        <v/>
      </c>
      <c r="G296" s="2" t="str">
        <f>IF(Table1[[#This Row],[Is Data Valid]]=TRUE,((Table1[[#This Row],[Birthweight (grams)]]/Table1[[#This Row],[BW_GA]])-1)/(Backend!$B$4/100*Table1[[#This Row],[BW40_3705]]),"")</f>
        <v/>
      </c>
      <c r="H296" s="7" t="str">
        <f>IF(Table1[[#This Row],[Is Data Valid]]=TRUE,((Table1[[#This Row],[Birthweight (grams)]]*0.9/Table1[[#This Row],[BW_GA]])-1)/(Backend!$B$4/100*Table1[[#This Row],[BW40_3705]]),"")</f>
        <v/>
      </c>
      <c r="I296" s="7" t="str">
        <f>IF(Table1[[#This Row],[Is Data Valid]]=TRUE,((Table1[[#This Row],[Birthweight (grams)]]*1.1/Table1[[#This Row],[BW_GA]])-1)/(Backend!$B$4/100*Table1[[#This Row],[BW40_3705]]),"")</f>
        <v/>
      </c>
      <c r="J296" s="7" t="str">
        <f>IF(Table1[[#This Row],[Is Data Valid]]=TRUE,_xlfn.NORM.S.DIST(Table1[[#This Row],[Birthweight Z-Score]],TRUE)*100,"")</f>
        <v/>
      </c>
      <c r="K296" s="7" t="str">
        <f>IF(Table1[[#This Row],[Is Data Valid]]=TRUE,_xlfn.NORM.S.DIST(Table1[[#This Row],[Birthweight Z-Score (BW-10%)]],TRUE)*100,"")</f>
        <v/>
      </c>
      <c r="L296" s="7" t="str">
        <f>IF(Table1[[#This Row],[Is Data Valid]]=TRUE,_xlfn.NORM.S.DIST(Table1[[#This Row],[Birthweight Z-Score (BW+10%)]],TRUE)*100,"")</f>
        <v/>
      </c>
    </row>
    <row r="297" spans="1:12" x14ac:dyDescent="0.35">
      <c r="A297" s="3"/>
      <c r="B297" s="2"/>
      <c r="C297" s="2"/>
      <c r="D297" s="2" t="b">
        <f>IF(AND(NOT(ISBLANK(Table1[[#This Row],[Fetal Sex (Male, Female or Unknown)]])),ISNUMBER(Table1[[#This Row],[Birthweight (grams)]]),ISNUMBER(Table1[[#This Row],[Gestation (days)]])),TRUE,FALSE)</f>
        <v>0</v>
      </c>
      <c r="E297" s="2" t="str">
        <f>IF(Table1[[#This Row],[Is Data Valid]]=TRUE,IF(Table1[[#This Row],[Fetal Sex (Male, Female or Unknown)]]="Male",Backend!$C$6,IF(Table1[[#This Row],[Fetal Sex (Male, Female or Unknown)]]="Female",Backend!$C$7,IF(Table1[[#This Row],[Fetal Sex (Male, Female or Unknown)]]="Unknown",Backend!$C$8,"Error"))),"")</f>
        <v/>
      </c>
      <c r="F297" s="8" t="str">
        <f>IF(Table1[[#This Row],[Is Data Valid]]=TRUE,EXP(0.578+0.332*((Table1[[#This Row],[Gestation (days)]]+0.5)/7)-0.00354*((Table1[[#This Row],[Gestation (days)]]+0.5)/7)^2)*Table1[[#This Row],[BW40_3705]],"")</f>
        <v/>
      </c>
      <c r="G297" s="2" t="str">
        <f>IF(Table1[[#This Row],[Is Data Valid]]=TRUE,((Table1[[#This Row],[Birthweight (grams)]]/Table1[[#This Row],[BW_GA]])-1)/(Backend!$B$4/100*Table1[[#This Row],[BW40_3705]]),"")</f>
        <v/>
      </c>
      <c r="H297" s="7" t="str">
        <f>IF(Table1[[#This Row],[Is Data Valid]]=TRUE,((Table1[[#This Row],[Birthweight (grams)]]*0.9/Table1[[#This Row],[BW_GA]])-1)/(Backend!$B$4/100*Table1[[#This Row],[BW40_3705]]),"")</f>
        <v/>
      </c>
      <c r="I297" s="7" t="str">
        <f>IF(Table1[[#This Row],[Is Data Valid]]=TRUE,((Table1[[#This Row],[Birthweight (grams)]]*1.1/Table1[[#This Row],[BW_GA]])-1)/(Backend!$B$4/100*Table1[[#This Row],[BW40_3705]]),"")</f>
        <v/>
      </c>
      <c r="J297" s="7" t="str">
        <f>IF(Table1[[#This Row],[Is Data Valid]]=TRUE,_xlfn.NORM.S.DIST(Table1[[#This Row],[Birthweight Z-Score]],TRUE)*100,"")</f>
        <v/>
      </c>
      <c r="K297" s="7" t="str">
        <f>IF(Table1[[#This Row],[Is Data Valid]]=TRUE,_xlfn.NORM.S.DIST(Table1[[#This Row],[Birthweight Z-Score (BW-10%)]],TRUE)*100,"")</f>
        <v/>
      </c>
      <c r="L297" s="7" t="str">
        <f>IF(Table1[[#This Row],[Is Data Valid]]=TRUE,_xlfn.NORM.S.DIST(Table1[[#This Row],[Birthweight Z-Score (BW+10%)]],TRUE)*100,"")</f>
        <v/>
      </c>
    </row>
    <row r="298" spans="1:12" x14ac:dyDescent="0.35">
      <c r="A298" s="3"/>
      <c r="B298" s="2"/>
      <c r="C298" s="2"/>
      <c r="D298" s="2" t="b">
        <f>IF(AND(NOT(ISBLANK(Table1[[#This Row],[Fetal Sex (Male, Female or Unknown)]])),ISNUMBER(Table1[[#This Row],[Birthweight (grams)]]),ISNUMBER(Table1[[#This Row],[Gestation (days)]])),TRUE,FALSE)</f>
        <v>0</v>
      </c>
      <c r="E298" s="2" t="str">
        <f>IF(Table1[[#This Row],[Is Data Valid]]=TRUE,IF(Table1[[#This Row],[Fetal Sex (Male, Female or Unknown)]]="Male",Backend!$C$6,IF(Table1[[#This Row],[Fetal Sex (Male, Female or Unknown)]]="Female",Backend!$C$7,IF(Table1[[#This Row],[Fetal Sex (Male, Female or Unknown)]]="Unknown",Backend!$C$8,"Error"))),"")</f>
        <v/>
      </c>
      <c r="F298" s="8" t="str">
        <f>IF(Table1[[#This Row],[Is Data Valid]]=TRUE,EXP(0.578+0.332*((Table1[[#This Row],[Gestation (days)]]+0.5)/7)-0.00354*((Table1[[#This Row],[Gestation (days)]]+0.5)/7)^2)*Table1[[#This Row],[BW40_3705]],"")</f>
        <v/>
      </c>
      <c r="G298" s="2" t="str">
        <f>IF(Table1[[#This Row],[Is Data Valid]]=TRUE,((Table1[[#This Row],[Birthweight (grams)]]/Table1[[#This Row],[BW_GA]])-1)/(Backend!$B$4/100*Table1[[#This Row],[BW40_3705]]),"")</f>
        <v/>
      </c>
      <c r="H298" s="7" t="str">
        <f>IF(Table1[[#This Row],[Is Data Valid]]=TRUE,((Table1[[#This Row],[Birthweight (grams)]]*0.9/Table1[[#This Row],[BW_GA]])-1)/(Backend!$B$4/100*Table1[[#This Row],[BW40_3705]]),"")</f>
        <v/>
      </c>
      <c r="I298" s="7" t="str">
        <f>IF(Table1[[#This Row],[Is Data Valid]]=TRUE,((Table1[[#This Row],[Birthweight (grams)]]*1.1/Table1[[#This Row],[BW_GA]])-1)/(Backend!$B$4/100*Table1[[#This Row],[BW40_3705]]),"")</f>
        <v/>
      </c>
      <c r="J298" s="7" t="str">
        <f>IF(Table1[[#This Row],[Is Data Valid]]=TRUE,_xlfn.NORM.S.DIST(Table1[[#This Row],[Birthweight Z-Score]],TRUE)*100,"")</f>
        <v/>
      </c>
      <c r="K298" s="7" t="str">
        <f>IF(Table1[[#This Row],[Is Data Valid]]=TRUE,_xlfn.NORM.S.DIST(Table1[[#This Row],[Birthweight Z-Score (BW-10%)]],TRUE)*100,"")</f>
        <v/>
      </c>
      <c r="L298" s="7" t="str">
        <f>IF(Table1[[#This Row],[Is Data Valid]]=TRUE,_xlfn.NORM.S.DIST(Table1[[#This Row],[Birthweight Z-Score (BW+10%)]],TRUE)*100,"")</f>
        <v/>
      </c>
    </row>
    <row r="299" spans="1:12" x14ac:dyDescent="0.35">
      <c r="A299" s="3"/>
      <c r="B299" s="2"/>
      <c r="C299" s="2"/>
      <c r="D299" s="2" t="b">
        <f>IF(AND(NOT(ISBLANK(Table1[[#This Row],[Fetal Sex (Male, Female or Unknown)]])),ISNUMBER(Table1[[#This Row],[Birthweight (grams)]]),ISNUMBER(Table1[[#This Row],[Gestation (days)]])),TRUE,FALSE)</f>
        <v>0</v>
      </c>
      <c r="E299" s="2" t="str">
        <f>IF(Table1[[#This Row],[Is Data Valid]]=TRUE,IF(Table1[[#This Row],[Fetal Sex (Male, Female or Unknown)]]="Male",Backend!$C$6,IF(Table1[[#This Row],[Fetal Sex (Male, Female or Unknown)]]="Female",Backend!$C$7,IF(Table1[[#This Row],[Fetal Sex (Male, Female or Unknown)]]="Unknown",Backend!$C$8,"Error"))),"")</f>
        <v/>
      </c>
      <c r="F299" s="8" t="str">
        <f>IF(Table1[[#This Row],[Is Data Valid]]=TRUE,EXP(0.578+0.332*((Table1[[#This Row],[Gestation (days)]]+0.5)/7)-0.00354*((Table1[[#This Row],[Gestation (days)]]+0.5)/7)^2)*Table1[[#This Row],[BW40_3705]],"")</f>
        <v/>
      </c>
      <c r="G299" s="2" t="str">
        <f>IF(Table1[[#This Row],[Is Data Valid]]=TRUE,((Table1[[#This Row],[Birthweight (grams)]]/Table1[[#This Row],[BW_GA]])-1)/(Backend!$B$4/100*Table1[[#This Row],[BW40_3705]]),"")</f>
        <v/>
      </c>
      <c r="H299" s="7" t="str">
        <f>IF(Table1[[#This Row],[Is Data Valid]]=TRUE,((Table1[[#This Row],[Birthweight (grams)]]*0.9/Table1[[#This Row],[BW_GA]])-1)/(Backend!$B$4/100*Table1[[#This Row],[BW40_3705]]),"")</f>
        <v/>
      </c>
      <c r="I299" s="7" t="str">
        <f>IF(Table1[[#This Row],[Is Data Valid]]=TRUE,((Table1[[#This Row],[Birthweight (grams)]]*1.1/Table1[[#This Row],[BW_GA]])-1)/(Backend!$B$4/100*Table1[[#This Row],[BW40_3705]]),"")</f>
        <v/>
      </c>
      <c r="J299" s="7" t="str">
        <f>IF(Table1[[#This Row],[Is Data Valid]]=TRUE,_xlfn.NORM.S.DIST(Table1[[#This Row],[Birthweight Z-Score]],TRUE)*100,"")</f>
        <v/>
      </c>
      <c r="K299" s="7" t="str">
        <f>IF(Table1[[#This Row],[Is Data Valid]]=TRUE,_xlfn.NORM.S.DIST(Table1[[#This Row],[Birthweight Z-Score (BW-10%)]],TRUE)*100,"")</f>
        <v/>
      </c>
      <c r="L299" s="7" t="str">
        <f>IF(Table1[[#This Row],[Is Data Valid]]=TRUE,_xlfn.NORM.S.DIST(Table1[[#This Row],[Birthweight Z-Score (BW+10%)]],TRUE)*100,"")</f>
        <v/>
      </c>
    </row>
    <row r="300" spans="1:12" x14ac:dyDescent="0.35">
      <c r="A300" s="3"/>
      <c r="B300" s="2"/>
      <c r="C300" s="2"/>
      <c r="D300" s="2" t="b">
        <f>IF(AND(NOT(ISBLANK(Table1[[#This Row],[Fetal Sex (Male, Female or Unknown)]])),ISNUMBER(Table1[[#This Row],[Birthweight (grams)]]),ISNUMBER(Table1[[#This Row],[Gestation (days)]])),TRUE,FALSE)</f>
        <v>0</v>
      </c>
      <c r="E300" s="2" t="str">
        <f>IF(Table1[[#This Row],[Is Data Valid]]=TRUE,IF(Table1[[#This Row],[Fetal Sex (Male, Female or Unknown)]]="Male",Backend!$C$6,IF(Table1[[#This Row],[Fetal Sex (Male, Female or Unknown)]]="Female",Backend!$C$7,IF(Table1[[#This Row],[Fetal Sex (Male, Female or Unknown)]]="Unknown",Backend!$C$8,"Error"))),"")</f>
        <v/>
      </c>
      <c r="F300" s="8" t="str">
        <f>IF(Table1[[#This Row],[Is Data Valid]]=TRUE,EXP(0.578+0.332*((Table1[[#This Row],[Gestation (days)]]+0.5)/7)-0.00354*((Table1[[#This Row],[Gestation (days)]]+0.5)/7)^2)*Table1[[#This Row],[BW40_3705]],"")</f>
        <v/>
      </c>
      <c r="G300" s="2" t="str">
        <f>IF(Table1[[#This Row],[Is Data Valid]]=TRUE,((Table1[[#This Row],[Birthweight (grams)]]/Table1[[#This Row],[BW_GA]])-1)/(Backend!$B$4/100*Table1[[#This Row],[BW40_3705]]),"")</f>
        <v/>
      </c>
      <c r="H300" s="7" t="str">
        <f>IF(Table1[[#This Row],[Is Data Valid]]=TRUE,((Table1[[#This Row],[Birthweight (grams)]]*0.9/Table1[[#This Row],[BW_GA]])-1)/(Backend!$B$4/100*Table1[[#This Row],[BW40_3705]]),"")</f>
        <v/>
      </c>
      <c r="I300" s="7" t="str">
        <f>IF(Table1[[#This Row],[Is Data Valid]]=TRUE,((Table1[[#This Row],[Birthweight (grams)]]*1.1/Table1[[#This Row],[BW_GA]])-1)/(Backend!$B$4/100*Table1[[#This Row],[BW40_3705]]),"")</f>
        <v/>
      </c>
      <c r="J300" s="7" t="str">
        <f>IF(Table1[[#This Row],[Is Data Valid]]=TRUE,_xlfn.NORM.S.DIST(Table1[[#This Row],[Birthweight Z-Score]],TRUE)*100,"")</f>
        <v/>
      </c>
      <c r="K300" s="7" t="str">
        <f>IF(Table1[[#This Row],[Is Data Valid]]=TRUE,_xlfn.NORM.S.DIST(Table1[[#This Row],[Birthweight Z-Score (BW-10%)]],TRUE)*100,"")</f>
        <v/>
      </c>
      <c r="L300" s="7" t="str">
        <f>IF(Table1[[#This Row],[Is Data Valid]]=TRUE,_xlfn.NORM.S.DIST(Table1[[#This Row],[Birthweight Z-Score (BW+10%)]],TRUE)*100,"")</f>
        <v/>
      </c>
    </row>
    <row r="301" spans="1:12" x14ac:dyDescent="0.35">
      <c r="A301" s="3"/>
      <c r="B301" s="2"/>
      <c r="C301" s="2"/>
      <c r="D301" s="2" t="b">
        <f>IF(AND(NOT(ISBLANK(Table1[[#This Row],[Fetal Sex (Male, Female or Unknown)]])),ISNUMBER(Table1[[#This Row],[Birthweight (grams)]]),ISNUMBER(Table1[[#This Row],[Gestation (days)]])),TRUE,FALSE)</f>
        <v>0</v>
      </c>
      <c r="E301" s="2" t="str">
        <f>IF(Table1[[#This Row],[Is Data Valid]]=TRUE,IF(Table1[[#This Row],[Fetal Sex (Male, Female or Unknown)]]="Male",Backend!$C$6,IF(Table1[[#This Row],[Fetal Sex (Male, Female or Unknown)]]="Female",Backend!$C$7,IF(Table1[[#This Row],[Fetal Sex (Male, Female or Unknown)]]="Unknown",Backend!$C$8,"Error"))),"")</f>
        <v/>
      </c>
      <c r="F301" s="8" t="str">
        <f>IF(Table1[[#This Row],[Is Data Valid]]=TRUE,EXP(0.578+0.332*((Table1[[#This Row],[Gestation (days)]]+0.5)/7)-0.00354*((Table1[[#This Row],[Gestation (days)]]+0.5)/7)^2)*Table1[[#This Row],[BW40_3705]],"")</f>
        <v/>
      </c>
      <c r="G301" s="2" t="str">
        <f>IF(Table1[[#This Row],[Is Data Valid]]=TRUE,((Table1[[#This Row],[Birthweight (grams)]]/Table1[[#This Row],[BW_GA]])-1)/(Backend!$B$4/100*Table1[[#This Row],[BW40_3705]]),"")</f>
        <v/>
      </c>
      <c r="H301" s="7" t="str">
        <f>IF(Table1[[#This Row],[Is Data Valid]]=TRUE,((Table1[[#This Row],[Birthweight (grams)]]*0.9/Table1[[#This Row],[BW_GA]])-1)/(Backend!$B$4/100*Table1[[#This Row],[BW40_3705]]),"")</f>
        <v/>
      </c>
      <c r="I301" s="7" t="str">
        <f>IF(Table1[[#This Row],[Is Data Valid]]=TRUE,((Table1[[#This Row],[Birthweight (grams)]]*1.1/Table1[[#This Row],[BW_GA]])-1)/(Backend!$B$4/100*Table1[[#This Row],[BW40_3705]]),"")</f>
        <v/>
      </c>
      <c r="J301" s="7" t="str">
        <f>IF(Table1[[#This Row],[Is Data Valid]]=TRUE,_xlfn.NORM.S.DIST(Table1[[#This Row],[Birthweight Z-Score]],TRUE)*100,"")</f>
        <v/>
      </c>
      <c r="K301" s="7" t="str">
        <f>IF(Table1[[#This Row],[Is Data Valid]]=TRUE,_xlfn.NORM.S.DIST(Table1[[#This Row],[Birthweight Z-Score (BW-10%)]],TRUE)*100,"")</f>
        <v/>
      </c>
      <c r="L301" s="7" t="str">
        <f>IF(Table1[[#This Row],[Is Data Valid]]=TRUE,_xlfn.NORM.S.DIST(Table1[[#This Row],[Birthweight Z-Score (BW+10%)]],TRUE)*100,"")</f>
        <v/>
      </c>
    </row>
    <row r="302" spans="1:12" x14ac:dyDescent="0.35">
      <c r="A302" s="3"/>
      <c r="B302" s="2"/>
      <c r="C302" s="2"/>
      <c r="D302" s="2" t="b">
        <f>IF(AND(NOT(ISBLANK(Table1[[#This Row],[Fetal Sex (Male, Female or Unknown)]])),ISNUMBER(Table1[[#This Row],[Birthweight (grams)]]),ISNUMBER(Table1[[#This Row],[Gestation (days)]])),TRUE,FALSE)</f>
        <v>0</v>
      </c>
      <c r="E302" s="2" t="str">
        <f>IF(Table1[[#This Row],[Is Data Valid]]=TRUE,IF(Table1[[#This Row],[Fetal Sex (Male, Female or Unknown)]]="Male",Backend!$C$6,IF(Table1[[#This Row],[Fetal Sex (Male, Female or Unknown)]]="Female",Backend!$C$7,IF(Table1[[#This Row],[Fetal Sex (Male, Female or Unknown)]]="Unknown",Backend!$C$8,"Error"))),"")</f>
        <v/>
      </c>
      <c r="F302" s="8" t="str">
        <f>IF(Table1[[#This Row],[Is Data Valid]]=TRUE,EXP(0.578+0.332*((Table1[[#This Row],[Gestation (days)]]+0.5)/7)-0.00354*((Table1[[#This Row],[Gestation (days)]]+0.5)/7)^2)*Table1[[#This Row],[BW40_3705]],"")</f>
        <v/>
      </c>
      <c r="G302" s="2" t="str">
        <f>IF(Table1[[#This Row],[Is Data Valid]]=TRUE,((Table1[[#This Row],[Birthweight (grams)]]/Table1[[#This Row],[BW_GA]])-1)/(Backend!$B$4/100*Table1[[#This Row],[BW40_3705]]),"")</f>
        <v/>
      </c>
      <c r="H302" s="7" t="str">
        <f>IF(Table1[[#This Row],[Is Data Valid]]=TRUE,((Table1[[#This Row],[Birthweight (grams)]]*0.9/Table1[[#This Row],[BW_GA]])-1)/(Backend!$B$4/100*Table1[[#This Row],[BW40_3705]]),"")</f>
        <v/>
      </c>
      <c r="I302" s="7" t="str">
        <f>IF(Table1[[#This Row],[Is Data Valid]]=TRUE,((Table1[[#This Row],[Birthweight (grams)]]*1.1/Table1[[#This Row],[BW_GA]])-1)/(Backend!$B$4/100*Table1[[#This Row],[BW40_3705]]),"")</f>
        <v/>
      </c>
      <c r="J302" s="7" t="str">
        <f>IF(Table1[[#This Row],[Is Data Valid]]=TRUE,_xlfn.NORM.S.DIST(Table1[[#This Row],[Birthweight Z-Score]],TRUE)*100,"")</f>
        <v/>
      </c>
      <c r="K302" s="7" t="str">
        <f>IF(Table1[[#This Row],[Is Data Valid]]=TRUE,_xlfn.NORM.S.DIST(Table1[[#This Row],[Birthweight Z-Score (BW-10%)]],TRUE)*100,"")</f>
        <v/>
      </c>
      <c r="L302" s="7" t="str">
        <f>IF(Table1[[#This Row],[Is Data Valid]]=TRUE,_xlfn.NORM.S.DIST(Table1[[#This Row],[Birthweight Z-Score (BW+10%)]],TRUE)*100,"")</f>
        <v/>
      </c>
    </row>
    <row r="303" spans="1:12" x14ac:dyDescent="0.35">
      <c r="A303" s="3"/>
      <c r="B303" s="2"/>
      <c r="C303" s="2"/>
      <c r="D303" s="2" t="b">
        <f>IF(AND(NOT(ISBLANK(Table1[[#This Row],[Fetal Sex (Male, Female or Unknown)]])),ISNUMBER(Table1[[#This Row],[Birthweight (grams)]]),ISNUMBER(Table1[[#This Row],[Gestation (days)]])),TRUE,FALSE)</f>
        <v>0</v>
      </c>
      <c r="E303" s="2" t="str">
        <f>IF(Table1[[#This Row],[Is Data Valid]]=TRUE,IF(Table1[[#This Row],[Fetal Sex (Male, Female or Unknown)]]="Male",Backend!$C$6,IF(Table1[[#This Row],[Fetal Sex (Male, Female or Unknown)]]="Female",Backend!$C$7,IF(Table1[[#This Row],[Fetal Sex (Male, Female or Unknown)]]="Unknown",Backend!$C$8,"Error"))),"")</f>
        <v/>
      </c>
      <c r="F303" s="8" t="str">
        <f>IF(Table1[[#This Row],[Is Data Valid]]=TRUE,EXP(0.578+0.332*((Table1[[#This Row],[Gestation (days)]]+0.5)/7)-0.00354*((Table1[[#This Row],[Gestation (days)]]+0.5)/7)^2)*Table1[[#This Row],[BW40_3705]],"")</f>
        <v/>
      </c>
      <c r="G303" s="2" t="str">
        <f>IF(Table1[[#This Row],[Is Data Valid]]=TRUE,((Table1[[#This Row],[Birthweight (grams)]]/Table1[[#This Row],[BW_GA]])-1)/(Backend!$B$4/100*Table1[[#This Row],[BW40_3705]]),"")</f>
        <v/>
      </c>
      <c r="H303" s="7" t="str">
        <f>IF(Table1[[#This Row],[Is Data Valid]]=TRUE,((Table1[[#This Row],[Birthweight (grams)]]*0.9/Table1[[#This Row],[BW_GA]])-1)/(Backend!$B$4/100*Table1[[#This Row],[BW40_3705]]),"")</f>
        <v/>
      </c>
      <c r="I303" s="7" t="str">
        <f>IF(Table1[[#This Row],[Is Data Valid]]=TRUE,((Table1[[#This Row],[Birthweight (grams)]]*1.1/Table1[[#This Row],[BW_GA]])-1)/(Backend!$B$4/100*Table1[[#This Row],[BW40_3705]]),"")</f>
        <v/>
      </c>
      <c r="J303" s="7" t="str">
        <f>IF(Table1[[#This Row],[Is Data Valid]]=TRUE,_xlfn.NORM.S.DIST(Table1[[#This Row],[Birthweight Z-Score]],TRUE)*100,"")</f>
        <v/>
      </c>
      <c r="K303" s="7" t="str">
        <f>IF(Table1[[#This Row],[Is Data Valid]]=TRUE,_xlfn.NORM.S.DIST(Table1[[#This Row],[Birthweight Z-Score (BW-10%)]],TRUE)*100,"")</f>
        <v/>
      </c>
      <c r="L303" s="7" t="str">
        <f>IF(Table1[[#This Row],[Is Data Valid]]=TRUE,_xlfn.NORM.S.DIST(Table1[[#This Row],[Birthweight Z-Score (BW+10%)]],TRUE)*100,"")</f>
        <v/>
      </c>
    </row>
    <row r="304" spans="1:12" x14ac:dyDescent="0.35">
      <c r="A304" s="3"/>
      <c r="B304" s="2"/>
      <c r="C304" s="2"/>
      <c r="D304" s="2" t="b">
        <f>IF(AND(NOT(ISBLANK(Table1[[#This Row],[Fetal Sex (Male, Female or Unknown)]])),ISNUMBER(Table1[[#This Row],[Birthweight (grams)]]),ISNUMBER(Table1[[#This Row],[Gestation (days)]])),TRUE,FALSE)</f>
        <v>0</v>
      </c>
      <c r="E304" s="2" t="str">
        <f>IF(Table1[[#This Row],[Is Data Valid]]=TRUE,IF(Table1[[#This Row],[Fetal Sex (Male, Female or Unknown)]]="Male",Backend!$C$6,IF(Table1[[#This Row],[Fetal Sex (Male, Female or Unknown)]]="Female",Backend!$C$7,IF(Table1[[#This Row],[Fetal Sex (Male, Female or Unknown)]]="Unknown",Backend!$C$8,"Error"))),"")</f>
        <v/>
      </c>
      <c r="F304" s="8" t="str">
        <f>IF(Table1[[#This Row],[Is Data Valid]]=TRUE,EXP(0.578+0.332*((Table1[[#This Row],[Gestation (days)]]+0.5)/7)-0.00354*((Table1[[#This Row],[Gestation (days)]]+0.5)/7)^2)*Table1[[#This Row],[BW40_3705]],"")</f>
        <v/>
      </c>
      <c r="G304" s="2" t="str">
        <f>IF(Table1[[#This Row],[Is Data Valid]]=TRUE,((Table1[[#This Row],[Birthweight (grams)]]/Table1[[#This Row],[BW_GA]])-1)/(Backend!$B$4/100*Table1[[#This Row],[BW40_3705]]),"")</f>
        <v/>
      </c>
      <c r="H304" s="7" t="str">
        <f>IF(Table1[[#This Row],[Is Data Valid]]=TRUE,((Table1[[#This Row],[Birthweight (grams)]]*0.9/Table1[[#This Row],[BW_GA]])-1)/(Backend!$B$4/100*Table1[[#This Row],[BW40_3705]]),"")</f>
        <v/>
      </c>
      <c r="I304" s="7" t="str">
        <f>IF(Table1[[#This Row],[Is Data Valid]]=TRUE,((Table1[[#This Row],[Birthweight (grams)]]*1.1/Table1[[#This Row],[BW_GA]])-1)/(Backend!$B$4/100*Table1[[#This Row],[BW40_3705]]),"")</f>
        <v/>
      </c>
      <c r="J304" s="7" t="str">
        <f>IF(Table1[[#This Row],[Is Data Valid]]=TRUE,_xlfn.NORM.S.DIST(Table1[[#This Row],[Birthweight Z-Score]],TRUE)*100,"")</f>
        <v/>
      </c>
      <c r="K304" s="7" t="str">
        <f>IF(Table1[[#This Row],[Is Data Valid]]=TRUE,_xlfn.NORM.S.DIST(Table1[[#This Row],[Birthweight Z-Score (BW-10%)]],TRUE)*100,"")</f>
        <v/>
      </c>
      <c r="L304" s="7" t="str">
        <f>IF(Table1[[#This Row],[Is Data Valid]]=TRUE,_xlfn.NORM.S.DIST(Table1[[#This Row],[Birthweight Z-Score (BW+10%)]],TRUE)*100,"")</f>
        <v/>
      </c>
    </row>
    <row r="305" spans="1:12" x14ac:dyDescent="0.35">
      <c r="A305" s="3"/>
      <c r="B305" s="2"/>
      <c r="C305" s="2"/>
      <c r="D305" s="2" t="b">
        <f>IF(AND(NOT(ISBLANK(Table1[[#This Row],[Fetal Sex (Male, Female or Unknown)]])),ISNUMBER(Table1[[#This Row],[Birthweight (grams)]]),ISNUMBER(Table1[[#This Row],[Gestation (days)]])),TRUE,FALSE)</f>
        <v>0</v>
      </c>
      <c r="E305" s="2" t="str">
        <f>IF(Table1[[#This Row],[Is Data Valid]]=TRUE,IF(Table1[[#This Row],[Fetal Sex (Male, Female or Unknown)]]="Male",Backend!$C$6,IF(Table1[[#This Row],[Fetal Sex (Male, Female or Unknown)]]="Female",Backend!$C$7,IF(Table1[[#This Row],[Fetal Sex (Male, Female or Unknown)]]="Unknown",Backend!$C$8,"Error"))),"")</f>
        <v/>
      </c>
      <c r="F305" s="8" t="str">
        <f>IF(Table1[[#This Row],[Is Data Valid]]=TRUE,EXP(0.578+0.332*((Table1[[#This Row],[Gestation (days)]]+0.5)/7)-0.00354*((Table1[[#This Row],[Gestation (days)]]+0.5)/7)^2)*Table1[[#This Row],[BW40_3705]],"")</f>
        <v/>
      </c>
      <c r="G305" s="2" t="str">
        <f>IF(Table1[[#This Row],[Is Data Valid]]=TRUE,((Table1[[#This Row],[Birthweight (grams)]]/Table1[[#This Row],[BW_GA]])-1)/(Backend!$B$4/100*Table1[[#This Row],[BW40_3705]]),"")</f>
        <v/>
      </c>
      <c r="H305" s="7" t="str">
        <f>IF(Table1[[#This Row],[Is Data Valid]]=TRUE,((Table1[[#This Row],[Birthweight (grams)]]*0.9/Table1[[#This Row],[BW_GA]])-1)/(Backend!$B$4/100*Table1[[#This Row],[BW40_3705]]),"")</f>
        <v/>
      </c>
      <c r="I305" s="7" t="str">
        <f>IF(Table1[[#This Row],[Is Data Valid]]=TRUE,((Table1[[#This Row],[Birthweight (grams)]]*1.1/Table1[[#This Row],[BW_GA]])-1)/(Backend!$B$4/100*Table1[[#This Row],[BW40_3705]]),"")</f>
        <v/>
      </c>
      <c r="J305" s="7" t="str">
        <f>IF(Table1[[#This Row],[Is Data Valid]]=TRUE,_xlfn.NORM.S.DIST(Table1[[#This Row],[Birthweight Z-Score]],TRUE)*100,"")</f>
        <v/>
      </c>
      <c r="K305" s="7" t="str">
        <f>IF(Table1[[#This Row],[Is Data Valid]]=TRUE,_xlfn.NORM.S.DIST(Table1[[#This Row],[Birthweight Z-Score (BW-10%)]],TRUE)*100,"")</f>
        <v/>
      </c>
      <c r="L305" s="7" t="str">
        <f>IF(Table1[[#This Row],[Is Data Valid]]=TRUE,_xlfn.NORM.S.DIST(Table1[[#This Row],[Birthweight Z-Score (BW+10%)]],TRUE)*100,"")</f>
        <v/>
      </c>
    </row>
    <row r="306" spans="1:12" x14ac:dyDescent="0.35">
      <c r="A306" s="3"/>
      <c r="B306" s="2"/>
      <c r="C306" s="2"/>
      <c r="D306" s="2" t="b">
        <f>IF(AND(NOT(ISBLANK(Table1[[#This Row],[Fetal Sex (Male, Female or Unknown)]])),ISNUMBER(Table1[[#This Row],[Birthweight (grams)]]),ISNUMBER(Table1[[#This Row],[Gestation (days)]])),TRUE,FALSE)</f>
        <v>0</v>
      </c>
      <c r="E306" s="2" t="str">
        <f>IF(Table1[[#This Row],[Is Data Valid]]=TRUE,IF(Table1[[#This Row],[Fetal Sex (Male, Female or Unknown)]]="Male",Backend!$C$6,IF(Table1[[#This Row],[Fetal Sex (Male, Female or Unknown)]]="Female",Backend!$C$7,IF(Table1[[#This Row],[Fetal Sex (Male, Female or Unknown)]]="Unknown",Backend!$C$8,"Error"))),"")</f>
        <v/>
      </c>
      <c r="F306" s="8" t="str">
        <f>IF(Table1[[#This Row],[Is Data Valid]]=TRUE,EXP(0.578+0.332*((Table1[[#This Row],[Gestation (days)]]+0.5)/7)-0.00354*((Table1[[#This Row],[Gestation (days)]]+0.5)/7)^2)*Table1[[#This Row],[BW40_3705]],"")</f>
        <v/>
      </c>
      <c r="G306" s="2" t="str">
        <f>IF(Table1[[#This Row],[Is Data Valid]]=TRUE,((Table1[[#This Row],[Birthweight (grams)]]/Table1[[#This Row],[BW_GA]])-1)/(Backend!$B$4/100*Table1[[#This Row],[BW40_3705]]),"")</f>
        <v/>
      </c>
      <c r="H306" s="7" t="str">
        <f>IF(Table1[[#This Row],[Is Data Valid]]=TRUE,((Table1[[#This Row],[Birthweight (grams)]]*0.9/Table1[[#This Row],[BW_GA]])-1)/(Backend!$B$4/100*Table1[[#This Row],[BW40_3705]]),"")</f>
        <v/>
      </c>
      <c r="I306" s="7" t="str">
        <f>IF(Table1[[#This Row],[Is Data Valid]]=TRUE,((Table1[[#This Row],[Birthweight (grams)]]*1.1/Table1[[#This Row],[BW_GA]])-1)/(Backend!$B$4/100*Table1[[#This Row],[BW40_3705]]),"")</f>
        <v/>
      </c>
      <c r="J306" s="7" t="str">
        <f>IF(Table1[[#This Row],[Is Data Valid]]=TRUE,_xlfn.NORM.S.DIST(Table1[[#This Row],[Birthweight Z-Score]],TRUE)*100,"")</f>
        <v/>
      </c>
      <c r="K306" s="7" t="str">
        <f>IF(Table1[[#This Row],[Is Data Valid]]=TRUE,_xlfn.NORM.S.DIST(Table1[[#This Row],[Birthweight Z-Score (BW-10%)]],TRUE)*100,"")</f>
        <v/>
      </c>
      <c r="L306" s="7" t="str">
        <f>IF(Table1[[#This Row],[Is Data Valid]]=TRUE,_xlfn.NORM.S.DIST(Table1[[#This Row],[Birthweight Z-Score (BW+10%)]],TRUE)*100,"")</f>
        <v/>
      </c>
    </row>
    <row r="307" spans="1:12" x14ac:dyDescent="0.35">
      <c r="A307" s="3"/>
      <c r="B307" s="2"/>
      <c r="C307" s="2"/>
      <c r="D307" s="2" t="b">
        <f>IF(AND(NOT(ISBLANK(Table1[[#This Row],[Fetal Sex (Male, Female or Unknown)]])),ISNUMBER(Table1[[#This Row],[Birthweight (grams)]]),ISNUMBER(Table1[[#This Row],[Gestation (days)]])),TRUE,FALSE)</f>
        <v>0</v>
      </c>
      <c r="E307" s="2" t="str">
        <f>IF(Table1[[#This Row],[Is Data Valid]]=TRUE,IF(Table1[[#This Row],[Fetal Sex (Male, Female or Unknown)]]="Male",Backend!$C$6,IF(Table1[[#This Row],[Fetal Sex (Male, Female or Unknown)]]="Female",Backend!$C$7,IF(Table1[[#This Row],[Fetal Sex (Male, Female or Unknown)]]="Unknown",Backend!$C$8,"Error"))),"")</f>
        <v/>
      </c>
      <c r="F307" s="8" t="str">
        <f>IF(Table1[[#This Row],[Is Data Valid]]=TRUE,EXP(0.578+0.332*((Table1[[#This Row],[Gestation (days)]]+0.5)/7)-0.00354*((Table1[[#This Row],[Gestation (days)]]+0.5)/7)^2)*Table1[[#This Row],[BW40_3705]],"")</f>
        <v/>
      </c>
      <c r="G307" s="2" t="str">
        <f>IF(Table1[[#This Row],[Is Data Valid]]=TRUE,((Table1[[#This Row],[Birthweight (grams)]]/Table1[[#This Row],[BW_GA]])-1)/(Backend!$B$4/100*Table1[[#This Row],[BW40_3705]]),"")</f>
        <v/>
      </c>
      <c r="H307" s="7" t="str">
        <f>IF(Table1[[#This Row],[Is Data Valid]]=TRUE,((Table1[[#This Row],[Birthweight (grams)]]*0.9/Table1[[#This Row],[BW_GA]])-1)/(Backend!$B$4/100*Table1[[#This Row],[BW40_3705]]),"")</f>
        <v/>
      </c>
      <c r="I307" s="7" t="str">
        <f>IF(Table1[[#This Row],[Is Data Valid]]=TRUE,((Table1[[#This Row],[Birthweight (grams)]]*1.1/Table1[[#This Row],[BW_GA]])-1)/(Backend!$B$4/100*Table1[[#This Row],[BW40_3705]]),"")</f>
        <v/>
      </c>
      <c r="J307" s="7" t="str">
        <f>IF(Table1[[#This Row],[Is Data Valid]]=TRUE,_xlfn.NORM.S.DIST(Table1[[#This Row],[Birthweight Z-Score]],TRUE)*100,"")</f>
        <v/>
      </c>
      <c r="K307" s="7" t="str">
        <f>IF(Table1[[#This Row],[Is Data Valid]]=TRUE,_xlfn.NORM.S.DIST(Table1[[#This Row],[Birthweight Z-Score (BW-10%)]],TRUE)*100,"")</f>
        <v/>
      </c>
      <c r="L307" s="7" t="str">
        <f>IF(Table1[[#This Row],[Is Data Valid]]=TRUE,_xlfn.NORM.S.DIST(Table1[[#This Row],[Birthweight Z-Score (BW+10%)]],TRUE)*100,"")</f>
        <v/>
      </c>
    </row>
    <row r="308" spans="1:12" x14ac:dyDescent="0.35">
      <c r="A308" s="3"/>
      <c r="B308" s="2"/>
      <c r="C308" s="2"/>
      <c r="D308" s="2" t="b">
        <f>IF(AND(NOT(ISBLANK(Table1[[#This Row],[Fetal Sex (Male, Female or Unknown)]])),ISNUMBER(Table1[[#This Row],[Birthweight (grams)]]),ISNUMBER(Table1[[#This Row],[Gestation (days)]])),TRUE,FALSE)</f>
        <v>0</v>
      </c>
      <c r="E308" s="2" t="str">
        <f>IF(Table1[[#This Row],[Is Data Valid]]=TRUE,IF(Table1[[#This Row],[Fetal Sex (Male, Female or Unknown)]]="Male",Backend!$C$6,IF(Table1[[#This Row],[Fetal Sex (Male, Female or Unknown)]]="Female",Backend!$C$7,IF(Table1[[#This Row],[Fetal Sex (Male, Female or Unknown)]]="Unknown",Backend!$C$8,"Error"))),"")</f>
        <v/>
      </c>
      <c r="F308" s="8" t="str">
        <f>IF(Table1[[#This Row],[Is Data Valid]]=TRUE,EXP(0.578+0.332*((Table1[[#This Row],[Gestation (days)]]+0.5)/7)-0.00354*((Table1[[#This Row],[Gestation (days)]]+0.5)/7)^2)*Table1[[#This Row],[BW40_3705]],"")</f>
        <v/>
      </c>
      <c r="G308" s="2" t="str">
        <f>IF(Table1[[#This Row],[Is Data Valid]]=TRUE,((Table1[[#This Row],[Birthweight (grams)]]/Table1[[#This Row],[BW_GA]])-1)/(Backend!$B$4/100*Table1[[#This Row],[BW40_3705]]),"")</f>
        <v/>
      </c>
      <c r="H308" s="7" t="str">
        <f>IF(Table1[[#This Row],[Is Data Valid]]=TRUE,((Table1[[#This Row],[Birthweight (grams)]]*0.9/Table1[[#This Row],[BW_GA]])-1)/(Backend!$B$4/100*Table1[[#This Row],[BW40_3705]]),"")</f>
        <v/>
      </c>
      <c r="I308" s="7" t="str">
        <f>IF(Table1[[#This Row],[Is Data Valid]]=TRUE,((Table1[[#This Row],[Birthweight (grams)]]*1.1/Table1[[#This Row],[BW_GA]])-1)/(Backend!$B$4/100*Table1[[#This Row],[BW40_3705]]),"")</f>
        <v/>
      </c>
      <c r="J308" s="7" t="str">
        <f>IF(Table1[[#This Row],[Is Data Valid]]=TRUE,_xlfn.NORM.S.DIST(Table1[[#This Row],[Birthweight Z-Score]],TRUE)*100,"")</f>
        <v/>
      </c>
      <c r="K308" s="7" t="str">
        <f>IF(Table1[[#This Row],[Is Data Valid]]=TRUE,_xlfn.NORM.S.DIST(Table1[[#This Row],[Birthweight Z-Score (BW-10%)]],TRUE)*100,"")</f>
        <v/>
      </c>
      <c r="L308" s="7" t="str">
        <f>IF(Table1[[#This Row],[Is Data Valid]]=TRUE,_xlfn.NORM.S.DIST(Table1[[#This Row],[Birthweight Z-Score (BW+10%)]],TRUE)*100,"")</f>
        <v/>
      </c>
    </row>
    <row r="309" spans="1:12" x14ac:dyDescent="0.35">
      <c r="A309" s="3"/>
      <c r="B309" s="2"/>
      <c r="C309" s="2"/>
      <c r="D309" s="2" t="b">
        <f>IF(AND(NOT(ISBLANK(Table1[[#This Row],[Fetal Sex (Male, Female or Unknown)]])),ISNUMBER(Table1[[#This Row],[Birthweight (grams)]]),ISNUMBER(Table1[[#This Row],[Gestation (days)]])),TRUE,FALSE)</f>
        <v>0</v>
      </c>
      <c r="E309" s="2" t="str">
        <f>IF(Table1[[#This Row],[Is Data Valid]]=TRUE,IF(Table1[[#This Row],[Fetal Sex (Male, Female or Unknown)]]="Male",Backend!$C$6,IF(Table1[[#This Row],[Fetal Sex (Male, Female or Unknown)]]="Female",Backend!$C$7,IF(Table1[[#This Row],[Fetal Sex (Male, Female or Unknown)]]="Unknown",Backend!$C$8,"Error"))),"")</f>
        <v/>
      </c>
      <c r="F309" s="8" t="str">
        <f>IF(Table1[[#This Row],[Is Data Valid]]=TRUE,EXP(0.578+0.332*((Table1[[#This Row],[Gestation (days)]]+0.5)/7)-0.00354*((Table1[[#This Row],[Gestation (days)]]+0.5)/7)^2)*Table1[[#This Row],[BW40_3705]],"")</f>
        <v/>
      </c>
      <c r="G309" s="2" t="str">
        <f>IF(Table1[[#This Row],[Is Data Valid]]=TRUE,((Table1[[#This Row],[Birthweight (grams)]]/Table1[[#This Row],[BW_GA]])-1)/(Backend!$B$4/100*Table1[[#This Row],[BW40_3705]]),"")</f>
        <v/>
      </c>
      <c r="H309" s="7" t="str">
        <f>IF(Table1[[#This Row],[Is Data Valid]]=TRUE,((Table1[[#This Row],[Birthweight (grams)]]*0.9/Table1[[#This Row],[BW_GA]])-1)/(Backend!$B$4/100*Table1[[#This Row],[BW40_3705]]),"")</f>
        <v/>
      </c>
      <c r="I309" s="7" t="str">
        <f>IF(Table1[[#This Row],[Is Data Valid]]=TRUE,((Table1[[#This Row],[Birthweight (grams)]]*1.1/Table1[[#This Row],[BW_GA]])-1)/(Backend!$B$4/100*Table1[[#This Row],[BW40_3705]]),"")</f>
        <v/>
      </c>
      <c r="J309" s="7" t="str">
        <f>IF(Table1[[#This Row],[Is Data Valid]]=TRUE,_xlfn.NORM.S.DIST(Table1[[#This Row],[Birthweight Z-Score]],TRUE)*100,"")</f>
        <v/>
      </c>
      <c r="K309" s="7" t="str">
        <f>IF(Table1[[#This Row],[Is Data Valid]]=TRUE,_xlfn.NORM.S.DIST(Table1[[#This Row],[Birthweight Z-Score (BW-10%)]],TRUE)*100,"")</f>
        <v/>
      </c>
      <c r="L309" s="7" t="str">
        <f>IF(Table1[[#This Row],[Is Data Valid]]=TRUE,_xlfn.NORM.S.DIST(Table1[[#This Row],[Birthweight Z-Score (BW+10%)]],TRUE)*100,"")</f>
        <v/>
      </c>
    </row>
    <row r="310" spans="1:12" x14ac:dyDescent="0.35">
      <c r="A310" s="3"/>
      <c r="B310" s="2"/>
      <c r="C310" s="2"/>
      <c r="D310" s="2" t="b">
        <f>IF(AND(NOT(ISBLANK(Table1[[#This Row],[Fetal Sex (Male, Female or Unknown)]])),ISNUMBER(Table1[[#This Row],[Birthweight (grams)]]),ISNUMBER(Table1[[#This Row],[Gestation (days)]])),TRUE,FALSE)</f>
        <v>0</v>
      </c>
      <c r="E310" s="2" t="str">
        <f>IF(Table1[[#This Row],[Is Data Valid]]=TRUE,IF(Table1[[#This Row],[Fetal Sex (Male, Female or Unknown)]]="Male",Backend!$C$6,IF(Table1[[#This Row],[Fetal Sex (Male, Female or Unknown)]]="Female",Backend!$C$7,IF(Table1[[#This Row],[Fetal Sex (Male, Female or Unknown)]]="Unknown",Backend!$C$8,"Error"))),"")</f>
        <v/>
      </c>
      <c r="F310" s="8" t="str">
        <f>IF(Table1[[#This Row],[Is Data Valid]]=TRUE,EXP(0.578+0.332*((Table1[[#This Row],[Gestation (days)]]+0.5)/7)-0.00354*((Table1[[#This Row],[Gestation (days)]]+0.5)/7)^2)*Table1[[#This Row],[BW40_3705]],"")</f>
        <v/>
      </c>
      <c r="G310" s="2" t="str">
        <f>IF(Table1[[#This Row],[Is Data Valid]]=TRUE,((Table1[[#This Row],[Birthweight (grams)]]/Table1[[#This Row],[BW_GA]])-1)/(Backend!$B$4/100*Table1[[#This Row],[BW40_3705]]),"")</f>
        <v/>
      </c>
      <c r="H310" s="7" t="str">
        <f>IF(Table1[[#This Row],[Is Data Valid]]=TRUE,((Table1[[#This Row],[Birthweight (grams)]]*0.9/Table1[[#This Row],[BW_GA]])-1)/(Backend!$B$4/100*Table1[[#This Row],[BW40_3705]]),"")</f>
        <v/>
      </c>
      <c r="I310" s="7" t="str">
        <f>IF(Table1[[#This Row],[Is Data Valid]]=TRUE,((Table1[[#This Row],[Birthweight (grams)]]*1.1/Table1[[#This Row],[BW_GA]])-1)/(Backend!$B$4/100*Table1[[#This Row],[BW40_3705]]),"")</f>
        <v/>
      </c>
      <c r="J310" s="7" t="str">
        <f>IF(Table1[[#This Row],[Is Data Valid]]=TRUE,_xlfn.NORM.S.DIST(Table1[[#This Row],[Birthweight Z-Score]],TRUE)*100,"")</f>
        <v/>
      </c>
      <c r="K310" s="7" t="str">
        <f>IF(Table1[[#This Row],[Is Data Valid]]=TRUE,_xlfn.NORM.S.DIST(Table1[[#This Row],[Birthweight Z-Score (BW-10%)]],TRUE)*100,"")</f>
        <v/>
      </c>
      <c r="L310" s="7" t="str">
        <f>IF(Table1[[#This Row],[Is Data Valid]]=TRUE,_xlfn.NORM.S.DIST(Table1[[#This Row],[Birthweight Z-Score (BW+10%)]],TRUE)*100,"")</f>
        <v/>
      </c>
    </row>
    <row r="311" spans="1:12" x14ac:dyDescent="0.35">
      <c r="A311" s="3"/>
      <c r="B311" s="2"/>
      <c r="C311" s="2"/>
      <c r="D311" s="2" t="b">
        <f>IF(AND(NOT(ISBLANK(Table1[[#This Row],[Fetal Sex (Male, Female or Unknown)]])),ISNUMBER(Table1[[#This Row],[Birthweight (grams)]]),ISNUMBER(Table1[[#This Row],[Gestation (days)]])),TRUE,FALSE)</f>
        <v>0</v>
      </c>
      <c r="E311" s="2" t="str">
        <f>IF(Table1[[#This Row],[Is Data Valid]]=TRUE,IF(Table1[[#This Row],[Fetal Sex (Male, Female or Unknown)]]="Male",Backend!$C$6,IF(Table1[[#This Row],[Fetal Sex (Male, Female or Unknown)]]="Female",Backend!$C$7,IF(Table1[[#This Row],[Fetal Sex (Male, Female or Unknown)]]="Unknown",Backend!$C$8,"Error"))),"")</f>
        <v/>
      </c>
      <c r="F311" s="8" t="str">
        <f>IF(Table1[[#This Row],[Is Data Valid]]=TRUE,EXP(0.578+0.332*((Table1[[#This Row],[Gestation (days)]]+0.5)/7)-0.00354*((Table1[[#This Row],[Gestation (days)]]+0.5)/7)^2)*Table1[[#This Row],[BW40_3705]],"")</f>
        <v/>
      </c>
      <c r="G311" s="2" t="str">
        <f>IF(Table1[[#This Row],[Is Data Valid]]=TRUE,((Table1[[#This Row],[Birthweight (grams)]]/Table1[[#This Row],[BW_GA]])-1)/(Backend!$B$4/100*Table1[[#This Row],[BW40_3705]]),"")</f>
        <v/>
      </c>
      <c r="H311" s="7" t="str">
        <f>IF(Table1[[#This Row],[Is Data Valid]]=TRUE,((Table1[[#This Row],[Birthweight (grams)]]*0.9/Table1[[#This Row],[BW_GA]])-1)/(Backend!$B$4/100*Table1[[#This Row],[BW40_3705]]),"")</f>
        <v/>
      </c>
      <c r="I311" s="7" t="str">
        <f>IF(Table1[[#This Row],[Is Data Valid]]=TRUE,((Table1[[#This Row],[Birthweight (grams)]]*1.1/Table1[[#This Row],[BW_GA]])-1)/(Backend!$B$4/100*Table1[[#This Row],[BW40_3705]]),"")</f>
        <v/>
      </c>
      <c r="J311" s="7" t="str">
        <f>IF(Table1[[#This Row],[Is Data Valid]]=TRUE,_xlfn.NORM.S.DIST(Table1[[#This Row],[Birthweight Z-Score]],TRUE)*100,"")</f>
        <v/>
      </c>
      <c r="K311" s="7" t="str">
        <f>IF(Table1[[#This Row],[Is Data Valid]]=TRUE,_xlfn.NORM.S.DIST(Table1[[#This Row],[Birthweight Z-Score (BW-10%)]],TRUE)*100,"")</f>
        <v/>
      </c>
      <c r="L311" s="7" t="str">
        <f>IF(Table1[[#This Row],[Is Data Valid]]=TRUE,_xlfn.NORM.S.DIST(Table1[[#This Row],[Birthweight Z-Score (BW+10%)]],TRUE)*100,"")</f>
        <v/>
      </c>
    </row>
    <row r="312" spans="1:12" x14ac:dyDescent="0.35">
      <c r="A312" s="3"/>
      <c r="B312" s="2"/>
      <c r="C312" s="2"/>
      <c r="D312" s="2" t="b">
        <f>IF(AND(NOT(ISBLANK(Table1[[#This Row],[Fetal Sex (Male, Female or Unknown)]])),ISNUMBER(Table1[[#This Row],[Birthweight (grams)]]),ISNUMBER(Table1[[#This Row],[Gestation (days)]])),TRUE,FALSE)</f>
        <v>0</v>
      </c>
      <c r="E312" s="2" t="str">
        <f>IF(Table1[[#This Row],[Is Data Valid]]=TRUE,IF(Table1[[#This Row],[Fetal Sex (Male, Female or Unknown)]]="Male",Backend!$C$6,IF(Table1[[#This Row],[Fetal Sex (Male, Female or Unknown)]]="Female",Backend!$C$7,IF(Table1[[#This Row],[Fetal Sex (Male, Female or Unknown)]]="Unknown",Backend!$C$8,"Error"))),"")</f>
        <v/>
      </c>
      <c r="F312" s="8" t="str">
        <f>IF(Table1[[#This Row],[Is Data Valid]]=TRUE,EXP(0.578+0.332*((Table1[[#This Row],[Gestation (days)]]+0.5)/7)-0.00354*((Table1[[#This Row],[Gestation (days)]]+0.5)/7)^2)*Table1[[#This Row],[BW40_3705]],"")</f>
        <v/>
      </c>
      <c r="G312" s="2" t="str">
        <f>IF(Table1[[#This Row],[Is Data Valid]]=TRUE,((Table1[[#This Row],[Birthweight (grams)]]/Table1[[#This Row],[BW_GA]])-1)/(Backend!$B$4/100*Table1[[#This Row],[BW40_3705]]),"")</f>
        <v/>
      </c>
      <c r="H312" s="7" t="str">
        <f>IF(Table1[[#This Row],[Is Data Valid]]=TRUE,((Table1[[#This Row],[Birthweight (grams)]]*0.9/Table1[[#This Row],[BW_GA]])-1)/(Backend!$B$4/100*Table1[[#This Row],[BW40_3705]]),"")</f>
        <v/>
      </c>
      <c r="I312" s="7" t="str">
        <f>IF(Table1[[#This Row],[Is Data Valid]]=TRUE,((Table1[[#This Row],[Birthweight (grams)]]*1.1/Table1[[#This Row],[BW_GA]])-1)/(Backend!$B$4/100*Table1[[#This Row],[BW40_3705]]),"")</f>
        <v/>
      </c>
      <c r="J312" s="7" t="str">
        <f>IF(Table1[[#This Row],[Is Data Valid]]=TRUE,_xlfn.NORM.S.DIST(Table1[[#This Row],[Birthweight Z-Score]],TRUE)*100,"")</f>
        <v/>
      </c>
      <c r="K312" s="7" t="str">
        <f>IF(Table1[[#This Row],[Is Data Valid]]=TRUE,_xlfn.NORM.S.DIST(Table1[[#This Row],[Birthweight Z-Score (BW-10%)]],TRUE)*100,"")</f>
        <v/>
      </c>
      <c r="L312" s="7" t="str">
        <f>IF(Table1[[#This Row],[Is Data Valid]]=TRUE,_xlfn.NORM.S.DIST(Table1[[#This Row],[Birthweight Z-Score (BW+10%)]],TRUE)*100,"")</f>
        <v/>
      </c>
    </row>
    <row r="313" spans="1:12" x14ac:dyDescent="0.35">
      <c r="A313" s="3"/>
      <c r="B313" s="2"/>
      <c r="C313" s="2"/>
      <c r="D313" s="2" t="b">
        <f>IF(AND(NOT(ISBLANK(Table1[[#This Row],[Fetal Sex (Male, Female or Unknown)]])),ISNUMBER(Table1[[#This Row],[Birthweight (grams)]]),ISNUMBER(Table1[[#This Row],[Gestation (days)]])),TRUE,FALSE)</f>
        <v>0</v>
      </c>
      <c r="E313" s="2" t="str">
        <f>IF(Table1[[#This Row],[Is Data Valid]]=TRUE,IF(Table1[[#This Row],[Fetal Sex (Male, Female or Unknown)]]="Male",Backend!$C$6,IF(Table1[[#This Row],[Fetal Sex (Male, Female or Unknown)]]="Female",Backend!$C$7,IF(Table1[[#This Row],[Fetal Sex (Male, Female or Unknown)]]="Unknown",Backend!$C$8,"Error"))),"")</f>
        <v/>
      </c>
      <c r="F313" s="8" t="str">
        <f>IF(Table1[[#This Row],[Is Data Valid]]=TRUE,EXP(0.578+0.332*((Table1[[#This Row],[Gestation (days)]]+0.5)/7)-0.00354*((Table1[[#This Row],[Gestation (days)]]+0.5)/7)^2)*Table1[[#This Row],[BW40_3705]],"")</f>
        <v/>
      </c>
      <c r="G313" s="2" t="str">
        <f>IF(Table1[[#This Row],[Is Data Valid]]=TRUE,((Table1[[#This Row],[Birthweight (grams)]]/Table1[[#This Row],[BW_GA]])-1)/(Backend!$B$4/100*Table1[[#This Row],[BW40_3705]]),"")</f>
        <v/>
      </c>
      <c r="H313" s="7" t="str">
        <f>IF(Table1[[#This Row],[Is Data Valid]]=TRUE,((Table1[[#This Row],[Birthweight (grams)]]*0.9/Table1[[#This Row],[BW_GA]])-1)/(Backend!$B$4/100*Table1[[#This Row],[BW40_3705]]),"")</f>
        <v/>
      </c>
      <c r="I313" s="7" t="str">
        <f>IF(Table1[[#This Row],[Is Data Valid]]=TRUE,((Table1[[#This Row],[Birthweight (grams)]]*1.1/Table1[[#This Row],[BW_GA]])-1)/(Backend!$B$4/100*Table1[[#This Row],[BW40_3705]]),"")</f>
        <v/>
      </c>
      <c r="J313" s="7" t="str">
        <f>IF(Table1[[#This Row],[Is Data Valid]]=TRUE,_xlfn.NORM.S.DIST(Table1[[#This Row],[Birthweight Z-Score]],TRUE)*100,"")</f>
        <v/>
      </c>
      <c r="K313" s="7" t="str">
        <f>IF(Table1[[#This Row],[Is Data Valid]]=TRUE,_xlfn.NORM.S.DIST(Table1[[#This Row],[Birthweight Z-Score (BW-10%)]],TRUE)*100,"")</f>
        <v/>
      </c>
      <c r="L313" s="7" t="str">
        <f>IF(Table1[[#This Row],[Is Data Valid]]=TRUE,_xlfn.NORM.S.DIST(Table1[[#This Row],[Birthweight Z-Score (BW+10%)]],TRUE)*100,"")</f>
        <v/>
      </c>
    </row>
    <row r="314" spans="1:12" x14ac:dyDescent="0.35">
      <c r="A314" s="3"/>
      <c r="B314" s="2"/>
      <c r="C314" s="2"/>
      <c r="D314" s="2" t="b">
        <f>IF(AND(NOT(ISBLANK(Table1[[#This Row],[Fetal Sex (Male, Female or Unknown)]])),ISNUMBER(Table1[[#This Row],[Birthweight (grams)]]),ISNUMBER(Table1[[#This Row],[Gestation (days)]])),TRUE,FALSE)</f>
        <v>0</v>
      </c>
      <c r="E314" s="2" t="str">
        <f>IF(Table1[[#This Row],[Is Data Valid]]=TRUE,IF(Table1[[#This Row],[Fetal Sex (Male, Female or Unknown)]]="Male",Backend!$C$6,IF(Table1[[#This Row],[Fetal Sex (Male, Female or Unknown)]]="Female",Backend!$C$7,IF(Table1[[#This Row],[Fetal Sex (Male, Female or Unknown)]]="Unknown",Backend!$C$8,"Error"))),"")</f>
        <v/>
      </c>
      <c r="F314" s="8" t="str">
        <f>IF(Table1[[#This Row],[Is Data Valid]]=TRUE,EXP(0.578+0.332*((Table1[[#This Row],[Gestation (days)]]+0.5)/7)-0.00354*((Table1[[#This Row],[Gestation (days)]]+0.5)/7)^2)*Table1[[#This Row],[BW40_3705]],"")</f>
        <v/>
      </c>
      <c r="G314" s="2" t="str">
        <f>IF(Table1[[#This Row],[Is Data Valid]]=TRUE,((Table1[[#This Row],[Birthweight (grams)]]/Table1[[#This Row],[BW_GA]])-1)/(Backend!$B$4/100*Table1[[#This Row],[BW40_3705]]),"")</f>
        <v/>
      </c>
      <c r="H314" s="7" t="str">
        <f>IF(Table1[[#This Row],[Is Data Valid]]=TRUE,((Table1[[#This Row],[Birthweight (grams)]]*0.9/Table1[[#This Row],[BW_GA]])-1)/(Backend!$B$4/100*Table1[[#This Row],[BW40_3705]]),"")</f>
        <v/>
      </c>
      <c r="I314" s="7" t="str">
        <f>IF(Table1[[#This Row],[Is Data Valid]]=TRUE,((Table1[[#This Row],[Birthweight (grams)]]*1.1/Table1[[#This Row],[BW_GA]])-1)/(Backend!$B$4/100*Table1[[#This Row],[BW40_3705]]),"")</f>
        <v/>
      </c>
      <c r="J314" s="7" t="str">
        <f>IF(Table1[[#This Row],[Is Data Valid]]=TRUE,_xlfn.NORM.S.DIST(Table1[[#This Row],[Birthweight Z-Score]],TRUE)*100,"")</f>
        <v/>
      </c>
      <c r="K314" s="7" t="str">
        <f>IF(Table1[[#This Row],[Is Data Valid]]=TRUE,_xlfn.NORM.S.DIST(Table1[[#This Row],[Birthweight Z-Score (BW-10%)]],TRUE)*100,"")</f>
        <v/>
      </c>
      <c r="L314" s="7" t="str">
        <f>IF(Table1[[#This Row],[Is Data Valid]]=TRUE,_xlfn.NORM.S.DIST(Table1[[#This Row],[Birthweight Z-Score (BW+10%)]],TRUE)*100,"")</f>
        <v/>
      </c>
    </row>
    <row r="315" spans="1:12" x14ac:dyDescent="0.35">
      <c r="A315" s="3"/>
      <c r="B315" s="2"/>
      <c r="C315" s="2"/>
      <c r="D315" s="2" t="b">
        <f>IF(AND(NOT(ISBLANK(Table1[[#This Row],[Fetal Sex (Male, Female or Unknown)]])),ISNUMBER(Table1[[#This Row],[Birthweight (grams)]]),ISNUMBER(Table1[[#This Row],[Gestation (days)]])),TRUE,FALSE)</f>
        <v>0</v>
      </c>
      <c r="E315" s="2" t="str">
        <f>IF(Table1[[#This Row],[Is Data Valid]]=TRUE,IF(Table1[[#This Row],[Fetal Sex (Male, Female or Unknown)]]="Male",Backend!$C$6,IF(Table1[[#This Row],[Fetal Sex (Male, Female or Unknown)]]="Female",Backend!$C$7,IF(Table1[[#This Row],[Fetal Sex (Male, Female or Unknown)]]="Unknown",Backend!$C$8,"Error"))),"")</f>
        <v/>
      </c>
      <c r="F315" s="8" t="str">
        <f>IF(Table1[[#This Row],[Is Data Valid]]=TRUE,EXP(0.578+0.332*((Table1[[#This Row],[Gestation (days)]]+0.5)/7)-0.00354*((Table1[[#This Row],[Gestation (days)]]+0.5)/7)^2)*Table1[[#This Row],[BW40_3705]],"")</f>
        <v/>
      </c>
      <c r="G315" s="2" t="str">
        <f>IF(Table1[[#This Row],[Is Data Valid]]=TRUE,((Table1[[#This Row],[Birthweight (grams)]]/Table1[[#This Row],[BW_GA]])-1)/(Backend!$B$4/100*Table1[[#This Row],[BW40_3705]]),"")</f>
        <v/>
      </c>
      <c r="H315" s="7" t="str">
        <f>IF(Table1[[#This Row],[Is Data Valid]]=TRUE,((Table1[[#This Row],[Birthweight (grams)]]*0.9/Table1[[#This Row],[BW_GA]])-1)/(Backend!$B$4/100*Table1[[#This Row],[BW40_3705]]),"")</f>
        <v/>
      </c>
      <c r="I315" s="7" t="str">
        <f>IF(Table1[[#This Row],[Is Data Valid]]=TRUE,((Table1[[#This Row],[Birthweight (grams)]]*1.1/Table1[[#This Row],[BW_GA]])-1)/(Backend!$B$4/100*Table1[[#This Row],[BW40_3705]]),"")</f>
        <v/>
      </c>
      <c r="J315" s="7" t="str">
        <f>IF(Table1[[#This Row],[Is Data Valid]]=TRUE,_xlfn.NORM.S.DIST(Table1[[#This Row],[Birthweight Z-Score]],TRUE)*100,"")</f>
        <v/>
      </c>
      <c r="K315" s="7" t="str">
        <f>IF(Table1[[#This Row],[Is Data Valid]]=TRUE,_xlfn.NORM.S.DIST(Table1[[#This Row],[Birthweight Z-Score (BW-10%)]],TRUE)*100,"")</f>
        <v/>
      </c>
      <c r="L315" s="7" t="str">
        <f>IF(Table1[[#This Row],[Is Data Valid]]=TRUE,_xlfn.NORM.S.DIST(Table1[[#This Row],[Birthweight Z-Score (BW+10%)]],TRUE)*100,"")</f>
        <v/>
      </c>
    </row>
    <row r="316" spans="1:12" x14ac:dyDescent="0.35">
      <c r="A316" s="3"/>
      <c r="B316" s="2"/>
      <c r="C316" s="2"/>
      <c r="D316" s="2" t="b">
        <f>IF(AND(NOT(ISBLANK(Table1[[#This Row],[Fetal Sex (Male, Female or Unknown)]])),ISNUMBER(Table1[[#This Row],[Birthweight (grams)]]),ISNUMBER(Table1[[#This Row],[Gestation (days)]])),TRUE,FALSE)</f>
        <v>0</v>
      </c>
      <c r="E316" s="2" t="str">
        <f>IF(Table1[[#This Row],[Is Data Valid]]=TRUE,IF(Table1[[#This Row],[Fetal Sex (Male, Female or Unknown)]]="Male",Backend!$C$6,IF(Table1[[#This Row],[Fetal Sex (Male, Female or Unknown)]]="Female",Backend!$C$7,IF(Table1[[#This Row],[Fetal Sex (Male, Female or Unknown)]]="Unknown",Backend!$C$8,"Error"))),"")</f>
        <v/>
      </c>
      <c r="F316" s="8" t="str">
        <f>IF(Table1[[#This Row],[Is Data Valid]]=TRUE,EXP(0.578+0.332*((Table1[[#This Row],[Gestation (days)]]+0.5)/7)-0.00354*((Table1[[#This Row],[Gestation (days)]]+0.5)/7)^2)*Table1[[#This Row],[BW40_3705]],"")</f>
        <v/>
      </c>
      <c r="G316" s="2" t="str">
        <f>IF(Table1[[#This Row],[Is Data Valid]]=TRUE,((Table1[[#This Row],[Birthweight (grams)]]/Table1[[#This Row],[BW_GA]])-1)/(Backend!$B$4/100*Table1[[#This Row],[BW40_3705]]),"")</f>
        <v/>
      </c>
      <c r="H316" s="7" t="str">
        <f>IF(Table1[[#This Row],[Is Data Valid]]=TRUE,((Table1[[#This Row],[Birthweight (grams)]]*0.9/Table1[[#This Row],[BW_GA]])-1)/(Backend!$B$4/100*Table1[[#This Row],[BW40_3705]]),"")</f>
        <v/>
      </c>
      <c r="I316" s="7" t="str">
        <f>IF(Table1[[#This Row],[Is Data Valid]]=TRUE,((Table1[[#This Row],[Birthweight (grams)]]*1.1/Table1[[#This Row],[BW_GA]])-1)/(Backend!$B$4/100*Table1[[#This Row],[BW40_3705]]),"")</f>
        <v/>
      </c>
      <c r="J316" s="7" t="str">
        <f>IF(Table1[[#This Row],[Is Data Valid]]=TRUE,_xlfn.NORM.S.DIST(Table1[[#This Row],[Birthweight Z-Score]],TRUE)*100,"")</f>
        <v/>
      </c>
      <c r="K316" s="7" t="str">
        <f>IF(Table1[[#This Row],[Is Data Valid]]=TRUE,_xlfn.NORM.S.DIST(Table1[[#This Row],[Birthweight Z-Score (BW-10%)]],TRUE)*100,"")</f>
        <v/>
      </c>
      <c r="L316" s="7" t="str">
        <f>IF(Table1[[#This Row],[Is Data Valid]]=TRUE,_xlfn.NORM.S.DIST(Table1[[#This Row],[Birthweight Z-Score (BW+10%)]],TRUE)*100,"")</f>
        <v/>
      </c>
    </row>
    <row r="317" spans="1:12" x14ac:dyDescent="0.35">
      <c r="A317" s="3"/>
      <c r="B317" s="2"/>
      <c r="C317" s="2"/>
      <c r="D317" s="2" t="b">
        <f>IF(AND(NOT(ISBLANK(Table1[[#This Row],[Fetal Sex (Male, Female or Unknown)]])),ISNUMBER(Table1[[#This Row],[Birthweight (grams)]]),ISNUMBER(Table1[[#This Row],[Gestation (days)]])),TRUE,FALSE)</f>
        <v>0</v>
      </c>
      <c r="E317" s="2" t="str">
        <f>IF(Table1[[#This Row],[Is Data Valid]]=TRUE,IF(Table1[[#This Row],[Fetal Sex (Male, Female or Unknown)]]="Male",Backend!$C$6,IF(Table1[[#This Row],[Fetal Sex (Male, Female or Unknown)]]="Female",Backend!$C$7,IF(Table1[[#This Row],[Fetal Sex (Male, Female or Unknown)]]="Unknown",Backend!$C$8,"Error"))),"")</f>
        <v/>
      </c>
      <c r="F317" s="8" t="str">
        <f>IF(Table1[[#This Row],[Is Data Valid]]=TRUE,EXP(0.578+0.332*((Table1[[#This Row],[Gestation (days)]]+0.5)/7)-0.00354*((Table1[[#This Row],[Gestation (days)]]+0.5)/7)^2)*Table1[[#This Row],[BW40_3705]],"")</f>
        <v/>
      </c>
      <c r="G317" s="2" t="str">
        <f>IF(Table1[[#This Row],[Is Data Valid]]=TRUE,((Table1[[#This Row],[Birthweight (grams)]]/Table1[[#This Row],[BW_GA]])-1)/(Backend!$B$4/100*Table1[[#This Row],[BW40_3705]]),"")</f>
        <v/>
      </c>
      <c r="H317" s="7" t="str">
        <f>IF(Table1[[#This Row],[Is Data Valid]]=TRUE,((Table1[[#This Row],[Birthweight (grams)]]*0.9/Table1[[#This Row],[BW_GA]])-1)/(Backend!$B$4/100*Table1[[#This Row],[BW40_3705]]),"")</f>
        <v/>
      </c>
      <c r="I317" s="7" t="str">
        <f>IF(Table1[[#This Row],[Is Data Valid]]=TRUE,((Table1[[#This Row],[Birthweight (grams)]]*1.1/Table1[[#This Row],[BW_GA]])-1)/(Backend!$B$4/100*Table1[[#This Row],[BW40_3705]]),"")</f>
        <v/>
      </c>
      <c r="J317" s="7" t="str">
        <f>IF(Table1[[#This Row],[Is Data Valid]]=TRUE,_xlfn.NORM.S.DIST(Table1[[#This Row],[Birthweight Z-Score]],TRUE)*100,"")</f>
        <v/>
      </c>
      <c r="K317" s="7" t="str">
        <f>IF(Table1[[#This Row],[Is Data Valid]]=TRUE,_xlfn.NORM.S.DIST(Table1[[#This Row],[Birthweight Z-Score (BW-10%)]],TRUE)*100,"")</f>
        <v/>
      </c>
      <c r="L317" s="7" t="str">
        <f>IF(Table1[[#This Row],[Is Data Valid]]=TRUE,_xlfn.NORM.S.DIST(Table1[[#This Row],[Birthweight Z-Score (BW+10%)]],TRUE)*100,"")</f>
        <v/>
      </c>
    </row>
    <row r="318" spans="1:12" x14ac:dyDescent="0.35">
      <c r="A318" s="3"/>
      <c r="B318" s="2"/>
      <c r="C318" s="2"/>
      <c r="D318" s="2" t="b">
        <f>IF(AND(NOT(ISBLANK(Table1[[#This Row],[Fetal Sex (Male, Female or Unknown)]])),ISNUMBER(Table1[[#This Row],[Birthweight (grams)]]),ISNUMBER(Table1[[#This Row],[Gestation (days)]])),TRUE,FALSE)</f>
        <v>0</v>
      </c>
      <c r="E318" s="2" t="str">
        <f>IF(Table1[[#This Row],[Is Data Valid]]=TRUE,IF(Table1[[#This Row],[Fetal Sex (Male, Female or Unknown)]]="Male",Backend!$C$6,IF(Table1[[#This Row],[Fetal Sex (Male, Female or Unknown)]]="Female",Backend!$C$7,IF(Table1[[#This Row],[Fetal Sex (Male, Female or Unknown)]]="Unknown",Backend!$C$8,"Error"))),"")</f>
        <v/>
      </c>
      <c r="F318" s="8" t="str">
        <f>IF(Table1[[#This Row],[Is Data Valid]]=TRUE,EXP(0.578+0.332*((Table1[[#This Row],[Gestation (days)]]+0.5)/7)-0.00354*((Table1[[#This Row],[Gestation (days)]]+0.5)/7)^2)*Table1[[#This Row],[BW40_3705]],"")</f>
        <v/>
      </c>
      <c r="G318" s="2" t="str">
        <f>IF(Table1[[#This Row],[Is Data Valid]]=TRUE,((Table1[[#This Row],[Birthweight (grams)]]/Table1[[#This Row],[BW_GA]])-1)/(Backend!$B$4/100*Table1[[#This Row],[BW40_3705]]),"")</f>
        <v/>
      </c>
      <c r="H318" s="7" t="str">
        <f>IF(Table1[[#This Row],[Is Data Valid]]=TRUE,((Table1[[#This Row],[Birthweight (grams)]]*0.9/Table1[[#This Row],[BW_GA]])-1)/(Backend!$B$4/100*Table1[[#This Row],[BW40_3705]]),"")</f>
        <v/>
      </c>
      <c r="I318" s="7" t="str">
        <f>IF(Table1[[#This Row],[Is Data Valid]]=TRUE,((Table1[[#This Row],[Birthweight (grams)]]*1.1/Table1[[#This Row],[BW_GA]])-1)/(Backend!$B$4/100*Table1[[#This Row],[BW40_3705]]),"")</f>
        <v/>
      </c>
      <c r="J318" s="7" t="str">
        <f>IF(Table1[[#This Row],[Is Data Valid]]=TRUE,_xlfn.NORM.S.DIST(Table1[[#This Row],[Birthweight Z-Score]],TRUE)*100,"")</f>
        <v/>
      </c>
      <c r="K318" s="7" t="str">
        <f>IF(Table1[[#This Row],[Is Data Valid]]=TRUE,_xlfn.NORM.S.DIST(Table1[[#This Row],[Birthweight Z-Score (BW-10%)]],TRUE)*100,"")</f>
        <v/>
      </c>
      <c r="L318" s="7" t="str">
        <f>IF(Table1[[#This Row],[Is Data Valid]]=TRUE,_xlfn.NORM.S.DIST(Table1[[#This Row],[Birthweight Z-Score (BW+10%)]],TRUE)*100,"")</f>
        <v/>
      </c>
    </row>
    <row r="319" spans="1:12" x14ac:dyDescent="0.35">
      <c r="A319" s="3"/>
      <c r="B319" s="2"/>
      <c r="C319" s="2"/>
      <c r="D319" s="2" t="b">
        <f>IF(AND(NOT(ISBLANK(Table1[[#This Row],[Fetal Sex (Male, Female or Unknown)]])),ISNUMBER(Table1[[#This Row],[Birthweight (grams)]]),ISNUMBER(Table1[[#This Row],[Gestation (days)]])),TRUE,FALSE)</f>
        <v>0</v>
      </c>
      <c r="E319" s="2" t="str">
        <f>IF(Table1[[#This Row],[Is Data Valid]]=TRUE,IF(Table1[[#This Row],[Fetal Sex (Male, Female or Unknown)]]="Male",Backend!$C$6,IF(Table1[[#This Row],[Fetal Sex (Male, Female or Unknown)]]="Female",Backend!$C$7,IF(Table1[[#This Row],[Fetal Sex (Male, Female or Unknown)]]="Unknown",Backend!$C$8,"Error"))),"")</f>
        <v/>
      </c>
      <c r="F319" s="8" t="str">
        <f>IF(Table1[[#This Row],[Is Data Valid]]=TRUE,EXP(0.578+0.332*((Table1[[#This Row],[Gestation (days)]]+0.5)/7)-0.00354*((Table1[[#This Row],[Gestation (days)]]+0.5)/7)^2)*Table1[[#This Row],[BW40_3705]],"")</f>
        <v/>
      </c>
      <c r="G319" s="2" t="str">
        <f>IF(Table1[[#This Row],[Is Data Valid]]=TRUE,((Table1[[#This Row],[Birthweight (grams)]]/Table1[[#This Row],[BW_GA]])-1)/(Backend!$B$4/100*Table1[[#This Row],[BW40_3705]]),"")</f>
        <v/>
      </c>
      <c r="H319" s="7" t="str">
        <f>IF(Table1[[#This Row],[Is Data Valid]]=TRUE,((Table1[[#This Row],[Birthweight (grams)]]*0.9/Table1[[#This Row],[BW_GA]])-1)/(Backend!$B$4/100*Table1[[#This Row],[BW40_3705]]),"")</f>
        <v/>
      </c>
      <c r="I319" s="7" t="str">
        <f>IF(Table1[[#This Row],[Is Data Valid]]=TRUE,((Table1[[#This Row],[Birthweight (grams)]]*1.1/Table1[[#This Row],[BW_GA]])-1)/(Backend!$B$4/100*Table1[[#This Row],[BW40_3705]]),"")</f>
        <v/>
      </c>
      <c r="J319" s="7" t="str">
        <f>IF(Table1[[#This Row],[Is Data Valid]]=TRUE,_xlfn.NORM.S.DIST(Table1[[#This Row],[Birthweight Z-Score]],TRUE)*100,"")</f>
        <v/>
      </c>
      <c r="K319" s="7" t="str">
        <f>IF(Table1[[#This Row],[Is Data Valid]]=TRUE,_xlfn.NORM.S.DIST(Table1[[#This Row],[Birthweight Z-Score (BW-10%)]],TRUE)*100,"")</f>
        <v/>
      </c>
      <c r="L319" s="7" t="str">
        <f>IF(Table1[[#This Row],[Is Data Valid]]=TRUE,_xlfn.NORM.S.DIST(Table1[[#This Row],[Birthweight Z-Score (BW+10%)]],TRUE)*100,"")</f>
        <v/>
      </c>
    </row>
    <row r="320" spans="1:12" x14ac:dyDescent="0.35">
      <c r="A320" s="3"/>
      <c r="B320" s="2"/>
      <c r="C320" s="2"/>
      <c r="D320" s="2" t="b">
        <f>IF(AND(NOT(ISBLANK(Table1[[#This Row],[Fetal Sex (Male, Female or Unknown)]])),ISNUMBER(Table1[[#This Row],[Birthweight (grams)]]),ISNUMBER(Table1[[#This Row],[Gestation (days)]])),TRUE,FALSE)</f>
        <v>0</v>
      </c>
      <c r="E320" s="2" t="str">
        <f>IF(Table1[[#This Row],[Is Data Valid]]=TRUE,IF(Table1[[#This Row],[Fetal Sex (Male, Female or Unknown)]]="Male",Backend!$C$6,IF(Table1[[#This Row],[Fetal Sex (Male, Female or Unknown)]]="Female",Backend!$C$7,IF(Table1[[#This Row],[Fetal Sex (Male, Female or Unknown)]]="Unknown",Backend!$C$8,"Error"))),"")</f>
        <v/>
      </c>
      <c r="F320" s="8" t="str">
        <f>IF(Table1[[#This Row],[Is Data Valid]]=TRUE,EXP(0.578+0.332*((Table1[[#This Row],[Gestation (days)]]+0.5)/7)-0.00354*((Table1[[#This Row],[Gestation (days)]]+0.5)/7)^2)*Table1[[#This Row],[BW40_3705]],"")</f>
        <v/>
      </c>
      <c r="G320" s="2" t="str">
        <f>IF(Table1[[#This Row],[Is Data Valid]]=TRUE,((Table1[[#This Row],[Birthweight (grams)]]/Table1[[#This Row],[BW_GA]])-1)/(Backend!$B$4/100*Table1[[#This Row],[BW40_3705]]),"")</f>
        <v/>
      </c>
      <c r="H320" s="7" t="str">
        <f>IF(Table1[[#This Row],[Is Data Valid]]=TRUE,((Table1[[#This Row],[Birthweight (grams)]]*0.9/Table1[[#This Row],[BW_GA]])-1)/(Backend!$B$4/100*Table1[[#This Row],[BW40_3705]]),"")</f>
        <v/>
      </c>
      <c r="I320" s="7" t="str">
        <f>IF(Table1[[#This Row],[Is Data Valid]]=TRUE,((Table1[[#This Row],[Birthweight (grams)]]*1.1/Table1[[#This Row],[BW_GA]])-1)/(Backend!$B$4/100*Table1[[#This Row],[BW40_3705]]),"")</f>
        <v/>
      </c>
      <c r="J320" s="7" t="str">
        <f>IF(Table1[[#This Row],[Is Data Valid]]=TRUE,_xlfn.NORM.S.DIST(Table1[[#This Row],[Birthweight Z-Score]],TRUE)*100,"")</f>
        <v/>
      </c>
      <c r="K320" s="7" t="str">
        <f>IF(Table1[[#This Row],[Is Data Valid]]=TRUE,_xlfn.NORM.S.DIST(Table1[[#This Row],[Birthweight Z-Score (BW-10%)]],TRUE)*100,"")</f>
        <v/>
      </c>
      <c r="L320" s="7" t="str">
        <f>IF(Table1[[#This Row],[Is Data Valid]]=TRUE,_xlfn.NORM.S.DIST(Table1[[#This Row],[Birthweight Z-Score (BW+10%)]],TRUE)*100,"")</f>
        <v/>
      </c>
    </row>
    <row r="321" spans="1:12" x14ac:dyDescent="0.35">
      <c r="A321" s="3"/>
      <c r="B321" s="2"/>
      <c r="C321" s="2"/>
      <c r="D321" s="2" t="b">
        <f>IF(AND(NOT(ISBLANK(Table1[[#This Row],[Fetal Sex (Male, Female or Unknown)]])),ISNUMBER(Table1[[#This Row],[Birthweight (grams)]]),ISNUMBER(Table1[[#This Row],[Gestation (days)]])),TRUE,FALSE)</f>
        <v>0</v>
      </c>
      <c r="E321" s="2" t="str">
        <f>IF(Table1[[#This Row],[Is Data Valid]]=TRUE,IF(Table1[[#This Row],[Fetal Sex (Male, Female or Unknown)]]="Male",Backend!$C$6,IF(Table1[[#This Row],[Fetal Sex (Male, Female or Unknown)]]="Female",Backend!$C$7,IF(Table1[[#This Row],[Fetal Sex (Male, Female or Unknown)]]="Unknown",Backend!$C$8,"Error"))),"")</f>
        <v/>
      </c>
      <c r="F321" s="8" t="str">
        <f>IF(Table1[[#This Row],[Is Data Valid]]=TRUE,EXP(0.578+0.332*((Table1[[#This Row],[Gestation (days)]]+0.5)/7)-0.00354*((Table1[[#This Row],[Gestation (days)]]+0.5)/7)^2)*Table1[[#This Row],[BW40_3705]],"")</f>
        <v/>
      </c>
      <c r="G321" s="2" t="str">
        <f>IF(Table1[[#This Row],[Is Data Valid]]=TRUE,((Table1[[#This Row],[Birthweight (grams)]]/Table1[[#This Row],[BW_GA]])-1)/(Backend!$B$4/100*Table1[[#This Row],[BW40_3705]]),"")</f>
        <v/>
      </c>
      <c r="H321" s="7" t="str">
        <f>IF(Table1[[#This Row],[Is Data Valid]]=TRUE,((Table1[[#This Row],[Birthweight (grams)]]*0.9/Table1[[#This Row],[BW_GA]])-1)/(Backend!$B$4/100*Table1[[#This Row],[BW40_3705]]),"")</f>
        <v/>
      </c>
      <c r="I321" s="7" t="str">
        <f>IF(Table1[[#This Row],[Is Data Valid]]=TRUE,((Table1[[#This Row],[Birthweight (grams)]]*1.1/Table1[[#This Row],[BW_GA]])-1)/(Backend!$B$4/100*Table1[[#This Row],[BW40_3705]]),"")</f>
        <v/>
      </c>
      <c r="J321" s="7" t="str">
        <f>IF(Table1[[#This Row],[Is Data Valid]]=TRUE,_xlfn.NORM.S.DIST(Table1[[#This Row],[Birthweight Z-Score]],TRUE)*100,"")</f>
        <v/>
      </c>
      <c r="K321" s="7" t="str">
        <f>IF(Table1[[#This Row],[Is Data Valid]]=TRUE,_xlfn.NORM.S.DIST(Table1[[#This Row],[Birthweight Z-Score (BW-10%)]],TRUE)*100,"")</f>
        <v/>
      </c>
      <c r="L321" s="7" t="str">
        <f>IF(Table1[[#This Row],[Is Data Valid]]=TRUE,_xlfn.NORM.S.DIST(Table1[[#This Row],[Birthweight Z-Score (BW+10%)]],TRUE)*100,"")</f>
        <v/>
      </c>
    </row>
    <row r="322" spans="1:12" x14ac:dyDescent="0.35">
      <c r="A322" s="3"/>
      <c r="B322" s="2"/>
      <c r="C322" s="2"/>
      <c r="D322" s="2" t="b">
        <f>IF(AND(NOT(ISBLANK(Table1[[#This Row],[Fetal Sex (Male, Female or Unknown)]])),ISNUMBER(Table1[[#This Row],[Birthweight (grams)]]),ISNUMBER(Table1[[#This Row],[Gestation (days)]])),TRUE,FALSE)</f>
        <v>0</v>
      </c>
      <c r="E322" s="2" t="str">
        <f>IF(Table1[[#This Row],[Is Data Valid]]=TRUE,IF(Table1[[#This Row],[Fetal Sex (Male, Female or Unknown)]]="Male",Backend!$C$6,IF(Table1[[#This Row],[Fetal Sex (Male, Female or Unknown)]]="Female",Backend!$C$7,IF(Table1[[#This Row],[Fetal Sex (Male, Female or Unknown)]]="Unknown",Backend!$C$8,"Error"))),"")</f>
        <v/>
      </c>
      <c r="F322" s="8" t="str">
        <f>IF(Table1[[#This Row],[Is Data Valid]]=TRUE,EXP(0.578+0.332*((Table1[[#This Row],[Gestation (days)]]+0.5)/7)-0.00354*((Table1[[#This Row],[Gestation (days)]]+0.5)/7)^2)*Table1[[#This Row],[BW40_3705]],"")</f>
        <v/>
      </c>
      <c r="G322" s="2" t="str">
        <f>IF(Table1[[#This Row],[Is Data Valid]]=TRUE,((Table1[[#This Row],[Birthweight (grams)]]/Table1[[#This Row],[BW_GA]])-1)/(Backend!$B$4/100*Table1[[#This Row],[BW40_3705]]),"")</f>
        <v/>
      </c>
      <c r="H322" s="7" t="str">
        <f>IF(Table1[[#This Row],[Is Data Valid]]=TRUE,((Table1[[#This Row],[Birthweight (grams)]]*0.9/Table1[[#This Row],[BW_GA]])-1)/(Backend!$B$4/100*Table1[[#This Row],[BW40_3705]]),"")</f>
        <v/>
      </c>
      <c r="I322" s="7" t="str">
        <f>IF(Table1[[#This Row],[Is Data Valid]]=TRUE,((Table1[[#This Row],[Birthweight (grams)]]*1.1/Table1[[#This Row],[BW_GA]])-1)/(Backend!$B$4/100*Table1[[#This Row],[BW40_3705]]),"")</f>
        <v/>
      </c>
      <c r="J322" s="7" t="str">
        <f>IF(Table1[[#This Row],[Is Data Valid]]=TRUE,_xlfn.NORM.S.DIST(Table1[[#This Row],[Birthweight Z-Score]],TRUE)*100,"")</f>
        <v/>
      </c>
      <c r="K322" s="7" t="str">
        <f>IF(Table1[[#This Row],[Is Data Valid]]=TRUE,_xlfn.NORM.S.DIST(Table1[[#This Row],[Birthweight Z-Score (BW-10%)]],TRUE)*100,"")</f>
        <v/>
      </c>
      <c r="L322" s="7" t="str">
        <f>IF(Table1[[#This Row],[Is Data Valid]]=TRUE,_xlfn.NORM.S.DIST(Table1[[#This Row],[Birthweight Z-Score (BW+10%)]],TRUE)*100,"")</f>
        <v/>
      </c>
    </row>
    <row r="323" spans="1:12" x14ac:dyDescent="0.35">
      <c r="A323" s="3"/>
      <c r="B323" s="2"/>
      <c r="C323" s="2"/>
      <c r="D323" s="2" t="b">
        <f>IF(AND(NOT(ISBLANK(Table1[[#This Row],[Fetal Sex (Male, Female or Unknown)]])),ISNUMBER(Table1[[#This Row],[Birthweight (grams)]]),ISNUMBER(Table1[[#This Row],[Gestation (days)]])),TRUE,FALSE)</f>
        <v>0</v>
      </c>
      <c r="E323" s="2" t="str">
        <f>IF(Table1[[#This Row],[Is Data Valid]]=TRUE,IF(Table1[[#This Row],[Fetal Sex (Male, Female or Unknown)]]="Male",Backend!$C$6,IF(Table1[[#This Row],[Fetal Sex (Male, Female or Unknown)]]="Female",Backend!$C$7,IF(Table1[[#This Row],[Fetal Sex (Male, Female or Unknown)]]="Unknown",Backend!$C$8,"Error"))),"")</f>
        <v/>
      </c>
      <c r="F323" s="8" t="str">
        <f>IF(Table1[[#This Row],[Is Data Valid]]=TRUE,EXP(0.578+0.332*((Table1[[#This Row],[Gestation (days)]]+0.5)/7)-0.00354*((Table1[[#This Row],[Gestation (days)]]+0.5)/7)^2)*Table1[[#This Row],[BW40_3705]],"")</f>
        <v/>
      </c>
      <c r="G323" s="2" t="str">
        <f>IF(Table1[[#This Row],[Is Data Valid]]=TRUE,((Table1[[#This Row],[Birthweight (grams)]]/Table1[[#This Row],[BW_GA]])-1)/(Backend!$B$4/100*Table1[[#This Row],[BW40_3705]]),"")</f>
        <v/>
      </c>
      <c r="H323" s="7" t="str">
        <f>IF(Table1[[#This Row],[Is Data Valid]]=TRUE,((Table1[[#This Row],[Birthweight (grams)]]*0.9/Table1[[#This Row],[BW_GA]])-1)/(Backend!$B$4/100*Table1[[#This Row],[BW40_3705]]),"")</f>
        <v/>
      </c>
      <c r="I323" s="7" t="str">
        <f>IF(Table1[[#This Row],[Is Data Valid]]=TRUE,((Table1[[#This Row],[Birthweight (grams)]]*1.1/Table1[[#This Row],[BW_GA]])-1)/(Backend!$B$4/100*Table1[[#This Row],[BW40_3705]]),"")</f>
        <v/>
      </c>
      <c r="J323" s="7" t="str">
        <f>IF(Table1[[#This Row],[Is Data Valid]]=TRUE,_xlfn.NORM.S.DIST(Table1[[#This Row],[Birthweight Z-Score]],TRUE)*100,"")</f>
        <v/>
      </c>
      <c r="K323" s="7" t="str">
        <f>IF(Table1[[#This Row],[Is Data Valid]]=TRUE,_xlfn.NORM.S.DIST(Table1[[#This Row],[Birthweight Z-Score (BW-10%)]],TRUE)*100,"")</f>
        <v/>
      </c>
      <c r="L323" s="7" t="str">
        <f>IF(Table1[[#This Row],[Is Data Valid]]=TRUE,_xlfn.NORM.S.DIST(Table1[[#This Row],[Birthweight Z-Score (BW+10%)]],TRUE)*100,"")</f>
        <v/>
      </c>
    </row>
    <row r="324" spans="1:12" x14ac:dyDescent="0.35">
      <c r="A324" s="3"/>
      <c r="B324" s="2"/>
      <c r="C324" s="2"/>
      <c r="D324" s="2" t="b">
        <f>IF(AND(NOT(ISBLANK(Table1[[#This Row],[Fetal Sex (Male, Female or Unknown)]])),ISNUMBER(Table1[[#This Row],[Birthweight (grams)]]),ISNUMBER(Table1[[#This Row],[Gestation (days)]])),TRUE,FALSE)</f>
        <v>0</v>
      </c>
      <c r="E324" s="2" t="str">
        <f>IF(Table1[[#This Row],[Is Data Valid]]=TRUE,IF(Table1[[#This Row],[Fetal Sex (Male, Female or Unknown)]]="Male",Backend!$C$6,IF(Table1[[#This Row],[Fetal Sex (Male, Female or Unknown)]]="Female",Backend!$C$7,IF(Table1[[#This Row],[Fetal Sex (Male, Female or Unknown)]]="Unknown",Backend!$C$8,"Error"))),"")</f>
        <v/>
      </c>
      <c r="F324" s="8" t="str">
        <f>IF(Table1[[#This Row],[Is Data Valid]]=TRUE,EXP(0.578+0.332*((Table1[[#This Row],[Gestation (days)]]+0.5)/7)-0.00354*((Table1[[#This Row],[Gestation (days)]]+0.5)/7)^2)*Table1[[#This Row],[BW40_3705]],"")</f>
        <v/>
      </c>
      <c r="G324" s="2" t="str">
        <f>IF(Table1[[#This Row],[Is Data Valid]]=TRUE,((Table1[[#This Row],[Birthweight (grams)]]/Table1[[#This Row],[BW_GA]])-1)/(Backend!$B$4/100*Table1[[#This Row],[BW40_3705]]),"")</f>
        <v/>
      </c>
      <c r="H324" s="7" t="str">
        <f>IF(Table1[[#This Row],[Is Data Valid]]=TRUE,((Table1[[#This Row],[Birthweight (grams)]]*0.9/Table1[[#This Row],[BW_GA]])-1)/(Backend!$B$4/100*Table1[[#This Row],[BW40_3705]]),"")</f>
        <v/>
      </c>
      <c r="I324" s="7" t="str">
        <f>IF(Table1[[#This Row],[Is Data Valid]]=TRUE,((Table1[[#This Row],[Birthweight (grams)]]*1.1/Table1[[#This Row],[BW_GA]])-1)/(Backend!$B$4/100*Table1[[#This Row],[BW40_3705]]),"")</f>
        <v/>
      </c>
      <c r="J324" s="7" t="str">
        <f>IF(Table1[[#This Row],[Is Data Valid]]=TRUE,_xlfn.NORM.S.DIST(Table1[[#This Row],[Birthweight Z-Score]],TRUE)*100,"")</f>
        <v/>
      </c>
      <c r="K324" s="7" t="str">
        <f>IF(Table1[[#This Row],[Is Data Valid]]=TRUE,_xlfn.NORM.S.DIST(Table1[[#This Row],[Birthweight Z-Score (BW-10%)]],TRUE)*100,"")</f>
        <v/>
      </c>
      <c r="L324" s="7" t="str">
        <f>IF(Table1[[#This Row],[Is Data Valid]]=TRUE,_xlfn.NORM.S.DIST(Table1[[#This Row],[Birthweight Z-Score (BW+10%)]],TRUE)*100,"")</f>
        <v/>
      </c>
    </row>
    <row r="325" spans="1:12" x14ac:dyDescent="0.35">
      <c r="A325" s="3"/>
      <c r="B325" s="2"/>
      <c r="C325" s="2"/>
      <c r="D325" s="2" t="b">
        <f>IF(AND(NOT(ISBLANK(Table1[[#This Row],[Fetal Sex (Male, Female or Unknown)]])),ISNUMBER(Table1[[#This Row],[Birthweight (grams)]]),ISNUMBER(Table1[[#This Row],[Gestation (days)]])),TRUE,FALSE)</f>
        <v>0</v>
      </c>
      <c r="E325" s="2" t="str">
        <f>IF(Table1[[#This Row],[Is Data Valid]]=TRUE,IF(Table1[[#This Row],[Fetal Sex (Male, Female or Unknown)]]="Male",Backend!$C$6,IF(Table1[[#This Row],[Fetal Sex (Male, Female or Unknown)]]="Female",Backend!$C$7,IF(Table1[[#This Row],[Fetal Sex (Male, Female or Unknown)]]="Unknown",Backend!$C$8,"Error"))),"")</f>
        <v/>
      </c>
      <c r="F325" s="8" t="str">
        <f>IF(Table1[[#This Row],[Is Data Valid]]=TRUE,EXP(0.578+0.332*((Table1[[#This Row],[Gestation (days)]]+0.5)/7)-0.00354*((Table1[[#This Row],[Gestation (days)]]+0.5)/7)^2)*Table1[[#This Row],[BW40_3705]],"")</f>
        <v/>
      </c>
      <c r="G325" s="2" t="str">
        <f>IF(Table1[[#This Row],[Is Data Valid]]=TRUE,((Table1[[#This Row],[Birthweight (grams)]]/Table1[[#This Row],[BW_GA]])-1)/(Backend!$B$4/100*Table1[[#This Row],[BW40_3705]]),"")</f>
        <v/>
      </c>
      <c r="H325" s="7" t="str">
        <f>IF(Table1[[#This Row],[Is Data Valid]]=TRUE,((Table1[[#This Row],[Birthweight (grams)]]*0.9/Table1[[#This Row],[BW_GA]])-1)/(Backend!$B$4/100*Table1[[#This Row],[BW40_3705]]),"")</f>
        <v/>
      </c>
      <c r="I325" s="7" t="str">
        <f>IF(Table1[[#This Row],[Is Data Valid]]=TRUE,((Table1[[#This Row],[Birthweight (grams)]]*1.1/Table1[[#This Row],[BW_GA]])-1)/(Backend!$B$4/100*Table1[[#This Row],[BW40_3705]]),"")</f>
        <v/>
      </c>
      <c r="J325" s="7" t="str">
        <f>IF(Table1[[#This Row],[Is Data Valid]]=TRUE,_xlfn.NORM.S.DIST(Table1[[#This Row],[Birthweight Z-Score]],TRUE)*100,"")</f>
        <v/>
      </c>
      <c r="K325" s="7" t="str">
        <f>IF(Table1[[#This Row],[Is Data Valid]]=TRUE,_xlfn.NORM.S.DIST(Table1[[#This Row],[Birthweight Z-Score (BW-10%)]],TRUE)*100,"")</f>
        <v/>
      </c>
      <c r="L325" s="7" t="str">
        <f>IF(Table1[[#This Row],[Is Data Valid]]=TRUE,_xlfn.NORM.S.DIST(Table1[[#This Row],[Birthweight Z-Score (BW+10%)]],TRUE)*100,"")</f>
        <v/>
      </c>
    </row>
    <row r="326" spans="1:12" x14ac:dyDescent="0.35">
      <c r="A326" s="3"/>
      <c r="B326" s="2"/>
      <c r="C326" s="2"/>
      <c r="D326" s="2" t="b">
        <f>IF(AND(NOT(ISBLANK(Table1[[#This Row],[Fetal Sex (Male, Female or Unknown)]])),ISNUMBER(Table1[[#This Row],[Birthweight (grams)]]),ISNUMBER(Table1[[#This Row],[Gestation (days)]])),TRUE,FALSE)</f>
        <v>0</v>
      </c>
      <c r="E326" s="2" t="str">
        <f>IF(Table1[[#This Row],[Is Data Valid]]=TRUE,IF(Table1[[#This Row],[Fetal Sex (Male, Female or Unknown)]]="Male",Backend!$C$6,IF(Table1[[#This Row],[Fetal Sex (Male, Female or Unknown)]]="Female",Backend!$C$7,IF(Table1[[#This Row],[Fetal Sex (Male, Female or Unknown)]]="Unknown",Backend!$C$8,"Error"))),"")</f>
        <v/>
      </c>
      <c r="F326" s="8" t="str">
        <f>IF(Table1[[#This Row],[Is Data Valid]]=TRUE,EXP(0.578+0.332*((Table1[[#This Row],[Gestation (days)]]+0.5)/7)-0.00354*((Table1[[#This Row],[Gestation (days)]]+0.5)/7)^2)*Table1[[#This Row],[BW40_3705]],"")</f>
        <v/>
      </c>
      <c r="G326" s="2" t="str">
        <f>IF(Table1[[#This Row],[Is Data Valid]]=TRUE,((Table1[[#This Row],[Birthweight (grams)]]/Table1[[#This Row],[BW_GA]])-1)/(Backend!$B$4/100*Table1[[#This Row],[BW40_3705]]),"")</f>
        <v/>
      </c>
      <c r="H326" s="7" t="str">
        <f>IF(Table1[[#This Row],[Is Data Valid]]=TRUE,((Table1[[#This Row],[Birthweight (grams)]]*0.9/Table1[[#This Row],[BW_GA]])-1)/(Backend!$B$4/100*Table1[[#This Row],[BW40_3705]]),"")</f>
        <v/>
      </c>
      <c r="I326" s="7" t="str">
        <f>IF(Table1[[#This Row],[Is Data Valid]]=TRUE,((Table1[[#This Row],[Birthweight (grams)]]*1.1/Table1[[#This Row],[BW_GA]])-1)/(Backend!$B$4/100*Table1[[#This Row],[BW40_3705]]),"")</f>
        <v/>
      </c>
      <c r="J326" s="7" t="str">
        <f>IF(Table1[[#This Row],[Is Data Valid]]=TRUE,_xlfn.NORM.S.DIST(Table1[[#This Row],[Birthweight Z-Score]],TRUE)*100,"")</f>
        <v/>
      </c>
      <c r="K326" s="7" t="str">
        <f>IF(Table1[[#This Row],[Is Data Valid]]=TRUE,_xlfn.NORM.S.DIST(Table1[[#This Row],[Birthweight Z-Score (BW-10%)]],TRUE)*100,"")</f>
        <v/>
      </c>
      <c r="L326" s="7" t="str">
        <f>IF(Table1[[#This Row],[Is Data Valid]]=TRUE,_xlfn.NORM.S.DIST(Table1[[#This Row],[Birthweight Z-Score (BW+10%)]],TRUE)*100,"")</f>
        <v/>
      </c>
    </row>
    <row r="327" spans="1:12" x14ac:dyDescent="0.35">
      <c r="A327" s="3"/>
      <c r="B327" s="2"/>
      <c r="C327" s="2"/>
      <c r="D327" s="2" t="b">
        <f>IF(AND(NOT(ISBLANK(Table1[[#This Row],[Fetal Sex (Male, Female or Unknown)]])),ISNUMBER(Table1[[#This Row],[Birthweight (grams)]]),ISNUMBER(Table1[[#This Row],[Gestation (days)]])),TRUE,FALSE)</f>
        <v>0</v>
      </c>
      <c r="E327" s="2" t="str">
        <f>IF(Table1[[#This Row],[Is Data Valid]]=TRUE,IF(Table1[[#This Row],[Fetal Sex (Male, Female or Unknown)]]="Male",Backend!$C$6,IF(Table1[[#This Row],[Fetal Sex (Male, Female or Unknown)]]="Female",Backend!$C$7,IF(Table1[[#This Row],[Fetal Sex (Male, Female or Unknown)]]="Unknown",Backend!$C$8,"Error"))),"")</f>
        <v/>
      </c>
      <c r="F327" s="8" t="str">
        <f>IF(Table1[[#This Row],[Is Data Valid]]=TRUE,EXP(0.578+0.332*((Table1[[#This Row],[Gestation (days)]]+0.5)/7)-0.00354*((Table1[[#This Row],[Gestation (days)]]+0.5)/7)^2)*Table1[[#This Row],[BW40_3705]],"")</f>
        <v/>
      </c>
      <c r="G327" s="2" t="str">
        <f>IF(Table1[[#This Row],[Is Data Valid]]=TRUE,((Table1[[#This Row],[Birthweight (grams)]]/Table1[[#This Row],[BW_GA]])-1)/(Backend!$B$4/100*Table1[[#This Row],[BW40_3705]]),"")</f>
        <v/>
      </c>
      <c r="H327" s="7" t="str">
        <f>IF(Table1[[#This Row],[Is Data Valid]]=TRUE,((Table1[[#This Row],[Birthweight (grams)]]*0.9/Table1[[#This Row],[BW_GA]])-1)/(Backend!$B$4/100*Table1[[#This Row],[BW40_3705]]),"")</f>
        <v/>
      </c>
      <c r="I327" s="7" t="str">
        <f>IF(Table1[[#This Row],[Is Data Valid]]=TRUE,((Table1[[#This Row],[Birthweight (grams)]]*1.1/Table1[[#This Row],[BW_GA]])-1)/(Backend!$B$4/100*Table1[[#This Row],[BW40_3705]]),"")</f>
        <v/>
      </c>
      <c r="J327" s="7" t="str">
        <f>IF(Table1[[#This Row],[Is Data Valid]]=TRUE,_xlfn.NORM.S.DIST(Table1[[#This Row],[Birthweight Z-Score]],TRUE)*100,"")</f>
        <v/>
      </c>
      <c r="K327" s="7" t="str">
        <f>IF(Table1[[#This Row],[Is Data Valid]]=TRUE,_xlfn.NORM.S.DIST(Table1[[#This Row],[Birthweight Z-Score (BW-10%)]],TRUE)*100,"")</f>
        <v/>
      </c>
      <c r="L327" s="7" t="str">
        <f>IF(Table1[[#This Row],[Is Data Valid]]=TRUE,_xlfn.NORM.S.DIST(Table1[[#This Row],[Birthweight Z-Score (BW+10%)]],TRUE)*100,"")</f>
        <v/>
      </c>
    </row>
    <row r="328" spans="1:12" x14ac:dyDescent="0.35">
      <c r="A328" s="3"/>
      <c r="B328" s="2"/>
      <c r="C328" s="2"/>
      <c r="D328" s="2" t="b">
        <f>IF(AND(NOT(ISBLANK(Table1[[#This Row],[Fetal Sex (Male, Female or Unknown)]])),ISNUMBER(Table1[[#This Row],[Birthweight (grams)]]),ISNUMBER(Table1[[#This Row],[Gestation (days)]])),TRUE,FALSE)</f>
        <v>0</v>
      </c>
      <c r="E328" s="2" t="str">
        <f>IF(Table1[[#This Row],[Is Data Valid]]=TRUE,IF(Table1[[#This Row],[Fetal Sex (Male, Female or Unknown)]]="Male",Backend!$C$6,IF(Table1[[#This Row],[Fetal Sex (Male, Female or Unknown)]]="Female",Backend!$C$7,IF(Table1[[#This Row],[Fetal Sex (Male, Female or Unknown)]]="Unknown",Backend!$C$8,"Error"))),"")</f>
        <v/>
      </c>
      <c r="F328" s="8" t="str">
        <f>IF(Table1[[#This Row],[Is Data Valid]]=TRUE,EXP(0.578+0.332*((Table1[[#This Row],[Gestation (days)]]+0.5)/7)-0.00354*((Table1[[#This Row],[Gestation (days)]]+0.5)/7)^2)*Table1[[#This Row],[BW40_3705]],"")</f>
        <v/>
      </c>
      <c r="G328" s="2" t="str">
        <f>IF(Table1[[#This Row],[Is Data Valid]]=TRUE,((Table1[[#This Row],[Birthweight (grams)]]/Table1[[#This Row],[BW_GA]])-1)/(Backend!$B$4/100*Table1[[#This Row],[BW40_3705]]),"")</f>
        <v/>
      </c>
      <c r="H328" s="7" t="str">
        <f>IF(Table1[[#This Row],[Is Data Valid]]=TRUE,((Table1[[#This Row],[Birthweight (grams)]]*0.9/Table1[[#This Row],[BW_GA]])-1)/(Backend!$B$4/100*Table1[[#This Row],[BW40_3705]]),"")</f>
        <v/>
      </c>
      <c r="I328" s="7" t="str">
        <f>IF(Table1[[#This Row],[Is Data Valid]]=TRUE,((Table1[[#This Row],[Birthweight (grams)]]*1.1/Table1[[#This Row],[BW_GA]])-1)/(Backend!$B$4/100*Table1[[#This Row],[BW40_3705]]),"")</f>
        <v/>
      </c>
      <c r="J328" s="7" t="str">
        <f>IF(Table1[[#This Row],[Is Data Valid]]=TRUE,_xlfn.NORM.S.DIST(Table1[[#This Row],[Birthweight Z-Score]],TRUE)*100,"")</f>
        <v/>
      </c>
      <c r="K328" s="7" t="str">
        <f>IF(Table1[[#This Row],[Is Data Valid]]=TRUE,_xlfn.NORM.S.DIST(Table1[[#This Row],[Birthweight Z-Score (BW-10%)]],TRUE)*100,"")</f>
        <v/>
      </c>
      <c r="L328" s="7" t="str">
        <f>IF(Table1[[#This Row],[Is Data Valid]]=TRUE,_xlfn.NORM.S.DIST(Table1[[#This Row],[Birthweight Z-Score (BW+10%)]],TRUE)*100,"")</f>
        <v/>
      </c>
    </row>
    <row r="329" spans="1:12" x14ac:dyDescent="0.35">
      <c r="A329" s="3"/>
      <c r="B329" s="2"/>
      <c r="C329" s="2"/>
      <c r="D329" s="2" t="b">
        <f>IF(AND(NOT(ISBLANK(Table1[[#This Row],[Fetal Sex (Male, Female or Unknown)]])),ISNUMBER(Table1[[#This Row],[Birthweight (grams)]]),ISNUMBER(Table1[[#This Row],[Gestation (days)]])),TRUE,FALSE)</f>
        <v>0</v>
      </c>
      <c r="E329" s="2" t="str">
        <f>IF(Table1[[#This Row],[Is Data Valid]]=TRUE,IF(Table1[[#This Row],[Fetal Sex (Male, Female or Unknown)]]="Male",Backend!$C$6,IF(Table1[[#This Row],[Fetal Sex (Male, Female or Unknown)]]="Female",Backend!$C$7,IF(Table1[[#This Row],[Fetal Sex (Male, Female or Unknown)]]="Unknown",Backend!$C$8,"Error"))),"")</f>
        <v/>
      </c>
      <c r="F329" s="8" t="str">
        <f>IF(Table1[[#This Row],[Is Data Valid]]=TRUE,EXP(0.578+0.332*((Table1[[#This Row],[Gestation (days)]]+0.5)/7)-0.00354*((Table1[[#This Row],[Gestation (days)]]+0.5)/7)^2)*Table1[[#This Row],[BW40_3705]],"")</f>
        <v/>
      </c>
      <c r="G329" s="2" t="str">
        <f>IF(Table1[[#This Row],[Is Data Valid]]=TRUE,((Table1[[#This Row],[Birthweight (grams)]]/Table1[[#This Row],[BW_GA]])-1)/(Backend!$B$4/100*Table1[[#This Row],[BW40_3705]]),"")</f>
        <v/>
      </c>
      <c r="H329" s="7" t="str">
        <f>IF(Table1[[#This Row],[Is Data Valid]]=TRUE,((Table1[[#This Row],[Birthweight (grams)]]*0.9/Table1[[#This Row],[BW_GA]])-1)/(Backend!$B$4/100*Table1[[#This Row],[BW40_3705]]),"")</f>
        <v/>
      </c>
      <c r="I329" s="7" t="str">
        <f>IF(Table1[[#This Row],[Is Data Valid]]=TRUE,((Table1[[#This Row],[Birthweight (grams)]]*1.1/Table1[[#This Row],[BW_GA]])-1)/(Backend!$B$4/100*Table1[[#This Row],[BW40_3705]]),"")</f>
        <v/>
      </c>
      <c r="J329" s="7" t="str">
        <f>IF(Table1[[#This Row],[Is Data Valid]]=TRUE,_xlfn.NORM.S.DIST(Table1[[#This Row],[Birthweight Z-Score]],TRUE)*100,"")</f>
        <v/>
      </c>
      <c r="K329" s="7" t="str">
        <f>IF(Table1[[#This Row],[Is Data Valid]]=TRUE,_xlfn.NORM.S.DIST(Table1[[#This Row],[Birthweight Z-Score (BW-10%)]],TRUE)*100,"")</f>
        <v/>
      </c>
      <c r="L329" s="7" t="str">
        <f>IF(Table1[[#This Row],[Is Data Valid]]=TRUE,_xlfn.NORM.S.DIST(Table1[[#This Row],[Birthweight Z-Score (BW+10%)]],TRUE)*100,"")</f>
        <v/>
      </c>
    </row>
    <row r="330" spans="1:12" x14ac:dyDescent="0.35">
      <c r="A330" s="3"/>
      <c r="B330" s="2"/>
      <c r="C330" s="2"/>
      <c r="D330" s="2" t="b">
        <f>IF(AND(NOT(ISBLANK(Table1[[#This Row],[Fetal Sex (Male, Female or Unknown)]])),ISNUMBER(Table1[[#This Row],[Birthweight (grams)]]),ISNUMBER(Table1[[#This Row],[Gestation (days)]])),TRUE,FALSE)</f>
        <v>0</v>
      </c>
      <c r="E330" s="2" t="str">
        <f>IF(Table1[[#This Row],[Is Data Valid]]=TRUE,IF(Table1[[#This Row],[Fetal Sex (Male, Female or Unknown)]]="Male",Backend!$C$6,IF(Table1[[#This Row],[Fetal Sex (Male, Female or Unknown)]]="Female",Backend!$C$7,IF(Table1[[#This Row],[Fetal Sex (Male, Female or Unknown)]]="Unknown",Backend!$C$8,"Error"))),"")</f>
        <v/>
      </c>
      <c r="F330" s="8" t="str">
        <f>IF(Table1[[#This Row],[Is Data Valid]]=TRUE,EXP(0.578+0.332*((Table1[[#This Row],[Gestation (days)]]+0.5)/7)-0.00354*((Table1[[#This Row],[Gestation (days)]]+0.5)/7)^2)*Table1[[#This Row],[BW40_3705]],"")</f>
        <v/>
      </c>
      <c r="G330" s="2" t="str">
        <f>IF(Table1[[#This Row],[Is Data Valid]]=TRUE,((Table1[[#This Row],[Birthweight (grams)]]/Table1[[#This Row],[BW_GA]])-1)/(Backend!$B$4/100*Table1[[#This Row],[BW40_3705]]),"")</f>
        <v/>
      </c>
      <c r="H330" s="7" t="str">
        <f>IF(Table1[[#This Row],[Is Data Valid]]=TRUE,((Table1[[#This Row],[Birthweight (grams)]]*0.9/Table1[[#This Row],[BW_GA]])-1)/(Backend!$B$4/100*Table1[[#This Row],[BW40_3705]]),"")</f>
        <v/>
      </c>
      <c r="I330" s="7" t="str">
        <f>IF(Table1[[#This Row],[Is Data Valid]]=TRUE,((Table1[[#This Row],[Birthweight (grams)]]*1.1/Table1[[#This Row],[BW_GA]])-1)/(Backend!$B$4/100*Table1[[#This Row],[BW40_3705]]),"")</f>
        <v/>
      </c>
      <c r="J330" s="7" t="str">
        <f>IF(Table1[[#This Row],[Is Data Valid]]=TRUE,_xlfn.NORM.S.DIST(Table1[[#This Row],[Birthweight Z-Score]],TRUE)*100,"")</f>
        <v/>
      </c>
      <c r="K330" s="7" t="str">
        <f>IF(Table1[[#This Row],[Is Data Valid]]=TRUE,_xlfn.NORM.S.DIST(Table1[[#This Row],[Birthweight Z-Score (BW-10%)]],TRUE)*100,"")</f>
        <v/>
      </c>
      <c r="L330" s="7" t="str">
        <f>IF(Table1[[#This Row],[Is Data Valid]]=TRUE,_xlfn.NORM.S.DIST(Table1[[#This Row],[Birthweight Z-Score (BW+10%)]],TRUE)*100,"")</f>
        <v/>
      </c>
    </row>
    <row r="331" spans="1:12" x14ac:dyDescent="0.35">
      <c r="A331" s="3"/>
      <c r="B331" s="2"/>
      <c r="C331" s="2"/>
      <c r="D331" s="2" t="b">
        <f>IF(AND(NOT(ISBLANK(Table1[[#This Row],[Fetal Sex (Male, Female or Unknown)]])),ISNUMBER(Table1[[#This Row],[Birthweight (grams)]]),ISNUMBER(Table1[[#This Row],[Gestation (days)]])),TRUE,FALSE)</f>
        <v>0</v>
      </c>
      <c r="E331" s="2" t="str">
        <f>IF(Table1[[#This Row],[Is Data Valid]]=TRUE,IF(Table1[[#This Row],[Fetal Sex (Male, Female or Unknown)]]="Male",Backend!$C$6,IF(Table1[[#This Row],[Fetal Sex (Male, Female or Unknown)]]="Female",Backend!$C$7,IF(Table1[[#This Row],[Fetal Sex (Male, Female or Unknown)]]="Unknown",Backend!$C$8,"Error"))),"")</f>
        <v/>
      </c>
      <c r="F331" s="8" t="str">
        <f>IF(Table1[[#This Row],[Is Data Valid]]=TRUE,EXP(0.578+0.332*((Table1[[#This Row],[Gestation (days)]]+0.5)/7)-0.00354*((Table1[[#This Row],[Gestation (days)]]+0.5)/7)^2)*Table1[[#This Row],[BW40_3705]],"")</f>
        <v/>
      </c>
      <c r="G331" s="2" t="str">
        <f>IF(Table1[[#This Row],[Is Data Valid]]=TRUE,((Table1[[#This Row],[Birthweight (grams)]]/Table1[[#This Row],[BW_GA]])-1)/(Backend!$B$4/100*Table1[[#This Row],[BW40_3705]]),"")</f>
        <v/>
      </c>
      <c r="H331" s="7" t="str">
        <f>IF(Table1[[#This Row],[Is Data Valid]]=TRUE,((Table1[[#This Row],[Birthweight (grams)]]*0.9/Table1[[#This Row],[BW_GA]])-1)/(Backend!$B$4/100*Table1[[#This Row],[BW40_3705]]),"")</f>
        <v/>
      </c>
      <c r="I331" s="7" t="str">
        <f>IF(Table1[[#This Row],[Is Data Valid]]=TRUE,((Table1[[#This Row],[Birthweight (grams)]]*1.1/Table1[[#This Row],[BW_GA]])-1)/(Backend!$B$4/100*Table1[[#This Row],[BW40_3705]]),"")</f>
        <v/>
      </c>
      <c r="J331" s="7" t="str">
        <f>IF(Table1[[#This Row],[Is Data Valid]]=TRUE,_xlfn.NORM.S.DIST(Table1[[#This Row],[Birthweight Z-Score]],TRUE)*100,"")</f>
        <v/>
      </c>
      <c r="K331" s="7" t="str">
        <f>IF(Table1[[#This Row],[Is Data Valid]]=TRUE,_xlfn.NORM.S.DIST(Table1[[#This Row],[Birthweight Z-Score (BW-10%)]],TRUE)*100,"")</f>
        <v/>
      </c>
      <c r="L331" s="7" t="str">
        <f>IF(Table1[[#This Row],[Is Data Valid]]=TRUE,_xlfn.NORM.S.DIST(Table1[[#This Row],[Birthweight Z-Score (BW+10%)]],TRUE)*100,"")</f>
        <v/>
      </c>
    </row>
    <row r="332" spans="1:12" x14ac:dyDescent="0.35">
      <c r="A332" s="3"/>
      <c r="B332" s="2"/>
      <c r="C332" s="2"/>
      <c r="D332" s="2" t="b">
        <f>IF(AND(NOT(ISBLANK(Table1[[#This Row],[Fetal Sex (Male, Female or Unknown)]])),ISNUMBER(Table1[[#This Row],[Birthweight (grams)]]),ISNUMBER(Table1[[#This Row],[Gestation (days)]])),TRUE,FALSE)</f>
        <v>0</v>
      </c>
      <c r="E332" s="2" t="str">
        <f>IF(Table1[[#This Row],[Is Data Valid]]=TRUE,IF(Table1[[#This Row],[Fetal Sex (Male, Female or Unknown)]]="Male",Backend!$C$6,IF(Table1[[#This Row],[Fetal Sex (Male, Female or Unknown)]]="Female",Backend!$C$7,IF(Table1[[#This Row],[Fetal Sex (Male, Female or Unknown)]]="Unknown",Backend!$C$8,"Error"))),"")</f>
        <v/>
      </c>
      <c r="F332" s="8" t="str">
        <f>IF(Table1[[#This Row],[Is Data Valid]]=TRUE,EXP(0.578+0.332*((Table1[[#This Row],[Gestation (days)]]+0.5)/7)-0.00354*((Table1[[#This Row],[Gestation (days)]]+0.5)/7)^2)*Table1[[#This Row],[BW40_3705]],"")</f>
        <v/>
      </c>
      <c r="G332" s="2" t="str">
        <f>IF(Table1[[#This Row],[Is Data Valid]]=TRUE,((Table1[[#This Row],[Birthweight (grams)]]/Table1[[#This Row],[BW_GA]])-1)/(Backend!$B$4/100*Table1[[#This Row],[BW40_3705]]),"")</f>
        <v/>
      </c>
      <c r="H332" s="7" t="str">
        <f>IF(Table1[[#This Row],[Is Data Valid]]=TRUE,((Table1[[#This Row],[Birthweight (grams)]]*0.9/Table1[[#This Row],[BW_GA]])-1)/(Backend!$B$4/100*Table1[[#This Row],[BW40_3705]]),"")</f>
        <v/>
      </c>
      <c r="I332" s="7" t="str">
        <f>IF(Table1[[#This Row],[Is Data Valid]]=TRUE,((Table1[[#This Row],[Birthweight (grams)]]*1.1/Table1[[#This Row],[BW_GA]])-1)/(Backend!$B$4/100*Table1[[#This Row],[BW40_3705]]),"")</f>
        <v/>
      </c>
      <c r="J332" s="7" t="str">
        <f>IF(Table1[[#This Row],[Is Data Valid]]=TRUE,_xlfn.NORM.S.DIST(Table1[[#This Row],[Birthweight Z-Score]],TRUE)*100,"")</f>
        <v/>
      </c>
      <c r="K332" s="7" t="str">
        <f>IF(Table1[[#This Row],[Is Data Valid]]=TRUE,_xlfn.NORM.S.DIST(Table1[[#This Row],[Birthweight Z-Score (BW-10%)]],TRUE)*100,"")</f>
        <v/>
      </c>
      <c r="L332" s="7" t="str">
        <f>IF(Table1[[#This Row],[Is Data Valid]]=TRUE,_xlfn.NORM.S.DIST(Table1[[#This Row],[Birthweight Z-Score (BW+10%)]],TRUE)*100,"")</f>
        <v/>
      </c>
    </row>
    <row r="333" spans="1:12" x14ac:dyDescent="0.35">
      <c r="A333" s="3"/>
      <c r="B333" s="2"/>
      <c r="C333" s="2"/>
      <c r="D333" s="2" t="b">
        <f>IF(AND(NOT(ISBLANK(Table1[[#This Row],[Fetal Sex (Male, Female or Unknown)]])),ISNUMBER(Table1[[#This Row],[Birthweight (grams)]]),ISNUMBER(Table1[[#This Row],[Gestation (days)]])),TRUE,FALSE)</f>
        <v>0</v>
      </c>
      <c r="E333" s="2" t="str">
        <f>IF(Table1[[#This Row],[Is Data Valid]]=TRUE,IF(Table1[[#This Row],[Fetal Sex (Male, Female or Unknown)]]="Male",Backend!$C$6,IF(Table1[[#This Row],[Fetal Sex (Male, Female or Unknown)]]="Female",Backend!$C$7,IF(Table1[[#This Row],[Fetal Sex (Male, Female or Unknown)]]="Unknown",Backend!$C$8,"Error"))),"")</f>
        <v/>
      </c>
      <c r="F333" s="8" t="str">
        <f>IF(Table1[[#This Row],[Is Data Valid]]=TRUE,EXP(0.578+0.332*((Table1[[#This Row],[Gestation (days)]]+0.5)/7)-0.00354*((Table1[[#This Row],[Gestation (days)]]+0.5)/7)^2)*Table1[[#This Row],[BW40_3705]],"")</f>
        <v/>
      </c>
      <c r="G333" s="2" t="str">
        <f>IF(Table1[[#This Row],[Is Data Valid]]=TRUE,((Table1[[#This Row],[Birthweight (grams)]]/Table1[[#This Row],[BW_GA]])-1)/(Backend!$B$4/100*Table1[[#This Row],[BW40_3705]]),"")</f>
        <v/>
      </c>
      <c r="H333" s="7" t="str">
        <f>IF(Table1[[#This Row],[Is Data Valid]]=TRUE,((Table1[[#This Row],[Birthweight (grams)]]*0.9/Table1[[#This Row],[BW_GA]])-1)/(Backend!$B$4/100*Table1[[#This Row],[BW40_3705]]),"")</f>
        <v/>
      </c>
      <c r="I333" s="7" t="str">
        <f>IF(Table1[[#This Row],[Is Data Valid]]=TRUE,((Table1[[#This Row],[Birthweight (grams)]]*1.1/Table1[[#This Row],[BW_GA]])-1)/(Backend!$B$4/100*Table1[[#This Row],[BW40_3705]]),"")</f>
        <v/>
      </c>
      <c r="J333" s="7" t="str">
        <f>IF(Table1[[#This Row],[Is Data Valid]]=TRUE,_xlfn.NORM.S.DIST(Table1[[#This Row],[Birthweight Z-Score]],TRUE)*100,"")</f>
        <v/>
      </c>
      <c r="K333" s="7" t="str">
        <f>IF(Table1[[#This Row],[Is Data Valid]]=TRUE,_xlfn.NORM.S.DIST(Table1[[#This Row],[Birthweight Z-Score (BW-10%)]],TRUE)*100,"")</f>
        <v/>
      </c>
      <c r="L333" s="7" t="str">
        <f>IF(Table1[[#This Row],[Is Data Valid]]=TRUE,_xlfn.NORM.S.DIST(Table1[[#This Row],[Birthweight Z-Score (BW+10%)]],TRUE)*100,"")</f>
        <v/>
      </c>
    </row>
    <row r="334" spans="1:12" x14ac:dyDescent="0.35">
      <c r="A334" s="3"/>
      <c r="B334" s="2"/>
      <c r="C334" s="2"/>
      <c r="D334" s="2" t="b">
        <f>IF(AND(NOT(ISBLANK(Table1[[#This Row],[Fetal Sex (Male, Female or Unknown)]])),ISNUMBER(Table1[[#This Row],[Birthweight (grams)]]),ISNUMBER(Table1[[#This Row],[Gestation (days)]])),TRUE,FALSE)</f>
        <v>0</v>
      </c>
      <c r="E334" s="2" t="str">
        <f>IF(Table1[[#This Row],[Is Data Valid]]=TRUE,IF(Table1[[#This Row],[Fetal Sex (Male, Female or Unknown)]]="Male",Backend!$C$6,IF(Table1[[#This Row],[Fetal Sex (Male, Female or Unknown)]]="Female",Backend!$C$7,IF(Table1[[#This Row],[Fetal Sex (Male, Female or Unknown)]]="Unknown",Backend!$C$8,"Error"))),"")</f>
        <v/>
      </c>
      <c r="F334" s="8" t="str">
        <f>IF(Table1[[#This Row],[Is Data Valid]]=TRUE,EXP(0.578+0.332*((Table1[[#This Row],[Gestation (days)]]+0.5)/7)-0.00354*((Table1[[#This Row],[Gestation (days)]]+0.5)/7)^2)*Table1[[#This Row],[BW40_3705]],"")</f>
        <v/>
      </c>
      <c r="G334" s="2" t="str">
        <f>IF(Table1[[#This Row],[Is Data Valid]]=TRUE,((Table1[[#This Row],[Birthweight (grams)]]/Table1[[#This Row],[BW_GA]])-1)/(Backend!$B$4/100*Table1[[#This Row],[BW40_3705]]),"")</f>
        <v/>
      </c>
      <c r="H334" s="7" t="str">
        <f>IF(Table1[[#This Row],[Is Data Valid]]=TRUE,((Table1[[#This Row],[Birthweight (grams)]]*0.9/Table1[[#This Row],[BW_GA]])-1)/(Backend!$B$4/100*Table1[[#This Row],[BW40_3705]]),"")</f>
        <v/>
      </c>
      <c r="I334" s="7" t="str">
        <f>IF(Table1[[#This Row],[Is Data Valid]]=TRUE,((Table1[[#This Row],[Birthweight (grams)]]*1.1/Table1[[#This Row],[BW_GA]])-1)/(Backend!$B$4/100*Table1[[#This Row],[BW40_3705]]),"")</f>
        <v/>
      </c>
      <c r="J334" s="7" t="str">
        <f>IF(Table1[[#This Row],[Is Data Valid]]=TRUE,_xlfn.NORM.S.DIST(Table1[[#This Row],[Birthweight Z-Score]],TRUE)*100,"")</f>
        <v/>
      </c>
      <c r="K334" s="7" t="str">
        <f>IF(Table1[[#This Row],[Is Data Valid]]=TRUE,_xlfn.NORM.S.DIST(Table1[[#This Row],[Birthweight Z-Score (BW-10%)]],TRUE)*100,"")</f>
        <v/>
      </c>
      <c r="L334" s="7" t="str">
        <f>IF(Table1[[#This Row],[Is Data Valid]]=TRUE,_xlfn.NORM.S.DIST(Table1[[#This Row],[Birthweight Z-Score (BW+10%)]],TRUE)*100,"")</f>
        <v/>
      </c>
    </row>
    <row r="335" spans="1:12" x14ac:dyDescent="0.35">
      <c r="A335" s="3"/>
      <c r="B335" s="2"/>
      <c r="C335" s="2"/>
      <c r="D335" s="2" t="b">
        <f>IF(AND(NOT(ISBLANK(Table1[[#This Row],[Fetal Sex (Male, Female or Unknown)]])),ISNUMBER(Table1[[#This Row],[Birthweight (grams)]]),ISNUMBER(Table1[[#This Row],[Gestation (days)]])),TRUE,FALSE)</f>
        <v>0</v>
      </c>
      <c r="E335" s="2" t="str">
        <f>IF(Table1[[#This Row],[Is Data Valid]]=TRUE,IF(Table1[[#This Row],[Fetal Sex (Male, Female or Unknown)]]="Male",Backend!$C$6,IF(Table1[[#This Row],[Fetal Sex (Male, Female or Unknown)]]="Female",Backend!$C$7,IF(Table1[[#This Row],[Fetal Sex (Male, Female or Unknown)]]="Unknown",Backend!$C$8,"Error"))),"")</f>
        <v/>
      </c>
      <c r="F335" s="8" t="str">
        <f>IF(Table1[[#This Row],[Is Data Valid]]=TRUE,EXP(0.578+0.332*((Table1[[#This Row],[Gestation (days)]]+0.5)/7)-0.00354*((Table1[[#This Row],[Gestation (days)]]+0.5)/7)^2)*Table1[[#This Row],[BW40_3705]],"")</f>
        <v/>
      </c>
      <c r="G335" s="2" t="str">
        <f>IF(Table1[[#This Row],[Is Data Valid]]=TRUE,((Table1[[#This Row],[Birthweight (grams)]]/Table1[[#This Row],[BW_GA]])-1)/(Backend!$B$4/100*Table1[[#This Row],[BW40_3705]]),"")</f>
        <v/>
      </c>
      <c r="H335" s="7" t="str">
        <f>IF(Table1[[#This Row],[Is Data Valid]]=TRUE,((Table1[[#This Row],[Birthweight (grams)]]*0.9/Table1[[#This Row],[BW_GA]])-1)/(Backend!$B$4/100*Table1[[#This Row],[BW40_3705]]),"")</f>
        <v/>
      </c>
      <c r="I335" s="7" t="str">
        <f>IF(Table1[[#This Row],[Is Data Valid]]=TRUE,((Table1[[#This Row],[Birthweight (grams)]]*1.1/Table1[[#This Row],[BW_GA]])-1)/(Backend!$B$4/100*Table1[[#This Row],[BW40_3705]]),"")</f>
        <v/>
      </c>
      <c r="J335" s="7" t="str">
        <f>IF(Table1[[#This Row],[Is Data Valid]]=TRUE,_xlfn.NORM.S.DIST(Table1[[#This Row],[Birthweight Z-Score]],TRUE)*100,"")</f>
        <v/>
      </c>
      <c r="K335" s="7" t="str">
        <f>IF(Table1[[#This Row],[Is Data Valid]]=TRUE,_xlfn.NORM.S.DIST(Table1[[#This Row],[Birthweight Z-Score (BW-10%)]],TRUE)*100,"")</f>
        <v/>
      </c>
      <c r="L335" s="7" t="str">
        <f>IF(Table1[[#This Row],[Is Data Valid]]=TRUE,_xlfn.NORM.S.DIST(Table1[[#This Row],[Birthweight Z-Score (BW+10%)]],TRUE)*100,"")</f>
        <v/>
      </c>
    </row>
    <row r="336" spans="1:12" x14ac:dyDescent="0.35">
      <c r="A336" s="3"/>
      <c r="B336" s="2"/>
      <c r="C336" s="2"/>
      <c r="D336" s="2" t="b">
        <f>IF(AND(NOT(ISBLANK(Table1[[#This Row],[Fetal Sex (Male, Female or Unknown)]])),ISNUMBER(Table1[[#This Row],[Birthweight (grams)]]),ISNUMBER(Table1[[#This Row],[Gestation (days)]])),TRUE,FALSE)</f>
        <v>0</v>
      </c>
      <c r="E336" s="2" t="str">
        <f>IF(Table1[[#This Row],[Is Data Valid]]=TRUE,IF(Table1[[#This Row],[Fetal Sex (Male, Female or Unknown)]]="Male",Backend!$C$6,IF(Table1[[#This Row],[Fetal Sex (Male, Female or Unknown)]]="Female",Backend!$C$7,IF(Table1[[#This Row],[Fetal Sex (Male, Female or Unknown)]]="Unknown",Backend!$C$8,"Error"))),"")</f>
        <v/>
      </c>
      <c r="F336" s="8" t="str">
        <f>IF(Table1[[#This Row],[Is Data Valid]]=TRUE,EXP(0.578+0.332*((Table1[[#This Row],[Gestation (days)]]+0.5)/7)-0.00354*((Table1[[#This Row],[Gestation (days)]]+0.5)/7)^2)*Table1[[#This Row],[BW40_3705]],"")</f>
        <v/>
      </c>
      <c r="G336" s="2" t="str">
        <f>IF(Table1[[#This Row],[Is Data Valid]]=TRUE,((Table1[[#This Row],[Birthweight (grams)]]/Table1[[#This Row],[BW_GA]])-1)/(Backend!$B$4/100*Table1[[#This Row],[BW40_3705]]),"")</f>
        <v/>
      </c>
      <c r="H336" s="7" t="str">
        <f>IF(Table1[[#This Row],[Is Data Valid]]=TRUE,((Table1[[#This Row],[Birthweight (grams)]]*0.9/Table1[[#This Row],[BW_GA]])-1)/(Backend!$B$4/100*Table1[[#This Row],[BW40_3705]]),"")</f>
        <v/>
      </c>
      <c r="I336" s="7" t="str">
        <f>IF(Table1[[#This Row],[Is Data Valid]]=TRUE,((Table1[[#This Row],[Birthweight (grams)]]*1.1/Table1[[#This Row],[BW_GA]])-1)/(Backend!$B$4/100*Table1[[#This Row],[BW40_3705]]),"")</f>
        <v/>
      </c>
      <c r="J336" s="7" t="str">
        <f>IF(Table1[[#This Row],[Is Data Valid]]=TRUE,_xlfn.NORM.S.DIST(Table1[[#This Row],[Birthweight Z-Score]],TRUE)*100,"")</f>
        <v/>
      </c>
      <c r="K336" s="7" t="str">
        <f>IF(Table1[[#This Row],[Is Data Valid]]=TRUE,_xlfn.NORM.S.DIST(Table1[[#This Row],[Birthweight Z-Score (BW-10%)]],TRUE)*100,"")</f>
        <v/>
      </c>
      <c r="L336" s="7" t="str">
        <f>IF(Table1[[#This Row],[Is Data Valid]]=TRUE,_xlfn.NORM.S.DIST(Table1[[#This Row],[Birthweight Z-Score (BW+10%)]],TRUE)*100,"")</f>
        <v/>
      </c>
    </row>
    <row r="337" spans="1:12" x14ac:dyDescent="0.35">
      <c r="A337" s="3"/>
      <c r="B337" s="2"/>
      <c r="C337" s="2"/>
      <c r="D337" s="2" t="b">
        <f>IF(AND(NOT(ISBLANK(Table1[[#This Row],[Fetal Sex (Male, Female or Unknown)]])),ISNUMBER(Table1[[#This Row],[Birthweight (grams)]]),ISNUMBER(Table1[[#This Row],[Gestation (days)]])),TRUE,FALSE)</f>
        <v>0</v>
      </c>
      <c r="E337" s="2" t="str">
        <f>IF(Table1[[#This Row],[Is Data Valid]]=TRUE,IF(Table1[[#This Row],[Fetal Sex (Male, Female or Unknown)]]="Male",Backend!$C$6,IF(Table1[[#This Row],[Fetal Sex (Male, Female or Unknown)]]="Female",Backend!$C$7,IF(Table1[[#This Row],[Fetal Sex (Male, Female or Unknown)]]="Unknown",Backend!$C$8,"Error"))),"")</f>
        <v/>
      </c>
      <c r="F337" s="8" t="str">
        <f>IF(Table1[[#This Row],[Is Data Valid]]=TRUE,EXP(0.578+0.332*((Table1[[#This Row],[Gestation (days)]]+0.5)/7)-0.00354*((Table1[[#This Row],[Gestation (days)]]+0.5)/7)^2)*Table1[[#This Row],[BW40_3705]],"")</f>
        <v/>
      </c>
      <c r="G337" s="2" t="str">
        <f>IF(Table1[[#This Row],[Is Data Valid]]=TRUE,((Table1[[#This Row],[Birthweight (grams)]]/Table1[[#This Row],[BW_GA]])-1)/(Backend!$B$4/100*Table1[[#This Row],[BW40_3705]]),"")</f>
        <v/>
      </c>
      <c r="H337" s="7" t="str">
        <f>IF(Table1[[#This Row],[Is Data Valid]]=TRUE,((Table1[[#This Row],[Birthweight (grams)]]*0.9/Table1[[#This Row],[BW_GA]])-1)/(Backend!$B$4/100*Table1[[#This Row],[BW40_3705]]),"")</f>
        <v/>
      </c>
      <c r="I337" s="7" t="str">
        <f>IF(Table1[[#This Row],[Is Data Valid]]=TRUE,((Table1[[#This Row],[Birthweight (grams)]]*1.1/Table1[[#This Row],[BW_GA]])-1)/(Backend!$B$4/100*Table1[[#This Row],[BW40_3705]]),"")</f>
        <v/>
      </c>
      <c r="J337" s="7" t="str">
        <f>IF(Table1[[#This Row],[Is Data Valid]]=TRUE,_xlfn.NORM.S.DIST(Table1[[#This Row],[Birthweight Z-Score]],TRUE)*100,"")</f>
        <v/>
      </c>
      <c r="K337" s="7" t="str">
        <f>IF(Table1[[#This Row],[Is Data Valid]]=TRUE,_xlfn.NORM.S.DIST(Table1[[#This Row],[Birthweight Z-Score (BW-10%)]],TRUE)*100,"")</f>
        <v/>
      </c>
      <c r="L337" s="7" t="str">
        <f>IF(Table1[[#This Row],[Is Data Valid]]=TRUE,_xlfn.NORM.S.DIST(Table1[[#This Row],[Birthweight Z-Score (BW+10%)]],TRUE)*100,"")</f>
        <v/>
      </c>
    </row>
    <row r="338" spans="1:12" x14ac:dyDescent="0.35">
      <c r="A338" s="3"/>
      <c r="B338" s="2"/>
      <c r="C338" s="2"/>
      <c r="D338" s="2" t="b">
        <f>IF(AND(NOT(ISBLANK(Table1[[#This Row],[Fetal Sex (Male, Female or Unknown)]])),ISNUMBER(Table1[[#This Row],[Birthweight (grams)]]),ISNUMBER(Table1[[#This Row],[Gestation (days)]])),TRUE,FALSE)</f>
        <v>0</v>
      </c>
      <c r="E338" s="2" t="str">
        <f>IF(Table1[[#This Row],[Is Data Valid]]=TRUE,IF(Table1[[#This Row],[Fetal Sex (Male, Female or Unknown)]]="Male",Backend!$C$6,IF(Table1[[#This Row],[Fetal Sex (Male, Female or Unknown)]]="Female",Backend!$C$7,IF(Table1[[#This Row],[Fetal Sex (Male, Female or Unknown)]]="Unknown",Backend!$C$8,"Error"))),"")</f>
        <v/>
      </c>
      <c r="F338" s="8" t="str">
        <f>IF(Table1[[#This Row],[Is Data Valid]]=TRUE,EXP(0.578+0.332*((Table1[[#This Row],[Gestation (days)]]+0.5)/7)-0.00354*((Table1[[#This Row],[Gestation (days)]]+0.5)/7)^2)*Table1[[#This Row],[BW40_3705]],"")</f>
        <v/>
      </c>
      <c r="G338" s="2" t="str">
        <f>IF(Table1[[#This Row],[Is Data Valid]]=TRUE,((Table1[[#This Row],[Birthweight (grams)]]/Table1[[#This Row],[BW_GA]])-1)/(Backend!$B$4/100*Table1[[#This Row],[BW40_3705]]),"")</f>
        <v/>
      </c>
      <c r="H338" s="7" t="str">
        <f>IF(Table1[[#This Row],[Is Data Valid]]=TRUE,((Table1[[#This Row],[Birthweight (grams)]]*0.9/Table1[[#This Row],[BW_GA]])-1)/(Backend!$B$4/100*Table1[[#This Row],[BW40_3705]]),"")</f>
        <v/>
      </c>
      <c r="I338" s="7" t="str">
        <f>IF(Table1[[#This Row],[Is Data Valid]]=TRUE,((Table1[[#This Row],[Birthweight (grams)]]*1.1/Table1[[#This Row],[BW_GA]])-1)/(Backend!$B$4/100*Table1[[#This Row],[BW40_3705]]),"")</f>
        <v/>
      </c>
      <c r="J338" s="7" t="str">
        <f>IF(Table1[[#This Row],[Is Data Valid]]=TRUE,_xlfn.NORM.S.DIST(Table1[[#This Row],[Birthweight Z-Score]],TRUE)*100,"")</f>
        <v/>
      </c>
      <c r="K338" s="7" t="str">
        <f>IF(Table1[[#This Row],[Is Data Valid]]=TRUE,_xlfn.NORM.S.DIST(Table1[[#This Row],[Birthweight Z-Score (BW-10%)]],TRUE)*100,"")</f>
        <v/>
      </c>
      <c r="L338" s="7" t="str">
        <f>IF(Table1[[#This Row],[Is Data Valid]]=TRUE,_xlfn.NORM.S.DIST(Table1[[#This Row],[Birthweight Z-Score (BW+10%)]],TRUE)*100,"")</f>
        <v/>
      </c>
    </row>
    <row r="339" spans="1:12" x14ac:dyDescent="0.35">
      <c r="A339" s="3"/>
      <c r="B339" s="2"/>
      <c r="C339" s="2"/>
      <c r="D339" s="2" t="b">
        <f>IF(AND(NOT(ISBLANK(Table1[[#This Row],[Fetal Sex (Male, Female or Unknown)]])),ISNUMBER(Table1[[#This Row],[Birthweight (grams)]]),ISNUMBER(Table1[[#This Row],[Gestation (days)]])),TRUE,FALSE)</f>
        <v>0</v>
      </c>
      <c r="E339" s="2" t="str">
        <f>IF(Table1[[#This Row],[Is Data Valid]]=TRUE,IF(Table1[[#This Row],[Fetal Sex (Male, Female or Unknown)]]="Male",Backend!$C$6,IF(Table1[[#This Row],[Fetal Sex (Male, Female or Unknown)]]="Female",Backend!$C$7,IF(Table1[[#This Row],[Fetal Sex (Male, Female or Unknown)]]="Unknown",Backend!$C$8,"Error"))),"")</f>
        <v/>
      </c>
      <c r="F339" s="8" t="str">
        <f>IF(Table1[[#This Row],[Is Data Valid]]=TRUE,EXP(0.578+0.332*((Table1[[#This Row],[Gestation (days)]]+0.5)/7)-0.00354*((Table1[[#This Row],[Gestation (days)]]+0.5)/7)^2)*Table1[[#This Row],[BW40_3705]],"")</f>
        <v/>
      </c>
      <c r="G339" s="2" t="str">
        <f>IF(Table1[[#This Row],[Is Data Valid]]=TRUE,((Table1[[#This Row],[Birthweight (grams)]]/Table1[[#This Row],[BW_GA]])-1)/(Backend!$B$4/100*Table1[[#This Row],[BW40_3705]]),"")</f>
        <v/>
      </c>
      <c r="H339" s="7" t="str">
        <f>IF(Table1[[#This Row],[Is Data Valid]]=TRUE,((Table1[[#This Row],[Birthweight (grams)]]*0.9/Table1[[#This Row],[BW_GA]])-1)/(Backend!$B$4/100*Table1[[#This Row],[BW40_3705]]),"")</f>
        <v/>
      </c>
      <c r="I339" s="7" t="str">
        <f>IF(Table1[[#This Row],[Is Data Valid]]=TRUE,((Table1[[#This Row],[Birthweight (grams)]]*1.1/Table1[[#This Row],[BW_GA]])-1)/(Backend!$B$4/100*Table1[[#This Row],[BW40_3705]]),"")</f>
        <v/>
      </c>
      <c r="J339" s="7" t="str">
        <f>IF(Table1[[#This Row],[Is Data Valid]]=TRUE,_xlfn.NORM.S.DIST(Table1[[#This Row],[Birthweight Z-Score]],TRUE)*100,"")</f>
        <v/>
      </c>
      <c r="K339" s="7" t="str">
        <f>IF(Table1[[#This Row],[Is Data Valid]]=TRUE,_xlfn.NORM.S.DIST(Table1[[#This Row],[Birthweight Z-Score (BW-10%)]],TRUE)*100,"")</f>
        <v/>
      </c>
      <c r="L339" s="7" t="str">
        <f>IF(Table1[[#This Row],[Is Data Valid]]=TRUE,_xlfn.NORM.S.DIST(Table1[[#This Row],[Birthweight Z-Score (BW+10%)]],TRUE)*100,"")</f>
        <v/>
      </c>
    </row>
    <row r="340" spans="1:12" x14ac:dyDescent="0.35">
      <c r="A340" s="3"/>
      <c r="B340" s="2"/>
      <c r="C340" s="2"/>
      <c r="D340" s="2" t="b">
        <f>IF(AND(NOT(ISBLANK(Table1[[#This Row],[Fetal Sex (Male, Female or Unknown)]])),ISNUMBER(Table1[[#This Row],[Birthweight (grams)]]),ISNUMBER(Table1[[#This Row],[Gestation (days)]])),TRUE,FALSE)</f>
        <v>0</v>
      </c>
      <c r="E340" s="2" t="str">
        <f>IF(Table1[[#This Row],[Is Data Valid]]=TRUE,IF(Table1[[#This Row],[Fetal Sex (Male, Female or Unknown)]]="Male",Backend!$C$6,IF(Table1[[#This Row],[Fetal Sex (Male, Female or Unknown)]]="Female",Backend!$C$7,IF(Table1[[#This Row],[Fetal Sex (Male, Female or Unknown)]]="Unknown",Backend!$C$8,"Error"))),"")</f>
        <v/>
      </c>
      <c r="F340" s="8" t="str">
        <f>IF(Table1[[#This Row],[Is Data Valid]]=TRUE,EXP(0.578+0.332*((Table1[[#This Row],[Gestation (days)]]+0.5)/7)-0.00354*((Table1[[#This Row],[Gestation (days)]]+0.5)/7)^2)*Table1[[#This Row],[BW40_3705]],"")</f>
        <v/>
      </c>
      <c r="G340" s="2" t="str">
        <f>IF(Table1[[#This Row],[Is Data Valid]]=TRUE,((Table1[[#This Row],[Birthweight (grams)]]/Table1[[#This Row],[BW_GA]])-1)/(Backend!$B$4/100*Table1[[#This Row],[BW40_3705]]),"")</f>
        <v/>
      </c>
      <c r="H340" s="7" t="str">
        <f>IF(Table1[[#This Row],[Is Data Valid]]=TRUE,((Table1[[#This Row],[Birthweight (grams)]]*0.9/Table1[[#This Row],[BW_GA]])-1)/(Backend!$B$4/100*Table1[[#This Row],[BW40_3705]]),"")</f>
        <v/>
      </c>
      <c r="I340" s="7" t="str">
        <f>IF(Table1[[#This Row],[Is Data Valid]]=TRUE,((Table1[[#This Row],[Birthweight (grams)]]*1.1/Table1[[#This Row],[BW_GA]])-1)/(Backend!$B$4/100*Table1[[#This Row],[BW40_3705]]),"")</f>
        <v/>
      </c>
      <c r="J340" s="7" t="str">
        <f>IF(Table1[[#This Row],[Is Data Valid]]=TRUE,_xlfn.NORM.S.DIST(Table1[[#This Row],[Birthweight Z-Score]],TRUE)*100,"")</f>
        <v/>
      </c>
      <c r="K340" s="7" t="str">
        <f>IF(Table1[[#This Row],[Is Data Valid]]=TRUE,_xlfn.NORM.S.DIST(Table1[[#This Row],[Birthweight Z-Score (BW-10%)]],TRUE)*100,"")</f>
        <v/>
      </c>
      <c r="L340" s="7" t="str">
        <f>IF(Table1[[#This Row],[Is Data Valid]]=TRUE,_xlfn.NORM.S.DIST(Table1[[#This Row],[Birthweight Z-Score (BW+10%)]],TRUE)*100,"")</f>
        <v/>
      </c>
    </row>
    <row r="341" spans="1:12" x14ac:dyDescent="0.35">
      <c r="A341" s="3"/>
      <c r="B341" s="2"/>
      <c r="C341" s="2"/>
      <c r="D341" s="2" t="b">
        <f>IF(AND(NOT(ISBLANK(Table1[[#This Row],[Fetal Sex (Male, Female or Unknown)]])),ISNUMBER(Table1[[#This Row],[Birthweight (grams)]]),ISNUMBER(Table1[[#This Row],[Gestation (days)]])),TRUE,FALSE)</f>
        <v>0</v>
      </c>
      <c r="E341" s="2" t="str">
        <f>IF(Table1[[#This Row],[Is Data Valid]]=TRUE,IF(Table1[[#This Row],[Fetal Sex (Male, Female or Unknown)]]="Male",Backend!$C$6,IF(Table1[[#This Row],[Fetal Sex (Male, Female or Unknown)]]="Female",Backend!$C$7,IF(Table1[[#This Row],[Fetal Sex (Male, Female or Unknown)]]="Unknown",Backend!$C$8,"Error"))),"")</f>
        <v/>
      </c>
      <c r="F341" s="8" t="str">
        <f>IF(Table1[[#This Row],[Is Data Valid]]=TRUE,EXP(0.578+0.332*((Table1[[#This Row],[Gestation (days)]]+0.5)/7)-0.00354*((Table1[[#This Row],[Gestation (days)]]+0.5)/7)^2)*Table1[[#This Row],[BW40_3705]],"")</f>
        <v/>
      </c>
      <c r="G341" s="2" t="str">
        <f>IF(Table1[[#This Row],[Is Data Valid]]=TRUE,((Table1[[#This Row],[Birthweight (grams)]]/Table1[[#This Row],[BW_GA]])-1)/(Backend!$B$4/100*Table1[[#This Row],[BW40_3705]]),"")</f>
        <v/>
      </c>
      <c r="H341" s="7" t="str">
        <f>IF(Table1[[#This Row],[Is Data Valid]]=TRUE,((Table1[[#This Row],[Birthweight (grams)]]*0.9/Table1[[#This Row],[BW_GA]])-1)/(Backend!$B$4/100*Table1[[#This Row],[BW40_3705]]),"")</f>
        <v/>
      </c>
      <c r="I341" s="7" t="str">
        <f>IF(Table1[[#This Row],[Is Data Valid]]=TRUE,((Table1[[#This Row],[Birthweight (grams)]]*1.1/Table1[[#This Row],[BW_GA]])-1)/(Backend!$B$4/100*Table1[[#This Row],[BW40_3705]]),"")</f>
        <v/>
      </c>
      <c r="J341" s="7" t="str">
        <f>IF(Table1[[#This Row],[Is Data Valid]]=TRUE,_xlfn.NORM.S.DIST(Table1[[#This Row],[Birthweight Z-Score]],TRUE)*100,"")</f>
        <v/>
      </c>
      <c r="K341" s="7" t="str">
        <f>IF(Table1[[#This Row],[Is Data Valid]]=TRUE,_xlfn.NORM.S.DIST(Table1[[#This Row],[Birthweight Z-Score (BW-10%)]],TRUE)*100,"")</f>
        <v/>
      </c>
      <c r="L341" s="7" t="str">
        <f>IF(Table1[[#This Row],[Is Data Valid]]=TRUE,_xlfn.NORM.S.DIST(Table1[[#This Row],[Birthweight Z-Score (BW+10%)]],TRUE)*100,"")</f>
        <v/>
      </c>
    </row>
    <row r="342" spans="1:12" x14ac:dyDescent="0.35">
      <c r="A342" s="3"/>
      <c r="B342" s="2"/>
      <c r="C342" s="2"/>
      <c r="D342" s="2" t="b">
        <f>IF(AND(NOT(ISBLANK(Table1[[#This Row],[Fetal Sex (Male, Female or Unknown)]])),ISNUMBER(Table1[[#This Row],[Birthweight (grams)]]),ISNUMBER(Table1[[#This Row],[Gestation (days)]])),TRUE,FALSE)</f>
        <v>0</v>
      </c>
      <c r="E342" s="2" t="str">
        <f>IF(Table1[[#This Row],[Is Data Valid]]=TRUE,IF(Table1[[#This Row],[Fetal Sex (Male, Female or Unknown)]]="Male",Backend!$C$6,IF(Table1[[#This Row],[Fetal Sex (Male, Female or Unknown)]]="Female",Backend!$C$7,IF(Table1[[#This Row],[Fetal Sex (Male, Female or Unknown)]]="Unknown",Backend!$C$8,"Error"))),"")</f>
        <v/>
      </c>
      <c r="F342" s="8" t="str">
        <f>IF(Table1[[#This Row],[Is Data Valid]]=TRUE,EXP(0.578+0.332*((Table1[[#This Row],[Gestation (days)]]+0.5)/7)-0.00354*((Table1[[#This Row],[Gestation (days)]]+0.5)/7)^2)*Table1[[#This Row],[BW40_3705]],"")</f>
        <v/>
      </c>
      <c r="G342" s="2" t="str">
        <f>IF(Table1[[#This Row],[Is Data Valid]]=TRUE,((Table1[[#This Row],[Birthweight (grams)]]/Table1[[#This Row],[BW_GA]])-1)/(Backend!$B$4/100*Table1[[#This Row],[BW40_3705]]),"")</f>
        <v/>
      </c>
      <c r="H342" s="7" t="str">
        <f>IF(Table1[[#This Row],[Is Data Valid]]=TRUE,((Table1[[#This Row],[Birthweight (grams)]]*0.9/Table1[[#This Row],[BW_GA]])-1)/(Backend!$B$4/100*Table1[[#This Row],[BW40_3705]]),"")</f>
        <v/>
      </c>
      <c r="I342" s="7" t="str">
        <f>IF(Table1[[#This Row],[Is Data Valid]]=TRUE,((Table1[[#This Row],[Birthweight (grams)]]*1.1/Table1[[#This Row],[BW_GA]])-1)/(Backend!$B$4/100*Table1[[#This Row],[BW40_3705]]),"")</f>
        <v/>
      </c>
      <c r="J342" s="7" t="str">
        <f>IF(Table1[[#This Row],[Is Data Valid]]=TRUE,_xlfn.NORM.S.DIST(Table1[[#This Row],[Birthweight Z-Score]],TRUE)*100,"")</f>
        <v/>
      </c>
      <c r="K342" s="7" t="str">
        <f>IF(Table1[[#This Row],[Is Data Valid]]=TRUE,_xlfn.NORM.S.DIST(Table1[[#This Row],[Birthweight Z-Score (BW-10%)]],TRUE)*100,"")</f>
        <v/>
      </c>
      <c r="L342" s="7" t="str">
        <f>IF(Table1[[#This Row],[Is Data Valid]]=TRUE,_xlfn.NORM.S.DIST(Table1[[#This Row],[Birthweight Z-Score (BW+10%)]],TRUE)*100,"")</f>
        <v/>
      </c>
    </row>
    <row r="343" spans="1:12" x14ac:dyDescent="0.35">
      <c r="A343" s="3"/>
      <c r="B343" s="2"/>
      <c r="C343" s="2"/>
      <c r="D343" s="2" t="b">
        <f>IF(AND(NOT(ISBLANK(Table1[[#This Row],[Fetal Sex (Male, Female or Unknown)]])),ISNUMBER(Table1[[#This Row],[Birthweight (grams)]]),ISNUMBER(Table1[[#This Row],[Gestation (days)]])),TRUE,FALSE)</f>
        <v>0</v>
      </c>
      <c r="E343" s="2" t="str">
        <f>IF(Table1[[#This Row],[Is Data Valid]]=TRUE,IF(Table1[[#This Row],[Fetal Sex (Male, Female or Unknown)]]="Male",Backend!$C$6,IF(Table1[[#This Row],[Fetal Sex (Male, Female or Unknown)]]="Female",Backend!$C$7,IF(Table1[[#This Row],[Fetal Sex (Male, Female or Unknown)]]="Unknown",Backend!$C$8,"Error"))),"")</f>
        <v/>
      </c>
      <c r="F343" s="8" t="str">
        <f>IF(Table1[[#This Row],[Is Data Valid]]=TRUE,EXP(0.578+0.332*((Table1[[#This Row],[Gestation (days)]]+0.5)/7)-0.00354*((Table1[[#This Row],[Gestation (days)]]+0.5)/7)^2)*Table1[[#This Row],[BW40_3705]],"")</f>
        <v/>
      </c>
      <c r="G343" s="2" t="str">
        <f>IF(Table1[[#This Row],[Is Data Valid]]=TRUE,((Table1[[#This Row],[Birthweight (grams)]]/Table1[[#This Row],[BW_GA]])-1)/(Backend!$B$4/100*Table1[[#This Row],[BW40_3705]]),"")</f>
        <v/>
      </c>
      <c r="H343" s="7" t="str">
        <f>IF(Table1[[#This Row],[Is Data Valid]]=TRUE,((Table1[[#This Row],[Birthweight (grams)]]*0.9/Table1[[#This Row],[BW_GA]])-1)/(Backend!$B$4/100*Table1[[#This Row],[BW40_3705]]),"")</f>
        <v/>
      </c>
      <c r="I343" s="7" t="str">
        <f>IF(Table1[[#This Row],[Is Data Valid]]=TRUE,((Table1[[#This Row],[Birthweight (grams)]]*1.1/Table1[[#This Row],[BW_GA]])-1)/(Backend!$B$4/100*Table1[[#This Row],[BW40_3705]]),"")</f>
        <v/>
      </c>
      <c r="J343" s="7" t="str">
        <f>IF(Table1[[#This Row],[Is Data Valid]]=TRUE,_xlfn.NORM.S.DIST(Table1[[#This Row],[Birthweight Z-Score]],TRUE)*100,"")</f>
        <v/>
      </c>
      <c r="K343" s="7" t="str">
        <f>IF(Table1[[#This Row],[Is Data Valid]]=TRUE,_xlfn.NORM.S.DIST(Table1[[#This Row],[Birthweight Z-Score (BW-10%)]],TRUE)*100,"")</f>
        <v/>
      </c>
      <c r="L343" s="7" t="str">
        <f>IF(Table1[[#This Row],[Is Data Valid]]=TRUE,_xlfn.NORM.S.DIST(Table1[[#This Row],[Birthweight Z-Score (BW+10%)]],TRUE)*100,"")</f>
        <v/>
      </c>
    </row>
    <row r="344" spans="1:12" x14ac:dyDescent="0.35">
      <c r="A344" s="3"/>
      <c r="B344" s="2"/>
      <c r="C344" s="2"/>
      <c r="D344" s="2" t="b">
        <f>IF(AND(NOT(ISBLANK(Table1[[#This Row],[Fetal Sex (Male, Female or Unknown)]])),ISNUMBER(Table1[[#This Row],[Birthweight (grams)]]),ISNUMBER(Table1[[#This Row],[Gestation (days)]])),TRUE,FALSE)</f>
        <v>0</v>
      </c>
      <c r="E344" s="2" t="str">
        <f>IF(Table1[[#This Row],[Is Data Valid]]=TRUE,IF(Table1[[#This Row],[Fetal Sex (Male, Female or Unknown)]]="Male",Backend!$C$6,IF(Table1[[#This Row],[Fetal Sex (Male, Female or Unknown)]]="Female",Backend!$C$7,IF(Table1[[#This Row],[Fetal Sex (Male, Female or Unknown)]]="Unknown",Backend!$C$8,"Error"))),"")</f>
        <v/>
      </c>
      <c r="F344" s="8" t="str">
        <f>IF(Table1[[#This Row],[Is Data Valid]]=TRUE,EXP(0.578+0.332*((Table1[[#This Row],[Gestation (days)]]+0.5)/7)-0.00354*((Table1[[#This Row],[Gestation (days)]]+0.5)/7)^2)*Table1[[#This Row],[BW40_3705]],"")</f>
        <v/>
      </c>
      <c r="G344" s="2" t="str">
        <f>IF(Table1[[#This Row],[Is Data Valid]]=TRUE,((Table1[[#This Row],[Birthweight (grams)]]/Table1[[#This Row],[BW_GA]])-1)/(Backend!$B$4/100*Table1[[#This Row],[BW40_3705]]),"")</f>
        <v/>
      </c>
      <c r="H344" s="7" t="str">
        <f>IF(Table1[[#This Row],[Is Data Valid]]=TRUE,((Table1[[#This Row],[Birthweight (grams)]]*0.9/Table1[[#This Row],[BW_GA]])-1)/(Backend!$B$4/100*Table1[[#This Row],[BW40_3705]]),"")</f>
        <v/>
      </c>
      <c r="I344" s="7" t="str">
        <f>IF(Table1[[#This Row],[Is Data Valid]]=TRUE,((Table1[[#This Row],[Birthweight (grams)]]*1.1/Table1[[#This Row],[BW_GA]])-1)/(Backend!$B$4/100*Table1[[#This Row],[BW40_3705]]),"")</f>
        <v/>
      </c>
      <c r="J344" s="7" t="str">
        <f>IF(Table1[[#This Row],[Is Data Valid]]=TRUE,_xlfn.NORM.S.DIST(Table1[[#This Row],[Birthweight Z-Score]],TRUE)*100,"")</f>
        <v/>
      </c>
      <c r="K344" s="7" t="str">
        <f>IF(Table1[[#This Row],[Is Data Valid]]=TRUE,_xlfn.NORM.S.DIST(Table1[[#This Row],[Birthweight Z-Score (BW-10%)]],TRUE)*100,"")</f>
        <v/>
      </c>
      <c r="L344" s="7" t="str">
        <f>IF(Table1[[#This Row],[Is Data Valid]]=TRUE,_xlfn.NORM.S.DIST(Table1[[#This Row],[Birthweight Z-Score (BW+10%)]],TRUE)*100,"")</f>
        <v/>
      </c>
    </row>
    <row r="345" spans="1:12" x14ac:dyDescent="0.35">
      <c r="A345" s="3"/>
      <c r="B345" s="2"/>
      <c r="C345" s="2"/>
      <c r="D345" s="2" t="b">
        <f>IF(AND(NOT(ISBLANK(Table1[[#This Row],[Fetal Sex (Male, Female or Unknown)]])),ISNUMBER(Table1[[#This Row],[Birthweight (grams)]]),ISNUMBER(Table1[[#This Row],[Gestation (days)]])),TRUE,FALSE)</f>
        <v>0</v>
      </c>
      <c r="E345" s="2" t="str">
        <f>IF(Table1[[#This Row],[Is Data Valid]]=TRUE,IF(Table1[[#This Row],[Fetal Sex (Male, Female or Unknown)]]="Male",Backend!$C$6,IF(Table1[[#This Row],[Fetal Sex (Male, Female or Unknown)]]="Female",Backend!$C$7,IF(Table1[[#This Row],[Fetal Sex (Male, Female or Unknown)]]="Unknown",Backend!$C$8,"Error"))),"")</f>
        <v/>
      </c>
      <c r="F345" s="8" t="str">
        <f>IF(Table1[[#This Row],[Is Data Valid]]=TRUE,EXP(0.578+0.332*((Table1[[#This Row],[Gestation (days)]]+0.5)/7)-0.00354*((Table1[[#This Row],[Gestation (days)]]+0.5)/7)^2)*Table1[[#This Row],[BW40_3705]],"")</f>
        <v/>
      </c>
      <c r="G345" s="2" t="str">
        <f>IF(Table1[[#This Row],[Is Data Valid]]=TRUE,((Table1[[#This Row],[Birthweight (grams)]]/Table1[[#This Row],[BW_GA]])-1)/(Backend!$B$4/100*Table1[[#This Row],[BW40_3705]]),"")</f>
        <v/>
      </c>
      <c r="H345" s="7" t="str">
        <f>IF(Table1[[#This Row],[Is Data Valid]]=TRUE,((Table1[[#This Row],[Birthweight (grams)]]*0.9/Table1[[#This Row],[BW_GA]])-1)/(Backend!$B$4/100*Table1[[#This Row],[BW40_3705]]),"")</f>
        <v/>
      </c>
      <c r="I345" s="7" t="str">
        <f>IF(Table1[[#This Row],[Is Data Valid]]=TRUE,((Table1[[#This Row],[Birthweight (grams)]]*1.1/Table1[[#This Row],[BW_GA]])-1)/(Backend!$B$4/100*Table1[[#This Row],[BW40_3705]]),"")</f>
        <v/>
      </c>
      <c r="J345" s="7" t="str">
        <f>IF(Table1[[#This Row],[Is Data Valid]]=TRUE,_xlfn.NORM.S.DIST(Table1[[#This Row],[Birthweight Z-Score]],TRUE)*100,"")</f>
        <v/>
      </c>
      <c r="K345" s="7" t="str">
        <f>IF(Table1[[#This Row],[Is Data Valid]]=TRUE,_xlfn.NORM.S.DIST(Table1[[#This Row],[Birthweight Z-Score (BW-10%)]],TRUE)*100,"")</f>
        <v/>
      </c>
      <c r="L345" s="7" t="str">
        <f>IF(Table1[[#This Row],[Is Data Valid]]=TRUE,_xlfn.NORM.S.DIST(Table1[[#This Row],[Birthweight Z-Score (BW+10%)]],TRUE)*100,"")</f>
        <v/>
      </c>
    </row>
    <row r="346" spans="1:12" x14ac:dyDescent="0.35">
      <c r="A346" s="3"/>
      <c r="B346" s="2"/>
      <c r="C346" s="2"/>
      <c r="D346" s="2" t="b">
        <f>IF(AND(NOT(ISBLANK(Table1[[#This Row],[Fetal Sex (Male, Female or Unknown)]])),ISNUMBER(Table1[[#This Row],[Birthweight (grams)]]),ISNUMBER(Table1[[#This Row],[Gestation (days)]])),TRUE,FALSE)</f>
        <v>0</v>
      </c>
      <c r="E346" s="2" t="str">
        <f>IF(Table1[[#This Row],[Is Data Valid]]=TRUE,IF(Table1[[#This Row],[Fetal Sex (Male, Female or Unknown)]]="Male",Backend!$C$6,IF(Table1[[#This Row],[Fetal Sex (Male, Female or Unknown)]]="Female",Backend!$C$7,IF(Table1[[#This Row],[Fetal Sex (Male, Female or Unknown)]]="Unknown",Backend!$C$8,"Error"))),"")</f>
        <v/>
      </c>
      <c r="F346" s="8" t="str">
        <f>IF(Table1[[#This Row],[Is Data Valid]]=TRUE,EXP(0.578+0.332*((Table1[[#This Row],[Gestation (days)]]+0.5)/7)-0.00354*((Table1[[#This Row],[Gestation (days)]]+0.5)/7)^2)*Table1[[#This Row],[BW40_3705]],"")</f>
        <v/>
      </c>
      <c r="G346" s="2" t="str">
        <f>IF(Table1[[#This Row],[Is Data Valid]]=TRUE,((Table1[[#This Row],[Birthweight (grams)]]/Table1[[#This Row],[BW_GA]])-1)/(Backend!$B$4/100*Table1[[#This Row],[BW40_3705]]),"")</f>
        <v/>
      </c>
      <c r="H346" s="7" t="str">
        <f>IF(Table1[[#This Row],[Is Data Valid]]=TRUE,((Table1[[#This Row],[Birthweight (grams)]]*0.9/Table1[[#This Row],[BW_GA]])-1)/(Backend!$B$4/100*Table1[[#This Row],[BW40_3705]]),"")</f>
        <v/>
      </c>
      <c r="I346" s="7" t="str">
        <f>IF(Table1[[#This Row],[Is Data Valid]]=TRUE,((Table1[[#This Row],[Birthweight (grams)]]*1.1/Table1[[#This Row],[BW_GA]])-1)/(Backend!$B$4/100*Table1[[#This Row],[BW40_3705]]),"")</f>
        <v/>
      </c>
      <c r="J346" s="7" t="str">
        <f>IF(Table1[[#This Row],[Is Data Valid]]=TRUE,_xlfn.NORM.S.DIST(Table1[[#This Row],[Birthweight Z-Score]],TRUE)*100,"")</f>
        <v/>
      </c>
      <c r="K346" s="7" t="str">
        <f>IF(Table1[[#This Row],[Is Data Valid]]=TRUE,_xlfn.NORM.S.DIST(Table1[[#This Row],[Birthweight Z-Score (BW-10%)]],TRUE)*100,"")</f>
        <v/>
      </c>
      <c r="L346" s="7" t="str">
        <f>IF(Table1[[#This Row],[Is Data Valid]]=TRUE,_xlfn.NORM.S.DIST(Table1[[#This Row],[Birthweight Z-Score (BW+10%)]],TRUE)*100,"")</f>
        <v/>
      </c>
    </row>
    <row r="347" spans="1:12" x14ac:dyDescent="0.35">
      <c r="A347" s="3"/>
      <c r="B347" s="2"/>
      <c r="C347" s="2"/>
      <c r="D347" s="2" t="b">
        <f>IF(AND(NOT(ISBLANK(Table1[[#This Row],[Fetal Sex (Male, Female or Unknown)]])),ISNUMBER(Table1[[#This Row],[Birthweight (grams)]]),ISNUMBER(Table1[[#This Row],[Gestation (days)]])),TRUE,FALSE)</f>
        <v>0</v>
      </c>
      <c r="E347" s="2" t="str">
        <f>IF(Table1[[#This Row],[Is Data Valid]]=TRUE,IF(Table1[[#This Row],[Fetal Sex (Male, Female or Unknown)]]="Male",Backend!$C$6,IF(Table1[[#This Row],[Fetal Sex (Male, Female or Unknown)]]="Female",Backend!$C$7,IF(Table1[[#This Row],[Fetal Sex (Male, Female or Unknown)]]="Unknown",Backend!$C$8,"Error"))),"")</f>
        <v/>
      </c>
      <c r="F347" s="8" t="str">
        <f>IF(Table1[[#This Row],[Is Data Valid]]=TRUE,EXP(0.578+0.332*((Table1[[#This Row],[Gestation (days)]]+0.5)/7)-0.00354*((Table1[[#This Row],[Gestation (days)]]+0.5)/7)^2)*Table1[[#This Row],[BW40_3705]],"")</f>
        <v/>
      </c>
      <c r="G347" s="2" t="str">
        <f>IF(Table1[[#This Row],[Is Data Valid]]=TRUE,((Table1[[#This Row],[Birthweight (grams)]]/Table1[[#This Row],[BW_GA]])-1)/(Backend!$B$4/100*Table1[[#This Row],[BW40_3705]]),"")</f>
        <v/>
      </c>
      <c r="H347" s="7" t="str">
        <f>IF(Table1[[#This Row],[Is Data Valid]]=TRUE,((Table1[[#This Row],[Birthweight (grams)]]*0.9/Table1[[#This Row],[BW_GA]])-1)/(Backend!$B$4/100*Table1[[#This Row],[BW40_3705]]),"")</f>
        <v/>
      </c>
      <c r="I347" s="7" t="str">
        <f>IF(Table1[[#This Row],[Is Data Valid]]=TRUE,((Table1[[#This Row],[Birthweight (grams)]]*1.1/Table1[[#This Row],[BW_GA]])-1)/(Backend!$B$4/100*Table1[[#This Row],[BW40_3705]]),"")</f>
        <v/>
      </c>
      <c r="J347" s="7" t="str">
        <f>IF(Table1[[#This Row],[Is Data Valid]]=TRUE,_xlfn.NORM.S.DIST(Table1[[#This Row],[Birthweight Z-Score]],TRUE)*100,"")</f>
        <v/>
      </c>
      <c r="K347" s="7" t="str">
        <f>IF(Table1[[#This Row],[Is Data Valid]]=TRUE,_xlfn.NORM.S.DIST(Table1[[#This Row],[Birthweight Z-Score (BW-10%)]],TRUE)*100,"")</f>
        <v/>
      </c>
      <c r="L347" s="7" t="str">
        <f>IF(Table1[[#This Row],[Is Data Valid]]=TRUE,_xlfn.NORM.S.DIST(Table1[[#This Row],[Birthweight Z-Score (BW+10%)]],TRUE)*100,"")</f>
        <v/>
      </c>
    </row>
    <row r="348" spans="1:12" x14ac:dyDescent="0.35">
      <c r="A348" s="3"/>
      <c r="B348" s="2"/>
      <c r="C348" s="2"/>
      <c r="D348" s="2" t="b">
        <f>IF(AND(NOT(ISBLANK(Table1[[#This Row],[Fetal Sex (Male, Female or Unknown)]])),ISNUMBER(Table1[[#This Row],[Birthweight (grams)]]),ISNUMBER(Table1[[#This Row],[Gestation (days)]])),TRUE,FALSE)</f>
        <v>0</v>
      </c>
      <c r="E348" s="2" t="str">
        <f>IF(Table1[[#This Row],[Is Data Valid]]=TRUE,IF(Table1[[#This Row],[Fetal Sex (Male, Female or Unknown)]]="Male",Backend!$C$6,IF(Table1[[#This Row],[Fetal Sex (Male, Female or Unknown)]]="Female",Backend!$C$7,IF(Table1[[#This Row],[Fetal Sex (Male, Female or Unknown)]]="Unknown",Backend!$C$8,"Error"))),"")</f>
        <v/>
      </c>
      <c r="F348" s="8" t="str">
        <f>IF(Table1[[#This Row],[Is Data Valid]]=TRUE,EXP(0.578+0.332*((Table1[[#This Row],[Gestation (days)]]+0.5)/7)-0.00354*((Table1[[#This Row],[Gestation (days)]]+0.5)/7)^2)*Table1[[#This Row],[BW40_3705]],"")</f>
        <v/>
      </c>
      <c r="G348" s="2" t="str">
        <f>IF(Table1[[#This Row],[Is Data Valid]]=TRUE,((Table1[[#This Row],[Birthweight (grams)]]/Table1[[#This Row],[BW_GA]])-1)/(Backend!$B$4/100*Table1[[#This Row],[BW40_3705]]),"")</f>
        <v/>
      </c>
      <c r="H348" s="7" t="str">
        <f>IF(Table1[[#This Row],[Is Data Valid]]=TRUE,((Table1[[#This Row],[Birthweight (grams)]]*0.9/Table1[[#This Row],[BW_GA]])-1)/(Backend!$B$4/100*Table1[[#This Row],[BW40_3705]]),"")</f>
        <v/>
      </c>
      <c r="I348" s="7" t="str">
        <f>IF(Table1[[#This Row],[Is Data Valid]]=TRUE,((Table1[[#This Row],[Birthweight (grams)]]*1.1/Table1[[#This Row],[BW_GA]])-1)/(Backend!$B$4/100*Table1[[#This Row],[BW40_3705]]),"")</f>
        <v/>
      </c>
      <c r="J348" s="7" t="str">
        <f>IF(Table1[[#This Row],[Is Data Valid]]=TRUE,_xlfn.NORM.S.DIST(Table1[[#This Row],[Birthweight Z-Score]],TRUE)*100,"")</f>
        <v/>
      </c>
      <c r="K348" s="7" t="str">
        <f>IF(Table1[[#This Row],[Is Data Valid]]=TRUE,_xlfn.NORM.S.DIST(Table1[[#This Row],[Birthweight Z-Score (BW-10%)]],TRUE)*100,"")</f>
        <v/>
      </c>
      <c r="L348" s="7" t="str">
        <f>IF(Table1[[#This Row],[Is Data Valid]]=TRUE,_xlfn.NORM.S.DIST(Table1[[#This Row],[Birthweight Z-Score (BW+10%)]],TRUE)*100,"")</f>
        <v/>
      </c>
    </row>
    <row r="349" spans="1:12" x14ac:dyDescent="0.35">
      <c r="A349" s="3"/>
      <c r="B349" s="2"/>
      <c r="C349" s="2"/>
      <c r="D349" s="2" t="b">
        <f>IF(AND(NOT(ISBLANK(Table1[[#This Row],[Fetal Sex (Male, Female or Unknown)]])),ISNUMBER(Table1[[#This Row],[Birthweight (grams)]]),ISNUMBER(Table1[[#This Row],[Gestation (days)]])),TRUE,FALSE)</f>
        <v>0</v>
      </c>
      <c r="E349" s="2" t="str">
        <f>IF(Table1[[#This Row],[Is Data Valid]]=TRUE,IF(Table1[[#This Row],[Fetal Sex (Male, Female or Unknown)]]="Male",Backend!$C$6,IF(Table1[[#This Row],[Fetal Sex (Male, Female or Unknown)]]="Female",Backend!$C$7,IF(Table1[[#This Row],[Fetal Sex (Male, Female or Unknown)]]="Unknown",Backend!$C$8,"Error"))),"")</f>
        <v/>
      </c>
      <c r="F349" s="8" t="str">
        <f>IF(Table1[[#This Row],[Is Data Valid]]=TRUE,EXP(0.578+0.332*((Table1[[#This Row],[Gestation (days)]]+0.5)/7)-0.00354*((Table1[[#This Row],[Gestation (days)]]+0.5)/7)^2)*Table1[[#This Row],[BW40_3705]],"")</f>
        <v/>
      </c>
      <c r="G349" s="2" t="str">
        <f>IF(Table1[[#This Row],[Is Data Valid]]=TRUE,((Table1[[#This Row],[Birthweight (grams)]]/Table1[[#This Row],[BW_GA]])-1)/(Backend!$B$4/100*Table1[[#This Row],[BW40_3705]]),"")</f>
        <v/>
      </c>
      <c r="H349" s="7" t="str">
        <f>IF(Table1[[#This Row],[Is Data Valid]]=TRUE,((Table1[[#This Row],[Birthweight (grams)]]*0.9/Table1[[#This Row],[BW_GA]])-1)/(Backend!$B$4/100*Table1[[#This Row],[BW40_3705]]),"")</f>
        <v/>
      </c>
      <c r="I349" s="7" t="str">
        <f>IF(Table1[[#This Row],[Is Data Valid]]=TRUE,((Table1[[#This Row],[Birthweight (grams)]]*1.1/Table1[[#This Row],[BW_GA]])-1)/(Backend!$B$4/100*Table1[[#This Row],[BW40_3705]]),"")</f>
        <v/>
      </c>
      <c r="J349" s="7" t="str">
        <f>IF(Table1[[#This Row],[Is Data Valid]]=TRUE,_xlfn.NORM.S.DIST(Table1[[#This Row],[Birthweight Z-Score]],TRUE)*100,"")</f>
        <v/>
      </c>
      <c r="K349" s="7" t="str">
        <f>IF(Table1[[#This Row],[Is Data Valid]]=TRUE,_xlfn.NORM.S.DIST(Table1[[#This Row],[Birthweight Z-Score (BW-10%)]],TRUE)*100,"")</f>
        <v/>
      </c>
      <c r="L349" s="7" t="str">
        <f>IF(Table1[[#This Row],[Is Data Valid]]=TRUE,_xlfn.NORM.S.DIST(Table1[[#This Row],[Birthweight Z-Score (BW+10%)]],TRUE)*100,"")</f>
        <v/>
      </c>
    </row>
    <row r="350" spans="1:12" x14ac:dyDescent="0.35">
      <c r="A350" s="3"/>
      <c r="B350" s="2"/>
      <c r="C350" s="2"/>
      <c r="D350" s="2" t="b">
        <f>IF(AND(NOT(ISBLANK(Table1[[#This Row],[Fetal Sex (Male, Female or Unknown)]])),ISNUMBER(Table1[[#This Row],[Birthweight (grams)]]),ISNUMBER(Table1[[#This Row],[Gestation (days)]])),TRUE,FALSE)</f>
        <v>0</v>
      </c>
      <c r="E350" s="2" t="str">
        <f>IF(Table1[[#This Row],[Is Data Valid]]=TRUE,IF(Table1[[#This Row],[Fetal Sex (Male, Female or Unknown)]]="Male",Backend!$C$6,IF(Table1[[#This Row],[Fetal Sex (Male, Female or Unknown)]]="Female",Backend!$C$7,IF(Table1[[#This Row],[Fetal Sex (Male, Female or Unknown)]]="Unknown",Backend!$C$8,"Error"))),"")</f>
        <v/>
      </c>
      <c r="F350" s="8" t="str">
        <f>IF(Table1[[#This Row],[Is Data Valid]]=TRUE,EXP(0.578+0.332*((Table1[[#This Row],[Gestation (days)]]+0.5)/7)-0.00354*((Table1[[#This Row],[Gestation (days)]]+0.5)/7)^2)*Table1[[#This Row],[BW40_3705]],"")</f>
        <v/>
      </c>
      <c r="G350" s="2" t="str">
        <f>IF(Table1[[#This Row],[Is Data Valid]]=TRUE,((Table1[[#This Row],[Birthweight (grams)]]/Table1[[#This Row],[BW_GA]])-1)/(Backend!$B$4/100*Table1[[#This Row],[BW40_3705]]),"")</f>
        <v/>
      </c>
      <c r="H350" s="7" t="str">
        <f>IF(Table1[[#This Row],[Is Data Valid]]=TRUE,((Table1[[#This Row],[Birthweight (grams)]]*0.9/Table1[[#This Row],[BW_GA]])-1)/(Backend!$B$4/100*Table1[[#This Row],[BW40_3705]]),"")</f>
        <v/>
      </c>
      <c r="I350" s="7" t="str">
        <f>IF(Table1[[#This Row],[Is Data Valid]]=TRUE,((Table1[[#This Row],[Birthweight (grams)]]*1.1/Table1[[#This Row],[BW_GA]])-1)/(Backend!$B$4/100*Table1[[#This Row],[BW40_3705]]),"")</f>
        <v/>
      </c>
      <c r="J350" s="7" t="str">
        <f>IF(Table1[[#This Row],[Is Data Valid]]=TRUE,_xlfn.NORM.S.DIST(Table1[[#This Row],[Birthweight Z-Score]],TRUE)*100,"")</f>
        <v/>
      </c>
      <c r="K350" s="7" t="str">
        <f>IF(Table1[[#This Row],[Is Data Valid]]=TRUE,_xlfn.NORM.S.DIST(Table1[[#This Row],[Birthweight Z-Score (BW-10%)]],TRUE)*100,"")</f>
        <v/>
      </c>
      <c r="L350" s="7" t="str">
        <f>IF(Table1[[#This Row],[Is Data Valid]]=TRUE,_xlfn.NORM.S.DIST(Table1[[#This Row],[Birthweight Z-Score (BW+10%)]],TRUE)*100,"")</f>
        <v/>
      </c>
    </row>
    <row r="351" spans="1:12" x14ac:dyDescent="0.35">
      <c r="A351" s="3"/>
      <c r="B351" s="2"/>
      <c r="C351" s="2"/>
      <c r="D351" s="2" t="b">
        <f>IF(AND(NOT(ISBLANK(Table1[[#This Row],[Fetal Sex (Male, Female or Unknown)]])),ISNUMBER(Table1[[#This Row],[Birthweight (grams)]]),ISNUMBER(Table1[[#This Row],[Gestation (days)]])),TRUE,FALSE)</f>
        <v>0</v>
      </c>
      <c r="E351" s="2" t="str">
        <f>IF(Table1[[#This Row],[Is Data Valid]]=TRUE,IF(Table1[[#This Row],[Fetal Sex (Male, Female or Unknown)]]="Male",Backend!$C$6,IF(Table1[[#This Row],[Fetal Sex (Male, Female or Unknown)]]="Female",Backend!$C$7,IF(Table1[[#This Row],[Fetal Sex (Male, Female or Unknown)]]="Unknown",Backend!$C$8,"Error"))),"")</f>
        <v/>
      </c>
      <c r="F351" s="8" t="str">
        <f>IF(Table1[[#This Row],[Is Data Valid]]=TRUE,EXP(0.578+0.332*((Table1[[#This Row],[Gestation (days)]]+0.5)/7)-0.00354*((Table1[[#This Row],[Gestation (days)]]+0.5)/7)^2)*Table1[[#This Row],[BW40_3705]],"")</f>
        <v/>
      </c>
      <c r="G351" s="2" t="str">
        <f>IF(Table1[[#This Row],[Is Data Valid]]=TRUE,((Table1[[#This Row],[Birthweight (grams)]]/Table1[[#This Row],[BW_GA]])-1)/(Backend!$B$4/100*Table1[[#This Row],[BW40_3705]]),"")</f>
        <v/>
      </c>
      <c r="H351" s="7" t="str">
        <f>IF(Table1[[#This Row],[Is Data Valid]]=TRUE,((Table1[[#This Row],[Birthweight (grams)]]*0.9/Table1[[#This Row],[BW_GA]])-1)/(Backend!$B$4/100*Table1[[#This Row],[BW40_3705]]),"")</f>
        <v/>
      </c>
      <c r="I351" s="7" t="str">
        <f>IF(Table1[[#This Row],[Is Data Valid]]=TRUE,((Table1[[#This Row],[Birthweight (grams)]]*1.1/Table1[[#This Row],[BW_GA]])-1)/(Backend!$B$4/100*Table1[[#This Row],[BW40_3705]]),"")</f>
        <v/>
      </c>
      <c r="J351" s="7" t="str">
        <f>IF(Table1[[#This Row],[Is Data Valid]]=TRUE,_xlfn.NORM.S.DIST(Table1[[#This Row],[Birthweight Z-Score]],TRUE)*100,"")</f>
        <v/>
      </c>
      <c r="K351" s="7" t="str">
        <f>IF(Table1[[#This Row],[Is Data Valid]]=TRUE,_xlfn.NORM.S.DIST(Table1[[#This Row],[Birthweight Z-Score (BW-10%)]],TRUE)*100,"")</f>
        <v/>
      </c>
      <c r="L351" s="7" t="str">
        <f>IF(Table1[[#This Row],[Is Data Valid]]=TRUE,_xlfn.NORM.S.DIST(Table1[[#This Row],[Birthweight Z-Score (BW+10%)]],TRUE)*100,"")</f>
        <v/>
      </c>
    </row>
    <row r="352" spans="1:12" x14ac:dyDescent="0.35">
      <c r="A352" s="3"/>
      <c r="B352" s="2"/>
      <c r="C352" s="2"/>
      <c r="D352" s="2" t="b">
        <f>IF(AND(NOT(ISBLANK(Table1[[#This Row],[Fetal Sex (Male, Female or Unknown)]])),ISNUMBER(Table1[[#This Row],[Birthweight (grams)]]),ISNUMBER(Table1[[#This Row],[Gestation (days)]])),TRUE,FALSE)</f>
        <v>0</v>
      </c>
      <c r="E352" s="2" t="str">
        <f>IF(Table1[[#This Row],[Is Data Valid]]=TRUE,IF(Table1[[#This Row],[Fetal Sex (Male, Female or Unknown)]]="Male",Backend!$C$6,IF(Table1[[#This Row],[Fetal Sex (Male, Female or Unknown)]]="Female",Backend!$C$7,IF(Table1[[#This Row],[Fetal Sex (Male, Female or Unknown)]]="Unknown",Backend!$C$8,"Error"))),"")</f>
        <v/>
      </c>
      <c r="F352" s="8" t="str">
        <f>IF(Table1[[#This Row],[Is Data Valid]]=TRUE,EXP(0.578+0.332*((Table1[[#This Row],[Gestation (days)]]+0.5)/7)-0.00354*((Table1[[#This Row],[Gestation (days)]]+0.5)/7)^2)*Table1[[#This Row],[BW40_3705]],"")</f>
        <v/>
      </c>
      <c r="G352" s="2" t="str">
        <f>IF(Table1[[#This Row],[Is Data Valid]]=TRUE,((Table1[[#This Row],[Birthweight (grams)]]/Table1[[#This Row],[BW_GA]])-1)/(Backend!$B$4/100*Table1[[#This Row],[BW40_3705]]),"")</f>
        <v/>
      </c>
      <c r="H352" s="7" t="str">
        <f>IF(Table1[[#This Row],[Is Data Valid]]=TRUE,((Table1[[#This Row],[Birthweight (grams)]]*0.9/Table1[[#This Row],[BW_GA]])-1)/(Backend!$B$4/100*Table1[[#This Row],[BW40_3705]]),"")</f>
        <v/>
      </c>
      <c r="I352" s="7" t="str">
        <f>IF(Table1[[#This Row],[Is Data Valid]]=TRUE,((Table1[[#This Row],[Birthweight (grams)]]*1.1/Table1[[#This Row],[BW_GA]])-1)/(Backend!$B$4/100*Table1[[#This Row],[BW40_3705]]),"")</f>
        <v/>
      </c>
      <c r="J352" s="7" t="str">
        <f>IF(Table1[[#This Row],[Is Data Valid]]=TRUE,_xlfn.NORM.S.DIST(Table1[[#This Row],[Birthweight Z-Score]],TRUE)*100,"")</f>
        <v/>
      </c>
      <c r="K352" s="7" t="str">
        <f>IF(Table1[[#This Row],[Is Data Valid]]=TRUE,_xlfn.NORM.S.DIST(Table1[[#This Row],[Birthweight Z-Score (BW-10%)]],TRUE)*100,"")</f>
        <v/>
      </c>
      <c r="L352" s="7" t="str">
        <f>IF(Table1[[#This Row],[Is Data Valid]]=TRUE,_xlfn.NORM.S.DIST(Table1[[#This Row],[Birthweight Z-Score (BW+10%)]],TRUE)*100,"")</f>
        <v/>
      </c>
    </row>
    <row r="353" spans="1:12" x14ac:dyDescent="0.35">
      <c r="A353" s="3"/>
      <c r="B353" s="2"/>
      <c r="C353" s="2"/>
      <c r="D353" s="2" t="b">
        <f>IF(AND(NOT(ISBLANK(Table1[[#This Row],[Fetal Sex (Male, Female or Unknown)]])),ISNUMBER(Table1[[#This Row],[Birthweight (grams)]]),ISNUMBER(Table1[[#This Row],[Gestation (days)]])),TRUE,FALSE)</f>
        <v>0</v>
      </c>
      <c r="E353" s="2" t="str">
        <f>IF(Table1[[#This Row],[Is Data Valid]]=TRUE,IF(Table1[[#This Row],[Fetal Sex (Male, Female or Unknown)]]="Male",Backend!$C$6,IF(Table1[[#This Row],[Fetal Sex (Male, Female or Unknown)]]="Female",Backend!$C$7,IF(Table1[[#This Row],[Fetal Sex (Male, Female or Unknown)]]="Unknown",Backend!$C$8,"Error"))),"")</f>
        <v/>
      </c>
      <c r="F353" s="8" t="str">
        <f>IF(Table1[[#This Row],[Is Data Valid]]=TRUE,EXP(0.578+0.332*((Table1[[#This Row],[Gestation (days)]]+0.5)/7)-0.00354*((Table1[[#This Row],[Gestation (days)]]+0.5)/7)^2)*Table1[[#This Row],[BW40_3705]],"")</f>
        <v/>
      </c>
      <c r="G353" s="2" t="str">
        <f>IF(Table1[[#This Row],[Is Data Valid]]=TRUE,((Table1[[#This Row],[Birthweight (grams)]]/Table1[[#This Row],[BW_GA]])-1)/(Backend!$B$4/100*Table1[[#This Row],[BW40_3705]]),"")</f>
        <v/>
      </c>
      <c r="H353" s="7" t="str">
        <f>IF(Table1[[#This Row],[Is Data Valid]]=TRUE,((Table1[[#This Row],[Birthweight (grams)]]*0.9/Table1[[#This Row],[BW_GA]])-1)/(Backend!$B$4/100*Table1[[#This Row],[BW40_3705]]),"")</f>
        <v/>
      </c>
      <c r="I353" s="7" t="str">
        <f>IF(Table1[[#This Row],[Is Data Valid]]=TRUE,((Table1[[#This Row],[Birthweight (grams)]]*1.1/Table1[[#This Row],[BW_GA]])-1)/(Backend!$B$4/100*Table1[[#This Row],[BW40_3705]]),"")</f>
        <v/>
      </c>
      <c r="J353" s="7" t="str">
        <f>IF(Table1[[#This Row],[Is Data Valid]]=TRUE,_xlfn.NORM.S.DIST(Table1[[#This Row],[Birthweight Z-Score]],TRUE)*100,"")</f>
        <v/>
      </c>
      <c r="K353" s="7" t="str">
        <f>IF(Table1[[#This Row],[Is Data Valid]]=TRUE,_xlfn.NORM.S.DIST(Table1[[#This Row],[Birthweight Z-Score (BW-10%)]],TRUE)*100,"")</f>
        <v/>
      </c>
      <c r="L353" s="7" t="str">
        <f>IF(Table1[[#This Row],[Is Data Valid]]=TRUE,_xlfn.NORM.S.DIST(Table1[[#This Row],[Birthweight Z-Score (BW+10%)]],TRUE)*100,"")</f>
        <v/>
      </c>
    </row>
    <row r="354" spans="1:12" x14ac:dyDescent="0.35">
      <c r="A354" s="3"/>
      <c r="B354" s="2"/>
      <c r="C354" s="2"/>
      <c r="D354" s="2" t="b">
        <f>IF(AND(NOT(ISBLANK(Table1[[#This Row],[Fetal Sex (Male, Female or Unknown)]])),ISNUMBER(Table1[[#This Row],[Birthweight (grams)]]),ISNUMBER(Table1[[#This Row],[Gestation (days)]])),TRUE,FALSE)</f>
        <v>0</v>
      </c>
      <c r="E354" s="2" t="str">
        <f>IF(Table1[[#This Row],[Is Data Valid]]=TRUE,IF(Table1[[#This Row],[Fetal Sex (Male, Female or Unknown)]]="Male",Backend!$C$6,IF(Table1[[#This Row],[Fetal Sex (Male, Female or Unknown)]]="Female",Backend!$C$7,IF(Table1[[#This Row],[Fetal Sex (Male, Female or Unknown)]]="Unknown",Backend!$C$8,"Error"))),"")</f>
        <v/>
      </c>
      <c r="F354" s="8" t="str">
        <f>IF(Table1[[#This Row],[Is Data Valid]]=TRUE,EXP(0.578+0.332*((Table1[[#This Row],[Gestation (days)]]+0.5)/7)-0.00354*((Table1[[#This Row],[Gestation (days)]]+0.5)/7)^2)*Table1[[#This Row],[BW40_3705]],"")</f>
        <v/>
      </c>
      <c r="G354" s="2" t="str">
        <f>IF(Table1[[#This Row],[Is Data Valid]]=TRUE,((Table1[[#This Row],[Birthweight (grams)]]/Table1[[#This Row],[BW_GA]])-1)/(Backend!$B$4/100*Table1[[#This Row],[BW40_3705]]),"")</f>
        <v/>
      </c>
      <c r="H354" s="7" t="str">
        <f>IF(Table1[[#This Row],[Is Data Valid]]=TRUE,((Table1[[#This Row],[Birthweight (grams)]]*0.9/Table1[[#This Row],[BW_GA]])-1)/(Backend!$B$4/100*Table1[[#This Row],[BW40_3705]]),"")</f>
        <v/>
      </c>
      <c r="I354" s="7" t="str">
        <f>IF(Table1[[#This Row],[Is Data Valid]]=TRUE,((Table1[[#This Row],[Birthweight (grams)]]*1.1/Table1[[#This Row],[BW_GA]])-1)/(Backend!$B$4/100*Table1[[#This Row],[BW40_3705]]),"")</f>
        <v/>
      </c>
      <c r="J354" s="7" t="str">
        <f>IF(Table1[[#This Row],[Is Data Valid]]=TRUE,_xlfn.NORM.S.DIST(Table1[[#This Row],[Birthweight Z-Score]],TRUE)*100,"")</f>
        <v/>
      </c>
      <c r="K354" s="7" t="str">
        <f>IF(Table1[[#This Row],[Is Data Valid]]=TRUE,_xlfn.NORM.S.DIST(Table1[[#This Row],[Birthweight Z-Score (BW-10%)]],TRUE)*100,"")</f>
        <v/>
      </c>
      <c r="L354" s="7" t="str">
        <f>IF(Table1[[#This Row],[Is Data Valid]]=TRUE,_xlfn.NORM.S.DIST(Table1[[#This Row],[Birthweight Z-Score (BW+10%)]],TRUE)*100,"")</f>
        <v/>
      </c>
    </row>
    <row r="355" spans="1:12" x14ac:dyDescent="0.35">
      <c r="A355" s="3"/>
      <c r="B355" s="2"/>
      <c r="C355" s="2"/>
      <c r="D355" s="2" t="b">
        <f>IF(AND(NOT(ISBLANK(Table1[[#This Row],[Fetal Sex (Male, Female or Unknown)]])),ISNUMBER(Table1[[#This Row],[Birthweight (grams)]]),ISNUMBER(Table1[[#This Row],[Gestation (days)]])),TRUE,FALSE)</f>
        <v>0</v>
      </c>
      <c r="E355" s="2" t="str">
        <f>IF(Table1[[#This Row],[Is Data Valid]]=TRUE,IF(Table1[[#This Row],[Fetal Sex (Male, Female or Unknown)]]="Male",Backend!$C$6,IF(Table1[[#This Row],[Fetal Sex (Male, Female or Unknown)]]="Female",Backend!$C$7,IF(Table1[[#This Row],[Fetal Sex (Male, Female or Unknown)]]="Unknown",Backend!$C$8,"Error"))),"")</f>
        <v/>
      </c>
      <c r="F355" s="8" t="str">
        <f>IF(Table1[[#This Row],[Is Data Valid]]=TRUE,EXP(0.578+0.332*((Table1[[#This Row],[Gestation (days)]]+0.5)/7)-0.00354*((Table1[[#This Row],[Gestation (days)]]+0.5)/7)^2)*Table1[[#This Row],[BW40_3705]],"")</f>
        <v/>
      </c>
      <c r="G355" s="2" t="str">
        <f>IF(Table1[[#This Row],[Is Data Valid]]=TRUE,((Table1[[#This Row],[Birthweight (grams)]]/Table1[[#This Row],[BW_GA]])-1)/(Backend!$B$4/100*Table1[[#This Row],[BW40_3705]]),"")</f>
        <v/>
      </c>
      <c r="H355" s="7" t="str">
        <f>IF(Table1[[#This Row],[Is Data Valid]]=TRUE,((Table1[[#This Row],[Birthweight (grams)]]*0.9/Table1[[#This Row],[BW_GA]])-1)/(Backend!$B$4/100*Table1[[#This Row],[BW40_3705]]),"")</f>
        <v/>
      </c>
      <c r="I355" s="7" t="str">
        <f>IF(Table1[[#This Row],[Is Data Valid]]=TRUE,((Table1[[#This Row],[Birthweight (grams)]]*1.1/Table1[[#This Row],[BW_GA]])-1)/(Backend!$B$4/100*Table1[[#This Row],[BW40_3705]]),"")</f>
        <v/>
      </c>
      <c r="J355" s="7" t="str">
        <f>IF(Table1[[#This Row],[Is Data Valid]]=TRUE,_xlfn.NORM.S.DIST(Table1[[#This Row],[Birthweight Z-Score]],TRUE)*100,"")</f>
        <v/>
      </c>
      <c r="K355" s="7" t="str">
        <f>IF(Table1[[#This Row],[Is Data Valid]]=TRUE,_xlfn.NORM.S.DIST(Table1[[#This Row],[Birthweight Z-Score (BW-10%)]],TRUE)*100,"")</f>
        <v/>
      </c>
      <c r="L355" s="7" t="str">
        <f>IF(Table1[[#This Row],[Is Data Valid]]=TRUE,_xlfn.NORM.S.DIST(Table1[[#This Row],[Birthweight Z-Score (BW+10%)]],TRUE)*100,"")</f>
        <v/>
      </c>
    </row>
    <row r="356" spans="1:12" x14ac:dyDescent="0.35">
      <c r="A356" s="3"/>
      <c r="B356" s="2"/>
      <c r="C356" s="2"/>
      <c r="D356" s="2" t="b">
        <f>IF(AND(NOT(ISBLANK(Table1[[#This Row],[Fetal Sex (Male, Female or Unknown)]])),ISNUMBER(Table1[[#This Row],[Birthweight (grams)]]),ISNUMBER(Table1[[#This Row],[Gestation (days)]])),TRUE,FALSE)</f>
        <v>0</v>
      </c>
      <c r="E356" s="2" t="str">
        <f>IF(Table1[[#This Row],[Is Data Valid]]=TRUE,IF(Table1[[#This Row],[Fetal Sex (Male, Female or Unknown)]]="Male",Backend!$C$6,IF(Table1[[#This Row],[Fetal Sex (Male, Female or Unknown)]]="Female",Backend!$C$7,IF(Table1[[#This Row],[Fetal Sex (Male, Female or Unknown)]]="Unknown",Backend!$C$8,"Error"))),"")</f>
        <v/>
      </c>
      <c r="F356" s="8" t="str">
        <f>IF(Table1[[#This Row],[Is Data Valid]]=TRUE,EXP(0.578+0.332*((Table1[[#This Row],[Gestation (days)]]+0.5)/7)-0.00354*((Table1[[#This Row],[Gestation (days)]]+0.5)/7)^2)*Table1[[#This Row],[BW40_3705]],"")</f>
        <v/>
      </c>
      <c r="G356" s="2" t="str">
        <f>IF(Table1[[#This Row],[Is Data Valid]]=TRUE,((Table1[[#This Row],[Birthweight (grams)]]/Table1[[#This Row],[BW_GA]])-1)/(Backend!$B$4/100*Table1[[#This Row],[BW40_3705]]),"")</f>
        <v/>
      </c>
      <c r="H356" s="7" t="str">
        <f>IF(Table1[[#This Row],[Is Data Valid]]=TRUE,((Table1[[#This Row],[Birthweight (grams)]]*0.9/Table1[[#This Row],[BW_GA]])-1)/(Backend!$B$4/100*Table1[[#This Row],[BW40_3705]]),"")</f>
        <v/>
      </c>
      <c r="I356" s="7" t="str">
        <f>IF(Table1[[#This Row],[Is Data Valid]]=TRUE,((Table1[[#This Row],[Birthweight (grams)]]*1.1/Table1[[#This Row],[BW_GA]])-1)/(Backend!$B$4/100*Table1[[#This Row],[BW40_3705]]),"")</f>
        <v/>
      </c>
      <c r="J356" s="7" t="str">
        <f>IF(Table1[[#This Row],[Is Data Valid]]=TRUE,_xlfn.NORM.S.DIST(Table1[[#This Row],[Birthweight Z-Score]],TRUE)*100,"")</f>
        <v/>
      </c>
      <c r="K356" s="7" t="str">
        <f>IF(Table1[[#This Row],[Is Data Valid]]=TRUE,_xlfn.NORM.S.DIST(Table1[[#This Row],[Birthweight Z-Score (BW-10%)]],TRUE)*100,"")</f>
        <v/>
      </c>
      <c r="L356" s="7" t="str">
        <f>IF(Table1[[#This Row],[Is Data Valid]]=TRUE,_xlfn.NORM.S.DIST(Table1[[#This Row],[Birthweight Z-Score (BW+10%)]],TRUE)*100,"")</f>
        <v/>
      </c>
    </row>
    <row r="357" spans="1:12" x14ac:dyDescent="0.35">
      <c r="A357" s="3"/>
      <c r="B357" s="2"/>
      <c r="C357" s="2"/>
      <c r="D357" s="2" t="b">
        <f>IF(AND(NOT(ISBLANK(Table1[[#This Row],[Fetal Sex (Male, Female or Unknown)]])),ISNUMBER(Table1[[#This Row],[Birthweight (grams)]]),ISNUMBER(Table1[[#This Row],[Gestation (days)]])),TRUE,FALSE)</f>
        <v>0</v>
      </c>
      <c r="E357" s="2" t="str">
        <f>IF(Table1[[#This Row],[Is Data Valid]]=TRUE,IF(Table1[[#This Row],[Fetal Sex (Male, Female or Unknown)]]="Male",Backend!$C$6,IF(Table1[[#This Row],[Fetal Sex (Male, Female or Unknown)]]="Female",Backend!$C$7,IF(Table1[[#This Row],[Fetal Sex (Male, Female or Unknown)]]="Unknown",Backend!$C$8,"Error"))),"")</f>
        <v/>
      </c>
      <c r="F357" s="8" t="str">
        <f>IF(Table1[[#This Row],[Is Data Valid]]=TRUE,EXP(0.578+0.332*((Table1[[#This Row],[Gestation (days)]]+0.5)/7)-0.00354*((Table1[[#This Row],[Gestation (days)]]+0.5)/7)^2)*Table1[[#This Row],[BW40_3705]],"")</f>
        <v/>
      </c>
      <c r="G357" s="2" t="str">
        <f>IF(Table1[[#This Row],[Is Data Valid]]=TRUE,((Table1[[#This Row],[Birthweight (grams)]]/Table1[[#This Row],[BW_GA]])-1)/(Backend!$B$4/100*Table1[[#This Row],[BW40_3705]]),"")</f>
        <v/>
      </c>
      <c r="H357" s="7" t="str">
        <f>IF(Table1[[#This Row],[Is Data Valid]]=TRUE,((Table1[[#This Row],[Birthweight (grams)]]*0.9/Table1[[#This Row],[BW_GA]])-1)/(Backend!$B$4/100*Table1[[#This Row],[BW40_3705]]),"")</f>
        <v/>
      </c>
      <c r="I357" s="7" t="str">
        <f>IF(Table1[[#This Row],[Is Data Valid]]=TRUE,((Table1[[#This Row],[Birthweight (grams)]]*1.1/Table1[[#This Row],[BW_GA]])-1)/(Backend!$B$4/100*Table1[[#This Row],[BW40_3705]]),"")</f>
        <v/>
      </c>
      <c r="J357" s="7" t="str">
        <f>IF(Table1[[#This Row],[Is Data Valid]]=TRUE,_xlfn.NORM.S.DIST(Table1[[#This Row],[Birthweight Z-Score]],TRUE)*100,"")</f>
        <v/>
      </c>
      <c r="K357" s="7" t="str">
        <f>IF(Table1[[#This Row],[Is Data Valid]]=TRUE,_xlfn.NORM.S.DIST(Table1[[#This Row],[Birthweight Z-Score (BW-10%)]],TRUE)*100,"")</f>
        <v/>
      </c>
      <c r="L357" s="7" t="str">
        <f>IF(Table1[[#This Row],[Is Data Valid]]=TRUE,_xlfn.NORM.S.DIST(Table1[[#This Row],[Birthweight Z-Score (BW+10%)]],TRUE)*100,"")</f>
        <v/>
      </c>
    </row>
    <row r="358" spans="1:12" x14ac:dyDescent="0.35">
      <c r="A358" s="3"/>
      <c r="B358" s="2"/>
      <c r="C358" s="2"/>
      <c r="D358" s="2" t="b">
        <f>IF(AND(NOT(ISBLANK(Table1[[#This Row],[Fetal Sex (Male, Female or Unknown)]])),ISNUMBER(Table1[[#This Row],[Birthweight (grams)]]),ISNUMBER(Table1[[#This Row],[Gestation (days)]])),TRUE,FALSE)</f>
        <v>0</v>
      </c>
      <c r="E358" s="2" t="str">
        <f>IF(Table1[[#This Row],[Is Data Valid]]=TRUE,IF(Table1[[#This Row],[Fetal Sex (Male, Female or Unknown)]]="Male",Backend!$C$6,IF(Table1[[#This Row],[Fetal Sex (Male, Female or Unknown)]]="Female",Backend!$C$7,IF(Table1[[#This Row],[Fetal Sex (Male, Female or Unknown)]]="Unknown",Backend!$C$8,"Error"))),"")</f>
        <v/>
      </c>
      <c r="F358" s="8" t="str">
        <f>IF(Table1[[#This Row],[Is Data Valid]]=TRUE,EXP(0.578+0.332*((Table1[[#This Row],[Gestation (days)]]+0.5)/7)-0.00354*((Table1[[#This Row],[Gestation (days)]]+0.5)/7)^2)*Table1[[#This Row],[BW40_3705]],"")</f>
        <v/>
      </c>
      <c r="G358" s="2" t="str">
        <f>IF(Table1[[#This Row],[Is Data Valid]]=TRUE,((Table1[[#This Row],[Birthweight (grams)]]/Table1[[#This Row],[BW_GA]])-1)/(Backend!$B$4/100*Table1[[#This Row],[BW40_3705]]),"")</f>
        <v/>
      </c>
      <c r="H358" s="7" t="str">
        <f>IF(Table1[[#This Row],[Is Data Valid]]=TRUE,((Table1[[#This Row],[Birthweight (grams)]]*0.9/Table1[[#This Row],[BW_GA]])-1)/(Backend!$B$4/100*Table1[[#This Row],[BW40_3705]]),"")</f>
        <v/>
      </c>
      <c r="I358" s="7" t="str">
        <f>IF(Table1[[#This Row],[Is Data Valid]]=TRUE,((Table1[[#This Row],[Birthweight (grams)]]*1.1/Table1[[#This Row],[BW_GA]])-1)/(Backend!$B$4/100*Table1[[#This Row],[BW40_3705]]),"")</f>
        <v/>
      </c>
      <c r="J358" s="7" t="str">
        <f>IF(Table1[[#This Row],[Is Data Valid]]=TRUE,_xlfn.NORM.S.DIST(Table1[[#This Row],[Birthweight Z-Score]],TRUE)*100,"")</f>
        <v/>
      </c>
      <c r="K358" s="7" t="str">
        <f>IF(Table1[[#This Row],[Is Data Valid]]=TRUE,_xlfn.NORM.S.DIST(Table1[[#This Row],[Birthweight Z-Score (BW-10%)]],TRUE)*100,"")</f>
        <v/>
      </c>
      <c r="L358" s="7" t="str">
        <f>IF(Table1[[#This Row],[Is Data Valid]]=TRUE,_xlfn.NORM.S.DIST(Table1[[#This Row],[Birthweight Z-Score (BW+10%)]],TRUE)*100,"")</f>
        <v/>
      </c>
    </row>
    <row r="359" spans="1:12" x14ac:dyDescent="0.35">
      <c r="A359" s="3"/>
      <c r="B359" s="2"/>
      <c r="C359" s="2"/>
      <c r="D359" s="2" t="b">
        <f>IF(AND(NOT(ISBLANK(Table1[[#This Row],[Fetal Sex (Male, Female or Unknown)]])),ISNUMBER(Table1[[#This Row],[Birthweight (grams)]]),ISNUMBER(Table1[[#This Row],[Gestation (days)]])),TRUE,FALSE)</f>
        <v>0</v>
      </c>
      <c r="E359" s="2" t="str">
        <f>IF(Table1[[#This Row],[Is Data Valid]]=TRUE,IF(Table1[[#This Row],[Fetal Sex (Male, Female or Unknown)]]="Male",Backend!$C$6,IF(Table1[[#This Row],[Fetal Sex (Male, Female or Unknown)]]="Female",Backend!$C$7,IF(Table1[[#This Row],[Fetal Sex (Male, Female or Unknown)]]="Unknown",Backend!$C$8,"Error"))),"")</f>
        <v/>
      </c>
      <c r="F359" s="8" t="str">
        <f>IF(Table1[[#This Row],[Is Data Valid]]=TRUE,EXP(0.578+0.332*((Table1[[#This Row],[Gestation (days)]]+0.5)/7)-0.00354*((Table1[[#This Row],[Gestation (days)]]+0.5)/7)^2)*Table1[[#This Row],[BW40_3705]],"")</f>
        <v/>
      </c>
      <c r="G359" s="2" t="str">
        <f>IF(Table1[[#This Row],[Is Data Valid]]=TRUE,((Table1[[#This Row],[Birthweight (grams)]]/Table1[[#This Row],[BW_GA]])-1)/(Backend!$B$4/100*Table1[[#This Row],[BW40_3705]]),"")</f>
        <v/>
      </c>
      <c r="H359" s="7" t="str">
        <f>IF(Table1[[#This Row],[Is Data Valid]]=TRUE,((Table1[[#This Row],[Birthweight (grams)]]*0.9/Table1[[#This Row],[BW_GA]])-1)/(Backend!$B$4/100*Table1[[#This Row],[BW40_3705]]),"")</f>
        <v/>
      </c>
      <c r="I359" s="7" t="str">
        <f>IF(Table1[[#This Row],[Is Data Valid]]=TRUE,((Table1[[#This Row],[Birthweight (grams)]]*1.1/Table1[[#This Row],[BW_GA]])-1)/(Backend!$B$4/100*Table1[[#This Row],[BW40_3705]]),"")</f>
        <v/>
      </c>
      <c r="J359" s="7" t="str">
        <f>IF(Table1[[#This Row],[Is Data Valid]]=TRUE,_xlfn.NORM.S.DIST(Table1[[#This Row],[Birthweight Z-Score]],TRUE)*100,"")</f>
        <v/>
      </c>
      <c r="K359" s="7" t="str">
        <f>IF(Table1[[#This Row],[Is Data Valid]]=TRUE,_xlfn.NORM.S.DIST(Table1[[#This Row],[Birthweight Z-Score (BW-10%)]],TRUE)*100,"")</f>
        <v/>
      </c>
      <c r="L359" s="7" t="str">
        <f>IF(Table1[[#This Row],[Is Data Valid]]=TRUE,_xlfn.NORM.S.DIST(Table1[[#This Row],[Birthweight Z-Score (BW+10%)]],TRUE)*100,"")</f>
        <v/>
      </c>
    </row>
    <row r="360" spans="1:12" x14ac:dyDescent="0.35">
      <c r="A360" s="3"/>
      <c r="B360" s="2"/>
      <c r="C360" s="2"/>
      <c r="D360" s="2" t="b">
        <f>IF(AND(NOT(ISBLANK(Table1[[#This Row],[Fetal Sex (Male, Female or Unknown)]])),ISNUMBER(Table1[[#This Row],[Birthweight (grams)]]),ISNUMBER(Table1[[#This Row],[Gestation (days)]])),TRUE,FALSE)</f>
        <v>0</v>
      </c>
      <c r="E360" s="2" t="str">
        <f>IF(Table1[[#This Row],[Is Data Valid]]=TRUE,IF(Table1[[#This Row],[Fetal Sex (Male, Female or Unknown)]]="Male",Backend!$C$6,IF(Table1[[#This Row],[Fetal Sex (Male, Female or Unknown)]]="Female",Backend!$C$7,IF(Table1[[#This Row],[Fetal Sex (Male, Female or Unknown)]]="Unknown",Backend!$C$8,"Error"))),"")</f>
        <v/>
      </c>
      <c r="F360" s="8" t="str">
        <f>IF(Table1[[#This Row],[Is Data Valid]]=TRUE,EXP(0.578+0.332*((Table1[[#This Row],[Gestation (days)]]+0.5)/7)-0.00354*((Table1[[#This Row],[Gestation (days)]]+0.5)/7)^2)*Table1[[#This Row],[BW40_3705]],"")</f>
        <v/>
      </c>
      <c r="G360" s="2" t="str">
        <f>IF(Table1[[#This Row],[Is Data Valid]]=TRUE,((Table1[[#This Row],[Birthweight (grams)]]/Table1[[#This Row],[BW_GA]])-1)/(Backend!$B$4/100*Table1[[#This Row],[BW40_3705]]),"")</f>
        <v/>
      </c>
      <c r="H360" s="7" t="str">
        <f>IF(Table1[[#This Row],[Is Data Valid]]=TRUE,((Table1[[#This Row],[Birthweight (grams)]]*0.9/Table1[[#This Row],[BW_GA]])-1)/(Backend!$B$4/100*Table1[[#This Row],[BW40_3705]]),"")</f>
        <v/>
      </c>
      <c r="I360" s="7" t="str">
        <f>IF(Table1[[#This Row],[Is Data Valid]]=TRUE,((Table1[[#This Row],[Birthweight (grams)]]*1.1/Table1[[#This Row],[BW_GA]])-1)/(Backend!$B$4/100*Table1[[#This Row],[BW40_3705]]),"")</f>
        <v/>
      </c>
      <c r="J360" s="7" t="str">
        <f>IF(Table1[[#This Row],[Is Data Valid]]=TRUE,_xlfn.NORM.S.DIST(Table1[[#This Row],[Birthweight Z-Score]],TRUE)*100,"")</f>
        <v/>
      </c>
      <c r="K360" s="7" t="str">
        <f>IF(Table1[[#This Row],[Is Data Valid]]=TRUE,_xlfn.NORM.S.DIST(Table1[[#This Row],[Birthweight Z-Score (BW-10%)]],TRUE)*100,"")</f>
        <v/>
      </c>
      <c r="L360" s="7" t="str">
        <f>IF(Table1[[#This Row],[Is Data Valid]]=TRUE,_xlfn.NORM.S.DIST(Table1[[#This Row],[Birthweight Z-Score (BW+10%)]],TRUE)*100,"")</f>
        <v/>
      </c>
    </row>
    <row r="361" spans="1:12" x14ac:dyDescent="0.35">
      <c r="A361" s="3"/>
      <c r="B361" s="2"/>
      <c r="C361" s="2"/>
      <c r="D361" s="2" t="b">
        <f>IF(AND(NOT(ISBLANK(Table1[[#This Row],[Fetal Sex (Male, Female or Unknown)]])),ISNUMBER(Table1[[#This Row],[Birthweight (grams)]]),ISNUMBER(Table1[[#This Row],[Gestation (days)]])),TRUE,FALSE)</f>
        <v>0</v>
      </c>
      <c r="E361" s="2" t="str">
        <f>IF(Table1[[#This Row],[Is Data Valid]]=TRUE,IF(Table1[[#This Row],[Fetal Sex (Male, Female or Unknown)]]="Male",Backend!$C$6,IF(Table1[[#This Row],[Fetal Sex (Male, Female or Unknown)]]="Female",Backend!$C$7,IF(Table1[[#This Row],[Fetal Sex (Male, Female or Unknown)]]="Unknown",Backend!$C$8,"Error"))),"")</f>
        <v/>
      </c>
      <c r="F361" s="8" t="str">
        <f>IF(Table1[[#This Row],[Is Data Valid]]=TRUE,EXP(0.578+0.332*((Table1[[#This Row],[Gestation (days)]]+0.5)/7)-0.00354*((Table1[[#This Row],[Gestation (days)]]+0.5)/7)^2)*Table1[[#This Row],[BW40_3705]],"")</f>
        <v/>
      </c>
      <c r="G361" s="2" t="str">
        <f>IF(Table1[[#This Row],[Is Data Valid]]=TRUE,((Table1[[#This Row],[Birthweight (grams)]]/Table1[[#This Row],[BW_GA]])-1)/(Backend!$B$4/100*Table1[[#This Row],[BW40_3705]]),"")</f>
        <v/>
      </c>
      <c r="H361" s="7" t="str">
        <f>IF(Table1[[#This Row],[Is Data Valid]]=TRUE,((Table1[[#This Row],[Birthweight (grams)]]*0.9/Table1[[#This Row],[BW_GA]])-1)/(Backend!$B$4/100*Table1[[#This Row],[BW40_3705]]),"")</f>
        <v/>
      </c>
      <c r="I361" s="7" t="str">
        <f>IF(Table1[[#This Row],[Is Data Valid]]=TRUE,((Table1[[#This Row],[Birthweight (grams)]]*1.1/Table1[[#This Row],[BW_GA]])-1)/(Backend!$B$4/100*Table1[[#This Row],[BW40_3705]]),"")</f>
        <v/>
      </c>
      <c r="J361" s="7" t="str">
        <f>IF(Table1[[#This Row],[Is Data Valid]]=TRUE,_xlfn.NORM.S.DIST(Table1[[#This Row],[Birthweight Z-Score]],TRUE)*100,"")</f>
        <v/>
      </c>
      <c r="K361" s="7" t="str">
        <f>IF(Table1[[#This Row],[Is Data Valid]]=TRUE,_xlfn.NORM.S.DIST(Table1[[#This Row],[Birthweight Z-Score (BW-10%)]],TRUE)*100,"")</f>
        <v/>
      </c>
      <c r="L361" s="7" t="str">
        <f>IF(Table1[[#This Row],[Is Data Valid]]=TRUE,_xlfn.NORM.S.DIST(Table1[[#This Row],[Birthweight Z-Score (BW+10%)]],TRUE)*100,"")</f>
        <v/>
      </c>
    </row>
    <row r="362" spans="1:12" x14ac:dyDescent="0.35">
      <c r="A362" s="3"/>
      <c r="B362" s="2"/>
      <c r="C362" s="2"/>
      <c r="D362" s="2" t="b">
        <f>IF(AND(NOT(ISBLANK(Table1[[#This Row],[Fetal Sex (Male, Female or Unknown)]])),ISNUMBER(Table1[[#This Row],[Birthweight (grams)]]),ISNUMBER(Table1[[#This Row],[Gestation (days)]])),TRUE,FALSE)</f>
        <v>0</v>
      </c>
      <c r="E362" s="2" t="str">
        <f>IF(Table1[[#This Row],[Is Data Valid]]=TRUE,IF(Table1[[#This Row],[Fetal Sex (Male, Female or Unknown)]]="Male",Backend!$C$6,IF(Table1[[#This Row],[Fetal Sex (Male, Female or Unknown)]]="Female",Backend!$C$7,IF(Table1[[#This Row],[Fetal Sex (Male, Female or Unknown)]]="Unknown",Backend!$C$8,"Error"))),"")</f>
        <v/>
      </c>
      <c r="F362" s="8" t="str">
        <f>IF(Table1[[#This Row],[Is Data Valid]]=TRUE,EXP(0.578+0.332*((Table1[[#This Row],[Gestation (days)]]+0.5)/7)-0.00354*((Table1[[#This Row],[Gestation (days)]]+0.5)/7)^2)*Table1[[#This Row],[BW40_3705]],"")</f>
        <v/>
      </c>
      <c r="G362" s="2" t="str">
        <f>IF(Table1[[#This Row],[Is Data Valid]]=TRUE,((Table1[[#This Row],[Birthweight (grams)]]/Table1[[#This Row],[BW_GA]])-1)/(Backend!$B$4/100*Table1[[#This Row],[BW40_3705]]),"")</f>
        <v/>
      </c>
      <c r="H362" s="7" t="str">
        <f>IF(Table1[[#This Row],[Is Data Valid]]=TRUE,((Table1[[#This Row],[Birthweight (grams)]]*0.9/Table1[[#This Row],[BW_GA]])-1)/(Backend!$B$4/100*Table1[[#This Row],[BW40_3705]]),"")</f>
        <v/>
      </c>
      <c r="I362" s="7" t="str">
        <f>IF(Table1[[#This Row],[Is Data Valid]]=TRUE,((Table1[[#This Row],[Birthweight (grams)]]*1.1/Table1[[#This Row],[BW_GA]])-1)/(Backend!$B$4/100*Table1[[#This Row],[BW40_3705]]),"")</f>
        <v/>
      </c>
      <c r="J362" s="7" t="str">
        <f>IF(Table1[[#This Row],[Is Data Valid]]=TRUE,_xlfn.NORM.S.DIST(Table1[[#This Row],[Birthweight Z-Score]],TRUE)*100,"")</f>
        <v/>
      </c>
      <c r="K362" s="7" t="str">
        <f>IF(Table1[[#This Row],[Is Data Valid]]=TRUE,_xlfn.NORM.S.DIST(Table1[[#This Row],[Birthweight Z-Score (BW-10%)]],TRUE)*100,"")</f>
        <v/>
      </c>
      <c r="L362" s="7" t="str">
        <f>IF(Table1[[#This Row],[Is Data Valid]]=TRUE,_xlfn.NORM.S.DIST(Table1[[#This Row],[Birthweight Z-Score (BW+10%)]],TRUE)*100,"")</f>
        <v/>
      </c>
    </row>
    <row r="363" spans="1:12" x14ac:dyDescent="0.35">
      <c r="A363" s="3"/>
      <c r="B363" s="2"/>
      <c r="C363" s="2"/>
      <c r="D363" s="2" t="b">
        <f>IF(AND(NOT(ISBLANK(Table1[[#This Row],[Fetal Sex (Male, Female or Unknown)]])),ISNUMBER(Table1[[#This Row],[Birthweight (grams)]]),ISNUMBER(Table1[[#This Row],[Gestation (days)]])),TRUE,FALSE)</f>
        <v>0</v>
      </c>
      <c r="E363" s="2" t="str">
        <f>IF(Table1[[#This Row],[Is Data Valid]]=TRUE,IF(Table1[[#This Row],[Fetal Sex (Male, Female or Unknown)]]="Male",Backend!$C$6,IF(Table1[[#This Row],[Fetal Sex (Male, Female or Unknown)]]="Female",Backend!$C$7,IF(Table1[[#This Row],[Fetal Sex (Male, Female or Unknown)]]="Unknown",Backend!$C$8,"Error"))),"")</f>
        <v/>
      </c>
      <c r="F363" s="8" t="str">
        <f>IF(Table1[[#This Row],[Is Data Valid]]=TRUE,EXP(0.578+0.332*((Table1[[#This Row],[Gestation (days)]]+0.5)/7)-0.00354*((Table1[[#This Row],[Gestation (days)]]+0.5)/7)^2)*Table1[[#This Row],[BW40_3705]],"")</f>
        <v/>
      </c>
      <c r="G363" s="2" t="str">
        <f>IF(Table1[[#This Row],[Is Data Valid]]=TRUE,((Table1[[#This Row],[Birthweight (grams)]]/Table1[[#This Row],[BW_GA]])-1)/(Backend!$B$4/100*Table1[[#This Row],[BW40_3705]]),"")</f>
        <v/>
      </c>
      <c r="H363" s="7" t="str">
        <f>IF(Table1[[#This Row],[Is Data Valid]]=TRUE,((Table1[[#This Row],[Birthweight (grams)]]*0.9/Table1[[#This Row],[BW_GA]])-1)/(Backend!$B$4/100*Table1[[#This Row],[BW40_3705]]),"")</f>
        <v/>
      </c>
      <c r="I363" s="7" t="str">
        <f>IF(Table1[[#This Row],[Is Data Valid]]=TRUE,((Table1[[#This Row],[Birthweight (grams)]]*1.1/Table1[[#This Row],[BW_GA]])-1)/(Backend!$B$4/100*Table1[[#This Row],[BW40_3705]]),"")</f>
        <v/>
      </c>
      <c r="J363" s="7" t="str">
        <f>IF(Table1[[#This Row],[Is Data Valid]]=TRUE,_xlfn.NORM.S.DIST(Table1[[#This Row],[Birthweight Z-Score]],TRUE)*100,"")</f>
        <v/>
      </c>
      <c r="K363" s="7" t="str">
        <f>IF(Table1[[#This Row],[Is Data Valid]]=TRUE,_xlfn.NORM.S.DIST(Table1[[#This Row],[Birthweight Z-Score (BW-10%)]],TRUE)*100,"")</f>
        <v/>
      </c>
      <c r="L363" s="7" t="str">
        <f>IF(Table1[[#This Row],[Is Data Valid]]=TRUE,_xlfn.NORM.S.DIST(Table1[[#This Row],[Birthweight Z-Score (BW+10%)]],TRUE)*100,"")</f>
        <v/>
      </c>
    </row>
    <row r="364" spans="1:12" x14ac:dyDescent="0.35">
      <c r="A364" s="3"/>
      <c r="B364" s="2"/>
      <c r="C364" s="2"/>
      <c r="D364" s="2" t="b">
        <f>IF(AND(NOT(ISBLANK(Table1[[#This Row],[Fetal Sex (Male, Female or Unknown)]])),ISNUMBER(Table1[[#This Row],[Birthweight (grams)]]),ISNUMBER(Table1[[#This Row],[Gestation (days)]])),TRUE,FALSE)</f>
        <v>0</v>
      </c>
      <c r="E364" s="2" t="str">
        <f>IF(Table1[[#This Row],[Is Data Valid]]=TRUE,IF(Table1[[#This Row],[Fetal Sex (Male, Female or Unknown)]]="Male",Backend!$C$6,IF(Table1[[#This Row],[Fetal Sex (Male, Female or Unknown)]]="Female",Backend!$C$7,IF(Table1[[#This Row],[Fetal Sex (Male, Female or Unknown)]]="Unknown",Backend!$C$8,"Error"))),"")</f>
        <v/>
      </c>
      <c r="F364" s="8" t="str">
        <f>IF(Table1[[#This Row],[Is Data Valid]]=TRUE,EXP(0.578+0.332*((Table1[[#This Row],[Gestation (days)]]+0.5)/7)-0.00354*((Table1[[#This Row],[Gestation (days)]]+0.5)/7)^2)*Table1[[#This Row],[BW40_3705]],"")</f>
        <v/>
      </c>
      <c r="G364" s="2" t="str">
        <f>IF(Table1[[#This Row],[Is Data Valid]]=TRUE,((Table1[[#This Row],[Birthweight (grams)]]/Table1[[#This Row],[BW_GA]])-1)/(Backend!$B$4/100*Table1[[#This Row],[BW40_3705]]),"")</f>
        <v/>
      </c>
      <c r="H364" s="7" t="str">
        <f>IF(Table1[[#This Row],[Is Data Valid]]=TRUE,((Table1[[#This Row],[Birthweight (grams)]]*0.9/Table1[[#This Row],[BW_GA]])-1)/(Backend!$B$4/100*Table1[[#This Row],[BW40_3705]]),"")</f>
        <v/>
      </c>
      <c r="I364" s="7" t="str">
        <f>IF(Table1[[#This Row],[Is Data Valid]]=TRUE,((Table1[[#This Row],[Birthweight (grams)]]*1.1/Table1[[#This Row],[BW_GA]])-1)/(Backend!$B$4/100*Table1[[#This Row],[BW40_3705]]),"")</f>
        <v/>
      </c>
      <c r="J364" s="7" t="str">
        <f>IF(Table1[[#This Row],[Is Data Valid]]=TRUE,_xlfn.NORM.S.DIST(Table1[[#This Row],[Birthweight Z-Score]],TRUE)*100,"")</f>
        <v/>
      </c>
      <c r="K364" s="7" t="str">
        <f>IF(Table1[[#This Row],[Is Data Valid]]=TRUE,_xlfn.NORM.S.DIST(Table1[[#This Row],[Birthweight Z-Score (BW-10%)]],TRUE)*100,"")</f>
        <v/>
      </c>
      <c r="L364" s="7" t="str">
        <f>IF(Table1[[#This Row],[Is Data Valid]]=TRUE,_xlfn.NORM.S.DIST(Table1[[#This Row],[Birthweight Z-Score (BW+10%)]],TRUE)*100,"")</f>
        <v/>
      </c>
    </row>
    <row r="365" spans="1:12" x14ac:dyDescent="0.35">
      <c r="A365" s="3"/>
      <c r="B365" s="2"/>
      <c r="C365" s="2"/>
      <c r="D365" s="2" t="b">
        <f>IF(AND(NOT(ISBLANK(Table1[[#This Row],[Fetal Sex (Male, Female or Unknown)]])),ISNUMBER(Table1[[#This Row],[Birthweight (grams)]]),ISNUMBER(Table1[[#This Row],[Gestation (days)]])),TRUE,FALSE)</f>
        <v>0</v>
      </c>
      <c r="E365" s="2" t="str">
        <f>IF(Table1[[#This Row],[Is Data Valid]]=TRUE,IF(Table1[[#This Row],[Fetal Sex (Male, Female or Unknown)]]="Male",Backend!$C$6,IF(Table1[[#This Row],[Fetal Sex (Male, Female or Unknown)]]="Female",Backend!$C$7,IF(Table1[[#This Row],[Fetal Sex (Male, Female or Unknown)]]="Unknown",Backend!$C$8,"Error"))),"")</f>
        <v/>
      </c>
      <c r="F365" s="8" t="str">
        <f>IF(Table1[[#This Row],[Is Data Valid]]=TRUE,EXP(0.578+0.332*((Table1[[#This Row],[Gestation (days)]]+0.5)/7)-0.00354*((Table1[[#This Row],[Gestation (days)]]+0.5)/7)^2)*Table1[[#This Row],[BW40_3705]],"")</f>
        <v/>
      </c>
      <c r="G365" s="2" t="str">
        <f>IF(Table1[[#This Row],[Is Data Valid]]=TRUE,((Table1[[#This Row],[Birthweight (grams)]]/Table1[[#This Row],[BW_GA]])-1)/(Backend!$B$4/100*Table1[[#This Row],[BW40_3705]]),"")</f>
        <v/>
      </c>
      <c r="H365" s="7" t="str">
        <f>IF(Table1[[#This Row],[Is Data Valid]]=TRUE,((Table1[[#This Row],[Birthweight (grams)]]*0.9/Table1[[#This Row],[BW_GA]])-1)/(Backend!$B$4/100*Table1[[#This Row],[BW40_3705]]),"")</f>
        <v/>
      </c>
      <c r="I365" s="7" t="str">
        <f>IF(Table1[[#This Row],[Is Data Valid]]=TRUE,((Table1[[#This Row],[Birthweight (grams)]]*1.1/Table1[[#This Row],[BW_GA]])-1)/(Backend!$B$4/100*Table1[[#This Row],[BW40_3705]]),"")</f>
        <v/>
      </c>
      <c r="J365" s="7" t="str">
        <f>IF(Table1[[#This Row],[Is Data Valid]]=TRUE,_xlfn.NORM.S.DIST(Table1[[#This Row],[Birthweight Z-Score]],TRUE)*100,"")</f>
        <v/>
      </c>
      <c r="K365" s="7" t="str">
        <f>IF(Table1[[#This Row],[Is Data Valid]]=TRUE,_xlfn.NORM.S.DIST(Table1[[#This Row],[Birthweight Z-Score (BW-10%)]],TRUE)*100,"")</f>
        <v/>
      </c>
      <c r="L365" s="7" t="str">
        <f>IF(Table1[[#This Row],[Is Data Valid]]=TRUE,_xlfn.NORM.S.DIST(Table1[[#This Row],[Birthweight Z-Score (BW+10%)]],TRUE)*100,"")</f>
        <v/>
      </c>
    </row>
    <row r="366" spans="1:12" x14ac:dyDescent="0.35">
      <c r="A366" s="3"/>
      <c r="B366" s="2"/>
      <c r="C366" s="2"/>
      <c r="D366" s="2" t="b">
        <f>IF(AND(NOT(ISBLANK(Table1[[#This Row],[Fetal Sex (Male, Female or Unknown)]])),ISNUMBER(Table1[[#This Row],[Birthweight (grams)]]),ISNUMBER(Table1[[#This Row],[Gestation (days)]])),TRUE,FALSE)</f>
        <v>0</v>
      </c>
      <c r="E366" s="2" t="str">
        <f>IF(Table1[[#This Row],[Is Data Valid]]=TRUE,IF(Table1[[#This Row],[Fetal Sex (Male, Female or Unknown)]]="Male",Backend!$C$6,IF(Table1[[#This Row],[Fetal Sex (Male, Female or Unknown)]]="Female",Backend!$C$7,IF(Table1[[#This Row],[Fetal Sex (Male, Female or Unknown)]]="Unknown",Backend!$C$8,"Error"))),"")</f>
        <v/>
      </c>
      <c r="F366" s="8" t="str">
        <f>IF(Table1[[#This Row],[Is Data Valid]]=TRUE,EXP(0.578+0.332*((Table1[[#This Row],[Gestation (days)]]+0.5)/7)-0.00354*((Table1[[#This Row],[Gestation (days)]]+0.5)/7)^2)*Table1[[#This Row],[BW40_3705]],"")</f>
        <v/>
      </c>
      <c r="G366" s="2" t="str">
        <f>IF(Table1[[#This Row],[Is Data Valid]]=TRUE,((Table1[[#This Row],[Birthweight (grams)]]/Table1[[#This Row],[BW_GA]])-1)/(Backend!$B$4/100*Table1[[#This Row],[BW40_3705]]),"")</f>
        <v/>
      </c>
      <c r="H366" s="7" t="str">
        <f>IF(Table1[[#This Row],[Is Data Valid]]=TRUE,((Table1[[#This Row],[Birthweight (grams)]]*0.9/Table1[[#This Row],[BW_GA]])-1)/(Backend!$B$4/100*Table1[[#This Row],[BW40_3705]]),"")</f>
        <v/>
      </c>
      <c r="I366" s="7" t="str">
        <f>IF(Table1[[#This Row],[Is Data Valid]]=TRUE,((Table1[[#This Row],[Birthweight (grams)]]*1.1/Table1[[#This Row],[BW_GA]])-1)/(Backend!$B$4/100*Table1[[#This Row],[BW40_3705]]),"")</f>
        <v/>
      </c>
      <c r="J366" s="7" t="str">
        <f>IF(Table1[[#This Row],[Is Data Valid]]=TRUE,_xlfn.NORM.S.DIST(Table1[[#This Row],[Birthweight Z-Score]],TRUE)*100,"")</f>
        <v/>
      </c>
      <c r="K366" s="7" t="str">
        <f>IF(Table1[[#This Row],[Is Data Valid]]=TRUE,_xlfn.NORM.S.DIST(Table1[[#This Row],[Birthweight Z-Score (BW-10%)]],TRUE)*100,"")</f>
        <v/>
      </c>
      <c r="L366" s="7" t="str">
        <f>IF(Table1[[#This Row],[Is Data Valid]]=TRUE,_xlfn.NORM.S.DIST(Table1[[#This Row],[Birthweight Z-Score (BW+10%)]],TRUE)*100,"")</f>
        <v/>
      </c>
    </row>
    <row r="367" spans="1:12" x14ac:dyDescent="0.35">
      <c r="A367" s="3"/>
      <c r="B367" s="2"/>
      <c r="C367" s="2"/>
      <c r="D367" s="2" t="b">
        <f>IF(AND(NOT(ISBLANK(Table1[[#This Row],[Fetal Sex (Male, Female or Unknown)]])),ISNUMBER(Table1[[#This Row],[Birthweight (grams)]]),ISNUMBER(Table1[[#This Row],[Gestation (days)]])),TRUE,FALSE)</f>
        <v>0</v>
      </c>
      <c r="E367" s="2" t="str">
        <f>IF(Table1[[#This Row],[Is Data Valid]]=TRUE,IF(Table1[[#This Row],[Fetal Sex (Male, Female or Unknown)]]="Male",Backend!$C$6,IF(Table1[[#This Row],[Fetal Sex (Male, Female or Unknown)]]="Female",Backend!$C$7,IF(Table1[[#This Row],[Fetal Sex (Male, Female or Unknown)]]="Unknown",Backend!$C$8,"Error"))),"")</f>
        <v/>
      </c>
      <c r="F367" s="8" t="str">
        <f>IF(Table1[[#This Row],[Is Data Valid]]=TRUE,EXP(0.578+0.332*((Table1[[#This Row],[Gestation (days)]]+0.5)/7)-0.00354*((Table1[[#This Row],[Gestation (days)]]+0.5)/7)^2)*Table1[[#This Row],[BW40_3705]],"")</f>
        <v/>
      </c>
      <c r="G367" s="2" t="str">
        <f>IF(Table1[[#This Row],[Is Data Valid]]=TRUE,((Table1[[#This Row],[Birthweight (grams)]]/Table1[[#This Row],[BW_GA]])-1)/(Backend!$B$4/100*Table1[[#This Row],[BW40_3705]]),"")</f>
        <v/>
      </c>
      <c r="H367" s="7" t="str">
        <f>IF(Table1[[#This Row],[Is Data Valid]]=TRUE,((Table1[[#This Row],[Birthweight (grams)]]*0.9/Table1[[#This Row],[BW_GA]])-1)/(Backend!$B$4/100*Table1[[#This Row],[BW40_3705]]),"")</f>
        <v/>
      </c>
      <c r="I367" s="7" t="str">
        <f>IF(Table1[[#This Row],[Is Data Valid]]=TRUE,((Table1[[#This Row],[Birthweight (grams)]]*1.1/Table1[[#This Row],[BW_GA]])-1)/(Backend!$B$4/100*Table1[[#This Row],[BW40_3705]]),"")</f>
        <v/>
      </c>
      <c r="J367" s="7" t="str">
        <f>IF(Table1[[#This Row],[Is Data Valid]]=TRUE,_xlfn.NORM.S.DIST(Table1[[#This Row],[Birthweight Z-Score]],TRUE)*100,"")</f>
        <v/>
      </c>
      <c r="K367" s="7" t="str">
        <f>IF(Table1[[#This Row],[Is Data Valid]]=TRUE,_xlfn.NORM.S.DIST(Table1[[#This Row],[Birthweight Z-Score (BW-10%)]],TRUE)*100,"")</f>
        <v/>
      </c>
      <c r="L367" s="7" t="str">
        <f>IF(Table1[[#This Row],[Is Data Valid]]=TRUE,_xlfn.NORM.S.DIST(Table1[[#This Row],[Birthweight Z-Score (BW+10%)]],TRUE)*100,"")</f>
        <v/>
      </c>
    </row>
    <row r="368" spans="1:12" x14ac:dyDescent="0.35">
      <c r="A368" s="3"/>
      <c r="B368" s="2"/>
      <c r="C368" s="2"/>
      <c r="D368" s="2" t="b">
        <f>IF(AND(NOT(ISBLANK(Table1[[#This Row],[Fetal Sex (Male, Female or Unknown)]])),ISNUMBER(Table1[[#This Row],[Birthweight (grams)]]),ISNUMBER(Table1[[#This Row],[Gestation (days)]])),TRUE,FALSE)</f>
        <v>0</v>
      </c>
      <c r="E368" s="2" t="str">
        <f>IF(Table1[[#This Row],[Is Data Valid]]=TRUE,IF(Table1[[#This Row],[Fetal Sex (Male, Female or Unknown)]]="Male",Backend!$C$6,IF(Table1[[#This Row],[Fetal Sex (Male, Female or Unknown)]]="Female",Backend!$C$7,IF(Table1[[#This Row],[Fetal Sex (Male, Female or Unknown)]]="Unknown",Backend!$C$8,"Error"))),"")</f>
        <v/>
      </c>
      <c r="F368" s="8" t="str">
        <f>IF(Table1[[#This Row],[Is Data Valid]]=TRUE,EXP(0.578+0.332*((Table1[[#This Row],[Gestation (days)]]+0.5)/7)-0.00354*((Table1[[#This Row],[Gestation (days)]]+0.5)/7)^2)*Table1[[#This Row],[BW40_3705]],"")</f>
        <v/>
      </c>
      <c r="G368" s="2" t="str">
        <f>IF(Table1[[#This Row],[Is Data Valid]]=TRUE,((Table1[[#This Row],[Birthweight (grams)]]/Table1[[#This Row],[BW_GA]])-1)/(Backend!$B$4/100*Table1[[#This Row],[BW40_3705]]),"")</f>
        <v/>
      </c>
      <c r="H368" s="7" t="str">
        <f>IF(Table1[[#This Row],[Is Data Valid]]=TRUE,((Table1[[#This Row],[Birthweight (grams)]]*0.9/Table1[[#This Row],[BW_GA]])-1)/(Backend!$B$4/100*Table1[[#This Row],[BW40_3705]]),"")</f>
        <v/>
      </c>
      <c r="I368" s="7" t="str">
        <f>IF(Table1[[#This Row],[Is Data Valid]]=TRUE,((Table1[[#This Row],[Birthweight (grams)]]*1.1/Table1[[#This Row],[BW_GA]])-1)/(Backend!$B$4/100*Table1[[#This Row],[BW40_3705]]),"")</f>
        <v/>
      </c>
      <c r="J368" s="7" t="str">
        <f>IF(Table1[[#This Row],[Is Data Valid]]=TRUE,_xlfn.NORM.S.DIST(Table1[[#This Row],[Birthweight Z-Score]],TRUE)*100,"")</f>
        <v/>
      </c>
      <c r="K368" s="7" t="str">
        <f>IF(Table1[[#This Row],[Is Data Valid]]=TRUE,_xlfn.NORM.S.DIST(Table1[[#This Row],[Birthweight Z-Score (BW-10%)]],TRUE)*100,"")</f>
        <v/>
      </c>
      <c r="L368" s="7" t="str">
        <f>IF(Table1[[#This Row],[Is Data Valid]]=TRUE,_xlfn.NORM.S.DIST(Table1[[#This Row],[Birthweight Z-Score (BW+10%)]],TRUE)*100,"")</f>
        <v/>
      </c>
    </row>
    <row r="369" spans="1:12" x14ac:dyDescent="0.35">
      <c r="A369" s="3"/>
      <c r="B369" s="2"/>
      <c r="C369" s="2"/>
      <c r="D369" s="2" t="b">
        <f>IF(AND(NOT(ISBLANK(Table1[[#This Row],[Fetal Sex (Male, Female or Unknown)]])),ISNUMBER(Table1[[#This Row],[Birthweight (grams)]]),ISNUMBER(Table1[[#This Row],[Gestation (days)]])),TRUE,FALSE)</f>
        <v>0</v>
      </c>
      <c r="E369" s="2" t="str">
        <f>IF(Table1[[#This Row],[Is Data Valid]]=TRUE,IF(Table1[[#This Row],[Fetal Sex (Male, Female or Unknown)]]="Male",Backend!$C$6,IF(Table1[[#This Row],[Fetal Sex (Male, Female or Unknown)]]="Female",Backend!$C$7,IF(Table1[[#This Row],[Fetal Sex (Male, Female or Unknown)]]="Unknown",Backend!$C$8,"Error"))),"")</f>
        <v/>
      </c>
      <c r="F369" s="8" t="str">
        <f>IF(Table1[[#This Row],[Is Data Valid]]=TRUE,EXP(0.578+0.332*((Table1[[#This Row],[Gestation (days)]]+0.5)/7)-0.00354*((Table1[[#This Row],[Gestation (days)]]+0.5)/7)^2)*Table1[[#This Row],[BW40_3705]],"")</f>
        <v/>
      </c>
      <c r="G369" s="2" t="str">
        <f>IF(Table1[[#This Row],[Is Data Valid]]=TRUE,((Table1[[#This Row],[Birthweight (grams)]]/Table1[[#This Row],[BW_GA]])-1)/(Backend!$B$4/100*Table1[[#This Row],[BW40_3705]]),"")</f>
        <v/>
      </c>
      <c r="H369" s="7" t="str">
        <f>IF(Table1[[#This Row],[Is Data Valid]]=TRUE,((Table1[[#This Row],[Birthweight (grams)]]*0.9/Table1[[#This Row],[BW_GA]])-1)/(Backend!$B$4/100*Table1[[#This Row],[BW40_3705]]),"")</f>
        <v/>
      </c>
      <c r="I369" s="7" t="str">
        <f>IF(Table1[[#This Row],[Is Data Valid]]=TRUE,((Table1[[#This Row],[Birthweight (grams)]]*1.1/Table1[[#This Row],[BW_GA]])-1)/(Backend!$B$4/100*Table1[[#This Row],[BW40_3705]]),"")</f>
        <v/>
      </c>
      <c r="J369" s="7" t="str">
        <f>IF(Table1[[#This Row],[Is Data Valid]]=TRUE,_xlfn.NORM.S.DIST(Table1[[#This Row],[Birthweight Z-Score]],TRUE)*100,"")</f>
        <v/>
      </c>
      <c r="K369" s="7" t="str">
        <f>IF(Table1[[#This Row],[Is Data Valid]]=TRUE,_xlfn.NORM.S.DIST(Table1[[#This Row],[Birthweight Z-Score (BW-10%)]],TRUE)*100,"")</f>
        <v/>
      </c>
      <c r="L369" s="7" t="str">
        <f>IF(Table1[[#This Row],[Is Data Valid]]=TRUE,_xlfn.NORM.S.DIST(Table1[[#This Row],[Birthweight Z-Score (BW+10%)]],TRUE)*100,"")</f>
        <v/>
      </c>
    </row>
    <row r="370" spans="1:12" x14ac:dyDescent="0.35">
      <c r="A370" s="3"/>
      <c r="B370" s="2"/>
      <c r="C370" s="2"/>
      <c r="D370" s="2" t="b">
        <f>IF(AND(NOT(ISBLANK(Table1[[#This Row],[Fetal Sex (Male, Female or Unknown)]])),ISNUMBER(Table1[[#This Row],[Birthweight (grams)]]),ISNUMBER(Table1[[#This Row],[Gestation (days)]])),TRUE,FALSE)</f>
        <v>0</v>
      </c>
      <c r="E370" s="2" t="str">
        <f>IF(Table1[[#This Row],[Is Data Valid]]=TRUE,IF(Table1[[#This Row],[Fetal Sex (Male, Female or Unknown)]]="Male",Backend!$C$6,IF(Table1[[#This Row],[Fetal Sex (Male, Female or Unknown)]]="Female",Backend!$C$7,IF(Table1[[#This Row],[Fetal Sex (Male, Female or Unknown)]]="Unknown",Backend!$C$8,"Error"))),"")</f>
        <v/>
      </c>
      <c r="F370" s="8" t="str">
        <f>IF(Table1[[#This Row],[Is Data Valid]]=TRUE,EXP(0.578+0.332*((Table1[[#This Row],[Gestation (days)]]+0.5)/7)-0.00354*((Table1[[#This Row],[Gestation (days)]]+0.5)/7)^2)*Table1[[#This Row],[BW40_3705]],"")</f>
        <v/>
      </c>
      <c r="G370" s="2" t="str">
        <f>IF(Table1[[#This Row],[Is Data Valid]]=TRUE,((Table1[[#This Row],[Birthweight (grams)]]/Table1[[#This Row],[BW_GA]])-1)/(Backend!$B$4/100*Table1[[#This Row],[BW40_3705]]),"")</f>
        <v/>
      </c>
      <c r="H370" s="7" t="str">
        <f>IF(Table1[[#This Row],[Is Data Valid]]=TRUE,((Table1[[#This Row],[Birthweight (grams)]]*0.9/Table1[[#This Row],[BW_GA]])-1)/(Backend!$B$4/100*Table1[[#This Row],[BW40_3705]]),"")</f>
        <v/>
      </c>
      <c r="I370" s="7" t="str">
        <f>IF(Table1[[#This Row],[Is Data Valid]]=TRUE,((Table1[[#This Row],[Birthweight (grams)]]*1.1/Table1[[#This Row],[BW_GA]])-1)/(Backend!$B$4/100*Table1[[#This Row],[BW40_3705]]),"")</f>
        <v/>
      </c>
      <c r="J370" s="7" t="str">
        <f>IF(Table1[[#This Row],[Is Data Valid]]=TRUE,_xlfn.NORM.S.DIST(Table1[[#This Row],[Birthweight Z-Score]],TRUE)*100,"")</f>
        <v/>
      </c>
      <c r="K370" s="7" t="str">
        <f>IF(Table1[[#This Row],[Is Data Valid]]=TRUE,_xlfn.NORM.S.DIST(Table1[[#This Row],[Birthweight Z-Score (BW-10%)]],TRUE)*100,"")</f>
        <v/>
      </c>
      <c r="L370" s="7" t="str">
        <f>IF(Table1[[#This Row],[Is Data Valid]]=TRUE,_xlfn.NORM.S.DIST(Table1[[#This Row],[Birthweight Z-Score (BW+10%)]],TRUE)*100,"")</f>
        <v/>
      </c>
    </row>
    <row r="371" spans="1:12" x14ac:dyDescent="0.35">
      <c r="A371" s="3"/>
      <c r="B371" s="2"/>
      <c r="C371" s="2"/>
      <c r="D371" s="2" t="b">
        <f>IF(AND(NOT(ISBLANK(Table1[[#This Row],[Fetal Sex (Male, Female or Unknown)]])),ISNUMBER(Table1[[#This Row],[Birthweight (grams)]]),ISNUMBER(Table1[[#This Row],[Gestation (days)]])),TRUE,FALSE)</f>
        <v>0</v>
      </c>
      <c r="E371" s="2" t="str">
        <f>IF(Table1[[#This Row],[Is Data Valid]]=TRUE,IF(Table1[[#This Row],[Fetal Sex (Male, Female or Unknown)]]="Male",Backend!$C$6,IF(Table1[[#This Row],[Fetal Sex (Male, Female or Unknown)]]="Female",Backend!$C$7,IF(Table1[[#This Row],[Fetal Sex (Male, Female or Unknown)]]="Unknown",Backend!$C$8,"Error"))),"")</f>
        <v/>
      </c>
      <c r="F371" s="8" t="str">
        <f>IF(Table1[[#This Row],[Is Data Valid]]=TRUE,EXP(0.578+0.332*((Table1[[#This Row],[Gestation (days)]]+0.5)/7)-0.00354*((Table1[[#This Row],[Gestation (days)]]+0.5)/7)^2)*Table1[[#This Row],[BW40_3705]],"")</f>
        <v/>
      </c>
      <c r="G371" s="2" t="str">
        <f>IF(Table1[[#This Row],[Is Data Valid]]=TRUE,((Table1[[#This Row],[Birthweight (grams)]]/Table1[[#This Row],[BW_GA]])-1)/(Backend!$B$4/100*Table1[[#This Row],[BW40_3705]]),"")</f>
        <v/>
      </c>
      <c r="H371" s="7" t="str">
        <f>IF(Table1[[#This Row],[Is Data Valid]]=TRUE,((Table1[[#This Row],[Birthweight (grams)]]*0.9/Table1[[#This Row],[BW_GA]])-1)/(Backend!$B$4/100*Table1[[#This Row],[BW40_3705]]),"")</f>
        <v/>
      </c>
      <c r="I371" s="7" t="str">
        <f>IF(Table1[[#This Row],[Is Data Valid]]=TRUE,((Table1[[#This Row],[Birthweight (grams)]]*1.1/Table1[[#This Row],[BW_GA]])-1)/(Backend!$B$4/100*Table1[[#This Row],[BW40_3705]]),"")</f>
        <v/>
      </c>
      <c r="J371" s="7" t="str">
        <f>IF(Table1[[#This Row],[Is Data Valid]]=TRUE,_xlfn.NORM.S.DIST(Table1[[#This Row],[Birthweight Z-Score]],TRUE)*100,"")</f>
        <v/>
      </c>
      <c r="K371" s="7" t="str">
        <f>IF(Table1[[#This Row],[Is Data Valid]]=TRUE,_xlfn.NORM.S.DIST(Table1[[#This Row],[Birthweight Z-Score (BW-10%)]],TRUE)*100,"")</f>
        <v/>
      </c>
      <c r="L371" s="7" t="str">
        <f>IF(Table1[[#This Row],[Is Data Valid]]=TRUE,_xlfn.NORM.S.DIST(Table1[[#This Row],[Birthweight Z-Score (BW+10%)]],TRUE)*100,"")</f>
        <v/>
      </c>
    </row>
    <row r="372" spans="1:12" x14ac:dyDescent="0.35">
      <c r="A372" s="3"/>
      <c r="B372" s="2"/>
      <c r="C372" s="2"/>
      <c r="D372" s="2" t="b">
        <f>IF(AND(NOT(ISBLANK(Table1[[#This Row],[Fetal Sex (Male, Female or Unknown)]])),ISNUMBER(Table1[[#This Row],[Birthweight (grams)]]),ISNUMBER(Table1[[#This Row],[Gestation (days)]])),TRUE,FALSE)</f>
        <v>0</v>
      </c>
      <c r="E372" s="2" t="str">
        <f>IF(Table1[[#This Row],[Is Data Valid]]=TRUE,IF(Table1[[#This Row],[Fetal Sex (Male, Female or Unknown)]]="Male",Backend!$C$6,IF(Table1[[#This Row],[Fetal Sex (Male, Female or Unknown)]]="Female",Backend!$C$7,IF(Table1[[#This Row],[Fetal Sex (Male, Female or Unknown)]]="Unknown",Backend!$C$8,"Error"))),"")</f>
        <v/>
      </c>
      <c r="F372" s="8" t="str">
        <f>IF(Table1[[#This Row],[Is Data Valid]]=TRUE,EXP(0.578+0.332*((Table1[[#This Row],[Gestation (days)]]+0.5)/7)-0.00354*((Table1[[#This Row],[Gestation (days)]]+0.5)/7)^2)*Table1[[#This Row],[BW40_3705]],"")</f>
        <v/>
      </c>
      <c r="G372" s="2" t="str">
        <f>IF(Table1[[#This Row],[Is Data Valid]]=TRUE,((Table1[[#This Row],[Birthweight (grams)]]/Table1[[#This Row],[BW_GA]])-1)/(Backend!$B$4/100*Table1[[#This Row],[BW40_3705]]),"")</f>
        <v/>
      </c>
      <c r="H372" s="7" t="str">
        <f>IF(Table1[[#This Row],[Is Data Valid]]=TRUE,((Table1[[#This Row],[Birthweight (grams)]]*0.9/Table1[[#This Row],[BW_GA]])-1)/(Backend!$B$4/100*Table1[[#This Row],[BW40_3705]]),"")</f>
        <v/>
      </c>
      <c r="I372" s="7" t="str">
        <f>IF(Table1[[#This Row],[Is Data Valid]]=TRUE,((Table1[[#This Row],[Birthweight (grams)]]*1.1/Table1[[#This Row],[BW_GA]])-1)/(Backend!$B$4/100*Table1[[#This Row],[BW40_3705]]),"")</f>
        <v/>
      </c>
      <c r="J372" s="7" t="str">
        <f>IF(Table1[[#This Row],[Is Data Valid]]=TRUE,_xlfn.NORM.S.DIST(Table1[[#This Row],[Birthweight Z-Score]],TRUE)*100,"")</f>
        <v/>
      </c>
      <c r="K372" s="7" t="str">
        <f>IF(Table1[[#This Row],[Is Data Valid]]=TRUE,_xlfn.NORM.S.DIST(Table1[[#This Row],[Birthweight Z-Score (BW-10%)]],TRUE)*100,"")</f>
        <v/>
      </c>
      <c r="L372" s="7" t="str">
        <f>IF(Table1[[#This Row],[Is Data Valid]]=TRUE,_xlfn.NORM.S.DIST(Table1[[#This Row],[Birthweight Z-Score (BW+10%)]],TRUE)*100,"")</f>
        <v/>
      </c>
    </row>
    <row r="373" spans="1:12" x14ac:dyDescent="0.35">
      <c r="A373" s="3"/>
      <c r="B373" s="2"/>
      <c r="C373" s="2"/>
      <c r="D373" s="2" t="b">
        <f>IF(AND(NOT(ISBLANK(Table1[[#This Row],[Fetal Sex (Male, Female or Unknown)]])),ISNUMBER(Table1[[#This Row],[Birthweight (grams)]]),ISNUMBER(Table1[[#This Row],[Gestation (days)]])),TRUE,FALSE)</f>
        <v>0</v>
      </c>
      <c r="E373" s="2" t="str">
        <f>IF(Table1[[#This Row],[Is Data Valid]]=TRUE,IF(Table1[[#This Row],[Fetal Sex (Male, Female or Unknown)]]="Male",Backend!$C$6,IF(Table1[[#This Row],[Fetal Sex (Male, Female or Unknown)]]="Female",Backend!$C$7,IF(Table1[[#This Row],[Fetal Sex (Male, Female or Unknown)]]="Unknown",Backend!$C$8,"Error"))),"")</f>
        <v/>
      </c>
      <c r="F373" s="8" t="str">
        <f>IF(Table1[[#This Row],[Is Data Valid]]=TRUE,EXP(0.578+0.332*((Table1[[#This Row],[Gestation (days)]]+0.5)/7)-0.00354*((Table1[[#This Row],[Gestation (days)]]+0.5)/7)^2)*Table1[[#This Row],[BW40_3705]],"")</f>
        <v/>
      </c>
      <c r="G373" s="2" t="str">
        <f>IF(Table1[[#This Row],[Is Data Valid]]=TRUE,((Table1[[#This Row],[Birthweight (grams)]]/Table1[[#This Row],[BW_GA]])-1)/(Backend!$B$4/100*Table1[[#This Row],[BW40_3705]]),"")</f>
        <v/>
      </c>
      <c r="H373" s="7" t="str">
        <f>IF(Table1[[#This Row],[Is Data Valid]]=TRUE,((Table1[[#This Row],[Birthweight (grams)]]*0.9/Table1[[#This Row],[BW_GA]])-1)/(Backend!$B$4/100*Table1[[#This Row],[BW40_3705]]),"")</f>
        <v/>
      </c>
      <c r="I373" s="7" t="str">
        <f>IF(Table1[[#This Row],[Is Data Valid]]=TRUE,((Table1[[#This Row],[Birthweight (grams)]]*1.1/Table1[[#This Row],[BW_GA]])-1)/(Backend!$B$4/100*Table1[[#This Row],[BW40_3705]]),"")</f>
        <v/>
      </c>
      <c r="J373" s="7" t="str">
        <f>IF(Table1[[#This Row],[Is Data Valid]]=TRUE,_xlfn.NORM.S.DIST(Table1[[#This Row],[Birthweight Z-Score]],TRUE)*100,"")</f>
        <v/>
      </c>
      <c r="K373" s="7" t="str">
        <f>IF(Table1[[#This Row],[Is Data Valid]]=TRUE,_xlfn.NORM.S.DIST(Table1[[#This Row],[Birthweight Z-Score (BW-10%)]],TRUE)*100,"")</f>
        <v/>
      </c>
      <c r="L373" s="7" t="str">
        <f>IF(Table1[[#This Row],[Is Data Valid]]=TRUE,_xlfn.NORM.S.DIST(Table1[[#This Row],[Birthweight Z-Score (BW+10%)]],TRUE)*100,"")</f>
        <v/>
      </c>
    </row>
    <row r="374" spans="1:12" x14ac:dyDescent="0.35">
      <c r="A374" s="3"/>
      <c r="B374" s="2"/>
      <c r="C374" s="2"/>
      <c r="D374" s="2" t="b">
        <f>IF(AND(NOT(ISBLANK(Table1[[#This Row],[Fetal Sex (Male, Female or Unknown)]])),ISNUMBER(Table1[[#This Row],[Birthweight (grams)]]),ISNUMBER(Table1[[#This Row],[Gestation (days)]])),TRUE,FALSE)</f>
        <v>0</v>
      </c>
      <c r="E374" s="2" t="str">
        <f>IF(Table1[[#This Row],[Is Data Valid]]=TRUE,IF(Table1[[#This Row],[Fetal Sex (Male, Female or Unknown)]]="Male",Backend!$C$6,IF(Table1[[#This Row],[Fetal Sex (Male, Female or Unknown)]]="Female",Backend!$C$7,IF(Table1[[#This Row],[Fetal Sex (Male, Female or Unknown)]]="Unknown",Backend!$C$8,"Error"))),"")</f>
        <v/>
      </c>
      <c r="F374" s="8" t="str">
        <f>IF(Table1[[#This Row],[Is Data Valid]]=TRUE,EXP(0.578+0.332*((Table1[[#This Row],[Gestation (days)]]+0.5)/7)-0.00354*((Table1[[#This Row],[Gestation (days)]]+0.5)/7)^2)*Table1[[#This Row],[BW40_3705]],"")</f>
        <v/>
      </c>
      <c r="G374" s="2" t="str">
        <f>IF(Table1[[#This Row],[Is Data Valid]]=TRUE,((Table1[[#This Row],[Birthweight (grams)]]/Table1[[#This Row],[BW_GA]])-1)/(Backend!$B$4/100*Table1[[#This Row],[BW40_3705]]),"")</f>
        <v/>
      </c>
      <c r="H374" s="7" t="str">
        <f>IF(Table1[[#This Row],[Is Data Valid]]=TRUE,((Table1[[#This Row],[Birthweight (grams)]]*0.9/Table1[[#This Row],[BW_GA]])-1)/(Backend!$B$4/100*Table1[[#This Row],[BW40_3705]]),"")</f>
        <v/>
      </c>
      <c r="I374" s="7" t="str">
        <f>IF(Table1[[#This Row],[Is Data Valid]]=TRUE,((Table1[[#This Row],[Birthweight (grams)]]*1.1/Table1[[#This Row],[BW_GA]])-1)/(Backend!$B$4/100*Table1[[#This Row],[BW40_3705]]),"")</f>
        <v/>
      </c>
      <c r="J374" s="7" t="str">
        <f>IF(Table1[[#This Row],[Is Data Valid]]=TRUE,_xlfn.NORM.S.DIST(Table1[[#This Row],[Birthweight Z-Score]],TRUE)*100,"")</f>
        <v/>
      </c>
      <c r="K374" s="7" t="str">
        <f>IF(Table1[[#This Row],[Is Data Valid]]=TRUE,_xlfn.NORM.S.DIST(Table1[[#This Row],[Birthweight Z-Score (BW-10%)]],TRUE)*100,"")</f>
        <v/>
      </c>
      <c r="L374" s="7" t="str">
        <f>IF(Table1[[#This Row],[Is Data Valid]]=TRUE,_xlfn.NORM.S.DIST(Table1[[#This Row],[Birthweight Z-Score (BW+10%)]],TRUE)*100,"")</f>
        <v/>
      </c>
    </row>
    <row r="375" spans="1:12" x14ac:dyDescent="0.35">
      <c r="A375" s="3"/>
      <c r="B375" s="2"/>
      <c r="C375" s="2"/>
      <c r="D375" s="2" t="b">
        <f>IF(AND(NOT(ISBLANK(Table1[[#This Row],[Fetal Sex (Male, Female or Unknown)]])),ISNUMBER(Table1[[#This Row],[Birthweight (grams)]]),ISNUMBER(Table1[[#This Row],[Gestation (days)]])),TRUE,FALSE)</f>
        <v>0</v>
      </c>
      <c r="E375" s="2" t="str">
        <f>IF(Table1[[#This Row],[Is Data Valid]]=TRUE,IF(Table1[[#This Row],[Fetal Sex (Male, Female or Unknown)]]="Male",Backend!$C$6,IF(Table1[[#This Row],[Fetal Sex (Male, Female or Unknown)]]="Female",Backend!$C$7,IF(Table1[[#This Row],[Fetal Sex (Male, Female or Unknown)]]="Unknown",Backend!$C$8,"Error"))),"")</f>
        <v/>
      </c>
      <c r="F375" s="8" t="str">
        <f>IF(Table1[[#This Row],[Is Data Valid]]=TRUE,EXP(0.578+0.332*((Table1[[#This Row],[Gestation (days)]]+0.5)/7)-0.00354*((Table1[[#This Row],[Gestation (days)]]+0.5)/7)^2)*Table1[[#This Row],[BW40_3705]],"")</f>
        <v/>
      </c>
      <c r="G375" s="2" t="str">
        <f>IF(Table1[[#This Row],[Is Data Valid]]=TRUE,((Table1[[#This Row],[Birthweight (grams)]]/Table1[[#This Row],[BW_GA]])-1)/(Backend!$B$4/100*Table1[[#This Row],[BW40_3705]]),"")</f>
        <v/>
      </c>
      <c r="H375" s="7" t="str">
        <f>IF(Table1[[#This Row],[Is Data Valid]]=TRUE,((Table1[[#This Row],[Birthweight (grams)]]*0.9/Table1[[#This Row],[BW_GA]])-1)/(Backend!$B$4/100*Table1[[#This Row],[BW40_3705]]),"")</f>
        <v/>
      </c>
      <c r="I375" s="7" t="str">
        <f>IF(Table1[[#This Row],[Is Data Valid]]=TRUE,((Table1[[#This Row],[Birthweight (grams)]]*1.1/Table1[[#This Row],[BW_GA]])-1)/(Backend!$B$4/100*Table1[[#This Row],[BW40_3705]]),"")</f>
        <v/>
      </c>
      <c r="J375" s="7" t="str">
        <f>IF(Table1[[#This Row],[Is Data Valid]]=TRUE,_xlfn.NORM.S.DIST(Table1[[#This Row],[Birthweight Z-Score]],TRUE)*100,"")</f>
        <v/>
      </c>
      <c r="K375" s="7" t="str">
        <f>IF(Table1[[#This Row],[Is Data Valid]]=TRUE,_xlfn.NORM.S.DIST(Table1[[#This Row],[Birthweight Z-Score (BW-10%)]],TRUE)*100,"")</f>
        <v/>
      </c>
      <c r="L375" s="7" t="str">
        <f>IF(Table1[[#This Row],[Is Data Valid]]=TRUE,_xlfn.NORM.S.DIST(Table1[[#This Row],[Birthweight Z-Score (BW+10%)]],TRUE)*100,"")</f>
        <v/>
      </c>
    </row>
    <row r="376" spans="1:12" x14ac:dyDescent="0.35">
      <c r="A376" s="3"/>
      <c r="B376" s="2"/>
      <c r="C376" s="2"/>
      <c r="D376" s="2" t="b">
        <f>IF(AND(NOT(ISBLANK(Table1[[#This Row],[Fetal Sex (Male, Female or Unknown)]])),ISNUMBER(Table1[[#This Row],[Birthweight (grams)]]),ISNUMBER(Table1[[#This Row],[Gestation (days)]])),TRUE,FALSE)</f>
        <v>0</v>
      </c>
      <c r="E376" s="2" t="str">
        <f>IF(Table1[[#This Row],[Is Data Valid]]=TRUE,IF(Table1[[#This Row],[Fetal Sex (Male, Female or Unknown)]]="Male",Backend!$C$6,IF(Table1[[#This Row],[Fetal Sex (Male, Female or Unknown)]]="Female",Backend!$C$7,IF(Table1[[#This Row],[Fetal Sex (Male, Female or Unknown)]]="Unknown",Backend!$C$8,"Error"))),"")</f>
        <v/>
      </c>
      <c r="F376" s="8" t="str">
        <f>IF(Table1[[#This Row],[Is Data Valid]]=TRUE,EXP(0.578+0.332*((Table1[[#This Row],[Gestation (days)]]+0.5)/7)-0.00354*((Table1[[#This Row],[Gestation (days)]]+0.5)/7)^2)*Table1[[#This Row],[BW40_3705]],"")</f>
        <v/>
      </c>
      <c r="G376" s="2" t="str">
        <f>IF(Table1[[#This Row],[Is Data Valid]]=TRUE,((Table1[[#This Row],[Birthweight (grams)]]/Table1[[#This Row],[BW_GA]])-1)/(Backend!$B$4/100*Table1[[#This Row],[BW40_3705]]),"")</f>
        <v/>
      </c>
      <c r="H376" s="7" t="str">
        <f>IF(Table1[[#This Row],[Is Data Valid]]=TRUE,((Table1[[#This Row],[Birthweight (grams)]]*0.9/Table1[[#This Row],[BW_GA]])-1)/(Backend!$B$4/100*Table1[[#This Row],[BW40_3705]]),"")</f>
        <v/>
      </c>
      <c r="I376" s="7" t="str">
        <f>IF(Table1[[#This Row],[Is Data Valid]]=TRUE,((Table1[[#This Row],[Birthweight (grams)]]*1.1/Table1[[#This Row],[BW_GA]])-1)/(Backend!$B$4/100*Table1[[#This Row],[BW40_3705]]),"")</f>
        <v/>
      </c>
      <c r="J376" s="7" t="str">
        <f>IF(Table1[[#This Row],[Is Data Valid]]=TRUE,_xlfn.NORM.S.DIST(Table1[[#This Row],[Birthweight Z-Score]],TRUE)*100,"")</f>
        <v/>
      </c>
      <c r="K376" s="7" t="str">
        <f>IF(Table1[[#This Row],[Is Data Valid]]=TRUE,_xlfn.NORM.S.DIST(Table1[[#This Row],[Birthweight Z-Score (BW-10%)]],TRUE)*100,"")</f>
        <v/>
      </c>
      <c r="L376" s="7" t="str">
        <f>IF(Table1[[#This Row],[Is Data Valid]]=TRUE,_xlfn.NORM.S.DIST(Table1[[#This Row],[Birthweight Z-Score (BW+10%)]],TRUE)*100,"")</f>
        <v/>
      </c>
    </row>
    <row r="377" spans="1:12" x14ac:dyDescent="0.35">
      <c r="A377" s="3"/>
      <c r="B377" s="2"/>
      <c r="C377" s="2"/>
      <c r="D377" s="2" t="b">
        <f>IF(AND(NOT(ISBLANK(Table1[[#This Row],[Fetal Sex (Male, Female or Unknown)]])),ISNUMBER(Table1[[#This Row],[Birthweight (grams)]]),ISNUMBER(Table1[[#This Row],[Gestation (days)]])),TRUE,FALSE)</f>
        <v>0</v>
      </c>
      <c r="E377" s="2" t="str">
        <f>IF(Table1[[#This Row],[Is Data Valid]]=TRUE,IF(Table1[[#This Row],[Fetal Sex (Male, Female or Unknown)]]="Male",Backend!$C$6,IF(Table1[[#This Row],[Fetal Sex (Male, Female or Unknown)]]="Female",Backend!$C$7,IF(Table1[[#This Row],[Fetal Sex (Male, Female or Unknown)]]="Unknown",Backend!$C$8,"Error"))),"")</f>
        <v/>
      </c>
      <c r="F377" s="8" t="str">
        <f>IF(Table1[[#This Row],[Is Data Valid]]=TRUE,EXP(0.578+0.332*((Table1[[#This Row],[Gestation (days)]]+0.5)/7)-0.00354*((Table1[[#This Row],[Gestation (days)]]+0.5)/7)^2)*Table1[[#This Row],[BW40_3705]],"")</f>
        <v/>
      </c>
      <c r="G377" s="2" t="str">
        <f>IF(Table1[[#This Row],[Is Data Valid]]=TRUE,((Table1[[#This Row],[Birthweight (grams)]]/Table1[[#This Row],[BW_GA]])-1)/(Backend!$B$4/100*Table1[[#This Row],[BW40_3705]]),"")</f>
        <v/>
      </c>
      <c r="H377" s="7" t="str">
        <f>IF(Table1[[#This Row],[Is Data Valid]]=TRUE,((Table1[[#This Row],[Birthweight (grams)]]*0.9/Table1[[#This Row],[BW_GA]])-1)/(Backend!$B$4/100*Table1[[#This Row],[BW40_3705]]),"")</f>
        <v/>
      </c>
      <c r="I377" s="7" t="str">
        <f>IF(Table1[[#This Row],[Is Data Valid]]=TRUE,((Table1[[#This Row],[Birthweight (grams)]]*1.1/Table1[[#This Row],[BW_GA]])-1)/(Backend!$B$4/100*Table1[[#This Row],[BW40_3705]]),"")</f>
        <v/>
      </c>
      <c r="J377" s="7" t="str">
        <f>IF(Table1[[#This Row],[Is Data Valid]]=TRUE,_xlfn.NORM.S.DIST(Table1[[#This Row],[Birthweight Z-Score]],TRUE)*100,"")</f>
        <v/>
      </c>
      <c r="K377" s="7" t="str">
        <f>IF(Table1[[#This Row],[Is Data Valid]]=TRUE,_xlfn.NORM.S.DIST(Table1[[#This Row],[Birthweight Z-Score (BW-10%)]],TRUE)*100,"")</f>
        <v/>
      </c>
      <c r="L377" s="7" t="str">
        <f>IF(Table1[[#This Row],[Is Data Valid]]=TRUE,_xlfn.NORM.S.DIST(Table1[[#This Row],[Birthweight Z-Score (BW+10%)]],TRUE)*100,"")</f>
        <v/>
      </c>
    </row>
    <row r="378" spans="1:12" x14ac:dyDescent="0.35">
      <c r="A378" s="3"/>
      <c r="B378" s="2"/>
      <c r="C378" s="2"/>
      <c r="D378" s="2" t="b">
        <f>IF(AND(NOT(ISBLANK(Table1[[#This Row],[Fetal Sex (Male, Female or Unknown)]])),ISNUMBER(Table1[[#This Row],[Birthweight (grams)]]),ISNUMBER(Table1[[#This Row],[Gestation (days)]])),TRUE,FALSE)</f>
        <v>0</v>
      </c>
      <c r="E378" s="2" t="str">
        <f>IF(Table1[[#This Row],[Is Data Valid]]=TRUE,IF(Table1[[#This Row],[Fetal Sex (Male, Female or Unknown)]]="Male",Backend!$C$6,IF(Table1[[#This Row],[Fetal Sex (Male, Female or Unknown)]]="Female",Backend!$C$7,IF(Table1[[#This Row],[Fetal Sex (Male, Female or Unknown)]]="Unknown",Backend!$C$8,"Error"))),"")</f>
        <v/>
      </c>
      <c r="F378" s="8" t="str">
        <f>IF(Table1[[#This Row],[Is Data Valid]]=TRUE,EXP(0.578+0.332*((Table1[[#This Row],[Gestation (days)]]+0.5)/7)-0.00354*((Table1[[#This Row],[Gestation (days)]]+0.5)/7)^2)*Table1[[#This Row],[BW40_3705]],"")</f>
        <v/>
      </c>
      <c r="G378" s="2" t="str">
        <f>IF(Table1[[#This Row],[Is Data Valid]]=TRUE,((Table1[[#This Row],[Birthweight (grams)]]/Table1[[#This Row],[BW_GA]])-1)/(Backend!$B$4/100*Table1[[#This Row],[BW40_3705]]),"")</f>
        <v/>
      </c>
      <c r="H378" s="7" t="str">
        <f>IF(Table1[[#This Row],[Is Data Valid]]=TRUE,((Table1[[#This Row],[Birthweight (grams)]]*0.9/Table1[[#This Row],[BW_GA]])-1)/(Backend!$B$4/100*Table1[[#This Row],[BW40_3705]]),"")</f>
        <v/>
      </c>
      <c r="I378" s="7" t="str">
        <f>IF(Table1[[#This Row],[Is Data Valid]]=TRUE,((Table1[[#This Row],[Birthweight (grams)]]*1.1/Table1[[#This Row],[BW_GA]])-1)/(Backend!$B$4/100*Table1[[#This Row],[BW40_3705]]),"")</f>
        <v/>
      </c>
      <c r="J378" s="7" t="str">
        <f>IF(Table1[[#This Row],[Is Data Valid]]=TRUE,_xlfn.NORM.S.DIST(Table1[[#This Row],[Birthweight Z-Score]],TRUE)*100,"")</f>
        <v/>
      </c>
      <c r="K378" s="7" t="str">
        <f>IF(Table1[[#This Row],[Is Data Valid]]=TRUE,_xlfn.NORM.S.DIST(Table1[[#This Row],[Birthweight Z-Score (BW-10%)]],TRUE)*100,"")</f>
        <v/>
      </c>
      <c r="L378" s="7" t="str">
        <f>IF(Table1[[#This Row],[Is Data Valid]]=TRUE,_xlfn.NORM.S.DIST(Table1[[#This Row],[Birthweight Z-Score (BW+10%)]],TRUE)*100,"")</f>
        <v/>
      </c>
    </row>
    <row r="379" spans="1:12" x14ac:dyDescent="0.35">
      <c r="A379" s="3"/>
      <c r="B379" s="2"/>
      <c r="C379" s="2"/>
      <c r="D379" s="2" t="b">
        <f>IF(AND(NOT(ISBLANK(Table1[[#This Row],[Fetal Sex (Male, Female or Unknown)]])),ISNUMBER(Table1[[#This Row],[Birthweight (grams)]]),ISNUMBER(Table1[[#This Row],[Gestation (days)]])),TRUE,FALSE)</f>
        <v>0</v>
      </c>
      <c r="E379" s="2" t="str">
        <f>IF(Table1[[#This Row],[Is Data Valid]]=TRUE,IF(Table1[[#This Row],[Fetal Sex (Male, Female or Unknown)]]="Male",Backend!$C$6,IF(Table1[[#This Row],[Fetal Sex (Male, Female or Unknown)]]="Female",Backend!$C$7,IF(Table1[[#This Row],[Fetal Sex (Male, Female or Unknown)]]="Unknown",Backend!$C$8,"Error"))),"")</f>
        <v/>
      </c>
      <c r="F379" s="8" t="str">
        <f>IF(Table1[[#This Row],[Is Data Valid]]=TRUE,EXP(0.578+0.332*((Table1[[#This Row],[Gestation (days)]]+0.5)/7)-0.00354*((Table1[[#This Row],[Gestation (days)]]+0.5)/7)^2)*Table1[[#This Row],[BW40_3705]],"")</f>
        <v/>
      </c>
      <c r="G379" s="2" t="str">
        <f>IF(Table1[[#This Row],[Is Data Valid]]=TRUE,((Table1[[#This Row],[Birthweight (grams)]]/Table1[[#This Row],[BW_GA]])-1)/(Backend!$B$4/100*Table1[[#This Row],[BW40_3705]]),"")</f>
        <v/>
      </c>
      <c r="H379" s="7" t="str">
        <f>IF(Table1[[#This Row],[Is Data Valid]]=TRUE,((Table1[[#This Row],[Birthweight (grams)]]*0.9/Table1[[#This Row],[BW_GA]])-1)/(Backend!$B$4/100*Table1[[#This Row],[BW40_3705]]),"")</f>
        <v/>
      </c>
      <c r="I379" s="7" t="str">
        <f>IF(Table1[[#This Row],[Is Data Valid]]=TRUE,((Table1[[#This Row],[Birthweight (grams)]]*1.1/Table1[[#This Row],[BW_GA]])-1)/(Backend!$B$4/100*Table1[[#This Row],[BW40_3705]]),"")</f>
        <v/>
      </c>
      <c r="J379" s="7" t="str">
        <f>IF(Table1[[#This Row],[Is Data Valid]]=TRUE,_xlfn.NORM.S.DIST(Table1[[#This Row],[Birthweight Z-Score]],TRUE)*100,"")</f>
        <v/>
      </c>
      <c r="K379" s="7" t="str">
        <f>IF(Table1[[#This Row],[Is Data Valid]]=TRUE,_xlfn.NORM.S.DIST(Table1[[#This Row],[Birthweight Z-Score (BW-10%)]],TRUE)*100,"")</f>
        <v/>
      </c>
      <c r="L379" s="7" t="str">
        <f>IF(Table1[[#This Row],[Is Data Valid]]=TRUE,_xlfn.NORM.S.DIST(Table1[[#This Row],[Birthweight Z-Score (BW+10%)]],TRUE)*100,"")</f>
        <v/>
      </c>
    </row>
    <row r="380" spans="1:12" x14ac:dyDescent="0.35">
      <c r="A380" s="3"/>
      <c r="B380" s="2"/>
      <c r="C380" s="2"/>
      <c r="D380" s="2" t="b">
        <f>IF(AND(NOT(ISBLANK(Table1[[#This Row],[Fetal Sex (Male, Female or Unknown)]])),ISNUMBER(Table1[[#This Row],[Birthweight (grams)]]),ISNUMBER(Table1[[#This Row],[Gestation (days)]])),TRUE,FALSE)</f>
        <v>0</v>
      </c>
      <c r="E380" s="2" t="str">
        <f>IF(Table1[[#This Row],[Is Data Valid]]=TRUE,IF(Table1[[#This Row],[Fetal Sex (Male, Female or Unknown)]]="Male",Backend!$C$6,IF(Table1[[#This Row],[Fetal Sex (Male, Female or Unknown)]]="Female",Backend!$C$7,IF(Table1[[#This Row],[Fetal Sex (Male, Female or Unknown)]]="Unknown",Backend!$C$8,"Error"))),"")</f>
        <v/>
      </c>
      <c r="F380" s="8" t="str">
        <f>IF(Table1[[#This Row],[Is Data Valid]]=TRUE,EXP(0.578+0.332*((Table1[[#This Row],[Gestation (days)]]+0.5)/7)-0.00354*((Table1[[#This Row],[Gestation (days)]]+0.5)/7)^2)*Table1[[#This Row],[BW40_3705]],"")</f>
        <v/>
      </c>
      <c r="G380" s="2" t="str">
        <f>IF(Table1[[#This Row],[Is Data Valid]]=TRUE,((Table1[[#This Row],[Birthweight (grams)]]/Table1[[#This Row],[BW_GA]])-1)/(Backend!$B$4/100*Table1[[#This Row],[BW40_3705]]),"")</f>
        <v/>
      </c>
      <c r="H380" s="7" t="str">
        <f>IF(Table1[[#This Row],[Is Data Valid]]=TRUE,((Table1[[#This Row],[Birthweight (grams)]]*0.9/Table1[[#This Row],[BW_GA]])-1)/(Backend!$B$4/100*Table1[[#This Row],[BW40_3705]]),"")</f>
        <v/>
      </c>
      <c r="I380" s="7" t="str">
        <f>IF(Table1[[#This Row],[Is Data Valid]]=TRUE,((Table1[[#This Row],[Birthweight (grams)]]*1.1/Table1[[#This Row],[BW_GA]])-1)/(Backend!$B$4/100*Table1[[#This Row],[BW40_3705]]),"")</f>
        <v/>
      </c>
      <c r="J380" s="7" t="str">
        <f>IF(Table1[[#This Row],[Is Data Valid]]=TRUE,_xlfn.NORM.S.DIST(Table1[[#This Row],[Birthweight Z-Score]],TRUE)*100,"")</f>
        <v/>
      </c>
      <c r="K380" s="7" t="str">
        <f>IF(Table1[[#This Row],[Is Data Valid]]=TRUE,_xlfn.NORM.S.DIST(Table1[[#This Row],[Birthweight Z-Score (BW-10%)]],TRUE)*100,"")</f>
        <v/>
      </c>
      <c r="L380" s="7" t="str">
        <f>IF(Table1[[#This Row],[Is Data Valid]]=TRUE,_xlfn.NORM.S.DIST(Table1[[#This Row],[Birthweight Z-Score (BW+10%)]],TRUE)*100,"")</f>
        <v/>
      </c>
    </row>
    <row r="381" spans="1:12" x14ac:dyDescent="0.35">
      <c r="A381" s="3"/>
      <c r="B381" s="2"/>
      <c r="C381" s="2"/>
      <c r="D381" s="2" t="b">
        <f>IF(AND(NOT(ISBLANK(Table1[[#This Row],[Fetal Sex (Male, Female or Unknown)]])),ISNUMBER(Table1[[#This Row],[Birthweight (grams)]]),ISNUMBER(Table1[[#This Row],[Gestation (days)]])),TRUE,FALSE)</f>
        <v>0</v>
      </c>
      <c r="E381" s="2" t="str">
        <f>IF(Table1[[#This Row],[Is Data Valid]]=TRUE,IF(Table1[[#This Row],[Fetal Sex (Male, Female or Unknown)]]="Male",Backend!$C$6,IF(Table1[[#This Row],[Fetal Sex (Male, Female or Unknown)]]="Female",Backend!$C$7,IF(Table1[[#This Row],[Fetal Sex (Male, Female or Unknown)]]="Unknown",Backend!$C$8,"Error"))),"")</f>
        <v/>
      </c>
      <c r="F381" s="8" t="str">
        <f>IF(Table1[[#This Row],[Is Data Valid]]=TRUE,EXP(0.578+0.332*((Table1[[#This Row],[Gestation (days)]]+0.5)/7)-0.00354*((Table1[[#This Row],[Gestation (days)]]+0.5)/7)^2)*Table1[[#This Row],[BW40_3705]],"")</f>
        <v/>
      </c>
      <c r="G381" s="2" t="str">
        <f>IF(Table1[[#This Row],[Is Data Valid]]=TRUE,((Table1[[#This Row],[Birthweight (grams)]]/Table1[[#This Row],[BW_GA]])-1)/(Backend!$B$4/100*Table1[[#This Row],[BW40_3705]]),"")</f>
        <v/>
      </c>
      <c r="H381" s="7" t="str">
        <f>IF(Table1[[#This Row],[Is Data Valid]]=TRUE,((Table1[[#This Row],[Birthweight (grams)]]*0.9/Table1[[#This Row],[BW_GA]])-1)/(Backend!$B$4/100*Table1[[#This Row],[BW40_3705]]),"")</f>
        <v/>
      </c>
      <c r="I381" s="7" t="str">
        <f>IF(Table1[[#This Row],[Is Data Valid]]=TRUE,((Table1[[#This Row],[Birthweight (grams)]]*1.1/Table1[[#This Row],[BW_GA]])-1)/(Backend!$B$4/100*Table1[[#This Row],[BW40_3705]]),"")</f>
        <v/>
      </c>
      <c r="J381" s="7" t="str">
        <f>IF(Table1[[#This Row],[Is Data Valid]]=TRUE,_xlfn.NORM.S.DIST(Table1[[#This Row],[Birthweight Z-Score]],TRUE)*100,"")</f>
        <v/>
      </c>
      <c r="K381" s="7" t="str">
        <f>IF(Table1[[#This Row],[Is Data Valid]]=TRUE,_xlfn.NORM.S.DIST(Table1[[#This Row],[Birthweight Z-Score (BW-10%)]],TRUE)*100,"")</f>
        <v/>
      </c>
      <c r="L381" s="7" t="str">
        <f>IF(Table1[[#This Row],[Is Data Valid]]=TRUE,_xlfn.NORM.S.DIST(Table1[[#This Row],[Birthweight Z-Score (BW+10%)]],TRUE)*100,"")</f>
        <v/>
      </c>
    </row>
    <row r="382" spans="1:12" x14ac:dyDescent="0.35">
      <c r="A382" s="3"/>
      <c r="B382" s="2"/>
      <c r="C382" s="2"/>
      <c r="D382" s="2" t="b">
        <f>IF(AND(NOT(ISBLANK(Table1[[#This Row],[Fetal Sex (Male, Female or Unknown)]])),ISNUMBER(Table1[[#This Row],[Birthweight (grams)]]),ISNUMBER(Table1[[#This Row],[Gestation (days)]])),TRUE,FALSE)</f>
        <v>0</v>
      </c>
      <c r="E382" s="2" t="str">
        <f>IF(Table1[[#This Row],[Is Data Valid]]=TRUE,IF(Table1[[#This Row],[Fetal Sex (Male, Female or Unknown)]]="Male",Backend!$C$6,IF(Table1[[#This Row],[Fetal Sex (Male, Female or Unknown)]]="Female",Backend!$C$7,IF(Table1[[#This Row],[Fetal Sex (Male, Female or Unknown)]]="Unknown",Backend!$C$8,"Error"))),"")</f>
        <v/>
      </c>
      <c r="F382" s="8" t="str">
        <f>IF(Table1[[#This Row],[Is Data Valid]]=TRUE,EXP(0.578+0.332*((Table1[[#This Row],[Gestation (days)]]+0.5)/7)-0.00354*((Table1[[#This Row],[Gestation (days)]]+0.5)/7)^2)*Table1[[#This Row],[BW40_3705]],"")</f>
        <v/>
      </c>
      <c r="G382" s="2" t="str">
        <f>IF(Table1[[#This Row],[Is Data Valid]]=TRUE,((Table1[[#This Row],[Birthweight (grams)]]/Table1[[#This Row],[BW_GA]])-1)/(Backend!$B$4/100*Table1[[#This Row],[BW40_3705]]),"")</f>
        <v/>
      </c>
      <c r="H382" s="7" t="str">
        <f>IF(Table1[[#This Row],[Is Data Valid]]=TRUE,((Table1[[#This Row],[Birthweight (grams)]]*0.9/Table1[[#This Row],[BW_GA]])-1)/(Backend!$B$4/100*Table1[[#This Row],[BW40_3705]]),"")</f>
        <v/>
      </c>
      <c r="I382" s="7" t="str">
        <f>IF(Table1[[#This Row],[Is Data Valid]]=TRUE,((Table1[[#This Row],[Birthweight (grams)]]*1.1/Table1[[#This Row],[BW_GA]])-1)/(Backend!$B$4/100*Table1[[#This Row],[BW40_3705]]),"")</f>
        <v/>
      </c>
      <c r="J382" s="7" t="str">
        <f>IF(Table1[[#This Row],[Is Data Valid]]=TRUE,_xlfn.NORM.S.DIST(Table1[[#This Row],[Birthweight Z-Score]],TRUE)*100,"")</f>
        <v/>
      </c>
      <c r="K382" s="7" t="str">
        <f>IF(Table1[[#This Row],[Is Data Valid]]=TRUE,_xlfn.NORM.S.DIST(Table1[[#This Row],[Birthweight Z-Score (BW-10%)]],TRUE)*100,"")</f>
        <v/>
      </c>
      <c r="L382" s="7" t="str">
        <f>IF(Table1[[#This Row],[Is Data Valid]]=TRUE,_xlfn.NORM.S.DIST(Table1[[#This Row],[Birthweight Z-Score (BW+10%)]],TRUE)*100,"")</f>
        <v/>
      </c>
    </row>
    <row r="383" spans="1:12" x14ac:dyDescent="0.35">
      <c r="A383" s="3"/>
      <c r="B383" s="2"/>
      <c r="C383" s="2"/>
      <c r="D383" s="2" t="b">
        <f>IF(AND(NOT(ISBLANK(Table1[[#This Row],[Fetal Sex (Male, Female or Unknown)]])),ISNUMBER(Table1[[#This Row],[Birthweight (grams)]]),ISNUMBER(Table1[[#This Row],[Gestation (days)]])),TRUE,FALSE)</f>
        <v>0</v>
      </c>
      <c r="E383" s="2" t="str">
        <f>IF(Table1[[#This Row],[Is Data Valid]]=TRUE,IF(Table1[[#This Row],[Fetal Sex (Male, Female or Unknown)]]="Male",Backend!$C$6,IF(Table1[[#This Row],[Fetal Sex (Male, Female or Unknown)]]="Female",Backend!$C$7,IF(Table1[[#This Row],[Fetal Sex (Male, Female or Unknown)]]="Unknown",Backend!$C$8,"Error"))),"")</f>
        <v/>
      </c>
      <c r="F383" s="8" t="str">
        <f>IF(Table1[[#This Row],[Is Data Valid]]=TRUE,EXP(0.578+0.332*((Table1[[#This Row],[Gestation (days)]]+0.5)/7)-0.00354*((Table1[[#This Row],[Gestation (days)]]+0.5)/7)^2)*Table1[[#This Row],[BW40_3705]],"")</f>
        <v/>
      </c>
      <c r="G383" s="2" t="str">
        <f>IF(Table1[[#This Row],[Is Data Valid]]=TRUE,((Table1[[#This Row],[Birthweight (grams)]]/Table1[[#This Row],[BW_GA]])-1)/(Backend!$B$4/100*Table1[[#This Row],[BW40_3705]]),"")</f>
        <v/>
      </c>
      <c r="H383" s="7" t="str">
        <f>IF(Table1[[#This Row],[Is Data Valid]]=TRUE,((Table1[[#This Row],[Birthweight (grams)]]*0.9/Table1[[#This Row],[BW_GA]])-1)/(Backend!$B$4/100*Table1[[#This Row],[BW40_3705]]),"")</f>
        <v/>
      </c>
      <c r="I383" s="7" t="str">
        <f>IF(Table1[[#This Row],[Is Data Valid]]=TRUE,((Table1[[#This Row],[Birthweight (grams)]]*1.1/Table1[[#This Row],[BW_GA]])-1)/(Backend!$B$4/100*Table1[[#This Row],[BW40_3705]]),"")</f>
        <v/>
      </c>
      <c r="J383" s="7" t="str">
        <f>IF(Table1[[#This Row],[Is Data Valid]]=TRUE,_xlfn.NORM.S.DIST(Table1[[#This Row],[Birthweight Z-Score]],TRUE)*100,"")</f>
        <v/>
      </c>
      <c r="K383" s="7" t="str">
        <f>IF(Table1[[#This Row],[Is Data Valid]]=TRUE,_xlfn.NORM.S.DIST(Table1[[#This Row],[Birthweight Z-Score (BW-10%)]],TRUE)*100,"")</f>
        <v/>
      </c>
      <c r="L383" s="7" t="str">
        <f>IF(Table1[[#This Row],[Is Data Valid]]=TRUE,_xlfn.NORM.S.DIST(Table1[[#This Row],[Birthweight Z-Score (BW+10%)]],TRUE)*100,"")</f>
        <v/>
      </c>
    </row>
    <row r="384" spans="1:12" x14ac:dyDescent="0.35">
      <c r="A384" s="3"/>
      <c r="B384" s="2"/>
      <c r="C384" s="2"/>
      <c r="D384" s="2" t="b">
        <f>IF(AND(NOT(ISBLANK(Table1[[#This Row],[Fetal Sex (Male, Female or Unknown)]])),ISNUMBER(Table1[[#This Row],[Birthweight (grams)]]),ISNUMBER(Table1[[#This Row],[Gestation (days)]])),TRUE,FALSE)</f>
        <v>0</v>
      </c>
      <c r="E384" s="2" t="str">
        <f>IF(Table1[[#This Row],[Is Data Valid]]=TRUE,IF(Table1[[#This Row],[Fetal Sex (Male, Female or Unknown)]]="Male",Backend!$C$6,IF(Table1[[#This Row],[Fetal Sex (Male, Female or Unknown)]]="Female",Backend!$C$7,IF(Table1[[#This Row],[Fetal Sex (Male, Female or Unknown)]]="Unknown",Backend!$C$8,"Error"))),"")</f>
        <v/>
      </c>
      <c r="F384" s="8" t="str">
        <f>IF(Table1[[#This Row],[Is Data Valid]]=TRUE,EXP(0.578+0.332*((Table1[[#This Row],[Gestation (days)]]+0.5)/7)-0.00354*((Table1[[#This Row],[Gestation (days)]]+0.5)/7)^2)*Table1[[#This Row],[BW40_3705]],"")</f>
        <v/>
      </c>
      <c r="G384" s="2" t="str">
        <f>IF(Table1[[#This Row],[Is Data Valid]]=TRUE,((Table1[[#This Row],[Birthweight (grams)]]/Table1[[#This Row],[BW_GA]])-1)/(Backend!$B$4/100*Table1[[#This Row],[BW40_3705]]),"")</f>
        <v/>
      </c>
      <c r="H384" s="7" t="str">
        <f>IF(Table1[[#This Row],[Is Data Valid]]=TRUE,((Table1[[#This Row],[Birthweight (grams)]]*0.9/Table1[[#This Row],[BW_GA]])-1)/(Backend!$B$4/100*Table1[[#This Row],[BW40_3705]]),"")</f>
        <v/>
      </c>
      <c r="I384" s="7" t="str">
        <f>IF(Table1[[#This Row],[Is Data Valid]]=TRUE,((Table1[[#This Row],[Birthweight (grams)]]*1.1/Table1[[#This Row],[BW_GA]])-1)/(Backend!$B$4/100*Table1[[#This Row],[BW40_3705]]),"")</f>
        <v/>
      </c>
      <c r="J384" s="7" t="str">
        <f>IF(Table1[[#This Row],[Is Data Valid]]=TRUE,_xlfn.NORM.S.DIST(Table1[[#This Row],[Birthweight Z-Score]],TRUE)*100,"")</f>
        <v/>
      </c>
      <c r="K384" s="7" t="str">
        <f>IF(Table1[[#This Row],[Is Data Valid]]=TRUE,_xlfn.NORM.S.DIST(Table1[[#This Row],[Birthweight Z-Score (BW-10%)]],TRUE)*100,"")</f>
        <v/>
      </c>
      <c r="L384" s="7" t="str">
        <f>IF(Table1[[#This Row],[Is Data Valid]]=TRUE,_xlfn.NORM.S.DIST(Table1[[#This Row],[Birthweight Z-Score (BW+10%)]],TRUE)*100,"")</f>
        <v/>
      </c>
    </row>
    <row r="385" spans="1:12" x14ac:dyDescent="0.35">
      <c r="A385" s="3"/>
      <c r="B385" s="2"/>
      <c r="C385" s="2"/>
      <c r="D385" s="2" t="b">
        <f>IF(AND(NOT(ISBLANK(Table1[[#This Row],[Fetal Sex (Male, Female or Unknown)]])),ISNUMBER(Table1[[#This Row],[Birthweight (grams)]]),ISNUMBER(Table1[[#This Row],[Gestation (days)]])),TRUE,FALSE)</f>
        <v>0</v>
      </c>
      <c r="E385" s="2" t="str">
        <f>IF(Table1[[#This Row],[Is Data Valid]]=TRUE,IF(Table1[[#This Row],[Fetal Sex (Male, Female or Unknown)]]="Male",Backend!$C$6,IF(Table1[[#This Row],[Fetal Sex (Male, Female or Unknown)]]="Female",Backend!$C$7,IF(Table1[[#This Row],[Fetal Sex (Male, Female or Unknown)]]="Unknown",Backend!$C$8,"Error"))),"")</f>
        <v/>
      </c>
      <c r="F385" s="8" t="str">
        <f>IF(Table1[[#This Row],[Is Data Valid]]=TRUE,EXP(0.578+0.332*((Table1[[#This Row],[Gestation (days)]]+0.5)/7)-0.00354*((Table1[[#This Row],[Gestation (days)]]+0.5)/7)^2)*Table1[[#This Row],[BW40_3705]],"")</f>
        <v/>
      </c>
      <c r="G385" s="2" t="str">
        <f>IF(Table1[[#This Row],[Is Data Valid]]=TRUE,((Table1[[#This Row],[Birthweight (grams)]]/Table1[[#This Row],[BW_GA]])-1)/(Backend!$B$4/100*Table1[[#This Row],[BW40_3705]]),"")</f>
        <v/>
      </c>
      <c r="H385" s="7" t="str">
        <f>IF(Table1[[#This Row],[Is Data Valid]]=TRUE,((Table1[[#This Row],[Birthweight (grams)]]*0.9/Table1[[#This Row],[BW_GA]])-1)/(Backend!$B$4/100*Table1[[#This Row],[BW40_3705]]),"")</f>
        <v/>
      </c>
      <c r="I385" s="7" t="str">
        <f>IF(Table1[[#This Row],[Is Data Valid]]=TRUE,((Table1[[#This Row],[Birthweight (grams)]]*1.1/Table1[[#This Row],[BW_GA]])-1)/(Backend!$B$4/100*Table1[[#This Row],[BW40_3705]]),"")</f>
        <v/>
      </c>
      <c r="J385" s="7" t="str">
        <f>IF(Table1[[#This Row],[Is Data Valid]]=TRUE,_xlfn.NORM.S.DIST(Table1[[#This Row],[Birthweight Z-Score]],TRUE)*100,"")</f>
        <v/>
      </c>
      <c r="K385" s="7" t="str">
        <f>IF(Table1[[#This Row],[Is Data Valid]]=TRUE,_xlfn.NORM.S.DIST(Table1[[#This Row],[Birthweight Z-Score (BW-10%)]],TRUE)*100,"")</f>
        <v/>
      </c>
      <c r="L385" s="7" t="str">
        <f>IF(Table1[[#This Row],[Is Data Valid]]=TRUE,_xlfn.NORM.S.DIST(Table1[[#This Row],[Birthweight Z-Score (BW+10%)]],TRUE)*100,"")</f>
        <v/>
      </c>
    </row>
    <row r="386" spans="1:12" x14ac:dyDescent="0.35">
      <c r="A386" s="3"/>
      <c r="B386" s="2"/>
      <c r="C386" s="2"/>
      <c r="D386" s="2" t="b">
        <f>IF(AND(NOT(ISBLANK(Table1[[#This Row],[Fetal Sex (Male, Female or Unknown)]])),ISNUMBER(Table1[[#This Row],[Birthweight (grams)]]),ISNUMBER(Table1[[#This Row],[Gestation (days)]])),TRUE,FALSE)</f>
        <v>0</v>
      </c>
      <c r="E386" s="2" t="str">
        <f>IF(Table1[[#This Row],[Is Data Valid]]=TRUE,IF(Table1[[#This Row],[Fetal Sex (Male, Female or Unknown)]]="Male",Backend!$C$6,IF(Table1[[#This Row],[Fetal Sex (Male, Female or Unknown)]]="Female",Backend!$C$7,IF(Table1[[#This Row],[Fetal Sex (Male, Female or Unknown)]]="Unknown",Backend!$C$8,"Error"))),"")</f>
        <v/>
      </c>
      <c r="F386" s="8" t="str">
        <f>IF(Table1[[#This Row],[Is Data Valid]]=TRUE,EXP(0.578+0.332*((Table1[[#This Row],[Gestation (days)]]+0.5)/7)-0.00354*((Table1[[#This Row],[Gestation (days)]]+0.5)/7)^2)*Table1[[#This Row],[BW40_3705]],"")</f>
        <v/>
      </c>
      <c r="G386" s="2" t="str">
        <f>IF(Table1[[#This Row],[Is Data Valid]]=TRUE,((Table1[[#This Row],[Birthweight (grams)]]/Table1[[#This Row],[BW_GA]])-1)/(Backend!$B$4/100*Table1[[#This Row],[BW40_3705]]),"")</f>
        <v/>
      </c>
      <c r="H386" s="7" t="str">
        <f>IF(Table1[[#This Row],[Is Data Valid]]=TRUE,((Table1[[#This Row],[Birthweight (grams)]]*0.9/Table1[[#This Row],[BW_GA]])-1)/(Backend!$B$4/100*Table1[[#This Row],[BW40_3705]]),"")</f>
        <v/>
      </c>
      <c r="I386" s="7" t="str">
        <f>IF(Table1[[#This Row],[Is Data Valid]]=TRUE,((Table1[[#This Row],[Birthweight (grams)]]*1.1/Table1[[#This Row],[BW_GA]])-1)/(Backend!$B$4/100*Table1[[#This Row],[BW40_3705]]),"")</f>
        <v/>
      </c>
      <c r="J386" s="7" t="str">
        <f>IF(Table1[[#This Row],[Is Data Valid]]=TRUE,_xlfn.NORM.S.DIST(Table1[[#This Row],[Birthweight Z-Score]],TRUE)*100,"")</f>
        <v/>
      </c>
      <c r="K386" s="7" t="str">
        <f>IF(Table1[[#This Row],[Is Data Valid]]=TRUE,_xlfn.NORM.S.DIST(Table1[[#This Row],[Birthweight Z-Score (BW-10%)]],TRUE)*100,"")</f>
        <v/>
      </c>
      <c r="L386" s="7" t="str">
        <f>IF(Table1[[#This Row],[Is Data Valid]]=TRUE,_xlfn.NORM.S.DIST(Table1[[#This Row],[Birthweight Z-Score (BW+10%)]],TRUE)*100,"")</f>
        <v/>
      </c>
    </row>
    <row r="387" spans="1:12" x14ac:dyDescent="0.35">
      <c r="A387" s="3"/>
      <c r="B387" s="2"/>
      <c r="C387" s="2"/>
      <c r="D387" s="2" t="b">
        <f>IF(AND(NOT(ISBLANK(Table1[[#This Row],[Fetal Sex (Male, Female or Unknown)]])),ISNUMBER(Table1[[#This Row],[Birthweight (grams)]]),ISNUMBER(Table1[[#This Row],[Gestation (days)]])),TRUE,FALSE)</f>
        <v>0</v>
      </c>
      <c r="E387" s="2" t="str">
        <f>IF(Table1[[#This Row],[Is Data Valid]]=TRUE,IF(Table1[[#This Row],[Fetal Sex (Male, Female or Unknown)]]="Male",Backend!$C$6,IF(Table1[[#This Row],[Fetal Sex (Male, Female or Unknown)]]="Female",Backend!$C$7,IF(Table1[[#This Row],[Fetal Sex (Male, Female or Unknown)]]="Unknown",Backend!$C$8,"Error"))),"")</f>
        <v/>
      </c>
      <c r="F387" s="8" t="str">
        <f>IF(Table1[[#This Row],[Is Data Valid]]=TRUE,EXP(0.578+0.332*((Table1[[#This Row],[Gestation (days)]]+0.5)/7)-0.00354*((Table1[[#This Row],[Gestation (days)]]+0.5)/7)^2)*Table1[[#This Row],[BW40_3705]],"")</f>
        <v/>
      </c>
      <c r="G387" s="2" t="str">
        <f>IF(Table1[[#This Row],[Is Data Valid]]=TRUE,((Table1[[#This Row],[Birthweight (grams)]]/Table1[[#This Row],[BW_GA]])-1)/(Backend!$B$4/100*Table1[[#This Row],[BW40_3705]]),"")</f>
        <v/>
      </c>
      <c r="H387" s="7" t="str">
        <f>IF(Table1[[#This Row],[Is Data Valid]]=TRUE,((Table1[[#This Row],[Birthweight (grams)]]*0.9/Table1[[#This Row],[BW_GA]])-1)/(Backend!$B$4/100*Table1[[#This Row],[BW40_3705]]),"")</f>
        <v/>
      </c>
      <c r="I387" s="7" t="str">
        <f>IF(Table1[[#This Row],[Is Data Valid]]=TRUE,((Table1[[#This Row],[Birthweight (grams)]]*1.1/Table1[[#This Row],[BW_GA]])-1)/(Backend!$B$4/100*Table1[[#This Row],[BW40_3705]]),"")</f>
        <v/>
      </c>
      <c r="J387" s="7" t="str">
        <f>IF(Table1[[#This Row],[Is Data Valid]]=TRUE,_xlfn.NORM.S.DIST(Table1[[#This Row],[Birthweight Z-Score]],TRUE)*100,"")</f>
        <v/>
      </c>
      <c r="K387" s="7" t="str">
        <f>IF(Table1[[#This Row],[Is Data Valid]]=TRUE,_xlfn.NORM.S.DIST(Table1[[#This Row],[Birthweight Z-Score (BW-10%)]],TRUE)*100,"")</f>
        <v/>
      </c>
      <c r="L387" s="7" t="str">
        <f>IF(Table1[[#This Row],[Is Data Valid]]=TRUE,_xlfn.NORM.S.DIST(Table1[[#This Row],[Birthweight Z-Score (BW+10%)]],TRUE)*100,"")</f>
        <v/>
      </c>
    </row>
    <row r="388" spans="1:12" x14ac:dyDescent="0.35">
      <c r="A388" s="3"/>
      <c r="B388" s="2"/>
      <c r="C388" s="2"/>
      <c r="D388" s="2" t="b">
        <f>IF(AND(NOT(ISBLANK(Table1[[#This Row],[Fetal Sex (Male, Female or Unknown)]])),ISNUMBER(Table1[[#This Row],[Birthweight (grams)]]),ISNUMBER(Table1[[#This Row],[Gestation (days)]])),TRUE,FALSE)</f>
        <v>0</v>
      </c>
      <c r="E388" s="2" t="str">
        <f>IF(Table1[[#This Row],[Is Data Valid]]=TRUE,IF(Table1[[#This Row],[Fetal Sex (Male, Female or Unknown)]]="Male",Backend!$C$6,IF(Table1[[#This Row],[Fetal Sex (Male, Female or Unknown)]]="Female",Backend!$C$7,IF(Table1[[#This Row],[Fetal Sex (Male, Female or Unknown)]]="Unknown",Backend!$C$8,"Error"))),"")</f>
        <v/>
      </c>
      <c r="F388" s="8" t="str">
        <f>IF(Table1[[#This Row],[Is Data Valid]]=TRUE,EXP(0.578+0.332*((Table1[[#This Row],[Gestation (days)]]+0.5)/7)-0.00354*((Table1[[#This Row],[Gestation (days)]]+0.5)/7)^2)*Table1[[#This Row],[BW40_3705]],"")</f>
        <v/>
      </c>
      <c r="G388" s="2" t="str">
        <f>IF(Table1[[#This Row],[Is Data Valid]]=TRUE,((Table1[[#This Row],[Birthweight (grams)]]/Table1[[#This Row],[BW_GA]])-1)/(Backend!$B$4/100*Table1[[#This Row],[BW40_3705]]),"")</f>
        <v/>
      </c>
      <c r="H388" s="7" t="str">
        <f>IF(Table1[[#This Row],[Is Data Valid]]=TRUE,((Table1[[#This Row],[Birthweight (grams)]]*0.9/Table1[[#This Row],[BW_GA]])-1)/(Backend!$B$4/100*Table1[[#This Row],[BW40_3705]]),"")</f>
        <v/>
      </c>
      <c r="I388" s="7" t="str">
        <f>IF(Table1[[#This Row],[Is Data Valid]]=TRUE,((Table1[[#This Row],[Birthweight (grams)]]*1.1/Table1[[#This Row],[BW_GA]])-1)/(Backend!$B$4/100*Table1[[#This Row],[BW40_3705]]),"")</f>
        <v/>
      </c>
      <c r="J388" s="7" t="str">
        <f>IF(Table1[[#This Row],[Is Data Valid]]=TRUE,_xlfn.NORM.S.DIST(Table1[[#This Row],[Birthweight Z-Score]],TRUE)*100,"")</f>
        <v/>
      </c>
      <c r="K388" s="7" t="str">
        <f>IF(Table1[[#This Row],[Is Data Valid]]=TRUE,_xlfn.NORM.S.DIST(Table1[[#This Row],[Birthweight Z-Score (BW-10%)]],TRUE)*100,"")</f>
        <v/>
      </c>
      <c r="L388" s="7" t="str">
        <f>IF(Table1[[#This Row],[Is Data Valid]]=TRUE,_xlfn.NORM.S.DIST(Table1[[#This Row],[Birthweight Z-Score (BW+10%)]],TRUE)*100,"")</f>
        <v/>
      </c>
    </row>
    <row r="389" spans="1:12" x14ac:dyDescent="0.35">
      <c r="A389" s="3"/>
      <c r="B389" s="2"/>
      <c r="C389" s="2"/>
      <c r="D389" s="2" t="b">
        <f>IF(AND(NOT(ISBLANK(Table1[[#This Row],[Fetal Sex (Male, Female or Unknown)]])),ISNUMBER(Table1[[#This Row],[Birthweight (grams)]]),ISNUMBER(Table1[[#This Row],[Gestation (days)]])),TRUE,FALSE)</f>
        <v>0</v>
      </c>
      <c r="E389" s="2" t="str">
        <f>IF(Table1[[#This Row],[Is Data Valid]]=TRUE,IF(Table1[[#This Row],[Fetal Sex (Male, Female or Unknown)]]="Male",Backend!$C$6,IF(Table1[[#This Row],[Fetal Sex (Male, Female or Unknown)]]="Female",Backend!$C$7,IF(Table1[[#This Row],[Fetal Sex (Male, Female or Unknown)]]="Unknown",Backend!$C$8,"Error"))),"")</f>
        <v/>
      </c>
      <c r="F389" s="8" t="str">
        <f>IF(Table1[[#This Row],[Is Data Valid]]=TRUE,EXP(0.578+0.332*((Table1[[#This Row],[Gestation (days)]]+0.5)/7)-0.00354*((Table1[[#This Row],[Gestation (days)]]+0.5)/7)^2)*Table1[[#This Row],[BW40_3705]],"")</f>
        <v/>
      </c>
      <c r="G389" s="2" t="str">
        <f>IF(Table1[[#This Row],[Is Data Valid]]=TRUE,((Table1[[#This Row],[Birthweight (grams)]]/Table1[[#This Row],[BW_GA]])-1)/(Backend!$B$4/100*Table1[[#This Row],[BW40_3705]]),"")</f>
        <v/>
      </c>
      <c r="H389" s="7" t="str">
        <f>IF(Table1[[#This Row],[Is Data Valid]]=TRUE,((Table1[[#This Row],[Birthweight (grams)]]*0.9/Table1[[#This Row],[BW_GA]])-1)/(Backend!$B$4/100*Table1[[#This Row],[BW40_3705]]),"")</f>
        <v/>
      </c>
      <c r="I389" s="7" t="str">
        <f>IF(Table1[[#This Row],[Is Data Valid]]=TRUE,((Table1[[#This Row],[Birthweight (grams)]]*1.1/Table1[[#This Row],[BW_GA]])-1)/(Backend!$B$4/100*Table1[[#This Row],[BW40_3705]]),"")</f>
        <v/>
      </c>
      <c r="J389" s="7" t="str">
        <f>IF(Table1[[#This Row],[Is Data Valid]]=TRUE,_xlfn.NORM.S.DIST(Table1[[#This Row],[Birthweight Z-Score]],TRUE)*100,"")</f>
        <v/>
      </c>
      <c r="K389" s="7" t="str">
        <f>IF(Table1[[#This Row],[Is Data Valid]]=TRUE,_xlfn.NORM.S.DIST(Table1[[#This Row],[Birthweight Z-Score (BW-10%)]],TRUE)*100,"")</f>
        <v/>
      </c>
      <c r="L389" s="7" t="str">
        <f>IF(Table1[[#This Row],[Is Data Valid]]=TRUE,_xlfn.NORM.S.DIST(Table1[[#This Row],[Birthweight Z-Score (BW+10%)]],TRUE)*100,"")</f>
        <v/>
      </c>
    </row>
    <row r="390" spans="1:12" x14ac:dyDescent="0.35">
      <c r="A390" s="3"/>
      <c r="B390" s="2"/>
      <c r="C390" s="2"/>
      <c r="D390" s="2" t="b">
        <f>IF(AND(NOT(ISBLANK(Table1[[#This Row],[Fetal Sex (Male, Female or Unknown)]])),ISNUMBER(Table1[[#This Row],[Birthweight (grams)]]),ISNUMBER(Table1[[#This Row],[Gestation (days)]])),TRUE,FALSE)</f>
        <v>0</v>
      </c>
      <c r="E390" s="2" t="str">
        <f>IF(Table1[[#This Row],[Is Data Valid]]=TRUE,IF(Table1[[#This Row],[Fetal Sex (Male, Female or Unknown)]]="Male",Backend!$C$6,IF(Table1[[#This Row],[Fetal Sex (Male, Female or Unknown)]]="Female",Backend!$C$7,IF(Table1[[#This Row],[Fetal Sex (Male, Female or Unknown)]]="Unknown",Backend!$C$8,"Error"))),"")</f>
        <v/>
      </c>
      <c r="F390" s="8" t="str">
        <f>IF(Table1[[#This Row],[Is Data Valid]]=TRUE,EXP(0.578+0.332*((Table1[[#This Row],[Gestation (days)]]+0.5)/7)-0.00354*((Table1[[#This Row],[Gestation (days)]]+0.5)/7)^2)*Table1[[#This Row],[BW40_3705]],"")</f>
        <v/>
      </c>
      <c r="G390" s="2" t="str">
        <f>IF(Table1[[#This Row],[Is Data Valid]]=TRUE,((Table1[[#This Row],[Birthweight (grams)]]/Table1[[#This Row],[BW_GA]])-1)/(Backend!$B$4/100*Table1[[#This Row],[BW40_3705]]),"")</f>
        <v/>
      </c>
      <c r="H390" s="7" t="str">
        <f>IF(Table1[[#This Row],[Is Data Valid]]=TRUE,((Table1[[#This Row],[Birthweight (grams)]]*0.9/Table1[[#This Row],[BW_GA]])-1)/(Backend!$B$4/100*Table1[[#This Row],[BW40_3705]]),"")</f>
        <v/>
      </c>
      <c r="I390" s="7" t="str">
        <f>IF(Table1[[#This Row],[Is Data Valid]]=TRUE,((Table1[[#This Row],[Birthweight (grams)]]*1.1/Table1[[#This Row],[BW_GA]])-1)/(Backend!$B$4/100*Table1[[#This Row],[BW40_3705]]),"")</f>
        <v/>
      </c>
      <c r="J390" s="7" t="str">
        <f>IF(Table1[[#This Row],[Is Data Valid]]=TRUE,_xlfn.NORM.S.DIST(Table1[[#This Row],[Birthweight Z-Score]],TRUE)*100,"")</f>
        <v/>
      </c>
      <c r="K390" s="7" t="str">
        <f>IF(Table1[[#This Row],[Is Data Valid]]=TRUE,_xlfn.NORM.S.DIST(Table1[[#This Row],[Birthweight Z-Score (BW-10%)]],TRUE)*100,"")</f>
        <v/>
      </c>
      <c r="L390" s="7" t="str">
        <f>IF(Table1[[#This Row],[Is Data Valid]]=TRUE,_xlfn.NORM.S.DIST(Table1[[#This Row],[Birthweight Z-Score (BW+10%)]],TRUE)*100,"")</f>
        <v/>
      </c>
    </row>
    <row r="391" spans="1:12" x14ac:dyDescent="0.35">
      <c r="A391" s="3"/>
      <c r="B391" s="2"/>
      <c r="C391" s="2"/>
      <c r="D391" s="2" t="b">
        <f>IF(AND(NOT(ISBLANK(Table1[[#This Row],[Fetal Sex (Male, Female or Unknown)]])),ISNUMBER(Table1[[#This Row],[Birthweight (grams)]]),ISNUMBER(Table1[[#This Row],[Gestation (days)]])),TRUE,FALSE)</f>
        <v>0</v>
      </c>
      <c r="E391" s="2" t="str">
        <f>IF(Table1[[#This Row],[Is Data Valid]]=TRUE,IF(Table1[[#This Row],[Fetal Sex (Male, Female or Unknown)]]="Male",Backend!$C$6,IF(Table1[[#This Row],[Fetal Sex (Male, Female or Unknown)]]="Female",Backend!$C$7,IF(Table1[[#This Row],[Fetal Sex (Male, Female or Unknown)]]="Unknown",Backend!$C$8,"Error"))),"")</f>
        <v/>
      </c>
      <c r="F391" s="8" t="str">
        <f>IF(Table1[[#This Row],[Is Data Valid]]=TRUE,EXP(0.578+0.332*((Table1[[#This Row],[Gestation (days)]]+0.5)/7)-0.00354*((Table1[[#This Row],[Gestation (days)]]+0.5)/7)^2)*Table1[[#This Row],[BW40_3705]],"")</f>
        <v/>
      </c>
      <c r="G391" s="2" t="str">
        <f>IF(Table1[[#This Row],[Is Data Valid]]=TRUE,((Table1[[#This Row],[Birthweight (grams)]]/Table1[[#This Row],[BW_GA]])-1)/(Backend!$B$4/100*Table1[[#This Row],[BW40_3705]]),"")</f>
        <v/>
      </c>
      <c r="H391" s="7" t="str">
        <f>IF(Table1[[#This Row],[Is Data Valid]]=TRUE,((Table1[[#This Row],[Birthweight (grams)]]*0.9/Table1[[#This Row],[BW_GA]])-1)/(Backend!$B$4/100*Table1[[#This Row],[BW40_3705]]),"")</f>
        <v/>
      </c>
      <c r="I391" s="7" t="str">
        <f>IF(Table1[[#This Row],[Is Data Valid]]=TRUE,((Table1[[#This Row],[Birthweight (grams)]]*1.1/Table1[[#This Row],[BW_GA]])-1)/(Backend!$B$4/100*Table1[[#This Row],[BW40_3705]]),"")</f>
        <v/>
      </c>
      <c r="J391" s="7" t="str">
        <f>IF(Table1[[#This Row],[Is Data Valid]]=TRUE,_xlfn.NORM.S.DIST(Table1[[#This Row],[Birthweight Z-Score]],TRUE)*100,"")</f>
        <v/>
      </c>
      <c r="K391" s="7" t="str">
        <f>IF(Table1[[#This Row],[Is Data Valid]]=TRUE,_xlfn.NORM.S.DIST(Table1[[#This Row],[Birthweight Z-Score (BW-10%)]],TRUE)*100,"")</f>
        <v/>
      </c>
      <c r="L391" s="7" t="str">
        <f>IF(Table1[[#This Row],[Is Data Valid]]=TRUE,_xlfn.NORM.S.DIST(Table1[[#This Row],[Birthweight Z-Score (BW+10%)]],TRUE)*100,"")</f>
        <v/>
      </c>
    </row>
    <row r="392" spans="1:12" x14ac:dyDescent="0.35">
      <c r="A392" s="3"/>
      <c r="B392" s="2"/>
      <c r="C392" s="2"/>
      <c r="D392" s="2" t="b">
        <f>IF(AND(NOT(ISBLANK(Table1[[#This Row],[Fetal Sex (Male, Female or Unknown)]])),ISNUMBER(Table1[[#This Row],[Birthweight (grams)]]),ISNUMBER(Table1[[#This Row],[Gestation (days)]])),TRUE,FALSE)</f>
        <v>0</v>
      </c>
      <c r="E392" s="2" t="str">
        <f>IF(Table1[[#This Row],[Is Data Valid]]=TRUE,IF(Table1[[#This Row],[Fetal Sex (Male, Female or Unknown)]]="Male",Backend!$C$6,IF(Table1[[#This Row],[Fetal Sex (Male, Female or Unknown)]]="Female",Backend!$C$7,IF(Table1[[#This Row],[Fetal Sex (Male, Female or Unknown)]]="Unknown",Backend!$C$8,"Error"))),"")</f>
        <v/>
      </c>
      <c r="F392" s="8" t="str">
        <f>IF(Table1[[#This Row],[Is Data Valid]]=TRUE,EXP(0.578+0.332*((Table1[[#This Row],[Gestation (days)]]+0.5)/7)-0.00354*((Table1[[#This Row],[Gestation (days)]]+0.5)/7)^2)*Table1[[#This Row],[BW40_3705]],"")</f>
        <v/>
      </c>
      <c r="G392" s="2" t="str">
        <f>IF(Table1[[#This Row],[Is Data Valid]]=TRUE,((Table1[[#This Row],[Birthweight (grams)]]/Table1[[#This Row],[BW_GA]])-1)/(Backend!$B$4/100*Table1[[#This Row],[BW40_3705]]),"")</f>
        <v/>
      </c>
      <c r="H392" s="7" t="str">
        <f>IF(Table1[[#This Row],[Is Data Valid]]=TRUE,((Table1[[#This Row],[Birthweight (grams)]]*0.9/Table1[[#This Row],[BW_GA]])-1)/(Backend!$B$4/100*Table1[[#This Row],[BW40_3705]]),"")</f>
        <v/>
      </c>
      <c r="I392" s="7" t="str">
        <f>IF(Table1[[#This Row],[Is Data Valid]]=TRUE,((Table1[[#This Row],[Birthweight (grams)]]*1.1/Table1[[#This Row],[BW_GA]])-1)/(Backend!$B$4/100*Table1[[#This Row],[BW40_3705]]),"")</f>
        <v/>
      </c>
      <c r="J392" s="7" t="str">
        <f>IF(Table1[[#This Row],[Is Data Valid]]=TRUE,_xlfn.NORM.S.DIST(Table1[[#This Row],[Birthweight Z-Score]],TRUE)*100,"")</f>
        <v/>
      </c>
      <c r="K392" s="7" t="str">
        <f>IF(Table1[[#This Row],[Is Data Valid]]=TRUE,_xlfn.NORM.S.DIST(Table1[[#This Row],[Birthweight Z-Score (BW-10%)]],TRUE)*100,"")</f>
        <v/>
      </c>
      <c r="L392" s="7" t="str">
        <f>IF(Table1[[#This Row],[Is Data Valid]]=TRUE,_xlfn.NORM.S.DIST(Table1[[#This Row],[Birthweight Z-Score (BW+10%)]],TRUE)*100,"")</f>
        <v/>
      </c>
    </row>
    <row r="393" spans="1:12" x14ac:dyDescent="0.35">
      <c r="A393" s="3"/>
      <c r="B393" s="2"/>
      <c r="C393" s="2"/>
      <c r="D393" s="2" t="b">
        <f>IF(AND(NOT(ISBLANK(Table1[[#This Row],[Fetal Sex (Male, Female or Unknown)]])),ISNUMBER(Table1[[#This Row],[Birthweight (grams)]]),ISNUMBER(Table1[[#This Row],[Gestation (days)]])),TRUE,FALSE)</f>
        <v>0</v>
      </c>
      <c r="E393" s="2" t="str">
        <f>IF(Table1[[#This Row],[Is Data Valid]]=TRUE,IF(Table1[[#This Row],[Fetal Sex (Male, Female or Unknown)]]="Male",Backend!$C$6,IF(Table1[[#This Row],[Fetal Sex (Male, Female or Unknown)]]="Female",Backend!$C$7,IF(Table1[[#This Row],[Fetal Sex (Male, Female or Unknown)]]="Unknown",Backend!$C$8,"Error"))),"")</f>
        <v/>
      </c>
      <c r="F393" s="8" t="str">
        <f>IF(Table1[[#This Row],[Is Data Valid]]=TRUE,EXP(0.578+0.332*((Table1[[#This Row],[Gestation (days)]]+0.5)/7)-0.00354*((Table1[[#This Row],[Gestation (days)]]+0.5)/7)^2)*Table1[[#This Row],[BW40_3705]],"")</f>
        <v/>
      </c>
      <c r="G393" s="2" t="str">
        <f>IF(Table1[[#This Row],[Is Data Valid]]=TRUE,((Table1[[#This Row],[Birthweight (grams)]]/Table1[[#This Row],[BW_GA]])-1)/(Backend!$B$4/100*Table1[[#This Row],[BW40_3705]]),"")</f>
        <v/>
      </c>
      <c r="H393" s="7" t="str">
        <f>IF(Table1[[#This Row],[Is Data Valid]]=TRUE,((Table1[[#This Row],[Birthweight (grams)]]*0.9/Table1[[#This Row],[BW_GA]])-1)/(Backend!$B$4/100*Table1[[#This Row],[BW40_3705]]),"")</f>
        <v/>
      </c>
      <c r="I393" s="7" t="str">
        <f>IF(Table1[[#This Row],[Is Data Valid]]=TRUE,((Table1[[#This Row],[Birthweight (grams)]]*1.1/Table1[[#This Row],[BW_GA]])-1)/(Backend!$B$4/100*Table1[[#This Row],[BW40_3705]]),"")</f>
        <v/>
      </c>
      <c r="J393" s="7" t="str">
        <f>IF(Table1[[#This Row],[Is Data Valid]]=TRUE,_xlfn.NORM.S.DIST(Table1[[#This Row],[Birthweight Z-Score]],TRUE)*100,"")</f>
        <v/>
      </c>
      <c r="K393" s="7" t="str">
        <f>IF(Table1[[#This Row],[Is Data Valid]]=TRUE,_xlfn.NORM.S.DIST(Table1[[#This Row],[Birthweight Z-Score (BW-10%)]],TRUE)*100,"")</f>
        <v/>
      </c>
      <c r="L393" s="7" t="str">
        <f>IF(Table1[[#This Row],[Is Data Valid]]=TRUE,_xlfn.NORM.S.DIST(Table1[[#This Row],[Birthweight Z-Score (BW+10%)]],TRUE)*100,"")</f>
        <v/>
      </c>
    </row>
    <row r="394" spans="1:12" x14ac:dyDescent="0.35">
      <c r="A394" s="3"/>
      <c r="B394" s="2"/>
      <c r="C394" s="2"/>
      <c r="D394" s="2" t="b">
        <f>IF(AND(NOT(ISBLANK(Table1[[#This Row],[Fetal Sex (Male, Female or Unknown)]])),ISNUMBER(Table1[[#This Row],[Birthweight (grams)]]),ISNUMBER(Table1[[#This Row],[Gestation (days)]])),TRUE,FALSE)</f>
        <v>0</v>
      </c>
      <c r="E394" s="2" t="str">
        <f>IF(Table1[[#This Row],[Is Data Valid]]=TRUE,IF(Table1[[#This Row],[Fetal Sex (Male, Female or Unknown)]]="Male",Backend!$C$6,IF(Table1[[#This Row],[Fetal Sex (Male, Female or Unknown)]]="Female",Backend!$C$7,IF(Table1[[#This Row],[Fetal Sex (Male, Female or Unknown)]]="Unknown",Backend!$C$8,"Error"))),"")</f>
        <v/>
      </c>
      <c r="F394" s="8" t="str">
        <f>IF(Table1[[#This Row],[Is Data Valid]]=TRUE,EXP(0.578+0.332*((Table1[[#This Row],[Gestation (days)]]+0.5)/7)-0.00354*((Table1[[#This Row],[Gestation (days)]]+0.5)/7)^2)*Table1[[#This Row],[BW40_3705]],"")</f>
        <v/>
      </c>
      <c r="G394" s="2" t="str">
        <f>IF(Table1[[#This Row],[Is Data Valid]]=TRUE,((Table1[[#This Row],[Birthweight (grams)]]/Table1[[#This Row],[BW_GA]])-1)/(Backend!$B$4/100*Table1[[#This Row],[BW40_3705]]),"")</f>
        <v/>
      </c>
      <c r="H394" s="7" t="str">
        <f>IF(Table1[[#This Row],[Is Data Valid]]=TRUE,((Table1[[#This Row],[Birthweight (grams)]]*0.9/Table1[[#This Row],[BW_GA]])-1)/(Backend!$B$4/100*Table1[[#This Row],[BW40_3705]]),"")</f>
        <v/>
      </c>
      <c r="I394" s="7" t="str">
        <f>IF(Table1[[#This Row],[Is Data Valid]]=TRUE,((Table1[[#This Row],[Birthweight (grams)]]*1.1/Table1[[#This Row],[BW_GA]])-1)/(Backend!$B$4/100*Table1[[#This Row],[BW40_3705]]),"")</f>
        <v/>
      </c>
      <c r="J394" s="7" t="str">
        <f>IF(Table1[[#This Row],[Is Data Valid]]=TRUE,_xlfn.NORM.S.DIST(Table1[[#This Row],[Birthweight Z-Score]],TRUE)*100,"")</f>
        <v/>
      </c>
      <c r="K394" s="7" t="str">
        <f>IF(Table1[[#This Row],[Is Data Valid]]=TRUE,_xlfn.NORM.S.DIST(Table1[[#This Row],[Birthweight Z-Score (BW-10%)]],TRUE)*100,"")</f>
        <v/>
      </c>
      <c r="L394" s="7" t="str">
        <f>IF(Table1[[#This Row],[Is Data Valid]]=TRUE,_xlfn.NORM.S.DIST(Table1[[#This Row],[Birthweight Z-Score (BW+10%)]],TRUE)*100,"")</f>
        <v/>
      </c>
    </row>
    <row r="395" spans="1:12" x14ac:dyDescent="0.35">
      <c r="A395" s="3"/>
      <c r="B395" s="2"/>
      <c r="C395" s="2"/>
      <c r="D395" s="2" t="b">
        <f>IF(AND(NOT(ISBLANK(Table1[[#This Row],[Fetal Sex (Male, Female or Unknown)]])),ISNUMBER(Table1[[#This Row],[Birthweight (grams)]]),ISNUMBER(Table1[[#This Row],[Gestation (days)]])),TRUE,FALSE)</f>
        <v>0</v>
      </c>
      <c r="E395" s="2" t="str">
        <f>IF(Table1[[#This Row],[Is Data Valid]]=TRUE,IF(Table1[[#This Row],[Fetal Sex (Male, Female or Unknown)]]="Male",Backend!$C$6,IF(Table1[[#This Row],[Fetal Sex (Male, Female or Unknown)]]="Female",Backend!$C$7,IF(Table1[[#This Row],[Fetal Sex (Male, Female or Unknown)]]="Unknown",Backend!$C$8,"Error"))),"")</f>
        <v/>
      </c>
      <c r="F395" s="8" t="str">
        <f>IF(Table1[[#This Row],[Is Data Valid]]=TRUE,EXP(0.578+0.332*((Table1[[#This Row],[Gestation (days)]]+0.5)/7)-0.00354*((Table1[[#This Row],[Gestation (days)]]+0.5)/7)^2)*Table1[[#This Row],[BW40_3705]],"")</f>
        <v/>
      </c>
      <c r="G395" s="2" t="str">
        <f>IF(Table1[[#This Row],[Is Data Valid]]=TRUE,((Table1[[#This Row],[Birthweight (grams)]]/Table1[[#This Row],[BW_GA]])-1)/(Backend!$B$4/100*Table1[[#This Row],[BW40_3705]]),"")</f>
        <v/>
      </c>
      <c r="H395" s="7" t="str">
        <f>IF(Table1[[#This Row],[Is Data Valid]]=TRUE,((Table1[[#This Row],[Birthweight (grams)]]*0.9/Table1[[#This Row],[BW_GA]])-1)/(Backend!$B$4/100*Table1[[#This Row],[BW40_3705]]),"")</f>
        <v/>
      </c>
      <c r="I395" s="7" t="str">
        <f>IF(Table1[[#This Row],[Is Data Valid]]=TRUE,((Table1[[#This Row],[Birthweight (grams)]]*1.1/Table1[[#This Row],[BW_GA]])-1)/(Backend!$B$4/100*Table1[[#This Row],[BW40_3705]]),"")</f>
        <v/>
      </c>
      <c r="J395" s="7" t="str">
        <f>IF(Table1[[#This Row],[Is Data Valid]]=TRUE,_xlfn.NORM.S.DIST(Table1[[#This Row],[Birthweight Z-Score]],TRUE)*100,"")</f>
        <v/>
      </c>
      <c r="K395" s="7" t="str">
        <f>IF(Table1[[#This Row],[Is Data Valid]]=TRUE,_xlfn.NORM.S.DIST(Table1[[#This Row],[Birthweight Z-Score (BW-10%)]],TRUE)*100,"")</f>
        <v/>
      </c>
      <c r="L395" s="7" t="str">
        <f>IF(Table1[[#This Row],[Is Data Valid]]=TRUE,_xlfn.NORM.S.DIST(Table1[[#This Row],[Birthweight Z-Score (BW+10%)]],TRUE)*100,"")</f>
        <v/>
      </c>
    </row>
    <row r="396" spans="1:12" x14ac:dyDescent="0.35">
      <c r="A396" s="3"/>
      <c r="B396" s="2"/>
      <c r="C396" s="2"/>
      <c r="D396" s="2" t="b">
        <f>IF(AND(NOT(ISBLANK(Table1[[#This Row],[Fetal Sex (Male, Female or Unknown)]])),ISNUMBER(Table1[[#This Row],[Birthweight (grams)]]),ISNUMBER(Table1[[#This Row],[Gestation (days)]])),TRUE,FALSE)</f>
        <v>0</v>
      </c>
      <c r="E396" s="2" t="str">
        <f>IF(Table1[[#This Row],[Is Data Valid]]=TRUE,IF(Table1[[#This Row],[Fetal Sex (Male, Female or Unknown)]]="Male",Backend!$C$6,IF(Table1[[#This Row],[Fetal Sex (Male, Female or Unknown)]]="Female",Backend!$C$7,IF(Table1[[#This Row],[Fetal Sex (Male, Female or Unknown)]]="Unknown",Backend!$C$8,"Error"))),"")</f>
        <v/>
      </c>
      <c r="F396" s="8" t="str">
        <f>IF(Table1[[#This Row],[Is Data Valid]]=TRUE,EXP(0.578+0.332*((Table1[[#This Row],[Gestation (days)]]+0.5)/7)-0.00354*((Table1[[#This Row],[Gestation (days)]]+0.5)/7)^2)*Table1[[#This Row],[BW40_3705]],"")</f>
        <v/>
      </c>
      <c r="G396" s="2" t="str">
        <f>IF(Table1[[#This Row],[Is Data Valid]]=TRUE,((Table1[[#This Row],[Birthweight (grams)]]/Table1[[#This Row],[BW_GA]])-1)/(Backend!$B$4/100*Table1[[#This Row],[BW40_3705]]),"")</f>
        <v/>
      </c>
      <c r="H396" s="7" t="str">
        <f>IF(Table1[[#This Row],[Is Data Valid]]=TRUE,((Table1[[#This Row],[Birthweight (grams)]]*0.9/Table1[[#This Row],[BW_GA]])-1)/(Backend!$B$4/100*Table1[[#This Row],[BW40_3705]]),"")</f>
        <v/>
      </c>
      <c r="I396" s="7" t="str">
        <f>IF(Table1[[#This Row],[Is Data Valid]]=TRUE,((Table1[[#This Row],[Birthweight (grams)]]*1.1/Table1[[#This Row],[BW_GA]])-1)/(Backend!$B$4/100*Table1[[#This Row],[BW40_3705]]),"")</f>
        <v/>
      </c>
      <c r="J396" s="7" t="str">
        <f>IF(Table1[[#This Row],[Is Data Valid]]=TRUE,_xlfn.NORM.S.DIST(Table1[[#This Row],[Birthweight Z-Score]],TRUE)*100,"")</f>
        <v/>
      </c>
      <c r="K396" s="7" t="str">
        <f>IF(Table1[[#This Row],[Is Data Valid]]=TRUE,_xlfn.NORM.S.DIST(Table1[[#This Row],[Birthweight Z-Score (BW-10%)]],TRUE)*100,"")</f>
        <v/>
      </c>
      <c r="L396" s="7" t="str">
        <f>IF(Table1[[#This Row],[Is Data Valid]]=TRUE,_xlfn.NORM.S.DIST(Table1[[#This Row],[Birthweight Z-Score (BW+10%)]],TRUE)*100,"")</f>
        <v/>
      </c>
    </row>
    <row r="397" spans="1:12" x14ac:dyDescent="0.35">
      <c r="A397" s="3"/>
      <c r="B397" s="2"/>
      <c r="C397" s="2"/>
      <c r="D397" s="2" t="b">
        <f>IF(AND(NOT(ISBLANK(Table1[[#This Row],[Fetal Sex (Male, Female or Unknown)]])),ISNUMBER(Table1[[#This Row],[Birthweight (grams)]]),ISNUMBER(Table1[[#This Row],[Gestation (days)]])),TRUE,FALSE)</f>
        <v>0</v>
      </c>
      <c r="E397" s="2" t="str">
        <f>IF(Table1[[#This Row],[Is Data Valid]]=TRUE,IF(Table1[[#This Row],[Fetal Sex (Male, Female or Unknown)]]="Male",Backend!$C$6,IF(Table1[[#This Row],[Fetal Sex (Male, Female or Unknown)]]="Female",Backend!$C$7,IF(Table1[[#This Row],[Fetal Sex (Male, Female or Unknown)]]="Unknown",Backend!$C$8,"Error"))),"")</f>
        <v/>
      </c>
      <c r="F397" s="8" t="str">
        <f>IF(Table1[[#This Row],[Is Data Valid]]=TRUE,EXP(0.578+0.332*((Table1[[#This Row],[Gestation (days)]]+0.5)/7)-0.00354*((Table1[[#This Row],[Gestation (days)]]+0.5)/7)^2)*Table1[[#This Row],[BW40_3705]],"")</f>
        <v/>
      </c>
      <c r="G397" s="2" t="str">
        <f>IF(Table1[[#This Row],[Is Data Valid]]=TRUE,((Table1[[#This Row],[Birthweight (grams)]]/Table1[[#This Row],[BW_GA]])-1)/(Backend!$B$4/100*Table1[[#This Row],[BW40_3705]]),"")</f>
        <v/>
      </c>
      <c r="H397" s="7" t="str">
        <f>IF(Table1[[#This Row],[Is Data Valid]]=TRUE,((Table1[[#This Row],[Birthweight (grams)]]*0.9/Table1[[#This Row],[BW_GA]])-1)/(Backend!$B$4/100*Table1[[#This Row],[BW40_3705]]),"")</f>
        <v/>
      </c>
      <c r="I397" s="7" t="str">
        <f>IF(Table1[[#This Row],[Is Data Valid]]=TRUE,((Table1[[#This Row],[Birthweight (grams)]]*1.1/Table1[[#This Row],[BW_GA]])-1)/(Backend!$B$4/100*Table1[[#This Row],[BW40_3705]]),"")</f>
        <v/>
      </c>
      <c r="J397" s="7" t="str">
        <f>IF(Table1[[#This Row],[Is Data Valid]]=TRUE,_xlfn.NORM.S.DIST(Table1[[#This Row],[Birthweight Z-Score]],TRUE)*100,"")</f>
        <v/>
      </c>
      <c r="K397" s="7" t="str">
        <f>IF(Table1[[#This Row],[Is Data Valid]]=TRUE,_xlfn.NORM.S.DIST(Table1[[#This Row],[Birthweight Z-Score (BW-10%)]],TRUE)*100,"")</f>
        <v/>
      </c>
      <c r="L397" s="7" t="str">
        <f>IF(Table1[[#This Row],[Is Data Valid]]=TRUE,_xlfn.NORM.S.DIST(Table1[[#This Row],[Birthweight Z-Score (BW+10%)]],TRUE)*100,"")</f>
        <v/>
      </c>
    </row>
    <row r="398" spans="1:12" x14ac:dyDescent="0.35">
      <c r="A398" s="3"/>
      <c r="B398" s="2"/>
      <c r="C398" s="2"/>
      <c r="D398" s="2" t="b">
        <f>IF(AND(NOT(ISBLANK(Table1[[#This Row],[Fetal Sex (Male, Female or Unknown)]])),ISNUMBER(Table1[[#This Row],[Birthweight (grams)]]),ISNUMBER(Table1[[#This Row],[Gestation (days)]])),TRUE,FALSE)</f>
        <v>0</v>
      </c>
      <c r="E398" s="2" t="str">
        <f>IF(Table1[[#This Row],[Is Data Valid]]=TRUE,IF(Table1[[#This Row],[Fetal Sex (Male, Female or Unknown)]]="Male",Backend!$C$6,IF(Table1[[#This Row],[Fetal Sex (Male, Female or Unknown)]]="Female",Backend!$C$7,IF(Table1[[#This Row],[Fetal Sex (Male, Female or Unknown)]]="Unknown",Backend!$C$8,"Error"))),"")</f>
        <v/>
      </c>
      <c r="F398" s="8" t="str">
        <f>IF(Table1[[#This Row],[Is Data Valid]]=TRUE,EXP(0.578+0.332*((Table1[[#This Row],[Gestation (days)]]+0.5)/7)-0.00354*((Table1[[#This Row],[Gestation (days)]]+0.5)/7)^2)*Table1[[#This Row],[BW40_3705]],"")</f>
        <v/>
      </c>
      <c r="G398" s="2" t="str">
        <f>IF(Table1[[#This Row],[Is Data Valid]]=TRUE,((Table1[[#This Row],[Birthweight (grams)]]/Table1[[#This Row],[BW_GA]])-1)/(Backend!$B$4/100*Table1[[#This Row],[BW40_3705]]),"")</f>
        <v/>
      </c>
      <c r="H398" s="7" t="str">
        <f>IF(Table1[[#This Row],[Is Data Valid]]=TRUE,((Table1[[#This Row],[Birthweight (grams)]]*0.9/Table1[[#This Row],[BW_GA]])-1)/(Backend!$B$4/100*Table1[[#This Row],[BW40_3705]]),"")</f>
        <v/>
      </c>
      <c r="I398" s="7" t="str">
        <f>IF(Table1[[#This Row],[Is Data Valid]]=TRUE,((Table1[[#This Row],[Birthweight (grams)]]*1.1/Table1[[#This Row],[BW_GA]])-1)/(Backend!$B$4/100*Table1[[#This Row],[BW40_3705]]),"")</f>
        <v/>
      </c>
      <c r="J398" s="7" t="str">
        <f>IF(Table1[[#This Row],[Is Data Valid]]=TRUE,_xlfn.NORM.S.DIST(Table1[[#This Row],[Birthweight Z-Score]],TRUE)*100,"")</f>
        <v/>
      </c>
      <c r="K398" s="7" t="str">
        <f>IF(Table1[[#This Row],[Is Data Valid]]=TRUE,_xlfn.NORM.S.DIST(Table1[[#This Row],[Birthweight Z-Score (BW-10%)]],TRUE)*100,"")</f>
        <v/>
      </c>
      <c r="L398" s="7" t="str">
        <f>IF(Table1[[#This Row],[Is Data Valid]]=TRUE,_xlfn.NORM.S.DIST(Table1[[#This Row],[Birthweight Z-Score (BW+10%)]],TRUE)*100,"")</f>
        <v/>
      </c>
    </row>
    <row r="399" spans="1:12" x14ac:dyDescent="0.35">
      <c r="A399" s="3"/>
      <c r="B399" s="2"/>
      <c r="C399" s="2"/>
      <c r="D399" s="2" t="b">
        <f>IF(AND(NOT(ISBLANK(Table1[[#This Row],[Fetal Sex (Male, Female or Unknown)]])),ISNUMBER(Table1[[#This Row],[Birthweight (grams)]]),ISNUMBER(Table1[[#This Row],[Gestation (days)]])),TRUE,FALSE)</f>
        <v>0</v>
      </c>
      <c r="E399" s="2" t="str">
        <f>IF(Table1[[#This Row],[Is Data Valid]]=TRUE,IF(Table1[[#This Row],[Fetal Sex (Male, Female or Unknown)]]="Male",Backend!$C$6,IF(Table1[[#This Row],[Fetal Sex (Male, Female or Unknown)]]="Female",Backend!$C$7,IF(Table1[[#This Row],[Fetal Sex (Male, Female or Unknown)]]="Unknown",Backend!$C$8,"Error"))),"")</f>
        <v/>
      </c>
      <c r="F399" s="8" t="str">
        <f>IF(Table1[[#This Row],[Is Data Valid]]=TRUE,EXP(0.578+0.332*((Table1[[#This Row],[Gestation (days)]]+0.5)/7)-0.00354*((Table1[[#This Row],[Gestation (days)]]+0.5)/7)^2)*Table1[[#This Row],[BW40_3705]],"")</f>
        <v/>
      </c>
      <c r="G399" s="2" t="str">
        <f>IF(Table1[[#This Row],[Is Data Valid]]=TRUE,((Table1[[#This Row],[Birthweight (grams)]]/Table1[[#This Row],[BW_GA]])-1)/(Backend!$B$4/100*Table1[[#This Row],[BW40_3705]]),"")</f>
        <v/>
      </c>
      <c r="H399" s="7" t="str">
        <f>IF(Table1[[#This Row],[Is Data Valid]]=TRUE,((Table1[[#This Row],[Birthweight (grams)]]*0.9/Table1[[#This Row],[BW_GA]])-1)/(Backend!$B$4/100*Table1[[#This Row],[BW40_3705]]),"")</f>
        <v/>
      </c>
      <c r="I399" s="7" t="str">
        <f>IF(Table1[[#This Row],[Is Data Valid]]=TRUE,((Table1[[#This Row],[Birthweight (grams)]]*1.1/Table1[[#This Row],[BW_GA]])-1)/(Backend!$B$4/100*Table1[[#This Row],[BW40_3705]]),"")</f>
        <v/>
      </c>
      <c r="J399" s="7" t="str">
        <f>IF(Table1[[#This Row],[Is Data Valid]]=TRUE,_xlfn.NORM.S.DIST(Table1[[#This Row],[Birthweight Z-Score]],TRUE)*100,"")</f>
        <v/>
      </c>
      <c r="K399" s="7" t="str">
        <f>IF(Table1[[#This Row],[Is Data Valid]]=TRUE,_xlfn.NORM.S.DIST(Table1[[#This Row],[Birthweight Z-Score (BW-10%)]],TRUE)*100,"")</f>
        <v/>
      </c>
      <c r="L399" s="7" t="str">
        <f>IF(Table1[[#This Row],[Is Data Valid]]=TRUE,_xlfn.NORM.S.DIST(Table1[[#This Row],[Birthweight Z-Score (BW+10%)]],TRUE)*100,"")</f>
        <v/>
      </c>
    </row>
    <row r="400" spans="1:12" x14ac:dyDescent="0.35">
      <c r="A400" s="3"/>
      <c r="B400" s="2"/>
      <c r="C400" s="2"/>
      <c r="D400" s="2" t="b">
        <f>IF(AND(NOT(ISBLANK(Table1[[#This Row],[Fetal Sex (Male, Female or Unknown)]])),ISNUMBER(Table1[[#This Row],[Birthweight (grams)]]),ISNUMBER(Table1[[#This Row],[Gestation (days)]])),TRUE,FALSE)</f>
        <v>0</v>
      </c>
      <c r="E400" s="2" t="str">
        <f>IF(Table1[[#This Row],[Is Data Valid]]=TRUE,IF(Table1[[#This Row],[Fetal Sex (Male, Female or Unknown)]]="Male",Backend!$C$6,IF(Table1[[#This Row],[Fetal Sex (Male, Female or Unknown)]]="Female",Backend!$C$7,IF(Table1[[#This Row],[Fetal Sex (Male, Female or Unknown)]]="Unknown",Backend!$C$8,"Error"))),"")</f>
        <v/>
      </c>
      <c r="F400" s="8" t="str">
        <f>IF(Table1[[#This Row],[Is Data Valid]]=TRUE,EXP(0.578+0.332*((Table1[[#This Row],[Gestation (days)]]+0.5)/7)-0.00354*((Table1[[#This Row],[Gestation (days)]]+0.5)/7)^2)*Table1[[#This Row],[BW40_3705]],"")</f>
        <v/>
      </c>
      <c r="G400" s="2" t="str">
        <f>IF(Table1[[#This Row],[Is Data Valid]]=TRUE,((Table1[[#This Row],[Birthweight (grams)]]/Table1[[#This Row],[BW_GA]])-1)/(Backend!$B$4/100*Table1[[#This Row],[BW40_3705]]),"")</f>
        <v/>
      </c>
      <c r="H400" s="7" t="str">
        <f>IF(Table1[[#This Row],[Is Data Valid]]=TRUE,((Table1[[#This Row],[Birthweight (grams)]]*0.9/Table1[[#This Row],[BW_GA]])-1)/(Backend!$B$4/100*Table1[[#This Row],[BW40_3705]]),"")</f>
        <v/>
      </c>
      <c r="I400" s="7" t="str">
        <f>IF(Table1[[#This Row],[Is Data Valid]]=TRUE,((Table1[[#This Row],[Birthweight (grams)]]*1.1/Table1[[#This Row],[BW_GA]])-1)/(Backend!$B$4/100*Table1[[#This Row],[BW40_3705]]),"")</f>
        <v/>
      </c>
      <c r="J400" s="7" t="str">
        <f>IF(Table1[[#This Row],[Is Data Valid]]=TRUE,_xlfn.NORM.S.DIST(Table1[[#This Row],[Birthweight Z-Score]],TRUE)*100,"")</f>
        <v/>
      </c>
      <c r="K400" s="7" t="str">
        <f>IF(Table1[[#This Row],[Is Data Valid]]=TRUE,_xlfn.NORM.S.DIST(Table1[[#This Row],[Birthweight Z-Score (BW-10%)]],TRUE)*100,"")</f>
        <v/>
      </c>
      <c r="L400" s="7" t="str">
        <f>IF(Table1[[#This Row],[Is Data Valid]]=TRUE,_xlfn.NORM.S.DIST(Table1[[#This Row],[Birthweight Z-Score (BW+10%)]],TRUE)*100,"")</f>
        <v/>
      </c>
    </row>
    <row r="401" spans="1:12" x14ac:dyDescent="0.35">
      <c r="A401" s="3"/>
      <c r="B401" s="2"/>
      <c r="C401" s="2"/>
      <c r="D401" s="2" t="b">
        <f>IF(AND(NOT(ISBLANK(Table1[[#This Row],[Fetal Sex (Male, Female or Unknown)]])),ISNUMBER(Table1[[#This Row],[Birthweight (grams)]]),ISNUMBER(Table1[[#This Row],[Gestation (days)]])),TRUE,FALSE)</f>
        <v>0</v>
      </c>
      <c r="E401" s="2" t="str">
        <f>IF(Table1[[#This Row],[Is Data Valid]]=TRUE,IF(Table1[[#This Row],[Fetal Sex (Male, Female or Unknown)]]="Male",Backend!$C$6,IF(Table1[[#This Row],[Fetal Sex (Male, Female or Unknown)]]="Female",Backend!$C$7,IF(Table1[[#This Row],[Fetal Sex (Male, Female or Unknown)]]="Unknown",Backend!$C$8,"Error"))),"")</f>
        <v/>
      </c>
      <c r="F401" s="8" t="str">
        <f>IF(Table1[[#This Row],[Is Data Valid]]=TRUE,EXP(0.578+0.332*((Table1[[#This Row],[Gestation (days)]]+0.5)/7)-0.00354*((Table1[[#This Row],[Gestation (days)]]+0.5)/7)^2)*Table1[[#This Row],[BW40_3705]],"")</f>
        <v/>
      </c>
      <c r="G401" s="2" t="str">
        <f>IF(Table1[[#This Row],[Is Data Valid]]=TRUE,((Table1[[#This Row],[Birthweight (grams)]]/Table1[[#This Row],[BW_GA]])-1)/(Backend!$B$4/100*Table1[[#This Row],[BW40_3705]]),"")</f>
        <v/>
      </c>
      <c r="H401" s="7" t="str">
        <f>IF(Table1[[#This Row],[Is Data Valid]]=TRUE,((Table1[[#This Row],[Birthweight (grams)]]*0.9/Table1[[#This Row],[BW_GA]])-1)/(Backend!$B$4/100*Table1[[#This Row],[BW40_3705]]),"")</f>
        <v/>
      </c>
      <c r="I401" s="7" t="str">
        <f>IF(Table1[[#This Row],[Is Data Valid]]=TRUE,((Table1[[#This Row],[Birthweight (grams)]]*1.1/Table1[[#This Row],[BW_GA]])-1)/(Backend!$B$4/100*Table1[[#This Row],[BW40_3705]]),"")</f>
        <v/>
      </c>
      <c r="J401" s="7" t="str">
        <f>IF(Table1[[#This Row],[Is Data Valid]]=TRUE,_xlfn.NORM.S.DIST(Table1[[#This Row],[Birthweight Z-Score]],TRUE)*100,"")</f>
        <v/>
      </c>
      <c r="K401" s="7" t="str">
        <f>IF(Table1[[#This Row],[Is Data Valid]]=TRUE,_xlfn.NORM.S.DIST(Table1[[#This Row],[Birthweight Z-Score (BW-10%)]],TRUE)*100,"")</f>
        <v/>
      </c>
      <c r="L401" s="7" t="str">
        <f>IF(Table1[[#This Row],[Is Data Valid]]=TRUE,_xlfn.NORM.S.DIST(Table1[[#This Row],[Birthweight Z-Score (BW+10%)]],TRUE)*100,"")</f>
        <v/>
      </c>
    </row>
    <row r="402" spans="1:12" x14ac:dyDescent="0.35">
      <c r="A402" s="3"/>
      <c r="B402" s="2"/>
      <c r="C402" s="2"/>
      <c r="D402" s="2" t="b">
        <f>IF(AND(NOT(ISBLANK(Table1[[#This Row],[Fetal Sex (Male, Female or Unknown)]])),ISNUMBER(Table1[[#This Row],[Birthweight (grams)]]),ISNUMBER(Table1[[#This Row],[Gestation (days)]])),TRUE,FALSE)</f>
        <v>0</v>
      </c>
      <c r="E402" s="2" t="str">
        <f>IF(Table1[[#This Row],[Is Data Valid]]=TRUE,IF(Table1[[#This Row],[Fetal Sex (Male, Female or Unknown)]]="Male",Backend!$C$6,IF(Table1[[#This Row],[Fetal Sex (Male, Female or Unknown)]]="Female",Backend!$C$7,IF(Table1[[#This Row],[Fetal Sex (Male, Female or Unknown)]]="Unknown",Backend!$C$8,"Error"))),"")</f>
        <v/>
      </c>
      <c r="F402" s="8" t="str">
        <f>IF(Table1[[#This Row],[Is Data Valid]]=TRUE,EXP(0.578+0.332*((Table1[[#This Row],[Gestation (days)]]+0.5)/7)-0.00354*((Table1[[#This Row],[Gestation (days)]]+0.5)/7)^2)*Table1[[#This Row],[BW40_3705]],"")</f>
        <v/>
      </c>
      <c r="G402" s="2" t="str">
        <f>IF(Table1[[#This Row],[Is Data Valid]]=TRUE,((Table1[[#This Row],[Birthweight (grams)]]/Table1[[#This Row],[BW_GA]])-1)/(Backend!$B$4/100*Table1[[#This Row],[BW40_3705]]),"")</f>
        <v/>
      </c>
      <c r="H402" s="7" t="str">
        <f>IF(Table1[[#This Row],[Is Data Valid]]=TRUE,((Table1[[#This Row],[Birthweight (grams)]]*0.9/Table1[[#This Row],[BW_GA]])-1)/(Backend!$B$4/100*Table1[[#This Row],[BW40_3705]]),"")</f>
        <v/>
      </c>
      <c r="I402" s="7" t="str">
        <f>IF(Table1[[#This Row],[Is Data Valid]]=TRUE,((Table1[[#This Row],[Birthweight (grams)]]*1.1/Table1[[#This Row],[BW_GA]])-1)/(Backend!$B$4/100*Table1[[#This Row],[BW40_3705]]),"")</f>
        <v/>
      </c>
      <c r="J402" s="7" t="str">
        <f>IF(Table1[[#This Row],[Is Data Valid]]=TRUE,_xlfn.NORM.S.DIST(Table1[[#This Row],[Birthweight Z-Score]],TRUE)*100,"")</f>
        <v/>
      </c>
      <c r="K402" s="7" t="str">
        <f>IF(Table1[[#This Row],[Is Data Valid]]=TRUE,_xlfn.NORM.S.DIST(Table1[[#This Row],[Birthweight Z-Score (BW-10%)]],TRUE)*100,"")</f>
        <v/>
      </c>
      <c r="L402" s="7" t="str">
        <f>IF(Table1[[#This Row],[Is Data Valid]]=TRUE,_xlfn.NORM.S.DIST(Table1[[#This Row],[Birthweight Z-Score (BW+10%)]],TRUE)*100,"")</f>
        <v/>
      </c>
    </row>
    <row r="403" spans="1:12" x14ac:dyDescent="0.35">
      <c r="A403" s="3"/>
      <c r="B403" s="2"/>
      <c r="C403" s="2"/>
      <c r="D403" s="2" t="b">
        <f>IF(AND(NOT(ISBLANK(Table1[[#This Row],[Fetal Sex (Male, Female or Unknown)]])),ISNUMBER(Table1[[#This Row],[Birthweight (grams)]]),ISNUMBER(Table1[[#This Row],[Gestation (days)]])),TRUE,FALSE)</f>
        <v>0</v>
      </c>
      <c r="E403" s="2" t="str">
        <f>IF(Table1[[#This Row],[Is Data Valid]]=TRUE,IF(Table1[[#This Row],[Fetal Sex (Male, Female or Unknown)]]="Male",Backend!$C$6,IF(Table1[[#This Row],[Fetal Sex (Male, Female or Unknown)]]="Female",Backend!$C$7,IF(Table1[[#This Row],[Fetal Sex (Male, Female or Unknown)]]="Unknown",Backend!$C$8,"Error"))),"")</f>
        <v/>
      </c>
      <c r="F403" s="8" t="str">
        <f>IF(Table1[[#This Row],[Is Data Valid]]=TRUE,EXP(0.578+0.332*((Table1[[#This Row],[Gestation (days)]]+0.5)/7)-0.00354*((Table1[[#This Row],[Gestation (days)]]+0.5)/7)^2)*Table1[[#This Row],[BW40_3705]],"")</f>
        <v/>
      </c>
      <c r="G403" s="2" t="str">
        <f>IF(Table1[[#This Row],[Is Data Valid]]=TRUE,((Table1[[#This Row],[Birthweight (grams)]]/Table1[[#This Row],[BW_GA]])-1)/(Backend!$B$4/100*Table1[[#This Row],[BW40_3705]]),"")</f>
        <v/>
      </c>
      <c r="H403" s="7" t="str">
        <f>IF(Table1[[#This Row],[Is Data Valid]]=TRUE,((Table1[[#This Row],[Birthweight (grams)]]*0.9/Table1[[#This Row],[BW_GA]])-1)/(Backend!$B$4/100*Table1[[#This Row],[BW40_3705]]),"")</f>
        <v/>
      </c>
      <c r="I403" s="7" t="str">
        <f>IF(Table1[[#This Row],[Is Data Valid]]=TRUE,((Table1[[#This Row],[Birthweight (grams)]]*1.1/Table1[[#This Row],[BW_GA]])-1)/(Backend!$B$4/100*Table1[[#This Row],[BW40_3705]]),"")</f>
        <v/>
      </c>
      <c r="J403" s="7" t="str">
        <f>IF(Table1[[#This Row],[Is Data Valid]]=TRUE,_xlfn.NORM.S.DIST(Table1[[#This Row],[Birthweight Z-Score]],TRUE)*100,"")</f>
        <v/>
      </c>
      <c r="K403" s="7" t="str">
        <f>IF(Table1[[#This Row],[Is Data Valid]]=TRUE,_xlfn.NORM.S.DIST(Table1[[#This Row],[Birthweight Z-Score (BW-10%)]],TRUE)*100,"")</f>
        <v/>
      </c>
      <c r="L403" s="7" t="str">
        <f>IF(Table1[[#This Row],[Is Data Valid]]=TRUE,_xlfn.NORM.S.DIST(Table1[[#This Row],[Birthweight Z-Score (BW+10%)]],TRUE)*100,"")</f>
        <v/>
      </c>
    </row>
    <row r="404" spans="1:12" x14ac:dyDescent="0.35">
      <c r="A404" s="3"/>
      <c r="B404" s="2"/>
      <c r="C404" s="2"/>
      <c r="D404" s="2" t="b">
        <f>IF(AND(NOT(ISBLANK(Table1[[#This Row],[Fetal Sex (Male, Female or Unknown)]])),ISNUMBER(Table1[[#This Row],[Birthweight (grams)]]),ISNUMBER(Table1[[#This Row],[Gestation (days)]])),TRUE,FALSE)</f>
        <v>0</v>
      </c>
      <c r="E404" s="2" t="str">
        <f>IF(Table1[[#This Row],[Is Data Valid]]=TRUE,IF(Table1[[#This Row],[Fetal Sex (Male, Female or Unknown)]]="Male",Backend!$C$6,IF(Table1[[#This Row],[Fetal Sex (Male, Female or Unknown)]]="Female",Backend!$C$7,IF(Table1[[#This Row],[Fetal Sex (Male, Female or Unknown)]]="Unknown",Backend!$C$8,"Error"))),"")</f>
        <v/>
      </c>
      <c r="F404" s="8" t="str">
        <f>IF(Table1[[#This Row],[Is Data Valid]]=TRUE,EXP(0.578+0.332*((Table1[[#This Row],[Gestation (days)]]+0.5)/7)-0.00354*((Table1[[#This Row],[Gestation (days)]]+0.5)/7)^2)*Table1[[#This Row],[BW40_3705]],"")</f>
        <v/>
      </c>
      <c r="G404" s="2" t="str">
        <f>IF(Table1[[#This Row],[Is Data Valid]]=TRUE,((Table1[[#This Row],[Birthweight (grams)]]/Table1[[#This Row],[BW_GA]])-1)/(Backend!$B$4/100*Table1[[#This Row],[BW40_3705]]),"")</f>
        <v/>
      </c>
      <c r="H404" s="7" t="str">
        <f>IF(Table1[[#This Row],[Is Data Valid]]=TRUE,((Table1[[#This Row],[Birthweight (grams)]]*0.9/Table1[[#This Row],[BW_GA]])-1)/(Backend!$B$4/100*Table1[[#This Row],[BW40_3705]]),"")</f>
        <v/>
      </c>
      <c r="I404" s="7" t="str">
        <f>IF(Table1[[#This Row],[Is Data Valid]]=TRUE,((Table1[[#This Row],[Birthweight (grams)]]*1.1/Table1[[#This Row],[BW_GA]])-1)/(Backend!$B$4/100*Table1[[#This Row],[BW40_3705]]),"")</f>
        <v/>
      </c>
      <c r="J404" s="7" t="str">
        <f>IF(Table1[[#This Row],[Is Data Valid]]=TRUE,_xlfn.NORM.S.DIST(Table1[[#This Row],[Birthweight Z-Score]],TRUE)*100,"")</f>
        <v/>
      </c>
      <c r="K404" s="7" t="str">
        <f>IF(Table1[[#This Row],[Is Data Valid]]=TRUE,_xlfn.NORM.S.DIST(Table1[[#This Row],[Birthweight Z-Score (BW-10%)]],TRUE)*100,"")</f>
        <v/>
      </c>
      <c r="L404" s="7" t="str">
        <f>IF(Table1[[#This Row],[Is Data Valid]]=TRUE,_xlfn.NORM.S.DIST(Table1[[#This Row],[Birthweight Z-Score (BW+10%)]],TRUE)*100,"")</f>
        <v/>
      </c>
    </row>
    <row r="405" spans="1:12" x14ac:dyDescent="0.35">
      <c r="A405" s="3"/>
      <c r="B405" s="2"/>
      <c r="C405" s="2"/>
      <c r="D405" s="2" t="b">
        <f>IF(AND(NOT(ISBLANK(Table1[[#This Row],[Fetal Sex (Male, Female or Unknown)]])),ISNUMBER(Table1[[#This Row],[Birthweight (grams)]]),ISNUMBER(Table1[[#This Row],[Gestation (days)]])),TRUE,FALSE)</f>
        <v>0</v>
      </c>
      <c r="E405" s="2" t="str">
        <f>IF(Table1[[#This Row],[Is Data Valid]]=TRUE,IF(Table1[[#This Row],[Fetal Sex (Male, Female or Unknown)]]="Male",Backend!$C$6,IF(Table1[[#This Row],[Fetal Sex (Male, Female or Unknown)]]="Female",Backend!$C$7,IF(Table1[[#This Row],[Fetal Sex (Male, Female or Unknown)]]="Unknown",Backend!$C$8,"Error"))),"")</f>
        <v/>
      </c>
      <c r="F405" s="8" t="str">
        <f>IF(Table1[[#This Row],[Is Data Valid]]=TRUE,EXP(0.578+0.332*((Table1[[#This Row],[Gestation (days)]]+0.5)/7)-0.00354*((Table1[[#This Row],[Gestation (days)]]+0.5)/7)^2)*Table1[[#This Row],[BW40_3705]],"")</f>
        <v/>
      </c>
      <c r="G405" s="2" t="str">
        <f>IF(Table1[[#This Row],[Is Data Valid]]=TRUE,((Table1[[#This Row],[Birthweight (grams)]]/Table1[[#This Row],[BW_GA]])-1)/(Backend!$B$4/100*Table1[[#This Row],[BW40_3705]]),"")</f>
        <v/>
      </c>
      <c r="H405" s="7" t="str">
        <f>IF(Table1[[#This Row],[Is Data Valid]]=TRUE,((Table1[[#This Row],[Birthweight (grams)]]*0.9/Table1[[#This Row],[BW_GA]])-1)/(Backend!$B$4/100*Table1[[#This Row],[BW40_3705]]),"")</f>
        <v/>
      </c>
      <c r="I405" s="7" t="str">
        <f>IF(Table1[[#This Row],[Is Data Valid]]=TRUE,((Table1[[#This Row],[Birthweight (grams)]]*1.1/Table1[[#This Row],[BW_GA]])-1)/(Backend!$B$4/100*Table1[[#This Row],[BW40_3705]]),"")</f>
        <v/>
      </c>
      <c r="J405" s="7" t="str">
        <f>IF(Table1[[#This Row],[Is Data Valid]]=TRUE,_xlfn.NORM.S.DIST(Table1[[#This Row],[Birthweight Z-Score]],TRUE)*100,"")</f>
        <v/>
      </c>
      <c r="K405" s="7" t="str">
        <f>IF(Table1[[#This Row],[Is Data Valid]]=TRUE,_xlfn.NORM.S.DIST(Table1[[#This Row],[Birthweight Z-Score (BW-10%)]],TRUE)*100,"")</f>
        <v/>
      </c>
      <c r="L405" s="7" t="str">
        <f>IF(Table1[[#This Row],[Is Data Valid]]=TRUE,_xlfn.NORM.S.DIST(Table1[[#This Row],[Birthweight Z-Score (BW+10%)]],TRUE)*100,"")</f>
        <v/>
      </c>
    </row>
    <row r="406" spans="1:12" x14ac:dyDescent="0.35">
      <c r="A406" s="3"/>
      <c r="B406" s="2"/>
      <c r="C406" s="2"/>
      <c r="D406" s="2" t="b">
        <f>IF(AND(NOT(ISBLANK(Table1[[#This Row],[Fetal Sex (Male, Female or Unknown)]])),ISNUMBER(Table1[[#This Row],[Birthweight (grams)]]),ISNUMBER(Table1[[#This Row],[Gestation (days)]])),TRUE,FALSE)</f>
        <v>0</v>
      </c>
      <c r="E406" s="2" t="str">
        <f>IF(Table1[[#This Row],[Is Data Valid]]=TRUE,IF(Table1[[#This Row],[Fetal Sex (Male, Female or Unknown)]]="Male",Backend!$C$6,IF(Table1[[#This Row],[Fetal Sex (Male, Female or Unknown)]]="Female",Backend!$C$7,IF(Table1[[#This Row],[Fetal Sex (Male, Female or Unknown)]]="Unknown",Backend!$C$8,"Error"))),"")</f>
        <v/>
      </c>
      <c r="F406" s="8" t="str">
        <f>IF(Table1[[#This Row],[Is Data Valid]]=TRUE,EXP(0.578+0.332*((Table1[[#This Row],[Gestation (days)]]+0.5)/7)-0.00354*((Table1[[#This Row],[Gestation (days)]]+0.5)/7)^2)*Table1[[#This Row],[BW40_3705]],"")</f>
        <v/>
      </c>
      <c r="G406" s="2" t="str">
        <f>IF(Table1[[#This Row],[Is Data Valid]]=TRUE,((Table1[[#This Row],[Birthweight (grams)]]/Table1[[#This Row],[BW_GA]])-1)/(Backend!$B$4/100*Table1[[#This Row],[BW40_3705]]),"")</f>
        <v/>
      </c>
      <c r="H406" s="7" t="str">
        <f>IF(Table1[[#This Row],[Is Data Valid]]=TRUE,((Table1[[#This Row],[Birthweight (grams)]]*0.9/Table1[[#This Row],[BW_GA]])-1)/(Backend!$B$4/100*Table1[[#This Row],[BW40_3705]]),"")</f>
        <v/>
      </c>
      <c r="I406" s="7" t="str">
        <f>IF(Table1[[#This Row],[Is Data Valid]]=TRUE,((Table1[[#This Row],[Birthweight (grams)]]*1.1/Table1[[#This Row],[BW_GA]])-1)/(Backend!$B$4/100*Table1[[#This Row],[BW40_3705]]),"")</f>
        <v/>
      </c>
      <c r="J406" s="7" t="str">
        <f>IF(Table1[[#This Row],[Is Data Valid]]=TRUE,_xlfn.NORM.S.DIST(Table1[[#This Row],[Birthweight Z-Score]],TRUE)*100,"")</f>
        <v/>
      </c>
      <c r="K406" s="7" t="str">
        <f>IF(Table1[[#This Row],[Is Data Valid]]=TRUE,_xlfn.NORM.S.DIST(Table1[[#This Row],[Birthweight Z-Score (BW-10%)]],TRUE)*100,"")</f>
        <v/>
      </c>
      <c r="L406" s="7" t="str">
        <f>IF(Table1[[#This Row],[Is Data Valid]]=TRUE,_xlfn.NORM.S.DIST(Table1[[#This Row],[Birthweight Z-Score (BW+10%)]],TRUE)*100,"")</f>
        <v/>
      </c>
    </row>
    <row r="407" spans="1:12" x14ac:dyDescent="0.35">
      <c r="A407" s="3"/>
      <c r="B407" s="2"/>
      <c r="C407" s="2"/>
      <c r="D407" s="2" t="b">
        <f>IF(AND(NOT(ISBLANK(Table1[[#This Row],[Fetal Sex (Male, Female or Unknown)]])),ISNUMBER(Table1[[#This Row],[Birthweight (grams)]]),ISNUMBER(Table1[[#This Row],[Gestation (days)]])),TRUE,FALSE)</f>
        <v>0</v>
      </c>
      <c r="E407" s="2" t="str">
        <f>IF(Table1[[#This Row],[Is Data Valid]]=TRUE,IF(Table1[[#This Row],[Fetal Sex (Male, Female or Unknown)]]="Male",Backend!$C$6,IF(Table1[[#This Row],[Fetal Sex (Male, Female or Unknown)]]="Female",Backend!$C$7,IF(Table1[[#This Row],[Fetal Sex (Male, Female or Unknown)]]="Unknown",Backend!$C$8,"Error"))),"")</f>
        <v/>
      </c>
      <c r="F407" s="8" t="str">
        <f>IF(Table1[[#This Row],[Is Data Valid]]=TRUE,EXP(0.578+0.332*((Table1[[#This Row],[Gestation (days)]]+0.5)/7)-0.00354*((Table1[[#This Row],[Gestation (days)]]+0.5)/7)^2)*Table1[[#This Row],[BW40_3705]],"")</f>
        <v/>
      </c>
      <c r="G407" s="2" t="str">
        <f>IF(Table1[[#This Row],[Is Data Valid]]=TRUE,((Table1[[#This Row],[Birthweight (grams)]]/Table1[[#This Row],[BW_GA]])-1)/(Backend!$B$4/100*Table1[[#This Row],[BW40_3705]]),"")</f>
        <v/>
      </c>
      <c r="H407" s="7" t="str">
        <f>IF(Table1[[#This Row],[Is Data Valid]]=TRUE,((Table1[[#This Row],[Birthweight (grams)]]*0.9/Table1[[#This Row],[BW_GA]])-1)/(Backend!$B$4/100*Table1[[#This Row],[BW40_3705]]),"")</f>
        <v/>
      </c>
      <c r="I407" s="7" t="str">
        <f>IF(Table1[[#This Row],[Is Data Valid]]=TRUE,((Table1[[#This Row],[Birthweight (grams)]]*1.1/Table1[[#This Row],[BW_GA]])-1)/(Backend!$B$4/100*Table1[[#This Row],[BW40_3705]]),"")</f>
        <v/>
      </c>
      <c r="J407" s="7" t="str">
        <f>IF(Table1[[#This Row],[Is Data Valid]]=TRUE,_xlfn.NORM.S.DIST(Table1[[#This Row],[Birthweight Z-Score]],TRUE)*100,"")</f>
        <v/>
      </c>
      <c r="K407" s="7" t="str">
        <f>IF(Table1[[#This Row],[Is Data Valid]]=TRUE,_xlfn.NORM.S.DIST(Table1[[#This Row],[Birthweight Z-Score (BW-10%)]],TRUE)*100,"")</f>
        <v/>
      </c>
      <c r="L407" s="7" t="str">
        <f>IF(Table1[[#This Row],[Is Data Valid]]=TRUE,_xlfn.NORM.S.DIST(Table1[[#This Row],[Birthweight Z-Score (BW+10%)]],TRUE)*100,"")</f>
        <v/>
      </c>
    </row>
    <row r="408" spans="1:12" x14ac:dyDescent="0.35">
      <c r="A408" s="3"/>
      <c r="B408" s="2"/>
      <c r="C408" s="2"/>
      <c r="D408" s="2" t="b">
        <f>IF(AND(NOT(ISBLANK(Table1[[#This Row],[Fetal Sex (Male, Female or Unknown)]])),ISNUMBER(Table1[[#This Row],[Birthweight (grams)]]),ISNUMBER(Table1[[#This Row],[Gestation (days)]])),TRUE,FALSE)</f>
        <v>0</v>
      </c>
      <c r="E408" s="2" t="str">
        <f>IF(Table1[[#This Row],[Is Data Valid]]=TRUE,IF(Table1[[#This Row],[Fetal Sex (Male, Female or Unknown)]]="Male",Backend!$C$6,IF(Table1[[#This Row],[Fetal Sex (Male, Female or Unknown)]]="Female",Backend!$C$7,IF(Table1[[#This Row],[Fetal Sex (Male, Female or Unknown)]]="Unknown",Backend!$C$8,"Error"))),"")</f>
        <v/>
      </c>
      <c r="F408" s="8" t="str">
        <f>IF(Table1[[#This Row],[Is Data Valid]]=TRUE,EXP(0.578+0.332*((Table1[[#This Row],[Gestation (days)]]+0.5)/7)-0.00354*((Table1[[#This Row],[Gestation (days)]]+0.5)/7)^2)*Table1[[#This Row],[BW40_3705]],"")</f>
        <v/>
      </c>
      <c r="G408" s="2" t="str">
        <f>IF(Table1[[#This Row],[Is Data Valid]]=TRUE,((Table1[[#This Row],[Birthweight (grams)]]/Table1[[#This Row],[BW_GA]])-1)/(Backend!$B$4/100*Table1[[#This Row],[BW40_3705]]),"")</f>
        <v/>
      </c>
      <c r="H408" s="7" t="str">
        <f>IF(Table1[[#This Row],[Is Data Valid]]=TRUE,((Table1[[#This Row],[Birthweight (grams)]]*0.9/Table1[[#This Row],[BW_GA]])-1)/(Backend!$B$4/100*Table1[[#This Row],[BW40_3705]]),"")</f>
        <v/>
      </c>
      <c r="I408" s="7" t="str">
        <f>IF(Table1[[#This Row],[Is Data Valid]]=TRUE,((Table1[[#This Row],[Birthweight (grams)]]*1.1/Table1[[#This Row],[BW_GA]])-1)/(Backend!$B$4/100*Table1[[#This Row],[BW40_3705]]),"")</f>
        <v/>
      </c>
      <c r="J408" s="7" t="str">
        <f>IF(Table1[[#This Row],[Is Data Valid]]=TRUE,_xlfn.NORM.S.DIST(Table1[[#This Row],[Birthweight Z-Score]],TRUE)*100,"")</f>
        <v/>
      </c>
      <c r="K408" s="7" t="str">
        <f>IF(Table1[[#This Row],[Is Data Valid]]=TRUE,_xlfn.NORM.S.DIST(Table1[[#This Row],[Birthweight Z-Score (BW-10%)]],TRUE)*100,"")</f>
        <v/>
      </c>
      <c r="L408" s="7" t="str">
        <f>IF(Table1[[#This Row],[Is Data Valid]]=TRUE,_xlfn.NORM.S.DIST(Table1[[#This Row],[Birthweight Z-Score (BW+10%)]],TRUE)*100,"")</f>
        <v/>
      </c>
    </row>
    <row r="409" spans="1:12" x14ac:dyDescent="0.35">
      <c r="A409" s="3"/>
      <c r="B409" s="2"/>
      <c r="C409" s="2"/>
      <c r="D409" s="2" t="b">
        <f>IF(AND(NOT(ISBLANK(Table1[[#This Row],[Fetal Sex (Male, Female or Unknown)]])),ISNUMBER(Table1[[#This Row],[Birthweight (grams)]]),ISNUMBER(Table1[[#This Row],[Gestation (days)]])),TRUE,FALSE)</f>
        <v>0</v>
      </c>
      <c r="E409" s="2" t="str">
        <f>IF(Table1[[#This Row],[Is Data Valid]]=TRUE,IF(Table1[[#This Row],[Fetal Sex (Male, Female or Unknown)]]="Male",Backend!$C$6,IF(Table1[[#This Row],[Fetal Sex (Male, Female or Unknown)]]="Female",Backend!$C$7,IF(Table1[[#This Row],[Fetal Sex (Male, Female or Unknown)]]="Unknown",Backend!$C$8,"Error"))),"")</f>
        <v/>
      </c>
      <c r="F409" s="8" t="str">
        <f>IF(Table1[[#This Row],[Is Data Valid]]=TRUE,EXP(0.578+0.332*((Table1[[#This Row],[Gestation (days)]]+0.5)/7)-0.00354*((Table1[[#This Row],[Gestation (days)]]+0.5)/7)^2)*Table1[[#This Row],[BW40_3705]],"")</f>
        <v/>
      </c>
      <c r="G409" s="2" t="str">
        <f>IF(Table1[[#This Row],[Is Data Valid]]=TRUE,((Table1[[#This Row],[Birthweight (grams)]]/Table1[[#This Row],[BW_GA]])-1)/(Backend!$B$4/100*Table1[[#This Row],[BW40_3705]]),"")</f>
        <v/>
      </c>
      <c r="H409" s="7" t="str">
        <f>IF(Table1[[#This Row],[Is Data Valid]]=TRUE,((Table1[[#This Row],[Birthweight (grams)]]*0.9/Table1[[#This Row],[BW_GA]])-1)/(Backend!$B$4/100*Table1[[#This Row],[BW40_3705]]),"")</f>
        <v/>
      </c>
      <c r="I409" s="7" t="str">
        <f>IF(Table1[[#This Row],[Is Data Valid]]=TRUE,((Table1[[#This Row],[Birthweight (grams)]]*1.1/Table1[[#This Row],[BW_GA]])-1)/(Backend!$B$4/100*Table1[[#This Row],[BW40_3705]]),"")</f>
        <v/>
      </c>
      <c r="J409" s="7" t="str">
        <f>IF(Table1[[#This Row],[Is Data Valid]]=TRUE,_xlfn.NORM.S.DIST(Table1[[#This Row],[Birthweight Z-Score]],TRUE)*100,"")</f>
        <v/>
      </c>
      <c r="K409" s="7" t="str">
        <f>IF(Table1[[#This Row],[Is Data Valid]]=TRUE,_xlfn.NORM.S.DIST(Table1[[#This Row],[Birthweight Z-Score (BW-10%)]],TRUE)*100,"")</f>
        <v/>
      </c>
      <c r="L409" s="7" t="str">
        <f>IF(Table1[[#This Row],[Is Data Valid]]=TRUE,_xlfn.NORM.S.DIST(Table1[[#This Row],[Birthweight Z-Score (BW+10%)]],TRUE)*100,"")</f>
        <v/>
      </c>
    </row>
    <row r="410" spans="1:12" x14ac:dyDescent="0.35">
      <c r="A410" s="3"/>
      <c r="B410" s="2"/>
      <c r="C410" s="2"/>
      <c r="D410" s="2" t="b">
        <f>IF(AND(NOT(ISBLANK(Table1[[#This Row],[Fetal Sex (Male, Female or Unknown)]])),ISNUMBER(Table1[[#This Row],[Birthweight (grams)]]),ISNUMBER(Table1[[#This Row],[Gestation (days)]])),TRUE,FALSE)</f>
        <v>0</v>
      </c>
      <c r="E410" s="2" t="str">
        <f>IF(Table1[[#This Row],[Is Data Valid]]=TRUE,IF(Table1[[#This Row],[Fetal Sex (Male, Female or Unknown)]]="Male",Backend!$C$6,IF(Table1[[#This Row],[Fetal Sex (Male, Female or Unknown)]]="Female",Backend!$C$7,IF(Table1[[#This Row],[Fetal Sex (Male, Female or Unknown)]]="Unknown",Backend!$C$8,"Error"))),"")</f>
        <v/>
      </c>
      <c r="F410" s="8" t="str">
        <f>IF(Table1[[#This Row],[Is Data Valid]]=TRUE,EXP(0.578+0.332*((Table1[[#This Row],[Gestation (days)]]+0.5)/7)-0.00354*((Table1[[#This Row],[Gestation (days)]]+0.5)/7)^2)*Table1[[#This Row],[BW40_3705]],"")</f>
        <v/>
      </c>
      <c r="G410" s="2" t="str">
        <f>IF(Table1[[#This Row],[Is Data Valid]]=TRUE,((Table1[[#This Row],[Birthweight (grams)]]/Table1[[#This Row],[BW_GA]])-1)/(Backend!$B$4/100*Table1[[#This Row],[BW40_3705]]),"")</f>
        <v/>
      </c>
      <c r="H410" s="7" t="str">
        <f>IF(Table1[[#This Row],[Is Data Valid]]=TRUE,((Table1[[#This Row],[Birthweight (grams)]]*0.9/Table1[[#This Row],[BW_GA]])-1)/(Backend!$B$4/100*Table1[[#This Row],[BW40_3705]]),"")</f>
        <v/>
      </c>
      <c r="I410" s="7" t="str">
        <f>IF(Table1[[#This Row],[Is Data Valid]]=TRUE,((Table1[[#This Row],[Birthweight (grams)]]*1.1/Table1[[#This Row],[BW_GA]])-1)/(Backend!$B$4/100*Table1[[#This Row],[BW40_3705]]),"")</f>
        <v/>
      </c>
      <c r="J410" s="7" t="str">
        <f>IF(Table1[[#This Row],[Is Data Valid]]=TRUE,_xlfn.NORM.S.DIST(Table1[[#This Row],[Birthweight Z-Score]],TRUE)*100,"")</f>
        <v/>
      </c>
      <c r="K410" s="7" t="str">
        <f>IF(Table1[[#This Row],[Is Data Valid]]=TRUE,_xlfn.NORM.S.DIST(Table1[[#This Row],[Birthweight Z-Score (BW-10%)]],TRUE)*100,"")</f>
        <v/>
      </c>
      <c r="L410" s="7" t="str">
        <f>IF(Table1[[#This Row],[Is Data Valid]]=TRUE,_xlfn.NORM.S.DIST(Table1[[#This Row],[Birthweight Z-Score (BW+10%)]],TRUE)*100,"")</f>
        <v/>
      </c>
    </row>
    <row r="411" spans="1:12" x14ac:dyDescent="0.35">
      <c r="A411" s="3"/>
      <c r="B411" s="2"/>
      <c r="C411" s="2"/>
      <c r="D411" s="2" t="b">
        <f>IF(AND(NOT(ISBLANK(Table1[[#This Row],[Fetal Sex (Male, Female or Unknown)]])),ISNUMBER(Table1[[#This Row],[Birthweight (grams)]]),ISNUMBER(Table1[[#This Row],[Gestation (days)]])),TRUE,FALSE)</f>
        <v>0</v>
      </c>
      <c r="E411" s="2" t="str">
        <f>IF(Table1[[#This Row],[Is Data Valid]]=TRUE,IF(Table1[[#This Row],[Fetal Sex (Male, Female or Unknown)]]="Male",Backend!$C$6,IF(Table1[[#This Row],[Fetal Sex (Male, Female or Unknown)]]="Female",Backend!$C$7,IF(Table1[[#This Row],[Fetal Sex (Male, Female or Unknown)]]="Unknown",Backend!$C$8,"Error"))),"")</f>
        <v/>
      </c>
      <c r="F411" s="8" t="str">
        <f>IF(Table1[[#This Row],[Is Data Valid]]=TRUE,EXP(0.578+0.332*((Table1[[#This Row],[Gestation (days)]]+0.5)/7)-0.00354*((Table1[[#This Row],[Gestation (days)]]+0.5)/7)^2)*Table1[[#This Row],[BW40_3705]],"")</f>
        <v/>
      </c>
      <c r="G411" s="2" t="str">
        <f>IF(Table1[[#This Row],[Is Data Valid]]=TRUE,((Table1[[#This Row],[Birthweight (grams)]]/Table1[[#This Row],[BW_GA]])-1)/(Backend!$B$4/100*Table1[[#This Row],[BW40_3705]]),"")</f>
        <v/>
      </c>
      <c r="H411" s="7" t="str">
        <f>IF(Table1[[#This Row],[Is Data Valid]]=TRUE,((Table1[[#This Row],[Birthweight (grams)]]*0.9/Table1[[#This Row],[BW_GA]])-1)/(Backend!$B$4/100*Table1[[#This Row],[BW40_3705]]),"")</f>
        <v/>
      </c>
      <c r="I411" s="7" t="str">
        <f>IF(Table1[[#This Row],[Is Data Valid]]=TRUE,((Table1[[#This Row],[Birthweight (grams)]]*1.1/Table1[[#This Row],[BW_GA]])-1)/(Backend!$B$4/100*Table1[[#This Row],[BW40_3705]]),"")</f>
        <v/>
      </c>
      <c r="J411" s="7" t="str">
        <f>IF(Table1[[#This Row],[Is Data Valid]]=TRUE,_xlfn.NORM.S.DIST(Table1[[#This Row],[Birthweight Z-Score]],TRUE)*100,"")</f>
        <v/>
      </c>
      <c r="K411" s="7" t="str">
        <f>IF(Table1[[#This Row],[Is Data Valid]]=TRUE,_xlfn.NORM.S.DIST(Table1[[#This Row],[Birthweight Z-Score (BW-10%)]],TRUE)*100,"")</f>
        <v/>
      </c>
      <c r="L411" s="7" t="str">
        <f>IF(Table1[[#This Row],[Is Data Valid]]=TRUE,_xlfn.NORM.S.DIST(Table1[[#This Row],[Birthweight Z-Score (BW+10%)]],TRUE)*100,"")</f>
        <v/>
      </c>
    </row>
    <row r="412" spans="1:12" x14ac:dyDescent="0.35">
      <c r="A412" s="3"/>
      <c r="B412" s="2"/>
      <c r="C412" s="2"/>
      <c r="D412" s="2" t="b">
        <f>IF(AND(NOT(ISBLANK(Table1[[#This Row],[Fetal Sex (Male, Female or Unknown)]])),ISNUMBER(Table1[[#This Row],[Birthweight (grams)]]),ISNUMBER(Table1[[#This Row],[Gestation (days)]])),TRUE,FALSE)</f>
        <v>0</v>
      </c>
      <c r="E412" s="2" t="str">
        <f>IF(Table1[[#This Row],[Is Data Valid]]=TRUE,IF(Table1[[#This Row],[Fetal Sex (Male, Female or Unknown)]]="Male",Backend!$C$6,IF(Table1[[#This Row],[Fetal Sex (Male, Female or Unknown)]]="Female",Backend!$C$7,IF(Table1[[#This Row],[Fetal Sex (Male, Female or Unknown)]]="Unknown",Backend!$C$8,"Error"))),"")</f>
        <v/>
      </c>
      <c r="F412" s="8" t="str">
        <f>IF(Table1[[#This Row],[Is Data Valid]]=TRUE,EXP(0.578+0.332*((Table1[[#This Row],[Gestation (days)]]+0.5)/7)-0.00354*((Table1[[#This Row],[Gestation (days)]]+0.5)/7)^2)*Table1[[#This Row],[BW40_3705]],"")</f>
        <v/>
      </c>
      <c r="G412" s="2" t="str">
        <f>IF(Table1[[#This Row],[Is Data Valid]]=TRUE,((Table1[[#This Row],[Birthweight (grams)]]/Table1[[#This Row],[BW_GA]])-1)/(Backend!$B$4/100*Table1[[#This Row],[BW40_3705]]),"")</f>
        <v/>
      </c>
      <c r="H412" s="7" t="str">
        <f>IF(Table1[[#This Row],[Is Data Valid]]=TRUE,((Table1[[#This Row],[Birthweight (grams)]]*0.9/Table1[[#This Row],[BW_GA]])-1)/(Backend!$B$4/100*Table1[[#This Row],[BW40_3705]]),"")</f>
        <v/>
      </c>
      <c r="I412" s="7" t="str">
        <f>IF(Table1[[#This Row],[Is Data Valid]]=TRUE,((Table1[[#This Row],[Birthweight (grams)]]*1.1/Table1[[#This Row],[BW_GA]])-1)/(Backend!$B$4/100*Table1[[#This Row],[BW40_3705]]),"")</f>
        <v/>
      </c>
      <c r="J412" s="7" t="str">
        <f>IF(Table1[[#This Row],[Is Data Valid]]=TRUE,_xlfn.NORM.S.DIST(Table1[[#This Row],[Birthweight Z-Score]],TRUE)*100,"")</f>
        <v/>
      </c>
      <c r="K412" s="7" t="str">
        <f>IF(Table1[[#This Row],[Is Data Valid]]=TRUE,_xlfn.NORM.S.DIST(Table1[[#This Row],[Birthweight Z-Score (BW-10%)]],TRUE)*100,"")</f>
        <v/>
      </c>
      <c r="L412" s="7" t="str">
        <f>IF(Table1[[#This Row],[Is Data Valid]]=TRUE,_xlfn.NORM.S.DIST(Table1[[#This Row],[Birthweight Z-Score (BW+10%)]],TRUE)*100,"")</f>
        <v/>
      </c>
    </row>
    <row r="413" spans="1:12" x14ac:dyDescent="0.35">
      <c r="A413" s="3"/>
      <c r="B413" s="2"/>
      <c r="C413" s="2"/>
      <c r="D413" s="2" t="b">
        <f>IF(AND(NOT(ISBLANK(Table1[[#This Row],[Fetal Sex (Male, Female or Unknown)]])),ISNUMBER(Table1[[#This Row],[Birthweight (grams)]]),ISNUMBER(Table1[[#This Row],[Gestation (days)]])),TRUE,FALSE)</f>
        <v>0</v>
      </c>
      <c r="E413" s="2" t="str">
        <f>IF(Table1[[#This Row],[Is Data Valid]]=TRUE,IF(Table1[[#This Row],[Fetal Sex (Male, Female or Unknown)]]="Male",Backend!$C$6,IF(Table1[[#This Row],[Fetal Sex (Male, Female or Unknown)]]="Female",Backend!$C$7,IF(Table1[[#This Row],[Fetal Sex (Male, Female or Unknown)]]="Unknown",Backend!$C$8,"Error"))),"")</f>
        <v/>
      </c>
      <c r="F413" s="8" t="str">
        <f>IF(Table1[[#This Row],[Is Data Valid]]=TRUE,EXP(0.578+0.332*((Table1[[#This Row],[Gestation (days)]]+0.5)/7)-0.00354*((Table1[[#This Row],[Gestation (days)]]+0.5)/7)^2)*Table1[[#This Row],[BW40_3705]],"")</f>
        <v/>
      </c>
      <c r="G413" s="2" t="str">
        <f>IF(Table1[[#This Row],[Is Data Valid]]=TRUE,((Table1[[#This Row],[Birthweight (grams)]]/Table1[[#This Row],[BW_GA]])-1)/(Backend!$B$4/100*Table1[[#This Row],[BW40_3705]]),"")</f>
        <v/>
      </c>
      <c r="H413" s="7" t="str">
        <f>IF(Table1[[#This Row],[Is Data Valid]]=TRUE,((Table1[[#This Row],[Birthweight (grams)]]*0.9/Table1[[#This Row],[BW_GA]])-1)/(Backend!$B$4/100*Table1[[#This Row],[BW40_3705]]),"")</f>
        <v/>
      </c>
      <c r="I413" s="7" t="str">
        <f>IF(Table1[[#This Row],[Is Data Valid]]=TRUE,((Table1[[#This Row],[Birthweight (grams)]]*1.1/Table1[[#This Row],[BW_GA]])-1)/(Backend!$B$4/100*Table1[[#This Row],[BW40_3705]]),"")</f>
        <v/>
      </c>
      <c r="J413" s="7" t="str">
        <f>IF(Table1[[#This Row],[Is Data Valid]]=TRUE,_xlfn.NORM.S.DIST(Table1[[#This Row],[Birthweight Z-Score]],TRUE)*100,"")</f>
        <v/>
      </c>
      <c r="K413" s="7" t="str">
        <f>IF(Table1[[#This Row],[Is Data Valid]]=TRUE,_xlfn.NORM.S.DIST(Table1[[#This Row],[Birthweight Z-Score (BW-10%)]],TRUE)*100,"")</f>
        <v/>
      </c>
      <c r="L413" s="7" t="str">
        <f>IF(Table1[[#This Row],[Is Data Valid]]=TRUE,_xlfn.NORM.S.DIST(Table1[[#This Row],[Birthweight Z-Score (BW+10%)]],TRUE)*100,"")</f>
        <v/>
      </c>
    </row>
    <row r="414" spans="1:12" x14ac:dyDescent="0.35">
      <c r="A414" s="3"/>
      <c r="B414" s="2"/>
      <c r="C414" s="2"/>
      <c r="D414" s="2" t="b">
        <f>IF(AND(NOT(ISBLANK(Table1[[#This Row],[Fetal Sex (Male, Female or Unknown)]])),ISNUMBER(Table1[[#This Row],[Birthweight (grams)]]),ISNUMBER(Table1[[#This Row],[Gestation (days)]])),TRUE,FALSE)</f>
        <v>0</v>
      </c>
      <c r="E414" s="2" t="str">
        <f>IF(Table1[[#This Row],[Is Data Valid]]=TRUE,IF(Table1[[#This Row],[Fetal Sex (Male, Female or Unknown)]]="Male",Backend!$C$6,IF(Table1[[#This Row],[Fetal Sex (Male, Female or Unknown)]]="Female",Backend!$C$7,IF(Table1[[#This Row],[Fetal Sex (Male, Female or Unknown)]]="Unknown",Backend!$C$8,"Error"))),"")</f>
        <v/>
      </c>
      <c r="F414" s="8" t="str">
        <f>IF(Table1[[#This Row],[Is Data Valid]]=TRUE,EXP(0.578+0.332*((Table1[[#This Row],[Gestation (days)]]+0.5)/7)-0.00354*((Table1[[#This Row],[Gestation (days)]]+0.5)/7)^2)*Table1[[#This Row],[BW40_3705]],"")</f>
        <v/>
      </c>
      <c r="G414" s="2" t="str">
        <f>IF(Table1[[#This Row],[Is Data Valid]]=TRUE,((Table1[[#This Row],[Birthweight (grams)]]/Table1[[#This Row],[BW_GA]])-1)/(Backend!$B$4/100*Table1[[#This Row],[BW40_3705]]),"")</f>
        <v/>
      </c>
      <c r="H414" s="7" t="str">
        <f>IF(Table1[[#This Row],[Is Data Valid]]=TRUE,((Table1[[#This Row],[Birthweight (grams)]]*0.9/Table1[[#This Row],[BW_GA]])-1)/(Backend!$B$4/100*Table1[[#This Row],[BW40_3705]]),"")</f>
        <v/>
      </c>
      <c r="I414" s="7" t="str">
        <f>IF(Table1[[#This Row],[Is Data Valid]]=TRUE,((Table1[[#This Row],[Birthweight (grams)]]*1.1/Table1[[#This Row],[BW_GA]])-1)/(Backend!$B$4/100*Table1[[#This Row],[BW40_3705]]),"")</f>
        <v/>
      </c>
      <c r="J414" s="7" t="str">
        <f>IF(Table1[[#This Row],[Is Data Valid]]=TRUE,_xlfn.NORM.S.DIST(Table1[[#This Row],[Birthweight Z-Score]],TRUE)*100,"")</f>
        <v/>
      </c>
      <c r="K414" s="7" t="str">
        <f>IF(Table1[[#This Row],[Is Data Valid]]=TRUE,_xlfn.NORM.S.DIST(Table1[[#This Row],[Birthweight Z-Score (BW-10%)]],TRUE)*100,"")</f>
        <v/>
      </c>
      <c r="L414" s="7" t="str">
        <f>IF(Table1[[#This Row],[Is Data Valid]]=TRUE,_xlfn.NORM.S.DIST(Table1[[#This Row],[Birthweight Z-Score (BW+10%)]],TRUE)*100,"")</f>
        <v/>
      </c>
    </row>
    <row r="415" spans="1:12" x14ac:dyDescent="0.35">
      <c r="A415" s="3"/>
      <c r="B415" s="2"/>
      <c r="C415" s="2"/>
      <c r="D415" s="2" t="b">
        <f>IF(AND(NOT(ISBLANK(Table1[[#This Row],[Fetal Sex (Male, Female or Unknown)]])),ISNUMBER(Table1[[#This Row],[Birthweight (grams)]]),ISNUMBER(Table1[[#This Row],[Gestation (days)]])),TRUE,FALSE)</f>
        <v>0</v>
      </c>
      <c r="E415" s="2" t="str">
        <f>IF(Table1[[#This Row],[Is Data Valid]]=TRUE,IF(Table1[[#This Row],[Fetal Sex (Male, Female or Unknown)]]="Male",Backend!$C$6,IF(Table1[[#This Row],[Fetal Sex (Male, Female or Unknown)]]="Female",Backend!$C$7,IF(Table1[[#This Row],[Fetal Sex (Male, Female or Unknown)]]="Unknown",Backend!$C$8,"Error"))),"")</f>
        <v/>
      </c>
      <c r="F415" s="8" t="str">
        <f>IF(Table1[[#This Row],[Is Data Valid]]=TRUE,EXP(0.578+0.332*((Table1[[#This Row],[Gestation (days)]]+0.5)/7)-0.00354*((Table1[[#This Row],[Gestation (days)]]+0.5)/7)^2)*Table1[[#This Row],[BW40_3705]],"")</f>
        <v/>
      </c>
      <c r="G415" s="2" t="str">
        <f>IF(Table1[[#This Row],[Is Data Valid]]=TRUE,((Table1[[#This Row],[Birthweight (grams)]]/Table1[[#This Row],[BW_GA]])-1)/(Backend!$B$4/100*Table1[[#This Row],[BW40_3705]]),"")</f>
        <v/>
      </c>
      <c r="H415" s="7" t="str">
        <f>IF(Table1[[#This Row],[Is Data Valid]]=TRUE,((Table1[[#This Row],[Birthweight (grams)]]*0.9/Table1[[#This Row],[BW_GA]])-1)/(Backend!$B$4/100*Table1[[#This Row],[BW40_3705]]),"")</f>
        <v/>
      </c>
      <c r="I415" s="7" t="str">
        <f>IF(Table1[[#This Row],[Is Data Valid]]=TRUE,((Table1[[#This Row],[Birthweight (grams)]]*1.1/Table1[[#This Row],[BW_GA]])-1)/(Backend!$B$4/100*Table1[[#This Row],[BW40_3705]]),"")</f>
        <v/>
      </c>
      <c r="J415" s="7" t="str">
        <f>IF(Table1[[#This Row],[Is Data Valid]]=TRUE,_xlfn.NORM.S.DIST(Table1[[#This Row],[Birthweight Z-Score]],TRUE)*100,"")</f>
        <v/>
      </c>
      <c r="K415" s="7" t="str">
        <f>IF(Table1[[#This Row],[Is Data Valid]]=TRUE,_xlfn.NORM.S.DIST(Table1[[#This Row],[Birthweight Z-Score (BW-10%)]],TRUE)*100,"")</f>
        <v/>
      </c>
      <c r="L415" s="7" t="str">
        <f>IF(Table1[[#This Row],[Is Data Valid]]=TRUE,_xlfn.NORM.S.DIST(Table1[[#This Row],[Birthweight Z-Score (BW+10%)]],TRUE)*100,"")</f>
        <v/>
      </c>
    </row>
    <row r="416" spans="1:12" x14ac:dyDescent="0.35">
      <c r="A416" s="3"/>
      <c r="B416" s="2"/>
      <c r="C416" s="2"/>
      <c r="D416" s="2" t="b">
        <f>IF(AND(NOT(ISBLANK(Table1[[#This Row],[Fetal Sex (Male, Female or Unknown)]])),ISNUMBER(Table1[[#This Row],[Birthweight (grams)]]),ISNUMBER(Table1[[#This Row],[Gestation (days)]])),TRUE,FALSE)</f>
        <v>0</v>
      </c>
      <c r="E416" s="2" t="str">
        <f>IF(Table1[[#This Row],[Is Data Valid]]=TRUE,IF(Table1[[#This Row],[Fetal Sex (Male, Female or Unknown)]]="Male",Backend!$C$6,IF(Table1[[#This Row],[Fetal Sex (Male, Female or Unknown)]]="Female",Backend!$C$7,IF(Table1[[#This Row],[Fetal Sex (Male, Female or Unknown)]]="Unknown",Backend!$C$8,"Error"))),"")</f>
        <v/>
      </c>
      <c r="F416" s="8" t="str">
        <f>IF(Table1[[#This Row],[Is Data Valid]]=TRUE,EXP(0.578+0.332*((Table1[[#This Row],[Gestation (days)]]+0.5)/7)-0.00354*((Table1[[#This Row],[Gestation (days)]]+0.5)/7)^2)*Table1[[#This Row],[BW40_3705]],"")</f>
        <v/>
      </c>
      <c r="G416" s="2" t="str">
        <f>IF(Table1[[#This Row],[Is Data Valid]]=TRUE,((Table1[[#This Row],[Birthweight (grams)]]/Table1[[#This Row],[BW_GA]])-1)/(Backend!$B$4/100*Table1[[#This Row],[BW40_3705]]),"")</f>
        <v/>
      </c>
      <c r="H416" s="7" t="str">
        <f>IF(Table1[[#This Row],[Is Data Valid]]=TRUE,((Table1[[#This Row],[Birthweight (grams)]]*0.9/Table1[[#This Row],[BW_GA]])-1)/(Backend!$B$4/100*Table1[[#This Row],[BW40_3705]]),"")</f>
        <v/>
      </c>
      <c r="I416" s="7" t="str">
        <f>IF(Table1[[#This Row],[Is Data Valid]]=TRUE,((Table1[[#This Row],[Birthweight (grams)]]*1.1/Table1[[#This Row],[BW_GA]])-1)/(Backend!$B$4/100*Table1[[#This Row],[BW40_3705]]),"")</f>
        <v/>
      </c>
      <c r="J416" s="7" t="str">
        <f>IF(Table1[[#This Row],[Is Data Valid]]=TRUE,_xlfn.NORM.S.DIST(Table1[[#This Row],[Birthweight Z-Score]],TRUE)*100,"")</f>
        <v/>
      </c>
      <c r="K416" s="7" t="str">
        <f>IF(Table1[[#This Row],[Is Data Valid]]=TRUE,_xlfn.NORM.S.DIST(Table1[[#This Row],[Birthweight Z-Score (BW-10%)]],TRUE)*100,"")</f>
        <v/>
      </c>
      <c r="L416" s="7" t="str">
        <f>IF(Table1[[#This Row],[Is Data Valid]]=TRUE,_xlfn.NORM.S.DIST(Table1[[#This Row],[Birthweight Z-Score (BW+10%)]],TRUE)*100,"")</f>
        <v/>
      </c>
    </row>
    <row r="417" spans="1:12" x14ac:dyDescent="0.35">
      <c r="A417" s="3"/>
      <c r="B417" s="2"/>
      <c r="C417" s="2"/>
      <c r="D417" s="2" t="b">
        <f>IF(AND(NOT(ISBLANK(Table1[[#This Row],[Fetal Sex (Male, Female or Unknown)]])),ISNUMBER(Table1[[#This Row],[Birthweight (grams)]]),ISNUMBER(Table1[[#This Row],[Gestation (days)]])),TRUE,FALSE)</f>
        <v>0</v>
      </c>
      <c r="E417" s="2" t="str">
        <f>IF(Table1[[#This Row],[Is Data Valid]]=TRUE,IF(Table1[[#This Row],[Fetal Sex (Male, Female or Unknown)]]="Male",Backend!$C$6,IF(Table1[[#This Row],[Fetal Sex (Male, Female or Unknown)]]="Female",Backend!$C$7,IF(Table1[[#This Row],[Fetal Sex (Male, Female or Unknown)]]="Unknown",Backend!$C$8,"Error"))),"")</f>
        <v/>
      </c>
      <c r="F417" s="8" t="str">
        <f>IF(Table1[[#This Row],[Is Data Valid]]=TRUE,EXP(0.578+0.332*((Table1[[#This Row],[Gestation (days)]]+0.5)/7)-0.00354*((Table1[[#This Row],[Gestation (days)]]+0.5)/7)^2)*Table1[[#This Row],[BW40_3705]],"")</f>
        <v/>
      </c>
      <c r="G417" s="2" t="str">
        <f>IF(Table1[[#This Row],[Is Data Valid]]=TRUE,((Table1[[#This Row],[Birthweight (grams)]]/Table1[[#This Row],[BW_GA]])-1)/(Backend!$B$4/100*Table1[[#This Row],[BW40_3705]]),"")</f>
        <v/>
      </c>
      <c r="H417" s="7" t="str">
        <f>IF(Table1[[#This Row],[Is Data Valid]]=TRUE,((Table1[[#This Row],[Birthweight (grams)]]*0.9/Table1[[#This Row],[BW_GA]])-1)/(Backend!$B$4/100*Table1[[#This Row],[BW40_3705]]),"")</f>
        <v/>
      </c>
      <c r="I417" s="7" t="str">
        <f>IF(Table1[[#This Row],[Is Data Valid]]=TRUE,((Table1[[#This Row],[Birthweight (grams)]]*1.1/Table1[[#This Row],[BW_GA]])-1)/(Backend!$B$4/100*Table1[[#This Row],[BW40_3705]]),"")</f>
        <v/>
      </c>
      <c r="J417" s="7" t="str">
        <f>IF(Table1[[#This Row],[Is Data Valid]]=TRUE,_xlfn.NORM.S.DIST(Table1[[#This Row],[Birthweight Z-Score]],TRUE)*100,"")</f>
        <v/>
      </c>
      <c r="K417" s="7" t="str">
        <f>IF(Table1[[#This Row],[Is Data Valid]]=TRUE,_xlfn.NORM.S.DIST(Table1[[#This Row],[Birthweight Z-Score (BW-10%)]],TRUE)*100,"")</f>
        <v/>
      </c>
      <c r="L417" s="7" t="str">
        <f>IF(Table1[[#This Row],[Is Data Valid]]=TRUE,_xlfn.NORM.S.DIST(Table1[[#This Row],[Birthweight Z-Score (BW+10%)]],TRUE)*100,"")</f>
        <v/>
      </c>
    </row>
    <row r="418" spans="1:12" x14ac:dyDescent="0.35">
      <c r="A418" s="3"/>
      <c r="B418" s="2"/>
      <c r="C418" s="2"/>
      <c r="D418" s="2" t="b">
        <f>IF(AND(NOT(ISBLANK(Table1[[#This Row],[Fetal Sex (Male, Female or Unknown)]])),ISNUMBER(Table1[[#This Row],[Birthweight (grams)]]),ISNUMBER(Table1[[#This Row],[Gestation (days)]])),TRUE,FALSE)</f>
        <v>0</v>
      </c>
      <c r="E418" s="2" t="str">
        <f>IF(Table1[[#This Row],[Is Data Valid]]=TRUE,IF(Table1[[#This Row],[Fetal Sex (Male, Female or Unknown)]]="Male",Backend!$C$6,IF(Table1[[#This Row],[Fetal Sex (Male, Female or Unknown)]]="Female",Backend!$C$7,IF(Table1[[#This Row],[Fetal Sex (Male, Female or Unknown)]]="Unknown",Backend!$C$8,"Error"))),"")</f>
        <v/>
      </c>
      <c r="F418" s="8" t="str">
        <f>IF(Table1[[#This Row],[Is Data Valid]]=TRUE,EXP(0.578+0.332*((Table1[[#This Row],[Gestation (days)]]+0.5)/7)-0.00354*((Table1[[#This Row],[Gestation (days)]]+0.5)/7)^2)*Table1[[#This Row],[BW40_3705]],"")</f>
        <v/>
      </c>
      <c r="G418" s="2" t="str">
        <f>IF(Table1[[#This Row],[Is Data Valid]]=TRUE,((Table1[[#This Row],[Birthweight (grams)]]/Table1[[#This Row],[BW_GA]])-1)/(Backend!$B$4/100*Table1[[#This Row],[BW40_3705]]),"")</f>
        <v/>
      </c>
      <c r="H418" s="7" t="str">
        <f>IF(Table1[[#This Row],[Is Data Valid]]=TRUE,((Table1[[#This Row],[Birthweight (grams)]]*0.9/Table1[[#This Row],[BW_GA]])-1)/(Backend!$B$4/100*Table1[[#This Row],[BW40_3705]]),"")</f>
        <v/>
      </c>
      <c r="I418" s="7" t="str">
        <f>IF(Table1[[#This Row],[Is Data Valid]]=TRUE,((Table1[[#This Row],[Birthweight (grams)]]*1.1/Table1[[#This Row],[BW_GA]])-1)/(Backend!$B$4/100*Table1[[#This Row],[BW40_3705]]),"")</f>
        <v/>
      </c>
      <c r="J418" s="7" t="str">
        <f>IF(Table1[[#This Row],[Is Data Valid]]=TRUE,_xlfn.NORM.S.DIST(Table1[[#This Row],[Birthweight Z-Score]],TRUE)*100,"")</f>
        <v/>
      </c>
      <c r="K418" s="7" t="str">
        <f>IF(Table1[[#This Row],[Is Data Valid]]=TRUE,_xlfn.NORM.S.DIST(Table1[[#This Row],[Birthweight Z-Score (BW-10%)]],TRUE)*100,"")</f>
        <v/>
      </c>
      <c r="L418" s="7" t="str">
        <f>IF(Table1[[#This Row],[Is Data Valid]]=TRUE,_xlfn.NORM.S.DIST(Table1[[#This Row],[Birthweight Z-Score (BW+10%)]],TRUE)*100,"")</f>
        <v/>
      </c>
    </row>
    <row r="419" spans="1:12" x14ac:dyDescent="0.35">
      <c r="A419" s="3"/>
      <c r="B419" s="2"/>
      <c r="C419" s="2"/>
      <c r="D419" s="2" t="b">
        <f>IF(AND(NOT(ISBLANK(Table1[[#This Row],[Fetal Sex (Male, Female or Unknown)]])),ISNUMBER(Table1[[#This Row],[Birthweight (grams)]]),ISNUMBER(Table1[[#This Row],[Gestation (days)]])),TRUE,FALSE)</f>
        <v>0</v>
      </c>
      <c r="E419" s="2" t="str">
        <f>IF(Table1[[#This Row],[Is Data Valid]]=TRUE,IF(Table1[[#This Row],[Fetal Sex (Male, Female or Unknown)]]="Male",Backend!$C$6,IF(Table1[[#This Row],[Fetal Sex (Male, Female or Unknown)]]="Female",Backend!$C$7,IF(Table1[[#This Row],[Fetal Sex (Male, Female or Unknown)]]="Unknown",Backend!$C$8,"Error"))),"")</f>
        <v/>
      </c>
      <c r="F419" s="8" t="str">
        <f>IF(Table1[[#This Row],[Is Data Valid]]=TRUE,EXP(0.578+0.332*((Table1[[#This Row],[Gestation (days)]]+0.5)/7)-0.00354*((Table1[[#This Row],[Gestation (days)]]+0.5)/7)^2)*Table1[[#This Row],[BW40_3705]],"")</f>
        <v/>
      </c>
      <c r="G419" s="2" t="str">
        <f>IF(Table1[[#This Row],[Is Data Valid]]=TRUE,((Table1[[#This Row],[Birthweight (grams)]]/Table1[[#This Row],[BW_GA]])-1)/(Backend!$B$4/100*Table1[[#This Row],[BW40_3705]]),"")</f>
        <v/>
      </c>
      <c r="H419" s="7" t="str">
        <f>IF(Table1[[#This Row],[Is Data Valid]]=TRUE,((Table1[[#This Row],[Birthweight (grams)]]*0.9/Table1[[#This Row],[BW_GA]])-1)/(Backend!$B$4/100*Table1[[#This Row],[BW40_3705]]),"")</f>
        <v/>
      </c>
      <c r="I419" s="7" t="str">
        <f>IF(Table1[[#This Row],[Is Data Valid]]=TRUE,((Table1[[#This Row],[Birthweight (grams)]]*1.1/Table1[[#This Row],[BW_GA]])-1)/(Backend!$B$4/100*Table1[[#This Row],[BW40_3705]]),"")</f>
        <v/>
      </c>
      <c r="J419" s="7" t="str">
        <f>IF(Table1[[#This Row],[Is Data Valid]]=TRUE,_xlfn.NORM.S.DIST(Table1[[#This Row],[Birthweight Z-Score]],TRUE)*100,"")</f>
        <v/>
      </c>
      <c r="K419" s="7" t="str">
        <f>IF(Table1[[#This Row],[Is Data Valid]]=TRUE,_xlfn.NORM.S.DIST(Table1[[#This Row],[Birthweight Z-Score (BW-10%)]],TRUE)*100,"")</f>
        <v/>
      </c>
      <c r="L419" s="7" t="str">
        <f>IF(Table1[[#This Row],[Is Data Valid]]=TRUE,_xlfn.NORM.S.DIST(Table1[[#This Row],[Birthweight Z-Score (BW+10%)]],TRUE)*100,"")</f>
        <v/>
      </c>
    </row>
    <row r="420" spans="1:12" x14ac:dyDescent="0.35">
      <c r="A420" s="3"/>
      <c r="B420" s="2"/>
      <c r="C420" s="2"/>
      <c r="D420" s="2" t="b">
        <f>IF(AND(NOT(ISBLANK(Table1[[#This Row],[Fetal Sex (Male, Female or Unknown)]])),ISNUMBER(Table1[[#This Row],[Birthweight (grams)]]),ISNUMBER(Table1[[#This Row],[Gestation (days)]])),TRUE,FALSE)</f>
        <v>0</v>
      </c>
      <c r="E420" s="2" t="str">
        <f>IF(Table1[[#This Row],[Is Data Valid]]=TRUE,IF(Table1[[#This Row],[Fetal Sex (Male, Female or Unknown)]]="Male",Backend!$C$6,IF(Table1[[#This Row],[Fetal Sex (Male, Female or Unknown)]]="Female",Backend!$C$7,IF(Table1[[#This Row],[Fetal Sex (Male, Female or Unknown)]]="Unknown",Backend!$C$8,"Error"))),"")</f>
        <v/>
      </c>
      <c r="F420" s="8" t="str">
        <f>IF(Table1[[#This Row],[Is Data Valid]]=TRUE,EXP(0.578+0.332*((Table1[[#This Row],[Gestation (days)]]+0.5)/7)-0.00354*((Table1[[#This Row],[Gestation (days)]]+0.5)/7)^2)*Table1[[#This Row],[BW40_3705]],"")</f>
        <v/>
      </c>
      <c r="G420" s="2" t="str">
        <f>IF(Table1[[#This Row],[Is Data Valid]]=TRUE,((Table1[[#This Row],[Birthweight (grams)]]/Table1[[#This Row],[BW_GA]])-1)/(Backend!$B$4/100*Table1[[#This Row],[BW40_3705]]),"")</f>
        <v/>
      </c>
      <c r="H420" s="7" t="str">
        <f>IF(Table1[[#This Row],[Is Data Valid]]=TRUE,((Table1[[#This Row],[Birthweight (grams)]]*0.9/Table1[[#This Row],[BW_GA]])-1)/(Backend!$B$4/100*Table1[[#This Row],[BW40_3705]]),"")</f>
        <v/>
      </c>
      <c r="I420" s="7" t="str">
        <f>IF(Table1[[#This Row],[Is Data Valid]]=TRUE,((Table1[[#This Row],[Birthweight (grams)]]*1.1/Table1[[#This Row],[BW_GA]])-1)/(Backend!$B$4/100*Table1[[#This Row],[BW40_3705]]),"")</f>
        <v/>
      </c>
      <c r="J420" s="7" t="str">
        <f>IF(Table1[[#This Row],[Is Data Valid]]=TRUE,_xlfn.NORM.S.DIST(Table1[[#This Row],[Birthweight Z-Score]],TRUE)*100,"")</f>
        <v/>
      </c>
      <c r="K420" s="7" t="str">
        <f>IF(Table1[[#This Row],[Is Data Valid]]=TRUE,_xlfn.NORM.S.DIST(Table1[[#This Row],[Birthweight Z-Score (BW-10%)]],TRUE)*100,"")</f>
        <v/>
      </c>
      <c r="L420" s="7" t="str">
        <f>IF(Table1[[#This Row],[Is Data Valid]]=TRUE,_xlfn.NORM.S.DIST(Table1[[#This Row],[Birthweight Z-Score (BW+10%)]],TRUE)*100,"")</f>
        <v/>
      </c>
    </row>
    <row r="421" spans="1:12" x14ac:dyDescent="0.35">
      <c r="A421" s="3"/>
      <c r="B421" s="2"/>
      <c r="C421" s="2"/>
      <c r="D421" s="2" t="b">
        <f>IF(AND(NOT(ISBLANK(Table1[[#This Row],[Fetal Sex (Male, Female or Unknown)]])),ISNUMBER(Table1[[#This Row],[Birthweight (grams)]]),ISNUMBER(Table1[[#This Row],[Gestation (days)]])),TRUE,FALSE)</f>
        <v>0</v>
      </c>
      <c r="E421" s="2" t="str">
        <f>IF(Table1[[#This Row],[Is Data Valid]]=TRUE,IF(Table1[[#This Row],[Fetal Sex (Male, Female or Unknown)]]="Male",Backend!$C$6,IF(Table1[[#This Row],[Fetal Sex (Male, Female or Unknown)]]="Female",Backend!$C$7,IF(Table1[[#This Row],[Fetal Sex (Male, Female or Unknown)]]="Unknown",Backend!$C$8,"Error"))),"")</f>
        <v/>
      </c>
      <c r="F421" s="8" t="str">
        <f>IF(Table1[[#This Row],[Is Data Valid]]=TRUE,EXP(0.578+0.332*((Table1[[#This Row],[Gestation (days)]]+0.5)/7)-0.00354*((Table1[[#This Row],[Gestation (days)]]+0.5)/7)^2)*Table1[[#This Row],[BW40_3705]],"")</f>
        <v/>
      </c>
      <c r="G421" s="2" t="str">
        <f>IF(Table1[[#This Row],[Is Data Valid]]=TRUE,((Table1[[#This Row],[Birthweight (grams)]]/Table1[[#This Row],[BW_GA]])-1)/(Backend!$B$4/100*Table1[[#This Row],[BW40_3705]]),"")</f>
        <v/>
      </c>
      <c r="H421" s="7" t="str">
        <f>IF(Table1[[#This Row],[Is Data Valid]]=TRUE,((Table1[[#This Row],[Birthweight (grams)]]*0.9/Table1[[#This Row],[BW_GA]])-1)/(Backend!$B$4/100*Table1[[#This Row],[BW40_3705]]),"")</f>
        <v/>
      </c>
      <c r="I421" s="7" t="str">
        <f>IF(Table1[[#This Row],[Is Data Valid]]=TRUE,((Table1[[#This Row],[Birthweight (grams)]]*1.1/Table1[[#This Row],[BW_GA]])-1)/(Backend!$B$4/100*Table1[[#This Row],[BW40_3705]]),"")</f>
        <v/>
      </c>
      <c r="J421" s="7" t="str">
        <f>IF(Table1[[#This Row],[Is Data Valid]]=TRUE,_xlfn.NORM.S.DIST(Table1[[#This Row],[Birthweight Z-Score]],TRUE)*100,"")</f>
        <v/>
      </c>
      <c r="K421" s="7" t="str">
        <f>IF(Table1[[#This Row],[Is Data Valid]]=TRUE,_xlfn.NORM.S.DIST(Table1[[#This Row],[Birthweight Z-Score (BW-10%)]],TRUE)*100,"")</f>
        <v/>
      </c>
      <c r="L421" s="7" t="str">
        <f>IF(Table1[[#This Row],[Is Data Valid]]=TRUE,_xlfn.NORM.S.DIST(Table1[[#This Row],[Birthweight Z-Score (BW+10%)]],TRUE)*100,"")</f>
        <v/>
      </c>
    </row>
    <row r="422" spans="1:12" x14ac:dyDescent="0.35">
      <c r="A422" s="3"/>
      <c r="B422" s="2"/>
      <c r="C422" s="2"/>
      <c r="D422" s="2" t="b">
        <f>IF(AND(NOT(ISBLANK(Table1[[#This Row],[Fetal Sex (Male, Female or Unknown)]])),ISNUMBER(Table1[[#This Row],[Birthweight (grams)]]),ISNUMBER(Table1[[#This Row],[Gestation (days)]])),TRUE,FALSE)</f>
        <v>0</v>
      </c>
      <c r="E422" s="2" t="str">
        <f>IF(Table1[[#This Row],[Is Data Valid]]=TRUE,IF(Table1[[#This Row],[Fetal Sex (Male, Female or Unknown)]]="Male",Backend!$C$6,IF(Table1[[#This Row],[Fetal Sex (Male, Female or Unknown)]]="Female",Backend!$C$7,IF(Table1[[#This Row],[Fetal Sex (Male, Female or Unknown)]]="Unknown",Backend!$C$8,"Error"))),"")</f>
        <v/>
      </c>
      <c r="F422" s="8" t="str">
        <f>IF(Table1[[#This Row],[Is Data Valid]]=TRUE,EXP(0.578+0.332*((Table1[[#This Row],[Gestation (days)]]+0.5)/7)-0.00354*((Table1[[#This Row],[Gestation (days)]]+0.5)/7)^2)*Table1[[#This Row],[BW40_3705]],"")</f>
        <v/>
      </c>
      <c r="G422" s="2" t="str">
        <f>IF(Table1[[#This Row],[Is Data Valid]]=TRUE,((Table1[[#This Row],[Birthweight (grams)]]/Table1[[#This Row],[BW_GA]])-1)/(Backend!$B$4/100*Table1[[#This Row],[BW40_3705]]),"")</f>
        <v/>
      </c>
      <c r="H422" s="7" t="str">
        <f>IF(Table1[[#This Row],[Is Data Valid]]=TRUE,((Table1[[#This Row],[Birthweight (grams)]]*0.9/Table1[[#This Row],[BW_GA]])-1)/(Backend!$B$4/100*Table1[[#This Row],[BW40_3705]]),"")</f>
        <v/>
      </c>
      <c r="I422" s="7" t="str">
        <f>IF(Table1[[#This Row],[Is Data Valid]]=TRUE,((Table1[[#This Row],[Birthweight (grams)]]*1.1/Table1[[#This Row],[BW_GA]])-1)/(Backend!$B$4/100*Table1[[#This Row],[BW40_3705]]),"")</f>
        <v/>
      </c>
      <c r="J422" s="7" t="str">
        <f>IF(Table1[[#This Row],[Is Data Valid]]=TRUE,_xlfn.NORM.S.DIST(Table1[[#This Row],[Birthweight Z-Score]],TRUE)*100,"")</f>
        <v/>
      </c>
      <c r="K422" s="7" t="str">
        <f>IF(Table1[[#This Row],[Is Data Valid]]=TRUE,_xlfn.NORM.S.DIST(Table1[[#This Row],[Birthweight Z-Score (BW-10%)]],TRUE)*100,"")</f>
        <v/>
      </c>
      <c r="L422" s="7" t="str">
        <f>IF(Table1[[#This Row],[Is Data Valid]]=TRUE,_xlfn.NORM.S.DIST(Table1[[#This Row],[Birthweight Z-Score (BW+10%)]],TRUE)*100,"")</f>
        <v/>
      </c>
    </row>
    <row r="423" spans="1:12" x14ac:dyDescent="0.35">
      <c r="A423" s="3"/>
      <c r="B423" s="2"/>
      <c r="C423" s="2"/>
      <c r="D423" s="2" t="b">
        <f>IF(AND(NOT(ISBLANK(Table1[[#This Row],[Fetal Sex (Male, Female or Unknown)]])),ISNUMBER(Table1[[#This Row],[Birthweight (grams)]]),ISNUMBER(Table1[[#This Row],[Gestation (days)]])),TRUE,FALSE)</f>
        <v>0</v>
      </c>
      <c r="E423" s="2" t="str">
        <f>IF(Table1[[#This Row],[Is Data Valid]]=TRUE,IF(Table1[[#This Row],[Fetal Sex (Male, Female or Unknown)]]="Male",Backend!$C$6,IF(Table1[[#This Row],[Fetal Sex (Male, Female or Unknown)]]="Female",Backend!$C$7,IF(Table1[[#This Row],[Fetal Sex (Male, Female or Unknown)]]="Unknown",Backend!$C$8,"Error"))),"")</f>
        <v/>
      </c>
      <c r="F423" s="8" t="str">
        <f>IF(Table1[[#This Row],[Is Data Valid]]=TRUE,EXP(0.578+0.332*((Table1[[#This Row],[Gestation (days)]]+0.5)/7)-0.00354*((Table1[[#This Row],[Gestation (days)]]+0.5)/7)^2)*Table1[[#This Row],[BW40_3705]],"")</f>
        <v/>
      </c>
      <c r="G423" s="2" t="str">
        <f>IF(Table1[[#This Row],[Is Data Valid]]=TRUE,((Table1[[#This Row],[Birthweight (grams)]]/Table1[[#This Row],[BW_GA]])-1)/(Backend!$B$4/100*Table1[[#This Row],[BW40_3705]]),"")</f>
        <v/>
      </c>
      <c r="H423" s="7" t="str">
        <f>IF(Table1[[#This Row],[Is Data Valid]]=TRUE,((Table1[[#This Row],[Birthweight (grams)]]*0.9/Table1[[#This Row],[BW_GA]])-1)/(Backend!$B$4/100*Table1[[#This Row],[BW40_3705]]),"")</f>
        <v/>
      </c>
      <c r="I423" s="7" t="str">
        <f>IF(Table1[[#This Row],[Is Data Valid]]=TRUE,((Table1[[#This Row],[Birthweight (grams)]]*1.1/Table1[[#This Row],[BW_GA]])-1)/(Backend!$B$4/100*Table1[[#This Row],[BW40_3705]]),"")</f>
        <v/>
      </c>
      <c r="J423" s="7" t="str">
        <f>IF(Table1[[#This Row],[Is Data Valid]]=TRUE,_xlfn.NORM.S.DIST(Table1[[#This Row],[Birthweight Z-Score]],TRUE)*100,"")</f>
        <v/>
      </c>
      <c r="K423" s="7" t="str">
        <f>IF(Table1[[#This Row],[Is Data Valid]]=TRUE,_xlfn.NORM.S.DIST(Table1[[#This Row],[Birthweight Z-Score (BW-10%)]],TRUE)*100,"")</f>
        <v/>
      </c>
      <c r="L423" s="7" t="str">
        <f>IF(Table1[[#This Row],[Is Data Valid]]=TRUE,_xlfn.NORM.S.DIST(Table1[[#This Row],[Birthweight Z-Score (BW+10%)]],TRUE)*100,"")</f>
        <v/>
      </c>
    </row>
    <row r="424" spans="1:12" x14ac:dyDescent="0.35">
      <c r="A424" s="3"/>
      <c r="B424" s="2"/>
      <c r="C424" s="2"/>
      <c r="D424" s="2" t="b">
        <f>IF(AND(NOT(ISBLANK(Table1[[#This Row],[Fetal Sex (Male, Female or Unknown)]])),ISNUMBER(Table1[[#This Row],[Birthweight (grams)]]),ISNUMBER(Table1[[#This Row],[Gestation (days)]])),TRUE,FALSE)</f>
        <v>0</v>
      </c>
      <c r="E424" s="2" t="str">
        <f>IF(Table1[[#This Row],[Is Data Valid]]=TRUE,IF(Table1[[#This Row],[Fetal Sex (Male, Female or Unknown)]]="Male",Backend!$C$6,IF(Table1[[#This Row],[Fetal Sex (Male, Female or Unknown)]]="Female",Backend!$C$7,IF(Table1[[#This Row],[Fetal Sex (Male, Female or Unknown)]]="Unknown",Backend!$C$8,"Error"))),"")</f>
        <v/>
      </c>
      <c r="F424" s="8" t="str">
        <f>IF(Table1[[#This Row],[Is Data Valid]]=TRUE,EXP(0.578+0.332*((Table1[[#This Row],[Gestation (days)]]+0.5)/7)-0.00354*((Table1[[#This Row],[Gestation (days)]]+0.5)/7)^2)*Table1[[#This Row],[BW40_3705]],"")</f>
        <v/>
      </c>
      <c r="G424" s="2" t="str">
        <f>IF(Table1[[#This Row],[Is Data Valid]]=TRUE,((Table1[[#This Row],[Birthweight (grams)]]/Table1[[#This Row],[BW_GA]])-1)/(Backend!$B$4/100*Table1[[#This Row],[BW40_3705]]),"")</f>
        <v/>
      </c>
      <c r="H424" s="7" t="str">
        <f>IF(Table1[[#This Row],[Is Data Valid]]=TRUE,((Table1[[#This Row],[Birthweight (grams)]]*0.9/Table1[[#This Row],[BW_GA]])-1)/(Backend!$B$4/100*Table1[[#This Row],[BW40_3705]]),"")</f>
        <v/>
      </c>
      <c r="I424" s="7" t="str">
        <f>IF(Table1[[#This Row],[Is Data Valid]]=TRUE,((Table1[[#This Row],[Birthweight (grams)]]*1.1/Table1[[#This Row],[BW_GA]])-1)/(Backend!$B$4/100*Table1[[#This Row],[BW40_3705]]),"")</f>
        <v/>
      </c>
      <c r="J424" s="7" t="str">
        <f>IF(Table1[[#This Row],[Is Data Valid]]=TRUE,_xlfn.NORM.S.DIST(Table1[[#This Row],[Birthweight Z-Score]],TRUE)*100,"")</f>
        <v/>
      </c>
      <c r="K424" s="7" t="str">
        <f>IF(Table1[[#This Row],[Is Data Valid]]=TRUE,_xlfn.NORM.S.DIST(Table1[[#This Row],[Birthweight Z-Score (BW-10%)]],TRUE)*100,"")</f>
        <v/>
      </c>
      <c r="L424" s="7" t="str">
        <f>IF(Table1[[#This Row],[Is Data Valid]]=TRUE,_xlfn.NORM.S.DIST(Table1[[#This Row],[Birthweight Z-Score (BW+10%)]],TRUE)*100,"")</f>
        <v/>
      </c>
    </row>
    <row r="425" spans="1:12" x14ac:dyDescent="0.35">
      <c r="A425" s="3"/>
      <c r="B425" s="2"/>
      <c r="C425" s="2"/>
      <c r="D425" s="2" t="b">
        <f>IF(AND(NOT(ISBLANK(Table1[[#This Row],[Fetal Sex (Male, Female or Unknown)]])),ISNUMBER(Table1[[#This Row],[Birthweight (grams)]]),ISNUMBER(Table1[[#This Row],[Gestation (days)]])),TRUE,FALSE)</f>
        <v>0</v>
      </c>
      <c r="E425" s="2" t="str">
        <f>IF(Table1[[#This Row],[Is Data Valid]]=TRUE,IF(Table1[[#This Row],[Fetal Sex (Male, Female or Unknown)]]="Male",Backend!$C$6,IF(Table1[[#This Row],[Fetal Sex (Male, Female or Unknown)]]="Female",Backend!$C$7,IF(Table1[[#This Row],[Fetal Sex (Male, Female or Unknown)]]="Unknown",Backend!$C$8,"Error"))),"")</f>
        <v/>
      </c>
      <c r="F425" s="8" t="str">
        <f>IF(Table1[[#This Row],[Is Data Valid]]=TRUE,EXP(0.578+0.332*((Table1[[#This Row],[Gestation (days)]]+0.5)/7)-0.00354*((Table1[[#This Row],[Gestation (days)]]+0.5)/7)^2)*Table1[[#This Row],[BW40_3705]],"")</f>
        <v/>
      </c>
      <c r="G425" s="2" t="str">
        <f>IF(Table1[[#This Row],[Is Data Valid]]=TRUE,((Table1[[#This Row],[Birthweight (grams)]]/Table1[[#This Row],[BW_GA]])-1)/(Backend!$B$4/100*Table1[[#This Row],[BW40_3705]]),"")</f>
        <v/>
      </c>
      <c r="H425" s="7" t="str">
        <f>IF(Table1[[#This Row],[Is Data Valid]]=TRUE,((Table1[[#This Row],[Birthweight (grams)]]*0.9/Table1[[#This Row],[BW_GA]])-1)/(Backend!$B$4/100*Table1[[#This Row],[BW40_3705]]),"")</f>
        <v/>
      </c>
      <c r="I425" s="7" t="str">
        <f>IF(Table1[[#This Row],[Is Data Valid]]=TRUE,((Table1[[#This Row],[Birthweight (grams)]]*1.1/Table1[[#This Row],[BW_GA]])-1)/(Backend!$B$4/100*Table1[[#This Row],[BW40_3705]]),"")</f>
        <v/>
      </c>
      <c r="J425" s="7" t="str">
        <f>IF(Table1[[#This Row],[Is Data Valid]]=TRUE,_xlfn.NORM.S.DIST(Table1[[#This Row],[Birthweight Z-Score]],TRUE)*100,"")</f>
        <v/>
      </c>
      <c r="K425" s="7" t="str">
        <f>IF(Table1[[#This Row],[Is Data Valid]]=TRUE,_xlfn.NORM.S.DIST(Table1[[#This Row],[Birthweight Z-Score (BW-10%)]],TRUE)*100,"")</f>
        <v/>
      </c>
      <c r="L425" s="7" t="str">
        <f>IF(Table1[[#This Row],[Is Data Valid]]=TRUE,_xlfn.NORM.S.DIST(Table1[[#This Row],[Birthweight Z-Score (BW+10%)]],TRUE)*100,"")</f>
        <v/>
      </c>
    </row>
    <row r="426" spans="1:12" x14ac:dyDescent="0.35">
      <c r="A426" s="3"/>
      <c r="B426" s="2"/>
      <c r="C426" s="2"/>
      <c r="D426" s="2" t="b">
        <f>IF(AND(NOT(ISBLANK(Table1[[#This Row],[Fetal Sex (Male, Female or Unknown)]])),ISNUMBER(Table1[[#This Row],[Birthweight (grams)]]),ISNUMBER(Table1[[#This Row],[Gestation (days)]])),TRUE,FALSE)</f>
        <v>0</v>
      </c>
      <c r="E426" s="2" t="str">
        <f>IF(Table1[[#This Row],[Is Data Valid]]=TRUE,IF(Table1[[#This Row],[Fetal Sex (Male, Female or Unknown)]]="Male",Backend!$C$6,IF(Table1[[#This Row],[Fetal Sex (Male, Female or Unknown)]]="Female",Backend!$C$7,IF(Table1[[#This Row],[Fetal Sex (Male, Female or Unknown)]]="Unknown",Backend!$C$8,"Error"))),"")</f>
        <v/>
      </c>
      <c r="F426" s="8" t="str">
        <f>IF(Table1[[#This Row],[Is Data Valid]]=TRUE,EXP(0.578+0.332*((Table1[[#This Row],[Gestation (days)]]+0.5)/7)-0.00354*((Table1[[#This Row],[Gestation (days)]]+0.5)/7)^2)*Table1[[#This Row],[BW40_3705]],"")</f>
        <v/>
      </c>
      <c r="G426" s="2" t="str">
        <f>IF(Table1[[#This Row],[Is Data Valid]]=TRUE,((Table1[[#This Row],[Birthweight (grams)]]/Table1[[#This Row],[BW_GA]])-1)/(Backend!$B$4/100*Table1[[#This Row],[BW40_3705]]),"")</f>
        <v/>
      </c>
      <c r="H426" s="7" t="str">
        <f>IF(Table1[[#This Row],[Is Data Valid]]=TRUE,((Table1[[#This Row],[Birthweight (grams)]]*0.9/Table1[[#This Row],[BW_GA]])-1)/(Backend!$B$4/100*Table1[[#This Row],[BW40_3705]]),"")</f>
        <v/>
      </c>
      <c r="I426" s="7" t="str">
        <f>IF(Table1[[#This Row],[Is Data Valid]]=TRUE,((Table1[[#This Row],[Birthweight (grams)]]*1.1/Table1[[#This Row],[BW_GA]])-1)/(Backend!$B$4/100*Table1[[#This Row],[BW40_3705]]),"")</f>
        <v/>
      </c>
      <c r="J426" s="7" t="str">
        <f>IF(Table1[[#This Row],[Is Data Valid]]=TRUE,_xlfn.NORM.S.DIST(Table1[[#This Row],[Birthweight Z-Score]],TRUE)*100,"")</f>
        <v/>
      </c>
      <c r="K426" s="7" t="str">
        <f>IF(Table1[[#This Row],[Is Data Valid]]=TRUE,_xlfn.NORM.S.DIST(Table1[[#This Row],[Birthweight Z-Score (BW-10%)]],TRUE)*100,"")</f>
        <v/>
      </c>
      <c r="L426" s="7" t="str">
        <f>IF(Table1[[#This Row],[Is Data Valid]]=TRUE,_xlfn.NORM.S.DIST(Table1[[#This Row],[Birthweight Z-Score (BW+10%)]],TRUE)*100,"")</f>
        <v/>
      </c>
    </row>
    <row r="427" spans="1:12" x14ac:dyDescent="0.35">
      <c r="A427" s="3"/>
      <c r="B427" s="2"/>
      <c r="C427" s="2"/>
      <c r="D427" s="2" t="b">
        <f>IF(AND(NOT(ISBLANK(Table1[[#This Row],[Fetal Sex (Male, Female or Unknown)]])),ISNUMBER(Table1[[#This Row],[Birthweight (grams)]]),ISNUMBER(Table1[[#This Row],[Gestation (days)]])),TRUE,FALSE)</f>
        <v>0</v>
      </c>
      <c r="E427" s="2" t="str">
        <f>IF(Table1[[#This Row],[Is Data Valid]]=TRUE,IF(Table1[[#This Row],[Fetal Sex (Male, Female or Unknown)]]="Male",Backend!$C$6,IF(Table1[[#This Row],[Fetal Sex (Male, Female or Unknown)]]="Female",Backend!$C$7,IF(Table1[[#This Row],[Fetal Sex (Male, Female or Unknown)]]="Unknown",Backend!$C$8,"Error"))),"")</f>
        <v/>
      </c>
      <c r="F427" s="8" t="str">
        <f>IF(Table1[[#This Row],[Is Data Valid]]=TRUE,EXP(0.578+0.332*((Table1[[#This Row],[Gestation (days)]]+0.5)/7)-0.00354*((Table1[[#This Row],[Gestation (days)]]+0.5)/7)^2)*Table1[[#This Row],[BW40_3705]],"")</f>
        <v/>
      </c>
      <c r="G427" s="2" t="str">
        <f>IF(Table1[[#This Row],[Is Data Valid]]=TRUE,((Table1[[#This Row],[Birthweight (grams)]]/Table1[[#This Row],[BW_GA]])-1)/(Backend!$B$4/100*Table1[[#This Row],[BW40_3705]]),"")</f>
        <v/>
      </c>
      <c r="H427" s="7" t="str">
        <f>IF(Table1[[#This Row],[Is Data Valid]]=TRUE,((Table1[[#This Row],[Birthweight (grams)]]*0.9/Table1[[#This Row],[BW_GA]])-1)/(Backend!$B$4/100*Table1[[#This Row],[BW40_3705]]),"")</f>
        <v/>
      </c>
      <c r="I427" s="7" t="str">
        <f>IF(Table1[[#This Row],[Is Data Valid]]=TRUE,((Table1[[#This Row],[Birthweight (grams)]]*1.1/Table1[[#This Row],[BW_GA]])-1)/(Backend!$B$4/100*Table1[[#This Row],[BW40_3705]]),"")</f>
        <v/>
      </c>
      <c r="J427" s="7" t="str">
        <f>IF(Table1[[#This Row],[Is Data Valid]]=TRUE,_xlfn.NORM.S.DIST(Table1[[#This Row],[Birthweight Z-Score]],TRUE)*100,"")</f>
        <v/>
      </c>
      <c r="K427" s="7" t="str">
        <f>IF(Table1[[#This Row],[Is Data Valid]]=TRUE,_xlfn.NORM.S.DIST(Table1[[#This Row],[Birthweight Z-Score (BW-10%)]],TRUE)*100,"")</f>
        <v/>
      </c>
      <c r="L427" s="7" t="str">
        <f>IF(Table1[[#This Row],[Is Data Valid]]=TRUE,_xlfn.NORM.S.DIST(Table1[[#This Row],[Birthweight Z-Score (BW+10%)]],TRUE)*100,"")</f>
        <v/>
      </c>
    </row>
    <row r="428" spans="1:12" x14ac:dyDescent="0.35">
      <c r="A428" s="3"/>
      <c r="B428" s="2"/>
      <c r="C428" s="2"/>
      <c r="D428" s="2" t="b">
        <f>IF(AND(NOT(ISBLANK(Table1[[#This Row],[Fetal Sex (Male, Female or Unknown)]])),ISNUMBER(Table1[[#This Row],[Birthweight (grams)]]),ISNUMBER(Table1[[#This Row],[Gestation (days)]])),TRUE,FALSE)</f>
        <v>0</v>
      </c>
      <c r="E428" s="2" t="str">
        <f>IF(Table1[[#This Row],[Is Data Valid]]=TRUE,IF(Table1[[#This Row],[Fetal Sex (Male, Female or Unknown)]]="Male",Backend!$C$6,IF(Table1[[#This Row],[Fetal Sex (Male, Female or Unknown)]]="Female",Backend!$C$7,IF(Table1[[#This Row],[Fetal Sex (Male, Female or Unknown)]]="Unknown",Backend!$C$8,"Error"))),"")</f>
        <v/>
      </c>
      <c r="F428" s="8" t="str">
        <f>IF(Table1[[#This Row],[Is Data Valid]]=TRUE,EXP(0.578+0.332*((Table1[[#This Row],[Gestation (days)]]+0.5)/7)-0.00354*((Table1[[#This Row],[Gestation (days)]]+0.5)/7)^2)*Table1[[#This Row],[BW40_3705]],"")</f>
        <v/>
      </c>
      <c r="G428" s="2" t="str">
        <f>IF(Table1[[#This Row],[Is Data Valid]]=TRUE,((Table1[[#This Row],[Birthweight (grams)]]/Table1[[#This Row],[BW_GA]])-1)/(Backend!$B$4/100*Table1[[#This Row],[BW40_3705]]),"")</f>
        <v/>
      </c>
      <c r="H428" s="7" t="str">
        <f>IF(Table1[[#This Row],[Is Data Valid]]=TRUE,((Table1[[#This Row],[Birthweight (grams)]]*0.9/Table1[[#This Row],[BW_GA]])-1)/(Backend!$B$4/100*Table1[[#This Row],[BW40_3705]]),"")</f>
        <v/>
      </c>
      <c r="I428" s="7" t="str">
        <f>IF(Table1[[#This Row],[Is Data Valid]]=TRUE,((Table1[[#This Row],[Birthweight (grams)]]*1.1/Table1[[#This Row],[BW_GA]])-1)/(Backend!$B$4/100*Table1[[#This Row],[BW40_3705]]),"")</f>
        <v/>
      </c>
      <c r="J428" s="7" t="str">
        <f>IF(Table1[[#This Row],[Is Data Valid]]=TRUE,_xlfn.NORM.S.DIST(Table1[[#This Row],[Birthweight Z-Score]],TRUE)*100,"")</f>
        <v/>
      </c>
      <c r="K428" s="7" t="str">
        <f>IF(Table1[[#This Row],[Is Data Valid]]=TRUE,_xlfn.NORM.S.DIST(Table1[[#This Row],[Birthweight Z-Score (BW-10%)]],TRUE)*100,"")</f>
        <v/>
      </c>
      <c r="L428" s="7" t="str">
        <f>IF(Table1[[#This Row],[Is Data Valid]]=TRUE,_xlfn.NORM.S.DIST(Table1[[#This Row],[Birthweight Z-Score (BW+10%)]],TRUE)*100,"")</f>
        <v/>
      </c>
    </row>
    <row r="429" spans="1:12" x14ac:dyDescent="0.35">
      <c r="A429" s="3"/>
      <c r="B429" s="2"/>
      <c r="C429" s="2"/>
      <c r="D429" s="2" t="b">
        <f>IF(AND(NOT(ISBLANK(Table1[[#This Row],[Fetal Sex (Male, Female or Unknown)]])),ISNUMBER(Table1[[#This Row],[Birthweight (grams)]]),ISNUMBER(Table1[[#This Row],[Gestation (days)]])),TRUE,FALSE)</f>
        <v>0</v>
      </c>
      <c r="E429" s="2" t="str">
        <f>IF(Table1[[#This Row],[Is Data Valid]]=TRUE,IF(Table1[[#This Row],[Fetal Sex (Male, Female or Unknown)]]="Male",Backend!$C$6,IF(Table1[[#This Row],[Fetal Sex (Male, Female or Unknown)]]="Female",Backend!$C$7,IF(Table1[[#This Row],[Fetal Sex (Male, Female or Unknown)]]="Unknown",Backend!$C$8,"Error"))),"")</f>
        <v/>
      </c>
      <c r="F429" s="8" t="str">
        <f>IF(Table1[[#This Row],[Is Data Valid]]=TRUE,EXP(0.578+0.332*((Table1[[#This Row],[Gestation (days)]]+0.5)/7)-0.00354*((Table1[[#This Row],[Gestation (days)]]+0.5)/7)^2)*Table1[[#This Row],[BW40_3705]],"")</f>
        <v/>
      </c>
      <c r="G429" s="2" t="str">
        <f>IF(Table1[[#This Row],[Is Data Valid]]=TRUE,((Table1[[#This Row],[Birthweight (grams)]]/Table1[[#This Row],[BW_GA]])-1)/(Backend!$B$4/100*Table1[[#This Row],[BW40_3705]]),"")</f>
        <v/>
      </c>
      <c r="H429" s="7" t="str">
        <f>IF(Table1[[#This Row],[Is Data Valid]]=TRUE,((Table1[[#This Row],[Birthweight (grams)]]*0.9/Table1[[#This Row],[BW_GA]])-1)/(Backend!$B$4/100*Table1[[#This Row],[BW40_3705]]),"")</f>
        <v/>
      </c>
      <c r="I429" s="7" t="str">
        <f>IF(Table1[[#This Row],[Is Data Valid]]=TRUE,((Table1[[#This Row],[Birthweight (grams)]]*1.1/Table1[[#This Row],[BW_GA]])-1)/(Backend!$B$4/100*Table1[[#This Row],[BW40_3705]]),"")</f>
        <v/>
      </c>
      <c r="J429" s="7" t="str">
        <f>IF(Table1[[#This Row],[Is Data Valid]]=TRUE,_xlfn.NORM.S.DIST(Table1[[#This Row],[Birthweight Z-Score]],TRUE)*100,"")</f>
        <v/>
      </c>
      <c r="K429" s="7" t="str">
        <f>IF(Table1[[#This Row],[Is Data Valid]]=TRUE,_xlfn.NORM.S.DIST(Table1[[#This Row],[Birthweight Z-Score (BW-10%)]],TRUE)*100,"")</f>
        <v/>
      </c>
      <c r="L429" s="7" t="str">
        <f>IF(Table1[[#This Row],[Is Data Valid]]=TRUE,_xlfn.NORM.S.DIST(Table1[[#This Row],[Birthweight Z-Score (BW+10%)]],TRUE)*100,"")</f>
        <v/>
      </c>
    </row>
    <row r="430" spans="1:12" x14ac:dyDescent="0.35">
      <c r="A430" s="3"/>
      <c r="B430" s="2"/>
      <c r="C430" s="2"/>
      <c r="D430" s="2" t="b">
        <f>IF(AND(NOT(ISBLANK(Table1[[#This Row],[Fetal Sex (Male, Female or Unknown)]])),ISNUMBER(Table1[[#This Row],[Birthweight (grams)]]),ISNUMBER(Table1[[#This Row],[Gestation (days)]])),TRUE,FALSE)</f>
        <v>0</v>
      </c>
      <c r="E430" s="2" t="str">
        <f>IF(Table1[[#This Row],[Is Data Valid]]=TRUE,IF(Table1[[#This Row],[Fetal Sex (Male, Female or Unknown)]]="Male",Backend!$C$6,IF(Table1[[#This Row],[Fetal Sex (Male, Female or Unknown)]]="Female",Backend!$C$7,IF(Table1[[#This Row],[Fetal Sex (Male, Female or Unknown)]]="Unknown",Backend!$C$8,"Error"))),"")</f>
        <v/>
      </c>
      <c r="F430" s="8" t="str">
        <f>IF(Table1[[#This Row],[Is Data Valid]]=TRUE,EXP(0.578+0.332*((Table1[[#This Row],[Gestation (days)]]+0.5)/7)-0.00354*((Table1[[#This Row],[Gestation (days)]]+0.5)/7)^2)*Table1[[#This Row],[BW40_3705]],"")</f>
        <v/>
      </c>
      <c r="G430" s="2" t="str">
        <f>IF(Table1[[#This Row],[Is Data Valid]]=TRUE,((Table1[[#This Row],[Birthweight (grams)]]/Table1[[#This Row],[BW_GA]])-1)/(Backend!$B$4/100*Table1[[#This Row],[BW40_3705]]),"")</f>
        <v/>
      </c>
      <c r="H430" s="7" t="str">
        <f>IF(Table1[[#This Row],[Is Data Valid]]=TRUE,((Table1[[#This Row],[Birthweight (grams)]]*0.9/Table1[[#This Row],[BW_GA]])-1)/(Backend!$B$4/100*Table1[[#This Row],[BW40_3705]]),"")</f>
        <v/>
      </c>
      <c r="I430" s="7" t="str">
        <f>IF(Table1[[#This Row],[Is Data Valid]]=TRUE,((Table1[[#This Row],[Birthweight (grams)]]*1.1/Table1[[#This Row],[BW_GA]])-1)/(Backend!$B$4/100*Table1[[#This Row],[BW40_3705]]),"")</f>
        <v/>
      </c>
      <c r="J430" s="7" t="str">
        <f>IF(Table1[[#This Row],[Is Data Valid]]=TRUE,_xlfn.NORM.S.DIST(Table1[[#This Row],[Birthweight Z-Score]],TRUE)*100,"")</f>
        <v/>
      </c>
      <c r="K430" s="7" t="str">
        <f>IF(Table1[[#This Row],[Is Data Valid]]=TRUE,_xlfn.NORM.S.DIST(Table1[[#This Row],[Birthweight Z-Score (BW-10%)]],TRUE)*100,"")</f>
        <v/>
      </c>
      <c r="L430" s="7" t="str">
        <f>IF(Table1[[#This Row],[Is Data Valid]]=TRUE,_xlfn.NORM.S.DIST(Table1[[#This Row],[Birthweight Z-Score (BW+10%)]],TRUE)*100,"")</f>
        <v/>
      </c>
    </row>
    <row r="431" spans="1:12" x14ac:dyDescent="0.35">
      <c r="A431" s="3"/>
      <c r="B431" s="2"/>
      <c r="C431" s="2"/>
      <c r="D431" s="2" t="b">
        <f>IF(AND(NOT(ISBLANK(Table1[[#This Row],[Fetal Sex (Male, Female or Unknown)]])),ISNUMBER(Table1[[#This Row],[Birthweight (grams)]]),ISNUMBER(Table1[[#This Row],[Gestation (days)]])),TRUE,FALSE)</f>
        <v>0</v>
      </c>
      <c r="E431" s="2" t="str">
        <f>IF(Table1[[#This Row],[Is Data Valid]]=TRUE,IF(Table1[[#This Row],[Fetal Sex (Male, Female or Unknown)]]="Male",Backend!$C$6,IF(Table1[[#This Row],[Fetal Sex (Male, Female or Unknown)]]="Female",Backend!$C$7,IF(Table1[[#This Row],[Fetal Sex (Male, Female or Unknown)]]="Unknown",Backend!$C$8,"Error"))),"")</f>
        <v/>
      </c>
      <c r="F431" s="8" t="str">
        <f>IF(Table1[[#This Row],[Is Data Valid]]=TRUE,EXP(0.578+0.332*((Table1[[#This Row],[Gestation (days)]]+0.5)/7)-0.00354*((Table1[[#This Row],[Gestation (days)]]+0.5)/7)^2)*Table1[[#This Row],[BW40_3705]],"")</f>
        <v/>
      </c>
      <c r="G431" s="2" t="str">
        <f>IF(Table1[[#This Row],[Is Data Valid]]=TRUE,((Table1[[#This Row],[Birthweight (grams)]]/Table1[[#This Row],[BW_GA]])-1)/(Backend!$B$4/100*Table1[[#This Row],[BW40_3705]]),"")</f>
        <v/>
      </c>
      <c r="H431" s="7" t="str">
        <f>IF(Table1[[#This Row],[Is Data Valid]]=TRUE,((Table1[[#This Row],[Birthweight (grams)]]*0.9/Table1[[#This Row],[BW_GA]])-1)/(Backend!$B$4/100*Table1[[#This Row],[BW40_3705]]),"")</f>
        <v/>
      </c>
      <c r="I431" s="7" t="str">
        <f>IF(Table1[[#This Row],[Is Data Valid]]=TRUE,((Table1[[#This Row],[Birthweight (grams)]]*1.1/Table1[[#This Row],[BW_GA]])-1)/(Backend!$B$4/100*Table1[[#This Row],[BW40_3705]]),"")</f>
        <v/>
      </c>
      <c r="J431" s="7" t="str">
        <f>IF(Table1[[#This Row],[Is Data Valid]]=TRUE,_xlfn.NORM.S.DIST(Table1[[#This Row],[Birthweight Z-Score]],TRUE)*100,"")</f>
        <v/>
      </c>
      <c r="K431" s="7" t="str">
        <f>IF(Table1[[#This Row],[Is Data Valid]]=TRUE,_xlfn.NORM.S.DIST(Table1[[#This Row],[Birthweight Z-Score (BW-10%)]],TRUE)*100,"")</f>
        <v/>
      </c>
      <c r="L431" s="7" t="str">
        <f>IF(Table1[[#This Row],[Is Data Valid]]=TRUE,_xlfn.NORM.S.DIST(Table1[[#This Row],[Birthweight Z-Score (BW+10%)]],TRUE)*100,"")</f>
        <v/>
      </c>
    </row>
    <row r="432" spans="1:12" x14ac:dyDescent="0.35">
      <c r="A432" s="3"/>
      <c r="B432" s="2"/>
      <c r="C432" s="2"/>
      <c r="D432" s="2" t="b">
        <f>IF(AND(NOT(ISBLANK(Table1[[#This Row],[Fetal Sex (Male, Female or Unknown)]])),ISNUMBER(Table1[[#This Row],[Birthweight (grams)]]),ISNUMBER(Table1[[#This Row],[Gestation (days)]])),TRUE,FALSE)</f>
        <v>0</v>
      </c>
      <c r="E432" s="2" t="str">
        <f>IF(Table1[[#This Row],[Is Data Valid]]=TRUE,IF(Table1[[#This Row],[Fetal Sex (Male, Female or Unknown)]]="Male",Backend!$C$6,IF(Table1[[#This Row],[Fetal Sex (Male, Female or Unknown)]]="Female",Backend!$C$7,IF(Table1[[#This Row],[Fetal Sex (Male, Female or Unknown)]]="Unknown",Backend!$C$8,"Error"))),"")</f>
        <v/>
      </c>
      <c r="F432" s="8" t="str">
        <f>IF(Table1[[#This Row],[Is Data Valid]]=TRUE,EXP(0.578+0.332*((Table1[[#This Row],[Gestation (days)]]+0.5)/7)-0.00354*((Table1[[#This Row],[Gestation (days)]]+0.5)/7)^2)*Table1[[#This Row],[BW40_3705]],"")</f>
        <v/>
      </c>
      <c r="G432" s="2" t="str">
        <f>IF(Table1[[#This Row],[Is Data Valid]]=TRUE,((Table1[[#This Row],[Birthweight (grams)]]/Table1[[#This Row],[BW_GA]])-1)/(Backend!$B$4/100*Table1[[#This Row],[BW40_3705]]),"")</f>
        <v/>
      </c>
      <c r="H432" s="7" t="str">
        <f>IF(Table1[[#This Row],[Is Data Valid]]=TRUE,((Table1[[#This Row],[Birthweight (grams)]]*0.9/Table1[[#This Row],[BW_GA]])-1)/(Backend!$B$4/100*Table1[[#This Row],[BW40_3705]]),"")</f>
        <v/>
      </c>
      <c r="I432" s="7" t="str">
        <f>IF(Table1[[#This Row],[Is Data Valid]]=TRUE,((Table1[[#This Row],[Birthweight (grams)]]*1.1/Table1[[#This Row],[BW_GA]])-1)/(Backend!$B$4/100*Table1[[#This Row],[BW40_3705]]),"")</f>
        <v/>
      </c>
      <c r="J432" s="7" t="str">
        <f>IF(Table1[[#This Row],[Is Data Valid]]=TRUE,_xlfn.NORM.S.DIST(Table1[[#This Row],[Birthweight Z-Score]],TRUE)*100,"")</f>
        <v/>
      </c>
      <c r="K432" s="7" t="str">
        <f>IF(Table1[[#This Row],[Is Data Valid]]=TRUE,_xlfn.NORM.S.DIST(Table1[[#This Row],[Birthweight Z-Score (BW-10%)]],TRUE)*100,"")</f>
        <v/>
      </c>
      <c r="L432" s="7" t="str">
        <f>IF(Table1[[#This Row],[Is Data Valid]]=TRUE,_xlfn.NORM.S.DIST(Table1[[#This Row],[Birthweight Z-Score (BW+10%)]],TRUE)*100,"")</f>
        <v/>
      </c>
    </row>
    <row r="433" spans="1:12" x14ac:dyDescent="0.35">
      <c r="A433" s="3"/>
      <c r="B433" s="2"/>
      <c r="C433" s="2"/>
      <c r="D433" s="2" t="b">
        <f>IF(AND(NOT(ISBLANK(Table1[[#This Row],[Fetal Sex (Male, Female or Unknown)]])),ISNUMBER(Table1[[#This Row],[Birthweight (grams)]]),ISNUMBER(Table1[[#This Row],[Gestation (days)]])),TRUE,FALSE)</f>
        <v>0</v>
      </c>
      <c r="E433" s="2" t="str">
        <f>IF(Table1[[#This Row],[Is Data Valid]]=TRUE,IF(Table1[[#This Row],[Fetal Sex (Male, Female or Unknown)]]="Male",Backend!$C$6,IF(Table1[[#This Row],[Fetal Sex (Male, Female or Unknown)]]="Female",Backend!$C$7,IF(Table1[[#This Row],[Fetal Sex (Male, Female or Unknown)]]="Unknown",Backend!$C$8,"Error"))),"")</f>
        <v/>
      </c>
      <c r="F433" s="8" t="str">
        <f>IF(Table1[[#This Row],[Is Data Valid]]=TRUE,EXP(0.578+0.332*((Table1[[#This Row],[Gestation (days)]]+0.5)/7)-0.00354*((Table1[[#This Row],[Gestation (days)]]+0.5)/7)^2)*Table1[[#This Row],[BW40_3705]],"")</f>
        <v/>
      </c>
      <c r="G433" s="2" t="str">
        <f>IF(Table1[[#This Row],[Is Data Valid]]=TRUE,((Table1[[#This Row],[Birthweight (grams)]]/Table1[[#This Row],[BW_GA]])-1)/(Backend!$B$4/100*Table1[[#This Row],[BW40_3705]]),"")</f>
        <v/>
      </c>
      <c r="H433" s="7" t="str">
        <f>IF(Table1[[#This Row],[Is Data Valid]]=TRUE,((Table1[[#This Row],[Birthweight (grams)]]*0.9/Table1[[#This Row],[BW_GA]])-1)/(Backend!$B$4/100*Table1[[#This Row],[BW40_3705]]),"")</f>
        <v/>
      </c>
      <c r="I433" s="7" t="str">
        <f>IF(Table1[[#This Row],[Is Data Valid]]=TRUE,((Table1[[#This Row],[Birthweight (grams)]]*1.1/Table1[[#This Row],[BW_GA]])-1)/(Backend!$B$4/100*Table1[[#This Row],[BW40_3705]]),"")</f>
        <v/>
      </c>
      <c r="J433" s="7" t="str">
        <f>IF(Table1[[#This Row],[Is Data Valid]]=TRUE,_xlfn.NORM.S.DIST(Table1[[#This Row],[Birthweight Z-Score]],TRUE)*100,"")</f>
        <v/>
      </c>
      <c r="K433" s="7" t="str">
        <f>IF(Table1[[#This Row],[Is Data Valid]]=TRUE,_xlfn.NORM.S.DIST(Table1[[#This Row],[Birthweight Z-Score (BW-10%)]],TRUE)*100,"")</f>
        <v/>
      </c>
      <c r="L433" s="7" t="str">
        <f>IF(Table1[[#This Row],[Is Data Valid]]=TRUE,_xlfn.NORM.S.DIST(Table1[[#This Row],[Birthweight Z-Score (BW+10%)]],TRUE)*100,"")</f>
        <v/>
      </c>
    </row>
    <row r="434" spans="1:12" x14ac:dyDescent="0.35">
      <c r="A434" s="3"/>
      <c r="B434" s="2"/>
      <c r="C434" s="2"/>
      <c r="D434" s="2" t="b">
        <f>IF(AND(NOT(ISBLANK(Table1[[#This Row],[Fetal Sex (Male, Female or Unknown)]])),ISNUMBER(Table1[[#This Row],[Birthweight (grams)]]),ISNUMBER(Table1[[#This Row],[Gestation (days)]])),TRUE,FALSE)</f>
        <v>0</v>
      </c>
      <c r="E434" s="2" t="str">
        <f>IF(Table1[[#This Row],[Is Data Valid]]=TRUE,IF(Table1[[#This Row],[Fetal Sex (Male, Female or Unknown)]]="Male",Backend!$C$6,IF(Table1[[#This Row],[Fetal Sex (Male, Female or Unknown)]]="Female",Backend!$C$7,IF(Table1[[#This Row],[Fetal Sex (Male, Female or Unknown)]]="Unknown",Backend!$C$8,"Error"))),"")</f>
        <v/>
      </c>
      <c r="F434" s="8" t="str">
        <f>IF(Table1[[#This Row],[Is Data Valid]]=TRUE,EXP(0.578+0.332*((Table1[[#This Row],[Gestation (days)]]+0.5)/7)-0.00354*((Table1[[#This Row],[Gestation (days)]]+0.5)/7)^2)*Table1[[#This Row],[BW40_3705]],"")</f>
        <v/>
      </c>
      <c r="G434" s="2" t="str">
        <f>IF(Table1[[#This Row],[Is Data Valid]]=TRUE,((Table1[[#This Row],[Birthweight (grams)]]/Table1[[#This Row],[BW_GA]])-1)/(Backend!$B$4/100*Table1[[#This Row],[BW40_3705]]),"")</f>
        <v/>
      </c>
      <c r="H434" s="7" t="str">
        <f>IF(Table1[[#This Row],[Is Data Valid]]=TRUE,((Table1[[#This Row],[Birthweight (grams)]]*0.9/Table1[[#This Row],[BW_GA]])-1)/(Backend!$B$4/100*Table1[[#This Row],[BW40_3705]]),"")</f>
        <v/>
      </c>
      <c r="I434" s="7" t="str">
        <f>IF(Table1[[#This Row],[Is Data Valid]]=TRUE,((Table1[[#This Row],[Birthweight (grams)]]*1.1/Table1[[#This Row],[BW_GA]])-1)/(Backend!$B$4/100*Table1[[#This Row],[BW40_3705]]),"")</f>
        <v/>
      </c>
      <c r="J434" s="7" t="str">
        <f>IF(Table1[[#This Row],[Is Data Valid]]=TRUE,_xlfn.NORM.S.DIST(Table1[[#This Row],[Birthweight Z-Score]],TRUE)*100,"")</f>
        <v/>
      </c>
      <c r="K434" s="7" t="str">
        <f>IF(Table1[[#This Row],[Is Data Valid]]=TRUE,_xlfn.NORM.S.DIST(Table1[[#This Row],[Birthweight Z-Score (BW-10%)]],TRUE)*100,"")</f>
        <v/>
      </c>
      <c r="L434" s="7" t="str">
        <f>IF(Table1[[#This Row],[Is Data Valid]]=TRUE,_xlfn.NORM.S.DIST(Table1[[#This Row],[Birthweight Z-Score (BW+10%)]],TRUE)*100,"")</f>
        <v/>
      </c>
    </row>
    <row r="435" spans="1:12" x14ac:dyDescent="0.35">
      <c r="A435" s="3"/>
      <c r="B435" s="2"/>
      <c r="C435" s="2"/>
      <c r="D435" s="2" t="b">
        <f>IF(AND(NOT(ISBLANK(Table1[[#This Row],[Fetal Sex (Male, Female or Unknown)]])),ISNUMBER(Table1[[#This Row],[Birthweight (grams)]]),ISNUMBER(Table1[[#This Row],[Gestation (days)]])),TRUE,FALSE)</f>
        <v>0</v>
      </c>
      <c r="E435" s="2" t="str">
        <f>IF(Table1[[#This Row],[Is Data Valid]]=TRUE,IF(Table1[[#This Row],[Fetal Sex (Male, Female or Unknown)]]="Male",Backend!$C$6,IF(Table1[[#This Row],[Fetal Sex (Male, Female or Unknown)]]="Female",Backend!$C$7,IF(Table1[[#This Row],[Fetal Sex (Male, Female or Unknown)]]="Unknown",Backend!$C$8,"Error"))),"")</f>
        <v/>
      </c>
      <c r="F435" s="8" t="str">
        <f>IF(Table1[[#This Row],[Is Data Valid]]=TRUE,EXP(0.578+0.332*((Table1[[#This Row],[Gestation (days)]]+0.5)/7)-0.00354*((Table1[[#This Row],[Gestation (days)]]+0.5)/7)^2)*Table1[[#This Row],[BW40_3705]],"")</f>
        <v/>
      </c>
      <c r="G435" s="2" t="str">
        <f>IF(Table1[[#This Row],[Is Data Valid]]=TRUE,((Table1[[#This Row],[Birthweight (grams)]]/Table1[[#This Row],[BW_GA]])-1)/(Backend!$B$4/100*Table1[[#This Row],[BW40_3705]]),"")</f>
        <v/>
      </c>
      <c r="H435" s="7" t="str">
        <f>IF(Table1[[#This Row],[Is Data Valid]]=TRUE,((Table1[[#This Row],[Birthweight (grams)]]*0.9/Table1[[#This Row],[BW_GA]])-1)/(Backend!$B$4/100*Table1[[#This Row],[BW40_3705]]),"")</f>
        <v/>
      </c>
      <c r="I435" s="7" t="str">
        <f>IF(Table1[[#This Row],[Is Data Valid]]=TRUE,((Table1[[#This Row],[Birthweight (grams)]]*1.1/Table1[[#This Row],[BW_GA]])-1)/(Backend!$B$4/100*Table1[[#This Row],[BW40_3705]]),"")</f>
        <v/>
      </c>
      <c r="J435" s="7" t="str">
        <f>IF(Table1[[#This Row],[Is Data Valid]]=TRUE,_xlfn.NORM.S.DIST(Table1[[#This Row],[Birthweight Z-Score]],TRUE)*100,"")</f>
        <v/>
      </c>
      <c r="K435" s="7" t="str">
        <f>IF(Table1[[#This Row],[Is Data Valid]]=TRUE,_xlfn.NORM.S.DIST(Table1[[#This Row],[Birthweight Z-Score (BW-10%)]],TRUE)*100,"")</f>
        <v/>
      </c>
      <c r="L435" s="7" t="str">
        <f>IF(Table1[[#This Row],[Is Data Valid]]=TRUE,_xlfn.NORM.S.DIST(Table1[[#This Row],[Birthweight Z-Score (BW+10%)]],TRUE)*100,"")</f>
        <v/>
      </c>
    </row>
    <row r="436" spans="1:12" x14ac:dyDescent="0.35">
      <c r="A436" s="3"/>
      <c r="B436" s="2"/>
      <c r="C436" s="2"/>
      <c r="D436" s="2" t="b">
        <f>IF(AND(NOT(ISBLANK(Table1[[#This Row],[Fetal Sex (Male, Female or Unknown)]])),ISNUMBER(Table1[[#This Row],[Birthweight (grams)]]),ISNUMBER(Table1[[#This Row],[Gestation (days)]])),TRUE,FALSE)</f>
        <v>0</v>
      </c>
      <c r="E436" s="2" t="str">
        <f>IF(Table1[[#This Row],[Is Data Valid]]=TRUE,IF(Table1[[#This Row],[Fetal Sex (Male, Female or Unknown)]]="Male",Backend!$C$6,IF(Table1[[#This Row],[Fetal Sex (Male, Female or Unknown)]]="Female",Backend!$C$7,IF(Table1[[#This Row],[Fetal Sex (Male, Female or Unknown)]]="Unknown",Backend!$C$8,"Error"))),"")</f>
        <v/>
      </c>
      <c r="F436" s="8" t="str">
        <f>IF(Table1[[#This Row],[Is Data Valid]]=TRUE,EXP(0.578+0.332*((Table1[[#This Row],[Gestation (days)]]+0.5)/7)-0.00354*((Table1[[#This Row],[Gestation (days)]]+0.5)/7)^2)*Table1[[#This Row],[BW40_3705]],"")</f>
        <v/>
      </c>
      <c r="G436" s="2" t="str">
        <f>IF(Table1[[#This Row],[Is Data Valid]]=TRUE,((Table1[[#This Row],[Birthweight (grams)]]/Table1[[#This Row],[BW_GA]])-1)/(Backend!$B$4/100*Table1[[#This Row],[BW40_3705]]),"")</f>
        <v/>
      </c>
      <c r="H436" s="7" t="str">
        <f>IF(Table1[[#This Row],[Is Data Valid]]=TRUE,((Table1[[#This Row],[Birthweight (grams)]]*0.9/Table1[[#This Row],[BW_GA]])-1)/(Backend!$B$4/100*Table1[[#This Row],[BW40_3705]]),"")</f>
        <v/>
      </c>
      <c r="I436" s="7" t="str">
        <f>IF(Table1[[#This Row],[Is Data Valid]]=TRUE,((Table1[[#This Row],[Birthweight (grams)]]*1.1/Table1[[#This Row],[BW_GA]])-1)/(Backend!$B$4/100*Table1[[#This Row],[BW40_3705]]),"")</f>
        <v/>
      </c>
      <c r="J436" s="7" t="str">
        <f>IF(Table1[[#This Row],[Is Data Valid]]=TRUE,_xlfn.NORM.S.DIST(Table1[[#This Row],[Birthweight Z-Score]],TRUE)*100,"")</f>
        <v/>
      </c>
      <c r="K436" s="7" t="str">
        <f>IF(Table1[[#This Row],[Is Data Valid]]=TRUE,_xlfn.NORM.S.DIST(Table1[[#This Row],[Birthweight Z-Score (BW-10%)]],TRUE)*100,"")</f>
        <v/>
      </c>
      <c r="L436" s="7" t="str">
        <f>IF(Table1[[#This Row],[Is Data Valid]]=TRUE,_xlfn.NORM.S.DIST(Table1[[#This Row],[Birthweight Z-Score (BW+10%)]],TRUE)*100,"")</f>
        <v/>
      </c>
    </row>
    <row r="437" spans="1:12" x14ac:dyDescent="0.35">
      <c r="A437" s="3"/>
      <c r="B437" s="2"/>
      <c r="C437" s="2"/>
      <c r="D437" s="2" t="b">
        <f>IF(AND(NOT(ISBLANK(Table1[[#This Row],[Fetal Sex (Male, Female or Unknown)]])),ISNUMBER(Table1[[#This Row],[Birthweight (grams)]]),ISNUMBER(Table1[[#This Row],[Gestation (days)]])),TRUE,FALSE)</f>
        <v>0</v>
      </c>
      <c r="E437" s="2" t="str">
        <f>IF(Table1[[#This Row],[Is Data Valid]]=TRUE,IF(Table1[[#This Row],[Fetal Sex (Male, Female or Unknown)]]="Male",Backend!$C$6,IF(Table1[[#This Row],[Fetal Sex (Male, Female or Unknown)]]="Female",Backend!$C$7,IF(Table1[[#This Row],[Fetal Sex (Male, Female or Unknown)]]="Unknown",Backend!$C$8,"Error"))),"")</f>
        <v/>
      </c>
      <c r="F437" s="8" t="str">
        <f>IF(Table1[[#This Row],[Is Data Valid]]=TRUE,EXP(0.578+0.332*((Table1[[#This Row],[Gestation (days)]]+0.5)/7)-0.00354*((Table1[[#This Row],[Gestation (days)]]+0.5)/7)^2)*Table1[[#This Row],[BW40_3705]],"")</f>
        <v/>
      </c>
      <c r="G437" s="2" t="str">
        <f>IF(Table1[[#This Row],[Is Data Valid]]=TRUE,((Table1[[#This Row],[Birthweight (grams)]]/Table1[[#This Row],[BW_GA]])-1)/(Backend!$B$4/100*Table1[[#This Row],[BW40_3705]]),"")</f>
        <v/>
      </c>
      <c r="H437" s="7" t="str">
        <f>IF(Table1[[#This Row],[Is Data Valid]]=TRUE,((Table1[[#This Row],[Birthweight (grams)]]*0.9/Table1[[#This Row],[BW_GA]])-1)/(Backend!$B$4/100*Table1[[#This Row],[BW40_3705]]),"")</f>
        <v/>
      </c>
      <c r="I437" s="7" t="str">
        <f>IF(Table1[[#This Row],[Is Data Valid]]=TRUE,((Table1[[#This Row],[Birthweight (grams)]]*1.1/Table1[[#This Row],[BW_GA]])-1)/(Backend!$B$4/100*Table1[[#This Row],[BW40_3705]]),"")</f>
        <v/>
      </c>
      <c r="J437" s="7" t="str">
        <f>IF(Table1[[#This Row],[Is Data Valid]]=TRUE,_xlfn.NORM.S.DIST(Table1[[#This Row],[Birthweight Z-Score]],TRUE)*100,"")</f>
        <v/>
      </c>
      <c r="K437" s="7" t="str">
        <f>IF(Table1[[#This Row],[Is Data Valid]]=TRUE,_xlfn.NORM.S.DIST(Table1[[#This Row],[Birthweight Z-Score (BW-10%)]],TRUE)*100,"")</f>
        <v/>
      </c>
      <c r="L437" s="7" t="str">
        <f>IF(Table1[[#This Row],[Is Data Valid]]=TRUE,_xlfn.NORM.S.DIST(Table1[[#This Row],[Birthweight Z-Score (BW+10%)]],TRUE)*100,"")</f>
        <v/>
      </c>
    </row>
    <row r="438" spans="1:12" x14ac:dyDescent="0.35">
      <c r="A438" s="3"/>
      <c r="B438" s="2"/>
      <c r="C438" s="2"/>
      <c r="D438" s="2" t="b">
        <f>IF(AND(NOT(ISBLANK(Table1[[#This Row],[Fetal Sex (Male, Female or Unknown)]])),ISNUMBER(Table1[[#This Row],[Birthweight (grams)]]),ISNUMBER(Table1[[#This Row],[Gestation (days)]])),TRUE,FALSE)</f>
        <v>0</v>
      </c>
      <c r="E438" s="2" t="str">
        <f>IF(Table1[[#This Row],[Is Data Valid]]=TRUE,IF(Table1[[#This Row],[Fetal Sex (Male, Female or Unknown)]]="Male",Backend!$C$6,IF(Table1[[#This Row],[Fetal Sex (Male, Female or Unknown)]]="Female",Backend!$C$7,IF(Table1[[#This Row],[Fetal Sex (Male, Female or Unknown)]]="Unknown",Backend!$C$8,"Error"))),"")</f>
        <v/>
      </c>
      <c r="F438" s="8" t="str">
        <f>IF(Table1[[#This Row],[Is Data Valid]]=TRUE,EXP(0.578+0.332*((Table1[[#This Row],[Gestation (days)]]+0.5)/7)-0.00354*((Table1[[#This Row],[Gestation (days)]]+0.5)/7)^2)*Table1[[#This Row],[BW40_3705]],"")</f>
        <v/>
      </c>
      <c r="G438" s="2" t="str">
        <f>IF(Table1[[#This Row],[Is Data Valid]]=TRUE,((Table1[[#This Row],[Birthweight (grams)]]/Table1[[#This Row],[BW_GA]])-1)/(Backend!$B$4/100*Table1[[#This Row],[BW40_3705]]),"")</f>
        <v/>
      </c>
      <c r="H438" s="7" t="str">
        <f>IF(Table1[[#This Row],[Is Data Valid]]=TRUE,((Table1[[#This Row],[Birthweight (grams)]]*0.9/Table1[[#This Row],[BW_GA]])-1)/(Backend!$B$4/100*Table1[[#This Row],[BW40_3705]]),"")</f>
        <v/>
      </c>
      <c r="I438" s="7" t="str">
        <f>IF(Table1[[#This Row],[Is Data Valid]]=TRUE,((Table1[[#This Row],[Birthweight (grams)]]*1.1/Table1[[#This Row],[BW_GA]])-1)/(Backend!$B$4/100*Table1[[#This Row],[BW40_3705]]),"")</f>
        <v/>
      </c>
      <c r="J438" s="7" t="str">
        <f>IF(Table1[[#This Row],[Is Data Valid]]=TRUE,_xlfn.NORM.S.DIST(Table1[[#This Row],[Birthweight Z-Score]],TRUE)*100,"")</f>
        <v/>
      </c>
      <c r="K438" s="7" t="str">
        <f>IF(Table1[[#This Row],[Is Data Valid]]=TRUE,_xlfn.NORM.S.DIST(Table1[[#This Row],[Birthweight Z-Score (BW-10%)]],TRUE)*100,"")</f>
        <v/>
      </c>
      <c r="L438" s="7" t="str">
        <f>IF(Table1[[#This Row],[Is Data Valid]]=TRUE,_xlfn.NORM.S.DIST(Table1[[#This Row],[Birthweight Z-Score (BW+10%)]],TRUE)*100,"")</f>
        <v/>
      </c>
    </row>
    <row r="439" spans="1:12" x14ac:dyDescent="0.35">
      <c r="A439" s="3"/>
      <c r="B439" s="2"/>
      <c r="C439" s="2"/>
      <c r="D439" s="2" t="b">
        <f>IF(AND(NOT(ISBLANK(Table1[[#This Row],[Fetal Sex (Male, Female or Unknown)]])),ISNUMBER(Table1[[#This Row],[Birthweight (grams)]]),ISNUMBER(Table1[[#This Row],[Gestation (days)]])),TRUE,FALSE)</f>
        <v>0</v>
      </c>
      <c r="E439" s="2" t="str">
        <f>IF(Table1[[#This Row],[Is Data Valid]]=TRUE,IF(Table1[[#This Row],[Fetal Sex (Male, Female or Unknown)]]="Male",Backend!$C$6,IF(Table1[[#This Row],[Fetal Sex (Male, Female or Unknown)]]="Female",Backend!$C$7,IF(Table1[[#This Row],[Fetal Sex (Male, Female or Unknown)]]="Unknown",Backend!$C$8,"Error"))),"")</f>
        <v/>
      </c>
      <c r="F439" s="8" t="str">
        <f>IF(Table1[[#This Row],[Is Data Valid]]=TRUE,EXP(0.578+0.332*((Table1[[#This Row],[Gestation (days)]]+0.5)/7)-0.00354*((Table1[[#This Row],[Gestation (days)]]+0.5)/7)^2)*Table1[[#This Row],[BW40_3705]],"")</f>
        <v/>
      </c>
      <c r="G439" s="2" t="str">
        <f>IF(Table1[[#This Row],[Is Data Valid]]=TRUE,((Table1[[#This Row],[Birthweight (grams)]]/Table1[[#This Row],[BW_GA]])-1)/(Backend!$B$4/100*Table1[[#This Row],[BW40_3705]]),"")</f>
        <v/>
      </c>
      <c r="H439" s="7" t="str">
        <f>IF(Table1[[#This Row],[Is Data Valid]]=TRUE,((Table1[[#This Row],[Birthweight (grams)]]*0.9/Table1[[#This Row],[BW_GA]])-1)/(Backend!$B$4/100*Table1[[#This Row],[BW40_3705]]),"")</f>
        <v/>
      </c>
      <c r="I439" s="7" t="str">
        <f>IF(Table1[[#This Row],[Is Data Valid]]=TRUE,((Table1[[#This Row],[Birthweight (grams)]]*1.1/Table1[[#This Row],[BW_GA]])-1)/(Backend!$B$4/100*Table1[[#This Row],[BW40_3705]]),"")</f>
        <v/>
      </c>
      <c r="J439" s="7" t="str">
        <f>IF(Table1[[#This Row],[Is Data Valid]]=TRUE,_xlfn.NORM.S.DIST(Table1[[#This Row],[Birthweight Z-Score]],TRUE)*100,"")</f>
        <v/>
      </c>
      <c r="K439" s="7" t="str">
        <f>IF(Table1[[#This Row],[Is Data Valid]]=TRUE,_xlfn.NORM.S.DIST(Table1[[#This Row],[Birthweight Z-Score (BW-10%)]],TRUE)*100,"")</f>
        <v/>
      </c>
      <c r="L439" s="7" t="str">
        <f>IF(Table1[[#This Row],[Is Data Valid]]=TRUE,_xlfn.NORM.S.DIST(Table1[[#This Row],[Birthweight Z-Score (BW+10%)]],TRUE)*100,"")</f>
        <v/>
      </c>
    </row>
    <row r="440" spans="1:12" x14ac:dyDescent="0.35">
      <c r="A440" s="3"/>
      <c r="B440" s="2"/>
      <c r="C440" s="2"/>
      <c r="D440" s="2" t="b">
        <f>IF(AND(NOT(ISBLANK(Table1[[#This Row],[Fetal Sex (Male, Female or Unknown)]])),ISNUMBER(Table1[[#This Row],[Birthweight (grams)]]),ISNUMBER(Table1[[#This Row],[Gestation (days)]])),TRUE,FALSE)</f>
        <v>0</v>
      </c>
      <c r="E440" s="2" t="str">
        <f>IF(Table1[[#This Row],[Is Data Valid]]=TRUE,IF(Table1[[#This Row],[Fetal Sex (Male, Female or Unknown)]]="Male",Backend!$C$6,IF(Table1[[#This Row],[Fetal Sex (Male, Female or Unknown)]]="Female",Backend!$C$7,IF(Table1[[#This Row],[Fetal Sex (Male, Female or Unknown)]]="Unknown",Backend!$C$8,"Error"))),"")</f>
        <v/>
      </c>
      <c r="F440" s="8" t="str">
        <f>IF(Table1[[#This Row],[Is Data Valid]]=TRUE,EXP(0.578+0.332*((Table1[[#This Row],[Gestation (days)]]+0.5)/7)-0.00354*((Table1[[#This Row],[Gestation (days)]]+0.5)/7)^2)*Table1[[#This Row],[BW40_3705]],"")</f>
        <v/>
      </c>
      <c r="G440" s="2" t="str">
        <f>IF(Table1[[#This Row],[Is Data Valid]]=TRUE,((Table1[[#This Row],[Birthweight (grams)]]/Table1[[#This Row],[BW_GA]])-1)/(Backend!$B$4/100*Table1[[#This Row],[BW40_3705]]),"")</f>
        <v/>
      </c>
      <c r="H440" s="7" t="str">
        <f>IF(Table1[[#This Row],[Is Data Valid]]=TRUE,((Table1[[#This Row],[Birthweight (grams)]]*0.9/Table1[[#This Row],[BW_GA]])-1)/(Backend!$B$4/100*Table1[[#This Row],[BW40_3705]]),"")</f>
        <v/>
      </c>
      <c r="I440" s="7" t="str">
        <f>IF(Table1[[#This Row],[Is Data Valid]]=TRUE,((Table1[[#This Row],[Birthweight (grams)]]*1.1/Table1[[#This Row],[BW_GA]])-1)/(Backend!$B$4/100*Table1[[#This Row],[BW40_3705]]),"")</f>
        <v/>
      </c>
      <c r="J440" s="7" t="str">
        <f>IF(Table1[[#This Row],[Is Data Valid]]=TRUE,_xlfn.NORM.S.DIST(Table1[[#This Row],[Birthweight Z-Score]],TRUE)*100,"")</f>
        <v/>
      </c>
      <c r="K440" s="7" t="str">
        <f>IF(Table1[[#This Row],[Is Data Valid]]=TRUE,_xlfn.NORM.S.DIST(Table1[[#This Row],[Birthweight Z-Score (BW-10%)]],TRUE)*100,"")</f>
        <v/>
      </c>
      <c r="L440" s="7" t="str">
        <f>IF(Table1[[#This Row],[Is Data Valid]]=TRUE,_xlfn.NORM.S.DIST(Table1[[#This Row],[Birthweight Z-Score (BW+10%)]],TRUE)*100,"")</f>
        <v/>
      </c>
    </row>
    <row r="441" spans="1:12" x14ac:dyDescent="0.35">
      <c r="A441" s="3"/>
      <c r="B441" s="2"/>
      <c r="C441" s="2"/>
      <c r="D441" s="2" t="b">
        <f>IF(AND(NOT(ISBLANK(Table1[[#This Row],[Fetal Sex (Male, Female or Unknown)]])),ISNUMBER(Table1[[#This Row],[Birthweight (grams)]]),ISNUMBER(Table1[[#This Row],[Gestation (days)]])),TRUE,FALSE)</f>
        <v>0</v>
      </c>
      <c r="E441" s="2" t="str">
        <f>IF(Table1[[#This Row],[Is Data Valid]]=TRUE,IF(Table1[[#This Row],[Fetal Sex (Male, Female or Unknown)]]="Male",Backend!$C$6,IF(Table1[[#This Row],[Fetal Sex (Male, Female or Unknown)]]="Female",Backend!$C$7,IF(Table1[[#This Row],[Fetal Sex (Male, Female or Unknown)]]="Unknown",Backend!$C$8,"Error"))),"")</f>
        <v/>
      </c>
      <c r="F441" s="8" t="str">
        <f>IF(Table1[[#This Row],[Is Data Valid]]=TRUE,EXP(0.578+0.332*((Table1[[#This Row],[Gestation (days)]]+0.5)/7)-0.00354*((Table1[[#This Row],[Gestation (days)]]+0.5)/7)^2)*Table1[[#This Row],[BW40_3705]],"")</f>
        <v/>
      </c>
      <c r="G441" s="2" t="str">
        <f>IF(Table1[[#This Row],[Is Data Valid]]=TRUE,((Table1[[#This Row],[Birthweight (grams)]]/Table1[[#This Row],[BW_GA]])-1)/(Backend!$B$4/100*Table1[[#This Row],[BW40_3705]]),"")</f>
        <v/>
      </c>
      <c r="H441" s="7" t="str">
        <f>IF(Table1[[#This Row],[Is Data Valid]]=TRUE,((Table1[[#This Row],[Birthweight (grams)]]*0.9/Table1[[#This Row],[BW_GA]])-1)/(Backend!$B$4/100*Table1[[#This Row],[BW40_3705]]),"")</f>
        <v/>
      </c>
      <c r="I441" s="7" t="str">
        <f>IF(Table1[[#This Row],[Is Data Valid]]=TRUE,((Table1[[#This Row],[Birthweight (grams)]]*1.1/Table1[[#This Row],[BW_GA]])-1)/(Backend!$B$4/100*Table1[[#This Row],[BW40_3705]]),"")</f>
        <v/>
      </c>
      <c r="J441" s="7" t="str">
        <f>IF(Table1[[#This Row],[Is Data Valid]]=TRUE,_xlfn.NORM.S.DIST(Table1[[#This Row],[Birthweight Z-Score]],TRUE)*100,"")</f>
        <v/>
      </c>
      <c r="K441" s="7" t="str">
        <f>IF(Table1[[#This Row],[Is Data Valid]]=TRUE,_xlfn.NORM.S.DIST(Table1[[#This Row],[Birthweight Z-Score (BW-10%)]],TRUE)*100,"")</f>
        <v/>
      </c>
      <c r="L441" s="7" t="str">
        <f>IF(Table1[[#This Row],[Is Data Valid]]=TRUE,_xlfn.NORM.S.DIST(Table1[[#This Row],[Birthweight Z-Score (BW+10%)]],TRUE)*100,"")</f>
        <v/>
      </c>
    </row>
    <row r="442" spans="1:12" x14ac:dyDescent="0.35">
      <c r="A442" s="3"/>
      <c r="B442" s="2"/>
      <c r="C442" s="2"/>
      <c r="D442" s="2" t="b">
        <f>IF(AND(NOT(ISBLANK(Table1[[#This Row],[Fetal Sex (Male, Female or Unknown)]])),ISNUMBER(Table1[[#This Row],[Birthweight (grams)]]),ISNUMBER(Table1[[#This Row],[Gestation (days)]])),TRUE,FALSE)</f>
        <v>0</v>
      </c>
      <c r="E442" s="2" t="str">
        <f>IF(Table1[[#This Row],[Is Data Valid]]=TRUE,IF(Table1[[#This Row],[Fetal Sex (Male, Female or Unknown)]]="Male",Backend!$C$6,IF(Table1[[#This Row],[Fetal Sex (Male, Female or Unknown)]]="Female",Backend!$C$7,IF(Table1[[#This Row],[Fetal Sex (Male, Female or Unknown)]]="Unknown",Backend!$C$8,"Error"))),"")</f>
        <v/>
      </c>
      <c r="F442" s="8" t="str">
        <f>IF(Table1[[#This Row],[Is Data Valid]]=TRUE,EXP(0.578+0.332*((Table1[[#This Row],[Gestation (days)]]+0.5)/7)-0.00354*((Table1[[#This Row],[Gestation (days)]]+0.5)/7)^2)*Table1[[#This Row],[BW40_3705]],"")</f>
        <v/>
      </c>
      <c r="G442" s="2" t="str">
        <f>IF(Table1[[#This Row],[Is Data Valid]]=TRUE,((Table1[[#This Row],[Birthweight (grams)]]/Table1[[#This Row],[BW_GA]])-1)/(Backend!$B$4/100*Table1[[#This Row],[BW40_3705]]),"")</f>
        <v/>
      </c>
      <c r="H442" s="7" t="str">
        <f>IF(Table1[[#This Row],[Is Data Valid]]=TRUE,((Table1[[#This Row],[Birthweight (grams)]]*0.9/Table1[[#This Row],[BW_GA]])-1)/(Backend!$B$4/100*Table1[[#This Row],[BW40_3705]]),"")</f>
        <v/>
      </c>
      <c r="I442" s="7" t="str">
        <f>IF(Table1[[#This Row],[Is Data Valid]]=TRUE,((Table1[[#This Row],[Birthweight (grams)]]*1.1/Table1[[#This Row],[BW_GA]])-1)/(Backend!$B$4/100*Table1[[#This Row],[BW40_3705]]),"")</f>
        <v/>
      </c>
      <c r="J442" s="7" t="str">
        <f>IF(Table1[[#This Row],[Is Data Valid]]=TRUE,_xlfn.NORM.S.DIST(Table1[[#This Row],[Birthweight Z-Score]],TRUE)*100,"")</f>
        <v/>
      </c>
      <c r="K442" s="7" t="str">
        <f>IF(Table1[[#This Row],[Is Data Valid]]=TRUE,_xlfn.NORM.S.DIST(Table1[[#This Row],[Birthweight Z-Score (BW-10%)]],TRUE)*100,"")</f>
        <v/>
      </c>
      <c r="L442" s="7" t="str">
        <f>IF(Table1[[#This Row],[Is Data Valid]]=TRUE,_xlfn.NORM.S.DIST(Table1[[#This Row],[Birthweight Z-Score (BW+10%)]],TRUE)*100,"")</f>
        <v/>
      </c>
    </row>
    <row r="443" spans="1:12" x14ac:dyDescent="0.35">
      <c r="A443" s="3"/>
      <c r="B443" s="2"/>
      <c r="C443" s="2"/>
      <c r="D443" s="2" t="b">
        <f>IF(AND(NOT(ISBLANK(Table1[[#This Row],[Fetal Sex (Male, Female or Unknown)]])),ISNUMBER(Table1[[#This Row],[Birthweight (grams)]]),ISNUMBER(Table1[[#This Row],[Gestation (days)]])),TRUE,FALSE)</f>
        <v>0</v>
      </c>
      <c r="E443" s="2" t="str">
        <f>IF(Table1[[#This Row],[Is Data Valid]]=TRUE,IF(Table1[[#This Row],[Fetal Sex (Male, Female or Unknown)]]="Male",Backend!$C$6,IF(Table1[[#This Row],[Fetal Sex (Male, Female or Unknown)]]="Female",Backend!$C$7,IF(Table1[[#This Row],[Fetal Sex (Male, Female or Unknown)]]="Unknown",Backend!$C$8,"Error"))),"")</f>
        <v/>
      </c>
      <c r="F443" s="8" t="str">
        <f>IF(Table1[[#This Row],[Is Data Valid]]=TRUE,EXP(0.578+0.332*((Table1[[#This Row],[Gestation (days)]]+0.5)/7)-0.00354*((Table1[[#This Row],[Gestation (days)]]+0.5)/7)^2)*Table1[[#This Row],[BW40_3705]],"")</f>
        <v/>
      </c>
      <c r="G443" s="2" t="str">
        <f>IF(Table1[[#This Row],[Is Data Valid]]=TRUE,((Table1[[#This Row],[Birthweight (grams)]]/Table1[[#This Row],[BW_GA]])-1)/(Backend!$B$4/100*Table1[[#This Row],[BW40_3705]]),"")</f>
        <v/>
      </c>
      <c r="H443" s="7" t="str">
        <f>IF(Table1[[#This Row],[Is Data Valid]]=TRUE,((Table1[[#This Row],[Birthweight (grams)]]*0.9/Table1[[#This Row],[BW_GA]])-1)/(Backend!$B$4/100*Table1[[#This Row],[BW40_3705]]),"")</f>
        <v/>
      </c>
      <c r="I443" s="7" t="str">
        <f>IF(Table1[[#This Row],[Is Data Valid]]=TRUE,((Table1[[#This Row],[Birthweight (grams)]]*1.1/Table1[[#This Row],[BW_GA]])-1)/(Backend!$B$4/100*Table1[[#This Row],[BW40_3705]]),"")</f>
        <v/>
      </c>
      <c r="J443" s="7" t="str">
        <f>IF(Table1[[#This Row],[Is Data Valid]]=TRUE,_xlfn.NORM.S.DIST(Table1[[#This Row],[Birthweight Z-Score]],TRUE)*100,"")</f>
        <v/>
      </c>
      <c r="K443" s="7" t="str">
        <f>IF(Table1[[#This Row],[Is Data Valid]]=TRUE,_xlfn.NORM.S.DIST(Table1[[#This Row],[Birthweight Z-Score (BW-10%)]],TRUE)*100,"")</f>
        <v/>
      </c>
      <c r="L443" s="7" t="str">
        <f>IF(Table1[[#This Row],[Is Data Valid]]=TRUE,_xlfn.NORM.S.DIST(Table1[[#This Row],[Birthweight Z-Score (BW+10%)]],TRUE)*100,"")</f>
        <v/>
      </c>
    </row>
    <row r="444" spans="1:12" x14ac:dyDescent="0.35">
      <c r="A444" s="3"/>
      <c r="B444" s="2"/>
      <c r="C444" s="2"/>
      <c r="D444" s="2" t="b">
        <f>IF(AND(NOT(ISBLANK(Table1[[#This Row],[Fetal Sex (Male, Female or Unknown)]])),ISNUMBER(Table1[[#This Row],[Birthweight (grams)]]),ISNUMBER(Table1[[#This Row],[Gestation (days)]])),TRUE,FALSE)</f>
        <v>0</v>
      </c>
      <c r="E444" s="2" t="str">
        <f>IF(Table1[[#This Row],[Is Data Valid]]=TRUE,IF(Table1[[#This Row],[Fetal Sex (Male, Female or Unknown)]]="Male",Backend!$C$6,IF(Table1[[#This Row],[Fetal Sex (Male, Female or Unknown)]]="Female",Backend!$C$7,IF(Table1[[#This Row],[Fetal Sex (Male, Female or Unknown)]]="Unknown",Backend!$C$8,"Error"))),"")</f>
        <v/>
      </c>
      <c r="F444" s="8" t="str">
        <f>IF(Table1[[#This Row],[Is Data Valid]]=TRUE,EXP(0.578+0.332*((Table1[[#This Row],[Gestation (days)]]+0.5)/7)-0.00354*((Table1[[#This Row],[Gestation (days)]]+0.5)/7)^2)*Table1[[#This Row],[BW40_3705]],"")</f>
        <v/>
      </c>
      <c r="G444" s="2" t="str">
        <f>IF(Table1[[#This Row],[Is Data Valid]]=TRUE,((Table1[[#This Row],[Birthweight (grams)]]/Table1[[#This Row],[BW_GA]])-1)/(Backend!$B$4/100*Table1[[#This Row],[BW40_3705]]),"")</f>
        <v/>
      </c>
      <c r="H444" s="7" t="str">
        <f>IF(Table1[[#This Row],[Is Data Valid]]=TRUE,((Table1[[#This Row],[Birthweight (grams)]]*0.9/Table1[[#This Row],[BW_GA]])-1)/(Backend!$B$4/100*Table1[[#This Row],[BW40_3705]]),"")</f>
        <v/>
      </c>
      <c r="I444" s="7" t="str">
        <f>IF(Table1[[#This Row],[Is Data Valid]]=TRUE,((Table1[[#This Row],[Birthweight (grams)]]*1.1/Table1[[#This Row],[BW_GA]])-1)/(Backend!$B$4/100*Table1[[#This Row],[BW40_3705]]),"")</f>
        <v/>
      </c>
      <c r="J444" s="7" t="str">
        <f>IF(Table1[[#This Row],[Is Data Valid]]=TRUE,_xlfn.NORM.S.DIST(Table1[[#This Row],[Birthweight Z-Score]],TRUE)*100,"")</f>
        <v/>
      </c>
      <c r="K444" s="7" t="str">
        <f>IF(Table1[[#This Row],[Is Data Valid]]=TRUE,_xlfn.NORM.S.DIST(Table1[[#This Row],[Birthweight Z-Score (BW-10%)]],TRUE)*100,"")</f>
        <v/>
      </c>
      <c r="L444" s="7" t="str">
        <f>IF(Table1[[#This Row],[Is Data Valid]]=TRUE,_xlfn.NORM.S.DIST(Table1[[#This Row],[Birthweight Z-Score (BW+10%)]],TRUE)*100,"")</f>
        <v/>
      </c>
    </row>
    <row r="445" spans="1:12" x14ac:dyDescent="0.35">
      <c r="A445" s="3"/>
      <c r="B445" s="2"/>
      <c r="C445" s="2"/>
      <c r="D445" s="2" t="b">
        <f>IF(AND(NOT(ISBLANK(Table1[[#This Row],[Fetal Sex (Male, Female or Unknown)]])),ISNUMBER(Table1[[#This Row],[Birthweight (grams)]]),ISNUMBER(Table1[[#This Row],[Gestation (days)]])),TRUE,FALSE)</f>
        <v>0</v>
      </c>
      <c r="E445" s="2" t="str">
        <f>IF(Table1[[#This Row],[Is Data Valid]]=TRUE,IF(Table1[[#This Row],[Fetal Sex (Male, Female or Unknown)]]="Male",Backend!$C$6,IF(Table1[[#This Row],[Fetal Sex (Male, Female or Unknown)]]="Female",Backend!$C$7,IF(Table1[[#This Row],[Fetal Sex (Male, Female or Unknown)]]="Unknown",Backend!$C$8,"Error"))),"")</f>
        <v/>
      </c>
      <c r="F445" s="8" t="str">
        <f>IF(Table1[[#This Row],[Is Data Valid]]=TRUE,EXP(0.578+0.332*((Table1[[#This Row],[Gestation (days)]]+0.5)/7)-0.00354*((Table1[[#This Row],[Gestation (days)]]+0.5)/7)^2)*Table1[[#This Row],[BW40_3705]],"")</f>
        <v/>
      </c>
      <c r="G445" s="2" t="str">
        <f>IF(Table1[[#This Row],[Is Data Valid]]=TRUE,((Table1[[#This Row],[Birthweight (grams)]]/Table1[[#This Row],[BW_GA]])-1)/(Backend!$B$4/100*Table1[[#This Row],[BW40_3705]]),"")</f>
        <v/>
      </c>
      <c r="H445" s="7" t="str">
        <f>IF(Table1[[#This Row],[Is Data Valid]]=TRUE,((Table1[[#This Row],[Birthweight (grams)]]*0.9/Table1[[#This Row],[BW_GA]])-1)/(Backend!$B$4/100*Table1[[#This Row],[BW40_3705]]),"")</f>
        <v/>
      </c>
      <c r="I445" s="7" t="str">
        <f>IF(Table1[[#This Row],[Is Data Valid]]=TRUE,((Table1[[#This Row],[Birthweight (grams)]]*1.1/Table1[[#This Row],[BW_GA]])-1)/(Backend!$B$4/100*Table1[[#This Row],[BW40_3705]]),"")</f>
        <v/>
      </c>
      <c r="J445" s="7" t="str">
        <f>IF(Table1[[#This Row],[Is Data Valid]]=TRUE,_xlfn.NORM.S.DIST(Table1[[#This Row],[Birthweight Z-Score]],TRUE)*100,"")</f>
        <v/>
      </c>
      <c r="K445" s="7" t="str">
        <f>IF(Table1[[#This Row],[Is Data Valid]]=TRUE,_xlfn.NORM.S.DIST(Table1[[#This Row],[Birthweight Z-Score (BW-10%)]],TRUE)*100,"")</f>
        <v/>
      </c>
      <c r="L445" s="7" t="str">
        <f>IF(Table1[[#This Row],[Is Data Valid]]=TRUE,_xlfn.NORM.S.DIST(Table1[[#This Row],[Birthweight Z-Score (BW+10%)]],TRUE)*100,"")</f>
        <v/>
      </c>
    </row>
    <row r="446" spans="1:12" x14ac:dyDescent="0.35">
      <c r="A446" s="3"/>
      <c r="B446" s="2"/>
      <c r="C446" s="2"/>
      <c r="D446" s="2" t="b">
        <f>IF(AND(NOT(ISBLANK(Table1[[#This Row],[Fetal Sex (Male, Female or Unknown)]])),ISNUMBER(Table1[[#This Row],[Birthweight (grams)]]),ISNUMBER(Table1[[#This Row],[Gestation (days)]])),TRUE,FALSE)</f>
        <v>0</v>
      </c>
      <c r="E446" s="2" t="str">
        <f>IF(Table1[[#This Row],[Is Data Valid]]=TRUE,IF(Table1[[#This Row],[Fetal Sex (Male, Female or Unknown)]]="Male",Backend!$C$6,IF(Table1[[#This Row],[Fetal Sex (Male, Female or Unknown)]]="Female",Backend!$C$7,IF(Table1[[#This Row],[Fetal Sex (Male, Female or Unknown)]]="Unknown",Backend!$C$8,"Error"))),"")</f>
        <v/>
      </c>
      <c r="F446" s="8" t="str">
        <f>IF(Table1[[#This Row],[Is Data Valid]]=TRUE,EXP(0.578+0.332*((Table1[[#This Row],[Gestation (days)]]+0.5)/7)-0.00354*((Table1[[#This Row],[Gestation (days)]]+0.5)/7)^2)*Table1[[#This Row],[BW40_3705]],"")</f>
        <v/>
      </c>
      <c r="G446" s="2" t="str">
        <f>IF(Table1[[#This Row],[Is Data Valid]]=TRUE,((Table1[[#This Row],[Birthweight (grams)]]/Table1[[#This Row],[BW_GA]])-1)/(Backend!$B$4/100*Table1[[#This Row],[BW40_3705]]),"")</f>
        <v/>
      </c>
      <c r="H446" s="7" t="str">
        <f>IF(Table1[[#This Row],[Is Data Valid]]=TRUE,((Table1[[#This Row],[Birthweight (grams)]]*0.9/Table1[[#This Row],[BW_GA]])-1)/(Backend!$B$4/100*Table1[[#This Row],[BW40_3705]]),"")</f>
        <v/>
      </c>
      <c r="I446" s="7" t="str">
        <f>IF(Table1[[#This Row],[Is Data Valid]]=TRUE,((Table1[[#This Row],[Birthweight (grams)]]*1.1/Table1[[#This Row],[BW_GA]])-1)/(Backend!$B$4/100*Table1[[#This Row],[BW40_3705]]),"")</f>
        <v/>
      </c>
      <c r="J446" s="7" t="str">
        <f>IF(Table1[[#This Row],[Is Data Valid]]=TRUE,_xlfn.NORM.S.DIST(Table1[[#This Row],[Birthweight Z-Score]],TRUE)*100,"")</f>
        <v/>
      </c>
      <c r="K446" s="7" t="str">
        <f>IF(Table1[[#This Row],[Is Data Valid]]=TRUE,_xlfn.NORM.S.DIST(Table1[[#This Row],[Birthweight Z-Score (BW-10%)]],TRUE)*100,"")</f>
        <v/>
      </c>
      <c r="L446" s="7" t="str">
        <f>IF(Table1[[#This Row],[Is Data Valid]]=TRUE,_xlfn.NORM.S.DIST(Table1[[#This Row],[Birthweight Z-Score (BW+10%)]],TRUE)*100,"")</f>
        <v/>
      </c>
    </row>
    <row r="447" spans="1:12" x14ac:dyDescent="0.35">
      <c r="A447" s="3"/>
      <c r="B447" s="2"/>
      <c r="C447" s="2"/>
      <c r="D447" s="2" t="b">
        <f>IF(AND(NOT(ISBLANK(Table1[[#This Row],[Fetal Sex (Male, Female or Unknown)]])),ISNUMBER(Table1[[#This Row],[Birthweight (grams)]]),ISNUMBER(Table1[[#This Row],[Gestation (days)]])),TRUE,FALSE)</f>
        <v>0</v>
      </c>
      <c r="E447" s="2" t="str">
        <f>IF(Table1[[#This Row],[Is Data Valid]]=TRUE,IF(Table1[[#This Row],[Fetal Sex (Male, Female or Unknown)]]="Male",Backend!$C$6,IF(Table1[[#This Row],[Fetal Sex (Male, Female or Unknown)]]="Female",Backend!$C$7,IF(Table1[[#This Row],[Fetal Sex (Male, Female or Unknown)]]="Unknown",Backend!$C$8,"Error"))),"")</f>
        <v/>
      </c>
      <c r="F447" s="8" t="str">
        <f>IF(Table1[[#This Row],[Is Data Valid]]=TRUE,EXP(0.578+0.332*((Table1[[#This Row],[Gestation (days)]]+0.5)/7)-0.00354*((Table1[[#This Row],[Gestation (days)]]+0.5)/7)^2)*Table1[[#This Row],[BW40_3705]],"")</f>
        <v/>
      </c>
      <c r="G447" s="2" t="str">
        <f>IF(Table1[[#This Row],[Is Data Valid]]=TRUE,((Table1[[#This Row],[Birthweight (grams)]]/Table1[[#This Row],[BW_GA]])-1)/(Backend!$B$4/100*Table1[[#This Row],[BW40_3705]]),"")</f>
        <v/>
      </c>
      <c r="H447" s="7" t="str">
        <f>IF(Table1[[#This Row],[Is Data Valid]]=TRUE,((Table1[[#This Row],[Birthweight (grams)]]*0.9/Table1[[#This Row],[BW_GA]])-1)/(Backend!$B$4/100*Table1[[#This Row],[BW40_3705]]),"")</f>
        <v/>
      </c>
      <c r="I447" s="7" t="str">
        <f>IF(Table1[[#This Row],[Is Data Valid]]=TRUE,((Table1[[#This Row],[Birthweight (grams)]]*1.1/Table1[[#This Row],[BW_GA]])-1)/(Backend!$B$4/100*Table1[[#This Row],[BW40_3705]]),"")</f>
        <v/>
      </c>
      <c r="J447" s="7" t="str">
        <f>IF(Table1[[#This Row],[Is Data Valid]]=TRUE,_xlfn.NORM.S.DIST(Table1[[#This Row],[Birthweight Z-Score]],TRUE)*100,"")</f>
        <v/>
      </c>
      <c r="K447" s="7" t="str">
        <f>IF(Table1[[#This Row],[Is Data Valid]]=TRUE,_xlfn.NORM.S.DIST(Table1[[#This Row],[Birthweight Z-Score (BW-10%)]],TRUE)*100,"")</f>
        <v/>
      </c>
      <c r="L447" s="7" t="str">
        <f>IF(Table1[[#This Row],[Is Data Valid]]=TRUE,_xlfn.NORM.S.DIST(Table1[[#This Row],[Birthweight Z-Score (BW+10%)]],TRUE)*100,"")</f>
        <v/>
      </c>
    </row>
    <row r="448" spans="1:12" x14ac:dyDescent="0.35">
      <c r="A448" s="3"/>
      <c r="B448" s="2"/>
      <c r="C448" s="2"/>
      <c r="D448" s="2" t="b">
        <f>IF(AND(NOT(ISBLANK(Table1[[#This Row],[Fetal Sex (Male, Female or Unknown)]])),ISNUMBER(Table1[[#This Row],[Birthweight (grams)]]),ISNUMBER(Table1[[#This Row],[Gestation (days)]])),TRUE,FALSE)</f>
        <v>0</v>
      </c>
      <c r="E448" s="2" t="str">
        <f>IF(Table1[[#This Row],[Is Data Valid]]=TRUE,IF(Table1[[#This Row],[Fetal Sex (Male, Female or Unknown)]]="Male",Backend!$C$6,IF(Table1[[#This Row],[Fetal Sex (Male, Female or Unknown)]]="Female",Backend!$C$7,IF(Table1[[#This Row],[Fetal Sex (Male, Female or Unknown)]]="Unknown",Backend!$C$8,"Error"))),"")</f>
        <v/>
      </c>
      <c r="F448" s="8" t="str">
        <f>IF(Table1[[#This Row],[Is Data Valid]]=TRUE,EXP(0.578+0.332*((Table1[[#This Row],[Gestation (days)]]+0.5)/7)-0.00354*((Table1[[#This Row],[Gestation (days)]]+0.5)/7)^2)*Table1[[#This Row],[BW40_3705]],"")</f>
        <v/>
      </c>
      <c r="G448" s="2" t="str">
        <f>IF(Table1[[#This Row],[Is Data Valid]]=TRUE,((Table1[[#This Row],[Birthweight (grams)]]/Table1[[#This Row],[BW_GA]])-1)/(Backend!$B$4/100*Table1[[#This Row],[BW40_3705]]),"")</f>
        <v/>
      </c>
      <c r="H448" s="7" t="str">
        <f>IF(Table1[[#This Row],[Is Data Valid]]=TRUE,((Table1[[#This Row],[Birthweight (grams)]]*0.9/Table1[[#This Row],[BW_GA]])-1)/(Backend!$B$4/100*Table1[[#This Row],[BW40_3705]]),"")</f>
        <v/>
      </c>
      <c r="I448" s="7" t="str">
        <f>IF(Table1[[#This Row],[Is Data Valid]]=TRUE,((Table1[[#This Row],[Birthweight (grams)]]*1.1/Table1[[#This Row],[BW_GA]])-1)/(Backend!$B$4/100*Table1[[#This Row],[BW40_3705]]),"")</f>
        <v/>
      </c>
      <c r="J448" s="7" t="str">
        <f>IF(Table1[[#This Row],[Is Data Valid]]=TRUE,_xlfn.NORM.S.DIST(Table1[[#This Row],[Birthweight Z-Score]],TRUE)*100,"")</f>
        <v/>
      </c>
      <c r="K448" s="7" t="str">
        <f>IF(Table1[[#This Row],[Is Data Valid]]=TRUE,_xlfn.NORM.S.DIST(Table1[[#This Row],[Birthweight Z-Score (BW-10%)]],TRUE)*100,"")</f>
        <v/>
      </c>
      <c r="L448" s="7" t="str">
        <f>IF(Table1[[#This Row],[Is Data Valid]]=TRUE,_xlfn.NORM.S.DIST(Table1[[#This Row],[Birthweight Z-Score (BW+10%)]],TRUE)*100,"")</f>
        <v/>
      </c>
    </row>
    <row r="449" spans="1:12" x14ac:dyDescent="0.35">
      <c r="A449" s="3"/>
      <c r="B449" s="2"/>
      <c r="C449" s="2"/>
      <c r="D449" s="2" t="b">
        <f>IF(AND(NOT(ISBLANK(Table1[[#This Row],[Fetal Sex (Male, Female or Unknown)]])),ISNUMBER(Table1[[#This Row],[Birthweight (grams)]]),ISNUMBER(Table1[[#This Row],[Gestation (days)]])),TRUE,FALSE)</f>
        <v>0</v>
      </c>
      <c r="E449" s="2" t="str">
        <f>IF(Table1[[#This Row],[Is Data Valid]]=TRUE,IF(Table1[[#This Row],[Fetal Sex (Male, Female or Unknown)]]="Male",Backend!$C$6,IF(Table1[[#This Row],[Fetal Sex (Male, Female or Unknown)]]="Female",Backend!$C$7,IF(Table1[[#This Row],[Fetal Sex (Male, Female or Unknown)]]="Unknown",Backend!$C$8,"Error"))),"")</f>
        <v/>
      </c>
      <c r="F449" s="8" t="str">
        <f>IF(Table1[[#This Row],[Is Data Valid]]=TRUE,EXP(0.578+0.332*((Table1[[#This Row],[Gestation (days)]]+0.5)/7)-0.00354*((Table1[[#This Row],[Gestation (days)]]+0.5)/7)^2)*Table1[[#This Row],[BW40_3705]],"")</f>
        <v/>
      </c>
      <c r="G449" s="2" t="str">
        <f>IF(Table1[[#This Row],[Is Data Valid]]=TRUE,((Table1[[#This Row],[Birthweight (grams)]]/Table1[[#This Row],[BW_GA]])-1)/(Backend!$B$4/100*Table1[[#This Row],[BW40_3705]]),"")</f>
        <v/>
      </c>
      <c r="H449" s="7" t="str">
        <f>IF(Table1[[#This Row],[Is Data Valid]]=TRUE,((Table1[[#This Row],[Birthweight (grams)]]*0.9/Table1[[#This Row],[BW_GA]])-1)/(Backend!$B$4/100*Table1[[#This Row],[BW40_3705]]),"")</f>
        <v/>
      </c>
      <c r="I449" s="7" t="str">
        <f>IF(Table1[[#This Row],[Is Data Valid]]=TRUE,((Table1[[#This Row],[Birthweight (grams)]]*1.1/Table1[[#This Row],[BW_GA]])-1)/(Backend!$B$4/100*Table1[[#This Row],[BW40_3705]]),"")</f>
        <v/>
      </c>
      <c r="J449" s="7" t="str">
        <f>IF(Table1[[#This Row],[Is Data Valid]]=TRUE,_xlfn.NORM.S.DIST(Table1[[#This Row],[Birthweight Z-Score]],TRUE)*100,"")</f>
        <v/>
      </c>
      <c r="K449" s="7" t="str">
        <f>IF(Table1[[#This Row],[Is Data Valid]]=TRUE,_xlfn.NORM.S.DIST(Table1[[#This Row],[Birthweight Z-Score (BW-10%)]],TRUE)*100,"")</f>
        <v/>
      </c>
      <c r="L449" s="7" t="str">
        <f>IF(Table1[[#This Row],[Is Data Valid]]=TRUE,_xlfn.NORM.S.DIST(Table1[[#This Row],[Birthweight Z-Score (BW+10%)]],TRUE)*100,"")</f>
        <v/>
      </c>
    </row>
    <row r="450" spans="1:12" x14ac:dyDescent="0.35">
      <c r="A450" s="3"/>
      <c r="B450" s="2"/>
      <c r="C450" s="2"/>
      <c r="D450" s="2" t="b">
        <f>IF(AND(NOT(ISBLANK(Table1[[#This Row],[Fetal Sex (Male, Female or Unknown)]])),ISNUMBER(Table1[[#This Row],[Birthweight (grams)]]),ISNUMBER(Table1[[#This Row],[Gestation (days)]])),TRUE,FALSE)</f>
        <v>0</v>
      </c>
      <c r="E450" s="2" t="str">
        <f>IF(Table1[[#This Row],[Is Data Valid]]=TRUE,IF(Table1[[#This Row],[Fetal Sex (Male, Female or Unknown)]]="Male",Backend!$C$6,IF(Table1[[#This Row],[Fetal Sex (Male, Female or Unknown)]]="Female",Backend!$C$7,IF(Table1[[#This Row],[Fetal Sex (Male, Female or Unknown)]]="Unknown",Backend!$C$8,"Error"))),"")</f>
        <v/>
      </c>
      <c r="F450" s="8" t="str">
        <f>IF(Table1[[#This Row],[Is Data Valid]]=TRUE,EXP(0.578+0.332*((Table1[[#This Row],[Gestation (days)]]+0.5)/7)-0.00354*((Table1[[#This Row],[Gestation (days)]]+0.5)/7)^2)*Table1[[#This Row],[BW40_3705]],"")</f>
        <v/>
      </c>
      <c r="G450" s="2" t="str">
        <f>IF(Table1[[#This Row],[Is Data Valid]]=TRUE,((Table1[[#This Row],[Birthweight (grams)]]/Table1[[#This Row],[BW_GA]])-1)/(Backend!$B$4/100*Table1[[#This Row],[BW40_3705]]),"")</f>
        <v/>
      </c>
      <c r="H450" s="7" t="str">
        <f>IF(Table1[[#This Row],[Is Data Valid]]=TRUE,((Table1[[#This Row],[Birthweight (grams)]]*0.9/Table1[[#This Row],[BW_GA]])-1)/(Backend!$B$4/100*Table1[[#This Row],[BW40_3705]]),"")</f>
        <v/>
      </c>
      <c r="I450" s="7" t="str">
        <f>IF(Table1[[#This Row],[Is Data Valid]]=TRUE,((Table1[[#This Row],[Birthweight (grams)]]*1.1/Table1[[#This Row],[BW_GA]])-1)/(Backend!$B$4/100*Table1[[#This Row],[BW40_3705]]),"")</f>
        <v/>
      </c>
      <c r="J450" s="7" t="str">
        <f>IF(Table1[[#This Row],[Is Data Valid]]=TRUE,_xlfn.NORM.S.DIST(Table1[[#This Row],[Birthweight Z-Score]],TRUE)*100,"")</f>
        <v/>
      </c>
      <c r="K450" s="7" t="str">
        <f>IF(Table1[[#This Row],[Is Data Valid]]=TRUE,_xlfn.NORM.S.DIST(Table1[[#This Row],[Birthweight Z-Score (BW-10%)]],TRUE)*100,"")</f>
        <v/>
      </c>
      <c r="L450" s="7" t="str">
        <f>IF(Table1[[#This Row],[Is Data Valid]]=TRUE,_xlfn.NORM.S.DIST(Table1[[#This Row],[Birthweight Z-Score (BW+10%)]],TRUE)*100,"")</f>
        <v/>
      </c>
    </row>
    <row r="451" spans="1:12" x14ac:dyDescent="0.35">
      <c r="A451" s="3"/>
      <c r="B451" s="2"/>
      <c r="C451" s="2"/>
      <c r="D451" s="2" t="b">
        <f>IF(AND(NOT(ISBLANK(Table1[[#This Row],[Fetal Sex (Male, Female or Unknown)]])),ISNUMBER(Table1[[#This Row],[Birthweight (grams)]]),ISNUMBER(Table1[[#This Row],[Gestation (days)]])),TRUE,FALSE)</f>
        <v>0</v>
      </c>
      <c r="E451" s="2" t="str">
        <f>IF(Table1[[#This Row],[Is Data Valid]]=TRUE,IF(Table1[[#This Row],[Fetal Sex (Male, Female or Unknown)]]="Male",Backend!$C$6,IF(Table1[[#This Row],[Fetal Sex (Male, Female or Unknown)]]="Female",Backend!$C$7,IF(Table1[[#This Row],[Fetal Sex (Male, Female or Unknown)]]="Unknown",Backend!$C$8,"Error"))),"")</f>
        <v/>
      </c>
      <c r="F451" s="8" t="str">
        <f>IF(Table1[[#This Row],[Is Data Valid]]=TRUE,EXP(0.578+0.332*((Table1[[#This Row],[Gestation (days)]]+0.5)/7)-0.00354*((Table1[[#This Row],[Gestation (days)]]+0.5)/7)^2)*Table1[[#This Row],[BW40_3705]],"")</f>
        <v/>
      </c>
      <c r="G451" s="2" t="str">
        <f>IF(Table1[[#This Row],[Is Data Valid]]=TRUE,((Table1[[#This Row],[Birthweight (grams)]]/Table1[[#This Row],[BW_GA]])-1)/(Backend!$B$4/100*Table1[[#This Row],[BW40_3705]]),"")</f>
        <v/>
      </c>
      <c r="H451" s="7" t="str">
        <f>IF(Table1[[#This Row],[Is Data Valid]]=TRUE,((Table1[[#This Row],[Birthweight (grams)]]*0.9/Table1[[#This Row],[BW_GA]])-1)/(Backend!$B$4/100*Table1[[#This Row],[BW40_3705]]),"")</f>
        <v/>
      </c>
      <c r="I451" s="7" t="str">
        <f>IF(Table1[[#This Row],[Is Data Valid]]=TRUE,((Table1[[#This Row],[Birthweight (grams)]]*1.1/Table1[[#This Row],[BW_GA]])-1)/(Backend!$B$4/100*Table1[[#This Row],[BW40_3705]]),"")</f>
        <v/>
      </c>
      <c r="J451" s="7" t="str">
        <f>IF(Table1[[#This Row],[Is Data Valid]]=TRUE,_xlfn.NORM.S.DIST(Table1[[#This Row],[Birthweight Z-Score]],TRUE)*100,"")</f>
        <v/>
      </c>
      <c r="K451" s="7" t="str">
        <f>IF(Table1[[#This Row],[Is Data Valid]]=TRUE,_xlfn.NORM.S.DIST(Table1[[#This Row],[Birthweight Z-Score (BW-10%)]],TRUE)*100,"")</f>
        <v/>
      </c>
      <c r="L451" s="7" t="str">
        <f>IF(Table1[[#This Row],[Is Data Valid]]=TRUE,_xlfn.NORM.S.DIST(Table1[[#This Row],[Birthweight Z-Score (BW+10%)]],TRUE)*100,"")</f>
        <v/>
      </c>
    </row>
    <row r="452" spans="1:12" x14ac:dyDescent="0.35">
      <c r="A452" s="3"/>
      <c r="B452" s="2"/>
      <c r="C452" s="2"/>
      <c r="D452" s="2" t="b">
        <f>IF(AND(NOT(ISBLANK(Table1[[#This Row],[Fetal Sex (Male, Female or Unknown)]])),ISNUMBER(Table1[[#This Row],[Birthweight (grams)]]),ISNUMBER(Table1[[#This Row],[Gestation (days)]])),TRUE,FALSE)</f>
        <v>0</v>
      </c>
      <c r="E452" s="2" t="str">
        <f>IF(Table1[[#This Row],[Is Data Valid]]=TRUE,IF(Table1[[#This Row],[Fetal Sex (Male, Female or Unknown)]]="Male",Backend!$C$6,IF(Table1[[#This Row],[Fetal Sex (Male, Female or Unknown)]]="Female",Backend!$C$7,IF(Table1[[#This Row],[Fetal Sex (Male, Female or Unknown)]]="Unknown",Backend!$C$8,"Error"))),"")</f>
        <v/>
      </c>
      <c r="F452" s="8" t="str">
        <f>IF(Table1[[#This Row],[Is Data Valid]]=TRUE,EXP(0.578+0.332*((Table1[[#This Row],[Gestation (days)]]+0.5)/7)-0.00354*((Table1[[#This Row],[Gestation (days)]]+0.5)/7)^2)*Table1[[#This Row],[BW40_3705]],"")</f>
        <v/>
      </c>
      <c r="G452" s="2" t="str">
        <f>IF(Table1[[#This Row],[Is Data Valid]]=TRUE,((Table1[[#This Row],[Birthweight (grams)]]/Table1[[#This Row],[BW_GA]])-1)/(Backend!$B$4/100*Table1[[#This Row],[BW40_3705]]),"")</f>
        <v/>
      </c>
      <c r="H452" s="7" t="str">
        <f>IF(Table1[[#This Row],[Is Data Valid]]=TRUE,((Table1[[#This Row],[Birthweight (grams)]]*0.9/Table1[[#This Row],[BW_GA]])-1)/(Backend!$B$4/100*Table1[[#This Row],[BW40_3705]]),"")</f>
        <v/>
      </c>
      <c r="I452" s="7" t="str">
        <f>IF(Table1[[#This Row],[Is Data Valid]]=TRUE,((Table1[[#This Row],[Birthweight (grams)]]*1.1/Table1[[#This Row],[BW_GA]])-1)/(Backend!$B$4/100*Table1[[#This Row],[BW40_3705]]),"")</f>
        <v/>
      </c>
      <c r="J452" s="7" t="str">
        <f>IF(Table1[[#This Row],[Is Data Valid]]=TRUE,_xlfn.NORM.S.DIST(Table1[[#This Row],[Birthweight Z-Score]],TRUE)*100,"")</f>
        <v/>
      </c>
      <c r="K452" s="7" t="str">
        <f>IF(Table1[[#This Row],[Is Data Valid]]=TRUE,_xlfn.NORM.S.DIST(Table1[[#This Row],[Birthweight Z-Score (BW-10%)]],TRUE)*100,"")</f>
        <v/>
      </c>
      <c r="L452" s="7" t="str">
        <f>IF(Table1[[#This Row],[Is Data Valid]]=TRUE,_xlfn.NORM.S.DIST(Table1[[#This Row],[Birthweight Z-Score (BW+10%)]],TRUE)*100,"")</f>
        <v/>
      </c>
    </row>
    <row r="453" spans="1:12" x14ac:dyDescent="0.35">
      <c r="A453" s="3"/>
      <c r="B453" s="2"/>
      <c r="C453" s="2"/>
      <c r="D453" s="2" t="b">
        <f>IF(AND(NOT(ISBLANK(Table1[[#This Row],[Fetal Sex (Male, Female or Unknown)]])),ISNUMBER(Table1[[#This Row],[Birthweight (grams)]]),ISNUMBER(Table1[[#This Row],[Gestation (days)]])),TRUE,FALSE)</f>
        <v>0</v>
      </c>
      <c r="E453" s="2" t="str">
        <f>IF(Table1[[#This Row],[Is Data Valid]]=TRUE,IF(Table1[[#This Row],[Fetal Sex (Male, Female or Unknown)]]="Male",Backend!$C$6,IF(Table1[[#This Row],[Fetal Sex (Male, Female or Unknown)]]="Female",Backend!$C$7,IF(Table1[[#This Row],[Fetal Sex (Male, Female or Unknown)]]="Unknown",Backend!$C$8,"Error"))),"")</f>
        <v/>
      </c>
      <c r="F453" s="8" t="str">
        <f>IF(Table1[[#This Row],[Is Data Valid]]=TRUE,EXP(0.578+0.332*((Table1[[#This Row],[Gestation (days)]]+0.5)/7)-0.00354*((Table1[[#This Row],[Gestation (days)]]+0.5)/7)^2)*Table1[[#This Row],[BW40_3705]],"")</f>
        <v/>
      </c>
      <c r="G453" s="2" t="str">
        <f>IF(Table1[[#This Row],[Is Data Valid]]=TRUE,((Table1[[#This Row],[Birthweight (grams)]]/Table1[[#This Row],[BW_GA]])-1)/(Backend!$B$4/100*Table1[[#This Row],[BW40_3705]]),"")</f>
        <v/>
      </c>
      <c r="H453" s="7" t="str">
        <f>IF(Table1[[#This Row],[Is Data Valid]]=TRUE,((Table1[[#This Row],[Birthweight (grams)]]*0.9/Table1[[#This Row],[BW_GA]])-1)/(Backend!$B$4/100*Table1[[#This Row],[BW40_3705]]),"")</f>
        <v/>
      </c>
      <c r="I453" s="7" t="str">
        <f>IF(Table1[[#This Row],[Is Data Valid]]=TRUE,((Table1[[#This Row],[Birthweight (grams)]]*1.1/Table1[[#This Row],[BW_GA]])-1)/(Backend!$B$4/100*Table1[[#This Row],[BW40_3705]]),"")</f>
        <v/>
      </c>
      <c r="J453" s="7" t="str">
        <f>IF(Table1[[#This Row],[Is Data Valid]]=TRUE,_xlfn.NORM.S.DIST(Table1[[#This Row],[Birthweight Z-Score]],TRUE)*100,"")</f>
        <v/>
      </c>
      <c r="K453" s="7" t="str">
        <f>IF(Table1[[#This Row],[Is Data Valid]]=TRUE,_xlfn.NORM.S.DIST(Table1[[#This Row],[Birthweight Z-Score (BW-10%)]],TRUE)*100,"")</f>
        <v/>
      </c>
      <c r="L453" s="7" t="str">
        <f>IF(Table1[[#This Row],[Is Data Valid]]=TRUE,_xlfn.NORM.S.DIST(Table1[[#This Row],[Birthweight Z-Score (BW+10%)]],TRUE)*100,"")</f>
        <v/>
      </c>
    </row>
    <row r="454" spans="1:12" x14ac:dyDescent="0.35">
      <c r="A454" s="3"/>
      <c r="B454" s="2"/>
      <c r="C454" s="2"/>
      <c r="D454" s="2" t="b">
        <f>IF(AND(NOT(ISBLANK(Table1[[#This Row],[Fetal Sex (Male, Female or Unknown)]])),ISNUMBER(Table1[[#This Row],[Birthweight (grams)]]),ISNUMBER(Table1[[#This Row],[Gestation (days)]])),TRUE,FALSE)</f>
        <v>0</v>
      </c>
      <c r="E454" s="2" t="str">
        <f>IF(Table1[[#This Row],[Is Data Valid]]=TRUE,IF(Table1[[#This Row],[Fetal Sex (Male, Female or Unknown)]]="Male",Backend!$C$6,IF(Table1[[#This Row],[Fetal Sex (Male, Female or Unknown)]]="Female",Backend!$C$7,IF(Table1[[#This Row],[Fetal Sex (Male, Female or Unknown)]]="Unknown",Backend!$C$8,"Error"))),"")</f>
        <v/>
      </c>
      <c r="F454" s="8" t="str">
        <f>IF(Table1[[#This Row],[Is Data Valid]]=TRUE,EXP(0.578+0.332*((Table1[[#This Row],[Gestation (days)]]+0.5)/7)-0.00354*((Table1[[#This Row],[Gestation (days)]]+0.5)/7)^2)*Table1[[#This Row],[BW40_3705]],"")</f>
        <v/>
      </c>
      <c r="G454" s="2" t="str">
        <f>IF(Table1[[#This Row],[Is Data Valid]]=TRUE,((Table1[[#This Row],[Birthweight (grams)]]/Table1[[#This Row],[BW_GA]])-1)/(Backend!$B$4/100*Table1[[#This Row],[BW40_3705]]),"")</f>
        <v/>
      </c>
      <c r="H454" s="7" t="str">
        <f>IF(Table1[[#This Row],[Is Data Valid]]=TRUE,((Table1[[#This Row],[Birthweight (grams)]]*0.9/Table1[[#This Row],[BW_GA]])-1)/(Backend!$B$4/100*Table1[[#This Row],[BW40_3705]]),"")</f>
        <v/>
      </c>
      <c r="I454" s="7" t="str">
        <f>IF(Table1[[#This Row],[Is Data Valid]]=TRUE,((Table1[[#This Row],[Birthweight (grams)]]*1.1/Table1[[#This Row],[BW_GA]])-1)/(Backend!$B$4/100*Table1[[#This Row],[BW40_3705]]),"")</f>
        <v/>
      </c>
      <c r="J454" s="7" t="str">
        <f>IF(Table1[[#This Row],[Is Data Valid]]=TRUE,_xlfn.NORM.S.DIST(Table1[[#This Row],[Birthweight Z-Score]],TRUE)*100,"")</f>
        <v/>
      </c>
      <c r="K454" s="7" t="str">
        <f>IF(Table1[[#This Row],[Is Data Valid]]=TRUE,_xlfn.NORM.S.DIST(Table1[[#This Row],[Birthweight Z-Score (BW-10%)]],TRUE)*100,"")</f>
        <v/>
      </c>
      <c r="L454" s="7" t="str">
        <f>IF(Table1[[#This Row],[Is Data Valid]]=TRUE,_xlfn.NORM.S.DIST(Table1[[#This Row],[Birthweight Z-Score (BW+10%)]],TRUE)*100,"")</f>
        <v/>
      </c>
    </row>
    <row r="455" spans="1:12" x14ac:dyDescent="0.35">
      <c r="A455" s="3"/>
      <c r="B455" s="2"/>
      <c r="C455" s="2"/>
      <c r="D455" s="2" t="b">
        <f>IF(AND(NOT(ISBLANK(Table1[[#This Row],[Fetal Sex (Male, Female or Unknown)]])),ISNUMBER(Table1[[#This Row],[Birthweight (grams)]]),ISNUMBER(Table1[[#This Row],[Gestation (days)]])),TRUE,FALSE)</f>
        <v>0</v>
      </c>
      <c r="E455" s="2" t="str">
        <f>IF(Table1[[#This Row],[Is Data Valid]]=TRUE,IF(Table1[[#This Row],[Fetal Sex (Male, Female or Unknown)]]="Male",Backend!$C$6,IF(Table1[[#This Row],[Fetal Sex (Male, Female or Unknown)]]="Female",Backend!$C$7,IF(Table1[[#This Row],[Fetal Sex (Male, Female or Unknown)]]="Unknown",Backend!$C$8,"Error"))),"")</f>
        <v/>
      </c>
      <c r="F455" s="8" t="str">
        <f>IF(Table1[[#This Row],[Is Data Valid]]=TRUE,EXP(0.578+0.332*((Table1[[#This Row],[Gestation (days)]]+0.5)/7)-0.00354*((Table1[[#This Row],[Gestation (days)]]+0.5)/7)^2)*Table1[[#This Row],[BW40_3705]],"")</f>
        <v/>
      </c>
      <c r="G455" s="2" t="str">
        <f>IF(Table1[[#This Row],[Is Data Valid]]=TRUE,((Table1[[#This Row],[Birthweight (grams)]]/Table1[[#This Row],[BW_GA]])-1)/(Backend!$B$4/100*Table1[[#This Row],[BW40_3705]]),"")</f>
        <v/>
      </c>
      <c r="H455" s="7" t="str">
        <f>IF(Table1[[#This Row],[Is Data Valid]]=TRUE,((Table1[[#This Row],[Birthweight (grams)]]*0.9/Table1[[#This Row],[BW_GA]])-1)/(Backend!$B$4/100*Table1[[#This Row],[BW40_3705]]),"")</f>
        <v/>
      </c>
      <c r="I455" s="7" t="str">
        <f>IF(Table1[[#This Row],[Is Data Valid]]=TRUE,((Table1[[#This Row],[Birthweight (grams)]]*1.1/Table1[[#This Row],[BW_GA]])-1)/(Backend!$B$4/100*Table1[[#This Row],[BW40_3705]]),"")</f>
        <v/>
      </c>
      <c r="J455" s="7" t="str">
        <f>IF(Table1[[#This Row],[Is Data Valid]]=TRUE,_xlfn.NORM.S.DIST(Table1[[#This Row],[Birthweight Z-Score]],TRUE)*100,"")</f>
        <v/>
      </c>
      <c r="K455" s="7" t="str">
        <f>IF(Table1[[#This Row],[Is Data Valid]]=TRUE,_xlfn.NORM.S.DIST(Table1[[#This Row],[Birthweight Z-Score (BW-10%)]],TRUE)*100,"")</f>
        <v/>
      </c>
      <c r="L455" s="7" t="str">
        <f>IF(Table1[[#This Row],[Is Data Valid]]=TRUE,_xlfn.NORM.S.DIST(Table1[[#This Row],[Birthweight Z-Score (BW+10%)]],TRUE)*100,"")</f>
        <v/>
      </c>
    </row>
    <row r="456" spans="1:12" x14ac:dyDescent="0.35">
      <c r="A456" s="3"/>
      <c r="B456" s="2"/>
      <c r="C456" s="2"/>
      <c r="D456" s="2" t="b">
        <f>IF(AND(NOT(ISBLANK(Table1[[#This Row],[Fetal Sex (Male, Female or Unknown)]])),ISNUMBER(Table1[[#This Row],[Birthweight (grams)]]),ISNUMBER(Table1[[#This Row],[Gestation (days)]])),TRUE,FALSE)</f>
        <v>0</v>
      </c>
      <c r="E456" s="2" t="str">
        <f>IF(Table1[[#This Row],[Is Data Valid]]=TRUE,IF(Table1[[#This Row],[Fetal Sex (Male, Female or Unknown)]]="Male",Backend!$C$6,IF(Table1[[#This Row],[Fetal Sex (Male, Female or Unknown)]]="Female",Backend!$C$7,IF(Table1[[#This Row],[Fetal Sex (Male, Female or Unknown)]]="Unknown",Backend!$C$8,"Error"))),"")</f>
        <v/>
      </c>
      <c r="F456" s="8" t="str">
        <f>IF(Table1[[#This Row],[Is Data Valid]]=TRUE,EXP(0.578+0.332*((Table1[[#This Row],[Gestation (days)]]+0.5)/7)-0.00354*((Table1[[#This Row],[Gestation (days)]]+0.5)/7)^2)*Table1[[#This Row],[BW40_3705]],"")</f>
        <v/>
      </c>
      <c r="G456" s="2" t="str">
        <f>IF(Table1[[#This Row],[Is Data Valid]]=TRUE,((Table1[[#This Row],[Birthweight (grams)]]/Table1[[#This Row],[BW_GA]])-1)/(Backend!$B$4/100*Table1[[#This Row],[BW40_3705]]),"")</f>
        <v/>
      </c>
      <c r="H456" s="7" t="str">
        <f>IF(Table1[[#This Row],[Is Data Valid]]=TRUE,((Table1[[#This Row],[Birthweight (grams)]]*0.9/Table1[[#This Row],[BW_GA]])-1)/(Backend!$B$4/100*Table1[[#This Row],[BW40_3705]]),"")</f>
        <v/>
      </c>
      <c r="I456" s="7" t="str">
        <f>IF(Table1[[#This Row],[Is Data Valid]]=TRUE,((Table1[[#This Row],[Birthweight (grams)]]*1.1/Table1[[#This Row],[BW_GA]])-1)/(Backend!$B$4/100*Table1[[#This Row],[BW40_3705]]),"")</f>
        <v/>
      </c>
      <c r="J456" s="7" t="str">
        <f>IF(Table1[[#This Row],[Is Data Valid]]=TRUE,_xlfn.NORM.S.DIST(Table1[[#This Row],[Birthweight Z-Score]],TRUE)*100,"")</f>
        <v/>
      </c>
      <c r="K456" s="7" t="str">
        <f>IF(Table1[[#This Row],[Is Data Valid]]=TRUE,_xlfn.NORM.S.DIST(Table1[[#This Row],[Birthweight Z-Score (BW-10%)]],TRUE)*100,"")</f>
        <v/>
      </c>
      <c r="L456" s="7" t="str">
        <f>IF(Table1[[#This Row],[Is Data Valid]]=TRUE,_xlfn.NORM.S.DIST(Table1[[#This Row],[Birthweight Z-Score (BW+10%)]],TRUE)*100,"")</f>
        <v/>
      </c>
    </row>
    <row r="457" spans="1:12" x14ac:dyDescent="0.35">
      <c r="A457" s="3"/>
      <c r="B457" s="2"/>
      <c r="C457" s="2"/>
      <c r="D457" s="2" t="b">
        <f>IF(AND(NOT(ISBLANK(Table1[[#This Row],[Fetal Sex (Male, Female or Unknown)]])),ISNUMBER(Table1[[#This Row],[Birthweight (grams)]]),ISNUMBER(Table1[[#This Row],[Gestation (days)]])),TRUE,FALSE)</f>
        <v>0</v>
      </c>
      <c r="E457" s="2" t="str">
        <f>IF(Table1[[#This Row],[Is Data Valid]]=TRUE,IF(Table1[[#This Row],[Fetal Sex (Male, Female or Unknown)]]="Male",Backend!$C$6,IF(Table1[[#This Row],[Fetal Sex (Male, Female or Unknown)]]="Female",Backend!$C$7,IF(Table1[[#This Row],[Fetal Sex (Male, Female or Unknown)]]="Unknown",Backend!$C$8,"Error"))),"")</f>
        <v/>
      </c>
      <c r="F457" s="8" t="str">
        <f>IF(Table1[[#This Row],[Is Data Valid]]=TRUE,EXP(0.578+0.332*((Table1[[#This Row],[Gestation (days)]]+0.5)/7)-0.00354*((Table1[[#This Row],[Gestation (days)]]+0.5)/7)^2)*Table1[[#This Row],[BW40_3705]],"")</f>
        <v/>
      </c>
      <c r="G457" s="2" t="str">
        <f>IF(Table1[[#This Row],[Is Data Valid]]=TRUE,((Table1[[#This Row],[Birthweight (grams)]]/Table1[[#This Row],[BW_GA]])-1)/(Backend!$B$4/100*Table1[[#This Row],[BW40_3705]]),"")</f>
        <v/>
      </c>
      <c r="H457" s="7" t="str">
        <f>IF(Table1[[#This Row],[Is Data Valid]]=TRUE,((Table1[[#This Row],[Birthweight (grams)]]*0.9/Table1[[#This Row],[BW_GA]])-1)/(Backend!$B$4/100*Table1[[#This Row],[BW40_3705]]),"")</f>
        <v/>
      </c>
      <c r="I457" s="7" t="str">
        <f>IF(Table1[[#This Row],[Is Data Valid]]=TRUE,((Table1[[#This Row],[Birthweight (grams)]]*1.1/Table1[[#This Row],[BW_GA]])-1)/(Backend!$B$4/100*Table1[[#This Row],[BW40_3705]]),"")</f>
        <v/>
      </c>
      <c r="J457" s="7" t="str">
        <f>IF(Table1[[#This Row],[Is Data Valid]]=TRUE,_xlfn.NORM.S.DIST(Table1[[#This Row],[Birthweight Z-Score]],TRUE)*100,"")</f>
        <v/>
      </c>
      <c r="K457" s="7" t="str">
        <f>IF(Table1[[#This Row],[Is Data Valid]]=TRUE,_xlfn.NORM.S.DIST(Table1[[#This Row],[Birthweight Z-Score (BW-10%)]],TRUE)*100,"")</f>
        <v/>
      </c>
      <c r="L457" s="7" t="str">
        <f>IF(Table1[[#This Row],[Is Data Valid]]=TRUE,_xlfn.NORM.S.DIST(Table1[[#This Row],[Birthweight Z-Score (BW+10%)]],TRUE)*100,"")</f>
        <v/>
      </c>
    </row>
    <row r="458" spans="1:12" x14ac:dyDescent="0.35">
      <c r="A458" s="3"/>
      <c r="B458" s="2"/>
      <c r="C458" s="2"/>
      <c r="D458" s="2" t="b">
        <f>IF(AND(NOT(ISBLANK(Table1[[#This Row],[Fetal Sex (Male, Female or Unknown)]])),ISNUMBER(Table1[[#This Row],[Birthweight (grams)]]),ISNUMBER(Table1[[#This Row],[Gestation (days)]])),TRUE,FALSE)</f>
        <v>0</v>
      </c>
      <c r="E458" s="2" t="str">
        <f>IF(Table1[[#This Row],[Is Data Valid]]=TRUE,IF(Table1[[#This Row],[Fetal Sex (Male, Female or Unknown)]]="Male",Backend!$C$6,IF(Table1[[#This Row],[Fetal Sex (Male, Female or Unknown)]]="Female",Backend!$C$7,IF(Table1[[#This Row],[Fetal Sex (Male, Female or Unknown)]]="Unknown",Backend!$C$8,"Error"))),"")</f>
        <v/>
      </c>
      <c r="F458" s="8" t="str">
        <f>IF(Table1[[#This Row],[Is Data Valid]]=TRUE,EXP(0.578+0.332*((Table1[[#This Row],[Gestation (days)]]+0.5)/7)-0.00354*((Table1[[#This Row],[Gestation (days)]]+0.5)/7)^2)*Table1[[#This Row],[BW40_3705]],"")</f>
        <v/>
      </c>
      <c r="G458" s="2" t="str">
        <f>IF(Table1[[#This Row],[Is Data Valid]]=TRUE,((Table1[[#This Row],[Birthweight (grams)]]/Table1[[#This Row],[BW_GA]])-1)/(Backend!$B$4/100*Table1[[#This Row],[BW40_3705]]),"")</f>
        <v/>
      </c>
      <c r="H458" s="7" t="str">
        <f>IF(Table1[[#This Row],[Is Data Valid]]=TRUE,((Table1[[#This Row],[Birthweight (grams)]]*0.9/Table1[[#This Row],[BW_GA]])-1)/(Backend!$B$4/100*Table1[[#This Row],[BW40_3705]]),"")</f>
        <v/>
      </c>
      <c r="I458" s="7" t="str">
        <f>IF(Table1[[#This Row],[Is Data Valid]]=TRUE,((Table1[[#This Row],[Birthweight (grams)]]*1.1/Table1[[#This Row],[BW_GA]])-1)/(Backend!$B$4/100*Table1[[#This Row],[BW40_3705]]),"")</f>
        <v/>
      </c>
      <c r="J458" s="7" t="str">
        <f>IF(Table1[[#This Row],[Is Data Valid]]=TRUE,_xlfn.NORM.S.DIST(Table1[[#This Row],[Birthweight Z-Score]],TRUE)*100,"")</f>
        <v/>
      </c>
      <c r="K458" s="7" t="str">
        <f>IF(Table1[[#This Row],[Is Data Valid]]=TRUE,_xlfn.NORM.S.DIST(Table1[[#This Row],[Birthweight Z-Score (BW-10%)]],TRUE)*100,"")</f>
        <v/>
      </c>
      <c r="L458" s="7" t="str">
        <f>IF(Table1[[#This Row],[Is Data Valid]]=TRUE,_xlfn.NORM.S.DIST(Table1[[#This Row],[Birthweight Z-Score (BW+10%)]],TRUE)*100,"")</f>
        <v/>
      </c>
    </row>
    <row r="459" spans="1:12" x14ac:dyDescent="0.35">
      <c r="A459" s="3"/>
      <c r="B459" s="2"/>
      <c r="C459" s="2"/>
      <c r="D459" s="2" t="b">
        <f>IF(AND(NOT(ISBLANK(Table1[[#This Row],[Fetal Sex (Male, Female or Unknown)]])),ISNUMBER(Table1[[#This Row],[Birthweight (grams)]]),ISNUMBER(Table1[[#This Row],[Gestation (days)]])),TRUE,FALSE)</f>
        <v>0</v>
      </c>
      <c r="E459" s="2" t="str">
        <f>IF(Table1[[#This Row],[Is Data Valid]]=TRUE,IF(Table1[[#This Row],[Fetal Sex (Male, Female or Unknown)]]="Male",Backend!$C$6,IF(Table1[[#This Row],[Fetal Sex (Male, Female or Unknown)]]="Female",Backend!$C$7,IF(Table1[[#This Row],[Fetal Sex (Male, Female or Unknown)]]="Unknown",Backend!$C$8,"Error"))),"")</f>
        <v/>
      </c>
      <c r="F459" s="8" t="str">
        <f>IF(Table1[[#This Row],[Is Data Valid]]=TRUE,EXP(0.578+0.332*((Table1[[#This Row],[Gestation (days)]]+0.5)/7)-0.00354*((Table1[[#This Row],[Gestation (days)]]+0.5)/7)^2)*Table1[[#This Row],[BW40_3705]],"")</f>
        <v/>
      </c>
      <c r="G459" s="2" t="str">
        <f>IF(Table1[[#This Row],[Is Data Valid]]=TRUE,((Table1[[#This Row],[Birthweight (grams)]]/Table1[[#This Row],[BW_GA]])-1)/(Backend!$B$4/100*Table1[[#This Row],[BW40_3705]]),"")</f>
        <v/>
      </c>
      <c r="H459" s="7" t="str">
        <f>IF(Table1[[#This Row],[Is Data Valid]]=TRUE,((Table1[[#This Row],[Birthweight (grams)]]*0.9/Table1[[#This Row],[BW_GA]])-1)/(Backend!$B$4/100*Table1[[#This Row],[BW40_3705]]),"")</f>
        <v/>
      </c>
      <c r="I459" s="7" t="str">
        <f>IF(Table1[[#This Row],[Is Data Valid]]=TRUE,((Table1[[#This Row],[Birthweight (grams)]]*1.1/Table1[[#This Row],[BW_GA]])-1)/(Backend!$B$4/100*Table1[[#This Row],[BW40_3705]]),"")</f>
        <v/>
      </c>
      <c r="J459" s="7" t="str">
        <f>IF(Table1[[#This Row],[Is Data Valid]]=TRUE,_xlfn.NORM.S.DIST(Table1[[#This Row],[Birthweight Z-Score]],TRUE)*100,"")</f>
        <v/>
      </c>
      <c r="K459" s="7" t="str">
        <f>IF(Table1[[#This Row],[Is Data Valid]]=TRUE,_xlfn.NORM.S.DIST(Table1[[#This Row],[Birthweight Z-Score (BW-10%)]],TRUE)*100,"")</f>
        <v/>
      </c>
      <c r="L459" s="7" t="str">
        <f>IF(Table1[[#This Row],[Is Data Valid]]=TRUE,_xlfn.NORM.S.DIST(Table1[[#This Row],[Birthweight Z-Score (BW+10%)]],TRUE)*100,"")</f>
        <v/>
      </c>
    </row>
    <row r="460" spans="1:12" x14ac:dyDescent="0.35">
      <c r="A460" s="3"/>
      <c r="B460" s="2"/>
      <c r="C460" s="2"/>
      <c r="D460" s="2" t="b">
        <f>IF(AND(NOT(ISBLANK(Table1[[#This Row],[Fetal Sex (Male, Female or Unknown)]])),ISNUMBER(Table1[[#This Row],[Birthweight (grams)]]),ISNUMBER(Table1[[#This Row],[Gestation (days)]])),TRUE,FALSE)</f>
        <v>0</v>
      </c>
      <c r="E460" s="2" t="str">
        <f>IF(Table1[[#This Row],[Is Data Valid]]=TRUE,IF(Table1[[#This Row],[Fetal Sex (Male, Female or Unknown)]]="Male",Backend!$C$6,IF(Table1[[#This Row],[Fetal Sex (Male, Female or Unknown)]]="Female",Backend!$C$7,IF(Table1[[#This Row],[Fetal Sex (Male, Female or Unknown)]]="Unknown",Backend!$C$8,"Error"))),"")</f>
        <v/>
      </c>
      <c r="F460" s="8" t="str">
        <f>IF(Table1[[#This Row],[Is Data Valid]]=TRUE,EXP(0.578+0.332*((Table1[[#This Row],[Gestation (days)]]+0.5)/7)-0.00354*((Table1[[#This Row],[Gestation (days)]]+0.5)/7)^2)*Table1[[#This Row],[BW40_3705]],"")</f>
        <v/>
      </c>
      <c r="G460" s="2" t="str">
        <f>IF(Table1[[#This Row],[Is Data Valid]]=TRUE,((Table1[[#This Row],[Birthweight (grams)]]/Table1[[#This Row],[BW_GA]])-1)/(Backend!$B$4/100*Table1[[#This Row],[BW40_3705]]),"")</f>
        <v/>
      </c>
      <c r="H460" s="7" t="str">
        <f>IF(Table1[[#This Row],[Is Data Valid]]=TRUE,((Table1[[#This Row],[Birthweight (grams)]]*0.9/Table1[[#This Row],[BW_GA]])-1)/(Backend!$B$4/100*Table1[[#This Row],[BW40_3705]]),"")</f>
        <v/>
      </c>
      <c r="I460" s="7" t="str">
        <f>IF(Table1[[#This Row],[Is Data Valid]]=TRUE,((Table1[[#This Row],[Birthweight (grams)]]*1.1/Table1[[#This Row],[BW_GA]])-1)/(Backend!$B$4/100*Table1[[#This Row],[BW40_3705]]),"")</f>
        <v/>
      </c>
      <c r="J460" s="7" t="str">
        <f>IF(Table1[[#This Row],[Is Data Valid]]=TRUE,_xlfn.NORM.S.DIST(Table1[[#This Row],[Birthweight Z-Score]],TRUE)*100,"")</f>
        <v/>
      </c>
      <c r="K460" s="7" t="str">
        <f>IF(Table1[[#This Row],[Is Data Valid]]=TRUE,_xlfn.NORM.S.DIST(Table1[[#This Row],[Birthweight Z-Score (BW-10%)]],TRUE)*100,"")</f>
        <v/>
      </c>
      <c r="L460" s="7" t="str">
        <f>IF(Table1[[#This Row],[Is Data Valid]]=TRUE,_xlfn.NORM.S.DIST(Table1[[#This Row],[Birthweight Z-Score (BW+10%)]],TRUE)*100,"")</f>
        <v/>
      </c>
    </row>
    <row r="461" spans="1:12" x14ac:dyDescent="0.35">
      <c r="A461" s="3"/>
      <c r="B461" s="2"/>
      <c r="C461" s="2"/>
      <c r="D461" s="2" t="b">
        <f>IF(AND(NOT(ISBLANK(Table1[[#This Row],[Fetal Sex (Male, Female or Unknown)]])),ISNUMBER(Table1[[#This Row],[Birthweight (grams)]]),ISNUMBER(Table1[[#This Row],[Gestation (days)]])),TRUE,FALSE)</f>
        <v>0</v>
      </c>
      <c r="E461" s="2" t="str">
        <f>IF(Table1[[#This Row],[Is Data Valid]]=TRUE,IF(Table1[[#This Row],[Fetal Sex (Male, Female or Unknown)]]="Male",Backend!$C$6,IF(Table1[[#This Row],[Fetal Sex (Male, Female or Unknown)]]="Female",Backend!$C$7,IF(Table1[[#This Row],[Fetal Sex (Male, Female or Unknown)]]="Unknown",Backend!$C$8,"Error"))),"")</f>
        <v/>
      </c>
      <c r="F461" s="8" t="str">
        <f>IF(Table1[[#This Row],[Is Data Valid]]=TRUE,EXP(0.578+0.332*((Table1[[#This Row],[Gestation (days)]]+0.5)/7)-0.00354*((Table1[[#This Row],[Gestation (days)]]+0.5)/7)^2)*Table1[[#This Row],[BW40_3705]],"")</f>
        <v/>
      </c>
      <c r="G461" s="2" t="str">
        <f>IF(Table1[[#This Row],[Is Data Valid]]=TRUE,((Table1[[#This Row],[Birthweight (grams)]]/Table1[[#This Row],[BW_GA]])-1)/(Backend!$B$4/100*Table1[[#This Row],[BW40_3705]]),"")</f>
        <v/>
      </c>
      <c r="H461" s="7" t="str">
        <f>IF(Table1[[#This Row],[Is Data Valid]]=TRUE,((Table1[[#This Row],[Birthweight (grams)]]*0.9/Table1[[#This Row],[BW_GA]])-1)/(Backend!$B$4/100*Table1[[#This Row],[BW40_3705]]),"")</f>
        <v/>
      </c>
      <c r="I461" s="7" t="str">
        <f>IF(Table1[[#This Row],[Is Data Valid]]=TRUE,((Table1[[#This Row],[Birthweight (grams)]]*1.1/Table1[[#This Row],[BW_GA]])-1)/(Backend!$B$4/100*Table1[[#This Row],[BW40_3705]]),"")</f>
        <v/>
      </c>
      <c r="J461" s="7" t="str">
        <f>IF(Table1[[#This Row],[Is Data Valid]]=TRUE,_xlfn.NORM.S.DIST(Table1[[#This Row],[Birthweight Z-Score]],TRUE)*100,"")</f>
        <v/>
      </c>
      <c r="K461" s="7" t="str">
        <f>IF(Table1[[#This Row],[Is Data Valid]]=TRUE,_xlfn.NORM.S.DIST(Table1[[#This Row],[Birthweight Z-Score (BW-10%)]],TRUE)*100,"")</f>
        <v/>
      </c>
      <c r="L461" s="7" t="str">
        <f>IF(Table1[[#This Row],[Is Data Valid]]=TRUE,_xlfn.NORM.S.DIST(Table1[[#This Row],[Birthweight Z-Score (BW+10%)]],TRUE)*100,"")</f>
        <v/>
      </c>
    </row>
    <row r="462" spans="1:12" x14ac:dyDescent="0.35">
      <c r="A462" s="3"/>
      <c r="B462" s="2"/>
      <c r="C462" s="2"/>
      <c r="D462" s="2" t="b">
        <f>IF(AND(NOT(ISBLANK(Table1[[#This Row],[Fetal Sex (Male, Female or Unknown)]])),ISNUMBER(Table1[[#This Row],[Birthweight (grams)]]),ISNUMBER(Table1[[#This Row],[Gestation (days)]])),TRUE,FALSE)</f>
        <v>0</v>
      </c>
      <c r="E462" s="2" t="str">
        <f>IF(Table1[[#This Row],[Is Data Valid]]=TRUE,IF(Table1[[#This Row],[Fetal Sex (Male, Female or Unknown)]]="Male",Backend!$C$6,IF(Table1[[#This Row],[Fetal Sex (Male, Female or Unknown)]]="Female",Backend!$C$7,IF(Table1[[#This Row],[Fetal Sex (Male, Female or Unknown)]]="Unknown",Backend!$C$8,"Error"))),"")</f>
        <v/>
      </c>
      <c r="F462" s="8" t="str">
        <f>IF(Table1[[#This Row],[Is Data Valid]]=TRUE,EXP(0.578+0.332*((Table1[[#This Row],[Gestation (days)]]+0.5)/7)-0.00354*((Table1[[#This Row],[Gestation (days)]]+0.5)/7)^2)*Table1[[#This Row],[BW40_3705]],"")</f>
        <v/>
      </c>
      <c r="G462" s="2" t="str">
        <f>IF(Table1[[#This Row],[Is Data Valid]]=TRUE,((Table1[[#This Row],[Birthweight (grams)]]/Table1[[#This Row],[BW_GA]])-1)/(Backend!$B$4/100*Table1[[#This Row],[BW40_3705]]),"")</f>
        <v/>
      </c>
      <c r="H462" s="7" t="str">
        <f>IF(Table1[[#This Row],[Is Data Valid]]=TRUE,((Table1[[#This Row],[Birthweight (grams)]]*0.9/Table1[[#This Row],[BW_GA]])-1)/(Backend!$B$4/100*Table1[[#This Row],[BW40_3705]]),"")</f>
        <v/>
      </c>
      <c r="I462" s="7" t="str">
        <f>IF(Table1[[#This Row],[Is Data Valid]]=TRUE,((Table1[[#This Row],[Birthweight (grams)]]*1.1/Table1[[#This Row],[BW_GA]])-1)/(Backend!$B$4/100*Table1[[#This Row],[BW40_3705]]),"")</f>
        <v/>
      </c>
      <c r="J462" s="7" t="str">
        <f>IF(Table1[[#This Row],[Is Data Valid]]=TRUE,_xlfn.NORM.S.DIST(Table1[[#This Row],[Birthweight Z-Score]],TRUE)*100,"")</f>
        <v/>
      </c>
      <c r="K462" s="7" t="str">
        <f>IF(Table1[[#This Row],[Is Data Valid]]=TRUE,_xlfn.NORM.S.DIST(Table1[[#This Row],[Birthweight Z-Score (BW-10%)]],TRUE)*100,"")</f>
        <v/>
      </c>
      <c r="L462" s="7" t="str">
        <f>IF(Table1[[#This Row],[Is Data Valid]]=TRUE,_xlfn.NORM.S.DIST(Table1[[#This Row],[Birthweight Z-Score (BW+10%)]],TRUE)*100,"")</f>
        <v/>
      </c>
    </row>
    <row r="463" spans="1:12" x14ac:dyDescent="0.35">
      <c r="A463" s="3"/>
      <c r="B463" s="2"/>
      <c r="C463" s="2"/>
      <c r="D463" s="2" t="b">
        <f>IF(AND(NOT(ISBLANK(Table1[[#This Row],[Fetal Sex (Male, Female or Unknown)]])),ISNUMBER(Table1[[#This Row],[Birthweight (grams)]]),ISNUMBER(Table1[[#This Row],[Gestation (days)]])),TRUE,FALSE)</f>
        <v>0</v>
      </c>
      <c r="E463" s="2" t="str">
        <f>IF(Table1[[#This Row],[Is Data Valid]]=TRUE,IF(Table1[[#This Row],[Fetal Sex (Male, Female or Unknown)]]="Male",Backend!$C$6,IF(Table1[[#This Row],[Fetal Sex (Male, Female or Unknown)]]="Female",Backend!$C$7,IF(Table1[[#This Row],[Fetal Sex (Male, Female or Unknown)]]="Unknown",Backend!$C$8,"Error"))),"")</f>
        <v/>
      </c>
      <c r="F463" s="8" t="str">
        <f>IF(Table1[[#This Row],[Is Data Valid]]=TRUE,EXP(0.578+0.332*((Table1[[#This Row],[Gestation (days)]]+0.5)/7)-0.00354*((Table1[[#This Row],[Gestation (days)]]+0.5)/7)^2)*Table1[[#This Row],[BW40_3705]],"")</f>
        <v/>
      </c>
      <c r="G463" s="2" t="str">
        <f>IF(Table1[[#This Row],[Is Data Valid]]=TRUE,((Table1[[#This Row],[Birthweight (grams)]]/Table1[[#This Row],[BW_GA]])-1)/(Backend!$B$4/100*Table1[[#This Row],[BW40_3705]]),"")</f>
        <v/>
      </c>
      <c r="H463" s="7" t="str">
        <f>IF(Table1[[#This Row],[Is Data Valid]]=TRUE,((Table1[[#This Row],[Birthweight (grams)]]*0.9/Table1[[#This Row],[BW_GA]])-1)/(Backend!$B$4/100*Table1[[#This Row],[BW40_3705]]),"")</f>
        <v/>
      </c>
      <c r="I463" s="7" t="str">
        <f>IF(Table1[[#This Row],[Is Data Valid]]=TRUE,((Table1[[#This Row],[Birthweight (grams)]]*1.1/Table1[[#This Row],[BW_GA]])-1)/(Backend!$B$4/100*Table1[[#This Row],[BW40_3705]]),"")</f>
        <v/>
      </c>
      <c r="J463" s="7" t="str">
        <f>IF(Table1[[#This Row],[Is Data Valid]]=TRUE,_xlfn.NORM.S.DIST(Table1[[#This Row],[Birthweight Z-Score]],TRUE)*100,"")</f>
        <v/>
      </c>
      <c r="K463" s="7" t="str">
        <f>IF(Table1[[#This Row],[Is Data Valid]]=TRUE,_xlfn.NORM.S.DIST(Table1[[#This Row],[Birthweight Z-Score (BW-10%)]],TRUE)*100,"")</f>
        <v/>
      </c>
      <c r="L463" s="7" t="str">
        <f>IF(Table1[[#This Row],[Is Data Valid]]=TRUE,_xlfn.NORM.S.DIST(Table1[[#This Row],[Birthweight Z-Score (BW+10%)]],TRUE)*100,"")</f>
        <v/>
      </c>
    </row>
    <row r="464" spans="1:12" x14ac:dyDescent="0.35">
      <c r="A464" s="3"/>
      <c r="B464" s="2"/>
      <c r="C464" s="2"/>
      <c r="D464" s="2" t="b">
        <f>IF(AND(NOT(ISBLANK(Table1[[#This Row],[Fetal Sex (Male, Female or Unknown)]])),ISNUMBER(Table1[[#This Row],[Birthweight (grams)]]),ISNUMBER(Table1[[#This Row],[Gestation (days)]])),TRUE,FALSE)</f>
        <v>0</v>
      </c>
      <c r="E464" s="2" t="str">
        <f>IF(Table1[[#This Row],[Is Data Valid]]=TRUE,IF(Table1[[#This Row],[Fetal Sex (Male, Female or Unknown)]]="Male",Backend!$C$6,IF(Table1[[#This Row],[Fetal Sex (Male, Female or Unknown)]]="Female",Backend!$C$7,IF(Table1[[#This Row],[Fetal Sex (Male, Female or Unknown)]]="Unknown",Backend!$C$8,"Error"))),"")</f>
        <v/>
      </c>
      <c r="F464" s="8" t="str">
        <f>IF(Table1[[#This Row],[Is Data Valid]]=TRUE,EXP(0.578+0.332*((Table1[[#This Row],[Gestation (days)]]+0.5)/7)-0.00354*((Table1[[#This Row],[Gestation (days)]]+0.5)/7)^2)*Table1[[#This Row],[BW40_3705]],"")</f>
        <v/>
      </c>
      <c r="G464" s="2" t="str">
        <f>IF(Table1[[#This Row],[Is Data Valid]]=TRUE,((Table1[[#This Row],[Birthweight (grams)]]/Table1[[#This Row],[BW_GA]])-1)/(Backend!$B$4/100*Table1[[#This Row],[BW40_3705]]),"")</f>
        <v/>
      </c>
      <c r="H464" s="7" t="str">
        <f>IF(Table1[[#This Row],[Is Data Valid]]=TRUE,((Table1[[#This Row],[Birthweight (grams)]]*0.9/Table1[[#This Row],[BW_GA]])-1)/(Backend!$B$4/100*Table1[[#This Row],[BW40_3705]]),"")</f>
        <v/>
      </c>
      <c r="I464" s="7" t="str">
        <f>IF(Table1[[#This Row],[Is Data Valid]]=TRUE,((Table1[[#This Row],[Birthweight (grams)]]*1.1/Table1[[#This Row],[BW_GA]])-1)/(Backend!$B$4/100*Table1[[#This Row],[BW40_3705]]),"")</f>
        <v/>
      </c>
      <c r="J464" s="7" t="str">
        <f>IF(Table1[[#This Row],[Is Data Valid]]=TRUE,_xlfn.NORM.S.DIST(Table1[[#This Row],[Birthweight Z-Score]],TRUE)*100,"")</f>
        <v/>
      </c>
      <c r="K464" s="7" t="str">
        <f>IF(Table1[[#This Row],[Is Data Valid]]=TRUE,_xlfn.NORM.S.DIST(Table1[[#This Row],[Birthweight Z-Score (BW-10%)]],TRUE)*100,"")</f>
        <v/>
      </c>
      <c r="L464" s="7" t="str">
        <f>IF(Table1[[#This Row],[Is Data Valid]]=TRUE,_xlfn.NORM.S.DIST(Table1[[#This Row],[Birthweight Z-Score (BW+10%)]],TRUE)*100,"")</f>
        <v/>
      </c>
    </row>
    <row r="465" spans="1:12" x14ac:dyDescent="0.35">
      <c r="A465" s="3"/>
      <c r="B465" s="2"/>
      <c r="C465" s="2"/>
      <c r="D465" s="2" t="b">
        <f>IF(AND(NOT(ISBLANK(Table1[[#This Row],[Fetal Sex (Male, Female or Unknown)]])),ISNUMBER(Table1[[#This Row],[Birthweight (grams)]]),ISNUMBER(Table1[[#This Row],[Gestation (days)]])),TRUE,FALSE)</f>
        <v>0</v>
      </c>
      <c r="E465" s="2" t="str">
        <f>IF(Table1[[#This Row],[Is Data Valid]]=TRUE,IF(Table1[[#This Row],[Fetal Sex (Male, Female or Unknown)]]="Male",Backend!$C$6,IF(Table1[[#This Row],[Fetal Sex (Male, Female or Unknown)]]="Female",Backend!$C$7,IF(Table1[[#This Row],[Fetal Sex (Male, Female or Unknown)]]="Unknown",Backend!$C$8,"Error"))),"")</f>
        <v/>
      </c>
      <c r="F465" s="8" t="str">
        <f>IF(Table1[[#This Row],[Is Data Valid]]=TRUE,EXP(0.578+0.332*((Table1[[#This Row],[Gestation (days)]]+0.5)/7)-0.00354*((Table1[[#This Row],[Gestation (days)]]+0.5)/7)^2)*Table1[[#This Row],[BW40_3705]],"")</f>
        <v/>
      </c>
      <c r="G465" s="2" t="str">
        <f>IF(Table1[[#This Row],[Is Data Valid]]=TRUE,((Table1[[#This Row],[Birthweight (grams)]]/Table1[[#This Row],[BW_GA]])-1)/(Backend!$B$4/100*Table1[[#This Row],[BW40_3705]]),"")</f>
        <v/>
      </c>
      <c r="H465" s="7" t="str">
        <f>IF(Table1[[#This Row],[Is Data Valid]]=TRUE,((Table1[[#This Row],[Birthweight (grams)]]*0.9/Table1[[#This Row],[BW_GA]])-1)/(Backend!$B$4/100*Table1[[#This Row],[BW40_3705]]),"")</f>
        <v/>
      </c>
      <c r="I465" s="7" t="str">
        <f>IF(Table1[[#This Row],[Is Data Valid]]=TRUE,((Table1[[#This Row],[Birthweight (grams)]]*1.1/Table1[[#This Row],[BW_GA]])-1)/(Backend!$B$4/100*Table1[[#This Row],[BW40_3705]]),"")</f>
        <v/>
      </c>
      <c r="J465" s="7" t="str">
        <f>IF(Table1[[#This Row],[Is Data Valid]]=TRUE,_xlfn.NORM.S.DIST(Table1[[#This Row],[Birthweight Z-Score]],TRUE)*100,"")</f>
        <v/>
      </c>
      <c r="K465" s="7" t="str">
        <f>IF(Table1[[#This Row],[Is Data Valid]]=TRUE,_xlfn.NORM.S.DIST(Table1[[#This Row],[Birthweight Z-Score (BW-10%)]],TRUE)*100,"")</f>
        <v/>
      </c>
      <c r="L465" s="7" t="str">
        <f>IF(Table1[[#This Row],[Is Data Valid]]=TRUE,_xlfn.NORM.S.DIST(Table1[[#This Row],[Birthweight Z-Score (BW+10%)]],TRUE)*100,"")</f>
        <v/>
      </c>
    </row>
    <row r="466" spans="1:12" x14ac:dyDescent="0.35">
      <c r="A466" s="3"/>
      <c r="B466" s="2"/>
      <c r="C466" s="2"/>
      <c r="D466" s="2" t="b">
        <f>IF(AND(NOT(ISBLANK(Table1[[#This Row],[Fetal Sex (Male, Female or Unknown)]])),ISNUMBER(Table1[[#This Row],[Birthweight (grams)]]),ISNUMBER(Table1[[#This Row],[Gestation (days)]])),TRUE,FALSE)</f>
        <v>0</v>
      </c>
      <c r="E466" s="2" t="str">
        <f>IF(Table1[[#This Row],[Is Data Valid]]=TRUE,IF(Table1[[#This Row],[Fetal Sex (Male, Female or Unknown)]]="Male",Backend!$C$6,IF(Table1[[#This Row],[Fetal Sex (Male, Female or Unknown)]]="Female",Backend!$C$7,IF(Table1[[#This Row],[Fetal Sex (Male, Female or Unknown)]]="Unknown",Backend!$C$8,"Error"))),"")</f>
        <v/>
      </c>
      <c r="F466" s="8" t="str">
        <f>IF(Table1[[#This Row],[Is Data Valid]]=TRUE,EXP(0.578+0.332*((Table1[[#This Row],[Gestation (days)]]+0.5)/7)-0.00354*((Table1[[#This Row],[Gestation (days)]]+0.5)/7)^2)*Table1[[#This Row],[BW40_3705]],"")</f>
        <v/>
      </c>
      <c r="G466" s="2" t="str">
        <f>IF(Table1[[#This Row],[Is Data Valid]]=TRUE,((Table1[[#This Row],[Birthweight (grams)]]/Table1[[#This Row],[BW_GA]])-1)/(Backend!$B$4/100*Table1[[#This Row],[BW40_3705]]),"")</f>
        <v/>
      </c>
      <c r="H466" s="7" t="str">
        <f>IF(Table1[[#This Row],[Is Data Valid]]=TRUE,((Table1[[#This Row],[Birthweight (grams)]]*0.9/Table1[[#This Row],[BW_GA]])-1)/(Backend!$B$4/100*Table1[[#This Row],[BW40_3705]]),"")</f>
        <v/>
      </c>
      <c r="I466" s="7" t="str">
        <f>IF(Table1[[#This Row],[Is Data Valid]]=TRUE,((Table1[[#This Row],[Birthweight (grams)]]*1.1/Table1[[#This Row],[BW_GA]])-1)/(Backend!$B$4/100*Table1[[#This Row],[BW40_3705]]),"")</f>
        <v/>
      </c>
      <c r="J466" s="7" t="str">
        <f>IF(Table1[[#This Row],[Is Data Valid]]=TRUE,_xlfn.NORM.S.DIST(Table1[[#This Row],[Birthweight Z-Score]],TRUE)*100,"")</f>
        <v/>
      </c>
      <c r="K466" s="7" t="str">
        <f>IF(Table1[[#This Row],[Is Data Valid]]=TRUE,_xlfn.NORM.S.DIST(Table1[[#This Row],[Birthweight Z-Score (BW-10%)]],TRUE)*100,"")</f>
        <v/>
      </c>
      <c r="L466" s="7" t="str">
        <f>IF(Table1[[#This Row],[Is Data Valid]]=TRUE,_xlfn.NORM.S.DIST(Table1[[#This Row],[Birthweight Z-Score (BW+10%)]],TRUE)*100,"")</f>
        <v/>
      </c>
    </row>
    <row r="467" spans="1:12" x14ac:dyDescent="0.35">
      <c r="A467" s="3"/>
      <c r="B467" s="2"/>
      <c r="C467" s="2"/>
      <c r="D467" s="2" t="b">
        <f>IF(AND(NOT(ISBLANK(Table1[[#This Row],[Fetal Sex (Male, Female or Unknown)]])),ISNUMBER(Table1[[#This Row],[Birthweight (grams)]]),ISNUMBER(Table1[[#This Row],[Gestation (days)]])),TRUE,FALSE)</f>
        <v>0</v>
      </c>
      <c r="E467" s="2" t="str">
        <f>IF(Table1[[#This Row],[Is Data Valid]]=TRUE,IF(Table1[[#This Row],[Fetal Sex (Male, Female or Unknown)]]="Male",Backend!$C$6,IF(Table1[[#This Row],[Fetal Sex (Male, Female or Unknown)]]="Female",Backend!$C$7,IF(Table1[[#This Row],[Fetal Sex (Male, Female or Unknown)]]="Unknown",Backend!$C$8,"Error"))),"")</f>
        <v/>
      </c>
      <c r="F467" s="8" t="str">
        <f>IF(Table1[[#This Row],[Is Data Valid]]=TRUE,EXP(0.578+0.332*((Table1[[#This Row],[Gestation (days)]]+0.5)/7)-0.00354*((Table1[[#This Row],[Gestation (days)]]+0.5)/7)^2)*Table1[[#This Row],[BW40_3705]],"")</f>
        <v/>
      </c>
      <c r="G467" s="2" t="str">
        <f>IF(Table1[[#This Row],[Is Data Valid]]=TRUE,((Table1[[#This Row],[Birthweight (grams)]]/Table1[[#This Row],[BW_GA]])-1)/(Backend!$B$4/100*Table1[[#This Row],[BW40_3705]]),"")</f>
        <v/>
      </c>
      <c r="H467" s="7" t="str">
        <f>IF(Table1[[#This Row],[Is Data Valid]]=TRUE,((Table1[[#This Row],[Birthweight (grams)]]*0.9/Table1[[#This Row],[BW_GA]])-1)/(Backend!$B$4/100*Table1[[#This Row],[BW40_3705]]),"")</f>
        <v/>
      </c>
      <c r="I467" s="7" t="str">
        <f>IF(Table1[[#This Row],[Is Data Valid]]=TRUE,((Table1[[#This Row],[Birthweight (grams)]]*1.1/Table1[[#This Row],[BW_GA]])-1)/(Backend!$B$4/100*Table1[[#This Row],[BW40_3705]]),"")</f>
        <v/>
      </c>
      <c r="J467" s="7" t="str">
        <f>IF(Table1[[#This Row],[Is Data Valid]]=TRUE,_xlfn.NORM.S.DIST(Table1[[#This Row],[Birthweight Z-Score]],TRUE)*100,"")</f>
        <v/>
      </c>
      <c r="K467" s="7" t="str">
        <f>IF(Table1[[#This Row],[Is Data Valid]]=TRUE,_xlfn.NORM.S.DIST(Table1[[#This Row],[Birthweight Z-Score (BW-10%)]],TRUE)*100,"")</f>
        <v/>
      </c>
      <c r="L467" s="7" t="str">
        <f>IF(Table1[[#This Row],[Is Data Valid]]=TRUE,_xlfn.NORM.S.DIST(Table1[[#This Row],[Birthweight Z-Score (BW+10%)]],TRUE)*100,"")</f>
        <v/>
      </c>
    </row>
    <row r="468" spans="1:12" x14ac:dyDescent="0.35">
      <c r="A468" s="3"/>
      <c r="B468" s="2"/>
      <c r="C468" s="2"/>
      <c r="D468" s="2" t="b">
        <f>IF(AND(NOT(ISBLANK(Table1[[#This Row],[Fetal Sex (Male, Female or Unknown)]])),ISNUMBER(Table1[[#This Row],[Birthweight (grams)]]),ISNUMBER(Table1[[#This Row],[Gestation (days)]])),TRUE,FALSE)</f>
        <v>0</v>
      </c>
      <c r="E468" s="2" t="str">
        <f>IF(Table1[[#This Row],[Is Data Valid]]=TRUE,IF(Table1[[#This Row],[Fetal Sex (Male, Female or Unknown)]]="Male",Backend!$C$6,IF(Table1[[#This Row],[Fetal Sex (Male, Female or Unknown)]]="Female",Backend!$C$7,IF(Table1[[#This Row],[Fetal Sex (Male, Female or Unknown)]]="Unknown",Backend!$C$8,"Error"))),"")</f>
        <v/>
      </c>
      <c r="F468" s="8" t="str">
        <f>IF(Table1[[#This Row],[Is Data Valid]]=TRUE,EXP(0.578+0.332*((Table1[[#This Row],[Gestation (days)]]+0.5)/7)-0.00354*((Table1[[#This Row],[Gestation (days)]]+0.5)/7)^2)*Table1[[#This Row],[BW40_3705]],"")</f>
        <v/>
      </c>
      <c r="G468" s="2" t="str">
        <f>IF(Table1[[#This Row],[Is Data Valid]]=TRUE,((Table1[[#This Row],[Birthweight (grams)]]/Table1[[#This Row],[BW_GA]])-1)/(Backend!$B$4/100*Table1[[#This Row],[BW40_3705]]),"")</f>
        <v/>
      </c>
      <c r="H468" s="7" t="str">
        <f>IF(Table1[[#This Row],[Is Data Valid]]=TRUE,((Table1[[#This Row],[Birthweight (grams)]]*0.9/Table1[[#This Row],[BW_GA]])-1)/(Backend!$B$4/100*Table1[[#This Row],[BW40_3705]]),"")</f>
        <v/>
      </c>
      <c r="I468" s="7" t="str">
        <f>IF(Table1[[#This Row],[Is Data Valid]]=TRUE,((Table1[[#This Row],[Birthweight (grams)]]*1.1/Table1[[#This Row],[BW_GA]])-1)/(Backend!$B$4/100*Table1[[#This Row],[BW40_3705]]),"")</f>
        <v/>
      </c>
      <c r="J468" s="7" t="str">
        <f>IF(Table1[[#This Row],[Is Data Valid]]=TRUE,_xlfn.NORM.S.DIST(Table1[[#This Row],[Birthweight Z-Score]],TRUE)*100,"")</f>
        <v/>
      </c>
      <c r="K468" s="7" t="str">
        <f>IF(Table1[[#This Row],[Is Data Valid]]=TRUE,_xlfn.NORM.S.DIST(Table1[[#This Row],[Birthweight Z-Score (BW-10%)]],TRUE)*100,"")</f>
        <v/>
      </c>
      <c r="L468" s="7" t="str">
        <f>IF(Table1[[#This Row],[Is Data Valid]]=TRUE,_xlfn.NORM.S.DIST(Table1[[#This Row],[Birthweight Z-Score (BW+10%)]],TRUE)*100,"")</f>
        <v/>
      </c>
    </row>
    <row r="469" spans="1:12" x14ac:dyDescent="0.35">
      <c r="A469" s="3"/>
      <c r="B469" s="2"/>
      <c r="C469" s="2"/>
      <c r="D469" s="2" t="b">
        <f>IF(AND(NOT(ISBLANK(Table1[[#This Row],[Fetal Sex (Male, Female or Unknown)]])),ISNUMBER(Table1[[#This Row],[Birthweight (grams)]]),ISNUMBER(Table1[[#This Row],[Gestation (days)]])),TRUE,FALSE)</f>
        <v>0</v>
      </c>
      <c r="E469" s="2" t="str">
        <f>IF(Table1[[#This Row],[Is Data Valid]]=TRUE,IF(Table1[[#This Row],[Fetal Sex (Male, Female or Unknown)]]="Male",Backend!$C$6,IF(Table1[[#This Row],[Fetal Sex (Male, Female or Unknown)]]="Female",Backend!$C$7,IF(Table1[[#This Row],[Fetal Sex (Male, Female or Unknown)]]="Unknown",Backend!$C$8,"Error"))),"")</f>
        <v/>
      </c>
      <c r="F469" s="8" t="str">
        <f>IF(Table1[[#This Row],[Is Data Valid]]=TRUE,EXP(0.578+0.332*((Table1[[#This Row],[Gestation (days)]]+0.5)/7)-0.00354*((Table1[[#This Row],[Gestation (days)]]+0.5)/7)^2)*Table1[[#This Row],[BW40_3705]],"")</f>
        <v/>
      </c>
      <c r="G469" s="2" t="str">
        <f>IF(Table1[[#This Row],[Is Data Valid]]=TRUE,((Table1[[#This Row],[Birthweight (grams)]]/Table1[[#This Row],[BW_GA]])-1)/(Backend!$B$4/100*Table1[[#This Row],[BW40_3705]]),"")</f>
        <v/>
      </c>
      <c r="H469" s="7" t="str">
        <f>IF(Table1[[#This Row],[Is Data Valid]]=TRUE,((Table1[[#This Row],[Birthweight (grams)]]*0.9/Table1[[#This Row],[BW_GA]])-1)/(Backend!$B$4/100*Table1[[#This Row],[BW40_3705]]),"")</f>
        <v/>
      </c>
      <c r="I469" s="7" t="str">
        <f>IF(Table1[[#This Row],[Is Data Valid]]=TRUE,((Table1[[#This Row],[Birthweight (grams)]]*1.1/Table1[[#This Row],[BW_GA]])-1)/(Backend!$B$4/100*Table1[[#This Row],[BW40_3705]]),"")</f>
        <v/>
      </c>
      <c r="J469" s="7" t="str">
        <f>IF(Table1[[#This Row],[Is Data Valid]]=TRUE,_xlfn.NORM.S.DIST(Table1[[#This Row],[Birthweight Z-Score]],TRUE)*100,"")</f>
        <v/>
      </c>
      <c r="K469" s="7" t="str">
        <f>IF(Table1[[#This Row],[Is Data Valid]]=TRUE,_xlfn.NORM.S.DIST(Table1[[#This Row],[Birthweight Z-Score (BW-10%)]],TRUE)*100,"")</f>
        <v/>
      </c>
      <c r="L469" s="7" t="str">
        <f>IF(Table1[[#This Row],[Is Data Valid]]=TRUE,_xlfn.NORM.S.DIST(Table1[[#This Row],[Birthweight Z-Score (BW+10%)]],TRUE)*100,"")</f>
        <v/>
      </c>
    </row>
    <row r="470" spans="1:12" x14ac:dyDescent="0.35">
      <c r="A470" s="3"/>
      <c r="B470" s="2"/>
      <c r="C470" s="2"/>
      <c r="D470" s="2" t="b">
        <f>IF(AND(NOT(ISBLANK(Table1[[#This Row],[Fetal Sex (Male, Female or Unknown)]])),ISNUMBER(Table1[[#This Row],[Birthweight (grams)]]),ISNUMBER(Table1[[#This Row],[Gestation (days)]])),TRUE,FALSE)</f>
        <v>0</v>
      </c>
      <c r="E470" s="2" t="str">
        <f>IF(Table1[[#This Row],[Is Data Valid]]=TRUE,IF(Table1[[#This Row],[Fetal Sex (Male, Female or Unknown)]]="Male",Backend!$C$6,IF(Table1[[#This Row],[Fetal Sex (Male, Female or Unknown)]]="Female",Backend!$C$7,IF(Table1[[#This Row],[Fetal Sex (Male, Female or Unknown)]]="Unknown",Backend!$C$8,"Error"))),"")</f>
        <v/>
      </c>
      <c r="F470" s="8" t="str">
        <f>IF(Table1[[#This Row],[Is Data Valid]]=TRUE,EXP(0.578+0.332*((Table1[[#This Row],[Gestation (days)]]+0.5)/7)-0.00354*((Table1[[#This Row],[Gestation (days)]]+0.5)/7)^2)*Table1[[#This Row],[BW40_3705]],"")</f>
        <v/>
      </c>
      <c r="G470" s="2" t="str">
        <f>IF(Table1[[#This Row],[Is Data Valid]]=TRUE,((Table1[[#This Row],[Birthweight (grams)]]/Table1[[#This Row],[BW_GA]])-1)/(Backend!$B$4/100*Table1[[#This Row],[BW40_3705]]),"")</f>
        <v/>
      </c>
      <c r="H470" s="7" t="str">
        <f>IF(Table1[[#This Row],[Is Data Valid]]=TRUE,((Table1[[#This Row],[Birthweight (grams)]]*0.9/Table1[[#This Row],[BW_GA]])-1)/(Backend!$B$4/100*Table1[[#This Row],[BW40_3705]]),"")</f>
        <v/>
      </c>
      <c r="I470" s="7" t="str">
        <f>IF(Table1[[#This Row],[Is Data Valid]]=TRUE,((Table1[[#This Row],[Birthweight (grams)]]*1.1/Table1[[#This Row],[BW_GA]])-1)/(Backend!$B$4/100*Table1[[#This Row],[BW40_3705]]),"")</f>
        <v/>
      </c>
      <c r="J470" s="7" t="str">
        <f>IF(Table1[[#This Row],[Is Data Valid]]=TRUE,_xlfn.NORM.S.DIST(Table1[[#This Row],[Birthweight Z-Score]],TRUE)*100,"")</f>
        <v/>
      </c>
      <c r="K470" s="7" t="str">
        <f>IF(Table1[[#This Row],[Is Data Valid]]=TRUE,_xlfn.NORM.S.DIST(Table1[[#This Row],[Birthweight Z-Score (BW-10%)]],TRUE)*100,"")</f>
        <v/>
      </c>
      <c r="L470" s="7" t="str">
        <f>IF(Table1[[#This Row],[Is Data Valid]]=TRUE,_xlfn.NORM.S.DIST(Table1[[#This Row],[Birthweight Z-Score (BW+10%)]],TRUE)*100,"")</f>
        <v/>
      </c>
    </row>
    <row r="471" spans="1:12" x14ac:dyDescent="0.35">
      <c r="A471" s="3"/>
      <c r="B471" s="2"/>
      <c r="C471" s="2"/>
      <c r="D471" s="2" t="b">
        <f>IF(AND(NOT(ISBLANK(Table1[[#This Row],[Fetal Sex (Male, Female or Unknown)]])),ISNUMBER(Table1[[#This Row],[Birthweight (grams)]]),ISNUMBER(Table1[[#This Row],[Gestation (days)]])),TRUE,FALSE)</f>
        <v>0</v>
      </c>
      <c r="E471" s="2" t="str">
        <f>IF(Table1[[#This Row],[Is Data Valid]]=TRUE,IF(Table1[[#This Row],[Fetal Sex (Male, Female or Unknown)]]="Male",Backend!$C$6,IF(Table1[[#This Row],[Fetal Sex (Male, Female or Unknown)]]="Female",Backend!$C$7,IF(Table1[[#This Row],[Fetal Sex (Male, Female or Unknown)]]="Unknown",Backend!$C$8,"Error"))),"")</f>
        <v/>
      </c>
      <c r="F471" s="8" t="str">
        <f>IF(Table1[[#This Row],[Is Data Valid]]=TRUE,EXP(0.578+0.332*((Table1[[#This Row],[Gestation (days)]]+0.5)/7)-0.00354*((Table1[[#This Row],[Gestation (days)]]+0.5)/7)^2)*Table1[[#This Row],[BW40_3705]],"")</f>
        <v/>
      </c>
      <c r="G471" s="2" t="str">
        <f>IF(Table1[[#This Row],[Is Data Valid]]=TRUE,((Table1[[#This Row],[Birthweight (grams)]]/Table1[[#This Row],[BW_GA]])-1)/(Backend!$B$4/100*Table1[[#This Row],[BW40_3705]]),"")</f>
        <v/>
      </c>
      <c r="H471" s="7" t="str">
        <f>IF(Table1[[#This Row],[Is Data Valid]]=TRUE,((Table1[[#This Row],[Birthweight (grams)]]*0.9/Table1[[#This Row],[BW_GA]])-1)/(Backend!$B$4/100*Table1[[#This Row],[BW40_3705]]),"")</f>
        <v/>
      </c>
      <c r="I471" s="7" t="str">
        <f>IF(Table1[[#This Row],[Is Data Valid]]=TRUE,((Table1[[#This Row],[Birthweight (grams)]]*1.1/Table1[[#This Row],[BW_GA]])-1)/(Backend!$B$4/100*Table1[[#This Row],[BW40_3705]]),"")</f>
        <v/>
      </c>
      <c r="J471" s="7" t="str">
        <f>IF(Table1[[#This Row],[Is Data Valid]]=TRUE,_xlfn.NORM.S.DIST(Table1[[#This Row],[Birthweight Z-Score]],TRUE)*100,"")</f>
        <v/>
      </c>
      <c r="K471" s="7" t="str">
        <f>IF(Table1[[#This Row],[Is Data Valid]]=TRUE,_xlfn.NORM.S.DIST(Table1[[#This Row],[Birthweight Z-Score (BW-10%)]],TRUE)*100,"")</f>
        <v/>
      </c>
      <c r="L471" s="7" t="str">
        <f>IF(Table1[[#This Row],[Is Data Valid]]=TRUE,_xlfn.NORM.S.DIST(Table1[[#This Row],[Birthweight Z-Score (BW+10%)]],TRUE)*100,"")</f>
        <v/>
      </c>
    </row>
    <row r="472" spans="1:12" x14ac:dyDescent="0.35">
      <c r="A472" s="3"/>
      <c r="B472" s="2"/>
      <c r="C472" s="2"/>
      <c r="D472" s="2" t="b">
        <f>IF(AND(NOT(ISBLANK(Table1[[#This Row],[Fetal Sex (Male, Female or Unknown)]])),ISNUMBER(Table1[[#This Row],[Birthweight (grams)]]),ISNUMBER(Table1[[#This Row],[Gestation (days)]])),TRUE,FALSE)</f>
        <v>0</v>
      </c>
      <c r="E472" s="2" t="str">
        <f>IF(Table1[[#This Row],[Is Data Valid]]=TRUE,IF(Table1[[#This Row],[Fetal Sex (Male, Female or Unknown)]]="Male",Backend!$C$6,IF(Table1[[#This Row],[Fetal Sex (Male, Female or Unknown)]]="Female",Backend!$C$7,IF(Table1[[#This Row],[Fetal Sex (Male, Female or Unknown)]]="Unknown",Backend!$C$8,"Error"))),"")</f>
        <v/>
      </c>
      <c r="F472" s="8" t="str">
        <f>IF(Table1[[#This Row],[Is Data Valid]]=TRUE,EXP(0.578+0.332*((Table1[[#This Row],[Gestation (days)]]+0.5)/7)-0.00354*((Table1[[#This Row],[Gestation (days)]]+0.5)/7)^2)*Table1[[#This Row],[BW40_3705]],"")</f>
        <v/>
      </c>
      <c r="G472" s="2" t="str">
        <f>IF(Table1[[#This Row],[Is Data Valid]]=TRUE,((Table1[[#This Row],[Birthweight (grams)]]/Table1[[#This Row],[BW_GA]])-1)/(Backend!$B$4/100*Table1[[#This Row],[BW40_3705]]),"")</f>
        <v/>
      </c>
      <c r="H472" s="7" t="str">
        <f>IF(Table1[[#This Row],[Is Data Valid]]=TRUE,((Table1[[#This Row],[Birthweight (grams)]]*0.9/Table1[[#This Row],[BW_GA]])-1)/(Backend!$B$4/100*Table1[[#This Row],[BW40_3705]]),"")</f>
        <v/>
      </c>
      <c r="I472" s="7" t="str">
        <f>IF(Table1[[#This Row],[Is Data Valid]]=TRUE,((Table1[[#This Row],[Birthweight (grams)]]*1.1/Table1[[#This Row],[BW_GA]])-1)/(Backend!$B$4/100*Table1[[#This Row],[BW40_3705]]),"")</f>
        <v/>
      </c>
      <c r="J472" s="7" t="str">
        <f>IF(Table1[[#This Row],[Is Data Valid]]=TRUE,_xlfn.NORM.S.DIST(Table1[[#This Row],[Birthweight Z-Score]],TRUE)*100,"")</f>
        <v/>
      </c>
      <c r="K472" s="7" t="str">
        <f>IF(Table1[[#This Row],[Is Data Valid]]=TRUE,_xlfn.NORM.S.DIST(Table1[[#This Row],[Birthweight Z-Score (BW-10%)]],TRUE)*100,"")</f>
        <v/>
      </c>
      <c r="L472" s="7" t="str">
        <f>IF(Table1[[#This Row],[Is Data Valid]]=TRUE,_xlfn.NORM.S.DIST(Table1[[#This Row],[Birthweight Z-Score (BW+10%)]],TRUE)*100,"")</f>
        <v/>
      </c>
    </row>
    <row r="473" spans="1:12" x14ac:dyDescent="0.35">
      <c r="A473" s="3"/>
      <c r="B473" s="2"/>
      <c r="C473" s="2"/>
      <c r="D473" s="2" t="b">
        <f>IF(AND(NOT(ISBLANK(Table1[[#This Row],[Fetal Sex (Male, Female or Unknown)]])),ISNUMBER(Table1[[#This Row],[Birthweight (grams)]]),ISNUMBER(Table1[[#This Row],[Gestation (days)]])),TRUE,FALSE)</f>
        <v>0</v>
      </c>
      <c r="E473" s="2" t="str">
        <f>IF(Table1[[#This Row],[Is Data Valid]]=TRUE,IF(Table1[[#This Row],[Fetal Sex (Male, Female or Unknown)]]="Male",Backend!$C$6,IF(Table1[[#This Row],[Fetal Sex (Male, Female or Unknown)]]="Female",Backend!$C$7,IF(Table1[[#This Row],[Fetal Sex (Male, Female or Unknown)]]="Unknown",Backend!$C$8,"Error"))),"")</f>
        <v/>
      </c>
      <c r="F473" s="8" t="str">
        <f>IF(Table1[[#This Row],[Is Data Valid]]=TRUE,EXP(0.578+0.332*((Table1[[#This Row],[Gestation (days)]]+0.5)/7)-0.00354*((Table1[[#This Row],[Gestation (days)]]+0.5)/7)^2)*Table1[[#This Row],[BW40_3705]],"")</f>
        <v/>
      </c>
      <c r="G473" s="2" t="str">
        <f>IF(Table1[[#This Row],[Is Data Valid]]=TRUE,((Table1[[#This Row],[Birthweight (grams)]]/Table1[[#This Row],[BW_GA]])-1)/(Backend!$B$4/100*Table1[[#This Row],[BW40_3705]]),"")</f>
        <v/>
      </c>
      <c r="H473" s="7" t="str">
        <f>IF(Table1[[#This Row],[Is Data Valid]]=TRUE,((Table1[[#This Row],[Birthweight (grams)]]*0.9/Table1[[#This Row],[BW_GA]])-1)/(Backend!$B$4/100*Table1[[#This Row],[BW40_3705]]),"")</f>
        <v/>
      </c>
      <c r="I473" s="7" t="str">
        <f>IF(Table1[[#This Row],[Is Data Valid]]=TRUE,((Table1[[#This Row],[Birthweight (grams)]]*1.1/Table1[[#This Row],[BW_GA]])-1)/(Backend!$B$4/100*Table1[[#This Row],[BW40_3705]]),"")</f>
        <v/>
      </c>
      <c r="J473" s="7" t="str">
        <f>IF(Table1[[#This Row],[Is Data Valid]]=TRUE,_xlfn.NORM.S.DIST(Table1[[#This Row],[Birthweight Z-Score]],TRUE)*100,"")</f>
        <v/>
      </c>
      <c r="K473" s="7" t="str">
        <f>IF(Table1[[#This Row],[Is Data Valid]]=TRUE,_xlfn.NORM.S.DIST(Table1[[#This Row],[Birthweight Z-Score (BW-10%)]],TRUE)*100,"")</f>
        <v/>
      </c>
      <c r="L473" s="7" t="str">
        <f>IF(Table1[[#This Row],[Is Data Valid]]=TRUE,_xlfn.NORM.S.DIST(Table1[[#This Row],[Birthweight Z-Score (BW+10%)]],TRUE)*100,"")</f>
        <v/>
      </c>
    </row>
    <row r="474" spans="1:12" x14ac:dyDescent="0.35">
      <c r="A474" s="3"/>
      <c r="B474" s="2"/>
      <c r="C474" s="2"/>
      <c r="D474" s="2" t="b">
        <f>IF(AND(NOT(ISBLANK(Table1[[#This Row],[Fetal Sex (Male, Female or Unknown)]])),ISNUMBER(Table1[[#This Row],[Birthweight (grams)]]),ISNUMBER(Table1[[#This Row],[Gestation (days)]])),TRUE,FALSE)</f>
        <v>0</v>
      </c>
      <c r="E474" s="2" t="str">
        <f>IF(Table1[[#This Row],[Is Data Valid]]=TRUE,IF(Table1[[#This Row],[Fetal Sex (Male, Female or Unknown)]]="Male",Backend!$C$6,IF(Table1[[#This Row],[Fetal Sex (Male, Female or Unknown)]]="Female",Backend!$C$7,IF(Table1[[#This Row],[Fetal Sex (Male, Female or Unknown)]]="Unknown",Backend!$C$8,"Error"))),"")</f>
        <v/>
      </c>
      <c r="F474" s="8" t="str">
        <f>IF(Table1[[#This Row],[Is Data Valid]]=TRUE,EXP(0.578+0.332*((Table1[[#This Row],[Gestation (days)]]+0.5)/7)-0.00354*((Table1[[#This Row],[Gestation (days)]]+0.5)/7)^2)*Table1[[#This Row],[BW40_3705]],"")</f>
        <v/>
      </c>
      <c r="G474" s="2" t="str">
        <f>IF(Table1[[#This Row],[Is Data Valid]]=TRUE,((Table1[[#This Row],[Birthweight (grams)]]/Table1[[#This Row],[BW_GA]])-1)/(Backend!$B$4/100*Table1[[#This Row],[BW40_3705]]),"")</f>
        <v/>
      </c>
      <c r="H474" s="7" t="str">
        <f>IF(Table1[[#This Row],[Is Data Valid]]=TRUE,((Table1[[#This Row],[Birthweight (grams)]]*0.9/Table1[[#This Row],[BW_GA]])-1)/(Backend!$B$4/100*Table1[[#This Row],[BW40_3705]]),"")</f>
        <v/>
      </c>
      <c r="I474" s="7" t="str">
        <f>IF(Table1[[#This Row],[Is Data Valid]]=TRUE,((Table1[[#This Row],[Birthweight (grams)]]*1.1/Table1[[#This Row],[BW_GA]])-1)/(Backend!$B$4/100*Table1[[#This Row],[BW40_3705]]),"")</f>
        <v/>
      </c>
      <c r="J474" s="7" t="str">
        <f>IF(Table1[[#This Row],[Is Data Valid]]=TRUE,_xlfn.NORM.S.DIST(Table1[[#This Row],[Birthweight Z-Score]],TRUE)*100,"")</f>
        <v/>
      </c>
      <c r="K474" s="7" t="str">
        <f>IF(Table1[[#This Row],[Is Data Valid]]=TRUE,_xlfn.NORM.S.DIST(Table1[[#This Row],[Birthweight Z-Score (BW-10%)]],TRUE)*100,"")</f>
        <v/>
      </c>
      <c r="L474" s="7" t="str">
        <f>IF(Table1[[#This Row],[Is Data Valid]]=TRUE,_xlfn.NORM.S.DIST(Table1[[#This Row],[Birthweight Z-Score (BW+10%)]],TRUE)*100,"")</f>
        <v/>
      </c>
    </row>
    <row r="475" spans="1:12" x14ac:dyDescent="0.35">
      <c r="A475" s="3"/>
      <c r="B475" s="2"/>
      <c r="C475" s="2"/>
      <c r="D475" s="2" t="b">
        <f>IF(AND(NOT(ISBLANK(Table1[[#This Row],[Fetal Sex (Male, Female or Unknown)]])),ISNUMBER(Table1[[#This Row],[Birthweight (grams)]]),ISNUMBER(Table1[[#This Row],[Gestation (days)]])),TRUE,FALSE)</f>
        <v>0</v>
      </c>
      <c r="E475" s="2" t="str">
        <f>IF(Table1[[#This Row],[Is Data Valid]]=TRUE,IF(Table1[[#This Row],[Fetal Sex (Male, Female or Unknown)]]="Male",Backend!$C$6,IF(Table1[[#This Row],[Fetal Sex (Male, Female or Unknown)]]="Female",Backend!$C$7,IF(Table1[[#This Row],[Fetal Sex (Male, Female or Unknown)]]="Unknown",Backend!$C$8,"Error"))),"")</f>
        <v/>
      </c>
      <c r="F475" s="8" t="str">
        <f>IF(Table1[[#This Row],[Is Data Valid]]=TRUE,EXP(0.578+0.332*((Table1[[#This Row],[Gestation (days)]]+0.5)/7)-0.00354*((Table1[[#This Row],[Gestation (days)]]+0.5)/7)^2)*Table1[[#This Row],[BW40_3705]],"")</f>
        <v/>
      </c>
      <c r="G475" s="2" t="str">
        <f>IF(Table1[[#This Row],[Is Data Valid]]=TRUE,((Table1[[#This Row],[Birthweight (grams)]]/Table1[[#This Row],[BW_GA]])-1)/(Backend!$B$4/100*Table1[[#This Row],[BW40_3705]]),"")</f>
        <v/>
      </c>
      <c r="H475" s="7" t="str">
        <f>IF(Table1[[#This Row],[Is Data Valid]]=TRUE,((Table1[[#This Row],[Birthweight (grams)]]*0.9/Table1[[#This Row],[BW_GA]])-1)/(Backend!$B$4/100*Table1[[#This Row],[BW40_3705]]),"")</f>
        <v/>
      </c>
      <c r="I475" s="7" t="str">
        <f>IF(Table1[[#This Row],[Is Data Valid]]=TRUE,((Table1[[#This Row],[Birthweight (grams)]]*1.1/Table1[[#This Row],[BW_GA]])-1)/(Backend!$B$4/100*Table1[[#This Row],[BW40_3705]]),"")</f>
        <v/>
      </c>
      <c r="J475" s="7" t="str">
        <f>IF(Table1[[#This Row],[Is Data Valid]]=TRUE,_xlfn.NORM.S.DIST(Table1[[#This Row],[Birthweight Z-Score]],TRUE)*100,"")</f>
        <v/>
      </c>
      <c r="K475" s="7" t="str">
        <f>IF(Table1[[#This Row],[Is Data Valid]]=TRUE,_xlfn.NORM.S.DIST(Table1[[#This Row],[Birthweight Z-Score (BW-10%)]],TRUE)*100,"")</f>
        <v/>
      </c>
      <c r="L475" s="7" t="str">
        <f>IF(Table1[[#This Row],[Is Data Valid]]=TRUE,_xlfn.NORM.S.DIST(Table1[[#This Row],[Birthweight Z-Score (BW+10%)]],TRUE)*100,"")</f>
        <v/>
      </c>
    </row>
    <row r="476" spans="1:12" x14ac:dyDescent="0.35">
      <c r="A476" s="3"/>
      <c r="B476" s="2"/>
      <c r="C476" s="2"/>
      <c r="D476" s="2" t="b">
        <f>IF(AND(NOT(ISBLANK(Table1[[#This Row],[Fetal Sex (Male, Female or Unknown)]])),ISNUMBER(Table1[[#This Row],[Birthweight (grams)]]),ISNUMBER(Table1[[#This Row],[Gestation (days)]])),TRUE,FALSE)</f>
        <v>0</v>
      </c>
      <c r="E476" s="2" t="str">
        <f>IF(Table1[[#This Row],[Is Data Valid]]=TRUE,IF(Table1[[#This Row],[Fetal Sex (Male, Female or Unknown)]]="Male",Backend!$C$6,IF(Table1[[#This Row],[Fetal Sex (Male, Female or Unknown)]]="Female",Backend!$C$7,IF(Table1[[#This Row],[Fetal Sex (Male, Female or Unknown)]]="Unknown",Backend!$C$8,"Error"))),"")</f>
        <v/>
      </c>
      <c r="F476" s="8" t="str">
        <f>IF(Table1[[#This Row],[Is Data Valid]]=TRUE,EXP(0.578+0.332*((Table1[[#This Row],[Gestation (days)]]+0.5)/7)-0.00354*((Table1[[#This Row],[Gestation (days)]]+0.5)/7)^2)*Table1[[#This Row],[BW40_3705]],"")</f>
        <v/>
      </c>
      <c r="G476" s="2" t="str">
        <f>IF(Table1[[#This Row],[Is Data Valid]]=TRUE,((Table1[[#This Row],[Birthweight (grams)]]/Table1[[#This Row],[BW_GA]])-1)/(Backend!$B$4/100*Table1[[#This Row],[BW40_3705]]),"")</f>
        <v/>
      </c>
      <c r="H476" s="7" t="str">
        <f>IF(Table1[[#This Row],[Is Data Valid]]=TRUE,((Table1[[#This Row],[Birthweight (grams)]]*0.9/Table1[[#This Row],[BW_GA]])-1)/(Backend!$B$4/100*Table1[[#This Row],[BW40_3705]]),"")</f>
        <v/>
      </c>
      <c r="I476" s="7" t="str">
        <f>IF(Table1[[#This Row],[Is Data Valid]]=TRUE,((Table1[[#This Row],[Birthweight (grams)]]*1.1/Table1[[#This Row],[BW_GA]])-1)/(Backend!$B$4/100*Table1[[#This Row],[BW40_3705]]),"")</f>
        <v/>
      </c>
      <c r="J476" s="7" t="str">
        <f>IF(Table1[[#This Row],[Is Data Valid]]=TRUE,_xlfn.NORM.S.DIST(Table1[[#This Row],[Birthweight Z-Score]],TRUE)*100,"")</f>
        <v/>
      </c>
      <c r="K476" s="7" t="str">
        <f>IF(Table1[[#This Row],[Is Data Valid]]=TRUE,_xlfn.NORM.S.DIST(Table1[[#This Row],[Birthweight Z-Score (BW-10%)]],TRUE)*100,"")</f>
        <v/>
      </c>
      <c r="L476" s="7" t="str">
        <f>IF(Table1[[#This Row],[Is Data Valid]]=TRUE,_xlfn.NORM.S.DIST(Table1[[#This Row],[Birthweight Z-Score (BW+10%)]],TRUE)*100,"")</f>
        <v/>
      </c>
    </row>
    <row r="477" spans="1:12" x14ac:dyDescent="0.35">
      <c r="A477" s="3"/>
      <c r="B477" s="2"/>
      <c r="C477" s="2"/>
      <c r="D477" s="2" t="b">
        <f>IF(AND(NOT(ISBLANK(Table1[[#This Row],[Fetal Sex (Male, Female or Unknown)]])),ISNUMBER(Table1[[#This Row],[Birthweight (grams)]]),ISNUMBER(Table1[[#This Row],[Gestation (days)]])),TRUE,FALSE)</f>
        <v>0</v>
      </c>
      <c r="E477" s="2" t="str">
        <f>IF(Table1[[#This Row],[Is Data Valid]]=TRUE,IF(Table1[[#This Row],[Fetal Sex (Male, Female or Unknown)]]="Male",Backend!$C$6,IF(Table1[[#This Row],[Fetal Sex (Male, Female or Unknown)]]="Female",Backend!$C$7,IF(Table1[[#This Row],[Fetal Sex (Male, Female or Unknown)]]="Unknown",Backend!$C$8,"Error"))),"")</f>
        <v/>
      </c>
      <c r="F477" s="8" t="str">
        <f>IF(Table1[[#This Row],[Is Data Valid]]=TRUE,EXP(0.578+0.332*((Table1[[#This Row],[Gestation (days)]]+0.5)/7)-0.00354*((Table1[[#This Row],[Gestation (days)]]+0.5)/7)^2)*Table1[[#This Row],[BW40_3705]],"")</f>
        <v/>
      </c>
      <c r="G477" s="2" t="str">
        <f>IF(Table1[[#This Row],[Is Data Valid]]=TRUE,((Table1[[#This Row],[Birthweight (grams)]]/Table1[[#This Row],[BW_GA]])-1)/(Backend!$B$4/100*Table1[[#This Row],[BW40_3705]]),"")</f>
        <v/>
      </c>
      <c r="H477" s="7" t="str">
        <f>IF(Table1[[#This Row],[Is Data Valid]]=TRUE,((Table1[[#This Row],[Birthweight (grams)]]*0.9/Table1[[#This Row],[BW_GA]])-1)/(Backend!$B$4/100*Table1[[#This Row],[BW40_3705]]),"")</f>
        <v/>
      </c>
      <c r="I477" s="7" t="str">
        <f>IF(Table1[[#This Row],[Is Data Valid]]=TRUE,((Table1[[#This Row],[Birthweight (grams)]]*1.1/Table1[[#This Row],[BW_GA]])-1)/(Backend!$B$4/100*Table1[[#This Row],[BW40_3705]]),"")</f>
        <v/>
      </c>
      <c r="J477" s="7" t="str">
        <f>IF(Table1[[#This Row],[Is Data Valid]]=TRUE,_xlfn.NORM.S.DIST(Table1[[#This Row],[Birthweight Z-Score]],TRUE)*100,"")</f>
        <v/>
      </c>
      <c r="K477" s="7" t="str">
        <f>IF(Table1[[#This Row],[Is Data Valid]]=TRUE,_xlfn.NORM.S.DIST(Table1[[#This Row],[Birthweight Z-Score (BW-10%)]],TRUE)*100,"")</f>
        <v/>
      </c>
      <c r="L477" s="7" t="str">
        <f>IF(Table1[[#This Row],[Is Data Valid]]=TRUE,_xlfn.NORM.S.DIST(Table1[[#This Row],[Birthweight Z-Score (BW+10%)]],TRUE)*100,"")</f>
        <v/>
      </c>
    </row>
    <row r="478" spans="1:12" x14ac:dyDescent="0.35">
      <c r="A478" s="3"/>
      <c r="B478" s="2"/>
      <c r="C478" s="2"/>
      <c r="D478" s="2" t="b">
        <f>IF(AND(NOT(ISBLANK(Table1[[#This Row],[Fetal Sex (Male, Female or Unknown)]])),ISNUMBER(Table1[[#This Row],[Birthweight (grams)]]),ISNUMBER(Table1[[#This Row],[Gestation (days)]])),TRUE,FALSE)</f>
        <v>0</v>
      </c>
      <c r="E478" s="2" t="str">
        <f>IF(Table1[[#This Row],[Is Data Valid]]=TRUE,IF(Table1[[#This Row],[Fetal Sex (Male, Female or Unknown)]]="Male",Backend!$C$6,IF(Table1[[#This Row],[Fetal Sex (Male, Female or Unknown)]]="Female",Backend!$C$7,IF(Table1[[#This Row],[Fetal Sex (Male, Female or Unknown)]]="Unknown",Backend!$C$8,"Error"))),"")</f>
        <v/>
      </c>
      <c r="F478" s="8" t="str">
        <f>IF(Table1[[#This Row],[Is Data Valid]]=TRUE,EXP(0.578+0.332*((Table1[[#This Row],[Gestation (days)]]+0.5)/7)-0.00354*((Table1[[#This Row],[Gestation (days)]]+0.5)/7)^2)*Table1[[#This Row],[BW40_3705]],"")</f>
        <v/>
      </c>
      <c r="G478" s="2" t="str">
        <f>IF(Table1[[#This Row],[Is Data Valid]]=TRUE,((Table1[[#This Row],[Birthweight (grams)]]/Table1[[#This Row],[BW_GA]])-1)/(Backend!$B$4/100*Table1[[#This Row],[BW40_3705]]),"")</f>
        <v/>
      </c>
      <c r="H478" s="7" t="str">
        <f>IF(Table1[[#This Row],[Is Data Valid]]=TRUE,((Table1[[#This Row],[Birthweight (grams)]]*0.9/Table1[[#This Row],[BW_GA]])-1)/(Backend!$B$4/100*Table1[[#This Row],[BW40_3705]]),"")</f>
        <v/>
      </c>
      <c r="I478" s="7" t="str">
        <f>IF(Table1[[#This Row],[Is Data Valid]]=TRUE,((Table1[[#This Row],[Birthweight (grams)]]*1.1/Table1[[#This Row],[BW_GA]])-1)/(Backend!$B$4/100*Table1[[#This Row],[BW40_3705]]),"")</f>
        <v/>
      </c>
      <c r="J478" s="7" t="str">
        <f>IF(Table1[[#This Row],[Is Data Valid]]=TRUE,_xlfn.NORM.S.DIST(Table1[[#This Row],[Birthweight Z-Score]],TRUE)*100,"")</f>
        <v/>
      </c>
      <c r="K478" s="7" t="str">
        <f>IF(Table1[[#This Row],[Is Data Valid]]=TRUE,_xlfn.NORM.S.DIST(Table1[[#This Row],[Birthweight Z-Score (BW-10%)]],TRUE)*100,"")</f>
        <v/>
      </c>
      <c r="L478" s="7" t="str">
        <f>IF(Table1[[#This Row],[Is Data Valid]]=TRUE,_xlfn.NORM.S.DIST(Table1[[#This Row],[Birthweight Z-Score (BW+10%)]],TRUE)*100,"")</f>
        <v/>
      </c>
    </row>
    <row r="479" spans="1:12" x14ac:dyDescent="0.35">
      <c r="A479" s="3"/>
      <c r="B479" s="2"/>
      <c r="C479" s="2"/>
      <c r="D479" s="2" t="b">
        <f>IF(AND(NOT(ISBLANK(Table1[[#This Row],[Fetal Sex (Male, Female or Unknown)]])),ISNUMBER(Table1[[#This Row],[Birthweight (grams)]]),ISNUMBER(Table1[[#This Row],[Gestation (days)]])),TRUE,FALSE)</f>
        <v>0</v>
      </c>
      <c r="E479" s="2" t="str">
        <f>IF(Table1[[#This Row],[Is Data Valid]]=TRUE,IF(Table1[[#This Row],[Fetal Sex (Male, Female or Unknown)]]="Male",Backend!$C$6,IF(Table1[[#This Row],[Fetal Sex (Male, Female or Unknown)]]="Female",Backend!$C$7,IF(Table1[[#This Row],[Fetal Sex (Male, Female or Unknown)]]="Unknown",Backend!$C$8,"Error"))),"")</f>
        <v/>
      </c>
      <c r="F479" s="8" t="str">
        <f>IF(Table1[[#This Row],[Is Data Valid]]=TRUE,EXP(0.578+0.332*((Table1[[#This Row],[Gestation (days)]]+0.5)/7)-0.00354*((Table1[[#This Row],[Gestation (days)]]+0.5)/7)^2)*Table1[[#This Row],[BW40_3705]],"")</f>
        <v/>
      </c>
      <c r="G479" s="2" t="str">
        <f>IF(Table1[[#This Row],[Is Data Valid]]=TRUE,((Table1[[#This Row],[Birthweight (grams)]]/Table1[[#This Row],[BW_GA]])-1)/(Backend!$B$4/100*Table1[[#This Row],[BW40_3705]]),"")</f>
        <v/>
      </c>
      <c r="H479" s="7" t="str">
        <f>IF(Table1[[#This Row],[Is Data Valid]]=TRUE,((Table1[[#This Row],[Birthweight (grams)]]*0.9/Table1[[#This Row],[BW_GA]])-1)/(Backend!$B$4/100*Table1[[#This Row],[BW40_3705]]),"")</f>
        <v/>
      </c>
      <c r="I479" s="7" t="str">
        <f>IF(Table1[[#This Row],[Is Data Valid]]=TRUE,((Table1[[#This Row],[Birthweight (grams)]]*1.1/Table1[[#This Row],[BW_GA]])-1)/(Backend!$B$4/100*Table1[[#This Row],[BW40_3705]]),"")</f>
        <v/>
      </c>
      <c r="J479" s="7" t="str">
        <f>IF(Table1[[#This Row],[Is Data Valid]]=TRUE,_xlfn.NORM.S.DIST(Table1[[#This Row],[Birthweight Z-Score]],TRUE)*100,"")</f>
        <v/>
      </c>
      <c r="K479" s="7" t="str">
        <f>IF(Table1[[#This Row],[Is Data Valid]]=TRUE,_xlfn.NORM.S.DIST(Table1[[#This Row],[Birthweight Z-Score (BW-10%)]],TRUE)*100,"")</f>
        <v/>
      </c>
      <c r="L479" s="7" t="str">
        <f>IF(Table1[[#This Row],[Is Data Valid]]=TRUE,_xlfn.NORM.S.DIST(Table1[[#This Row],[Birthweight Z-Score (BW+10%)]],TRUE)*100,"")</f>
        <v/>
      </c>
    </row>
    <row r="480" spans="1:12" x14ac:dyDescent="0.35">
      <c r="A480" s="3"/>
      <c r="B480" s="2"/>
      <c r="C480" s="2"/>
      <c r="D480" s="2" t="b">
        <f>IF(AND(NOT(ISBLANK(Table1[[#This Row],[Fetal Sex (Male, Female or Unknown)]])),ISNUMBER(Table1[[#This Row],[Birthweight (grams)]]),ISNUMBER(Table1[[#This Row],[Gestation (days)]])),TRUE,FALSE)</f>
        <v>0</v>
      </c>
      <c r="E480" s="2" t="str">
        <f>IF(Table1[[#This Row],[Is Data Valid]]=TRUE,IF(Table1[[#This Row],[Fetal Sex (Male, Female or Unknown)]]="Male",Backend!$C$6,IF(Table1[[#This Row],[Fetal Sex (Male, Female or Unknown)]]="Female",Backend!$C$7,IF(Table1[[#This Row],[Fetal Sex (Male, Female or Unknown)]]="Unknown",Backend!$C$8,"Error"))),"")</f>
        <v/>
      </c>
      <c r="F480" s="8" t="str">
        <f>IF(Table1[[#This Row],[Is Data Valid]]=TRUE,EXP(0.578+0.332*((Table1[[#This Row],[Gestation (days)]]+0.5)/7)-0.00354*((Table1[[#This Row],[Gestation (days)]]+0.5)/7)^2)*Table1[[#This Row],[BW40_3705]],"")</f>
        <v/>
      </c>
      <c r="G480" s="2" t="str">
        <f>IF(Table1[[#This Row],[Is Data Valid]]=TRUE,((Table1[[#This Row],[Birthweight (grams)]]/Table1[[#This Row],[BW_GA]])-1)/(Backend!$B$4/100*Table1[[#This Row],[BW40_3705]]),"")</f>
        <v/>
      </c>
      <c r="H480" s="7" t="str">
        <f>IF(Table1[[#This Row],[Is Data Valid]]=TRUE,((Table1[[#This Row],[Birthweight (grams)]]*0.9/Table1[[#This Row],[BW_GA]])-1)/(Backend!$B$4/100*Table1[[#This Row],[BW40_3705]]),"")</f>
        <v/>
      </c>
      <c r="I480" s="7" t="str">
        <f>IF(Table1[[#This Row],[Is Data Valid]]=TRUE,((Table1[[#This Row],[Birthweight (grams)]]*1.1/Table1[[#This Row],[BW_GA]])-1)/(Backend!$B$4/100*Table1[[#This Row],[BW40_3705]]),"")</f>
        <v/>
      </c>
      <c r="J480" s="7" t="str">
        <f>IF(Table1[[#This Row],[Is Data Valid]]=TRUE,_xlfn.NORM.S.DIST(Table1[[#This Row],[Birthweight Z-Score]],TRUE)*100,"")</f>
        <v/>
      </c>
      <c r="K480" s="7" t="str">
        <f>IF(Table1[[#This Row],[Is Data Valid]]=TRUE,_xlfn.NORM.S.DIST(Table1[[#This Row],[Birthweight Z-Score (BW-10%)]],TRUE)*100,"")</f>
        <v/>
      </c>
      <c r="L480" s="7" t="str">
        <f>IF(Table1[[#This Row],[Is Data Valid]]=TRUE,_xlfn.NORM.S.DIST(Table1[[#This Row],[Birthweight Z-Score (BW+10%)]],TRUE)*100,"")</f>
        <v/>
      </c>
    </row>
    <row r="481" spans="1:12" x14ac:dyDescent="0.35">
      <c r="A481" s="3"/>
      <c r="B481" s="2"/>
      <c r="C481" s="2"/>
      <c r="D481" s="2" t="b">
        <f>IF(AND(NOT(ISBLANK(Table1[[#This Row],[Fetal Sex (Male, Female or Unknown)]])),ISNUMBER(Table1[[#This Row],[Birthweight (grams)]]),ISNUMBER(Table1[[#This Row],[Gestation (days)]])),TRUE,FALSE)</f>
        <v>0</v>
      </c>
      <c r="E481" s="2" t="str">
        <f>IF(Table1[[#This Row],[Is Data Valid]]=TRUE,IF(Table1[[#This Row],[Fetal Sex (Male, Female or Unknown)]]="Male",Backend!$C$6,IF(Table1[[#This Row],[Fetal Sex (Male, Female or Unknown)]]="Female",Backend!$C$7,IF(Table1[[#This Row],[Fetal Sex (Male, Female or Unknown)]]="Unknown",Backend!$C$8,"Error"))),"")</f>
        <v/>
      </c>
      <c r="F481" s="8" t="str">
        <f>IF(Table1[[#This Row],[Is Data Valid]]=TRUE,EXP(0.578+0.332*((Table1[[#This Row],[Gestation (days)]]+0.5)/7)-0.00354*((Table1[[#This Row],[Gestation (days)]]+0.5)/7)^2)*Table1[[#This Row],[BW40_3705]],"")</f>
        <v/>
      </c>
      <c r="G481" s="2" t="str">
        <f>IF(Table1[[#This Row],[Is Data Valid]]=TRUE,((Table1[[#This Row],[Birthweight (grams)]]/Table1[[#This Row],[BW_GA]])-1)/(Backend!$B$4/100*Table1[[#This Row],[BW40_3705]]),"")</f>
        <v/>
      </c>
      <c r="H481" s="7" t="str">
        <f>IF(Table1[[#This Row],[Is Data Valid]]=TRUE,((Table1[[#This Row],[Birthweight (grams)]]*0.9/Table1[[#This Row],[BW_GA]])-1)/(Backend!$B$4/100*Table1[[#This Row],[BW40_3705]]),"")</f>
        <v/>
      </c>
      <c r="I481" s="7" t="str">
        <f>IF(Table1[[#This Row],[Is Data Valid]]=TRUE,((Table1[[#This Row],[Birthweight (grams)]]*1.1/Table1[[#This Row],[BW_GA]])-1)/(Backend!$B$4/100*Table1[[#This Row],[BW40_3705]]),"")</f>
        <v/>
      </c>
      <c r="J481" s="7" t="str">
        <f>IF(Table1[[#This Row],[Is Data Valid]]=TRUE,_xlfn.NORM.S.DIST(Table1[[#This Row],[Birthweight Z-Score]],TRUE)*100,"")</f>
        <v/>
      </c>
      <c r="K481" s="7" t="str">
        <f>IF(Table1[[#This Row],[Is Data Valid]]=TRUE,_xlfn.NORM.S.DIST(Table1[[#This Row],[Birthweight Z-Score (BW-10%)]],TRUE)*100,"")</f>
        <v/>
      </c>
      <c r="L481" s="7" t="str">
        <f>IF(Table1[[#This Row],[Is Data Valid]]=TRUE,_xlfn.NORM.S.DIST(Table1[[#This Row],[Birthweight Z-Score (BW+10%)]],TRUE)*100,"")</f>
        <v/>
      </c>
    </row>
    <row r="482" spans="1:12" x14ac:dyDescent="0.35">
      <c r="A482" s="3"/>
      <c r="B482" s="2"/>
      <c r="C482" s="2"/>
      <c r="D482" s="2" t="b">
        <f>IF(AND(NOT(ISBLANK(Table1[[#This Row],[Fetal Sex (Male, Female or Unknown)]])),ISNUMBER(Table1[[#This Row],[Birthweight (grams)]]),ISNUMBER(Table1[[#This Row],[Gestation (days)]])),TRUE,FALSE)</f>
        <v>0</v>
      </c>
      <c r="E482" s="2" t="str">
        <f>IF(Table1[[#This Row],[Is Data Valid]]=TRUE,IF(Table1[[#This Row],[Fetal Sex (Male, Female or Unknown)]]="Male",Backend!$C$6,IF(Table1[[#This Row],[Fetal Sex (Male, Female or Unknown)]]="Female",Backend!$C$7,IF(Table1[[#This Row],[Fetal Sex (Male, Female or Unknown)]]="Unknown",Backend!$C$8,"Error"))),"")</f>
        <v/>
      </c>
      <c r="F482" s="8" t="str">
        <f>IF(Table1[[#This Row],[Is Data Valid]]=TRUE,EXP(0.578+0.332*((Table1[[#This Row],[Gestation (days)]]+0.5)/7)-0.00354*((Table1[[#This Row],[Gestation (days)]]+0.5)/7)^2)*Table1[[#This Row],[BW40_3705]],"")</f>
        <v/>
      </c>
      <c r="G482" s="2" t="str">
        <f>IF(Table1[[#This Row],[Is Data Valid]]=TRUE,((Table1[[#This Row],[Birthweight (grams)]]/Table1[[#This Row],[BW_GA]])-1)/(Backend!$B$4/100*Table1[[#This Row],[BW40_3705]]),"")</f>
        <v/>
      </c>
      <c r="H482" s="7" t="str">
        <f>IF(Table1[[#This Row],[Is Data Valid]]=TRUE,((Table1[[#This Row],[Birthweight (grams)]]*0.9/Table1[[#This Row],[BW_GA]])-1)/(Backend!$B$4/100*Table1[[#This Row],[BW40_3705]]),"")</f>
        <v/>
      </c>
      <c r="I482" s="7" t="str">
        <f>IF(Table1[[#This Row],[Is Data Valid]]=TRUE,((Table1[[#This Row],[Birthweight (grams)]]*1.1/Table1[[#This Row],[BW_GA]])-1)/(Backend!$B$4/100*Table1[[#This Row],[BW40_3705]]),"")</f>
        <v/>
      </c>
      <c r="J482" s="7" t="str">
        <f>IF(Table1[[#This Row],[Is Data Valid]]=TRUE,_xlfn.NORM.S.DIST(Table1[[#This Row],[Birthweight Z-Score]],TRUE)*100,"")</f>
        <v/>
      </c>
      <c r="K482" s="7" t="str">
        <f>IF(Table1[[#This Row],[Is Data Valid]]=TRUE,_xlfn.NORM.S.DIST(Table1[[#This Row],[Birthweight Z-Score (BW-10%)]],TRUE)*100,"")</f>
        <v/>
      </c>
      <c r="L482" s="7" t="str">
        <f>IF(Table1[[#This Row],[Is Data Valid]]=TRUE,_xlfn.NORM.S.DIST(Table1[[#This Row],[Birthweight Z-Score (BW+10%)]],TRUE)*100,"")</f>
        <v/>
      </c>
    </row>
    <row r="483" spans="1:12" x14ac:dyDescent="0.35">
      <c r="A483" s="3"/>
      <c r="B483" s="2"/>
      <c r="C483" s="2"/>
      <c r="D483" s="2" t="b">
        <f>IF(AND(NOT(ISBLANK(Table1[[#This Row],[Fetal Sex (Male, Female or Unknown)]])),ISNUMBER(Table1[[#This Row],[Birthweight (grams)]]),ISNUMBER(Table1[[#This Row],[Gestation (days)]])),TRUE,FALSE)</f>
        <v>0</v>
      </c>
      <c r="E483" s="2" t="str">
        <f>IF(Table1[[#This Row],[Is Data Valid]]=TRUE,IF(Table1[[#This Row],[Fetal Sex (Male, Female or Unknown)]]="Male",Backend!$C$6,IF(Table1[[#This Row],[Fetal Sex (Male, Female or Unknown)]]="Female",Backend!$C$7,IF(Table1[[#This Row],[Fetal Sex (Male, Female or Unknown)]]="Unknown",Backend!$C$8,"Error"))),"")</f>
        <v/>
      </c>
      <c r="F483" s="8" t="str">
        <f>IF(Table1[[#This Row],[Is Data Valid]]=TRUE,EXP(0.578+0.332*((Table1[[#This Row],[Gestation (days)]]+0.5)/7)-0.00354*((Table1[[#This Row],[Gestation (days)]]+0.5)/7)^2)*Table1[[#This Row],[BW40_3705]],"")</f>
        <v/>
      </c>
      <c r="G483" s="2" t="str">
        <f>IF(Table1[[#This Row],[Is Data Valid]]=TRUE,((Table1[[#This Row],[Birthweight (grams)]]/Table1[[#This Row],[BW_GA]])-1)/(Backend!$B$4/100*Table1[[#This Row],[BW40_3705]]),"")</f>
        <v/>
      </c>
      <c r="H483" s="7" t="str">
        <f>IF(Table1[[#This Row],[Is Data Valid]]=TRUE,((Table1[[#This Row],[Birthweight (grams)]]*0.9/Table1[[#This Row],[BW_GA]])-1)/(Backend!$B$4/100*Table1[[#This Row],[BW40_3705]]),"")</f>
        <v/>
      </c>
      <c r="I483" s="7" t="str">
        <f>IF(Table1[[#This Row],[Is Data Valid]]=TRUE,((Table1[[#This Row],[Birthweight (grams)]]*1.1/Table1[[#This Row],[BW_GA]])-1)/(Backend!$B$4/100*Table1[[#This Row],[BW40_3705]]),"")</f>
        <v/>
      </c>
      <c r="J483" s="7" t="str">
        <f>IF(Table1[[#This Row],[Is Data Valid]]=TRUE,_xlfn.NORM.S.DIST(Table1[[#This Row],[Birthweight Z-Score]],TRUE)*100,"")</f>
        <v/>
      </c>
      <c r="K483" s="7" t="str">
        <f>IF(Table1[[#This Row],[Is Data Valid]]=TRUE,_xlfn.NORM.S.DIST(Table1[[#This Row],[Birthweight Z-Score (BW-10%)]],TRUE)*100,"")</f>
        <v/>
      </c>
      <c r="L483" s="7" t="str">
        <f>IF(Table1[[#This Row],[Is Data Valid]]=TRUE,_xlfn.NORM.S.DIST(Table1[[#This Row],[Birthweight Z-Score (BW+10%)]],TRUE)*100,"")</f>
        <v/>
      </c>
    </row>
    <row r="484" spans="1:12" x14ac:dyDescent="0.35">
      <c r="A484" s="3"/>
      <c r="B484" s="2"/>
      <c r="C484" s="2"/>
      <c r="D484" s="2" t="b">
        <f>IF(AND(NOT(ISBLANK(Table1[[#This Row],[Fetal Sex (Male, Female or Unknown)]])),ISNUMBER(Table1[[#This Row],[Birthweight (grams)]]),ISNUMBER(Table1[[#This Row],[Gestation (days)]])),TRUE,FALSE)</f>
        <v>0</v>
      </c>
      <c r="E484" s="2" t="str">
        <f>IF(Table1[[#This Row],[Is Data Valid]]=TRUE,IF(Table1[[#This Row],[Fetal Sex (Male, Female or Unknown)]]="Male",Backend!$C$6,IF(Table1[[#This Row],[Fetal Sex (Male, Female or Unknown)]]="Female",Backend!$C$7,IF(Table1[[#This Row],[Fetal Sex (Male, Female or Unknown)]]="Unknown",Backend!$C$8,"Error"))),"")</f>
        <v/>
      </c>
      <c r="F484" s="8" t="str">
        <f>IF(Table1[[#This Row],[Is Data Valid]]=TRUE,EXP(0.578+0.332*((Table1[[#This Row],[Gestation (days)]]+0.5)/7)-0.00354*((Table1[[#This Row],[Gestation (days)]]+0.5)/7)^2)*Table1[[#This Row],[BW40_3705]],"")</f>
        <v/>
      </c>
      <c r="G484" s="2" t="str">
        <f>IF(Table1[[#This Row],[Is Data Valid]]=TRUE,((Table1[[#This Row],[Birthweight (grams)]]/Table1[[#This Row],[BW_GA]])-1)/(Backend!$B$4/100*Table1[[#This Row],[BW40_3705]]),"")</f>
        <v/>
      </c>
      <c r="H484" s="7" t="str">
        <f>IF(Table1[[#This Row],[Is Data Valid]]=TRUE,((Table1[[#This Row],[Birthweight (grams)]]*0.9/Table1[[#This Row],[BW_GA]])-1)/(Backend!$B$4/100*Table1[[#This Row],[BW40_3705]]),"")</f>
        <v/>
      </c>
      <c r="I484" s="7" t="str">
        <f>IF(Table1[[#This Row],[Is Data Valid]]=TRUE,((Table1[[#This Row],[Birthweight (grams)]]*1.1/Table1[[#This Row],[BW_GA]])-1)/(Backend!$B$4/100*Table1[[#This Row],[BW40_3705]]),"")</f>
        <v/>
      </c>
      <c r="J484" s="7" t="str">
        <f>IF(Table1[[#This Row],[Is Data Valid]]=TRUE,_xlfn.NORM.S.DIST(Table1[[#This Row],[Birthweight Z-Score]],TRUE)*100,"")</f>
        <v/>
      </c>
      <c r="K484" s="7" t="str">
        <f>IF(Table1[[#This Row],[Is Data Valid]]=TRUE,_xlfn.NORM.S.DIST(Table1[[#This Row],[Birthweight Z-Score (BW-10%)]],TRUE)*100,"")</f>
        <v/>
      </c>
      <c r="L484" s="7" t="str">
        <f>IF(Table1[[#This Row],[Is Data Valid]]=TRUE,_xlfn.NORM.S.DIST(Table1[[#This Row],[Birthweight Z-Score (BW+10%)]],TRUE)*100,"")</f>
        <v/>
      </c>
    </row>
    <row r="485" spans="1:12" x14ac:dyDescent="0.35">
      <c r="A485" s="3"/>
      <c r="B485" s="2"/>
      <c r="C485" s="2"/>
      <c r="D485" s="2" t="b">
        <f>IF(AND(NOT(ISBLANK(Table1[[#This Row],[Fetal Sex (Male, Female or Unknown)]])),ISNUMBER(Table1[[#This Row],[Birthweight (grams)]]),ISNUMBER(Table1[[#This Row],[Gestation (days)]])),TRUE,FALSE)</f>
        <v>0</v>
      </c>
      <c r="E485" s="2" t="str">
        <f>IF(Table1[[#This Row],[Is Data Valid]]=TRUE,IF(Table1[[#This Row],[Fetal Sex (Male, Female or Unknown)]]="Male",Backend!$C$6,IF(Table1[[#This Row],[Fetal Sex (Male, Female or Unknown)]]="Female",Backend!$C$7,IF(Table1[[#This Row],[Fetal Sex (Male, Female or Unknown)]]="Unknown",Backend!$C$8,"Error"))),"")</f>
        <v/>
      </c>
      <c r="F485" s="8" t="str">
        <f>IF(Table1[[#This Row],[Is Data Valid]]=TRUE,EXP(0.578+0.332*((Table1[[#This Row],[Gestation (days)]]+0.5)/7)-0.00354*((Table1[[#This Row],[Gestation (days)]]+0.5)/7)^2)*Table1[[#This Row],[BW40_3705]],"")</f>
        <v/>
      </c>
      <c r="G485" s="2" t="str">
        <f>IF(Table1[[#This Row],[Is Data Valid]]=TRUE,((Table1[[#This Row],[Birthweight (grams)]]/Table1[[#This Row],[BW_GA]])-1)/(Backend!$B$4/100*Table1[[#This Row],[BW40_3705]]),"")</f>
        <v/>
      </c>
      <c r="H485" s="7" t="str">
        <f>IF(Table1[[#This Row],[Is Data Valid]]=TRUE,((Table1[[#This Row],[Birthweight (grams)]]*0.9/Table1[[#This Row],[BW_GA]])-1)/(Backend!$B$4/100*Table1[[#This Row],[BW40_3705]]),"")</f>
        <v/>
      </c>
      <c r="I485" s="7" t="str">
        <f>IF(Table1[[#This Row],[Is Data Valid]]=TRUE,((Table1[[#This Row],[Birthweight (grams)]]*1.1/Table1[[#This Row],[BW_GA]])-1)/(Backend!$B$4/100*Table1[[#This Row],[BW40_3705]]),"")</f>
        <v/>
      </c>
      <c r="J485" s="7" t="str">
        <f>IF(Table1[[#This Row],[Is Data Valid]]=TRUE,_xlfn.NORM.S.DIST(Table1[[#This Row],[Birthweight Z-Score]],TRUE)*100,"")</f>
        <v/>
      </c>
      <c r="K485" s="7" t="str">
        <f>IF(Table1[[#This Row],[Is Data Valid]]=TRUE,_xlfn.NORM.S.DIST(Table1[[#This Row],[Birthweight Z-Score (BW-10%)]],TRUE)*100,"")</f>
        <v/>
      </c>
      <c r="L485" s="7" t="str">
        <f>IF(Table1[[#This Row],[Is Data Valid]]=TRUE,_xlfn.NORM.S.DIST(Table1[[#This Row],[Birthweight Z-Score (BW+10%)]],TRUE)*100,"")</f>
        <v/>
      </c>
    </row>
    <row r="486" spans="1:12" x14ac:dyDescent="0.35">
      <c r="A486" s="3"/>
      <c r="B486" s="2"/>
      <c r="C486" s="2"/>
      <c r="D486" s="2" t="b">
        <f>IF(AND(NOT(ISBLANK(Table1[[#This Row],[Fetal Sex (Male, Female or Unknown)]])),ISNUMBER(Table1[[#This Row],[Birthweight (grams)]]),ISNUMBER(Table1[[#This Row],[Gestation (days)]])),TRUE,FALSE)</f>
        <v>0</v>
      </c>
      <c r="E486" s="2" t="str">
        <f>IF(Table1[[#This Row],[Is Data Valid]]=TRUE,IF(Table1[[#This Row],[Fetal Sex (Male, Female or Unknown)]]="Male",Backend!$C$6,IF(Table1[[#This Row],[Fetal Sex (Male, Female or Unknown)]]="Female",Backend!$C$7,IF(Table1[[#This Row],[Fetal Sex (Male, Female or Unknown)]]="Unknown",Backend!$C$8,"Error"))),"")</f>
        <v/>
      </c>
      <c r="F486" s="8" t="str">
        <f>IF(Table1[[#This Row],[Is Data Valid]]=TRUE,EXP(0.578+0.332*((Table1[[#This Row],[Gestation (days)]]+0.5)/7)-0.00354*((Table1[[#This Row],[Gestation (days)]]+0.5)/7)^2)*Table1[[#This Row],[BW40_3705]],"")</f>
        <v/>
      </c>
      <c r="G486" s="2" t="str">
        <f>IF(Table1[[#This Row],[Is Data Valid]]=TRUE,((Table1[[#This Row],[Birthweight (grams)]]/Table1[[#This Row],[BW_GA]])-1)/(Backend!$B$4/100*Table1[[#This Row],[BW40_3705]]),"")</f>
        <v/>
      </c>
      <c r="H486" s="7" t="str">
        <f>IF(Table1[[#This Row],[Is Data Valid]]=TRUE,((Table1[[#This Row],[Birthweight (grams)]]*0.9/Table1[[#This Row],[BW_GA]])-1)/(Backend!$B$4/100*Table1[[#This Row],[BW40_3705]]),"")</f>
        <v/>
      </c>
      <c r="I486" s="7" t="str">
        <f>IF(Table1[[#This Row],[Is Data Valid]]=TRUE,((Table1[[#This Row],[Birthweight (grams)]]*1.1/Table1[[#This Row],[BW_GA]])-1)/(Backend!$B$4/100*Table1[[#This Row],[BW40_3705]]),"")</f>
        <v/>
      </c>
      <c r="J486" s="7" t="str">
        <f>IF(Table1[[#This Row],[Is Data Valid]]=TRUE,_xlfn.NORM.S.DIST(Table1[[#This Row],[Birthweight Z-Score]],TRUE)*100,"")</f>
        <v/>
      </c>
      <c r="K486" s="7" t="str">
        <f>IF(Table1[[#This Row],[Is Data Valid]]=TRUE,_xlfn.NORM.S.DIST(Table1[[#This Row],[Birthweight Z-Score (BW-10%)]],TRUE)*100,"")</f>
        <v/>
      </c>
      <c r="L486" s="7" t="str">
        <f>IF(Table1[[#This Row],[Is Data Valid]]=TRUE,_xlfn.NORM.S.DIST(Table1[[#This Row],[Birthweight Z-Score (BW+10%)]],TRUE)*100,"")</f>
        <v/>
      </c>
    </row>
    <row r="487" spans="1:12" x14ac:dyDescent="0.35">
      <c r="A487" s="3"/>
      <c r="B487" s="2"/>
      <c r="C487" s="2"/>
      <c r="D487" s="2" t="b">
        <f>IF(AND(NOT(ISBLANK(Table1[[#This Row],[Fetal Sex (Male, Female or Unknown)]])),ISNUMBER(Table1[[#This Row],[Birthweight (grams)]]),ISNUMBER(Table1[[#This Row],[Gestation (days)]])),TRUE,FALSE)</f>
        <v>0</v>
      </c>
      <c r="E487" s="2" t="str">
        <f>IF(Table1[[#This Row],[Is Data Valid]]=TRUE,IF(Table1[[#This Row],[Fetal Sex (Male, Female or Unknown)]]="Male",Backend!$C$6,IF(Table1[[#This Row],[Fetal Sex (Male, Female or Unknown)]]="Female",Backend!$C$7,IF(Table1[[#This Row],[Fetal Sex (Male, Female or Unknown)]]="Unknown",Backend!$C$8,"Error"))),"")</f>
        <v/>
      </c>
      <c r="F487" s="8" t="str">
        <f>IF(Table1[[#This Row],[Is Data Valid]]=TRUE,EXP(0.578+0.332*((Table1[[#This Row],[Gestation (days)]]+0.5)/7)-0.00354*((Table1[[#This Row],[Gestation (days)]]+0.5)/7)^2)*Table1[[#This Row],[BW40_3705]],"")</f>
        <v/>
      </c>
      <c r="G487" s="2" t="str">
        <f>IF(Table1[[#This Row],[Is Data Valid]]=TRUE,((Table1[[#This Row],[Birthweight (grams)]]/Table1[[#This Row],[BW_GA]])-1)/(Backend!$B$4/100*Table1[[#This Row],[BW40_3705]]),"")</f>
        <v/>
      </c>
      <c r="H487" s="7" t="str">
        <f>IF(Table1[[#This Row],[Is Data Valid]]=TRUE,((Table1[[#This Row],[Birthweight (grams)]]*0.9/Table1[[#This Row],[BW_GA]])-1)/(Backend!$B$4/100*Table1[[#This Row],[BW40_3705]]),"")</f>
        <v/>
      </c>
      <c r="I487" s="7" t="str">
        <f>IF(Table1[[#This Row],[Is Data Valid]]=TRUE,((Table1[[#This Row],[Birthweight (grams)]]*1.1/Table1[[#This Row],[BW_GA]])-1)/(Backend!$B$4/100*Table1[[#This Row],[BW40_3705]]),"")</f>
        <v/>
      </c>
      <c r="J487" s="7" t="str">
        <f>IF(Table1[[#This Row],[Is Data Valid]]=TRUE,_xlfn.NORM.S.DIST(Table1[[#This Row],[Birthweight Z-Score]],TRUE)*100,"")</f>
        <v/>
      </c>
      <c r="K487" s="7" t="str">
        <f>IF(Table1[[#This Row],[Is Data Valid]]=TRUE,_xlfn.NORM.S.DIST(Table1[[#This Row],[Birthweight Z-Score (BW-10%)]],TRUE)*100,"")</f>
        <v/>
      </c>
      <c r="L487" s="7" t="str">
        <f>IF(Table1[[#This Row],[Is Data Valid]]=TRUE,_xlfn.NORM.S.DIST(Table1[[#This Row],[Birthweight Z-Score (BW+10%)]],TRUE)*100,"")</f>
        <v/>
      </c>
    </row>
    <row r="488" spans="1:12" x14ac:dyDescent="0.35">
      <c r="A488" s="3"/>
      <c r="B488" s="2"/>
      <c r="C488" s="2"/>
      <c r="D488" s="2" t="b">
        <f>IF(AND(NOT(ISBLANK(Table1[[#This Row],[Fetal Sex (Male, Female or Unknown)]])),ISNUMBER(Table1[[#This Row],[Birthweight (grams)]]),ISNUMBER(Table1[[#This Row],[Gestation (days)]])),TRUE,FALSE)</f>
        <v>0</v>
      </c>
      <c r="E488" s="2" t="str">
        <f>IF(Table1[[#This Row],[Is Data Valid]]=TRUE,IF(Table1[[#This Row],[Fetal Sex (Male, Female or Unknown)]]="Male",Backend!$C$6,IF(Table1[[#This Row],[Fetal Sex (Male, Female or Unknown)]]="Female",Backend!$C$7,IF(Table1[[#This Row],[Fetal Sex (Male, Female or Unknown)]]="Unknown",Backend!$C$8,"Error"))),"")</f>
        <v/>
      </c>
      <c r="F488" s="8" t="str">
        <f>IF(Table1[[#This Row],[Is Data Valid]]=TRUE,EXP(0.578+0.332*((Table1[[#This Row],[Gestation (days)]]+0.5)/7)-0.00354*((Table1[[#This Row],[Gestation (days)]]+0.5)/7)^2)*Table1[[#This Row],[BW40_3705]],"")</f>
        <v/>
      </c>
      <c r="G488" s="2" t="str">
        <f>IF(Table1[[#This Row],[Is Data Valid]]=TRUE,((Table1[[#This Row],[Birthweight (grams)]]/Table1[[#This Row],[BW_GA]])-1)/(Backend!$B$4/100*Table1[[#This Row],[BW40_3705]]),"")</f>
        <v/>
      </c>
      <c r="H488" s="7" t="str">
        <f>IF(Table1[[#This Row],[Is Data Valid]]=TRUE,((Table1[[#This Row],[Birthweight (grams)]]*0.9/Table1[[#This Row],[BW_GA]])-1)/(Backend!$B$4/100*Table1[[#This Row],[BW40_3705]]),"")</f>
        <v/>
      </c>
      <c r="I488" s="7" t="str">
        <f>IF(Table1[[#This Row],[Is Data Valid]]=TRUE,((Table1[[#This Row],[Birthweight (grams)]]*1.1/Table1[[#This Row],[BW_GA]])-1)/(Backend!$B$4/100*Table1[[#This Row],[BW40_3705]]),"")</f>
        <v/>
      </c>
      <c r="J488" s="7" t="str">
        <f>IF(Table1[[#This Row],[Is Data Valid]]=TRUE,_xlfn.NORM.S.DIST(Table1[[#This Row],[Birthweight Z-Score]],TRUE)*100,"")</f>
        <v/>
      </c>
      <c r="K488" s="7" t="str">
        <f>IF(Table1[[#This Row],[Is Data Valid]]=TRUE,_xlfn.NORM.S.DIST(Table1[[#This Row],[Birthweight Z-Score (BW-10%)]],TRUE)*100,"")</f>
        <v/>
      </c>
      <c r="L488" s="7" t="str">
        <f>IF(Table1[[#This Row],[Is Data Valid]]=TRUE,_xlfn.NORM.S.DIST(Table1[[#This Row],[Birthweight Z-Score (BW+10%)]],TRUE)*100,"")</f>
        <v/>
      </c>
    </row>
    <row r="489" spans="1:12" x14ac:dyDescent="0.35">
      <c r="A489" s="3"/>
      <c r="B489" s="2"/>
      <c r="C489" s="2"/>
      <c r="D489" s="2" t="b">
        <f>IF(AND(NOT(ISBLANK(Table1[[#This Row],[Fetal Sex (Male, Female or Unknown)]])),ISNUMBER(Table1[[#This Row],[Birthweight (grams)]]),ISNUMBER(Table1[[#This Row],[Gestation (days)]])),TRUE,FALSE)</f>
        <v>0</v>
      </c>
      <c r="E489" s="2" t="str">
        <f>IF(Table1[[#This Row],[Is Data Valid]]=TRUE,IF(Table1[[#This Row],[Fetal Sex (Male, Female or Unknown)]]="Male",Backend!$C$6,IF(Table1[[#This Row],[Fetal Sex (Male, Female or Unknown)]]="Female",Backend!$C$7,IF(Table1[[#This Row],[Fetal Sex (Male, Female or Unknown)]]="Unknown",Backend!$C$8,"Error"))),"")</f>
        <v/>
      </c>
      <c r="F489" s="8" t="str">
        <f>IF(Table1[[#This Row],[Is Data Valid]]=TRUE,EXP(0.578+0.332*((Table1[[#This Row],[Gestation (days)]]+0.5)/7)-0.00354*((Table1[[#This Row],[Gestation (days)]]+0.5)/7)^2)*Table1[[#This Row],[BW40_3705]],"")</f>
        <v/>
      </c>
      <c r="G489" s="2" t="str">
        <f>IF(Table1[[#This Row],[Is Data Valid]]=TRUE,((Table1[[#This Row],[Birthweight (grams)]]/Table1[[#This Row],[BW_GA]])-1)/(Backend!$B$4/100*Table1[[#This Row],[BW40_3705]]),"")</f>
        <v/>
      </c>
      <c r="H489" s="7" t="str">
        <f>IF(Table1[[#This Row],[Is Data Valid]]=TRUE,((Table1[[#This Row],[Birthweight (grams)]]*0.9/Table1[[#This Row],[BW_GA]])-1)/(Backend!$B$4/100*Table1[[#This Row],[BW40_3705]]),"")</f>
        <v/>
      </c>
      <c r="I489" s="7" t="str">
        <f>IF(Table1[[#This Row],[Is Data Valid]]=TRUE,((Table1[[#This Row],[Birthweight (grams)]]*1.1/Table1[[#This Row],[BW_GA]])-1)/(Backend!$B$4/100*Table1[[#This Row],[BW40_3705]]),"")</f>
        <v/>
      </c>
      <c r="J489" s="7" t="str">
        <f>IF(Table1[[#This Row],[Is Data Valid]]=TRUE,_xlfn.NORM.S.DIST(Table1[[#This Row],[Birthweight Z-Score]],TRUE)*100,"")</f>
        <v/>
      </c>
      <c r="K489" s="7" t="str">
        <f>IF(Table1[[#This Row],[Is Data Valid]]=TRUE,_xlfn.NORM.S.DIST(Table1[[#This Row],[Birthweight Z-Score (BW-10%)]],TRUE)*100,"")</f>
        <v/>
      </c>
      <c r="L489" s="7" t="str">
        <f>IF(Table1[[#This Row],[Is Data Valid]]=TRUE,_xlfn.NORM.S.DIST(Table1[[#This Row],[Birthweight Z-Score (BW+10%)]],TRUE)*100,"")</f>
        <v/>
      </c>
    </row>
    <row r="490" spans="1:12" x14ac:dyDescent="0.35">
      <c r="A490" s="3"/>
      <c r="B490" s="2"/>
      <c r="C490" s="2"/>
      <c r="D490" s="2" t="b">
        <f>IF(AND(NOT(ISBLANK(Table1[[#This Row],[Fetal Sex (Male, Female or Unknown)]])),ISNUMBER(Table1[[#This Row],[Birthweight (grams)]]),ISNUMBER(Table1[[#This Row],[Gestation (days)]])),TRUE,FALSE)</f>
        <v>0</v>
      </c>
      <c r="E490" s="2" t="str">
        <f>IF(Table1[[#This Row],[Is Data Valid]]=TRUE,IF(Table1[[#This Row],[Fetal Sex (Male, Female or Unknown)]]="Male",Backend!$C$6,IF(Table1[[#This Row],[Fetal Sex (Male, Female or Unknown)]]="Female",Backend!$C$7,IF(Table1[[#This Row],[Fetal Sex (Male, Female or Unknown)]]="Unknown",Backend!$C$8,"Error"))),"")</f>
        <v/>
      </c>
      <c r="F490" s="8" t="str">
        <f>IF(Table1[[#This Row],[Is Data Valid]]=TRUE,EXP(0.578+0.332*((Table1[[#This Row],[Gestation (days)]]+0.5)/7)-0.00354*((Table1[[#This Row],[Gestation (days)]]+0.5)/7)^2)*Table1[[#This Row],[BW40_3705]],"")</f>
        <v/>
      </c>
      <c r="G490" s="2" t="str">
        <f>IF(Table1[[#This Row],[Is Data Valid]]=TRUE,((Table1[[#This Row],[Birthweight (grams)]]/Table1[[#This Row],[BW_GA]])-1)/(Backend!$B$4/100*Table1[[#This Row],[BW40_3705]]),"")</f>
        <v/>
      </c>
      <c r="H490" s="7" t="str">
        <f>IF(Table1[[#This Row],[Is Data Valid]]=TRUE,((Table1[[#This Row],[Birthweight (grams)]]*0.9/Table1[[#This Row],[BW_GA]])-1)/(Backend!$B$4/100*Table1[[#This Row],[BW40_3705]]),"")</f>
        <v/>
      </c>
      <c r="I490" s="7" t="str">
        <f>IF(Table1[[#This Row],[Is Data Valid]]=TRUE,((Table1[[#This Row],[Birthweight (grams)]]*1.1/Table1[[#This Row],[BW_GA]])-1)/(Backend!$B$4/100*Table1[[#This Row],[BW40_3705]]),"")</f>
        <v/>
      </c>
      <c r="J490" s="7" t="str">
        <f>IF(Table1[[#This Row],[Is Data Valid]]=TRUE,_xlfn.NORM.S.DIST(Table1[[#This Row],[Birthweight Z-Score]],TRUE)*100,"")</f>
        <v/>
      </c>
      <c r="K490" s="7" t="str">
        <f>IF(Table1[[#This Row],[Is Data Valid]]=TRUE,_xlfn.NORM.S.DIST(Table1[[#This Row],[Birthweight Z-Score (BW-10%)]],TRUE)*100,"")</f>
        <v/>
      </c>
      <c r="L490" s="7" t="str">
        <f>IF(Table1[[#This Row],[Is Data Valid]]=TRUE,_xlfn.NORM.S.DIST(Table1[[#This Row],[Birthweight Z-Score (BW+10%)]],TRUE)*100,"")</f>
        <v/>
      </c>
    </row>
    <row r="491" spans="1:12" x14ac:dyDescent="0.35">
      <c r="A491" s="3"/>
      <c r="B491" s="2"/>
      <c r="C491" s="2"/>
      <c r="D491" s="2" t="b">
        <f>IF(AND(NOT(ISBLANK(Table1[[#This Row],[Fetal Sex (Male, Female or Unknown)]])),ISNUMBER(Table1[[#This Row],[Birthweight (grams)]]),ISNUMBER(Table1[[#This Row],[Gestation (days)]])),TRUE,FALSE)</f>
        <v>0</v>
      </c>
      <c r="E491" s="2" t="str">
        <f>IF(Table1[[#This Row],[Is Data Valid]]=TRUE,IF(Table1[[#This Row],[Fetal Sex (Male, Female or Unknown)]]="Male",Backend!$C$6,IF(Table1[[#This Row],[Fetal Sex (Male, Female or Unknown)]]="Female",Backend!$C$7,IF(Table1[[#This Row],[Fetal Sex (Male, Female or Unknown)]]="Unknown",Backend!$C$8,"Error"))),"")</f>
        <v/>
      </c>
      <c r="F491" s="8" t="str">
        <f>IF(Table1[[#This Row],[Is Data Valid]]=TRUE,EXP(0.578+0.332*((Table1[[#This Row],[Gestation (days)]]+0.5)/7)-0.00354*((Table1[[#This Row],[Gestation (days)]]+0.5)/7)^2)*Table1[[#This Row],[BW40_3705]],"")</f>
        <v/>
      </c>
      <c r="G491" s="2" t="str">
        <f>IF(Table1[[#This Row],[Is Data Valid]]=TRUE,((Table1[[#This Row],[Birthweight (grams)]]/Table1[[#This Row],[BW_GA]])-1)/(Backend!$B$4/100*Table1[[#This Row],[BW40_3705]]),"")</f>
        <v/>
      </c>
      <c r="H491" s="7" t="str">
        <f>IF(Table1[[#This Row],[Is Data Valid]]=TRUE,((Table1[[#This Row],[Birthweight (grams)]]*0.9/Table1[[#This Row],[BW_GA]])-1)/(Backend!$B$4/100*Table1[[#This Row],[BW40_3705]]),"")</f>
        <v/>
      </c>
      <c r="I491" s="7" t="str">
        <f>IF(Table1[[#This Row],[Is Data Valid]]=TRUE,((Table1[[#This Row],[Birthweight (grams)]]*1.1/Table1[[#This Row],[BW_GA]])-1)/(Backend!$B$4/100*Table1[[#This Row],[BW40_3705]]),"")</f>
        <v/>
      </c>
      <c r="J491" s="7" t="str">
        <f>IF(Table1[[#This Row],[Is Data Valid]]=TRUE,_xlfn.NORM.S.DIST(Table1[[#This Row],[Birthweight Z-Score]],TRUE)*100,"")</f>
        <v/>
      </c>
      <c r="K491" s="7" t="str">
        <f>IF(Table1[[#This Row],[Is Data Valid]]=TRUE,_xlfn.NORM.S.DIST(Table1[[#This Row],[Birthweight Z-Score (BW-10%)]],TRUE)*100,"")</f>
        <v/>
      </c>
      <c r="L491" s="7" t="str">
        <f>IF(Table1[[#This Row],[Is Data Valid]]=TRUE,_xlfn.NORM.S.DIST(Table1[[#This Row],[Birthweight Z-Score (BW+10%)]],TRUE)*100,"")</f>
        <v/>
      </c>
    </row>
    <row r="492" spans="1:12" x14ac:dyDescent="0.35">
      <c r="A492" s="3"/>
      <c r="B492" s="2"/>
      <c r="C492" s="2"/>
      <c r="D492" s="2" t="b">
        <f>IF(AND(NOT(ISBLANK(Table1[[#This Row],[Fetal Sex (Male, Female or Unknown)]])),ISNUMBER(Table1[[#This Row],[Birthweight (grams)]]),ISNUMBER(Table1[[#This Row],[Gestation (days)]])),TRUE,FALSE)</f>
        <v>0</v>
      </c>
      <c r="E492" s="2" t="str">
        <f>IF(Table1[[#This Row],[Is Data Valid]]=TRUE,IF(Table1[[#This Row],[Fetal Sex (Male, Female or Unknown)]]="Male",Backend!$C$6,IF(Table1[[#This Row],[Fetal Sex (Male, Female or Unknown)]]="Female",Backend!$C$7,IF(Table1[[#This Row],[Fetal Sex (Male, Female or Unknown)]]="Unknown",Backend!$C$8,"Error"))),"")</f>
        <v/>
      </c>
      <c r="F492" s="8" t="str">
        <f>IF(Table1[[#This Row],[Is Data Valid]]=TRUE,EXP(0.578+0.332*((Table1[[#This Row],[Gestation (days)]]+0.5)/7)-0.00354*((Table1[[#This Row],[Gestation (days)]]+0.5)/7)^2)*Table1[[#This Row],[BW40_3705]],"")</f>
        <v/>
      </c>
      <c r="G492" s="2" t="str">
        <f>IF(Table1[[#This Row],[Is Data Valid]]=TRUE,((Table1[[#This Row],[Birthweight (grams)]]/Table1[[#This Row],[BW_GA]])-1)/(Backend!$B$4/100*Table1[[#This Row],[BW40_3705]]),"")</f>
        <v/>
      </c>
      <c r="H492" s="7" t="str">
        <f>IF(Table1[[#This Row],[Is Data Valid]]=TRUE,((Table1[[#This Row],[Birthweight (grams)]]*0.9/Table1[[#This Row],[BW_GA]])-1)/(Backend!$B$4/100*Table1[[#This Row],[BW40_3705]]),"")</f>
        <v/>
      </c>
      <c r="I492" s="7" t="str">
        <f>IF(Table1[[#This Row],[Is Data Valid]]=TRUE,((Table1[[#This Row],[Birthweight (grams)]]*1.1/Table1[[#This Row],[BW_GA]])-1)/(Backend!$B$4/100*Table1[[#This Row],[BW40_3705]]),"")</f>
        <v/>
      </c>
      <c r="J492" s="7" t="str">
        <f>IF(Table1[[#This Row],[Is Data Valid]]=TRUE,_xlfn.NORM.S.DIST(Table1[[#This Row],[Birthweight Z-Score]],TRUE)*100,"")</f>
        <v/>
      </c>
      <c r="K492" s="7" t="str">
        <f>IF(Table1[[#This Row],[Is Data Valid]]=TRUE,_xlfn.NORM.S.DIST(Table1[[#This Row],[Birthweight Z-Score (BW-10%)]],TRUE)*100,"")</f>
        <v/>
      </c>
      <c r="L492" s="7" t="str">
        <f>IF(Table1[[#This Row],[Is Data Valid]]=TRUE,_xlfn.NORM.S.DIST(Table1[[#This Row],[Birthweight Z-Score (BW+10%)]],TRUE)*100,"")</f>
        <v/>
      </c>
    </row>
    <row r="493" spans="1:12" x14ac:dyDescent="0.35">
      <c r="A493" s="3"/>
      <c r="B493" s="2"/>
      <c r="C493" s="2"/>
      <c r="D493" s="2" t="b">
        <f>IF(AND(NOT(ISBLANK(Table1[[#This Row],[Fetal Sex (Male, Female or Unknown)]])),ISNUMBER(Table1[[#This Row],[Birthweight (grams)]]),ISNUMBER(Table1[[#This Row],[Gestation (days)]])),TRUE,FALSE)</f>
        <v>0</v>
      </c>
      <c r="E493" s="2" t="str">
        <f>IF(Table1[[#This Row],[Is Data Valid]]=TRUE,IF(Table1[[#This Row],[Fetal Sex (Male, Female or Unknown)]]="Male",Backend!$C$6,IF(Table1[[#This Row],[Fetal Sex (Male, Female or Unknown)]]="Female",Backend!$C$7,IF(Table1[[#This Row],[Fetal Sex (Male, Female or Unknown)]]="Unknown",Backend!$C$8,"Error"))),"")</f>
        <v/>
      </c>
      <c r="F493" s="8" t="str">
        <f>IF(Table1[[#This Row],[Is Data Valid]]=TRUE,EXP(0.578+0.332*((Table1[[#This Row],[Gestation (days)]]+0.5)/7)-0.00354*((Table1[[#This Row],[Gestation (days)]]+0.5)/7)^2)*Table1[[#This Row],[BW40_3705]],"")</f>
        <v/>
      </c>
      <c r="G493" s="2" t="str">
        <f>IF(Table1[[#This Row],[Is Data Valid]]=TRUE,((Table1[[#This Row],[Birthweight (grams)]]/Table1[[#This Row],[BW_GA]])-1)/(Backend!$B$4/100*Table1[[#This Row],[BW40_3705]]),"")</f>
        <v/>
      </c>
      <c r="H493" s="7" t="str">
        <f>IF(Table1[[#This Row],[Is Data Valid]]=TRUE,((Table1[[#This Row],[Birthweight (grams)]]*0.9/Table1[[#This Row],[BW_GA]])-1)/(Backend!$B$4/100*Table1[[#This Row],[BW40_3705]]),"")</f>
        <v/>
      </c>
      <c r="I493" s="7" t="str">
        <f>IF(Table1[[#This Row],[Is Data Valid]]=TRUE,((Table1[[#This Row],[Birthweight (grams)]]*1.1/Table1[[#This Row],[BW_GA]])-1)/(Backend!$B$4/100*Table1[[#This Row],[BW40_3705]]),"")</f>
        <v/>
      </c>
      <c r="J493" s="7" t="str">
        <f>IF(Table1[[#This Row],[Is Data Valid]]=TRUE,_xlfn.NORM.S.DIST(Table1[[#This Row],[Birthweight Z-Score]],TRUE)*100,"")</f>
        <v/>
      </c>
      <c r="K493" s="7" t="str">
        <f>IF(Table1[[#This Row],[Is Data Valid]]=TRUE,_xlfn.NORM.S.DIST(Table1[[#This Row],[Birthweight Z-Score (BW-10%)]],TRUE)*100,"")</f>
        <v/>
      </c>
      <c r="L493" s="7" t="str">
        <f>IF(Table1[[#This Row],[Is Data Valid]]=TRUE,_xlfn.NORM.S.DIST(Table1[[#This Row],[Birthweight Z-Score (BW+10%)]],TRUE)*100,"")</f>
        <v/>
      </c>
    </row>
    <row r="494" spans="1:12" x14ac:dyDescent="0.35">
      <c r="A494" s="3"/>
      <c r="B494" s="2"/>
      <c r="C494" s="2"/>
      <c r="D494" s="2" t="b">
        <f>IF(AND(NOT(ISBLANK(Table1[[#This Row],[Fetal Sex (Male, Female or Unknown)]])),ISNUMBER(Table1[[#This Row],[Birthweight (grams)]]),ISNUMBER(Table1[[#This Row],[Gestation (days)]])),TRUE,FALSE)</f>
        <v>0</v>
      </c>
      <c r="E494" s="2" t="str">
        <f>IF(Table1[[#This Row],[Is Data Valid]]=TRUE,IF(Table1[[#This Row],[Fetal Sex (Male, Female or Unknown)]]="Male",Backend!$C$6,IF(Table1[[#This Row],[Fetal Sex (Male, Female or Unknown)]]="Female",Backend!$C$7,IF(Table1[[#This Row],[Fetal Sex (Male, Female or Unknown)]]="Unknown",Backend!$C$8,"Error"))),"")</f>
        <v/>
      </c>
      <c r="F494" s="8" t="str">
        <f>IF(Table1[[#This Row],[Is Data Valid]]=TRUE,EXP(0.578+0.332*((Table1[[#This Row],[Gestation (days)]]+0.5)/7)-0.00354*((Table1[[#This Row],[Gestation (days)]]+0.5)/7)^2)*Table1[[#This Row],[BW40_3705]],"")</f>
        <v/>
      </c>
      <c r="G494" s="2" t="str">
        <f>IF(Table1[[#This Row],[Is Data Valid]]=TRUE,((Table1[[#This Row],[Birthweight (grams)]]/Table1[[#This Row],[BW_GA]])-1)/(Backend!$B$4/100*Table1[[#This Row],[BW40_3705]]),"")</f>
        <v/>
      </c>
      <c r="H494" s="7" t="str">
        <f>IF(Table1[[#This Row],[Is Data Valid]]=TRUE,((Table1[[#This Row],[Birthweight (grams)]]*0.9/Table1[[#This Row],[BW_GA]])-1)/(Backend!$B$4/100*Table1[[#This Row],[BW40_3705]]),"")</f>
        <v/>
      </c>
      <c r="I494" s="7" t="str">
        <f>IF(Table1[[#This Row],[Is Data Valid]]=TRUE,((Table1[[#This Row],[Birthweight (grams)]]*1.1/Table1[[#This Row],[BW_GA]])-1)/(Backend!$B$4/100*Table1[[#This Row],[BW40_3705]]),"")</f>
        <v/>
      </c>
      <c r="J494" s="7" t="str">
        <f>IF(Table1[[#This Row],[Is Data Valid]]=TRUE,_xlfn.NORM.S.DIST(Table1[[#This Row],[Birthweight Z-Score]],TRUE)*100,"")</f>
        <v/>
      </c>
      <c r="K494" s="7" t="str">
        <f>IF(Table1[[#This Row],[Is Data Valid]]=TRUE,_xlfn.NORM.S.DIST(Table1[[#This Row],[Birthweight Z-Score (BW-10%)]],TRUE)*100,"")</f>
        <v/>
      </c>
      <c r="L494" s="7" t="str">
        <f>IF(Table1[[#This Row],[Is Data Valid]]=TRUE,_xlfn.NORM.S.DIST(Table1[[#This Row],[Birthweight Z-Score (BW+10%)]],TRUE)*100,"")</f>
        <v/>
      </c>
    </row>
    <row r="495" spans="1:12" x14ac:dyDescent="0.35">
      <c r="A495" s="3"/>
      <c r="B495" s="2"/>
      <c r="C495" s="2"/>
      <c r="D495" s="2" t="b">
        <f>IF(AND(NOT(ISBLANK(Table1[[#This Row],[Fetal Sex (Male, Female or Unknown)]])),ISNUMBER(Table1[[#This Row],[Birthweight (grams)]]),ISNUMBER(Table1[[#This Row],[Gestation (days)]])),TRUE,FALSE)</f>
        <v>0</v>
      </c>
      <c r="E495" s="2" t="str">
        <f>IF(Table1[[#This Row],[Is Data Valid]]=TRUE,IF(Table1[[#This Row],[Fetal Sex (Male, Female or Unknown)]]="Male",Backend!$C$6,IF(Table1[[#This Row],[Fetal Sex (Male, Female or Unknown)]]="Female",Backend!$C$7,IF(Table1[[#This Row],[Fetal Sex (Male, Female or Unknown)]]="Unknown",Backend!$C$8,"Error"))),"")</f>
        <v/>
      </c>
      <c r="F495" s="8" t="str">
        <f>IF(Table1[[#This Row],[Is Data Valid]]=TRUE,EXP(0.578+0.332*((Table1[[#This Row],[Gestation (days)]]+0.5)/7)-0.00354*((Table1[[#This Row],[Gestation (days)]]+0.5)/7)^2)*Table1[[#This Row],[BW40_3705]],"")</f>
        <v/>
      </c>
      <c r="G495" s="2" t="str">
        <f>IF(Table1[[#This Row],[Is Data Valid]]=TRUE,((Table1[[#This Row],[Birthweight (grams)]]/Table1[[#This Row],[BW_GA]])-1)/(Backend!$B$4/100*Table1[[#This Row],[BW40_3705]]),"")</f>
        <v/>
      </c>
      <c r="H495" s="7" t="str">
        <f>IF(Table1[[#This Row],[Is Data Valid]]=TRUE,((Table1[[#This Row],[Birthweight (grams)]]*0.9/Table1[[#This Row],[BW_GA]])-1)/(Backend!$B$4/100*Table1[[#This Row],[BW40_3705]]),"")</f>
        <v/>
      </c>
      <c r="I495" s="7" t="str">
        <f>IF(Table1[[#This Row],[Is Data Valid]]=TRUE,((Table1[[#This Row],[Birthweight (grams)]]*1.1/Table1[[#This Row],[BW_GA]])-1)/(Backend!$B$4/100*Table1[[#This Row],[BW40_3705]]),"")</f>
        <v/>
      </c>
      <c r="J495" s="7" t="str">
        <f>IF(Table1[[#This Row],[Is Data Valid]]=TRUE,_xlfn.NORM.S.DIST(Table1[[#This Row],[Birthweight Z-Score]],TRUE)*100,"")</f>
        <v/>
      </c>
      <c r="K495" s="7" t="str">
        <f>IF(Table1[[#This Row],[Is Data Valid]]=TRUE,_xlfn.NORM.S.DIST(Table1[[#This Row],[Birthweight Z-Score (BW-10%)]],TRUE)*100,"")</f>
        <v/>
      </c>
      <c r="L495" s="7" t="str">
        <f>IF(Table1[[#This Row],[Is Data Valid]]=TRUE,_xlfn.NORM.S.DIST(Table1[[#This Row],[Birthweight Z-Score (BW+10%)]],TRUE)*100,"")</f>
        <v/>
      </c>
    </row>
    <row r="496" spans="1:12" x14ac:dyDescent="0.35">
      <c r="A496" s="3"/>
      <c r="B496" s="2"/>
      <c r="C496" s="2"/>
      <c r="D496" s="2" t="b">
        <f>IF(AND(NOT(ISBLANK(Table1[[#This Row],[Fetal Sex (Male, Female or Unknown)]])),ISNUMBER(Table1[[#This Row],[Birthweight (grams)]]),ISNUMBER(Table1[[#This Row],[Gestation (days)]])),TRUE,FALSE)</f>
        <v>0</v>
      </c>
      <c r="E496" s="2" t="str">
        <f>IF(Table1[[#This Row],[Is Data Valid]]=TRUE,IF(Table1[[#This Row],[Fetal Sex (Male, Female or Unknown)]]="Male",Backend!$C$6,IF(Table1[[#This Row],[Fetal Sex (Male, Female or Unknown)]]="Female",Backend!$C$7,IF(Table1[[#This Row],[Fetal Sex (Male, Female or Unknown)]]="Unknown",Backend!$C$8,"Error"))),"")</f>
        <v/>
      </c>
      <c r="F496" s="8" t="str">
        <f>IF(Table1[[#This Row],[Is Data Valid]]=TRUE,EXP(0.578+0.332*((Table1[[#This Row],[Gestation (days)]]+0.5)/7)-0.00354*((Table1[[#This Row],[Gestation (days)]]+0.5)/7)^2)*Table1[[#This Row],[BW40_3705]],"")</f>
        <v/>
      </c>
      <c r="G496" s="2" t="str">
        <f>IF(Table1[[#This Row],[Is Data Valid]]=TRUE,((Table1[[#This Row],[Birthweight (grams)]]/Table1[[#This Row],[BW_GA]])-1)/(Backend!$B$4/100*Table1[[#This Row],[BW40_3705]]),"")</f>
        <v/>
      </c>
      <c r="H496" s="7" t="str">
        <f>IF(Table1[[#This Row],[Is Data Valid]]=TRUE,((Table1[[#This Row],[Birthweight (grams)]]*0.9/Table1[[#This Row],[BW_GA]])-1)/(Backend!$B$4/100*Table1[[#This Row],[BW40_3705]]),"")</f>
        <v/>
      </c>
      <c r="I496" s="7" t="str">
        <f>IF(Table1[[#This Row],[Is Data Valid]]=TRUE,((Table1[[#This Row],[Birthweight (grams)]]*1.1/Table1[[#This Row],[BW_GA]])-1)/(Backend!$B$4/100*Table1[[#This Row],[BW40_3705]]),"")</f>
        <v/>
      </c>
      <c r="J496" s="7" t="str">
        <f>IF(Table1[[#This Row],[Is Data Valid]]=TRUE,_xlfn.NORM.S.DIST(Table1[[#This Row],[Birthweight Z-Score]],TRUE)*100,"")</f>
        <v/>
      </c>
      <c r="K496" s="7" t="str">
        <f>IF(Table1[[#This Row],[Is Data Valid]]=TRUE,_xlfn.NORM.S.DIST(Table1[[#This Row],[Birthweight Z-Score (BW-10%)]],TRUE)*100,"")</f>
        <v/>
      </c>
      <c r="L496" s="7" t="str">
        <f>IF(Table1[[#This Row],[Is Data Valid]]=TRUE,_xlfn.NORM.S.DIST(Table1[[#This Row],[Birthweight Z-Score (BW+10%)]],TRUE)*100,"")</f>
        <v/>
      </c>
    </row>
    <row r="497" spans="1:12" x14ac:dyDescent="0.35">
      <c r="A497" s="3"/>
      <c r="B497" s="2"/>
      <c r="C497" s="2"/>
      <c r="D497" s="2" t="b">
        <f>IF(AND(NOT(ISBLANK(Table1[[#This Row],[Fetal Sex (Male, Female or Unknown)]])),ISNUMBER(Table1[[#This Row],[Birthweight (grams)]]),ISNUMBER(Table1[[#This Row],[Gestation (days)]])),TRUE,FALSE)</f>
        <v>0</v>
      </c>
      <c r="E497" s="2" t="str">
        <f>IF(Table1[[#This Row],[Is Data Valid]]=TRUE,IF(Table1[[#This Row],[Fetal Sex (Male, Female or Unknown)]]="Male",Backend!$C$6,IF(Table1[[#This Row],[Fetal Sex (Male, Female or Unknown)]]="Female",Backend!$C$7,IF(Table1[[#This Row],[Fetal Sex (Male, Female or Unknown)]]="Unknown",Backend!$C$8,"Error"))),"")</f>
        <v/>
      </c>
      <c r="F497" s="8" t="str">
        <f>IF(Table1[[#This Row],[Is Data Valid]]=TRUE,EXP(0.578+0.332*((Table1[[#This Row],[Gestation (days)]]+0.5)/7)-0.00354*((Table1[[#This Row],[Gestation (days)]]+0.5)/7)^2)*Table1[[#This Row],[BW40_3705]],"")</f>
        <v/>
      </c>
      <c r="G497" s="2" t="str">
        <f>IF(Table1[[#This Row],[Is Data Valid]]=TRUE,((Table1[[#This Row],[Birthweight (grams)]]/Table1[[#This Row],[BW_GA]])-1)/(Backend!$B$4/100*Table1[[#This Row],[BW40_3705]]),"")</f>
        <v/>
      </c>
      <c r="H497" s="7" t="str">
        <f>IF(Table1[[#This Row],[Is Data Valid]]=TRUE,((Table1[[#This Row],[Birthweight (grams)]]*0.9/Table1[[#This Row],[BW_GA]])-1)/(Backend!$B$4/100*Table1[[#This Row],[BW40_3705]]),"")</f>
        <v/>
      </c>
      <c r="I497" s="7" t="str">
        <f>IF(Table1[[#This Row],[Is Data Valid]]=TRUE,((Table1[[#This Row],[Birthweight (grams)]]*1.1/Table1[[#This Row],[BW_GA]])-1)/(Backend!$B$4/100*Table1[[#This Row],[BW40_3705]]),"")</f>
        <v/>
      </c>
      <c r="J497" s="7" t="str">
        <f>IF(Table1[[#This Row],[Is Data Valid]]=TRUE,_xlfn.NORM.S.DIST(Table1[[#This Row],[Birthweight Z-Score]],TRUE)*100,"")</f>
        <v/>
      </c>
      <c r="K497" s="7" t="str">
        <f>IF(Table1[[#This Row],[Is Data Valid]]=TRUE,_xlfn.NORM.S.DIST(Table1[[#This Row],[Birthweight Z-Score (BW-10%)]],TRUE)*100,"")</f>
        <v/>
      </c>
      <c r="L497" s="7" t="str">
        <f>IF(Table1[[#This Row],[Is Data Valid]]=TRUE,_xlfn.NORM.S.DIST(Table1[[#This Row],[Birthweight Z-Score (BW+10%)]],TRUE)*100,"")</f>
        <v/>
      </c>
    </row>
    <row r="498" spans="1:12" x14ac:dyDescent="0.35">
      <c r="A498" s="3"/>
      <c r="B498" s="2"/>
      <c r="C498" s="2"/>
      <c r="D498" s="2" t="b">
        <f>IF(AND(NOT(ISBLANK(Table1[[#This Row],[Fetal Sex (Male, Female or Unknown)]])),ISNUMBER(Table1[[#This Row],[Birthweight (grams)]]),ISNUMBER(Table1[[#This Row],[Gestation (days)]])),TRUE,FALSE)</f>
        <v>0</v>
      </c>
      <c r="E498" s="2" t="str">
        <f>IF(Table1[[#This Row],[Is Data Valid]]=TRUE,IF(Table1[[#This Row],[Fetal Sex (Male, Female or Unknown)]]="Male",Backend!$C$6,IF(Table1[[#This Row],[Fetal Sex (Male, Female or Unknown)]]="Female",Backend!$C$7,IF(Table1[[#This Row],[Fetal Sex (Male, Female or Unknown)]]="Unknown",Backend!$C$8,"Error"))),"")</f>
        <v/>
      </c>
      <c r="F498" s="8" t="str">
        <f>IF(Table1[[#This Row],[Is Data Valid]]=TRUE,EXP(0.578+0.332*((Table1[[#This Row],[Gestation (days)]]+0.5)/7)-0.00354*((Table1[[#This Row],[Gestation (days)]]+0.5)/7)^2)*Table1[[#This Row],[BW40_3705]],"")</f>
        <v/>
      </c>
      <c r="G498" s="2" t="str">
        <f>IF(Table1[[#This Row],[Is Data Valid]]=TRUE,((Table1[[#This Row],[Birthweight (grams)]]/Table1[[#This Row],[BW_GA]])-1)/(Backend!$B$4/100*Table1[[#This Row],[BW40_3705]]),"")</f>
        <v/>
      </c>
      <c r="H498" s="7" t="str">
        <f>IF(Table1[[#This Row],[Is Data Valid]]=TRUE,((Table1[[#This Row],[Birthweight (grams)]]*0.9/Table1[[#This Row],[BW_GA]])-1)/(Backend!$B$4/100*Table1[[#This Row],[BW40_3705]]),"")</f>
        <v/>
      </c>
      <c r="I498" s="7" t="str">
        <f>IF(Table1[[#This Row],[Is Data Valid]]=TRUE,((Table1[[#This Row],[Birthweight (grams)]]*1.1/Table1[[#This Row],[BW_GA]])-1)/(Backend!$B$4/100*Table1[[#This Row],[BW40_3705]]),"")</f>
        <v/>
      </c>
      <c r="J498" s="7" t="str">
        <f>IF(Table1[[#This Row],[Is Data Valid]]=TRUE,_xlfn.NORM.S.DIST(Table1[[#This Row],[Birthweight Z-Score]],TRUE)*100,"")</f>
        <v/>
      </c>
      <c r="K498" s="7" t="str">
        <f>IF(Table1[[#This Row],[Is Data Valid]]=TRUE,_xlfn.NORM.S.DIST(Table1[[#This Row],[Birthweight Z-Score (BW-10%)]],TRUE)*100,"")</f>
        <v/>
      </c>
      <c r="L498" s="7" t="str">
        <f>IF(Table1[[#This Row],[Is Data Valid]]=TRUE,_xlfn.NORM.S.DIST(Table1[[#This Row],[Birthweight Z-Score (BW+10%)]],TRUE)*100,"")</f>
        <v/>
      </c>
    </row>
    <row r="499" spans="1:12" x14ac:dyDescent="0.35">
      <c r="A499" s="3"/>
      <c r="B499" s="2"/>
      <c r="C499" s="2"/>
      <c r="D499" s="2" t="b">
        <f>IF(AND(NOT(ISBLANK(Table1[[#This Row],[Fetal Sex (Male, Female or Unknown)]])),ISNUMBER(Table1[[#This Row],[Birthweight (grams)]]),ISNUMBER(Table1[[#This Row],[Gestation (days)]])),TRUE,FALSE)</f>
        <v>0</v>
      </c>
      <c r="E499" s="2" t="str">
        <f>IF(Table1[[#This Row],[Is Data Valid]]=TRUE,IF(Table1[[#This Row],[Fetal Sex (Male, Female or Unknown)]]="Male",Backend!$C$6,IF(Table1[[#This Row],[Fetal Sex (Male, Female or Unknown)]]="Female",Backend!$C$7,IF(Table1[[#This Row],[Fetal Sex (Male, Female or Unknown)]]="Unknown",Backend!$C$8,"Error"))),"")</f>
        <v/>
      </c>
      <c r="F499" s="8" t="str">
        <f>IF(Table1[[#This Row],[Is Data Valid]]=TRUE,EXP(0.578+0.332*((Table1[[#This Row],[Gestation (days)]]+0.5)/7)-0.00354*((Table1[[#This Row],[Gestation (days)]]+0.5)/7)^2)*Table1[[#This Row],[BW40_3705]],"")</f>
        <v/>
      </c>
      <c r="G499" s="2" t="str">
        <f>IF(Table1[[#This Row],[Is Data Valid]]=TRUE,((Table1[[#This Row],[Birthweight (grams)]]/Table1[[#This Row],[BW_GA]])-1)/(Backend!$B$4/100*Table1[[#This Row],[BW40_3705]]),"")</f>
        <v/>
      </c>
      <c r="H499" s="7" t="str">
        <f>IF(Table1[[#This Row],[Is Data Valid]]=TRUE,((Table1[[#This Row],[Birthweight (grams)]]*0.9/Table1[[#This Row],[BW_GA]])-1)/(Backend!$B$4/100*Table1[[#This Row],[BW40_3705]]),"")</f>
        <v/>
      </c>
      <c r="I499" s="7" t="str">
        <f>IF(Table1[[#This Row],[Is Data Valid]]=TRUE,((Table1[[#This Row],[Birthweight (grams)]]*1.1/Table1[[#This Row],[BW_GA]])-1)/(Backend!$B$4/100*Table1[[#This Row],[BW40_3705]]),"")</f>
        <v/>
      </c>
      <c r="J499" s="7" t="str">
        <f>IF(Table1[[#This Row],[Is Data Valid]]=TRUE,_xlfn.NORM.S.DIST(Table1[[#This Row],[Birthweight Z-Score]],TRUE)*100,"")</f>
        <v/>
      </c>
      <c r="K499" s="7" t="str">
        <f>IF(Table1[[#This Row],[Is Data Valid]]=TRUE,_xlfn.NORM.S.DIST(Table1[[#This Row],[Birthweight Z-Score (BW-10%)]],TRUE)*100,"")</f>
        <v/>
      </c>
      <c r="L499" s="7" t="str">
        <f>IF(Table1[[#This Row],[Is Data Valid]]=TRUE,_xlfn.NORM.S.DIST(Table1[[#This Row],[Birthweight Z-Score (BW+10%)]],TRUE)*100,"")</f>
        <v/>
      </c>
    </row>
    <row r="500" spans="1:12" x14ac:dyDescent="0.35">
      <c r="A500" s="3"/>
      <c r="B500" s="2"/>
      <c r="C500" s="2"/>
      <c r="D500" s="2" t="b">
        <f>IF(AND(NOT(ISBLANK(Table1[[#This Row],[Fetal Sex (Male, Female or Unknown)]])),ISNUMBER(Table1[[#This Row],[Birthweight (grams)]]),ISNUMBER(Table1[[#This Row],[Gestation (days)]])),TRUE,FALSE)</f>
        <v>0</v>
      </c>
      <c r="E500" s="2" t="str">
        <f>IF(Table1[[#This Row],[Is Data Valid]]=TRUE,IF(Table1[[#This Row],[Fetal Sex (Male, Female or Unknown)]]="Male",Backend!$C$6,IF(Table1[[#This Row],[Fetal Sex (Male, Female or Unknown)]]="Female",Backend!$C$7,IF(Table1[[#This Row],[Fetal Sex (Male, Female or Unknown)]]="Unknown",Backend!$C$8,"Error"))),"")</f>
        <v/>
      </c>
      <c r="F500" s="8" t="str">
        <f>IF(Table1[[#This Row],[Is Data Valid]]=TRUE,EXP(0.578+0.332*((Table1[[#This Row],[Gestation (days)]]+0.5)/7)-0.00354*((Table1[[#This Row],[Gestation (days)]]+0.5)/7)^2)*Table1[[#This Row],[BW40_3705]],"")</f>
        <v/>
      </c>
      <c r="G500" s="2" t="str">
        <f>IF(Table1[[#This Row],[Is Data Valid]]=TRUE,((Table1[[#This Row],[Birthweight (grams)]]/Table1[[#This Row],[BW_GA]])-1)/(Backend!$B$4/100*Table1[[#This Row],[BW40_3705]]),"")</f>
        <v/>
      </c>
      <c r="H500" s="7" t="str">
        <f>IF(Table1[[#This Row],[Is Data Valid]]=TRUE,((Table1[[#This Row],[Birthweight (grams)]]*0.9/Table1[[#This Row],[BW_GA]])-1)/(Backend!$B$4/100*Table1[[#This Row],[BW40_3705]]),"")</f>
        <v/>
      </c>
      <c r="I500" s="7" t="str">
        <f>IF(Table1[[#This Row],[Is Data Valid]]=TRUE,((Table1[[#This Row],[Birthweight (grams)]]*1.1/Table1[[#This Row],[BW_GA]])-1)/(Backend!$B$4/100*Table1[[#This Row],[BW40_3705]]),"")</f>
        <v/>
      </c>
      <c r="J500" s="7" t="str">
        <f>IF(Table1[[#This Row],[Is Data Valid]]=TRUE,_xlfn.NORM.S.DIST(Table1[[#This Row],[Birthweight Z-Score]],TRUE)*100,"")</f>
        <v/>
      </c>
      <c r="K500" s="7" t="str">
        <f>IF(Table1[[#This Row],[Is Data Valid]]=TRUE,_xlfn.NORM.S.DIST(Table1[[#This Row],[Birthweight Z-Score (BW-10%)]],TRUE)*100,"")</f>
        <v/>
      </c>
      <c r="L500" s="7" t="str">
        <f>IF(Table1[[#This Row],[Is Data Valid]]=TRUE,_xlfn.NORM.S.DIST(Table1[[#This Row],[Birthweight Z-Score (BW+10%)]],TRUE)*100,"")</f>
        <v/>
      </c>
    </row>
    <row r="501" spans="1:12" x14ac:dyDescent="0.35">
      <c r="A501" s="3"/>
      <c r="B501" s="2"/>
      <c r="C501" s="2"/>
      <c r="D501" s="2" t="b">
        <f>IF(AND(NOT(ISBLANK(Table1[[#This Row],[Fetal Sex (Male, Female or Unknown)]])),ISNUMBER(Table1[[#This Row],[Birthweight (grams)]]),ISNUMBER(Table1[[#This Row],[Gestation (days)]])),TRUE,FALSE)</f>
        <v>0</v>
      </c>
      <c r="E501" s="2" t="str">
        <f>IF(Table1[[#This Row],[Is Data Valid]]=TRUE,IF(Table1[[#This Row],[Fetal Sex (Male, Female or Unknown)]]="Male",Backend!$C$6,IF(Table1[[#This Row],[Fetal Sex (Male, Female or Unknown)]]="Female",Backend!$C$7,IF(Table1[[#This Row],[Fetal Sex (Male, Female or Unknown)]]="Unknown",Backend!$C$8,"Error"))),"")</f>
        <v/>
      </c>
      <c r="F501" s="8" t="str">
        <f>IF(Table1[[#This Row],[Is Data Valid]]=TRUE,EXP(0.578+0.332*((Table1[[#This Row],[Gestation (days)]]+0.5)/7)-0.00354*((Table1[[#This Row],[Gestation (days)]]+0.5)/7)^2)*Table1[[#This Row],[BW40_3705]],"")</f>
        <v/>
      </c>
      <c r="G501" s="2" t="str">
        <f>IF(Table1[[#This Row],[Is Data Valid]]=TRUE,((Table1[[#This Row],[Birthweight (grams)]]/Table1[[#This Row],[BW_GA]])-1)/(Backend!$B$4/100*Table1[[#This Row],[BW40_3705]]),"")</f>
        <v/>
      </c>
      <c r="H501" s="7" t="str">
        <f>IF(Table1[[#This Row],[Is Data Valid]]=TRUE,((Table1[[#This Row],[Birthweight (grams)]]*0.9/Table1[[#This Row],[BW_GA]])-1)/(Backend!$B$4/100*Table1[[#This Row],[BW40_3705]]),"")</f>
        <v/>
      </c>
      <c r="I501" s="7" t="str">
        <f>IF(Table1[[#This Row],[Is Data Valid]]=TRUE,((Table1[[#This Row],[Birthweight (grams)]]*1.1/Table1[[#This Row],[BW_GA]])-1)/(Backend!$B$4/100*Table1[[#This Row],[BW40_3705]]),"")</f>
        <v/>
      </c>
      <c r="J501" s="7" t="str">
        <f>IF(Table1[[#This Row],[Is Data Valid]]=TRUE,_xlfn.NORM.S.DIST(Table1[[#This Row],[Birthweight Z-Score]],TRUE)*100,"")</f>
        <v/>
      </c>
      <c r="K501" s="7" t="str">
        <f>IF(Table1[[#This Row],[Is Data Valid]]=TRUE,_xlfn.NORM.S.DIST(Table1[[#This Row],[Birthweight Z-Score (BW-10%)]],TRUE)*100,"")</f>
        <v/>
      </c>
      <c r="L501" s="7" t="str">
        <f>IF(Table1[[#This Row],[Is Data Valid]]=TRUE,_xlfn.NORM.S.DIST(Table1[[#This Row],[Birthweight Z-Score (BW+10%)]],TRUE)*100,"")</f>
        <v/>
      </c>
    </row>
    <row r="502" spans="1:12" x14ac:dyDescent="0.35">
      <c r="A502" s="3"/>
      <c r="B502" s="2"/>
      <c r="C502" s="2"/>
      <c r="D502" s="2" t="b">
        <f>IF(AND(NOT(ISBLANK(Table1[[#This Row],[Fetal Sex (Male, Female or Unknown)]])),ISNUMBER(Table1[[#This Row],[Birthweight (grams)]]),ISNUMBER(Table1[[#This Row],[Gestation (days)]])),TRUE,FALSE)</f>
        <v>0</v>
      </c>
      <c r="E502" s="2" t="str">
        <f>IF(Table1[[#This Row],[Is Data Valid]]=TRUE,IF(Table1[[#This Row],[Fetal Sex (Male, Female or Unknown)]]="Male",Backend!$C$6,IF(Table1[[#This Row],[Fetal Sex (Male, Female or Unknown)]]="Female",Backend!$C$7,IF(Table1[[#This Row],[Fetal Sex (Male, Female or Unknown)]]="Unknown",Backend!$C$8,"Error"))),"")</f>
        <v/>
      </c>
      <c r="F502" s="8" t="str">
        <f>IF(Table1[[#This Row],[Is Data Valid]]=TRUE,EXP(0.578+0.332*((Table1[[#This Row],[Gestation (days)]]+0.5)/7)-0.00354*((Table1[[#This Row],[Gestation (days)]]+0.5)/7)^2)*Table1[[#This Row],[BW40_3705]],"")</f>
        <v/>
      </c>
      <c r="G502" s="2" t="str">
        <f>IF(Table1[[#This Row],[Is Data Valid]]=TRUE,((Table1[[#This Row],[Birthweight (grams)]]/Table1[[#This Row],[BW_GA]])-1)/(Backend!$B$4/100*Table1[[#This Row],[BW40_3705]]),"")</f>
        <v/>
      </c>
      <c r="H502" s="7" t="str">
        <f>IF(Table1[[#This Row],[Is Data Valid]]=TRUE,((Table1[[#This Row],[Birthweight (grams)]]*0.9/Table1[[#This Row],[BW_GA]])-1)/(Backend!$B$4/100*Table1[[#This Row],[BW40_3705]]),"")</f>
        <v/>
      </c>
      <c r="I502" s="7" t="str">
        <f>IF(Table1[[#This Row],[Is Data Valid]]=TRUE,((Table1[[#This Row],[Birthweight (grams)]]*1.1/Table1[[#This Row],[BW_GA]])-1)/(Backend!$B$4/100*Table1[[#This Row],[BW40_3705]]),"")</f>
        <v/>
      </c>
      <c r="J502" s="7" t="str">
        <f>IF(Table1[[#This Row],[Is Data Valid]]=TRUE,_xlfn.NORM.S.DIST(Table1[[#This Row],[Birthweight Z-Score]],TRUE)*100,"")</f>
        <v/>
      </c>
      <c r="K502" s="7" t="str">
        <f>IF(Table1[[#This Row],[Is Data Valid]]=TRUE,_xlfn.NORM.S.DIST(Table1[[#This Row],[Birthweight Z-Score (BW-10%)]],TRUE)*100,"")</f>
        <v/>
      </c>
      <c r="L502" s="7" t="str">
        <f>IF(Table1[[#This Row],[Is Data Valid]]=TRUE,_xlfn.NORM.S.DIST(Table1[[#This Row],[Birthweight Z-Score (BW+10%)]],TRUE)*100,"")</f>
        <v/>
      </c>
    </row>
    <row r="503" spans="1:12" x14ac:dyDescent="0.35">
      <c r="A503" s="3"/>
      <c r="B503" s="2"/>
      <c r="C503" s="2"/>
      <c r="D503" s="2" t="b">
        <f>IF(AND(NOT(ISBLANK(Table1[[#This Row],[Fetal Sex (Male, Female or Unknown)]])),ISNUMBER(Table1[[#This Row],[Birthweight (grams)]]),ISNUMBER(Table1[[#This Row],[Gestation (days)]])),TRUE,FALSE)</f>
        <v>0</v>
      </c>
      <c r="E503" s="2" t="str">
        <f>IF(Table1[[#This Row],[Is Data Valid]]=TRUE,IF(Table1[[#This Row],[Fetal Sex (Male, Female or Unknown)]]="Male",Backend!$C$6,IF(Table1[[#This Row],[Fetal Sex (Male, Female or Unknown)]]="Female",Backend!$C$7,IF(Table1[[#This Row],[Fetal Sex (Male, Female or Unknown)]]="Unknown",Backend!$C$8,"Error"))),"")</f>
        <v/>
      </c>
      <c r="F503" s="8" t="str">
        <f>IF(Table1[[#This Row],[Is Data Valid]]=TRUE,EXP(0.578+0.332*((Table1[[#This Row],[Gestation (days)]]+0.5)/7)-0.00354*((Table1[[#This Row],[Gestation (days)]]+0.5)/7)^2)*Table1[[#This Row],[BW40_3705]],"")</f>
        <v/>
      </c>
      <c r="G503" s="2" t="str">
        <f>IF(Table1[[#This Row],[Is Data Valid]]=TRUE,((Table1[[#This Row],[Birthweight (grams)]]/Table1[[#This Row],[BW_GA]])-1)/(Backend!$B$4/100*Table1[[#This Row],[BW40_3705]]),"")</f>
        <v/>
      </c>
      <c r="H503" s="7" t="str">
        <f>IF(Table1[[#This Row],[Is Data Valid]]=TRUE,((Table1[[#This Row],[Birthweight (grams)]]*0.9/Table1[[#This Row],[BW_GA]])-1)/(Backend!$B$4/100*Table1[[#This Row],[BW40_3705]]),"")</f>
        <v/>
      </c>
      <c r="I503" s="7" t="str">
        <f>IF(Table1[[#This Row],[Is Data Valid]]=TRUE,((Table1[[#This Row],[Birthweight (grams)]]*1.1/Table1[[#This Row],[BW_GA]])-1)/(Backend!$B$4/100*Table1[[#This Row],[BW40_3705]]),"")</f>
        <v/>
      </c>
      <c r="J503" s="7" t="str">
        <f>IF(Table1[[#This Row],[Is Data Valid]]=TRUE,_xlfn.NORM.S.DIST(Table1[[#This Row],[Birthweight Z-Score]],TRUE)*100,"")</f>
        <v/>
      </c>
      <c r="K503" s="7" t="str">
        <f>IF(Table1[[#This Row],[Is Data Valid]]=TRUE,_xlfn.NORM.S.DIST(Table1[[#This Row],[Birthweight Z-Score (BW-10%)]],TRUE)*100,"")</f>
        <v/>
      </c>
      <c r="L503" s="7" t="str">
        <f>IF(Table1[[#This Row],[Is Data Valid]]=TRUE,_xlfn.NORM.S.DIST(Table1[[#This Row],[Birthweight Z-Score (BW+10%)]],TRUE)*100,"")</f>
        <v/>
      </c>
    </row>
    <row r="504" spans="1:12" x14ac:dyDescent="0.35">
      <c r="A504" s="3"/>
      <c r="B504" s="2"/>
      <c r="C504" s="2"/>
      <c r="D504" s="2" t="b">
        <f>IF(AND(NOT(ISBLANK(Table1[[#This Row],[Fetal Sex (Male, Female or Unknown)]])),ISNUMBER(Table1[[#This Row],[Birthweight (grams)]]),ISNUMBER(Table1[[#This Row],[Gestation (days)]])),TRUE,FALSE)</f>
        <v>0</v>
      </c>
      <c r="E504" s="2" t="str">
        <f>IF(Table1[[#This Row],[Is Data Valid]]=TRUE,IF(Table1[[#This Row],[Fetal Sex (Male, Female or Unknown)]]="Male",Backend!$C$6,IF(Table1[[#This Row],[Fetal Sex (Male, Female or Unknown)]]="Female",Backend!$C$7,IF(Table1[[#This Row],[Fetal Sex (Male, Female or Unknown)]]="Unknown",Backend!$C$8,"Error"))),"")</f>
        <v/>
      </c>
      <c r="F504" s="8" t="str">
        <f>IF(Table1[[#This Row],[Is Data Valid]]=TRUE,EXP(0.578+0.332*((Table1[[#This Row],[Gestation (days)]]+0.5)/7)-0.00354*((Table1[[#This Row],[Gestation (days)]]+0.5)/7)^2)*Table1[[#This Row],[BW40_3705]],"")</f>
        <v/>
      </c>
      <c r="G504" s="2" t="str">
        <f>IF(Table1[[#This Row],[Is Data Valid]]=TRUE,((Table1[[#This Row],[Birthweight (grams)]]/Table1[[#This Row],[BW_GA]])-1)/(Backend!$B$4/100*Table1[[#This Row],[BW40_3705]]),"")</f>
        <v/>
      </c>
      <c r="H504" s="7" t="str">
        <f>IF(Table1[[#This Row],[Is Data Valid]]=TRUE,((Table1[[#This Row],[Birthweight (grams)]]*0.9/Table1[[#This Row],[BW_GA]])-1)/(Backend!$B$4/100*Table1[[#This Row],[BW40_3705]]),"")</f>
        <v/>
      </c>
      <c r="I504" s="7" t="str">
        <f>IF(Table1[[#This Row],[Is Data Valid]]=TRUE,((Table1[[#This Row],[Birthweight (grams)]]*1.1/Table1[[#This Row],[BW_GA]])-1)/(Backend!$B$4/100*Table1[[#This Row],[BW40_3705]]),"")</f>
        <v/>
      </c>
      <c r="J504" s="7" t="str">
        <f>IF(Table1[[#This Row],[Is Data Valid]]=TRUE,_xlfn.NORM.S.DIST(Table1[[#This Row],[Birthweight Z-Score]],TRUE)*100,"")</f>
        <v/>
      </c>
      <c r="K504" s="7" t="str">
        <f>IF(Table1[[#This Row],[Is Data Valid]]=TRUE,_xlfn.NORM.S.DIST(Table1[[#This Row],[Birthweight Z-Score (BW-10%)]],TRUE)*100,"")</f>
        <v/>
      </c>
      <c r="L504" s="7" t="str">
        <f>IF(Table1[[#This Row],[Is Data Valid]]=TRUE,_xlfn.NORM.S.DIST(Table1[[#This Row],[Birthweight Z-Score (BW+10%)]],TRUE)*100,"")</f>
        <v/>
      </c>
    </row>
    <row r="505" spans="1:12" x14ac:dyDescent="0.35">
      <c r="A505" s="3"/>
      <c r="B505" s="2"/>
      <c r="C505" s="2"/>
      <c r="D505" s="2" t="b">
        <f>IF(AND(NOT(ISBLANK(Table1[[#This Row],[Fetal Sex (Male, Female or Unknown)]])),ISNUMBER(Table1[[#This Row],[Birthweight (grams)]]),ISNUMBER(Table1[[#This Row],[Gestation (days)]])),TRUE,FALSE)</f>
        <v>0</v>
      </c>
      <c r="E505" s="2" t="str">
        <f>IF(Table1[[#This Row],[Is Data Valid]]=TRUE,IF(Table1[[#This Row],[Fetal Sex (Male, Female or Unknown)]]="Male",Backend!$C$6,IF(Table1[[#This Row],[Fetal Sex (Male, Female or Unknown)]]="Female",Backend!$C$7,IF(Table1[[#This Row],[Fetal Sex (Male, Female or Unknown)]]="Unknown",Backend!$C$8,"Error"))),"")</f>
        <v/>
      </c>
      <c r="F505" s="8" t="str">
        <f>IF(Table1[[#This Row],[Is Data Valid]]=TRUE,EXP(0.578+0.332*((Table1[[#This Row],[Gestation (days)]]+0.5)/7)-0.00354*((Table1[[#This Row],[Gestation (days)]]+0.5)/7)^2)*Table1[[#This Row],[BW40_3705]],"")</f>
        <v/>
      </c>
      <c r="G505" s="2" t="str">
        <f>IF(Table1[[#This Row],[Is Data Valid]]=TRUE,((Table1[[#This Row],[Birthweight (grams)]]/Table1[[#This Row],[BW_GA]])-1)/(Backend!$B$4/100*Table1[[#This Row],[BW40_3705]]),"")</f>
        <v/>
      </c>
      <c r="H505" s="7" t="str">
        <f>IF(Table1[[#This Row],[Is Data Valid]]=TRUE,((Table1[[#This Row],[Birthweight (grams)]]*0.9/Table1[[#This Row],[BW_GA]])-1)/(Backend!$B$4/100*Table1[[#This Row],[BW40_3705]]),"")</f>
        <v/>
      </c>
      <c r="I505" s="7" t="str">
        <f>IF(Table1[[#This Row],[Is Data Valid]]=TRUE,((Table1[[#This Row],[Birthweight (grams)]]*1.1/Table1[[#This Row],[BW_GA]])-1)/(Backend!$B$4/100*Table1[[#This Row],[BW40_3705]]),"")</f>
        <v/>
      </c>
      <c r="J505" s="7" t="str">
        <f>IF(Table1[[#This Row],[Is Data Valid]]=TRUE,_xlfn.NORM.S.DIST(Table1[[#This Row],[Birthweight Z-Score]],TRUE)*100,"")</f>
        <v/>
      </c>
      <c r="K505" s="7" t="str">
        <f>IF(Table1[[#This Row],[Is Data Valid]]=TRUE,_xlfn.NORM.S.DIST(Table1[[#This Row],[Birthweight Z-Score (BW-10%)]],TRUE)*100,"")</f>
        <v/>
      </c>
      <c r="L505" s="7" t="str">
        <f>IF(Table1[[#This Row],[Is Data Valid]]=TRUE,_xlfn.NORM.S.DIST(Table1[[#This Row],[Birthweight Z-Score (BW+10%)]],TRUE)*100,"")</f>
        <v/>
      </c>
    </row>
    <row r="506" spans="1:12" x14ac:dyDescent="0.35">
      <c r="A506" s="3"/>
      <c r="B506" s="2"/>
      <c r="C506" s="2"/>
      <c r="D506" s="2" t="b">
        <f>IF(AND(NOT(ISBLANK(Table1[[#This Row],[Fetal Sex (Male, Female or Unknown)]])),ISNUMBER(Table1[[#This Row],[Birthweight (grams)]]),ISNUMBER(Table1[[#This Row],[Gestation (days)]])),TRUE,FALSE)</f>
        <v>0</v>
      </c>
      <c r="E506" s="2" t="str">
        <f>IF(Table1[[#This Row],[Is Data Valid]]=TRUE,IF(Table1[[#This Row],[Fetal Sex (Male, Female or Unknown)]]="Male",Backend!$C$6,IF(Table1[[#This Row],[Fetal Sex (Male, Female or Unknown)]]="Female",Backend!$C$7,IF(Table1[[#This Row],[Fetal Sex (Male, Female or Unknown)]]="Unknown",Backend!$C$8,"Error"))),"")</f>
        <v/>
      </c>
      <c r="F506" s="8" t="str">
        <f>IF(Table1[[#This Row],[Is Data Valid]]=TRUE,EXP(0.578+0.332*((Table1[[#This Row],[Gestation (days)]]+0.5)/7)-0.00354*((Table1[[#This Row],[Gestation (days)]]+0.5)/7)^2)*Table1[[#This Row],[BW40_3705]],"")</f>
        <v/>
      </c>
      <c r="G506" s="2" t="str">
        <f>IF(Table1[[#This Row],[Is Data Valid]]=TRUE,((Table1[[#This Row],[Birthweight (grams)]]/Table1[[#This Row],[BW_GA]])-1)/(Backend!$B$4/100*Table1[[#This Row],[BW40_3705]]),"")</f>
        <v/>
      </c>
      <c r="H506" s="7" t="str">
        <f>IF(Table1[[#This Row],[Is Data Valid]]=TRUE,((Table1[[#This Row],[Birthweight (grams)]]*0.9/Table1[[#This Row],[BW_GA]])-1)/(Backend!$B$4/100*Table1[[#This Row],[BW40_3705]]),"")</f>
        <v/>
      </c>
      <c r="I506" s="7" t="str">
        <f>IF(Table1[[#This Row],[Is Data Valid]]=TRUE,((Table1[[#This Row],[Birthweight (grams)]]*1.1/Table1[[#This Row],[BW_GA]])-1)/(Backend!$B$4/100*Table1[[#This Row],[BW40_3705]]),"")</f>
        <v/>
      </c>
      <c r="J506" s="7" t="str">
        <f>IF(Table1[[#This Row],[Is Data Valid]]=TRUE,_xlfn.NORM.S.DIST(Table1[[#This Row],[Birthweight Z-Score]],TRUE)*100,"")</f>
        <v/>
      </c>
      <c r="K506" s="7" t="str">
        <f>IF(Table1[[#This Row],[Is Data Valid]]=TRUE,_xlfn.NORM.S.DIST(Table1[[#This Row],[Birthweight Z-Score (BW-10%)]],TRUE)*100,"")</f>
        <v/>
      </c>
      <c r="L506" s="7" t="str">
        <f>IF(Table1[[#This Row],[Is Data Valid]]=TRUE,_xlfn.NORM.S.DIST(Table1[[#This Row],[Birthweight Z-Score (BW+10%)]],TRUE)*100,"")</f>
        <v/>
      </c>
    </row>
    <row r="507" spans="1:12" x14ac:dyDescent="0.35">
      <c r="A507" s="3"/>
      <c r="B507" s="2"/>
      <c r="C507" s="2"/>
      <c r="D507" s="2" t="b">
        <f>IF(AND(NOT(ISBLANK(Table1[[#This Row],[Fetal Sex (Male, Female or Unknown)]])),ISNUMBER(Table1[[#This Row],[Birthweight (grams)]]),ISNUMBER(Table1[[#This Row],[Gestation (days)]])),TRUE,FALSE)</f>
        <v>0</v>
      </c>
      <c r="E507" s="2" t="str">
        <f>IF(Table1[[#This Row],[Is Data Valid]]=TRUE,IF(Table1[[#This Row],[Fetal Sex (Male, Female or Unknown)]]="Male",Backend!$C$6,IF(Table1[[#This Row],[Fetal Sex (Male, Female or Unknown)]]="Female",Backend!$C$7,IF(Table1[[#This Row],[Fetal Sex (Male, Female or Unknown)]]="Unknown",Backend!$C$8,"Error"))),"")</f>
        <v/>
      </c>
      <c r="F507" s="8" t="str">
        <f>IF(Table1[[#This Row],[Is Data Valid]]=TRUE,EXP(0.578+0.332*((Table1[[#This Row],[Gestation (days)]]+0.5)/7)-0.00354*((Table1[[#This Row],[Gestation (days)]]+0.5)/7)^2)*Table1[[#This Row],[BW40_3705]],"")</f>
        <v/>
      </c>
      <c r="G507" s="2" t="str">
        <f>IF(Table1[[#This Row],[Is Data Valid]]=TRUE,((Table1[[#This Row],[Birthweight (grams)]]/Table1[[#This Row],[BW_GA]])-1)/(Backend!$B$4/100*Table1[[#This Row],[BW40_3705]]),"")</f>
        <v/>
      </c>
      <c r="H507" s="7" t="str">
        <f>IF(Table1[[#This Row],[Is Data Valid]]=TRUE,((Table1[[#This Row],[Birthweight (grams)]]*0.9/Table1[[#This Row],[BW_GA]])-1)/(Backend!$B$4/100*Table1[[#This Row],[BW40_3705]]),"")</f>
        <v/>
      </c>
      <c r="I507" s="7" t="str">
        <f>IF(Table1[[#This Row],[Is Data Valid]]=TRUE,((Table1[[#This Row],[Birthweight (grams)]]*1.1/Table1[[#This Row],[BW_GA]])-1)/(Backend!$B$4/100*Table1[[#This Row],[BW40_3705]]),"")</f>
        <v/>
      </c>
      <c r="J507" s="7" t="str">
        <f>IF(Table1[[#This Row],[Is Data Valid]]=TRUE,_xlfn.NORM.S.DIST(Table1[[#This Row],[Birthweight Z-Score]],TRUE)*100,"")</f>
        <v/>
      </c>
      <c r="K507" s="7" t="str">
        <f>IF(Table1[[#This Row],[Is Data Valid]]=TRUE,_xlfn.NORM.S.DIST(Table1[[#This Row],[Birthweight Z-Score (BW-10%)]],TRUE)*100,"")</f>
        <v/>
      </c>
      <c r="L507" s="7" t="str">
        <f>IF(Table1[[#This Row],[Is Data Valid]]=TRUE,_xlfn.NORM.S.DIST(Table1[[#This Row],[Birthweight Z-Score (BW+10%)]],TRUE)*100,"")</f>
        <v/>
      </c>
    </row>
    <row r="508" spans="1:12" x14ac:dyDescent="0.35">
      <c r="A508" s="3"/>
      <c r="B508" s="2"/>
      <c r="C508" s="2"/>
      <c r="D508" s="2" t="b">
        <f>IF(AND(NOT(ISBLANK(Table1[[#This Row],[Fetal Sex (Male, Female or Unknown)]])),ISNUMBER(Table1[[#This Row],[Birthweight (grams)]]),ISNUMBER(Table1[[#This Row],[Gestation (days)]])),TRUE,FALSE)</f>
        <v>0</v>
      </c>
      <c r="E508" s="2" t="str">
        <f>IF(Table1[[#This Row],[Is Data Valid]]=TRUE,IF(Table1[[#This Row],[Fetal Sex (Male, Female or Unknown)]]="Male",Backend!$C$6,IF(Table1[[#This Row],[Fetal Sex (Male, Female or Unknown)]]="Female",Backend!$C$7,IF(Table1[[#This Row],[Fetal Sex (Male, Female or Unknown)]]="Unknown",Backend!$C$8,"Error"))),"")</f>
        <v/>
      </c>
      <c r="F508" s="8" t="str">
        <f>IF(Table1[[#This Row],[Is Data Valid]]=TRUE,EXP(0.578+0.332*((Table1[[#This Row],[Gestation (days)]]+0.5)/7)-0.00354*((Table1[[#This Row],[Gestation (days)]]+0.5)/7)^2)*Table1[[#This Row],[BW40_3705]],"")</f>
        <v/>
      </c>
      <c r="G508" s="2" t="str">
        <f>IF(Table1[[#This Row],[Is Data Valid]]=TRUE,((Table1[[#This Row],[Birthweight (grams)]]/Table1[[#This Row],[BW_GA]])-1)/(Backend!$B$4/100*Table1[[#This Row],[BW40_3705]]),"")</f>
        <v/>
      </c>
      <c r="H508" s="7" t="str">
        <f>IF(Table1[[#This Row],[Is Data Valid]]=TRUE,((Table1[[#This Row],[Birthweight (grams)]]*0.9/Table1[[#This Row],[BW_GA]])-1)/(Backend!$B$4/100*Table1[[#This Row],[BW40_3705]]),"")</f>
        <v/>
      </c>
      <c r="I508" s="7" t="str">
        <f>IF(Table1[[#This Row],[Is Data Valid]]=TRUE,((Table1[[#This Row],[Birthweight (grams)]]*1.1/Table1[[#This Row],[BW_GA]])-1)/(Backend!$B$4/100*Table1[[#This Row],[BW40_3705]]),"")</f>
        <v/>
      </c>
      <c r="J508" s="7" t="str">
        <f>IF(Table1[[#This Row],[Is Data Valid]]=TRUE,_xlfn.NORM.S.DIST(Table1[[#This Row],[Birthweight Z-Score]],TRUE)*100,"")</f>
        <v/>
      </c>
      <c r="K508" s="7" t="str">
        <f>IF(Table1[[#This Row],[Is Data Valid]]=TRUE,_xlfn.NORM.S.DIST(Table1[[#This Row],[Birthweight Z-Score (BW-10%)]],TRUE)*100,"")</f>
        <v/>
      </c>
      <c r="L508" s="7" t="str">
        <f>IF(Table1[[#This Row],[Is Data Valid]]=TRUE,_xlfn.NORM.S.DIST(Table1[[#This Row],[Birthweight Z-Score (BW+10%)]],TRUE)*100,"")</f>
        <v/>
      </c>
    </row>
    <row r="509" spans="1:12" x14ac:dyDescent="0.35">
      <c r="A509" s="3"/>
      <c r="B509" s="2"/>
      <c r="C509" s="2"/>
      <c r="D509" s="2" t="b">
        <f>IF(AND(NOT(ISBLANK(Table1[[#This Row],[Fetal Sex (Male, Female or Unknown)]])),ISNUMBER(Table1[[#This Row],[Birthweight (grams)]]),ISNUMBER(Table1[[#This Row],[Gestation (days)]])),TRUE,FALSE)</f>
        <v>0</v>
      </c>
      <c r="E509" s="2" t="str">
        <f>IF(Table1[[#This Row],[Is Data Valid]]=TRUE,IF(Table1[[#This Row],[Fetal Sex (Male, Female or Unknown)]]="Male",Backend!$C$6,IF(Table1[[#This Row],[Fetal Sex (Male, Female or Unknown)]]="Female",Backend!$C$7,IF(Table1[[#This Row],[Fetal Sex (Male, Female or Unknown)]]="Unknown",Backend!$C$8,"Error"))),"")</f>
        <v/>
      </c>
      <c r="F509" s="8" t="str">
        <f>IF(Table1[[#This Row],[Is Data Valid]]=TRUE,EXP(0.578+0.332*((Table1[[#This Row],[Gestation (days)]]+0.5)/7)-0.00354*((Table1[[#This Row],[Gestation (days)]]+0.5)/7)^2)*Table1[[#This Row],[BW40_3705]],"")</f>
        <v/>
      </c>
      <c r="G509" s="2" t="str">
        <f>IF(Table1[[#This Row],[Is Data Valid]]=TRUE,((Table1[[#This Row],[Birthweight (grams)]]/Table1[[#This Row],[BW_GA]])-1)/(Backend!$B$4/100*Table1[[#This Row],[BW40_3705]]),"")</f>
        <v/>
      </c>
      <c r="H509" s="7" t="str">
        <f>IF(Table1[[#This Row],[Is Data Valid]]=TRUE,((Table1[[#This Row],[Birthweight (grams)]]*0.9/Table1[[#This Row],[BW_GA]])-1)/(Backend!$B$4/100*Table1[[#This Row],[BW40_3705]]),"")</f>
        <v/>
      </c>
      <c r="I509" s="7" t="str">
        <f>IF(Table1[[#This Row],[Is Data Valid]]=TRUE,((Table1[[#This Row],[Birthweight (grams)]]*1.1/Table1[[#This Row],[BW_GA]])-1)/(Backend!$B$4/100*Table1[[#This Row],[BW40_3705]]),"")</f>
        <v/>
      </c>
      <c r="J509" s="7" t="str">
        <f>IF(Table1[[#This Row],[Is Data Valid]]=TRUE,_xlfn.NORM.S.DIST(Table1[[#This Row],[Birthweight Z-Score]],TRUE)*100,"")</f>
        <v/>
      </c>
      <c r="K509" s="7" t="str">
        <f>IF(Table1[[#This Row],[Is Data Valid]]=TRUE,_xlfn.NORM.S.DIST(Table1[[#This Row],[Birthweight Z-Score (BW-10%)]],TRUE)*100,"")</f>
        <v/>
      </c>
      <c r="L509" s="7" t="str">
        <f>IF(Table1[[#This Row],[Is Data Valid]]=TRUE,_xlfn.NORM.S.DIST(Table1[[#This Row],[Birthweight Z-Score (BW+10%)]],TRUE)*100,"")</f>
        <v/>
      </c>
    </row>
    <row r="510" spans="1:12" x14ac:dyDescent="0.35">
      <c r="A510" s="3"/>
      <c r="B510" s="2"/>
      <c r="C510" s="2"/>
      <c r="D510" s="2" t="b">
        <f>IF(AND(NOT(ISBLANK(Table1[[#This Row],[Fetal Sex (Male, Female or Unknown)]])),ISNUMBER(Table1[[#This Row],[Birthweight (grams)]]),ISNUMBER(Table1[[#This Row],[Gestation (days)]])),TRUE,FALSE)</f>
        <v>0</v>
      </c>
      <c r="E510" s="2" t="str">
        <f>IF(Table1[[#This Row],[Is Data Valid]]=TRUE,IF(Table1[[#This Row],[Fetal Sex (Male, Female or Unknown)]]="Male",Backend!$C$6,IF(Table1[[#This Row],[Fetal Sex (Male, Female or Unknown)]]="Female",Backend!$C$7,IF(Table1[[#This Row],[Fetal Sex (Male, Female or Unknown)]]="Unknown",Backend!$C$8,"Error"))),"")</f>
        <v/>
      </c>
      <c r="F510" s="8" t="str">
        <f>IF(Table1[[#This Row],[Is Data Valid]]=TRUE,EXP(0.578+0.332*((Table1[[#This Row],[Gestation (days)]]+0.5)/7)-0.00354*((Table1[[#This Row],[Gestation (days)]]+0.5)/7)^2)*Table1[[#This Row],[BW40_3705]],"")</f>
        <v/>
      </c>
      <c r="G510" s="2" t="str">
        <f>IF(Table1[[#This Row],[Is Data Valid]]=TRUE,((Table1[[#This Row],[Birthweight (grams)]]/Table1[[#This Row],[BW_GA]])-1)/(Backend!$B$4/100*Table1[[#This Row],[BW40_3705]]),"")</f>
        <v/>
      </c>
      <c r="H510" s="7" t="str">
        <f>IF(Table1[[#This Row],[Is Data Valid]]=TRUE,((Table1[[#This Row],[Birthweight (grams)]]*0.9/Table1[[#This Row],[BW_GA]])-1)/(Backend!$B$4/100*Table1[[#This Row],[BW40_3705]]),"")</f>
        <v/>
      </c>
      <c r="I510" s="7" t="str">
        <f>IF(Table1[[#This Row],[Is Data Valid]]=TRUE,((Table1[[#This Row],[Birthweight (grams)]]*1.1/Table1[[#This Row],[BW_GA]])-1)/(Backend!$B$4/100*Table1[[#This Row],[BW40_3705]]),"")</f>
        <v/>
      </c>
      <c r="J510" s="7" t="str">
        <f>IF(Table1[[#This Row],[Is Data Valid]]=TRUE,_xlfn.NORM.S.DIST(Table1[[#This Row],[Birthweight Z-Score]],TRUE)*100,"")</f>
        <v/>
      </c>
      <c r="K510" s="7" t="str">
        <f>IF(Table1[[#This Row],[Is Data Valid]]=TRUE,_xlfn.NORM.S.DIST(Table1[[#This Row],[Birthweight Z-Score (BW-10%)]],TRUE)*100,"")</f>
        <v/>
      </c>
      <c r="L510" s="7" t="str">
        <f>IF(Table1[[#This Row],[Is Data Valid]]=TRUE,_xlfn.NORM.S.DIST(Table1[[#This Row],[Birthweight Z-Score (BW+10%)]],TRUE)*100,"")</f>
        <v/>
      </c>
    </row>
    <row r="511" spans="1:12" x14ac:dyDescent="0.35">
      <c r="A511" s="3"/>
      <c r="B511" s="2"/>
      <c r="C511" s="2"/>
      <c r="D511" s="2" t="b">
        <f>IF(AND(NOT(ISBLANK(Table1[[#This Row],[Fetal Sex (Male, Female or Unknown)]])),ISNUMBER(Table1[[#This Row],[Birthweight (grams)]]),ISNUMBER(Table1[[#This Row],[Gestation (days)]])),TRUE,FALSE)</f>
        <v>0</v>
      </c>
      <c r="E511" s="2" t="str">
        <f>IF(Table1[[#This Row],[Is Data Valid]]=TRUE,IF(Table1[[#This Row],[Fetal Sex (Male, Female or Unknown)]]="Male",Backend!$C$6,IF(Table1[[#This Row],[Fetal Sex (Male, Female or Unknown)]]="Female",Backend!$C$7,IF(Table1[[#This Row],[Fetal Sex (Male, Female or Unknown)]]="Unknown",Backend!$C$8,"Error"))),"")</f>
        <v/>
      </c>
      <c r="F511" s="8" t="str">
        <f>IF(Table1[[#This Row],[Is Data Valid]]=TRUE,EXP(0.578+0.332*((Table1[[#This Row],[Gestation (days)]]+0.5)/7)-0.00354*((Table1[[#This Row],[Gestation (days)]]+0.5)/7)^2)*Table1[[#This Row],[BW40_3705]],"")</f>
        <v/>
      </c>
      <c r="G511" s="2" t="str">
        <f>IF(Table1[[#This Row],[Is Data Valid]]=TRUE,((Table1[[#This Row],[Birthweight (grams)]]/Table1[[#This Row],[BW_GA]])-1)/(Backend!$B$4/100*Table1[[#This Row],[BW40_3705]]),"")</f>
        <v/>
      </c>
      <c r="H511" s="7" t="str">
        <f>IF(Table1[[#This Row],[Is Data Valid]]=TRUE,((Table1[[#This Row],[Birthweight (grams)]]*0.9/Table1[[#This Row],[BW_GA]])-1)/(Backend!$B$4/100*Table1[[#This Row],[BW40_3705]]),"")</f>
        <v/>
      </c>
      <c r="I511" s="7" t="str">
        <f>IF(Table1[[#This Row],[Is Data Valid]]=TRUE,((Table1[[#This Row],[Birthweight (grams)]]*1.1/Table1[[#This Row],[BW_GA]])-1)/(Backend!$B$4/100*Table1[[#This Row],[BW40_3705]]),"")</f>
        <v/>
      </c>
      <c r="J511" s="7" t="str">
        <f>IF(Table1[[#This Row],[Is Data Valid]]=TRUE,_xlfn.NORM.S.DIST(Table1[[#This Row],[Birthweight Z-Score]],TRUE)*100,"")</f>
        <v/>
      </c>
      <c r="K511" s="7" t="str">
        <f>IF(Table1[[#This Row],[Is Data Valid]]=TRUE,_xlfn.NORM.S.DIST(Table1[[#This Row],[Birthweight Z-Score (BW-10%)]],TRUE)*100,"")</f>
        <v/>
      </c>
      <c r="L511" s="7" t="str">
        <f>IF(Table1[[#This Row],[Is Data Valid]]=TRUE,_xlfn.NORM.S.DIST(Table1[[#This Row],[Birthweight Z-Score (BW+10%)]],TRUE)*100,"")</f>
        <v/>
      </c>
    </row>
    <row r="512" spans="1:12" x14ac:dyDescent="0.35">
      <c r="A512" s="3"/>
      <c r="B512" s="2"/>
      <c r="C512" s="2"/>
      <c r="D512" s="2" t="b">
        <f>IF(AND(NOT(ISBLANK(Table1[[#This Row],[Fetal Sex (Male, Female or Unknown)]])),ISNUMBER(Table1[[#This Row],[Birthweight (grams)]]),ISNUMBER(Table1[[#This Row],[Gestation (days)]])),TRUE,FALSE)</f>
        <v>0</v>
      </c>
      <c r="E512" s="2" t="str">
        <f>IF(Table1[[#This Row],[Is Data Valid]]=TRUE,IF(Table1[[#This Row],[Fetal Sex (Male, Female or Unknown)]]="Male",Backend!$C$6,IF(Table1[[#This Row],[Fetal Sex (Male, Female or Unknown)]]="Female",Backend!$C$7,IF(Table1[[#This Row],[Fetal Sex (Male, Female or Unknown)]]="Unknown",Backend!$C$8,"Error"))),"")</f>
        <v/>
      </c>
      <c r="F512" s="8" t="str">
        <f>IF(Table1[[#This Row],[Is Data Valid]]=TRUE,EXP(0.578+0.332*((Table1[[#This Row],[Gestation (days)]]+0.5)/7)-0.00354*((Table1[[#This Row],[Gestation (days)]]+0.5)/7)^2)*Table1[[#This Row],[BW40_3705]],"")</f>
        <v/>
      </c>
      <c r="G512" s="2" t="str">
        <f>IF(Table1[[#This Row],[Is Data Valid]]=TRUE,((Table1[[#This Row],[Birthweight (grams)]]/Table1[[#This Row],[BW_GA]])-1)/(Backend!$B$4/100*Table1[[#This Row],[BW40_3705]]),"")</f>
        <v/>
      </c>
      <c r="H512" s="7" t="str">
        <f>IF(Table1[[#This Row],[Is Data Valid]]=TRUE,((Table1[[#This Row],[Birthweight (grams)]]*0.9/Table1[[#This Row],[BW_GA]])-1)/(Backend!$B$4/100*Table1[[#This Row],[BW40_3705]]),"")</f>
        <v/>
      </c>
      <c r="I512" s="7" t="str">
        <f>IF(Table1[[#This Row],[Is Data Valid]]=TRUE,((Table1[[#This Row],[Birthweight (grams)]]*1.1/Table1[[#This Row],[BW_GA]])-1)/(Backend!$B$4/100*Table1[[#This Row],[BW40_3705]]),"")</f>
        <v/>
      </c>
      <c r="J512" s="7" t="str">
        <f>IF(Table1[[#This Row],[Is Data Valid]]=TRUE,_xlfn.NORM.S.DIST(Table1[[#This Row],[Birthweight Z-Score]],TRUE)*100,"")</f>
        <v/>
      </c>
      <c r="K512" s="7" t="str">
        <f>IF(Table1[[#This Row],[Is Data Valid]]=TRUE,_xlfn.NORM.S.DIST(Table1[[#This Row],[Birthweight Z-Score (BW-10%)]],TRUE)*100,"")</f>
        <v/>
      </c>
      <c r="L512" s="7" t="str">
        <f>IF(Table1[[#This Row],[Is Data Valid]]=TRUE,_xlfn.NORM.S.DIST(Table1[[#This Row],[Birthweight Z-Score (BW+10%)]],TRUE)*100,"")</f>
        <v/>
      </c>
    </row>
    <row r="513" spans="1:12" x14ac:dyDescent="0.35">
      <c r="A513" s="3"/>
      <c r="B513" s="2"/>
      <c r="C513" s="2"/>
      <c r="D513" s="2" t="b">
        <f>IF(AND(NOT(ISBLANK(Table1[[#This Row],[Fetal Sex (Male, Female or Unknown)]])),ISNUMBER(Table1[[#This Row],[Birthweight (grams)]]),ISNUMBER(Table1[[#This Row],[Gestation (days)]])),TRUE,FALSE)</f>
        <v>0</v>
      </c>
      <c r="E513" s="2" t="str">
        <f>IF(Table1[[#This Row],[Is Data Valid]]=TRUE,IF(Table1[[#This Row],[Fetal Sex (Male, Female or Unknown)]]="Male",Backend!$C$6,IF(Table1[[#This Row],[Fetal Sex (Male, Female or Unknown)]]="Female",Backend!$C$7,IF(Table1[[#This Row],[Fetal Sex (Male, Female or Unknown)]]="Unknown",Backend!$C$8,"Error"))),"")</f>
        <v/>
      </c>
      <c r="F513" s="8" t="str">
        <f>IF(Table1[[#This Row],[Is Data Valid]]=TRUE,EXP(0.578+0.332*((Table1[[#This Row],[Gestation (days)]]+0.5)/7)-0.00354*((Table1[[#This Row],[Gestation (days)]]+0.5)/7)^2)*Table1[[#This Row],[BW40_3705]],"")</f>
        <v/>
      </c>
      <c r="G513" s="2" t="str">
        <f>IF(Table1[[#This Row],[Is Data Valid]]=TRUE,((Table1[[#This Row],[Birthweight (grams)]]/Table1[[#This Row],[BW_GA]])-1)/(Backend!$B$4/100*Table1[[#This Row],[BW40_3705]]),"")</f>
        <v/>
      </c>
      <c r="H513" s="7" t="str">
        <f>IF(Table1[[#This Row],[Is Data Valid]]=TRUE,((Table1[[#This Row],[Birthweight (grams)]]*0.9/Table1[[#This Row],[BW_GA]])-1)/(Backend!$B$4/100*Table1[[#This Row],[BW40_3705]]),"")</f>
        <v/>
      </c>
      <c r="I513" s="7" t="str">
        <f>IF(Table1[[#This Row],[Is Data Valid]]=TRUE,((Table1[[#This Row],[Birthweight (grams)]]*1.1/Table1[[#This Row],[BW_GA]])-1)/(Backend!$B$4/100*Table1[[#This Row],[BW40_3705]]),"")</f>
        <v/>
      </c>
      <c r="J513" s="7" t="str">
        <f>IF(Table1[[#This Row],[Is Data Valid]]=TRUE,_xlfn.NORM.S.DIST(Table1[[#This Row],[Birthweight Z-Score]],TRUE)*100,"")</f>
        <v/>
      </c>
      <c r="K513" s="7" t="str">
        <f>IF(Table1[[#This Row],[Is Data Valid]]=TRUE,_xlfn.NORM.S.DIST(Table1[[#This Row],[Birthweight Z-Score (BW-10%)]],TRUE)*100,"")</f>
        <v/>
      </c>
      <c r="L513" s="7" t="str">
        <f>IF(Table1[[#This Row],[Is Data Valid]]=TRUE,_xlfn.NORM.S.DIST(Table1[[#This Row],[Birthweight Z-Score (BW+10%)]],TRUE)*100,"")</f>
        <v/>
      </c>
    </row>
    <row r="514" spans="1:12" x14ac:dyDescent="0.35">
      <c r="A514" s="3"/>
      <c r="B514" s="2"/>
      <c r="C514" s="2"/>
      <c r="D514" s="2" t="b">
        <f>IF(AND(NOT(ISBLANK(Table1[[#This Row],[Fetal Sex (Male, Female or Unknown)]])),ISNUMBER(Table1[[#This Row],[Birthweight (grams)]]),ISNUMBER(Table1[[#This Row],[Gestation (days)]])),TRUE,FALSE)</f>
        <v>0</v>
      </c>
      <c r="E514" s="2" t="str">
        <f>IF(Table1[[#This Row],[Is Data Valid]]=TRUE,IF(Table1[[#This Row],[Fetal Sex (Male, Female or Unknown)]]="Male",Backend!$C$6,IF(Table1[[#This Row],[Fetal Sex (Male, Female or Unknown)]]="Female",Backend!$C$7,IF(Table1[[#This Row],[Fetal Sex (Male, Female or Unknown)]]="Unknown",Backend!$C$8,"Error"))),"")</f>
        <v/>
      </c>
      <c r="F514" s="8" t="str">
        <f>IF(Table1[[#This Row],[Is Data Valid]]=TRUE,EXP(0.578+0.332*((Table1[[#This Row],[Gestation (days)]]+0.5)/7)-0.00354*((Table1[[#This Row],[Gestation (days)]]+0.5)/7)^2)*Table1[[#This Row],[BW40_3705]],"")</f>
        <v/>
      </c>
      <c r="G514" s="2" t="str">
        <f>IF(Table1[[#This Row],[Is Data Valid]]=TRUE,((Table1[[#This Row],[Birthweight (grams)]]/Table1[[#This Row],[BW_GA]])-1)/(Backend!$B$4/100*Table1[[#This Row],[BW40_3705]]),"")</f>
        <v/>
      </c>
      <c r="H514" s="7" t="str">
        <f>IF(Table1[[#This Row],[Is Data Valid]]=TRUE,((Table1[[#This Row],[Birthweight (grams)]]*0.9/Table1[[#This Row],[BW_GA]])-1)/(Backend!$B$4/100*Table1[[#This Row],[BW40_3705]]),"")</f>
        <v/>
      </c>
      <c r="I514" s="7" t="str">
        <f>IF(Table1[[#This Row],[Is Data Valid]]=TRUE,((Table1[[#This Row],[Birthweight (grams)]]*1.1/Table1[[#This Row],[BW_GA]])-1)/(Backend!$B$4/100*Table1[[#This Row],[BW40_3705]]),"")</f>
        <v/>
      </c>
      <c r="J514" s="7" t="str">
        <f>IF(Table1[[#This Row],[Is Data Valid]]=TRUE,_xlfn.NORM.S.DIST(Table1[[#This Row],[Birthweight Z-Score]],TRUE)*100,"")</f>
        <v/>
      </c>
      <c r="K514" s="7" t="str">
        <f>IF(Table1[[#This Row],[Is Data Valid]]=TRUE,_xlfn.NORM.S.DIST(Table1[[#This Row],[Birthweight Z-Score (BW-10%)]],TRUE)*100,"")</f>
        <v/>
      </c>
      <c r="L514" s="7" t="str">
        <f>IF(Table1[[#This Row],[Is Data Valid]]=TRUE,_xlfn.NORM.S.DIST(Table1[[#This Row],[Birthweight Z-Score (BW+10%)]],TRUE)*100,"")</f>
        <v/>
      </c>
    </row>
    <row r="515" spans="1:12" x14ac:dyDescent="0.35">
      <c r="A515" s="3"/>
      <c r="B515" s="2"/>
      <c r="C515" s="2"/>
      <c r="D515" s="2" t="b">
        <f>IF(AND(NOT(ISBLANK(Table1[[#This Row],[Fetal Sex (Male, Female or Unknown)]])),ISNUMBER(Table1[[#This Row],[Birthweight (grams)]]),ISNUMBER(Table1[[#This Row],[Gestation (days)]])),TRUE,FALSE)</f>
        <v>0</v>
      </c>
      <c r="E515" s="2" t="str">
        <f>IF(Table1[[#This Row],[Is Data Valid]]=TRUE,IF(Table1[[#This Row],[Fetal Sex (Male, Female or Unknown)]]="Male",Backend!$C$6,IF(Table1[[#This Row],[Fetal Sex (Male, Female or Unknown)]]="Female",Backend!$C$7,IF(Table1[[#This Row],[Fetal Sex (Male, Female or Unknown)]]="Unknown",Backend!$C$8,"Error"))),"")</f>
        <v/>
      </c>
      <c r="F515" s="8" t="str">
        <f>IF(Table1[[#This Row],[Is Data Valid]]=TRUE,EXP(0.578+0.332*((Table1[[#This Row],[Gestation (days)]]+0.5)/7)-0.00354*((Table1[[#This Row],[Gestation (days)]]+0.5)/7)^2)*Table1[[#This Row],[BW40_3705]],"")</f>
        <v/>
      </c>
      <c r="G515" s="2" t="str">
        <f>IF(Table1[[#This Row],[Is Data Valid]]=TRUE,((Table1[[#This Row],[Birthweight (grams)]]/Table1[[#This Row],[BW_GA]])-1)/(Backend!$B$4/100*Table1[[#This Row],[BW40_3705]]),"")</f>
        <v/>
      </c>
      <c r="H515" s="7" t="str">
        <f>IF(Table1[[#This Row],[Is Data Valid]]=TRUE,((Table1[[#This Row],[Birthweight (grams)]]*0.9/Table1[[#This Row],[BW_GA]])-1)/(Backend!$B$4/100*Table1[[#This Row],[BW40_3705]]),"")</f>
        <v/>
      </c>
      <c r="I515" s="7" t="str">
        <f>IF(Table1[[#This Row],[Is Data Valid]]=TRUE,((Table1[[#This Row],[Birthweight (grams)]]*1.1/Table1[[#This Row],[BW_GA]])-1)/(Backend!$B$4/100*Table1[[#This Row],[BW40_3705]]),"")</f>
        <v/>
      </c>
      <c r="J515" s="7" t="str">
        <f>IF(Table1[[#This Row],[Is Data Valid]]=TRUE,_xlfn.NORM.S.DIST(Table1[[#This Row],[Birthweight Z-Score]],TRUE)*100,"")</f>
        <v/>
      </c>
      <c r="K515" s="7" t="str">
        <f>IF(Table1[[#This Row],[Is Data Valid]]=TRUE,_xlfn.NORM.S.DIST(Table1[[#This Row],[Birthweight Z-Score (BW-10%)]],TRUE)*100,"")</f>
        <v/>
      </c>
      <c r="L515" s="7" t="str">
        <f>IF(Table1[[#This Row],[Is Data Valid]]=TRUE,_xlfn.NORM.S.DIST(Table1[[#This Row],[Birthweight Z-Score (BW+10%)]],TRUE)*100,"")</f>
        <v/>
      </c>
    </row>
    <row r="516" spans="1:12" x14ac:dyDescent="0.35">
      <c r="A516" s="3"/>
      <c r="B516" s="2"/>
      <c r="C516" s="2"/>
      <c r="D516" s="2" t="b">
        <f>IF(AND(NOT(ISBLANK(Table1[[#This Row],[Fetal Sex (Male, Female or Unknown)]])),ISNUMBER(Table1[[#This Row],[Birthweight (grams)]]),ISNUMBER(Table1[[#This Row],[Gestation (days)]])),TRUE,FALSE)</f>
        <v>0</v>
      </c>
      <c r="E516" s="2" t="str">
        <f>IF(Table1[[#This Row],[Is Data Valid]]=TRUE,IF(Table1[[#This Row],[Fetal Sex (Male, Female or Unknown)]]="Male",Backend!$C$6,IF(Table1[[#This Row],[Fetal Sex (Male, Female or Unknown)]]="Female",Backend!$C$7,IF(Table1[[#This Row],[Fetal Sex (Male, Female or Unknown)]]="Unknown",Backend!$C$8,"Error"))),"")</f>
        <v/>
      </c>
      <c r="F516" s="8" t="str">
        <f>IF(Table1[[#This Row],[Is Data Valid]]=TRUE,EXP(0.578+0.332*((Table1[[#This Row],[Gestation (days)]]+0.5)/7)-0.00354*((Table1[[#This Row],[Gestation (days)]]+0.5)/7)^2)*Table1[[#This Row],[BW40_3705]],"")</f>
        <v/>
      </c>
      <c r="G516" s="2" t="str">
        <f>IF(Table1[[#This Row],[Is Data Valid]]=TRUE,((Table1[[#This Row],[Birthweight (grams)]]/Table1[[#This Row],[BW_GA]])-1)/(Backend!$B$4/100*Table1[[#This Row],[BW40_3705]]),"")</f>
        <v/>
      </c>
      <c r="H516" s="7" t="str">
        <f>IF(Table1[[#This Row],[Is Data Valid]]=TRUE,((Table1[[#This Row],[Birthweight (grams)]]*0.9/Table1[[#This Row],[BW_GA]])-1)/(Backend!$B$4/100*Table1[[#This Row],[BW40_3705]]),"")</f>
        <v/>
      </c>
      <c r="I516" s="7" t="str">
        <f>IF(Table1[[#This Row],[Is Data Valid]]=TRUE,((Table1[[#This Row],[Birthweight (grams)]]*1.1/Table1[[#This Row],[BW_GA]])-1)/(Backend!$B$4/100*Table1[[#This Row],[BW40_3705]]),"")</f>
        <v/>
      </c>
      <c r="J516" s="7" t="str">
        <f>IF(Table1[[#This Row],[Is Data Valid]]=TRUE,_xlfn.NORM.S.DIST(Table1[[#This Row],[Birthweight Z-Score]],TRUE)*100,"")</f>
        <v/>
      </c>
      <c r="K516" s="7" t="str">
        <f>IF(Table1[[#This Row],[Is Data Valid]]=TRUE,_xlfn.NORM.S.DIST(Table1[[#This Row],[Birthweight Z-Score (BW-10%)]],TRUE)*100,"")</f>
        <v/>
      </c>
      <c r="L516" s="7" t="str">
        <f>IF(Table1[[#This Row],[Is Data Valid]]=TRUE,_xlfn.NORM.S.DIST(Table1[[#This Row],[Birthweight Z-Score (BW+10%)]],TRUE)*100,"")</f>
        <v/>
      </c>
    </row>
    <row r="517" spans="1:12" x14ac:dyDescent="0.35">
      <c r="A517" s="3"/>
      <c r="B517" s="2"/>
      <c r="C517" s="2"/>
      <c r="D517" s="2" t="b">
        <f>IF(AND(NOT(ISBLANK(Table1[[#This Row],[Fetal Sex (Male, Female or Unknown)]])),ISNUMBER(Table1[[#This Row],[Birthweight (grams)]]),ISNUMBER(Table1[[#This Row],[Gestation (days)]])),TRUE,FALSE)</f>
        <v>0</v>
      </c>
      <c r="E517" s="2" t="str">
        <f>IF(Table1[[#This Row],[Is Data Valid]]=TRUE,IF(Table1[[#This Row],[Fetal Sex (Male, Female or Unknown)]]="Male",Backend!$C$6,IF(Table1[[#This Row],[Fetal Sex (Male, Female or Unknown)]]="Female",Backend!$C$7,IF(Table1[[#This Row],[Fetal Sex (Male, Female or Unknown)]]="Unknown",Backend!$C$8,"Error"))),"")</f>
        <v/>
      </c>
      <c r="F517" s="8" t="str">
        <f>IF(Table1[[#This Row],[Is Data Valid]]=TRUE,EXP(0.578+0.332*((Table1[[#This Row],[Gestation (days)]]+0.5)/7)-0.00354*((Table1[[#This Row],[Gestation (days)]]+0.5)/7)^2)*Table1[[#This Row],[BW40_3705]],"")</f>
        <v/>
      </c>
      <c r="G517" s="2" t="str">
        <f>IF(Table1[[#This Row],[Is Data Valid]]=TRUE,((Table1[[#This Row],[Birthweight (grams)]]/Table1[[#This Row],[BW_GA]])-1)/(Backend!$B$4/100*Table1[[#This Row],[BW40_3705]]),"")</f>
        <v/>
      </c>
      <c r="H517" s="7" t="str">
        <f>IF(Table1[[#This Row],[Is Data Valid]]=TRUE,((Table1[[#This Row],[Birthweight (grams)]]*0.9/Table1[[#This Row],[BW_GA]])-1)/(Backend!$B$4/100*Table1[[#This Row],[BW40_3705]]),"")</f>
        <v/>
      </c>
      <c r="I517" s="7" t="str">
        <f>IF(Table1[[#This Row],[Is Data Valid]]=TRUE,((Table1[[#This Row],[Birthweight (grams)]]*1.1/Table1[[#This Row],[BW_GA]])-1)/(Backend!$B$4/100*Table1[[#This Row],[BW40_3705]]),"")</f>
        <v/>
      </c>
      <c r="J517" s="7" t="str">
        <f>IF(Table1[[#This Row],[Is Data Valid]]=TRUE,_xlfn.NORM.S.DIST(Table1[[#This Row],[Birthweight Z-Score]],TRUE)*100,"")</f>
        <v/>
      </c>
      <c r="K517" s="7" t="str">
        <f>IF(Table1[[#This Row],[Is Data Valid]]=TRUE,_xlfn.NORM.S.DIST(Table1[[#This Row],[Birthweight Z-Score (BW-10%)]],TRUE)*100,"")</f>
        <v/>
      </c>
      <c r="L517" s="7" t="str">
        <f>IF(Table1[[#This Row],[Is Data Valid]]=TRUE,_xlfn.NORM.S.DIST(Table1[[#This Row],[Birthweight Z-Score (BW+10%)]],TRUE)*100,"")</f>
        <v/>
      </c>
    </row>
    <row r="518" spans="1:12" x14ac:dyDescent="0.35">
      <c r="A518" s="3"/>
      <c r="B518" s="2"/>
      <c r="C518" s="2"/>
      <c r="D518" s="2" t="b">
        <f>IF(AND(NOT(ISBLANK(Table1[[#This Row],[Fetal Sex (Male, Female or Unknown)]])),ISNUMBER(Table1[[#This Row],[Birthweight (grams)]]),ISNUMBER(Table1[[#This Row],[Gestation (days)]])),TRUE,FALSE)</f>
        <v>0</v>
      </c>
      <c r="E518" s="2" t="str">
        <f>IF(Table1[[#This Row],[Is Data Valid]]=TRUE,IF(Table1[[#This Row],[Fetal Sex (Male, Female or Unknown)]]="Male",Backend!$C$6,IF(Table1[[#This Row],[Fetal Sex (Male, Female or Unknown)]]="Female",Backend!$C$7,IF(Table1[[#This Row],[Fetal Sex (Male, Female or Unknown)]]="Unknown",Backend!$C$8,"Error"))),"")</f>
        <v/>
      </c>
      <c r="F518" s="8" t="str">
        <f>IF(Table1[[#This Row],[Is Data Valid]]=TRUE,EXP(0.578+0.332*((Table1[[#This Row],[Gestation (days)]]+0.5)/7)-0.00354*((Table1[[#This Row],[Gestation (days)]]+0.5)/7)^2)*Table1[[#This Row],[BW40_3705]],"")</f>
        <v/>
      </c>
      <c r="G518" s="2" t="str">
        <f>IF(Table1[[#This Row],[Is Data Valid]]=TRUE,((Table1[[#This Row],[Birthweight (grams)]]/Table1[[#This Row],[BW_GA]])-1)/(Backend!$B$4/100*Table1[[#This Row],[BW40_3705]]),"")</f>
        <v/>
      </c>
      <c r="H518" s="7" t="str">
        <f>IF(Table1[[#This Row],[Is Data Valid]]=TRUE,((Table1[[#This Row],[Birthweight (grams)]]*0.9/Table1[[#This Row],[BW_GA]])-1)/(Backend!$B$4/100*Table1[[#This Row],[BW40_3705]]),"")</f>
        <v/>
      </c>
      <c r="I518" s="7" t="str">
        <f>IF(Table1[[#This Row],[Is Data Valid]]=TRUE,((Table1[[#This Row],[Birthweight (grams)]]*1.1/Table1[[#This Row],[BW_GA]])-1)/(Backend!$B$4/100*Table1[[#This Row],[BW40_3705]]),"")</f>
        <v/>
      </c>
      <c r="J518" s="7" t="str">
        <f>IF(Table1[[#This Row],[Is Data Valid]]=TRUE,_xlfn.NORM.S.DIST(Table1[[#This Row],[Birthweight Z-Score]],TRUE)*100,"")</f>
        <v/>
      </c>
      <c r="K518" s="7" t="str">
        <f>IF(Table1[[#This Row],[Is Data Valid]]=TRUE,_xlfn.NORM.S.DIST(Table1[[#This Row],[Birthweight Z-Score (BW-10%)]],TRUE)*100,"")</f>
        <v/>
      </c>
      <c r="L518" s="7" t="str">
        <f>IF(Table1[[#This Row],[Is Data Valid]]=TRUE,_xlfn.NORM.S.DIST(Table1[[#This Row],[Birthweight Z-Score (BW+10%)]],TRUE)*100,"")</f>
        <v/>
      </c>
    </row>
    <row r="519" spans="1:12" x14ac:dyDescent="0.35">
      <c r="A519" s="3"/>
      <c r="B519" s="2"/>
      <c r="C519" s="2"/>
      <c r="D519" s="2" t="b">
        <f>IF(AND(NOT(ISBLANK(Table1[[#This Row],[Fetal Sex (Male, Female or Unknown)]])),ISNUMBER(Table1[[#This Row],[Birthweight (grams)]]),ISNUMBER(Table1[[#This Row],[Gestation (days)]])),TRUE,FALSE)</f>
        <v>0</v>
      </c>
      <c r="E519" s="2" t="str">
        <f>IF(Table1[[#This Row],[Is Data Valid]]=TRUE,IF(Table1[[#This Row],[Fetal Sex (Male, Female or Unknown)]]="Male",Backend!$C$6,IF(Table1[[#This Row],[Fetal Sex (Male, Female or Unknown)]]="Female",Backend!$C$7,IF(Table1[[#This Row],[Fetal Sex (Male, Female or Unknown)]]="Unknown",Backend!$C$8,"Error"))),"")</f>
        <v/>
      </c>
      <c r="F519" s="8" t="str">
        <f>IF(Table1[[#This Row],[Is Data Valid]]=TRUE,EXP(0.578+0.332*((Table1[[#This Row],[Gestation (days)]]+0.5)/7)-0.00354*((Table1[[#This Row],[Gestation (days)]]+0.5)/7)^2)*Table1[[#This Row],[BW40_3705]],"")</f>
        <v/>
      </c>
      <c r="G519" s="2" t="str">
        <f>IF(Table1[[#This Row],[Is Data Valid]]=TRUE,((Table1[[#This Row],[Birthweight (grams)]]/Table1[[#This Row],[BW_GA]])-1)/(Backend!$B$4/100*Table1[[#This Row],[BW40_3705]]),"")</f>
        <v/>
      </c>
      <c r="H519" s="7" t="str">
        <f>IF(Table1[[#This Row],[Is Data Valid]]=TRUE,((Table1[[#This Row],[Birthweight (grams)]]*0.9/Table1[[#This Row],[BW_GA]])-1)/(Backend!$B$4/100*Table1[[#This Row],[BW40_3705]]),"")</f>
        <v/>
      </c>
      <c r="I519" s="7" t="str">
        <f>IF(Table1[[#This Row],[Is Data Valid]]=TRUE,((Table1[[#This Row],[Birthweight (grams)]]*1.1/Table1[[#This Row],[BW_GA]])-1)/(Backend!$B$4/100*Table1[[#This Row],[BW40_3705]]),"")</f>
        <v/>
      </c>
      <c r="J519" s="7" t="str">
        <f>IF(Table1[[#This Row],[Is Data Valid]]=TRUE,_xlfn.NORM.S.DIST(Table1[[#This Row],[Birthweight Z-Score]],TRUE)*100,"")</f>
        <v/>
      </c>
      <c r="K519" s="7" t="str">
        <f>IF(Table1[[#This Row],[Is Data Valid]]=TRUE,_xlfn.NORM.S.DIST(Table1[[#This Row],[Birthweight Z-Score (BW-10%)]],TRUE)*100,"")</f>
        <v/>
      </c>
      <c r="L519" s="7" t="str">
        <f>IF(Table1[[#This Row],[Is Data Valid]]=TRUE,_xlfn.NORM.S.DIST(Table1[[#This Row],[Birthweight Z-Score (BW+10%)]],TRUE)*100,"")</f>
        <v/>
      </c>
    </row>
    <row r="520" spans="1:12" x14ac:dyDescent="0.35">
      <c r="A520" s="3"/>
      <c r="B520" s="2"/>
      <c r="C520" s="2"/>
      <c r="D520" s="2" t="b">
        <f>IF(AND(NOT(ISBLANK(Table1[[#This Row],[Fetal Sex (Male, Female or Unknown)]])),ISNUMBER(Table1[[#This Row],[Birthweight (grams)]]),ISNUMBER(Table1[[#This Row],[Gestation (days)]])),TRUE,FALSE)</f>
        <v>0</v>
      </c>
      <c r="E520" s="2" t="str">
        <f>IF(Table1[[#This Row],[Is Data Valid]]=TRUE,IF(Table1[[#This Row],[Fetal Sex (Male, Female or Unknown)]]="Male",Backend!$C$6,IF(Table1[[#This Row],[Fetal Sex (Male, Female or Unknown)]]="Female",Backend!$C$7,IF(Table1[[#This Row],[Fetal Sex (Male, Female or Unknown)]]="Unknown",Backend!$C$8,"Error"))),"")</f>
        <v/>
      </c>
      <c r="F520" s="8" t="str">
        <f>IF(Table1[[#This Row],[Is Data Valid]]=TRUE,EXP(0.578+0.332*((Table1[[#This Row],[Gestation (days)]]+0.5)/7)-0.00354*((Table1[[#This Row],[Gestation (days)]]+0.5)/7)^2)*Table1[[#This Row],[BW40_3705]],"")</f>
        <v/>
      </c>
      <c r="G520" s="2" t="str">
        <f>IF(Table1[[#This Row],[Is Data Valid]]=TRUE,((Table1[[#This Row],[Birthweight (grams)]]/Table1[[#This Row],[BW_GA]])-1)/(Backend!$B$4/100*Table1[[#This Row],[BW40_3705]]),"")</f>
        <v/>
      </c>
      <c r="H520" s="7" t="str">
        <f>IF(Table1[[#This Row],[Is Data Valid]]=TRUE,((Table1[[#This Row],[Birthweight (grams)]]*0.9/Table1[[#This Row],[BW_GA]])-1)/(Backend!$B$4/100*Table1[[#This Row],[BW40_3705]]),"")</f>
        <v/>
      </c>
      <c r="I520" s="7" t="str">
        <f>IF(Table1[[#This Row],[Is Data Valid]]=TRUE,((Table1[[#This Row],[Birthweight (grams)]]*1.1/Table1[[#This Row],[BW_GA]])-1)/(Backend!$B$4/100*Table1[[#This Row],[BW40_3705]]),"")</f>
        <v/>
      </c>
      <c r="J520" s="7" t="str">
        <f>IF(Table1[[#This Row],[Is Data Valid]]=TRUE,_xlfn.NORM.S.DIST(Table1[[#This Row],[Birthweight Z-Score]],TRUE)*100,"")</f>
        <v/>
      </c>
      <c r="K520" s="7" t="str">
        <f>IF(Table1[[#This Row],[Is Data Valid]]=TRUE,_xlfn.NORM.S.DIST(Table1[[#This Row],[Birthweight Z-Score (BW-10%)]],TRUE)*100,"")</f>
        <v/>
      </c>
      <c r="L520" s="7" t="str">
        <f>IF(Table1[[#This Row],[Is Data Valid]]=TRUE,_xlfn.NORM.S.DIST(Table1[[#This Row],[Birthweight Z-Score (BW+10%)]],TRUE)*100,"")</f>
        <v/>
      </c>
    </row>
    <row r="521" spans="1:12" x14ac:dyDescent="0.35">
      <c r="A521" s="3"/>
      <c r="B521" s="2"/>
      <c r="C521" s="2"/>
      <c r="D521" s="2" t="b">
        <f>IF(AND(NOT(ISBLANK(Table1[[#This Row],[Fetal Sex (Male, Female or Unknown)]])),ISNUMBER(Table1[[#This Row],[Birthweight (grams)]]),ISNUMBER(Table1[[#This Row],[Gestation (days)]])),TRUE,FALSE)</f>
        <v>0</v>
      </c>
      <c r="E521" s="2" t="str">
        <f>IF(Table1[[#This Row],[Is Data Valid]]=TRUE,IF(Table1[[#This Row],[Fetal Sex (Male, Female or Unknown)]]="Male",Backend!$C$6,IF(Table1[[#This Row],[Fetal Sex (Male, Female or Unknown)]]="Female",Backend!$C$7,IF(Table1[[#This Row],[Fetal Sex (Male, Female or Unknown)]]="Unknown",Backend!$C$8,"Error"))),"")</f>
        <v/>
      </c>
      <c r="F521" s="8" t="str">
        <f>IF(Table1[[#This Row],[Is Data Valid]]=TRUE,EXP(0.578+0.332*((Table1[[#This Row],[Gestation (days)]]+0.5)/7)-0.00354*((Table1[[#This Row],[Gestation (days)]]+0.5)/7)^2)*Table1[[#This Row],[BW40_3705]],"")</f>
        <v/>
      </c>
      <c r="G521" s="2" t="str">
        <f>IF(Table1[[#This Row],[Is Data Valid]]=TRUE,((Table1[[#This Row],[Birthweight (grams)]]/Table1[[#This Row],[BW_GA]])-1)/(Backend!$B$4/100*Table1[[#This Row],[BW40_3705]]),"")</f>
        <v/>
      </c>
      <c r="H521" s="7" t="str">
        <f>IF(Table1[[#This Row],[Is Data Valid]]=TRUE,((Table1[[#This Row],[Birthweight (grams)]]*0.9/Table1[[#This Row],[BW_GA]])-1)/(Backend!$B$4/100*Table1[[#This Row],[BW40_3705]]),"")</f>
        <v/>
      </c>
      <c r="I521" s="7" t="str">
        <f>IF(Table1[[#This Row],[Is Data Valid]]=TRUE,((Table1[[#This Row],[Birthweight (grams)]]*1.1/Table1[[#This Row],[BW_GA]])-1)/(Backend!$B$4/100*Table1[[#This Row],[BW40_3705]]),"")</f>
        <v/>
      </c>
      <c r="J521" s="7" t="str">
        <f>IF(Table1[[#This Row],[Is Data Valid]]=TRUE,_xlfn.NORM.S.DIST(Table1[[#This Row],[Birthweight Z-Score]],TRUE)*100,"")</f>
        <v/>
      </c>
      <c r="K521" s="7" t="str">
        <f>IF(Table1[[#This Row],[Is Data Valid]]=TRUE,_xlfn.NORM.S.DIST(Table1[[#This Row],[Birthweight Z-Score (BW-10%)]],TRUE)*100,"")</f>
        <v/>
      </c>
      <c r="L521" s="7" t="str">
        <f>IF(Table1[[#This Row],[Is Data Valid]]=TRUE,_xlfn.NORM.S.DIST(Table1[[#This Row],[Birthweight Z-Score (BW+10%)]],TRUE)*100,"")</f>
        <v/>
      </c>
    </row>
    <row r="522" spans="1:12" x14ac:dyDescent="0.35">
      <c r="A522" s="3"/>
      <c r="B522" s="2"/>
      <c r="C522" s="2"/>
      <c r="D522" s="2" t="b">
        <f>IF(AND(NOT(ISBLANK(Table1[[#This Row],[Fetal Sex (Male, Female or Unknown)]])),ISNUMBER(Table1[[#This Row],[Birthweight (grams)]]),ISNUMBER(Table1[[#This Row],[Gestation (days)]])),TRUE,FALSE)</f>
        <v>0</v>
      </c>
      <c r="E522" s="2" t="str">
        <f>IF(Table1[[#This Row],[Is Data Valid]]=TRUE,IF(Table1[[#This Row],[Fetal Sex (Male, Female or Unknown)]]="Male",Backend!$C$6,IF(Table1[[#This Row],[Fetal Sex (Male, Female or Unknown)]]="Female",Backend!$C$7,IF(Table1[[#This Row],[Fetal Sex (Male, Female or Unknown)]]="Unknown",Backend!$C$8,"Error"))),"")</f>
        <v/>
      </c>
      <c r="F522" s="8" t="str">
        <f>IF(Table1[[#This Row],[Is Data Valid]]=TRUE,EXP(0.578+0.332*((Table1[[#This Row],[Gestation (days)]]+0.5)/7)-0.00354*((Table1[[#This Row],[Gestation (days)]]+0.5)/7)^2)*Table1[[#This Row],[BW40_3705]],"")</f>
        <v/>
      </c>
      <c r="G522" s="2" t="str">
        <f>IF(Table1[[#This Row],[Is Data Valid]]=TRUE,((Table1[[#This Row],[Birthweight (grams)]]/Table1[[#This Row],[BW_GA]])-1)/(Backend!$B$4/100*Table1[[#This Row],[BW40_3705]]),"")</f>
        <v/>
      </c>
      <c r="H522" s="7" t="str">
        <f>IF(Table1[[#This Row],[Is Data Valid]]=TRUE,((Table1[[#This Row],[Birthweight (grams)]]*0.9/Table1[[#This Row],[BW_GA]])-1)/(Backend!$B$4/100*Table1[[#This Row],[BW40_3705]]),"")</f>
        <v/>
      </c>
      <c r="I522" s="7" t="str">
        <f>IF(Table1[[#This Row],[Is Data Valid]]=TRUE,((Table1[[#This Row],[Birthweight (grams)]]*1.1/Table1[[#This Row],[BW_GA]])-1)/(Backend!$B$4/100*Table1[[#This Row],[BW40_3705]]),"")</f>
        <v/>
      </c>
      <c r="J522" s="7" t="str">
        <f>IF(Table1[[#This Row],[Is Data Valid]]=TRUE,_xlfn.NORM.S.DIST(Table1[[#This Row],[Birthweight Z-Score]],TRUE)*100,"")</f>
        <v/>
      </c>
      <c r="K522" s="7" t="str">
        <f>IF(Table1[[#This Row],[Is Data Valid]]=TRUE,_xlfn.NORM.S.DIST(Table1[[#This Row],[Birthweight Z-Score (BW-10%)]],TRUE)*100,"")</f>
        <v/>
      </c>
      <c r="L522" s="7" t="str">
        <f>IF(Table1[[#This Row],[Is Data Valid]]=TRUE,_xlfn.NORM.S.DIST(Table1[[#This Row],[Birthweight Z-Score (BW+10%)]],TRUE)*100,"")</f>
        <v/>
      </c>
    </row>
    <row r="523" spans="1:12" x14ac:dyDescent="0.35">
      <c r="A523" s="3"/>
      <c r="B523" s="2"/>
      <c r="C523" s="2"/>
      <c r="D523" s="2" t="b">
        <f>IF(AND(NOT(ISBLANK(Table1[[#This Row],[Fetal Sex (Male, Female or Unknown)]])),ISNUMBER(Table1[[#This Row],[Birthweight (grams)]]),ISNUMBER(Table1[[#This Row],[Gestation (days)]])),TRUE,FALSE)</f>
        <v>0</v>
      </c>
      <c r="E523" s="2" t="str">
        <f>IF(Table1[[#This Row],[Is Data Valid]]=TRUE,IF(Table1[[#This Row],[Fetal Sex (Male, Female or Unknown)]]="Male",Backend!$C$6,IF(Table1[[#This Row],[Fetal Sex (Male, Female or Unknown)]]="Female",Backend!$C$7,IF(Table1[[#This Row],[Fetal Sex (Male, Female or Unknown)]]="Unknown",Backend!$C$8,"Error"))),"")</f>
        <v/>
      </c>
      <c r="F523" s="8" t="str">
        <f>IF(Table1[[#This Row],[Is Data Valid]]=TRUE,EXP(0.578+0.332*((Table1[[#This Row],[Gestation (days)]]+0.5)/7)-0.00354*((Table1[[#This Row],[Gestation (days)]]+0.5)/7)^2)*Table1[[#This Row],[BW40_3705]],"")</f>
        <v/>
      </c>
      <c r="G523" s="2" t="str">
        <f>IF(Table1[[#This Row],[Is Data Valid]]=TRUE,((Table1[[#This Row],[Birthweight (grams)]]/Table1[[#This Row],[BW_GA]])-1)/(Backend!$B$4/100*Table1[[#This Row],[BW40_3705]]),"")</f>
        <v/>
      </c>
      <c r="H523" s="7" t="str">
        <f>IF(Table1[[#This Row],[Is Data Valid]]=TRUE,((Table1[[#This Row],[Birthweight (grams)]]*0.9/Table1[[#This Row],[BW_GA]])-1)/(Backend!$B$4/100*Table1[[#This Row],[BW40_3705]]),"")</f>
        <v/>
      </c>
      <c r="I523" s="7" t="str">
        <f>IF(Table1[[#This Row],[Is Data Valid]]=TRUE,((Table1[[#This Row],[Birthweight (grams)]]*1.1/Table1[[#This Row],[BW_GA]])-1)/(Backend!$B$4/100*Table1[[#This Row],[BW40_3705]]),"")</f>
        <v/>
      </c>
      <c r="J523" s="7" t="str">
        <f>IF(Table1[[#This Row],[Is Data Valid]]=TRUE,_xlfn.NORM.S.DIST(Table1[[#This Row],[Birthweight Z-Score]],TRUE)*100,"")</f>
        <v/>
      </c>
      <c r="K523" s="7" t="str">
        <f>IF(Table1[[#This Row],[Is Data Valid]]=TRUE,_xlfn.NORM.S.DIST(Table1[[#This Row],[Birthweight Z-Score (BW-10%)]],TRUE)*100,"")</f>
        <v/>
      </c>
      <c r="L523" s="7" t="str">
        <f>IF(Table1[[#This Row],[Is Data Valid]]=TRUE,_xlfn.NORM.S.DIST(Table1[[#This Row],[Birthweight Z-Score (BW+10%)]],TRUE)*100,"")</f>
        <v/>
      </c>
    </row>
    <row r="524" spans="1:12" x14ac:dyDescent="0.35">
      <c r="A524" s="3"/>
      <c r="B524" s="2"/>
      <c r="C524" s="2"/>
      <c r="D524" s="2" t="b">
        <f>IF(AND(NOT(ISBLANK(Table1[[#This Row],[Fetal Sex (Male, Female or Unknown)]])),ISNUMBER(Table1[[#This Row],[Birthweight (grams)]]),ISNUMBER(Table1[[#This Row],[Gestation (days)]])),TRUE,FALSE)</f>
        <v>0</v>
      </c>
      <c r="E524" s="2" t="str">
        <f>IF(Table1[[#This Row],[Is Data Valid]]=TRUE,IF(Table1[[#This Row],[Fetal Sex (Male, Female or Unknown)]]="Male",Backend!$C$6,IF(Table1[[#This Row],[Fetal Sex (Male, Female or Unknown)]]="Female",Backend!$C$7,IF(Table1[[#This Row],[Fetal Sex (Male, Female or Unknown)]]="Unknown",Backend!$C$8,"Error"))),"")</f>
        <v/>
      </c>
      <c r="F524" s="8" t="str">
        <f>IF(Table1[[#This Row],[Is Data Valid]]=TRUE,EXP(0.578+0.332*((Table1[[#This Row],[Gestation (days)]]+0.5)/7)-0.00354*((Table1[[#This Row],[Gestation (days)]]+0.5)/7)^2)*Table1[[#This Row],[BW40_3705]],"")</f>
        <v/>
      </c>
      <c r="G524" s="2" t="str">
        <f>IF(Table1[[#This Row],[Is Data Valid]]=TRUE,((Table1[[#This Row],[Birthweight (grams)]]/Table1[[#This Row],[BW_GA]])-1)/(Backend!$B$4/100*Table1[[#This Row],[BW40_3705]]),"")</f>
        <v/>
      </c>
      <c r="H524" s="7" t="str">
        <f>IF(Table1[[#This Row],[Is Data Valid]]=TRUE,((Table1[[#This Row],[Birthweight (grams)]]*0.9/Table1[[#This Row],[BW_GA]])-1)/(Backend!$B$4/100*Table1[[#This Row],[BW40_3705]]),"")</f>
        <v/>
      </c>
      <c r="I524" s="7" t="str">
        <f>IF(Table1[[#This Row],[Is Data Valid]]=TRUE,((Table1[[#This Row],[Birthweight (grams)]]*1.1/Table1[[#This Row],[BW_GA]])-1)/(Backend!$B$4/100*Table1[[#This Row],[BW40_3705]]),"")</f>
        <v/>
      </c>
      <c r="J524" s="7" t="str">
        <f>IF(Table1[[#This Row],[Is Data Valid]]=TRUE,_xlfn.NORM.S.DIST(Table1[[#This Row],[Birthweight Z-Score]],TRUE)*100,"")</f>
        <v/>
      </c>
      <c r="K524" s="7" t="str">
        <f>IF(Table1[[#This Row],[Is Data Valid]]=TRUE,_xlfn.NORM.S.DIST(Table1[[#This Row],[Birthweight Z-Score (BW-10%)]],TRUE)*100,"")</f>
        <v/>
      </c>
      <c r="L524" s="7" t="str">
        <f>IF(Table1[[#This Row],[Is Data Valid]]=TRUE,_xlfn.NORM.S.DIST(Table1[[#This Row],[Birthweight Z-Score (BW+10%)]],TRUE)*100,"")</f>
        <v/>
      </c>
    </row>
    <row r="525" spans="1:12" x14ac:dyDescent="0.35">
      <c r="A525" s="3"/>
      <c r="B525" s="2"/>
      <c r="C525" s="2"/>
      <c r="D525" s="2" t="b">
        <f>IF(AND(NOT(ISBLANK(Table1[[#This Row],[Fetal Sex (Male, Female or Unknown)]])),ISNUMBER(Table1[[#This Row],[Birthweight (grams)]]),ISNUMBER(Table1[[#This Row],[Gestation (days)]])),TRUE,FALSE)</f>
        <v>0</v>
      </c>
      <c r="E525" s="2" t="str">
        <f>IF(Table1[[#This Row],[Is Data Valid]]=TRUE,IF(Table1[[#This Row],[Fetal Sex (Male, Female or Unknown)]]="Male",Backend!$C$6,IF(Table1[[#This Row],[Fetal Sex (Male, Female or Unknown)]]="Female",Backend!$C$7,IF(Table1[[#This Row],[Fetal Sex (Male, Female or Unknown)]]="Unknown",Backend!$C$8,"Error"))),"")</f>
        <v/>
      </c>
      <c r="F525" s="8" t="str">
        <f>IF(Table1[[#This Row],[Is Data Valid]]=TRUE,EXP(0.578+0.332*((Table1[[#This Row],[Gestation (days)]]+0.5)/7)-0.00354*((Table1[[#This Row],[Gestation (days)]]+0.5)/7)^2)*Table1[[#This Row],[BW40_3705]],"")</f>
        <v/>
      </c>
      <c r="G525" s="2" t="str">
        <f>IF(Table1[[#This Row],[Is Data Valid]]=TRUE,((Table1[[#This Row],[Birthweight (grams)]]/Table1[[#This Row],[BW_GA]])-1)/(Backend!$B$4/100*Table1[[#This Row],[BW40_3705]]),"")</f>
        <v/>
      </c>
      <c r="H525" s="7" t="str">
        <f>IF(Table1[[#This Row],[Is Data Valid]]=TRUE,((Table1[[#This Row],[Birthweight (grams)]]*0.9/Table1[[#This Row],[BW_GA]])-1)/(Backend!$B$4/100*Table1[[#This Row],[BW40_3705]]),"")</f>
        <v/>
      </c>
      <c r="I525" s="7" t="str">
        <f>IF(Table1[[#This Row],[Is Data Valid]]=TRUE,((Table1[[#This Row],[Birthweight (grams)]]*1.1/Table1[[#This Row],[BW_GA]])-1)/(Backend!$B$4/100*Table1[[#This Row],[BW40_3705]]),"")</f>
        <v/>
      </c>
      <c r="J525" s="7" t="str">
        <f>IF(Table1[[#This Row],[Is Data Valid]]=TRUE,_xlfn.NORM.S.DIST(Table1[[#This Row],[Birthweight Z-Score]],TRUE)*100,"")</f>
        <v/>
      </c>
      <c r="K525" s="7" t="str">
        <f>IF(Table1[[#This Row],[Is Data Valid]]=TRUE,_xlfn.NORM.S.DIST(Table1[[#This Row],[Birthweight Z-Score (BW-10%)]],TRUE)*100,"")</f>
        <v/>
      </c>
      <c r="L525" s="7" t="str">
        <f>IF(Table1[[#This Row],[Is Data Valid]]=TRUE,_xlfn.NORM.S.DIST(Table1[[#This Row],[Birthweight Z-Score (BW+10%)]],TRUE)*100,"")</f>
        <v/>
      </c>
    </row>
    <row r="526" spans="1:12" x14ac:dyDescent="0.35">
      <c r="A526" s="3"/>
      <c r="B526" s="2"/>
      <c r="C526" s="2"/>
      <c r="D526" s="2" t="b">
        <f>IF(AND(NOT(ISBLANK(Table1[[#This Row],[Fetal Sex (Male, Female or Unknown)]])),ISNUMBER(Table1[[#This Row],[Birthweight (grams)]]),ISNUMBER(Table1[[#This Row],[Gestation (days)]])),TRUE,FALSE)</f>
        <v>0</v>
      </c>
      <c r="E526" s="2" t="str">
        <f>IF(Table1[[#This Row],[Is Data Valid]]=TRUE,IF(Table1[[#This Row],[Fetal Sex (Male, Female or Unknown)]]="Male",Backend!$C$6,IF(Table1[[#This Row],[Fetal Sex (Male, Female or Unknown)]]="Female",Backend!$C$7,IF(Table1[[#This Row],[Fetal Sex (Male, Female or Unknown)]]="Unknown",Backend!$C$8,"Error"))),"")</f>
        <v/>
      </c>
      <c r="F526" s="8" t="str">
        <f>IF(Table1[[#This Row],[Is Data Valid]]=TRUE,EXP(0.578+0.332*((Table1[[#This Row],[Gestation (days)]]+0.5)/7)-0.00354*((Table1[[#This Row],[Gestation (days)]]+0.5)/7)^2)*Table1[[#This Row],[BW40_3705]],"")</f>
        <v/>
      </c>
      <c r="G526" s="2" t="str">
        <f>IF(Table1[[#This Row],[Is Data Valid]]=TRUE,((Table1[[#This Row],[Birthweight (grams)]]/Table1[[#This Row],[BW_GA]])-1)/(Backend!$B$4/100*Table1[[#This Row],[BW40_3705]]),"")</f>
        <v/>
      </c>
      <c r="H526" s="7" t="str">
        <f>IF(Table1[[#This Row],[Is Data Valid]]=TRUE,((Table1[[#This Row],[Birthweight (grams)]]*0.9/Table1[[#This Row],[BW_GA]])-1)/(Backend!$B$4/100*Table1[[#This Row],[BW40_3705]]),"")</f>
        <v/>
      </c>
      <c r="I526" s="7" t="str">
        <f>IF(Table1[[#This Row],[Is Data Valid]]=TRUE,((Table1[[#This Row],[Birthweight (grams)]]*1.1/Table1[[#This Row],[BW_GA]])-1)/(Backend!$B$4/100*Table1[[#This Row],[BW40_3705]]),"")</f>
        <v/>
      </c>
      <c r="J526" s="7" t="str">
        <f>IF(Table1[[#This Row],[Is Data Valid]]=TRUE,_xlfn.NORM.S.DIST(Table1[[#This Row],[Birthweight Z-Score]],TRUE)*100,"")</f>
        <v/>
      </c>
      <c r="K526" s="7" t="str">
        <f>IF(Table1[[#This Row],[Is Data Valid]]=TRUE,_xlfn.NORM.S.DIST(Table1[[#This Row],[Birthweight Z-Score (BW-10%)]],TRUE)*100,"")</f>
        <v/>
      </c>
      <c r="L526" s="7" t="str">
        <f>IF(Table1[[#This Row],[Is Data Valid]]=TRUE,_xlfn.NORM.S.DIST(Table1[[#This Row],[Birthweight Z-Score (BW+10%)]],TRUE)*100,"")</f>
        <v/>
      </c>
    </row>
    <row r="527" spans="1:12" x14ac:dyDescent="0.35">
      <c r="A527" s="3"/>
      <c r="B527" s="2"/>
      <c r="C527" s="2"/>
      <c r="D527" s="2" t="b">
        <f>IF(AND(NOT(ISBLANK(Table1[[#This Row],[Fetal Sex (Male, Female or Unknown)]])),ISNUMBER(Table1[[#This Row],[Birthweight (grams)]]),ISNUMBER(Table1[[#This Row],[Gestation (days)]])),TRUE,FALSE)</f>
        <v>0</v>
      </c>
      <c r="E527" s="2" t="str">
        <f>IF(Table1[[#This Row],[Is Data Valid]]=TRUE,IF(Table1[[#This Row],[Fetal Sex (Male, Female or Unknown)]]="Male",Backend!$C$6,IF(Table1[[#This Row],[Fetal Sex (Male, Female or Unknown)]]="Female",Backend!$C$7,IF(Table1[[#This Row],[Fetal Sex (Male, Female or Unknown)]]="Unknown",Backend!$C$8,"Error"))),"")</f>
        <v/>
      </c>
      <c r="F527" s="8" t="str">
        <f>IF(Table1[[#This Row],[Is Data Valid]]=TRUE,EXP(0.578+0.332*((Table1[[#This Row],[Gestation (days)]]+0.5)/7)-0.00354*((Table1[[#This Row],[Gestation (days)]]+0.5)/7)^2)*Table1[[#This Row],[BW40_3705]],"")</f>
        <v/>
      </c>
      <c r="G527" s="2" t="str">
        <f>IF(Table1[[#This Row],[Is Data Valid]]=TRUE,((Table1[[#This Row],[Birthweight (grams)]]/Table1[[#This Row],[BW_GA]])-1)/(Backend!$B$4/100*Table1[[#This Row],[BW40_3705]]),"")</f>
        <v/>
      </c>
      <c r="H527" s="7" t="str">
        <f>IF(Table1[[#This Row],[Is Data Valid]]=TRUE,((Table1[[#This Row],[Birthweight (grams)]]*0.9/Table1[[#This Row],[BW_GA]])-1)/(Backend!$B$4/100*Table1[[#This Row],[BW40_3705]]),"")</f>
        <v/>
      </c>
      <c r="I527" s="7" t="str">
        <f>IF(Table1[[#This Row],[Is Data Valid]]=TRUE,((Table1[[#This Row],[Birthweight (grams)]]*1.1/Table1[[#This Row],[BW_GA]])-1)/(Backend!$B$4/100*Table1[[#This Row],[BW40_3705]]),"")</f>
        <v/>
      </c>
      <c r="J527" s="7" t="str">
        <f>IF(Table1[[#This Row],[Is Data Valid]]=TRUE,_xlfn.NORM.S.DIST(Table1[[#This Row],[Birthweight Z-Score]],TRUE)*100,"")</f>
        <v/>
      </c>
      <c r="K527" s="7" t="str">
        <f>IF(Table1[[#This Row],[Is Data Valid]]=TRUE,_xlfn.NORM.S.DIST(Table1[[#This Row],[Birthweight Z-Score (BW-10%)]],TRUE)*100,"")</f>
        <v/>
      </c>
      <c r="L527" s="7" t="str">
        <f>IF(Table1[[#This Row],[Is Data Valid]]=TRUE,_xlfn.NORM.S.DIST(Table1[[#This Row],[Birthweight Z-Score (BW+10%)]],TRUE)*100,"")</f>
        <v/>
      </c>
    </row>
    <row r="528" spans="1:12" x14ac:dyDescent="0.35">
      <c r="A528" s="3"/>
      <c r="B528" s="2"/>
      <c r="C528" s="2"/>
      <c r="D528" s="2" t="b">
        <f>IF(AND(NOT(ISBLANK(Table1[[#This Row],[Fetal Sex (Male, Female or Unknown)]])),ISNUMBER(Table1[[#This Row],[Birthweight (grams)]]),ISNUMBER(Table1[[#This Row],[Gestation (days)]])),TRUE,FALSE)</f>
        <v>0</v>
      </c>
      <c r="E528" s="2" t="str">
        <f>IF(Table1[[#This Row],[Is Data Valid]]=TRUE,IF(Table1[[#This Row],[Fetal Sex (Male, Female or Unknown)]]="Male",Backend!$C$6,IF(Table1[[#This Row],[Fetal Sex (Male, Female or Unknown)]]="Female",Backend!$C$7,IF(Table1[[#This Row],[Fetal Sex (Male, Female or Unknown)]]="Unknown",Backend!$C$8,"Error"))),"")</f>
        <v/>
      </c>
      <c r="F528" s="8" t="str">
        <f>IF(Table1[[#This Row],[Is Data Valid]]=TRUE,EXP(0.578+0.332*((Table1[[#This Row],[Gestation (days)]]+0.5)/7)-0.00354*((Table1[[#This Row],[Gestation (days)]]+0.5)/7)^2)*Table1[[#This Row],[BW40_3705]],"")</f>
        <v/>
      </c>
      <c r="G528" s="2" t="str">
        <f>IF(Table1[[#This Row],[Is Data Valid]]=TRUE,((Table1[[#This Row],[Birthweight (grams)]]/Table1[[#This Row],[BW_GA]])-1)/(Backend!$B$4/100*Table1[[#This Row],[BW40_3705]]),"")</f>
        <v/>
      </c>
      <c r="H528" s="7" t="str">
        <f>IF(Table1[[#This Row],[Is Data Valid]]=TRUE,((Table1[[#This Row],[Birthweight (grams)]]*0.9/Table1[[#This Row],[BW_GA]])-1)/(Backend!$B$4/100*Table1[[#This Row],[BW40_3705]]),"")</f>
        <v/>
      </c>
      <c r="I528" s="7" t="str">
        <f>IF(Table1[[#This Row],[Is Data Valid]]=TRUE,((Table1[[#This Row],[Birthweight (grams)]]*1.1/Table1[[#This Row],[BW_GA]])-1)/(Backend!$B$4/100*Table1[[#This Row],[BW40_3705]]),"")</f>
        <v/>
      </c>
      <c r="J528" s="7" t="str">
        <f>IF(Table1[[#This Row],[Is Data Valid]]=TRUE,_xlfn.NORM.S.DIST(Table1[[#This Row],[Birthweight Z-Score]],TRUE)*100,"")</f>
        <v/>
      </c>
      <c r="K528" s="7" t="str">
        <f>IF(Table1[[#This Row],[Is Data Valid]]=TRUE,_xlfn.NORM.S.DIST(Table1[[#This Row],[Birthweight Z-Score (BW-10%)]],TRUE)*100,"")</f>
        <v/>
      </c>
      <c r="L528" s="7" t="str">
        <f>IF(Table1[[#This Row],[Is Data Valid]]=TRUE,_xlfn.NORM.S.DIST(Table1[[#This Row],[Birthweight Z-Score (BW+10%)]],TRUE)*100,"")</f>
        <v/>
      </c>
    </row>
    <row r="529" spans="1:12" x14ac:dyDescent="0.35">
      <c r="A529" s="3"/>
      <c r="B529" s="2"/>
      <c r="C529" s="2"/>
      <c r="D529" s="2" t="b">
        <f>IF(AND(NOT(ISBLANK(Table1[[#This Row],[Fetal Sex (Male, Female or Unknown)]])),ISNUMBER(Table1[[#This Row],[Birthweight (grams)]]),ISNUMBER(Table1[[#This Row],[Gestation (days)]])),TRUE,FALSE)</f>
        <v>0</v>
      </c>
      <c r="E529" s="2" t="str">
        <f>IF(Table1[[#This Row],[Is Data Valid]]=TRUE,IF(Table1[[#This Row],[Fetal Sex (Male, Female or Unknown)]]="Male",Backend!$C$6,IF(Table1[[#This Row],[Fetal Sex (Male, Female or Unknown)]]="Female",Backend!$C$7,IF(Table1[[#This Row],[Fetal Sex (Male, Female or Unknown)]]="Unknown",Backend!$C$8,"Error"))),"")</f>
        <v/>
      </c>
      <c r="F529" s="8" t="str">
        <f>IF(Table1[[#This Row],[Is Data Valid]]=TRUE,EXP(0.578+0.332*((Table1[[#This Row],[Gestation (days)]]+0.5)/7)-0.00354*((Table1[[#This Row],[Gestation (days)]]+0.5)/7)^2)*Table1[[#This Row],[BW40_3705]],"")</f>
        <v/>
      </c>
      <c r="G529" s="2" t="str">
        <f>IF(Table1[[#This Row],[Is Data Valid]]=TRUE,((Table1[[#This Row],[Birthweight (grams)]]/Table1[[#This Row],[BW_GA]])-1)/(Backend!$B$4/100*Table1[[#This Row],[BW40_3705]]),"")</f>
        <v/>
      </c>
      <c r="H529" s="7" t="str">
        <f>IF(Table1[[#This Row],[Is Data Valid]]=TRUE,((Table1[[#This Row],[Birthweight (grams)]]*0.9/Table1[[#This Row],[BW_GA]])-1)/(Backend!$B$4/100*Table1[[#This Row],[BW40_3705]]),"")</f>
        <v/>
      </c>
      <c r="I529" s="7" t="str">
        <f>IF(Table1[[#This Row],[Is Data Valid]]=TRUE,((Table1[[#This Row],[Birthweight (grams)]]*1.1/Table1[[#This Row],[BW_GA]])-1)/(Backend!$B$4/100*Table1[[#This Row],[BW40_3705]]),"")</f>
        <v/>
      </c>
      <c r="J529" s="7" t="str">
        <f>IF(Table1[[#This Row],[Is Data Valid]]=TRUE,_xlfn.NORM.S.DIST(Table1[[#This Row],[Birthweight Z-Score]],TRUE)*100,"")</f>
        <v/>
      </c>
      <c r="K529" s="7" t="str">
        <f>IF(Table1[[#This Row],[Is Data Valid]]=TRUE,_xlfn.NORM.S.DIST(Table1[[#This Row],[Birthweight Z-Score (BW-10%)]],TRUE)*100,"")</f>
        <v/>
      </c>
      <c r="L529" s="7" t="str">
        <f>IF(Table1[[#This Row],[Is Data Valid]]=TRUE,_xlfn.NORM.S.DIST(Table1[[#This Row],[Birthweight Z-Score (BW+10%)]],TRUE)*100,"")</f>
        <v/>
      </c>
    </row>
    <row r="530" spans="1:12" x14ac:dyDescent="0.35">
      <c r="A530" s="3"/>
      <c r="B530" s="2"/>
      <c r="C530" s="2"/>
      <c r="D530" s="2" t="b">
        <f>IF(AND(NOT(ISBLANK(Table1[[#This Row],[Fetal Sex (Male, Female or Unknown)]])),ISNUMBER(Table1[[#This Row],[Birthweight (grams)]]),ISNUMBER(Table1[[#This Row],[Gestation (days)]])),TRUE,FALSE)</f>
        <v>0</v>
      </c>
      <c r="E530" s="2" t="str">
        <f>IF(Table1[[#This Row],[Is Data Valid]]=TRUE,IF(Table1[[#This Row],[Fetal Sex (Male, Female or Unknown)]]="Male",Backend!$C$6,IF(Table1[[#This Row],[Fetal Sex (Male, Female or Unknown)]]="Female",Backend!$C$7,IF(Table1[[#This Row],[Fetal Sex (Male, Female or Unknown)]]="Unknown",Backend!$C$8,"Error"))),"")</f>
        <v/>
      </c>
      <c r="F530" s="8" t="str">
        <f>IF(Table1[[#This Row],[Is Data Valid]]=TRUE,EXP(0.578+0.332*((Table1[[#This Row],[Gestation (days)]]+0.5)/7)-0.00354*((Table1[[#This Row],[Gestation (days)]]+0.5)/7)^2)*Table1[[#This Row],[BW40_3705]],"")</f>
        <v/>
      </c>
      <c r="G530" s="2" t="str">
        <f>IF(Table1[[#This Row],[Is Data Valid]]=TRUE,((Table1[[#This Row],[Birthweight (grams)]]/Table1[[#This Row],[BW_GA]])-1)/(Backend!$B$4/100*Table1[[#This Row],[BW40_3705]]),"")</f>
        <v/>
      </c>
      <c r="H530" s="7" t="str">
        <f>IF(Table1[[#This Row],[Is Data Valid]]=TRUE,((Table1[[#This Row],[Birthweight (grams)]]*0.9/Table1[[#This Row],[BW_GA]])-1)/(Backend!$B$4/100*Table1[[#This Row],[BW40_3705]]),"")</f>
        <v/>
      </c>
      <c r="I530" s="7" t="str">
        <f>IF(Table1[[#This Row],[Is Data Valid]]=TRUE,((Table1[[#This Row],[Birthweight (grams)]]*1.1/Table1[[#This Row],[BW_GA]])-1)/(Backend!$B$4/100*Table1[[#This Row],[BW40_3705]]),"")</f>
        <v/>
      </c>
      <c r="J530" s="7" t="str">
        <f>IF(Table1[[#This Row],[Is Data Valid]]=TRUE,_xlfn.NORM.S.DIST(Table1[[#This Row],[Birthweight Z-Score]],TRUE)*100,"")</f>
        <v/>
      </c>
      <c r="K530" s="7" t="str">
        <f>IF(Table1[[#This Row],[Is Data Valid]]=TRUE,_xlfn.NORM.S.DIST(Table1[[#This Row],[Birthweight Z-Score (BW-10%)]],TRUE)*100,"")</f>
        <v/>
      </c>
      <c r="L530" s="7" t="str">
        <f>IF(Table1[[#This Row],[Is Data Valid]]=TRUE,_xlfn.NORM.S.DIST(Table1[[#This Row],[Birthweight Z-Score (BW+10%)]],TRUE)*100,"")</f>
        <v/>
      </c>
    </row>
    <row r="531" spans="1:12" x14ac:dyDescent="0.35">
      <c r="A531" s="3"/>
      <c r="B531" s="2"/>
      <c r="C531" s="2"/>
      <c r="D531" s="2" t="b">
        <f>IF(AND(NOT(ISBLANK(Table1[[#This Row],[Fetal Sex (Male, Female or Unknown)]])),ISNUMBER(Table1[[#This Row],[Birthweight (grams)]]),ISNUMBER(Table1[[#This Row],[Gestation (days)]])),TRUE,FALSE)</f>
        <v>0</v>
      </c>
      <c r="E531" s="2" t="str">
        <f>IF(Table1[[#This Row],[Is Data Valid]]=TRUE,IF(Table1[[#This Row],[Fetal Sex (Male, Female or Unknown)]]="Male",Backend!$C$6,IF(Table1[[#This Row],[Fetal Sex (Male, Female or Unknown)]]="Female",Backend!$C$7,IF(Table1[[#This Row],[Fetal Sex (Male, Female or Unknown)]]="Unknown",Backend!$C$8,"Error"))),"")</f>
        <v/>
      </c>
      <c r="F531" s="8" t="str">
        <f>IF(Table1[[#This Row],[Is Data Valid]]=TRUE,EXP(0.578+0.332*((Table1[[#This Row],[Gestation (days)]]+0.5)/7)-0.00354*((Table1[[#This Row],[Gestation (days)]]+0.5)/7)^2)*Table1[[#This Row],[BW40_3705]],"")</f>
        <v/>
      </c>
      <c r="G531" s="2" t="str">
        <f>IF(Table1[[#This Row],[Is Data Valid]]=TRUE,((Table1[[#This Row],[Birthweight (grams)]]/Table1[[#This Row],[BW_GA]])-1)/(Backend!$B$4/100*Table1[[#This Row],[BW40_3705]]),"")</f>
        <v/>
      </c>
      <c r="H531" s="7" t="str">
        <f>IF(Table1[[#This Row],[Is Data Valid]]=TRUE,((Table1[[#This Row],[Birthweight (grams)]]*0.9/Table1[[#This Row],[BW_GA]])-1)/(Backend!$B$4/100*Table1[[#This Row],[BW40_3705]]),"")</f>
        <v/>
      </c>
      <c r="I531" s="7" t="str">
        <f>IF(Table1[[#This Row],[Is Data Valid]]=TRUE,((Table1[[#This Row],[Birthweight (grams)]]*1.1/Table1[[#This Row],[BW_GA]])-1)/(Backend!$B$4/100*Table1[[#This Row],[BW40_3705]]),"")</f>
        <v/>
      </c>
      <c r="J531" s="7" t="str">
        <f>IF(Table1[[#This Row],[Is Data Valid]]=TRUE,_xlfn.NORM.S.DIST(Table1[[#This Row],[Birthweight Z-Score]],TRUE)*100,"")</f>
        <v/>
      </c>
      <c r="K531" s="7" t="str">
        <f>IF(Table1[[#This Row],[Is Data Valid]]=TRUE,_xlfn.NORM.S.DIST(Table1[[#This Row],[Birthweight Z-Score (BW-10%)]],TRUE)*100,"")</f>
        <v/>
      </c>
      <c r="L531" s="7" t="str">
        <f>IF(Table1[[#This Row],[Is Data Valid]]=TRUE,_xlfn.NORM.S.DIST(Table1[[#This Row],[Birthweight Z-Score (BW+10%)]],TRUE)*100,"")</f>
        <v/>
      </c>
    </row>
    <row r="532" spans="1:12" x14ac:dyDescent="0.35">
      <c r="A532" s="3"/>
      <c r="B532" s="2"/>
      <c r="C532" s="2"/>
      <c r="D532" s="2" t="b">
        <f>IF(AND(NOT(ISBLANK(Table1[[#This Row],[Fetal Sex (Male, Female or Unknown)]])),ISNUMBER(Table1[[#This Row],[Birthweight (grams)]]),ISNUMBER(Table1[[#This Row],[Gestation (days)]])),TRUE,FALSE)</f>
        <v>0</v>
      </c>
      <c r="E532" s="2" t="str">
        <f>IF(Table1[[#This Row],[Is Data Valid]]=TRUE,IF(Table1[[#This Row],[Fetal Sex (Male, Female or Unknown)]]="Male",Backend!$C$6,IF(Table1[[#This Row],[Fetal Sex (Male, Female or Unknown)]]="Female",Backend!$C$7,IF(Table1[[#This Row],[Fetal Sex (Male, Female or Unknown)]]="Unknown",Backend!$C$8,"Error"))),"")</f>
        <v/>
      </c>
      <c r="F532" s="8" t="str">
        <f>IF(Table1[[#This Row],[Is Data Valid]]=TRUE,EXP(0.578+0.332*((Table1[[#This Row],[Gestation (days)]]+0.5)/7)-0.00354*((Table1[[#This Row],[Gestation (days)]]+0.5)/7)^2)*Table1[[#This Row],[BW40_3705]],"")</f>
        <v/>
      </c>
      <c r="G532" s="2" t="str">
        <f>IF(Table1[[#This Row],[Is Data Valid]]=TRUE,((Table1[[#This Row],[Birthweight (grams)]]/Table1[[#This Row],[BW_GA]])-1)/(Backend!$B$4/100*Table1[[#This Row],[BW40_3705]]),"")</f>
        <v/>
      </c>
      <c r="H532" s="7" t="str">
        <f>IF(Table1[[#This Row],[Is Data Valid]]=TRUE,((Table1[[#This Row],[Birthweight (grams)]]*0.9/Table1[[#This Row],[BW_GA]])-1)/(Backend!$B$4/100*Table1[[#This Row],[BW40_3705]]),"")</f>
        <v/>
      </c>
      <c r="I532" s="7" t="str">
        <f>IF(Table1[[#This Row],[Is Data Valid]]=TRUE,((Table1[[#This Row],[Birthweight (grams)]]*1.1/Table1[[#This Row],[BW_GA]])-1)/(Backend!$B$4/100*Table1[[#This Row],[BW40_3705]]),"")</f>
        <v/>
      </c>
      <c r="J532" s="7" t="str">
        <f>IF(Table1[[#This Row],[Is Data Valid]]=TRUE,_xlfn.NORM.S.DIST(Table1[[#This Row],[Birthweight Z-Score]],TRUE)*100,"")</f>
        <v/>
      </c>
      <c r="K532" s="7" t="str">
        <f>IF(Table1[[#This Row],[Is Data Valid]]=TRUE,_xlfn.NORM.S.DIST(Table1[[#This Row],[Birthweight Z-Score (BW-10%)]],TRUE)*100,"")</f>
        <v/>
      </c>
      <c r="L532" s="7" t="str">
        <f>IF(Table1[[#This Row],[Is Data Valid]]=TRUE,_xlfn.NORM.S.DIST(Table1[[#This Row],[Birthweight Z-Score (BW+10%)]],TRUE)*100,"")</f>
        <v/>
      </c>
    </row>
    <row r="533" spans="1:12" x14ac:dyDescent="0.35">
      <c r="A533" s="3"/>
      <c r="B533" s="2"/>
      <c r="C533" s="2"/>
      <c r="D533" s="2" t="b">
        <f>IF(AND(NOT(ISBLANK(Table1[[#This Row],[Fetal Sex (Male, Female or Unknown)]])),ISNUMBER(Table1[[#This Row],[Birthweight (grams)]]),ISNUMBER(Table1[[#This Row],[Gestation (days)]])),TRUE,FALSE)</f>
        <v>0</v>
      </c>
      <c r="E533" s="2" t="str">
        <f>IF(Table1[[#This Row],[Is Data Valid]]=TRUE,IF(Table1[[#This Row],[Fetal Sex (Male, Female or Unknown)]]="Male",Backend!$C$6,IF(Table1[[#This Row],[Fetal Sex (Male, Female or Unknown)]]="Female",Backend!$C$7,IF(Table1[[#This Row],[Fetal Sex (Male, Female or Unknown)]]="Unknown",Backend!$C$8,"Error"))),"")</f>
        <v/>
      </c>
      <c r="F533" s="8" t="str">
        <f>IF(Table1[[#This Row],[Is Data Valid]]=TRUE,EXP(0.578+0.332*((Table1[[#This Row],[Gestation (days)]]+0.5)/7)-0.00354*((Table1[[#This Row],[Gestation (days)]]+0.5)/7)^2)*Table1[[#This Row],[BW40_3705]],"")</f>
        <v/>
      </c>
      <c r="G533" s="2" t="str">
        <f>IF(Table1[[#This Row],[Is Data Valid]]=TRUE,((Table1[[#This Row],[Birthweight (grams)]]/Table1[[#This Row],[BW_GA]])-1)/(Backend!$B$4/100*Table1[[#This Row],[BW40_3705]]),"")</f>
        <v/>
      </c>
      <c r="H533" s="7" t="str">
        <f>IF(Table1[[#This Row],[Is Data Valid]]=TRUE,((Table1[[#This Row],[Birthweight (grams)]]*0.9/Table1[[#This Row],[BW_GA]])-1)/(Backend!$B$4/100*Table1[[#This Row],[BW40_3705]]),"")</f>
        <v/>
      </c>
      <c r="I533" s="7" t="str">
        <f>IF(Table1[[#This Row],[Is Data Valid]]=TRUE,((Table1[[#This Row],[Birthweight (grams)]]*1.1/Table1[[#This Row],[BW_GA]])-1)/(Backend!$B$4/100*Table1[[#This Row],[BW40_3705]]),"")</f>
        <v/>
      </c>
      <c r="J533" s="7" t="str">
        <f>IF(Table1[[#This Row],[Is Data Valid]]=TRUE,_xlfn.NORM.S.DIST(Table1[[#This Row],[Birthweight Z-Score]],TRUE)*100,"")</f>
        <v/>
      </c>
      <c r="K533" s="7" t="str">
        <f>IF(Table1[[#This Row],[Is Data Valid]]=TRUE,_xlfn.NORM.S.DIST(Table1[[#This Row],[Birthweight Z-Score (BW-10%)]],TRUE)*100,"")</f>
        <v/>
      </c>
      <c r="L533" s="7" t="str">
        <f>IF(Table1[[#This Row],[Is Data Valid]]=TRUE,_xlfn.NORM.S.DIST(Table1[[#This Row],[Birthweight Z-Score (BW+10%)]],TRUE)*100,"")</f>
        <v/>
      </c>
    </row>
    <row r="534" spans="1:12" x14ac:dyDescent="0.35">
      <c r="A534" s="3"/>
      <c r="B534" s="2"/>
      <c r="C534" s="2"/>
      <c r="D534" s="2" t="b">
        <f>IF(AND(NOT(ISBLANK(Table1[[#This Row],[Fetal Sex (Male, Female or Unknown)]])),ISNUMBER(Table1[[#This Row],[Birthweight (grams)]]),ISNUMBER(Table1[[#This Row],[Gestation (days)]])),TRUE,FALSE)</f>
        <v>0</v>
      </c>
      <c r="E534" s="2" t="str">
        <f>IF(Table1[[#This Row],[Is Data Valid]]=TRUE,IF(Table1[[#This Row],[Fetal Sex (Male, Female or Unknown)]]="Male",Backend!$C$6,IF(Table1[[#This Row],[Fetal Sex (Male, Female or Unknown)]]="Female",Backend!$C$7,IF(Table1[[#This Row],[Fetal Sex (Male, Female or Unknown)]]="Unknown",Backend!$C$8,"Error"))),"")</f>
        <v/>
      </c>
      <c r="F534" s="8" t="str">
        <f>IF(Table1[[#This Row],[Is Data Valid]]=TRUE,EXP(0.578+0.332*((Table1[[#This Row],[Gestation (days)]]+0.5)/7)-0.00354*((Table1[[#This Row],[Gestation (days)]]+0.5)/7)^2)*Table1[[#This Row],[BW40_3705]],"")</f>
        <v/>
      </c>
      <c r="G534" s="2" t="str">
        <f>IF(Table1[[#This Row],[Is Data Valid]]=TRUE,((Table1[[#This Row],[Birthweight (grams)]]/Table1[[#This Row],[BW_GA]])-1)/(Backend!$B$4/100*Table1[[#This Row],[BW40_3705]]),"")</f>
        <v/>
      </c>
      <c r="H534" s="7" t="str">
        <f>IF(Table1[[#This Row],[Is Data Valid]]=TRUE,((Table1[[#This Row],[Birthweight (grams)]]*0.9/Table1[[#This Row],[BW_GA]])-1)/(Backend!$B$4/100*Table1[[#This Row],[BW40_3705]]),"")</f>
        <v/>
      </c>
      <c r="I534" s="7" t="str">
        <f>IF(Table1[[#This Row],[Is Data Valid]]=TRUE,((Table1[[#This Row],[Birthweight (grams)]]*1.1/Table1[[#This Row],[BW_GA]])-1)/(Backend!$B$4/100*Table1[[#This Row],[BW40_3705]]),"")</f>
        <v/>
      </c>
      <c r="J534" s="7" t="str">
        <f>IF(Table1[[#This Row],[Is Data Valid]]=TRUE,_xlfn.NORM.S.DIST(Table1[[#This Row],[Birthweight Z-Score]],TRUE)*100,"")</f>
        <v/>
      </c>
      <c r="K534" s="7" t="str">
        <f>IF(Table1[[#This Row],[Is Data Valid]]=TRUE,_xlfn.NORM.S.DIST(Table1[[#This Row],[Birthweight Z-Score (BW-10%)]],TRUE)*100,"")</f>
        <v/>
      </c>
      <c r="L534" s="7" t="str">
        <f>IF(Table1[[#This Row],[Is Data Valid]]=TRUE,_xlfn.NORM.S.DIST(Table1[[#This Row],[Birthweight Z-Score (BW+10%)]],TRUE)*100,"")</f>
        <v/>
      </c>
    </row>
    <row r="535" spans="1:12" x14ac:dyDescent="0.35">
      <c r="A535" s="3"/>
      <c r="B535" s="2"/>
      <c r="C535" s="2"/>
      <c r="D535" s="2" t="b">
        <f>IF(AND(NOT(ISBLANK(Table1[[#This Row],[Fetal Sex (Male, Female or Unknown)]])),ISNUMBER(Table1[[#This Row],[Birthweight (grams)]]),ISNUMBER(Table1[[#This Row],[Gestation (days)]])),TRUE,FALSE)</f>
        <v>0</v>
      </c>
      <c r="E535" s="2" t="str">
        <f>IF(Table1[[#This Row],[Is Data Valid]]=TRUE,IF(Table1[[#This Row],[Fetal Sex (Male, Female or Unknown)]]="Male",Backend!$C$6,IF(Table1[[#This Row],[Fetal Sex (Male, Female or Unknown)]]="Female",Backend!$C$7,IF(Table1[[#This Row],[Fetal Sex (Male, Female or Unknown)]]="Unknown",Backend!$C$8,"Error"))),"")</f>
        <v/>
      </c>
      <c r="F535" s="8" t="str">
        <f>IF(Table1[[#This Row],[Is Data Valid]]=TRUE,EXP(0.578+0.332*((Table1[[#This Row],[Gestation (days)]]+0.5)/7)-0.00354*((Table1[[#This Row],[Gestation (days)]]+0.5)/7)^2)*Table1[[#This Row],[BW40_3705]],"")</f>
        <v/>
      </c>
      <c r="G535" s="2" t="str">
        <f>IF(Table1[[#This Row],[Is Data Valid]]=TRUE,((Table1[[#This Row],[Birthweight (grams)]]/Table1[[#This Row],[BW_GA]])-1)/(Backend!$B$4/100*Table1[[#This Row],[BW40_3705]]),"")</f>
        <v/>
      </c>
      <c r="H535" s="7" t="str">
        <f>IF(Table1[[#This Row],[Is Data Valid]]=TRUE,((Table1[[#This Row],[Birthweight (grams)]]*0.9/Table1[[#This Row],[BW_GA]])-1)/(Backend!$B$4/100*Table1[[#This Row],[BW40_3705]]),"")</f>
        <v/>
      </c>
      <c r="I535" s="7" t="str">
        <f>IF(Table1[[#This Row],[Is Data Valid]]=TRUE,((Table1[[#This Row],[Birthweight (grams)]]*1.1/Table1[[#This Row],[BW_GA]])-1)/(Backend!$B$4/100*Table1[[#This Row],[BW40_3705]]),"")</f>
        <v/>
      </c>
      <c r="J535" s="7" t="str">
        <f>IF(Table1[[#This Row],[Is Data Valid]]=TRUE,_xlfn.NORM.S.DIST(Table1[[#This Row],[Birthweight Z-Score]],TRUE)*100,"")</f>
        <v/>
      </c>
      <c r="K535" s="7" t="str">
        <f>IF(Table1[[#This Row],[Is Data Valid]]=TRUE,_xlfn.NORM.S.DIST(Table1[[#This Row],[Birthweight Z-Score (BW-10%)]],TRUE)*100,"")</f>
        <v/>
      </c>
      <c r="L535" s="7" t="str">
        <f>IF(Table1[[#This Row],[Is Data Valid]]=TRUE,_xlfn.NORM.S.DIST(Table1[[#This Row],[Birthweight Z-Score (BW+10%)]],TRUE)*100,"")</f>
        <v/>
      </c>
    </row>
    <row r="536" spans="1:12" x14ac:dyDescent="0.35">
      <c r="A536" s="3"/>
      <c r="B536" s="2"/>
      <c r="C536" s="2"/>
      <c r="D536" s="2" t="b">
        <f>IF(AND(NOT(ISBLANK(Table1[[#This Row],[Fetal Sex (Male, Female or Unknown)]])),ISNUMBER(Table1[[#This Row],[Birthweight (grams)]]),ISNUMBER(Table1[[#This Row],[Gestation (days)]])),TRUE,FALSE)</f>
        <v>0</v>
      </c>
      <c r="E536" s="2" t="str">
        <f>IF(Table1[[#This Row],[Is Data Valid]]=TRUE,IF(Table1[[#This Row],[Fetal Sex (Male, Female or Unknown)]]="Male",Backend!$C$6,IF(Table1[[#This Row],[Fetal Sex (Male, Female or Unknown)]]="Female",Backend!$C$7,IF(Table1[[#This Row],[Fetal Sex (Male, Female or Unknown)]]="Unknown",Backend!$C$8,"Error"))),"")</f>
        <v/>
      </c>
      <c r="F536" s="8" t="str">
        <f>IF(Table1[[#This Row],[Is Data Valid]]=TRUE,EXP(0.578+0.332*((Table1[[#This Row],[Gestation (days)]]+0.5)/7)-0.00354*((Table1[[#This Row],[Gestation (days)]]+0.5)/7)^2)*Table1[[#This Row],[BW40_3705]],"")</f>
        <v/>
      </c>
      <c r="G536" s="2" t="str">
        <f>IF(Table1[[#This Row],[Is Data Valid]]=TRUE,((Table1[[#This Row],[Birthweight (grams)]]/Table1[[#This Row],[BW_GA]])-1)/(Backend!$B$4/100*Table1[[#This Row],[BW40_3705]]),"")</f>
        <v/>
      </c>
      <c r="H536" s="7" t="str">
        <f>IF(Table1[[#This Row],[Is Data Valid]]=TRUE,((Table1[[#This Row],[Birthweight (grams)]]*0.9/Table1[[#This Row],[BW_GA]])-1)/(Backend!$B$4/100*Table1[[#This Row],[BW40_3705]]),"")</f>
        <v/>
      </c>
      <c r="I536" s="7" t="str">
        <f>IF(Table1[[#This Row],[Is Data Valid]]=TRUE,((Table1[[#This Row],[Birthweight (grams)]]*1.1/Table1[[#This Row],[BW_GA]])-1)/(Backend!$B$4/100*Table1[[#This Row],[BW40_3705]]),"")</f>
        <v/>
      </c>
      <c r="J536" s="7" t="str">
        <f>IF(Table1[[#This Row],[Is Data Valid]]=TRUE,_xlfn.NORM.S.DIST(Table1[[#This Row],[Birthweight Z-Score]],TRUE)*100,"")</f>
        <v/>
      </c>
      <c r="K536" s="7" t="str">
        <f>IF(Table1[[#This Row],[Is Data Valid]]=TRUE,_xlfn.NORM.S.DIST(Table1[[#This Row],[Birthweight Z-Score (BW-10%)]],TRUE)*100,"")</f>
        <v/>
      </c>
      <c r="L536" s="7" t="str">
        <f>IF(Table1[[#This Row],[Is Data Valid]]=TRUE,_xlfn.NORM.S.DIST(Table1[[#This Row],[Birthweight Z-Score (BW+10%)]],TRUE)*100,"")</f>
        <v/>
      </c>
    </row>
    <row r="537" spans="1:12" x14ac:dyDescent="0.35">
      <c r="A537" s="3"/>
      <c r="B537" s="2"/>
      <c r="C537" s="2"/>
      <c r="D537" s="2" t="b">
        <f>IF(AND(NOT(ISBLANK(Table1[[#This Row],[Fetal Sex (Male, Female or Unknown)]])),ISNUMBER(Table1[[#This Row],[Birthweight (grams)]]),ISNUMBER(Table1[[#This Row],[Gestation (days)]])),TRUE,FALSE)</f>
        <v>0</v>
      </c>
      <c r="E537" s="2" t="str">
        <f>IF(Table1[[#This Row],[Is Data Valid]]=TRUE,IF(Table1[[#This Row],[Fetal Sex (Male, Female or Unknown)]]="Male",Backend!$C$6,IF(Table1[[#This Row],[Fetal Sex (Male, Female or Unknown)]]="Female",Backend!$C$7,IF(Table1[[#This Row],[Fetal Sex (Male, Female or Unknown)]]="Unknown",Backend!$C$8,"Error"))),"")</f>
        <v/>
      </c>
      <c r="F537" s="8" t="str">
        <f>IF(Table1[[#This Row],[Is Data Valid]]=TRUE,EXP(0.578+0.332*((Table1[[#This Row],[Gestation (days)]]+0.5)/7)-0.00354*((Table1[[#This Row],[Gestation (days)]]+0.5)/7)^2)*Table1[[#This Row],[BW40_3705]],"")</f>
        <v/>
      </c>
      <c r="G537" s="2" t="str">
        <f>IF(Table1[[#This Row],[Is Data Valid]]=TRUE,((Table1[[#This Row],[Birthweight (grams)]]/Table1[[#This Row],[BW_GA]])-1)/(Backend!$B$4/100*Table1[[#This Row],[BW40_3705]]),"")</f>
        <v/>
      </c>
      <c r="H537" s="7" t="str">
        <f>IF(Table1[[#This Row],[Is Data Valid]]=TRUE,((Table1[[#This Row],[Birthweight (grams)]]*0.9/Table1[[#This Row],[BW_GA]])-1)/(Backend!$B$4/100*Table1[[#This Row],[BW40_3705]]),"")</f>
        <v/>
      </c>
      <c r="I537" s="7" t="str">
        <f>IF(Table1[[#This Row],[Is Data Valid]]=TRUE,((Table1[[#This Row],[Birthweight (grams)]]*1.1/Table1[[#This Row],[BW_GA]])-1)/(Backend!$B$4/100*Table1[[#This Row],[BW40_3705]]),"")</f>
        <v/>
      </c>
      <c r="J537" s="7" t="str">
        <f>IF(Table1[[#This Row],[Is Data Valid]]=TRUE,_xlfn.NORM.S.DIST(Table1[[#This Row],[Birthweight Z-Score]],TRUE)*100,"")</f>
        <v/>
      </c>
      <c r="K537" s="7" t="str">
        <f>IF(Table1[[#This Row],[Is Data Valid]]=TRUE,_xlfn.NORM.S.DIST(Table1[[#This Row],[Birthweight Z-Score (BW-10%)]],TRUE)*100,"")</f>
        <v/>
      </c>
      <c r="L537" s="7" t="str">
        <f>IF(Table1[[#This Row],[Is Data Valid]]=TRUE,_xlfn.NORM.S.DIST(Table1[[#This Row],[Birthweight Z-Score (BW+10%)]],TRUE)*100,"")</f>
        <v/>
      </c>
    </row>
    <row r="538" spans="1:12" x14ac:dyDescent="0.35">
      <c r="A538" s="3"/>
      <c r="B538" s="2"/>
      <c r="C538" s="2"/>
      <c r="D538" s="2" t="b">
        <f>IF(AND(NOT(ISBLANK(Table1[[#This Row],[Fetal Sex (Male, Female or Unknown)]])),ISNUMBER(Table1[[#This Row],[Birthweight (grams)]]),ISNUMBER(Table1[[#This Row],[Gestation (days)]])),TRUE,FALSE)</f>
        <v>0</v>
      </c>
      <c r="E538" s="2" t="str">
        <f>IF(Table1[[#This Row],[Is Data Valid]]=TRUE,IF(Table1[[#This Row],[Fetal Sex (Male, Female or Unknown)]]="Male",Backend!$C$6,IF(Table1[[#This Row],[Fetal Sex (Male, Female or Unknown)]]="Female",Backend!$C$7,IF(Table1[[#This Row],[Fetal Sex (Male, Female or Unknown)]]="Unknown",Backend!$C$8,"Error"))),"")</f>
        <v/>
      </c>
      <c r="F538" s="8" t="str">
        <f>IF(Table1[[#This Row],[Is Data Valid]]=TRUE,EXP(0.578+0.332*((Table1[[#This Row],[Gestation (days)]]+0.5)/7)-0.00354*((Table1[[#This Row],[Gestation (days)]]+0.5)/7)^2)*Table1[[#This Row],[BW40_3705]],"")</f>
        <v/>
      </c>
      <c r="G538" s="2" t="str">
        <f>IF(Table1[[#This Row],[Is Data Valid]]=TRUE,((Table1[[#This Row],[Birthweight (grams)]]/Table1[[#This Row],[BW_GA]])-1)/(Backend!$B$4/100*Table1[[#This Row],[BW40_3705]]),"")</f>
        <v/>
      </c>
      <c r="H538" s="7" t="str">
        <f>IF(Table1[[#This Row],[Is Data Valid]]=TRUE,((Table1[[#This Row],[Birthweight (grams)]]*0.9/Table1[[#This Row],[BW_GA]])-1)/(Backend!$B$4/100*Table1[[#This Row],[BW40_3705]]),"")</f>
        <v/>
      </c>
      <c r="I538" s="7" t="str">
        <f>IF(Table1[[#This Row],[Is Data Valid]]=TRUE,((Table1[[#This Row],[Birthweight (grams)]]*1.1/Table1[[#This Row],[BW_GA]])-1)/(Backend!$B$4/100*Table1[[#This Row],[BW40_3705]]),"")</f>
        <v/>
      </c>
      <c r="J538" s="7" t="str">
        <f>IF(Table1[[#This Row],[Is Data Valid]]=TRUE,_xlfn.NORM.S.DIST(Table1[[#This Row],[Birthweight Z-Score]],TRUE)*100,"")</f>
        <v/>
      </c>
      <c r="K538" s="7" t="str">
        <f>IF(Table1[[#This Row],[Is Data Valid]]=TRUE,_xlfn.NORM.S.DIST(Table1[[#This Row],[Birthweight Z-Score (BW-10%)]],TRUE)*100,"")</f>
        <v/>
      </c>
      <c r="L538" s="7" t="str">
        <f>IF(Table1[[#This Row],[Is Data Valid]]=TRUE,_xlfn.NORM.S.DIST(Table1[[#This Row],[Birthweight Z-Score (BW+10%)]],TRUE)*100,"")</f>
        <v/>
      </c>
    </row>
    <row r="539" spans="1:12" x14ac:dyDescent="0.35">
      <c r="A539" s="3"/>
      <c r="B539" s="2"/>
      <c r="C539" s="2"/>
      <c r="D539" s="2" t="b">
        <f>IF(AND(NOT(ISBLANK(Table1[[#This Row],[Fetal Sex (Male, Female or Unknown)]])),ISNUMBER(Table1[[#This Row],[Birthweight (grams)]]),ISNUMBER(Table1[[#This Row],[Gestation (days)]])),TRUE,FALSE)</f>
        <v>0</v>
      </c>
      <c r="E539" s="2" t="str">
        <f>IF(Table1[[#This Row],[Is Data Valid]]=TRUE,IF(Table1[[#This Row],[Fetal Sex (Male, Female or Unknown)]]="Male",Backend!$C$6,IF(Table1[[#This Row],[Fetal Sex (Male, Female or Unknown)]]="Female",Backend!$C$7,IF(Table1[[#This Row],[Fetal Sex (Male, Female or Unknown)]]="Unknown",Backend!$C$8,"Error"))),"")</f>
        <v/>
      </c>
      <c r="F539" s="8" t="str">
        <f>IF(Table1[[#This Row],[Is Data Valid]]=TRUE,EXP(0.578+0.332*((Table1[[#This Row],[Gestation (days)]]+0.5)/7)-0.00354*((Table1[[#This Row],[Gestation (days)]]+0.5)/7)^2)*Table1[[#This Row],[BW40_3705]],"")</f>
        <v/>
      </c>
      <c r="G539" s="2" t="str">
        <f>IF(Table1[[#This Row],[Is Data Valid]]=TRUE,((Table1[[#This Row],[Birthweight (grams)]]/Table1[[#This Row],[BW_GA]])-1)/(Backend!$B$4/100*Table1[[#This Row],[BW40_3705]]),"")</f>
        <v/>
      </c>
      <c r="H539" s="7" t="str">
        <f>IF(Table1[[#This Row],[Is Data Valid]]=TRUE,((Table1[[#This Row],[Birthweight (grams)]]*0.9/Table1[[#This Row],[BW_GA]])-1)/(Backend!$B$4/100*Table1[[#This Row],[BW40_3705]]),"")</f>
        <v/>
      </c>
      <c r="I539" s="7" t="str">
        <f>IF(Table1[[#This Row],[Is Data Valid]]=TRUE,((Table1[[#This Row],[Birthweight (grams)]]*1.1/Table1[[#This Row],[BW_GA]])-1)/(Backend!$B$4/100*Table1[[#This Row],[BW40_3705]]),"")</f>
        <v/>
      </c>
      <c r="J539" s="7" t="str">
        <f>IF(Table1[[#This Row],[Is Data Valid]]=TRUE,_xlfn.NORM.S.DIST(Table1[[#This Row],[Birthweight Z-Score]],TRUE)*100,"")</f>
        <v/>
      </c>
      <c r="K539" s="7" t="str">
        <f>IF(Table1[[#This Row],[Is Data Valid]]=TRUE,_xlfn.NORM.S.DIST(Table1[[#This Row],[Birthweight Z-Score (BW-10%)]],TRUE)*100,"")</f>
        <v/>
      </c>
      <c r="L539" s="7" t="str">
        <f>IF(Table1[[#This Row],[Is Data Valid]]=TRUE,_xlfn.NORM.S.DIST(Table1[[#This Row],[Birthweight Z-Score (BW+10%)]],TRUE)*100,"")</f>
        <v/>
      </c>
    </row>
    <row r="540" spans="1:12" x14ac:dyDescent="0.35">
      <c r="A540" s="3"/>
      <c r="B540" s="2"/>
      <c r="C540" s="2"/>
      <c r="D540" s="2" t="b">
        <f>IF(AND(NOT(ISBLANK(Table1[[#This Row],[Fetal Sex (Male, Female or Unknown)]])),ISNUMBER(Table1[[#This Row],[Birthweight (grams)]]),ISNUMBER(Table1[[#This Row],[Gestation (days)]])),TRUE,FALSE)</f>
        <v>0</v>
      </c>
      <c r="E540" s="2" t="str">
        <f>IF(Table1[[#This Row],[Is Data Valid]]=TRUE,IF(Table1[[#This Row],[Fetal Sex (Male, Female or Unknown)]]="Male",Backend!$C$6,IF(Table1[[#This Row],[Fetal Sex (Male, Female or Unknown)]]="Female",Backend!$C$7,IF(Table1[[#This Row],[Fetal Sex (Male, Female or Unknown)]]="Unknown",Backend!$C$8,"Error"))),"")</f>
        <v/>
      </c>
      <c r="F540" s="8" t="str">
        <f>IF(Table1[[#This Row],[Is Data Valid]]=TRUE,EXP(0.578+0.332*((Table1[[#This Row],[Gestation (days)]]+0.5)/7)-0.00354*((Table1[[#This Row],[Gestation (days)]]+0.5)/7)^2)*Table1[[#This Row],[BW40_3705]],"")</f>
        <v/>
      </c>
      <c r="G540" s="2" t="str">
        <f>IF(Table1[[#This Row],[Is Data Valid]]=TRUE,((Table1[[#This Row],[Birthweight (grams)]]/Table1[[#This Row],[BW_GA]])-1)/(Backend!$B$4/100*Table1[[#This Row],[BW40_3705]]),"")</f>
        <v/>
      </c>
      <c r="H540" s="7" t="str">
        <f>IF(Table1[[#This Row],[Is Data Valid]]=TRUE,((Table1[[#This Row],[Birthweight (grams)]]*0.9/Table1[[#This Row],[BW_GA]])-1)/(Backend!$B$4/100*Table1[[#This Row],[BW40_3705]]),"")</f>
        <v/>
      </c>
      <c r="I540" s="7" t="str">
        <f>IF(Table1[[#This Row],[Is Data Valid]]=TRUE,((Table1[[#This Row],[Birthweight (grams)]]*1.1/Table1[[#This Row],[BW_GA]])-1)/(Backend!$B$4/100*Table1[[#This Row],[BW40_3705]]),"")</f>
        <v/>
      </c>
      <c r="J540" s="7" t="str">
        <f>IF(Table1[[#This Row],[Is Data Valid]]=TRUE,_xlfn.NORM.S.DIST(Table1[[#This Row],[Birthweight Z-Score]],TRUE)*100,"")</f>
        <v/>
      </c>
      <c r="K540" s="7" t="str">
        <f>IF(Table1[[#This Row],[Is Data Valid]]=TRUE,_xlfn.NORM.S.DIST(Table1[[#This Row],[Birthweight Z-Score (BW-10%)]],TRUE)*100,"")</f>
        <v/>
      </c>
      <c r="L540" s="7" t="str">
        <f>IF(Table1[[#This Row],[Is Data Valid]]=TRUE,_xlfn.NORM.S.DIST(Table1[[#This Row],[Birthweight Z-Score (BW+10%)]],TRUE)*100,"")</f>
        <v/>
      </c>
    </row>
    <row r="541" spans="1:12" x14ac:dyDescent="0.35">
      <c r="A541" s="3"/>
      <c r="B541" s="2"/>
      <c r="C541" s="2"/>
      <c r="D541" s="2" t="b">
        <f>IF(AND(NOT(ISBLANK(Table1[[#This Row],[Fetal Sex (Male, Female or Unknown)]])),ISNUMBER(Table1[[#This Row],[Birthweight (grams)]]),ISNUMBER(Table1[[#This Row],[Gestation (days)]])),TRUE,FALSE)</f>
        <v>0</v>
      </c>
      <c r="E541" s="2" t="str">
        <f>IF(Table1[[#This Row],[Is Data Valid]]=TRUE,IF(Table1[[#This Row],[Fetal Sex (Male, Female or Unknown)]]="Male",Backend!$C$6,IF(Table1[[#This Row],[Fetal Sex (Male, Female or Unknown)]]="Female",Backend!$C$7,IF(Table1[[#This Row],[Fetal Sex (Male, Female or Unknown)]]="Unknown",Backend!$C$8,"Error"))),"")</f>
        <v/>
      </c>
      <c r="F541" s="8" t="str">
        <f>IF(Table1[[#This Row],[Is Data Valid]]=TRUE,EXP(0.578+0.332*((Table1[[#This Row],[Gestation (days)]]+0.5)/7)-0.00354*((Table1[[#This Row],[Gestation (days)]]+0.5)/7)^2)*Table1[[#This Row],[BW40_3705]],"")</f>
        <v/>
      </c>
      <c r="G541" s="2" t="str">
        <f>IF(Table1[[#This Row],[Is Data Valid]]=TRUE,((Table1[[#This Row],[Birthweight (grams)]]/Table1[[#This Row],[BW_GA]])-1)/(Backend!$B$4/100*Table1[[#This Row],[BW40_3705]]),"")</f>
        <v/>
      </c>
      <c r="H541" s="7" t="str">
        <f>IF(Table1[[#This Row],[Is Data Valid]]=TRUE,((Table1[[#This Row],[Birthweight (grams)]]*0.9/Table1[[#This Row],[BW_GA]])-1)/(Backend!$B$4/100*Table1[[#This Row],[BW40_3705]]),"")</f>
        <v/>
      </c>
      <c r="I541" s="7" t="str">
        <f>IF(Table1[[#This Row],[Is Data Valid]]=TRUE,((Table1[[#This Row],[Birthweight (grams)]]*1.1/Table1[[#This Row],[BW_GA]])-1)/(Backend!$B$4/100*Table1[[#This Row],[BW40_3705]]),"")</f>
        <v/>
      </c>
      <c r="J541" s="7" t="str">
        <f>IF(Table1[[#This Row],[Is Data Valid]]=TRUE,_xlfn.NORM.S.DIST(Table1[[#This Row],[Birthweight Z-Score]],TRUE)*100,"")</f>
        <v/>
      </c>
      <c r="K541" s="7" t="str">
        <f>IF(Table1[[#This Row],[Is Data Valid]]=TRUE,_xlfn.NORM.S.DIST(Table1[[#This Row],[Birthweight Z-Score (BW-10%)]],TRUE)*100,"")</f>
        <v/>
      </c>
      <c r="L541" s="7" t="str">
        <f>IF(Table1[[#This Row],[Is Data Valid]]=TRUE,_xlfn.NORM.S.DIST(Table1[[#This Row],[Birthweight Z-Score (BW+10%)]],TRUE)*100,"")</f>
        <v/>
      </c>
    </row>
    <row r="542" spans="1:12" x14ac:dyDescent="0.35">
      <c r="A542" s="3"/>
      <c r="B542" s="2"/>
      <c r="C542" s="2"/>
      <c r="D542" s="2" t="b">
        <f>IF(AND(NOT(ISBLANK(Table1[[#This Row],[Fetal Sex (Male, Female or Unknown)]])),ISNUMBER(Table1[[#This Row],[Birthweight (grams)]]),ISNUMBER(Table1[[#This Row],[Gestation (days)]])),TRUE,FALSE)</f>
        <v>0</v>
      </c>
      <c r="E542" s="2" t="str">
        <f>IF(Table1[[#This Row],[Is Data Valid]]=TRUE,IF(Table1[[#This Row],[Fetal Sex (Male, Female or Unknown)]]="Male",Backend!$C$6,IF(Table1[[#This Row],[Fetal Sex (Male, Female or Unknown)]]="Female",Backend!$C$7,IF(Table1[[#This Row],[Fetal Sex (Male, Female or Unknown)]]="Unknown",Backend!$C$8,"Error"))),"")</f>
        <v/>
      </c>
      <c r="F542" s="8" t="str">
        <f>IF(Table1[[#This Row],[Is Data Valid]]=TRUE,EXP(0.578+0.332*((Table1[[#This Row],[Gestation (days)]]+0.5)/7)-0.00354*((Table1[[#This Row],[Gestation (days)]]+0.5)/7)^2)*Table1[[#This Row],[BW40_3705]],"")</f>
        <v/>
      </c>
      <c r="G542" s="2" t="str">
        <f>IF(Table1[[#This Row],[Is Data Valid]]=TRUE,((Table1[[#This Row],[Birthweight (grams)]]/Table1[[#This Row],[BW_GA]])-1)/(Backend!$B$4/100*Table1[[#This Row],[BW40_3705]]),"")</f>
        <v/>
      </c>
      <c r="H542" s="7" t="str">
        <f>IF(Table1[[#This Row],[Is Data Valid]]=TRUE,((Table1[[#This Row],[Birthweight (grams)]]*0.9/Table1[[#This Row],[BW_GA]])-1)/(Backend!$B$4/100*Table1[[#This Row],[BW40_3705]]),"")</f>
        <v/>
      </c>
      <c r="I542" s="7" t="str">
        <f>IF(Table1[[#This Row],[Is Data Valid]]=TRUE,((Table1[[#This Row],[Birthweight (grams)]]*1.1/Table1[[#This Row],[BW_GA]])-1)/(Backend!$B$4/100*Table1[[#This Row],[BW40_3705]]),"")</f>
        <v/>
      </c>
      <c r="J542" s="7" t="str">
        <f>IF(Table1[[#This Row],[Is Data Valid]]=TRUE,_xlfn.NORM.S.DIST(Table1[[#This Row],[Birthweight Z-Score]],TRUE)*100,"")</f>
        <v/>
      </c>
      <c r="K542" s="7" t="str">
        <f>IF(Table1[[#This Row],[Is Data Valid]]=TRUE,_xlfn.NORM.S.DIST(Table1[[#This Row],[Birthweight Z-Score (BW-10%)]],TRUE)*100,"")</f>
        <v/>
      </c>
      <c r="L542" s="7" t="str">
        <f>IF(Table1[[#This Row],[Is Data Valid]]=TRUE,_xlfn.NORM.S.DIST(Table1[[#This Row],[Birthweight Z-Score (BW+10%)]],TRUE)*100,"")</f>
        <v/>
      </c>
    </row>
    <row r="543" spans="1:12" x14ac:dyDescent="0.35">
      <c r="A543" s="3"/>
      <c r="B543" s="2"/>
      <c r="C543" s="2"/>
      <c r="D543" s="2" t="b">
        <f>IF(AND(NOT(ISBLANK(Table1[[#This Row],[Fetal Sex (Male, Female or Unknown)]])),ISNUMBER(Table1[[#This Row],[Birthweight (grams)]]),ISNUMBER(Table1[[#This Row],[Gestation (days)]])),TRUE,FALSE)</f>
        <v>0</v>
      </c>
      <c r="E543" s="2" t="str">
        <f>IF(Table1[[#This Row],[Is Data Valid]]=TRUE,IF(Table1[[#This Row],[Fetal Sex (Male, Female or Unknown)]]="Male",Backend!$C$6,IF(Table1[[#This Row],[Fetal Sex (Male, Female or Unknown)]]="Female",Backend!$C$7,IF(Table1[[#This Row],[Fetal Sex (Male, Female or Unknown)]]="Unknown",Backend!$C$8,"Error"))),"")</f>
        <v/>
      </c>
      <c r="F543" s="8" t="str">
        <f>IF(Table1[[#This Row],[Is Data Valid]]=TRUE,EXP(0.578+0.332*((Table1[[#This Row],[Gestation (days)]]+0.5)/7)-0.00354*((Table1[[#This Row],[Gestation (days)]]+0.5)/7)^2)*Table1[[#This Row],[BW40_3705]],"")</f>
        <v/>
      </c>
      <c r="G543" s="2" t="str">
        <f>IF(Table1[[#This Row],[Is Data Valid]]=TRUE,((Table1[[#This Row],[Birthweight (grams)]]/Table1[[#This Row],[BW_GA]])-1)/(Backend!$B$4/100*Table1[[#This Row],[BW40_3705]]),"")</f>
        <v/>
      </c>
      <c r="H543" s="7" t="str">
        <f>IF(Table1[[#This Row],[Is Data Valid]]=TRUE,((Table1[[#This Row],[Birthweight (grams)]]*0.9/Table1[[#This Row],[BW_GA]])-1)/(Backend!$B$4/100*Table1[[#This Row],[BW40_3705]]),"")</f>
        <v/>
      </c>
      <c r="I543" s="7" t="str">
        <f>IF(Table1[[#This Row],[Is Data Valid]]=TRUE,((Table1[[#This Row],[Birthweight (grams)]]*1.1/Table1[[#This Row],[BW_GA]])-1)/(Backend!$B$4/100*Table1[[#This Row],[BW40_3705]]),"")</f>
        <v/>
      </c>
      <c r="J543" s="7" t="str">
        <f>IF(Table1[[#This Row],[Is Data Valid]]=TRUE,_xlfn.NORM.S.DIST(Table1[[#This Row],[Birthweight Z-Score]],TRUE)*100,"")</f>
        <v/>
      </c>
      <c r="K543" s="7" t="str">
        <f>IF(Table1[[#This Row],[Is Data Valid]]=TRUE,_xlfn.NORM.S.DIST(Table1[[#This Row],[Birthweight Z-Score (BW-10%)]],TRUE)*100,"")</f>
        <v/>
      </c>
      <c r="L543" s="7" t="str">
        <f>IF(Table1[[#This Row],[Is Data Valid]]=TRUE,_xlfn.NORM.S.DIST(Table1[[#This Row],[Birthweight Z-Score (BW+10%)]],TRUE)*100,"")</f>
        <v/>
      </c>
    </row>
    <row r="544" spans="1:12" x14ac:dyDescent="0.35">
      <c r="A544" s="3"/>
      <c r="B544" s="2"/>
      <c r="C544" s="2"/>
      <c r="D544" s="2" t="b">
        <f>IF(AND(NOT(ISBLANK(Table1[[#This Row],[Fetal Sex (Male, Female or Unknown)]])),ISNUMBER(Table1[[#This Row],[Birthweight (grams)]]),ISNUMBER(Table1[[#This Row],[Gestation (days)]])),TRUE,FALSE)</f>
        <v>0</v>
      </c>
      <c r="E544" s="2" t="str">
        <f>IF(Table1[[#This Row],[Is Data Valid]]=TRUE,IF(Table1[[#This Row],[Fetal Sex (Male, Female or Unknown)]]="Male",Backend!$C$6,IF(Table1[[#This Row],[Fetal Sex (Male, Female or Unknown)]]="Female",Backend!$C$7,IF(Table1[[#This Row],[Fetal Sex (Male, Female or Unknown)]]="Unknown",Backend!$C$8,"Error"))),"")</f>
        <v/>
      </c>
      <c r="F544" s="8" t="str">
        <f>IF(Table1[[#This Row],[Is Data Valid]]=TRUE,EXP(0.578+0.332*((Table1[[#This Row],[Gestation (days)]]+0.5)/7)-0.00354*((Table1[[#This Row],[Gestation (days)]]+0.5)/7)^2)*Table1[[#This Row],[BW40_3705]],"")</f>
        <v/>
      </c>
      <c r="G544" s="2" t="str">
        <f>IF(Table1[[#This Row],[Is Data Valid]]=TRUE,((Table1[[#This Row],[Birthweight (grams)]]/Table1[[#This Row],[BW_GA]])-1)/(Backend!$B$4/100*Table1[[#This Row],[BW40_3705]]),"")</f>
        <v/>
      </c>
      <c r="H544" s="7" t="str">
        <f>IF(Table1[[#This Row],[Is Data Valid]]=TRUE,((Table1[[#This Row],[Birthweight (grams)]]*0.9/Table1[[#This Row],[BW_GA]])-1)/(Backend!$B$4/100*Table1[[#This Row],[BW40_3705]]),"")</f>
        <v/>
      </c>
      <c r="I544" s="7" t="str">
        <f>IF(Table1[[#This Row],[Is Data Valid]]=TRUE,((Table1[[#This Row],[Birthweight (grams)]]*1.1/Table1[[#This Row],[BW_GA]])-1)/(Backend!$B$4/100*Table1[[#This Row],[BW40_3705]]),"")</f>
        <v/>
      </c>
      <c r="J544" s="7" t="str">
        <f>IF(Table1[[#This Row],[Is Data Valid]]=TRUE,_xlfn.NORM.S.DIST(Table1[[#This Row],[Birthweight Z-Score]],TRUE)*100,"")</f>
        <v/>
      </c>
      <c r="K544" s="7" t="str">
        <f>IF(Table1[[#This Row],[Is Data Valid]]=TRUE,_xlfn.NORM.S.DIST(Table1[[#This Row],[Birthweight Z-Score (BW-10%)]],TRUE)*100,"")</f>
        <v/>
      </c>
      <c r="L544" s="7" t="str">
        <f>IF(Table1[[#This Row],[Is Data Valid]]=TRUE,_xlfn.NORM.S.DIST(Table1[[#This Row],[Birthweight Z-Score (BW+10%)]],TRUE)*100,"")</f>
        <v/>
      </c>
    </row>
    <row r="545" spans="1:12" x14ac:dyDescent="0.35">
      <c r="A545" s="3"/>
      <c r="B545" s="2"/>
      <c r="C545" s="2"/>
      <c r="D545" s="2" t="b">
        <f>IF(AND(NOT(ISBLANK(Table1[[#This Row],[Fetal Sex (Male, Female or Unknown)]])),ISNUMBER(Table1[[#This Row],[Birthweight (grams)]]),ISNUMBER(Table1[[#This Row],[Gestation (days)]])),TRUE,FALSE)</f>
        <v>0</v>
      </c>
      <c r="E545" s="2" t="str">
        <f>IF(Table1[[#This Row],[Is Data Valid]]=TRUE,IF(Table1[[#This Row],[Fetal Sex (Male, Female or Unknown)]]="Male",Backend!$C$6,IF(Table1[[#This Row],[Fetal Sex (Male, Female or Unknown)]]="Female",Backend!$C$7,IF(Table1[[#This Row],[Fetal Sex (Male, Female or Unknown)]]="Unknown",Backend!$C$8,"Error"))),"")</f>
        <v/>
      </c>
      <c r="F545" s="8" t="str">
        <f>IF(Table1[[#This Row],[Is Data Valid]]=TRUE,EXP(0.578+0.332*((Table1[[#This Row],[Gestation (days)]]+0.5)/7)-0.00354*((Table1[[#This Row],[Gestation (days)]]+0.5)/7)^2)*Table1[[#This Row],[BW40_3705]],"")</f>
        <v/>
      </c>
      <c r="G545" s="2" t="str">
        <f>IF(Table1[[#This Row],[Is Data Valid]]=TRUE,((Table1[[#This Row],[Birthweight (grams)]]/Table1[[#This Row],[BW_GA]])-1)/(Backend!$B$4/100*Table1[[#This Row],[BW40_3705]]),"")</f>
        <v/>
      </c>
      <c r="H545" s="7" t="str">
        <f>IF(Table1[[#This Row],[Is Data Valid]]=TRUE,((Table1[[#This Row],[Birthweight (grams)]]*0.9/Table1[[#This Row],[BW_GA]])-1)/(Backend!$B$4/100*Table1[[#This Row],[BW40_3705]]),"")</f>
        <v/>
      </c>
      <c r="I545" s="7" t="str">
        <f>IF(Table1[[#This Row],[Is Data Valid]]=TRUE,((Table1[[#This Row],[Birthweight (grams)]]*1.1/Table1[[#This Row],[BW_GA]])-1)/(Backend!$B$4/100*Table1[[#This Row],[BW40_3705]]),"")</f>
        <v/>
      </c>
      <c r="J545" s="7" t="str">
        <f>IF(Table1[[#This Row],[Is Data Valid]]=TRUE,_xlfn.NORM.S.DIST(Table1[[#This Row],[Birthweight Z-Score]],TRUE)*100,"")</f>
        <v/>
      </c>
      <c r="K545" s="7" t="str">
        <f>IF(Table1[[#This Row],[Is Data Valid]]=TRUE,_xlfn.NORM.S.DIST(Table1[[#This Row],[Birthweight Z-Score (BW-10%)]],TRUE)*100,"")</f>
        <v/>
      </c>
      <c r="L545" s="7" t="str">
        <f>IF(Table1[[#This Row],[Is Data Valid]]=TRUE,_xlfn.NORM.S.DIST(Table1[[#This Row],[Birthweight Z-Score (BW+10%)]],TRUE)*100,"")</f>
        <v/>
      </c>
    </row>
    <row r="546" spans="1:12" x14ac:dyDescent="0.35">
      <c r="A546" s="3"/>
      <c r="B546" s="2"/>
      <c r="C546" s="2"/>
      <c r="D546" s="2" t="b">
        <f>IF(AND(NOT(ISBLANK(Table1[[#This Row],[Fetal Sex (Male, Female or Unknown)]])),ISNUMBER(Table1[[#This Row],[Birthweight (grams)]]),ISNUMBER(Table1[[#This Row],[Gestation (days)]])),TRUE,FALSE)</f>
        <v>0</v>
      </c>
      <c r="E546" s="2" t="str">
        <f>IF(Table1[[#This Row],[Is Data Valid]]=TRUE,IF(Table1[[#This Row],[Fetal Sex (Male, Female or Unknown)]]="Male",Backend!$C$6,IF(Table1[[#This Row],[Fetal Sex (Male, Female or Unknown)]]="Female",Backend!$C$7,IF(Table1[[#This Row],[Fetal Sex (Male, Female or Unknown)]]="Unknown",Backend!$C$8,"Error"))),"")</f>
        <v/>
      </c>
      <c r="F546" s="8" t="str">
        <f>IF(Table1[[#This Row],[Is Data Valid]]=TRUE,EXP(0.578+0.332*((Table1[[#This Row],[Gestation (days)]]+0.5)/7)-0.00354*((Table1[[#This Row],[Gestation (days)]]+0.5)/7)^2)*Table1[[#This Row],[BW40_3705]],"")</f>
        <v/>
      </c>
      <c r="G546" s="2" t="str">
        <f>IF(Table1[[#This Row],[Is Data Valid]]=TRUE,((Table1[[#This Row],[Birthweight (grams)]]/Table1[[#This Row],[BW_GA]])-1)/(Backend!$B$4/100*Table1[[#This Row],[BW40_3705]]),"")</f>
        <v/>
      </c>
      <c r="H546" s="7" t="str">
        <f>IF(Table1[[#This Row],[Is Data Valid]]=TRUE,((Table1[[#This Row],[Birthweight (grams)]]*0.9/Table1[[#This Row],[BW_GA]])-1)/(Backend!$B$4/100*Table1[[#This Row],[BW40_3705]]),"")</f>
        <v/>
      </c>
      <c r="I546" s="7" t="str">
        <f>IF(Table1[[#This Row],[Is Data Valid]]=TRUE,((Table1[[#This Row],[Birthweight (grams)]]*1.1/Table1[[#This Row],[BW_GA]])-1)/(Backend!$B$4/100*Table1[[#This Row],[BW40_3705]]),"")</f>
        <v/>
      </c>
      <c r="J546" s="7" t="str">
        <f>IF(Table1[[#This Row],[Is Data Valid]]=TRUE,_xlfn.NORM.S.DIST(Table1[[#This Row],[Birthweight Z-Score]],TRUE)*100,"")</f>
        <v/>
      </c>
      <c r="K546" s="7" t="str">
        <f>IF(Table1[[#This Row],[Is Data Valid]]=TRUE,_xlfn.NORM.S.DIST(Table1[[#This Row],[Birthweight Z-Score (BW-10%)]],TRUE)*100,"")</f>
        <v/>
      </c>
      <c r="L546" s="7" t="str">
        <f>IF(Table1[[#This Row],[Is Data Valid]]=TRUE,_xlfn.NORM.S.DIST(Table1[[#This Row],[Birthweight Z-Score (BW+10%)]],TRUE)*100,"")</f>
        <v/>
      </c>
    </row>
    <row r="547" spans="1:12" x14ac:dyDescent="0.35">
      <c r="A547" s="3"/>
      <c r="B547" s="2"/>
      <c r="C547" s="2"/>
      <c r="D547" s="2" t="b">
        <f>IF(AND(NOT(ISBLANK(Table1[[#This Row],[Fetal Sex (Male, Female or Unknown)]])),ISNUMBER(Table1[[#This Row],[Birthweight (grams)]]),ISNUMBER(Table1[[#This Row],[Gestation (days)]])),TRUE,FALSE)</f>
        <v>0</v>
      </c>
      <c r="E547" s="2" t="str">
        <f>IF(Table1[[#This Row],[Is Data Valid]]=TRUE,IF(Table1[[#This Row],[Fetal Sex (Male, Female or Unknown)]]="Male",Backend!$C$6,IF(Table1[[#This Row],[Fetal Sex (Male, Female or Unknown)]]="Female",Backend!$C$7,IF(Table1[[#This Row],[Fetal Sex (Male, Female or Unknown)]]="Unknown",Backend!$C$8,"Error"))),"")</f>
        <v/>
      </c>
      <c r="F547" s="8" t="str">
        <f>IF(Table1[[#This Row],[Is Data Valid]]=TRUE,EXP(0.578+0.332*((Table1[[#This Row],[Gestation (days)]]+0.5)/7)-0.00354*((Table1[[#This Row],[Gestation (days)]]+0.5)/7)^2)*Table1[[#This Row],[BW40_3705]],"")</f>
        <v/>
      </c>
      <c r="G547" s="2" t="str">
        <f>IF(Table1[[#This Row],[Is Data Valid]]=TRUE,((Table1[[#This Row],[Birthweight (grams)]]/Table1[[#This Row],[BW_GA]])-1)/(Backend!$B$4/100*Table1[[#This Row],[BW40_3705]]),"")</f>
        <v/>
      </c>
      <c r="H547" s="7" t="str">
        <f>IF(Table1[[#This Row],[Is Data Valid]]=TRUE,((Table1[[#This Row],[Birthweight (grams)]]*0.9/Table1[[#This Row],[BW_GA]])-1)/(Backend!$B$4/100*Table1[[#This Row],[BW40_3705]]),"")</f>
        <v/>
      </c>
      <c r="I547" s="7" t="str">
        <f>IF(Table1[[#This Row],[Is Data Valid]]=TRUE,((Table1[[#This Row],[Birthweight (grams)]]*1.1/Table1[[#This Row],[BW_GA]])-1)/(Backend!$B$4/100*Table1[[#This Row],[BW40_3705]]),"")</f>
        <v/>
      </c>
      <c r="J547" s="7" t="str">
        <f>IF(Table1[[#This Row],[Is Data Valid]]=TRUE,_xlfn.NORM.S.DIST(Table1[[#This Row],[Birthweight Z-Score]],TRUE)*100,"")</f>
        <v/>
      </c>
      <c r="K547" s="7" t="str">
        <f>IF(Table1[[#This Row],[Is Data Valid]]=TRUE,_xlfn.NORM.S.DIST(Table1[[#This Row],[Birthweight Z-Score (BW-10%)]],TRUE)*100,"")</f>
        <v/>
      </c>
      <c r="L547" s="7" t="str">
        <f>IF(Table1[[#This Row],[Is Data Valid]]=TRUE,_xlfn.NORM.S.DIST(Table1[[#This Row],[Birthweight Z-Score (BW+10%)]],TRUE)*100,"")</f>
        <v/>
      </c>
    </row>
    <row r="548" spans="1:12" x14ac:dyDescent="0.35">
      <c r="A548" s="3"/>
      <c r="B548" s="2"/>
      <c r="C548" s="2"/>
      <c r="D548" s="2" t="b">
        <f>IF(AND(NOT(ISBLANK(Table1[[#This Row],[Fetal Sex (Male, Female or Unknown)]])),ISNUMBER(Table1[[#This Row],[Birthweight (grams)]]),ISNUMBER(Table1[[#This Row],[Gestation (days)]])),TRUE,FALSE)</f>
        <v>0</v>
      </c>
      <c r="E548" s="2" t="str">
        <f>IF(Table1[[#This Row],[Is Data Valid]]=TRUE,IF(Table1[[#This Row],[Fetal Sex (Male, Female or Unknown)]]="Male",Backend!$C$6,IF(Table1[[#This Row],[Fetal Sex (Male, Female or Unknown)]]="Female",Backend!$C$7,IF(Table1[[#This Row],[Fetal Sex (Male, Female or Unknown)]]="Unknown",Backend!$C$8,"Error"))),"")</f>
        <v/>
      </c>
      <c r="F548" s="8" t="str">
        <f>IF(Table1[[#This Row],[Is Data Valid]]=TRUE,EXP(0.578+0.332*((Table1[[#This Row],[Gestation (days)]]+0.5)/7)-0.00354*((Table1[[#This Row],[Gestation (days)]]+0.5)/7)^2)*Table1[[#This Row],[BW40_3705]],"")</f>
        <v/>
      </c>
      <c r="G548" s="2" t="str">
        <f>IF(Table1[[#This Row],[Is Data Valid]]=TRUE,((Table1[[#This Row],[Birthweight (grams)]]/Table1[[#This Row],[BW_GA]])-1)/(Backend!$B$4/100*Table1[[#This Row],[BW40_3705]]),"")</f>
        <v/>
      </c>
      <c r="H548" s="7" t="str">
        <f>IF(Table1[[#This Row],[Is Data Valid]]=TRUE,((Table1[[#This Row],[Birthweight (grams)]]*0.9/Table1[[#This Row],[BW_GA]])-1)/(Backend!$B$4/100*Table1[[#This Row],[BW40_3705]]),"")</f>
        <v/>
      </c>
      <c r="I548" s="7" t="str">
        <f>IF(Table1[[#This Row],[Is Data Valid]]=TRUE,((Table1[[#This Row],[Birthweight (grams)]]*1.1/Table1[[#This Row],[BW_GA]])-1)/(Backend!$B$4/100*Table1[[#This Row],[BW40_3705]]),"")</f>
        <v/>
      </c>
      <c r="J548" s="7" t="str">
        <f>IF(Table1[[#This Row],[Is Data Valid]]=TRUE,_xlfn.NORM.S.DIST(Table1[[#This Row],[Birthweight Z-Score]],TRUE)*100,"")</f>
        <v/>
      </c>
      <c r="K548" s="7" t="str">
        <f>IF(Table1[[#This Row],[Is Data Valid]]=TRUE,_xlfn.NORM.S.DIST(Table1[[#This Row],[Birthweight Z-Score (BW-10%)]],TRUE)*100,"")</f>
        <v/>
      </c>
      <c r="L548" s="7" t="str">
        <f>IF(Table1[[#This Row],[Is Data Valid]]=TRUE,_xlfn.NORM.S.DIST(Table1[[#This Row],[Birthweight Z-Score (BW+10%)]],TRUE)*100,"")</f>
        <v/>
      </c>
    </row>
    <row r="549" spans="1:12" x14ac:dyDescent="0.35">
      <c r="A549" s="3"/>
      <c r="B549" s="2"/>
      <c r="C549" s="2"/>
      <c r="D549" s="2" t="b">
        <f>IF(AND(NOT(ISBLANK(Table1[[#This Row],[Fetal Sex (Male, Female or Unknown)]])),ISNUMBER(Table1[[#This Row],[Birthweight (grams)]]),ISNUMBER(Table1[[#This Row],[Gestation (days)]])),TRUE,FALSE)</f>
        <v>0</v>
      </c>
      <c r="E549" s="2" t="str">
        <f>IF(Table1[[#This Row],[Is Data Valid]]=TRUE,IF(Table1[[#This Row],[Fetal Sex (Male, Female or Unknown)]]="Male",Backend!$C$6,IF(Table1[[#This Row],[Fetal Sex (Male, Female or Unknown)]]="Female",Backend!$C$7,IF(Table1[[#This Row],[Fetal Sex (Male, Female or Unknown)]]="Unknown",Backend!$C$8,"Error"))),"")</f>
        <v/>
      </c>
      <c r="F549" s="8" t="str">
        <f>IF(Table1[[#This Row],[Is Data Valid]]=TRUE,EXP(0.578+0.332*((Table1[[#This Row],[Gestation (days)]]+0.5)/7)-0.00354*((Table1[[#This Row],[Gestation (days)]]+0.5)/7)^2)*Table1[[#This Row],[BW40_3705]],"")</f>
        <v/>
      </c>
      <c r="G549" s="2" t="str">
        <f>IF(Table1[[#This Row],[Is Data Valid]]=TRUE,((Table1[[#This Row],[Birthweight (grams)]]/Table1[[#This Row],[BW_GA]])-1)/(Backend!$B$4/100*Table1[[#This Row],[BW40_3705]]),"")</f>
        <v/>
      </c>
      <c r="H549" s="7" t="str">
        <f>IF(Table1[[#This Row],[Is Data Valid]]=TRUE,((Table1[[#This Row],[Birthweight (grams)]]*0.9/Table1[[#This Row],[BW_GA]])-1)/(Backend!$B$4/100*Table1[[#This Row],[BW40_3705]]),"")</f>
        <v/>
      </c>
      <c r="I549" s="7" t="str">
        <f>IF(Table1[[#This Row],[Is Data Valid]]=TRUE,((Table1[[#This Row],[Birthweight (grams)]]*1.1/Table1[[#This Row],[BW_GA]])-1)/(Backend!$B$4/100*Table1[[#This Row],[BW40_3705]]),"")</f>
        <v/>
      </c>
      <c r="J549" s="7" t="str">
        <f>IF(Table1[[#This Row],[Is Data Valid]]=TRUE,_xlfn.NORM.S.DIST(Table1[[#This Row],[Birthweight Z-Score]],TRUE)*100,"")</f>
        <v/>
      </c>
      <c r="K549" s="7" t="str">
        <f>IF(Table1[[#This Row],[Is Data Valid]]=TRUE,_xlfn.NORM.S.DIST(Table1[[#This Row],[Birthweight Z-Score (BW-10%)]],TRUE)*100,"")</f>
        <v/>
      </c>
      <c r="L549" s="7" t="str">
        <f>IF(Table1[[#This Row],[Is Data Valid]]=TRUE,_xlfn.NORM.S.DIST(Table1[[#This Row],[Birthweight Z-Score (BW+10%)]],TRUE)*100,"")</f>
        <v/>
      </c>
    </row>
    <row r="550" spans="1:12" x14ac:dyDescent="0.35">
      <c r="A550" s="3"/>
      <c r="B550" s="2"/>
      <c r="C550" s="2"/>
      <c r="D550" s="2" t="b">
        <f>IF(AND(NOT(ISBLANK(Table1[[#This Row],[Fetal Sex (Male, Female or Unknown)]])),ISNUMBER(Table1[[#This Row],[Birthweight (grams)]]),ISNUMBER(Table1[[#This Row],[Gestation (days)]])),TRUE,FALSE)</f>
        <v>0</v>
      </c>
      <c r="E550" s="2" t="str">
        <f>IF(Table1[[#This Row],[Is Data Valid]]=TRUE,IF(Table1[[#This Row],[Fetal Sex (Male, Female or Unknown)]]="Male",Backend!$C$6,IF(Table1[[#This Row],[Fetal Sex (Male, Female or Unknown)]]="Female",Backend!$C$7,IF(Table1[[#This Row],[Fetal Sex (Male, Female or Unknown)]]="Unknown",Backend!$C$8,"Error"))),"")</f>
        <v/>
      </c>
      <c r="F550" s="8" t="str">
        <f>IF(Table1[[#This Row],[Is Data Valid]]=TRUE,EXP(0.578+0.332*((Table1[[#This Row],[Gestation (days)]]+0.5)/7)-0.00354*((Table1[[#This Row],[Gestation (days)]]+0.5)/7)^2)*Table1[[#This Row],[BW40_3705]],"")</f>
        <v/>
      </c>
      <c r="G550" s="2" t="str">
        <f>IF(Table1[[#This Row],[Is Data Valid]]=TRUE,((Table1[[#This Row],[Birthweight (grams)]]/Table1[[#This Row],[BW_GA]])-1)/(Backend!$B$4/100*Table1[[#This Row],[BW40_3705]]),"")</f>
        <v/>
      </c>
      <c r="H550" s="7" t="str">
        <f>IF(Table1[[#This Row],[Is Data Valid]]=TRUE,((Table1[[#This Row],[Birthweight (grams)]]*0.9/Table1[[#This Row],[BW_GA]])-1)/(Backend!$B$4/100*Table1[[#This Row],[BW40_3705]]),"")</f>
        <v/>
      </c>
      <c r="I550" s="7" t="str">
        <f>IF(Table1[[#This Row],[Is Data Valid]]=TRUE,((Table1[[#This Row],[Birthweight (grams)]]*1.1/Table1[[#This Row],[BW_GA]])-1)/(Backend!$B$4/100*Table1[[#This Row],[BW40_3705]]),"")</f>
        <v/>
      </c>
      <c r="J550" s="7" t="str">
        <f>IF(Table1[[#This Row],[Is Data Valid]]=TRUE,_xlfn.NORM.S.DIST(Table1[[#This Row],[Birthweight Z-Score]],TRUE)*100,"")</f>
        <v/>
      </c>
      <c r="K550" s="7" t="str">
        <f>IF(Table1[[#This Row],[Is Data Valid]]=TRUE,_xlfn.NORM.S.DIST(Table1[[#This Row],[Birthweight Z-Score (BW-10%)]],TRUE)*100,"")</f>
        <v/>
      </c>
      <c r="L550" s="7" t="str">
        <f>IF(Table1[[#This Row],[Is Data Valid]]=TRUE,_xlfn.NORM.S.DIST(Table1[[#This Row],[Birthweight Z-Score (BW+10%)]],TRUE)*100,"")</f>
        <v/>
      </c>
    </row>
    <row r="551" spans="1:12" x14ac:dyDescent="0.35">
      <c r="A551" s="3"/>
      <c r="B551" s="2"/>
      <c r="C551" s="2"/>
      <c r="D551" s="2" t="b">
        <f>IF(AND(NOT(ISBLANK(Table1[[#This Row],[Fetal Sex (Male, Female or Unknown)]])),ISNUMBER(Table1[[#This Row],[Birthweight (grams)]]),ISNUMBER(Table1[[#This Row],[Gestation (days)]])),TRUE,FALSE)</f>
        <v>0</v>
      </c>
      <c r="E551" s="2" t="str">
        <f>IF(Table1[[#This Row],[Is Data Valid]]=TRUE,IF(Table1[[#This Row],[Fetal Sex (Male, Female or Unknown)]]="Male",Backend!$C$6,IF(Table1[[#This Row],[Fetal Sex (Male, Female or Unknown)]]="Female",Backend!$C$7,IF(Table1[[#This Row],[Fetal Sex (Male, Female or Unknown)]]="Unknown",Backend!$C$8,"Error"))),"")</f>
        <v/>
      </c>
      <c r="F551" s="8" t="str">
        <f>IF(Table1[[#This Row],[Is Data Valid]]=TRUE,EXP(0.578+0.332*((Table1[[#This Row],[Gestation (days)]]+0.5)/7)-0.00354*((Table1[[#This Row],[Gestation (days)]]+0.5)/7)^2)*Table1[[#This Row],[BW40_3705]],"")</f>
        <v/>
      </c>
      <c r="G551" s="2" t="str">
        <f>IF(Table1[[#This Row],[Is Data Valid]]=TRUE,((Table1[[#This Row],[Birthweight (grams)]]/Table1[[#This Row],[BW_GA]])-1)/(Backend!$B$4/100*Table1[[#This Row],[BW40_3705]]),"")</f>
        <v/>
      </c>
      <c r="H551" s="7" t="str">
        <f>IF(Table1[[#This Row],[Is Data Valid]]=TRUE,((Table1[[#This Row],[Birthweight (grams)]]*0.9/Table1[[#This Row],[BW_GA]])-1)/(Backend!$B$4/100*Table1[[#This Row],[BW40_3705]]),"")</f>
        <v/>
      </c>
      <c r="I551" s="7" t="str">
        <f>IF(Table1[[#This Row],[Is Data Valid]]=TRUE,((Table1[[#This Row],[Birthweight (grams)]]*1.1/Table1[[#This Row],[BW_GA]])-1)/(Backend!$B$4/100*Table1[[#This Row],[BW40_3705]]),"")</f>
        <v/>
      </c>
      <c r="J551" s="7" t="str">
        <f>IF(Table1[[#This Row],[Is Data Valid]]=TRUE,_xlfn.NORM.S.DIST(Table1[[#This Row],[Birthweight Z-Score]],TRUE)*100,"")</f>
        <v/>
      </c>
      <c r="K551" s="7" t="str">
        <f>IF(Table1[[#This Row],[Is Data Valid]]=TRUE,_xlfn.NORM.S.DIST(Table1[[#This Row],[Birthweight Z-Score (BW-10%)]],TRUE)*100,"")</f>
        <v/>
      </c>
      <c r="L551" s="7" t="str">
        <f>IF(Table1[[#This Row],[Is Data Valid]]=TRUE,_xlfn.NORM.S.DIST(Table1[[#This Row],[Birthweight Z-Score (BW+10%)]],TRUE)*100,"")</f>
        <v/>
      </c>
    </row>
    <row r="552" spans="1:12" x14ac:dyDescent="0.35">
      <c r="A552" s="3"/>
      <c r="B552" s="2"/>
      <c r="C552" s="2"/>
      <c r="D552" s="2" t="b">
        <f>IF(AND(NOT(ISBLANK(Table1[[#This Row],[Fetal Sex (Male, Female or Unknown)]])),ISNUMBER(Table1[[#This Row],[Birthweight (grams)]]),ISNUMBER(Table1[[#This Row],[Gestation (days)]])),TRUE,FALSE)</f>
        <v>0</v>
      </c>
      <c r="E552" s="2" t="str">
        <f>IF(Table1[[#This Row],[Is Data Valid]]=TRUE,IF(Table1[[#This Row],[Fetal Sex (Male, Female or Unknown)]]="Male",Backend!$C$6,IF(Table1[[#This Row],[Fetal Sex (Male, Female or Unknown)]]="Female",Backend!$C$7,IF(Table1[[#This Row],[Fetal Sex (Male, Female or Unknown)]]="Unknown",Backend!$C$8,"Error"))),"")</f>
        <v/>
      </c>
      <c r="F552" s="8" t="str">
        <f>IF(Table1[[#This Row],[Is Data Valid]]=TRUE,EXP(0.578+0.332*((Table1[[#This Row],[Gestation (days)]]+0.5)/7)-0.00354*((Table1[[#This Row],[Gestation (days)]]+0.5)/7)^2)*Table1[[#This Row],[BW40_3705]],"")</f>
        <v/>
      </c>
      <c r="G552" s="2" t="str">
        <f>IF(Table1[[#This Row],[Is Data Valid]]=TRUE,((Table1[[#This Row],[Birthweight (grams)]]/Table1[[#This Row],[BW_GA]])-1)/(Backend!$B$4/100*Table1[[#This Row],[BW40_3705]]),"")</f>
        <v/>
      </c>
      <c r="H552" s="7" t="str">
        <f>IF(Table1[[#This Row],[Is Data Valid]]=TRUE,((Table1[[#This Row],[Birthweight (grams)]]*0.9/Table1[[#This Row],[BW_GA]])-1)/(Backend!$B$4/100*Table1[[#This Row],[BW40_3705]]),"")</f>
        <v/>
      </c>
      <c r="I552" s="7" t="str">
        <f>IF(Table1[[#This Row],[Is Data Valid]]=TRUE,((Table1[[#This Row],[Birthweight (grams)]]*1.1/Table1[[#This Row],[BW_GA]])-1)/(Backend!$B$4/100*Table1[[#This Row],[BW40_3705]]),"")</f>
        <v/>
      </c>
      <c r="J552" s="7" t="str">
        <f>IF(Table1[[#This Row],[Is Data Valid]]=TRUE,_xlfn.NORM.S.DIST(Table1[[#This Row],[Birthweight Z-Score]],TRUE)*100,"")</f>
        <v/>
      </c>
      <c r="K552" s="7" t="str">
        <f>IF(Table1[[#This Row],[Is Data Valid]]=TRUE,_xlfn.NORM.S.DIST(Table1[[#This Row],[Birthweight Z-Score (BW-10%)]],TRUE)*100,"")</f>
        <v/>
      </c>
      <c r="L552" s="7" t="str">
        <f>IF(Table1[[#This Row],[Is Data Valid]]=TRUE,_xlfn.NORM.S.DIST(Table1[[#This Row],[Birthweight Z-Score (BW+10%)]],TRUE)*100,"")</f>
        <v/>
      </c>
    </row>
    <row r="553" spans="1:12" x14ac:dyDescent="0.35">
      <c r="A553" s="3"/>
      <c r="B553" s="2"/>
      <c r="C553" s="2"/>
      <c r="D553" s="2" t="b">
        <f>IF(AND(NOT(ISBLANK(Table1[[#This Row],[Fetal Sex (Male, Female or Unknown)]])),ISNUMBER(Table1[[#This Row],[Birthweight (grams)]]),ISNUMBER(Table1[[#This Row],[Gestation (days)]])),TRUE,FALSE)</f>
        <v>0</v>
      </c>
      <c r="E553" s="2" t="str">
        <f>IF(Table1[[#This Row],[Is Data Valid]]=TRUE,IF(Table1[[#This Row],[Fetal Sex (Male, Female or Unknown)]]="Male",Backend!$C$6,IF(Table1[[#This Row],[Fetal Sex (Male, Female or Unknown)]]="Female",Backend!$C$7,IF(Table1[[#This Row],[Fetal Sex (Male, Female or Unknown)]]="Unknown",Backend!$C$8,"Error"))),"")</f>
        <v/>
      </c>
      <c r="F553" s="8" t="str">
        <f>IF(Table1[[#This Row],[Is Data Valid]]=TRUE,EXP(0.578+0.332*((Table1[[#This Row],[Gestation (days)]]+0.5)/7)-0.00354*((Table1[[#This Row],[Gestation (days)]]+0.5)/7)^2)*Table1[[#This Row],[BW40_3705]],"")</f>
        <v/>
      </c>
      <c r="G553" s="2" t="str">
        <f>IF(Table1[[#This Row],[Is Data Valid]]=TRUE,((Table1[[#This Row],[Birthweight (grams)]]/Table1[[#This Row],[BW_GA]])-1)/(Backend!$B$4/100*Table1[[#This Row],[BW40_3705]]),"")</f>
        <v/>
      </c>
      <c r="H553" s="7" t="str">
        <f>IF(Table1[[#This Row],[Is Data Valid]]=TRUE,((Table1[[#This Row],[Birthweight (grams)]]*0.9/Table1[[#This Row],[BW_GA]])-1)/(Backend!$B$4/100*Table1[[#This Row],[BW40_3705]]),"")</f>
        <v/>
      </c>
      <c r="I553" s="7" t="str">
        <f>IF(Table1[[#This Row],[Is Data Valid]]=TRUE,((Table1[[#This Row],[Birthweight (grams)]]*1.1/Table1[[#This Row],[BW_GA]])-1)/(Backend!$B$4/100*Table1[[#This Row],[BW40_3705]]),"")</f>
        <v/>
      </c>
      <c r="J553" s="7" t="str">
        <f>IF(Table1[[#This Row],[Is Data Valid]]=TRUE,_xlfn.NORM.S.DIST(Table1[[#This Row],[Birthweight Z-Score]],TRUE)*100,"")</f>
        <v/>
      </c>
      <c r="K553" s="7" t="str">
        <f>IF(Table1[[#This Row],[Is Data Valid]]=TRUE,_xlfn.NORM.S.DIST(Table1[[#This Row],[Birthweight Z-Score (BW-10%)]],TRUE)*100,"")</f>
        <v/>
      </c>
      <c r="L553" s="7" t="str">
        <f>IF(Table1[[#This Row],[Is Data Valid]]=TRUE,_xlfn.NORM.S.DIST(Table1[[#This Row],[Birthweight Z-Score (BW+10%)]],TRUE)*100,"")</f>
        <v/>
      </c>
    </row>
    <row r="554" spans="1:12" x14ac:dyDescent="0.35">
      <c r="A554" s="3"/>
      <c r="B554" s="2"/>
      <c r="C554" s="2"/>
      <c r="D554" s="2" t="b">
        <f>IF(AND(NOT(ISBLANK(Table1[[#This Row],[Fetal Sex (Male, Female or Unknown)]])),ISNUMBER(Table1[[#This Row],[Birthweight (grams)]]),ISNUMBER(Table1[[#This Row],[Gestation (days)]])),TRUE,FALSE)</f>
        <v>0</v>
      </c>
      <c r="E554" s="2" t="str">
        <f>IF(Table1[[#This Row],[Is Data Valid]]=TRUE,IF(Table1[[#This Row],[Fetal Sex (Male, Female or Unknown)]]="Male",Backend!$C$6,IF(Table1[[#This Row],[Fetal Sex (Male, Female or Unknown)]]="Female",Backend!$C$7,IF(Table1[[#This Row],[Fetal Sex (Male, Female or Unknown)]]="Unknown",Backend!$C$8,"Error"))),"")</f>
        <v/>
      </c>
      <c r="F554" s="8" t="str">
        <f>IF(Table1[[#This Row],[Is Data Valid]]=TRUE,EXP(0.578+0.332*((Table1[[#This Row],[Gestation (days)]]+0.5)/7)-0.00354*((Table1[[#This Row],[Gestation (days)]]+0.5)/7)^2)*Table1[[#This Row],[BW40_3705]],"")</f>
        <v/>
      </c>
      <c r="G554" s="2" t="str">
        <f>IF(Table1[[#This Row],[Is Data Valid]]=TRUE,((Table1[[#This Row],[Birthweight (grams)]]/Table1[[#This Row],[BW_GA]])-1)/(Backend!$B$4/100*Table1[[#This Row],[BW40_3705]]),"")</f>
        <v/>
      </c>
      <c r="H554" s="7" t="str">
        <f>IF(Table1[[#This Row],[Is Data Valid]]=TRUE,((Table1[[#This Row],[Birthweight (grams)]]*0.9/Table1[[#This Row],[BW_GA]])-1)/(Backend!$B$4/100*Table1[[#This Row],[BW40_3705]]),"")</f>
        <v/>
      </c>
      <c r="I554" s="7" t="str">
        <f>IF(Table1[[#This Row],[Is Data Valid]]=TRUE,((Table1[[#This Row],[Birthweight (grams)]]*1.1/Table1[[#This Row],[BW_GA]])-1)/(Backend!$B$4/100*Table1[[#This Row],[BW40_3705]]),"")</f>
        <v/>
      </c>
      <c r="J554" s="7" t="str">
        <f>IF(Table1[[#This Row],[Is Data Valid]]=TRUE,_xlfn.NORM.S.DIST(Table1[[#This Row],[Birthweight Z-Score]],TRUE)*100,"")</f>
        <v/>
      </c>
      <c r="K554" s="7" t="str">
        <f>IF(Table1[[#This Row],[Is Data Valid]]=TRUE,_xlfn.NORM.S.DIST(Table1[[#This Row],[Birthweight Z-Score (BW-10%)]],TRUE)*100,"")</f>
        <v/>
      </c>
      <c r="L554" s="7" t="str">
        <f>IF(Table1[[#This Row],[Is Data Valid]]=TRUE,_xlfn.NORM.S.DIST(Table1[[#This Row],[Birthweight Z-Score (BW+10%)]],TRUE)*100,"")</f>
        <v/>
      </c>
    </row>
    <row r="555" spans="1:12" x14ac:dyDescent="0.35">
      <c r="A555" s="3"/>
      <c r="B555" s="2"/>
      <c r="C555" s="2"/>
      <c r="D555" s="2" t="b">
        <f>IF(AND(NOT(ISBLANK(Table1[[#This Row],[Fetal Sex (Male, Female or Unknown)]])),ISNUMBER(Table1[[#This Row],[Birthweight (grams)]]),ISNUMBER(Table1[[#This Row],[Gestation (days)]])),TRUE,FALSE)</f>
        <v>0</v>
      </c>
      <c r="E555" s="2" t="str">
        <f>IF(Table1[[#This Row],[Is Data Valid]]=TRUE,IF(Table1[[#This Row],[Fetal Sex (Male, Female or Unknown)]]="Male",Backend!$C$6,IF(Table1[[#This Row],[Fetal Sex (Male, Female or Unknown)]]="Female",Backend!$C$7,IF(Table1[[#This Row],[Fetal Sex (Male, Female or Unknown)]]="Unknown",Backend!$C$8,"Error"))),"")</f>
        <v/>
      </c>
      <c r="F555" s="8" t="str">
        <f>IF(Table1[[#This Row],[Is Data Valid]]=TRUE,EXP(0.578+0.332*((Table1[[#This Row],[Gestation (days)]]+0.5)/7)-0.00354*((Table1[[#This Row],[Gestation (days)]]+0.5)/7)^2)*Table1[[#This Row],[BW40_3705]],"")</f>
        <v/>
      </c>
      <c r="G555" s="2" t="str">
        <f>IF(Table1[[#This Row],[Is Data Valid]]=TRUE,((Table1[[#This Row],[Birthweight (grams)]]/Table1[[#This Row],[BW_GA]])-1)/(Backend!$B$4/100*Table1[[#This Row],[BW40_3705]]),"")</f>
        <v/>
      </c>
      <c r="H555" s="7" t="str">
        <f>IF(Table1[[#This Row],[Is Data Valid]]=TRUE,((Table1[[#This Row],[Birthweight (grams)]]*0.9/Table1[[#This Row],[BW_GA]])-1)/(Backend!$B$4/100*Table1[[#This Row],[BW40_3705]]),"")</f>
        <v/>
      </c>
      <c r="I555" s="7" t="str">
        <f>IF(Table1[[#This Row],[Is Data Valid]]=TRUE,((Table1[[#This Row],[Birthweight (grams)]]*1.1/Table1[[#This Row],[BW_GA]])-1)/(Backend!$B$4/100*Table1[[#This Row],[BW40_3705]]),"")</f>
        <v/>
      </c>
      <c r="J555" s="7" t="str">
        <f>IF(Table1[[#This Row],[Is Data Valid]]=TRUE,_xlfn.NORM.S.DIST(Table1[[#This Row],[Birthweight Z-Score]],TRUE)*100,"")</f>
        <v/>
      </c>
      <c r="K555" s="7" t="str">
        <f>IF(Table1[[#This Row],[Is Data Valid]]=TRUE,_xlfn.NORM.S.DIST(Table1[[#This Row],[Birthweight Z-Score (BW-10%)]],TRUE)*100,"")</f>
        <v/>
      </c>
      <c r="L555" s="7" t="str">
        <f>IF(Table1[[#This Row],[Is Data Valid]]=TRUE,_xlfn.NORM.S.DIST(Table1[[#This Row],[Birthweight Z-Score (BW+10%)]],TRUE)*100,"")</f>
        <v/>
      </c>
    </row>
    <row r="556" spans="1:12" x14ac:dyDescent="0.35">
      <c r="A556" s="3"/>
      <c r="B556" s="2"/>
      <c r="C556" s="2"/>
      <c r="D556" s="2" t="b">
        <f>IF(AND(NOT(ISBLANK(Table1[[#This Row],[Fetal Sex (Male, Female or Unknown)]])),ISNUMBER(Table1[[#This Row],[Birthweight (grams)]]),ISNUMBER(Table1[[#This Row],[Gestation (days)]])),TRUE,FALSE)</f>
        <v>0</v>
      </c>
      <c r="E556" s="2" t="str">
        <f>IF(Table1[[#This Row],[Is Data Valid]]=TRUE,IF(Table1[[#This Row],[Fetal Sex (Male, Female or Unknown)]]="Male",Backend!$C$6,IF(Table1[[#This Row],[Fetal Sex (Male, Female or Unknown)]]="Female",Backend!$C$7,IF(Table1[[#This Row],[Fetal Sex (Male, Female or Unknown)]]="Unknown",Backend!$C$8,"Error"))),"")</f>
        <v/>
      </c>
      <c r="F556" s="8" t="str">
        <f>IF(Table1[[#This Row],[Is Data Valid]]=TRUE,EXP(0.578+0.332*((Table1[[#This Row],[Gestation (days)]]+0.5)/7)-0.00354*((Table1[[#This Row],[Gestation (days)]]+0.5)/7)^2)*Table1[[#This Row],[BW40_3705]],"")</f>
        <v/>
      </c>
      <c r="G556" s="2" t="str">
        <f>IF(Table1[[#This Row],[Is Data Valid]]=TRUE,((Table1[[#This Row],[Birthweight (grams)]]/Table1[[#This Row],[BW_GA]])-1)/(Backend!$B$4/100*Table1[[#This Row],[BW40_3705]]),"")</f>
        <v/>
      </c>
      <c r="H556" s="7" t="str">
        <f>IF(Table1[[#This Row],[Is Data Valid]]=TRUE,((Table1[[#This Row],[Birthweight (grams)]]*0.9/Table1[[#This Row],[BW_GA]])-1)/(Backend!$B$4/100*Table1[[#This Row],[BW40_3705]]),"")</f>
        <v/>
      </c>
      <c r="I556" s="7" t="str">
        <f>IF(Table1[[#This Row],[Is Data Valid]]=TRUE,((Table1[[#This Row],[Birthweight (grams)]]*1.1/Table1[[#This Row],[BW_GA]])-1)/(Backend!$B$4/100*Table1[[#This Row],[BW40_3705]]),"")</f>
        <v/>
      </c>
      <c r="J556" s="7" t="str">
        <f>IF(Table1[[#This Row],[Is Data Valid]]=TRUE,_xlfn.NORM.S.DIST(Table1[[#This Row],[Birthweight Z-Score]],TRUE)*100,"")</f>
        <v/>
      </c>
      <c r="K556" s="7" t="str">
        <f>IF(Table1[[#This Row],[Is Data Valid]]=TRUE,_xlfn.NORM.S.DIST(Table1[[#This Row],[Birthweight Z-Score (BW-10%)]],TRUE)*100,"")</f>
        <v/>
      </c>
      <c r="L556" s="7" t="str">
        <f>IF(Table1[[#This Row],[Is Data Valid]]=TRUE,_xlfn.NORM.S.DIST(Table1[[#This Row],[Birthweight Z-Score (BW+10%)]],TRUE)*100,"")</f>
        <v/>
      </c>
    </row>
    <row r="557" spans="1:12" x14ac:dyDescent="0.35">
      <c r="A557" s="3"/>
      <c r="B557" s="2"/>
      <c r="C557" s="2"/>
      <c r="D557" s="2" t="b">
        <f>IF(AND(NOT(ISBLANK(Table1[[#This Row],[Fetal Sex (Male, Female or Unknown)]])),ISNUMBER(Table1[[#This Row],[Birthweight (grams)]]),ISNUMBER(Table1[[#This Row],[Gestation (days)]])),TRUE,FALSE)</f>
        <v>0</v>
      </c>
      <c r="E557" s="2" t="str">
        <f>IF(Table1[[#This Row],[Is Data Valid]]=TRUE,IF(Table1[[#This Row],[Fetal Sex (Male, Female or Unknown)]]="Male",Backend!$C$6,IF(Table1[[#This Row],[Fetal Sex (Male, Female or Unknown)]]="Female",Backend!$C$7,IF(Table1[[#This Row],[Fetal Sex (Male, Female or Unknown)]]="Unknown",Backend!$C$8,"Error"))),"")</f>
        <v/>
      </c>
      <c r="F557" s="8" t="str">
        <f>IF(Table1[[#This Row],[Is Data Valid]]=TRUE,EXP(0.578+0.332*((Table1[[#This Row],[Gestation (days)]]+0.5)/7)-0.00354*((Table1[[#This Row],[Gestation (days)]]+0.5)/7)^2)*Table1[[#This Row],[BW40_3705]],"")</f>
        <v/>
      </c>
      <c r="G557" s="2" t="str">
        <f>IF(Table1[[#This Row],[Is Data Valid]]=TRUE,((Table1[[#This Row],[Birthweight (grams)]]/Table1[[#This Row],[BW_GA]])-1)/(Backend!$B$4/100*Table1[[#This Row],[BW40_3705]]),"")</f>
        <v/>
      </c>
      <c r="H557" s="7" t="str">
        <f>IF(Table1[[#This Row],[Is Data Valid]]=TRUE,((Table1[[#This Row],[Birthweight (grams)]]*0.9/Table1[[#This Row],[BW_GA]])-1)/(Backend!$B$4/100*Table1[[#This Row],[BW40_3705]]),"")</f>
        <v/>
      </c>
      <c r="I557" s="7" t="str">
        <f>IF(Table1[[#This Row],[Is Data Valid]]=TRUE,((Table1[[#This Row],[Birthweight (grams)]]*1.1/Table1[[#This Row],[BW_GA]])-1)/(Backend!$B$4/100*Table1[[#This Row],[BW40_3705]]),"")</f>
        <v/>
      </c>
      <c r="J557" s="7" t="str">
        <f>IF(Table1[[#This Row],[Is Data Valid]]=TRUE,_xlfn.NORM.S.DIST(Table1[[#This Row],[Birthweight Z-Score]],TRUE)*100,"")</f>
        <v/>
      </c>
      <c r="K557" s="7" t="str">
        <f>IF(Table1[[#This Row],[Is Data Valid]]=TRUE,_xlfn.NORM.S.DIST(Table1[[#This Row],[Birthweight Z-Score (BW-10%)]],TRUE)*100,"")</f>
        <v/>
      </c>
      <c r="L557" s="7" t="str">
        <f>IF(Table1[[#This Row],[Is Data Valid]]=TRUE,_xlfn.NORM.S.DIST(Table1[[#This Row],[Birthweight Z-Score (BW+10%)]],TRUE)*100,"")</f>
        <v/>
      </c>
    </row>
    <row r="558" spans="1:12" x14ac:dyDescent="0.35">
      <c r="A558" s="3"/>
      <c r="B558" s="2"/>
      <c r="C558" s="2"/>
      <c r="D558" s="2" t="b">
        <f>IF(AND(NOT(ISBLANK(Table1[[#This Row],[Fetal Sex (Male, Female or Unknown)]])),ISNUMBER(Table1[[#This Row],[Birthweight (grams)]]),ISNUMBER(Table1[[#This Row],[Gestation (days)]])),TRUE,FALSE)</f>
        <v>0</v>
      </c>
      <c r="E558" s="2" t="str">
        <f>IF(Table1[[#This Row],[Is Data Valid]]=TRUE,IF(Table1[[#This Row],[Fetal Sex (Male, Female or Unknown)]]="Male",Backend!$C$6,IF(Table1[[#This Row],[Fetal Sex (Male, Female or Unknown)]]="Female",Backend!$C$7,IF(Table1[[#This Row],[Fetal Sex (Male, Female or Unknown)]]="Unknown",Backend!$C$8,"Error"))),"")</f>
        <v/>
      </c>
      <c r="F558" s="8" t="str">
        <f>IF(Table1[[#This Row],[Is Data Valid]]=TRUE,EXP(0.578+0.332*((Table1[[#This Row],[Gestation (days)]]+0.5)/7)-0.00354*((Table1[[#This Row],[Gestation (days)]]+0.5)/7)^2)*Table1[[#This Row],[BW40_3705]],"")</f>
        <v/>
      </c>
      <c r="G558" s="2" t="str">
        <f>IF(Table1[[#This Row],[Is Data Valid]]=TRUE,((Table1[[#This Row],[Birthweight (grams)]]/Table1[[#This Row],[BW_GA]])-1)/(Backend!$B$4/100*Table1[[#This Row],[BW40_3705]]),"")</f>
        <v/>
      </c>
      <c r="H558" s="7" t="str">
        <f>IF(Table1[[#This Row],[Is Data Valid]]=TRUE,((Table1[[#This Row],[Birthweight (grams)]]*0.9/Table1[[#This Row],[BW_GA]])-1)/(Backend!$B$4/100*Table1[[#This Row],[BW40_3705]]),"")</f>
        <v/>
      </c>
      <c r="I558" s="7" t="str">
        <f>IF(Table1[[#This Row],[Is Data Valid]]=TRUE,((Table1[[#This Row],[Birthweight (grams)]]*1.1/Table1[[#This Row],[BW_GA]])-1)/(Backend!$B$4/100*Table1[[#This Row],[BW40_3705]]),"")</f>
        <v/>
      </c>
      <c r="J558" s="7" t="str">
        <f>IF(Table1[[#This Row],[Is Data Valid]]=TRUE,_xlfn.NORM.S.DIST(Table1[[#This Row],[Birthweight Z-Score]],TRUE)*100,"")</f>
        <v/>
      </c>
      <c r="K558" s="7" t="str">
        <f>IF(Table1[[#This Row],[Is Data Valid]]=TRUE,_xlfn.NORM.S.DIST(Table1[[#This Row],[Birthweight Z-Score (BW-10%)]],TRUE)*100,"")</f>
        <v/>
      </c>
      <c r="L558" s="7" t="str">
        <f>IF(Table1[[#This Row],[Is Data Valid]]=TRUE,_xlfn.NORM.S.DIST(Table1[[#This Row],[Birthweight Z-Score (BW+10%)]],TRUE)*100,"")</f>
        <v/>
      </c>
    </row>
    <row r="559" spans="1:12" x14ac:dyDescent="0.35">
      <c r="A559" s="3"/>
      <c r="B559" s="2"/>
      <c r="C559" s="2"/>
      <c r="D559" s="2" t="b">
        <f>IF(AND(NOT(ISBLANK(Table1[[#This Row],[Fetal Sex (Male, Female or Unknown)]])),ISNUMBER(Table1[[#This Row],[Birthweight (grams)]]),ISNUMBER(Table1[[#This Row],[Gestation (days)]])),TRUE,FALSE)</f>
        <v>0</v>
      </c>
      <c r="E559" s="2" t="str">
        <f>IF(Table1[[#This Row],[Is Data Valid]]=TRUE,IF(Table1[[#This Row],[Fetal Sex (Male, Female or Unknown)]]="Male",Backend!$C$6,IF(Table1[[#This Row],[Fetal Sex (Male, Female or Unknown)]]="Female",Backend!$C$7,IF(Table1[[#This Row],[Fetal Sex (Male, Female or Unknown)]]="Unknown",Backend!$C$8,"Error"))),"")</f>
        <v/>
      </c>
      <c r="F559" s="8" t="str">
        <f>IF(Table1[[#This Row],[Is Data Valid]]=TRUE,EXP(0.578+0.332*((Table1[[#This Row],[Gestation (days)]]+0.5)/7)-0.00354*((Table1[[#This Row],[Gestation (days)]]+0.5)/7)^2)*Table1[[#This Row],[BW40_3705]],"")</f>
        <v/>
      </c>
      <c r="G559" s="2" t="str">
        <f>IF(Table1[[#This Row],[Is Data Valid]]=TRUE,((Table1[[#This Row],[Birthweight (grams)]]/Table1[[#This Row],[BW_GA]])-1)/(Backend!$B$4/100*Table1[[#This Row],[BW40_3705]]),"")</f>
        <v/>
      </c>
      <c r="H559" s="7" t="str">
        <f>IF(Table1[[#This Row],[Is Data Valid]]=TRUE,((Table1[[#This Row],[Birthweight (grams)]]*0.9/Table1[[#This Row],[BW_GA]])-1)/(Backend!$B$4/100*Table1[[#This Row],[BW40_3705]]),"")</f>
        <v/>
      </c>
      <c r="I559" s="7" t="str">
        <f>IF(Table1[[#This Row],[Is Data Valid]]=TRUE,((Table1[[#This Row],[Birthweight (grams)]]*1.1/Table1[[#This Row],[BW_GA]])-1)/(Backend!$B$4/100*Table1[[#This Row],[BW40_3705]]),"")</f>
        <v/>
      </c>
      <c r="J559" s="7" t="str">
        <f>IF(Table1[[#This Row],[Is Data Valid]]=TRUE,_xlfn.NORM.S.DIST(Table1[[#This Row],[Birthweight Z-Score]],TRUE)*100,"")</f>
        <v/>
      </c>
      <c r="K559" s="7" t="str">
        <f>IF(Table1[[#This Row],[Is Data Valid]]=TRUE,_xlfn.NORM.S.DIST(Table1[[#This Row],[Birthweight Z-Score (BW-10%)]],TRUE)*100,"")</f>
        <v/>
      </c>
      <c r="L559" s="7" t="str">
        <f>IF(Table1[[#This Row],[Is Data Valid]]=TRUE,_xlfn.NORM.S.DIST(Table1[[#This Row],[Birthweight Z-Score (BW+10%)]],TRUE)*100,"")</f>
        <v/>
      </c>
    </row>
    <row r="560" spans="1:12" x14ac:dyDescent="0.35">
      <c r="A560" s="3"/>
      <c r="B560" s="2"/>
      <c r="C560" s="2"/>
      <c r="D560" s="2" t="b">
        <f>IF(AND(NOT(ISBLANK(Table1[[#This Row],[Fetal Sex (Male, Female or Unknown)]])),ISNUMBER(Table1[[#This Row],[Birthweight (grams)]]),ISNUMBER(Table1[[#This Row],[Gestation (days)]])),TRUE,FALSE)</f>
        <v>0</v>
      </c>
      <c r="E560" s="2" t="str">
        <f>IF(Table1[[#This Row],[Is Data Valid]]=TRUE,IF(Table1[[#This Row],[Fetal Sex (Male, Female or Unknown)]]="Male",Backend!$C$6,IF(Table1[[#This Row],[Fetal Sex (Male, Female or Unknown)]]="Female",Backend!$C$7,IF(Table1[[#This Row],[Fetal Sex (Male, Female or Unknown)]]="Unknown",Backend!$C$8,"Error"))),"")</f>
        <v/>
      </c>
      <c r="F560" s="8" t="str">
        <f>IF(Table1[[#This Row],[Is Data Valid]]=TRUE,EXP(0.578+0.332*((Table1[[#This Row],[Gestation (days)]]+0.5)/7)-0.00354*((Table1[[#This Row],[Gestation (days)]]+0.5)/7)^2)*Table1[[#This Row],[BW40_3705]],"")</f>
        <v/>
      </c>
      <c r="G560" s="2" t="str">
        <f>IF(Table1[[#This Row],[Is Data Valid]]=TRUE,((Table1[[#This Row],[Birthweight (grams)]]/Table1[[#This Row],[BW_GA]])-1)/(Backend!$B$4/100*Table1[[#This Row],[BW40_3705]]),"")</f>
        <v/>
      </c>
      <c r="H560" s="7" t="str">
        <f>IF(Table1[[#This Row],[Is Data Valid]]=TRUE,((Table1[[#This Row],[Birthweight (grams)]]*0.9/Table1[[#This Row],[BW_GA]])-1)/(Backend!$B$4/100*Table1[[#This Row],[BW40_3705]]),"")</f>
        <v/>
      </c>
      <c r="I560" s="7" t="str">
        <f>IF(Table1[[#This Row],[Is Data Valid]]=TRUE,((Table1[[#This Row],[Birthweight (grams)]]*1.1/Table1[[#This Row],[BW_GA]])-1)/(Backend!$B$4/100*Table1[[#This Row],[BW40_3705]]),"")</f>
        <v/>
      </c>
      <c r="J560" s="7" t="str">
        <f>IF(Table1[[#This Row],[Is Data Valid]]=TRUE,_xlfn.NORM.S.DIST(Table1[[#This Row],[Birthweight Z-Score]],TRUE)*100,"")</f>
        <v/>
      </c>
      <c r="K560" s="7" t="str">
        <f>IF(Table1[[#This Row],[Is Data Valid]]=TRUE,_xlfn.NORM.S.DIST(Table1[[#This Row],[Birthweight Z-Score (BW-10%)]],TRUE)*100,"")</f>
        <v/>
      </c>
      <c r="L560" s="7" t="str">
        <f>IF(Table1[[#This Row],[Is Data Valid]]=TRUE,_xlfn.NORM.S.DIST(Table1[[#This Row],[Birthweight Z-Score (BW+10%)]],TRUE)*100,"")</f>
        <v/>
      </c>
    </row>
    <row r="561" spans="1:12" x14ac:dyDescent="0.35">
      <c r="A561" s="3"/>
      <c r="B561" s="2"/>
      <c r="C561" s="2"/>
      <c r="D561" s="2" t="b">
        <f>IF(AND(NOT(ISBLANK(Table1[[#This Row],[Fetal Sex (Male, Female or Unknown)]])),ISNUMBER(Table1[[#This Row],[Birthweight (grams)]]),ISNUMBER(Table1[[#This Row],[Gestation (days)]])),TRUE,FALSE)</f>
        <v>0</v>
      </c>
      <c r="E561" s="2" t="str">
        <f>IF(Table1[[#This Row],[Is Data Valid]]=TRUE,IF(Table1[[#This Row],[Fetal Sex (Male, Female or Unknown)]]="Male",Backend!$C$6,IF(Table1[[#This Row],[Fetal Sex (Male, Female or Unknown)]]="Female",Backend!$C$7,IF(Table1[[#This Row],[Fetal Sex (Male, Female or Unknown)]]="Unknown",Backend!$C$8,"Error"))),"")</f>
        <v/>
      </c>
      <c r="F561" s="8" t="str">
        <f>IF(Table1[[#This Row],[Is Data Valid]]=TRUE,EXP(0.578+0.332*((Table1[[#This Row],[Gestation (days)]]+0.5)/7)-0.00354*((Table1[[#This Row],[Gestation (days)]]+0.5)/7)^2)*Table1[[#This Row],[BW40_3705]],"")</f>
        <v/>
      </c>
      <c r="G561" s="2" t="str">
        <f>IF(Table1[[#This Row],[Is Data Valid]]=TRUE,((Table1[[#This Row],[Birthweight (grams)]]/Table1[[#This Row],[BW_GA]])-1)/(Backend!$B$4/100*Table1[[#This Row],[BW40_3705]]),"")</f>
        <v/>
      </c>
      <c r="H561" s="7" t="str">
        <f>IF(Table1[[#This Row],[Is Data Valid]]=TRUE,((Table1[[#This Row],[Birthweight (grams)]]*0.9/Table1[[#This Row],[BW_GA]])-1)/(Backend!$B$4/100*Table1[[#This Row],[BW40_3705]]),"")</f>
        <v/>
      </c>
      <c r="I561" s="7" t="str">
        <f>IF(Table1[[#This Row],[Is Data Valid]]=TRUE,((Table1[[#This Row],[Birthweight (grams)]]*1.1/Table1[[#This Row],[BW_GA]])-1)/(Backend!$B$4/100*Table1[[#This Row],[BW40_3705]]),"")</f>
        <v/>
      </c>
      <c r="J561" s="7" t="str">
        <f>IF(Table1[[#This Row],[Is Data Valid]]=TRUE,_xlfn.NORM.S.DIST(Table1[[#This Row],[Birthweight Z-Score]],TRUE)*100,"")</f>
        <v/>
      </c>
      <c r="K561" s="7" t="str">
        <f>IF(Table1[[#This Row],[Is Data Valid]]=TRUE,_xlfn.NORM.S.DIST(Table1[[#This Row],[Birthweight Z-Score (BW-10%)]],TRUE)*100,"")</f>
        <v/>
      </c>
      <c r="L561" s="7" t="str">
        <f>IF(Table1[[#This Row],[Is Data Valid]]=TRUE,_xlfn.NORM.S.DIST(Table1[[#This Row],[Birthweight Z-Score (BW+10%)]],TRUE)*100,"")</f>
        <v/>
      </c>
    </row>
    <row r="562" spans="1:12" x14ac:dyDescent="0.35">
      <c r="A562" s="3"/>
      <c r="B562" s="2"/>
      <c r="C562" s="2"/>
      <c r="D562" s="2" t="b">
        <f>IF(AND(NOT(ISBLANK(Table1[[#This Row],[Fetal Sex (Male, Female or Unknown)]])),ISNUMBER(Table1[[#This Row],[Birthweight (grams)]]),ISNUMBER(Table1[[#This Row],[Gestation (days)]])),TRUE,FALSE)</f>
        <v>0</v>
      </c>
      <c r="E562" s="2" t="str">
        <f>IF(Table1[[#This Row],[Is Data Valid]]=TRUE,IF(Table1[[#This Row],[Fetal Sex (Male, Female or Unknown)]]="Male",Backend!$C$6,IF(Table1[[#This Row],[Fetal Sex (Male, Female or Unknown)]]="Female",Backend!$C$7,IF(Table1[[#This Row],[Fetal Sex (Male, Female or Unknown)]]="Unknown",Backend!$C$8,"Error"))),"")</f>
        <v/>
      </c>
      <c r="F562" s="8" t="str">
        <f>IF(Table1[[#This Row],[Is Data Valid]]=TRUE,EXP(0.578+0.332*((Table1[[#This Row],[Gestation (days)]]+0.5)/7)-0.00354*((Table1[[#This Row],[Gestation (days)]]+0.5)/7)^2)*Table1[[#This Row],[BW40_3705]],"")</f>
        <v/>
      </c>
      <c r="G562" s="2" t="str">
        <f>IF(Table1[[#This Row],[Is Data Valid]]=TRUE,((Table1[[#This Row],[Birthweight (grams)]]/Table1[[#This Row],[BW_GA]])-1)/(Backend!$B$4/100*Table1[[#This Row],[BW40_3705]]),"")</f>
        <v/>
      </c>
      <c r="H562" s="7" t="str">
        <f>IF(Table1[[#This Row],[Is Data Valid]]=TRUE,((Table1[[#This Row],[Birthweight (grams)]]*0.9/Table1[[#This Row],[BW_GA]])-1)/(Backend!$B$4/100*Table1[[#This Row],[BW40_3705]]),"")</f>
        <v/>
      </c>
      <c r="I562" s="7" t="str">
        <f>IF(Table1[[#This Row],[Is Data Valid]]=TRUE,((Table1[[#This Row],[Birthweight (grams)]]*1.1/Table1[[#This Row],[BW_GA]])-1)/(Backend!$B$4/100*Table1[[#This Row],[BW40_3705]]),"")</f>
        <v/>
      </c>
      <c r="J562" s="7" t="str">
        <f>IF(Table1[[#This Row],[Is Data Valid]]=TRUE,_xlfn.NORM.S.DIST(Table1[[#This Row],[Birthweight Z-Score]],TRUE)*100,"")</f>
        <v/>
      </c>
      <c r="K562" s="7" t="str">
        <f>IF(Table1[[#This Row],[Is Data Valid]]=TRUE,_xlfn.NORM.S.DIST(Table1[[#This Row],[Birthweight Z-Score (BW-10%)]],TRUE)*100,"")</f>
        <v/>
      </c>
      <c r="L562" s="7" t="str">
        <f>IF(Table1[[#This Row],[Is Data Valid]]=TRUE,_xlfn.NORM.S.DIST(Table1[[#This Row],[Birthweight Z-Score (BW+10%)]],TRUE)*100,"")</f>
        <v/>
      </c>
    </row>
    <row r="563" spans="1:12" x14ac:dyDescent="0.35">
      <c r="A563" s="3"/>
      <c r="B563" s="2"/>
      <c r="C563" s="2"/>
      <c r="D563" s="2" t="b">
        <f>IF(AND(NOT(ISBLANK(Table1[[#This Row],[Fetal Sex (Male, Female or Unknown)]])),ISNUMBER(Table1[[#This Row],[Birthweight (grams)]]),ISNUMBER(Table1[[#This Row],[Gestation (days)]])),TRUE,FALSE)</f>
        <v>0</v>
      </c>
      <c r="E563" s="2" t="str">
        <f>IF(Table1[[#This Row],[Is Data Valid]]=TRUE,IF(Table1[[#This Row],[Fetal Sex (Male, Female or Unknown)]]="Male",Backend!$C$6,IF(Table1[[#This Row],[Fetal Sex (Male, Female or Unknown)]]="Female",Backend!$C$7,IF(Table1[[#This Row],[Fetal Sex (Male, Female or Unknown)]]="Unknown",Backend!$C$8,"Error"))),"")</f>
        <v/>
      </c>
      <c r="F563" s="8" t="str">
        <f>IF(Table1[[#This Row],[Is Data Valid]]=TRUE,EXP(0.578+0.332*((Table1[[#This Row],[Gestation (days)]]+0.5)/7)-0.00354*((Table1[[#This Row],[Gestation (days)]]+0.5)/7)^2)*Table1[[#This Row],[BW40_3705]],"")</f>
        <v/>
      </c>
      <c r="G563" s="2" t="str">
        <f>IF(Table1[[#This Row],[Is Data Valid]]=TRUE,((Table1[[#This Row],[Birthweight (grams)]]/Table1[[#This Row],[BW_GA]])-1)/(Backend!$B$4/100*Table1[[#This Row],[BW40_3705]]),"")</f>
        <v/>
      </c>
      <c r="H563" s="7" t="str">
        <f>IF(Table1[[#This Row],[Is Data Valid]]=TRUE,((Table1[[#This Row],[Birthweight (grams)]]*0.9/Table1[[#This Row],[BW_GA]])-1)/(Backend!$B$4/100*Table1[[#This Row],[BW40_3705]]),"")</f>
        <v/>
      </c>
      <c r="I563" s="7" t="str">
        <f>IF(Table1[[#This Row],[Is Data Valid]]=TRUE,((Table1[[#This Row],[Birthweight (grams)]]*1.1/Table1[[#This Row],[BW_GA]])-1)/(Backend!$B$4/100*Table1[[#This Row],[BW40_3705]]),"")</f>
        <v/>
      </c>
      <c r="J563" s="7" t="str">
        <f>IF(Table1[[#This Row],[Is Data Valid]]=TRUE,_xlfn.NORM.S.DIST(Table1[[#This Row],[Birthweight Z-Score]],TRUE)*100,"")</f>
        <v/>
      </c>
      <c r="K563" s="7" t="str">
        <f>IF(Table1[[#This Row],[Is Data Valid]]=TRUE,_xlfn.NORM.S.DIST(Table1[[#This Row],[Birthweight Z-Score (BW-10%)]],TRUE)*100,"")</f>
        <v/>
      </c>
      <c r="L563" s="7" t="str">
        <f>IF(Table1[[#This Row],[Is Data Valid]]=TRUE,_xlfn.NORM.S.DIST(Table1[[#This Row],[Birthweight Z-Score (BW+10%)]],TRUE)*100,"")</f>
        <v/>
      </c>
    </row>
    <row r="564" spans="1:12" x14ac:dyDescent="0.35">
      <c r="A564" s="3"/>
      <c r="B564" s="2"/>
      <c r="C564" s="2"/>
      <c r="D564" s="2" t="b">
        <f>IF(AND(NOT(ISBLANK(Table1[[#This Row],[Fetal Sex (Male, Female or Unknown)]])),ISNUMBER(Table1[[#This Row],[Birthweight (grams)]]),ISNUMBER(Table1[[#This Row],[Gestation (days)]])),TRUE,FALSE)</f>
        <v>0</v>
      </c>
      <c r="E564" s="2" t="str">
        <f>IF(Table1[[#This Row],[Is Data Valid]]=TRUE,IF(Table1[[#This Row],[Fetal Sex (Male, Female or Unknown)]]="Male",Backend!$C$6,IF(Table1[[#This Row],[Fetal Sex (Male, Female or Unknown)]]="Female",Backend!$C$7,IF(Table1[[#This Row],[Fetal Sex (Male, Female or Unknown)]]="Unknown",Backend!$C$8,"Error"))),"")</f>
        <v/>
      </c>
      <c r="F564" s="8" t="str">
        <f>IF(Table1[[#This Row],[Is Data Valid]]=TRUE,EXP(0.578+0.332*((Table1[[#This Row],[Gestation (days)]]+0.5)/7)-0.00354*((Table1[[#This Row],[Gestation (days)]]+0.5)/7)^2)*Table1[[#This Row],[BW40_3705]],"")</f>
        <v/>
      </c>
      <c r="G564" s="2" t="str">
        <f>IF(Table1[[#This Row],[Is Data Valid]]=TRUE,((Table1[[#This Row],[Birthweight (grams)]]/Table1[[#This Row],[BW_GA]])-1)/(Backend!$B$4/100*Table1[[#This Row],[BW40_3705]]),"")</f>
        <v/>
      </c>
      <c r="H564" s="7" t="str">
        <f>IF(Table1[[#This Row],[Is Data Valid]]=TRUE,((Table1[[#This Row],[Birthweight (grams)]]*0.9/Table1[[#This Row],[BW_GA]])-1)/(Backend!$B$4/100*Table1[[#This Row],[BW40_3705]]),"")</f>
        <v/>
      </c>
      <c r="I564" s="7" t="str">
        <f>IF(Table1[[#This Row],[Is Data Valid]]=TRUE,((Table1[[#This Row],[Birthweight (grams)]]*1.1/Table1[[#This Row],[BW_GA]])-1)/(Backend!$B$4/100*Table1[[#This Row],[BW40_3705]]),"")</f>
        <v/>
      </c>
      <c r="J564" s="7" t="str">
        <f>IF(Table1[[#This Row],[Is Data Valid]]=TRUE,_xlfn.NORM.S.DIST(Table1[[#This Row],[Birthweight Z-Score]],TRUE)*100,"")</f>
        <v/>
      </c>
      <c r="K564" s="7" t="str">
        <f>IF(Table1[[#This Row],[Is Data Valid]]=TRUE,_xlfn.NORM.S.DIST(Table1[[#This Row],[Birthweight Z-Score (BW-10%)]],TRUE)*100,"")</f>
        <v/>
      </c>
      <c r="L564" s="7" t="str">
        <f>IF(Table1[[#This Row],[Is Data Valid]]=TRUE,_xlfn.NORM.S.DIST(Table1[[#This Row],[Birthweight Z-Score (BW+10%)]],TRUE)*100,"")</f>
        <v/>
      </c>
    </row>
    <row r="565" spans="1:12" x14ac:dyDescent="0.35">
      <c r="A565" s="3"/>
      <c r="B565" s="2"/>
      <c r="C565" s="2"/>
      <c r="D565" s="2" t="b">
        <f>IF(AND(NOT(ISBLANK(Table1[[#This Row],[Fetal Sex (Male, Female or Unknown)]])),ISNUMBER(Table1[[#This Row],[Birthweight (grams)]]),ISNUMBER(Table1[[#This Row],[Gestation (days)]])),TRUE,FALSE)</f>
        <v>0</v>
      </c>
      <c r="E565" s="2" t="str">
        <f>IF(Table1[[#This Row],[Is Data Valid]]=TRUE,IF(Table1[[#This Row],[Fetal Sex (Male, Female or Unknown)]]="Male",Backend!$C$6,IF(Table1[[#This Row],[Fetal Sex (Male, Female or Unknown)]]="Female",Backend!$C$7,IF(Table1[[#This Row],[Fetal Sex (Male, Female or Unknown)]]="Unknown",Backend!$C$8,"Error"))),"")</f>
        <v/>
      </c>
      <c r="F565" s="8" t="str">
        <f>IF(Table1[[#This Row],[Is Data Valid]]=TRUE,EXP(0.578+0.332*((Table1[[#This Row],[Gestation (days)]]+0.5)/7)-0.00354*((Table1[[#This Row],[Gestation (days)]]+0.5)/7)^2)*Table1[[#This Row],[BW40_3705]],"")</f>
        <v/>
      </c>
      <c r="G565" s="2" t="str">
        <f>IF(Table1[[#This Row],[Is Data Valid]]=TRUE,((Table1[[#This Row],[Birthweight (grams)]]/Table1[[#This Row],[BW_GA]])-1)/(Backend!$B$4/100*Table1[[#This Row],[BW40_3705]]),"")</f>
        <v/>
      </c>
      <c r="H565" s="7" t="str">
        <f>IF(Table1[[#This Row],[Is Data Valid]]=TRUE,((Table1[[#This Row],[Birthweight (grams)]]*0.9/Table1[[#This Row],[BW_GA]])-1)/(Backend!$B$4/100*Table1[[#This Row],[BW40_3705]]),"")</f>
        <v/>
      </c>
      <c r="I565" s="7" t="str">
        <f>IF(Table1[[#This Row],[Is Data Valid]]=TRUE,((Table1[[#This Row],[Birthweight (grams)]]*1.1/Table1[[#This Row],[BW_GA]])-1)/(Backend!$B$4/100*Table1[[#This Row],[BW40_3705]]),"")</f>
        <v/>
      </c>
      <c r="J565" s="7" t="str">
        <f>IF(Table1[[#This Row],[Is Data Valid]]=TRUE,_xlfn.NORM.S.DIST(Table1[[#This Row],[Birthweight Z-Score]],TRUE)*100,"")</f>
        <v/>
      </c>
      <c r="K565" s="7" t="str">
        <f>IF(Table1[[#This Row],[Is Data Valid]]=TRUE,_xlfn.NORM.S.DIST(Table1[[#This Row],[Birthweight Z-Score (BW-10%)]],TRUE)*100,"")</f>
        <v/>
      </c>
      <c r="L565" s="7" t="str">
        <f>IF(Table1[[#This Row],[Is Data Valid]]=TRUE,_xlfn.NORM.S.DIST(Table1[[#This Row],[Birthweight Z-Score (BW+10%)]],TRUE)*100,"")</f>
        <v/>
      </c>
    </row>
    <row r="566" spans="1:12" x14ac:dyDescent="0.35">
      <c r="A566" s="3"/>
      <c r="B566" s="2"/>
      <c r="C566" s="2"/>
      <c r="D566" s="2" t="b">
        <f>IF(AND(NOT(ISBLANK(Table1[[#This Row],[Fetal Sex (Male, Female or Unknown)]])),ISNUMBER(Table1[[#This Row],[Birthweight (grams)]]),ISNUMBER(Table1[[#This Row],[Gestation (days)]])),TRUE,FALSE)</f>
        <v>0</v>
      </c>
      <c r="E566" s="2" t="str">
        <f>IF(Table1[[#This Row],[Is Data Valid]]=TRUE,IF(Table1[[#This Row],[Fetal Sex (Male, Female or Unknown)]]="Male",Backend!$C$6,IF(Table1[[#This Row],[Fetal Sex (Male, Female or Unknown)]]="Female",Backend!$C$7,IF(Table1[[#This Row],[Fetal Sex (Male, Female or Unknown)]]="Unknown",Backend!$C$8,"Error"))),"")</f>
        <v/>
      </c>
      <c r="F566" s="8" t="str">
        <f>IF(Table1[[#This Row],[Is Data Valid]]=TRUE,EXP(0.578+0.332*((Table1[[#This Row],[Gestation (days)]]+0.5)/7)-0.00354*((Table1[[#This Row],[Gestation (days)]]+0.5)/7)^2)*Table1[[#This Row],[BW40_3705]],"")</f>
        <v/>
      </c>
      <c r="G566" s="2" t="str">
        <f>IF(Table1[[#This Row],[Is Data Valid]]=TRUE,((Table1[[#This Row],[Birthweight (grams)]]/Table1[[#This Row],[BW_GA]])-1)/(Backend!$B$4/100*Table1[[#This Row],[BW40_3705]]),"")</f>
        <v/>
      </c>
      <c r="H566" s="7" t="str">
        <f>IF(Table1[[#This Row],[Is Data Valid]]=TRUE,((Table1[[#This Row],[Birthweight (grams)]]*0.9/Table1[[#This Row],[BW_GA]])-1)/(Backend!$B$4/100*Table1[[#This Row],[BW40_3705]]),"")</f>
        <v/>
      </c>
      <c r="I566" s="7" t="str">
        <f>IF(Table1[[#This Row],[Is Data Valid]]=TRUE,((Table1[[#This Row],[Birthweight (grams)]]*1.1/Table1[[#This Row],[BW_GA]])-1)/(Backend!$B$4/100*Table1[[#This Row],[BW40_3705]]),"")</f>
        <v/>
      </c>
      <c r="J566" s="7" t="str">
        <f>IF(Table1[[#This Row],[Is Data Valid]]=TRUE,_xlfn.NORM.S.DIST(Table1[[#This Row],[Birthweight Z-Score]],TRUE)*100,"")</f>
        <v/>
      </c>
      <c r="K566" s="7" t="str">
        <f>IF(Table1[[#This Row],[Is Data Valid]]=TRUE,_xlfn.NORM.S.DIST(Table1[[#This Row],[Birthweight Z-Score (BW-10%)]],TRUE)*100,"")</f>
        <v/>
      </c>
      <c r="L566" s="7" t="str">
        <f>IF(Table1[[#This Row],[Is Data Valid]]=TRUE,_xlfn.NORM.S.DIST(Table1[[#This Row],[Birthweight Z-Score (BW+10%)]],TRUE)*100,"")</f>
        <v/>
      </c>
    </row>
    <row r="567" spans="1:12" x14ac:dyDescent="0.35">
      <c r="A567" s="3"/>
      <c r="B567" s="2"/>
      <c r="C567" s="2"/>
      <c r="D567" s="2" t="b">
        <f>IF(AND(NOT(ISBLANK(Table1[[#This Row],[Fetal Sex (Male, Female or Unknown)]])),ISNUMBER(Table1[[#This Row],[Birthweight (grams)]]),ISNUMBER(Table1[[#This Row],[Gestation (days)]])),TRUE,FALSE)</f>
        <v>0</v>
      </c>
      <c r="E567" s="2" t="str">
        <f>IF(Table1[[#This Row],[Is Data Valid]]=TRUE,IF(Table1[[#This Row],[Fetal Sex (Male, Female or Unknown)]]="Male",Backend!$C$6,IF(Table1[[#This Row],[Fetal Sex (Male, Female or Unknown)]]="Female",Backend!$C$7,IF(Table1[[#This Row],[Fetal Sex (Male, Female or Unknown)]]="Unknown",Backend!$C$8,"Error"))),"")</f>
        <v/>
      </c>
      <c r="F567" s="8" t="str">
        <f>IF(Table1[[#This Row],[Is Data Valid]]=TRUE,EXP(0.578+0.332*((Table1[[#This Row],[Gestation (days)]]+0.5)/7)-0.00354*((Table1[[#This Row],[Gestation (days)]]+0.5)/7)^2)*Table1[[#This Row],[BW40_3705]],"")</f>
        <v/>
      </c>
      <c r="G567" s="2" t="str">
        <f>IF(Table1[[#This Row],[Is Data Valid]]=TRUE,((Table1[[#This Row],[Birthweight (grams)]]/Table1[[#This Row],[BW_GA]])-1)/(Backend!$B$4/100*Table1[[#This Row],[BW40_3705]]),"")</f>
        <v/>
      </c>
      <c r="H567" s="7" t="str">
        <f>IF(Table1[[#This Row],[Is Data Valid]]=TRUE,((Table1[[#This Row],[Birthweight (grams)]]*0.9/Table1[[#This Row],[BW_GA]])-1)/(Backend!$B$4/100*Table1[[#This Row],[BW40_3705]]),"")</f>
        <v/>
      </c>
      <c r="I567" s="7" t="str">
        <f>IF(Table1[[#This Row],[Is Data Valid]]=TRUE,((Table1[[#This Row],[Birthweight (grams)]]*1.1/Table1[[#This Row],[BW_GA]])-1)/(Backend!$B$4/100*Table1[[#This Row],[BW40_3705]]),"")</f>
        <v/>
      </c>
      <c r="J567" s="7" t="str">
        <f>IF(Table1[[#This Row],[Is Data Valid]]=TRUE,_xlfn.NORM.S.DIST(Table1[[#This Row],[Birthweight Z-Score]],TRUE)*100,"")</f>
        <v/>
      </c>
      <c r="K567" s="7" t="str">
        <f>IF(Table1[[#This Row],[Is Data Valid]]=TRUE,_xlfn.NORM.S.DIST(Table1[[#This Row],[Birthweight Z-Score (BW-10%)]],TRUE)*100,"")</f>
        <v/>
      </c>
      <c r="L567" s="7" t="str">
        <f>IF(Table1[[#This Row],[Is Data Valid]]=TRUE,_xlfn.NORM.S.DIST(Table1[[#This Row],[Birthweight Z-Score (BW+10%)]],TRUE)*100,"")</f>
        <v/>
      </c>
    </row>
    <row r="568" spans="1:12" x14ac:dyDescent="0.35">
      <c r="A568" s="3"/>
      <c r="B568" s="2"/>
      <c r="C568" s="2"/>
      <c r="D568" s="2" t="b">
        <f>IF(AND(NOT(ISBLANK(Table1[[#This Row],[Fetal Sex (Male, Female or Unknown)]])),ISNUMBER(Table1[[#This Row],[Birthweight (grams)]]),ISNUMBER(Table1[[#This Row],[Gestation (days)]])),TRUE,FALSE)</f>
        <v>0</v>
      </c>
      <c r="E568" s="2" t="str">
        <f>IF(Table1[[#This Row],[Is Data Valid]]=TRUE,IF(Table1[[#This Row],[Fetal Sex (Male, Female or Unknown)]]="Male",Backend!$C$6,IF(Table1[[#This Row],[Fetal Sex (Male, Female or Unknown)]]="Female",Backend!$C$7,IF(Table1[[#This Row],[Fetal Sex (Male, Female or Unknown)]]="Unknown",Backend!$C$8,"Error"))),"")</f>
        <v/>
      </c>
      <c r="F568" s="8" t="str">
        <f>IF(Table1[[#This Row],[Is Data Valid]]=TRUE,EXP(0.578+0.332*((Table1[[#This Row],[Gestation (days)]]+0.5)/7)-0.00354*((Table1[[#This Row],[Gestation (days)]]+0.5)/7)^2)*Table1[[#This Row],[BW40_3705]],"")</f>
        <v/>
      </c>
      <c r="G568" s="2" t="str">
        <f>IF(Table1[[#This Row],[Is Data Valid]]=TRUE,((Table1[[#This Row],[Birthweight (grams)]]/Table1[[#This Row],[BW_GA]])-1)/(Backend!$B$4/100*Table1[[#This Row],[BW40_3705]]),"")</f>
        <v/>
      </c>
      <c r="H568" s="7" t="str">
        <f>IF(Table1[[#This Row],[Is Data Valid]]=TRUE,((Table1[[#This Row],[Birthweight (grams)]]*0.9/Table1[[#This Row],[BW_GA]])-1)/(Backend!$B$4/100*Table1[[#This Row],[BW40_3705]]),"")</f>
        <v/>
      </c>
      <c r="I568" s="7" t="str">
        <f>IF(Table1[[#This Row],[Is Data Valid]]=TRUE,((Table1[[#This Row],[Birthweight (grams)]]*1.1/Table1[[#This Row],[BW_GA]])-1)/(Backend!$B$4/100*Table1[[#This Row],[BW40_3705]]),"")</f>
        <v/>
      </c>
      <c r="J568" s="7" t="str">
        <f>IF(Table1[[#This Row],[Is Data Valid]]=TRUE,_xlfn.NORM.S.DIST(Table1[[#This Row],[Birthweight Z-Score]],TRUE)*100,"")</f>
        <v/>
      </c>
      <c r="K568" s="7" t="str">
        <f>IF(Table1[[#This Row],[Is Data Valid]]=TRUE,_xlfn.NORM.S.DIST(Table1[[#This Row],[Birthweight Z-Score (BW-10%)]],TRUE)*100,"")</f>
        <v/>
      </c>
      <c r="L568" s="7" t="str">
        <f>IF(Table1[[#This Row],[Is Data Valid]]=TRUE,_xlfn.NORM.S.DIST(Table1[[#This Row],[Birthweight Z-Score (BW+10%)]],TRUE)*100,"")</f>
        <v/>
      </c>
    </row>
    <row r="569" spans="1:12" x14ac:dyDescent="0.35">
      <c r="A569" s="3"/>
      <c r="B569" s="2"/>
      <c r="C569" s="2"/>
      <c r="D569" s="2" t="b">
        <f>IF(AND(NOT(ISBLANK(Table1[[#This Row],[Fetal Sex (Male, Female or Unknown)]])),ISNUMBER(Table1[[#This Row],[Birthweight (grams)]]),ISNUMBER(Table1[[#This Row],[Gestation (days)]])),TRUE,FALSE)</f>
        <v>0</v>
      </c>
      <c r="E569" s="2" t="str">
        <f>IF(Table1[[#This Row],[Is Data Valid]]=TRUE,IF(Table1[[#This Row],[Fetal Sex (Male, Female or Unknown)]]="Male",Backend!$C$6,IF(Table1[[#This Row],[Fetal Sex (Male, Female or Unknown)]]="Female",Backend!$C$7,IF(Table1[[#This Row],[Fetal Sex (Male, Female or Unknown)]]="Unknown",Backend!$C$8,"Error"))),"")</f>
        <v/>
      </c>
      <c r="F569" s="8" t="str">
        <f>IF(Table1[[#This Row],[Is Data Valid]]=TRUE,EXP(0.578+0.332*((Table1[[#This Row],[Gestation (days)]]+0.5)/7)-0.00354*((Table1[[#This Row],[Gestation (days)]]+0.5)/7)^2)*Table1[[#This Row],[BW40_3705]],"")</f>
        <v/>
      </c>
      <c r="G569" s="2" t="str">
        <f>IF(Table1[[#This Row],[Is Data Valid]]=TRUE,((Table1[[#This Row],[Birthweight (grams)]]/Table1[[#This Row],[BW_GA]])-1)/(Backend!$B$4/100*Table1[[#This Row],[BW40_3705]]),"")</f>
        <v/>
      </c>
      <c r="H569" s="7" t="str">
        <f>IF(Table1[[#This Row],[Is Data Valid]]=TRUE,((Table1[[#This Row],[Birthweight (grams)]]*0.9/Table1[[#This Row],[BW_GA]])-1)/(Backend!$B$4/100*Table1[[#This Row],[BW40_3705]]),"")</f>
        <v/>
      </c>
      <c r="I569" s="7" t="str">
        <f>IF(Table1[[#This Row],[Is Data Valid]]=TRUE,((Table1[[#This Row],[Birthweight (grams)]]*1.1/Table1[[#This Row],[BW_GA]])-1)/(Backend!$B$4/100*Table1[[#This Row],[BW40_3705]]),"")</f>
        <v/>
      </c>
      <c r="J569" s="7" t="str">
        <f>IF(Table1[[#This Row],[Is Data Valid]]=TRUE,_xlfn.NORM.S.DIST(Table1[[#This Row],[Birthweight Z-Score]],TRUE)*100,"")</f>
        <v/>
      </c>
      <c r="K569" s="7" t="str">
        <f>IF(Table1[[#This Row],[Is Data Valid]]=TRUE,_xlfn.NORM.S.DIST(Table1[[#This Row],[Birthweight Z-Score (BW-10%)]],TRUE)*100,"")</f>
        <v/>
      </c>
      <c r="L569" s="7" t="str">
        <f>IF(Table1[[#This Row],[Is Data Valid]]=TRUE,_xlfn.NORM.S.DIST(Table1[[#This Row],[Birthweight Z-Score (BW+10%)]],TRUE)*100,"")</f>
        <v/>
      </c>
    </row>
    <row r="570" spans="1:12" x14ac:dyDescent="0.35">
      <c r="A570" s="3"/>
      <c r="B570" s="2"/>
      <c r="C570" s="2"/>
      <c r="D570" s="2" t="b">
        <f>IF(AND(NOT(ISBLANK(Table1[[#This Row],[Fetal Sex (Male, Female or Unknown)]])),ISNUMBER(Table1[[#This Row],[Birthweight (grams)]]),ISNUMBER(Table1[[#This Row],[Gestation (days)]])),TRUE,FALSE)</f>
        <v>0</v>
      </c>
      <c r="E570" s="2" t="str">
        <f>IF(Table1[[#This Row],[Is Data Valid]]=TRUE,IF(Table1[[#This Row],[Fetal Sex (Male, Female or Unknown)]]="Male",Backend!$C$6,IF(Table1[[#This Row],[Fetal Sex (Male, Female or Unknown)]]="Female",Backend!$C$7,IF(Table1[[#This Row],[Fetal Sex (Male, Female or Unknown)]]="Unknown",Backend!$C$8,"Error"))),"")</f>
        <v/>
      </c>
      <c r="F570" s="8" t="str">
        <f>IF(Table1[[#This Row],[Is Data Valid]]=TRUE,EXP(0.578+0.332*((Table1[[#This Row],[Gestation (days)]]+0.5)/7)-0.00354*((Table1[[#This Row],[Gestation (days)]]+0.5)/7)^2)*Table1[[#This Row],[BW40_3705]],"")</f>
        <v/>
      </c>
      <c r="G570" s="2" t="str">
        <f>IF(Table1[[#This Row],[Is Data Valid]]=TRUE,((Table1[[#This Row],[Birthweight (grams)]]/Table1[[#This Row],[BW_GA]])-1)/(Backend!$B$4/100*Table1[[#This Row],[BW40_3705]]),"")</f>
        <v/>
      </c>
      <c r="H570" s="7" t="str">
        <f>IF(Table1[[#This Row],[Is Data Valid]]=TRUE,((Table1[[#This Row],[Birthweight (grams)]]*0.9/Table1[[#This Row],[BW_GA]])-1)/(Backend!$B$4/100*Table1[[#This Row],[BW40_3705]]),"")</f>
        <v/>
      </c>
      <c r="I570" s="7" t="str">
        <f>IF(Table1[[#This Row],[Is Data Valid]]=TRUE,((Table1[[#This Row],[Birthweight (grams)]]*1.1/Table1[[#This Row],[BW_GA]])-1)/(Backend!$B$4/100*Table1[[#This Row],[BW40_3705]]),"")</f>
        <v/>
      </c>
      <c r="J570" s="7" t="str">
        <f>IF(Table1[[#This Row],[Is Data Valid]]=TRUE,_xlfn.NORM.S.DIST(Table1[[#This Row],[Birthweight Z-Score]],TRUE)*100,"")</f>
        <v/>
      </c>
      <c r="K570" s="7" t="str">
        <f>IF(Table1[[#This Row],[Is Data Valid]]=TRUE,_xlfn.NORM.S.DIST(Table1[[#This Row],[Birthweight Z-Score (BW-10%)]],TRUE)*100,"")</f>
        <v/>
      </c>
      <c r="L570" s="7" t="str">
        <f>IF(Table1[[#This Row],[Is Data Valid]]=TRUE,_xlfn.NORM.S.DIST(Table1[[#This Row],[Birthweight Z-Score (BW+10%)]],TRUE)*100,"")</f>
        <v/>
      </c>
    </row>
    <row r="571" spans="1:12" x14ac:dyDescent="0.35">
      <c r="A571" s="3"/>
      <c r="B571" s="2"/>
      <c r="C571" s="2"/>
      <c r="D571" s="2" t="b">
        <f>IF(AND(NOT(ISBLANK(Table1[[#This Row],[Fetal Sex (Male, Female or Unknown)]])),ISNUMBER(Table1[[#This Row],[Birthweight (grams)]]),ISNUMBER(Table1[[#This Row],[Gestation (days)]])),TRUE,FALSE)</f>
        <v>0</v>
      </c>
      <c r="E571" s="2" t="str">
        <f>IF(Table1[[#This Row],[Is Data Valid]]=TRUE,IF(Table1[[#This Row],[Fetal Sex (Male, Female or Unknown)]]="Male",Backend!$C$6,IF(Table1[[#This Row],[Fetal Sex (Male, Female or Unknown)]]="Female",Backend!$C$7,IF(Table1[[#This Row],[Fetal Sex (Male, Female or Unknown)]]="Unknown",Backend!$C$8,"Error"))),"")</f>
        <v/>
      </c>
      <c r="F571" s="8" t="str">
        <f>IF(Table1[[#This Row],[Is Data Valid]]=TRUE,EXP(0.578+0.332*((Table1[[#This Row],[Gestation (days)]]+0.5)/7)-0.00354*((Table1[[#This Row],[Gestation (days)]]+0.5)/7)^2)*Table1[[#This Row],[BW40_3705]],"")</f>
        <v/>
      </c>
      <c r="G571" s="2" t="str">
        <f>IF(Table1[[#This Row],[Is Data Valid]]=TRUE,((Table1[[#This Row],[Birthweight (grams)]]/Table1[[#This Row],[BW_GA]])-1)/(Backend!$B$4/100*Table1[[#This Row],[BW40_3705]]),"")</f>
        <v/>
      </c>
      <c r="H571" s="7" t="str">
        <f>IF(Table1[[#This Row],[Is Data Valid]]=TRUE,((Table1[[#This Row],[Birthweight (grams)]]*0.9/Table1[[#This Row],[BW_GA]])-1)/(Backend!$B$4/100*Table1[[#This Row],[BW40_3705]]),"")</f>
        <v/>
      </c>
      <c r="I571" s="7" t="str">
        <f>IF(Table1[[#This Row],[Is Data Valid]]=TRUE,((Table1[[#This Row],[Birthweight (grams)]]*1.1/Table1[[#This Row],[BW_GA]])-1)/(Backend!$B$4/100*Table1[[#This Row],[BW40_3705]]),"")</f>
        <v/>
      </c>
      <c r="J571" s="7" t="str">
        <f>IF(Table1[[#This Row],[Is Data Valid]]=TRUE,_xlfn.NORM.S.DIST(Table1[[#This Row],[Birthweight Z-Score]],TRUE)*100,"")</f>
        <v/>
      </c>
      <c r="K571" s="7" t="str">
        <f>IF(Table1[[#This Row],[Is Data Valid]]=TRUE,_xlfn.NORM.S.DIST(Table1[[#This Row],[Birthweight Z-Score (BW-10%)]],TRUE)*100,"")</f>
        <v/>
      </c>
      <c r="L571" s="7" t="str">
        <f>IF(Table1[[#This Row],[Is Data Valid]]=TRUE,_xlfn.NORM.S.DIST(Table1[[#This Row],[Birthweight Z-Score (BW+10%)]],TRUE)*100,"")</f>
        <v/>
      </c>
    </row>
    <row r="572" spans="1:12" x14ac:dyDescent="0.35">
      <c r="A572" s="3"/>
      <c r="B572" s="2"/>
      <c r="C572" s="2"/>
      <c r="D572" s="2" t="b">
        <f>IF(AND(NOT(ISBLANK(Table1[[#This Row],[Fetal Sex (Male, Female or Unknown)]])),ISNUMBER(Table1[[#This Row],[Birthweight (grams)]]),ISNUMBER(Table1[[#This Row],[Gestation (days)]])),TRUE,FALSE)</f>
        <v>0</v>
      </c>
      <c r="E572" s="2" t="str">
        <f>IF(Table1[[#This Row],[Is Data Valid]]=TRUE,IF(Table1[[#This Row],[Fetal Sex (Male, Female or Unknown)]]="Male",Backend!$C$6,IF(Table1[[#This Row],[Fetal Sex (Male, Female or Unknown)]]="Female",Backend!$C$7,IF(Table1[[#This Row],[Fetal Sex (Male, Female or Unknown)]]="Unknown",Backend!$C$8,"Error"))),"")</f>
        <v/>
      </c>
      <c r="F572" s="8" t="str">
        <f>IF(Table1[[#This Row],[Is Data Valid]]=TRUE,EXP(0.578+0.332*((Table1[[#This Row],[Gestation (days)]]+0.5)/7)-0.00354*((Table1[[#This Row],[Gestation (days)]]+0.5)/7)^2)*Table1[[#This Row],[BW40_3705]],"")</f>
        <v/>
      </c>
      <c r="G572" s="2" t="str">
        <f>IF(Table1[[#This Row],[Is Data Valid]]=TRUE,((Table1[[#This Row],[Birthweight (grams)]]/Table1[[#This Row],[BW_GA]])-1)/(Backend!$B$4/100*Table1[[#This Row],[BW40_3705]]),"")</f>
        <v/>
      </c>
      <c r="H572" s="7" t="str">
        <f>IF(Table1[[#This Row],[Is Data Valid]]=TRUE,((Table1[[#This Row],[Birthweight (grams)]]*0.9/Table1[[#This Row],[BW_GA]])-1)/(Backend!$B$4/100*Table1[[#This Row],[BW40_3705]]),"")</f>
        <v/>
      </c>
      <c r="I572" s="7" t="str">
        <f>IF(Table1[[#This Row],[Is Data Valid]]=TRUE,((Table1[[#This Row],[Birthweight (grams)]]*1.1/Table1[[#This Row],[BW_GA]])-1)/(Backend!$B$4/100*Table1[[#This Row],[BW40_3705]]),"")</f>
        <v/>
      </c>
      <c r="J572" s="7" t="str">
        <f>IF(Table1[[#This Row],[Is Data Valid]]=TRUE,_xlfn.NORM.S.DIST(Table1[[#This Row],[Birthweight Z-Score]],TRUE)*100,"")</f>
        <v/>
      </c>
      <c r="K572" s="7" t="str">
        <f>IF(Table1[[#This Row],[Is Data Valid]]=TRUE,_xlfn.NORM.S.DIST(Table1[[#This Row],[Birthweight Z-Score (BW-10%)]],TRUE)*100,"")</f>
        <v/>
      </c>
      <c r="L572" s="7" t="str">
        <f>IF(Table1[[#This Row],[Is Data Valid]]=TRUE,_xlfn.NORM.S.DIST(Table1[[#This Row],[Birthweight Z-Score (BW+10%)]],TRUE)*100,"")</f>
        <v/>
      </c>
    </row>
    <row r="573" spans="1:12" x14ac:dyDescent="0.35">
      <c r="A573" s="3"/>
      <c r="B573" s="2"/>
      <c r="C573" s="2"/>
      <c r="D573" s="2" t="b">
        <f>IF(AND(NOT(ISBLANK(Table1[[#This Row],[Fetal Sex (Male, Female or Unknown)]])),ISNUMBER(Table1[[#This Row],[Birthweight (grams)]]),ISNUMBER(Table1[[#This Row],[Gestation (days)]])),TRUE,FALSE)</f>
        <v>0</v>
      </c>
      <c r="E573" s="2" t="str">
        <f>IF(Table1[[#This Row],[Is Data Valid]]=TRUE,IF(Table1[[#This Row],[Fetal Sex (Male, Female or Unknown)]]="Male",Backend!$C$6,IF(Table1[[#This Row],[Fetal Sex (Male, Female or Unknown)]]="Female",Backend!$C$7,IF(Table1[[#This Row],[Fetal Sex (Male, Female or Unknown)]]="Unknown",Backend!$C$8,"Error"))),"")</f>
        <v/>
      </c>
      <c r="F573" s="8" t="str">
        <f>IF(Table1[[#This Row],[Is Data Valid]]=TRUE,EXP(0.578+0.332*((Table1[[#This Row],[Gestation (days)]]+0.5)/7)-0.00354*((Table1[[#This Row],[Gestation (days)]]+0.5)/7)^2)*Table1[[#This Row],[BW40_3705]],"")</f>
        <v/>
      </c>
      <c r="G573" s="2" t="str">
        <f>IF(Table1[[#This Row],[Is Data Valid]]=TRUE,((Table1[[#This Row],[Birthweight (grams)]]/Table1[[#This Row],[BW_GA]])-1)/(Backend!$B$4/100*Table1[[#This Row],[BW40_3705]]),"")</f>
        <v/>
      </c>
      <c r="H573" s="7" t="str">
        <f>IF(Table1[[#This Row],[Is Data Valid]]=TRUE,((Table1[[#This Row],[Birthweight (grams)]]*0.9/Table1[[#This Row],[BW_GA]])-1)/(Backend!$B$4/100*Table1[[#This Row],[BW40_3705]]),"")</f>
        <v/>
      </c>
      <c r="I573" s="7" t="str">
        <f>IF(Table1[[#This Row],[Is Data Valid]]=TRUE,((Table1[[#This Row],[Birthweight (grams)]]*1.1/Table1[[#This Row],[BW_GA]])-1)/(Backend!$B$4/100*Table1[[#This Row],[BW40_3705]]),"")</f>
        <v/>
      </c>
      <c r="J573" s="7" t="str">
        <f>IF(Table1[[#This Row],[Is Data Valid]]=TRUE,_xlfn.NORM.S.DIST(Table1[[#This Row],[Birthweight Z-Score]],TRUE)*100,"")</f>
        <v/>
      </c>
      <c r="K573" s="7" t="str">
        <f>IF(Table1[[#This Row],[Is Data Valid]]=TRUE,_xlfn.NORM.S.DIST(Table1[[#This Row],[Birthweight Z-Score (BW-10%)]],TRUE)*100,"")</f>
        <v/>
      </c>
      <c r="L573" s="7" t="str">
        <f>IF(Table1[[#This Row],[Is Data Valid]]=TRUE,_xlfn.NORM.S.DIST(Table1[[#This Row],[Birthweight Z-Score (BW+10%)]],TRUE)*100,"")</f>
        <v/>
      </c>
    </row>
    <row r="574" spans="1:12" x14ac:dyDescent="0.35">
      <c r="A574" s="3"/>
      <c r="B574" s="2"/>
      <c r="C574" s="2"/>
      <c r="D574" s="2" t="b">
        <f>IF(AND(NOT(ISBLANK(Table1[[#This Row],[Fetal Sex (Male, Female or Unknown)]])),ISNUMBER(Table1[[#This Row],[Birthweight (grams)]]),ISNUMBER(Table1[[#This Row],[Gestation (days)]])),TRUE,FALSE)</f>
        <v>0</v>
      </c>
      <c r="E574" s="2" t="str">
        <f>IF(Table1[[#This Row],[Is Data Valid]]=TRUE,IF(Table1[[#This Row],[Fetal Sex (Male, Female or Unknown)]]="Male",Backend!$C$6,IF(Table1[[#This Row],[Fetal Sex (Male, Female or Unknown)]]="Female",Backend!$C$7,IF(Table1[[#This Row],[Fetal Sex (Male, Female or Unknown)]]="Unknown",Backend!$C$8,"Error"))),"")</f>
        <v/>
      </c>
      <c r="F574" s="8" t="str">
        <f>IF(Table1[[#This Row],[Is Data Valid]]=TRUE,EXP(0.578+0.332*((Table1[[#This Row],[Gestation (days)]]+0.5)/7)-0.00354*((Table1[[#This Row],[Gestation (days)]]+0.5)/7)^2)*Table1[[#This Row],[BW40_3705]],"")</f>
        <v/>
      </c>
      <c r="G574" s="2" t="str">
        <f>IF(Table1[[#This Row],[Is Data Valid]]=TRUE,((Table1[[#This Row],[Birthweight (grams)]]/Table1[[#This Row],[BW_GA]])-1)/(Backend!$B$4/100*Table1[[#This Row],[BW40_3705]]),"")</f>
        <v/>
      </c>
      <c r="H574" s="7" t="str">
        <f>IF(Table1[[#This Row],[Is Data Valid]]=TRUE,((Table1[[#This Row],[Birthweight (grams)]]*0.9/Table1[[#This Row],[BW_GA]])-1)/(Backend!$B$4/100*Table1[[#This Row],[BW40_3705]]),"")</f>
        <v/>
      </c>
      <c r="I574" s="7" t="str">
        <f>IF(Table1[[#This Row],[Is Data Valid]]=TRUE,((Table1[[#This Row],[Birthweight (grams)]]*1.1/Table1[[#This Row],[BW_GA]])-1)/(Backend!$B$4/100*Table1[[#This Row],[BW40_3705]]),"")</f>
        <v/>
      </c>
      <c r="J574" s="7" t="str">
        <f>IF(Table1[[#This Row],[Is Data Valid]]=TRUE,_xlfn.NORM.S.DIST(Table1[[#This Row],[Birthweight Z-Score]],TRUE)*100,"")</f>
        <v/>
      </c>
      <c r="K574" s="7" t="str">
        <f>IF(Table1[[#This Row],[Is Data Valid]]=TRUE,_xlfn.NORM.S.DIST(Table1[[#This Row],[Birthweight Z-Score (BW-10%)]],TRUE)*100,"")</f>
        <v/>
      </c>
      <c r="L574" s="7" t="str">
        <f>IF(Table1[[#This Row],[Is Data Valid]]=TRUE,_xlfn.NORM.S.DIST(Table1[[#This Row],[Birthweight Z-Score (BW+10%)]],TRUE)*100,"")</f>
        <v/>
      </c>
    </row>
    <row r="575" spans="1:12" x14ac:dyDescent="0.35">
      <c r="A575" s="3"/>
      <c r="B575" s="2"/>
      <c r="C575" s="2"/>
      <c r="D575" s="2" t="b">
        <f>IF(AND(NOT(ISBLANK(Table1[[#This Row],[Fetal Sex (Male, Female or Unknown)]])),ISNUMBER(Table1[[#This Row],[Birthweight (grams)]]),ISNUMBER(Table1[[#This Row],[Gestation (days)]])),TRUE,FALSE)</f>
        <v>0</v>
      </c>
      <c r="E575" s="2" t="str">
        <f>IF(Table1[[#This Row],[Is Data Valid]]=TRUE,IF(Table1[[#This Row],[Fetal Sex (Male, Female or Unknown)]]="Male",Backend!$C$6,IF(Table1[[#This Row],[Fetal Sex (Male, Female or Unknown)]]="Female",Backend!$C$7,IF(Table1[[#This Row],[Fetal Sex (Male, Female or Unknown)]]="Unknown",Backend!$C$8,"Error"))),"")</f>
        <v/>
      </c>
      <c r="F575" s="8" t="str">
        <f>IF(Table1[[#This Row],[Is Data Valid]]=TRUE,EXP(0.578+0.332*((Table1[[#This Row],[Gestation (days)]]+0.5)/7)-0.00354*((Table1[[#This Row],[Gestation (days)]]+0.5)/7)^2)*Table1[[#This Row],[BW40_3705]],"")</f>
        <v/>
      </c>
      <c r="G575" s="2" t="str">
        <f>IF(Table1[[#This Row],[Is Data Valid]]=TRUE,((Table1[[#This Row],[Birthweight (grams)]]/Table1[[#This Row],[BW_GA]])-1)/(Backend!$B$4/100*Table1[[#This Row],[BW40_3705]]),"")</f>
        <v/>
      </c>
      <c r="H575" s="7" t="str">
        <f>IF(Table1[[#This Row],[Is Data Valid]]=TRUE,((Table1[[#This Row],[Birthweight (grams)]]*0.9/Table1[[#This Row],[BW_GA]])-1)/(Backend!$B$4/100*Table1[[#This Row],[BW40_3705]]),"")</f>
        <v/>
      </c>
      <c r="I575" s="7" t="str">
        <f>IF(Table1[[#This Row],[Is Data Valid]]=TRUE,((Table1[[#This Row],[Birthweight (grams)]]*1.1/Table1[[#This Row],[BW_GA]])-1)/(Backend!$B$4/100*Table1[[#This Row],[BW40_3705]]),"")</f>
        <v/>
      </c>
      <c r="J575" s="7" t="str">
        <f>IF(Table1[[#This Row],[Is Data Valid]]=TRUE,_xlfn.NORM.S.DIST(Table1[[#This Row],[Birthweight Z-Score]],TRUE)*100,"")</f>
        <v/>
      </c>
      <c r="K575" s="7" t="str">
        <f>IF(Table1[[#This Row],[Is Data Valid]]=TRUE,_xlfn.NORM.S.DIST(Table1[[#This Row],[Birthweight Z-Score (BW-10%)]],TRUE)*100,"")</f>
        <v/>
      </c>
      <c r="L575" s="7" t="str">
        <f>IF(Table1[[#This Row],[Is Data Valid]]=TRUE,_xlfn.NORM.S.DIST(Table1[[#This Row],[Birthweight Z-Score (BW+10%)]],TRUE)*100,"")</f>
        <v/>
      </c>
    </row>
    <row r="576" spans="1:12" x14ac:dyDescent="0.35">
      <c r="A576" s="3"/>
      <c r="B576" s="2"/>
      <c r="C576" s="2"/>
      <c r="D576" s="2" t="b">
        <f>IF(AND(NOT(ISBLANK(Table1[[#This Row],[Fetal Sex (Male, Female or Unknown)]])),ISNUMBER(Table1[[#This Row],[Birthweight (grams)]]),ISNUMBER(Table1[[#This Row],[Gestation (days)]])),TRUE,FALSE)</f>
        <v>0</v>
      </c>
      <c r="E576" s="2" t="str">
        <f>IF(Table1[[#This Row],[Is Data Valid]]=TRUE,IF(Table1[[#This Row],[Fetal Sex (Male, Female or Unknown)]]="Male",Backend!$C$6,IF(Table1[[#This Row],[Fetal Sex (Male, Female or Unknown)]]="Female",Backend!$C$7,IF(Table1[[#This Row],[Fetal Sex (Male, Female or Unknown)]]="Unknown",Backend!$C$8,"Error"))),"")</f>
        <v/>
      </c>
      <c r="F576" s="8" t="str">
        <f>IF(Table1[[#This Row],[Is Data Valid]]=TRUE,EXP(0.578+0.332*((Table1[[#This Row],[Gestation (days)]]+0.5)/7)-0.00354*((Table1[[#This Row],[Gestation (days)]]+0.5)/7)^2)*Table1[[#This Row],[BW40_3705]],"")</f>
        <v/>
      </c>
      <c r="G576" s="2" t="str">
        <f>IF(Table1[[#This Row],[Is Data Valid]]=TRUE,((Table1[[#This Row],[Birthweight (grams)]]/Table1[[#This Row],[BW_GA]])-1)/(Backend!$B$4/100*Table1[[#This Row],[BW40_3705]]),"")</f>
        <v/>
      </c>
      <c r="H576" s="7" t="str">
        <f>IF(Table1[[#This Row],[Is Data Valid]]=TRUE,((Table1[[#This Row],[Birthweight (grams)]]*0.9/Table1[[#This Row],[BW_GA]])-1)/(Backend!$B$4/100*Table1[[#This Row],[BW40_3705]]),"")</f>
        <v/>
      </c>
      <c r="I576" s="7" t="str">
        <f>IF(Table1[[#This Row],[Is Data Valid]]=TRUE,((Table1[[#This Row],[Birthweight (grams)]]*1.1/Table1[[#This Row],[BW_GA]])-1)/(Backend!$B$4/100*Table1[[#This Row],[BW40_3705]]),"")</f>
        <v/>
      </c>
      <c r="J576" s="7" t="str">
        <f>IF(Table1[[#This Row],[Is Data Valid]]=TRUE,_xlfn.NORM.S.DIST(Table1[[#This Row],[Birthweight Z-Score]],TRUE)*100,"")</f>
        <v/>
      </c>
      <c r="K576" s="7" t="str">
        <f>IF(Table1[[#This Row],[Is Data Valid]]=TRUE,_xlfn.NORM.S.DIST(Table1[[#This Row],[Birthweight Z-Score (BW-10%)]],TRUE)*100,"")</f>
        <v/>
      </c>
      <c r="L576" s="7" t="str">
        <f>IF(Table1[[#This Row],[Is Data Valid]]=TRUE,_xlfn.NORM.S.DIST(Table1[[#This Row],[Birthweight Z-Score (BW+10%)]],TRUE)*100,"")</f>
        <v/>
      </c>
    </row>
    <row r="577" spans="1:12" x14ac:dyDescent="0.35">
      <c r="A577" s="3"/>
      <c r="B577" s="2"/>
      <c r="C577" s="2"/>
      <c r="D577" s="2" t="b">
        <f>IF(AND(NOT(ISBLANK(Table1[[#This Row],[Fetal Sex (Male, Female or Unknown)]])),ISNUMBER(Table1[[#This Row],[Birthweight (grams)]]),ISNUMBER(Table1[[#This Row],[Gestation (days)]])),TRUE,FALSE)</f>
        <v>0</v>
      </c>
      <c r="E577" s="2" t="str">
        <f>IF(Table1[[#This Row],[Is Data Valid]]=TRUE,IF(Table1[[#This Row],[Fetal Sex (Male, Female or Unknown)]]="Male",Backend!$C$6,IF(Table1[[#This Row],[Fetal Sex (Male, Female or Unknown)]]="Female",Backend!$C$7,IF(Table1[[#This Row],[Fetal Sex (Male, Female or Unknown)]]="Unknown",Backend!$C$8,"Error"))),"")</f>
        <v/>
      </c>
      <c r="F577" s="8" t="str">
        <f>IF(Table1[[#This Row],[Is Data Valid]]=TRUE,EXP(0.578+0.332*((Table1[[#This Row],[Gestation (days)]]+0.5)/7)-0.00354*((Table1[[#This Row],[Gestation (days)]]+0.5)/7)^2)*Table1[[#This Row],[BW40_3705]],"")</f>
        <v/>
      </c>
      <c r="G577" s="2" t="str">
        <f>IF(Table1[[#This Row],[Is Data Valid]]=TRUE,((Table1[[#This Row],[Birthweight (grams)]]/Table1[[#This Row],[BW_GA]])-1)/(Backend!$B$4/100*Table1[[#This Row],[BW40_3705]]),"")</f>
        <v/>
      </c>
      <c r="H577" s="7" t="str">
        <f>IF(Table1[[#This Row],[Is Data Valid]]=TRUE,((Table1[[#This Row],[Birthweight (grams)]]*0.9/Table1[[#This Row],[BW_GA]])-1)/(Backend!$B$4/100*Table1[[#This Row],[BW40_3705]]),"")</f>
        <v/>
      </c>
      <c r="I577" s="7" t="str">
        <f>IF(Table1[[#This Row],[Is Data Valid]]=TRUE,((Table1[[#This Row],[Birthweight (grams)]]*1.1/Table1[[#This Row],[BW_GA]])-1)/(Backend!$B$4/100*Table1[[#This Row],[BW40_3705]]),"")</f>
        <v/>
      </c>
      <c r="J577" s="7" t="str">
        <f>IF(Table1[[#This Row],[Is Data Valid]]=TRUE,_xlfn.NORM.S.DIST(Table1[[#This Row],[Birthweight Z-Score]],TRUE)*100,"")</f>
        <v/>
      </c>
      <c r="K577" s="7" t="str">
        <f>IF(Table1[[#This Row],[Is Data Valid]]=TRUE,_xlfn.NORM.S.DIST(Table1[[#This Row],[Birthweight Z-Score (BW-10%)]],TRUE)*100,"")</f>
        <v/>
      </c>
      <c r="L577" s="7" t="str">
        <f>IF(Table1[[#This Row],[Is Data Valid]]=TRUE,_xlfn.NORM.S.DIST(Table1[[#This Row],[Birthweight Z-Score (BW+10%)]],TRUE)*100,"")</f>
        <v/>
      </c>
    </row>
    <row r="578" spans="1:12" x14ac:dyDescent="0.35">
      <c r="A578" s="3"/>
      <c r="B578" s="2"/>
      <c r="C578" s="2"/>
      <c r="D578" s="2" t="b">
        <f>IF(AND(NOT(ISBLANK(Table1[[#This Row],[Fetal Sex (Male, Female or Unknown)]])),ISNUMBER(Table1[[#This Row],[Birthweight (grams)]]),ISNUMBER(Table1[[#This Row],[Gestation (days)]])),TRUE,FALSE)</f>
        <v>0</v>
      </c>
      <c r="E578" s="2" t="str">
        <f>IF(Table1[[#This Row],[Is Data Valid]]=TRUE,IF(Table1[[#This Row],[Fetal Sex (Male, Female or Unknown)]]="Male",Backend!$C$6,IF(Table1[[#This Row],[Fetal Sex (Male, Female or Unknown)]]="Female",Backend!$C$7,IF(Table1[[#This Row],[Fetal Sex (Male, Female or Unknown)]]="Unknown",Backend!$C$8,"Error"))),"")</f>
        <v/>
      </c>
      <c r="F578" s="8" t="str">
        <f>IF(Table1[[#This Row],[Is Data Valid]]=TRUE,EXP(0.578+0.332*((Table1[[#This Row],[Gestation (days)]]+0.5)/7)-0.00354*((Table1[[#This Row],[Gestation (days)]]+0.5)/7)^2)*Table1[[#This Row],[BW40_3705]],"")</f>
        <v/>
      </c>
      <c r="G578" s="2" t="str">
        <f>IF(Table1[[#This Row],[Is Data Valid]]=TRUE,((Table1[[#This Row],[Birthweight (grams)]]/Table1[[#This Row],[BW_GA]])-1)/(Backend!$B$4/100*Table1[[#This Row],[BW40_3705]]),"")</f>
        <v/>
      </c>
      <c r="H578" s="7" t="str">
        <f>IF(Table1[[#This Row],[Is Data Valid]]=TRUE,((Table1[[#This Row],[Birthweight (grams)]]*0.9/Table1[[#This Row],[BW_GA]])-1)/(Backend!$B$4/100*Table1[[#This Row],[BW40_3705]]),"")</f>
        <v/>
      </c>
      <c r="I578" s="7" t="str">
        <f>IF(Table1[[#This Row],[Is Data Valid]]=TRUE,((Table1[[#This Row],[Birthweight (grams)]]*1.1/Table1[[#This Row],[BW_GA]])-1)/(Backend!$B$4/100*Table1[[#This Row],[BW40_3705]]),"")</f>
        <v/>
      </c>
      <c r="J578" s="7" t="str">
        <f>IF(Table1[[#This Row],[Is Data Valid]]=TRUE,_xlfn.NORM.S.DIST(Table1[[#This Row],[Birthweight Z-Score]],TRUE)*100,"")</f>
        <v/>
      </c>
      <c r="K578" s="7" t="str">
        <f>IF(Table1[[#This Row],[Is Data Valid]]=TRUE,_xlfn.NORM.S.DIST(Table1[[#This Row],[Birthweight Z-Score (BW-10%)]],TRUE)*100,"")</f>
        <v/>
      </c>
      <c r="L578" s="7" t="str">
        <f>IF(Table1[[#This Row],[Is Data Valid]]=TRUE,_xlfn.NORM.S.DIST(Table1[[#This Row],[Birthweight Z-Score (BW+10%)]],TRUE)*100,"")</f>
        <v/>
      </c>
    </row>
    <row r="579" spans="1:12" x14ac:dyDescent="0.35">
      <c r="A579" s="3"/>
      <c r="B579" s="2"/>
      <c r="C579" s="2"/>
      <c r="D579" s="2" t="b">
        <f>IF(AND(NOT(ISBLANK(Table1[[#This Row],[Fetal Sex (Male, Female or Unknown)]])),ISNUMBER(Table1[[#This Row],[Birthweight (grams)]]),ISNUMBER(Table1[[#This Row],[Gestation (days)]])),TRUE,FALSE)</f>
        <v>0</v>
      </c>
      <c r="E579" s="2" t="str">
        <f>IF(Table1[[#This Row],[Is Data Valid]]=TRUE,IF(Table1[[#This Row],[Fetal Sex (Male, Female or Unknown)]]="Male",Backend!$C$6,IF(Table1[[#This Row],[Fetal Sex (Male, Female or Unknown)]]="Female",Backend!$C$7,IF(Table1[[#This Row],[Fetal Sex (Male, Female or Unknown)]]="Unknown",Backend!$C$8,"Error"))),"")</f>
        <v/>
      </c>
      <c r="F579" s="8" t="str">
        <f>IF(Table1[[#This Row],[Is Data Valid]]=TRUE,EXP(0.578+0.332*((Table1[[#This Row],[Gestation (days)]]+0.5)/7)-0.00354*((Table1[[#This Row],[Gestation (days)]]+0.5)/7)^2)*Table1[[#This Row],[BW40_3705]],"")</f>
        <v/>
      </c>
      <c r="G579" s="2" t="str">
        <f>IF(Table1[[#This Row],[Is Data Valid]]=TRUE,((Table1[[#This Row],[Birthweight (grams)]]/Table1[[#This Row],[BW_GA]])-1)/(Backend!$B$4/100*Table1[[#This Row],[BW40_3705]]),"")</f>
        <v/>
      </c>
      <c r="H579" s="7" t="str">
        <f>IF(Table1[[#This Row],[Is Data Valid]]=TRUE,((Table1[[#This Row],[Birthweight (grams)]]*0.9/Table1[[#This Row],[BW_GA]])-1)/(Backend!$B$4/100*Table1[[#This Row],[BW40_3705]]),"")</f>
        <v/>
      </c>
      <c r="I579" s="7" t="str">
        <f>IF(Table1[[#This Row],[Is Data Valid]]=TRUE,((Table1[[#This Row],[Birthweight (grams)]]*1.1/Table1[[#This Row],[BW_GA]])-1)/(Backend!$B$4/100*Table1[[#This Row],[BW40_3705]]),"")</f>
        <v/>
      </c>
      <c r="J579" s="7" t="str">
        <f>IF(Table1[[#This Row],[Is Data Valid]]=TRUE,_xlfn.NORM.S.DIST(Table1[[#This Row],[Birthweight Z-Score]],TRUE)*100,"")</f>
        <v/>
      </c>
      <c r="K579" s="7" t="str">
        <f>IF(Table1[[#This Row],[Is Data Valid]]=TRUE,_xlfn.NORM.S.DIST(Table1[[#This Row],[Birthweight Z-Score (BW-10%)]],TRUE)*100,"")</f>
        <v/>
      </c>
      <c r="L579" s="7" t="str">
        <f>IF(Table1[[#This Row],[Is Data Valid]]=TRUE,_xlfn.NORM.S.DIST(Table1[[#This Row],[Birthweight Z-Score (BW+10%)]],TRUE)*100,"")</f>
        <v/>
      </c>
    </row>
    <row r="580" spans="1:12" x14ac:dyDescent="0.35">
      <c r="A580" s="3"/>
      <c r="B580" s="2"/>
      <c r="C580" s="2"/>
      <c r="D580" s="2" t="b">
        <f>IF(AND(NOT(ISBLANK(Table1[[#This Row],[Fetal Sex (Male, Female or Unknown)]])),ISNUMBER(Table1[[#This Row],[Birthweight (grams)]]),ISNUMBER(Table1[[#This Row],[Gestation (days)]])),TRUE,FALSE)</f>
        <v>0</v>
      </c>
      <c r="E580" s="2" t="str">
        <f>IF(Table1[[#This Row],[Is Data Valid]]=TRUE,IF(Table1[[#This Row],[Fetal Sex (Male, Female or Unknown)]]="Male",Backend!$C$6,IF(Table1[[#This Row],[Fetal Sex (Male, Female or Unknown)]]="Female",Backend!$C$7,IF(Table1[[#This Row],[Fetal Sex (Male, Female or Unknown)]]="Unknown",Backend!$C$8,"Error"))),"")</f>
        <v/>
      </c>
      <c r="F580" s="8" t="str">
        <f>IF(Table1[[#This Row],[Is Data Valid]]=TRUE,EXP(0.578+0.332*((Table1[[#This Row],[Gestation (days)]]+0.5)/7)-0.00354*((Table1[[#This Row],[Gestation (days)]]+0.5)/7)^2)*Table1[[#This Row],[BW40_3705]],"")</f>
        <v/>
      </c>
      <c r="G580" s="2" t="str">
        <f>IF(Table1[[#This Row],[Is Data Valid]]=TRUE,((Table1[[#This Row],[Birthweight (grams)]]/Table1[[#This Row],[BW_GA]])-1)/(Backend!$B$4/100*Table1[[#This Row],[BW40_3705]]),"")</f>
        <v/>
      </c>
      <c r="H580" s="7" t="str">
        <f>IF(Table1[[#This Row],[Is Data Valid]]=TRUE,((Table1[[#This Row],[Birthweight (grams)]]*0.9/Table1[[#This Row],[BW_GA]])-1)/(Backend!$B$4/100*Table1[[#This Row],[BW40_3705]]),"")</f>
        <v/>
      </c>
      <c r="I580" s="7" t="str">
        <f>IF(Table1[[#This Row],[Is Data Valid]]=TRUE,((Table1[[#This Row],[Birthweight (grams)]]*1.1/Table1[[#This Row],[BW_GA]])-1)/(Backend!$B$4/100*Table1[[#This Row],[BW40_3705]]),"")</f>
        <v/>
      </c>
      <c r="J580" s="7" t="str">
        <f>IF(Table1[[#This Row],[Is Data Valid]]=TRUE,_xlfn.NORM.S.DIST(Table1[[#This Row],[Birthweight Z-Score]],TRUE)*100,"")</f>
        <v/>
      </c>
      <c r="K580" s="7" t="str">
        <f>IF(Table1[[#This Row],[Is Data Valid]]=TRUE,_xlfn.NORM.S.DIST(Table1[[#This Row],[Birthweight Z-Score (BW-10%)]],TRUE)*100,"")</f>
        <v/>
      </c>
      <c r="L580" s="7" t="str">
        <f>IF(Table1[[#This Row],[Is Data Valid]]=TRUE,_xlfn.NORM.S.DIST(Table1[[#This Row],[Birthweight Z-Score (BW+10%)]],TRUE)*100,"")</f>
        <v/>
      </c>
    </row>
    <row r="581" spans="1:12" x14ac:dyDescent="0.35">
      <c r="A581" s="3"/>
      <c r="B581" s="2"/>
      <c r="C581" s="2"/>
      <c r="D581" s="2" t="b">
        <f>IF(AND(NOT(ISBLANK(Table1[[#This Row],[Fetal Sex (Male, Female or Unknown)]])),ISNUMBER(Table1[[#This Row],[Birthweight (grams)]]),ISNUMBER(Table1[[#This Row],[Gestation (days)]])),TRUE,FALSE)</f>
        <v>0</v>
      </c>
      <c r="E581" s="2" t="str">
        <f>IF(Table1[[#This Row],[Is Data Valid]]=TRUE,IF(Table1[[#This Row],[Fetal Sex (Male, Female or Unknown)]]="Male",Backend!$C$6,IF(Table1[[#This Row],[Fetal Sex (Male, Female or Unknown)]]="Female",Backend!$C$7,IF(Table1[[#This Row],[Fetal Sex (Male, Female or Unknown)]]="Unknown",Backend!$C$8,"Error"))),"")</f>
        <v/>
      </c>
      <c r="F581" s="8" t="str">
        <f>IF(Table1[[#This Row],[Is Data Valid]]=TRUE,EXP(0.578+0.332*((Table1[[#This Row],[Gestation (days)]]+0.5)/7)-0.00354*((Table1[[#This Row],[Gestation (days)]]+0.5)/7)^2)*Table1[[#This Row],[BW40_3705]],"")</f>
        <v/>
      </c>
      <c r="G581" s="2" t="str">
        <f>IF(Table1[[#This Row],[Is Data Valid]]=TRUE,((Table1[[#This Row],[Birthweight (grams)]]/Table1[[#This Row],[BW_GA]])-1)/(Backend!$B$4/100*Table1[[#This Row],[BW40_3705]]),"")</f>
        <v/>
      </c>
      <c r="H581" s="7" t="str">
        <f>IF(Table1[[#This Row],[Is Data Valid]]=TRUE,((Table1[[#This Row],[Birthweight (grams)]]*0.9/Table1[[#This Row],[BW_GA]])-1)/(Backend!$B$4/100*Table1[[#This Row],[BW40_3705]]),"")</f>
        <v/>
      </c>
      <c r="I581" s="7" t="str">
        <f>IF(Table1[[#This Row],[Is Data Valid]]=TRUE,((Table1[[#This Row],[Birthweight (grams)]]*1.1/Table1[[#This Row],[BW_GA]])-1)/(Backend!$B$4/100*Table1[[#This Row],[BW40_3705]]),"")</f>
        <v/>
      </c>
      <c r="J581" s="7" t="str">
        <f>IF(Table1[[#This Row],[Is Data Valid]]=TRUE,_xlfn.NORM.S.DIST(Table1[[#This Row],[Birthweight Z-Score]],TRUE)*100,"")</f>
        <v/>
      </c>
      <c r="K581" s="7" t="str">
        <f>IF(Table1[[#This Row],[Is Data Valid]]=TRUE,_xlfn.NORM.S.DIST(Table1[[#This Row],[Birthweight Z-Score (BW-10%)]],TRUE)*100,"")</f>
        <v/>
      </c>
      <c r="L581" s="7" t="str">
        <f>IF(Table1[[#This Row],[Is Data Valid]]=TRUE,_xlfn.NORM.S.DIST(Table1[[#This Row],[Birthweight Z-Score (BW+10%)]],TRUE)*100,"")</f>
        <v/>
      </c>
    </row>
    <row r="582" spans="1:12" x14ac:dyDescent="0.35">
      <c r="A582" s="3"/>
      <c r="B582" s="2"/>
      <c r="C582" s="2"/>
      <c r="D582" s="2" t="b">
        <f>IF(AND(NOT(ISBLANK(Table1[[#This Row],[Fetal Sex (Male, Female or Unknown)]])),ISNUMBER(Table1[[#This Row],[Birthweight (grams)]]),ISNUMBER(Table1[[#This Row],[Gestation (days)]])),TRUE,FALSE)</f>
        <v>0</v>
      </c>
      <c r="E582" s="2" t="str">
        <f>IF(Table1[[#This Row],[Is Data Valid]]=TRUE,IF(Table1[[#This Row],[Fetal Sex (Male, Female or Unknown)]]="Male",Backend!$C$6,IF(Table1[[#This Row],[Fetal Sex (Male, Female or Unknown)]]="Female",Backend!$C$7,IF(Table1[[#This Row],[Fetal Sex (Male, Female or Unknown)]]="Unknown",Backend!$C$8,"Error"))),"")</f>
        <v/>
      </c>
      <c r="F582" s="8" t="str">
        <f>IF(Table1[[#This Row],[Is Data Valid]]=TRUE,EXP(0.578+0.332*((Table1[[#This Row],[Gestation (days)]]+0.5)/7)-0.00354*((Table1[[#This Row],[Gestation (days)]]+0.5)/7)^2)*Table1[[#This Row],[BW40_3705]],"")</f>
        <v/>
      </c>
      <c r="G582" s="2" t="str">
        <f>IF(Table1[[#This Row],[Is Data Valid]]=TRUE,((Table1[[#This Row],[Birthweight (grams)]]/Table1[[#This Row],[BW_GA]])-1)/(Backend!$B$4/100*Table1[[#This Row],[BW40_3705]]),"")</f>
        <v/>
      </c>
      <c r="H582" s="7" t="str">
        <f>IF(Table1[[#This Row],[Is Data Valid]]=TRUE,((Table1[[#This Row],[Birthweight (grams)]]*0.9/Table1[[#This Row],[BW_GA]])-1)/(Backend!$B$4/100*Table1[[#This Row],[BW40_3705]]),"")</f>
        <v/>
      </c>
      <c r="I582" s="7" t="str">
        <f>IF(Table1[[#This Row],[Is Data Valid]]=TRUE,((Table1[[#This Row],[Birthweight (grams)]]*1.1/Table1[[#This Row],[BW_GA]])-1)/(Backend!$B$4/100*Table1[[#This Row],[BW40_3705]]),"")</f>
        <v/>
      </c>
      <c r="J582" s="7" t="str">
        <f>IF(Table1[[#This Row],[Is Data Valid]]=TRUE,_xlfn.NORM.S.DIST(Table1[[#This Row],[Birthweight Z-Score]],TRUE)*100,"")</f>
        <v/>
      </c>
      <c r="K582" s="7" t="str">
        <f>IF(Table1[[#This Row],[Is Data Valid]]=TRUE,_xlfn.NORM.S.DIST(Table1[[#This Row],[Birthweight Z-Score (BW-10%)]],TRUE)*100,"")</f>
        <v/>
      </c>
      <c r="L582" s="7" t="str">
        <f>IF(Table1[[#This Row],[Is Data Valid]]=TRUE,_xlfn.NORM.S.DIST(Table1[[#This Row],[Birthweight Z-Score (BW+10%)]],TRUE)*100,"")</f>
        <v/>
      </c>
    </row>
    <row r="583" spans="1:12" x14ac:dyDescent="0.35">
      <c r="A583" s="3"/>
      <c r="B583" s="2"/>
      <c r="C583" s="2"/>
      <c r="D583" s="2" t="b">
        <f>IF(AND(NOT(ISBLANK(Table1[[#This Row],[Fetal Sex (Male, Female or Unknown)]])),ISNUMBER(Table1[[#This Row],[Birthweight (grams)]]),ISNUMBER(Table1[[#This Row],[Gestation (days)]])),TRUE,FALSE)</f>
        <v>0</v>
      </c>
      <c r="E583" s="2" t="str">
        <f>IF(Table1[[#This Row],[Is Data Valid]]=TRUE,IF(Table1[[#This Row],[Fetal Sex (Male, Female or Unknown)]]="Male",Backend!$C$6,IF(Table1[[#This Row],[Fetal Sex (Male, Female or Unknown)]]="Female",Backend!$C$7,IF(Table1[[#This Row],[Fetal Sex (Male, Female or Unknown)]]="Unknown",Backend!$C$8,"Error"))),"")</f>
        <v/>
      </c>
      <c r="F583" s="8" t="str">
        <f>IF(Table1[[#This Row],[Is Data Valid]]=TRUE,EXP(0.578+0.332*((Table1[[#This Row],[Gestation (days)]]+0.5)/7)-0.00354*((Table1[[#This Row],[Gestation (days)]]+0.5)/7)^2)*Table1[[#This Row],[BW40_3705]],"")</f>
        <v/>
      </c>
      <c r="G583" s="2" t="str">
        <f>IF(Table1[[#This Row],[Is Data Valid]]=TRUE,((Table1[[#This Row],[Birthweight (grams)]]/Table1[[#This Row],[BW_GA]])-1)/(Backend!$B$4/100*Table1[[#This Row],[BW40_3705]]),"")</f>
        <v/>
      </c>
      <c r="H583" s="7" t="str">
        <f>IF(Table1[[#This Row],[Is Data Valid]]=TRUE,((Table1[[#This Row],[Birthweight (grams)]]*0.9/Table1[[#This Row],[BW_GA]])-1)/(Backend!$B$4/100*Table1[[#This Row],[BW40_3705]]),"")</f>
        <v/>
      </c>
      <c r="I583" s="7" t="str">
        <f>IF(Table1[[#This Row],[Is Data Valid]]=TRUE,((Table1[[#This Row],[Birthweight (grams)]]*1.1/Table1[[#This Row],[BW_GA]])-1)/(Backend!$B$4/100*Table1[[#This Row],[BW40_3705]]),"")</f>
        <v/>
      </c>
      <c r="J583" s="7" t="str">
        <f>IF(Table1[[#This Row],[Is Data Valid]]=TRUE,_xlfn.NORM.S.DIST(Table1[[#This Row],[Birthweight Z-Score]],TRUE)*100,"")</f>
        <v/>
      </c>
      <c r="K583" s="7" t="str">
        <f>IF(Table1[[#This Row],[Is Data Valid]]=TRUE,_xlfn.NORM.S.DIST(Table1[[#This Row],[Birthweight Z-Score (BW-10%)]],TRUE)*100,"")</f>
        <v/>
      </c>
      <c r="L583" s="7" t="str">
        <f>IF(Table1[[#This Row],[Is Data Valid]]=TRUE,_xlfn.NORM.S.DIST(Table1[[#This Row],[Birthweight Z-Score (BW+10%)]],TRUE)*100,"")</f>
        <v/>
      </c>
    </row>
    <row r="584" spans="1:12" x14ac:dyDescent="0.35">
      <c r="A584" s="3"/>
      <c r="B584" s="2"/>
      <c r="C584" s="2"/>
      <c r="D584" s="2" t="b">
        <f>IF(AND(NOT(ISBLANK(Table1[[#This Row],[Fetal Sex (Male, Female or Unknown)]])),ISNUMBER(Table1[[#This Row],[Birthweight (grams)]]),ISNUMBER(Table1[[#This Row],[Gestation (days)]])),TRUE,FALSE)</f>
        <v>0</v>
      </c>
      <c r="E584" s="2" t="str">
        <f>IF(Table1[[#This Row],[Is Data Valid]]=TRUE,IF(Table1[[#This Row],[Fetal Sex (Male, Female or Unknown)]]="Male",Backend!$C$6,IF(Table1[[#This Row],[Fetal Sex (Male, Female or Unknown)]]="Female",Backend!$C$7,IF(Table1[[#This Row],[Fetal Sex (Male, Female or Unknown)]]="Unknown",Backend!$C$8,"Error"))),"")</f>
        <v/>
      </c>
      <c r="F584" s="8" t="str">
        <f>IF(Table1[[#This Row],[Is Data Valid]]=TRUE,EXP(0.578+0.332*((Table1[[#This Row],[Gestation (days)]]+0.5)/7)-0.00354*((Table1[[#This Row],[Gestation (days)]]+0.5)/7)^2)*Table1[[#This Row],[BW40_3705]],"")</f>
        <v/>
      </c>
      <c r="G584" s="2" t="str">
        <f>IF(Table1[[#This Row],[Is Data Valid]]=TRUE,((Table1[[#This Row],[Birthweight (grams)]]/Table1[[#This Row],[BW_GA]])-1)/(Backend!$B$4/100*Table1[[#This Row],[BW40_3705]]),"")</f>
        <v/>
      </c>
      <c r="H584" s="7" t="str">
        <f>IF(Table1[[#This Row],[Is Data Valid]]=TRUE,((Table1[[#This Row],[Birthweight (grams)]]*0.9/Table1[[#This Row],[BW_GA]])-1)/(Backend!$B$4/100*Table1[[#This Row],[BW40_3705]]),"")</f>
        <v/>
      </c>
      <c r="I584" s="7" t="str">
        <f>IF(Table1[[#This Row],[Is Data Valid]]=TRUE,((Table1[[#This Row],[Birthweight (grams)]]*1.1/Table1[[#This Row],[BW_GA]])-1)/(Backend!$B$4/100*Table1[[#This Row],[BW40_3705]]),"")</f>
        <v/>
      </c>
      <c r="J584" s="7" t="str">
        <f>IF(Table1[[#This Row],[Is Data Valid]]=TRUE,_xlfn.NORM.S.DIST(Table1[[#This Row],[Birthweight Z-Score]],TRUE)*100,"")</f>
        <v/>
      </c>
      <c r="K584" s="7" t="str">
        <f>IF(Table1[[#This Row],[Is Data Valid]]=TRUE,_xlfn.NORM.S.DIST(Table1[[#This Row],[Birthweight Z-Score (BW-10%)]],TRUE)*100,"")</f>
        <v/>
      </c>
      <c r="L584" s="7" t="str">
        <f>IF(Table1[[#This Row],[Is Data Valid]]=TRUE,_xlfn.NORM.S.DIST(Table1[[#This Row],[Birthweight Z-Score (BW+10%)]],TRUE)*100,"")</f>
        <v/>
      </c>
    </row>
    <row r="585" spans="1:12" x14ac:dyDescent="0.35">
      <c r="A585" s="3"/>
      <c r="B585" s="2"/>
      <c r="C585" s="2"/>
      <c r="D585" s="2" t="b">
        <f>IF(AND(NOT(ISBLANK(Table1[[#This Row],[Fetal Sex (Male, Female or Unknown)]])),ISNUMBER(Table1[[#This Row],[Birthweight (grams)]]),ISNUMBER(Table1[[#This Row],[Gestation (days)]])),TRUE,FALSE)</f>
        <v>0</v>
      </c>
      <c r="E585" s="2" t="str">
        <f>IF(Table1[[#This Row],[Is Data Valid]]=TRUE,IF(Table1[[#This Row],[Fetal Sex (Male, Female or Unknown)]]="Male",Backend!$C$6,IF(Table1[[#This Row],[Fetal Sex (Male, Female or Unknown)]]="Female",Backend!$C$7,IF(Table1[[#This Row],[Fetal Sex (Male, Female or Unknown)]]="Unknown",Backend!$C$8,"Error"))),"")</f>
        <v/>
      </c>
      <c r="F585" s="8" t="str">
        <f>IF(Table1[[#This Row],[Is Data Valid]]=TRUE,EXP(0.578+0.332*((Table1[[#This Row],[Gestation (days)]]+0.5)/7)-0.00354*((Table1[[#This Row],[Gestation (days)]]+0.5)/7)^2)*Table1[[#This Row],[BW40_3705]],"")</f>
        <v/>
      </c>
      <c r="G585" s="2" t="str">
        <f>IF(Table1[[#This Row],[Is Data Valid]]=TRUE,((Table1[[#This Row],[Birthweight (grams)]]/Table1[[#This Row],[BW_GA]])-1)/(Backend!$B$4/100*Table1[[#This Row],[BW40_3705]]),"")</f>
        <v/>
      </c>
      <c r="H585" s="7" t="str">
        <f>IF(Table1[[#This Row],[Is Data Valid]]=TRUE,((Table1[[#This Row],[Birthweight (grams)]]*0.9/Table1[[#This Row],[BW_GA]])-1)/(Backend!$B$4/100*Table1[[#This Row],[BW40_3705]]),"")</f>
        <v/>
      </c>
      <c r="I585" s="7" t="str">
        <f>IF(Table1[[#This Row],[Is Data Valid]]=TRUE,((Table1[[#This Row],[Birthweight (grams)]]*1.1/Table1[[#This Row],[BW_GA]])-1)/(Backend!$B$4/100*Table1[[#This Row],[BW40_3705]]),"")</f>
        <v/>
      </c>
      <c r="J585" s="7" t="str">
        <f>IF(Table1[[#This Row],[Is Data Valid]]=TRUE,_xlfn.NORM.S.DIST(Table1[[#This Row],[Birthweight Z-Score]],TRUE)*100,"")</f>
        <v/>
      </c>
      <c r="K585" s="7" t="str">
        <f>IF(Table1[[#This Row],[Is Data Valid]]=TRUE,_xlfn.NORM.S.DIST(Table1[[#This Row],[Birthweight Z-Score (BW-10%)]],TRUE)*100,"")</f>
        <v/>
      </c>
      <c r="L585" s="7" t="str">
        <f>IF(Table1[[#This Row],[Is Data Valid]]=TRUE,_xlfn.NORM.S.DIST(Table1[[#This Row],[Birthweight Z-Score (BW+10%)]],TRUE)*100,"")</f>
        <v/>
      </c>
    </row>
    <row r="586" spans="1:12" x14ac:dyDescent="0.35">
      <c r="A586" s="3"/>
      <c r="B586" s="2"/>
      <c r="C586" s="2"/>
      <c r="D586" s="2" t="b">
        <f>IF(AND(NOT(ISBLANK(Table1[[#This Row],[Fetal Sex (Male, Female or Unknown)]])),ISNUMBER(Table1[[#This Row],[Birthweight (grams)]]),ISNUMBER(Table1[[#This Row],[Gestation (days)]])),TRUE,FALSE)</f>
        <v>0</v>
      </c>
      <c r="E586" s="2" t="str">
        <f>IF(Table1[[#This Row],[Is Data Valid]]=TRUE,IF(Table1[[#This Row],[Fetal Sex (Male, Female or Unknown)]]="Male",Backend!$C$6,IF(Table1[[#This Row],[Fetal Sex (Male, Female or Unknown)]]="Female",Backend!$C$7,IF(Table1[[#This Row],[Fetal Sex (Male, Female or Unknown)]]="Unknown",Backend!$C$8,"Error"))),"")</f>
        <v/>
      </c>
      <c r="F586" s="8" t="str">
        <f>IF(Table1[[#This Row],[Is Data Valid]]=TRUE,EXP(0.578+0.332*((Table1[[#This Row],[Gestation (days)]]+0.5)/7)-0.00354*((Table1[[#This Row],[Gestation (days)]]+0.5)/7)^2)*Table1[[#This Row],[BW40_3705]],"")</f>
        <v/>
      </c>
      <c r="G586" s="2" t="str">
        <f>IF(Table1[[#This Row],[Is Data Valid]]=TRUE,((Table1[[#This Row],[Birthweight (grams)]]/Table1[[#This Row],[BW_GA]])-1)/(Backend!$B$4/100*Table1[[#This Row],[BW40_3705]]),"")</f>
        <v/>
      </c>
      <c r="H586" s="7" t="str">
        <f>IF(Table1[[#This Row],[Is Data Valid]]=TRUE,((Table1[[#This Row],[Birthweight (grams)]]*0.9/Table1[[#This Row],[BW_GA]])-1)/(Backend!$B$4/100*Table1[[#This Row],[BW40_3705]]),"")</f>
        <v/>
      </c>
      <c r="I586" s="7" t="str">
        <f>IF(Table1[[#This Row],[Is Data Valid]]=TRUE,((Table1[[#This Row],[Birthweight (grams)]]*1.1/Table1[[#This Row],[BW_GA]])-1)/(Backend!$B$4/100*Table1[[#This Row],[BW40_3705]]),"")</f>
        <v/>
      </c>
      <c r="J586" s="7" t="str">
        <f>IF(Table1[[#This Row],[Is Data Valid]]=TRUE,_xlfn.NORM.S.DIST(Table1[[#This Row],[Birthweight Z-Score]],TRUE)*100,"")</f>
        <v/>
      </c>
      <c r="K586" s="7" t="str">
        <f>IF(Table1[[#This Row],[Is Data Valid]]=TRUE,_xlfn.NORM.S.DIST(Table1[[#This Row],[Birthweight Z-Score (BW-10%)]],TRUE)*100,"")</f>
        <v/>
      </c>
      <c r="L586" s="7" t="str">
        <f>IF(Table1[[#This Row],[Is Data Valid]]=TRUE,_xlfn.NORM.S.DIST(Table1[[#This Row],[Birthweight Z-Score (BW+10%)]],TRUE)*100,"")</f>
        <v/>
      </c>
    </row>
    <row r="587" spans="1:12" x14ac:dyDescent="0.35">
      <c r="A587" s="3"/>
      <c r="B587" s="2"/>
      <c r="C587" s="2"/>
      <c r="D587" s="2" t="b">
        <f>IF(AND(NOT(ISBLANK(Table1[[#This Row],[Fetal Sex (Male, Female or Unknown)]])),ISNUMBER(Table1[[#This Row],[Birthweight (grams)]]),ISNUMBER(Table1[[#This Row],[Gestation (days)]])),TRUE,FALSE)</f>
        <v>0</v>
      </c>
      <c r="E587" s="2" t="str">
        <f>IF(Table1[[#This Row],[Is Data Valid]]=TRUE,IF(Table1[[#This Row],[Fetal Sex (Male, Female or Unknown)]]="Male",Backend!$C$6,IF(Table1[[#This Row],[Fetal Sex (Male, Female or Unknown)]]="Female",Backend!$C$7,IF(Table1[[#This Row],[Fetal Sex (Male, Female or Unknown)]]="Unknown",Backend!$C$8,"Error"))),"")</f>
        <v/>
      </c>
      <c r="F587" s="8" t="str">
        <f>IF(Table1[[#This Row],[Is Data Valid]]=TRUE,EXP(0.578+0.332*((Table1[[#This Row],[Gestation (days)]]+0.5)/7)-0.00354*((Table1[[#This Row],[Gestation (days)]]+0.5)/7)^2)*Table1[[#This Row],[BW40_3705]],"")</f>
        <v/>
      </c>
      <c r="G587" s="2" t="str">
        <f>IF(Table1[[#This Row],[Is Data Valid]]=TRUE,((Table1[[#This Row],[Birthweight (grams)]]/Table1[[#This Row],[BW_GA]])-1)/(Backend!$B$4/100*Table1[[#This Row],[BW40_3705]]),"")</f>
        <v/>
      </c>
      <c r="H587" s="7" t="str">
        <f>IF(Table1[[#This Row],[Is Data Valid]]=TRUE,((Table1[[#This Row],[Birthweight (grams)]]*0.9/Table1[[#This Row],[BW_GA]])-1)/(Backend!$B$4/100*Table1[[#This Row],[BW40_3705]]),"")</f>
        <v/>
      </c>
      <c r="I587" s="7" t="str">
        <f>IF(Table1[[#This Row],[Is Data Valid]]=TRUE,((Table1[[#This Row],[Birthweight (grams)]]*1.1/Table1[[#This Row],[BW_GA]])-1)/(Backend!$B$4/100*Table1[[#This Row],[BW40_3705]]),"")</f>
        <v/>
      </c>
      <c r="J587" s="7" t="str">
        <f>IF(Table1[[#This Row],[Is Data Valid]]=TRUE,_xlfn.NORM.S.DIST(Table1[[#This Row],[Birthweight Z-Score]],TRUE)*100,"")</f>
        <v/>
      </c>
      <c r="K587" s="7" t="str">
        <f>IF(Table1[[#This Row],[Is Data Valid]]=TRUE,_xlfn.NORM.S.DIST(Table1[[#This Row],[Birthweight Z-Score (BW-10%)]],TRUE)*100,"")</f>
        <v/>
      </c>
      <c r="L587" s="7" t="str">
        <f>IF(Table1[[#This Row],[Is Data Valid]]=TRUE,_xlfn.NORM.S.DIST(Table1[[#This Row],[Birthweight Z-Score (BW+10%)]],TRUE)*100,"")</f>
        <v/>
      </c>
    </row>
    <row r="588" spans="1:12" x14ac:dyDescent="0.35">
      <c r="A588" s="3"/>
      <c r="B588" s="2"/>
      <c r="C588" s="2"/>
      <c r="D588" s="2" t="b">
        <f>IF(AND(NOT(ISBLANK(Table1[[#This Row],[Fetal Sex (Male, Female or Unknown)]])),ISNUMBER(Table1[[#This Row],[Birthweight (grams)]]),ISNUMBER(Table1[[#This Row],[Gestation (days)]])),TRUE,FALSE)</f>
        <v>0</v>
      </c>
      <c r="E588" s="2" t="str">
        <f>IF(Table1[[#This Row],[Is Data Valid]]=TRUE,IF(Table1[[#This Row],[Fetal Sex (Male, Female or Unknown)]]="Male",Backend!$C$6,IF(Table1[[#This Row],[Fetal Sex (Male, Female or Unknown)]]="Female",Backend!$C$7,IF(Table1[[#This Row],[Fetal Sex (Male, Female or Unknown)]]="Unknown",Backend!$C$8,"Error"))),"")</f>
        <v/>
      </c>
      <c r="F588" s="8" t="str">
        <f>IF(Table1[[#This Row],[Is Data Valid]]=TRUE,EXP(0.578+0.332*((Table1[[#This Row],[Gestation (days)]]+0.5)/7)-0.00354*((Table1[[#This Row],[Gestation (days)]]+0.5)/7)^2)*Table1[[#This Row],[BW40_3705]],"")</f>
        <v/>
      </c>
      <c r="G588" s="2" t="str">
        <f>IF(Table1[[#This Row],[Is Data Valid]]=TRUE,((Table1[[#This Row],[Birthweight (grams)]]/Table1[[#This Row],[BW_GA]])-1)/(Backend!$B$4/100*Table1[[#This Row],[BW40_3705]]),"")</f>
        <v/>
      </c>
      <c r="H588" s="7" t="str">
        <f>IF(Table1[[#This Row],[Is Data Valid]]=TRUE,((Table1[[#This Row],[Birthweight (grams)]]*0.9/Table1[[#This Row],[BW_GA]])-1)/(Backend!$B$4/100*Table1[[#This Row],[BW40_3705]]),"")</f>
        <v/>
      </c>
      <c r="I588" s="7" t="str">
        <f>IF(Table1[[#This Row],[Is Data Valid]]=TRUE,((Table1[[#This Row],[Birthweight (grams)]]*1.1/Table1[[#This Row],[BW_GA]])-1)/(Backend!$B$4/100*Table1[[#This Row],[BW40_3705]]),"")</f>
        <v/>
      </c>
      <c r="J588" s="7" t="str">
        <f>IF(Table1[[#This Row],[Is Data Valid]]=TRUE,_xlfn.NORM.S.DIST(Table1[[#This Row],[Birthweight Z-Score]],TRUE)*100,"")</f>
        <v/>
      </c>
      <c r="K588" s="7" t="str">
        <f>IF(Table1[[#This Row],[Is Data Valid]]=TRUE,_xlfn.NORM.S.DIST(Table1[[#This Row],[Birthweight Z-Score (BW-10%)]],TRUE)*100,"")</f>
        <v/>
      </c>
      <c r="L588" s="7" t="str">
        <f>IF(Table1[[#This Row],[Is Data Valid]]=TRUE,_xlfn.NORM.S.DIST(Table1[[#This Row],[Birthweight Z-Score (BW+10%)]],TRUE)*100,"")</f>
        <v/>
      </c>
    </row>
    <row r="589" spans="1:12" x14ac:dyDescent="0.35">
      <c r="A589" s="3"/>
      <c r="B589" s="2"/>
      <c r="C589" s="2"/>
      <c r="D589" s="2" t="b">
        <f>IF(AND(NOT(ISBLANK(Table1[[#This Row],[Fetal Sex (Male, Female or Unknown)]])),ISNUMBER(Table1[[#This Row],[Birthweight (grams)]]),ISNUMBER(Table1[[#This Row],[Gestation (days)]])),TRUE,FALSE)</f>
        <v>0</v>
      </c>
      <c r="E589" s="2" t="str">
        <f>IF(Table1[[#This Row],[Is Data Valid]]=TRUE,IF(Table1[[#This Row],[Fetal Sex (Male, Female or Unknown)]]="Male",Backend!$C$6,IF(Table1[[#This Row],[Fetal Sex (Male, Female or Unknown)]]="Female",Backend!$C$7,IF(Table1[[#This Row],[Fetal Sex (Male, Female or Unknown)]]="Unknown",Backend!$C$8,"Error"))),"")</f>
        <v/>
      </c>
      <c r="F589" s="8" t="str">
        <f>IF(Table1[[#This Row],[Is Data Valid]]=TRUE,EXP(0.578+0.332*((Table1[[#This Row],[Gestation (days)]]+0.5)/7)-0.00354*((Table1[[#This Row],[Gestation (days)]]+0.5)/7)^2)*Table1[[#This Row],[BW40_3705]],"")</f>
        <v/>
      </c>
      <c r="G589" s="2" t="str">
        <f>IF(Table1[[#This Row],[Is Data Valid]]=TRUE,((Table1[[#This Row],[Birthweight (grams)]]/Table1[[#This Row],[BW_GA]])-1)/(Backend!$B$4/100*Table1[[#This Row],[BW40_3705]]),"")</f>
        <v/>
      </c>
      <c r="H589" s="7" t="str">
        <f>IF(Table1[[#This Row],[Is Data Valid]]=TRUE,((Table1[[#This Row],[Birthweight (grams)]]*0.9/Table1[[#This Row],[BW_GA]])-1)/(Backend!$B$4/100*Table1[[#This Row],[BW40_3705]]),"")</f>
        <v/>
      </c>
      <c r="I589" s="7" t="str">
        <f>IF(Table1[[#This Row],[Is Data Valid]]=TRUE,((Table1[[#This Row],[Birthweight (grams)]]*1.1/Table1[[#This Row],[BW_GA]])-1)/(Backend!$B$4/100*Table1[[#This Row],[BW40_3705]]),"")</f>
        <v/>
      </c>
      <c r="J589" s="7" t="str">
        <f>IF(Table1[[#This Row],[Is Data Valid]]=TRUE,_xlfn.NORM.S.DIST(Table1[[#This Row],[Birthweight Z-Score]],TRUE)*100,"")</f>
        <v/>
      </c>
      <c r="K589" s="7" t="str">
        <f>IF(Table1[[#This Row],[Is Data Valid]]=TRUE,_xlfn.NORM.S.DIST(Table1[[#This Row],[Birthweight Z-Score (BW-10%)]],TRUE)*100,"")</f>
        <v/>
      </c>
      <c r="L589" s="7" t="str">
        <f>IF(Table1[[#This Row],[Is Data Valid]]=TRUE,_xlfn.NORM.S.DIST(Table1[[#This Row],[Birthweight Z-Score (BW+10%)]],TRUE)*100,"")</f>
        <v/>
      </c>
    </row>
    <row r="590" spans="1:12" x14ac:dyDescent="0.35">
      <c r="A590" s="3"/>
      <c r="B590" s="2"/>
      <c r="C590" s="2"/>
      <c r="D590" s="2" t="b">
        <f>IF(AND(NOT(ISBLANK(Table1[[#This Row],[Fetal Sex (Male, Female or Unknown)]])),ISNUMBER(Table1[[#This Row],[Birthweight (grams)]]),ISNUMBER(Table1[[#This Row],[Gestation (days)]])),TRUE,FALSE)</f>
        <v>0</v>
      </c>
      <c r="E590" s="2" t="str">
        <f>IF(Table1[[#This Row],[Is Data Valid]]=TRUE,IF(Table1[[#This Row],[Fetal Sex (Male, Female or Unknown)]]="Male",Backend!$C$6,IF(Table1[[#This Row],[Fetal Sex (Male, Female or Unknown)]]="Female",Backend!$C$7,IF(Table1[[#This Row],[Fetal Sex (Male, Female or Unknown)]]="Unknown",Backend!$C$8,"Error"))),"")</f>
        <v/>
      </c>
      <c r="F590" s="8" t="str">
        <f>IF(Table1[[#This Row],[Is Data Valid]]=TRUE,EXP(0.578+0.332*((Table1[[#This Row],[Gestation (days)]]+0.5)/7)-0.00354*((Table1[[#This Row],[Gestation (days)]]+0.5)/7)^2)*Table1[[#This Row],[BW40_3705]],"")</f>
        <v/>
      </c>
      <c r="G590" s="2" t="str">
        <f>IF(Table1[[#This Row],[Is Data Valid]]=TRUE,((Table1[[#This Row],[Birthweight (grams)]]/Table1[[#This Row],[BW_GA]])-1)/(Backend!$B$4/100*Table1[[#This Row],[BW40_3705]]),"")</f>
        <v/>
      </c>
      <c r="H590" s="7" t="str">
        <f>IF(Table1[[#This Row],[Is Data Valid]]=TRUE,((Table1[[#This Row],[Birthweight (grams)]]*0.9/Table1[[#This Row],[BW_GA]])-1)/(Backend!$B$4/100*Table1[[#This Row],[BW40_3705]]),"")</f>
        <v/>
      </c>
      <c r="I590" s="7" t="str">
        <f>IF(Table1[[#This Row],[Is Data Valid]]=TRUE,((Table1[[#This Row],[Birthweight (grams)]]*1.1/Table1[[#This Row],[BW_GA]])-1)/(Backend!$B$4/100*Table1[[#This Row],[BW40_3705]]),"")</f>
        <v/>
      </c>
      <c r="J590" s="7" t="str">
        <f>IF(Table1[[#This Row],[Is Data Valid]]=TRUE,_xlfn.NORM.S.DIST(Table1[[#This Row],[Birthweight Z-Score]],TRUE)*100,"")</f>
        <v/>
      </c>
      <c r="K590" s="7" t="str">
        <f>IF(Table1[[#This Row],[Is Data Valid]]=TRUE,_xlfn.NORM.S.DIST(Table1[[#This Row],[Birthweight Z-Score (BW-10%)]],TRUE)*100,"")</f>
        <v/>
      </c>
      <c r="L590" s="7" t="str">
        <f>IF(Table1[[#This Row],[Is Data Valid]]=TRUE,_xlfn.NORM.S.DIST(Table1[[#This Row],[Birthweight Z-Score (BW+10%)]],TRUE)*100,"")</f>
        <v/>
      </c>
    </row>
    <row r="591" spans="1:12" x14ac:dyDescent="0.35">
      <c r="A591" s="3"/>
      <c r="B591" s="2"/>
      <c r="C591" s="2"/>
      <c r="D591" s="2" t="b">
        <f>IF(AND(NOT(ISBLANK(Table1[[#This Row],[Fetal Sex (Male, Female or Unknown)]])),ISNUMBER(Table1[[#This Row],[Birthweight (grams)]]),ISNUMBER(Table1[[#This Row],[Gestation (days)]])),TRUE,FALSE)</f>
        <v>0</v>
      </c>
      <c r="E591" s="2" t="str">
        <f>IF(Table1[[#This Row],[Is Data Valid]]=TRUE,IF(Table1[[#This Row],[Fetal Sex (Male, Female or Unknown)]]="Male",Backend!$C$6,IF(Table1[[#This Row],[Fetal Sex (Male, Female or Unknown)]]="Female",Backend!$C$7,IF(Table1[[#This Row],[Fetal Sex (Male, Female or Unknown)]]="Unknown",Backend!$C$8,"Error"))),"")</f>
        <v/>
      </c>
      <c r="F591" s="8" t="str">
        <f>IF(Table1[[#This Row],[Is Data Valid]]=TRUE,EXP(0.578+0.332*((Table1[[#This Row],[Gestation (days)]]+0.5)/7)-0.00354*((Table1[[#This Row],[Gestation (days)]]+0.5)/7)^2)*Table1[[#This Row],[BW40_3705]],"")</f>
        <v/>
      </c>
      <c r="G591" s="2" t="str">
        <f>IF(Table1[[#This Row],[Is Data Valid]]=TRUE,((Table1[[#This Row],[Birthweight (grams)]]/Table1[[#This Row],[BW_GA]])-1)/(Backend!$B$4/100*Table1[[#This Row],[BW40_3705]]),"")</f>
        <v/>
      </c>
      <c r="H591" s="7" t="str">
        <f>IF(Table1[[#This Row],[Is Data Valid]]=TRUE,((Table1[[#This Row],[Birthweight (grams)]]*0.9/Table1[[#This Row],[BW_GA]])-1)/(Backend!$B$4/100*Table1[[#This Row],[BW40_3705]]),"")</f>
        <v/>
      </c>
      <c r="I591" s="7" t="str">
        <f>IF(Table1[[#This Row],[Is Data Valid]]=TRUE,((Table1[[#This Row],[Birthweight (grams)]]*1.1/Table1[[#This Row],[BW_GA]])-1)/(Backend!$B$4/100*Table1[[#This Row],[BW40_3705]]),"")</f>
        <v/>
      </c>
      <c r="J591" s="7" t="str">
        <f>IF(Table1[[#This Row],[Is Data Valid]]=TRUE,_xlfn.NORM.S.DIST(Table1[[#This Row],[Birthweight Z-Score]],TRUE)*100,"")</f>
        <v/>
      </c>
      <c r="K591" s="7" t="str">
        <f>IF(Table1[[#This Row],[Is Data Valid]]=TRUE,_xlfn.NORM.S.DIST(Table1[[#This Row],[Birthweight Z-Score (BW-10%)]],TRUE)*100,"")</f>
        <v/>
      </c>
      <c r="L591" s="7" t="str">
        <f>IF(Table1[[#This Row],[Is Data Valid]]=TRUE,_xlfn.NORM.S.DIST(Table1[[#This Row],[Birthweight Z-Score (BW+10%)]],TRUE)*100,"")</f>
        <v/>
      </c>
    </row>
    <row r="592" spans="1:12" x14ac:dyDescent="0.35">
      <c r="A592" s="3"/>
      <c r="B592" s="2"/>
      <c r="C592" s="2"/>
      <c r="D592" s="2" t="b">
        <f>IF(AND(NOT(ISBLANK(Table1[[#This Row],[Fetal Sex (Male, Female or Unknown)]])),ISNUMBER(Table1[[#This Row],[Birthweight (grams)]]),ISNUMBER(Table1[[#This Row],[Gestation (days)]])),TRUE,FALSE)</f>
        <v>0</v>
      </c>
      <c r="E592" s="2" t="str">
        <f>IF(Table1[[#This Row],[Is Data Valid]]=TRUE,IF(Table1[[#This Row],[Fetal Sex (Male, Female or Unknown)]]="Male",Backend!$C$6,IF(Table1[[#This Row],[Fetal Sex (Male, Female or Unknown)]]="Female",Backend!$C$7,IF(Table1[[#This Row],[Fetal Sex (Male, Female or Unknown)]]="Unknown",Backend!$C$8,"Error"))),"")</f>
        <v/>
      </c>
      <c r="F592" s="8" t="str">
        <f>IF(Table1[[#This Row],[Is Data Valid]]=TRUE,EXP(0.578+0.332*((Table1[[#This Row],[Gestation (days)]]+0.5)/7)-0.00354*((Table1[[#This Row],[Gestation (days)]]+0.5)/7)^2)*Table1[[#This Row],[BW40_3705]],"")</f>
        <v/>
      </c>
      <c r="G592" s="2" t="str">
        <f>IF(Table1[[#This Row],[Is Data Valid]]=TRUE,((Table1[[#This Row],[Birthweight (grams)]]/Table1[[#This Row],[BW_GA]])-1)/(Backend!$B$4/100*Table1[[#This Row],[BW40_3705]]),"")</f>
        <v/>
      </c>
      <c r="H592" s="7" t="str">
        <f>IF(Table1[[#This Row],[Is Data Valid]]=TRUE,((Table1[[#This Row],[Birthweight (grams)]]*0.9/Table1[[#This Row],[BW_GA]])-1)/(Backend!$B$4/100*Table1[[#This Row],[BW40_3705]]),"")</f>
        <v/>
      </c>
      <c r="I592" s="7" t="str">
        <f>IF(Table1[[#This Row],[Is Data Valid]]=TRUE,((Table1[[#This Row],[Birthweight (grams)]]*1.1/Table1[[#This Row],[BW_GA]])-1)/(Backend!$B$4/100*Table1[[#This Row],[BW40_3705]]),"")</f>
        <v/>
      </c>
      <c r="J592" s="7" t="str">
        <f>IF(Table1[[#This Row],[Is Data Valid]]=TRUE,_xlfn.NORM.S.DIST(Table1[[#This Row],[Birthweight Z-Score]],TRUE)*100,"")</f>
        <v/>
      </c>
      <c r="K592" s="7" t="str">
        <f>IF(Table1[[#This Row],[Is Data Valid]]=TRUE,_xlfn.NORM.S.DIST(Table1[[#This Row],[Birthweight Z-Score (BW-10%)]],TRUE)*100,"")</f>
        <v/>
      </c>
      <c r="L592" s="7" t="str">
        <f>IF(Table1[[#This Row],[Is Data Valid]]=TRUE,_xlfn.NORM.S.DIST(Table1[[#This Row],[Birthweight Z-Score (BW+10%)]],TRUE)*100,"")</f>
        <v/>
      </c>
    </row>
    <row r="593" spans="1:12" x14ac:dyDescent="0.35">
      <c r="A593" s="3"/>
      <c r="B593" s="2"/>
      <c r="C593" s="2"/>
      <c r="D593" s="2" t="b">
        <f>IF(AND(NOT(ISBLANK(Table1[[#This Row],[Fetal Sex (Male, Female or Unknown)]])),ISNUMBER(Table1[[#This Row],[Birthweight (grams)]]),ISNUMBER(Table1[[#This Row],[Gestation (days)]])),TRUE,FALSE)</f>
        <v>0</v>
      </c>
      <c r="E593" s="2" t="str">
        <f>IF(Table1[[#This Row],[Is Data Valid]]=TRUE,IF(Table1[[#This Row],[Fetal Sex (Male, Female or Unknown)]]="Male",Backend!$C$6,IF(Table1[[#This Row],[Fetal Sex (Male, Female or Unknown)]]="Female",Backend!$C$7,IF(Table1[[#This Row],[Fetal Sex (Male, Female or Unknown)]]="Unknown",Backend!$C$8,"Error"))),"")</f>
        <v/>
      </c>
      <c r="F593" s="8" t="str">
        <f>IF(Table1[[#This Row],[Is Data Valid]]=TRUE,EXP(0.578+0.332*((Table1[[#This Row],[Gestation (days)]]+0.5)/7)-0.00354*((Table1[[#This Row],[Gestation (days)]]+0.5)/7)^2)*Table1[[#This Row],[BW40_3705]],"")</f>
        <v/>
      </c>
      <c r="G593" s="2" t="str">
        <f>IF(Table1[[#This Row],[Is Data Valid]]=TRUE,((Table1[[#This Row],[Birthweight (grams)]]/Table1[[#This Row],[BW_GA]])-1)/(Backend!$B$4/100*Table1[[#This Row],[BW40_3705]]),"")</f>
        <v/>
      </c>
      <c r="H593" s="7" t="str">
        <f>IF(Table1[[#This Row],[Is Data Valid]]=TRUE,((Table1[[#This Row],[Birthweight (grams)]]*0.9/Table1[[#This Row],[BW_GA]])-1)/(Backend!$B$4/100*Table1[[#This Row],[BW40_3705]]),"")</f>
        <v/>
      </c>
      <c r="I593" s="7" t="str">
        <f>IF(Table1[[#This Row],[Is Data Valid]]=TRUE,((Table1[[#This Row],[Birthweight (grams)]]*1.1/Table1[[#This Row],[BW_GA]])-1)/(Backend!$B$4/100*Table1[[#This Row],[BW40_3705]]),"")</f>
        <v/>
      </c>
      <c r="J593" s="7" t="str">
        <f>IF(Table1[[#This Row],[Is Data Valid]]=TRUE,_xlfn.NORM.S.DIST(Table1[[#This Row],[Birthweight Z-Score]],TRUE)*100,"")</f>
        <v/>
      </c>
      <c r="K593" s="7" t="str">
        <f>IF(Table1[[#This Row],[Is Data Valid]]=TRUE,_xlfn.NORM.S.DIST(Table1[[#This Row],[Birthweight Z-Score (BW-10%)]],TRUE)*100,"")</f>
        <v/>
      </c>
      <c r="L593" s="7" t="str">
        <f>IF(Table1[[#This Row],[Is Data Valid]]=TRUE,_xlfn.NORM.S.DIST(Table1[[#This Row],[Birthweight Z-Score (BW+10%)]],TRUE)*100,"")</f>
        <v/>
      </c>
    </row>
    <row r="594" spans="1:12" x14ac:dyDescent="0.35">
      <c r="A594" s="3"/>
      <c r="B594" s="2"/>
      <c r="C594" s="2"/>
      <c r="D594" s="2" t="b">
        <f>IF(AND(NOT(ISBLANK(Table1[[#This Row],[Fetal Sex (Male, Female or Unknown)]])),ISNUMBER(Table1[[#This Row],[Birthweight (grams)]]),ISNUMBER(Table1[[#This Row],[Gestation (days)]])),TRUE,FALSE)</f>
        <v>0</v>
      </c>
      <c r="E594" s="2" t="str">
        <f>IF(Table1[[#This Row],[Is Data Valid]]=TRUE,IF(Table1[[#This Row],[Fetal Sex (Male, Female or Unknown)]]="Male",Backend!$C$6,IF(Table1[[#This Row],[Fetal Sex (Male, Female or Unknown)]]="Female",Backend!$C$7,IF(Table1[[#This Row],[Fetal Sex (Male, Female or Unknown)]]="Unknown",Backend!$C$8,"Error"))),"")</f>
        <v/>
      </c>
      <c r="F594" s="8" t="str">
        <f>IF(Table1[[#This Row],[Is Data Valid]]=TRUE,EXP(0.578+0.332*((Table1[[#This Row],[Gestation (days)]]+0.5)/7)-0.00354*((Table1[[#This Row],[Gestation (days)]]+0.5)/7)^2)*Table1[[#This Row],[BW40_3705]],"")</f>
        <v/>
      </c>
      <c r="G594" s="2" t="str">
        <f>IF(Table1[[#This Row],[Is Data Valid]]=TRUE,((Table1[[#This Row],[Birthweight (grams)]]/Table1[[#This Row],[BW_GA]])-1)/(Backend!$B$4/100*Table1[[#This Row],[BW40_3705]]),"")</f>
        <v/>
      </c>
      <c r="H594" s="7" t="str">
        <f>IF(Table1[[#This Row],[Is Data Valid]]=TRUE,((Table1[[#This Row],[Birthweight (grams)]]*0.9/Table1[[#This Row],[BW_GA]])-1)/(Backend!$B$4/100*Table1[[#This Row],[BW40_3705]]),"")</f>
        <v/>
      </c>
      <c r="I594" s="7" t="str">
        <f>IF(Table1[[#This Row],[Is Data Valid]]=TRUE,((Table1[[#This Row],[Birthweight (grams)]]*1.1/Table1[[#This Row],[BW_GA]])-1)/(Backend!$B$4/100*Table1[[#This Row],[BW40_3705]]),"")</f>
        <v/>
      </c>
      <c r="J594" s="7" t="str">
        <f>IF(Table1[[#This Row],[Is Data Valid]]=TRUE,_xlfn.NORM.S.DIST(Table1[[#This Row],[Birthweight Z-Score]],TRUE)*100,"")</f>
        <v/>
      </c>
      <c r="K594" s="7" t="str">
        <f>IF(Table1[[#This Row],[Is Data Valid]]=TRUE,_xlfn.NORM.S.DIST(Table1[[#This Row],[Birthweight Z-Score (BW-10%)]],TRUE)*100,"")</f>
        <v/>
      </c>
      <c r="L594" s="7" t="str">
        <f>IF(Table1[[#This Row],[Is Data Valid]]=TRUE,_xlfn.NORM.S.DIST(Table1[[#This Row],[Birthweight Z-Score (BW+10%)]],TRUE)*100,"")</f>
        <v/>
      </c>
    </row>
    <row r="595" spans="1:12" x14ac:dyDescent="0.35">
      <c r="A595" s="3"/>
      <c r="B595" s="2"/>
      <c r="C595" s="2"/>
      <c r="D595" s="2" t="b">
        <f>IF(AND(NOT(ISBLANK(Table1[[#This Row],[Fetal Sex (Male, Female or Unknown)]])),ISNUMBER(Table1[[#This Row],[Birthweight (grams)]]),ISNUMBER(Table1[[#This Row],[Gestation (days)]])),TRUE,FALSE)</f>
        <v>0</v>
      </c>
      <c r="E595" s="2" t="str">
        <f>IF(Table1[[#This Row],[Is Data Valid]]=TRUE,IF(Table1[[#This Row],[Fetal Sex (Male, Female or Unknown)]]="Male",Backend!$C$6,IF(Table1[[#This Row],[Fetal Sex (Male, Female or Unknown)]]="Female",Backend!$C$7,IF(Table1[[#This Row],[Fetal Sex (Male, Female or Unknown)]]="Unknown",Backend!$C$8,"Error"))),"")</f>
        <v/>
      </c>
      <c r="F595" s="8" t="str">
        <f>IF(Table1[[#This Row],[Is Data Valid]]=TRUE,EXP(0.578+0.332*((Table1[[#This Row],[Gestation (days)]]+0.5)/7)-0.00354*((Table1[[#This Row],[Gestation (days)]]+0.5)/7)^2)*Table1[[#This Row],[BW40_3705]],"")</f>
        <v/>
      </c>
      <c r="G595" s="2" t="str">
        <f>IF(Table1[[#This Row],[Is Data Valid]]=TRUE,((Table1[[#This Row],[Birthweight (grams)]]/Table1[[#This Row],[BW_GA]])-1)/(Backend!$B$4/100*Table1[[#This Row],[BW40_3705]]),"")</f>
        <v/>
      </c>
      <c r="H595" s="7" t="str">
        <f>IF(Table1[[#This Row],[Is Data Valid]]=TRUE,((Table1[[#This Row],[Birthweight (grams)]]*0.9/Table1[[#This Row],[BW_GA]])-1)/(Backend!$B$4/100*Table1[[#This Row],[BW40_3705]]),"")</f>
        <v/>
      </c>
      <c r="I595" s="7" t="str">
        <f>IF(Table1[[#This Row],[Is Data Valid]]=TRUE,((Table1[[#This Row],[Birthweight (grams)]]*1.1/Table1[[#This Row],[BW_GA]])-1)/(Backend!$B$4/100*Table1[[#This Row],[BW40_3705]]),"")</f>
        <v/>
      </c>
      <c r="J595" s="7" t="str">
        <f>IF(Table1[[#This Row],[Is Data Valid]]=TRUE,_xlfn.NORM.S.DIST(Table1[[#This Row],[Birthweight Z-Score]],TRUE)*100,"")</f>
        <v/>
      </c>
      <c r="K595" s="7" t="str">
        <f>IF(Table1[[#This Row],[Is Data Valid]]=TRUE,_xlfn.NORM.S.DIST(Table1[[#This Row],[Birthweight Z-Score (BW-10%)]],TRUE)*100,"")</f>
        <v/>
      </c>
      <c r="L595" s="7" t="str">
        <f>IF(Table1[[#This Row],[Is Data Valid]]=TRUE,_xlfn.NORM.S.DIST(Table1[[#This Row],[Birthweight Z-Score (BW+10%)]],TRUE)*100,"")</f>
        <v/>
      </c>
    </row>
    <row r="596" spans="1:12" x14ac:dyDescent="0.35">
      <c r="A596" s="3"/>
      <c r="B596" s="2"/>
      <c r="C596" s="2"/>
      <c r="D596" s="2" t="b">
        <f>IF(AND(NOT(ISBLANK(Table1[[#This Row],[Fetal Sex (Male, Female or Unknown)]])),ISNUMBER(Table1[[#This Row],[Birthweight (grams)]]),ISNUMBER(Table1[[#This Row],[Gestation (days)]])),TRUE,FALSE)</f>
        <v>0</v>
      </c>
      <c r="E596" s="2" t="str">
        <f>IF(Table1[[#This Row],[Is Data Valid]]=TRUE,IF(Table1[[#This Row],[Fetal Sex (Male, Female or Unknown)]]="Male",Backend!$C$6,IF(Table1[[#This Row],[Fetal Sex (Male, Female or Unknown)]]="Female",Backend!$C$7,IF(Table1[[#This Row],[Fetal Sex (Male, Female or Unknown)]]="Unknown",Backend!$C$8,"Error"))),"")</f>
        <v/>
      </c>
      <c r="F596" s="8" t="str">
        <f>IF(Table1[[#This Row],[Is Data Valid]]=TRUE,EXP(0.578+0.332*((Table1[[#This Row],[Gestation (days)]]+0.5)/7)-0.00354*((Table1[[#This Row],[Gestation (days)]]+0.5)/7)^2)*Table1[[#This Row],[BW40_3705]],"")</f>
        <v/>
      </c>
      <c r="G596" s="2" t="str">
        <f>IF(Table1[[#This Row],[Is Data Valid]]=TRUE,((Table1[[#This Row],[Birthweight (grams)]]/Table1[[#This Row],[BW_GA]])-1)/(Backend!$B$4/100*Table1[[#This Row],[BW40_3705]]),"")</f>
        <v/>
      </c>
      <c r="H596" s="7" t="str">
        <f>IF(Table1[[#This Row],[Is Data Valid]]=TRUE,((Table1[[#This Row],[Birthweight (grams)]]*0.9/Table1[[#This Row],[BW_GA]])-1)/(Backend!$B$4/100*Table1[[#This Row],[BW40_3705]]),"")</f>
        <v/>
      </c>
      <c r="I596" s="7" t="str">
        <f>IF(Table1[[#This Row],[Is Data Valid]]=TRUE,((Table1[[#This Row],[Birthweight (grams)]]*1.1/Table1[[#This Row],[BW_GA]])-1)/(Backend!$B$4/100*Table1[[#This Row],[BW40_3705]]),"")</f>
        <v/>
      </c>
      <c r="J596" s="7" t="str">
        <f>IF(Table1[[#This Row],[Is Data Valid]]=TRUE,_xlfn.NORM.S.DIST(Table1[[#This Row],[Birthweight Z-Score]],TRUE)*100,"")</f>
        <v/>
      </c>
      <c r="K596" s="7" t="str">
        <f>IF(Table1[[#This Row],[Is Data Valid]]=TRUE,_xlfn.NORM.S.DIST(Table1[[#This Row],[Birthweight Z-Score (BW-10%)]],TRUE)*100,"")</f>
        <v/>
      </c>
      <c r="L596" s="7" t="str">
        <f>IF(Table1[[#This Row],[Is Data Valid]]=TRUE,_xlfn.NORM.S.DIST(Table1[[#This Row],[Birthweight Z-Score (BW+10%)]],TRUE)*100,"")</f>
        <v/>
      </c>
    </row>
    <row r="597" spans="1:12" x14ac:dyDescent="0.35">
      <c r="A597" s="3"/>
      <c r="B597" s="2"/>
      <c r="C597" s="2"/>
      <c r="D597" s="2" t="b">
        <f>IF(AND(NOT(ISBLANK(Table1[[#This Row],[Fetal Sex (Male, Female or Unknown)]])),ISNUMBER(Table1[[#This Row],[Birthweight (grams)]]),ISNUMBER(Table1[[#This Row],[Gestation (days)]])),TRUE,FALSE)</f>
        <v>0</v>
      </c>
      <c r="E597" s="2" t="str">
        <f>IF(Table1[[#This Row],[Is Data Valid]]=TRUE,IF(Table1[[#This Row],[Fetal Sex (Male, Female or Unknown)]]="Male",Backend!$C$6,IF(Table1[[#This Row],[Fetal Sex (Male, Female or Unknown)]]="Female",Backend!$C$7,IF(Table1[[#This Row],[Fetal Sex (Male, Female or Unknown)]]="Unknown",Backend!$C$8,"Error"))),"")</f>
        <v/>
      </c>
      <c r="F597" s="8" t="str">
        <f>IF(Table1[[#This Row],[Is Data Valid]]=TRUE,EXP(0.578+0.332*((Table1[[#This Row],[Gestation (days)]]+0.5)/7)-0.00354*((Table1[[#This Row],[Gestation (days)]]+0.5)/7)^2)*Table1[[#This Row],[BW40_3705]],"")</f>
        <v/>
      </c>
      <c r="G597" s="2" t="str">
        <f>IF(Table1[[#This Row],[Is Data Valid]]=TRUE,((Table1[[#This Row],[Birthweight (grams)]]/Table1[[#This Row],[BW_GA]])-1)/(Backend!$B$4/100*Table1[[#This Row],[BW40_3705]]),"")</f>
        <v/>
      </c>
      <c r="H597" s="7" t="str">
        <f>IF(Table1[[#This Row],[Is Data Valid]]=TRUE,((Table1[[#This Row],[Birthweight (grams)]]*0.9/Table1[[#This Row],[BW_GA]])-1)/(Backend!$B$4/100*Table1[[#This Row],[BW40_3705]]),"")</f>
        <v/>
      </c>
      <c r="I597" s="7" t="str">
        <f>IF(Table1[[#This Row],[Is Data Valid]]=TRUE,((Table1[[#This Row],[Birthweight (grams)]]*1.1/Table1[[#This Row],[BW_GA]])-1)/(Backend!$B$4/100*Table1[[#This Row],[BW40_3705]]),"")</f>
        <v/>
      </c>
      <c r="J597" s="7" t="str">
        <f>IF(Table1[[#This Row],[Is Data Valid]]=TRUE,_xlfn.NORM.S.DIST(Table1[[#This Row],[Birthweight Z-Score]],TRUE)*100,"")</f>
        <v/>
      </c>
      <c r="K597" s="7" t="str">
        <f>IF(Table1[[#This Row],[Is Data Valid]]=TRUE,_xlfn.NORM.S.DIST(Table1[[#This Row],[Birthweight Z-Score (BW-10%)]],TRUE)*100,"")</f>
        <v/>
      </c>
      <c r="L597" s="7" t="str">
        <f>IF(Table1[[#This Row],[Is Data Valid]]=TRUE,_xlfn.NORM.S.DIST(Table1[[#This Row],[Birthweight Z-Score (BW+10%)]],TRUE)*100,"")</f>
        <v/>
      </c>
    </row>
    <row r="598" spans="1:12" x14ac:dyDescent="0.35">
      <c r="A598" s="3"/>
      <c r="B598" s="2"/>
      <c r="C598" s="2"/>
      <c r="D598" s="2" t="b">
        <f>IF(AND(NOT(ISBLANK(Table1[[#This Row],[Fetal Sex (Male, Female or Unknown)]])),ISNUMBER(Table1[[#This Row],[Birthweight (grams)]]),ISNUMBER(Table1[[#This Row],[Gestation (days)]])),TRUE,FALSE)</f>
        <v>0</v>
      </c>
      <c r="E598" s="2" t="str">
        <f>IF(Table1[[#This Row],[Is Data Valid]]=TRUE,IF(Table1[[#This Row],[Fetal Sex (Male, Female or Unknown)]]="Male",Backend!$C$6,IF(Table1[[#This Row],[Fetal Sex (Male, Female or Unknown)]]="Female",Backend!$C$7,IF(Table1[[#This Row],[Fetal Sex (Male, Female or Unknown)]]="Unknown",Backend!$C$8,"Error"))),"")</f>
        <v/>
      </c>
      <c r="F598" s="8" t="str">
        <f>IF(Table1[[#This Row],[Is Data Valid]]=TRUE,EXP(0.578+0.332*((Table1[[#This Row],[Gestation (days)]]+0.5)/7)-0.00354*((Table1[[#This Row],[Gestation (days)]]+0.5)/7)^2)*Table1[[#This Row],[BW40_3705]],"")</f>
        <v/>
      </c>
      <c r="G598" s="2" t="str">
        <f>IF(Table1[[#This Row],[Is Data Valid]]=TRUE,((Table1[[#This Row],[Birthweight (grams)]]/Table1[[#This Row],[BW_GA]])-1)/(Backend!$B$4/100*Table1[[#This Row],[BW40_3705]]),"")</f>
        <v/>
      </c>
      <c r="H598" s="7" t="str">
        <f>IF(Table1[[#This Row],[Is Data Valid]]=TRUE,((Table1[[#This Row],[Birthweight (grams)]]*0.9/Table1[[#This Row],[BW_GA]])-1)/(Backend!$B$4/100*Table1[[#This Row],[BW40_3705]]),"")</f>
        <v/>
      </c>
      <c r="I598" s="7" t="str">
        <f>IF(Table1[[#This Row],[Is Data Valid]]=TRUE,((Table1[[#This Row],[Birthweight (grams)]]*1.1/Table1[[#This Row],[BW_GA]])-1)/(Backend!$B$4/100*Table1[[#This Row],[BW40_3705]]),"")</f>
        <v/>
      </c>
      <c r="J598" s="7" t="str">
        <f>IF(Table1[[#This Row],[Is Data Valid]]=TRUE,_xlfn.NORM.S.DIST(Table1[[#This Row],[Birthweight Z-Score]],TRUE)*100,"")</f>
        <v/>
      </c>
      <c r="K598" s="7" t="str">
        <f>IF(Table1[[#This Row],[Is Data Valid]]=TRUE,_xlfn.NORM.S.DIST(Table1[[#This Row],[Birthweight Z-Score (BW-10%)]],TRUE)*100,"")</f>
        <v/>
      </c>
      <c r="L598" s="7" t="str">
        <f>IF(Table1[[#This Row],[Is Data Valid]]=TRUE,_xlfn.NORM.S.DIST(Table1[[#This Row],[Birthweight Z-Score (BW+10%)]],TRUE)*100,"")</f>
        <v/>
      </c>
    </row>
    <row r="599" spans="1:12" x14ac:dyDescent="0.35">
      <c r="A599" s="3"/>
      <c r="B599" s="2"/>
      <c r="C599" s="2"/>
      <c r="D599" s="2" t="b">
        <f>IF(AND(NOT(ISBLANK(Table1[[#This Row],[Fetal Sex (Male, Female or Unknown)]])),ISNUMBER(Table1[[#This Row],[Birthweight (grams)]]),ISNUMBER(Table1[[#This Row],[Gestation (days)]])),TRUE,FALSE)</f>
        <v>0</v>
      </c>
      <c r="E599" s="2" t="str">
        <f>IF(Table1[[#This Row],[Is Data Valid]]=TRUE,IF(Table1[[#This Row],[Fetal Sex (Male, Female or Unknown)]]="Male",Backend!$C$6,IF(Table1[[#This Row],[Fetal Sex (Male, Female or Unknown)]]="Female",Backend!$C$7,IF(Table1[[#This Row],[Fetal Sex (Male, Female or Unknown)]]="Unknown",Backend!$C$8,"Error"))),"")</f>
        <v/>
      </c>
      <c r="F599" s="8" t="str">
        <f>IF(Table1[[#This Row],[Is Data Valid]]=TRUE,EXP(0.578+0.332*((Table1[[#This Row],[Gestation (days)]]+0.5)/7)-0.00354*((Table1[[#This Row],[Gestation (days)]]+0.5)/7)^2)*Table1[[#This Row],[BW40_3705]],"")</f>
        <v/>
      </c>
      <c r="G599" s="2" t="str">
        <f>IF(Table1[[#This Row],[Is Data Valid]]=TRUE,((Table1[[#This Row],[Birthweight (grams)]]/Table1[[#This Row],[BW_GA]])-1)/(Backend!$B$4/100*Table1[[#This Row],[BW40_3705]]),"")</f>
        <v/>
      </c>
      <c r="H599" s="7" t="str">
        <f>IF(Table1[[#This Row],[Is Data Valid]]=TRUE,((Table1[[#This Row],[Birthweight (grams)]]*0.9/Table1[[#This Row],[BW_GA]])-1)/(Backend!$B$4/100*Table1[[#This Row],[BW40_3705]]),"")</f>
        <v/>
      </c>
      <c r="I599" s="7" t="str">
        <f>IF(Table1[[#This Row],[Is Data Valid]]=TRUE,((Table1[[#This Row],[Birthweight (grams)]]*1.1/Table1[[#This Row],[BW_GA]])-1)/(Backend!$B$4/100*Table1[[#This Row],[BW40_3705]]),"")</f>
        <v/>
      </c>
      <c r="J599" s="7" t="str">
        <f>IF(Table1[[#This Row],[Is Data Valid]]=TRUE,_xlfn.NORM.S.DIST(Table1[[#This Row],[Birthweight Z-Score]],TRUE)*100,"")</f>
        <v/>
      </c>
      <c r="K599" s="7" t="str">
        <f>IF(Table1[[#This Row],[Is Data Valid]]=TRUE,_xlfn.NORM.S.DIST(Table1[[#This Row],[Birthweight Z-Score (BW-10%)]],TRUE)*100,"")</f>
        <v/>
      </c>
      <c r="L599" s="7" t="str">
        <f>IF(Table1[[#This Row],[Is Data Valid]]=TRUE,_xlfn.NORM.S.DIST(Table1[[#This Row],[Birthweight Z-Score (BW+10%)]],TRUE)*100,"")</f>
        <v/>
      </c>
    </row>
    <row r="600" spans="1:12" x14ac:dyDescent="0.35">
      <c r="A600" s="3"/>
      <c r="B600" s="2"/>
      <c r="C600" s="2"/>
      <c r="D600" s="2" t="b">
        <f>IF(AND(NOT(ISBLANK(Table1[[#This Row],[Fetal Sex (Male, Female or Unknown)]])),ISNUMBER(Table1[[#This Row],[Birthweight (grams)]]),ISNUMBER(Table1[[#This Row],[Gestation (days)]])),TRUE,FALSE)</f>
        <v>0</v>
      </c>
      <c r="E600" s="2" t="str">
        <f>IF(Table1[[#This Row],[Is Data Valid]]=TRUE,IF(Table1[[#This Row],[Fetal Sex (Male, Female or Unknown)]]="Male",Backend!$C$6,IF(Table1[[#This Row],[Fetal Sex (Male, Female or Unknown)]]="Female",Backend!$C$7,IF(Table1[[#This Row],[Fetal Sex (Male, Female or Unknown)]]="Unknown",Backend!$C$8,"Error"))),"")</f>
        <v/>
      </c>
      <c r="F600" s="8" t="str">
        <f>IF(Table1[[#This Row],[Is Data Valid]]=TRUE,EXP(0.578+0.332*((Table1[[#This Row],[Gestation (days)]]+0.5)/7)-0.00354*((Table1[[#This Row],[Gestation (days)]]+0.5)/7)^2)*Table1[[#This Row],[BW40_3705]],"")</f>
        <v/>
      </c>
      <c r="G600" s="2" t="str">
        <f>IF(Table1[[#This Row],[Is Data Valid]]=TRUE,((Table1[[#This Row],[Birthweight (grams)]]/Table1[[#This Row],[BW_GA]])-1)/(Backend!$B$4/100*Table1[[#This Row],[BW40_3705]]),"")</f>
        <v/>
      </c>
      <c r="H600" s="7" t="str">
        <f>IF(Table1[[#This Row],[Is Data Valid]]=TRUE,((Table1[[#This Row],[Birthweight (grams)]]*0.9/Table1[[#This Row],[BW_GA]])-1)/(Backend!$B$4/100*Table1[[#This Row],[BW40_3705]]),"")</f>
        <v/>
      </c>
      <c r="I600" s="7" t="str">
        <f>IF(Table1[[#This Row],[Is Data Valid]]=TRUE,((Table1[[#This Row],[Birthweight (grams)]]*1.1/Table1[[#This Row],[BW_GA]])-1)/(Backend!$B$4/100*Table1[[#This Row],[BW40_3705]]),"")</f>
        <v/>
      </c>
      <c r="J600" s="7" t="str">
        <f>IF(Table1[[#This Row],[Is Data Valid]]=TRUE,_xlfn.NORM.S.DIST(Table1[[#This Row],[Birthweight Z-Score]],TRUE)*100,"")</f>
        <v/>
      </c>
      <c r="K600" s="7" t="str">
        <f>IF(Table1[[#This Row],[Is Data Valid]]=TRUE,_xlfn.NORM.S.DIST(Table1[[#This Row],[Birthweight Z-Score (BW-10%)]],TRUE)*100,"")</f>
        <v/>
      </c>
      <c r="L600" s="7" t="str">
        <f>IF(Table1[[#This Row],[Is Data Valid]]=TRUE,_xlfn.NORM.S.DIST(Table1[[#This Row],[Birthweight Z-Score (BW+10%)]],TRUE)*100,"")</f>
        <v/>
      </c>
    </row>
    <row r="601" spans="1:12" x14ac:dyDescent="0.35">
      <c r="A601" s="3"/>
      <c r="B601" s="2"/>
      <c r="C601" s="2"/>
      <c r="D601" s="2" t="b">
        <f>IF(AND(NOT(ISBLANK(Table1[[#This Row],[Fetal Sex (Male, Female or Unknown)]])),ISNUMBER(Table1[[#This Row],[Birthweight (grams)]]),ISNUMBER(Table1[[#This Row],[Gestation (days)]])),TRUE,FALSE)</f>
        <v>0</v>
      </c>
      <c r="E601" s="2" t="str">
        <f>IF(Table1[[#This Row],[Is Data Valid]]=TRUE,IF(Table1[[#This Row],[Fetal Sex (Male, Female or Unknown)]]="Male",Backend!$C$6,IF(Table1[[#This Row],[Fetal Sex (Male, Female or Unknown)]]="Female",Backend!$C$7,IF(Table1[[#This Row],[Fetal Sex (Male, Female or Unknown)]]="Unknown",Backend!$C$8,"Error"))),"")</f>
        <v/>
      </c>
      <c r="F601" s="8" t="str">
        <f>IF(Table1[[#This Row],[Is Data Valid]]=TRUE,EXP(0.578+0.332*((Table1[[#This Row],[Gestation (days)]]+0.5)/7)-0.00354*((Table1[[#This Row],[Gestation (days)]]+0.5)/7)^2)*Table1[[#This Row],[BW40_3705]],"")</f>
        <v/>
      </c>
      <c r="G601" s="2" t="str">
        <f>IF(Table1[[#This Row],[Is Data Valid]]=TRUE,((Table1[[#This Row],[Birthweight (grams)]]/Table1[[#This Row],[BW_GA]])-1)/(Backend!$B$4/100*Table1[[#This Row],[BW40_3705]]),"")</f>
        <v/>
      </c>
      <c r="H601" s="7" t="str">
        <f>IF(Table1[[#This Row],[Is Data Valid]]=TRUE,((Table1[[#This Row],[Birthweight (grams)]]*0.9/Table1[[#This Row],[BW_GA]])-1)/(Backend!$B$4/100*Table1[[#This Row],[BW40_3705]]),"")</f>
        <v/>
      </c>
      <c r="I601" s="7" t="str">
        <f>IF(Table1[[#This Row],[Is Data Valid]]=TRUE,((Table1[[#This Row],[Birthweight (grams)]]*1.1/Table1[[#This Row],[BW_GA]])-1)/(Backend!$B$4/100*Table1[[#This Row],[BW40_3705]]),"")</f>
        <v/>
      </c>
      <c r="J601" s="7" t="str">
        <f>IF(Table1[[#This Row],[Is Data Valid]]=TRUE,_xlfn.NORM.S.DIST(Table1[[#This Row],[Birthweight Z-Score]],TRUE)*100,"")</f>
        <v/>
      </c>
      <c r="K601" s="7" t="str">
        <f>IF(Table1[[#This Row],[Is Data Valid]]=TRUE,_xlfn.NORM.S.DIST(Table1[[#This Row],[Birthweight Z-Score (BW-10%)]],TRUE)*100,"")</f>
        <v/>
      </c>
      <c r="L601" s="7" t="str">
        <f>IF(Table1[[#This Row],[Is Data Valid]]=TRUE,_xlfn.NORM.S.DIST(Table1[[#This Row],[Birthweight Z-Score (BW+10%)]],TRUE)*100,"")</f>
        <v/>
      </c>
    </row>
    <row r="602" spans="1:12" x14ac:dyDescent="0.35">
      <c r="A602" s="3"/>
      <c r="B602" s="2"/>
      <c r="C602" s="2"/>
      <c r="D602" s="2" t="b">
        <f>IF(AND(NOT(ISBLANK(Table1[[#This Row],[Fetal Sex (Male, Female or Unknown)]])),ISNUMBER(Table1[[#This Row],[Birthweight (grams)]]),ISNUMBER(Table1[[#This Row],[Gestation (days)]])),TRUE,FALSE)</f>
        <v>0</v>
      </c>
      <c r="E602" s="2" t="str">
        <f>IF(Table1[[#This Row],[Is Data Valid]]=TRUE,IF(Table1[[#This Row],[Fetal Sex (Male, Female or Unknown)]]="Male",Backend!$C$6,IF(Table1[[#This Row],[Fetal Sex (Male, Female or Unknown)]]="Female",Backend!$C$7,IF(Table1[[#This Row],[Fetal Sex (Male, Female or Unknown)]]="Unknown",Backend!$C$8,"Error"))),"")</f>
        <v/>
      </c>
      <c r="F602" s="8" t="str">
        <f>IF(Table1[[#This Row],[Is Data Valid]]=TRUE,EXP(0.578+0.332*((Table1[[#This Row],[Gestation (days)]]+0.5)/7)-0.00354*((Table1[[#This Row],[Gestation (days)]]+0.5)/7)^2)*Table1[[#This Row],[BW40_3705]],"")</f>
        <v/>
      </c>
      <c r="G602" s="2" t="str">
        <f>IF(Table1[[#This Row],[Is Data Valid]]=TRUE,((Table1[[#This Row],[Birthweight (grams)]]/Table1[[#This Row],[BW_GA]])-1)/(Backend!$B$4/100*Table1[[#This Row],[BW40_3705]]),"")</f>
        <v/>
      </c>
      <c r="H602" s="7" t="str">
        <f>IF(Table1[[#This Row],[Is Data Valid]]=TRUE,((Table1[[#This Row],[Birthweight (grams)]]*0.9/Table1[[#This Row],[BW_GA]])-1)/(Backend!$B$4/100*Table1[[#This Row],[BW40_3705]]),"")</f>
        <v/>
      </c>
      <c r="I602" s="7" t="str">
        <f>IF(Table1[[#This Row],[Is Data Valid]]=TRUE,((Table1[[#This Row],[Birthweight (grams)]]*1.1/Table1[[#This Row],[BW_GA]])-1)/(Backend!$B$4/100*Table1[[#This Row],[BW40_3705]]),"")</f>
        <v/>
      </c>
      <c r="J602" s="7" t="str">
        <f>IF(Table1[[#This Row],[Is Data Valid]]=TRUE,_xlfn.NORM.S.DIST(Table1[[#This Row],[Birthweight Z-Score]],TRUE)*100,"")</f>
        <v/>
      </c>
      <c r="K602" s="7" t="str">
        <f>IF(Table1[[#This Row],[Is Data Valid]]=TRUE,_xlfn.NORM.S.DIST(Table1[[#This Row],[Birthweight Z-Score (BW-10%)]],TRUE)*100,"")</f>
        <v/>
      </c>
      <c r="L602" s="7" t="str">
        <f>IF(Table1[[#This Row],[Is Data Valid]]=TRUE,_xlfn.NORM.S.DIST(Table1[[#This Row],[Birthweight Z-Score (BW+10%)]],TRUE)*100,"")</f>
        <v/>
      </c>
    </row>
    <row r="603" spans="1:12" x14ac:dyDescent="0.35">
      <c r="A603" s="3"/>
      <c r="B603" s="2"/>
      <c r="C603" s="2"/>
      <c r="D603" s="2" t="b">
        <f>IF(AND(NOT(ISBLANK(Table1[[#This Row],[Fetal Sex (Male, Female or Unknown)]])),ISNUMBER(Table1[[#This Row],[Birthweight (grams)]]),ISNUMBER(Table1[[#This Row],[Gestation (days)]])),TRUE,FALSE)</f>
        <v>0</v>
      </c>
      <c r="E603" s="2" t="str">
        <f>IF(Table1[[#This Row],[Is Data Valid]]=TRUE,IF(Table1[[#This Row],[Fetal Sex (Male, Female or Unknown)]]="Male",Backend!$C$6,IF(Table1[[#This Row],[Fetal Sex (Male, Female or Unknown)]]="Female",Backend!$C$7,IF(Table1[[#This Row],[Fetal Sex (Male, Female or Unknown)]]="Unknown",Backend!$C$8,"Error"))),"")</f>
        <v/>
      </c>
      <c r="F603" s="8" t="str">
        <f>IF(Table1[[#This Row],[Is Data Valid]]=TRUE,EXP(0.578+0.332*((Table1[[#This Row],[Gestation (days)]]+0.5)/7)-0.00354*((Table1[[#This Row],[Gestation (days)]]+0.5)/7)^2)*Table1[[#This Row],[BW40_3705]],"")</f>
        <v/>
      </c>
      <c r="G603" s="2" t="str">
        <f>IF(Table1[[#This Row],[Is Data Valid]]=TRUE,((Table1[[#This Row],[Birthweight (grams)]]/Table1[[#This Row],[BW_GA]])-1)/(Backend!$B$4/100*Table1[[#This Row],[BW40_3705]]),"")</f>
        <v/>
      </c>
      <c r="H603" s="7" t="str">
        <f>IF(Table1[[#This Row],[Is Data Valid]]=TRUE,((Table1[[#This Row],[Birthweight (grams)]]*0.9/Table1[[#This Row],[BW_GA]])-1)/(Backend!$B$4/100*Table1[[#This Row],[BW40_3705]]),"")</f>
        <v/>
      </c>
      <c r="I603" s="7" t="str">
        <f>IF(Table1[[#This Row],[Is Data Valid]]=TRUE,((Table1[[#This Row],[Birthweight (grams)]]*1.1/Table1[[#This Row],[BW_GA]])-1)/(Backend!$B$4/100*Table1[[#This Row],[BW40_3705]]),"")</f>
        <v/>
      </c>
      <c r="J603" s="7" t="str">
        <f>IF(Table1[[#This Row],[Is Data Valid]]=TRUE,_xlfn.NORM.S.DIST(Table1[[#This Row],[Birthweight Z-Score]],TRUE)*100,"")</f>
        <v/>
      </c>
      <c r="K603" s="7" t="str">
        <f>IF(Table1[[#This Row],[Is Data Valid]]=TRUE,_xlfn.NORM.S.DIST(Table1[[#This Row],[Birthweight Z-Score (BW-10%)]],TRUE)*100,"")</f>
        <v/>
      </c>
      <c r="L603" s="7" t="str">
        <f>IF(Table1[[#This Row],[Is Data Valid]]=TRUE,_xlfn.NORM.S.DIST(Table1[[#This Row],[Birthweight Z-Score (BW+10%)]],TRUE)*100,"")</f>
        <v/>
      </c>
    </row>
    <row r="604" spans="1:12" x14ac:dyDescent="0.35">
      <c r="A604" s="3"/>
      <c r="B604" s="2"/>
      <c r="C604" s="2"/>
      <c r="D604" s="2" t="b">
        <f>IF(AND(NOT(ISBLANK(Table1[[#This Row],[Fetal Sex (Male, Female or Unknown)]])),ISNUMBER(Table1[[#This Row],[Birthweight (grams)]]),ISNUMBER(Table1[[#This Row],[Gestation (days)]])),TRUE,FALSE)</f>
        <v>0</v>
      </c>
      <c r="E604" s="2" t="str">
        <f>IF(Table1[[#This Row],[Is Data Valid]]=TRUE,IF(Table1[[#This Row],[Fetal Sex (Male, Female or Unknown)]]="Male",Backend!$C$6,IF(Table1[[#This Row],[Fetal Sex (Male, Female or Unknown)]]="Female",Backend!$C$7,IF(Table1[[#This Row],[Fetal Sex (Male, Female or Unknown)]]="Unknown",Backend!$C$8,"Error"))),"")</f>
        <v/>
      </c>
      <c r="F604" s="8" t="str">
        <f>IF(Table1[[#This Row],[Is Data Valid]]=TRUE,EXP(0.578+0.332*((Table1[[#This Row],[Gestation (days)]]+0.5)/7)-0.00354*((Table1[[#This Row],[Gestation (days)]]+0.5)/7)^2)*Table1[[#This Row],[BW40_3705]],"")</f>
        <v/>
      </c>
      <c r="G604" s="2" t="str">
        <f>IF(Table1[[#This Row],[Is Data Valid]]=TRUE,((Table1[[#This Row],[Birthweight (grams)]]/Table1[[#This Row],[BW_GA]])-1)/(Backend!$B$4/100*Table1[[#This Row],[BW40_3705]]),"")</f>
        <v/>
      </c>
      <c r="H604" s="7" t="str">
        <f>IF(Table1[[#This Row],[Is Data Valid]]=TRUE,((Table1[[#This Row],[Birthweight (grams)]]*0.9/Table1[[#This Row],[BW_GA]])-1)/(Backend!$B$4/100*Table1[[#This Row],[BW40_3705]]),"")</f>
        <v/>
      </c>
      <c r="I604" s="7" t="str">
        <f>IF(Table1[[#This Row],[Is Data Valid]]=TRUE,((Table1[[#This Row],[Birthweight (grams)]]*1.1/Table1[[#This Row],[BW_GA]])-1)/(Backend!$B$4/100*Table1[[#This Row],[BW40_3705]]),"")</f>
        <v/>
      </c>
      <c r="J604" s="7" t="str">
        <f>IF(Table1[[#This Row],[Is Data Valid]]=TRUE,_xlfn.NORM.S.DIST(Table1[[#This Row],[Birthweight Z-Score]],TRUE)*100,"")</f>
        <v/>
      </c>
      <c r="K604" s="7" t="str">
        <f>IF(Table1[[#This Row],[Is Data Valid]]=TRUE,_xlfn.NORM.S.DIST(Table1[[#This Row],[Birthweight Z-Score (BW-10%)]],TRUE)*100,"")</f>
        <v/>
      </c>
      <c r="L604" s="7" t="str">
        <f>IF(Table1[[#This Row],[Is Data Valid]]=TRUE,_xlfn.NORM.S.DIST(Table1[[#This Row],[Birthweight Z-Score (BW+10%)]],TRUE)*100,"")</f>
        <v/>
      </c>
    </row>
    <row r="605" spans="1:12" x14ac:dyDescent="0.35">
      <c r="A605" s="3"/>
      <c r="B605" s="2"/>
      <c r="C605" s="2"/>
      <c r="D605" s="2" t="b">
        <f>IF(AND(NOT(ISBLANK(Table1[[#This Row],[Fetal Sex (Male, Female or Unknown)]])),ISNUMBER(Table1[[#This Row],[Birthweight (grams)]]),ISNUMBER(Table1[[#This Row],[Gestation (days)]])),TRUE,FALSE)</f>
        <v>0</v>
      </c>
      <c r="E605" s="2" t="str">
        <f>IF(Table1[[#This Row],[Is Data Valid]]=TRUE,IF(Table1[[#This Row],[Fetal Sex (Male, Female or Unknown)]]="Male",Backend!$C$6,IF(Table1[[#This Row],[Fetal Sex (Male, Female or Unknown)]]="Female",Backend!$C$7,IF(Table1[[#This Row],[Fetal Sex (Male, Female or Unknown)]]="Unknown",Backend!$C$8,"Error"))),"")</f>
        <v/>
      </c>
      <c r="F605" s="8" t="str">
        <f>IF(Table1[[#This Row],[Is Data Valid]]=TRUE,EXP(0.578+0.332*((Table1[[#This Row],[Gestation (days)]]+0.5)/7)-0.00354*((Table1[[#This Row],[Gestation (days)]]+0.5)/7)^2)*Table1[[#This Row],[BW40_3705]],"")</f>
        <v/>
      </c>
      <c r="G605" s="2" t="str">
        <f>IF(Table1[[#This Row],[Is Data Valid]]=TRUE,((Table1[[#This Row],[Birthweight (grams)]]/Table1[[#This Row],[BW_GA]])-1)/(Backend!$B$4/100*Table1[[#This Row],[BW40_3705]]),"")</f>
        <v/>
      </c>
      <c r="H605" s="7" t="str">
        <f>IF(Table1[[#This Row],[Is Data Valid]]=TRUE,((Table1[[#This Row],[Birthweight (grams)]]*0.9/Table1[[#This Row],[BW_GA]])-1)/(Backend!$B$4/100*Table1[[#This Row],[BW40_3705]]),"")</f>
        <v/>
      </c>
      <c r="I605" s="7" t="str">
        <f>IF(Table1[[#This Row],[Is Data Valid]]=TRUE,((Table1[[#This Row],[Birthweight (grams)]]*1.1/Table1[[#This Row],[BW_GA]])-1)/(Backend!$B$4/100*Table1[[#This Row],[BW40_3705]]),"")</f>
        <v/>
      </c>
      <c r="J605" s="7" t="str">
        <f>IF(Table1[[#This Row],[Is Data Valid]]=TRUE,_xlfn.NORM.S.DIST(Table1[[#This Row],[Birthweight Z-Score]],TRUE)*100,"")</f>
        <v/>
      </c>
      <c r="K605" s="7" t="str">
        <f>IF(Table1[[#This Row],[Is Data Valid]]=TRUE,_xlfn.NORM.S.DIST(Table1[[#This Row],[Birthweight Z-Score (BW-10%)]],TRUE)*100,"")</f>
        <v/>
      </c>
      <c r="L605" s="7" t="str">
        <f>IF(Table1[[#This Row],[Is Data Valid]]=TRUE,_xlfn.NORM.S.DIST(Table1[[#This Row],[Birthweight Z-Score (BW+10%)]],TRUE)*100,"")</f>
        <v/>
      </c>
    </row>
    <row r="606" spans="1:12" x14ac:dyDescent="0.35">
      <c r="A606" s="3"/>
      <c r="B606" s="2"/>
      <c r="C606" s="2"/>
      <c r="D606" s="2" t="b">
        <f>IF(AND(NOT(ISBLANK(Table1[[#This Row],[Fetal Sex (Male, Female or Unknown)]])),ISNUMBER(Table1[[#This Row],[Birthweight (grams)]]),ISNUMBER(Table1[[#This Row],[Gestation (days)]])),TRUE,FALSE)</f>
        <v>0</v>
      </c>
      <c r="E606" s="2" t="str">
        <f>IF(Table1[[#This Row],[Is Data Valid]]=TRUE,IF(Table1[[#This Row],[Fetal Sex (Male, Female or Unknown)]]="Male",Backend!$C$6,IF(Table1[[#This Row],[Fetal Sex (Male, Female or Unknown)]]="Female",Backend!$C$7,IF(Table1[[#This Row],[Fetal Sex (Male, Female or Unknown)]]="Unknown",Backend!$C$8,"Error"))),"")</f>
        <v/>
      </c>
      <c r="F606" s="8" t="str">
        <f>IF(Table1[[#This Row],[Is Data Valid]]=TRUE,EXP(0.578+0.332*((Table1[[#This Row],[Gestation (days)]]+0.5)/7)-0.00354*((Table1[[#This Row],[Gestation (days)]]+0.5)/7)^2)*Table1[[#This Row],[BW40_3705]],"")</f>
        <v/>
      </c>
      <c r="G606" s="2" t="str">
        <f>IF(Table1[[#This Row],[Is Data Valid]]=TRUE,((Table1[[#This Row],[Birthweight (grams)]]/Table1[[#This Row],[BW_GA]])-1)/(Backend!$B$4/100*Table1[[#This Row],[BW40_3705]]),"")</f>
        <v/>
      </c>
      <c r="H606" s="7" t="str">
        <f>IF(Table1[[#This Row],[Is Data Valid]]=TRUE,((Table1[[#This Row],[Birthweight (grams)]]*0.9/Table1[[#This Row],[BW_GA]])-1)/(Backend!$B$4/100*Table1[[#This Row],[BW40_3705]]),"")</f>
        <v/>
      </c>
      <c r="I606" s="7" t="str">
        <f>IF(Table1[[#This Row],[Is Data Valid]]=TRUE,((Table1[[#This Row],[Birthweight (grams)]]*1.1/Table1[[#This Row],[BW_GA]])-1)/(Backend!$B$4/100*Table1[[#This Row],[BW40_3705]]),"")</f>
        <v/>
      </c>
      <c r="J606" s="7" t="str">
        <f>IF(Table1[[#This Row],[Is Data Valid]]=TRUE,_xlfn.NORM.S.DIST(Table1[[#This Row],[Birthweight Z-Score]],TRUE)*100,"")</f>
        <v/>
      </c>
      <c r="K606" s="7" t="str">
        <f>IF(Table1[[#This Row],[Is Data Valid]]=TRUE,_xlfn.NORM.S.DIST(Table1[[#This Row],[Birthweight Z-Score (BW-10%)]],TRUE)*100,"")</f>
        <v/>
      </c>
      <c r="L606" s="7" t="str">
        <f>IF(Table1[[#This Row],[Is Data Valid]]=TRUE,_xlfn.NORM.S.DIST(Table1[[#This Row],[Birthweight Z-Score (BW+10%)]],TRUE)*100,"")</f>
        <v/>
      </c>
    </row>
    <row r="607" spans="1:12" x14ac:dyDescent="0.35">
      <c r="A607" s="3"/>
      <c r="B607" s="2"/>
      <c r="C607" s="2"/>
      <c r="D607" s="2" t="b">
        <f>IF(AND(NOT(ISBLANK(Table1[[#This Row],[Fetal Sex (Male, Female or Unknown)]])),ISNUMBER(Table1[[#This Row],[Birthweight (grams)]]),ISNUMBER(Table1[[#This Row],[Gestation (days)]])),TRUE,FALSE)</f>
        <v>0</v>
      </c>
      <c r="E607" s="2" t="str">
        <f>IF(Table1[[#This Row],[Is Data Valid]]=TRUE,IF(Table1[[#This Row],[Fetal Sex (Male, Female or Unknown)]]="Male",Backend!$C$6,IF(Table1[[#This Row],[Fetal Sex (Male, Female or Unknown)]]="Female",Backend!$C$7,IF(Table1[[#This Row],[Fetal Sex (Male, Female or Unknown)]]="Unknown",Backend!$C$8,"Error"))),"")</f>
        <v/>
      </c>
      <c r="F607" s="8" t="str">
        <f>IF(Table1[[#This Row],[Is Data Valid]]=TRUE,EXP(0.578+0.332*((Table1[[#This Row],[Gestation (days)]]+0.5)/7)-0.00354*((Table1[[#This Row],[Gestation (days)]]+0.5)/7)^2)*Table1[[#This Row],[BW40_3705]],"")</f>
        <v/>
      </c>
      <c r="G607" s="2" t="str">
        <f>IF(Table1[[#This Row],[Is Data Valid]]=TRUE,((Table1[[#This Row],[Birthweight (grams)]]/Table1[[#This Row],[BW_GA]])-1)/(Backend!$B$4/100*Table1[[#This Row],[BW40_3705]]),"")</f>
        <v/>
      </c>
      <c r="H607" s="7" t="str">
        <f>IF(Table1[[#This Row],[Is Data Valid]]=TRUE,((Table1[[#This Row],[Birthweight (grams)]]*0.9/Table1[[#This Row],[BW_GA]])-1)/(Backend!$B$4/100*Table1[[#This Row],[BW40_3705]]),"")</f>
        <v/>
      </c>
      <c r="I607" s="7" t="str">
        <f>IF(Table1[[#This Row],[Is Data Valid]]=TRUE,((Table1[[#This Row],[Birthweight (grams)]]*1.1/Table1[[#This Row],[BW_GA]])-1)/(Backend!$B$4/100*Table1[[#This Row],[BW40_3705]]),"")</f>
        <v/>
      </c>
      <c r="J607" s="7" t="str">
        <f>IF(Table1[[#This Row],[Is Data Valid]]=TRUE,_xlfn.NORM.S.DIST(Table1[[#This Row],[Birthweight Z-Score]],TRUE)*100,"")</f>
        <v/>
      </c>
      <c r="K607" s="7" t="str">
        <f>IF(Table1[[#This Row],[Is Data Valid]]=TRUE,_xlfn.NORM.S.DIST(Table1[[#This Row],[Birthweight Z-Score (BW-10%)]],TRUE)*100,"")</f>
        <v/>
      </c>
      <c r="L607" s="7" t="str">
        <f>IF(Table1[[#This Row],[Is Data Valid]]=TRUE,_xlfn.NORM.S.DIST(Table1[[#This Row],[Birthweight Z-Score (BW+10%)]],TRUE)*100,"")</f>
        <v/>
      </c>
    </row>
    <row r="608" spans="1:12" x14ac:dyDescent="0.35">
      <c r="A608" s="3"/>
      <c r="B608" s="2"/>
      <c r="C608" s="2"/>
      <c r="D608" s="2" t="b">
        <f>IF(AND(NOT(ISBLANK(Table1[[#This Row],[Fetal Sex (Male, Female or Unknown)]])),ISNUMBER(Table1[[#This Row],[Birthweight (grams)]]),ISNUMBER(Table1[[#This Row],[Gestation (days)]])),TRUE,FALSE)</f>
        <v>0</v>
      </c>
      <c r="E608" s="2" t="str">
        <f>IF(Table1[[#This Row],[Is Data Valid]]=TRUE,IF(Table1[[#This Row],[Fetal Sex (Male, Female or Unknown)]]="Male",Backend!$C$6,IF(Table1[[#This Row],[Fetal Sex (Male, Female or Unknown)]]="Female",Backend!$C$7,IF(Table1[[#This Row],[Fetal Sex (Male, Female or Unknown)]]="Unknown",Backend!$C$8,"Error"))),"")</f>
        <v/>
      </c>
      <c r="F608" s="8" t="str">
        <f>IF(Table1[[#This Row],[Is Data Valid]]=TRUE,EXP(0.578+0.332*((Table1[[#This Row],[Gestation (days)]]+0.5)/7)-0.00354*((Table1[[#This Row],[Gestation (days)]]+0.5)/7)^2)*Table1[[#This Row],[BW40_3705]],"")</f>
        <v/>
      </c>
      <c r="G608" s="2" t="str">
        <f>IF(Table1[[#This Row],[Is Data Valid]]=TRUE,((Table1[[#This Row],[Birthweight (grams)]]/Table1[[#This Row],[BW_GA]])-1)/(Backend!$B$4/100*Table1[[#This Row],[BW40_3705]]),"")</f>
        <v/>
      </c>
      <c r="H608" s="7" t="str">
        <f>IF(Table1[[#This Row],[Is Data Valid]]=TRUE,((Table1[[#This Row],[Birthweight (grams)]]*0.9/Table1[[#This Row],[BW_GA]])-1)/(Backend!$B$4/100*Table1[[#This Row],[BW40_3705]]),"")</f>
        <v/>
      </c>
      <c r="I608" s="7" t="str">
        <f>IF(Table1[[#This Row],[Is Data Valid]]=TRUE,((Table1[[#This Row],[Birthweight (grams)]]*1.1/Table1[[#This Row],[BW_GA]])-1)/(Backend!$B$4/100*Table1[[#This Row],[BW40_3705]]),"")</f>
        <v/>
      </c>
      <c r="J608" s="7" t="str">
        <f>IF(Table1[[#This Row],[Is Data Valid]]=TRUE,_xlfn.NORM.S.DIST(Table1[[#This Row],[Birthweight Z-Score]],TRUE)*100,"")</f>
        <v/>
      </c>
      <c r="K608" s="7" t="str">
        <f>IF(Table1[[#This Row],[Is Data Valid]]=TRUE,_xlfn.NORM.S.DIST(Table1[[#This Row],[Birthweight Z-Score (BW-10%)]],TRUE)*100,"")</f>
        <v/>
      </c>
      <c r="L608" s="7" t="str">
        <f>IF(Table1[[#This Row],[Is Data Valid]]=TRUE,_xlfn.NORM.S.DIST(Table1[[#This Row],[Birthweight Z-Score (BW+10%)]],TRUE)*100,"")</f>
        <v/>
      </c>
    </row>
    <row r="609" spans="1:12" x14ac:dyDescent="0.35">
      <c r="A609" s="3"/>
      <c r="B609" s="2"/>
      <c r="C609" s="2"/>
      <c r="D609" s="2" t="b">
        <f>IF(AND(NOT(ISBLANK(Table1[[#This Row],[Fetal Sex (Male, Female or Unknown)]])),ISNUMBER(Table1[[#This Row],[Birthweight (grams)]]),ISNUMBER(Table1[[#This Row],[Gestation (days)]])),TRUE,FALSE)</f>
        <v>0</v>
      </c>
      <c r="E609" s="2" t="str">
        <f>IF(Table1[[#This Row],[Is Data Valid]]=TRUE,IF(Table1[[#This Row],[Fetal Sex (Male, Female or Unknown)]]="Male",Backend!$C$6,IF(Table1[[#This Row],[Fetal Sex (Male, Female or Unknown)]]="Female",Backend!$C$7,IF(Table1[[#This Row],[Fetal Sex (Male, Female or Unknown)]]="Unknown",Backend!$C$8,"Error"))),"")</f>
        <v/>
      </c>
      <c r="F609" s="8" t="str">
        <f>IF(Table1[[#This Row],[Is Data Valid]]=TRUE,EXP(0.578+0.332*((Table1[[#This Row],[Gestation (days)]]+0.5)/7)-0.00354*((Table1[[#This Row],[Gestation (days)]]+0.5)/7)^2)*Table1[[#This Row],[BW40_3705]],"")</f>
        <v/>
      </c>
      <c r="G609" s="2" t="str">
        <f>IF(Table1[[#This Row],[Is Data Valid]]=TRUE,((Table1[[#This Row],[Birthweight (grams)]]/Table1[[#This Row],[BW_GA]])-1)/(Backend!$B$4/100*Table1[[#This Row],[BW40_3705]]),"")</f>
        <v/>
      </c>
      <c r="H609" s="7" t="str">
        <f>IF(Table1[[#This Row],[Is Data Valid]]=TRUE,((Table1[[#This Row],[Birthweight (grams)]]*0.9/Table1[[#This Row],[BW_GA]])-1)/(Backend!$B$4/100*Table1[[#This Row],[BW40_3705]]),"")</f>
        <v/>
      </c>
      <c r="I609" s="7" t="str">
        <f>IF(Table1[[#This Row],[Is Data Valid]]=TRUE,((Table1[[#This Row],[Birthweight (grams)]]*1.1/Table1[[#This Row],[BW_GA]])-1)/(Backend!$B$4/100*Table1[[#This Row],[BW40_3705]]),"")</f>
        <v/>
      </c>
      <c r="J609" s="7" t="str">
        <f>IF(Table1[[#This Row],[Is Data Valid]]=TRUE,_xlfn.NORM.S.DIST(Table1[[#This Row],[Birthweight Z-Score]],TRUE)*100,"")</f>
        <v/>
      </c>
      <c r="K609" s="7" t="str">
        <f>IF(Table1[[#This Row],[Is Data Valid]]=TRUE,_xlfn.NORM.S.DIST(Table1[[#This Row],[Birthweight Z-Score (BW-10%)]],TRUE)*100,"")</f>
        <v/>
      </c>
      <c r="L609" s="7" t="str">
        <f>IF(Table1[[#This Row],[Is Data Valid]]=TRUE,_xlfn.NORM.S.DIST(Table1[[#This Row],[Birthweight Z-Score (BW+10%)]],TRUE)*100,"")</f>
        <v/>
      </c>
    </row>
    <row r="610" spans="1:12" x14ac:dyDescent="0.35">
      <c r="A610" s="3"/>
      <c r="B610" s="2"/>
      <c r="C610" s="2"/>
      <c r="D610" s="2" t="b">
        <f>IF(AND(NOT(ISBLANK(Table1[[#This Row],[Fetal Sex (Male, Female or Unknown)]])),ISNUMBER(Table1[[#This Row],[Birthweight (grams)]]),ISNUMBER(Table1[[#This Row],[Gestation (days)]])),TRUE,FALSE)</f>
        <v>0</v>
      </c>
      <c r="E610" s="2" t="str">
        <f>IF(Table1[[#This Row],[Is Data Valid]]=TRUE,IF(Table1[[#This Row],[Fetal Sex (Male, Female or Unknown)]]="Male",Backend!$C$6,IF(Table1[[#This Row],[Fetal Sex (Male, Female or Unknown)]]="Female",Backend!$C$7,IF(Table1[[#This Row],[Fetal Sex (Male, Female or Unknown)]]="Unknown",Backend!$C$8,"Error"))),"")</f>
        <v/>
      </c>
      <c r="F610" s="8" t="str">
        <f>IF(Table1[[#This Row],[Is Data Valid]]=TRUE,EXP(0.578+0.332*((Table1[[#This Row],[Gestation (days)]]+0.5)/7)-0.00354*((Table1[[#This Row],[Gestation (days)]]+0.5)/7)^2)*Table1[[#This Row],[BW40_3705]],"")</f>
        <v/>
      </c>
      <c r="G610" s="2" t="str">
        <f>IF(Table1[[#This Row],[Is Data Valid]]=TRUE,((Table1[[#This Row],[Birthweight (grams)]]/Table1[[#This Row],[BW_GA]])-1)/(Backend!$B$4/100*Table1[[#This Row],[BW40_3705]]),"")</f>
        <v/>
      </c>
      <c r="H610" s="7" t="str">
        <f>IF(Table1[[#This Row],[Is Data Valid]]=TRUE,((Table1[[#This Row],[Birthweight (grams)]]*0.9/Table1[[#This Row],[BW_GA]])-1)/(Backend!$B$4/100*Table1[[#This Row],[BW40_3705]]),"")</f>
        <v/>
      </c>
      <c r="I610" s="7" t="str">
        <f>IF(Table1[[#This Row],[Is Data Valid]]=TRUE,((Table1[[#This Row],[Birthweight (grams)]]*1.1/Table1[[#This Row],[BW_GA]])-1)/(Backend!$B$4/100*Table1[[#This Row],[BW40_3705]]),"")</f>
        <v/>
      </c>
      <c r="J610" s="7" t="str">
        <f>IF(Table1[[#This Row],[Is Data Valid]]=TRUE,_xlfn.NORM.S.DIST(Table1[[#This Row],[Birthweight Z-Score]],TRUE)*100,"")</f>
        <v/>
      </c>
      <c r="K610" s="7" t="str">
        <f>IF(Table1[[#This Row],[Is Data Valid]]=TRUE,_xlfn.NORM.S.DIST(Table1[[#This Row],[Birthweight Z-Score (BW-10%)]],TRUE)*100,"")</f>
        <v/>
      </c>
      <c r="L610" s="7" t="str">
        <f>IF(Table1[[#This Row],[Is Data Valid]]=TRUE,_xlfn.NORM.S.DIST(Table1[[#This Row],[Birthweight Z-Score (BW+10%)]],TRUE)*100,"")</f>
        <v/>
      </c>
    </row>
    <row r="611" spans="1:12" x14ac:dyDescent="0.35">
      <c r="A611" s="3"/>
      <c r="B611" s="2"/>
      <c r="C611" s="2"/>
      <c r="D611" s="2" t="b">
        <f>IF(AND(NOT(ISBLANK(Table1[[#This Row],[Fetal Sex (Male, Female or Unknown)]])),ISNUMBER(Table1[[#This Row],[Birthweight (grams)]]),ISNUMBER(Table1[[#This Row],[Gestation (days)]])),TRUE,FALSE)</f>
        <v>0</v>
      </c>
      <c r="E611" s="2" t="str">
        <f>IF(Table1[[#This Row],[Is Data Valid]]=TRUE,IF(Table1[[#This Row],[Fetal Sex (Male, Female or Unknown)]]="Male",Backend!$C$6,IF(Table1[[#This Row],[Fetal Sex (Male, Female or Unknown)]]="Female",Backend!$C$7,IF(Table1[[#This Row],[Fetal Sex (Male, Female or Unknown)]]="Unknown",Backend!$C$8,"Error"))),"")</f>
        <v/>
      </c>
      <c r="F611" s="8" t="str">
        <f>IF(Table1[[#This Row],[Is Data Valid]]=TRUE,EXP(0.578+0.332*((Table1[[#This Row],[Gestation (days)]]+0.5)/7)-0.00354*((Table1[[#This Row],[Gestation (days)]]+0.5)/7)^2)*Table1[[#This Row],[BW40_3705]],"")</f>
        <v/>
      </c>
      <c r="G611" s="2" t="str">
        <f>IF(Table1[[#This Row],[Is Data Valid]]=TRUE,((Table1[[#This Row],[Birthweight (grams)]]/Table1[[#This Row],[BW_GA]])-1)/(Backend!$B$4/100*Table1[[#This Row],[BW40_3705]]),"")</f>
        <v/>
      </c>
      <c r="H611" s="7" t="str">
        <f>IF(Table1[[#This Row],[Is Data Valid]]=TRUE,((Table1[[#This Row],[Birthweight (grams)]]*0.9/Table1[[#This Row],[BW_GA]])-1)/(Backend!$B$4/100*Table1[[#This Row],[BW40_3705]]),"")</f>
        <v/>
      </c>
      <c r="I611" s="7" t="str">
        <f>IF(Table1[[#This Row],[Is Data Valid]]=TRUE,((Table1[[#This Row],[Birthweight (grams)]]*1.1/Table1[[#This Row],[BW_GA]])-1)/(Backend!$B$4/100*Table1[[#This Row],[BW40_3705]]),"")</f>
        <v/>
      </c>
      <c r="J611" s="7" t="str">
        <f>IF(Table1[[#This Row],[Is Data Valid]]=TRUE,_xlfn.NORM.S.DIST(Table1[[#This Row],[Birthweight Z-Score]],TRUE)*100,"")</f>
        <v/>
      </c>
      <c r="K611" s="7" t="str">
        <f>IF(Table1[[#This Row],[Is Data Valid]]=TRUE,_xlfn.NORM.S.DIST(Table1[[#This Row],[Birthweight Z-Score (BW-10%)]],TRUE)*100,"")</f>
        <v/>
      </c>
      <c r="L611" s="7" t="str">
        <f>IF(Table1[[#This Row],[Is Data Valid]]=TRUE,_xlfn.NORM.S.DIST(Table1[[#This Row],[Birthweight Z-Score (BW+10%)]],TRUE)*100,"")</f>
        <v/>
      </c>
    </row>
    <row r="612" spans="1:12" x14ac:dyDescent="0.35">
      <c r="A612" s="3"/>
      <c r="B612" s="2"/>
      <c r="C612" s="2"/>
      <c r="D612" s="2" t="b">
        <f>IF(AND(NOT(ISBLANK(Table1[[#This Row],[Fetal Sex (Male, Female or Unknown)]])),ISNUMBER(Table1[[#This Row],[Birthweight (grams)]]),ISNUMBER(Table1[[#This Row],[Gestation (days)]])),TRUE,FALSE)</f>
        <v>0</v>
      </c>
      <c r="E612" s="2" t="str">
        <f>IF(Table1[[#This Row],[Is Data Valid]]=TRUE,IF(Table1[[#This Row],[Fetal Sex (Male, Female or Unknown)]]="Male",Backend!$C$6,IF(Table1[[#This Row],[Fetal Sex (Male, Female or Unknown)]]="Female",Backend!$C$7,IF(Table1[[#This Row],[Fetal Sex (Male, Female or Unknown)]]="Unknown",Backend!$C$8,"Error"))),"")</f>
        <v/>
      </c>
      <c r="F612" s="8" t="str">
        <f>IF(Table1[[#This Row],[Is Data Valid]]=TRUE,EXP(0.578+0.332*((Table1[[#This Row],[Gestation (days)]]+0.5)/7)-0.00354*((Table1[[#This Row],[Gestation (days)]]+0.5)/7)^2)*Table1[[#This Row],[BW40_3705]],"")</f>
        <v/>
      </c>
      <c r="G612" s="2" t="str">
        <f>IF(Table1[[#This Row],[Is Data Valid]]=TRUE,((Table1[[#This Row],[Birthweight (grams)]]/Table1[[#This Row],[BW_GA]])-1)/(Backend!$B$4/100*Table1[[#This Row],[BW40_3705]]),"")</f>
        <v/>
      </c>
      <c r="H612" s="7" t="str">
        <f>IF(Table1[[#This Row],[Is Data Valid]]=TRUE,((Table1[[#This Row],[Birthweight (grams)]]*0.9/Table1[[#This Row],[BW_GA]])-1)/(Backend!$B$4/100*Table1[[#This Row],[BW40_3705]]),"")</f>
        <v/>
      </c>
      <c r="I612" s="7" t="str">
        <f>IF(Table1[[#This Row],[Is Data Valid]]=TRUE,((Table1[[#This Row],[Birthweight (grams)]]*1.1/Table1[[#This Row],[BW_GA]])-1)/(Backend!$B$4/100*Table1[[#This Row],[BW40_3705]]),"")</f>
        <v/>
      </c>
      <c r="J612" s="7" t="str">
        <f>IF(Table1[[#This Row],[Is Data Valid]]=TRUE,_xlfn.NORM.S.DIST(Table1[[#This Row],[Birthweight Z-Score]],TRUE)*100,"")</f>
        <v/>
      </c>
      <c r="K612" s="7" t="str">
        <f>IF(Table1[[#This Row],[Is Data Valid]]=TRUE,_xlfn.NORM.S.DIST(Table1[[#This Row],[Birthweight Z-Score (BW-10%)]],TRUE)*100,"")</f>
        <v/>
      </c>
      <c r="L612" s="7" t="str">
        <f>IF(Table1[[#This Row],[Is Data Valid]]=TRUE,_xlfn.NORM.S.DIST(Table1[[#This Row],[Birthweight Z-Score (BW+10%)]],TRUE)*100,"")</f>
        <v/>
      </c>
    </row>
    <row r="613" spans="1:12" x14ac:dyDescent="0.35">
      <c r="A613" s="3"/>
      <c r="B613" s="2"/>
      <c r="C613" s="2"/>
      <c r="D613" s="2" t="b">
        <f>IF(AND(NOT(ISBLANK(Table1[[#This Row],[Fetal Sex (Male, Female or Unknown)]])),ISNUMBER(Table1[[#This Row],[Birthweight (grams)]]),ISNUMBER(Table1[[#This Row],[Gestation (days)]])),TRUE,FALSE)</f>
        <v>0</v>
      </c>
      <c r="E613" s="2" t="str">
        <f>IF(Table1[[#This Row],[Is Data Valid]]=TRUE,IF(Table1[[#This Row],[Fetal Sex (Male, Female or Unknown)]]="Male",Backend!$C$6,IF(Table1[[#This Row],[Fetal Sex (Male, Female or Unknown)]]="Female",Backend!$C$7,IF(Table1[[#This Row],[Fetal Sex (Male, Female or Unknown)]]="Unknown",Backend!$C$8,"Error"))),"")</f>
        <v/>
      </c>
      <c r="F613" s="8" t="str">
        <f>IF(Table1[[#This Row],[Is Data Valid]]=TRUE,EXP(0.578+0.332*((Table1[[#This Row],[Gestation (days)]]+0.5)/7)-0.00354*((Table1[[#This Row],[Gestation (days)]]+0.5)/7)^2)*Table1[[#This Row],[BW40_3705]],"")</f>
        <v/>
      </c>
      <c r="G613" s="2" t="str">
        <f>IF(Table1[[#This Row],[Is Data Valid]]=TRUE,((Table1[[#This Row],[Birthweight (grams)]]/Table1[[#This Row],[BW_GA]])-1)/(Backend!$B$4/100*Table1[[#This Row],[BW40_3705]]),"")</f>
        <v/>
      </c>
      <c r="H613" s="7" t="str">
        <f>IF(Table1[[#This Row],[Is Data Valid]]=TRUE,((Table1[[#This Row],[Birthweight (grams)]]*0.9/Table1[[#This Row],[BW_GA]])-1)/(Backend!$B$4/100*Table1[[#This Row],[BW40_3705]]),"")</f>
        <v/>
      </c>
      <c r="I613" s="7" t="str">
        <f>IF(Table1[[#This Row],[Is Data Valid]]=TRUE,((Table1[[#This Row],[Birthweight (grams)]]*1.1/Table1[[#This Row],[BW_GA]])-1)/(Backend!$B$4/100*Table1[[#This Row],[BW40_3705]]),"")</f>
        <v/>
      </c>
      <c r="J613" s="7" t="str">
        <f>IF(Table1[[#This Row],[Is Data Valid]]=TRUE,_xlfn.NORM.S.DIST(Table1[[#This Row],[Birthweight Z-Score]],TRUE)*100,"")</f>
        <v/>
      </c>
      <c r="K613" s="7" t="str">
        <f>IF(Table1[[#This Row],[Is Data Valid]]=TRUE,_xlfn.NORM.S.DIST(Table1[[#This Row],[Birthweight Z-Score (BW-10%)]],TRUE)*100,"")</f>
        <v/>
      </c>
      <c r="L613" s="7" t="str">
        <f>IF(Table1[[#This Row],[Is Data Valid]]=TRUE,_xlfn.NORM.S.DIST(Table1[[#This Row],[Birthweight Z-Score (BW+10%)]],TRUE)*100,"")</f>
        <v/>
      </c>
    </row>
    <row r="614" spans="1:12" x14ac:dyDescent="0.35">
      <c r="A614" s="3"/>
      <c r="B614" s="2"/>
      <c r="C614" s="2"/>
      <c r="D614" s="2" t="b">
        <f>IF(AND(NOT(ISBLANK(Table1[[#This Row],[Fetal Sex (Male, Female or Unknown)]])),ISNUMBER(Table1[[#This Row],[Birthweight (grams)]]),ISNUMBER(Table1[[#This Row],[Gestation (days)]])),TRUE,FALSE)</f>
        <v>0</v>
      </c>
      <c r="E614" s="2" t="str">
        <f>IF(Table1[[#This Row],[Is Data Valid]]=TRUE,IF(Table1[[#This Row],[Fetal Sex (Male, Female or Unknown)]]="Male",Backend!$C$6,IF(Table1[[#This Row],[Fetal Sex (Male, Female or Unknown)]]="Female",Backend!$C$7,IF(Table1[[#This Row],[Fetal Sex (Male, Female or Unknown)]]="Unknown",Backend!$C$8,"Error"))),"")</f>
        <v/>
      </c>
      <c r="F614" s="8" t="str">
        <f>IF(Table1[[#This Row],[Is Data Valid]]=TRUE,EXP(0.578+0.332*((Table1[[#This Row],[Gestation (days)]]+0.5)/7)-0.00354*((Table1[[#This Row],[Gestation (days)]]+0.5)/7)^2)*Table1[[#This Row],[BW40_3705]],"")</f>
        <v/>
      </c>
      <c r="G614" s="2" t="str">
        <f>IF(Table1[[#This Row],[Is Data Valid]]=TRUE,((Table1[[#This Row],[Birthweight (grams)]]/Table1[[#This Row],[BW_GA]])-1)/(Backend!$B$4/100*Table1[[#This Row],[BW40_3705]]),"")</f>
        <v/>
      </c>
      <c r="H614" s="7" t="str">
        <f>IF(Table1[[#This Row],[Is Data Valid]]=TRUE,((Table1[[#This Row],[Birthweight (grams)]]*0.9/Table1[[#This Row],[BW_GA]])-1)/(Backend!$B$4/100*Table1[[#This Row],[BW40_3705]]),"")</f>
        <v/>
      </c>
      <c r="I614" s="7" t="str">
        <f>IF(Table1[[#This Row],[Is Data Valid]]=TRUE,((Table1[[#This Row],[Birthweight (grams)]]*1.1/Table1[[#This Row],[BW_GA]])-1)/(Backend!$B$4/100*Table1[[#This Row],[BW40_3705]]),"")</f>
        <v/>
      </c>
      <c r="J614" s="7" t="str">
        <f>IF(Table1[[#This Row],[Is Data Valid]]=TRUE,_xlfn.NORM.S.DIST(Table1[[#This Row],[Birthweight Z-Score]],TRUE)*100,"")</f>
        <v/>
      </c>
      <c r="K614" s="7" t="str">
        <f>IF(Table1[[#This Row],[Is Data Valid]]=TRUE,_xlfn.NORM.S.DIST(Table1[[#This Row],[Birthweight Z-Score (BW-10%)]],TRUE)*100,"")</f>
        <v/>
      </c>
      <c r="L614" s="7" t="str">
        <f>IF(Table1[[#This Row],[Is Data Valid]]=TRUE,_xlfn.NORM.S.DIST(Table1[[#This Row],[Birthweight Z-Score (BW+10%)]],TRUE)*100,"")</f>
        <v/>
      </c>
    </row>
    <row r="615" spans="1:12" x14ac:dyDescent="0.35">
      <c r="A615" s="3"/>
      <c r="B615" s="2"/>
      <c r="C615" s="2"/>
      <c r="D615" s="2" t="b">
        <f>IF(AND(NOT(ISBLANK(Table1[[#This Row],[Fetal Sex (Male, Female or Unknown)]])),ISNUMBER(Table1[[#This Row],[Birthweight (grams)]]),ISNUMBER(Table1[[#This Row],[Gestation (days)]])),TRUE,FALSE)</f>
        <v>0</v>
      </c>
      <c r="E615" s="2" t="str">
        <f>IF(Table1[[#This Row],[Is Data Valid]]=TRUE,IF(Table1[[#This Row],[Fetal Sex (Male, Female or Unknown)]]="Male",Backend!$C$6,IF(Table1[[#This Row],[Fetal Sex (Male, Female or Unknown)]]="Female",Backend!$C$7,IF(Table1[[#This Row],[Fetal Sex (Male, Female or Unknown)]]="Unknown",Backend!$C$8,"Error"))),"")</f>
        <v/>
      </c>
      <c r="F615" s="8" t="str">
        <f>IF(Table1[[#This Row],[Is Data Valid]]=TRUE,EXP(0.578+0.332*((Table1[[#This Row],[Gestation (days)]]+0.5)/7)-0.00354*((Table1[[#This Row],[Gestation (days)]]+0.5)/7)^2)*Table1[[#This Row],[BW40_3705]],"")</f>
        <v/>
      </c>
      <c r="G615" s="2" t="str">
        <f>IF(Table1[[#This Row],[Is Data Valid]]=TRUE,((Table1[[#This Row],[Birthweight (grams)]]/Table1[[#This Row],[BW_GA]])-1)/(Backend!$B$4/100*Table1[[#This Row],[BW40_3705]]),"")</f>
        <v/>
      </c>
      <c r="H615" s="7" t="str">
        <f>IF(Table1[[#This Row],[Is Data Valid]]=TRUE,((Table1[[#This Row],[Birthweight (grams)]]*0.9/Table1[[#This Row],[BW_GA]])-1)/(Backend!$B$4/100*Table1[[#This Row],[BW40_3705]]),"")</f>
        <v/>
      </c>
      <c r="I615" s="7" t="str">
        <f>IF(Table1[[#This Row],[Is Data Valid]]=TRUE,((Table1[[#This Row],[Birthweight (grams)]]*1.1/Table1[[#This Row],[BW_GA]])-1)/(Backend!$B$4/100*Table1[[#This Row],[BW40_3705]]),"")</f>
        <v/>
      </c>
      <c r="J615" s="7" t="str">
        <f>IF(Table1[[#This Row],[Is Data Valid]]=TRUE,_xlfn.NORM.S.DIST(Table1[[#This Row],[Birthweight Z-Score]],TRUE)*100,"")</f>
        <v/>
      </c>
      <c r="K615" s="7" t="str">
        <f>IF(Table1[[#This Row],[Is Data Valid]]=TRUE,_xlfn.NORM.S.DIST(Table1[[#This Row],[Birthweight Z-Score (BW-10%)]],TRUE)*100,"")</f>
        <v/>
      </c>
      <c r="L615" s="7" t="str">
        <f>IF(Table1[[#This Row],[Is Data Valid]]=TRUE,_xlfn.NORM.S.DIST(Table1[[#This Row],[Birthweight Z-Score (BW+10%)]],TRUE)*100,"")</f>
        <v/>
      </c>
    </row>
    <row r="616" spans="1:12" x14ac:dyDescent="0.35">
      <c r="A616" s="3"/>
      <c r="B616" s="2"/>
      <c r="C616" s="2"/>
      <c r="D616" s="2" t="b">
        <f>IF(AND(NOT(ISBLANK(Table1[[#This Row],[Fetal Sex (Male, Female or Unknown)]])),ISNUMBER(Table1[[#This Row],[Birthweight (grams)]]),ISNUMBER(Table1[[#This Row],[Gestation (days)]])),TRUE,FALSE)</f>
        <v>0</v>
      </c>
      <c r="E616" s="2" t="str">
        <f>IF(Table1[[#This Row],[Is Data Valid]]=TRUE,IF(Table1[[#This Row],[Fetal Sex (Male, Female or Unknown)]]="Male",Backend!$C$6,IF(Table1[[#This Row],[Fetal Sex (Male, Female or Unknown)]]="Female",Backend!$C$7,IF(Table1[[#This Row],[Fetal Sex (Male, Female or Unknown)]]="Unknown",Backend!$C$8,"Error"))),"")</f>
        <v/>
      </c>
      <c r="F616" s="8" t="str">
        <f>IF(Table1[[#This Row],[Is Data Valid]]=TRUE,EXP(0.578+0.332*((Table1[[#This Row],[Gestation (days)]]+0.5)/7)-0.00354*((Table1[[#This Row],[Gestation (days)]]+0.5)/7)^2)*Table1[[#This Row],[BW40_3705]],"")</f>
        <v/>
      </c>
      <c r="G616" s="2" t="str">
        <f>IF(Table1[[#This Row],[Is Data Valid]]=TRUE,((Table1[[#This Row],[Birthweight (grams)]]/Table1[[#This Row],[BW_GA]])-1)/(Backend!$B$4/100*Table1[[#This Row],[BW40_3705]]),"")</f>
        <v/>
      </c>
      <c r="H616" s="7" t="str">
        <f>IF(Table1[[#This Row],[Is Data Valid]]=TRUE,((Table1[[#This Row],[Birthweight (grams)]]*0.9/Table1[[#This Row],[BW_GA]])-1)/(Backend!$B$4/100*Table1[[#This Row],[BW40_3705]]),"")</f>
        <v/>
      </c>
      <c r="I616" s="7" t="str">
        <f>IF(Table1[[#This Row],[Is Data Valid]]=TRUE,((Table1[[#This Row],[Birthweight (grams)]]*1.1/Table1[[#This Row],[BW_GA]])-1)/(Backend!$B$4/100*Table1[[#This Row],[BW40_3705]]),"")</f>
        <v/>
      </c>
      <c r="J616" s="7" t="str">
        <f>IF(Table1[[#This Row],[Is Data Valid]]=TRUE,_xlfn.NORM.S.DIST(Table1[[#This Row],[Birthweight Z-Score]],TRUE)*100,"")</f>
        <v/>
      </c>
      <c r="K616" s="7" t="str">
        <f>IF(Table1[[#This Row],[Is Data Valid]]=TRUE,_xlfn.NORM.S.DIST(Table1[[#This Row],[Birthweight Z-Score (BW-10%)]],TRUE)*100,"")</f>
        <v/>
      </c>
      <c r="L616" s="7" t="str">
        <f>IF(Table1[[#This Row],[Is Data Valid]]=TRUE,_xlfn.NORM.S.DIST(Table1[[#This Row],[Birthweight Z-Score (BW+10%)]],TRUE)*100,"")</f>
        <v/>
      </c>
    </row>
    <row r="617" spans="1:12" x14ac:dyDescent="0.35">
      <c r="A617" s="3"/>
      <c r="B617" s="2"/>
      <c r="C617" s="2"/>
      <c r="D617" s="2" t="b">
        <f>IF(AND(NOT(ISBLANK(Table1[[#This Row],[Fetal Sex (Male, Female or Unknown)]])),ISNUMBER(Table1[[#This Row],[Birthweight (grams)]]),ISNUMBER(Table1[[#This Row],[Gestation (days)]])),TRUE,FALSE)</f>
        <v>0</v>
      </c>
      <c r="E617" s="2" t="str">
        <f>IF(Table1[[#This Row],[Is Data Valid]]=TRUE,IF(Table1[[#This Row],[Fetal Sex (Male, Female or Unknown)]]="Male",Backend!$C$6,IF(Table1[[#This Row],[Fetal Sex (Male, Female or Unknown)]]="Female",Backend!$C$7,IF(Table1[[#This Row],[Fetal Sex (Male, Female or Unknown)]]="Unknown",Backend!$C$8,"Error"))),"")</f>
        <v/>
      </c>
      <c r="F617" s="8" t="str">
        <f>IF(Table1[[#This Row],[Is Data Valid]]=TRUE,EXP(0.578+0.332*((Table1[[#This Row],[Gestation (days)]]+0.5)/7)-0.00354*((Table1[[#This Row],[Gestation (days)]]+0.5)/7)^2)*Table1[[#This Row],[BW40_3705]],"")</f>
        <v/>
      </c>
      <c r="G617" s="2" t="str">
        <f>IF(Table1[[#This Row],[Is Data Valid]]=TRUE,((Table1[[#This Row],[Birthweight (grams)]]/Table1[[#This Row],[BW_GA]])-1)/(Backend!$B$4/100*Table1[[#This Row],[BW40_3705]]),"")</f>
        <v/>
      </c>
      <c r="H617" s="7" t="str">
        <f>IF(Table1[[#This Row],[Is Data Valid]]=TRUE,((Table1[[#This Row],[Birthweight (grams)]]*0.9/Table1[[#This Row],[BW_GA]])-1)/(Backend!$B$4/100*Table1[[#This Row],[BW40_3705]]),"")</f>
        <v/>
      </c>
      <c r="I617" s="7" t="str">
        <f>IF(Table1[[#This Row],[Is Data Valid]]=TRUE,((Table1[[#This Row],[Birthweight (grams)]]*1.1/Table1[[#This Row],[BW_GA]])-1)/(Backend!$B$4/100*Table1[[#This Row],[BW40_3705]]),"")</f>
        <v/>
      </c>
      <c r="J617" s="7" t="str">
        <f>IF(Table1[[#This Row],[Is Data Valid]]=TRUE,_xlfn.NORM.S.DIST(Table1[[#This Row],[Birthweight Z-Score]],TRUE)*100,"")</f>
        <v/>
      </c>
      <c r="K617" s="7" t="str">
        <f>IF(Table1[[#This Row],[Is Data Valid]]=TRUE,_xlfn.NORM.S.DIST(Table1[[#This Row],[Birthweight Z-Score (BW-10%)]],TRUE)*100,"")</f>
        <v/>
      </c>
      <c r="L617" s="7" t="str">
        <f>IF(Table1[[#This Row],[Is Data Valid]]=TRUE,_xlfn.NORM.S.DIST(Table1[[#This Row],[Birthweight Z-Score (BW+10%)]],TRUE)*100,"")</f>
        <v/>
      </c>
    </row>
    <row r="618" spans="1:12" x14ac:dyDescent="0.35">
      <c r="A618" s="3"/>
      <c r="B618" s="2"/>
      <c r="C618" s="2"/>
      <c r="D618" s="2" t="b">
        <f>IF(AND(NOT(ISBLANK(Table1[[#This Row],[Fetal Sex (Male, Female or Unknown)]])),ISNUMBER(Table1[[#This Row],[Birthweight (grams)]]),ISNUMBER(Table1[[#This Row],[Gestation (days)]])),TRUE,FALSE)</f>
        <v>0</v>
      </c>
      <c r="E618" s="2" t="str">
        <f>IF(Table1[[#This Row],[Is Data Valid]]=TRUE,IF(Table1[[#This Row],[Fetal Sex (Male, Female or Unknown)]]="Male",Backend!$C$6,IF(Table1[[#This Row],[Fetal Sex (Male, Female or Unknown)]]="Female",Backend!$C$7,IF(Table1[[#This Row],[Fetal Sex (Male, Female or Unknown)]]="Unknown",Backend!$C$8,"Error"))),"")</f>
        <v/>
      </c>
      <c r="F618" s="8" t="str">
        <f>IF(Table1[[#This Row],[Is Data Valid]]=TRUE,EXP(0.578+0.332*((Table1[[#This Row],[Gestation (days)]]+0.5)/7)-0.00354*((Table1[[#This Row],[Gestation (days)]]+0.5)/7)^2)*Table1[[#This Row],[BW40_3705]],"")</f>
        <v/>
      </c>
      <c r="G618" s="2" t="str">
        <f>IF(Table1[[#This Row],[Is Data Valid]]=TRUE,((Table1[[#This Row],[Birthweight (grams)]]/Table1[[#This Row],[BW_GA]])-1)/(Backend!$B$4/100*Table1[[#This Row],[BW40_3705]]),"")</f>
        <v/>
      </c>
      <c r="H618" s="7" t="str">
        <f>IF(Table1[[#This Row],[Is Data Valid]]=TRUE,((Table1[[#This Row],[Birthweight (grams)]]*0.9/Table1[[#This Row],[BW_GA]])-1)/(Backend!$B$4/100*Table1[[#This Row],[BW40_3705]]),"")</f>
        <v/>
      </c>
      <c r="I618" s="7" t="str">
        <f>IF(Table1[[#This Row],[Is Data Valid]]=TRUE,((Table1[[#This Row],[Birthweight (grams)]]*1.1/Table1[[#This Row],[BW_GA]])-1)/(Backend!$B$4/100*Table1[[#This Row],[BW40_3705]]),"")</f>
        <v/>
      </c>
      <c r="J618" s="7" t="str">
        <f>IF(Table1[[#This Row],[Is Data Valid]]=TRUE,_xlfn.NORM.S.DIST(Table1[[#This Row],[Birthweight Z-Score]],TRUE)*100,"")</f>
        <v/>
      </c>
      <c r="K618" s="7" t="str">
        <f>IF(Table1[[#This Row],[Is Data Valid]]=TRUE,_xlfn.NORM.S.DIST(Table1[[#This Row],[Birthweight Z-Score (BW-10%)]],TRUE)*100,"")</f>
        <v/>
      </c>
      <c r="L618" s="7" t="str">
        <f>IF(Table1[[#This Row],[Is Data Valid]]=TRUE,_xlfn.NORM.S.DIST(Table1[[#This Row],[Birthweight Z-Score (BW+10%)]],TRUE)*100,"")</f>
        <v/>
      </c>
    </row>
    <row r="619" spans="1:12" x14ac:dyDescent="0.35">
      <c r="A619" s="3"/>
      <c r="B619" s="2"/>
      <c r="C619" s="2"/>
      <c r="D619" s="2" t="b">
        <f>IF(AND(NOT(ISBLANK(Table1[[#This Row],[Fetal Sex (Male, Female or Unknown)]])),ISNUMBER(Table1[[#This Row],[Birthweight (grams)]]),ISNUMBER(Table1[[#This Row],[Gestation (days)]])),TRUE,FALSE)</f>
        <v>0</v>
      </c>
      <c r="E619" s="2" t="str">
        <f>IF(Table1[[#This Row],[Is Data Valid]]=TRUE,IF(Table1[[#This Row],[Fetal Sex (Male, Female or Unknown)]]="Male",Backend!$C$6,IF(Table1[[#This Row],[Fetal Sex (Male, Female or Unknown)]]="Female",Backend!$C$7,IF(Table1[[#This Row],[Fetal Sex (Male, Female or Unknown)]]="Unknown",Backend!$C$8,"Error"))),"")</f>
        <v/>
      </c>
      <c r="F619" s="8" t="str">
        <f>IF(Table1[[#This Row],[Is Data Valid]]=TRUE,EXP(0.578+0.332*((Table1[[#This Row],[Gestation (days)]]+0.5)/7)-0.00354*((Table1[[#This Row],[Gestation (days)]]+0.5)/7)^2)*Table1[[#This Row],[BW40_3705]],"")</f>
        <v/>
      </c>
      <c r="G619" s="2" t="str">
        <f>IF(Table1[[#This Row],[Is Data Valid]]=TRUE,((Table1[[#This Row],[Birthweight (grams)]]/Table1[[#This Row],[BW_GA]])-1)/(Backend!$B$4/100*Table1[[#This Row],[BW40_3705]]),"")</f>
        <v/>
      </c>
      <c r="H619" s="7" t="str">
        <f>IF(Table1[[#This Row],[Is Data Valid]]=TRUE,((Table1[[#This Row],[Birthweight (grams)]]*0.9/Table1[[#This Row],[BW_GA]])-1)/(Backend!$B$4/100*Table1[[#This Row],[BW40_3705]]),"")</f>
        <v/>
      </c>
      <c r="I619" s="7" t="str">
        <f>IF(Table1[[#This Row],[Is Data Valid]]=TRUE,((Table1[[#This Row],[Birthweight (grams)]]*1.1/Table1[[#This Row],[BW_GA]])-1)/(Backend!$B$4/100*Table1[[#This Row],[BW40_3705]]),"")</f>
        <v/>
      </c>
      <c r="J619" s="7" t="str">
        <f>IF(Table1[[#This Row],[Is Data Valid]]=TRUE,_xlfn.NORM.S.DIST(Table1[[#This Row],[Birthweight Z-Score]],TRUE)*100,"")</f>
        <v/>
      </c>
      <c r="K619" s="7" t="str">
        <f>IF(Table1[[#This Row],[Is Data Valid]]=TRUE,_xlfn.NORM.S.DIST(Table1[[#This Row],[Birthweight Z-Score (BW-10%)]],TRUE)*100,"")</f>
        <v/>
      </c>
      <c r="L619" s="7" t="str">
        <f>IF(Table1[[#This Row],[Is Data Valid]]=TRUE,_xlfn.NORM.S.DIST(Table1[[#This Row],[Birthweight Z-Score (BW+10%)]],TRUE)*100,"")</f>
        <v/>
      </c>
    </row>
    <row r="620" spans="1:12" x14ac:dyDescent="0.35">
      <c r="A620" s="3"/>
      <c r="B620" s="2"/>
      <c r="C620" s="2"/>
      <c r="D620" s="2" t="b">
        <f>IF(AND(NOT(ISBLANK(Table1[[#This Row],[Fetal Sex (Male, Female or Unknown)]])),ISNUMBER(Table1[[#This Row],[Birthweight (grams)]]),ISNUMBER(Table1[[#This Row],[Gestation (days)]])),TRUE,FALSE)</f>
        <v>0</v>
      </c>
      <c r="E620" s="2" t="str">
        <f>IF(Table1[[#This Row],[Is Data Valid]]=TRUE,IF(Table1[[#This Row],[Fetal Sex (Male, Female or Unknown)]]="Male",Backend!$C$6,IF(Table1[[#This Row],[Fetal Sex (Male, Female or Unknown)]]="Female",Backend!$C$7,IF(Table1[[#This Row],[Fetal Sex (Male, Female or Unknown)]]="Unknown",Backend!$C$8,"Error"))),"")</f>
        <v/>
      </c>
      <c r="F620" s="8" t="str">
        <f>IF(Table1[[#This Row],[Is Data Valid]]=TRUE,EXP(0.578+0.332*((Table1[[#This Row],[Gestation (days)]]+0.5)/7)-0.00354*((Table1[[#This Row],[Gestation (days)]]+0.5)/7)^2)*Table1[[#This Row],[BW40_3705]],"")</f>
        <v/>
      </c>
      <c r="G620" s="2" t="str">
        <f>IF(Table1[[#This Row],[Is Data Valid]]=TRUE,((Table1[[#This Row],[Birthweight (grams)]]/Table1[[#This Row],[BW_GA]])-1)/(Backend!$B$4/100*Table1[[#This Row],[BW40_3705]]),"")</f>
        <v/>
      </c>
      <c r="H620" s="7" t="str">
        <f>IF(Table1[[#This Row],[Is Data Valid]]=TRUE,((Table1[[#This Row],[Birthweight (grams)]]*0.9/Table1[[#This Row],[BW_GA]])-1)/(Backend!$B$4/100*Table1[[#This Row],[BW40_3705]]),"")</f>
        <v/>
      </c>
      <c r="I620" s="7" t="str">
        <f>IF(Table1[[#This Row],[Is Data Valid]]=TRUE,((Table1[[#This Row],[Birthweight (grams)]]*1.1/Table1[[#This Row],[BW_GA]])-1)/(Backend!$B$4/100*Table1[[#This Row],[BW40_3705]]),"")</f>
        <v/>
      </c>
      <c r="J620" s="7" t="str">
        <f>IF(Table1[[#This Row],[Is Data Valid]]=TRUE,_xlfn.NORM.S.DIST(Table1[[#This Row],[Birthweight Z-Score]],TRUE)*100,"")</f>
        <v/>
      </c>
      <c r="K620" s="7" t="str">
        <f>IF(Table1[[#This Row],[Is Data Valid]]=TRUE,_xlfn.NORM.S.DIST(Table1[[#This Row],[Birthweight Z-Score (BW-10%)]],TRUE)*100,"")</f>
        <v/>
      </c>
      <c r="L620" s="7" t="str">
        <f>IF(Table1[[#This Row],[Is Data Valid]]=TRUE,_xlfn.NORM.S.DIST(Table1[[#This Row],[Birthweight Z-Score (BW+10%)]],TRUE)*100,"")</f>
        <v/>
      </c>
    </row>
    <row r="621" spans="1:12" x14ac:dyDescent="0.35">
      <c r="A621" s="3"/>
      <c r="B621" s="2"/>
      <c r="C621" s="2"/>
      <c r="D621" s="2" t="b">
        <f>IF(AND(NOT(ISBLANK(Table1[[#This Row],[Fetal Sex (Male, Female or Unknown)]])),ISNUMBER(Table1[[#This Row],[Birthweight (grams)]]),ISNUMBER(Table1[[#This Row],[Gestation (days)]])),TRUE,FALSE)</f>
        <v>0</v>
      </c>
      <c r="E621" s="2" t="str">
        <f>IF(Table1[[#This Row],[Is Data Valid]]=TRUE,IF(Table1[[#This Row],[Fetal Sex (Male, Female or Unknown)]]="Male",Backend!$C$6,IF(Table1[[#This Row],[Fetal Sex (Male, Female or Unknown)]]="Female",Backend!$C$7,IF(Table1[[#This Row],[Fetal Sex (Male, Female or Unknown)]]="Unknown",Backend!$C$8,"Error"))),"")</f>
        <v/>
      </c>
      <c r="F621" s="8" t="str">
        <f>IF(Table1[[#This Row],[Is Data Valid]]=TRUE,EXP(0.578+0.332*((Table1[[#This Row],[Gestation (days)]]+0.5)/7)-0.00354*((Table1[[#This Row],[Gestation (days)]]+0.5)/7)^2)*Table1[[#This Row],[BW40_3705]],"")</f>
        <v/>
      </c>
      <c r="G621" s="2" t="str">
        <f>IF(Table1[[#This Row],[Is Data Valid]]=TRUE,((Table1[[#This Row],[Birthweight (grams)]]/Table1[[#This Row],[BW_GA]])-1)/(Backend!$B$4/100*Table1[[#This Row],[BW40_3705]]),"")</f>
        <v/>
      </c>
      <c r="H621" s="7" t="str">
        <f>IF(Table1[[#This Row],[Is Data Valid]]=TRUE,((Table1[[#This Row],[Birthweight (grams)]]*0.9/Table1[[#This Row],[BW_GA]])-1)/(Backend!$B$4/100*Table1[[#This Row],[BW40_3705]]),"")</f>
        <v/>
      </c>
      <c r="I621" s="7" t="str">
        <f>IF(Table1[[#This Row],[Is Data Valid]]=TRUE,((Table1[[#This Row],[Birthweight (grams)]]*1.1/Table1[[#This Row],[BW_GA]])-1)/(Backend!$B$4/100*Table1[[#This Row],[BW40_3705]]),"")</f>
        <v/>
      </c>
      <c r="J621" s="7" t="str">
        <f>IF(Table1[[#This Row],[Is Data Valid]]=TRUE,_xlfn.NORM.S.DIST(Table1[[#This Row],[Birthweight Z-Score]],TRUE)*100,"")</f>
        <v/>
      </c>
      <c r="K621" s="7" t="str">
        <f>IF(Table1[[#This Row],[Is Data Valid]]=TRUE,_xlfn.NORM.S.DIST(Table1[[#This Row],[Birthweight Z-Score (BW-10%)]],TRUE)*100,"")</f>
        <v/>
      </c>
      <c r="L621" s="7" t="str">
        <f>IF(Table1[[#This Row],[Is Data Valid]]=TRUE,_xlfn.NORM.S.DIST(Table1[[#This Row],[Birthweight Z-Score (BW+10%)]],TRUE)*100,"")</f>
        <v/>
      </c>
    </row>
    <row r="622" spans="1:12" x14ac:dyDescent="0.35">
      <c r="A622" s="3"/>
      <c r="B622" s="2"/>
      <c r="C622" s="2"/>
      <c r="D622" s="2" t="b">
        <f>IF(AND(NOT(ISBLANK(Table1[[#This Row],[Fetal Sex (Male, Female or Unknown)]])),ISNUMBER(Table1[[#This Row],[Birthweight (grams)]]),ISNUMBER(Table1[[#This Row],[Gestation (days)]])),TRUE,FALSE)</f>
        <v>0</v>
      </c>
      <c r="E622" s="2" t="str">
        <f>IF(Table1[[#This Row],[Is Data Valid]]=TRUE,IF(Table1[[#This Row],[Fetal Sex (Male, Female or Unknown)]]="Male",Backend!$C$6,IF(Table1[[#This Row],[Fetal Sex (Male, Female or Unknown)]]="Female",Backend!$C$7,IF(Table1[[#This Row],[Fetal Sex (Male, Female or Unknown)]]="Unknown",Backend!$C$8,"Error"))),"")</f>
        <v/>
      </c>
      <c r="F622" s="8" t="str">
        <f>IF(Table1[[#This Row],[Is Data Valid]]=TRUE,EXP(0.578+0.332*((Table1[[#This Row],[Gestation (days)]]+0.5)/7)-0.00354*((Table1[[#This Row],[Gestation (days)]]+0.5)/7)^2)*Table1[[#This Row],[BW40_3705]],"")</f>
        <v/>
      </c>
      <c r="G622" s="2" t="str">
        <f>IF(Table1[[#This Row],[Is Data Valid]]=TRUE,((Table1[[#This Row],[Birthweight (grams)]]/Table1[[#This Row],[BW_GA]])-1)/(Backend!$B$4/100*Table1[[#This Row],[BW40_3705]]),"")</f>
        <v/>
      </c>
      <c r="H622" s="7" t="str">
        <f>IF(Table1[[#This Row],[Is Data Valid]]=TRUE,((Table1[[#This Row],[Birthweight (grams)]]*0.9/Table1[[#This Row],[BW_GA]])-1)/(Backend!$B$4/100*Table1[[#This Row],[BW40_3705]]),"")</f>
        <v/>
      </c>
      <c r="I622" s="7" t="str">
        <f>IF(Table1[[#This Row],[Is Data Valid]]=TRUE,((Table1[[#This Row],[Birthweight (grams)]]*1.1/Table1[[#This Row],[BW_GA]])-1)/(Backend!$B$4/100*Table1[[#This Row],[BW40_3705]]),"")</f>
        <v/>
      </c>
      <c r="J622" s="7" t="str">
        <f>IF(Table1[[#This Row],[Is Data Valid]]=TRUE,_xlfn.NORM.S.DIST(Table1[[#This Row],[Birthweight Z-Score]],TRUE)*100,"")</f>
        <v/>
      </c>
      <c r="K622" s="7" t="str">
        <f>IF(Table1[[#This Row],[Is Data Valid]]=TRUE,_xlfn.NORM.S.DIST(Table1[[#This Row],[Birthweight Z-Score (BW-10%)]],TRUE)*100,"")</f>
        <v/>
      </c>
      <c r="L622" s="7" t="str">
        <f>IF(Table1[[#This Row],[Is Data Valid]]=TRUE,_xlfn.NORM.S.DIST(Table1[[#This Row],[Birthweight Z-Score (BW+10%)]],TRUE)*100,"")</f>
        <v/>
      </c>
    </row>
    <row r="623" spans="1:12" x14ac:dyDescent="0.35">
      <c r="A623" s="3"/>
      <c r="B623" s="2"/>
      <c r="C623" s="2"/>
      <c r="D623" s="2" t="b">
        <f>IF(AND(NOT(ISBLANK(Table1[[#This Row],[Fetal Sex (Male, Female or Unknown)]])),ISNUMBER(Table1[[#This Row],[Birthweight (grams)]]),ISNUMBER(Table1[[#This Row],[Gestation (days)]])),TRUE,FALSE)</f>
        <v>0</v>
      </c>
      <c r="E623" s="2" t="str">
        <f>IF(Table1[[#This Row],[Is Data Valid]]=TRUE,IF(Table1[[#This Row],[Fetal Sex (Male, Female or Unknown)]]="Male",Backend!$C$6,IF(Table1[[#This Row],[Fetal Sex (Male, Female or Unknown)]]="Female",Backend!$C$7,IF(Table1[[#This Row],[Fetal Sex (Male, Female or Unknown)]]="Unknown",Backend!$C$8,"Error"))),"")</f>
        <v/>
      </c>
      <c r="F623" s="8" t="str">
        <f>IF(Table1[[#This Row],[Is Data Valid]]=TRUE,EXP(0.578+0.332*((Table1[[#This Row],[Gestation (days)]]+0.5)/7)-0.00354*((Table1[[#This Row],[Gestation (days)]]+0.5)/7)^2)*Table1[[#This Row],[BW40_3705]],"")</f>
        <v/>
      </c>
      <c r="G623" s="2" t="str">
        <f>IF(Table1[[#This Row],[Is Data Valid]]=TRUE,((Table1[[#This Row],[Birthweight (grams)]]/Table1[[#This Row],[BW_GA]])-1)/(Backend!$B$4/100*Table1[[#This Row],[BW40_3705]]),"")</f>
        <v/>
      </c>
      <c r="H623" s="7" t="str">
        <f>IF(Table1[[#This Row],[Is Data Valid]]=TRUE,((Table1[[#This Row],[Birthweight (grams)]]*0.9/Table1[[#This Row],[BW_GA]])-1)/(Backend!$B$4/100*Table1[[#This Row],[BW40_3705]]),"")</f>
        <v/>
      </c>
      <c r="I623" s="7" t="str">
        <f>IF(Table1[[#This Row],[Is Data Valid]]=TRUE,((Table1[[#This Row],[Birthweight (grams)]]*1.1/Table1[[#This Row],[BW_GA]])-1)/(Backend!$B$4/100*Table1[[#This Row],[BW40_3705]]),"")</f>
        <v/>
      </c>
      <c r="J623" s="7" t="str">
        <f>IF(Table1[[#This Row],[Is Data Valid]]=TRUE,_xlfn.NORM.S.DIST(Table1[[#This Row],[Birthweight Z-Score]],TRUE)*100,"")</f>
        <v/>
      </c>
      <c r="K623" s="7" t="str">
        <f>IF(Table1[[#This Row],[Is Data Valid]]=TRUE,_xlfn.NORM.S.DIST(Table1[[#This Row],[Birthweight Z-Score (BW-10%)]],TRUE)*100,"")</f>
        <v/>
      </c>
      <c r="L623" s="7" t="str">
        <f>IF(Table1[[#This Row],[Is Data Valid]]=TRUE,_xlfn.NORM.S.DIST(Table1[[#This Row],[Birthweight Z-Score (BW+10%)]],TRUE)*100,"")</f>
        <v/>
      </c>
    </row>
    <row r="624" spans="1:12" x14ac:dyDescent="0.35">
      <c r="A624" s="3"/>
      <c r="B624" s="2"/>
      <c r="C624" s="2"/>
      <c r="D624" s="2" t="b">
        <f>IF(AND(NOT(ISBLANK(Table1[[#This Row],[Fetal Sex (Male, Female or Unknown)]])),ISNUMBER(Table1[[#This Row],[Birthweight (grams)]]),ISNUMBER(Table1[[#This Row],[Gestation (days)]])),TRUE,FALSE)</f>
        <v>0</v>
      </c>
      <c r="E624" s="2" t="str">
        <f>IF(Table1[[#This Row],[Is Data Valid]]=TRUE,IF(Table1[[#This Row],[Fetal Sex (Male, Female or Unknown)]]="Male",Backend!$C$6,IF(Table1[[#This Row],[Fetal Sex (Male, Female or Unknown)]]="Female",Backend!$C$7,IF(Table1[[#This Row],[Fetal Sex (Male, Female or Unknown)]]="Unknown",Backend!$C$8,"Error"))),"")</f>
        <v/>
      </c>
      <c r="F624" s="8" t="str">
        <f>IF(Table1[[#This Row],[Is Data Valid]]=TRUE,EXP(0.578+0.332*((Table1[[#This Row],[Gestation (days)]]+0.5)/7)-0.00354*((Table1[[#This Row],[Gestation (days)]]+0.5)/7)^2)*Table1[[#This Row],[BW40_3705]],"")</f>
        <v/>
      </c>
      <c r="G624" s="2" t="str">
        <f>IF(Table1[[#This Row],[Is Data Valid]]=TRUE,((Table1[[#This Row],[Birthweight (grams)]]/Table1[[#This Row],[BW_GA]])-1)/(Backend!$B$4/100*Table1[[#This Row],[BW40_3705]]),"")</f>
        <v/>
      </c>
      <c r="H624" s="7" t="str">
        <f>IF(Table1[[#This Row],[Is Data Valid]]=TRUE,((Table1[[#This Row],[Birthweight (grams)]]*0.9/Table1[[#This Row],[BW_GA]])-1)/(Backend!$B$4/100*Table1[[#This Row],[BW40_3705]]),"")</f>
        <v/>
      </c>
      <c r="I624" s="7" t="str">
        <f>IF(Table1[[#This Row],[Is Data Valid]]=TRUE,((Table1[[#This Row],[Birthweight (grams)]]*1.1/Table1[[#This Row],[BW_GA]])-1)/(Backend!$B$4/100*Table1[[#This Row],[BW40_3705]]),"")</f>
        <v/>
      </c>
      <c r="J624" s="7" t="str">
        <f>IF(Table1[[#This Row],[Is Data Valid]]=TRUE,_xlfn.NORM.S.DIST(Table1[[#This Row],[Birthweight Z-Score]],TRUE)*100,"")</f>
        <v/>
      </c>
      <c r="K624" s="7" t="str">
        <f>IF(Table1[[#This Row],[Is Data Valid]]=TRUE,_xlfn.NORM.S.DIST(Table1[[#This Row],[Birthweight Z-Score (BW-10%)]],TRUE)*100,"")</f>
        <v/>
      </c>
      <c r="L624" s="7" t="str">
        <f>IF(Table1[[#This Row],[Is Data Valid]]=TRUE,_xlfn.NORM.S.DIST(Table1[[#This Row],[Birthweight Z-Score (BW+10%)]],TRUE)*100,"")</f>
        <v/>
      </c>
    </row>
    <row r="625" spans="1:12" x14ac:dyDescent="0.35">
      <c r="A625" s="3"/>
      <c r="B625" s="2"/>
      <c r="C625" s="2"/>
      <c r="D625" s="2" t="b">
        <f>IF(AND(NOT(ISBLANK(Table1[[#This Row],[Fetal Sex (Male, Female or Unknown)]])),ISNUMBER(Table1[[#This Row],[Birthweight (grams)]]),ISNUMBER(Table1[[#This Row],[Gestation (days)]])),TRUE,FALSE)</f>
        <v>0</v>
      </c>
      <c r="E625" s="2" t="str">
        <f>IF(Table1[[#This Row],[Is Data Valid]]=TRUE,IF(Table1[[#This Row],[Fetal Sex (Male, Female or Unknown)]]="Male",Backend!$C$6,IF(Table1[[#This Row],[Fetal Sex (Male, Female or Unknown)]]="Female",Backend!$C$7,IF(Table1[[#This Row],[Fetal Sex (Male, Female or Unknown)]]="Unknown",Backend!$C$8,"Error"))),"")</f>
        <v/>
      </c>
      <c r="F625" s="8" t="str">
        <f>IF(Table1[[#This Row],[Is Data Valid]]=TRUE,EXP(0.578+0.332*((Table1[[#This Row],[Gestation (days)]]+0.5)/7)-0.00354*((Table1[[#This Row],[Gestation (days)]]+0.5)/7)^2)*Table1[[#This Row],[BW40_3705]],"")</f>
        <v/>
      </c>
      <c r="G625" s="2" t="str">
        <f>IF(Table1[[#This Row],[Is Data Valid]]=TRUE,((Table1[[#This Row],[Birthweight (grams)]]/Table1[[#This Row],[BW_GA]])-1)/(Backend!$B$4/100*Table1[[#This Row],[BW40_3705]]),"")</f>
        <v/>
      </c>
      <c r="H625" s="7" t="str">
        <f>IF(Table1[[#This Row],[Is Data Valid]]=TRUE,((Table1[[#This Row],[Birthweight (grams)]]*0.9/Table1[[#This Row],[BW_GA]])-1)/(Backend!$B$4/100*Table1[[#This Row],[BW40_3705]]),"")</f>
        <v/>
      </c>
      <c r="I625" s="7" t="str">
        <f>IF(Table1[[#This Row],[Is Data Valid]]=TRUE,((Table1[[#This Row],[Birthweight (grams)]]*1.1/Table1[[#This Row],[BW_GA]])-1)/(Backend!$B$4/100*Table1[[#This Row],[BW40_3705]]),"")</f>
        <v/>
      </c>
      <c r="J625" s="7" t="str">
        <f>IF(Table1[[#This Row],[Is Data Valid]]=TRUE,_xlfn.NORM.S.DIST(Table1[[#This Row],[Birthweight Z-Score]],TRUE)*100,"")</f>
        <v/>
      </c>
      <c r="K625" s="7" t="str">
        <f>IF(Table1[[#This Row],[Is Data Valid]]=TRUE,_xlfn.NORM.S.DIST(Table1[[#This Row],[Birthweight Z-Score (BW-10%)]],TRUE)*100,"")</f>
        <v/>
      </c>
      <c r="L625" s="7" t="str">
        <f>IF(Table1[[#This Row],[Is Data Valid]]=TRUE,_xlfn.NORM.S.DIST(Table1[[#This Row],[Birthweight Z-Score (BW+10%)]],TRUE)*100,"")</f>
        <v/>
      </c>
    </row>
    <row r="626" spans="1:12" x14ac:dyDescent="0.35">
      <c r="A626" s="3"/>
      <c r="B626" s="2"/>
      <c r="C626" s="2"/>
      <c r="D626" s="2" t="b">
        <f>IF(AND(NOT(ISBLANK(Table1[[#This Row],[Fetal Sex (Male, Female or Unknown)]])),ISNUMBER(Table1[[#This Row],[Birthweight (grams)]]),ISNUMBER(Table1[[#This Row],[Gestation (days)]])),TRUE,FALSE)</f>
        <v>0</v>
      </c>
      <c r="E626" s="2" t="str">
        <f>IF(Table1[[#This Row],[Is Data Valid]]=TRUE,IF(Table1[[#This Row],[Fetal Sex (Male, Female or Unknown)]]="Male",Backend!$C$6,IF(Table1[[#This Row],[Fetal Sex (Male, Female or Unknown)]]="Female",Backend!$C$7,IF(Table1[[#This Row],[Fetal Sex (Male, Female or Unknown)]]="Unknown",Backend!$C$8,"Error"))),"")</f>
        <v/>
      </c>
      <c r="F626" s="8" t="str">
        <f>IF(Table1[[#This Row],[Is Data Valid]]=TRUE,EXP(0.578+0.332*((Table1[[#This Row],[Gestation (days)]]+0.5)/7)-0.00354*((Table1[[#This Row],[Gestation (days)]]+0.5)/7)^2)*Table1[[#This Row],[BW40_3705]],"")</f>
        <v/>
      </c>
      <c r="G626" s="2" t="str">
        <f>IF(Table1[[#This Row],[Is Data Valid]]=TRUE,((Table1[[#This Row],[Birthweight (grams)]]/Table1[[#This Row],[BW_GA]])-1)/(Backend!$B$4/100*Table1[[#This Row],[BW40_3705]]),"")</f>
        <v/>
      </c>
      <c r="H626" s="7" t="str">
        <f>IF(Table1[[#This Row],[Is Data Valid]]=TRUE,((Table1[[#This Row],[Birthweight (grams)]]*0.9/Table1[[#This Row],[BW_GA]])-1)/(Backend!$B$4/100*Table1[[#This Row],[BW40_3705]]),"")</f>
        <v/>
      </c>
      <c r="I626" s="7" t="str">
        <f>IF(Table1[[#This Row],[Is Data Valid]]=TRUE,((Table1[[#This Row],[Birthweight (grams)]]*1.1/Table1[[#This Row],[BW_GA]])-1)/(Backend!$B$4/100*Table1[[#This Row],[BW40_3705]]),"")</f>
        <v/>
      </c>
      <c r="J626" s="7" t="str">
        <f>IF(Table1[[#This Row],[Is Data Valid]]=TRUE,_xlfn.NORM.S.DIST(Table1[[#This Row],[Birthweight Z-Score]],TRUE)*100,"")</f>
        <v/>
      </c>
      <c r="K626" s="7" t="str">
        <f>IF(Table1[[#This Row],[Is Data Valid]]=TRUE,_xlfn.NORM.S.DIST(Table1[[#This Row],[Birthweight Z-Score (BW-10%)]],TRUE)*100,"")</f>
        <v/>
      </c>
      <c r="L626" s="7" t="str">
        <f>IF(Table1[[#This Row],[Is Data Valid]]=TRUE,_xlfn.NORM.S.DIST(Table1[[#This Row],[Birthweight Z-Score (BW+10%)]],TRUE)*100,"")</f>
        <v/>
      </c>
    </row>
    <row r="627" spans="1:12" x14ac:dyDescent="0.35">
      <c r="A627" s="3"/>
      <c r="B627" s="2"/>
      <c r="C627" s="2"/>
      <c r="D627" s="2" t="b">
        <f>IF(AND(NOT(ISBLANK(Table1[[#This Row],[Fetal Sex (Male, Female or Unknown)]])),ISNUMBER(Table1[[#This Row],[Birthweight (grams)]]),ISNUMBER(Table1[[#This Row],[Gestation (days)]])),TRUE,FALSE)</f>
        <v>0</v>
      </c>
      <c r="E627" s="2" t="str">
        <f>IF(Table1[[#This Row],[Is Data Valid]]=TRUE,IF(Table1[[#This Row],[Fetal Sex (Male, Female or Unknown)]]="Male",Backend!$C$6,IF(Table1[[#This Row],[Fetal Sex (Male, Female or Unknown)]]="Female",Backend!$C$7,IF(Table1[[#This Row],[Fetal Sex (Male, Female or Unknown)]]="Unknown",Backend!$C$8,"Error"))),"")</f>
        <v/>
      </c>
      <c r="F627" s="8" t="str">
        <f>IF(Table1[[#This Row],[Is Data Valid]]=TRUE,EXP(0.578+0.332*((Table1[[#This Row],[Gestation (days)]]+0.5)/7)-0.00354*((Table1[[#This Row],[Gestation (days)]]+0.5)/7)^2)*Table1[[#This Row],[BW40_3705]],"")</f>
        <v/>
      </c>
      <c r="G627" s="2" t="str">
        <f>IF(Table1[[#This Row],[Is Data Valid]]=TRUE,((Table1[[#This Row],[Birthweight (grams)]]/Table1[[#This Row],[BW_GA]])-1)/(Backend!$B$4/100*Table1[[#This Row],[BW40_3705]]),"")</f>
        <v/>
      </c>
      <c r="H627" s="7" t="str">
        <f>IF(Table1[[#This Row],[Is Data Valid]]=TRUE,((Table1[[#This Row],[Birthweight (grams)]]*0.9/Table1[[#This Row],[BW_GA]])-1)/(Backend!$B$4/100*Table1[[#This Row],[BW40_3705]]),"")</f>
        <v/>
      </c>
      <c r="I627" s="7" t="str">
        <f>IF(Table1[[#This Row],[Is Data Valid]]=TRUE,((Table1[[#This Row],[Birthweight (grams)]]*1.1/Table1[[#This Row],[BW_GA]])-1)/(Backend!$B$4/100*Table1[[#This Row],[BW40_3705]]),"")</f>
        <v/>
      </c>
      <c r="J627" s="7" t="str">
        <f>IF(Table1[[#This Row],[Is Data Valid]]=TRUE,_xlfn.NORM.S.DIST(Table1[[#This Row],[Birthweight Z-Score]],TRUE)*100,"")</f>
        <v/>
      </c>
      <c r="K627" s="7" t="str">
        <f>IF(Table1[[#This Row],[Is Data Valid]]=TRUE,_xlfn.NORM.S.DIST(Table1[[#This Row],[Birthweight Z-Score (BW-10%)]],TRUE)*100,"")</f>
        <v/>
      </c>
      <c r="L627" s="7" t="str">
        <f>IF(Table1[[#This Row],[Is Data Valid]]=TRUE,_xlfn.NORM.S.DIST(Table1[[#This Row],[Birthweight Z-Score (BW+10%)]],TRUE)*100,"")</f>
        <v/>
      </c>
    </row>
    <row r="628" spans="1:12" x14ac:dyDescent="0.35">
      <c r="A628" s="3"/>
      <c r="B628" s="2"/>
      <c r="C628" s="2"/>
      <c r="D628" s="2" t="b">
        <f>IF(AND(NOT(ISBLANK(Table1[[#This Row],[Fetal Sex (Male, Female or Unknown)]])),ISNUMBER(Table1[[#This Row],[Birthweight (grams)]]),ISNUMBER(Table1[[#This Row],[Gestation (days)]])),TRUE,FALSE)</f>
        <v>0</v>
      </c>
      <c r="E628" s="2" t="str">
        <f>IF(Table1[[#This Row],[Is Data Valid]]=TRUE,IF(Table1[[#This Row],[Fetal Sex (Male, Female or Unknown)]]="Male",Backend!$C$6,IF(Table1[[#This Row],[Fetal Sex (Male, Female or Unknown)]]="Female",Backend!$C$7,IF(Table1[[#This Row],[Fetal Sex (Male, Female or Unknown)]]="Unknown",Backend!$C$8,"Error"))),"")</f>
        <v/>
      </c>
      <c r="F628" s="8" t="str">
        <f>IF(Table1[[#This Row],[Is Data Valid]]=TRUE,EXP(0.578+0.332*((Table1[[#This Row],[Gestation (days)]]+0.5)/7)-0.00354*((Table1[[#This Row],[Gestation (days)]]+0.5)/7)^2)*Table1[[#This Row],[BW40_3705]],"")</f>
        <v/>
      </c>
      <c r="G628" s="2" t="str">
        <f>IF(Table1[[#This Row],[Is Data Valid]]=TRUE,((Table1[[#This Row],[Birthweight (grams)]]/Table1[[#This Row],[BW_GA]])-1)/(Backend!$B$4/100*Table1[[#This Row],[BW40_3705]]),"")</f>
        <v/>
      </c>
      <c r="H628" s="7" t="str">
        <f>IF(Table1[[#This Row],[Is Data Valid]]=TRUE,((Table1[[#This Row],[Birthweight (grams)]]*0.9/Table1[[#This Row],[BW_GA]])-1)/(Backend!$B$4/100*Table1[[#This Row],[BW40_3705]]),"")</f>
        <v/>
      </c>
      <c r="I628" s="7" t="str">
        <f>IF(Table1[[#This Row],[Is Data Valid]]=TRUE,((Table1[[#This Row],[Birthweight (grams)]]*1.1/Table1[[#This Row],[BW_GA]])-1)/(Backend!$B$4/100*Table1[[#This Row],[BW40_3705]]),"")</f>
        <v/>
      </c>
      <c r="J628" s="7" t="str">
        <f>IF(Table1[[#This Row],[Is Data Valid]]=TRUE,_xlfn.NORM.S.DIST(Table1[[#This Row],[Birthweight Z-Score]],TRUE)*100,"")</f>
        <v/>
      </c>
      <c r="K628" s="7" t="str">
        <f>IF(Table1[[#This Row],[Is Data Valid]]=TRUE,_xlfn.NORM.S.DIST(Table1[[#This Row],[Birthweight Z-Score (BW-10%)]],TRUE)*100,"")</f>
        <v/>
      </c>
      <c r="L628" s="7" t="str">
        <f>IF(Table1[[#This Row],[Is Data Valid]]=TRUE,_xlfn.NORM.S.DIST(Table1[[#This Row],[Birthweight Z-Score (BW+10%)]],TRUE)*100,"")</f>
        <v/>
      </c>
    </row>
    <row r="629" spans="1:12" x14ac:dyDescent="0.35">
      <c r="A629" s="3"/>
      <c r="B629" s="2"/>
      <c r="C629" s="2"/>
      <c r="D629" s="2" t="b">
        <f>IF(AND(NOT(ISBLANK(Table1[[#This Row],[Fetal Sex (Male, Female or Unknown)]])),ISNUMBER(Table1[[#This Row],[Birthweight (grams)]]),ISNUMBER(Table1[[#This Row],[Gestation (days)]])),TRUE,FALSE)</f>
        <v>0</v>
      </c>
      <c r="E629" s="2" t="str">
        <f>IF(Table1[[#This Row],[Is Data Valid]]=TRUE,IF(Table1[[#This Row],[Fetal Sex (Male, Female or Unknown)]]="Male",Backend!$C$6,IF(Table1[[#This Row],[Fetal Sex (Male, Female or Unknown)]]="Female",Backend!$C$7,IF(Table1[[#This Row],[Fetal Sex (Male, Female or Unknown)]]="Unknown",Backend!$C$8,"Error"))),"")</f>
        <v/>
      </c>
      <c r="F629" s="8" t="str">
        <f>IF(Table1[[#This Row],[Is Data Valid]]=TRUE,EXP(0.578+0.332*((Table1[[#This Row],[Gestation (days)]]+0.5)/7)-0.00354*((Table1[[#This Row],[Gestation (days)]]+0.5)/7)^2)*Table1[[#This Row],[BW40_3705]],"")</f>
        <v/>
      </c>
      <c r="G629" s="2" t="str">
        <f>IF(Table1[[#This Row],[Is Data Valid]]=TRUE,((Table1[[#This Row],[Birthweight (grams)]]/Table1[[#This Row],[BW_GA]])-1)/(Backend!$B$4/100*Table1[[#This Row],[BW40_3705]]),"")</f>
        <v/>
      </c>
      <c r="H629" s="7" t="str">
        <f>IF(Table1[[#This Row],[Is Data Valid]]=TRUE,((Table1[[#This Row],[Birthweight (grams)]]*0.9/Table1[[#This Row],[BW_GA]])-1)/(Backend!$B$4/100*Table1[[#This Row],[BW40_3705]]),"")</f>
        <v/>
      </c>
      <c r="I629" s="7" t="str">
        <f>IF(Table1[[#This Row],[Is Data Valid]]=TRUE,((Table1[[#This Row],[Birthweight (grams)]]*1.1/Table1[[#This Row],[BW_GA]])-1)/(Backend!$B$4/100*Table1[[#This Row],[BW40_3705]]),"")</f>
        <v/>
      </c>
      <c r="J629" s="7" t="str">
        <f>IF(Table1[[#This Row],[Is Data Valid]]=TRUE,_xlfn.NORM.S.DIST(Table1[[#This Row],[Birthweight Z-Score]],TRUE)*100,"")</f>
        <v/>
      </c>
      <c r="K629" s="7" t="str">
        <f>IF(Table1[[#This Row],[Is Data Valid]]=TRUE,_xlfn.NORM.S.DIST(Table1[[#This Row],[Birthweight Z-Score (BW-10%)]],TRUE)*100,"")</f>
        <v/>
      </c>
      <c r="L629" s="7" t="str">
        <f>IF(Table1[[#This Row],[Is Data Valid]]=TRUE,_xlfn.NORM.S.DIST(Table1[[#This Row],[Birthweight Z-Score (BW+10%)]],TRUE)*100,"")</f>
        <v/>
      </c>
    </row>
    <row r="630" spans="1:12" x14ac:dyDescent="0.35">
      <c r="A630" s="3"/>
      <c r="B630" s="2"/>
      <c r="C630" s="2"/>
      <c r="D630" s="2" t="b">
        <f>IF(AND(NOT(ISBLANK(Table1[[#This Row],[Fetal Sex (Male, Female or Unknown)]])),ISNUMBER(Table1[[#This Row],[Birthweight (grams)]]),ISNUMBER(Table1[[#This Row],[Gestation (days)]])),TRUE,FALSE)</f>
        <v>0</v>
      </c>
      <c r="E630" s="2" t="str">
        <f>IF(Table1[[#This Row],[Is Data Valid]]=TRUE,IF(Table1[[#This Row],[Fetal Sex (Male, Female or Unknown)]]="Male",Backend!$C$6,IF(Table1[[#This Row],[Fetal Sex (Male, Female or Unknown)]]="Female",Backend!$C$7,IF(Table1[[#This Row],[Fetal Sex (Male, Female or Unknown)]]="Unknown",Backend!$C$8,"Error"))),"")</f>
        <v/>
      </c>
      <c r="F630" s="8" t="str">
        <f>IF(Table1[[#This Row],[Is Data Valid]]=TRUE,EXP(0.578+0.332*((Table1[[#This Row],[Gestation (days)]]+0.5)/7)-0.00354*((Table1[[#This Row],[Gestation (days)]]+0.5)/7)^2)*Table1[[#This Row],[BW40_3705]],"")</f>
        <v/>
      </c>
      <c r="G630" s="2" t="str">
        <f>IF(Table1[[#This Row],[Is Data Valid]]=TRUE,((Table1[[#This Row],[Birthweight (grams)]]/Table1[[#This Row],[BW_GA]])-1)/(Backend!$B$4/100*Table1[[#This Row],[BW40_3705]]),"")</f>
        <v/>
      </c>
      <c r="H630" s="7" t="str">
        <f>IF(Table1[[#This Row],[Is Data Valid]]=TRUE,((Table1[[#This Row],[Birthweight (grams)]]*0.9/Table1[[#This Row],[BW_GA]])-1)/(Backend!$B$4/100*Table1[[#This Row],[BW40_3705]]),"")</f>
        <v/>
      </c>
      <c r="I630" s="7" t="str">
        <f>IF(Table1[[#This Row],[Is Data Valid]]=TRUE,((Table1[[#This Row],[Birthweight (grams)]]*1.1/Table1[[#This Row],[BW_GA]])-1)/(Backend!$B$4/100*Table1[[#This Row],[BW40_3705]]),"")</f>
        <v/>
      </c>
      <c r="J630" s="7" t="str">
        <f>IF(Table1[[#This Row],[Is Data Valid]]=TRUE,_xlfn.NORM.S.DIST(Table1[[#This Row],[Birthweight Z-Score]],TRUE)*100,"")</f>
        <v/>
      </c>
      <c r="K630" s="7" t="str">
        <f>IF(Table1[[#This Row],[Is Data Valid]]=TRUE,_xlfn.NORM.S.DIST(Table1[[#This Row],[Birthweight Z-Score (BW-10%)]],TRUE)*100,"")</f>
        <v/>
      </c>
      <c r="L630" s="7" t="str">
        <f>IF(Table1[[#This Row],[Is Data Valid]]=TRUE,_xlfn.NORM.S.DIST(Table1[[#This Row],[Birthweight Z-Score (BW+10%)]],TRUE)*100,"")</f>
        <v/>
      </c>
    </row>
    <row r="631" spans="1:12" x14ac:dyDescent="0.35">
      <c r="A631" s="3"/>
      <c r="B631" s="2"/>
      <c r="C631" s="2"/>
      <c r="D631" s="2" t="b">
        <f>IF(AND(NOT(ISBLANK(Table1[[#This Row],[Fetal Sex (Male, Female or Unknown)]])),ISNUMBER(Table1[[#This Row],[Birthweight (grams)]]),ISNUMBER(Table1[[#This Row],[Gestation (days)]])),TRUE,FALSE)</f>
        <v>0</v>
      </c>
      <c r="E631" s="2" t="str">
        <f>IF(Table1[[#This Row],[Is Data Valid]]=TRUE,IF(Table1[[#This Row],[Fetal Sex (Male, Female or Unknown)]]="Male",Backend!$C$6,IF(Table1[[#This Row],[Fetal Sex (Male, Female or Unknown)]]="Female",Backend!$C$7,IF(Table1[[#This Row],[Fetal Sex (Male, Female or Unknown)]]="Unknown",Backend!$C$8,"Error"))),"")</f>
        <v/>
      </c>
      <c r="F631" s="8" t="str">
        <f>IF(Table1[[#This Row],[Is Data Valid]]=TRUE,EXP(0.578+0.332*((Table1[[#This Row],[Gestation (days)]]+0.5)/7)-0.00354*((Table1[[#This Row],[Gestation (days)]]+0.5)/7)^2)*Table1[[#This Row],[BW40_3705]],"")</f>
        <v/>
      </c>
      <c r="G631" s="2" t="str">
        <f>IF(Table1[[#This Row],[Is Data Valid]]=TRUE,((Table1[[#This Row],[Birthweight (grams)]]/Table1[[#This Row],[BW_GA]])-1)/(Backend!$B$4/100*Table1[[#This Row],[BW40_3705]]),"")</f>
        <v/>
      </c>
      <c r="H631" s="7" t="str">
        <f>IF(Table1[[#This Row],[Is Data Valid]]=TRUE,((Table1[[#This Row],[Birthweight (grams)]]*0.9/Table1[[#This Row],[BW_GA]])-1)/(Backend!$B$4/100*Table1[[#This Row],[BW40_3705]]),"")</f>
        <v/>
      </c>
      <c r="I631" s="7" t="str">
        <f>IF(Table1[[#This Row],[Is Data Valid]]=TRUE,((Table1[[#This Row],[Birthweight (grams)]]*1.1/Table1[[#This Row],[BW_GA]])-1)/(Backend!$B$4/100*Table1[[#This Row],[BW40_3705]]),"")</f>
        <v/>
      </c>
      <c r="J631" s="7" t="str">
        <f>IF(Table1[[#This Row],[Is Data Valid]]=TRUE,_xlfn.NORM.S.DIST(Table1[[#This Row],[Birthweight Z-Score]],TRUE)*100,"")</f>
        <v/>
      </c>
      <c r="K631" s="7" t="str">
        <f>IF(Table1[[#This Row],[Is Data Valid]]=TRUE,_xlfn.NORM.S.DIST(Table1[[#This Row],[Birthweight Z-Score (BW-10%)]],TRUE)*100,"")</f>
        <v/>
      </c>
      <c r="L631" s="7" t="str">
        <f>IF(Table1[[#This Row],[Is Data Valid]]=TRUE,_xlfn.NORM.S.DIST(Table1[[#This Row],[Birthweight Z-Score (BW+10%)]],TRUE)*100,"")</f>
        <v/>
      </c>
    </row>
    <row r="632" spans="1:12" x14ac:dyDescent="0.35">
      <c r="A632" s="3"/>
      <c r="B632" s="2"/>
      <c r="C632" s="2"/>
      <c r="D632" s="2" t="b">
        <f>IF(AND(NOT(ISBLANK(Table1[[#This Row],[Fetal Sex (Male, Female or Unknown)]])),ISNUMBER(Table1[[#This Row],[Birthweight (grams)]]),ISNUMBER(Table1[[#This Row],[Gestation (days)]])),TRUE,FALSE)</f>
        <v>0</v>
      </c>
      <c r="E632" s="2" t="str">
        <f>IF(Table1[[#This Row],[Is Data Valid]]=TRUE,IF(Table1[[#This Row],[Fetal Sex (Male, Female or Unknown)]]="Male",Backend!$C$6,IF(Table1[[#This Row],[Fetal Sex (Male, Female or Unknown)]]="Female",Backend!$C$7,IF(Table1[[#This Row],[Fetal Sex (Male, Female or Unknown)]]="Unknown",Backend!$C$8,"Error"))),"")</f>
        <v/>
      </c>
      <c r="F632" s="8" t="str">
        <f>IF(Table1[[#This Row],[Is Data Valid]]=TRUE,EXP(0.578+0.332*((Table1[[#This Row],[Gestation (days)]]+0.5)/7)-0.00354*((Table1[[#This Row],[Gestation (days)]]+0.5)/7)^2)*Table1[[#This Row],[BW40_3705]],"")</f>
        <v/>
      </c>
      <c r="G632" s="2" t="str">
        <f>IF(Table1[[#This Row],[Is Data Valid]]=TRUE,((Table1[[#This Row],[Birthweight (grams)]]/Table1[[#This Row],[BW_GA]])-1)/(Backend!$B$4/100*Table1[[#This Row],[BW40_3705]]),"")</f>
        <v/>
      </c>
      <c r="H632" s="7" t="str">
        <f>IF(Table1[[#This Row],[Is Data Valid]]=TRUE,((Table1[[#This Row],[Birthweight (grams)]]*0.9/Table1[[#This Row],[BW_GA]])-1)/(Backend!$B$4/100*Table1[[#This Row],[BW40_3705]]),"")</f>
        <v/>
      </c>
      <c r="I632" s="7" t="str">
        <f>IF(Table1[[#This Row],[Is Data Valid]]=TRUE,((Table1[[#This Row],[Birthweight (grams)]]*1.1/Table1[[#This Row],[BW_GA]])-1)/(Backend!$B$4/100*Table1[[#This Row],[BW40_3705]]),"")</f>
        <v/>
      </c>
      <c r="J632" s="7" t="str">
        <f>IF(Table1[[#This Row],[Is Data Valid]]=TRUE,_xlfn.NORM.S.DIST(Table1[[#This Row],[Birthweight Z-Score]],TRUE)*100,"")</f>
        <v/>
      </c>
      <c r="K632" s="7" t="str">
        <f>IF(Table1[[#This Row],[Is Data Valid]]=TRUE,_xlfn.NORM.S.DIST(Table1[[#This Row],[Birthweight Z-Score (BW-10%)]],TRUE)*100,"")</f>
        <v/>
      </c>
      <c r="L632" s="7" t="str">
        <f>IF(Table1[[#This Row],[Is Data Valid]]=TRUE,_xlfn.NORM.S.DIST(Table1[[#This Row],[Birthweight Z-Score (BW+10%)]],TRUE)*100,"")</f>
        <v/>
      </c>
    </row>
    <row r="633" spans="1:12" x14ac:dyDescent="0.35">
      <c r="A633" s="3"/>
      <c r="B633" s="2"/>
      <c r="C633" s="2"/>
      <c r="D633" s="2" t="b">
        <f>IF(AND(NOT(ISBLANK(Table1[[#This Row],[Fetal Sex (Male, Female or Unknown)]])),ISNUMBER(Table1[[#This Row],[Birthweight (grams)]]),ISNUMBER(Table1[[#This Row],[Gestation (days)]])),TRUE,FALSE)</f>
        <v>0</v>
      </c>
      <c r="E633" s="2" t="str">
        <f>IF(Table1[[#This Row],[Is Data Valid]]=TRUE,IF(Table1[[#This Row],[Fetal Sex (Male, Female or Unknown)]]="Male",Backend!$C$6,IF(Table1[[#This Row],[Fetal Sex (Male, Female or Unknown)]]="Female",Backend!$C$7,IF(Table1[[#This Row],[Fetal Sex (Male, Female or Unknown)]]="Unknown",Backend!$C$8,"Error"))),"")</f>
        <v/>
      </c>
      <c r="F633" s="8" t="str">
        <f>IF(Table1[[#This Row],[Is Data Valid]]=TRUE,EXP(0.578+0.332*((Table1[[#This Row],[Gestation (days)]]+0.5)/7)-0.00354*((Table1[[#This Row],[Gestation (days)]]+0.5)/7)^2)*Table1[[#This Row],[BW40_3705]],"")</f>
        <v/>
      </c>
      <c r="G633" s="2" t="str">
        <f>IF(Table1[[#This Row],[Is Data Valid]]=TRUE,((Table1[[#This Row],[Birthweight (grams)]]/Table1[[#This Row],[BW_GA]])-1)/(Backend!$B$4/100*Table1[[#This Row],[BW40_3705]]),"")</f>
        <v/>
      </c>
      <c r="H633" s="7" t="str">
        <f>IF(Table1[[#This Row],[Is Data Valid]]=TRUE,((Table1[[#This Row],[Birthweight (grams)]]*0.9/Table1[[#This Row],[BW_GA]])-1)/(Backend!$B$4/100*Table1[[#This Row],[BW40_3705]]),"")</f>
        <v/>
      </c>
      <c r="I633" s="7" t="str">
        <f>IF(Table1[[#This Row],[Is Data Valid]]=TRUE,((Table1[[#This Row],[Birthweight (grams)]]*1.1/Table1[[#This Row],[BW_GA]])-1)/(Backend!$B$4/100*Table1[[#This Row],[BW40_3705]]),"")</f>
        <v/>
      </c>
      <c r="J633" s="7" t="str">
        <f>IF(Table1[[#This Row],[Is Data Valid]]=TRUE,_xlfn.NORM.S.DIST(Table1[[#This Row],[Birthweight Z-Score]],TRUE)*100,"")</f>
        <v/>
      </c>
      <c r="K633" s="7" t="str">
        <f>IF(Table1[[#This Row],[Is Data Valid]]=TRUE,_xlfn.NORM.S.DIST(Table1[[#This Row],[Birthweight Z-Score (BW-10%)]],TRUE)*100,"")</f>
        <v/>
      </c>
      <c r="L633" s="7" t="str">
        <f>IF(Table1[[#This Row],[Is Data Valid]]=TRUE,_xlfn.NORM.S.DIST(Table1[[#This Row],[Birthweight Z-Score (BW+10%)]],TRUE)*100,"")</f>
        <v/>
      </c>
    </row>
    <row r="634" spans="1:12" x14ac:dyDescent="0.35">
      <c r="A634" s="3"/>
      <c r="B634" s="2"/>
      <c r="C634" s="2"/>
      <c r="D634" s="2" t="b">
        <f>IF(AND(NOT(ISBLANK(Table1[[#This Row],[Fetal Sex (Male, Female or Unknown)]])),ISNUMBER(Table1[[#This Row],[Birthweight (grams)]]),ISNUMBER(Table1[[#This Row],[Gestation (days)]])),TRUE,FALSE)</f>
        <v>0</v>
      </c>
      <c r="E634" s="2" t="str">
        <f>IF(Table1[[#This Row],[Is Data Valid]]=TRUE,IF(Table1[[#This Row],[Fetal Sex (Male, Female or Unknown)]]="Male",Backend!$C$6,IF(Table1[[#This Row],[Fetal Sex (Male, Female or Unknown)]]="Female",Backend!$C$7,IF(Table1[[#This Row],[Fetal Sex (Male, Female or Unknown)]]="Unknown",Backend!$C$8,"Error"))),"")</f>
        <v/>
      </c>
      <c r="F634" s="8" t="str">
        <f>IF(Table1[[#This Row],[Is Data Valid]]=TRUE,EXP(0.578+0.332*((Table1[[#This Row],[Gestation (days)]]+0.5)/7)-0.00354*((Table1[[#This Row],[Gestation (days)]]+0.5)/7)^2)*Table1[[#This Row],[BW40_3705]],"")</f>
        <v/>
      </c>
      <c r="G634" s="2" t="str">
        <f>IF(Table1[[#This Row],[Is Data Valid]]=TRUE,((Table1[[#This Row],[Birthweight (grams)]]/Table1[[#This Row],[BW_GA]])-1)/(Backend!$B$4/100*Table1[[#This Row],[BW40_3705]]),"")</f>
        <v/>
      </c>
      <c r="H634" s="7" t="str">
        <f>IF(Table1[[#This Row],[Is Data Valid]]=TRUE,((Table1[[#This Row],[Birthweight (grams)]]*0.9/Table1[[#This Row],[BW_GA]])-1)/(Backend!$B$4/100*Table1[[#This Row],[BW40_3705]]),"")</f>
        <v/>
      </c>
      <c r="I634" s="7" t="str">
        <f>IF(Table1[[#This Row],[Is Data Valid]]=TRUE,((Table1[[#This Row],[Birthweight (grams)]]*1.1/Table1[[#This Row],[BW_GA]])-1)/(Backend!$B$4/100*Table1[[#This Row],[BW40_3705]]),"")</f>
        <v/>
      </c>
      <c r="J634" s="7" t="str">
        <f>IF(Table1[[#This Row],[Is Data Valid]]=TRUE,_xlfn.NORM.S.DIST(Table1[[#This Row],[Birthweight Z-Score]],TRUE)*100,"")</f>
        <v/>
      </c>
      <c r="K634" s="7" t="str">
        <f>IF(Table1[[#This Row],[Is Data Valid]]=TRUE,_xlfn.NORM.S.DIST(Table1[[#This Row],[Birthweight Z-Score (BW-10%)]],TRUE)*100,"")</f>
        <v/>
      </c>
      <c r="L634" s="7" t="str">
        <f>IF(Table1[[#This Row],[Is Data Valid]]=TRUE,_xlfn.NORM.S.DIST(Table1[[#This Row],[Birthweight Z-Score (BW+10%)]],TRUE)*100,"")</f>
        <v/>
      </c>
    </row>
    <row r="635" spans="1:12" x14ac:dyDescent="0.35">
      <c r="A635" s="3"/>
      <c r="B635" s="2"/>
      <c r="C635" s="2"/>
      <c r="D635" s="2" t="b">
        <f>IF(AND(NOT(ISBLANK(Table1[[#This Row],[Fetal Sex (Male, Female or Unknown)]])),ISNUMBER(Table1[[#This Row],[Birthweight (grams)]]),ISNUMBER(Table1[[#This Row],[Gestation (days)]])),TRUE,FALSE)</f>
        <v>0</v>
      </c>
      <c r="E635" s="2" t="str">
        <f>IF(Table1[[#This Row],[Is Data Valid]]=TRUE,IF(Table1[[#This Row],[Fetal Sex (Male, Female or Unknown)]]="Male",Backend!$C$6,IF(Table1[[#This Row],[Fetal Sex (Male, Female or Unknown)]]="Female",Backend!$C$7,IF(Table1[[#This Row],[Fetal Sex (Male, Female or Unknown)]]="Unknown",Backend!$C$8,"Error"))),"")</f>
        <v/>
      </c>
      <c r="F635" s="8" t="str">
        <f>IF(Table1[[#This Row],[Is Data Valid]]=TRUE,EXP(0.578+0.332*((Table1[[#This Row],[Gestation (days)]]+0.5)/7)-0.00354*((Table1[[#This Row],[Gestation (days)]]+0.5)/7)^2)*Table1[[#This Row],[BW40_3705]],"")</f>
        <v/>
      </c>
      <c r="G635" s="2" t="str">
        <f>IF(Table1[[#This Row],[Is Data Valid]]=TRUE,((Table1[[#This Row],[Birthweight (grams)]]/Table1[[#This Row],[BW_GA]])-1)/(Backend!$B$4/100*Table1[[#This Row],[BW40_3705]]),"")</f>
        <v/>
      </c>
      <c r="H635" s="7" t="str">
        <f>IF(Table1[[#This Row],[Is Data Valid]]=TRUE,((Table1[[#This Row],[Birthweight (grams)]]*0.9/Table1[[#This Row],[BW_GA]])-1)/(Backend!$B$4/100*Table1[[#This Row],[BW40_3705]]),"")</f>
        <v/>
      </c>
      <c r="I635" s="7" t="str">
        <f>IF(Table1[[#This Row],[Is Data Valid]]=TRUE,((Table1[[#This Row],[Birthweight (grams)]]*1.1/Table1[[#This Row],[BW_GA]])-1)/(Backend!$B$4/100*Table1[[#This Row],[BW40_3705]]),"")</f>
        <v/>
      </c>
      <c r="J635" s="7" t="str">
        <f>IF(Table1[[#This Row],[Is Data Valid]]=TRUE,_xlfn.NORM.S.DIST(Table1[[#This Row],[Birthweight Z-Score]],TRUE)*100,"")</f>
        <v/>
      </c>
      <c r="K635" s="7" t="str">
        <f>IF(Table1[[#This Row],[Is Data Valid]]=TRUE,_xlfn.NORM.S.DIST(Table1[[#This Row],[Birthweight Z-Score (BW-10%)]],TRUE)*100,"")</f>
        <v/>
      </c>
      <c r="L635" s="7" t="str">
        <f>IF(Table1[[#This Row],[Is Data Valid]]=TRUE,_xlfn.NORM.S.DIST(Table1[[#This Row],[Birthweight Z-Score (BW+10%)]],TRUE)*100,"")</f>
        <v/>
      </c>
    </row>
    <row r="636" spans="1:12" x14ac:dyDescent="0.35">
      <c r="A636" s="3"/>
      <c r="B636" s="2"/>
      <c r="C636" s="2"/>
      <c r="D636" s="2" t="b">
        <f>IF(AND(NOT(ISBLANK(Table1[[#This Row],[Fetal Sex (Male, Female or Unknown)]])),ISNUMBER(Table1[[#This Row],[Birthweight (grams)]]),ISNUMBER(Table1[[#This Row],[Gestation (days)]])),TRUE,FALSE)</f>
        <v>0</v>
      </c>
      <c r="E636" s="2" t="str">
        <f>IF(Table1[[#This Row],[Is Data Valid]]=TRUE,IF(Table1[[#This Row],[Fetal Sex (Male, Female or Unknown)]]="Male",Backend!$C$6,IF(Table1[[#This Row],[Fetal Sex (Male, Female or Unknown)]]="Female",Backend!$C$7,IF(Table1[[#This Row],[Fetal Sex (Male, Female or Unknown)]]="Unknown",Backend!$C$8,"Error"))),"")</f>
        <v/>
      </c>
      <c r="F636" s="8" t="str">
        <f>IF(Table1[[#This Row],[Is Data Valid]]=TRUE,EXP(0.578+0.332*((Table1[[#This Row],[Gestation (days)]]+0.5)/7)-0.00354*((Table1[[#This Row],[Gestation (days)]]+0.5)/7)^2)*Table1[[#This Row],[BW40_3705]],"")</f>
        <v/>
      </c>
      <c r="G636" s="2" t="str">
        <f>IF(Table1[[#This Row],[Is Data Valid]]=TRUE,((Table1[[#This Row],[Birthweight (grams)]]/Table1[[#This Row],[BW_GA]])-1)/(Backend!$B$4/100*Table1[[#This Row],[BW40_3705]]),"")</f>
        <v/>
      </c>
      <c r="H636" s="7" t="str">
        <f>IF(Table1[[#This Row],[Is Data Valid]]=TRUE,((Table1[[#This Row],[Birthweight (grams)]]*0.9/Table1[[#This Row],[BW_GA]])-1)/(Backend!$B$4/100*Table1[[#This Row],[BW40_3705]]),"")</f>
        <v/>
      </c>
      <c r="I636" s="7" t="str">
        <f>IF(Table1[[#This Row],[Is Data Valid]]=TRUE,((Table1[[#This Row],[Birthweight (grams)]]*1.1/Table1[[#This Row],[BW_GA]])-1)/(Backend!$B$4/100*Table1[[#This Row],[BW40_3705]]),"")</f>
        <v/>
      </c>
      <c r="J636" s="7" t="str">
        <f>IF(Table1[[#This Row],[Is Data Valid]]=TRUE,_xlfn.NORM.S.DIST(Table1[[#This Row],[Birthweight Z-Score]],TRUE)*100,"")</f>
        <v/>
      </c>
      <c r="K636" s="7" t="str">
        <f>IF(Table1[[#This Row],[Is Data Valid]]=TRUE,_xlfn.NORM.S.DIST(Table1[[#This Row],[Birthweight Z-Score (BW-10%)]],TRUE)*100,"")</f>
        <v/>
      </c>
      <c r="L636" s="7" t="str">
        <f>IF(Table1[[#This Row],[Is Data Valid]]=TRUE,_xlfn.NORM.S.DIST(Table1[[#This Row],[Birthweight Z-Score (BW+10%)]],TRUE)*100,"")</f>
        <v/>
      </c>
    </row>
    <row r="637" spans="1:12" x14ac:dyDescent="0.35">
      <c r="A637" s="3"/>
      <c r="B637" s="2"/>
      <c r="C637" s="2"/>
      <c r="D637" s="2" t="b">
        <f>IF(AND(NOT(ISBLANK(Table1[[#This Row],[Fetal Sex (Male, Female or Unknown)]])),ISNUMBER(Table1[[#This Row],[Birthweight (grams)]]),ISNUMBER(Table1[[#This Row],[Gestation (days)]])),TRUE,FALSE)</f>
        <v>0</v>
      </c>
      <c r="E637" s="2" t="str">
        <f>IF(Table1[[#This Row],[Is Data Valid]]=TRUE,IF(Table1[[#This Row],[Fetal Sex (Male, Female or Unknown)]]="Male",Backend!$C$6,IF(Table1[[#This Row],[Fetal Sex (Male, Female or Unknown)]]="Female",Backend!$C$7,IF(Table1[[#This Row],[Fetal Sex (Male, Female or Unknown)]]="Unknown",Backend!$C$8,"Error"))),"")</f>
        <v/>
      </c>
      <c r="F637" s="8" t="str">
        <f>IF(Table1[[#This Row],[Is Data Valid]]=TRUE,EXP(0.578+0.332*((Table1[[#This Row],[Gestation (days)]]+0.5)/7)-0.00354*((Table1[[#This Row],[Gestation (days)]]+0.5)/7)^2)*Table1[[#This Row],[BW40_3705]],"")</f>
        <v/>
      </c>
      <c r="G637" s="2" t="str">
        <f>IF(Table1[[#This Row],[Is Data Valid]]=TRUE,((Table1[[#This Row],[Birthweight (grams)]]/Table1[[#This Row],[BW_GA]])-1)/(Backend!$B$4/100*Table1[[#This Row],[BW40_3705]]),"")</f>
        <v/>
      </c>
      <c r="H637" s="7" t="str">
        <f>IF(Table1[[#This Row],[Is Data Valid]]=TRUE,((Table1[[#This Row],[Birthweight (grams)]]*0.9/Table1[[#This Row],[BW_GA]])-1)/(Backend!$B$4/100*Table1[[#This Row],[BW40_3705]]),"")</f>
        <v/>
      </c>
      <c r="I637" s="7" t="str">
        <f>IF(Table1[[#This Row],[Is Data Valid]]=TRUE,((Table1[[#This Row],[Birthweight (grams)]]*1.1/Table1[[#This Row],[BW_GA]])-1)/(Backend!$B$4/100*Table1[[#This Row],[BW40_3705]]),"")</f>
        <v/>
      </c>
      <c r="J637" s="7" t="str">
        <f>IF(Table1[[#This Row],[Is Data Valid]]=TRUE,_xlfn.NORM.S.DIST(Table1[[#This Row],[Birthweight Z-Score]],TRUE)*100,"")</f>
        <v/>
      </c>
      <c r="K637" s="7" t="str">
        <f>IF(Table1[[#This Row],[Is Data Valid]]=TRUE,_xlfn.NORM.S.DIST(Table1[[#This Row],[Birthweight Z-Score (BW-10%)]],TRUE)*100,"")</f>
        <v/>
      </c>
      <c r="L637" s="7" t="str">
        <f>IF(Table1[[#This Row],[Is Data Valid]]=TRUE,_xlfn.NORM.S.DIST(Table1[[#This Row],[Birthweight Z-Score (BW+10%)]],TRUE)*100,"")</f>
        <v/>
      </c>
    </row>
    <row r="638" spans="1:12" x14ac:dyDescent="0.35">
      <c r="A638" s="3"/>
      <c r="B638" s="2"/>
      <c r="C638" s="2"/>
      <c r="D638" s="2" t="b">
        <f>IF(AND(NOT(ISBLANK(Table1[[#This Row],[Fetal Sex (Male, Female or Unknown)]])),ISNUMBER(Table1[[#This Row],[Birthweight (grams)]]),ISNUMBER(Table1[[#This Row],[Gestation (days)]])),TRUE,FALSE)</f>
        <v>0</v>
      </c>
      <c r="E638" s="2" t="str">
        <f>IF(Table1[[#This Row],[Is Data Valid]]=TRUE,IF(Table1[[#This Row],[Fetal Sex (Male, Female or Unknown)]]="Male",Backend!$C$6,IF(Table1[[#This Row],[Fetal Sex (Male, Female or Unknown)]]="Female",Backend!$C$7,IF(Table1[[#This Row],[Fetal Sex (Male, Female or Unknown)]]="Unknown",Backend!$C$8,"Error"))),"")</f>
        <v/>
      </c>
      <c r="F638" s="8" t="str">
        <f>IF(Table1[[#This Row],[Is Data Valid]]=TRUE,EXP(0.578+0.332*((Table1[[#This Row],[Gestation (days)]]+0.5)/7)-0.00354*((Table1[[#This Row],[Gestation (days)]]+0.5)/7)^2)*Table1[[#This Row],[BW40_3705]],"")</f>
        <v/>
      </c>
      <c r="G638" s="2" t="str">
        <f>IF(Table1[[#This Row],[Is Data Valid]]=TRUE,((Table1[[#This Row],[Birthweight (grams)]]/Table1[[#This Row],[BW_GA]])-1)/(Backend!$B$4/100*Table1[[#This Row],[BW40_3705]]),"")</f>
        <v/>
      </c>
      <c r="H638" s="7" t="str">
        <f>IF(Table1[[#This Row],[Is Data Valid]]=TRUE,((Table1[[#This Row],[Birthweight (grams)]]*0.9/Table1[[#This Row],[BW_GA]])-1)/(Backend!$B$4/100*Table1[[#This Row],[BW40_3705]]),"")</f>
        <v/>
      </c>
      <c r="I638" s="7" t="str">
        <f>IF(Table1[[#This Row],[Is Data Valid]]=TRUE,((Table1[[#This Row],[Birthweight (grams)]]*1.1/Table1[[#This Row],[BW_GA]])-1)/(Backend!$B$4/100*Table1[[#This Row],[BW40_3705]]),"")</f>
        <v/>
      </c>
      <c r="J638" s="7" t="str">
        <f>IF(Table1[[#This Row],[Is Data Valid]]=TRUE,_xlfn.NORM.S.DIST(Table1[[#This Row],[Birthweight Z-Score]],TRUE)*100,"")</f>
        <v/>
      </c>
      <c r="K638" s="7" t="str">
        <f>IF(Table1[[#This Row],[Is Data Valid]]=TRUE,_xlfn.NORM.S.DIST(Table1[[#This Row],[Birthweight Z-Score (BW-10%)]],TRUE)*100,"")</f>
        <v/>
      </c>
      <c r="L638" s="7" t="str">
        <f>IF(Table1[[#This Row],[Is Data Valid]]=TRUE,_xlfn.NORM.S.DIST(Table1[[#This Row],[Birthweight Z-Score (BW+10%)]],TRUE)*100,"")</f>
        <v/>
      </c>
    </row>
    <row r="639" spans="1:12" x14ac:dyDescent="0.35">
      <c r="A639" s="3"/>
      <c r="B639" s="2"/>
      <c r="C639" s="2"/>
      <c r="D639" s="2" t="b">
        <f>IF(AND(NOT(ISBLANK(Table1[[#This Row],[Fetal Sex (Male, Female or Unknown)]])),ISNUMBER(Table1[[#This Row],[Birthweight (grams)]]),ISNUMBER(Table1[[#This Row],[Gestation (days)]])),TRUE,FALSE)</f>
        <v>0</v>
      </c>
      <c r="E639" s="2" t="str">
        <f>IF(Table1[[#This Row],[Is Data Valid]]=TRUE,IF(Table1[[#This Row],[Fetal Sex (Male, Female or Unknown)]]="Male",Backend!$C$6,IF(Table1[[#This Row],[Fetal Sex (Male, Female or Unknown)]]="Female",Backend!$C$7,IF(Table1[[#This Row],[Fetal Sex (Male, Female or Unknown)]]="Unknown",Backend!$C$8,"Error"))),"")</f>
        <v/>
      </c>
      <c r="F639" s="8" t="str">
        <f>IF(Table1[[#This Row],[Is Data Valid]]=TRUE,EXP(0.578+0.332*((Table1[[#This Row],[Gestation (days)]]+0.5)/7)-0.00354*((Table1[[#This Row],[Gestation (days)]]+0.5)/7)^2)*Table1[[#This Row],[BW40_3705]],"")</f>
        <v/>
      </c>
      <c r="G639" s="2" t="str">
        <f>IF(Table1[[#This Row],[Is Data Valid]]=TRUE,((Table1[[#This Row],[Birthweight (grams)]]/Table1[[#This Row],[BW_GA]])-1)/(Backend!$B$4/100*Table1[[#This Row],[BW40_3705]]),"")</f>
        <v/>
      </c>
      <c r="H639" s="7" t="str">
        <f>IF(Table1[[#This Row],[Is Data Valid]]=TRUE,((Table1[[#This Row],[Birthweight (grams)]]*0.9/Table1[[#This Row],[BW_GA]])-1)/(Backend!$B$4/100*Table1[[#This Row],[BW40_3705]]),"")</f>
        <v/>
      </c>
      <c r="I639" s="7" t="str">
        <f>IF(Table1[[#This Row],[Is Data Valid]]=TRUE,((Table1[[#This Row],[Birthweight (grams)]]*1.1/Table1[[#This Row],[BW_GA]])-1)/(Backend!$B$4/100*Table1[[#This Row],[BW40_3705]]),"")</f>
        <v/>
      </c>
      <c r="J639" s="7" t="str">
        <f>IF(Table1[[#This Row],[Is Data Valid]]=TRUE,_xlfn.NORM.S.DIST(Table1[[#This Row],[Birthweight Z-Score]],TRUE)*100,"")</f>
        <v/>
      </c>
      <c r="K639" s="7" t="str">
        <f>IF(Table1[[#This Row],[Is Data Valid]]=TRUE,_xlfn.NORM.S.DIST(Table1[[#This Row],[Birthweight Z-Score (BW-10%)]],TRUE)*100,"")</f>
        <v/>
      </c>
      <c r="L639" s="7" t="str">
        <f>IF(Table1[[#This Row],[Is Data Valid]]=TRUE,_xlfn.NORM.S.DIST(Table1[[#This Row],[Birthweight Z-Score (BW+10%)]],TRUE)*100,"")</f>
        <v/>
      </c>
    </row>
    <row r="640" spans="1:12" x14ac:dyDescent="0.35">
      <c r="A640" s="3"/>
      <c r="B640" s="2"/>
      <c r="C640" s="2"/>
      <c r="D640" s="2" t="b">
        <f>IF(AND(NOT(ISBLANK(Table1[[#This Row],[Fetal Sex (Male, Female or Unknown)]])),ISNUMBER(Table1[[#This Row],[Birthweight (grams)]]),ISNUMBER(Table1[[#This Row],[Gestation (days)]])),TRUE,FALSE)</f>
        <v>0</v>
      </c>
      <c r="E640" s="2" t="str">
        <f>IF(Table1[[#This Row],[Is Data Valid]]=TRUE,IF(Table1[[#This Row],[Fetal Sex (Male, Female or Unknown)]]="Male",Backend!$C$6,IF(Table1[[#This Row],[Fetal Sex (Male, Female or Unknown)]]="Female",Backend!$C$7,IF(Table1[[#This Row],[Fetal Sex (Male, Female or Unknown)]]="Unknown",Backend!$C$8,"Error"))),"")</f>
        <v/>
      </c>
      <c r="F640" s="8" t="str">
        <f>IF(Table1[[#This Row],[Is Data Valid]]=TRUE,EXP(0.578+0.332*((Table1[[#This Row],[Gestation (days)]]+0.5)/7)-0.00354*((Table1[[#This Row],[Gestation (days)]]+0.5)/7)^2)*Table1[[#This Row],[BW40_3705]],"")</f>
        <v/>
      </c>
      <c r="G640" s="2" t="str">
        <f>IF(Table1[[#This Row],[Is Data Valid]]=TRUE,((Table1[[#This Row],[Birthweight (grams)]]/Table1[[#This Row],[BW_GA]])-1)/(Backend!$B$4/100*Table1[[#This Row],[BW40_3705]]),"")</f>
        <v/>
      </c>
      <c r="H640" s="7" t="str">
        <f>IF(Table1[[#This Row],[Is Data Valid]]=TRUE,((Table1[[#This Row],[Birthweight (grams)]]*0.9/Table1[[#This Row],[BW_GA]])-1)/(Backend!$B$4/100*Table1[[#This Row],[BW40_3705]]),"")</f>
        <v/>
      </c>
      <c r="I640" s="7" t="str">
        <f>IF(Table1[[#This Row],[Is Data Valid]]=TRUE,((Table1[[#This Row],[Birthweight (grams)]]*1.1/Table1[[#This Row],[BW_GA]])-1)/(Backend!$B$4/100*Table1[[#This Row],[BW40_3705]]),"")</f>
        <v/>
      </c>
      <c r="J640" s="7" t="str">
        <f>IF(Table1[[#This Row],[Is Data Valid]]=TRUE,_xlfn.NORM.S.DIST(Table1[[#This Row],[Birthweight Z-Score]],TRUE)*100,"")</f>
        <v/>
      </c>
      <c r="K640" s="7" t="str">
        <f>IF(Table1[[#This Row],[Is Data Valid]]=TRUE,_xlfn.NORM.S.DIST(Table1[[#This Row],[Birthweight Z-Score (BW-10%)]],TRUE)*100,"")</f>
        <v/>
      </c>
      <c r="L640" s="7" t="str">
        <f>IF(Table1[[#This Row],[Is Data Valid]]=TRUE,_xlfn.NORM.S.DIST(Table1[[#This Row],[Birthweight Z-Score (BW+10%)]],TRUE)*100,"")</f>
        <v/>
      </c>
    </row>
    <row r="641" spans="1:12" x14ac:dyDescent="0.35">
      <c r="A641" s="3"/>
      <c r="B641" s="2"/>
      <c r="C641" s="2"/>
      <c r="D641" s="2" t="b">
        <f>IF(AND(NOT(ISBLANK(Table1[[#This Row],[Fetal Sex (Male, Female or Unknown)]])),ISNUMBER(Table1[[#This Row],[Birthweight (grams)]]),ISNUMBER(Table1[[#This Row],[Gestation (days)]])),TRUE,FALSE)</f>
        <v>0</v>
      </c>
      <c r="E641" s="2" t="str">
        <f>IF(Table1[[#This Row],[Is Data Valid]]=TRUE,IF(Table1[[#This Row],[Fetal Sex (Male, Female or Unknown)]]="Male",Backend!$C$6,IF(Table1[[#This Row],[Fetal Sex (Male, Female or Unknown)]]="Female",Backend!$C$7,IF(Table1[[#This Row],[Fetal Sex (Male, Female or Unknown)]]="Unknown",Backend!$C$8,"Error"))),"")</f>
        <v/>
      </c>
      <c r="F641" s="8" t="str">
        <f>IF(Table1[[#This Row],[Is Data Valid]]=TRUE,EXP(0.578+0.332*((Table1[[#This Row],[Gestation (days)]]+0.5)/7)-0.00354*((Table1[[#This Row],[Gestation (days)]]+0.5)/7)^2)*Table1[[#This Row],[BW40_3705]],"")</f>
        <v/>
      </c>
      <c r="G641" s="2" t="str">
        <f>IF(Table1[[#This Row],[Is Data Valid]]=TRUE,((Table1[[#This Row],[Birthweight (grams)]]/Table1[[#This Row],[BW_GA]])-1)/(Backend!$B$4/100*Table1[[#This Row],[BW40_3705]]),"")</f>
        <v/>
      </c>
      <c r="H641" s="7" t="str">
        <f>IF(Table1[[#This Row],[Is Data Valid]]=TRUE,((Table1[[#This Row],[Birthweight (grams)]]*0.9/Table1[[#This Row],[BW_GA]])-1)/(Backend!$B$4/100*Table1[[#This Row],[BW40_3705]]),"")</f>
        <v/>
      </c>
      <c r="I641" s="7" t="str">
        <f>IF(Table1[[#This Row],[Is Data Valid]]=TRUE,((Table1[[#This Row],[Birthweight (grams)]]*1.1/Table1[[#This Row],[BW_GA]])-1)/(Backend!$B$4/100*Table1[[#This Row],[BW40_3705]]),"")</f>
        <v/>
      </c>
      <c r="J641" s="7" t="str">
        <f>IF(Table1[[#This Row],[Is Data Valid]]=TRUE,_xlfn.NORM.S.DIST(Table1[[#This Row],[Birthweight Z-Score]],TRUE)*100,"")</f>
        <v/>
      </c>
      <c r="K641" s="7" t="str">
        <f>IF(Table1[[#This Row],[Is Data Valid]]=TRUE,_xlfn.NORM.S.DIST(Table1[[#This Row],[Birthweight Z-Score (BW-10%)]],TRUE)*100,"")</f>
        <v/>
      </c>
      <c r="L641" s="7" t="str">
        <f>IF(Table1[[#This Row],[Is Data Valid]]=TRUE,_xlfn.NORM.S.DIST(Table1[[#This Row],[Birthweight Z-Score (BW+10%)]],TRUE)*100,"")</f>
        <v/>
      </c>
    </row>
    <row r="642" spans="1:12" x14ac:dyDescent="0.35">
      <c r="A642" s="3"/>
      <c r="B642" s="2"/>
      <c r="C642" s="2"/>
      <c r="D642" s="2" t="b">
        <f>IF(AND(NOT(ISBLANK(Table1[[#This Row],[Fetal Sex (Male, Female or Unknown)]])),ISNUMBER(Table1[[#This Row],[Birthweight (grams)]]),ISNUMBER(Table1[[#This Row],[Gestation (days)]])),TRUE,FALSE)</f>
        <v>0</v>
      </c>
      <c r="E642" s="2" t="str">
        <f>IF(Table1[[#This Row],[Is Data Valid]]=TRUE,IF(Table1[[#This Row],[Fetal Sex (Male, Female or Unknown)]]="Male",Backend!$C$6,IF(Table1[[#This Row],[Fetal Sex (Male, Female or Unknown)]]="Female",Backend!$C$7,IF(Table1[[#This Row],[Fetal Sex (Male, Female or Unknown)]]="Unknown",Backend!$C$8,"Error"))),"")</f>
        <v/>
      </c>
      <c r="F642" s="8" t="str">
        <f>IF(Table1[[#This Row],[Is Data Valid]]=TRUE,EXP(0.578+0.332*((Table1[[#This Row],[Gestation (days)]]+0.5)/7)-0.00354*((Table1[[#This Row],[Gestation (days)]]+0.5)/7)^2)*Table1[[#This Row],[BW40_3705]],"")</f>
        <v/>
      </c>
      <c r="G642" s="2" t="str">
        <f>IF(Table1[[#This Row],[Is Data Valid]]=TRUE,((Table1[[#This Row],[Birthweight (grams)]]/Table1[[#This Row],[BW_GA]])-1)/(Backend!$B$4/100*Table1[[#This Row],[BW40_3705]]),"")</f>
        <v/>
      </c>
      <c r="H642" s="7" t="str">
        <f>IF(Table1[[#This Row],[Is Data Valid]]=TRUE,((Table1[[#This Row],[Birthweight (grams)]]*0.9/Table1[[#This Row],[BW_GA]])-1)/(Backend!$B$4/100*Table1[[#This Row],[BW40_3705]]),"")</f>
        <v/>
      </c>
      <c r="I642" s="7" t="str">
        <f>IF(Table1[[#This Row],[Is Data Valid]]=TRUE,((Table1[[#This Row],[Birthweight (grams)]]*1.1/Table1[[#This Row],[BW_GA]])-1)/(Backend!$B$4/100*Table1[[#This Row],[BW40_3705]]),"")</f>
        <v/>
      </c>
      <c r="J642" s="7" t="str">
        <f>IF(Table1[[#This Row],[Is Data Valid]]=TRUE,_xlfn.NORM.S.DIST(Table1[[#This Row],[Birthweight Z-Score]],TRUE)*100,"")</f>
        <v/>
      </c>
      <c r="K642" s="7" t="str">
        <f>IF(Table1[[#This Row],[Is Data Valid]]=TRUE,_xlfn.NORM.S.DIST(Table1[[#This Row],[Birthweight Z-Score (BW-10%)]],TRUE)*100,"")</f>
        <v/>
      </c>
      <c r="L642" s="7" t="str">
        <f>IF(Table1[[#This Row],[Is Data Valid]]=TRUE,_xlfn.NORM.S.DIST(Table1[[#This Row],[Birthweight Z-Score (BW+10%)]],TRUE)*100,"")</f>
        <v/>
      </c>
    </row>
    <row r="643" spans="1:12" x14ac:dyDescent="0.35">
      <c r="A643" s="3"/>
      <c r="B643" s="2"/>
      <c r="C643" s="2"/>
      <c r="D643" s="2" t="b">
        <f>IF(AND(NOT(ISBLANK(Table1[[#This Row],[Fetal Sex (Male, Female or Unknown)]])),ISNUMBER(Table1[[#This Row],[Birthweight (grams)]]),ISNUMBER(Table1[[#This Row],[Gestation (days)]])),TRUE,FALSE)</f>
        <v>0</v>
      </c>
      <c r="E643" s="2" t="str">
        <f>IF(Table1[[#This Row],[Is Data Valid]]=TRUE,IF(Table1[[#This Row],[Fetal Sex (Male, Female or Unknown)]]="Male",Backend!$C$6,IF(Table1[[#This Row],[Fetal Sex (Male, Female or Unknown)]]="Female",Backend!$C$7,IF(Table1[[#This Row],[Fetal Sex (Male, Female or Unknown)]]="Unknown",Backend!$C$8,"Error"))),"")</f>
        <v/>
      </c>
      <c r="F643" s="8" t="str">
        <f>IF(Table1[[#This Row],[Is Data Valid]]=TRUE,EXP(0.578+0.332*((Table1[[#This Row],[Gestation (days)]]+0.5)/7)-0.00354*((Table1[[#This Row],[Gestation (days)]]+0.5)/7)^2)*Table1[[#This Row],[BW40_3705]],"")</f>
        <v/>
      </c>
      <c r="G643" s="2" t="str">
        <f>IF(Table1[[#This Row],[Is Data Valid]]=TRUE,((Table1[[#This Row],[Birthweight (grams)]]/Table1[[#This Row],[BW_GA]])-1)/(Backend!$B$4/100*Table1[[#This Row],[BW40_3705]]),"")</f>
        <v/>
      </c>
      <c r="H643" s="7" t="str">
        <f>IF(Table1[[#This Row],[Is Data Valid]]=TRUE,((Table1[[#This Row],[Birthweight (grams)]]*0.9/Table1[[#This Row],[BW_GA]])-1)/(Backend!$B$4/100*Table1[[#This Row],[BW40_3705]]),"")</f>
        <v/>
      </c>
      <c r="I643" s="7" t="str">
        <f>IF(Table1[[#This Row],[Is Data Valid]]=TRUE,((Table1[[#This Row],[Birthweight (grams)]]*1.1/Table1[[#This Row],[BW_GA]])-1)/(Backend!$B$4/100*Table1[[#This Row],[BW40_3705]]),"")</f>
        <v/>
      </c>
      <c r="J643" s="7" t="str">
        <f>IF(Table1[[#This Row],[Is Data Valid]]=TRUE,_xlfn.NORM.S.DIST(Table1[[#This Row],[Birthweight Z-Score]],TRUE)*100,"")</f>
        <v/>
      </c>
      <c r="K643" s="7" t="str">
        <f>IF(Table1[[#This Row],[Is Data Valid]]=TRUE,_xlfn.NORM.S.DIST(Table1[[#This Row],[Birthweight Z-Score (BW-10%)]],TRUE)*100,"")</f>
        <v/>
      </c>
      <c r="L643" s="7" t="str">
        <f>IF(Table1[[#This Row],[Is Data Valid]]=TRUE,_xlfn.NORM.S.DIST(Table1[[#This Row],[Birthweight Z-Score (BW+10%)]],TRUE)*100,"")</f>
        <v/>
      </c>
    </row>
    <row r="644" spans="1:12" x14ac:dyDescent="0.35">
      <c r="A644" s="3"/>
      <c r="B644" s="2"/>
      <c r="C644" s="2"/>
      <c r="D644" s="2" t="b">
        <f>IF(AND(NOT(ISBLANK(Table1[[#This Row],[Fetal Sex (Male, Female or Unknown)]])),ISNUMBER(Table1[[#This Row],[Birthweight (grams)]]),ISNUMBER(Table1[[#This Row],[Gestation (days)]])),TRUE,FALSE)</f>
        <v>0</v>
      </c>
      <c r="E644" s="2" t="str">
        <f>IF(Table1[[#This Row],[Is Data Valid]]=TRUE,IF(Table1[[#This Row],[Fetal Sex (Male, Female or Unknown)]]="Male",Backend!$C$6,IF(Table1[[#This Row],[Fetal Sex (Male, Female or Unknown)]]="Female",Backend!$C$7,IF(Table1[[#This Row],[Fetal Sex (Male, Female or Unknown)]]="Unknown",Backend!$C$8,"Error"))),"")</f>
        <v/>
      </c>
      <c r="F644" s="8" t="str">
        <f>IF(Table1[[#This Row],[Is Data Valid]]=TRUE,EXP(0.578+0.332*((Table1[[#This Row],[Gestation (days)]]+0.5)/7)-0.00354*((Table1[[#This Row],[Gestation (days)]]+0.5)/7)^2)*Table1[[#This Row],[BW40_3705]],"")</f>
        <v/>
      </c>
      <c r="G644" s="2" t="str">
        <f>IF(Table1[[#This Row],[Is Data Valid]]=TRUE,((Table1[[#This Row],[Birthweight (grams)]]/Table1[[#This Row],[BW_GA]])-1)/(Backend!$B$4/100*Table1[[#This Row],[BW40_3705]]),"")</f>
        <v/>
      </c>
      <c r="H644" s="7" t="str">
        <f>IF(Table1[[#This Row],[Is Data Valid]]=TRUE,((Table1[[#This Row],[Birthweight (grams)]]*0.9/Table1[[#This Row],[BW_GA]])-1)/(Backend!$B$4/100*Table1[[#This Row],[BW40_3705]]),"")</f>
        <v/>
      </c>
      <c r="I644" s="7" t="str">
        <f>IF(Table1[[#This Row],[Is Data Valid]]=TRUE,((Table1[[#This Row],[Birthweight (grams)]]*1.1/Table1[[#This Row],[BW_GA]])-1)/(Backend!$B$4/100*Table1[[#This Row],[BW40_3705]]),"")</f>
        <v/>
      </c>
      <c r="J644" s="7" t="str">
        <f>IF(Table1[[#This Row],[Is Data Valid]]=TRUE,_xlfn.NORM.S.DIST(Table1[[#This Row],[Birthweight Z-Score]],TRUE)*100,"")</f>
        <v/>
      </c>
      <c r="K644" s="7" t="str">
        <f>IF(Table1[[#This Row],[Is Data Valid]]=TRUE,_xlfn.NORM.S.DIST(Table1[[#This Row],[Birthweight Z-Score (BW-10%)]],TRUE)*100,"")</f>
        <v/>
      </c>
      <c r="L644" s="7" t="str">
        <f>IF(Table1[[#This Row],[Is Data Valid]]=TRUE,_xlfn.NORM.S.DIST(Table1[[#This Row],[Birthweight Z-Score (BW+10%)]],TRUE)*100,"")</f>
        <v/>
      </c>
    </row>
    <row r="645" spans="1:12" x14ac:dyDescent="0.35">
      <c r="A645" s="3"/>
      <c r="B645" s="2"/>
      <c r="C645" s="2"/>
      <c r="D645" s="2" t="b">
        <f>IF(AND(NOT(ISBLANK(Table1[[#This Row],[Fetal Sex (Male, Female or Unknown)]])),ISNUMBER(Table1[[#This Row],[Birthweight (grams)]]),ISNUMBER(Table1[[#This Row],[Gestation (days)]])),TRUE,FALSE)</f>
        <v>0</v>
      </c>
      <c r="E645" s="2" t="str">
        <f>IF(Table1[[#This Row],[Is Data Valid]]=TRUE,IF(Table1[[#This Row],[Fetal Sex (Male, Female or Unknown)]]="Male",Backend!$C$6,IF(Table1[[#This Row],[Fetal Sex (Male, Female or Unknown)]]="Female",Backend!$C$7,IF(Table1[[#This Row],[Fetal Sex (Male, Female or Unknown)]]="Unknown",Backend!$C$8,"Error"))),"")</f>
        <v/>
      </c>
      <c r="F645" s="8" t="str">
        <f>IF(Table1[[#This Row],[Is Data Valid]]=TRUE,EXP(0.578+0.332*((Table1[[#This Row],[Gestation (days)]]+0.5)/7)-0.00354*((Table1[[#This Row],[Gestation (days)]]+0.5)/7)^2)*Table1[[#This Row],[BW40_3705]],"")</f>
        <v/>
      </c>
      <c r="G645" s="2" t="str">
        <f>IF(Table1[[#This Row],[Is Data Valid]]=TRUE,((Table1[[#This Row],[Birthweight (grams)]]/Table1[[#This Row],[BW_GA]])-1)/(Backend!$B$4/100*Table1[[#This Row],[BW40_3705]]),"")</f>
        <v/>
      </c>
      <c r="H645" s="7" t="str">
        <f>IF(Table1[[#This Row],[Is Data Valid]]=TRUE,((Table1[[#This Row],[Birthweight (grams)]]*0.9/Table1[[#This Row],[BW_GA]])-1)/(Backend!$B$4/100*Table1[[#This Row],[BW40_3705]]),"")</f>
        <v/>
      </c>
      <c r="I645" s="7" t="str">
        <f>IF(Table1[[#This Row],[Is Data Valid]]=TRUE,((Table1[[#This Row],[Birthweight (grams)]]*1.1/Table1[[#This Row],[BW_GA]])-1)/(Backend!$B$4/100*Table1[[#This Row],[BW40_3705]]),"")</f>
        <v/>
      </c>
      <c r="J645" s="7" t="str">
        <f>IF(Table1[[#This Row],[Is Data Valid]]=TRUE,_xlfn.NORM.S.DIST(Table1[[#This Row],[Birthweight Z-Score]],TRUE)*100,"")</f>
        <v/>
      </c>
      <c r="K645" s="7" t="str">
        <f>IF(Table1[[#This Row],[Is Data Valid]]=TRUE,_xlfn.NORM.S.DIST(Table1[[#This Row],[Birthweight Z-Score (BW-10%)]],TRUE)*100,"")</f>
        <v/>
      </c>
      <c r="L645" s="7" t="str">
        <f>IF(Table1[[#This Row],[Is Data Valid]]=TRUE,_xlfn.NORM.S.DIST(Table1[[#This Row],[Birthweight Z-Score (BW+10%)]],TRUE)*100,"")</f>
        <v/>
      </c>
    </row>
    <row r="646" spans="1:12" x14ac:dyDescent="0.35">
      <c r="A646" s="3"/>
      <c r="B646" s="2"/>
      <c r="C646" s="2"/>
      <c r="D646" s="2" t="b">
        <f>IF(AND(NOT(ISBLANK(Table1[[#This Row],[Fetal Sex (Male, Female or Unknown)]])),ISNUMBER(Table1[[#This Row],[Birthweight (grams)]]),ISNUMBER(Table1[[#This Row],[Gestation (days)]])),TRUE,FALSE)</f>
        <v>0</v>
      </c>
      <c r="E646" s="2" t="str">
        <f>IF(Table1[[#This Row],[Is Data Valid]]=TRUE,IF(Table1[[#This Row],[Fetal Sex (Male, Female or Unknown)]]="Male",Backend!$C$6,IF(Table1[[#This Row],[Fetal Sex (Male, Female or Unknown)]]="Female",Backend!$C$7,IF(Table1[[#This Row],[Fetal Sex (Male, Female or Unknown)]]="Unknown",Backend!$C$8,"Error"))),"")</f>
        <v/>
      </c>
      <c r="F646" s="8" t="str">
        <f>IF(Table1[[#This Row],[Is Data Valid]]=TRUE,EXP(0.578+0.332*((Table1[[#This Row],[Gestation (days)]]+0.5)/7)-0.00354*((Table1[[#This Row],[Gestation (days)]]+0.5)/7)^2)*Table1[[#This Row],[BW40_3705]],"")</f>
        <v/>
      </c>
      <c r="G646" s="2" t="str">
        <f>IF(Table1[[#This Row],[Is Data Valid]]=TRUE,((Table1[[#This Row],[Birthweight (grams)]]/Table1[[#This Row],[BW_GA]])-1)/(Backend!$B$4/100*Table1[[#This Row],[BW40_3705]]),"")</f>
        <v/>
      </c>
      <c r="H646" s="7" t="str">
        <f>IF(Table1[[#This Row],[Is Data Valid]]=TRUE,((Table1[[#This Row],[Birthweight (grams)]]*0.9/Table1[[#This Row],[BW_GA]])-1)/(Backend!$B$4/100*Table1[[#This Row],[BW40_3705]]),"")</f>
        <v/>
      </c>
      <c r="I646" s="7" t="str">
        <f>IF(Table1[[#This Row],[Is Data Valid]]=TRUE,((Table1[[#This Row],[Birthweight (grams)]]*1.1/Table1[[#This Row],[BW_GA]])-1)/(Backend!$B$4/100*Table1[[#This Row],[BW40_3705]]),"")</f>
        <v/>
      </c>
      <c r="J646" s="7" t="str">
        <f>IF(Table1[[#This Row],[Is Data Valid]]=TRUE,_xlfn.NORM.S.DIST(Table1[[#This Row],[Birthweight Z-Score]],TRUE)*100,"")</f>
        <v/>
      </c>
      <c r="K646" s="7" t="str">
        <f>IF(Table1[[#This Row],[Is Data Valid]]=TRUE,_xlfn.NORM.S.DIST(Table1[[#This Row],[Birthweight Z-Score (BW-10%)]],TRUE)*100,"")</f>
        <v/>
      </c>
      <c r="L646" s="7" t="str">
        <f>IF(Table1[[#This Row],[Is Data Valid]]=TRUE,_xlfn.NORM.S.DIST(Table1[[#This Row],[Birthweight Z-Score (BW+10%)]],TRUE)*100,"")</f>
        <v/>
      </c>
    </row>
    <row r="647" spans="1:12" x14ac:dyDescent="0.35">
      <c r="A647" s="3"/>
      <c r="B647" s="2"/>
      <c r="C647" s="2"/>
      <c r="D647" s="2" t="b">
        <f>IF(AND(NOT(ISBLANK(Table1[[#This Row],[Fetal Sex (Male, Female or Unknown)]])),ISNUMBER(Table1[[#This Row],[Birthweight (grams)]]),ISNUMBER(Table1[[#This Row],[Gestation (days)]])),TRUE,FALSE)</f>
        <v>0</v>
      </c>
      <c r="E647" s="2" t="str">
        <f>IF(Table1[[#This Row],[Is Data Valid]]=TRUE,IF(Table1[[#This Row],[Fetal Sex (Male, Female or Unknown)]]="Male",Backend!$C$6,IF(Table1[[#This Row],[Fetal Sex (Male, Female or Unknown)]]="Female",Backend!$C$7,IF(Table1[[#This Row],[Fetal Sex (Male, Female or Unknown)]]="Unknown",Backend!$C$8,"Error"))),"")</f>
        <v/>
      </c>
      <c r="F647" s="8" t="str">
        <f>IF(Table1[[#This Row],[Is Data Valid]]=TRUE,EXP(0.578+0.332*((Table1[[#This Row],[Gestation (days)]]+0.5)/7)-0.00354*((Table1[[#This Row],[Gestation (days)]]+0.5)/7)^2)*Table1[[#This Row],[BW40_3705]],"")</f>
        <v/>
      </c>
      <c r="G647" s="2" t="str">
        <f>IF(Table1[[#This Row],[Is Data Valid]]=TRUE,((Table1[[#This Row],[Birthweight (grams)]]/Table1[[#This Row],[BW_GA]])-1)/(Backend!$B$4/100*Table1[[#This Row],[BW40_3705]]),"")</f>
        <v/>
      </c>
      <c r="H647" s="7" t="str">
        <f>IF(Table1[[#This Row],[Is Data Valid]]=TRUE,((Table1[[#This Row],[Birthweight (grams)]]*0.9/Table1[[#This Row],[BW_GA]])-1)/(Backend!$B$4/100*Table1[[#This Row],[BW40_3705]]),"")</f>
        <v/>
      </c>
      <c r="I647" s="7" t="str">
        <f>IF(Table1[[#This Row],[Is Data Valid]]=TRUE,((Table1[[#This Row],[Birthweight (grams)]]*1.1/Table1[[#This Row],[BW_GA]])-1)/(Backend!$B$4/100*Table1[[#This Row],[BW40_3705]]),"")</f>
        <v/>
      </c>
      <c r="J647" s="7" t="str">
        <f>IF(Table1[[#This Row],[Is Data Valid]]=TRUE,_xlfn.NORM.S.DIST(Table1[[#This Row],[Birthweight Z-Score]],TRUE)*100,"")</f>
        <v/>
      </c>
      <c r="K647" s="7" t="str">
        <f>IF(Table1[[#This Row],[Is Data Valid]]=TRUE,_xlfn.NORM.S.DIST(Table1[[#This Row],[Birthweight Z-Score (BW-10%)]],TRUE)*100,"")</f>
        <v/>
      </c>
      <c r="L647" s="7" t="str">
        <f>IF(Table1[[#This Row],[Is Data Valid]]=TRUE,_xlfn.NORM.S.DIST(Table1[[#This Row],[Birthweight Z-Score (BW+10%)]],TRUE)*100,"")</f>
        <v/>
      </c>
    </row>
    <row r="648" spans="1:12" x14ac:dyDescent="0.35">
      <c r="A648" s="3"/>
      <c r="B648" s="2"/>
      <c r="C648" s="2"/>
      <c r="D648" s="2" t="b">
        <f>IF(AND(NOT(ISBLANK(Table1[[#This Row],[Fetal Sex (Male, Female or Unknown)]])),ISNUMBER(Table1[[#This Row],[Birthweight (grams)]]),ISNUMBER(Table1[[#This Row],[Gestation (days)]])),TRUE,FALSE)</f>
        <v>0</v>
      </c>
      <c r="E648" s="2" t="str">
        <f>IF(Table1[[#This Row],[Is Data Valid]]=TRUE,IF(Table1[[#This Row],[Fetal Sex (Male, Female or Unknown)]]="Male",Backend!$C$6,IF(Table1[[#This Row],[Fetal Sex (Male, Female or Unknown)]]="Female",Backend!$C$7,IF(Table1[[#This Row],[Fetal Sex (Male, Female or Unknown)]]="Unknown",Backend!$C$8,"Error"))),"")</f>
        <v/>
      </c>
      <c r="F648" s="8" t="str">
        <f>IF(Table1[[#This Row],[Is Data Valid]]=TRUE,EXP(0.578+0.332*((Table1[[#This Row],[Gestation (days)]]+0.5)/7)-0.00354*((Table1[[#This Row],[Gestation (days)]]+0.5)/7)^2)*Table1[[#This Row],[BW40_3705]],"")</f>
        <v/>
      </c>
      <c r="G648" s="2" t="str">
        <f>IF(Table1[[#This Row],[Is Data Valid]]=TRUE,((Table1[[#This Row],[Birthweight (grams)]]/Table1[[#This Row],[BW_GA]])-1)/(Backend!$B$4/100*Table1[[#This Row],[BW40_3705]]),"")</f>
        <v/>
      </c>
      <c r="H648" s="7" t="str">
        <f>IF(Table1[[#This Row],[Is Data Valid]]=TRUE,((Table1[[#This Row],[Birthweight (grams)]]*0.9/Table1[[#This Row],[BW_GA]])-1)/(Backend!$B$4/100*Table1[[#This Row],[BW40_3705]]),"")</f>
        <v/>
      </c>
      <c r="I648" s="7" t="str">
        <f>IF(Table1[[#This Row],[Is Data Valid]]=TRUE,((Table1[[#This Row],[Birthweight (grams)]]*1.1/Table1[[#This Row],[BW_GA]])-1)/(Backend!$B$4/100*Table1[[#This Row],[BW40_3705]]),"")</f>
        <v/>
      </c>
      <c r="J648" s="7" t="str">
        <f>IF(Table1[[#This Row],[Is Data Valid]]=TRUE,_xlfn.NORM.S.DIST(Table1[[#This Row],[Birthweight Z-Score]],TRUE)*100,"")</f>
        <v/>
      </c>
      <c r="K648" s="7" t="str">
        <f>IF(Table1[[#This Row],[Is Data Valid]]=TRUE,_xlfn.NORM.S.DIST(Table1[[#This Row],[Birthweight Z-Score (BW-10%)]],TRUE)*100,"")</f>
        <v/>
      </c>
      <c r="L648" s="7" t="str">
        <f>IF(Table1[[#This Row],[Is Data Valid]]=TRUE,_xlfn.NORM.S.DIST(Table1[[#This Row],[Birthweight Z-Score (BW+10%)]],TRUE)*100,"")</f>
        <v/>
      </c>
    </row>
    <row r="649" spans="1:12" x14ac:dyDescent="0.35">
      <c r="A649" s="3"/>
      <c r="B649" s="2"/>
      <c r="C649" s="2"/>
      <c r="D649" s="2" t="b">
        <f>IF(AND(NOT(ISBLANK(Table1[[#This Row],[Fetal Sex (Male, Female or Unknown)]])),ISNUMBER(Table1[[#This Row],[Birthweight (grams)]]),ISNUMBER(Table1[[#This Row],[Gestation (days)]])),TRUE,FALSE)</f>
        <v>0</v>
      </c>
      <c r="E649" s="2" t="str">
        <f>IF(Table1[[#This Row],[Is Data Valid]]=TRUE,IF(Table1[[#This Row],[Fetal Sex (Male, Female or Unknown)]]="Male",Backend!$C$6,IF(Table1[[#This Row],[Fetal Sex (Male, Female or Unknown)]]="Female",Backend!$C$7,IF(Table1[[#This Row],[Fetal Sex (Male, Female or Unknown)]]="Unknown",Backend!$C$8,"Error"))),"")</f>
        <v/>
      </c>
      <c r="F649" s="8" t="str">
        <f>IF(Table1[[#This Row],[Is Data Valid]]=TRUE,EXP(0.578+0.332*((Table1[[#This Row],[Gestation (days)]]+0.5)/7)-0.00354*((Table1[[#This Row],[Gestation (days)]]+0.5)/7)^2)*Table1[[#This Row],[BW40_3705]],"")</f>
        <v/>
      </c>
      <c r="G649" s="2" t="str">
        <f>IF(Table1[[#This Row],[Is Data Valid]]=TRUE,((Table1[[#This Row],[Birthweight (grams)]]/Table1[[#This Row],[BW_GA]])-1)/(Backend!$B$4/100*Table1[[#This Row],[BW40_3705]]),"")</f>
        <v/>
      </c>
      <c r="H649" s="7" t="str">
        <f>IF(Table1[[#This Row],[Is Data Valid]]=TRUE,((Table1[[#This Row],[Birthweight (grams)]]*0.9/Table1[[#This Row],[BW_GA]])-1)/(Backend!$B$4/100*Table1[[#This Row],[BW40_3705]]),"")</f>
        <v/>
      </c>
      <c r="I649" s="7" t="str">
        <f>IF(Table1[[#This Row],[Is Data Valid]]=TRUE,((Table1[[#This Row],[Birthweight (grams)]]*1.1/Table1[[#This Row],[BW_GA]])-1)/(Backend!$B$4/100*Table1[[#This Row],[BW40_3705]]),"")</f>
        <v/>
      </c>
      <c r="J649" s="7" t="str">
        <f>IF(Table1[[#This Row],[Is Data Valid]]=TRUE,_xlfn.NORM.S.DIST(Table1[[#This Row],[Birthweight Z-Score]],TRUE)*100,"")</f>
        <v/>
      </c>
      <c r="K649" s="7" t="str">
        <f>IF(Table1[[#This Row],[Is Data Valid]]=TRUE,_xlfn.NORM.S.DIST(Table1[[#This Row],[Birthweight Z-Score (BW-10%)]],TRUE)*100,"")</f>
        <v/>
      </c>
      <c r="L649" s="7" t="str">
        <f>IF(Table1[[#This Row],[Is Data Valid]]=TRUE,_xlfn.NORM.S.DIST(Table1[[#This Row],[Birthweight Z-Score (BW+10%)]],TRUE)*100,"")</f>
        <v/>
      </c>
    </row>
    <row r="650" spans="1:12" x14ac:dyDescent="0.35">
      <c r="A650" s="3"/>
      <c r="B650" s="2"/>
      <c r="C650" s="2"/>
      <c r="D650" s="2" t="b">
        <f>IF(AND(NOT(ISBLANK(Table1[[#This Row],[Fetal Sex (Male, Female or Unknown)]])),ISNUMBER(Table1[[#This Row],[Birthweight (grams)]]),ISNUMBER(Table1[[#This Row],[Gestation (days)]])),TRUE,FALSE)</f>
        <v>0</v>
      </c>
      <c r="E650" s="2" t="str">
        <f>IF(Table1[[#This Row],[Is Data Valid]]=TRUE,IF(Table1[[#This Row],[Fetal Sex (Male, Female or Unknown)]]="Male",Backend!$C$6,IF(Table1[[#This Row],[Fetal Sex (Male, Female or Unknown)]]="Female",Backend!$C$7,IF(Table1[[#This Row],[Fetal Sex (Male, Female or Unknown)]]="Unknown",Backend!$C$8,"Error"))),"")</f>
        <v/>
      </c>
      <c r="F650" s="8" t="str">
        <f>IF(Table1[[#This Row],[Is Data Valid]]=TRUE,EXP(0.578+0.332*((Table1[[#This Row],[Gestation (days)]]+0.5)/7)-0.00354*((Table1[[#This Row],[Gestation (days)]]+0.5)/7)^2)*Table1[[#This Row],[BW40_3705]],"")</f>
        <v/>
      </c>
      <c r="G650" s="2" t="str">
        <f>IF(Table1[[#This Row],[Is Data Valid]]=TRUE,((Table1[[#This Row],[Birthweight (grams)]]/Table1[[#This Row],[BW_GA]])-1)/(Backend!$B$4/100*Table1[[#This Row],[BW40_3705]]),"")</f>
        <v/>
      </c>
      <c r="H650" s="7" t="str">
        <f>IF(Table1[[#This Row],[Is Data Valid]]=TRUE,((Table1[[#This Row],[Birthweight (grams)]]*0.9/Table1[[#This Row],[BW_GA]])-1)/(Backend!$B$4/100*Table1[[#This Row],[BW40_3705]]),"")</f>
        <v/>
      </c>
      <c r="I650" s="7" t="str">
        <f>IF(Table1[[#This Row],[Is Data Valid]]=TRUE,((Table1[[#This Row],[Birthweight (grams)]]*1.1/Table1[[#This Row],[BW_GA]])-1)/(Backend!$B$4/100*Table1[[#This Row],[BW40_3705]]),"")</f>
        <v/>
      </c>
      <c r="J650" s="7" t="str">
        <f>IF(Table1[[#This Row],[Is Data Valid]]=TRUE,_xlfn.NORM.S.DIST(Table1[[#This Row],[Birthweight Z-Score]],TRUE)*100,"")</f>
        <v/>
      </c>
      <c r="K650" s="7" t="str">
        <f>IF(Table1[[#This Row],[Is Data Valid]]=TRUE,_xlfn.NORM.S.DIST(Table1[[#This Row],[Birthweight Z-Score (BW-10%)]],TRUE)*100,"")</f>
        <v/>
      </c>
      <c r="L650" s="7" t="str">
        <f>IF(Table1[[#This Row],[Is Data Valid]]=TRUE,_xlfn.NORM.S.DIST(Table1[[#This Row],[Birthweight Z-Score (BW+10%)]],TRUE)*100,"")</f>
        <v/>
      </c>
    </row>
    <row r="651" spans="1:12" x14ac:dyDescent="0.35">
      <c r="A651" s="3"/>
      <c r="B651" s="2"/>
      <c r="C651" s="2"/>
      <c r="D651" s="2" t="b">
        <f>IF(AND(NOT(ISBLANK(Table1[[#This Row],[Fetal Sex (Male, Female or Unknown)]])),ISNUMBER(Table1[[#This Row],[Birthweight (grams)]]),ISNUMBER(Table1[[#This Row],[Gestation (days)]])),TRUE,FALSE)</f>
        <v>0</v>
      </c>
      <c r="E651" s="2" t="str">
        <f>IF(Table1[[#This Row],[Is Data Valid]]=TRUE,IF(Table1[[#This Row],[Fetal Sex (Male, Female or Unknown)]]="Male",Backend!$C$6,IF(Table1[[#This Row],[Fetal Sex (Male, Female or Unknown)]]="Female",Backend!$C$7,IF(Table1[[#This Row],[Fetal Sex (Male, Female or Unknown)]]="Unknown",Backend!$C$8,"Error"))),"")</f>
        <v/>
      </c>
      <c r="F651" s="8" t="str">
        <f>IF(Table1[[#This Row],[Is Data Valid]]=TRUE,EXP(0.578+0.332*((Table1[[#This Row],[Gestation (days)]]+0.5)/7)-0.00354*((Table1[[#This Row],[Gestation (days)]]+0.5)/7)^2)*Table1[[#This Row],[BW40_3705]],"")</f>
        <v/>
      </c>
      <c r="G651" s="2" t="str">
        <f>IF(Table1[[#This Row],[Is Data Valid]]=TRUE,((Table1[[#This Row],[Birthweight (grams)]]/Table1[[#This Row],[BW_GA]])-1)/(Backend!$B$4/100*Table1[[#This Row],[BW40_3705]]),"")</f>
        <v/>
      </c>
      <c r="H651" s="7" t="str">
        <f>IF(Table1[[#This Row],[Is Data Valid]]=TRUE,((Table1[[#This Row],[Birthweight (grams)]]*0.9/Table1[[#This Row],[BW_GA]])-1)/(Backend!$B$4/100*Table1[[#This Row],[BW40_3705]]),"")</f>
        <v/>
      </c>
      <c r="I651" s="7" t="str">
        <f>IF(Table1[[#This Row],[Is Data Valid]]=TRUE,((Table1[[#This Row],[Birthweight (grams)]]*1.1/Table1[[#This Row],[BW_GA]])-1)/(Backend!$B$4/100*Table1[[#This Row],[BW40_3705]]),"")</f>
        <v/>
      </c>
      <c r="J651" s="7" t="str">
        <f>IF(Table1[[#This Row],[Is Data Valid]]=TRUE,_xlfn.NORM.S.DIST(Table1[[#This Row],[Birthweight Z-Score]],TRUE)*100,"")</f>
        <v/>
      </c>
      <c r="K651" s="7" t="str">
        <f>IF(Table1[[#This Row],[Is Data Valid]]=TRUE,_xlfn.NORM.S.DIST(Table1[[#This Row],[Birthweight Z-Score (BW-10%)]],TRUE)*100,"")</f>
        <v/>
      </c>
      <c r="L651" s="7" t="str">
        <f>IF(Table1[[#This Row],[Is Data Valid]]=TRUE,_xlfn.NORM.S.DIST(Table1[[#This Row],[Birthweight Z-Score (BW+10%)]],TRUE)*100,"")</f>
        <v/>
      </c>
    </row>
    <row r="652" spans="1:12" x14ac:dyDescent="0.35">
      <c r="A652" s="3"/>
      <c r="B652" s="2"/>
      <c r="C652" s="2"/>
      <c r="D652" s="2" t="b">
        <f>IF(AND(NOT(ISBLANK(Table1[[#This Row],[Fetal Sex (Male, Female or Unknown)]])),ISNUMBER(Table1[[#This Row],[Birthweight (grams)]]),ISNUMBER(Table1[[#This Row],[Gestation (days)]])),TRUE,FALSE)</f>
        <v>0</v>
      </c>
      <c r="E652" s="2" t="str">
        <f>IF(Table1[[#This Row],[Is Data Valid]]=TRUE,IF(Table1[[#This Row],[Fetal Sex (Male, Female or Unknown)]]="Male",Backend!$C$6,IF(Table1[[#This Row],[Fetal Sex (Male, Female or Unknown)]]="Female",Backend!$C$7,IF(Table1[[#This Row],[Fetal Sex (Male, Female or Unknown)]]="Unknown",Backend!$C$8,"Error"))),"")</f>
        <v/>
      </c>
      <c r="F652" s="8" t="str">
        <f>IF(Table1[[#This Row],[Is Data Valid]]=TRUE,EXP(0.578+0.332*((Table1[[#This Row],[Gestation (days)]]+0.5)/7)-0.00354*((Table1[[#This Row],[Gestation (days)]]+0.5)/7)^2)*Table1[[#This Row],[BW40_3705]],"")</f>
        <v/>
      </c>
      <c r="G652" s="2" t="str">
        <f>IF(Table1[[#This Row],[Is Data Valid]]=TRUE,((Table1[[#This Row],[Birthweight (grams)]]/Table1[[#This Row],[BW_GA]])-1)/(Backend!$B$4/100*Table1[[#This Row],[BW40_3705]]),"")</f>
        <v/>
      </c>
      <c r="H652" s="7" t="str">
        <f>IF(Table1[[#This Row],[Is Data Valid]]=TRUE,((Table1[[#This Row],[Birthweight (grams)]]*0.9/Table1[[#This Row],[BW_GA]])-1)/(Backend!$B$4/100*Table1[[#This Row],[BW40_3705]]),"")</f>
        <v/>
      </c>
      <c r="I652" s="7" t="str">
        <f>IF(Table1[[#This Row],[Is Data Valid]]=TRUE,((Table1[[#This Row],[Birthweight (grams)]]*1.1/Table1[[#This Row],[BW_GA]])-1)/(Backend!$B$4/100*Table1[[#This Row],[BW40_3705]]),"")</f>
        <v/>
      </c>
      <c r="J652" s="7" t="str">
        <f>IF(Table1[[#This Row],[Is Data Valid]]=TRUE,_xlfn.NORM.S.DIST(Table1[[#This Row],[Birthweight Z-Score]],TRUE)*100,"")</f>
        <v/>
      </c>
      <c r="K652" s="7" t="str">
        <f>IF(Table1[[#This Row],[Is Data Valid]]=TRUE,_xlfn.NORM.S.DIST(Table1[[#This Row],[Birthweight Z-Score (BW-10%)]],TRUE)*100,"")</f>
        <v/>
      </c>
      <c r="L652" s="7" t="str">
        <f>IF(Table1[[#This Row],[Is Data Valid]]=TRUE,_xlfn.NORM.S.DIST(Table1[[#This Row],[Birthweight Z-Score (BW+10%)]],TRUE)*100,"")</f>
        <v/>
      </c>
    </row>
    <row r="653" spans="1:12" x14ac:dyDescent="0.35">
      <c r="A653" s="3"/>
      <c r="B653" s="2"/>
      <c r="C653" s="2"/>
      <c r="D653" s="2" t="b">
        <f>IF(AND(NOT(ISBLANK(Table1[[#This Row],[Fetal Sex (Male, Female or Unknown)]])),ISNUMBER(Table1[[#This Row],[Birthweight (grams)]]),ISNUMBER(Table1[[#This Row],[Gestation (days)]])),TRUE,FALSE)</f>
        <v>0</v>
      </c>
      <c r="E653" s="2" t="str">
        <f>IF(Table1[[#This Row],[Is Data Valid]]=TRUE,IF(Table1[[#This Row],[Fetal Sex (Male, Female or Unknown)]]="Male",Backend!$C$6,IF(Table1[[#This Row],[Fetal Sex (Male, Female or Unknown)]]="Female",Backend!$C$7,IF(Table1[[#This Row],[Fetal Sex (Male, Female or Unknown)]]="Unknown",Backend!$C$8,"Error"))),"")</f>
        <v/>
      </c>
      <c r="F653" s="8" t="str">
        <f>IF(Table1[[#This Row],[Is Data Valid]]=TRUE,EXP(0.578+0.332*((Table1[[#This Row],[Gestation (days)]]+0.5)/7)-0.00354*((Table1[[#This Row],[Gestation (days)]]+0.5)/7)^2)*Table1[[#This Row],[BW40_3705]],"")</f>
        <v/>
      </c>
      <c r="G653" s="2" t="str">
        <f>IF(Table1[[#This Row],[Is Data Valid]]=TRUE,((Table1[[#This Row],[Birthweight (grams)]]/Table1[[#This Row],[BW_GA]])-1)/(Backend!$B$4/100*Table1[[#This Row],[BW40_3705]]),"")</f>
        <v/>
      </c>
      <c r="H653" s="7" t="str">
        <f>IF(Table1[[#This Row],[Is Data Valid]]=TRUE,((Table1[[#This Row],[Birthweight (grams)]]*0.9/Table1[[#This Row],[BW_GA]])-1)/(Backend!$B$4/100*Table1[[#This Row],[BW40_3705]]),"")</f>
        <v/>
      </c>
      <c r="I653" s="7" t="str">
        <f>IF(Table1[[#This Row],[Is Data Valid]]=TRUE,((Table1[[#This Row],[Birthweight (grams)]]*1.1/Table1[[#This Row],[BW_GA]])-1)/(Backend!$B$4/100*Table1[[#This Row],[BW40_3705]]),"")</f>
        <v/>
      </c>
      <c r="J653" s="7" t="str">
        <f>IF(Table1[[#This Row],[Is Data Valid]]=TRUE,_xlfn.NORM.S.DIST(Table1[[#This Row],[Birthweight Z-Score]],TRUE)*100,"")</f>
        <v/>
      </c>
      <c r="K653" s="7" t="str">
        <f>IF(Table1[[#This Row],[Is Data Valid]]=TRUE,_xlfn.NORM.S.DIST(Table1[[#This Row],[Birthweight Z-Score (BW-10%)]],TRUE)*100,"")</f>
        <v/>
      </c>
      <c r="L653" s="7" t="str">
        <f>IF(Table1[[#This Row],[Is Data Valid]]=TRUE,_xlfn.NORM.S.DIST(Table1[[#This Row],[Birthweight Z-Score (BW+10%)]],TRUE)*100,"")</f>
        <v/>
      </c>
    </row>
    <row r="654" spans="1:12" x14ac:dyDescent="0.35">
      <c r="A654" s="3"/>
      <c r="B654" s="2"/>
      <c r="C654" s="2"/>
      <c r="D654" s="2" t="b">
        <f>IF(AND(NOT(ISBLANK(Table1[[#This Row],[Fetal Sex (Male, Female or Unknown)]])),ISNUMBER(Table1[[#This Row],[Birthweight (grams)]]),ISNUMBER(Table1[[#This Row],[Gestation (days)]])),TRUE,FALSE)</f>
        <v>0</v>
      </c>
      <c r="E654" s="2" t="str">
        <f>IF(Table1[[#This Row],[Is Data Valid]]=TRUE,IF(Table1[[#This Row],[Fetal Sex (Male, Female or Unknown)]]="Male",Backend!$C$6,IF(Table1[[#This Row],[Fetal Sex (Male, Female or Unknown)]]="Female",Backend!$C$7,IF(Table1[[#This Row],[Fetal Sex (Male, Female or Unknown)]]="Unknown",Backend!$C$8,"Error"))),"")</f>
        <v/>
      </c>
      <c r="F654" s="8" t="str">
        <f>IF(Table1[[#This Row],[Is Data Valid]]=TRUE,EXP(0.578+0.332*((Table1[[#This Row],[Gestation (days)]]+0.5)/7)-0.00354*((Table1[[#This Row],[Gestation (days)]]+0.5)/7)^2)*Table1[[#This Row],[BW40_3705]],"")</f>
        <v/>
      </c>
      <c r="G654" s="2" t="str">
        <f>IF(Table1[[#This Row],[Is Data Valid]]=TRUE,((Table1[[#This Row],[Birthweight (grams)]]/Table1[[#This Row],[BW_GA]])-1)/(Backend!$B$4/100*Table1[[#This Row],[BW40_3705]]),"")</f>
        <v/>
      </c>
      <c r="H654" s="7" t="str">
        <f>IF(Table1[[#This Row],[Is Data Valid]]=TRUE,((Table1[[#This Row],[Birthweight (grams)]]*0.9/Table1[[#This Row],[BW_GA]])-1)/(Backend!$B$4/100*Table1[[#This Row],[BW40_3705]]),"")</f>
        <v/>
      </c>
      <c r="I654" s="7" t="str">
        <f>IF(Table1[[#This Row],[Is Data Valid]]=TRUE,((Table1[[#This Row],[Birthweight (grams)]]*1.1/Table1[[#This Row],[BW_GA]])-1)/(Backend!$B$4/100*Table1[[#This Row],[BW40_3705]]),"")</f>
        <v/>
      </c>
      <c r="J654" s="7" t="str">
        <f>IF(Table1[[#This Row],[Is Data Valid]]=TRUE,_xlfn.NORM.S.DIST(Table1[[#This Row],[Birthweight Z-Score]],TRUE)*100,"")</f>
        <v/>
      </c>
      <c r="K654" s="7" t="str">
        <f>IF(Table1[[#This Row],[Is Data Valid]]=TRUE,_xlfn.NORM.S.DIST(Table1[[#This Row],[Birthweight Z-Score (BW-10%)]],TRUE)*100,"")</f>
        <v/>
      </c>
      <c r="L654" s="7" t="str">
        <f>IF(Table1[[#This Row],[Is Data Valid]]=TRUE,_xlfn.NORM.S.DIST(Table1[[#This Row],[Birthweight Z-Score (BW+10%)]],TRUE)*100,"")</f>
        <v/>
      </c>
    </row>
    <row r="655" spans="1:12" x14ac:dyDescent="0.35">
      <c r="A655" s="3"/>
      <c r="B655" s="2"/>
      <c r="C655" s="2"/>
      <c r="D655" s="2" t="b">
        <f>IF(AND(NOT(ISBLANK(Table1[[#This Row],[Fetal Sex (Male, Female or Unknown)]])),ISNUMBER(Table1[[#This Row],[Birthweight (grams)]]),ISNUMBER(Table1[[#This Row],[Gestation (days)]])),TRUE,FALSE)</f>
        <v>0</v>
      </c>
      <c r="E655" s="2" t="str">
        <f>IF(Table1[[#This Row],[Is Data Valid]]=TRUE,IF(Table1[[#This Row],[Fetal Sex (Male, Female or Unknown)]]="Male",Backend!$C$6,IF(Table1[[#This Row],[Fetal Sex (Male, Female or Unknown)]]="Female",Backend!$C$7,IF(Table1[[#This Row],[Fetal Sex (Male, Female or Unknown)]]="Unknown",Backend!$C$8,"Error"))),"")</f>
        <v/>
      </c>
      <c r="F655" s="8" t="str">
        <f>IF(Table1[[#This Row],[Is Data Valid]]=TRUE,EXP(0.578+0.332*((Table1[[#This Row],[Gestation (days)]]+0.5)/7)-0.00354*((Table1[[#This Row],[Gestation (days)]]+0.5)/7)^2)*Table1[[#This Row],[BW40_3705]],"")</f>
        <v/>
      </c>
      <c r="G655" s="2" t="str">
        <f>IF(Table1[[#This Row],[Is Data Valid]]=TRUE,((Table1[[#This Row],[Birthweight (grams)]]/Table1[[#This Row],[BW_GA]])-1)/(Backend!$B$4/100*Table1[[#This Row],[BW40_3705]]),"")</f>
        <v/>
      </c>
      <c r="H655" s="7" t="str">
        <f>IF(Table1[[#This Row],[Is Data Valid]]=TRUE,((Table1[[#This Row],[Birthweight (grams)]]*0.9/Table1[[#This Row],[BW_GA]])-1)/(Backend!$B$4/100*Table1[[#This Row],[BW40_3705]]),"")</f>
        <v/>
      </c>
      <c r="I655" s="7" t="str">
        <f>IF(Table1[[#This Row],[Is Data Valid]]=TRUE,((Table1[[#This Row],[Birthweight (grams)]]*1.1/Table1[[#This Row],[BW_GA]])-1)/(Backend!$B$4/100*Table1[[#This Row],[BW40_3705]]),"")</f>
        <v/>
      </c>
      <c r="J655" s="7" t="str">
        <f>IF(Table1[[#This Row],[Is Data Valid]]=TRUE,_xlfn.NORM.S.DIST(Table1[[#This Row],[Birthweight Z-Score]],TRUE)*100,"")</f>
        <v/>
      </c>
      <c r="K655" s="7" t="str">
        <f>IF(Table1[[#This Row],[Is Data Valid]]=TRUE,_xlfn.NORM.S.DIST(Table1[[#This Row],[Birthweight Z-Score (BW-10%)]],TRUE)*100,"")</f>
        <v/>
      </c>
      <c r="L655" s="7" t="str">
        <f>IF(Table1[[#This Row],[Is Data Valid]]=TRUE,_xlfn.NORM.S.DIST(Table1[[#This Row],[Birthweight Z-Score (BW+10%)]],TRUE)*100,"")</f>
        <v/>
      </c>
    </row>
    <row r="656" spans="1:12" x14ac:dyDescent="0.35">
      <c r="A656" s="3"/>
      <c r="B656" s="2"/>
      <c r="C656" s="2"/>
      <c r="D656" s="2" t="b">
        <f>IF(AND(NOT(ISBLANK(Table1[[#This Row],[Fetal Sex (Male, Female or Unknown)]])),ISNUMBER(Table1[[#This Row],[Birthweight (grams)]]),ISNUMBER(Table1[[#This Row],[Gestation (days)]])),TRUE,FALSE)</f>
        <v>0</v>
      </c>
      <c r="E656" s="2" t="str">
        <f>IF(Table1[[#This Row],[Is Data Valid]]=TRUE,IF(Table1[[#This Row],[Fetal Sex (Male, Female or Unknown)]]="Male",Backend!$C$6,IF(Table1[[#This Row],[Fetal Sex (Male, Female or Unknown)]]="Female",Backend!$C$7,IF(Table1[[#This Row],[Fetal Sex (Male, Female or Unknown)]]="Unknown",Backend!$C$8,"Error"))),"")</f>
        <v/>
      </c>
      <c r="F656" s="8" t="str">
        <f>IF(Table1[[#This Row],[Is Data Valid]]=TRUE,EXP(0.578+0.332*((Table1[[#This Row],[Gestation (days)]]+0.5)/7)-0.00354*((Table1[[#This Row],[Gestation (days)]]+0.5)/7)^2)*Table1[[#This Row],[BW40_3705]],"")</f>
        <v/>
      </c>
      <c r="G656" s="2" t="str">
        <f>IF(Table1[[#This Row],[Is Data Valid]]=TRUE,((Table1[[#This Row],[Birthweight (grams)]]/Table1[[#This Row],[BW_GA]])-1)/(Backend!$B$4/100*Table1[[#This Row],[BW40_3705]]),"")</f>
        <v/>
      </c>
      <c r="H656" s="7" t="str">
        <f>IF(Table1[[#This Row],[Is Data Valid]]=TRUE,((Table1[[#This Row],[Birthweight (grams)]]*0.9/Table1[[#This Row],[BW_GA]])-1)/(Backend!$B$4/100*Table1[[#This Row],[BW40_3705]]),"")</f>
        <v/>
      </c>
      <c r="I656" s="7" t="str">
        <f>IF(Table1[[#This Row],[Is Data Valid]]=TRUE,((Table1[[#This Row],[Birthweight (grams)]]*1.1/Table1[[#This Row],[BW_GA]])-1)/(Backend!$B$4/100*Table1[[#This Row],[BW40_3705]]),"")</f>
        <v/>
      </c>
      <c r="J656" s="7" t="str">
        <f>IF(Table1[[#This Row],[Is Data Valid]]=TRUE,_xlfn.NORM.S.DIST(Table1[[#This Row],[Birthweight Z-Score]],TRUE)*100,"")</f>
        <v/>
      </c>
      <c r="K656" s="7" t="str">
        <f>IF(Table1[[#This Row],[Is Data Valid]]=TRUE,_xlfn.NORM.S.DIST(Table1[[#This Row],[Birthweight Z-Score (BW-10%)]],TRUE)*100,"")</f>
        <v/>
      </c>
      <c r="L656" s="7" t="str">
        <f>IF(Table1[[#This Row],[Is Data Valid]]=TRUE,_xlfn.NORM.S.DIST(Table1[[#This Row],[Birthweight Z-Score (BW+10%)]],TRUE)*100,"")</f>
        <v/>
      </c>
    </row>
    <row r="657" spans="1:12" x14ac:dyDescent="0.35">
      <c r="A657" s="3"/>
      <c r="B657" s="2"/>
      <c r="C657" s="2"/>
      <c r="D657" s="2" t="b">
        <f>IF(AND(NOT(ISBLANK(Table1[[#This Row],[Fetal Sex (Male, Female or Unknown)]])),ISNUMBER(Table1[[#This Row],[Birthweight (grams)]]),ISNUMBER(Table1[[#This Row],[Gestation (days)]])),TRUE,FALSE)</f>
        <v>0</v>
      </c>
      <c r="E657" s="2" t="str">
        <f>IF(Table1[[#This Row],[Is Data Valid]]=TRUE,IF(Table1[[#This Row],[Fetal Sex (Male, Female or Unknown)]]="Male",Backend!$C$6,IF(Table1[[#This Row],[Fetal Sex (Male, Female or Unknown)]]="Female",Backend!$C$7,IF(Table1[[#This Row],[Fetal Sex (Male, Female or Unknown)]]="Unknown",Backend!$C$8,"Error"))),"")</f>
        <v/>
      </c>
      <c r="F657" s="8" t="str">
        <f>IF(Table1[[#This Row],[Is Data Valid]]=TRUE,EXP(0.578+0.332*((Table1[[#This Row],[Gestation (days)]]+0.5)/7)-0.00354*((Table1[[#This Row],[Gestation (days)]]+0.5)/7)^2)*Table1[[#This Row],[BW40_3705]],"")</f>
        <v/>
      </c>
      <c r="G657" s="2" t="str">
        <f>IF(Table1[[#This Row],[Is Data Valid]]=TRUE,((Table1[[#This Row],[Birthweight (grams)]]/Table1[[#This Row],[BW_GA]])-1)/(Backend!$B$4/100*Table1[[#This Row],[BW40_3705]]),"")</f>
        <v/>
      </c>
      <c r="H657" s="7" t="str">
        <f>IF(Table1[[#This Row],[Is Data Valid]]=TRUE,((Table1[[#This Row],[Birthweight (grams)]]*0.9/Table1[[#This Row],[BW_GA]])-1)/(Backend!$B$4/100*Table1[[#This Row],[BW40_3705]]),"")</f>
        <v/>
      </c>
      <c r="I657" s="7" t="str">
        <f>IF(Table1[[#This Row],[Is Data Valid]]=TRUE,((Table1[[#This Row],[Birthweight (grams)]]*1.1/Table1[[#This Row],[BW_GA]])-1)/(Backend!$B$4/100*Table1[[#This Row],[BW40_3705]]),"")</f>
        <v/>
      </c>
      <c r="J657" s="7" t="str">
        <f>IF(Table1[[#This Row],[Is Data Valid]]=TRUE,_xlfn.NORM.S.DIST(Table1[[#This Row],[Birthweight Z-Score]],TRUE)*100,"")</f>
        <v/>
      </c>
      <c r="K657" s="7" t="str">
        <f>IF(Table1[[#This Row],[Is Data Valid]]=TRUE,_xlfn.NORM.S.DIST(Table1[[#This Row],[Birthweight Z-Score (BW-10%)]],TRUE)*100,"")</f>
        <v/>
      </c>
      <c r="L657" s="7" t="str">
        <f>IF(Table1[[#This Row],[Is Data Valid]]=TRUE,_xlfn.NORM.S.DIST(Table1[[#This Row],[Birthweight Z-Score (BW+10%)]],TRUE)*100,"")</f>
        <v/>
      </c>
    </row>
    <row r="658" spans="1:12" x14ac:dyDescent="0.35">
      <c r="A658" s="3"/>
      <c r="B658" s="2"/>
      <c r="C658" s="2"/>
      <c r="D658" s="2" t="b">
        <f>IF(AND(NOT(ISBLANK(Table1[[#This Row],[Fetal Sex (Male, Female or Unknown)]])),ISNUMBER(Table1[[#This Row],[Birthweight (grams)]]),ISNUMBER(Table1[[#This Row],[Gestation (days)]])),TRUE,FALSE)</f>
        <v>0</v>
      </c>
      <c r="E658" s="2" t="str">
        <f>IF(Table1[[#This Row],[Is Data Valid]]=TRUE,IF(Table1[[#This Row],[Fetal Sex (Male, Female or Unknown)]]="Male",Backend!$C$6,IF(Table1[[#This Row],[Fetal Sex (Male, Female or Unknown)]]="Female",Backend!$C$7,IF(Table1[[#This Row],[Fetal Sex (Male, Female or Unknown)]]="Unknown",Backend!$C$8,"Error"))),"")</f>
        <v/>
      </c>
      <c r="F658" s="8" t="str">
        <f>IF(Table1[[#This Row],[Is Data Valid]]=TRUE,EXP(0.578+0.332*((Table1[[#This Row],[Gestation (days)]]+0.5)/7)-0.00354*((Table1[[#This Row],[Gestation (days)]]+0.5)/7)^2)*Table1[[#This Row],[BW40_3705]],"")</f>
        <v/>
      </c>
      <c r="G658" s="2" t="str">
        <f>IF(Table1[[#This Row],[Is Data Valid]]=TRUE,((Table1[[#This Row],[Birthweight (grams)]]/Table1[[#This Row],[BW_GA]])-1)/(Backend!$B$4/100*Table1[[#This Row],[BW40_3705]]),"")</f>
        <v/>
      </c>
      <c r="H658" s="7" t="str">
        <f>IF(Table1[[#This Row],[Is Data Valid]]=TRUE,((Table1[[#This Row],[Birthweight (grams)]]*0.9/Table1[[#This Row],[BW_GA]])-1)/(Backend!$B$4/100*Table1[[#This Row],[BW40_3705]]),"")</f>
        <v/>
      </c>
      <c r="I658" s="7" t="str">
        <f>IF(Table1[[#This Row],[Is Data Valid]]=TRUE,((Table1[[#This Row],[Birthweight (grams)]]*1.1/Table1[[#This Row],[BW_GA]])-1)/(Backend!$B$4/100*Table1[[#This Row],[BW40_3705]]),"")</f>
        <v/>
      </c>
      <c r="J658" s="7" t="str">
        <f>IF(Table1[[#This Row],[Is Data Valid]]=TRUE,_xlfn.NORM.S.DIST(Table1[[#This Row],[Birthweight Z-Score]],TRUE)*100,"")</f>
        <v/>
      </c>
      <c r="K658" s="7" t="str">
        <f>IF(Table1[[#This Row],[Is Data Valid]]=TRUE,_xlfn.NORM.S.DIST(Table1[[#This Row],[Birthweight Z-Score (BW-10%)]],TRUE)*100,"")</f>
        <v/>
      </c>
      <c r="L658" s="7" t="str">
        <f>IF(Table1[[#This Row],[Is Data Valid]]=TRUE,_xlfn.NORM.S.DIST(Table1[[#This Row],[Birthweight Z-Score (BW+10%)]],TRUE)*100,"")</f>
        <v/>
      </c>
    </row>
    <row r="659" spans="1:12" x14ac:dyDescent="0.35">
      <c r="A659" s="3"/>
      <c r="B659" s="2"/>
      <c r="C659" s="2"/>
      <c r="D659" s="2" t="b">
        <f>IF(AND(NOT(ISBLANK(Table1[[#This Row],[Fetal Sex (Male, Female or Unknown)]])),ISNUMBER(Table1[[#This Row],[Birthweight (grams)]]),ISNUMBER(Table1[[#This Row],[Gestation (days)]])),TRUE,FALSE)</f>
        <v>0</v>
      </c>
      <c r="E659" s="2" t="str">
        <f>IF(Table1[[#This Row],[Is Data Valid]]=TRUE,IF(Table1[[#This Row],[Fetal Sex (Male, Female or Unknown)]]="Male",Backend!$C$6,IF(Table1[[#This Row],[Fetal Sex (Male, Female or Unknown)]]="Female",Backend!$C$7,IF(Table1[[#This Row],[Fetal Sex (Male, Female or Unknown)]]="Unknown",Backend!$C$8,"Error"))),"")</f>
        <v/>
      </c>
      <c r="F659" s="8" t="str">
        <f>IF(Table1[[#This Row],[Is Data Valid]]=TRUE,EXP(0.578+0.332*((Table1[[#This Row],[Gestation (days)]]+0.5)/7)-0.00354*((Table1[[#This Row],[Gestation (days)]]+0.5)/7)^2)*Table1[[#This Row],[BW40_3705]],"")</f>
        <v/>
      </c>
      <c r="G659" s="2" t="str">
        <f>IF(Table1[[#This Row],[Is Data Valid]]=TRUE,((Table1[[#This Row],[Birthweight (grams)]]/Table1[[#This Row],[BW_GA]])-1)/(Backend!$B$4/100*Table1[[#This Row],[BW40_3705]]),"")</f>
        <v/>
      </c>
      <c r="H659" s="7" t="str">
        <f>IF(Table1[[#This Row],[Is Data Valid]]=TRUE,((Table1[[#This Row],[Birthweight (grams)]]*0.9/Table1[[#This Row],[BW_GA]])-1)/(Backend!$B$4/100*Table1[[#This Row],[BW40_3705]]),"")</f>
        <v/>
      </c>
      <c r="I659" s="7" t="str">
        <f>IF(Table1[[#This Row],[Is Data Valid]]=TRUE,((Table1[[#This Row],[Birthweight (grams)]]*1.1/Table1[[#This Row],[BW_GA]])-1)/(Backend!$B$4/100*Table1[[#This Row],[BW40_3705]]),"")</f>
        <v/>
      </c>
      <c r="J659" s="7" t="str">
        <f>IF(Table1[[#This Row],[Is Data Valid]]=TRUE,_xlfn.NORM.S.DIST(Table1[[#This Row],[Birthweight Z-Score]],TRUE)*100,"")</f>
        <v/>
      </c>
      <c r="K659" s="7" t="str">
        <f>IF(Table1[[#This Row],[Is Data Valid]]=TRUE,_xlfn.NORM.S.DIST(Table1[[#This Row],[Birthweight Z-Score (BW-10%)]],TRUE)*100,"")</f>
        <v/>
      </c>
      <c r="L659" s="7" t="str">
        <f>IF(Table1[[#This Row],[Is Data Valid]]=TRUE,_xlfn.NORM.S.DIST(Table1[[#This Row],[Birthweight Z-Score (BW+10%)]],TRUE)*100,"")</f>
        <v/>
      </c>
    </row>
    <row r="660" spans="1:12" x14ac:dyDescent="0.35">
      <c r="A660" s="3"/>
      <c r="B660" s="2"/>
      <c r="C660" s="2"/>
      <c r="D660" s="2" t="b">
        <f>IF(AND(NOT(ISBLANK(Table1[[#This Row],[Fetal Sex (Male, Female or Unknown)]])),ISNUMBER(Table1[[#This Row],[Birthweight (grams)]]),ISNUMBER(Table1[[#This Row],[Gestation (days)]])),TRUE,FALSE)</f>
        <v>0</v>
      </c>
      <c r="E660" s="2" t="str">
        <f>IF(Table1[[#This Row],[Is Data Valid]]=TRUE,IF(Table1[[#This Row],[Fetal Sex (Male, Female or Unknown)]]="Male",Backend!$C$6,IF(Table1[[#This Row],[Fetal Sex (Male, Female or Unknown)]]="Female",Backend!$C$7,IF(Table1[[#This Row],[Fetal Sex (Male, Female or Unknown)]]="Unknown",Backend!$C$8,"Error"))),"")</f>
        <v/>
      </c>
      <c r="F660" s="8" t="str">
        <f>IF(Table1[[#This Row],[Is Data Valid]]=TRUE,EXP(0.578+0.332*((Table1[[#This Row],[Gestation (days)]]+0.5)/7)-0.00354*((Table1[[#This Row],[Gestation (days)]]+0.5)/7)^2)*Table1[[#This Row],[BW40_3705]],"")</f>
        <v/>
      </c>
      <c r="G660" s="2" t="str">
        <f>IF(Table1[[#This Row],[Is Data Valid]]=TRUE,((Table1[[#This Row],[Birthweight (grams)]]/Table1[[#This Row],[BW_GA]])-1)/(Backend!$B$4/100*Table1[[#This Row],[BW40_3705]]),"")</f>
        <v/>
      </c>
      <c r="H660" s="7" t="str">
        <f>IF(Table1[[#This Row],[Is Data Valid]]=TRUE,((Table1[[#This Row],[Birthweight (grams)]]*0.9/Table1[[#This Row],[BW_GA]])-1)/(Backend!$B$4/100*Table1[[#This Row],[BW40_3705]]),"")</f>
        <v/>
      </c>
      <c r="I660" s="7" t="str">
        <f>IF(Table1[[#This Row],[Is Data Valid]]=TRUE,((Table1[[#This Row],[Birthweight (grams)]]*1.1/Table1[[#This Row],[BW_GA]])-1)/(Backend!$B$4/100*Table1[[#This Row],[BW40_3705]]),"")</f>
        <v/>
      </c>
      <c r="J660" s="7" t="str">
        <f>IF(Table1[[#This Row],[Is Data Valid]]=TRUE,_xlfn.NORM.S.DIST(Table1[[#This Row],[Birthweight Z-Score]],TRUE)*100,"")</f>
        <v/>
      </c>
      <c r="K660" s="7" t="str">
        <f>IF(Table1[[#This Row],[Is Data Valid]]=TRUE,_xlfn.NORM.S.DIST(Table1[[#This Row],[Birthweight Z-Score (BW-10%)]],TRUE)*100,"")</f>
        <v/>
      </c>
      <c r="L660" s="7" t="str">
        <f>IF(Table1[[#This Row],[Is Data Valid]]=TRUE,_xlfn.NORM.S.DIST(Table1[[#This Row],[Birthweight Z-Score (BW+10%)]],TRUE)*100,"")</f>
        <v/>
      </c>
    </row>
    <row r="661" spans="1:12" x14ac:dyDescent="0.35">
      <c r="A661" s="3"/>
      <c r="B661" s="2"/>
      <c r="C661" s="2"/>
      <c r="D661" s="2" t="b">
        <f>IF(AND(NOT(ISBLANK(Table1[[#This Row],[Fetal Sex (Male, Female or Unknown)]])),ISNUMBER(Table1[[#This Row],[Birthweight (grams)]]),ISNUMBER(Table1[[#This Row],[Gestation (days)]])),TRUE,FALSE)</f>
        <v>0</v>
      </c>
      <c r="E661" s="2" t="str">
        <f>IF(Table1[[#This Row],[Is Data Valid]]=TRUE,IF(Table1[[#This Row],[Fetal Sex (Male, Female or Unknown)]]="Male",Backend!$C$6,IF(Table1[[#This Row],[Fetal Sex (Male, Female or Unknown)]]="Female",Backend!$C$7,IF(Table1[[#This Row],[Fetal Sex (Male, Female or Unknown)]]="Unknown",Backend!$C$8,"Error"))),"")</f>
        <v/>
      </c>
      <c r="F661" s="8" t="str">
        <f>IF(Table1[[#This Row],[Is Data Valid]]=TRUE,EXP(0.578+0.332*((Table1[[#This Row],[Gestation (days)]]+0.5)/7)-0.00354*((Table1[[#This Row],[Gestation (days)]]+0.5)/7)^2)*Table1[[#This Row],[BW40_3705]],"")</f>
        <v/>
      </c>
      <c r="G661" s="2" t="str">
        <f>IF(Table1[[#This Row],[Is Data Valid]]=TRUE,((Table1[[#This Row],[Birthweight (grams)]]/Table1[[#This Row],[BW_GA]])-1)/(Backend!$B$4/100*Table1[[#This Row],[BW40_3705]]),"")</f>
        <v/>
      </c>
      <c r="H661" s="7" t="str">
        <f>IF(Table1[[#This Row],[Is Data Valid]]=TRUE,((Table1[[#This Row],[Birthweight (grams)]]*0.9/Table1[[#This Row],[BW_GA]])-1)/(Backend!$B$4/100*Table1[[#This Row],[BW40_3705]]),"")</f>
        <v/>
      </c>
      <c r="I661" s="7" t="str">
        <f>IF(Table1[[#This Row],[Is Data Valid]]=TRUE,((Table1[[#This Row],[Birthweight (grams)]]*1.1/Table1[[#This Row],[BW_GA]])-1)/(Backend!$B$4/100*Table1[[#This Row],[BW40_3705]]),"")</f>
        <v/>
      </c>
      <c r="J661" s="7" t="str">
        <f>IF(Table1[[#This Row],[Is Data Valid]]=TRUE,_xlfn.NORM.S.DIST(Table1[[#This Row],[Birthweight Z-Score]],TRUE)*100,"")</f>
        <v/>
      </c>
      <c r="K661" s="7" t="str">
        <f>IF(Table1[[#This Row],[Is Data Valid]]=TRUE,_xlfn.NORM.S.DIST(Table1[[#This Row],[Birthweight Z-Score (BW-10%)]],TRUE)*100,"")</f>
        <v/>
      </c>
      <c r="L661" s="7" t="str">
        <f>IF(Table1[[#This Row],[Is Data Valid]]=TRUE,_xlfn.NORM.S.DIST(Table1[[#This Row],[Birthweight Z-Score (BW+10%)]],TRUE)*100,"")</f>
        <v/>
      </c>
    </row>
    <row r="662" spans="1:12" x14ac:dyDescent="0.35">
      <c r="A662" s="3"/>
      <c r="B662" s="2"/>
      <c r="C662" s="2"/>
      <c r="D662" s="2" t="b">
        <f>IF(AND(NOT(ISBLANK(Table1[[#This Row],[Fetal Sex (Male, Female or Unknown)]])),ISNUMBER(Table1[[#This Row],[Birthweight (grams)]]),ISNUMBER(Table1[[#This Row],[Gestation (days)]])),TRUE,FALSE)</f>
        <v>0</v>
      </c>
      <c r="E662" s="2" t="str">
        <f>IF(Table1[[#This Row],[Is Data Valid]]=TRUE,IF(Table1[[#This Row],[Fetal Sex (Male, Female or Unknown)]]="Male",Backend!$C$6,IF(Table1[[#This Row],[Fetal Sex (Male, Female or Unknown)]]="Female",Backend!$C$7,IF(Table1[[#This Row],[Fetal Sex (Male, Female or Unknown)]]="Unknown",Backend!$C$8,"Error"))),"")</f>
        <v/>
      </c>
      <c r="F662" s="8" t="str">
        <f>IF(Table1[[#This Row],[Is Data Valid]]=TRUE,EXP(0.578+0.332*((Table1[[#This Row],[Gestation (days)]]+0.5)/7)-0.00354*((Table1[[#This Row],[Gestation (days)]]+0.5)/7)^2)*Table1[[#This Row],[BW40_3705]],"")</f>
        <v/>
      </c>
      <c r="G662" s="2" t="str">
        <f>IF(Table1[[#This Row],[Is Data Valid]]=TRUE,((Table1[[#This Row],[Birthweight (grams)]]/Table1[[#This Row],[BW_GA]])-1)/(Backend!$B$4/100*Table1[[#This Row],[BW40_3705]]),"")</f>
        <v/>
      </c>
      <c r="H662" s="7" t="str">
        <f>IF(Table1[[#This Row],[Is Data Valid]]=TRUE,((Table1[[#This Row],[Birthweight (grams)]]*0.9/Table1[[#This Row],[BW_GA]])-1)/(Backend!$B$4/100*Table1[[#This Row],[BW40_3705]]),"")</f>
        <v/>
      </c>
      <c r="I662" s="7" t="str">
        <f>IF(Table1[[#This Row],[Is Data Valid]]=TRUE,((Table1[[#This Row],[Birthweight (grams)]]*1.1/Table1[[#This Row],[BW_GA]])-1)/(Backend!$B$4/100*Table1[[#This Row],[BW40_3705]]),"")</f>
        <v/>
      </c>
      <c r="J662" s="7" t="str">
        <f>IF(Table1[[#This Row],[Is Data Valid]]=TRUE,_xlfn.NORM.S.DIST(Table1[[#This Row],[Birthweight Z-Score]],TRUE)*100,"")</f>
        <v/>
      </c>
      <c r="K662" s="7" t="str">
        <f>IF(Table1[[#This Row],[Is Data Valid]]=TRUE,_xlfn.NORM.S.DIST(Table1[[#This Row],[Birthweight Z-Score (BW-10%)]],TRUE)*100,"")</f>
        <v/>
      </c>
      <c r="L662" s="7" t="str">
        <f>IF(Table1[[#This Row],[Is Data Valid]]=TRUE,_xlfn.NORM.S.DIST(Table1[[#This Row],[Birthweight Z-Score (BW+10%)]],TRUE)*100,"")</f>
        <v/>
      </c>
    </row>
    <row r="663" spans="1:12" x14ac:dyDescent="0.35">
      <c r="A663" s="3"/>
      <c r="B663" s="2"/>
      <c r="C663" s="2"/>
      <c r="D663" s="2" t="b">
        <f>IF(AND(NOT(ISBLANK(Table1[[#This Row],[Fetal Sex (Male, Female or Unknown)]])),ISNUMBER(Table1[[#This Row],[Birthweight (grams)]]),ISNUMBER(Table1[[#This Row],[Gestation (days)]])),TRUE,FALSE)</f>
        <v>0</v>
      </c>
      <c r="E663" s="2" t="str">
        <f>IF(Table1[[#This Row],[Is Data Valid]]=TRUE,IF(Table1[[#This Row],[Fetal Sex (Male, Female or Unknown)]]="Male",Backend!$C$6,IF(Table1[[#This Row],[Fetal Sex (Male, Female or Unknown)]]="Female",Backend!$C$7,IF(Table1[[#This Row],[Fetal Sex (Male, Female or Unknown)]]="Unknown",Backend!$C$8,"Error"))),"")</f>
        <v/>
      </c>
      <c r="F663" s="8" t="str">
        <f>IF(Table1[[#This Row],[Is Data Valid]]=TRUE,EXP(0.578+0.332*((Table1[[#This Row],[Gestation (days)]]+0.5)/7)-0.00354*((Table1[[#This Row],[Gestation (days)]]+0.5)/7)^2)*Table1[[#This Row],[BW40_3705]],"")</f>
        <v/>
      </c>
      <c r="G663" s="2" t="str">
        <f>IF(Table1[[#This Row],[Is Data Valid]]=TRUE,((Table1[[#This Row],[Birthweight (grams)]]/Table1[[#This Row],[BW_GA]])-1)/(Backend!$B$4/100*Table1[[#This Row],[BW40_3705]]),"")</f>
        <v/>
      </c>
      <c r="H663" s="7" t="str">
        <f>IF(Table1[[#This Row],[Is Data Valid]]=TRUE,((Table1[[#This Row],[Birthweight (grams)]]*0.9/Table1[[#This Row],[BW_GA]])-1)/(Backend!$B$4/100*Table1[[#This Row],[BW40_3705]]),"")</f>
        <v/>
      </c>
      <c r="I663" s="7" t="str">
        <f>IF(Table1[[#This Row],[Is Data Valid]]=TRUE,((Table1[[#This Row],[Birthweight (grams)]]*1.1/Table1[[#This Row],[BW_GA]])-1)/(Backend!$B$4/100*Table1[[#This Row],[BW40_3705]]),"")</f>
        <v/>
      </c>
      <c r="J663" s="7" t="str">
        <f>IF(Table1[[#This Row],[Is Data Valid]]=TRUE,_xlfn.NORM.S.DIST(Table1[[#This Row],[Birthweight Z-Score]],TRUE)*100,"")</f>
        <v/>
      </c>
      <c r="K663" s="7" t="str">
        <f>IF(Table1[[#This Row],[Is Data Valid]]=TRUE,_xlfn.NORM.S.DIST(Table1[[#This Row],[Birthweight Z-Score (BW-10%)]],TRUE)*100,"")</f>
        <v/>
      </c>
      <c r="L663" s="7" t="str">
        <f>IF(Table1[[#This Row],[Is Data Valid]]=TRUE,_xlfn.NORM.S.DIST(Table1[[#This Row],[Birthweight Z-Score (BW+10%)]],TRUE)*100,"")</f>
        <v/>
      </c>
    </row>
    <row r="664" spans="1:12" x14ac:dyDescent="0.35">
      <c r="A664" s="3"/>
      <c r="B664" s="2"/>
      <c r="C664" s="2"/>
      <c r="D664" s="2" t="b">
        <f>IF(AND(NOT(ISBLANK(Table1[[#This Row],[Fetal Sex (Male, Female or Unknown)]])),ISNUMBER(Table1[[#This Row],[Birthweight (grams)]]),ISNUMBER(Table1[[#This Row],[Gestation (days)]])),TRUE,FALSE)</f>
        <v>0</v>
      </c>
      <c r="E664" s="2" t="str">
        <f>IF(Table1[[#This Row],[Is Data Valid]]=TRUE,IF(Table1[[#This Row],[Fetal Sex (Male, Female or Unknown)]]="Male",Backend!$C$6,IF(Table1[[#This Row],[Fetal Sex (Male, Female or Unknown)]]="Female",Backend!$C$7,IF(Table1[[#This Row],[Fetal Sex (Male, Female or Unknown)]]="Unknown",Backend!$C$8,"Error"))),"")</f>
        <v/>
      </c>
      <c r="F664" s="8" t="str">
        <f>IF(Table1[[#This Row],[Is Data Valid]]=TRUE,EXP(0.578+0.332*((Table1[[#This Row],[Gestation (days)]]+0.5)/7)-0.00354*((Table1[[#This Row],[Gestation (days)]]+0.5)/7)^2)*Table1[[#This Row],[BW40_3705]],"")</f>
        <v/>
      </c>
      <c r="G664" s="2" t="str">
        <f>IF(Table1[[#This Row],[Is Data Valid]]=TRUE,((Table1[[#This Row],[Birthweight (grams)]]/Table1[[#This Row],[BW_GA]])-1)/(Backend!$B$4/100*Table1[[#This Row],[BW40_3705]]),"")</f>
        <v/>
      </c>
      <c r="H664" s="7" t="str">
        <f>IF(Table1[[#This Row],[Is Data Valid]]=TRUE,((Table1[[#This Row],[Birthweight (grams)]]*0.9/Table1[[#This Row],[BW_GA]])-1)/(Backend!$B$4/100*Table1[[#This Row],[BW40_3705]]),"")</f>
        <v/>
      </c>
      <c r="I664" s="7" t="str">
        <f>IF(Table1[[#This Row],[Is Data Valid]]=TRUE,((Table1[[#This Row],[Birthweight (grams)]]*1.1/Table1[[#This Row],[BW_GA]])-1)/(Backend!$B$4/100*Table1[[#This Row],[BW40_3705]]),"")</f>
        <v/>
      </c>
      <c r="J664" s="7" t="str">
        <f>IF(Table1[[#This Row],[Is Data Valid]]=TRUE,_xlfn.NORM.S.DIST(Table1[[#This Row],[Birthweight Z-Score]],TRUE)*100,"")</f>
        <v/>
      </c>
      <c r="K664" s="7" t="str">
        <f>IF(Table1[[#This Row],[Is Data Valid]]=TRUE,_xlfn.NORM.S.DIST(Table1[[#This Row],[Birthweight Z-Score (BW-10%)]],TRUE)*100,"")</f>
        <v/>
      </c>
      <c r="L664" s="7" t="str">
        <f>IF(Table1[[#This Row],[Is Data Valid]]=TRUE,_xlfn.NORM.S.DIST(Table1[[#This Row],[Birthweight Z-Score (BW+10%)]],TRUE)*100,"")</f>
        <v/>
      </c>
    </row>
    <row r="665" spans="1:12" x14ac:dyDescent="0.35">
      <c r="A665" s="3"/>
      <c r="B665" s="2"/>
      <c r="C665" s="2"/>
      <c r="D665" s="2" t="b">
        <f>IF(AND(NOT(ISBLANK(Table1[[#This Row],[Fetal Sex (Male, Female or Unknown)]])),ISNUMBER(Table1[[#This Row],[Birthweight (grams)]]),ISNUMBER(Table1[[#This Row],[Gestation (days)]])),TRUE,FALSE)</f>
        <v>0</v>
      </c>
      <c r="E665" s="2" t="str">
        <f>IF(Table1[[#This Row],[Is Data Valid]]=TRUE,IF(Table1[[#This Row],[Fetal Sex (Male, Female or Unknown)]]="Male",Backend!$C$6,IF(Table1[[#This Row],[Fetal Sex (Male, Female or Unknown)]]="Female",Backend!$C$7,IF(Table1[[#This Row],[Fetal Sex (Male, Female or Unknown)]]="Unknown",Backend!$C$8,"Error"))),"")</f>
        <v/>
      </c>
      <c r="F665" s="8" t="str">
        <f>IF(Table1[[#This Row],[Is Data Valid]]=TRUE,EXP(0.578+0.332*((Table1[[#This Row],[Gestation (days)]]+0.5)/7)-0.00354*((Table1[[#This Row],[Gestation (days)]]+0.5)/7)^2)*Table1[[#This Row],[BW40_3705]],"")</f>
        <v/>
      </c>
      <c r="G665" s="2" t="str">
        <f>IF(Table1[[#This Row],[Is Data Valid]]=TRUE,((Table1[[#This Row],[Birthweight (grams)]]/Table1[[#This Row],[BW_GA]])-1)/(Backend!$B$4/100*Table1[[#This Row],[BW40_3705]]),"")</f>
        <v/>
      </c>
      <c r="H665" s="7" t="str">
        <f>IF(Table1[[#This Row],[Is Data Valid]]=TRUE,((Table1[[#This Row],[Birthweight (grams)]]*0.9/Table1[[#This Row],[BW_GA]])-1)/(Backend!$B$4/100*Table1[[#This Row],[BW40_3705]]),"")</f>
        <v/>
      </c>
      <c r="I665" s="7" t="str">
        <f>IF(Table1[[#This Row],[Is Data Valid]]=TRUE,((Table1[[#This Row],[Birthweight (grams)]]*1.1/Table1[[#This Row],[BW_GA]])-1)/(Backend!$B$4/100*Table1[[#This Row],[BW40_3705]]),"")</f>
        <v/>
      </c>
      <c r="J665" s="7" t="str">
        <f>IF(Table1[[#This Row],[Is Data Valid]]=TRUE,_xlfn.NORM.S.DIST(Table1[[#This Row],[Birthweight Z-Score]],TRUE)*100,"")</f>
        <v/>
      </c>
      <c r="K665" s="7" t="str">
        <f>IF(Table1[[#This Row],[Is Data Valid]]=TRUE,_xlfn.NORM.S.DIST(Table1[[#This Row],[Birthweight Z-Score (BW-10%)]],TRUE)*100,"")</f>
        <v/>
      </c>
      <c r="L665" s="7" t="str">
        <f>IF(Table1[[#This Row],[Is Data Valid]]=TRUE,_xlfn.NORM.S.DIST(Table1[[#This Row],[Birthweight Z-Score (BW+10%)]],TRUE)*100,"")</f>
        <v/>
      </c>
    </row>
    <row r="666" spans="1:12" x14ac:dyDescent="0.35">
      <c r="A666" s="3"/>
      <c r="B666" s="2"/>
      <c r="C666" s="2"/>
      <c r="D666" s="2" t="b">
        <f>IF(AND(NOT(ISBLANK(Table1[[#This Row],[Fetal Sex (Male, Female or Unknown)]])),ISNUMBER(Table1[[#This Row],[Birthweight (grams)]]),ISNUMBER(Table1[[#This Row],[Gestation (days)]])),TRUE,FALSE)</f>
        <v>0</v>
      </c>
      <c r="E666" s="2" t="str">
        <f>IF(Table1[[#This Row],[Is Data Valid]]=TRUE,IF(Table1[[#This Row],[Fetal Sex (Male, Female or Unknown)]]="Male",Backend!$C$6,IF(Table1[[#This Row],[Fetal Sex (Male, Female or Unknown)]]="Female",Backend!$C$7,IF(Table1[[#This Row],[Fetal Sex (Male, Female or Unknown)]]="Unknown",Backend!$C$8,"Error"))),"")</f>
        <v/>
      </c>
      <c r="F666" s="8" t="str">
        <f>IF(Table1[[#This Row],[Is Data Valid]]=TRUE,EXP(0.578+0.332*((Table1[[#This Row],[Gestation (days)]]+0.5)/7)-0.00354*((Table1[[#This Row],[Gestation (days)]]+0.5)/7)^2)*Table1[[#This Row],[BW40_3705]],"")</f>
        <v/>
      </c>
      <c r="G666" s="2" t="str">
        <f>IF(Table1[[#This Row],[Is Data Valid]]=TRUE,((Table1[[#This Row],[Birthweight (grams)]]/Table1[[#This Row],[BW_GA]])-1)/(Backend!$B$4/100*Table1[[#This Row],[BW40_3705]]),"")</f>
        <v/>
      </c>
      <c r="H666" s="7" t="str">
        <f>IF(Table1[[#This Row],[Is Data Valid]]=TRUE,((Table1[[#This Row],[Birthweight (grams)]]*0.9/Table1[[#This Row],[BW_GA]])-1)/(Backend!$B$4/100*Table1[[#This Row],[BW40_3705]]),"")</f>
        <v/>
      </c>
      <c r="I666" s="7" t="str">
        <f>IF(Table1[[#This Row],[Is Data Valid]]=TRUE,((Table1[[#This Row],[Birthweight (grams)]]*1.1/Table1[[#This Row],[BW_GA]])-1)/(Backend!$B$4/100*Table1[[#This Row],[BW40_3705]]),"")</f>
        <v/>
      </c>
      <c r="J666" s="7" t="str">
        <f>IF(Table1[[#This Row],[Is Data Valid]]=TRUE,_xlfn.NORM.S.DIST(Table1[[#This Row],[Birthweight Z-Score]],TRUE)*100,"")</f>
        <v/>
      </c>
      <c r="K666" s="7" t="str">
        <f>IF(Table1[[#This Row],[Is Data Valid]]=TRUE,_xlfn.NORM.S.DIST(Table1[[#This Row],[Birthweight Z-Score (BW-10%)]],TRUE)*100,"")</f>
        <v/>
      </c>
      <c r="L666" s="7" t="str">
        <f>IF(Table1[[#This Row],[Is Data Valid]]=TRUE,_xlfn.NORM.S.DIST(Table1[[#This Row],[Birthweight Z-Score (BW+10%)]],TRUE)*100,"")</f>
        <v/>
      </c>
    </row>
    <row r="667" spans="1:12" x14ac:dyDescent="0.35">
      <c r="A667" s="3"/>
      <c r="B667" s="2"/>
      <c r="C667" s="2"/>
      <c r="D667" s="2" t="b">
        <f>IF(AND(NOT(ISBLANK(Table1[[#This Row],[Fetal Sex (Male, Female or Unknown)]])),ISNUMBER(Table1[[#This Row],[Birthweight (grams)]]),ISNUMBER(Table1[[#This Row],[Gestation (days)]])),TRUE,FALSE)</f>
        <v>0</v>
      </c>
      <c r="E667" s="2" t="str">
        <f>IF(Table1[[#This Row],[Is Data Valid]]=TRUE,IF(Table1[[#This Row],[Fetal Sex (Male, Female or Unknown)]]="Male",Backend!$C$6,IF(Table1[[#This Row],[Fetal Sex (Male, Female or Unknown)]]="Female",Backend!$C$7,IF(Table1[[#This Row],[Fetal Sex (Male, Female or Unknown)]]="Unknown",Backend!$C$8,"Error"))),"")</f>
        <v/>
      </c>
      <c r="F667" s="8" t="str">
        <f>IF(Table1[[#This Row],[Is Data Valid]]=TRUE,EXP(0.578+0.332*((Table1[[#This Row],[Gestation (days)]]+0.5)/7)-0.00354*((Table1[[#This Row],[Gestation (days)]]+0.5)/7)^2)*Table1[[#This Row],[BW40_3705]],"")</f>
        <v/>
      </c>
      <c r="G667" s="2" t="str">
        <f>IF(Table1[[#This Row],[Is Data Valid]]=TRUE,((Table1[[#This Row],[Birthweight (grams)]]/Table1[[#This Row],[BW_GA]])-1)/(Backend!$B$4/100*Table1[[#This Row],[BW40_3705]]),"")</f>
        <v/>
      </c>
      <c r="H667" s="7" t="str">
        <f>IF(Table1[[#This Row],[Is Data Valid]]=TRUE,((Table1[[#This Row],[Birthweight (grams)]]*0.9/Table1[[#This Row],[BW_GA]])-1)/(Backend!$B$4/100*Table1[[#This Row],[BW40_3705]]),"")</f>
        <v/>
      </c>
      <c r="I667" s="7" t="str">
        <f>IF(Table1[[#This Row],[Is Data Valid]]=TRUE,((Table1[[#This Row],[Birthweight (grams)]]*1.1/Table1[[#This Row],[BW_GA]])-1)/(Backend!$B$4/100*Table1[[#This Row],[BW40_3705]]),"")</f>
        <v/>
      </c>
      <c r="J667" s="7" t="str">
        <f>IF(Table1[[#This Row],[Is Data Valid]]=TRUE,_xlfn.NORM.S.DIST(Table1[[#This Row],[Birthweight Z-Score]],TRUE)*100,"")</f>
        <v/>
      </c>
      <c r="K667" s="7" t="str">
        <f>IF(Table1[[#This Row],[Is Data Valid]]=TRUE,_xlfn.NORM.S.DIST(Table1[[#This Row],[Birthweight Z-Score (BW-10%)]],TRUE)*100,"")</f>
        <v/>
      </c>
      <c r="L667" s="7" t="str">
        <f>IF(Table1[[#This Row],[Is Data Valid]]=TRUE,_xlfn.NORM.S.DIST(Table1[[#This Row],[Birthweight Z-Score (BW+10%)]],TRUE)*100,"")</f>
        <v/>
      </c>
    </row>
    <row r="668" spans="1:12" x14ac:dyDescent="0.35">
      <c r="A668" s="3"/>
      <c r="B668" s="2"/>
      <c r="C668" s="2"/>
      <c r="D668" s="2" t="b">
        <f>IF(AND(NOT(ISBLANK(Table1[[#This Row],[Fetal Sex (Male, Female or Unknown)]])),ISNUMBER(Table1[[#This Row],[Birthweight (grams)]]),ISNUMBER(Table1[[#This Row],[Gestation (days)]])),TRUE,FALSE)</f>
        <v>0</v>
      </c>
      <c r="E668" s="2" t="str">
        <f>IF(Table1[[#This Row],[Is Data Valid]]=TRUE,IF(Table1[[#This Row],[Fetal Sex (Male, Female or Unknown)]]="Male",Backend!$C$6,IF(Table1[[#This Row],[Fetal Sex (Male, Female or Unknown)]]="Female",Backend!$C$7,IF(Table1[[#This Row],[Fetal Sex (Male, Female or Unknown)]]="Unknown",Backend!$C$8,"Error"))),"")</f>
        <v/>
      </c>
      <c r="F668" s="8" t="str">
        <f>IF(Table1[[#This Row],[Is Data Valid]]=TRUE,EXP(0.578+0.332*((Table1[[#This Row],[Gestation (days)]]+0.5)/7)-0.00354*((Table1[[#This Row],[Gestation (days)]]+0.5)/7)^2)*Table1[[#This Row],[BW40_3705]],"")</f>
        <v/>
      </c>
      <c r="G668" s="2" t="str">
        <f>IF(Table1[[#This Row],[Is Data Valid]]=TRUE,((Table1[[#This Row],[Birthweight (grams)]]/Table1[[#This Row],[BW_GA]])-1)/(Backend!$B$4/100*Table1[[#This Row],[BW40_3705]]),"")</f>
        <v/>
      </c>
      <c r="H668" s="7" t="str">
        <f>IF(Table1[[#This Row],[Is Data Valid]]=TRUE,((Table1[[#This Row],[Birthweight (grams)]]*0.9/Table1[[#This Row],[BW_GA]])-1)/(Backend!$B$4/100*Table1[[#This Row],[BW40_3705]]),"")</f>
        <v/>
      </c>
      <c r="I668" s="7" t="str">
        <f>IF(Table1[[#This Row],[Is Data Valid]]=TRUE,((Table1[[#This Row],[Birthweight (grams)]]*1.1/Table1[[#This Row],[BW_GA]])-1)/(Backend!$B$4/100*Table1[[#This Row],[BW40_3705]]),"")</f>
        <v/>
      </c>
      <c r="J668" s="7" t="str">
        <f>IF(Table1[[#This Row],[Is Data Valid]]=TRUE,_xlfn.NORM.S.DIST(Table1[[#This Row],[Birthweight Z-Score]],TRUE)*100,"")</f>
        <v/>
      </c>
      <c r="K668" s="7" t="str">
        <f>IF(Table1[[#This Row],[Is Data Valid]]=TRUE,_xlfn.NORM.S.DIST(Table1[[#This Row],[Birthweight Z-Score (BW-10%)]],TRUE)*100,"")</f>
        <v/>
      </c>
      <c r="L668" s="7" t="str">
        <f>IF(Table1[[#This Row],[Is Data Valid]]=TRUE,_xlfn.NORM.S.DIST(Table1[[#This Row],[Birthweight Z-Score (BW+10%)]],TRUE)*100,"")</f>
        <v/>
      </c>
    </row>
    <row r="669" spans="1:12" x14ac:dyDescent="0.35">
      <c r="A669" s="3"/>
      <c r="B669" s="2"/>
      <c r="C669" s="2"/>
      <c r="D669" s="2" t="b">
        <f>IF(AND(NOT(ISBLANK(Table1[[#This Row],[Fetal Sex (Male, Female or Unknown)]])),ISNUMBER(Table1[[#This Row],[Birthweight (grams)]]),ISNUMBER(Table1[[#This Row],[Gestation (days)]])),TRUE,FALSE)</f>
        <v>0</v>
      </c>
      <c r="E669" s="2" t="str">
        <f>IF(Table1[[#This Row],[Is Data Valid]]=TRUE,IF(Table1[[#This Row],[Fetal Sex (Male, Female or Unknown)]]="Male",Backend!$C$6,IF(Table1[[#This Row],[Fetal Sex (Male, Female or Unknown)]]="Female",Backend!$C$7,IF(Table1[[#This Row],[Fetal Sex (Male, Female or Unknown)]]="Unknown",Backend!$C$8,"Error"))),"")</f>
        <v/>
      </c>
      <c r="F669" s="8" t="str">
        <f>IF(Table1[[#This Row],[Is Data Valid]]=TRUE,EXP(0.578+0.332*((Table1[[#This Row],[Gestation (days)]]+0.5)/7)-0.00354*((Table1[[#This Row],[Gestation (days)]]+0.5)/7)^2)*Table1[[#This Row],[BW40_3705]],"")</f>
        <v/>
      </c>
      <c r="G669" s="2" t="str">
        <f>IF(Table1[[#This Row],[Is Data Valid]]=TRUE,((Table1[[#This Row],[Birthweight (grams)]]/Table1[[#This Row],[BW_GA]])-1)/(Backend!$B$4/100*Table1[[#This Row],[BW40_3705]]),"")</f>
        <v/>
      </c>
      <c r="H669" s="7" t="str">
        <f>IF(Table1[[#This Row],[Is Data Valid]]=TRUE,((Table1[[#This Row],[Birthweight (grams)]]*0.9/Table1[[#This Row],[BW_GA]])-1)/(Backend!$B$4/100*Table1[[#This Row],[BW40_3705]]),"")</f>
        <v/>
      </c>
      <c r="I669" s="7" t="str">
        <f>IF(Table1[[#This Row],[Is Data Valid]]=TRUE,((Table1[[#This Row],[Birthweight (grams)]]*1.1/Table1[[#This Row],[BW_GA]])-1)/(Backend!$B$4/100*Table1[[#This Row],[BW40_3705]]),"")</f>
        <v/>
      </c>
      <c r="J669" s="7" t="str">
        <f>IF(Table1[[#This Row],[Is Data Valid]]=TRUE,_xlfn.NORM.S.DIST(Table1[[#This Row],[Birthweight Z-Score]],TRUE)*100,"")</f>
        <v/>
      </c>
      <c r="K669" s="7" t="str">
        <f>IF(Table1[[#This Row],[Is Data Valid]]=TRUE,_xlfn.NORM.S.DIST(Table1[[#This Row],[Birthweight Z-Score (BW-10%)]],TRUE)*100,"")</f>
        <v/>
      </c>
      <c r="L669" s="7" t="str">
        <f>IF(Table1[[#This Row],[Is Data Valid]]=TRUE,_xlfn.NORM.S.DIST(Table1[[#This Row],[Birthweight Z-Score (BW+10%)]],TRUE)*100,"")</f>
        <v/>
      </c>
    </row>
    <row r="670" spans="1:12" x14ac:dyDescent="0.35">
      <c r="A670" s="3"/>
      <c r="B670" s="2"/>
      <c r="C670" s="2"/>
      <c r="D670" s="2" t="b">
        <f>IF(AND(NOT(ISBLANK(Table1[[#This Row],[Fetal Sex (Male, Female or Unknown)]])),ISNUMBER(Table1[[#This Row],[Birthweight (grams)]]),ISNUMBER(Table1[[#This Row],[Gestation (days)]])),TRUE,FALSE)</f>
        <v>0</v>
      </c>
      <c r="E670" s="2" t="str">
        <f>IF(Table1[[#This Row],[Is Data Valid]]=TRUE,IF(Table1[[#This Row],[Fetal Sex (Male, Female or Unknown)]]="Male",Backend!$C$6,IF(Table1[[#This Row],[Fetal Sex (Male, Female or Unknown)]]="Female",Backend!$C$7,IF(Table1[[#This Row],[Fetal Sex (Male, Female or Unknown)]]="Unknown",Backend!$C$8,"Error"))),"")</f>
        <v/>
      </c>
      <c r="F670" s="8" t="str">
        <f>IF(Table1[[#This Row],[Is Data Valid]]=TRUE,EXP(0.578+0.332*((Table1[[#This Row],[Gestation (days)]]+0.5)/7)-0.00354*((Table1[[#This Row],[Gestation (days)]]+0.5)/7)^2)*Table1[[#This Row],[BW40_3705]],"")</f>
        <v/>
      </c>
      <c r="G670" s="2" t="str">
        <f>IF(Table1[[#This Row],[Is Data Valid]]=TRUE,((Table1[[#This Row],[Birthweight (grams)]]/Table1[[#This Row],[BW_GA]])-1)/(Backend!$B$4/100*Table1[[#This Row],[BW40_3705]]),"")</f>
        <v/>
      </c>
      <c r="H670" s="7" t="str">
        <f>IF(Table1[[#This Row],[Is Data Valid]]=TRUE,((Table1[[#This Row],[Birthweight (grams)]]*0.9/Table1[[#This Row],[BW_GA]])-1)/(Backend!$B$4/100*Table1[[#This Row],[BW40_3705]]),"")</f>
        <v/>
      </c>
      <c r="I670" s="7" t="str">
        <f>IF(Table1[[#This Row],[Is Data Valid]]=TRUE,((Table1[[#This Row],[Birthweight (grams)]]*1.1/Table1[[#This Row],[BW_GA]])-1)/(Backend!$B$4/100*Table1[[#This Row],[BW40_3705]]),"")</f>
        <v/>
      </c>
      <c r="J670" s="7" t="str">
        <f>IF(Table1[[#This Row],[Is Data Valid]]=TRUE,_xlfn.NORM.S.DIST(Table1[[#This Row],[Birthweight Z-Score]],TRUE)*100,"")</f>
        <v/>
      </c>
      <c r="K670" s="7" t="str">
        <f>IF(Table1[[#This Row],[Is Data Valid]]=TRUE,_xlfn.NORM.S.DIST(Table1[[#This Row],[Birthweight Z-Score (BW-10%)]],TRUE)*100,"")</f>
        <v/>
      </c>
      <c r="L670" s="7" t="str">
        <f>IF(Table1[[#This Row],[Is Data Valid]]=TRUE,_xlfn.NORM.S.DIST(Table1[[#This Row],[Birthweight Z-Score (BW+10%)]],TRUE)*100,"")</f>
        <v/>
      </c>
    </row>
    <row r="671" spans="1:12" x14ac:dyDescent="0.35">
      <c r="A671" s="3"/>
      <c r="B671" s="2"/>
      <c r="C671" s="2"/>
      <c r="D671" s="2" t="b">
        <f>IF(AND(NOT(ISBLANK(Table1[[#This Row],[Fetal Sex (Male, Female or Unknown)]])),ISNUMBER(Table1[[#This Row],[Birthweight (grams)]]),ISNUMBER(Table1[[#This Row],[Gestation (days)]])),TRUE,FALSE)</f>
        <v>0</v>
      </c>
      <c r="E671" s="2" t="str">
        <f>IF(Table1[[#This Row],[Is Data Valid]]=TRUE,IF(Table1[[#This Row],[Fetal Sex (Male, Female or Unknown)]]="Male",Backend!$C$6,IF(Table1[[#This Row],[Fetal Sex (Male, Female or Unknown)]]="Female",Backend!$C$7,IF(Table1[[#This Row],[Fetal Sex (Male, Female or Unknown)]]="Unknown",Backend!$C$8,"Error"))),"")</f>
        <v/>
      </c>
      <c r="F671" s="8" t="str">
        <f>IF(Table1[[#This Row],[Is Data Valid]]=TRUE,EXP(0.578+0.332*((Table1[[#This Row],[Gestation (days)]]+0.5)/7)-0.00354*((Table1[[#This Row],[Gestation (days)]]+0.5)/7)^2)*Table1[[#This Row],[BW40_3705]],"")</f>
        <v/>
      </c>
      <c r="G671" s="2" t="str">
        <f>IF(Table1[[#This Row],[Is Data Valid]]=TRUE,((Table1[[#This Row],[Birthweight (grams)]]/Table1[[#This Row],[BW_GA]])-1)/(Backend!$B$4/100*Table1[[#This Row],[BW40_3705]]),"")</f>
        <v/>
      </c>
      <c r="H671" s="7" t="str">
        <f>IF(Table1[[#This Row],[Is Data Valid]]=TRUE,((Table1[[#This Row],[Birthweight (grams)]]*0.9/Table1[[#This Row],[BW_GA]])-1)/(Backend!$B$4/100*Table1[[#This Row],[BW40_3705]]),"")</f>
        <v/>
      </c>
      <c r="I671" s="7" t="str">
        <f>IF(Table1[[#This Row],[Is Data Valid]]=TRUE,((Table1[[#This Row],[Birthweight (grams)]]*1.1/Table1[[#This Row],[BW_GA]])-1)/(Backend!$B$4/100*Table1[[#This Row],[BW40_3705]]),"")</f>
        <v/>
      </c>
      <c r="J671" s="7" t="str">
        <f>IF(Table1[[#This Row],[Is Data Valid]]=TRUE,_xlfn.NORM.S.DIST(Table1[[#This Row],[Birthweight Z-Score]],TRUE)*100,"")</f>
        <v/>
      </c>
      <c r="K671" s="7" t="str">
        <f>IF(Table1[[#This Row],[Is Data Valid]]=TRUE,_xlfn.NORM.S.DIST(Table1[[#This Row],[Birthweight Z-Score (BW-10%)]],TRUE)*100,"")</f>
        <v/>
      </c>
      <c r="L671" s="7" t="str">
        <f>IF(Table1[[#This Row],[Is Data Valid]]=TRUE,_xlfn.NORM.S.DIST(Table1[[#This Row],[Birthweight Z-Score (BW+10%)]],TRUE)*100,"")</f>
        <v/>
      </c>
    </row>
    <row r="672" spans="1:12" x14ac:dyDescent="0.35">
      <c r="A672" s="3"/>
      <c r="B672" s="2"/>
      <c r="C672" s="2"/>
      <c r="D672" s="2" t="b">
        <f>IF(AND(NOT(ISBLANK(Table1[[#This Row],[Fetal Sex (Male, Female or Unknown)]])),ISNUMBER(Table1[[#This Row],[Birthweight (grams)]]),ISNUMBER(Table1[[#This Row],[Gestation (days)]])),TRUE,FALSE)</f>
        <v>0</v>
      </c>
      <c r="E672" s="2" t="str">
        <f>IF(Table1[[#This Row],[Is Data Valid]]=TRUE,IF(Table1[[#This Row],[Fetal Sex (Male, Female or Unknown)]]="Male",Backend!$C$6,IF(Table1[[#This Row],[Fetal Sex (Male, Female or Unknown)]]="Female",Backend!$C$7,IF(Table1[[#This Row],[Fetal Sex (Male, Female or Unknown)]]="Unknown",Backend!$C$8,"Error"))),"")</f>
        <v/>
      </c>
      <c r="F672" s="8" t="str">
        <f>IF(Table1[[#This Row],[Is Data Valid]]=TRUE,EXP(0.578+0.332*((Table1[[#This Row],[Gestation (days)]]+0.5)/7)-0.00354*((Table1[[#This Row],[Gestation (days)]]+0.5)/7)^2)*Table1[[#This Row],[BW40_3705]],"")</f>
        <v/>
      </c>
      <c r="G672" s="2" t="str">
        <f>IF(Table1[[#This Row],[Is Data Valid]]=TRUE,((Table1[[#This Row],[Birthweight (grams)]]/Table1[[#This Row],[BW_GA]])-1)/(Backend!$B$4/100*Table1[[#This Row],[BW40_3705]]),"")</f>
        <v/>
      </c>
      <c r="H672" s="7" t="str">
        <f>IF(Table1[[#This Row],[Is Data Valid]]=TRUE,((Table1[[#This Row],[Birthweight (grams)]]*0.9/Table1[[#This Row],[BW_GA]])-1)/(Backend!$B$4/100*Table1[[#This Row],[BW40_3705]]),"")</f>
        <v/>
      </c>
      <c r="I672" s="7" t="str">
        <f>IF(Table1[[#This Row],[Is Data Valid]]=TRUE,((Table1[[#This Row],[Birthweight (grams)]]*1.1/Table1[[#This Row],[BW_GA]])-1)/(Backend!$B$4/100*Table1[[#This Row],[BW40_3705]]),"")</f>
        <v/>
      </c>
      <c r="J672" s="7" t="str">
        <f>IF(Table1[[#This Row],[Is Data Valid]]=TRUE,_xlfn.NORM.S.DIST(Table1[[#This Row],[Birthweight Z-Score]],TRUE)*100,"")</f>
        <v/>
      </c>
      <c r="K672" s="7" t="str">
        <f>IF(Table1[[#This Row],[Is Data Valid]]=TRUE,_xlfn.NORM.S.DIST(Table1[[#This Row],[Birthweight Z-Score (BW-10%)]],TRUE)*100,"")</f>
        <v/>
      </c>
      <c r="L672" s="7" t="str">
        <f>IF(Table1[[#This Row],[Is Data Valid]]=TRUE,_xlfn.NORM.S.DIST(Table1[[#This Row],[Birthweight Z-Score (BW+10%)]],TRUE)*100,"")</f>
        <v/>
      </c>
    </row>
    <row r="673" spans="1:12" x14ac:dyDescent="0.35">
      <c r="A673" s="3"/>
      <c r="B673" s="2"/>
      <c r="C673" s="2"/>
      <c r="D673" s="2" t="b">
        <f>IF(AND(NOT(ISBLANK(Table1[[#This Row],[Fetal Sex (Male, Female or Unknown)]])),ISNUMBER(Table1[[#This Row],[Birthweight (grams)]]),ISNUMBER(Table1[[#This Row],[Gestation (days)]])),TRUE,FALSE)</f>
        <v>0</v>
      </c>
      <c r="E673" s="2" t="str">
        <f>IF(Table1[[#This Row],[Is Data Valid]]=TRUE,IF(Table1[[#This Row],[Fetal Sex (Male, Female or Unknown)]]="Male",Backend!$C$6,IF(Table1[[#This Row],[Fetal Sex (Male, Female or Unknown)]]="Female",Backend!$C$7,IF(Table1[[#This Row],[Fetal Sex (Male, Female or Unknown)]]="Unknown",Backend!$C$8,"Error"))),"")</f>
        <v/>
      </c>
      <c r="F673" s="8" t="str">
        <f>IF(Table1[[#This Row],[Is Data Valid]]=TRUE,EXP(0.578+0.332*((Table1[[#This Row],[Gestation (days)]]+0.5)/7)-0.00354*((Table1[[#This Row],[Gestation (days)]]+0.5)/7)^2)*Table1[[#This Row],[BW40_3705]],"")</f>
        <v/>
      </c>
      <c r="G673" s="2" t="str">
        <f>IF(Table1[[#This Row],[Is Data Valid]]=TRUE,((Table1[[#This Row],[Birthweight (grams)]]/Table1[[#This Row],[BW_GA]])-1)/(Backend!$B$4/100*Table1[[#This Row],[BW40_3705]]),"")</f>
        <v/>
      </c>
      <c r="H673" s="7" t="str">
        <f>IF(Table1[[#This Row],[Is Data Valid]]=TRUE,((Table1[[#This Row],[Birthweight (grams)]]*0.9/Table1[[#This Row],[BW_GA]])-1)/(Backend!$B$4/100*Table1[[#This Row],[BW40_3705]]),"")</f>
        <v/>
      </c>
      <c r="I673" s="7" t="str">
        <f>IF(Table1[[#This Row],[Is Data Valid]]=TRUE,((Table1[[#This Row],[Birthweight (grams)]]*1.1/Table1[[#This Row],[BW_GA]])-1)/(Backend!$B$4/100*Table1[[#This Row],[BW40_3705]]),"")</f>
        <v/>
      </c>
      <c r="J673" s="7" t="str">
        <f>IF(Table1[[#This Row],[Is Data Valid]]=TRUE,_xlfn.NORM.S.DIST(Table1[[#This Row],[Birthweight Z-Score]],TRUE)*100,"")</f>
        <v/>
      </c>
      <c r="K673" s="7" t="str">
        <f>IF(Table1[[#This Row],[Is Data Valid]]=TRUE,_xlfn.NORM.S.DIST(Table1[[#This Row],[Birthweight Z-Score (BW-10%)]],TRUE)*100,"")</f>
        <v/>
      </c>
      <c r="L673" s="7" t="str">
        <f>IF(Table1[[#This Row],[Is Data Valid]]=TRUE,_xlfn.NORM.S.DIST(Table1[[#This Row],[Birthweight Z-Score (BW+10%)]],TRUE)*100,"")</f>
        <v/>
      </c>
    </row>
    <row r="674" spans="1:12" x14ac:dyDescent="0.35">
      <c r="A674" s="3"/>
      <c r="B674" s="2"/>
      <c r="C674" s="2"/>
      <c r="D674" s="2" t="b">
        <f>IF(AND(NOT(ISBLANK(Table1[[#This Row],[Fetal Sex (Male, Female or Unknown)]])),ISNUMBER(Table1[[#This Row],[Birthweight (grams)]]),ISNUMBER(Table1[[#This Row],[Gestation (days)]])),TRUE,FALSE)</f>
        <v>0</v>
      </c>
      <c r="E674" s="2" t="str">
        <f>IF(Table1[[#This Row],[Is Data Valid]]=TRUE,IF(Table1[[#This Row],[Fetal Sex (Male, Female or Unknown)]]="Male",Backend!$C$6,IF(Table1[[#This Row],[Fetal Sex (Male, Female or Unknown)]]="Female",Backend!$C$7,IF(Table1[[#This Row],[Fetal Sex (Male, Female or Unknown)]]="Unknown",Backend!$C$8,"Error"))),"")</f>
        <v/>
      </c>
      <c r="F674" s="8" t="str">
        <f>IF(Table1[[#This Row],[Is Data Valid]]=TRUE,EXP(0.578+0.332*((Table1[[#This Row],[Gestation (days)]]+0.5)/7)-0.00354*((Table1[[#This Row],[Gestation (days)]]+0.5)/7)^2)*Table1[[#This Row],[BW40_3705]],"")</f>
        <v/>
      </c>
      <c r="G674" s="2" t="str">
        <f>IF(Table1[[#This Row],[Is Data Valid]]=TRUE,((Table1[[#This Row],[Birthweight (grams)]]/Table1[[#This Row],[BW_GA]])-1)/(Backend!$B$4/100*Table1[[#This Row],[BW40_3705]]),"")</f>
        <v/>
      </c>
      <c r="H674" s="7" t="str">
        <f>IF(Table1[[#This Row],[Is Data Valid]]=TRUE,((Table1[[#This Row],[Birthweight (grams)]]*0.9/Table1[[#This Row],[BW_GA]])-1)/(Backend!$B$4/100*Table1[[#This Row],[BW40_3705]]),"")</f>
        <v/>
      </c>
      <c r="I674" s="7" t="str">
        <f>IF(Table1[[#This Row],[Is Data Valid]]=TRUE,((Table1[[#This Row],[Birthweight (grams)]]*1.1/Table1[[#This Row],[BW_GA]])-1)/(Backend!$B$4/100*Table1[[#This Row],[BW40_3705]]),"")</f>
        <v/>
      </c>
      <c r="J674" s="7" t="str">
        <f>IF(Table1[[#This Row],[Is Data Valid]]=TRUE,_xlfn.NORM.S.DIST(Table1[[#This Row],[Birthweight Z-Score]],TRUE)*100,"")</f>
        <v/>
      </c>
      <c r="K674" s="7" t="str">
        <f>IF(Table1[[#This Row],[Is Data Valid]]=TRUE,_xlfn.NORM.S.DIST(Table1[[#This Row],[Birthweight Z-Score (BW-10%)]],TRUE)*100,"")</f>
        <v/>
      </c>
      <c r="L674" s="7" t="str">
        <f>IF(Table1[[#This Row],[Is Data Valid]]=TRUE,_xlfn.NORM.S.DIST(Table1[[#This Row],[Birthweight Z-Score (BW+10%)]],TRUE)*100,"")</f>
        <v/>
      </c>
    </row>
    <row r="675" spans="1:12" x14ac:dyDescent="0.35">
      <c r="A675" s="3"/>
      <c r="B675" s="2"/>
      <c r="C675" s="2"/>
      <c r="D675" s="2" t="b">
        <f>IF(AND(NOT(ISBLANK(Table1[[#This Row],[Fetal Sex (Male, Female or Unknown)]])),ISNUMBER(Table1[[#This Row],[Birthweight (grams)]]),ISNUMBER(Table1[[#This Row],[Gestation (days)]])),TRUE,FALSE)</f>
        <v>0</v>
      </c>
      <c r="E675" s="2" t="str">
        <f>IF(Table1[[#This Row],[Is Data Valid]]=TRUE,IF(Table1[[#This Row],[Fetal Sex (Male, Female or Unknown)]]="Male",Backend!$C$6,IF(Table1[[#This Row],[Fetal Sex (Male, Female or Unknown)]]="Female",Backend!$C$7,IF(Table1[[#This Row],[Fetal Sex (Male, Female or Unknown)]]="Unknown",Backend!$C$8,"Error"))),"")</f>
        <v/>
      </c>
      <c r="F675" s="8" t="str">
        <f>IF(Table1[[#This Row],[Is Data Valid]]=TRUE,EXP(0.578+0.332*((Table1[[#This Row],[Gestation (days)]]+0.5)/7)-0.00354*((Table1[[#This Row],[Gestation (days)]]+0.5)/7)^2)*Table1[[#This Row],[BW40_3705]],"")</f>
        <v/>
      </c>
      <c r="G675" s="2" t="str">
        <f>IF(Table1[[#This Row],[Is Data Valid]]=TRUE,((Table1[[#This Row],[Birthweight (grams)]]/Table1[[#This Row],[BW_GA]])-1)/(Backend!$B$4/100*Table1[[#This Row],[BW40_3705]]),"")</f>
        <v/>
      </c>
      <c r="H675" s="7" t="str">
        <f>IF(Table1[[#This Row],[Is Data Valid]]=TRUE,((Table1[[#This Row],[Birthweight (grams)]]*0.9/Table1[[#This Row],[BW_GA]])-1)/(Backend!$B$4/100*Table1[[#This Row],[BW40_3705]]),"")</f>
        <v/>
      </c>
      <c r="I675" s="7" t="str">
        <f>IF(Table1[[#This Row],[Is Data Valid]]=TRUE,((Table1[[#This Row],[Birthweight (grams)]]*1.1/Table1[[#This Row],[BW_GA]])-1)/(Backend!$B$4/100*Table1[[#This Row],[BW40_3705]]),"")</f>
        <v/>
      </c>
      <c r="J675" s="7" t="str">
        <f>IF(Table1[[#This Row],[Is Data Valid]]=TRUE,_xlfn.NORM.S.DIST(Table1[[#This Row],[Birthweight Z-Score]],TRUE)*100,"")</f>
        <v/>
      </c>
      <c r="K675" s="7" t="str">
        <f>IF(Table1[[#This Row],[Is Data Valid]]=TRUE,_xlfn.NORM.S.DIST(Table1[[#This Row],[Birthweight Z-Score (BW-10%)]],TRUE)*100,"")</f>
        <v/>
      </c>
      <c r="L675" s="7" t="str">
        <f>IF(Table1[[#This Row],[Is Data Valid]]=TRUE,_xlfn.NORM.S.DIST(Table1[[#This Row],[Birthweight Z-Score (BW+10%)]],TRUE)*100,"")</f>
        <v/>
      </c>
    </row>
    <row r="676" spans="1:12" x14ac:dyDescent="0.35">
      <c r="A676" s="3"/>
      <c r="B676" s="2"/>
      <c r="C676" s="2"/>
      <c r="D676" s="2" t="b">
        <f>IF(AND(NOT(ISBLANK(Table1[[#This Row],[Fetal Sex (Male, Female or Unknown)]])),ISNUMBER(Table1[[#This Row],[Birthweight (grams)]]),ISNUMBER(Table1[[#This Row],[Gestation (days)]])),TRUE,FALSE)</f>
        <v>0</v>
      </c>
      <c r="E676" s="2" t="str">
        <f>IF(Table1[[#This Row],[Is Data Valid]]=TRUE,IF(Table1[[#This Row],[Fetal Sex (Male, Female or Unknown)]]="Male",Backend!$C$6,IF(Table1[[#This Row],[Fetal Sex (Male, Female or Unknown)]]="Female",Backend!$C$7,IF(Table1[[#This Row],[Fetal Sex (Male, Female or Unknown)]]="Unknown",Backend!$C$8,"Error"))),"")</f>
        <v/>
      </c>
      <c r="F676" s="8" t="str">
        <f>IF(Table1[[#This Row],[Is Data Valid]]=TRUE,EXP(0.578+0.332*((Table1[[#This Row],[Gestation (days)]]+0.5)/7)-0.00354*((Table1[[#This Row],[Gestation (days)]]+0.5)/7)^2)*Table1[[#This Row],[BW40_3705]],"")</f>
        <v/>
      </c>
      <c r="G676" s="2" t="str">
        <f>IF(Table1[[#This Row],[Is Data Valid]]=TRUE,((Table1[[#This Row],[Birthweight (grams)]]/Table1[[#This Row],[BW_GA]])-1)/(Backend!$B$4/100*Table1[[#This Row],[BW40_3705]]),"")</f>
        <v/>
      </c>
      <c r="H676" s="7" t="str">
        <f>IF(Table1[[#This Row],[Is Data Valid]]=TRUE,((Table1[[#This Row],[Birthweight (grams)]]*0.9/Table1[[#This Row],[BW_GA]])-1)/(Backend!$B$4/100*Table1[[#This Row],[BW40_3705]]),"")</f>
        <v/>
      </c>
      <c r="I676" s="7" t="str">
        <f>IF(Table1[[#This Row],[Is Data Valid]]=TRUE,((Table1[[#This Row],[Birthweight (grams)]]*1.1/Table1[[#This Row],[BW_GA]])-1)/(Backend!$B$4/100*Table1[[#This Row],[BW40_3705]]),"")</f>
        <v/>
      </c>
      <c r="J676" s="7" t="str">
        <f>IF(Table1[[#This Row],[Is Data Valid]]=TRUE,_xlfn.NORM.S.DIST(Table1[[#This Row],[Birthweight Z-Score]],TRUE)*100,"")</f>
        <v/>
      </c>
      <c r="K676" s="7" t="str">
        <f>IF(Table1[[#This Row],[Is Data Valid]]=TRUE,_xlfn.NORM.S.DIST(Table1[[#This Row],[Birthweight Z-Score (BW-10%)]],TRUE)*100,"")</f>
        <v/>
      </c>
      <c r="L676" s="7" t="str">
        <f>IF(Table1[[#This Row],[Is Data Valid]]=TRUE,_xlfn.NORM.S.DIST(Table1[[#This Row],[Birthweight Z-Score (BW+10%)]],TRUE)*100,"")</f>
        <v/>
      </c>
    </row>
    <row r="677" spans="1:12" x14ac:dyDescent="0.35">
      <c r="A677" s="3"/>
      <c r="B677" s="2"/>
      <c r="C677" s="2"/>
      <c r="D677" s="2" t="b">
        <f>IF(AND(NOT(ISBLANK(Table1[[#This Row],[Fetal Sex (Male, Female or Unknown)]])),ISNUMBER(Table1[[#This Row],[Birthweight (grams)]]),ISNUMBER(Table1[[#This Row],[Gestation (days)]])),TRUE,FALSE)</f>
        <v>0</v>
      </c>
      <c r="E677" s="2" t="str">
        <f>IF(Table1[[#This Row],[Is Data Valid]]=TRUE,IF(Table1[[#This Row],[Fetal Sex (Male, Female or Unknown)]]="Male",Backend!$C$6,IF(Table1[[#This Row],[Fetal Sex (Male, Female or Unknown)]]="Female",Backend!$C$7,IF(Table1[[#This Row],[Fetal Sex (Male, Female or Unknown)]]="Unknown",Backend!$C$8,"Error"))),"")</f>
        <v/>
      </c>
      <c r="F677" s="8" t="str">
        <f>IF(Table1[[#This Row],[Is Data Valid]]=TRUE,EXP(0.578+0.332*((Table1[[#This Row],[Gestation (days)]]+0.5)/7)-0.00354*((Table1[[#This Row],[Gestation (days)]]+0.5)/7)^2)*Table1[[#This Row],[BW40_3705]],"")</f>
        <v/>
      </c>
      <c r="G677" s="2" t="str">
        <f>IF(Table1[[#This Row],[Is Data Valid]]=TRUE,((Table1[[#This Row],[Birthweight (grams)]]/Table1[[#This Row],[BW_GA]])-1)/(Backend!$B$4/100*Table1[[#This Row],[BW40_3705]]),"")</f>
        <v/>
      </c>
      <c r="H677" s="7" t="str">
        <f>IF(Table1[[#This Row],[Is Data Valid]]=TRUE,((Table1[[#This Row],[Birthweight (grams)]]*0.9/Table1[[#This Row],[BW_GA]])-1)/(Backend!$B$4/100*Table1[[#This Row],[BW40_3705]]),"")</f>
        <v/>
      </c>
      <c r="I677" s="7" t="str">
        <f>IF(Table1[[#This Row],[Is Data Valid]]=TRUE,((Table1[[#This Row],[Birthweight (grams)]]*1.1/Table1[[#This Row],[BW_GA]])-1)/(Backend!$B$4/100*Table1[[#This Row],[BW40_3705]]),"")</f>
        <v/>
      </c>
      <c r="J677" s="7" t="str">
        <f>IF(Table1[[#This Row],[Is Data Valid]]=TRUE,_xlfn.NORM.S.DIST(Table1[[#This Row],[Birthweight Z-Score]],TRUE)*100,"")</f>
        <v/>
      </c>
      <c r="K677" s="7" t="str">
        <f>IF(Table1[[#This Row],[Is Data Valid]]=TRUE,_xlfn.NORM.S.DIST(Table1[[#This Row],[Birthweight Z-Score (BW-10%)]],TRUE)*100,"")</f>
        <v/>
      </c>
      <c r="L677" s="7" t="str">
        <f>IF(Table1[[#This Row],[Is Data Valid]]=TRUE,_xlfn.NORM.S.DIST(Table1[[#This Row],[Birthweight Z-Score (BW+10%)]],TRUE)*100,"")</f>
        <v/>
      </c>
    </row>
    <row r="678" spans="1:12" x14ac:dyDescent="0.35">
      <c r="A678" s="3"/>
      <c r="B678" s="2"/>
      <c r="C678" s="2"/>
      <c r="D678" s="2" t="b">
        <f>IF(AND(NOT(ISBLANK(Table1[[#This Row],[Fetal Sex (Male, Female or Unknown)]])),ISNUMBER(Table1[[#This Row],[Birthweight (grams)]]),ISNUMBER(Table1[[#This Row],[Gestation (days)]])),TRUE,FALSE)</f>
        <v>0</v>
      </c>
      <c r="E678" s="2" t="str">
        <f>IF(Table1[[#This Row],[Is Data Valid]]=TRUE,IF(Table1[[#This Row],[Fetal Sex (Male, Female or Unknown)]]="Male",Backend!$C$6,IF(Table1[[#This Row],[Fetal Sex (Male, Female or Unknown)]]="Female",Backend!$C$7,IF(Table1[[#This Row],[Fetal Sex (Male, Female or Unknown)]]="Unknown",Backend!$C$8,"Error"))),"")</f>
        <v/>
      </c>
      <c r="F678" s="8" t="str">
        <f>IF(Table1[[#This Row],[Is Data Valid]]=TRUE,EXP(0.578+0.332*((Table1[[#This Row],[Gestation (days)]]+0.5)/7)-0.00354*((Table1[[#This Row],[Gestation (days)]]+0.5)/7)^2)*Table1[[#This Row],[BW40_3705]],"")</f>
        <v/>
      </c>
      <c r="G678" s="2" t="str">
        <f>IF(Table1[[#This Row],[Is Data Valid]]=TRUE,((Table1[[#This Row],[Birthweight (grams)]]/Table1[[#This Row],[BW_GA]])-1)/(Backend!$B$4/100*Table1[[#This Row],[BW40_3705]]),"")</f>
        <v/>
      </c>
      <c r="H678" s="7" t="str">
        <f>IF(Table1[[#This Row],[Is Data Valid]]=TRUE,((Table1[[#This Row],[Birthweight (grams)]]*0.9/Table1[[#This Row],[BW_GA]])-1)/(Backend!$B$4/100*Table1[[#This Row],[BW40_3705]]),"")</f>
        <v/>
      </c>
      <c r="I678" s="7" t="str">
        <f>IF(Table1[[#This Row],[Is Data Valid]]=TRUE,((Table1[[#This Row],[Birthweight (grams)]]*1.1/Table1[[#This Row],[BW_GA]])-1)/(Backend!$B$4/100*Table1[[#This Row],[BW40_3705]]),"")</f>
        <v/>
      </c>
      <c r="J678" s="7" t="str">
        <f>IF(Table1[[#This Row],[Is Data Valid]]=TRUE,_xlfn.NORM.S.DIST(Table1[[#This Row],[Birthweight Z-Score]],TRUE)*100,"")</f>
        <v/>
      </c>
      <c r="K678" s="7" t="str">
        <f>IF(Table1[[#This Row],[Is Data Valid]]=TRUE,_xlfn.NORM.S.DIST(Table1[[#This Row],[Birthweight Z-Score (BW-10%)]],TRUE)*100,"")</f>
        <v/>
      </c>
      <c r="L678" s="7" t="str">
        <f>IF(Table1[[#This Row],[Is Data Valid]]=TRUE,_xlfn.NORM.S.DIST(Table1[[#This Row],[Birthweight Z-Score (BW+10%)]],TRUE)*100,"")</f>
        <v/>
      </c>
    </row>
    <row r="679" spans="1:12" x14ac:dyDescent="0.35">
      <c r="A679" s="3"/>
      <c r="B679" s="2"/>
      <c r="C679" s="2"/>
      <c r="D679" s="2" t="b">
        <f>IF(AND(NOT(ISBLANK(Table1[[#This Row],[Fetal Sex (Male, Female or Unknown)]])),ISNUMBER(Table1[[#This Row],[Birthweight (grams)]]),ISNUMBER(Table1[[#This Row],[Gestation (days)]])),TRUE,FALSE)</f>
        <v>0</v>
      </c>
      <c r="E679" s="2" t="str">
        <f>IF(Table1[[#This Row],[Is Data Valid]]=TRUE,IF(Table1[[#This Row],[Fetal Sex (Male, Female or Unknown)]]="Male",Backend!$C$6,IF(Table1[[#This Row],[Fetal Sex (Male, Female or Unknown)]]="Female",Backend!$C$7,IF(Table1[[#This Row],[Fetal Sex (Male, Female or Unknown)]]="Unknown",Backend!$C$8,"Error"))),"")</f>
        <v/>
      </c>
      <c r="F679" s="8" t="str">
        <f>IF(Table1[[#This Row],[Is Data Valid]]=TRUE,EXP(0.578+0.332*((Table1[[#This Row],[Gestation (days)]]+0.5)/7)-0.00354*((Table1[[#This Row],[Gestation (days)]]+0.5)/7)^2)*Table1[[#This Row],[BW40_3705]],"")</f>
        <v/>
      </c>
      <c r="G679" s="2" t="str">
        <f>IF(Table1[[#This Row],[Is Data Valid]]=TRUE,((Table1[[#This Row],[Birthweight (grams)]]/Table1[[#This Row],[BW_GA]])-1)/(Backend!$B$4/100*Table1[[#This Row],[BW40_3705]]),"")</f>
        <v/>
      </c>
      <c r="H679" s="7" t="str">
        <f>IF(Table1[[#This Row],[Is Data Valid]]=TRUE,((Table1[[#This Row],[Birthweight (grams)]]*0.9/Table1[[#This Row],[BW_GA]])-1)/(Backend!$B$4/100*Table1[[#This Row],[BW40_3705]]),"")</f>
        <v/>
      </c>
      <c r="I679" s="7" t="str">
        <f>IF(Table1[[#This Row],[Is Data Valid]]=TRUE,((Table1[[#This Row],[Birthweight (grams)]]*1.1/Table1[[#This Row],[BW_GA]])-1)/(Backend!$B$4/100*Table1[[#This Row],[BW40_3705]]),"")</f>
        <v/>
      </c>
      <c r="J679" s="7" t="str">
        <f>IF(Table1[[#This Row],[Is Data Valid]]=TRUE,_xlfn.NORM.S.DIST(Table1[[#This Row],[Birthweight Z-Score]],TRUE)*100,"")</f>
        <v/>
      </c>
      <c r="K679" s="7" t="str">
        <f>IF(Table1[[#This Row],[Is Data Valid]]=TRUE,_xlfn.NORM.S.DIST(Table1[[#This Row],[Birthweight Z-Score (BW-10%)]],TRUE)*100,"")</f>
        <v/>
      </c>
      <c r="L679" s="7" t="str">
        <f>IF(Table1[[#This Row],[Is Data Valid]]=TRUE,_xlfn.NORM.S.DIST(Table1[[#This Row],[Birthweight Z-Score (BW+10%)]],TRUE)*100,"")</f>
        <v/>
      </c>
    </row>
    <row r="680" spans="1:12" x14ac:dyDescent="0.35">
      <c r="A680" s="3"/>
      <c r="B680" s="2"/>
      <c r="C680" s="2"/>
      <c r="D680" s="2" t="b">
        <f>IF(AND(NOT(ISBLANK(Table1[[#This Row],[Fetal Sex (Male, Female or Unknown)]])),ISNUMBER(Table1[[#This Row],[Birthweight (grams)]]),ISNUMBER(Table1[[#This Row],[Gestation (days)]])),TRUE,FALSE)</f>
        <v>0</v>
      </c>
      <c r="E680" s="2" t="str">
        <f>IF(Table1[[#This Row],[Is Data Valid]]=TRUE,IF(Table1[[#This Row],[Fetal Sex (Male, Female or Unknown)]]="Male",Backend!$C$6,IF(Table1[[#This Row],[Fetal Sex (Male, Female or Unknown)]]="Female",Backend!$C$7,IF(Table1[[#This Row],[Fetal Sex (Male, Female or Unknown)]]="Unknown",Backend!$C$8,"Error"))),"")</f>
        <v/>
      </c>
      <c r="F680" s="8" t="str">
        <f>IF(Table1[[#This Row],[Is Data Valid]]=TRUE,EXP(0.578+0.332*((Table1[[#This Row],[Gestation (days)]]+0.5)/7)-0.00354*((Table1[[#This Row],[Gestation (days)]]+0.5)/7)^2)*Table1[[#This Row],[BW40_3705]],"")</f>
        <v/>
      </c>
      <c r="G680" s="2" t="str">
        <f>IF(Table1[[#This Row],[Is Data Valid]]=TRUE,((Table1[[#This Row],[Birthweight (grams)]]/Table1[[#This Row],[BW_GA]])-1)/(Backend!$B$4/100*Table1[[#This Row],[BW40_3705]]),"")</f>
        <v/>
      </c>
      <c r="H680" s="7" t="str">
        <f>IF(Table1[[#This Row],[Is Data Valid]]=TRUE,((Table1[[#This Row],[Birthweight (grams)]]*0.9/Table1[[#This Row],[BW_GA]])-1)/(Backend!$B$4/100*Table1[[#This Row],[BW40_3705]]),"")</f>
        <v/>
      </c>
      <c r="I680" s="7" t="str">
        <f>IF(Table1[[#This Row],[Is Data Valid]]=TRUE,((Table1[[#This Row],[Birthweight (grams)]]*1.1/Table1[[#This Row],[BW_GA]])-1)/(Backend!$B$4/100*Table1[[#This Row],[BW40_3705]]),"")</f>
        <v/>
      </c>
      <c r="J680" s="7" t="str">
        <f>IF(Table1[[#This Row],[Is Data Valid]]=TRUE,_xlfn.NORM.S.DIST(Table1[[#This Row],[Birthweight Z-Score]],TRUE)*100,"")</f>
        <v/>
      </c>
      <c r="K680" s="7" t="str">
        <f>IF(Table1[[#This Row],[Is Data Valid]]=TRUE,_xlfn.NORM.S.DIST(Table1[[#This Row],[Birthweight Z-Score (BW-10%)]],TRUE)*100,"")</f>
        <v/>
      </c>
      <c r="L680" s="7" t="str">
        <f>IF(Table1[[#This Row],[Is Data Valid]]=TRUE,_xlfn.NORM.S.DIST(Table1[[#This Row],[Birthweight Z-Score (BW+10%)]],TRUE)*100,"")</f>
        <v/>
      </c>
    </row>
    <row r="681" spans="1:12" x14ac:dyDescent="0.35">
      <c r="A681" s="3"/>
      <c r="B681" s="2"/>
      <c r="C681" s="2"/>
      <c r="D681" s="2" t="b">
        <f>IF(AND(NOT(ISBLANK(Table1[[#This Row],[Fetal Sex (Male, Female or Unknown)]])),ISNUMBER(Table1[[#This Row],[Birthweight (grams)]]),ISNUMBER(Table1[[#This Row],[Gestation (days)]])),TRUE,FALSE)</f>
        <v>0</v>
      </c>
      <c r="E681" s="2" t="str">
        <f>IF(Table1[[#This Row],[Is Data Valid]]=TRUE,IF(Table1[[#This Row],[Fetal Sex (Male, Female or Unknown)]]="Male",Backend!$C$6,IF(Table1[[#This Row],[Fetal Sex (Male, Female or Unknown)]]="Female",Backend!$C$7,IF(Table1[[#This Row],[Fetal Sex (Male, Female or Unknown)]]="Unknown",Backend!$C$8,"Error"))),"")</f>
        <v/>
      </c>
      <c r="F681" s="8" t="str">
        <f>IF(Table1[[#This Row],[Is Data Valid]]=TRUE,EXP(0.578+0.332*((Table1[[#This Row],[Gestation (days)]]+0.5)/7)-0.00354*((Table1[[#This Row],[Gestation (days)]]+0.5)/7)^2)*Table1[[#This Row],[BW40_3705]],"")</f>
        <v/>
      </c>
      <c r="G681" s="2" t="str">
        <f>IF(Table1[[#This Row],[Is Data Valid]]=TRUE,((Table1[[#This Row],[Birthweight (grams)]]/Table1[[#This Row],[BW_GA]])-1)/(Backend!$B$4/100*Table1[[#This Row],[BW40_3705]]),"")</f>
        <v/>
      </c>
      <c r="H681" s="7" t="str">
        <f>IF(Table1[[#This Row],[Is Data Valid]]=TRUE,((Table1[[#This Row],[Birthweight (grams)]]*0.9/Table1[[#This Row],[BW_GA]])-1)/(Backend!$B$4/100*Table1[[#This Row],[BW40_3705]]),"")</f>
        <v/>
      </c>
      <c r="I681" s="7" t="str">
        <f>IF(Table1[[#This Row],[Is Data Valid]]=TRUE,((Table1[[#This Row],[Birthweight (grams)]]*1.1/Table1[[#This Row],[BW_GA]])-1)/(Backend!$B$4/100*Table1[[#This Row],[BW40_3705]]),"")</f>
        <v/>
      </c>
      <c r="J681" s="7" t="str">
        <f>IF(Table1[[#This Row],[Is Data Valid]]=TRUE,_xlfn.NORM.S.DIST(Table1[[#This Row],[Birthweight Z-Score]],TRUE)*100,"")</f>
        <v/>
      </c>
      <c r="K681" s="7" t="str">
        <f>IF(Table1[[#This Row],[Is Data Valid]]=TRUE,_xlfn.NORM.S.DIST(Table1[[#This Row],[Birthweight Z-Score (BW-10%)]],TRUE)*100,"")</f>
        <v/>
      </c>
      <c r="L681" s="7" t="str">
        <f>IF(Table1[[#This Row],[Is Data Valid]]=TRUE,_xlfn.NORM.S.DIST(Table1[[#This Row],[Birthweight Z-Score (BW+10%)]],TRUE)*100,"")</f>
        <v/>
      </c>
    </row>
    <row r="682" spans="1:12" x14ac:dyDescent="0.35">
      <c r="A682" s="3"/>
      <c r="B682" s="2"/>
      <c r="C682" s="2"/>
      <c r="D682" s="2" t="b">
        <f>IF(AND(NOT(ISBLANK(Table1[[#This Row],[Fetal Sex (Male, Female or Unknown)]])),ISNUMBER(Table1[[#This Row],[Birthweight (grams)]]),ISNUMBER(Table1[[#This Row],[Gestation (days)]])),TRUE,FALSE)</f>
        <v>0</v>
      </c>
      <c r="E682" s="2" t="str">
        <f>IF(Table1[[#This Row],[Is Data Valid]]=TRUE,IF(Table1[[#This Row],[Fetal Sex (Male, Female or Unknown)]]="Male",Backend!$C$6,IF(Table1[[#This Row],[Fetal Sex (Male, Female or Unknown)]]="Female",Backend!$C$7,IF(Table1[[#This Row],[Fetal Sex (Male, Female or Unknown)]]="Unknown",Backend!$C$8,"Error"))),"")</f>
        <v/>
      </c>
      <c r="F682" s="8" t="str">
        <f>IF(Table1[[#This Row],[Is Data Valid]]=TRUE,EXP(0.578+0.332*((Table1[[#This Row],[Gestation (days)]]+0.5)/7)-0.00354*((Table1[[#This Row],[Gestation (days)]]+0.5)/7)^2)*Table1[[#This Row],[BW40_3705]],"")</f>
        <v/>
      </c>
      <c r="G682" s="2" t="str">
        <f>IF(Table1[[#This Row],[Is Data Valid]]=TRUE,((Table1[[#This Row],[Birthweight (grams)]]/Table1[[#This Row],[BW_GA]])-1)/(Backend!$B$4/100*Table1[[#This Row],[BW40_3705]]),"")</f>
        <v/>
      </c>
      <c r="H682" s="7" t="str">
        <f>IF(Table1[[#This Row],[Is Data Valid]]=TRUE,((Table1[[#This Row],[Birthweight (grams)]]*0.9/Table1[[#This Row],[BW_GA]])-1)/(Backend!$B$4/100*Table1[[#This Row],[BW40_3705]]),"")</f>
        <v/>
      </c>
      <c r="I682" s="7" t="str">
        <f>IF(Table1[[#This Row],[Is Data Valid]]=TRUE,((Table1[[#This Row],[Birthweight (grams)]]*1.1/Table1[[#This Row],[BW_GA]])-1)/(Backend!$B$4/100*Table1[[#This Row],[BW40_3705]]),"")</f>
        <v/>
      </c>
      <c r="J682" s="7" t="str">
        <f>IF(Table1[[#This Row],[Is Data Valid]]=TRUE,_xlfn.NORM.S.DIST(Table1[[#This Row],[Birthweight Z-Score]],TRUE)*100,"")</f>
        <v/>
      </c>
      <c r="K682" s="7" t="str">
        <f>IF(Table1[[#This Row],[Is Data Valid]]=TRUE,_xlfn.NORM.S.DIST(Table1[[#This Row],[Birthweight Z-Score (BW-10%)]],TRUE)*100,"")</f>
        <v/>
      </c>
      <c r="L682" s="7" t="str">
        <f>IF(Table1[[#This Row],[Is Data Valid]]=TRUE,_xlfn.NORM.S.DIST(Table1[[#This Row],[Birthweight Z-Score (BW+10%)]],TRUE)*100,"")</f>
        <v/>
      </c>
    </row>
    <row r="683" spans="1:12" x14ac:dyDescent="0.35">
      <c r="A683" s="3"/>
      <c r="B683" s="2"/>
      <c r="C683" s="2"/>
      <c r="D683" s="2" t="b">
        <f>IF(AND(NOT(ISBLANK(Table1[[#This Row],[Fetal Sex (Male, Female or Unknown)]])),ISNUMBER(Table1[[#This Row],[Birthweight (grams)]]),ISNUMBER(Table1[[#This Row],[Gestation (days)]])),TRUE,FALSE)</f>
        <v>0</v>
      </c>
      <c r="E683" s="2" t="str">
        <f>IF(Table1[[#This Row],[Is Data Valid]]=TRUE,IF(Table1[[#This Row],[Fetal Sex (Male, Female or Unknown)]]="Male",Backend!$C$6,IF(Table1[[#This Row],[Fetal Sex (Male, Female or Unknown)]]="Female",Backend!$C$7,IF(Table1[[#This Row],[Fetal Sex (Male, Female or Unknown)]]="Unknown",Backend!$C$8,"Error"))),"")</f>
        <v/>
      </c>
      <c r="F683" s="8" t="str">
        <f>IF(Table1[[#This Row],[Is Data Valid]]=TRUE,EXP(0.578+0.332*((Table1[[#This Row],[Gestation (days)]]+0.5)/7)-0.00354*((Table1[[#This Row],[Gestation (days)]]+0.5)/7)^2)*Table1[[#This Row],[BW40_3705]],"")</f>
        <v/>
      </c>
      <c r="G683" s="2" t="str">
        <f>IF(Table1[[#This Row],[Is Data Valid]]=TRUE,((Table1[[#This Row],[Birthweight (grams)]]/Table1[[#This Row],[BW_GA]])-1)/(Backend!$B$4/100*Table1[[#This Row],[BW40_3705]]),"")</f>
        <v/>
      </c>
      <c r="H683" s="7" t="str">
        <f>IF(Table1[[#This Row],[Is Data Valid]]=TRUE,((Table1[[#This Row],[Birthweight (grams)]]*0.9/Table1[[#This Row],[BW_GA]])-1)/(Backend!$B$4/100*Table1[[#This Row],[BW40_3705]]),"")</f>
        <v/>
      </c>
      <c r="I683" s="7" t="str">
        <f>IF(Table1[[#This Row],[Is Data Valid]]=TRUE,((Table1[[#This Row],[Birthweight (grams)]]*1.1/Table1[[#This Row],[BW_GA]])-1)/(Backend!$B$4/100*Table1[[#This Row],[BW40_3705]]),"")</f>
        <v/>
      </c>
      <c r="J683" s="7" t="str">
        <f>IF(Table1[[#This Row],[Is Data Valid]]=TRUE,_xlfn.NORM.S.DIST(Table1[[#This Row],[Birthweight Z-Score]],TRUE)*100,"")</f>
        <v/>
      </c>
      <c r="K683" s="7" t="str">
        <f>IF(Table1[[#This Row],[Is Data Valid]]=TRUE,_xlfn.NORM.S.DIST(Table1[[#This Row],[Birthweight Z-Score (BW-10%)]],TRUE)*100,"")</f>
        <v/>
      </c>
      <c r="L683" s="7" t="str">
        <f>IF(Table1[[#This Row],[Is Data Valid]]=TRUE,_xlfn.NORM.S.DIST(Table1[[#This Row],[Birthweight Z-Score (BW+10%)]],TRUE)*100,"")</f>
        <v/>
      </c>
    </row>
    <row r="684" spans="1:12" x14ac:dyDescent="0.35">
      <c r="A684" s="3"/>
      <c r="B684" s="2"/>
      <c r="C684" s="2"/>
      <c r="D684" s="2" t="b">
        <f>IF(AND(NOT(ISBLANK(Table1[[#This Row],[Fetal Sex (Male, Female or Unknown)]])),ISNUMBER(Table1[[#This Row],[Birthweight (grams)]]),ISNUMBER(Table1[[#This Row],[Gestation (days)]])),TRUE,FALSE)</f>
        <v>0</v>
      </c>
      <c r="E684" s="2" t="str">
        <f>IF(Table1[[#This Row],[Is Data Valid]]=TRUE,IF(Table1[[#This Row],[Fetal Sex (Male, Female or Unknown)]]="Male",Backend!$C$6,IF(Table1[[#This Row],[Fetal Sex (Male, Female or Unknown)]]="Female",Backend!$C$7,IF(Table1[[#This Row],[Fetal Sex (Male, Female or Unknown)]]="Unknown",Backend!$C$8,"Error"))),"")</f>
        <v/>
      </c>
      <c r="F684" s="8" t="str">
        <f>IF(Table1[[#This Row],[Is Data Valid]]=TRUE,EXP(0.578+0.332*((Table1[[#This Row],[Gestation (days)]]+0.5)/7)-0.00354*((Table1[[#This Row],[Gestation (days)]]+0.5)/7)^2)*Table1[[#This Row],[BW40_3705]],"")</f>
        <v/>
      </c>
      <c r="G684" s="2" t="str">
        <f>IF(Table1[[#This Row],[Is Data Valid]]=TRUE,((Table1[[#This Row],[Birthweight (grams)]]/Table1[[#This Row],[BW_GA]])-1)/(Backend!$B$4/100*Table1[[#This Row],[BW40_3705]]),"")</f>
        <v/>
      </c>
      <c r="H684" s="7" t="str">
        <f>IF(Table1[[#This Row],[Is Data Valid]]=TRUE,((Table1[[#This Row],[Birthweight (grams)]]*0.9/Table1[[#This Row],[BW_GA]])-1)/(Backend!$B$4/100*Table1[[#This Row],[BW40_3705]]),"")</f>
        <v/>
      </c>
      <c r="I684" s="7" t="str">
        <f>IF(Table1[[#This Row],[Is Data Valid]]=TRUE,((Table1[[#This Row],[Birthweight (grams)]]*1.1/Table1[[#This Row],[BW_GA]])-1)/(Backend!$B$4/100*Table1[[#This Row],[BW40_3705]]),"")</f>
        <v/>
      </c>
      <c r="J684" s="7" t="str">
        <f>IF(Table1[[#This Row],[Is Data Valid]]=TRUE,_xlfn.NORM.S.DIST(Table1[[#This Row],[Birthweight Z-Score]],TRUE)*100,"")</f>
        <v/>
      </c>
      <c r="K684" s="7" t="str">
        <f>IF(Table1[[#This Row],[Is Data Valid]]=TRUE,_xlfn.NORM.S.DIST(Table1[[#This Row],[Birthweight Z-Score (BW-10%)]],TRUE)*100,"")</f>
        <v/>
      </c>
      <c r="L684" s="7" t="str">
        <f>IF(Table1[[#This Row],[Is Data Valid]]=TRUE,_xlfn.NORM.S.DIST(Table1[[#This Row],[Birthweight Z-Score (BW+10%)]],TRUE)*100,"")</f>
        <v/>
      </c>
    </row>
    <row r="685" spans="1:12" x14ac:dyDescent="0.35">
      <c r="A685" s="3"/>
      <c r="B685" s="2"/>
      <c r="C685" s="2"/>
      <c r="D685" s="2" t="b">
        <f>IF(AND(NOT(ISBLANK(Table1[[#This Row],[Fetal Sex (Male, Female or Unknown)]])),ISNUMBER(Table1[[#This Row],[Birthweight (grams)]]),ISNUMBER(Table1[[#This Row],[Gestation (days)]])),TRUE,FALSE)</f>
        <v>0</v>
      </c>
      <c r="E685" s="2" t="str">
        <f>IF(Table1[[#This Row],[Is Data Valid]]=TRUE,IF(Table1[[#This Row],[Fetal Sex (Male, Female or Unknown)]]="Male",Backend!$C$6,IF(Table1[[#This Row],[Fetal Sex (Male, Female or Unknown)]]="Female",Backend!$C$7,IF(Table1[[#This Row],[Fetal Sex (Male, Female or Unknown)]]="Unknown",Backend!$C$8,"Error"))),"")</f>
        <v/>
      </c>
      <c r="F685" s="8" t="str">
        <f>IF(Table1[[#This Row],[Is Data Valid]]=TRUE,EXP(0.578+0.332*((Table1[[#This Row],[Gestation (days)]]+0.5)/7)-0.00354*((Table1[[#This Row],[Gestation (days)]]+0.5)/7)^2)*Table1[[#This Row],[BW40_3705]],"")</f>
        <v/>
      </c>
      <c r="G685" s="2" t="str">
        <f>IF(Table1[[#This Row],[Is Data Valid]]=TRUE,((Table1[[#This Row],[Birthweight (grams)]]/Table1[[#This Row],[BW_GA]])-1)/(Backend!$B$4/100*Table1[[#This Row],[BW40_3705]]),"")</f>
        <v/>
      </c>
      <c r="H685" s="7" t="str">
        <f>IF(Table1[[#This Row],[Is Data Valid]]=TRUE,((Table1[[#This Row],[Birthweight (grams)]]*0.9/Table1[[#This Row],[BW_GA]])-1)/(Backend!$B$4/100*Table1[[#This Row],[BW40_3705]]),"")</f>
        <v/>
      </c>
      <c r="I685" s="7" t="str">
        <f>IF(Table1[[#This Row],[Is Data Valid]]=TRUE,((Table1[[#This Row],[Birthweight (grams)]]*1.1/Table1[[#This Row],[BW_GA]])-1)/(Backend!$B$4/100*Table1[[#This Row],[BW40_3705]]),"")</f>
        <v/>
      </c>
      <c r="J685" s="7" t="str">
        <f>IF(Table1[[#This Row],[Is Data Valid]]=TRUE,_xlfn.NORM.S.DIST(Table1[[#This Row],[Birthweight Z-Score]],TRUE)*100,"")</f>
        <v/>
      </c>
      <c r="K685" s="7" t="str">
        <f>IF(Table1[[#This Row],[Is Data Valid]]=TRUE,_xlfn.NORM.S.DIST(Table1[[#This Row],[Birthweight Z-Score (BW-10%)]],TRUE)*100,"")</f>
        <v/>
      </c>
      <c r="L685" s="7" t="str">
        <f>IF(Table1[[#This Row],[Is Data Valid]]=TRUE,_xlfn.NORM.S.DIST(Table1[[#This Row],[Birthweight Z-Score (BW+10%)]],TRUE)*100,"")</f>
        <v/>
      </c>
    </row>
    <row r="686" spans="1:12" x14ac:dyDescent="0.35">
      <c r="A686" s="3"/>
      <c r="B686" s="2"/>
      <c r="C686" s="2"/>
      <c r="D686" s="2" t="b">
        <f>IF(AND(NOT(ISBLANK(Table1[[#This Row],[Fetal Sex (Male, Female or Unknown)]])),ISNUMBER(Table1[[#This Row],[Birthweight (grams)]]),ISNUMBER(Table1[[#This Row],[Gestation (days)]])),TRUE,FALSE)</f>
        <v>0</v>
      </c>
      <c r="E686" s="2" t="str">
        <f>IF(Table1[[#This Row],[Is Data Valid]]=TRUE,IF(Table1[[#This Row],[Fetal Sex (Male, Female or Unknown)]]="Male",Backend!$C$6,IF(Table1[[#This Row],[Fetal Sex (Male, Female or Unknown)]]="Female",Backend!$C$7,IF(Table1[[#This Row],[Fetal Sex (Male, Female or Unknown)]]="Unknown",Backend!$C$8,"Error"))),"")</f>
        <v/>
      </c>
      <c r="F686" s="8" t="str">
        <f>IF(Table1[[#This Row],[Is Data Valid]]=TRUE,EXP(0.578+0.332*((Table1[[#This Row],[Gestation (days)]]+0.5)/7)-0.00354*((Table1[[#This Row],[Gestation (days)]]+0.5)/7)^2)*Table1[[#This Row],[BW40_3705]],"")</f>
        <v/>
      </c>
      <c r="G686" s="2" t="str">
        <f>IF(Table1[[#This Row],[Is Data Valid]]=TRUE,((Table1[[#This Row],[Birthweight (grams)]]/Table1[[#This Row],[BW_GA]])-1)/(Backend!$B$4/100*Table1[[#This Row],[BW40_3705]]),"")</f>
        <v/>
      </c>
      <c r="H686" s="7" t="str">
        <f>IF(Table1[[#This Row],[Is Data Valid]]=TRUE,((Table1[[#This Row],[Birthweight (grams)]]*0.9/Table1[[#This Row],[BW_GA]])-1)/(Backend!$B$4/100*Table1[[#This Row],[BW40_3705]]),"")</f>
        <v/>
      </c>
      <c r="I686" s="7" t="str">
        <f>IF(Table1[[#This Row],[Is Data Valid]]=TRUE,((Table1[[#This Row],[Birthweight (grams)]]*1.1/Table1[[#This Row],[BW_GA]])-1)/(Backend!$B$4/100*Table1[[#This Row],[BW40_3705]]),"")</f>
        <v/>
      </c>
      <c r="J686" s="7" t="str">
        <f>IF(Table1[[#This Row],[Is Data Valid]]=TRUE,_xlfn.NORM.S.DIST(Table1[[#This Row],[Birthweight Z-Score]],TRUE)*100,"")</f>
        <v/>
      </c>
      <c r="K686" s="7" t="str">
        <f>IF(Table1[[#This Row],[Is Data Valid]]=TRUE,_xlfn.NORM.S.DIST(Table1[[#This Row],[Birthweight Z-Score (BW-10%)]],TRUE)*100,"")</f>
        <v/>
      </c>
      <c r="L686" s="7" t="str">
        <f>IF(Table1[[#This Row],[Is Data Valid]]=TRUE,_xlfn.NORM.S.DIST(Table1[[#This Row],[Birthweight Z-Score (BW+10%)]],TRUE)*100,"")</f>
        <v/>
      </c>
    </row>
    <row r="687" spans="1:12" x14ac:dyDescent="0.35">
      <c r="A687" s="3"/>
      <c r="B687" s="2"/>
      <c r="C687" s="2"/>
      <c r="D687" s="2" t="b">
        <f>IF(AND(NOT(ISBLANK(Table1[[#This Row],[Fetal Sex (Male, Female or Unknown)]])),ISNUMBER(Table1[[#This Row],[Birthweight (grams)]]),ISNUMBER(Table1[[#This Row],[Gestation (days)]])),TRUE,FALSE)</f>
        <v>0</v>
      </c>
      <c r="E687" s="2" t="str">
        <f>IF(Table1[[#This Row],[Is Data Valid]]=TRUE,IF(Table1[[#This Row],[Fetal Sex (Male, Female or Unknown)]]="Male",Backend!$C$6,IF(Table1[[#This Row],[Fetal Sex (Male, Female or Unknown)]]="Female",Backend!$C$7,IF(Table1[[#This Row],[Fetal Sex (Male, Female or Unknown)]]="Unknown",Backend!$C$8,"Error"))),"")</f>
        <v/>
      </c>
      <c r="F687" s="8" t="str">
        <f>IF(Table1[[#This Row],[Is Data Valid]]=TRUE,EXP(0.578+0.332*((Table1[[#This Row],[Gestation (days)]]+0.5)/7)-0.00354*((Table1[[#This Row],[Gestation (days)]]+0.5)/7)^2)*Table1[[#This Row],[BW40_3705]],"")</f>
        <v/>
      </c>
      <c r="G687" s="2" t="str">
        <f>IF(Table1[[#This Row],[Is Data Valid]]=TRUE,((Table1[[#This Row],[Birthweight (grams)]]/Table1[[#This Row],[BW_GA]])-1)/(Backend!$B$4/100*Table1[[#This Row],[BW40_3705]]),"")</f>
        <v/>
      </c>
      <c r="H687" s="7" t="str">
        <f>IF(Table1[[#This Row],[Is Data Valid]]=TRUE,((Table1[[#This Row],[Birthweight (grams)]]*0.9/Table1[[#This Row],[BW_GA]])-1)/(Backend!$B$4/100*Table1[[#This Row],[BW40_3705]]),"")</f>
        <v/>
      </c>
      <c r="I687" s="7" t="str">
        <f>IF(Table1[[#This Row],[Is Data Valid]]=TRUE,((Table1[[#This Row],[Birthweight (grams)]]*1.1/Table1[[#This Row],[BW_GA]])-1)/(Backend!$B$4/100*Table1[[#This Row],[BW40_3705]]),"")</f>
        <v/>
      </c>
      <c r="J687" s="7" t="str">
        <f>IF(Table1[[#This Row],[Is Data Valid]]=TRUE,_xlfn.NORM.S.DIST(Table1[[#This Row],[Birthweight Z-Score]],TRUE)*100,"")</f>
        <v/>
      </c>
      <c r="K687" s="7" t="str">
        <f>IF(Table1[[#This Row],[Is Data Valid]]=TRUE,_xlfn.NORM.S.DIST(Table1[[#This Row],[Birthweight Z-Score (BW-10%)]],TRUE)*100,"")</f>
        <v/>
      </c>
      <c r="L687" s="7" t="str">
        <f>IF(Table1[[#This Row],[Is Data Valid]]=TRUE,_xlfn.NORM.S.DIST(Table1[[#This Row],[Birthweight Z-Score (BW+10%)]],TRUE)*100,"")</f>
        <v/>
      </c>
    </row>
    <row r="688" spans="1:12" x14ac:dyDescent="0.35">
      <c r="A688" s="3"/>
      <c r="B688" s="2"/>
      <c r="C688" s="2"/>
      <c r="D688" s="2" t="b">
        <f>IF(AND(NOT(ISBLANK(Table1[[#This Row],[Fetal Sex (Male, Female or Unknown)]])),ISNUMBER(Table1[[#This Row],[Birthweight (grams)]]),ISNUMBER(Table1[[#This Row],[Gestation (days)]])),TRUE,FALSE)</f>
        <v>0</v>
      </c>
      <c r="E688" s="2" t="str">
        <f>IF(Table1[[#This Row],[Is Data Valid]]=TRUE,IF(Table1[[#This Row],[Fetal Sex (Male, Female or Unknown)]]="Male",Backend!$C$6,IF(Table1[[#This Row],[Fetal Sex (Male, Female or Unknown)]]="Female",Backend!$C$7,IF(Table1[[#This Row],[Fetal Sex (Male, Female or Unknown)]]="Unknown",Backend!$C$8,"Error"))),"")</f>
        <v/>
      </c>
      <c r="F688" s="8" t="str">
        <f>IF(Table1[[#This Row],[Is Data Valid]]=TRUE,EXP(0.578+0.332*((Table1[[#This Row],[Gestation (days)]]+0.5)/7)-0.00354*((Table1[[#This Row],[Gestation (days)]]+0.5)/7)^2)*Table1[[#This Row],[BW40_3705]],"")</f>
        <v/>
      </c>
      <c r="G688" s="2" t="str">
        <f>IF(Table1[[#This Row],[Is Data Valid]]=TRUE,((Table1[[#This Row],[Birthweight (grams)]]/Table1[[#This Row],[BW_GA]])-1)/(Backend!$B$4/100*Table1[[#This Row],[BW40_3705]]),"")</f>
        <v/>
      </c>
      <c r="H688" s="7" t="str">
        <f>IF(Table1[[#This Row],[Is Data Valid]]=TRUE,((Table1[[#This Row],[Birthweight (grams)]]*0.9/Table1[[#This Row],[BW_GA]])-1)/(Backend!$B$4/100*Table1[[#This Row],[BW40_3705]]),"")</f>
        <v/>
      </c>
      <c r="I688" s="7" t="str">
        <f>IF(Table1[[#This Row],[Is Data Valid]]=TRUE,((Table1[[#This Row],[Birthweight (grams)]]*1.1/Table1[[#This Row],[BW_GA]])-1)/(Backend!$B$4/100*Table1[[#This Row],[BW40_3705]]),"")</f>
        <v/>
      </c>
      <c r="J688" s="7" t="str">
        <f>IF(Table1[[#This Row],[Is Data Valid]]=TRUE,_xlfn.NORM.S.DIST(Table1[[#This Row],[Birthweight Z-Score]],TRUE)*100,"")</f>
        <v/>
      </c>
      <c r="K688" s="7" t="str">
        <f>IF(Table1[[#This Row],[Is Data Valid]]=TRUE,_xlfn.NORM.S.DIST(Table1[[#This Row],[Birthweight Z-Score (BW-10%)]],TRUE)*100,"")</f>
        <v/>
      </c>
      <c r="L688" s="7" t="str">
        <f>IF(Table1[[#This Row],[Is Data Valid]]=TRUE,_xlfn.NORM.S.DIST(Table1[[#This Row],[Birthweight Z-Score (BW+10%)]],TRUE)*100,"")</f>
        <v/>
      </c>
    </row>
    <row r="689" spans="1:12" x14ac:dyDescent="0.35">
      <c r="A689" s="3"/>
      <c r="B689" s="2"/>
      <c r="C689" s="2"/>
      <c r="D689" s="2" t="b">
        <f>IF(AND(NOT(ISBLANK(Table1[[#This Row],[Fetal Sex (Male, Female or Unknown)]])),ISNUMBER(Table1[[#This Row],[Birthweight (grams)]]),ISNUMBER(Table1[[#This Row],[Gestation (days)]])),TRUE,FALSE)</f>
        <v>0</v>
      </c>
      <c r="E689" s="2" t="str">
        <f>IF(Table1[[#This Row],[Is Data Valid]]=TRUE,IF(Table1[[#This Row],[Fetal Sex (Male, Female or Unknown)]]="Male",Backend!$C$6,IF(Table1[[#This Row],[Fetal Sex (Male, Female or Unknown)]]="Female",Backend!$C$7,IF(Table1[[#This Row],[Fetal Sex (Male, Female or Unknown)]]="Unknown",Backend!$C$8,"Error"))),"")</f>
        <v/>
      </c>
      <c r="F689" s="8" t="str">
        <f>IF(Table1[[#This Row],[Is Data Valid]]=TRUE,EXP(0.578+0.332*((Table1[[#This Row],[Gestation (days)]]+0.5)/7)-0.00354*((Table1[[#This Row],[Gestation (days)]]+0.5)/7)^2)*Table1[[#This Row],[BW40_3705]],"")</f>
        <v/>
      </c>
      <c r="G689" s="2" t="str">
        <f>IF(Table1[[#This Row],[Is Data Valid]]=TRUE,((Table1[[#This Row],[Birthweight (grams)]]/Table1[[#This Row],[BW_GA]])-1)/(Backend!$B$4/100*Table1[[#This Row],[BW40_3705]]),"")</f>
        <v/>
      </c>
      <c r="H689" s="7" t="str">
        <f>IF(Table1[[#This Row],[Is Data Valid]]=TRUE,((Table1[[#This Row],[Birthweight (grams)]]*0.9/Table1[[#This Row],[BW_GA]])-1)/(Backend!$B$4/100*Table1[[#This Row],[BW40_3705]]),"")</f>
        <v/>
      </c>
      <c r="I689" s="7" t="str">
        <f>IF(Table1[[#This Row],[Is Data Valid]]=TRUE,((Table1[[#This Row],[Birthweight (grams)]]*1.1/Table1[[#This Row],[BW_GA]])-1)/(Backend!$B$4/100*Table1[[#This Row],[BW40_3705]]),"")</f>
        <v/>
      </c>
      <c r="J689" s="7" t="str">
        <f>IF(Table1[[#This Row],[Is Data Valid]]=TRUE,_xlfn.NORM.S.DIST(Table1[[#This Row],[Birthweight Z-Score]],TRUE)*100,"")</f>
        <v/>
      </c>
      <c r="K689" s="7" t="str">
        <f>IF(Table1[[#This Row],[Is Data Valid]]=TRUE,_xlfn.NORM.S.DIST(Table1[[#This Row],[Birthweight Z-Score (BW-10%)]],TRUE)*100,"")</f>
        <v/>
      </c>
      <c r="L689" s="7" t="str">
        <f>IF(Table1[[#This Row],[Is Data Valid]]=TRUE,_xlfn.NORM.S.DIST(Table1[[#This Row],[Birthweight Z-Score (BW+10%)]],TRUE)*100,"")</f>
        <v/>
      </c>
    </row>
    <row r="690" spans="1:12" x14ac:dyDescent="0.35">
      <c r="A690" s="3"/>
      <c r="B690" s="2"/>
      <c r="C690" s="2"/>
      <c r="D690" s="2" t="b">
        <f>IF(AND(NOT(ISBLANK(Table1[[#This Row],[Fetal Sex (Male, Female or Unknown)]])),ISNUMBER(Table1[[#This Row],[Birthweight (grams)]]),ISNUMBER(Table1[[#This Row],[Gestation (days)]])),TRUE,FALSE)</f>
        <v>0</v>
      </c>
      <c r="E690" s="2" t="str">
        <f>IF(Table1[[#This Row],[Is Data Valid]]=TRUE,IF(Table1[[#This Row],[Fetal Sex (Male, Female or Unknown)]]="Male",Backend!$C$6,IF(Table1[[#This Row],[Fetal Sex (Male, Female or Unknown)]]="Female",Backend!$C$7,IF(Table1[[#This Row],[Fetal Sex (Male, Female or Unknown)]]="Unknown",Backend!$C$8,"Error"))),"")</f>
        <v/>
      </c>
      <c r="F690" s="8" t="str">
        <f>IF(Table1[[#This Row],[Is Data Valid]]=TRUE,EXP(0.578+0.332*((Table1[[#This Row],[Gestation (days)]]+0.5)/7)-0.00354*((Table1[[#This Row],[Gestation (days)]]+0.5)/7)^2)*Table1[[#This Row],[BW40_3705]],"")</f>
        <v/>
      </c>
      <c r="G690" s="2" t="str">
        <f>IF(Table1[[#This Row],[Is Data Valid]]=TRUE,((Table1[[#This Row],[Birthweight (grams)]]/Table1[[#This Row],[BW_GA]])-1)/(Backend!$B$4/100*Table1[[#This Row],[BW40_3705]]),"")</f>
        <v/>
      </c>
      <c r="H690" s="7" t="str">
        <f>IF(Table1[[#This Row],[Is Data Valid]]=TRUE,((Table1[[#This Row],[Birthweight (grams)]]*0.9/Table1[[#This Row],[BW_GA]])-1)/(Backend!$B$4/100*Table1[[#This Row],[BW40_3705]]),"")</f>
        <v/>
      </c>
      <c r="I690" s="7" t="str">
        <f>IF(Table1[[#This Row],[Is Data Valid]]=TRUE,((Table1[[#This Row],[Birthweight (grams)]]*1.1/Table1[[#This Row],[BW_GA]])-1)/(Backend!$B$4/100*Table1[[#This Row],[BW40_3705]]),"")</f>
        <v/>
      </c>
      <c r="J690" s="7" t="str">
        <f>IF(Table1[[#This Row],[Is Data Valid]]=TRUE,_xlfn.NORM.S.DIST(Table1[[#This Row],[Birthweight Z-Score]],TRUE)*100,"")</f>
        <v/>
      </c>
      <c r="K690" s="7" t="str">
        <f>IF(Table1[[#This Row],[Is Data Valid]]=TRUE,_xlfn.NORM.S.DIST(Table1[[#This Row],[Birthweight Z-Score (BW-10%)]],TRUE)*100,"")</f>
        <v/>
      </c>
      <c r="L690" s="7" t="str">
        <f>IF(Table1[[#This Row],[Is Data Valid]]=TRUE,_xlfn.NORM.S.DIST(Table1[[#This Row],[Birthweight Z-Score (BW+10%)]],TRUE)*100,"")</f>
        <v/>
      </c>
    </row>
    <row r="691" spans="1:12" x14ac:dyDescent="0.35">
      <c r="A691" s="3"/>
      <c r="B691" s="2"/>
      <c r="C691" s="2"/>
      <c r="D691" s="2" t="b">
        <f>IF(AND(NOT(ISBLANK(Table1[[#This Row],[Fetal Sex (Male, Female or Unknown)]])),ISNUMBER(Table1[[#This Row],[Birthweight (grams)]]),ISNUMBER(Table1[[#This Row],[Gestation (days)]])),TRUE,FALSE)</f>
        <v>0</v>
      </c>
      <c r="E691" s="2" t="str">
        <f>IF(Table1[[#This Row],[Is Data Valid]]=TRUE,IF(Table1[[#This Row],[Fetal Sex (Male, Female or Unknown)]]="Male",Backend!$C$6,IF(Table1[[#This Row],[Fetal Sex (Male, Female or Unknown)]]="Female",Backend!$C$7,IF(Table1[[#This Row],[Fetal Sex (Male, Female or Unknown)]]="Unknown",Backend!$C$8,"Error"))),"")</f>
        <v/>
      </c>
      <c r="F691" s="8" t="str">
        <f>IF(Table1[[#This Row],[Is Data Valid]]=TRUE,EXP(0.578+0.332*((Table1[[#This Row],[Gestation (days)]]+0.5)/7)-0.00354*((Table1[[#This Row],[Gestation (days)]]+0.5)/7)^2)*Table1[[#This Row],[BW40_3705]],"")</f>
        <v/>
      </c>
      <c r="G691" s="2" t="str">
        <f>IF(Table1[[#This Row],[Is Data Valid]]=TRUE,((Table1[[#This Row],[Birthweight (grams)]]/Table1[[#This Row],[BW_GA]])-1)/(Backend!$B$4/100*Table1[[#This Row],[BW40_3705]]),"")</f>
        <v/>
      </c>
      <c r="H691" s="7" t="str">
        <f>IF(Table1[[#This Row],[Is Data Valid]]=TRUE,((Table1[[#This Row],[Birthweight (grams)]]*0.9/Table1[[#This Row],[BW_GA]])-1)/(Backend!$B$4/100*Table1[[#This Row],[BW40_3705]]),"")</f>
        <v/>
      </c>
      <c r="I691" s="7" t="str">
        <f>IF(Table1[[#This Row],[Is Data Valid]]=TRUE,((Table1[[#This Row],[Birthweight (grams)]]*1.1/Table1[[#This Row],[BW_GA]])-1)/(Backend!$B$4/100*Table1[[#This Row],[BW40_3705]]),"")</f>
        <v/>
      </c>
      <c r="J691" s="7" t="str">
        <f>IF(Table1[[#This Row],[Is Data Valid]]=TRUE,_xlfn.NORM.S.DIST(Table1[[#This Row],[Birthweight Z-Score]],TRUE)*100,"")</f>
        <v/>
      </c>
      <c r="K691" s="7" t="str">
        <f>IF(Table1[[#This Row],[Is Data Valid]]=TRUE,_xlfn.NORM.S.DIST(Table1[[#This Row],[Birthweight Z-Score (BW-10%)]],TRUE)*100,"")</f>
        <v/>
      </c>
      <c r="L691" s="7" t="str">
        <f>IF(Table1[[#This Row],[Is Data Valid]]=TRUE,_xlfn.NORM.S.DIST(Table1[[#This Row],[Birthweight Z-Score (BW+10%)]],TRUE)*100,"")</f>
        <v/>
      </c>
    </row>
    <row r="692" spans="1:12" x14ac:dyDescent="0.35">
      <c r="A692" s="3"/>
      <c r="B692" s="2"/>
      <c r="C692" s="2"/>
      <c r="D692" s="2" t="b">
        <f>IF(AND(NOT(ISBLANK(Table1[[#This Row],[Fetal Sex (Male, Female or Unknown)]])),ISNUMBER(Table1[[#This Row],[Birthweight (grams)]]),ISNUMBER(Table1[[#This Row],[Gestation (days)]])),TRUE,FALSE)</f>
        <v>0</v>
      </c>
      <c r="E692" s="2" t="str">
        <f>IF(Table1[[#This Row],[Is Data Valid]]=TRUE,IF(Table1[[#This Row],[Fetal Sex (Male, Female or Unknown)]]="Male",Backend!$C$6,IF(Table1[[#This Row],[Fetal Sex (Male, Female or Unknown)]]="Female",Backend!$C$7,IF(Table1[[#This Row],[Fetal Sex (Male, Female or Unknown)]]="Unknown",Backend!$C$8,"Error"))),"")</f>
        <v/>
      </c>
      <c r="F692" s="8" t="str">
        <f>IF(Table1[[#This Row],[Is Data Valid]]=TRUE,EXP(0.578+0.332*((Table1[[#This Row],[Gestation (days)]]+0.5)/7)-0.00354*((Table1[[#This Row],[Gestation (days)]]+0.5)/7)^2)*Table1[[#This Row],[BW40_3705]],"")</f>
        <v/>
      </c>
      <c r="G692" s="2" t="str">
        <f>IF(Table1[[#This Row],[Is Data Valid]]=TRUE,((Table1[[#This Row],[Birthweight (grams)]]/Table1[[#This Row],[BW_GA]])-1)/(Backend!$B$4/100*Table1[[#This Row],[BW40_3705]]),"")</f>
        <v/>
      </c>
      <c r="H692" s="7" t="str">
        <f>IF(Table1[[#This Row],[Is Data Valid]]=TRUE,((Table1[[#This Row],[Birthweight (grams)]]*0.9/Table1[[#This Row],[BW_GA]])-1)/(Backend!$B$4/100*Table1[[#This Row],[BW40_3705]]),"")</f>
        <v/>
      </c>
      <c r="I692" s="7" t="str">
        <f>IF(Table1[[#This Row],[Is Data Valid]]=TRUE,((Table1[[#This Row],[Birthweight (grams)]]*1.1/Table1[[#This Row],[BW_GA]])-1)/(Backend!$B$4/100*Table1[[#This Row],[BW40_3705]]),"")</f>
        <v/>
      </c>
      <c r="J692" s="7" t="str">
        <f>IF(Table1[[#This Row],[Is Data Valid]]=TRUE,_xlfn.NORM.S.DIST(Table1[[#This Row],[Birthweight Z-Score]],TRUE)*100,"")</f>
        <v/>
      </c>
      <c r="K692" s="7" t="str">
        <f>IF(Table1[[#This Row],[Is Data Valid]]=TRUE,_xlfn.NORM.S.DIST(Table1[[#This Row],[Birthweight Z-Score (BW-10%)]],TRUE)*100,"")</f>
        <v/>
      </c>
      <c r="L692" s="7" t="str">
        <f>IF(Table1[[#This Row],[Is Data Valid]]=TRUE,_xlfn.NORM.S.DIST(Table1[[#This Row],[Birthweight Z-Score (BW+10%)]],TRUE)*100,"")</f>
        <v/>
      </c>
    </row>
    <row r="693" spans="1:12" x14ac:dyDescent="0.35">
      <c r="A693" s="3"/>
      <c r="B693" s="2"/>
      <c r="C693" s="2"/>
      <c r="D693" s="2" t="b">
        <f>IF(AND(NOT(ISBLANK(Table1[[#This Row],[Fetal Sex (Male, Female or Unknown)]])),ISNUMBER(Table1[[#This Row],[Birthweight (grams)]]),ISNUMBER(Table1[[#This Row],[Gestation (days)]])),TRUE,FALSE)</f>
        <v>0</v>
      </c>
      <c r="E693" s="2" t="str">
        <f>IF(Table1[[#This Row],[Is Data Valid]]=TRUE,IF(Table1[[#This Row],[Fetal Sex (Male, Female or Unknown)]]="Male",Backend!$C$6,IF(Table1[[#This Row],[Fetal Sex (Male, Female or Unknown)]]="Female",Backend!$C$7,IF(Table1[[#This Row],[Fetal Sex (Male, Female or Unknown)]]="Unknown",Backend!$C$8,"Error"))),"")</f>
        <v/>
      </c>
      <c r="F693" s="8" t="str">
        <f>IF(Table1[[#This Row],[Is Data Valid]]=TRUE,EXP(0.578+0.332*((Table1[[#This Row],[Gestation (days)]]+0.5)/7)-0.00354*((Table1[[#This Row],[Gestation (days)]]+0.5)/7)^2)*Table1[[#This Row],[BW40_3705]],"")</f>
        <v/>
      </c>
      <c r="G693" s="2" t="str">
        <f>IF(Table1[[#This Row],[Is Data Valid]]=TRUE,((Table1[[#This Row],[Birthweight (grams)]]/Table1[[#This Row],[BW_GA]])-1)/(Backend!$B$4/100*Table1[[#This Row],[BW40_3705]]),"")</f>
        <v/>
      </c>
      <c r="H693" s="7" t="str">
        <f>IF(Table1[[#This Row],[Is Data Valid]]=TRUE,((Table1[[#This Row],[Birthweight (grams)]]*0.9/Table1[[#This Row],[BW_GA]])-1)/(Backend!$B$4/100*Table1[[#This Row],[BW40_3705]]),"")</f>
        <v/>
      </c>
      <c r="I693" s="7" t="str">
        <f>IF(Table1[[#This Row],[Is Data Valid]]=TRUE,((Table1[[#This Row],[Birthweight (grams)]]*1.1/Table1[[#This Row],[BW_GA]])-1)/(Backend!$B$4/100*Table1[[#This Row],[BW40_3705]]),"")</f>
        <v/>
      </c>
      <c r="J693" s="7" t="str">
        <f>IF(Table1[[#This Row],[Is Data Valid]]=TRUE,_xlfn.NORM.S.DIST(Table1[[#This Row],[Birthweight Z-Score]],TRUE)*100,"")</f>
        <v/>
      </c>
      <c r="K693" s="7" t="str">
        <f>IF(Table1[[#This Row],[Is Data Valid]]=TRUE,_xlfn.NORM.S.DIST(Table1[[#This Row],[Birthweight Z-Score (BW-10%)]],TRUE)*100,"")</f>
        <v/>
      </c>
      <c r="L693" s="7" t="str">
        <f>IF(Table1[[#This Row],[Is Data Valid]]=TRUE,_xlfn.NORM.S.DIST(Table1[[#This Row],[Birthweight Z-Score (BW+10%)]],TRUE)*100,"")</f>
        <v/>
      </c>
    </row>
    <row r="694" spans="1:12" x14ac:dyDescent="0.35">
      <c r="A694" s="3"/>
      <c r="B694" s="2"/>
      <c r="C694" s="2"/>
      <c r="D694" s="2" t="b">
        <f>IF(AND(NOT(ISBLANK(Table1[[#This Row],[Fetal Sex (Male, Female or Unknown)]])),ISNUMBER(Table1[[#This Row],[Birthweight (grams)]]),ISNUMBER(Table1[[#This Row],[Gestation (days)]])),TRUE,FALSE)</f>
        <v>0</v>
      </c>
      <c r="E694" s="2" t="str">
        <f>IF(Table1[[#This Row],[Is Data Valid]]=TRUE,IF(Table1[[#This Row],[Fetal Sex (Male, Female or Unknown)]]="Male",Backend!$C$6,IF(Table1[[#This Row],[Fetal Sex (Male, Female or Unknown)]]="Female",Backend!$C$7,IF(Table1[[#This Row],[Fetal Sex (Male, Female or Unknown)]]="Unknown",Backend!$C$8,"Error"))),"")</f>
        <v/>
      </c>
      <c r="F694" s="8" t="str">
        <f>IF(Table1[[#This Row],[Is Data Valid]]=TRUE,EXP(0.578+0.332*((Table1[[#This Row],[Gestation (days)]]+0.5)/7)-0.00354*((Table1[[#This Row],[Gestation (days)]]+0.5)/7)^2)*Table1[[#This Row],[BW40_3705]],"")</f>
        <v/>
      </c>
      <c r="G694" s="2" t="str">
        <f>IF(Table1[[#This Row],[Is Data Valid]]=TRUE,((Table1[[#This Row],[Birthweight (grams)]]/Table1[[#This Row],[BW_GA]])-1)/(Backend!$B$4/100*Table1[[#This Row],[BW40_3705]]),"")</f>
        <v/>
      </c>
      <c r="H694" s="7" t="str">
        <f>IF(Table1[[#This Row],[Is Data Valid]]=TRUE,((Table1[[#This Row],[Birthweight (grams)]]*0.9/Table1[[#This Row],[BW_GA]])-1)/(Backend!$B$4/100*Table1[[#This Row],[BW40_3705]]),"")</f>
        <v/>
      </c>
      <c r="I694" s="7" t="str">
        <f>IF(Table1[[#This Row],[Is Data Valid]]=TRUE,((Table1[[#This Row],[Birthweight (grams)]]*1.1/Table1[[#This Row],[BW_GA]])-1)/(Backend!$B$4/100*Table1[[#This Row],[BW40_3705]]),"")</f>
        <v/>
      </c>
      <c r="J694" s="7" t="str">
        <f>IF(Table1[[#This Row],[Is Data Valid]]=TRUE,_xlfn.NORM.S.DIST(Table1[[#This Row],[Birthweight Z-Score]],TRUE)*100,"")</f>
        <v/>
      </c>
      <c r="K694" s="7" t="str">
        <f>IF(Table1[[#This Row],[Is Data Valid]]=TRUE,_xlfn.NORM.S.DIST(Table1[[#This Row],[Birthweight Z-Score (BW-10%)]],TRUE)*100,"")</f>
        <v/>
      </c>
      <c r="L694" s="7" t="str">
        <f>IF(Table1[[#This Row],[Is Data Valid]]=TRUE,_xlfn.NORM.S.DIST(Table1[[#This Row],[Birthweight Z-Score (BW+10%)]],TRUE)*100,"")</f>
        <v/>
      </c>
    </row>
    <row r="695" spans="1:12" x14ac:dyDescent="0.35">
      <c r="A695" s="3"/>
      <c r="B695" s="2"/>
      <c r="C695" s="2"/>
      <c r="D695" s="2" t="b">
        <f>IF(AND(NOT(ISBLANK(Table1[[#This Row],[Fetal Sex (Male, Female or Unknown)]])),ISNUMBER(Table1[[#This Row],[Birthweight (grams)]]),ISNUMBER(Table1[[#This Row],[Gestation (days)]])),TRUE,FALSE)</f>
        <v>0</v>
      </c>
      <c r="E695" s="2" t="str">
        <f>IF(Table1[[#This Row],[Is Data Valid]]=TRUE,IF(Table1[[#This Row],[Fetal Sex (Male, Female or Unknown)]]="Male",Backend!$C$6,IF(Table1[[#This Row],[Fetal Sex (Male, Female or Unknown)]]="Female",Backend!$C$7,IF(Table1[[#This Row],[Fetal Sex (Male, Female or Unknown)]]="Unknown",Backend!$C$8,"Error"))),"")</f>
        <v/>
      </c>
      <c r="F695" s="8" t="str">
        <f>IF(Table1[[#This Row],[Is Data Valid]]=TRUE,EXP(0.578+0.332*((Table1[[#This Row],[Gestation (days)]]+0.5)/7)-0.00354*((Table1[[#This Row],[Gestation (days)]]+0.5)/7)^2)*Table1[[#This Row],[BW40_3705]],"")</f>
        <v/>
      </c>
      <c r="G695" s="2" t="str">
        <f>IF(Table1[[#This Row],[Is Data Valid]]=TRUE,((Table1[[#This Row],[Birthweight (grams)]]/Table1[[#This Row],[BW_GA]])-1)/(Backend!$B$4/100*Table1[[#This Row],[BW40_3705]]),"")</f>
        <v/>
      </c>
      <c r="H695" s="7" t="str">
        <f>IF(Table1[[#This Row],[Is Data Valid]]=TRUE,((Table1[[#This Row],[Birthweight (grams)]]*0.9/Table1[[#This Row],[BW_GA]])-1)/(Backend!$B$4/100*Table1[[#This Row],[BW40_3705]]),"")</f>
        <v/>
      </c>
      <c r="I695" s="7" t="str">
        <f>IF(Table1[[#This Row],[Is Data Valid]]=TRUE,((Table1[[#This Row],[Birthweight (grams)]]*1.1/Table1[[#This Row],[BW_GA]])-1)/(Backend!$B$4/100*Table1[[#This Row],[BW40_3705]]),"")</f>
        <v/>
      </c>
      <c r="J695" s="7" t="str">
        <f>IF(Table1[[#This Row],[Is Data Valid]]=TRUE,_xlfn.NORM.S.DIST(Table1[[#This Row],[Birthweight Z-Score]],TRUE)*100,"")</f>
        <v/>
      </c>
      <c r="K695" s="7" t="str">
        <f>IF(Table1[[#This Row],[Is Data Valid]]=TRUE,_xlfn.NORM.S.DIST(Table1[[#This Row],[Birthweight Z-Score (BW-10%)]],TRUE)*100,"")</f>
        <v/>
      </c>
      <c r="L695" s="7" t="str">
        <f>IF(Table1[[#This Row],[Is Data Valid]]=TRUE,_xlfn.NORM.S.DIST(Table1[[#This Row],[Birthweight Z-Score (BW+10%)]],TRUE)*100,"")</f>
        <v/>
      </c>
    </row>
    <row r="696" spans="1:12" x14ac:dyDescent="0.35">
      <c r="A696" s="3"/>
      <c r="B696" s="2"/>
      <c r="C696" s="2"/>
      <c r="D696" s="2" t="b">
        <f>IF(AND(NOT(ISBLANK(Table1[[#This Row],[Fetal Sex (Male, Female or Unknown)]])),ISNUMBER(Table1[[#This Row],[Birthweight (grams)]]),ISNUMBER(Table1[[#This Row],[Gestation (days)]])),TRUE,FALSE)</f>
        <v>0</v>
      </c>
      <c r="E696" s="2" t="str">
        <f>IF(Table1[[#This Row],[Is Data Valid]]=TRUE,IF(Table1[[#This Row],[Fetal Sex (Male, Female or Unknown)]]="Male",Backend!$C$6,IF(Table1[[#This Row],[Fetal Sex (Male, Female or Unknown)]]="Female",Backend!$C$7,IF(Table1[[#This Row],[Fetal Sex (Male, Female or Unknown)]]="Unknown",Backend!$C$8,"Error"))),"")</f>
        <v/>
      </c>
      <c r="F696" s="8" t="str">
        <f>IF(Table1[[#This Row],[Is Data Valid]]=TRUE,EXP(0.578+0.332*((Table1[[#This Row],[Gestation (days)]]+0.5)/7)-0.00354*((Table1[[#This Row],[Gestation (days)]]+0.5)/7)^2)*Table1[[#This Row],[BW40_3705]],"")</f>
        <v/>
      </c>
      <c r="G696" s="2" t="str">
        <f>IF(Table1[[#This Row],[Is Data Valid]]=TRUE,((Table1[[#This Row],[Birthweight (grams)]]/Table1[[#This Row],[BW_GA]])-1)/(Backend!$B$4/100*Table1[[#This Row],[BW40_3705]]),"")</f>
        <v/>
      </c>
      <c r="H696" s="7" t="str">
        <f>IF(Table1[[#This Row],[Is Data Valid]]=TRUE,((Table1[[#This Row],[Birthweight (grams)]]*0.9/Table1[[#This Row],[BW_GA]])-1)/(Backend!$B$4/100*Table1[[#This Row],[BW40_3705]]),"")</f>
        <v/>
      </c>
      <c r="I696" s="7" t="str">
        <f>IF(Table1[[#This Row],[Is Data Valid]]=TRUE,((Table1[[#This Row],[Birthweight (grams)]]*1.1/Table1[[#This Row],[BW_GA]])-1)/(Backend!$B$4/100*Table1[[#This Row],[BW40_3705]]),"")</f>
        <v/>
      </c>
      <c r="J696" s="7" t="str">
        <f>IF(Table1[[#This Row],[Is Data Valid]]=TRUE,_xlfn.NORM.S.DIST(Table1[[#This Row],[Birthweight Z-Score]],TRUE)*100,"")</f>
        <v/>
      </c>
      <c r="K696" s="7" t="str">
        <f>IF(Table1[[#This Row],[Is Data Valid]]=TRUE,_xlfn.NORM.S.DIST(Table1[[#This Row],[Birthweight Z-Score (BW-10%)]],TRUE)*100,"")</f>
        <v/>
      </c>
      <c r="L696" s="7" t="str">
        <f>IF(Table1[[#This Row],[Is Data Valid]]=TRUE,_xlfn.NORM.S.DIST(Table1[[#This Row],[Birthweight Z-Score (BW+10%)]],TRUE)*100,"")</f>
        <v/>
      </c>
    </row>
    <row r="697" spans="1:12" x14ac:dyDescent="0.35">
      <c r="A697" s="3"/>
      <c r="B697" s="2"/>
      <c r="C697" s="2"/>
      <c r="D697" s="2" t="b">
        <f>IF(AND(NOT(ISBLANK(Table1[[#This Row],[Fetal Sex (Male, Female or Unknown)]])),ISNUMBER(Table1[[#This Row],[Birthweight (grams)]]),ISNUMBER(Table1[[#This Row],[Gestation (days)]])),TRUE,FALSE)</f>
        <v>0</v>
      </c>
      <c r="E697" s="2" t="str">
        <f>IF(Table1[[#This Row],[Is Data Valid]]=TRUE,IF(Table1[[#This Row],[Fetal Sex (Male, Female or Unknown)]]="Male",Backend!$C$6,IF(Table1[[#This Row],[Fetal Sex (Male, Female or Unknown)]]="Female",Backend!$C$7,IF(Table1[[#This Row],[Fetal Sex (Male, Female or Unknown)]]="Unknown",Backend!$C$8,"Error"))),"")</f>
        <v/>
      </c>
      <c r="F697" s="8" t="str">
        <f>IF(Table1[[#This Row],[Is Data Valid]]=TRUE,EXP(0.578+0.332*((Table1[[#This Row],[Gestation (days)]]+0.5)/7)-0.00354*((Table1[[#This Row],[Gestation (days)]]+0.5)/7)^2)*Table1[[#This Row],[BW40_3705]],"")</f>
        <v/>
      </c>
      <c r="G697" s="2" t="str">
        <f>IF(Table1[[#This Row],[Is Data Valid]]=TRUE,((Table1[[#This Row],[Birthweight (grams)]]/Table1[[#This Row],[BW_GA]])-1)/(Backend!$B$4/100*Table1[[#This Row],[BW40_3705]]),"")</f>
        <v/>
      </c>
      <c r="H697" s="7" t="str">
        <f>IF(Table1[[#This Row],[Is Data Valid]]=TRUE,((Table1[[#This Row],[Birthweight (grams)]]*0.9/Table1[[#This Row],[BW_GA]])-1)/(Backend!$B$4/100*Table1[[#This Row],[BW40_3705]]),"")</f>
        <v/>
      </c>
      <c r="I697" s="7" t="str">
        <f>IF(Table1[[#This Row],[Is Data Valid]]=TRUE,((Table1[[#This Row],[Birthweight (grams)]]*1.1/Table1[[#This Row],[BW_GA]])-1)/(Backend!$B$4/100*Table1[[#This Row],[BW40_3705]]),"")</f>
        <v/>
      </c>
      <c r="J697" s="7" t="str">
        <f>IF(Table1[[#This Row],[Is Data Valid]]=TRUE,_xlfn.NORM.S.DIST(Table1[[#This Row],[Birthweight Z-Score]],TRUE)*100,"")</f>
        <v/>
      </c>
      <c r="K697" s="7" t="str">
        <f>IF(Table1[[#This Row],[Is Data Valid]]=TRUE,_xlfn.NORM.S.DIST(Table1[[#This Row],[Birthweight Z-Score (BW-10%)]],TRUE)*100,"")</f>
        <v/>
      </c>
      <c r="L697" s="7" t="str">
        <f>IF(Table1[[#This Row],[Is Data Valid]]=TRUE,_xlfn.NORM.S.DIST(Table1[[#This Row],[Birthweight Z-Score (BW+10%)]],TRUE)*100,"")</f>
        <v/>
      </c>
    </row>
    <row r="698" spans="1:12" x14ac:dyDescent="0.35">
      <c r="A698" s="3"/>
      <c r="B698" s="2"/>
      <c r="C698" s="2"/>
      <c r="D698" s="2" t="b">
        <f>IF(AND(NOT(ISBLANK(Table1[[#This Row],[Fetal Sex (Male, Female or Unknown)]])),ISNUMBER(Table1[[#This Row],[Birthweight (grams)]]),ISNUMBER(Table1[[#This Row],[Gestation (days)]])),TRUE,FALSE)</f>
        <v>0</v>
      </c>
      <c r="E698" s="2" t="str">
        <f>IF(Table1[[#This Row],[Is Data Valid]]=TRUE,IF(Table1[[#This Row],[Fetal Sex (Male, Female or Unknown)]]="Male",Backend!$C$6,IF(Table1[[#This Row],[Fetal Sex (Male, Female or Unknown)]]="Female",Backend!$C$7,IF(Table1[[#This Row],[Fetal Sex (Male, Female or Unknown)]]="Unknown",Backend!$C$8,"Error"))),"")</f>
        <v/>
      </c>
      <c r="F698" s="8" t="str">
        <f>IF(Table1[[#This Row],[Is Data Valid]]=TRUE,EXP(0.578+0.332*((Table1[[#This Row],[Gestation (days)]]+0.5)/7)-0.00354*((Table1[[#This Row],[Gestation (days)]]+0.5)/7)^2)*Table1[[#This Row],[BW40_3705]],"")</f>
        <v/>
      </c>
      <c r="G698" s="2" t="str">
        <f>IF(Table1[[#This Row],[Is Data Valid]]=TRUE,((Table1[[#This Row],[Birthweight (grams)]]/Table1[[#This Row],[BW_GA]])-1)/(Backend!$B$4/100*Table1[[#This Row],[BW40_3705]]),"")</f>
        <v/>
      </c>
      <c r="H698" s="7" t="str">
        <f>IF(Table1[[#This Row],[Is Data Valid]]=TRUE,((Table1[[#This Row],[Birthweight (grams)]]*0.9/Table1[[#This Row],[BW_GA]])-1)/(Backend!$B$4/100*Table1[[#This Row],[BW40_3705]]),"")</f>
        <v/>
      </c>
      <c r="I698" s="7" t="str">
        <f>IF(Table1[[#This Row],[Is Data Valid]]=TRUE,((Table1[[#This Row],[Birthweight (grams)]]*1.1/Table1[[#This Row],[BW_GA]])-1)/(Backend!$B$4/100*Table1[[#This Row],[BW40_3705]]),"")</f>
        <v/>
      </c>
      <c r="J698" s="7" t="str">
        <f>IF(Table1[[#This Row],[Is Data Valid]]=TRUE,_xlfn.NORM.S.DIST(Table1[[#This Row],[Birthweight Z-Score]],TRUE)*100,"")</f>
        <v/>
      </c>
      <c r="K698" s="7" t="str">
        <f>IF(Table1[[#This Row],[Is Data Valid]]=TRUE,_xlfn.NORM.S.DIST(Table1[[#This Row],[Birthweight Z-Score (BW-10%)]],TRUE)*100,"")</f>
        <v/>
      </c>
      <c r="L698" s="7" t="str">
        <f>IF(Table1[[#This Row],[Is Data Valid]]=TRUE,_xlfn.NORM.S.DIST(Table1[[#This Row],[Birthweight Z-Score (BW+10%)]],TRUE)*100,"")</f>
        <v/>
      </c>
    </row>
    <row r="699" spans="1:12" x14ac:dyDescent="0.35">
      <c r="A699" s="3"/>
      <c r="B699" s="2"/>
      <c r="C699" s="2"/>
      <c r="D699" s="2" t="b">
        <f>IF(AND(NOT(ISBLANK(Table1[[#This Row],[Fetal Sex (Male, Female or Unknown)]])),ISNUMBER(Table1[[#This Row],[Birthweight (grams)]]),ISNUMBER(Table1[[#This Row],[Gestation (days)]])),TRUE,FALSE)</f>
        <v>0</v>
      </c>
      <c r="E699" s="2" t="str">
        <f>IF(Table1[[#This Row],[Is Data Valid]]=TRUE,IF(Table1[[#This Row],[Fetal Sex (Male, Female or Unknown)]]="Male",Backend!$C$6,IF(Table1[[#This Row],[Fetal Sex (Male, Female or Unknown)]]="Female",Backend!$C$7,IF(Table1[[#This Row],[Fetal Sex (Male, Female or Unknown)]]="Unknown",Backend!$C$8,"Error"))),"")</f>
        <v/>
      </c>
      <c r="F699" s="8" t="str">
        <f>IF(Table1[[#This Row],[Is Data Valid]]=TRUE,EXP(0.578+0.332*((Table1[[#This Row],[Gestation (days)]]+0.5)/7)-0.00354*((Table1[[#This Row],[Gestation (days)]]+0.5)/7)^2)*Table1[[#This Row],[BW40_3705]],"")</f>
        <v/>
      </c>
      <c r="G699" s="2" t="str">
        <f>IF(Table1[[#This Row],[Is Data Valid]]=TRUE,((Table1[[#This Row],[Birthweight (grams)]]/Table1[[#This Row],[BW_GA]])-1)/(Backend!$B$4/100*Table1[[#This Row],[BW40_3705]]),"")</f>
        <v/>
      </c>
      <c r="H699" s="7" t="str">
        <f>IF(Table1[[#This Row],[Is Data Valid]]=TRUE,((Table1[[#This Row],[Birthweight (grams)]]*0.9/Table1[[#This Row],[BW_GA]])-1)/(Backend!$B$4/100*Table1[[#This Row],[BW40_3705]]),"")</f>
        <v/>
      </c>
      <c r="I699" s="7" t="str">
        <f>IF(Table1[[#This Row],[Is Data Valid]]=TRUE,((Table1[[#This Row],[Birthweight (grams)]]*1.1/Table1[[#This Row],[BW_GA]])-1)/(Backend!$B$4/100*Table1[[#This Row],[BW40_3705]]),"")</f>
        <v/>
      </c>
      <c r="J699" s="7" t="str">
        <f>IF(Table1[[#This Row],[Is Data Valid]]=TRUE,_xlfn.NORM.S.DIST(Table1[[#This Row],[Birthweight Z-Score]],TRUE)*100,"")</f>
        <v/>
      </c>
      <c r="K699" s="7" t="str">
        <f>IF(Table1[[#This Row],[Is Data Valid]]=TRUE,_xlfn.NORM.S.DIST(Table1[[#This Row],[Birthweight Z-Score (BW-10%)]],TRUE)*100,"")</f>
        <v/>
      </c>
      <c r="L699" s="7" t="str">
        <f>IF(Table1[[#This Row],[Is Data Valid]]=TRUE,_xlfn.NORM.S.DIST(Table1[[#This Row],[Birthweight Z-Score (BW+10%)]],TRUE)*100,"")</f>
        <v/>
      </c>
    </row>
    <row r="700" spans="1:12" x14ac:dyDescent="0.35">
      <c r="A700" s="3"/>
      <c r="B700" s="2"/>
      <c r="C700" s="2"/>
      <c r="D700" s="2" t="b">
        <f>IF(AND(NOT(ISBLANK(Table1[[#This Row],[Fetal Sex (Male, Female or Unknown)]])),ISNUMBER(Table1[[#This Row],[Birthweight (grams)]]),ISNUMBER(Table1[[#This Row],[Gestation (days)]])),TRUE,FALSE)</f>
        <v>0</v>
      </c>
      <c r="E700" s="2" t="str">
        <f>IF(Table1[[#This Row],[Is Data Valid]]=TRUE,IF(Table1[[#This Row],[Fetal Sex (Male, Female or Unknown)]]="Male",Backend!$C$6,IF(Table1[[#This Row],[Fetal Sex (Male, Female or Unknown)]]="Female",Backend!$C$7,IF(Table1[[#This Row],[Fetal Sex (Male, Female or Unknown)]]="Unknown",Backend!$C$8,"Error"))),"")</f>
        <v/>
      </c>
      <c r="F700" s="8" t="str">
        <f>IF(Table1[[#This Row],[Is Data Valid]]=TRUE,EXP(0.578+0.332*((Table1[[#This Row],[Gestation (days)]]+0.5)/7)-0.00354*((Table1[[#This Row],[Gestation (days)]]+0.5)/7)^2)*Table1[[#This Row],[BW40_3705]],"")</f>
        <v/>
      </c>
      <c r="G700" s="2" t="str">
        <f>IF(Table1[[#This Row],[Is Data Valid]]=TRUE,((Table1[[#This Row],[Birthweight (grams)]]/Table1[[#This Row],[BW_GA]])-1)/(Backend!$B$4/100*Table1[[#This Row],[BW40_3705]]),"")</f>
        <v/>
      </c>
      <c r="H700" s="7" t="str">
        <f>IF(Table1[[#This Row],[Is Data Valid]]=TRUE,((Table1[[#This Row],[Birthweight (grams)]]*0.9/Table1[[#This Row],[BW_GA]])-1)/(Backend!$B$4/100*Table1[[#This Row],[BW40_3705]]),"")</f>
        <v/>
      </c>
      <c r="I700" s="7" t="str">
        <f>IF(Table1[[#This Row],[Is Data Valid]]=TRUE,((Table1[[#This Row],[Birthweight (grams)]]*1.1/Table1[[#This Row],[BW_GA]])-1)/(Backend!$B$4/100*Table1[[#This Row],[BW40_3705]]),"")</f>
        <v/>
      </c>
      <c r="J700" s="7" t="str">
        <f>IF(Table1[[#This Row],[Is Data Valid]]=TRUE,_xlfn.NORM.S.DIST(Table1[[#This Row],[Birthweight Z-Score]],TRUE)*100,"")</f>
        <v/>
      </c>
      <c r="K700" s="7" t="str">
        <f>IF(Table1[[#This Row],[Is Data Valid]]=TRUE,_xlfn.NORM.S.DIST(Table1[[#This Row],[Birthweight Z-Score (BW-10%)]],TRUE)*100,"")</f>
        <v/>
      </c>
      <c r="L700" s="7" t="str">
        <f>IF(Table1[[#This Row],[Is Data Valid]]=TRUE,_xlfn.NORM.S.DIST(Table1[[#This Row],[Birthweight Z-Score (BW+10%)]],TRUE)*100,"")</f>
        <v/>
      </c>
    </row>
    <row r="701" spans="1:12" x14ac:dyDescent="0.35">
      <c r="A701" s="3"/>
      <c r="B701" s="2"/>
      <c r="C701" s="2"/>
      <c r="D701" s="2" t="b">
        <f>IF(AND(NOT(ISBLANK(Table1[[#This Row],[Fetal Sex (Male, Female or Unknown)]])),ISNUMBER(Table1[[#This Row],[Birthweight (grams)]]),ISNUMBER(Table1[[#This Row],[Gestation (days)]])),TRUE,FALSE)</f>
        <v>0</v>
      </c>
      <c r="E701" s="2" t="str">
        <f>IF(Table1[[#This Row],[Is Data Valid]]=TRUE,IF(Table1[[#This Row],[Fetal Sex (Male, Female or Unknown)]]="Male",Backend!$C$6,IF(Table1[[#This Row],[Fetal Sex (Male, Female or Unknown)]]="Female",Backend!$C$7,IF(Table1[[#This Row],[Fetal Sex (Male, Female or Unknown)]]="Unknown",Backend!$C$8,"Error"))),"")</f>
        <v/>
      </c>
      <c r="F701" s="8" t="str">
        <f>IF(Table1[[#This Row],[Is Data Valid]]=TRUE,EXP(0.578+0.332*((Table1[[#This Row],[Gestation (days)]]+0.5)/7)-0.00354*((Table1[[#This Row],[Gestation (days)]]+0.5)/7)^2)*Table1[[#This Row],[BW40_3705]],"")</f>
        <v/>
      </c>
      <c r="G701" s="2" t="str">
        <f>IF(Table1[[#This Row],[Is Data Valid]]=TRUE,((Table1[[#This Row],[Birthweight (grams)]]/Table1[[#This Row],[BW_GA]])-1)/(Backend!$B$4/100*Table1[[#This Row],[BW40_3705]]),"")</f>
        <v/>
      </c>
      <c r="H701" s="7" t="str">
        <f>IF(Table1[[#This Row],[Is Data Valid]]=TRUE,((Table1[[#This Row],[Birthweight (grams)]]*0.9/Table1[[#This Row],[BW_GA]])-1)/(Backend!$B$4/100*Table1[[#This Row],[BW40_3705]]),"")</f>
        <v/>
      </c>
      <c r="I701" s="7" t="str">
        <f>IF(Table1[[#This Row],[Is Data Valid]]=TRUE,((Table1[[#This Row],[Birthweight (grams)]]*1.1/Table1[[#This Row],[BW_GA]])-1)/(Backend!$B$4/100*Table1[[#This Row],[BW40_3705]]),"")</f>
        <v/>
      </c>
      <c r="J701" s="7" t="str">
        <f>IF(Table1[[#This Row],[Is Data Valid]]=TRUE,_xlfn.NORM.S.DIST(Table1[[#This Row],[Birthweight Z-Score]],TRUE)*100,"")</f>
        <v/>
      </c>
      <c r="K701" s="7" t="str">
        <f>IF(Table1[[#This Row],[Is Data Valid]]=TRUE,_xlfn.NORM.S.DIST(Table1[[#This Row],[Birthweight Z-Score (BW-10%)]],TRUE)*100,"")</f>
        <v/>
      </c>
      <c r="L701" s="7" t="str">
        <f>IF(Table1[[#This Row],[Is Data Valid]]=TRUE,_xlfn.NORM.S.DIST(Table1[[#This Row],[Birthweight Z-Score (BW+10%)]],TRUE)*100,"")</f>
        <v/>
      </c>
    </row>
    <row r="702" spans="1:12" x14ac:dyDescent="0.35">
      <c r="A702" s="3"/>
      <c r="B702" s="2"/>
      <c r="C702" s="2"/>
      <c r="D702" s="2" t="b">
        <f>IF(AND(NOT(ISBLANK(Table1[[#This Row],[Fetal Sex (Male, Female or Unknown)]])),ISNUMBER(Table1[[#This Row],[Birthweight (grams)]]),ISNUMBER(Table1[[#This Row],[Gestation (days)]])),TRUE,FALSE)</f>
        <v>0</v>
      </c>
      <c r="E702" s="2" t="str">
        <f>IF(Table1[[#This Row],[Is Data Valid]]=TRUE,IF(Table1[[#This Row],[Fetal Sex (Male, Female or Unknown)]]="Male",Backend!$C$6,IF(Table1[[#This Row],[Fetal Sex (Male, Female or Unknown)]]="Female",Backend!$C$7,IF(Table1[[#This Row],[Fetal Sex (Male, Female or Unknown)]]="Unknown",Backend!$C$8,"Error"))),"")</f>
        <v/>
      </c>
      <c r="F702" s="8" t="str">
        <f>IF(Table1[[#This Row],[Is Data Valid]]=TRUE,EXP(0.578+0.332*((Table1[[#This Row],[Gestation (days)]]+0.5)/7)-0.00354*((Table1[[#This Row],[Gestation (days)]]+0.5)/7)^2)*Table1[[#This Row],[BW40_3705]],"")</f>
        <v/>
      </c>
      <c r="G702" s="2" t="str">
        <f>IF(Table1[[#This Row],[Is Data Valid]]=TRUE,((Table1[[#This Row],[Birthweight (grams)]]/Table1[[#This Row],[BW_GA]])-1)/(Backend!$B$4/100*Table1[[#This Row],[BW40_3705]]),"")</f>
        <v/>
      </c>
      <c r="H702" s="7" t="str">
        <f>IF(Table1[[#This Row],[Is Data Valid]]=TRUE,((Table1[[#This Row],[Birthweight (grams)]]*0.9/Table1[[#This Row],[BW_GA]])-1)/(Backend!$B$4/100*Table1[[#This Row],[BW40_3705]]),"")</f>
        <v/>
      </c>
      <c r="I702" s="7" t="str">
        <f>IF(Table1[[#This Row],[Is Data Valid]]=TRUE,((Table1[[#This Row],[Birthweight (grams)]]*1.1/Table1[[#This Row],[BW_GA]])-1)/(Backend!$B$4/100*Table1[[#This Row],[BW40_3705]]),"")</f>
        <v/>
      </c>
      <c r="J702" s="7" t="str">
        <f>IF(Table1[[#This Row],[Is Data Valid]]=TRUE,_xlfn.NORM.S.DIST(Table1[[#This Row],[Birthweight Z-Score]],TRUE)*100,"")</f>
        <v/>
      </c>
      <c r="K702" s="7" t="str">
        <f>IF(Table1[[#This Row],[Is Data Valid]]=TRUE,_xlfn.NORM.S.DIST(Table1[[#This Row],[Birthweight Z-Score (BW-10%)]],TRUE)*100,"")</f>
        <v/>
      </c>
      <c r="L702" s="7" t="str">
        <f>IF(Table1[[#This Row],[Is Data Valid]]=TRUE,_xlfn.NORM.S.DIST(Table1[[#This Row],[Birthweight Z-Score (BW+10%)]],TRUE)*100,"")</f>
        <v/>
      </c>
    </row>
    <row r="703" spans="1:12" x14ac:dyDescent="0.35">
      <c r="A703" s="3"/>
      <c r="B703" s="2"/>
      <c r="C703" s="2"/>
      <c r="D703" s="2" t="b">
        <f>IF(AND(NOT(ISBLANK(Table1[[#This Row],[Fetal Sex (Male, Female or Unknown)]])),ISNUMBER(Table1[[#This Row],[Birthweight (grams)]]),ISNUMBER(Table1[[#This Row],[Gestation (days)]])),TRUE,FALSE)</f>
        <v>0</v>
      </c>
      <c r="E703" s="2" t="str">
        <f>IF(Table1[[#This Row],[Is Data Valid]]=TRUE,IF(Table1[[#This Row],[Fetal Sex (Male, Female or Unknown)]]="Male",Backend!$C$6,IF(Table1[[#This Row],[Fetal Sex (Male, Female or Unknown)]]="Female",Backend!$C$7,IF(Table1[[#This Row],[Fetal Sex (Male, Female or Unknown)]]="Unknown",Backend!$C$8,"Error"))),"")</f>
        <v/>
      </c>
      <c r="F703" s="8" t="str">
        <f>IF(Table1[[#This Row],[Is Data Valid]]=TRUE,EXP(0.578+0.332*((Table1[[#This Row],[Gestation (days)]]+0.5)/7)-0.00354*((Table1[[#This Row],[Gestation (days)]]+0.5)/7)^2)*Table1[[#This Row],[BW40_3705]],"")</f>
        <v/>
      </c>
      <c r="G703" s="2" t="str">
        <f>IF(Table1[[#This Row],[Is Data Valid]]=TRUE,((Table1[[#This Row],[Birthweight (grams)]]/Table1[[#This Row],[BW_GA]])-1)/(Backend!$B$4/100*Table1[[#This Row],[BW40_3705]]),"")</f>
        <v/>
      </c>
      <c r="H703" s="7" t="str">
        <f>IF(Table1[[#This Row],[Is Data Valid]]=TRUE,((Table1[[#This Row],[Birthweight (grams)]]*0.9/Table1[[#This Row],[BW_GA]])-1)/(Backend!$B$4/100*Table1[[#This Row],[BW40_3705]]),"")</f>
        <v/>
      </c>
      <c r="I703" s="7" t="str">
        <f>IF(Table1[[#This Row],[Is Data Valid]]=TRUE,((Table1[[#This Row],[Birthweight (grams)]]*1.1/Table1[[#This Row],[BW_GA]])-1)/(Backend!$B$4/100*Table1[[#This Row],[BW40_3705]]),"")</f>
        <v/>
      </c>
      <c r="J703" s="7" t="str">
        <f>IF(Table1[[#This Row],[Is Data Valid]]=TRUE,_xlfn.NORM.S.DIST(Table1[[#This Row],[Birthweight Z-Score]],TRUE)*100,"")</f>
        <v/>
      </c>
      <c r="K703" s="7" t="str">
        <f>IF(Table1[[#This Row],[Is Data Valid]]=TRUE,_xlfn.NORM.S.DIST(Table1[[#This Row],[Birthweight Z-Score (BW-10%)]],TRUE)*100,"")</f>
        <v/>
      </c>
      <c r="L703" s="7" t="str">
        <f>IF(Table1[[#This Row],[Is Data Valid]]=TRUE,_xlfn.NORM.S.DIST(Table1[[#This Row],[Birthweight Z-Score (BW+10%)]],TRUE)*100,"")</f>
        <v/>
      </c>
    </row>
    <row r="704" spans="1:12" x14ac:dyDescent="0.35">
      <c r="A704" s="3"/>
      <c r="B704" s="2"/>
      <c r="C704" s="2"/>
      <c r="D704" s="2" t="b">
        <f>IF(AND(NOT(ISBLANK(Table1[[#This Row],[Fetal Sex (Male, Female or Unknown)]])),ISNUMBER(Table1[[#This Row],[Birthweight (grams)]]),ISNUMBER(Table1[[#This Row],[Gestation (days)]])),TRUE,FALSE)</f>
        <v>0</v>
      </c>
      <c r="E704" s="2" t="str">
        <f>IF(Table1[[#This Row],[Is Data Valid]]=TRUE,IF(Table1[[#This Row],[Fetal Sex (Male, Female or Unknown)]]="Male",Backend!$C$6,IF(Table1[[#This Row],[Fetal Sex (Male, Female or Unknown)]]="Female",Backend!$C$7,IF(Table1[[#This Row],[Fetal Sex (Male, Female or Unknown)]]="Unknown",Backend!$C$8,"Error"))),"")</f>
        <v/>
      </c>
      <c r="F704" s="8" t="str">
        <f>IF(Table1[[#This Row],[Is Data Valid]]=TRUE,EXP(0.578+0.332*((Table1[[#This Row],[Gestation (days)]]+0.5)/7)-0.00354*((Table1[[#This Row],[Gestation (days)]]+0.5)/7)^2)*Table1[[#This Row],[BW40_3705]],"")</f>
        <v/>
      </c>
      <c r="G704" s="2" t="str">
        <f>IF(Table1[[#This Row],[Is Data Valid]]=TRUE,((Table1[[#This Row],[Birthweight (grams)]]/Table1[[#This Row],[BW_GA]])-1)/(Backend!$B$4/100*Table1[[#This Row],[BW40_3705]]),"")</f>
        <v/>
      </c>
      <c r="H704" s="7" t="str">
        <f>IF(Table1[[#This Row],[Is Data Valid]]=TRUE,((Table1[[#This Row],[Birthweight (grams)]]*0.9/Table1[[#This Row],[BW_GA]])-1)/(Backend!$B$4/100*Table1[[#This Row],[BW40_3705]]),"")</f>
        <v/>
      </c>
      <c r="I704" s="7" t="str">
        <f>IF(Table1[[#This Row],[Is Data Valid]]=TRUE,((Table1[[#This Row],[Birthweight (grams)]]*1.1/Table1[[#This Row],[BW_GA]])-1)/(Backend!$B$4/100*Table1[[#This Row],[BW40_3705]]),"")</f>
        <v/>
      </c>
      <c r="J704" s="7" t="str">
        <f>IF(Table1[[#This Row],[Is Data Valid]]=TRUE,_xlfn.NORM.S.DIST(Table1[[#This Row],[Birthweight Z-Score]],TRUE)*100,"")</f>
        <v/>
      </c>
      <c r="K704" s="7" t="str">
        <f>IF(Table1[[#This Row],[Is Data Valid]]=TRUE,_xlfn.NORM.S.DIST(Table1[[#This Row],[Birthweight Z-Score (BW-10%)]],TRUE)*100,"")</f>
        <v/>
      </c>
      <c r="L704" s="7" t="str">
        <f>IF(Table1[[#This Row],[Is Data Valid]]=TRUE,_xlfn.NORM.S.DIST(Table1[[#This Row],[Birthweight Z-Score (BW+10%)]],TRUE)*100,"")</f>
        <v/>
      </c>
    </row>
    <row r="705" spans="1:12" x14ac:dyDescent="0.35">
      <c r="A705" s="3"/>
      <c r="B705" s="2"/>
      <c r="C705" s="2"/>
      <c r="D705" s="2" t="b">
        <f>IF(AND(NOT(ISBLANK(Table1[[#This Row],[Fetal Sex (Male, Female or Unknown)]])),ISNUMBER(Table1[[#This Row],[Birthweight (grams)]]),ISNUMBER(Table1[[#This Row],[Gestation (days)]])),TRUE,FALSE)</f>
        <v>0</v>
      </c>
      <c r="E705" s="2" t="str">
        <f>IF(Table1[[#This Row],[Is Data Valid]]=TRUE,IF(Table1[[#This Row],[Fetal Sex (Male, Female or Unknown)]]="Male",Backend!$C$6,IF(Table1[[#This Row],[Fetal Sex (Male, Female or Unknown)]]="Female",Backend!$C$7,IF(Table1[[#This Row],[Fetal Sex (Male, Female or Unknown)]]="Unknown",Backend!$C$8,"Error"))),"")</f>
        <v/>
      </c>
      <c r="F705" s="8" t="str">
        <f>IF(Table1[[#This Row],[Is Data Valid]]=TRUE,EXP(0.578+0.332*((Table1[[#This Row],[Gestation (days)]]+0.5)/7)-0.00354*((Table1[[#This Row],[Gestation (days)]]+0.5)/7)^2)*Table1[[#This Row],[BW40_3705]],"")</f>
        <v/>
      </c>
      <c r="G705" s="2" t="str">
        <f>IF(Table1[[#This Row],[Is Data Valid]]=TRUE,((Table1[[#This Row],[Birthweight (grams)]]/Table1[[#This Row],[BW_GA]])-1)/(Backend!$B$4/100*Table1[[#This Row],[BW40_3705]]),"")</f>
        <v/>
      </c>
      <c r="H705" s="7" t="str">
        <f>IF(Table1[[#This Row],[Is Data Valid]]=TRUE,((Table1[[#This Row],[Birthweight (grams)]]*0.9/Table1[[#This Row],[BW_GA]])-1)/(Backend!$B$4/100*Table1[[#This Row],[BW40_3705]]),"")</f>
        <v/>
      </c>
      <c r="I705" s="7" t="str">
        <f>IF(Table1[[#This Row],[Is Data Valid]]=TRUE,((Table1[[#This Row],[Birthweight (grams)]]*1.1/Table1[[#This Row],[BW_GA]])-1)/(Backend!$B$4/100*Table1[[#This Row],[BW40_3705]]),"")</f>
        <v/>
      </c>
      <c r="J705" s="7" t="str">
        <f>IF(Table1[[#This Row],[Is Data Valid]]=TRUE,_xlfn.NORM.S.DIST(Table1[[#This Row],[Birthweight Z-Score]],TRUE)*100,"")</f>
        <v/>
      </c>
      <c r="K705" s="7" t="str">
        <f>IF(Table1[[#This Row],[Is Data Valid]]=TRUE,_xlfn.NORM.S.DIST(Table1[[#This Row],[Birthweight Z-Score (BW-10%)]],TRUE)*100,"")</f>
        <v/>
      </c>
      <c r="L705" s="7" t="str">
        <f>IF(Table1[[#This Row],[Is Data Valid]]=TRUE,_xlfn.NORM.S.DIST(Table1[[#This Row],[Birthweight Z-Score (BW+10%)]],TRUE)*100,"")</f>
        <v/>
      </c>
    </row>
    <row r="706" spans="1:12" x14ac:dyDescent="0.35">
      <c r="A706" s="3"/>
      <c r="B706" s="2"/>
      <c r="C706" s="2"/>
      <c r="D706" s="2" t="b">
        <f>IF(AND(NOT(ISBLANK(Table1[[#This Row],[Fetal Sex (Male, Female or Unknown)]])),ISNUMBER(Table1[[#This Row],[Birthweight (grams)]]),ISNUMBER(Table1[[#This Row],[Gestation (days)]])),TRUE,FALSE)</f>
        <v>0</v>
      </c>
      <c r="E706" s="2" t="str">
        <f>IF(Table1[[#This Row],[Is Data Valid]]=TRUE,IF(Table1[[#This Row],[Fetal Sex (Male, Female or Unknown)]]="Male",Backend!$C$6,IF(Table1[[#This Row],[Fetal Sex (Male, Female or Unknown)]]="Female",Backend!$C$7,IF(Table1[[#This Row],[Fetal Sex (Male, Female or Unknown)]]="Unknown",Backend!$C$8,"Error"))),"")</f>
        <v/>
      </c>
      <c r="F706" s="8" t="str">
        <f>IF(Table1[[#This Row],[Is Data Valid]]=TRUE,EXP(0.578+0.332*((Table1[[#This Row],[Gestation (days)]]+0.5)/7)-0.00354*((Table1[[#This Row],[Gestation (days)]]+0.5)/7)^2)*Table1[[#This Row],[BW40_3705]],"")</f>
        <v/>
      </c>
      <c r="G706" s="2" t="str">
        <f>IF(Table1[[#This Row],[Is Data Valid]]=TRUE,((Table1[[#This Row],[Birthweight (grams)]]/Table1[[#This Row],[BW_GA]])-1)/(Backend!$B$4/100*Table1[[#This Row],[BW40_3705]]),"")</f>
        <v/>
      </c>
      <c r="H706" s="7" t="str">
        <f>IF(Table1[[#This Row],[Is Data Valid]]=TRUE,((Table1[[#This Row],[Birthweight (grams)]]*0.9/Table1[[#This Row],[BW_GA]])-1)/(Backend!$B$4/100*Table1[[#This Row],[BW40_3705]]),"")</f>
        <v/>
      </c>
      <c r="I706" s="7" t="str">
        <f>IF(Table1[[#This Row],[Is Data Valid]]=TRUE,((Table1[[#This Row],[Birthweight (grams)]]*1.1/Table1[[#This Row],[BW_GA]])-1)/(Backend!$B$4/100*Table1[[#This Row],[BW40_3705]]),"")</f>
        <v/>
      </c>
      <c r="J706" s="7" t="str">
        <f>IF(Table1[[#This Row],[Is Data Valid]]=TRUE,_xlfn.NORM.S.DIST(Table1[[#This Row],[Birthweight Z-Score]],TRUE)*100,"")</f>
        <v/>
      </c>
      <c r="K706" s="7" t="str">
        <f>IF(Table1[[#This Row],[Is Data Valid]]=TRUE,_xlfn.NORM.S.DIST(Table1[[#This Row],[Birthweight Z-Score (BW-10%)]],TRUE)*100,"")</f>
        <v/>
      </c>
      <c r="L706" s="7" t="str">
        <f>IF(Table1[[#This Row],[Is Data Valid]]=TRUE,_xlfn.NORM.S.DIST(Table1[[#This Row],[Birthweight Z-Score (BW+10%)]],TRUE)*100,"")</f>
        <v/>
      </c>
    </row>
    <row r="707" spans="1:12" x14ac:dyDescent="0.35">
      <c r="A707" s="3"/>
      <c r="B707" s="2"/>
      <c r="C707" s="2"/>
      <c r="D707" s="2" t="b">
        <f>IF(AND(NOT(ISBLANK(Table1[[#This Row],[Fetal Sex (Male, Female or Unknown)]])),ISNUMBER(Table1[[#This Row],[Birthweight (grams)]]),ISNUMBER(Table1[[#This Row],[Gestation (days)]])),TRUE,FALSE)</f>
        <v>0</v>
      </c>
      <c r="E707" s="2" t="str">
        <f>IF(Table1[[#This Row],[Is Data Valid]]=TRUE,IF(Table1[[#This Row],[Fetal Sex (Male, Female or Unknown)]]="Male",Backend!$C$6,IF(Table1[[#This Row],[Fetal Sex (Male, Female or Unknown)]]="Female",Backend!$C$7,IF(Table1[[#This Row],[Fetal Sex (Male, Female or Unknown)]]="Unknown",Backend!$C$8,"Error"))),"")</f>
        <v/>
      </c>
      <c r="F707" s="8" t="str">
        <f>IF(Table1[[#This Row],[Is Data Valid]]=TRUE,EXP(0.578+0.332*((Table1[[#This Row],[Gestation (days)]]+0.5)/7)-0.00354*((Table1[[#This Row],[Gestation (days)]]+0.5)/7)^2)*Table1[[#This Row],[BW40_3705]],"")</f>
        <v/>
      </c>
      <c r="G707" s="2" t="str">
        <f>IF(Table1[[#This Row],[Is Data Valid]]=TRUE,((Table1[[#This Row],[Birthweight (grams)]]/Table1[[#This Row],[BW_GA]])-1)/(Backend!$B$4/100*Table1[[#This Row],[BW40_3705]]),"")</f>
        <v/>
      </c>
      <c r="H707" s="7" t="str">
        <f>IF(Table1[[#This Row],[Is Data Valid]]=TRUE,((Table1[[#This Row],[Birthweight (grams)]]*0.9/Table1[[#This Row],[BW_GA]])-1)/(Backend!$B$4/100*Table1[[#This Row],[BW40_3705]]),"")</f>
        <v/>
      </c>
      <c r="I707" s="7" t="str">
        <f>IF(Table1[[#This Row],[Is Data Valid]]=TRUE,((Table1[[#This Row],[Birthweight (grams)]]*1.1/Table1[[#This Row],[BW_GA]])-1)/(Backend!$B$4/100*Table1[[#This Row],[BW40_3705]]),"")</f>
        <v/>
      </c>
      <c r="J707" s="7" t="str">
        <f>IF(Table1[[#This Row],[Is Data Valid]]=TRUE,_xlfn.NORM.S.DIST(Table1[[#This Row],[Birthweight Z-Score]],TRUE)*100,"")</f>
        <v/>
      </c>
      <c r="K707" s="7" t="str">
        <f>IF(Table1[[#This Row],[Is Data Valid]]=TRUE,_xlfn.NORM.S.DIST(Table1[[#This Row],[Birthweight Z-Score (BW-10%)]],TRUE)*100,"")</f>
        <v/>
      </c>
      <c r="L707" s="7" t="str">
        <f>IF(Table1[[#This Row],[Is Data Valid]]=TRUE,_xlfn.NORM.S.DIST(Table1[[#This Row],[Birthweight Z-Score (BW+10%)]],TRUE)*100,"")</f>
        <v/>
      </c>
    </row>
    <row r="708" spans="1:12" x14ac:dyDescent="0.35">
      <c r="A708" s="3"/>
      <c r="B708" s="2"/>
      <c r="C708" s="2"/>
      <c r="D708" s="2" t="b">
        <f>IF(AND(NOT(ISBLANK(Table1[[#This Row],[Fetal Sex (Male, Female or Unknown)]])),ISNUMBER(Table1[[#This Row],[Birthweight (grams)]]),ISNUMBER(Table1[[#This Row],[Gestation (days)]])),TRUE,FALSE)</f>
        <v>0</v>
      </c>
      <c r="E708" s="2" t="str">
        <f>IF(Table1[[#This Row],[Is Data Valid]]=TRUE,IF(Table1[[#This Row],[Fetal Sex (Male, Female or Unknown)]]="Male",Backend!$C$6,IF(Table1[[#This Row],[Fetal Sex (Male, Female or Unknown)]]="Female",Backend!$C$7,IF(Table1[[#This Row],[Fetal Sex (Male, Female or Unknown)]]="Unknown",Backend!$C$8,"Error"))),"")</f>
        <v/>
      </c>
      <c r="F708" s="8" t="str">
        <f>IF(Table1[[#This Row],[Is Data Valid]]=TRUE,EXP(0.578+0.332*((Table1[[#This Row],[Gestation (days)]]+0.5)/7)-0.00354*((Table1[[#This Row],[Gestation (days)]]+0.5)/7)^2)*Table1[[#This Row],[BW40_3705]],"")</f>
        <v/>
      </c>
      <c r="G708" s="2" t="str">
        <f>IF(Table1[[#This Row],[Is Data Valid]]=TRUE,((Table1[[#This Row],[Birthweight (grams)]]/Table1[[#This Row],[BW_GA]])-1)/(Backend!$B$4/100*Table1[[#This Row],[BW40_3705]]),"")</f>
        <v/>
      </c>
      <c r="H708" s="7" t="str">
        <f>IF(Table1[[#This Row],[Is Data Valid]]=TRUE,((Table1[[#This Row],[Birthweight (grams)]]*0.9/Table1[[#This Row],[BW_GA]])-1)/(Backend!$B$4/100*Table1[[#This Row],[BW40_3705]]),"")</f>
        <v/>
      </c>
      <c r="I708" s="7" t="str">
        <f>IF(Table1[[#This Row],[Is Data Valid]]=TRUE,((Table1[[#This Row],[Birthweight (grams)]]*1.1/Table1[[#This Row],[BW_GA]])-1)/(Backend!$B$4/100*Table1[[#This Row],[BW40_3705]]),"")</f>
        <v/>
      </c>
      <c r="J708" s="7" t="str">
        <f>IF(Table1[[#This Row],[Is Data Valid]]=TRUE,_xlfn.NORM.S.DIST(Table1[[#This Row],[Birthweight Z-Score]],TRUE)*100,"")</f>
        <v/>
      </c>
      <c r="K708" s="7" t="str">
        <f>IF(Table1[[#This Row],[Is Data Valid]]=TRUE,_xlfn.NORM.S.DIST(Table1[[#This Row],[Birthweight Z-Score (BW-10%)]],TRUE)*100,"")</f>
        <v/>
      </c>
      <c r="L708" s="7" t="str">
        <f>IF(Table1[[#This Row],[Is Data Valid]]=TRUE,_xlfn.NORM.S.DIST(Table1[[#This Row],[Birthweight Z-Score (BW+10%)]],TRUE)*100,"")</f>
        <v/>
      </c>
    </row>
    <row r="709" spans="1:12" x14ac:dyDescent="0.35">
      <c r="A709" s="3"/>
      <c r="B709" s="2"/>
      <c r="C709" s="2"/>
      <c r="D709" s="2" t="b">
        <f>IF(AND(NOT(ISBLANK(Table1[[#This Row],[Fetal Sex (Male, Female or Unknown)]])),ISNUMBER(Table1[[#This Row],[Birthweight (grams)]]),ISNUMBER(Table1[[#This Row],[Gestation (days)]])),TRUE,FALSE)</f>
        <v>0</v>
      </c>
      <c r="E709" s="2" t="str">
        <f>IF(Table1[[#This Row],[Is Data Valid]]=TRUE,IF(Table1[[#This Row],[Fetal Sex (Male, Female or Unknown)]]="Male",Backend!$C$6,IF(Table1[[#This Row],[Fetal Sex (Male, Female or Unknown)]]="Female",Backend!$C$7,IF(Table1[[#This Row],[Fetal Sex (Male, Female or Unknown)]]="Unknown",Backend!$C$8,"Error"))),"")</f>
        <v/>
      </c>
      <c r="F709" s="8" t="str">
        <f>IF(Table1[[#This Row],[Is Data Valid]]=TRUE,EXP(0.578+0.332*((Table1[[#This Row],[Gestation (days)]]+0.5)/7)-0.00354*((Table1[[#This Row],[Gestation (days)]]+0.5)/7)^2)*Table1[[#This Row],[BW40_3705]],"")</f>
        <v/>
      </c>
      <c r="G709" s="2" t="str">
        <f>IF(Table1[[#This Row],[Is Data Valid]]=TRUE,((Table1[[#This Row],[Birthweight (grams)]]/Table1[[#This Row],[BW_GA]])-1)/(Backend!$B$4/100*Table1[[#This Row],[BW40_3705]]),"")</f>
        <v/>
      </c>
      <c r="H709" s="7" t="str">
        <f>IF(Table1[[#This Row],[Is Data Valid]]=TRUE,((Table1[[#This Row],[Birthweight (grams)]]*0.9/Table1[[#This Row],[BW_GA]])-1)/(Backend!$B$4/100*Table1[[#This Row],[BW40_3705]]),"")</f>
        <v/>
      </c>
      <c r="I709" s="7" t="str">
        <f>IF(Table1[[#This Row],[Is Data Valid]]=TRUE,((Table1[[#This Row],[Birthweight (grams)]]*1.1/Table1[[#This Row],[BW_GA]])-1)/(Backend!$B$4/100*Table1[[#This Row],[BW40_3705]]),"")</f>
        <v/>
      </c>
      <c r="J709" s="7" t="str">
        <f>IF(Table1[[#This Row],[Is Data Valid]]=TRUE,_xlfn.NORM.S.DIST(Table1[[#This Row],[Birthweight Z-Score]],TRUE)*100,"")</f>
        <v/>
      </c>
      <c r="K709" s="7" t="str">
        <f>IF(Table1[[#This Row],[Is Data Valid]]=TRUE,_xlfn.NORM.S.DIST(Table1[[#This Row],[Birthweight Z-Score (BW-10%)]],TRUE)*100,"")</f>
        <v/>
      </c>
      <c r="L709" s="7" t="str">
        <f>IF(Table1[[#This Row],[Is Data Valid]]=TRUE,_xlfn.NORM.S.DIST(Table1[[#This Row],[Birthweight Z-Score (BW+10%)]],TRUE)*100,"")</f>
        <v/>
      </c>
    </row>
    <row r="710" spans="1:12" x14ac:dyDescent="0.35">
      <c r="A710" s="3"/>
      <c r="B710" s="2"/>
      <c r="C710" s="2"/>
      <c r="D710" s="2" t="b">
        <f>IF(AND(NOT(ISBLANK(Table1[[#This Row],[Fetal Sex (Male, Female or Unknown)]])),ISNUMBER(Table1[[#This Row],[Birthweight (grams)]]),ISNUMBER(Table1[[#This Row],[Gestation (days)]])),TRUE,FALSE)</f>
        <v>0</v>
      </c>
      <c r="E710" s="2" t="str">
        <f>IF(Table1[[#This Row],[Is Data Valid]]=TRUE,IF(Table1[[#This Row],[Fetal Sex (Male, Female or Unknown)]]="Male",Backend!$C$6,IF(Table1[[#This Row],[Fetal Sex (Male, Female or Unknown)]]="Female",Backend!$C$7,IF(Table1[[#This Row],[Fetal Sex (Male, Female or Unknown)]]="Unknown",Backend!$C$8,"Error"))),"")</f>
        <v/>
      </c>
      <c r="F710" s="8" t="str">
        <f>IF(Table1[[#This Row],[Is Data Valid]]=TRUE,EXP(0.578+0.332*((Table1[[#This Row],[Gestation (days)]]+0.5)/7)-0.00354*((Table1[[#This Row],[Gestation (days)]]+0.5)/7)^2)*Table1[[#This Row],[BW40_3705]],"")</f>
        <v/>
      </c>
      <c r="G710" s="2" t="str">
        <f>IF(Table1[[#This Row],[Is Data Valid]]=TRUE,((Table1[[#This Row],[Birthweight (grams)]]/Table1[[#This Row],[BW_GA]])-1)/(Backend!$B$4/100*Table1[[#This Row],[BW40_3705]]),"")</f>
        <v/>
      </c>
      <c r="H710" s="7" t="str">
        <f>IF(Table1[[#This Row],[Is Data Valid]]=TRUE,((Table1[[#This Row],[Birthweight (grams)]]*0.9/Table1[[#This Row],[BW_GA]])-1)/(Backend!$B$4/100*Table1[[#This Row],[BW40_3705]]),"")</f>
        <v/>
      </c>
      <c r="I710" s="7" t="str">
        <f>IF(Table1[[#This Row],[Is Data Valid]]=TRUE,((Table1[[#This Row],[Birthweight (grams)]]*1.1/Table1[[#This Row],[BW_GA]])-1)/(Backend!$B$4/100*Table1[[#This Row],[BW40_3705]]),"")</f>
        <v/>
      </c>
      <c r="J710" s="7" t="str">
        <f>IF(Table1[[#This Row],[Is Data Valid]]=TRUE,_xlfn.NORM.S.DIST(Table1[[#This Row],[Birthweight Z-Score]],TRUE)*100,"")</f>
        <v/>
      </c>
      <c r="K710" s="7" t="str">
        <f>IF(Table1[[#This Row],[Is Data Valid]]=TRUE,_xlfn.NORM.S.DIST(Table1[[#This Row],[Birthweight Z-Score (BW-10%)]],TRUE)*100,"")</f>
        <v/>
      </c>
      <c r="L710" s="7" t="str">
        <f>IF(Table1[[#This Row],[Is Data Valid]]=TRUE,_xlfn.NORM.S.DIST(Table1[[#This Row],[Birthweight Z-Score (BW+10%)]],TRUE)*100,"")</f>
        <v/>
      </c>
    </row>
    <row r="711" spans="1:12" x14ac:dyDescent="0.35">
      <c r="A711" s="3"/>
      <c r="B711" s="2"/>
      <c r="C711" s="2"/>
      <c r="D711" s="2" t="b">
        <f>IF(AND(NOT(ISBLANK(Table1[[#This Row],[Fetal Sex (Male, Female or Unknown)]])),ISNUMBER(Table1[[#This Row],[Birthweight (grams)]]),ISNUMBER(Table1[[#This Row],[Gestation (days)]])),TRUE,FALSE)</f>
        <v>0</v>
      </c>
      <c r="E711" s="2" t="str">
        <f>IF(Table1[[#This Row],[Is Data Valid]]=TRUE,IF(Table1[[#This Row],[Fetal Sex (Male, Female or Unknown)]]="Male",Backend!$C$6,IF(Table1[[#This Row],[Fetal Sex (Male, Female or Unknown)]]="Female",Backend!$C$7,IF(Table1[[#This Row],[Fetal Sex (Male, Female or Unknown)]]="Unknown",Backend!$C$8,"Error"))),"")</f>
        <v/>
      </c>
      <c r="F711" s="8" t="str">
        <f>IF(Table1[[#This Row],[Is Data Valid]]=TRUE,EXP(0.578+0.332*((Table1[[#This Row],[Gestation (days)]]+0.5)/7)-0.00354*((Table1[[#This Row],[Gestation (days)]]+0.5)/7)^2)*Table1[[#This Row],[BW40_3705]],"")</f>
        <v/>
      </c>
      <c r="G711" s="2" t="str">
        <f>IF(Table1[[#This Row],[Is Data Valid]]=TRUE,((Table1[[#This Row],[Birthweight (grams)]]/Table1[[#This Row],[BW_GA]])-1)/(Backend!$B$4/100*Table1[[#This Row],[BW40_3705]]),"")</f>
        <v/>
      </c>
      <c r="H711" s="7" t="str">
        <f>IF(Table1[[#This Row],[Is Data Valid]]=TRUE,((Table1[[#This Row],[Birthweight (grams)]]*0.9/Table1[[#This Row],[BW_GA]])-1)/(Backend!$B$4/100*Table1[[#This Row],[BW40_3705]]),"")</f>
        <v/>
      </c>
      <c r="I711" s="7" t="str">
        <f>IF(Table1[[#This Row],[Is Data Valid]]=TRUE,((Table1[[#This Row],[Birthweight (grams)]]*1.1/Table1[[#This Row],[BW_GA]])-1)/(Backend!$B$4/100*Table1[[#This Row],[BW40_3705]]),"")</f>
        <v/>
      </c>
      <c r="J711" s="7" t="str">
        <f>IF(Table1[[#This Row],[Is Data Valid]]=TRUE,_xlfn.NORM.S.DIST(Table1[[#This Row],[Birthweight Z-Score]],TRUE)*100,"")</f>
        <v/>
      </c>
      <c r="K711" s="7" t="str">
        <f>IF(Table1[[#This Row],[Is Data Valid]]=TRUE,_xlfn.NORM.S.DIST(Table1[[#This Row],[Birthweight Z-Score (BW-10%)]],TRUE)*100,"")</f>
        <v/>
      </c>
      <c r="L711" s="7" t="str">
        <f>IF(Table1[[#This Row],[Is Data Valid]]=TRUE,_xlfn.NORM.S.DIST(Table1[[#This Row],[Birthweight Z-Score (BW+10%)]],TRUE)*100,"")</f>
        <v/>
      </c>
    </row>
    <row r="712" spans="1:12" x14ac:dyDescent="0.35">
      <c r="A712" s="3"/>
      <c r="B712" s="2"/>
      <c r="C712" s="2"/>
      <c r="D712" s="2" t="b">
        <f>IF(AND(NOT(ISBLANK(Table1[[#This Row],[Fetal Sex (Male, Female or Unknown)]])),ISNUMBER(Table1[[#This Row],[Birthweight (grams)]]),ISNUMBER(Table1[[#This Row],[Gestation (days)]])),TRUE,FALSE)</f>
        <v>0</v>
      </c>
      <c r="E712" s="2" t="str">
        <f>IF(Table1[[#This Row],[Is Data Valid]]=TRUE,IF(Table1[[#This Row],[Fetal Sex (Male, Female or Unknown)]]="Male",Backend!$C$6,IF(Table1[[#This Row],[Fetal Sex (Male, Female or Unknown)]]="Female",Backend!$C$7,IF(Table1[[#This Row],[Fetal Sex (Male, Female or Unknown)]]="Unknown",Backend!$C$8,"Error"))),"")</f>
        <v/>
      </c>
      <c r="F712" s="8" t="str">
        <f>IF(Table1[[#This Row],[Is Data Valid]]=TRUE,EXP(0.578+0.332*((Table1[[#This Row],[Gestation (days)]]+0.5)/7)-0.00354*((Table1[[#This Row],[Gestation (days)]]+0.5)/7)^2)*Table1[[#This Row],[BW40_3705]],"")</f>
        <v/>
      </c>
      <c r="G712" s="2" t="str">
        <f>IF(Table1[[#This Row],[Is Data Valid]]=TRUE,((Table1[[#This Row],[Birthweight (grams)]]/Table1[[#This Row],[BW_GA]])-1)/(Backend!$B$4/100*Table1[[#This Row],[BW40_3705]]),"")</f>
        <v/>
      </c>
      <c r="H712" s="7" t="str">
        <f>IF(Table1[[#This Row],[Is Data Valid]]=TRUE,((Table1[[#This Row],[Birthweight (grams)]]*0.9/Table1[[#This Row],[BW_GA]])-1)/(Backend!$B$4/100*Table1[[#This Row],[BW40_3705]]),"")</f>
        <v/>
      </c>
      <c r="I712" s="7" t="str">
        <f>IF(Table1[[#This Row],[Is Data Valid]]=TRUE,((Table1[[#This Row],[Birthweight (grams)]]*1.1/Table1[[#This Row],[BW_GA]])-1)/(Backend!$B$4/100*Table1[[#This Row],[BW40_3705]]),"")</f>
        <v/>
      </c>
      <c r="J712" s="7" t="str">
        <f>IF(Table1[[#This Row],[Is Data Valid]]=TRUE,_xlfn.NORM.S.DIST(Table1[[#This Row],[Birthweight Z-Score]],TRUE)*100,"")</f>
        <v/>
      </c>
      <c r="K712" s="7" t="str">
        <f>IF(Table1[[#This Row],[Is Data Valid]]=TRUE,_xlfn.NORM.S.DIST(Table1[[#This Row],[Birthweight Z-Score (BW-10%)]],TRUE)*100,"")</f>
        <v/>
      </c>
      <c r="L712" s="7" t="str">
        <f>IF(Table1[[#This Row],[Is Data Valid]]=TRUE,_xlfn.NORM.S.DIST(Table1[[#This Row],[Birthweight Z-Score (BW+10%)]],TRUE)*100,"")</f>
        <v/>
      </c>
    </row>
    <row r="713" spans="1:12" x14ac:dyDescent="0.35">
      <c r="A713" s="3"/>
      <c r="B713" s="2"/>
      <c r="C713" s="2"/>
      <c r="D713" s="2" t="b">
        <f>IF(AND(NOT(ISBLANK(Table1[[#This Row],[Fetal Sex (Male, Female or Unknown)]])),ISNUMBER(Table1[[#This Row],[Birthweight (grams)]]),ISNUMBER(Table1[[#This Row],[Gestation (days)]])),TRUE,FALSE)</f>
        <v>0</v>
      </c>
      <c r="E713" s="2" t="str">
        <f>IF(Table1[[#This Row],[Is Data Valid]]=TRUE,IF(Table1[[#This Row],[Fetal Sex (Male, Female or Unknown)]]="Male",Backend!$C$6,IF(Table1[[#This Row],[Fetal Sex (Male, Female or Unknown)]]="Female",Backend!$C$7,IF(Table1[[#This Row],[Fetal Sex (Male, Female or Unknown)]]="Unknown",Backend!$C$8,"Error"))),"")</f>
        <v/>
      </c>
      <c r="F713" s="8" t="str">
        <f>IF(Table1[[#This Row],[Is Data Valid]]=TRUE,EXP(0.578+0.332*((Table1[[#This Row],[Gestation (days)]]+0.5)/7)-0.00354*((Table1[[#This Row],[Gestation (days)]]+0.5)/7)^2)*Table1[[#This Row],[BW40_3705]],"")</f>
        <v/>
      </c>
      <c r="G713" s="2" t="str">
        <f>IF(Table1[[#This Row],[Is Data Valid]]=TRUE,((Table1[[#This Row],[Birthweight (grams)]]/Table1[[#This Row],[BW_GA]])-1)/(Backend!$B$4/100*Table1[[#This Row],[BW40_3705]]),"")</f>
        <v/>
      </c>
      <c r="H713" s="7" t="str">
        <f>IF(Table1[[#This Row],[Is Data Valid]]=TRUE,((Table1[[#This Row],[Birthweight (grams)]]*0.9/Table1[[#This Row],[BW_GA]])-1)/(Backend!$B$4/100*Table1[[#This Row],[BW40_3705]]),"")</f>
        <v/>
      </c>
      <c r="I713" s="7" t="str">
        <f>IF(Table1[[#This Row],[Is Data Valid]]=TRUE,((Table1[[#This Row],[Birthweight (grams)]]*1.1/Table1[[#This Row],[BW_GA]])-1)/(Backend!$B$4/100*Table1[[#This Row],[BW40_3705]]),"")</f>
        <v/>
      </c>
      <c r="J713" s="7" t="str">
        <f>IF(Table1[[#This Row],[Is Data Valid]]=TRUE,_xlfn.NORM.S.DIST(Table1[[#This Row],[Birthweight Z-Score]],TRUE)*100,"")</f>
        <v/>
      </c>
      <c r="K713" s="7" t="str">
        <f>IF(Table1[[#This Row],[Is Data Valid]]=TRUE,_xlfn.NORM.S.DIST(Table1[[#This Row],[Birthweight Z-Score (BW-10%)]],TRUE)*100,"")</f>
        <v/>
      </c>
      <c r="L713" s="7" t="str">
        <f>IF(Table1[[#This Row],[Is Data Valid]]=TRUE,_xlfn.NORM.S.DIST(Table1[[#This Row],[Birthweight Z-Score (BW+10%)]],TRUE)*100,"")</f>
        <v/>
      </c>
    </row>
    <row r="714" spans="1:12" x14ac:dyDescent="0.35">
      <c r="A714" s="3"/>
      <c r="B714" s="2"/>
      <c r="C714" s="2"/>
      <c r="D714" s="2" t="b">
        <f>IF(AND(NOT(ISBLANK(Table1[[#This Row],[Fetal Sex (Male, Female or Unknown)]])),ISNUMBER(Table1[[#This Row],[Birthweight (grams)]]),ISNUMBER(Table1[[#This Row],[Gestation (days)]])),TRUE,FALSE)</f>
        <v>0</v>
      </c>
      <c r="E714" s="2" t="str">
        <f>IF(Table1[[#This Row],[Is Data Valid]]=TRUE,IF(Table1[[#This Row],[Fetal Sex (Male, Female or Unknown)]]="Male",Backend!$C$6,IF(Table1[[#This Row],[Fetal Sex (Male, Female or Unknown)]]="Female",Backend!$C$7,IF(Table1[[#This Row],[Fetal Sex (Male, Female or Unknown)]]="Unknown",Backend!$C$8,"Error"))),"")</f>
        <v/>
      </c>
      <c r="F714" s="8" t="str">
        <f>IF(Table1[[#This Row],[Is Data Valid]]=TRUE,EXP(0.578+0.332*((Table1[[#This Row],[Gestation (days)]]+0.5)/7)-0.00354*((Table1[[#This Row],[Gestation (days)]]+0.5)/7)^2)*Table1[[#This Row],[BW40_3705]],"")</f>
        <v/>
      </c>
      <c r="G714" s="2" t="str">
        <f>IF(Table1[[#This Row],[Is Data Valid]]=TRUE,((Table1[[#This Row],[Birthweight (grams)]]/Table1[[#This Row],[BW_GA]])-1)/(Backend!$B$4/100*Table1[[#This Row],[BW40_3705]]),"")</f>
        <v/>
      </c>
      <c r="H714" s="7" t="str">
        <f>IF(Table1[[#This Row],[Is Data Valid]]=TRUE,((Table1[[#This Row],[Birthweight (grams)]]*0.9/Table1[[#This Row],[BW_GA]])-1)/(Backend!$B$4/100*Table1[[#This Row],[BW40_3705]]),"")</f>
        <v/>
      </c>
      <c r="I714" s="7" t="str">
        <f>IF(Table1[[#This Row],[Is Data Valid]]=TRUE,((Table1[[#This Row],[Birthweight (grams)]]*1.1/Table1[[#This Row],[BW_GA]])-1)/(Backend!$B$4/100*Table1[[#This Row],[BW40_3705]]),"")</f>
        <v/>
      </c>
      <c r="J714" s="7" t="str">
        <f>IF(Table1[[#This Row],[Is Data Valid]]=TRUE,_xlfn.NORM.S.DIST(Table1[[#This Row],[Birthweight Z-Score]],TRUE)*100,"")</f>
        <v/>
      </c>
      <c r="K714" s="7" t="str">
        <f>IF(Table1[[#This Row],[Is Data Valid]]=TRUE,_xlfn.NORM.S.DIST(Table1[[#This Row],[Birthweight Z-Score (BW-10%)]],TRUE)*100,"")</f>
        <v/>
      </c>
      <c r="L714" s="7" t="str">
        <f>IF(Table1[[#This Row],[Is Data Valid]]=TRUE,_xlfn.NORM.S.DIST(Table1[[#This Row],[Birthweight Z-Score (BW+10%)]],TRUE)*100,"")</f>
        <v/>
      </c>
    </row>
    <row r="715" spans="1:12" x14ac:dyDescent="0.35">
      <c r="A715" s="3"/>
      <c r="B715" s="2"/>
      <c r="C715" s="2"/>
      <c r="D715" s="2" t="b">
        <f>IF(AND(NOT(ISBLANK(Table1[[#This Row],[Fetal Sex (Male, Female or Unknown)]])),ISNUMBER(Table1[[#This Row],[Birthweight (grams)]]),ISNUMBER(Table1[[#This Row],[Gestation (days)]])),TRUE,FALSE)</f>
        <v>0</v>
      </c>
      <c r="E715" s="2" t="str">
        <f>IF(Table1[[#This Row],[Is Data Valid]]=TRUE,IF(Table1[[#This Row],[Fetal Sex (Male, Female or Unknown)]]="Male",Backend!$C$6,IF(Table1[[#This Row],[Fetal Sex (Male, Female or Unknown)]]="Female",Backend!$C$7,IF(Table1[[#This Row],[Fetal Sex (Male, Female or Unknown)]]="Unknown",Backend!$C$8,"Error"))),"")</f>
        <v/>
      </c>
      <c r="F715" s="8" t="str">
        <f>IF(Table1[[#This Row],[Is Data Valid]]=TRUE,EXP(0.578+0.332*((Table1[[#This Row],[Gestation (days)]]+0.5)/7)-0.00354*((Table1[[#This Row],[Gestation (days)]]+0.5)/7)^2)*Table1[[#This Row],[BW40_3705]],"")</f>
        <v/>
      </c>
      <c r="G715" s="2" t="str">
        <f>IF(Table1[[#This Row],[Is Data Valid]]=TRUE,((Table1[[#This Row],[Birthweight (grams)]]/Table1[[#This Row],[BW_GA]])-1)/(Backend!$B$4/100*Table1[[#This Row],[BW40_3705]]),"")</f>
        <v/>
      </c>
      <c r="H715" s="7" t="str">
        <f>IF(Table1[[#This Row],[Is Data Valid]]=TRUE,((Table1[[#This Row],[Birthweight (grams)]]*0.9/Table1[[#This Row],[BW_GA]])-1)/(Backend!$B$4/100*Table1[[#This Row],[BW40_3705]]),"")</f>
        <v/>
      </c>
      <c r="I715" s="7" t="str">
        <f>IF(Table1[[#This Row],[Is Data Valid]]=TRUE,((Table1[[#This Row],[Birthweight (grams)]]*1.1/Table1[[#This Row],[BW_GA]])-1)/(Backend!$B$4/100*Table1[[#This Row],[BW40_3705]]),"")</f>
        <v/>
      </c>
      <c r="J715" s="7" t="str">
        <f>IF(Table1[[#This Row],[Is Data Valid]]=TRUE,_xlfn.NORM.S.DIST(Table1[[#This Row],[Birthweight Z-Score]],TRUE)*100,"")</f>
        <v/>
      </c>
      <c r="K715" s="7" t="str">
        <f>IF(Table1[[#This Row],[Is Data Valid]]=TRUE,_xlfn.NORM.S.DIST(Table1[[#This Row],[Birthweight Z-Score (BW-10%)]],TRUE)*100,"")</f>
        <v/>
      </c>
      <c r="L715" s="7" t="str">
        <f>IF(Table1[[#This Row],[Is Data Valid]]=TRUE,_xlfn.NORM.S.DIST(Table1[[#This Row],[Birthweight Z-Score (BW+10%)]],TRUE)*100,"")</f>
        <v/>
      </c>
    </row>
    <row r="716" spans="1:12" x14ac:dyDescent="0.35">
      <c r="A716" s="3"/>
      <c r="B716" s="2"/>
      <c r="C716" s="2"/>
      <c r="D716" s="2" t="b">
        <f>IF(AND(NOT(ISBLANK(Table1[[#This Row],[Fetal Sex (Male, Female or Unknown)]])),ISNUMBER(Table1[[#This Row],[Birthweight (grams)]]),ISNUMBER(Table1[[#This Row],[Gestation (days)]])),TRUE,FALSE)</f>
        <v>0</v>
      </c>
      <c r="E716" s="2" t="str">
        <f>IF(Table1[[#This Row],[Is Data Valid]]=TRUE,IF(Table1[[#This Row],[Fetal Sex (Male, Female or Unknown)]]="Male",Backend!$C$6,IF(Table1[[#This Row],[Fetal Sex (Male, Female or Unknown)]]="Female",Backend!$C$7,IF(Table1[[#This Row],[Fetal Sex (Male, Female or Unknown)]]="Unknown",Backend!$C$8,"Error"))),"")</f>
        <v/>
      </c>
      <c r="F716" s="8" t="str">
        <f>IF(Table1[[#This Row],[Is Data Valid]]=TRUE,EXP(0.578+0.332*((Table1[[#This Row],[Gestation (days)]]+0.5)/7)-0.00354*((Table1[[#This Row],[Gestation (days)]]+0.5)/7)^2)*Table1[[#This Row],[BW40_3705]],"")</f>
        <v/>
      </c>
      <c r="G716" s="2" t="str">
        <f>IF(Table1[[#This Row],[Is Data Valid]]=TRUE,((Table1[[#This Row],[Birthweight (grams)]]/Table1[[#This Row],[BW_GA]])-1)/(Backend!$B$4/100*Table1[[#This Row],[BW40_3705]]),"")</f>
        <v/>
      </c>
      <c r="H716" s="7" t="str">
        <f>IF(Table1[[#This Row],[Is Data Valid]]=TRUE,((Table1[[#This Row],[Birthweight (grams)]]*0.9/Table1[[#This Row],[BW_GA]])-1)/(Backend!$B$4/100*Table1[[#This Row],[BW40_3705]]),"")</f>
        <v/>
      </c>
      <c r="I716" s="7" t="str">
        <f>IF(Table1[[#This Row],[Is Data Valid]]=TRUE,((Table1[[#This Row],[Birthweight (grams)]]*1.1/Table1[[#This Row],[BW_GA]])-1)/(Backend!$B$4/100*Table1[[#This Row],[BW40_3705]]),"")</f>
        <v/>
      </c>
      <c r="J716" s="7" t="str">
        <f>IF(Table1[[#This Row],[Is Data Valid]]=TRUE,_xlfn.NORM.S.DIST(Table1[[#This Row],[Birthweight Z-Score]],TRUE)*100,"")</f>
        <v/>
      </c>
      <c r="K716" s="7" t="str">
        <f>IF(Table1[[#This Row],[Is Data Valid]]=TRUE,_xlfn.NORM.S.DIST(Table1[[#This Row],[Birthweight Z-Score (BW-10%)]],TRUE)*100,"")</f>
        <v/>
      </c>
      <c r="L716" s="7" t="str">
        <f>IF(Table1[[#This Row],[Is Data Valid]]=TRUE,_xlfn.NORM.S.DIST(Table1[[#This Row],[Birthweight Z-Score (BW+10%)]],TRUE)*100,"")</f>
        <v/>
      </c>
    </row>
    <row r="717" spans="1:12" x14ac:dyDescent="0.35">
      <c r="A717" s="3"/>
      <c r="B717" s="2"/>
      <c r="C717" s="2"/>
      <c r="D717" s="2" t="b">
        <f>IF(AND(NOT(ISBLANK(Table1[[#This Row],[Fetal Sex (Male, Female or Unknown)]])),ISNUMBER(Table1[[#This Row],[Birthweight (grams)]]),ISNUMBER(Table1[[#This Row],[Gestation (days)]])),TRUE,FALSE)</f>
        <v>0</v>
      </c>
      <c r="E717" s="2" t="str">
        <f>IF(Table1[[#This Row],[Is Data Valid]]=TRUE,IF(Table1[[#This Row],[Fetal Sex (Male, Female or Unknown)]]="Male",Backend!$C$6,IF(Table1[[#This Row],[Fetal Sex (Male, Female or Unknown)]]="Female",Backend!$C$7,IF(Table1[[#This Row],[Fetal Sex (Male, Female or Unknown)]]="Unknown",Backend!$C$8,"Error"))),"")</f>
        <v/>
      </c>
      <c r="F717" s="8" t="str">
        <f>IF(Table1[[#This Row],[Is Data Valid]]=TRUE,EXP(0.578+0.332*((Table1[[#This Row],[Gestation (days)]]+0.5)/7)-0.00354*((Table1[[#This Row],[Gestation (days)]]+0.5)/7)^2)*Table1[[#This Row],[BW40_3705]],"")</f>
        <v/>
      </c>
      <c r="G717" s="2" t="str">
        <f>IF(Table1[[#This Row],[Is Data Valid]]=TRUE,((Table1[[#This Row],[Birthweight (grams)]]/Table1[[#This Row],[BW_GA]])-1)/(Backend!$B$4/100*Table1[[#This Row],[BW40_3705]]),"")</f>
        <v/>
      </c>
      <c r="H717" s="7" t="str">
        <f>IF(Table1[[#This Row],[Is Data Valid]]=TRUE,((Table1[[#This Row],[Birthweight (grams)]]*0.9/Table1[[#This Row],[BW_GA]])-1)/(Backend!$B$4/100*Table1[[#This Row],[BW40_3705]]),"")</f>
        <v/>
      </c>
      <c r="I717" s="7" t="str">
        <f>IF(Table1[[#This Row],[Is Data Valid]]=TRUE,((Table1[[#This Row],[Birthweight (grams)]]*1.1/Table1[[#This Row],[BW_GA]])-1)/(Backend!$B$4/100*Table1[[#This Row],[BW40_3705]]),"")</f>
        <v/>
      </c>
      <c r="J717" s="7" t="str">
        <f>IF(Table1[[#This Row],[Is Data Valid]]=TRUE,_xlfn.NORM.S.DIST(Table1[[#This Row],[Birthweight Z-Score]],TRUE)*100,"")</f>
        <v/>
      </c>
      <c r="K717" s="7" t="str">
        <f>IF(Table1[[#This Row],[Is Data Valid]]=TRUE,_xlfn.NORM.S.DIST(Table1[[#This Row],[Birthweight Z-Score (BW-10%)]],TRUE)*100,"")</f>
        <v/>
      </c>
      <c r="L717" s="7" t="str">
        <f>IF(Table1[[#This Row],[Is Data Valid]]=TRUE,_xlfn.NORM.S.DIST(Table1[[#This Row],[Birthweight Z-Score (BW+10%)]],TRUE)*100,"")</f>
        <v/>
      </c>
    </row>
    <row r="718" spans="1:12" x14ac:dyDescent="0.35">
      <c r="A718" s="3"/>
      <c r="B718" s="2"/>
      <c r="C718" s="2"/>
      <c r="D718" s="2" t="b">
        <f>IF(AND(NOT(ISBLANK(Table1[[#This Row],[Fetal Sex (Male, Female or Unknown)]])),ISNUMBER(Table1[[#This Row],[Birthweight (grams)]]),ISNUMBER(Table1[[#This Row],[Gestation (days)]])),TRUE,FALSE)</f>
        <v>0</v>
      </c>
      <c r="E718" s="2" t="str">
        <f>IF(Table1[[#This Row],[Is Data Valid]]=TRUE,IF(Table1[[#This Row],[Fetal Sex (Male, Female or Unknown)]]="Male",Backend!$C$6,IF(Table1[[#This Row],[Fetal Sex (Male, Female or Unknown)]]="Female",Backend!$C$7,IF(Table1[[#This Row],[Fetal Sex (Male, Female or Unknown)]]="Unknown",Backend!$C$8,"Error"))),"")</f>
        <v/>
      </c>
      <c r="F718" s="8" t="str">
        <f>IF(Table1[[#This Row],[Is Data Valid]]=TRUE,EXP(0.578+0.332*((Table1[[#This Row],[Gestation (days)]]+0.5)/7)-0.00354*((Table1[[#This Row],[Gestation (days)]]+0.5)/7)^2)*Table1[[#This Row],[BW40_3705]],"")</f>
        <v/>
      </c>
      <c r="G718" s="2" t="str">
        <f>IF(Table1[[#This Row],[Is Data Valid]]=TRUE,((Table1[[#This Row],[Birthweight (grams)]]/Table1[[#This Row],[BW_GA]])-1)/(Backend!$B$4/100*Table1[[#This Row],[BW40_3705]]),"")</f>
        <v/>
      </c>
      <c r="H718" s="7" t="str">
        <f>IF(Table1[[#This Row],[Is Data Valid]]=TRUE,((Table1[[#This Row],[Birthweight (grams)]]*0.9/Table1[[#This Row],[BW_GA]])-1)/(Backend!$B$4/100*Table1[[#This Row],[BW40_3705]]),"")</f>
        <v/>
      </c>
      <c r="I718" s="7" t="str">
        <f>IF(Table1[[#This Row],[Is Data Valid]]=TRUE,((Table1[[#This Row],[Birthweight (grams)]]*1.1/Table1[[#This Row],[BW_GA]])-1)/(Backend!$B$4/100*Table1[[#This Row],[BW40_3705]]),"")</f>
        <v/>
      </c>
      <c r="J718" s="7" t="str">
        <f>IF(Table1[[#This Row],[Is Data Valid]]=TRUE,_xlfn.NORM.S.DIST(Table1[[#This Row],[Birthweight Z-Score]],TRUE)*100,"")</f>
        <v/>
      </c>
      <c r="K718" s="7" t="str">
        <f>IF(Table1[[#This Row],[Is Data Valid]]=TRUE,_xlfn.NORM.S.DIST(Table1[[#This Row],[Birthweight Z-Score (BW-10%)]],TRUE)*100,"")</f>
        <v/>
      </c>
      <c r="L718" s="7" t="str">
        <f>IF(Table1[[#This Row],[Is Data Valid]]=TRUE,_xlfn.NORM.S.DIST(Table1[[#This Row],[Birthweight Z-Score (BW+10%)]],TRUE)*100,"")</f>
        <v/>
      </c>
    </row>
    <row r="719" spans="1:12" x14ac:dyDescent="0.35">
      <c r="A719" s="3"/>
      <c r="B719" s="2"/>
      <c r="C719" s="2"/>
      <c r="D719" s="2" t="b">
        <f>IF(AND(NOT(ISBLANK(Table1[[#This Row],[Fetal Sex (Male, Female or Unknown)]])),ISNUMBER(Table1[[#This Row],[Birthweight (grams)]]),ISNUMBER(Table1[[#This Row],[Gestation (days)]])),TRUE,FALSE)</f>
        <v>0</v>
      </c>
      <c r="E719" s="2" t="str">
        <f>IF(Table1[[#This Row],[Is Data Valid]]=TRUE,IF(Table1[[#This Row],[Fetal Sex (Male, Female or Unknown)]]="Male",Backend!$C$6,IF(Table1[[#This Row],[Fetal Sex (Male, Female or Unknown)]]="Female",Backend!$C$7,IF(Table1[[#This Row],[Fetal Sex (Male, Female or Unknown)]]="Unknown",Backend!$C$8,"Error"))),"")</f>
        <v/>
      </c>
      <c r="F719" s="8" t="str">
        <f>IF(Table1[[#This Row],[Is Data Valid]]=TRUE,EXP(0.578+0.332*((Table1[[#This Row],[Gestation (days)]]+0.5)/7)-0.00354*((Table1[[#This Row],[Gestation (days)]]+0.5)/7)^2)*Table1[[#This Row],[BW40_3705]],"")</f>
        <v/>
      </c>
      <c r="G719" s="2" t="str">
        <f>IF(Table1[[#This Row],[Is Data Valid]]=TRUE,((Table1[[#This Row],[Birthweight (grams)]]/Table1[[#This Row],[BW_GA]])-1)/(Backend!$B$4/100*Table1[[#This Row],[BW40_3705]]),"")</f>
        <v/>
      </c>
      <c r="H719" s="7" t="str">
        <f>IF(Table1[[#This Row],[Is Data Valid]]=TRUE,((Table1[[#This Row],[Birthweight (grams)]]*0.9/Table1[[#This Row],[BW_GA]])-1)/(Backend!$B$4/100*Table1[[#This Row],[BW40_3705]]),"")</f>
        <v/>
      </c>
      <c r="I719" s="7" t="str">
        <f>IF(Table1[[#This Row],[Is Data Valid]]=TRUE,((Table1[[#This Row],[Birthweight (grams)]]*1.1/Table1[[#This Row],[BW_GA]])-1)/(Backend!$B$4/100*Table1[[#This Row],[BW40_3705]]),"")</f>
        <v/>
      </c>
      <c r="J719" s="7" t="str">
        <f>IF(Table1[[#This Row],[Is Data Valid]]=TRUE,_xlfn.NORM.S.DIST(Table1[[#This Row],[Birthweight Z-Score]],TRUE)*100,"")</f>
        <v/>
      </c>
      <c r="K719" s="7" t="str">
        <f>IF(Table1[[#This Row],[Is Data Valid]]=TRUE,_xlfn.NORM.S.DIST(Table1[[#This Row],[Birthweight Z-Score (BW-10%)]],TRUE)*100,"")</f>
        <v/>
      </c>
      <c r="L719" s="7" t="str">
        <f>IF(Table1[[#This Row],[Is Data Valid]]=TRUE,_xlfn.NORM.S.DIST(Table1[[#This Row],[Birthweight Z-Score (BW+10%)]],TRUE)*100,"")</f>
        <v/>
      </c>
    </row>
    <row r="720" spans="1:12" x14ac:dyDescent="0.35">
      <c r="A720" s="3"/>
      <c r="B720" s="2"/>
      <c r="C720" s="2"/>
      <c r="D720" s="2" t="b">
        <f>IF(AND(NOT(ISBLANK(Table1[[#This Row],[Fetal Sex (Male, Female or Unknown)]])),ISNUMBER(Table1[[#This Row],[Birthweight (grams)]]),ISNUMBER(Table1[[#This Row],[Gestation (days)]])),TRUE,FALSE)</f>
        <v>0</v>
      </c>
      <c r="E720" s="2" t="str">
        <f>IF(Table1[[#This Row],[Is Data Valid]]=TRUE,IF(Table1[[#This Row],[Fetal Sex (Male, Female or Unknown)]]="Male",Backend!$C$6,IF(Table1[[#This Row],[Fetal Sex (Male, Female or Unknown)]]="Female",Backend!$C$7,IF(Table1[[#This Row],[Fetal Sex (Male, Female or Unknown)]]="Unknown",Backend!$C$8,"Error"))),"")</f>
        <v/>
      </c>
      <c r="F720" s="8" t="str">
        <f>IF(Table1[[#This Row],[Is Data Valid]]=TRUE,EXP(0.578+0.332*((Table1[[#This Row],[Gestation (days)]]+0.5)/7)-0.00354*((Table1[[#This Row],[Gestation (days)]]+0.5)/7)^2)*Table1[[#This Row],[BW40_3705]],"")</f>
        <v/>
      </c>
      <c r="G720" s="2" t="str">
        <f>IF(Table1[[#This Row],[Is Data Valid]]=TRUE,((Table1[[#This Row],[Birthweight (grams)]]/Table1[[#This Row],[BW_GA]])-1)/(Backend!$B$4/100*Table1[[#This Row],[BW40_3705]]),"")</f>
        <v/>
      </c>
      <c r="H720" s="7" t="str">
        <f>IF(Table1[[#This Row],[Is Data Valid]]=TRUE,((Table1[[#This Row],[Birthweight (grams)]]*0.9/Table1[[#This Row],[BW_GA]])-1)/(Backend!$B$4/100*Table1[[#This Row],[BW40_3705]]),"")</f>
        <v/>
      </c>
      <c r="I720" s="7" t="str">
        <f>IF(Table1[[#This Row],[Is Data Valid]]=TRUE,((Table1[[#This Row],[Birthweight (grams)]]*1.1/Table1[[#This Row],[BW_GA]])-1)/(Backend!$B$4/100*Table1[[#This Row],[BW40_3705]]),"")</f>
        <v/>
      </c>
      <c r="J720" s="7" t="str">
        <f>IF(Table1[[#This Row],[Is Data Valid]]=TRUE,_xlfn.NORM.S.DIST(Table1[[#This Row],[Birthweight Z-Score]],TRUE)*100,"")</f>
        <v/>
      </c>
      <c r="K720" s="7" t="str">
        <f>IF(Table1[[#This Row],[Is Data Valid]]=TRUE,_xlfn.NORM.S.DIST(Table1[[#This Row],[Birthweight Z-Score (BW-10%)]],TRUE)*100,"")</f>
        <v/>
      </c>
      <c r="L720" s="7" t="str">
        <f>IF(Table1[[#This Row],[Is Data Valid]]=TRUE,_xlfn.NORM.S.DIST(Table1[[#This Row],[Birthweight Z-Score (BW+10%)]],TRUE)*100,"")</f>
        <v/>
      </c>
    </row>
    <row r="721" spans="1:12" x14ac:dyDescent="0.35">
      <c r="A721" s="3"/>
      <c r="B721" s="2"/>
      <c r="C721" s="2"/>
      <c r="D721" s="2" t="b">
        <f>IF(AND(NOT(ISBLANK(Table1[[#This Row],[Fetal Sex (Male, Female or Unknown)]])),ISNUMBER(Table1[[#This Row],[Birthweight (grams)]]),ISNUMBER(Table1[[#This Row],[Gestation (days)]])),TRUE,FALSE)</f>
        <v>0</v>
      </c>
      <c r="E721" s="2" t="str">
        <f>IF(Table1[[#This Row],[Is Data Valid]]=TRUE,IF(Table1[[#This Row],[Fetal Sex (Male, Female or Unknown)]]="Male",Backend!$C$6,IF(Table1[[#This Row],[Fetal Sex (Male, Female or Unknown)]]="Female",Backend!$C$7,IF(Table1[[#This Row],[Fetal Sex (Male, Female or Unknown)]]="Unknown",Backend!$C$8,"Error"))),"")</f>
        <v/>
      </c>
      <c r="F721" s="8" t="str">
        <f>IF(Table1[[#This Row],[Is Data Valid]]=TRUE,EXP(0.578+0.332*((Table1[[#This Row],[Gestation (days)]]+0.5)/7)-0.00354*((Table1[[#This Row],[Gestation (days)]]+0.5)/7)^2)*Table1[[#This Row],[BW40_3705]],"")</f>
        <v/>
      </c>
      <c r="G721" s="2" t="str">
        <f>IF(Table1[[#This Row],[Is Data Valid]]=TRUE,((Table1[[#This Row],[Birthweight (grams)]]/Table1[[#This Row],[BW_GA]])-1)/(Backend!$B$4/100*Table1[[#This Row],[BW40_3705]]),"")</f>
        <v/>
      </c>
      <c r="H721" s="7" t="str">
        <f>IF(Table1[[#This Row],[Is Data Valid]]=TRUE,((Table1[[#This Row],[Birthweight (grams)]]*0.9/Table1[[#This Row],[BW_GA]])-1)/(Backend!$B$4/100*Table1[[#This Row],[BW40_3705]]),"")</f>
        <v/>
      </c>
      <c r="I721" s="7" t="str">
        <f>IF(Table1[[#This Row],[Is Data Valid]]=TRUE,((Table1[[#This Row],[Birthweight (grams)]]*1.1/Table1[[#This Row],[BW_GA]])-1)/(Backend!$B$4/100*Table1[[#This Row],[BW40_3705]]),"")</f>
        <v/>
      </c>
      <c r="J721" s="7" t="str">
        <f>IF(Table1[[#This Row],[Is Data Valid]]=TRUE,_xlfn.NORM.S.DIST(Table1[[#This Row],[Birthweight Z-Score]],TRUE)*100,"")</f>
        <v/>
      </c>
      <c r="K721" s="7" t="str">
        <f>IF(Table1[[#This Row],[Is Data Valid]]=TRUE,_xlfn.NORM.S.DIST(Table1[[#This Row],[Birthweight Z-Score (BW-10%)]],TRUE)*100,"")</f>
        <v/>
      </c>
      <c r="L721" s="7" t="str">
        <f>IF(Table1[[#This Row],[Is Data Valid]]=TRUE,_xlfn.NORM.S.DIST(Table1[[#This Row],[Birthweight Z-Score (BW+10%)]],TRUE)*100,"")</f>
        <v/>
      </c>
    </row>
    <row r="722" spans="1:12" x14ac:dyDescent="0.35">
      <c r="A722" s="3"/>
      <c r="B722" s="2"/>
      <c r="C722" s="2"/>
      <c r="D722" s="2" t="b">
        <f>IF(AND(NOT(ISBLANK(Table1[[#This Row],[Fetal Sex (Male, Female or Unknown)]])),ISNUMBER(Table1[[#This Row],[Birthweight (grams)]]),ISNUMBER(Table1[[#This Row],[Gestation (days)]])),TRUE,FALSE)</f>
        <v>0</v>
      </c>
      <c r="E722" s="2" t="str">
        <f>IF(Table1[[#This Row],[Is Data Valid]]=TRUE,IF(Table1[[#This Row],[Fetal Sex (Male, Female or Unknown)]]="Male",Backend!$C$6,IF(Table1[[#This Row],[Fetal Sex (Male, Female or Unknown)]]="Female",Backend!$C$7,IF(Table1[[#This Row],[Fetal Sex (Male, Female or Unknown)]]="Unknown",Backend!$C$8,"Error"))),"")</f>
        <v/>
      </c>
      <c r="F722" s="8" t="str">
        <f>IF(Table1[[#This Row],[Is Data Valid]]=TRUE,EXP(0.578+0.332*((Table1[[#This Row],[Gestation (days)]]+0.5)/7)-0.00354*((Table1[[#This Row],[Gestation (days)]]+0.5)/7)^2)*Table1[[#This Row],[BW40_3705]],"")</f>
        <v/>
      </c>
      <c r="G722" s="2" t="str">
        <f>IF(Table1[[#This Row],[Is Data Valid]]=TRUE,((Table1[[#This Row],[Birthweight (grams)]]/Table1[[#This Row],[BW_GA]])-1)/(Backend!$B$4/100*Table1[[#This Row],[BW40_3705]]),"")</f>
        <v/>
      </c>
      <c r="H722" s="7" t="str">
        <f>IF(Table1[[#This Row],[Is Data Valid]]=TRUE,((Table1[[#This Row],[Birthweight (grams)]]*0.9/Table1[[#This Row],[BW_GA]])-1)/(Backend!$B$4/100*Table1[[#This Row],[BW40_3705]]),"")</f>
        <v/>
      </c>
      <c r="I722" s="7" t="str">
        <f>IF(Table1[[#This Row],[Is Data Valid]]=TRUE,((Table1[[#This Row],[Birthweight (grams)]]*1.1/Table1[[#This Row],[BW_GA]])-1)/(Backend!$B$4/100*Table1[[#This Row],[BW40_3705]]),"")</f>
        <v/>
      </c>
      <c r="J722" s="7" t="str">
        <f>IF(Table1[[#This Row],[Is Data Valid]]=TRUE,_xlfn.NORM.S.DIST(Table1[[#This Row],[Birthweight Z-Score]],TRUE)*100,"")</f>
        <v/>
      </c>
      <c r="K722" s="7" t="str">
        <f>IF(Table1[[#This Row],[Is Data Valid]]=TRUE,_xlfn.NORM.S.DIST(Table1[[#This Row],[Birthweight Z-Score (BW-10%)]],TRUE)*100,"")</f>
        <v/>
      </c>
      <c r="L722" s="7" t="str">
        <f>IF(Table1[[#This Row],[Is Data Valid]]=TRUE,_xlfn.NORM.S.DIST(Table1[[#This Row],[Birthweight Z-Score (BW+10%)]],TRUE)*100,"")</f>
        <v/>
      </c>
    </row>
    <row r="723" spans="1:12" x14ac:dyDescent="0.35">
      <c r="A723" s="3"/>
      <c r="B723" s="2"/>
      <c r="C723" s="2"/>
      <c r="D723" s="2" t="b">
        <f>IF(AND(NOT(ISBLANK(Table1[[#This Row],[Fetal Sex (Male, Female or Unknown)]])),ISNUMBER(Table1[[#This Row],[Birthweight (grams)]]),ISNUMBER(Table1[[#This Row],[Gestation (days)]])),TRUE,FALSE)</f>
        <v>0</v>
      </c>
      <c r="E723" s="2" t="str">
        <f>IF(Table1[[#This Row],[Is Data Valid]]=TRUE,IF(Table1[[#This Row],[Fetal Sex (Male, Female or Unknown)]]="Male",Backend!$C$6,IF(Table1[[#This Row],[Fetal Sex (Male, Female or Unknown)]]="Female",Backend!$C$7,IF(Table1[[#This Row],[Fetal Sex (Male, Female or Unknown)]]="Unknown",Backend!$C$8,"Error"))),"")</f>
        <v/>
      </c>
      <c r="F723" s="8" t="str">
        <f>IF(Table1[[#This Row],[Is Data Valid]]=TRUE,EXP(0.578+0.332*((Table1[[#This Row],[Gestation (days)]]+0.5)/7)-0.00354*((Table1[[#This Row],[Gestation (days)]]+0.5)/7)^2)*Table1[[#This Row],[BW40_3705]],"")</f>
        <v/>
      </c>
      <c r="G723" s="2" t="str">
        <f>IF(Table1[[#This Row],[Is Data Valid]]=TRUE,((Table1[[#This Row],[Birthweight (grams)]]/Table1[[#This Row],[BW_GA]])-1)/(Backend!$B$4/100*Table1[[#This Row],[BW40_3705]]),"")</f>
        <v/>
      </c>
      <c r="H723" s="7" t="str">
        <f>IF(Table1[[#This Row],[Is Data Valid]]=TRUE,((Table1[[#This Row],[Birthweight (grams)]]*0.9/Table1[[#This Row],[BW_GA]])-1)/(Backend!$B$4/100*Table1[[#This Row],[BW40_3705]]),"")</f>
        <v/>
      </c>
      <c r="I723" s="7" t="str">
        <f>IF(Table1[[#This Row],[Is Data Valid]]=TRUE,((Table1[[#This Row],[Birthweight (grams)]]*1.1/Table1[[#This Row],[BW_GA]])-1)/(Backend!$B$4/100*Table1[[#This Row],[BW40_3705]]),"")</f>
        <v/>
      </c>
      <c r="J723" s="7" t="str">
        <f>IF(Table1[[#This Row],[Is Data Valid]]=TRUE,_xlfn.NORM.S.DIST(Table1[[#This Row],[Birthweight Z-Score]],TRUE)*100,"")</f>
        <v/>
      </c>
      <c r="K723" s="7" t="str">
        <f>IF(Table1[[#This Row],[Is Data Valid]]=TRUE,_xlfn.NORM.S.DIST(Table1[[#This Row],[Birthweight Z-Score (BW-10%)]],TRUE)*100,"")</f>
        <v/>
      </c>
      <c r="L723" s="7" t="str">
        <f>IF(Table1[[#This Row],[Is Data Valid]]=TRUE,_xlfn.NORM.S.DIST(Table1[[#This Row],[Birthweight Z-Score (BW+10%)]],TRUE)*100,"")</f>
        <v/>
      </c>
    </row>
    <row r="724" spans="1:12" x14ac:dyDescent="0.35">
      <c r="A724" s="3"/>
      <c r="B724" s="2"/>
      <c r="C724" s="2"/>
      <c r="D724" s="2" t="b">
        <f>IF(AND(NOT(ISBLANK(Table1[[#This Row],[Fetal Sex (Male, Female or Unknown)]])),ISNUMBER(Table1[[#This Row],[Birthweight (grams)]]),ISNUMBER(Table1[[#This Row],[Gestation (days)]])),TRUE,FALSE)</f>
        <v>0</v>
      </c>
      <c r="E724" s="2" t="str">
        <f>IF(Table1[[#This Row],[Is Data Valid]]=TRUE,IF(Table1[[#This Row],[Fetal Sex (Male, Female or Unknown)]]="Male",Backend!$C$6,IF(Table1[[#This Row],[Fetal Sex (Male, Female or Unknown)]]="Female",Backend!$C$7,IF(Table1[[#This Row],[Fetal Sex (Male, Female or Unknown)]]="Unknown",Backend!$C$8,"Error"))),"")</f>
        <v/>
      </c>
      <c r="F724" s="8" t="str">
        <f>IF(Table1[[#This Row],[Is Data Valid]]=TRUE,EXP(0.578+0.332*((Table1[[#This Row],[Gestation (days)]]+0.5)/7)-0.00354*((Table1[[#This Row],[Gestation (days)]]+0.5)/7)^2)*Table1[[#This Row],[BW40_3705]],"")</f>
        <v/>
      </c>
      <c r="G724" s="2" t="str">
        <f>IF(Table1[[#This Row],[Is Data Valid]]=TRUE,((Table1[[#This Row],[Birthweight (grams)]]/Table1[[#This Row],[BW_GA]])-1)/(Backend!$B$4/100*Table1[[#This Row],[BW40_3705]]),"")</f>
        <v/>
      </c>
      <c r="H724" s="7" t="str">
        <f>IF(Table1[[#This Row],[Is Data Valid]]=TRUE,((Table1[[#This Row],[Birthweight (grams)]]*0.9/Table1[[#This Row],[BW_GA]])-1)/(Backend!$B$4/100*Table1[[#This Row],[BW40_3705]]),"")</f>
        <v/>
      </c>
      <c r="I724" s="7" t="str">
        <f>IF(Table1[[#This Row],[Is Data Valid]]=TRUE,((Table1[[#This Row],[Birthweight (grams)]]*1.1/Table1[[#This Row],[BW_GA]])-1)/(Backend!$B$4/100*Table1[[#This Row],[BW40_3705]]),"")</f>
        <v/>
      </c>
      <c r="J724" s="7" t="str">
        <f>IF(Table1[[#This Row],[Is Data Valid]]=TRUE,_xlfn.NORM.S.DIST(Table1[[#This Row],[Birthweight Z-Score]],TRUE)*100,"")</f>
        <v/>
      </c>
      <c r="K724" s="7" t="str">
        <f>IF(Table1[[#This Row],[Is Data Valid]]=TRUE,_xlfn.NORM.S.DIST(Table1[[#This Row],[Birthweight Z-Score (BW-10%)]],TRUE)*100,"")</f>
        <v/>
      </c>
      <c r="L724" s="7" t="str">
        <f>IF(Table1[[#This Row],[Is Data Valid]]=TRUE,_xlfn.NORM.S.DIST(Table1[[#This Row],[Birthweight Z-Score (BW+10%)]],TRUE)*100,"")</f>
        <v/>
      </c>
    </row>
    <row r="725" spans="1:12" x14ac:dyDescent="0.35">
      <c r="A725" s="3"/>
      <c r="B725" s="2"/>
      <c r="C725" s="2"/>
      <c r="D725" s="2" t="b">
        <f>IF(AND(NOT(ISBLANK(Table1[[#This Row],[Fetal Sex (Male, Female or Unknown)]])),ISNUMBER(Table1[[#This Row],[Birthweight (grams)]]),ISNUMBER(Table1[[#This Row],[Gestation (days)]])),TRUE,FALSE)</f>
        <v>0</v>
      </c>
      <c r="E725" s="2" t="str">
        <f>IF(Table1[[#This Row],[Is Data Valid]]=TRUE,IF(Table1[[#This Row],[Fetal Sex (Male, Female or Unknown)]]="Male",Backend!$C$6,IF(Table1[[#This Row],[Fetal Sex (Male, Female or Unknown)]]="Female",Backend!$C$7,IF(Table1[[#This Row],[Fetal Sex (Male, Female or Unknown)]]="Unknown",Backend!$C$8,"Error"))),"")</f>
        <v/>
      </c>
      <c r="F725" s="8" t="str">
        <f>IF(Table1[[#This Row],[Is Data Valid]]=TRUE,EXP(0.578+0.332*((Table1[[#This Row],[Gestation (days)]]+0.5)/7)-0.00354*((Table1[[#This Row],[Gestation (days)]]+0.5)/7)^2)*Table1[[#This Row],[BW40_3705]],"")</f>
        <v/>
      </c>
      <c r="G725" s="2" t="str">
        <f>IF(Table1[[#This Row],[Is Data Valid]]=TRUE,((Table1[[#This Row],[Birthweight (grams)]]/Table1[[#This Row],[BW_GA]])-1)/(Backend!$B$4/100*Table1[[#This Row],[BW40_3705]]),"")</f>
        <v/>
      </c>
      <c r="H725" s="7" t="str">
        <f>IF(Table1[[#This Row],[Is Data Valid]]=TRUE,((Table1[[#This Row],[Birthweight (grams)]]*0.9/Table1[[#This Row],[BW_GA]])-1)/(Backend!$B$4/100*Table1[[#This Row],[BW40_3705]]),"")</f>
        <v/>
      </c>
      <c r="I725" s="7" t="str">
        <f>IF(Table1[[#This Row],[Is Data Valid]]=TRUE,((Table1[[#This Row],[Birthweight (grams)]]*1.1/Table1[[#This Row],[BW_GA]])-1)/(Backend!$B$4/100*Table1[[#This Row],[BW40_3705]]),"")</f>
        <v/>
      </c>
      <c r="J725" s="7" t="str">
        <f>IF(Table1[[#This Row],[Is Data Valid]]=TRUE,_xlfn.NORM.S.DIST(Table1[[#This Row],[Birthweight Z-Score]],TRUE)*100,"")</f>
        <v/>
      </c>
      <c r="K725" s="7" t="str">
        <f>IF(Table1[[#This Row],[Is Data Valid]]=TRUE,_xlfn.NORM.S.DIST(Table1[[#This Row],[Birthweight Z-Score (BW-10%)]],TRUE)*100,"")</f>
        <v/>
      </c>
      <c r="L725" s="7" t="str">
        <f>IF(Table1[[#This Row],[Is Data Valid]]=TRUE,_xlfn.NORM.S.DIST(Table1[[#This Row],[Birthweight Z-Score (BW+10%)]],TRUE)*100,"")</f>
        <v/>
      </c>
    </row>
    <row r="726" spans="1:12" x14ac:dyDescent="0.35">
      <c r="A726" s="3"/>
      <c r="B726" s="2"/>
      <c r="C726" s="2"/>
      <c r="D726" s="2" t="b">
        <f>IF(AND(NOT(ISBLANK(Table1[[#This Row],[Fetal Sex (Male, Female or Unknown)]])),ISNUMBER(Table1[[#This Row],[Birthweight (grams)]]),ISNUMBER(Table1[[#This Row],[Gestation (days)]])),TRUE,FALSE)</f>
        <v>0</v>
      </c>
      <c r="E726" s="2" t="str">
        <f>IF(Table1[[#This Row],[Is Data Valid]]=TRUE,IF(Table1[[#This Row],[Fetal Sex (Male, Female or Unknown)]]="Male",Backend!$C$6,IF(Table1[[#This Row],[Fetal Sex (Male, Female or Unknown)]]="Female",Backend!$C$7,IF(Table1[[#This Row],[Fetal Sex (Male, Female or Unknown)]]="Unknown",Backend!$C$8,"Error"))),"")</f>
        <v/>
      </c>
      <c r="F726" s="8" t="str">
        <f>IF(Table1[[#This Row],[Is Data Valid]]=TRUE,EXP(0.578+0.332*((Table1[[#This Row],[Gestation (days)]]+0.5)/7)-0.00354*((Table1[[#This Row],[Gestation (days)]]+0.5)/7)^2)*Table1[[#This Row],[BW40_3705]],"")</f>
        <v/>
      </c>
      <c r="G726" s="2" t="str">
        <f>IF(Table1[[#This Row],[Is Data Valid]]=TRUE,((Table1[[#This Row],[Birthweight (grams)]]/Table1[[#This Row],[BW_GA]])-1)/(Backend!$B$4/100*Table1[[#This Row],[BW40_3705]]),"")</f>
        <v/>
      </c>
      <c r="H726" s="7" t="str">
        <f>IF(Table1[[#This Row],[Is Data Valid]]=TRUE,((Table1[[#This Row],[Birthweight (grams)]]*0.9/Table1[[#This Row],[BW_GA]])-1)/(Backend!$B$4/100*Table1[[#This Row],[BW40_3705]]),"")</f>
        <v/>
      </c>
      <c r="I726" s="7" t="str">
        <f>IF(Table1[[#This Row],[Is Data Valid]]=TRUE,((Table1[[#This Row],[Birthweight (grams)]]*1.1/Table1[[#This Row],[BW_GA]])-1)/(Backend!$B$4/100*Table1[[#This Row],[BW40_3705]]),"")</f>
        <v/>
      </c>
      <c r="J726" s="7" t="str">
        <f>IF(Table1[[#This Row],[Is Data Valid]]=TRUE,_xlfn.NORM.S.DIST(Table1[[#This Row],[Birthweight Z-Score]],TRUE)*100,"")</f>
        <v/>
      </c>
      <c r="K726" s="7" t="str">
        <f>IF(Table1[[#This Row],[Is Data Valid]]=TRUE,_xlfn.NORM.S.DIST(Table1[[#This Row],[Birthweight Z-Score (BW-10%)]],TRUE)*100,"")</f>
        <v/>
      </c>
      <c r="L726" s="7" t="str">
        <f>IF(Table1[[#This Row],[Is Data Valid]]=TRUE,_xlfn.NORM.S.DIST(Table1[[#This Row],[Birthweight Z-Score (BW+10%)]],TRUE)*100,"")</f>
        <v/>
      </c>
    </row>
    <row r="727" spans="1:12" x14ac:dyDescent="0.35">
      <c r="A727" s="3"/>
      <c r="B727" s="2"/>
      <c r="C727" s="2"/>
      <c r="D727" s="2" t="b">
        <f>IF(AND(NOT(ISBLANK(Table1[[#This Row],[Fetal Sex (Male, Female or Unknown)]])),ISNUMBER(Table1[[#This Row],[Birthweight (grams)]]),ISNUMBER(Table1[[#This Row],[Gestation (days)]])),TRUE,FALSE)</f>
        <v>0</v>
      </c>
      <c r="E727" s="2" t="str">
        <f>IF(Table1[[#This Row],[Is Data Valid]]=TRUE,IF(Table1[[#This Row],[Fetal Sex (Male, Female or Unknown)]]="Male",Backend!$C$6,IF(Table1[[#This Row],[Fetal Sex (Male, Female or Unknown)]]="Female",Backend!$C$7,IF(Table1[[#This Row],[Fetal Sex (Male, Female or Unknown)]]="Unknown",Backend!$C$8,"Error"))),"")</f>
        <v/>
      </c>
      <c r="F727" s="8" t="str">
        <f>IF(Table1[[#This Row],[Is Data Valid]]=TRUE,EXP(0.578+0.332*((Table1[[#This Row],[Gestation (days)]]+0.5)/7)-0.00354*((Table1[[#This Row],[Gestation (days)]]+0.5)/7)^2)*Table1[[#This Row],[BW40_3705]],"")</f>
        <v/>
      </c>
      <c r="G727" s="2" t="str">
        <f>IF(Table1[[#This Row],[Is Data Valid]]=TRUE,((Table1[[#This Row],[Birthweight (grams)]]/Table1[[#This Row],[BW_GA]])-1)/(Backend!$B$4/100*Table1[[#This Row],[BW40_3705]]),"")</f>
        <v/>
      </c>
      <c r="H727" s="7" t="str">
        <f>IF(Table1[[#This Row],[Is Data Valid]]=TRUE,((Table1[[#This Row],[Birthweight (grams)]]*0.9/Table1[[#This Row],[BW_GA]])-1)/(Backend!$B$4/100*Table1[[#This Row],[BW40_3705]]),"")</f>
        <v/>
      </c>
      <c r="I727" s="7" t="str">
        <f>IF(Table1[[#This Row],[Is Data Valid]]=TRUE,((Table1[[#This Row],[Birthweight (grams)]]*1.1/Table1[[#This Row],[BW_GA]])-1)/(Backend!$B$4/100*Table1[[#This Row],[BW40_3705]]),"")</f>
        <v/>
      </c>
      <c r="J727" s="7" t="str">
        <f>IF(Table1[[#This Row],[Is Data Valid]]=TRUE,_xlfn.NORM.S.DIST(Table1[[#This Row],[Birthweight Z-Score]],TRUE)*100,"")</f>
        <v/>
      </c>
      <c r="K727" s="7" t="str">
        <f>IF(Table1[[#This Row],[Is Data Valid]]=TRUE,_xlfn.NORM.S.DIST(Table1[[#This Row],[Birthweight Z-Score (BW-10%)]],TRUE)*100,"")</f>
        <v/>
      </c>
      <c r="L727" s="7" t="str">
        <f>IF(Table1[[#This Row],[Is Data Valid]]=TRUE,_xlfn.NORM.S.DIST(Table1[[#This Row],[Birthweight Z-Score (BW+10%)]],TRUE)*100,"")</f>
        <v/>
      </c>
    </row>
    <row r="728" spans="1:12" x14ac:dyDescent="0.35">
      <c r="A728" s="3"/>
      <c r="B728" s="2"/>
      <c r="C728" s="2"/>
      <c r="D728" s="2" t="b">
        <f>IF(AND(NOT(ISBLANK(Table1[[#This Row],[Fetal Sex (Male, Female or Unknown)]])),ISNUMBER(Table1[[#This Row],[Birthweight (grams)]]),ISNUMBER(Table1[[#This Row],[Gestation (days)]])),TRUE,FALSE)</f>
        <v>0</v>
      </c>
      <c r="E728" s="2" t="str">
        <f>IF(Table1[[#This Row],[Is Data Valid]]=TRUE,IF(Table1[[#This Row],[Fetal Sex (Male, Female or Unknown)]]="Male",Backend!$C$6,IF(Table1[[#This Row],[Fetal Sex (Male, Female or Unknown)]]="Female",Backend!$C$7,IF(Table1[[#This Row],[Fetal Sex (Male, Female or Unknown)]]="Unknown",Backend!$C$8,"Error"))),"")</f>
        <v/>
      </c>
      <c r="F728" s="8" t="str">
        <f>IF(Table1[[#This Row],[Is Data Valid]]=TRUE,EXP(0.578+0.332*((Table1[[#This Row],[Gestation (days)]]+0.5)/7)-0.00354*((Table1[[#This Row],[Gestation (days)]]+0.5)/7)^2)*Table1[[#This Row],[BW40_3705]],"")</f>
        <v/>
      </c>
      <c r="G728" s="2" t="str">
        <f>IF(Table1[[#This Row],[Is Data Valid]]=TRUE,((Table1[[#This Row],[Birthweight (grams)]]/Table1[[#This Row],[BW_GA]])-1)/(Backend!$B$4/100*Table1[[#This Row],[BW40_3705]]),"")</f>
        <v/>
      </c>
      <c r="H728" s="7" t="str">
        <f>IF(Table1[[#This Row],[Is Data Valid]]=TRUE,((Table1[[#This Row],[Birthweight (grams)]]*0.9/Table1[[#This Row],[BW_GA]])-1)/(Backend!$B$4/100*Table1[[#This Row],[BW40_3705]]),"")</f>
        <v/>
      </c>
      <c r="I728" s="7" t="str">
        <f>IF(Table1[[#This Row],[Is Data Valid]]=TRUE,((Table1[[#This Row],[Birthweight (grams)]]*1.1/Table1[[#This Row],[BW_GA]])-1)/(Backend!$B$4/100*Table1[[#This Row],[BW40_3705]]),"")</f>
        <v/>
      </c>
      <c r="J728" s="7" t="str">
        <f>IF(Table1[[#This Row],[Is Data Valid]]=TRUE,_xlfn.NORM.S.DIST(Table1[[#This Row],[Birthweight Z-Score]],TRUE)*100,"")</f>
        <v/>
      </c>
      <c r="K728" s="7" t="str">
        <f>IF(Table1[[#This Row],[Is Data Valid]]=TRUE,_xlfn.NORM.S.DIST(Table1[[#This Row],[Birthweight Z-Score (BW-10%)]],TRUE)*100,"")</f>
        <v/>
      </c>
      <c r="L728" s="7" t="str">
        <f>IF(Table1[[#This Row],[Is Data Valid]]=TRUE,_xlfn.NORM.S.DIST(Table1[[#This Row],[Birthweight Z-Score (BW+10%)]],TRUE)*100,"")</f>
        <v/>
      </c>
    </row>
    <row r="729" spans="1:12" x14ac:dyDescent="0.35">
      <c r="A729" s="3"/>
      <c r="B729" s="2"/>
      <c r="C729" s="2"/>
      <c r="D729" s="2" t="b">
        <f>IF(AND(NOT(ISBLANK(Table1[[#This Row],[Fetal Sex (Male, Female or Unknown)]])),ISNUMBER(Table1[[#This Row],[Birthweight (grams)]]),ISNUMBER(Table1[[#This Row],[Gestation (days)]])),TRUE,FALSE)</f>
        <v>0</v>
      </c>
      <c r="E729" s="2" t="str">
        <f>IF(Table1[[#This Row],[Is Data Valid]]=TRUE,IF(Table1[[#This Row],[Fetal Sex (Male, Female or Unknown)]]="Male",Backend!$C$6,IF(Table1[[#This Row],[Fetal Sex (Male, Female or Unknown)]]="Female",Backend!$C$7,IF(Table1[[#This Row],[Fetal Sex (Male, Female or Unknown)]]="Unknown",Backend!$C$8,"Error"))),"")</f>
        <v/>
      </c>
      <c r="F729" s="8" t="str">
        <f>IF(Table1[[#This Row],[Is Data Valid]]=TRUE,EXP(0.578+0.332*((Table1[[#This Row],[Gestation (days)]]+0.5)/7)-0.00354*((Table1[[#This Row],[Gestation (days)]]+0.5)/7)^2)*Table1[[#This Row],[BW40_3705]],"")</f>
        <v/>
      </c>
      <c r="G729" s="2" t="str">
        <f>IF(Table1[[#This Row],[Is Data Valid]]=TRUE,((Table1[[#This Row],[Birthweight (grams)]]/Table1[[#This Row],[BW_GA]])-1)/(Backend!$B$4/100*Table1[[#This Row],[BW40_3705]]),"")</f>
        <v/>
      </c>
      <c r="H729" s="7" t="str">
        <f>IF(Table1[[#This Row],[Is Data Valid]]=TRUE,((Table1[[#This Row],[Birthweight (grams)]]*0.9/Table1[[#This Row],[BW_GA]])-1)/(Backend!$B$4/100*Table1[[#This Row],[BW40_3705]]),"")</f>
        <v/>
      </c>
      <c r="I729" s="7" t="str">
        <f>IF(Table1[[#This Row],[Is Data Valid]]=TRUE,((Table1[[#This Row],[Birthweight (grams)]]*1.1/Table1[[#This Row],[BW_GA]])-1)/(Backend!$B$4/100*Table1[[#This Row],[BW40_3705]]),"")</f>
        <v/>
      </c>
      <c r="J729" s="7" t="str">
        <f>IF(Table1[[#This Row],[Is Data Valid]]=TRUE,_xlfn.NORM.S.DIST(Table1[[#This Row],[Birthweight Z-Score]],TRUE)*100,"")</f>
        <v/>
      </c>
      <c r="K729" s="7" t="str">
        <f>IF(Table1[[#This Row],[Is Data Valid]]=TRUE,_xlfn.NORM.S.DIST(Table1[[#This Row],[Birthweight Z-Score (BW-10%)]],TRUE)*100,"")</f>
        <v/>
      </c>
      <c r="L729" s="7" t="str">
        <f>IF(Table1[[#This Row],[Is Data Valid]]=TRUE,_xlfn.NORM.S.DIST(Table1[[#This Row],[Birthweight Z-Score (BW+10%)]],TRUE)*100,"")</f>
        <v/>
      </c>
    </row>
    <row r="730" spans="1:12" x14ac:dyDescent="0.35">
      <c r="A730" s="3"/>
      <c r="B730" s="2"/>
      <c r="C730" s="2"/>
      <c r="D730" s="2" t="b">
        <f>IF(AND(NOT(ISBLANK(Table1[[#This Row],[Fetal Sex (Male, Female or Unknown)]])),ISNUMBER(Table1[[#This Row],[Birthweight (grams)]]),ISNUMBER(Table1[[#This Row],[Gestation (days)]])),TRUE,FALSE)</f>
        <v>0</v>
      </c>
      <c r="E730" s="2" t="str">
        <f>IF(Table1[[#This Row],[Is Data Valid]]=TRUE,IF(Table1[[#This Row],[Fetal Sex (Male, Female or Unknown)]]="Male",Backend!$C$6,IF(Table1[[#This Row],[Fetal Sex (Male, Female or Unknown)]]="Female",Backend!$C$7,IF(Table1[[#This Row],[Fetal Sex (Male, Female or Unknown)]]="Unknown",Backend!$C$8,"Error"))),"")</f>
        <v/>
      </c>
      <c r="F730" s="8" t="str">
        <f>IF(Table1[[#This Row],[Is Data Valid]]=TRUE,EXP(0.578+0.332*((Table1[[#This Row],[Gestation (days)]]+0.5)/7)-0.00354*((Table1[[#This Row],[Gestation (days)]]+0.5)/7)^2)*Table1[[#This Row],[BW40_3705]],"")</f>
        <v/>
      </c>
      <c r="G730" s="2" t="str">
        <f>IF(Table1[[#This Row],[Is Data Valid]]=TRUE,((Table1[[#This Row],[Birthweight (grams)]]/Table1[[#This Row],[BW_GA]])-1)/(Backend!$B$4/100*Table1[[#This Row],[BW40_3705]]),"")</f>
        <v/>
      </c>
      <c r="H730" s="7" t="str">
        <f>IF(Table1[[#This Row],[Is Data Valid]]=TRUE,((Table1[[#This Row],[Birthweight (grams)]]*0.9/Table1[[#This Row],[BW_GA]])-1)/(Backend!$B$4/100*Table1[[#This Row],[BW40_3705]]),"")</f>
        <v/>
      </c>
      <c r="I730" s="7" t="str">
        <f>IF(Table1[[#This Row],[Is Data Valid]]=TRUE,((Table1[[#This Row],[Birthweight (grams)]]*1.1/Table1[[#This Row],[BW_GA]])-1)/(Backend!$B$4/100*Table1[[#This Row],[BW40_3705]]),"")</f>
        <v/>
      </c>
      <c r="J730" s="7" t="str">
        <f>IF(Table1[[#This Row],[Is Data Valid]]=TRUE,_xlfn.NORM.S.DIST(Table1[[#This Row],[Birthweight Z-Score]],TRUE)*100,"")</f>
        <v/>
      </c>
      <c r="K730" s="7" t="str">
        <f>IF(Table1[[#This Row],[Is Data Valid]]=TRUE,_xlfn.NORM.S.DIST(Table1[[#This Row],[Birthweight Z-Score (BW-10%)]],TRUE)*100,"")</f>
        <v/>
      </c>
      <c r="L730" s="7" t="str">
        <f>IF(Table1[[#This Row],[Is Data Valid]]=TRUE,_xlfn.NORM.S.DIST(Table1[[#This Row],[Birthweight Z-Score (BW+10%)]],TRUE)*100,"")</f>
        <v/>
      </c>
    </row>
    <row r="731" spans="1:12" x14ac:dyDescent="0.35">
      <c r="A731" s="3"/>
      <c r="B731" s="2"/>
      <c r="C731" s="2"/>
      <c r="D731" s="2" t="b">
        <f>IF(AND(NOT(ISBLANK(Table1[[#This Row],[Fetal Sex (Male, Female or Unknown)]])),ISNUMBER(Table1[[#This Row],[Birthweight (grams)]]),ISNUMBER(Table1[[#This Row],[Gestation (days)]])),TRUE,FALSE)</f>
        <v>0</v>
      </c>
      <c r="E731" s="2" t="str">
        <f>IF(Table1[[#This Row],[Is Data Valid]]=TRUE,IF(Table1[[#This Row],[Fetal Sex (Male, Female or Unknown)]]="Male",Backend!$C$6,IF(Table1[[#This Row],[Fetal Sex (Male, Female or Unknown)]]="Female",Backend!$C$7,IF(Table1[[#This Row],[Fetal Sex (Male, Female or Unknown)]]="Unknown",Backend!$C$8,"Error"))),"")</f>
        <v/>
      </c>
      <c r="F731" s="8" t="str">
        <f>IF(Table1[[#This Row],[Is Data Valid]]=TRUE,EXP(0.578+0.332*((Table1[[#This Row],[Gestation (days)]]+0.5)/7)-0.00354*((Table1[[#This Row],[Gestation (days)]]+0.5)/7)^2)*Table1[[#This Row],[BW40_3705]],"")</f>
        <v/>
      </c>
      <c r="G731" s="2" t="str">
        <f>IF(Table1[[#This Row],[Is Data Valid]]=TRUE,((Table1[[#This Row],[Birthweight (grams)]]/Table1[[#This Row],[BW_GA]])-1)/(Backend!$B$4/100*Table1[[#This Row],[BW40_3705]]),"")</f>
        <v/>
      </c>
      <c r="H731" s="7" t="str">
        <f>IF(Table1[[#This Row],[Is Data Valid]]=TRUE,((Table1[[#This Row],[Birthweight (grams)]]*0.9/Table1[[#This Row],[BW_GA]])-1)/(Backend!$B$4/100*Table1[[#This Row],[BW40_3705]]),"")</f>
        <v/>
      </c>
      <c r="I731" s="7" t="str">
        <f>IF(Table1[[#This Row],[Is Data Valid]]=TRUE,((Table1[[#This Row],[Birthweight (grams)]]*1.1/Table1[[#This Row],[BW_GA]])-1)/(Backend!$B$4/100*Table1[[#This Row],[BW40_3705]]),"")</f>
        <v/>
      </c>
      <c r="J731" s="7" t="str">
        <f>IF(Table1[[#This Row],[Is Data Valid]]=TRUE,_xlfn.NORM.S.DIST(Table1[[#This Row],[Birthweight Z-Score]],TRUE)*100,"")</f>
        <v/>
      </c>
      <c r="K731" s="7" t="str">
        <f>IF(Table1[[#This Row],[Is Data Valid]]=TRUE,_xlfn.NORM.S.DIST(Table1[[#This Row],[Birthweight Z-Score (BW-10%)]],TRUE)*100,"")</f>
        <v/>
      </c>
      <c r="L731" s="7" t="str">
        <f>IF(Table1[[#This Row],[Is Data Valid]]=TRUE,_xlfn.NORM.S.DIST(Table1[[#This Row],[Birthweight Z-Score (BW+10%)]],TRUE)*100,"")</f>
        <v/>
      </c>
    </row>
    <row r="732" spans="1:12" x14ac:dyDescent="0.35">
      <c r="A732" s="3"/>
      <c r="B732" s="2"/>
      <c r="C732" s="2"/>
      <c r="D732" s="2" t="b">
        <f>IF(AND(NOT(ISBLANK(Table1[[#This Row],[Fetal Sex (Male, Female or Unknown)]])),ISNUMBER(Table1[[#This Row],[Birthweight (grams)]]),ISNUMBER(Table1[[#This Row],[Gestation (days)]])),TRUE,FALSE)</f>
        <v>0</v>
      </c>
      <c r="E732" s="2" t="str">
        <f>IF(Table1[[#This Row],[Is Data Valid]]=TRUE,IF(Table1[[#This Row],[Fetal Sex (Male, Female or Unknown)]]="Male",Backend!$C$6,IF(Table1[[#This Row],[Fetal Sex (Male, Female or Unknown)]]="Female",Backend!$C$7,IF(Table1[[#This Row],[Fetal Sex (Male, Female or Unknown)]]="Unknown",Backend!$C$8,"Error"))),"")</f>
        <v/>
      </c>
      <c r="F732" s="8" t="str">
        <f>IF(Table1[[#This Row],[Is Data Valid]]=TRUE,EXP(0.578+0.332*((Table1[[#This Row],[Gestation (days)]]+0.5)/7)-0.00354*((Table1[[#This Row],[Gestation (days)]]+0.5)/7)^2)*Table1[[#This Row],[BW40_3705]],"")</f>
        <v/>
      </c>
      <c r="G732" s="2" t="str">
        <f>IF(Table1[[#This Row],[Is Data Valid]]=TRUE,((Table1[[#This Row],[Birthweight (grams)]]/Table1[[#This Row],[BW_GA]])-1)/(Backend!$B$4/100*Table1[[#This Row],[BW40_3705]]),"")</f>
        <v/>
      </c>
      <c r="H732" s="7" t="str">
        <f>IF(Table1[[#This Row],[Is Data Valid]]=TRUE,((Table1[[#This Row],[Birthweight (grams)]]*0.9/Table1[[#This Row],[BW_GA]])-1)/(Backend!$B$4/100*Table1[[#This Row],[BW40_3705]]),"")</f>
        <v/>
      </c>
      <c r="I732" s="7" t="str">
        <f>IF(Table1[[#This Row],[Is Data Valid]]=TRUE,((Table1[[#This Row],[Birthweight (grams)]]*1.1/Table1[[#This Row],[BW_GA]])-1)/(Backend!$B$4/100*Table1[[#This Row],[BW40_3705]]),"")</f>
        <v/>
      </c>
      <c r="J732" s="7" t="str">
        <f>IF(Table1[[#This Row],[Is Data Valid]]=TRUE,_xlfn.NORM.S.DIST(Table1[[#This Row],[Birthweight Z-Score]],TRUE)*100,"")</f>
        <v/>
      </c>
      <c r="K732" s="7" t="str">
        <f>IF(Table1[[#This Row],[Is Data Valid]]=TRUE,_xlfn.NORM.S.DIST(Table1[[#This Row],[Birthweight Z-Score (BW-10%)]],TRUE)*100,"")</f>
        <v/>
      </c>
      <c r="L732" s="7" t="str">
        <f>IF(Table1[[#This Row],[Is Data Valid]]=TRUE,_xlfn.NORM.S.DIST(Table1[[#This Row],[Birthweight Z-Score (BW+10%)]],TRUE)*100,"")</f>
        <v/>
      </c>
    </row>
    <row r="733" spans="1:12" x14ac:dyDescent="0.35">
      <c r="A733" s="3"/>
      <c r="B733" s="2"/>
      <c r="C733" s="2"/>
      <c r="D733" s="2" t="b">
        <f>IF(AND(NOT(ISBLANK(Table1[[#This Row],[Fetal Sex (Male, Female or Unknown)]])),ISNUMBER(Table1[[#This Row],[Birthweight (grams)]]),ISNUMBER(Table1[[#This Row],[Gestation (days)]])),TRUE,FALSE)</f>
        <v>0</v>
      </c>
      <c r="E733" s="2" t="str">
        <f>IF(Table1[[#This Row],[Is Data Valid]]=TRUE,IF(Table1[[#This Row],[Fetal Sex (Male, Female or Unknown)]]="Male",Backend!$C$6,IF(Table1[[#This Row],[Fetal Sex (Male, Female or Unknown)]]="Female",Backend!$C$7,IF(Table1[[#This Row],[Fetal Sex (Male, Female or Unknown)]]="Unknown",Backend!$C$8,"Error"))),"")</f>
        <v/>
      </c>
      <c r="F733" s="8" t="str">
        <f>IF(Table1[[#This Row],[Is Data Valid]]=TRUE,EXP(0.578+0.332*((Table1[[#This Row],[Gestation (days)]]+0.5)/7)-0.00354*((Table1[[#This Row],[Gestation (days)]]+0.5)/7)^2)*Table1[[#This Row],[BW40_3705]],"")</f>
        <v/>
      </c>
      <c r="G733" s="2" t="str">
        <f>IF(Table1[[#This Row],[Is Data Valid]]=TRUE,((Table1[[#This Row],[Birthweight (grams)]]/Table1[[#This Row],[BW_GA]])-1)/(Backend!$B$4/100*Table1[[#This Row],[BW40_3705]]),"")</f>
        <v/>
      </c>
      <c r="H733" s="7" t="str">
        <f>IF(Table1[[#This Row],[Is Data Valid]]=TRUE,((Table1[[#This Row],[Birthweight (grams)]]*0.9/Table1[[#This Row],[BW_GA]])-1)/(Backend!$B$4/100*Table1[[#This Row],[BW40_3705]]),"")</f>
        <v/>
      </c>
      <c r="I733" s="7" t="str">
        <f>IF(Table1[[#This Row],[Is Data Valid]]=TRUE,((Table1[[#This Row],[Birthweight (grams)]]*1.1/Table1[[#This Row],[BW_GA]])-1)/(Backend!$B$4/100*Table1[[#This Row],[BW40_3705]]),"")</f>
        <v/>
      </c>
      <c r="J733" s="7" t="str">
        <f>IF(Table1[[#This Row],[Is Data Valid]]=TRUE,_xlfn.NORM.S.DIST(Table1[[#This Row],[Birthweight Z-Score]],TRUE)*100,"")</f>
        <v/>
      </c>
      <c r="K733" s="7" t="str">
        <f>IF(Table1[[#This Row],[Is Data Valid]]=TRUE,_xlfn.NORM.S.DIST(Table1[[#This Row],[Birthweight Z-Score (BW-10%)]],TRUE)*100,"")</f>
        <v/>
      </c>
      <c r="L733" s="7" t="str">
        <f>IF(Table1[[#This Row],[Is Data Valid]]=TRUE,_xlfn.NORM.S.DIST(Table1[[#This Row],[Birthweight Z-Score (BW+10%)]],TRUE)*100,"")</f>
        <v/>
      </c>
    </row>
    <row r="734" spans="1:12" x14ac:dyDescent="0.35">
      <c r="A734" s="3"/>
      <c r="B734" s="2"/>
      <c r="C734" s="2"/>
      <c r="D734" s="2" t="b">
        <f>IF(AND(NOT(ISBLANK(Table1[[#This Row],[Fetal Sex (Male, Female or Unknown)]])),ISNUMBER(Table1[[#This Row],[Birthweight (grams)]]),ISNUMBER(Table1[[#This Row],[Gestation (days)]])),TRUE,FALSE)</f>
        <v>0</v>
      </c>
      <c r="E734" s="2" t="str">
        <f>IF(Table1[[#This Row],[Is Data Valid]]=TRUE,IF(Table1[[#This Row],[Fetal Sex (Male, Female or Unknown)]]="Male",Backend!$C$6,IF(Table1[[#This Row],[Fetal Sex (Male, Female or Unknown)]]="Female",Backend!$C$7,IF(Table1[[#This Row],[Fetal Sex (Male, Female or Unknown)]]="Unknown",Backend!$C$8,"Error"))),"")</f>
        <v/>
      </c>
      <c r="F734" s="8" t="str">
        <f>IF(Table1[[#This Row],[Is Data Valid]]=TRUE,EXP(0.578+0.332*((Table1[[#This Row],[Gestation (days)]]+0.5)/7)-0.00354*((Table1[[#This Row],[Gestation (days)]]+0.5)/7)^2)*Table1[[#This Row],[BW40_3705]],"")</f>
        <v/>
      </c>
      <c r="G734" s="2" t="str">
        <f>IF(Table1[[#This Row],[Is Data Valid]]=TRUE,((Table1[[#This Row],[Birthweight (grams)]]/Table1[[#This Row],[BW_GA]])-1)/(Backend!$B$4/100*Table1[[#This Row],[BW40_3705]]),"")</f>
        <v/>
      </c>
      <c r="H734" s="7" t="str">
        <f>IF(Table1[[#This Row],[Is Data Valid]]=TRUE,((Table1[[#This Row],[Birthweight (grams)]]*0.9/Table1[[#This Row],[BW_GA]])-1)/(Backend!$B$4/100*Table1[[#This Row],[BW40_3705]]),"")</f>
        <v/>
      </c>
      <c r="I734" s="7" t="str">
        <f>IF(Table1[[#This Row],[Is Data Valid]]=TRUE,((Table1[[#This Row],[Birthweight (grams)]]*1.1/Table1[[#This Row],[BW_GA]])-1)/(Backend!$B$4/100*Table1[[#This Row],[BW40_3705]]),"")</f>
        <v/>
      </c>
      <c r="J734" s="7" t="str">
        <f>IF(Table1[[#This Row],[Is Data Valid]]=TRUE,_xlfn.NORM.S.DIST(Table1[[#This Row],[Birthweight Z-Score]],TRUE)*100,"")</f>
        <v/>
      </c>
      <c r="K734" s="7" t="str">
        <f>IF(Table1[[#This Row],[Is Data Valid]]=TRUE,_xlfn.NORM.S.DIST(Table1[[#This Row],[Birthweight Z-Score (BW-10%)]],TRUE)*100,"")</f>
        <v/>
      </c>
      <c r="L734" s="7" t="str">
        <f>IF(Table1[[#This Row],[Is Data Valid]]=TRUE,_xlfn.NORM.S.DIST(Table1[[#This Row],[Birthweight Z-Score (BW+10%)]],TRUE)*100,"")</f>
        <v/>
      </c>
    </row>
    <row r="735" spans="1:12" x14ac:dyDescent="0.35">
      <c r="A735" s="3"/>
      <c r="B735" s="2"/>
      <c r="C735" s="2"/>
      <c r="D735" s="2" t="b">
        <f>IF(AND(NOT(ISBLANK(Table1[[#This Row],[Fetal Sex (Male, Female or Unknown)]])),ISNUMBER(Table1[[#This Row],[Birthweight (grams)]]),ISNUMBER(Table1[[#This Row],[Gestation (days)]])),TRUE,FALSE)</f>
        <v>0</v>
      </c>
      <c r="E735" s="2" t="str">
        <f>IF(Table1[[#This Row],[Is Data Valid]]=TRUE,IF(Table1[[#This Row],[Fetal Sex (Male, Female or Unknown)]]="Male",Backend!$C$6,IF(Table1[[#This Row],[Fetal Sex (Male, Female or Unknown)]]="Female",Backend!$C$7,IF(Table1[[#This Row],[Fetal Sex (Male, Female or Unknown)]]="Unknown",Backend!$C$8,"Error"))),"")</f>
        <v/>
      </c>
      <c r="F735" s="8" t="str">
        <f>IF(Table1[[#This Row],[Is Data Valid]]=TRUE,EXP(0.578+0.332*((Table1[[#This Row],[Gestation (days)]]+0.5)/7)-0.00354*((Table1[[#This Row],[Gestation (days)]]+0.5)/7)^2)*Table1[[#This Row],[BW40_3705]],"")</f>
        <v/>
      </c>
      <c r="G735" s="2" t="str">
        <f>IF(Table1[[#This Row],[Is Data Valid]]=TRUE,((Table1[[#This Row],[Birthweight (grams)]]/Table1[[#This Row],[BW_GA]])-1)/(Backend!$B$4/100*Table1[[#This Row],[BW40_3705]]),"")</f>
        <v/>
      </c>
      <c r="H735" s="7" t="str">
        <f>IF(Table1[[#This Row],[Is Data Valid]]=TRUE,((Table1[[#This Row],[Birthweight (grams)]]*0.9/Table1[[#This Row],[BW_GA]])-1)/(Backend!$B$4/100*Table1[[#This Row],[BW40_3705]]),"")</f>
        <v/>
      </c>
      <c r="I735" s="7" t="str">
        <f>IF(Table1[[#This Row],[Is Data Valid]]=TRUE,((Table1[[#This Row],[Birthweight (grams)]]*1.1/Table1[[#This Row],[BW_GA]])-1)/(Backend!$B$4/100*Table1[[#This Row],[BW40_3705]]),"")</f>
        <v/>
      </c>
      <c r="J735" s="7" t="str">
        <f>IF(Table1[[#This Row],[Is Data Valid]]=TRUE,_xlfn.NORM.S.DIST(Table1[[#This Row],[Birthweight Z-Score]],TRUE)*100,"")</f>
        <v/>
      </c>
      <c r="K735" s="7" t="str">
        <f>IF(Table1[[#This Row],[Is Data Valid]]=TRUE,_xlfn.NORM.S.DIST(Table1[[#This Row],[Birthweight Z-Score (BW-10%)]],TRUE)*100,"")</f>
        <v/>
      </c>
      <c r="L735" s="7" t="str">
        <f>IF(Table1[[#This Row],[Is Data Valid]]=TRUE,_xlfn.NORM.S.DIST(Table1[[#This Row],[Birthweight Z-Score (BW+10%)]],TRUE)*100,"")</f>
        <v/>
      </c>
    </row>
    <row r="736" spans="1:12" x14ac:dyDescent="0.35">
      <c r="A736" s="3"/>
      <c r="B736" s="2"/>
      <c r="C736" s="2"/>
      <c r="D736" s="2" t="b">
        <f>IF(AND(NOT(ISBLANK(Table1[[#This Row],[Fetal Sex (Male, Female or Unknown)]])),ISNUMBER(Table1[[#This Row],[Birthweight (grams)]]),ISNUMBER(Table1[[#This Row],[Gestation (days)]])),TRUE,FALSE)</f>
        <v>0</v>
      </c>
      <c r="E736" s="2" t="str">
        <f>IF(Table1[[#This Row],[Is Data Valid]]=TRUE,IF(Table1[[#This Row],[Fetal Sex (Male, Female or Unknown)]]="Male",Backend!$C$6,IF(Table1[[#This Row],[Fetal Sex (Male, Female or Unknown)]]="Female",Backend!$C$7,IF(Table1[[#This Row],[Fetal Sex (Male, Female or Unknown)]]="Unknown",Backend!$C$8,"Error"))),"")</f>
        <v/>
      </c>
      <c r="F736" s="8" t="str">
        <f>IF(Table1[[#This Row],[Is Data Valid]]=TRUE,EXP(0.578+0.332*((Table1[[#This Row],[Gestation (days)]]+0.5)/7)-0.00354*((Table1[[#This Row],[Gestation (days)]]+0.5)/7)^2)*Table1[[#This Row],[BW40_3705]],"")</f>
        <v/>
      </c>
      <c r="G736" s="2" t="str">
        <f>IF(Table1[[#This Row],[Is Data Valid]]=TRUE,((Table1[[#This Row],[Birthweight (grams)]]/Table1[[#This Row],[BW_GA]])-1)/(Backend!$B$4/100*Table1[[#This Row],[BW40_3705]]),"")</f>
        <v/>
      </c>
      <c r="H736" s="7" t="str">
        <f>IF(Table1[[#This Row],[Is Data Valid]]=TRUE,((Table1[[#This Row],[Birthweight (grams)]]*0.9/Table1[[#This Row],[BW_GA]])-1)/(Backend!$B$4/100*Table1[[#This Row],[BW40_3705]]),"")</f>
        <v/>
      </c>
      <c r="I736" s="7" t="str">
        <f>IF(Table1[[#This Row],[Is Data Valid]]=TRUE,((Table1[[#This Row],[Birthweight (grams)]]*1.1/Table1[[#This Row],[BW_GA]])-1)/(Backend!$B$4/100*Table1[[#This Row],[BW40_3705]]),"")</f>
        <v/>
      </c>
      <c r="J736" s="7" t="str">
        <f>IF(Table1[[#This Row],[Is Data Valid]]=TRUE,_xlfn.NORM.S.DIST(Table1[[#This Row],[Birthweight Z-Score]],TRUE)*100,"")</f>
        <v/>
      </c>
      <c r="K736" s="7" t="str">
        <f>IF(Table1[[#This Row],[Is Data Valid]]=TRUE,_xlfn.NORM.S.DIST(Table1[[#This Row],[Birthweight Z-Score (BW-10%)]],TRUE)*100,"")</f>
        <v/>
      </c>
      <c r="L736" s="7" t="str">
        <f>IF(Table1[[#This Row],[Is Data Valid]]=TRUE,_xlfn.NORM.S.DIST(Table1[[#This Row],[Birthweight Z-Score (BW+10%)]],TRUE)*100,"")</f>
        <v/>
      </c>
    </row>
    <row r="737" spans="1:12" x14ac:dyDescent="0.35">
      <c r="A737" s="3"/>
      <c r="B737" s="2"/>
      <c r="C737" s="2"/>
      <c r="D737" s="2" t="b">
        <f>IF(AND(NOT(ISBLANK(Table1[[#This Row],[Fetal Sex (Male, Female or Unknown)]])),ISNUMBER(Table1[[#This Row],[Birthweight (grams)]]),ISNUMBER(Table1[[#This Row],[Gestation (days)]])),TRUE,FALSE)</f>
        <v>0</v>
      </c>
      <c r="E737" s="2" t="str">
        <f>IF(Table1[[#This Row],[Is Data Valid]]=TRUE,IF(Table1[[#This Row],[Fetal Sex (Male, Female or Unknown)]]="Male",Backend!$C$6,IF(Table1[[#This Row],[Fetal Sex (Male, Female or Unknown)]]="Female",Backend!$C$7,IF(Table1[[#This Row],[Fetal Sex (Male, Female or Unknown)]]="Unknown",Backend!$C$8,"Error"))),"")</f>
        <v/>
      </c>
      <c r="F737" s="8" t="str">
        <f>IF(Table1[[#This Row],[Is Data Valid]]=TRUE,EXP(0.578+0.332*((Table1[[#This Row],[Gestation (days)]]+0.5)/7)-0.00354*((Table1[[#This Row],[Gestation (days)]]+0.5)/7)^2)*Table1[[#This Row],[BW40_3705]],"")</f>
        <v/>
      </c>
      <c r="G737" s="2" t="str">
        <f>IF(Table1[[#This Row],[Is Data Valid]]=TRUE,((Table1[[#This Row],[Birthweight (grams)]]/Table1[[#This Row],[BW_GA]])-1)/(Backend!$B$4/100*Table1[[#This Row],[BW40_3705]]),"")</f>
        <v/>
      </c>
      <c r="H737" s="7" t="str">
        <f>IF(Table1[[#This Row],[Is Data Valid]]=TRUE,((Table1[[#This Row],[Birthweight (grams)]]*0.9/Table1[[#This Row],[BW_GA]])-1)/(Backend!$B$4/100*Table1[[#This Row],[BW40_3705]]),"")</f>
        <v/>
      </c>
      <c r="I737" s="7" t="str">
        <f>IF(Table1[[#This Row],[Is Data Valid]]=TRUE,((Table1[[#This Row],[Birthweight (grams)]]*1.1/Table1[[#This Row],[BW_GA]])-1)/(Backend!$B$4/100*Table1[[#This Row],[BW40_3705]]),"")</f>
        <v/>
      </c>
      <c r="J737" s="7" t="str">
        <f>IF(Table1[[#This Row],[Is Data Valid]]=TRUE,_xlfn.NORM.S.DIST(Table1[[#This Row],[Birthweight Z-Score]],TRUE)*100,"")</f>
        <v/>
      </c>
      <c r="K737" s="7" t="str">
        <f>IF(Table1[[#This Row],[Is Data Valid]]=TRUE,_xlfn.NORM.S.DIST(Table1[[#This Row],[Birthweight Z-Score (BW-10%)]],TRUE)*100,"")</f>
        <v/>
      </c>
      <c r="L737" s="7" t="str">
        <f>IF(Table1[[#This Row],[Is Data Valid]]=TRUE,_xlfn.NORM.S.DIST(Table1[[#This Row],[Birthweight Z-Score (BW+10%)]],TRUE)*100,"")</f>
        <v/>
      </c>
    </row>
    <row r="738" spans="1:12" x14ac:dyDescent="0.35">
      <c r="A738" s="3"/>
      <c r="B738" s="2"/>
      <c r="C738" s="2"/>
      <c r="D738" s="2" t="b">
        <f>IF(AND(NOT(ISBLANK(Table1[[#This Row],[Fetal Sex (Male, Female or Unknown)]])),ISNUMBER(Table1[[#This Row],[Birthweight (grams)]]),ISNUMBER(Table1[[#This Row],[Gestation (days)]])),TRUE,FALSE)</f>
        <v>0</v>
      </c>
      <c r="E738" s="2" t="str">
        <f>IF(Table1[[#This Row],[Is Data Valid]]=TRUE,IF(Table1[[#This Row],[Fetal Sex (Male, Female or Unknown)]]="Male",Backend!$C$6,IF(Table1[[#This Row],[Fetal Sex (Male, Female or Unknown)]]="Female",Backend!$C$7,IF(Table1[[#This Row],[Fetal Sex (Male, Female or Unknown)]]="Unknown",Backend!$C$8,"Error"))),"")</f>
        <v/>
      </c>
      <c r="F738" s="8" t="str">
        <f>IF(Table1[[#This Row],[Is Data Valid]]=TRUE,EXP(0.578+0.332*((Table1[[#This Row],[Gestation (days)]]+0.5)/7)-0.00354*((Table1[[#This Row],[Gestation (days)]]+0.5)/7)^2)*Table1[[#This Row],[BW40_3705]],"")</f>
        <v/>
      </c>
      <c r="G738" s="2" t="str">
        <f>IF(Table1[[#This Row],[Is Data Valid]]=TRUE,((Table1[[#This Row],[Birthweight (grams)]]/Table1[[#This Row],[BW_GA]])-1)/(Backend!$B$4/100*Table1[[#This Row],[BW40_3705]]),"")</f>
        <v/>
      </c>
      <c r="H738" s="7" t="str">
        <f>IF(Table1[[#This Row],[Is Data Valid]]=TRUE,((Table1[[#This Row],[Birthweight (grams)]]*0.9/Table1[[#This Row],[BW_GA]])-1)/(Backend!$B$4/100*Table1[[#This Row],[BW40_3705]]),"")</f>
        <v/>
      </c>
      <c r="I738" s="7" t="str">
        <f>IF(Table1[[#This Row],[Is Data Valid]]=TRUE,((Table1[[#This Row],[Birthweight (grams)]]*1.1/Table1[[#This Row],[BW_GA]])-1)/(Backend!$B$4/100*Table1[[#This Row],[BW40_3705]]),"")</f>
        <v/>
      </c>
      <c r="J738" s="7" t="str">
        <f>IF(Table1[[#This Row],[Is Data Valid]]=TRUE,_xlfn.NORM.S.DIST(Table1[[#This Row],[Birthweight Z-Score]],TRUE)*100,"")</f>
        <v/>
      </c>
      <c r="K738" s="7" t="str">
        <f>IF(Table1[[#This Row],[Is Data Valid]]=TRUE,_xlfn.NORM.S.DIST(Table1[[#This Row],[Birthweight Z-Score (BW-10%)]],TRUE)*100,"")</f>
        <v/>
      </c>
      <c r="L738" s="7" t="str">
        <f>IF(Table1[[#This Row],[Is Data Valid]]=TRUE,_xlfn.NORM.S.DIST(Table1[[#This Row],[Birthweight Z-Score (BW+10%)]],TRUE)*100,"")</f>
        <v/>
      </c>
    </row>
    <row r="739" spans="1:12" x14ac:dyDescent="0.35">
      <c r="A739" s="3"/>
      <c r="B739" s="2"/>
      <c r="C739" s="2"/>
      <c r="D739" s="2" t="b">
        <f>IF(AND(NOT(ISBLANK(Table1[[#This Row],[Fetal Sex (Male, Female or Unknown)]])),ISNUMBER(Table1[[#This Row],[Birthweight (grams)]]),ISNUMBER(Table1[[#This Row],[Gestation (days)]])),TRUE,FALSE)</f>
        <v>0</v>
      </c>
      <c r="E739" s="2" t="str">
        <f>IF(Table1[[#This Row],[Is Data Valid]]=TRUE,IF(Table1[[#This Row],[Fetal Sex (Male, Female or Unknown)]]="Male",Backend!$C$6,IF(Table1[[#This Row],[Fetal Sex (Male, Female or Unknown)]]="Female",Backend!$C$7,IF(Table1[[#This Row],[Fetal Sex (Male, Female or Unknown)]]="Unknown",Backend!$C$8,"Error"))),"")</f>
        <v/>
      </c>
      <c r="F739" s="8" t="str">
        <f>IF(Table1[[#This Row],[Is Data Valid]]=TRUE,EXP(0.578+0.332*((Table1[[#This Row],[Gestation (days)]]+0.5)/7)-0.00354*((Table1[[#This Row],[Gestation (days)]]+0.5)/7)^2)*Table1[[#This Row],[BW40_3705]],"")</f>
        <v/>
      </c>
      <c r="G739" s="2" t="str">
        <f>IF(Table1[[#This Row],[Is Data Valid]]=TRUE,((Table1[[#This Row],[Birthweight (grams)]]/Table1[[#This Row],[BW_GA]])-1)/(Backend!$B$4/100*Table1[[#This Row],[BW40_3705]]),"")</f>
        <v/>
      </c>
      <c r="H739" s="7" t="str">
        <f>IF(Table1[[#This Row],[Is Data Valid]]=TRUE,((Table1[[#This Row],[Birthweight (grams)]]*0.9/Table1[[#This Row],[BW_GA]])-1)/(Backend!$B$4/100*Table1[[#This Row],[BW40_3705]]),"")</f>
        <v/>
      </c>
      <c r="I739" s="7" t="str">
        <f>IF(Table1[[#This Row],[Is Data Valid]]=TRUE,((Table1[[#This Row],[Birthweight (grams)]]*1.1/Table1[[#This Row],[BW_GA]])-1)/(Backend!$B$4/100*Table1[[#This Row],[BW40_3705]]),"")</f>
        <v/>
      </c>
      <c r="J739" s="7" t="str">
        <f>IF(Table1[[#This Row],[Is Data Valid]]=TRUE,_xlfn.NORM.S.DIST(Table1[[#This Row],[Birthweight Z-Score]],TRUE)*100,"")</f>
        <v/>
      </c>
      <c r="K739" s="7" t="str">
        <f>IF(Table1[[#This Row],[Is Data Valid]]=TRUE,_xlfn.NORM.S.DIST(Table1[[#This Row],[Birthweight Z-Score (BW-10%)]],TRUE)*100,"")</f>
        <v/>
      </c>
      <c r="L739" s="7" t="str">
        <f>IF(Table1[[#This Row],[Is Data Valid]]=TRUE,_xlfn.NORM.S.DIST(Table1[[#This Row],[Birthweight Z-Score (BW+10%)]],TRUE)*100,"")</f>
        <v/>
      </c>
    </row>
    <row r="740" spans="1:12" x14ac:dyDescent="0.35">
      <c r="A740" s="3"/>
      <c r="B740" s="2"/>
      <c r="C740" s="2"/>
      <c r="D740" s="2" t="b">
        <f>IF(AND(NOT(ISBLANK(Table1[[#This Row],[Fetal Sex (Male, Female or Unknown)]])),ISNUMBER(Table1[[#This Row],[Birthweight (grams)]]),ISNUMBER(Table1[[#This Row],[Gestation (days)]])),TRUE,FALSE)</f>
        <v>0</v>
      </c>
      <c r="E740" s="2" t="str">
        <f>IF(Table1[[#This Row],[Is Data Valid]]=TRUE,IF(Table1[[#This Row],[Fetal Sex (Male, Female or Unknown)]]="Male",Backend!$C$6,IF(Table1[[#This Row],[Fetal Sex (Male, Female or Unknown)]]="Female",Backend!$C$7,IF(Table1[[#This Row],[Fetal Sex (Male, Female or Unknown)]]="Unknown",Backend!$C$8,"Error"))),"")</f>
        <v/>
      </c>
      <c r="F740" s="8" t="str">
        <f>IF(Table1[[#This Row],[Is Data Valid]]=TRUE,EXP(0.578+0.332*((Table1[[#This Row],[Gestation (days)]]+0.5)/7)-0.00354*((Table1[[#This Row],[Gestation (days)]]+0.5)/7)^2)*Table1[[#This Row],[BW40_3705]],"")</f>
        <v/>
      </c>
      <c r="G740" s="2" t="str">
        <f>IF(Table1[[#This Row],[Is Data Valid]]=TRUE,((Table1[[#This Row],[Birthweight (grams)]]/Table1[[#This Row],[BW_GA]])-1)/(Backend!$B$4/100*Table1[[#This Row],[BW40_3705]]),"")</f>
        <v/>
      </c>
      <c r="H740" s="7" t="str">
        <f>IF(Table1[[#This Row],[Is Data Valid]]=TRUE,((Table1[[#This Row],[Birthweight (grams)]]*0.9/Table1[[#This Row],[BW_GA]])-1)/(Backend!$B$4/100*Table1[[#This Row],[BW40_3705]]),"")</f>
        <v/>
      </c>
      <c r="I740" s="7" t="str">
        <f>IF(Table1[[#This Row],[Is Data Valid]]=TRUE,((Table1[[#This Row],[Birthweight (grams)]]*1.1/Table1[[#This Row],[BW_GA]])-1)/(Backend!$B$4/100*Table1[[#This Row],[BW40_3705]]),"")</f>
        <v/>
      </c>
      <c r="J740" s="7" t="str">
        <f>IF(Table1[[#This Row],[Is Data Valid]]=TRUE,_xlfn.NORM.S.DIST(Table1[[#This Row],[Birthweight Z-Score]],TRUE)*100,"")</f>
        <v/>
      </c>
      <c r="K740" s="7" t="str">
        <f>IF(Table1[[#This Row],[Is Data Valid]]=TRUE,_xlfn.NORM.S.DIST(Table1[[#This Row],[Birthweight Z-Score (BW-10%)]],TRUE)*100,"")</f>
        <v/>
      </c>
      <c r="L740" s="7" t="str">
        <f>IF(Table1[[#This Row],[Is Data Valid]]=TRUE,_xlfn.NORM.S.DIST(Table1[[#This Row],[Birthweight Z-Score (BW+10%)]],TRUE)*100,"")</f>
        <v/>
      </c>
    </row>
    <row r="741" spans="1:12" x14ac:dyDescent="0.35">
      <c r="A741" s="3"/>
      <c r="B741" s="2"/>
      <c r="C741" s="2"/>
      <c r="D741" s="2" t="b">
        <f>IF(AND(NOT(ISBLANK(Table1[[#This Row],[Fetal Sex (Male, Female or Unknown)]])),ISNUMBER(Table1[[#This Row],[Birthweight (grams)]]),ISNUMBER(Table1[[#This Row],[Gestation (days)]])),TRUE,FALSE)</f>
        <v>0</v>
      </c>
      <c r="E741" s="2" t="str">
        <f>IF(Table1[[#This Row],[Is Data Valid]]=TRUE,IF(Table1[[#This Row],[Fetal Sex (Male, Female or Unknown)]]="Male",Backend!$C$6,IF(Table1[[#This Row],[Fetal Sex (Male, Female or Unknown)]]="Female",Backend!$C$7,IF(Table1[[#This Row],[Fetal Sex (Male, Female or Unknown)]]="Unknown",Backend!$C$8,"Error"))),"")</f>
        <v/>
      </c>
      <c r="F741" s="8" t="str">
        <f>IF(Table1[[#This Row],[Is Data Valid]]=TRUE,EXP(0.578+0.332*((Table1[[#This Row],[Gestation (days)]]+0.5)/7)-0.00354*((Table1[[#This Row],[Gestation (days)]]+0.5)/7)^2)*Table1[[#This Row],[BW40_3705]],"")</f>
        <v/>
      </c>
      <c r="G741" s="2" t="str">
        <f>IF(Table1[[#This Row],[Is Data Valid]]=TRUE,((Table1[[#This Row],[Birthweight (grams)]]/Table1[[#This Row],[BW_GA]])-1)/(Backend!$B$4/100*Table1[[#This Row],[BW40_3705]]),"")</f>
        <v/>
      </c>
      <c r="H741" s="7" t="str">
        <f>IF(Table1[[#This Row],[Is Data Valid]]=TRUE,((Table1[[#This Row],[Birthweight (grams)]]*0.9/Table1[[#This Row],[BW_GA]])-1)/(Backend!$B$4/100*Table1[[#This Row],[BW40_3705]]),"")</f>
        <v/>
      </c>
      <c r="I741" s="7" t="str">
        <f>IF(Table1[[#This Row],[Is Data Valid]]=TRUE,((Table1[[#This Row],[Birthweight (grams)]]*1.1/Table1[[#This Row],[BW_GA]])-1)/(Backend!$B$4/100*Table1[[#This Row],[BW40_3705]]),"")</f>
        <v/>
      </c>
      <c r="J741" s="7" t="str">
        <f>IF(Table1[[#This Row],[Is Data Valid]]=TRUE,_xlfn.NORM.S.DIST(Table1[[#This Row],[Birthweight Z-Score]],TRUE)*100,"")</f>
        <v/>
      </c>
      <c r="K741" s="7" t="str">
        <f>IF(Table1[[#This Row],[Is Data Valid]]=TRUE,_xlfn.NORM.S.DIST(Table1[[#This Row],[Birthweight Z-Score (BW-10%)]],TRUE)*100,"")</f>
        <v/>
      </c>
      <c r="L741" s="7" t="str">
        <f>IF(Table1[[#This Row],[Is Data Valid]]=TRUE,_xlfn.NORM.S.DIST(Table1[[#This Row],[Birthweight Z-Score (BW+10%)]],TRUE)*100,"")</f>
        <v/>
      </c>
    </row>
    <row r="742" spans="1:12" x14ac:dyDescent="0.35">
      <c r="A742" s="3"/>
      <c r="B742" s="2"/>
      <c r="C742" s="2"/>
      <c r="D742" s="2" t="b">
        <f>IF(AND(NOT(ISBLANK(Table1[[#This Row],[Fetal Sex (Male, Female or Unknown)]])),ISNUMBER(Table1[[#This Row],[Birthweight (grams)]]),ISNUMBER(Table1[[#This Row],[Gestation (days)]])),TRUE,FALSE)</f>
        <v>0</v>
      </c>
      <c r="E742" s="2" t="str">
        <f>IF(Table1[[#This Row],[Is Data Valid]]=TRUE,IF(Table1[[#This Row],[Fetal Sex (Male, Female or Unknown)]]="Male",Backend!$C$6,IF(Table1[[#This Row],[Fetal Sex (Male, Female or Unknown)]]="Female",Backend!$C$7,IF(Table1[[#This Row],[Fetal Sex (Male, Female or Unknown)]]="Unknown",Backend!$C$8,"Error"))),"")</f>
        <v/>
      </c>
      <c r="F742" s="8" t="str">
        <f>IF(Table1[[#This Row],[Is Data Valid]]=TRUE,EXP(0.578+0.332*((Table1[[#This Row],[Gestation (days)]]+0.5)/7)-0.00354*((Table1[[#This Row],[Gestation (days)]]+0.5)/7)^2)*Table1[[#This Row],[BW40_3705]],"")</f>
        <v/>
      </c>
      <c r="G742" s="2" t="str">
        <f>IF(Table1[[#This Row],[Is Data Valid]]=TRUE,((Table1[[#This Row],[Birthweight (grams)]]/Table1[[#This Row],[BW_GA]])-1)/(Backend!$B$4/100*Table1[[#This Row],[BW40_3705]]),"")</f>
        <v/>
      </c>
      <c r="H742" s="7" t="str">
        <f>IF(Table1[[#This Row],[Is Data Valid]]=TRUE,((Table1[[#This Row],[Birthweight (grams)]]*0.9/Table1[[#This Row],[BW_GA]])-1)/(Backend!$B$4/100*Table1[[#This Row],[BW40_3705]]),"")</f>
        <v/>
      </c>
      <c r="I742" s="7" t="str">
        <f>IF(Table1[[#This Row],[Is Data Valid]]=TRUE,((Table1[[#This Row],[Birthweight (grams)]]*1.1/Table1[[#This Row],[BW_GA]])-1)/(Backend!$B$4/100*Table1[[#This Row],[BW40_3705]]),"")</f>
        <v/>
      </c>
      <c r="J742" s="7" t="str">
        <f>IF(Table1[[#This Row],[Is Data Valid]]=TRUE,_xlfn.NORM.S.DIST(Table1[[#This Row],[Birthweight Z-Score]],TRUE)*100,"")</f>
        <v/>
      </c>
      <c r="K742" s="7" t="str">
        <f>IF(Table1[[#This Row],[Is Data Valid]]=TRUE,_xlfn.NORM.S.DIST(Table1[[#This Row],[Birthweight Z-Score (BW-10%)]],TRUE)*100,"")</f>
        <v/>
      </c>
      <c r="L742" s="7" t="str">
        <f>IF(Table1[[#This Row],[Is Data Valid]]=TRUE,_xlfn.NORM.S.DIST(Table1[[#This Row],[Birthweight Z-Score (BW+10%)]],TRUE)*100,"")</f>
        <v/>
      </c>
    </row>
    <row r="743" spans="1:12" x14ac:dyDescent="0.35">
      <c r="A743" s="3"/>
      <c r="B743" s="2"/>
      <c r="C743" s="2"/>
      <c r="D743" s="2" t="b">
        <f>IF(AND(NOT(ISBLANK(Table1[[#This Row],[Fetal Sex (Male, Female or Unknown)]])),ISNUMBER(Table1[[#This Row],[Birthweight (grams)]]),ISNUMBER(Table1[[#This Row],[Gestation (days)]])),TRUE,FALSE)</f>
        <v>0</v>
      </c>
      <c r="E743" s="2" t="str">
        <f>IF(Table1[[#This Row],[Is Data Valid]]=TRUE,IF(Table1[[#This Row],[Fetal Sex (Male, Female or Unknown)]]="Male",Backend!$C$6,IF(Table1[[#This Row],[Fetal Sex (Male, Female or Unknown)]]="Female",Backend!$C$7,IF(Table1[[#This Row],[Fetal Sex (Male, Female or Unknown)]]="Unknown",Backend!$C$8,"Error"))),"")</f>
        <v/>
      </c>
      <c r="F743" s="8" t="str">
        <f>IF(Table1[[#This Row],[Is Data Valid]]=TRUE,EXP(0.578+0.332*((Table1[[#This Row],[Gestation (days)]]+0.5)/7)-0.00354*((Table1[[#This Row],[Gestation (days)]]+0.5)/7)^2)*Table1[[#This Row],[BW40_3705]],"")</f>
        <v/>
      </c>
      <c r="G743" s="2" t="str">
        <f>IF(Table1[[#This Row],[Is Data Valid]]=TRUE,((Table1[[#This Row],[Birthweight (grams)]]/Table1[[#This Row],[BW_GA]])-1)/(Backend!$B$4/100*Table1[[#This Row],[BW40_3705]]),"")</f>
        <v/>
      </c>
      <c r="H743" s="7" t="str">
        <f>IF(Table1[[#This Row],[Is Data Valid]]=TRUE,((Table1[[#This Row],[Birthweight (grams)]]*0.9/Table1[[#This Row],[BW_GA]])-1)/(Backend!$B$4/100*Table1[[#This Row],[BW40_3705]]),"")</f>
        <v/>
      </c>
      <c r="I743" s="7" t="str">
        <f>IF(Table1[[#This Row],[Is Data Valid]]=TRUE,((Table1[[#This Row],[Birthweight (grams)]]*1.1/Table1[[#This Row],[BW_GA]])-1)/(Backend!$B$4/100*Table1[[#This Row],[BW40_3705]]),"")</f>
        <v/>
      </c>
      <c r="J743" s="7" t="str">
        <f>IF(Table1[[#This Row],[Is Data Valid]]=TRUE,_xlfn.NORM.S.DIST(Table1[[#This Row],[Birthweight Z-Score]],TRUE)*100,"")</f>
        <v/>
      </c>
      <c r="K743" s="7" t="str">
        <f>IF(Table1[[#This Row],[Is Data Valid]]=TRUE,_xlfn.NORM.S.DIST(Table1[[#This Row],[Birthweight Z-Score (BW-10%)]],TRUE)*100,"")</f>
        <v/>
      </c>
      <c r="L743" s="7" t="str">
        <f>IF(Table1[[#This Row],[Is Data Valid]]=TRUE,_xlfn.NORM.S.DIST(Table1[[#This Row],[Birthweight Z-Score (BW+10%)]],TRUE)*100,"")</f>
        <v/>
      </c>
    </row>
    <row r="744" spans="1:12" x14ac:dyDescent="0.35">
      <c r="A744" s="3"/>
      <c r="B744" s="2"/>
      <c r="C744" s="2"/>
      <c r="D744" s="2" t="b">
        <f>IF(AND(NOT(ISBLANK(Table1[[#This Row],[Fetal Sex (Male, Female or Unknown)]])),ISNUMBER(Table1[[#This Row],[Birthweight (grams)]]),ISNUMBER(Table1[[#This Row],[Gestation (days)]])),TRUE,FALSE)</f>
        <v>0</v>
      </c>
      <c r="E744" s="2" t="str">
        <f>IF(Table1[[#This Row],[Is Data Valid]]=TRUE,IF(Table1[[#This Row],[Fetal Sex (Male, Female or Unknown)]]="Male",Backend!$C$6,IF(Table1[[#This Row],[Fetal Sex (Male, Female or Unknown)]]="Female",Backend!$C$7,IF(Table1[[#This Row],[Fetal Sex (Male, Female or Unknown)]]="Unknown",Backend!$C$8,"Error"))),"")</f>
        <v/>
      </c>
      <c r="F744" s="8" t="str">
        <f>IF(Table1[[#This Row],[Is Data Valid]]=TRUE,EXP(0.578+0.332*((Table1[[#This Row],[Gestation (days)]]+0.5)/7)-0.00354*((Table1[[#This Row],[Gestation (days)]]+0.5)/7)^2)*Table1[[#This Row],[BW40_3705]],"")</f>
        <v/>
      </c>
      <c r="G744" s="2" t="str">
        <f>IF(Table1[[#This Row],[Is Data Valid]]=TRUE,((Table1[[#This Row],[Birthweight (grams)]]/Table1[[#This Row],[BW_GA]])-1)/(Backend!$B$4/100*Table1[[#This Row],[BW40_3705]]),"")</f>
        <v/>
      </c>
      <c r="H744" s="7" t="str">
        <f>IF(Table1[[#This Row],[Is Data Valid]]=TRUE,((Table1[[#This Row],[Birthweight (grams)]]*0.9/Table1[[#This Row],[BW_GA]])-1)/(Backend!$B$4/100*Table1[[#This Row],[BW40_3705]]),"")</f>
        <v/>
      </c>
      <c r="I744" s="7" t="str">
        <f>IF(Table1[[#This Row],[Is Data Valid]]=TRUE,((Table1[[#This Row],[Birthweight (grams)]]*1.1/Table1[[#This Row],[BW_GA]])-1)/(Backend!$B$4/100*Table1[[#This Row],[BW40_3705]]),"")</f>
        <v/>
      </c>
      <c r="J744" s="7" t="str">
        <f>IF(Table1[[#This Row],[Is Data Valid]]=TRUE,_xlfn.NORM.S.DIST(Table1[[#This Row],[Birthweight Z-Score]],TRUE)*100,"")</f>
        <v/>
      </c>
      <c r="K744" s="7" t="str">
        <f>IF(Table1[[#This Row],[Is Data Valid]]=TRUE,_xlfn.NORM.S.DIST(Table1[[#This Row],[Birthweight Z-Score (BW-10%)]],TRUE)*100,"")</f>
        <v/>
      </c>
      <c r="L744" s="7" t="str">
        <f>IF(Table1[[#This Row],[Is Data Valid]]=TRUE,_xlfn.NORM.S.DIST(Table1[[#This Row],[Birthweight Z-Score (BW+10%)]],TRUE)*100,"")</f>
        <v/>
      </c>
    </row>
    <row r="745" spans="1:12" x14ac:dyDescent="0.35">
      <c r="A745" s="3"/>
      <c r="B745" s="2"/>
      <c r="C745" s="2"/>
      <c r="D745" s="2" t="b">
        <f>IF(AND(NOT(ISBLANK(Table1[[#This Row],[Fetal Sex (Male, Female or Unknown)]])),ISNUMBER(Table1[[#This Row],[Birthweight (grams)]]),ISNUMBER(Table1[[#This Row],[Gestation (days)]])),TRUE,FALSE)</f>
        <v>0</v>
      </c>
      <c r="E745" s="2" t="str">
        <f>IF(Table1[[#This Row],[Is Data Valid]]=TRUE,IF(Table1[[#This Row],[Fetal Sex (Male, Female or Unknown)]]="Male",Backend!$C$6,IF(Table1[[#This Row],[Fetal Sex (Male, Female or Unknown)]]="Female",Backend!$C$7,IF(Table1[[#This Row],[Fetal Sex (Male, Female or Unknown)]]="Unknown",Backend!$C$8,"Error"))),"")</f>
        <v/>
      </c>
      <c r="F745" s="8" t="str">
        <f>IF(Table1[[#This Row],[Is Data Valid]]=TRUE,EXP(0.578+0.332*((Table1[[#This Row],[Gestation (days)]]+0.5)/7)-0.00354*((Table1[[#This Row],[Gestation (days)]]+0.5)/7)^2)*Table1[[#This Row],[BW40_3705]],"")</f>
        <v/>
      </c>
      <c r="G745" s="2" t="str">
        <f>IF(Table1[[#This Row],[Is Data Valid]]=TRUE,((Table1[[#This Row],[Birthweight (grams)]]/Table1[[#This Row],[BW_GA]])-1)/(Backend!$B$4/100*Table1[[#This Row],[BW40_3705]]),"")</f>
        <v/>
      </c>
      <c r="H745" s="7" t="str">
        <f>IF(Table1[[#This Row],[Is Data Valid]]=TRUE,((Table1[[#This Row],[Birthweight (grams)]]*0.9/Table1[[#This Row],[BW_GA]])-1)/(Backend!$B$4/100*Table1[[#This Row],[BW40_3705]]),"")</f>
        <v/>
      </c>
      <c r="I745" s="7" t="str">
        <f>IF(Table1[[#This Row],[Is Data Valid]]=TRUE,((Table1[[#This Row],[Birthweight (grams)]]*1.1/Table1[[#This Row],[BW_GA]])-1)/(Backend!$B$4/100*Table1[[#This Row],[BW40_3705]]),"")</f>
        <v/>
      </c>
      <c r="J745" s="7" t="str">
        <f>IF(Table1[[#This Row],[Is Data Valid]]=TRUE,_xlfn.NORM.S.DIST(Table1[[#This Row],[Birthweight Z-Score]],TRUE)*100,"")</f>
        <v/>
      </c>
      <c r="K745" s="7" t="str">
        <f>IF(Table1[[#This Row],[Is Data Valid]]=TRUE,_xlfn.NORM.S.DIST(Table1[[#This Row],[Birthweight Z-Score (BW-10%)]],TRUE)*100,"")</f>
        <v/>
      </c>
      <c r="L745" s="7" t="str">
        <f>IF(Table1[[#This Row],[Is Data Valid]]=TRUE,_xlfn.NORM.S.DIST(Table1[[#This Row],[Birthweight Z-Score (BW+10%)]],TRUE)*100,"")</f>
        <v/>
      </c>
    </row>
    <row r="746" spans="1:12" x14ac:dyDescent="0.35">
      <c r="A746" s="3"/>
      <c r="B746" s="2"/>
      <c r="C746" s="2"/>
      <c r="D746" s="2" t="b">
        <f>IF(AND(NOT(ISBLANK(Table1[[#This Row],[Fetal Sex (Male, Female or Unknown)]])),ISNUMBER(Table1[[#This Row],[Birthweight (grams)]]),ISNUMBER(Table1[[#This Row],[Gestation (days)]])),TRUE,FALSE)</f>
        <v>0</v>
      </c>
      <c r="E746" s="2" t="str">
        <f>IF(Table1[[#This Row],[Is Data Valid]]=TRUE,IF(Table1[[#This Row],[Fetal Sex (Male, Female or Unknown)]]="Male",Backend!$C$6,IF(Table1[[#This Row],[Fetal Sex (Male, Female or Unknown)]]="Female",Backend!$C$7,IF(Table1[[#This Row],[Fetal Sex (Male, Female or Unknown)]]="Unknown",Backend!$C$8,"Error"))),"")</f>
        <v/>
      </c>
      <c r="F746" s="8" t="str">
        <f>IF(Table1[[#This Row],[Is Data Valid]]=TRUE,EXP(0.578+0.332*((Table1[[#This Row],[Gestation (days)]]+0.5)/7)-0.00354*((Table1[[#This Row],[Gestation (days)]]+0.5)/7)^2)*Table1[[#This Row],[BW40_3705]],"")</f>
        <v/>
      </c>
      <c r="G746" s="2" t="str">
        <f>IF(Table1[[#This Row],[Is Data Valid]]=TRUE,((Table1[[#This Row],[Birthweight (grams)]]/Table1[[#This Row],[BW_GA]])-1)/(Backend!$B$4/100*Table1[[#This Row],[BW40_3705]]),"")</f>
        <v/>
      </c>
      <c r="H746" s="7" t="str">
        <f>IF(Table1[[#This Row],[Is Data Valid]]=TRUE,((Table1[[#This Row],[Birthweight (grams)]]*0.9/Table1[[#This Row],[BW_GA]])-1)/(Backend!$B$4/100*Table1[[#This Row],[BW40_3705]]),"")</f>
        <v/>
      </c>
      <c r="I746" s="7" t="str">
        <f>IF(Table1[[#This Row],[Is Data Valid]]=TRUE,((Table1[[#This Row],[Birthweight (grams)]]*1.1/Table1[[#This Row],[BW_GA]])-1)/(Backend!$B$4/100*Table1[[#This Row],[BW40_3705]]),"")</f>
        <v/>
      </c>
      <c r="J746" s="7" t="str">
        <f>IF(Table1[[#This Row],[Is Data Valid]]=TRUE,_xlfn.NORM.S.DIST(Table1[[#This Row],[Birthweight Z-Score]],TRUE)*100,"")</f>
        <v/>
      </c>
      <c r="K746" s="7" t="str">
        <f>IF(Table1[[#This Row],[Is Data Valid]]=TRUE,_xlfn.NORM.S.DIST(Table1[[#This Row],[Birthweight Z-Score (BW-10%)]],TRUE)*100,"")</f>
        <v/>
      </c>
      <c r="L746" s="7" t="str">
        <f>IF(Table1[[#This Row],[Is Data Valid]]=TRUE,_xlfn.NORM.S.DIST(Table1[[#This Row],[Birthweight Z-Score (BW+10%)]],TRUE)*100,"")</f>
        <v/>
      </c>
    </row>
    <row r="747" spans="1:12" x14ac:dyDescent="0.35">
      <c r="A747" s="3"/>
      <c r="B747" s="2"/>
      <c r="C747" s="2"/>
      <c r="D747" s="2" t="b">
        <f>IF(AND(NOT(ISBLANK(Table1[[#This Row],[Fetal Sex (Male, Female or Unknown)]])),ISNUMBER(Table1[[#This Row],[Birthweight (grams)]]),ISNUMBER(Table1[[#This Row],[Gestation (days)]])),TRUE,FALSE)</f>
        <v>0</v>
      </c>
      <c r="E747" s="2" t="str">
        <f>IF(Table1[[#This Row],[Is Data Valid]]=TRUE,IF(Table1[[#This Row],[Fetal Sex (Male, Female or Unknown)]]="Male",Backend!$C$6,IF(Table1[[#This Row],[Fetal Sex (Male, Female or Unknown)]]="Female",Backend!$C$7,IF(Table1[[#This Row],[Fetal Sex (Male, Female or Unknown)]]="Unknown",Backend!$C$8,"Error"))),"")</f>
        <v/>
      </c>
      <c r="F747" s="8" t="str">
        <f>IF(Table1[[#This Row],[Is Data Valid]]=TRUE,EXP(0.578+0.332*((Table1[[#This Row],[Gestation (days)]]+0.5)/7)-0.00354*((Table1[[#This Row],[Gestation (days)]]+0.5)/7)^2)*Table1[[#This Row],[BW40_3705]],"")</f>
        <v/>
      </c>
      <c r="G747" s="2" t="str">
        <f>IF(Table1[[#This Row],[Is Data Valid]]=TRUE,((Table1[[#This Row],[Birthweight (grams)]]/Table1[[#This Row],[BW_GA]])-1)/(Backend!$B$4/100*Table1[[#This Row],[BW40_3705]]),"")</f>
        <v/>
      </c>
      <c r="H747" s="7" t="str">
        <f>IF(Table1[[#This Row],[Is Data Valid]]=TRUE,((Table1[[#This Row],[Birthweight (grams)]]*0.9/Table1[[#This Row],[BW_GA]])-1)/(Backend!$B$4/100*Table1[[#This Row],[BW40_3705]]),"")</f>
        <v/>
      </c>
      <c r="I747" s="7" t="str">
        <f>IF(Table1[[#This Row],[Is Data Valid]]=TRUE,((Table1[[#This Row],[Birthweight (grams)]]*1.1/Table1[[#This Row],[BW_GA]])-1)/(Backend!$B$4/100*Table1[[#This Row],[BW40_3705]]),"")</f>
        <v/>
      </c>
      <c r="J747" s="7" t="str">
        <f>IF(Table1[[#This Row],[Is Data Valid]]=TRUE,_xlfn.NORM.S.DIST(Table1[[#This Row],[Birthweight Z-Score]],TRUE)*100,"")</f>
        <v/>
      </c>
      <c r="K747" s="7" t="str">
        <f>IF(Table1[[#This Row],[Is Data Valid]]=TRUE,_xlfn.NORM.S.DIST(Table1[[#This Row],[Birthweight Z-Score (BW-10%)]],TRUE)*100,"")</f>
        <v/>
      </c>
      <c r="L747" s="7" t="str">
        <f>IF(Table1[[#This Row],[Is Data Valid]]=TRUE,_xlfn.NORM.S.DIST(Table1[[#This Row],[Birthweight Z-Score (BW+10%)]],TRUE)*100,"")</f>
        <v/>
      </c>
    </row>
    <row r="748" spans="1:12" x14ac:dyDescent="0.35">
      <c r="A748" s="3"/>
      <c r="B748" s="2"/>
      <c r="C748" s="2"/>
      <c r="D748" s="2" t="b">
        <f>IF(AND(NOT(ISBLANK(Table1[[#This Row],[Fetal Sex (Male, Female or Unknown)]])),ISNUMBER(Table1[[#This Row],[Birthweight (grams)]]),ISNUMBER(Table1[[#This Row],[Gestation (days)]])),TRUE,FALSE)</f>
        <v>0</v>
      </c>
      <c r="E748" s="2" t="str">
        <f>IF(Table1[[#This Row],[Is Data Valid]]=TRUE,IF(Table1[[#This Row],[Fetal Sex (Male, Female or Unknown)]]="Male",Backend!$C$6,IF(Table1[[#This Row],[Fetal Sex (Male, Female or Unknown)]]="Female",Backend!$C$7,IF(Table1[[#This Row],[Fetal Sex (Male, Female or Unknown)]]="Unknown",Backend!$C$8,"Error"))),"")</f>
        <v/>
      </c>
      <c r="F748" s="8" t="str">
        <f>IF(Table1[[#This Row],[Is Data Valid]]=TRUE,EXP(0.578+0.332*((Table1[[#This Row],[Gestation (days)]]+0.5)/7)-0.00354*((Table1[[#This Row],[Gestation (days)]]+0.5)/7)^2)*Table1[[#This Row],[BW40_3705]],"")</f>
        <v/>
      </c>
      <c r="G748" s="2" t="str">
        <f>IF(Table1[[#This Row],[Is Data Valid]]=TRUE,((Table1[[#This Row],[Birthweight (grams)]]/Table1[[#This Row],[BW_GA]])-1)/(Backend!$B$4/100*Table1[[#This Row],[BW40_3705]]),"")</f>
        <v/>
      </c>
      <c r="H748" s="7" t="str">
        <f>IF(Table1[[#This Row],[Is Data Valid]]=TRUE,((Table1[[#This Row],[Birthweight (grams)]]*0.9/Table1[[#This Row],[BW_GA]])-1)/(Backend!$B$4/100*Table1[[#This Row],[BW40_3705]]),"")</f>
        <v/>
      </c>
      <c r="I748" s="7" t="str">
        <f>IF(Table1[[#This Row],[Is Data Valid]]=TRUE,((Table1[[#This Row],[Birthweight (grams)]]*1.1/Table1[[#This Row],[BW_GA]])-1)/(Backend!$B$4/100*Table1[[#This Row],[BW40_3705]]),"")</f>
        <v/>
      </c>
      <c r="J748" s="7" t="str">
        <f>IF(Table1[[#This Row],[Is Data Valid]]=TRUE,_xlfn.NORM.S.DIST(Table1[[#This Row],[Birthweight Z-Score]],TRUE)*100,"")</f>
        <v/>
      </c>
      <c r="K748" s="7" t="str">
        <f>IF(Table1[[#This Row],[Is Data Valid]]=TRUE,_xlfn.NORM.S.DIST(Table1[[#This Row],[Birthweight Z-Score (BW-10%)]],TRUE)*100,"")</f>
        <v/>
      </c>
      <c r="L748" s="7" t="str">
        <f>IF(Table1[[#This Row],[Is Data Valid]]=TRUE,_xlfn.NORM.S.DIST(Table1[[#This Row],[Birthweight Z-Score (BW+10%)]],TRUE)*100,"")</f>
        <v/>
      </c>
    </row>
    <row r="749" spans="1:12" x14ac:dyDescent="0.35">
      <c r="A749" s="3"/>
      <c r="B749" s="2"/>
      <c r="C749" s="2"/>
      <c r="D749" s="2" t="b">
        <f>IF(AND(NOT(ISBLANK(Table1[[#This Row],[Fetal Sex (Male, Female or Unknown)]])),ISNUMBER(Table1[[#This Row],[Birthweight (grams)]]),ISNUMBER(Table1[[#This Row],[Gestation (days)]])),TRUE,FALSE)</f>
        <v>0</v>
      </c>
      <c r="E749" s="2" t="str">
        <f>IF(Table1[[#This Row],[Is Data Valid]]=TRUE,IF(Table1[[#This Row],[Fetal Sex (Male, Female or Unknown)]]="Male",Backend!$C$6,IF(Table1[[#This Row],[Fetal Sex (Male, Female or Unknown)]]="Female",Backend!$C$7,IF(Table1[[#This Row],[Fetal Sex (Male, Female or Unknown)]]="Unknown",Backend!$C$8,"Error"))),"")</f>
        <v/>
      </c>
      <c r="F749" s="8" t="str">
        <f>IF(Table1[[#This Row],[Is Data Valid]]=TRUE,EXP(0.578+0.332*((Table1[[#This Row],[Gestation (days)]]+0.5)/7)-0.00354*((Table1[[#This Row],[Gestation (days)]]+0.5)/7)^2)*Table1[[#This Row],[BW40_3705]],"")</f>
        <v/>
      </c>
      <c r="G749" s="2" t="str">
        <f>IF(Table1[[#This Row],[Is Data Valid]]=TRUE,((Table1[[#This Row],[Birthweight (grams)]]/Table1[[#This Row],[BW_GA]])-1)/(Backend!$B$4/100*Table1[[#This Row],[BW40_3705]]),"")</f>
        <v/>
      </c>
      <c r="H749" s="7" t="str">
        <f>IF(Table1[[#This Row],[Is Data Valid]]=TRUE,((Table1[[#This Row],[Birthweight (grams)]]*0.9/Table1[[#This Row],[BW_GA]])-1)/(Backend!$B$4/100*Table1[[#This Row],[BW40_3705]]),"")</f>
        <v/>
      </c>
      <c r="I749" s="7" t="str">
        <f>IF(Table1[[#This Row],[Is Data Valid]]=TRUE,((Table1[[#This Row],[Birthweight (grams)]]*1.1/Table1[[#This Row],[BW_GA]])-1)/(Backend!$B$4/100*Table1[[#This Row],[BW40_3705]]),"")</f>
        <v/>
      </c>
      <c r="J749" s="7" t="str">
        <f>IF(Table1[[#This Row],[Is Data Valid]]=TRUE,_xlfn.NORM.S.DIST(Table1[[#This Row],[Birthweight Z-Score]],TRUE)*100,"")</f>
        <v/>
      </c>
      <c r="K749" s="7" t="str">
        <f>IF(Table1[[#This Row],[Is Data Valid]]=TRUE,_xlfn.NORM.S.DIST(Table1[[#This Row],[Birthweight Z-Score (BW-10%)]],TRUE)*100,"")</f>
        <v/>
      </c>
      <c r="L749" s="7" t="str">
        <f>IF(Table1[[#This Row],[Is Data Valid]]=TRUE,_xlfn.NORM.S.DIST(Table1[[#This Row],[Birthweight Z-Score (BW+10%)]],TRUE)*100,"")</f>
        <v/>
      </c>
    </row>
    <row r="750" spans="1:12" x14ac:dyDescent="0.35">
      <c r="A750" s="3"/>
      <c r="B750" s="2"/>
      <c r="C750" s="2"/>
      <c r="D750" s="2" t="b">
        <f>IF(AND(NOT(ISBLANK(Table1[[#This Row],[Fetal Sex (Male, Female or Unknown)]])),ISNUMBER(Table1[[#This Row],[Birthweight (grams)]]),ISNUMBER(Table1[[#This Row],[Gestation (days)]])),TRUE,FALSE)</f>
        <v>0</v>
      </c>
      <c r="E750" s="2" t="str">
        <f>IF(Table1[[#This Row],[Is Data Valid]]=TRUE,IF(Table1[[#This Row],[Fetal Sex (Male, Female or Unknown)]]="Male",Backend!$C$6,IF(Table1[[#This Row],[Fetal Sex (Male, Female or Unknown)]]="Female",Backend!$C$7,IF(Table1[[#This Row],[Fetal Sex (Male, Female or Unknown)]]="Unknown",Backend!$C$8,"Error"))),"")</f>
        <v/>
      </c>
      <c r="F750" s="8" t="str">
        <f>IF(Table1[[#This Row],[Is Data Valid]]=TRUE,EXP(0.578+0.332*((Table1[[#This Row],[Gestation (days)]]+0.5)/7)-0.00354*((Table1[[#This Row],[Gestation (days)]]+0.5)/7)^2)*Table1[[#This Row],[BW40_3705]],"")</f>
        <v/>
      </c>
      <c r="G750" s="2" t="str">
        <f>IF(Table1[[#This Row],[Is Data Valid]]=TRUE,((Table1[[#This Row],[Birthweight (grams)]]/Table1[[#This Row],[BW_GA]])-1)/(Backend!$B$4/100*Table1[[#This Row],[BW40_3705]]),"")</f>
        <v/>
      </c>
      <c r="H750" s="7" t="str">
        <f>IF(Table1[[#This Row],[Is Data Valid]]=TRUE,((Table1[[#This Row],[Birthweight (grams)]]*0.9/Table1[[#This Row],[BW_GA]])-1)/(Backend!$B$4/100*Table1[[#This Row],[BW40_3705]]),"")</f>
        <v/>
      </c>
      <c r="I750" s="7" t="str">
        <f>IF(Table1[[#This Row],[Is Data Valid]]=TRUE,((Table1[[#This Row],[Birthweight (grams)]]*1.1/Table1[[#This Row],[BW_GA]])-1)/(Backend!$B$4/100*Table1[[#This Row],[BW40_3705]]),"")</f>
        <v/>
      </c>
      <c r="J750" s="7" t="str">
        <f>IF(Table1[[#This Row],[Is Data Valid]]=TRUE,_xlfn.NORM.S.DIST(Table1[[#This Row],[Birthweight Z-Score]],TRUE)*100,"")</f>
        <v/>
      </c>
      <c r="K750" s="7" t="str">
        <f>IF(Table1[[#This Row],[Is Data Valid]]=TRUE,_xlfn.NORM.S.DIST(Table1[[#This Row],[Birthweight Z-Score (BW-10%)]],TRUE)*100,"")</f>
        <v/>
      </c>
      <c r="L750" s="7" t="str">
        <f>IF(Table1[[#This Row],[Is Data Valid]]=TRUE,_xlfn.NORM.S.DIST(Table1[[#This Row],[Birthweight Z-Score (BW+10%)]],TRUE)*100,"")</f>
        <v/>
      </c>
    </row>
    <row r="751" spans="1:12" x14ac:dyDescent="0.35">
      <c r="A751" s="3"/>
      <c r="B751" s="2"/>
      <c r="C751" s="2"/>
      <c r="D751" s="2" t="b">
        <f>IF(AND(NOT(ISBLANK(Table1[[#This Row],[Fetal Sex (Male, Female or Unknown)]])),ISNUMBER(Table1[[#This Row],[Birthweight (grams)]]),ISNUMBER(Table1[[#This Row],[Gestation (days)]])),TRUE,FALSE)</f>
        <v>0</v>
      </c>
      <c r="E751" s="2" t="str">
        <f>IF(Table1[[#This Row],[Is Data Valid]]=TRUE,IF(Table1[[#This Row],[Fetal Sex (Male, Female or Unknown)]]="Male",Backend!$C$6,IF(Table1[[#This Row],[Fetal Sex (Male, Female or Unknown)]]="Female",Backend!$C$7,IF(Table1[[#This Row],[Fetal Sex (Male, Female or Unknown)]]="Unknown",Backend!$C$8,"Error"))),"")</f>
        <v/>
      </c>
      <c r="F751" s="8" t="str">
        <f>IF(Table1[[#This Row],[Is Data Valid]]=TRUE,EXP(0.578+0.332*((Table1[[#This Row],[Gestation (days)]]+0.5)/7)-0.00354*((Table1[[#This Row],[Gestation (days)]]+0.5)/7)^2)*Table1[[#This Row],[BW40_3705]],"")</f>
        <v/>
      </c>
      <c r="G751" s="2" t="str">
        <f>IF(Table1[[#This Row],[Is Data Valid]]=TRUE,((Table1[[#This Row],[Birthweight (grams)]]/Table1[[#This Row],[BW_GA]])-1)/(Backend!$B$4/100*Table1[[#This Row],[BW40_3705]]),"")</f>
        <v/>
      </c>
      <c r="H751" s="7" t="str">
        <f>IF(Table1[[#This Row],[Is Data Valid]]=TRUE,((Table1[[#This Row],[Birthweight (grams)]]*0.9/Table1[[#This Row],[BW_GA]])-1)/(Backend!$B$4/100*Table1[[#This Row],[BW40_3705]]),"")</f>
        <v/>
      </c>
      <c r="I751" s="7" t="str">
        <f>IF(Table1[[#This Row],[Is Data Valid]]=TRUE,((Table1[[#This Row],[Birthweight (grams)]]*1.1/Table1[[#This Row],[BW_GA]])-1)/(Backend!$B$4/100*Table1[[#This Row],[BW40_3705]]),"")</f>
        <v/>
      </c>
      <c r="J751" s="7" t="str">
        <f>IF(Table1[[#This Row],[Is Data Valid]]=TRUE,_xlfn.NORM.S.DIST(Table1[[#This Row],[Birthweight Z-Score]],TRUE)*100,"")</f>
        <v/>
      </c>
      <c r="K751" s="7" t="str">
        <f>IF(Table1[[#This Row],[Is Data Valid]]=TRUE,_xlfn.NORM.S.DIST(Table1[[#This Row],[Birthweight Z-Score (BW-10%)]],TRUE)*100,"")</f>
        <v/>
      </c>
      <c r="L751" s="7" t="str">
        <f>IF(Table1[[#This Row],[Is Data Valid]]=TRUE,_xlfn.NORM.S.DIST(Table1[[#This Row],[Birthweight Z-Score (BW+10%)]],TRUE)*100,"")</f>
        <v/>
      </c>
    </row>
    <row r="752" spans="1:12" x14ac:dyDescent="0.35">
      <c r="A752" s="3"/>
      <c r="B752" s="2"/>
      <c r="C752" s="2"/>
      <c r="D752" s="2" t="b">
        <f>IF(AND(NOT(ISBLANK(Table1[[#This Row],[Fetal Sex (Male, Female or Unknown)]])),ISNUMBER(Table1[[#This Row],[Birthweight (grams)]]),ISNUMBER(Table1[[#This Row],[Gestation (days)]])),TRUE,FALSE)</f>
        <v>0</v>
      </c>
      <c r="E752" s="2" t="str">
        <f>IF(Table1[[#This Row],[Is Data Valid]]=TRUE,IF(Table1[[#This Row],[Fetal Sex (Male, Female or Unknown)]]="Male",Backend!$C$6,IF(Table1[[#This Row],[Fetal Sex (Male, Female or Unknown)]]="Female",Backend!$C$7,IF(Table1[[#This Row],[Fetal Sex (Male, Female or Unknown)]]="Unknown",Backend!$C$8,"Error"))),"")</f>
        <v/>
      </c>
      <c r="F752" s="8" t="str">
        <f>IF(Table1[[#This Row],[Is Data Valid]]=TRUE,EXP(0.578+0.332*((Table1[[#This Row],[Gestation (days)]]+0.5)/7)-0.00354*((Table1[[#This Row],[Gestation (days)]]+0.5)/7)^2)*Table1[[#This Row],[BW40_3705]],"")</f>
        <v/>
      </c>
      <c r="G752" s="2" t="str">
        <f>IF(Table1[[#This Row],[Is Data Valid]]=TRUE,((Table1[[#This Row],[Birthweight (grams)]]/Table1[[#This Row],[BW_GA]])-1)/(Backend!$B$4/100*Table1[[#This Row],[BW40_3705]]),"")</f>
        <v/>
      </c>
      <c r="H752" s="7" t="str">
        <f>IF(Table1[[#This Row],[Is Data Valid]]=TRUE,((Table1[[#This Row],[Birthweight (grams)]]*0.9/Table1[[#This Row],[BW_GA]])-1)/(Backend!$B$4/100*Table1[[#This Row],[BW40_3705]]),"")</f>
        <v/>
      </c>
      <c r="I752" s="7" t="str">
        <f>IF(Table1[[#This Row],[Is Data Valid]]=TRUE,((Table1[[#This Row],[Birthweight (grams)]]*1.1/Table1[[#This Row],[BW_GA]])-1)/(Backend!$B$4/100*Table1[[#This Row],[BW40_3705]]),"")</f>
        <v/>
      </c>
      <c r="J752" s="7" t="str">
        <f>IF(Table1[[#This Row],[Is Data Valid]]=TRUE,_xlfn.NORM.S.DIST(Table1[[#This Row],[Birthweight Z-Score]],TRUE)*100,"")</f>
        <v/>
      </c>
      <c r="K752" s="7" t="str">
        <f>IF(Table1[[#This Row],[Is Data Valid]]=TRUE,_xlfn.NORM.S.DIST(Table1[[#This Row],[Birthweight Z-Score (BW-10%)]],TRUE)*100,"")</f>
        <v/>
      </c>
      <c r="L752" s="7" t="str">
        <f>IF(Table1[[#This Row],[Is Data Valid]]=TRUE,_xlfn.NORM.S.DIST(Table1[[#This Row],[Birthweight Z-Score (BW+10%)]],TRUE)*100,"")</f>
        <v/>
      </c>
    </row>
    <row r="753" spans="1:12" x14ac:dyDescent="0.35">
      <c r="A753" s="3"/>
      <c r="B753" s="2"/>
      <c r="C753" s="2"/>
      <c r="D753" s="2" t="b">
        <f>IF(AND(NOT(ISBLANK(Table1[[#This Row],[Fetal Sex (Male, Female or Unknown)]])),ISNUMBER(Table1[[#This Row],[Birthweight (grams)]]),ISNUMBER(Table1[[#This Row],[Gestation (days)]])),TRUE,FALSE)</f>
        <v>0</v>
      </c>
      <c r="E753" s="2" t="str">
        <f>IF(Table1[[#This Row],[Is Data Valid]]=TRUE,IF(Table1[[#This Row],[Fetal Sex (Male, Female or Unknown)]]="Male",Backend!$C$6,IF(Table1[[#This Row],[Fetal Sex (Male, Female or Unknown)]]="Female",Backend!$C$7,IF(Table1[[#This Row],[Fetal Sex (Male, Female or Unknown)]]="Unknown",Backend!$C$8,"Error"))),"")</f>
        <v/>
      </c>
      <c r="F753" s="8" t="str">
        <f>IF(Table1[[#This Row],[Is Data Valid]]=TRUE,EXP(0.578+0.332*((Table1[[#This Row],[Gestation (days)]]+0.5)/7)-0.00354*((Table1[[#This Row],[Gestation (days)]]+0.5)/7)^2)*Table1[[#This Row],[BW40_3705]],"")</f>
        <v/>
      </c>
      <c r="G753" s="2" t="str">
        <f>IF(Table1[[#This Row],[Is Data Valid]]=TRUE,((Table1[[#This Row],[Birthweight (grams)]]/Table1[[#This Row],[BW_GA]])-1)/(Backend!$B$4/100*Table1[[#This Row],[BW40_3705]]),"")</f>
        <v/>
      </c>
      <c r="H753" s="7" t="str">
        <f>IF(Table1[[#This Row],[Is Data Valid]]=TRUE,((Table1[[#This Row],[Birthweight (grams)]]*0.9/Table1[[#This Row],[BW_GA]])-1)/(Backend!$B$4/100*Table1[[#This Row],[BW40_3705]]),"")</f>
        <v/>
      </c>
      <c r="I753" s="7" t="str">
        <f>IF(Table1[[#This Row],[Is Data Valid]]=TRUE,((Table1[[#This Row],[Birthweight (grams)]]*1.1/Table1[[#This Row],[BW_GA]])-1)/(Backend!$B$4/100*Table1[[#This Row],[BW40_3705]]),"")</f>
        <v/>
      </c>
      <c r="J753" s="7" t="str">
        <f>IF(Table1[[#This Row],[Is Data Valid]]=TRUE,_xlfn.NORM.S.DIST(Table1[[#This Row],[Birthweight Z-Score]],TRUE)*100,"")</f>
        <v/>
      </c>
      <c r="K753" s="7" t="str">
        <f>IF(Table1[[#This Row],[Is Data Valid]]=TRUE,_xlfn.NORM.S.DIST(Table1[[#This Row],[Birthweight Z-Score (BW-10%)]],TRUE)*100,"")</f>
        <v/>
      </c>
      <c r="L753" s="7" t="str">
        <f>IF(Table1[[#This Row],[Is Data Valid]]=TRUE,_xlfn.NORM.S.DIST(Table1[[#This Row],[Birthweight Z-Score (BW+10%)]],TRUE)*100,"")</f>
        <v/>
      </c>
    </row>
    <row r="754" spans="1:12" x14ac:dyDescent="0.35">
      <c r="A754" s="3"/>
      <c r="B754" s="2"/>
      <c r="C754" s="2"/>
      <c r="D754" s="2" t="b">
        <f>IF(AND(NOT(ISBLANK(Table1[[#This Row],[Fetal Sex (Male, Female or Unknown)]])),ISNUMBER(Table1[[#This Row],[Birthweight (grams)]]),ISNUMBER(Table1[[#This Row],[Gestation (days)]])),TRUE,FALSE)</f>
        <v>0</v>
      </c>
      <c r="E754" s="2" t="str">
        <f>IF(Table1[[#This Row],[Is Data Valid]]=TRUE,IF(Table1[[#This Row],[Fetal Sex (Male, Female or Unknown)]]="Male",Backend!$C$6,IF(Table1[[#This Row],[Fetal Sex (Male, Female or Unknown)]]="Female",Backend!$C$7,IF(Table1[[#This Row],[Fetal Sex (Male, Female or Unknown)]]="Unknown",Backend!$C$8,"Error"))),"")</f>
        <v/>
      </c>
      <c r="F754" s="8" t="str">
        <f>IF(Table1[[#This Row],[Is Data Valid]]=TRUE,EXP(0.578+0.332*((Table1[[#This Row],[Gestation (days)]]+0.5)/7)-0.00354*((Table1[[#This Row],[Gestation (days)]]+0.5)/7)^2)*Table1[[#This Row],[BW40_3705]],"")</f>
        <v/>
      </c>
      <c r="G754" s="2" t="str">
        <f>IF(Table1[[#This Row],[Is Data Valid]]=TRUE,((Table1[[#This Row],[Birthweight (grams)]]/Table1[[#This Row],[BW_GA]])-1)/(Backend!$B$4/100*Table1[[#This Row],[BW40_3705]]),"")</f>
        <v/>
      </c>
      <c r="H754" s="7" t="str">
        <f>IF(Table1[[#This Row],[Is Data Valid]]=TRUE,((Table1[[#This Row],[Birthweight (grams)]]*0.9/Table1[[#This Row],[BW_GA]])-1)/(Backend!$B$4/100*Table1[[#This Row],[BW40_3705]]),"")</f>
        <v/>
      </c>
      <c r="I754" s="7" t="str">
        <f>IF(Table1[[#This Row],[Is Data Valid]]=TRUE,((Table1[[#This Row],[Birthweight (grams)]]*1.1/Table1[[#This Row],[BW_GA]])-1)/(Backend!$B$4/100*Table1[[#This Row],[BW40_3705]]),"")</f>
        <v/>
      </c>
      <c r="J754" s="7" t="str">
        <f>IF(Table1[[#This Row],[Is Data Valid]]=TRUE,_xlfn.NORM.S.DIST(Table1[[#This Row],[Birthweight Z-Score]],TRUE)*100,"")</f>
        <v/>
      </c>
      <c r="K754" s="7" t="str">
        <f>IF(Table1[[#This Row],[Is Data Valid]]=TRUE,_xlfn.NORM.S.DIST(Table1[[#This Row],[Birthweight Z-Score (BW-10%)]],TRUE)*100,"")</f>
        <v/>
      </c>
      <c r="L754" s="7" t="str">
        <f>IF(Table1[[#This Row],[Is Data Valid]]=TRUE,_xlfn.NORM.S.DIST(Table1[[#This Row],[Birthweight Z-Score (BW+10%)]],TRUE)*100,"")</f>
        <v/>
      </c>
    </row>
    <row r="755" spans="1:12" x14ac:dyDescent="0.35">
      <c r="A755" s="3"/>
      <c r="B755" s="2"/>
      <c r="C755" s="2"/>
      <c r="D755" s="2" t="b">
        <f>IF(AND(NOT(ISBLANK(Table1[[#This Row],[Fetal Sex (Male, Female or Unknown)]])),ISNUMBER(Table1[[#This Row],[Birthweight (grams)]]),ISNUMBER(Table1[[#This Row],[Gestation (days)]])),TRUE,FALSE)</f>
        <v>0</v>
      </c>
      <c r="E755" s="2" t="str">
        <f>IF(Table1[[#This Row],[Is Data Valid]]=TRUE,IF(Table1[[#This Row],[Fetal Sex (Male, Female or Unknown)]]="Male",Backend!$C$6,IF(Table1[[#This Row],[Fetal Sex (Male, Female or Unknown)]]="Female",Backend!$C$7,IF(Table1[[#This Row],[Fetal Sex (Male, Female or Unknown)]]="Unknown",Backend!$C$8,"Error"))),"")</f>
        <v/>
      </c>
      <c r="F755" s="8" t="str">
        <f>IF(Table1[[#This Row],[Is Data Valid]]=TRUE,EXP(0.578+0.332*((Table1[[#This Row],[Gestation (days)]]+0.5)/7)-0.00354*((Table1[[#This Row],[Gestation (days)]]+0.5)/7)^2)*Table1[[#This Row],[BW40_3705]],"")</f>
        <v/>
      </c>
      <c r="G755" s="2" t="str">
        <f>IF(Table1[[#This Row],[Is Data Valid]]=TRUE,((Table1[[#This Row],[Birthweight (grams)]]/Table1[[#This Row],[BW_GA]])-1)/(Backend!$B$4/100*Table1[[#This Row],[BW40_3705]]),"")</f>
        <v/>
      </c>
      <c r="H755" s="7" t="str">
        <f>IF(Table1[[#This Row],[Is Data Valid]]=TRUE,((Table1[[#This Row],[Birthweight (grams)]]*0.9/Table1[[#This Row],[BW_GA]])-1)/(Backend!$B$4/100*Table1[[#This Row],[BW40_3705]]),"")</f>
        <v/>
      </c>
      <c r="I755" s="7" t="str">
        <f>IF(Table1[[#This Row],[Is Data Valid]]=TRUE,((Table1[[#This Row],[Birthweight (grams)]]*1.1/Table1[[#This Row],[BW_GA]])-1)/(Backend!$B$4/100*Table1[[#This Row],[BW40_3705]]),"")</f>
        <v/>
      </c>
      <c r="J755" s="7" t="str">
        <f>IF(Table1[[#This Row],[Is Data Valid]]=TRUE,_xlfn.NORM.S.DIST(Table1[[#This Row],[Birthweight Z-Score]],TRUE)*100,"")</f>
        <v/>
      </c>
      <c r="K755" s="7" t="str">
        <f>IF(Table1[[#This Row],[Is Data Valid]]=TRUE,_xlfn.NORM.S.DIST(Table1[[#This Row],[Birthweight Z-Score (BW-10%)]],TRUE)*100,"")</f>
        <v/>
      </c>
      <c r="L755" s="7" t="str">
        <f>IF(Table1[[#This Row],[Is Data Valid]]=TRUE,_xlfn.NORM.S.DIST(Table1[[#This Row],[Birthweight Z-Score (BW+10%)]],TRUE)*100,"")</f>
        <v/>
      </c>
    </row>
    <row r="756" spans="1:12" x14ac:dyDescent="0.35">
      <c r="A756" s="3"/>
      <c r="B756" s="2"/>
      <c r="C756" s="2"/>
      <c r="D756" s="2" t="b">
        <f>IF(AND(NOT(ISBLANK(Table1[[#This Row],[Fetal Sex (Male, Female or Unknown)]])),ISNUMBER(Table1[[#This Row],[Birthweight (grams)]]),ISNUMBER(Table1[[#This Row],[Gestation (days)]])),TRUE,FALSE)</f>
        <v>0</v>
      </c>
      <c r="E756" s="2" t="str">
        <f>IF(Table1[[#This Row],[Is Data Valid]]=TRUE,IF(Table1[[#This Row],[Fetal Sex (Male, Female or Unknown)]]="Male",Backend!$C$6,IF(Table1[[#This Row],[Fetal Sex (Male, Female or Unknown)]]="Female",Backend!$C$7,IF(Table1[[#This Row],[Fetal Sex (Male, Female or Unknown)]]="Unknown",Backend!$C$8,"Error"))),"")</f>
        <v/>
      </c>
      <c r="F756" s="8" t="str">
        <f>IF(Table1[[#This Row],[Is Data Valid]]=TRUE,EXP(0.578+0.332*((Table1[[#This Row],[Gestation (days)]]+0.5)/7)-0.00354*((Table1[[#This Row],[Gestation (days)]]+0.5)/7)^2)*Table1[[#This Row],[BW40_3705]],"")</f>
        <v/>
      </c>
      <c r="G756" s="2" t="str">
        <f>IF(Table1[[#This Row],[Is Data Valid]]=TRUE,((Table1[[#This Row],[Birthweight (grams)]]/Table1[[#This Row],[BW_GA]])-1)/(Backend!$B$4/100*Table1[[#This Row],[BW40_3705]]),"")</f>
        <v/>
      </c>
      <c r="H756" s="7" t="str">
        <f>IF(Table1[[#This Row],[Is Data Valid]]=TRUE,((Table1[[#This Row],[Birthweight (grams)]]*0.9/Table1[[#This Row],[BW_GA]])-1)/(Backend!$B$4/100*Table1[[#This Row],[BW40_3705]]),"")</f>
        <v/>
      </c>
      <c r="I756" s="7" t="str">
        <f>IF(Table1[[#This Row],[Is Data Valid]]=TRUE,((Table1[[#This Row],[Birthweight (grams)]]*1.1/Table1[[#This Row],[BW_GA]])-1)/(Backend!$B$4/100*Table1[[#This Row],[BW40_3705]]),"")</f>
        <v/>
      </c>
      <c r="J756" s="7" t="str">
        <f>IF(Table1[[#This Row],[Is Data Valid]]=TRUE,_xlfn.NORM.S.DIST(Table1[[#This Row],[Birthweight Z-Score]],TRUE)*100,"")</f>
        <v/>
      </c>
      <c r="K756" s="7" t="str">
        <f>IF(Table1[[#This Row],[Is Data Valid]]=TRUE,_xlfn.NORM.S.DIST(Table1[[#This Row],[Birthweight Z-Score (BW-10%)]],TRUE)*100,"")</f>
        <v/>
      </c>
      <c r="L756" s="7" t="str">
        <f>IF(Table1[[#This Row],[Is Data Valid]]=TRUE,_xlfn.NORM.S.DIST(Table1[[#This Row],[Birthweight Z-Score (BW+10%)]],TRUE)*100,"")</f>
        <v/>
      </c>
    </row>
    <row r="757" spans="1:12" x14ac:dyDescent="0.35">
      <c r="A757" s="3"/>
      <c r="B757" s="2"/>
      <c r="C757" s="2"/>
      <c r="D757" s="2" t="b">
        <f>IF(AND(NOT(ISBLANK(Table1[[#This Row],[Fetal Sex (Male, Female or Unknown)]])),ISNUMBER(Table1[[#This Row],[Birthweight (grams)]]),ISNUMBER(Table1[[#This Row],[Gestation (days)]])),TRUE,FALSE)</f>
        <v>0</v>
      </c>
      <c r="E757" s="2" t="str">
        <f>IF(Table1[[#This Row],[Is Data Valid]]=TRUE,IF(Table1[[#This Row],[Fetal Sex (Male, Female or Unknown)]]="Male",Backend!$C$6,IF(Table1[[#This Row],[Fetal Sex (Male, Female or Unknown)]]="Female",Backend!$C$7,IF(Table1[[#This Row],[Fetal Sex (Male, Female or Unknown)]]="Unknown",Backend!$C$8,"Error"))),"")</f>
        <v/>
      </c>
      <c r="F757" s="8" t="str">
        <f>IF(Table1[[#This Row],[Is Data Valid]]=TRUE,EXP(0.578+0.332*((Table1[[#This Row],[Gestation (days)]]+0.5)/7)-0.00354*((Table1[[#This Row],[Gestation (days)]]+0.5)/7)^2)*Table1[[#This Row],[BW40_3705]],"")</f>
        <v/>
      </c>
      <c r="G757" s="2" t="str">
        <f>IF(Table1[[#This Row],[Is Data Valid]]=TRUE,((Table1[[#This Row],[Birthweight (grams)]]/Table1[[#This Row],[BW_GA]])-1)/(Backend!$B$4/100*Table1[[#This Row],[BW40_3705]]),"")</f>
        <v/>
      </c>
      <c r="H757" s="7" t="str">
        <f>IF(Table1[[#This Row],[Is Data Valid]]=TRUE,((Table1[[#This Row],[Birthweight (grams)]]*0.9/Table1[[#This Row],[BW_GA]])-1)/(Backend!$B$4/100*Table1[[#This Row],[BW40_3705]]),"")</f>
        <v/>
      </c>
      <c r="I757" s="7" t="str">
        <f>IF(Table1[[#This Row],[Is Data Valid]]=TRUE,((Table1[[#This Row],[Birthweight (grams)]]*1.1/Table1[[#This Row],[BW_GA]])-1)/(Backend!$B$4/100*Table1[[#This Row],[BW40_3705]]),"")</f>
        <v/>
      </c>
      <c r="J757" s="7" t="str">
        <f>IF(Table1[[#This Row],[Is Data Valid]]=TRUE,_xlfn.NORM.S.DIST(Table1[[#This Row],[Birthweight Z-Score]],TRUE)*100,"")</f>
        <v/>
      </c>
      <c r="K757" s="7" t="str">
        <f>IF(Table1[[#This Row],[Is Data Valid]]=TRUE,_xlfn.NORM.S.DIST(Table1[[#This Row],[Birthweight Z-Score (BW-10%)]],TRUE)*100,"")</f>
        <v/>
      </c>
      <c r="L757" s="7" t="str">
        <f>IF(Table1[[#This Row],[Is Data Valid]]=TRUE,_xlfn.NORM.S.DIST(Table1[[#This Row],[Birthweight Z-Score (BW+10%)]],TRUE)*100,"")</f>
        <v/>
      </c>
    </row>
    <row r="758" spans="1:12" x14ac:dyDescent="0.35">
      <c r="A758" s="3"/>
      <c r="B758" s="2"/>
      <c r="C758" s="2"/>
      <c r="D758" s="2" t="b">
        <f>IF(AND(NOT(ISBLANK(Table1[[#This Row],[Fetal Sex (Male, Female or Unknown)]])),ISNUMBER(Table1[[#This Row],[Birthweight (grams)]]),ISNUMBER(Table1[[#This Row],[Gestation (days)]])),TRUE,FALSE)</f>
        <v>0</v>
      </c>
      <c r="E758" s="2" t="str">
        <f>IF(Table1[[#This Row],[Is Data Valid]]=TRUE,IF(Table1[[#This Row],[Fetal Sex (Male, Female or Unknown)]]="Male",Backend!$C$6,IF(Table1[[#This Row],[Fetal Sex (Male, Female or Unknown)]]="Female",Backend!$C$7,IF(Table1[[#This Row],[Fetal Sex (Male, Female or Unknown)]]="Unknown",Backend!$C$8,"Error"))),"")</f>
        <v/>
      </c>
      <c r="F758" s="8" t="str">
        <f>IF(Table1[[#This Row],[Is Data Valid]]=TRUE,EXP(0.578+0.332*((Table1[[#This Row],[Gestation (days)]]+0.5)/7)-0.00354*((Table1[[#This Row],[Gestation (days)]]+0.5)/7)^2)*Table1[[#This Row],[BW40_3705]],"")</f>
        <v/>
      </c>
      <c r="G758" s="2" t="str">
        <f>IF(Table1[[#This Row],[Is Data Valid]]=TRUE,((Table1[[#This Row],[Birthweight (grams)]]/Table1[[#This Row],[BW_GA]])-1)/(Backend!$B$4/100*Table1[[#This Row],[BW40_3705]]),"")</f>
        <v/>
      </c>
      <c r="H758" s="7" t="str">
        <f>IF(Table1[[#This Row],[Is Data Valid]]=TRUE,((Table1[[#This Row],[Birthweight (grams)]]*0.9/Table1[[#This Row],[BW_GA]])-1)/(Backend!$B$4/100*Table1[[#This Row],[BW40_3705]]),"")</f>
        <v/>
      </c>
      <c r="I758" s="7" t="str">
        <f>IF(Table1[[#This Row],[Is Data Valid]]=TRUE,((Table1[[#This Row],[Birthweight (grams)]]*1.1/Table1[[#This Row],[BW_GA]])-1)/(Backend!$B$4/100*Table1[[#This Row],[BW40_3705]]),"")</f>
        <v/>
      </c>
      <c r="J758" s="7" t="str">
        <f>IF(Table1[[#This Row],[Is Data Valid]]=TRUE,_xlfn.NORM.S.DIST(Table1[[#This Row],[Birthweight Z-Score]],TRUE)*100,"")</f>
        <v/>
      </c>
      <c r="K758" s="7" t="str">
        <f>IF(Table1[[#This Row],[Is Data Valid]]=TRUE,_xlfn.NORM.S.DIST(Table1[[#This Row],[Birthweight Z-Score (BW-10%)]],TRUE)*100,"")</f>
        <v/>
      </c>
      <c r="L758" s="7" t="str">
        <f>IF(Table1[[#This Row],[Is Data Valid]]=TRUE,_xlfn.NORM.S.DIST(Table1[[#This Row],[Birthweight Z-Score (BW+10%)]],TRUE)*100,"")</f>
        <v/>
      </c>
    </row>
    <row r="759" spans="1:12" x14ac:dyDescent="0.35">
      <c r="A759" s="3"/>
      <c r="B759" s="2"/>
      <c r="C759" s="2"/>
      <c r="D759" s="2" t="b">
        <f>IF(AND(NOT(ISBLANK(Table1[[#This Row],[Fetal Sex (Male, Female or Unknown)]])),ISNUMBER(Table1[[#This Row],[Birthweight (grams)]]),ISNUMBER(Table1[[#This Row],[Gestation (days)]])),TRUE,FALSE)</f>
        <v>0</v>
      </c>
      <c r="E759" s="2" t="str">
        <f>IF(Table1[[#This Row],[Is Data Valid]]=TRUE,IF(Table1[[#This Row],[Fetal Sex (Male, Female or Unknown)]]="Male",Backend!$C$6,IF(Table1[[#This Row],[Fetal Sex (Male, Female or Unknown)]]="Female",Backend!$C$7,IF(Table1[[#This Row],[Fetal Sex (Male, Female or Unknown)]]="Unknown",Backend!$C$8,"Error"))),"")</f>
        <v/>
      </c>
      <c r="F759" s="8" t="str">
        <f>IF(Table1[[#This Row],[Is Data Valid]]=TRUE,EXP(0.578+0.332*((Table1[[#This Row],[Gestation (days)]]+0.5)/7)-0.00354*((Table1[[#This Row],[Gestation (days)]]+0.5)/7)^2)*Table1[[#This Row],[BW40_3705]],"")</f>
        <v/>
      </c>
      <c r="G759" s="2" t="str">
        <f>IF(Table1[[#This Row],[Is Data Valid]]=TRUE,((Table1[[#This Row],[Birthweight (grams)]]/Table1[[#This Row],[BW_GA]])-1)/(Backend!$B$4/100*Table1[[#This Row],[BW40_3705]]),"")</f>
        <v/>
      </c>
      <c r="H759" s="7" t="str">
        <f>IF(Table1[[#This Row],[Is Data Valid]]=TRUE,((Table1[[#This Row],[Birthweight (grams)]]*0.9/Table1[[#This Row],[BW_GA]])-1)/(Backend!$B$4/100*Table1[[#This Row],[BW40_3705]]),"")</f>
        <v/>
      </c>
      <c r="I759" s="7" t="str">
        <f>IF(Table1[[#This Row],[Is Data Valid]]=TRUE,((Table1[[#This Row],[Birthweight (grams)]]*1.1/Table1[[#This Row],[BW_GA]])-1)/(Backend!$B$4/100*Table1[[#This Row],[BW40_3705]]),"")</f>
        <v/>
      </c>
      <c r="J759" s="7" t="str">
        <f>IF(Table1[[#This Row],[Is Data Valid]]=TRUE,_xlfn.NORM.S.DIST(Table1[[#This Row],[Birthweight Z-Score]],TRUE)*100,"")</f>
        <v/>
      </c>
      <c r="K759" s="7" t="str">
        <f>IF(Table1[[#This Row],[Is Data Valid]]=TRUE,_xlfn.NORM.S.DIST(Table1[[#This Row],[Birthweight Z-Score (BW-10%)]],TRUE)*100,"")</f>
        <v/>
      </c>
      <c r="L759" s="7" t="str">
        <f>IF(Table1[[#This Row],[Is Data Valid]]=TRUE,_xlfn.NORM.S.DIST(Table1[[#This Row],[Birthweight Z-Score (BW+10%)]],TRUE)*100,"")</f>
        <v/>
      </c>
    </row>
    <row r="760" spans="1:12" x14ac:dyDescent="0.35">
      <c r="A760" s="3"/>
      <c r="B760" s="2"/>
      <c r="C760" s="2"/>
      <c r="D760" s="2" t="b">
        <f>IF(AND(NOT(ISBLANK(Table1[[#This Row],[Fetal Sex (Male, Female or Unknown)]])),ISNUMBER(Table1[[#This Row],[Birthweight (grams)]]),ISNUMBER(Table1[[#This Row],[Gestation (days)]])),TRUE,FALSE)</f>
        <v>0</v>
      </c>
      <c r="E760" s="2" t="str">
        <f>IF(Table1[[#This Row],[Is Data Valid]]=TRUE,IF(Table1[[#This Row],[Fetal Sex (Male, Female or Unknown)]]="Male",Backend!$C$6,IF(Table1[[#This Row],[Fetal Sex (Male, Female or Unknown)]]="Female",Backend!$C$7,IF(Table1[[#This Row],[Fetal Sex (Male, Female or Unknown)]]="Unknown",Backend!$C$8,"Error"))),"")</f>
        <v/>
      </c>
      <c r="F760" s="8" t="str">
        <f>IF(Table1[[#This Row],[Is Data Valid]]=TRUE,EXP(0.578+0.332*((Table1[[#This Row],[Gestation (days)]]+0.5)/7)-0.00354*((Table1[[#This Row],[Gestation (days)]]+0.5)/7)^2)*Table1[[#This Row],[BW40_3705]],"")</f>
        <v/>
      </c>
      <c r="G760" s="2" t="str">
        <f>IF(Table1[[#This Row],[Is Data Valid]]=TRUE,((Table1[[#This Row],[Birthweight (grams)]]/Table1[[#This Row],[BW_GA]])-1)/(Backend!$B$4/100*Table1[[#This Row],[BW40_3705]]),"")</f>
        <v/>
      </c>
      <c r="H760" s="7" t="str">
        <f>IF(Table1[[#This Row],[Is Data Valid]]=TRUE,((Table1[[#This Row],[Birthweight (grams)]]*0.9/Table1[[#This Row],[BW_GA]])-1)/(Backend!$B$4/100*Table1[[#This Row],[BW40_3705]]),"")</f>
        <v/>
      </c>
      <c r="I760" s="7" t="str">
        <f>IF(Table1[[#This Row],[Is Data Valid]]=TRUE,((Table1[[#This Row],[Birthweight (grams)]]*1.1/Table1[[#This Row],[BW_GA]])-1)/(Backend!$B$4/100*Table1[[#This Row],[BW40_3705]]),"")</f>
        <v/>
      </c>
      <c r="J760" s="7" t="str">
        <f>IF(Table1[[#This Row],[Is Data Valid]]=TRUE,_xlfn.NORM.S.DIST(Table1[[#This Row],[Birthweight Z-Score]],TRUE)*100,"")</f>
        <v/>
      </c>
      <c r="K760" s="7" t="str">
        <f>IF(Table1[[#This Row],[Is Data Valid]]=TRUE,_xlfn.NORM.S.DIST(Table1[[#This Row],[Birthweight Z-Score (BW-10%)]],TRUE)*100,"")</f>
        <v/>
      </c>
      <c r="L760" s="7" t="str">
        <f>IF(Table1[[#This Row],[Is Data Valid]]=TRUE,_xlfn.NORM.S.DIST(Table1[[#This Row],[Birthweight Z-Score (BW+10%)]],TRUE)*100,"")</f>
        <v/>
      </c>
    </row>
    <row r="761" spans="1:12" x14ac:dyDescent="0.35">
      <c r="A761" s="3"/>
      <c r="B761" s="2"/>
      <c r="C761" s="2"/>
      <c r="D761" s="2" t="b">
        <f>IF(AND(NOT(ISBLANK(Table1[[#This Row],[Fetal Sex (Male, Female or Unknown)]])),ISNUMBER(Table1[[#This Row],[Birthweight (grams)]]),ISNUMBER(Table1[[#This Row],[Gestation (days)]])),TRUE,FALSE)</f>
        <v>0</v>
      </c>
      <c r="E761" s="2" t="str">
        <f>IF(Table1[[#This Row],[Is Data Valid]]=TRUE,IF(Table1[[#This Row],[Fetal Sex (Male, Female or Unknown)]]="Male",Backend!$C$6,IF(Table1[[#This Row],[Fetal Sex (Male, Female or Unknown)]]="Female",Backend!$C$7,IF(Table1[[#This Row],[Fetal Sex (Male, Female or Unknown)]]="Unknown",Backend!$C$8,"Error"))),"")</f>
        <v/>
      </c>
      <c r="F761" s="8" t="str">
        <f>IF(Table1[[#This Row],[Is Data Valid]]=TRUE,EXP(0.578+0.332*((Table1[[#This Row],[Gestation (days)]]+0.5)/7)-0.00354*((Table1[[#This Row],[Gestation (days)]]+0.5)/7)^2)*Table1[[#This Row],[BW40_3705]],"")</f>
        <v/>
      </c>
      <c r="G761" s="2" t="str">
        <f>IF(Table1[[#This Row],[Is Data Valid]]=TRUE,((Table1[[#This Row],[Birthweight (grams)]]/Table1[[#This Row],[BW_GA]])-1)/(Backend!$B$4/100*Table1[[#This Row],[BW40_3705]]),"")</f>
        <v/>
      </c>
      <c r="H761" s="7" t="str">
        <f>IF(Table1[[#This Row],[Is Data Valid]]=TRUE,((Table1[[#This Row],[Birthweight (grams)]]*0.9/Table1[[#This Row],[BW_GA]])-1)/(Backend!$B$4/100*Table1[[#This Row],[BW40_3705]]),"")</f>
        <v/>
      </c>
      <c r="I761" s="7" t="str">
        <f>IF(Table1[[#This Row],[Is Data Valid]]=TRUE,((Table1[[#This Row],[Birthweight (grams)]]*1.1/Table1[[#This Row],[BW_GA]])-1)/(Backend!$B$4/100*Table1[[#This Row],[BW40_3705]]),"")</f>
        <v/>
      </c>
      <c r="J761" s="7" t="str">
        <f>IF(Table1[[#This Row],[Is Data Valid]]=TRUE,_xlfn.NORM.S.DIST(Table1[[#This Row],[Birthweight Z-Score]],TRUE)*100,"")</f>
        <v/>
      </c>
      <c r="K761" s="7" t="str">
        <f>IF(Table1[[#This Row],[Is Data Valid]]=TRUE,_xlfn.NORM.S.DIST(Table1[[#This Row],[Birthweight Z-Score (BW-10%)]],TRUE)*100,"")</f>
        <v/>
      </c>
      <c r="L761" s="7" t="str">
        <f>IF(Table1[[#This Row],[Is Data Valid]]=TRUE,_xlfn.NORM.S.DIST(Table1[[#This Row],[Birthweight Z-Score (BW+10%)]],TRUE)*100,"")</f>
        <v/>
      </c>
    </row>
    <row r="762" spans="1:12" x14ac:dyDescent="0.35">
      <c r="A762" s="3"/>
      <c r="B762" s="2"/>
      <c r="C762" s="2"/>
      <c r="D762" s="2" t="b">
        <f>IF(AND(NOT(ISBLANK(Table1[[#This Row],[Fetal Sex (Male, Female or Unknown)]])),ISNUMBER(Table1[[#This Row],[Birthweight (grams)]]),ISNUMBER(Table1[[#This Row],[Gestation (days)]])),TRUE,FALSE)</f>
        <v>0</v>
      </c>
      <c r="E762" s="2" t="str">
        <f>IF(Table1[[#This Row],[Is Data Valid]]=TRUE,IF(Table1[[#This Row],[Fetal Sex (Male, Female or Unknown)]]="Male",Backend!$C$6,IF(Table1[[#This Row],[Fetal Sex (Male, Female or Unknown)]]="Female",Backend!$C$7,IF(Table1[[#This Row],[Fetal Sex (Male, Female or Unknown)]]="Unknown",Backend!$C$8,"Error"))),"")</f>
        <v/>
      </c>
      <c r="F762" s="8" t="str">
        <f>IF(Table1[[#This Row],[Is Data Valid]]=TRUE,EXP(0.578+0.332*((Table1[[#This Row],[Gestation (days)]]+0.5)/7)-0.00354*((Table1[[#This Row],[Gestation (days)]]+0.5)/7)^2)*Table1[[#This Row],[BW40_3705]],"")</f>
        <v/>
      </c>
      <c r="G762" s="2" t="str">
        <f>IF(Table1[[#This Row],[Is Data Valid]]=TRUE,((Table1[[#This Row],[Birthweight (grams)]]/Table1[[#This Row],[BW_GA]])-1)/(Backend!$B$4/100*Table1[[#This Row],[BW40_3705]]),"")</f>
        <v/>
      </c>
      <c r="H762" s="7" t="str">
        <f>IF(Table1[[#This Row],[Is Data Valid]]=TRUE,((Table1[[#This Row],[Birthweight (grams)]]*0.9/Table1[[#This Row],[BW_GA]])-1)/(Backend!$B$4/100*Table1[[#This Row],[BW40_3705]]),"")</f>
        <v/>
      </c>
      <c r="I762" s="7" t="str">
        <f>IF(Table1[[#This Row],[Is Data Valid]]=TRUE,((Table1[[#This Row],[Birthweight (grams)]]*1.1/Table1[[#This Row],[BW_GA]])-1)/(Backend!$B$4/100*Table1[[#This Row],[BW40_3705]]),"")</f>
        <v/>
      </c>
      <c r="J762" s="7" t="str">
        <f>IF(Table1[[#This Row],[Is Data Valid]]=TRUE,_xlfn.NORM.S.DIST(Table1[[#This Row],[Birthweight Z-Score]],TRUE)*100,"")</f>
        <v/>
      </c>
      <c r="K762" s="7" t="str">
        <f>IF(Table1[[#This Row],[Is Data Valid]]=TRUE,_xlfn.NORM.S.DIST(Table1[[#This Row],[Birthweight Z-Score (BW-10%)]],TRUE)*100,"")</f>
        <v/>
      </c>
      <c r="L762" s="7" t="str">
        <f>IF(Table1[[#This Row],[Is Data Valid]]=TRUE,_xlfn.NORM.S.DIST(Table1[[#This Row],[Birthweight Z-Score (BW+10%)]],TRUE)*100,"")</f>
        <v/>
      </c>
    </row>
    <row r="763" spans="1:12" x14ac:dyDescent="0.35">
      <c r="A763" s="3"/>
      <c r="B763" s="2"/>
      <c r="C763" s="2"/>
      <c r="D763" s="2" t="b">
        <f>IF(AND(NOT(ISBLANK(Table1[[#This Row],[Fetal Sex (Male, Female or Unknown)]])),ISNUMBER(Table1[[#This Row],[Birthweight (grams)]]),ISNUMBER(Table1[[#This Row],[Gestation (days)]])),TRUE,FALSE)</f>
        <v>0</v>
      </c>
      <c r="E763" s="2" t="str">
        <f>IF(Table1[[#This Row],[Is Data Valid]]=TRUE,IF(Table1[[#This Row],[Fetal Sex (Male, Female or Unknown)]]="Male",Backend!$C$6,IF(Table1[[#This Row],[Fetal Sex (Male, Female or Unknown)]]="Female",Backend!$C$7,IF(Table1[[#This Row],[Fetal Sex (Male, Female or Unknown)]]="Unknown",Backend!$C$8,"Error"))),"")</f>
        <v/>
      </c>
      <c r="F763" s="8" t="str">
        <f>IF(Table1[[#This Row],[Is Data Valid]]=TRUE,EXP(0.578+0.332*((Table1[[#This Row],[Gestation (days)]]+0.5)/7)-0.00354*((Table1[[#This Row],[Gestation (days)]]+0.5)/7)^2)*Table1[[#This Row],[BW40_3705]],"")</f>
        <v/>
      </c>
      <c r="G763" s="2" t="str">
        <f>IF(Table1[[#This Row],[Is Data Valid]]=TRUE,((Table1[[#This Row],[Birthweight (grams)]]/Table1[[#This Row],[BW_GA]])-1)/(Backend!$B$4/100*Table1[[#This Row],[BW40_3705]]),"")</f>
        <v/>
      </c>
      <c r="H763" s="7" t="str">
        <f>IF(Table1[[#This Row],[Is Data Valid]]=TRUE,((Table1[[#This Row],[Birthweight (grams)]]*0.9/Table1[[#This Row],[BW_GA]])-1)/(Backend!$B$4/100*Table1[[#This Row],[BW40_3705]]),"")</f>
        <v/>
      </c>
      <c r="I763" s="7" t="str">
        <f>IF(Table1[[#This Row],[Is Data Valid]]=TRUE,((Table1[[#This Row],[Birthweight (grams)]]*1.1/Table1[[#This Row],[BW_GA]])-1)/(Backend!$B$4/100*Table1[[#This Row],[BW40_3705]]),"")</f>
        <v/>
      </c>
      <c r="J763" s="7" t="str">
        <f>IF(Table1[[#This Row],[Is Data Valid]]=TRUE,_xlfn.NORM.S.DIST(Table1[[#This Row],[Birthweight Z-Score]],TRUE)*100,"")</f>
        <v/>
      </c>
      <c r="K763" s="7" t="str">
        <f>IF(Table1[[#This Row],[Is Data Valid]]=TRUE,_xlfn.NORM.S.DIST(Table1[[#This Row],[Birthweight Z-Score (BW-10%)]],TRUE)*100,"")</f>
        <v/>
      </c>
      <c r="L763" s="7" t="str">
        <f>IF(Table1[[#This Row],[Is Data Valid]]=TRUE,_xlfn.NORM.S.DIST(Table1[[#This Row],[Birthweight Z-Score (BW+10%)]],TRUE)*100,"")</f>
        <v/>
      </c>
    </row>
    <row r="764" spans="1:12" x14ac:dyDescent="0.35">
      <c r="A764" s="3"/>
      <c r="B764" s="2"/>
      <c r="C764" s="2"/>
      <c r="D764" s="2" t="b">
        <f>IF(AND(NOT(ISBLANK(Table1[[#This Row],[Fetal Sex (Male, Female or Unknown)]])),ISNUMBER(Table1[[#This Row],[Birthweight (grams)]]),ISNUMBER(Table1[[#This Row],[Gestation (days)]])),TRUE,FALSE)</f>
        <v>0</v>
      </c>
      <c r="E764" s="2" t="str">
        <f>IF(Table1[[#This Row],[Is Data Valid]]=TRUE,IF(Table1[[#This Row],[Fetal Sex (Male, Female or Unknown)]]="Male",Backend!$C$6,IF(Table1[[#This Row],[Fetal Sex (Male, Female or Unknown)]]="Female",Backend!$C$7,IF(Table1[[#This Row],[Fetal Sex (Male, Female or Unknown)]]="Unknown",Backend!$C$8,"Error"))),"")</f>
        <v/>
      </c>
      <c r="F764" s="8" t="str">
        <f>IF(Table1[[#This Row],[Is Data Valid]]=TRUE,EXP(0.578+0.332*((Table1[[#This Row],[Gestation (days)]]+0.5)/7)-0.00354*((Table1[[#This Row],[Gestation (days)]]+0.5)/7)^2)*Table1[[#This Row],[BW40_3705]],"")</f>
        <v/>
      </c>
      <c r="G764" s="2" t="str">
        <f>IF(Table1[[#This Row],[Is Data Valid]]=TRUE,((Table1[[#This Row],[Birthweight (grams)]]/Table1[[#This Row],[BW_GA]])-1)/(Backend!$B$4/100*Table1[[#This Row],[BW40_3705]]),"")</f>
        <v/>
      </c>
      <c r="H764" s="7" t="str">
        <f>IF(Table1[[#This Row],[Is Data Valid]]=TRUE,((Table1[[#This Row],[Birthweight (grams)]]*0.9/Table1[[#This Row],[BW_GA]])-1)/(Backend!$B$4/100*Table1[[#This Row],[BW40_3705]]),"")</f>
        <v/>
      </c>
      <c r="I764" s="7" t="str">
        <f>IF(Table1[[#This Row],[Is Data Valid]]=TRUE,((Table1[[#This Row],[Birthweight (grams)]]*1.1/Table1[[#This Row],[BW_GA]])-1)/(Backend!$B$4/100*Table1[[#This Row],[BW40_3705]]),"")</f>
        <v/>
      </c>
      <c r="J764" s="7" t="str">
        <f>IF(Table1[[#This Row],[Is Data Valid]]=TRUE,_xlfn.NORM.S.DIST(Table1[[#This Row],[Birthweight Z-Score]],TRUE)*100,"")</f>
        <v/>
      </c>
      <c r="K764" s="7" t="str">
        <f>IF(Table1[[#This Row],[Is Data Valid]]=TRUE,_xlfn.NORM.S.DIST(Table1[[#This Row],[Birthweight Z-Score (BW-10%)]],TRUE)*100,"")</f>
        <v/>
      </c>
      <c r="L764" s="7" t="str">
        <f>IF(Table1[[#This Row],[Is Data Valid]]=TRUE,_xlfn.NORM.S.DIST(Table1[[#This Row],[Birthweight Z-Score (BW+10%)]],TRUE)*100,"")</f>
        <v/>
      </c>
    </row>
    <row r="765" spans="1:12" x14ac:dyDescent="0.35">
      <c r="A765" s="3"/>
      <c r="B765" s="2"/>
      <c r="C765" s="2"/>
      <c r="D765" s="2" t="b">
        <f>IF(AND(NOT(ISBLANK(Table1[[#This Row],[Fetal Sex (Male, Female or Unknown)]])),ISNUMBER(Table1[[#This Row],[Birthweight (grams)]]),ISNUMBER(Table1[[#This Row],[Gestation (days)]])),TRUE,FALSE)</f>
        <v>0</v>
      </c>
      <c r="E765" s="2" t="str">
        <f>IF(Table1[[#This Row],[Is Data Valid]]=TRUE,IF(Table1[[#This Row],[Fetal Sex (Male, Female or Unknown)]]="Male",Backend!$C$6,IF(Table1[[#This Row],[Fetal Sex (Male, Female or Unknown)]]="Female",Backend!$C$7,IF(Table1[[#This Row],[Fetal Sex (Male, Female or Unknown)]]="Unknown",Backend!$C$8,"Error"))),"")</f>
        <v/>
      </c>
      <c r="F765" s="8" t="str">
        <f>IF(Table1[[#This Row],[Is Data Valid]]=TRUE,EXP(0.578+0.332*((Table1[[#This Row],[Gestation (days)]]+0.5)/7)-0.00354*((Table1[[#This Row],[Gestation (days)]]+0.5)/7)^2)*Table1[[#This Row],[BW40_3705]],"")</f>
        <v/>
      </c>
      <c r="G765" s="2" t="str">
        <f>IF(Table1[[#This Row],[Is Data Valid]]=TRUE,((Table1[[#This Row],[Birthweight (grams)]]/Table1[[#This Row],[BW_GA]])-1)/(Backend!$B$4/100*Table1[[#This Row],[BW40_3705]]),"")</f>
        <v/>
      </c>
      <c r="H765" s="7" t="str">
        <f>IF(Table1[[#This Row],[Is Data Valid]]=TRUE,((Table1[[#This Row],[Birthweight (grams)]]*0.9/Table1[[#This Row],[BW_GA]])-1)/(Backend!$B$4/100*Table1[[#This Row],[BW40_3705]]),"")</f>
        <v/>
      </c>
      <c r="I765" s="7" t="str">
        <f>IF(Table1[[#This Row],[Is Data Valid]]=TRUE,((Table1[[#This Row],[Birthweight (grams)]]*1.1/Table1[[#This Row],[BW_GA]])-1)/(Backend!$B$4/100*Table1[[#This Row],[BW40_3705]]),"")</f>
        <v/>
      </c>
      <c r="J765" s="7" t="str">
        <f>IF(Table1[[#This Row],[Is Data Valid]]=TRUE,_xlfn.NORM.S.DIST(Table1[[#This Row],[Birthweight Z-Score]],TRUE)*100,"")</f>
        <v/>
      </c>
      <c r="K765" s="7" t="str">
        <f>IF(Table1[[#This Row],[Is Data Valid]]=TRUE,_xlfn.NORM.S.DIST(Table1[[#This Row],[Birthweight Z-Score (BW-10%)]],TRUE)*100,"")</f>
        <v/>
      </c>
      <c r="L765" s="7" t="str">
        <f>IF(Table1[[#This Row],[Is Data Valid]]=TRUE,_xlfn.NORM.S.DIST(Table1[[#This Row],[Birthweight Z-Score (BW+10%)]],TRUE)*100,"")</f>
        <v/>
      </c>
    </row>
    <row r="766" spans="1:12" x14ac:dyDescent="0.35">
      <c r="A766" s="3"/>
      <c r="B766" s="2"/>
      <c r="C766" s="2"/>
      <c r="D766" s="2" t="b">
        <f>IF(AND(NOT(ISBLANK(Table1[[#This Row],[Fetal Sex (Male, Female or Unknown)]])),ISNUMBER(Table1[[#This Row],[Birthweight (grams)]]),ISNUMBER(Table1[[#This Row],[Gestation (days)]])),TRUE,FALSE)</f>
        <v>0</v>
      </c>
      <c r="E766" s="2" t="str">
        <f>IF(Table1[[#This Row],[Is Data Valid]]=TRUE,IF(Table1[[#This Row],[Fetal Sex (Male, Female or Unknown)]]="Male",Backend!$C$6,IF(Table1[[#This Row],[Fetal Sex (Male, Female or Unknown)]]="Female",Backend!$C$7,IF(Table1[[#This Row],[Fetal Sex (Male, Female or Unknown)]]="Unknown",Backend!$C$8,"Error"))),"")</f>
        <v/>
      </c>
      <c r="F766" s="8" t="str">
        <f>IF(Table1[[#This Row],[Is Data Valid]]=TRUE,EXP(0.578+0.332*((Table1[[#This Row],[Gestation (days)]]+0.5)/7)-0.00354*((Table1[[#This Row],[Gestation (days)]]+0.5)/7)^2)*Table1[[#This Row],[BW40_3705]],"")</f>
        <v/>
      </c>
      <c r="G766" s="2" t="str">
        <f>IF(Table1[[#This Row],[Is Data Valid]]=TRUE,((Table1[[#This Row],[Birthweight (grams)]]/Table1[[#This Row],[BW_GA]])-1)/(Backend!$B$4/100*Table1[[#This Row],[BW40_3705]]),"")</f>
        <v/>
      </c>
      <c r="H766" s="7" t="str">
        <f>IF(Table1[[#This Row],[Is Data Valid]]=TRUE,((Table1[[#This Row],[Birthweight (grams)]]*0.9/Table1[[#This Row],[BW_GA]])-1)/(Backend!$B$4/100*Table1[[#This Row],[BW40_3705]]),"")</f>
        <v/>
      </c>
      <c r="I766" s="7" t="str">
        <f>IF(Table1[[#This Row],[Is Data Valid]]=TRUE,((Table1[[#This Row],[Birthweight (grams)]]*1.1/Table1[[#This Row],[BW_GA]])-1)/(Backend!$B$4/100*Table1[[#This Row],[BW40_3705]]),"")</f>
        <v/>
      </c>
      <c r="J766" s="7" t="str">
        <f>IF(Table1[[#This Row],[Is Data Valid]]=TRUE,_xlfn.NORM.S.DIST(Table1[[#This Row],[Birthweight Z-Score]],TRUE)*100,"")</f>
        <v/>
      </c>
      <c r="K766" s="7" t="str">
        <f>IF(Table1[[#This Row],[Is Data Valid]]=TRUE,_xlfn.NORM.S.DIST(Table1[[#This Row],[Birthweight Z-Score (BW-10%)]],TRUE)*100,"")</f>
        <v/>
      </c>
      <c r="L766" s="7" t="str">
        <f>IF(Table1[[#This Row],[Is Data Valid]]=TRUE,_xlfn.NORM.S.DIST(Table1[[#This Row],[Birthweight Z-Score (BW+10%)]],TRUE)*100,"")</f>
        <v/>
      </c>
    </row>
    <row r="767" spans="1:12" x14ac:dyDescent="0.35">
      <c r="A767" s="3"/>
      <c r="B767" s="2"/>
      <c r="C767" s="2"/>
      <c r="D767" s="2" t="b">
        <f>IF(AND(NOT(ISBLANK(Table1[[#This Row],[Fetal Sex (Male, Female or Unknown)]])),ISNUMBER(Table1[[#This Row],[Birthweight (grams)]]),ISNUMBER(Table1[[#This Row],[Gestation (days)]])),TRUE,FALSE)</f>
        <v>0</v>
      </c>
      <c r="E767" s="2" t="str">
        <f>IF(Table1[[#This Row],[Is Data Valid]]=TRUE,IF(Table1[[#This Row],[Fetal Sex (Male, Female or Unknown)]]="Male",Backend!$C$6,IF(Table1[[#This Row],[Fetal Sex (Male, Female or Unknown)]]="Female",Backend!$C$7,IF(Table1[[#This Row],[Fetal Sex (Male, Female or Unknown)]]="Unknown",Backend!$C$8,"Error"))),"")</f>
        <v/>
      </c>
      <c r="F767" s="8" t="str">
        <f>IF(Table1[[#This Row],[Is Data Valid]]=TRUE,EXP(0.578+0.332*((Table1[[#This Row],[Gestation (days)]]+0.5)/7)-0.00354*((Table1[[#This Row],[Gestation (days)]]+0.5)/7)^2)*Table1[[#This Row],[BW40_3705]],"")</f>
        <v/>
      </c>
      <c r="G767" s="2" t="str">
        <f>IF(Table1[[#This Row],[Is Data Valid]]=TRUE,((Table1[[#This Row],[Birthweight (grams)]]/Table1[[#This Row],[BW_GA]])-1)/(Backend!$B$4/100*Table1[[#This Row],[BW40_3705]]),"")</f>
        <v/>
      </c>
      <c r="H767" s="7" t="str">
        <f>IF(Table1[[#This Row],[Is Data Valid]]=TRUE,((Table1[[#This Row],[Birthweight (grams)]]*0.9/Table1[[#This Row],[BW_GA]])-1)/(Backend!$B$4/100*Table1[[#This Row],[BW40_3705]]),"")</f>
        <v/>
      </c>
      <c r="I767" s="7" t="str">
        <f>IF(Table1[[#This Row],[Is Data Valid]]=TRUE,((Table1[[#This Row],[Birthweight (grams)]]*1.1/Table1[[#This Row],[BW_GA]])-1)/(Backend!$B$4/100*Table1[[#This Row],[BW40_3705]]),"")</f>
        <v/>
      </c>
      <c r="J767" s="7" t="str">
        <f>IF(Table1[[#This Row],[Is Data Valid]]=TRUE,_xlfn.NORM.S.DIST(Table1[[#This Row],[Birthweight Z-Score]],TRUE)*100,"")</f>
        <v/>
      </c>
      <c r="K767" s="7" t="str">
        <f>IF(Table1[[#This Row],[Is Data Valid]]=TRUE,_xlfn.NORM.S.DIST(Table1[[#This Row],[Birthweight Z-Score (BW-10%)]],TRUE)*100,"")</f>
        <v/>
      </c>
      <c r="L767" s="7" t="str">
        <f>IF(Table1[[#This Row],[Is Data Valid]]=TRUE,_xlfn.NORM.S.DIST(Table1[[#This Row],[Birthweight Z-Score (BW+10%)]],TRUE)*100,"")</f>
        <v/>
      </c>
    </row>
    <row r="768" spans="1:12" x14ac:dyDescent="0.35">
      <c r="A768" s="3"/>
      <c r="B768" s="2"/>
      <c r="C768" s="2"/>
      <c r="D768" s="2" t="b">
        <f>IF(AND(NOT(ISBLANK(Table1[[#This Row],[Fetal Sex (Male, Female or Unknown)]])),ISNUMBER(Table1[[#This Row],[Birthweight (grams)]]),ISNUMBER(Table1[[#This Row],[Gestation (days)]])),TRUE,FALSE)</f>
        <v>0</v>
      </c>
      <c r="E768" s="2" t="str">
        <f>IF(Table1[[#This Row],[Is Data Valid]]=TRUE,IF(Table1[[#This Row],[Fetal Sex (Male, Female or Unknown)]]="Male",Backend!$C$6,IF(Table1[[#This Row],[Fetal Sex (Male, Female or Unknown)]]="Female",Backend!$C$7,IF(Table1[[#This Row],[Fetal Sex (Male, Female or Unknown)]]="Unknown",Backend!$C$8,"Error"))),"")</f>
        <v/>
      </c>
      <c r="F768" s="8" t="str">
        <f>IF(Table1[[#This Row],[Is Data Valid]]=TRUE,EXP(0.578+0.332*((Table1[[#This Row],[Gestation (days)]]+0.5)/7)-0.00354*((Table1[[#This Row],[Gestation (days)]]+0.5)/7)^2)*Table1[[#This Row],[BW40_3705]],"")</f>
        <v/>
      </c>
      <c r="G768" s="2" t="str">
        <f>IF(Table1[[#This Row],[Is Data Valid]]=TRUE,((Table1[[#This Row],[Birthweight (grams)]]/Table1[[#This Row],[BW_GA]])-1)/(Backend!$B$4/100*Table1[[#This Row],[BW40_3705]]),"")</f>
        <v/>
      </c>
      <c r="H768" s="7" t="str">
        <f>IF(Table1[[#This Row],[Is Data Valid]]=TRUE,((Table1[[#This Row],[Birthweight (grams)]]*0.9/Table1[[#This Row],[BW_GA]])-1)/(Backend!$B$4/100*Table1[[#This Row],[BW40_3705]]),"")</f>
        <v/>
      </c>
      <c r="I768" s="7" t="str">
        <f>IF(Table1[[#This Row],[Is Data Valid]]=TRUE,((Table1[[#This Row],[Birthweight (grams)]]*1.1/Table1[[#This Row],[BW_GA]])-1)/(Backend!$B$4/100*Table1[[#This Row],[BW40_3705]]),"")</f>
        <v/>
      </c>
      <c r="J768" s="7" t="str">
        <f>IF(Table1[[#This Row],[Is Data Valid]]=TRUE,_xlfn.NORM.S.DIST(Table1[[#This Row],[Birthweight Z-Score]],TRUE)*100,"")</f>
        <v/>
      </c>
      <c r="K768" s="7" t="str">
        <f>IF(Table1[[#This Row],[Is Data Valid]]=TRUE,_xlfn.NORM.S.DIST(Table1[[#This Row],[Birthweight Z-Score (BW-10%)]],TRUE)*100,"")</f>
        <v/>
      </c>
      <c r="L768" s="7" t="str">
        <f>IF(Table1[[#This Row],[Is Data Valid]]=TRUE,_xlfn.NORM.S.DIST(Table1[[#This Row],[Birthweight Z-Score (BW+10%)]],TRUE)*100,"")</f>
        <v/>
      </c>
    </row>
    <row r="769" spans="1:12" x14ac:dyDescent="0.35">
      <c r="A769" s="3"/>
      <c r="B769" s="2"/>
      <c r="C769" s="2"/>
      <c r="D769" s="2" t="b">
        <f>IF(AND(NOT(ISBLANK(Table1[[#This Row],[Fetal Sex (Male, Female or Unknown)]])),ISNUMBER(Table1[[#This Row],[Birthweight (grams)]]),ISNUMBER(Table1[[#This Row],[Gestation (days)]])),TRUE,FALSE)</f>
        <v>0</v>
      </c>
      <c r="E769" s="2" t="str">
        <f>IF(Table1[[#This Row],[Is Data Valid]]=TRUE,IF(Table1[[#This Row],[Fetal Sex (Male, Female or Unknown)]]="Male",Backend!$C$6,IF(Table1[[#This Row],[Fetal Sex (Male, Female or Unknown)]]="Female",Backend!$C$7,IF(Table1[[#This Row],[Fetal Sex (Male, Female or Unknown)]]="Unknown",Backend!$C$8,"Error"))),"")</f>
        <v/>
      </c>
      <c r="F769" s="8" t="str">
        <f>IF(Table1[[#This Row],[Is Data Valid]]=TRUE,EXP(0.578+0.332*((Table1[[#This Row],[Gestation (days)]]+0.5)/7)-0.00354*((Table1[[#This Row],[Gestation (days)]]+0.5)/7)^2)*Table1[[#This Row],[BW40_3705]],"")</f>
        <v/>
      </c>
      <c r="G769" s="2" t="str">
        <f>IF(Table1[[#This Row],[Is Data Valid]]=TRUE,((Table1[[#This Row],[Birthweight (grams)]]/Table1[[#This Row],[BW_GA]])-1)/(Backend!$B$4/100*Table1[[#This Row],[BW40_3705]]),"")</f>
        <v/>
      </c>
      <c r="H769" s="7" t="str">
        <f>IF(Table1[[#This Row],[Is Data Valid]]=TRUE,((Table1[[#This Row],[Birthweight (grams)]]*0.9/Table1[[#This Row],[BW_GA]])-1)/(Backend!$B$4/100*Table1[[#This Row],[BW40_3705]]),"")</f>
        <v/>
      </c>
      <c r="I769" s="7" t="str">
        <f>IF(Table1[[#This Row],[Is Data Valid]]=TRUE,((Table1[[#This Row],[Birthweight (grams)]]*1.1/Table1[[#This Row],[BW_GA]])-1)/(Backend!$B$4/100*Table1[[#This Row],[BW40_3705]]),"")</f>
        <v/>
      </c>
      <c r="J769" s="7" t="str">
        <f>IF(Table1[[#This Row],[Is Data Valid]]=TRUE,_xlfn.NORM.S.DIST(Table1[[#This Row],[Birthweight Z-Score]],TRUE)*100,"")</f>
        <v/>
      </c>
      <c r="K769" s="7" t="str">
        <f>IF(Table1[[#This Row],[Is Data Valid]]=TRUE,_xlfn.NORM.S.DIST(Table1[[#This Row],[Birthweight Z-Score (BW-10%)]],TRUE)*100,"")</f>
        <v/>
      </c>
      <c r="L769" s="7" t="str">
        <f>IF(Table1[[#This Row],[Is Data Valid]]=TRUE,_xlfn.NORM.S.DIST(Table1[[#This Row],[Birthweight Z-Score (BW+10%)]],TRUE)*100,"")</f>
        <v/>
      </c>
    </row>
    <row r="770" spans="1:12" x14ac:dyDescent="0.35">
      <c r="A770" s="3"/>
      <c r="B770" s="2"/>
      <c r="C770" s="2"/>
      <c r="D770" s="2" t="b">
        <f>IF(AND(NOT(ISBLANK(Table1[[#This Row],[Fetal Sex (Male, Female or Unknown)]])),ISNUMBER(Table1[[#This Row],[Birthweight (grams)]]),ISNUMBER(Table1[[#This Row],[Gestation (days)]])),TRUE,FALSE)</f>
        <v>0</v>
      </c>
      <c r="E770" s="2" t="str">
        <f>IF(Table1[[#This Row],[Is Data Valid]]=TRUE,IF(Table1[[#This Row],[Fetal Sex (Male, Female or Unknown)]]="Male",Backend!$C$6,IF(Table1[[#This Row],[Fetal Sex (Male, Female or Unknown)]]="Female",Backend!$C$7,IF(Table1[[#This Row],[Fetal Sex (Male, Female or Unknown)]]="Unknown",Backend!$C$8,"Error"))),"")</f>
        <v/>
      </c>
      <c r="F770" s="8" t="str">
        <f>IF(Table1[[#This Row],[Is Data Valid]]=TRUE,EXP(0.578+0.332*((Table1[[#This Row],[Gestation (days)]]+0.5)/7)-0.00354*((Table1[[#This Row],[Gestation (days)]]+0.5)/7)^2)*Table1[[#This Row],[BW40_3705]],"")</f>
        <v/>
      </c>
      <c r="G770" s="2" t="str">
        <f>IF(Table1[[#This Row],[Is Data Valid]]=TRUE,((Table1[[#This Row],[Birthweight (grams)]]/Table1[[#This Row],[BW_GA]])-1)/(Backend!$B$4/100*Table1[[#This Row],[BW40_3705]]),"")</f>
        <v/>
      </c>
      <c r="H770" s="7" t="str">
        <f>IF(Table1[[#This Row],[Is Data Valid]]=TRUE,((Table1[[#This Row],[Birthweight (grams)]]*0.9/Table1[[#This Row],[BW_GA]])-1)/(Backend!$B$4/100*Table1[[#This Row],[BW40_3705]]),"")</f>
        <v/>
      </c>
      <c r="I770" s="7" t="str">
        <f>IF(Table1[[#This Row],[Is Data Valid]]=TRUE,((Table1[[#This Row],[Birthweight (grams)]]*1.1/Table1[[#This Row],[BW_GA]])-1)/(Backend!$B$4/100*Table1[[#This Row],[BW40_3705]]),"")</f>
        <v/>
      </c>
      <c r="J770" s="7" t="str">
        <f>IF(Table1[[#This Row],[Is Data Valid]]=TRUE,_xlfn.NORM.S.DIST(Table1[[#This Row],[Birthweight Z-Score]],TRUE)*100,"")</f>
        <v/>
      </c>
      <c r="K770" s="7" t="str">
        <f>IF(Table1[[#This Row],[Is Data Valid]]=TRUE,_xlfn.NORM.S.DIST(Table1[[#This Row],[Birthweight Z-Score (BW-10%)]],TRUE)*100,"")</f>
        <v/>
      </c>
      <c r="L770" s="7" t="str">
        <f>IF(Table1[[#This Row],[Is Data Valid]]=TRUE,_xlfn.NORM.S.DIST(Table1[[#This Row],[Birthweight Z-Score (BW+10%)]],TRUE)*100,"")</f>
        <v/>
      </c>
    </row>
    <row r="771" spans="1:12" x14ac:dyDescent="0.35">
      <c r="A771" s="3"/>
      <c r="B771" s="2"/>
      <c r="C771" s="2"/>
      <c r="D771" s="2" t="b">
        <f>IF(AND(NOT(ISBLANK(Table1[[#This Row],[Fetal Sex (Male, Female or Unknown)]])),ISNUMBER(Table1[[#This Row],[Birthweight (grams)]]),ISNUMBER(Table1[[#This Row],[Gestation (days)]])),TRUE,FALSE)</f>
        <v>0</v>
      </c>
      <c r="E771" s="2" t="str">
        <f>IF(Table1[[#This Row],[Is Data Valid]]=TRUE,IF(Table1[[#This Row],[Fetal Sex (Male, Female or Unknown)]]="Male",Backend!$C$6,IF(Table1[[#This Row],[Fetal Sex (Male, Female or Unknown)]]="Female",Backend!$C$7,IF(Table1[[#This Row],[Fetal Sex (Male, Female or Unknown)]]="Unknown",Backend!$C$8,"Error"))),"")</f>
        <v/>
      </c>
      <c r="F771" s="8" t="str">
        <f>IF(Table1[[#This Row],[Is Data Valid]]=TRUE,EXP(0.578+0.332*((Table1[[#This Row],[Gestation (days)]]+0.5)/7)-0.00354*((Table1[[#This Row],[Gestation (days)]]+0.5)/7)^2)*Table1[[#This Row],[BW40_3705]],"")</f>
        <v/>
      </c>
      <c r="G771" s="2" t="str">
        <f>IF(Table1[[#This Row],[Is Data Valid]]=TRUE,((Table1[[#This Row],[Birthweight (grams)]]/Table1[[#This Row],[BW_GA]])-1)/(Backend!$B$4/100*Table1[[#This Row],[BW40_3705]]),"")</f>
        <v/>
      </c>
      <c r="H771" s="7" t="str">
        <f>IF(Table1[[#This Row],[Is Data Valid]]=TRUE,((Table1[[#This Row],[Birthweight (grams)]]*0.9/Table1[[#This Row],[BW_GA]])-1)/(Backend!$B$4/100*Table1[[#This Row],[BW40_3705]]),"")</f>
        <v/>
      </c>
      <c r="I771" s="7" t="str">
        <f>IF(Table1[[#This Row],[Is Data Valid]]=TRUE,((Table1[[#This Row],[Birthweight (grams)]]*1.1/Table1[[#This Row],[BW_GA]])-1)/(Backend!$B$4/100*Table1[[#This Row],[BW40_3705]]),"")</f>
        <v/>
      </c>
      <c r="J771" s="7" t="str">
        <f>IF(Table1[[#This Row],[Is Data Valid]]=TRUE,_xlfn.NORM.S.DIST(Table1[[#This Row],[Birthweight Z-Score]],TRUE)*100,"")</f>
        <v/>
      </c>
      <c r="K771" s="7" t="str">
        <f>IF(Table1[[#This Row],[Is Data Valid]]=TRUE,_xlfn.NORM.S.DIST(Table1[[#This Row],[Birthweight Z-Score (BW-10%)]],TRUE)*100,"")</f>
        <v/>
      </c>
      <c r="L771" s="7" t="str">
        <f>IF(Table1[[#This Row],[Is Data Valid]]=TRUE,_xlfn.NORM.S.DIST(Table1[[#This Row],[Birthweight Z-Score (BW+10%)]],TRUE)*100,"")</f>
        <v/>
      </c>
    </row>
    <row r="772" spans="1:12" x14ac:dyDescent="0.35">
      <c r="A772" s="3"/>
      <c r="B772" s="2"/>
      <c r="C772" s="2"/>
      <c r="D772" s="2" t="b">
        <f>IF(AND(NOT(ISBLANK(Table1[[#This Row],[Fetal Sex (Male, Female or Unknown)]])),ISNUMBER(Table1[[#This Row],[Birthweight (grams)]]),ISNUMBER(Table1[[#This Row],[Gestation (days)]])),TRUE,FALSE)</f>
        <v>0</v>
      </c>
      <c r="E772" s="2" t="str">
        <f>IF(Table1[[#This Row],[Is Data Valid]]=TRUE,IF(Table1[[#This Row],[Fetal Sex (Male, Female or Unknown)]]="Male",Backend!$C$6,IF(Table1[[#This Row],[Fetal Sex (Male, Female or Unknown)]]="Female",Backend!$C$7,IF(Table1[[#This Row],[Fetal Sex (Male, Female or Unknown)]]="Unknown",Backend!$C$8,"Error"))),"")</f>
        <v/>
      </c>
      <c r="F772" s="8" t="str">
        <f>IF(Table1[[#This Row],[Is Data Valid]]=TRUE,EXP(0.578+0.332*((Table1[[#This Row],[Gestation (days)]]+0.5)/7)-0.00354*((Table1[[#This Row],[Gestation (days)]]+0.5)/7)^2)*Table1[[#This Row],[BW40_3705]],"")</f>
        <v/>
      </c>
      <c r="G772" s="2" t="str">
        <f>IF(Table1[[#This Row],[Is Data Valid]]=TRUE,((Table1[[#This Row],[Birthweight (grams)]]/Table1[[#This Row],[BW_GA]])-1)/(Backend!$B$4/100*Table1[[#This Row],[BW40_3705]]),"")</f>
        <v/>
      </c>
      <c r="H772" s="7" t="str">
        <f>IF(Table1[[#This Row],[Is Data Valid]]=TRUE,((Table1[[#This Row],[Birthweight (grams)]]*0.9/Table1[[#This Row],[BW_GA]])-1)/(Backend!$B$4/100*Table1[[#This Row],[BW40_3705]]),"")</f>
        <v/>
      </c>
      <c r="I772" s="7" t="str">
        <f>IF(Table1[[#This Row],[Is Data Valid]]=TRUE,((Table1[[#This Row],[Birthweight (grams)]]*1.1/Table1[[#This Row],[BW_GA]])-1)/(Backend!$B$4/100*Table1[[#This Row],[BW40_3705]]),"")</f>
        <v/>
      </c>
      <c r="J772" s="7" t="str">
        <f>IF(Table1[[#This Row],[Is Data Valid]]=TRUE,_xlfn.NORM.S.DIST(Table1[[#This Row],[Birthweight Z-Score]],TRUE)*100,"")</f>
        <v/>
      </c>
      <c r="K772" s="7" t="str">
        <f>IF(Table1[[#This Row],[Is Data Valid]]=TRUE,_xlfn.NORM.S.DIST(Table1[[#This Row],[Birthweight Z-Score (BW-10%)]],TRUE)*100,"")</f>
        <v/>
      </c>
      <c r="L772" s="7" t="str">
        <f>IF(Table1[[#This Row],[Is Data Valid]]=TRUE,_xlfn.NORM.S.DIST(Table1[[#This Row],[Birthweight Z-Score (BW+10%)]],TRUE)*100,"")</f>
        <v/>
      </c>
    </row>
    <row r="773" spans="1:12" x14ac:dyDescent="0.35">
      <c r="A773" s="3"/>
      <c r="B773" s="2"/>
      <c r="C773" s="2"/>
      <c r="D773" s="2" t="b">
        <f>IF(AND(NOT(ISBLANK(Table1[[#This Row],[Fetal Sex (Male, Female or Unknown)]])),ISNUMBER(Table1[[#This Row],[Birthweight (grams)]]),ISNUMBER(Table1[[#This Row],[Gestation (days)]])),TRUE,FALSE)</f>
        <v>0</v>
      </c>
      <c r="E773" s="2" t="str">
        <f>IF(Table1[[#This Row],[Is Data Valid]]=TRUE,IF(Table1[[#This Row],[Fetal Sex (Male, Female or Unknown)]]="Male",Backend!$C$6,IF(Table1[[#This Row],[Fetal Sex (Male, Female or Unknown)]]="Female",Backend!$C$7,IF(Table1[[#This Row],[Fetal Sex (Male, Female or Unknown)]]="Unknown",Backend!$C$8,"Error"))),"")</f>
        <v/>
      </c>
      <c r="F773" s="8" t="str">
        <f>IF(Table1[[#This Row],[Is Data Valid]]=TRUE,EXP(0.578+0.332*((Table1[[#This Row],[Gestation (days)]]+0.5)/7)-0.00354*((Table1[[#This Row],[Gestation (days)]]+0.5)/7)^2)*Table1[[#This Row],[BW40_3705]],"")</f>
        <v/>
      </c>
      <c r="G773" s="2" t="str">
        <f>IF(Table1[[#This Row],[Is Data Valid]]=TRUE,((Table1[[#This Row],[Birthweight (grams)]]/Table1[[#This Row],[BW_GA]])-1)/(Backend!$B$4/100*Table1[[#This Row],[BW40_3705]]),"")</f>
        <v/>
      </c>
      <c r="H773" s="7" t="str">
        <f>IF(Table1[[#This Row],[Is Data Valid]]=TRUE,((Table1[[#This Row],[Birthweight (grams)]]*0.9/Table1[[#This Row],[BW_GA]])-1)/(Backend!$B$4/100*Table1[[#This Row],[BW40_3705]]),"")</f>
        <v/>
      </c>
      <c r="I773" s="7" t="str">
        <f>IF(Table1[[#This Row],[Is Data Valid]]=TRUE,((Table1[[#This Row],[Birthweight (grams)]]*1.1/Table1[[#This Row],[BW_GA]])-1)/(Backend!$B$4/100*Table1[[#This Row],[BW40_3705]]),"")</f>
        <v/>
      </c>
      <c r="J773" s="7" t="str">
        <f>IF(Table1[[#This Row],[Is Data Valid]]=TRUE,_xlfn.NORM.S.DIST(Table1[[#This Row],[Birthweight Z-Score]],TRUE)*100,"")</f>
        <v/>
      </c>
      <c r="K773" s="7" t="str">
        <f>IF(Table1[[#This Row],[Is Data Valid]]=TRUE,_xlfn.NORM.S.DIST(Table1[[#This Row],[Birthweight Z-Score (BW-10%)]],TRUE)*100,"")</f>
        <v/>
      </c>
      <c r="L773" s="7" t="str">
        <f>IF(Table1[[#This Row],[Is Data Valid]]=TRUE,_xlfn.NORM.S.DIST(Table1[[#This Row],[Birthweight Z-Score (BW+10%)]],TRUE)*100,"")</f>
        <v/>
      </c>
    </row>
    <row r="774" spans="1:12" x14ac:dyDescent="0.35">
      <c r="A774" s="3"/>
      <c r="B774" s="2"/>
      <c r="C774" s="2"/>
      <c r="D774" s="2" t="b">
        <f>IF(AND(NOT(ISBLANK(Table1[[#This Row],[Fetal Sex (Male, Female or Unknown)]])),ISNUMBER(Table1[[#This Row],[Birthweight (grams)]]),ISNUMBER(Table1[[#This Row],[Gestation (days)]])),TRUE,FALSE)</f>
        <v>0</v>
      </c>
      <c r="E774" s="2" t="str">
        <f>IF(Table1[[#This Row],[Is Data Valid]]=TRUE,IF(Table1[[#This Row],[Fetal Sex (Male, Female or Unknown)]]="Male",Backend!$C$6,IF(Table1[[#This Row],[Fetal Sex (Male, Female or Unknown)]]="Female",Backend!$C$7,IF(Table1[[#This Row],[Fetal Sex (Male, Female or Unknown)]]="Unknown",Backend!$C$8,"Error"))),"")</f>
        <v/>
      </c>
      <c r="F774" s="8" t="str">
        <f>IF(Table1[[#This Row],[Is Data Valid]]=TRUE,EXP(0.578+0.332*((Table1[[#This Row],[Gestation (days)]]+0.5)/7)-0.00354*((Table1[[#This Row],[Gestation (days)]]+0.5)/7)^2)*Table1[[#This Row],[BW40_3705]],"")</f>
        <v/>
      </c>
      <c r="G774" s="2" t="str">
        <f>IF(Table1[[#This Row],[Is Data Valid]]=TRUE,((Table1[[#This Row],[Birthweight (grams)]]/Table1[[#This Row],[BW_GA]])-1)/(Backend!$B$4/100*Table1[[#This Row],[BW40_3705]]),"")</f>
        <v/>
      </c>
      <c r="H774" s="7" t="str">
        <f>IF(Table1[[#This Row],[Is Data Valid]]=TRUE,((Table1[[#This Row],[Birthweight (grams)]]*0.9/Table1[[#This Row],[BW_GA]])-1)/(Backend!$B$4/100*Table1[[#This Row],[BW40_3705]]),"")</f>
        <v/>
      </c>
      <c r="I774" s="7" t="str">
        <f>IF(Table1[[#This Row],[Is Data Valid]]=TRUE,((Table1[[#This Row],[Birthweight (grams)]]*1.1/Table1[[#This Row],[BW_GA]])-1)/(Backend!$B$4/100*Table1[[#This Row],[BW40_3705]]),"")</f>
        <v/>
      </c>
      <c r="J774" s="7" t="str">
        <f>IF(Table1[[#This Row],[Is Data Valid]]=TRUE,_xlfn.NORM.S.DIST(Table1[[#This Row],[Birthweight Z-Score]],TRUE)*100,"")</f>
        <v/>
      </c>
      <c r="K774" s="7" t="str">
        <f>IF(Table1[[#This Row],[Is Data Valid]]=TRUE,_xlfn.NORM.S.DIST(Table1[[#This Row],[Birthweight Z-Score (BW-10%)]],TRUE)*100,"")</f>
        <v/>
      </c>
      <c r="L774" s="7" t="str">
        <f>IF(Table1[[#This Row],[Is Data Valid]]=TRUE,_xlfn.NORM.S.DIST(Table1[[#This Row],[Birthweight Z-Score (BW+10%)]],TRUE)*100,"")</f>
        <v/>
      </c>
    </row>
    <row r="775" spans="1:12" x14ac:dyDescent="0.35">
      <c r="A775" s="3"/>
      <c r="B775" s="2"/>
      <c r="C775" s="2"/>
      <c r="D775" s="2" t="b">
        <f>IF(AND(NOT(ISBLANK(Table1[[#This Row],[Fetal Sex (Male, Female or Unknown)]])),ISNUMBER(Table1[[#This Row],[Birthweight (grams)]]),ISNUMBER(Table1[[#This Row],[Gestation (days)]])),TRUE,FALSE)</f>
        <v>0</v>
      </c>
      <c r="E775" s="2" t="str">
        <f>IF(Table1[[#This Row],[Is Data Valid]]=TRUE,IF(Table1[[#This Row],[Fetal Sex (Male, Female or Unknown)]]="Male",Backend!$C$6,IF(Table1[[#This Row],[Fetal Sex (Male, Female or Unknown)]]="Female",Backend!$C$7,IF(Table1[[#This Row],[Fetal Sex (Male, Female or Unknown)]]="Unknown",Backend!$C$8,"Error"))),"")</f>
        <v/>
      </c>
      <c r="F775" s="8" t="str">
        <f>IF(Table1[[#This Row],[Is Data Valid]]=TRUE,EXP(0.578+0.332*((Table1[[#This Row],[Gestation (days)]]+0.5)/7)-0.00354*((Table1[[#This Row],[Gestation (days)]]+0.5)/7)^2)*Table1[[#This Row],[BW40_3705]],"")</f>
        <v/>
      </c>
      <c r="G775" s="2" t="str">
        <f>IF(Table1[[#This Row],[Is Data Valid]]=TRUE,((Table1[[#This Row],[Birthweight (grams)]]/Table1[[#This Row],[BW_GA]])-1)/(Backend!$B$4/100*Table1[[#This Row],[BW40_3705]]),"")</f>
        <v/>
      </c>
      <c r="H775" s="7" t="str">
        <f>IF(Table1[[#This Row],[Is Data Valid]]=TRUE,((Table1[[#This Row],[Birthweight (grams)]]*0.9/Table1[[#This Row],[BW_GA]])-1)/(Backend!$B$4/100*Table1[[#This Row],[BW40_3705]]),"")</f>
        <v/>
      </c>
      <c r="I775" s="7" t="str">
        <f>IF(Table1[[#This Row],[Is Data Valid]]=TRUE,((Table1[[#This Row],[Birthweight (grams)]]*1.1/Table1[[#This Row],[BW_GA]])-1)/(Backend!$B$4/100*Table1[[#This Row],[BW40_3705]]),"")</f>
        <v/>
      </c>
      <c r="J775" s="7" t="str">
        <f>IF(Table1[[#This Row],[Is Data Valid]]=TRUE,_xlfn.NORM.S.DIST(Table1[[#This Row],[Birthweight Z-Score]],TRUE)*100,"")</f>
        <v/>
      </c>
      <c r="K775" s="7" t="str">
        <f>IF(Table1[[#This Row],[Is Data Valid]]=TRUE,_xlfn.NORM.S.DIST(Table1[[#This Row],[Birthweight Z-Score (BW-10%)]],TRUE)*100,"")</f>
        <v/>
      </c>
      <c r="L775" s="7" t="str">
        <f>IF(Table1[[#This Row],[Is Data Valid]]=TRUE,_xlfn.NORM.S.DIST(Table1[[#This Row],[Birthweight Z-Score (BW+10%)]],TRUE)*100,"")</f>
        <v/>
      </c>
    </row>
    <row r="776" spans="1:12" x14ac:dyDescent="0.35">
      <c r="A776" s="3"/>
      <c r="B776" s="2"/>
      <c r="C776" s="2"/>
      <c r="D776" s="2" t="b">
        <f>IF(AND(NOT(ISBLANK(Table1[[#This Row],[Fetal Sex (Male, Female or Unknown)]])),ISNUMBER(Table1[[#This Row],[Birthweight (grams)]]),ISNUMBER(Table1[[#This Row],[Gestation (days)]])),TRUE,FALSE)</f>
        <v>0</v>
      </c>
      <c r="E776" s="2" t="str">
        <f>IF(Table1[[#This Row],[Is Data Valid]]=TRUE,IF(Table1[[#This Row],[Fetal Sex (Male, Female or Unknown)]]="Male",Backend!$C$6,IF(Table1[[#This Row],[Fetal Sex (Male, Female or Unknown)]]="Female",Backend!$C$7,IF(Table1[[#This Row],[Fetal Sex (Male, Female or Unknown)]]="Unknown",Backend!$C$8,"Error"))),"")</f>
        <v/>
      </c>
      <c r="F776" s="8" t="str">
        <f>IF(Table1[[#This Row],[Is Data Valid]]=TRUE,EXP(0.578+0.332*((Table1[[#This Row],[Gestation (days)]]+0.5)/7)-0.00354*((Table1[[#This Row],[Gestation (days)]]+0.5)/7)^2)*Table1[[#This Row],[BW40_3705]],"")</f>
        <v/>
      </c>
      <c r="G776" s="2" t="str">
        <f>IF(Table1[[#This Row],[Is Data Valid]]=TRUE,((Table1[[#This Row],[Birthweight (grams)]]/Table1[[#This Row],[BW_GA]])-1)/(Backend!$B$4/100*Table1[[#This Row],[BW40_3705]]),"")</f>
        <v/>
      </c>
      <c r="H776" s="7" t="str">
        <f>IF(Table1[[#This Row],[Is Data Valid]]=TRUE,((Table1[[#This Row],[Birthweight (grams)]]*0.9/Table1[[#This Row],[BW_GA]])-1)/(Backend!$B$4/100*Table1[[#This Row],[BW40_3705]]),"")</f>
        <v/>
      </c>
      <c r="I776" s="7" t="str">
        <f>IF(Table1[[#This Row],[Is Data Valid]]=TRUE,((Table1[[#This Row],[Birthweight (grams)]]*1.1/Table1[[#This Row],[BW_GA]])-1)/(Backend!$B$4/100*Table1[[#This Row],[BW40_3705]]),"")</f>
        <v/>
      </c>
      <c r="J776" s="7" t="str">
        <f>IF(Table1[[#This Row],[Is Data Valid]]=TRUE,_xlfn.NORM.S.DIST(Table1[[#This Row],[Birthweight Z-Score]],TRUE)*100,"")</f>
        <v/>
      </c>
      <c r="K776" s="7" t="str">
        <f>IF(Table1[[#This Row],[Is Data Valid]]=TRUE,_xlfn.NORM.S.DIST(Table1[[#This Row],[Birthweight Z-Score (BW-10%)]],TRUE)*100,"")</f>
        <v/>
      </c>
      <c r="L776" s="7" t="str">
        <f>IF(Table1[[#This Row],[Is Data Valid]]=TRUE,_xlfn.NORM.S.DIST(Table1[[#This Row],[Birthweight Z-Score (BW+10%)]],TRUE)*100,"")</f>
        <v/>
      </c>
    </row>
    <row r="777" spans="1:12" x14ac:dyDescent="0.35">
      <c r="A777" s="3"/>
      <c r="B777" s="2"/>
      <c r="C777" s="2"/>
      <c r="D777" s="2" t="b">
        <f>IF(AND(NOT(ISBLANK(Table1[[#This Row],[Fetal Sex (Male, Female or Unknown)]])),ISNUMBER(Table1[[#This Row],[Birthweight (grams)]]),ISNUMBER(Table1[[#This Row],[Gestation (days)]])),TRUE,FALSE)</f>
        <v>0</v>
      </c>
      <c r="E777" s="2" t="str">
        <f>IF(Table1[[#This Row],[Is Data Valid]]=TRUE,IF(Table1[[#This Row],[Fetal Sex (Male, Female or Unknown)]]="Male",Backend!$C$6,IF(Table1[[#This Row],[Fetal Sex (Male, Female or Unknown)]]="Female",Backend!$C$7,IF(Table1[[#This Row],[Fetal Sex (Male, Female or Unknown)]]="Unknown",Backend!$C$8,"Error"))),"")</f>
        <v/>
      </c>
      <c r="F777" s="8" t="str">
        <f>IF(Table1[[#This Row],[Is Data Valid]]=TRUE,EXP(0.578+0.332*((Table1[[#This Row],[Gestation (days)]]+0.5)/7)-0.00354*((Table1[[#This Row],[Gestation (days)]]+0.5)/7)^2)*Table1[[#This Row],[BW40_3705]],"")</f>
        <v/>
      </c>
      <c r="G777" s="2" t="str">
        <f>IF(Table1[[#This Row],[Is Data Valid]]=TRUE,((Table1[[#This Row],[Birthweight (grams)]]/Table1[[#This Row],[BW_GA]])-1)/(Backend!$B$4/100*Table1[[#This Row],[BW40_3705]]),"")</f>
        <v/>
      </c>
      <c r="H777" s="7" t="str">
        <f>IF(Table1[[#This Row],[Is Data Valid]]=TRUE,((Table1[[#This Row],[Birthweight (grams)]]*0.9/Table1[[#This Row],[BW_GA]])-1)/(Backend!$B$4/100*Table1[[#This Row],[BW40_3705]]),"")</f>
        <v/>
      </c>
      <c r="I777" s="7" t="str">
        <f>IF(Table1[[#This Row],[Is Data Valid]]=TRUE,((Table1[[#This Row],[Birthweight (grams)]]*1.1/Table1[[#This Row],[BW_GA]])-1)/(Backend!$B$4/100*Table1[[#This Row],[BW40_3705]]),"")</f>
        <v/>
      </c>
      <c r="J777" s="7" t="str">
        <f>IF(Table1[[#This Row],[Is Data Valid]]=TRUE,_xlfn.NORM.S.DIST(Table1[[#This Row],[Birthweight Z-Score]],TRUE)*100,"")</f>
        <v/>
      </c>
      <c r="K777" s="7" t="str">
        <f>IF(Table1[[#This Row],[Is Data Valid]]=TRUE,_xlfn.NORM.S.DIST(Table1[[#This Row],[Birthweight Z-Score (BW-10%)]],TRUE)*100,"")</f>
        <v/>
      </c>
      <c r="L777" s="7" t="str">
        <f>IF(Table1[[#This Row],[Is Data Valid]]=TRUE,_xlfn.NORM.S.DIST(Table1[[#This Row],[Birthweight Z-Score (BW+10%)]],TRUE)*100,"")</f>
        <v/>
      </c>
    </row>
    <row r="778" spans="1:12" x14ac:dyDescent="0.35">
      <c r="A778" s="3"/>
      <c r="B778" s="2"/>
      <c r="C778" s="2"/>
      <c r="D778" s="2" t="b">
        <f>IF(AND(NOT(ISBLANK(Table1[[#This Row],[Fetal Sex (Male, Female or Unknown)]])),ISNUMBER(Table1[[#This Row],[Birthweight (grams)]]),ISNUMBER(Table1[[#This Row],[Gestation (days)]])),TRUE,FALSE)</f>
        <v>0</v>
      </c>
      <c r="E778" s="2" t="str">
        <f>IF(Table1[[#This Row],[Is Data Valid]]=TRUE,IF(Table1[[#This Row],[Fetal Sex (Male, Female or Unknown)]]="Male",Backend!$C$6,IF(Table1[[#This Row],[Fetal Sex (Male, Female or Unknown)]]="Female",Backend!$C$7,IF(Table1[[#This Row],[Fetal Sex (Male, Female or Unknown)]]="Unknown",Backend!$C$8,"Error"))),"")</f>
        <v/>
      </c>
      <c r="F778" s="8" t="str">
        <f>IF(Table1[[#This Row],[Is Data Valid]]=TRUE,EXP(0.578+0.332*((Table1[[#This Row],[Gestation (days)]]+0.5)/7)-0.00354*((Table1[[#This Row],[Gestation (days)]]+0.5)/7)^2)*Table1[[#This Row],[BW40_3705]],"")</f>
        <v/>
      </c>
      <c r="G778" s="2" t="str">
        <f>IF(Table1[[#This Row],[Is Data Valid]]=TRUE,((Table1[[#This Row],[Birthweight (grams)]]/Table1[[#This Row],[BW_GA]])-1)/(Backend!$B$4/100*Table1[[#This Row],[BW40_3705]]),"")</f>
        <v/>
      </c>
      <c r="H778" s="7" t="str">
        <f>IF(Table1[[#This Row],[Is Data Valid]]=TRUE,((Table1[[#This Row],[Birthweight (grams)]]*0.9/Table1[[#This Row],[BW_GA]])-1)/(Backend!$B$4/100*Table1[[#This Row],[BW40_3705]]),"")</f>
        <v/>
      </c>
      <c r="I778" s="7" t="str">
        <f>IF(Table1[[#This Row],[Is Data Valid]]=TRUE,((Table1[[#This Row],[Birthweight (grams)]]*1.1/Table1[[#This Row],[BW_GA]])-1)/(Backend!$B$4/100*Table1[[#This Row],[BW40_3705]]),"")</f>
        <v/>
      </c>
      <c r="J778" s="7" t="str">
        <f>IF(Table1[[#This Row],[Is Data Valid]]=TRUE,_xlfn.NORM.S.DIST(Table1[[#This Row],[Birthweight Z-Score]],TRUE)*100,"")</f>
        <v/>
      </c>
      <c r="K778" s="7" t="str">
        <f>IF(Table1[[#This Row],[Is Data Valid]]=TRUE,_xlfn.NORM.S.DIST(Table1[[#This Row],[Birthweight Z-Score (BW-10%)]],TRUE)*100,"")</f>
        <v/>
      </c>
      <c r="L778" s="7" t="str">
        <f>IF(Table1[[#This Row],[Is Data Valid]]=TRUE,_xlfn.NORM.S.DIST(Table1[[#This Row],[Birthweight Z-Score (BW+10%)]],TRUE)*100,"")</f>
        <v/>
      </c>
    </row>
    <row r="779" spans="1:12" x14ac:dyDescent="0.35">
      <c r="A779" s="3"/>
      <c r="B779" s="2"/>
      <c r="C779" s="2"/>
      <c r="D779" s="2" t="b">
        <f>IF(AND(NOT(ISBLANK(Table1[[#This Row],[Fetal Sex (Male, Female or Unknown)]])),ISNUMBER(Table1[[#This Row],[Birthweight (grams)]]),ISNUMBER(Table1[[#This Row],[Gestation (days)]])),TRUE,FALSE)</f>
        <v>0</v>
      </c>
      <c r="E779" s="2" t="str">
        <f>IF(Table1[[#This Row],[Is Data Valid]]=TRUE,IF(Table1[[#This Row],[Fetal Sex (Male, Female or Unknown)]]="Male",Backend!$C$6,IF(Table1[[#This Row],[Fetal Sex (Male, Female or Unknown)]]="Female",Backend!$C$7,IF(Table1[[#This Row],[Fetal Sex (Male, Female or Unknown)]]="Unknown",Backend!$C$8,"Error"))),"")</f>
        <v/>
      </c>
      <c r="F779" s="8" t="str">
        <f>IF(Table1[[#This Row],[Is Data Valid]]=TRUE,EXP(0.578+0.332*((Table1[[#This Row],[Gestation (days)]]+0.5)/7)-0.00354*((Table1[[#This Row],[Gestation (days)]]+0.5)/7)^2)*Table1[[#This Row],[BW40_3705]],"")</f>
        <v/>
      </c>
      <c r="G779" s="2" t="str">
        <f>IF(Table1[[#This Row],[Is Data Valid]]=TRUE,((Table1[[#This Row],[Birthweight (grams)]]/Table1[[#This Row],[BW_GA]])-1)/(Backend!$B$4/100*Table1[[#This Row],[BW40_3705]]),"")</f>
        <v/>
      </c>
      <c r="H779" s="7" t="str">
        <f>IF(Table1[[#This Row],[Is Data Valid]]=TRUE,((Table1[[#This Row],[Birthweight (grams)]]*0.9/Table1[[#This Row],[BW_GA]])-1)/(Backend!$B$4/100*Table1[[#This Row],[BW40_3705]]),"")</f>
        <v/>
      </c>
      <c r="I779" s="7" t="str">
        <f>IF(Table1[[#This Row],[Is Data Valid]]=TRUE,((Table1[[#This Row],[Birthweight (grams)]]*1.1/Table1[[#This Row],[BW_GA]])-1)/(Backend!$B$4/100*Table1[[#This Row],[BW40_3705]]),"")</f>
        <v/>
      </c>
      <c r="J779" s="7" t="str">
        <f>IF(Table1[[#This Row],[Is Data Valid]]=TRUE,_xlfn.NORM.S.DIST(Table1[[#This Row],[Birthweight Z-Score]],TRUE)*100,"")</f>
        <v/>
      </c>
      <c r="K779" s="7" t="str">
        <f>IF(Table1[[#This Row],[Is Data Valid]]=TRUE,_xlfn.NORM.S.DIST(Table1[[#This Row],[Birthweight Z-Score (BW-10%)]],TRUE)*100,"")</f>
        <v/>
      </c>
      <c r="L779" s="7" t="str">
        <f>IF(Table1[[#This Row],[Is Data Valid]]=TRUE,_xlfn.NORM.S.DIST(Table1[[#This Row],[Birthweight Z-Score (BW+10%)]],TRUE)*100,"")</f>
        <v/>
      </c>
    </row>
    <row r="780" spans="1:12" x14ac:dyDescent="0.35">
      <c r="A780" s="3"/>
      <c r="B780" s="2"/>
      <c r="C780" s="2"/>
      <c r="D780" s="2" t="b">
        <f>IF(AND(NOT(ISBLANK(Table1[[#This Row],[Fetal Sex (Male, Female or Unknown)]])),ISNUMBER(Table1[[#This Row],[Birthweight (grams)]]),ISNUMBER(Table1[[#This Row],[Gestation (days)]])),TRUE,FALSE)</f>
        <v>0</v>
      </c>
      <c r="E780" s="2" t="str">
        <f>IF(Table1[[#This Row],[Is Data Valid]]=TRUE,IF(Table1[[#This Row],[Fetal Sex (Male, Female or Unknown)]]="Male",Backend!$C$6,IF(Table1[[#This Row],[Fetal Sex (Male, Female or Unknown)]]="Female",Backend!$C$7,IF(Table1[[#This Row],[Fetal Sex (Male, Female or Unknown)]]="Unknown",Backend!$C$8,"Error"))),"")</f>
        <v/>
      </c>
      <c r="F780" s="8" t="str">
        <f>IF(Table1[[#This Row],[Is Data Valid]]=TRUE,EXP(0.578+0.332*((Table1[[#This Row],[Gestation (days)]]+0.5)/7)-0.00354*((Table1[[#This Row],[Gestation (days)]]+0.5)/7)^2)*Table1[[#This Row],[BW40_3705]],"")</f>
        <v/>
      </c>
      <c r="G780" s="2" t="str">
        <f>IF(Table1[[#This Row],[Is Data Valid]]=TRUE,((Table1[[#This Row],[Birthweight (grams)]]/Table1[[#This Row],[BW_GA]])-1)/(Backend!$B$4/100*Table1[[#This Row],[BW40_3705]]),"")</f>
        <v/>
      </c>
      <c r="H780" s="7" t="str">
        <f>IF(Table1[[#This Row],[Is Data Valid]]=TRUE,((Table1[[#This Row],[Birthweight (grams)]]*0.9/Table1[[#This Row],[BW_GA]])-1)/(Backend!$B$4/100*Table1[[#This Row],[BW40_3705]]),"")</f>
        <v/>
      </c>
      <c r="I780" s="7" t="str">
        <f>IF(Table1[[#This Row],[Is Data Valid]]=TRUE,((Table1[[#This Row],[Birthweight (grams)]]*1.1/Table1[[#This Row],[BW_GA]])-1)/(Backend!$B$4/100*Table1[[#This Row],[BW40_3705]]),"")</f>
        <v/>
      </c>
      <c r="J780" s="7" t="str">
        <f>IF(Table1[[#This Row],[Is Data Valid]]=TRUE,_xlfn.NORM.S.DIST(Table1[[#This Row],[Birthweight Z-Score]],TRUE)*100,"")</f>
        <v/>
      </c>
      <c r="K780" s="7" t="str">
        <f>IF(Table1[[#This Row],[Is Data Valid]]=TRUE,_xlfn.NORM.S.DIST(Table1[[#This Row],[Birthweight Z-Score (BW-10%)]],TRUE)*100,"")</f>
        <v/>
      </c>
      <c r="L780" s="7" t="str">
        <f>IF(Table1[[#This Row],[Is Data Valid]]=TRUE,_xlfn.NORM.S.DIST(Table1[[#This Row],[Birthweight Z-Score (BW+10%)]],TRUE)*100,"")</f>
        <v/>
      </c>
    </row>
    <row r="781" spans="1:12" x14ac:dyDescent="0.35">
      <c r="A781" s="3"/>
      <c r="B781" s="2"/>
      <c r="C781" s="2"/>
      <c r="D781" s="2" t="b">
        <f>IF(AND(NOT(ISBLANK(Table1[[#This Row],[Fetal Sex (Male, Female or Unknown)]])),ISNUMBER(Table1[[#This Row],[Birthweight (grams)]]),ISNUMBER(Table1[[#This Row],[Gestation (days)]])),TRUE,FALSE)</f>
        <v>0</v>
      </c>
      <c r="E781" s="2" t="str">
        <f>IF(Table1[[#This Row],[Is Data Valid]]=TRUE,IF(Table1[[#This Row],[Fetal Sex (Male, Female or Unknown)]]="Male",Backend!$C$6,IF(Table1[[#This Row],[Fetal Sex (Male, Female or Unknown)]]="Female",Backend!$C$7,IF(Table1[[#This Row],[Fetal Sex (Male, Female or Unknown)]]="Unknown",Backend!$C$8,"Error"))),"")</f>
        <v/>
      </c>
      <c r="F781" s="8" t="str">
        <f>IF(Table1[[#This Row],[Is Data Valid]]=TRUE,EXP(0.578+0.332*((Table1[[#This Row],[Gestation (days)]]+0.5)/7)-0.00354*((Table1[[#This Row],[Gestation (days)]]+0.5)/7)^2)*Table1[[#This Row],[BW40_3705]],"")</f>
        <v/>
      </c>
      <c r="G781" s="2" t="str">
        <f>IF(Table1[[#This Row],[Is Data Valid]]=TRUE,((Table1[[#This Row],[Birthweight (grams)]]/Table1[[#This Row],[BW_GA]])-1)/(Backend!$B$4/100*Table1[[#This Row],[BW40_3705]]),"")</f>
        <v/>
      </c>
      <c r="H781" s="7" t="str">
        <f>IF(Table1[[#This Row],[Is Data Valid]]=TRUE,((Table1[[#This Row],[Birthweight (grams)]]*0.9/Table1[[#This Row],[BW_GA]])-1)/(Backend!$B$4/100*Table1[[#This Row],[BW40_3705]]),"")</f>
        <v/>
      </c>
      <c r="I781" s="7" t="str">
        <f>IF(Table1[[#This Row],[Is Data Valid]]=TRUE,((Table1[[#This Row],[Birthweight (grams)]]*1.1/Table1[[#This Row],[BW_GA]])-1)/(Backend!$B$4/100*Table1[[#This Row],[BW40_3705]]),"")</f>
        <v/>
      </c>
      <c r="J781" s="7" t="str">
        <f>IF(Table1[[#This Row],[Is Data Valid]]=TRUE,_xlfn.NORM.S.DIST(Table1[[#This Row],[Birthweight Z-Score]],TRUE)*100,"")</f>
        <v/>
      </c>
      <c r="K781" s="7" t="str">
        <f>IF(Table1[[#This Row],[Is Data Valid]]=TRUE,_xlfn.NORM.S.DIST(Table1[[#This Row],[Birthweight Z-Score (BW-10%)]],TRUE)*100,"")</f>
        <v/>
      </c>
      <c r="L781" s="7" t="str">
        <f>IF(Table1[[#This Row],[Is Data Valid]]=TRUE,_xlfn.NORM.S.DIST(Table1[[#This Row],[Birthweight Z-Score (BW+10%)]],TRUE)*100,"")</f>
        <v/>
      </c>
    </row>
    <row r="782" spans="1:12" x14ac:dyDescent="0.35">
      <c r="A782" s="3"/>
      <c r="B782" s="2"/>
      <c r="C782" s="2"/>
      <c r="D782" s="2" t="b">
        <f>IF(AND(NOT(ISBLANK(Table1[[#This Row],[Fetal Sex (Male, Female or Unknown)]])),ISNUMBER(Table1[[#This Row],[Birthweight (grams)]]),ISNUMBER(Table1[[#This Row],[Gestation (days)]])),TRUE,FALSE)</f>
        <v>0</v>
      </c>
      <c r="E782" s="2" t="str">
        <f>IF(Table1[[#This Row],[Is Data Valid]]=TRUE,IF(Table1[[#This Row],[Fetal Sex (Male, Female or Unknown)]]="Male",Backend!$C$6,IF(Table1[[#This Row],[Fetal Sex (Male, Female or Unknown)]]="Female",Backend!$C$7,IF(Table1[[#This Row],[Fetal Sex (Male, Female or Unknown)]]="Unknown",Backend!$C$8,"Error"))),"")</f>
        <v/>
      </c>
      <c r="F782" s="8" t="str">
        <f>IF(Table1[[#This Row],[Is Data Valid]]=TRUE,EXP(0.578+0.332*((Table1[[#This Row],[Gestation (days)]]+0.5)/7)-0.00354*((Table1[[#This Row],[Gestation (days)]]+0.5)/7)^2)*Table1[[#This Row],[BW40_3705]],"")</f>
        <v/>
      </c>
      <c r="G782" s="2" t="str">
        <f>IF(Table1[[#This Row],[Is Data Valid]]=TRUE,((Table1[[#This Row],[Birthweight (grams)]]/Table1[[#This Row],[BW_GA]])-1)/(Backend!$B$4/100*Table1[[#This Row],[BW40_3705]]),"")</f>
        <v/>
      </c>
      <c r="H782" s="7" t="str">
        <f>IF(Table1[[#This Row],[Is Data Valid]]=TRUE,((Table1[[#This Row],[Birthweight (grams)]]*0.9/Table1[[#This Row],[BW_GA]])-1)/(Backend!$B$4/100*Table1[[#This Row],[BW40_3705]]),"")</f>
        <v/>
      </c>
      <c r="I782" s="7" t="str">
        <f>IF(Table1[[#This Row],[Is Data Valid]]=TRUE,((Table1[[#This Row],[Birthweight (grams)]]*1.1/Table1[[#This Row],[BW_GA]])-1)/(Backend!$B$4/100*Table1[[#This Row],[BW40_3705]]),"")</f>
        <v/>
      </c>
      <c r="J782" s="7" t="str">
        <f>IF(Table1[[#This Row],[Is Data Valid]]=TRUE,_xlfn.NORM.S.DIST(Table1[[#This Row],[Birthweight Z-Score]],TRUE)*100,"")</f>
        <v/>
      </c>
      <c r="K782" s="7" t="str">
        <f>IF(Table1[[#This Row],[Is Data Valid]]=TRUE,_xlfn.NORM.S.DIST(Table1[[#This Row],[Birthweight Z-Score (BW-10%)]],TRUE)*100,"")</f>
        <v/>
      </c>
      <c r="L782" s="7" t="str">
        <f>IF(Table1[[#This Row],[Is Data Valid]]=TRUE,_xlfn.NORM.S.DIST(Table1[[#This Row],[Birthweight Z-Score (BW+10%)]],TRUE)*100,"")</f>
        <v/>
      </c>
    </row>
    <row r="783" spans="1:12" x14ac:dyDescent="0.35">
      <c r="A783" s="3"/>
      <c r="B783" s="2"/>
      <c r="C783" s="2"/>
      <c r="D783" s="2" t="b">
        <f>IF(AND(NOT(ISBLANK(Table1[[#This Row],[Fetal Sex (Male, Female or Unknown)]])),ISNUMBER(Table1[[#This Row],[Birthweight (grams)]]),ISNUMBER(Table1[[#This Row],[Gestation (days)]])),TRUE,FALSE)</f>
        <v>0</v>
      </c>
      <c r="E783" s="2" t="str">
        <f>IF(Table1[[#This Row],[Is Data Valid]]=TRUE,IF(Table1[[#This Row],[Fetal Sex (Male, Female or Unknown)]]="Male",Backend!$C$6,IF(Table1[[#This Row],[Fetal Sex (Male, Female or Unknown)]]="Female",Backend!$C$7,IF(Table1[[#This Row],[Fetal Sex (Male, Female or Unknown)]]="Unknown",Backend!$C$8,"Error"))),"")</f>
        <v/>
      </c>
      <c r="F783" s="8" t="str">
        <f>IF(Table1[[#This Row],[Is Data Valid]]=TRUE,EXP(0.578+0.332*((Table1[[#This Row],[Gestation (days)]]+0.5)/7)-0.00354*((Table1[[#This Row],[Gestation (days)]]+0.5)/7)^2)*Table1[[#This Row],[BW40_3705]],"")</f>
        <v/>
      </c>
      <c r="G783" s="2" t="str">
        <f>IF(Table1[[#This Row],[Is Data Valid]]=TRUE,((Table1[[#This Row],[Birthweight (grams)]]/Table1[[#This Row],[BW_GA]])-1)/(Backend!$B$4/100*Table1[[#This Row],[BW40_3705]]),"")</f>
        <v/>
      </c>
      <c r="H783" s="7" t="str">
        <f>IF(Table1[[#This Row],[Is Data Valid]]=TRUE,((Table1[[#This Row],[Birthweight (grams)]]*0.9/Table1[[#This Row],[BW_GA]])-1)/(Backend!$B$4/100*Table1[[#This Row],[BW40_3705]]),"")</f>
        <v/>
      </c>
      <c r="I783" s="7" t="str">
        <f>IF(Table1[[#This Row],[Is Data Valid]]=TRUE,((Table1[[#This Row],[Birthweight (grams)]]*1.1/Table1[[#This Row],[BW_GA]])-1)/(Backend!$B$4/100*Table1[[#This Row],[BW40_3705]]),"")</f>
        <v/>
      </c>
      <c r="J783" s="7" t="str">
        <f>IF(Table1[[#This Row],[Is Data Valid]]=TRUE,_xlfn.NORM.S.DIST(Table1[[#This Row],[Birthweight Z-Score]],TRUE)*100,"")</f>
        <v/>
      </c>
      <c r="K783" s="7" t="str">
        <f>IF(Table1[[#This Row],[Is Data Valid]]=TRUE,_xlfn.NORM.S.DIST(Table1[[#This Row],[Birthweight Z-Score (BW-10%)]],TRUE)*100,"")</f>
        <v/>
      </c>
      <c r="L783" s="7" t="str">
        <f>IF(Table1[[#This Row],[Is Data Valid]]=TRUE,_xlfn.NORM.S.DIST(Table1[[#This Row],[Birthweight Z-Score (BW+10%)]],TRUE)*100,"")</f>
        <v/>
      </c>
    </row>
    <row r="784" spans="1:12" x14ac:dyDescent="0.35">
      <c r="A784" s="3"/>
      <c r="B784" s="2"/>
      <c r="C784" s="2"/>
      <c r="D784" s="2" t="b">
        <f>IF(AND(NOT(ISBLANK(Table1[[#This Row],[Fetal Sex (Male, Female or Unknown)]])),ISNUMBER(Table1[[#This Row],[Birthweight (grams)]]),ISNUMBER(Table1[[#This Row],[Gestation (days)]])),TRUE,FALSE)</f>
        <v>0</v>
      </c>
      <c r="E784" s="2" t="str">
        <f>IF(Table1[[#This Row],[Is Data Valid]]=TRUE,IF(Table1[[#This Row],[Fetal Sex (Male, Female or Unknown)]]="Male",Backend!$C$6,IF(Table1[[#This Row],[Fetal Sex (Male, Female or Unknown)]]="Female",Backend!$C$7,IF(Table1[[#This Row],[Fetal Sex (Male, Female or Unknown)]]="Unknown",Backend!$C$8,"Error"))),"")</f>
        <v/>
      </c>
      <c r="F784" s="8" t="str">
        <f>IF(Table1[[#This Row],[Is Data Valid]]=TRUE,EXP(0.578+0.332*((Table1[[#This Row],[Gestation (days)]]+0.5)/7)-0.00354*((Table1[[#This Row],[Gestation (days)]]+0.5)/7)^2)*Table1[[#This Row],[BW40_3705]],"")</f>
        <v/>
      </c>
      <c r="G784" s="2" t="str">
        <f>IF(Table1[[#This Row],[Is Data Valid]]=TRUE,((Table1[[#This Row],[Birthweight (grams)]]/Table1[[#This Row],[BW_GA]])-1)/(Backend!$B$4/100*Table1[[#This Row],[BW40_3705]]),"")</f>
        <v/>
      </c>
      <c r="H784" s="7" t="str">
        <f>IF(Table1[[#This Row],[Is Data Valid]]=TRUE,((Table1[[#This Row],[Birthweight (grams)]]*0.9/Table1[[#This Row],[BW_GA]])-1)/(Backend!$B$4/100*Table1[[#This Row],[BW40_3705]]),"")</f>
        <v/>
      </c>
      <c r="I784" s="7" t="str">
        <f>IF(Table1[[#This Row],[Is Data Valid]]=TRUE,((Table1[[#This Row],[Birthweight (grams)]]*1.1/Table1[[#This Row],[BW_GA]])-1)/(Backend!$B$4/100*Table1[[#This Row],[BW40_3705]]),"")</f>
        <v/>
      </c>
      <c r="J784" s="7" t="str">
        <f>IF(Table1[[#This Row],[Is Data Valid]]=TRUE,_xlfn.NORM.S.DIST(Table1[[#This Row],[Birthweight Z-Score]],TRUE)*100,"")</f>
        <v/>
      </c>
      <c r="K784" s="7" t="str">
        <f>IF(Table1[[#This Row],[Is Data Valid]]=TRUE,_xlfn.NORM.S.DIST(Table1[[#This Row],[Birthweight Z-Score (BW-10%)]],TRUE)*100,"")</f>
        <v/>
      </c>
      <c r="L784" s="7" t="str">
        <f>IF(Table1[[#This Row],[Is Data Valid]]=TRUE,_xlfn.NORM.S.DIST(Table1[[#This Row],[Birthweight Z-Score (BW+10%)]],TRUE)*100,"")</f>
        <v/>
      </c>
    </row>
    <row r="785" spans="1:12" x14ac:dyDescent="0.35">
      <c r="A785" s="3"/>
      <c r="B785" s="2"/>
      <c r="C785" s="2"/>
      <c r="D785" s="2" t="b">
        <f>IF(AND(NOT(ISBLANK(Table1[[#This Row],[Fetal Sex (Male, Female or Unknown)]])),ISNUMBER(Table1[[#This Row],[Birthweight (grams)]]),ISNUMBER(Table1[[#This Row],[Gestation (days)]])),TRUE,FALSE)</f>
        <v>0</v>
      </c>
      <c r="E785" s="2" t="str">
        <f>IF(Table1[[#This Row],[Is Data Valid]]=TRUE,IF(Table1[[#This Row],[Fetal Sex (Male, Female or Unknown)]]="Male",Backend!$C$6,IF(Table1[[#This Row],[Fetal Sex (Male, Female or Unknown)]]="Female",Backend!$C$7,IF(Table1[[#This Row],[Fetal Sex (Male, Female or Unknown)]]="Unknown",Backend!$C$8,"Error"))),"")</f>
        <v/>
      </c>
      <c r="F785" s="8" t="str">
        <f>IF(Table1[[#This Row],[Is Data Valid]]=TRUE,EXP(0.578+0.332*((Table1[[#This Row],[Gestation (days)]]+0.5)/7)-0.00354*((Table1[[#This Row],[Gestation (days)]]+0.5)/7)^2)*Table1[[#This Row],[BW40_3705]],"")</f>
        <v/>
      </c>
      <c r="G785" s="2" t="str">
        <f>IF(Table1[[#This Row],[Is Data Valid]]=TRUE,((Table1[[#This Row],[Birthweight (grams)]]/Table1[[#This Row],[BW_GA]])-1)/(Backend!$B$4/100*Table1[[#This Row],[BW40_3705]]),"")</f>
        <v/>
      </c>
      <c r="H785" s="7" t="str">
        <f>IF(Table1[[#This Row],[Is Data Valid]]=TRUE,((Table1[[#This Row],[Birthweight (grams)]]*0.9/Table1[[#This Row],[BW_GA]])-1)/(Backend!$B$4/100*Table1[[#This Row],[BW40_3705]]),"")</f>
        <v/>
      </c>
      <c r="I785" s="7" t="str">
        <f>IF(Table1[[#This Row],[Is Data Valid]]=TRUE,((Table1[[#This Row],[Birthweight (grams)]]*1.1/Table1[[#This Row],[BW_GA]])-1)/(Backend!$B$4/100*Table1[[#This Row],[BW40_3705]]),"")</f>
        <v/>
      </c>
      <c r="J785" s="7" t="str">
        <f>IF(Table1[[#This Row],[Is Data Valid]]=TRUE,_xlfn.NORM.S.DIST(Table1[[#This Row],[Birthweight Z-Score]],TRUE)*100,"")</f>
        <v/>
      </c>
      <c r="K785" s="7" t="str">
        <f>IF(Table1[[#This Row],[Is Data Valid]]=TRUE,_xlfn.NORM.S.DIST(Table1[[#This Row],[Birthweight Z-Score (BW-10%)]],TRUE)*100,"")</f>
        <v/>
      </c>
      <c r="L785" s="7" t="str">
        <f>IF(Table1[[#This Row],[Is Data Valid]]=TRUE,_xlfn.NORM.S.DIST(Table1[[#This Row],[Birthweight Z-Score (BW+10%)]],TRUE)*100,"")</f>
        <v/>
      </c>
    </row>
    <row r="786" spans="1:12" x14ac:dyDescent="0.35">
      <c r="A786" s="3"/>
      <c r="B786" s="2"/>
      <c r="C786" s="2"/>
      <c r="D786" s="2" t="b">
        <f>IF(AND(NOT(ISBLANK(Table1[[#This Row],[Fetal Sex (Male, Female or Unknown)]])),ISNUMBER(Table1[[#This Row],[Birthweight (grams)]]),ISNUMBER(Table1[[#This Row],[Gestation (days)]])),TRUE,FALSE)</f>
        <v>0</v>
      </c>
      <c r="E786" s="2" t="str">
        <f>IF(Table1[[#This Row],[Is Data Valid]]=TRUE,IF(Table1[[#This Row],[Fetal Sex (Male, Female or Unknown)]]="Male",Backend!$C$6,IF(Table1[[#This Row],[Fetal Sex (Male, Female or Unknown)]]="Female",Backend!$C$7,IF(Table1[[#This Row],[Fetal Sex (Male, Female or Unknown)]]="Unknown",Backend!$C$8,"Error"))),"")</f>
        <v/>
      </c>
      <c r="F786" s="8" t="str">
        <f>IF(Table1[[#This Row],[Is Data Valid]]=TRUE,EXP(0.578+0.332*((Table1[[#This Row],[Gestation (days)]]+0.5)/7)-0.00354*((Table1[[#This Row],[Gestation (days)]]+0.5)/7)^2)*Table1[[#This Row],[BW40_3705]],"")</f>
        <v/>
      </c>
      <c r="G786" s="2" t="str">
        <f>IF(Table1[[#This Row],[Is Data Valid]]=TRUE,((Table1[[#This Row],[Birthweight (grams)]]/Table1[[#This Row],[BW_GA]])-1)/(Backend!$B$4/100*Table1[[#This Row],[BW40_3705]]),"")</f>
        <v/>
      </c>
      <c r="H786" s="7" t="str">
        <f>IF(Table1[[#This Row],[Is Data Valid]]=TRUE,((Table1[[#This Row],[Birthweight (grams)]]*0.9/Table1[[#This Row],[BW_GA]])-1)/(Backend!$B$4/100*Table1[[#This Row],[BW40_3705]]),"")</f>
        <v/>
      </c>
      <c r="I786" s="7" t="str">
        <f>IF(Table1[[#This Row],[Is Data Valid]]=TRUE,((Table1[[#This Row],[Birthweight (grams)]]*1.1/Table1[[#This Row],[BW_GA]])-1)/(Backend!$B$4/100*Table1[[#This Row],[BW40_3705]]),"")</f>
        <v/>
      </c>
      <c r="J786" s="7" t="str">
        <f>IF(Table1[[#This Row],[Is Data Valid]]=TRUE,_xlfn.NORM.S.DIST(Table1[[#This Row],[Birthweight Z-Score]],TRUE)*100,"")</f>
        <v/>
      </c>
      <c r="K786" s="7" t="str">
        <f>IF(Table1[[#This Row],[Is Data Valid]]=TRUE,_xlfn.NORM.S.DIST(Table1[[#This Row],[Birthweight Z-Score (BW-10%)]],TRUE)*100,"")</f>
        <v/>
      </c>
      <c r="L786" s="7" t="str">
        <f>IF(Table1[[#This Row],[Is Data Valid]]=TRUE,_xlfn.NORM.S.DIST(Table1[[#This Row],[Birthweight Z-Score (BW+10%)]],TRUE)*100,"")</f>
        <v/>
      </c>
    </row>
    <row r="787" spans="1:12" x14ac:dyDescent="0.35">
      <c r="A787" s="3"/>
      <c r="B787" s="2"/>
      <c r="C787" s="2"/>
      <c r="D787" s="2" t="b">
        <f>IF(AND(NOT(ISBLANK(Table1[[#This Row],[Fetal Sex (Male, Female or Unknown)]])),ISNUMBER(Table1[[#This Row],[Birthweight (grams)]]),ISNUMBER(Table1[[#This Row],[Gestation (days)]])),TRUE,FALSE)</f>
        <v>0</v>
      </c>
      <c r="E787" s="2" t="str">
        <f>IF(Table1[[#This Row],[Is Data Valid]]=TRUE,IF(Table1[[#This Row],[Fetal Sex (Male, Female or Unknown)]]="Male",Backend!$C$6,IF(Table1[[#This Row],[Fetal Sex (Male, Female or Unknown)]]="Female",Backend!$C$7,IF(Table1[[#This Row],[Fetal Sex (Male, Female or Unknown)]]="Unknown",Backend!$C$8,"Error"))),"")</f>
        <v/>
      </c>
      <c r="F787" s="8" t="str">
        <f>IF(Table1[[#This Row],[Is Data Valid]]=TRUE,EXP(0.578+0.332*((Table1[[#This Row],[Gestation (days)]]+0.5)/7)-0.00354*((Table1[[#This Row],[Gestation (days)]]+0.5)/7)^2)*Table1[[#This Row],[BW40_3705]],"")</f>
        <v/>
      </c>
      <c r="G787" s="2" t="str">
        <f>IF(Table1[[#This Row],[Is Data Valid]]=TRUE,((Table1[[#This Row],[Birthweight (grams)]]/Table1[[#This Row],[BW_GA]])-1)/(Backend!$B$4/100*Table1[[#This Row],[BW40_3705]]),"")</f>
        <v/>
      </c>
      <c r="H787" s="7" t="str">
        <f>IF(Table1[[#This Row],[Is Data Valid]]=TRUE,((Table1[[#This Row],[Birthweight (grams)]]*0.9/Table1[[#This Row],[BW_GA]])-1)/(Backend!$B$4/100*Table1[[#This Row],[BW40_3705]]),"")</f>
        <v/>
      </c>
      <c r="I787" s="7" t="str">
        <f>IF(Table1[[#This Row],[Is Data Valid]]=TRUE,((Table1[[#This Row],[Birthweight (grams)]]*1.1/Table1[[#This Row],[BW_GA]])-1)/(Backend!$B$4/100*Table1[[#This Row],[BW40_3705]]),"")</f>
        <v/>
      </c>
      <c r="J787" s="7" t="str">
        <f>IF(Table1[[#This Row],[Is Data Valid]]=TRUE,_xlfn.NORM.S.DIST(Table1[[#This Row],[Birthweight Z-Score]],TRUE)*100,"")</f>
        <v/>
      </c>
      <c r="K787" s="7" t="str">
        <f>IF(Table1[[#This Row],[Is Data Valid]]=TRUE,_xlfn.NORM.S.DIST(Table1[[#This Row],[Birthweight Z-Score (BW-10%)]],TRUE)*100,"")</f>
        <v/>
      </c>
      <c r="L787" s="7" t="str">
        <f>IF(Table1[[#This Row],[Is Data Valid]]=TRUE,_xlfn.NORM.S.DIST(Table1[[#This Row],[Birthweight Z-Score (BW+10%)]],TRUE)*100,"")</f>
        <v/>
      </c>
    </row>
    <row r="788" spans="1:12" x14ac:dyDescent="0.35">
      <c r="A788" s="3"/>
      <c r="B788" s="2"/>
      <c r="C788" s="2"/>
      <c r="D788" s="2" t="b">
        <f>IF(AND(NOT(ISBLANK(Table1[[#This Row],[Fetal Sex (Male, Female or Unknown)]])),ISNUMBER(Table1[[#This Row],[Birthweight (grams)]]),ISNUMBER(Table1[[#This Row],[Gestation (days)]])),TRUE,FALSE)</f>
        <v>0</v>
      </c>
      <c r="E788" s="2" t="str">
        <f>IF(Table1[[#This Row],[Is Data Valid]]=TRUE,IF(Table1[[#This Row],[Fetal Sex (Male, Female or Unknown)]]="Male",Backend!$C$6,IF(Table1[[#This Row],[Fetal Sex (Male, Female or Unknown)]]="Female",Backend!$C$7,IF(Table1[[#This Row],[Fetal Sex (Male, Female or Unknown)]]="Unknown",Backend!$C$8,"Error"))),"")</f>
        <v/>
      </c>
      <c r="F788" s="8" t="str">
        <f>IF(Table1[[#This Row],[Is Data Valid]]=TRUE,EXP(0.578+0.332*((Table1[[#This Row],[Gestation (days)]]+0.5)/7)-0.00354*((Table1[[#This Row],[Gestation (days)]]+0.5)/7)^2)*Table1[[#This Row],[BW40_3705]],"")</f>
        <v/>
      </c>
      <c r="G788" s="2" t="str">
        <f>IF(Table1[[#This Row],[Is Data Valid]]=TRUE,((Table1[[#This Row],[Birthweight (grams)]]/Table1[[#This Row],[BW_GA]])-1)/(Backend!$B$4/100*Table1[[#This Row],[BW40_3705]]),"")</f>
        <v/>
      </c>
      <c r="H788" s="7" t="str">
        <f>IF(Table1[[#This Row],[Is Data Valid]]=TRUE,((Table1[[#This Row],[Birthweight (grams)]]*0.9/Table1[[#This Row],[BW_GA]])-1)/(Backend!$B$4/100*Table1[[#This Row],[BW40_3705]]),"")</f>
        <v/>
      </c>
      <c r="I788" s="7" t="str">
        <f>IF(Table1[[#This Row],[Is Data Valid]]=TRUE,((Table1[[#This Row],[Birthweight (grams)]]*1.1/Table1[[#This Row],[BW_GA]])-1)/(Backend!$B$4/100*Table1[[#This Row],[BW40_3705]]),"")</f>
        <v/>
      </c>
      <c r="J788" s="7" t="str">
        <f>IF(Table1[[#This Row],[Is Data Valid]]=TRUE,_xlfn.NORM.S.DIST(Table1[[#This Row],[Birthweight Z-Score]],TRUE)*100,"")</f>
        <v/>
      </c>
      <c r="K788" s="7" t="str">
        <f>IF(Table1[[#This Row],[Is Data Valid]]=TRUE,_xlfn.NORM.S.DIST(Table1[[#This Row],[Birthweight Z-Score (BW-10%)]],TRUE)*100,"")</f>
        <v/>
      </c>
      <c r="L788" s="7" t="str">
        <f>IF(Table1[[#This Row],[Is Data Valid]]=TRUE,_xlfn.NORM.S.DIST(Table1[[#This Row],[Birthweight Z-Score (BW+10%)]],TRUE)*100,"")</f>
        <v/>
      </c>
    </row>
    <row r="789" spans="1:12" x14ac:dyDescent="0.35">
      <c r="A789" s="3"/>
      <c r="B789" s="2"/>
      <c r="C789" s="2"/>
      <c r="D789" s="2" t="b">
        <f>IF(AND(NOT(ISBLANK(Table1[[#This Row],[Fetal Sex (Male, Female or Unknown)]])),ISNUMBER(Table1[[#This Row],[Birthweight (grams)]]),ISNUMBER(Table1[[#This Row],[Gestation (days)]])),TRUE,FALSE)</f>
        <v>0</v>
      </c>
      <c r="E789" s="2" t="str">
        <f>IF(Table1[[#This Row],[Is Data Valid]]=TRUE,IF(Table1[[#This Row],[Fetal Sex (Male, Female or Unknown)]]="Male",Backend!$C$6,IF(Table1[[#This Row],[Fetal Sex (Male, Female or Unknown)]]="Female",Backend!$C$7,IF(Table1[[#This Row],[Fetal Sex (Male, Female or Unknown)]]="Unknown",Backend!$C$8,"Error"))),"")</f>
        <v/>
      </c>
      <c r="F789" s="8" t="str">
        <f>IF(Table1[[#This Row],[Is Data Valid]]=TRUE,EXP(0.578+0.332*((Table1[[#This Row],[Gestation (days)]]+0.5)/7)-0.00354*((Table1[[#This Row],[Gestation (days)]]+0.5)/7)^2)*Table1[[#This Row],[BW40_3705]],"")</f>
        <v/>
      </c>
      <c r="G789" s="2" t="str">
        <f>IF(Table1[[#This Row],[Is Data Valid]]=TRUE,((Table1[[#This Row],[Birthweight (grams)]]/Table1[[#This Row],[BW_GA]])-1)/(Backend!$B$4/100*Table1[[#This Row],[BW40_3705]]),"")</f>
        <v/>
      </c>
      <c r="H789" s="7" t="str">
        <f>IF(Table1[[#This Row],[Is Data Valid]]=TRUE,((Table1[[#This Row],[Birthweight (grams)]]*0.9/Table1[[#This Row],[BW_GA]])-1)/(Backend!$B$4/100*Table1[[#This Row],[BW40_3705]]),"")</f>
        <v/>
      </c>
      <c r="I789" s="7" t="str">
        <f>IF(Table1[[#This Row],[Is Data Valid]]=TRUE,((Table1[[#This Row],[Birthweight (grams)]]*1.1/Table1[[#This Row],[BW_GA]])-1)/(Backend!$B$4/100*Table1[[#This Row],[BW40_3705]]),"")</f>
        <v/>
      </c>
      <c r="J789" s="7" t="str">
        <f>IF(Table1[[#This Row],[Is Data Valid]]=TRUE,_xlfn.NORM.S.DIST(Table1[[#This Row],[Birthweight Z-Score]],TRUE)*100,"")</f>
        <v/>
      </c>
      <c r="K789" s="7" t="str">
        <f>IF(Table1[[#This Row],[Is Data Valid]]=TRUE,_xlfn.NORM.S.DIST(Table1[[#This Row],[Birthweight Z-Score (BW-10%)]],TRUE)*100,"")</f>
        <v/>
      </c>
      <c r="L789" s="7" t="str">
        <f>IF(Table1[[#This Row],[Is Data Valid]]=TRUE,_xlfn.NORM.S.DIST(Table1[[#This Row],[Birthweight Z-Score (BW+10%)]],TRUE)*100,"")</f>
        <v/>
      </c>
    </row>
    <row r="790" spans="1:12" x14ac:dyDescent="0.35">
      <c r="A790" s="3"/>
      <c r="B790" s="2"/>
      <c r="C790" s="2"/>
      <c r="D790" s="2" t="b">
        <f>IF(AND(NOT(ISBLANK(Table1[[#This Row],[Fetal Sex (Male, Female or Unknown)]])),ISNUMBER(Table1[[#This Row],[Birthweight (grams)]]),ISNUMBER(Table1[[#This Row],[Gestation (days)]])),TRUE,FALSE)</f>
        <v>0</v>
      </c>
      <c r="E790" s="2" t="str">
        <f>IF(Table1[[#This Row],[Is Data Valid]]=TRUE,IF(Table1[[#This Row],[Fetal Sex (Male, Female or Unknown)]]="Male",Backend!$C$6,IF(Table1[[#This Row],[Fetal Sex (Male, Female or Unknown)]]="Female",Backend!$C$7,IF(Table1[[#This Row],[Fetal Sex (Male, Female or Unknown)]]="Unknown",Backend!$C$8,"Error"))),"")</f>
        <v/>
      </c>
      <c r="F790" s="8" t="str">
        <f>IF(Table1[[#This Row],[Is Data Valid]]=TRUE,EXP(0.578+0.332*((Table1[[#This Row],[Gestation (days)]]+0.5)/7)-0.00354*((Table1[[#This Row],[Gestation (days)]]+0.5)/7)^2)*Table1[[#This Row],[BW40_3705]],"")</f>
        <v/>
      </c>
      <c r="G790" s="2" t="str">
        <f>IF(Table1[[#This Row],[Is Data Valid]]=TRUE,((Table1[[#This Row],[Birthweight (grams)]]/Table1[[#This Row],[BW_GA]])-1)/(Backend!$B$4/100*Table1[[#This Row],[BW40_3705]]),"")</f>
        <v/>
      </c>
      <c r="H790" s="7" t="str">
        <f>IF(Table1[[#This Row],[Is Data Valid]]=TRUE,((Table1[[#This Row],[Birthweight (grams)]]*0.9/Table1[[#This Row],[BW_GA]])-1)/(Backend!$B$4/100*Table1[[#This Row],[BW40_3705]]),"")</f>
        <v/>
      </c>
      <c r="I790" s="7" t="str">
        <f>IF(Table1[[#This Row],[Is Data Valid]]=TRUE,((Table1[[#This Row],[Birthweight (grams)]]*1.1/Table1[[#This Row],[BW_GA]])-1)/(Backend!$B$4/100*Table1[[#This Row],[BW40_3705]]),"")</f>
        <v/>
      </c>
      <c r="J790" s="7" t="str">
        <f>IF(Table1[[#This Row],[Is Data Valid]]=TRUE,_xlfn.NORM.S.DIST(Table1[[#This Row],[Birthweight Z-Score]],TRUE)*100,"")</f>
        <v/>
      </c>
      <c r="K790" s="7" t="str">
        <f>IF(Table1[[#This Row],[Is Data Valid]]=TRUE,_xlfn.NORM.S.DIST(Table1[[#This Row],[Birthweight Z-Score (BW-10%)]],TRUE)*100,"")</f>
        <v/>
      </c>
      <c r="L790" s="7" t="str">
        <f>IF(Table1[[#This Row],[Is Data Valid]]=TRUE,_xlfn.NORM.S.DIST(Table1[[#This Row],[Birthweight Z-Score (BW+10%)]],TRUE)*100,"")</f>
        <v/>
      </c>
    </row>
    <row r="791" spans="1:12" x14ac:dyDescent="0.35">
      <c r="A791" s="3"/>
      <c r="B791" s="2"/>
      <c r="C791" s="2"/>
      <c r="D791" s="2" t="b">
        <f>IF(AND(NOT(ISBLANK(Table1[[#This Row],[Fetal Sex (Male, Female or Unknown)]])),ISNUMBER(Table1[[#This Row],[Birthweight (grams)]]),ISNUMBER(Table1[[#This Row],[Gestation (days)]])),TRUE,FALSE)</f>
        <v>0</v>
      </c>
      <c r="E791" s="2" t="str">
        <f>IF(Table1[[#This Row],[Is Data Valid]]=TRUE,IF(Table1[[#This Row],[Fetal Sex (Male, Female or Unknown)]]="Male",Backend!$C$6,IF(Table1[[#This Row],[Fetal Sex (Male, Female or Unknown)]]="Female",Backend!$C$7,IF(Table1[[#This Row],[Fetal Sex (Male, Female or Unknown)]]="Unknown",Backend!$C$8,"Error"))),"")</f>
        <v/>
      </c>
      <c r="F791" s="8" t="str">
        <f>IF(Table1[[#This Row],[Is Data Valid]]=TRUE,EXP(0.578+0.332*((Table1[[#This Row],[Gestation (days)]]+0.5)/7)-0.00354*((Table1[[#This Row],[Gestation (days)]]+0.5)/7)^2)*Table1[[#This Row],[BW40_3705]],"")</f>
        <v/>
      </c>
      <c r="G791" s="2" t="str">
        <f>IF(Table1[[#This Row],[Is Data Valid]]=TRUE,((Table1[[#This Row],[Birthweight (grams)]]/Table1[[#This Row],[BW_GA]])-1)/(Backend!$B$4/100*Table1[[#This Row],[BW40_3705]]),"")</f>
        <v/>
      </c>
      <c r="H791" s="7" t="str">
        <f>IF(Table1[[#This Row],[Is Data Valid]]=TRUE,((Table1[[#This Row],[Birthweight (grams)]]*0.9/Table1[[#This Row],[BW_GA]])-1)/(Backend!$B$4/100*Table1[[#This Row],[BW40_3705]]),"")</f>
        <v/>
      </c>
      <c r="I791" s="7" t="str">
        <f>IF(Table1[[#This Row],[Is Data Valid]]=TRUE,((Table1[[#This Row],[Birthweight (grams)]]*1.1/Table1[[#This Row],[BW_GA]])-1)/(Backend!$B$4/100*Table1[[#This Row],[BW40_3705]]),"")</f>
        <v/>
      </c>
      <c r="J791" s="7" t="str">
        <f>IF(Table1[[#This Row],[Is Data Valid]]=TRUE,_xlfn.NORM.S.DIST(Table1[[#This Row],[Birthweight Z-Score]],TRUE)*100,"")</f>
        <v/>
      </c>
      <c r="K791" s="7" t="str">
        <f>IF(Table1[[#This Row],[Is Data Valid]]=TRUE,_xlfn.NORM.S.DIST(Table1[[#This Row],[Birthweight Z-Score (BW-10%)]],TRUE)*100,"")</f>
        <v/>
      </c>
      <c r="L791" s="7" t="str">
        <f>IF(Table1[[#This Row],[Is Data Valid]]=TRUE,_xlfn.NORM.S.DIST(Table1[[#This Row],[Birthweight Z-Score (BW+10%)]],TRUE)*100,"")</f>
        <v/>
      </c>
    </row>
    <row r="792" spans="1:12" x14ac:dyDescent="0.35">
      <c r="A792" s="3"/>
      <c r="B792" s="2"/>
      <c r="C792" s="2"/>
      <c r="D792" s="2" t="b">
        <f>IF(AND(NOT(ISBLANK(Table1[[#This Row],[Fetal Sex (Male, Female or Unknown)]])),ISNUMBER(Table1[[#This Row],[Birthweight (grams)]]),ISNUMBER(Table1[[#This Row],[Gestation (days)]])),TRUE,FALSE)</f>
        <v>0</v>
      </c>
      <c r="E792" s="2" t="str">
        <f>IF(Table1[[#This Row],[Is Data Valid]]=TRUE,IF(Table1[[#This Row],[Fetal Sex (Male, Female or Unknown)]]="Male",Backend!$C$6,IF(Table1[[#This Row],[Fetal Sex (Male, Female or Unknown)]]="Female",Backend!$C$7,IF(Table1[[#This Row],[Fetal Sex (Male, Female or Unknown)]]="Unknown",Backend!$C$8,"Error"))),"")</f>
        <v/>
      </c>
      <c r="F792" s="8" t="str">
        <f>IF(Table1[[#This Row],[Is Data Valid]]=TRUE,EXP(0.578+0.332*((Table1[[#This Row],[Gestation (days)]]+0.5)/7)-0.00354*((Table1[[#This Row],[Gestation (days)]]+0.5)/7)^2)*Table1[[#This Row],[BW40_3705]],"")</f>
        <v/>
      </c>
      <c r="G792" s="2" t="str">
        <f>IF(Table1[[#This Row],[Is Data Valid]]=TRUE,((Table1[[#This Row],[Birthweight (grams)]]/Table1[[#This Row],[BW_GA]])-1)/(Backend!$B$4/100*Table1[[#This Row],[BW40_3705]]),"")</f>
        <v/>
      </c>
      <c r="H792" s="7" t="str">
        <f>IF(Table1[[#This Row],[Is Data Valid]]=TRUE,((Table1[[#This Row],[Birthweight (grams)]]*0.9/Table1[[#This Row],[BW_GA]])-1)/(Backend!$B$4/100*Table1[[#This Row],[BW40_3705]]),"")</f>
        <v/>
      </c>
      <c r="I792" s="7" t="str">
        <f>IF(Table1[[#This Row],[Is Data Valid]]=TRUE,((Table1[[#This Row],[Birthweight (grams)]]*1.1/Table1[[#This Row],[BW_GA]])-1)/(Backend!$B$4/100*Table1[[#This Row],[BW40_3705]]),"")</f>
        <v/>
      </c>
      <c r="J792" s="7" t="str">
        <f>IF(Table1[[#This Row],[Is Data Valid]]=TRUE,_xlfn.NORM.S.DIST(Table1[[#This Row],[Birthweight Z-Score]],TRUE)*100,"")</f>
        <v/>
      </c>
      <c r="K792" s="7" t="str">
        <f>IF(Table1[[#This Row],[Is Data Valid]]=TRUE,_xlfn.NORM.S.DIST(Table1[[#This Row],[Birthweight Z-Score (BW-10%)]],TRUE)*100,"")</f>
        <v/>
      </c>
      <c r="L792" s="7" t="str">
        <f>IF(Table1[[#This Row],[Is Data Valid]]=TRUE,_xlfn.NORM.S.DIST(Table1[[#This Row],[Birthweight Z-Score (BW+10%)]],TRUE)*100,"")</f>
        <v/>
      </c>
    </row>
    <row r="793" spans="1:12" x14ac:dyDescent="0.35">
      <c r="A793" s="3"/>
      <c r="B793" s="2"/>
      <c r="C793" s="2"/>
      <c r="D793" s="2" t="b">
        <f>IF(AND(NOT(ISBLANK(Table1[[#This Row],[Fetal Sex (Male, Female or Unknown)]])),ISNUMBER(Table1[[#This Row],[Birthweight (grams)]]),ISNUMBER(Table1[[#This Row],[Gestation (days)]])),TRUE,FALSE)</f>
        <v>0</v>
      </c>
      <c r="E793" s="2" t="str">
        <f>IF(Table1[[#This Row],[Is Data Valid]]=TRUE,IF(Table1[[#This Row],[Fetal Sex (Male, Female or Unknown)]]="Male",Backend!$C$6,IF(Table1[[#This Row],[Fetal Sex (Male, Female or Unknown)]]="Female",Backend!$C$7,IF(Table1[[#This Row],[Fetal Sex (Male, Female or Unknown)]]="Unknown",Backend!$C$8,"Error"))),"")</f>
        <v/>
      </c>
      <c r="F793" s="8" t="str">
        <f>IF(Table1[[#This Row],[Is Data Valid]]=TRUE,EXP(0.578+0.332*((Table1[[#This Row],[Gestation (days)]]+0.5)/7)-0.00354*((Table1[[#This Row],[Gestation (days)]]+0.5)/7)^2)*Table1[[#This Row],[BW40_3705]],"")</f>
        <v/>
      </c>
      <c r="G793" s="2" t="str">
        <f>IF(Table1[[#This Row],[Is Data Valid]]=TRUE,((Table1[[#This Row],[Birthweight (grams)]]/Table1[[#This Row],[BW_GA]])-1)/(Backend!$B$4/100*Table1[[#This Row],[BW40_3705]]),"")</f>
        <v/>
      </c>
      <c r="H793" s="7" t="str">
        <f>IF(Table1[[#This Row],[Is Data Valid]]=TRUE,((Table1[[#This Row],[Birthweight (grams)]]*0.9/Table1[[#This Row],[BW_GA]])-1)/(Backend!$B$4/100*Table1[[#This Row],[BW40_3705]]),"")</f>
        <v/>
      </c>
      <c r="I793" s="7" t="str">
        <f>IF(Table1[[#This Row],[Is Data Valid]]=TRUE,((Table1[[#This Row],[Birthweight (grams)]]*1.1/Table1[[#This Row],[BW_GA]])-1)/(Backend!$B$4/100*Table1[[#This Row],[BW40_3705]]),"")</f>
        <v/>
      </c>
      <c r="J793" s="7" t="str">
        <f>IF(Table1[[#This Row],[Is Data Valid]]=TRUE,_xlfn.NORM.S.DIST(Table1[[#This Row],[Birthweight Z-Score]],TRUE)*100,"")</f>
        <v/>
      </c>
      <c r="K793" s="7" t="str">
        <f>IF(Table1[[#This Row],[Is Data Valid]]=TRUE,_xlfn.NORM.S.DIST(Table1[[#This Row],[Birthweight Z-Score (BW-10%)]],TRUE)*100,"")</f>
        <v/>
      </c>
      <c r="L793" s="7" t="str">
        <f>IF(Table1[[#This Row],[Is Data Valid]]=TRUE,_xlfn.NORM.S.DIST(Table1[[#This Row],[Birthweight Z-Score (BW+10%)]],TRUE)*100,"")</f>
        <v/>
      </c>
    </row>
    <row r="794" spans="1:12" x14ac:dyDescent="0.35">
      <c r="A794" s="3"/>
      <c r="B794" s="2"/>
      <c r="C794" s="2"/>
      <c r="D794" s="2" t="b">
        <f>IF(AND(NOT(ISBLANK(Table1[[#This Row],[Fetal Sex (Male, Female or Unknown)]])),ISNUMBER(Table1[[#This Row],[Birthweight (grams)]]),ISNUMBER(Table1[[#This Row],[Gestation (days)]])),TRUE,FALSE)</f>
        <v>0</v>
      </c>
      <c r="E794" s="2" t="str">
        <f>IF(Table1[[#This Row],[Is Data Valid]]=TRUE,IF(Table1[[#This Row],[Fetal Sex (Male, Female or Unknown)]]="Male",Backend!$C$6,IF(Table1[[#This Row],[Fetal Sex (Male, Female or Unknown)]]="Female",Backend!$C$7,IF(Table1[[#This Row],[Fetal Sex (Male, Female or Unknown)]]="Unknown",Backend!$C$8,"Error"))),"")</f>
        <v/>
      </c>
      <c r="F794" s="8" t="str">
        <f>IF(Table1[[#This Row],[Is Data Valid]]=TRUE,EXP(0.578+0.332*((Table1[[#This Row],[Gestation (days)]]+0.5)/7)-0.00354*((Table1[[#This Row],[Gestation (days)]]+0.5)/7)^2)*Table1[[#This Row],[BW40_3705]],"")</f>
        <v/>
      </c>
      <c r="G794" s="2" t="str">
        <f>IF(Table1[[#This Row],[Is Data Valid]]=TRUE,((Table1[[#This Row],[Birthweight (grams)]]/Table1[[#This Row],[BW_GA]])-1)/(Backend!$B$4/100*Table1[[#This Row],[BW40_3705]]),"")</f>
        <v/>
      </c>
      <c r="H794" s="7" t="str">
        <f>IF(Table1[[#This Row],[Is Data Valid]]=TRUE,((Table1[[#This Row],[Birthweight (grams)]]*0.9/Table1[[#This Row],[BW_GA]])-1)/(Backend!$B$4/100*Table1[[#This Row],[BW40_3705]]),"")</f>
        <v/>
      </c>
      <c r="I794" s="7" t="str">
        <f>IF(Table1[[#This Row],[Is Data Valid]]=TRUE,((Table1[[#This Row],[Birthweight (grams)]]*1.1/Table1[[#This Row],[BW_GA]])-1)/(Backend!$B$4/100*Table1[[#This Row],[BW40_3705]]),"")</f>
        <v/>
      </c>
      <c r="J794" s="7" t="str">
        <f>IF(Table1[[#This Row],[Is Data Valid]]=TRUE,_xlfn.NORM.S.DIST(Table1[[#This Row],[Birthweight Z-Score]],TRUE)*100,"")</f>
        <v/>
      </c>
      <c r="K794" s="7" t="str">
        <f>IF(Table1[[#This Row],[Is Data Valid]]=TRUE,_xlfn.NORM.S.DIST(Table1[[#This Row],[Birthweight Z-Score (BW-10%)]],TRUE)*100,"")</f>
        <v/>
      </c>
      <c r="L794" s="7" t="str">
        <f>IF(Table1[[#This Row],[Is Data Valid]]=TRUE,_xlfn.NORM.S.DIST(Table1[[#This Row],[Birthweight Z-Score (BW+10%)]],TRUE)*100,"")</f>
        <v/>
      </c>
    </row>
    <row r="795" spans="1:12" x14ac:dyDescent="0.35">
      <c r="A795" s="3"/>
      <c r="B795" s="2"/>
      <c r="C795" s="2"/>
      <c r="D795" s="2" t="b">
        <f>IF(AND(NOT(ISBLANK(Table1[[#This Row],[Fetal Sex (Male, Female or Unknown)]])),ISNUMBER(Table1[[#This Row],[Birthweight (grams)]]),ISNUMBER(Table1[[#This Row],[Gestation (days)]])),TRUE,FALSE)</f>
        <v>0</v>
      </c>
      <c r="E795" s="2" t="str">
        <f>IF(Table1[[#This Row],[Is Data Valid]]=TRUE,IF(Table1[[#This Row],[Fetal Sex (Male, Female or Unknown)]]="Male",Backend!$C$6,IF(Table1[[#This Row],[Fetal Sex (Male, Female or Unknown)]]="Female",Backend!$C$7,IF(Table1[[#This Row],[Fetal Sex (Male, Female or Unknown)]]="Unknown",Backend!$C$8,"Error"))),"")</f>
        <v/>
      </c>
      <c r="F795" s="8" t="str">
        <f>IF(Table1[[#This Row],[Is Data Valid]]=TRUE,EXP(0.578+0.332*((Table1[[#This Row],[Gestation (days)]]+0.5)/7)-0.00354*((Table1[[#This Row],[Gestation (days)]]+0.5)/7)^2)*Table1[[#This Row],[BW40_3705]],"")</f>
        <v/>
      </c>
      <c r="G795" s="2" t="str">
        <f>IF(Table1[[#This Row],[Is Data Valid]]=TRUE,((Table1[[#This Row],[Birthweight (grams)]]/Table1[[#This Row],[BW_GA]])-1)/(Backend!$B$4/100*Table1[[#This Row],[BW40_3705]]),"")</f>
        <v/>
      </c>
      <c r="H795" s="7" t="str">
        <f>IF(Table1[[#This Row],[Is Data Valid]]=TRUE,((Table1[[#This Row],[Birthweight (grams)]]*0.9/Table1[[#This Row],[BW_GA]])-1)/(Backend!$B$4/100*Table1[[#This Row],[BW40_3705]]),"")</f>
        <v/>
      </c>
      <c r="I795" s="7" t="str">
        <f>IF(Table1[[#This Row],[Is Data Valid]]=TRUE,((Table1[[#This Row],[Birthweight (grams)]]*1.1/Table1[[#This Row],[BW_GA]])-1)/(Backend!$B$4/100*Table1[[#This Row],[BW40_3705]]),"")</f>
        <v/>
      </c>
      <c r="J795" s="7" t="str">
        <f>IF(Table1[[#This Row],[Is Data Valid]]=TRUE,_xlfn.NORM.S.DIST(Table1[[#This Row],[Birthweight Z-Score]],TRUE)*100,"")</f>
        <v/>
      </c>
      <c r="K795" s="7" t="str">
        <f>IF(Table1[[#This Row],[Is Data Valid]]=TRUE,_xlfn.NORM.S.DIST(Table1[[#This Row],[Birthweight Z-Score (BW-10%)]],TRUE)*100,"")</f>
        <v/>
      </c>
      <c r="L795" s="7" t="str">
        <f>IF(Table1[[#This Row],[Is Data Valid]]=TRUE,_xlfn.NORM.S.DIST(Table1[[#This Row],[Birthweight Z-Score (BW+10%)]],TRUE)*100,"")</f>
        <v/>
      </c>
    </row>
    <row r="796" spans="1:12" x14ac:dyDescent="0.35">
      <c r="A796" s="3"/>
      <c r="B796" s="2"/>
      <c r="C796" s="2"/>
      <c r="D796" s="2" t="b">
        <f>IF(AND(NOT(ISBLANK(Table1[[#This Row],[Fetal Sex (Male, Female or Unknown)]])),ISNUMBER(Table1[[#This Row],[Birthweight (grams)]]),ISNUMBER(Table1[[#This Row],[Gestation (days)]])),TRUE,FALSE)</f>
        <v>0</v>
      </c>
      <c r="E796" s="2" t="str">
        <f>IF(Table1[[#This Row],[Is Data Valid]]=TRUE,IF(Table1[[#This Row],[Fetal Sex (Male, Female or Unknown)]]="Male",Backend!$C$6,IF(Table1[[#This Row],[Fetal Sex (Male, Female or Unknown)]]="Female",Backend!$C$7,IF(Table1[[#This Row],[Fetal Sex (Male, Female or Unknown)]]="Unknown",Backend!$C$8,"Error"))),"")</f>
        <v/>
      </c>
      <c r="F796" s="8" t="str">
        <f>IF(Table1[[#This Row],[Is Data Valid]]=TRUE,EXP(0.578+0.332*((Table1[[#This Row],[Gestation (days)]]+0.5)/7)-0.00354*((Table1[[#This Row],[Gestation (days)]]+0.5)/7)^2)*Table1[[#This Row],[BW40_3705]],"")</f>
        <v/>
      </c>
      <c r="G796" s="2" t="str">
        <f>IF(Table1[[#This Row],[Is Data Valid]]=TRUE,((Table1[[#This Row],[Birthweight (grams)]]/Table1[[#This Row],[BW_GA]])-1)/(Backend!$B$4/100*Table1[[#This Row],[BW40_3705]]),"")</f>
        <v/>
      </c>
      <c r="H796" s="7" t="str">
        <f>IF(Table1[[#This Row],[Is Data Valid]]=TRUE,((Table1[[#This Row],[Birthweight (grams)]]*0.9/Table1[[#This Row],[BW_GA]])-1)/(Backend!$B$4/100*Table1[[#This Row],[BW40_3705]]),"")</f>
        <v/>
      </c>
      <c r="I796" s="7" t="str">
        <f>IF(Table1[[#This Row],[Is Data Valid]]=TRUE,((Table1[[#This Row],[Birthweight (grams)]]*1.1/Table1[[#This Row],[BW_GA]])-1)/(Backend!$B$4/100*Table1[[#This Row],[BW40_3705]]),"")</f>
        <v/>
      </c>
      <c r="J796" s="7" t="str">
        <f>IF(Table1[[#This Row],[Is Data Valid]]=TRUE,_xlfn.NORM.S.DIST(Table1[[#This Row],[Birthweight Z-Score]],TRUE)*100,"")</f>
        <v/>
      </c>
      <c r="K796" s="7" t="str">
        <f>IF(Table1[[#This Row],[Is Data Valid]]=TRUE,_xlfn.NORM.S.DIST(Table1[[#This Row],[Birthweight Z-Score (BW-10%)]],TRUE)*100,"")</f>
        <v/>
      </c>
      <c r="L796" s="7" t="str">
        <f>IF(Table1[[#This Row],[Is Data Valid]]=TRUE,_xlfn.NORM.S.DIST(Table1[[#This Row],[Birthweight Z-Score (BW+10%)]],TRUE)*100,"")</f>
        <v/>
      </c>
    </row>
    <row r="797" spans="1:12" x14ac:dyDescent="0.35">
      <c r="A797" s="3"/>
      <c r="B797" s="2"/>
      <c r="C797" s="2"/>
      <c r="D797" s="2" t="b">
        <f>IF(AND(NOT(ISBLANK(Table1[[#This Row],[Fetal Sex (Male, Female or Unknown)]])),ISNUMBER(Table1[[#This Row],[Birthweight (grams)]]),ISNUMBER(Table1[[#This Row],[Gestation (days)]])),TRUE,FALSE)</f>
        <v>0</v>
      </c>
      <c r="E797" s="2" t="str">
        <f>IF(Table1[[#This Row],[Is Data Valid]]=TRUE,IF(Table1[[#This Row],[Fetal Sex (Male, Female or Unknown)]]="Male",Backend!$C$6,IF(Table1[[#This Row],[Fetal Sex (Male, Female or Unknown)]]="Female",Backend!$C$7,IF(Table1[[#This Row],[Fetal Sex (Male, Female or Unknown)]]="Unknown",Backend!$C$8,"Error"))),"")</f>
        <v/>
      </c>
      <c r="F797" s="8" t="str">
        <f>IF(Table1[[#This Row],[Is Data Valid]]=TRUE,EXP(0.578+0.332*((Table1[[#This Row],[Gestation (days)]]+0.5)/7)-0.00354*((Table1[[#This Row],[Gestation (days)]]+0.5)/7)^2)*Table1[[#This Row],[BW40_3705]],"")</f>
        <v/>
      </c>
      <c r="G797" s="2" t="str">
        <f>IF(Table1[[#This Row],[Is Data Valid]]=TRUE,((Table1[[#This Row],[Birthweight (grams)]]/Table1[[#This Row],[BW_GA]])-1)/(Backend!$B$4/100*Table1[[#This Row],[BW40_3705]]),"")</f>
        <v/>
      </c>
      <c r="H797" s="7" t="str">
        <f>IF(Table1[[#This Row],[Is Data Valid]]=TRUE,((Table1[[#This Row],[Birthweight (grams)]]*0.9/Table1[[#This Row],[BW_GA]])-1)/(Backend!$B$4/100*Table1[[#This Row],[BW40_3705]]),"")</f>
        <v/>
      </c>
      <c r="I797" s="7" t="str">
        <f>IF(Table1[[#This Row],[Is Data Valid]]=TRUE,((Table1[[#This Row],[Birthweight (grams)]]*1.1/Table1[[#This Row],[BW_GA]])-1)/(Backend!$B$4/100*Table1[[#This Row],[BW40_3705]]),"")</f>
        <v/>
      </c>
      <c r="J797" s="7" t="str">
        <f>IF(Table1[[#This Row],[Is Data Valid]]=TRUE,_xlfn.NORM.S.DIST(Table1[[#This Row],[Birthweight Z-Score]],TRUE)*100,"")</f>
        <v/>
      </c>
      <c r="K797" s="7" t="str">
        <f>IF(Table1[[#This Row],[Is Data Valid]]=TRUE,_xlfn.NORM.S.DIST(Table1[[#This Row],[Birthweight Z-Score (BW-10%)]],TRUE)*100,"")</f>
        <v/>
      </c>
      <c r="L797" s="7" t="str">
        <f>IF(Table1[[#This Row],[Is Data Valid]]=TRUE,_xlfn.NORM.S.DIST(Table1[[#This Row],[Birthweight Z-Score (BW+10%)]],TRUE)*100,"")</f>
        <v/>
      </c>
    </row>
    <row r="798" spans="1:12" x14ac:dyDescent="0.35">
      <c r="A798" s="3"/>
      <c r="B798" s="2"/>
      <c r="C798" s="2"/>
      <c r="D798" s="2" t="b">
        <f>IF(AND(NOT(ISBLANK(Table1[[#This Row],[Fetal Sex (Male, Female or Unknown)]])),ISNUMBER(Table1[[#This Row],[Birthweight (grams)]]),ISNUMBER(Table1[[#This Row],[Gestation (days)]])),TRUE,FALSE)</f>
        <v>0</v>
      </c>
      <c r="E798" s="2" t="str">
        <f>IF(Table1[[#This Row],[Is Data Valid]]=TRUE,IF(Table1[[#This Row],[Fetal Sex (Male, Female or Unknown)]]="Male",Backend!$C$6,IF(Table1[[#This Row],[Fetal Sex (Male, Female or Unknown)]]="Female",Backend!$C$7,IF(Table1[[#This Row],[Fetal Sex (Male, Female or Unknown)]]="Unknown",Backend!$C$8,"Error"))),"")</f>
        <v/>
      </c>
      <c r="F798" s="8" t="str">
        <f>IF(Table1[[#This Row],[Is Data Valid]]=TRUE,EXP(0.578+0.332*((Table1[[#This Row],[Gestation (days)]]+0.5)/7)-0.00354*((Table1[[#This Row],[Gestation (days)]]+0.5)/7)^2)*Table1[[#This Row],[BW40_3705]],"")</f>
        <v/>
      </c>
      <c r="G798" s="2" t="str">
        <f>IF(Table1[[#This Row],[Is Data Valid]]=TRUE,((Table1[[#This Row],[Birthweight (grams)]]/Table1[[#This Row],[BW_GA]])-1)/(Backend!$B$4/100*Table1[[#This Row],[BW40_3705]]),"")</f>
        <v/>
      </c>
      <c r="H798" s="7" t="str">
        <f>IF(Table1[[#This Row],[Is Data Valid]]=TRUE,((Table1[[#This Row],[Birthweight (grams)]]*0.9/Table1[[#This Row],[BW_GA]])-1)/(Backend!$B$4/100*Table1[[#This Row],[BW40_3705]]),"")</f>
        <v/>
      </c>
      <c r="I798" s="7" t="str">
        <f>IF(Table1[[#This Row],[Is Data Valid]]=TRUE,((Table1[[#This Row],[Birthweight (grams)]]*1.1/Table1[[#This Row],[BW_GA]])-1)/(Backend!$B$4/100*Table1[[#This Row],[BW40_3705]]),"")</f>
        <v/>
      </c>
      <c r="J798" s="7" t="str">
        <f>IF(Table1[[#This Row],[Is Data Valid]]=TRUE,_xlfn.NORM.S.DIST(Table1[[#This Row],[Birthweight Z-Score]],TRUE)*100,"")</f>
        <v/>
      </c>
      <c r="K798" s="7" t="str">
        <f>IF(Table1[[#This Row],[Is Data Valid]]=TRUE,_xlfn.NORM.S.DIST(Table1[[#This Row],[Birthweight Z-Score (BW-10%)]],TRUE)*100,"")</f>
        <v/>
      </c>
      <c r="L798" s="7" t="str">
        <f>IF(Table1[[#This Row],[Is Data Valid]]=TRUE,_xlfn.NORM.S.DIST(Table1[[#This Row],[Birthweight Z-Score (BW+10%)]],TRUE)*100,"")</f>
        <v/>
      </c>
    </row>
    <row r="799" spans="1:12" x14ac:dyDescent="0.35">
      <c r="A799" s="3"/>
      <c r="B799" s="2"/>
      <c r="C799" s="2"/>
      <c r="D799" s="2" t="b">
        <f>IF(AND(NOT(ISBLANK(Table1[[#This Row],[Fetal Sex (Male, Female or Unknown)]])),ISNUMBER(Table1[[#This Row],[Birthweight (grams)]]),ISNUMBER(Table1[[#This Row],[Gestation (days)]])),TRUE,FALSE)</f>
        <v>0</v>
      </c>
      <c r="E799" s="2" t="str">
        <f>IF(Table1[[#This Row],[Is Data Valid]]=TRUE,IF(Table1[[#This Row],[Fetal Sex (Male, Female or Unknown)]]="Male",Backend!$C$6,IF(Table1[[#This Row],[Fetal Sex (Male, Female or Unknown)]]="Female",Backend!$C$7,IF(Table1[[#This Row],[Fetal Sex (Male, Female or Unknown)]]="Unknown",Backend!$C$8,"Error"))),"")</f>
        <v/>
      </c>
      <c r="F799" s="8" t="str">
        <f>IF(Table1[[#This Row],[Is Data Valid]]=TRUE,EXP(0.578+0.332*((Table1[[#This Row],[Gestation (days)]]+0.5)/7)-0.00354*((Table1[[#This Row],[Gestation (days)]]+0.5)/7)^2)*Table1[[#This Row],[BW40_3705]],"")</f>
        <v/>
      </c>
      <c r="G799" s="2" t="str">
        <f>IF(Table1[[#This Row],[Is Data Valid]]=TRUE,((Table1[[#This Row],[Birthweight (grams)]]/Table1[[#This Row],[BW_GA]])-1)/(Backend!$B$4/100*Table1[[#This Row],[BW40_3705]]),"")</f>
        <v/>
      </c>
      <c r="H799" s="7" t="str">
        <f>IF(Table1[[#This Row],[Is Data Valid]]=TRUE,((Table1[[#This Row],[Birthweight (grams)]]*0.9/Table1[[#This Row],[BW_GA]])-1)/(Backend!$B$4/100*Table1[[#This Row],[BW40_3705]]),"")</f>
        <v/>
      </c>
      <c r="I799" s="7" t="str">
        <f>IF(Table1[[#This Row],[Is Data Valid]]=TRUE,((Table1[[#This Row],[Birthweight (grams)]]*1.1/Table1[[#This Row],[BW_GA]])-1)/(Backend!$B$4/100*Table1[[#This Row],[BW40_3705]]),"")</f>
        <v/>
      </c>
      <c r="J799" s="7" t="str">
        <f>IF(Table1[[#This Row],[Is Data Valid]]=TRUE,_xlfn.NORM.S.DIST(Table1[[#This Row],[Birthweight Z-Score]],TRUE)*100,"")</f>
        <v/>
      </c>
      <c r="K799" s="7" t="str">
        <f>IF(Table1[[#This Row],[Is Data Valid]]=TRUE,_xlfn.NORM.S.DIST(Table1[[#This Row],[Birthweight Z-Score (BW-10%)]],TRUE)*100,"")</f>
        <v/>
      </c>
      <c r="L799" s="7" t="str">
        <f>IF(Table1[[#This Row],[Is Data Valid]]=TRUE,_xlfn.NORM.S.DIST(Table1[[#This Row],[Birthweight Z-Score (BW+10%)]],TRUE)*100,"")</f>
        <v/>
      </c>
    </row>
    <row r="800" spans="1:12" x14ac:dyDescent="0.35">
      <c r="A800" s="3"/>
      <c r="B800" s="2"/>
      <c r="C800" s="2"/>
      <c r="D800" s="2" t="b">
        <f>IF(AND(NOT(ISBLANK(Table1[[#This Row],[Fetal Sex (Male, Female or Unknown)]])),ISNUMBER(Table1[[#This Row],[Birthweight (grams)]]),ISNUMBER(Table1[[#This Row],[Gestation (days)]])),TRUE,FALSE)</f>
        <v>0</v>
      </c>
      <c r="E800" s="2" t="str">
        <f>IF(Table1[[#This Row],[Is Data Valid]]=TRUE,IF(Table1[[#This Row],[Fetal Sex (Male, Female or Unknown)]]="Male",Backend!$C$6,IF(Table1[[#This Row],[Fetal Sex (Male, Female or Unknown)]]="Female",Backend!$C$7,IF(Table1[[#This Row],[Fetal Sex (Male, Female or Unknown)]]="Unknown",Backend!$C$8,"Error"))),"")</f>
        <v/>
      </c>
      <c r="F800" s="8" t="str">
        <f>IF(Table1[[#This Row],[Is Data Valid]]=TRUE,EXP(0.578+0.332*((Table1[[#This Row],[Gestation (days)]]+0.5)/7)-0.00354*((Table1[[#This Row],[Gestation (days)]]+0.5)/7)^2)*Table1[[#This Row],[BW40_3705]],"")</f>
        <v/>
      </c>
      <c r="G800" s="2" t="str">
        <f>IF(Table1[[#This Row],[Is Data Valid]]=TRUE,((Table1[[#This Row],[Birthweight (grams)]]/Table1[[#This Row],[BW_GA]])-1)/(Backend!$B$4/100*Table1[[#This Row],[BW40_3705]]),"")</f>
        <v/>
      </c>
      <c r="H800" s="7" t="str">
        <f>IF(Table1[[#This Row],[Is Data Valid]]=TRUE,((Table1[[#This Row],[Birthweight (grams)]]*0.9/Table1[[#This Row],[BW_GA]])-1)/(Backend!$B$4/100*Table1[[#This Row],[BW40_3705]]),"")</f>
        <v/>
      </c>
      <c r="I800" s="7" t="str">
        <f>IF(Table1[[#This Row],[Is Data Valid]]=TRUE,((Table1[[#This Row],[Birthweight (grams)]]*1.1/Table1[[#This Row],[BW_GA]])-1)/(Backend!$B$4/100*Table1[[#This Row],[BW40_3705]]),"")</f>
        <v/>
      </c>
      <c r="J800" s="7" t="str">
        <f>IF(Table1[[#This Row],[Is Data Valid]]=TRUE,_xlfn.NORM.S.DIST(Table1[[#This Row],[Birthweight Z-Score]],TRUE)*100,"")</f>
        <v/>
      </c>
      <c r="K800" s="7" t="str">
        <f>IF(Table1[[#This Row],[Is Data Valid]]=TRUE,_xlfn.NORM.S.DIST(Table1[[#This Row],[Birthweight Z-Score (BW-10%)]],TRUE)*100,"")</f>
        <v/>
      </c>
      <c r="L800" s="7" t="str">
        <f>IF(Table1[[#This Row],[Is Data Valid]]=TRUE,_xlfn.NORM.S.DIST(Table1[[#This Row],[Birthweight Z-Score (BW+10%)]],TRUE)*100,"")</f>
        <v/>
      </c>
    </row>
    <row r="801" spans="1:12" x14ac:dyDescent="0.35">
      <c r="A801" s="3"/>
      <c r="B801" s="2"/>
      <c r="C801" s="2"/>
      <c r="D801" s="2" t="b">
        <f>IF(AND(NOT(ISBLANK(Table1[[#This Row],[Fetal Sex (Male, Female or Unknown)]])),ISNUMBER(Table1[[#This Row],[Birthweight (grams)]]),ISNUMBER(Table1[[#This Row],[Gestation (days)]])),TRUE,FALSE)</f>
        <v>0</v>
      </c>
      <c r="E801" s="2" t="str">
        <f>IF(Table1[[#This Row],[Is Data Valid]]=TRUE,IF(Table1[[#This Row],[Fetal Sex (Male, Female or Unknown)]]="Male",Backend!$C$6,IF(Table1[[#This Row],[Fetal Sex (Male, Female or Unknown)]]="Female",Backend!$C$7,IF(Table1[[#This Row],[Fetal Sex (Male, Female or Unknown)]]="Unknown",Backend!$C$8,"Error"))),"")</f>
        <v/>
      </c>
      <c r="F801" s="8" t="str">
        <f>IF(Table1[[#This Row],[Is Data Valid]]=TRUE,EXP(0.578+0.332*((Table1[[#This Row],[Gestation (days)]]+0.5)/7)-0.00354*((Table1[[#This Row],[Gestation (days)]]+0.5)/7)^2)*Table1[[#This Row],[BW40_3705]],"")</f>
        <v/>
      </c>
      <c r="G801" s="2" t="str">
        <f>IF(Table1[[#This Row],[Is Data Valid]]=TRUE,((Table1[[#This Row],[Birthweight (grams)]]/Table1[[#This Row],[BW_GA]])-1)/(Backend!$B$4/100*Table1[[#This Row],[BW40_3705]]),"")</f>
        <v/>
      </c>
      <c r="H801" s="7" t="str">
        <f>IF(Table1[[#This Row],[Is Data Valid]]=TRUE,((Table1[[#This Row],[Birthweight (grams)]]*0.9/Table1[[#This Row],[BW_GA]])-1)/(Backend!$B$4/100*Table1[[#This Row],[BW40_3705]]),"")</f>
        <v/>
      </c>
      <c r="I801" s="7" t="str">
        <f>IF(Table1[[#This Row],[Is Data Valid]]=TRUE,((Table1[[#This Row],[Birthweight (grams)]]*1.1/Table1[[#This Row],[BW_GA]])-1)/(Backend!$B$4/100*Table1[[#This Row],[BW40_3705]]),"")</f>
        <v/>
      </c>
      <c r="J801" s="7" t="str">
        <f>IF(Table1[[#This Row],[Is Data Valid]]=TRUE,_xlfn.NORM.S.DIST(Table1[[#This Row],[Birthweight Z-Score]],TRUE)*100,"")</f>
        <v/>
      </c>
      <c r="K801" s="7" t="str">
        <f>IF(Table1[[#This Row],[Is Data Valid]]=TRUE,_xlfn.NORM.S.DIST(Table1[[#This Row],[Birthweight Z-Score (BW-10%)]],TRUE)*100,"")</f>
        <v/>
      </c>
      <c r="L801" s="7" t="str">
        <f>IF(Table1[[#This Row],[Is Data Valid]]=TRUE,_xlfn.NORM.S.DIST(Table1[[#This Row],[Birthweight Z-Score (BW+10%)]],TRUE)*100,"")</f>
        <v/>
      </c>
    </row>
    <row r="802" spans="1:12" x14ac:dyDescent="0.35">
      <c r="A802" s="3"/>
      <c r="B802" s="2"/>
      <c r="C802" s="2"/>
      <c r="D802" s="2" t="b">
        <f>IF(AND(NOT(ISBLANK(Table1[[#This Row],[Fetal Sex (Male, Female or Unknown)]])),ISNUMBER(Table1[[#This Row],[Birthweight (grams)]]),ISNUMBER(Table1[[#This Row],[Gestation (days)]])),TRUE,FALSE)</f>
        <v>0</v>
      </c>
      <c r="E802" s="2" t="str">
        <f>IF(Table1[[#This Row],[Is Data Valid]]=TRUE,IF(Table1[[#This Row],[Fetal Sex (Male, Female or Unknown)]]="Male",Backend!$C$6,IF(Table1[[#This Row],[Fetal Sex (Male, Female or Unknown)]]="Female",Backend!$C$7,IF(Table1[[#This Row],[Fetal Sex (Male, Female or Unknown)]]="Unknown",Backend!$C$8,"Error"))),"")</f>
        <v/>
      </c>
      <c r="F802" s="8" t="str">
        <f>IF(Table1[[#This Row],[Is Data Valid]]=TRUE,EXP(0.578+0.332*((Table1[[#This Row],[Gestation (days)]]+0.5)/7)-0.00354*((Table1[[#This Row],[Gestation (days)]]+0.5)/7)^2)*Table1[[#This Row],[BW40_3705]],"")</f>
        <v/>
      </c>
      <c r="G802" s="2" t="str">
        <f>IF(Table1[[#This Row],[Is Data Valid]]=TRUE,((Table1[[#This Row],[Birthweight (grams)]]/Table1[[#This Row],[BW_GA]])-1)/(Backend!$B$4/100*Table1[[#This Row],[BW40_3705]]),"")</f>
        <v/>
      </c>
      <c r="H802" s="7" t="str">
        <f>IF(Table1[[#This Row],[Is Data Valid]]=TRUE,((Table1[[#This Row],[Birthweight (grams)]]*0.9/Table1[[#This Row],[BW_GA]])-1)/(Backend!$B$4/100*Table1[[#This Row],[BW40_3705]]),"")</f>
        <v/>
      </c>
      <c r="I802" s="7" t="str">
        <f>IF(Table1[[#This Row],[Is Data Valid]]=TRUE,((Table1[[#This Row],[Birthweight (grams)]]*1.1/Table1[[#This Row],[BW_GA]])-1)/(Backend!$B$4/100*Table1[[#This Row],[BW40_3705]]),"")</f>
        <v/>
      </c>
      <c r="J802" s="7" t="str">
        <f>IF(Table1[[#This Row],[Is Data Valid]]=TRUE,_xlfn.NORM.S.DIST(Table1[[#This Row],[Birthweight Z-Score]],TRUE)*100,"")</f>
        <v/>
      </c>
      <c r="K802" s="7" t="str">
        <f>IF(Table1[[#This Row],[Is Data Valid]]=TRUE,_xlfn.NORM.S.DIST(Table1[[#This Row],[Birthweight Z-Score (BW-10%)]],TRUE)*100,"")</f>
        <v/>
      </c>
      <c r="L802" s="7" t="str">
        <f>IF(Table1[[#This Row],[Is Data Valid]]=TRUE,_xlfn.NORM.S.DIST(Table1[[#This Row],[Birthweight Z-Score (BW+10%)]],TRUE)*100,"")</f>
        <v/>
      </c>
    </row>
    <row r="803" spans="1:12" x14ac:dyDescent="0.35">
      <c r="A803" s="3"/>
      <c r="B803" s="2"/>
      <c r="C803" s="2"/>
      <c r="D803" s="2" t="b">
        <f>IF(AND(NOT(ISBLANK(Table1[[#This Row],[Fetal Sex (Male, Female or Unknown)]])),ISNUMBER(Table1[[#This Row],[Birthweight (grams)]]),ISNUMBER(Table1[[#This Row],[Gestation (days)]])),TRUE,FALSE)</f>
        <v>0</v>
      </c>
      <c r="E803" s="2" t="str">
        <f>IF(Table1[[#This Row],[Is Data Valid]]=TRUE,IF(Table1[[#This Row],[Fetal Sex (Male, Female or Unknown)]]="Male",Backend!$C$6,IF(Table1[[#This Row],[Fetal Sex (Male, Female or Unknown)]]="Female",Backend!$C$7,IF(Table1[[#This Row],[Fetal Sex (Male, Female or Unknown)]]="Unknown",Backend!$C$8,"Error"))),"")</f>
        <v/>
      </c>
      <c r="F803" s="8" t="str">
        <f>IF(Table1[[#This Row],[Is Data Valid]]=TRUE,EXP(0.578+0.332*((Table1[[#This Row],[Gestation (days)]]+0.5)/7)-0.00354*((Table1[[#This Row],[Gestation (days)]]+0.5)/7)^2)*Table1[[#This Row],[BW40_3705]],"")</f>
        <v/>
      </c>
      <c r="G803" s="2" t="str">
        <f>IF(Table1[[#This Row],[Is Data Valid]]=TRUE,((Table1[[#This Row],[Birthweight (grams)]]/Table1[[#This Row],[BW_GA]])-1)/(Backend!$B$4/100*Table1[[#This Row],[BW40_3705]]),"")</f>
        <v/>
      </c>
      <c r="H803" s="7" t="str">
        <f>IF(Table1[[#This Row],[Is Data Valid]]=TRUE,((Table1[[#This Row],[Birthweight (grams)]]*0.9/Table1[[#This Row],[BW_GA]])-1)/(Backend!$B$4/100*Table1[[#This Row],[BW40_3705]]),"")</f>
        <v/>
      </c>
      <c r="I803" s="7" t="str">
        <f>IF(Table1[[#This Row],[Is Data Valid]]=TRUE,((Table1[[#This Row],[Birthweight (grams)]]*1.1/Table1[[#This Row],[BW_GA]])-1)/(Backend!$B$4/100*Table1[[#This Row],[BW40_3705]]),"")</f>
        <v/>
      </c>
      <c r="J803" s="7" t="str">
        <f>IF(Table1[[#This Row],[Is Data Valid]]=TRUE,_xlfn.NORM.S.DIST(Table1[[#This Row],[Birthweight Z-Score]],TRUE)*100,"")</f>
        <v/>
      </c>
      <c r="K803" s="7" t="str">
        <f>IF(Table1[[#This Row],[Is Data Valid]]=TRUE,_xlfn.NORM.S.DIST(Table1[[#This Row],[Birthweight Z-Score (BW-10%)]],TRUE)*100,"")</f>
        <v/>
      </c>
      <c r="L803" s="7" t="str">
        <f>IF(Table1[[#This Row],[Is Data Valid]]=TRUE,_xlfn.NORM.S.DIST(Table1[[#This Row],[Birthweight Z-Score (BW+10%)]],TRUE)*100,"")</f>
        <v/>
      </c>
    </row>
    <row r="804" spans="1:12" x14ac:dyDescent="0.35">
      <c r="A804" s="3"/>
      <c r="B804" s="2"/>
      <c r="C804" s="2"/>
      <c r="D804" s="2" t="b">
        <f>IF(AND(NOT(ISBLANK(Table1[[#This Row],[Fetal Sex (Male, Female or Unknown)]])),ISNUMBER(Table1[[#This Row],[Birthweight (grams)]]),ISNUMBER(Table1[[#This Row],[Gestation (days)]])),TRUE,FALSE)</f>
        <v>0</v>
      </c>
      <c r="E804" s="2" t="str">
        <f>IF(Table1[[#This Row],[Is Data Valid]]=TRUE,IF(Table1[[#This Row],[Fetal Sex (Male, Female or Unknown)]]="Male",Backend!$C$6,IF(Table1[[#This Row],[Fetal Sex (Male, Female or Unknown)]]="Female",Backend!$C$7,IF(Table1[[#This Row],[Fetal Sex (Male, Female or Unknown)]]="Unknown",Backend!$C$8,"Error"))),"")</f>
        <v/>
      </c>
      <c r="F804" s="8" t="str">
        <f>IF(Table1[[#This Row],[Is Data Valid]]=TRUE,EXP(0.578+0.332*((Table1[[#This Row],[Gestation (days)]]+0.5)/7)-0.00354*((Table1[[#This Row],[Gestation (days)]]+0.5)/7)^2)*Table1[[#This Row],[BW40_3705]],"")</f>
        <v/>
      </c>
      <c r="G804" s="2" t="str">
        <f>IF(Table1[[#This Row],[Is Data Valid]]=TRUE,((Table1[[#This Row],[Birthweight (grams)]]/Table1[[#This Row],[BW_GA]])-1)/(Backend!$B$4/100*Table1[[#This Row],[BW40_3705]]),"")</f>
        <v/>
      </c>
      <c r="H804" s="7" t="str">
        <f>IF(Table1[[#This Row],[Is Data Valid]]=TRUE,((Table1[[#This Row],[Birthweight (grams)]]*0.9/Table1[[#This Row],[BW_GA]])-1)/(Backend!$B$4/100*Table1[[#This Row],[BW40_3705]]),"")</f>
        <v/>
      </c>
      <c r="I804" s="7" t="str">
        <f>IF(Table1[[#This Row],[Is Data Valid]]=TRUE,((Table1[[#This Row],[Birthweight (grams)]]*1.1/Table1[[#This Row],[BW_GA]])-1)/(Backend!$B$4/100*Table1[[#This Row],[BW40_3705]]),"")</f>
        <v/>
      </c>
      <c r="J804" s="7" t="str">
        <f>IF(Table1[[#This Row],[Is Data Valid]]=TRUE,_xlfn.NORM.S.DIST(Table1[[#This Row],[Birthweight Z-Score]],TRUE)*100,"")</f>
        <v/>
      </c>
      <c r="K804" s="7" t="str">
        <f>IF(Table1[[#This Row],[Is Data Valid]]=TRUE,_xlfn.NORM.S.DIST(Table1[[#This Row],[Birthweight Z-Score (BW-10%)]],TRUE)*100,"")</f>
        <v/>
      </c>
      <c r="L804" s="7" t="str">
        <f>IF(Table1[[#This Row],[Is Data Valid]]=TRUE,_xlfn.NORM.S.DIST(Table1[[#This Row],[Birthweight Z-Score (BW+10%)]],TRUE)*100,"")</f>
        <v/>
      </c>
    </row>
    <row r="805" spans="1:12" x14ac:dyDescent="0.35">
      <c r="A805" s="3"/>
      <c r="B805" s="2"/>
      <c r="C805" s="2"/>
      <c r="D805" s="2" t="b">
        <f>IF(AND(NOT(ISBLANK(Table1[[#This Row],[Fetal Sex (Male, Female or Unknown)]])),ISNUMBER(Table1[[#This Row],[Birthweight (grams)]]),ISNUMBER(Table1[[#This Row],[Gestation (days)]])),TRUE,FALSE)</f>
        <v>0</v>
      </c>
      <c r="E805" s="2" t="str">
        <f>IF(Table1[[#This Row],[Is Data Valid]]=TRUE,IF(Table1[[#This Row],[Fetal Sex (Male, Female or Unknown)]]="Male",Backend!$C$6,IF(Table1[[#This Row],[Fetal Sex (Male, Female or Unknown)]]="Female",Backend!$C$7,IF(Table1[[#This Row],[Fetal Sex (Male, Female or Unknown)]]="Unknown",Backend!$C$8,"Error"))),"")</f>
        <v/>
      </c>
      <c r="F805" s="8" t="str">
        <f>IF(Table1[[#This Row],[Is Data Valid]]=TRUE,EXP(0.578+0.332*((Table1[[#This Row],[Gestation (days)]]+0.5)/7)-0.00354*((Table1[[#This Row],[Gestation (days)]]+0.5)/7)^2)*Table1[[#This Row],[BW40_3705]],"")</f>
        <v/>
      </c>
      <c r="G805" s="2" t="str">
        <f>IF(Table1[[#This Row],[Is Data Valid]]=TRUE,((Table1[[#This Row],[Birthweight (grams)]]/Table1[[#This Row],[BW_GA]])-1)/(Backend!$B$4/100*Table1[[#This Row],[BW40_3705]]),"")</f>
        <v/>
      </c>
      <c r="H805" s="7" t="str">
        <f>IF(Table1[[#This Row],[Is Data Valid]]=TRUE,((Table1[[#This Row],[Birthweight (grams)]]*0.9/Table1[[#This Row],[BW_GA]])-1)/(Backend!$B$4/100*Table1[[#This Row],[BW40_3705]]),"")</f>
        <v/>
      </c>
      <c r="I805" s="7" t="str">
        <f>IF(Table1[[#This Row],[Is Data Valid]]=TRUE,((Table1[[#This Row],[Birthweight (grams)]]*1.1/Table1[[#This Row],[BW_GA]])-1)/(Backend!$B$4/100*Table1[[#This Row],[BW40_3705]]),"")</f>
        <v/>
      </c>
      <c r="J805" s="7" t="str">
        <f>IF(Table1[[#This Row],[Is Data Valid]]=TRUE,_xlfn.NORM.S.DIST(Table1[[#This Row],[Birthweight Z-Score]],TRUE)*100,"")</f>
        <v/>
      </c>
      <c r="K805" s="7" t="str">
        <f>IF(Table1[[#This Row],[Is Data Valid]]=TRUE,_xlfn.NORM.S.DIST(Table1[[#This Row],[Birthweight Z-Score (BW-10%)]],TRUE)*100,"")</f>
        <v/>
      </c>
      <c r="L805" s="7" t="str">
        <f>IF(Table1[[#This Row],[Is Data Valid]]=TRUE,_xlfn.NORM.S.DIST(Table1[[#This Row],[Birthweight Z-Score (BW+10%)]],TRUE)*100,"")</f>
        <v/>
      </c>
    </row>
    <row r="806" spans="1:12" x14ac:dyDescent="0.35">
      <c r="A806" s="3"/>
      <c r="B806" s="2"/>
      <c r="C806" s="2"/>
      <c r="D806" s="2" t="b">
        <f>IF(AND(NOT(ISBLANK(Table1[[#This Row],[Fetal Sex (Male, Female or Unknown)]])),ISNUMBER(Table1[[#This Row],[Birthweight (grams)]]),ISNUMBER(Table1[[#This Row],[Gestation (days)]])),TRUE,FALSE)</f>
        <v>0</v>
      </c>
      <c r="E806" s="2" t="str">
        <f>IF(Table1[[#This Row],[Is Data Valid]]=TRUE,IF(Table1[[#This Row],[Fetal Sex (Male, Female or Unknown)]]="Male",Backend!$C$6,IF(Table1[[#This Row],[Fetal Sex (Male, Female or Unknown)]]="Female",Backend!$C$7,IF(Table1[[#This Row],[Fetal Sex (Male, Female or Unknown)]]="Unknown",Backend!$C$8,"Error"))),"")</f>
        <v/>
      </c>
      <c r="F806" s="8" t="str">
        <f>IF(Table1[[#This Row],[Is Data Valid]]=TRUE,EXP(0.578+0.332*((Table1[[#This Row],[Gestation (days)]]+0.5)/7)-0.00354*((Table1[[#This Row],[Gestation (days)]]+0.5)/7)^2)*Table1[[#This Row],[BW40_3705]],"")</f>
        <v/>
      </c>
      <c r="G806" s="2" t="str">
        <f>IF(Table1[[#This Row],[Is Data Valid]]=TRUE,((Table1[[#This Row],[Birthweight (grams)]]/Table1[[#This Row],[BW_GA]])-1)/(Backend!$B$4/100*Table1[[#This Row],[BW40_3705]]),"")</f>
        <v/>
      </c>
      <c r="H806" s="7" t="str">
        <f>IF(Table1[[#This Row],[Is Data Valid]]=TRUE,((Table1[[#This Row],[Birthweight (grams)]]*0.9/Table1[[#This Row],[BW_GA]])-1)/(Backend!$B$4/100*Table1[[#This Row],[BW40_3705]]),"")</f>
        <v/>
      </c>
      <c r="I806" s="7" t="str">
        <f>IF(Table1[[#This Row],[Is Data Valid]]=TRUE,((Table1[[#This Row],[Birthweight (grams)]]*1.1/Table1[[#This Row],[BW_GA]])-1)/(Backend!$B$4/100*Table1[[#This Row],[BW40_3705]]),"")</f>
        <v/>
      </c>
      <c r="J806" s="7" t="str">
        <f>IF(Table1[[#This Row],[Is Data Valid]]=TRUE,_xlfn.NORM.S.DIST(Table1[[#This Row],[Birthweight Z-Score]],TRUE)*100,"")</f>
        <v/>
      </c>
      <c r="K806" s="7" t="str">
        <f>IF(Table1[[#This Row],[Is Data Valid]]=TRUE,_xlfn.NORM.S.DIST(Table1[[#This Row],[Birthweight Z-Score (BW-10%)]],TRUE)*100,"")</f>
        <v/>
      </c>
      <c r="L806" s="7" t="str">
        <f>IF(Table1[[#This Row],[Is Data Valid]]=TRUE,_xlfn.NORM.S.DIST(Table1[[#This Row],[Birthweight Z-Score (BW+10%)]],TRUE)*100,"")</f>
        <v/>
      </c>
    </row>
    <row r="807" spans="1:12" x14ac:dyDescent="0.35">
      <c r="A807" s="3"/>
      <c r="B807" s="2"/>
      <c r="C807" s="2"/>
      <c r="D807" s="2" t="b">
        <f>IF(AND(NOT(ISBLANK(Table1[[#This Row],[Fetal Sex (Male, Female or Unknown)]])),ISNUMBER(Table1[[#This Row],[Birthweight (grams)]]),ISNUMBER(Table1[[#This Row],[Gestation (days)]])),TRUE,FALSE)</f>
        <v>0</v>
      </c>
      <c r="E807" s="2" t="str">
        <f>IF(Table1[[#This Row],[Is Data Valid]]=TRUE,IF(Table1[[#This Row],[Fetal Sex (Male, Female or Unknown)]]="Male",Backend!$C$6,IF(Table1[[#This Row],[Fetal Sex (Male, Female or Unknown)]]="Female",Backend!$C$7,IF(Table1[[#This Row],[Fetal Sex (Male, Female or Unknown)]]="Unknown",Backend!$C$8,"Error"))),"")</f>
        <v/>
      </c>
      <c r="F807" s="8" t="str">
        <f>IF(Table1[[#This Row],[Is Data Valid]]=TRUE,EXP(0.578+0.332*((Table1[[#This Row],[Gestation (days)]]+0.5)/7)-0.00354*((Table1[[#This Row],[Gestation (days)]]+0.5)/7)^2)*Table1[[#This Row],[BW40_3705]],"")</f>
        <v/>
      </c>
      <c r="G807" s="2" t="str">
        <f>IF(Table1[[#This Row],[Is Data Valid]]=TRUE,((Table1[[#This Row],[Birthweight (grams)]]/Table1[[#This Row],[BW_GA]])-1)/(Backend!$B$4/100*Table1[[#This Row],[BW40_3705]]),"")</f>
        <v/>
      </c>
      <c r="H807" s="7" t="str">
        <f>IF(Table1[[#This Row],[Is Data Valid]]=TRUE,((Table1[[#This Row],[Birthweight (grams)]]*0.9/Table1[[#This Row],[BW_GA]])-1)/(Backend!$B$4/100*Table1[[#This Row],[BW40_3705]]),"")</f>
        <v/>
      </c>
      <c r="I807" s="7" t="str">
        <f>IF(Table1[[#This Row],[Is Data Valid]]=TRUE,((Table1[[#This Row],[Birthweight (grams)]]*1.1/Table1[[#This Row],[BW_GA]])-1)/(Backend!$B$4/100*Table1[[#This Row],[BW40_3705]]),"")</f>
        <v/>
      </c>
      <c r="J807" s="7" t="str">
        <f>IF(Table1[[#This Row],[Is Data Valid]]=TRUE,_xlfn.NORM.S.DIST(Table1[[#This Row],[Birthweight Z-Score]],TRUE)*100,"")</f>
        <v/>
      </c>
      <c r="K807" s="7" t="str">
        <f>IF(Table1[[#This Row],[Is Data Valid]]=TRUE,_xlfn.NORM.S.DIST(Table1[[#This Row],[Birthweight Z-Score (BW-10%)]],TRUE)*100,"")</f>
        <v/>
      </c>
      <c r="L807" s="7" t="str">
        <f>IF(Table1[[#This Row],[Is Data Valid]]=TRUE,_xlfn.NORM.S.DIST(Table1[[#This Row],[Birthweight Z-Score (BW+10%)]],TRUE)*100,"")</f>
        <v/>
      </c>
    </row>
    <row r="808" spans="1:12" x14ac:dyDescent="0.35">
      <c r="A808" s="3"/>
      <c r="B808" s="2"/>
      <c r="C808" s="2"/>
      <c r="D808" s="2" t="b">
        <f>IF(AND(NOT(ISBLANK(Table1[[#This Row],[Fetal Sex (Male, Female or Unknown)]])),ISNUMBER(Table1[[#This Row],[Birthweight (grams)]]),ISNUMBER(Table1[[#This Row],[Gestation (days)]])),TRUE,FALSE)</f>
        <v>0</v>
      </c>
      <c r="E808" s="2" t="str">
        <f>IF(Table1[[#This Row],[Is Data Valid]]=TRUE,IF(Table1[[#This Row],[Fetal Sex (Male, Female or Unknown)]]="Male",Backend!$C$6,IF(Table1[[#This Row],[Fetal Sex (Male, Female or Unknown)]]="Female",Backend!$C$7,IF(Table1[[#This Row],[Fetal Sex (Male, Female or Unknown)]]="Unknown",Backend!$C$8,"Error"))),"")</f>
        <v/>
      </c>
      <c r="F808" s="8" t="str">
        <f>IF(Table1[[#This Row],[Is Data Valid]]=TRUE,EXP(0.578+0.332*((Table1[[#This Row],[Gestation (days)]]+0.5)/7)-0.00354*((Table1[[#This Row],[Gestation (days)]]+0.5)/7)^2)*Table1[[#This Row],[BW40_3705]],"")</f>
        <v/>
      </c>
      <c r="G808" s="2" t="str">
        <f>IF(Table1[[#This Row],[Is Data Valid]]=TRUE,((Table1[[#This Row],[Birthweight (grams)]]/Table1[[#This Row],[BW_GA]])-1)/(Backend!$B$4/100*Table1[[#This Row],[BW40_3705]]),"")</f>
        <v/>
      </c>
      <c r="H808" s="7" t="str">
        <f>IF(Table1[[#This Row],[Is Data Valid]]=TRUE,((Table1[[#This Row],[Birthweight (grams)]]*0.9/Table1[[#This Row],[BW_GA]])-1)/(Backend!$B$4/100*Table1[[#This Row],[BW40_3705]]),"")</f>
        <v/>
      </c>
      <c r="I808" s="7" t="str">
        <f>IF(Table1[[#This Row],[Is Data Valid]]=TRUE,((Table1[[#This Row],[Birthweight (grams)]]*1.1/Table1[[#This Row],[BW_GA]])-1)/(Backend!$B$4/100*Table1[[#This Row],[BW40_3705]]),"")</f>
        <v/>
      </c>
      <c r="J808" s="7" t="str">
        <f>IF(Table1[[#This Row],[Is Data Valid]]=TRUE,_xlfn.NORM.S.DIST(Table1[[#This Row],[Birthweight Z-Score]],TRUE)*100,"")</f>
        <v/>
      </c>
      <c r="K808" s="7" t="str">
        <f>IF(Table1[[#This Row],[Is Data Valid]]=TRUE,_xlfn.NORM.S.DIST(Table1[[#This Row],[Birthweight Z-Score (BW-10%)]],TRUE)*100,"")</f>
        <v/>
      </c>
      <c r="L808" s="7" t="str">
        <f>IF(Table1[[#This Row],[Is Data Valid]]=TRUE,_xlfn.NORM.S.DIST(Table1[[#This Row],[Birthweight Z-Score (BW+10%)]],TRUE)*100,"")</f>
        <v/>
      </c>
    </row>
    <row r="809" spans="1:12" x14ac:dyDescent="0.35">
      <c r="A809" s="3"/>
      <c r="B809" s="2"/>
      <c r="C809" s="2"/>
      <c r="D809" s="2" t="b">
        <f>IF(AND(NOT(ISBLANK(Table1[[#This Row],[Fetal Sex (Male, Female or Unknown)]])),ISNUMBER(Table1[[#This Row],[Birthweight (grams)]]),ISNUMBER(Table1[[#This Row],[Gestation (days)]])),TRUE,FALSE)</f>
        <v>0</v>
      </c>
      <c r="E809" s="2" t="str">
        <f>IF(Table1[[#This Row],[Is Data Valid]]=TRUE,IF(Table1[[#This Row],[Fetal Sex (Male, Female or Unknown)]]="Male",Backend!$C$6,IF(Table1[[#This Row],[Fetal Sex (Male, Female or Unknown)]]="Female",Backend!$C$7,IF(Table1[[#This Row],[Fetal Sex (Male, Female or Unknown)]]="Unknown",Backend!$C$8,"Error"))),"")</f>
        <v/>
      </c>
      <c r="F809" s="8" t="str">
        <f>IF(Table1[[#This Row],[Is Data Valid]]=TRUE,EXP(0.578+0.332*((Table1[[#This Row],[Gestation (days)]]+0.5)/7)-0.00354*((Table1[[#This Row],[Gestation (days)]]+0.5)/7)^2)*Table1[[#This Row],[BW40_3705]],"")</f>
        <v/>
      </c>
      <c r="G809" s="2" t="str">
        <f>IF(Table1[[#This Row],[Is Data Valid]]=TRUE,((Table1[[#This Row],[Birthweight (grams)]]/Table1[[#This Row],[BW_GA]])-1)/(Backend!$B$4/100*Table1[[#This Row],[BW40_3705]]),"")</f>
        <v/>
      </c>
      <c r="H809" s="7" t="str">
        <f>IF(Table1[[#This Row],[Is Data Valid]]=TRUE,((Table1[[#This Row],[Birthweight (grams)]]*0.9/Table1[[#This Row],[BW_GA]])-1)/(Backend!$B$4/100*Table1[[#This Row],[BW40_3705]]),"")</f>
        <v/>
      </c>
      <c r="I809" s="7" t="str">
        <f>IF(Table1[[#This Row],[Is Data Valid]]=TRUE,((Table1[[#This Row],[Birthweight (grams)]]*1.1/Table1[[#This Row],[BW_GA]])-1)/(Backend!$B$4/100*Table1[[#This Row],[BW40_3705]]),"")</f>
        <v/>
      </c>
      <c r="J809" s="7" t="str">
        <f>IF(Table1[[#This Row],[Is Data Valid]]=TRUE,_xlfn.NORM.S.DIST(Table1[[#This Row],[Birthweight Z-Score]],TRUE)*100,"")</f>
        <v/>
      </c>
      <c r="K809" s="7" t="str">
        <f>IF(Table1[[#This Row],[Is Data Valid]]=TRUE,_xlfn.NORM.S.DIST(Table1[[#This Row],[Birthweight Z-Score (BW-10%)]],TRUE)*100,"")</f>
        <v/>
      </c>
      <c r="L809" s="7" t="str">
        <f>IF(Table1[[#This Row],[Is Data Valid]]=TRUE,_xlfn.NORM.S.DIST(Table1[[#This Row],[Birthweight Z-Score (BW+10%)]],TRUE)*100,"")</f>
        <v/>
      </c>
    </row>
    <row r="810" spans="1:12" x14ac:dyDescent="0.35">
      <c r="A810" s="3"/>
      <c r="B810" s="2"/>
      <c r="C810" s="2"/>
      <c r="D810" s="2" t="b">
        <f>IF(AND(NOT(ISBLANK(Table1[[#This Row],[Fetal Sex (Male, Female or Unknown)]])),ISNUMBER(Table1[[#This Row],[Birthweight (grams)]]),ISNUMBER(Table1[[#This Row],[Gestation (days)]])),TRUE,FALSE)</f>
        <v>0</v>
      </c>
      <c r="E810" s="2" t="str">
        <f>IF(Table1[[#This Row],[Is Data Valid]]=TRUE,IF(Table1[[#This Row],[Fetal Sex (Male, Female or Unknown)]]="Male",Backend!$C$6,IF(Table1[[#This Row],[Fetal Sex (Male, Female or Unknown)]]="Female",Backend!$C$7,IF(Table1[[#This Row],[Fetal Sex (Male, Female or Unknown)]]="Unknown",Backend!$C$8,"Error"))),"")</f>
        <v/>
      </c>
      <c r="F810" s="8" t="str">
        <f>IF(Table1[[#This Row],[Is Data Valid]]=TRUE,EXP(0.578+0.332*((Table1[[#This Row],[Gestation (days)]]+0.5)/7)-0.00354*((Table1[[#This Row],[Gestation (days)]]+0.5)/7)^2)*Table1[[#This Row],[BW40_3705]],"")</f>
        <v/>
      </c>
      <c r="G810" s="2" t="str">
        <f>IF(Table1[[#This Row],[Is Data Valid]]=TRUE,((Table1[[#This Row],[Birthweight (grams)]]/Table1[[#This Row],[BW_GA]])-1)/(Backend!$B$4/100*Table1[[#This Row],[BW40_3705]]),"")</f>
        <v/>
      </c>
      <c r="H810" s="7" t="str">
        <f>IF(Table1[[#This Row],[Is Data Valid]]=TRUE,((Table1[[#This Row],[Birthweight (grams)]]*0.9/Table1[[#This Row],[BW_GA]])-1)/(Backend!$B$4/100*Table1[[#This Row],[BW40_3705]]),"")</f>
        <v/>
      </c>
      <c r="I810" s="7" t="str">
        <f>IF(Table1[[#This Row],[Is Data Valid]]=TRUE,((Table1[[#This Row],[Birthweight (grams)]]*1.1/Table1[[#This Row],[BW_GA]])-1)/(Backend!$B$4/100*Table1[[#This Row],[BW40_3705]]),"")</f>
        <v/>
      </c>
      <c r="J810" s="7" t="str">
        <f>IF(Table1[[#This Row],[Is Data Valid]]=TRUE,_xlfn.NORM.S.DIST(Table1[[#This Row],[Birthweight Z-Score]],TRUE)*100,"")</f>
        <v/>
      </c>
      <c r="K810" s="7" t="str">
        <f>IF(Table1[[#This Row],[Is Data Valid]]=TRUE,_xlfn.NORM.S.DIST(Table1[[#This Row],[Birthweight Z-Score (BW-10%)]],TRUE)*100,"")</f>
        <v/>
      </c>
      <c r="L810" s="7" t="str">
        <f>IF(Table1[[#This Row],[Is Data Valid]]=TRUE,_xlfn.NORM.S.DIST(Table1[[#This Row],[Birthweight Z-Score (BW+10%)]],TRUE)*100,"")</f>
        <v/>
      </c>
    </row>
    <row r="811" spans="1:12" x14ac:dyDescent="0.35">
      <c r="A811" s="3"/>
      <c r="B811" s="2"/>
      <c r="C811" s="2"/>
      <c r="D811" s="2" t="b">
        <f>IF(AND(NOT(ISBLANK(Table1[[#This Row],[Fetal Sex (Male, Female or Unknown)]])),ISNUMBER(Table1[[#This Row],[Birthweight (grams)]]),ISNUMBER(Table1[[#This Row],[Gestation (days)]])),TRUE,FALSE)</f>
        <v>0</v>
      </c>
      <c r="E811" s="2" t="str">
        <f>IF(Table1[[#This Row],[Is Data Valid]]=TRUE,IF(Table1[[#This Row],[Fetal Sex (Male, Female or Unknown)]]="Male",Backend!$C$6,IF(Table1[[#This Row],[Fetal Sex (Male, Female or Unknown)]]="Female",Backend!$C$7,IF(Table1[[#This Row],[Fetal Sex (Male, Female or Unknown)]]="Unknown",Backend!$C$8,"Error"))),"")</f>
        <v/>
      </c>
      <c r="F811" s="8" t="str">
        <f>IF(Table1[[#This Row],[Is Data Valid]]=TRUE,EXP(0.578+0.332*((Table1[[#This Row],[Gestation (days)]]+0.5)/7)-0.00354*((Table1[[#This Row],[Gestation (days)]]+0.5)/7)^2)*Table1[[#This Row],[BW40_3705]],"")</f>
        <v/>
      </c>
      <c r="G811" s="2" t="str">
        <f>IF(Table1[[#This Row],[Is Data Valid]]=TRUE,((Table1[[#This Row],[Birthweight (grams)]]/Table1[[#This Row],[BW_GA]])-1)/(Backend!$B$4/100*Table1[[#This Row],[BW40_3705]]),"")</f>
        <v/>
      </c>
      <c r="H811" s="7" t="str">
        <f>IF(Table1[[#This Row],[Is Data Valid]]=TRUE,((Table1[[#This Row],[Birthweight (grams)]]*0.9/Table1[[#This Row],[BW_GA]])-1)/(Backend!$B$4/100*Table1[[#This Row],[BW40_3705]]),"")</f>
        <v/>
      </c>
      <c r="I811" s="7" t="str">
        <f>IF(Table1[[#This Row],[Is Data Valid]]=TRUE,((Table1[[#This Row],[Birthweight (grams)]]*1.1/Table1[[#This Row],[BW_GA]])-1)/(Backend!$B$4/100*Table1[[#This Row],[BW40_3705]]),"")</f>
        <v/>
      </c>
      <c r="J811" s="7" t="str">
        <f>IF(Table1[[#This Row],[Is Data Valid]]=TRUE,_xlfn.NORM.S.DIST(Table1[[#This Row],[Birthweight Z-Score]],TRUE)*100,"")</f>
        <v/>
      </c>
      <c r="K811" s="7" t="str">
        <f>IF(Table1[[#This Row],[Is Data Valid]]=TRUE,_xlfn.NORM.S.DIST(Table1[[#This Row],[Birthweight Z-Score (BW-10%)]],TRUE)*100,"")</f>
        <v/>
      </c>
      <c r="L811" s="7" t="str">
        <f>IF(Table1[[#This Row],[Is Data Valid]]=TRUE,_xlfn.NORM.S.DIST(Table1[[#This Row],[Birthweight Z-Score (BW+10%)]],TRUE)*100,"")</f>
        <v/>
      </c>
    </row>
    <row r="812" spans="1:12" x14ac:dyDescent="0.35">
      <c r="A812" s="3"/>
      <c r="B812" s="2"/>
      <c r="C812" s="2"/>
      <c r="D812" s="2" t="b">
        <f>IF(AND(NOT(ISBLANK(Table1[[#This Row],[Fetal Sex (Male, Female or Unknown)]])),ISNUMBER(Table1[[#This Row],[Birthweight (grams)]]),ISNUMBER(Table1[[#This Row],[Gestation (days)]])),TRUE,FALSE)</f>
        <v>0</v>
      </c>
      <c r="E812" s="2" t="str">
        <f>IF(Table1[[#This Row],[Is Data Valid]]=TRUE,IF(Table1[[#This Row],[Fetal Sex (Male, Female or Unknown)]]="Male",Backend!$C$6,IF(Table1[[#This Row],[Fetal Sex (Male, Female or Unknown)]]="Female",Backend!$C$7,IF(Table1[[#This Row],[Fetal Sex (Male, Female or Unknown)]]="Unknown",Backend!$C$8,"Error"))),"")</f>
        <v/>
      </c>
      <c r="F812" s="8" t="str">
        <f>IF(Table1[[#This Row],[Is Data Valid]]=TRUE,EXP(0.578+0.332*((Table1[[#This Row],[Gestation (days)]]+0.5)/7)-0.00354*((Table1[[#This Row],[Gestation (days)]]+0.5)/7)^2)*Table1[[#This Row],[BW40_3705]],"")</f>
        <v/>
      </c>
      <c r="G812" s="2" t="str">
        <f>IF(Table1[[#This Row],[Is Data Valid]]=TRUE,((Table1[[#This Row],[Birthweight (grams)]]/Table1[[#This Row],[BW_GA]])-1)/(Backend!$B$4/100*Table1[[#This Row],[BW40_3705]]),"")</f>
        <v/>
      </c>
      <c r="H812" s="7" t="str">
        <f>IF(Table1[[#This Row],[Is Data Valid]]=TRUE,((Table1[[#This Row],[Birthweight (grams)]]*0.9/Table1[[#This Row],[BW_GA]])-1)/(Backend!$B$4/100*Table1[[#This Row],[BW40_3705]]),"")</f>
        <v/>
      </c>
      <c r="I812" s="7" t="str">
        <f>IF(Table1[[#This Row],[Is Data Valid]]=TRUE,((Table1[[#This Row],[Birthweight (grams)]]*1.1/Table1[[#This Row],[BW_GA]])-1)/(Backend!$B$4/100*Table1[[#This Row],[BW40_3705]]),"")</f>
        <v/>
      </c>
      <c r="J812" s="7" t="str">
        <f>IF(Table1[[#This Row],[Is Data Valid]]=TRUE,_xlfn.NORM.S.DIST(Table1[[#This Row],[Birthweight Z-Score]],TRUE)*100,"")</f>
        <v/>
      </c>
      <c r="K812" s="7" t="str">
        <f>IF(Table1[[#This Row],[Is Data Valid]]=TRUE,_xlfn.NORM.S.DIST(Table1[[#This Row],[Birthweight Z-Score (BW-10%)]],TRUE)*100,"")</f>
        <v/>
      </c>
      <c r="L812" s="7" t="str">
        <f>IF(Table1[[#This Row],[Is Data Valid]]=TRUE,_xlfn.NORM.S.DIST(Table1[[#This Row],[Birthweight Z-Score (BW+10%)]],TRUE)*100,"")</f>
        <v/>
      </c>
    </row>
    <row r="813" spans="1:12" x14ac:dyDescent="0.35">
      <c r="A813" s="3"/>
      <c r="B813" s="2"/>
      <c r="C813" s="2"/>
      <c r="D813" s="2" t="b">
        <f>IF(AND(NOT(ISBLANK(Table1[[#This Row],[Fetal Sex (Male, Female or Unknown)]])),ISNUMBER(Table1[[#This Row],[Birthweight (grams)]]),ISNUMBER(Table1[[#This Row],[Gestation (days)]])),TRUE,FALSE)</f>
        <v>0</v>
      </c>
      <c r="E813" s="2" t="str">
        <f>IF(Table1[[#This Row],[Is Data Valid]]=TRUE,IF(Table1[[#This Row],[Fetal Sex (Male, Female or Unknown)]]="Male",Backend!$C$6,IF(Table1[[#This Row],[Fetal Sex (Male, Female or Unknown)]]="Female",Backend!$C$7,IF(Table1[[#This Row],[Fetal Sex (Male, Female or Unknown)]]="Unknown",Backend!$C$8,"Error"))),"")</f>
        <v/>
      </c>
      <c r="F813" s="8" t="str">
        <f>IF(Table1[[#This Row],[Is Data Valid]]=TRUE,EXP(0.578+0.332*((Table1[[#This Row],[Gestation (days)]]+0.5)/7)-0.00354*((Table1[[#This Row],[Gestation (days)]]+0.5)/7)^2)*Table1[[#This Row],[BW40_3705]],"")</f>
        <v/>
      </c>
      <c r="G813" s="2" t="str">
        <f>IF(Table1[[#This Row],[Is Data Valid]]=TRUE,((Table1[[#This Row],[Birthweight (grams)]]/Table1[[#This Row],[BW_GA]])-1)/(Backend!$B$4/100*Table1[[#This Row],[BW40_3705]]),"")</f>
        <v/>
      </c>
      <c r="H813" s="7" t="str">
        <f>IF(Table1[[#This Row],[Is Data Valid]]=TRUE,((Table1[[#This Row],[Birthweight (grams)]]*0.9/Table1[[#This Row],[BW_GA]])-1)/(Backend!$B$4/100*Table1[[#This Row],[BW40_3705]]),"")</f>
        <v/>
      </c>
      <c r="I813" s="7" t="str">
        <f>IF(Table1[[#This Row],[Is Data Valid]]=TRUE,((Table1[[#This Row],[Birthweight (grams)]]*1.1/Table1[[#This Row],[BW_GA]])-1)/(Backend!$B$4/100*Table1[[#This Row],[BW40_3705]]),"")</f>
        <v/>
      </c>
      <c r="J813" s="7" t="str">
        <f>IF(Table1[[#This Row],[Is Data Valid]]=TRUE,_xlfn.NORM.S.DIST(Table1[[#This Row],[Birthweight Z-Score]],TRUE)*100,"")</f>
        <v/>
      </c>
      <c r="K813" s="7" t="str">
        <f>IF(Table1[[#This Row],[Is Data Valid]]=TRUE,_xlfn.NORM.S.DIST(Table1[[#This Row],[Birthweight Z-Score (BW-10%)]],TRUE)*100,"")</f>
        <v/>
      </c>
      <c r="L813" s="7" t="str">
        <f>IF(Table1[[#This Row],[Is Data Valid]]=TRUE,_xlfn.NORM.S.DIST(Table1[[#This Row],[Birthweight Z-Score (BW+10%)]],TRUE)*100,"")</f>
        <v/>
      </c>
    </row>
    <row r="814" spans="1:12" x14ac:dyDescent="0.35">
      <c r="A814" s="3"/>
      <c r="B814" s="2"/>
      <c r="C814" s="2"/>
      <c r="D814" s="2" t="b">
        <f>IF(AND(NOT(ISBLANK(Table1[[#This Row],[Fetal Sex (Male, Female or Unknown)]])),ISNUMBER(Table1[[#This Row],[Birthweight (grams)]]),ISNUMBER(Table1[[#This Row],[Gestation (days)]])),TRUE,FALSE)</f>
        <v>0</v>
      </c>
      <c r="E814" s="2" t="str">
        <f>IF(Table1[[#This Row],[Is Data Valid]]=TRUE,IF(Table1[[#This Row],[Fetal Sex (Male, Female or Unknown)]]="Male",Backend!$C$6,IF(Table1[[#This Row],[Fetal Sex (Male, Female or Unknown)]]="Female",Backend!$C$7,IF(Table1[[#This Row],[Fetal Sex (Male, Female or Unknown)]]="Unknown",Backend!$C$8,"Error"))),"")</f>
        <v/>
      </c>
      <c r="F814" s="8" t="str">
        <f>IF(Table1[[#This Row],[Is Data Valid]]=TRUE,EXP(0.578+0.332*((Table1[[#This Row],[Gestation (days)]]+0.5)/7)-0.00354*((Table1[[#This Row],[Gestation (days)]]+0.5)/7)^2)*Table1[[#This Row],[BW40_3705]],"")</f>
        <v/>
      </c>
      <c r="G814" s="2" t="str">
        <f>IF(Table1[[#This Row],[Is Data Valid]]=TRUE,((Table1[[#This Row],[Birthweight (grams)]]/Table1[[#This Row],[BW_GA]])-1)/(Backend!$B$4/100*Table1[[#This Row],[BW40_3705]]),"")</f>
        <v/>
      </c>
      <c r="H814" s="7" t="str">
        <f>IF(Table1[[#This Row],[Is Data Valid]]=TRUE,((Table1[[#This Row],[Birthweight (grams)]]*0.9/Table1[[#This Row],[BW_GA]])-1)/(Backend!$B$4/100*Table1[[#This Row],[BW40_3705]]),"")</f>
        <v/>
      </c>
      <c r="I814" s="7" t="str">
        <f>IF(Table1[[#This Row],[Is Data Valid]]=TRUE,((Table1[[#This Row],[Birthweight (grams)]]*1.1/Table1[[#This Row],[BW_GA]])-1)/(Backend!$B$4/100*Table1[[#This Row],[BW40_3705]]),"")</f>
        <v/>
      </c>
      <c r="J814" s="7" t="str">
        <f>IF(Table1[[#This Row],[Is Data Valid]]=TRUE,_xlfn.NORM.S.DIST(Table1[[#This Row],[Birthweight Z-Score]],TRUE)*100,"")</f>
        <v/>
      </c>
      <c r="K814" s="7" t="str">
        <f>IF(Table1[[#This Row],[Is Data Valid]]=TRUE,_xlfn.NORM.S.DIST(Table1[[#This Row],[Birthweight Z-Score (BW-10%)]],TRUE)*100,"")</f>
        <v/>
      </c>
      <c r="L814" s="7" t="str">
        <f>IF(Table1[[#This Row],[Is Data Valid]]=TRUE,_xlfn.NORM.S.DIST(Table1[[#This Row],[Birthweight Z-Score (BW+10%)]],TRUE)*100,"")</f>
        <v/>
      </c>
    </row>
    <row r="815" spans="1:12" x14ac:dyDescent="0.35">
      <c r="A815" s="3"/>
      <c r="B815" s="2"/>
      <c r="C815" s="2"/>
      <c r="D815" s="2" t="b">
        <f>IF(AND(NOT(ISBLANK(Table1[[#This Row],[Fetal Sex (Male, Female or Unknown)]])),ISNUMBER(Table1[[#This Row],[Birthweight (grams)]]),ISNUMBER(Table1[[#This Row],[Gestation (days)]])),TRUE,FALSE)</f>
        <v>0</v>
      </c>
      <c r="E815" s="2" t="str">
        <f>IF(Table1[[#This Row],[Is Data Valid]]=TRUE,IF(Table1[[#This Row],[Fetal Sex (Male, Female or Unknown)]]="Male",Backend!$C$6,IF(Table1[[#This Row],[Fetal Sex (Male, Female or Unknown)]]="Female",Backend!$C$7,IF(Table1[[#This Row],[Fetal Sex (Male, Female or Unknown)]]="Unknown",Backend!$C$8,"Error"))),"")</f>
        <v/>
      </c>
      <c r="F815" s="8" t="str">
        <f>IF(Table1[[#This Row],[Is Data Valid]]=TRUE,EXP(0.578+0.332*((Table1[[#This Row],[Gestation (days)]]+0.5)/7)-0.00354*((Table1[[#This Row],[Gestation (days)]]+0.5)/7)^2)*Table1[[#This Row],[BW40_3705]],"")</f>
        <v/>
      </c>
      <c r="G815" s="2" t="str">
        <f>IF(Table1[[#This Row],[Is Data Valid]]=TRUE,((Table1[[#This Row],[Birthweight (grams)]]/Table1[[#This Row],[BW_GA]])-1)/(Backend!$B$4/100*Table1[[#This Row],[BW40_3705]]),"")</f>
        <v/>
      </c>
      <c r="H815" s="7" t="str">
        <f>IF(Table1[[#This Row],[Is Data Valid]]=TRUE,((Table1[[#This Row],[Birthweight (grams)]]*0.9/Table1[[#This Row],[BW_GA]])-1)/(Backend!$B$4/100*Table1[[#This Row],[BW40_3705]]),"")</f>
        <v/>
      </c>
      <c r="I815" s="7" t="str">
        <f>IF(Table1[[#This Row],[Is Data Valid]]=TRUE,((Table1[[#This Row],[Birthweight (grams)]]*1.1/Table1[[#This Row],[BW_GA]])-1)/(Backend!$B$4/100*Table1[[#This Row],[BW40_3705]]),"")</f>
        <v/>
      </c>
      <c r="J815" s="7" t="str">
        <f>IF(Table1[[#This Row],[Is Data Valid]]=TRUE,_xlfn.NORM.S.DIST(Table1[[#This Row],[Birthweight Z-Score]],TRUE)*100,"")</f>
        <v/>
      </c>
      <c r="K815" s="7" t="str">
        <f>IF(Table1[[#This Row],[Is Data Valid]]=TRUE,_xlfn.NORM.S.DIST(Table1[[#This Row],[Birthweight Z-Score (BW-10%)]],TRUE)*100,"")</f>
        <v/>
      </c>
      <c r="L815" s="7" t="str">
        <f>IF(Table1[[#This Row],[Is Data Valid]]=TRUE,_xlfn.NORM.S.DIST(Table1[[#This Row],[Birthweight Z-Score (BW+10%)]],TRUE)*100,"")</f>
        <v/>
      </c>
    </row>
    <row r="816" spans="1:12" x14ac:dyDescent="0.35">
      <c r="A816" s="3"/>
      <c r="B816" s="2"/>
      <c r="C816" s="2"/>
      <c r="D816" s="2" t="b">
        <f>IF(AND(NOT(ISBLANK(Table1[[#This Row],[Fetal Sex (Male, Female or Unknown)]])),ISNUMBER(Table1[[#This Row],[Birthweight (grams)]]),ISNUMBER(Table1[[#This Row],[Gestation (days)]])),TRUE,FALSE)</f>
        <v>0</v>
      </c>
      <c r="E816" s="2" t="str">
        <f>IF(Table1[[#This Row],[Is Data Valid]]=TRUE,IF(Table1[[#This Row],[Fetal Sex (Male, Female or Unknown)]]="Male",Backend!$C$6,IF(Table1[[#This Row],[Fetal Sex (Male, Female or Unknown)]]="Female",Backend!$C$7,IF(Table1[[#This Row],[Fetal Sex (Male, Female or Unknown)]]="Unknown",Backend!$C$8,"Error"))),"")</f>
        <v/>
      </c>
      <c r="F816" s="8" t="str">
        <f>IF(Table1[[#This Row],[Is Data Valid]]=TRUE,EXP(0.578+0.332*((Table1[[#This Row],[Gestation (days)]]+0.5)/7)-0.00354*((Table1[[#This Row],[Gestation (days)]]+0.5)/7)^2)*Table1[[#This Row],[BW40_3705]],"")</f>
        <v/>
      </c>
      <c r="G816" s="2" t="str">
        <f>IF(Table1[[#This Row],[Is Data Valid]]=TRUE,((Table1[[#This Row],[Birthweight (grams)]]/Table1[[#This Row],[BW_GA]])-1)/(Backend!$B$4/100*Table1[[#This Row],[BW40_3705]]),"")</f>
        <v/>
      </c>
      <c r="H816" s="7" t="str">
        <f>IF(Table1[[#This Row],[Is Data Valid]]=TRUE,((Table1[[#This Row],[Birthweight (grams)]]*0.9/Table1[[#This Row],[BW_GA]])-1)/(Backend!$B$4/100*Table1[[#This Row],[BW40_3705]]),"")</f>
        <v/>
      </c>
      <c r="I816" s="7" t="str">
        <f>IF(Table1[[#This Row],[Is Data Valid]]=TRUE,((Table1[[#This Row],[Birthweight (grams)]]*1.1/Table1[[#This Row],[BW_GA]])-1)/(Backend!$B$4/100*Table1[[#This Row],[BW40_3705]]),"")</f>
        <v/>
      </c>
      <c r="J816" s="7" t="str">
        <f>IF(Table1[[#This Row],[Is Data Valid]]=TRUE,_xlfn.NORM.S.DIST(Table1[[#This Row],[Birthweight Z-Score]],TRUE)*100,"")</f>
        <v/>
      </c>
      <c r="K816" s="7" t="str">
        <f>IF(Table1[[#This Row],[Is Data Valid]]=TRUE,_xlfn.NORM.S.DIST(Table1[[#This Row],[Birthweight Z-Score (BW-10%)]],TRUE)*100,"")</f>
        <v/>
      </c>
      <c r="L816" s="7" t="str">
        <f>IF(Table1[[#This Row],[Is Data Valid]]=TRUE,_xlfn.NORM.S.DIST(Table1[[#This Row],[Birthweight Z-Score (BW+10%)]],TRUE)*100,"")</f>
        <v/>
      </c>
    </row>
    <row r="817" spans="1:12" x14ac:dyDescent="0.35">
      <c r="A817" s="3"/>
      <c r="B817" s="2"/>
      <c r="C817" s="2"/>
      <c r="D817" s="2" t="b">
        <f>IF(AND(NOT(ISBLANK(Table1[[#This Row],[Fetal Sex (Male, Female or Unknown)]])),ISNUMBER(Table1[[#This Row],[Birthweight (grams)]]),ISNUMBER(Table1[[#This Row],[Gestation (days)]])),TRUE,FALSE)</f>
        <v>0</v>
      </c>
      <c r="E817" s="2" t="str">
        <f>IF(Table1[[#This Row],[Is Data Valid]]=TRUE,IF(Table1[[#This Row],[Fetal Sex (Male, Female or Unknown)]]="Male",Backend!$C$6,IF(Table1[[#This Row],[Fetal Sex (Male, Female or Unknown)]]="Female",Backend!$C$7,IF(Table1[[#This Row],[Fetal Sex (Male, Female or Unknown)]]="Unknown",Backend!$C$8,"Error"))),"")</f>
        <v/>
      </c>
      <c r="F817" s="8" t="str">
        <f>IF(Table1[[#This Row],[Is Data Valid]]=TRUE,EXP(0.578+0.332*((Table1[[#This Row],[Gestation (days)]]+0.5)/7)-0.00354*((Table1[[#This Row],[Gestation (days)]]+0.5)/7)^2)*Table1[[#This Row],[BW40_3705]],"")</f>
        <v/>
      </c>
      <c r="G817" s="2" t="str">
        <f>IF(Table1[[#This Row],[Is Data Valid]]=TRUE,((Table1[[#This Row],[Birthweight (grams)]]/Table1[[#This Row],[BW_GA]])-1)/(Backend!$B$4/100*Table1[[#This Row],[BW40_3705]]),"")</f>
        <v/>
      </c>
      <c r="H817" s="7" t="str">
        <f>IF(Table1[[#This Row],[Is Data Valid]]=TRUE,((Table1[[#This Row],[Birthweight (grams)]]*0.9/Table1[[#This Row],[BW_GA]])-1)/(Backend!$B$4/100*Table1[[#This Row],[BW40_3705]]),"")</f>
        <v/>
      </c>
      <c r="I817" s="7" t="str">
        <f>IF(Table1[[#This Row],[Is Data Valid]]=TRUE,((Table1[[#This Row],[Birthweight (grams)]]*1.1/Table1[[#This Row],[BW_GA]])-1)/(Backend!$B$4/100*Table1[[#This Row],[BW40_3705]]),"")</f>
        <v/>
      </c>
      <c r="J817" s="7" t="str">
        <f>IF(Table1[[#This Row],[Is Data Valid]]=TRUE,_xlfn.NORM.S.DIST(Table1[[#This Row],[Birthweight Z-Score]],TRUE)*100,"")</f>
        <v/>
      </c>
      <c r="K817" s="7" t="str">
        <f>IF(Table1[[#This Row],[Is Data Valid]]=TRUE,_xlfn.NORM.S.DIST(Table1[[#This Row],[Birthweight Z-Score (BW-10%)]],TRUE)*100,"")</f>
        <v/>
      </c>
      <c r="L817" s="7" t="str">
        <f>IF(Table1[[#This Row],[Is Data Valid]]=TRUE,_xlfn.NORM.S.DIST(Table1[[#This Row],[Birthweight Z-Score (BW+10%)]],TRUE)*100,"")</f>
        <v/>
      </c>
    </row>
    <row r="818" spans="1:12" x14ac:dyDescent="0.35">
      <c r="A818" s="3"/>
      <c r="B818" s="2"/>
      <c r="C818" s="2"/>
      <c r="D818" s="2" t="b">
        <f>IF(AND(NOT(ISBLANK(Table1[[#This Row],[Fetal Sex (Male, Female or Unknown)]])),ISNUMBER(Table1[[#This Row],[Birthweight (grams)]]),ISNUMBER(Table1[[#This Row],[Gestation (days)]])),TRUE,FALSE)</f>
        <v>0</v>
      </c>
      <c r="E818" s="2" t="str">
        <f>IF(Table1[[#This Row],[Is Data Valid]]=TRUE,IF(Table1[[#This Row],[Fetal Sex (Male, Female or Unknown)]]="Male",Backend!$C$6,IF(Table1[[#This Row],[Fetal Sex (Male, Female or Unknown)]]="Female",Backend!$C$7,IF(Table1[[#This Row],[Fetal Sex (Male, Female or Unknown)]]="Unknown",Backend!$C$8,"Error"))),"")</f>
        <v/>
      </c>
      <c r="F818" s="8" t="str">
        <f>IF(Table1[[#This Row],[Is Data Valid]]=TRUE,EXP(0.578+0.332*((Table1[[#This Row],[Gestation (days)]]+0.5)/7)-0.00354*((Table1[[#This Row],[Gestation (days)]]+0.5)/7)^2)*Table1[[#This Row],[BW40_3705]],"")</f>
        <v/>
      </c>
      <c r="G818" s="2" t="str">
        <f>IF(Table1[[#This Row],[Is Data Valid]]=TRUE,((Table1[[#This Row],[Birthweight (grams)]]/Table1[[#This Row],[BW_GA]])-1)/(Backend!$B$4/100*Table1[[#This Row],[BW40_3705]]),"")</f>
        <v/>
      </c>
      <c r="H818" s="7" t="str">
        <f>IF(Table1[[#This Row],[Is Data Valid]]=TRUE,((Table1[[#This Row],[Birthweight (grams)]]*0.9/Table1[[#This Row],[BW_GA]])-1)/(Backend!$B$4/100*Table1[[#This Row],[BW40_3705]]),"")</f>
        <v/>
      </c>
      <c r="I818" s="7" t="str">
        <f>IF(Table1[[#This Row],[Is Data Valid]]=TRUE,((Table1[[#This Row],[Birthweight (grams)]]*1.1/Table1[[#This Row],[BW_GA]])-1)/(Backend!$B$4/100*Table1[[#This Row],[BW40_3705]]),"")</f>
        <v/>
      </c>
      <c r="J818" s="7" t="str">
        <f>IF(Table1[[#This Row],[Is Data Valid]]=TRUE,_xlfn.NORM.S.DIST(Table1[[#This Row],[Birthweight Z-Score]],TRUE)*100,"")</f>
        <v/>
      </c>
      <c r="K818" s="7" t="str">
        <f>IF(Table1[[#This Row],[Is Data Valid]]=TRUE,_xlfn.NORM.S.DIST(Table1[[#This Row],[Birthweight Z-Score (BW-10%)]],TRUE)*100,"")</f>
        <v/>
      </c>
      <c r="L818" s="7" t="str">
        <f>IF(Table1[[#This Row],[Is Data Valid]]=TRUE,_xlfn.NORM.S.DIST(Table1[[#This Row],[Birthweight Z-Score (BW+10%)]],TRUE)*100,"")</f>
        <v/>
      </c>
    </row>
    <row r="819" spans="1:12" x14ac:dyDescent="0.35">
      <c r="A819" s="3"/>
      <c r="B819" s="2"/>
      <c r="C819" s="2"/>
      <c r="D819" s="2" t="b">
        <f>IF(AND(NOT(ISBLANK(Table1[[#This Row],[Fetal Sex (Male, Female or Unknown)]])),ISNUMBER(Table1[[#This Row],[Birthweight (grams)]]),ISNUMBER(Table1[[#This Row],[Gestation (days)]])),TRUE,FALSE)</f>
        <v>0</v>
      </c>
      <c r="E819" s="2" t="str">
        <f>IF(Table1[[#This Row],[Is Data Valid]]=TRUE,IF(Table1[[#This Row],[Fetal Sex (Male, Female or Unknown)]]="Male",Backend!$C$6,IF(Table1[[#This Row],[Fetal Sex (Male, Female or Unknown)]]="Female",Backend!$C$7,IF(Table1[[#This Row],[Fetal Sex (Male, Female or Unknown)]]="Unknown",Backend!$C$8,"Error"))),"")</f>
        <v/>
      </c>
      <c r="F819" s="8" t="str">
        <f>IF(Table1[[#This Row],[Is Data Valid]]=TRUE,EXP(0.578+0.332*((Table1[[#This Row],[Gestation (days)]]+0.5)/7)-0.00354*((Table1[[#This Row],[Gestation (days)]]+0.5)/7)^2)*Table1[[#This Row],[BW40_3705]],"")</f>
        <v/>
      </c>
      <c r="G819" s="2" t="str">
        <f>IF(Table1[[#This Row],[Is Data Valid]]=TRUE,((Table1[[#This Row],[Birthweight (grams)]]/Table1[[#This Row],[BW_GA]])-1)/(Backend!$B$4/100*Table1[[#This Row],[BW40_3705]]),"")</f>
        <v/>
      </c>
      <c r="H819" s="7" t="str">
        <f>IF(Table1[[#This Row],[Is Data Valid]]=TRUE,((Table1[[#This Row],[Birthweight (grams)]]*0.9/Table1[[#This Row],[BW_GA]])-1)/(Backend!$B$4/100*Table1[[#This Row],[BW40_3705]]),"")</f>
        <v/>
      </c>
      <c r="I819" s="7" t="str">
        <f>IF(Table1[[#This Row],[Is Data Valid]]=TRUE,((Table1[[#This Row],[Birthweight (grams)]]*1.1/Table1[[#This Row],[BW_GA]])-1)/(Backend!$B$4/100*Table1[[#This Row],[BW40_3705]]),"")</f>
        <v/>
      </c>
      <c r="J819" s="7" t="str">
        <f>IF(Table1[[#This Row],[Is Data Valid]]=TRUE,_xlfn.NORM.S.DIST(Table1[[#This Row],[Birthweight Z-Score]],TRUE)*100,"")</f>
        <v/>
      </c>
      <c r="K819" s="7" t="str">
        <f>IF(Table1[[#This Row],[Is Data Valid]]=TRUE,_xlfn.NORM.S.DIST(Table1[[#This Row],[Birthweight Z-Score (BW-10%)]],TRUE)*100,"")</f>
        <v/>
      </c>
      <c r="L819" s="7" t="str">
        <f>IF(Table1[[#This Row],[Is Data Valid]]=TRUE,_xlfn.NORM.S.DIST(Table1[[#This Row],[Birthweight Z-Score (BW+10%)]],TRUE)*100,"")</f>
        <v/>
      </c>
    </row>
    <row r="820" spans="1:12" x14ac:dyDescent="0.35">
      <c r="A820" s="3"/>
      <c r="B820" s="2"/>
      <c r="C820" s="2"/>
      <c r="D820" s="2" t="b">
        <f>IF(AND(NOT(ISBLANK(Table1[[#This Row],[Fetal Sex (Male, Female or Unknown)]])),ISNUMBER(Table1[[#This Row],[Birthweight (grams)]]),ISNUMBER(Table1[[#This Row],[Gestation (days)]])),TRUE,FALSE)</f>
        <v>0</v>
      </c>
      <c r="E820" s="2" t="str">
        <f>IF(Table1[[#This Row],[Is Data Valid]]=TRUE,IF(Table1[[#This Row],[Fetal Sex (Male, Female or Unknown)]]="Male",Backend!$C$6,IF(Table1[[#This Row],[Fetal Sex (Male, Female or Unknown)]]="Female",Backend!$C$7,IF(Table1[[#This Row],[Fetal Sex (Male, Female or Unknown)]]="Unknown",Backend!$C$8,"Error"))),"")</f>
        <v/>
      </c>
      <c r="F820" s="8" t="str">
        <f>IF(Table1[[#This Row],[Is Data Valid]]=TRUE,EXP(0.578+0.332*((Table1[[#This Row],[Gestation (days)]]+0.5)/7)-0.00354*((Table1[[#This Row],[Gestation (days)]]+0.5)/7)^2)*Table1[[#This Row],[BW40_3705]],"")</f>
        <v/>
      </c>
      <c r="G820" s="2" t="str">
        <f>IF(Table1[[#This Row],[Is Data Valid]]=TRUE,((Table1[[#This Row],[Birthweight (grams)]]/Table1[[#This Row],[BW_GA]])-1)/(Backend!$B$4/100*Table1[[#This Row],[BW40_3705]]),"")</f>
        <v/>
      </c>
      <c r="H820" s="7" t="str">
        <f>IF(Table1[[#This Row],[Is Data Valid]]=TRUE,((Table1[[#This Row],[Birthweight (grams)]]*0.9/Table1[[#This Row],[BW_GA]])-1)/(Backend!$B$4/100*Table1[[#This Row],[BW40_3705]]),"")</f>
        <v/>
      </c>
      <c r="I820" s="7" t="str">
        <f>IF(Table1[[#This Row],[Is Data Valid]]=TRUE,((Table1[[#This Row],[Birthweight (grams)]]*1.1/Table1[[#This Row],[BW_GA]])-1)/(Backend!$B$4/100*Table1[[#This Row],[BW40_3705]]),"")</f>
        <v/>
      </c>
      <c r="J820" s="7" t="str">
        <f>IF(Table1[[#This Row],[Is Data Valid]]=TRUE,_xlfn.NORM.S.DIST(Table1[[#This Row],[Birthweight Z-Score]],TRUE)*100,"")</f>
        <v/>
      </c>
      <c r="K820" s="7" t="str">
        <f>IF(Table1[[#This Row],[Is Data Valid]]=TRUE,_xlfn.NORM.S.DIST(Table1[[#This Row],[Birthweight Z-Score (BW-10%)]],TRUE)*100,"")</f>
        <v/>
      </c>
      <c r="L820" s="7" t="str">
        <f>IF(Table1[[#This Row],[Is Data Valid]]=TRUE,_xlfn.NORM.S.DIST(Table1[[#This Row],[Birthweight Z-Score (BW+10%)]],TRUE)*100,"")</f>
        <v/>
      </c>
    </row>
    <row r="821" spans="1:12" x14ac:dyDescent="0.35">
      <c r="A821" s="3"/>
      <c r="B821" s="2"/>
      <c r="C821" s="2"/>
      <c r="D821" s="2" t="b">
        <f>IF(AND(NOT(ISBLANK(Table1[[#This Row],[Fetal Sex (Male, Female or Unknown)]])),ISNUMBER(Table1[[#This Row],[Birthweight (grams)]]),ISNUMBER(Table1[[#This Row],[Gestation (days)]])),TRUE,FALSE)</f>
        <v>0</v>
      </c>
      <c r="E821" s="2" t="str">
        <f>IF(Table1[[#This Row],[Is Data Valid]]=TRUE,IF(Table1[[#This Row],[Fetal Sex (Male, Female or Unknown)]]="Male",Backend!$C$6,IF(Table1[[#This Row],[Fetal Sex (Male, Female or Unknown)]]="Female",Backend!$C$7,IF(Table1[[#This Row],[Fetal Sex (Male, Female or Unknown)]]="Unknown",Backend!$C$8,"Error"))),"")</f>
        <v/>
      </c>
      <c r="F821" s="8" t="str">
        <f>IF(Table1[[#This Row],[Is Data Valid]]=TRUE,EXP(0.578+0.332*((Table1[[#This Row],[Gestation (days)]]+0.5)/7)-0.00354*((Table1[[#This Row],[Gestation (days)]]+0.5)/7)^2)*Table1[[#This Row],[BW40_3705]],"")</f>
        <v/>
      </c>
      <c r="G821" s="2" t="str">
        <f>IF(Table1[[#This Row],[Is Data Valid]]=TRUE,((Table1[[#This Row],[Birthweight (grams)]]/Table1[[#This Row],[BW_GA]])-1)/(Backend!$B$4/100*Table1[[#This Row],[BW40_3705]]),"")</f>
        <v/>
      </c>
      <c r="H821" s="7" t="str">
        <f>IF(Table1[[#This Row],[Is Data Valid]]=TRUE,((Table1[[#This Row],[Birthweight (grams)]]*0.9/Table1[[#This Row],[BW_GA]])-1)/(Backend!$B$4/100*Table1[[#This Row],[BW40_3705]]),"")</f>
        <v/>
      </c>
      <c r="I821" s="7" t="str">
        <f>IF(Table1[[#This Row],[Is Data Valid]]=TRUE,((Table1[[#This Row],[Birthweight (grams)]]*1.1/Table1[[#This Row],[BW_GA]])-1)/(Backend!$B$4/100*Table1[[#This Row],[BW40_3705]]),"")</f>
        <v/>
      </c>
      <c r="J821" s="7" t="str">
        <f>IF(Table1[[#This Row],[Is Data Valid]]=TRUE,_xlfn.NORM.S.DIST(Table1[[#This Row],[Birthweight Z-Score]],TRUE)*100,"")</f>
        <v/>
      </c>
      <c r="K821" s="7" t="str">
        <f>IF(Table1[[#This Row],[Is Data Valid]]=TRUE,_xlfn.NORM.S.DIST(Table1[[#This Row],[Birthweight Z-Score (BW-10%)]],TRUE)*100,"")</f>
        <v/>
      </c>
      <c r="L821" s="7" t="str">
        <f>IF(Table1[[#This Row],[Is Data Valid]]=TRUE,_xlfn.NORM.S.DIST(Table1[[#This Row],[Birthweight Z-Score (BW+10%)]],TRUE)*100,"")</f>
        <v/>
      </c>
    </row>
    <row r="822" spans="1:12" x14ac:dyDescent="0.35">
      <c r="A822" s="3"/>
      <c r="B822" s="2"/>
      <c r="C822" s="2"/>
      <c r="D822" s="2" t="b">
        <f>IF(AND(NOT(ISBLANK(Table1[[#This Row],[Fetal Sex (Male, Female or Unknown)]])),ISNUMBER(Table1[[#This Row],[Birthweight (grams)]]),ISNUMBER(Table1[[#This Row],[Gestation (days)]])),TRUE,FALSE)</f>
        <v>0</v>
      </c>
      <c r="E822" s="2" t="str">
        <f>IF(Table1[[#This Row],[Is Data Valid]]=TRUE,IF(Table1[[#This Row],[Fetal Sex (Male, Female or Unknown)]]="Male",Backend!$C$6,IF(Table1[[#This Row],[Fetal Sex (Male, Female or Unknown)]]="Female",Backend!$C$7,IF(Table1[[#This Row],[Fetal Sex (Male, Female or Unknown)]]="Unknown",Backend!$C$8,"Error"))),"")</f>
        <v/>
      </c>
      <c r="F822" s="8" t="str">
        <f>IF(Table1[[#This Row],[Is Data Valid]]=TRUE,EXP(0.578+0.332*((Table1[[#This Row],[Gestation (days)]]+0.5)/7)-0.00354*((Table1[[#This Row],[Gestation (days)]]+0.5)/7)^2)*Table1[[#This Row],[BW40_3705]],"")</f>
        <v/>
      </c>
      <c r="G822" s="2" t="str">
        <f>IF(Table1[[#This Row],[Is Data Valid]]=TRUE,((Table1[[#This Row],[Birthweight (grams)]]/Table1[[#This Row],[BW_GA]])-1)/(Backend!$B$4/100*Table1[[#This Row],[BW40_3705]]),"")</f>
        <v/>
      </c>
      <c r="H822" s="7" t="str">
        <f>IF(Table1[[#This Row],[Is Data Valid]]=TRUE,((Table1[[#This Row],[Birthweight (grams)]]*0.9/Table1[[#This Row],[BW_GA]])-1)/(Backend!$B$4/100*Table1[[#This Row],[BW40_3705]]),"")</f>
        <v/>
      </c>
      <c r="I822" s="7" t="str">
        <f>IF(Table1[[#This Row],[Is Data Valid]]=TRUE,((Table1[[#This Row],[Birthweight (grams)]]*1.1/Table1[[#This Row],[BW_GA]])-1)/(Backend!$B$4/100*Table1[[#This Row],[BW40_3705]]),"")</f>
        <v/>
      </c>
      <c r="J822" s="7" t="str">
        <f>IF(Table1[[#This Row],[Is Data Valid]]=TRUE,_xlfn.NORM.S.DIST(Table1[[#This Row],[Birthweight Z-Score]],TRUE)*100,"")</f>
        <v/>
      </c>
      <c r="K822" s="7" t="str">
        <f>IF(Table1[[#This Row],[Is Data Valid]]=TRUE,_xlfn.NORM.S.DIST(Table1[[#This Row],[Birthweight Z-Score (BW-10%)]],TRUE)*100,"")</f>
        <v/>
      </c>
      <c r="L822" s="7" t="str">
        <f>IF(Table1[[#This Row],[Is Data Valid]]=TRUE,_xlfn.NORM.S.DIST(Table1[[#This Row],[Birthweight Z-Score (BW+10%)]],TRUE)*100,"")</f>
        <v/>
      </c>
    </row>
    <row r="823" spans="1:12" x14ac:dyDescent="0.35">
      <c r="A823" s="3"/>
      <c r="B823" s="2"/>
      <c r="C823" s="2"/>
      <c r="D823" s="2" t="b">
        <f>IF(AND(NOT(ISBLANK(Table1[[#This Row],[Fetal Sex (Male, Female or Unknown)]])),ISNUMBER(Table1[[#This Row],[Birthweight (grams)]]),ISNUMBER(Table1[[#This Row],[Gestation (days)]])),TRUE,FALSE)</f>
        <v>0</v>
      </c>
      <c r="E823" s="2" t="str">
        <f>IF(Table1[[#This Row],[Is Data Valid]]=TRUE,IF(Table1[[#This Row],[Fetal Sex (Male, Female or Unknown)]]="Male",Backend!$C$6,IF(Table1[[#This Row],[Fetal Sex (Male, Female or Unknown)]]="Female",Backend!$C$7,IF(Table1[[#This Row],[Fetal Sex (Male, Female or Unknown)]]="Unknown",Backend!$C$8,"Error"))),"")</f>
        <v/>
      </c>
      <c r="F823" s="8" t="str">
        <f>IF(Table1[[#This Row],[Is Data Valid]]=TRUE,EXP(0.578+0.332*((Table1[[#This Row],[Gestation (days)]]+0.5)/7)-0.00354*((Table1[[#This Row],[Gestation (days)]]+0.5)/7)^2)*Table1[[#This Row],[BW40_3705]],"")</f>
        <v/>
      </c>
      <c r="G823" s="2" t="str">
        <f>IF(Table1[[#This Row],[Is Data Valid]]=TRUE,((Table1[[#This Row],[Birthweight (grams)]]/Table1[[#This Row],[BW_GA]])-1)/(Backend!$B$4/100*Table1[[#This Row],[BW40_3705]]),"")</f>
        <v/>
      </c>
      <c r="H823" s="7" t="str">
        <f>IF(Table1[[#This Row],[Is Data Valid]]=TRUE,((Table1[[#This Row],[Birthweight (grams)]]*0.9/Table1[[#This Row],[BW_GA]])-1)/(Backend!$B$4/100*Table1[[#This Row],[BW40_3705]]),"")</f>
        <v/>
      </c>
      <c r="I823" s="7" t="str">
        <f>IF(Table1[[#This Row],[Is Data Valid]]=TRUE,((Table1[[#This Row],[Birthweight (grams)]]*1.1/Table1[[#This Row],[BW_GA]])-1)/(Backend!$B$4/100*Table1[[#This Row],[BW40_3705]]),"")</f>
        <v/>
      </c>
      <c r="J823" s="7" t="str">
        <f>IF(Table1[[#This Row],[Is Data Valid]]=TRUE,_xlfn.NORM.S.DIST(Table1[[#This Row],[Birthweight Z-Score]],TRUE)*100,"")</f>
        <v/>
      </c>
      <c r="K823" s="7" t="str">
        <f>IF(Table1[[#This Row],[Is Data Valid]]=TRUE,_xlfn.NORM.S.DIST(Table1[[#This Row],[Birthweight Z-Score (BW-10%)]],TRUE)*100,"")</f>
        <v/>
      </c>
      <c r="L823" s="7" t="str">
        <f>IF(Table1[[#This Row],[Is Data Valid]]=TRUE,_xlfn.NORM.S.DIST(Table1[[#This Row],[Birthweight Z-Score (BW+10%)]],TRUE)*100,"")</f>
        <v/>
      </c>
    </row>
    <row r="824" spans="1:12" x14ac:dyDescent="0.35">
      <c r="A824" s="3"/>
      <c r="B824" s="2"/>
      <c r="C824" s="2"/>
      <c r="D824" s="2" t="b">
        <f>IF(AND(NOT(ISBLANK(Table1[[#This Row],[Fetal Sex (Male, Female or Unknown)]])),ISNUMBER(Table1[[#This Row],[Birthweight (grams)]]),ISNUMBER(Table1[[#This Row],[Gestation (days)]])),TRUE,FALSE)</f>
        <v>0</v>
      </c>
      <c r="E824" s="2" t="str">
        <f>IF(Table1[[#This Row],[Is Data Valid]]=TRUE,IF(Table1[[#This Row],[Fetal Sex (Male, Female or Unknown)]]="Male",Backend!$C$6,IF(Table1[[#This Row],[Fetal Sex (Male, Female or Unknown)]]="Female",Backend!$C$7,IF(Table1[[#This Row],[Fetal Sex (Male, Female or Unknown)]]="Unknown",Backend!$C$8,"Error"))),"")</f>
        <v/>
      </c>
      <c r="F824" s="8" t="str">
        <f>IF(Table1[[#This Row],[Is Data Valid]]=TRUE,EXP(0.578+0.332*((Table1[[#This Row],[Gestation (days)]]+0.5)/7)-0.00354*((Table1[[#This Row],[Gestation (days)]]+0.5)/7)^2)*Table1[[#This Row],[BW40_3705]],"")</f>
        <v/>
      </c>
      <c r="G824" s="2" t="str">
        <f>IF(Table1[[#This Row],[Is Data Valid]]=TRUE,((Table1[[#This Row],[Birthweight (grams)]]/Table1[[#This Row],[BW_GA]])-1)/(Backend!$B$4/100*Table1[[#This Row],[BW40_3705]]),"")</f>
        <v/>
      </c>
      <c r="H824" s="7" t="str">
        <f>IF(Table1[[#This Row],[Is Data Valid]]=TRUE,((Table1[[#This Row],[Birthweight (grams)]]*0.9/Table1[[#This Row],[BW_GA]])-1)/(Backend!$B$4/100*Table1[[#This Row],[BW40_3705]]),"")</f>
        <v/>
      </c>
      <c r="I824" s="7" t="str">
        <f>IF(Table1[[#This Row],[Is Data Valid]]=TRUE,((Table1[[#This Row],[Birthweight (grams)]]*1.1/Table1[[#This Row],[BW_GA]])-1)/(Backend!$B$4/100*Table1[[#This Row],[BW40_3705]]),"")</f>
        <v/>
      </c>
      <c r="J824" s="7" t="str">
        <f>IF(Table1[[#This Row],[Is Data Valid]]=TRUE,_xlfn.NORM.S.DIST(Table1[[#This Row],[Birthweight Z-Score]],TRUE)*100,"")</f>
        <v/>
      </c>
      <c r="K824" s="7" t="str">
        <f>IF(Table1[[#This Row],[Is Data Valid]]=TRUE,_xlfn.NORM.S.DIST(Table1[[#This Row],[Birthweight Z-Score (BW-10%)]],TRUE)*100,"")</f>
        <v/>
      </c>
      <c r="L824" s="7" t="str">
        <f>IF(Table1[[#This Row],[Is Data Valid]]=TRUE,_xlfn.NORM.S.DIST(Table1[[#This Row],[Birthweight Z-Score (BW+10%)]],TRUE)*100,"")</f>
        <v/>
      </c>
    </row>
    <row r="825" spans="1:12" x14ac:dyDescent="0.35">
      <c r="A825" s="3"/>
      <c r="B825" s="2"/>
      <c r="C825" s="2"/>
      <c r="D825" s="2" t="b">
        <f>IF(AND(NOT(ISBLANK(Table1[[#This Row],[Fetal Sex (Male, Female or Unknown)]])),ISNUMBER(Table1[[#This Row],[Birthweight (grams)]]),ISNUMBER(Table1[[#This Row],[Gestation (days)]])),TRUE,FALSE)</f>
        <v>0</v>
      </c>
      <c r="E825" s="2" t="str">
        <f>IF(Table1[[#This Row],[Is Data Valid]]=TRUE,IF(Table1[[#This Row],[Fetal Sex (Male, Female or Unknown)]]="Male",Backend!$C$6,IF(Table1[[#This Row],[Fetal Sex (Male, Female or Unknown)]]="Female",Backend!$C$7,IF(Table1[[#This Row],[Fetal Sex (Male, Female or Unknown)]]="Unknown",Backend!$C$8,"Error"))),"")</f>
        <v/>
      </c>
      <c r="F825" s="8" t="str">
        <f>IF(Table1[[#This Row],[Is Data Valid]]=TRUE,EXP(0.578+0.332*((Table1[[#This Row],[Gestation (days)]]+0.5)/7)-0.00354*((Table1[[#This Row],[Gestation (days)]]+0.5)/7)^2)*Table1[[#This Row],[BW40_3705]],"")</f>
        <v/>
      </c>
      <c r="G825" s="2" t="str">
        <f>IF(Table1[[#This Row],[Is Data Valid]]=TRUE,((Table1[[#This Row],[Birthweight (grams)]]/Table1[[#This Row],[BW_GA]])-1)/(Backend!$B$4/100*Table1[[#This Row],[BW40_3705]]),"")</f>
        <v/>
      </c>
      <c r="H825" s="7" t="str">
        <f>IF(Table1[[#This Row],[Is Data Valid]]=TRUE,((Table1[[#This Row],[Birthweight (grams)]]*0.9/Table1[[#This Row],[BW_GA]])-1)/(Backend!$B$4/100*Table1[[#This Row],[BW40_3705]]),"")</f>
        <v/>
      </c>
      <c r="I825" s="7" t="str">
        <f>IF(Table1[[#This Row],[Is Data Valid]]=TRUE,((Table1[[#This Row],[Birthweight (grams)]]*1.1/Table1[[#This Row],[BW_GA]])-1)/(Backend!$B$4/100*Table1[[#This Row],[BW40_3705]]),"")</f>
        <v/>
      </c>
      <c r="J825" s="7" t="str">
        <f>IF(Table1[[#This Row],[Is Data Valid]]=TRUE,_xlfn.NORM.S.DIST(Table1[[#This Row],[Birthweight Z-Score]],TRUE)*100,"")</f>
        <v/>
      </c>
      <c r="K825" s="7" t="str">
        <f>IF(Table1[[#This Row],[Is Data Valid]]=TRUE,_xlfn.NORM.S.DIST(Table1[[#This Row],[Birthweight Z-Score (BW-10%)]],TRUE)*100,"")</f>
        <v/>
      </c>
      <c r="L825" s="7" t="str">
        <f>IF(Table1[[#This Row],[Is Data Valid]]=TRUE,_xlfn.NORM.S.DIST(Table1[[#This Row],[Birthweight Z-Score (BW+10%)]],TRUE)*100,"")</f>
        <v/>
      </c>
    </row>
    <row r="826" spans="1:12" x14ac:dyDescent="0.35">
      <c r="A826" s="3"/>
      <c r="B826" s="2"/>
      <c r="C826" s="2"/>
      <c r="D826" s="2" t="b">
        <f>IF(AND(NOT(ISBLANK(Table1[[#This Row],[Fetal Sex (Male, Female or Unknown)]])),ISNUMBER(Table1[[#This Row],[Birthweight (grams)]]),ISNUMBER(Table1[[#This Row],[Gestation (days)]])),TRUE,FALSE)</f>
        <v>0</v>
      </c>
      <c r="E826" s="2" t="str">
        <f>IF(Table1[[#This Row],[Is Data Valid]]=TRUE,IF(Table1[[#This Row],[Fetal Sex (Male, Female or Unknown)]]="Male",Backend!$C$6,IF(Table1[[#This Row],[Fetal Sex (Male, Female or Unknown)]]="Female",Backend!$C$7,IF(Table1[[#This Row],[Fetal Sex (Male, Female or Unknown)]]="Unknown",Backend!$C$8,"Error"))),"")</f>
        <v/>
      </c>
      <c r="F826" s="8" t="str">
        <f>IF(Table1[[#This Row],[Is Data Valid]]=TRUE,EXP(0.578+0.332*((Table1[[#This Row],[Gestation (days)]]+0.5)/7)-0.00354*((Table1[[#This Row],[Gestation (days)]]+0.5)/7)^2)*Table1[[#This Row],[BW40_3705]],"")</f>
        <v/>
      </c>
      <c r="G826" s="2" t="str">
        <f>IF(Table1[[#This Row],[Is Data Valid]]=TRUE,((Table1[[#This Row],[Birthweight (grams)]]/Table1[[#This Row],[BW_GA]])-1)/(Backend!$B$4/100*Table1[[#This Row],[BW40_3705]]),"")</f>
        <v/>
      </c>
      <c r="H826" s="7" t="str">
        <f>IF(Table1[[#This Row],[Is Data Valid]]=TRUE,((Table1[[#This Row],[Birthweight (grams)]]*0.9/Table1[[#This Row],[BW_GA]])-1)/(Backend!$B$4/100*Table1[[#This Row],[BW40_3705]]),"")</f>
        <v/>
      </c>
      <c r="I826" s="7" t="str">
        <f>IF(Table1[[#This Row],[Is Data Valid]]=TRUE,((Table1[[#This Row],[Birthweight (grams)]]*1.1/Table1[[#This Row],[BW_GA]])-1)/(Backend!$B$4/100*Table1[[#This Row],[BW40_3705]]),"")</f>
        <v/>
      </c>
      <c r="J826" s="7" t="str">
        <f>IF(Table1[[#This Row],[Is Data Valid]]=TRUE,_xlfn.NORM.S.DIST(Table1[[#This Row],[Birthweight Z-Score]],TRUE)*100,"")</f>
        <v/>
      </c>
      <c r="K826" s="7" t="str">
        <f>IF(Table1[[#This Row],[Is Data Valid]]=TRUE,_xlfn.NORM.S.DIST(Table1[[#This Row],[Birthweight Z-Score (BW-10%)]],TRUE)*100,"")</f>
        <v/>
      </c>
      <c r="L826" s="7" t="str">
        <f>IF(Table1[[#This Row],[Is Data Valid]]=TRUE,_xlfn.NORM.S.DIST(Table1[[#This Row],[Birthweight Z-Score (BW+10%)]],TRUE)*100,"")</f>
        <v/>
      </c>
    </row>
    <row r="827" spans="1:12" x14ac:dyDescent="0.35">
      <c r="A827" s="3"/>
      <c r="B827" s="2"/>
      <c r="C827" s="2"/>
      <c r="D827" s="2" t="b">
        <f>IF(AND(NOT(ISBLANK(Table1[[#This Row],[Fetal Sex (Male, Female or Unknown)]])),ISNUMBER(Table1[[#This Row],[Birthweight (grams)]]),ISNUMBER(Table1[[#This Row],[Gestation (days)]])),TRUE,FALSE)</f>
        <v>0</v>
      </c>
      <c r="E827" s="2" t="str">
        <f>IF(Table1[[#This Row],[Is Data Valid]]=TRUE,IF(Table1[[#This Row],[Fetal Sex (Male, Female or Unknown)]]="Male",Backend!$C$6,IF(Table1[[#This Row],[Fetal Sex (Male, Female or Unknown)]]="Female",Backend!$C$7,IF(Table1[[#This Row],[Fetal Sex (Male, Female or Unknown)]]="Unknown",Backend!$C$8,"Error"))),"")</f>
        <v/>
      </c>
      <c r="F827" s="8" t="str">
        <f>IF(Table1[[#This Row],[Is Data Valid]]=TRUE,EXP(0.578+0.332*((Table1[[#This Row],[Gestation (days)]]+0.5)/7)-0.00354*((Table1[[#This Row],[Gestation (days)]]+0.5)/7)^2)*Table1[[#This Row],[BW40_3705]],"")</f>
        <v/>
      </c>
      <c r="G827" s="2" t="str">
        <f>IF(Table1[[#This Row],[Is Data Valid]]=TRUE,((Table1[[#This Row],[Birthweight (grams)]]/Table1[[#This Row],[BW_GA]])-1)/(Backend!$B$4/100*Table1[[#This Row],[BW40_3705]]),"")</f>
        <v/>
      </c>
      <c r="H827" s="7" t="str">
        <f>IF(Table1[[#This Row],[Is Data Valid]]=TRUE,((Table1[[#This Row],[Birthweight (grams)]]*0.9/Table1[[#This Row],[BW_GA]])-1)/(Backend!$B$4/100*Table1[[#This Row],[BW40_3705]]),"")</f>
        <v/>
      </c>
      <c r="I827" s="7" t="str">
        <f>IF(Table1[[#This Row],[Is Data Valid]]=TRUE,((Table1[[#This Row],[Birthweight (grams)]]*1.1/Table1[[#This Row],[BW_GA]])-1)/(Backend!$B$4/100*Table1[[#This Row],[BW40_3705]]),"")</f>
        <v/>
      </c>
      <c r="J827" s="7" t="str">
        <f>IF(Table1[[#This Row],[Is Data Valid]]=TRUE,_xlfn.NORM.S.DIST(Table1[[#This Row],[Birthweight Z-Score]],TRUE)*100,"")</f>
        <v/>
      </c>
      <c r="K827" s="7" t="str">
        <f>IF(Table1[[#This Row],[Is Data Valid]]=TRUE,_xlfn.NORM.S.DIST(Table1[[#This Row],[Birthweight Z-Score (BW-10%)]],TRUE)*100,"")</f>
        <v/>
      </c>
      <c r="L827" s="7" t="str">
        <f>IF(Table1[[#This Row],[Is Data Valid]]=TRUE,_xlfn.NORM.S.DIST(Table1[[#This Row],[Birthweight Z-Score (BW+10%)]],TRUE)*100,"")</f>
        <v/>
      </c>
    </row>
    <row r="828" spans="1:12" x14ac:dyDescent="0.35">
      <c r="A828" s="3"/>
      <c r="B828" s="2"/>
      <c r="C828" s="2"/>
      <c r="D828" s="2" t="b">
        <f>IF(AND(NOT(ISBLANK(Table1[[#This Row],[Fetal Sex (Male, Female or Unknown)]])),ISNUMBER(Table1[[#This Row],[Birthweight (grams)]]),ISNUMBER(Table1[[#This Row],[Gestation (days)]])),TRUE,FALSE)</f>
        <v>0</v>
      </c>
      <c r="E828" s="2" t="str">
        <f>IF(Table1[[#This Row],[Is Data Valid]]=TRUE,IF(Table1[[#This Row],[Fetal Sex (Male, Female or Unknown)]]="Male",Backend!$C$6,IF(Table1[[#This Row],[Fetal Sex (Male, Female or Unknown)]]="Female",Backend!$C$7,IF(Table1[[#This Row],[Fetal Sex (Male, Female or Unknown)]]="Unknown",Backend!$C$8,"Error"))),"")</f>
        <v/>
      </c>
      <c r="F828" s="8" t="str">
        <f>IF(Table1[[#This Row],[Is Data Valid]]=TRUE,EXP(0.578+0.332*((Table1[[#This Row],[Gestation (days)]]+0.5)/7)-0.00354*((Table1[[#This Row],[Gestation (days)]]+0.5)/7)^2)*Table1[[#This Row],[BW40_3705]],"")</f>
        <v/>
      </c>
      <c r="G828" s="2" t="str">
        <f>IF(Table1[[#This Row],[Is Data Valid]]=TRUE,((Table1[[#This Row],[Birthweight (grams)]]/Table1[[#This Row],[BW_GA]])-1)/(Backend!$B$4/100*Table1[[#This Row],[BW40_3705]]),"")</f>
        <v/>
      </c>
      <c r="H828" s="7" t="str">
        <f>IF(Table1[[#This Row],[Is Data Valid]]=TRUE,((Table1[[#This Row],[Birthweight (grams)]]*0.9/Table1[[#This Row],[BW_GA]])-1)/(Backend!$B$4/100*Table1[[#This Row],[BW40_3705]]),"")</f>
        <v/>
      </c>
      <c r="I828" s="7" t="str">
        <f>IF(Table1[[#This Row],[Is Data Valid]]=TRUE,((Table1[[#This Row],[Birthweight (grams)]]*1.1/Table1[[#This Row],[BW_GA]])-1)/(Backend!$B$4/100*Table1[[#This Row],[BW40_3705]]),"")</f>
        <v/>
      </c>
      <c r="J828" s="7" t="str">
        <f>IF(Table1[[#This Row],[Is Data Valid]]=TRUE,_xlfn.NORM.S.DIST(Table1[[#This Row],[Birthweight Z-Score]],TRUE)*100,"")</f>
        <v/>
      </c>
      <c r="K828" s="7" t="str">
        <f>IF(Table1[[#This Row],[Is Data Valid]]=TRUE,_xlfn.NORM.S.DIST(Table1[[#This Row],[Birthweight Z-Score (BW-10%)]],TRUE)*100,"")</f>
        <v/>
      </c>
      <c r="L828" s="7" t="str">
        <f>IF(Table1[[#This Row],[Is Data Valid]]=TRUE,_xlfn.NORM.S.DIST(Table1[[#This Row],[Birthweight Z-Score (BW+10%)]],TRUE)*100,"")</f>
        <v/>
      </c>
    </row>
    <row r="829" spans="1:12" x14ac:dyDescent="0.35">
      <c r="A829" s="3"/>
      <c r="B829" s="2"/>
      <c r="C829" s="2"/>
      <c r="D829" s="2" t="b">
        <f>IF(AND(NOT(ISBLANK(Table1[[#This Row],[Fetal Sex (Male, Female or Unknown)]])),ISNUMBER(Table1[[#This Row],[Birthweight (grams)]]),ISNUMBER(Table1[[#This Row],[Gestation (days)]])),TRUE,FALSE)</f>
        <v>0</v>
      </c>
      <c r="E829" s="2" t="str">
        <f>IF(Table1[[#This Row],[Is Data Valid]]=TRUE,IF(Table1[[#This Row],[Fetal Sex (Male, Female or Unknown)]]="Male",Backend!$C$6,IF(Table1[[#This Row],[Fetal Sex (Male, Female or Unknown)]]="Female",Backend!$C$7,IF(Table1[[#This Row],[Fetal Sex (Male, Female or Unknown)]]="Unknown",Backend!$C$8,"Error"))),"")</f>
        <v/>
      </c>
      <c r="F829" s="8" t="str">
        <f>IF(Table1[[#This Row],[Is Data Valid]]=TRUE,EXP(0.578+0.332*((Table1[[#This Row],[Gestation (days)]]+0.5)/7)-0.00354*((Table1[[#This Row],[Gestation (days)]]+0.5)/7)^2)*Table1[[#This Row],[BW40_3705]],"")</f>
        <v/>
      </c>
      <c r="G829" s="2" t="str">
        <f>IF(Table1[[#This Row],[Is Data Valid]]=TRUE,((Table1[[#This Row],[Birthweight (grams)]]/Table1[[#This Row],[BW_GA]])-1)/(Backend!$B$4/100*Table1[[#This Row],[BW40_3705]]),"")</f>
        <v/>
      </c>
      <c r="H829" s="7" t="str">
        <f>IF(Table1[[#This Row],[Is Data Valid]]=TRUE,((Table1[[#This Row],[Birthweight (grams)]]*0.9/Table1[[#This Row],[BW_GA]])-1)/(Backend!$B$4/100*Table1[[#This Row],[BW40_3705]]),"")</f>
        <v/>
      </c>
      <c r="I829" s="7" t="str">
        <f>IF(Table1[[#This Row],[Is Data Valid]]=TRUE,((Table1[[#This Row],[Birthweight (grams)]]*1.1/Table1[[#This Row],[BW_GA]])-1)/(Backend!$B$4/100*Table1[[#This Row],[BW40_3705]]),"")</f>
        <v/>
      </c>
      <c r="J829" s="7" t="str">
        <f>IF(Table1[[#This Row],[Is Data Valid]]=TRUE,_xlfn.NORM.S.DIST(Table1[[#This Row],[Birthweight Z-Score]],TRUE)*100,"")</f>
        <v/>
      </c>
      <c r="K829" s="7" t="str">
        <f>IF(Table1[[#This Row],[Is Data Valid]]=TRUE,_xlfn.NORM.S.DIST(Table1[[#This Row],[Birthweight Z-Score (BW-10%)]],TRUE)*100,"")</f>
        <v/>
      </c>
      <c r="L829" s="7" t="str">
        <f>IF(Table1[[#This Row],[Is Data Valid]]=TRUE,_xlfn.NORM.S.DIST(Table1[[#This Row],[Birthweight Z-Score (BW+10%)]],TRUE)*100,"")</f>
        <v/>
      </c>
    </row>
    <row r="830" spans="1:12" x14ac:dyDescent="0.35">
      <c r="A830" s="3"/>
      <c r="B830" s="2"/>
      <c r="C830" s="2"/>
      <c r="D830" s="2" t="b">
        <f>IF(AND(NOT(ISBLANK(Table1[[#This Row],[Fetal Sex (Male, Female or Unknown)]])),ISNUMBER(Table1[[#This Row],[Birthweight (grams)]]),ISNUMBER(Table1[[#This Row],[Gestation (days)]])),TRUE,FALSE)</f>
        <v>0</v>
      </c>
      <c r="E830" s="2" t="str">
        <f>IF(Table1[[#This Row],[Is Data Valid]]=TRUE,IF(Table1[[#This Row],[Fetal Sex (Male, Female or Unknown)]]="Male",Backend!$C$6,IF(Table1[[#This Row],[Fetal Sex (Male, Female or Unknown)]]="Female",Backend!$C$7,IF(Table1[[#This Row],[Fetal Sex (Male, Female or Unknown)]]="Unknown",Backend!$C$8,"Error"))),"")</f>
        <v/>
      </c>
      <c r="F830" s="8" t="str">
        <f>IF(Table1[[#This Row],[Is Data Valid]]=TRUE,EXP(0.578+0.332*((Table1[[#This Row],[Gestation (days)]]+0.5)/7)-0.00354*((Table1[[#This Row],[Gestation (days)]]+0.5)/7)^2)*Table1[[#This Row],[BW40_3705]],"")</f>
        <v/>
      </c>
      <c r="G830" s="2" t="str">
        <f>IF(Table1[[#This Row],[Is Data Valid]]=TRUE,((Table1[[#This Row],[Birthweight (grams)]]/Table1[[#This Row],[BW_GA]])-1)/(Backend!$B$4/100*Table1[[#This Row],[BW40_3705]]),"")</f>
        <v/>
      </c>
      <c r="H830" s="7" t="str">
        <f>IF(Table1[[#This Row],[Is Data Valid]]=TRUE,((Table1[[#This Row],[Birthweight (grams)]]*0.9/Table1[[#This Row],[BW_GA]])-1)/(Backend!$B$4/100*Table1[[#This Row],[BW40_3705]]),"")</f>
        <v/>
      </c>
      <c r="I830" s="7" t="str">
        <f>IF(Table1[[#This Row],[Is Data Valid]]=TRUE,((Table1[[#This Row],[Birthweight (grams)]]*1.1/Table1[[#This Row],[BW_GA]])-1)/(Backend!$B$4/100*Table1[[#This Row],[BW40_3705]]),"")</f>
        <v/>
      </c>
      <c r="J830" s="7" t="str">
        <f>IF(Table1[[#This Row],[Is Data Valid]]=TRUE,_xlfn.NORM.S.DIST(Table1[[#This Row],[Birthweight Z-Score]],TRUE)*100,"")</f>
        <v/>
      </c>
      <c r="K830" s="7" t="str">
        <f>IF(Table1[[#This Row],[Is Data Valid]]=TRUE,_xlfn.NORM.S.DIST(Table1[[#This Row],[Birthweight Z-Score (BW-10%)]],TRUE)*100,"")</f>
        <v/>
      </c>
      <c r="L830" s="7" t="str">
        <f>IF(Table1[[#This Row],[Is Data Valid]]=TRUE,_xlfn.NORM.S.DIST(Table1[[#This Row],[Birthweight Z-Score (BW+10%)]],TRUE)*100,"")</f>
        <v/>
      </c>
    </row>
    <row r="831" spans="1:12" x14ac:dyDescent="0.35">
      <c r="A831" s="3"/>
      <c r="B831" s="2"/>
      <c r="C831" s="2"/>
      <c r="D831" s="2" t="b">
        <f>IF(AND(NOT(ISBLANK(Table1[[#This Row],[Fetal Sex (Male, Female or Unknown)]])),ISNUMBER(Table1[[#This Row],[Birthweight (grams)]]),ISNUMBER(Table1[[#This Row],[Gestation (days)]])),TRUE,FALSE)</f>
        <v>0</v>
      </c>
      <c r="E831" s="2" t="str">
        <f>IF(Table1[[#This Row],[Is Data Valid]]=TRUE,IF(Table1[[#This Row],[Fetal Sex (Male, Female or Unknown)]]="Male",Backend!$C$6,IF(Table1[[#This Row],[Fetal Sex (Male, Female or Unknown)]]="Female",Backend!$C$7,IF(Table1[[#This Row],[Fetal Sex (Male, Female or Unknown)]]="Unknown",Backend!$C$8,"Error"))),"")</f>
        <v/>
      </c>
      <c r="F831" s="8" t="str">
        <f>IF(Table1[[#This Row],[Is Data Valid]]=TRUE,EXP(0.578+0.332*((Table1[[#This Row],[Gestation (days)]]+0.5)/7)-0.00354*((Table1[[#This Row],[Gestation (days)]]+0.5)/7)^2)*Table1[[#This Row],[BW40_3705]],"")</f>
        <v/>
      </c>
      <c r="G831" s="2" t="str">
        <f>IF(Table1[[#This Row],[Is Data Valid]]=TRUE,((Table1[[#This Row],[Birthweight (grams)]]/Table1[[#This Row],[BW_GA]])-1)/(Backend!$B$4/100*Table1[[#This Row],[BW40_3705]]),"")</f>
        <v/>
      </c>
      <c r="H831" s="7" t="str">
        <f>IF(Table1[[#This Row],[Is Data Valid]]=TRUE,((Table1[[#This Row],[Birthweight (grams)]]*0.9/Table1[[#This Row],[BW_GA]])-1)/(Backend!$B$4/100*Table1[[#This Row],[BW40_3705]]),"")</f>
        <v/>
      </c>
      <c r="I831" s="7" t="str">
        <f>IF(Table1[[#This Row],[Is Data Valid]]=TRUE,((Table1[[#This Row],[Birthweight (grams)]]*1.1/Table1[[#This Row],[BW_GA]])-1)/(Backend!$B$4/100*Table1[[#This Row],[BW40_3705]]),"")</f>
        <v/>
      </c>
      <c r="J831" s="7" t="str">
        <f>IF(Table1[[#This Row],[Is Data Valid]]=TRUE,_xlfn.NORM.S.DIST(Table1[[#This Row],[Birthweight Z-Score]],TRUE)*100,"")</f>
        <v/>
      </c>
      <c r="K831" s="7" t="str">
        <f>IF(Table1[[#This Row],[Is Data Valid]]=TRUE,_xlfn.NORM.S.DIST(Table1[[#This Row],[Birthweight Z-Score (BW-10%)]],TRUE)*100,"")</f>
        <v/>
      </c>
      <c r="L831" s="7" t="str">
        <f>IF(Table1[[#This Row],[Is Data Valid]]=TRUE,_xlfn.NORM.S.DIST(Table1[[#This Row],[Birthweight Z-Score (BW+10%)]],TRUE)*100,"")</f>
        <v/>
      </c>
    </row>
    <row r="832" spans="1:12" x14ac:dyDescent="0.35">
      <c r="A832" s="3"/>
      <c r="B832" s="2"/>
      <c r="C832" s="2"/>
      <c r="D832" s="2" t="b">
        <f>IF(AND(NOT(ISBLANK(Table1[[#This Row],[Fetal Sex (Male, Female or Unknown)]])),ISNUMBER(Table1[[#This Row],[Birthweight (grams)]]),ISNUMBER(Table1[[#This Row],[Gestation (days)]])),TRUE,FALSE)</f>
        <v>0</v>
      </c>
      <c r="E832" s="2" t="str">
        <f>IF(Table1[[#This Row],[Is Data Valid]]=TRUE,IF(Table1[[#This Row],[Fetal Sex (Male, Female or Unknown)]]="Male",Backend!$C$6,IF(Table1[[#This Row],[Fetal Sex (Male, Female or Unknown)]]="Female",Backend!$C$7,IF(Table1[[#This Row],[Fetal Sex (Male, Female or Unknown)]]="Unknown",Backend!$C$8,"Error"))),"")</f>
        <v/>
      </c>
      <c r="F832" s="8" t="str">
        <f>IF(Table1[[#This Row],[Is Data Valid]]=TRUE,EXP(0.578+0.332*((Table1[[#This Row],[Gestation (days)]]+0.5)/7)-0.00354*((Table1[[#This Row],[Gestation (days)]]+0.5)/7)^2)*Table1[[#This Row],[BW40_3705]],"")</f>
        <v/>
      </c>
      <c r="G832" s="2" t="str">
        <f>IF(Table1[[#This Row],[Is Data Valid]]=TRUE,((Table1[[#This Row],[Birthweight (grams)]]/Table1[[#This Row],[BW_GA]])-1)/(Backend!$B$4/100*Table1[[#This Row],[BW40_3705]]),"")</f>
        <v/>
      </c>
      <c r="H832" s="7" t="str">
        <f>IF(Table1[[#This Row],[Is Data Valid]]=TRUE,((Table1[[#This Row],[Birthweight (grams)]]*0.9/Table1[[#This Row],[BW_GA]])-1)/(Backend!$B$4/100*Table1[[#This Row],[BW40_3705]]),"")</f>
        <v/>
      </c>
      <c r="I832" s="7" t="str">
        <f>IF(Table1[[#This Row],[Is Data Valid]]=TRUE,((Table1[[#This Row],[Birthweight (grams)]]*1.1/Table1[[#This Row],[BW_GA]])-1)/(Backend!$B$4/100*Table1[[#This Row],[BW40_3705]]),"")</f>
        <v/>
      </c>
      <c r="J832" s="7" t="str">
        <f>IF(Table1[[#This Row],[Is Data Valid]]=TRUE,_xlfn.NORM.S.DIST(Table1[[#This Row],[Birthweight Z-Score]],TRUE)*100,"")</f>
        <v/>
      </c>
      <c r="K832" s="7" t="str">
        <f>IF(Table1[[#This Row],[Is Data Valid]]=TRUE,_xlfn.NORM.S.DIST(Table1[[#This Row],[Birthweight Z-Score (BW-10%)]],TRUE)*100,"")</f>
        <v/>
      </c>
      <c r="L832" s="7" t="str">
        <f>IF(Table1[[#This Row],[Is Data Valid]]=TRUE,_xlfn.NORM.S.DIST(Table1[[#This Row],[Birthweight Z-Score (BW+10%)]],TRUE)*100,"")</f>
        <v/>
      </c>
    </row>
    <row r="833" spans="1:12" x14ac:dyDescent="0.35">
      <c r="A833" s="3"/>
      <c r="B833" s="2"/>
      <c r="C833" s="2"/>
      <c r="D833" s="2" t="b">
        <f>IF(AND(NOT(ISBLANK(Table1[[#This Row],[Fetal Sex (Male, Female or Unknown)]])),ISNUMBER(Table1[[#This Row],[Birthweight (grams)]]),ISNUMBER(Table1[[#This Row],[Gestation (days)]])),TRUE,FALSE)</f>
        <v>0</v>
      </c>
      <c r="E833" s="2" t="str">
        <f>IF(Table1[[#This Row],[Is Data Valid]]=TRUE,IF(Table1[[#This Row],[Fetal Sex (Male, Female or Unknown)]]="Male",Backend!$C$6,IF(Table1[[#This Row],[Fetal Sex (Male, Female or Unknown)]]="Female",Backend!$C$7,IF(Table1[[#This Row],[Fetal Sex (Male, Female or Unknown)]]="Unknown",Backend!$C$8,"Error"))),"")</f>
        <v/>
      </c>
      <c r="F833" s="8" t="str">
        <f>IF(Table1[[#This Row],[Is Data Valid]]=TRUE,EXP(0.578+0.332*((Table1[[#This Row],[Gestation (days)]]+0.5)/7)-0.00354*((Table1[[#This Row],[Gestation (days)]]+0.5)/7)^2)*Table1[[#This Row],[BW40_3705]],"")</f>
        <v/>
      </c>
      <c r="G833" s="2" t="str">
        <f>IF(Table1[[#This Row],[Is Data Valid]]=TRUE,((Table1[[#This Row],[Birthweight (grams)]]/Table1[[#This Row],[BW_GA]])-1)/(Backend!$B$4/100*Table1[[#This Row],[BW40_3705]]),"")</f>
        <v/>
      </c>
      <c r="H833" s="7" t="str">
        <f>IF(Table1[[#This Row],[Is Data Valid]]=TRUE,((Table1[[#This Row],[Birthweight (grams)]]*0.9/Table1[[#This Row],[BW_GA]])-1)/(Backend!$B$4/100*Table1[[#This Row],[BW40_3705]]),"")</f>
        <v/>
      </c>
      <c r="I833" s="7" t="str">
        <f>IF(Table1[[#This Row],[Is Data Valid]]=TRUE,((Table1[[#This Row],[Birthweight (grams)]]*1.1/Table1[[#This Row],[BW_GA]])-1)/(Backend!$B$4/100*Table1[[#This Row],[BW40_3705]]),"")</f>
        <v/>
      </c>
      <c r="J833" s="7" t="str">
        <f>IF(Table1[[#This Row],[Is Data Valid]]=TRUE,_xlfn.NORM.S.DIST(Table1[[#This Row],[Birthweight Z-Score]],TRUE)*100,"")</f>
        <v/>
      </c>
      <c r="K833" s="7" t="str">
        <f>IF(Table1[[#This Row],[Is Data Valid]]=TRUE,_xlfn.NORM.S.DIST(Table1[[#This Row],[Birthweight Z-Score (BW-10%)]],TRUE)*100,"")</f>
        <v/>
      </c>
      <c r="L833" s="7" t="str">
        <f>IF(Table1[[#This Row],[Is Data Valid]]=TRUE,_xlfn.NORM.S.DIST(Table1[[#This Row],[Birthweight Z-Score (BW+10%)]],TRUE)*100,"")</f>
        <v/>
      </c>
    </row>
    <row r="834" spans="1:12" x14ac:dyDescent="0.35">
      <c r="A834" s="3"/>
      <c r="B834" s="2"/>
      <c r="C834" s="2"/>
      <c r="D834" s="2" t="b">
        <f>IF(AND(NOT(ISBLANK(Table1[[#This Row],[Fetal Sex (Male, Female or Unknown)]])),ISNUMBER(Table1[[#This Row],[Birthweight (grams)]]),ISNUMBER(Table1[[#This Row],[Gestation (days)]])),TRUE,FALSE)</f>
        <v>0</v>
      </c>
      <c r="E834" s="2" t="str">
        <f>IF(Table1[[#This Row],[Is Data Valid]]=TRUE,IF(Table1[[#This Row],[Fetal Sex (Male, Female or Unknown)]]="Male",Backend!$C$6,IF(Table1[[#This Row],[Fetal Sex (Male, Female or Unknown)]]="Female",Backend!$C$7,IF(Table1[[#This Row],[Fetal Sex (Male, Female or Unknown)]]="Unknown",Backend!$C$8,"Error"))),"")</f>
        <v/>
      </c>
      <c r="F834" s="8" t="str">
        <f>IF(Table1[[#This Row],[Is Data Valid]]=TRUE,EXP(0.578+0.332*((Table1[[#This Row],[Gestation (days)]]+0.5)/7)-0.00354*((Table1[[#This Row],[Gestation (days)]]+0.5)/7)^2)*Table1[[#This Row],[BW40_3705]],"")</f>
        <v/>
      </c>
      <c r="G834" s="2" t="str">
        <f>IF(Table1[[#This Row],[Is Data Valid]]=TRUE,((Table1[[#This Row],[Birthweight (grams)]]/Table1[[#This Row],[BW_GA]])-1)/(Backend!$B$4/100*Table1[[#This Row],[BW40_3705]]),"")</f>
        <v/>
      </c>
      <c r="H834" s="7" t="str">
        <f>IF(Table1[[#This Row],[Is Data Valid]]=TRUE,((Table1[[#This Row],[Birthweight (grams)]]*0.9/Table1[[#This Row],[BW_GA]])-1)/(Backend!$B$4/100*Table1[[#This Row],[BW40_3705]]),"")</f>
        <v/>
      </c>
      <c r="I834" s="7" t="str">
        <f>IF(Table1[[#This Row],[Is Data Valid]]=TRUE,((Table1[[#This Row],[Birthweight (grams)]]*1.1/Table1[[#This Row],[BW_GA]])-1)/(Backend!$B$4/100*Table1[[#This Row],[BW40_3705]]),"")</f>
        <v/>
      </c>
      <c r="J834" s="7" t="str">
        <f>IF(Table1[[#This Row],[Is Data Valid]]=TRUE,_xlfn.NORM.S.DIST(Table1[[#This Row],[Birthweight Z-Score]],TRUE)*100,"")</f>
        <v/>
      </c>
      <c r="K834" s="7" t="str">
        <f>IF(Table1[[#This Row],[Is Data Valid]]=TRUE,_xlfn.NORM.S.DIST(Table1[[#This Row],[Birthweight Z-Score (BW-10%)]],TRUE)*100,"")</f>
        <v/>
      </c>
      <c r="L834" s="7" t="str">
        <f>IF(Table1[[#This Row],[Is Data Valid]]=TRUE,_xlfn.NORM.S.DIST(Table1[[#This Row],[Birthweight Z-Score (BW+10%)]],TRUE)*100,"")</f>
        <v/>
      </c>
    </row>
    <row r="835" spans="1:12" x14ac:dyDescent="0.35">
      <c r="A835" s="3"/>
      <c r="B835" s="2"/>
      <c r="C835" s="2"/>
      <c r="D835" s="2" t="b">
        <f>IF(AND(NOT(ISBLANK(Table1[[#This Row],[Fetal Sex (Male, Female or Unknown)]])),ISNUMBER(Table1[[#This Row],[Birthweight (grams)]]),ISNUMBER(Table1[[#This Row],[Gestation (days)]])),TRUE,FALSE)</f>
        <v>0</v>
      </c>
      <c r="E835" s="2" t="str">
        <f>IF(Table1[[#This Row],[Is Data Valid]]=TRUE,IF(Table1[[#This Row],[Fetal Sex (Male, Female or Unknown)]]="Male",Backend!$C$6,IF(Table1[[#This Row],[Fetal Sex (Male, Female or Unknown)]]="Female",Backend!$C$7,IF(Table1[[#This Row],[Fetal Sex (Male, Female or Unknown)]]="Unknown",Backend!$C$8,"Error"))),"")</f>
        <v/>
      </c>
      <c r="F835" s="8" t="str">
        <f>IF(Table1[[#This Row],[Is Data Valid]]=TRUE,EXP(0.578+0.332*((Table1[[#This Row],[Gestation (days)]]+0.5)/7)-0.00354*((Table1[[#This Row],[Gestation (days)]]+0.5)/7)^2)*Table1[[#This Row],[BW40_3705]],"")</f>
        <v/>
      </c>
      <c r="G835" s="2" t="str">
        <f>IF(Table1[[#This Row],[Is Data Valid]]=TRUE,((Table1[[#This Row],[Birthweight (grams)]]/Table1[[#This Row],[BW_GA]])-1)/(Backend!$B$4/100*Table1[[#This Row],[BW40_3705]]),"")</f>
        <v/>
      </c>
      <c r="H835" s="7" t="str">
        <f>IF(Table1[[#This Row],[Is Data Valid]]=TRUE,((Table1[[#This Row],[Birthweight (grams)]]*0.9/Table1[[#This Row],[BW_GA]])-1)/(Backend!$B$4/100*Table1[[#This Row],[BW40_3705]]),"")</f>
        <v/>
      </c>
      <c r="I835" s="7" t="str">
        <f>IF(Table1[[#This Row],[Is Data Valid]]=TRUE,((Table1[[#This Row],[Birthweight (grams)]]*1.1/Table1[[#This Row],[BW_GA]])-1)/(Backend!$B$4/100*Table1[[#This Row],[BW40_3705]]),"")</f>
        <v/>
      </c>
      <c r="J835" s="7" t="str">
        <f>IF(Table1[[#This Row],[Is Data Valid]]=TRUE,_xlfn.NORM.S.DIST(Table1[[#This Row],[Birthweight Z-Score]],TRUE)*100,"")</f>
        <v/>
      </c>
      <c r="K835" s="7" t="str">
        <f>IF(Table1[[#This Row],[Is Data Valid]]=TRUE,_xlfn.NORM.S.DIST(Table1[[#This Row],[Birthweight Z-Score (BW-10%)]],TRUE)*100,"")</f>
        <v/>
      </c>
      <c r="L835" s="7" t="str">
        <f>IF(Table1[[#This Row],[Is Data Valid]]=TRUE,_xlfn.NORM.S.DIST(Table1[[#This Row],[Birthweight Z-Score (BW+10%)]],TRUE)*100,"")</f>
        <v/>
      </c>
    </row>
    <row r="836" spans="1:12" x14ac:dyDescent="0.35">
      <c r="A836" s="3"/>
      <c r="B836" s="2"/>
      <c r="C836" s="2"/>
      <c r="D836" s="2" t="b">
        <f>IF(AND(NOT(ISBLANK(Table1[[#This Row],[Fetal Sex (Male, Female or Unknown)]])),ISNUMBER(Table1[[#This Row],[Birthweight (grams)]]),ISNUMBER(Table1[[#This Row],[Gestation (days)]])),TRUE,FALSE)</f>
        <v>0</v>
      </c>
      <c r="E836" s="2" t="str">
        <f>IF(Table1[[#This Row],[Is Data Valid]]=TRUE,IF(Table1[[#This Row],[Fetal Sex (Male, Female or Unknown)]]="Male",Backend!$C$6,IF(Table1[[#This Row],[Fetal Sex (Male, Female or Unknown)]]="Female",Backend!$C$7,IF(Table1[[#This Row],[Fetal Sex (Male, Female or Unknown)]]="Unknown",Backend!$C$8,"Error"))),"")</f>
        <v/>
      </c>
      <c r="F836" s="8" t="str">
        <f>IF(Table1[[#This Row],[Is Data Valid]]=TRUE,EXP(0.578+0.332*((Table1[[#This Row],[Gestation (days)]]+0.5)/7)-0.00354*((Table1[[#This Row],[Gestation (days)]]+0.5)/7)^2)*Table1[[#This Row],[BW40_3705]],"")</f>
        <v/>
      </c>
      <c r="G836" s="2" t="str">
        <f>IF(Table1[[#This Row],[Is Data Valid]]=TRUE,((Table1[[#This Row],[Birthweight (grams)]]/Table1[[#This Row],[BW_GA]])-1)/(Backend!$B$4/100*Table1[[#This Row],[BW40_3705]]),"")</f>
        <v/>
      </c>
      <c r="H836" s="7" t="str">
        <f>IF(Table1[[#This Row],[Is Data Valid]]=TRUE,((Table1[[#This Row],[Birthweight (grams)]]*0.9/Table1[[#This Row],[BW_GA]])-1)/(Backend!$B$4/100*Table1[[#This Row],[BW40_3705]]),"")</f>
        <v/>
      </c>
      <c r="I836" s="7" t="str">
        <f>IF(Table1[[#This Row],[Is Data Valid]]=TRUE,((Table1[[#This Row],[Birthweight (grams)]]*1.1/Table1[[#This Row],[BW_GA]])-1)/(Backend!$B$4/100*Table1[[#This Row],[BW40_3705]]),"")</f>
        <v/>
      </c>
      <c r="J836" s="7" t="str">
        <f>IF(Table1[[#This Row],[Is Data Valid]]=TRUE,_xlfn.NORM.S.DIST(Table1[[#This Row],[Birthweight Z-Score]],TRUE)*100,"")</f>
        <v/>
      </c>
      <c r="K836" s="7" t="str">
        <f>IF(Table1[[#This Row],[Is Data Valid]]=TRUE,_xlfn.NORM.S.DIST(Table1[[#This Row],[Birthweight Z-Score (BW-10%)]],TRUE)*100,"")</f>
        <v/>
      </c>
      <c r="L836" s="7" t="str">
        <f>IF(Table1[[#This Row],[Is Data Valid]]=TRUE,_xlfn.NORM.S.DIST(Table1[[#This Row],[Birthweight Z-Score (BW+10%)]],TRUE)*100,"")</f>
        <v/>
      </c>
    </row>
    <row r="837" spans="1:12" x14ac:dyDescent="0.35">
      <c r="A837" s="3"/>
      <c r="B837" s="2"/>
      <c r="C837" s="2"/>
      <c r="D837" s="2" t="b">
        <f>IF(AND(NOT(ISBLANK(Table1[[#This Row],[Fetal Sex (Male, Female or Unknown)]])),ISNUMBER(Table1[[#This Row],[Birthweight (grams)]]),ISNUMBER(Table1[[#This Row],[Gestation (days)]])),TRUE,FALSE)</f>
        <v>0</v>
      </c>
      <c r="E837" s="2" t="str">
        <f>IF(Table1[[#This Row],[Is Data Valid]]=TRUE,IF(Table1[[#This Row],[Fetal Sex (Male, Female or Unknown)]]="Male",Backend!$C$6,IF(Table1[[#This Row],[Fetal Sex (Male, Female or Unknown)]]="Female",Backend!$C$7,IF(Table1[[#This Row],[Fetal Sex (Male, Female or Unknown)]]="Unknown",Backend!$C$8,"Error"))),"")</f>
        <v/>
      </c>
      <c r="F837" s="8" t="str">
        <f>IF(Table1[[#This Row],[Is Data Valid]]=TRUE,EXP(0.578+0.332*((Table1[[#This Row],[Gestation (days)]]+0.5)/7)-0.00354*((Table1[[#This Row],[Gestation (days)]]+0.5)/7)^2)*Table1[[#This Row],[BW40_3705]],"")</f>
        <v/>
      </c>
      <c r="G837" s="2" t="str">
        <f>IF(Table1[[#This Row],[Is Data Valid]]=TRUE,((Table1[[#This Row],[Birthweight (grams)]]/Table1[[#This Row],[BW_GA]])-1)/(Backend!$B$4/100*Table1[[#This Row],[BW40_3705]]),"")</f>
        <v/>
      </c>
      <c r="H837" s="7" t="str">
        <f>IF(Table1[[#This Row],[Is Data Valid]]=TRUE,((Table1[[#This Row],[Birthweight (grams)]]*0.9/Table1[[#This Row],[BW_GA]])-1)/(Backend!$B$4/100*Table1[[#This Row],[BW40_3705]]),"")</f>
        <v/>
      </c>
      <c r="I837" s="7" t="str">
        <f>IF(Table1[[#This Row],[Is Data Valid]]=TRUE,((Table1[[#This Row],[Birthweight (grams)]]*1.1/Table1[[#This Row],[BW_GA]])-1)/(Backend!$B$4/100*Table1[[#This Row],[BW40_3705]]),"")</f>
        <v/>
      </c>
      <c r="J837" s="7" t="str">
        <f>IF(Table1[[#This Row],[Is Data Valid]]=TRUE,_xlfn.NORM.S.DIST(Table1[[#This Row],[Birthweight Z-Score]],TRUE)*100,"")</f>
        <v/>
      </c>
      <c r="K837" s="7" t="str">
        <f>IF(Table1[[#This Row],[Is Data Valid]]=TRUE,_xlfn.NORM.S.DIST(Table1[[#This Row],[Birthweight Z-Score (BW-10%)]],TRUE)*100,"")</f>
        <v/>
      </c>
      <c r="L837" s="7" t="str">
        <f>IF(Table1[[#This Row],[Is Data Valid]]=TRUE,_xlfn.NORM.S.DIST(Table1[[#This Row],[Birthweight Z-Score (BW+10%)]],TRUE)*100,"")</f>
        <v/>
      </c>
    </row>
    <row r="838" spans="1:12" x14ac:dyDescent="0.35">
      <c r="A838" s="3"/>
      <c r="B838" s="2"/>
      <c r="C838" s="2"/>
      <c r="D838" s="2" t="b">
        <f>IF(AND(NOT(ISBLANK(Table1[[#This Row],[Fetal Sex (Male, Female or Unknown)]])),ISNUMBER(Table1[[#This Row],[Birthweight (grams)]]),ISNUMBER(Table1[[#This Row],[Gestation (days)]])),TRUE,FALSE)</f>
        <v>0</v>
      </c>
      <c r="E838" s="2" t="str">
        <f>IF(Table1[[#This Row],[Is Data Valid]]=TRUE,IF(Table1[[#This Row],[Fetal Sex (Male, Female or Unknown)]]="Male",Backend!$C$6,IF(Table1[[#This Row],[Fetal Sex (Male, Female or Unknown)]]="Female",Backend!$C$7,IF(Table1[[#This Row],[Fetal Sex (Male, Female or Unknown)]]="Unknown",Backend!$C$8,"Error"))),"")</f>
        <v/>
      </c>
      <c r="F838" s="8" t="str">
        <f>IF(Table1[[#This Row],[Is Data Valid]]=TRUE,EXP(0.578+0.332*((Table1[[#This Row],[Gestation (days)]]+0.5)/7)-0.00354*((Table1[[#This Row],[Gestation (days)]]+0.5)/7)^2)*Table1[[#This Row],[BW40_3705]],"")</f>
        <v/>
      </c>
      <c r="G838" s="2" t="str">
        <f>IF(Table1[[#This Row],[Is Data Valid]]=TRUE,((Table1[[#This Row],[Birthweight (grams)]]/Table1[[#This Row],[BW_GA]])-1)/(Backend!$B$4/100*Table1[[#This Row],[BW40_3705]]),"")</f>
        <v/>
      </c>
      <c r="H838" s="7" t="str">
        <f>IF(Table1[[#This Row],[Is Data Valid]]=TRUE,((Table1[[#This Row],[Birthweight (grams)]]*0.9/Table1[[#This Row],[BW_GA]])-1)/(Backend!$B$4/100*Table1[[#This Row],[BW40_3705]]),"")</f>
        <v/>
      </c>
      <c r="I838" s="7" t="str">
        <f>IF(Table1[[#This Row],[Is Data Valid]]=TRUE,((Table1[[#This Row],[Birthweight (grams)]]*1.1/Table1[[#This Row],[BW_GA]])-1)/(Backend!$B$4/100*Table1[[#This Row],[BW40_3705]]),"")</f>
        <v/>
      </c>
      <c r="J838" s="7" t="str">
        <f>IF(Table1[[#This Row],[Is Data Valid]]=TRUE,_xlfn.NORM.S.DIST(Table1[[#This Row],[Birthweight Z-Score]],TRUE)*100,"")</f>
        <v/>
      </c>
      <c r="K838" s="7" t="str">
        <f>IF(Table1[[#This Row],[Is Data Valid]]=TRUE,_xlfn.NORM.S.DIST(Table1[[#This Row],[Birthweight Z-Score (BW-10%)]],TRUE)*100,"")</f>
        <v/>
      </c>
      <c r="L838" s="7" t="str">
        <f>IF(Table1[[#This Row],[Is Data Valid]]=TRUE,_xlfn.NORM.S.DIST(Table1[[#This Row],[Birthweight Z-Score (BW+10%)]],TRUE)*100,"")</f>
        <v/>
      </c>
    </row>
    <row r="839" spans="1:12" x14ac:dyDescent="0.35">
      <c r="A839" s="3"/>
      <c r="B839" s="2"/>
      <c r="C839" s="2"/>
      <c r="D839" s="2" t="b">
        <f>IF(AND(NOT(ISBLANK(Table1[[#This Row],[Fetal Sex (Male, Female or Unknown)]])),ISNUMBER(Table1[[#This Row],[Birthweight (grams)]]),ISNUMBER(Table1[[#This Row],[Gestation (days)]])),TRUE,FALSE)</f>
        <v>0</v>
      </c>
      <c r="E839" s="2" t="str">
        <f>IF(Table1[[#This Row],[Is Data Valid]]=TRUE,IF(Table1[[#This Row],[Fetal Sex (Male, Female or Unknown)]]="Male",Backend!$C$6,IF(Table1[[#This Row],[Fetal Sex (Male, Female or Unknown)]]="Female",Backend!$C$7,IF(Table1[[#This Row],[Fetal Sex (Male, Female or Unknown)]]="Unknown",Backend!$C$8,"Error"))),"")</f>
        <v/>
      </c>
      <c r="F839" s="8" t="str">
        <f>IF(Table1[[#This Row],[Is Data Valid]]=TRUE,EXP(0.578+0.332*((Table1[[#This Row],[Gestation (days)]]+0.5)/7)-0.00354*((Table1[[#This Row],[Gestation (days)]]+0.5)/7)^2)*Table1[[#This Row],[BW40_3705]],"")</f>
        <v/>
      </c>
      <c r="G839" s="2" t="str">
        <f>IF(Table1[[#This Row],[Is Data Valid]]=TRUE,((Table1[[#This Row],[Birthweight (grams)]]/Table1[[#This Row],[BW_GA]])-1)/(Backend!$B$4/100*Table1[[#This Row],[BW40_3705]]),"")</f>
        <v/>
      </c>
      <c r="H839" s="7" t="str">
        <f>IF(Table1[[#This Row],[Is Data Valid]]=TRUE,((Table1[[#This Row],[Birthweight (grams)]]*0.9/Table1[[#This Row],[BW_GA]])-1)/(Backend!$B$4/100*Table1[[#This Row],[BW40_3705]]),"")</f>
        <v/>
      </c>
      <c r="I839" s="7" t="str">
        <f>IF(Table1[[#This Row],[Is Data Valid]]=TRUE,((Table1[[#This Row],[Birthweight (grams)]]*1.1/Table1[[#This Row],[BW_GA]])-1)/(Backend!$B$4/100*Table1[[#This Row],[BW40_3705]]),"")</f>
        <v/>
      </c>
      <c r="J839" s="7" t="str">
        <f>IF(Table1[[#This Row],[Is Data Valid]]=TRUE,_xlfn.NORM.S.DIST(Table1[[#This Row],[Birthweight Z-Score]],TRUE)*100,"")</f>
        <v/>
      </c>
      <c r="K839" s="7" t="str">
        <f>IF(Table1[[#This Row],[Is Data Valid]]=TRUE,_xlfn.NORM.S.DIST(Table1[[#This Row],[Birthweight Z-Score (BW-10%)]],TRUE)*100,"")</f>
        <v/>
      </c>
      <c r="L839" s="7" t="str">
        <f>IF(Table1[[#This Row],[Is Data Valid]]=TRUE,_xlfn.NORM.S.DIST(Table1[[#This Row],[Birthweight Z-Score (BW+10%)]],TRUE)*100,"")</f>
        <v/>
      </c>
    </row>
    <row r="840" spans="1:12" x14ac:dyDescent="0.35">
      <c r="A840" s="3"/>
      <c r="B840" s="2"/>
      <c r="C840" s="2"/>
      <c r="D840" s="2" t="b">
        <f>IF(AND(NOT(ISBLANK(Table1[[#This Row],[Fetal Sex (Male, Female or Unknown)]])),ISNUMBER(Table1[[#This Row],[Birthweight (grams)]]),ISNUMBER(Table1[[#This Row],[Gestation (days)]])),TRUE,FALSE)</f>
        <v>0</v>
      </c>
      <c r="E840" s="2" t="str">
        <f>IF(Table1[[#This Row],[Is Data Valid]]=TRUE,IF(Table1[[#This Row],[Fetal Sex (Male, Female or Unknown)]]="Male",Backend!$C$6,IF(Table1[[#This Row],[Fetal Sex (Male, Female or Unknown)]]="Female",Backend!$C$7,IF(Table1[[#This Row],[Fetal Sex (Male, Female or Unknown)]]="Unknown",Backend!$C$8,"Error"))),"")</f>
        <v/>
      </c>
      <c r="F840" s="8" t="str">
        <f>IF(Table1[[#This Row],[Is Data Valid]]=TRUE,EXP(0.578+0.332*((Table1[[#This Row],[Gestation (days)]]+0.5)/7)-0.00354*((Table1[[#This Row],[Gestation (days)]]+0.5)/7)^2)*Table1[[#This Row],[BW40_3705]],"")</f>
        <v/>
      </c>
      <c r="G840" s="2" t="str">
        <f>IF(Table1[[#This Row],[Is Data Valid]]=TRUE,((Table1[[#This Row],[Birthweight (grams)]]/Table1[[#This Row],[BW_GA]])-1)/(Backend!$B$4/100*Table1[[#This Row],[BW40_3705]]),"")</f>
        <v/>
      </c>
      <c r="H840" s="7" t="str">
        <f>IF(Table1[[#This Row],[Is Data Valid]]=TRUE,((Table1[[#This Row],[Birthweight (grams)]]*0.9/Table1[[#This Row],[BW_GA]])-1)/(Backend!$B$4/100*Table1[[#This Row],[BW40_3705]]),"")</f>
        <v/>
      </c>
      <c r="I840" s="7" t="str">
        <f>IF(Table1[[#This Row],[Is Data Valid]]=TRUE,((Table1[[#This Row],[Birthweight (grams)]]*1.1/Table1[[#This Row],[BW_GA]])-1)/(Backend!$B$4/100*Table1[[#This Row],[BW40_3705]]),"")</f>
        <v/>
      </c>
      <c r="J840" s="7" t="str">
        <f>IF(Table1[[#This Row],[Is Data Valid]]=TRUE,_xlfn.NORM.S.DIST(Table1[[#This Row],[Birthweight Z-Score]],TRUE)*100,"")</f>
        <v/>
      </c>
      <c r="K840" s="7" t="str">
        <f>IF(Table1[[#This Row],[Is Data Valid]]=TRUE,_xlfn.NORM.S.DIST(Table1[[#This Row],[Birthweight Z-Score (BW-10%)]],TRUE)*100,"")</f>
        <v/>
      </c>
      <c r="L840" s="7" t="str">
        <f>IF(Table1[[#This Row],[Is Data Valid]]=TRUE,_xlfn.NORM.S.DIST(Table1[[#This Row],[Birthweight Z-Score (BW+10%)]],TRUE)*100,"")</f>
        <v/>
      </c>
    </row>
    <row r="841" spans="1:12" x14ac:dyDescent="0.35">
      <c r="A841" s="3"/>
      <c r="B841" s="2"/>
      <c r="C841" s="2"/>
      <c r="D841" s="2" t="b">
        <f>IF(AND(NOT(ISBLANK(Table1[[#This Row],[Fetal Sex (Male, Female or Unknown)]])),ISNUMBER(Table1[[#This Row],[Birthweight (grams)]]),ISNUMBER(Table1[[#This Row],[Gestation (days)]])),TRUE,FALSE)</f>
        <v>0</v>
      </c>
      <c r="E841" s="2" t="str">
        <f>IF(Table1[[#This Row],[Is Data Valid]]=TRUE,IF(Table1[[#This Row],[Fetal Sex (Male, Female or Unknown)]]="Male",Backend!$C$6,IF(Table1[[#This Row],[Fetal Sex (Male, Female or Unknown)]]="Female",Backend!$C$7,IF(Table1[[#This Row],[Fetal Sex (Male, Female or Unknown)]]="Unknown",Backend!$C$8,"Error"))),"")</f>
        <v/>
      </c>
      <c r="F841" s="8" t="str">
        <f>IF(Table1[[#This Row],[Is Data Valid]]=TRUE,EXP(0.578+0.332*((Table1[[#This Row],[Gestation (days)]]+0.5)/7)-0.00354*((Table1[[#This Row],[Gestation (days)]]+0.5)/7)^2)*Table1[[#This Row],[BW40_3705]],"")</f>
        <v/>
      </c>
      <c r="G841" s="2" t="str">
        <f>IF(Table1[[#This Row],[Is Data Valid]]=TRUE,((Table1[[#This Row],[Birthweight (grams)]]/Table1[[#This Row],[BW_GA]])-1)/(Backend!$B$4/100*Table1[[#This Row],[BW40_3705]]),"")</f>
        <v/>
      </c>
      <c r="H841" s="7" t="str">
        <f>IF(Table1[[#This Row],[Is Data Valid]]=TRUE,((Table1[[#This Row],[Birthweight (grams)]]*0.9/Table1[[#This Row],[BW_GA]])-1)/(Backend!$B$4/100*Table1[[#This Row],[BW40_3705]]),"")</f>
        <v/>
      </c>
      <c r="I841" s="7" t="str">
        <f>IF(Table1[[#This Row],[Is Data Valid]]=TRUE,((Table1[[#This Row],[Birthweight (grams)]]*1.1/Table1[[#This Row],[BW_GA]])-1)/(Backend!$B$4/100*Table1[[#This Row],[BW40_3705]]),"")</f>
        <v/>
      </c>
      <c r="J841" s="7" t="str">
        <f>IF(Table1[[#This Row],[Is Data Valid]]=TRUE,_xlfn.NORM.S.DIST(Table1[[#This Row],[Birthweight Z-Score]],TRUE)*100,"")</f>
        <v/>
      </c>
      <c r="K841" s="7" t="str">
        <f>IF(Table1[[#This Row],[Is Data Valid]]=TRUE,_xlfn.NORM.S.DIST(Table1[[#This Row],[Birthweight Z-Score (BW-10%)]],TRUE)*100,"")</f>
        <v/>
      </c>
      <c r="L841" s="7" t="str">
        <f>IF(Table1[[#This Row],[Is Data Valid]]=TRUE,_xlfn.NORM.S.DIST(Table1[[#This Row],[Birthweight Z-Score (BW+10%)]],TRUE)*100,"")</f>
        <v/>
      </c>
    </row>
    <row r="842" spans="1:12" x14ac:dyDescent="0.35">
      <c r="A842" s="3"/>
      <c r="B842" s="2"/>
      <c r="C842" s="2"/>
      <c r="D842" s="2" t="b">
        <f>IF(AND(NOT(ISBLANK(Table1[[#This Row],[Fetal Sex (Male, Female or Unknown)]])),ISNUMBER(Table1[[#This Row],[Birthweight (grams)]]),ISNUMBER(Table1[[#This Row],[Gestation (days)]])),TRUE,FALSE)</f>
        <v>0</v>
      </c>
      <c r="E842" s="2" t="str">
        <f>IF(Table1[[#This Row],[Is Data Valid]]=TRUE,IF(Table1[[#This Row],[Fetal Sex (Male, Female or Unknown)]]="Male",Backend!$C$6,IF(Table1[[#This Row],[Fetal Sex (Male, Female or Unknown)]]="Female",Backend!$C$7,IF(Table1[[#This Row],[Fetal Sex (Male, Female or Unknown)]]="Unknown",Backend!$C$8,"Error"))),"")</f>
        <v/>
      </c>
      <c r="F842" s="8" t="str">
        <f>IF(Table1[[#This Row],[Is Data Valid]]=TRUE,EXP(0.578+0.332*((Table1[[#This Row],[Gestation (days)]]+0.5)/7)-0.00354*((Table1[[#This Row],[Gestation (days)]]+0.5)/7)^2)*Table1[[#This Row],[BW40_3705]],"")</f>
        <v/>
      </c>
      <c r="G842" s="2" t="str">
        <f>IF(Table1[[#This Row],[Is Data Valid]]=TRUE,((Table1[[#This Row],[Birthweight (grams)]]/Table1[[#This Row],[BW_GA]])-1)/(Backend!$B$4/100*Table1[[#This Row],[BW40_3705]]),"")</f>
        <v/>
      </c>
      <c r="H842" s="7" t="str">
        <f>IF(Table1[[#This Row],[Is Data Valid]]=TRUE,((Table1[[#This Row],[Birthweight (grams)]]*0.9/Table1[[#This Row],[BW_GA]])-1)/(Backend!$B$4/100*Table1[[#This Row],[BW40_3705]]),"")</f>
        <v/>
      </c>
      <c r="I842" s="7" t="str">
        <f>IF(Table1[[#This Row],[Is Data Valid]]=TRUE,((Table1[[#This Row],[Birthweight (grams)]]*1.1/Table1[[#This Row],[BW_GA]])-1)/(Backend!$B$4/100*Table1[[#This Row],[BW40_3705]]),"")</f>
        <v/>
      </c>
      <c r="J842" s="7" t="str">
        <f>IF(Table1[[#This Row],[Is Data Valid]]=TRUE,_xlfn.NORM.S.DIST(Table1[[#This Row],[Birthweight Z-Score]],TRUE)*100,"")</f>
        <v/>
      </c>
      <c r="K842" s="7" t="str">
        <f>IF(Table1[[#This Row],[Is Data Valid]]=TRUE,_xlfn.NORM.S.DIST(Table1[[#This Row],[Birthweight Z-Score (BW-10%)]],TRUE)*100,"")</f>
        <v/>
      </c>
      <c r="L842" s="7" t="str">
        <f>IF(Table1[[#This Row],[Is Data Valid]]=TRUE,_xlfn.NORM.S.DIST(Table1[[#This Row],[Birthweight Z-Score (BW+10%)]],TRUE)*100,"")</f>
        <v/>
      </c>
    </row>
    <row r="843" spans="1:12" x14ac:dyDescent="0.35">
      <c r="A843" s="3"/>
      <c r="B843" s="2"/>
      <c r="C843" s="2"/>
      <c r="D843" s="2" t="b">
        <f>IF(AND(NOT(ISBLANK(Table1[[#This Row],[Fetal Sex (Male, Female or Unknown)]])),ISNUMBER(Table1[[#This Row],[Birthweight (grams)]]),ISNUMBER(Table1[[#This Row],[Gestation (days)]])),TRUE,FALSE)</f>
        <v>0</v>
      </c>
      <c r="E843" s="2" t="str">
        <f>IF(Table1[[#This Row],[Is Data Valid]]=TRUE,IF(Table1[[#This Row],[Fetal Sex (Male, Female or Unknown)]]="Male",Backend!$C$6,IF(Table1[[#This Row],[Fetal Sex (Male, Female or Unknown)]]="Female",Backend!$C$7,IF(Table1[[#This Row],[Fetal Sex (Male, Female or Unknown)]]="Unknown",Backend!$C$8,"Error"))),"")</f>
        <v/>
      </c>
      <c r="F843" s="8" t="str">
        <f>IF(Table1[[#This Row],[Is Data Valid]]=TRUE,EXP(0.578+0.332*((Table1[[#This Row],[Gestation (days)]]+0.5)/7)-0.00354*((Table1[[#This Row],[Gestation (days)]]+0.5)/7)^2)*Table1[[#This Row],[BW40_3705]],"")</f>
        <v/>
      </c>
      <c r="G843" s="2" t="str">
        <f>IF(Table1[[#This Row],[Is Data Valid]]=TRUE,((Table1[[#This Row],[Birthweight (grams)]]/Table1[[#This Row],[BW_GA]])-1)/(Backend!$B$4/100*Table1[[#This Row],[BW40_3705]]),"")</f>
        <v/>
      </c>
      <c r="H843" s="7" t="str">
        <f>IF(Table1[[#This Row],[Is Data Valid]]=TRUE,((Table1[[#This Row],[Birthweight (grams)]]*0.9/Table1[[#This Row],[BW_GA]])-1)/(Backend!$B$4/100*Table1[[#This Row],[BW40_3705]]),"")</f>
        <v/>
      </c>
      <c r="I843" s="7" t="str">
        <f>IF(Table1[[#This Row],[Is Data Valid]]=TRUE,((Table1[[#This Row],[Birthweight (grams)]]*1.1/Table1[[#This Row],[BW_GA]])-1)/(Backend!$B$4/100*Table1[[#This Row],[BW40_3705]]),"")</f>
        <v/>
      </c>
      <c r="J843" s="7" t="str">
        <f>IF(Table1[[#This Row],[Is Data Valid]]=TRUE,_xlfn.NORM.S.DIST(Table1[[#This Row],[Birthweight Z-Score]],TRUE)*100,"")</f>
        <v/>
      </c>
      <c r="K843" s="7" t="str">
        <f>IF(Table1[[#This Row],[Is Data Valid]]=TRUE,_xlfn.NORM.S.DIST(Table1[[#This Row],[Birthweight Z-Score (BW-10%)]],TRUE)*100,"")</f>
        <v/>
      </c>
      <c r="L843" s="7" t="str">
        <f>IF(Table1[[#This Row],[Is Data Valid]]=TRUE,_xlfn.NORM.S.DIST(Table1[[#This Row],[Birthweight Z-Score (BW+10%)]],TRUE)*100,"")</f>
        <v/>
      </c>
    </row>
    <row r="844" spans="1:12" x14ac:dyDescent="0.35">
      <c r="A844" s="3"/>
      <c r="B844" s="2"/>
      <c r="C844" s="2"/>
      <c r="D844" s="2" t="b">
        <f>IF(AND(NOT(ISBLANK(Table1[[#This Row],[Fetal Sex (Male, Female or Unknown)]])),ISNUMBER(Table1[[#This Row],[Birthweight (grams)]]),ISNUMBER(Table1[[#This Row],[Gestation (days)]])),TRUE,FALSE)</f>
        <v>0</v>
      </c>
      <c r="E844" s="2" t="str">
        <f>IF(Table1[[#This Row],[Is Data Valid]]=TRUE,IF(Table1[[#This Row],[Fetal Sex (Male, Female or Unknown)]]="Male",Backend!$C$6,IF(Table1[[#This Row],[Fetal Sex (Male, Female or Unknown)]]="Female",Backend!$C$7,IF(Table1[[#This Row],[Fetal Sex (Male, Female or Unknown)]]="Unknown",Backend!$C$8,"Error"))),"")</f>
        <v/>
      </c>
      <c r="F844" s="8" t="str">
        <f>IF(Table1[[#This Row],[Is Data Valid]]=TRUE,EXP(0.578+0.332*((Table1[[#This Row],[Gestation (days)]]+0.5)/7)-0.00354*((Table1[[#This Row],[Gestation (days)]]+0.5)/7)^2)*Table1[[#This Row],[BW40_3705]],"")</f>
        <v/>
      </c>
      <c r="G844" s="2" t="str">
        <f>IF(Table1[[#This Row],[Is Data Valid]]=TRUE,((Table1[[#This Row],[Birthweight (grams)]]/Table1[[#This Row],[BW_GA]])-1)/(Backend!$B$4/100*Table1[[#This Row],[BW40_3705]]),"")</f>
        <v/>
      </c>
      <c r="H844" s="7" t="str">
        <f>IF(Table1[[#This Row],[Is Data Valid]]=TRUE,((Table1[[#This Row],[Birthweight (grams)]]*0.9/Table1[[#This Row],[BW_GA]])-1)/(Backend!$B$4/100*Table1[[#This Row],[BW40_3705]]),"")</f>
        <v/>
      </c>
      <c r="I844" s="7" t="str">
        <f>IF(Table1[[#This Row],[Is Data Valid]]=TRUE,((Table1[[#This Row],[Birthweight (grams)]]*1.1/Table1[[#This Row],[BW_GA]])-1)/(Backend!$B$4/100*Table1[[#This Row],[BW40_3705]]),"")</f>
        <v/>
      </c>
      <c r="J844" s="7" t="str">
        <f>IF(Table1[[#This Row],[Is Data Valid]]=TRUE,_xlfn.NORM.S.DIST(Table1[[#This Row],[Birthweight Z-Score]],TRUE)*100,"")</f>
        <v/>
      </c>
      <c r="K844" s="7" t="str">
        <f>IF(Table1[[#This Row],[Is Data Valid]]=TRUE,_xlfn.NORM.S.DIST(Table1[[#This Row],[Birthweight Z-Score (BW-10%)]],TRUE)*100,"")</f>
        <v/>
      </c>
      <c r="L844" s="7" t="str">
        <f>IF(Table1[[#This Row],[Is Data Valid]]=TRUE,_xlfn.NORM.S.DIST(Table1[[#This Row],[Birthweight Z-Score (BW+10%)]],TRUE)*100,"")</f>
        <v/>
      </c>
    </row>
    <row r="845" spans="1:12" x14ac:dyDescent="0.35">
      <c r="A845" s="3"/>
      <c r="B845" s="2"/>
      <c r="C845" s="2"/>
      <c r="D845" s="2" t="b">
        <f>IF(AND(NOT(ISBLANK(Table1[[#This Row],[Fetal Sex (Male, Female or Unknown)]])),ISNUMBER(Table1[[#This Row],[Birthweight (grams)]]),ISNUMBER(Table1[[#This Row],[Gestation (days)]])),TRUE,FALSE)</f>
        <v>0</v>
      </c>
      <c r="E845" s="2" t="str">
        <f>IF(Table1[[#This Row],[Is Data Valid]]=TRUE,IF(Table1[[#This Row],[Fetal Sex (Male, Female or Unknown)]]="Male",Backend!$C$6,IF(Table1[[#This Row],[Fetal Sex (Male, Female or Unknown)]]="Female",Backend!$C$7,IF(Table1[[#This Row],[Fetal Sex (Male, Female or Unknown)]]="Unknown",Backend!$C$8,"Error"))),"")</f>
        <v/>
      </c>
      <c r="F845" s="8" t="str">
        <f>IF(Table1[[#This Row],[Is Data Valid]]=TRUE,EXP(0.578+0.332*((Table1[[#This Row],[Gestation (days)]]+0.5)/7)-0.00354*((Table1[[#This Row],[Gestation (days)]]+0.5)/7)^2)*Table1[[#This Row],[BW40_3705]],"")</f>
        <v/>
      </c>
      <c r="G845" s="2" t="str">
        <f>IF(Table1[[#This Row],[Is Data Valid]]=TRUE,((Table1[[#This Row],[Birthweight (grams)]]/Table1[[#This Row],[BW_GA]])-1)/(Backend!$B$4/100*Table1[[#This Row],[BW40_3705]]),"")</f>
        <v/>
      </c>
      <c r="H845" s="7" t="str">
        <f>IF(Table1[[#This Row],[Is Data Valid]]=TRUE,((Table1[[#This Row],[Birthweight (grams)]]*0.9/Table1[[#This Row],[BW_GA]])-1)/(Backend!$B$4/100*Table1[[#This Row],[BW40_3705]]),"")</f>
        <v/>
      </c>
      <c r="I845" s="7" t="str">
        <f>IF(Table1[[#This Row],[Is Data Valid]]=TRUE,((Table1[[#This Row],[Birthweight (grams)]]*1.1/Table1[[#This Row],[BW_GA]])-1)/(Backend!$B$4/100*Table1[[#This Row],[BW40_3705]]),"")</f>
        <v/>
      </c>
      <c r="J845" s="7" t="str">
        <f>IF(Table1[[#This Row],[Is Data Valid]]=TRUE,_xlfn.NORM.S.DIST(Table1[[#This Row],[Birthweight Z-Score]],TRUE)*100,"")</f>
        <v/>
      </c>
      <c r="K845" s="7" t="str">
        <f>IF(Table1[[#This Row],[Is Data Valid]]=TRUE,_xlfn.NORM.S.DIST(Table1[[#This Row],[Birthweight Z-Score (BW-10%)]],TRUE)*100,"")</f>
        <v/>
      </c>
      <c r="L845" s="7" t="str">
        <f>IF(Table1[[#This Row],[Is Data Valid]]=TRUE,_xlfn.NORM.S.DIST(Table1[[#This Row],[Birthweight Z-Score (BW+10%)]],TRUE)*100,"")</f>
        <v/>
      </c>
    </row>
    <row r="846" spans="1:12" x14ac:dyDescent="0.35">
      <c r="A846" s="3"/>
      <c r="B846" s="2"/>
      <c r="C846" s="2"/>
      <c r="D846" s="2" t="b">
        <f>IF(AND(NOT(ISBLANK(Table1[[#This Row],[Fetal Sex (Male, Female or Unknown)]])),ISNUMBER(Table1[[#This Row],[Birthweight (grams)]]),ISNUMBER(Table1[[#This Row],[Gestation (days)]])),TRUE,FALSE)</f>
        <v>0</v>
      </c>
      <c r="E846" s="2" t="str">
        <f>IF(Table1[[#This Row],[Is Data Valid]]=TRUE,IF(Table1[[#This Row],[Fetal Sex (Male, Female or Unknown)]]="Male",Backend!$C$6,IF(Table1[[#This Row],[Fetal Sex (Male, Female or Unknown)]]="Female",Backend!$C$7,IF(Table1[[#This Row],[Fetal Sex (Male, Female or Unknown)]]="Unknown",Backend!$C$8,"Error"))),"")</f>
        <v/>
      </c>
      <c r="F846" s="8" t="str">
        <f>IF(Table1[[#This Row],[Is Data Valid]]=TRUE,EXP(0.578+0.332*((Table1[[#This Row],[Gestation (days)]]+0.5)/7)-0.00354*((Table1[[#This Row],[Gestation (days)]]+0.5)/7)^2)*Table1[[#This Row],[BW40_3705]],"")</f>
        <v/>
      </c>
      <c r="G846" s="2" t="str">
        <f>IF(Table1[[#This Row],[Is Data Valid]]=TRUE,((Table1[[#This Row],[Birthweight (grams)]]/Table1[[#This Row],[BW_GA]])-1)/(Backend!$B$4/100*Table1[[#This Row],[BW40_3705]]),"")</f>
        <v/>
      </c>
      <c r="H846" s="7" t="str">
        <f>IF(Table1[[#This Row],[Is Data Valid]]=TRUE,((Table1[[#This Row],[Birthweight (grams)]]*0.9/Table1[[#This Row],[BW_GA]])-1)/(Backend!$B$4/100*Table1[[#This Row],[BW40_3705]]),"")</f>
        <v/>
      </c>
      <c r="I846" s="7" t="str">
        <f>IF(Table1[[#This Row],[Is Data Valid]]=TRUE,((Table1[[#This Row],[Birthweight (grams)]]*1.1/Table1[[#This Row],[BW_GA]])-1)/(Backend!$B$4/100*Table1[[#This Row],[BW40_3705]]),"")</f>
        <v/>
      </c>
      <c r="J846" s="7" t="str">
        <f>IF(Table1[[#This Row],[Is Data Valid]]=TRUE,_xlfn.NORM.S.DIST(Table1[[#This Row],[Birthweight Z-Score]],TRUE)*100,"")</f>
        <v/>
      </c>
      <c r="K846" s="7" t="str">
        <f>IF(Table1[[#This Row],[Is Data Valid]]=TRUE,_xlfn.NORM.S.DIST(Table1[[#This Row],[Birthweight Z-Score (BW-10%)]],TRUE)*100,"")</f>
        <v/>
      </c>
      <c r="L846" s="7" t="str">
        <f>IF(Table1[[#This Row],[Is Data Valid]]=TRUE,_xlfn.NORM.S.DIST(Table1[[#This Row],[Birthweight Z-Score (BW+10%)]],TRUE)*100,"")</f>
        <v/>
      </c>
    </row>
    <row r="847" spans="1:12" x14ac:dyDescent="0.35">
      <c r="A847" s="3"/>
      <c r="B847" s="2"/>
      <c r="C847" s="2"/>
      <c r="D847" s="2" t="b">
        <f>IF(AND(NOT(ISBLANK(Table1[[#This Row],[Fetal Sex (Male, Female or Unknown)]])),ISNUMBER(Table1[[#This Row],[Birthweight (grams)]]),ISNUMBER(Table1[[#This Row],[Gestation (days)]])),TRUE,FALSE)</f>
        <v>0</v>
      </c>
      <c r="E847" s="2" t="str">
        <f>IF(Table1[[#This Row],[Is Data Valid]]=TRUE,IF(Table1[[#This Row],[Fetal Sex (Male, Female or Unknown)]]="Male",Backend!$C$6,IF(Table1[[#This Row],[Fetal Sex (Male, Female or Unknown)]]="Female",Backend!$C$7,IF(Table1[[#This Row],[Fetal Sex (Male, Female or Unknown)]]="Unknown",Backend!$C$8,"Error"))),"")</f>
        <v/>
      </c>
      <c r="F847" s="8" t="str">
        <f>IF(Table1[[#This Row],[Is Data Valid]]=TRUE,EXP(0.578+0.332*((Table1[[#This Row],[Gestation (days)]]+0.5)/7)-0.00354*((Table1[[#This Row],[Gestation (days)]]+0.5)/7)^2)*Table1[[#This Row],[BW40_3705]],"")</f>
        <v/>
      </c>
      <c r="G847" s="2" t="str">
        <f>IF(Table1[[#This Row],[Is Data Valid]]=TRUE,((Table1[[#This Row],[Birthweight (grams)]]/Table1[[#This Row],[BW_GA]])-1)/(Backend!$B$4/100*Table1[[#This Row],[BW40_3705]]),"")</f>
        <v/>
      </c>
      <c r="H847" s="7" t="str">
        <f>IF(Table1[[#This Row],[Is Data Valid]]=TRUE,((Table1[[#This Row],[Birthweight (grams)]]*0.9/Table1[[#This Row],[BW_GA]])-1)/(Backend!$B$4/100*Table1[[#This Row],[BW40_3705]]),"")</f>
        <v/>
      </c>
      <c r="I847" s="7" t="str">
        <f>IF(Table1[[#This Row],[Is Data Valid]]=TRUE,((Table1[[#This Row],[Birthweight (grams)]]*1.1/Table1[[#This Row],[BW_GA]])-1)/(Backend!$B$4/100*Table1[[#This Row],[BW40_3705]]),"")</f>
        <v/>
      </c>
      <c r="J847" s="7" t="str">
        <f>IF(Table1[[#This Row],[Is Data Valid]]=TRUE,_xlfn.NORM.S.DIST(Table1[[#This Row],[Birthweight Z-Score]],TRUE)*100,"")</f>
        <v/>
      </c>
      <c r="K847" s="7" t="str">
        <f>IF(Table1[[#This Row],[Is Data Valid]]=TRUE,_xlfn.NORM.S.DIST(Table1[[#This Row],[Birthweight Z-Score (BW-10%)]],TRUE)*100,"")</f>
        <v/>
      </c>
      <c r="L847" s="7" t="str">
        <f>IF(Table1[[#This Row],[Is Data Valid]]=TRUE,_xlfn.NORM.S.DIST(Table1[[#This Row],[Birthweight Z-Score (BW+10%)]],TRUE)*100,"")</f>
        <v/>
      </c>
    </row>
    <row r="848" spans="1:12" x14ac:dyDescent="0.35">
      <c r="A848" s="3"/>
      <c r="B848" s="2"/>
      <c r="C848" s="2"/>
      <c r="D848" s="2" t="b">
        <f>IF(AND(NOT(ISBLANK(Table1[[#This Row],[Fetal Sex (Male, Female or Unknown)]])),ISNUMBER(Table1[[#This Row],[Birthweight (grams)]]),ISNUMBER(Table1[[#This Row],[Gestation (days)]])),TRUE,FALSE)</f>
        <v>0</v>
      </c>
      <c r="E848" s="2" t="str">
        <f>IF(Table1[[#This Row],[Is Data Valid]]=TRUE,IF(Table1[[#This Row],[Fetal Sex (Male, Female or Unknown)]]="Male",Backend!$C$6,IF(Table1[[#This Row],[Fetal Sex (Male, Female or Unknown)]]="Female",Backend!$C$7,IF(Table1[[#This Row],[Fetal Sex (Male, Female or Unknown)]]="Unknown",Backend!$C$8,"Error"))),"")</f>
        <v/>
      </c>
      <c r="F848" s="8" t="str">
        <f>IF(Table1[[#This Row],[Is Data Valid]]=TRUE,EXP(0.578+0.332*((Table1[[#This Row],[Gestation (days)]]+0.5)/7)-0.00354*((Table1[[#This Row],[Gestation (days)]]+0.5)/7)^2)*Table1[[#This Row],[BW40_3705]],"")</f>
        <v/>
      </c>
      <c r="G848" s="2" t="str">
        <f>IF(Table1[[#This Row],[Is Data Valid]]=TRUE,((Table1[[#This Row],[Birthweight (grams)]]/Table1[[#This Row],[BW_GA]])-1)/(Backend!$B$4/100*Table1[[#This Row],[BW40_3705]]),"")</f>
        <v/>
      </c>
      <c r="H848" s="7" t="str">
        <f>IF(Table1[[#This Row],[Is Data Valid]]=TRUE,((Table1[[#This Row],[Birthweight (grams)]]*0.9/Table1[[#This Row],[BW_GA]])-1)/(Backend!$B$4/100*Table1[[#This Row],[BW40_3705]]),"")</f>
        <v/>
      </c>
      <c r="I848" s="7" t="str">
        <f>IF(Table1[[#This Row],[Is Data Valid]]=TRUE,((Table1[[#This Row],[Birthweight (grams)]]*1.1/Table1[[#This Row],[BW_GA]])-1)/(Backend!$B$4/100*Table1[[#This Row],[BW40_3705]]),"")</f>
        <v/>
      </c>
      <c r="J848" s="7" t="str">
        <f>IF(Table1[[#This Row],[Is Data Valid]]=TRUE,_xlfn.NORM.S.DIST(Table1[[#This Row],[Birthweight Z-Score]],TRUE)*100,"")</f>
        <v/>
      </c>
      <c r="K848" s="7" t="str">
        <f>IF(Table1[[#This Row],[Is Data Valid]]=TRUE,_xlfn.NORM.S.DIST(Table1[[#This Row],[Birthweight Z-Score (BW-10%)]],TRUE)*100,"")</f>
        <v/>
      </c>
      <c r="L848" s="7" t="str">
        <f>IF(Table1[[#This Row],[Is Data Valid]]=TRUE,_xlfn.NORM.S.DIST(Table1[[#This Row],[Birthweight Z-Score (BW+10%)]],TRUE)*100,"")</f>
        <v/>
      </c>
    </row>
    <row r="849" spans="1:12" x14ac:dyDescent="0.35">
      <c r="A849" s="3"/>
      <c r="B849" s="2"/>
      <c r="C849" s="2"/>
      <c r="D849" s="2" t="b">
        <f>IF(AND(NOT(ISBLANK(Table1[[#This Row],[Fetal Sex (Male, Female or Unknown)]])),ISNUMBER(Table1[[#This Row],[Birthweight (grams)]]),ISNUMBER(Table1[[#This Row],[Gestation (days)]])),TRUE,FALSE)</f>
        <v>0</v>
      </c>
      <c r="E849" s="2" t="str">
        <f>IF(Table1[[#This Row],[Is Data Valid]]=TRUE,IF(Table1[[#This Row],[Fetal Sex (Male, Female or Unknown)]]="Male",Backend!$C$6,IF(Table1[[#This Row],[Fetal Sex (Male, Female or Unknown)]]="Female",Backend!$C$7,IF(Table1[[#This Row],[Fetal Sex (Male, Female or Unknown)]]="Unknown",Backend!$C$8,"Error"))),"")</f>
        <v/>
      </c>
      <c r="F849" s="8" t="str">
        <f>IF(Table1[[#This Row],[Is Data Valid]]=TRUE,EXP(0.578+0.332*((Table1[[#This Row],[Gestation (days)]]+0.5)/7)-0.00354*((Table1[[#This Row],[Gestation (days)]]+0.5)/7)^2)*Table1[[#This Row],[BW40_3705]],"")</f>
        <v/>
      </c>
      <c r="G849" s="2" t="str">
        <f>IF(Table1[[#This Row],[Is Data Valid]]=TRUE,((Table1[[#This Row],[Birthweight (grams)]]/Table1[[#This Row],[BW_GA]])-1)/(Backend!$B$4/100*Table1[[#This Row],[BW40_3705]]),"")</f>
        <v/>
      </c>
      <c r="H849" s="7" t="str">
        <f>IF(Table1[[#This Row],[Is Data Valid]]=TRUE,((Table1[[#This Row],[Birthweight (grams)]]*0.9/Table1[[#This Row],[BW_GA]])-1)/(Backend!$B$4/100*Table1[[#This Row],[BW40_3705]]),"")</f>
        <v/>
      </c>
      <c r="I849" s="7" t="str">
        <f>IF(Table1[[#This Row],[Is Data Valid]]=TRUE,((Table1[[#This Row],[Birthweight (grams)]]*1.1/Table1[[#This Row],[BW_GA]])-1)/(Backend!$B$4/100*Table1[[#This Row],[BW40_3705]]),"")</f>
        <v/>
      </c>
      <c r="J849" s="7" t="str">
        <f>IF(Table1[[#This Row],[Is Data Valid]]=TRUE,_xlfn.NORM.S.DIST(Table1[[#This Row],[Birthweight Z-Score]],TRUE)*100,"")</f>
        <v/>
      </c>
      <c r="K849" s="7" t="str">
        <f>IF(Table1[[#This Row],[Is Data Valid]]=TRUE,_xlfn.NORM.S.DIST(Table1[[#This Row],[Birthweight Z-Score (BW-10%)]],TRUE)*100,"")</f>
        <v/>
      </c>
      <c r="L849" s="7" t="str">
        <f>IF(Table1[[#This Row],[Is Data Valid]]=TRUE,_xlfn.NORM.S.DIST(Table1[[#This Row],[Birthweight Z-Score (BW+10%)]],TRUE)*100,"")</f>
        <v/>
      </c>
    </row>
    <row r="850" spans="1:12" x14ac:dyDescent="0.35">
      <c r="A850" s="3"/>
      <c r="B850" s="2"/>
      <c r="C850" s="2"/>
      <c r="D850" s="2" t="b">
        <f>IF(AND(NOT(ISBLANK(Table1[[#This Row],[Fetal Sex (Male, Female or Unknown)]])),ISNUMBER(Table1[[#This Row],[Birthweight (grams)]]),ISNUMBER(Table1[[#This Row],[Gestation (days)]])),TRUE,FALSE)</f>
        <v>0</v>
      </c>
      <c r="E850" s="2" t="str">
        <f>IF(Table1[[#This Row],[Is Data Valid]]=TRUE,IF(Table1[[#This Row],[Fetal Sex (Male, Female or Unknown)]]="Male",Backend!$C$6,IF(Table1[[#This Row],[Fetal Sex (Male, Female or Unknown)]]="Female",Backend!$C$7,IF(Table1[[#This Row],[Fetal Sex (Male, Female or Unknown)]]="Unknown",Backend!$C$8,"Error"))),"")</f>
        <v/>
      </c>
      <c r="F850" s="8" t="str">
        <f>IF(Table1[[#This Row],[Is Data Valid]]=TRUE,EXP(0.578+0.332*((Table1[[#This Row],[Gestation (days)]]+0.5)/7)-0.00354*((Table1[[#This Row],[Gestation (days)]]+0.5)/7)^2)*Table1[[#This Row],[BW40_3705]],"")</f>
        <v/>
      </c>
      <c r="G850" s="2" t="str">
        <f>IF(Table1[[#This Row],[Is Data Valid]]=TRUE,((Table1[[#This Row],[Birthweight (grams)]]/Table1[[#This Row],[BW_GA]])-1)/(Backend!$B$4/100*Table1[[#This Row],[BW40_3705]]),"")</f>
        <v/>
      </c>
      <c r="H850" s="7" t="str">
        <f>IF(Table1[[#This Row],[Is Data Valid]]=TRUE,((Table1[[#This Row],[Birthweight (grams)]]*0.9/Table1[[#This Row],[BW_GA]])-1)/(Backend!$B$4/100*Table1[[#This Row],[BW40_3705]]),"")</f>
        <v/>
      </c>
      <c r="I850" s="7" t="str">
        <f>IF(Table1[[#This Row],[Is Data Valid]]=TRUE,((Table1[[#This Row],[Birthweight (grams)]]*1.1/Table1[[#This Row],[BW_GA]])-1)/(Backend!$B$4/100*Table1[[#This Row],[BW40_3705]]),"")</f>
        <v/>
      </c>
      <c r="J850" s="7" t="str">
        <f>IF(Table1[[#This Row],[Is Data Valid]]=TRUE,_xlfn.NORM.S.DIST(Table1[[#This Row],[Birthweight Z-Score]],TRUE)*100,"")</f>
        <v/>
      </c>
      <c r="K850" s="7" t="str">
        <f>IF(Table1[[#This Row],[Is Data Valid]]=TRUE,_xlfn.NORM.S.DIST(Table1[[#This Row],[Birthweight Z-Score (BW-10%)]],TRUE)*100,"")</f>
        <v/>
      </c>
      <c r="L850" s="7" t="str">
        <f>IF(Table1[[#This Row],[Is Data Valid]]=TRUE,_xlfn.NORM.S.DIST(Table1[[#This Row],[Birthweight Z-Score (BW+10%)]],TRUE)*100,"")</f>
        <v/>
      </c>
    </row>
    <row r="851" spans="1:12" x14ac:dyDescent="0.35">
      <c r="A851" s="3"/>
      <c r="B851" s="2"/>
      <c r="C851" s="2"/>
      <c r="D851" s="2" t="b">
        <f>IF(AND(NOT(ISBLANK(Table1[[#This Row],[Fetal Sex (Male, Female or Unknown)]])),ISNUMBER(Table1[[#This Row],[Birthweight (grams)]]),ISNUMBER(Table1[[#This Row],[Gestation (days)]])),TRUE,FALSE)</f>
        <v>0</v>
      </c>
      <c r="E851" s="2" t="str">
        <f>IF(Table1[[#This Row],[Is Data Valid]]=TRUE,IF(Table1[[#This Row],[Fetal Sex (Male, Female or Unknown)]]="Male",Backend!$C$6,IF(Table1[[#This Row],[Fetal Sex (Male, Female or Unknown)]]="Female",Backend!$C$7,IF(Table1[[#This Row],[Fetal Sex (Male, Female or Unknown)]]="Unknown",Backend!$C$8,"Error"))),"")</f>
        <v/>
      </c>
      <c r="F851" s="8" t="str">
        <f>IF(Table1[[#This Row],[Is Data Valid]]=TRUE,EXP(0.578+0.332*((Table1[[#This Row],[Gestation (days)]]+0.5)/7)-0.00354*((Table1[[#This Row],[Gestation (days)]]+0.5)/7)^2)*Table1[[#This Row],[BW40_3705]],"")</f>
        <v/>
      </c>
      <c r="G851" s="2" t="str">
        <f>IF(Table1[[#This Row],[Is Data Valid]]=TRUE,((Table1[[#This Row],[Birthweight (grams)]]/Table1[[#This Row],[BW_GA]])-1)/(Backend!$B$4/100*Table1[[#This Row],[BW40_3705]]),"")</f>
        <v/>
      </c>
      <c r="H851" s="7" t="str">
        <f>IF(Table1[[#This Row],[Is Data Valid]]=TRUE,((Table1[[#This Row],[Birthweight (grams)]]*0.9/Table1[[#This Row],[BW_GA]])-1)/(Backend!$B$4/100*Table1[[#This Row],[BW40_3705]]),"")</f>
        <v/>
      </c>
      <c r="I851" s="7" t="str">
        <f>IF(Table1[[#This Row],[Is Data Valid]]=TRUE,((Table1[[#This Row],[Birthweight (grams)]]*1.1/Table1[[#This Row],[BW_GA]])-1)/(Backend!$B$4/100*Table1[[#This Row],[BW40_3705]]),"")</f>
        <v/>
      </c>
      <c r="J851" s="7" t="str">
        <f>IF(Table1[[#This Row],[Is Data Valid]]=TRUE,_xlfn.NORM.S.DIST(Table1[[#This Row],[Birthweight Z-Score]],TRUE)*100,"")</f>
        <v/>
      </c>
      <c r="K851" s="7" t="str">
        <f>IF(Table1[[#This Row],[Is Data Valid]]=TRUE,_xlfn.NORM.S.DIST(Table1[[#This Row],[Birthweight Z-Score (BW-10%)]],TRUE)*100,"")</f>
        <v/>
      </c>
      <c r="L851" s="7" t="str">
        <f>IF(Table1[[#This Row],[Is Data Valid]]=TRUE,_xlfn.NORM.S.DIST(Table1[[#This Row],[Birthweight Z-Score (BW+10%)]],TRUE)*100,"")</f>
        <v/>
      </c>
    </row>
    <row r="852" spans="1:12" x14ac:dyDescent="0.35">
      <c r="A852" s="3"/>
      <c r="B852" s="2"/>
      <c r="C852" s="2"/>
      <c r="D852" s="2" t="b">
        <f>IF(AND(NOT(ISBLANK(Table1[[#This Row],[Fetal Sex (Male, Female or Unknown)]])),ISNUMBER(Table1[[#This Row],[Birthweight (grams)]]),ISNUMBER(Table1[[#This Row],[Gestation (days)]])),TRUE,FALSE)</f>
        <v>0</v>
      </c>
      <c r="E852" s="2" t="str">
        <f>IF(Table1[[#This Row],[Is Data Valid]]=TRUE,IF(Table1[[#This Row],[Fetal Sex (Male, Female or Unknown)]]="Male",Backend!$C$6,IF(Table1[[#This Row],[Fetal Sex (Male, Female or Unknown)]]="Female",Backend!$C$7,IF(Table1[[#This Row],[Fetal Sex (Male, Female or Unknown)]]="Unknown",Backend!$C$8,"Error"))),"")</f>
        <v/>
      </c>
      <c r="F852" s="8" t="str">
        <f>IF(Table1[[#This Row],[Is Data Valid]]=TRUE,EXP(0.578+0.332*((Table1[[#This Row],[Gestation (days)]]+0.5)/7)-0.00354*((Table1[[#This Row],[Gestation (days)]]+0.5)/7)^2)*Table1[[#This Row],[BW40_3705]],"")</f>
        <v/>
      </c>
      <c r="G852" s="2" t="str">
        <f>IF(Table1[[#This Row],[Is Data Valid]]=TRUE,((Table1[[#This Row],[Birthweight (grams)]]/Table1[[#This Row],[BW_GA]])-1)/(Backend!$B$4/100*Table1[[#This Row],[BW40_3705]]),"")</f>
        <v/>
      </c>
      <c r="H852" s="7" t="str">
        <f>IF(Table1[[#This Row],[Is Data Valid]]=TRUE,((Table1[[#This Row],[Birthweight (grams)]]*0.9/Table1[[#This Row],[BW_GA]])-1)/(Backend!$B$4/100*Table1[[#This Row],[BW40_3705]]),"")</f>
        <v/>
      </c>
      <c r="I852" s="7" t="str">
        <f>IF(Table1[[#This Row],[Is Data Valid]]=TRUE,((Table1[[#This Row],[Birthweight (grams)]]*1.1/Table1[[#This Row],[BW_GA]])-1)/(Backend!$B$4/100*Table1[[#This Row],[BW40_3705]]),"")</f>
        <v/>
      </c>
      <c r="J852" s="7" t="str">
        <f>IF(Table1[[#This Row],[Is Data Valid]]=TRUE,_xlfn.NORM.S.DIST(Table1[[#This Row],[Birthweight Z-Score]],TRUE)*100,"")</f>
        <v/>
      </c>
      <c r="K852" s="7" t="str">
        <f>IF(Table1[[#This Row],[Is Data Valid]]=TRUE,_xlfn.NORM.S.DIST(Table1[[#This Row],[Birthweight Z-Score (BW-10%)]],TRUE)*100,"")</f>
        <v/>
      </c>
      <c r="L852" s="7" t="str">
        <f>IF(Table1[[#This Row],[Is Data Valid]]=TRUE,_xlfn.NORM.S.DIST(Table1[[#This Row],[Birthweight Z-Score (BW+10%)]],TRUE)*100,"")</f>
        <v/>
      </c>
    </row>
    <row r="853" spans="1:12" x14ac:dyDescent="0.35">
      <c r="A853" s="3"/>
      <c r="B853" s="2"/>
      <c r="C853" s="2"/>
      <c r="D853" s="2" t="b">
        <f>IF(AND(NOT(ISBLANK(Table1[[#This Row],[Fetal Sex (Male, Female or Unknown)]])),ISNUMBER(Table1[[#This Row],[Birthweight (grams)]]),ISNUMBER(Table1[[#This Row],[Gestation (days)]])),TRUE,FALSE)</f>
        <v>0</v>
      </c>
      <c r="E853" s="2" t="str">
        <f>IF(Table1[[#This Row],[Is Data Valid]]=TRUE,IF(Table1[[#This Row],[Fetal Sex (Male, Female or Unknown)]]="Male",Backend!$C$6,IF(Table1[[#This Row],[Fetal Sex (Male, Female or Unknown)]]="Female",Backend!$C$7,IF(Table1[[#This Row],[Fetal Sex (Male, Female or Unknown)]]="Unknown",Backend!$C$8,"Error"))),"")</f>
        <v/>
      </c>
      <c r="F853" s="8" t="str">
        <f>IF(Table1[[#This Row],[Is Data Valid]]=TRUE,EXP(0.578+0.332*((Table1[[#This Row],[Gestation (days)]]+0.5)/7)-0.00354*((Table1[[#This Row],[Gestation (days)]]+0.5)/7)^2)*Table1[[#This Row],[BW40_3705]],"")</f>
        <v/>
      </c>
      <c r="G853" s="2" t="str">
        <f>IF(Table1[[#This Row],[Is Data Valid]]=TRUE,((Table1[[#This Row],[Birthweight (grams)]]/Table1[[#This Row],[BW_GA]])-1)/(Backend!$B$4/100*Table1[[#This Row],[BW40_3705]]),"")</f>
        <v/>
      </c>
      <c r="H853" s="7" t="str">
        <f>IF(Table1[[#This Row],[Is Data Valid]]=TRUE,((Table1[[#This Row],[Birthweight (grams)]]*0.9/Table1[[#This Row],[BW_GA]])-1)/(Backend!$B$4/100*Table1[[#This Row],[BW40_3705]]),"")</f>
        <v/>
      </c>
      <c r="I853" s="7" t="str">
        <f>IF(Table1[[#This Row],[Is Data Valid]]=TRUE,((Table1[[#This Row],[Birthweight (grams)]]*1.1/Table1[[#This Row],[BW_GA]])-1)/(Backend!$B$4/100*Table1[[#This Row],[BW40_3705]]),"")</f>
        <v/>
      </c>
      <c r="J853" s="7" t="str">
        <f>IF(Table1[[#This Row],[Is Data Valid]]=TRUE,_xlfn.NORM.S.DIST(Table1[[#This Row],[Birthweight Z-Score]],TRUE)*100,"")</f>
        <v/>
      </c>
      <c r="K853" s="7" t="str">
        <f>IF(Table1[[#This Row],[Is Data Valid]]=TRUE,_xlfn.NORM.S.DIST(Table1[[#This Row],[Birthweight Z-Score (BW-10%)]],TRUE)*100,"")</f>
        <v/>
      </c>
      <c r="L853" s="7" t="str">
        <f>IF(Table1[[#This Row],[Is Data Valid]]=TRUE,_xlfn.NORM.S.DIST(Table1[[#This Row],[Birthweight Z-Score (BW+10%)]],TRUE)*100,"")</f>
        <v/>
      </c>
    </row>
    <row r="854" spans="1:12" x14ac:dyDescent="0.35">
      <c r="A854" s="3"/>
      <c r="B854" s="2"/>
      <c r="C854" s="2"/>
      <c r="D854" s="2" t="b">
        <f>IF(AND(NOT(ISBLANK(Table1[[#This Row],[Fetal Sex (Male, Female or Unknown)]])),ISNUMBER(Table1[[#This Row],[Birthweight (grams)]]),ISNUMBER(Table1[[#This Row],[Gestation (days)]])),TRUE,FALSE)</f>
        <v>0</v>
      </c>
      <c r="E854" s="2" t="str">
        <f>IF(Table1[[#This Row],[Is Data Valid]]=TRUE,IF(Table1[[#This Row],[Fetal Sex (Male, Female or Unknown)]]="Male",Backend!$C$6,IF(Table1[[#This Row],[Fetal Sex (Male, Female or Unknown)]]="Female",Backend!$C$7,IF(Table1[[#This Row],[Fetal Sex (Male, Female or Unknown)]]="Unknown",Backend!$C$8,"Error"))),"")</f>
        <v/>
      </c>
      <c r="F854" s="8" t="str">
        <f>IF(Table1[[#This Row],[Is Data Valid]]=TRUE,EXP(0.578+0.332*((Table1[[#This Row],[Gestation (days)]]+0.5)/7)-0.00354*((Table1[[#This Row],[Gestation (days)]]+0.5)/7)^2)*Table1[[#This Row],[BW40_3705]],"")</f>
        <v/>
      </c>
      <c r="G854" s="2" t="str">
        <f>IF(Table1[[#This Row],[Is Data Valid]]=TRUE,((Table1[[#This Row],[Birthweight (grams)]]/Table1[[#This Row],[BW_GA]])-1)/(Backend!$B$4/100*Table1[[#This Row],[BW40_3705]]),"")</f>
        <v/>
      </c>
      <c r="H854" s="7" t="str">
        <f>IF(Table1[[#This Row],[Is Data Valid]]=TRUE,((Table1[[#This Row],[Birthweight (grams)]]*0.9/Table1[[#This Row],[BW_GA]])-1)/(Backend!$B$4/100*Table1[[#This Row],[BW40_3705]]),"")</f>
        <v/>
      </c>
      <c r="I854" s="7" t="str">
        <f>IF(Table1[[#This Row],[Is Data Valid]]=TRUE,((Table1[[#This Row],[Birthweight (grams)]]*1.1/Table1[[#This Row],[BW_GA]])-1)/(Backend!$B$4/100*Table1[[#This Row],[BW40_3705]]),"")</f>
        <v/>
      </c>
      <c r="J854" s="7" t="str">
        <f>IF(Table1[[#This Row],[Is Data Valid]]=TRUE,_xlfn.NORM.S.DIST(Table1[[#This Row],[Birthweight Z-Score]],TRUE)*100,"")</f>
        <v/>
      </c>
      <c r="K854" s="7" t="str">
        <f>IF(Table1[[#This Row],[Is Data Valid]]=TRUE,_xlfn.NORM.S.DIST(Table1[[#This Row],[Birthweight Z-Score (BW-10%)]],TRUE)*100,"")</f>
        <v/>
      </c>
      <c r="L854" s="7" t="str">
        <f>IF(Table1[[#This Row],[Is Data Valid]]=TRUE,_xlfn.NORM.S.DIST(Table1[[#This Row],[Birthweight Z-Score (BW+10%)]],TRUE)*100,"")</f>
        <v/>
      </c>
    </row>
    <row r="855" spans="1:12" x14ac:dyDescent="0.35">
      <c r="A855" s="3"/>
      <c r="B855" s="2"/>
      <c r="C855" s="2"/>
      <c r="D855" s="2" t="b">
        <f>IF(AND(NOT(ISBLANK(Table1[[#This Row],[Fetal Sex (Male, Female or Unknown)]])),ISNUMBER(Table1[[#This Row],[Birthweight (grams)]]),ISNUMBER(Table1[[#This Row],[Gestation (days)]])),TRUE,FALSE)</f>
        <v>0</v>
      </c>
      <c r="E855" s="2" t="str">
        <f>IF(Table1[[#This Row],[Is Data Valid]]=TRUE,IF(Table1[[#This Row],[Fetal Sex (Male, Female or Unknown)]]="Male",Backend!$C$6,IF(Table1[[#This Row],[Fetal Sex (Male, Female or Unknown)]]="Female",Backend!$C$7,IF(Table1[[#This Row],[Fetal Sex (Male, Female or Unknown)]]="Unknown",Backend!$C$8,"Error"))),"")</f>
        <v/>
      </c>
      <c r="F855" s="8" t="str">
        <f>IF(Table1[[#This Row],[Is Data Valid]]=TRUE,EXP(0.578+0.332*((Table1[[#This Row],[Gestation (days)]]+0.5)/7)-0.00354*((Table1[[#This Row],[Gestation (days)]]+0.5)/7)^2)*Table1[[#This Row],[BW40_3705]],"")</f>
        <v/>
      </c>
      <c r="G855" s="2" t="str">
        <f>IF(Table1[[#This Row],[Is Data Valid]]=TRUE,((Table1[[#This Row],[Birthweight (grams)]]/Table1[[#This Row],[BW_GA]])-1)/(Backend!$B$4/100*Table1[[#This Row],[BW40_3705]]),"")</f>
        <v/>
      </c>
      <c r="H855" s="7" t="str">
        <f>IF(Table1[[#This Row],[Is Data Valid]]=TRUE,((Table1[[#This Row],[Birthweight (grams)]]*0.9/Table1[[#This Row],[BW_GA]])-1)/(Backend!$B$4/100*Table1[[#This Row],[BW40_3705]]),"")</f>
        <v/>
      </c>
      <c r="I855" s="7" t="str">
        <f>IF(Table1[[#This Row],[Is Data Valid]]=TRUE,((Table1[[#This Row],[Birthweight (grams)]]*1.1/Table1[[#This Row],[BW_GA]])-1)/(Backend!$B$4/100*Table1[[#This Row],[BW40_3705]]),"")</f>
        <v/>
      </c>
      <c r="J855" s="7" t="str">
        <f>IF(Table1[[#This Row],[Is Data Valid]]=TRUE,_xlfn.NORM.S.DIST(Table1[[#This Row],[Birthweight Z-Score]],TRUE)*100,"")</f>
        <v/>
      </c>
      <c r="K855" s="7" t="str">
        <f>IF(Table1[[#This Row],[Is Data Valid]]=TRUE,_xlfn.NORM.S.DIST(Table1[[#This Row],[Birthweight Z-Score (BW-10%)]],TRUE)*100,"")</f>
        <v/>
      </c>
      <c r="L855" s="7" t="str">
        <f>IF(Table1[[#This Row],[Is Data Valid]]=TRUE,_xlfn.NORM.S.DIST(Table1[[#This Row],[Birthweight Z-Score (BW+10%)]],TRUE)*100,"")</f>
        <v/>
      </c>
    </row>
    <row r="856" spans="1:12" x14ac:dyDescent="0.35">
      <c r="A856" s="3"/>
      <c r="B856" s="2"/>
      <c r="C856" s="2"/>
      <c r="D856" s="2" t="b">
        <f>IF(AND(NOT(ISBLANK(Table1[[#This Row],[Fetal Sex (Male, Female or Unknown)]])),ISNUMBER(Table1[[#This Row],[Birthweight (grams)]]),ISNUMBER(Table1[[#This Row],[Gestation (days)]])),TRUE,FALSE)</f>
        <v>0</v>
      </c>
      <c r="E856" s="2" t="str">
        <f>IF(Table1[[#This Row],[Is Data Valid]]=TRUE,IF(Table1[[#This Row],[Fetal Sex (Male, Female or Unknown)]]="Male",Backend!$C$6,IF(Table1[[#This Row],[Fetal Sex (Male, Female or Unknown)]]="Female",Backend!$C$7,IF(Table1[[#This Row],[Fetal Sex (Male, Female or Unknown)]]="Unknown",Backend!$C$8,"Error"))),"")</f>
        <v/>
      </c>
      <c r="F856" s="8" t="str">
        <f>IF(Table1[[#This Row],[Is Data Valid]]=TRUE,EXP(0.578+0.332*((Table1[[#This Row],[Gestation (days)]]+0.5)/7)-0.00354*((Table1[[#This Row],[Gestation (days)]]+0.5)/7)^2)*Table1[[#This Row],[BW40_3705]],"")</f>
        <v/>
      </c>
      <c r="G856" s="2" t="str">
        <f>IF(Table1[[#This Row],[Is Data Valid]]=TRUE,((Table1[[#This Row],[Birthweight (grams)]]/Table1[[#This Row],[BW_GA]])-1)/(Backend!$B$4/100*Table1[[#This Row],[BW40_3705]]),"")</f>
        <v/>
      </c>
      <c r="H856" s="7" t="str">
        <f>IF(Table1[[#This Row],[Is Data Valid]]=TRUE,((Table1[[#This Row],[Birthweight (grams)]]*0.9/Table1[[#This Row],[BW_GA]])-1)/(Backend!$B$4/100*Table1[[#This Row],[BW40_3705]]),"")</f>
        <v/>
      </c>
      <c r="I856" s="7" t="str">
        <f>IF(Table1[[#This Row],[Is Data Valid]]=TRUE,((Table1[[#This Row],[Birthweight (grams)]]*1.1/Table1[[#This Row],[BW_GA]])-1)/(Backend!$B$4/100*Table1[[#This Row],[BW40_3705]]),"")</f>
        <v/>
      </c>
      <c r="J856" s="7" t="str">
        <f>IF(Table1[[#This Row],[Is Data Valid]]=TRUE,_xlfn.NORM.S.DIST(Table1[[#This Row],[Birthweight Z-Score]],TRUE)*100,"")</f>
        <v/>
      </c>
      <c r="K856" s="7" t="str">
        <f>IF(Table1[[#This Row],[Is Data Valid]]=TRUE,_xlfn.NORM.S.DIST(Table1[[#This Row],[Birthweight Z-Score (BW-10%)]],TRUE)*100,"")</f>
        <v/>
      </c>
      <c r="L856" s="7" t="str">
        <f>IF(Table1[[#This Row],[Is Data Valid]]=TRUE,_xlfn.NORM.S.DIST(Table1[[#This Row],[Birthweight Z-Score (BW+10%)]],TRUE)*100,"")</f>
        <v/>
      </c>
    </row>
    <row r="857" spans="1:12" x14ac:dyDescent="0.35">
      <c r="A857" s="3"/>
      <c r="B857" s="2"/>
      <c r="C857" s="2"/>
      <c r="D857" s="2" t="b">
        <f>IF(AND(NOT(ISBLANK(Table1[[#This Row],[Fetal Sex (Male, Female or Unknown)]])),ISNUMBER(Table1[[#This Row],[Birthweight (grams)]]),ISNUMBER(Table1[[#This Row],[Gestation (days)]])),TRUE,FALSE)</f>
        <v>0</v>
      </c>
      <c r="E857" s="2" t="str">
        <f>IF(Table1[[#This Row],[Is Data Valid]]=TRUE,IF(Table1[[#This Row],[Fetal Sex (Male, Female or Unknown)]]="Male",Backend!$C$6,IF(Table1[[#This Row],[Fetal Sex (Male, Female or Unknown)]]="Female",Backend!$C$7,IF(Table1[[#This Row],[Fetal Sex (Male, Female or Unknown)]]="Unknown",Backend!$C$8,"Error"))),"")</f>
        <v/>
      </c>
      <c r="F857" s="8" t="str">
        <f>IF(Table1[[#This Row],[Is Data Valid]]=TRUE,EXP(0.578+0.332*((Table1[[#This Row],[Gestation (days)]]+0.5)/7)-0.00354*((Table1[[#This Row],[Gestation (days)]]+0.5)/7)^2)*Table1[[#This Row],[BW40_3705]],"")</f>
        <v/>
      </c>
      <c r="G857" s="2" t="str">
        <f>IF(Table1[[#This Row],[Is Data Valid]]=TRUE,((Table1[[#This Row],[Birthweight (grams)]]/Table1[[#This Row],[BW_GA]])-1)/(Backend!$B$4/100*Table1[[#This Row],[BW40_3705]]),"")</f>
        <v/>
      </c>
      <c r="H857" s="7" t="str">
        <f>IF(Table1[[#This Row],[Is Data Valid]]=TRUE,((Table1[[#This Row],[Birthweight (grams)]]*0.9/Table1[[#This Row],[BW_GA]])-1)/(Backend!$B$4/100*Table1[[#This Row],[BW40_3705]]),"")</f>
        <v/>
      </c>
      <c r="I857" s="7" t="str">
        <f>IF(Table1[[#This Row],[Is Data Valid]]=TRUE,((Table1[[#This Row],[Birthweight (grams)]]*1.1/Table1[[#This Row],[BW_GA]])-1)/(Backend!$B$4/100*Table1[[#This Row],[BW40_3705]]),"")</f>
        <v/>
      </c>
      <c r="J857" s="7" t="str">
        <f>IF(Table1[[#This Row],[Is Data Valid]]=TRUE,_xlfn.NORM.S.DIST(Table1[[#This Row],[Birthweight Z-Score]],TRUE)*100,"")</f>
        <v/>
      </c>
      <c r="K857" s="7" t="str">
        <f>IF(Table1[[#This Row],[Is Data Valid]]=TRUE,_xlfn.NORM.S.DIST(Table1[[#This Row],[Birthweight Z-Score (BW-10%)]],TRUE)*100,"")</f>
        <v/>
      </c>
      <c r="L857" s="7" t="str">
        <f>IF(Table1[[#This Row],[Is Data Valid]]=TRUE,_xlfn.NORM.S.DIST(Table1[[#This Row],[Birthweight Z-Score (BW+10%)]],TRUE)*100,"")</f>
        <v/>
      </c>
    </row>
    <row r="858" spans="1:12" x14ac:dyDescent="0.35">
      <c r="A858" s="3"/>
      <c r="B858" s="2"/>
      <c r="C858" s="2"/>
      <c r="D858" s="2" t="b">
        <f>IF(AND(NOT(ISBLANK(Table1[[#This Row],[Fetal Sex (Male, Female or Unknown)]])),ISNUMBER(Table1[[#This Row],[Birthweight (grams)]]),ISNUMBER(Table1[[#This Row],[Gestation (days)]])),TRUE,FALSE)</f>
        <v>0</v>
      </c>
      <c r="E858" s="2" t="str">
        <f>IF(Table1[[#This Row],[Is Data Valid]]=TRUE,IF(Table1[[#This Row],[Fetal Sex (Male, Female or Unknown)]]="Male",Backend!$C$6,IF(Table1[[#This Row],[Fetal Sex (Male, Female or Unknown)]]="Female",Backend!$C$7,IF(Table1[[#This Row],[Fetal Sex (Male, Female or Unknown)]]="Unknown",Backend!$C$8,"Error"))),"")</f>
        <v/>
      </c>
      <c r="F858" s="8" t="str">
        <f>IF(Table1[[#This Row],[Is Data Valid]]=TRUE,EXP(0.578+0.332*((Table1[[#This Row],[Gestation (days)]]+0.5)/7)-0.00354*((Table1[[#This Row],[Gestation (days)]]+0.5)/7)^2)*Table1[[#This Row],[BW40_3705]],"")</f>
        <v/>
      </c>
      <c r="G858" s="2" t="str">
        <f>IF(Table1[[#This Row],[Is Data Valid]]=TRUE,((Table1[[#This Row],[Birthweight (grams)]]/Table1[[#This Row],[BW_GA]])-1)/(Backend!$B$4/100*Table1[[#This Row],[BW40_3705]]),"")</f>
        <v/>
      </c>
      <c r="H858" s="7" t="str">
        <f>IF(Table1[[#This Row],[Is Data Valid]]=TRUE,((Table1[[#This Row],[Birthweight (grams)]]*0.9/Table1[[#This Row],[BW_GA]])-1)/(Backend!$B$4/100*Table1[[#This Row],[BW40_3705]]),"")</f>
        <v/>
      </c>
      <c r="I858" s="7" t="str">
        <f>IF(Table1[[#This Row],[Is Data Valid]]=TRUE,((Table1[[#This Row],[Birthweight (grams)]]*1.1/Table1[[#This Row],[BW_GA]])-1)/(Backend!$B$4/100*Table1[[#This Row],[BW40_3705]]),"")</f>
        <v/>
      </c>
      <c r="J858" s="7" t="str">
        <f>IF(Table1[[#This Row],[Is Data Valid]]=TRUE,_xlfn.NORM.S.DIST(Table1[[#This Row],[Birthweight Z-Score]],TRUE)*100,"")</f>
        <v/>
      </c>
      <c r="K858" s="7" t="str">
        <f>IF(Table1[[#This Row],[Is Data Valid]]=TRUE,_xlfn.NORM.S.DIST(Table1[[#This Row],[Birthweight Z-Score (BW-10%)]],TRUE)*100,"")</f>
        <v/>
      </c>
      <c r="L858" s="7" t="str">
        <f>IF(Table1[[#This Row],[Is Data Valid]]=TRUE,_xlfn.NORM.S.DIST(Table1[[#This Row],[Birthweight Z-Score (BW+10%)]],TRUE)*100,"")</f>
        <v/>
      </c>
    </row>
    <row r="859" spans="1:12" x14ac:dyDescent="0.35">
      <c r="A859" s="3"/>
      <c r="B859" s="2"/>
      <c r="C859" s="2"/>
      <c r="D859" s="2" t="b">
        <f>IF(AND(NOT(ISBLANK(Table1[[#This Row],[Fetal Sex (Male, Female or Unknown)]])),ISNUMBER(Table1[[#This Row],[Birthweight (grams)]]),ISNUMBER(Table1[[#This Row],[Gestation (days)]])),TRUE,FALSE)</f>
        <v>0</v>
      </c>
      <c r="E859" s="2" t="str">
        <f>IF(Table1[[#This Row],[Is Data Valid]]=TRUE,IF(Table1[[#This Row],[Fetal Sex (Male, Female or Unknown)]]="Male",Backend!$C$6,IF(Table1[[#This Row],[Fetal Sex (Male, Female or Unknown)]]="Female",Backend!$C$7,IF(Table1[[#This Row],[Fetal Sex (Male, Female or Unknown)]]="Unknown",Backend!$C$8,"Error"))),"")</f>
        <v/>
      </c>
      <c r="F859" s="8" t="str">
        <f>IF(Table1[[#This Row],[Is Data Valid]]=TRUE,EXP(0.578+0.332*((Table1[[#This Row],[Gestation (days)]]+0.5)/7)-0.00354*((Table1[[#This Row],[Gestation (days)]]+0.5)/7)^2)*Table1[[#This Row],[BW40_3705]],"")</f>
        <v/>
      </c>
      <c r="G859" s="2" t="str">
        <f>IF(Table1[[#This Row],[Is Data Valid]]=TRUE,((Table1[[#This Row],[Birthweight (grams)]]/Table1[[#This Row],[BW_GA]])-1)/(Backend!$B$4/100*Table1[[#This Row],[BW40_3705]]),"")</f>
        <v/>
      </c>
      <c r="H859" s="7" t="str">
        <f>IF(Table1[[#This Row],[Is Data Valid]]=TRUE,((Table1[[#This Row],[Birthweight (grams)]]*0.9/Table1[[#This Row],[BW_GA]])-1)/(Backend!$B$4/100*Table1[[#This Row],[BW40_3705]]),"")</f>
        <v/>
      </c>
      <c r="I859" s="7" t="str">
        <f>IF(Table1[[#This Row],[Is Data Valid]]=TRUE,((Table1[[#This Row],[Birthweight (grams)]]*1.1/Table1[[#This Row],[BW_GA]])-1)/(Backend!$B$4/100*Table1[[#This Row],[BW40_3705]]),"")</f>
        <v/>
      </c>
      <c r="J859" s="7" t="str">
        <f>IF(Table1[[#This Row],[Is Data Valid]]=TRUE,_xlfn.NORM.S.DIST(Table1[[#This Row],[Birthweight Z-Score]],TRUE)*100,"")</f>
        <v/>
      </c>
      <c r="K859" s="7" t="str">
        <f>IF(Table1[[#This Row],[Is Data Valid]]=TRUE,_xlfn.NORM.S.DIST(Table1[[#This Row],[Birthweight Z-Score (BW-10%)]],TRUE)*100,"")</f>
        <v/>
      </c>
      <c r="L859" s="7" t="str">
        <f>IF(Table1[[#This Row],[Is Data Valid]]=TRUE,_xlfn.NORM.S.DIST(Table1[[#This Row],[Birthweight Z-Score (BW+10%)]],TRUE)*100,"")</f>
        <v/>
      </c>
    </row>
    <row r="860" spans="1:12" x14ac:dyDescent="0.35">
      <c r="A860" s="3"/>
      <c r="B860" s="2"/>
      <c r="C860" s="2"/>
      <c r="D860" s="2" t="b">
        <f>IF(AND(NOT(ISBLANK(Table1[[#This Row],[Fetal Sex (Male, Female or Unknown)]])),ISNUMBER(Table1[[#This Row],[Birthweight (grams)]]),ISNUMBER(Table1[[#This Row],[Gestation (days)]])),TRUE,FALSE)</f>
        <v>0</v>
      </c>
      <c r="E860" s="2" t="str">
        <f>IF(Table1[[#This Row],[Is Data Valid]]=TRUE,IF(Table1[[#This Row],[Fetal Sex (Male, Female or Unknown)]]="Male",Backend!$C$6,IF(Table1[[#This Row],[Fetal Sex (Male, Female or Unknown)]]="Female",Backend!$C$7,IF(Table1[[#This Row],[Fetal Sex (Male, Female or Unknown)]]="Unknown",Backend!$C$8,"Error"))),"")</f>
        <v/>
      </c>
      <c r="F860" s="8" t="str">
        <f>IF(Table1[[#This Row],[Is Data Valid]]=TRUE,EXP(0.578+0.332*((Table1[[#This Row],[Gestation (days)]]+0.5)/7)-0.00354*((Table1[[#This Row],[Gestation (days)]]+0.5)/7)^2)*Table1[[#This Row],[BW40_3705]],"")</f>
        <v/>
      </c>
      <c r="G860" s="2" t="str">
        <f>IF(Table1[[#This Row],[Is Data Valid]]=TRUE,((Table1[[#This Row],[Birthweight (grams)]]/Table1[[#This Row],[BW_GA]])-1)/(Backend!$B$4/100*Table1[[#This Row],[BW40_3705]]),"")</f>
        <v/>
      </c>
      <c r="H860" s="7" t="str">
        <f>IF(Table1[[#This Row],[Is Data Valid]]=TRUE,((Table1[[#This Row],[Birthweight (grams)]]*0.9/Table1[[#This Row],[BW_GA]])-1)/(Backend!$B$4/100*Table1[[#This Row],[BW40_3705]]),"")</f>
        <v/>
      </c>
      <c r="I860" s="7" t="str">
        <f>IF(Table1[[#This Row],[Is Data Valid]]=TRUE,((Table1[[#This Row],[Birthweight (grams)]]*1.1/Table1[[#This Row],[BW_GA]])-1)/(Backend!$B$4/100*Table1[[#This Row],[BW40_3705]]),"")</f>
        <v/>
      </c>
      <c r="J860" s="7" t="str">
        <f>IF(Table1[[#This Row],[Is Data Valid]]=TRUE,_xlfn.NORM.S.DIST(Table1[[#This Row],[Birthweight Z-Score]],TRUE)*100,"")</f>
        <v/>
      </c>
      <c r="K860" s="7" t="str">
        <f>IF(Table1[[#This Row],[Is Data Valid]]=TRUE,_xlfn.NORM.S.DIST(Table1[[#This Row],[Birthweight Z-Score (BW-10%)]],TRUE)*100,"")</f>
        <v/>
      </c>
      <c r="L860" s="7" t="str">
        <f>IF(Table1[[#This Row],[Is Data Valid]]=TRUE,_xlfn.NORM.S.DIST(Table1[[#This Row],[Birthweight Z-Score (BW+10%)]],TRUE)*100,"")</f>
        <v/>
      </c>
    </row>
    <row r="861" spans="1:12" x14ac:dyDescent="0.35">
      <c r="A861" s="3"/>
      <c r="B861" s="2"/>
      <c r="C861" s="2"/>
      <c r="D861" s="2" t="b">
        <f>IF(AND(NOT(ISBLANK(Table1[[#This Row],[Fetal Sex (Male, Female or Unknown)]])),ISNUMBER(Table1[[#This Row],[Birthweight (grams)]]),ISNUMBER(Table1[[#This Row],[Gestation (days)]])),TRUE,FALSE)</f>
        <v>0</v>
      </c>
      <c r="E861" s="2" t="str">
        <f>IF(Table1[[#This Row],[Is Data Valid]]=TRUE,IF(Table1[[#This Row],[Fetal Sex (Male, Female or Unknown)]]="Male",Backend!$C$6,IF(Table1[[#This Row],[Fetal Sex (Male, Female or Unknown)]]="Female",Backend!$C$7,IF(Table1[[#This Row],[Fetal Sex (Male, Female or Unknown)]]="Unknown",Backend!$C$8,"Error"))),"")</f>
        <v/>
      </c>
      <c r="F861" s="8" t="str">
        <f>IF(Table1[[#This Row],[Is Data Valid]]=TRUE,EXP(0.578+0.332*((Table1[[#This Row],[Gestation (days)]]+0.5)/7)-0.00354*((Table1[[#This Row],[Gestation (days)]]+0.5)/7)^2)*Table1[[#This Row],[BW40_3705]],"")</f>
        <v/>
      </c>
      <c r="G861" s="2" t="str">
        <f>IF(Table1[[#This Row],[Is Data Valid]]=TRUE,((Table1[[#This Row],[Birthweight (grams)]]/Table1[[#This Row],[BW_GA]])-1)/(Backend!$B$4/100*Table1[[#This Row],[BW40_3705]]),"")</f>
        <v/>
      </c>
      <c r="H861" s="7" t="str">
        <f>IF(Table1[[#This Row],[Is Data Valid]]=TRUE,((Table1[[#This Row],[Birthweight (grams)]]*0.9/Table1[[#This Row],[BW_GA]])-1)/(Backend!$B$4/100*Table1[[#This Row],[BW40_3705]]),"")</f>
        <v/>
      </c>
      <c r="I861" s="7" t="str">
        <f>IF(Table1[[#This Row],[Is Data Valid]]=TRUE,((Table1[[#This Row],[Birthweight (grams)]]*1.1/Table1[[#This Row],[BW_GA]])-1)/(Backend!$B$4/100*Table1[[#This Row],[BW40_3705]]),"")</f>
        <v/>
      </c>
      <c r="J861" s="7" t="str">
        <f>IF(Table1[[#This Row],[Is Data Valid]]=TRUE,_xlfn.NORM.S.DIST(Table1[[#This Row],[Birthweight Z-Score]],TRUE)*100,"")</f>
        <v/>
      </c>
      <c r="K861" s="7" t="str">
        <f>IF(Table1[[#This Row],[Is Data Valid]]=TRUE,_xlfn.NORM.S.DIST(Table1[[#This Row],[Birthweight Z-Score (BW-10%)]],TRUE)*100,"")</f>
        <v/>
      </c>
      <c r="L861" s="7" t="str">
        <f>IF(Table1[[#This Row],[Is Data Valid]]=TRUE,_xlfn.NORM.S.DIST(Table1[[#This Row],[Birthweight Z-Score (BW+10%)]],TRUE)*100,"")</f>
        <v/>
      </c>
    </row>
    <row r="862" spans="1:12" x14ac:dyDescent="0.35">
      <c r="A862" s="3"/>
      <c r="B862" s="2"/>
      <c r="C862" s="2"/>
      <c r="D862" s="2" t="b">
        <f>IF(AND(NOT(ISBLANK(Table1[[#This Row],[Fetal Sex (Male, Female or Unknown)]])),ISNUMBER(Table1[[#This Row],[Birthweight (grams)]]),ISNUMBER(Table1[[#This Row],[Gestation (days)]])),TRUE,FALSE)</f>
        <v>0</v>
      </c>
      <c r="E862" s="2" t="str">
        <f>IF(Table1[[#This Row],[Is Data Valid]]=TRUE,IF(Table1[[#This Row],[Fetal Sex (Male, Female or Unknown)]]="Male",Backend!$C$6,IF(Table1[[#This Row],[Fetal Sex (Male, Female or Unknown)]]="Female",Backend!$C$7,IF(Table1[[#This Row],[Fetal Sex (Male, Female or Unknown)]]="Unknown",Backend!$C$8,"Error"))),"")</f>
        <v/>
      </c>
      <c r="F862" s="8" t="str">
        <f>IF(Table1[[#This Row],[Is Data Valid]]=TRUE,EXP(0.578+0.332*((Table1[[#This Row],[Gestation (days)]]+0.5)/7)-0.00354*((Table1[[#This Row],[Gestation (days)]]+0.5)/7)^2)*Table1[[#This Row],[BW40_3705]],"")</f>
        <v/>
      </c>
      <c r="G862" s="2" t="str">
        <f>IF(Table1[[#This Row],[Is Data Valid]]=TRUE,((Table1[[#This Row],[Birthweight (grams)]]/Table1[[#This Row],[BW_GA]])-1)/(Backend!$B$4/100*Table1[[#This Row],[BW40_3705]]),"")</f>
        <v/>
      </c>
      <c r="H862" s="7" t="str">
        <f>IF(Table1[[#This Row],[Is Data Valid]]=TRUE,((Table1[[#This Row],[Birthweight (grams)]]*0.9/Table1[[#This Row],[BW_GA]])-1)/(Backend!$B$4/100*Table1[[#This Row],[BW40_3705]]),"")</f>
        <v/>
      </c>
      <c r="I862" s="7" t="str">
        <f>IF(Table1[[#This Row],[Is Data Valid]]=TRUE,((Table1[[#This Row],[Birthweight (grams)]]*1.1/Table1[[#This Row],[BW_GA]])-1)/(Backend!$B$4/100*Table1[[#This Row],[BW40_3705]]),"")</f>
        <v/>
      </c>
      <c r="J862" s="7" t="str">
        <f>IF(Table1[[#This Row],[Is Data Valid]]=TRUE,_xlfn.NORM.S.DIST(Table1[[#This Row],[Birthweight Z-Score]],TRUE)*100,"")</f>
        <v/>
      </c>
      <c r="K862" s="7" t="str">
        <f>IF(Table1[[#This Row],[Is Data Valid]]=TRUE,_xlfn.NORM.S.DIST(Table1[[#This Row],[Birthweight Z-Score (BW-10%)]],TRUE)*100,"")</f>
        <v/>
      </c>
      <c r="L862" s="7" t="str">
        <f>IF(Table1[[#This Row],[Is Data Valid]]=TRUE,_xlfn.NORM.S.DIST(Table1[[#This Row],[Birthweight Z-Score (BW+10%)]],TRUE)*100,"")</f>
        <v/>
      </c>
    </row>
    <row r="863" spans="1:12" x14ac:dyDescent="0.35">
      <c r="A863" s="3"/>
      <c r="B863" s="2"/>
      <c r="C863" s="2"/>
      <c r="D863" s="2" t="b">
        <f>IF(AND(NOT(ISBLANK(Table1[[#This Row],[Fetal Sex (Male, Female or Unknown)]])),ISNUMBER(Table1[[#This Row],[Birthweight (grams)]]),ISNUMBER(Table1[[#This Row],[Gestation (days)]])),TRUE,FALSE)</f>
        <v>0</v>
      </c>
      <c r="E863" s="2" t="str">
        <f>IF(Table1[[#This Row],[Is Data Valid]]=TRUE,IF(Table1[[#This Row],[Fetal Sex (Male, Female or Unknown)]]="Male",Backend!$C$6,IF(Table1[[#This Row],[Fetal Sex (Male, Female or Unknown)]]="Female",Backend!$C$7,IF(Table1[[#This Row],[Fetal Sex (Male, Female or Unknown)]]="Unknown",Backend!$C$8,"Error"))),"")</f>
        <v/>
      </c>
      <c r="F863" s="8" t="str">
        <f>IF(Table1[[#This Row],[Is Data Valid]]=TRUE,EXP(0.578+0.332*((Table1[[#This Row],[Gestation (days)]]+0.5)/7)-0.00354*((Table1[[#This Row],[Gestation (days)]]+0.5)/7)^2)*Table1[[#This Row],[BW40_3705]],"")</f>
        <v/>
      </c>
      <c r="G863" s="2" t="str">
        <f>IF(Table1[[#This Row],[Is Data Valid]]=TRUE,((Table1[[#This Row],[Birthweight (grams)]]/Table1[[#This Row],[BW_GA]])-1)/(Backend!$B$4/100*Table1[[#This Row],[BW40_3705]]),"")</f>
        <v/>
      </c>
      <c r="H863" s="7" t="str">
        <f>IF(Table1[[#This Row],[Is Data Valid]]=TRUE,((Table1[[#This Row],[Birthweight (grams)]]*0.9/Table1[[#This Row],[BW_GA]])-1)/(Backend!$B$4/100*Table1[[#This Row],[BW40_3705]]),"")</f>
        <v/>
      </c>
      <c r="I863" s="7" t="str">
        <f>IF(Table1[[#This Row],[Is Data Valid]]=TRUE,((Table1[[#This Row],[Birthweight (grams)]]*1.1/Table1[[#This Row],[BW_GA]])-1)/(Backend!$B$4/100*Table1[[#This Row],[BW40_3705]]),"")</f>
        <v/>
      </c>
      <c r="J863" s="7" t="str">
        <f>IF(Table1[[#This Row],[Is Data Valid]]=TRUE,_xlfn.NORM.S.DIST(Table1[[#This Row],[Birthweight Z-Score]],TRUE)*100,"")</f>
        <v/>
      </c>
      <c r="K863" s="7" t="str">
        <f>IF(Table1[[#This Row],[Is Data Valid]]=TRUE,_xlfn.NORM.S.DIST(Table1[[#This Row],[Birthweight Z-Score (BW-10%)]],TRUE)*100,"")</f>
        <v/>
      </c>
      <c r="L863" s="7" t="str">
        <f>IF(Table1[[#This Row],[Is Data Valid]]=TRUE,_xlfn.NORM.S.DIST(Table1[[#This Row],[Birthweight Z-Score (BW+10%)]],TRUE)*100,"")</f>
        <v/>
      </c>
    </row>
    <row r="864" spans="1:12" x14ac:dyDescent="0.35">
      <c r="A864" s="3"/>
      <c r="B864" s="2"/>
      <c r="C864" s="2"/>
      <c r="D864" s="2" t="b">
        <f>IF(AND(NOT(ISBLANK(Table1[[#This Row],[Fetal Sex (Male, Female or Unknown)]])),ISNUMBER(Table1[[#This Row],[Birthweight (grams)]]),ISNUMBER(Table1[[#This Row],[Gestation (days)]])),TRUE,FALSE)</f>
        <v>0</v>
      </c>
      <c r="E864" s="2" t="str">
        <f>IF(Table1[[#This Row],[Is Data Valid]]=TRUE,IF(Table1[[#This Row],[Fetal Sex (Male, Female or Unknown)]]="Male",Backend!$C$6,IF(Table1[[#This Row],[Fetal Sex (Male, Female or Unknown)]]="Female",Backend!$C$7,IF(Table1[[#This Row],[Fetal Sex (Male, Female or Unknown)]]="Unknown",Backend!$C$8,"Error"))),"")</f>
        <v/>
      </c>
      <c r="F864" s="8" t="str">
        <f>IF(Table1[[#This Row],[Is Data Valid]]=TRUE,EXP(0.578+0.332*((Table1[[#This Row],[Gestation (days)]]+0.5)/7)-0.00354*((Table1[[#This Row],[Gestation (days)]]+0.5)/7)^2)*Table1[[#This Row],[BW40_3705]],"")</f>
        <v/>
      </c>
      <c r="G864" s="2" t="str">
        <f>IF(Table1[[#This Row],[Is Data Valid]]=TRUE,((Table1[[#This Row],[Birthweight (grams)]]/Table1[[#This Row],[BW_GA]])-1)/(Backend!$B$4/100*Table1[[#This Row],[BW40_3705]]),"")</f>
        <v/>
      </c>
      <c r="H864" s="7" t="str">
        <f>IF(Table1[[#This Row],[Is Data Valid]]=TRUE,((Table1[[#This Row],[Birthweight (grams)]]*0.9/Table1[[#This Row],[BW_GA]])-1)/(Backend!$B$4/100*Table1[[#This Row],[BW40_3705]]),"")</f>
        <v/>
      </c>
      <c r="I864" s="7" t="str">
        <f>IF(Table1[[#This Row],[Is Data Valid]]=TRUE,((Table1[[#This Row],[Birthweight (grams)]]*1.1/Table1[[#This Row],[BW_GA]])-1)/(Backend!$B$4/100*Table1[[#This Row],[BW40_3705]]),"")</f>
        <v/>
      </c>
      <c r="J864" s="7" t="str">
        <f>IF(Table1[[#This Row],[Is Data Valid]]=TRUE,_xlfn.NORM.S.DIST(Table1[[#This Row],[Birthweight Z-Score]],TRUE)*100,"")</f>
        <v/>
      </c>
      <c r="K864" s="7" t="str">
        <f>IF(Table1[[#This Row],[Is Data Valid]]=TRUE,_xlfn.NORM.S.DIST(Table1[[#This Row],[Birthweight Z-Score (BW-10%)]],TRUE)*100,"")</f>
        <v/>
      </c>
      <c r="L864" s="7" t="str">
        <f>IF(Table1[[#This Row],[Is Data Valid]]=TRUE,_xlfn.NORM.S.DIST(Table1[[#This Row],[Birthweight Z-Score (BW+10%)]],TRUE)*100,"")</f>
        <v/>
      </c>
    </row>
    <row r="865" spans="1:12" x14ac:dyDescent="0.35">
      <c r="A865" s="3"/>
      <c r="B865" s="2"/>
      <c r="C865" s="2"/>
      <c r="D865" s="2" t="b">
        <f>IF(AND(NOT(ISBLANK(Table1[[#This Row],[Fetal Sex (Male, Female or Unknown)]])),ISNUMBER(Table1[[#This Row],[Birthweight (grams)]]),ISNUMBER(Table1[[#This Row],[Gestation (days)]])),TRUE,FALSE)</f>
        <v>0</v>
      </c>
      <c r="E865" s="2" t="str">
        <f>IF(Table1[[#This Row],[Is Data Valid]]=TRUE,IF(Table1[[#This Row],[Fetal Sex (Male, Female or Unknown)]]="Male",Backend!$C$6,IF(Table1[[#This Row],[Fetal Sex (Male, Female or Unknown)]]="Female",Backend!$C$7,IF(Table1[[#This Row],[Fetal Sex (Male, Female or Unknown)]]="Unknown",Backend!$C$8,"Error"))),"")</f>
        <v/>
      </c>
      <c r="F865" s="8" t="str">
        <f>IF(Table1[[#This Row],[Is Data Valid]]=TRUE,EXP(0.578+0.332*((Table1[[#This Row],[Gestation (days)]]+0.5)/7)-0.00354*((Table1[[#This Row],[Gestation (days)]]+0.5)/7)^2)*Table1[[#This Row],[BW40_3705]],"")</f>
        <v/>
      </c>
      <c r="G865" s="2" t="str">
        <f>IF(Table1[[#This Row],[Is Data Valid]]=TRUE,((Table1[[#This Row],[Birthweight (grams)]]/Table1[[#This Row],[BW_GA]])-1)/(Backend!$B$4/100*Table1[[#This Row],[BW40_3705]]),"")</f>
        <v/>
      </c>
      <c r="H865" s="7" t="str">
        <f>IF(Table1[[#This Row],[Is Data Valid]]=TRUE,((Table1[[#This Row],[Birthweight (grams)]]*0.9/Table1[[#This Row],[BW_GA]])-1)/(Backend!$B$4/100*Table1[[#This Row],[BW40_3705]]),"")</f>
        <v/>
      </c>
      <c r="I865" s="7" t="str">
        <f>IF(Table1[[#This Row],[Is Data Valid]]=TRUE,((Table1[[#This Row],[Birthweight (grams)]]*1.1/Table1[[#This Row],[BW_GA]])-1)/(Backend!$B$4/100*Table1[[#This Row],[BW40_3705]]),"")</f>
        <v/>
      </c>
      <c r="J865" s="7" t="str">
        <f>IF(Table1[[#This Row],[Is Data Valid]]=TRUE,_xlfn.NORM.S.DIST(Table1[[#This Row],[Birthweight Z-Score]],TRUE)*100,"")</f>
        <v/>
      </c>
      <c r="K865" s="7" t="str">
        <f>IF(Table1[[#This Row],[Is Data Valid]]=TRUE,_xlfn.NORM.S.DIST(Table1[[#This Row],[Birthweight Z-Score (BW-10%)]],TRUE)*100,"")</f>
        <v/>
      </c>
      <c r="L865" s="7" t="str">
        <f>IF(Table1[[#This Row],[Is Data Valid]]=TRUE,_xlfn.NORM.S.DIST(Table1[[#This Row],[Birthweight Z-Score (BW+10%)]],TRUE)*100,"")</f>
        <v/>
      </c>
    </row>
    <row r="866" spans="1:12" x14ac:dyDescent="0.35">
      <c r="A866" s="3"/>
      <c r="B866" s="2"/>
      <c r="C866" s="2"/>
      <c r="D866" s="2" t="b">
        <f>IF(AND(NOT(ISBLANK(Table1[[#This Row],[Fetal Sex (Male, Female or Unknown)]])),ISNUMBER(Table1[[#This Row],[Birthweight (grams)]]),ISNUMBER(Table1[[#This Row],[Gestation (days)]])),TRUE,FALSE)</f>
        <v>0</v>
      </c>
      <c r="E866" s="2" t="str">
        <f>IF(Table1[[#This Row],[Is Data Valid]]=TRUE,IF(Table1[[#This Row],[Fetal Sex (Male, Female or Unknown)]]="Male",Backend!$C$6,IF(Table1[[#This Row],[Fetal Sex (Male, Female or Unknown)]]="Female",Backend!$C$7,IF(Table1[[#This Row],[Fetal Sex (Male, Female or Unknown)]]="Unknown",Backend!$C$8,"Error"))),"")</f>
        <v/>
      </c>
      <c r="F866" s="8" t="str">
        <f>IF(Table1[[#This Row],[Is Data Valid]]=TRUE,EXP(0.578+0.332*((Table1[[#This Row],[Gestation (days)]]+0.5)/7)-0.00354*((Table1[[#This Row],[Gestation (days)]]+0.5)/7)^2)*Table1[[#This Row],[BW40_3705]],"")</f>
        <v/>
      </c>
      <c r="G866" s="2" t="str">
        <f>IF(Table1[[#This Row],[Is Data Valid]]=TRUE,((Table1[[#This Row],[Birthweight (grams)]]/Table1[[#This Row],[BW_GA]])-1)/(Backend!$B$4/100*Table1[[#This Row],[BW40_3705]]),"")</f>
        <v/>
      </c>
      <c r="H866" s="7" t="str">
        <f>IF(Table1[[#This Row],[Is Data Valid]]=TRUE,((Table1[[#This Row],[Birthweight (grams)]]*0.9/Table1[[#This Row],[BW_GA]])-1)/(Backend!$B$4/100*Table1[[#This Row],[BW40_3705]]),"")</f>
        <v/>
      </c>
      <c r="I866" s="7" t="str">
        <f>IF(Table1[[#This Row],[Is Data Valid]]=TRUE,((Table1[[#This Row],[Birthweight (grams)]]*1.1/Table1[[#This Row],[BW_GA]])-1)/(Backend!$B$4/100*Table1[[#This Row],[BW40_3705]]),"")</f>
        <v/>
      </c>
      <c r="J866" s="7" t="str">
        <f>IF(Table1[[#This Row],[Is Data Valid]]=TRUE,_xlfn.NORM.S.DIST(Table1[[#This Row],[Birthweight Z-Score]],TRUE)*100,"")</f>
        <v/>
      </c>
      <c r="K866" s="7" t="str">
        <f>IF(Table1[[#This Row],[Is Data Valid]]=TRUE,_xlfn.NORM.S.DIST(Table1[[#This Row],[Birthweight Z-Score (BW-10%)]],TRUE)*100,"")</f>
        <v/>
      </c>
      <c r="L866" s="7" t="str">
        <f>IF(Table1[[#This Row],[Is Data Valid]]=TRUE,_xlfn.NORM.S.DIST(Table1[[#This Row],[Birthweight Z-Score (BW+10%)]],TRUE)*100,"")</f>
        <v/>
      </c>
    </row>
    <row r="867" spans="1:12" x14ac:dyDescent="0.35">
      <c r="A867" s="3"/>
      <c r="B867" s="2"/>
      <c r="C867" s="2"/>
      <c r="D867" s="2" t="b">
        <f>IF(AND(NOT(ISBLANK(Table1[[#This Row],[Fetal Sex (Male, Female or Unknown)]])),ISNUMBER(Table1[[#This Row],[Birthweight (grams)]]),ISNUMBER(Table1[[#This Row],[Gestation (days)]])),TRUE,FALSE)</f>
        <v>0</v>
      </c>
      <c r="E867" s="2" t="str">
        <f>IF(Table1[[#This Row],[Is Data Valid]]=TRUE,IF(Table1[[#This Row],[Fetal Sex (Male, Female or Unknown)]]="Male",Backend!$C$6,IF(Table1[[#This Row],[Fetal Sex (Male, Female or Unknown)]]="Female",Backend!$C$7,IF(Table1[[#This Row],[Fetal Sex (Male, Female or Unknown)]]="Unknown",Backend!$C$8,"Error"))),"")</f>
        <v/>
      </c>
      <c r="F867" s="8" t="str">
        <f>IF(Table1[[#This Row],[Is Data Valid]]=TRUE,EXP(0.578+0.332*((Table1[[#This Row],[Gestation (days)]]+0.5)/7)-0.00354*((Table1[[#This Row],[Gestation (days)]]+0.5)/7)^2)*Table1[[#This Row],[BW40_3705]],"")</f>
        <v/>
      </c>
      <c r="G867" s="2" t="str">
        <f>IF(Table1[[#This Row],[Is Data Valid]]=TRUE,((Table1[[#This Row],[Birthweight (grams)]]/Table1[[#This Row],[BW_GA]])-1)/(Backend!$B$4/100*Table1[[#This Row],[BW40_3705]]),"")</f>
        <v/>
      </c>
      <c r="H867" s="7" t="str">
        <f>IF(Table1[[#This Row],[Is Data Valid]]=TRUE,((Table1[[#This Row],[Birthweight (grams)]]*0.9/Table1[[#This Row],[BW_GA]])-1)/(Backend!$B$4/100*Table1[[#This Row],[BW40_3705]]),"")</f>
        <v/>
      </c>
      <c r="I867" s="7" t="str">
        <f>IF(Table1[[#This Row],[Is Data Valid]]=TRUE,((Table1[[#This Row],[Birthweight (grams)]]*1.1/Table1[[#This Row],[BW_GA]])-1)/(Backend!$B$4/100*Table1[[#This Row],[BW40_3705]]),"")</f>
        <v/>
      </c>
      <c r="J867" s="7" t="str">
        <f>IF(Table1[[#This Row],[Is Data Valid]]=TRUE,_xlfn.NORM.S.DIST(Table1[[#This Row],[Birthweight Z-Score]],TRUE)*100,"")</f>
        <v/>
      </c>
      <c r="K867" s="7" t="str">
        <f>IF(Table1[[#This Row],[Is Data Valid]]=TRUE,_xlfn.NORM.S.DIST(Table1[[#This Row],[Birthweight Z-Score (BW-10%)]],TRUE)*100,"")</f>
        <v/>
      </c>
      <c r="L867" s="7" t="str">
        <f>IF(Table1[[#This Row],[Is Data Valid]]=TRUE,_xlfn.NORM.S.DIST(Table1[[#This Row],[Birthweight Z-Score (BW+10%)]],TRUE)*100,"")</f>
        <v/>
      </c>
    </row>
    <row r="868" spans="1:12" x14ac:dyDescent="0.35">
      <c r="A868" s="3"/>
      <c r="B868" s="2"/>
      <c r="C868" s="2"/>
      <c r="D868" s="2" t="b">
        <f>IF(AND(NOT(ISBLANK(Table1[[#This Row],[Fetal Sex (Male, Female or Unknown)]])),ISNUMBER(Table1[[#This Row],[Birthweight (grams)]]),ISNUMBER(Table1[[#This Row],[Gestation (days)]])),TRUE,FALSE)</f>
        <v>0</v>
      </c>
      <c r="E868" s="2" t="str">
        <f>IF(Table1[[#This Row],[Is Data Valid]]=TRUE,IF(Table1[[#This Row],[Fetal Sex (Male, Female or Unknown)]]="Male",Backend!$C$6,IF(Table1[[#This Row],[Fetal Sex (Male, Female or Unknown)]]="Female",Backend!$C$7,IF(Table1[[#This Row],[Fetal Sex (Male, Female or Unknown)]]="Unknown",Backend!$C$8,"Error"))),"")</f>
        <v/>
      </c>
      <c r="F868" s="8" t="str">
        <f>IF(Table1[[#This Row],[Is Data Valid]]=TRUE,EXP(0.578+0.332*((Table1[[#This Row],[Gestation (days)]]+0.5)/7)-0.00354*((Table1[[#This Row],[Gestation (days)]]+0.5)/7)^2)*Table1[[#This Row],[BW40_3705]],"")</f>
        <v/>
      </c>
      <c r="G868" s="2" t="str">
        <f>IF(Table1[[#This Row],[Is Data Valid]]=TRUE,((Table1[[#This Row],[Birthweight (grams)]]/Table1[[#This Row],[BW_GA]])-1)/(Backend!$B$4/100*Table1[[#This Row],[BW40_3705]]),"")</f>
        <v/>
      </c>
      <c r="H868" s="7" t="str">
        <f>IF(Table1[[#This Row],[Is Data Valid]]=TRUE,((Table1[[#This Row],[Birthweight (grams)]]*0.9/Table1[[#This Row],[BW_GA]])-1)/(Backend!$B$4/100*Table1[[#This Row],[BW40_3705]]),"")</f>
        <v/>
      </c>
      <c r="I868" s="7" t="str">
        <f>IF(Table1[[#This Row],[Is Data Valid]]=TRUE,((Table1[[#This Row],[Birthweight (grams)]]*1.1/Table1[[#This Row],[BW_GA]])-1)/(Backend!$B$4/100*Table1[[#This Row],[BW40_3705]]),"")</f>
        <v/>
      </c>
      <c r="J868" s="7" t="str">
        <f>IF(Table1[[#This Row],[Is Data Valid]]=TRUE,_xlfn.NORM.S.DIST(Table1[[#This Row],[Birthweight Z-Score]],TRUE)*100,"")</f>
        <v/>
      </c>
      <c r="K868" s="7" t="str">
        <f>IF(Table1[[#This Row],[Is Data Valid]]=TRUE,_xlfn.NORM.S.DIST(Table1[[#This Row],[Birthweight Z-Score (BW-10%)]],TRUE)*100,"")</f>
        <v/>
      </c>
      <c r="L868" s="7" t="str">
        <f>IF(Table1[[#This Row],[Is Data Valid]]=TRUE,_xlfn.NORM.S.DIST(Table1[[#This Row],[Birthweight Z-Score (BW+10%)]],TRUE)*100,"")</f>
        <v/>
      </c>
    </row>
    <row r="869" spans="1:12" x14ac:dyDescent="0.35">
      <c r="A869" s="3"/>
      <c r="B869" s="2"/>
      <c r="C869" s="2"/>
      <c r="D869" s="2" t="b">
        <f>IF(AND(NOT(ISBLANK(Table1[[#This Row],[Fetal Sex (Male, Female or Unknown)]])),ISNUMBER(Table1[[#This Row],[Birthweight (grams)]]),ISNUMBER(Table1[[#This Row],[Gestation (days)]])),TRUE,FALSE)</f>
        <v>0</v>
      </c>
      <c r="E869" s="2" t="str">
        <f>IF(Table1[[#This Row],[Is Data Valid]]=TRUE,IF(Table1[[#This Row],[Fetal Sex (Male, Female or Unknown)]]="Male",Backend!$C$6,IF(Table1[[#This Row],[Fetal Sex (Male, Female or Unknown)]]="Female",Backend!$C$7,IF(Table1[[#This Row],[Fetal Sex (Male, Female or Unknown)]]="Unknown",Backend!$C$8,"Error"))),"")</f>
        <v/>
      </c>
      <c r="F869" s="8" t="str">
        <f>IF(Table1[[#This Row],[Is Data Valid]]=TRUE,EXP(0.578+0.332*((Table1[[#This Row],[Gestation (days)]]+0.5)/7)-0.00354*((Table1[[#This Row],[Gestation (days)]]+0.5)/7)^2)*Table1[[#This Row],[BW40_3705]],"")</f>
        <v/>
      </c>
      <c r="G869" s="2" t="str">
        <f>IF(Table1[[#This Row],[Is Data Valid]]=TRUE,((Table1[[#This Row],[Birthweight (grams)]]/Table1[[#This Row],[BW_GA]])-1)/(Backend!$B$4/100*Table1[[#This Row],[BW40_3705]]),"")</f>
        <v/>
      </c>
      <c r="H869" s="7" t="str">
        <f>IF(Table1[[#This Row],[Is Data Valid]]=TRUE,((Table1[[#This Row],[Birthweight (grams)]]*0.9/Table1[[#This Row],[BW_GA]])-1)/(Backend!$B$4/100*Table1[[#This Row],[BW40_3705]]),"")</f>
        <v/>
      </c>
      <c r="I869" s="7" t="str">
        <f>IF(Table1[[#This Row],[Is Data Valid]]=TRUE,((Table1[[#This Row],[Birthweight (grams)]]*1.1/Table1[[#This Row],[BW_GA]])-1)/(Backend!$B$4/100*Table1[[#This Row],[BW40_3705]]),"")</f>
        <v/>
      </c>
      <c r="J869" s="7" t="str">
        <f>IF(Table1[[#This Row],[Is Data Valid]]=TRUE,_xlfn.NORM.S.DIST(Table1[[#This Row],[Birthweight Z-Score]],TRUE)*100,"")</f>
        <v/>
      </c>
      <c r="K869" s="7" t="str">
        <f>IF(Table1[[#This Row],[Is Data Valid]]=TRUE,_xlfn.NORM.S.DIST(Table1[[#This Row],[Birthweight Z-Score (BW-10%)]],TRUE)*100,"")</f>
        <v/>
      </c>
      <c r="L869" s="7" t="str">
        <f>IF(Table1[[#This Row],[Is Data Valid]]=TRUE,_xlfn.NORM.S.DIST(Table1[[#This Row],[Birthweight Z-Score (BW+10%)]],TRUE)*100,"")</f>
        <v/>
      </c>
    </row>
    <row r="870" spans="1:12" x14ac:dyDescent="0.35">
      <c r="A870" s="3"/>
      <c r="B870" s="2"/>
      <c r="C870" s="2"/>
      <c r="D870" s="2" t="b">
        <f>IF(AND(NOT(ISBLANK(Table1[[#This Row],[Fetal Sex (Male, Female or Unknown)]])),ISNUMBER(Table1[[#This Row],[Birthweight (grams)]]),ISNUMBER(Table1[[#This Row],[Gestation (days)]])),TRUE,FALSE)</f>
        <v>0</v>
      </c>
      <c r="E870" s="2" t="str">
        <f>IF(Table1[[#This Row],[Is Data Valid]]=TRUE,IF(Table1[[#This Row],[Fetal Sex (Male, Female or Unknown)]]="Male",Backend!$C$6,IF(Table1[[#This Row],[Fetal Sex (Male, Female or Unknown)]]="Female",Backend!$C$7,IF(Table1[[#This Row],[Fetal Sex (Male, Female or Unknown)]]="Unknown",Backend!$C$8,"Error"))),"")</f>
        <v/>
      </c>
      <c r="F870" s="8" t="str">
        <f>IF(Table1[[#This Row],[Is Data Valid]]=TRUE,EXP(0.578+0.332*((Table1[[#This Row],[Gestation (days)]]+0.5)/7)-0.00354*((Table1[[#This Row],[Gestation (days)]]+0.5)/7)^2)*Table1[[#This Row],[BW40_3705]],"")</f>
        <v/>
      </c>
      <c r="G870" s="2" t="str">
        <f>IF(Table1[[#This Row],[Is Data Valid]]=TRUE,((Table1[[#This Row],[Birthweight (grams)]]/Table1[[#This Row],[BW_GA]])-1)/(Backend!$B$4/100*Table1[[#This Row],[BW40_3705]]),"")</f>
        <v/>
      </c>
      <c r="H870" s="7" t="str">
        <f>IF(Table1[[#This Row],[Is Data Valid]]=TRUE,((Table1[[#This Row],[Birthweight (grams)]]*0.9/Table1[[#This Row],[BW_GA]])-1)/(Backend!$B$4/100*Table1[[#This Row],[BW40_3705]]),"")</f>
        <v/>
      </c>
      <c r="I870" s="7" t="str">
        <f>IF(Table1[[#This Row],[Is Data Valid]]=TRUE,((Table1[[#This Row],[Birthweight (grams)]]*1.1/Table1[[#This Row],[BW_GA]])-1)/(Backend!$B$4/100*Table1[[#This Row],[BW40_3705]]),"")</f>
        <v/>
      </c>
      <c r="J870" s="7" t="str">
        <f>IF(Table1[[#This Row],[Is Data Valid]]=TRUE,_xlfn.NORM.S.DIST(Table1[[#This Row],[Birthweight Z-Score]],TRUE)*100,"")</f>
        <v/>
      </c>
      <c r="K870" s="7" t="str">
        <f>IF(Table1[[#This Row],[Is Data Valid]]=TRUE,_xlfn.NORM.S.DIST(Table1[[#This Row],[Birthweight Z-Score (BW-10%)]],TRUE)*100,"")</f>
        <v/>
      </c>
      <c r="L870" s="7" t="str">
        <f>IF(Table1[[#This Row],[Is Data Valid]]=TRUE,_xlfn.NORM.S.DIST(Table1[[#This Row],[Birthweight Z-Score (BW+10%)]],TRUE)*100,"")</f>
        <v/>
      </c>
    </row>
    <row r="871" spans="1:12" x14ac:dyDescent="0.35">
      <c r="A871" s="3"/>
      <c r="B871" s="2"/>
      <c r="C871" s="2"/>
      <c r="D871" s="2" t="b">
        <f>IF(AND(NOT(ISBLANK(Table1[[#This Row],[Fetal Sex (Male, Female or Unknown)]])),ISNUMBER(Table1[[#This Row],[Birthweight (grams)]]),ISNUMBER(Table1[[#This Row],[Gestation (days)]])),TRUE,FALSE)</f>
        <v>0</v>
      </c>
      <c r="E871" s="2" t="str">
        <f>IF(Table1[[#This Row],[Is Data Valid]]=TRUE,IF(Table1[[#This Row],[Fetal Sex (Male, Female or Unknown)]]="Male",Backend!$C$6,IF(Table1[[#This Row],[Fetal Sex (Male, Female or Unknown)]]="Female",Backend!$C$7,IF(Table1[[#This Row],[Fetal Sex (Male, Female or Unknown)]]="Unknown",Backend!$C$8,"Error"))),"")</f>
        <v/>
      </c>
      <c r="F871" s="8" t="str">
        <f>IF(Table1[[#This Row],[Is Data Valid]]=TRUE,EXP(0.578+0.332*((Table1[[#This Row],[Gestation (days)]]+0.5)/7)-0.00354*((Table1[[#This Row],[Gestation (days)]]+0.5)/7)^2)*Table1[[#This Row],[BW40_3705]],"")</f>
        <v/>
      </c>
      <c r="G871" s="2" t="str">
        <f>IF(Table1[[#This Row],[Is Data Valid]]=TRUE,((Table1[[#This Row],[Birthweight (grams)]]/Table1[[#This Row],[BW_GA]])-1)/(Backend!$B$4/100*Table1[[#This Row],[BW40_3705]]),"")</f>
        <v/>
      </c>
      <c r="H871" s="7" t="str">
        <f>IF(Table1[[#This Row],[Is Data Valid]]=TRUE,((Table1[[#This Row],[Birthweight (grams)]]*0.9/Table1[[#This Row],[BW_GA]])-1)/(Backend!$B$4/100*Table1[[#This Row],[BW40_3705]]),"")</f>
        <v/>
      </c>
      <c r="I871" s="7" t="str">
        <f>IF(Table1[[#This Row],[Is Data Valid]]=TRUE,((Table1[[#This Row],[Birthweight (grams)]]*1.1/Table1[[#This Row],[BW_GA]])-1)/(Backend!$B$4/100*Table1[[#This Row],[BW40_3705]]),"")</f>
        <v/>
      </c>
      <c r="J871" s="7" t="str">
        <f>IF(Table1[[#This Row],[Is Data Valid]]=TRUE,_xlfn.NORM.S.DIST(Table1[[#This Row],[Birthweight Z-Score]],TRUE)*100,"")</f>
        <v/>
      </c>
      <c r="K871" s="7" t="str">
        <f>IF(Table1[[#This Row],[Is Data Valid]]=TRUE,_xlfn.NORM.S.DIST(Table1[[#This Row],[Birthweight Z-Score (BW-10%)]],TRUE)*100,"")</f>
        <v/>
      </c>
      <c r="L871" s="7" t="str">
        <f>IF(Table1[[#This Row],[Is Data Valid]]=TRUE,_xlfn.NORM.S.DIST(Table1[[#This Row],[Birthweight Z-Score (BW+10%)]],TRUE)*100,"")</f>
        <v/>
      </c>
    </row>
    <row r="872" spans="1:12" x14ac:dyDescent="0.35">
      <c r="A872" s="3"/>
      <c r="B872" s="2"/>
      <c r="C872" s="2"/>
      <c r="D872" s="2" t="b">
        <f>IF(AND(NOT(ISBLANK(Table1[[#This Row],[Fetal Sex (Male, Female or Unknown)]])),ISNUMBER(Table1[[#This Row],[Birthweight (grams)]]),ISNUMBER(Table1[[#This Row],[Gestation (days)]])),TRUE,FALSE)</f>
        <v>0</v>
      </c>
      <c r="E872" s="2" t="str">
        <f>IF(Table1[[#This Row],[Is Data Valid]]=TRUE,IF(Table1[[#This Row],[Fetal Sex (Male, Female or Unknown)]]="Male",Backend!$C$6,IF(Table1[[#This Row],[Fetal Sex (Male, Female or Unknown)]]="Female",Backend!$C$7,IF(Table1[[#This Row],[Fetal Sex (Male, Female or Unknown)]]="Unknown",Backend!$C$8,"Error"))),"")</f>
        <v/>
      </c>
      <c r="F872" s="8" t="str">
        <f>IF(Table1[[#This Row],[Is Data Valid]]=TRUE,EXP(0.578+0.332*((Table1[[#This Row],[Gestation (days)]]+0.5)/7)-0.00354*((Table1[[#This Row],[Gestation (days)]]+0.5)/7)^2)*Table1[[#This Row],[BW40_3705]],"")</f>
        <v/>
      </c>
      <c r="G872" s="2" t="str">
        <f>IF(Table1[[#This Row],[Is Data Valid]]=TRUE,((Table1[[#This Row],[Birthweight (grams)]]/Table1[[#This Row],[BW_GA]])-1)/(Backend!$B$4/100*Table1[[#This Row],[BW40_3705]]),"")</f>
        <v/>
      </c>
      <c r="H872" s="7" t="str">
        <f>IF(Table1[[#This Row],[Is Data Valid]]=TRUE,((Table1[[#This Row],[Birthweight (grams)]]*0.9/Table1[[#This Row],[BW_GA]])-1)/(Backend!$B$4/100*Table1[[#This Row],[BW40_3705]]),"")</f>
        <v/>
      </c>
      <c r="I872" s="7" t="str">
        <f>IF(Table1[[#This Row],[Is Data Valid]]=TRUE,((Table1[[#This Row],[Birthweight (grams)]]*1.1/Table1[[#This Row],[BW_GA]])-1)/(Backend!$B$4/100*Table1[[#This Row],[BW40_3705]]),"")</f>
        <v/>
      </c>
      <c r="J872" s="7" t="str">
        <f>IF(Table1[[#This Row],[Is Data Valid]]=TRUE,_xlfn.NORM.S.DIST(Table1[[#This Row],[Birthweight Z-Score]],TRUE)*100,"")</f>
        <v/>
      </c>
      <c r="K872" s="7" t="str">
        <f>IF(Table1[[#This Row],[Is Data Valid]]=TRUE,_xlfn.NORM.S.DIST(Table1[[#This Row],[Birthweight Z-Score (BW-10%)]],TRUE)*100,"")</f>
        <v/>
      </c>
      <c r="L872" s="7" t="str">
        <f>IF(Table1[[#This Row],[Is Data Valid]]=TRUE,_xlfn.NORM.S.DIST(Table1[[#This Row],[Birthweight Z-Score (BW+10%)]],TRUE)*100,"")</f>
        <v/>
      </c>
    </row>
    <row r="873" spans="1:12" x14ac:dyDescent="0.35">
      <c r="A873" s="3"/>
      <c r="B873" s="2"/>
      <c r="C873" s="2"/>
      <c r="D873" s="2" t="b">
        <f>IF(AND(NOT(ISBLANK(Table1[[#This Row],[Fetal Sex (Male, Female or Unknown)]])),ISNUMBER(Table1[[#This Row],[Birthweight (grams)]]),ISNUMBER(Table1[[#This Row],[Gestation (days)]])),TRUE,FALSE)</f>
        <v>0</v>
      </c>
      <c r="E873" s="2" t="str">
        <f>IF(Table1[[#This Row],[Is Data Valid]]=TRUE,IF(Table1[[#This Row],[Fetal Sex (Male, Female or Unknown)]]="Male",Backend!$C$6,IF(Table1[[#This Row],[Fetal Sex (Male, Female or Unknown)]]="Female",Backend!$C$7,IF(Table1[[#This Row],[Fetal Sex (Male, Female or Unknown)]]="Unknown",Backend!$C$8,"Error"))),"")</f>
        <v/>
      </c>
      <c r="F873" s="8" t="str">
        <f>IF(Table1[[#This Row],[Is Data Valid]]=TRUE,EXP(0.578+0.332*((Table1[[#This Row],[Gestation (days)]]+0.5)/7)-0.00354*((Table1[[#This Row],[Gestation (days)]]+0.5)/7)^2)*Table1[[#This Row],[BW40_3705]],"")</f>
        <v/>
      </c>
      <c r="G873" s="2" t="str">
        <f>IF(Table1[[#This Row],[Is Data Valid]]=TRUE,((Table1[[#This Row],[Birthweight (grams)]]/Table1[[#This Row],[BW_GA]])-1)/(Backend!$B$4/100*Table1[[#This Row],[BW40_3705]]),"")</f>
        <v/>
      </c>
      <c r="H873" s="7" t="str">
        <f>IF(Table1[[#This Row],[Is Data Valid]]=TRUE,((Table1[[#This Row],[Birthweight (grams)]]*0.9/Table1[[#This Row],[BW_GA]])-1)/(Backend!$B$4/100*Table1[[#This Row],[BW40_3705]]),"")</f>
        <v/>
      </c>
      <c r="I873" s="7" t="str">
        <f>IF(Table1[[#This Row],[Is Data Valid]]=TRUE,((Table1[[#This Row],[Birthweight (grams)]]*1.1/Table1[[#This Row],[BW_GA]])-1)/(Backend!$B$4/100*Table1[[#This Row],[BW40_3705]]),"")</f>
        <v/>
      </c>
      <c r="J873" s="7" t="str">
        <f>IF(Table1[[#This Row],[Is Data Valid]]=TRUE,_xlfn.NORM.S.DIST(Table1[[#This Row],[Birthweight Z-Score]],TRUE)*100,"")</f>
        <v/>
      </c>
      <c r="K873" s="7" t="str">
        <f>IF(Table1[[#This Row],[Is Data Valid]]=TRUE,_xlfn.NORM.S.DIST(Table1[[#This Row],[Birthweight Z-Score (BW-10%)]],TRUE)*100,"")</f>
        <v/>
      </c>
      <c r="L873" s="7" t="str">
        <f>IF(Table1[[#This Row],[Is Data Valid]]=TRUE,_xlfn.NORM.S.DIST(Table1[[#This Row],[Birthweight Z-Score (BW+10%)]],TRUE)*100,"")</f>
        <v/>
      </c>
    </row>
    <row r="874" spans="1:12" x14ac:dyDescent="0.35">
      <c r="A874" s="3"/>
      <c r="B874" s="2"/>
      <c r="C874" s="2"/>
      <c r="D874" s="2" t="b">
        <f>IF(AND(NOT(ISBLANK(Table1[[#This Row],[Fetal Sex (Male, Female or Unknown)]])),ISNUMBER(Table1[[#This Row],[Birthweight (grams)]]),ISNUMBER(Table1[[#This Row],[Gestation (days)]])),TRUE,FALSE)</f>
        <v>0</v>
      </c>
      <c r="E874" s="2" t="str">
        <f>IF(Table1[[#This Row],[Is Data Valid]]=TRUE,IF(Table1[[#This Row],[Fetal Sex (Male, Female or Unknown)]]="Male",Backend!$C$6,IF(Table1[[#This Row],[Fetal Sex (Male, Female or Unknown)]]="Female",Backend!$C$7,IF(Table1[[#This Row],[Fetal Sex (Male, Female or Unknown)]]="Unknown",Backend!$C$8,"Error"))),"")</f>
        <v/>
      </c>
      <c r="F874" s="8" t="str">
        <f>IF(Table1[[#This Row],[Is Data Valid]]=TRUE,EXP(0.578+0.332*((Table1[[#This Row],[Gestation (days)]]+0.5)/7)-0.00354*((Table1[[#This Row],[Gestation (days)]]+0.5)/7)^2)*Table1[[#This Row],[BW40_3705]],"")</f>
        <v/>
      </c>
      <c r="G874" s="2" t="str">
        <f>IF(Table1[[#This Row],[Is Data Valid]]=TRUE,((Table1[[#This Row],[Birthweight (grams)]]/Table1[[#This Row],[BW_GA]])-1)/(Backend!$B$4/100*Table1[[#This Row],[BW40_3705]]),"")</f>
        <v/>
      </c>
      <c r="H874" s="7" t="str">
        <f>IF(Table1[[#This Row],[Is Data Valid]]=TRUE,((Table1[[#This Row],[Birthweight (grams)]]*0.9/Table1[[#This Row],[BW_GA]])-1)/(Backend!$B$4/100*Table1[[#This Row],[BW40_3705]]),"")</f>
        <v/>
      </c>
      <c r="I874" s="7" t="str">
        <f>IF(Table1[[#This Row],[Is Data Valid]]=TRUE,((Table1[[#This Row],[Birthweight (grams)]]*1.1/Table1[[#This Row],[BW_GA]])-1)/(Backend!$B$4/100*Table1[[#This Row],[BW40_3705]]),"")</f>
        <v/>
      </c>
      <c r="J874" s="7" t="str">
        <f>IF(Table1[[#This Row],[Is Data Valid]]=TRUE,_xlfn.NORM.S.DIST(Table1[[#This Row],[Birthweight Z-Score]],TRUE)*100,"")</f>
        <v/>
      </c>
      <c r="K874" s="7" t="str">
        <f>IF(Table1[[#This Row],[Is Data Valid]]=TRUE,_xlfn.NORM.S.DIST(Table1[[#This Row],[Birthweight Z-Score (BW-10%)]],TRUE)*100,"")</f>
        <v/>
      </c>
      <c r="L874" s="7" t="str">
        <f>IF(Table1[[#This Row],[Is Data Valid]]=TRUE,_xlfn.NORM.S.DIST(Table1[[#This Row],[Birthweight Z-Score (BW+10%)]],TRUE)*100,"")</f>
        <v/>
      </c>
    </row>
    <row r="875" spans="1:12" x14ac:dyDescent="0.35">
      <c r="A875" s="3"/>
      <c r="B875" s="2"/>
      <c r="C875" s="2"/>
      <c r="D875" s="2" t="b">
        <f>IF(AND(NOT(ISBLANK(Table1[[#This Row],[Fetal Sex (Male, Female or Unknown)]])),ISNUMBER(Table1[[#This Row],[Birthweight (grams)]]),ISNUMBER(Table1[[#This Row],[Gestation (days)]])),TRUE,FALSE)</f>
        <v>0</v>
      </c>
      <c r="E875" s="2" t="str">
        <f>IF(Table1[[#This Row],[Is Data Valid]]=TRUE,IF(Table1[[#This Row],[Fetal Sex (Male, Female or Unknown)]]="Male",Backend!$C$6,IF(Table1[[#This Row],[Fetal Sex (Male, Female or Unknown)]]="Female",Backend!$C$7,IF(Table1[[#This Row],[Fetal Sex (Male, Female or Unknown)]]="Unknown",Backend!$C$8,"Error"))),"")</f>
        <v/>
      </c>
      <c r="F875" s="8" t="str">
        <f>IF(Table1[[#This Row],[Is Data Valid]]=TRUE,EXP(0.578+0.332*((Table1[[#This Row],[Gestation (days)]]+0.5)/7)-0.00354*((Table1[[#This Row],[Gestation (days)]]+0.5)/7)^2)*Table1[[#This Row],[BW40_3705]],"")</f>
        <v/>
      </c>
      <c r="G875" s="2" t="str">
        <f>IF(Table1[[#This Row],[Is Data Valid]]=TRUE,((Table1[[#This Row],[Birthweight (grams)]]/Table1[[#This Row],[BW_GA]])-1)/(Backend!$B$4/100*Table1[[#This Row],[BW40_3705]]),"")</f>
        <v/>
      </c>
      <c r="H875" s="7" t="str">
        <f>IF(Table1[[#This Row],[Is Data Valid]]=TRUE,((Table1[[#This Row],[Birthweight (grams)]]*0.9/Table1[[#This Row],[BW_GA]])-1)/(Backend!$B$4/100*Table1[[#This Row],[BW40_3705]]),"")</f>
        <v/>
      </c>
      <c r="I875" s="7" t="str">
        <f>IF(Table1[[#This Row],[Is Data Valid]]=TRUE,((Table1[[#This Row],[Birthweight (grams)]]*1.1/Table1[[#This Row],[BW_GA]])-1)/(Backend!$B$4/100*Table1[[#This Row],[BW40_3705]]),"")</f>
        <v/>
      </c>
      <c r="J875" s="7" t="str">
        <f>IF(Table1[[#This Row],[Is Data Valid]]=TRUE,_xlfn.NORM.S.DIST(Table1[[#This Row],[Birthweight Z-Score]],TRUE)*100,"")</f>
        <v/>
      </c>
      <c r="K875" s="7" t="str">
        <f>IF(Table1[[#This Row],[Is Data Valid]]=TRUE,_xlfn.NORM.S.DIST(Table1[[#This Row],[Birthweight Z-Score (BW-10%)]],TRUE)*100,"")</f>
        <v/>
      </c>
      <c r="L875" s="7" t="str">
        <f>IF(Table1[[#This Row],[Is Data Valid]]=TRUE,_xlfn.NORM.S.DIST(Table1[[#This Row],[Birthweight Z-Score (BW+10%)]],TRUE)*100,"")</f>
        <v/>
      </c>
    </row>
    <row r="876" spans="1:12" x14ac:dyDescent="0.35">
      <c r="A876" s="3"/>
      <c r="B876" s="2"/>
      <c r="C876" s="2"/>
      <c r="D876" s="2" t="b">
        <f>IF(AND(NOT(ISBLANK(Table1[[#This Row],[Fetal Sex (Male, Female or Unknown)]])),ISNUMBER(Table1[[#This Row],[Birthweight (grams)]]),ISNUMBER(Table1[[#This Row],[Gestation (days)]])),TRUE,FALSE)</f>
        <v>0</v>
      </c>
      <c r="E876" s="2" t="str">
        <f>IF(Table1[[#This Row],[Is Data Valid]]=TRUE,IF(Table1[[#This Row],[Fetal Sex (Male, Female or Unknown)]]="Male",Backend!$C$6,IF(Table1[[#This Row],[Fetal Sex (Male, Female or Unknown)]]="Female",Backend!$C$7,IF(Table1[[#This Row],[Fetal Sex (Male, Female or Unknown)]]="Unknown",Backend!$C$8,"Error"))),"")</f>
        <v/>
      </c>
      <c r="F876" s="8" t="str">
        <f>IF(Table1[[#This Row],[Is Data Valid]]=TRUE,EXP(0.578+0.332*((Table1[[#This Row],[Gestation (days)]]+0.5)/7)-0.00354*((Table1[[#This Row],[Gestation (days)]]+0.5)/7)^2)*Table1[[#This Row],[BW40_3705]],"")</f>
        <v/>
      </c>
      <c r="G876" s="2" t="str">
        <f>IF(Table1[[#This Row],[Is Data Valid]]=TRUE,((Table1[[#This Row],[Birthweight (grams)]]/Table1[[#This Row],[BW_GA]])-1)/(Backend!$B$4/100*Table1[[#This Row],[BW40_3705]]),"")</f>
        <v/>
      </c>
      <c r="H876" s="7" t="str">
        <f>IF(Table1[[#This Row],[Is Data Valid]]=TRUE,((Table1[[#This Row],[Birthweight (grams)]]*0.9/Table1[[#This Row],[BW_GA]])-1)/(Backend!$B$4/100*Table1[[#This Row],[BW40_3705]]),"")</f>
        <v/>
      </c>
      <c r="I876" s="7" t="str">
        <f>IF(Table1[[#This Row],[Is Data Valid]]=TRUE,((Table1[[#This Row],[Birthweight (grams)]]*1.1/Table1[[#This Row],[BW_GA]])-1)/(Backend!$B$4/100*Table1[[#This Row],[BW40_3705]]),"")</f>
        <v/>
      </c>
      <c r="J876" s="7" t="str">
        <f>IF(Table1[[#This Row],[Is Data Valid]]=TRUE,_xlfn.NORM.S.DIST(Table1[[#This Row],[Birthweight Z-Score]],TRUE)*100,"")</f>
        <v/>
      </c>
      <c r="K876" s="7" t="str">
        <f>IF(Table1[[#This Row],[Is Data Valid]]=TRUE,_xlfn.NORM.S.DIST(Table1[[#This Row],[Birthweight Z-Score (BW-10%)]],TRUE)*100,"")</f>
        <v/>
      </c>
      <c r="L876" s="7" t="str">
        <f>IF(Table1[[#This Row],[Is Data Valid]]=TRUE,_xlfn.NORM.S.DIST(Table1[[#This Row],[Birthweight Z-Score (BW+10%)]],TRUE)*100,"")</f>
        <v/>
      </c>
    </row>
    <row r="877" spans="1:12" x14ac:dyDescent="0.35">
      <c r="A877" s="3"/>
      <c r="B877" s="2"/>
      <c r="C877" s="2"/>
      <c r="D877" s="2" t="b">
        <f>IF(AND(NOT(ISBLANK(Table1[[#This Row],[Fetal Sex (Male, Female or Unknown)]])),ISNUMBER(Table1[[#This Row],[Birthweight (grams)]]),ISNUMBER(Table1[[#This Row],[Gestation (days)]])),TRUE,FALSE)</f>
        <v>0</v>
      </c>
      <c r="E877" s="2" t="str">
        <f>IF(Table1[[#This Row],[Is Data Valid]]=TRUE,IF(Table1[[#This Row],[Fetal Sex (Male, Female or Unknown)]]="Male",Backend!$C$6,IF(Table1[[#This Row],[Fetal Sex (Male, Female or Unknown)]]="Female",Backend!$C$7,IF(Table1[[#This Row],[Fetal Sex (Male, Female or Unknown)]]="Unknown",Backend!$C$8,"Error"))),"")</f>
        <v/>
      </c>
      <c r="F877" s="8" t="str">
        <f>IF(Table1[[#This Row],[Is Data Valid]]=TRUE,EXP(0.578+0.332*((Table1[[#This Row],[Gestation (days)]]+0.5)/7)-0.00354*((Table1[[#This Row],[Gestation (days)]]+0.5)/7)^2)*Table1[[#This Row],[BW40_3705]],"")</f>
        <v/>
      </c>
      <c r="G877" s="2" t="str">
        <f>IF(Table1[[#This Row],[Is Data Valid]]=TRUE,((Table1[[#This Row],[Birthweight (grams)]]/Table1[[#This Row],[BW_GA]])-1)/(Backend!$B$4/100*Table1[[#This Row],[BW40_3705]]),"")</f>
        <v/>
      </c>
      <c r="H877" s="7" t="str">
        <f>IF(Table1[[#This Row],[Is Data Valid]]=TRUE,((Table1[[#This Row],[Birthweight (grams)]]*0.9/Table1[[#This Row],[BW_GA]])-1)/(Backend!$B$4/100*Table1[[#This Row],[BW40_3705]]),"")</f>
        <v/>
      </c>
      <c r="I877" s="7" t="str">
        <f>IF(Table1[[#This Row],[Is Data Valid]]=TRUE,((Table1[[#This Row],[Birthweight (grams)]]*1.1/Table1[[#This Row],[BW_GA]])-1)/(Backend!$B$4/100*Table1[[#This Row],[BW40_3705]]),"")</f>
        <v/>
      </c>
      <c r="J877" s="7" t="str">
        <f>IF(Table1[[#This Row],[Is Data Valid]]=TRUE,_xlfn.NORM.S.DIST(Table1[[#This Row],[Birthweight Z-Score]],TRUE)*100,"")</f>
        <v/>
      </c>
      <c r="K877" s="7" t="str">
        <f>IF(Table1[[#This Row],[Is Data Valid]]=TRUE,_xlfn.NORM.S.DIST(Table1[[#This Row],[Birthweight Z-Score (BW-10%)]],TRUE)*100,"")</f>
        <v/>
      </c>
      <c r="L877" s="7" t="str">
        <f>IF(Table1[[#This Row],[Is Data Valid]]=TRUE,_xlfn.NORM.S.DIST(Table1[[#This Row],[Birthweight Z-Score (BW+10%)]],TRUE)*100,"")</f>
        <v/>
      </c>
    </row>
    <row r="878" spans="1:12" x14ac:dyDescent="0.35">
      <c r="A878" s="3"/>
      <c r="B878" s="2"/>
      <c r="C878" s="2"/>
      <c r="D878" s="2" t="b">
        <f>IF(AND(NOT(ISBLANK(Table1[[#This Row],[Fetal Sex (Male, Female or Unknown)]])),ISNUMBER(Table1[[#This Row],[Birthweight (grams)]]),ISNUMBER(Table1[[#This Row],[Gestation (days)]])),TRUE,FALSE)</f>
        <v>0</v>
      </c>
      <c r="E878" s="2" t="str">
        <f>IF(Table1[[#This Row],[Is Data Valid]]=TRUE,IF(Table1[[#This Row],[Fetal Sex (Male, Female or Unknown)]]="Male",Backend!$C$6,IF(Table1[[#This Row],[Fetal Sex (Male, Female or Unknown)]]="Female",Backend!$C$7,IF(Table1[[#This Row],[Fetal Sex (Male, Female or Unknown)]]="Unknown",Backend!$C$8,"Error"))),"")</f>
        <v/>
      </c>
      <c r="F878" s="8" t="str">
        <f>IF(Table1[[#This Row],[Is Data Valid]]=TRUE,EXP(0.578+0.332*((Table1[[#This Row],[Gestation (days)]]+0.5)/7)-0.00354*((Table1[[#This Row],[Gestation (days)]]+0.5)/7)^2)*Table1[[#This Row],[BW40_3705]],"")</f>
        <v/>
      </c>
      <c r="G878" s="2" t="str">
        <f>IF(Table1[[#This Row],[Is Data Valid]]=TRUE,((Table1[[#This Row],[Birthweight (grams)]]/Table1[[#This Row],[BW_GA]])-1)/(Backend!$B$4/100*Table1[[#This Row],[BW40_3705]]),"")</f>
        <v/>
      </c>
      <c r="H878" s="7" t="str">
        <f>IF(Table1[[#This Row],[Is Data Valid]]=TRUE,((Table1[[#This Row],[Birthweight (grams)]]*0.9/Table1[[#This Row],[BW_GA]])-1)/(Backend!$B$4/100*Table1[[#This Row],[BW40_3705]]),"")</f>
        <v/>
      </c>
      <c r="I878" s="7" t="str">
        <f>IF(Table1[[#This Row],[Is Data Valid]]=TRUE,((Table1[[#This Row],[Birthweight (grams)]]*1.1/Table1[[#This Row],[BW_GA]])-1)/(Backend!$B$4/100*Table1[[#This Row],[BW40_3705]]),"")</f>
        <v/>
      </c>
      <c r="J878" s="7" t="str">
        <f>IF(Table1[[#This Row],[Is Data Valid]]=TRUE,_xlfn.NORM.S.DIST(Table1[[#This Row],[Birthweight Z-Score]],TRUE)*100,"")</f>
        <v/>
      </c>
      <c r="K878" s="7" t="str">
        <f>IF(Table1[[#This Row],[Is Data Valid]]=TRUE,_xlfn.NORM.S.DIST(Table1[[#This Row],[Birthweight Z-Score (BW-10%)]],TRUE)*100,"")</f>
        <v/>
      </c>
      <c r="L878" s="7" t="str">
        <f>IF(Table1[[#This Row],[Is Data Valid]]=TRUE,_xlfn.NORM.S.DIST(Table1[[#This Row],[Birthweight Z-Score (BW+10%)]],TRUE)*100,"")</f>
        <v/>
      </c>
    </row>
    <row r="879" spans="1:12" x14ac:dyDescent="0.35">
      <c r="A879" s="3"/>
      <c r="B879" s="2"/>
      <c r="C879" s="2"/>
      <c r="D879" s="2" t="b">
        <f>IF(AND(NOT(ISBLANK(Table1[[#This Row],[Fetal Sex (Male, Female or Unknown)]])),ISNUMBER(Table1[[#This Row],[Birthweight (grams)]]),ISNUMBER(Table1[[#This Row],[Gestation (days)]])),TRUE,FALSE)</f>
        <v>0</v>
      </c>
      <c r="E879" s="2" t="str">
        <f>IF(Table1[[#This Row],[Is Data Valid]]=TRUE,IF(Table1[[#This Row],[Fetal Sex (Male, Female or Unknown)]]="Male",Backend!$C$6,IF(Table1[[#This Row],[Fetal Sex (Male, Female or Unknown)]]="Female",Backend!$C$7,IF(Table1[[#This Row],[Fetal Sex (Male, Female or Unknown)]]="Unknown",Backend!$C$8,"Error"))),"")</f>
        <v/>
      </c>
      <c r="F879" s="8" t="str">
        <f>IF(Table1[[#This Row],[Is Data Valid]]=TRUE,EXP(0.578+0.332*((Table1[[#This Row],[Gestation (days)]]+0.5)/7)-0.00354*((Table1[[#This Row],[Gestation (days)]]+0.5)/7)^2)*Table1[[#This Row],[BW40_3705]],"")</f>
        <v/>
      </c>
      <c r="G879" s="2" t="str">
        <f>IF(Table1[[#This Row],[Is Data Valid]]=TRUE,((Table1[[#This Row],[Birthweight (grams)]]/Table1[[#This Row],[BW_GA]])-1)/(Backend!$B$4/100*Table1[[#This Row],[BW40_3705]]),"")</f>
        <v/>
      </c>
      <c r="H879" s="7" t="str">
        <f>IF(Table1[[#This Row],[Is Data Valid]]=TRUE,((Table1[[#This Row],[Birthweight (grams)]]*0.9/Table1[[#This Row],[BW_GA]])-1)/(Backend!$B$4/100*Table1[[#This Row],[BW40_3705]]),"")</f>
        <v/>
      </c>
      <c r="I879" s="7" t="str">
        <f>IF(Table1[[#This Row],[Is Data Valid]]=TRUE,((Table1[[#This Row],[Birthweight (grams)]]*1.1/Table1[[#This Row],[BW_GA]])-1)/(Backend!$B$4/100*Table1[[#This Row],[BW40_3705]]),"")</f>
        <v/>
      </c>
      <c r="J879" s="7" t="str">
        <f>IF(Table1[[#This Row],[Is Data Valid]]=TRUE,_xlfn.NORM.S.DIST(Table1[[#This Row],[Birthweight Z-Score]],TRUE)*100,"")</f>
        <v/>
      </c>
      <c r="K879" s="7" t="str">
        <f>IF(Table1[[#This Row],[Is Data Valid]]=TRUE,_xlfn.NORM.S.DIST(Table1[[#This Row],[Birthweight Z-Score (BW-10%)]],TRUE)*100,"")</f>
        <v/>
      </c>
      <c r="L879" s="7" t="str">
        <f>IF(Table1[[#This Row],[Is Data Valid]]=TRUE,_xlfn.NORM.S.DIST(Table1[[#This Row],[Birthweight Z-Score (BW+10%)]],TRUE)*100,"")</f>
        <v/>
      </c>
    </row>
    <row r="880" spans="1:12" x14ac:dyDescent="0.35">
      <c r="A880" s="3"/>
      <c r="B880" s="2"/>
      <c r="C880" s="2"/>
      <c r="D880" s="2" t="b">
        <f>IF(AND(NOT(ISBLANK(Table1[[#This Row],[Fetal Sex (Male, Female or Unknown)]])),ISNUMBER(Table1[[#This Row],[Birthweight (grams)]]),ISNUMBER(Table1[[#This Row],[Gestation (days)]])),TRUE,FALSE)</f>
        <v>0</v>
      </c>
      <c r="E880" s="2" t="str">
        <f>IF(Table1[[#This Row],[Is Data Valid]]=TRUE,IF(Table1[[#This Row],[Fetal Sex (Male, Female or Unknown)]]="Male",Backend!$C$6,IF(Table1[[#This Row],[Fetal Sex (Male, Female or Unknown)]]="Female",Backend!$C$7,IF(Table1[[#This Row],[Fetal Sex (Male, Female or Unknown)]]="Unknown",Backend!$C$8,"Error"))),"")</f>
        <v/>
      </c>
      <c r="F880" s="8" t="str">
        <f>IF(Table1[[#This Row],[Is Data Valid]]=TRUE,EXP(0.578+0.332*((Table1[[#This Row],[Gestation (days)]]+0.5)/7)-0.00354*((Table1[[#This Row],[Gestation (days)]]+0.5)/7)^2)*Table1[[#This Row],[BW40_3705]],"")</f>
        <v/>
      </c>
      <c r="G880" s="2" t="str">
        <f>IF(Table1[[#This Row],[Is Data Valid]]=TRUE,((Table1[[#This Row],[Birthweight (grams)]]/Table1[[#This Row],[BW_GA]])-1)/(Backend!$B$4/100*Table1[[#This Row],[BW40_3705]]),"")</f>
        <v/>
      </c>
      <c r="H880" s="7" t="str">
        <f>IF(Table1[[#This Row],[Is Data Valid]]=TRUE,((Table1[[#This Row],[Birthweight (grams)]]*0.9/Table1[[#This Row],[BW_GA]])-1)/(Backend!$B$4/100*Table1[[#This Row],[BW40_3705]]),"")</f>
        <v/>
      </c>
      <c r="I880" s="7" t="str">
        <f>IF(Table1[[#This Row],[Is Data Valid]]=TRUE,((Table1[[#This Row],[Birthweight (grams)]]*1.1/Table1[[#This Row],[BW_GA]])-1)/(Backend!$B$4/100*Table1[[#This Row],[BW40_3705]]),"")</f>
        <v/>
      </c>
      <c r="J880" s="7" t="str">
        <f>IF(Table1[[#This Row],[Is Data Valid]]=TRUE,_xlfn.NORM.S.DIST(Table1[[#This Row],[Birthweight Z-Score]],TRUE)*100,"")</f>
        <v/>
      </c>
      <c r="K880" s="7" t="str">
        <f>IF(Table1[[#This Row],[Is Data Valid]]=TRUE,_xlfn.NORM.S.DIST(Table1[[#This Row],[Birthweight Z-Score (BW-10%)]],TRUE)*100,"")</f>
        <v/>
      </c>
      <c r="L880" s="7" t="str">
        <f>IF(Table1[[#This Row],[Is Data Valid]]=TRUE,_xlfn.NORM.S.DIST(Table1[[#This Row],[Birthweight Z-Score (BW+10%)]],TRUE)*100,"")</f>
        <v/>
      </c>
    </row>
    <row r="881" spans="1:12" x14ac:dyDescent="0.35">
      <c r="A881" s="3"/>
      <c r="B881" s="2"/>
      <c r="C881" s="2"/>
      <c r="D881" s="2" t="b">
        <f>IF(AND(NOT(ISBLANK(Table1[[#This Row],[Fetal Sex (Male, Female or Unknown)]])),ISNUMBER(Table1[[#This Row],[Birthweight (grams)]]),ISNUMBER(Table1[[#This Row],[Gestation (days)]])),TRUE,FALSE)</f>
        <v>0</v>
      </c>
      <c r="E881" s="2" t="str">
        <f>IF(Table1[[#This Row],[Is Data Valid]]=TRUE,IF(Table1[[#This Row],[Fetal Sex (Male, Female or Unknown)]]="Male",Backend!$C$6,IF(Table1[[#This Row],[Fetal Sex (Male, Female or Unknown)]]="Female",Backend!$C$7,IF(Table1[[#This Row],[Fetal Sex (Male, Female or Unknown)]]="Unknown",Backend!$C$8,"Error"))),"")</f>
        <v/>
      </c>
      <c r="F881" s="8" t="str">
        <f>IF(Table1[[#This Row],[Is Data Valid]]=TRUE,EXP(0.578+0.332*((Table1[[#This Row],[Gestation (days)]]+0.5)/7)-0.00354*((Table1[[#This Row],[Gestation (days)]]+0.5)/7)^2)*Table1[[#This Row],[BW40_3705]],"")</f>
        <v/>
      </c>
      <c r="G881" s="2" t="str">
        <f>IF(Table1[[#This Row],[Is Data Valid]]=TRUE,((Table1[[#This Row],[Birthweight (grams)]]/Table1[[#This Row],[BW_GA]])-1)/(Backend!$B$4/100*Table1[[#This Row],[BW40_3705]]),"")</f>
        <v/>
      </c>
      <c r="H881" s="7" t="str">
        <f>IF(Table1[[#This Row],[Is Data Valid]]=TRUE,((Table1[[#This Row],[Birthweight (grams)]]*0.9/Table1[[#This Row],[BW_GA]])-1)/(Backend!$B$4/100*Table1[[#This Row],[BW40_3705]]),"")</f>
        <v/>
      </c>
      <c r="I881" s="7" t="str">
        <f>IF(Table1[[#This Row],[Is Data Valid]]=TRUE,((Table1[[#This Row],[Birthweight (grams)]]*1.1/Table1[[#This Row],[BW_GA]])-1)/(Backend!$B$4/100*Table1[[#This Row],[BW40_3705]]),"")</f>
        <v/>
      </c>
      <c r="J881" s="7" t="str">
        <f>IF(Table1[[#This Row],[Is Data Valid]]=TRUE,_xlfn.NORM.S.DIST(Table1[[#This Row],[Birthweight Z-Score]],TRUE)*100,"")</f>
        <v/>
      </c>
      <c r="K881" s="7" t="str">
        <f>IF(Table1[[#This Row],[Is Data Valid]]=TRUE,_xlfn.NORM.S.DIST(Table1[[#This Row],[Birthweight Z-Score (BW-10%)]],TRUE)*100,"")</f>
        <v/>
      </c>
      <c r="L881" s="7" t="str">
        <f>IF(Table1[[#This Row],[Is Data Valid]]=TRUE,_xlfn.NORM.S.DIST(Table1[[#This Row],[Birthweight Z-Score (BW+10%)]],TRUE)*100,"")</f>
        <v/>
      </c>
    </row>
    <row r="882" spans="1:12" x14ac:dyDescent="0.35">
      <c r="A882" s="3"/>
      <c r="B882" s="2"/>
      <c r="C882" s="2"/>
      <c r="D882" s="2" t="b">
        <f>IF(AND(NOT(ISBLANK(Table1[[#This Row],[Fetal Sex (Male, Female or Unknown)]])),ISNUMBER(Table1[[#This Row],[Birthweight (grams)]]),ISNUMBER(Table1[[#This Row],[Gestation (days)]])),TRUE,FALSE)</f>
        <v>0</v>
      </c>
      <c r="E882" s="2" t="str">
        <f>IF(Table1[[#This Row],[Is Data Valid]]=TRUE,IF(Table1[[#This Row],[Fetal Sex (Male, Female or Unknown)]]="Male",Backend!$C$6,IF(Table1[[#This Row],[Fetal Sex (Male, Female or Unknown)]]="Female",Backend!$C$7,IF(Table1[[#This Row],[Fetal Sex (Male, Female or Unknown)]]="Unknown",Backend!$C$8,"Error"))),"")</f>
        <v/>
      </c>
      <c r="F882" s="8" t="str">
        <f>IF(Table1[[#This Row],[Is Data Valid]]=TRUE,EXP(0.578+0.332*((Table1[[#This Row],[Gestation (days)]]+0.5)/7)-0.00354*((Table1[[#This Row],[Gestation (days)]]+0.5)/7)^2)*Table1[[#This Row],[BW40_3705]],"")</f>
        <v/>
      </c>
      <c r="G882" s="2" t="str">
        <f>IF(Table1[[#This Row],[Is Data Valid]]=TRUE,((Table1[[#This Row],[Birthweight (grams)]]/Table1[[#This Row],[BW_GA]])-1)/(Backend!$B$4/100*Table1[[#This Row],[BW40_3705]]),"")</f>
        <v/>
      </c>
      <c r="H882" s="7" t="str">
        <f>IF(Table1[[#This Row],[Is Data Valid]]=TRUE,((Table1[[#This Row],[Birthweight (grams)]]*0.9/Table1[[#This Row],[BW_GA]])-1)/(Backend!$B$4/100*Table1[[#This Row],[BW40_3705]]),"")</f>
        <v/>
      </c>
      <c r="I882" s="7" t="str">
        <f>IF(Table1[[#This Row],[Is Data Valid]]=TRUE,((Table1[[#This Row],[Birthweight (grams)]]*1.1/Table1[[#This Row],[BW_GA]])-1)/(Backend!$B$4/100*Table1[[#This Row],[BW40_3705]]),"")</f>
        <v/>
      </c>
      <c r="J882" s="7" t="str">
        <f>IF(Table1[[#This Row],[Is Data Valid]]=TRUE,_xlfn.NORM.S.DIST(Table1[[#This Row],[Birthweight Z-Score]],TRUE)*100,"")</f>
        <v/>
      </c>
      <c r="K882" s="7" t="str">
        <f>IF(Table1[[#This Row],[Is Data Valid]]=TRUE,_xlfn.NORM.S.DIST(Table1[[#This Row],[Birthweight Z-Score (BW-10%)]],TRUE)*100,"")</f>
        <v/>
      </c>
      <c r="L882" s="7" t="str">
        <f>IF(Table1[[#This Row],[Is Data Valid]]=TRUE,_xlfn.NORM.S.DIST(Table1[[#This Row],[Birthweight Z-Score (BW+10%)]],TRUE)*100,"")</f>
        <v/>
      </c>
    </row>
    <row r="883" spans="1:12" x14ac:dyDescent="0.35">
      <c r="A883" s="3"/>
      <c r="B883" s="2"/>
      <c r="C883" s="2"/>
      <c r="D883" s="2" t="b">
        <f>IF(AND(NOT(ISBLANK(Table1[[#This Row],[Fetal Sex (Male, Female or Unknown)]])),ISNUMBER(Table1[[#This Row],[Birthweight (grams)]]),ISNUMBER(Table1[[#This Row],[Gestation (days)]])),TRUE,FALSE)</f>
        <v>0</v>
      </c>
      <c r="E883" s="2" t="str">
        <f>IF(Table1[[#This Row],[Is Data Valid]]=TRUE,IF(Table1[[#This Row],[Fetal Sex (Male, Female or Unknown)]]="Male",Backend!$C$6,IF(Table1[[#This Row],[Fetal Sex (Male, Female or Unknown)]]="Female",Backend!$C$7,IF(Table1[[#This Row],[Fetal Sex (Male, Female or Unknown)]]="Unknown",Backend!$C$8,"Error"))),"")</f>
        <v/>
      </c>
      <c r="F883" s="8" t="str">
        <f>IF(Table1[[#This Row],[Is Data Valid]]=TRUE,EXP(0.578+0.332*((Table1[[#This Row],[Gestation (days)]]+0.5)/7)-0.00354*((Table1[[#This Row],[Gestation (days)]]+0.5)/7)^2)*Table1[[#This Row],[BW40_3705]],"")</f>
        <v/>
      </c>
      <c r="G883" s="2" t="str">
        <f>IF(Table1[[#This Row],[Is Data Valid]]=TRUE,((Table1[[#This Row],[Birthweight (grams)]]/Table1[[#This Row],[BW_GA]])-1)/(Backend!$B$4/100*Table1[[#This Row],[BW40_3705]]),"")</f>
        <v/>
      </c>
      <c r="H883" s="7" t="str">
        <f>IF(Table1[[#This Row],[Is Data Valid]]=TRUE,((Table1[[#This Row],[Birthweight (grams)]]*0.9/Table1[[#This Row],[BW_GA]])-1)/(Backend!$B$4/100*Table1[[#This Row],[BW40_3705]]),"")</f>
        <v/>
      </c>
      <c r="I883" s="7" t="str">
        <f>IF(Table1[[#This Row],[Is Data Valid]]=TRUE,((Table1[[#This Row],[Birthweight (grams)]]*1.1/Table1[[#This Row],[BW_GA]])-1)/(Backend!$B$4/100*Table1[[#This Row],[BW40_3705]]),"")</f>
        <v/>
      </c>
      <c r="J883" s="7" t="str">
        <f>IF(Table1[[#This Row],[Is Data Valid]]=TRUE,_xlfn.NORM.S.DIST(Table1[[#This Row],[Birthweight Z-Score]],TRUE)*100,"")</f>
        <v/>
      </c>
      <c r="K883" s="7" t="str">
        <f>IF(Table1[[#This Row],[Is Data Valid]]=TRUE,_xlfn.NORM.S.DIST(Table1[[#This Row],[Birthweight Z-Score (BW-10%)]],TRUE)*100,"")</f>
        <v/>
      </c>
      <c r="L883" s="7" t="str">
        <f>IF(Table1[[#This Row],[Is Data Valid]]=TRUE,_xlfn.NORM.S.DIST(Table1[[#This Row],[Birthweight Z-Score (BW+10%)]],TRUE)*100,"")</f>
        <v/>
      </c>
    </row>
    <row r="884" spans="1:12" x14ac:dyDescent="0.35">
      <c r="A884" s="3"/>
      <c r="B884" s="2"/>
      <c r="C884" s="2"/>
      <c r="D884" s="2" t="b">
        <f>IF(AND(NOT(ISBLANK(Table1[[#This Row],[Fetal Sex (Male, Female or Unknown)]])),ISNUMBER(Table1[[#This Row],[Birthweight (grams)]]),ISNUMBER(Table1[[#This Row],[Gestation (days)]])),TRUE,FALSE)</f>
        <v>0</v>
      </c>
      <c r="E884" s="2" t="str">
        <f>IF(Table1[[#This Row],[Is Data Valid]]=TRUE,IF(Table1[[#This Row],[Fetal Sex (Male, Female or Unknown)]]="Male",Backend!$C$6,IF(Table1[[#This Row],[Fetal Sex (Male, Female or Unknown)]]="Female",Backend!$C$7,IF(Table1[[#This Row],[Fetal Sex (Male, Female or Unknown)]]="Unknown",Backend!$C$8,"Error"))),"")</f>
        <v/>
      </c>
      <c r="F884" s="8" t="str">
        <f>IF(Table1[[#This Row],[Is Data Valid]]=TRUE,EXP(0.578+0.332*((Table1[[#This Row],[Gestation (days)]]+0.5)/7)-0.00354*((Table1[[#This Row],[Gestation (days)]]+0.5)/7)^2)*Table1[[#This Row],[BW40_3705]],"")</f>
        <v/>
      </c>
      <c r="G884" s="2" t="str">
        <f>IF(Table1[[#This Row],[Is Data Valid]]=TRUE,((Table1[[#This Row],[Birthweight (grams)]]/Table1[[#This Row],[BW_GA]])-1)/(Backend!$B$4/100*Table1[[#This Row],[BW40_3705]]),"")</f>
        <v/>
      </c>
      <c r="H884" s="7" t="str">
        <f>IF(Table1[[#This Row],[Is Data Valid]]=TRUE,((Table1[[#This Row],[Birthweight (grams)]]*0.9/Table1[[#This Row],[BW_GA]])-1)/(Backend!$B$4/100*Table1[[#This Row],[BW40_3705]]),"")</f>
        <v/>
      </c>
      <c r="I884" s="7" t="str">
        <f>IF(Table1[[#This Row],[Is Data Valid]]=TRUE,((Table1[[#This Row],[Birthweight (grams)]]*1.1/Table1[[#This Row],[BW_GA]])-1)/(Backend!$B$4/100*Table1[[#This Row],[BW40_3705]]),"")</f>
        <v/>
      </c>
      <c r="J884" s="7" t="str">
        <f>IF(Table1[[#This Row],[Is Data Valid]]=TRUE,_xlfn.NORM.S.DIST(Table1[[#This Row],[Birthweight Z-Score]],TRUE)*100,"")</f>
        <v/>
      </c>
      <c r="K884" s="7" t="str">
        <f>IF(Table1[[#This Row],[Is Data Valid]]=TRUE,_xlfn.NORM.S.DIST(Table1[[#This Row],[Birthweight Z-Score (BW-10%)]],TRUE)*100,"")</f>
        <v/>
      </c>
      <c r="L884" s="7" t="str">
        <f>IF(Table1[[#This Row],[Is Data Valid]]=TRUE,_xlfn.NORM.S.DIST(Table1[[#This Row],[Birthweight Z-Score (BW+10%)]],TRUE)*100,"")</f>
        <v/>
      </c>
    </row>
    <row r="885" spans="1:12" x14ac:dyDescent="0.35">
      <c r="A885" s="3"/>
      <c r="B885" s="2"/>
      <c r="C885" s="2"/>
      <c r="D885" s="2" t="b">
        <f>IF(AND(NOT(ISBLANK(Table1[[#This Row],[Fetal Sex (Male, Female or Unknown)]])),ISNUMBER(Table1[[#This Row],[Birthweight (grams)]]),ISNUMBER(Table1[[#This Row],[Gestation (days)]])),TRUE,FALSE)</f>
        <v>0</v>
      </c>
      <c r="E885" s="2" t="str">
        <f>IF(Table1[[#This Row],[Is Data Valid]]=TRUE,IF(Table1[[#This Row],[Fetal Sex (Male, Female or Unknown)]]="Male",Backend!$C$6,IF(Table1[[#This Row],[Fetal Sex (Male, Female or Unknown)]]="Female",Backend!$C$7,IF(Table1[[#This Row],[Fetal Sex (Male, Female or Unknown)]]="Unknown",Backend!$C$8,"Error"))),"")</f>
        <v/>
      </c>
      <c r="F885" s="8" t="str">
        <f>IF(Table1[[#This Row],[Is Data Valid]]=TRUE,EXP(0.578+0.332*((Table1[[#This Row],[Gestation (days)]]+0.5)/7)-0.00354*((Table1[[#This Row],[Gestation (days)]]+0.5)/7)^2)*Table1[[#This Row],[BW40_3705]],"")</f>
        <v/>
      </c>
      <c r="G885" s="2" t="str">
        <f>IF(Table1[[#This Row],[Is Data Valid]]=TRUE,((Table1[[#This Row],[Birthweight (grams)]]/Table1[[#This Row],[BW_GA]])-1)/(Backend!$B$4/100*Table1[[#This Row],[BW40_3705]]),"")</f>
        <v/>
      </c>
      <c r="H885" s="7" t="str">
        <f>IF(Table1[[#This Row],[Is Data Valid]]=TRUE,((Table1[[#This Row],[Birthweight (grams)]]*0.9/Table1[[#This Row],[BW_GA]])-1)/(Backend!$B$4/100*Table1[[#This Row],[BW40_3705]]),"")</f>
        <v/>
      </c>
      <c r="I885" s="7" t="str">
        <f>IF(Table1[[#This Row],[Is Data Valid]]=TRUE,((Table1[[#This Row],[Birthweight (grams)]]*1.1/Table1[[#This Row],[BW_GA]])-1)/(Backend!$B$4/100*Table1[[#This Row],[BW40_3705]]),"")</f>
        <v/>
      </c>
      <c r="J885" s="7" t="str">
        <f>IF(Table1[[#This Row],[Is Data Valid]]=TRUE,_xlfn.NORM.S.DIST(Table1[[#This Row],[Birthweight Z-Score]],TRUE)*100,"")</f>
        <v/>
      </c>
      <c r="K885" s="7" t="str">
        <f>IF(Table1[[#This Row],[Is Data Valid]]=TRUE,_xlfn.NORM.S.DIST(Table1[[#This Row],[Birthweight Z-Score (BW-10%)]],TRUE)*100,"")</f>
        <v/>
      </c>
      <c r="L885" s="7" t="str">
        <f>IF(Table1[[#This Row],[Is Data Valid]]=TRUE,_xlfn.NORM.S.DIST(Table1[[#This Row],[Birthweight Z-Score (BW+10%)]],TRUE)*100,"")</f>
        <v/>
      </c>
    </row>
    <row r="886" spans="1:12" x14ac:dyDescent="0.35">
      <c r="A886" s="3"/>
      <c r="B886" s="2"/>
      <c r="C886" s="2"/>
      <c r="D886" s="2" t="b">
        <f>IF(AND(NOT(ISBLANK(Table1[[#This Row],[Fetal Sex (Male, Female or Unknown)]])),ISNUMBER(Table1[[#This Row],[Birthweight (grams)]]),ISNUMBER(Table1[[#This Row],[Gestation (days)]])),TRUE,FALSE)</f>
        <v>0</v>
      </c>
      <c r="E886" s="2" t="str">
        <f>IF(Table1[[#This Row],[Is Data Valid]]=TRUE,IF(Table1[[#This Row],[Fetal Sex (Male, Female or Unknown)]]="Male",Backend!$C$6,IF(Table1[[#This Row],[Fetal Sex (Male, Female or Unknown)]]="Female",Backend!$C$7,IF(Table1[[#This Row],[Fetal Sex (Male, Female or Unknown)]]="Unknown",Backend!$C$8,"Error"))),"")</f>
        <v/>
      </c>
      <c r="F886" s="8" t="str">
        <f>IF(Table1[[#This Row],[Is Data Valid]]=TRUE,EXP(0.578+0.332*((Table1[[#This Row],[Gestation (days)]]+0.5)/7)-0.00354*((Table1[[#This Row],[Gestation (days)]]+0.5)/7)^2)*Table1[[#This Row],[BW40_3705]],"")</f>
        <v/>
      </c>
      <c r="G886" s="2" t="str">
        <f>IF(Table1[[#This Row],[Is Data Valid]]=TRUE,((Table1[[#This Row],[Birthweight (grams)]]/Table1[[#This Row],[BW_GA]])-1)/(Backend!$B$4/100*Table1[[#This Row],[BW40_3705]]),"")</f>
        <v/>
      </c>
      <c r="H886" s="7" t="str">
        <f>IF(Table1[[#This Row],[Is Data Valid]]=TRUE,((Table1[[#This Row],[Birthweight (grams)]]*0.9/Table1[[#This Row],[BW_GA]])-1)/(Backend!$B$4/100*Table1[[#This Row],[BW40_3705]]),"")</f>
        <v/>
      </c>
      <c r="I886" s="7" t="str">
        <f>IF(Table1[[#This Row],[Is Data Valid]]=TRUE,((Table1[[#This Row],[Birthweight (grams)]]*1.1/Table1[[#This Row],[BW_GA]])-1)/(Backend!$B$4/100*Table1[[#This Row],[BW40_3705]]),"")</f>
        <v/>
      </c>
      <c r="J886" s="7" t="str">
        <f>IF(Table1[[#This Row],[Is Data Valid]]=TRUE,_xlfn.NORM.S.DIST(Table1[[#This Row],[Birthweight Z-Score]],TRUE)*100,"")</f>
        <v/>
      </c>
      <c r="K886" s="7" t="str">
        <f>IF(Table1[[#This Row],[Is Data Valid]]=TRUE,_xlfn.NORM.S.DIST(Table1[[#This Row],[Birthweight Z-Score (BW-10%)]],TRUE)*100,"")</f>
        <v/>
      </c>
      <c r="L886" s="7" t="str">
        <f>IF(Table1[[#This Row],[Is Data Valid]]=TRUE,_xlfn.NORM.S.DIST(Table1[[#This Row],[Birthweight Z-Score (BW+10%)]],TRUE)*100,"")</f>
        <v/>
      </c>
    </row>
    <row r="887" spans="1:12" x14ac:dyDescent="0.35">
      <c r="A887" s="3"/>
      <c r="B887" s="2"/>
      <c r="C887" s="2"/>
      <c r="D887" s="2" t="b">
        <f>IF(AND(NOT(ISBLANK(Table1[[#This Row],[Fetal Sex (Male, Female or Unknown)]])),ISNUMBER(Table1[[#This Row],[Birthweight (grams)]]),ISNUMBER(Table1[[#This Row],[Gestation (days)]])),TRUE,FALSE)</f>
        <v>0</v>
      </c>
      <c r="E887" s="2" t="str">
        <f>IF(Table1[[#This Row],[Is Data Valid]]=TRUE,IF(Table1[[#This Row],[Fetal Sex (Male, Female or Unknown)]]="Male",Backend!$C$6,IF(Table1[[#This Row],[Fetal Sex (Male, Female or Unknown)]]="Female",Backend!$C$7,IF(Table1[[#This Row],[Fetal Sex (Male, Female or Unknown)]]="Unknown",Backend!$C$8,"Error"))),"")</f>
        <v/>
      </c>
      <c r="F887" s="8" t="str">
        <f>IF(Table1[[#This Row],[Is Data Valid]]=TRUE,EXP(0.578+0.332*((Table1[[#This Row],[Gestation (days)]]+0.5)/7)-0.00354*((Table1[[#This Row],[Gestation (days)]]+0.5)/7)^2)*Table1[[#This Row],[BW40_3705]],"")</f>
        <v/>
      </c>
      <c r="G887" s="2" t="str">
        <f>IF(Table1[[#This Row],[Is Data Valid]]=TRUE,((Table1[[#This Row],[Birthweight (grams)]]/Table1[[#This Row],[BW_GA]])-1)/(Backend!$B$4/100*Table1[[#This Row],[BW40_3705]]),"")</f>
        <v/>
      </c>
      <c r="H887" s="7" t="str">
        <f>IF(Table1[[#This Row],[Is Data Valid]]=TRUE,((Table1[[#This Row],[Birthweight (grams)]]*0.9/Table1[[#This Row],[BW_GA]])-1)/(Backend!$B$4/100*Table1[[#This Row],[BW40_3705]]),"")</f>
        <v/>
      </c>
      <c r="I887" s="7" t="str">
        <f>IF(Table1[[#This Row],[Is Data Valid]]=TRUE,((Table1[[#This Row],[Birthweight (grams)]]*1.1/Table1[[#This Row],[BW_GA]])-1)/(Backend!$B$4/100*Table1[[#This Row],[BW40_3705]]),"")</f>
        <v/>
      </c>
      <c r="J887" s="7" t="str">
        <f>IF(Table1[[#This Row],[Is Data Valid]]=TRUE,_xlfn.NORM.S.DIST(Table1[[#This Row],[Birthweight Z-Score]],TRUE)*100,"")</f>
        <v/>
      </c>
      <c r="K887" s="7" t="str">
        <f>IF(Table1[[#This Row],[Is Data Valid]]=TRUE,_xlfn.NORM.S.DIST(Table1[[#This Row],[Birthweight Z-Score (BW-10%)]],TRUE)*100,"")</f>
        <v/>
      </c>
      <c r="L887" s="7" t="str">
        <f>IF(Table1[[#This Row],[Is Data Valid]]=TRUE,_xlfn.NORM.S.DIST(Table1[[#This Row],[Birthweight Z-Score (BW+10%)]],TRUE)*100,"")</f>
        <v/>
      </c>
    </row>
    <row r="888" spans="1:12" x14ac:dyDescent="0.35">
      <c r="A888" s="3"/>
      <c r="B888" s="2"/>
      <c r="C888" s="2"/>
      <c r="D888" s="2" t="b">
        <f>IF(AND(NOT(ISBLANK(Table1[[#This Row],[Fetal Sex (Male, Female or Unknown)]])),ISNUMBER(Table1[[#This Row],[Birthweight (grams)]]),ISNUMBER(Table1[[#This Row],[Gestation (days)]])),TRUE,FALSE)</f>
        <v>0</v>
      </c>
      <c r="E888" s="2" t="str">
        <f>IF(Table1[[#This Row],[Is Data Valid]]=TRUE,IF(Table1[[#This Row],[Fetal Sex (Male, Female or Unknown)]]="Male",Backend!$C$6,IF(Table1[[#This Row],[Fetal Sex (Male, Female or Unknown)]]="Female",Backend!$C$7,IF(Table1[[#This Row],[Fetal Sex (Male, Female or Unknown)]]="Unknown",Backend!$C$8,"Error"))),"")</f>
        <v/>
      </c>
      <c r="F888" s="8" t="str">
        <f>IF(Table1[[#This Row],[Is Data Valid]]=TRUE,EXP(0.578+0.332*((Table1[[#This Row],[Gestation (days)]]+0.5)/7)-0.00354*((Table1[[#This Row],[Gestation (days)]]+0.5)/7)^2)*Table1[[#This Row],[BW40_3705]],"")</f>
        <v/>
      </c>
      <c r="G888" s="2" t="str">
        <f>IF(Table1[[#This Row],[Is Data Valid]]=TRUE,((Table1[[#This Row],[Birthweight (grams)]]/Table1[[#This Row],[BW_GA]])-1)/(Backend!$B$4/100*Table1[[#This Row],[BW40_3705]]),"")</f>
        <v/>
      </c>
      <c r="H888" s="7" t="str">
        <f>IF(Table1[[#This Row],[Is Data Valid]]=TRUE,((Table1[[#This Row],[Birthweight (grams)]]*0.9/Table1[[#This Row],[BW_GA]])-1)/(Backend!$B$4/100*Table1[[#This Row],[BW40_3705]]),"")</f>
        <v/>
      </c>
      <c r="I888" s="7" t="str">
        <f>IF(Table1[[#This Row],[Is Data Valid]]=TRUE,((Table1[[#This Row],[Birthweight (grams)]]*1.1/Table1[[#This Row],[BW_GA]])-1)/(Backend!$B$4/100*Table1[[#This Row],[BW40_3705]]),"")</f>
        <v/>
      </c>
      <c r="J888" s="7" t="str">
        <f>IF(Table1[[#This Row],[Is Data Valid]]=TRUE,_xlfn.NORM.S.DIST(Table1[[#This Row],[Birthweight Z-Score]],TRUE)*100,"")</f>
        <v/>
      </c>
      <c r="K888" s="7" t="str">
        <f>IF(Table1[[#This Row],[Is Data Valid]]=TRUE,_xlfn.NORM.S.DIST(Table1[[#This Row],[Birthweight Z-Score (BW-10%)]],TRUE)*100,"")</f>
        <v/>
      </c>
      <c r="L888" s="7" t="str">
        <f>IF(Table1[[#This Row],[Is Data Valid]]=TRUE,_xlfn.NORM.S.DIST(Table1[[#This Row],[Birthweight Z-Score (BW+10%)]],TRUE)*100,"")</f>
        <v/>
      </c>
    </row>
    <row r="889" spans="1:12" x14ac:dyDescent="0.35">
      <c r="A889" s="3"/>
      <c r="B889" s="2"/>
      <c r="C889" s="2"/>
      <c r="D889" s="2" t="b">
        <f>IF(AND(NOT(ISBLANK(Table1[[#This Row],[Fetal Sex (Male, Female or Unknown)]])),ISNUMBER(Table1[[#This Row],[Birthweight (grams)]]),ISNUMBER(Table1[[#This Row],[Gestation (days)]])),TRUE,FALSE)</f>
        <v>0</v>
      </c>
      <c r="E889" s="2" t="str">
        <f>IF(Table1[[#This Row],[Is Data Valid]]=TRUE,IF(Table1[[#This Row],[Fetal Sex (Male, Female or Unknown)]]="Male",Backend!$C$6,IF(Table1[[#This Row],[Fetal Sex (Male, Female or Unknown)]]="Female",Backend!$C$7,IF(Table1[[#This Row],[Fetal Sex (Male, Female or Unknown)]]="Unknown",Backend!$C$8,"Error"))),"")</f>
        <v/>
      </c>
      <c r="F889" s="8" t="str">
        <f>IF(Table1[[#This Row],[Is Data Valid]]=TRUE,EXP(0.578+0.332*((Table1[[#This Row],[Gestation (days)]]+0.5)/7)-0.00354*((Table1[[#This Row],[Gestation (days)]]+0.5)/7)^2)*Table1[[#This Row],[BW40_3705]],"")</f>
        <v/>
      </c>
      <c r="G889" s="2" t="str">
        <f>IF(Table1[[#This Row],[Is Data Valid]]=TRUE,((Table1[[#This Row],[Birthweight (grams)]]/Table1[[#This Row],[BW_GA]])-1)/(Backend!$B$4/100*Table1[[#This Row],[BW40_3705]]),"")</f>
        <v/>
      </c>
      <c r="H889" s="7" t="str">
        <f>IF(Table1[[#This Row],[Is Data Valid]]=TRUE,((Table1[[#This Row],[Birthweight (grams)]]*0.9/Table1[[#This Row],[BW_GA]])-1)/(Backend!$B$4/100*Table1[[#This Row],[BW40_3705]]),"")</f>
        <v/>
      </c>
      <c r="I889" s="7" t="str">
        <f>IF(Table1[[#This Row],[Is Data Valid]]=TRUE,((Table1[[#This Row],[Birthweight (grams)]]*1.1/Table1[[#This Row],[BW_GA]])-1)/(Backend!$B$4/100*Table1[[#This Row],[BW40_3705]]),"")</f>
        <v/>
      </c>
      <c r="J889" s="7" t="str">
        <f>IF(Table1[[#This Row],[Is Data Valid]]=TRUE,_xlfn.NORM.S.DIST(Table1[[#This Row],[Birthweight Z-Score]],TRUE)*100,"")</f>
        <v/>
      </c>
      <c r="K889" s="7" t="str">
        <f>IF(Table1[[#This Row],[Is Data Valid]]=TRUE,_xlfn.NORM.S.DIST(Table1[[#This Row],[Birthweight Z-Score (BW-10%)]],TRUE)*100,"")</f>
        <v/>
      </c>
      <c r="L889" s="7" t="str">
        <f>IF(Table1[[#This Row],[Is Data Valid]]=TRUE,_xlfn.NORM.S.DIST(Table1[[#This Row],[Birthweight Z-Score (BW+10%)]],TRUE)*100,"")</f>
        <v/>
      </c>
    </row>
    <row r="890" spans="1:12" x14ac:dyDescent="0.35">
      <c r="A890" s="3"/>
      <c r="B890" s="2"/>
      <c r="C890" s="2"/>
      <c r="D890" s="2" t="b">
        <f>IF(AND(NOT(ISBLANK(Table1[[#This Row],[Fetal Sex (Male, Female or Unknown)]])),ISNUMBER(Table1[[#This Row],[Birthweight (grams)]]),ISNUMBER(Table1[[#This Row],[Gestation (days)]])),TRUE,FALSE)</f>
        <v>0</v>
      </c>
      <c r="E890" s="2" t="str">
        <f>IF(Table1[[#This Row],[Is Data Valid]]=TRUE,IF(Table1[[#This Row],[Fetal Sex (Male, Female or Unknown)]]="Male",Backend!$C$6,IF(Table1[[#This Row],[Fetal Sex (Male, Female or Unknown)]]="Female",Backend!$C$7,IF(Table1[[#This Row],[Fetal Sex (Male, Female or Unknown)]]="Unknown",Backend!$C$8,"Error"))),"")</f>
        <v/>
      </c>
      <c r="F890" s="8" t="str">
        <f>IF(Table1[[#This Row],[Is Data Valid]]=TRUE,EXP(0.578+0.332*((Table1[[#This Row],[Gestation (days)]]+0.5)/7)-0.00354*((Table1[[#This Row],[Gestation (days)]]+0.5)/7)^2)*Table1[[#This Row],[BW40_3705]],"")</f>
        <v/>
      </c>
      <c r="G890" s="2" t="str">
        <f>IF(Table1[[#This Row],[Is Data Valid]]=TRUE,((Table1[[#This Row],[Birthweight (grams)]]/Table1[[#This Row],[BW_GA]])-1)/(Backend!$B$4/100*Table1[[#This Row],[BW40_3705]]),"")</f>
        <v/>
      </c>
      <c r="H890" s="7" t="str">
        <f>IF(Table1[[#This Row],[Is Data Valid]]=TRUE,((Table1[[#This Row],[Birthweight (grams)]]*0.9/Table1[[#This Row],[BW_GA]])-1)/(Backend!$B$4/100*Table1[[#This Row],[BW40_3705]]),"")</f>
        <v/>
      </c>
      <c r="I890" s="7" t="str">
        <f>IF(Table1[[#This Row],[Is Data Valid]]=TRUE,((Table1[[#This Row],[Birthweight (grams)]]*1.1/Table1[[#This Row],[BW_GA]])-1)/(Backend!$B$4/100*Table1[[#This Row],[BW40_3705]]),"")</f>
        <v/>
      </c>
      <c r="J890" s="7" t="str">
        <f>IF(Table1[[#This Row],[Is Data Valid]]=TRUE,_xlfn.NORM.S.DIST(Table1[[#This Row],[Birthweight Z-Score]],TRUE)*100,"")</f>
        <v/>
      </c>
      <c r="K890" s="7" t="str">
        <f>IF(Table1[[#This Row],[Is Data Valid]]=TRUE,_xlfn.NORM.S.DIST(Table1[[#This Row],[Birthweight Z-Score (BW-10%)]],TRUE)*100,"")</f>
        <v/>
      </c>
      <c r="L890" s="7" t="str">
        <f>IF(Table1[[#This Row],[Is Data Valid]]=TRUE,_xlfn.NORM.S.DIST(Table1[[#This Row],[Birthweight Z-Score (BW+10%)]],TRUE)*100,"")</f>
        <v/>
      </c>
    </row>
    <row r="891" spans="1:12" x14ac:dyDescent="0.35">
      <c r="A891" s="3"/>
      <c r="B891" s="2"/>
      <c r="C891" s="2"/>
      <c r="D891" s="2" t="b">
        <f>IF(AND(NOT(ISBLANK(Table1[[#This Row],[Fetal Sex (Male, Female or Unknown)]])),ISNUMBER(Table1[[#This Row],[Birthweight (grams)]]),ISNUMBER(Table1[[#This Row],[Gestation (days)]])),TRUE,FALSE)</f>
        <v>0</v>
      </c>
      <c r="E891" s="2" t="str">
        <f>IF(Table1[[#This Row],[Is Data Valid]]=TRUE,IF(Table1[[#This Row],[Fetal Sex (Male, Female or Unknown)]]="Male",Backend!$C$6,IF(Table1[[#This Row],[Fetal Sex (Male, Female or Unknown)]]="Female",Backend!$C$7,IF(Table1[[#This Row],[Fetal Sex (Male, Female or Unknown)]]="Unknown",Backend!$C$8,"Error"))),"")</f>
        <v/>
      </c>
      <c r="F891" s="8" t="str">
        <f>IF(Table1[[#This Row],[Is Data Valid]]=TRUE,EXP(0.578+0.332*((Table1[[#This Row],[Gestation (days)]]+0.5)/7)-0.00354*((Table1[[#This Row],[Gestation (days)]]+0.5)/7)^2)*Table1[[#This Row],[BW40_3705]],"")</f>
        <v/>
      </c>
      <c r="G891" s="2" t="str">
        <f>IF(Table1[[#This Row],[Is Data Valid]]=TRUE,((Table1[[#This Row],[Birthweight (grams)]]/Table1[[#This Row],[BW_GA]])-1)/(Backend!$B$4/100*Table1[[#This Row],[BW40_3705]]),"")</f>
        <v/>
      </c>
      <c r="H891" s="7" t="str">
        <f>IF(Table1[[#This Row],[Is Data Valid]]=TRUE,((Table1[[#This Row],[Birthweight (grams)]]*0.9/Table1[[#This Row],[BW_GA]])-1)/(Backend!$B$4/100*Table1[[#This Row],[BW40_3705]]),"")</f>
        <v/>
      </c>
      <c r="I891" s="7" t="str">
        <f>IF(Table1[[#This Row],[Is Data Valid]]=TRUE,((Table1[[#This Row],[Birthweight (grams)]]*1.1/Table1[[#This Row],[BW_GA]])-1)/(Backend!$B$4/100*Table1[[#This Row],[BW40_3705]]),"")</f>
        <v/>
      </c>
      <c r="J891" s="7" t="str">
        <f>IF(Table1[[#This Row],[Is Data Valid]]=TRUE,_xlfn.NORM.S.DIST(Table1[[#This Row],[Birthweight Z-Score]],TRUE)*100,"")</f>
        <v/>
      </c>
      <c r="K891" s="7" t="str">
        <f>IF(Table1[[#This Row],[Is Data Valid]]=TRUE,_xlfn.NORM.S.DIST(Table1[[#This Row],[Birthweight Z-Score (BW-10%)]],TRUE)*100,"")</f>
        <v/>
      </c>
      <c r="L891" s="7" t="str">
        <f>IF(Table1[[#This Row],[Is Data Valid]]=TRUE,_xlfn.NORM.S.DIST(Table1[[#This Row],[Birthweight Z-Score (BW+10%)]],TRUE)*100,"")</f>
        <v/>
      </c>
    </row>
    <row r="892" spans="1:12" x14ac:dyDescent="0.35">
      <c r="A892" s="3"/>
      <c r="B892" s="2"/>
      <c r="C892" s="2"/>
      <c r="D892" s="2" t="b">
        <f>IF(AND(NOT(ISBLANK(Table1[[#This Row],[Fetal Sex (Male, Female or Unknown)]])),ISNUMBER(Table1[[#This Row],[Birthweight (grams)]]),ISNUMBER(Table1[[#This Row],[Gestation (days)]])),TRUE,FALSE)</f>
        <v>0</v>
      </c>
      <c r="E892" s="2" t="str">
        <f>IF(Table1[[#This Row],[Is Data Valid]]=TRUE,IF(Table1[[#This Row],[Fetal Sex (Male, Female or Unknown)]]="Male",Backend!$C$6,IF(Table1[[#This Row],[Fetal Sex (Male, Female or Unknown)]]="Female",Backend!$C$7,IF(Table1[[#This Row],[Fetal Sex (Male, Female or Unknown)]]="Unknown",Backend!$C$8,"Error"))),"")</f>
        <v/>
      </c>
      <c r="F892" s="8" t="str">
        <f>IF(Table1[[#This Row],[Is Data Valid]]=TRUE,EXP(0.578+0.332*((Table1[[#This Row],[Gestation (days)]]+0.5)/7)-0.00354*((Table1[[#This Row],[Gestation (days)]]+0.5)/7)^2)*Table1[[#This Row],[BW40_3705]],"")</f>
        <v/>
      </c>
      <c r="G892" s="2" t="str">
        <f>IF(Table1[[#This Row],[Is Data Valid]]=TRUE,((Table1[[#This Row],[Birthweight (grams)]]/Table1[[#This Row],[BW_GA]])-1)/(Backend!$B$4/100*Table1[[#This Row],[BW40_3705]]),"")</f>
        <v/>
      </c>
      <c r="H892" s="7" t="str">
        <f>IF(Table1[[#This Row],[Is Data Valid]]=TRUE,((Table1[[#This Row],[Birthweight (grams)]]*0.9/Table1[[#This Row],[BW_GA]])-1)/(Backend!$B$4/100*Table1[[#This Row],[BW40_3705]]),"")</f>
        <v/>
      </c>
      <c r="I892" s="7" t="str">
        <f>IF(Table1[[#This Row],[Is Data Valid]]=TRUE,((Table1[[#This Row],[Birthweight (grams)]]*1.1/Table1[[#This Row],[BW_GA]])-1)/(Backend!$B$4/100*Table1[[#This Row],[BW40_3705]]),"")</f>
        <v/>
      </c>
      <c r="J892" s="7" t="str">
        <f>IF(Table1[[#This Row],[Is Data Valid]]=TRUE,_xlfn.NORM.S.DIST(Table1[[#This Row],[Birthweight Z-Score]],TRUE)*100,"")</f>
        <v/>
      </c>
      <c r="K892" s="7" t="str">
        <f>IF(Table1[[#This Row],[Is Data Valid]]=TRUE,_xlfn.NORM.S.DIST(Table1[[#This Row],[Birthweight Z-Score (BW-10%)]],TRUE)*100,"")</f>
        <v/>
      </c>
      <c r="L892" s="7" t="str">
        <f>IF(Table1[[#This Row],[Is Data Valid]]=TRUE,_xlfn.NORM.S.DIST(Table1[[#This Row],[Birthweight Z-Score (BW+10%)]],TRUE)*100,"")</f>
        <v/>
      </c>
    </row>
    <row r="893" spans="1:12" x14ac:dyDescent="0.35">
      <c r="A893" s="3"/>
      <c r="B893" s="2"/>
      <c r="C893" s="2"/>
      <c r="D893" s="2" t="b">
        <f>IF(AND(NOT(ISBLANK(Table1[[#This Row],[Fetal Sex (Male, Female or Unknown)]])),ISNUMBER(Table1[[#This Row],[Birthweight (grams)]]),ISNUMBER(Table1[[#This Row],[Gestation (days)]])),TRUE,FALSE)</f>
        <v>0</v>
      </c>
      <c r="E893" s="2" t="str">
        <f>IF(Table1[[#This Row],[Is Data Valid]]=TRUE,IF(Table1[[#This Row],[Fetal Sex (Male, Female or Unknown)]]="Male",Backend!$C$6,IF(Table1[[#This Row],[Fetal Sex (Male, Female or Unknown)]]="Female",Backend!$C$7,IF(Table1[[#This Row],[Fetal Sex (Male, Female or Unknown)]]="Unknown",Backend!$C$8,"Error"))),"")</f>
        <v/>
      </c>
      <c r="F893" s="8" t="str">
        <f>IF(Table1[[#This Row],[Is Data Valid]]=TRUE,EXP(0.578+0.332*((Table1[[#This Row],[Gestation (days)]]+0.5)/7)-0.00354*((Table1[[#This Row],[Gestation (days)]]+0.5)/7)^2)*Table1[[#This Row],[BW40_3705]],"")</f>
        <v/>
      </c>
      <c r="G893" s="2" t="str">
        <f>IF(Table1[[#This Row],[Is Data Valid]]=TRUE,((Table1[[#This Row],[Birthweight (grams)]]/Table1[[#This Row],[BW_GA]])-1)/(Backend!$B$4/100*Table1[[#This Row],[BW40_3705]]),"")</f>
        <v/>
      </c>
      <c r="H893" s="7" t="str">
        <f>IF(Table1[[#This Row],[Is Data Valid]]=TRUE,((Table1[[#This Row],[Birthweight (grams)]]*0.9/Table1[[#This Row],[BW_GA]])-1)/(Backend!$B$4/100*Table1[[#This Row],[BW40_3705]]),"")</f>
        <v/>
      </c>
      <c r="I893" s="7" t="str">
        <f>IF(Table1[[#This Row],[Is Data Valid]]=TRUE,((Table1[[#This Row],[Birthweight (grams)]]*1.1/Table1[[#This Row],[BW_GA]])-1)/(Backend!$B$4/100*Table1[[#This Row],[BW40_3705]]),"")</f>
        <v/>
      </c>
      <c r="J893" s="7" t="str">
        <f>IF(Table1[[#This Row],[Is Data Valid]]=TRUE,_xlfn.NORM.S.DIST(Table1[[#This Row],[Birthweight Z-Score]],TRUE)*100,"")</f>
        <v/>
      </c>
      <c r="K893" s="7" t="str">
        <f>IF(Table1[[#This Row],[Is Data Valid]]=TRUE,_xlfn.NORM.S.DIST(Table1[[#This Row],[Birthweight Z-Score (BW-10%)]],TRUE)*100,"")</f>
        <v/>
      </c>
      <c r="L893" s="7" t="str">
        <f>IF(Table1[[#This Row],[Is Data Valid]]=TRUE,_xlfn.NORM.S.DIST(Table1[[#This Row],[Birthweight Z-Score (BW+10%)]],TRUE)*100,"")</f>
        <v/>
      </c>
    </row>
    <row r="894" spans="1:12" x14ac:dyDescent="0.35">
      <c r="A894" s="3"/>
      <c r="B894" s="2"/>
      <c r="C894" s="2"/>
      <c r="D894" s="2" t="b">
        <f>IF(AND(NOT(ISBLANK(Table1[[#This Row],[Fetal Sex (Male, Female or Unknown)]])),ISNUMBER(Table1[[#This Row],[Birthweight (grams)]]),ISNUMBER(Table1[[#This Row],[Gestation (days)]])),TRUE,FALSE)</f>
        <v>0</v>
      </c>
      <c r="E894" s="2" t="str">
        <f>IF(Table1[[#This Row],[Is Data Valid]]=TRUE,IF(Table1[[#This Row],[Fetal Sex (Male, Female or Unknown)]]="Male",Backend!$C$6,IF(Table1[[#This Row],[Fetal Sex (Male, Female or Unknown)]]="Female",Backend!$C$7,IF(Table1[[#This Row],[Fetal Sex (Male, Female or Unknown)]]="Unknown",Backend!$C$8,"Error"))),"")</f>
        <v/>
      </c>
      <c r="F894" s="8" t="str">
        <f>IF(Table1[[#This Row],[Is Data Valid]]=TRUE,EXP(0.578+0.332*((Table1[[#This Row],[Gestation (days)]]+0.5)/7)-0.00354*((Table1[[#This Row],[Gestation (days)]]+0.5)/7)^2)*Table1[[#This Row],[BW40_3705]],"")</f>
        <v/>
      </c>
      <c r="G894" s="2" t="str">
        <f>IF(Table1[[#This Row],[Is Data Valid]]=TRUE,((Table1[[#This Row],[Birthweight (grams)]]/Table1[[#This Row],[BW_GA]])-1)/(Backend!$B$4/100*Table1[[#This Row],[BW40_3705]]),"")</f>
        <v/>
      </c>
      <c r="H894" s="7" t="str">
        <f>IF(Table1[[#This Row],[Is Data Valid]]=TRUE,((Table1[[#This Row],[Birthweight (grams)]]*0.9/Table1[[#This Row],[BW_GA]])-1)/(Backend!$B$4/100*Table1[[#This Row],[BW40_3705]]),"")</f>
        <v/>
      </c>
      <c r="I894" s="7" t="str">
        <f>IF(Table1[[#This Row],[Is Data Valid]]=TRUE,((Table1[[#This Row],[Birthweight (grams)]]*1.1/Table1[[#This Row],[BW_GA]])-1)/(Backend!$B$4/100*Table1[[#This Row],[BW40_3705]]),"")</f>
        <v/>
      </c>
      <c r="J894" s="7" t="str">
        <f>IF(Table1[[#This Row],[Is Data Valid]]=TRUE,_xlfn.NORM.S.DIST(Table1[[#This Row],[Birthweight Z-Score]],TRUE)*100,"")</f>
        <v/>
      </c>
      <c r="K894" s="7" t="str">
        <f>IF(Table1[[#This Row],[Is Data Valid]]=TRUE,_xlfn.NORM.S.DIST(Table1[[#This Row],[Birthweight Z-Score (BW-10%)]],TRUE)*100,"")</f>
        <v/>
      </c>
      <c r="L894" s="7" t="str">
        <f>IF(Table1[[#This Row],[Is Data Valid]]=TRUE,_xlfn.NORM.S.DIST(Table1[[#This Row],[Birthweight Z-Score (BW+10%)]],TRUE)*100,"")</f>
        <v/>
      </c>
    </row>
    <row r="895" spans="1:12" x14ac:dyDescent="0.35">
      <c r="A895" s="3"/>
      <c r="B895" s="2"/>
      <c r="C895" s="2"/>
      <c r="D895" s="2" t="b">
        <f>IF(AND(NOT(ISBLANK(Table1[[#This Row],[Fetal Sex (Male, Female or Unknown)]])),ISNUMBER(Table1[[#This Row],[Birthweight (grams)]]),ISNUMBER(Table1[[#This Row],[Gestation (days)]])),TRUE,FALSE)</f>
        <v>0</v>
      </c>
      <c r="E895" s="2" t="str">
        <f>IF(Table1[[#This Row],[Is Data Valid]]=TRUE,IF(Table1[[#This Row],[Fetal Sex (Male, Female or Unknown)]]="Male",Backend!$C$6,IF(Table1[[#This Row],[Fetal Sex (Male, Female or Unknown)]]="Female",Backend!$C$7,IF(Table1[[#This Row],[Fetal Sex (Male, Female or Unknown)]]="Unknown",Backend!$C$8,"Error"))),"")</f>
        <v/>
      </c>
      <c r="F895" s="8" t="str">
        <f>IF(Table1[[#This Row],[Is Data Valid]]=TRUE,EXP(0.578+0.332*((Table1[[#This Row],[Gestation (days)]]+0.5)/7)-0.00354*((Table1[[#This Row],[Gestation (days)]]+0.5)/7)^2)*Table1[[#This Row],[BW40_3705]],"")</f>
        <v/>
      </c>
      <c r="G895" s="2" t="str">
        <f>IF(Table1[[#This Row],[Is Data Valid]]=TRUE,((Table1[[#This Row],[Birthweight (grams)]]/Table1[[#This Row],[BW_GA]])-1)/(Backend!$B$4/100*Table1[[#This Row],[BW40_3705]]),"")</f>
        <v/>
      </c>
      <c r="H895" s="7" t="str">
        <f>IF(Table1[[#This Row],[Is Data Valid]]=TRUE,((Table1[[#This Row],[Birthweight (grams)]]*0.9/Table1[[#This Row],[BW_GA]])-1)/(Backend!$B$4/100*Table1[[#This Row],[BW40_3705]]),"")</f>
        <v/>
      </c>
      <c r="I895" s="7" t="str">
        <f>IF(Table1[[#This Row],[Is Data Valid]]=TRUE,((Table1[[#This Row],[Birthweight (grams)]]*1.1/Table1[[#This Row],[BW_GA]])-1)/(Backend!$B$4/100*Table1[[#This Row],[BW40_3705]]),"")</f>
        <v/>
      </c>
      <c r="J895" s="7" t="str">
        <f>IF(Table1[[#This Row],[Is Data Valid]]=TRUE,_xlfn.NORM.S.DIST(Table1[[#This Row],[Birthweight Z-Score]],TRUE)*100,"")</f>
        <v/>
      </c>
      <c r="K895" s="7" t="str">
        <f>IF(Table1[[#This Row],[Is Data Valid]]=TRUE,_xlfn.NORM.S.DIST(Table1[[#This Row],[Birthweight Z-Score (BW-10%)]],TRUE)*100,"")</f>
        <v/>
      </c>
      <c r="L895" s="7" t="str">
        <f>IF(Table1[[#This Row],[Is Data Valid]]=TRUE,_xlfn.NORM.S.DIST(Table1[[#This Row],[Birthweight Z-Score (BW+10%)]],TRUE)*100,"")</f>
        <v/>
      </c>
    </row>
    <row r="896" spans="1:12" x14ac:dyDescent="0.35">
      <c r="A896" s="3"/>
      <c r="B896" s="2"/>
      <c r="C896" s="2"/>
      <c r="D896" s="2" t="b">
        <f>IF(AND(NOT(ISBLANK(Table1[[#This Row],[Fetal Sex (Male, Female or Unknown)]])),ISNUMBER(Table1[[#This Row],[Birthweight (grams)]]),ISNUMBER(Table1[[#This Row],[Gestation (days)]])),TRUE,FALSE)</f>
        <v>0</v>
      </c>
      <c r="E896" s="2" t="str">
        <f>IF(Table1[[#This Row],[Is Data Valid]]=TRUE,IF(Table1[[#This Row],[Fetal Sex (Male, Female or Unknown)]]="Male",Backend!$C$6,IF(Table1[[#This Row],[Fetal Sex (Male, Female or Unknown)]]="Female",Backend!$C$7,IF(Table1[[#This Row],[Fetal Sex (Male, Female or Unknown)]]="Unknown",Backend!$C$8,"Error"))),"")</f>
        <v/>
      </c>
      <c r="F896" s="8" t="str">
        <f>IF(Table1[[#This Row],[Is Data Valid]]=TRUE,EXP(0.578+0.332*((Table1[[#This Row],[Gestation (days)]]+0.5)/7)-0.00354*((Table1[[#This Row],[Gestation (days)]]+0.5)/7)^2)*Table1[[#This Row],[BW40_3705]],"")</f>
        <v/>
      </c>
      <c r="G896" s="2" t="str">
        <f>IF(Table1[[#This Row],[Is Data Valid]]=TRUE,((Table1[[#This Row],[Birthweight (grams)]]/Table1[[#This Row],[BW_GA]])-1)/(Backend!$B$4/100*Table1[[#This Row],[BW40_3705]]),"")</f>
        <v/>
      </c>
      <c r="H896" s="7" t="str">
        <f>IF(Table1[[#This Row],[Is Data Valid]]=TRUE,((Table1[[#This Row],[Birthweight (grams)]]*0.9/Table1[[#This Row],[BW_GA]])-1)/(Backend!$B$4/100*Table1[[#This Row],[BW40_3705]]),"")</f>
        <v/>
      </c>
      <c r="I896" s="7" t="str">
        <f>IF(Table1[[#This Row],[Is Data Valid]]=TRUE,((Table1[[#This Row],[Birthweight (grams)]]*1.1/Table1[[#This Row],[BW_GA]])-1)/(Backend!$B$4/100*Table1[[#This Row],[BW40_3705]]),"")</f>
        <v/>
      </c>
      <c r="J896" s="7" t="str">
        <f>IF(Table1[[#This Row],[Is Data Valid]]=TRUE,_xlfn.NORM.S.DIST(Table1[[#This Row],[Birthweight Z-Score]],TRUE)*100,"")</f>
        <v/>
      </c>
      <c r="K896" s="7" t="str">
        <f>IF(Table1[[#This Row],[Is Data Valid]]=TRUE,_xlfn.NORM.S.DIST(Table1[[#This Row],[Birthweight Z-Score (BW-10%)]],TRUE)*100,"")</f>
        <v/>
      </c>
      <c r="L896" s="7" t="str">
        <f>IF(Table1[[#This Row],[Is Data Valid]]=TRUE,_xlfn.NORM.S.DIST(Table1[[#This Row],[Birthweight Z-Score (BW+10%)]],TRUE)*100,"")</f>
        <v/>
      </c>
    </row>
    <row r="897" spans="1:12" x14ac:dyDescent="0.35">
      <c r="A897" s="3"/>
      <c r="B897" s="2"/>
      <c r="C897" s="2"/>
      <c r="D897" s="2" t="b">
        <f>IF(AND(NOT(ISBLANK(Table1[[#This Row],[Fetal Sex (Male, Female or Unknown)]])),ISNUMBER(Table1[[#This Row],[Birthweight (grams)]]),ISNUMBER(Table1[[#This Row],[Gestation (days)]])),TRUE,FALSE)</f>
        <v>0</v>
      </c>
      <c r="E897" s="2" t="str">
        <f>IF(Table1[[#This Row],[Is Data Valid]]=TRUE,IF(Table1[[#This Row],[Fetal Sex (Male, Female or Unknown)]]="Male",Backend!$C$6,IF(Table1[[#This Row],[Fetal Sex (Male, Female or Unknown)]]="Female",Backend!$C$7,IF(Table1[[#This Row],[Fetal Sex (Male, Female or Unknown)]]="Unknown",Backend!$C$8,"Error"))),"")</f>
        <v/>
      </c>
      <c r="F897" s="8" t="str">
        <f>IF(Table1[[#This Row],[Is Data Valid]]=TRUE,EXP(0.578+0.332*((Table1[[#This Row],[Gestation (days)]]+0.5)/7)-0.00354*((Table1[[#This Row],[Gestation (days)]]+0.5)/7)^2)*Table1[[#This Row],[BW40_3705]],"")</f>
        <v/>
      </c>
      <c r="G897" s="2" t="str">
        <f>IF(Table1[[#This Row],[Is Data Valid]]=TRUE,((Table1[[#This Row],[Birthweight (grams)]]/Table1[[#This Row],[BW_GA]])-1)/(Backend!$B$4/100*Table1[[#This Row],[BW40_3705]]),"")</f>
        <v/>
      </c>
      <c r="H897" s="7" t="str">
        <f>IF(Table1[[#This Row],[Is Data Valid]]=TRUE,((Table1[[#This Row],[Birthweight (grams)]]*0.9/Table1[[#This Row],[BW_GA]])-1)/(Backend!$B$4/100*Table1[[#This Row],[BW40_3705]]),"")</f>
        <v/>
      </c>
      <c r="I897" s="7" t="str">
        <f>IF(Table1[[#This Row],[Is Data Valid]]=TRUE,((Table1[[#This Row],[Birthweight (grams)]]*1.1/Table1[[#This Row],[BW_GA]])-1)/(Backend!$B$4/100*Table1[[#This Row],[BW40_3705]]),"")</f>
        <v/>
      </c>
      <c r="J897" s="7" t="str">
        <f>IF(Table1[[#This Row],[Is Data Valid]]=TRUE,_xlfn.NORM.S.DIST(Table1[[#This Row],[Birthweight Z-Score]],TRUE)*100,"")</f>
        <v/>
      </c>
      <c r="K897" s="7" t="str">
        <f>IF(Table1[[#This Row],[Is Data Valid]]=TRUE,_xlfn.NORM.S.DIST(Table1[[#This Row],[Birthweight Z-Score (BW-10%)]],TRUE)*100,"")</f>
        <v/>
      </c>
      <c r="L897" s="7" t="str">
        <f>IF(Table1[[#This Row],[Is Data Valid]]=TRUE,_xlfn.NORM.S.DIST(Table1[[#This Row],[Birthweight Z-Score (BW+10%)]],TRUE)*100,"")</f>
        <v/>
      </c>
    </row>
    <row r="898" spans="1:12" x14ac:dyDescent="0.35">
      <c r="A898" s="3"/>
      <c r="B898" s="2"/>
      <c r="C898" s="2"/>
      <c r="D898" s="2" t="b">
        <f>IF(AND(NOT(ISBLANK(Table1[[#This Row],[Fetal Sex (Male, Female or Unknown)]])),ISNUMBER(Table1[[#This Row],[Birthweight (grams)]]),ISNUMBER(Table1[[#This Row],[Gestation (days)]])),TRUE,FALSE)</f>
        <v>0</v>
      </c>
      <c r="E898" s="2" t="str">
        <f>IF(Table1[[#This Row],[Is Data Valid]]=TRUE,IF(Table1[[#This Row],[Fetal Sex (Male, Female or Unknown)]]="Male",Backend!$C$6,IF(Table1[[#This Row],[Fetal Sex (Male, Female or Unknown)]]="Female",Backend!$C$7,IF(Table1[[#This Row],[Fetal Sex (Male, Female or Unknown)]]="Unknown",Backend!$C$8,"Error"))),"")</f>
        <v/>
      </c>
      <c r="F898" s="8" t="str">
        <f>IF(Table1[[#This Row],[Is Data Valid]]=TRUE,EXP(0.578+0.332*((Table1[[#This Row],[Gestation (days)]]+0.5)/7)-0.00354*((Table1[[#This Row],[Gestation (days)]]+0.5)/7)^2)*Table1[[#This Row],[BW40_3705]],"")</f>
        <v/>
      </c>
      <c r="G898" s="2" t="str">
        <f>IF(Table1[[#This Row],[Is Data Valid]]=TRUE,((Table1[[#This Row],[Birthweight (grams)]]/Table1[[#This Row],[BW_GA]])-1)/(Backend!$B$4/100*Table1[[#This Row],[BW40_3705]]),"")</f>
        <v/>
      </c>
      <c r="H898" s="7" t="str">
        <f>IF(Table1[[#This Row],[Is Data Valid]]=TRUE,((Table1[[#This Row],[Birthweight (grams)]]*0.9/Table1[[#This Row],[BW_GA]])-1)/(Backend!$B$4/100*Table1[[#This Row],[BW40_3705]]),"")</f>
        <v/>
      </c>
      <c r="I898" s="7" t="str">
        <f>IF(Table1[[#This Row],[Is Data Valid]]=TRUE,((Table1[[#This Row],[Birthweight (grams)]]*1.1/Table1[[#This Row],[BW_GA]])-1)/(Backend!$B$4/100*Table1[[#This Row],[BW40_3705]]),"")</f>
        <v/>
      </c>
      <c r="J898" s="7" t="str">
        <f>IF(Table1[[#This Row],[Is Data Valid]]=TRUE,_xlfn.NORM.S.DIST(Table1[[#This Row],[Birthweight Z-Score]],TRUE)*100,"")</f>
        <v/>
      </c>
      <c r="K898" s="7" t="str">
        <f>IF(Table1[[#This Row],[Is Data Valid]]=TRUE,_xlfn.NORM.S.DIST(Table1[[#This Row],[Birthweight Z-Score (BW-10%)]],TRUE)*100,"")</f>
        <v/>
      </c>
      <c r="L898" s="7" t="str">
        <f>IF(Table1[[#This Row],[Is Data Valid]]=TRUE,_xlfn.NORM.S.DIST(Table1[[#This Row],[Birthweight Z-Score (BW+10%)]],TRUE)*100,"")</f>
        <v/>
      </c>
    </row>
    <row r="899" spans="1:12" x14ac:dyDescent="0.35">
      <c r="A899" s="3"/>
      <c r="B899" s="2"/>
      <c r="C899" s="2"/>
      <c r="D899" s="2" t="b">
        <f>IF(AND(NOT(ISBLANK(Table1[[#This Row],[Fetal Sex (Male, Female or Unknown)]])),ISNUMBER(Table1[[#This Row],[Birthweight (grams)]]),ISNUMBER(Table1[[#This Row],[Gestation (days)]])),TRUE,FALSE)</f>
        <v>0</v>
      </c>
      <c r="E899" s="2" t="str">
        <f>IF(Table1[[#This Row],[Is Data Valid]]=TRUE,IF(Table1[[#This Row],[Fetal Sex (Male, Female or Unknown)]]="Male",Backend!$C$6,IF(Table1[[#This Row],[Fetal Sex (Male, Female or Unknown)]]="Female",Backend!$C$7,IF(Table1[[#This Row],[Fetal Sex (Male, Female or Unknown)]]="Unknown",Backend!$C$8,"Error"))),"")</f>
        <v/>
      </c>
      <c r="F899" s="8" t="str">
        <f>IF(Table1[[#This Row],[Is Data Valid]]=TRUE,EXP(0.578+0.332*((Table1[[#This Row],[Gestation (days)]]+0.5)/7)-0.00354*((Table1[[#This Row],[Gestation (days)]]+0.5)/7)^2)*Table1[[#This Row],[BW40_3705]],"")</f>
        <v/>
      </c>
      <c r="G899" s="2" t="str">
        <f>IF(Table1[[#This Row],[Is Data Valid]]=TRUE,((Table1[[#This Row],[Birthweight (grams)]]/Table1[[#This Row],[BW_GA]])-1)/(Backend!$B$4/100*Table1[[#This Row],[BW40_3705]]),"")</f>
        <v/>
      </c>
      <c r="H899" s="7" t="str">
        <f>IF(Table1[[#This Row],[Is Data Valid]]=TRUE,((Table1[[#This Row],[Birthweight (grams)]]*0.9/Table1[[#This Row],[BW_GA]])-1)/(Backend!$B$4/100*Table1[[#This Row],[BW40_3705]]),"")</f>
        <v/>
      </c>
      <c r="I899" s="7" t="str">
        <f>IF(Table1[[#This Row],[Is Data Valid]]=TRUE,((Table1[[#This Row],[Birthweight (grams)]]*1.1/Table1[[#This Row],[BW_GA]])-1)/(Backend!$B$4/100*Table1[[#This Row],[BW40_3705]]),"")</f>
        <v/>
      </c>
      <c r="J899" s="7" t="str">
        <f>IF(Table1[[#This Row],[Is Data Valid]]=TRUE,_xlfn.NORM.S.DIST(Table1[[#This Row],[Birthweight Z-Score]],TRUE)*100,"")</f>
        <v/>
      </c>
      <c r="K899" s="7" t="str">
        <f>IF(Table1[[#This Row],[Is Data Valid]]=TRUE,_xlfn.NORM.S.DIST(Table1[[#This Row],[Birthweight Z-Score (BW-10%)]],TRUE)*100,"")</f>
        <v/>
      </c>
      <c r="L899" s="7" t="str">
        <f>IF(Table1[[#This Row],[Is Data Valid]]=TRUE,_xlfn.NORM.S.DIST(Table1[[#This Row],[Birthweight Z-Score (BW+10%)]],TRUE)*100,"")</f>
        <v/>
      </c>
    </row>
    <row r="900" spans="1:12" x14ac:dyDescent="0.35">
      <c r="A900" s="3"/>
      <c r="B900" s="2"/>
      <c r="C900" s="2"/>
      <c r="D900" s="2" t="b">
        <f>IF(AND(NOT(ISBLANK(Table1[[#This Row],[Fetal Sex (Male, Female or Unknown)]])),ISNUMBER(Table1[[#This Row],[Birthweight (grams)]]),ISNUMBER(Table1[[#This Row],[Gestation (days)]])),TRUE,FALSE)</f>
        <v>0</v>
      </c>
      <c r="E900" s="2" t="str">
        <f>IF(Table1[[#This Row],[Is Data Valid]]=TRUE,IF(Table1[[#This Row],[Fetal Sex (Male, Female or Unknown)]]="Male",Backend!$C$6,IF(Table1[[#This Row],[Fetal Sex (Male, Female or Unknown)]]="Female",Backend!$C$7,IF(Table1[[#This Row],[Fetal Sex (Male, Female or Unknown)]]="Unknown",Backend!$C$8,"Error"))),"")</f>
        <v/>
      </c>
      <c r="F900" s="8" t="str">
        <f>IF(Table1[[#This Row],[Is Data Valid]]=TRUE,EXP(0.578+0.332*((Table1[[#This Row],[Gestation (days)]]+0.5)/7)-0.00354*((Table1[[#This Row],[Gestation (days)]]+0.5)/7)^2)*Table1[[#This Row],[BW40_3705]],"")</f>
        <v/>
      </c>
      <c r="G900" s="2" t="str">
        <f>IF(Table1[[#This Row],[Is Data Valid]]=TRUE,((Table1[[#This Row],[Birthweight (grams)]]/Table1[[#This Row],[BW_GA]])-1)/(Backend!$B$4/100*Table1[[#This Row],[BW40_3705]]),"")</f>
        <v/>
      </c>
      <c r="H900" s="7" t="str">
        <f>IF(Table1[[#This Row],[Is Data Valid]]=TRUE,((Table1[[#This Row],[Birthweight (grams)]]*0.9/Table1[[#This Row],[BW_GA]])-1)/(Backend!$B$4/100*Table1[[#This Row],[BW40_3705]]),"")</f>
        <v/>
      </c>
      <c r="I900" s="7" t="str">
        <f>IF(Table1[[#This Row],[Is Data Valid]]=TRUE,((Table1[[#This Row],[Birthweight (grams)]]*1.1/Table1[[#This Row],[BW_GA]])-1)/(Backend!$B$4/100*Table1[[#This Row],[BW40_3705]]),"")</f>
        <v/>
      </c>
      <c r="J900" s="7" t="str">
        <f>IF(Table1[[#This Row],[Is Data Valid]]=TRUE,_xlfn.NORM.S.DIST(Table1[[#This Row],[Birthweight Z-Score]],TRUE)*100,"")</f>
        <v/>
      </c>
      <c r="K900" s="7" t="str">
        <f>IF(Table1[[#This Row],[Is Data Valid]]=TRUE,_xlfn.NORM.S.DIST(Table1[[#This Row],[Birthweight Z-Score (BW-10%)]],TRUE)*100,"")</f>
        <v/>
      </c>
      <c r="L900" s="7" t="str">
        <f>IF(Table1[[#This Row],[Is Data Valid]]=TRUE,_xlfn.NORM.S.DIST(Table1[[#This Row],[Birthweight Z-Score (BW+10%)]],TRUE)*100,"")</f>
        <v/>
      </c>
    </row>
    <row r="901" spans="1:12" x14ac:dyDescent="0.35">
      <c r="A901" s="3"/>
      <c r="B901" s="2"/>
      <c r="C901" s="2"/>
      <c r="D901" s="2" t="b">
        <f>IF(AND(NOT(ISBLANK(Table1[[#This Row],[Fetal Sex (Male, Female or Unknown)]])),ISNUMBER(Table1[[#This Row],[Birthweight (grams)]]),ISNUMBER(Table1[[#This Row],[Gestation (days)]])),TRUE,FALSE)</f>
        <v>0</v>
      </c>
      <c r="E901" s="2" t="str">
        <f>IF(Table1[[#This Row],[Is Data Valid]]=TRUE,IF(Table1[[#This Row],[Fetal Sex (Male, Female or Unknown)]]="Male",Backend!$C$6,IF(Table1[[#This Row],[Fetal Sex (Male, Female or Unknown)]]="Female",Backend!$C$7,IF(Table1[[#This Row],[Fetal Sex (Male, Female or Unknown)]]="Unknown",Backend!$C$8,"Error"))),"")</f>
        <v/>
      </c>
      <c r="F901" s="8" t="str">
        <f>IF(Table1[[#This Row],[Is Data Valid]]=TRUE,EXP(0.578+0.332*((Table1[[#This Row],[Gestation (days)]]+0.5)/7)-0.00354*((Table1[[#This Row],[Gestation (days)]]+0.5)/7)^2)*Table1[[#This Row],[BW40_3705]],"")</f>
        <v/>
      </c>
      <c r="G901" s="2" t="str">
        <f>IF(Table1[[#This Row],[Is Data Valid]]=TRUE,((Table1[[#This Row],[Birthweight (grams)]]/Table1[[#This Row],[BW_GA]])-1)/(Backend!$B$4/100*Table1[[#This Row],[BW40_3705]]),"")</f>
        <v/>
      </c>
      <c r="H901" s="7" t="str">
        <f>IF(Table1[[#This Row],[Is Data Valid]]=TRUE,((Table1[[#This Row],[Birthweight (grams)]]*0.9/Table1[[#This Row],[BW_GA]])-1)/(Backend!$B$4/100*Table1[[#This Row],[BW40_3705]]),"")</f>
        <v/>
      </c>
      <c r="I901" s="7" t="str">
        <f>IF(Table1[[#This Row],[Is Data Valid]]=TRUE,((Table1[[#This Row],[Birthweight (grams)]]*1.1/Table1[[#This Row],[BW_GA]])-1)/(Backend!$B$4/100*Table1[[#This Row],[BW40_3705]]),"")</f>
        <v/>
      </c>
      <c r="J901" s="7" t="str">
        <f>IF(Table1[[#This Row],[Is Data Valid]]=TRUE,_xlfn.NORM.S.DIST(Table1[[#This Row],[Birthweight Z-Score]],TRUE)*100,"")</f>
        <v/>
      </c>
      <c r="K901" s="7" t="str">
        <f>IF(Table1[[#This Row],[Is Data Valid]]=TRUE,_xlfn.NORM.S.DIST(Table1[[#This Row],[Birthweight Z-Score (BW-10%)]],TRUE)*100,"")</f>
        <v/>
      </c>
      <c r="L901" s="7" t="str">
        <f>IF(Table1[[#This Row],[Is Data Valid]]=TRUE,_xlfn.NORM.S.DIST(Table1[[#This Row],[Birthweight Z-Score (BW+10%)]],TRUE)*100,"")</f>
        <v/>
      </c>
    </row>
    <row r="902" spans="1:12" x14ac:dyDescent="0.35">
      <c r="A902" s="3"/>
      <c r="B902" s="2"/>
      <c r="C902" s="2"/>
      <c r="D902" s="2" t="b">
        <f>IF(AND(NOT(ISBLANK(Table1[[#This Row],[Fetal Sex (Male, Female or Unknown)]])),ISNUMBER(Table1[[#This Row],[Birthweight (grams)]]),ISNUMBER(Table1[[#This Row],[Gestation (days)]])),TRUE,FALSE)</f>
        <v>0</v>
      </c>
      <c r="E902" s="2" t="str">
        <f>IF(Table1[[#This Row],[Is Data Valid]]=TRUE,IF(Table1[[#This Row],[Fetal Sex (Male, Female or Unknown)]]="Male",Backend!$C$6,IF(Table1[[#This Row],[Fetal Sex (Male, Female or Unknown)]]="Female",Backend!$C$7,IF(Table1[[#This Row],[Fetal Sex (Male, Female or Unknown)]]="Unknown",Backend!$C$8,"Error"))),"")</f>
        <v/>
      </c>
      <c r="F902" s="8" t="str">
        <f>IF(Table1[[#This Row],[Is Data Valid]]=TRUE,EXP(0.578+0.332*((Table1[[#This Row],[Gestation (days)]]+0.5)/7)-0.00354*((Table1[[#This Row],[Gestation (days)]]+0.5)/7)^2)*Table1[[#This Row],[BW40_3705]],"")</f>
        <v/>
      </c>
      <c r="G902" s="2" t="str">
        <f>IF(Table1[[#This Row],[Is Data Valid]]=TRUE,((Table1[[#This Row],[Birthweight (grams)]]/Table1[[#This Row],[BW_GA]])-1)/(Backend!$B$4/100*Table1[[#This Row],[BW40_3705]]),"")</f>
        <v/>
      </c>
      <c r="H902" s="7" t="str">
        <f>IF(Table1[[#This Row],[Is Data Valid]]=TRUE,((Table1[[#This Row],[Birthweight (grams)]]*0.9/Table1[[#This Row],[BW_GA]])-1)/(Backend!$B$4/100*Table1[[#This Row],[BW40_3705]]),"")</f>
        <v/>
      </c>
      <c r="I902" s="7" t="str">
        <f>IF(Table1[[#This Row],[Is Data Valid]]=TRUE,((Table1[[#This Row],[Birthweight (grams)]]*1.1/Table1[[#This Row],[BW_GA]])-1)/(Backend!$B$4/100*Table1[[#This Row],[BW40_3705]]),"")</f>
        <v/>
      </c>
      <c r="J902" s="7" t="str">
        <f>IF(Table1[[#This Row],[Is Data Valid]]=TRUE,_xlfn.NORM.S.DIST(Table1[[#This Row],[Birthweight Z-Score]],TRUE)*100,"")</f>
        <v/>
      </c>
      <c r="K902" s="7" t="str">
        <f>IF(Table1[[#This Row],[Is Data Valid]]=TRUE,_xlfn.NORM.S.DIST(Table1[[#This Row],[Birthweight Z-Score (BW-10%)]],TRUE)*100,"")</f>
        <v/>
      </c>
      <c r="L902" s="7" t="str">
        <f>IF(Table1[[#This Row],[Is Data Valid]]=TRUE,_xlfn.NORM.S.DIST(Table1[[#This Row],[Birthweight Z-Score (BW+10%)]],TRUE)*100,"")</f>
        <v/>
      </c>
    </row>
    <row r="903" spans="1:12" x14ac:dyDescent="0.35">
      <c r="A903" s="3"/>
      <c r="B903" s="2"/>
      <c r="C903" s="2"/>
      <c r="D903" s="2" t="b">
        <f>IF(AND(NOT(ISBLANK(Table1[[#This Row],[Fetal Sex (Male, Female or Unknown)]])),ISNUMBER(Table1[[#This Row],[Birthweight (grams)]]),ISNUMBER(Table1[[#This Row],[Gestation (days)]])),TRUE,FALSE)</f>
        <v>0</v>
      </c>
      <c r="E903" s="2" t="str">
        <f>IF(Table1[[#This Row],[Is Data Valid]]=TRUE,IF(Table1[[#This Row],[Fetal Sex (Male, Female or Unknown)]]="Male",Backend!$C$6,IF(Table1[[#This Row],[Fetal Sex (Male, Female or Unknown)]]="Female",Backend!$C$7,IF(Table1[[#This Row],[Fetal Sex (Male, Female or Unknown)]]="Unknown",Backend!$C$8,"Error"))),"")</f>
        <v/>
      </c>
      <c r="F903" s="8" t="str">
        <f>IF(Table1[[#This Row],[Is Data Valid]]=TRUE,EXP(0.578+0.332*((Table1[[#This Row],[Gestation (days)]]+0.5)/7)-0.00354*((Table1[[#This Row],[Gestation (days)]]+0.5)/7)^2)*Table1[[#This Row],[BW40_3705]],"")</f>
        <v/>
      </c>
      <c r="G903" s="2" t="str">
        <f>IF(Table1[[#This Row],[Is Data Valid]]=TRUE,((Table1[[#This Row],[Birthweight (grams)]]/Table1[[#This Row],[BW_GA]])-1)/(Backend!$B$4/100*Table1[[#This Row],[BW40_3705]]),"")</f>
        <v/>
      </c>
      <c r="H903" s="7" t="str">
        <f>IF(Table1[[#This Row],[Is Data Valid]]=TRUE,((Table1[[#This Row],[Birthweight (grams)]]*0.9/Table1[[#This Row],[BW_GA]])-1)/(Backend!$B$4/100*Table1[[#This Row],[BW40_3705]]),"")</f>
        <v/>
      </c>
      <c r="I903" s="7" t="str">
        <f>IF(Table1[[#This Row],[Is Data Valid]]=TRUE,((Table1[[#This Row],[Birthweight (grams)]]*1.1/Table1[[#This Row],[BW_GA]])-1)/(Backend!$B$4/100*Table1[[#This Row],[BW40_3705]]),"")</f>
        <v/>
      </c>
      <c r="J903" s="7" t="str">
        <f>IF(Table1[[#This Row],[Is Data Valid]]=TRUE,_xlfn.NORM.S.DIST(Table1[[#This Row],[Birthweight Z-Score]],TRUE)*100,"")</f>
        <v/>
      </c>
      <c r="K903" s="7" t="str">
        <f>IF(Table1[[#This Row],[Is Data Valid]]=TRUE,_xlfn.NORM.S.DIST(Table1[[#This Row],[Birthweight Z-Score (BW-10%)]],TRUE)*100,"")</f>
        <v/>
      </c>
      <c r="L903" s="7" t="str">
        <f>IF(Table1[[#This Row],[Is Data Valid]]=TRUE,_xlfn.NORM.S.DIST(Table1[[#This Row],[Birthweight Z-Score (BW+10%)]],TRUE)*100,"")</f>
        <v/>
      </c>
    </row>
    <row r="904" spans="1:12" x14ac:dyDescent="0.35">
      <c r="A904" s="3"/>
      <c r="B904" s="2"/>
      <c r="C904" s="2"/>
      <c r="D904" s="2" t="b">
        <f>IF(AND(NOT(ISBLANK(Table1[[#This Row],[Fetal Sex (Male, Female or Unknown)]])),ISNUMBER(Table1[[#This Row],[Birthweight (grams)]]),ISNUMBER(Table1[[#This Row],[Gestation (days)]])),TRUE,FALSE)</f>
        <v>0</v>
      </c>
      <c r="E904" s="2" t="str">
        <f>IF(Table1[[#This Row],[Is Data Valid]]=TRUE,IF(Table1[[#This Row],[Fetal Sex (Male, Female or Unknown)]]="Male",Backend!$C$6,IF(Table1[[#This Row],[Fetal Sex (Male, Female or Unknown)]]="Female",Backend!$C$7,IF(Table1[[#This Row],[Fetal Sex (Male, Female or Unknown)]]="Unknown",Backend!$C$8,"Error"))),"")</f>
        <v/>
      </c>
      <c r="F904" s="8" t="str">
        <f>IF(Table1[[#This Row],[Is Data Valid]]=TRUE,EXP(0.578+0.332*((Table1[[#This Row],[Gestation (days)]]+0.5)/7)-0.00354*((Table1[[#This Row],[Gestation (days)]]+0.5)/7)^2)*Table1[[#This Row],[BW40_3705]],"")</f>
        <v/>
      </c>
      <c r="G904" s="2" t="str">
        <f>IF(Table1[[#This Row],[Is Data Valid]]=TRUE,((Table1[[#This Row],[Birthweight (grams)]]/Table1[[#This Row],[BW_GA]])-1)/(Backend!$B$4/100*Table1[[#This Row],[BW40_3705]]),"")</f>
        <v/>
      </c>
      <c r="H904" s="7" t="str">
        <f>IF(Table1[[#This Row],[Is Data Valid]]=TRUE,((Table1[[#This Row],[Birthweight (grams)]]*0.9/Table1[[#This Row],[BW_GA]])-1)/(Backend!$B$4/100*Table1[[#This Row],[BW40_3705]]),"")</f>
        <v/>
      </c>
      <c r="I904" s="7" t="str">
        <f>IF(Table1[[#This Row],[Is Data Valid]]=TRUE,((Table1[[#This Row],[Birthweight (grams)]]*1.1/Table1[[#This Row],[BW_GA]])-1)/(Backend!$B$4/100*Table1[[#This Row],[BW40_3705]]),"")</f>
        <v/>
      </c>
      <c r="J904" s="7" t="str">
        <f>IF(Table1[[#This Row],[Is Data Valid]]=TRUE,_xlfn.NORM.S.DIST(Table1[[#This Row],[Birthweight Z-Score]],TRUE)*100,"")</f>
        <v/>
      </c>
      <c r="K904" s="7" t="str">
        <f>IF(Table1[[#This Row],[Is Data Valid]]=TRUE,_xlfn.NORM.S.DIST(Table1[[#This Row],[Birthweight Z-Score (BW-10%)]],TRUE)*100,"")</f>
        <v/>
      </c>
      <c r="L904" s="7" t="str">
        <f>IF(Table1[[#This Row],[Is Data Valid]]=TRUE,_xlfn.NORM.S.DIST(Table1[[#This Row],[Birthweight Z-Score (BW+10%)]],TRUE)*100,"")</f>
        <v/>
      </c>
    </row>
    <row r="905" spans="1:12" x14ac:dyDescent="0.35">
      <c r="A905" s="3"/>
      <c r="B905" s="2"/>
      <c r="C905" s="2"/>
      <c r="D905" s="2" t="b">
        <f>IF(AND(NOT(ISBLANK(Table1[[#This Row],[Fetal Sex (Male, Female or Unknown)]])),ISNUMBER(Table1[[#This Row],[Birthweight (grams)]]),ISNUMBER(Table1[[#This Row],[Gestation (days)]])),TRUE,FALSE)</f>
        <v>0</v>
      </c>
      <c r="E905" s="2" t="str">
        <f>IF(Table1[[#This Row],[Is Data Valid]]=TRUE,IF(Table1[[#This Row],[Fetal Sex (Male, Female or Unknown)]]="Male",Backend!$C$6,IF(Table1[[#This Row],[Fetal Sex (Male, Female or Unknown)]]="Female",Backend!$C$7,IF(Table1[[#This Row],[Fetal Sex (Male, Female or Unknown)]]="Unknown",Backend!$C$8,"Error"))),"")</f>
        <v/>
      </c>
      <c r="F905" s="8" t="str">
        <f>IF(Table1[[#This Row],[Is Data Valid]]=TRUE,EXP(0.578+0.332*((Table1[[#This Row],[Gestation (days)]]+0.5)/7)-0.00354*((Table1[[#This Row],[Gestation (days)]]+0.5)/7)^2)*Table1[[#This Row],[BW40_3705]],"")</f>
        <v/>
      </c>
      <c r="G905" s="2" t="str">
        <f>IF(Table1[[#This Row],[Is Data Valid]]=TRUE,((Table1[[#This Row],[Birthweight (grams)]]/Table1[[#This Row],[BW_GA]])-1)/(Backend!$B$4/100*Table1[[#This Row],[BW40_3705]]),"")</f>
        <v/>
      </c>
      <c r="H905" s="7" t="str">
        <f>IF(Table1[[#This Row],[Is Data Valid]]=TRUE,((Table1[[#This Row],[Birthweight (grams)]]*0.9/Table1[[#This Row],[BW_GA]])-1)/(Backend!$B$4/100*Table1[[#This Row],[BW40_3705]]),"")</f>
        <v/>
      </c>
      <c r="I905" s="7" t="str">
        <f>IF(Table1[[#This Row],[Is Data Valid]]=TRUE,((Table1[[#This Row],[Birthweight (grams)]]*1.1/Table1[[#This Row],[BW_GA]])-1)/(Backend!$B$4/100*Table1[[#This Row],[BW40_3705]]),"")</f>
        <v/>
      </c>
      <c r="J905" s="7" t="str">
        <f>IF(Table1[[#This Row],[Is Data Valid]]=TRUE,_xlfn.NORM.S.DIST(Table1[[#This Row],[Birthweight Z-Score]],TRUE)*100,"")</f>
        <v/>
      </c>
      <c r="K905" s="7" t="str">
        <f>IF(Table1[[#This Row],[Is Data Valid]]=TRUE,_xlfn.NORM.S.DIST(Table1[[#This Row],[Birthweight Z-Score (BW-10%)]],TRUE)*100,"")</f>
        <v/>
      </c>
      <c r="L905" s="7" t="str">
        <f>IF(Table1[[#This Row],[Is Data Valid]]=TRUE,_xlfn.NORM.S.DIST(Table1[[#This Row],[Birthweight Z-Score (BW+10%)]],TRUE)*100,"")</f>
        <v/>
      </c>
    </row>
    <row r="906" spans="1:12" x14ac:dyDescent="0.35">
      <c r="A906" s="3"/>
      <c r="B906" s="2"/>
      <c r="C906" s="2"/>
      <c r="D906" s="2" t="b">
        <f>IF(AND(NOT(ISBLANK(Table1[[#This Row],[Fetal Sex (Male, Female or Unknown)]])),ISNUMBER(Table1[[#This Row],[Birthweight (grams)]]),ISNUMBER(Table1[[#This Row],[Gestation (days)]])),TRUE,FALSE)</f>
        <v>0</v>
      </c>
      <c r="E906" s="2" t="str">
        <f>IF(Table1[[#This Row],[Is Data Valid]]=TRUE,IF(Table1[[#This Row],[Fetal Sex (Male, Female or Unknown)]]="Male",Backend!$C$6,IF(Table1[[#This Row],[Fetal Sex (Male, Female or Unknown)]]="Female",Backend!$C$7,IF(Table1[[#This Row],[Fetal Sex (Male, Female or Unknown)]]="Unknown",Backend!$C$8,"Error"))),"")</f>
        <v/>
      </c>
      <c r="F906" s="8" t="str">
        <f>IF(Table1[[#This Row],[Is Data Valid]]=TRUE,EXP(0.578+0.332*((Table1[[#This Row],[Gestation (days)]]+0.5)/7)-0.00354*((Table1[[#This Row],[Gestation (days)]]+0.5)/7)^2)*Table1[[#This Row],[BW40_3705]],"")</f>
        <v/>
      </c>
      <c r="G906" s="2" t="str">
        <f>IF(Table1[[#This Row],[Is Data Valid]]=TRUE,((Table1[[#This Row],[Birthweight (grams)]]/Table1[[#This Row],[BW_GA]])-1)/(Backend!$B$4/100*Table1[[#This Row],[BW40_3705]]),"")</f>
        <v/>
      </c>
      <c r="H906" s="7" t="str">
        <f>IF(Table1[[#This Row],[Is Data Valid]]=TRUE,((Table1[[#This Row],[Birthweight (grams)]]*0.9/Table1[[#This Row],[BW_GA]])-1)/(Backend!$B$4/100*Table1[[#This Row],[BW40_3705]]),"")</f>
        <v/>
      </c>
      <c r="I906" s="7" t="str">
        <f>IF(Table1[[#This Row],[Is Data Valid]]=TRUE,((Table1[[#This Row],[Birthweight (grams)]]*1.1/Table1[[#This Row],[BW_GA]])-1)/(Backend!$B$4/100*Table1[[#This Row],[BW40_3705]]),"")</f>
        <v/>
      </c>
      <c r="J906" s="7" t="str">
        <f>IF(Table1[[#This Row],[Is Data Valid]]=TRUE,_xlfn.NORM.S.DIST(Table1[[#This Row],[Birthweight Z-Score]],TRUE)*100,"")</f>
        <v/>
      </c>
      <c r="K906" s="7" t="str">
        <f>IF(Table1[[#This Row],[Is Data Valid]]=TRUE,_xlfn.NORM.S.DIST(Table1[[#This Row],[Birthweight Z-Score (BW-10%)]],TRUE)*100,"")</f>
        <v/>
      </c>
      <c r="L906" s="7" t="str">
        <f>IF(Table1[[#This Row],[Is Data Valid]]=TRUE,_xlfn.NORM.S.DIST(Table1[[#This Row],[Birthweight Z-Score (BW+10%)]],TRUE)*100,"")</f>
        <v/>
      </c>
    </row>
    <row r="907" spans="1:12" x14ac:dyDescent="0.35">
      <c r="A907" s="3"/>
      <c r="B907" s="2"/>
      <c r="C907" s="2"/>
      <c r="D907" s="2" t="b">
        <f>IF(AND(NOT(ISBLANK(Table1[[#This Row],[Fetal Sex (Male, Female or Unknown)]])),ISNUMBER(Table1[[#This Row],[Birthweight (grams)]]),ISNUMBER(Table1[[#This Row],[Gestation (days)]])),TRUE,FALSE)</f>
        <v>0</v>
      </c>
      <c r="E907" s="2" t="str">
        <f>IF(Table1[[#This Row],[Is Data Valid]]=TRUE,IF(Table1[[#This Row],[Fetal Sex (Male, Female or Unknown)]]="Male",Backend!$C$6,IF(Table1[[#This Row],[Fetal Sex (Male, Female or Unknown)]]="Female",Backend!$C$7,IF(Table1[[#This Row],[Fetal Sex (Male, Female or Unknown)]]="Unknown",Backend!$C$8,"Error"))),"")</f>
        <v/>
      </c>
      <c r="F907" s="8" t="str">
        <f>IF(Table1[[#This Row],[Is Data Valid]]=TRUE,EXP(0.578+0.332*((Table1[[#This Row],[Gestation (days)]]+0.5)/7)-0.00354*((Table1[[#This Row],[Gestation (days)]]+0.5)/7)^2)*Table1[[#This Row],[BW40_3705]],"")</f>
        <v/>
      </c>
      <c r="G907" s="2" t="str">
        <f>IF(Table1[[#This Row],[Is Data Valid]]=TRUE,((Table1[[#This Row],[Birthweight (grams)]]/Table1[[#This Row],[BW_GA]])-1)/(Backend!$B$4/100*Table1[[#This Row],[BW40_3705]]),"")</f>
        <v/>
      </c>
      <c r="H907" s="7" t="str">
        <f>IF(Table1[[#This Row],[Is Data Valid]]=TRUE,((Table1[[#This Row],[Birthweight (grams)]]*0.9/Table1[[#This Row],[BW_GA]])-1)/(Backend!$B$4/100*Table1[[#This Row],[BW40_3705]]),"")</f>
        <v/>
      </c>
      <c r="I907" s="7" t="str">
        <f>IF(Table1[[#This Row],[Is Data Valid]]=TRUE,((Table1[[#This Row],[Birthweight (grams)]]*1.1/Table1[[#This Row],[BW_GA]])-1)/(Backend!$B$4/100*Table1[[#This Row],[BW40_3705]]),"")</f>
        <v/>
      </c>
      <c r="J907" s="7" t="str">
        <f>IF(Table1[[#This Row],[Is Data Valid]]=TRUE,_xlfn.NORM.S.DIST(Table1[[#This Row],[Birthweight Z-Score]],TRUE)*100,"")</f>
        <v/>
      </c>
      <c r="K907" s="7" t="str">
        <f>IF(Table1[[#This Row],[Is Data Valid]]=TRUE,_xlfn.NORM.S.DIST(Table1[[#This Row],[Birthweight Z-Score (BW-10%)]],TRUE)*100,"")</f>
        <v/>
      </c>
      <c r="L907" s="7" t="str">
        <f>IF(Table1[[#This Row],[Is Data Valid]]=TRUE,_xlfn.NORM.S.DIST(Table1[[#This Row],[Birthweight Z-Score (BW+10%)]],TRUE)*100,"")</f>
        <v/>
      </c>
    </row>
    <row r="908" spans="1:12" x14ac:dyDescent="0.35">
      <c r="A908" s="3"/>
      <c r="B908" s="2"/>
      <c r="C908" s="2"/>
      <c r="D908" s="2" t="b">
        <f>IF(AND(NOT(ISBLANK(Table1[[#This Row],[Fetal Sex (Male, Female or Unknown)]])),ISNUMBER(Table1[[#This Row],[Birthweight (grams)]]),ISNUMBER(Table1[[#This Row],[Gestation (days)]])),TRUE,FALSE)</f>
        <v>0</v>
      </c>
      <c r="E908" s="2" t="str">
        <f>IF(Table1[[#This Row],[Is Data Valid]]=TRUE,IF(Table1[[#This Row],[Fetal Sex (Male, Female or Unknown)]]="Male",Backend!$C$6,IF(Table1[[#This Row],[Fetal Sex (Male, Female or Unknown)]]="Female",Backend!$C$7,IF(Table1[[#This Row],[Fetal Sex (Male, Female or Unknown)]]="Unknown",Backend!$C$8,"Error"))),"")</f>
        <v/>
      </c>
      <c r="F908" s="8" t="str">
        <f>IF(Table1[[#This Row],[Is Data Valid]]=TRUE,EXP(0.578+0.332*((Table1[[#This Row],[Gestation (days)]]+0.5)/7)-0.00354*((Table1[[#This Row],[Gestation (days)]]+0.5)/7)^2)*Table1[[#This Row],[BW40_3705]],"")</f>
        <v/>
      </c>
      <c r="G908" s="2" t="str">
        <f>IF(Table1[[#This Row],[Is Data Valid]]=TRUE,((Table1[[#This Row],[Birthweight (grams)]]/Table1[[#This Row],[BW_GA]])-1)/(Backend!$B$4/100*Table1[[#This Row],[BW40_3705]]),"")</f>
        <v/>
      </c>
      <c r="H908" s="7" t="str">
        <f>IF(Table1[[#This Row],[Is Data Valid]]=TRUE,((Table1[[#This Row],[Birthweight (grams)]]*0.9/Table1[[#This Row],[BW_GA]])-1)/(Backend!$B$4/100*Table1[[#This Row],[BW40_3705]]),"")</f>
        <v/>
      </c>
      <c r="I908" s="7" t="str">
        <f>IF(Table1[[#This Row],[Is Data Valid]]=TRUE,((Table1[[#This Row],[Birthweight (grams)]]*1.1/Table1[[#This Row],[BW_GA]])-1)/(Backend!$B$4/100*Table1[[#This Row],[BW40_3705]]),"")</f>
        <v/>
      </c>
      <c r="J908" s="7" t="str">
        <f>IF(Table1[[#This Row],[Is Data Valid]]=TRUE,_xlfn.NORM.S.DIST(Table1[[#This Row],[Birthweight Z-Score]],TRUE)*100,"")</f>
        <v/>
      </c>
      <c r="K908" s="7" t="str">
        <f>IF(Table1[[#This Row],[Is Data Valid]]=TRUE,_xlfn.NORM.S.DIST(Table1[[#This Row],[Birthweight Z-Score (BW-10%)]],TRUE)*100,"")</f>
        <v/>
      </c>
      <c r="L908" s="7" t="str">
        <f>IF(Table1[[#This Row],[Is Data Valid]]=TRUE,_xlfn.NORM.S.DIST(Table1[[#This Row],[Birthweight Z-Score (BW+10%)]],TRUE)*100,"")</f>
        <v/>
      </c>
    </row>
    <row r="909" spans="1:12" x14ac:dyDescent="0.35">
      <c r="A909" s="3"/>
      <c r="B909" s="2"/>
      <c r="C909" s="2"/>
      <c r="D909" s="2" t="b">
        <f>IF(AND(NOT(ISBLANK(Table1[[#This Row],[Fetal Sex (Male, Female or Unknown)]])),ISNUMBER(Table1[[#This Row],[Birthweight (grams)]]),ISNUMBER(Table1[[#This Row],[Gestation (days)]])),TRUE,FALSE)</f>
        <v>0</v>
      </c>
      <c r="E909" s="2" t="str">
        <f>IF(Table1[[#This Row],[Is Data Valid]]=TRUE,IF(Table1[[#This Row],[Fetal Sex (Male, Female or Unknown)]]="Male",Backend!$C$6,IF(Table1[[#This Row],[Fetal Sex (Male, Female or Unknown)]]="Female",Backend!$C$7,IF(Table1[[#This Row],[Fetal Sex (Male, Female or Unknown)]]="Unknown",Backend!$C$8,"Error"))),"")</f>
        <v/>
      </c>
      <c r="F909" s="8" t="str">
        <f>IF(Table1[[#This Row],[Is Data Valid]]=TRUE,EXP(0.578+0.332*((Table1[[#This Row],[Gestation (days)]]+0.5)/7)-0.00354*((Table1[[#This Row],[Gestation (days)]]+0.5)/7)^2)*Table1[[#This Row],[BW40_3705]],"")</f>
        <v/>
      </c>
      <c r="G909" s="2" t="str">
        <f>IF(Table1[[#This Row],[Is Data Valid]]=TRUE,((Table1[[#This Row],[Birthweight (grams)]]/Table1[[#This Row],[BW_GA]])-1)/(Backend!$B$4/100*Table1[[#This Row],[BW40_3705]]),"")</f>
        <v/>
      </c>
      <c r="H909" s="7" t="str">
        <f>IF(Table1[[#This Row],[Is Data Valid]]=TRUE,((Table1[[#This Row],[Birthweight (grams)]]*0.9/Table1[[#This Row],[BW_GA]])-1)/(Backend!$B$4/100*Table1[[#This Row],[BW40_3705]]),"")</f>
        <v/>
      </c>
      <c r="I909" s="7" t="str">
        <f>IF(Table1[[#This Row],[Is Data Valid]]=TRUE,((Table1[[#This Row],[Birthweight (grams)]]*1.1/Table1[[#This Row],[BW_GA]])-1)/(Backend!$B$4/100*Table1[[#This Row],[BW40_3705]]),"")</f>
        <v/>
      </c>
      <c r="J909" s="7" t="str">
        <f>IF(Table1[[#This Row],[Is Data Valid]]=TRUE,_xlfn.NORM.S.DIST(Table1[[#This Row],[Birthweight Z-Score]],TRUE)*100,"")</f>
        <v/>
      </c>
      <c r="K909" s="7" t="str">
        <f>IF(Table1[[#This Row],[Is Data Valid]]=TRUE,_xlfn.NORM.S.DIST(Table1[[#This Row],[Birthweight Z-Score (BW-10%)]],TRUE)*100,"")</f>
        <v/>
      </c>
      <c r="L909" s="7" t="str">
        <f>IF(Table1[[#This Row],[Is Data Valid]]=TRUE,_xlfn.NORM.S.DIST(Table1[[#This Row],[Birthweight Z-Score (BW+10%)]],TRUE)*100,"")</f>
        <v/>
      </c>
    </row>
    <row r="910" spans="1:12" x14ac:dyDescent="0.35">
      <c r="A910" s="3"/>
      <c r="B910" s="2"/>
      <c r="C910" s="2"/>
      <c r="D910" s="2" t="b">
        <f>IF(AND(NOT(ISBLANK(Table1[[#This Row],[Fetal Sex (Male, Female or Unknown)]])),ISNUMBER(Table1[[#This Row],[Birthweight (grams)]]),ISNUMBER(Table1[[#This Row],[Gestation (days)]])),TRUE,FALSE)</f>
        <v>0</v>
      </c>
      <c r="E910" s="2" t="str">
        <f>IF(Table1[[#This Row],[Is Data Valid]]=TRUE,IF(Table1[[#This Row],[Fetal Sex (Male, Female or Unknown)]]="Male",Backend!$C$6,IF(Table1[[#This Row],[Fetal Sex (Male, Female or Unknown)]]="Female",Backend!$C$7,IF(Table1[[#This Row],[Fetal Sex (Male, Female or Unknown)]]="Unknown",Backend!$C$8,"Error"))),"")</f>
        <v/>
      </c>
      <c r="F910" s="8" t="str">
        <f>IF(Table1[[#This Row],[Is Data Valid]]=TRUE,EXP(0.578+0.332*((Table1[[#This Row],[Gestation (days)]]+0.5)/7)-0.00354*((Table1[[#This Row],[Gestation (days)]]+0.5)/7)^2)*Table1[[#This Row],[BW40_3705]],"")</f>
        <v/>
      </c>
      <c r="G910" s="2" t="str">
        <f>IF(Table1[[#This Row],[Is Data Valid]]=TRUE,((Table1[[#This Row],[Birthweight (grams)]]/Table1[[#This Row],[BW_GA]])-1)/(Backend!$B$4/100*Table1[[#This Row],[BW40_3705]]),"")</f>
        <v/>
      </c>
      <c r="H910" s="7" t="str">
        <f>IF(Table1[[#This Row],[Is Data Valid]]=TRUE,((Table1[[#This Row],[Birthweight (grams)]]*0.9/Table1[[#This Row],[BW_GA]])-1)/(Backend!$B$4/100*Table1[[#This Row],[BW40_3705]]),"")</f>
        <v/>
      </c>
      <c r="I910" s="7" t="str">
        <f>IF(Table1[[#This Row],[Is Data Valid]]=TRUE,((Table1[[#This Row],[Birthweight (grams)]]*1.1/Table1[[#This Row],[BW_GA]])-1)/(Backend!$B$4/100*Table1[[#This Row],[BW40_3705]]),"")</f>
        <v/>
      </c>
      <c r="J910" s="7" t="str">
        <f>IF(Table1[[#This Row],[Is Data Valid]]=TRUE,_xlfn.NORM.S.DIST(Table1[[#This Row],[Birthweight Z-Score]],TRUE)*100,"")</f>
        <v/>
      </c>
      <c r="K910" s="7" t="str">
        <f>IF(Table1[[#This Row],[Is Data Valid]]=TRUE,_xlfn.NORM.S.DIST(Table1[[#This Row],[Birthweight Z-Score (BW-10%)]],TRUE)*100,"")</f>
        <v/>
      </c>
      <c r="L910" s="7" t="str">
        <f>IF(Table1[[#This Row],[Is Data Valid]]=TRUE,_xlfn.NORM.S.DIST(Table1[[#This Row],[Birthweight Z-Score (BW+10%)]],TRUE)*100,"")</f>
        <v/>
      </c>
    </row>
    <row r="911" spans="1:12" x14ac:dyDescent="0.35">
      <c r="A911" s="3"/>
      <c r="B911" s="2"/>
      <c r="C911" s="2"/>
      <c r="D911" s="2" t="b">
        <f>IF(AND(NOT(ISBLANK(Table1[[#This Row],[Fetal Sex (Male, Female or Unknown)]])),ISNUMBER(Table1[[#This Row],[Birthweight (grams)]]),ISNUMBER(Table1[[#This Row],[Gestation (days)]])),TRUE,FALSE)</f>
        <v>0</v>
      </c>
      <c r="E911" s="2" t="str">
        <f>IF(Table1[[#This Row],[Is Data Valid]]=TRUE,IF(Table1[[#This Row],[Fetal Sex (Male, Female or Unknown)]]="Male",Backend!$C$6,IF(Table1[[#This Row],[Fetal Sex (Male, Female or Unknown)]]="Female",Backend!$C$7,IF(Table1[[#This Row],[Fetal Sex (Male, Female or Unknown)]]="Unknown",Backend!$C$8,"Error"))),"")</f>
        <v/>
      </c>
      <c r="F911" s="8" t="str">
        <f>IF(Table1[[#This Row],[Is Data Valid]]=TRUE,EXP(0.578+0.332*((Table1[[#This Row],[Gestation (days)]]+0.5)/7)-0.00354*((Table1[[#This Row],[Gestation (days)]]+0.5)/7)^2)*Table1[[#This Row],[BW40_3705]],"")</f>
        <v/>
      </c>
      <c r="G911" s="2" t="str">
        <f>IF(Table1[[#This Row],[Is Data Valid]]=TRUE,((Table1[[#This Row],[Birthweight (grams)]]/Table1[[#This Row],[BW_GA]])-1)/(Backend!$B$4/100*Table1[[#This Row],[BW40_3705]]),"")</f>
        <v/>
      </c>
      <c r="H911" s="7" t="str">
        <f>IF(Table1[[#This Row],[Is Data Valid]]=TRUE,((Table1[[#This Row],[Birthweight (grams)]]*0.9/Table1[[#This Row],[BW_GA]])-1)/(Backend!$B$4/100*Table1[[#This Row],[BW40_3705]]),"")</f>
        <v/>
      </c>
      <c r="I911" s="7" t="str">
        <f>IF(Table1[[#This Row],[Is Data Valid]]=TRUE,((Table1[[#This Row],[Birthweight (grams)]]*1.1/Table1[[#This Row],[BW_GA]])-1)/(Backend!$B$4/100*Table1[[#This Row],[BW40_3705]]),"")</f>
        <v/>
      </c>
      <c r="J911" s="7" t="str">
        <f>IF(Table1[[#This Row],[Is Data Valid]]=TRUE,_xlfn.NORM.S.DIST(Table1[[#This Row],[Birthweight Z-Score]],TRUE)*100,"")</f>
        <v/>
      </c>
      <c r="K911" s="7" t="str">
        <f>IF(Table1[[#This Row],[Is Data Valid]]=TRUE,_xlfn.NORM.S.DIST(Table1[[#This Row],[Birthweight Z-Score (BW-10%)]],TRUE)*100,"")</f>
        <v/>
      </c>
      <c r="L911" s="7" t="str">
        <f>IF(Table1[[#This Row],[Is Data Valid]]=TRUE,_xlfn.NORM.S.DIST(Table1[[#This Row],[Birthweight Z-Score (BW+10%)]],TRUE)*100,"")</f>
        <v/>
      </c>
    </row>
    <row r="912" spans="1:12" x14ac:dyDescent="0.35">
      <c r="A912" s="3"/>
      <c r="B912" s="2"/>
      <c r="C912" s="2"/>
      <c r="D912" s="2" t="b">
        <f>IF(AND(NOT(ISBLANK(Table1[[#This Row],[Fetal Sex (Male, Female or Unknown)]])),ISNUMBER(Table1[[#This Row],[Birthweight (grams)]]),ISNUMBER(Table1[[#This Row],[Gestation (days)]])),TRUE,FALSE)</f>
        <v>0</v>
      </c>
      <c r="E912" s="2" t="str">
        <f>IF(Table1[[#This Row],[Is Data Valid]]=TRUE,IF(Table1[[#This Row],[Fetal Sex (Male, Female or Unknown)]]="Male",Backend!$C$6,IF(Table1[[#This Row],[Fetal Sex (Male, Female or Unknown)]]="Female",Backend!$C$7,IF(Table1[[#This Row],[Fetal Sex (Male, Female or Unknown)]]="Unknown",Backend!$C$8,"Error"))),"")</f>
        <v/>
      </c>
      <c r="F912" s="8" t="str">
        <f>IF(Table1[[#This Row],[Is Data Valid]]=TRUE,EXP(0.578+0.332*((Table1[[#This Row],[Gestation (days)]]+0.5)/7)-0.00354*((Table1[[#This Row],[Gestation (days)]]+0.5)/7)^2)*Table1[[#This Row],[BW40_3705]],"")</f>
        <v/>
      </c>
      <c r="G912" s="2" t="str">
        <f>IF(Table1[[#This Row],[Is Data Valid]]=TRUE,((Table1[[#This Row],[Birthweight (grams)]]/Table1[[#This Row],[BW_GA]])-1)/(Backend!$B$4/100*Table1[[#This Row],[BW40_3705]]),"")</f>
        <v/>
      </c>
      <c r="H912" s="7" t="str">
        <f>IF(Table1[[#This Row],[Is Data Valid]]=TRUE,((Table1[[#This Row],[Birthweight (grams)]]*0.9/Table1[[#This Row],[BW_GA]])-1)/(Backend!$B$4/100*Table1[[#This Row],[BW40_3705]]),"")</f>
        <v/>
      </c>
      <c r="I912" s="7" t="str">
        <f>IF(Table1[[#This Row],[Is Data Valid]]=TRUE,((Table1[[#This Row],[Birthweight (grams)]]*1.1/Table1[[#This Row],[BW_GA]])-1)/(Backend!$B$4/100*Table1[[#This Row],[BW40_3705]]),"")</f>
        <v/>
      </c>
      <c r="J912" s="7" t="str">
        <f>IF(Table1[[#This Row],[Is Data Valid]]=TRUE,_xlfn.NORM.S.DIST(Table1[[#This Row],[Birthweight Z-Score]],TRUE)*100,"")</f>
        <v/>
      </c>
      <c r="K912" s="7" t="str">
        <f>IF(Table1[[#This Row],[Is Data Valid]]=TRUE,_xlfn.NORM.S.DIST(Table1[[#This Row],[Birthweight Z-Score (BW-10%)]],TRUE)*100,"")</f>
        <v/>
      </c>
      <c r="L912" s="7" t="str">
        <f>IF(Table1[[#This Row],[Is Data Valid]]=TRUE,_xlfn.NORM.S.DIST(Table1[[#This Row],[Birthweight Z-Score (BW+10%)]],TRUE)*100,"")</f>
        <v/>
      </c>
    </row>
    <row r="913" spans="1:12" x14ac:dyDescent="0.35">
      <c r="A913" s="3"/>
      <c r="B913" s="2"/>
      <c r="C913" s="2"/>
      <c r="D913" s="2" t="b">
        <f>IF(AND(NOT(ISBLANK(Table1[[#This Row],[Fetal Sex (Male, Female or Unknown)]])),ISNUMBER(Table1[[#This Row],[Birthweight (grams)]]),ISNUMBER(Table1[[#This Row],[Gestation (days)]])),TRUE,FALSE)</f>
        <v>0</v>
      </c>
      <c r="E913" s="2" t="str">
        <f>IF(Table1[[#This Row],[Is Data Valid]]=TRUE,IF(Table1[[#This Row],[Fetal Sex (Male, Female or Unknown)]]="Male",Backend!$C$6,IF(Table1[[#This Row],[Fetal Sex (Male, Female or Unknown)]]="Female",Backend!$C$7,IF(Table1[[#This Row],[Fetal Sex (Male, Female or Unknown)]]="Unknown",Backend!$C$8,"Error"))),"")</f>
        <v/>
      </c>
      <c r="F913" s="8" t="str">
        <f>IF(Table1[[#This Row],[Is Data Valid]]=TRUE,EXP(0.578+0.332*((Table1[[#This Row],[Gestation (days)]]+0.5)/7)-0.00354*((Table1[[#This Row],[Gestation (days)]]+0.5)/7)^2)*Table1[[#This Row],[BW40_3705]],"")</f>
        <v/>
      </c>
      <c r="G913" s="2" t="str">
        <f>IF(Table1[[#This Row],[Is Data Valid]]=TRUE,((Table1[[#This Row],[Birthweight (grams)]]/Table1[[#This Row],[BW_GA]])-1)/(Backend!$B$4/100*Table1[[#This Row],[BW40_3705]]),"")</f>
        <v/>
      </c>
      <c r="H913" s="7" t="str">
        <f>IF(Table1[[#This Row],[Is Data Valid]]=TRUE,((Table1[[#This Row],[Birthweight (grams)]]*0.9/Table1[[#This Row],[BW_GA]])-1)/(Backend!$B$4/100*Table1[[#This Row],[BW40_3705]]),"")</f>
        <v/>
      </c>
      <c r="I913" s="7" t="str">
        <f>IF(Table1[[#This Row],[Is Data Valid]]=TRUE,((Table1[[#This Row],[Birthweight (grams)]]*1.1/Table1[[#This Row],[BW_GA]])-1)/(Backend!$B$4/100*Table1[[#This Row],[BW40_3705]]),"")</f>
        <v/>
      </c>
      <c r="J913" s="7" t="str">
        <f>IF(Table1[[#This Row],[Is Data Valid]]=TRUE,_xlfn.NORM.S.DIST(Table1[[#This Row],[Birthweight Z-Score]],TRUE)*100,"")</f>
        <v/>
      </c>
      <c r="K913" s="7" t="str">
        <f>IF(Table1[[#This Row],[Is Data Valid]]=TRUE,_xlfn.NORM.S.DIST(Table1[[#This Row],[Birthweight Z-Score (BW-10%)]],TRUE)*100,"")</f>
        <v/>
      </c>
      <c r="L913" s="7" t="str">
        <f>IF(Table1[[#This Row],[Is Data Valid]]=TRUE,_xlfn.NORM.S.DIST(Table1[[#This Row],[Birthweight Z-Score (BW+10%)]],TRUE)*100,"")</f>
        <v/>
      </c>
    </row>
    <row r="914" spans="1:12" x14ac:dyDescent="0.35">
      <c r="A914" s="3"/>
      <c r="B914" s="2"/>
      <c r="C914" s="2"/>
      <c r="D914" s="2" t="b">
        <f>IF(AND(NOT(ISBLANK(Table1[[#This Row],[Fetal Sex (Male, Female or Unknown)]])),ISNUMBER(Table1[[#This Row],[Birthweight (grams)]]),ISNUMBER(Table1[[#This Row],[Gestation (days)]])),TRUE,FALSE)</f>
        <v>0</v>
      </c>
      <c r="E914" s="2" t="str">
        <f>IF(Table1[[#This Row],[Is Data Valid]]=TRUE,IF(Table1[[#This Row],[Fetal Sex (Male, Female or Unknown)]]="Male",Backend!$C$6,IF(Table1[[#This Row],[Fetal Sex (Male, Female or Unknown)]]="Female",Backend!$C$7,IF(Table1[[#This Row],[Fetal Sex (Male, Female or Unknown)]]="Unknown",Backend!$C$8,"Error"))),"")</f>
        <v/>
      </c>
      <c r="F914" s="8" t="str">
        <f>IF(Table1[[#This Row],[Is Data Valid]]=TRUE,EXP(0.578+0.332*((Table1[[#This Row],[Gestation (days)]]+0.5)/7)-0.00354*((Table1[[#This Row],[Gestation (days)]]+0.5)/7)^2)*Table1[[#This Row],[BW40_3705]],"")</f>
        <v/>
      </c>
      <c r="G914" s="2" t="str">
        <f>IF(Table1[[#This Row],[Is Data Valid]]=TRUE,((Table1[[#This Row],[Birthweight (grams)]]/Table1[[#This Row],[BW_GA]])-1)/(Backend!$B$4/100*Table1[[#This Row],[BW40_3705]]),"")</f>
        <v/>
      </c>
      <c r="H914" s="7" t="str">
        <f>IF(Table1[[#This Row],[Is Data Valid]]=TRUE,((Table1[[#This Row],[Birthweight (grams)]]*0.9/Table1[[#This Row],[BW_GA]])-1)/(Backend!$B$4/100*Table1[[#This Row],[BW40_3705]]),"")</f>
        <v/>
      </c>
      <c r="I914" s="7" t="str">
        <f>IF(Table1[[#This Row],[Is Data Valid]]=TRUE,((Table1[[#This Row],[Birthweight (grams)]]*1.1/Table1[[#This Row],[BW_GA]])-1)/(Backend!$B$4/100*Table1[[#This Row],[BW40_3705]]),"")</f>
        <v/>
      </c>
      <c r="J914" s="7" t="str">
        <f>IF(Table1[[#This Row],[Is Data Valid]]=TRUE,_xlfn.NORM.S.DIST(Table1[[#This Row],[Birthweight Z-Score]],TRUE)*100,"")</f>
        <v/>
      </c>
      <c r="K914" s="7" t="str">
        <f>IF(Table1[[#This Row],[Is Data Valid]]=TRUE,_xlfn.NORM.S.DIST(Table1[[#This Row],[Birthweight Z-Score (BW-10%)]],TRUE)*100,"")</f>
        <v/>
      </c>
      <c r="L914" s="7" t="str">
        <f>IF(Table1[[#This Row],[Is Data Valid]]=TRUE,_xlfn.NORM.S.DIST(Table1[[#This Row],[Birthweight Z-Score (BW+10%)]],TRUE)*100,"")</f>
        <v/>
      </c>
    </row>
    <row r="915" spans="1:12" x14ac:dyDescent="0.35">
      <c r="A915" s="3"/>
      <c r="B915" s="2"/>
      <c r="C915" s="2"/>
      <c r="D915" s="2" t="b">
        <f>IF(AND(NOT(ISBLANK(Table1[[#This Row],[Fetal Sex (Male, Female or Unknown)]])),ISNUMBER(Table1[[#This Row],[Birthweight (grams)]]),ISNUMBER(Table1[[#This Row],[Gestation (days)]])),TRUE,FALSE)</f>
        <v>0</v>
      </c>
      <c r="E915" s="2" t="str">
        <f>IF(Table1[[#This Row],[Is Data Valid]]=TRUE,IF(Table1[[#This Row],[Fetal Sex (Male, Female or Unknown)]]="Male",Backend!$C$6,IF(Table1[[#This Row],[Fetal Sex (Male, Female or Unknown)]]="Female",Backend!$C$7,IF(Table1[[#This Row],[Fetal Sex (Male, Female or Unknown)]]="Unknown",Backend!$C$8,"Error"))),"")</f>
        <v/>
      </c>
      <c r="F915" s="8" t="str">
        <f>IF(Table1[[#This Row],[Is Data Valid]]=TRUE,EXP(0.578+0.332*((Table1[[#This Row],[Gestation (days)]]+0.5)/7)-0.00354*((Table1[[#This Row],[Gestation (days)]]+0.5)/7)^2)*Table1[[#This Row],[BW40_3705]],"")</f>
        <v/>
      </c>
      <c r="G915" s="2" t="str">
        <f>IF(Table1[[#This Row],[Is Data Valid]]=TRUE,((Table1[[#This Row],[Birthweight (grams)]]/Table1[[#This Row],[BW_GA]])-1)/(Backend!$B$4/100*Table1[[#This Row],[BW40_3705]]),"")</f>
        <v/>
      </c>
      <c r="H915" s="7" t="str">
        <f>IF(Table1[[#This Row],[Is Data Valid]]=TRUE,((Table1[[#This Row],[Birthweight (grams)]]*0.9/Table1[[#This Row],[BW_GA]])-1)/(Backend!$B$4/100*Table1[[#This Row],[BW40_3705]]),"")</f>
        <v/>
      </c>
      <c r="I915" s="7" t="str">
        <f>IF(Table1[[#This Row],[Is Data Valid]]=TRUE,((Table1[[#This Row],[Birthweight (grams)]]*1.1/Table1[[#This Row],[BW_GA]])-1)/(Backend!$B$4/100*Table1[[#This Row],[BW40_3705]]),"")</f>
        <v/>
      </c>
      <c r="J915" s="7" t="str">
        <f>IF(Table1[[#This Row],[Is Data Valid]]=TRUE,_xlfn.NORM.S.DIST(Table1[[#This Row],[Birthweight Z-Score]],TRUE)*100,"")</f>
        <v/>
      </c>
      <c r="K915" s="7" t="str">
        <f>IF(Table1[[#This Row],[Is Data Valid]]=TRUE,_xlfn.NORM.S.DIST(Table1[[#This Row],[Birthweight Z-Score (BW-10%)]],TRUE)*100,"")</f>
        <v/>
      </c>
      <c r="L915" s="7" t="str">
        <f>IF(Table1[[#This Row],[Is Data Valid]]=TRUE,_xlfn.NORM.S.DIST(Table1[[#This Row],[Birthweight Z-Score (BW+10%)]],TRUE)*100,"")</f>
        <v/>
      </c>
    </row>
    <row r="916" spans="1:12" x14ac:dyDescent="0.35">
      <c r="A916" s="3"/>
      <c r="B916" s="2"/>
      <c r="C916" s="2"/>
      <c r="D916" s="2" t="b">
        <f>IF(AND(NOT(ISBLANK(Table1[[#This Row],[Fetal Sex (Male, Female or Unknown)]])),ISNUMBER(Table1[[#This Row],[Birthweight (grams)]]),ISNUMBER(Table1[[#This Row],[Gestation (days)]])),TRUE,FALSE)</f>
        <v>0</v>
      </c>
      <c r="E916" s="2" t="str">
        <f>IF(Table1[[#This Row],[Is Data Valid]]=TRUE,IF(Table1[[#This Row],[Fetal Sex (Male, Female or Unknown)]]="Male",Backend!$C$6,IF(Table1[[#This Row],[Fetal Sex (Male, Female or Unknown)]]="Female",Backend!$C$7,IF(Table1[[#This Row],[Fetal Sex (Male, Female or Unknown)]]="Unknown",Backend!$C$8,"Error"))),"")</f>
        <v/>
      </c>
      <c r="F916" s="8" t="str">
        <f>IF(Table1[[#This Row],[Is Data Valid]]=TRUE,EXP(0.578+0.332*((Table1[[#This Row],[Gestation (days)]]+0.5)/7)-0.00354*((Table1[[#This Row],[Gestation (days)]]+0.5)/7)^2)*Table1[[#This Row],[BW40_3705]],"")</f>
        <v/>
      </c>
      <c r="G916" s="2" t="str">
        <f>IF(Table1[[#This Row],[Is Data Valid]]=TRUE,((Table1[[#This Row],[Birthweight (grams)]]/Table1[[#This Row],[BW_GA]])-1)/(Backend!$B$4/100*Table1[[#This Row],[BW40_3705]]),"")</f>
        <v/>
      </c>
      <c r="H916" s="7" t="str">
        <f>IF(Table1[[#This Row],[Is Data Valid]]=TRUE,((Table1[[#This Row],[Birthweight (grams)]]*0.9/Table1[[#This Row],[BW_GA]])-1)/(Backend!$B$4/100*Table1[[#This Row],[BW40_3705]]),"")</f>
        <v/>
      </c>
      <c r="I916" s="7" t="str">
        <f>IF(Table1[[#This Row],[Is Data Valid]]=TRUE,((Table1[[#This Row],[Birthweight (grams)]]*1.1/Table1[[#This Row],[BW_GA]])-1)/(Backend!$B$4/100*Table1[[#This Row],[BW40_3705]]),"")</f>
        <v/>
      </c>
      <c r="J916" s="7" t="str">
        <f>IF(Table1[[#This Row],[Is Data Valid]]=TRUE,_xlfn.NORM.S.DIST(Table1[[#This Row],[Birthweight Z-Score]],TRUE)*100,"")</f>
        <v/>
      </c>
      <c r="K916" s="7" t="str">
        <f>IF(Table1[[#This Row],[Is Data Valid]]=TRUE,_xlfn.NORM.S.DIST(Table1[[#This Row],[Birthweight Z-Score (BW-10%)]],TRUE)*100,"")</f>
        <v/>
      </c>
      <c r="L916" s="7" t="str">
        <f>IF(Table1[[#This Row],[Is Data Valid]]=TRUE,_xlfn.NORM.S.DIST(Table1[[#This Row],[Birthweight Z-Score (BW+10%)]],TRUE)*100,"")</f>
        <v/>
      </c>
    </row>
    <row r="917" spans="1:12" x14ac:dyDescent="0.35">
      <c r="A917" s="3"/>
      <c r="B917" s="2"/>
      <c r="C917" s="2"/>
      <c r="D917" s="2" t="b">
        <f>IF(AND(NOT(ISBLANK(Table1[[#This Row],[Fetal Sex (Male, Female or Unknown)]])),ISNUMBER(Table1[[#This Row],[Birthweight (grams)]]),ISNUMBER(Table1[[#This Row],[Gestation (days)]])),TRUE,FALSE)</f>
        <v>0</v>
      </c>
      <c r="E917" s="2" t="str">
        <f>IF(Table1[[#This Row],[Is Data Valid]]=TRUE,IF(Table1[[#This Row],[Fetal Sex (Male, Female or Unknown)]]="Male",Backend!$C$6,IF(Table1[[#This Row],[Fetal Sex (Male, Female or Unknown)]]="Female",Backend!$C$7,IF(Table1[[#This Row],[Fetal Sex (Male, Female or Unknown)]]="Unknown",Backend!$C$8,"Error"))),"")</f>
        <v/>
      </c>
      <c r="F917" s="8" t="str">
        <f>IF(Table1[[#This Row],[Is Data Valid]]=TRUE,EXP(0.578+0.332*((Table1[[#This Row],[Gestation (days)]]+0.5)/7)-0.00354*((Table1[[#This Row],[Gestation (days)]]+0.5)/7)^2)*Table1[[#This Row],[BW40_3705]],"")</f>
        <v/>
      </c>
      <c r="G917" s="2" t="str">
        <f>IF(Table1[[#This Row],[Is Data Valid]]=TRUE,((Table1[[#This Row],[Birthweight (grams)]]/Table1[[#This Row],[BW_GA]])-1)/(Backend!$B$4/100*Table1[[#This Row],[BW40_3705]]),"")</f>
        <v/>
      </c>
      <c r="H917" s="7" t="str">
        <f>IF(Table1[[#This Row],[Is Data Valid]]=TRUE,((Table1[[#This Row],[Birthweight (grams)]]*0.9/Table1[[#This Row],[BW_GA]])-1)/(Backend!$B$4/100*Table1[[#This Row],[BW40_3705]]),"")</f>
        <v/>
      </c>
      <c r="I917" s="7" t="str">
        <f>IF(Table1[[#This Row],[Is Data Valid]]=TRUE,((Table1[[#This Row],[Birthweight (grams)]]*1.1/Table1[[#This Row],[BW_GA]])-1)/(Backend!$B$4/100*Table1[[#This Row],[BW40_3705]]),"")</f>
        <v/>
      </c>
      <c r="J917" s="7" t="str">
        <f>IF(Table1[[#This Row],[Is Data Valid]]=TRUE,_xlfn.NORM.S.DIST(Table1[[#This Row],[Birthweight Z-Score]],TRUE)*100,"")</f>
        <v/>
      </c>
      <c r="K917" s="7" t="str">
        <f>IF(Table1[[#This Row],[Is Data Valid]]=TRUE,_xlfn.NORM.S.DIST(Table1[[#This Row],[Birthweight Z-Score (BW-10%)]],TRUE)*100,"")</f>
        <v/>
      </c>
      <c r="L917" s="7" t="str">
        <f>IF(Table1[[#This Row],[Is Data Valid]]=TRUE,_xlfn.NORM.S.DIST(Table1[[#This Row],[Birthweight Z-Score (BW+10%)]],TRUE)*100,"")</f>
        <v/>
      </c>
    </row>
    <row r="918" spans="1:12" x14ac:dyDescent="0.35">
      <c r="A918" s="3"/>
      <c r="B918" s="2"/>
      <c r="C918" s="2"/>
      <c r="D918" s="2" t="b">
        <f>IF(AND(NOT(ISBLANK(Table1[[#This Row],[Fetal Sex (Male, Female or Unknown)]])),ISNUMBER(Table1[[#This Row],[Birthweight (grams)]]),ISNUMBER(Table1[[#This Row],[Gestation (days)]])),TRUE,FALSE)</f>
        <v>0</v>
      </c>
      <c r="E918" s="2" t="str">
        <f>IF(Table1[[#This Row],[Is Data Valid]]=TRUE,IF(Table1[[#This Row],[Fetal Sex (Male, Female or Unknown)]]="Male",Backend!$C$6,IF(Table1[[#This Row],[Fetal Sex (Male, Female or Unknown)]]="Female",Backend!$C$7,IF(Table1[[#This Row],[Fetal Sex (Male, Female or Unknown)]]="Unknown",Backend!$C$8,"Error"))),"")</f>
        <v/>
      </c>
      <c r="F918" s="8" t="str">
        <f>IF(Table1[[#This Row],[Is Data Valid]]=TRUE,EXP(0.578+0.332*((Table1[[#This Row],[Gestation (days)]]+0.5)/7)-0.00354*((Table1[[#This Row],[Gestation (days)]]+0.5)/7)^2)*Table1[[#This Row],[BW40_3705]],"")</f>
        <v/>
      </c>
      <c r="G918" s="2" t="str">
        <f>IF(Table1[[#This Row],[Is Data Valid]]=TRUE,((Table1[[#This Row],[Birthweight (grams)]]/Table1[[#This Row],[BW_GA]])-1)/(Backend!$B$4/100*Table1[[#This Row],[BW40_3705]]),"")</f>
        <v/>
      </c>
      <c r="H918" s="7" t="str">
        <f>IF(Table1[[#This Row],[Is Data Valid]]=TRUE,((Table1[[#This Row],[Birthweight (grams)]]*0.9/Table1[[#This Row],[BW_GA]])-1)/(Backend!$B$4/100*Table1[[#This Row],[BW40_3705]]),"")</f>
        <v/>
      </c>
      <c r="I918" s="7" t="str">
        <f>IF(Table1[[#This Row],[Is Data Valid]]=TRUE,((Table1[[#This Row],[Birthweight (grams)]]*1.1/Table1[[#This Row],[BW_GA]])-1)/(Backend!$B$4/100*Table1[[#This Row],[BW40_3705]]),"")</f>
        <v/>
      </c>
      <c r="J918" s="7" t="str">
        <f>IF(Table1[[#This Row],[Is Data Valid]]=TRUE,_xlfn.NORM.S.DIST(Table1[[#This Row],[Birthweight Z-Score]],TRUE)*100,"")</f>
        <v/>
      </c>
      <c r="K918" s="7" t="str">
        <f>IF(Table1[[#This Row],[Is Data Valid]]=TRUE,_xlfn.NORM.S.DIST(Table1[[#This Row],[Birthweight Z-Score (BW-10%)]],TRUE)*100,"")</f>
        <v/>
      </c>
      <c r="L918" s="7" t="str">
        <f>IF(Table1[[#This Row],[Is Data Valid]]=TRUE,_xlfn.NORM.S.DIST(Table1[[#This Row],[Birthweight Z-Score (BW+10%)]],TRUE)*100,"")</f>
        <v/>
      </c>
    </row>
    <row r="919" spans="1:12" x14ac:dyDescent="0.35">
      <c r="A919" s="3"/>
      <c r="B919" s="2"/>
      <c r="C919" s="2"/>
      <c r="D919" s="2" t="b">
        <f>IF(AND(NOT(ISBLANK(Table1[[#This Row],[Fetal Sex (Male, Female or Unknown)]])),ISNUMBER(Table1[[#This Row],[Birthweight (grams)]]),ISNUMBER(Table1[[#This Row],[Gestation (days)]])),TRUE,FALSE)</f>
        <v>0</v>
      </c>
      <c r="E919" s="2" t="str">
        <f>IF(Table1[[#This Row],[Is Data Valid]]=TRUE,IF(Table1[[#This Row],[Fetal Sex (Male, Female or Unknown)]]="Male",Backend!$C$6,IF(Table1[[#This Row],[Fetal Sex (Male, Female or Unknown)]]="Female",Backend!$C$7,IF(Table1[[#This Row],[Fetal Sex (Male, Female or Unknown)]]="Unknown",Backend!$C$8,"Error"))),"")</f>
        <v/>
      </c>
      <c r="F919" s="8" t="str">
        <f>IF(Table1[[#This Row],[Is Data Valid]]=TRUE,EXP(0.578+0.332*((Table1[[#This Row],[Gestation (days)]]+0.5)/7)-0.00354*((Table1[[#This Row],[Gestation (days)]]+0.5)/7)^2)*Table1[[#This Row],[BW40_3705]],"")</f>
        <v/>
      </c>
      <c r="G919" s="2" t="str">
        <f>IF(Table1[[#This Row],[Is Data Valid]]=TRUE,((Table1[[#This Row],[Birthweight (grams)]]/Table1[[#This Row],[BW_GA]])-1)/(Backend!$B$4/100*Table1[[#This Row],[BW40_3705]]),"")</f>
        <v/>
      </c>
      <c r="H919" s="7" t="str">
        <f>IF(Table1[[#This Row],[Is Data Valid]]=TRUE,((Table1[[#This Row],[Birthweight (grams)]]*0.9/Table1[[#This Row],[BW_GA]])-1)/(Backend!$B$4/100*Table1[[#This Row],[BW40_3705]]),"")</f>
        <v/>
      </c>
      <c r="I919" s="7" t="str">
        <f>IF(Table1[[#This Row],[Is Data Valid]]=TRUE,((Table1[[#This Row],[Birthweight (grams)]]*1.1/Table1[[#This Row],[BW_GA]])-1)/(Backend!$B$4/100*Table1[[#This Row],[BW40_3705]]),"")</f>
        <v/>
      </c>
      <c r="J919" s="7" t="str">
        <f>IF(Table1[[#This Row],[Is Data Valid]]=TRUE,_xlfn.NORM.S.DIST(Table1[[#This Row],[Birthweight Z-Score]],TRUE)*100,"")</f>
        <v/>
      </c>
      <c r="K919" s="7" t="str">
        <f>IF(Table1[[#This Row],[Is Data Valid]]=TRUE,_xlfn.NORM.S.DIST(Table1[[#This Row],[Birthweight Z-Score (BW-10%)]],TRUE)*100,"")</f>
        <v/>
      </c>
      <c r="L919" s="7" t="str">
        <f>IF(Table1[[#This Row],[Is Data Valid]]=TRUE,_xlfn.NORM.S.DIST(Table1[[#This Row],[Birthweight Z-Score (BW+10%)]],TRUE)*100,"")</f>
        <v/>
      </c>
    </row>
    <row r="920" spans="1:12" x14ac:dyDescent="0.35">
      <c r="A920" s="3"/>
      <c r="B920" s="2"/>
      <c r="C920" s="2"/>
      <c r="D920" s="2" t="b">
        <f>IF(AND(NOT(ISBLANK(Table1[[#This Row],[Fetal Sex (Male, Female or Unknown)]])),ISNUMBER(Table1[[#This Row],[Birthweight (grams)]]),ISNUMBER(Table1[[#This Row],[Gestation (days)]])),TRUE,FALSE)</f>
        <v>0</v>
      </c>
      <c r="E920" s="2" t="str">
        <f>IF(Table1[[#This Row],[Is Data Valid]]=TRUE,IF(Table1[[#This Row],[Fetal Sex (Male, Female or Unknown)]]="Male",Backend!$C$6,IF(Table1[[#This Row],[Fetal Sex (Male, Female or Unknown)]]="Female",Backend!$C$7,IF(Table1[[#This Row],[Fetal Sex (Male, Female or Unknown)]]="Unknown",Backend!$C$8,"Error"))),"")</f>
        <v/>
      </c>
      <c r="F920" s="8" t="str">
        <f>IF(Table1[[#This Row],[Is Data Valid]]=TRUE,EXP(0.578+0.332*((Table1[[#This Row],[Gestation (days)]]+0.5)/7)-0.00354*((Table1[[#This Row],[Gestation (days)]]+0.5)/7)^2)*Table1[[#This Row],[BW40_3705]],"")</f>
        <v/>
      </c>
      <c r="G920" s="2" t="str">
        <f>IF(Table1[[#This Row],[Is Data Valid]]=TRUE,((Table1[[#This Row],[Birthweight (grams)]]/Table1[[#This Row],[BW_GA]])-1)/(Backend!$B$4/100*Table1[[#This Row],[BW40_3705]]),"")</f>
        <v/>
      </c>
      <c r="H920" s="7" t="str">
        <f>IF(Table1[[#This Row],[Is Data Valid]]=TRUE,((Table1[[#This Row],[Birthweight (grams)]]*0.9/Table1[[#This Row],[BW_GA]])-1)/(Backend!$B$4/100*Table1[[#This Row],[BW40_3705]]),"")</f>
        <v/>
      </c>
      <c r="I920" s="7" t="str">
        <f>IF(Table1[[#This Row],[Is Data Valid]]=TRUE,((Table1[[#This Row],[Birthweight (grams)]]*1.1/Table1[[#This Row],[BW_GA]])-1)/(Backend!$B$4/100*Table1[[#This Row],[BW40_3705]]),"")</f>
        <v/>
      </c>
      <c r="J920" s="7" t="str">
        <f>IF(Table1[[#This Row],[Is Data Valid]]=TRUE,_xlfn.NORM.S.DIST(Table1[[#This Row],[Birthweight Z-Score]],TRUE)*100,"")</f>
        <v/>
      </c>
      <c r="K920" s="7" t="str">
        <f>IF(Table1[[#This Row],[Is Data Valid]]=TRUE,_xlfn.NORM.S.DIST(Table1[[#This Row],[Birthweight Z-Score (BW-10%)]],TRUE)*100,"")</f>
        <v/>
      </c>
      <c r="L920" s="7" t="str">
        <f>IF(Table1[[#This Row],[Is Data Valid]]=TRUE,_xlfn.NORM.S.DIST(Table1[[#This Row],[Birthweight Z-Score (BW+10%)]],TRUE)*100,"")</f>
        <v/>
      </c>
    </row>
    <row r="921" spans="1:12" x14ac:dyDescent="0.35">
      <c r="A921" s="3"/>
      <c r="B921" s="2"/>
      <c r="C921" s="2"/>
      <c r="D921" s="2" t="b">
        <f>IF(AND(NOT(ISBLANK(Table1[[#This Row],[Fetal Sex (Male, Female or Unknown)]])),ISNUMBER(Table1[[#This Row],[Birthweight (grams)]]),ISNUMBER(Table1[[#This Row],[Gestation (days)]])),TRUE,FALSE)</f>
        <v>0</v>
      </c>
      <c r="E921" s="2" t="str">
        <f>IF(Table1[[#This Row],[Is Data Valid]]=TRUE,IF(Table1[[#This Row],[Fetal Sex (Male, Female or Unknown)]]="Male",Backend!$C$6,IF(Table1[[#This Row],[Fetal Sex (Male, Female or Unknown)]]="Female",Backend!$C$7,IF(Table1[[#This Row],[Fetal Sex (Male, Female or Unknown)]]="Unknown",Backend!$C$8,"Error"))),"")</f>
        <v/>
      </c>
      <c r="F921" s="8" t="str">
        <f>IF(Table1[[#This Row],[Is Data Valid]]=TRUE,EXP(0.578+0.332*((Table1[[#This Row],[Gestation (days)]]+0.5)/7)-0.00354*((Table1[[#This Row],[Gestation (days)]]+0.5)/7)^2)*Table1[[#This Row],[BW40_3705]],"")</f>
        <v/>
      </c>
      <c r="G921" s="2" t="str">
        <f>IF(Table1[[#This Row],[Is Data Valid]]=TRUE,((Table1[[#This Row],[Birthweight (grams)]]/Table1[[#This Row],[BW_GA]])-1)/(Backend!$B$4/100*Table1[[#This Row],[BW40_3705]]),"")</f>
        <v/>
      </c>
      <c r="H921" s="7" t="str">
        <f>IF(Table1[[#This Row],[Is Data Valid]]=TRUE,((Table1[[#This Row],[Birthweight (grams)]]*0.9/Table1[[#This Row],[BW_GA]])-1)/(Backend!$B$4/100*Table1[[#This Row],[BW40_3705]]),"")</f>
        <v/>
      </c>
      <c r="I921" s="7" t="str">
        <f>IF(Table1[[#This Row],[Is Data Valid]]=TRUE,((Table1[[#This Row],[Birthweight (grams)]]*1.1/Table1[[#This Row],[BW_GA]])-1)/(Backend!$B$4/100*Table1[[#This Row],[BW40_3705]]),"")</f>
        <v/>
      </c>
      <c r="J921" s="7" t="str">
        <f>IF(Table1[[#This Row],[Is Data Valid]]=TRUE,_xlfn.NORM.S.DIST(Table1[[#This Row],[Birthweight Z-Score]],TRUE)*100,"")</f>
        <v/>
      </c>
      <c r="K921" s="7" t="str">
        <f>IF(Table1[[#This Row],[Is Data Valid]]=TRUE,_xlfn.NORM.S.DIST(Table1[[#This Row],[Birthweight Z-Score (BW-10%)]],TRUE)*100,"")</f>
        <v/>
      </c>
      <c r="L921" s="7" t="str">
        <f>IF(Table1[[#This Row],[Is Data Valid]]=TRUE,_xlfn.NORM.S.DIST(Table1[[#This Row],[Birthweight Z-Score (BW+10%)]],TRUE)*100,"")</f>
        <v/>
      </c>
    </row>
    <row r="922" spans="1:12" x14ac:dyDescent="0.35">
      <c r="A922" s="3"/>
      <c r="B922" s="2"/>
      <c r="C922" s="2"/>
      <c r="D922" s="2" t="b">
        <f>IF(AND(NOT(ISBLANK(Table1[[#This Row],[Fetal Sex (Male, Female or Unknown)]])),ISNUMBER(Table1[[#This Row],[Birthweight (grams)]]),ISNUMBER(Table1[[#This Row],[Gestation (days)]])),TRUE,FALSE)</f>
        <v>0</v>
      </c>
      <c r="E922" s="2" t="str">
        <f>IF(Table1[[#This Row],[Is Data Valid]]=TRUE,IF(Table1[[#This Row],[Fetal Sex (Male, Female or Unknown)]]="Male",Backend!$C$6,IF(Table1[[#This Row],[Fetal Sex (Male, Female or Unknown)]]="Female",Backend!$C$7,IF(Table1[[#This Row],[Fetal Sex (Male, Female or Unknown)]]="Unknown",Backend!$C$8,"Error"))),"")</f>
        <v/>
      </c>
      <c r="F922" s="8" t="str">
        <f>IF(Table1[[#This Row],[Is Data Valid]]=TRUE,EXP(0.578+0.332*((Table1[[#This Row],[Gestation (days)]]+0.5)/7)-0.00354*((Table1[[#This Row],[Gestation (days)]]+0.5)/7)^2)*Table1[[#This Row],[BW40_3705]],"")</f>
        <v/>
      </c>
      <c r="G922" s="2" t="str">
        <f>IF(Table1[[#This Row],[Is Data Valid]]=TRUE,((Table1[[#This Row],[Birthweight (grams)]]/Table1[[#This Row],[BW_GA]])-1)/(Backend!$B$4/100*Table1[[#This Row],[BW40_3705]]),"")</f>
        <v/>
      </c>
      <c r="H922" s="7" t="str">
        <f>IF(Table1[[#This Row],[Is Data Valid]]=TRUE,((Table1[[#This Row],[Birthweight (grams)]]*0.9/Table1[[#This Row],[BW_GA]])-1)/(Backend!$B$4/100*Table1[[#This Row],[BW40_3705]]),"")</f>
        <v/>
      </c>
      <c r="I922" s="7" t="str">
        <f>IF(Table1[[#This Row],[Is Data Valid]]=TRUE,((Table1[[#This Row],[Birthweight (grams)]]*1.1/Table1[[#This Row],[BW_GA]])-1)/(Backend!$B$4/100*Table1[[#This Row],[BW40_3705]]),"")</f>
        <v/>
      </c>
      <c r="J922" s="7" t="str">
        <f>IF(Table1[[#This Row],[Is Data Valid]]=TRUE,_xlfn.NORM.S.DIST(Table1[[#This Row],[Birthweight Z-Score]],TRUE)*100,"")</f>
        <v/>
      </c>
      <c r="K922" s="7" t="str">
        <f>IF(Table1[[#This Row],[Is Data Valid]]=TRUE,_xlfn.NORM.S.DIST(Table1[[#This Row],[Birthweight Z-Score (BW-10%)]],TRUE)*100,"")</f>
        <v/>
      </c>
      <c r="L922" s="7" t="str">
        <f>IF(Table1[[#This Row],[Is Data Valid]]=TRUE,_xlfn.NORM.S.DIST(Table1[[#This Row],[Birthweight Z-Score (BW+10%)]],TRUE)*100,"")</f>
        <v/>
      </c>
    </row>
    <row r="923" spans="1:12" x14ac:dyDescent="0.35">
      <c r="A923" s="3"/>
      <c r="B923" s="2"/>
      <c r="C923" s="2"/>
      <c r="D923" s="2" t="b">
        <f>IF(AND(NOT(ISBLANK(Table1[[#This Row],[Fetal Sex (Male, Female or Unknown)]])),ISNUMBER(Table1[[#This Row],[Birthweight (grams)]]),ISNUMBER(Table1[[#This Row],[Gestation (days)]])),TRUE,FALSE)</f>
        <v>0</v>
      </c>
      <c r="E923" s="2" t="str">
        <f>IF(Table1[[#This Row],[Is Data Valid]]=TRUE,IF(Table1[[#This Row],[Fetal Sex (Male, Female or Unknown)]]="Male",Backend!$C$6,IF(Table1[[#This Row],[Fetal Sex (Male, Female or Unknown)]]="Female",Backend!$C$7,IF(Table1[[#This Row],[Fetal Sex (Male, Female or Unknown)]]="Unknown",Backend!$C$8,"Error"))),"")</f>
        <v/>
      </c>
      <c r="F923" s="8" t="str">
        <f>IF(Table1[[#This Row],[Is Data Valid]]=TRUE,EXP(0.578+0.332*((Table1[[#This Row],[Gestation (days)]]+0.5)/7)-0.00354*((Table1[[#This Row],[Gestation (days)]]+0.5)/7)^2)*Table1[[#This Row],[BW40_3705]],"")</f>
        <v/>
      </c>
      <c r="G923" s="2" t="str">
        <f>IF(Table1[[#This Row],[Is Data Valid]]=TRUE,((Table1[[#This Row],[Birthweight (grams)]]/Table1[[#This Row],[BW_GA]])-1)/(Backend!$B$4/100*Table1[[#This Row],[BW40_3705]]),"")</f>
        <v/>
      </c>
      <c r="H923" s="7" t="str">
        <f>IF(Table1[[#This Row],[Is Data Valid]]=TRUE,((Table1[[#This Row],[Birthweight (grams)]]*0.9/Table1[[#This Row],[BW_GA]])-1)/(Backend!$B$4/100*Table1[[#This Row],[BW40_3705]]),"")</f>
        <v/>
      </c>
      <c r="I923" s="7" t="str">
        <f>IF(Table1[[#This Row],[Is Data Valid]]=TRUE,((Table1[[#This Row],[Birthweight (grams)]]*1.1/Table1[[#This Row],[BW_GA]])-1)/(Backend!$B$4/100*Table1[[#This Row],[BW40_3705]]),"")</f>
        <v/>
      </c>
      <c r="J923" s="7" t="str">
        <f>IF(Table1[[#This Row],[Is Data Valid]]=TRUE,_xlfn.NORM.S.DIST(Table1[[#This Row],[Birthweight Z-Score]],TRUE)*100,"")</f>
        <v/>
      </c>
      <c r="K923" s="7" t="str">
        <f>IF(Table1[[#This Row],[Is Data Valid]]=TRUE,_xlfn.NORM.S.DIST(Table1[[#This Row],[Birthweight Z-Score (BW-10%)]],TRUE)*100,"")</f>
        <v/>
      </c>
      <c r="L923" s="7" t="str">
        <f>IF(Table1[[#This Row],[Is Data Valid]]=TRUE,_xlfn.NORM.S.DIST(Table1[[#This Row],[Birthweight Z-Score (BW+10%)]],TRUE)*100,"")</f>
        <v/>
      </c>
    </row>
    <row r="924" spans="1:12" x14ac:dyDescent="0.35">
      <c r="A924" s="3"/>
      <c r="B924" s="2"/>
      <c r="C924" s="2"/>
      <c r="D924" s="2" t="b">
        <f>IF(AND(NOT(ISBLANK(Table1[[#This Row],[Fetal Sex (Male, Female or Unknown)]])),ISNUMBER(Table1[[#This Row],[Birthweight (grams)]]),ISNUMBER(Table1[[#This Row],[Gestation (days)]])),TRUE,FALSE)</f>
        <v>0</v>
      </c>
      <c r="E924" s="2" t="str">
        <f>IF(Table1[[#This Row],[Is Data Valid]]=TRUE,IF(Table1[[#This Row],[Fetal Sex (Male, Female or Unknown)]]="Male",Backend!$C$6,IF(Table1[[#This Row],[Fetal Sex (Male, Female or Unknown)]]="Female",Backend!$C$7,IF(Table1[[#This Row],[Fetal Sex (Male, Female or Unknown)]]="Unknown",Backend!$C$8,"Error"))),"")</f>
        <v/>
      </c>
      <c r="F924" s="8" t="str">
        <f>IF(Table1[[#This Row],[Is Data Valid]]=TRUE,EXP(0.578+0.332*((Table1[[#This Row],[Gestation (days)]]+0.5)/7)-0.00354*((Table1[[#This Row],[Gestation (days)]]+0.5)/7)^2)*Table1[[#This Row],[BW40_3705]],"")</f>
        <v/>
      </c>
      <c r="G924" s="2" t="str">
        <f>IF(Table1[[#This Row],[Is Data Valid]]=TRUE,((Table1[[#This Row],[Birthweight (grams)]]/Table1[[#This Row],[BW_GA]])-1)/(Backend!$B$4/100*Table1[[#This Row],[BW40_3705]]),"")</f>
        <v/>
      </c>
      <c r="H924" s="7" t="str">
        <f>IF(Table1[[#This Row],[Is Data Valid]]=TRUE,((Table1[[#This Row],[Birthweight (grams)]]*0.9/Table1[[#This Row],[BW_GA]])-1)/(Backend!$B$4/100*Table1[[#This Row],[BW40_3705]]),"")</f>
        <v/>
      </c>
      <c r="I924" s="7" t="str">
        <f>IF(Table1[[#This Row],[Is Data Valid]]=TRUE,((Table1[[#This Row],[Birthweight (grams)]]*1.1/Table1[[#This Row],[BW_GA]])-1)/(Backend!$B$4/100*Table1[[#This Row],[BW40_3705]]),"")</f>
        <v/>
      </c>
      <c r="J924" s="7" t="str">
        <f>IF(Table1[[#This Row],[Is Data Valid]]=TRUE,_xlfn.NORM.S.DIST(Table1[[#This Row],[Birthweight Z-Score]],TRUE)*100,"")</f>
        <v/>
      </c>
      <c r="K924" s="7" t="str">
        <f>IF(Table1[[#This Row],[Is Data Valid]]=TRUE,_xlfn.NORM.S.DIST(Table1[[#This Row],[Birthweight Z-Score (BW-10%)]],TRUE)*100,"")</f>
        <v/>
      </c>
      <c r="L924" s="7" t="str">
        <f>IF(Table1[[#This Row],[Is Data Valid]]=TRUE,_xlfn.NORM.S.DIST(Table1[[#This Row],[Birthweight Z-Score (BW+10%)]],TRUE)*100,"")</f>
        <v/>
      </c>
    </row>
    <row r="925" spans="1:12" x14ac:dyDescent="0.35">
      <c r="A925" s="3"/>
      <c r="B925" s="2"/>
      <c r="C925" s="2"/>
      <c r="D925" s="2" t="b">
        <f>IF(AND(NOT(ISBLANK(Table1[[#This Row],[Fetal Sex (Male, Female or Unknown)]])),ISNUMBER(Table1[[#This Row],[Birthweight (grams)]]),ISNUMBER(Table1[[#This Row],[Gestation (days)]])),TRUE,FALSE)</f>
        <v>0</v>
      </c>
      <c r="E925" s="2" t="str">
        <f>IF(Table1[[#This Row],[Is Data Valid]]=TRUE,IF(Table1[[#This Row],[Fetal Sex (Male, Female or Unknown)]]="Male",Backend!$C$6,IF(Table1[[#This Row],[Fetal Sex (Male, Female or Unknown)]]="Female",Backend!$C$7,IF(Table1[[#This Row],[Fetal Sex (Male, Female or Unknown)]]="Unknown",Backend!$C$8,"Error"))),"")</f>
        <v/>
      </c>
      <c r="F925" s="8" t="str">
        <f>IF(Table1[[#This Row],[Is Data Valid]]=TRUE,EXP(0.578+0.332*((Table1[[#This Row],[Gestation (days)]]+0.5)/7)-0.00354*((Table1[[#This Row],[Gestation (days)]]+0.5)/7)^2)*Table1[[#This Row],[BW40_3705]],"")</f>
        <v/>
      </c>
      <c r="G925" s="2" t="str">
        <f>IF(Table1[[#This Row],[Is Data Valid]]=TRUE,((Table1[[#This Row],[Birthweight (grams)]]/Table1[[#This Row],[BW_GA]])-1)/(Backend!$B$4/100*Table1[[#This Row],[BW40_3705]]),"")</f>
        <v/>
      </c>
      <c r="H925" s="7" t="str">
        <f>IF(Table1[[#This Row],[Is Data Valid]]=TRUE,((Table1[[#This Row],[Birthweight (grams)]]*0.9/Table1[[#This Row],[BW_GA]])-1)/(Backend!$B$4/100*Table1[[#This Row],[BW40_3705]]),"")</f>
        <v/>
      </c>
      <c r="I925" s="7" t="str">
        <f>IF(Table1[[#This Row],[Is Data Valid]]=TRUE,((Table1[[#This Row],[Birthweight (grams)]]*1.1/Table1[[#This Row],[BW_GA]])-1)/(Backend!$B$4/100*Table1[[#This Row],[BW40_3705]]),"")</f>
        <v/>
      </c>
      <c r="J925" s="7" t="str">
        <f>IF(Table1[[#This Row],[Is Data Valid]]=TRUE,_xlfn.NORM.S.DIST(Table1[[#This Row],[Birthweight Z-Score]],TRUE)*100,"")</f>
        <v/>
      </c>
      <c r="K925" s="7" t="str">
        <f>IF(Table1[[#This Row],[Is Data Valid]]=TRUE,_xlfn.NORM.S.DIST(Table1[[#This Row],[Birthweight Z-Score (BW-10%)]],TRUE)*100,"")</f>
        <v/>
      </c>
      <c r="L925" s="7" t="str">
        <f>IF(Table1[[#This Row],[Is Data Valid]]=TRUE,_xlfn.NORM.S.DIST(Table1[[#This Row],[Birthweight Z-Score (BW+10%)]],TRUE)*100,"")</f>
        <v/>
      </c>
    </row>
    <row r="926" spans="1:12" x14ac:dyDescent="0.35">
      <c r="A926" s="3"/>
      <c r="B926" s="2"/>
      <c r="C926" s="2"/>
      <c r="D926" s="2" t="b">
        <f>IF(AND(NOT(ISBLANK(Table1[[#This Row],[Fetal Sex (Male, Female or Unknown)]])),ISNUMBER(Table1[[#This Row],[Birthweight (grams)]]),ISNUMBER(Table1[[#This Row],[Gestation (days)]])),TRUE,FALSE)</f>
        <v>0</v>
      </c>
      <c r="E926" s="2" t="str">
        <f>IF(Table1[[#This Row],[Is Data Valid]]=TRUE,IF(Table1[[#This Row],[Fetal Sex (Male, Female or Unknown)]]="Male",Backend!$C$6,IF(Table1[[#This Row],[Fetal Sex (Male, Female or Unknown)]]="Female",Backend!$C$7,IF(Table1[[#This Row],[Fetal Sex (Male, Female or Unknown)]]="Unknown",Backend!$C$8,"Error"))),"")</f>
        <v/>
      </c>
      <c r="F926" s="8" t="str">
        <f>IF(Table1[[#This Row],[Is Data Valid]]=TRUE,EXP(0.578+0.332*((Table1[[#This Row],[Gestation (days)]]+0.5)/7)-0.00354*((Table1[[#This Row],[Gestation (days)]]+0.5)/7)^2)*Table1[[#This Row],[BW40_3705]],"")</f>
        <v/>
      </c>
      <c r="G926" s="2" t="str">
        <f>IF(Table1[[#This Row],[Is Data Valid]]=TRUE,((Table1[[#This Row],[Birthweight (grams)]]/Table1[[#This Row],[BW_GA]])-1)/(Backend!$B$4/100*Table1[[#This Row],[BW40_3705]]),"")</f>
        <v/>
      </c>
      <c r="H926" s="7" t="str">
        <f>IF(Table1[[#This Row],[Is Data Valid]]=TRUE,((Table1[[#This Row],[Birthweight (grams)]]*0.9/Table1[[#This Row],[BW_GA]])-1)/(Backend!$B$4/100*Table1[[#This Row],[BW40_3705]]),"")</f>
        <v/>
      </c>
      <c r="I926" s="7" t="str">
        <f>IF(Table1[[#This Row],[Is Data Valid]]=TRUE,((Table1[[#This Row],[Birthweight (grams)]]*1.1/Table1[[#This Row],[BW_GA]])-1)/(Backend!$B$4/100*Table1[[#This Row],[BW40_3705]]),"")</f>
        <v/>
      </c>
      <c r="J926" s="7" t="str">
        <f>IF(Table1[[#This Row],[Is Data Valid]]=TRUE,_xlfn.NORM.S.DIST(Table1[[#This Row],[Birthweight Z-Score]],TRUE)*100,"")</f>
        <v/>
      </c>
      <c r="K926" s="7" t="str">
        <f>IF(Table1[[#This Row],[Is Data Valid]]=TRUE,_xlfn.NORM.S.DIST(Table1[[#This Row],[Birthweight Z-Score (BW-10%)]],TRUE)*100,"")</f>
        <v/>
      </c>
      <c r="L926" s="7" t="str">
        <f>IF(Table1[[#This Row],[Is Data Valid]]=TRUE,_xlfn.NORM.S.DIST(Table1[[#This Row],[Birthweight Z-Score (BW+10%)]],TRUE)*100,"")</f>
        <v/>
      </c>
    </row>
    <row r="927" spans="1:12" x14ac:dyDescent="0.35">
      <c r="A927" s="3"/>
      <c r="B927" s="2"/>
      <c r="C927" s="2"/>
      <c r="D927" s="2" t="b">
        <f>IF(AND(NOT(ISBLANK(Table1[[#This Row],[Fetal Sex (Male, Female or Unknown)]])),ISNUMBER(Table1[[#This Row],[Birthweight (grams)]]),ISNUMBER(Table1[[#This Row],[Gestation (days)]])),TRUE,FALSE)</f>
        <v>0</v>
      </c>
      <c r="E927" s="2" t="str">
        <f>IF(Table1[[#This Row],[Is Data Valid]]=TRUE,IF(Table1[[#This Row],[Fetal Sex (Male, Female or Unknown)]]="Male",Backend!$C$6,IF(Table1[[#This Row],[Fetal Sex (Male, Female or Unknown)]]="Female",Backend!$C$7,IF(Table1[[#This Row],[Fetal Sex (Male, Female or Unknown)]]="Unknown",Backend!$C$8,"Error"))),"")</f>
        <v/>
      </c>
      <c r="F927" s="8" t="str">
        <f>IF(Table1[[#This Row],[Is Data Valid]]=TRUE,EXP(0.578+0.332*((Table1[[#This Row],[Gestation (days)]]+0.5)/7)-0.00354*((Table1[[#This Row],[Gestation (days)]]+0.5)/7)^2)*Table1[[#This Row],[BW40_3705]],"")</f>
        <v/>
      </c>
      <c r="G927" s="2" t="str">
        <f>IF(Table1[[#This Row],[Is Data Valid]]=TRUE,((Table1[[#This Row],[Birthweight (grams)]]/Table1[[#This Row],[BW_GA]])-1)/(Backend!$B$4/100*Table1[[#This Row],[BW40_3705]]),"")</f>
        <v/>
      </c>
      <c r="H927" s="7" t="str">
        <f>IF(Table1[[#This Row],[Is Data Valid]]=TRUE,((Table1[[#This Row],[Birthweight (grams)]]*0.9/Table1[[#This Row],[BW_GA]])-1)/(Backend!$B$4/100*Table1[[#This Row],[BW40_3705]]),"")</f>
        <v/>
      </c>
      <c r="I927" s="7" t="str">
        <f>IF(Table1[[#This Row],[Is Data Valid]]=TRUE,((Table1[[#This Row],[Birthweight (grams)]]*1.1/Table1[[#This Row],[BW_GA]])-1)/(Backend!$B$4/100*Table1[[#This Row],[BW40_3705]]),"")</f>
        <v/>
      </c>
      <c r="J927" s="7" t="str">
        <f>IF(Table1[[#This Row],[Is Data Valid]]=TRUE,_xlfn.NORM.S.DIST(Table1[[#This Row],[Birthweight Z-Score]],TRUE)*100,"")</f>
        <v/>
      </c>
      <c r="K927" s="7" t="str">
        <f>IF(Table1[[#This Row],[Is Data Valid]]=TRUE,_xlfn.NORM.S.DIST(Table1[[#This Row],[Birthweight Z-Score (BW-10%)]],TRUE)*100,"")</f>
        <v/>
      </c>
      <c r="L927" s="7" t="str">
        <f>IF(Table1[[#This Row],[Is Data Valid]]=TRUE,_xlfn.NORM.S.DIST(Table1[[#This Row],[Birthweight Z-Score (BW+10%)]],TRUE)*100,"")</f>
        <v/>
      </c>
    </row>
    <row r="928" spans="1:12" x14ac:dyDescent="0.35">
      <c r="A928" s="3"/>
      <c r="B928" s="2"/>
      <c r="C928" s="2"/>
      <c r="D928" s="2" t="b">
        <f>IF(AND(NOT(ISBLANK(Table1[[#This Row],[Fetal Sex (Male, Female or Unknown)]])),ISNUMBER(Table1[[#This Row],[Birthweight (grams)]]),ISNUMBER(Table1[[#This Row],[Gestation (days)]])),TRUE,FALSE)</f>
        <v>0</v>
      </c>
      <c r="E928" s="2" t="str">
        <f>IF(Table1[[#This Row],[Is Data Valid]]=TRUE,IF(Table1[[#This Row],[Fetal Sex (Male, Female or Unknown)]]="Male",Backend!$C$6,IF(Table1[[#This Row],[Fetal Sex (Male, Female or Unknown)]]="Female",Backend!$C$7,IF(Table1[[#This Row],[Fetal Sex (Male, Female or Unknown)]]="Unknown",Backend!$C$8,"Error"))),"")</f>
        <v/>
      </c>
      <c r="F928" s="8" t="str">
        <f>IF(Table1[[#This Row],[Is Data Valid]]=TRUE,EXP(0.578+0.332*((Table1[[#This Row],[Gestation (days)]]+0.5)/7)-0.00354*((Table1[[#This Row],[Gestation (days)]]+0.5)/7)^2)*Table1[[#This Row],[BW40_3705]],"")</f>
        <v/>
      </c>
      <c r="G928" s="2" t="str">
        <f>IF(Table1[[#This Row],[Is Data Valid]]=TRUE,((Table1[[#This Row],[Birthweight (grams)]]/Table1[[#This Row],[BW_GA]])-1)/(Backend!$B$4/100*Table1[[#This Row],[BW40_3705]]),"")</f>
        <v/>
      </c>
      <c r="H928" s="7" t="str">
        <f>IF(Table1[[#This Row],[Is Data Valid]]=TRUE,((Table1[[#This Row],[Birthweight (grams)]]*0.9/Table1[[#This Row],[BW_GA]])-1)/(Backend!$B$4/100*Table1[[#This Row],[BW40_3705]]),"")</f>
        <v/>
      </c>
      <c r="I928" s="7" t="str">
        <f>IF(Table1[[#This Row],[Is Data Valid]]=TRUE,((Table1[[#This Row],[Birthweight (grams)]]*1.1/Table1[[#This Row],[BW_GA]])-1)/(Backend!$B$4/100*Table1[[#This Row],[BW40_3705]]),"")</f>
        <v/>
      </c>
      <c r="J928" s="7" t="str">
        <f>IF(Table1[[#This Row],[Is Data Valid]]=TRUE,_xlfn.NORM.S.DIST(Table1[[#This Row],[Birthweight Z-Score]],TRUE)*100,"")</f>
        <v/>
      </c>
      <c r="K928" s="7" t="str">
        <f>IF(Table1[[#This Row],[Is Data Valid]]=TRUE,_xlfn.NORM.S.DIST(Table1[[#This Row],[Birthweight Z-Score (BW-10%)]],TRUE)*100,"")</f>
        <v/>
      </c>
      <c r="L928" s="7" t="str">
        <f>IF(Table1[[#This Row],[Is Data Valid]]=TRUE,_xlfn.NORM.S.DIST(Table1[[#This Row],[Birthweight Z-Score (BW+10%)]],TRUE)*100,"")</f>
        <v/>
      </c>
    </row>
    <row r="929" spans="1:12" x14ac:dyDescent="0.35">
      <c r="A929" s="3"/>
      <c r="B929" s="2"/>
      <c r="C929" s="2"/>
      <c r="D929" s="2" t="b">
        <f>IF(AND(NOT(ISBLANK(Table1[[#This Row],[Fetal Sex (Male, Female or Unknown)]])),ISNUMBER(Table1[[#This Row],[Birthweight (grams)]]),ISNUMBER(Table1[[#This Row],[Gestation (days)]])),TRUE,FALSE)</f>
        <v>0</v>
      </c>
      <c r="E929" s="2" t="str">
        <f>IF(Table1[[#This Row],[Is Data Valid]]=TRUE,IF(Table1[[#This Row],[Fetal Sex (Male, Female or Unknown)]]="Male",Backend!$C$6,IF(Table1[[#This Row],[Fetal Sex (Male, Female or Unknown)]]="Female",Backend!$C$7,IF(Table1[[#This Row],[Fetal Sex (Male, Female or Unknown)]]="Unknown",Backend!$C$8,"Error"))),"")</f>
        <v/>
      </c>
      <c r="F929" s="8" t="str">
        <f>IF(Table1[[#This Row],[Is Data Valid]]=TRUE,EXP(0.578+0.332*((Table1[[#This Row],[Gestation (days)]]+0.5)/7)-0.00354*((Table1[[#This Row],[Gestation (days)]]+0.5)/7)^2)*Table1[[#This Row],[BW40_3705]],"")</f>
        <v/>
      </c>
      <c r="G929" s="2" t="str">
        <f>IF(Table1[[#This Row],[Is Data Valid]]=TRUE,((Table1[[#This Row],[Birthweight (grams)]]/Table1[[#This Row],[BW_GA]])-1)/(Backend!$B$4/100*Table1[[#This Row],[BW40_3705]]),"")</f>
        <v/>
      </c>
      <c r="H929" s="7" t="str">
        <f>IF(Table1[[#This Row],[Is Data Valid]]=TRUE,((Table1[[#This Row],[Birthweight (grams)]]*0.9/Table1[[#This Row],[BW_GA]])-1)/(Backend!$B$4/100*Table1[[#This Row],[BW40_3705]]),"")</f>
        <v/>
      </c>
      <c r="I929" s="7" t="str">
        <f>IF(Table1[[#This Row],[Is Data Valid]]=TRUE,((Table1[[#This Row],[Birthweight (grams)]]*1.1/Table1[[#This Row],[BW_GA]])-1)/(Backend!$B$4/100*Table1[[#This Row],[BW40_3705]]),"")</f>
        <v/>
      </c>
      <c r="J929" s="7" t="str">
        <f>IF(Table1[[#This Row],[Is Data Valid]]=TRUE,_xlfn.NORM.S.DIST(Table1[[#This Row],[Birthweight Z-Score]],TRUE)*100,"")</f>
        <v/>
      </c>
      <c r="K929" s="7" t="str">
        <f>IF(Table1[[#This Row],[Is Data Valid]]=TRUE,_xlfn.NORM.S.DIST(Table1[[#This Row],[Birthweight Z-Score (BW-10%)]],TRUE)*100,"")</f>
        <v/>
      </c>
      <c r="L929" s="7" t="str">
        <f>IF(Table1[[#This Row],[Is Data Valid]]=TRUE,_xlfn.NORM.S.DIST(Table1[[#This Row],[Birthweight Z-Score (BW+10%)]],TRUE)*100,"")</f>
        <v/>
      </c>
    </row>
    <row r="930" spans="1:12" x14ac:dyDescent="0.35">
      <c r="A930" s="3"/>
      <c r="B930" s="2"/>
      <c r="C930" s="2"/>
      <c r="D930" s="2" t="b">
        <f>IF(AND(NOT(ISBLANK(Table1[[#This Row],[Fetal Sex (Male, Female or Unknown)]])),ISNUMBER(Table1[[#This Row],[Birthweight (grams)]]),ISNUMBER(Table1[[#This Row],[Gestation (days)]])),TRUE,FALSE)</f>
        <v>0</v>
      </c>
      <c r="E930" s="2" t="str">
        <f>IF(Table1[[#This Row],[Is Data Valid]]=TRUE,IF(Table1[[#This Row],[Fetal Sex (Male, Female or Unknown)]]="Male",Backend!$C$6,IF(Table1[[#This Row],[Fetal Sex (Male, Female or Unknown)]]="Female",Backend!$C$7,IF(Table1[[#This Row],[Fetal Sex (Male, Female or Unknown)]]="Unknown",Backend!$C$8,"Error"))),"")</f>
        <v/>
      </c>
      <c r="F930" s="8" t="str">
        <f>IF(Table1[[#This Row],[Is Data Valid]]=TRUE,EXP(0.578+0.332*((Table1[[#This Row],[Gestation (days)]]+0.5)/7)-0.00354*((Table1[[#This Row],[Gestation (days)]]+0.5)/7)^2)*Table1[[#This Row],[BW40_3705]],"")</f>
        <v/>
      </c>
      <c r="G930" s="2" t="str">
        <f>IF(Table1[[#This Row],[Is Data Valid]]=TRUE,((Table1[[#This Row],[Birthweight (grams)]]/Table1[[#This Row],[BW_GA]])-1)/(Backend!$B$4/100*Table1[[#This Row],[BW40_3705]]),"")</f>
        <v/>
      </c>
      <c r="H930" s="7" t="str">
        <f>IF(Table1[[#This Row],[Is Data Valid]]=TRUE,((Table1[[#This Row],[Birthweight (grams)]]*0.9/Table1[[#This Row],[BW_GA]])-1)/(Backend!$B$4/100*Table1[[#This Row],[BW40_3705]]),"")</f>
        <v/>
      </c>
      <c r="I930" s="7" t="str">
        <f>IF(Table1[[#This Row],[Is Data Valid]]=TRUE,((Table1[[#This Row],[Birthweight (grams)]]*1.1/Table1[[#This Row],[BW_GA]])-1)/(Backend!$B$4/100*Table1[[#This Row],[BW40_3705]]),"")</f>
        <v/>
      </c>
      <c r="J930" s="7" t="str">
        <f>IF(Table1[[#This Row],[Is Data Valid]]=TRUE,_xlfn.NORM.S.DIST(Table1[[#This Row],[Birthweight Z-Score]],TRUE)*100,"")</f>
        <v/>
      </c>
      <c r="K930" s="7" t="str">
        <f>IF(Table1[[#This Row],[Is Data Valid]]=TRUE,_xlfn.NORM.S.DIST(Table1[[#This Row],[Birthweight Z-Score (BW-10%)]],TRUE)*100,"")</f>
        <v/>
      </c>
      <c r="L930" s="7" t="str">
        <f>IF(Table1[[#This Row],[Is Data Valid]]=TRUE,_xlfn.NORM.S.DIST(Table1[[#This Row],[Birthweight Z-Score (BW+10%)]],TRUE)*100,"")</f>
        <v/>
      </c>
    </row>
    <row r="931" spans="1:12" x14ac:dyDescent="0.35">
      <c r="A931" s="3"/>
      <c r="B931" s="2"/>
      <c r="C931" s="2"/>
      <c r="D931" s="2" t="b">
        <f>IF(AND(NOT(ISBLANK(Table1[[#This Row],[Fetal Sex (Male, Female or Unknown)]])),ISNUMBER(Table1[[#This Row],[Birthweight (grams)]]),ISNUMBER(Table1[[#This Row],[Gestation (days)]])),TRUE,FALSE)</f>
        <v>0</v>
      </c>
      <c r="E931" s="2" t="str">
        <f>IF(Table1[[#This Row],[Is Data Valid]]=TRUE,IF(Table1[[#This Row],[Fetal Sex (Male, Female or Unknown)]]="Male",Backend!$C$6,IF(Table1[[#This Row],[Fetal Sex (Male, Female or Unknown)]]="Female",Backend!$C$7,IF(Table1[[#This Row],[Fetal Sex (Male, Female or Unknown)]]="Unknown",Backend!$C$8,"Error"))),"")</f>
        <v/>
      </c>
      <c r="F931" s="8" t="str">
        <f>IF(Table1[[#This Row],[Is Data Valid]]=TRUE,EXP(0.578+0.332*((Table1[[#This Row],[Gestation (days)]]+0.5)/7)-0.00354*((Table1[[#This Row],[Gestation (days)]]+0.5)/7)^2)*Table1[[#This Row],[BW40_3705]],"")</f>
        <v/>
      </c>
      <c r="G931" s="2" t="str">
        <f>IF(Table1[[#This Row],[Is Data Valid]]=TRUE,((Table1[[#This Row],[Birthweight (grams)]]/Table1[[#This Row],[BW_GA]])-1)/(Backend!$B$4/100*Table1[[#This Row],[BW40_3705]]),"")</f>
        <v/>
      </c>
      <c r="H931" s="7" t="str">
        <f>IF(Table1[[#This Row],[Is Data Valid]]=TRUE,((Table1[[#This Row],[Birthweight (grams)]]*0.9/Table1[[#This Row],[BW_GA]])-1)/(Backend!$B$4/100*Table1[[#This Row],[BW40_3705]]),"")</f>
        <v/>
      </c>
      <c r="I931" s="7" t="str">
        <f>IF(Table1[[#This Row],[Is Data Valid]]=TRUE,((Table1[[#This Row],[Birthweight (grams)]]*1.1/Table1[[#This Row],[BW_GA]])-1)/(Backend!$B$4/100*Table1[[#This Row],[BW40_3705]]),"")</f>
        <v/>
      </c>
      <c r="J931" s="7" t="str">
        <f>IF(Table1[[#This Row],[Is Data Valid]]=TRUE,_xlfn.NORM.S.DIST(Table1[[#This Row],[Birthweight Z-Score]],TRUE)*100,"")</f>
        <v/>
      </c>
      <c r="K931" s="7" t="str">
        <f>IF(Table1[[#This Row],[Is Data Valid]]=TRUE,_xlfn.NORM.S.DIST(Table1[[#This Row],[Birthweight Z-Score (BW-10%)]],TRUE)*100,"")</f>
        <v/>
      </c>
      <c r="L931" s="7" t="str">
        <f>IF(Table1[[#This Row],[Is Data Valid]]=TRUE,_xlfn.NORM.S.DIST(Table1[[#This Row],[Birthweight Z-Score (BW+10%)]],TRUE)*100,"")</f>
        <v/>
      </c>
    </row>
    <row r="932" spans="1:12" x14ac:dyDescent="0.35">
      <c r="A932" s="3"/>
      <c r="B932" s="2"/>
      <c r="C932" s="2"/>
      <c r="D932" s="2" t="b">
        <f>IF(AND(NOT(ISBLANK(Table1[[#This Row],[Fetal Sex (Male, Female or Unknown)]])),ISNUMBER(Table1[[#This Row],[Birthweight (grams)]]),ISNUMBER(Table1[[#This Row],[Gestation (days)]])),TRUE,FALSE)</f>
        <v>0</v>
      </c>
      <c r="E932" s="2" t="str">
        <f>IF(Table1[[#This Row],[Is Data Valid]]=TRUE,IF(Table1[[#This Row],[Fetal Sex (Male, Female or Unknown)]]="Male",Backend!$C$6,IF(Table1[[#This Row],[Fetal Sex (Male, Female or Unknown)]]="Female",Backend!$C$7,IF(Table1[[#This Row],[Fetal Sex (Male, Female or Unknown)]]="Unknown",Backend!$C$8,"Error"))),"")</f>
        <v/>
      </c>
      <c r="F932" s="8" t="str">
        <f>IF(Table1[[#This Row],[Is Data Valid]]=TRUE,EXP(0.578+0.332*((Table1[[#This Row],[Gestation (days)]]+0.5)/7)-0.00354*((Table1[[#This Row],[Gestation (days)]]+0.5)/7)^2)*Table1[[#This Row],[BW40_3705]],"")</f>
        <v/>
      </c>
      <c r="G932" s="2" t="str">
        <f>IF(Table1[[#This Row],[Is Data Valid]]=TRUE,((Table1[[#This Row],[Birthweight (grams)]]/Table1[[#This Row],[BW_GA]])-1)/(Backend!$B$4/100*Table1[[#This Row],[BW40_3705]]),"")</f>
        <v/>
      </c>
      <c r="H932" s="7" t="str">
        <f>IF(Table1[[#This Row],[Is Data Valid]]=TRUE,((Table1[[#This Row],[Birthweight (grams)]]*0.9/Table1[[#This Row],[BW_GA]])-1)/(Backend!$B$4/100*Table1[[#This Row],[BW40_3705]]),"")</f>
        <v/>
      </c>
      <c r="I932" s="7" t="str">
        <f>IF(Table1[[#This Row],[Is Data Valid]]=TRUE,((Table1[[#This Row],[Birthweight (grams)]]*1.1/Table1[[#This Row],[BW_GA]])-1)/(Backend!$B$4/100*Table1[[#This Row],[BW40_3705]]),"")</f>
        <v/>
      </c>
      <c r="J932" s="7" t="str">
        <f>IF(Table1[[#This Row],[Is Data Valid]]=TRUE,_xlfn.NORM.S.DIST(Table1[[#This Row],[Birthweight Z-Score]],TRUE)*100,"")</f>
        <v/>
      </c>
      <c r="K932" s="7" t="str">
        <f>IF(Table1[[#This Row],[Is Data Valid]]=TRUE,_xlfn.NORM.S.DIST(Table1[[#This Row],[Birthweight Z-Score (BW-10%)]],TRUE)*100,"")</f>
        <v/>
      </c>
      <c r="L932" s="7" t="str">
        <f>IF(Table1[[#This Row],[Is Data Valid]]=TRUE,_xlfn.NORM.S.DIST(Table1[[#This Row],[Birthweight Z-Score (BW+10%)]],TRUE)*100,"")</f>
        <v/>
      </c>
    </row>
    <row r="933" spans="1:12" x14ac:dyDescent="0.35">
      <c r="A933" s="3"/>
      <c r="B933" s="2"/>
      <c r="C933" s="2"/>
      <c r="D933" s="2" t="b">
        <f>IF(AND(NOT(ISBLANK(Table1[[#This Row],[Fetal Sex (Male, Female or Unknown)]])),ISNUMBER(Table1[[#This Row],[Birthweight (grams)]]),ISNUMBER(Table1[[#This Row],[Gestation (days)]])),TRUE,FALSE)</f>
        <v>0</v>
      </c>
      <c r="E933" s="2" t="str">
        <f>IF(Table1[[#This Row],[Is Data Valid]]=TRUE,IF(Table1[[#This Row],[Fetal Sex (Male, Female or Unknown)]]="Male",Backend!$C$6,IF(Table1[[#This Row],[Fetal Sex (Male, Female or Unknown)]]="Female",Backend!$C$7,IF(Table1[[#This Row],[Fetal Sex (Male, Female or Unknown)]]="Unknown",Backend!$C$8,"Error"))),"")</f>
        <v/>
      </c>
      <c r="F933" s="8" t="str">
        <f>IF(Table1[[#This Row],[Is Data Valid]]=TRUE,EXP(0.578+0.332*((Table1[[#This Row],[Gestation (days)]]+0.5)/7)-0.00354*((Table1[[#This Row],[Gestation (days)]]+0.5)/7)^2)*Table1[[#This Row],[BW40_3705]],"")</f>
        <v/>
      </c>
      <c r="G933" s="2" t="str">
        <f>IF(Table1[[#This Row],[Is Data Valid]]=TRUE,((Table1[[#This Row],[Birthweight (grams)]]/Table1[[#This Row],[BW_GA]])-1)/(Backend!$B$4/100*Table1[[#This Row],[BW40_3705]]),"")</f>
        <v/>
      </c>
      <c r="H933" s="7" t="str">
        <f>IF(Table1[[#This Row],[Is Data Valid]]=TRUE,((Table1[[#This Row],[Birthweight (grams)]]*0.9/Table1[[#This Row],[BW_GA]])-1)/(Backend!$B$4/100*Table1[[#This Row],[BW40_3705]]),"")</f>
        <v/>
      </c>
      <c r="I933" s="7" t="str">
        <f>IF(Table1[[#This Row],[Is Data Valid]]=TRUE,((Table1[[#This Row],[Birthweight (grams)]]*1.1/Table1[[#This Row],[BW_GA]])-1)/(Backend!$B$4/100*Table1[[#This Row],[BW40_3705]]),"")</f>
        <v/>
      </c>
      <c r="J933" s="7" t="str">
        <f>IF(Table1[[#This Row],[Is Data Valid]]=TRUE,_xlfn.NORM.S.DIST(Table1[[#This Row],[Birthweight Z-Score]],TRUE)*100,"")</f>
        <v/>
      </c>
      <c r="K933" s="7" t="str">
        <f>IF(Table1[[#This Row],[Is Data Valid]]=TRUE,_xlfn.NORM.S.DIST(Table1[[#This Row],[Birthweight Z-Score (BW-10%)]],TRUE)*100,"")</f>
        <v/>
      </c>
      <c r="L933" s="7" t="str">
        <f>IF(Table1[[#This Row],[Is Data Valid]]=TRUE,_xlfn.NORM.S.DIST(Table1[[#This Row],[Birthweight Z-Score (BW+10%)]],TRUE)*100,"")</f>
        <v/>
      </c>
    </row>
    <row r="934" spans="1:12" x14ac:dyDescent="0.35">
      <c r="A934" s="3"/>
      <c r="B934" s="2"/>
      <c r="C934" s="2"/>
      <c r="D934" s="2" t="b">
        <f>IF(AND(NOT(ISBLANK(Table1[[#This Row],[Fetal Sex (Male, Female or Unknown)]])),ISNUMBER(Table1[[#This Row],[Birthweight (grams)]]),ISNUMBER(Table1[[#This Row],[Gestation (days)]])),TRUE,FALSE)</f>
        <v>0</v>
      </c>
      <c r="E934" s="2" t="str">
        <f>IF(Table1[[#This Row],[Is Data Valid]]=TRUE,IF(Table1[[#This Row],[Fetal Sex (Male, Female or Unknown)]]="Male",Backend!$C$6,IF(Table1[[#This Row],[Fetal Sex (Male, Female or Unknown)]]="Female",Backend!$C$7,IF(Table1[[#This Row],[Fetal Sex (Male, Female or Unknown)]]="Unknown",Backend!$C$8,"Error"))),"")</f>
        <v/>
      </c>
      <c r="F934" s="8" t="str">
        <f>IF(Table1[[#This Row],[Is Data Valid]]=TRUE,EXP(0.578+0.332*((Table1[[#This Row],[Gestation (days)]]+0.5)/7)-0.00354*((Table1[[#This Row],[Gestation (days)]]+0.5)/7)^2)*Table1[[#This Row],[BW40_3705]],"")</f>
        <v/>
      </c>
      <c r="G934" s="2" t="str">
        <f>IF(Table1[[#This Row],[Is Data Valid]]=TRUE,((Table1[[#This Row],[Birthweight (grams)]]/Table1[[#This Row],[BW_GA]])-1)/(Backend!$B$4/100*Table1[[#This Row],[BW40_3705]]),"")</f>
        <v/>
      </c>
      <c r="H934" s="7" t="str">
        <f>IF(Table1[[#This Row],[Is Data Valid]]=TRUE,((Table1[[#This Row],[Birthweight (grams)]]*0.9/Table1[[#This Row],[BW_GA]])-1)/(Backend!$B$4/100*Table1[[#This Row],[BW40_3705]]),"")</f>
        <v/>
      </c>
      <c r="I934" s="7" t="str">
        <f>IF(Table1[[#This Row],[Is Data Valid]]=TRUE,((Table1[[#This Row],[Birthweight (grams)]]*1.1/Table1[[#This Row],[BW_GA]])-1)/(Backend!$B$4/100*Table1[[#This Row],[BW40_3705]]),"")</f>
        <v/>
      </c>
      <c r="J934" s="7" t="str">
        <f>IF(Table1[[#This Row],[Is Data Valid]]=TRUE,_xlfn.NORM.S.DIST(Table1[[#This Row],[Birthweight Z-Score]],TRUE)*100,"")</f>
        <v/>
      </c>
      <c r="K934" s="7" t="str">
        <f>IF(Table1[[#This Row],[Is Data Valid]]=TRUE,_xlfn.NORM.S.DIST(Table1[[#This Row],[Birthweight Z-Score (BW-10%)]],TRUE)*100,"")</f>
        <v/>
      </c>
      <c r="L934" s="7" t="str">
        <f>IF(Table1[[#This Row],[Is Data Valid]]=TRUE,_xlfn.NORM.S.DIST(Table1[[#This Row],[Birthweight Z-Score (BW+10%)]],TRUE)*100,"")</f>
        <v/>
      </c>
    </row>
    <row r="935" spans="1:12" x14ac:dyDescent="0.35">
      <c r="A935" s="3"/>
      <c r="B935" s="2"/>
      <c r="C935" s="2"/>
      <c r="D935" s="2" t="b">
        <f>IF(AND(NOT(ISBLANK(Table1[[#This Row],[Fetal Sex (Male, Female or Unknown)]])),ISNUMBER(Table1[[#This Row],[Birthweight (grams)]]),ISNUMBER(Table1[[#This Row],[Gestation (days)]])),TRUE,FALSE)</f>
        <v>0</v>
      </c>
      <c r="E935" s="2" t="str">
        <f>IF(Table1[[#This Row],[Is Data Valid]]=TRUE,IF(Table1[[#This Row],[Fetal Sex (Male, Female or Unknown)]]="Male",Backend!$C$6,IF(Table1[[#This Row],[Fetal Sex (Male, Female or Unknown)]]="Female",Backend!$C$7,IF(Table1[[#This Row],[Fetal Sex (Male, Female or Unknown)]]="Unknown",Backend!$C$8,"Error"))),"")</f>
        <v/>
      </c>
      <c r="F935" s="8" t="str">
        <f>IF(Table1[[#This Row],[Is Data Valid]]=TRUE,EXP(0.578+0.332*((Table1[[#This Row],[Gestation (days)]]+0.5)/7)-0.00354*((Table1[[#This Row],[Gestation (days)]]+0.5)/7)^2)*Table1[[#This Row],[BW40_3705]],"")</f>
        <v/>
      </c>
      <c r="G935" s="2" t="str">
        <f>IF(Table1[[#This Row],[Is Data Valid]]=TRUE,((Table1[[#This Row],[Birthweight (grams)]]/Table1[[#This Row],[BW_GA]])-1)/(Backend!$B$4/100*Table1[[#This Row],[BW40_3705]]),"")</f>
        <v/>
      </c>
      <c r="H935" s="7" t="str">
        <f>IF(Table1[[#This Row],[Is Data Valid]]=TRUE,((Table1[[#This Row],[Birthweight (grams)]]*0.9/Table1[[#This Row],[BW_GA]])-1)/(Backend!$B$4/100*Table1[[#This Row],[BW40_3705]]),"")</f>
        <v/>
      </c>
      <c r="I935" s="7" t="str">
        <f>IF(Table1[[#This Row],[Is Data Valid]]=TRUE,((Table1[[#This Row],[Birthweight (grams)]]*1.1/Table1[[#This Row],[BW_GA]])-1)/(Backend!$B$4/100*Table1[[#This Row],[BW40_3705]]),"")</f>
        <v/>
      </c>
      <c r="J935" s="7" t="str">
        <f>IF(Table1[[#This Row],[Is Data Valid]]=TRUE,_xlfn.NORM.S.DIST(Table1[[#This Row],[Birthweight Z-Score]],TRUE)*100,"")</f>
        <v/>
      </c>
      <c r="K935" s="7" t="str">
        <f>IF(Table1[[#This Row],[Is Data Valid]]=TRUE,_xlfn.NORM.S.DIST(Table1[[#This Row],[Birthweight Z-Score (BW-10%)]],TRUE)*100,"")</f>
        <v/>
      </c>
      <c r="L935" s="7" t="str">
        <f>IF(Table1[[#This Row],[Is Data Valid]]=TRUE,_xlfn.NORM.S.DIST(Table1[[#This Row],[Birthweight Z-Score (BW+10%)]],TRUE)*100,"")</f>
        <v/>
      </c>
    </row>
    <row r="936" spans="1:12" x14ac:dyDescent="0.35">
      <c r="A936" s="3"/>
      <c r="B936" s="2"/>
      <c r="C936" s="2"/>
      <c r="D936" s="2" t="b">
        <f>IF(AND(NOT(ISBLANK(Table1[[#This Row],[Fetal Sex (Male, Female or Unknown)]])),ISNUMBER(Table1[[#This Row],[Birthweight (grams)]]),ISNUMBER(Table1[[#This Row],[Gestation (days)]])),TRUE,FALSE)</f>
        <v>0</v>
      </c>
      <c r="E936" s="2" t="str">
        <f>IF(Table1[[#This Row],[Is Data Valid]]=TRUE,IF(Table1[[#This Row],[Fetal Sex (Male, Female or Unknown)]]="Male",Backend!$C$6,IF(Table1[[#This Row],[Fetal Sex (Male, Female or Unknown)]]="Female",Backend!$C$7,IF(Table1[[#This Row],[Fetal Sex (Male, Female or Unknown)]]="Unknown",Backend!$C$8,"Error"))),"")</f>
        <v/>
      </c>
      <c r="F936" s="8" t="str">
        <f>IF(Table1[[#This Row],[Is Data Valid]]=TRUE,EXP(0.578+0.332*((Table1[[#This Row],[Gestation (days)]]+0.5)/7)-0.00354*((Table1[[#This Row],[Gestation (days)]]+0.5)/7)^2)*Table1[[#This Row],[BW40_3705]],"")</f>
        <v/>
      </c>
      <c r="G936" s="2" t="str">
        <f>IF(Table1[[#This Row],[Is Data Valid]]=TRUE,((Table1[[#This Row],[Birthweight (grams)]]/Table1[[#This Row],[BW_GA]])-1)/(Backend!$B$4/100*Table1[[#This Row],[BW40_3705]]),"")</f>
        <v/>
      </c>
      <c r="H936" s="7" t="str">
        <f>IF(Table1[[#This Row],[Is Data Valid]]=TRUE,((Table1[[#This Row],[Birthweight (grams)]]*0.9/Table1[[#This Row],[BW_GA]])-1)/(Backend!$B$4/100*Table1[[#This Row],[BW40_3705]]),"")</f>
        <v/>
      </c>
      <c r="I936" s="7" t="str">
        <f>IF(Table1[[#This Row],[Is Data Valid]]=TRUE,((Table1[[#This Row],[Birthweight (grams)]]*1.1/Table1[[#This Row],[BW_GA]])-1)/(Backend!$B$4/100*Table1[[#This Row],[BW40_3705]]),"")</f>
        <v/>
      </c>
      <c r="J936" s="7" t="str">
        <f>IF(Table1[[#This Row],[Is Data Valid]]=TRUE,_xlfn.NORM.S.DIST(Table1[[#This Row],[Birthweight Z-Score]],TRUE)*100,"")</f>
        <v/>
      </c>
      <c r="K936" s="7" t="str">
        <f>IF(Table1[[#This Row],[Is Data Valid]]=TRUE,_xlfn.NORM.S.DIST(Table1[[#This Row],[Birthweight Z-Score (BW-10%)]],TRUE)*100,"")</f>
        <v/>
      </c>
      <c r="L936" s="7" t="str">
        <f>IF(Table1[[#This Row],[Is Data Valid]]=TRUE,_xlfn.NORM.S.DIST(Table1[[#This Row],[Birthweight Z-Score (BW+10%)]],TRUE)*100,"")</f>
        <v/>
      </c>
    </row>
    <row r="937" spans="1:12" x14ac:dyDescent="0.35">
      <c r="A937" s="3"/>
      <c r="B937" s="2"/>
      <c r="C937" s="2"/>
      <c r="D937" s="2" t="b">
        <f>IF(AND(NOT(ISBLANK(Table1[[#This Row],[Fetal Sex (Male, Female or Unknown)]])),ISNUMBER(Table1[[#This Row],[Birthweight (grams)]]),ISNUMBER(Table1[[#This Row],[Gestation (days)]])),TRUE,FALSE)</f>
        <v>0</v>
      </c>
      <c r="E937" s="2" t="str">
        <f>IF(Table1[[#This Row],[Is Data Valid]]=TRUE,IF(Table1[[#This Row],[Fetal Sex (Male, Female or Unknown)]]="Male",Backend!$C$6,IF(Table1[[#This Row],[Fetal Sex (Male, Female or Unknown)]]="Female",Backend!$C$7,IF(Table1[[#This Row],[Fetal Sex (Male, Female or Unknown)]]="Unknown",Backend!$C$8,"Error"))),"")</f>
        <v/>
      </c>
      <c r="F937" s="8" t="str">
        <f>IF(Table1[[#This Row],[Is Data Valid]]=TRUE,EXP(0.578+0.332*((Table1[[#This Row],[Gestation (days)]]+0.5)/7)-0.00354*((Table1[[#This Row],[Gestation (days)]]+0.5)/7)^2)*Table1[[#This Row],[BW40_3705]],"")</f>
        <v/>
      </c>
      <c r="G937" s="2" t="str">
        <f>IF(Table1[[#This Row],[Is Data Valid]]=TRUE,((Table1[[#This Row],[Birthweight (grams)]]/Table1[[#This Row],[BW_GA]])-1)/(Backend!$B$4/100*Table1[[#This Row],[BW40_3705]]),"")</f>
        <v/>
      </c>
      <c r="H937" s="7" t="str">
        <f>IF(Table1[[#This Row],[Is Data Valid]]=TRUE,((Table1[[#This Row],[Birthweight (grams)]]*0.9/Table1[[#This Row],[BW_GA]])-1)/(Backend!$B$4/100*Table1[[#This Row],[BW40_3705]]),"")</f>
        <v/>
      </c>
      <c r="I937" s="7" t="str">
        <f>IF(Table1[[#This Row],[Is Data Valid]]=TRUE,((Table1[[#This Row],[Birthweight (grams)]]*1.1/Table1[[#This Row],[BW_GA]])-1)/(Backend!$B$4/100*Table1[[#This Row],[BW40_3705]]),"")</f>
        <v/>
      </c>
      <c r="J937" s="7" t="str">
        <f>IF(Table1[[#This Row],[Is Data Valid]]=TRUE,_xlfn.NORM.S.DIST(Table1[[#This Row],[Birthweight Z-Score]],TRUE)*100,"")</f>
        <v/>
      </c>
      <c r="K937" s="7" t="str">
        <f>IF(Table1[[#This Row],[Is Data Valid]]=TRUE,_xlfn.NORM.S.DIST(Table1[[#This Row],[Birthweight Z-Score (BW-10%)]],TRUE)*100,"")</f>
        <v/>
      </c>
      <c r="L937" s="7" t="str">
        <f>IF(Table1[[#This Row],[Is Data Valid]]=TRUE,_xlfn.NORM.S.DIST(Table1[[#This Row],[Birthweight Z-Score (BW+10%)]],TRUE)*100,"")</f>
        <v/>
      </c>
    </row>
    <row r="938" spans="1:12" x14ac:dyDescent="0.35">
      <c r="A938" s="3"/>
      <c r="B938" s="2"/>
      <c r="C938" s="2"/>
      <c r="D938" s="2" t="b">
        <f>IF(AND(NOT(ISBLANK(Table1[[#This Row],[Fetal Sex (Male, Female or Unknown)]])),ISNUMBER(Table1[[#This Row],[Birthweight (grams)]]),ISNUMBER(Table1[[#This Row],[Gestation (days)]])),TRUE,FALSE)</f>
        <v>0</v>
      </c>
      <c r="E938" s="2" t="str">
        <f>IF(Table1[[#This Row],[Is Data Valid]]=TRUE,IF(Table1[[#This Row],[Fetal Sex (Male, Female or Unknown)]]="Male",Backend!$C$6,IF(Table1[[#This Row],[Fetal Sex (Male, Female or Unknown)]]="Female",Backend!$C$7,IF(Table1[[#This Row],[Fetal Sex (Male, Female or Unknown)]]="Unknown",Backend!$C$8,"Error"))),"")</f>
        <v/>
      </c>
      <c r="F938" s="8" t="str">
        <f>IF(Table1[[#This Row],[Is Data Valid]]=TRUE,EXP(0.578+0.332*((Table1[[#This Row],[Gestation (days)]]+0.5)/7)-0.00354*((Table1[[#This Row],[Gestation (days)]]+0.5)/7)^2)*Table1[[#This Row],[BW40_3705]],"")</f>
        <v/>
      </c>
      <c r="G938" s="2" t="str">
        <f>IF(Table1[[#This Row],[Is Data Valid]]=TRUE,((Table1[[#This Row],[Birthweight (grams)]]/Table1[[#This Row],[BW_GA]])-1)/(Backend!$B$4/100*Table1[[#This Row],[BW40_3705]]),"")</f>
        <v/>
      </c>
      <c r="H938" s="7" t="str">
        <f>IF(Table1[[#This Row],[Is Data Valid]]=TRUE,((Table1[[#This Row],[Birthweight (grams)]]*0.9/Table1[[#This Row],[BW_GA]])-1)/(Backend!$B$4/100*Table1[[#This Row],[BW40_3705]]),"")</f>
        <v/>
      </c>
      <c r="I938" s="7" t="str">
        <f>IF(Table1[[#This Row],[Is Data Valid]]=TRUE,((Table1[[#This Row],[Birthweight (grams)]]*1.1/Table1[[#This Row],[BW_GA]])-1)/(Backend!$B$4/100*Table1[[#This Row],[BW40_3705]]),"")</f>
        <v/>
      </c>
      <c r="J938" s="7" t="str">
        <f>IF(Table1[[#This Row],[Is Data Valid]]=TRUE,_xlfn.NORM.S.DIST(Table1[[#This Row],[Birthweight Z-Score]],TRUE)*100,"")</f>
        <v/>
      </c>
      <c r="K938" s="7" t="str">
        <f>IF(Table1[[#This Row],[Is Data Valid]]=TRUE,_xlfn.NORM.S.DIST(Table1[[#This Row],[Birthweight Z-Score (BW-10%)]],TRUE)*100,"")</f>
        <v/>
      </c>
      <c r="L938" s="7" t="str">
        <f>IF(Table1[[#This Row],[Is Data Valid]]=TRUE,_xlfn.NORM.S.DIST(Table1[[#This Row],[Birthweight Z-Score (BW+10%)]],TRUE)*100,"")</f>
        <v/>
      </c>
    </row>
    <row r="939" spans="1:12" x14ac:dyDescent="0.35">
      <c r="A939" s="3"/>
      <c r="B939" s="2"/>
      <c r="C939" s="2"/>
      <c r="D939" s="2" t="b">
        <f>IF(AND(NOT(ISBLANK(Table1[[#This Row],[Fetal Sex (Male, Female or Unknown)]])),ISNUMBER(Table1[[#This Row],[Birthweight (grams)]]),ISNUMBER(Table1[[#This Row],[Gestation (days)]])),TRUE,FALSE)</f>
        <v>0</v>
      </c>
      <c r="E939" s="2" t="str">
        <f>IF(Table1[[#This Row],[Is Data Valid]]=TRUE,IF(Table1[[#This Row],[Fetal Sex (Male, Female or Unknown)]]="Male",Backend!$C$6,IF(Table1[[#This Row],[Fetal Sex (Male, Female or Unknown)]]="Female",Backend!$C$7,IF(Table1[[#This Row],[Fetal Sex (Male, Female or Unknown)]]="Unknown",Backend!$C$8,"Error"))),"")</f>
        <v/>
      </c>
      <c r="F939" s="8" t="str">
        <f>IF(Table1[[#This Row],[Is Data Valid]]=TRUE,EXP(0.578+0.332*((Table1[[#This Row],[Gestation (days)]]+0.5)/7)-0.00354*((Table1[[#This Row],[Gestation (days)]]+0.5)/7)^2)*Table1[[#This Row],[BW40_3705]],"")</f>
        <v/>
      </c>
      <c r="G939" s="2" t="str">
        <f>IF(Table1[[#This Row],[Is Data Valid]]=TRUE,((Table1[[#This Row],[Birthweight (grams)]]/Table1[[#This Row],[BW_GA]])-1)/(Backend!$B$4/100*Table1[[#This Row],[BW40_3705]]),"")</f>
        <v/>
      </c>
      <c r="H939" s="7" t="str">
        <f>IF(Table1[[#This Row],[Is Data Valid]]=TRUE,((Table1[[#This Row],[Birthweight (grams)]]*0.9/Table1[[#This Row],[BW_GA]])-1)/(Backend!$B$4/100*Table1[[#This Row],[BW40_3705]]),"")</f>
        <v/>
      </c>
      <c r="I939" s="7" t="str">
        <f>IF(Table1[[#This Row],[Is Data Valid]]=TRUE,((Table1[[#This Row],[Birthweight (grams)]]*1.1/Table1[[#This Row],[BW_GA]])-1)/(Backend!$B$4/100*Table1[[#This Row],[BW40_3705]]),"")</f>
        <v/>
      </c>
      <c r="J939" s="7" t="str">
        <f>IF(Table1[[#This Row],[Is Data Valid]]=TRUE,_xlfn.NORM.S.DIST(Table1[[#This Row],[Birthweight Z-Score]],TRUE)*100,"")</f>
        <v/>
      </c>
      <c r="K939" s="7" t="str">
        <f>IF(Table1[[#This Row],[Is Data Valid]]=TRUE,_xlfn.NORM.S.DIST(Table1[[#This Row],[Birthweight Z-Score (BW-10%)]],TRUE)*100,"")</f>
        <v/>
      </c>
      <c r="L939" s="7" t="str">
        <f>IF(Table1[[#This Row],[Is Data Valid]]=TRUE,_xlfn.NORM.S.DIST(Table1[[#This Row],[Birthweight Z-Score (BW+10%)]],TRUE)*100,"")</f>
        <v/>
      </c>
    </row>
    <row r="940" spans="1:12" x14ac:dyDescent="0.35">
      <c r="A940" s="3"/>
      <c r="B940" s="2"/>
      <c r="C940" s="2"/>
      <c r="D940" s="2" t="b">
        <f>IF(AND(NOT(ISBLANK(Table1[[#This Row],[Fetal Sex (Male, Female or Unknown)]])),ISNUMBER(Table1[[#This Row],[Birthweight (grams)]]),ISNUMBER(Table1[[#This Row],[Gestation (days)]])),TRUE,FALSE)</f>
        <v>0</v>
      </c>
      <c r="E940" s="2" t="str">
        <f>IF(Table1[[#This Row],[Is Data Valid]]=TRUE,IF(Table1[[#This Row],[Fetal Sex (Male, Female or Unknown)]]="Male",Backend!$C$6,IF(Table1[[#This Row],[Fetal Sex (Male, Female or Unknown)]]="Female",Backend!$C$7,IF(Table1[[#This Row],[Fetal Sex (Male, Female or Unknown)]]="Unknown",Backend!$C$8,"Error"))),"")</f>
        <v/>
      </c>
      <c r="F940" s="8" t="str">
        <f>IF(Table1[[#This Row],[Is Data Valid]]=TRUE,EXP(0.578+0.332*((Table1[[#This Row],[Gestation (days)]]+0.5)/7)-0.00354*((Table1[[#This Row],[Gestation (days)]]+0.5)/7)^2)*Table1[[#This Row],[BW40_3705]],"")</f>
        <v/>
      </c>
      <c r="G940" s="2" t="str">
        <f>IF(Table1[[#This Row],[Is Data Valid]]=TRUE,((Table1[[#This Row],[Birthweight (grams)]]/Table1[[#This Row],[BW_GA]])-1)/(Backend!$B$4/100*Table1[[#This Row],[BW40_3705]]),"")</f>
        <v/>
      </c>
      <c r="H940" s="7" t="str">
        <f>IF(Table1[[#This Row],[Is Data Valid]]=TRUE,((Table1[[#This Row],[Birthweight (grams)]]*0.9/Table1[[#This Row],[BW_GA]])-1)/(Backend!$B$4/100*Table1[[#This Row],[BW40_3705]]),"")</f>
        <v/>
      </c>
      <c r="I940" s="7" t="str">
        <f>IF(Table1[[#This Row],[Is Data Valid]]=TRUE,((Table1[[#This Row],[Birthweight (grams)]]*1.1/Table1[[#This Row],[BW_GA]])-1)/(Backend!$B$4/100*Table1[[#This Row],[BW40_3705]]),"")</f>
        <v/>
      </c>
      <c r="J940" s="7" t="str">
        <f>IF(Table1[[#This Row],[Is Data Valid]]=TRUE,_xlfn.NORM.S.DIST(Table1[[#This Row],[Birthweight Z-Score]],TRUE)*100,"")</f>
        <v/>
      </c>
      <c r="K940" s="7" t="str">
        <f>IF(Table1[[#This Row],[Is Data Valid]]=TRUE,_xlfn.NORM.S.DIST(Table1[[#This Row],[Birthweight Z-Score (BW-10%)]],TRUE)*100,"")</f>
        <v/>
      </c>
      <c r="L940" s="7" t="str">
        <f>IF(Table1[[#This Row],[Is Data Valid]]=TRUE,_xlfn.NORM.S.DIST(Table1[[#This Row],[Birthweight Z-Score (BW+10%)]],TRUE)*100,"")</f>
        <v/>
      </c>
    </row>
    <row r="941" spans="1:12" x14ac:dyDescent="0.35">
      <c r="A941" s="3"/>
      <c r="B941" s="2"/>
      <c r="C941" s="2"/>
      <c r="D941" s="2" t="b">
        <f>IF(AND(NOT(ISBLANK(Table1[[#This Row],[Fetal Sex (Male, Female or Unknown)]])),ISNUMBER(Table1[[#This Row],[Birthweight (grams)]]),ISNUMBER(Table1[[#This Row],[Gestation (days)]])),TRUE,FALSE)</f>
        <v>0</v>
      </c>
      <c r="E941" s="2" t="str">
        <f>IF(Table1[[#This Row],[Is Data Valid]]=TRUE,IF(Table1[[#This Row],[Fetal Sex (Male, Female or Unknown)]]="Male",Backend!$C$6,IF(Table1[[#This Row],[Fetal Sex (Male, Female or Unknown)]]="Female",Backend!$C$7,IF(Table1[[#This Row],[Fetal Sex (Male, Female or Unknown)]]="Unknown",Backend!$C$8,"Error"))),"")</f>
        <v/>
      </c>
      <c r="F941" s="8" t="str">
        <f>IF(Table1[[#This Row],[Is Data Valid]]=TRUE,EXP(0.578+0.332*((Table1[[#This Row],[Gestation (days)]]+0.5)/7)-0.00354*((Table1[[#This Row],[Gestation (days)]]+0.5)/7)^2)*Table1[[#This Row],[BW40_3705]],"")</f>
        <v/>
      </c>
      <c r="G941" s="2" t="str">
        <f>IF(Table1[[#This Row],[Is Data Valid]]=TRUE,((Table1[[#This Row],[Birthweight (grams)]]/Table1[[#This Row],[BW_GA]])-1)/(Backend!$B$4/100*Table1[[#This Row],[BW40_3705]]),"")</f>
        <v/>
      </c>
      <c r="H941" s="7" t="str">
        <f>IF(Table1[[#This Row],[Is Data Valid]]=TRUE,((Table1[[#This Row],[Birthweight (grams)]]*0.9/Table1[[#This Row],[BW_GA]])-1)/(Backend!$B$4/100*Table1[[#This Row],[BW40_3705]]),"")</f>
        <v/>
      </c>
      <c r="I941" s="7" t="str">
        <f>IF(Table1[[#This Row],[Is Data Valid]]=TRUE,((Table1[[#This Row],[Birthweight (grams)]]*1.1/Table1[[#This Row],[BW_GA]])-1)/(Backend!$B$4/100*Table1[[#This Row],[BW40_3705]]),"")</f>
        <v/>
      </c>
      <c r="J941" s="7" t="str">
        <f>IF(Table1[[#This Row],[Is Data Valid]]=TRUE,_xlfn.NORM.S.DIST(Table1[[#This Row],[Birthweight Z-Score]],TRUE)*100,"")</f>
        <v/>
      </c>
      <c r="K941" s="7" t="str">
        <f>IF(Table1[[#This Row],[Is Data Valid]]=TRUE,_xlfn.NORM.S.DIST(Table1[[#This Row],[Birthweight Z-Score (BW-10%)]],TRUE)*100,"")</f>
        <v/>
      </c>
      <c r="L941" s="7" t="str">
        <f>IF(Table1[[#This Row],[Is Data Valid]]=TRUE,_xlfn.NORM.S.DIST(Table1[[#This Row],[Birthweight Z-Score (BW+10%)]],TRUE)*100,"")</f>
        <v/>
      </c>
    </row>
    <row r="942" spans="1:12" x14ac:dyDescent="0.35">
      <c r="A942" s="3"/>
      <c r="B942" s="2"/>
      <c r="C942" s="2"/>
      <c r="D942" s="2" t="b">
        <f>IF(AND(NOT(ISBLANK(Table1[[#This Row],[Fetal Sex (Male, Female or Unknown)]])),ISNUMBER(Table1[[#This Row],[Birthweight (grams)]]),ISNUMBER(Table1[[#This Row],[Gestation (days)]])),TRUE,FALSE)</f>
        <v>0</v>
      </c>
      <c r="E942" s="2" t="str">
        <f>IF(Table1[[#This Row],[Is Data Valid]]=TRUE,IF(Table1[[#This Row],[Fetal Sex (Male, Female or Unknown)]]="Male",Backend!$C$6,IF(Table1[[#This Row],[Fetal Sex (Male, Female or Unknown)]]="Female",Backend!$C$7,IF(Table1[[#This Row],[Fetal Sex (Male, Female or Unknown)]]="Unknown",Backend!$C$8,"Error"))),"")</f>
        <v/>
      </c>
      <c r="F942" s="8" t="str">
        <f>IF(Table1[[#This Row],[Is Data Valid]]=TRUE,EXP(0.578+0.332*((Table1[[#This Row],[Gestation (days)]]+0.5)/7)-0.00354*((Table1[[#This Row],[Gestation (days)]]+0.5)/7)^2)*Table1[[#This Row],[BW40_3705]],"")</f>
        <v/>
      </c>
      <c r="G942" s="2" t="str">
        <f>IF(Table1[[#This Row],[Is Data Valid]]=TRUE,((Table1[[#This Row],[Birthweight (grams)]]/Table1[[#This Row],[BW_GA]])-1)/(Backend!$B$4/100*Table1[[#This Row],[BW40_3705]]),"")</f>
        <v/>
      </c>
      <c r="H942" s="7" t="str">
        <f>IF(Table1[[#This Row],[Is Data Valid]]=TRUE,((Table1[[#This Row],[Birthweight (grams)]]*0.9/Table1[[#This Row],[BW_GA]])-1)/(Backend!$B$4/100*Table1[[#This Row],[BW40_3705]]),"")</f>
        <v/>
      </c>
      <c r="I942" s="7" t="str">
        <f>IF(Table1[[#This Row],[Is Data Valid]]=TRUE,((Table1[[#This Row],[Birthweight (grams)]]*1.1/Table1[[#This Row],[BW_GA]])-1)/(Backend!$B$4/100*Table1[[#This Row],[BW40_3705]]),"")</f>
        <v/>
      </c>
      <c r="J942" s="7" t="str">
        <f>IF(Table1[[#This Row],[Is Data Valid]]=TRUE,_xlfn.NORM.S.DIST(Table1[[#This Row],[Birthweight Z-Score]],TRUE)*100,"")</f>
        <v/>
      </c>
      <c r="K942" s="7" t="str">
        <f>IF(Table1[[#This Row],[Is Data Valid]]=TRUE,_xlfn.NORM.S.DIST(Table1[[#This Row],[Birthweight Z-Score (BW-10%)]],TRUE)*100,"")</f>
        <v/>
      </c>
      <c r="L942" s="7" t="str">
        <f>IF(Table1[[#This Row],[Is Data Valid]]=TRUE,_xlfn.NORM.S.DIST(Table1[[#This Row],[Birthweight Z-Score (BW+10%)]],TRUE)*100,"")</f>
        <v/>
      </c>
    </row>
    <row r="943" spans="1:12" x14ac:dyDescent="0.35">
      <c r="A943" s="3"/>
      <c r="B943" s="2"/>
      <c r="C943" s="2"/>
      <c r="D943" s="2" t="b">
        <f>IF(AND(NOT(ISBLANK(Table1[[#This Row],[Fetal Sex (Male, Female or Unknown)]])),ISNUMBER(Table1[[#This Row],[Birthweight (grams)]]),ISNUMBER(Table1[[#This Row],[Gestation (days)]])),TRUE,FALSE)</f>
        <v>0</v>
      </c>
      <c r="E943" s="2" t="str">
        <f>IF(Table1[[#This Row],[Is Data Valid]]=TRUE,IF(Table1[[#This Row],[Fetal Sex (Male, Female or Unknown)]]="Male",Backend!$C$6,IF(Table1[[#This Row],[Fetal Sex (Male, Female or Unknown)]]="Female",Backend!$C$7,IF(Table1[[#This Row],[Fetal Sex (Male, Female or Unknown)]]="Unknown",Backend!$C$8,"Error"))),"")</f>
        <v/>
      </c>
      <c r="F943" s="8" t="str">
        <f>IF(Table1[[#This Row],[Is Data Valid]]=TRUE,EXP(0.578+0.332*((Table1[[#This Row],[Gestation (days)]]+0.5)/7)-0.00354*((Table1[[#This Row],[Gestation (days)]]+0.5)/7)^2)*Table1[[#This Row],[BW40_3705]],"")</f>
        <v/>
      </c>
      <c r="G943" s="2" t="str">
        <f>IF(Table1[[#This Row],[Is Data Valid]]=TRUE,((Table1[[#This Row],[Birthweight (grams)]]/Table1[[#This Row],[BW_GA]])-1)/(Backend!$B$4/100*Table1[[#This Row],[BW40_3705]]),"")</f>
        <v/>
      </c>
      <c r="H943" s="7" t="str">
        <f>IF(Table1[[#This Row],[Is Data Valid]]=TRUE,((Table1[[#This Row],[Birthweight (grams)]]*0.9/Table1[[#This Row],[BW_GA]])-1)/(Backend!$B$4/100*Table1[[#This Row],[BW40_3705]]),"")</f>
        <v/>
      </c>
      <c r="I943" s="7" t="str">
        <f>IF(Table1[[#This Row],[Is Data Valid]]=TRUE,((Table1[[#This Row],[Birthweight (grams)]]*1.1/Table1[[#This Row],[BW_GA]])-1)/(Backend!$B$4/100*Table1[[#This Row],[BW40_3705]]),"")</f>
        <v/>
      </c>
      <c r="J943" s="7" t="str">
        <f>IF(Table1[[#This Row],[Is Data Valid]]=TRUE,_xlfn.NORM.S.DIST(Table1[[#This Row],[Birthweight Z-Score]],TRUE)*100,"")</f>
        <v/>
      </c>
      <c r="K943" s="7" t="str">
        <f>IF(Table1[[#This Row],[Is Data Valid]]=TRUE,_xlfn.NORM.S.DIST(Table1[[#This Row],[Birthweight Z-Score (BW-10%)]],TRUE)*100,"")</f>
        <v/>
      </c>
      <c r="L943" s="7" t="str">
        <f>IF(Table1[[#This Row],[Is Data Valid]]=TRUE,_xlfn.NORM.S.DIST(Table1[[#This Row],[Birthweight Z-Score (BW+10%)]],TRUE)*100,"")</f>
        <v/>
      </c>
    </row>
    <row r="944" spans="1:12" x14ac:dyDescent="0.35">
      <c r="A944" s="3"/>
      <c r="B944" s="2"/>
      <c r="C944" s="2"/>
      <c r="D944" s="2" t="b">
        <f>IF(AND(NOT(ISBLANK(Table1[[#This Row],[Fetal Sex (Male, Female or Unknown)]])),ISNUMBER(Table1[[#This Row],[Birthweight (grams)]]),ISNUMBER(Table1[[#This Row],[Gestation (days)]])),TRUE,FALSE)</f>
        <v>0</v>
      </c>
      <c r="E944" s="2" t="str">
        <f>IF(Table1[[#This Row],[Is Data Valid]]=TRUE,IF(Table1[[#This Row],[Fetal Sex (Male, Female or Unknown)]]="Male",Backend!$C$6,IF(Table1[[#This Row],[Fetal Sex (Male, Female or Unknown)]]="Female",Backend!$C$7,IF(Table1[[#This Row],[Fetal Sex (Male, Female or Unknown)]]="Unknown",Backend!$C$8,"Error"))),"")</f>
        <v/>
      </c>
      <c r="F944" s="8" t="str">
        <f>IF(Table1[[#This Row],[Is Data Valid]]=TRUE,EXP(0.578+0.332*((Table1[[#This Row],[Gestation (days)]]+0.5)/7)-0.00354*((Table1[[#This Row],[Gestation (days)]]+0.5)/7)^2)*Table1[[#This Row],[BW40_3705]],"")</f>
        <v/>
      </c>
      <c r="G944" s="2" t="str">
        <f>IF(Table1[[#This Row],[Is Data Valid]]=TRUE,((Table1[[#This Row],[Birthweight (grams)]]/Table1[[#This Row],[BW_GA]])-1)/(Backend!$B$4/100*Table1[[#This Row],[BW40_3705]]),"")</f>
        <v/>
      </c>
      <c r="H944" s="7" t="str">
        <f>IF(Table1[[#This Row],[Is Data Valid]]=TRUE,((Table1[[#This Row],[Birthweight (grams)]]*0.9/Table1[[#This Row],[BW_GA]])-1)/(Backend!$B$4/100*Table1[[#This Row],[BW40_3705]]),"")</f>
        <v/>
      </c>
      <c r="I944" s="7" t="str">
        <f>IF(Table1[[#This Row],[Is Data Valid]]=TRUE,((Table1[[#This Row],[Birthweight (grams)]]*1.1/Table1[[#This Row],[BW_GA]])-1)/(Backend!$B$4/100*Table1[[#This Row],[BW40_3705]]),"")</f>
        <v/>
      </c>
      <c r="J944" s="7" t="str">
        <f>IF(Table1[[#This Row],[Is Data Valid]]=TRUE,_xlfn.NORM.S.DIST(Table1[[#This Row],[Birthweight Z-Score]],TRUE)*100,"")</f>
        <v/>
      </c>
      <c r="K944" s="7" t="str">
        <f>IF(Table1[[#This Row],[Is Data Valid]]=TRUE,_xlfn.NORM.S.DIST(Table1[[#This Row],[Birthweight Z-Score (BW-10%)]],TRUE)*100,"")</f>
        <v/>
      </c>
      <c r="L944" s="7" t="str">
        <f>IF(Table1[[#This Row],[Is Data Valid]]=TRUE,_xlfn.NORM.S.DIST(Table1[[#This Row],[Birthweight Z-Score (BW+10%)]],TRUE)*100,"")</f>
        <v/>
      </c>
    </row>
    <row r="945" spans="1:12" x14ac:dyDescent="0.35">
      <c r="A945" s="3"/>
      <c r="B945" s="2"/>
      <c r="C945" s="2"/>
      <c r="D945" s="2" t="b">
        <f>IF(AND(NOT(ISBLANK(Table1[[#This Row],[Fetal Sex (Male, Female or Unknown)]])),ISNUMBER(Table1[[#This Row],[Birthweight (grams)]]),ISNUMBER(Table1[[#This Row],[Gestation (days)]])),TRUE,FALSE)</f>
        <v>0</v>
      </c>
      <c r="E945" s="2" t="str">
        <f>IF(Table1[[#This Row],[Is Data Valid]]=TRUE,IF(Table1[[#This Row],[Fetal Sex (Male, Female or Unknown)]]="Male",Backend!$C$6,IF(Table1[[#This Row],[Fetal Sex (Male, Female or Unknown)]]="Female",Backend!$C$7,IF(Table1[[#This Row],[Fetal Sex (Male, Female or Unknown)]]="Unknown",Backend!$C$8,"Error"))),"")</f>
        <v/>
      </c>
      <c r="F945" s="8" t="str">
        <f>IF(Table1[[#This Row],[Is Data Valid]]=TRUE,EXP(0.578+0.332*((Table1[[#This Row],[Gestation (days)]]+0.5)/7)-0.00354*((Table1[[#This Row],[Gestation (days)]]+0.5)/7)^2)*Table1[[#This Row],[BW40_3705]],"")</f>
        <v/>
      </c>
      <c r="G945" s="2" t="str">
        <f>IF(Table1[[#This Row],[Is Data Valid]]=TRUE,((Table1[[#This Row],[Birthweight (grams)]]/Table1[[#This Row],[BW_GA]])-1)/(Backend!$B$4/100*Table1[[#This Row],[BW40_3705]]),"")</f>
        <v/>
      </c>
      <c r="H945" s="7" t="str">
        <f>IF(Table1[[#This Row],[Is Data Valid]]=TRUE,((Table1[[#This Row],[Birthweight (grams)]]*0.9/Table1[[#This Row],[BW_GA]])-1)/(Backend!$B$4/100*Table1[[#This Row],[BW40_3705]]),"")</f>
        <v/>
      </c>
      <c r="I945" s="7" t="str">
        <f>IF(Table1[[#This Row],[Is Data Valid]]=TRUE,((Table1[[#This Row],[Birthweight (grams)]]*1.1/Table1[[#This Row],[BW_GA]])-1)/(Backend!$B$4/100*Table1[[#This Row],[BW40_3705]]),"")</f>
        <v/>
      </c>
      <c r="J945" s="7" t="str">
        <f>IF(Table1[[#This Row],[Is Data Valid]]=TRUE,_xlfn.NORM.S.DIST(Table1[[#This Row],[Birthweight Z-Score]],TRUE)*100,"")</f>
        <v/>
      </c>
      <c r="K945" s="7" t="str">
        <f>IF(Table1[[#This Row],[Is Data Valid]]=TRUE,_xlfn.NORM.S.DIST(Table1[[#This Row],[Birthweight Z-Score (BW-10%)]],TRUE)*100,"")</f>
        <v/>
      </c>
      <c r="L945" s="7" t="str">
        <f>IF(Table1[[#This Row],[Is Data Valid]]=TRUE,_xlfn.NORM.S.DIST(Table1[[#This Row],[Birthweight Z-Score (BW+10%)]],TRUE)*100,"")</f>
        <v/>
      </c>
    </row>
    <row r="946" spans="1:12" x14ac:dyDescent="0.35">
      <c r="A946" s="3"/>
      <c r="B946" s="2"/>
      <c r="C946" s="2"/>
      <c r="D946" s="2" t="b">
        <f>IF(AND(NOT(ISBLANK(Table1[[#This Row],[Fetal Sex (Male, Female or Unknown)]])),ISNUMBER(Table1[[#This Row],[Birthweight (grams)]]),ISNUMBER(Table1[[#This Row],[Gestation (days)]])),TRUE,FALSE)</f>
        <v>0</v>
      </c>
      <c r="E946" s="2" t="str">
        <f>IF(Table1[[#This Row],[Is Data Valid]]=TRUE,IF(Table1[[#This Row],[Fetal Sex (Male, Female or Unknown)]]="Male",Backend!$C$6,IF(Table1[[#This Row],[Fetal Sex (Male, Female or Unknown)]]="Female",Backend!$C$7,IF(Table1[[#This Row],[Fetal Sex (Male, Female or Unknown)]]="Unknown",Backend!$C$8,"Error"))),"")</f>
        <v/>
      </c>
      <c r="F946" s="8" t="str">
        <f>IF(Table1[[#This Row],[Is Data Valid]]=TRUE,EXP(0.578+0.332*((Table1[[#This Row],[Gestation (days)]]+0.5)/7)-0.00354*((Table1[[#This Row],[Gestation (days)]]+0.5)/7)^2)*Table1[[#This Row],[BW40_3705]],"")</f>
        <v/>
      </c>
      <c r="G946" s="2" t="str">
        <f>IF(Table1[[#This Row],[Is Data Valid]]=TRUE,((Table1[[#This Row],[Birthweight (grams)]]/Table1[[#This Row],[BW_GA]])-1)/(Backend!$B$4/100*Table1[[#This Row],[BW40_3705]]),"")</f>
        <v/>
      </c>
      <c r="H946" s="7" t="str">
        <f>IF(Table1[[#This Row],[Is Data Valid]]=TRUE,((Table1[[#This Row],[Birthweight (grams)]]*0.9/Table1[[#This Row],[BW_GA]])-1)/(Backend!$B$4/100*Table1[[#This Row],[BW40_3705]]),"")</f>
        <v/>
      </c>
      <c r="I946" s="7" t="str">
        <f>IF(Table1[[#This Row],[Is Data Valid]]=TRUE,((Table1[[#This Row],[Birthweight (grams)]]*1.1/Table1[[#This Row],[BW_GA]])-1)/(Backend!$B$4/100*Table1[[#This Row],[BW40_3705]]),"")</f>
        <v/>
      </c>
      <c r="J946" s="7" t="str">
        <f>IF(Table1[[#This Row],[Is Data Valid]]=TRUE,_xlfn.NORM.S.DIST(Table1[[#This Row],[Birthweight Z-Score]],TRUE)*100,"")</f>
        <v/>
      </c>
      <c r="K946" s="7" t="str">
        <f>IF(Table1[[#This Row],[Is Data Valid]]=TRUE,_xlfn.NORM.S.DIST(Table1[[#This Row],[Birthweight Z-Score (BW-10%)]],TRUE)*100,"")</f>
        <v/>
      </c>
      <c r="L946" s="7" t="str">
        <f>IF(Table1[[#This Row],[Is Data Valid]]=TRUE,_xlfn.NORM.S.DIST(Table1[[#This Row],[Birthweight Z-Score (BW+10%)]],TRUE)*100,"")</f>
        <v/>
      </c>
    </row>
    <row r="947" spans="1:12" x14ac:dyDescent="0.35">
      <c r="A947" s="3"/>
      <c r="B947" s="2"/>
      <c r="C947" s="2"/>
      <c r="D947" s="2" t="b">
        <f>IF(AND(NOT(ISBLANK(Table1[[#This Row],[Fetal Sex (Male, Female or Unknown)]])),ISNUMBER(Table1[[#This Row],[Birthweight (grams)]]),ISNUMBER(Table1[[#This Row],[Gestation (days)]])),TRUE,FALSE)</f>
        <v>0</v>
      </c>
      <c r="E947" s="2" t="str">
        <f>IF(Table1[[#This Row],[Is Data Valid]]=TRUE,IF(Table1[[#This Row],[Fetal Sex (Male, Female or Unknown)]]="Male",Backend!$C$6,IF(Table1[[#This Row],[Fetal Sex (Male, Female or Unknown)]]="Female",Backend!$C$7,IF(Table1[[#This Row],[Fetal Sex (Male, Female or Unknown)]]="Unknown",Backend!$C$8,"Error"))),"")</f>
        <v/>
      </c>
      <c r="F947" s="8" t="str">
        <f>IF(Table1[[#This Row],[Is Data Valid]]=TRUE,EXP(0.578+0.332*((Table1[[#This Row],[Gestation (days)]]+0.5)/7)-0.00354*((Table1[[#This Row],[Gestation (days)]]+0.5)/7)^2)*Table1[[#This Row],[BW40_3705]],"")</f>
        <v/>
      </c>
      <c r="G947" s="2" t="str">
        <f>IF(Table1[[#This Row],[Is Data Valid]]=TRUE,((Table1[[#This Row],[Birthweight (grams)]]/Table1[[#This Row],[BW_GA]])-1)/(Backend!$B$4/100*Table1[[#This Row],[BW40_3705]]),"")</f>
        <v/>
      </c>
      <c r="H947" s="7" t="str">
        <f>IF(Table1[[#This Row],[Is Data Valid]]=TRUE,((Table1[[#This Row],[Birthweight (grams)]]*0.9/Table1[[#This Row],[BW_GA]])-1)/(Backend!$B$4/100*Table1[[#This Row],[BW40_3705]]),"")</f>
        <v/>
      </c>
      <c r="I947" s="7" t="str">
        <f>IF(Table1[[#This Row],[Is Data Valid]]=TRUE,((Table1[[#This Row],[Birthweight (grams)]]*1.1/Table1[[#This Row],[BW_GA]])-1)/(Backend!$B$4/100*Table1[[#This Row],[BW40_3705]]),"")</f>
        <v/>
      </c>
      <c r="J947" s="7" t="str">
        <f>IF(Table1[[#This Row],[Is Data Valid]]=TRUE,_xlfn.NORM.S.DIST(Table1[[#This Row],[Birthweight Z-Score]],TRUE)*100,"")</f>
        <v/>
      </c>
      <c r="K947" s="7" t="str">
        <f>IF(Table1[[#This Row],[Is Data Valid]]=TRUE,_xlfn.NORM.S.DIST(Table1[[#This Row],[Birthweight Z-Score (BW-10%)]],TRUE)*100,"")</f>
        <v/>
      </c>
      <c r="L947" s="7" t="str">
        <f>IF(Table1[[#This Row],[Is Data Valid]]=TRUE,_xlfn.NORM.S.DIST(Table1[[#This Row],[Birthweight Z-Score (BW+10%)]],TRUE)*100,"")</f>
        <v/>
      </c>
    </row>
    <row r="948" spans="1:12" x14ac:dyDescent="0.35">
      <c r="A948" s="3"/>
      <c r="B948" s="2"/>
      <c r="C948" s="2"/>
      <c r="D948" s="2" t="b">
        <f>IF(AND(NOT(ISBLANK(Table1[[#This Row],[Fetal Sex (Male, Female or Unknown)]])),ISNUMBER(Table1[[#This Row],[Birthweight (grams)]]),ISNUMBER(Table1[[#This Row],[Gestation (days)]])),TRUE,FALSE)</f>
        <v>0</v>
      </c>
      <c r="E948" s="2" t="str">
        <f>IF(Table1[[#This Row],[Is Data Valid]]=TRUE,IF(Table1[[#This Row],[Fetal Sex (Male, Female or Unknown)]]="Male",Backend!$C$6,IF(Table1[[#This Row],[Fetal Sex (Male, Female or Unknown)]]="Female",Backend!$C$7,IF(Table1[[#This Row],[Fetal Sex (Male, Female or Unknown)]]="Unknown",Backend!$C$8,"Error"))),"")</f>
        <v/>
      </c>
      <c r="F948" s="8" t="str">
        <f>IF(Table1[[#This Row],[Is Data Valid]]=TRUE,EXP(0.578+0.332*((Table1[[#This Row],[Gestation (days)]]+0.5)/7)-0.00354*((Table1[[#This Row],[Gestation (days)]]+0.5)/7)^2)*Table1[[#This Row],[BW40_3705]],"")</f>
        <v/>
      </c>
      <c r="G948" s="2" t="str">
        <f>IF(Table1[[#This Row],[Is Data Valid]]=TRUE,((Table1[[#This Row],[Birthweight (grams)]]/Table1[[#This Row],[BW_GA]])-1)/(Backend!$B$4/100*Table1[[#This Row],[BW40_3705]]),"")</f>
        <v/>
      </c>
      <c r="H948" s="7" t="str">
        <f>IF(Table1[[#This Row],[Is Data Valid]]=TRUE,((Table1[[#This Row],[Birthweight (grams)]]*0.9/Table1[[#This Row],[BW_GA]])-1)/(Backend!$B$4/100*Table1[[#This Row],[BW40_3705]]),"")</f>
        <v/>
      </c>
      <c r="I948" s="7" t="str">
        <f>IF(Table1[[#This Row],[Is Data Valid]]=TRUE,((Table1[[#This Row],[Birthweight (grams)]]*1.1/Table1[[#This Row],[BW_GA]])-1)/(Backend!$B$4/100*Table1[[#This Row],[BW40_3705]]),"")</f>
        <v/>
      </c>
      <c r="J948" s="7" t="str">
        <f>IF(Table1[[#This Row],[Is Data Valid]]=TRUE,_xlfn.NORM.S.DIST(Table1[[#This Row],[Birthweight Z-Score]],TRUE)*100,"")</f>
        <v/>
      </c>
      <c r="K948" s="7" t="str">
        <f>IF(Table1[[#This Row],[Is Data Valid]]=TRUE,_xlfn.NORM.S.DIST(Table1[[#This Row],[Birthweight Z-Score (BW-10%)]],TRUE)*100,"")</f>
        <v/>
      </c>
      <c r="L948" s="7" t="str">
        <f>IF(Table1[[#This Row],[Is Data Valid]]=TRUE,_xlfn.NORM.S.DIST(Table1[[#This Row],[Birthweight Z-Score (BW+10%)]],TRUE)*100,"")</f>
        <v/>
      </c>
    </row>
    <row r="949" spans="1:12" x14ac:dyDescent="0.35">
      <c r="A949" s="3"/>
      <c r="B949" s="2"/>
      <c r="C949" s="2"/>
      <c r="D949" s="2" t="b">
        <f>IF(AND(NOT(ISBLANK(Table1[[#This Row],[Fetal Sex (Male, Female or Unknown)]])),ISNUMBER(Table1[[#This Row],[Birthweight (grams)]]),ISNUMBER(Table1[[#This Row],[Gestation (days)]])),TRUE,FALSE)</f>
        <v>0</v>
      </c>
      <c r="E949" s="2" t="str">
        <f>IF(Table1[[#This Row],[Is Data Valid]]=TRUE,IF(Table1[[#This Row],[Fetal Sex (Male, Female or Unknown)]]="Male",Backend!$C$6,IF(Table1[[#This Row],[Fetal Sex (Male, Female or Unknown)]]="Female",Backend!$C$7,IF(Table1[[#This Row],[Fetal Sex (Male, Female or Unknown)]]="Unknown",Backend!$C$8,"Error"))),"")</f>
        <v/>
      </c>
      <c r="F949" s="8" t="str">
        <f>IF(Table1[[#This Row],[Is Data Valid]]=TRUE,EXP(0.578+0.332*((Table1[[#This Row],[Gestation (days)]]+0.5)/7)-0.00354*((Table1[[#This Row],[Gestation (days)]]+0.5)/7)^2)*Table1[[#This Row],[BW40_3705]],"")</f>
        <v/>
      </c>
      <c r="G949" s="2" t="str">
        <f>IF(Table1[[#This Row],[Is Data Valid]]=TRUE,((Table1[[#This Row],[Birthweight (grams)]]/Table1[[#This Row],[BW_GA]])-1)/(Backend!$B$4/100*Table1[[#This Row],[BW40_3705]]),"")</f>
        <v/>
      </c>
      <c r="H949" s="7" t="str">
        <f>IF(Table1[[#This Row],[Is Data Valid]]=TRUE,((Table1[[#This Row],[Birthweight (grams)]]*0.9/Table1[[#This Row],[BW_GA]])-1)/(Backend!$B$4/100*Table1[[#This Row],[BW40_3705]]),"")</f>
        <v/>
      </c>
      <c r="I949" s="7" t="str">
        <f>IF(Table1[[#This Row],[Is Data Valid]]=TRUE,((Table1[[#This Row],[Birthweight (grams)]]*1.1/Table1[[#This Row],[BW_GA]])-1)/(Backend!$B$4/100*Table1[[#This Row],[BW40_3705]]),"")</f>
        <v/>
      </c>
      <c r="J949" s="7" t="str">
        <f>IF(Table1[[#This Row],[Is Data Valid]]=TRUE,_xlfn.NORM.S.DIST(Table1[[#This Row],[Birthweight Z-Score]],TRUE)*100,"")</f>
        <v/>
      </c>
      <c r="K949" s="7" t="str">
        <f>IF(Table1[[#This Row],[Is Data Valid]]=TRUE,_xlfn.NORM.S.DIST(Table1[[#This Row],[Birthweight Z-Score (BW-10%)]],TRUE)*100,"")</f>
        <v/>
      </c>
      <c r="L949" s="7" t="str">
        <f>IF(Table1[[#This Row],[Is Data Valid]]=TRUE,_xlfn.NORM.S.DIST(Table1[[#This Row],[Birthweight Z-Score (BW+10%)]],TRUE)*100,"")</f>
        <v/>
      </c>
    </row>
    <row r="950" spans="1:12" x14ac:dyDescent="0.35">
      <c r="A950" s="3"/>
      <c r="B950" s="2"/>
      <c r="C950" s="2"/>
      <c r="D950" s="2" t="b">
        <f>IF(AND(NOT(ISBLANK(Table1[[#This Row],[Fetal Sex (Male, Female or Unknown)]])),ISNUMBER(Table1[[#This Row],[Birthweight (grams)]]),ISNUMBER(Table1[[#This Row],[Gestation (days)]])),TRUE,FALSE)</f>
        <v>0</v>
      </c>
      <c r="E950" s="2" t="str">
        <f>IF(Table1[[#This Row],[Is Data Valid]]=TRUE,IF(Table1[[#This Row],[Fetal Sex (Male, Female or Unknown)]]="Male",Backend!$C$6,IF(Table1[[#This Row],[Fetal Sex (Male, Female or Unknown)]]="Female",Backend!$C$7,IF(Table1[[#This Row],[Fetal Sex (Male, Female or Unknown)]]="Unknown",Backend!$C$8,"Error"))),"")</f>
        <v/>
      </c>
      <c r="F950" s="8" t="str">
        <f>IF(Table1[[#This Row],[Is Data Valid]]=TRUE,EXP(0.578+0.332*((Table1[[#This Row],[Gestation (days)]]+0.5)/7)-0.00354*((Table1[[#This Row],[Gestation (days)]]+0.5)/7)^2)*Table1[[#This Row],[BW40_3705]],"")</f>
        <v/>
      </c>
      <c r="G950" s="2" t="str">
        <f>IF(Table1[[#This Row],[Is Data Valid]]=TRUE,((Table1[[#This Row],[Birthweight (grams)]]/Table1[[#This Row],[BW_GA]])-1)/(Backend!$B$4/100*Table1[[#This Row],[BW40_3705]]),"")</f>
        <v/>
      </c>
      <c r="H950" s="7" t="str">
        <f>IF(Table1[[#This Row],[Is Data Valid]]=TRUE,((Table1[[#This Row],[Birthweight (grams)]]*0.9/Table1[[#This Row],[BW_GA]])-1)/(Backend!$B$4/100*Table1[[#This Row],[BW40_3705]]),"")</f>
        <v/>
      </c>
      <c r="I950" s="7" t="str">
        <f>IF(Table1[[#This Row],[Is Data Valid]]=TRUE,((Table1[[#This Row],[Birthweight (grams)]]*1.1/Table1[[#This Row],[BW_GA]])-1)/(Backend!$B$4/100*Table1[[#This Row],[BW40_3705]]),"")</f>
        <v/>
      </c>
      <c r="J950" s="7" t="str">
        <f>IF(Table1[[#This Row],[Is Data Valid]]=TRUE,_xlfn.NORM.S.DIST(Table1[[#This Row],[Birthweight Z-Score]],TRUE)*100,"")</f>
        <v/>
      </c>
      <c r="K950" s="7" t="str">
        <f>IF(Table1[[#This Row],[Is Data Valid]]=TRUE,_xlfn.NORM.S.DIST(Table1[[#This Row],[Birthweight Z-Score (BW-10%)]],TRUE)*100,"")</f>
        <v/>
      </c>
      <c r="L950" s="7" t="str">
        <f>IF(Table1[[#This Row],[Is Data Valid]]=TRUE,_xlfn.NORM.S.DIST(Table1[[#This Row],[Birthweight Z-Score (BW+10%)]],TRUE)*100,"")</f>
        <v/>
      </c>
    </row>
    <row r="951" spans="1:12" x14ac:dyDescent="0.35">
      <c r="A951" s="3"/>
      <c r="B951" s="2"/>
      <c r="C951" s="2"/>
      <c r="D951" s="2" t="b">
        <f>IF(AND(NOT(ISBLANK(Table1[[#This Row],[Fetal Sex (Male, Female or Unknown)]])),ISNUMBER(Table1[[#This Row],[Birthweight (grams)]]),ISNUMBER(Table1[[#This Row],[Gestation (days)]])),TRUE,FALSE)</f>
        <v>0</v>
      </c>
      <c r="E951" s="2" t="str">
        <f>IF(Table1[[#This Row],[Is Data Valid]]=TRUE,IF(Table1[[#This Row],[Fetal Sex (Male, Female or Unknown)]]="Male",Backend!$C$6,IF(Table1[[#This Row],[Fetal Sex (Male, Female or Unknown)]]="Female",Backend!$C$7,IF(Table1[[#This Row],[Fetal Sex (Male, Female or Unknown)]]="Unknown",Backend!$C$8,"Error"))),"")</f>
        <v/>
      </c>
      <c r="F951" s="8" t="str">
        <f>IF(Table1[[#This Row],[Is Data Valid]]=TRUE,EXP(0.578+0.332*((Table1[[#This Row],[Gestation (days)]]+0.5)/7)-0.00354*((Table1[[#This Row],[Gestation (days)]]+0.5)/7)^2)*Table1[[#This Row],[BW40_3705]],"")</f>
        <v/>
      </c>
      <c r="G951" s="2" t="str">
        <f>IF(Table1[[#This Row],[Is Data Valid]]=TRUE,((Table1[[#This Row],[Birthweight (grams)]]/Table1[[#This Row],[BW_GA]])-1)/(Backend!$B$4/100*Table1[[#This Row],[BW40_3705]]),"")</f>
        <v/>
      </c>
      <c r="H951" s="7" t="str">
        <f>IF(Table1[[#This Row],[Is Data Valid]]=TRUE,((Table1[[#This Row],[Birthweight (grams)]]*0.9/Table1[[#This Row],[BW_GA]])-1)/(Backend!$B$4/100*Table1[[#This Row],[BW40_3705]]),"")</f>
        <v/>
      </c>
      <c r="I951" s="7" t="str">
        <f>IF(Table1[[#This Row],[Is Data Valid]]=TRUE,((Table1[[#This Row],[Birthweight (grams)]]*1.1/Table1[[#This Row],[BW_GA]])-1)/(Backend!$B$4/100*Table1[[#This Row],[BW40_3705]]),"")</f>
        <v/>
      </c>
      <c r="J951" s="7" t="str">
        <f>IF(Table1[[#This Row],[Is Data Valid]]=TRUE,_xlfn.NORM.S.DIST(Table1[[#This Row],[Birthweight Z-Score]],TRUE)*100,"")</f>
        <v/>
      </c>
      <c r="K951" s="7" t="str">
        <f>IF(Table1[[#This Row],[Is Data Valid]]=TRUE,_xlfn.NORM.S.DIST(Table1[[#This Row],[Birthweight Z-Score (BW-10%)]],TRUE)*100,"")</f>
        <v/>
      </c>
      <c r="L951" s="7" t="str">
        <f>IF(Table1[[#This Row],[Is Data Valid]]=TRUE,_xlfn.NORM.S.DIST(Table1[[#This Row],[Birthweight Z-Score (BW+10%)]],TRUE)*100,"")</f>
        <v/>
      </c>
    </row>
    <row r="952" spans="1:12" x14ac:dyDescent="0.35">
      <c r="A952" s="3"/>
      <c r="B952" s="2"/>
      <c r="C952" s="2"/>
      <c r="D952" s="2" t="b">
        <f>IF(AND(NOT(ISBLANK(Table1[[#This Row],[Fetal Sex (Male, Female or Unknown)]])),ISNUMBER(Table1[[#This Row],[Birthweight (grams)]]),ISNUMBER(Table1[[#This Row],[Gestation (days)]])),TRUE,FALSE)</f>
        <v>0</v>
      </c>
      <c r="E952" s="2" t="str">
        <f>IF(Table1[[#This Row],[Is Data Valid]]=TRUE,IF(Table1[[#This Row],[Fetal Sex (Male, Female or Unknown)]]="Male",Backend!$C$6,IF(Table1[[#This Row],[Fetal Sex (Male, Female or Unknown)]]="Female",Backend!$C$7,IF(Table1[[#This Row],[Fetal Sex (Male, Female or Unknown)]]="Unknown",Backend!$C$8,"Error"))),"")</f>
        <v/>
      </c>
      <c r="F952" s="8" t="str">
        <f>IF(Table1[[#This Row],[Is Data Valid]]=TRUE,EXP(0.578+0.332*((Table1[[#This Row],[Gestation (days)]]+0.5)/7)-0.00354*((Table1[[#This Row],[Gestation (days)]]+0.5)/7)^2)*Table1[[#This Row],[BW40_3705]],"")</f>
        <v/>
      </c>
      <c r="G952" s="2" t="str">
        <f>IF(Table1[[#This Row],[Is Data Valid]]=TRUE,((Table1[[#This Row],[Birthweight (grams)]]/Table1[[#This Row],[BW_GA]])-1)/(Backend!$B$4/100*Table1[[#This Row],[BW40_3705]]),"")</f>
        <v/>
      </c>
      <c r="H952" s="7" t="str">
        <f>IF(Table1[[#This Row],[Is Data Valid]]=TRUE,((Table1[[#This Row],[Birthweight (grams)]]*0.9/Table1[[#This Row],[BW_GA]])-1)/(Backend!$B$4/100*Table1[[#This Row],[BW40_3705]]),"")</f>
        <v/>
      </c>
      <c r="I952" s="7" t="str">
        <f>IF(Table1[[#This Row],[Is Data Valid]]=TRUE,((Table1[[#This Row],[Birthweight (grams)]]*1.1/Table1[[#This Row],[BW_GA]])-1)/(Backend!$B$4/100*Table1[[#This Row],[BW40_3705]]),"")</f>
        <v/>
      </c>
      <c r="J952" s="7" t="str">
        <f>IF(Table1[[#This Row],[Is Data Valid]]=TRUE,_xlfn.NORM.S.DIST(Table1[[#This Row],[Birthweight Z-Score]],TRUE)*100,"")</f>
        <v/>
      </c>
      <c r="K952" s="7" t="str">
        <f>IF(Table1[[#This Row],[Is Data Valid]]=TRUE,_xlfn.NORM.S.DIST(Table1[[#This Row],[Birthweight Z-Score (BW-10%)]],TRUE)*100,"")</f>
        <v/>
      </c>
      <c r="L952" s="7" t="str">
        <f>IF(Table1[[#This Row],[Is Data Valid]]=TRUE,_xlfn.NORM.S.DIST(Table1[[#This Row],[Birthweight Z-Score (BW+10%)]],TRUE)*100,"")</f>
        <v/>
      </c>
    </row>
    <row r="953" spans="1:12" x14ac:dyDescent="0.35">
      <c r="A953" s="3"/>
      <c r="B953" s="2"/>
      <c r="C953" s="2"/>
      <c r="D953" s="2" t="b">
        <f>IF(AND(NOT(ISBLANK(Table1[[#This Row],[Fetal Sex (Male, Female or Unknown)]])),ISNUMBER(Table1[[#This Row],[Birthweight (grams)]]),ISNUMBER(Table1[[#This Row],[Gestation (days)]])),TRUE,FALSE)</f>
        <v>0</v>
      </c>
      <c r="E953" s="2" t="str">
        <f>IF(Table1[[#This Row],[Is Data Valid]]=TRUE,IF(Table1[[#This Row],[Fetal Sex (Male, Female or Unknown)]]="Male",Backend!$C$6,IF(Table1[[#This Row],[Fetal Sex (Male, Female or Unknown)]]="Female",Backend!$C$7,IF(Table1[[#This Row],[Fetal Sex (Male, Female or Unknown)]]="Unknown",Backend!$C$8,"Error"))),"")</f>
        <v/>
      </c>
      <c r="F953" s="8" t="str">
        <f>IF(Table1[[#This Row],[Is Data Valid]]=TRUE,EXP(0.578+0.332*((Table1[[#This Row],[Gestation (days)]]+0.5)/7)-0.00354*((Table1[[#This Row],[Gestation (days)]]+0.5)/7)^2)*Table1[[#This Row],[BW40_3705]],"")</f>
        <v/>
      </c>
      <c r="G953" s="2" t="str">
        <f>IF(Table1[[#This Row],[Is Data Valid]]=TRUE,((Table1[[#This Row],[Birthweight (grams)]]/Table1[[#This Row],[BW_GA]])-1)/(Backend!$B$4/100*Table1[[#This Row],[BW40_3705]]),"")</f>
        <v/>
      </c>
      <c r="H953" s="7" t="str">
        <f>IF(Table1[[#This Row],[Is Data Valid]]=TRUE,((Table1[[#This Row],[Birthweight (grams)]]*0.9/Table1[[#This Row],[BW_GA]])-1)/(Backend!$B$4/100*Table1[[#This Row],[BW40_3705]]),"")</f>
        <v/>
      </c>
      <c r="I953" s="7" t="str">
        <f>IF(Table1[[#This Row],[Is Data Valid]]=TRUE,((Table1[[#This Row],[Birthweight (grams)]]*1.1/Table1[[#This Row],[BW_GA]])-1)/(Backend!$B$4/100*Table1[[#This Row],[BW40_3705]]),"")</f>
        <v/>
      </c>
      <c r="J953" s="7" t="str">
        <f>IF(Table1[[#This Row],[Is Data Valid]]=TRUE,_xlfn.NORM.S.DIST(Table1[[#This Row],[Birthweight Z-Score]],TRUE)*100,"")</f>
        <v/>
      </c>
      <c r="K953" s="7" t="str">
        <f>IF(Table1[[#This Row],[Is Data Valid]]=TRUE,_xlfn.NORM.S.DIST(Table1[[#This Row],[Birthweight Z-Score (BW-10%)]],TRUE)*100,"")</f>
        <v/>
      </c>
      <c r="L953" s="7" t="str">
        <f>IF(Table1[[#This Row],[Is Data Valid]]=TRUE,_xlfn.NORM.S.DIST(Table1[[#This Row],[Birthweight Z-Score (BW+10%)]],TRUE)*100,"")</f>
        <v/>
      </c>
    </row>
    <row r="954" spans="1:12" x14ac:dyDescent="0.35">
      <c r="A954" s="3"/>
      <c r="B954" s="2"/>
      <c r="C954" s="2"/>
      <c r="D954" s="2" t="b">
        <f>IF(AND(NOT(ISBLANK(Table1[[#This Row],[Fetal Sex (Male, Female or Unknown)]])),ISNUMBER(Table1[[#This Row],[Birthweight (grams)]]),ISNUMBER(Table1[[#This Row],[Gestation (days)]])),TRUE,FALSE)</f>
        <v>0</v>
      </c>
      <c r="E954" s="2" t="str">
        <f>IF(Table1[[#This Row],[Is Data Valid]]=TRUE,IF(Table1[[#This Row],[Fetal Sex (Male, Female or Unknown)]]="Male",Backend!$C$6,IF(Table1[[#This Row],[Fetal Sex (Male, Female or Unknown)]]="Female",Backend!$C$7,IF(Table1[[#This Row],[Fetal Sex (Male, Female or Unknown)]]="Unknown",Backend!$C$8,"Error"))),"")</f>
        <v/>
      </c>
      <c r="F954" s="8" t="str">
        <f>IF(Table1[[#This Row],[Is Data Valid]]=TRUE,EXP(0.578+0.332*((Table1[[#This Row],[Gestation (days)]]+0.5)/7)-0.00354*((Table1[[#This Row],[Gestation (days)]]+0.5)/7)^2)*Table1[[#This Row],[BW40_3705]],"")</f>
        <v/>
      </c>
      <c r="G954" s="2" t="str">
        <f>IF(Table1[[#This Row],[Is Data Valid]]=TRUE,((Table1[[#This Row],[Birthweight (grams)]]/Table1[[#This Row],[BW_GA]])-1)/(Backend!$B$4/100*Table1[[#This Row],[BW40_3705]]),"")</f>
        <v/>
      </c>
      <c r="H954" s="7" t="str">
        <f>IF(Table1[[#This Row],[Is Data Valid]]=TRUE,((Table1[[#This Row],[Birthweight (grams)]]*0.9/Table1[[#This Row],[BW_GA]])-1)/(Backend!$B$4/100*Table1[[#This Row],[BW40_3705]]),"")</f>
        <v/>
      </c>
      <c r="I954" s="7" t="str">
        <f>IF(Table1[[#This Row],[Is Data Valid]]=TRUE,((Table1[[#This Row],[Birthweight (grams)]]*1.1/Table1[[#This Row],[BW_GA]])-1)/(Backend!$B$4/100*Table1[[#This Row],[BW40_3705]]),"")</f>
        <v/>
      </c>
      <c r="J954" s="7" t="str">
        <f>IF(Table1[[#This Row],[Is Data Valid]]=TRUE,_xlfn.NORM.S.DIST(Table1[[#This Row],[Birthweight Z-Score]],TRUE)*100,"")</f>
        <v/>
      </c>
      <c r="K954" s="7" t="str">
        <f>IF(Table1[[#This Row],[Is Data Valid]]=TRUE,_xlfn.NORM.S.DIST(Table1[[#This Row],[Birthweight Z-Score (BW-10%)]],TRUE)*100,"")</f>
        <v/>
      </c>
      <c r="L954" s="7" t="str">
        <f>IF(Table1[[#This Row],[Is Data Valid]]=TRUE,_xlfn.NORM.S.DIST(Table1[[#This Row],[Birthweight Z-Score (BW+10%)]],TRUE)*100,"")</f>
        <v/>
      </c>
    </row>
    <row r="955" spans="1:12" x14ac:dyDescent="0.35">
      <c r="A955" s="3"/>
      <c r="B955" s="2"/>
      <c r="C955" s="2"/>
      <c r="D955" s="2" t="b">
        <f>IF(AND(NOT(ISBLANK(Table1[[#This Row],[Fetal Sex (Male, Female or Unknown)]])),ISNUMBER(Table1[[#This Row],[Birthweight (grams)]]),ISNUMBER(Table1[[#This Row],[Gestation (days)]])),TRUE,FALSE)</f>
        <v>0</v>
      </c>
      <c r="E955" s="2" t="str">
        <f>IF(Table1[[#This Row],[Is Data Valid]]=TRUE,IF(Table1[[#This Row],[Fetal Sex (Male, Female or Unknown)]]="Male",Backend!$C$6,IF(Table1[[#This Row],[Fetal Sex (Male, Female or Unknown)]]="Female",Backend!$C$7,IF(Table1[[#This Row],[Fetal Sex (Male, Female or Unknown)]]="Unknown",Backend!$C$8,"Error"))),"")</f>
        <v/>
      </c>
      <c r="F955" s="8" t="str">
        <f>IF(Table1[[#This Row],[Is Data Valid]]=TRUE,EXP(0.578+0.332*((Table1[[#This Row],[Gestation (days)]]+0.5)/7)-0.00354*((Table1[[#This Row],[Gestation (days)]]+0.5)/7)^2)*Table1[[#This Row],[BW40_3705]],"")</f>
        <v/>
      </c>
      <c r="G955" s="2" t="str">
        <f>IF(Table1[[#This Row],[Is Data Valid]]=TRUE,((Table1[[#This Row],[Birthweight (grams)]]/Table1[[#This Row],[BW_GA]])-1)/(Backend!$B$4/100*Table1[[#This Row],[BW40_3705]]),"")</f>
        <v/>
      </c>
      <c r="H955" s="7" t="str">
        <f>IF(Table1[[#This Row],[Is Data Valid]]=TRUE,((Table1[[#This Row],[Birthweight (grams)]]*0.9/Table1[[#This Row],[BW_GA]])-1)/(Backend!$B$4/100*Table1[[#This Row],[BW40_3705]]),"")</f>
        <v/>
      </c>
      <c r="I955" s="7" t="str">
        <f>IF(Table1[[#This Row],[Is Data Valid]]=TRUE,((Table1[[#This Row],[Birthweight (grams)]]*1.1/Table1[[#This Row],[BW_GA]])-1)/(Backend!$B$4/100*Table1[[#This Row],[BW40_3705]]),"")</f>
        <v/>
      </c>
      <c r="J955" s="7" t="str">
        <f>IF(Table1[[#This Row],[Is Data Valid]]=TRUE,_xlfn.NORM.S.DIST(Table1[[#This Row],[Birthweight Z-Score]],TRUE)*100,"")</f>
        <v/>
      </c>
      <c r="K955" s="7" t="str">
        <f>IF(Table1[[#This Row],[Is Data Valid]]=TRUE,_xlfn.NORM.S.DIST(Table1[[#This Row],[Birthweight Z-Score (BW-10%)]],TRUE)*100,"")</f>
        <v/>
      </c>
      <c r="L955" s="7" t="str">
        <f>IF(Table1[[#This Row],[Is Data Valid]]=TRUE,_xlfn.NORM.S.DIST(Table1[[#This Row],[Birthweight Z-Score (BW+10%)]],TRUE)*100,"")</f>
        <v/>
      </c>
    </row>
    <row r="956" spans="1:12" x14ac:dyDescent="0.35">
      <c r="A956" s="3"/>
      <c r="B956" s="2"/>
      <c r="C956" s="2"/>
      <c r="D956" s="2" t="b">
        <f>IF(AND(NOT(ISBLANK(Table1[[#This Row],[Fetal Sex (Male, Female or Unknown)]])),ISNUMBER(Table1[[#This Row],[Birthweight (grams)]]),ISNUMBER(Table1[[#This Row],[Gestation (days)]])),TRUE,FALSE)</f>
        <v>0</v>
      </c>
      <c r="E956" s="2" t="str">
        <f>IF(Table1[[#This Row],[Is Data Valid]]=TRUE,IF(Table1[[#This Row],[Fetal Sex (Male, Female or Unknown)]]="Male",Backend!$C$6,IF(Table1[[#This Row],[Fetal Sex (Male, Female or Unknown)]]="Female",Backend!$C$7,IF(Table1[[#This Row],[Fetal Sex (Male, Female or Unknown)]]="Unknown",Backend!$C$8,"Error"))),"")</f>
        <v/>
      </c>
      <c r="F956" s="8" t="str">
        <f>IF(Table1[[#This Row],[Is Data Valid]]=TRUE,EXP(0.578+0.332*((Table1[[#This Row],[Gestation (days)]]+0.5)/7)-0.00354*((Table1[[#This Row],[Gestation (days)]]+0.5)/7)^2)*Table1[[#This Row],[BW40_3705]],"")</f>
        <v/>
      </c>
      <c r="G956" s="2" t="str">
        <f>IF(Table1[[#This Row],[Is Data Valid]]=TRUE,((Table1[[#This Row],[Birthweight (grams)]]/Table1[[#This Row],[BW_GA]])-1)/(Backend!$B$4/100*Table1[[#This Row],[BW40_3705]]),"")</f>
        <v/>
      </c>
      <c r="H956" s="7" t="str">
        <f>IF(Table1[[#This Row],[Is Data Valid]]=TRUE,((Table1[[#This Row],[Birthweight (grams)]]*0.9/Table1[[#This Row],[BW_GA]])-1)/(Backend!$B$4/100*Table1[[#This Row],[BW40_3705]]),"")</f>
        <v/>
      </c>
      <c r="I956" s="7" t="str">
        <f>IF(Table1[[#This Row],[Is Data Valid]]=TRUE,((Table1[[#This Row],[Birthweight (grams)]]*1.1/Table1[[#This Row],[BW_GA]])-1)/(Backend!$B$4/100*Table1[[#This Row],[BW40_3705]]),"")</f>
        <v/>
      </c>
      <c r="J956" s="7" t="str">
        <f>IF(Table1[[#This Row],[Is Data Valid]]=TRUE,_xlfn.NORM.S.DIST(Table1[[#This Row],[Birthweight Z-Score]],TRUE)*100,"")</f>
        <v/>
      </c>
      <c r="K956" s="7" t="str">
        <f>IF(Table1[[#This Row],[Is Data Valid]]=TRUE,_xlfn.NORM.S.DIST(Table1[[#This Row],[Birthweight Z-Score (BW-10%)]],TRUE)*100,"")</f>
        <v/>
      </c>
      <c r="L956" s="7" t="str">
        <f>IF(Table1[[#This Row],[Is Data Valid]]=TRUE,_xlfn.NORM.S.DIST(Table1[[#This Row],[Birthweight Z-Score (BW+10%)]],TRUE)*100,"")</f>
        <v/>
      </c>
    </row>
    <row r="957" spans="1:12" x14ac:dyDescent="0.35">
      <c r="A957" s="3"/>
      <c r="B957" s="2"/>
      <c r="C957" s="2"/>
      <c r="D957" s="2" t="b">
        <f>IF(AND(NOT(ISBLANK(Table1[[#This Row],[Fetal Sex (Male, Female or Unknown)]])),ISNUMBER(Table1[[#This Row],[Birthweight (grams)]]),ISNUMBER(Table1[[#This Row],[Gestation (days)]])),TRUE,FALSE)</f>
        <v>0</v>
      </c>
      <c r="E957" s="2" t="str">
        <f>IF(Table1[[#This Row],[Is Data Valid]]=TRUE,IF(Table1[[#This Row],[Fetal Sex (Male, Female or Unknown)]]="Male",Backend!$C$6,IF(Table1[[#This Row],[Fetal Sex (Male, Female or Unknown)]]="Female",Backend!$C$7,IF(Table1[[#This Row],[Fetal Sex (Male, Female or Unknown)]]="Unknown",Backend!$C$8,"Error"))),"")</f>
        <v/>
      </c>
      <c r="F957" s="8" t="str">
        <f>IF(Table1[[#This Row],[Is Data Valid]]=TRUE,EXP(0.578+0.332*((Table1[[#This Row],[Gestation (days)]]+0.5)/7)-0.00354*((Table1[[#This Row],[Gestation (days)]]+0.5)/7)^2)*Table1[[#This Row],[BW40_3705]],"")</f>
        <v/>
      </c>
      <c r="G957" s="2" t="str">
        <f>IF(Table1[[#This Row],[Is Data Valid]]=TRUE,((Table1[[#This Row],[Birthweight (grams)]]/Table1[[#This Row],[BW_GA]])-1)/(Backend!$B$4/100*Table1[[#This Row],[BW40_3705]]),"")</f>
        <v/>
      </c>
      <c r="H957" s="7" t="str">
        <f>IF(Table1[[#This Row],[Is Data Valid]]=TRUE,((Table1[[#This Row],[Birthweight (grams)]]*0.9/Table1[[#This Row],[BW_GA]])-1)/(Backend!$B$4/100*Table1[[#This Row],[BW40_3705]]),"")</f>
        <v/>
      </c>
      <c r="I957" s="7" t="str">
        <f>IF(Table1[[#This Row],[Is Data Valid]]=TRUE,((Table1[[#This Row],[Birthweight (grams)]]*1.1/Table1[[#This Row],[BW_GA]])-1)/(Backend!$B$4/100*Table1[[#This Row],[BW40_3705]]),"")</f>
        <v/>
      </c>
      <c r="J957" s="7" t="str">
        <f>IF(Table1[[#This Row],[Is Data Valid]]=TRUE,_xlfn.NORM.S.DIST(Table1[[#This Row],[Birthweight Z-Score]],TRUE)*100,"")</f>
        <v/>
      </c>
      <c r="K957" s="7" t="str">
        <f>IF(Table1[[#This Row],[Is Data Valid]]=TRUE,_xlfn.NORM.S.DIST(Table1[[#This Row],[Birthweight Z-Score (BW-10%)]],TRUE)*100,"")</f>
        <v/>
      </c>
      <c r="L957" s="7" t="str">
        <f>IF(Table1[[#This Row],[Is Data Valid]]=TRUE,_xlfn.NORM.S.DIST(Table1[[#This Row],[Birthweight Z-Score (BW+10%)]],TRUE)*100,"")</f>
        <v/>
      </c>
    </row>
    <row r="958" spans="1:12" x14ac:dyDescent="0.35">
      <c r="A958" s="3"/>
      <c r="B958" s="2"/>
      <c r="C958" s="2"/>
      <c r="D958" s="2" t="b">
        <f>IF(AND(NOT(ISBLANK(Table1[[#This Row],[Fetal Sex (Male, Female or Unknown)]])),ISNUMBER(Table1[[#This Row],[Birthweight (grams)]]),ISNUMBER(Table1[[#This Row],[Gestation (days)]])),TRUE,FALSE)</f>
        <v>0</v>
      </c>
      <c r="E958" s="2" t="str">
        <f>IF(Table1[[#This Row],[Is Data Valid]]=TRUE,IF(Table1[[#This Row],[Fetal Sex (Male, Female or Unknown)]]="Male",Backend!$C$6,IF(Table1[[#This Row],[Fetal Sex (Male, Female or Unknown)]]="Female",Backend!$C$7,IF(Table1[[#This Row],[Fetal Sex (Male, Female or Unknown)]]="Unknown",Backend!$C$8,"Error"))),"")</f>
        <v/>
      </c>
      <c r="F958" s="8" t="str">
        <f>IF(Table1[[#This Row],[Is Data Valid]]=TRUE,EXP(0.578+0.332*((Table1[[#This Row],[Gestation (days)]]+0.5)/7)-0.00354*((Table1[[#This Row],[Gestation (days)]]+0.5)/7)^2)*Table1[[#This Row],[BW40_3705]],"")</f>
        <v/>
      </c>
      <c r="G958" s="2" t="str">
        <f>IF(Table1[[#This Row],[Is Data Valid]]=TRUE,((Table1[[#This Row],[Birthweight (grams)]]/Table1[[#This Row],[BW_GA]])-1)/(Backend!$B$4/100*Table1[[#This Row],[BW40_3705]]),"")</f>
        <v/>
      </c>
      <c r="H958" s="7" t="str">
        <f>IF(Table1[[#This Row],[Is Data Valid]]=TRUE,((Table1[[#This Row],[Birthweight (grams)]]*0.9/Table1[[#This Row],[BW_GA]])-1)/(Backend!$B$4/100*Table1[[#This Row],[BW40_3705]]),"")</f>
        <v/>
      </c>
      <c r="I958" s="7" t="str">
        <f>IF(Table1[[#This Row],[Is Data Valid]]=TRUE,((Table1[[#This Row],[Birthweight (grams)]]*1.1/Table1[[#This Row],[BW_GA]])-1)/(Backend!$B$4/100*Table1[[#This Row],[BW40_3705]]),"")</f>
        <v/>
      </c>
      <c r="J958" s="7" t="str">
        <f>IF(Table1[[#This Row],[Is Data Valid]]=TRUE,_xlfn.NORM.S.DIST(Table1[[#This Row],[Birthweight Z-Score]],TRUE)*100,"")</f>
        <v/>
      </c>
      <c r="K958" s="7" t="str">
        <f>IF(Table1[[#This Row],[Is Data Valid]]=TRUE,_xlfn.NORM.S.DIST(Table1[[#This Row],[Birthweight Z-Score (BW-10%)]],TRUE)*100,"")</f>
        <v/>
      </c>
      <c r="L958" s="7" t="str">
        <f>IF(Table1[[#This Row],[Is Data Valid]]=TRUE,_xlfn.NORM.S.DIST(Table1[[#This Row],[Birthweight Z-Score (BW+10%)]],TRUE)*100,"")</f>
        <v/>
      </c>
    </row>
    <row r="959" spans="1:12" x14ac:dyDescent="0.35">
      <c r="A959" s="3"/>
      <c r="B959" s="2"/>
      <c r="C959" s="2"/>
      <c r="D959" s="2" t="b">
        <f>IF(AND(NOT(ISBLANK(Table1[[#This Row],[Fetal Sex (Male, Female or Unknown)]])),ISNUMBER(Table1[[#This Row],[Birthweight (grams)]]),ISNUMBER(Table1[[#This Row],[Gestation (days)]])),TRUE,FALSE)</f>
        <v>0</v>
      </c>
      <c r="E959" s="2" t="str">
        <f>IF(Table1[[#This Row],[Is Data Valid]]=TRUE,IF(Table1[[#This Row],[Fetal Sex (Male, Female or Unknown)]]="Male",Backend!$C$6,IF(Table1[[#This Row],[Fetal Sex (Male, Female or Unknown)]]="Female",Backend!$C$7,IF(Table1[[#This Row],[Fetal Sex (Male, Female or Unknown)]]="Unknown",Backend!$C$8,"Error"))),"")</f>
        <v/>
      </c>
      <c r="F959" s="8" t="str">
        <f>IF(Table1[[#This Row],[Is Data Valid]]=TRUE,EXP(0.578+0.332*((Table1[[#This Row],[Gestation (days)]]+0.5)/7)-0.00354*((Table1[[#This Row],[Gestation (days)]]+0.5)/7)^2)*Table1[[#This Row],[BW40_3705]],"")</f>
        <v/>
      </c>
      <c r="G959" s="2" t="str">
        <f>IF(Table1[[#This Row],[Is Data Valid]]=TRUE,((Table1[[#This Row],[Birthweight (grams)]]/Table1[[#This Row],[BW_GA]])-1)/(Backend!$B$4/100*Table1[[#This Row],[BW40_3705]]),"")</f>
        <v/>
      </c>
      <c r="H959" s="7" t="str">
        <f>IF(Table1[[#This Row],[Is Data Valid]]=TRUE,((Table1[[#This Row],[Birthweight (grams)]]*0.9/Table1[[#This Row],[BW_GA]])-1)/(Backend!$B$4/100*Table1[[#This Row],[BW40_3705]]),"")</f>
        <v/>
      </c>
      <c r="I959" s="7" t="str">
        <f>IF(Table1[[#This Row],[Is Data Valid]]=TRUE,((Table1[[#This Row],[Birthweight (grams)]]*1.1/Table1[[#This Row],[BW_GA]])-1)/(Backend!$B$4/100*Table1[[#This Row],[BW40_3705]]),"")</f>
        <v/>
      </c>
      <c r="J959" s="7" t="str">
        <f>IF(Table1[[#This Row],[Is Data Valid]]=TRUE,_xlfn.NORM.S.DIST(Table1[[#This Row],[Birthweight Z-Score]],TRUE)*100,"")</f>
        <v/>
      </c>
      <c r="K959" s="7" t="str">
        <f>IF(Table1[[#This Row],[Is Data Valid]]=TRUE,_xlfn.NORM.S.DIST(Table1[[#This Row],[Birthweight Z-Score (BW-10%)]],TRUE)*100,"")</f>
        <v/>
      </c>
      <c r="L959" s="7" t="str">
        <f>IF(Table1[[#This Row],[Is Data Valid]]=TRUE,_xlfn.NORM.S.DIST(Table1[[#This Row],[Birthweight Z-Score (BW+10%)]],TRUE)*100,"")</f>
        <v/>
      </c>
    </row>
    <row r="960" spans="1:12" x14ac:dyDescent="0.35">
      <c r="A960" s="3"/>
      <c r="B960" s="2"/>
      <c r="C960" s="2"/>
      <c r="D960" s="2" t="b">
        <f>IF(AND(NOT(ISBLANK(Table1[[#This Row],[Fetal Sex (Male, Female or Unknown)]])),ISNUMBER(Table1[[#This Row],[Birthweight (grams)]]),ISNUMBER(Table1[[#This Row],[Gestation (days)]])),TRUE,FALSE)</f>
        <v>0</v>
      </c>
      <c r="E960" s="2" t="str">
        <f>IF(Table1[[#This Row],[Is Data Valid]]=TRUE,IF(Table1[[#This Row],[Fetal Sex (Male, Female or Unknown)]]="Male",Backend!$C$6,IF(Table1[[#This Row],[Fetal Sex (Male, Female or Unknown)]]="Female",Backend!$C$7,IF(Table1[[#This Row],[Fetal Sex (Male, Female or Unknown)]]="Unknown",Backend!$C$8,"Error"))),"")</f>
        <v/>
      </c>
      <c r="F960" s="8" t="str">
        <f>IF(Table1[[#This Row],[Is Data Valid]]=TRUE,EXP(0.578+0.332*((Table1[[#This Row],[Gestation (days)]]+0.5)/7)-0.00354*((Table1[[#This Row],[Gestation (days)]]+0.5)/7)^2)*Table1[[#This Row],[BW40_3705]],"")</f>
        <v/>
      </c>
      <c r="G960" s="2" t="str">
        <f>IF(Table1[[#This Row],[Is Data Valid]]=TRUE,((Table1[[#This Row],[Birthweight (grams)]]/Table1[[#This Row],[BW_GA]])-1)/(Backend!$B$4/100*Table1[[#This Row],[BW40_3705]]),"")</f>
        <v/>
      </c>
      <c r="H960" s="7" t="str">
        <f>IF(Table1[[#This Row],[Is Data Valid]]=TRUE,((Table1[[#This Row],[Birthweight (grams)]]*0.9/Table1[[#This Row],[BW_GA]])-1)/(Backend!$B$4/100*Table1[[#This Row],[BW40_3705]]),"")</f>
        <v/>
      </c>
      <c r="I960" s="7" t="str">
        <f>IF(Table1[[#This Row],[Is Data Valid]]=TRUE,((Table1[[#This Row],[Birthweight (grams)]]*1.1/Table1[[#This Row],[BW_GA]])-1)/(Backend!$B$4/100*Table1[[#This Row],[BW40_3705]]),"")</f>
        <v/>
      </c>
      <c r="J960" s="7" t="str">
        <f>IF(Table1[[#This Row],[Is Data Valid]]=TRUE,_xlfn.NORM.S.DIST(Table1[[#This Row],[Birthweight Z-Score]],TRUE)*100,"")</f>
        <v/>
      </c>
      <c r="K960" s="7" t="str">
        <f>IF(Table1[[#This Row],[Is Data Valid]]=TRUE,_xlfn.NORM.S.DIST(Table1[[#This Row],[Birthweight Z-Score (BW-10%)]],TRUE)*100,"")</f>
        <v/>
      </c>
      <c r="L960" s="7" t="str">
        <f>IF(Table1[[#This Row],[Is Data Valid]]=TRUE,_xlfn.NORM.S.DIST(Table1[[#This Row],[Birthweight Z-Score (BW+10%)]],TRUE)*100,"")</f>
        <v/>
      </c>
    </row>
    <row r="961" spans="1:12" x14ac:dyDescent="0.35">
      <c r="A961" s="3"/>
      <c r="B961" s="2"/>
      <c r="C961" s="2"/>
      <c r="D961" s="2" t="b">
        <f>IF(AND(NOT(ISBLANK(Table1[[#This Row],[Fetal Sex (Male, Female or Unknown)]])),ISNUMBER(Table1[[#This Row],[Birthweight (grams)]]),ISNUMBER(Table1[[#This Row],[Gestation (days)]])),TRUE,FALSE)</f>
        <v>0</v>
      </c>
      <c r="E961" s="2" t="str">
        <f>IF(Table1[[#This Row],[Is Data Valid]]=TRUE,IF(Table1[[#This Row],[Fetal Sex (Male, Female or Unknown)]]="Male",Backend!$C$6,IF(Table1[[#This Row],[Fetal Sex (Male, Female or Unknown)]]="Female",Backend!$C$7,IF(Table1[[#This Row],[Fetal Sex (Male, Female or Unknown)]]="Unknown",Backend!$C$8,"Error"))),"")</f>
        <v/>
      </c>
      <c r="F961" s="8" t="str">
        <f>IF(Table1[[#This Row],[Is Data Valid]]=TRUE,EXP(0.578+0.332*((Table1[[#This Row],[Gestation (days)]]+0.5)/7)-0.00354*((Table1[[#This Row],[Gestation (days)]]+0.5)/7)^2)*Table1[[#This Row],[BW40_3705]],"")</f>
        <v/>
      </c>
      <c r="G961" s="2" t="str">
        <f>IF(Table1[[#This Row],[Is Data Valid]]=TRUE,((Table1[[#This Row],[Birthweight (grams)]]/Table1[[#This Row],[BW_GA]])-1)/(Backend!$B$4/100*Table1[[#This Row],[BW40_3705]]),"")</f>
        <v/>
      </c>
      <c r="H961" s="7" t="str">
        <f>IF(Table1[[#This Row],[Is Data Valid]]=TRUE,((Table1[[#This Row],[Birthweight (grams)]]*0.9/Table1[[#This Row],[BW_GA]])-1)/(Backend!$B$4/100*Table1[[#This Row],[BW40_3705]]),"")</f>
        <v/>
      </c>
      <c r="I961" s="7" t="str">
        <f>IF(Table1[[#This Row],[Is Data Valid]]=TRUE,((Table1[[#This Row],[Birthweight (grams)]]*1.1/Table1[[#This Row],[BW_GA]])-1)/(Backend!$B$4/100*Table1[[#This Row],[BW40_3705]]),"")</f>
        <v/>
      </c>
      <c r="J961" s="7" t="str">
        <f>IF(Table1[[#This Row],[Is Data Valid]]=TRUE,_xlfn.NORM.S.DIST(Table1[[#This Row],[Birthweight Z-Score]],TRUE)*100,"")</f>
        <v/>
      </c>
      <c r="K961" s="7" t="str">
        <f>IF(Table1[[#This Row],[Is Data Valid]]=TRUE,_xlfn.NORM.S.DIST(Table1[[#This Row],[Birthweight Z-Score (BW-10%)]],TRUE)*100,"")</f>
        <v/>
      </c>
      <c r="L961" s="7" t="str">
        <f>IF(Table1[[#This Row],[Is Data Valid]]=TRUE,_xlfn.NORM.S.DIST(Table1[[#This Row],[Birthweight Z-Score (BW+10%)]],TRUE)*100,"")</f>
        <v/>
      </c>
    </row>
    <row r="962" spans="1:12" x14ac:dyDescent="0.35">
      <c r="A962" s="3"/>
      <c r="B962" s="2"/>
      <c r="C962" s="2"/>
      <c r="D962" s="2" t="b">
        <f>IF(AND(NOT(ISBLANK(Table1[[#This Row],[Fetal Sex (Male, Female or Unknown)]])),ISNUMBER(Table1[[#This Row],[Birthweight (grams)]]),ISNUMBER(Table1[[#This Row],[Gestation (days)]])),TRUE,FALSE)</f>
        <v>0</v>
      </c>
      <c r="E962" s="2" t="str">
        <f>IF(Table1[[#This Row],[Is Data Valid]]=TRUE,IF(Table1[[#This Row],[Fetal Sex (Male, Female or Unknown)]]="Male",Backend!$C$6,IF(Table1[[#This Row],[Fetal Sex (Male, Female or Unknown)]]="Female",Backend!$C$7,IF(Table1[[#This Row],[Fetal Sex (Male, Female or Unknown)]]="Unknown",Backend!$C$8,"Error"))),"")</f>
        <v/>
      </c>
      <c r="F962" s="8" t="str">
        <f>IF(Table1[[#This Row],[Is Data Valid]]=TRUE,EXP(0.578+0.332*((Table1[[#This Row],[Gestation (days)]]+0.5)/7)-0.00354*((Table1[[#This Row],[Gestation (days)]]+0.5)/7)^2)*Table1[[#This Row],[BW40_3705]],"")</f>
        <v/>
      </c>
      <c r="G962" s="2" t="str">
        <f>IF(Table1[[#This Row],[Is Data Valid]]=TRUE,((Table1[[#This Row],[Birthweight (grams)]]/Table1[[#This Row],[BW_GA]])-1)/(Backend!$B$4/100*Table1[[#This Row],[BW40_3705]]),"")</f>
        <v/>
      </c>
      <c r="H962" s="7" t="str">
        <f>IF(Table1[[#This Row],[Is Data Valid]]=TRUE,((Table1[[#This Row],[Birthweight (grams)]]*0.9/Table1[[#This Row],[BW_GA]])-1)/(Backend!$B$4/100*Table1[[#This Row],[BW40_3705]]),"")</f>
        <v/>
      </c>
      <c r="I962" s="7" t="str">
        <f>IF(Table1[[#This Row],[Is Data Valid]]=TRUE,((Table1[[#This Row],[Birthweight (grams)]]*1.1/Table1[[#This Row],[BW_GA]])-1)/(Backend!$B$4/100*Table1[[#This Row],[BW40_3705]]),"")</f>
        <v/>
      </c>
      <c r="J962" s="7" t="str">
        <f>IF(Table1[[#This Row],[Is Data Valid]]=TRUE,_xlfn.NORM.S.DIST(Table1[[#This Row],[Birthweight Z-Score]],TRUE)*100,"")</f>
        <v/>
      </c>
      <c r="K962" s="7" t="str">
        <f>IF(Table1[[#This Row],[Is Data Valid]]=TRUE,_xlfn.NORM.S.DIST(Table1[[#This Row],[Birthweight Z-Score (BW-10%)]],TRUE)*100,"")</f>
        <v/>
      </c>
      <c r="L962" s="7" t="str">
        <f>IF(Table1[[#This Row],[Is Data Valid]]=TRUE,_xlfn.NORM.S.DIST(Table1[[#This Row],[Birthweight Z-Score (BW+10%)]],TRUE)*100,"")</f>
        <v/>
      </c>
    </row>
    <row r="963" spans="1:12" x14ac:dyDescent="0.35">
      <c r="A963" s="3"/>
      <c r="B963" s="2"/>
      <c r="C963" s="2"/>
      <c r="D963" s="2" t="b">
        <f>IF(AND(NOT(ISBLANK(Table1[[#This Row],[Fetal Sex (Male, Female or Unknown)]])),ISNUMBER(Table1[[#This Row],[Birthweight (grams)]]),ISNUMBER(Table1[[#This Row],[Gestation (days)]])),TRUE,FALSE)</f>
        <v>0</v>
      </c>
      <c r="E963" s="2" t="str">
        <f>IF(Table1[[#This Row],[Is Data Valid]]=TRUE,IF(Table1[[#This Row],[Fetal Sex (Male, Female or Unknown)]]="Male",Backend!$C$6,IF(Table1[[#This Row],[Fetal Sex (Male, Female or Unknown)]]="Female",Backend!$C$7,IF(Table1[[#This Row],[Fetal Sex (Male, Female or Unknown)]]="Unknown",Backend!$C$8,"Error"))),"")</f>
        <v/>
      </c>
      <c r="F963" s="8" t="str">
        <f>IF(Table1[[#This Row],[Is Data Valid]]=TRUE,EXP(0.578+0.332*((Table1[[#This Row],[Gestation (days)]]+0.5)/7)-0.00354*((Table1[[#This Row],[Gestation (days)]]+0.5)/7)^2)*Table1[[#This Row],[BW40_3705]],"")</f>
        <v/>
      </c>
      <c r="G963" s="2" t="str">
        <f>IF(Table1[[#This Row],[Is Data Valid]]=TRUE,((Table1[[#This Row],[Birthweight (grams)]]/Table1[[#This Row],[BW_GA]])-1)/(Backend!$B$4/100*Table1[[#This Row],[BW40_3705]]),"")</f>
        <v/>
      </c>
      <c r="H963" s="7" t="str">
        <f>IF(Table1[[#This Row],[Is Data Valid]]=TRUE,((Table1[[#This Row],[Birthweight (grams)]]*0.9/Table1[[#This Row],[BW_GA]])-1)/(Backend!$B$4/100*Table1[[#This Row],[BW40_3705]]),"")</f>
        <v/>
      </c>
      <c r="I963" s="7" t="str">
        <f>IF(Table1[[#This Row],[Is Data Valid]]=TRUE,((Table1[[#This Row],[Birthweight (grams)]]*1.1/Table1[[#This Row],[BW_GA]])-1)/(Backend!$B$4/100*Table1[[#This Row],[BW40_3705]]),"")</f>
        <v/>
      </c>
      <c r="J963" s="7" t="str">
        <f>IF(Table1[[#This Row],[Is Data Valid]]=TRUE,_xlfn.NORM.S.DIST(Table1[[#This Row],[Birthweight Z-Score]],TRUE)*100,"")</f>
        <v/>
      </c>
      <c r="K963" s="7" t="str">
        <f>IF(Table1[[#This Row],[Is Data Valid]]=TRUE,_xlfn.NORM.S.DIST(Table1[[#This Row],[Birthweight Z-Score (BW-10%)]],TRUE)*100,"")</f>
        <v/>
      </c>
      <c r="L963" s="7" t="str">
        <f>IF(Table1[[#This Row],[Is Data Valid]]=TRUE,_xlfn.NORM.S.DIST(Table1[[#This Row],[Birthweight Z-Score (BW+10%)]],TRUE)*100,"")</f>
        <v/>
      </c>
    </row>
    <row r="964" spans="1:12" x14ac:dyDescent="0.35">
      <c r="A964" s="3"/>
      <c r="B964" s="2"/>
      <c r="C964" s="2"/>
      <c r="D964" s="2" t="b">
        <f>IF(AND(NOT(ISBLANK(Table1[[#This Row],[Fetal Sex (Male, Female or Unknown)]])),ISNUMBER(Table1[[#This Row],[Birthweight (grams)]]),ISNUMBER(Table1[[#This Row],[Gestation (days)]])),TRUE,FALSE)</f>
        <v>0</v>
      </c>
      <c r="E964" s="2" t="str">
        <f>IF(Table1[[#This Row],[Is Data Valid]]=TRUE,IF(Table1[[#This Row],[Fetal Sex (Male, Female or Unknown)]]="Male",Backend!$C$6,IF(Table1[[#This Row],[Fetal Sex (Male, Female or Unknown)]]="Female",Backend!$C$7,IF(Table1[[#This Row],[Fetal Sex (Male, Female or Unknown)]]="Unknown",Backend!$C$8,"Error"))),"")</f>
        <v/>
      </c>
      <c r="F964" s="8" t="str">
        <f>IF(Table1[[#This Row],[Is Data Valid]]=TRUE,EXP(0.578+0.332*((Table1[[#This Row],[Gestation (days)]]+0.5)/7)-0.00354*((Table1[[#This Row],[Gestation (days)]]+0.5)/7)^2)*Table1[[#This Row],[BW40_3705]],"")</f>
        <v/>
      </c>
      <c r="G964" s="2" t="str">
        <f>IF(Table1[[#This Row],[Is Data Valid]]=TRUE,((Table1[[#This Row],[Birthweight (grams)]]/Table1[[#This Row],[BW_GA]])-1)/(Backend!$B$4/100*Table1[[#This Row],[BW40_3705]]),"")</f>
        <v/>
      </c>
      <c r="H964" s="7" t="str">
        <f>IF(Table1[[#This Row],[Is Data Valid]]=TRUE,((Table1[[#This Row],[Birthweight (grams)]]*0.9/Table1[[#This Row],[BW_GA]])-1)/(Backend!$B$4/100*Table1[[#This Row],[BW40_3705]]),"")</f>
        <v/>
      </c>
      <c r="I964" s="7" t="str">
        <f>IF(Table1[[#This Row],[Is Data Valid]]=TRUE,((Table1[[#This Row],[Birthweight (grams)]]*1.1/Table1[[#This Row],[BW_GA]])-1)/(Backend!$B$4/100*Table1[[#This Row],[BW40_3705]]),"")</f>
        <v/>
      </c>
      <c r="J964" s="7" t="str">
        <f>IF(Table1[[#This Row],[Is Data Valid]]=TRUE,_xlfn.NORM.S.DIST(Table1[[#This Row],[Birthweight Z-Score]],TRUE)*100,"")</f>
        <v/>
      </c>
      <c r="K964" s="7" t="str">
        <f>IF(Table1[[#This Row],[Is Data Valid]]=TRUE,_xlfn.NORM.S.DIST(Table1[[#This Row],[Birthweight Z-Score (BW-10%)]],TRUE)*100,"")</f>
        <v/>
      </c>
      <c r="L964" s="7" t="str">
        <f>IF(Table1[[#This Row],[Is Data Valid]]=TRUE,_xlfn.NORM.S.DIST(Table1[[#This Row],[Birthweight Z-Score (BW+10%)]],TRUE)*100,"")</f>
        <v/>
      </c>
    </row>
    <row r="965" spans="1:12" x14ac:dyDescent="0.35">
      <c r="A965" s="3"/>
      <c r="B965" s="2"/>
      <c r="C965" s="2"/>
      <c r="D965" s="2" t="b">
        <f>IF(AND(NOT(ISBLANK(Table1[[#This Row],[Fetal Sex (Male, Female or Unknown)]])),ISNUMBER(Table1[[#This Row],[Birthweight (grams)]]),ISNUMBER(Table1[[#This Row],[Gestation (days)]])),TRUE,FALSE)</f>
        <v>0</v>
      </c>
      <c r="E965" s="2" t="str">
        <f>IF(Table1[[#This Row],[Is Data Valid]]=TRUE,IF(Table1[[#This Row],[Fetal Sex (Male, Female or Unknown)]]="Male",Backend!$C$6,IF(Table1[[#This Row],[Fetal Sex (Male, Female or Unknown)]]="Female",Backend!$C$7,IF(Table1[[#This Row],[Fetal Sex (Male, Female or Unknown)]]="Unknown",Backend!$C$8,"Error"))),"")</f>
        <v/>
      </c>
      <c r="F965" s="8" t="str">
        <f>IF(Table1[[#This Row],[Is Data Valid]]=TRUE,EXP(0.578+0.332*((Table1[[#This Row],[Gestation (days)]]+0.5)/7)-0.00354*((Table1[[#This Row],[Gestation (days)]]+0.5)/7)^2)*Table1[[#This Row],[BW40_3705]],"")</f>
        <v/>
      </c>
      <c r="G965" s="2" t="str">
        <f>IF(Table1[[#This Row],[Is Data Valid]]=TRUE,((Table1[[#This Row],[Birthweight (grams)]]/Table1[[#This Row],[BW_GA]])-1)/(Backend!$B$4/100*Table1[[#This Row],[BW40_3705]]),"")</f>
        <v/>
      </c>
      <c r="H965" s="7" t="str">
        <f>IF(Table1[[#This Row],[Is Data Valid]]=TRUE,((Table1[[#This Row],[Birthweight (grams)]]*0.9/Table1[[#This Row],[BW_GA]])-1)/(Backend!$B$4/100*Table1[[#This Row],[BW40_3705]]),"")</f>
        <v/>
      </c>
      <c r="I965" s="7" t="str">
        <f>IF(Table1[[#This Row],[Is Data Valid]]=TRUE,((Table1[[#This Row],[Birthweight (grams)]]*1.1/Table1[[#This Row],[BW_GA]])-1)/(Backend!$B$4/100*Table1[[#This Row],[BW40_3705]]),"")</f>
        <v/>
      </c>
      <c r="J965" s="7" t="str">
        <f>IF(Table1[[#This Row],[Is Data Valid]]=TRUE,_xlfn.NORM.S.DIST(Table1[[#This Row],[Birthweight Z-Score]],TRUE)*100,"")</f>
        <v/>
      </c>
      <c r="K965" s="7" t="str">
        <f>IF(Table1[[#This Row],[Is Data Valid]]=TRUE,_xlfn.NORM.S.DIST(Table1[[#This Row],[Birthweight Z-Score (BW-10%)]],TRUE)*100,"")</f>
        <v/>
      </c>
      <c r="L965" s="7" t="str">
        <f>IF(Table1[[#This Row],[Is Data Valid]]=TRUE,_xlfn.NORM.S.DIST(Table1[[#This Row],[Birthweight Z-Score (BW+10%)]],TRUE)*100,"")</f>
        <v/>
      </c>
    </row>
    <row r="966" spans="1:12" x14ac:dyDescent="0.35">
      <c r="A966" s="3"/>
      <c r="B966" s="2"/>
      <c r="C966" s="2"/>
      <c r="D966" s="2" t="b">
        <f>IF(AND(NOT(ISBLANK(Table1[[#This Row],[Fetal Sex (Male, Female or Unknown)]])),ISNUMBER(Table1[[#This Row],[Birthweight (grams)]]),ISNUMBER(Table1[[#This Row],[Gestation (days)]])),TRUE,FALSE)</f>
        <v>0</v>
      </c>
      <c r="E966" s="2" t="str">
        <f>IF(Table1[[#This Row],[Is Data Valid]]=TRUE,IF(Table1[[#This Row],[Fetal Sex (Male, Female or Unknown)]]="Male",Backend!$C$6,IF(Table1[[#This Row],[Fetal Sex (Male, Female or Unknown)]]="Female",Backend!$C$7,IF(Table1[[#This Row],[Fetal Sex (Male, Female or Unknown)]]="Unknown",Backend!$C$8,"Error"))),"")</f>
        <v/>
      </c>
      <c r="F966" s="8" t="str">
        <f>IF(Table1[[#This Row],[Is Data Valid]]=TRUE,EXP(0.578+0.332*((Table1[[#This Row],[Gestation (days)]]+0.5)/7)-0.00354*((Table1[[#This Row],[Gestation (days)]]+0.5)/7)^2)*Table1[[#This Row],[BW40_3705]],"")</f>
        <v/>
      </c>
      <c r="G966" s="2" t="str">
        <f>IF(Table1[[#This Row],[Is Data Valid]]=TRUE,((Table1[[#This Row],[Birthweight (grams)]]/Table1[[#This Row],[BW_GA]])-1)/(Backend!$B$4/100*Table1[[#This Row],[BW40_3705]]),"")</f>
        <v/>
      </c>
      <c r="H966" s="7" t="str">
        <f>IF(Table1[[#This Row],[Is Data Valid]]=TRUE,((Table1[[#This Row],[Birthweight (grams)]]*0.9/Table1[[#This Row],[BW_GA]])-1)/(Backend!$B$4/100*Table1[[#This Row],[BW40_3705]]),"")</f>
        <v/>
      </c>
      <c r="I966" s="7" t="str">
        <f>IF(Table1[[#This Row],[Is Data Valid]]=TRUE,((Table1[[#This Row],[Birthweight (grams)]]*1.1/Table1[[#This Row],[BW_GA]])-1)/(Backend!$B$4/100*Table1[[#This Row],[BW40_3705]]),"")</f>
        <v/>
      </c>
      <c r="J966" s="7" t="str">
        <f>IF(Table1[[#This Row],[Is Data Valid]]=TRUE,_xlfn.NORM.S.DIST(Table1[[#This Row],[Birthweight Z-Score]],TRUE)*100,"")</f>
        <v/>
      </c>
      <c r="K966" s="7" t="str">
        <f>IF(Table1[[#This Row],[Is Data Valid]]=TRUE,_xlfn.NORM.S.DIST(Table1[[#This Row],[Birthweight Z-Score (BW-10%)]],TRUE)*100,"")</f>
        <v/>
      </c>
      <c r="L966" s="7" t="str">
        <f>IF(Table1[[#This Row],[Is Data Valid]]=TRUE,_xlfn.NORM.S.DIST(Table1[[#This Row],[Birthweight Z-Score (BW+10%)]],TRUE)*100,"")</f>
        <v/>
      </c>
    </row>
    <row r="967" spans="1:12" x14ac:dyDescent="0.35">
      <c r="A967" s="3"/>
      <c r="B967" s="2"/>
      <c r="C967" s="2"/>
      <c r="D967" s="2" t="b">
        <f>IF(AND(NOT(ISBLANK(Table1[[#This Row],[Fetal Sex (Male, Female or Unknown)]])),ISNUMBER(Table1[[#This Row],[Birthweight (grams)]]),ISNUMBER(Table1[[#This Row],[Gestation (days)]])),TRUE,FALSE)</f>
        <v>0</v>
      </c>
      <c r="E967" s="2" t="str">
        <f>IF(Table1[[#This Row],[Is Data Valid]]=TRUE,IF(Table1[[#This Row],[Fetal Sex (Male, Female or Unknown)]]="Male",Backend!$C$6,IF(Table1[[#This Row],[Fetal Sex (Male, Female or Unknown)]]="Female",Backend!$C$7,IF(Table1[[#This Row],[Fetal Sex (Male, Female or Unknown)]]="Unknown",Backend!$C$8,"Error"))),"")</f>
        <v/>
      </c>
      <c r="F967" s="8" t="str">
        <f>IF(Table1[[#This Row],[Is Data Valid]]=TRUE,EXP(0.578+0.332*((Table1[[#This Row],[Gestation (days)]]+0.5)/7)-0.00354*((Table1[[#This Row],[Gestation (days)]]+0.5)/7)^2)*Table1[[#This Row],[BW40_3705]],"")</f>
        <v/>
      </c>
      <c r="G967" s="2" t="str">
        <f>IF(Table1[[#This Row],[Is Data Valid]]=TRUE,((Table1[[#This Row],[Birthweight (grams)]]/Table1[[#This Row],[BW_GA]])-1)/(Backend!$B$4/100*Table1[[#This Row],[BW40_3705]]),"")</f>
        <v/>
      </c>
      <c r="H967" s="7" t="str">
        <f>IF(Table1[[#This Row],[Is Data Valid]]=TRUE,((Table1[[#This Row],[Birthweight (grams)]]*0.9/Table1[[#This Row],[BW_GA]])-1)/(Backend!$B$4/100*Table1[[#This Row],[BW40_3705]]),"")</f>
        <v/>
      </c>
      <c r="I967" s="7" t="str">
        <f>IF(Table1[[#This Row],[Is Data Valid]]=TRUE,((Table1[[#This Row],[Birthweight (grams)]]*1.1/Table1[[#This Row],[BW_GA]])-1)/(Backend!$B$4/100*Table1[[#This Row],[BW40_3705]]),"")</f>
        <v/>
      </c>
      <c r="J967" s="7" t="str">
        <f>IF(Table1[[#This Row],[Is Data Valid]]=TRUE,_xlfn.NORM.S.DIST(Table1[[#This Row],[Birthweight Z-Score]],TRUE)*100,"")</f>
        <v/>
      </c>
      <c r="K967" s="7" t="str">
        <f>IF(Table1[[#This Row],[Is Data Valid]]=TRUE,_xlfn.NORM.S.DIST(Table1[[#This Row],[Birthweight Z-Score (BW-10%)]],TRUE)*100,"")</f>
        <v/>
      </c>
      <c r="L967" s="7" t="str">
        <f>IF(Table1[[#This Row],[Is Data Valid]]=TRUE,_xlfn.NORM.S.DIST(Table1[[#This Row],[Birthweight Z-Score (BW+10%)]],TRUE)*100,"")</f>
        <v/>
      </c>
    </row>
    <row r="968" spans="1:12" x14ac:dyDescent="0.35">
      <c r="A968" s="3"/>
      <c r="B968" s="2"/>
      <c r="C968" s="2"/>
      <c r="D968" s="2" t="b">
        <f>IF(AND(NOT(ISBLANK(Table1[[#This Row],[Fetal Sex (Male, Female or Unknown)]])),ISNUMBER(Table1[[#This Row],[Birthweight (grams)]]),ISNUMBER(Table1[[#This Row],[Gestation (days)]])),TRUE,FALSE)</f>
        <v>0</v>
      </c>
      <c r="E968" s="2" t="str">
        <f>IF(Table1[[#This Row],[Is Data Valid]]=TRUE,IF(Table1[[#This Row],[Fetal Sex (Male, Female or Unknown)]]="Male",Backend!$C$6,IF(Table1[[#This Row],[Fetal Sex (Male, Female or Unknown)]]="Female",Backend!$C$7,IF(Table1[[#This Row],[Fetal Sex (Male, Female or Unknown)]]="Unknown",Backend!$C$8,"Error"))),"")</f>
        <v/>
      </c>
      <c r="F968" s="8" t="str">
        <f>IF(Table1[[#This Row],[Is Data Valid]]=TRUE,EXP(0.578+0.332*((Table1[[#This Row],[Gestation (days)]]+0.5)/7)-0.00354*((Table1[[#This Row],[Gestation (days)]]+0.5)/7)^2)*Table1[[#This Row],[BW40_3705]],"")</f>
        <v/>
      </c>
      <c r="G968" s="2" t="str">
        <f>IF(Table1[[#This Row],[Is Data Valid]]=TRUE,((Table1[[#This Row],[Birthweight (grams)]]/Table1[[#This Row],[BW_GA]])-1)/(Backend!$B$4/100*Table1[[#This Row],[BW40_3705]]),"")</f>
        <v/>
      </c>
      <c r="H968" s="7" t="str">
        <f>IF(Table1[[#This Row],[Is Data Valid]]=TRUE,((Table1[[#This Row],[Birthweight (grams)]]*0.9/Table1[[#This Row],[BW_GA]])-1)/(Backend!$B$4/100*Table1[[#This Row],[BW40_3705]]),"")</f>
        <v/>
      </c>
      <c r="I968" s="7" t="str">
        <f>IF(Table1[[#This Row],[Is Data Valid]]=TRUE,((Table1[[#This Row],[Birthweight (grams)]]*1.1/Table1[[#This Row],[BW_GA]])-1)/(Backend!$B$4/100*Table1[[#This Row],[BW40_3705]]),"")</f>
        <v/>
      </c>
      <c r="J968" s="7" t="str">
        <f>IF(Table1[[#This Row],[Is Data Valid]]=TRUE,_xlfn.NORM.S.DIST(Table1[[#This Row],[Birthweight Z-Score]],TRUE)*100,"")</f>
        <v/>
      </c>
      <c r="K968" s="7" t="str">
        <f>IF(Table1[[#This Row],[Is Data Valid]]=TRUE,_xlfn.NORM.S.DIST(Table1[[#This Row],[Birthweight Z-Score (BW-10%)]],TRUE)*100,"")</f>
        <v/>
      </c>
      <c r="L968" s="7" t="str">
        <f>IF(Table1[[#This Row],[Is Data Valid]]=TRUE,_xlfn.NORM.S.DIST(Table1[[#This Row],[Birthweight Z-Score (BW+10%)]],TRUE)*100,"")</f>
        <v/>
      </c>
    </row>
    <row r="969" spans="1:12" x14ac:dyDescent="0.35">
      <c r="A969" s="3"/>
      <c r="B969" s="2"/>
      <c r="C969" s="2"/>
      <c r="D969" s="2" t="b">
        <f>IF(AND(NOT(ISBLANK(Table1[[#This Row],[Fetal Sex (Male, Female or Unknown)]])),ISNUMBER(Table1[[#This Row],[Birthweight (grams)]]),ISNUMBER(Table1[[#This Row],[Gestation (days)]])),TRUE,FALSE)</f>
        <v>0</v>
      </c>
      <c r="E969" s="2" t="str">
        <f>IF(Table1[[#This Row],[Is Data Valid]]=TRUE,IF(Table1[[#This Row],[Fetal Sex (Male, Female or Unknown)]]="Male",Backend!$C$6,IF(Table1[[#This Row],[Fetal Sex (Male, Female or Unknown)]]="Female",Backend!$C$7,IF(Table1[[#This Row],[Fetal Sex (Male, Female or Unknown)]]="Unknown",Backend!$C$8,"Error"))),"")</f>
        <v/>
      </c>
      <c r="F969" s="8" t="str">
        <f>IF(Table1[[#This Row],[Is Data Valid]]=TRUE,EXP(0.578+0.332*((Table1[[#This Row],[Gestation (days)]]+0.5)/7)-0.00354*((Table1[[#This Row],[Gestation (days)]]+0.5)/7)^2)*Table1[[#This Row],[BW40_3705]],"")</f>
        <v/>
      </c>
      <c r="G969" s="2" t="str">
        <f>IF(Table1[[#This Row],[Is Data Valid]]=TRUE,((Table1[[#This Row],[Birthweight (grams)]]/Table1[[#This Row],[BW_GA]])-1)/(Backend!$B$4/100*Table1[[#This Row],[BW40_3705]]),"")</f>
        <v/>
      </c>
      <c r="H969" s="7" t="str">
        <f>IF(Table1[[#This Row],[Is Data Valid]]=TRUE,((Table1[[#This Row],[Birthweight (grams)]]*0.9/Table1[[#This Row],[BW_GA]])-1)/(Backend!$B$4/100*Table1[[#This Row],[BW40_3705]]),"")</f>
        <v/>
      </c>
      <c r="I969" s="7" t="str">
        <f>IF(Table1[[#This Row],[Is Data Valid]]=TRUE,((Table1[[#This Row],[Birthweight (grams)]]*1.1/Table1[[#This Row],[BW_GA]])-1)/(Backend!$B$4/100*Table1[[#This Row],[BW40_3705]]),"")</f>
        <v/>
      </c>
      <c r="J969" s="7" t="str">
        <f>IF(Table1[[#This Row],[Is Data Valid]]=TRUE,_xlfn.NORM.S.DIST(Table1[[#This Row],[Birthweight Z-Score]],TRUE)*100,"")</f>
        <v/>
      </c>
      <c r="K969" s="7" t="str">
        <f>IF(Table1[[#This Row],[Is Data Valid]]=TRUE,_xlfn.NORM.S.DIST(Table1[[#This Row],[Birthweight Z-Score (BW-10%)]],TRUE)*100,"")</f>
        <v/>
      </c>
      <c r="L969" s="7" t="str">
        <f>IF(Table1[[#This Row],[Is Data Valid]]=TRUE,_xlfn.NORM.S.DIST(Table1[[#This Row],[Birthweight Z-Score (BW+10%)]],TRUE)*100,"")</f>
        <v/>
      </c>
    </row>
    <row r="970" spans="1:12" x14ac:dyDescent="0.35">
      <c r="A970" s="3"/>
      <c r="B970" s="2"/>
      <c r="C970" s="2"/>
      <c r="D970" s="2" t="b">
        <f>IF(AND(NOT(ISBLANK(Table1[[#This Row],[Fetal Sex (Male, Female or Unknown)]])),ISNUMBER(Table1[[#This Row],[Birthweight (grams)]]),ISNUMBER(Table1[[#This Row],[Gestation (days)]])),TRUE,FALSE)</f>
        <v>0</v>
      </c>
      <c r="E970" s="2" t="str">
        <f>IF(Table1[[#This Row],[Is Data Valid]]=TRUE,IF(Table1[[#This Row],[Fetal Sex (Male, Female or Unknown)]]="Male",Backend!$C$6,IF(Table1[[#This Row],[Fetal Sex (Male, Female or Unknown)]]="Female",Backend!$C$7,IF(Table1[[#This Row],[Fetal Sex (Male, Female or Unknown)]]="Unknown",Backend!$C$8,"Error"))),"")</f>
        <v/>
      </c>
      <c r="F970" s="8" t="str">
        <f>IF(Table1[[#This Row],[Is Data Valid]]=TRUE,EXP(0.578+0.332*((Table1[[#This Row],[Gestation (days)]]+0.5)/7)-0.00354*((Table1[[#This Row],[Gestation (days)]]+0.5)/7)^2)*Table1[[#This Row],[BW40_3705]],"")</f>
        <v/>
      </c>
      <c r="G970" s="2" t="str">
        <f>IF(Table1[[#This Row],[Is Data Valid]]=TRUE,((Table1[[#This Row],[Birthweight (grams)]]/Table1[[#This Row],[BW_GA]])-1)/(Backend!$B$4/100*Table1[[#This Row],[BW40_3705]]),"")</f>
        <v/>
      </c>
      <c r="H970" s="7" t="str">
        <f>IF(Table1[[#This Row],[Is Data Valid]]=TRUE,((Table1[[#This Row],[Birthweight (grams)]]*0.9/Table1[[#This Row],[BW_GA]])-1)/(Backend!$B$4/100*Table1[[#This Row],[BW40_3705]]),"")</f>
        <v/>
      </c>
      <c r="I970" s="7" t="str">
        <f>IF(Table1[[#This Row],[Is Data Valid]]=TRUE,((Table1[[#This Row],[Birthweight (grams)]]*1.1/Table1[[#This Row],[BW_GA]])-1)/(Backend!$B$4/100*Table1[[#This Row],[BW40_3705]]),"")</f>
        <v/>
      </c>
      <c r="J970" s="7" t="str">
        <f>IF(Table1[[#This Row],[Is Data Valid]]=TRUE,_xlfn.NORM.S.DIST(Table1[[#This Row],[Birthweight Z-Score]],TRUE)*100,"")</f>
        <v/>
      </c>
      <c r="K970" s="7" t="str">
        <f>IF(Table1[[#This Row],[Is Data Valid]]=TRUE,_xlfn.NORM.S.DIST(Table1[[#This Row],[Birthweight Z-Score (BW-10%)]],TRUE)*100,"")</f>
        <v/>
      </c>
      <c r="L970" s="7" t="str">
        <f>IF(Table1[[#This Row],[Is Data Valid]]=TRUE,_xlfn.NORM.S.DIST(Table1[[#This Row],[Birthweight Z-Score (BW+10%)]],TRUE)*100,"")</f>
        <v/>
      </c>
    </row>
    <row r="971" spans="1:12" x14ac:dyDescent="0.35">
      <c r="A971" s="3"/>
      <c r="B971" s="2"/>
      <c r="C971" s="2"/>
      <c r="D971" s="2" t="b">
        <f>IF(AND(NOT(ISBLANK(Table1[[#This Row],[Fetal Sex (Male, Female or Unknown)]])),ISNUMBER(Table1[[#This Row],[Birthweight (grams)]]),ISNUMBER(Table1[[#This Row],[Gestation (days)]])),TRUE,FALSE)</f>
        <v>0</v>
      </c>
      <c r="E971" s="2" t="str">
        <f>IF(Table1[[#This Row],[Is Data Valid]]=TRUE,IF(Table1[[#This Row],[Fetal Sex (Male, Female or Unknown)]]="Male",Backend!$C$6,IF(Table1[[#This Row],[Fetal Sex (Male, Female or Unknown)]]="Female",Backend!$C$7,IF(Table1[[#This Row],[Fetal Sex (Male, Female or Unknown)]]="Unknown",Backend!$C$8,"Error"))),"")</f>
        <v/>
      </c>
      <c r="F971" s="8" t="str">
        <f>IF(Table1[[#This Row],[Is Data Valid]]=TRUE,EXP(0.578+0.332*((Table1[[#This Row],[Gestation (days)]]+0.5)/7)-0.00354*((Table1[[#This Row],[Gestation (days)]]+0.5)/7)^2)*Table1[[#This Row],[BW40_3705]],"")</f>
        <v/>
      </c>
      <c r="G971" s="2" t="str">
        <f>IF(Table1[[#This Row],[Is Data Valid]]=TRUE,((Table1[[#This Row],[Birthweight (grams)]]/Table1[[#This Row],[BW_GA]])-1)/(Backend!$B$4/100*Table1[[#This Row],[BW40_3705]]),"")</f>
        <v/>
      </c>
      <c r="H971" s="7" t="str">
        <f>IF(Table1[[#This Row],[Is Data Valid]]=TRUE,((Table1[[#This Row],[Birthweight (grams)]]*0.9/Table1[[#This Row],[BW_GA]])-1)/(Backend!$B$4/100*Table1[[#This Row],[BW40_3705]]),"")</f>
        <v/>
      </c>
      <c r="I971" s="7" t="str">
        <f>IF(Table1[[#This Row],[Is Data Valid]]=TRUE,((Table1[[#This Row],[Birthweight (grams)]]*1.1/Table1[[#This Row],[BW_GA]])-1)/(Backend!$B$4/100*Table1[[#This Row],[BW40_3705]]),"")</f>
        <v/>
      </c>
      <c r="J971" s="7" t="str">
        <f>IF(Table1[[#This Row],[Is Data Valid]]=TRUE,_xlfn.NORM.S.DIST(Table1[[#This Row],[Birthweight Z-Score]],TRUE)*100,"")</f>
        <v/>
      </c>
      <c r="K971" s="7" t="str">
        <f>IF(Table1[[#This Row],[Is Data Valid]]=TRUE,_xlfn.NORM.S.DIST(Table1[[#This Row],[Birthweight Z-Score (BW-10%)]],TRUE)*100,"")</f>
        <v/>
      </c>
      <c r="L971" s="7" t="str">
        <f>IF(Table1[[#This Row],[Is Data Valid]]=TRUE,_xlfn.NORM.S.DIST(Table1[[#This Row],[Birthweight Z-Score (BW+10%)]],TRUE)*100,"")</f>
        <v/>
      </c>
    </row>
    <row r="972" spans="1:12" x14ac:dyDescent="0.35">
      <c r="A972" s="3"/>
      <c r="B972" s="2"/>
      <c r="C972" s="2"/>
      <c r="D972" s="2" t="b">
        <f>IF(AND(NOT(ISBLANK(Table1[[#This Row],[Fetal Sex (Male, Female or Unknown)]])),ISNUMBER(Table1[[#This Row],[Birthweight (grams)]]),ISNUMBER(Table1[[#This Row],[Gestation (days)]])),TRUE,FALSE)</f>
        <v>0</v>
      </c>
      <c r="E972" s="2" t="str">
        <f>IF(Table1[[#This Row],[Is Data Valid]]=TRUE,IF(Table1[[#This Row],[Fetal Sex (Male, Female or Unknown)]]="Male",Backend!$C$6,IF(Table1[[#This Row],[Fetal Sex (Male, Female or Unknown)]]="Female",Backend!$C$7,IF(Table1[[#This Row],[Fetal Sex (Male, Female or Unknown)]]="Unknown",Backend!$C$8,"Error"))),"")</f>
        <v/>
      </c>
      <c r="F972" s="8" t="str">
        <f>IF(Table1[[#This Row],[Is Data Valid]]=TRUE,EXP(0.578+0.332*((Table1[[#This Row],[Gestation (days)]]+0.5)/7)-0.00354*((Table1[[#This Row],[Gestation (days)]]+0.5)/7)^2)*Table1[[#This Row],[BW40_3705]],"")</f>
        <v/>
      </c>
      <c r="G972" s="2" t="str">
        <f>IF(Table1[[#This Row],[Is Data Valid]]=TRUE,((Table1[[#This Row],[Birthweight (grams)]]/Table1[[#This Row],[BW_GA]])-1)/(Backend!$B$4/100*Table1[[#This Row],[BW40_3705]]),"")</f>
        <v/>
      </c>
      <c r="H972" s="7" t="str">
        <f>IF(Table1[[#This Row],[Is Data Valid]]=TRUE,((Table1[[#This Row],[Birthweight (grams)]]*0.9/Table1[[#This Row],[BW_GA]])-1)/(Backend!$B$4/100*Table1[[#This Row],[BW40_3705]]),"")</f>
        <v/>
      </c>
      <c r="I972" s="7" t="str">
        <f>IF(Table1[[#This Row],[Is Data Valid]]=TRUE,((Table1[[#This Row],[Birthweight (grams)]]*1.1/Table1[[#This Row],[BW_GA]])-1)/(Backend!$B$4/100*Table1[[#This Row],[BW40_3705]]),"")</f>
        <v/>
      </c>
      <c r="J972" s="7" t="str">
        <f>IF(Table1[[#This Row],[Is Data Valid]]=TRUE,_xlfn.NORM.S.DIST(Table1[[#This Row],[Birthweight Z-Score]],TRUE)*100,"")</f>
        <v/>
      </c>
      <c r="K972" s="7" t="str">
        <f>IF(Table1[[#This Row],[Is Data Valid]]=TRUE,_xlfn.NORM.S.DIST(Table1[[#This Row],[Birthweight Z-Score (BW-10%)]],TRUE)*100,"")</f>
        <v/>
      </c>
      <c r="L972" s="7" t="str">
        <f>IF(Table1[[#This Row],[Is Data Valid]]=TRUE,_xlfn.NORM.S.DIST(Table1[[#This Row],[Birthweight Z-Score (BW+10%)]],TRUE)*100,"")</f>
        <v/>
      </c>
    </row>
    <row r="973" spans="1:12" x14ac:dyDescent="0.35">
      <c r="A973" s="3"/>
      <c r="B973" s="2"/>
      <c r="C973" s="2"/>
      <c r="D973" s="2" t="b">
        <f>IF(AND(NOT(ISBLANK(Table1[[#This Row],[Fetal Sex (Male, Female or Unknown)]])),ISNUMBER(Table1[[#This Row],[Birthweight (grams)]]),ISNUMBER(Table1[[#This Row],[Gestation (days)]])),TRUE,FALSE)</f>
        <v>0</v>
      </c>
      <c r="E973" s="2" t="str">
        <f>IF(Table1[[#This Row],[Is Data Valid]]=TRUE,IF(Table1[[#This Row],[Fetal Sex (Male, Female or Unknown)]]="Male",Backend!$C$6,IF(Table1[[#This Row],[Fetal Sex (Male, Female or Unknown)]]="Female",Backend!$C$7,IF(Table1[[#This Row],[Fetal Sex (Male, Female or Unknown)]]="Unknown",Backend!$C$8,"Error"))),"")</f>
        <v/>
      </c>
      <c r="F973" s="8" t="str">
        <f>IF(Table1[[#This Row],[Is Data Valid]]=TRUE,EXP(0.578+0.332*((Table1[[#This Row],[Gestation (days)]]+0.5)/7)-0.00354*((Table1[[#This Row],[Gestation (days)]]+0.5)/7)^2)*Table1[[#This Row],[BW40_3705]],"")</f>
        <v/>
      </c>
      <c r="G973" s="2" t="str">
        <f>IF(Table1[[#This Row],[Is Data Valid]]=TRUE,((Table1[[#This Row],[Birthweight (grams)]]/Table1[[#This Row],[BW_GA]])-1)/(Backend!$B$4/100*Table1[[#This Row],[BW40_3705]]),"")</f>
        <v/>
      </c>
      <c r="H973" s="7" t="str">
        <f>IF(Table1[[#This Row],[Is Data Valid]]=TRUE,((Table1[[#This Row],[Birthweight (grams)]]*0.9/Table1[[#This Row],[BW_GA]])-1)/(Backend!$B$4/100*Table1[[#This Row],[BW40_3705]]),"")</f>
        <v/>
      </c>
      <c r="I973" s="7" t="str">
        <f>IF(Table1[[#This Row],[Is Data Valid]]=TRUE,((Table1[[#This Row],[Birthweight (grams)]]*1.1/Table1[[#This Row],[BW_GA]])-1)/(Backend!$B$4/100*Table1[[#This Row],[BW40_3705]]),"")</f>
        <v/>
      </c>
      <c r="J973" s="7" t="str">
        <f>IF(Table1[[#This Row],[Is Data Valid]]=TRUE,_xlfn.NORM.S.DIST(Table1[[#This Row],[Birthweight Z-Score]],TRUE)*100,"")</f>
        <v/>
      </c>
      <c r="K973" s="7" t="str">
        <f>IF(Table1[[#This Row],[Is Data Valid]]=TRUE,_xlfn.NORM.S.DIST(Table1[[#This Row],[Birthweight Z-Score (BW-10%)]],TRUE)*100,"")</f>
        <v/>
      </c>
      <c r="L973" s="7" t="str">
        <f>IF(Table1[[#This Row],[Is Data Valid]]=TRUE,_xlfn.NORM.S.DIST(Table1[[#This Row],[Birthweight Z-Score (BW+10%)]],TRUE)*100,"")</f>
        <v/>
      </c>
    </row>
    <row r="974" spans="1:12" x14ac:dyDescent="0.35">
      <c r="A974" s="3"/>
      <c r="B974" s="2"/>
      <c r="C974" s="2"/>
      <c r="D974" s="2" t="b">
        <f>IF(AND(NOT(ISBLANK(Table1[[#This Row],[Fetal Sex (Male, Female or Unknown)]])),ISNUMBER(Table1[[#This Row],[Birthweight (grams)]]),ISNUMBER(Table1[[#This Row],[Gestation (days)]])),TRUE,FALSE)</f>
        <v>0</v>
      </c>
      <c r="E974" s="2" t="str">
        <f>IF(Table1[[#This Row],[Is Data Valid]]=TRUE,IF(Table1[[#This Row],[Fetal Sex (Male, Female or Unknown)]]="Male",Backend!$C$6,IF(Table1[[#This Row],[Fetal Sex (Male, Female or Unknown)]]="Female",Backend!$C$7,IF(Table1[[#This Row],[Fetal Sex (Male, Female or Unknown)]]="Unknown",Backend!$C$8,"Error"))),"")</f>
        <v/>
      </c>
      <c r="F974" s="8" t="str">
        <f>IF(Table1[[#This Row],[Is Data Valid]]=TRUE,EXP(0.578+0.332*((Table1[[#This Row],[Gestation (days)]]+0.5)/7)-0.00354*((Table1[[#This Row],[Gestation (days)]]+0.5)/7)^2)*Table1[[#This Row],[BW40_3705]],"")</f>
        <v/>
      </c>
      <c r="G974" s="2" t="str">
        <f>IF(Table1[[#This Row],[Is Data Valid]]=TRUE,((Table1[[#This Row],[Birthweight (grams)]]/Table1[[#This Row],[BW_GA]])-1)/(Backend!$B$4/100*Table1[[#This Row],[BW40_3705]]),"")</f>
        <v/>
      </c>
      <c r="H974" s="7" t="str">
        <f>IF(Table1[[#This Row],[Is Data Valid]]=TRUE,((Table1[[#This Row],[Birthweight (grams)]]*0.9/Table1[[#This Row],[BW_GA]])-1)/(Backend!$B$4/100*Table1[[#This Row],[BW40_3705]]),"")</f>
        <v/>
      </c>
      <c r="I974" s="7" t="str">
        <f>IF(Table1[[#This Row],[Is Data Valid]]=TRUE,((Table1[[#This Row],[Birthweight (grams)]]*1.1/Table1[[#This Row],[BW_GA]])-1)/(Backend!$B$4/100*Table1[[#This Row],[BW40_3705]]),"")</f>
        <v/>
      </c>
      <c r="J974" s="7" t="str">
        <f>IF(Table1[[#This Row],[Is Data Valid]]=TRUE,_xlfn.NORM.S.DIST(Table1[[#This Row],[Birthweight Z-Score]],TRUE)*100,"")</f>
        <v/>
      </c>
      <c r="K974" s="7" t="str">
        <f>IF(Table1[[#This Row],[Is Data Valid]]=TRUE,_xlfn.NORM.S.DIST(Table1[[#This Row],[Birthweight Z-Score (BW-10%)]],TRUE)*100,"")</f>
        <v/>
      </c>
      <c r="L974" s="7" t="str">
        <f>IF(Table1[[#This Row],[Is Data Valid]]=TRUE,_xlfn.NORM.S.DIST(Table1[[#This Row],[Birthweight Z-Score (BW+10%)]],TRUE)*100,"")</f>
        <v/>
      </c>
    </row>
    <row r="975" spans="1:12" x14ac:dyDescent="0.35">
      <c r="A975" s="3"/>
      <c r="B975" s="2"/>
      <c r="C975" s="2"/>
      <c r="D975" s="2" t="b">
        <f>IF(AND(NOT(ISBLANK(Table1[[#This Row],[Fetal Sex (Male, Female or Unknown)]])),ISNUMBER(Table1[[#This Row],[Birthweight (grams)]]),ISNUMBER(Table1[[#This Row],[Gestation (days)]])),TRUE,FALSE)</f>
        <v>0</v>
      </c>
      <c r="E975" s="2" t="str">
        <f>IF(Table1[[#This Row],[Is Data Valid]]=TRUE,IF(Table1[[#This Row],[Fetal Sex (Male, Female or Unknown)]]="Male",Backend!$C$6,IF(Table1[[#This Row],[Fetal Sex (Male, Female or Unknown)]]="Female",Backend!$C$7,IF(Table1[[#This Row],[Fetal Sex (Male, Female or Unknown)]]="Unknown",Backend!$C$8,"Error"))),"")</f>
        <v/>
      </c>
      <c r="F975" s="8" t="str">
        <f>IF(Table1[[#This Row],[Is Data Valid]]=TRUE,EXP(0.578+0.332*((Table1[[#This Row],[Gestation (days)]]+0.5)/7)-0.00354*((Table1[[#This Row],[Gestation (days)]]+0.5)/7)^2)*Table1[[#This Row],[BW40_3705]],"")</f>
        <v/>
      </c>
      <c r="G975" s="2" t="str">
        <f>IF(Table1[[#This Row],[Is Data Valid]]=TRUE,((Table1[[#This Row],[Birthweight (grams)]]/Table1[[#This Row],[BW_GA]])-1)/(Backend!$B$4/100*Table1[[#This Row],[BW40_3705]]),"")</f>
        <v/>
      </c>
      <c r="H975" s="7" t="str">
        <f>IF(Table1[[#This Row],[Is Data Valid]]=TRUE,((Table1[[#This Row],[Birthweight (grams)]]*0.9/Table1[[#This Row],[BW_GA]])-1)/(Backend!$B$4/100*Table1[[#This Row],[BW40_3705]]),"")</f>
        <v/>
      </c>
      <c r="I975" s="7" t="str">
        <f>IF(Table1[[#This Row],[Is Data Valid]]=TRUE,((Table1[[#This Row],[Birthweight (grams)]]*1.1/Table1[[#This Row],[BW_GA]])-1)/(Backend!$B$4/100*Table1[[#This Row],[BW40_3705]]),"")</f>
        <v/>
      </c>
      <c r="J975" s="7" t="str">
        <f>IF(Table1[[#This Row],[Is Data Valid]]=TRUE,_xlfn.NORM.S.DIST(Table1[[#This Row],[Birthweight Z-Score]],TRUE)*100,"")</f>
        <v/>
      </c>
      <c r="K975" s="7" t="str">
        <f>IF(Table1[[#This Row],[Is Data Valid]]=TRUE,_xlfn.NORM.S.DIST(Table1[[#This Row],[Birthweight Z-Score (BW-10%)]],TRUE)*100,"")</f>
        <v/>
      </c>
      <c r="L975" s="7" t="str">
        <f>IF(Table1[[#This Row],[Is Data Valid]]=TRUE,_xlfn.NORM.S.DIST(Table1[[#This Row],[Birthweight Z-Score (BW+10%)]],TRUE)*100,"")</f>
        <v/>
      </c>
    </row>
    <row r="976" spans="1:12" x14ac:dyDescent="0.35">
      <c r="A976" s="3"/>
      <c r="B976" s="2"/>
      <c r="C976" s="2"/>
      <c r="D976" s="2" t="b">
        <f>IF(AND(NOT(ISBLANK(Table1[[#This Row],[Fetal Sex (Male, Female or Unknown)]])),ISNUMBER(Table1[[#This Row],[Birthweight (grams)]]),ISNUMBER(Table1[[#This Row],[Gestation (days)]])),TRUE,FALSE)</f>
        <v>0</v>
      </c>
      <c r="E976" s="2" t="str">
        <f>IF(Table1[[#This Row],[Is Data Valid]]=TRUE,IF(Table1[[#This Row],[Fetal Sex (Male, Female or Unknown)]]="Male",Backend!$C$6,IF(Table1[[#This Row],[Fetal Sex (Male, Female or Unknown)]]="Female",Backend!$C$7,IF(Table1[[#This Row],[Fetal Sex (Male, Female or Unknown)]]="Unknown",Backend!$C$8,"Error"))),"")</f>
        <v/>
      </c>
      <c r="F976" s="8" t="str">
        <f>IF(Table1[[#This Row],[Is Data Valid]]=TRUE,EXP(0.578+0.332*((Table1[[#This Row],[Gestation (days)]]+0.5)/7)-0.00354*((Table1[[#This Row],[Gestation (days)]]+0.5)/7)^2)*Table1[[#This Row],[BW40_3705]],"")</f>
        <v/>
      </c>
      <c r="G976" s="2" t="str">
        <f>IF(Table1[[#This Row],[Is Data Valid]]=TRUE,((Table1[[#This Row],[Birthweight (grams)]]/Table1[[#This Row],[BW_GA]])-1)/(Backend!$B$4/100*Table1[[#This Row],[BW40_3705]]),"")</f>
        <v/>
      </c>
      <c r="H976" s="7" t="str">
        <f>IF(Table1[[#This Row],[Is Data Valid]]=TRUE,((Table1[[#This Row],[Birthweight (grams)]]*0.9/Table1[[#This Row],[BW_GA]])-1)/(Backend!$B$4/100*Table1[[#This Row],[BW40_3705]]),"")</f>
        <v/>
      </c>
      <c r="I976" s="7" t="str">
        <f>IF(Table1[[#This Row],[Is Data Valid]]=TRUE,((Table1[[#This Row],[Birthweight (grams)]]*1.1/Table1[[#This Row],[BW_GA]])-1)/(Backend!$B$4/100*Table1[[#This Row],[BW40_3705]]),"")</f>
        <v/>
      </c>
      <c r="J976" s="7" t="str">
        <f>IF(Table1[[#This Row],[Is Data Valid]]=TRUE,_xlfn.NORM.S.DIST(Table1[[#This Row],[Birthweight Z-Score]],TRUE)*100,"")</f>
        <v/>
      </c>
      <c r="K976" s="7" t="str">
        <f>IF(Table1[[#This Row],[Is Data Valid]]=TRUE,_xlfn.NORM.S.DIST(Table1[[#This Row],[Birthweight Z-Score (BW-10%)]],TRUE)*100,"")</f>
        <v/>
      </c>
      <c r="L976" s="7" t="str">
        <f>IF(Table1[[#This Row],[Is Data Valid]]=TRUE,_xlfn.NORM.S.DIST(Table1[[#This Row],[Birthweight Z-Score (BW+10%)]],TRUE)*100,"")</f>
        <v/>
      </c>
    </row>
    <row r="977" spans="1:12" x14ac:dyDescent="0.35">
      <c r="A977" s="3"/>
      <c r="B977" s="2"/>
      <c r="C977" s="2"/>
      <c r="D977" s="2" t="b">
        <f>IF(AND(NOT(ISBLANK(Table1[[#This Row],[Fetal Sex (Male, Female or Unknown)]])),ISNUMBER(Table1[[#This Row],[Birthweight (grams)]]),ISNUMBER(Table1[[#This Row],[Gestation (days)]])),TRUE,FALSE)</f>
        <v>0</v>
      </c>
      <c r="E977" s="2" t="str">
        <f>IF(Table1[[#This Row],[Is Data Valid]]=TRUE,IF(Table1[[#This Row],[Fetal Sex (Male, Female or Unknown)]]="Male",Backend!$C$6,IF(Table1[[#This Row],[Fetal Sex (Male, Female or Unknown)]]="Female",Backend!$C$7,IF(Table1[[#This Row],[Fetal Sex (Male, Female or Unknown)]]="Unknown",Backend!$C$8,"Error"))),"")</f>
        <v/>
      </c>
      <c r="F977" s="8" t="str">
        <f>IF(Table1[[#This Row],[Is Data Valid]]=TRUE,EXP(0.578+0.332*((Table1[[#This Row],[Gestation (days)]]+0.5)/7)-0.00354*((Table1[[#This Row],[Gestation (days)]]+0.5)/7)^2)*Table1[[#This Row],[BW40_3705]],"")</f>
        <v/>
      </c>
      <c r="G977" s="2" t="str">
        <f>IF(Table1[[#This Row],[Is Data Valid]]=TRUE,((Table1[[#This Row],[Birthweight (grams)]]/Table1[[#This Row],[BW_GA]])-1)/(Backend!$B$4/100*Table1[[#This Row],[BW40_3705]]),"")</f>
        <v/>
      </c>
      <c r="H977" s="7" t="str">
        <f>IF(Table1[[#This Row],[Is Data Valid]]=TRUE,((Table1[[#This Row],[Birthweight (grams)]]*0.9/Table1[[#This Row],[BW_GA]])-1)/(Backend!$B$4/100*Table1[[#This Row],[BW40_3705]]),"")</f>
        <v/>
      </c>
      <c r="I977" s="7" t="str">
        <f>IF(Table1[[#This Row],[Is Data Valid]]=TRUE,((Table1[[#This Row],[Birthweight (grams)]]*1.1/Table1[[#This Row],[BW_GA]])-1)/(Backend!$B$4/100*Table1[[#This Row],[BW40_3705]]),"")</f>
        <v/>
      </c>
      <c r="J977" s="7" t="str">
        <f>IF(Table1[[#This Row],[Is Data Valid]]=TRUE,_xlfn.NORM.S.DIST(Table1[[#This Row],[Birthweight Z-Score]],TRUE)*100,"")</f>
        <v/>
      </c>
      <c r="K977" s="7" t="str">
        <f>IF(Table1[[#This Row],[Is Data Valid]]=TRUE,_xlfn.NORM.S.DIST(Table1[[#This Row],[Birthweight Z-Score (BW-10%)]],TRUE)*100,"")</f>
        <v/>
      </c>
      <c r="L977" s="7" t="str">
        <f>IF(Table1[[#This Row],[Is Data Valid]]=TRUE,_xlfn.NORM.S.DIST(Table1[[#This Row],[Birthweight Z-Score (BW+10%)]],TRUE)*100,"")</f>
        <v/>
      </c>
    </row>
    <row r="978" spans="1:12" x14ac:dyDescent="0.35">
      <c r="A978" s="3"/>
      <c r="B978" s="2"/>
      <c r="C978" s="2"/>
      <c r="D978" s="2" t="b">
        <f>IF(AND(NOT(ISBLANK(Table1[[#This Row],[Fetal Sex (Male, Female or Unknown)]])),ISNUMBER(Table1[[#This Row],[Birthweight (grams)]]),ISNUMBER(Table1[[#This Row],[Gestation (days)]])),TRUE,FALSE)</f>
        <v>0</v>
      </c>
      <c r="E978" s="2" t="str">
        <f>IF(Table1[[#This Row],[Is Data Valid]]=TRUE,IF(Table1[[#This Row],[Fetal Sex (Male, Female or Unknown)]]="Male",Backend!$C$6,IF(Table1[[#This Row],[Fetal Sex (Male, Female or Unknown)]]="Female",Backend!$C$7,IF(Table1[[#This Row],[Fetal Sex (Male, Female or Unknown)]]="Unknown",Backend!$C$8,"Error"))),"")</f>
        <v/>
      </c>
      <c r="F978" s="8" t="str">
        <f>IF(Table1[[#This Row],[Is Data Valid]]=TRUE,EXP(0.578+0.332*((Table1[[#This Row],[Gestation (days)]]+0.5)/7)-0.00354*((Table1[[#This Row],[Gestation (days)]]+0.5)/7)^2)*Table1[[#This Row],[BW40_3705]],"")</f>
        <v/>
      </c>
      <c r="G978" s="2" t="str">
        <f>IF(Table1[[#This Row],[Is Data Valid]]=TRUE,((Table1[[#This Row],[Birthweight (grams)]]/Table1[[#This Row],[BW_GA]])-1)/(Backend!$B$4/100*Table1[[#This Row],[BW40_3705]]),"")</f>
        <v/>
      </c>
      <c r="H978" s="7" t="str">
        <f>IF(Table1[[#This Row],[Is Data Valid]]=TRUE,((Table1[[#This Row],[Birthweight (grams)]]*0.9/Table1[[#This Row],[BW_GA]])-1)/(Backend!$B$4/100*Table1[[#This Row],[BW40_3705]]),"")</f>
        <v/>
      </c>
      <c r="I978" s="7" t="str">
        <f>IF(Table1[[#This Row],[Is Data Valid]]=TRUE,((Table1[[#This Row],[Birthweight (grams)]]*1.1/Table1[[#This Row],[BW_GA]])-1)/(Backend!$B$4/100*Table1[[#This Row],[BW40_3705]]),"")</f>
        <v/>
      </c>
      <c r="J978" s="7" t="str">
        <f>IF(Table1[[#This Row],[Is Data Valid]]=TRUE,_xlfn.NORM.S.DIST(Table1[[#This Row],[Birthweight Z-Score]],TRUE)*100,"")</f>
        <v/>
      </c>
      <c r="K978" s="7" t="str">
        <f>IF(Table1[[#This Row],[Is Data Valid]]=TRUE,_xlfn.NORM.S.DIST(Table1[[#This Row],[Birthweight Z-Score (BW-10%)]],TRUE)*100,"")</f>
        <v/>
      </c>
      <c r="L978" s="7" t="str">
        <f>IF(Table1[[#This Row],[Is Data Valid]]=TRUE,_xlfn.NORM.S.DIST(Table1[[#This Row],[Birthweight Z-Score (BW+10%)]],TRUE)*100,"")</f>
        <v/>
      </c>
    </row>
    <row r="979" spans="1:12" x14ac:dyDescent="0.35">
      <c r="A979" s="3"/>
      <c r="B979" s="2"/>
      <c r="C979" s="2"/>
      <c r="D979" s="2" t="b">
        <f>IF(AND(NOT(ISBLANK(Table1[[#This Row],[Fetal Sex (Male, Female or Unknown)]])),ISNUMBER(Table1[[#This Row],[Birthweight (grams)]]),ISNUMBER(Table1[[#This Row],[Gestation (days)]])),TRUE,FALSE)</f>
        <v>0</v>
      </c>
      <c r="E979" s="2" t="str">
        <f>IF(Table1[[#This Row],[Is Data Valid]]=TRUE,IF(Table1[[#This Row],[Fetal Sex (Male, Female or Unknown)]]="Male",Backend!$C$6,IF(Table1[[#This Row],[Fetal Sex (Male, Female or Unknown)]]="Female",Backend!$C$7,IF(Table1[[#This Row],[Fetal Sex (Male, Female or Unknown)]]="Unknown",Backend!$C$8,"Error"))),"")</f>
        <v/>
      </c>
      <c r="F979" s="8" t="str">
        <f>IF(Table1[[#This Row],[Is Data Valid]]=TRUE,EXP(0.578+0.332*((Table1[[#This Row],[Gestation (days)]]+0.5)/7)-0.00354*((Table1[[#This Row],[Gestation (days)]]+0.5)/7)^2)*Table1[[#This Row],[BW40_3705]],"")</f>
        <v/>
      </c>
      <c r="G979" s="2" t="str">
        <f>IF(Table1[[#This Row],[Is Data Valid]]=TRUE,((Table1[[#This Row],[Birthweight (grams)]]/Table1[[#This Row],[BW_GA]])-1)/(Backend!$B$4/100*Table1[[#This Row],[BW40_3705]]),"")</f>
        <v/>
      </c>
      <c r="H979" s="7" t="str">
        <f>IF(Table1[[#This Row],[Is Data Valid]]=TRUE,((Table1[[#This Row],[Birthweight (grams)]]*0.9/Table1[[#This Row],[BW_GA]])-1)/(Backend!$B$4/100*Table1[[#This Row],[BW40_3705]]),"")</f>
        <v/>
      </c>
      <c r="I979" s="7" t="str">
        <f>IF(Table1[[#This Row],[Is Data Valid]]=TRUE,((Table1[[#This Row],[Birthweight (grams)]]*1.1/Table1[[#This Row],[BW_GA]])-1)/(Backend!$B$4/100*Table1[[#This Row],[BW40_3705]]),"")</f>
        <v/>
      </c>
      <c r="J979" s="7" t="str">
        <f>IF(Table1[[#This Row],[Is Data Valid]]=TRUE,_xlfn.NORM.S.DIST(Table1[[#This Row],[Birthweight Z-Score]],TRUE)*100,"")</f>
        <v/>
      </c>
      <c r="K979" s="7" t="str">
        <f>IF(Table1[[#This Row],[Is Data Valid]]=TRUE,_xlfn.NORM.S.DIST(Table1[[#This Row],[Birthweight Z-Score (BW-10%)]],TRUE)*100,"")</f>
        <v/>
      </c>
      <c r="L979" s="7" t="str">
        <f>IF(Table1[[#This Row],[Is Data Valid]]=TRUE,_xlfn.NORM.S.DIST(Table1[[#This Row],[Birthweight Z-Score (BW+10%)]],TRUE)*100,"")</f>
        <v/>
      </c>
    </row>
    <row r="980" spans="1:12" x14ac:dyDescent="0.35">
      <c r="A980" s="3"/>
      <c r="B980" s="2"/>
      <c r="C980" s="2"/>
      <c r="D980" s="2" t="b">
        <f>IF(AND(NOT(ISBLANK(Table1[[#This Row],[Fetal Sex (Male, Female or Unknown)]])),ISNUMBER(Table1[[#This Row],[Birthweight (grams)]]),ISNUMBER(Table1[[#This Row],[Gestation (days)]])),TRUE,FALSE)</f>
        <v>0</v>
      </c>
      <c r="E980" s="2" t="str">
        <f>IF(Table1[[#This Row],[Is Data Valid]]=TRUE,IF(Table1[[#This Row],[Fetal Sex (Male, Female or Unknown)]]="Male",Backend!$C$6,IF(Table1[[#This Row],[Fetal Sex (Male, Female or Unknown)]]="Female",Backend!$C$7,IF(Table1[[#This Row],[Fetal Sex (Male, Female or Unknown)]]="Unknown",Backend!$C$8,"Error"))),"")</f>
        <v/>
      </c>
      <c r="F980" s="8" t="str">
        <f>IF(Table1[[#This Row],[Is Data Valid]]=TRUE,EXP(0.578+0.332*((Table1[[#This Row],[Gestation (days)]]+0.5)/7)-0.00354*((Table1[[#This Row],[Gestation (days)]]+0.5)/7)^2)*Table1[[#This Row],[BW40_3705]],"")</f>
        <v/>
      </c>
      <c r="G980" s="2" t="str">
        <f>IF(Table1[[#This Row],[Is Data Valid]]=TRUE,((Table1[[#This Row],[Birthweight (grams)]]/Table1[[#This Row],[BW_GA]])-1)/(Backend!$B$4/100*Table1[[#This Row],[BW40_3705]]),"")</f>
        <v/>
      </c>
      <c r="H980" s="7" t="str">
        <f>IF(Table1[[#This Row],[Is Data Valid]]=TRUE,((Table1[[#This Row],[Birthweight (grams)]]*0.9/Table1[[#This Row],[BW_GA]])-1)/(Backend!$B$4/100*Table1[[#This Row],[BW40_3705]]),"")</f>
        <v/>
      </c>
      <c r="I980" s="7" t="str">
        <f>IF(Table1[[#This Row],[Is Data Valid]]=TRUE,((Table1[[#This Row],[Birthweight (grams)]]*1.1/Table1[[#This Row],[BW_GA]])-1)/(Backend!$B$4/100*Table1[[#This Row],[BW40_3705]]),"")</f>
        <v/>
      </c>
      <c r="J980" s="7" t="str">
        <f>IF(Table1[[#This Row],[Is Data Valid]]=TRUE,_xlfn.NORM.S.DIST(Table1[[#This Row],[Birthweight Z-Score]],TRUE)*100,"")</f>
        <v/>
      </c>
      <c r="K980" s="7" t="str">
        <f>IF(Table1[[#This Row],[Is Data Valid]]=TRUE,_xlfn.NORM.S.DIST(Table1[[#This Row],[Birthweight Z-Score (BW-10%)]],TRUE)*100,"")</f>
        <v/>
      </c>
      <c r="L980" s="7" t="str">
        <f>IF(Table1[[#This Row],[Is Data Valid]]=TRUE,_xlfn.NORM.S.DIST(Table1[[#This Row],[Birthweight Z-Score (BW+10%)]],TRUE)*100,"")</f>
        <v/>
      </c>
    </row>
    <row r="981" spans="1:12" x14ac:dyDescent="0.35">
      <c r="A981" s="3"/>
      <c r="B981" s="2"/>
      <c r="C981" s="2"/>
      <c r="D981" s="2" t="b">
        <f>IF(AND(NOT(ISBLANK(Table1[[#This Row],[Fetal Sex (Male, Female or Unknown)]])),ISNUMBER(Table1[[#This Row],[Birthweight (grams)]]),ISNUMBER(Table1[[#This Row],[Gestation (days)]])),TRUE,FALSE)</f>
        <v>0</v>
      </c>
      <c r="E981" s="2" t="str">
        <f>IF(Table1[[#This Row],[Is Data Valid]]=TRUE,IF(Table1[[#This Row],[Fetal Sex (Male, Female or Unknown)]]="Male",Backend!$C$6,IF(Table1[[#This Row],[Fetal Sex (Male, Female or Unknown)]]="Female",Backend!$C$7,IF(Table1[[#This Row],[Fetal Sex (Male, Female or Unknown)]]="Unknown",Backend!$C$8,"Error"))),"")</f>
        <v/>
      </c>
      <c r="F981" s="8" t="str">
        <f>IF(Table1[[#This Row],[Is Data Valid]]=TRUE,EXP(0.578+0.332*((Table1[[#This Row],[Gestation (days)]]+0.5)/7)-0.00354*((Table1[[#This Row],[Gestation (days)]]+0.5)/7)^2)*Table1[[#This Row],[BW40_3705]],"")</f>
        <v/>
      </c>
      <c r="G981" s="2" t="str">
        <f>IF(Table1[[#This Row],[Is Data Valid]]=TRUE,((Table1[[#This Row],[Birthweight (grams)]]/Table1[[#This Row],[BW_GA]])-1)/(Backend!$B$4/100*Table1[[#This Row],[BW40_3705]]),"")</f>
        <v/>
      </c>
      <c r="H981" s="7" t="str">
        <f>IF(Table1[[#This Row],[Is Data Valid]]=TRUE,((Table1[[#This Row],[Birthweight (grams)]]*0.9/Table1[[#This Row],[BW_GA]])-1)/(Backend!$B$4/100*Table1[[#This Row],[BW40_3705]]),"")</f>
        <v/>
      </c>
      <c r="I981" s="7" t="str">
        <f>IF(Table1[[#This Row],[Is Data Valid]]=TRUE,((Table1[[#This Row],[Birthweight (grams)]]*1.1/Table1[[#This Row],[BW_GA]])-1)/(Backend!$B$4/100*Table1[[#This Row],[BW40_3705]]),"")</f>
        <v/>
      </c>
      <c r="J981" s="7" t="str">
        <f>IF(Table1[[#This Row],[Is Data Valid]]=TRUE,_xlfn.NORM.S.DIST(Table1[[#This Row],[Birthweight Z-Score]],TRUE)*100,"")</f>
        <v/>
      </c>
      <c r="K981" s="7" t="str">
        <f>IF(Table1[[#This Row],[Is Data Valid]]=TRUE,_xlfn.NORM.S.DIST(Table1[[#This Row],[Birthweight Z-Score (BW-10%)]],TRUE)*100,"")</f>
        <v/>
      </c>
      <c r="L981" s="7" t="str">
        <f>IF(Table1[[#This Row],[Is Data Valid]]=TRUE,_xlfn.NORM.S.DIST(Table1[[#This Row],[Birthweight Z-Score (BW+10%)]],TRUE)*100,"")</f>
        <v/>
      </c>
    </row>
    <row r="982" spans="1:12" x14ac:dyDescent="0.35">
      <c r="A982" s="3"/>
      <c r="B982" s="2"/>
      <c r="C982" s="2"/>
      <c r="D982" s="2" t="b">
        <f>IF(AND(NOT(ISBLANK(Table1[[#This Row],[Fetal Sex (Male, Female or Unknown)]])),ISNUMBER(Table1[[#This Row],[Birthweight (grams)]]),ISNUMBER(Table1[[#This Row],[Gestation (days)]])),TRUE,FALSE)</f>
        <v>0</v>
      </c>
      <c r="E982" s="2" t="str">
        <f>IF(Table1[[#This Row],[Is Data Valid]]=TRUE,IF(Table1[[#This Row],[Fetal Sex (Male, Female or Unknown)]]="Male",Backend!$C$6,IF(Table1[[#This Row],[Fetal Sex (Male, Female or Unknown)]]="Female",Backend!$C$7,IF(Table1[[#This Row],[Fetal Sex (Male, Female or Unknown)]]="Unknown",Backend!$C$8,"Error"))),"")</f>
        <v/>
      </c>
      <c r="F982" s="8" t="str">
        <f>IF(Table1[[#This Row],[Is Data Valid]]=TRUE,EXP(0.578+0.332*((Table1[[#This Row],[Gestation (days)]]+0.5)/7)-0.00354*((Table1[[#This Row],[Gestation (days)]]+0.5)/7)^2)*Table1[[#This Row],[BW40_3705]],"")</f>
        <v/>
      </c>
      <c r="G982" s="2" t="str">
        <f>IF(Table1[[#This Row],[Is Data Valid]]=TRUE,((Table1[[#This Row],[Birthweight (grams)]]/Table1[[#This Row],[BW_GA]])-1)/(Backend!$B$4/100*Table1[[#This Row],[BW40_3705]]),"")</f>
        <v/>
      </c>
      <c r="H982" s="7" t="str">
        <f>IF(Table1[[#This Row],[Is Data Valid]]=TRUE,((Table1[[#This Row],[Birthweight (grams)]]*0.9/Table1[[#This Row],[BW_GA]])-1)/(Backend!$B$4/100*Table1[[#This Row],[BW40_3705]]),"")</f>
        <v/>
      </c>
      <c r="I982" s="7" t="str">
        <f>IF(Table1[[#This Row],[Is Data Valid]]=TRUE,((Table1[[#This Row],[Birthweight (grams)]]*1.1/Table1[[#This Row],[BW_GA]])-1)/(Backend!$B$4/100*Table1[[#This Row],[BW40_3705]]),"")</f>
        <v/>
      </c>
      <c r="J982" s="7" t="str">
        <f>IF(Table1[[#This Row],[Is Data Valid]]=TRUE,_xlfn.NORM.S.DIST(Table1[[#This Row],[Birthweight Z-Score]],TRUE)*100,"")</f>
        <v/>
      </c>
      <c r="K982" s="7" t="str">
        <f>IF(Table1[[#This Row],[Is Data Valid]]=TRUE,_xlfn.NORM.S.DIST(Table1[[#This Row],[Birthweight Z-Score (BW-10%)]],TRUE)*100,"")</f>
        <v/>
      </c>
      <c r="L982" s="7" t="str">
        <f>IF(Table1[[#This Row],[Is Data Valid]]=TRUE,_xlfn.NORM.S.DIST(Table1[[#This Row],[Birthweight Z-Score (BW+10%)]],TRUE)*100,"")</f>
        <v/>
      </c>
    </row>
    <row r="983" spans="1:12" x14ac:dyDescent="0.35">
      <c r="A983" s="3"/>
      <c r="B983" s="2"/>
      <c r="C983" s="2"/>
      <c r="D983" s="2" t="b">
        <f>IF(AND(NOT(ISBLANK(Table1[[#This Row],[Fetal Sex (Male, Female or Unknown)]])),ISNUMBER(Table1[[#This Row],[Birthweight (grams)]]),ISNUMBER(Table1[[#This Row],[Gestation (days)]])),TRUE,FALSE)</f>
        <v>0</v>
      </c>
      <c r="E983" s="2" t="str">
        <f>IF(Table1[[#This Row],[Is Data Valid]]=TRUE,IF(Table1[[#This Row],[Fetal Sex (Male, Female or Unknown)]]="Male",Backend!$C$6,IF(Table1[[#This Row],[Fetal Sex (Male, Female or Unknown)]]="Female",Backend!$C$7,IF(Table1[[#This Row],[Fetal Sex (Male, Female or Unknown)]]="Unknown",Backend!$C$8,"Error"))),"")</f>
        <v/>
      </c>
      <c r="F983" s="8" t="str">
        <f>IF(Table1[[#This Row],[Is Data Valid]]=TRUE,EXP(0.578+0.332*((Table1[[#This Row],[Gestation (days)]]+0.5)/7)-0.00354*((Table1[[#This Row],[Gestation (days)]]+0.5)/7)^2)*Table1[[#This Row],[BW40_3705]],"")</f>
        <v/>
      </c>
      <c r="G983" s="2" t="str">
        <f>IF(Table1[[#This Row],[Is Data Valid]]=TRUE,((Table1[[#This Row],[Birthweight (grams)]]/Table1[[#This Row],[BW_GA]])-1)/(Backend!$B$4/100*Table1[[#This Row],[BW40_3705]]),"")</f>
        <v/>
      </c>
      <c r="H983" s="7" t="str">
        <f>IF(Table1[[#This Row],[Is Data Valid]]=TRUE,((Table1[[#This Row],[Birthweight (grams)]]*0.9/Table1[[#This Row],[BW_GA]])-1)/(Backend!$B$4/100*Table1[[#This Row],[BW40_3705]]),"")</f>
        <v/>
      </c>
      <c r="I983" s="7" t="str">
        <f>IF(Table1[[#This Row],[Is Data Valid]]=TRUE,((Table1[[#This Row],[Birthweight (grams)]]*1.1/Table1[[#This Row],[BW_GA]])-1)/(Backend!$B$4/100*Table1[[#This Row],[BW40_3705]]),"")</f>
        <v/>
      </c>
      <c r="J983" s="7" t="str">
        <f>IF(Table1[[#This Row],[Is Data Valid]]=TRUE,_xlfn.NORM.S.DIST(Table1[[#This Row],[Birthweight Z-Score]],TRUE)*100,"")</f>
        <v/>
      </c>
      <c r="K983" s="7" t="str">
        <f>IF(Table1[[#This Row],[Is Data Valid]]=TRUE,_xlfn.NORM.S.DIST(Table1[[#This Row],[Birthweight Z-Score (BW-10%)]],TRUE)*100,"")</f>
        <v/>
      </c>
      <c r="L983" s="7" t="str">
        <f>IF(Table1[[#This Row],[Is Data Valid]]=TRUE,_xlfn.NORM.S.DIST(Table1[[#This Row],[Birthweight Z-Score (BW+10%)]],TRUE)*100,"")</f>
        <v/>
      </c>
    </row>
    <row r="984" spans="1:12" x14ac:dyDescent="0.35">
      <c r="A984" s="3"/>
      <c r="B984" s="2"/>
      <c r="C984" s="2"/>
      <c r="D984" s="2" t="b">
        <f>IF(AND(NOT(ISBLANK(Table1[[#This Row],[Fetal Sex (Male, Female or Unknown)]])),ISNUMBER(Table1[[#This Row],[Birthweight (grams)]]),ISNUMBER(Table1[[#This Row],[Gestation (days)]])),TRUE,FALSE)</f>
        <v>0</v>
      </c>
      <c r="E984" s="2" t="str">
        <f>IF(Table1[[#This Row],[Is Data Valid]]=TRUE,IF(Table1[[#This Row],[Fetal Sex (Male, Female or Unknown)]]="Male",Backend!$C$6,IF(Table1[[#This Row],[Fetal Sex (Male, Female or Unknown)]]="Female",Backend!$C$7,IF(Table1[[#This Row],[Fetal Sex (Male, Female or Unknown)]]="Unknown",Backend!$C$8,"Error"))),"")</f>
        <v/>
      </c>
      <c r="F984" s="8" t="str">
        <f>IF(Table1[[#This Row],[Is Data Valid]]=TRUE,EXP(0.578+0.332*((Table1[[#This Row],[Gestation (days)]]+0.5)/7)-0.00354*((Table1[[#This Row],[Gestation (days)]]+0.5)/7)^2)*Table1[[#This Row],[BW40_3705]],"")</f>
        <v/>
      </c>
      <c r="G984" s="2" t="str">
        <f>IF(Table1[[#This Row],[Is Data Valid]]=TRUE,((Table1[[#This Row],[Birthweight (grams)]]/Table1[[#This Row],[BW_GA]])-1)/(Backend!$B$4/100*Table1[[#This Row],[BW40_3705]]),"")</f>
        <v/>
      </c>
      <c r="H984" s="7" t="str">
        <f>IF(Table1[[#This Row],[Is Data Valid]]=TRUE,((Table1[[#This Row],[Birthweight (grams)]]*0.9/Table1[[#This Row],[BW_GA]])-1)/(Backend!$B$4/100*Table1[[#This Row],[BW40_3705]]),"")</f>
        <v/>
      </c>
      <c r="I984" s="7" t="str">
        <f>IF(Table1[[#This Row],[Is Data Valid]]=TRUE,((Table1[[#This Row],[Birthweight (grams)]]*1.1/Table1[[#This Row],[BW_GA]])-1)/(Backend!$B$4/100*Table1[[#This Row],[BW40_3705]]),"")</f>
        <v/>
      </c>
      <c r="J984" s="7" t="str">
        <f>IF(Table1[[#This Row],[Is Data Valid]]=TRUE,_xlfn.NORM.S.DIST(Table1[[#This Row],[Birthweight Z-Score]],TRUE)*100,"")</f>
        <v/>
      </c>
      <c r="K984" s="7" t="str">
        <f>IF(Table1[[#This Row],[Is Data Valid]]=TRUE,_xlfn.NORM.S.DIST(Table1[[#This Row],[Birthweight Z-Score (BW-10%)]],TRUE)*100,"")</f>
        <v/>
      </c>
      <c r="L984" s="7" t="str">
        <f>IF(Table1[[#This Row],[Is Data Valid]]=TRUE,_xlfn.NORM.S.DIST(Table1[[#This Row],[Birthweight Z-Score (BW+10%)]],TRUE)*100,"")</f>
        <v/>
      </c>
    </row>
    <row r="985" spans="1:12" x14ac:dyDescent="0.35">
      <c r="A985" s="3"/>
      <c r="B985" s="2"/>
      <c r="C985" s="2"/>
      <c r="D985" s="2" t="b">
        <f>IF(AND(NOT(ISBLANK(Table1[[#This Row],[Fetal Sex (Male, Female or Unknown)]])),ISNUMBER(Table1[[#This Row],[Birthweight (grams)]]),ISNUMBER(Table1[[#This Row],[Gestation (days)]])),TRUE,FALSE)</f>
        <v>0</v>
      </c>
      <c r="E985" s="2" t="str">
        <f>IF(Table1[[#This Row],[Is Data Valid]]=TRUE,IF(Table1[[#This Row],[Fetal Sex (Male, Female or Unknown)]]="Male",Backend!$C$6,IF(Table1[[#This Row],[Fetal Sex (Male, Female or Unknown)]]="Female",Backend!$C$7,IF(Table1[[#This Row],[Fetal Sex (Male, Female or Unknown)]]="Unknown",Backend!$C$8,"Error"))),"")</f>
        <v/>
      </c>
      <c r="F985" s="8" t="str">
        <f>IF(Table1[[#This Row],[Is Data Valid]]=TRUE,EXP(0.578+0.332*((Table1[[#This Row],[Gestation (days)]]+0.5)/7)-0.00354*((Table1[[#This Row],[Gestation (days)]]+0.5)/7)^2)*Table1[[#This Row],[BW40_3705]],"")</f>
        <v/>
      </c>
      <c r="G985" s="2" t="str">
        <f>IF(Table1[[#This Row],[Is Data Valid]]=TRUE,((Table1[[#This Row],[Birthweight (grams)]]/Table1[[#This Row],[BW_GA]])-1)/(Backend!$B$4/100*Table1[[#This Row],[BW40_3705]]),"")</f>
        <v/>
      </c>
      <c r="H985" s="7" t="str">
        <f>IF(Table1[[#This Row],[Is Data Valid]]=TRUE,((Table1[[#This Row],[Birthweight (grams)]]*0.9/Table1[[#This Row],[BW_GA]])-1)/(Backend!$B$4/100*Table1[[#This Row],[BW40_3705]]),"")</f>
        <v/>
      </c>
      <c r="I985" s="7" t="str">
        <f>IF(Table1[[#This Row],[Is Data Valid]]=TRUE,((Table1[[#This Row],[Birthweight (grams)]]*1.1/Table1[[#This Row],[BW_GA]])-1)/(Backend!$B$4/100*Table1[[#This Row],[BW40_3705]]),"")</f>
        <v/>
      </c>
      <c r="J985" s="7" t="str">
        <f>IF(Table1[[#This Row],[Is Data Valid]]=TRUE,_xlfn.NORM.S.DIST(Table1[[#This Row],[Birthweight Z-Score]],TRUE)*100,"")</f>
        <v/>
      </c>
      <c r="K985" s="7" t="str">
        <f>IF(Table1[[#This Row],[Is Data Valid]]=TRUE,_xlfn.NORM.S.DIST(Table1[[#This Row],[Birthweight Z-Score (BW-10%)]],TRUE)*100,"")</f>
        <v/>
      </c>
      <c r="L985" s="7" t="str">
        <f>IF(Table1[[#This Row],[Is Data Valid]]=TRUE,_xlfn.NORM.S.DIST(Table1[[#This Row],[Birthweight Z-Score (BW+10%)]],TRUE)*100,"")</f>
        <v/>
      </c>
    </row>
    <row r="986" spans="1:12" x14ac:dyDescent="0.35">
      <c r="A986" s="3"/>
      <c r="B986" s="2"/>
      <c r="C986" s="2"/>
      <c r="D986" s="2" t="b">
        <f>IF(AND(NOT(ISBLANK(Table1[[#This Row],[Fetal Sex (Male, Female or Unknown)]])),ISNUMBER(Table1[[#This Row],[Birthweight (grams)]]),ISNUMBER(Table1[[#This Row],[Gestation (days)]])),TRUE,FALSE)</f>
        <v>0</v>
      </c>
      <c r="E986" s="2" t="str">
        <f>IF(Table1[[#This Row],[Is Data Valid]]=TRUE,IF(Table1[[#This Row],[Fetal Sex (Male, Female or Unknown)]]="Male",Backend!$C$6,IF(Table1[[#This Row],[Fetal Sex (Male, Female or Unknown)]]="Female",Backend!$C$7,IF(Table1[[#This Row],[Fetal Sex (Male, Female or Unknown)]]="Unknown",Backend!$C$8,"Error"))),"")</f>
        <v/>
      </c>
      <c r="F986" s="8" t="str">
        <f>IF(Table1[[#This Row],[Is Data Valid]]=TRUE,EXP(0.578+0.332*((Table1[[#This Row],[Gestation (days)]]+0.5)/7)-0.00354*((Table1[[#This Row],[Gestation (days)]]+0.5)/7)^2)*Table1[[#This Row],[BW40_3705]],"")</f>
        <v/>
      </c>
      <c r="G986" s="2" t="str">
        <f>IF(Table1[[#This Row],[Is Data Valid]]=TRUE,((Table1[[#This Row],[Birthweight (grams)]]/Table1[[#This Row],[BW_GA]])-1)/(Backend!$B$4/100*Table1[[#This Row],[BW40_3705]]),"")</f>
        <v/>
      </c>
      <c r="H986" s="7" t="str">
        <f>IF(Table1[[#This Row],[Is Data Valid]]=TRUE,((Table1[[#This Row],[Birthweight (grams)]]*0.9/Table1[[#This Row],[BW_GA]])-1)/(Backend!$B$4/100*Table1[[#This Row],[BW40_3705]]),"")</f>
        <v/>
      </c>
      <c r="I986" s="7" t="str">
        <f>IF(Table1[[#This Row],[Is Data Valid]]=TRUE,((Table1[[#This Row],[Birthweight (grams)]]*1.1/Table1[[#This Row],[BW_GA]])-1)/(Backend!$B$4/100*Table1[[#This Row],[BW40_3705]]),"")</f>
        <v/>
      </c>
      <c r="J986" s="7" t="str">
        <f>IF(Table1[[#This Row],[Is Data Valid]]=TRUE,_xlfn.NORM.S.DIST(Table1[[#This Row],[Birthweight Z-Score]],TRUE)*100,"")</f>
        <v/>
      </c>
      <c r="K986" s="7" t="str">
        <f>IF(Table1[[#This Row],[Is Data Valid]]=TRUE,_xlfn.NORM.S.DIST(Table1[[#This Row],[Birthweight Z-Score (BW-10%)]],TRUE)*100,"")</f>
        <v/>
      </c>
      <c r="L986" s="7" t="str">
        <f>IF(Table1[[#This Row],[Is Data Valid]]=TRUE,_xlfn.NORM.S.DIST(Table1[[#This Row],[Birthweight Z-Score (BW+10%)]],TRUE)*100,"")</f>
        <v/>
      </c>
    </row>
    <row r="987" spans="1:12" x14ac:dyDescent="0.35">
      <c r="A987" s="3"/>
      <c r="B987" s="2"/>
      <c r="C987" s="2"/>
      <c r="D987" s="2" t="b">
        <f>IF(AND(NOT(ISBLANK(Table1[[#This Row],[Fetal Sex (Male, Female or Unknown)]])),ISNUMBER(Table1[[#This Row],[Birthweight (grams)]]),ISNUMBER(Table1[[#This Row],[Gestation (days)]])),TRUE,FALSE)</f>
        <v>0</v>
      </c>
      <c r="E987" s="2" t="str">
        <f>IF(Table1[[#This Row],[Is Data Valid]]=TRUE,IF(Table1[[#This Row],[Fetal Sex (Male, Female or Unknown)]]="Male",Backend!$C$6,IF(Table1[[#This Row],[Fetal Sex (Male, Female or Unknown)]]="Female",Backend!$C$7,IF(Table1[[#This Row],[Fetal Sex (Male, Female or Unknown)]]="Unknown",Backend!$C$8,"Error"))),"")</f>
        <v/>
      </c>
      <c r="F987" s="8" t="str">
        <f>IF(Table1[[#This Row],[Is Data Valid]]=TRUE,EXP(0.578+0.332*((Table1[[#This Row],[Gestation (days)]]+0.5)/7)-0.00354*((Table1[[#This Row],[Gestation (days)]]+0.5)/7)^2)*Table1[[#This Row],[BW40_3705]],"")</f>
        <v/>
      </c>
      <c r="G987" s="2" t="str">
        <f>IF(Table1[[#This Row],[Is Data Valid]]=TRUE,((Table1[[#This Row],[Birthweight (grams)]]/Table1[[#This Row],[BW_GA]])-1)/(Backend!$B$4/100*Table1[[#This Row],[BW40_3705]]),"")</f>
        <v/>
      </c>
      <c r="H987" s="7" t="str">
        <f>IF(Table1[[#This Row],[Is Data Valid]]=TRUE,((Table1[[#This Row],[Birthweight (grams)]]*0.9/Table1[[#This Row],[BW_GA]])-1)/(Backend!$B$4/100*Table1[[#This Row],[BW40_3705]]),"")</f>
        <v/>
      </c>
      <c r="I987" s="7" t="str">
        <f>IF(Table1[[#This Row],[Is Data Valid]]=TRUE,((Table1[[#This Row],[Birthweight (grams)]]*1.1/Table1[[#This Row],[BW_GA]])-1)/(Backend!$B$4/100*Table1[[#This Row],[BW40_3705]]),"")</f>
        <v/>
      </c>
      <c r="J987" s="7" t="str">
        <f>IF(Table1[[#This Row],[Is Data Valid]]=TRUE,_xlfn.NORM.S.DIST(Table1[[#This Row],[Birthweight Z-Score]],TRUE)*100,"")</f>
        <v/>
      </c>
      <c r="K987" s="7" t="str">
        <f>IF(Table1[[#This Row],[Is Data Valid]]=TRUE,_xlfn.NORM.S.DIST(Table1[[#This Row],[Birthweight Z-Score (BW-10%)]],TRUE)*100,"")</f>
        <v/>
      </c>
      <c r="L987" s="7" t="str">
        <f>IF(Table1[[#This Row],[Is Data Valid]]=TRUE,_xlfn.NORM.S.DIST(Table1[[#This Row],[Birthweight Z-Score (BW+10%)]],TRUE)*100,"")</f>
        <v/>
      </c>
    </row>
    <row r="988" spans="1:12" x14ac:dyDescent="0.35">
      <c r="A988" s="3"/>
      <c r="B988" s="2"/>
      <c r="C988" s="2"/>
      <c r="D988" s="2" t="b">
        <f>IF(AND(NOT(ISBLANK(Table1[[#This Row],[Fetal Sex (Male, Female or Unknown)]])),ISNUMBER(Table1[[#This Row],[Birthweight (grams)]]),ISNUMBER(Table1[[#This Row],[Gestation (days)]])),TRUE,FALSE)</f>
        <v>0</v>
      </c>
      <c r="E988" s="2" t="str">
        <f>IF(Table1[[#This Row],[Is Data Valid]]=TRUE,IF(Table1[[#This Row],[Fetal Sex (Male, Female or Unknown)]]="Male",Backend!$C$6,IF(Table1[[#This Row],[Fetal Sex (Male, Female or Unknown)]]="Female",Backend!$C$7,IF(Table1[[#This Row],[Fetal Sex (Male, Female or Unknown)]]="Unknown",Backend!$C$8,"Error"))),"")</f>
        <v/>
      </c>
      <c r="F988" s="8" t="str">
        <f>IF(Table1[[#This Row],[Is Data Valid]]=TRUE,EXP(0.578+0.332*((Table1[[#This Row],[Gestation (days)]]+0.5)/7)-0.00354*((Table1[[#This Row],[Gestation (days)]]+0.5)/7)^2)*Table1[[#This Row],[BW40_3705]],"")</f>
        <v/>
      </c>
      <c r="G988" s="2" t="str">
        <f>IF(Table1[[#This Row],[Is Data Valid]]=TRUE,((Table1[[#This Row],[Birthweight (grams)]]/Table1[[#This Row],[BW_GA]])-1)/(Backend!$B$4/100*Table1[[#This Row],[BW40_3705]]),"")</f>
        <v/>
      </c>
      <c r="H988" s="7" t="str">
        <f>IF(Table1[[#This Row],[Is Data Valid]]=TRUE,((Table1[[#This Row],[Birthweight (grams)]]*0.9/Table1[[#This Row],[BW_GA]])-1)/(Backend!$B$4/100*Table1[[#This Row],[BW40_3705]]),"")</f>
        <v/>
      </c>
      <c r="I988" s="7" t="str">
        <f>IF(Table1[[#This Row],[Is Data Valid]]=TRUE,((Table1[[#This Row],[Birthweight (grams)]]*1.1/Table1[[#This Row],[BW_GA]])-1)/(Backend!$B$4/100*Table1[[#This Row],[BW40_3705]]),"")</f>
        <v/>
      </c>
      <c r="J988" s="7" t="str">
        <f>IF(Table1[[#This Row],[Is Data Valid]]=TRUE,_xlfn.NORM.S.DIST(Table1[[#This Row],[Birthweight Z-Score]],TRUE)*100,"")</f>
        <v/>
      </c>
      <c r="K988" s="7" t="str">
        <f>IF(Table1[[#This Row],[Is Data Valid]]=TRUE,_xlfn.NORM.S.DIST(Table1[[#This Row],[Birthweight Z-Score (BW-10%)]],TRUE)*100,"")</f>
        <v/>
      </c>
      <c r="L988" s="7" t="str">
        <f>IF(Table1[[#This Row],[Is Data Valid]]=TRUE,_xlfn.NORM.S.DIST(Table1[[#This Row],[Birthweight Z-Score (BW+10%)]],TRUE)*100,"")</f>
        <v/>
      </c>
    </row>
    <row r="989" spans="1:12" x14ac:dyDescent="0.35">
      <c r="A989" s="3"/>
      <c r="B989" s="2"/>
      <c r="C989" s="2"/>
      <c r="D989" s="2" t="b">
        <f>IF(AND(NOT(ISBLANK(Table1[[#This Row],[Fetal Sex (Male, Female or Unknown)]])),ISNUMBER(Table1[[#This Row],[Birthweight (grams)]]),ISNUMBER(Table1[[#This Row],[Gestation (days)]])),TRUE,FALSE)</f>
        <v>0</v>
      </c>
      <c r="E989" s="2" t="str">
        <f>IF(Table1[[#This Row],[Is Data Valid]]=TRUE,IF(Table1[[#This Row],[Fetal Sex (Male, Female or Unknown)]]="Male",Backend!$C$6,IF(Table1[[#This Row],[Fetal Sex (Male, Female or Unknown)]]="Female",Backend!$C$7,IF(Table1[[#This Row],[Fetal Sex (Male, Female or Unknown)]]="Unknown",Backend!$C$8,"Error"))),"")</f>
        <v/>
      </c>
      <c r="F989" s="8" t="str">
        <f>IF(Table1[[#This Row],[Is Data Valid]]=TRUE,EXP(0.578+0.332*((Table1[[#This Row],[Gestation (days)]]+0.5)/7)-0.00354*((Table1[[#This Row],[Gestation (days)]]+0.5)/7)^2)*Table1[[#This Row],[BW40_3705]],"")</f>
        <v/>
      </c>
      <c r="G989" s="2" t="str">
        <f>IF(Table1[[#This Row],[Is Data Valid]]=TRUE,((Table1[[#This Row],[Birthweight (grams)]]/Table1[[#This Row],[BW_GA]])-1)/(Backend!$B$4/100*Table1[[#This Row],[BW40_3705]]),"")</f>
        <v/>
      </c>
      <c r="H989" s="7" t="str">
        <f>IF(Table1[[#This Row],[Is Data Valid]]=TRUE,((Table1[[#This Row],[Birthweight (grams)]]*0.9/Table1[[#This Row],[BW_GA]])-1)/(Backend!$B$4/100*Table1[[#This Row],[BW40_3705]]),"")</f>
        <v/>
      </c>
      <c r="I989" s="7" t="str">
        <f>IF(Table1[[#This Row],[Is Data Valid]]=TRUE,((Table1[[#This Row],[Birthweight (grams)]]*1.1/Table1[[#This Row],[BW_GA]])-1)/(Backend!$B$4/100*Table1[[#This Row],[BW40_3705]]),"")</f>
        <v/>
      </c>
      <c r="J989" s="7" t="str">
        <f>IF(Table1[[#This Row],[Is Data Valid]]=TRUE,_xlfn.NORM.S.DIST(Table1[[#This Row],[Birthweight Z-Score]],TRUE)*100,"")</f>
        <v/>
      </c>
      <c r="K989" s="7" t="str">
        <f>IF(Table1[[#This Row],[Is Data Valid]]=TRUE,_xlfn.NORM.S.DIST(Table1[[#This Row],[Birthweight Z-Score (BW-10%)]],TRUE)*100,"")</f>
        <v/>
      </c>
      <c r="L989" s="7" t="str">
        <f>IF(Table1[[#This Row],[Is Data Valid]]=TRUE,_xlfn.NORM.S.DIST(Table1[[#This Row],[Birthweight Z-Score (BW+10%)]],TRUE)*100,"")</f>
        <v/>
      </c>
    </row>
    <row r="990" spans="1:12" x14ac:dyDescent="0.35">
      <c r="A990" s="3"/>
      <c r="B990" s="2"/>
      <c r="C990" s="2"/>
      <c r="D990" s="2" t="b">
        <f>IF(AND(NOT(ISBLANK(Table1[[#This Row],[Fetal Sex (Male, Female or Unknown)]])),ISNUMBER(Table1[[#This Row],[Birthweight (grams)]]),ISNUMBER(Table1[[#This Row],[Gestation (days)]])),TRUE,FALSE)</f>
        <v>0</v>
      </c>
      <c r="E990" s="2" t="str">
        <f>IF(Table1[[#This Row],[Is Data Valid]]=TRUE,IF(Table1[[#This Row],[Fetal Sex (Male, Female or Unknown)]]="Male",Backend!$C$6,IF(Table1[[#This Row],[Fetal Sex (Male, Female or Unknown)]]="Female",Backend!$C$7,IF(Table1[[#This Row],[Fetal Sex (Male, Female or Unknown)]]="Unknown",Backend!$C$8,"Error"))),"")</f>
        <v/>
      </c>
      <c r="F990" s="8" t="str">
        <f>IF(Table1[[#This Row],[Is Data Valid]]=TRUE,EXP(0.578+0.332*((Table1[[#This Row],[Gestation (days)]]+0.5)/7)-0.00354*((Table1[[#This Row],[Gestation (days)]]+0.5)/7)^2)*Table1[[#This Row],[BW40_3705]],"")</f>
        <v/>
      </c>
      <c r="G990" s="2" t="str">
        <f>IF(Table1[[#This Row],[Is Data Valid]]=TRUE,((Table1[[#This Row],[Birthweight (grams)]]/Table1[[#This Row],[BW_GA]])-1)/(Backend!$B$4/100*Table1[[#This Row],[BW40_3705]]),"")</f>
        <v/>
      </c>
      <c r="H990" s="7" t="str">
        <f>IF(Table1[[#This Row],[Is Data Valid]]=TRUE,((Table1[[#This Row],[Birthweight (grams)]]*0.9/Table1[[#This Row],[BW_GA]])-1)/(Backend!$B$4/100*Table1[[#This Row],[BW40_3705]]),"")</f>
        <v/>
      </c>
      <c r="I990" s="7" t="str">
        <f>IF(Table1[[#This Row],[Is Data Valid]]=TRUE,((Table1[[#This Row],[Birthweight (grams)]]*1.1/Table1[[#This Row],[BW_GA]])-1)/(Backend!$B$4/100*Table1[[#This Row],[BW40_3705]]),"")</f>
        <v/>
      </c>
      <c r="J990" s="7" t="str">
        <f>IF(Table1[[#This Row],[Is Data Valid]]=TRUE,_xlfn.NORM.S.DIST(Table1[[#This Row],[Birthweight Z-Score]],TRUE)*100,"")</f>
        <v/>
      </c>
      <c r="K990" s="7" t="str">
        <f>IF(Table1[[#This Row],[Is Data Valid]]=TRUE,_xlfn.NORM.S.DIST(Table1[[#This Row],[Birthweight Z-Score (BW-10%)]],TRUE)*100,"")</f>
        <v/>
      </c>
      <c r="L990" s="7" t="str">
        <f>IF(Table1[[#This Row],[Is Data Valid]]=TRUE,_xlfn.NORM.S.DIST(Table1[[#This Row],[Birthweight Z-Score (BW+10%)]],TRUE)*100,"")</f>
        <v/>
      </c>
    </row>
    <row r="991" spans="1:12" x14ac:dyDescent="0.35">
      <c r="A991" s="3"/>
      <c r="B991" s="2"/>
      <c r="C991" s="2"/>
      <c r="D991" s="2" t="b">
        <f>IF(AND(NOT(ISBLANK(Table1[[#This Row],[Fetal Sex (Male, Female or Unknown)]])),ISNUMBER(Table1[[#This Row],[Birthweight (grams)]]),ISNUMBER(Table1[[#This Row],[Gestation (days)]])),TRUE,FALSE)</f>
        <v>0</v>
      </c>
      <c r="E991" s="2" t="str">
        <f>IF(Table1[[#This Row],[Is Data Valid]]=TRUE,IF(Table1[[#This Row],[Fetal Sex (Male, Female or Unknown)]]="Male",Backend!$C$6,IF(Table1[[#This Row],[Fetal Sex (Male, Female or Unknown)]]="Female",Backend!$C$7,IF(Table1[[#This Row],[Fetal Sex (Male, Female or Unknown)]]="Unknown",Backend!$C$8,"Error"))),"")</f>
        <v/>
      </c>
      <c r="F991" s="8" t="str">
        <f>IF(Table1[[#This Row],[Is Data Valid]]=TRUE,EXP(0.578+0.332*((Table1[[#This Row],[Gestation (days)]]+0.5)/7)-0.00354*((Table1[[#This Row],[Gestation (days)]]+0.5)/7)^2)*Table1[[#This Row],[BW40_3705]],"")</f>
        <v/>
      </c>
      <c r="G991" s="2" t="str">
        <f>IF(Table1[[#This Row],[Is Data Valid]]=TRUE,((Table1[[#This Row],[Birthweight (grams)]]/Table1[[#This Row],[BW_GA]])-1)/(Backend!$B$4/100*Table1[[#This Row],[BW40_3705]]),"")</f>
        <v/>
      </c>
      <c r="H991" s="7" t="str">
        <f>IF(Table1[[#This Row],[Is Data Valid]]=TRUE,((Table1[[#This Row],[Birthweight (grams)]]*0.9/Table1[[#This Row],[BW_GA]])-1)/(Backend!$B$4/100*Table1[[#This Row],[BW40_3705]]),"")</f>
        <v/>
      </c>
      <c r="I991" s="7" t="str">
        <f>IF(Table1[[#This Row],[Is Data Valid]]=TRUE,((Table1[[#This Row],[Birthweight (grams)]]*1.1/Table1[[#This Row],[BW_GA]])-1)/(Backend!$B$4/100*Table1[[#This Row],[BW40_3705]]),"")</f>
        <v/>
      </c>
      <c r="J991" s="7" t="str">
        <f>IF(Table1[[#This Row],[Is Data Valid]]=TRUE,_xlfn.NORM.S.DIST(Table1[[#This Row],[Birthweight Z-Score]],TRUE)*100,"")</f>
        <v/>
      </c>
      <c r="K991" s="7" t="str">
        <f>IF(Table1[[#This Row],[Is Data Valid]]=TRUE,_xlfn.NORM.S.DIST(Table1[[#This Row],[Birthweight Z-Score (BW-10%)]],TRUE)*100,"")</f>
        <v/>
      </c>
      <c r="L991" s="7" t="str">
        <f>IF(Table1[[#This Row],[Is Data Valid]]=TRUE,_xlfn.NORM.S.DIST(Table1[[#This Row],[Birthweight Z-Score (BW+10%)]],TRUE)*100,"")</f>
        <v/>
      </c>
    </row>
    <row r="992" spans="1:12" x14ac:dyDescent="0.35">
      <c r="A992" s="3"/>
      <c r="B992" s="2"/>
      <c r="C992" s="2"/>
      <c r="D992" s="2" t="b">
        <f>IF(AND(NOT(ISBLANK(Table1[[#This Row],[Fetal Sex (Male, Female or Unknown)]])),ISNUMBER(Table1[[#This Row],[Birthweight (grams)]]),ISNUMBER(Table1[[#This Row],[Gestation (days)]])),TRUE,FALSE)</f>
        <v>0</v>
      </c>
      <c r="E992" s="2" t="str">
        <f>IF(Table1[[#This Row],[Is Data Valid]]=TRUE,IF(Table1[[#This Row],[Fetal Sex (Male, Female or Unknown)]]="Male",Backend!$C$6,IF(Table1[[#This Row],[Fetal Sex (Male, Female or Unknown)]]="Female",Backend!$C$7,IF(Table1[[#This Row],[Fetal Sex (Male, Female or Unknown)]]="Unknown",Backend!$C$8,"Error"))),"")</f>
        <v/>
      </c>
      <c r="F992" s="8" t="str">
        <f>IF(Table1[[#This Row],[Is Data Valid]]=TRUE,EXP(0.578+0.332*((Table1[[#This Row],[Gestation (days)]]+0.5)/7)-0.00354*((Table1[[#This Row],[Gestation (days)]]+0.5)/7)^2)*Table1[[#This Row],[BW40_3705]],"")</f>
        <v/>
      </c>
      <c r="G992" s="2" t="str">
        <f>IF(Table1[[#This Row],[Is Data Valid]]=TRUE,((Table1[[#This Row],[Birthweight (grams)]]/Table1[[#This Row],[BW_GA]])-1)/(Backend!$B$4/100*Table1[[#This Row],[BW40_3705]]),"")</f>
        <v/>
      </c>
      <c r="H992" s="7" t="str">
        <f>IF(Table1[[#This Row],[Is Data Valid]]=TRUE,((Table1[[#This Row],[Birthweight (grams)]]*0.9/Table1[[#This Row],[BW_GA]])-1)/(Backend!$B$4/100*Table1[[#This Row],[BW40_3705]]),"")</f>
        <v/>
      </c>
      <c r="I992" s="7" t="str">
        <f>IF(Table1[[#This Row],[Is Data Valid]]=TRUE,((Table1[[#This Row],[Birthweight (grams)]]*1.1/Table1[[#This Row],[BW_GA]])-1)/(Backend!$B$4/100*Table1[[#This Row],[BW40_3705]]),"")</f>
        <v/>
      </c>
      <c r="J992" s="7" t="str">
        <f>IF(Table1[[#This Row],[Is Data Valid]]=TRUE,_xlfn.NORM.S.DIST(Table1[[#This Row],[Birthweight Z-Score]],TRUE)*100,"")</f>
        <v/>
      </c>
      <c r="K992" s="7" t="str">
        <f>IF(Table1[[#This Row],[Is Data Valid]]=TRUE,_xlfn.NORM.S.DIST(Table1[[#This Row],[Birthweight Z-Score (BW-10%)]],TRUE)*100,"")</f>
        <v/>
      </c>
      <c r="L992" s="7" t="str">
        <f>IF(Table1[[#This Row],[Is Data Valid]]=TRUE,_xlfn.NORM.S.DIST(Table1[[#This Row],[Birthweight Z-Score (BW+10%)]],TRUE)*100,"")</f>
        <v/>
      </c>
    </row>
    <row r="993" spans="1:12" x14ac:dyDescent="0.35">
      <c r="A993" s="3"/>
      <c r="B993" s="2"/>
      <c r="C993" s="2"/>
      <c r="D993" s="2" t="b">
        <f>IF(AND(NOT(ISBLANK(Table1[[#This Row],[Fetal Sex (Male, Female or Unknown)]])),ISNUMBER(Table1[[#This Row],[Birthweight (grams)]]),ISNUMBER(Table1[[#This Row],[Gestation (days)]])),TRUE,FALSE)</f>
        <v>0</v>
      </c>
      <c r="E993" s="2" t="str">
        <f>IF(Table1[[#This Row],[Is Data Valid]]=TRUE,IF(Table1[[#This Row],[Fetal Sex (Male, Female or Unknown)]]="Male",Backend!$C$6,IF(Table1[[#This Row],[Fetal Sex (Male, Female or Unknown)]]="Female",Backend!$C$7,IF(Table1[[#This Row],[Fetal Sex (Male, Female or Unknown)]]="Unknown",Backend!$C$8,"Error"))),"")</f>
        <v/>
      </c>
      <c r="F993" s="8" t="str">
        <f>IF(Table1[[#This Row],[Is Data Valid]]=TRUE,EXP(0.578+0.332*((Table1[[#This Row],[Gestation (days)]]+0.5)/7)-0.00354*((Table1[[#This Row],[Gestation (days)]]+0.5)/7)^2)*Table1[[#This Row],[BW40_3705]],"")</f>
        <v/>
      </c>
      <c r="G993" s="2" t="str">
        <f>IF(Table1[[#This Row],[Is Data Valid]]=TRUE,((Table1[[#This Row],[Birthweight (grams)]]/Table1[[#This Row],[BW_GA]])-1)/(Backend!$B$4/100*Table1[[#This Row],[BW40_3705]]),"")</f>
        <v/>
      </c>
      <c r="H993" s="7" t="str">
        <f>IF(Table1[[#This Row],[Is Data Valid]]=TRUE,((Table1[[#This Row],[Birthweight (grams)]]*0.9/Table1[[#This Row],[BW_GA]])-1)/(Backend!$B$4/100*Table1[[#This Row],[BW40_3705]]),"")</f>
        <v/>
      </c>
      <c r="I993" s="7" t="str">
        <f>IF(Table1[[#This Row],[Is Data Valid]]=TRUE,((Table1[[#This Row],[Birthweight (grams)]]*1.1/Table1[[#This Row],[BW_GA]])-1)/(Backend!$B$4/100*Table1[[#This Row],[BW40_3705]]),"")</f>
        <v/>
      </c>
      <c r="J993" s="7" t="str">
        <f>IF(Table1[[#This Row],[Is Data Valid]]=TRUE,_xlfn.NORM.S.DIST(Table1[[#This Row],[Birthweight Z-Score]],TRUE)*100,"")</f>
        <v/>
      </c>
      <c r="K993" s="7" t="str">
        <f>IF(Table1[[#This Row],[Is Data Valid]]=TRUE,_xlfn.NORM.S.DIST(Table1[[#This Row],[Birthweight Z-Score (BW-10%)]],TRUE)*100,"")</f>
        <v/>
      </c>
      <c r="L993" s="7" t="str">
        <f>IF(Table1[[#This Row],[Is Data Valid]]=TRUE,_xlfn.NORM.S.DIST(Table1[[#This Row],[Birthweight Z-Score (BW+10%)]],TRUE)*100,"")</f>
        <v/>
      </c>
    </row>
    <row r="994" spans="1:12" x14ac:dyDescent="0.35">
      <c r="A994" s="3"/>
      <c r="B994" s="2"/>
      <c r="C994" s="2"/>
      <c r="D994" s="2" t="b">
        <f>IF(AND(NOT(ISBLANK(Table1[[#This Row],[Fetal Sex (Male, Female or Unknown)]])),ISNUMBER(Table1[[#This Row],[Birthweight (grams)]]),ISNUMBER(Table1[[#This Row],[Gestation (days)]])),TRUE,FALSE)</f>
        <v>0</v>
      </c>
      <c r="E994" s="2" t="str">
        <f>IF(Table1[[#This Row],[Is Data Valid]]=TRUE,IF(Table1[[#This Row],[Fetal Sex (Male, Female or Unknown)]]="Male",Backend!$C$6,IF(Table1[[#This Row],[Fetal Sex (Male, Female or Unknown)]]="Female",Backend!$C$7,IF(Table1[[#This Row],[Fetal Sex (Male, Female or Unknown)]]="Unknown",Backend!$C$8,"Error"))),"")</f>
        <v/>
      </c>
      <c r="F994" s="8" t="str">
        <f>IF(Table1[[#This Row],[Is Data Valid]]=TRUE,EXP(0.578+0.332*((Table1[[#This Row],[Gestation (days)]]+0.5)/7)-0.00354*((Table1[[#This Row],[Gestation (days)]]+0.5)/7)^2)*Table1[[#This Row],[BW40_3705]],"")</f>
        <v/>
      </c>
      <c r="G994" s="2" t="str">
        <f>IF(Table1[[#This Row],[Is Data Valid]]=TRUE,((Table1[[#This Row],[Birthweight (grams)]]/Table1[[#This Row],[BW_GA]])-1)/(Backend!$B$4/100*Table1[[#This Row],[BW40_3705]]),"")</f>
        <v/>
      </c>
      <c r="H994" s="7" t="str">
        <f>IF(Table1[[#This Row],[Is Data Valid]]=TRUE,((Table1[[#This Row],[Birthweight (grams)]]*0.9/Table1[[#This Row],[BW_GA]])-1)/(Backend!$B$4/100*Table1[[#This Row],[BW40_3705]]),"")</f>
        <v/>
      </c>
      <c r="I994" s="7" t="str">
        <f>IF(Table1[[#This Row],[Is Data Valid]]=TRUE,((Table1[[#This Row],[Birthweight (grams)]]*1.1/Table1[[#This Row],[BW_GA]])-1)/(Backend!$B$4/100*Table1[[#This Row],[BW40_3705]]),"")</f>
        <v/>
      </c>
      <c r="J994" s="7" t="str">
        <f>IF(Table1[[#This Row],[Is Data Valid]]=TRUE,_xlfn.NORM.S.DIST(Table1[[#This Row],[Birthweight Z-Score]],TRUE)*100,"")</f>
        <v/>
      </c>
      <c r="K994" s="7" t="str">
        <f>IF(Table1[[#This Row],[Is Data Valid]]=TRUE,_xlfn.NORM.S.DIST(Table1[[#This Row],[Birthweight Z-Score (BW-10%)]],TRUE)*100,"")</f>
        <v/>
      </c>
      <c r="L994" s="7" t="str">
        <f>IF(Table1[[#This Row],[Is Data Valid]]=TRUE,_xlfn.NORM.S.DIST(Table1[[#This Row],[Birthweight Z-Score (BW+10%)]],TRUE)*100,"")</f>
        <v/>
      </c>
    </row>
    <row r="995" spans="1:12" x14ac:dyDescent="0.35">
      <c r="A995" s="3"/>
      <c r="B995" s="2"/>
      <c r="C995" s="2"/>
      <c r="D995" s="2" t="b">
        <f>IF(AND(NOT(ISBLANK(Table1[[#This Row],[Fetal Sex (Male, Female or Unknown)]])),ISNUMBER(Table1[[#This Row],[Birthweight (grams)]]),ISNUMBER(Table1[[#This Row],[Gestation (days)]])),TRUE,FALSE)</f>
        <v>0</v>
      </c>
      <c r="E995" s="2" t="str">
        <f>IF(Table1[[#This Row],[Is Data Valid]]=TRUE,IF(Table1[[#This Row],[Fetal Sex (Male, Female or Unknown)]]="Male",Backend!$C$6,IF(Table1[[#This Row],[Fetal Sex (Male, Female or Unknown)]]="Female",Backend!$C$7,IF(Table1[[#This Row],[Fetal Sex (Male, Female or Unknown)]]="Unknown",Backend!$C$8,"Error"))),"")</f>
        <v/>
      </c>
      <c r="F995" s="8" t="str">
        <f>IF(Table1[[#This Row],[Is Data Valid]]=TRUE,EXP(0.578+0.332*((Table1[[#This Row],[Gestation (days)]]+0.5)/7)-0.00354*((Table1[[#This Row],[Gestation (days)]]+0.5)/7)^2)*Table1[[#This Row],[BW40_3705]],"")</f>
        <v/>
      </c>
      <c r="G995" s="2" t="str">
        <f>IF(Table1[[#This Row],[Is Data Valid]]=TRUE,((Table1[[#This Row],[Birthweight (grams)]]/Table1[[#This Row],[BW_GA]])-1)/(Backend!$B$4/100*Table1[[#This Row],[BW40_3705]]),"")</f>
        <v/>
      </c>
      <c r="H995" s="7" t="str">
        <f>IF(Table1[[#This Row],[Is Data Valid]]=TRUE,((Table1[[#This Row],[Birthweight (grams)]]*0.9/Table1[[#This Row],[BW_GA]])-1)/(Backend!$B$4/100*Table1[[#This Row],[BW40_3705]]),"")</f>
        <v/>
      </c>
      <c r="I995" s="7" t="str">
        <f>IF(Table1[[#This Row],[Is Data Valid]]=TRUE,((Table1[[#This Row],[Birthweight (grams)]]*1.1/Table1[[#This Row],[BW_GA]])-1)/(Backend!$B$4/100*Table1[[#This Row],[BW40_3705]]),"")</f>
        <v/>
      </c>
      <c r="J995" s="7" t="str">
        <f>IF(Table1[[#This Row],[Is Data Valid]]=TRUE,_xlfn.NORM.S.DIST(Table1[[#This Row],[Birthweight Z-Score]],TRUE)*100,"")</f>
        <v/>
      </c>
      <c r="K995" s="7" t="str">
        <f>IF(Table1[[#This Row],[Is Data Valid]]=TRUE,_xlfn.NORM.S.DIST(Table1[[#This Row],[Birthweight Z-Score (BW-10%)]],TRUE)*100,"")</f>
        <v/>
      </c>
      <c r="L995" s="7" t="str">
        <f>IF(Table1[[#This Row],[Is Data Valid]]=TRUE,_xlfn.NORM.S.DIST(Table1[[#This Row],[Birthweight Z-Score (BW+10%)]],TRUE)*100,"")</f>
        <v/>
      </c>
    </row>
    <row r="996" spans="1:12" x14ac:dyDescent="0.35">
      <c r="A996" s="3"/>
      <c r="B996" s="2"/>
      <c r="C996" s="2"/>
      <c r="D996" s="2" t="b">
        <f>IF(AND(NOT(ISBLANK(Table1[[#This Row],[Fetal Sex (Male, Female or Unknown)]])),ISNUMBER(Table1[[#This Row],[Birthweight (grams)]]),ISNUMBER(Table1[[#This Row],[Gestation (days)]])),TRUE,FALSE)</f>
        <v>0</v>
      </c>
      <c r="E996" s="2" t="str">
        <f>IF(Table1[[#This Row],[Is Data Valid]]=TRUE,IF(Table1[[#This Row],[Fetal Sex (Male, Female or Unknown)]]="Male",Backend!$C$6,IF(Table1[[#This Row],[Fetal Sex (Male, Female or Unknown)]]="Female",Backend!$C$7,IF(Table1[[#This Row],[Fetal Sex (Male, Female or Unknown)]]="Unknown",Backend!$C$8,"Error"))),"")</f>
        <v/>
      </c>
      <c r="F996" s="8" t="str">
        <f>IF(Table1[[#This Row],[Is Data Valid]]=TRUE,EXP(0.578+0.332*((Table1[[#This Row],[Gestation (days)]]+0.5)/7)-0.00354*((Table1[[#This Row],[Gestation (days)]]+0.5)/7)^2)*Table1[[#This Row],[BW40_3705]],"")</f>
        <v/>
      </c>
      <c r="G996" s="2" t="str">
        <f>IF(Table1[[#This Row],[Is Data Valid]]=TRUE,((Table1[[#This Row],[Birthweight (grams)]]/Table1[[#This Row],[BW_GA]])-1)/(Backend!$B$4/100*Table1[[#This Row],[BW40_3705]]),"")</f>
        <v/>
      </c>
      <c r="H996" s="7" t="str">
        <f>IF(Table1[[#This Row],[Is Data Valid]]=TRUE,((Table1[[#This Row],[Birthweight (grams)]]*0.9/Table1[[#This Row],[BW_GA]])-1)/(Backend!$B$4/100*Table1[[#This Row],[BW40_3705]]),"")</f>
        <v/>
      </c>
      <c r="I996" s="7" t="str">
        <f>IF(Table1[[#This Row],[Is Data Valid]]=TRUE,((Table1[[#This Row],[Birthweight (grams)]]*1.1/Table1[[#This Row],[BW_GA]])-1)/(Backend!$B$4/100*Table1[[#This Row],[BW40_3705]]),"")</f>
        <v/>
      </c>
      <c r="J996" s="7" t="str">
        <f>IF(Table1[[#This Row],[Is Data Valid]]=TRUE,_xlfn.NORM.S.DIST(Table1[[#This Row],[Birthweight Z-Score]],TRUE)*100,"")</f>
        <v/>
      </c>
      <c r="K996" s="7" t="str">
        <f>IF(Table1[[#This Row],[Is Data Valid]]=TRUE,_xlfn.NORM.S.DIST(Table1[[#This Row],[Birthweight Z-Score (BW-10%)]],TRUE)*100,"")</f>
        <v/>
      </c>
      <c r="L996" s="7" t="str">
        <f>IF(Table1[[#This Row],[Is Data Valid]]=TRUE,_xlfn.NORM.S.DIST(Table1[[#This Row],[Birthweight Z-Score (BW+10%)]],TRUE)*100,"")</f>
        <v/>
      </c>
    </row>
    <row r="997" spans="1:12" x14ac:dyDescent="0.35">
      <c r="A997" s="3"/>
      <c r="B997" s="2"/>
      <c r="C997" s="2"/>
      <c r="D997" s="2" t="b">
        <f>IF(AND(NOT(ISBLANK(Table1[[#This Row],[Fetal Sex (Male, Female or Unknown)]])),ISNUMBER(Table1[[#This Row],[Birthweight (grams)]]),ISNUMBER(Table1[[#This Row],[Gestation (days)]])),TRUE,FALSE)</f>
        <v>0</v>
      </c>
      <c r="E997" s="2" t="str">
        <f>IF(Table1[[#This Row],[Is Data Valid]]=TRUE,IF(Table1[[#This Row],[Fetal Sex (Male, Female or Unknown)]]="Male",Backend!$C$6,IF(Table1[[#This Row],[Fetal Sex (Male, Female or Unknown)]]="Female",Backend!$C$7,IF(Table1[[#This Row],[Fetal Sex (Male, Female or Unknown)]]="Unknown",Backend!$C$8,"Error"))),"")</f>
        <v/>
      </c>
      <c r="F997" s="8" t="str">
        <f>IF(Table1[[#This Row],[Is Data Valid]]=TRUE,EXP(0.578+0.332*((Table1[[#This Row],[Gestation (days)]]+0.5)/7)-0.00354*((Table1[[#This Row],[Gestation (days)]]+0.5)/7)^2)*Table1[[#This Row],[BW40_3705]],"")</f>
        <v/>
      </c>
      <c r="G997" s="2" t="str">
        <f>IF(Table1[[#This Row],[Is Data Valid]]=TRUE,((Table1[[#This Row],[Birthweight (grams)]]/Table1[[#This Row],[BW_GA]])-1)/(Backend!$B$4/100*Table1[[#This Row],[BW40_3705]]),"")</f>
        <v/>
      </c>
      <c r="H997" s="7" t="str">
        <f>IF(Table1[[#This Row],[Is Data Valid]]=TRUE,((Table1[[#This Row],[Birthweight (grams)]]*0.9/Table1[[#This Row],[BW_GA]])-1)/(Backend!$B$4/100*Table1[[#This Row],[BW40_3705]]),"")</f>
        <v/>
      </c>
      <c r="I997" s="7" t="str">
        <f>IF(Table1[[#This Row],[Is Data Valid]]=TRUE,((Table1[[#This Row],[Birthweight (grams)]]*1.1/Table1[[#This Row],[BW_GA]])-1)/(Backend!$B$4/100*Table1[[#This Row],[BW40_3705]]),"")</f>
        <v/>
      </c>
      <c r="J997" s="7" t="str">
        <f>IF(Table1[[#This Row],[Is Data Valid]]=TRUE,_xlfn.NORM.S.DIST(Table1[[#This Row],[Birthweight Z-Score]],TRUE)*100,"")</f>
        <v/>
      </c>
      <c r="K997" s="7" t="str">
        <f>IF(Table1[[#This Row],[Is Data Valid]]=TRUE,_xlfn.NORM.S.DIST(Table1[[#This Row],[Birthweight Z-Score (BW-10%)]],TRUE)*100,"")</f>
        <v/>
      </c>
      <c r="L997" s="7" t="str">
        <f>IF(Table1[[#This Row],[Is Data Valid]]=TRUE,_xlfn.NORM.S.DIST(Table1[[#This Row],[Birthweight Z-Score (BW+10%)]],TRUE)*100,"")</f>
        <v/>
      </c>
    </row>
    <row r="998" spans="1:12" x14ac:dyDescent="0.35">
      <c r="A998" s="3"/>
      <c r="B998" s="2"/>
      <c r="C998" s="2"/>
      <c r="D998" s="2" t="b">
        <f>IF(AND(NOT(ISBLANK(Table1[[#This Row],[Fetal Sex (Male, Female or Unknown)]])),ISNUMBER(Table1[[#This Row],[Birthweight (grams)]]),ISNUMBER(Table1[[#This Row],[Gestation (days)]])),TRUE,FALSE)</f>
        <v>0</v>
      </c>
      <c r="E998" s="2" t="str">
        <f>IF(Table1[[#This Row],[Is Data Valid]]=TRUE,IF(Table1[[#This Row],[Fetal Sex (Male, Female or Unknown)]]="Male",Backend!$C$6,IF(Table1[[#This Row],[Fetal Sex (Male, Female or Unknown)]]="Female",Backend!$C$7,IF(Table1[[#This Row],[Fetal Sex (Male, Female or Unknown)]]="Unknown",Backend!$C$8,"Error"))),"")</f>
        <v/>
      </c>
      <c r="F998" s="8" t="str">
        <f>IF(Table1[[#This Row],[Is Data Valid]]=TRUE,EXP(0.578+0.332*((Table1[[#This Row],[Gestation (days)]]+0.5)/7)-0.00354*((Table1[[#This Row],[Gestation (days)]]+0.5)/7)^2)*Table1[[#This Row],[BW40_3705]],"")</f>
        <v/>
      </c>
      <c r="G998" s="2" t="str">
        <f>IF(Table1[[#This Row],[Is Data Valid]]=TRUE,((Table1[[#This Row],[Birthweight (grams)]]/Table1[[#This Row],[BW_GA]])-1)/(Backend!$B$4/100*Table1[[#This Row],[BW40_3705]]),"")</f>
        <v/>
      </c>
      <c r="H998" s="7" t="str">
        <f>IF(Table1[[#This Row],[Is Data Valid]]=TRUE,((Table1[[#This Row],[Birthweight (grams)]]*0.9/Table1[[#This Row],[BW_GA]])-1)/(Backend!$B$4/100*Table1[[#This Row],[BW40_3705]]),"")</f>
        <v/>
      </c>
      <c r="I998" s="7" t="str">
        <f>IF(Table1[[#This Row],[Is Data Valid]]=TRUE,((Table1[[#This Row],[Birthweight (grams)]]*1.1/Table1[[#This Row],[BW_GA]])-1)/(Backend!$B$4/100*Table1[[#This Row],[BW40_3705]]),"")</f>
        <v/>
      </c>
      <c r="J998" s="7" t="str">
        <f>IF(Table1[[#This Row],[Is Data Valid]]=TRUE,_xlfn.NORM.S.DIST(Table1[[#This Row],[Birthweight Z-Score]],TRUE)*100,"")</f>
        <v/>
      </c>
      <c r="K998" s="7" t="str">
        <f>IF(Table1[[#This Row],[Is Data Valid]]=TRUE,_xlfn.NORM.S.DIST(Table1[[#This Row],[Birthweight Z-Score (BW-10%)]],TRUE)*100,"")</f>
        <v/>
      </c>
      <c r="L998" s="7" t="str">
        <f>IF(Table1[[#This Row],[Is Data Valid]]=TRUE,_xlfn.NORM.S.DIST(Table1[[#This Row],[Birthweight Z-Score (BW+10%)]],TRUE)*100,"")</f>
        <v/>
      </c>
    </row>
    <row r="999" spans="1:12" x14ac:dyDescent="0.35">
      <c r="A999" s="3"/>
      <c r="B999" s="2"/>
      <c r="C999" s="2"/>
      <c r="D999" s="2" t="b">
        <f>IF(AND(NOT(ISBLANK(Table1[[#This Row],[Fetal Sex (Male, Female or Unknown)]])),ISNUMBER(Table1[[#This Row],[Birthweight (grams)]]),ISNUMBER(Table1[[#This Row],[Gestation (days)]])),TRUE,FALSE)</f>
        <v>0</v>
      </c>
      <c r="E999" s="2" t="str">
        <f>IF(Table1[[#This Row],[Is Data Valid]]=TRUE,IF(Table1[[#This Row],[Fetal Sex (Male, Female or Unknown)]]="Male",Backend!$C$6,IF(Table1[[#This Row],[Fetal Sex (Male, Female or Unknown)]]="Female",Backend!$C$7,IF(Table1[[#This Row],[Fetal Sex (Male, Female or Unknown)]]="Unknown",Backend!$C$8,"Error"))),"")</f>
        <v/>
      </c>
      <c r="F999" s="8" t="str">
        <f>IF(Table1[[#This Row],[Is Data Valid]]=TRUE,EXP(0.578+0.332*((Table1[[#This Row],[Gestation (days)]]+0.5)/7)-0.00354*((Table1[[#This Row],[Gestation (days)]]+0.5)/7)^2)*Table1[[#This Row],[BW40_3705]],"")</f>
        <v/>
      </c>
      <c r="G999" s="2" t="str">
        <f>IF(Table1[[#This Row],[Is Data Valid]]=TRUE,((Table1[[#This Row],[Birthweight (grams)]]/Table1[[#This Row],[BW_GA]])-1)/(Backend!$B$4/100*Table1[[#This Row],[BW40_3705]]),"")</f>
        <v/>
      </c>
      <c r="H999" s="7" t="str">
        <f>IF(Table1[[#This Row],[Is Data Valid]]=TRUE,((Table1[[#This Row],[Birthweight (grams)]]*0.9/Table1[[#This Row],[BW_GA]])-1)/(Backend!$B$4/100*Table1[[#This Row],[BW40_3705]]),"")</f>
        <v/>
      </c>
      <c r="I999" s="7" t="str">
        <f>IF(Table1[[#This Row],[Is Data Valid]]=TRUE,((Table1[[#This Row],[Birthweight (grams)]]*1.1/Table1[[#This Row],[BW_GA]])-1)/(Backend!$B$4/100*Table1[[#This Row],[BW40_3705]]),"")</f>
        <v/>
      </c>
      <c r="J999" s="7" t="str">
        <f>IF(Table1[[#This Row],[Is Data Valid]]=TRUE,_xlfn.NORM.S.DIST(Table1[[#This Row],[Birthweight Z-Score]],TRUE)*100,"")</f>
        <v/>
      </c>
      <c r="K999" s="7" t="str">
        <f>IF(Table1[[#This Row],[Is Data Valid]]=TRUE,_xlfn.NORM.S.DIST(Table1[[#This Row],[Birthweight Z-Score (BW-10%)]],TRUE)*100,"")</f>
        <v/>
      </c>
      <c r="L999" s="7" t="str">
        <f>IF(Table1[[#This Row],[Is Data Valid]]=TRUE,_xlfn.NORM.S.DIST(Table1[[#This Row],[Birthweight Z-Score (BW+10%)]],TRUE)*100,"")</f>
        <v/>
      </c>
    </row>
    <row r="1000" spans="1:12" x14ac:dyDescent="0.35">
      <c r="A1000" s="3"/>
      <c r="B1000" s="2"/>
      <c r="C1000" s="2"/>
      <c r="D1000" s="2" t="b">
        <f>IF(AND(NOT(ISBLANK(Table1[[#This Row],[Fetal Sex (Male, Female or Unknown)]])),ISNUMBER(Table1[[#This Row],[Birthweight (grams)]]),ISNUMBER(Table1[[#This Row],[Gestation (days)]])),TRUE,FALSE)</f>
        <v>0</v>
      </c>
      <c r="E1000" s="2" t="str">
        <f>IF(Table1[[#This Row],[Is Data Valid]]=TRUE,IF(Table1[[#This Row],[Fetal Sex (Male, Female or Unknown)]]="Male",Backend!$C$6,IF(Table1[[#This Row],[Fetal Sex (Male, Female or Unknown)]]="Female",Backend!$C$7,IF(Table1[[#This Row],[Fetal Sex (Male, Female or Unknown)]]="Unknown",Backend!$C$8,"Error"))),"")</f>
        <v/>
      </c>
      <c r="F1000" s="8" t="str">
        <f>IF(Table1[[#This Row],[Is Data Valid]]=TRUE,EXP(0.578+0.332*((Table1[[#This Row],[Gestation (days)]]+0.5)/7)-0.00354*((Table1[[#This Row],[Gestation (days)]]+0.5)/7)^2)*Table1[[#This Row],[BW40_3705]],"")</f>
        <v/>
      </c>
      <c r="G1000" s="2" t="str">
        <f>IF(Table1[[#This Row],[Is Data Valid]]=TRUE,((Table1[[#This Row],[Birthweight (grams)]]/Table1[[#This Row],[BW_GA]])-1)/(Backend!$B$4/100*Table1[[#This Row],[BW40_3705]]),"")</f>
        <v/>
      </c>
      <c r="H1000" s="7" t="str">
        <f>IF(Table1[[#This Row],[Is Data Valid]]=TRUE,((Table1[[#This Row],[Birthweight (grams)]]*0.9/Table1[[#This Row],[BW_GA]])-1)/(Backend!$B$4/100*Table1[[#This Row],[BW40_3705]]),"")</f>
        <v/>
      </c>
      <c r="I1000" s="7" t="str">
        <f>IF(Table1[[#This Row],[Is Data Valid]]=TRUE,((Table1[[#This Row],[Birthweight (grams)]]*1.1/Table1[[#This Row],[BW_GA]])-1)/(Backend!$B$4/100*Table1[[#This Row],[BW40_3705]]),"")</f>
        <v/>
      </c>
      <c r="J1000" s="7" t="str">
        <f>IF(Table1[[#This Row],[Is Data Valid]]=TRUE,_xlfn.NORM.S.DIST(Table1[[#This Row],[Birthweight Z-Score]],TRUE)*100,"")</f>
        <v/>
      </c>
      <c r="K1000" s="7" t="str">
        <f>IF(Table1[[#This Row],[Is Data Valid]]=TRUE,_xlfn.NORM.S.DIST(Table1[[#This Row],[Birthweight Z-Score (BW-10%)]],TRUE)*100,"")</f>
        <v/>
      </c>
      <c r="L1000" s="7" t="str">
        <f>IF(Table1[[#This Row],[Is Data Valid]]=TRUE,_xlfn.NORM.S.DIST(Table1[[#This Row],[Birthweight Z-Score (BW+10%)]],TRUE)*100,"")</f>
        <v/>
      </c>
    </row>
    <row r="1001" spans="1:12" x14ac:dyDescent="0.35">
      <c r="A1001" s="3"/>
      <c r="B1001" s="2"/>
      <c r="C1001" s="2"/>
      <c r="D1001" s="2" t="b">
        <f>IF(AND(NOT(ISBLANK(Table1[[#This Row],[Fetal Sex (Male, Female or Unknown)]])),ISNUMBER(Table1[[#This Row],[Birthweight (grams)]]),ISNUMBER(Table1[[#This Row],[Gestation (days)]])),TRUE,FALSE)</f>
        <v>0</v>
      </c>
      <c r="E1001" s="2" t="str">
        <f>IF(Table1[[#This Row],[Is Data Valid]]=TRUE,IF(Table1[[#This Row],[Fetal Sex (Male, Female or Unknown)]]="Male",Backend!$C$6,IF(Table1[[#This Row],[Fetal Sex (Male, Female or Unknown)]]="Female",Backend!$C$7,IF(Table1[[#This Row],[Fetal Sex (Male, Female or Unknown)]]="Unknown",Backend!$C$8,"Error"))),"")</f>
        <v/>
      </c>
      <c r="F1001" s="8" t="str">
        <f>IF(Table1[[#This Row],[Is Data Valid]]=TRUE,EXP(0.578+0.332*((Table1[[#This Row],[Gestation (days)]]+0.5)/7)-0.00354*((Table1[[#This Row],[Gestation (days)]]+0.5)/7)^2)*Table1[[#This Row],[BW40_3705]],"")</f>
        <v/>
      </c>
      <c r="G1001" s="2" t="str">
        <f>IF(Table1[[#This Row],[Is Data Valid]]=TRUE,((Table1[[#This Row],[Birthweight (grams)]]/Table1[[#This Row],[BW_GA]])-1)/(Backend!$B$4/100*Table1[[#This Row],[BW40_3705]]),"")</f>
        <v/>
      </c>
      <c r="H1001" s="7" t="str">
        <f>IF(Table1[[#This Row],[Is Data Valid]]=TRUE,((Table1[[#This Row],[Birthweight (grams)]]*0.9/Table1[[#This Row],[BW_GA]])-1)/(Backend!$B$4/100*Table1[[#This Row],[BW40_3705]]),"")</f>
        <v/>
      </c>
      <c r="I1001" s="7" t="str">
        <f>IF(Table1[[#This Row],[Is Data Valid]]=TRUE,((Table1[[#This Row],[Birthweight (grams)]]*1.1/Table1[[#This Row],[BW_GA]])-1)/(Backend!$B$4/100*Table1[[#This Row],[BW40_3705]]),"")</f>
        <v/>
      </c>
      <c r="J1001" s="7" t="str">
        <f>IF(Table1[[#This Row],[Is Data Valid]]=TRUE,_xlfn.NORM.S.DIST(Table1[[#This Row],[Birthweight Z-Score]],TRUE)*100,"")</f>
        <v/>
      </c>
      <c r="K1001" s="7" t="str">
        <f>IF(Table1[[#This Row],[Is Data Valid]]=TRUE,_xlfn.NORM.S.DIST(Table1[[#This Row],[Birthweight Z-Score (BW-10%)]],TRUE)*100,"")</f>
        <v/>
      </c>
      <c r="L1001" s="7" t="str">
        <f>IF(Table1[[#This Row],[Is Data Valid]]=TRUE,_xlfn.NORM.S.DIST(Table1[[#This Row],[Birthweight Z-Score (BW+10%)]],TRUE)*100,"")</f>
        <v/>
      </c>
    </row>
    <row r="1002" spans="1:12" x14ac:dyDescent="0.35">
      <c r="A1002" s="3"/>
      <c r="B1002" s="2"/>
      <c r="C1002" s="2"/>
      <c r="D1002" s="2" t="b">
        <f>IF(AND(NOT(ISBLANK(Table1[[#This Row],[Fetal Sex (Male, Female or Unknown)]])),ISNUMBER(Table1[[#This Row],[Birthweight (grams)]]),ISNUMBER(Table1[[#This Row],[Gestation (days)]])),TRUE,FALSE)</f>
        <v>0</v>
      </c>
      <c r="E1002" s="2" t="str">
        <f>IF(Table1[[#This Row],[Is Data Valid]]=TRUE,IF(Table1[[#This Row],[Fetal Sex (Male, Female or Unknown)]]="Male",Backend!$C$6,IF(Table1[[#This Row],[Fetal Sex (Male, Female or Unknown)]]="Female",Backend!$C$7,IF(Table1[[#This Row],[Fetal Sex (Male, Female or Unknown)]]="Unknown",Backend!$C$8,"Error"))),"")</f>
        <v/>
      </c>
      <c r="F1002" s="8" t="str">
        <f>IF(Table1[[#This Row],[Is Data Valid]]=TRUE,EXP(0.578+0.332*((Table1[[#This Row],[Gestation (days)]]+0.5)/7)-0.00354*((Table1[[#This Row],[Gestation (days)]]+0.5)/7)^2)*Table1[[#This Row],[BW40_3705]],"")</f>
        <v/>
      </c>
      <c r="G1002" s="2" t="str">
        <f>IF(Table1[[#This Row],[Is Data Valid]]=TRUE,((Table1[[#This Row],[Birthweight (grams)]]/Table1[[#This Row],[BW_GA]])-1)/(Backend!$B$4/100*Table1[[#This Row],[BW40_3705]]),"")</f>
        <v/>
      </c>
      <c r="H1002" s="7" t="str">
        <f>IF(Table1[[#This Row],[Is Data Valid]]=TRUE,((Table1[[#This Row],[Birthweight (grams)]]*0.9/Table1[[#This Row],[BW_GA]])-1)/(Backend!$B$4/100*Table1[[#This Row],[BW40_3705]]),"")</f>
        <v/>
      </c>
      <c r="I1002" s="7" t="str">
        <f>IF(Table1[[#This Row],[Is Data Valid]]=TRUE,((Table1[[#This Row],[Birthweight (grams)]]*1.1/Table1[[#This Row],[BW_GA]])-1)/(Backend!$B$4/100*Table1[[#This Row],[BW40_3705]]),"")</f>
        <v/>
      </c>
      <c r="J1002" s="7" t="str">
        <f>IF(Table1[[#This Row],[Is Data Valid]]=TRUE,_xlfn.NORM.S.DIST(Table1[[#This Row],[Birthweight Z-Score]],TRUE)*100,"")</f>
        <v/>
      </c>
      <c r="K1002" s="7" t="str">
        <f>IF(Table1[[#This Row],[Is Data Valid]]=TRUE,_xlfn.NORM.S.DIST(Table1[[#This Row],[Birthweight Z-Score (BW-10%)]],TRUE)*100,"")</f>
        <v/>
      </c>
      <c r="L1002" s="7" t="str">
        <f>IF(Table1[[#This Row],[Is Data Valid]]=TRUE,_xlfn.NORM.S.DIST(Table1[[#This Row],[Birthweight Z-Score (BW+10%)]],TRUE)*100,"")</f>
        <v/>
      </c>
    </row>
    <row r="1003" spans="1:12" x14ac:dyDescent="0.35">
      <c r="A1003" s="3"/>
      <c r="B1003" s="2"/>
      <c r="C1003" s="2"/>
      <c r="D1003" s="2" t="b">
        <f>IF(AND(NOT(ISBLANK(Table1[[#This Row],[Fetal Sex (Male, Female or Unknown)]])),ISNUMBER(Table1[[#This Row],[Birthweight (grams)]]),ISNUMBER(Table1[[#This Row],[Gestation (days)]])),TRUE,FALSE)</f>
        <v>0</v>
      </c>
      <c r="E1003" s="2" t="str">
        <f>IF(Table1[[#This Row],[Is Data Valid]]=TRUE,IF(Table1[[#This Row],[Fetal Sex (Male, Female or Unknown)]]="Male",Backend!$C$6,IF(Table1[[#This Row],[Fetal Sex (Male, Female or Unknown)]]="Female",Backend!$C$7,IF(Table1[[#This Row],[Fetal Sex (Male, Female or Unknown)]]="Unknown",Backend!$C$8,"Error"))),"")</f>
        <v/>
      </c>
      <c r="F1003" s="8" t="str">
        <f>IF(Table1[[#This Row],[Is Data Valid]]=TRUE,EXP(0.578+0.332*((Table1[[#This Row],[Gestation (days)]]+0.5)/7)-0.00354*((Table1[[#This Row],[Gestation (days)]]+0.5)/7)^2)*Table1[[#This Row],[BW40_3705]],"")</f>
        <v/>
      </c>
      <c r="G1003" s="2" t="str">
        <f>IF(Table1[[#This Row],[Is Data Valid]]=TRUE,((Table1[[#This Row],[Birthweight (grams)]]/Table1[[#This Row],[BW_GA]])-1)/(Backend!$B$4/100*Table1[[#This Row],[BW40_3705]]),"")</f>
        <v/>
      </c>
      <c r="H1003" s="7" t="str">
        <f>IF(Table1[[#This Row],[Is Data Valid]]=TRUE,((Table1[[#This Row],[Birthweight (grams)]]*0.9/Table1[[#This Row],[BW_GA]])-1)/(Backend!$B$4/100*Table1[[#This Row],[BW40_3705]]),"")</f>
        <v/>
      </c>
      <c r="I1003" s="7" t="str">
        <f>IF(Table1[[#This Row],[Is Data Valid]]=TRUE,((Table1[[#This Row],[Birthweight (grams)]]*1.1/Table1[[#This Row],[BW_GA]])-1)/(Backend!$B$4/100*Table1[[#This Row],[BW40_3705]]),"")</f>
        <v/>
      </c>
      <c r="J1003" s="7" t="str">
        <f>IF(Table1[[#This Row],[Is Data Valid]]=TRUE,_xlfn.NORM.S.DIST(Table1[[#This Row],[Birthweight Z-Score]],TRUE)*100,"")</f>
        <v/>
      </c>
      <c r="K1003" s="7" t="str">
        <f>IF(Table1[[#This Row],[Is Data Valid]]=TRUE,_xlfn.NORM.S.DIST(Table1[[#This Row],[Birthweight Z-Score (BW-10%)]],TRUE)*100,"")</f>
        <v/>
      </c>
      <c r="L1003" s="7" t="str">
        <f>IF(Table1[[#This Row],[Is Data Valid]]=TRUE,_xlfn.NORM.S.DIST(Table1[[#This Row],[Birthweight Z-Score (BW+10%)]],TRUE)*100,"")</f>
        <v/>
      </c>
    </row>
    <row r="1004" spans="1:12" x14ac:dyDescent="0.35">
      <c r="A1004" s="3"/>
      <c r="B1004" s="2"/>
      <c r="C1004" s="2"/>
      <c r="D1004" s="2" t="b">
        <f>IF(AND(NOT(ISBLANK(Table1[[#This Row],[Fetal Sex (Male, Female or Unknown)]])),ISNUMBER(Table1[[#This Row],[Birthweight (grams)]]),ISNUMBER(Table1[[#This Row],[Gestation (days)]])),TRUE,FALSE)</f>
        <v>0</v>
      </c>
      <c r="E1004" s="2" t="str">
        <f>IF(Table1[[#This Row],[Is Data Valid]]=TRUE,IF(Table1[[#This Row],[Fetal Sex (Male, Female or Unknown)]]="Male",Backend!$C$6,IF(Table1[[#This Row],[Fetal Sex (Male, Female or Unknown)]]="Female",Backend!$C$7,IF(Table1[[#This Row],[Fetal Sex (Male, Female or Unknown)]]="Unknown",Backend!$C$8,"Error"))),"")</f>
        <v/>
      </c>
      <c r="F1004" s="8" t="str">
        <f>IF(Table1[[#This Row],[Is Data Valid]]=TRUE,EXP(0.578+0.332*((Table1[[#This Row],[Gestation (days)]]+0.5)/7)-0.00354*((Table1[[#This Row],[Gestation (days)]]+0.5)/7)^2)*Table1[[#This Row],[BW40_3705]],"")</f>
        <v/>
      </c>
      <c r="G1004" s="2" t="str">
        <f>IF(Table1[[#This Row],[Is Data Valid]]=TRUE,((Table1[[#This Row],[Birthweight (grams)]]/Table1[[#This Row],[BW_GA]])-1)/(Backend!$B$4/100*Table1[[#This Row],[BW40_3705]]),"")</f>
        <v/>
      </c>
      <c r="H1004" s="7" t="str">
        <f>IF(Table1[[#This Row],[Is Data Valid]]=TRUE,((Table1[[#This Row],[Birthweight (grams)]]*0.9/Table1[[#This Row],[BW_GA]])-1)/(Backend!$B$4/100*Table1[[#This Row],[BW40_3705]]),"")</f>
        <v/>
      </c>
      <c r="I1004" s="7" t="str">
        <f>IF(Table1[[#This Row],[Is Data Valid]]=TRUE,((Table1[[#This Row],[Birthweight (grams)]]*1.1/Table1[[#This Row],[BW_GA]])-1)/(Backend!$B$4/100*Table1[[#This Row],[BW40_3705]]),"")</f>
        <v/>
      </c>
      <c r="J1004" s="7" t="str">
        <f>IF(Table1[[#This Row],[Is Data Valid]]=TRUE,_xlfn.NORM.S.DIST(Table1[[#This Row],[Birthweight Z-Score]],TRUE)*100,"")</f>
        <v/>
      </c>
      <c r="K1004" s="7" t="str">
        <f>IF(Table1[[#This Row],[Is Data Valid]]=TRUE,_xlfn.NORM.S.DIST(Table1[[#This Row],[Birthweight Z-Score (BW-10%)]],TRUE)*100,"")</f>
        <v/>
      </c>
      <c r="L1004" s="7" t="str">
        <f>IF(Table1[[#This Row],[Is Data Valid]]=TRUE,_xlfn.NORM.S.DIST(Table1[[#This Row],[Birthweight Z-Score (BW+10%)]],TRUE)*100,"")</f>
        <v/>
      </c>
    </row>
    <row r="1005" spans="1:12" x14ac:dyDescent="0.35">
      <c r="A1005" s="3"/>
      <c r="B1005" s="2"/>
      <c r="C1005" s="2"/>
      <c r="D1005" s="2" t="b">
        <f>IF(AND(NOT(ISBLANK(Table1[[#This Row],[Fetal Sex (Male, Female or Unknown)]])),ISNUMBER(Table1[[#This Row],[Birthweight (grams)]]),ISNUMBER(Table1[[#This Row],[Gestation (days)]])),TRUE,FALSE)</f>
        <v>0</v>
      </c>
      <c r="E1005" s="2" t="str">
        <f>IF(Table1[[#This Row],[Is Data Valid]]=TRUE,IF(Table1[[#This Row],[Fetal Sex (Male, Female or Unknown)]]="Male",Backend!$C$6,IF(Table1[[#This Row],[Fetal Sex (Male, Female or Unknown)]]="Female",Backend!$C$7,IF(Table1[[#This Row],[Fetal Sex (Male, Female or Unknown)]]="Unknown",Backend!$C$8,"Error"))),"")</f>
        <v/>
      </c>
      <c r="F1005" s="8" t="str">
        <f>IF(Table1[[#This Row],[Is Data Valid]]=TRUE,EXP(0.578+0.332*((Table1[[#This Row],[Gestation (days)]]+0.5)/7)-0.00354*((Table1[[#This Row],[Gestation (days)]]+0.5)/7)^2)*Table1[[#This Row],[BW40_3705]],"")</f>
        <v/>
      </c>
      <c r="G1005" s="2" t="str">
        <f>IF(Table1[[#This Row],[Is Data Valid]]=TRUE,((Table1[[#This Row],[Birthweight (grams)]]/Table1[[#This Row],[BW_GA]])-1)/(Backend!$B$4/100*Table1[[#This Row],[BW40_3705]]),"")</f>
        <v/>
      </c>
      <c r="H1005" s="7" t="str">
        <f>IF(Table1[[#This Row],[Is Data Valid]]=TRUE,((Table1[[#This Row],[Birthweight (grams)]]*0.9/Table1[[#This Row],[BW_GA]])-1)/(Backend!$B$4/100*Table1[[#This Row],[BW40_3705]]),"")</f>
        <v/>
      </c>
      <c r="I1005" s="7" t="str">
        <f>IF(Table1[[#This Row],[Is Data Valid]]=TRUE,((Table1[[#This Row],[Birthweight (grams)]]*1.1/Table1[[#This Row],[BW_GA]])-1)/(Backend!$B$4/100*Table1[[#This Row],[BW40_3705]]),"")</f>
        <v/>
      </c>
      <c r="J1005" s="7" t="str">
        <f>IF(Table1[[#This Row],[Is Data Valid]]=TRUE,_xlfn.NORM.S.DIST(Table1[[#This Row],[Birthweight Z-Score]],TRUE)*100,"")</f>
        <v/>
      </c>
      <c r="K1005" s="7" t="str">
        <f>IF(Table1[[#This Row],[Is Data Valid]]=TRUE,_xlfn.NORM.S.DIST(Table1[[#This Row],[Birthweight Z-Score (BW-10%)]],TRUE)*100,"")</f>
        <v/>
      </c>
      <c r="L1005" s="7" t="str">
        <f>IF(Table1[[#This Row],[Is Data Valid]]=TRUE,_xlfn.NORM.S.DIST(Table1[[#This Row],[Birthweight Z-Score (BW+10%)]],TRUE)*100,"")</f>
        <v/>
      </c>
    </row>
    <row r="1006" spans="1:12" x14ac:dyDescent="0.35">
      <c r="A1006" s="3"/>
      <c r="B1006" s="2"/>
      <c r="C1006" s="2"/>
      <c r="D1006" s="2" t="b">
        <f>IF(AND(NOT(ISBLANK(Table1[[#This Row],[Fetal Sex (Male, Female or Unknown)]])),ISNUMBER(Table1[[#This Row],[Birthweight (grams)]]),ISNUMBER(Table1[[#This Row],[Gestation (days)]])),TRUE,FALSE)</f>
        <v>0</v>
      </c>
      <c r="E1006" s="2" t="str">
        <f>IF(Table1[[#This Row],[Is Data Valid]]=TRUE,IF(Table1[[#This Row],[Fetal Sex (Male, Female or Unknown)]]="Male",Backend!$C$6,IF(Table1[[#This Row],[Fetal Sex (Male, Female or Unknown)]]="Female",Backend!$C$7,IF(Table1[[#This Row],[Fetal Sex (Male, Female or Unknown)]]="Unknown",Backend!$C$8,"Error"))),"")</f>
        <v/>
      </c>
      <c r="F1006" s="8" t="str">
        <f>IF(Table1[[#This Row],[Is Data Valid]]=TRUE,EXP(0.578+0.332*((Table1[[#This Row],[Gestation (days)]]+0.5)/7)-0.00354*((Table1[[#This Row],[Gestation (days)]]+0.5)/7)^2)*Table1[[#This Row],[BW40_3705]],"")</f>
        <v/>
      </c>
      <c r="G1006" s="2" t="str">
        <f>IF(Table1[[#This Row],[Is Data Valid]]=TRUE,((Table1[[#This Row],[Birthweight (grams)]]/Table1[[#This Row],[BW_GA]])-1)/(Backend!$B$4/100*Table1[[#This Row],[BW40_3705]]),"")</f>
        <v/>
      </c>
      <c r="H1006" s="7" t="str">
        <f>IF(Table1[[#This Row],[Is Data Valid]]=TRUE,((Table1[[#This Row],[Birthweight (grams)]]*0.9/Table1[[#This Row],[BW_GA]])-1)/(Backend!$B$4/100*Table1[[#This Row],[BW40_3705]]),"")</f>
        <v/>
      </c>
      <c r="I1006" s="7" t="str">
        <f>IF(Table1[[#This Row],[Is Data Valid]]=TRUE,((Table1[[#This Row],[Birthweight (grams)]]*1.1/Table1[[#This Row],[BW_GA]])-1)/(Backend!$B$4/100*Table1[[#This Row],[BW40_3705]]),"")</f>
        <v/>
      </c>
      <c r="J1006" s="7" t="str">
        <f>IF(Table1[[#This Row],[Is Data Valid]]=TRUE,_xlfn.NORM.S.DIST(Table1[[#This Row],[Birthweight Z-Score]],TRUE)*100,"")</f>
        <v/>
      </c>
      <c r="K1006" s="7" t="str">
        <f>IF(Table1[[#This Row],[Is Data Valid]]=TRUE,_xlfn.NORM.S.DIST(Table1[[#This Row],[Birthweight Z-Score (BW-10%)]],TRUE)*100,"")</f>
        <v/>
      </c>
      <c r="L1006" s="7" t="str">
        <f>IF(Table1[[#This Row],[Is Data Valid]]=TRUE,_xlfn.NORM.S.DIST(Table1[[#This Row],[Birthweight Z-Score (BW+10%)]],TRUE)*100,"")</f>
        <v/>
      </c>
    </row>
    <row r="1007" spans="1:12" x14ac:dyDescent="0.35">
      <c r="A1007" s="3"/>
      <c r="B1007" s="2"/>
      <c r="C1007" s="2"/>
      <c r="D1007" s="2" t="b">
        <f>IF(AND(NOT(ISBLANK(Table1[[#This Row],[Fetal Sex (Male, Female or Unknown)]])),ISNUMBER(Table1[[#This Row],[Birthweight (grams)]]),ISNUMBER(Table1[[#This Row],[Gestation (days)]])),TRUE,FALSE)</f>
        <v>0</v>
      </c>
      <c r="E1007" s="2" t="str">
        <f>IF(Table1[[#This Row],[Is Data Valid]]=TRUE,IF(Table1[[#This Row],[Fetal Sex (Male, Female or Unknown)]]="Male",Backend!$C$6,IF(Table1[[#This Row],[Fetal Sex (Male, Female or Unknown)]]="Female",Backend!$C$7,IF(Table1[[#This Row],[Fetal Sex (Male, Female or Unknown)]]="Unknown",Backend!$C$8,"Error"))),"")</f>
        <v/>
      </c>
      <c r="F1007" s="8" t="str">
        <f>IF(Table1[[#This Row],[Is Data Valid]]=TRUE,EXP(0.578+0.332*((Table1[[#This Row],[Gestation (days)]]+0.5)/7)-0.00354*((Table1[[#This Row],[Gestation (days)]]+0.5)/7)^2)*Table1[[#This Row],[BW40_3705]],"")</f>
        <v/>
      </c>
      <c r="G1007" s="2" t="str">
        <f>IF(Table1[[#This Row],[Is Data Valid]]=TRUE,((Table1[[#This Row],[Birthweight (grams)]]/Table1[[#This Row],[BW_GA]])-1)/(Backend!$B$4/100*Table1[[#This Row],[BW40_3705]]),"")</f>
        <v/>
      </c>
      <c r="H1007" s="7" t="str">
        <f>IF(Table1[[#This Row],[Is Data Valid]]=TRUE,((Table1[[#This Row],[Birthweight (grams)]]*0.9/Table1[[#This Row],[BW_GA]])-1)/(Backend!$B$4/100*Table1[[#This Row],[BW40_3705]]),"")</f>
        <v/>
      </c>
      <c r="I1007" s="7" t="str">
        <f>IF(Table1[[#This Row],[Is Data Valid]]=TRUE,((Table1[[#This Row],[Birthweight (grams)]]*1.1/Table1[[#This Row],[BW_GA]])-1)/(Backend!$B$4/100*Table1[[#This Row],[BW40_3705]]),"")</f>
        <v/>
      </c>
      <c r="J1007" s="7" t="str">
        <f>IF(Table1[[#This Row],[Is Data Valid]]=TRUE,_xlfn.NORM.S.DIST(Table1[[#This Row],[Birthweight Z-Score]],TRUE)*100,"")</f>
        <v/>
      </c>
      <c r="K1007" s="7" t="str">
        <f>IF(Table1[[#This Row],[Is Data Valid]]=TRUE,_xlfn.NORM.S.DIST(Table1[[#This Row],[Birthweight Z-Score (BW-10%)]],TRUE)*100,"")</f>
        <v/>
      </c>
      <c r="L1007" s="7" t="str">
        <f>IF(Table1[[#This Row],[Is Data Valid]]=TRUE,_xlfn.NORM.S.DIST(Table1[[#This Row],[Birthweight Z-Score (BW+10%)]],TRUE)*100,"")</f>
        <v/>
      </c>
    </row>
    <row r="1008" spans="1:12" x14ac:dyDescent="0.35">
      <c r="A1008" s="3"/>
      <c r="B1008" s="2"/>
      <c r="C1008" s="2"/>
      <c r="D1008" s="2" t="b">
        <f>IF(AND(NOT(ISBLANK(Table1[[#This Row],[Fetal Sex (Male, Female or Unknown)]])),ISNUMBER(Table1[[#This Row],[Birthweight (grams)]]),ISNUMBER(Table1[[#This Row],[Gestation (days)]])),TRUE,FALSE)</f>
        <v>0</v>
      </c>
      <c r="E1008" s="2" t="str">
        <f>IF(Table1[[#This Row],[Is Data Valid]]=TRUE,IF(Table1[[#This Row],[Fetal Sex (Male, Female or Unknown)]]="Male",Backend!$C$6,IF(Table1[[#This Row],[Fetal Sex (Male, Female or Unknown)]]="Female",Backend!$C$7,IF(Table1[[#This Row],[Fetal Sex (Male, Female or Unknown)]]="Unknown",Backend!$C$8,"Error"))),"")</f>
        <v/>
      </c>
      <c r="F1008" s="8" t="str">
        <f>IF(Table1[[#This Row],[Is Data Valid]]=TRUE,EXP(0.578+0.332*((Table1[[#This Row],[Gestation (days)]]+0.5)/7)-0.00354*((Table1[[#This Row],[Gestation (days)]]+0.5)/7)^2)*Table1[[#This Row],[BW40_3705]],"")</f>
        <v/>
      </c>
      <c r="G1008" s="2" t="str">
        <f>IF(Table1[[#This Row],[Is Data Valid]]=TRUE,((Table1[[#This Row],[Birthweight (grams)]]/Table1[[#This Row],[BW_GA]])-1)/(Backend!$B$4/100*Table1[[#This Row],[BW40_3705]]),"")</f>
        <v/>
      </c>
      <c r="H1008" s="7" t="str">
        <f>IF(Table1[[#This Row],[Is Data Valid]]=TRUE,((Table1[[#This Row],[Birthweight (grams)]]*0.9/Table1[[#This Row],[BW_GA]])-1)/(Backend!$B$4/100*Table1[[#This Row],[BW40_3705]]),"")</f>
        <v/>
      </c>
      <c r="I1008" s="7" t="str">
        <f>IF(Table1[[#This Row],[Is Data Valid]]=TRUE,((Table1[[#This Row],[Birthweight (grams)]]*1.1/Table1[[#This Row],[BW_GA]])-1)/(Backend!$B$4/100*Table1[[#This Row],[BW40_3705]]),"")</f>
        <v/>
      </c>
      <c r="J1008" s="7" t="str">
        <f>IF(Table1[[#This Row],[Is Data Valid]]=TRUE,_xlfn.NORM.S.DIST(Table1[[#This Row],[Birthweight Z-Score]],TRUE)*100,"")</f>
        <v/>
      </c>
      <c r="K1008" s="7" t="str">
        <f>IF(Table1[[#This Row],[Is Data Valid]]=TRUE,_xlfn.NORM.S.DIST(Table1[[#This Row],[Birthweight Z-Score (BW-10%)]],TRUE)*100,"")</f>
        <v/>
      </c>
      <c r="L1008" s="7" t="str">
        <f>IF(Table1[[#This Row],[Is Data Valid]]=TRUE,_xlfn.NORM.S.DIST(Table1[[#This Row],[Birthweight Z-Score (BW+10%)]],TRUE)*100,"")</f>
        <v/>
      </c>
    </row>
    <row r="1009" spans="1:12" x14ac:dyDescent="0.35">
      <c r="A1009" s="3"/>
      <c r="B1009" s="2"/>
      <c r="C1009" s="2"/>
      <c r="D1009" s="2" t="b">
        <f>IF(AND(NOT(ISBLANK(Table1[[#This Row],[Fetal Sex (Male, Female or Unknown)]])),ISNUMBER(Table1[[#This Row],[Birthweight (grams)]]),ISNUMBER(Table1[[#This Row],[Gestation (days)]])),TRUE,FALSE)</f>
        <v>0</v>
      </c>
      <c r="E1009" s="2" t="str">
        <f>IF(Table1[[#This Row],[Is Data Valid]]=TRUE,IF(Table1[[#This Row],[Fetal Sex (Male, Female or Unknown)]]="Male",Backend!$C$6,IF(Table1[[#This Row],[Fetal Sex (Male, Female or Unknown)]]="Female",Backend!$C$7,IF(Table1[[#This Row],[Fetal Sex (Male, Female or Unknown)]]="Unknown",Backend!$C$8,"Error"))),"")</f>
        <v/>
      </c>
      <c r="F1009" s="8" t="str">
        <f>IF(Table1[[#This Row],[Is Data Valid]]=TRUE,EXP(0.578+0.332*((Table1[[#This Row],[Gestation (days)]]+0.5)/7)-0.00354*((Table1[[#This Row],[Gestation (days)]]+0.5)/7)^2)*Table1[[#This Row],[BW40_3705]],"")</f>
        <v/>
      </c>
      <c r="G1009" s="2" t="str">
        <f>IF(Table1[[#This Row],[Is Data Valid]]=TRUE,((Table1[[#This Row],[Birthweight (grams)]]/Table1[[#This Row],[BW_GA]])-1)/(Backend!$B$4/100*Table1[[#This Row],[BW40_3705]]),"")</f>
        <v/>
      </c>
      <c r="H1009" s="7" t="str">
        <f>IF(Table1[[#This Row],[Is Data Valid]]=TRUE,((Table1[[#This Row],[Birthweight (grams)]]*0.9/Table1[[#This Row],[BW_GA]])-1)/(Backend!$B$4/100*Table1[[#This Row],[BW40_3705]]),"")</f>
        <v/>
      </c>
      <c r="I1009" s="7" t="str">
        <f>IF(Table1[[#This Row],[Is Data Valid]]=TRUE,((Table1[[#This Row],[Birthweight (grams)]]*1.1/Table1[[#This Row],[BW_GA]])-1)/(Backend!$B$4/100*Table1[[#This Row],[BW40_3705]]),"")</f>
        <v/>
      </c>
      <c r="J1009" s="7" t="str">
        <f>IF(Table1[[#This Row],[Is Data Valid]]=TRUE,_xlfn.NORM.S.DIST(Table1[[#This Row],[Birthweight Z-Score]],TRUE)*100,"")</f>
        <v/>
      </c>
      <c r="K1009" s="7" t="str">
        <f>IF(Table1[[#This Row],[Is Data Valid]]=TRUE,_xlfn.NORM.S.DIST(Table1[[#This Row],[Birthweight Z-Score (BW-10%)]],TRUE)*100,"")</f>
        <v/>
      </c>
      <c r="L1009" s="7" t="str">
        <f>IF(Table1[[#This Row],[Is Data Valid]]=TRUE,_xlfn.NORM.S.DIST(Table1[[#This Row],[Birthweight Z-Score (BW+10%)]],TRUE)*100,"")</f>
        <v/>
      </c>
    </row>
    <row r="1010" spans="1:12" x14ac:dyDescent="0.35">
      <c r="A1010" s="3"/>
      <c r="B1010" s="2"/>
      <c r="C1010" s="2"/>
      <c r="D1010" s="2" t="b">
        <f>IF(AND(NOT(ISBLANK(Table1[[#This Row],[Fetal Sex (Male, Female or Unknown)]])),ISNUMBER(Table1[[#This Row],[Birthweight (grams)]]),ISNUMBER(Table1[[#This Row],[Gestation (days)]])),TRUE,FALSE)</f>
        <v>0</v>
      </c>
      <c r="E1010" s="2" t="str">
        <f>IF(Table1[[#This Row],[Is Data Valid]]=TRUE,IF(Table1[[#This Row],[Fetal Sex (Male, Female or Unknown)]]="Male",Backend!$C$6,IF(Table1[[#This Row],[Fetal Sex (Male, Female or Unknown)]]="Female",Backend!$C$7,IF(Table1[[#This Row],[Fetal Sex (Male, Female or Unknown)]]="Unknown",Backend!$C$8,"Error"))),"")</f>
        <v/>
      </c>
      <c r="F1010" s="8" t="str">
        <f>IF(Table1[[#This Row],[Is Data Valid]]=TRUE,EXP(0.578+0.332*((Table1[[#This Row],[Gestation (days)]]+0.5)/7)-0.00354*((Table1[[#This Row],[Gestation (days)]]+0.5)/7)^2)*Table1[[#This Row],[BW40_3705]],"")</f>
        <v/>
      </c>
      <c r="G1010" s="2" t="str">
        <f>IF(Table1[[#This Row],[Is Data Valid]]=TRUE,((Table1[[#This Row],[Birthweight (grams)]]/Table1[[#This Row],[BW_GA]])-1)/(Backend!$B$4/100*Table1[[#This Row],[BW40_3705]]),"")</f>
        <v/>
      </c>
      <c r="H1010" s="7" t="str">
        <f>IF(Table1[[#This Row],[Is Data Valid]]=TRUE,((Table1[[#This Row],[Birthweight (grams)]]*0.9/Table1[[#This Row],[BW_GA]])-1)/(Backend!$B$4/100*Table1[[#This Row],[BW40_3705]]),"")</f>
        <v/>
      </c>
      <c r="I1010" s="7" t="str">
        <f>IF(Table1[[#This Row],[Is Data Valid]]=TRUE,((Table1[[#This Row],[Birthweight (grams)]]*1.1/Table1[[#This Row],[BW_GA]])-1)/(Backend!$B$4/100*Table1[[#This Row],[BW40_3705]]),"")</f>
        <v/>
      </c>
      <c r="J1010" s="7" t="str">
        <f>IF(Table1[[#This Row],[Is Data Valid]]=TRUE,_xlfn.NORM.S.DIST(Table1[[#This Row],[Birthweight Z-Score]],TRUE)*100,"")</f>
        <v/>
      </c>
      <c r="K1010" s="7" t="str">
        <f>IF(Table1[[#This Row],[Is Data Valid]]=TRUE,_xlfn.NORM.S.DIST(Table1[[#This Row],[Birthweight Z-Score (BW-10%)]],TRUE)*100,"")</f>
        <v/>
      </c>
      <c r="L1010" s="7" t="str">
        <f>IF(Table1[[#This Row],[Is Data Valid]]=TRUE,_xlfn.NORM.S.DIST(Table1[[#This Row],[Birthweight Z-Score (BW+10%)]],TRUE)*100,"")</f>
        <v/>
      </c>
    </row>
    <row r="1011" spans="1:12" x14ac:dyDescent="0.35">
      <c r="A1011" s="3"/>
      <c r="B1011" s="2"/>
      <c r="C1011" s="2"/>
      <c r="D1011" s="2" t="b">
        <f>IF(AND(NOT(ISBLANK(Table1[[#This Row],[Fetal Sex (Male, Female or Unknown)]])),ISNUMBER(Table1[[#This Row],[Birthweight (grams)]]),ISNUMBER(Table1[[#This Row],[Gestation (days)]])),TRUE,FALSE)</f>
        <v>0</v>
      </c>
      <c r="E1011" s="2" t="str">
        <f>IF(Table1[[#This Row],[Is Data Valid]]=TRUE,IF(Table1[[#This Row],[Fetal Sex (Male, Female or Unknown)]]="Male",Backend!$C$6,IF(Table1[[#This Row],[Fetal Sex (Male, Female or Unknown)]]="Female",Backend!$C$7,IF(Table1[[#This Row],[Fetal Sex (Male, Female or Unknown)]]="Unknown",Backend!$C$8,"Error"))),"")</f>
        <v/>
      </c>
      <c r="F1011" s="8" t="str">
        <f>IF(Table1[[#This Row],[Is Data Valid]]=TRUE,EXP(0.578+0.332*((Table1[[#This Row],[Gestation (days)]]+0.5)/7)-0.00354*((Table1[[#This Row],[Gestation (days)]]+0.5)/7)^2)*Table1[[#This Row],[BW40_3705]],"")</f>
        <v/>
      </c>
      <c r="G1011" s="2" t="str">
        <f>IF(Table1[[#This Row],[Is Data Valid]]=TRUE,((Table1[[#This Row],[Birthweight (grams)]]/Table1[[#This Row],[BW_GA]])-1)/(Backend!$B$4/100*Table1[[#This Row],[BW40_3705]]),"")</f>
        <v/>
      </c>
      <c r="H1011" s="7" t="str">
        <f>IF(Table1[[#This Row],[Is Data Valid]]=TRUE,((Table1[[#This Row],[Birthweight (grams)]]*0.9/Table1[[#This Row],[BW_GA]])-1)/(Backend!$B$4/100*Table1[[#This Row],[BW40_3705]]),"")</f>
        <v/>
      </c>
      <c r="I1011" s="7" t="str">
        <f>IF(Table1[[#This Row],[Is Data Valid]]=TRUE,((Table1[[#This Row],[Birthweight (grams)]]*1.1/Table1[[#This Row],[BW_GA]])-1)/(Backend!$B$4/100*Table1[[#This Row],[BW40_3705]]),"")</f>
        <v/>
      </c>
      <c r="J1011" s="7" t="str">
        <f>IF(Table1[[#This Row],[Is Data Valid]]=TRUE,_xlfn.NORM.S.DIST(Table1[[#This Row],[Birthweight Z-Score]],TRUE)*100,"")</f>
        <v/>
      </c>
      <c r="K1011" s="7" t="str">
        <f>IF(Table1[[#This Row],[Is Data Valid]]=TRUE,_xlfn.NORM.S.DIST(Table1[[#This Row],[Birthweight Z-Score (BW-10%)]],TRUE)*100,"")</f>
        <v/>
      </c>
      <c r="L1011" s="7" t="str">
        <f>IF(Table1[[#This Row],[Is Data Valid]]=TRUE,_xlfn.NORM.S.DIST(Table1[[#This Row],[Birthweight Z-Score (BW+10%)]],TRUE)*100,"")</f>
        <v/>
      </c>
    </row>
    <row r="1012" spans="1:12" x14ac:dyDescent="0.35">
      <c r="A1012" s="3"/>
      <c r="B1012" s="2"/>
      <c r="C1012" s="2"/>
      <c r="D1012" s="2" t="b">
        <f>IF(AND(NOT(ISBLANK(Table1[[#This Row],[Fetal Sex (Male, Female or Unknown)]])),ISNUMBER(Table1[[#This Row],[Birthweight (grams)]]),ISNUMBER(Table1[[#This Row],[Gestation (days)]])),TRUE,FALSE)</f>
        <v>0</v>
      </c>
      <c r="E1012" s="2" t="str">
        <f>IF(Table1[[#This Row],[Is Data Valid]]=TRUE,IF(Table1[[#This Row],[Fetal Sex (Male, Female or Unknown)]]="Male",Backend!$C$6,IF(Table1[[#This Row],[Fetal Sex (Male, Female or Unknown)]]="Female",Backend!$C$7,IF(Table1[[#This Row],[Fetal Sex (Male, Female or Unknown)]]="Unknown",Backend!$C$8,"Error"))),"")</f>
        <v/>
      </c>
      <c r="F1012" s="8" t="str">
        <f>IF(Table1[[#This Row],[Is Data Valid]]=TRUE,EXP(0.578+0.332*((Table1[[#This Row],[Gestation (days)]]+0.5)/7)-0.00354*((Table1[[#This Row],[Gestation (days)]]+0.5)/7)^2)*Table1[[#This Row],[BW40_3705]],"")</f>
        <v/>
      </c>
      <c r="G1012" s="2" t="str">
        <f>IF(Table1[[#This Row],[Is Data Valid]]=TRUE,((Table1[[#This Row],[Birthweight (grams)]]/Table1[[#This Row],[BW_GA]])-1)/(Backend!$B$4/100*Table1[[#This Row],[BW40_3705]]),"")</f>
        <v/>
      </c>
      <c r="H1012" s="7" t="str">
        <f>IF(Table1[[#This Row],[Is Data Valid]]=TRUE,((Table1[[#This Row],[Birthweight (grams)]]*0.9/Table1[[#This Row],[BW_GA]])-1)/(Backend!$B$4/100*Table1[[#This Row],[BW40_3705]]),"")</f>
        <v/>
      </c>
      <c r="I1012" s="7" t="str">
        <f>IF(Table1[[#This Row],[Is Data Valid]]=TRUE,((Table1[[#This Row],[Birthweight (grams)]]*1.1/Table1[[#This Row],[BW_GA]])-1)/(Backend!$B$4/100*Table1[[#This Row],[BW40_3705]]),"")</f>
        <v/>
      </c>
      <c r="J1012" s="7" t="str">
        <f>IF(Table1[[#This Row],[Is Data Valid]]=TRUE,_xlfn.NORM.S.DIST(Table1[[#This Row],[Birthweight Z-Score]],TRUE)*100,"")</f>
        <v/>
      </c>
      <c r="K1012" s="7" t="str">
        <f>IF(Table1[[#This Row],[Is Data Valid]]=TRUE,_xlfn.NORM.S.DIST(Table1[[#This Row],[Birthweight Z-Score (BW-10%)]],TRUE)*100,"")</f>
        <v/>
      </c>
      <c r="L1012" s="7" t="str">
        <f>IF(Table1[[#This Row],[Is Data Valid]]=TRUE,_xlfn.NORM.S.DIST(Table1[[#This Row],[Birthweight Z-Score (BW+10%)]],TRUE)*100,"")</f>
        <v/>
      </c>
    </row>
    <row r="1013" spans="1:12" x14ac:dyDescent="0.35">
      <c r="A1013" s="3"/>
      <c r="B1013" s="2"/>
      <c r="C1013" s="2"/>
      <c r="D1013" s="2" t="b">
        <f>IF(AND(NOT(ISBLANK(Table1[[#This Row],[Fetal Sex (Male, Female or Unknown)]])),ISNUMBER(Table1[[#This Row],[Birthweight (grams)]]),ISNUMBER(Table1[[#This Row],[Gestation (days)]])),TRUE,FALSE)</f>
        <v>0</v>
      </c>
      <c r="E1013" s="2" t="str">
        <f>IF(Table1[[#This Row],[Is Data Valid]]=TRUE,IF(Table1[[#This Row],[Fetal Sex (Male, Female or Unknown)]]="Male",Backend!$C$6,IF(Table1[[#This Row],[Fetal Sex (Male, Female or Unknown)]]="Female",Backend!$C$7,IF(Table1[[#This Row],[Fetal Sex (Male, Female or Unknown)]]="Unknown",Backend!$C$8,"Error"))),"")</f>
        <v/>
      </c>
      <c r="F1013" s="8" t="str">
        <f>IF(Table1[[#This Row],[Is Data Valid]]=TRUE,EXP(0.578+0.332*((Table1[[#This Row],[Gestation (days)]]+0.5)/7)-0.00354*((Table1[[#This Row],[Gestation (days)]]+0.5)/7)^2)*Table1[[#This Row],[BW40_3705]],"")</f>
        <v/>
      </c>
      <c r="G1013" s="2" t="str">
        <f>IF(Table1[[#This Row],[Is Data Valid]]=TRUE,((Table1[[#This Row],[Birthweight (grams)]]/Table1[[#This Row],[BW_GA]])-1)/(Backend!$B$4/100*Table1[[#This Row],[BW40_3705]]),"")</f>
        <v/>
      </c>
      <c r="H1013" s="7" t="str">
        <f>IF(Table1[[#This Row],[Is Data Valid]]=TRUE,((Table1[[#This Row],[Birthweight (grams)]]*0.9/Table1[[#This Row],[BW_GA]])-1)/(Backend!$B$4/100*Table1[[#This Row],[BW40_3705]]),"")</f>
        <v/>
      </c>
      <c r="I1013" s="7" t="str">
        <f>IF(Table1[[#This Row],[Is Data Valid]]=TRUE,((Table1[[#This Row],[Birthweight (grams)]]*1.1/Table1[[#This Row],[BW_GA]])-1)/(Backend!$B$4/100*Table1[[#This Row],[BW40_3705]]),"")</f>
        <v/>
      </c>
      <c r="J1013" s="7" t="str">
        <f>IF(Table1[[#This Row],[Is Data Valid]]=TRUE,_xlfn.NORM.S.DIST(Table1[[#This Row],[Birthweight Z-Score]],TRUE)*100,"")</f>
        <v/>
      </c>
      <c r="K1013" s="7" t="str">
        <f>IF(Table1[[#This Row],[Is Data Valid]]=TRUE,_xlfn.NORM.S.DIST(Table1[[#This Row],[Birthweight Z-Score (BW-10%)]],TRUE)*100,"")</f>
        <v/>
      </c>
      <c r="L1013" s="7" t="str">
        <f>IF(Table1[[#This Row],[Is Data Valid]]=TRUE,_xlfn.NORM.S.DIST(Table1[[#This Row],[Birthweight Z-Score (BW+10%)]],TRUE)*100,"")</f>
        <v/>
      </c>
    </row>
    <row r="1014" spans="1:12" x14ac:dyDescent="0.35">
      <c r="A1014" s="3"/>
      <c r="B1014" s="2"/>
      <c r="C1014" s="2"/>
      <c r="D1014" s="2" t="b">
        <f>IF(AND(NOT(ISBLANK(Table1[[#This Row],[Fetal Sex (Male, Female or Unknown)]])),ISNUMBER(Table1[[#This Row],[Birthweight (grams)]]),ISNUMBER(Table1[[#This Row],[Gestation (days)]])),TRUE,FALSE)</f>
        <v>0</v>
      </c>
      <c r="E1014" s="2" t="str">
        <f>IF(Table1[[#This Row],[Is Data Valid]]=TRUE,IF(Table1[[#This Row],[Fetal Sex (Male, Female or Unknown)]]="Male",Backend!$C$6,IF(Table1[[#This Row],[Fetal Sex (Male, Female or Unknown)]]="Female",Backend!$C$7,IF(Table1[[#This Row],[Fetal Sex (Male, Female or Unknown)]]="Unknown",Backend!$C$8,"Error"))),"")</f>
        <v/>
      </c>
      <c r="F1014" s="8" t="str">
        <f>IF(Table1[[#This Row],[Is Data Valid]]=TRUE,EXP(0.578+0.332*((Table1[[#This Row],[Gestation (days)]]+0.5)/7)-0.00354*((Table1[[#This Row],[Gestation (days)]]+0.5)/7)^2)*Table1[[#This Row],[BW40_3705]],"")</f>
        <v/>
      </c>
      <c r="G1014" s="2" t="str">
        <f>IF(Table1[[#This Row],[Is Data Valid]]=TRUE,((Table1[[#This Row],[Birthweight (grams)]]/Table1[[#This Row],[BW_GA]])-1)/(Backend!$B$4/100*Table1[[#This Row],[BW40_3705]]),"")</f>
        <v/>
      </c>
      <c r="H1014" s="7" t="str">
        <f>IF(Table1[[#This Row],[Is Data Valid]]=TRUE,((Table1[[#This Row],[Birthweight (grams)]]*0.9/Table1[[#This Row],[BW_GA]])-1)/(Backend!$B$4/100*Table1[[#This Row],[BW40_3705]]),"")</f>
        <v/>
      </c>
      <c r="I1014" s="7" t="str">
        <f>IF(Table1[[#This Row],[Is Data Valid]]=TRUE,((Table1[[#This Row],[Birthweight (grams)]]*1.1/Table1[[#This Row],[BW_GA]])-1)/(Backend!$B$4/100*Table1[[#This Row],[BW40_3705]]),"")</f>
        <v/>
      </c>
      <c r="J1014" s="7" t="str">
        <f>IF(Table1[[#This Row],[Is Data Valid]]=TRUE,_xlfn.NORM.S.DIST(Table1[[#This Row],[Birthweight Z-Score]],TRUE)*100,"")</f>
        <v/>
      </c>
      <c r="K1014" s="7" t="str">
        <f>IF(Table1[[#This Row],[Is Data Valid]]=TRUE,_xlfn.NORM.S.DIST(Table1[[#This Row],[Birthweight Z-Score (BW-10%)]],TRUE)*100,"")</f>
        <v/>
      </c>
      <c r="L1014" s="7" t="str">
        <f>IF(Table1[[#This Row],[Is Data Valid]]=TRUE,_xlfn.NORM.S.DIST(Table1[[#This Row],[Birthweight Z-Score (BW+10%)]],TRUE)*100,"")</f>
        <v/>
      </c>
    </row>
    <row r="1015" spans="1:12" x14ac:dyDescent="0.35">
      <c r="A1015" s="3"/>
      <c r="B1015" s="2"/>
      <c r="C1015" s="2"/>
      <c r="D1015" s="2" t="b">
        <f>IF(AND(NOT(ISBLANK(Table1[[#This Row],[Fetal Sex (Male, Female or Unknown)]])),ISNUMBER(Table1[[#This Row],[Birthweight (grams)]]),ISNUMBER(Table1[[#This Row],[Gestation (days)]])),TRUE,FALSE)</f>
        <v>0</v>
      </c>
      <c r="E1015" s="2" t="str">
        <f>IF(Table1[[#This Row],[Is Data Valid]]=TRUE,IF(Table1[[#This Row],[Fetal Sex (Male, Female or Unknown)]]="Male",Backend!$C$6,IF(Table1[[#This Row],[Fetal Sex (Male, Female or Unknown)]]="Female",Backend!$C$7,IF(Table1[[#This Row],[Fetal Sex (Male, Female or Unknown)]]="Unknown",Backend!$C$8,"Error"))),"")</f>
        <v/>
      </c>
      <c r="F1015" s="8" t="str">
        <f>IF(Table1[[#This Row],[Is Data Valid]]=TRUE,EXP(0.578+0.332*((Table1[[#This Row],[Gestation (days)]]+0.5)/7)-0.00354*((Table1[[#This Row],[Gestation (days)]]+0.5)/7)^2)*Table1[[#This Row],[BW40_3705]],"")</f>
        <v/>
      </c>
      <c r="G1015" s="2" t="str">
        <f>IF(Table1[[#This Row],[Is Data Valid]]=TRUE,((Table1[[#This Row],[Birthweight (grams)]]/Table1[[#This Row],[BW_GA]])-1)/(Backend!$B$4/100*Table1[[#This Row],[BW40_3705]]),"")</f>
        <v/>
      </c>
      <c r="H1015" s="7" t="str">
        <f>IF(Table1[[#This Row],[Is Data Valid]]=TRUE,((Table1[[#This Row],[Birthweight (grams)]]*0.9/Table1[[#This Row],[BW_GA]])-1)/(Backend!$B$4/100*Table1[[#This Row],[BW40_3705]]),"")</f>
        <v/>
      </c>
      <c r="I1015" s="7" t="str">
        <f>IF(Table1[[#This Row],[Is Data Valid]]=TRUE,((Table1[[#This Row],[Birthweight (grams)]]*1.1/Table1[[#This Row],[BW_GA]])-1)/(Backend!$B$4/100*Table1[[#This Row],[BW40_3705]]),"")</f>
        <v/>
      </c>
      <c r="J1015" s="7" t="str">
        <f>IF(Table1[[#This Row],[Is Data Valid]]=TRUE,_xlfn.NORM.S.DIST(Table1[[#This Row],[Birthweight Z-Score]],TRUE)*100,"")</f>
        <v/>
      </c>
      <c r="K1015" s="7" t="str">
        <f>IF(Table1[[#This Row],[Is Data Valid]]=TRUE,_xlfn.NORM.S.DIST(Table1[[#This Row],[Birthweight Z-Score (BW-10%)]],TRUE)*100,"")</f>
        <v/>
      </c>
      <c r="L1015" s="7" t="str">
        <f>IF(Table1[[#This Row],[Is Data Valid]]=TRUE,_xlfn.NORM.S.DIST(Table1[[#This Row],[Birthweight Z-Score (BW+10%)]],TRUE)*100,"")</f>
        <v/>
      </c>
    </row>
    <row r="1016" spans="1:12" x14ac:dyDescent="0.35">
      <c r="A1016" s="3"/>
      <c r="B1016" s="2"/>
      <c r="C1016" s="2"/>
      <c r="D1016" s="2" t="b">
        <f>IF(AND(NOT(ISBLANK(Table1[[#This Row],[Fetal Sex (Male, Female or Unknown)]])),ISNUMBER(Table1[[#This Row],[Birthweight (grams)]]),ISNUMBER(Table1[[#This Row],[Gestation (days)]])),TRUE,FALSE)</f>
        <v>0</v>
      </c>
      <c r="E1016" s="2" t="str">
        <f>IF(Table1[[#This Row],[Is Data Valid]]=TRUE,IF(Table1[[#This Row],[Fetal Sex (Male, Female or Unknown)]]="Male",Backend!$C$6,IF(Table1[[#This Row],[Fetal Sex (Male, Female or Unknown)]]="Female",Backend!$C$7,IF(Table1[[#This Row],[Fetal Sex (Male, Female or Unknown)]]="Unknown",Backend!$C$8,"Error"))),"")</f>
        <v/>
      </c>
      <c r="F1016" s="8" t="str">
        <f>IF(Table1[[#This Row],[Is Data Valid]]=TRUE,EXP(0.578+0.332*((Table1[[#This Row],[Gestation (days)]]+0.5)/7)-0.00354*((Table1[[#This Row],[Gestation (days)]]+0.5)/7)^2)*Table1[[#This Row],[BW40_3705]],"")</f>
        <v/>
      </c>
      <c r="G1016" s="2" t="str">
        <f>IF(Table1[[#This Row],[Is Data Valid]]=TRUE,((Table1[[#This Row],[Birthweight (grams)]]/Table1[[#This Row],[BW_GA]])-1)/(Backend!$B$4/100*Table1[[#This Row],[BW40_3705]]),"")</f>
        <v/>
      </c>
      <c r="H1016" s="7" t="str">
        <f>IF(Table1[[#This Row],[Is Data Valid]]=TRUE,((Table1[[#This Row],[Birthweight (grams)]]*0.9/Table1[[#This Row],[BW_GA]])-1)/(Backend!$B$4/100*Table1[[#This Row],[BW40_3705]]),"")</f>
        <v/>
      </c>
      <c r="I1016" s="7" t="str">
        <f>IF(Table1[[#This Row],[Is Data Valid]]=TRUE,((Table1[[#This Row],[Birthweight (grams)]]*1.1/Table1[[#This Row],[BW_GA]])-1)/(Backend!$B$4/100*Table1[[#This Row],[BW40_3705]]),"")</f>
        <v/>
      </c>
      <c r="J1016" s="7" t="str">
        <f>IF(Table1[[#This Row],[Is Data Valid]]=TRUE,_xlfn.NORM.S.DIST(Table1[[#This Row],[Birthweight Z-Score]],TRUE)*100,"")</f>
        <v/>
      </c>
      <c r="K1016" s="7" t="str">
        <f>IF(Table1[[#This Row],[Is Data Valid]]=TRUE,_xlfn.NORM.S.DIST(Table1[[#This Row],[Birthweight Z-Score (BW-10%)]],TRUE)*100,"")</f>
        <v/>
      </c>
      <c r="L1016" s="7" t="str">
        <f>IF(Table1[[#This Row],[Is Data Valid]]=TRUE,_xlfn.NORM.S.DIST(Table1[[#This Row],[Birthweight Z-Score (BW+10%)]],TRUE)*100,"")</f>
        <v/>
      </c>
    </row>
    <row r="1017" spans="1:12" x14ac:dyDescent="0.35">
      <c r="A1017" s="3"/>
      <c r="B1017" s="2"/>
      <c r="C1017" s="2"/>
      <c r="D1017" s="2" t="b">
        <f>IF(AND(NOT(ISBLANK(Table1[[#This Row],[Fetal Sex (Male, Female or Unknown)]])),ISNUMBER(Table1[[#This Row],[Birthweight (grams)]]),ISNUMBER(Table1[[#This Row],[Gestation (days)]])),TRUE,FALSE)</f>
        <v>0</v>
      </c>
      <c r="E1017" s="2" t="str">
        <f>IF(Table1[[#This Row],[Is Data Valid]]=TRUE,IF(Table1[[#This Row],[Fetal Sex (Male, Female or Unknown)]]="Male",Backend!$C$6,IF(Table1[[#This Row],[Fetal Sex (Male, Female or Unknown)]]="Female",Backend!$C$7,IF(Table1[[#This Row],[Fetal Sex (Male, Female or Unknown)]]="Unknown",Backend!$C$8,"Error"))),"")</f>
        <v/>
      </c>
      <c r="F1017" s="8" t="str">
        <f>IF(Table1[[#This Row],[Is Data Valid]]=TRUE,EXP(0.578+0.332*((Table1[[#This Row],[Gestation (days)]]+0.5)/7)-0.00354*((Table1[[#This Row],[Gestation (days)]]+0.5)/7)^2)*Table1[[#This Row],[BW40_3705]],"")</f>
        <v/>
      </c>
      <c r="G1017" s="2" t="str">
        <f>IF(Table1[[#This Row],[Is Data Valid]]=TRUE,((Table1[[#This Row],[Birthweight (grams)]]/Table1[[#This Row],[BW_GA]])-1)/(Backend!$B$4/100*Table1[[#This Row],[BW40_3705]]),"")</f>
        <v/>
      </c>
      <c r="H1017" s="7" t="str">
        <f>IF(Table1[[#This Row],[Is Data Valid]]=TRUE,((Table1[[#This Row],[Birthweight (grams)]]*0.9/Table1[[#This Row],[BW_GA]])-1)/(Backend!$B$4/100*Table1[[#This Row],[BW40_3705]]),"")</f>
        <v/>
      </c>
      <c r="I1017" s="7" t="str">
        <f>IF(Table1[[#This Row],[Is Data Valid]]=TRUE,((Table1[[#This Row],[Birthweight (grams)]]*1.1/Table1[[#This Row],[BW_GA]])-1)/(Backend!$B$4/100*Table1[[#This Row],[BW40_3705]]),"")</f>
        <v/>
      </c>
      <c r="J1017" s="7" t="str">
        <f>IF(Table1[[#This Row],[Is Data Valid]]=TRUE,_xlfn.NORM.S.DIST(Table1[[#This Row],[Birthweight Z-Score]],TRUE)*100,"")</f>
        <v/>
      </c>
      <c r="K1017" s="7" t="str">
        <f>IF(Table1[[#This Row],[Is Data Valid]]=TRUE,_xlfn.NORM.S.DIST(Table1[[#This Row],[Birthweight Z-Score (BW-10%)]],TRUE)*100,"")</f>
        <v/>
      </c>
      <c r="L1017" s="7" t="str">
        <f>IF(Table1[[#This Row],[Is Data Valid]]=TRUE,_xlfn.NORM.S.DIST(Table1[[#This Row],[Birthweight Z-Score (BW+10%)]],TRUE)*100,"")</f>
        <v/>
      </c>
    </row>
    <row r="1018" spans="1:12" x14ac:dyDescent="0.35">
      <c r="A1018" s="3"/>
      <c r="B1018" s="2"/>
      <c r="C1018" s="2"/>
      <c r="D1018" s="2" t="b">
        <f>IF(AND(NOT(ISBLANK(Table1[[#This Row],[Fetal Sex (Male, Female or Unknown)]])),ISNUMBER(Table1[[#This Row],[Birthweight (grams)]]),ISNUMBER(Table1[[#This Row],[Gestation (days)]])),TRUE,FALSE)</f>
        <v>0</v>
      </c>
      <c r="E1018" s="2" t="str">
        <f>IF(Table1[[#This Row],[Is Data Valid]]=TRUE,IF(Table1[[#This Row],[Fetal Sex (Male, Female or Unknown)]]="Male",Backend!$C$6,IF(Table1[[#This Row],[Fetal Sex (Male, Female or Unknown)]]="Female",Backend!$C$7,IF(Table1[[#This Row],[Fetal Sex (Male, Female or Unknown)]]="Unknown",Backend!$C$8,"Error"))),"")</f>
        <v/>
      </c>
      <c r="F1018" s="8" t="str">
        <f>IF(Table1[[#This Row],[Is Data Valid]]=TRUE,EXP(0.578+0.332*((Table1[[#This Row],[Gestation (days)]]+0.5)/7)-0.00354*((Table1[[#This Row],[Gestation (days)]]+0.5)/7)^2)*Table1[[#This Row],[BW40_3705]],"")</f>
        <v/>
      </c>
      <c r="G1018" s="2" t="str">
        <f>IF(Table1[[#This Row],[Is Data Valid]]=TRUE,((Table1[[#This Row],[Birthweight (grams)]]/Table1[[#This Row],[BW_GA]])-1)/(Backend!$B$4/100*Table1[[#This Row],[BW40_3705]]),"")</f>
        <v/>
      </c>
      <c r="H1018" s="7" t="str">
        <f>IF(Table1[[#This Row],[Is Data Valid]]=TRUE,((Table1[[#This Row],[Birthweight (grams)]]*0.9/Table1[[#This Row],[BW_GA]])-1)/(Backend!$B$4/100*Table1[[#This Row],[BW40_3705]]),"")</f>
        <v/>
      </c>
      <c r="I1018" s="7" t="str">
        <f>IF(Table1[[#This Row],[Is Data Valid]]=TRUE,((Table1[[#This Row],[Birthweight (grams)]]*1.1/Table1[[#This Row],[BW_GA]])-1)/(Backend!$B$4/100*Table1[[#This Row],[BW40_3705]]),"")</f>
        <v/>
      </c>
      <c r="J1018" s="7" t="str">
        <f>IF(Table1[[#This Row],[Is Data Valid]]=TRUE,_xlfn.NORM.S.DIST(Table1[[#This Row],[Birthweight Z-Score]],TRUE)*100,"")</f>
        <v/>
      </c>
      <c r="K1018" s="7" t="str">
        <f>IF(Table1[[#This Row],[Is Data Valid]]=TRUE,_xlfn.NORM.S.DIST(Table1[[#This Row],[Birthweight Z-Score (BW-10%)]],TRUE)*100,"")</f>
        <v/>
      </c>
      <c r="L1018" s="7" t="str">
        <f>IF(Table1[[#This Row],[Is Data Valid]]=TRUE,_xlfn.NORM.S.DIST(Table1[[#This Row],[Birthweight Z-Score (BW+10%)]],TRUE)*100,"")</f>
        <v/>
      </c>
    </row>
    <row r="1019" spans="1:12" x14ac:dyDescent="0.35">
      <c r="A1019" s="3"/>
      <c r="B1019" s="2"/>
      <c r="C1019" s="2"/>
      <c r="D1019" s="2" t="b">
        <f>IF(AND(NOT(ISBLANK(Table1[[#This Row],[Fetal Sex (Male, Female or Unknown)]])),ISNUMBER(Table1[[#This Row],[Birthweight (grams)]]),ISNUMBER(Table1[[#This Row],[Gestation (days)]])),TRUE,FALSE)</f>
        <v>0</v>
      </c>
      <c r="E1019" s="2" t="str">
        <f>IF(Table1[[#This Row],[Is Data Valid]]=TRUE,IF(Table1[[#This Row],[Fetal Sex (Male, Female or Unknown)]]="Male",Backend!$C$6,IF(Table1[[#This Row],[Fetal Sex (Male, Female or Unknown)]]="Female",Backend!$C$7,IF(Table1[[#This Row],[Fetal Sex (Male, Female or Unknown)]]="Unknown",Backend!$C$8,"Error"))),"")</f>
        <v/>
      </c>
      <c r="F1019" s="8" t="str">
        <f>IF(Table1[[#This Row],[Is Data Valid]]=TRUE,EXP(0.578+0.332*((Table1[[#This Row],[Gestation (days)]]+0.5)/7)-0.00354*((Table1[[#This Row],[Gestation (days)]]+0.5)/7)^2)*Table1[[#This Row],[BW40_3705]],"")</f>
        <v/>
      </c>
      <c r="G1019" s="2" t="str">
        <f>IF(Table1[[#This Row],[Is Data Valid]]=TRUE,((Table1[[#This Row],[Birthweight (grams)]]/Table1[[#This Row],[BW_GA]])-1)/(Backend!$B$4/100*Table1[[#This Row],[BW40_3705]]),"")</f>
        <v/>
      </c>
      <c r="H1019" s="7" t="str">
        <f>IF(Table1[[#This Row],[Is Data Valid]]=TRUE,((Table1[[#This Row],[Birthweight (grams)]]*0.9/Table1[[#This Row],[BW_GA]])-1)/(Backend!$B$4/100*Table1[[#This Row],[BW40_3705]]),"")</f>
        <v/>
      </c>
      <c r="I1019" s="7" t="str">
        <f>IF(Table1[[#This Row],[Is Data Valid]]=TRUE,((Table1[[#This Row],[Birthweight (grams)]]*1.1/Table1[[#This Row],[BW_GA]])-1)/(Backend!$B$4/100*Table1[[#This Row],[BW40_3705]]),"")</f>
        <v/>
      </c>
      <c r="J1019" s="7" t="str">
        <f>IF(Table1[[#This Row],[Is Data Valid]]=TRUE,_xlfn.NORM.S.DIST(Table1[[#This Row],[Birthweight Z-Score]],TRUE)*100,"")</f>
        <v/>
      </c>
      <c r="K1019" s="7" t="str">
        <f>IF(Table1[[#This Row],[Is Data Valid]]=TRUE,_xlfn.NORM.S.DIST(Table1[[#This Row],[Birthweight Z-Score (BW-10%)]],TRUE)*100,"")</f>
        <v/>
      </c>
      <c r="L1019" s="7" t="str">
        <f>IF(Table1[[#This Row],[Is Data Valid]]=TRUE,_xlfn.NORM.S.DIST(Table1[[#This Row],[Birthweight Z-Score (BW+10%)]],TRUE)*100,"")</f>
        <v/>
      </c>
    </row>
    <row r="1020" spans="1:12" x14ac:dyDescent="0.35">
      <c r="A1020" s="3"/>
      <c r="B1020" s="2"/>
      <c r="C1020" s="2"/>
      <c r="D1020" s="2" t="b">
        <f>IF(AND(NOT(ISBLANK(Table1[[#This Row],[Fetal Sex (Male, Female or Unknown)]])),ISNUMBER(Table1[[#This Row],[Birthweight (grams)]]),ISNUMBER(Table1[[#This Row],[Gestation (days)]])),TRUE,FALSE)</f>
        <v>0</v>
      </c>
      <c r="E1020" s="2" t="str">
        <f>IF(Table1[[#This Row],[Is Data Valid]]=TRUE,IF(Table1[[#This Row],[Fetal Sex (Male, Female or Unknown)]]="Male",Backend!$C$6,IF(Table1[[#This Row],[Fetal Sex (Male, Female or Unknown)]]="Female",Backend!$C$7,IF(Table1[[#This Row],[Fetal Sex (Male, Female or Unknown)]]="Unknown",Backend!$C$8,"Error"))),"")</f>
        <v/>
      </c>
      <c r="F1020" s="8" t="str">
        <f>IF(Table1[[#This Row],[Is Data Valid]]=TRUE,EXP(0.578+0.332*((Table1[[#This Row],[Gestation (days)]]+0.5)/7)-0.00354*((Table1[[#This Row],[Gestation (days)]]+0.5)/7)^2)*Table1[[#This Row],[BW40_3705]],"")</f>
        <v/>
      </c>
      <c r="G1020" s="2" t="str">
        <f>IF(Table1[[#This Row],[Is Data Valid]]=TRUE,((Table1[[#This Row],[Birthweight (grams)]]/Table1[[#This Row],[BW_GA]])-1)/(Backend!$B$4/100*Table1[[#This Row],[BW40_3705]]),"")</f>
        <v/>
      </c>
      <c r="H1020" s="7" t="str">
        <f>IF(Table1[[#This Row],[Is Data Valid]]=TRUE,((Table1[[#This Row],[Birthweight (grams)]]*0.9/Table1[[#This Row],[BW_GA]])-1)/(Backend!$B$4/100*Table1[[#This Row],[BW40_3705]]),"")</f>
        <v/>
      </c>
      <c r="I1020" s="7" t="str">
        <f>IF(Table1[[#This Row],[Is Data Valid]]=TRUE,((Table1[[#This Row],[Birthweight (grams)]]*1.1/Table1[[#This Row],[BW_GA]])-1)/(Backend!$B$4/100*Table1[[#This Row],[BW40_3705]]),"")</f>
        <v/>
      </c>
      <c r="J1020" s="7" t="str">
        <f>IF(Table1[[#This Row],[Is Data Valid]]=TRUE,_xlfn.NORM.S.DIST(Table1[[#This Row],[Birthweight Z-Score]],TRUE)*100,"")</f>
        <v/>
      </c>
      <c r="K1020" s="7" t="str">
        <f>IF(Table1[[#This Row],[Is Data Valid]]=TRUE,_xlfn.NORM.S.DIST(Table1[[#This Row],[Birthweight Z-Score (BW-10%)]],TRUE)*100,"")</f>
        <v/>
      </c>
      <c r="L1020" s="7" t="str">
        <f>IF(Table1[[#This Row],[Is Data Valid]]=TRUE,_xlfn.NORM.S.DIST(Table1[[#This Row],[Birthweight Z-Score (BW+10%)]],TRUE)*100,"")</f>
        <v/>
      </c>
    </row>
    <row r="1021" spans="1:12" x14ac:dyDescent="0.35">
      <c r="A1021" s="3"/>
      <c r="B1021" s="2"/>
      <c r="C1021" s="2"/>
      <c r="D1021" s="2" t="b">
        <f>IF(AND(NOT(ISBLANK(Table1[[#This Row],[Fetal Sex (Male, Female or Unknown)]])),ISNUMBER(Table1[[#This Row],[Birthweight (grams)]]),ISNUMBER(Table1[[#This Row],[Gestation (days)]])),TRUE,FALSE)</f>
        <v>0</v>
      </c>
      <c r="E1021" s="2" t="str">
        <f>IF(Table1[[#This Row],[Is Data Valid]]=TRUE,IF(Table1[[#This Row],[Fetal Sex (Male, Female or Unknown)]]="Male",Backend!$C$6,IF(Table1[[#This Row],[Fetal Sex (Male, Female or Unknown)]]="Female",Backend!$C$7,IF(Table1[[#This Row],[Fetal Sex (Male, Female or Unknown)]]="Unknown",Backend!$C$8,"Error"))),"")</f>
        <v/>
      </c>
      <c r="F1021" s="8" t="str">
        <f>IF(Table1[[#This Row],[Is Data Valid]]=TRUE,EXP(0.578+0.332*((Table1[[#This Row],[Gestation (days)]]+0.5)/7)-0.00354*((Table1[[#This Row],[Gestation (days)]]+0.5)/7)^2)*Table1[[#This Row],[BW40_3705]],"")</f>
        <v/>
      </c>
      <c r="G1021" s="2" t="str">
        <f>IF(Table1[[#This Row],[Is Data Valid]]=TRUE,((Table1[[#This Row],[Birthweight (grams)]]/Table1[[#This Row],[BW_GA]])-1)/(Backend!$B$4/100*Table1[[#This Row],[BW40_3705]]),"")</f>
        <v/>
      </c>
      <c r="H1021" s="7" t="str">
        <f>IF(Table1[[#This Row],[Is Data Valid]]=TRUE,((Table1[[#This Row],[Birthweight (grams)]]*0.9/Table1[[#This Row],[BW_GA]])-1)/(Backend!$B$4/100*Table1[[#This Row],[BW40_3705]]),"")</f>
        <v/>
      </c>
      <c r="I1021" s="7" t="str">
        <f>IF(Table1[[#This Row],[Is Data Valid]]=TRUE,((Table1[[#This Row],[Birthweight (grams)]]*1.1/Table1[[#This Row],[BW_GA]])-1)/(Backend!$B$4/100*Table1[[#This Row],[BW40_3705]]),"")</f>
        <v/>
      </c>
      <c r="J1021" s="7" t="str">
        <f>IF(Table1[[#This Row],[Is Data Valid]]=TRUE,_xlfn.NORM.S.DIST(Table1[[#This Row],[Birthweight Z-Score]],TRUE)*100,"")</f>
        <v/>
      </c>
      <c r="K1021" s="7" t="str">
        <f>IF(Table1[[#This Row],[Is Data Valid]]=TRUE,_xlfn.NORM.S.DIST(Table1[[#This Row],[Birthweight Z-Score (BW-10%)]],TRUE)*100,"")</f>
        <v/>
      </c>
      <c r="L1021" s="7" t="str">
        <f>IF(Table1[[#This Row],[Is Data Valid]]=TRUE,_xlfn.NORM.S.DIST(Table1[[#This Row],[Birthweight Z-Score (BW+10%)]],TRUE)*100,"")</f>
        <v/>
      </c>
    </row>
    <row r="1022" spans="1:12" x14ac:dyDescent="0.35">
      <c r="A1022" s="3"/>
      <c r="B1022" s="2"/>
      <c r="C1022" s="2"/>
      <c r="D1022" s="2" t="b">
        <f>IF(AND(NOT(ISBLANK(Table1[[#This Row],[Fetal Sex (Male, Female or Unknown)]])),ISNUMBER(Table1[[#This Row],[Birthweight (grams)]]),ISNUMBER(Table1[[#This Row],[Gestation (days)]])),TRUE,FALSE)</f>
        <v>0</v>
      </c>
      <c r="E1022" s="2" t="str">
        <f>IF(Table1[[#This Row],[Is Data Valid]]=TRUE,IF(Table1[[#This Row],[Fetal Sex (Male, Female or Unknown)]]="Male",Backend!$C$6,IF(Table1[[#This Row],[Fetal Sex (Male, Female or Unknown)]]="Female",Backend!$C$7,IF(Table1[[#This Row],[Fetal Sex (Male, Female or Unknown)]]="Unknown",Backend!$C$8,"Error"))),"")</f>
        <v/>
      </c>
      <c r="F1022" s="8" t="str">
        <f>IF(Table1[[#This Row],[Is Data Valid]]=TRUE,EXP(0.578+0.332*((Table1[[#This Row],[Gestation (days)]]+0.5)/7)-0.00354*((Table1[[#This Row],[Gestation (days)]]+0.5)/7)^2)*Table1[[#This Row],[BW40_3705]],"")</f>
        <v/>
      </c>
      <c r="G1022" s="2" t="str">
        <f>IF(Table1[[#This Row],[Is Data Valid]]=TRUE,((Table1[[#This Row],[Birthweight (grams)]]/Table1[[#This Row],[BW_GA]])-1)/(Backend!$B$4/100*Table1[[#This Row],[BW40_3705]]),"")</f>
        <v/>
      </c>
      <c r="H1022" s="7" t="str">
        <f>IF(Table1[[#This Row],[Is Data Valid]]=TRUE,((Table1[[#This Row],[Birthweight (grams)]]*0.9/Table1[[#This Row],[BW_GA]])-1)/(Backend!$B$4/100*Table1[[#This Row],[BW40_3705]]),"")</f>
        <v/>
      </c>
      <c r="I1022" s="7" t="str">
        <f>IF(Table1[[#This Row],[Is Data Valid]]=TRUE,((Table1[[#This Row],[Birthweight (grams)]]*1.1/Table1[[#This Row],[BW_GA]])-1)/(Backend!$B$4/100*Table1[[#This Row],[BW40_3705]]),"")</f>
        <v/>
      </c>
      <c r="J1022" s="7" t="str">
        <f>IF(Table1[[#This Row],[Is Data Valid]]=TRUE,_xlfn.NORM.S.DIST(Table1[[#This Row],[Birthweight Z-Score]],TRUE)*100,"")</f>
        <v/>
      </c>
      <c r="K1022" s="7" t="str">
        <f>IF(Table1[[#This Row],[Is Data Valid]]=TRUE,_xlfn.NORM.S.DIST(Table1[[#This Row],[Birthweight Z-Score (BW-10%)]],TRUE)*100,"")</f>
        <v/>
      </c>
      <c r="L1022" s="7" t="str">
        <f>IF(Table1[[#This Row],[Is Data Valid]]=TRUE,_xlfn.NORM.S.DIST(Table1[[#This Row],[Birthweight Z-Score (BW+10%)]],TRUE)*100,"")</f>
        <v/>
      </c>
    </row>
    <row r="1023" spans="1:12" x14ac:dyDescent="0.35">
      <c r="A1023" s="3"/>
      <c r="B1023" s="2"/>
      <c r="C1023" s="2"/>
      <c r="D1023" s="2" t="b">
        <f>IF(AND(NOT(ISBLANK(Table1[[#This Row],[Fetal Sex (Male, Female or Unknown)]])),ISNUMBER(Table1[[#This Row],[Birthweight (grams)]]),ISNUMBER(Table1[[#This Row],[Gestation (days)]])),TRUE,FALSE)</f>
        <v>0</v>
      </c>
      <c r="E1023" s="2" t="str">
        <f>IF(Table1[[#This Row],[Is Data Valid]]=TRUE,IF(Table1[[#This Row],[Fetal Sex (Male, Female or Unknown)]]="Male",Backend!$C$6,IF(Table1[[#This Row],[Fetal Sex (Male, Female or Unknown)]]="Female",Backend!$C$7,IF(Table1[[#This Row],[Fetal Sex (Male, Female or Unknown)]]="Unknown",Backend!$C$8,"Error"))),"")</f>
        <v/>
      </c>
      <c r="F1023" s="8" t="str">
        <f>IF(Table1[[#This Row],[Is Data Valid]]=TRUE,EXP(0.578+0.332*((Table1[[#This Row],[Gestation (days)]]+0.5)/7)-0.00354*((Table1[[#This Row],[Gestation (days)]]+0.5)/7)^2)*Table1[[#This Row],[BW40_3705]],"")</f>
        <v/>
      </c>
      <c r="G1023" s="2" t="str">
        <f>IF(Table1[[#This Row],[Is Data Valid]]=TRUE,((Table1[[#This Row],[Birthweight (grams)]]/Table1[[#This Row],[BW_GA]])-1)/(Backend!$B$4/100*Table1[[#This Row],[BW40_3705]]),"")</f>
        <v/>
      </c>
      <c r="H1023" s="7" t="str">
        <f>IF(Table1[[#This Row],[Is Data Valid]]=TRUE,((Table1[[#This Row],[Birthweight (grams)]]*0.9/Table1[[#This Row],[BW_GA]])-1)/(Backend!$B$4/100*Table1[[#This Row],[BW40_3705]]),"")</f>
        <v/>
      </c>
      <c r="I1023" s="7" t="str">
        <f>IF(Table1[[#This Row],[Is Data Valid]]=TRUE,((Table1[[#This Row],[Birthweight (grams)]]*1.1/Table1[[#This Row],[BW_GA]])-1)/(Backend!$B$4/100*Table1[[#This Row],[BW40_3705]]),"")</f>
        <v/>
      </c>
      <c r="J1023" s="7" t="str">
        <f>IF(Table1[[#This Row],[Is Data Valid]]=TRUE,_xlfn.NORM.S.DIST(Table1[[#This Row],[Birthweight Z-Score]],TRUE)*100,"")</f>
        <v/>
      </c>
      <c r="K1023" s="7" t="str">
        <f>IF(Table1[[#This Row],[Is Data Valid]]=TRUE,_xlfn.NORM.S.DIST(Table1[[#This Row],[Birthweight Z-Score (BW-10%)]],TRUE)*100,"")</f>
        <v/>
      </c>
      <c r="L1023" s="7" t="str">
        <f>IF(Table1[[#This Row],[Is Data Valid]]=TRUE,_xlfn.NORM.S.DIST(Table1[[#This Row],[Birthweight Z-Score (BW+10%)]],TRUE)*100,"")</f>
        <v/>
      </c>
    </row>
    <row r="1024" spans="1:12" x14ac:dyDescent="0.35">
      <c r="A1024" s="3"/>
      <c r="B1024" s="2"/>
      <c r="C1024" s="2"/>
      <c r="D1024" s="2" t="b">
        <f>IF(AND(NOT(ISBLANK(Table1[[#This Row],[Fetal Sex (Male, Female or Unknown)]])),ISNUMBER(Table1[[#This Row],[Birthweight (grams)]]),ISNUMBER(Table1[[#This Row],[Gestation (days)]])),TRUE,FALSE)</f>
        <v>0</v>
      </c>
      <c r="E1024" s="2" t="str">
        <f>IF(Table1[[#This Row],[Is Data Valid]]=TRUE,IF(Table1[[#This Row],[Fetal Sex (Male, Female or Unknown)]]="Male",Backend!$C$6,IF(Table1[[#This Row],[Fetal Sex (Male, Female or Unknown)]]="Female",Backend!$C$7,IF(Table1[[#This Row],[Fetal Sex (Male, Female or Unknown)]]="Unknown",Backend!$C$8,"Error"))),"")</f>
        <v/>
      </c>
      <c r="F1024" s="8" t="str">
        <f>IF(Table1[[#This Row],[Is Data Valid]]=TRUE,EXP(0.578+0.332*((Table1[[#This Row],[Gestation (days)]]+0.5)/7)-0.00354*((Table1[[#This Row],[Gestation (days)]]+0.5)/7)^2)*Table1[[#This Row],[BW40_3705]],"")</f>
        <v/>
      </c>
      <c r="G1024" s="2" t="str">
        <f>IF(Table1[[#This Row],[Is Data Valid]]=TRUE,((Table1[[#This Row],[Birthweight (grams)]]/Table1[[#This Row],[BW_GA]])-1)/(Backend!$B$4/100*Table1[[#This Row],[BW40_3705]]),"")</f>
        <v/>
      </c>
      <c r="H1024" s="7" t="str">
        <f>IF(Table1[[#This Row],[Is Data Valid]]=TRUE,((Table1[[#This Row],[Birthweight (grams)]]*0.9/Table1[[#This Row],[BW_GA]])-1)/(Backend!$B$4/100*Table1[[#This Row],[BW40_3705]]),"")</f>
        <v/>
      </c>
      <c r="I1024" s="7" t="str">
        <f>IF(Table1[[#This Row],[Is Data Valid]]=TRUE,((Table1[[#This Row],[Birthweight (grams)]]*1.1/Table1[[#This Row],[BW_GA]])-1)/(Backend!$B$4/100*Table1[[#This Row],[BW40_3705]]),"")</f>
        <v/>
      </c>
      <c r="J1024" s="7" t="str">
        <f>IF(Table1[[#This Row],[Is Data Valid]]=TRUE,_xlfn.NORM.S.DIST(Table1[[#This Row],[Birthweight Z-Score]],TRUE)*100,"")</f>
        <v/>
      </c>
      <c r="K1024" s="7" t="str">
        <f>IF(Table1[[#This Row],[Is Data Valid]]=TRUE,_xlfn.NORM.S.DIST(Table1[[#This Row],[Birthweight Z-Score (BW-10%)]],TRUE)*100,"")</f>
        <v/>
      </c>
      <c r="L1024" s="7" t="str">
        <f>IF(Table1[[#This Row],[Is Data Valid]]=TRUE,_xlfn.NORM.S.DIST(Table1[[#This Row],[Birthweight Z-Score (BW+10%)]],TRUE)*100,"")</f>
        <v/>
      </c>
    </row>
    <row r="1025" spans="1:12" x14ac:dyDescent="0.35">
      <c r="A1025" s="3"/>
      <c r="B1025" s="2"/>
      <c r="C1025" s="2"/>
      <c r="D1025" s="2" t="b">
        <f>IF(AND(NOT(ISBLANK(Table1[[#This Row],[Fetal Sex (Male, Female or Unknown)]])),ISNUMBER(Table1[[#This Row],[Birthweight (grams)]]),ISNUMBER(Table1[[#This Row],[Gestation (days)]])),TRUE,FALSE)</f>
        <v>0</v>
      </c>
      <c r="E1025" s="2" t="str">
        <f>IF(Table1[[#This Row],[Is Data Valid]]=TRUE,IF(Table1[[#This Row],[Fetal Sex (Male, Female or Unknown)]]="Male",Backend!$C$6,IF(Table1[[#This Row],[Fetal Sex (Male, Female or Unknown)]]="Female",Backend!$C$7,IF(Table1[[#This Row],[Fetal Sex (Male, Female or Unknown)]]="Unknown",Backend!$C$8,"Error"))),"")</f>
        <v/>
      </c>
      <c r="F1025" s="8" t="str">
        <f>IF(Table1[[#This Row],[Is Data Valid]]=TRUE,EXP(0.578+0.332*((Table1[[#This Row],[Gestation (days)]]+0.5)/7)-0.00354*((Table1[[#This Row],[Gestation (days)]]+0.5)/7)^2)*Table1[[#This Row],[BW40_3705]],"")</f>
        <v/>
      </c>
      <c r="G1025" s="2" t="str">
        <f>IF(Table1[[#This Row],[Is Data Valid]]=TRUE,((Table1[[#This Row],[Birthweight (grams)]]/Table1[[#This Row],[BW_GA]])-1)/(Backend!$B$4/100*Table1[[#This Row],[BW40_3705]]),"")</f>
        <v/>
      </c>
      <c r="H1025" s="7" t="str">
        <f>IF(Table1[[#This Row],[Is Data Valid]]=TRUE,((Table1[[#This Row],[Birthweight (grams)]]*0.9/Table1[[#This Row],[BW_GA]])-1)/(Backend!$B$4/100*Table1[[#This Row],[BW40_3705]]),"")</f>
        <v/>
      </c>
      <c r="I1025" s="7" t="str">
        <f>IF(Table1[[#This Row],[Is Data Valid]]=TRUE,((Table1[[#This Row],[Birthweight (grams)]]*1.1/Table1[[#This Row],[BW_GA]])-1)/(Backend!$B$4/100*Table1[[#This Row],[BW40_3705]]),"")</f>
        <v/>
      </c>
      <c r="J1025" s="7" t="str">
        <f>IF(Table1[[#This Row],[Is Data Valid]]=TRUE,_xlfn.NORM.S.DIST(Table1[[#This Row],[Birthweight Z-Score]],TRUE)*100,"")</f>
        <v/>
      </c>
      <c r="K1025" s="7" t="str">
        <f>IF(Table1[[#This Row],[Is Data Valid]]=TRUE,_xlfn.NORM.S.DIST(Table1[[#This Row],[Birthweight Z-Score (BW-10%)]],TRUE)*100,"")</f>
        <v/>
      </c>
      <c r="L1025" s="7" t="str">
        <f>IF(Table1[[#This Row],[Is Data Valid]]=TRUE,_xlfn.NORM.S.DIST(Table1[[#This Row],[Birthweight Z-Score (BW+10%)]],TRUE)*100,"")</f>
        <v/>
      </c>
    </row>
    <row r="1026" spans="1:12" x14ac:dyDescent="0.35">
      <c r="A1026" s="3"/>
      <c r="B1026" s="2"/>
      <c r="C1026" s="2"/>
      <c r="D1026" s="2" t="b">
        <f>IF(AND(NOT(ISBLANK(Table1[[#This Row],[Fetal Sex (Male, Female or Unknown)]])),ISNUMBER(Table1[[#This Row],[Birthweight (grams)]]),ISNUMBER(Table1[[#This Row],[Gestation (days)]])),TRUE,FALSE)</f>
        <v>0</v>
      </c>
      <c r="E1026" s="2" t="str">
        <f>IF(Table1[[#This Row],[Is Data Valid]]=TRUE,IF(Table1[[#This Row],[Fetal Sex (Male, Female or Unknown)]]="Male",Backend!$C$6,IF(Table1[[#This Row],[Fetal Sex (Male, Female or Unknown)]]="Female",Backend!$C$7,IF(Table1[[#This Row],[Fetal Sex (Male, Female or Unknown)]]="Unknown",Backend!$C$8,"Error"))),"")</f>
        <v/>
      </c>
      <c r="F1026" s="8" t="str">
        <f>IF(Table1[[#This Row],[Is Data Valid]]=TRUE,EXP(0.578+0.332*((Table1[[#This Row],[Gestation (days)]]+0.5)/7)-0.00354*((Table1[[#This Row],[Gestation (days)]]+0.5)/7)^2)*Table1[[#This Row],[BW40_3705]],"")</f>
        <v/>
      </c>
      <c r="G1026" s="2" t="str">
        <f>IF(Table1[[#This Row],[Is Data Valid]]=TRUE,((Table1[[#This Row],[Birthweight (grams)]]/Table1[[#This Row],[BW_GA]])-1)/(Backend!$B$4/100*Table1[[#This Row],[BW40_3705]]),"")</f>
        <v/>
      </c>
      <c r="H1026" s="7" t="str">
        <f>IF(Table1[[#This Row],[Is Data Valid]]=TRUE,((Table1[[#This Row],[Birthweight (grams)]]*0.9/Table1[[#This Row],[BW_GA]])-1)/(Backend!$B$4/100*Table1[[#This Row],[BW40_3705]]),"")</f>
        <v/>
      </c>
      <c r="I1026" s="7" t="str">
        <f>IF(Table1[[#This Row],[Is Data Valid]]=TRUE,((Table1[[#This Row],[Birthweight (grams)]]*1.1/Table1[[#This Row],[BW_GA]])-1)/(Backend!$B$4/100*Table1[[#This Row],[BW40_3705]]),"")</f>
        <v/>
      </c>
      <c r="J1026" s="7" t="str">
        <f>IF(Table1[[#This Row],[Is Data Valid]]=TRUE,_xlfn.NORM.S.DIST(Table1[[#This Row],[Birthweight Z-Score]],TRUE)*100,"")</f>
        <v/>
      </c>
      <c r="K1026" s="7" t="str">
        <f>IF(Table1[[#This Row],[Is Data Valid]]=TRUE,_xlfn.NORM.S.DIST(Table1[[#This Row],[Birthweight Z-Score (BW-10%)]],TRUE)*100,"")</f>
        <v/>
      </c>
      <c r="L1026" s="7" t="str">
        <f>IF(Table1[[#This Row],[Is Data Valid]]=TRUE,_xlfn.NORM.S.DIST(Table1[[#This Row],[Birthweight Z-Score (BW+10%)]],TRUE)*100,"")</f>
        <v/>
      </c>
    </row>
    <row r="1027" spans="1:12" x14ac:dyDescent="0.35">
      <c r="A1027" s="3"/>
      <c r="B1027" s="2"/>
      <c r="C1027" s="2"/>
      <c r="D1027" s="2" t="b">
        <f>IF(AND(NOT(ISBLANK(Table1[[#This Row],[Fetal Sex (Male, Female or Unknown)]])),ISNUMBER(Table1[[#This Row],[Birthweight (grams)]]),ISNUMBER(Table1[[#This Row],[Gestation (days)]])),TRUE,FALSE)</f>
        <v>0</v>
      </c>
      <c r="E1027" s="2" t="str">
        <f>IF(Table1[[#This Row],[Is Data Valid]]=TRUE,IF(Table1[[#This Row],[Fetal Sex (Male, Female or Unknown)]]="Male",Backend!$C$6,IF(Table1[[#This Row],[Fetal Sex (Male, Female or Unknown)]]="Female",Backend!$C$7,IF(Table1[[#This Row],[Fetal Sex (Male, Female or Unknown)]]="Unknown",Backend!$C$8,"Error"))),"")</f>
        <v/>
      </c>
      <c r="F1027" s="8" t="str">
        <f>IF(Table1[[#This Row],[Is Data Valid]]=TRUE,EXP(0.578+0.332*((Table1[[#This Row],[Gestation (days)]]+0.5)/7)-0.00354*((Table1[[#This Row],[Gestation (days)]]+0.5)/7)^2)*Table1[[#This Row],[BW40_3705]],"")</f>
        <v/>
      </c>
      <c r="G1027" s="2" t="str">
        <f>IF(Table1[[#This Row],[Is Data Valid]]=TRUE,((Table1[[#This Row],[Birthweight (grams)]]/Table1[[#This Row],[BW_GA]])-1)/(Backend!$B$4/100*Table1[[#This Row],[BW40_3705]]),"")</f>
        <v/>
      </c>
      <c r="H1027" s="7" t="str">
        <f>IF(Table1[[#This Row],[Is Data Valid]]=TRUE,((Table1[[#This Row],[Birthweight (grams)]]*0.9/Table1[[#This Row],[BW_GA]])-1)/(Backend!$B$4/100*Table1[[#This Row],[BW40_3705]]),"")</f>
        <v/>
      </c>
      <c r="I1027" s="7" t="str">
        <f>IF(Table1[[#This Row],[Is Data Valid]]=TRUE,((Table1[[#This Row],[Birthweight (grams)]]*1.1/Table1[[#This Row],[BW_GA]])-1)/(Backend!$B$4/100*Table1[[#This Row],[BW40_3705]]),"")</f>
        <v/>
      </c>
      <c r="J1027" s="7" t="str">
        <f>IF(Table1[[#This Row],[Is Data Valid]]=TRUE,_xlfn.NORM.S.DIST(Table1[[#This Row],[Birthweight Z-Score]],TRUE)*100,"")</f>
        <v/>
      </c>
      <c r="K1027" s="7" t="str">
        <f>IF(Table1[[#This Row],[Is Data Valid]]=TRUE,_xlfn.NORM.S.DIST(Table1[[#This Row],[Birthweight Z-Score (BW-10%)]],TRUE)*100,"")</f>
        <v/>
      </c>
      <c r="L1027" s="7" t="str">
        <f>IF(Table1[[#This Row],[Is Data Valid]]=TRUE,_xlfn.NORM.S.DIST(Table1[[#This Row],[Birthweight Z-Score (BW+10%)]],TRUE)*100,"")</f>
        <v/>
      </c>
    </row>
    <row r="1028" spans="1:12" x14ac:dyDescent="0.35">
      <c r="A1028" s="3"/>
      <c r="B1028" s="2"/>
      <c r="C1028" s="2"/>
      <c r="D1028" s="2" t="b">
        <f>IF(AND(NOT(ISBLANK(Table1[[#This Row],[Fetal Sex (Male, Female or Unknown)]])),ISNUMBER(Table1[[#This Row],[Birthweight (grams)]]),ISNUMBER(Table1[[#This Row],[Gestation (days)]])),TRUE,FALSE)</f>
        <v>0</v>
      </c>
      <c r="E1028" s="2" t="str">
        <f>IF(Table1[[#This Row],[Is Data Valid]]=TRUE,IF(Table1[[#This Row],[Fetal Sex (Male, Female or Unknown)]]="Male",Backend!$C$6,IF(Table1[[#This Row],[Fetal Sex (Male, Female or Unknown)]]="Female",Backend!$C$7,IF(Table1[[#This Row],[Fetal Sex (Male, Female or Unknown)]]="Unknown",Backend!$C$8,"Error"))),"")</f>
        <v/>
      </c>
      <c r="F1028" s="8" t="str">
        <f>IF(Table1[[#This Row],[Is Data Valid]]=TRUE,EXP(0.578+0.332*((Table1[[#This Row],[Gestation (days)]]+0.5)/7)-0.00354*((Table1[[#This Row],[Gestation (days)]]+0.5)/7)^2)*Table1[[#This Row],[BW40_3705]],"")</f>
        <v/>
      </c>
      <c r="G1028" s="2" t="str">
        <f>IF(Table1[[#This Row],[Is Data Valid]]=TRUE,((Table1[[#This Row],[Birthweight (grams)]]/Table1[[#This Row],[BW_GA]])-1)/(Backend!$B$4/100*Table1[[#This Row],[BW40_3705]]),"")</f>
        <v/>
      </c>
      <c r="H1028" s="7" t="str">
        <f>IF(Table1[[#This Row],[Is Data Valid]]=TRUE,((Table1[[#This Row],[Birthweight (grams)]]*0.9/Table1[[#This Row],[BW_GA]])-1)/(Backend!$B$4/100*Table1[[#This Row],[BW40_3705]]),"")</f>
        <v/>
      </c>
      <c r="I1028" s="7" t="str">
        <f>IF(Table1[[#This Row],[Is Data Valid]]=TRUE,((Table1[[#This Row],[Birthweight (grams)]]*1.1/Table1[[#This Row],[BW_GA]])-1)/(Backend!$B$4/100*Table1[[#This Row],[BW40_3705]]),"")</f>
        <v/>
      </c>
      <c r="J1028" s="7" t="str">
        <f>IF(Table1[[#This Row],[Is Data Valid]]=TRUE,_xlfn.NORM.S.DIST(Table1[[#This Row],[Birthweight Z-Score]],TRUE)*100,"")</f>
        <v/>
      </c>
      <c r="K1028" s="7" t="str">
        <f>IF(Table1[[#This Row],[Is Data Valid]]=TRUE,_xlfn.NORM.S.DIST(Table1[[#This Row],[Birthweight Z-Score (BW-10%)]],TRUE)*100,"")</f>
        <v/>
      </c>
      <c r="L1028" s="7" t="str">
        <f>IF(Table1[[#This Row],[Is Data Valid]]=TRUE,_xlfn.NORM.S.DIST(Table1[[#This Row],[Birthweight Z-Score (BW+10%)]],TRUE)*100,"")</f>
        <v/>
      </c>
    </row>
    <row r="1029" spans="1:12" x14ac:dyDescent="0.35">
      <c r="A1029" s="3"/>
      <c r="B1029" s="2"/>
      <c r="C1029" s="2"/>
      <c r="D1029" s="2" t="b">
        <f>IF(AND(NOT(ISBLANK(Table1[[#This Row],[Fetal Sex (Male, Female or Unknown)]])),ISNUMBER(Table1[[#This Row],[Birthweight (grams)]]),ISNUMBER(Table1[[#This Row],[Gestation (days)]])),TRUE,FALSE)</f>
        <v>0</v>
      </c>
      <c r="E1029" s="2" t="str">
        <f>IF(Table1[[#This Row],[Is Data Valid]]=TRUE,IF(Table1[[#This Row],[Fetal Sex (Male, Female or Unknown)]]="Male",Backend!$C$6,IF(Table1[[#This Row],[Fetal Sex (Male, Female or Unknown)]]="Female",Backend!$C$7,IF(Table1[[#This Row],[Fetal Sex (Male, Female or Unknown)]]="Unknown",Backend!$C$8,"Error"))),"")</f>
        <v/>
      </c>
      <c r="F1029" s="8" t="str">
        <f>IF(Table1[[#This Row],[Is Data Valid]]=TRUE,EXP(0.578+0.332*((Table1[[#This Row],[Gestation (days)]]+0.5)/7)-0.00354*((Table1[[#This Row],[Gestation (days)]]+0.5)/7)^2)*Table1[[#This Row],[BW40_3705]],"")</f>
        <v/>
      </c>
      <c r="G1029" s="2" t="str">
        <f>IF(Table1[[#This Row],[Is Data Valid]]=TRUE,((Table1[[#This Row],[Birthweight (grams)]]/Table1[[#This Row],[BW_GA]])-1)/(Backend!$B$4/100*Table1[[#This Row],[BW40_3705]]),"")</f>
        <v/>
      </c>
      <c r="H1029" s="7" t="str">
        <f>IF(Table1[[#This Row],[Is Data Valid]]=TRUE,((Table1[[#This Row],[Birthweight (grams)]]*0.9/Table1[[#This Row],[BW_GA]])-1)/(Backend!$B$4/100*Table1[[#This Row],[BW40_3705]]),"")</f>
        <v/>
      </c>
      <c r="I1029" s="7" t="str">
        <f>IF(Table1[[#This Row],[Is Data Valid]]=TRUE,((Table1[[#This Row],[Birthweight (grams)]]*1.1/Table1[[#This Row],[BW_GA]])-1)/(Backend!$B$4/100*Table1[[#This Row],[BW40_3705]]),"")</f>
        <v/>
      </c>
      <c r="J1029" s="7" t="str">
        <f>IF(Table1[[#This Row],[Is Data Valid]]=TRUE,_xlfn.NORM.S.DIST(Table1[[#This Row],[Birthweight Z-Score]],TRUE)*100,"")</f>
        <v/>
      </c>
      <c r="K1029" s="7" t="str">
        <f>IF(Table1[[#This Row],[Is Data Valid]]=TRUE,_xlfn.NORM.S.DIST(Table1[[#This Row],[Birthweight Z-Score (BW-10%)]],TRUE)*100,"")</f>
        <v/>
      </c>
      <c r="L1029" s="7" t="str">
        <f>IF(Table1[[#This Row],[Is Data Valid]]=TRUE,_xlfn.NORM.S.DIST(Table1[[#This Row],[Birthweight Z-Score (BW+10%)]],TRUE)*100,"")</f>
        <v/>
      </c>
    </row>
    <row r="1030" spans="1:12" x14ac:dyDescent="0.35">
      <c r="A1030" s="3"/>
      <c r="B1030" s="2"/>
      <c r="C1030" s="2"/>
      <c r="D1030" s="2" t="b">
        <f>IF(AND(NOT(ISBLANK(Table1[[#This Row],[Fetal Sex (Male, Female or Unknown)]])),ISNUMBER(Table1[[#This Row],[Birthweight (grams)]]),ISNUMBER(Table1[[#This Row],[Gestation (days)]])),TRUE,FALSE)</f>
        <v>0</v>
      </c>
      <c r="E1030" s="2" t="str">
        <f>IF(Table1[[#This Row],[Is Data Valid]]=TRUE,IF(Table1[[#This Row],[Fetal Sex (Male, Female or Unknown)]]="Male",Backend!$C$6,IF(Table1[[#This Row],[Fetal Sex (Male, Female or Unknown)]]="Female",Backend!$C$7,IF(Table1[[#This Row],[Fetal Sex (Male, Female or Unknown)]]="Unknown",Backend!$C$8,"Error"))),"")</f>
        <v/>
      </c>
      <c r="F1030" s="8" t="str">
        <f>IF(Table1[[#This Row],[Is Data Valid]]=TRUE,EXP(0.578+0.332*((Table1[[#This Row],[Gestation (days)]]+0.5)/7)-0.00354*((Table1[[#This Row],[Gestation (days)]]+0.5)/7)^2)*Table1[[#This Row],[BW40_3705]],"")</f>
        <v/>
      </c>
      <c r="G1030" s="2" t="str">
        <f>IF(Table1[[#This Row],[Is Data Valid]]=TRUE,((Table1[[#This Row],[Birthweight (grams)]]/Table1[[#This Row],[BW_GA]])-1)/(Backend!$B$4/100*Table1[[#This Row],[BW40_3705]]),"")</f>
        <v/>
      </c>
      <c r="H1030" s="7" t="str">
        <f>IF(Table1[[#This Row],[Is Data Valid]]=TRUE,((Table1[[#This Row],[Birthweight (grams)]]*0.9/Table1[[#This Row],[BW_GA]])-1)/(Backend!$B$4/100*Table1[[#This Row],[BW40_3705]]),"")</f>
        <v/>
      </c>
      <c r="I1030" s="7" t="str">
        <f>IF(Table1[[#This Row],[Is Data Valid]]=TRUE,((Table1[[#This Row],[Birthweight (grams)]]*1.1/Table1[[#This Row],[BW_GA]])-1)/(Backend!$B$4/100*Table1[[#This Row],[BW40_3705]]),"")</f>
        <v/>
      </c>
      <c r="J1030" s="7" t="str">
        <f>IF(Table1[[#This Row],[Is Data Valid]]=TRUE,_xlfn.NORM.S.DIST(Table1[[#This Row],[Birthweight Z-Score]],TRUE)*100,"")</f>
        <v/>
      </c>
      <c r="K1030" s="7" t="str">
        <f>IF(Table1[[#This Row],[Is Data Valid]]=TRUE,_xlfn.NORM.S.DIST(Table1[[#This Row],[Birthweight Z-Score (BW-10%)]],TRUE)*100,"")</f>
        <v/>
      </c>
      <c r="L1030" s="7" t="str">
        <f>IF(Table1[[#This Row],[Is Data Valid]]=TRUE,_xlfn.NORM.S.DIST(Table1[[#This Row],[Birthweight Z-Score (BW+10%)]],TRUE)*100,"")</f>
        <v/>
      </c>
    </row>
    <row r="1031" spans="1:12" x14ac:dyDescent="0.35">
      <c r="A1031" s="3"/>
      <c r="B1031" s="2"/>
      <c r="C1031" s="2"/>
      <c r="D1031" s="2" t="b">
        <f>IF(AND(NOT(ISBLANK(Table1[[#This Row],[Fetal Sex (Male, Female or Unknown)]])),ISNUMBER(Table1[[#This Row],[Birthweight (grams)]]),ISNUMBER(Table1[[#This Row],[Gestation (days)]])),TRUE,FALSE)</f>
        <v>0</v>
      </c>
      <c r="E1031" s="2" t="str">
        <f>IF(Table1[[#This Row],[Is Data Valid]]=TRUE,IF(Table1[[#This Row],[Fetal Sex (Male, Female or Unknown)]]="Male",Backend!$C$6,IF(Table1[[#This Row],[Fetal Sex (Male, Female or Unknown)]]="Female",Backend!$C$7,IF(Table1[[#This Row],[Fetal Sex (Male, Female or Unknown)]]="Unknown",Backend!$C$8,"Error"))),"")</f>
        <v/>
      </c>
      <c r="F1031" s="8" t="str">
        <f>IF(Table1[[#This Row],[Is Data Valid]]=TRUE,EXP(0.578+0.332*((Table1[[#This Row],[Gestation (days)]]+0.5)/7)-0.00354*((Table1[[#This Row],[Gestation (days)]]+0.5)/7)^2)*Table1[[#This Row],[BW40_3705]],"")</f>
        <v/>
      </c>
      <c r="G1031" s="2" t="str">
        <f>IF(Table1[[#This Row],[Is Data Valid]]=TRUE,((Table1[[#This Row],[Birthweight (grams)]]/Table1[[#This Row],[BW_GA]])-1)/(Backend!$B$4/100*Table1[[#This Row],[BW40_3705]]),"")</f>
        <v/>
      </c>
      <c r="H1031" s="7" t="str">
        <f>IF(Table1[[#This Row],[Is Data Valid]]=TRUE,((Table1[[#This Row],[Birthweight (grams)]]*0.9/Table1[[#This Row],[BW_GA]])-1)/(Backend!$B$4/100*Table1[[#This Row],[BW40_3705]]),"")</f>
        <v/>
      </c>
      <c r="I1031" s="7" t="str">
        <f>IF(Table1[[#This Row],[Is Data Valid]]=TRUE,((Table1[[#This Row],[Birthweight (grams)]]*1.1/Table1[[#This Row],[BW_GA]])-1)/(Backend!$B$4/100*Table1[[#This Row],[BW40_3705]]),"")</f>
        <v/>
      </c>
      <c r="J1031" s="7" t="str">
        <f>IF(Table1[[#This Row],[Is Data Valid]]=TRUE,_xlfn.NORM.S.DIST(Table1[[#This Row],[Birthweight Z-Score]],TRUE)*100,"")</f>
        <v/>
      </c>
      <c r="K1031" s="7" t="str">
        <f>IF(Table1[[#This Row],[Is Data Valid]]=TRUE,_xlfn.NORM.S.DIST(Table1[[#This Row],[Birthweight Z-Score (BW-10%)]],TRUE)*100,"")</f>
        <v/>
      </c>
      <c r="L1031" s="7" t="str">
        <f>IF(Table1[[#This Row],[Is Data Valid]]=TRUE,_xlfn.NORM.S.DIST(Table1[[#This Row],[Birthweight Z-Score (BW+10%)]],TRUE)*100,"")</f>
        <v/>
      </c>
    </row>
    <row r="1032" spans="1:12" x14ac:dyDescent="0.35">
      <c r="A1032" s="3"/>
      <c r="B1032" s="2"/>
      <c r="C1032" s="2"/>
      <c r="D1032" s="2" t="b">
        <f>IF(AND(NOT(ISBLANK(Table1[[#This Row],[Fetal Sex (Male, Female or Unknown)]])),ISNUMBER(Table1[[#This Row],[Birthweight (grams)]]),ISNUMBER(Table1[[#This Row],[Gestation (days)]])),TRUE,FALSE)</f>
        <v>0</v>
      </c>
      <c r="E1032" s="2" t="str">
        <f>IF(Table1[[#This Row],[Is Data Valid]]=TRUE,IF(Table1[[#This Row],[Fetal Sex (Male, Female or Unknown)]]="Male",Backend!$C$6,IF(Table1[[#This Row],[Fetal Sex (Male, Female or Unknown)]]="Female",Backend!$C$7,IF(Table1[[#This Row],[Fetal Sex (Male, Female or Unknown)]]="Unknown",Backend!$C$8,"Error"))),"")</f>
        <v/>
      </c>
      <c r="F1032" s="8" t="str">
        <f>IF(Table1[[#This Row],[Is Data Valid]]=TRUE,EXP(0.578+0.332*((Table1[[#This Row],[Gestation (days)]]+0.5)/7)-0.00354*((Table1[[#This Row],[Gestation (days)]]+0.5)/7)^2)*Table1[[#This Row],[BW40_3705]],"")</f>
        <v/>
      </c>
      <c r="G1032" s="2" t="str">
        <f>IF(Table1[[#This Row],[Is Data Valid]]=TRUE,((Table1[[#This Row],[Birthweight (grams)]]/Table1[[#This Row],[BW_GA]])-1)/(Backend!$B$4/100*Table1[[#This Row],[BW40_3705]]),"")</f>
        <v/>
      </c>
      <c r="H1032" s="7" t="str">
        <f>IF(Table1[[#This Row],[Is Data Valid]]=TRUE,((Table1[[#This Row],[Birthweight (grams)]]*0.9/Table1[[#This Row],[BW_GA]])-1)/(Backend!$B$4/100*Table1[[#This Row],[BW40_3705]]),"")</f>
        <v/>
      </c>
      <c r="I1032" s="7" t="str">
        <f>IF(Table1[[#This Row],[Is Data Valid]]=TRUE,((Table1[[#This Row],[Birthweight (grams)]]*1.1/Table1[[#This Row],[BW_GA]])-1)/(Backend!$B$4/100*Table1[[#This Row],[BW40_3705]]),"")</f>
        <v/>
      </c>
      <c r="J1032" s="7" t="str">
        <f>IF(Table1[[#This Row],[Is Data Valid]]=TRUE,_xlfn.NORM.S.DIST(Table1[[#This Row],[Birthweight Z-Score]],TRUE)*100,"")</f>
        <v/>
      </c>
      <c r="K1032" s="7" t="str">
        <f>IF(Table1[[#This Row],[Is Data Valid]]=TRUE,_xlfn.NORM.S.DIST(Table1[[#This Row],[Birthweight Z-Score (BW-10%)]],TRUE)*100,"")</f>
        <v/>
      </c>
      <c r="L1032" s="7" t="str">
        <f>IF(Table1[[#This Row],[Is Data Valid]]=TRUE,_xlfn.NORM.S.DIST(Table1[[#This Row],[Birthweight Z-Score (BW+10%)]],TRUE)*100,"")</f>
        <v/>
      </c>
    </row>
    <row r="1033" spans="1:12" x14ac:dyDescent="0.35">
      <c r="A1033" s="3"/>
      <c r="B1033" s="2"/>
      <c r="C1033" s="2"/>
      <c r="D1033" s="2" t="b">
        <f>IF(AND(NOT(ISBLANK(Table1[[#This Row],[Fetal Sex (Male, Female or Unknown)]])),ISNUMBER(Table1[[#This Row],[Birthweight (grams)]]),ISNUMBER(Table1[[#This Row],[Gestation (days)]])),TRUE,FALSE)</f>
        <v>0</v>
      </c>
      <c r="E1033" s="2" t="str">
        <f>IF(Table1[[#This Row],[Is Data Valid]]=TRUE,IF(Table1[[#This Row],[Fetal Sex (Male, Female or Unknown)]]="Male",Backend!$C$6,IF(Table1[[#This Row],[Fetal Sex (Male, Female or Unknown)]]="Female",Backend!$C$7,IF(Table1[[#This Row],[Fetal Sex (Male, Female or Unknown)]]="Unknown",Backend!$C$8,"Error"))),"")</f>
        <v/>
      </c>
      <c r="F1033" s="8" t="str">
        <f>IF(Table1[[#This Row],[Is Data Valid]]=TRUE,EXP(0.578+0.332*((Table1[[#This Row],[Gestation (days)]]+0.5)/7)-0.00354*((Table1[[#This Row],[Gestation (days)]]+0.5)/7)^2)*Table1[[#This Row],[BW40_3705]],"")</f>
        <v/>
      </c>
      <c r="G1033" s="2" t="str">
        <f>IF(Table1[[#This Row],[Is Data Valid]]=TRUE,((Table1[[#This Row],[Birthweight (grams)]]/Table1[[#This Row],[BW_GA]])-1)/(Backend!$B$4/100*Table1[[#This Row],[BW40_3705]]),"")</f>
        <v/>
      </c>
      <c r="H1033" s="7" t="str">
        <f>IF(Table1[[#This Row],[Is Data Valid]]=TRUE,((Table1[[#This Row],[Birthweight (grams)]]*0.9/Table1[[#This Row],[BW_GA]])-1)/(Backend!$B$4/100*Table1[[#This Row],[BW40_3705]]),"")</f>
        <v/>
      </c>
      <c r="I1033" s="7" t="str">
        <f>IF(Table1[[#This Row],[Is Data Valid]]=TRUE,((Table1[[#This Row],[Birthweight (grams)]]*1.1/Table1[[#This Row],[BW_GA]])-1)/(Backend!$B$4/100*Table1[[#This Row],[BW40_3705]]),"")</f>
        <v/>
      </c>
      <c r="J1033" s="7" t="str">
        <f>IF(Table1[[#This Row],[Is Data Valid]]=TRUE,_xlfn.NORM.S.DIST(Table1[[#This Row],[Birthweight Z-Score]],TRUE)*100,"")</f>
        <v/>
      </c>
      <c r="K1033" s="7" t="str">
        <f>IF(Table1[[#This Row],[Is Data Valid]]=TRUE,_xlfn.NORM.S.DIST(Table1[[#This Row],[Birthweight Z-Score (BW-10%)]],TRUE)*100,"")</f>
        <v/>
      </c>
      <c r="L1033" s="7" t="str">
        <f>IF(Table1[[#This Row],[Is Data Valid]]=TRUE,_xlfn.NORM.S.DIST(Table1[[#This Row],[Birthweight Z-Score (BW+10%)]],TRUE)*100,"")</f>
        <v/>
      </c>
    </row>
    <row r="1034" spans="1:12" x14ac:dyDescent="0.35">
      <c r="A1034" s="3"/>
      <c r="B1034" s="2"/>
      <c r="C1034" s="2"/>
      <c r="D1034" s="2" t="b">
        <f>IF(AND(NOT(ISBLANK(Table1[[#This Row],[Fetal Sex (Male, Female or Unknown)]])),ISNUMBER(Table1[[#This Row],[Birthweight (grams)]]),ISNUMBER(Table1[[#This Row],[Gestation (days)]])),TRUE,FALSE)</f>
        <v>0</v>
      </c>
      <c r="E1034" s="2" t="str">
        <f>IF(Table1[[#This Row],[Is Data Valid]]=TRUE,IF(Table1[[#This Row],[Fetal Sex (Male, Female or Unknown)]]="Male",Backend!$C$6,IF(Table1[[#This Row],[Fetal Sex (Male, Female or Unknown)]]="Female",Backend!$C$7,IF(Table1[[#This Row],[Fetal Sex (Male, Female or Unknown)]]="Unknown",Backend!$C$8,"Error"))),"")</f>
        <v/>
      </c>
      <c r="F1034" s="8" t="str">
        <f>IF(Table1[[#This Row],[Is Data Valid]]=TRUE,EXP(0.578+0.332*((Table1[[#This Row],[Gestation (days)]]+0.5)/7)-0.00354*((Table1[[#This Row],[Gestation (days)]]+0.5)/7)^2)*Table1[[#This Row],[BW40_3705]],"")</f>
        <v/>
      </c>
      <c r="G1034" s="2" t="str">
        <f>IF(Table1[[#This Row],[Is Data Valid]]=TRUE,((Table1[[#This Row],[Birthweight (grams)]]/Table1[[#This Row],[BW_GA]])-1)/(Backend!$B$4/100*Table1[[#This Row],[BW40_3705]]),"")</f>
        <v/>
      </c>
      <c r="H1034" s="7" t="str">
        <f>IF(Table1[[#This Row],[Is Data Valid]]=TRUE,((Table1[[#This Row],[Birthweight (grams)]]*0.9/Table1[[#This Row],[BW_GA]])-1)/(Backend!$B$4/100*Table1[[#This Row],[BW40_3705]]),"")</f>
        <v/>
      </c>
      <c r="I1034" s="7" t="str">
        <f>IF(Table1[[#This Row],[Is Data Valid]]=TRUE,((Table1[[#This Row],[Birthweight (grams)]]*1.1/Table1[[#This Row],[BW_GA]])-1)/(Backend!$B$4/100*Table1[[#This Row],[BW40_3705]]),"")</f>
        <v/>
      </c>
      <c r="J1034" s="7" t="str">
        <f>IF(Table1[[#This Row],[Is Data Valid]]=TRUE,_xlfn.NORM.S.DIST(Table1[[#This Row],[Birthweight Z-Score]],TRUE)*100,"")</f>
        <v/>
      </c>
      <c r="K1034" s="7" t="str">
        <f>IF(Table1[[#This Row],[Is Data Valid]]=TRUE,_xlfn.NORM.S.DIST(Table1[[#This Row],[Birthweight Z-Score (BW-10%)]],TRUE)*100,"")</f>
        <v/>
      </c>
      <c r="L1034" s="7" t="str">
        <f>IF(Table1[[#This Row],[Is Data Valid]]=TRUE,_xlfn.NORM.S.DIST(Table1[[#This Row],[Birthweight Z-Score (BW+10%)]],TRUE)*100,"")</f>
        <v/>
      </c>
    </row>
    <row r="1035" spans="1:12" x14ac:dyDescent="0.35">
      <c r="A1035" s="3"/>
      <c r="B1035" s="2"/>
      <c r="C1035" s="2"/>
      <c r="D1035" s="2" t="b">
        <f>IF(AND(NOT(ISBLANK(Table1[[#This Row],[Fetal Sex (Male, Female or Unknown)]])),ISNUMBER(Table1[[#This Row],[Birthweight (grams)]]),ISNUMBER(Table1[[#This Row],[Gestation (days)]])),TRUE,FALSE)</f>
        <v>0</v>
      </c>
      <c r="E1035" s="2" t="str">
        <f>IF(Table1[[#This Row],[Is Data Valid]]=TRUE,IF(Table1[[#This Row],[Fetal Sex (Male, Female or Unknown)]]="Male",Backend!$C$6,IF(Table1[[#This Row],[Fetal Sex (Male, Female or Unknown)]]="Female",Backend!$C$7,IF(Table1[[#This Row],[Fetal Sex (Male, Female or Unknown)]]="Unknown",Backend!$C$8,"Error"))),"")</f>
        <v/>
      </c>
      <c r="F1035" s="8" t="str">
        <f>IF(Table1[[#This Row],[Is Data Valid]]=TRUE,EXP(0.578+0.332*((Table1[[#This Row],[Gestation (days)]]+0.5)/7)-0.00354*((Table1[[#This Row],[Gestation (days)]]+0.5)/7)^2)*Table1[[#This Row],[BW40_3705]],"")</f>
        <v/>
      </c>
      <c r="G1035" s="2" t="str">
        <f>IF(Table1[[#This Row],[Is Data Valid]]=TRUE,((Table1[[#This Row],[Birthweight (grams)]]/Table1[[#This Row],[BW_GA]])-1)/(Backend!$B$4/100*Table1[[#This Row],[BW40_3705]]),"")</f>
        <v/>
      </c>
      <c r="H1035" s="7" t="str">
        <f>IF(Table1[[#This Row],[Is Data Valid]]=TRUE,((Table1[[#This Row],[Birthweight (grams)]]*0.9/Table1[[#This Row],[BW_GA]])-1)/(Backend!$B$4/100*Table1[[#This Row],[BW40_3705]]),"")</f>
        <v/>
      </c>
      <c r="I1035" s="7" t="str">
        <f>IF(Table1[[#This Row],[Is Data Valid]]=TRUE,((Table1[[#This Row],[Birthweight (grams)]]*1.1/Table1[[#This Row],[BW_GA]])-1)/(Backend!$B$4/100*Table1[[#This Row],[BW40_3705]]),"")</f>
        <v/>
      </c>
      <c r="J1035" s="7" t="str">
        <f>IF(Table1[[#This Row],[Is Data Valid]]=TRUE,_xlfn.NORM.S.DIST(Table1[[#This Row],[Birthweight Z-Score]],TRUE)*100,"")</f>
        <v/>
      </c>
      <c r="K1035" s="7" t="str">
        <f>IF(Table1[[#This Row],[Is Data Valid]]=TRUE,_xlfn.NORM.S.DIST(Table1[[#This Row],[Birthweight Z-Score (BW-10%)]],TRUE)*100,"")</f>
        <v/>
      </c>
      <c r="L1035" s="7" t="str">
        <f>IF(Table1[[#This Row],[Is Data Valid]]=TRUE,_xlfn.NORM.S.DIST(Table1[[#This Row],[Birthweight Z-Score (BW+10%)]],TRUE)*100,"")</f>
        <v/>
      </c>
    </row>
    <row r="1036" spans="1:12" x14ac:dyDescent="0.35">
      <c r="A1036" s="3"/>
      <c r="B1036" s="2"/>
      <c r="C1036" s="2"/>
      <c r="D1036" s="2" t="b">
        <f>IF(AND(NOT(ISBLANK(Table1[[#This Row],[Fetal Sex (Male, Female or Unknown)]])),ISNUMBER(Table1[[#This Row],[Birthweight (grams)]]),ISNUMBER(Table1[[#This Row],[Gestation (days)]])),TRUE,FALSE)</f>
        <v>0</v>
      </c>
      <c r="E1036" s="2" t="str">
        <f>IF(Table1[[#This Row],[Is Data Valid]]=TRUE,IF(Table1[[#This Row],[Fetal Sex (Male, Female or Unknown)]]="Male",Backend!$C$6,IF(Table1[[#This Row],[Fetal Sex (Male, Female or Unknown)]]="Female",Backend!$C$7,IF(Table1[[#This Row],[Fetal Sex (Male, Female or Unknown)]]="Unknown",Backend!$C$8,"Error"))),"")</f>
        <v/>
      </c>
      <c r="F1036" s="8" t="str">
        <f>IF(Table1[[#This Row],[Is Data Valid]]=TRUE,EXP(0.578+0.332*((Table1[[#This Row],[Gestation (days)]]+0.5)/7)-0.00354*((Table1[[#This Row],[Gestation (days)]]+0.5)/7)^2)*Table1[[#This Row],[BW40_3705]],"")</f>
        <v/>
      </c>
      <c r="G1036" s="2" t="str">
        <f>IF(Table1[[#This Row],[Is Data Valid]]=TRUE,((Table1[[#This Row],[Birthweight (grams)]]/Table1[[#This Row],[BW_GA]])-1)/(Backend!$B$4/100*Table1[[#This Row],[BW40_3705]]),"")</f>
        <v/>
      </c>
      <c r="H1036" s="7" t="str">
        <f>IF(Table1[[#This Row],[Is Data Valid]]=TRUE,((Table1[[#This Row],[Birthweight (grams)]]*0.9/Table1[[#This Row],[BW_GA]])-1)/(Backend!$B$4/100*Table1[[#This Row],[BW40_3705]]),"")</f>
        <v/>
      </c>
      <c r="I1036" s="7" t="str">
        <f>IF(Table1[[#This Row],[Is Data Valid]]=TRUE,((Table1[[#This Row],[Birthweight (grams)]]*1.1/Table1[[#This Row],[BW_GA]])-1)/(Backend!$B$4/100*Table1[[#This Row],[BW40_3705]]),"")</f>
        <v/>
      </c>
      <c r="J1036" s="7" t="str">
        <f>IF(Table1[[#This Row],[Is Data Valid]]=TRUE,_xlfn.NORM.S.DIST(Table1[[#This Row],[Birthweight Z-Score]],TRUE)*100,"")</f>
        <v/>
      </c>
      <c r="K1036" s="7" t="str">
        <f>IF(Table1[[#This Row],[Is Data Valid]]=TRUE,_xlfn.NORM.S.DIST(Table1[[#This Row],[Birthweight Z-Score (BW-10%)]],TRUE)*100,"")</f>
        <v/>
      </c>
      <c r="L1036" s="7" t="str">
        <f>IF(Table1[[#This Row],[Is Data Valid]]=TRUE,_xlfn.NORM.S.DIST(Table1[[#This Row],[Birthweight Z-Score (BW+10%)]],TRUE)*100,"")</f>
        <v/>
      </c>
    </row>
    <row r="1037" spans="1:12" x14ac:dyDescent="0.35">
      <c r="A1037" s="3"/>
      <c r="B1037" s="2"/>
      <c r="C1037" s="2"/>
      <c r="D1037" s="2" t="b">
        <f>IF(AND(NOT(ISBLANK(Table1[[#This Row],[Fetal Sex (Male, Female or Unknown)]])),ISNUMBER(Table1[[#This Row],[Birthweight (grams)]]),ISNUMBER(Table1[[#This Row],[Gestation (days)]])),TRUE,FALSE)</f>
        <v>0</v>
      </c>
      <c r="E1037" s="2" t="str">
        <f>IF(Table1[[#This Row],[Is Data Valid]]=TRUE,IF(Table1[[#This Row],[Fetal Sex (Male, Female or Unknown)]]="Male",Backend!$C$6,IF(Table1[[#This Row],[Fetal Sex (Male, Female or Unknown)]]="Female",Backend!$C$7,IF(Table1[[#This Row],[Fetal Sex (Male, Female or Unknown)]]="Unknown",Backend!$C$8,"Error"))),"")</f>
        <v/>
      </c>
      <c r="F1037" s="8" t="str">
        <f>IF(Table1[[#This Row],[Is Data Valid]]=TRUE,EXP(0.578+0.332*((Table1[[#This Row],[Gestation (days)]]+0.5)/7)-0.00354*((Table1[[#This Row],[Gestation (days)]]+0.5)/7)^2)*Table1[[#This Row],[BW40_3705]],"")</f>
        <v/>
      </c>
      <c r="G1037" s="2" t="str">
        <f>IF(Table1[[#This Row],[Is Data Valid]]=TRUE,((Table1[[#This Row],[Birthweight (grams)]]/Table1[[#This Row],[BW_GA]])-1)/(Backend!$B$4/100*Table1[[#This Row],[BW40_3705]]),"")</f>
        <v/>
      </c>
      <c r="H1037" s="7" t="str">
        <f>IF(Table1[[#This Row],[Is Data Valid]]=TRUE,((Table1[[#This Row],[Birthweight (grams)]]*0.9/Table1[[#This Row],[BW_GA]])-1)/(Backend!$B$4/100*Table1[[#This Row],[BW40_3705]]),"")</f>
        <v/>
      </c>
      <c r="I1037" s="7" t="str">
        <f>IF(Table1[[#This Row],[Is Data Valid]]=TRUE,((Table1[[#This Row],[Birthweight (grams)]]*1.1/Table1[[#This Row],[BW_GA]])-1)/(Backend!$B$4/100*Table1[[#This Row],[BW40_3705]]),"")</f>
        <v/>
      </c>
      <c r="J1037" s="7" t="str">
        <f>IF(Table1[[#This Row],[Is Data Valid]]=TRUE,_xlfn.NORM.S.DIST(Table1[[#This Row],[Birthweight Z-Score]],TRUE)*100,"")</f>
        <v/>
      </c>
      <c r="K1037" s="7" t="str">
        <f>IF(Table1[[#This Row],[Is Data Valid]]=TRUE,_xlfn.NORM.S.DIST(Table1[[#This Row],[Birthweight Z-Score (BW-10%)]],TRUE)*100,"")</f>
        <v/>
      </c>
      <c r="L1037" s="7" t="str">
        <f>IF(Table1[[#This Row],[Is Data Valid]]=TRUE,_xlfn.NORM.S.DIST(Table1[[#This Row],[Birthweight Z-Score (BW+10%)]],TRUE)*100,"")</f>
        <v/>
      </c>
    </row>
    <row r="1038" spans="1:12" x14ac:dyDescent="0.35">
      <c r="A1038" s="3"/>
      <c r="B1038" s="2"/>
      <c r="C1038" s="2"/>
      <c r="D1038" s="2" t="b">
        <f>IF(AND(NOT(ISBLANK(Table1[[#This Row],[Fetal Sex (Male, Female or Unknown)]])),ISNUMBER(Table1[[#This Row],[Birthweight (grams)]]),ISNUMBER(Table1[[#This Row],[Gestation (days)]])),TRUE,FALSE)</f>
        <v>0</v>
      </c>
      <c r="E1038" s="2" t="str">
        <f>IF(Table1[[#This Row],[Is Data Valid]]=TRUE,IF(Table1[[#This Row],[Fetal Sex (Male, Female or Unknown)]]="Male",Backend!$C$6,IF(Table1[[#This Row],[Fetal Sex (Male, Female or Unknown)]]="Female",Backend!$C$7,IF(Table1[[#This Row],[Fetal Sex (Male, Female or Unknown)]]="Unknown",Backend!$C$8,"Error"))),"")</f>
        <v/>
      </c>
      <c r="F1038" s="8" t="str">
        <f>IF(Table1[[#This Row],[Is Data Valid]]=TRUE,EXP(0.578+0.332*((Table1[[#This Row],[Gestation (days)]]+0.5)/7)-0.00354*((Table1[[#This Row],[Gestation (days)]]+0.5)/7)^2)*Table1[[#This Row],[BW40_3705]],"")</f>
        <v/>
      </c>
      <c r="G1038" s="2" t="str">
        <f>IF(Table1[[#This Row],[Is Data Valid]]=TRUE,((Table1[[#This Row],[Birthweight (grams)]]/Table1[[#This Row],[BW_GA]])-1)/(Backend!$B$4/100*Table1[[#This Row],[BW40_3705]]),"")</f>
        <v/>
      </c>
      <c r="H1038" s="7" t="str">
        <f>IF(Table1[[#This Row],[Is Data Valid]]=TRUE,((Table1[[#This Row],[Birthweight (grams)]]*0.9/Table1[[#This Row],[BW_GA]])-1)/(Backend!$B$4/100*Table1[[#This Row],[BW40_3705]]),"")</f>
        <v/>
      </c>
      <c r="I1038" s="7" t="str">
        <f>IF(Table1[[#This Row],[Is Data Valid]]=TRUE,((Table1[[#This Row],[Birthweight (grams)]]*1.1/Table1[[#This Row],[BW_GA]])-1)/(Backend!$B$4/100*Table1[[#This Row],[BW40_3705]]),"")</f>
        <v/>
      </c>
      <c r="J1038" s="7" t="str">
        <f>IF(Table1[[#This Row],[Is Data Valid]]=TRUE,_xlfn.NORM.S.DIST(Table1[[#This Row],[Birthweight Z-Score]],TRUE)*100,"")</f>
        <v/>
      </c>
      <c r="K1038" s="7" t="str">
        <f>IF(Table1[[#This Row],[Is Data Valid]]=TRUE,_xlfn.NORM.S.DIST(Table1[[#This Row],[Birthweight Z-Score (BW-10%)]],TRUE)*100,"")</f>
        <v/>
      </c>
      <c r="L1038" s="7" t="str">
        <f>IF(Table1[[#This Row],[Is Data Valid]]=TRUE,_xlfn.NORM.S.DIST(Table1[[#This Row],[Birthweight Z-Score (BW+10%)]],TRUE)*100,"")</f>
        <v/>
      </c>
    </row>
    <row r="1039" spans="1:12" x14ac:dyDescent="0.35">
      <c r="A1039" s="3"/>
      <c r="B1039" s="2"/>
      <c r="C1039" s="2"/>
      <c r="D1039" s="2" t="b">
        <f>IF(AND(NOT(ISBLANK(Table1[[#This Row],[Fetal Sex (Male, Female or Unknown)]])),ISNUMBER(Table1[[#This Row],[Birthweight (grams)]]),ISNUMBER(Table1[[#This Row],[Gestation (days)]])),TRUE,FALSE)</f>
        <v>0</v>
      </c>
      <c r="E1039" s="2" t="str">
        <f>IF(Table1[[#This Row],[Is Data Valid]]=TRUE,IF(Table1[[#This Row],[Fetal Sex (Male, Female or Unknown)]]="Male",Backend!$C$6,IF(Table1[[#This Row],[Fetal Sex (Male, Female or Unknown)]]="Female",Backend!$C$7,IF(Table1[[#This Row],[Fetal Sex (Male, Female or Unknown)]]="Unknown",Backend!$C$8,"Error"))),"")</f>
        <v/>
      </c>
      <c r="F1039" s="8" t="str">
        <f>IF(Table1[[#This Row],[Is Data Valid]]=TRUE,EXP(0.578+0.332*((Table1[[#This Row],[Gestation (days)]]+0.5)/7)-0.00354*((Table1[[#This Row],[Gestation (days)]]+0.5)/7)^2)*Table1[[#This Row],[BW40_3705]],"")</f>
        <v/>
      </c>
      <c r="G1039" s="2" t="str">
        <f>IF(Table1[[#This Row],[Is Data Valid]]=TRUE,((Table1[[#This Row],[Birthweight (grams)]]/Table1[[#This Row],[BW_GA]])-1)/(Backend!$B$4/100*Table1[[#This Row],[BW40_3705]]),"")</f>
        <v/>
      </c>
      <c r="H1039" s="7" t="str">
        <f>IF(Table1[[#This Row],[Is Data Valid]]=TRUE,((Table1[[#This Row],[Birthweight (grams)]]*0.9/Table1[[#This Row],[BW_GA]])-1)/(Backend!$B$4/100*Table1[[#This Row],[BW40_3705]]),"")</f>
        <v/>
      </c>
      <c r="I1039" s="7" t="str">
        <f>IF(Table1[[#This Row],[Is Data Valid]]=TRUE,((Table1[[#This Row],[Birthweight (grams)]]*1.1/Table1[[#This Row],[BW_GA]])-1)/(Backend!$B$4/100*Table1[[#This Row],[BW40_3705]]),"")</f>
        <v/>
      </c>
      <c r="J1039" s="7" t="str">
        <f>IF(Table1[[#This Row],[Is Data Valid]]=TRUE,_xlfn.NORM.S.DIST(Table1[[#This Row],[Birthweight Z-Score]],TRUE)*100,"")</f>
        <v/>
      </c>
      <c r="K1039" s="7" t="str">
        <f>IF(Table1[[#This Row],[Is Data Valid]]=TRUE,_xlfn.NORM.S.DIST(Table1[[#This Row],[Birthweight Z-Score (BW-10%)]],TRUE)*100,"")</f>
        <v/>
      </c>
      <c r="L1039" s="7" t="str">
        <f>IF(Table1[[#This Row],[Is Data Valid]]=TRUE,_xlfn.NORM.S.DIST(Table1[[#This Row],[Birthweight Z-Score (BW+10%)]],TRUE)*100,"")</f>
        <v/>
      </c>
    </row>
    <row r="1040" spans="1:12" x14ac:dyDescent="0.35">
      <c r="A1040" s="3"/>
      <c r="B1040" s="2"/>
      <c r="C1040" s="2"/>
      <c r="D1040" s="2" t="b">
        <f>IF(AND(NOT(ISBLANK(Table1[[#This Row],[Fetal Sex (Male, Female or Unknown)]])),ISNUMBER(Table1[[#This Row],[Birthweight (grams)]]),ISNUMBER(Table1[[#This Row],[Gestation (days)]])),TRUE,FALSE)</f>
        <v>0</v>
      </c>
      <c r="E1040" s="2" t="str">
        <f>IF(Table1[[#This Row],[Is Data Valid]]=TRUE,IF(Table1[[#This Row],[Fetal Sex (Male, Female or Unknown)]]="Male",Backend!$C$6,IF(Table1[[#This Row],[Fetal Sex (Male, Female or Unknown)]]="Female",Backend!$C$7,IF(Table1[[#This Row],[Fetal Sex (Male, Female or Unknown)]]="Unknown",Backend!$C$8,"Error"))),"")</f>
        <v/>
      </c>
      <c r="F1040" s="8" t="str">
        <f>IF(Table1[[#This Row],[Is Data Valid]]=TRUE,EXP(0.578+0.332*((Table1[[#This Row],[Gestation (days)]]+0.5)/7)-0.00354*((Table1[[#This Row],[Gestation (days)]]+0.5)/7)^2)*Table1[[#This Row],[BW40_3705]],"")</f>
        <v/>
      </c>
      <c r="G1040" s="2" t="str">
        <f>IF(Table1[[#This Row],[Is Data Valid]]=TRUE,((Table1[[#This Row],[Birthweight (grams)]]/Table1[[#This Row],[BW_GA]])-1)/(Backend!$B$4/100*Table1[[#This Row],[BW40_3705]]),"")</f>
        <v/>
      </c>
      <c r="H1040" s="7" t="str">
        <f>IF(Table1[[#This Row],[Is Data Valid]]=TRUE,((Table1[[#This Row],[Birthweight (grams)]]*0.9/Table1[[#This Row],[BW_GA]])-1)/(Backend!$B$4/100*Table1[[#This Row],[BW40_3705]]),"")</f>
        <v/>
      </c>
      <c r="I1040" s="7" t="str">
        <f>IF(Table1[[#This Row],[Is Data Valid]]=TRUE,((Table1[[#This Row],[Birthweight (grams)]]*1.1/Table1[[#This Row],[BW_GA]])-1)/(Backend!$B$4/100*Table1[[#This Row],[BW40_3705]]),"")</f>
        <v/>
      </c>
      <c r="J1040" s="7" t="str">
        <f>IF(Table1[[#This Row],[Is Data Valid]]=TRUE,_xlfn.NORM.S.DIST(Table1[[#This Row],[Birthweight Z-Score]],TRUE)*100,"")</f>
        <v/>
      </c>
      <c r="K1040" s="7" t="str">
        <f>IF(Table1[[#This Row],[Is Data Valid]]=TRUE,_xlfn.NORM.S.DIST(Table1[[#This Row],[Birthweight Z-Score (BW-10%)]],TRUE)*100,"")</f>
        <v/>
      </c>
      <c r="L1040" s="7" t="str">
        <f>IF(Table1[[#This Row],[Is Data Valid]]=TRUE,_xlfn.NORM.S.DIST(Table1[[#This Row],[Birthweight Z-Score (BW+10%)]],TRUE)*100,"")</f>
        <v/>
      </c>
    </row>
    <row r="1041" spans="1:12" x14ac:dyDescent="0.35">
      <c r="A1041" s="3"/>
      <c r="B1041" s="2"/>
      <c r="C1041" s="2"/>
      <c r="D1041" s="2" t="b">
        <f>IF(AND(NOT(ISBLANK(Table1[[#This Row],[Fetal Sex (Male, Female or Unknown)]])),ISNUMBER(Table1[[#This Row],[Birthweight (grams)]]),ISNUMBER(Table1[[#This Row],[Gestation (days)]])),TRUE,FALSE)</f>
        <v>0</v>
      </c>
      <c r="E1041" s="2" t="str">
        <f>IF(Table1[[#This Row],[Is Data Valid]]=TRUE,IF(Table1[[#This Row],[Fetal Sex (Male, Female or Unknown)]]="Male",Backend!$C$6,IF(Table1[[#This Row],[Fetal Sex (Male, Female or Unknown)]]="Female",Backend!$C$7,IF(Table1[[#This Row],[Fetal Sex (Male, Female or Unknown)]]="Unknown",Backend!$C$8,"Error"))),"")</f>
        <v/>
      </c>
      <c r="F1041" s="8" t="str">
        <f>IF(Table1[[#This Row],[Is Data Valid]]=TRUE,EXP(0.578+0.332*((Table1[[#This Row],[Gestation (days)]]+0.5)/7)-0.00354*((Table1[[#This Row],[Gestation (days)]]+0.5)/7)^2)*Table1[[#This Row],[BW40_3705]],"")</f>
        <v/>
      </c>
      <c r="G1041" s="2" t="str">
        <f>IF(Table1[[#This Row],[Is Data Valid]]=TRUE,((Table1[[#This Row],[Birthweight (grams)]]/Table1[[#This Row],[BW_GA]])-1)/(Backend!$B$4/100*Table1[[#This Row],[BW40_3705]]),"")</f>
        <v/>
      </c>
      <c r="H1041" s="7" t="str">
        <f>IF(Table1[[#This Row],[Is Data Valid]]=TRUE,((Table1[[#This Row],[Birthweight (grams)]]*0.9/Table1[[#This Row],[BW_GA]])-1)/(Backend!$B$4/100*Table1[[#This Row],[BW40_3705]]),"")</f>
        <v/>
      </c>
      <c r="I1041" s="7" t="str">
        <f>IF(Table1[[#This Row],[Is Data Valid]]=TRUE,((Table1[[#This Row],[Birthweight (grams)]]*1.1/Table1[[#This Row],[BW_GA]])-1)/(Backend!$B$4/100*Table1[[#This Row],[BW40_3705]]),"")</f>
        <v/>
      </c>
      <c r="J1041" s="7" t="str">
        <f>IF(Table1[[#This Row],[Is Data Valid]]=TRUE,_xlfn.NORM.S.DIST(Table1[[#This Row],[Birthweight Z-Score]],TRUE)*100,"")</f>
        <v/>
      </c>
      <c r="K1041" s="7" t="str">
        <f>IF(Table1[[#This Row],[Is Data Valid]]=TRUE,_xlfn.NORM.S.DIST(Table1[[#This Row],[Birthweight Z-Score (BW-10%)]],TRUE)*100,"")</f>
        <v/>
      </c>
      <c r="L1041" s="7" t="str">
        <f>IF(Table1[[#This Row],[Is Data Valid]]=TRUE,_xlfn.NORM.S.DIST(Table1[[#This Row],[Birthweight Z-Score (BW+10%)]],TRUE)*100,"")</f>
        <v/>
      </c>
    </row>
    <row r="1042" spans="1:12" x14ac:dyDescent="0.35">
      <c r="A1042" s="3"/>
      <c r="B1042" s="2"/>
      <c r="C1042" s="2"/>
      <c r="D1042" s="2" t="b">
        <f>IF(AND(NOT(ISBLANK(Table1[[#This Row],[Fetal Sex (Male, Female or Unknown)]])),ISNUMBER(Table1[[#This Row],[Birthweight (grams)]]),ISNUMBER(Table1[[#This Row],[Gestation (days)]])),TRUE,FALSE)</f>
        <v>0</v>
      </c>
      <c r="E1042" s="2" t="str">
        <f>IF(Table1[[#This Row],[Is Data Valid]]=TRUE,IF(Table1[[#This Row],[Fetal Sex (Male, Female or Unknown)]]="Male",Backend!$C$6,IF(Table1[[#This Row],[Fetal Sex (Male, Female or Unknown)]]="Female",Backend!$C$7,IF(Table1[[#This Row],[Fetal Sex (Male, Female or Unknown)]]="Unknown",Backend!$C$8,"Error"))),"")</f>
        <v/>
      </c>
      <c r="F1042" s="8" t="str">
        <f>IF(Table1[[#This Row],[Is Data Valid]]=TRUE,EXP(0.578+0.332*((Table1[[#This Row],[Gestation (days)]]+0.5)/7)-0.00354*((Table1[[#This Row],[Gestation (days)]]+0.5)/7)^2)*Table1[[#This Row],[BW40_3705]],"")</f>
        <v/>
      </c>
      <c r="G1042" s="2" t="str">
        <f>IF(Table1[[#This Row],[Is Data Valid]]=TRUE,((Table1[[#This Row],[Birthweight (grams)]]/Table1[[#This Row],[BW_GA]])-1)/(Backend!$B$4/100*Table1[[#This Row],[BW40_3705]]),"")</f>
        <v/>
      </c>
      <c r="H1042" s="7" t="str">
        <f>IF(Table1[[#This Row],[Is Data Valid]]=TRUE,((Table1[[#This Row],[Birthweight (grams)]]*0.9/Table1[[#This Row],[BW_GA]])-1)/(Backend!$B$4/100*Table1[[#This Row],[BW40_3705]]),"")</f>
        <v/>
      </c>
      <c r="I1042" s="7" t="str">
        <f>IF(Table1[[#This Row],[Is Data Valid]]=TRUE,((Table1[[#This Row],[Birthweight (grams)]]*1.1/Table1[[#This Row],[BW_GA]])-1)/(Backend!$B$4/100*Table1[[#This Row],[BW40_3705]]),"")</f>
        <v/>
      </c>
      <c r="J1042" s="7" t="str">
        <f>IF(Table1[[#This Row],[Is Data Valid]]=TRUE,_xlfn.NORM.S.DIST(Table1[[#This Row],[Birthweight Z-Score]],TRUE)*100,"")</f>
        <v/>
      </c>
      <c r="K1042" s="7" t="str">
        <f>IF(Table1[[#This Row],[Is Data Valid]]=TRUE,_xlfn.NORM.S.DIST(Table1[[#This Row],[Birthweight Z-Score (BW-10%)]],TRUE)*100,"")</f>
        <v/>
      </c>
      <c r="L1042" s="7" t="str">
        <f>IF(Table1[[#This Row],[Is Data Valid]]=TRUE,_xlfn.NORM.S.DIST(Table1[[#This Row],[Birthweight Z-Score (BW+10%)]],TRUE)*100,"")</f>
        <v/>
      </c>
    </row>
    <row r="1043" spans="1:12" x14ac:dyDescent="0.35">
      <c r="A1043" s="3"/>
      <c r="B1043" s="2"/>
      <c r="C1043" s="2"/>
      <c r="D1043" s="2" t="b">
        <f>IF(AND(NOT(ISBLANK(Table1[[#This Row],[Fetal Sex (Male, Female or Unknown)]])),ISNUMBER(Table1[[#This Row],[Birthweight (grams)]]),ISNUMBER(Table1[[#This Row],[Gestation (days)]])),TRUE,FALSE)</f>
        <v>0</v>
      </c>
      <c r="E1043" s="2" t="str">
        <f>IF(Table1[[#This Row],[Is Data Valid]]=TRUE,IF(Table1[[#This Row],[Fetal Sex (Male, Female or Unknown)]]="Male",Backend!$C$6,IF(Table1[[#This Row],[Fetal Sex (Male, Female or Unknown)]]="Female",Backend!$C$7,IF(Table1[[#This Row],[Fetal Sex (Male, Female or Unknown)]]="Unknown",Backend!$C$8,"Error"))),"")</f>
        <v/>
      </c>
      <c r="F1043" s="8" t="str">
        <f>IF(Table1[[#This Row],[Is Data Valid]]=TRUE,EXP(0.578+0.332*((Table1[[#This Row],[Gestation (days)]]+0.5)/7)-0.00354*((Table1[[#This Row],[Gestation (days)]]+0.5)/7)^2)*Table1[[#This Row],[BW40_3705]],"")</f>
        <v/>
      </c>
      <c r="G1043" s="2" t="str">
        <f>IF(Table1[[#This Row],[Is Data Valid]]=TRUE,((Table1[[#This Row],[Birthweight (grams)]]/Table1[[#This Row],[BW_GA]])-1)/(Backend!$B$4/100*Table1[[#This Row],[BW40_3705]]),"")</f>
        <v/>
      </c>
      <c r="H1043" s="7" t="str">
        <f>IF(Table1[[#This Row],[Is Data Valid]]=TRUE,((Table1[[#This Row],[Birthweight (grams)]]*0.9/Table1[[#This Row],[BW_GA]])-1)/(Backend!$B$4/100*Table1[[#This Row],[BW40_3705]]),"")</f>
        <v/>
      </c>
      <c r="I1043" s="7" t="str">
        <f>IF(Table1[[#This Row],[Is Data Valid]]=TRUE,((Table1[[#This Row],[Birthweight (grams)]]*1.1/Table1[[#This Row],[BW_GA]])-1)/(Backend!$B$4/100*Table1[[#This Row],[BW40_3705]]),"")</f>
        <v/>
      </c>
      <c r="J1043" s="7" t="str">
        <f>IF(Table1[[#This Row],[Is Data Valid]]=TRUE,_xlfn.NORM.S.DIST(Table1[[#This Row],[Birthweight Z-Score]],TRUE)*100,"")</f>
        <v/>
      </c>
      <c r="K1043" s="7" t="str">
        <f>IF(Table1[[#This Row],[Is Data Valid]]=TRUE,_xlfn.NORM.S.DIST(Table1[[#This Row],[Birthweight Z-Score (BW-10%)]],TRUE)*100,"")</f>
        <v/>
      </c>
      <c r="L1043" s="7" t="str">
        <f>IF(Table1[[#This Row],[Is Data Valid]]=TRUE,_xlfn.NORM.S.DIST(Table1[[#This Row],[Birthweight Z-Score (BW+10%)]],TRUE)*100,"")</f>
        <v/>
      </c>
    </row>
    <row r="1044" spans="1:12" x14ac:dyDescent="0.35">
      <c r="A1044" s="3"/>
      <c r="B1044" s="2"/>
      <c r="C1044" s="2"/>
      <c r="D1044" s="2" t="b">
        <f>IF(AND(NOT(ISBLANK(Table1[[#This Row],[Fetal Sex (Male, Female or Unknown)]])),ISNUMBER(Table1[[#This Row],[Birthweight (grams)]]),ISNUMBER(Table1[[#This Row],[Gestation (days)]])),TRUE,FALSE)</f>
        <v>0</v>
      </c>
      <c r="E1044" s="2" t="str">
        <f>IF(Table1[[#This Row],[Is Data Valid]]=TRUE,IF(Table1[[#This Row],[Fetal Sex (Male, Female or Unknown)]]="Male",Backend!$C$6,IF(Table1[[#This Row],[Fetal Sex (Male, Female or Unknown)]]="Female",Backend!$C$7,IF(Table1[[#This Row],[Fetal Sex (Male, Female or Unknown)]]="Unknown",Backend!$C$8,"Error"))),"")</f>
        <v/>
      </c>
      <c r="F1044" s="8" t="str">
        <f>IF(Table1[[#This Row],[Is Data Valid]]=TRUE,EXP(0.578+0.332*((Table1[[#This Row],[Gestation (days)]]+0.5)/7)-0.00354*((Table1[[#This Row],[Gestation (days)]]+0.5)/7)^2)*Table1[[#This Row],[BW40_3705]],"")</f>
        <v/>
      </c>
      <c r="G1044" s="2" t="str">
        <f>IF(Table1[[#This Row],[Is Data Valid]]=TRUE,((Table1[[#This Row],[Birthweight (grams)]]/Table1[[#This Row],[BW_GA]])-1)/(Backend!$B$4/100*Table1[[#This Row],[BW40_3705]]),"")</f>
        <v/>
      </c>
      <c r="H1044" s="7" t="str">
        <f>IF(Table1[[#This Row],[Is Data Valid]]=TRUE,((Table1[[#This Row],[Birthweight (grams)]]*0.9/Table1[[#This Row],[BW_GA]])-1)/(Backend!$B$4/100*Table1[[#This Row],[BW40_3705]]),"")</f>
        <v/>
      </c>
      <c r="I1044" s="7" t="str">
        <f>IF(Table1[[#This Row],[Is Data Valid]]=TRUE,((Table1[[#This Row],[Birthweight (grams)]]*1.1/Table1[[#This Row],[BW_GA]])-1)/(Backend!$B$4/100*Table1[[#This Row],[BW40_3705]]),"")</f>
        <v/>
      </c>
      <c r="J1044" s="7" t="str">
        <f>IF(Table1[[#This Row],[Is Data Valid]]=TRUE,_xlfn.NORM.S.DIST(Table1[[#This Row],[Birthweight Z-Score]],TRUE)*100,"")</f>
        <v/>
      </c>
      <c r="K1044" s="7" t="str">
        <f>IF(Table1[[#This Row],[Is Data Valid]]=TRUE,_xlfn.NORM.S.DIST(Table1[[#This Row],[Birthweight Z-Score (BW-10%)]],TRUE)*100,"")</f>
        <v/>
      </c>
      <c r="L1044" s="7" t="str">
        <f>IF(Table1[[#This Row],[Is Data Valid]]=TRUE,_xlfn.NORM.S.DIST(Table1[[#This Row],[Birthweight Z-Score (BW+10%)]],TRUE)*100,"")</f>
        <v/>
      </c>
    </row>
    <row r="1045" spans="1:12" x14ac:dyDescent="0.35">
      <c r="A1045" s="3"/>
      <c r="B1045" s="2"/>
      <c r="C1045" s="2"/>
      <c r="D1045" s="2" t="b">
        <f>IF(AND(NOT(ISBLANK(Table1[[#This Row],[Fetal Sex (Male, Female or Unknown)]])),ISNUMBER(Table1[[#This Row],[Birthweight (grams)]]),ISNUMBER(Table1[[#This Row],[Gestation (days)]])),TRUE,FALSE)</f>
        <v>0</v>
      </c>
      <c r="E1045" s="2" t="str">
        <f>IF(Table1[[#This Row],[Is Data Valid]]=TRUE,IF(Table1[[#This Row],[Fetal Sex (Male, Female or Unknown)]]="Male",Backend!$C$6,IF(Table1[[#This Row],[Fetal Sex (Male, Female or Unknown)]]="Female",Backend!$C$7,IF(Table1[[#This Row],[Fetal Sex (Male, Female or Unknown)]]="Unknown",Backend!$C$8,"Error"))),"")</f>
        <v/>
      </c>
      <c r="F1045" s="8" t="str">
        <f>IF(Table1[[#This Row],[Is Data Valid]]=TRUE,EXP(0.578+0.332*((Table1[[#This Row],[Gestation (days)]]+0.5)/7)-0.00354*((Table1[[#This Row],[Gestation (days)]]+0.5)/7)^2)*Table1[[#This Row],[BW40_3705]],"")</f>
        <v/>
      </c>
      <c r="G1045" s="2" t="str">
        <f>IF(Table1[[#This Row],[Is Data Valid]]=TRUE,((Table1[[#This Row],[Birthweight (grams)]]/Table1[[#This Row],[BW_GA]])-1)/(Backend!$B$4/100*Table1[[#This Row],[BW40_3705]]),"")</f>
        <v/>
      </c>
      <c r="H1045" s="7" t="str">
        <f>IF(Table1[[#This Row],[Is Data Valid]]=TRUE,((Table1[[#This Row],[Birthweight (grams)]]*0.9/Table1[[#This Row],[BW_GA]])-1)/(Backend!$B$4/100*Table1[[#This Row],[BW40_3705]]),"")</f>
        <v/>
      </c>
      <c r="I1045" s="7" t="str">
        <f>IF(Table1[[#This Row],[Is Data Valid]]=TRUE,((Table1[[#This Row],[Birthweight (grams)]]*1.1/Table1[[#This Row],[BW_GA]])-1)/(Backend!$B$4/100*Table1[[#This Row],[BW40_3705]]),"")</f>
        <v/>
      </c>
      <c r="J1045" s="7" t="str">
        <f>IF(Table1[[#This Row],[Is Data Valid]]=TRUE,_xlfn.NORM.S.DIST(Table1[[#This Row],[Birthweight Z-Score]],TRUE)*100,"")</f>
        <v/>
      </c>
      <c r="K1045" s="7" t="str">
        <f>IF(Table1[[#This Row],[Is Data Valid]]=TRUE,_xlfn.NORM.S.DIST(Table1[[#This Row],[Birthweight Z-Score (BW-10%)]],TRUE)*100,"")</f>
        <v/>
      </c>
      <c r="L1045" s="7" t="str">
        <f>IF(Table1[[#This Row],[Is Data Valid]]=TRUE,_xlfn.NORM.S.DIST(Table1[[#This Row],[Birthweight Z-Score (BW+10%)]],TRUE)*100,"")</f>
        <v/>
      </c>
    </row>
    <row r="1046" spans="1:12" x14ac:dyDescent="0.35">
      <c r="A1046" s="3"/>
      <c r="B1046" s="2"/>
      <c r="C1046" s="2"/>
      <c r="D1046" s="2" t="b">
        <f>IF(AND(NOT(ISBLANK(Table1[[#This Row],[Fetal Sex (Male, Female or Unknown)]])),ISNUMBER(Table1[[#This Row],[Birthweight (grams)]]),ISNUMBER(Table1[[#This Row],[Gestation (days)]])),TRUE,FALSE)</f>
        <v>0</v>
      </c>
      <c r="E1046" s="2" t="str">
        <f>IF(Table1[[#This Row],[Is Data Valid]]=TRUE,IF(Table1[[#This Row],[Fetal Sex (Male, Female or Unknown)]]="Male",Backend!$C$6,IF(Table1[[#This Row],[Fetal Sex (Male, Female or Unknown)]]="Female",Backend!$C$7,IF(Table1[[#This Row],[Fetal Sex (Male, Female or Unknown)]]="Unknown",Backend!$C$8,"Error"))),"")</f>
        <v/>
      </c>
      <c r="F1046" s="8" t="str">
        <f>IF(Table1[[#This Row],[Is Data Valid]]=TRUE,EXP(0.578+0.332*((Table1[[#This Row],[Gestation (days)]]+0.5)/7)-0.00354*((Table1[[#This Row],[Gestation (days)]]+0.5)/7)^2)*Table1[[#This Row],[BW40_3705]],"")</f>
        <v/>
      </c>
      <c r="G1046" s="2" t="str">
        <f>IF(Table1[[#This Row],[Is Data Valid]]=TRUE,((Table1[[#This Row],[Birthweight (grams)]]/Table1[[#This Row],[BW_GA]])-1)/(Backend!$B$4/100*Table1[[#This Row],[BW40_3705]]),"")</f>
        <v/>
      </c>
      <c r="H1046" s="7" t="str">
        <f>IF(Table1[[#This Row],[Is Data Valid]]=TRUE,((Table1[[#This Row],[Birthweight (grams)]]*0.9/Table1[[#This Row],[BW_GA]])-1)/(Backend!$B$4/100*Table1[[#This Row],[BW40_3705]]),"")</f>
        <v/>
      </c>
      <c r="I1046" s="7" t="str">
        <f>IF(Table1[[#This Row],[Is Data Valid]]=TRUE,((Table1[[#This Row],[Birthweight (grams)]]*1.1/Table1[[#This Row],[BW_GA]])-1)/(Backend!$B$4/100*Table1[[#This Row],[BW40_3705]]),"")</f>
        <v/>
      </c>
      <c r="J1046" s="7" t="str">
        <f>IF(Table1[[#This Row],[Is Data Valid]]=TRUE,_xlfn.NORM.S.DIST(Table1[[#This Row],[Birthweight Z-Score]],TRUE)*100,"")</f>
        <v/>
      </c>
      <c r="K1046" s="7" t="str">
        <f>IF(Table1[[#This Row],[Is Data Valid]]=TRUE,_xlfn.NORM.S.DIST(Table1[[#This Row],[Birthweight Z-Score (BW-10%)]],TRUE)*100,"")</f>
        <v/>
      </c>
      <c r="L1046" s="7" t="str">
        <f>IF(Table1[[#This Row],[Is Data Valid]]=TRUE,_xlfn.NORM.S.DIST(Table1[[#This Row],[Birthweight Z-Score (BW+10%)]],TRUE)*100,"")</f>
        <v/>
      </c>
    </row>
    <row r="1047" spans="1:12" x14ac:dyDescent="0.35">
      <c r="A1047" s="3"/>
      <c r="B1047" s="2"/>
      <c r="C1047" s="2"/>
      <c r="D1047" s="2" t="b">
        <f>IF(AND(NOT(ISBLANK(Table1[[#This Row],[Fetal Sex (Male, Female or Unknown)]])),ISNUMBER(Table1[[#This Row],[Birthweight (grams)]]),ISNUMBER(Table1[[#This Row],[Gestation (days)]])),TRUE,FALSE)</f>
        <v>0</v>
      </c>
      <c r="E1047" s="2" t="str">
        <f>IF(Table1[[#This Row],[Is Data Valid]]=TRUE,IF(Table1[[#This Row],[Fetal Sex (Male, Female or Unknown)]]="Male",Backend!$C$6,IF(Table1[[#This Row],[Fetal Sex (Male, Female or Unknown)]]="Female",Backend!$C$7,IF(Table1[[#This Row],[Fetal Sex (Male, Female or Unknown)]]="Unknown",Backend!$C$8,"Error"))),"")</f>
        <v/>
      </c>
      <c r="F1047" s="8" t="str">
        <f>IF(Table1[[#This Row],[Is Data Valid]]=TRUE,EXP(0.578+0.332*((Table1[[#This Row],[Gestation (days)]]+0.5)/7)-0.00354*((Table1[[#This Row],[Gestation (days)]]+0.5)/7)^2)*Table1[[#This Row],[BW40_3705]],"")</f>
        <v/>
      </c>
      <c r="G1047" s="2" t="str">
        <f>IF(Table1[[#This Row],[Is Data Valid]]=TRUE,((Table1[[#This Row],[Birthweight (grams)]]/Table1[[#This Row],[BW_GA]])-1)/(Backend!$B$4/100*Table1[[#This Row],[BW40_3705]]),"")</f>
        <v/>
      </c>
      <c r="H1047" s="7" t="str">
        <f>IF(Table1[[#This Row],[Is Data Valid]]=TRUE,((Table1[[#This Row],[Birthweight (grams)]]*0.9/Table1[[#This Row],[BW_GA]])-1)/(Backend!$B$4/100*Table1[[#This Row],[BW40_3705]]),"")</f>
        <v/>
      </c>
      <c r="I1047" s="7" t="str">
        <f>IF(Table1[[#This Row],[Is Data Valid]]=TRUE,((Table1[[#This Row],[Birthweight (grams)]]*1.1/Table1[[#This Row],[BW_GA]])-1)/(Backend!$B$4/100*Table1[[#This Row],[BW40_3705]]),"")</f>
        <v/>
      </c>
      <c r="J1047" s="7" t="str">
        <f>IF(Table1[[#This Row],[Is Data Valid]]=TRUE,_xlfn.NORM.S.DIST(Table1[[#This Row],[Birthweight Z-Score]],TRUE)*100,"")</f>
        <v/>
      </c>
      <c r="K1047" s="7" t="str">
        <f>IF(Table1[[#This Row],[Is Data Valid]]=TRUE,_xlfn.NORM.S.DIST(Table1[[#This Row],[Birthweight Z-Score (BW-10%)]],TRUE)*100,"")</f>
        <v/>
      </c>
      <c r="L1047" s="7" t="str">
        <f>IF(Table1[[#This Row],[Is Data Valid]]=TRUE,_xlfn.NORM.S.DIST(Table1[[#This Row],[Birthweight Z-Score (BW+10%)]],TRUE)*100,"")</f>
        <v/>
      </c>
    </row>
    <row r="1048" spans="1:12" x14ac:dyDescent="0.35">
      <c r="A1048" s="3"/>
      <c r="B1048" s="2"/>
      <c r="C1048" s="2"/>
      <c r="D1048" s="2" t="b">
        <f>IF(AND(NOT(ISBLANK(Table1[[#This Row],[Fetal Sex (Male, Female or Unknown)]])),ISNUMBER(Table1[[#This Row],[Birthweight (grams)]]),ISNUMBER(Table1[[#This Row],[Gestation (days)]])),TRUE,FALSE)</f>
        <v>0</v>
      </c>
      <c r="E1048" s="2" t="str">
        <f>IF(Table1[[#This Row],[Is Data Valid]]=TRUE,IF(Table1[[#This Row],[Fetal Sex (Male, Female or Unknown)]]="Male",Backend!$C$6,IF(Table1[[#This Row],[Fetal Sex (Male, Female or Unknown)]]="Female",Backend!$C$7,IF(Table1[[#This Row],[Fetal Sex (Male, Female or Unknown)]]="Unknown",Backend!$C$8,"Error"))),"")</f>
        <v/>
      </c>
      <c r="F1048" s="8" t="str">
        <f>IF(Table1[[#This Row],[Is Data Valid]]=TRUE,EXP(0.578+0.332*((Table1[[#This Row],[Gestation (days)]]+0.5)/7)-0.00354*((Table1[[#This Row],[Gestation (days)]]+0.5)/7)^2)*Table1[[#This Row],[BW40_3705]],"")</f>
        <v/>
      </c>
      <c r="G1048" s="2" t="str">
        <f>IF(Table1[[#This Row],[Is Data Valid]]=TRUE,((Table1[[#This Row],[Birthweight (grams)]]/Table1[[#This Row],[BW_GA]])-1)/(Backend!$B$4/100*Table1[[#This Row],[BW40_3705]]),"")</f>
        <v/>
      </c>
      <c r="H1048" s="7" t="str">
        <f>IF(Table1[[#This Row],[Is Data Valid]]=TRUE,((Table1[[#This Row],[Birthweight (grams)]]*0.9/Table1[[#This Row],[BW_GA]])-1)/(Backend!$B$4/100*Table1[[#This Row],[BW40_3705]]),"")</f>
        <v/>
      </c>
      <c r="I1048" s="7" t="str">
        <f>IF(Table1[[#This Row],[Is Data Valid]]=TRUE,((Table1[[#This Row],[Birthweight (grams)]]*1.1/Table1[[#This Row],[BW_GA]])-1)/(Backend!$B$4/100*Table1[[#This Row],[BW40_3705]]),"")</f>
        <v/>
      </c>
      <c r="J1048" s="7" t="str">
        <f>IF(Table1[[#This Row],[Is Data Valid]]=TRUE,_xlfn.NORM.S.DIST(Table1[[#This Row],[Birthweight Z-Score]],TRUE)*100,"")</f>
        <v/>
      </c>
      <c r="K1048" s="7" t="str">
        <f>IF(Table1[[#This Row],[Is Data Valid]]=TRUE,_xlfn.NORM.S.DIST(Table1[[#This Row],[Birthweight Z-Score (BW-10%)]],TRUE)*100,"")</f>
        <v/>
      </c>
      <c r="L1048" s="7" t="str">
        <f>IF(Table1[[#This Row],[Is Data Valid]]=TRUE,_xlfn.NORM.S.DIST(Table1[[#This Row],[Birthweight Z-Score (BW+10%)]],TRUE)*100,"")</f>
        <v/>
      </c>
    </row>
    <row r="1049" spans="1:12" x14ac:dyDescent="0.35">
      <c r="A1049" s="3"/>
      <c r="B1049" s="2"/>
      <c r="C1049" s="2"/>
      <c r="D1049" s="2" t="b">
        <f>IF(AND(NOT(ISBLANK(Table1[[#This Row],[Fetal Sex (Male, Female or Unknown)]])),ISNUMBER(Table1[[#This Row],[Birthweight (grams)]]),ISNUMBER(Table1[[#This Row],[Gestation (days)]])),TRUE,FALSE)</f>
        <v>0</v>
      </c>
      <c r="E1049" s="2" t="str">
        <f>IF(Table1[[#This Row],[Is Data Valid]]=TRUE,IF(Table1[[#This Row],[Fetal Sex (Male, Female or Unknown)]]="Male",Backend!$C$6,IF(Table1[[#This Row],[Fetal Sex (Male, Female or Unknown)]]="Female",Backend!$C$7,IF(Table1[[#This Row],[Fetal Sex (Male, Female or Unknown)]]="Unknown",Backend!$C$8,"Error"))),"")</f>
        <v/>
      </c>
      <c r="F1049" s="8" t="str">
        <f>IF(Table1[[#This Row],[Is Data Valid]]=TRUE,EXP(0.578+0.332*((Table1[[#This Row],[Gestation (days)]]+0.5)/7)-0.00354*((Table1[[#This Row],[Gestation (days)]]+0.5)/7)^2)*Table1[[#This Row],[BW40_3705]],"")</f>
        <v/>
      </c>
      <c r="G1049" s="2" t="str">
        <f>IF(Table1[[#This Row],[Is Data Valid]]=TRUE,((Table1[[#This Row],[Birthweight (grams)]]/Table1[[#This Row],[BW_GA]])-1)/(Backend!$B$4/100*Table1[[#This Row],[BW40_3705]]),"")</f>
        <v/>
      </c>
      <c r="H1049" s="7" t="str">
        <f>IF(Table1[[#This Row],[Is Data Valid]]=TRUE,((Table1[[#This Row],[Birthweight (grams)]]*0.9/Table1[[#This Row],[BW_GA]])-1)/(Backend!$B$4/100*Table1[[#This Row],[BW40_3705]]),"")</f>
        <v/>
      </c>
      <c r="I1049" s="7" t="str">
        <f>IF(Table1[[#This Row],[Is Data Valid]]=TRUE,((Table1[[#This Row],[Birthweight (grams)]]*1.1/Table1[[#This Row],[BW_GA]])-1)/(Backend!$B$4/100*Table1[[#This Row],[BW40_3705]]),"")</f>
        <v/>
      </c>
      <c r="J1049" s="7" t="str">
        <f>IF(Table1[[#This Row],[Is Data Valid]]=TRUE,_xlfn.NORM.S.DIST(Table1[[#This Row],[Birthweight Z-Score]],TRUE)*100,"")</f>
        <v/>
      </c>
      <c r="K1049" s="7" t="str">
        <f>IF(Table1[[#This Row],[Is Data Valid]]=TRUE,_xlfn.NORM.S.DIST(Table1[[#This Row],[Birthweight Z-Score (BW-10%)]],TRUE)*100,"")</f>
        <v/>
      </c>
      <c r="L1049" s="7" t="str">
        <f>IF(Table1[[#This Row],[Is Data Valid]]=TRUE,_xlfn.NORM.S.DIST(Table1[[#This Row],[Birthweight Z-Score (BW+10%)]],TRUE)*100,"")</f>
        <v/>
      </c>
    </row>
    <row r="1050" spans="1:12" x14ac:dyDescent="0.35">
      <c r="A1050" s="3"/>
      <c r="B1050" s="2"/>
      <c r="C1050" s="2"/>
      <c r="D1050" s="2" t="b">
        <f>IF(AND(NOT(ISBLANK(Table1[[#This Row],[Fetal Sex (Male, Female or Unknown)]])),ISNUMBER(Table1[[#This Row],[Birthweight (grams)]]),ISNUMBER(Table1[[#This Row],[Gestation (days)]])),TRUE,FALSE)</f>
        <v>0</v>
      </c>
      <c r="E1050" s="2" t="str">
        <f>IF(Table1[[#This Row],[Is Data Valid]]=TRUE,IF(Table1[[#This Row],[Fetal Sex (Male, Female or Unknown)]]="Male",Backend!$C$6,IF(Table1[[#This Row],[Fetal Sex (Male, Female or Unknown)]]="Female",Backend!$C$7,IF(Table1[[#This Row],[Fetal Sex (Male, Female or Unknown)]]="Unknown",Backend!$C$8,"Error"))),"")</f>
        <v/>
      </c>
      <c r="F1050" s="8" t="str">
        <f>IF(Table1[[#This Row],[Is Data Valid]]=TRUE,EXP(0.578+0.332*((Table1[[#This Row],[Gestation (days)]]+0.5)/7)-0.00354*((Table1[[#This Row],[Gestation (days)]]+0.5)/7)^2)*Table1[[#This Row],[BW40_3705]],"")</f>
        <v/>
      </c>
      <c r="G1050" s="2" t="str">
        <f>IF(Table1[[#This Row],[Is Data Valid]]=TRUE,((Table1[[#This Row],[Birthweight (grams)]]/Table1[[#This Row],[BW_GA]])-1)/(Backend!$B$4/100*Table1[[#This Row],[BW40_3705]]),"")</f>
        <v/>
      </c>
      <c r="H1050" s="7" t="str">
        <f>IF(Table1[[#This Row],[Is Data Valid]]=TRUE,((Table1[[#This Row],[Birthweight (grams)]]*0.9/Table1[[#This Row],[BW_GA]])-1)/(Backend!$B$4/100*Table1[[#This Row],[BW40_3705]]),"")</f>
        <v/>
      </c>
      <c r="I1050" s="7" t="str">
        <f>IF(Table1[[#This Row],[Is Data Valid]]=TRUE,((Table1[[#This Row],[Birthweight (grams)]]*1.1/Table1[[#This Row],[BW_GA]])-1)/(Backend!$B$4/100*Table1[[#This Row],[BW40_3705]]),"")</f>
        <v/>
      </c>
      <c r="J1050" s="7" t="str">
        <f>IF(Table1[[#This Row],[Is Data Valid]]=TRUE,_xlfn.NORM.S.DIST(Table1[[#This Row],[Birthweight Z-Score]],TRUE)*100,"")</f>
        <v/>
      </c>
      <c r="K1050" s="7" t="str">
        <f>IF(Table1[[#This Row],[Is Data Valid]]=TRUE,_xlfn.NORM.S.DIST(Table1[[#This Row],[Birthweight Z-Score (BW-10%)]],TRUE)*100,"")</f>
        <v/>
      </c>
      <c r="L1050" s="7" t="str">
        <f>IF(Table1[[#This Row],[Is Data Valid]]=TRUE,_xlfn.NORM.S.DIST(Table1[[#This Row],[Birthweight Z-Score (BW+10%)]],TRUE)*100,"")</f>
        <v/>
      </c>
    </row>
    <row r="1051" spans="1:12" x14ac:dyDescent="0.35">
      <c r="A1051" s="3"/>
      <c r="B1051" s="2"/>
      <c r="C1051" s="2"/>
      <c r="D1051" s="2" t="b">
        <f>IF(AND(NOT(ISBLANK(Table1[[#This Row],[Fetal Sex (Male, Female or Unknown)]])),ISNUMBER(Table1[[#This Row],[Birthweight (grams)]]),ISNUMBER(Table1[[#This Row],[Gestation (days)]])),TRUE,FALSE)</f>
        <v>0</v>
      </c>
      <c r="E1051" s="2" t="str">
        <f>IF(Table1[[#This Row],[Is Data Valid]]=TRUE,IF(Table1[[#This Row],[Fetal Sex (Male, Female or Unknown)]]="Male",Backend!$C$6,IF(Table1[[#This Row],[Fetal Sex (Male, Female or Unknown)]]="Female",Backend!$C$7,IF(Table1[[#This Row],[Fetal Sex (Male, Female or Unknown)]]="Unknown",Backend!$C$8,"Error"))),"")</f>
        <v/>
      </c>
      <c r="F1051" s="8" t="str">
        <f>IF(Table1[[#This Row],[Is Data Valid]]=TRUE,EXP(0.578+0.332*((Table1[[#This Row],[Gestation (days)]]+0.5)/7)-0.00354*((Table1[[#This Row],[Gestation (days)]]+0.5)/7)^2)*Table1[[#This Row],[BW40_3705]],"")</f>
        <v/>
      </c>
      <c r="G1051" s="2" t="str">
        <f>IF(Table1[[#This Row],[Is Data Valid]]=TRUE,((Table1[[#This Row],[Birthweight (grams)]]/Table1[[#This Row],[BW_GA]])-1)/(Backend!$B$4/100*Table1[[#This Row],[BW40_3705]]),"")</f>
        <v/>
      </c>
      <c r="H1051" s="7" t="str">
        <f>IF(Table1[[#This Row],[Is Data Valid]]=TRUE,((Table1[[#This Row],[Birthweight (grams)]]*0.9/Table1[[#This Row],[BW_GA]])-1)/(Backend!$B$4/100*Table1[[#This Row],[BW40_3705]]),"")</f>
        <v/>
      </c>
      <c r="I1051" s="7" t="str">
        <f>IF(Table1[[#This Row],[Is Data Valid]]=TRUE,((Table1[[#This Row],[Birthweight (grams)]]*1.1/Table1[[#This Row],[BW_GA]])-1)/(Backend!$B$4/100*Table1[[#This Row],[BW40_3705]]),"")</f>
        <v/>
      </c>
      <c r="J1051" s="7" t="str">
        <f>IF(Table1[[#This Row],[Is Data Valid]]=TRUE,_xlfn.NORM.S.DIST(Table1[[#This Row],[Birthweight Z-Score]],TRUE)*100,"")</f>
        <v/>
      </c>
      <c r="K1051" s="7" t="str">
        <f>IF(Table1[[#This Row],[Is Data Valid]]=TRUE,_xlfn.NORM.S.DIST(Table1[[#This Row],[Birthweight Z-Score (BW-10%)]],TRUE)*100,"")</f>
        <v/>
      </c>
      <c r="L1051" s="7" t="str">
        <f>IF(Table1[[#This Row],[Is Data Valid]]=TRUE,_xlfn.NORM.S.DIST(Table1[[#This Row],[Birthweight Z-Score (BW+10%)]],TRUE)*100,"")</f>
        <v/>
      </c>
    </row>
    <row r="1052" spans="1:12" x14ac:dyDescent="0.35">
      <c r="A1052" s="3"/>
      <c r="B1052" s="2"/>
      <c r="C1052" s="2"/>
      <c r="D1052" s="2" t="b">
        <f>IF(AND(NOT(ISBLANK(Table1[[#This Row],[Fetal Sex (Male, Female or Unknown)]])),ISNUMBER(Table1[[#This Row],[Birthweight (grams)]]),ISNUMBER(Table1[[#This Row],[Gestation (days)]])),TRUE,FALSE)</f>
        <v>0</v>
      </c>
      <c r="E1052" s="2" t="str">
        <f>IF(Table1[[#This Row],[Is Data Valid]]=TRUE,IF(Table1[[#This Row],[Fetal Sex (Male, Female or Unknown)]]="Male",Backend!$C$6,IF(Table1[[#This Row],[Fetal Sex (Male, Female or Unknown)]]="Female",Backend!$C$7,IF(Table1[[#This Row],[Fetal Sex (Male, Female or Unknown)]]="Unknown",Backend!$C$8,"Error"))),"")</f>
        <v/>
      </c>
      <c r="F1052" s="8" t="str">
        <f>IF(Table1[[#This Row],[Is Data Valid]]=TRUE,EXP(0.578+0.332*((Table1[[#This Row],[Gestation (days)]]+0.5)/7)-0.00354*((Table1[[#This Row],[Gestation (days)]]+0.5)/7)^2)*Table1[[#This Row],[BW40_3705]],"")</f>
        <v/>
      </c>
      <c r="G1052" s="2" t="str">
        <f>IF(Table1[[#This Row],[Is Data Valid]]=TRUE,((Table1[[#This Row],[Birthweight (grams)]]/Table1[[#This Row],[BW_GA]])-1)/(Backend!$B$4/100*Table1[[#This Row],[BW40_3705]]),"")</f>
        <v/>
      </c>
      <c r="H1052" s="7" t="str">
        <f>IF(Table1[[#This Row],[Is Data Valid]]=TRUE,((Table1[[#This Row],[Birthweight (grams)]]*0.9/Table1[[#This Row],[BW_GA]])-1)/(Backend!$B$4/100*Table1[[#This Row],[BW40_3705]]),"")</f>
        <v/>
      </c>
      <c r="I1052" s="7" t="str">
        <f>IF(Table1[[#This Row],[Is Data Valid]]=TRUE,((Table1[[#This Row],[Birthweight (grams)]]*1.1/Table1[[#This Row],[BW_GA]])-1)/(Backend!$B$4/100*Table1[[#This Row],[BW40_3705]]),"")</f>
        <v/>
      </c>
      <c r="J1052" s="7" t="str">
        <f>IF(Table1[[#This Row],[Is Data Valid]]=TRUE,_xlfn.NORM.S.DIST(Table1[[#This Row],[Birthweight Z-Score]],TRUE)*100,"")</f>
        <v/>
      </c>
      <c r="K1052" s="7" t="str">
        <f>IF(Table1[[#This Row],[Is Data Valid]]=TRUE,_xlfn.NORM.S.DIST(Table1[[#This Row],[Birthweight Z-Score (BW-10%)]],TRUE)*100,"")</f>
        <v/>
      </c>
      <c r="L1052" s="7" t="str">
        <f>IF(Table1[[#This Row],[Is Data Valid]]=TRUE,_xlfn.NORM.S.DIST(Table1[[#This Row],[Birthweight Z-Score (BW+10%)]],TRUE)*100,"")</f>
        <v/>
      </c>
    </row>
    <row r="1053" spans="1:12" x14ac:dyDescent="0.35">
      <c r="A1053" s="3"/>
      <c r="B1053" s="2"/>
      <c r="C1053" s="2"/>
      <c r="D1053" s="2" t="b">
        <f>IF(AND(NOT(ISBLANK(Table1[[#This Row],[Fetal Sex (Male, Female or Unknown)]])),ISNUMBER(Table1[[#This Row],[Birthweight (grams)]]),ISNUMBER(Table1[[#This Row],[Gestation (days)]])),TRUE,FALSE)</f>
        <v>0</v>
      </c>
      <c r="E1053" s="2" t="str">
        <f>IF(Table1[[#This Row],[Is Data Valid]]=TRUE,IF(Table1[[#This Row],[Fetal Sex (Male, Female or Unknown)]]="Male",Backend!$C$6,IF(Table1[[#This Row],[Fetal Sex (Male, Female or Unknown)]]="Female",Backend!$C$7,IF(Table1[[#This Row],[Fetal Sex (Male, Female or Unknown)]]="Unknown",Backend!$C$8,"Error"))),"")</f>
        <v/>
      </c>
      <c r="F1053" s="8" t="str">
        <f>IF(Table1[[#This Row],[Is Data Valid]]=TRUE,EXP(0.578+0.332*((Table1[[#This Row],[Gestation (days)]]+0.5)/7)-0.00354*((Table1[[#This Row],[Gestation (days)]]+0.5)/7)^2)*Table1[[#This Row],[BW40_3705]],"")</f>
        <v/>
      </c>
      <c r="G1053" s="2" t="str">
        <f>IF(Table1[[#This Row],[Is Data Valid]]=TRUE,((Table1[[#This Row],[Birthweight (grams)]]/Table1[[#This Row],[BW_GA]])-1)/(Backend!$B$4/100*Table1[[#This Row],[BW40_3705]]),"")</f>
        <v/>
      </c>
      <c r="H1053" s="7" t="str">
        <f>IF(Table1[[#This Row],[Is Data Valid]]=TRUE,((Table1[[#This Row],[Birthweight (grams)]]*0.9/Table1[[#This Row],[BW_GA]])-1)/(Backend!$B$4/100*Table1[[#This Row],[BW40_3705]]),"")</f>
        <v/>
      </c>
      <c r="I1053" s="7" t="str">
        <f>IF(Table1[[#This Row],[Is Data Valid]]=TRUE,((Table1[[#This Row],[Birthweight (grams)]]*1.1/Table1[[#This Row],[BW_GA]])-1)/(Backend!$B$4/100*Table1[[#This Row],[BW40_3705]]),"")</f>
        <v/>
      </c>
      <c r="J1053" s="7" t="str">
        <f>IF(Table1[[#This Row],[Is Data Valid]]=TRUE,_xlfn.NORM.S.DIST(Table1[[#This Row],[Birthweight Z-Score]],TRUE)*100,"")</f>
        <v/>
      </c>
      <c r="K1053" s="7" t="str">
        <f>IF(Table1[[#This Row],[Is Data Valid]]=TRUE,_xlfn.NORM.S.DIST(Table1[[#This Row],[Birthweight Z-Score (BW-10%)]],TRUE)*100,"")</f>
        <v/>
      </c>
      <c r="L1053" s="7" t="str">
        <f>IF(Table1[[#This Row],[Is Data Valid]]=TRUE,_xlfn.NORM.S.DIST(Table1[[#This Row],[Birthweight Z-Score (BW+10%)]],TRUE)*100,"")</f>
        <v/>
      </c>
    </row>
    <row r="1054" spans="1:12" x14ac:dyDescent="0.35">
      <c r="A1054" s="3"/>
      <c r="B1054" s="2"/>
      <c r="C1054" s="2"/>
      <c r="D1054" s="2" t="b">
        <f>IF(AND(NOT(ISBLANK(Table1[[#This Row],[Fetal Sex (Male, Female or Unknown)]])),ISNUMBER(Table1[[#This Row],[Birthweight (grams)]]),ISNUMBER(Table1[[#This Row],[Gestation (days)]])),TRUE,FALSE)</f>
        <v>0</v>
      </c>
      <c r="E1054" s="2" t="str">
        <f>IF(Table1[[#This Row],[Is Data Valid]]=TRUE,IF(Table1[[#This Row],[Fetal Sex (Male, Female or Unknown)]]="Male",Backend!$C$6,IF(Table1[[#This Row],[Fetal Sex (Male, Female or Unknown)]]="Female",Backend!$C$7,IF(Table1[[#This Row],[Fetal Sex (Male, Female or Unknown)]]="Unknown",Backend!$C$8,"Error"))),"")</f>
        <v/>
      </c>
      <c r="F1054" s="8" t="str">
        <f>IF(Table1[[#This Row],[Is Data Valid]]=TRUE,EXP(0.578+0.332*((Table1[[#This Row],[Gestation (days)]]+0.5)/7)-0.00354*((Table1[[#This Row],[Gestation (days)]]+0.5)/7)^2)*Table1[[#This Row],[BW40_3705]],"")</f>
        <v/>
      </c>
      <c r="G1054" s="2" t="str">
        <f>IF(Table1[[#This Row],[Is Data Valid]]=TRUE,((Table1[[#This Row],[Birthweight (grams)]]/Table1[[#This Row],[BW_GA]])-1)/(Backend!$B$4/100*Table1[[#This Row],[BW40_3705]]),"")</f>
        <v/>
      </c>
      <c r="H1054" s="7" t="str">
        <f>IF(Table1[[#This Row],[Is Data Valid]]=TRUE,((Table1[[#This Row],[Birthweight (grams)]]*0.9/Table1[[#This Row],[BW_GA]])-1)/(Backend!$B$4/100*Table1[[#This Row],[BW40_3705]]),"")</f>
        <v/>
      </c>
      <c r="I1054" s="7" t="str">
        <f>IF(Table1[[#This Row],[Is Data Valid]]=TRUE,((Table1[[#This Row],[Birthweight (grams)]]*1.1/Table1[[#This Row],[BW_GA]])-1)/(Backend!$B$4/100*Table1[[#This Row],[BW40_3705]]),"")</f>
        <v/>
      </c>
      <c r="J1054" s="7" t="str">
        <f>IF(Table1[[#This Row],[Is Data Valid]]=TRUE,_xlfn.NORM.S.DIST(Table1[[#This Row],[Birthweight Z-Score]],TRUE)*100,"")</f>
        <v/>
      </c>
      <c r="K1054" s="7" t="str">
        <f>IF(Table1[[#This Row],[Is Data Valid]]=TRUE,_xlfn.NORM.S.DIST(Table1[[#This Row],[Birthweight Z-Score (BW-10%)]],TRUE)*100,"")</f>
        <v/>
      </c>
      <c r="L1054" s="7" t="str">
        <f>IF(Table1[[#This Row],[Is Data Valid]]=TRUE,_xlfn.NORM.S.DIST(Table1[[#This Row],[Birthweight Z-Score (BW+10%)]],TRUE)*100,"")</f>
        <v/>
      </c>
    </row>
    <row r="1055" spans="1:12" x14ac:dyDescent="0.35">
      <c r="A1055" s="3"/>
      <c r="B1055" s="2"/>
      <c r="C1055" s="2"/>
      <c r="D1055" s="2" t="b">
        <f>IF(AND(NOT(ISBLANK(Table1[[#This Row],[Fetal Sex (Male, Female or Unknown)]])),ISNUMBER(Table1[[#This Row],[Birthweight (grams)]]),ISNUMBER(Table1[[#This Row],[Gestation (days)]])),TRUE,FALSE)</f>
        <v>0</v>
      </c>
      <c r="E1055" s="2" t="str">
        <f>IF(Table1[[#This Row],[Is Data Valid]]=TRUE,IF(Table1[[#This Row],[Fetal Sex (Male, Female or Unknown)]]="Male",Backend!$C$6,IF(Table1[[#This Row],[Fetal Sex (Male, Female or Unknown)]]="Female",Backend!$C$7,IF(Table1[[#This Row],[Fetal Sex (Male, Female or Unknown)]]="Unknown",Backend!$C$8,"Error"))),"")</f>
        <v/>
      </c>
      <c r="F1055" s="8" t="str">
        <f>IF(Table1[[#This Row],[Is Data Valid]]=TRUE,EXP(0.578+0.332*((Table1[[#This Row],[Gestation (days)]]+0.5)/7)-0.00354*((Table1[[#This Row],[Gestation (days)]]+0.5)/7)^2)*Table1[[#This Row],[BW40_3705]],"")</f>
        <v/>
      </c>
      <c r="G1055" s="2" t="str">
        <f>IF(Table1[[#This Row],[Is Data Valid]]=TRUE,((Table1[[#This Row],[Birthweight (grams)]]/Table1[[#This Row],[BW_GA]])-1)/(Backend!$B$4/100*Table1[[#This Row],[BW40_3705]]),"")</f>
        <v/>
      </c>
      <c r="H1055" s="7" t="str">
        <f>IF(Table1[[#This Row],[Is Data Valid]]=TRUE,((Table1[[#This Row],[Birthweight (grams)]]*0.9/Table1[[#This Row],[BW_GA]])-1)/(Backend!$B$4/100*Table1[[#This Row],[BW40_3705]]),"")</f>
        <v/>
      </c>
      <c r="I1055" s="7" t="str">
        <f>IF(Table1[[#This Row],[Is Data Valid]]=TRUE,((Table1[[#This Row],[Birthweight (grams)]]*1.1/Table1[[#This Row],[BW_GA]])-1)/(Backend!$B$4/100*Table1[[#This Row],[BW40_3705]]),"")</f>
        <v/>
      </c>
      <c r="J1055" s="7" t="str">
        <f>IF(Table1[[#This Row],[Is Data Valid]]=TRUE,_xlfn.NORM.S.DIST(Table1[[#This Row],[Birthweight Z-Score]],TRUE)*100,"")</f>
        <v/>
      </c>
      <c r="K1055" s="7" t="str">
        <f>IF(Table1[[#This Row],[Is Data Valid]]=TRUE,_xlfn.NORM.S.DIST(Table1[[#This Row],[Birthweight Z-Score (BW-10%)]],TRUE)*100,"")</f>
        <v/>
      </c>
      <c r="L1055" s="7" t="str">
        <f>IF(Table1[[#This Row],[Is Data Valid]]=TRUE,_xlfn.NORM.S.DIST(Table1[[#This Row],[Birthweight Z-Score (BW+10%)]],TRUE)*100,"")</f>
        <v/>
      </c>
    </row>
    <row r="1056" spans="1:12" x14ac:dyDescent="0.35">
      <c r="A1056" s="3"/>
      <c r="B1056" s="2"/>
      <c r="C1056" s="2"/>
      <c r="D1056" s="2" t="b">
        <f>IF(AND(NOT(ISBLANK(Table1[[#This Row],[Fetal Sex (Male, Female or Unknown)]])),ISNUMBER(Table1[[#This Row],[Birthweight (grams)]]),ISNUMBER(Table1[[#This Row],[Gestation (days)]])),TRUE,FALSE)</f>
        <v>0</v>
      </c>
      <c r="E1056" s="2" t="str">
        <f>IF(Table1[[#This Row],[Is Data Valid]]=TRUE,IF(Table1[[#This Row],[Fetal Sex (Male, Female or Unknown)]]="Male",Backend!$C$6,IF(Table1[[#This Row],[Fetal Sex (Male, Female or Unknown)]]="Female",Backend!$C$7,IF(Table1[[#This Row],[Fetal Sex (Male, Female or Unknown)]]="Unknown",Backend!$C$8,"Error"))),"")</f>
        <v/>
      </c>
      <c r="F1056" s="8" t="str">
        <f>IF(Table1[[#This Row],[Is Data Valid]]=TRUE,EXP(0.578+0.332*((Table1[[#This Row],[Gestation (days)]]+0.5)/7)-0.00354*((Table1[[#This Row],[Gestation (days)]]+0.5)/7)^2)*Table1[[#This Row],[BW40_3705]],"")</f>
        <v/>
      </c>
      <c r="G1056" s="2" t="str">
        <f>IF(Table1[[#This Row],[Is Data Valid]]=TRUE,((Table1[[#This Row],[Birthweight (grams)]]/Table1[[#This Row],[BW_GA]])-1)/(Backend!$B$4/100*Table1[[#This Row],[BW40_3705]]),"")</f>
        <v/>
      </c>
      <c r="H1056" s="7" t="str">
        <f>IF(Table1[[#This Row],[Is Data Valid]]=TRUE,((Table1[[#This Row],[Birthweight (grams)]]*0.9/Table1[[#This Row],[BW_GA]])-1)/(Backend!$B$4/100*Table1[[#This Row],[BW40_3705]]),"")</f>
        <v/>
      </c>
      <c r="I1056" s="7" t="str">
        <f>IF(Table1[[#This Row],[Is Data Valid]]=TRUE,((Table1[[#This Row],[Birthweight (grams)]]*1.1/Table1[[#This Row],[BW_GA]])-1)/(Backend!$B$4/100*Table1[[#This Row],[BW40_3705]]),"")</f>
        <v/>
      </c>
      <c r="J1056" s="7" t="str">
        <f>IF(Table1[[#This Row],[Is Data Valid]]=TRUE,_xlfn.NORM.S.DIST(Table1[[#This Row],[Birthweight Z-Score]],TRUE)*100,"")</f>
        <v/>
      </c>
      <c r="K1056" s="7" t="str">
        <f>IF(Table1[[#This Row],[Is Data Valid]]=TRUE,_xlfn.NORM.S.DIST(Table1[[#This Row],[Birthweight Z-Score (BW-10%)]],TRUE)*100,"")</f>
        <v/>
      </c>
      <c r="L1056" s="7" t="str">
        <f>IF(Table1[[#This Row],[Is Data Valid]]=TRUE,_xlfn.NORM.S.DIST(Table1[[#This Row],[Birthweight Z-Score (BW+10%)]],TRUE)*100,"")</f>
        <v/>
      </c>
    </row>
    <row r="1057" spans="1:12" x14ac:dyDescent="0.35">
      <c r="A1057" s="3"/>
      <c r="B1057" s="2"/>
      <c r="C1057" s="2"/>
      <c r="D1057" s="2" t="b">
        <f>IF(AND(NOT(ISBLANK(Table1[[#This Row],[Fetal Sex (Male, Female or Unknown)]])),ISNUMBER(Table1[[#This Row],[Birthweight (grams)]]),ISNUMBER(Table1[[#This Row],[Gestation (days)]])),TRUE,FALSE)</f>
        <v>0</v>
      </c>
      <c r="E1057" s="2" t="str">
        <f>IF(Table1[[#This Row],[Is Data Valid]]=TRUE,IF(Table1[[#This Row],[Fetal Sex (Male, Female or Unknown)]]="Male",Backend!$C$6,IF(Table1[[#This Row],[Fetal Sex (Male, Female or Unknown)]]="Female",Backend!$C$7,IF(Table1[[#This Row],[Fetal Sex (Male, Female or Unknown)]]="Unknown",Backend!$C$8,"Error"))),"")</f>
        <v/>
      </c>
      <c r="F1057" s="8" t="str">
        <f>IF(Table1[[#This Row],[Is Data Valid]]=TRUE,EXP(0.578+0.332*((Table1[[#This Row],[Gestation (days)]]+0.5)/7)-0.00354*((Table1[[#This Row],[Gestation (days)]]+0.5)/7)^2)*Table1[[#This Row],[BW40_3705]],"")</f>
        <v/>
      </c>
      <c r="G1057" s="2" t="str">
        <f>IF(Table1[[#This Row],[Is Data Valid]]=TRUE,((Table1[[#This Row],[Birthweight (grams)]]/Table1[[#This Row],[BW_GA]])-1)/(Backend!$B$4/100*Table1[[#This Row],[BW40_3705]]),"")</f>
        <v/>
      </c>
      <c r="H1057" s="7" t="str">
        <f>IF(Table1[[#This Row],[Is Data Valid]]=TRUE,((Table1[[#This Row],[Birthweight (grams)]]*0.9/Table1[[#This Row],[BW_GA]])-1)/(Backend!$B$4/100*Table1[[#This Row],[BW40_3705]]),"")</f>
        <v/>
      </c>
      <c r="I1057" s="7" t="str">
        <f>IF(Table1[[#This Row],[Is Data Valid]]=TRUE,((Table1[[#This Row],[Birthweight (grams)]]*1.1/Table1[[#This Row],[BW_GA]])-1)/(Backend!$B$4/100*Table1[[#This Row],[BW40_3705]]),"")</f>
        <v/>
      </c>
      <c r="J1057" s="7" t="str">
        <f>IF(Table1[[#This Row],[Is Data Valid]]=TRUE,_xlfn.NORM.S.DIST(Table1[[#This Row],[Birthweight Z-Score]],TRUE)*100,"")</f>
        <v/>
      </c>
      <c r="K1057" s="7" t="str">
        <f>IF(Table1[[#This Row],[Is Data Valid]]=TRUE,_xlfn.NORM.S.DIST(Table1[[#This Row],[Birthweight Z-Score (BW-10%)]],TRUE)*100,"")</f>
        <v/>
      </c>
      <c r="L1057" s="7" t="str">
        <f>IF(Table1[[#This Row],[Is Data Valid]]=TRUE,_xlfn.NORM.S.DIST(Table1[[#This Row],[Birthweight Z-Score (BW+10%)]],TRUE)*100,"")</f>
        <v/>
      </c>
    </row>
    <row r="1058" spans="1:12" x14ac:dyDescent="0.35">
      <c r="A1058" s="3"/>
      <c r="B1058" s="2"/>
      <c r="C1058" s="2"/>
      <c r="D1058" s="2" t="b">
        <f>IF(AND(NOT(ISBLANK(Table1[[#This Row],[Fetal Sex (Male, Female or Unknown)]])),ISNUMBER(Table1[[#This Row],[Birthweight (grams)]]),ISNUMBER(Table1[[#This Row],[Gestation (days)]])),TRUE,FALSE)</f>
        <v>0</v>
      </c>
      <c r="E1058" s="2" t="str">
        <f>IF(Table1[[#This Row],[Is Data Valid]]=TRUE,IF(Table1[[#This Row],[Fetal Sex (Male, Female or Unknown)]]="Male",Backend!$C$6,IF(Table1[[#This Row],[Fetal Sex (Male, Female or Unknown)]]="Female",Backend!$C$7,IF(Table1[[#This Row],[Fetal Sex (Male, Female or Unknown)]]="Unknown",Backend!$C$8,"Error"))),"")</f>
        <v/>
      </c>
      <c r="F1058" s="8" t="str">
        <f>IF(Table1[[#This Row],[Is Data Valid]]=TRUE,EXP(0.578+0.332*((Table1[[#This Row],[Gestation (days)]]+0.5)/7)-0.00354*((Table1[[#This Row],[Gestation (days)]]+0.5)/7)^2)*Table1[[#This Row],[BW40_3705]],"")</f>
        <v/>
      </c>
      <c r="G1058" s="2" t="str">
        <f>IF(Table1[[#This Row],[Is Data Valid]]=TRUE,((Table1[[#This Row],[Birthweight (grams)]]/Table1[[#This Row],[BW_GA]])-1)/(Backend!$B$4/100*Table1[[#This Row],[BW40_3705]]),"")</f>
        <v/>
      </c>
      <c r="H1058" s="7" t="str">
        <f>IF(Table1[[#This Row],[Is Data Valid]]=TRUE,((Table1[[#This Row],[Birthweight (grams)]]*0.9/Table1[[#This Row],[BW_GA]])-1)/(Backend!$B$4/100*Table1[[#This Row],[BW40_3705]]),"")</f>
        <v/>
      </c>
      <c r="I1058" s="7" t="str">
        <f>IF(Table1[[#This Row],[Is Data Valid]]=TRUE,((Table1[[#This Row],[Birthweight (grams)]]*1.1/Table1[[#This Row],[BW_GA]])-1)/(Backend!$B$4/100*Table1[[#This Row],[BW40_3705]]),"")</f>
        <v/>
      </c>
      <c r="J1058" s="7" t="str">
        <f>IF(Table1[[#This Row],[Is Data Valid]]=TRUE,_xlfn.NORM.S.DIST(Table1[[#This Row],[Birthweight Z-Score]],TRUE)*100,"")</f>
        <v/>
      </c>
      <c r="K1058" s="7" t="str">
        <f>IF(Table1[[#This Row],[Is Data Valid]]=TRUE,_xlfn.NORM.S.DIST(Table1[[#This Row],[Birthweight Z-Score (BW-10%)]],TRUE)*100,"")</f>
        <v/>
      </c>
      <c r="L1058" s="7" t="str">
        <f>IF(Table1[[#This Row],[Is Data Valid]]=TRUE,_xlfn.NORM.S.DIST(Table1[[#This Row],[Birthweight Z-Score (BW+10%)]],TRUE)*100,"")</f>
        <v/>
      </c>
    </row>
    <row r="1059" spans="1:12" x14ac:dyDescent="0.35">
      <c r="A1059" s="3"/>
      <c r="B1059" s="2"/>
      <c r="C1059" s="2"/>
      <c r="D1059" s="2" t="b">
        <f>IF(AND(NOT(ISBLANK(Table1[[#This Row],[Fetal Sex (Male, Female or Unknown)]])),ISNUMBER(Table1[[#This Row],[Birthweight (grams)]]),ISNUMBER(Table1[[#This Row],[Gestation (days)]])),TRUE,FALSE)</f>
        <v>0</v>
      </c>
      <c r="E1059" s="2" t="str">
        <f>IF(Table1[[#This Row],[Is Data Valid]]=TRUE,IF(Table1[[#This Row],[Fetal Sex (Male, Female or Unknown)]]="Male",Backend!$C$6,IF(Table1[[#This Row],[Fetal Sex (Male, Female or Unknown)]]="Female",Backend!$C$7,IF(Table1[[#This Row],[Fetal Sex (Male, Female or Unknown)]]="Unknown",Backend!$C$8,"Error"))),"")</f>
        <v/>
      </c>
      <c r="F1059" s="8" t="str">
        <f>IF(Table1[[#This Row],[Is Data Valid]]=TRUE,EXP(0.578+0.332*((Table1[[#This Row],[Gestation (days)]]+0.5)/7)-0.00354*((Table1[[#This Row],[Gestation (days)]]+0.5)/7)^2)*Table1[[#This Row],[BW40_3705]],"")</f>
        <v/>
      </c>
      <c r="G1059" s="2" t="str">
        <f>IF(Table1[[#This Row],[Is Data Valid]]=TRUE,((Table1[[#This Row],[Birthweight (grams)]]/Table1[[#This Row],[BW_GA]])-1)/(Backend!$B$4/100*Table1[[#This Row],[BW40_3705]]),"")</f>
        <v/>
      </c>
      <c r="H1059" s="7" t="str">
        <f>IF(Table1[[#This Row],[Is Data Valid]]=TRUE,((Table1[[#This Row],[Birthweight (grams)]]*0.9/Table1[[#This Row],[BW_GA]])-1)/(Backend!$B$4/100*Table1[[#This Row],[BW40_3705]]),"")</f>
        <v/>
      </c>
      <c r="I1059" s="7" t="str">
        <f>IF(Table1[[#This Row],[Is Data Valid]]=TRUE,((Table1[[#This Row],[Birthweight (grams)]]*1.1/Table1[[#This Row],[BW_GA]])-1)/(Backend!$B$4/100*Table1[[#This Row],[BW40_3705]]),"")</f>
        <v/>
      </c>
      <c r="J1059" s="7" t="str">
        <f>IF(Table1[[#This Row],[Is Data Valid]]=TRUE,_xlfn.NORM.S.DIST(Table1[[#This Row],[Birthweight Z-Score]],TRUE)*100,"")</f>
        <v/>
      </c>
      <c r="K1059" s="7" t="str">
        <f>IF(Table1[[#This Row],[Is Data Valid]]=TRUE,_xlfn.NORM.S.DIST(Table1[[#This Row],[Birthweight Z-Score (BW-10%)]],TRUE)*100,"")</f>
        <v/>
      </c>
      <c r="L1059" s="7" t="str">
        <f>IF(Table1[[#This Row],[Is Data Valid]]=TRUE,_xlfn.NORM.S.DIST(Table1[[#This Row],[Birthweight Z-Score (BW+10%)]],TRUE)*100,"")</f>
        <v/>
      </c>
    </row>
    <row r="1060" spans="1:12" x14ac:dyDescent="0.35">
      <c r="A1060" s="3"/>
      <c r="B1060" s="2"/>
      <c r="C1060" s="2"/>
      <c r="D1060" s="2" t="b">
        <f>IF(AND(NOT(ISBLANK(Table1[[#This Row],[Fetal Sex (Male, Female or Unknown)]])),ISNUMBER(Table1[[#This Row],[Birthweight (grams)]]),ISNUMBER(Table1[[#This Row],[Gestation (days)]])),TRUE,FALSE)</f>
        <v>0</v>
      </c>
      <c r="E1060" s="2" t="str">
        <f>IF(Table1[[#This Row],[Is Data Valid]]=TRUE,IF(Table1[[#This Row],[Fetal Sex (Male, Female or Unknown)]]="Male",Backend!$C$6,IF(Table1[[#This Row],[Fetal Sex (Male, Female or Unknown)]]="Female",Backend!$C$7,IF(Table1[[#This Row],[Fetal Sex (Male, Female or Unknown)]]="Unknown",Backend!$C$8,"Error"))),"")</f>
        <v/>
      </c>
      <c r="F1060" s="8" t="str">
        <f>IF(Table1[[#This Row],[Is Data Valid]]=TRUE,EXP(0.578+0.332*((Table1[[#This Row],[Gestation (days)]]+0.5)/7)-0.00354*((Table1[[#This Row],[Gestation (days)]]+0.5)/7)^2)*Table1[[#This Row],[BW40_3705]],"")</f>
        <v/>
      </c>
      <c r="G1060" s="2" t="str">
        <f>IF(Table1[[#This Row],[Is Data Valid]]=TRUE,((Table1[[#This Row],[Birthweight (grams)]]/Table1[[#This Row],[BW_GA]])-1)/(Backend!$B$4/100*Table1[[#This Row],[BW40_3705]]),"")</f>
        <v/>
      </c>
      <c r="H1060" s="7" t="str">
        <f>IF(Table1[[#This Row],[Is Data Valid]]=TRUE,((Table1[[#This Row],[Birthweight (grams)]]*0.9/Table1[[#This Row],[BW_GA]])-1)/(Backend!$B$4/100*Table1[[#This Row],[BW40_3705]]),"")</f>
        <v/>
      </c>
      <c r="I1060" s="7" t="str">
        <f>IF(Table1[[#This Row],[Is Data Valid]]=TRUE,((Table1[[#This Row],[Birthweight (grams)]]*1.1/Table1[[#This Row],[BW_GA]])-1)/(Backend!$B$4/100*Table1[[#This Row],[BW40_3705]]),"")</f>
        <v/>
      </c>
      <c r="J1060" s="7" t="str">
        <f>IF(Table1[[#This Row],[Is Data Valid]]=TRUE,_xlfn.NORM.S.DIST(Table1[[#This Row],[Birthweight Z-Score]],TRUE)*100,"")</f>
        <v/>
      </c>
      <c r="K1060" s="7" t="str">
        <f>IF(Table1[[#This Row],[Is Data Valid]]=TRUE,_xlfn.NORM.S.DIST(Table1[[#This Row],[Birthweight Z-Score (BW-10%)]],TRUE)*100,"")</f>
        <v/>
      </c>
      <c r="L1060" s="7" t="str">
        <f>IF(Table1[[#This Row],[Is Data Valid]]=TRUE,_xlfn.NORM.S.DIST(Table1[[#This Row],[Birthweight Z-Score (BW+10%)]],TRUE)*100,"")</f>
        <v/>
      </c>
    </row>
    <row r="1061" spans="1:12" x14ac:dyDescent="0.35">
      <c r="A1061" s="3"/>
      <c r="B1061" s="2"/>
      <c r="C1061" s="2"/>
      <c r="D1061" s="2" t="b">
        <f>IF(AND(NOT(ISBLANK(Table1[[#This Row],[Fetal Sex (Male, Female or Unknown)]])),ISNUMBER(Table1[[#This Row],[Birthweight (grams)]]),ISNUMBER(Table1[[#This Row],[Gestation (days)]])),TRUE,FALSE)</f>
        <v>0</v>
      </c>
      <c r="E1061" s="2" t="str">
        <f>IF(Table1[[#This Row],[Is Data Valid]]=TRUE,IF(Table1[[#This Row],[Fetal Sex (Male, Female or Unknown)]]="Male",Backend!$C$6,IF(Table1[[#This Row],[Fetal Sex (Male, Female or Unknown)]]="Female",Backend!$C$7,IF(Table1[[#This Row],[Fetal Sex (Male, Female or Unknown)]]="Unknown",Backend!$C$8,"Error"))),"")</f>
        <v/>
      </c>
      <c r="F1061" s="8" t="str">
        <f>IF(Table1[[#This Row],[Is Data Valid]]=TRUE,EXP(0.578+0.332*((Table1[[#This Row],[Gestation (days)]]+0.5)/7)-0.00354*((Table1[[#This Row],[Gestation (days)]]+0.5)/7)^2)*Table1[[#This Row],[BW40_3705]],"")</f>
        <v/>
      </c>
      <c r="G1061" s="2" t="str">
        <f>IF(Table1[[#This Row],[Is Data Valid]]=TRUE,((Table1[[#This Row],[Birthweight (grams)]]/Table1[[#This Row],[BW_GA]])-1)/(Backend!$B$4/100*Table1[[#This Row],[BW40_3705]]),"")</f>
        <v/>
      </c>
      <c r="H1061" s="7" t="str">
        <f>IF(Table1[[#This Row],[Is Data Valid]]=TRUE,((Table1[[#This Row],[Birthweight (grams)]]*0.9/Table1[[#This Row],[BW_GA]])-1)/(Backend!$B$4/100*Table1[[#This Row],[BW40_3705]]),"")</f>
        <v/>
      </c>
      <c r="I1061" s="7" t="str">
        <f>IF(Table1[[#This Row],[Is Data Valid]]=TRUE,((Table1[[#This Row],[Birthweight (grams)]]*1.1/Table1[[#This Row],[BW_GA]])-1)/(Backend!$B$4/100*Table1[[#This Row],[BW40_3705]]),"")</f>
        <v/>
      </c>
      <c r="J1061" s="7" t="str">
        <f>IF(Table1[[#This Row],[Is Data Valid]]=TRUE,_xlfn.NORM.S.DIST(Table1[[#This Row],[Birthweight Z-Score]],TRUE)*100,"")</f>
        <v/>
      </c>
      <c r="K1061" s="7" t="str">
        <f>IF(Table1[[#This Row],[Is Data Valid]]=TRUE,_xlfn.NORM.S.DIST(Table1[[#This Row],[Birthweight Z-Score (BW-10%)]],TRUE)*100,"")</f>
        <v/>
      </c>
      <c r="L1061" s="7" t="str">
        <f>IF(Table1[[#This Row],[Is Data Valid]]=TRUE,_xlfn.NORM.S.DIST(Table1[[#This Row],[Birthweight Z-Score (BW+10%)]],TRUE)*100,"")</f>
        <v/>
      </c>
    </row>
    <row r="1062" spans="1:12" x14ac:dyDescent="0.35">
      <c r="A1062" s="3"/>
      <c r="B1062" s="2"/>
      <c r="C1062" s="2"/>
      <c r="D1062" s="2" t="b">
        <f>IF(AND(NOT(ISBLANK(Table1[[#This Row],[Fetal Sex (Male, Female or Unknown)]])),ISNUMBER(Table1[[#This Row],[Birthweight (grams)]]),ISNUMBER(Table1[[#This Row],[Gestation (days)]])),TRUE,FALSE)</f>
        <v>0</v>
      </c>
      <c r="E1062" s="2" t="str">
        <f>IF(Table1[[#This Row],[Is Data Valid]]=TRUE,IF(Table1[[#This Row],[Fetal Sex (Male, Female or Unknown)]]="Male",Backend!$C$6,IF(Table1[[#This Row],[Fetal Sex (Male, Female or Unknown)]]="Female",Backend!$C$7,IF(Table1[[#This Row],[Fetal Sex (Male, Female or Unknown)]]="Unknown",Backend!$C$8,"Error"))),"")</f>
        <v/>
      </c>
      <c r="F1062" s="8" t="str">
        <f>IF(Table1[[#This Row],[Is Data Valid]]=TRUE,EXP(0.578+0.332*((Table1[[#This Row],[Gestation (days)]]+0.5)/7)-0.00354*((Table1[[#This Row],[Gestation (days)]]+0.5)/7)^2)*Table1[[#This Row],[BW40_3705]],"")</f>
        <v/>
      </c>
      <c r="G1062" s="2" t="str">
        <f>IF(Table1[[#This Row],[Is Data Valid]]=TRUE,((Table1[[#This Row],[Birthweight (grams)]]/Table1[[#This Row],[BW_GA]])-1)/(Backend!$B$4/100*Table1[[#This Row],[BW40_3705]]),"")</f>
        <v/>
      </c>
      <c r="H1062" s="7" t="str">
        <f>IF(Table1[[#This Row],[Is Data Valid]]=TRUE,((Table1[[#This Row],[Birthweight (grams)]]*0.9/Table1[[#This Row],[BW_GA]])-1)/(Backend!$B$4/100*Table1[[#This Row],[BW40_3705]]),"")</f>
        <v/>
      </c>
      <c r="I1062" s="7" t="str">
        <f>IF(Table1[[#This Row],[Is Data Valid]]=TRUE,((Table1[[#This Row],[Birthweight (grams)]]*1.1/Table1[[#This Row],[BW_GA]])-1)/(Backend!$B$4/100*Table1[[#This Row],[BW40_3705]]),"")</f>
        <v/>
      </c>
      <c r="J1062" s="7" t="str">
        <f>IF(Table1[[#This Row],[Is Data Valid]]=TRUE,_xlfn.NORM.S.DIST(Table1[[#This Row],[Birthweight Z-Score]],TRUE)*100,"")</f>
        <v/>
      </c>
      <c r="K1062" s="7" t="str">
        <f>IF(Table1[[#This Row],[Is Data Valid]]=TRUE,_xlfn.NORM.S.DIST(Table1[[#This Row],[Birthweight Z-Score (BW-10%)]],TRUE)*100,"")</f>
        <v/>
      </c>
      <c r="L1062" s="7" t="str">
        <f>IF(Table1[[#This Row],[Is Data Valid]]=TRUE,_xlfn.NORM.S.DIST(Table1[[#This Row],[Birthweight Z-Score (BW+10%)]],TRUE)*100,"")</f>
        <v/>
      </c>
    </row>
    <row r="1063" spans="1:12" x14ac:dyDescent="0.35">
      <c r="A1063" s="3"/>
      <c r="B1063" s="2"/>
      <c r="C1063" s="2"/>
      <c r="D1063" s="2" t="b">
        <f>IF(AND(NOT(ISBLANK(Table1[[#This Row],[Fetal Sex (Male, Female or Unknown)]])),ISNUMBER(Table1[[#This Row],[Birthweight (grams)]]),ISNUMBER(Table1[[#This Row],[Gestation (days)]])),TRUE,FALSE)</f>
        <v>0</v>
      </c>
      <c r="E1063" s="2" t="str">
        <f>IF(Table1[[#This Row],[Is Data Valid]]=TRUE,IF(Table1[[#This Row],[Fetal Sex (Male, Female or Unknown)]]="Male",Backend!$C$6,IF(Table1[[#This Row],[Fetal Sex (Male, Female or Unknown)]]="Female",Backend!$C$7,IF(Table1[[#This Row],[Fetal Sex (Male, Female or Unknown)]]="Unknown",Backend!$C$8,"Error"))),"")</f>
        <v/>
      </c>
      <c r="F1063" s="8" t="str">
        <f>IF(Table1[[#This Row],[Is Data Valid]]=TRUE,EXP(0.578+0.332*((Table1[[#This Row],[Gestation (days)]]+0.5)/7)-0.00354*((Table1[[#This Row],[Gestation (days)]]+0.5)/7)^2)*Table1[[#This Row],[BW40_3705]],"")</f>
        <v/>
      </c>
      <c r="G1063" s="2" t="str">
        <f>IF(Table1[[#This Row],[Is Data Valid]]=TRUE,((Table1[[#This Row],[Birthweight (grams)]]/Table1[[#This Row],[BW_GA]])-1)/(Backend!$B$4/100*Table1[[#This Row],[BW40_3705]]),"")</f>
        <v/>
      </c>
      <c r="H1063" s="7" t="str">
        <f>IF(Table1[[#This Row],[Is Data Valid]]=TRUE,((Table1[[#This Row],[Birthweight (grams)]]*0.9/Table1[[#This Row],[BW_GA]])-1)/(Backend!$B$4/100*Table1[[#This Row],[BW40_3705]]),"")</f>
        <v/>
      </c>
      <c r="I1063" s="7" t="str">
        <f>IF(Table1[[#This Row],[Is Data Valid]]=TRUE,((Table1[[#This Row],[Birthweight (grams)]]*1.1/Table1[[#This Row],[BW_GA]])-1)/(Backend!$B$4/100*Table1[[#This Row],[BW40_3705]]),"")</f>
        <v/>
      </c>
      <c r="J1063" s="7" t="str">
        <f>IF(Table1[[#This Row],[Is Data Valid]]=TRUE,_xlfn.NORM.S.DIST(Table1[[#This Row],[Birthweight Z-Score]],TRUE)*100,"")</f>
        <v/>
      </c>
      <c r="K1063" s="7" t="str">
        <f>IF(Table1[[#This Row],[Is Data Valid]]=TRUE,_xlfn.NORM.S.DIST(Table1[[#This Row],[Birthweight Z-Score (BW-10%)]],TRUE)*100,"")</f>
        <v/>
      </c>
      <c r="L1063" s="7" t="str">
        <f>IF(Table1[[#This Row],[Is Data Valid]]=TRUE,_xlfn.NORM.S.DIST(Table1[[#This Row],[Birthweight Z-Score (BW+10%)]],TRUE)*100,"")</f>
        <v/>
      </c>
    </row>
    <row r="1064" spans="1:12" x14ac:dyDescent="0.35">
      <c r="A1064" s="3"/>
      <c r="B1064" s="2"/>
      <c r="C1064" s="2"/>
      <c r="D1064" s="2" t="b">
        <f>IF(AND(NOT(ISBLANK(Table1[[#This Row],[Fetal Sex (Male, Female or Unknown)]])),ISNUMBER(Table1[[#This Row],[Birthweight (grams)]]),ISNUMBER(Table1[[#This Row],[Gestation (days)]])),TRUE,FALSE)</f>
        <v>0</v>
      </c>
      <c r="E1064" s="2" t="str">
        <f>IF(Table1[[#This Row],[Is Data Valid]]=TRUE,IF(Table1[[#This Row],[Fetal Sex (Male, Female or Unknown)]]="Male",Backend!$C$6,IF(Table1[[#This Row],[Fetal Sex (Male, Female or Unknown)]]="Female",Backend!$C$7,IF(Table1[[#This Row],[Fetal Sex (Male, Female or Unknown)]]="Unknown",Backend!$C$8,"Error"))),"")</f>
        <v/>
      </c>
      <c r="F1064" s="8" t="str">
        <f>IF(Table1[[#This Row],[Is Data Valid]]=TRUE,EXP(0.578+0.332*((Table1[[#This Row],[Gestation (days)]]+0.5)/7)-0.00354*((Table1[[#This Row],[Gestation (days)]]+0.5)/7)^2)*Table1[[#This Row],[BW40_3705]],"")</f>
        <v/>
      </c>
      <c r="G1064" s="2" t="str">
        <f>IF(Table1[[#This Row],[Is Data Valid]]=TRUE,((Table1[[#This Row],[Birthweight (grams)]]/Table1[[#This Row],[BW_GA]])-1)/(Backend!$B$4/100*Table1[[#This Row],[BW40_3705]]),"")</f>
        <v/>
      </c>
      <c r="H1064" s="7" t="str">
        <f>IF(Table1[[#This Row],[Is Data Valid]]=TRUE,((Table1[[#This Row],[Birthweight (grams)]]*0.9/Table1[[#This Row],[BW_GA]])-1)/(Backend!$B$4/100*Table1[[#This Row],[BW40_3705]]),"")</f>
        <v/>
      </c>
      <c r="I1064" s="7" t="str">
        <f>IF(Table1[[#This Row],[Is Data Valid]]=TRUE,((Table1[[#This Row],[Birthweight (grams)]]*1.1/Table1[[#This Row],[BW_GA]])-1)/(Backend!$B$4/100*Table1[[#This Row],[BW40_3705]]),"")</f>
        <v/>
      </c>
      <c r="J1064" s="7" t="str">
        <f>IF(Table1[[#This Row],[Is Data Valid]]=TRUE,_xlfn.NORM.S.DIST(Table1[[#This Row],[Birthweight Z-Score]],TRUE)*100,"")</f>
        <v/>
      </c>
      <c r="K1064" s="7" t="str">
        <f>IF(Table1[[#This Row],[Is Data Valid]]=TRUE,_xlfn.NORM.S.DIST(Table1[[#This Row],[Birthweight Z-Score (BW-10%)]],TRUE)*100,"")</f>
        <v/>
      </c>
      <c r="L1064" s="7" t="str">
        <f>IF(Table1[[#This Row],[Is Data Valid]]=TRUE,_xlfn.NORM.S.DIST(Table1[[#This Row],[Birthweight Z-Score (BW+10%)]],TRUE)*100,"")</f>
        <v/>
      </c>
    </row>
    <row r="1065" spans="1:12" x14ac:dyDescent="0.35">
      <c r="A1065" s="3"/>
      <c r="B1065" s="2"/>
      <c r="C1065" s="2"/>
      <c r="D1065" s="2" t="b">
        <f>IF(AND(NOT(ISBLANK(Table1[[#This Row],[Fetal Sex (Male, Female or Unknown)]])),ISNUMBER(Table1[[#This Row],[Birthweight (grams)]]),ISNUMBER(Table1[[#This Row],[Gestation (days)]])),TRUE,FALSE)</f>
        <v>0</v>
      </c>
      <c r="E1065" s="2" t="str">
        <f>IF(Table1[[#This Row],[Is Data Valid]]=TRUE,IF(Table1[[#This Row],[Fetal Sex (Male, Female or Unknown)]]="Male",Backend!$C$6,IF(Table1[[#This Row],[Fetal Sex (Male, Female or Unknown)]]="Female",Backend!$C$7,IF(Table1[[#This Row],[Fetal Sex (Male, Female or Unknown)]]="Unknown",Backend!$C$8,"Error"))),"")</f>
        <v/>
      </c>
      <c r="F1065" s="8" t="str">
        <f>IF(Table1[[#This Row],[Is Data Valid]]=TRUE,EXP(0.578+0.332*((Table1[[#This Row],[Gestation (days)]]+0.5)/7)-0.00354*((Table1[[#This Row],[Gestation (days)]]+0.5)/7)^2)*Table1[[#This Row],[BW40_3705]],"")</f>
        <v/>
      </c>
      <c r="G1065" s="2" t="str">
        <f>IF(Table1[[#This Row],[Is Data Valid]]=TRUE,((Table1[[#This Row],[Birthweight (grams)]]/Table1[[#This Row],[BW_GA]])-1)/(Backend!$B$4/100*Table1[[#This Row],[BW40_3705]]),"")</f>
        <v/>
      </c>
      <c r="H1065" s="7" t="str">
        <f>IF(Table1[[#This Row],[Is Data Valid]]=TRUE,((Table1[[#This Row],[Birthweight (grams)]]*0.9/Table1[[#This Row],[BW_GA]])-1)/(Backend!$B$4/100*Table1[[#This Row],[BW40_3705]]),"")</f>
        <v/>
      </c>
      <c r="I1065" s="7" t="str">
        <f>IF(Table1[[#This Row],[Is Data Valid]]=TRUE,((Table1[[#This Row],[Birthweight (grams)]]*1.1/Table1[[#This Row],[BW_GA]])-1)/(Backend!$B$4/100*Table1[[#This Row],[BW40_3705]]),"")</f>
        <v/>
      </c>
      <c r="J1065" s="7" t="str">
        <f>IF(Table1[[#This Row],[Is Data Valid]]=TRUE,_xlfn.NORM.S.DIST(Table1[[#This Row],[Birthweight Z-Score]],TRUE)*100,"")</f>
        <v/>
      </c>
      <c r="K1065" s="7" t="str">
        <f>IF(Table1[[#This Row],[Is Data Valid]]=TRUE,_xlfn.NORM.S.DIST(Table1[[#This Row],[Birthweight Z-Score (BW-10%)]],TRUE)*100,"")</f>
        <v/>
      </c>
      <c r="L1065" s="7" t="str">
        <f>IF(Table1[[#This Row],[Is Data Valid]]=TRUE,_xlfn.NORM.S.DIST(Table1[[#This Row],[Birthweight Z-Score (BW+10%)]],TRUE)*100,"")</f>
        <v/>
      </c>
    </row>
    <row r="1066" spans="1:12" x14ac:dyDescent="0.35">
      <c r="A1066" s="3"/>
      <c r="B1066" s="2"/>
      <c r="C1066" s="2"/>
      <c r="D1066" s="2" t="b">
        <f>IF(AND(NOT(ISBLANK(Table1[[#This Row],[Fetal Sex (Male, Female or Unknown)]])),ISNUMBER(Table1[[#This Row],[Birthweight (grams)]]),ISNUMBER(Table1[[#This Row],[Gestation (days)]])),TRUE,FALSE)</f>
        <v>0</v>
      </c>
      <c r="E1066" s="2" t="str">
        <f>IF(Table1[[#This Row],[Is Data Valid]]=TRUE,IF(Table1[[#This Row],[Fetal Sex (Male, Female or Unknown)]]="Male",Backend!$C$6,IF(Table1[[#This Row],[Fetal Sex (Male, Female or Unknown)]]="Female",Backend!$C$7,IF(Table1[[#This Row],[Fetal Sex (Male, Female or Unknown)]]="Unknown",Backend!$C$8,"Error"))),"")</f>
        <v/>
      </c>
      <c r="F1066" s="8" t="str">
        <f>IF(Table1[[#This Row],[Is Data Valid]]=TRUE,EXP(0.578+0.332*((Table1[[#This Row],[Gestation (days)]]+0.5)/7)-0.00354*((Table1[[#This Row],[Gestation (days)]]+0.5)/7)^2)*Table1[[#This Row],[BW40_3705]],"")</f>
        <v/>
      </c>
      <c r="G1066" s="2" t="str">
        <f>IF(Table1[[#This Row],[Is Data Valid]]=TRUE,((Table1[[#This Row],[Birthweight (grams)]]/Table1[[#This Row],[BW_GA]])-1)/(Backend!$B$4/100*Table1[[#This Row],[BW40_3705]]),"")</f>
        <v/>
      </c>
      <c r="H1066" s="7" t="str">
        <f>IF(Table1[[#This Row],[Is Data Valid]]=TRUE,((Table1[[#This Row],[Birthweight (grams)]]*0.9/Table1[[#This Row],[BW_GA]])-1)/(Backend!$B$4/100*Table1[[#This Row],[BW40_3705]]),"")</f>
        <v/>
      </c>
      <c r="I1066" s="7" t="str">
        <f>IF(Table1[[#This Row],[Is Data Valid]]=TRUE,((Table1[[#This Row],[Birthweight (grams)]]*1.1/Table1[[#This Row],[BW_GA]])-1)/(Backend!$B$4/100*Table1[[#This Row],[BW40_3705]]),"")</f>
        <v/>
      </c>
      <c r="J1066" s="7" t="str">
        <f>IF(Table1[[#This Row],[Is Data Valid]]=TRUE,_xlfn.NORM.S.DIST(Table1[[#This Row],[Birthweight Z-Score]],TRUE)*100,"")</f>
        <v/>
      </c>
      <c r="K1066" s="7" t="str">
        <f>IF(Table1[[#This Row],[Is Data Valid]]=TRUE,_xlfn.NORM.S.DIST(Table1[[#This Row],[Birthweight Z-Score (BW-10%)]],TRUE)*100,"")</f>
        <v/>
      </c>
      <c r="L1066" s="7" t="str">
        <f>IF(Table1[[#This Row],[Is Data Valid]]=TRUE,_xlfn.NORM.S.DIST(Table1[[#This Row],[Birthweight Z-Score (BW+10%)]],TRUE)*100,"")</f>
        <v/>
      </c>
    </row>
    <row r="1067" spans="1:12" x14ac:dyDescent="0.35">
      <c r="A1067" s="3"/>
      <c r="B1067" s="2"/>
      <c r="C1067" s="2"/>
      <c r="D1067" s="2" t="b">
        <f>IF(AND(NOT(ISBLANK(Table1[[#This Row],[Fetal Sex (Male, Female or Unknown)]])),ISNUMBER(Table1[[#This Row],[Birthweight (grams)]]),ISNUMBER(Table1[[#This Row],[Gestation (days)]])),TRUE,FALSE)</f>
        <v>0</v>
      </c>
      <c r="E1067" s="2" t="str">
        <f>IF(Table1[[#This Row],[Is Data Valid]]=TRUE,IF(Table1[[#This Row],[Fetal Sex (Male, Female or Unknown)]]="Male",Backend!$C$6,IF(Table1[[#This Row],[Fetal Sex (Male, Female or Unknown)]]="Female",Backend!$C$7,IF(Table1[[#This Row],[Fetal Sex (Male, Female or Unknown)]]="Unknown",Backend!$C$8,"Error"))),"")</f>
        <v/>
      </c>
      <c r="F1067" s="8" t="str">
        <f>IF(Table1[[#This Row],[Is Data Valid]]=TRUE,EXP(0.578+0.332*((Table1[[#This Row],[Gestation (days)]]+0.5)/7)-0.00354*((Table1[[#This Row],[Gestation (days)]]+0.5)/7)^2)*Table1[[#This Row],[BW40_3705]],"")</f>
        <v/>
      </c>
      <c r="G1067" s="2" t="str">
        <f>IF(Table1[[#This Row],[Is Data Valid]]=TRUE,((Table1[[#This Row],[Birthweight (grams)]]/Table1[[#This Row],[BW_GA]])-1)/(Backend!$B$4/100*Table1[[#This Row],[BW40_3705]]),"")</f>
        <v/>
      </c>
      <c r="H1067" s="7" t="str">
        <f>IF(Table1[[#This Row],[Is Data Valid]]=TRUE,((Table1[[#This Row],[Birthweight (grams)]]*0.9/Table1[[#This Row],[BW_GA]])-1)/(Backend!$B$4/100*Table1[[#This Row],[BW40_3705]]),"")</f>
        <v/>
      </c>
      <c r="I1067" s="7" t="str">
        <f>IF(Table1[[#This Row],[Is Data Valid]]=TRUE,((Table1[[#This Row],[Birthweight (grams)]]*1.1/Table1[[#This Row],[BW_GA]])-1)/(Backend!$B$4/100*Table1[[#This Row],[BW40_3705]]),"")</f>
        <v/>
      </c>
      <c r="J1067" s="7" t="str">
        <f>IF(Table1[[#This Row],[Is Data Valid]]=TRUE,_xlfn.NORM.S.DIST(Table1[[#This Row],[Birthweight Z-Score]],TRUE)*100,"")</f>
        <v/>
      </c>
      <c r="K1067" s="7" t="str">
        <f>IF(Table1[[#This Row],[Is Data Valid]]=TRUE,_xlfn.NORM.S.DIST(Table1[[#This Row],[Birthweight Z-Score (BW-10%)]],TRUE)*100,"")</f>
        <v/>
      </c>
      <c r="L1067" s="7" t="str">
        <f>IF(Table1[[#This Row],[Is Data Valid]]=TRUE,_xlfn.NORM.S.DIST(Table1[[#This Row],[Birthweight Z-Score (BW+10%)]],TRUE)*100,"")</f>
        <v/>
      </c>
    </row>
    <row r="1068" spans="1:12" x14ac:dyDescent="0.35">
      <c r="A1068" s="3"/>
      <c r="B1068" s="2"/>
      <c r="C1068" s="2"/>
      <c r="D1068" s="2" t="b">
        <f>IF(AND(NOT(ISBLANK(Table1[[#This Row],[Fetal Sex (Male, Female or Unknown)]])),ISNUMBER(Table1[[#This Row],[Birthweight (grams)]]),ISNUMBER(Table1[[#This Row],[Gestation (days)]])),TRUE,FALSE)</f>
        <v>0</v>
      </c>
      <c r="E1068" s="2" t="str">
        <f>IF(Table1[[#This Row],[Is Data Valid]]=TRUE,IF(Table1[[#This Row],[Fetal Sex (Male, Female or Unknown)]]="Male",Backend!$C$6,IF(Table1[[#This Row],[Fetal Sex (Male, Female or Unknown)]]="Female",Backend!$C$7,IF(Table1[[#This Row],[Fetal Sex (Male, Female or Unknown)]]="Unknown",Backend!$C$8,"Error"))),"")</f>
        <v/>
      </c>
      <c r="F1068" s="8" t="str">
        <f>IF(Table1[[#This Row],[Is Data Valid]]=TRUE,EXP(0.578+0.332*((Table1[[#This Row],[Gestation (days)]]+0.5)/7)-0.00354*((Table1[[#This Row],[Gestation (days)]]+0.5)/7)^2)*Table1[[#This Row],[BW40_3705]],"")</f>
        <v/>
      </c>
      <c r="G1068" s="2" t="str">
        <f>IF(Table1[[#This Row],[Is Data Valid]]=TRUE,((Table1[[#This Row],[Birthweight (grams)]]/Table1[[#This Row],[BW_GA]])-1)/(Backend!$B$4/100*Table1[[#This Row],[BW40_3705]]),"")</f>
        <v/>
      </c>
      <c r="H1068" s="7" t="str">
        <f>IF(Table1[[#This Row],[Is Data Valid]]=TRUE,((Table1[[#This Row],[Birthweight (grams)]]*0.9/Table1[[#This Row],[BW_GA]])-1)/(Backend!$B$4/100*Table1[[#This Row],[BW40_3705]]),"")</f>
        <v/>
      </c>
      <c r="I1068" s="7" t="str">
        <f>IF(Table1[[#This Row],[Is Data Valid]]=TRUE,((Table1[[#This Row],[Birthweight (grams)]]*1.1/Table1[[#This Row],[BW_GA]])-1)/(Backend!$B$4/100*Table1[[#This Row],[BW40_3705]]),"")</f>
        <v/>
      </c>
      <c r="J1068" s="7" t="str">
        <f>IF(Table1[[#This Row],[Is Data Valid]]=TRUE,_xlfn.NORM.S.DIST(Table1[[#This Row],[Birthweight Z-Score]],TRUE)*100,"")</f>
        <v/>
      </c>
      <c r="K1068" s="7" t="str">
        <f>IF(Table1[[#This Row],[Is Data Valid]]=TRUE,_xlfn.NORM.S.DIST(Table1[[#This Row],[Birthweight Z-Score (BW-10%)]],TRUE)*100,"")</f>
        <v/>
      </c>
      <c r="L1068" s="7" t="str">
        <f>IF(Table1[[#This Row],[Is Data Valid]]=TRUE,_xlfn.NORM.S.DIST(Table1[[#This Row],[Birthweight Z-Score (BW+10%)]],TRUE)*100,"")</f>
        <v/>
      </c>
    </row>
    <row r="1069" spans="1:12" x14ac:dyDescent="0.35">
      <c r="A1069" s="3"/>
      <c r="B1069" s="2"/>
      <c r="C1069" s="2"/>
      <c r="D1069" s="2" t="b">
        <f>IF(AND(NOT(ISBLANK(Table1[[#This Row],[Fetal Sex (Male, Female or Unknown)]])),ISNUMBER(Table1[[#This Row],[Birthweight (grams)]]),ISNUMBER(Table1[[#This Row],[Gestation (days)]])),TRUE,FALSE)</f>
        <v>0</v>
      </c>
      <c r="E1069" s="2" t="str">
        <f>IF(Table1[[#This Row],[Is Data Valid]]=TRUE,IF(Table1[[#This Row],[Fetal Sex (Male, Female or Unknown)]]="Male",Backend!$C$6,IF(Table1[[#This Row],[Fetal Sex (Male, Female or Unknown)]]="Female",Backend!$C$7,IF(Table1[[#This Row],[Fetal Sex (Male, Female or Unknown)]]="Unknown",Backend!$C$8,"Error"))),"")</f>
        <v/>
      </c>
      <c r="F1069" s="8" t="str">
        <f>IF(Table1[[#This Row],[Is Data Valid]]=TRUE,EXP(0.578+0.332*((Table1[[#This Row],[Gestation (days)]]+0.5)/7)-0.00354*((Table1[[#This Row],[Gestation (days)]]+0.5)/7)^2)*Table1[[#This Row],[BW40_3705]],"")</f>
        <v/>
      </c>
      <c r="G1069" s="2" t="str">
        <f>IF(Table1[[#This Row],[Is Data Valid]]=TRUE,((Table1[[#This Row],[Birthweight (grams)]]/Table1[[#This Row],[BW_GA]])-1)/(Backend!$B$4/100*Table1[[#This Row],[BW40_3705]]),"")</f>
        <v/>
      </c>
      <c r="H1069" s="7" t="str">
        <f>IF(Table1[[#This Row],[Is Data Valid]]=TRUE,((Table1[[#This Row],[Birthweight (grams)]]*0.9/Table1[[#This Row],[BW_GA]])-1)/(Backend!$B$4/100*Table1[[#This Row],[BW40_3705]]),"")</f>
        <v/>
      </c>
      <c r="I1069" s="7" t="str">
        <f>IF(Table1[[#This Row],[Is Data Valid]]=TRUE,((Table1[[#This Row],[Birthweight (grams)]]*1.1/Table1[[#This Row],[BW_GA]])-1)/(Backend!$B$4/100*Table1[[#This Row],[BW40_3705]]),"")</f>
        <v/>
      </c>
      <c r="J1069" s="7" t="str">
        <f>IF(Table1[[#This Row],[Is Data Valid]]=TRUE,_xlfn.NORM.S.DIST(Table1[[#This Row],[Birthweight Z-Score]],TRUE)*100,"")</f>
        <v/>
      </c>
      <c r="K1069" s="7" t="str">
        <f>IF(Table1[[#This Row],[Is Data Valid]]=TRUE,_xlfn.NORM.S.DIST(Table1[[#This Row],[Birthweight Z-Score (BW-10%)]],TRUE)*100,"")</f>
        <v/>
      </c>
      <c r="L1069" s="7" t="str">
        <f>IF(Table1[[#This Row],[Is Data Valid]]=TRUE,_xlfn.NORM.S.DIST(Table1[[#This Row],[Birthweight Z-Score (BW+10%)]],TRUE)*100,"")</f>
        <v/>
      </c>
    </row>
    <row r="1070" spans="1:12" x14ac:dyDescent="0.35">
      <c r="A1070" s="3"/>
      <c r="B1070" s="2"/>
      <c r="C1070" s="2"/>
      <c r="D1070" s="2" t="b">
        <f>IF(AND(NOT(ISBLANK(Table1[[#This Row],[Fetal Sex (Male, Female or Unknown)]])),ISNUMBER(Table1[[#This Row],[Birthweight (grams)]]),ISNUMBER(Table1[[#This Row],[Gestation (days)]])),TRUE,FALSE)</f>
        <v>0</v>
      </c>
      <c r="E1070" s="2" t="str">
        <f>IF(Table1[[#This Row],[Is Data Valid]]=TRUE,IF(Table1[[#This Row],[Fetal Sex (Male, Female or Unknown)]]="Male",Backend!$C$6,IF(Table1[[#This Row],[Fetal Sex (Male, Female or Unknown)]]="Female",Backend!$C$7,IF(Table1[[#This Row],[Fetal Sex (Male, Female or Unknown)]]="Unknown",Backend!$C$8,"Error"))),"")</f>
        <v/>
      </c>
      <c r="F1070" s="8" t="str">
        <f>IF(Table1[[#This Row],[Is Data Valid]]=TRUE,EXP(0.578+0.332*((Table1[[#This Row],[Gestation (days)]]+0.5)/7)-0.00354*((Table1[[#This Row],[Gestation (days)]]+0.5)/7)^2)*Table1[[#This Row],[BW40_3705]],"")</f>
        <v/>
      </c>
      <c r="G1070" s="2" t="str">
        <f>IF(Table1[[#This Row],[Is Data Valid]]=TRUE,((Table1[[#This Row],[Birthweight (grams)]]/Table1[[#This Row],[BW_GA]])-1)/(Backend!$B$4/100*Table1[[#This Row],[BW40_3705]]),"")</f>
        <v/>
      </c>
      <c r="H1070" s="7" t="str">
        <f>IF(Table1[[#This Row],[Is Data Valid]]=TRUE,((Table1[[#This Row],[Birthweight (grams)]]*0.9/Table1[[#This Row],[BW_GA]])-1)/(Backend!$B$4/100*Table1[[#This Row],[BW40_3705]]),"")</f>
        <v/>
      </c>
      <c r="I1070" s="7" t="str">
        <f>IF(Table1[[#This Row],[Is Data Valid]]=TRUE,((Table1[[#This Row],[Birthweight (grams)]]*1.1/Table1[[#This Row],[BW_GA]])-1)/(Backend!$B$4/100*Table1[[#This Row],[BW40_3705]]),"")</f>
        <v/>
      </c>
      <c r="J1070" s="7" t="str">
        <f>IF(Table1[[#This Row],[Is Data Valid]]=TRUE,_xlfn.NORM.S.DIST(Table1[[#This Row],[Birthweight Z-Score]],TRUE)*100,"")</f>
        <v/>
      </c>
      <c r="K1070" s="7" t="str">
        <f>IF(Table1[[#This Row],[Is Data Valid]]=TRUE,_xlfn.NORM.S.DIST(Table1[[#This Row],[Birthweight Z-Score (BW-10%)]],TRUE)*100,"")</f>
        <v/>
      </c>
      <c r="L1070" s="7" t="str">
        <f>IF(Table1[[#This Row],[Is Data Valid]]=TRUE,_xlfn.NORM.S.DIST(Table1[[#This Row],[Birthweight Z-Score (BW+10%)]],TRUE)*100,"")</f>
        <v/>
      </c>
    </row>
    <row r="1071" spans="1:12" x14ac:dyDescent="0.35">
      <c r="A1071" s="3"/>
      <c r="B1071" s="2"/>
      <c r="C1071" s="2"/>
      <c r="D1071" s="2" t="b">
        <f>IF(AND(NOT(ISBLANK(Table1[[#This Row],[Fetal Sex (Male, Female or Unknown)]])),ISNUMBER(Table1[[#This Row],[Birthweight (grams)]]),ISNUMBER(Table1[[#This Row],[Gestation (days)]])),TRUE,FALSE)</f>
        <v>0</v>
      </c>
      <c r="E1071" s="2" t="str">
        <f>IF(Table1[[#This Row],[Is Data Valid]]=TRUE,IF(Table1[[#This Row],[Fetal Sex (Male, Female or Unknown)]]="Male",Backend!$C$6,IF(Table1[[#This Row],[Fetal Sex (Male, Female or Unknown)]]="Female",Backend!$C$7,IF(Table1[[#This Row],[Fetal Sex (Male, Female or Unknown)]]="Unknown",Backend!$C$8,"Error"))),"")</f>
        <v/>
      </c>
      <c r="F1071" s="8" t="str">
        <f>IF(Table1[[#This Row],[Is Data Valid]]=TRUE,EXP(0.578+0.332*((Table1[[#This Row],[Gestation (days)]]+0.5)/7)-0.00354*((Table1[[#This Row],[Gestation (days)]]+0.5)/7)^2)*Table1[[#This Row],[BW40_3705]],"")</f>
        <v/>
      </c>
      <c r="G1071" s="2" t="str">
        <f>IF(Table1[[#This Row],[Is Data Valid]]=TRUE,((Table1[[#This Row],[Birthweight (grams)]]/Table1[[#This Row],[BW_GA]])-1)/(Backend!$B$4/100*Table1[[#This Row],[BW40_3705]]),"")</f>
        <v/>
      </c>
      <c r="H1071" s="7" t="str">
        <f>IF(Table1[[#This Row],[Is Data Valid]]=TRUE,((Table1[[#This Row],[Birthweight (grams)]]*0.9/Table1[[#This Row],[BW_GA]])-1)/(Backend!$B$4/100*Table1[[#This Row],[BW40_3705]]),"")</f>
        <v/>
      </c>
      <c r="I1071" s="7" t="str">
        <f>IF(Table1[[#This Row],[Is Data Valid]]=TRUE,((Table1[[#This Row],[Birthweight (grams)]]*1.1/Table1[[#This Row],[BW_GA]])-1)/(Backend!$B$4/100*Table1[[#This Row],[BW40_3705]]),"")</f>
        <v/>
      </c>
      <c r="J1071" s="7" t="str">
        <f>IF(Table1[[#This Row],[Is Data Valid]]=TRUE,_xlfn.NORM.S.DIST(Table1[[#This Row],[Birthweight Z-Score]],TRUE)*100,"")</f>
        <v/>
      </c>
      <c r="K1071" s="7" t="str">
        <f>IF(Table1[[#This Row],[Is Data Valid]]=TRUE,_xlfn.NORM.S.DIST(Table1[[#This Row],[Birthweight Z-Score (BW-10%)]],TRUE)*100,"")</f>
        <v/>
      </c>
      <c r="L1071" s="7" t="str">
        <f>IF(Table1[[#This Row],[Is Data Valid]]=TRUE,_xlfn.NORM.S.DIST(Table1[[#This Row],[Birthweight Z-Score (BW+10%)]],TRUE)*100,"")</f>
        <v/>
      </c>
    </row>
    <row r="1072" spans="1:12" x14ac:dyDescent="0.35">
      <c r="A1072" s="3"/>
      <c r="B1072" s="2"/>
      <c r="C1072" s="2"/>
      <c r="D1072" s="2" t="b">
        <f>IF(AND(NOT(ISBLANK(Table1[[#This Row],[Fetal Sex (Male, Female or Unknown)]])),ISNUMBER(Table1[[#This Row],[Birthweight (grams)]]),ISNUMBER(Table1[[#This Row],[Gestation (days)]])),TRUE,FALSE)</f>
        <v>0</v>
      </c>
      <c r="E1072" s="2" t="str">
        <f>IF(Table1[[#This Row],[Is Data Valid]]=TRUE,IF(Table1[[#This Row],[Fetal Sex (Male, Female or Unknown)]]="Male",Backend!$C$6,IF(Table1[[#This Row],[Fetal Sex (Male, Female or Unknown)]]="Female",Backend!$C$7,IF(Table1[[#This Row],[Fetal Sex (Male, Female or Unknown)]]="Unknown",Backend!$C$8,"Error"))),"")</f>
        <v/>
      </c>
      <c r="F1072" s="8" t="str">
        <f>IF(Table1[[#This Row],[Is Data Valid]]=TRUE,EXP(0.578+0.332*((Table1[[#This Row],[Gestation (days)]]+0.5)/7)-0.00354*((Table1[[#This Row],[Gestation (days)]]+0.5)/7)^2)*Table1[[#This Row],[BW40_3705]],"")</f>
        <v/>
      </c>
      <c r="G1072" s="2" t="str">
        <f>IF(Table1[[#This Row],[Is Data Valid]]=TRUE,((Table1[[#This Row],[Birthweight (grams)]]/Table1[[#This Row],[BW_GA]])-1)/(Backend!$B$4/100*Table1[[#This Row],[BW40_3705]]),"")</f>
        <v/>
      </c>
      <c r="H1072" s="7" t="str">
        <f>IF(Table1[[#This Row],[Is Data Valid]]=TRUE,((Table1[[#This Row],[Birthweight (grams)]]*0.9/Table1[[#This Row],[BW_GA]])-1)/(Backend!$B$4/100*Table1[[#This Row],[BW40_3705]]),"")</f>
        <v/>
      </c>
      <c r="I1072" s="7" t="str">
        <f>IF(Table1[[#This Row],[Is Data Valid]]=TRUE,((Table1[[#This Row],[Birthweight (grams)]]*1.1/Table1[[#This Row],[BW_GA]])-1)/(Backend!$B$4/100*Table1[[#This Row],[BW40_3705]]),"")</f>
        <v/>
      </c>
      <c r="J1072" s="7" t="str">
        <f>IF(Table1[[#This Row],[Is Data Valid]]=TRUE,_xlfn.NORM.S.DIST(Table1[[#This Row],[Birthweight Z-Score]],TRUE)*100,"")</f>
        <v/>
      </c>
      <c r="K1072" s="7" t="str">
        <f>IF(Table1[[#This Row],[Is Data Valid]]=TRUE,_xlfn.NORM.S.DIST(Table1[[#This Row],[Birthweight Z-Score (BW-10%)]],TRUE)*100,"")</f>
        <v/>
      </c>
      <c r="L1072" s="7" t="str">
        <f>IF(Table1[[#This Row],[Is Data Valid]]=TRUE,_xlfn.NORM.S.DIST(Table1[[#This Row],[Birthweight Z-Score (BW+10%)]],TRUE)*100,"")</f>
        <v/>
      </c>
    </row>
    <row r="1073" spans="1:12" x14ac:dyDescent="0.35">
      <c r="A1073" s="3"/>
      <c r="B1073" s="2"/>
      <c r="C1073" s="2"/>
      <c r="D1073" s="2" t="b">
        <f>IF(AND(NOT(ISBLANK(Table1[[#This Row],[Fetal Sex (Male, Female or Unknown)]])),ISNUMBER(Table1[[#This Row],[Birthweight (grams)]]),ISNUMBER(Table1[[#This Row],[Gestation (days)]])),TRUE,FALSE)</f>
        <v>0</v>
      </c>
      <c r="E1073" s="2" t="str">
        <f>IF(Table1[[#This Row],[Is Data Valid]]=TRUE,IF(Table1[[#This Row],[Fetal Sex (Male, Female or Unknown)]]="Male",Backend!$C$6,IF(Table1[[#This Row],[Fetal Sex (Male, Female or Unknown)]]="Female",Backend!$C$7,IF(Table1[[#This Row],[Fetal Sex (Male, Female or Unknown)]]="Unknown",Backend!$C$8,"Error"))),"")</f>
        <v/>
      </c>
      <c r="F1073" s="8" t="str">
        <f>IF(Table1[[#This Row],[Is Data Valid]]=TRUE,EXP(0.578+0.332*((Table1[[#This Row],[Gestation (days)]]+0.5)/7)-0.00354*((Table1[[#This Row],[Gestation (days)]]+0.5)/7)^2)*Table1[[#This Row],[BW40_3705]],"")</f>
        <v/>
      </c>
      <c r="G1073" s="2" t="str">
        <f>IF(Table1[[#This Row],[Is Data Valid]]=TRUE,((Table1[[#This Row],[Birthweight (grams)]]/Table1[[#This Row],[BW_GA]])-1)/(Backend!$B$4/100*Table1[[#This Row],[BW40_3705]]),"")</f>
        <v/>
      </c>
      <c r="H1073" s="7" t="str">
        <f>IF(Table1[[#This Row],[Is Data Valid]]=TRUE,((Table1[[#This Row],[Birthweight (grams)]]*0.9/Table1[[#This Row],[BW_GA]])-1)/(Backend!$B$4/100*Table1[[#This Row],[BW40_3705]]),"")</f>
        <v/>
      </c>
      <c r="I1073" s="7" t="str">
        <f>IF(Table1[[#This Row],[Is Data Valid]]=TRUE,((Table1[[#This Row],[Birthweight (grams)]]*1.1/Table1[[#This Row],[BW_GA]])-1)/(Backend!$B$4/100*Table1[[#This Row],[BW40_3705]]),"")</f>
        <v/>
      </c>
      <c r="J1073" s="7" t="str">
        <f>IF(Table1[[#This Row],[Is Data Valid]]=TRUE,_xlfn.NORM.S.DIST(Table1[[#This Row],[Birthweight Z-Score]],TRUE)*100,"")</f>
        <v/>
      </c>
      <c r="K1073" s="7" t="str">
        <f>IF(Table1[[#This Row],[Is Data Valid]]=TRUE,_xlfn.NORM.S.DIST(Table1[[#This Row],[Birthweight Z-Score (BW-10%)]],TRUE)*100,"")</f>
        <v/>
      </c>
      <c r="L1073" s="7" t="str">
        <f>IF(Table1[[#This Row],[Is Data Valid]]=TRUE,_xlfn.NORM.S.DIST(Table1[[#This Row],[Birthweight Z-Score (BW+10%)]],TRUE)*100,"")</f>
        <v/>
      </c>
    </row>
    <row r="1074" spans="1:12" x14ac:dyDescent="0.35">
      <c r="A1074" s="3"/>
      <c r="B1074" s="2"/>
      <c r="C1074" s="2"/>
      <c r="D1074" s="2" t="b">
        <f>IF(AND(NOT(ISBLANK(Table1[[#This Row],[Fetal Sex (Male, Female or Unknown)]])),ISNUMBER(Table1[[#This Row],[Birthweight (grams)]]),ISNUMBER(Table1[[#This Row],[Gestation (days)]])),TRUE,FALSE)</f>
        <v>0</v>
      </c>
      <c r="E1074" s="2" t="str">
        <f>IF(Table1[[#This Row],[Is Data Valid]]=TRUE,IF(Table1[[#This Row],[Fetal Sex (Male, Female or Unknown)]]="Male",Backend!$C$6,IF(Table1[[#This Row],[Fetal Sex (Male, Female or Unknown)]]="Female",Backend!$C$7,IF(Table1[[#This Row],[Fetal Sex (Male, Female or Unknown)]]="Unknown",Backend!$C$8,"Error"))),"")</f>
        <v/>
      </c>
      <c r="F1074" s="8" t="str">
        <f>IF(Table1[[#This Row],[Is Data Valid]]=TRUE,EXP(0.578+0.332*((Table1[[#This Row],[Gestation (days)]]+0.5)/7)-0.00354*((Table1[[#This Row],[Gestation (days)]]+0.5)/7)^2)*Table1[[#This Row],[BW40_3705]],"")</f>
        <v/>
      </c>
      <c r="G1074" s="2" t="str">
        <f>IF(Table1[[#This Row],[Is Data Valid]]=TRUE,((Table1[[#This Row],[Birthweight (grams)]]/Table1[[#This Row],[BW_GA]])-1)/(Backend!$B$4/100*Table1[[#This Row],[BW40_3705]]),"")</f>
        <v/>
      </c>
      <c r="H1074" s="7" t="str">
        <f>IF(Table1[[#This Row],[Is Data Valid]]=TRUE,((Table1[[#This Row],[Birthweight (grams)]]*0.9/Table1[[#This Row],[BW_GA]])-1)/(Backend!$B$4/100*Table1[[#This Row],[BW40_3705]]),"")</f>
        <v/>
      </c>
      <c r="I1074" s="7" t="str">
        <f>IF(Table1[[#This Row],[Is Data Valid]]=TRUE,((Table1[[#This Row],[Birthweight (grams)]]*1.1/Table1[[#This Row],[BW_GA]])-1)/(Backend!$B$4/100*Table1[[#This Row],[BW40_3705]]),"")</f>
        <v/>
      </c>
      <c r="J1074" s="7" t="str">
        <f>IF(Table1[[#This Row],[Is Data Valid]]=TRUE,_xlfn.NORM.S.DIST(Table1[[#This Row],[Birthweight Z-Score]],TRUE)*100,"")</f>
        <v/>
      </c>
      <c r="K1074" s="7" t="str">
        <f>IF(Table1[[#This Row],[Is Data Valid]]=TRUE,_xlfn.NORM.S.DIST(Table1[[#This Row],[Birthweight Z-Score (BW-10%)]],TRUE)*100,"")</f>
        <v/>
      </c>
      <c r="L1074" s="7" t="str">
        <f>IF(Table1[[#This Row],[Is Data Valid]]=TRUE,_xlfn.NORM.S.DIST(Table1[[#This Row],[Birthweight Z-Score (BW+10%)]],TRUE)*100,"")</f>
        <v/>
      </c>
    </row>
    <row r="1075" spans="1:12" x14ac:dyDescent="0.35">
      <c r="A1075" s="3"/>
      <c r="B1075" s="2"/>
      <c r="C1075" s="2"/>
      <c r="D1075" s="2" t="b">
        <f>IF(AND(NOT(ISBLANK(Table1[[#This Row],[Fetal Sex (Male, Female or Unknown)]])),ISNUMBER(Table1[[#This Row],[Birthweight (grams)]]),ISNUMBER(Table1[[#This Row],[Gestation (days)]])),TRUE,FALSE)</f>
        <v>0</v>
      </c>
      <c r="E1075" s="2" t="str">
        <f>IF(Table1[[#This Row],[Is Data Valid]]=TRUE,IF(Table1[[#This Row],[Fetal Sex (Male, Female or Unknown)]]="Male",Backend!$C$6,IF(Table1[[#This Row],[Fetal Sex (Male, Female or Unknown)]]="Female",Backend!$C$7,IF(Table1[[#This Row],[Fetal Sex (Male, Female or Unknown)]]="Unknown",Backend!$C$8,"Error"))),"")</f>
        <v/>
      </c>
      <c r="F1075" s="8" t="str">
        <f>IF(Table1[[#This Row],[Is Data Valid]]=TRUE,EXP(0.578+0.332*((Table1[[#This Row],[Gestation (days)]]+0.5)/7)-0.00354*((Table1[[#This Row],[Gestation (days)]]+0.5)/7)^2)*Table1[[#This Row],[BW40_3705]],"")</f>
        <v/>
      </c>
      <c r="G1075" s="2" t="str">
        <f>IF(Table1[[#This Row],[Is Data Valid]]=TRUE,((Table1[[#This Row],[Birthweight (grams)]]/Table1[[#This Row],[BW_GA]])-1)/(Backend!$B$4/100*Table1[[#This Row],[BW40_3705]]),"")</f>
        <v/>
      </c>
      <c r="H1075" s="7" t="str">
        <f>IF(Table1[[#This Row],[Is Data Valid]]=TRUE,((Table1[[#This Row],[Birthweight (grams)]]*0.9/Table1[[#This Row],[BW_GA]])-1)/(Backend!$B$4/100*Table1[[#This Row],[BW40_3705]]),"")</f>
        <v/>
      </c>
      <c r="I1075" s="7" t="str">
        <f>IF(Table1[[#This Row],[Is Data Valid]]=TRUE,((Table1[[#This Row],[Birthweight (grams)]]*1.1/Table1[[#This Row],[BW_GA]])-1)/(Backend!$B$4/100*Table1[[#This Row],[BW40_3705]]),"")</f>
        <v/>
      </c>
      <c r="J1075" s="7" t="str">
        <f>IF(Table1[[#This Row],[Is Data Valid]]=TRUE,_xlfn.NORM.S.DIST(Table1[[#This Row],[Birthweight Z-Score]],TRUE)*100,"")</f>
        <v/>
      </c>
      <c r="K1075" s="7" t="str">
        <f>IF(Table1[[#This Row],[Is Data Valid]]=TRUE,_xlfn.NORM.S.DIST(Table1[[#This Row],[Birthweight Z-Score (BW-10%)]],TRUE)*100,"")</f>
        <v/>
      </c>
      <c r="L1075" s="7" t="str">
        <f>IF(Table1[[#This Row],[Is Data Valid]]=TRUE,_xlfn.NORM.S.DIST(Table1[[#This Row],[Birthweight Z-Score (BW+10%)]],TRUE)*100,"")</f>
        <v/>
      </c>
    </row>
    <row r="1076" spans="1:12" x14ac:dyDescent="0.35">
      <c r="A1076" s="3"/>
      <c r="B1076" s="2"/>
      <c r="C1076" s="2"/>
      <c r="D1076" s="2" t="b">
        <f>IF(AND(NOT(ISBLANK(Table1[[#This Row],[Fetal Sex (Male, Female or Unknown)]])),ISNUMBER(Table1[[#This Row],[Birthweight (grams)]]),ISNUMBER(Table1[[#This Row],[Gestation (days)]])),TRUE,FALSE)</f>
        <v>0</v>
      </c>
      <c r="E1076" s="2" t="str">
        <f>IF(Table1[[#This Row],[Is Data Valid]]=TRUE,IF(Table1[[#This Row],[Fetal Sex (Male, Female or Unknown)]]="Male",Backend!$C$6,IF(Table1[[#This Row],[Fetal Sex (Male, Female or Unknown)]]="Female",Backend!$C$7,IF(Table1[[#This Row],[Fetal Sex (Male, Female or Unknown)]]="Unknown",Backend!$C$8,"Error"))),"")</f>
        <v/>
      </c>
      <c r="F1076" s="8" t="str">
        <f>IF(Table1[[#This Row],[Is Data Valid]]=TRUE,EXP(0.578+0.332*((Table1[[#This Row],[Gestation (days)]]+0.5)/7)-0.00354*((Table1[[#This Row],[Gestation (days)]]+0.5)/7)^2)*Table1[[#This Row],[BW40_3705]],"")</f>
        <v/>
      </c>
      <c r="G1076" s="2" t="str">
        <f>IF(Table1[[#This Row],[Is Data Valid]]=TRUE,((Table1[[#This Row],[Birthweight (grams)]]/Table1[[#This Row],[BW_GA]])-1)/(Backend!$B$4/100*Table1[[#This Row],[BW40_3705]]),"")</f>
        <v/>
      </c>
      <c r="H1076" s="7" t="str">
        <f>IF(Table1[[#This Row],[Is Data Valid]]=TRUE,((Table1[[#This Row],[Birthweight (grams)]]*0.9/Table1[[#This Row],[BW_GA]])-1)/(Backend!$B$4/100*Table1[[#This Row],[BW40_3705]]),"")</f>
        <v/>
      </c>
      <c r="I1076" s="7" t="str">
        <f>IF(Table1[[#This Row],[Is Data Valid]]=TRUE,((Table1[[#This Row],[Birthweight (grams)]]*1.1/Table1[[#This Row],[BW_GA]])-1)/(Backend!$B$4/100*Table1[[#This Row],[BW40_3705]]),"")</f>
        <v/>
      </c>
      <c r="J1076" s="7" t="str">
        <f>IF(Table1[[#This Row],[Is Data Valid]]=TRUE,_xlfn.NORM.S.DIST(Table1[[#This Row],[Birthweight Z-Score]],TRUE)*100,"")</f>
        <v/>
      </c>
      <c r="K1076" s="7" t="str">
        <f>IF(Table1[[#This Row],[Is Data Valid]]=TRUE,_xlfn.NORM.S.DIST(Table1[[#This Row],[Birthweight Z-Score (BW-10%)]],TRUE)*100,"")</f>
        <v/>
      </c>
      <c r="L1076" s="7" t="str">
        <f>IF(Table1[[#This Row],[Is Data Valid]]=TRUE,_xlfn.NORM.S.DIST(Table1[[#This Row],[Birthweight Z-Score (BW+10%)]],TRUE)*100,"")</f>
        <v/>
      </c>
    </row>
    <row r="1077" spans="1:12" x14ac:dyDescent="0.35">
      <c r="A1077" s="3"/>
      <c r="B1077" s="2"/>
      <c r="C1077" s="2"/>
      <c r="D1077" s="2" t="b">
        <f>IF(AND(NOT(ISBLANK(Table1[[#This Row],[Fetal Sex (Male, Female or Unknown)]])),ISNUMBER(Table1[[#This Row],[Birthweight (grams)]]),ISNUMBER(Table1[[#This Row],[Gestation (days)]])),TRUE,FALSE)</f>
        <v>0</v>
      </c>
      <c r="E1077" s="2" t="str">
        <f>IF(Table1[[#This Row],[Is Data Valid]]=TRUE,IF(Table1[[#This Row],[Fetal Sex (Male, Female or Unknown)]]="Male",Backend!$C$6,IF(Table1[[#This Row],[Fetal Sex (Male, Female or Unknown)]]="Female",Backend!$C$7,IF(Table1[[#This Row],[Fetal Sex (Male, Female or Unknown)]]="Unknown",Backend!$C$8,"Error"))),"")</f>
        <v/>
      </c>
      <c r="F1077" s="8" t="str">
        <f>IF(Table1[[#This Row],[Is Data Valid]]=TRUE,EXP(0.578+0.332*((Table1[[#This Row],[Gestation (days)]]+0.5)/7)-0.00354*((Table1[[#This Row],[Gestation (days)]]+0.5)/7)^2)*Table1[[#This Row],[BW40_3705]],"")</f>
        <v/>
      </c>
      <c r="G1077" s="2" t="str">
        <f>IF(Table1[[#This Row],[Is Data Valid]]=TRUE,((Table1[[#This Row],[Birthweight (grams)]]/Table1[[#This Row],[BW_GA]])-1)/(Backend!$B$4/100*Table1[[#This Row],[BW40_3705]]),"")</f>
        <v/>
      </c>
      <c r="H1077" s="7" t="str">
        <f>IF(Table1[[#This Row],[Is Data Valid]]=TRUE,((Table1[[#This Row],[Birthweight (grams)]]*0.9/Table1[[#This Row],[BW_GA]])-1)/(Backend!$B$4/100*Table1[[#This Row],[BW40_3705]]),"")</f>
        <v/>
      </c>
      <c r="I1077" s="7" t="str">
        <f>IF(Table1[[#This Row],[Is Data Valid]]=TRUE,((Table1[[#This Row],[Birthweight (grams)]]*1.1/Table1[[#This Row],[BW_GA]])-1)/(Backend!$B$4/100*Table1[[#This Row],[BW40_3705]]),"")</f>
        <v/>
      </c>
      <c r="J1077" s="7" t="str">
        <f>IF(Table1[[#This Row],[Is Data Valid]]=TRUE,_xlfn.NORM.S.DIST(Table1[[#This Row],[Birthweight Z-Score]],TRUE)*100,"")</f>
        <v/>
      </c>
      <c r="K1077" s="7" t="str">
        <f>IF(Table1[[#This Row],[Is Data Valid]]=TRUE,_xlfn.NORM.S.DIST(Table1[[#This Row],[Birthweight Z-Score (BW-10%)]],TRUE)*100,"")</f>
        <v/>
      </c>
      <c r="L1077" s="7" t="str">
        <f>IF(Table1[[#This Row],[Is Data Valid]]=TRUE,_xlfn.NORM.S.DIST(Table1[[#This Row],[Birthweight Z-Score (BW+10%)]],TRUE)*100,"")</f>
        <v/>
      </c>
    </row>
    <row r="1078" spans="1:12" x14ac:dyDescent="0.35">
      <c r="A1078" s="3"/>
      <c r="B1078" s="2"/>
      <c r="C1078" s="2"/>
      <c r="D1078" s="2" t="b">
        <f>IF(AND(NOT(ISBLANK(Table1[[#This Row],[Fetal Sex (Male, Female or Unknown)]])),ISNUMBER(Table1[[#This Row],[Birthweight (grams)]]),ISNUMBER(Table1[[#This Row],[Gestation (days)]])),TRUE,FALSE)</f>
        <v>0</v>
      </c>
      <c r="E1078" s="2" t="str">
        <f>IF(Table1[[#This Row],[Is Data Valid]]=TRUE,IF(Table1[[#This Row],[Fetal Sex (Male, Female or Unknown)]]="Male",Backend!$C$6,IF(Table1[[#This Row],[Fetal Sex (Male, Female or Unknown)]]="Female",Backend!$C$7,IF(Table1[[#This Row],[Fetal Sex (Male, Female or Unknown)]]="Unknown",Backend!$C$8,"Error"))),"")</f>
        <v/>
      </c>
      <c r="F1078" s="8" t="str">
        <f>IF(Table1[[#This Row],[Is Data Valid]]=TRUE,EXP(0.578+0.332*((Table1[[#This Row],[Gestation (days)]]+0.5)/7)-0.00354*((Table1[[#This Row],[Gestation (days)]]+0.5)/7)^2)*Table1[[#This Row],[BW40_3705]],"")</f>
        <v/>
      </c>
      <c r="G1078" s="2" t="str">
        <f>IF(Table1[[#This Row],[Is Data Valid]]=TRUE,((Table1[[#This Row],[Birthweight (grams)]]/Table1[[#This Row],[BW_GA]])-1)/(Backend!$B$4/100*Table1[[#This Row],[BW40_3705]]),"")</f>
        <v/>
      </c>
      <c r="H1078" s="7" t="str">
        <f>IF(Table1[[#This Row],[Is Data Valid]]=TRUE,((Table1[[#This Row],[Birthweight (grams)]]*0.9/Table1[[#This Row],[BW_GA]])-1)/(Backend!$B$4/100*Table1[[#This Row],[BW40_3705]]),"")</f>
        <v/>
      </c>
      <c r="I1078" s="7" t="str">
        <f>IF(Table1[[#This Row],[Is Data Valid]]=TRUE,((Table1[[#This Row],[Birthweight (grams)]]*1.1/Table1[[#This Row],[BW_GA]])-1)/(Backend!$B$4/100*Table1[[#This Row],[BW40_3705]]),"")</f>
        <v/>
      </c>
      <c r="J1078" s="7" t="str">
        <f>IF(Table1[[#This Row],[Is Data Valid]]=TRUE,_xlfn.NORM.S.DIST(Table1[[#This Row],[Birthweight Z-Score]],TRUE)*100,"")</f>
        <v/>
      </c>
      <c r="K1078" s="7" t="str">
        <f>IF(Table1[[#This Row],[Is Data Valid]]=TRUE,_xlfn.NORM.S.DIST(Table1[[#This Row],[Birthweight Z-Score (BW-10%)]],TRUE)*100,"")</f>
        <v/>
      </c>
      <c r="L1078" s="7" t="str">
        <f>IF(Table1[[#This Row],[Is Data Valid]]=TRUE,_xlfn.NORM.S.DIST(Table1[[#This Row],[Birthweight Z-Score (BW+10%)]],TRUE)*100,"")</f>
        <v/>
      </c>
    </row>
    <row r="1079" spans="1:12" x14ac:dyDescent="0.35">
      <c r="A1079" s="3"/>
      <c r="B1079" s="2"/>
      <c r="C1079" s="2"/>
      <c r="D1079" s="2" t="b">
        <f>IF(AND(NOT(ISBLANK(Table1[[#This Row],[Fetal Sex (Male, Female or Unknown)]])),ISNUMBER(Table1[[#This Row],[Birthweight (grams)]]),ISNUMBER(Table1[[#This Row],[Gestation (days)]])),TRUE,FALSE)</f>
        <v>0</v>
      </c>
      <c r="E1079" s="2" t="str">
        <f>IF(Table1[[#This Row],[Is Data Valid]]=TRUE,IF(Table1[[#This Row],[Fetal Sex (Male, Female or Unknown)]]="Male",Backend!$C$6,IF(Table1[[#This Row],[Fetal Sex (Male, Female or Unknown)]]="Female",Backend!$C$7,IF(Table1[[#This Row],[Fetal Sex (Male, Female or Unknown)]]="Unknown",Backend!$C$8,"Error"))),"")</f>
        <v/>
      </c>
      <c r="F1079" s="8" t="str">
        <f>IF(Table1[[#This Row],[Is Data Valid]]=TRUE,EXP(0.578+0.332*((Table1[[#This Row],[Gestation (days)]]+0.5)/7)-0.00354*((Table1[[#This Row],[Gestation (days)]]+0.5)/7)^2)*Table1[[#This Row],[BW40_3705]],"")</f>
        <v/>
      </c>
      <c r="G1079" s="2" t="str">
        <f>IF(Table1[[#This Row],[Is Data Valid]]=TRUE,((Table1[[#This Row],[Birthweight (grams)]]/Table1[[#This Row],[BW_GA]])-1)/(Backend!$B$4/100*Table1[[#This Row],[BW40_3705]]),"")</f>
        <v/>
      </c>
      <c r="H1079" s="7" t="str">
        <f>IF(Table1[[#This Row],[Is Data Valid]]=TRUE,((Table1[[#This Row],[Birthweight (grams)]]*0.9/Table1[[#This Row],[BW_GA]])-1)/(Backend!$B$4/100*Table1[[#This Row],[BW40_3705]]),"")</f>
        <v/>
      </c>
      <c r="I1079" s="7" t="str">
        <f>IF(Table1[[#This Row],[Is Data Valid]]=TRUE,((Table1[[#This Row],[Birthweight (grams)]]*1.1/Table1[[#This Row],[BW_GA]])-1)/(Backend!$B$4/100*Table1[[#This Row],[BW40_3705]]),"")</f>
        <v/>
      </c>
      <c r="J1079" s="7" t="str">
        <f>IF(Table1[[#This Row],[Is Data Valid]]=TRUE,_xlfn.NORM.S.DIST(Table1[[#This Row],[Birthweight Z-Score]],TRUE)*100,"")</f>
        <v/>
      </c>
      <c r="K1079" s="7" t="str">
        <f>IF(Table1[[#This Row],[Is Data Valid]]=TRUE,_xlfn.NORM.S.DIST(Table1[[#This Row],[Birthweight Z-Score (BW-10%)]],TRUE)*100,"")</f>
        <v/>
      </c>
      <c r="L1079" s="7" t="str">
        <f>IF(Table1[[#This Row],[Is Data Valid]]=TRUE,_xlfn.NORM.S.DIST(Table1[[#This Row],[Birthweight Z-Score (BW+10%)]],TRUE)*100,"")</f>
        <v/>
      </c>
    </row>
    <row r="1080" spans="1:12" x14ac:dyDescent="0.35">
      <c r="A1080" s="3"/>
      <c r="B1080" s="2"/>
      <c r="C1080" s="2"/>
      <c r="D1080" s="2" t="b">
        <f>IF(AND(NOT(ISBLANK(Table1[[#This Row],[Fetal Sex (Male, Female or Unknown)]])),ISNUMBER(Table1[[#This Row],[Birthweight (grams)]]),ISNUMBER(Table1[[#This Row],[Gestation (days)]])),TRUE,FALSE)</f>
        <v>0</v>
      </c>
      <c r="E1080" s="2" t="str">
        <f>IF(Table1[[#This Row],[Is Data Valid]]=TRUE,IF(Table1[[#This Row],[Fetal Sex (Male, Female or Unknown)]]="Male",Backend!$C$6,IF(Table1[[#This Row],[Fetal Sex (Male, Female or Unknown)]]="Female",Backend!$C$7,IF(Table1[[#This Row],[Fetal Sex (Male, Female or Unknown)]]="Unknown",Backend!$C$8,"Error"))),"")</f>
        <v/>
      </c>
      <c r="F1080" s="8" t="str">
        <f>IF(Table1[[#This Row],[Is Data Valid]]=TRUE,EXP(0.578+0.332*((Table1[[#This Row],[Gestation (days)]]+0.5)/7)-0.00354*((Table1[[#This Row],[Gestation (days)]]+0.5)/7)^2)*Table1[[#This Row],[BW40_3705]],"")</f>
        <v/>
      </c>
      <c r="G1080" s="2" t="str">
        <f>IF(Table1[[#This Row],[Is Data Valid]]=TRUE,((Table1[[#This Row],[Birthweight (grams)]]/Table1[[#This Row],[BW_GA]])-1)/(Backend!$B$4/100*Table1[[#This Row],[BW40_3705]]),"")</f>
        <v/>
      </c>
      <c r="H1080" s="7" t="str">
        <f>IF(Table1[[#This Row],[Is Data Valid]]=TRUE,((Table1[[#This Row],[Birthweight (grams)]]*0.9/Table1[[#This Row],[BW_GA]])-1)/(Backend!$B$4/100*Table1[[#This Row],[BW40_3705]]),"")</f>
        <v/>
      </c>
      <c r="I1080" s="7" t="str">
        <f>IF(Table1[[#This Row],[Is Data Valid]]=TRUE,((Table1[[#This Row],[Birthweight (grams)]]*1.1/Table1[[#This Row],[BW_GA]])-1)/(Backend!$B$4/100*Table1[[#This Row],[BW40_3705]]),"")</f>
        <v/>
      </c>
      <c r="J1080" s="7" t="str">
        <f>IF(Table1[[#This Row],[Is Data Valid]]=TRUE,_xlfn.NORM.S.DIST(Table1[[#This Row],[Birthweight Z-Score]],TRUE)*100,"")</f>
        <v/>
      </c>
      <c r="K1080" s="7" t="str">
        <f>IF(Table1[[#This Row],[Is Data Valid]]=TRUE,_xlfn.NORM.S.DIST(Table1[[#This Row],[Birthweight Z-Score (BW-10%)]],TRUE)*100,"")</f>
        <v/>
      </c>
      <c r="L1080" s="7" t="str">
        <f>IF(Table1[[#This Row],[Is Data Valid]]=TRUE,_xlfn.NORM.S.DIST(Table1[[#This Row],[Birthweight Z-Score (BW+10%)]],TRUE)*100,"")</f>
        <v/>
      </c>
    </row>
    <row r="1081" spans="1:12" x14ac:dyDescent="0.35">
      <c r="A1081" s="3"/>
      <c r="B1081" s="2"/>
      <c r="C1081" s="2"/>
      <c r="D1081" s="2" t="b">
        <f>IF(AND(NOT(ISBLANK(Table1[[#This Row],[Fetal Sex (Male, Female or Unknown)]])),ISNUMBER(Table1[[#This Row],[Birthweight (grams)]]),ISNUMBER(Table1[[#This Row],[Gestation (days)]])),TRUE,FALSE)</f>
        <v>0</v>
      </c>
      <c r="E1081" s="2" t="str">
        <f>IF(Table1[[#This Row],[Is Data Valid]]=TRUE,IF(Table1[[#This Row],[Fetal Sex (Male, Female or Unknown)]]="Male",Backend!$C$6,IF(Table1[[#This Row],[Fetal Sex (Male, Female or Unknown)]]="Female",Backend!$C$7,IF(Table1[[#This Row],[Fetal Sex (Male, Female or Unknown)]]="Unknown",Backend!$C$8,"Error"))),"")</f>
        <v/>
      </c>
      <c r="F1081" s="8" t="str">
        <f>IF(Table1[[#This Row],[Is Data Valid]]=TRUE,EXP(0.578+0.332*((Table1[[#This Row],[Gestation (days)]]+0.5)/7)-0.00354*((Table1[[#This Row],[Gestation (days)]]+0.5)/7)^2)*Table1[[#This Row],[BW40_3705]],"")</f>
        <v/>
      </c>
      <c r="G1081" s="2" t="str">
        <f>IF(Table1[[#This Row],[Is Data Valid]]=TRUE,((Table1[[#This Row],[Birthweight (grams)]]/Table1[[#This Row],[BW_GA]])-1)/(Backend!$B$4/100*Table1[[#This Row],[BW40_3705]]),"")</f>
        <v/>
      </c>
      <c r="H1081" s="7" t="str">
        <f>IF(Table1[[#This Row],[Is Data Valid]]=TRUE,((Table1[[#This Row],[Birthweight (grams)]]*0.9/Table1[[#This Row],[BW_GA]])-1)/(Backend!$B$4/100*Table1[[#This Row],[BW40_3705]]),"")</f>
        <v/>
      </c>
      <c r="I1081" s="7" t="str">
        <f>IF(Table1[[#This Row],[Is Data Valid]]=TRUE,((Table1[[#This Row],[Birthweight (grams)]]*1.1/Table1[[#This Row],[BW_GA]])-1)/(Backend!$B$4/100*Table1[[#This Row],[BW40_3705]]),"")</f>
        <v/>
      </c>
      <c r="J1081" s="7" t="str">
        <f>IF(Table1[[#This Row],[Is Data Valid]]=TRUE,_xlfn.NORM.S.DIST(Table1[[#This Row],[Birthweight Z-Score]],TRUE)*100,"")</f>
        <v/>
      </c>
      <c r="K1081" s="7" t="str">
        <f>IF(Table1[[#This Row],[Is Data Valid]]=TRUE,_xlfn.NORM.S.DIST(Table1[[#This Row],[Birthweight Z-Score (BW-10%)]],TRUE)*100,"")</f>
        <v/>
      </c>
      <c r="L1081" s="7" t="str">
        <f>IF(Table1[[#This Row],[Is Data Valid]]=TRUE,_xlfn.NORM.S.DIST(Table1[[#This Row],[Birthweight Z-Score (BW+10%)]],TRUE)*100,"")</f>
        <v/>
      </c>
    </row>
    <row r="1082" spans="1:12" x14ac:dyDescent="0.35">
      <c r="A1082" s="3"/>
      <c r="B1082" s="2"/>
      <c r="C1082" s="2"/>
      <c r="D1082" s="2" t="b">
        <f>IF(AND(NOT(ISBLANK(Table1[[#This Row],[Fetal Sex (Male, Female or Unknown)]])),ISNUMBER(Table1[[#This Row],[Birthweight (grams)]]),ISNUMBER(Table1[[#This Row],[Gestation (days)]])),TRUE,FALSE)</f>
        <v>0</v>
      </c>
      <c r="E1082" s="2" t="str">
        <f>IF(Table1[[#This Row],[Is Data Valid]]=TRUE,IF(Table1[[#This Row],[Fetal Sex (Male, Female or Unknown)]]="Male",Backend!$C$6,IF(Table1[[#This Row],[Fetal Sex (Male, Female or Unknown)]]="Female",Backend!$C$7,IF(Table1[[#This Row],[Fetal Sex (Male, Female or Unknown)]]="Unknown",Backend!$C$8,"Error"))),"")</f>
        <v/>
      </c>
      <c r="F1082" s="8" t="str">
        <f>IF(Table1[[#This Row],[Is Data Valid]]=TRUE,EXP(0.578+0.332*((Table1[[#This Row],[Gestation (days)]]+0.5)/7)-0.00354*((Table1[[#This Row],[Gestation (days)]]+0.5)/7)^2)*Table1[[#This Row],[BW40_3705]],"")</f>
        <v/>
      </c>
      <c r="G1082" s="2" t="str">
        <f>IF(Table1[[#This Row],[Is Data Valid]]=TRUE,((Table1[[#This Row],[Birthweight (grams)]]/Table1[[#This Row],[BW_GA]])-1)/(Backend!$B$4/100*Table1[[#This Row],[BW40_3705]]),"")</f>
        <v/>
      </c>
      <c r="H1082" s="7" t="str">
        <f>IF(Table1[[#This Row],[Is Data Valid]]=TRUE,((Table1[[#This Row],[Birthweight (grams)]]*0.9/Table1[[#This Row],[BW_GA]])-1)/(Backend!$B$4/100*Table1[[#This Row],[BW40_3705]]),"")</f>
        <v/>
      </c>
      <c r="I1082" s="7" t="str">
        <f>IF(Table1[[#This Row],[Is Data Valid]]=TRUE,((Table1[[#This Row],[Birthweight (grams)]]*1.1/Table1[[#This Row],[BW_GA]])-1)/(Backend!$B$4/100*Table1[[#This Row],[BW40_3705]]),"")</f>
        <v/>
      </c>
      <c r="J1082" s="7" t="str">
        <f>IF(Table1[[#This Row],[Is Data Valid]]=TRUE,_xlfn.NORM.S.DIST(Table1[[#This Row],[Birthweight Z-Score]],TRUE)*100,"")</f>
        <v/>
      </c>
      <c r="K1082" s="7" t="str">
        <f>IF(Table1[[#This Row],[Is Data Valid]]=TRUE,_xlfn.NORM.S.DIST(Table1[[#This Row],[Birthweight Z-Score (BW-10%)]],TRUE)*100,"")</f>
        <v/>
      </c>
      <c r="L1082" s="7" t="str">
        <f>IF(Table1[[#This Row],[Is Data Valid]]=TRUE,_xlfn.NORM.S.DIST(Table1[[#This Row],[Birthweight Z-Score (BW+10%)]],TRUE)*100,"")</f>
        <v/>
      </c>
    </row>
    <row r="1083" spans="1:12" x14ac:dyDescent="0.35">
      <c r="A1083" s="3"/>
      <c r="B1083" s="2"/>
      <c r="C1083" s="2"/>
      <c r="D1083" s="2" t="b">
        <f>IF(AND(NOT(ISBLANK(Table1[[#This Row],[Fetal Sex (Male, Female or Unknown)]])),ISNUMBER(Table1[[#This Row],[Birthweight (grams)]]),ISNUMBER(Table1[[#This Row],[Gestation (days)]])),TRUE,FALSE)</f>
        <v>0</v>
      </c>
      <c r="E1083" s="2" t="str">
        <f>IF(Table1[[#This Row],[Is Data Valid]]=TRUE,IF(Table1[[#This Row],[Fetal Sex (Male, Female or Unknown)]]="Male",Backend!$C$6,IF(Table1[[#This Row],[Fetal Sex (Male, Female or Unknown)]]="Female",Backend!$C$7,IF(Table1[[#This Row],[Fetal Sex (Male, Female or Unknown)]]="Unknown",Backend!$C$8,"Error"))),"")</f>
        <v/>
      </c>
      <c r="F1083" s="8" t="str">
        <f>IF(Table1[[#This Row],[Is Data Valid]]=TRUE,EXP(0.578+0.332*((Table1[[#This Row],[Gestation (days)]]+0.5)/7)-0.00354*((Table1[[#This Row],[Gestation (days)]]+0.5)/7)^2)*Table1[[#This Row],[BW40_3705]],"")</f>
        <v/>
      </c>
      <c r="G1083" s="2" t="str">
        <f>IF(Table1[[#This Row],[Is Data Valid]]=TRUE,((Table1[[#This Row],[Birthweight (grams)]]/Table1[[#This Row],[BW_GA]])-1)/(Backend!$B$4/100*Table1[[#This Row],[BW40_3705]]),"")</f>
        <v/>
      </c>
      <c r="H1083" s="7" t="str">
        <f>IF(Table1[[#This Row],[Is Data Valid]]=TRUE,((Table1[[#This Row],[Birthweight (grams)]]*0.9/Table1[[#This Row],[BW_GA]])-1)/(Backend!$B$4/100*Table1[[#This Row],[BW40_3705]]),"")</f>
        <v/>
      </c>
      <c r="I1083" s="7" t="str">
        <f>IF(Table1[[#This Row],[Is Data Valid]]=TRUE,((Table1[[#This Row],[Birthweight (grams)]]*1.1/Table1[[#This Row],[BW_GA]])-1)/(Backend!$B$4/100*Table1[[#This Row],[BW40_3705]]),"")</f>
        <v/>
      </c>
      <c r="J1083" s="7" t="str">
        <f>IF(Table1[[#This Row],[Is Data Valid]]=TRUE,_xlfn.NORM.S.DIST(Table1[[#This Row],[Birthweight Z-Score]],TRUE)*100,"")</f>
        <v/>
      </c>
      <c r="K1083" s="7" t="str">
        <f>IF(Table1[[#This Row],[Is Data Valid]]=TRUE,_xlfn.NORM.S.DIST(Table1[[#This Row],[Birthweight Z-Score (BW-10%)]],TRUE)*100,"")</f>
        <v/>
      </c>
      <c r="L1083" s="7" t="str">
        <f>IF(Table1[[#This Row],[Is Data Valid]]=TRUE,_xlfn.NORM.S.DIST(Table1[[#This Row],[Birthweight Z-Score (BW+10%)]],TRUE)*100,"")</f>
        <v/>
      </c>
    </row>
    <row r="1084" spans="1:12" x14ac:dyDescent="0.35">
      <c r="A1084" s="3"/>
      <c r="B1084" s="2"/>
      <c r="C1084" s="2"/>
      <c r="D1084" s="2" t="b">
        <f>IF(AND(NOT(ISBLANK(Table1[[#This Row],[Fetal Sex (Male, Female or Unknown)]])),ISNUMBER(Table1[[#This Row],[Birthweight (grams)]]),ISNUMBER(Table1[[#This Row],[Gestation (days)]])),TRUE,FALSE)</f>
        <v>0</v>
      </c>
      <c r="E1084" s="2" t="str">
        <f>IF(Table1[[#This Row],[Is Data Valid]]=TRUE,IF(Table1[[#This Row],[Fetal Sex (Male, Female or Unknown)]]="Male",Backend!$C$6,IF(Table1[[#This Row],[Fetal Sex (Male, Female or Unknown)]]="Female",Backend!$C$7,IF(Table1[[#This Row],[Fetal Sex (Male, Female or Unknown)]]="Unknown",Backend!$C$8,"Error"))),"")</f>
        <v/>
      </c>
      <c r="F1084" s="8" t="str">
        <f>IF(Table1[[#This Row],[Is Data Valid]]=TRUE,EXP(0.578+0.332*((Table1[[#This Row],[Gestation (days)]]+0.5)/7)-0.00354*((Table1[[#This Row],[Gestation (days)]]+0.5)/7)^2)*Table1[[#This Row],[BW40_3705]],"")</f>
        <v/>
      </c>
      <c r="G1084" s="2" t="str">
        <f>IF(Table1[[#This Row],[Is Data Valid]]=TRUE,((Table1[[#This Row],[Birthweight (grams)]]/Table1[[#This Row],[BW_GA]])-1)/(Backend!$B$4/100*Table1[[#This Row],[BW40_3705]]),"")</f>
        <v/>
      </c>
      <c r="H1084" s="7" t="str">
        <f>IF(Table1[[#This Row],[Is Data Valid]]=TRUE,((Table1[[#This Row],[Birthweight (grams)]]*0.9/Table1[[#This Row],[BW_GA]])-1)/(Backend!$B$4/100*Table1[[#This Row],[BW40_3705]]),"")</f>
        <v/>
      </c>
      <c r="I1084" s="7" t="str">
        <f>IF(Table1[[#This Row],[Is Data Valid]]=TRUE,((Table1[[#This Row],[Birthweight (grams)]]*1.1/Table1[[#This Row],[BW_GA]])-1)/(Backend!$B$4/100*Table1[[#This Row],[BW40_3705]]),"")</f>
        <v/>
      </c>
      <c r="J1084" s="7" t="str">
        <f>IF(Table1[[#This Row],[Is Data Valid]]=TRUE,_xlfn.NORM.S.DIST(Table1[[#This Row],[Birthweight Z-Score]],TRUE)*100,"")</f>
        <v/>
      </c>
      <c r="K1084" s="7" t="str">
        <f>IF(Table1[[#This Row],[Is Data Valid]]=TRUE,_xlfn.NORM.S.DIST(Table1[[#This Row],[Birthweight Z-Score (BW-10%)]],TRUE)*100,"")</f>
        <v/>
      </c>
      <c r="L1084" s="7" t="str">
        <f>IF(Table1[[#This Row],[Is Data Valid]]=TRUE,_xlfn.NORM.S.DIST(Table1[[#This Row],[Birthweight Z-Score (BW+10%)]],TRUE)*100,"")</f>
        <v/>
      </c>
    </row>
    <row r="1085" spans="1:12" x14ac:dyDescent="0.35">
      <c r="A1085" s="3"/>
      <c r="B1085" s="2"/>
      <c r="C1085" s="2"/>
      <c r="D1085" s="2" t="b">
        <f>IF(AND(NOT(ISBLANK(Table1[[#This Row],[Fetal Sex (Male, Female or Unknown)]])),ISNUMBER(Table1[[#This Row],[Birthweight (grams)]]),ISNUMBER(Table1[[#This Row],[Gestation (days)]])),TRUE,FALSE)</f>
        <v>0</v>
      </c>
      <c r="E1085" s="2" t="str">
        <f>IF(Table1[[#This Row],[Is Data Valid]]=TRUE,IF(Table1[[#This Row],[Fetal Sex (Male, Female or Unknown)]]="Male",Backend!$C$6,IF(Table1[[#This Row],[Fetal Sex (Male, Female or Unknown)]]="Female",Backend!$C$7,IF(Table1[[#This Row],[Fetal Sex (Male, Female or Unknown)]]="Unknown",Backend!$C$8,"Error"))),"")</f>
        <v/>
      </c>
      <c r="F1085" s="8" t="str">
        <f>IF(Table1[[#This Row],[Is Data Valid]]=TRUE,EXP(0.578+0.332*((Table1[[#This Row],[Gestation (days)]]+0.5)/7)-0.00354*((Table1[[#This Row],[Gestation (days)]]+0.5)/7)^2)*Table1[[#This Row],[BW40_3705]],"")</f>
        <v/>
      </c>
      <c r="G1085" s="2" t="str">
        <f>IF(Table1[[#This Row],[Is Data Valid]]=TRUE,((Table1[[#This Row],[Birthweight (grams)]]/Table1[[#This Row],[BW_GA]])-1)/(Backend!$B$4/100*Table1[[#This Row],[BW40_3705]]),"")</f>
        <v/>
      </c>
      <c r="H1085" s="7" t="str">
        <f>IF(Table1[[#This Row],[Is Data Valid]]=TRUE,((Table1[[#This Row],[Birthweight (grams)]]*0.9/Table1[[#This Row],[BW_GA]])-1)/(Backend!$B$4/100*Table1[[#This Row],[BW40_3705]]),"")</f>
        <v/>
      </c>
      <c r="I1085" s="7" t="str">
        <f>IF(Table1[[#This Row],[Is Data Valid]]=TRUE,((Table1[[#This Row],[Birthweight (grams)]]*1.1/Table1[[#This Row],[BW_GA]])-1)/(Backend!$B$4/100*Table1[[#This Row],[BW40_3705]]),"")</f>
        <v/>
      </c>
      <c r="J1085" s="7" t="str">
        <f>IF(Table1[[#This Row],[Is Data Valid]]=TRUE,_xlfn.NORM.S.DIST(Table1[[#This Row],[Birthweight Z-Score]],TRUE)*100,"")</f>
        <v/>
      </c>
      <c r="K1085" s="7" t="str">
        <f>IF(Table1[[#This Row],[Is Data Valid]]=TRUE,_xlfn.NORM.S.DIST(Table1[[#This Row],[Birthweight Z-Score (BW-10%)]],TRUE)*100,"")</f>
        <v/>
      </c>
      <c r="L1085" s="7" t="str">
        <f>IF(Table1[[#This Row],[Is Data Valid]]=TRUE,_xlfn.NORM.S.DIST(Table1[[#This Row],[Birthweight Z-Score (BW+10%)]],TRUE)*100,"")</f>
        <v/>
      </c>
    </row>
    <row r="1086" spans="1:12" x14ac:dyDescent="0.35">
      <c r="A1086" s="3"/>
      <c r="B1086" s="2"/>
      <c r="C1086" s="2"/>
      <c r="D1086" s="2" t="b">
        <f>IF(AND(NOT(ISBLANK(Table1[[#This Row],[Fetal Sex (Male, Female or Unknown)]])),ISNUMBER(Table1[[#This Row],[Birthweight (grams)]]),ISNUMBER(Table1[[#This Row],[Gestation (days)]])),TRUE,FALSE)</f>
        <v>0</v>
      </c>
      <c r="E1086" s="2" t="str">
        <f>IF(Table1[[#This Row],[Is Data Valid]]=TRUE,IF(Table1[[#This Row],[Fetal Sex (Male, Female or Unknown)]]="Male",Backend!$C$6,IF(Table1[[#This Row],[Fetal Sex (Male, Female or Unknown)]]="Female",Backend!$C$7,IF(Table1[[#This Row],[Fetal Sex (Male, Female or Unknown)]]="Unknown",Backend!$C$8,"Error"))),"")</f>
        <v/>
      </c>
      <c r="F1086" s="8" t="str">
        <f>IF(Table1[[#This Row],[Is Data Valid]]=TRUE,EXP(0.578+0.332*((Table1[[#This Row],[Gestation (days)]]+0.5)/7)-0.00354*((Table1[[#This Row],[Gestation (days)]]+0.5)/7)^2)*Table1[[#This Row],[BW40_3705]],"")</f>
        <v/>
      </c>
      <c r="G1086" s="2" t="str">
        <f>IF(Table1[[#This Row],[Is Data Valid]]=TRUE,((Table1[[#This Row],[Birthweight (grams)]]/Table1[[#This Row],[BW_GA]])-1)/(Backend!$B$4/100*Table1[[#This Row],[BW40_3705]]),"")</f>
        <v/>
      </c>
      <c r="H1086" s="7" t="str">
        <f>IF(Table1[[#This Row],[Is Data Valid]]=TRUE,((Table1[[#This Row],[Birthweight (grams)]]*0.9/Table1[[#This Row],[BW_GA]])-1)/(Backend!$B$4/100*Table1[[#This Row],[BW40_3705]]),"")</f>
        <v/>
      </c>
      <c r="I1086" s="7" t="str">
        <f>IF(Table1[[#This Row],[Is Data Valid]]=TRUE,((Table1[[#This Row],[Birthweight (grams)]]*1.1/Table1[[#This Row],[BW_GA]])-1)/(Backend!$B$4/100*Table1[[#This Row],[BW40_3705]]),"")</f>
        <v/>
      </c>
      <c r="J1086" s="7" t="str">
        <f>IF(Table1[[#This Row],[Is Data Valid]]=TRUE,_xlfn.NORM.S.DIST(Table1[[#This Row],[Birthweight Z-Score]],TRUE)*100,"")</f>
        <v/>
      </c>
      <c r="K1086" s="7" t="str">
        <f>IF(Table1[[#This Row],[Is Data Valid]]=TRUE,_xlfn.NORM.S.DIST(Table1[[#This Row],[Birthweight Z-Score (BW-10%)]],TRUE)*100,"")</f>
        <v/>
      </c>
      <c r="L1086" s="7" t="str">
        <f>IF(Table1[[#This Row],[Is Data Valid]]=TRUE,_xlfn.NORM.S.DIST(Table1[[#This Row],[Birthweight Z-Score (BW+10%)]],TRUE)*100,"")</f>
        <v/>
      </c>
    </row>
    <row r="1087" spans="1:12" x14ac:dyDescent="0.35">
      <c r="A1087" s="3"/>
      <c r="B1087" s="2"/>
      <c r="C1087" s="2"/>
      <c r="D1087" s="2" t="b">
        <f>IF(AND(NOT(ISBLANK(Table1[[#This Row],[Fetal Sex (Male, Female or Unknown)]])),ISNUMBER(Table1[[#This Row],[Birthweight (grams)]]),ISNUMBER(Table1[[#This Row],[Gestation (days)]])),TRUE,FALSE)</f>
        <v>0</v>
      </c>
      <c r="E1087" s="2" t="str">
        <f>IF(Table1[[#This Row],[Is Data Valid]]=TRUE,IF(Table1[[#This Row],[Fetal Sex (Male, Female or Unknown)]]="Male",Backend!$C$6,IF(Table1[[#This Row],[Fetal Sex (Male, Female or Unknown)]]="Female",Backend!$C$7,IF(Table1[[#This Row],[Fetal Sex (Male, Female or Unknown)]]="Unknown",Backend!$C$8,"Error"))),"")</f>
        <v/>
      </c>
      <c r="F1087" s="8" t="str">
        <f>IF(Table1[[#This Row],[Is Data Valid]]=TRUE,EXP(0.578+0.332*((Table1[[#This Row],[Gestation (days)]]+0.5)/7)-0.00354*((Table1[[#This Row],[Gestation (days)]]+0.5)/7)^2)*Table1[[#This Row],[BW40_3705]],"")</f>
        <v/>
      </c>
      <c r="G1087" s="2" t="str">
        <f>IF(Table1[[#This Row],[Is Data Valid]]=TRUE,((Table1[[#This Row],[Birthweight (grams)]]/Table1[[#This Row],[BW_GA]])-1)/(Backend!$B$4/100*Table1[[#This Row],[BW40_3705]]),"")</f>
        <v/>
      </c>
      <c r="H1087" s="7" t="str">
        <f>IF(Table1[[#This Row],[Is Data Valid]]=TRUE,((Table1[[#This Row],[Birthweight (grams)]]*0.9/Table1[[#This Row],[BW_GA]])-1)/(Backend!$B$4/100*Table1[[#This Row],[BW40_3705]]),"")</f>
        <v/>
      </c>
      <c r="I1087" s="7" t="str">
        <f>IF(Table1[[#This Row],[Is Data Valid]]=TRUE,((Table1[[#This Row],[Birthweight (grams)]]*1.1/Table1[[#This Row],[BW_GA]])-1)/(Backend!$B$4/100*Table1[[#This Row],[BW40_3705]]),"")</f>
        <v/>
      </c>
      <c r="J1087" s="7" t="str">
        <f>IF(Table1[[#This Row],[Is Data Valid]]=TRUE,_xlfn.NORM.S.DIST(Table1[[#This Row],[Birthweight Z-Score]],TRUE)*100,"")</f>
        <v/>
      </c>
      <c r="K1087" s="7" t="str">
        <f>IF(Table1[[#This Row],[Is Data Valid]]=TRUE,_xlfn.NORM.S.DIST(Table1[[#This Row],[Birthweight Z-Score (BW-10%)]],TRUE)*100,"")</f>
        <v/>
      </c>
      <c r="L1087" s="7" t="str">
        <f>IF(Table1[[#This Row],[Is Data Valid]]=TRUE,_xlfn.NORM.S.DIST(Table1[[#This Row],[Birthweight Z-Score (BW+10%)]],TRUE)*100,"")</f>
        <v/>
      </c>
    </row>
    <row r="1088" spans="1:12" x14ac:dyDescent="0.35">
      <c r="A1088" s="3"/>
      <c r="B1088" s="2"/>
      <c r="C1088" s="2"/>
      <c r="D1088" s="2" t="b">
        <f>IF(AND(NOT(ISBLANK(Table1[[#This Row],[Fetal Sex (Male, Female or Unknown)]])),ISNUMBER(Table1[[#This Row],[Birthweight (grams)]]),ISNUMBER(Table1[[#This Row],[Gestation (days)]])),TRUE,FALSE)</f>
        <v>0</v>
      </c>
      <c r="E1088" s="2" t="str">
        <f>IF(Table1[[#This Row],[Is Data Valid]]=TRUE,IF(Table1[[#This Row],[Fetal Sex (Male, Female or Unknown)]]="Male",Backend!$C$6,IF(Table1[[#This Row],[Fetal Sex (Male, Female or Unknown)]]="Female",Backend!$C$7,IF(Table1[[#This Row],[Fetal Sex (Male, Female or Unknown)]]="Unknown",Backend!$C$8,"Error"))),"")</f>
        <v/>
      </c>
      <c r="F1088" s="8" t="str">
        <f>IF(Table1[[#This Row],[Is Data Valid]]=TRUE,EXP(0.578+0.332*((Table1[[#This Row],[Gestation (days)]]+0.5)/7)-0.00354*((Table1[[#This Row],[Gestation (days)]]+0.5)/7)^2)*Table1[[#This Row],[BW40_3705]],"")</f>
        <v/>
      </c>
      <c r="G1088" s="2" t="str">
        <f>IF(Table1[[#This Row],[Is Data Valid]]=TRUE,((Table1[[#This Row],[Birthweight (grams)]]/Table1[[#This Row],[BW_GA]])-1)/(Backend!$B$4/100*Table1[[#This Row],[BW40_3705]]),"")</f>
        <v/>
      </c>
      <c r="H1088" s="7" t="str">
        <f>IF(Table1[[#This Row],[Is Data Valid]]=TRUE,((Table1[[#This Row],[Birthweight (grams)]]*0.9/Table1[[#This Row],[BW_GA]])-1)/(Backend!$B$4/100*Table1[[#This Row],[BW40_3705]]),"")</f>
        <v/>
      </c>
      <c r="I1088" s="7" t="str">
        <f>IF(Table1[[#This Row],[Is Data Valid]]=TRUE,((Table1[[#This Row],[Birthweight (grams)]]*1.1/Table1[[#This Row],[BW_GA]])-1)/(Backend!$B$4/100*Table1[[#This Row],[BW40_3705]]),"")</f>
        <v/>
      </c>
      <c r="J1088" s="7" t="str">
        <f>IF(Table1[[#This Row],[Is Data Valid]]=TRUE,_xlfn.NORM.S.DIST(Table1[[#This Row],[Birthweight Z-Score]],TRUE)*100,"")</f>
        <v/>
      </c>
      <c r="K1088" s="7" t="str">
        <f>IF(Table1[[#This Row],[Is Data Valid]]=TRUE,_xlfn.NORM.S.DIST(Table1[[#This Row],[Birthweight Z-Score (BW-10%)]],TRUE)*100,"")</f>
        <v/>
      </c>
      <c r="L1088" s="7" t="str">
        <f>IF(Table1[[#This Row],[Is Data Valid]]=TRUE,_xlfn.NORM.S.DIST(Table1[[#This Row],[Birthweight Z-Score (BW+10%)]],TRUE)*100,"")</f>
        <v/>
      </c>
    </row>
    <row r="1089" spans="1:12" x14ac:dyDescent="0.35">
      <c r="A1089" s="3"/>
      <c r="B1089" s="2"/>
      <c r="C1089" s="2"/>
      <c r="D1089" s="2" t="b">
        <f>IF(AND(NOT(ISBLANK(Table1[[#This Row],[Fetal Sex (Male, Female or Unknown)]])),ISNUMBER(Table1[[#This Row],[Birthweight (grams)]]),ISNUMBER(Table1[[#This Row],[Gestation (days)]])),TRUE,FALSE)</f>
        <v>0</v>
      </c>
      <c r="E1089" s="2" t="str">
        <f>IF(Table1[[#This Row],[Is Data Valid]]=TRUE,IF(Table1[[#This Row],[Fetal Sex (Male, Female or Unknown)]]="Male",Backend!$C$6,IF(Table1[[#This Row],[Fetal Sex (Male, Female or Unknown)]]="Female",Backend!$C$7,IF(Table1[[#This Row],[Fetal Sex (Male, Female or Unknown)]]="Unknown",Backend!$C$8,"Error"))),"")</f>
        <v/>
      </c>
      <c r="F1089" s="8" t="str">
        <f>IF(Table1[[#This Row],[Is Data Valid]]=TRUE,EXP(0.578+0.332*((Table1[[#This Row],[Gestation (days)]]+0.5)/7)-0.00354*((Table1[[#This Row],[Gestation (days)]]+0.5)/7)^2)*Table1[[#This Row],[BW40_3705]],"")</f>
        <v/>
      </c>
      <c r="G1089" s="2" t="str">
        <f>IF(Table1[[#This Row],[Is Data Valid]]=TRUE,((Table1[[#This Row],[Birthweight (grams)]]/Table1[[#This Row],[BW_GA]])-1)/(Backend!$B$4/100*Table1[[#This Row],[BW40_3705]]),"")</f>
        <v/>
      </c>
      <c r="H1089" s="7" t="str">
        <f>IF(Table1[[#This Row],[Is Data Valid]]=TRUE,((Table1[[#This Row],[Birthweight (grams)]]*0.9/Table1[[#This Row],[BW_GA]])-1)/(Backend!$B$4/100*Table1[[#This Row],[BW40_3705]]),"")</f>
        <v/>
      </c>
      <c r="I1089" s="7" t="str">
        <f>IF(Table1[[#This Row],[Is Data Valid]]=TRUE,((Table1[[#This Row],[Birthweight (grams)]]*1.1/Table1[[#This Row],[BW_GA]])-1)/(Backend!$B$4/100*Table1[[#This Row],[BW40_3705]]),"")</f>
        <v/>
      </c>
      <c r="J1089" s="7" t="str">
        <f>IF(Table1[[#This Row],[Is Data Valid]]=TRUE,_xlfn.NORM.S.DIST(Table1[[#This Row],[Birthweight Z-Score]],TRUE)*100,"")</f>
        <v/>
      </c>
      <c r="K1089" s="7" t="str">
        <f>IF(Table1[[#This Row],[Is Data Valid]]=TRUE,_xlfn.NORM.S.DIST(Table1[[#This Row],[Birthweight Z-Score (BW-10%)]],TRUE)*100,"")</f>
        <v/>
      </c>
      <c r="L1089" s="7" t="str">
        <f>IF(Table1[[#This Row],[Is Data Valid]]=TRUE,_xlfn.NORM.S.DIST(Table1[[#This Row],[Birthweight Z-Score (BW+10%)]],TRUE)*100,"")</f>
        <v/>
      </c>
    </row>
    <row r="1090" spans="1:12" x14ac:dyDescent="0.35">
      <c r="A1090" s="3"/>
      <c r="B1090" s="2"/>
      <c r="C1090" s="2"/>
      <c r="D1090" s="2" t="b">
        <f>IF(AND(NOT(ISBLANK(Table1[[#This Row],[Fetal Sex (Male, Female or Unknown)]])),ISNUMBER(Table1[[#This Row],[Birthweight (grams)]]),ISNUMBER(Table1[[#This Row],[Gestation (days)]])),TRUE,FALSE)</f>
        <v>0</v>
      </c>
      <c r="E1090" s="2" t="str">
        <f>IF(Table1[[#This Row],[Is Data Valid]]=TRUE,IF(Table1[[#This Row],[Fetal Sex (Male, Female or Unknown)]]="Male",Backend!$C$6,IF(Table1[[#This Row],[Fetal Sex (Male, Female or Unknown)]]="Female",Backend!$C$7,IF(Table1[[#This Row],[Fetal Sex (Male, Female or Unknown)]]="Unknown",Backend!$C$8,"Error"))),"")</f>
        <v/>
      </c>
      <c r="F1090" s="8" t="str">
        <f>IF(Table1[[#This Row],[Is Data Valid]]=TRUE,EXP(0.578+0.332*((Table1[[#This Row],[Gestation (days)]]+0.5)/7)-0.00354*((Table1[[#This Row],[Gestation (days)]]+0.5)/7)^2)*Table1[[#This Row],[BW40_3705]],"")</f>
        <v/>
      </c>
      <c r="G1090" s="2" t="str">
        <f>IF(Table1[[#This Row],[Is Data Valid]]=TRUE,((Table1[[#This Row],[Birthweight (grams)]]/Table1[[#This Row],[BW_GA]])-1)/(Backend!$B$4/100*Table1[[#This Row],[BW40_3705]]),"")</f>
        <v/>
      </c>
      <c r="H1090" s="7" t="str">
        <f>IF(Table1[[#This Row],[Is Data Valid]]=TRUE,((Table1[[#This Row],[Birthweight (grams)]]*0.9/Table1[[#This Row],[BW_GA]])-1)/(Backend!$B$4/100*Table1[[#This Row],[BW40_3705]]),"")</f>
        <v/>
      </c>
      <c r="I1090" s="7" t="str">
        <f>IF(Table1[[#This Row],[Is Data Valid]]=TRUE,((Table1[[#This Row],[Birthweight (grams)]]*1.1/Table1[[#This Row],[BW_GA]])-1)/(Backend!$B$4/100*Table1[[#This Row],[BW40_3705]]),"")</f>
        <v/>
      </c>
      <c r="J1090" s="7" t="str">
        <f>IF(Table1[[#This Row],[Is Data Valid]]=TRUE,_xlfn.NORM.S.DIST(Table1[[#This Row],[Birthweight Z-Score]],TRUE)*100,"")</f>
        <v/>
      </c>
      <c r="K1090" s="7" t="str">
        <f>IF(Table1[[#This Row],[Is Data Valid]]=TRUE,_xlfn.NORM.S.DIST(Table1[[#This Row],[Birthweight Z-Score (BW-10%)]],TRUE)*100,"")</f>
        <v/>
      </c>
      <c r="L1090" s="7" t="str">
        <f>IF(Table1[[#This Row],[Is Data Valid]]=TRUE,_xlfn.NORM.S.DIST(Table1[[#This Row],[Birthweight Z-Score (BW+10%)]],TRUE)*100,"")</f>
        <v/>
      </c>
    </row>
    <row r="1091" spans="1:12" x14ac:dyDescent="0.35">
      <c r="A1091" s="3"/>
      <c r="B1091" s="2"/>
      <c r="C1091" s="2"/>
      <c r="D1091" s="2" t="b">
        <f>IF(AND(NOT(ISBLANK(Table1[[#This Row],[Fetal Sex (Male, Female or Unknown)]])),ISNUMBER(Table1[[#This Row],[Birthweight (grams)]]),ISNUMBER(Table1[[#This Row],[Gestation (days)]])),TRUE,FALSE)</f>
        <v>0</v>
      </c>
      <c r="E1091" s="2" t="str">
        <f>IF(Table1[[#This Row],[Is Data Valid]]=TRUE,IF(Table1[[#This Row],[Fetal Sex (Male, Female or Unknown)]]="Male",Backend!$C$6,IF(Table1[[#This Row],[Fetal Sex (Male, Female or Unknown)]]="Female",Backend!$C$7,IF(Table1[[#This Row],[Fetal Sex (Male, Female or Unknown)]]="Unknown",Backend!$C$8,"Error"))),"")</f>
        <v/>
      </c>
      <c r="F1091" s="8" t="str">
        <f>IF(Table1[[#This Row],[Is Data Valid]]=TRUE,EXP(0.578+0.332*((Table1[[#This Row],[Gestation (days)]]+0.5)/7)-0.00354*((Table1[[#This Row],[Gestation (days)]]+0.5)/7)^2)*Table1[[#This Row],[BW40_3705]],"")</f>
        <v/>
      </c>
      <c r="G1091" s="2" t="str">
        <f>IF(Table1[[#This Row],[Is Data Valid]]=TRUE,((Table1[[#This Row],[Birthweight (grams)]]/Table1[[#This Row],[BW_GA]])-1)/(Backend!$B$4/100*Table1[[#This Row],[BW40_3705]]),"")</f>
        <v/>
      </c>
      <c r="H1091" s="7" t="str">
        <f>IF(Table1[[#This Row],[Is Data Valid]]=TRUE,((Table1[[#This Row],[Birthweight (grams)]]*0.9/Table1[[#This Row],[BW_GA]])-1)/(Backend!$B$4/100*Table1[[#This Row],[BW40_3705]]),"")</f>
        <v/>
      </c>
      <c r="I1091" s="7" t="str">
        <f>IF(Table1[[#This Row],[Is Data Valid]]=TRUE,((Table1[[#This Row],[Birthweight (grams)]]*1.1/Table1[[#This Row],[BW_GA]])-1)/(Backend!$B$4/100*Table1[[#This Row],[BW40_3705]]),"")</f>
        <v/>
      </c>
      <c r="J1091" s="7" t="str">
        <f>IF(Table1[[#This Row],[Is Data Valid]]=TRUE,_xlfn.NORM.S.DIST(Table1[[#This Row],[Birthweight Z-Score]],TRUE)*100,"")</f>
        <v/>
      </c>
      <c r="K1091" s="7" t="str">
        <f>IF(Table1[[#This Row],[Is Data Valid]]=TRUE,_xlfn.NORM.S.DIST(Table1[[#This Row],[Birthweight Z-Score (BW-10%)]],TRUE)*100,"")</f>
        <v/>
      </c>
      <c r="L1091" s="7" t="str">
        <f>IF(Table1[[#This Row],[Is Data Valid]]=TRUE,_xlfn.NORM.S.DIST(Table1[[#This Row],[Birthweight Z-Score (BW+10%)]],TRUE)*100,"")</f>
        <v/>
      </c>
    </row>
    <row r="1092" spans="1:12" x14ac:dyDescent="0.35">
      <c r="A1092" s="3"/>
      <c r="B1092" s="2"/>
      <c r="C1092" s="2"/>
      <c r="D1092" s="2" t="b">
        <f>IF(AND(NOT(ISBLANK(Table1[[#This Row],[Fetal Sex (Male, Female or Unknown)]])),ISNUMBER(Table1[[#This Row],[Birthweight (grams)]]),ISNUMBER(Table1[[#This Row],[Gestation (days)]])),TRUE,FALSE)</f>
        <v>0</v>
      </c>
      <c r="E1092" s="2" t="str">
        <f>IF(Table1[[#This Row],[Is Data Valid]]=TRUE,IF(Table1[[#This Row],[Fetal Sex (Male, Female or Unknown)]]="Male",Backend!$C$6,IF(Table1[[#This Row],[Fetal Sex (Male, Female or Unknown)]]="Female",Backend!$C$7,IF(Table1[[#This Row],[Fetal Sex (Male, Female or Unknown)]]="Unknown",Backend!$C$8,"Error"))),"")</f>
        <v/>
      </c>
      <c r="F1092" s="8" t="str">
        <f>IF(Table1[[#This Row],[Is Data Valid]]=TRUE,EXP(0.578+0.332*((Table1[[#This Row],[Gestation (days)]]+0.5)/7)-0.00354*((Table1[[#This Row],[Gestation (days)]]+0.5)/7)^2)*Table1[[#This Row],[BW40_3705]],"")</f>
        <v/>
      </c>
      <c r="G1092" s="2" t="str">
        <f>IF(Table1[[#This Row],[Is Data Valid]]=TRUE,((Table1[[#This Row],[Birthweight (grams)]]/Table1[[#This Row],[BW_GA]])-1)/(Backend!$B$4/100*Table1[[#This Row],[BW40_3705]]),"")</f>
        <v/>
      </c>
      <c r="H1092" s="7" t="str">
        <f>IF(Table1[[#This Row],[Is Data Valid]]=TRUE,((Table1[[#This Row],[Birthweight (grams)]]*0.9/Table1[[#This Row],[BW_GA]])-1)/(Backend!$B$4/100*Table1[[#This Row],[BW40_3705]]),"")</f>
        <v/>
      </c>
      <c r="I1092" s="7" t="str">
        <f>IF(Table1[[#This Row],[Is Data Valid]]=TRUE,((Table1[[#This Row],[Birthweight (grams)]]*1.1/Table1[[#This Row],[BW_GA]])-1)/(Backend!$B$4/100*Table1[[#This Row],[BW40_3705]]),"")</f>
        <v/>
      </c>
      <c r="J1092" s="7" t="str">
        <f>IF(Table1[[#This Row],[Is Data Valid]]=TRUE,_xlfn.NORM.S.DIST(Table1[[#This Row],[Birthweight Z-Score]],TRUE)*100,"")</f>
        <v/>
      </c>
      <c r="K1092" s="7" t="str">
        <f>IF(Table1[[#This Row],[Is Data Valid]]=TRUE,_xlfn.NORM.S.DIST(Table1[[#This Row],[Birthweight Z-Score (BW-10%)]],TRUE)*100,"")</f>
        <v/>
      </c>
      <c r="L1092" s="7" t="str">
        <f>IF(Table1[[#This Row],[Is Data Valid]]=TRUE,_xlfn.NORM.S.DIST(Table1[[#This Row],[Birthweight Z-Score (BW+10%)]],TRUE)*100,"")</f>
        <v/>
      </c>
    </row>
    <row r="1093" spans="1:12" x14ac:dyDescent="0.35">
      <c r="A1093" s="3"/>
      <c r="B1093" s="2"/>
      <c r="C1093" s="2"/>
      <c r="D1093" s="2" t="b">
        <f>IF(AND(NOT(ISBLANK(Table1[[#This Row],[Fetal Sex (Male, Female or Unknown)]])),ISNUMBER(Table1[[#This Row],[Birthweight (grams)]]),ISNUMBER(Table1[[#This Row],[Gestation (days)]])),TRUE,FALSE)</f>
        <v>0</v>
      </c>
      <c r="E1093" s="2" t="str">
        <f>IF(Table1[[#This Row],[Is Data Valid]]=TRUE,IF(Table1[[#This Row],[Fetal Sex (Male, Female or Unknown)]]="Male",Backend!$C$6,IF(Table1[[#This Row],[Fetal Sex (Male, Female or Unknown)]]="Female",Backend!$C$7,IF(Table1[[#This Row],[Fetal Sex (Male, Female or Unknown)]]="Unknown",Backend!$C$8,"Error"))),"")</f>
        <v/>
      </c>
      <c r="F1093" s="8" t="str">
        <f>IF(Table1[[#This Row],[Is Data Valid]]=TRUE,EXP(0.578+0.332*((Table1[[#This Row],[Gestation (days)]]+0.5)/7)-0.00354*((Table1[[#This Row],[Gestation (days)]]+0.5)/7)^2)*Table1[[#This Row],[BW40_3705]],"")</f>
        <v/>
      </c>
      <c r="G1093" s="2" t="str">
        <f>IF(Table1[[#This Row],[Is Data Valid]]=TRUE,((Table1[[#This Row],[Birthweight (grams)]]/Table1[[#This Row],[BW_GA]])-1)/(Backend!$B$4/100*Table1[[#This Row],[BW40_3705]]),"")</f>
        <v/>
      </c>
      <c r="H1093" s="7" t="str">
        <f>IF(Table1[[#This Row],[Is Data Valid]]=TRUE,((Table1[[#This Row],[Birthweight (grams)]]*0.9/Table1[[#This Row],[BW_GA]])-1)/(Backend!$B$4/100*Table1[[#This Row],[BW40_3705]]),"")</f>
        <v/>
      </c>
      <c r="I1093" s="7" t="str">
        <f>IF(Table1[[#This Row],[Is Data Valid]]=TRUE,((Table1[[#This Row],[Birthweight (grams)]]*1.1/Table1[[#This Row],[BW_GA]])-1)/(Backend!$B$4/100*Table1[[#This Row],[BW40_3705]]),"")</f>
        <v/>
      </c>
      <c r="J1093" s="7" t="str">
        <f>IF(Table1[[#This Row],[Is Data Valid]]=TRUE,_xlfn.NORM.S.DIST(Table1[[#This Row],[Birthweight Z-Score]],TRUE)*100,"")</f>
        <v/>
      </c>
      <c r="K1093" s="7" t="str">
        <f>IF(Table1[[#This Row],[Is Data Valid]]=TRUE,_xlfn.NORM.S.DIST(Table1[[#This Row],[Birthweight Z-Score (BW-10%)]],TRUE)*100,"")</f>
        <v/>
      </c>
      <c r="L1093" s="7" t="str">
        <f>IF(Table1[[#This Row],[Is Data Valid]]=TRUE,_xlfn.NORM.S.DIST(Table1[[#This Row],[Birthweight Z-Score (BW+10%)]],TRUE)*100,"")</f>
        <v/>
      </c>
    </row>
    <row r="1094" spans="1:12" x14ac:dyDescent="0.35">
      <c r="A1094" s="3"/>
      <c r="B1094" s="2"/>
      <c r="C1094" s="2"/>
      <c r="D1094" s="2" t="b">
        <f>IF(AND(NOT(ISBLANK(Table1[[#This Row],[Fetal Sex (Male, Female or Unknown)]])),ISNUMBER(Table1[[#This Row],[Birthweight (grams)]]),ISNUMBER(Table1[[#This Row],[Gestation (days)]])),TRUE,FALSE)</f>
        <v>0</v>
      </c>
      <c r="E1094" s="2" t="str">
        <f>IF(Table1[[#This Row],[Is Data Valid]]=TRUE,IF(Table1[[#This Row],[Fetal Sex (Male, Female or Unknown)]]="Male",Backend!$C$6,IF(Table1[[#This Row],[Fetal Sex (Male, Female or Unknown)]]="Female",Backend!$C$7,IF(Table1[[#This Row],[Fetal Sex (Male, Female or Unknown)]]="Unknown",Backend!$C$8,"Error"))),"")</f>
        <v/>
      </c>
      <c r="F1094" s="8" t="str">
        <f>IF(Table1[[#This Row],[Is Data Valid]]=TRUE,EXP(0.578+0.332*((Table1[[#This Row],[Gestation (days)]]+0.5)/7)-0.00354*((Table1[[#This Row],[Gestation (days)]]+0.5)/7)^2)*Table1[[#This Row],[BW40_3705]],"")</f>
        <v/>
      </c>
      <c r="G1094" s="2" t="str">
        <f>IF(Table1[[#This Row],[Is Data Valid]]=TRUE,((Table1[[#This Row],[Birthweight (grams)]]/Table1[[#This Row],[BW_GA]])-1)/(Backend!$B$4/100*Table1[[#This Row],[BW40_3705]]),"")</f>
        <v/>
      </c>
      <c r="H1094" s="7" t="str">
        <f>IF(Table1[[#This Row],[Is Data Valid]]=TRUE,((Table1[[#This Row],[Birthweight (grams)]]*0.9/Table1[[#This Row],[BW_GA]])-1)/(Backend!$B$4/100*Table1[[#This Row],[BW40_3705]]),"")</f>
        <v/>
      </c>
      <c r="I1094" s="7" t="str">
        <f>IF(Table1[[#This Row],[Is Data Valid]]=TRUE,((Table1[[#This Row],[Birthweight (grams)]]*1.1/Table1[[#This Row],[BW_GA]])-1)/(Backend!$B$4/100*Table1[[#This Row],[BW40_3705]]),"")</f>
        <v/>
      </c>
      <c r="J1094" s="7" t="str">
        <f>IF(Table1[[#This Row],[Is Data Valid]]=TRUE,_xlfn.NORM.S.DIST(Table1[[#This Row],[Birthweight Z-Score]],TRUE)*100,"")</f>
        <v/>
      </c>
      <c r="K1094" s="7" t="str">
        <f>IF(Table1[[#This Row],[Is Data Valid]]=TRUE,_xlfn.NORM.S.DIST(Table1[[#This Row],[Birthweight Z-Score (BW-10%)]],TRUE)*100,"")</f>
        <v/>
      </c>
      <c r="L1094" s="7" t="str">
        <f>IF(Table1[[#This Row],[Is Data Valid]]=TRUE,_xlfn.NORM.S.DIST(Table1[[#This Row],[Birthweight Z-Score (BW+10%)]],TRUE)*100,"")</f>
        <v/>
      </c>
    </row>
    <row r="1095" spans="1:12" x14ac:dyDescent="0.35">
      <c r="A1095" s="3"/>
      <c r="B1095" s="2"/>
      <c r="C1095" s="2"/>
      <c r="D1095" s="2" t="b">
        <f>IF(AND(NOT(ISBLANK(Table1[[#This Row],[Fetal Sex (Male, Female or Unknown)]])),ISNUMBER(Table1[[#This Row],[Birthweight (grams)]]),ISNUMBER(Table1[[#This Row],[Gestation (days)]])),TRUE,FALSE)</f>
        <v>0</v>
      </c>
      <c r="E1095" s="2" t="str">
        <f>IF(Table1[[#This Row],[Is Data Valid]]=TRUE,IF(Table1[[#This Row],[Fetal Sex (Male, Female or Unknown)]]="Male",Backend!$C$6,IF(Table1[[#This Row],[Fetal Sex (Male, Female or Unknown)]]="Female",Backend!$C$7,IF(Table1[[#This Row],[Fetal Sex (Male, Female or Unknown)]]="Unknown",Backend!$C$8,"Error"))),"")</f>
        <v/>
      </c>
      <c r="F1095" s="8" t="str">
        <f>IF(Table1[[#This Row],[Is Data Valid]]=TRUE,EXP(0.578+0.332*((Table1[[#This Row],[Gestation (days)]]+0.5)/7)-0.00354*((Table1[[#This Row],[Gestation (days)]]+0.5)/7)^2)*Table1[[#This Row],[BW40_3705]],"")</f>
        <v/>
      </c>
      <c r="G1095" s="2" t="str">
        <f>IF(Table1[[#This Row],[Is Data Valid]]=TRUE,((Table1[[#This Row],[Birthweight (grams)]]/Table1[[#This Row],[BW_GA]])-1)/(Backend!$B$4/100*Table1[[#This Row],[BW40_3705]]),"")</f>
        <v/>
      </c>
      <c r="H1095" s="7" t="str">
        <f>IF(Table1[[#This Row],[Is Data Valid]]=TRUE,((Table1[[#This Row],[Birthweight (grams)]]*0.9/Table1[[#This Row],[BW_GA]])-1)/(Backend!$B$4/100*Table1[[#This Row],[BW40_3705]]),"")</f>
        <v/>
      </c>
      <c r="I1095" s="7" t="str">
        <f>IF(Table1[[#This Row],[Is Data Valid]]=TRUE,((Table1[[#This Row],[Birthweight (grams)]]*1.1/Table1[[#This Row],[BW_GA]])-1)/(Backend!$B$4/100*Table1[[#This Row],[BW40_3705]]),"")</f>
        <v/>
      </c>
      <c r="J1095" s="7" t="str">
        <f>IF(Table1[[#This Row],[Is Data Valid]]=TRUE,_xlfn.NORM.S.DIST(Table1[[#This Row],[Birthweight Z-Score]],TRUE)*100,"")</f>
        <v/>
      </c>
      <c r="K1095" s="7" t="str">
        <f>IF(Table1[[#This Row],[Is Data Valid]]=TRUE,_xlfn.NORM.S.DIST(Table1[[#This Row],[Birthweight Z-Score (BW-10%)]],TRUE)*100,"")</f>
        <v/>
      </c>
      <c r="L1095" s="7" t="str">
        <f>IF(Table1[[#This Row],[Is Data Valid]]=TRUE,_xlfn.NORM.S.DIST(Table1[[#This Row],[Birthweight Z-Score (BW+10%)]],TRUE)*100,"")</f>
        <v/>
      </c>
    </row>
    <row r="1096" spans="1:12" x14ac:dyDescent="0.35">
      <c r="A1096" s="3"/>
      <c r="B1096" s="2"/>
      <c r="C1096" s="2"/>
      <c r="D1096" s="2" t="b">
        <f>IF(AND(NOT(ISBLANK(Table1[[#This Row],[Fetal Sex (Male, Female or Unknown)]])),ISNUMBER(Table1[[#This Row],[Birthweight (grams)]]),ISNUMBER(Table1[[#This Row],[Gestation (days)]])),TRUE,FALSE)</f>
        <v>0</v>
      </c>
      <c r="E1096" s="2" t="str">
        <f>IF(Table1[[#This Row],[Is Data Valid]]=TRUE,IF(Table1[[#This Row],[Fetal Sex (Male, Female or Unknown)]]="Male",Backend!$C$6,IF(Table1[[#This Row],[Fetal Sex (Male, Female or Unknown)]]="Female",Backend!$C$7,IF(Table1[[#This Row],[Fetal Sex (Male, Female or Unknown)]]="Unknown",Backend!$C$8,"Error"))),"")</f>
        <v/>
      </c>
      <c r="F1096" s="8" t="str">
        <f>IF(Table1[[#This Row],[Is Data Valid]]=TRUE,EXP(0.578+0.332*((Table1[[#This Row],[Gestation (days)]]+0.5)/7)-0.00354*((Table1[[#This Row],[Gestation (days)]]+0.5)/7)^2)*Table1[[#This Row],[BW40_3705]],"")</f>
        <v/>
      </c>
      <c r="G1096" s="2" t="str">
        <f>IF(Table1[[#This Row],[Is Data Valid]]=TRUE,((Table1[[#This Row],[Birthweight (grams)]]/Table1[[#This Row],[BW_GA]])-1)/(Backend!$B$4/100*Table1[[#This Row],[BW40_3705]]),"")</f>
        <v/>
      </c>
      <c r="H1096" s="7" t="str">
        <f>IF(Table1[[#This Row],[Is Data Valid]]=TRUE,((Table1[[#This Row],[Birthweight (grams)]]*0.9/Table1[[#This Row],[BW_GA]])-1)/(Backend!$B$4/100*Table1[[#This Row],[BW40_3705]]),"")</f>
        <v/>
      </c>
      <c r="I1096" s="7" t="str">
        <f>IF(Table1[[#This Row],[Is Data Valid]]=TRUE,((Table1[[#This Row],[Birthweight (grams)]]*1.1/Table1[[#This Row],[BW_GA]])-1)/(Backend!$B$4/100*Table1[[#This Row],[BW40_3705]]),"")</f>
        <v/>
      </c>
      <c r="J1096" s="7" t="str">
        <f>IF(Table1[[#This Row],[Is Data Valid]]=TRUE,_xlfn.NORM.S.DIST(Table1[[#This Row],[Birthweight Z-Score]],TRUE)*100,"")</f>
        <v/>
      </c>
      <c r="K1096" s="7" t="str">
        <f>IF(Table1[[#This Row],[Is Data Valid]]=TRUE,_xlfn.NORM.S.DIST(Table1[[#This Row],[Birthweight Z-Score (BW-10%)]],TRUE)*100,"")</f>
        <v/>
      </c>
      <c r="L1096" s="7" t="str">
        <f>IF(Table1[[#This Row],[Is Data Valid]]=TRUE,_xlfn.NORM.S.DIST(Table1[[#This Row],[Birthweight Z-Score (BW+10%)]],TRUE)*100,"")</f>
        <v/>
      </c>
    </row>
    <row r="1097" spans="1:12" x14ac:dyDescent="0.35">
      <c r="A1097" s="3"/>
      <c r="B1097" s="2"/>
      <c r="C1097" s="2"/>
      <c r="D1097" s="2" t="b">
        <f>IF(AND(NOT(ISBLANK(Table1[[#This Row],[Fetal Sex (Male, Female or Unknown)]])),ISNUMBER(Table1[[#This Row],[Birthweight (grams)]]),ISNUMBER(Table1[[#This Row],[Gestation (days)]])),TRUE,FALSE)</f>
        <v>0</v>
      </c>
      <c r="E1097" s="2" t="str">
        <f>IF(Table1[[#This Row],[Is Data Valid]]=TRUE,IF(Table1[[#This Row],[Fetal Sex (Male, Female or Unknown)]]="Male",Backend!$C$6,IF(Table1[[#This Row],[Fetal Sex (Male, Female or Unknown)]]="Female",Backend!$C$7,IF(Table1[[#This Row],[Fetal Sex (Male, Female or Unknown)]]="Unknown",Backend!$C$8,"Error"))),"")</f>
        <v/>
      </c>
      <c r="F1097" s="8" t="str">
        <f>IF(Table1[[#This Row],[Is Data Valid]]=TRUE,EXP(0.578+0.332*((Table1[[#This Row],[Gestation (days)]]+0.5)/7)-0.00354*((Table1[[#This Row],[Gestation (days)]]+0.5)/7)^2)*Table1[[#This Row],[BW40_3705]],"")</f>
        <v/>
      </c>
      <c r="G1097" s="2" t="str">
        <f>IF(Table1[[#This Row],[Is Data Valid]]=TRUE,((Table1[[#This Row],[Birthweight (grams)]]/Table1[[#This Row],[BW_GA]])-1)/(Backend!$B$4/100*Table1[[#This Row],[BW40_3705]]),"")</f>
        <v/>
      </c>
      <c r="H1097" s="7" t="str">
        <f>IF(Table1[[#This Row],[Is Data Valid]]=TRUE,((Table1[[#This Row],[Birthweight (grams)]]*0.9/Table1[[#This Row],[BW_GA]])-1)/(Backend!$B$4/100*Table1[[#This Row],[BW40_3705]]),"")</f>
        <v/>
      </c>
      <c r="I1097" s="7" t="str">
        <f>IF(Table1[[#This Row],[Is Data Valid]]=TRUE,((Table1[[#This Row],[Birthweight (grams)]]*1.1/Table1[[#This Row],[BW_GA]])-1)/(Backend!$B$4/100*Table1[[#This Row],[BW40_3705]]),"")</f>
        <v/>
      </c>
      <c r="J1097" s="7" t="str">
        <f>IF(Table1[[#This Row],[Is Data Valid]]=TRUE,_xlfn.NORM.S.DIST(Table1[[#This Row],[Birthweight Z-Score]],TRUE)*100,"")</f>
        <v/>
      </c>
      <c r="K1097" s="7" t="str">
        <f>IF(Table1[[#This Row],[Is Data Valid]]=TRUE,_xlfn.NORM.S.DIST(Table1[[#This Row],[Birthweight Z-Score (BW-10%)]],TRUE)*100,"")</f>
        <v/>
      </c>
      <c r="L1097" s="7" t="str">
        <f>IF(Table1[[#This Row],[Is Data Valid]]=TRUE,_xlfn.NORM.S.DIST(Table1[[#This Row],[Birthweight Z-Score (BW+10%)]],TRUE)*100,"")</f>
        <v/>
      </c>
    </row>
    <row r="1098" spans="1:12" x14ac:dyDescent="0.35">
      <c r="A1098" s="3"/>
      <c r="B1098" s="2"/>
      <c r="C1098" s="2"/>
      <c r="D1098" s="2" t="b">
        <f>IF(AND(NOT(ISBLANK(Table1[[#This Row],[Fetal Sex (Male, Female or Unknown)]])),ISNUMBER(Table1[[#This Row],[Birthweight (grams)]]),ISNUMBER(Table1[[#This Row],[Gestation (days)]])),TRUE,FALSE)</f>
        <v>0</v>
      </c>
      <c r="E1098" s="2" t="str">
        <f>IF(Table1[[#This Row],[Is Data Valid]]=TRUE,IF(Table1[[#This Row],[Fetal Sex (Male, Female or Unknown)]]="Male",Backend!$C$6,IF(Table1[[#This Row],[Fetal Sex (Male, Female or Unknown)]]="Female",Backend!$C$7,IF(Table1[[#This Row],[Fetal Sex (Male, Female or Unknown)]]="Unknown",Backend!$C$8,"Error"))),"")</f>
        <v/>
      </c>
      <c r="F1098" s="8" t="str">
        <f>IF(Table1[[#This Row],[Is Data Valid]]=TRUE,EXP(0.578+0.332*((Table1[[#This Row],[Gestation (days)]]+0.5)/7)-0.00354*((Table1[[#This Row],[Gestation (days)]]+0.5)/7)^2)*Table1[[#This Row],[BW40_3705]],"")</f>
        <v/>
      </c>
      <c r="G1098" s="2" t="str">
        <f>IF(Table1[[#This Row],[Is Data Valid]]=TRUE,((Table1[[#This Row],[Birthweight (grams)]]/Table1[[#This Row],[BW_GA]])-1)/(Backend!$B$4/100*Table1[[#This Row],[BW40_3705]]),"")</f>
        <v/>
      </c>
      <c r="H1098" s="7" t="str">
        <f>IF(Table1[[#This Row],[Is Data Valid]]=TRUE,((Table1[[#This Row],[Birthweight (grams)]]*0.9/Table1[[#This Row],[BW_GA]])-1)/(Backend!$B$4/100*Table1[[#This Row],[BW40_3705]]),"")</f>
        <v/>
      </c>
      <c r="I1098" s="7" t="str">
        <f>IF(Table1[[#This Row],[Is Data Valid]]=TRUE,((Table1[[#This Row],[Birthweight (grams)]]*1.1/Table1[[#This Row],[BW_GA]])-1)/(Backend!$B$4/100*Table1[[#This Row],[BW40_3705]]),"")</f>
        <v/>
      </c>
      <c r="J1098" s="7" t="str">
        <f>IF(Table1[[#This Row],[Is Data Valid]]=TRUE,_xlfn.NORM.S.DIST(Table1[[#This Row],[Birthweight Z-Score]],TRUE)*100,"")</f>
        <v/>
      </c>
      <c r="K1098" s="7" t="str">
        <f>IF(Table1[[#This Row],[Is Data Valid]]=TRUE,_xlfn.NORM.S.DIST(Table1[[#This Row],[Birthweight Z-Score (BW-10%)]],TRUE)*100,"")</f>
        <v/>
      </c>
      <c r="L1098" s="7" t="str">
        <f>IF(Table1[[#This Row],[Is Data Valid]]=TRUE,_xlfn.NORM.S.DIST(Table1[[#This Row],[Birthweight Z-Score (BW+10%)]],TRUE)*100,"")</f>
        <v/>
      </c>
    </row>
    <row r="1099" spans="1:12" x14ac:dyDescent="0.35">
      <c r="A1099" s="3"/>
      <c r="B1099" s="2"/>
      <c r="C1099" s="2"/>
      <c r="D1099" s="2" t="b">
        <f>IF(AND(NOT(ISBLANK(Table1[[#This Row],[Fetal Sex (Male, Female or Unknown)]])),ISNUMBER(Table1[[#This Row],[Birthweight (grams)]]),ISNUMBER(Table1[[#This Row],[Gestation (days)]])),TRUE,FALSE)</f>
        <v>0</v>
      </c>
      <c r="E1099" s="2" t="str">
        <f>IF(Table1[[#This Row],[Is Data Valid]]=TRUE,IF(Table1[[#This Row],[Fetal Sex (Male, Female or Unknown)]]="Male",Backend!$C$6,IF(Table1[[#This Row],[Fetal Sex (Male, Female or Unknown)]]="Female",Backend!$C$7,IF(Table1[[#This Row],[Fetal Sex (Male, Female or Unknown)]]="Unknown",Backend!$C$8,"Error"))),"")</f>
        <v/>
      </c>
      <c r="F1099" s="8" t="str">
        <f>IF(Table1[[#This Row],[Is Data Valid]]=TRUE,EXP(0.578+0.332*((Table1[[#This Row],[Gestation (days)]]+0.5)/7)-0.00354*((Table1[[#This Row],[Gestation (days)]]+0.5)/7)^2)*Table1[[#This Row],[BW40_3705]],"")</f>
        <v/>
      </c>
      <c r="G1099" s="2" t="str">
        <f>IF(Table1[[#This Row],[Is Data Valid]]=TRUE,((Table1[[#This Row],[Birthweight (grams)]]/Table1[[#This Row],[BW_GA]])-1)/(Backend!$B$4/100*Table1[[#This Row],[BW40_3705]]),"")</f>
        <v/>
      </c>
      <c r="H1099" s="7" t="str">
        <f>IF(Table1[[#This Row],[Is Data Valid]]=TRUE,((Table1[[#This Row],[Birthweight (grams)]]*0.9/Table1[[#This Row],[BW_GA]])-1)/(Backend!$B$4/100*Table1[[#This Row],[BW40_3705]]),"")</f>
        <v/>
      </c>
      <c r="I1099" s="7" t="str">
        <f>IF(Table1[[#This Row],[Is Data Valid]]=TRUE,((Table1[[#This Row],[Birthweight (grams)]]*1.1/Table1[[#This Row],[BW_GA]])-1)/(Backend!$B$4/100*Table1[[#This Row],[BW40_3705]]),"")</f>
        <v/>
      </c>
      <c r="J1099" s="7" t="str">
        <f>IF(Table1[[#This Row],[Is Data Valid]]=TRUE,_xlfn.NORM.S.DIST(Table1[[#This Row],[Birthweight Z-Score]],TRUE)*100,"")</f>
        <v/>
      </c>
      <c r="K1099" s="7" t="str">
        <f>IF(Table1[[#This Row],[Is Data Valid]]=TRUE,_xlfn.NORM.S.DIST(Table1[[#This Row],[Birthweight Z-Score (BW-10%)]],TRUE)*100,"")</f>
        <v/>
      </c>
      <c r="L1099" s="7" t="str">
        <f>IF(Table1[[#This Row],[Is Data Valid]]=TRUE,_xlfn.NORM.S.DIST(Table1[[#This Row],[Birthweight Z-Score (BW+10%)]],TRUE)*100,"")</f>
        <v/>
      </c>
    </row>
    <row r="1100" spans="1:12" x14ac:dyDescent="0.35">
      <c r="A1100" s="3"/>
      <c r="B1100" s="2"/>
      <c r="C1100" s="2"/>
      <c r="D1100" s="2" t="b">
        <f>IF(AND(NOT(ISBLANK(Table1[[#This Row],[Fetal Sex (Male, Female or Unknown)]])),ISNUMBER(Table1[[#This Row],[Birthweight (grams)]]),ISNUMBER(Table1[[#This Row],[Gestation (days)]])),TRUE,FALSE)</f>
        <v>0</v>
      </c>
      <c r="E1100" s="2" t="str">
        <f>IF(Table1[[#This Row],[Is Data Valid]]=TRUE,IF(Table1[[#This Row],[Fetal Sex (Male, Female or Unknown)]]="Male",Backend!$C$6,IF(Table1[[#This Row],[Fetal Sex (Male, Female or Unknown)]]="Female",Backend!$C$7,IF(Table1[[#This Row],[Fetal Sex (Male, Female or Unknown)]]="Unknown",Backend!$C$8,"Error"))),"")</f>
        <v/>
      </c>
      <c r="F1100" s="8" t="str">
        <f>IF(Table1[[#This Row],[Is Data Valid]]=TRUE,EXP(0.578+0.332*((Table1[[#This Row],[Gestation (days)]]+0.5)/7)-0.00354*((Table1[[#This Row],[Gestation (days)]]+0.5)/7)^2)*Table1[[#This Row],[BW40_3705]],"")</f>
        <v/>
      </c>
      <c r="G1100" s="2" t="str">
        <f>IF(Table1[[#This Row],[Is Data Valid]]=TRUE,((Table1[[#This Row],[Birthweight (grams)]]/Table1[[#This Row],[BW_GA]])-1)/(Backend!$B$4/100*Table1[[#This Row],[BW40_3705]]),"")</f>
        <v/>
      </c>
      <c r="H1100" s="7" t="str">
        <f>IF(Table1[[#This Row],[Is Data Valid]]=TRUE,((Table1[[#This Row],[Birthweight (grams)]]*0.9/Table1[[#This Row],[BW_GA]])-1)/(Backend!$B$4/100*Table1[[#This Row],[BW40_3705]]),"")</f>
        <v/>
      </c>
      <c r="I1100" s="7" t="str">
        <f>IF(Table1[[#This Row],[Is Data Valid]]=TRUE,((Table1[[#This Row],[Birthweight (grams)]]*1.1/Table1[[#This Row],[BW_GA]])-1)/(Backend!$B$4/100*Table1[[#This Row],[BW40_3705]]),"")</f>
        <v/>
      </c>
      <c r="J1100" s="7" t="str">
        <f>IF(Table1[[#This Row],[Is Data Valid]]=TRUE,_xlfn.NORM.S.DIST(Table1[[#This Row],[Birthweight Z-Score]],TRUE)*100,"")</f>
        <v/>
      </c>
      <c r="K1100" s="7" t="str">
        <f>IF(Table1[[#This Row],[Is Data Valid]]=TRUE,_xlfn.NORM.S.DIST(Table1[[#This Row],[Birthweight Z-Score (BW-10%)]],TRUE)*100,"")</f>
        <v/>
      </c>
      <c r="L1100" s="7" t="str">
        <f>IF(Table1[[#This Row],[Is Data Valid]]=TRUE,_xlfn.NORM.S.DIST(Table1[[#This Row],[Birthweight Z-Score (BW+10%)]],TRUE)*100,"")</f>
        <v/>
      </c>
    </row>
    <row r="1101" spans="1:12" x14ac:dyDescent="0.35">
      <c r="A1101" s="3"/>
      <c r="B1101" s="2"/>
      <c r="C1101" s="2"/>
      <c r="D1101" s="2" t="b">
        <f>IF(AND(NOT(ISBLANK(Table1[[#This Row],[Fetal Sex (Male, Female or Unknown)]])),ISNUMBER(Table1[[#This Row],[Birthweight (grams)]]),ISNUMBER(Table1[[#This Row],[Gestation (days)]])),TRUE,FALSE)</f>
        <v>0</v>
      </c>
      <c r="E1101" s="2" t="str">
        <f>IF(Table1[[#This Row],[Is Data Valid]]=TRUE,IF(Table1[[#This Row],[Fetal Sex (Male, Female or Unknown)]]="Male",Backend!$C$6,IF(Table1[[#This Row],[Fetal Sex (Male, Female or Unknown)]]="Female",Backend!$C$7,IF(Table1[[#This Row],[Fetal Sex (Male, Female or Unknown)]]="Unknown",Backend!$C$8,"Error"))),"")</f>
        <v/>
      </c>
      <c r="F1101" s="8" t="str">
        <f>IF(Table1[[#This Row],[Is Data Valid]]=TRUE,EXP(0.578+0.332*((Table1[[#This Row],[Gestation (days)]]+0.5)/7)-0.00354*((Table1[[#This Row],[Gestation (days)]]+0.5)/7)^2)*Table1[[#This Row],[BW40_3705]],"")</f>
        <v/>
      </c>
      <c r="G1101" s="2" t="str">
        <f>IF(Table1[[#This Row],[Is Data Valid]]=TRUE,((Table1[[#This Row],[Birthweight (grams)]]/Table1[[#This Row],[BW_GA]])-1)/(Backend!$B$4/100*Table1[[#This Row],[BW40_3705]]),"")</f>
        <v/>
      </c>
      <c r="H1101" s="7" t="str">
        <f>IF(Table1[[#This Row],[Is Data Valid]]=TRUE,((Table1[[#This Row],[Birthweight (grams)]]*0.9/Table1[[#This Row],[BW_GA]])-1)/(Backend!$B$4/100*Table1[[#This Row],[BW40_3705]]),"")</f>
        <v/>
      </c>
      <c r="I1101" s="7" t="str">
        <f>IF(Table1[[#This Row],[Is Data Valid]]=TRUE,((Table1[[#This Row],[Birthweight (grams)]]*1.1/Table1[[#This Row],[BW_GA]])-1)/(Backend!$B$4/100*Table1[[#This Row],[BW40_3705]]),"")</f>
        <v/>
      </c>
      <c r="J1101" s="7" t="str">
        <f>IF(Table1[[#This Row],[Is Data Valid]]=TRUE,_xlfn.NORM.S.DIST(Table1[[#This Row],[Birthweight Z-Score]],TRUE)*100,"")</f>
        <v/>
      </c>
      <c r="K1101" s="7" t="str">
        <f>IF(Table1[[#This Row],[Is Data Valid]]=TRUE,_xlfn.NORM.S.DIST(Table1[[#This Row],[Birthweight Z-Score (BW-10%)]],TRUE)*100,"")</f>
        <v/>
      </c>
      <c r="L1101" s="7" t="str">
        <f>IF(Table1[[#This Row],[Is Data Valid]]=TRUE,_xlfn.NORM.S.DIST(Table1[[#This Row],[Birthweight Z-Score (BW+10%)]],TRUE)*100,"")</f>
        <v/>
      </c>
    </row>
    <row r="1102" spans="1:12" x14ac:dyDescent="0.35">
      <c r="A1102" s="3"/>
      <c r="B1102" s="2"/>
      <c r="C1102" s="2"/>
      <c r="D1102" s="2" t="b">
        <f>IF(AND(NOT(ISBLANK(Table1[[#This Row],[Fetal Sex (Male, Female or Unknown)]])),ISNUMBER(Table1[[#This Row],[Birthweight (grams)]]),ISNUMBER(Table1[[#This Row],[Gestation (days)]])),TRUE,FALSE)</f>
        <v>0</v>
      </c>
      <c r="E1102" s="2" t="str">
        <f>IF(Table1[[#This Row],[Is Data Valid]]=TRUE,IF(Table1[[#This Row],[Fetal Sex (Male, Female or Unknown)]]="Male",Backend!$C$6,IF(Table1[[#This Row],[Fetal Sex (Male, Female or Unknown)]]="Female",Backend!$C$7,IF(Table1[[#This Row],[Fetal Sex (Male, Female or Unknown)]]="Unknown",Backend!$C$8,"Error"))),"")</f>
        <v/>
      </c>
      <c r="F1102" s="8" t="str">
        <f>IF(Table1[[#This Row],[Is Data Valid]]=TRUE,EXP(0.578+0.332*((Table1[[#This Row],[Gestation (days)]]+0.5)/7)-0.00354*((Table1[[#This Row],[Gestation (days)]]+0.5)/7)^2)*Table1[[#This Row],[BW40_3705]],"")</f>
        <v/>
      </c>
      <c r="G1102" s="2" t="str">
        <f>IF(Table1[[#This Row],[Is Data Valid]]=TRUE,((Table1[[#This Row],[Birthweight (grams)]]/Table1[[#This Row],[BW_GA]])-1)/(Backend!$B$4/100*Table1[[#This Row],[BW40_3705]]),"")</f>
        <v/>
      </c>
      <c r="H1102" s="7" t="str">
        <f>IF(Table1[[#This Row],[Is Data Valid]]=TRUE,((Table1[[#This Row],[Birthweight (grams)]]*0.9/Table1[[#This Row],[BW_GA]])-1)/(Backend!$B$4/100*Table1[[#This Row],[BW40_3705]]),"")</f>
        <v/>
      </c>
      <c r="I1102" s="7" t="str">
        <f>IF(Table1[[#This Row],[Is Data Valid]]=TRUE,((Table1[[#This Row],[Birthweight (grams)]]*1.1/Table1[[#This Row],[BW_GA]])-1)/(Backend!$B$4/100*Table1[[#This Row],[BW40_3705]]),"")</f>
        <v/>
      </c>
      <c r="J1102" s="7" t="str">
        <f>IF(Table1[[#This Row],[Is Data Valid]]=TRUE,_xlfn.NORM.S.DIST(Table1[[#This Row],[Birthweight Z-Score]],TRUE)*100,"")</f>
        <v/>
      </c>
      <c r="K1102" s="7" t="str">
        <f>IF(Table1[[#This Row],[Is Data Valid]]=TRUE,_xlfn.NORM.S.DIST(Table1[[#This Row],[Birthweight Z-Score (BW-10%)]],TRUE)*100,"")</f>
        <v/>
      </c>
      <c r="L1102" s="7" t="str">
        <f>IF(Table1[[#This Row],[Is Data Valid]]=TRUE,_xlfn.NORM.S.DIST(Table1[[#This Row],[Birthweight Z-Score (BW+10%)]],TRUE)*100,"")</f>
        <v/>
      </c>
    </row>
    <row r="1103" spans="1:12" x14ac:dyDescent="0.35">
      <c r="A1103" s="3"/>
      <c r="B1103" s="2"/>
      <c r="C1103" s="2"/>
      <c r="D1103" s="2" t="b">
        <f>IF(AND(NOT(ISBLANK(Table1[[#This Row],[Fetal Sex (Male, Female or Unknown)]])),ISNUMBER(Table1[[#This Row],[Birthweight (grams)]]),ISNUMBER(Table1[[#This Row],[Gestation (days)]])),TRUE,FALSE)</f>
        <v>0</v>
      </c>
      <c r="E1103" s="2" t="str">
        <f>IF(Table1[[#This Row],[Is Data Valid]]=TRUE,IF(Table1[[#This Row],[Fetal Sex (Male, Female or Unknown)]]="Male",Backend!$C$6,IF(Table1[[#This Row],[Fetal Sex (Male, Female or Unknown)]]="Female",Backend!$C$7,IF(Table1[[#This Row],[Fetal Sex (Male, Female or Unknown)]]="Unknown",Backend!$C$8,"Error"))),"")</f>
        <v/>
      </c>
      <c r="F1103" s="8" t="str">
        <f>IF(Table1[[#This Row],[Is Data Valid]]=TRUE,EXP(0.578+0.332*((Table1[[#This Row],[Gestation (days)]]+0.5)/7)-0.00354*((Table1[[#This Row],[Gestation (days)]]+0.5)/7)^2)*Table1[[#This Row],[BW40_3705]],"")</f>
        <v/>
      </c>
      <c r="G1103" s="2" t="str">
        <f>IF(Table1[[#This Row],[Is Data Valid]]=TRUE,((Table1[[#This Row],[Birthweight (grams)]]/Table1[[#This Row],[BW_GA]])-1)/(Backend!$B$4/100*Table1[[#This Row],[BW40_3705]]),"")</f>
        <v/>
      </c>
      <c r="H1103" s="7" t="str">
        <f>IF(Table1[[#This Row],[Is Data Valid]]=TRUE,((Table1[[#This Row],[Birthweight (grams)]]*0.9/Table1[[#This Row],[BW_GA]])-1)/(Backend!$B$4/100*Table1[[#This Row],[BW40_3705]]),"")</f>
        <v/>
      </c>
      <c r="I1103" s="7" t="str">
        <f>IF(Table1[[#This Row],[Is Data Valid]]=TRUE,((Table1[[#This Row],[Birthweight (grams)]]*1.1/Table1[[#This Row],[BW_GA]])-1)/(Backend!$B$4/100*Table1[[#This Row],[BW40_3705]]),"")</f>
        <v/>
      </c>
      <c r="J1103" s="7" t="str">
        <f>IF(Table1[[#This Row],[Is Data Valid]]=TRUE,_xlfn.NORM.S.DIST(Table1[[#This Row],[Birthweight Z-Score]],TRUE)*100,"")</f>
        <v/>
      </c>
      <c r="K1103" s="7" t="str">
        <f>IF(Table1[[#This Row],[Is Data Valid]]=TRUE,_xlfn.NORM.S.DIST(Table1[[#This Row],[Birthweight Z-Score (BW-10%)]],TRUE)*100,"")</f>
        <v/>
      </c>
      <c r="L1103" s="7" t="str">
        <f>IF(Table1[[#This Row],[Is Data Valid]]=TRUE,_xlfn.NORM.S.DIST(Table1[[#This Row],[Birthweight Z-Score (BW+10%)]],TRUE)*100,"")</f>
        <v/>
      </c>
    </row>
    <row r="1104" spans="1:12" x14ac:dyDescent="0.35">
      <c r="A1104" s="3"/>
      <c r="B1104" s="2"/>
      <c r="C1104" s="2"/>
      <c r="D1104" s="2" t="b">
        <f>IF(AND(NOT(ISBLANK(Table1[[#This Row],[Fetal Sex (Male, Female or Unknown)]])),ISNUMBER(Table1[[#This Row],[Birthweight (grams)]]),ISNUMBER(Table1[[#This Row],[Gestation (days)]])),TRUE,FALSE)</f>
        <v>0</v>
      </c>
      <c r="E1104" s="2" t="str">
        <f>IF(Table1[[#This Row],[Is Data Valid]]=TRUE,IF(Table1[[#This Row],[Fetal Sex (Male, Female or Unknown)]]="Male",Backend!$C$6,IF(Table1[[#This Row],[Fetal Sex (Male, Female or Unknown)]]="Female",Backend!$C$7,IF(Table1[[#This Row],[Fetal Sex (Male, Female or Unknown)]]="Unknown",Backend!$C$8,"Error"))),"")</f>
        <v/>
      </c>
      <c r="F1104" s="8" t="str">
        <f>IF(Table1[[#This Row],[Is Data Valid]]=TRUE,EXP(0.578+0.332*((Table1[[#This Row],[Gestation (days)]]+0.5)/7)-0.00354*((Table1[[#This Row],[Gestation (days)]]+0.5)/7)^2)*Table1[[#This Row],[BW40_3705]],"")</f>
        <v/>
      </c>
      <c r="G1104" s="2" t="str">
        <f>IF(Table1[[#This Row],[Is Data Valid]]=TRUE,((Table1[[#This Row],[Birthweight (grams)]]/Table1[[#This Row],[BW_GA]])-1)/(Backend!$B$4/100*Table1[[#This Row],[BW40_3705]]),"")</f>
        <v/>
      </c>
      <c r="H1104" s="7" t="str">
        <f>IF(Table1[[#This Row],[Is Data Valid]]=TRUE,((Table1[[#This Row],[Birthweight (grams)]]*0.9/Table1[[#This Row],[BW_GA]])-1)/(Backend!$B$4/100*Table1[[#This Row],[BW40_3705]]),"")</f>
        <v/>
      </c>
      <c r="I1104" s="7" t="str">
        <f>IF(Table1[[#This Row],[Is Data Valid]]=TRUE,((Table1[[#This Row],[Birthweight (grams)]]*1.1/Table1[[#This Row],[BW_GA]])-1)/(Backend!$B$4/100*Table1[[#This Row],[BW40_3705]]),"")</f>
        <v/>
      </c>
      <c r="J1104" s="7" t="str">
        <f>IF(Table1[[#This Row],[Is Data Valid]]=TRUE,_xlfn.NORM.S.DIST(Table1[[#This Row],[Birthweight Z-Score]],TRUE)*100,"")</f>
        <v/>
      </c>
      <c r="K1104" s="7" t="str">
        <f>IF(Table1[[#This Row],[Is Data Valid]]=TRUE,_xlfn.NORM.S.DIST(Table1[[#This Row],[Birthweight Z-Score (BW-10%)]],TRUE)*100,"")</f>
        <v/>
      </c>
      <c r="L1104" s="7" t="str">
        <f>IF(Table1[[#This Row],[Is Data Valid]]=TRUE,_xlfn.NORM.S.DIST(Table1[[#This Row],[Birthweight Z-Score (BW+10%)]],TRUE)*100,"")</f>
        <v/>
      </c>
    </row>
    <row r="1105" spans="1:12" x14ac:dyDescent="0.35">
      <c r="A1105" s="3"/>
      <c r="B1105" s="2"/>
      <c r="C1105" s="2"/>
      <c r="D1105" s="2" t="b">
        <f>IF(AND(NOT(ISBLANK(Table1[[#This Row],[Fetal Sex (Male, Female or Unknown)]])),ISNUMBER(Table1[[#This Row],[Birthweight (grams)]]),ISNUMBER(Table1[[#This Row],[Gestation (days)]])),TRUE,FALSE)</f>
        <v>0</v>
      </c>
      <c r="E1105" s="2" t="str">
        <f>IF(Table1[[#This Row],[Is Data Valid]]=TRUE,IF(Table1[[#This Row],[Fetal Sex (Male, Female or Unknown)]]="Male",Backend!$C$6,IF(Table1[[#This Row],[Fetal Sex (Male, Female or Unknown)]]="Female",Backend!$C$7,IF(Table1[[#This Row],[Fetal Sex (Male, Female or Unknown)]]="Unknown",Backend!$C$8,"Error"))),"")</f>
        <v/>
      </c>
      <c r="F1105" s="8" t="str">
        <f>IF(Table1[[#This Row],[Is Data Valid]]=TRUE,EXP(0.578+0.332*((Table1[[#This Row],[Gestation (days)]]+0.5)/7)-0.00354*((Table1[[#This Row],[Gestation (days)]]+0.5)/7)^2)*Table1[[#This Row],[BW40_3705]],"")</f>
        <v/>
      </c>
      <c r="G1105" s="2" t="str">
        <f>IF(Table1[[#This Row],[Is Data Valid]]=TRUE,((Table1[[#This Row],[Birthweight (grams)]]/Table1[[#This Row],[BW_GA]])-1)/(Backend!$B$4/100*Table1[[#This Row],[BW40_3705]]),"")</f>
        <v/>
      </c>
      <c r="H1105" s="7" t="str">
        <f>IF(Table1[[#This Row],[Is Data Valid]]=TRUE,((Table1[[#This Row],[Birthweight (grams)]]*0.9/Table1[[#This Row],[BW_GA]])-1)/(Backend!$B$4/100*Table1[[#This Row],[BW40_3705]]),"")</f>
        <v/>
      </c>
      <c r="I1105" s="7" t="str">
        <f>IF(Table1[[#This Row],[Is Data Valid]]=TRUE,((Table1[[#This Row],[Birthweight (grams)]]*1.1/Table1[[#This Row],[BW_GA]])-1)/(Backend!$B$4/100*Table1[[#This Row],[BW40_3705]]),"")</f>
        <v/>
      </c>
      <c r="J1105" s="7" t="str">
        <f>IF(Table1[[#This Row],[Is Data Valid]]=TRUE,_xlfn.NORM.S.DIST(Table1[[#This Row],[Birthweight Z-Score]],TRUE)*100,"")</f>
        <v/>
      </c>
      <c r="K1105" s="7" t="str">
        <f>IF(Table1[[#This Row],[Is Data Valid]]=TRUE,_xlfn.NORM.S.DIST(Table1[[#This Row],[Birthweight Z-Score (BW-10%)]],TRUE)*100,"")</f>
        <v/>
      </c>
      <c r="L1105" s="7" t="str">
        <f>IF(Table1[[#This Row],[Is Data Valid]]=TRUE,_xlfn.NORM.S.DIST(Table1[[#This Row],[Birthweight Z-Score (BW+10%)]],TRUE)*100,"")</f>
        <v/>
      </c>
    </row>
    <row r="1106" spans="1:12" x14ac:dyDescent="0.35">
      <c r="A1106" s="3"/>
      <c r="B1106" s="2"/>
      <c r="C1106" s="2"/>
      <c r="D1106" s="2" t="b">
        <f>IF(AND(NOT(ISBLANK(Table1[[#This Row],[Fetal Sex (Male, Female or Unknown)]])),ISNUMBER(Table1[[#This Row],[Birthweight (grams)]]),ISNUMBER(Table1[[#This Row],[Gestation (days)]])),TRUE,FALSE)</f>
        <v>0</v>
      </c>
      <c r="E1106" s="2" t="str">
        <f>IF(Table1[[#This Row],[Is Data Valid]]=TRUE,IF(Table1[[#This Row],[Fetal Sex (Male, Female or Unknown)]]="Male",Backend!$C$6,IF(Table1[[#This Row],[Fetal Sex (Male, Female or Unknown)]]="Female",Backend!$C$7,IF(Table1[[#This Row],[Fetal Sex (Male, Female or Unknown)]]="Unknown",Backend!$C$8,"Error"))),"")</f>
        <v/>
      </c>
      <c r="F1106" s="8" t="str">
        <f>IF(Table1[[#This Row],[Is Data Valid]]=TRUE,EXP(0.578+0.332*((Table1[[#This Row],[Gestation (days)]]+0.5)/7)-0.00354*((Table1[[#This Row],[Gestation (days)]]+0.5)/7)^2)*Table1[[#This Row],[BW40_3705]],"")</f>
        <v/>
      </c>
      <c r="G1106" s="2" t="str">
        <f>IF(Table1[[#This Row],[Is Data Valid]]=TRUE,((Table1[[#This Row],[Birthweight (grams)]]/Table1[[#This Row],[BW_GA]])-1)/(Backend!$B$4/100*Table1[[#This Row],[BW40_3705]]),"")</f>
        <v/>
      </c>
      <c r="H1106" s="7" t="str">
        <f>IF(Table1[[#This Row],[Is Data Valid]]=TRUE,((Table1[[#This Row],[Birthweight (grams)]]*0.9/Table1[[#This Row],[BW_GA]])-1)/(Backend!$B$4/100*Table1[[#This Row],[BW40_3705]]),"")</f>
        <v/>
      </c>
      <c r="I1106" s="7" t="str">
        <f>IF(Table1[[#This Row],[Is Data Valid]]=TRUE,((Table1[[#This Row],[Birthweight (grams)]]*1.1/Table1[[#This Row],[BW_GA]])-1)/(Backend!$B$4/100*Table1[[#This Row],[BW40_3705]]),"")</f>
        <v/>
      </c>
      <c r="J1106" s="7" t="str">
        <f>IF(Table1[[#This Row],[Is Data Valid]]=TRUE,_xlfn.NORM.S.DIST(Table1[[#This Row],[Birthweight Z-Score]],TRUE)*100,"")</f>
        <v/>
      </c>
      <c r="K1106" s="7" t="str">
        <f>IF(Table1[[#This Row],[Is Data Valid]]=TRUE,_xlfn.NORM.S.DIST(Table1[[#This Row],[Birthweight Z-Score (BW-10%)]],TRUE)*100,"")</f>
        <v/>
      </c>
      <c r="L1106" s="7" t="str">
        <f>IF(Table1[[#This Row],[Is Data Valid]]=TRUE,_xlfn.NORM.S.DIST(Table1[[#This Row],[Birthweight Z-Score (BW+10%)]],TRUE)*100,"")</f>
        <v/>
      </c>
    </row>
    <row r="1107" spans="1:12" x14ac:dyDescent="0.35">
      <c r="A1107" s="3"/>
      <c r="B1107" s="2"/>
      <c r="C1107" s="2"/>
      <c r="D1107" s="2" t="b">
        <f>IF(AND(NOT(ISBLANK(Table1[[#This Row],[Fetal Sex (Male, Female or Unknown)]])),ISNUMBER(Table1[[#This Row],[Birthweight (grams)]]),ISNUMBER(Table1[[#This Row],[Gestation (days)]])),TRUE,FALSE)</f>
        <v>0</v>
      </c>
      <c r="E1107" s="2" t="str">
        <f>IF(Table1[[#This Row],[Is Data Valid]]=TRUE,IF(Table1[[#This Row],[Fetal Sex (Male, Female or Unknown)]]="Male",Backend!$C$6,IF(Table1[[#This Row],[Fetal Sex (Male, Female or Unknown)]]="Female",Backend!$C$7,IF(Table1[[#This Row],[Fetal Sex (Male, Female or Unknown)]]="Unknown",Backend!$C$8,"Error"))),"")</f>
        <v/>
      </c>
      <c r="F1107" s="8" t="str">
        <f>IF(Table1[[#This Row],[Is Data Valid]]=TRUE,EXP(0.578+0.332*((Table1[[#This Row],[Gestation (days)]]+0.5)/7)-0.00354*((Table1[[#This Row],[Gestation (days)]]+0.5)/7)^2)*Table1[[#This Row],[BW40_3705]],"")</f>
        <v/>
      </c>
      <c r="G1107" s="2" t="str">
        <f>IF(Table1[[#This Row],[Is Data Valid]]=TRUE,((Table1[[#This Row],[Birthweight (grams)]]/Table1[[#This Row],[BW_GA]])-1)/(Backend!$B$4/100*Table1[[#This Row],[BW40_3705]]),"")</f>
        <v/>
      </c>
      <c r="H1107" s="7" t="str">
        <f>IF(Table1[[#This Row],[Is Data Valid]]=TRUE,((Table1[[#This Row],[Birthweight (grams)]]*0.9/Table1[[#This Row],[BW_GA]])-1)/(Backend!$B$4/100*Table1[[#This Row],[BW40_3705]]),"")</f>
        <v/>
      </c>
      <c r="I1107" s="7" t="str">
        <f>IF(Table1[[#This Row],[Is Data Valid]]=TRUE,((Table1[[#This Row],[Birthweight (grams)]]*1.1/Table1[[#This Row],[BW_GA]])-1)/(Backend!$B$4/100*Table1[[#This Row],[BW40_3705]]),"")</f>
        <v/>
      </c>
      <c r="J1107" s="7" t="str">
        <f>IF(Table1[[#This Row],[Is Data Valid]]=TRUE,_xlfn.NORM.S.DIST(Table1[[#This Row],[Birthweight Z-Score]],TRUE)*100,"")</f>
        <v/>
      </c>
      <c r="K1107" s="7" t="str">
        <f>IF(Table1[[#This Row],[Is Data Valid]]=TRUE,_xlfn.NORM.S.DIST(Table1[[#This Row],[Birthweight Z-Score (BW-10%)]],TRUE)*100,"")</f>
        <v/>
      </c>
      <c r="L1107" s="7" t="str">
        <f>IF(Table1[[#This Row],[Is Data Valid]]=TRUE,_xlfn.NORM.S.DIST(Table1[[#This Row],[Birthweight Z-Score (BW+10%)]],TRUE)*100,"")</f>
        <v/>
      </c>
    </row>
    <row r="1108" spans="1:12" x14ac:dyDescent="0.35">
      <c r="A1108" s="3"/>
      <c r="B1108" s="2"/>
      <c r="C1108" s="2"/>
      <c r="D1108" s="2" t="b">
        <f>IF(AND(NOT(ISBLANK(Table1[[#This Row],[Fetal Sex (Male, Female or Unknown)]])),ISNUMBER(Table1[[#This Row],[Birthweight (grams)]]),ISNUMBER(Table1[[#This Row],[Gestation (days)]])),TRUE,FALSE)</f>
        <v>0</v>
      </c>
      <c r="E1108" s="2" t="str">
        <f>IF(Table1[[#This Row],[Is Data Valid]]=TRUE,IF(Table1[[#This Row],[Fetal Sex (Male, Female or Unknown)]]="Male",Backend!$C$6,IF(Table1[[#This Row],[Fetal Sex (Male, Female or Unknown)]]="Female",Backend!$C$7,IF(Table1[[#This Row],[Fetal Sex (Male, Female or Unknown)]]="Unknown",Backend!$C$8,"Error"))),"")</f>
        <v/>
      </c>
      <c r="F1108" s="8" t="str">
        <f>IF(Table1[[#This Row],[Is Data Valid]]=TRUE,EXP(0.578+0.332*((Table1[[#This Row],[Gestation (days)]]+0.5)/7)-0.00354*((Table1[[#This Row],[Gestation (days)]]+0.5)/7)^2)*Table1[[#This Row],[BW40_3705]],"")</f>
        <v/>
      </c>
      <c r="G1108" s="2" t="str">
        <f>IF(Table1[[#This Row],[Is Data Valid]]=TRUE,((Table1[[#This Row],[Birthweight (grams)]]/Table1[[#This Row],[BW_GA]])-1)/(Backend!$B$4/100*Table1[[#This Row],[BW40_3705]]),"")</f>
        <v/>
      </c>
      <c r="H1108" s="7" t="str">
        <f>IF(Table1[[#This Row],[Is Data Valid]]=TRUE,((Table1[[#This Row],[Birthweight (grams)]]*0.9/Table1[[#This Row],[BW_GA]])-1)/(Backend!$B$4/100*Table1[[#This Row],[BW40_3705]]),"")</f>
        <v/>
      </c>
      <c r="I1108" s="7" t="str">
        <f>IF(Table1[[#This Row],[Is Data Valid]]=TRUE,((Table1[[#This Row],[Birthweight (grams)]]*1.1/Table1[[#This Row],[BW_GA]])-1)/(Backend!$B$4/100*Table1[[#This Row],[BW40_3705]]),"")</f>
        <v/>
      </c>
      <c r="J1108" s="7" t="str">
        <f>IF(Table1[[#This Row],[Is Data Valid]]=TRUE,_xlfn.NORM.S.DIST(Table1[[#This Row],[Birthweight Z-Score]],TRUE)*100,"")</f>
        <v/>
      </c>
      <c r="K1108" s="7" t="str">
        <f>IF(Table1[[#This Row],[Is Data Valid]]=TRUE,_xlfn.NORM.S.DIST(Table1[[#This Row],[Birthweight Z-Score (BW-10%)]],TRUE)*100,"")</f>
        <v/>
      </c>
      <c r="L1108" s="7" t="str">
        <f>IF(Table1[[#This Row],[Is Data Valid]]=TRUE,_xlfn.NORM.S.DIST(Table1[[#This Row],[Birthweight Z-Score (BW+10%)]],TRUE)*100,"")</f>
        <v/>
      </c>
    </row>
    <row r="1109" spans="1:12" x14ac:dyDescent="0.35">
      <c r="A1109" s="3"/>
      <c r="B1109" s="2"/>
      <c r="C1109" s="2"/>
      <c r="D1109" s="2" t="b">
        <f>IF(AND(NOT(ISBLANK(Table1[[#This Row],[Fetal Sex (Male, Female or Unknown)]])),ISNUMBER(Table1[[#This Row],[Birthweight (grams)]]),ISNUMBER(Table1[[#This Row],[Gestation (days)]])),TRUE,FALSE)</f>
        <v>0</v>
      </c>
      <c r="E1109" s="2" t="str">
        <f>IF(Table1[[#This Row],[Is Data Valid]]=TRUE,IF(Table1[[#This Row],[Fetal Sex (Male, Female or Unknown)]]="Male",Backend!$C$6,IF(Table1[[#This Row],[Fetal Sex (Male, Female or Unknown)]]="Female",Backend!$C$7,IF(Table1[[#This Row],[Fetal Sex (Male, Female or Unknown)]]="Unknown",Backend!$C$8,"Error"))),"")</f>
        <v/>
      </c>
      <c r="F1109" s="8" t="str">
        <f>IF(Table1[[#This Row],[Is Data Valid]]=TRUE,EXP(0.578+0.332*((Table1[[#This Row],[Gestation (days)]]+0.5)/7)-0.00354*((Table1[[#This Row],[Gestation (days)]]+0.5)/7)^2)*Table1[[#This Row],[BW40_3705]],"")</f>
        <v/>
      </c>
      <c r="G1109" s="2" t="str">
        <f>IF(Table1[[#This Row],[Is Data Valid]]=TRUE,((Table1[[#This Row],[Birthweight (grams)]]/Table1[[#This Row],[BW_GA]])-1)/(Backend!$B$4/100*Table1[[#This Row],[BW40_3705]]),"")</f>
        <v/>
      </c>
      <c r="H1109" s="7" t="str">
        <f>IF(Table1[[#This Row],[Is Data Valid]]=TRUE,((Table1[[#This Row],[Birthweight (grams)]]*0.9/Table1[[#This Row],[BW_GA]])-1)/(Backend!$B$4/100*Table1[[#This Row],[BW40_3705]]),"")</f>
        <v/>
      </c>
      <c r="I1109" s="7" t="str">
        <f>IF(Table1[[#This Row],[Is Data Valid]]=TRUE,((Table1[[#This Row],[Birthweight (grams)]]*1.1/Table1[[#This Row],[BW_GA]])-1)/(Backend!$B$4/100*Table1[[#This Row],[BW40_3705]]),"")</f>
        <v/>
      </c>
      <c r="J1109" s="7" t="str">
        <f>IF(Table1[[#This Row],[Is Data Valid]]=TRUE,_xlfn.NORM.S.DIST(Table1[[#This Row],[Birthweight Z-Score]],TRUE)*100,"")</f>
        <v/>
      </c>
      <c r="K1109" s="7" t="str">
        <f>IF(Table1[[#This Row],[Is Data Valid]]=TRUE,_xlfn.NORM.S.DIST(Table1[[#This Row],[Birthweight Z-Score (BW-10%)]],TRUE)*100,"")</f>
        <v/>
      </c>
      <c r="L1109" s="7" t="str">
        <f>IF(Table1[[#This Row],[Is Data Valid]]=TRUE,_xlfn.NORM.S.DIST(Table1[[#This Row],[Birthweight Z-Score (BW+10%)]],TRUE)*100,"")</f>
        <v/>
      </c>
    </row>
    <row r="1110" spans="1:12" x14ac:dyDescent="0.35">
      <c r="A1110" s="3"/>
      <c r="B1110" s="2"/>
      <c r="C1110" s="2"/>
      <c r="D1110" s="2" t="b">
        <f>IF(AND(NOT(ISBLANK(Table1[[#This Row],[Fetal Sex (Male, Female or Unknown)]])),ISNUMBER(Table1[[#This Row],[Birthweight (grams)]]),ISNUMBER(Table1[[#This Row],[Gestation (days)]])),TRUE,FALSE)</f>
        <v>0</v>
      </c>
      <c r="E1110" s="2" t="str">
        <f>IF(Table1[[#This Row],[Is Data Valid]]=TRUE,IF(Table1[[#This Row],[Fetal Sex (Male, Female or Unknown)]]="Male",Backend!$C$6,IF(Table1[[#This Row],[Fetal Sex (Male, Female or Unknown)]]="Female",Backend!$C$7,IF(Table1[[#This Row],[Fetal Sex (Male, Female or Unknown)]]="Unknown",Backend!$C$8,"Error"))),"")</f>
        <v/>
      </c>
      <c r="F1110" s="8" t="str">
        <f>IF(Table1[[#This Row],[Is Data Valid]]=TRUE,EXP(0.578+0.332*((Table1[[#This Row],[Gestation (days)]]+0.5)/7)-0.00354*((Table1[[#This Row],[Gestation (days)]]+0.5)/7)^2)*Table1[[#This Row],[BW40_3705]],"")</f>
        <v/>
      </c>
      <c r="G1110" s="2" t="str">
        <f>IF(Table1[[#This Row],[Is Data Valid]]=TRUE,((Table1[[#This Row],[Birthweight (grams)]]/Table1[[#This Row],[BW_GA]])-1)/(Backend!$B$4/100*Table1[[#This Row],[BW40_3705]]),"")</f>
        <v/>
      </c>
      <c r="H1110" s="7" t="str">
        <f>IF(Table1[[#This Row],[Is Data Valid]]=TRUE,((Table1[[#This Row],[Birthweight (grams)]]*0.9/Table1[[#This Row],[BW_GA]])-1)/(Backend!$B$4/100*Table1[[#This Row],[BW40_3705]]),"")</f>
        <v/>
      </c>
      <c r="I1110" s="7" t="str">
        <f>IF(Table1[[#This Row],[Is Data Valid]]=TRUE,((Table1[[#This Row],[Birthweight (grams)]]*1.1/Table1[[#This Row],[BW_GA]])-1)/(Backend!$B$4/100*Table1[[#This Row],[BW40_3705]]),"")</f>
        <v/>
      </c>
      <c r="J1110" s="7" t="str">
        <f>IF(Table1[[#This Row],[Is Data Valid]]=TRUE,_xlfn.NORM.S.DIST(Table1[[#This Row],[Birthweight Z-Score]],TRUE)*100,"")</f>
        <v/>
      </c>
      <c r="K1110" s="7" t="str">
        <f>IF(Table1[[#This Row],[Is Data Valid]]=TRUE,_xlfn.NORM.S.DIST(Table1[[#This Row],[Birthweight Z-Score (BW-10%)]],TRUE)*100,"")</f>
        <v/>
      </c>
      <c r="L1110" s="7" t="str">
        <f>IF(Table1[[#This Row],[Is Data Valid]]=TRUE,_xlfn.NORM.S.DIST(Table1[[#This Row],[Birthweight Z-Score (BW+10%)]],TRUE)*100,"")</f>
        <v/>
      </c>
    </row>
    <row r="1111" spans="1:12" x14ac:dyDescent="0.35">
      <c r="A1111" s="3"/>
      <c r="B1111" s="2"/>
      <c r="C1111" s="2"/>
      <c r="D1111" s="2" t="b">
        <f>IF(AND(NOT(ISBLANK(Table1[[#This Row],[Fetal Sex (Male, Female or Unknown)]])),ISNUMBER(Table1[[#This Row],[Birthweight (grams)]]),ISNUMBER(Table1[[#This Row],[Gestation (days)]])),TRUE,FALSE)</f>
        <v>0</v>
      </c>
      <c r="E1111" s="2" t="str">
        <f>IF(Table1[[#This Row],[Is Data Valid]]=TRUE,IF(Table1[[#This Row],[Fetal Sex (Male, Female or Unknown)]]="Male",Backend!$C$6,IF(Table1[[#This Row],[Fetal Sex (Male, Female or Unknown)]]="Female",Backend!$C$7,IF(Table1[[#This Row],[Fetal Sex (Male, Female or Unknown)]]="Unknown",Backend!$C$8,"Error"))),"")</f>
        <v/>
      </c>
      <c r="F1111" s="8" t="str">
        <f>IF(Table1[[#This Row],[Is Data Valid]]=TRUE,EXP(0.578+0.332*((Table1[[#This Row],[Gestation (days)]]+0.5)/7)-0.00354*((Table1[[#This Row],[Gestation (days)]]+0.5)/7)^2)*Table1[[#This Row],[BW40_3705]],"")</f>
        <v/>
      </c>
      <c r="G1111" s="2" t="str">
        <f>IF(Table1[[#This Row],[Is Data Valid]]=TRUE,((Table1[[#This Row],[Birthweight (grams)]]/Table1[[#This Row],[BW_GA]])-1)/(Backend!$B$4/100*Table1[[#This Row],[BW40_3705]]),"")</f>
        <v/>
      </c>
      <c r="H1111" s="7" t="str">
        <f>IF(Table1[[#This Row],[Is Data Valid]]=TRUE,((Table1[[#This Row],[Birthweight (grams)]]*0.9/Table1[[#This Row],[BW_GA]])-1)/(Backend!$B$4/100*Table1[[#This Row],[BW40_3705]]),"")</f>
        <v/>
      </c>
      <c r="I1111" s="7" t="str">
        <f>IF(Table1[[#This Row],[Is Data Valid]]=TRUE,((Table1[[#This Row],[Birthweight (grams)]]*1.1/Table1[[#This Row],[BW_GA]])-1)/(Backend!$B$4/100*Table1[[#This Row],[BW40_3705]]),"")</f>
        <v/>
      </c>
      <c r="J1111" s="7" t="str">
        <f>IF(Table1[[#This Row],[Is Data Valid]]=TRUE,_xlfn.NORM.S.DIST(Table1[[#This Row],[Birthweight Z-Score]],TRUE)*100,"")</f>
        <v/>
      </c>
      <c r="K1111" s="7" t="str">
        <f>IF(Table1[[#This Row],[Is Data Valid]]=TRUE,_xlfn.NORM.S.DIST(Table1[[#This Row],[Birthweight Z-Score (BW-10%)]],TRUE)*100,"")</f>
        <v/>
      </c>
      <c r="L1111" s="7" t="str">
        <f>IF(Table1[[#This Row],[Is Data Valid]]=TRUE,_xlfn.NORM.S.DIST(Table1[[#This Row],[Birthweight Z-Score (BW+10%)]],TRUE)*100,"")</f>
        <v/>
      </c>
    </row>
    <row r="1112" spans="1:12" x14ac:dyDescent="0.35">
      <c r="A1112" s="3"/>
      <c r="B1112" s="2"/>
      <c r="C1112" s="2"/>
      <c r="D1112" s="2" t="b">
        <f>IF(AND(NOT(ISBLANK(Table1[[#This Row],[Fetal Sex (Male, Female or Unknown)]])),ISNUMBER(Table1[[#This Row],[Birthweight (grams)]]),ISNUMBER(Table1[[#This Row],[Gestation (days)]])),TRUE,FALSE)</f>
        <v>0</v>
      </c>
      <c r="E1112" s="2" t="str">
        <f>IF(Table1[[#This Row],[Is Data Valid]]=TRUE,IF(Table1[[#This Row],[Fetal Sex (Male, Female or Unknown)]]="Male",Backend!$C$6,IF(Table1[[#This Row],[Fetal Sex (Male, Female or Unknown)]]="Female",Backend!$C$7,IF(Table1[[#This Row],[Fetal Sex (Male, Female or Unknown)]]="Unknown",Backend!$C$8,"Error"))),"")</f>
        <v/>
      </c>
      <c r="F1112" s="8" t="str">
        <f>IF(Table1[[#This Row],[Is Data Valid]]=TRUE,EXP(0.578+0.332*((Table1[[#This Row],[Gestation (days)]]+0.5)/7)-0.00354*((Table1[[#This Row],[Gestation (days)]]+0.5)/7)^2)*Table1[[#This Row],[BW40_3705]],"")</f>
        <v/>
      </c>
      <c r="G1112" s="2" t="str">
        <f>IF(Table1[[#This Row],[Is Data Valid]]=TRUE,((Table1[[#This Row],[Birthweight (grams)]]/Table1[[#This Row],[BW_GA]])-1)/(Backend!$B$4/100*Table1[[#This Row],[BW40_3705]]),"")</f>
        <v/>
      </c>
      <c r="H1112" s="7" t="str">
        <f>IF(Table1[[#This Row],[Is Data Valid]]=TRUE,((Table1[[#This Row],[Birthweight (grams)]]*0.9/Table1[[#This Row],[BW_GA]])-1)/(Backend!$B$4/100*Table1[[#This Row],[BW40_3705]]),"")</f>
        <v/>
      </c>
      <c r="I1112" s="7" t="str">
        <f>IF(Table1[[#This Row],[Is Data Valid]]=TRUE,((Table1[[#This Row],[Birthweight (grams)]]*1.1/Table1[[#This Row],[BW_GA]])-1)/(Backend!$B$4/100*Table1[[#This Row],[BW40_3705]]),"")</f>
        <v/>
      </c>
      <c r="J1112" s="7" t="str">
        <f>IF(Table1[[#This Row],[Is Data Valid]]=TRUE,_xlfn.NORM.S.DIST(Table1[[#This Row],[Birthweight Z-Score]],TRUE)*100,"")</f>
        <v/>
      </c>
      <c r="K1112" s="7" t="str">
        <f>IF(Table1[[#This Row],[Is Data Valid]]=TRUE,_xlfn.NORM.S.DIST(Table1[[#This Row],[Birthweight Z-Score (BW-10%)]],TRUE)*100,"")</f>
        <v/>
      </c>
      <c r="L1112" s="7" t="str">
        <f>IF(Table1[[#This Row],[Is Data Valid]]=TRUE,_xlfn.NORM.S.DIST(Table1[[#This Row],[Birthweight Z-Score (BW+10%)]],TRUE)*100,"")</f>
        <v/>
      </c>
    </row>
    <row r="1113" spans="1:12" x14ac:dyDescent="0.35">
      <c r="A1113" s="3"/>
      <c r="B1113" s="2"/>
      <c r="C1113" s="2"/>
      <c r="D1113" s="2" t="b">
        <f>IF(AND(NOT(ISBLANK(Table1[[#This Row],[Fetal Sex (Male, Female or Unknown)]])),ISNUMBER(Table1[[#This Row],[Birthweight (grams)]]),ISNUMBER(Table1[[#This Row],[Gestation (days)]])),TRUE,FALSE)</f>
        <v>0</v>
      </c>
      <c r="E1113" s="2" t="str">
        <f>IF(Table1[[#This Row],[Is Data Valid]]=TRUE,IF(Table1[[#This Row],[Fetal Sex (Male, Female or Unknown)]]="Male",Backend!$C$6,IF(Table1[[#This Row],[Fetal Sex (Male, Female or Unknown)]]="Female",Backend!$C$7,IF(Table1[[#This Row],[Fetal Sex (Male, Female or Unknown)]]="Unknown",Backend!$C$8,"Error"))),"")</f>
        <v/>
      </c>
      <c r="F1113" s="8" t="str">
        <f>IF(Table1[[#This Row],[Is Data Valid]]=TRUE,EXP(0.578+0.332*((Table1[[#This Row],[Gestation (days)]]+0.5)/7)-0.00354*((Table1[[#This Row],[Gestation (days)]]+0.5)/7)^2)*Table1[[#This Row],[BW40_3705]],"")</f>
        <v/>
      </c>
      <c r="G1113" s="2" t="str">
        <f>IF(Table1[[#This Row],[Is Data Valid]]=TRUE,((Table1[[#This Row],[Birthweight (grams)]]/Table1[[#This Row],[BW_GA]])-1)/(Backend!$B$4/100*Table1[[#This Row],[BW40_3705]]),"")</f>
        <v/>
      </c>
      <c r="H1113" s="7" t="str">
        <f>IF(Table1[[#This Row],[Is Data Valid]]=TRUE,((Table1[[#This Row],[Birthweight (grams)]]*0.9/Table1[[#This Row],[BW_GA]])-1)/(Backend!$B$4/100*Table1[[#This Row],[BW40_3705]]),"")</f>
        <v/>
      </c>
      <c r="I1113" s="7" t="str">
        <f>IF(Table1[[#This Row],[Is Data Valid]]=TRUE,((Table1[[#This Row],[Birthweight (grams)]]*1.1/Table1[[#This Row],[BW_GA]])-1)/(Backend!$B$4/100*Table1[[#This Row],[BW40_3705]]),"")</f>
        <v/>
      </c>
      <c r="J1113" s="7" t="str">
        <f>IF(Table1[[#This Row],[Is Data Valid]]=TRUE,_xlfn.NORM.S.DIST(Table1[[#This Row],[Birthweight Z-Score]],TRUE)*100,"")</f>
        <v/>
      </c>
      <c r="K1113" s="7" t="str">
        <f>IF(Table1[[#This Row],[Is Data Valid]]=TRUE,_xlfn.NORM.S.DIST(Table1[[#This Row],[Birthweight Z-Score (BW-10%)]],TRUE)*100,"")</f>
        <v/>
      </c>
      <c r="L1113" s="7" t="str">
        <f>IF(Table1[[#This Row],[Is Data Valid]]=TRUE,_xlfn.NORM.S.DIST(Table1[[#This Row],[Birthweight Z-Score (BW+10%)]],TRUE)*100,"")</f>
        <v/>
      </c>
    </row>
    <row r="1114" spans="1:12" x14ac:dyDescent="0.35">
      <c r="A1114" s="3"/>
      <c r="B1114" s="2"/>
      <c r="C1114" s="2"/>
      <c r="D1114" s="2" t="b">
        <f>IF(AND(NOT(ISBLANK(Table1[[#This Row],[Fetal Sex (Male, Female or Unknown)]])),ISNUMBER(Table1[[#This Row],[Birthweight (grams)]]),ISNUMBER(Table1[[#This Row],[Gestation (days)]])),TRUE,FALSE)</f>
        <v>0</v>
      </c>
      <c r="E1114" s="2" t="str">
        <f>IF(Table1[[#This Row],[Is Data Valid]]=TRUE,IF(Table1[[#This Row],[Fetal Sex (Male, Female or Unknown)]]="Male",Backend!$C$6,IF(Table1[[#This Row],[Fetal Sex (Male, Female or Unknown)]]="Female",Backend!$C$7,IF(Table1[[#This Row],[Fetal Sex (Male, Female or Unknown)]]="Unknown",Backend!$C$8,"Error"))),"")</f>
        <v/>
      </c>
      <c r="F1114" s="8" t="str">
        <f>IF(Table1[[#This Row],[Is Data Valid]]=TRUE,EXP(0.578+0.332*((Table1[[#This Row],[Gestation (days)]]+0.5)/7)-0.00354*((Table1[[#This Row],[Gestation (days)]]+0.5)/7)^2)*Table1[[#This Row],[BW40_3705]],"")</f>
        <v/>
      </c>
      <c r="G1114" s="2" t="str">
        <f>IF(Table1[[#This Row],[Is Data Valid]]=TRUE,((Table1[[#This Row],[Birthweight (grams)]]/Table1[[#This Row],[BW_GA]])-1)/(Backend!$B$4/100*Table1[[#This Row],[BW40_3705]]),"")</f>
        <v/>
      </c>
      <c r="H1114" s="7" t="str">
        <f>IF(Table1[[#This Row],[Is Data Valid]]=TRUE,((Table1[[#This Row],[Birthweight (grams)]]*0.9/Table1[[#This Row],[BW_GA]])-1)/(Backend!$B$4/100*Table1[[#This Row],[BW40_3705]]),"")</f>
        <v/>
      </c>
      <c r="I1114" s="7" t="str">
        <f>IF(Table1[[#This Row],[Is Data Valid]]=TRUE,((Table1[[#This Row],[Birthweight (grams)]]*1.1/Table1[[#This Row],[BW_GA]])-1)/(Backend!$B$4/100*Table1[[#This Row],[BW40_3705]]),"")</f>
        <v/>
      </c>
      <c r="J1114" s="7" t="str">
        <f>IF(Table1[[#This Row],[Is Data Valid]]=TRUE,_xlfn.NORM.S.DIST(Table1[[#This Row],[Birthweight Z-Score]],TRUE)*100,"")</f>
        <v/>
      </c>
      <c r="K1114" s="7" t="str">
        <f>IF(Table1[[#This Row],[Is Data Valid]]=TRUE,_xlfn.NORM.S.DIST(Table1[[#This Row],[Birthweight Z-Score (BW-10%)]],TRUE)*100,"")</f>
        <v/>
      </c>
      <c r="L1114" s="7" t="str">
        <f>IF(Table1[[#This Row],[Is Data Valid]]=TRUE,_xlfn.NORM.S.DIST(Table1[[#This Row],[Birthweight Z-Score (BW+10%)]],TRUE)*100,"")</f>
        <v/>
      </c>
    </row>
    <row r="1115" spans="1:12" x14ac:dyDescent="0.35">
      <c r="A1115" s="3"/>
      <c r="B1115" s="2"/>
      <c r="C1115" s="2"/>
      <c r="D1115" s="2" t="b">
        <f>IF(AND(NOT(ISBLANK(Table1[[#This Row],[Fetal Sex (Male, Female or Unknown)]])),ISNUMBER(Table1[[#This Row],[Birthweight (grams)]]),ISNUMBER(Table1[[#This Row],[Gestation (days)]])),TRUE,FALSE)</f>
        <v>0</v>
      </c>
      <c r="E1115" s="2" t="str">
        <f>IF(Table1[[#This Row],[Is Data Valid]]=TRUE,IF(Table1[[#This Row],[Fetal Sex (Male, Female or Unknown)]]="Male",Backend!$C$6,IF(Table1[[#This Row],[Fetal Sex (Male, Female or Unknown)]]="Female",Backend!$C$7,IF(Table1[[#This Row],[Fetal Sex (Male, Female or Unknown)]]="Unknown",Backend!$C$8,"Error"))),"")</f>
        <v/>
      </c>
      <c r="F1115" s="8" t="str">
        <f>IF(Table1[[#This Row],[Is Data Valid]]=TRUE,EXP(0.578+0.332*((Table1[[#This Row],[Gestation (days)]]+0.5)/7)-0.00354*((Table1[[#This Row],[Gestation (days)]]+0.5)/7)^2)*Table1[[#This Row],[BW40_3705]],"")</f>
        <v/>
      </c>
      <c r="G1115" s="2" t="str">
        <f>IF(Table1[[#This Row],[Is Data Valid]]=TRUE,((Table1[[#This Row],[Birthweight (grams)]]/Table1[[#This Row],[BW_GA]])-1)/(Backend!$B$4/100*Table1[[#This Row],[BW40_3705]]),"")</f>
        <v/>
      </c>
      <c r="H1115" s="7" t="str">
        <f>IF(Table1[[#This Row],[Is Data Valid]]=TRUE,((Table1[[#This Row],[Birthweight (grams)]]*0.9/Table1[[#This Row],[BW_GA]])-1)/(Backend!$B$4/100*Table1[[#This Row],[BW40_3705]]),"")</f>
        <v/>
      </c>
      <c r="I1115" s="7" t="str">
        <f>IF(Table1[[#This Row],[Is Data Valid]]=TRUE,((Table1[[#This Row],[Birthweight (grams)]]*1.1/Table1[[#This Row],[BW_GA]])-1)/(Backend!$B$4/100*Table1[[#This Row],[BW40_3705]]),"")</f>
        <v/>
      </c>
      <c r="J1115" s="7" t="str">
        <f>IF(Table1[[#This Row],[Is Data Valid]]=TRUE,_xlfn.NORM.S.DIST(Table1[[#This Row],[Birthweight Z-Score]],TRUE)*100,"")</f>
        <v/>
      </c>
      <c r="K1115" s="7" t="str">
        <f>IF(Table1[[#This Row],[Is Data Valid]]=TRUE,_xlfn.NORM.S.DIST(Table1[[#This Row],[Birthweight Z-Score (BW-10%)]],TRUE)*100,"")</f>
        <v/>
      </c>
      <c r="L1115" s="7" t="str">
        <f>IF(Table1[[#This Row],[Is Data Valid]]=TRUE,_xlfn.NORM.S.DIST(Table1[[#This Row],[Birthweight Z-Score (BW+10%)]],TRUE)*100,"")</f>
        <v/>
      </c>
    </row>
    <row r="1116" spans="1:12" x14ac:dyDescent="0.35">
      <c r="A1116" s="3"/>
      <c r="B1116" s="2"/>
      <c r="C1116" s="2"/>
      <c r="D1116" s="2" t="b">
        <f>IF(AND(NOT(ISBLANK(Table1[[#This Row],[Fetal Sex (Male, Female or Unknown)]])),ISNUMBER(Table1[[#This Row],[Birthweight (grams)]]),ISNUMBER(Table1[[#This Row],[Gestation (days)]])),TRUE,FALSE)</f>
        <v>0</v>
      </c>
      <c r="E1116" s="2" t="str">
        <f>IF(Table1[[#This Row],[Is Data Valid]]=TRUE,IF(Table1[[#This Row],[Fetal Sex (Male, Female or Unknown)]]="Male",Backend!$C$6,IF(Table1[[#This Row],[Fetal Sex (Male, Female or Unknown)]]="Female",Backend!$C$7,IF(Table1[[#This Row],[Fetal Sex (Male, Female or Unknown)]]="Unknown",Backend!$C$8,"Error"))),"")</f>
        <v/>
      </c>
      <c r="F1116" s="8" t="str">
        <f>IF(Table1[[#This Row],[Is Data Valid]]=TRUE,EXP(0.578+0.332*((Table1[[#This Row],[Gestation (days)]]+0.5)/7)-0.00354*((Table1[[#This Row],[Gestation (days)]]+0.5)/7)^2)*Table1[[#This Row],[BW40_3705]],"")</f>
        <v/>
      </c>
      <c r="G1116" s="2" t="str">
        <f>IF(Table1[[#This Row],[Is Data Valid]]=TRUE,((Table1[[#This Row],[Birthweight (grams)]]/Table1[[#This Row],[BW_GA]])-1)/(Backend!$B$4/100*Table1[[#This Row],[BW40_3705]]),"")</f>
        <v/>
      </c>
      <c r="H1116" s="7" t="str">
        <f>IF(Table1[[#This Row],[Is Data Valid]]=TRUE,((Table1[[#This Row],[Birthweight (grams)]]*0.9/Table1[[#This Row],[BW_GA]])-1)/(Backend!$B$4/100*Table1[[#This Row],[BW40_3705]]),"")</f>
        <v/>
      </c>
      <c r="I1116" s="7" t="str">
        <f>IF(Table1[[#This Row],[Is Data Valid]]=TRUE,((Table1[[#This Row],[Birthweight (grams)]]*1.1/Table1[[#This Row],[BW_GA]])-1)/(Backend!$B$4/100*Table1[[#This Row],[BW40_3705]]),"")</f>
        <v/>
      </c>
      <c r="J1116" s="7" t="str">
        <f>IF(Table1[[#This Row],[Is Data Valid]]=TRUE,_xlfn.NORM.S.DIST(Table1[[#This Row],[Birthweight Z-Score]],TRUE)*100,"")</f>
        <v/>
      </c>
      <c r="K1116" s="7" t="str">
        <f>IF(Table1[[#This Row],[Is Data Valid]]=TRUE,_xlfn.NORM.S.DIST(Table1[[#This Row],[Birthweight Z-Score (BW-10%)]],TRUE)*100,"")</f>
        <v/>
      </c>
      <c r="L1116" s="7" t="str">
        <f>IF(Table1[[#This Row],[Is Data Valid]]=TRUE,_xlfn.NORM.S.DIST(Table1[[#This Row],[Birthweight Z-Score (BW+10%)]],TRUE)*100,"")</f>
        <v/>
      </c>
    </row>
    <row r="1117" spans="1:12" x14ac:dyDescent="0.35">
      <c r="A1117" s="3"/>
      <c r="B1117" s="2"/>
      <c r="C1117" s="2"/>
      <c r="D1117" s="2" t="b">
        <f>IF(AND(NOT(ISBLANK(Table1[[#This Row],[Fetal Sex (Male, Female or Unknown)]])),ISNUMBER(Table1[[#This Row],[Birthweight (grams)]]),ISNUMBER(Table1[[#This Row],[Gestation (days)]])),TRUE,FALSE)</f>
        <v>0</v>
      </c>
      <c r="E1117" s="2" t="str">
        <f>IF(Table1[[#This Row],[Is Data Valid]]=TRUE,IF(Table1[[#This Row],[Fetal Sex (Male, Female or Unknown)]]="Male",Backend!$C$6,IF(Table1[[#This Row],[Fetal Sex (Male, Female or Unknown)]]="Female",Backend!$C$7,IF(Table1[[#This Row],[Fetal Sex (Male, Female or Unknown)]]="Unknown",Backend!$C$8,"Error"))),"")</f>
        <v/>
      </c>
      <c r="F1117" s="8" t="str">
        <f>IF(Table1[[#This Row],[Is Data Valid]]=TRUE,EXP(0.578+0.332*((Table1[[#This Row],[Gestation (days)]]+0.5)/7)-0.00354*((Table1[[#This Row],[Gestation (days)]]+0.5)/7)^2)*Table1[[#This Row],[BW40_3705]],"")</f>
        <v/>
      </c>
      <c r="G1117" s="2" t="str">
        <f>IF(Table1[[#This Row],[Is Data Valid]]=TRUE,((Table1[[#This Row],[Birthweight (grams)]]/Table1[[#This Row],[BW_GA]])-1)/(Backend!$B$4/100*Table1[[#This Row],[BW40_3705]]),"")</f>
        <v/>
      </c>
      <c r="H1117" s="7" t="str">
        <f>IF(Table1[[#This Row],[Is Data Valid]]=TRUE,((Table1[[#This Row],[Birthweight (grams)]]*0.9/Table1[[#This Row],[BW_GA]])-1)/(Backend!$B$4/100*Table1[[#This Row],[BW40_3705]]),"")</f>
        <v/>
      </c>
      <c r="I1117" s="7" t="str">
        <f>IF(Table1[[#This Row],[Is Data Valid]]=TRUE,((Table1[[#This Row],[Birthweight (grams)]]*1.1/Table1[[#This Row],[BW_GA]])-1)/(Backend!$B$4/100*Table1[[#This Row],[BW40_3705]]),"")</f>
        <v/>
      </c>
      <c r="J1117" s="7" t="str">
        <f>IF(Table1[[#This Row],[Is Data Valid]]=TRUE,_xlfn.NORM.S.DIST(Table1[[#This Row],[Birthweight Z-Score]],TRUE)*100,"")</f>
        <v/>
      </c>
      <c r="K1117" s="7" t="str">
        <f>IF(Table1[[#This Row],[Is Data Valid]]=TRUE,_xlfn.NORM.S.DIST(Table1[[#This Row],[Birthweight Z-Score (BW-10%)]],TRUE)*100,"")</f>
        <v/>
      </c>
      <c r="L1117" s="7" t="str">
        <f>IF(Table1[[#This Row],[Is Data Valid]]=TRUE,_xlfn.NORM.S.DIST(Table1[[#This Row],[Birthweight Z-Score (BW+10%)]],TRUE)*100,"")</f>
        <v/>
      </c>
    </row>
    <row r="1118" spans="1:12" x14ac:dyDescent="0.35">
      <c r="A1118" s="3"/>
      <c r="B1118" s="2"/>
      <c r="C1118" s="2"/>
      <c r="D1118" s="2" t="b">
        <f>IF(AND(NOT(ISBLANK(Table1[[#This Row],[Fetal Sex (Male, Female or Unknown)]])),ISNUMBER(Table1[[#This Row],[Birthweight (grams)]]),ISNUMBER(Table1[[#This Row],[Gestation (days)]])),TRUE,FALSE)</f>
        <v>0</v>
      </c>
      <c r="E1118" s="2" t="str">
        <f>IF(Table1[[#This Row],[Is Data Valid]]=TRUE,IF(Table1[[#This Row],[Fetal Sex (Male, Female or Unknown)]]="Male",Backend!$C$6,IF(Table1[[#This Row],[Fetal Sex (Male, Female or Unknown)]]="Female",Backend!$C$7,IF(Table1[[#This Row],[Fetal Sex (Male, Female or Unknown)]]="Unknown",Backend!$C$8,"Error"))),"")</f>
        <v/>
      </c>
      <c r="F1118" s="8" t="str">
        <f>IF(Table1[[#This Row],[Is Data Valid]]=TRUE,EXP(0.578+0.332*((Table1[[#This Row],[Gestation (days)]]+0.5)/7)-0.00354*((Table1[[#This Row],[Gestation (days)]]+0.5)/7)^2)*Table1[[#This Row],[BW40_3705]],"")</f>
        <v/>
      </c>
      <c r="G1118" s="2" t="str">
        <f>IF(Table1[[#This Row],[Is Data Valid]]=TRUE,((Table1[[#This Row],[Birthweight (grams)]]/Table1[[#This Row],[BW_GA]])-1)/(Backend!$B$4/100*Table1[[#This Row],[BW40_3705]]),"")</f>
        <v/>
      </c>
      <c r="H1118" s="7" t="str">
        <f>IF(Table1[[#This Row],[Is Data Valid]]=TRUE,((Table1[[#This Row],[Birthweight (grams)]]*0.9/Table1[[#This Row],[BW_GA]])-1)/(Backend!$B$4/100*Table1[[#This Row],[BW40_3705]]),"")</f>
        <v/>
      </c>
      <c r="I1118" s="7" t="str">
        <f>IF(Table1[[#This Row],[Is Data Valid]]=TRUE,((Table1[[#This Row],[Birthweight (grams)]]*1.1/Table1[[#This Row],[BW_GA]])-1)/(Backend!$B$4/100*Table1[[#This Row],[BW40_3705]]),"")</f>
        <v/>
      </c>
      <c r="J1118" s="7" t="str">
        <f>IF(Table1[[#This Row],[Is Data Valid]]=TRUE,_xlfn.NORM.S.DIST(Table1[[#This Row],[Birthweight Z-Score]],TRUE)*100,"")</f>
        <v/>
      </c>
      <c r="K1118" s="7" t="str">
        <f>IF(Table1[[#This Row],[Is Data Valid]]=TRUE,_xlfn.NORM.S.DIST(Table1[[#This Row],[Birthweight Z-Score (BW-10%)]],TRUE)*100,"")</f>
        <v/>
      </c>
      <c r="L1118" s="7" t="str">
        <f>IF(Table1[[#This Row],[Is Data Valid]]=TRUE,_xlfn.NORM.S.DIST(Table1[[#This Row],[Birthweight Z-Score (BW+10%)]],TRUE)*100,"")</f>
        <v/>
      </c>
    </row>
    <row r="1119" spans="1:12" x14ac:dyDescent="0.35">
      <c r="A1119" s="3"/>
      <c r="B1119" s="2"/>
      <c r="C1119" s="2"/>
      <c r="D1119" s="2" t="b">
        <f>IF(AND(NOT(ISBLANK(Table1[[#This Row],[Fetal Sex (Male, Female or Unknown)]])),ISNUMBER(Table1[[#This Row],[Birthweight (grams)]]),ISNUMBER(Table1[[#This Row],[Gestation (days)]])),TRUE,FALSE)</f>
        <v>0</v>
      </c>
      <c r="E1119" s="2" t="str">
        <f>IF(Table1[[#This Row],[Is Data Valid]]=TRUE,IF(Table1[[#This Row],[Fetal Sex (Male, Female or Unknown)]]="Male",Backend!$C$6,IF(Table1[[#This Row],[Fetal Sex (Male, Female or Unknown)]]="Female",Backend!$C$7,IF(Table1[[#This Row],[Fetal Sex (Male, Female or Unknown)]]="Unknown",Backend!$C$8,"Error"))),"")</f>
        <v/>
      </c>
      <c r="F1119" s="8" t="str">
        <f>IF(Table1[[#This Row],[Is Data Valid]]=TRUE,EXP(0.578+0.332*((Table1[[#This Row],[Gestation (days)]]+0.5)/7)-0.00354*((Table1[[#This Row],[Gestation (days)]]+0.5)/7)^2)*Table1[[#This Row],[BW40_3705]],"")</f>
        <v/>
      </c>
      <c r="G1119" s="2" t="str">
        <f>IF(Table1[[#This Row],[Is Data Valid]]=TRUE,((Table1[[#This Row],[Birthweight (grams)]]/Table1[[#This Row],[BW_GA]])-1)/(Backend!$B$4/100*Table1[[#This Row],[BW40_3705]]),"")</f>
        <v/>
      </c>
      <c r="H1119" s="7" t="str">
        <f>IF(Table1[[#This Row],[Is Data Valid]]=TRUE,((Table1[[#This Row],[Birthweight (grams)]]*0.9/Table1[[#This Row],[BW_GA]])-1)/(Backend!$B$4/100*Table1[[#This Row],[BW40_3705]]),"")</f>
        <v/>
      </c>
      <c r="I1119" s="7" t="str">
        <f>IF(Table1[[#This Row],[Is Data Valid]]=TRUE,((Table1[[#This Row],[Birthweight (grams)]]*1.1/Table1[[#This Row],[BW_GA]])-1)/(Backend!$B$4/100*Table1[[#This Row],[BW40_3705]]),"")</f>
        <v/>
      </c>
      <c r="J1119" s="7" t="str">
        <f>IF(Table1[[#This Row],[Is Data Valid]]=TRUE,_xlfn.NORM.S.DIST(Table1[[#This Row],[Birthweight Z-Score]],TRUE)*100,"")</f>
        <v/>
      </c>
      <c r="K1119" s="7" t="str">
        <f>IF(Table1[[#This Row],[Is Data Valid]]=TRUE,_xlfn.NORM.S.DIST(Table1[[#This Row],[Birthweight Z-Score (BW-10%)]],TRUE)*100,"")</f>
        <v/>
      </c>
      <c r="L1119" s="7" t="str">
        <f>IF(Table1[[#This Row],[Is Data Valid]]=TRUE,_xlfn.NORM.S.DIST(Table1[[#This Row],[Birthweight Z-Score (BW+10%)]],TRUE)*100,"")</f>
        <v/>
      </c>
    </row>
    <row r="1120" spans="1:12" x14ac:dyDescent="0.35">
      <c r="A1120" s="3"/>
      <c r="B1120" s="2"/>
      <c r="C1120" s="2"/>
      <c r="D1120" s="2" t="b">
        <f>IF(AND(NOT(ISBLANK(Table1[[#This Row],[Fetal Sex (Male, Female or Unknown)]])),ISNUMBER(Table1[[#This Row],[Birthweight (grams)]]),ISNUMBER(Table1[[#This Row],[Gestation (days)]])),TRUE,FALSE)</f>
        <v>0</v>
      </c>
      <c r="E1120" s="2" t="str">
        <f>IF(Table1[[#This Row],[Is Data Valid]]=TRUE,IF(Table1[[#This Row],[Fetal Sex (Male, Female or Unknown)]]="Male",Backend!$C$6,IF(Table1[[#This Row],[Fetal Sex (Male, Female or Unknown)]]="Female",Backend!$C$7,IF(Table1[[#This Row],[Fetal Sex (Male, Female or Unknown)]]="Unknown",Backend!$C$8,"Error"))),"")</f>
        <v/>
      </c>
      <c r="F1120" s="8" t="str">
        <f>IF(Table1[[#This Row],[Is Data Valid]]=TRUE,EXP(0.578+0.332*((Table1[[#This Row],[Gestation (days)]]+0.5)/7)-0.00354*((Table1[[#This Row],[Gestation (days)]]+0.5)/7)^2)*Table1[[#This Row],[BW40_3705]],"")</f>
        <v/>
      </c>
      <c r="G1120" s="2" t="str">
        <f>IF(Table1[[#This Row],[Is Data Valid]]=TRUE,((Table1[[#This Row],[Birthweight (grams)]]/Table1[[#This Row],[BW_GA]])-1)/(Backend!$B$4/100*Table1[[#This Row],[BW40_3705]]),"")</f>
        <v/>
      </c>
      <c r="H1120" s="7" t="str">
        <f>IF(Table1[[#This Row],[Is Data Valid]]=TRUE,((Table1[[#This Row],[Birthweight (grams)]]*0.9/Table1[[#This Row],[BW_GA]])-1)/(Backend!$B$4/100*Table1[[#This Row],[BW40_3705]]),"")</f>
        <v/>
      </c>
      <c r="I1120" s="7" t="str">
        <f>IF(Table1[[#This Row],[Is Data Valid]]=TRUE,((Table1[[#This Row],[Birthweight (grams)]]*1.1/Table1[[#This Row],[BW_GA]])-1)/(Backend!$B$4/100*Table1[[#This Row],[BW40_3705]]),"")</f>
        <v/>
      </c>
      <c r="J1120" s="7" t="str">
        <f>IF(Table1[[#This Row],[Is Data Valid]]=TRUE,_xlfn.NORM.S.DIST(Table1[[#This Row],[Birthweight Z-Score]],TRUE)*100,"")</f>
        <v/>
      </c>
      <c r="K1120" s="7" t="str">
        <f>IF(Table1[[#This Row],[Is Data Valid]]=TRUE,_xlfn.NORM.S.DIST(Table1[[#This Row],[Birthweight Z-Score (BW-10%)]],TRUE)*100,"")</f>
        <v/>
      </c>
      <c r="L1120" s="7" t="str">
        <f>IF(Table1[[#This Row],[Is Data Valid]]=TRUE,_xlfn.NORM.S.DIST(Table1[[#This Row],[Birthweight Z-Score (BW+10%)]],TRUE)*100,"")</f>
        <v/>
      </c>
    </row>
    <row r="1121" spans="1:12" x14ac:dyDescent="0.35">
      <c r="A1121" s="3"/>
      <c r="B1121" s="2"/>
      <c r="C1121" s="2"/>
      <c r="D1121" s="2" t="b">
        <f>IF(AND(NOT(ISBLANK(Table1[[#This Row],[Fetal Sex (Male, Female or Unknown)]])),ISNUMBER(Table1[[#This Row],[Birthweight (grams)]]),ISNUMBER(Table1[[#This Row],[Gestation (days)]])),TRUE,FALSE)</f>
        <v>0</v>
      </c>
      <c r="E1121" s="2" t="str">
        <f>IF(Table1[[#This Row],[Is Data Valid]]=TRUE,IF(Table1[[#This Row],[Fetal Sex (Male, Female or Unknown)]]="Male",Backend!$C$6,IF(Table1[[#This Row],[Fetal Sex (Male, Female or Unknown)]]="Female",Backend!$C$7,IF(Table1[[#This Row],[Fetal Sex (Male, Female or Unknown)]]="Unknown",Backend!$C$8,"Error"))),"")</f>
        <v/>
      </c>
      <c r="F1121" s="8" t="str">
        <f>IF(Table1[[#This Row],[Is Data Valid]]=TRUE,EXP(0.578+0.332*((Table1[[#This Row],[Gestation (days)]]+0.5)/7)-0.00354*((Table1[[#This Row],[Gestation (days)]]+0.5)/7)^2)*Table1[[#This Row],[BW40_3705]],"")</f>
        <v/>
      </c>
      <c r="G1121" s="2" t="str">
        <f>IF(Table1[[#This Row],[Is Data Valid]]=TRUE,((Table1[[#This Row],[Birthweight (grams)]]/Table1[[#This Row],[BW_GA]])-1)/(Backend!$B$4/100*Table1[[#This Row],[BW40_3705]]),"")</f>
        <v/>
      </c>
      <c r="H1121" s="7" t="str">
        <f>IF(Table1[[#This Row],[Is Data Valid]]=TRUE,((Table1[[#This Row],[Birthweight (grams)]]*0.9/Table1[[#This Row],[BW_GA]])-1)/(Backend!$B$4/100*Table1[[#This Row],[BW40_3705]]),"")</f>
        <v/>
      </c>
      <c r="I1121" s="7" t="str">
        <f>IF(Table1[[#This Row],[Is Data Valid]]=TRUE,((Table1[[#This Row],[Birthweight (grams)]]*1.1/Table1[[#This Row],[BW_GA]])-1)/(Backend!$B$4/100*Table1[[#This Row],[BW40_3705]]),"")</f>
        <v/>
      </c>
      <c r="J1121" s="7" t="str">
        <f>IF(Table1[[#This Row],[Is Data Valid]]=TRUE,_xlfn.NORM.S.DIST(Table1[[#This Row],[Birthweight Z-Score]],TRUE)*100,"")</f>
        <v/>
      </c>
      <c r="K1121" s="7" t="str">
        <f>IF(Table1[[#This Row],[Is Data Valid]]=TRUE,_xlfn.NORM.S.DIST(Table1[[#This Row],[Birthweight Z-Score (BW-10%)]],TRUE)*100,"")</f>
        <v/>
      </c>
      <c r="L1121" s="7" t="str">
        <f>IF(Table1[[#This Row],[Is Data Valid]]=TRUE,_xlfn.NORM.S.DIST(Table1[[#This Row],[Birthweight Z-Score (BW+10%)]],TRUE)*100,"")</f>
        <v/>
      </c>
    </row>
    <row r="1122" spans="1:12" x14ac:dyDescent="0.35">
      <c r="A1122" s="3"/>
      <c r="B1122" s="2"/>
      <c r="C1122" s="2"/>
      <c r="D1122" s="2" t="b">
        <f>IF(AND(NOT(ISBLANK(Table1[[#This Row],[Fetal Sex (Male, Female or Unknown)]])),ISNUMBER(Table1[[#This Row],[Birthweight (grams)]]),ISNUMBER(Table1[[#This Row],[Gestation (days)]])),TRUE,FALSE)</f>
        <v>0</v>
      </c>
      <c r="E1122" s="2" t="str">
        <f>IF(Table1[[#This Row],[Is Data Valid]]=TRUE,IF(Table1[[#This Row],[Fetal Sex (Male, Female or Unknown)]]="Male",Backend!$C$6,IF(Table1[[#This Row],[Fetal Sex (Male, Female or Unknown)]]="Female",Backend!$C$7,IF(Table1[[#This Row],[Fetal Sex (Male, Female or Unknown)]]="Unknown",Backend!$C$8,"Error"))),"")</f>
        <v/>
      </c>
      <c r="F1122" s="8" t="str">
        <f>IF(Table1[[#This Row],[Is Data Valid]]=TRUE,EXP(0.578+0.332*((Table1[[#This Row],[Gestation (days)]]+0.5)/7)-0.00354*((Table1[[#This Row],[Gestation (days)]]+0.5)/7)^2)*Table1[[#This Row],[BW40_3705]],"")</f>
        <v/>
      </c>
      <c r="G1122" s="2" t="str">
        <f>IF(Table1[[#This Row],[Is Data Valid]]=TRUE,((Table1[[#This Row],[Birthweight (grams)]]/Table1[[#This Row],[BW_GA]])-1)/(Backend!$B$4/100*Table1[[#This Row],[BW40_3705]]),"")</f>
        <v/>
      </c>
      <c r="H1122" s="7" t="str">
        <f>IF(Table1[[#This Row],[Is Data Valid]]=TRUE,((Table1[[#This Row],[Birthweight (grams)]]*0.9/Table1[[#This Row],[BW_GA]])-1)/(Backend!$B$4/100*Table1[[#This Row],[BW40_3705]]),"")</f>
        <v/>
      </c>
      <c r="I1122" s="7" t="str">
        <f>IF(Table1[[#This Row],[Is Data Valid]]=TRUE,((Table1[[#This Row],[Birthweight (grams)]]*1.1/Table1[[#This Row],[BW_GA]])-1)/(Backend!$B$4/100*Table1[[#This Row],[BW40_3705]]),"")</f>
        <v/>
      </c>
      <c r="J1122" s="7" t="str">
        <f>IF(Table1[[#This Row],[Is Data Valid]]=TRUE,_xlfn.NORM.S.DIST(Table1[[#This Row],[Birthweight Z-Score]],TRUE)*100,"")</f>
        <v/>
      </c>
      <c r="K1122" s="7" t="str">
        <f>IF(Table1[[#This Row],[Is Data Valid]]=TRUE,_xlfn.NORM.S.DIST(Table1[[#This Row],[Birthweight Z-Score (BW-10%)]],TRUE)*100,"")</f>
        <v/>
      </c>
      <c r="L1122" s="7" t="str">
        <f>IF(Table1[[#This Row],[Is Data Valid]]=TRUE,_xlfn.NORM.S.DIST(Table1[[#This Row],[Birthweight Z-Score (BW+10%)]],TRUE)*100,"")</f>
        <v/>
      </c>
    </row>
    <row r="1123" spans="1:12" x14ac:dyDescent="0.35">
      <c r="A1123" s="3"/>
      <c r="B1123" s="2"/>
      <c r="C1123" s="2"/>
      <c r="D1123" s="2" t="b">
        <f>IF(AND(NOT(ISBLANK(Table1[[#This Row],[Fetal Sex (Male, Female or Unknown)]])),ISNUMBER(Table1[[#This Row],[Birthweight (grams)]]),ISNUMBER(Table1[[#This Row],[Gestation (days)]])),TRUE,FALSE)</f>
        <v>0</v>
      </c>
      <c r="E1123" s="2" t="str">
        <f>IF(Table1[[#This Row],[Is Data Valid]]=TRUE,IF(Table1[[#This Row],[Fetal Sex (Male, Female or Unknown)]]="Male",Backend!$C$6,IF(Table1[[#This Row],[Fetal Sex (Male, Female or Unknown)]]="Female",Backend!$C$7,IF(Table1[[#This Row],[Fetal Sex (Male, Female or Unknown)]]="Unknown",Backend!$C$8,"Error"))),"")</f>
        <v/>
      </c>
      <c r="F1123" s="8" t="str">
        <f>IF(Table1[[#This Row],[Is Data Valid]]=TRUE,EXP(0.578+0.332*((Table1[[#This Row],[Gestation (days)]]+0.5)/7)-0.00354*((Table1[[#This Row],[Gestation (days)]]+0.5)/7)^2)*Table1[[#This Row],[BW40_3705]],"")</f>
        <v/>
      </c>
      <c r="G1123" s="2" t="str">
        <f>IF(Table1[[#This Row],[Is Data Valid]]=TRUE,((Table1[[#This Row],[Birthweight (grams)]]/Table1[[#This Row],[BW_GA]])-1)/(Backend!$B$4/100*Table1[[#This Row],[BW40_3705]]),"")</f>
        <v/>
      </c>
      <c r="H1123" s="7" t="str">
        <f>IF(Table1[[#This Row],[Is Data Valid]]=TRUE,((Table1[[#This Row],[Birthweight (grams)]]*0.9/Table1[[#This Row],[BW_GA]])-1)/(Backend!$B$4/100*Table1[[#This Row],[BW40_3705]]),"")</f>
        <v/>
      </c>
      <c r="I1123" s="7" t="str">
        <f>IF(Table1[[#This Row],[Is Data Valid]]=TRUE,((Table1[[#This Row],[Birthweight (grams)]]*1.1/Table1[[#This Row],[BW_GA]])-1)/(Backend!$B$4/100*Table1[[#This Row],[BW40_3705]]),"")</f>
        <v/>
      </c>
      <c r="J1123" s="7" t="str">
        <f>IF(Table1[[#This Row],[Is Data Valid]]=TRUE,_xlfn.NORM.S.DIST(Table1[[#This Row],[Birthweight Z-Score]],TRUE)*100,"")</f>
        <v/>
      </c>
      <c r="K1123" s="7" t="str">
        <f>IF(Table1[[#This Row],[Is Data Valid]]=TRUE,_xlfn.NORM.S.DIST(Table1[[#This Row],[Birthweight Z-Score (BW-10%)]],TRUE)*100,"")</f>
        <v/>
      </c>
      <c r="L1123" s="7" t="str">
        <f>IF(Table1[[#This Row],[Is Data Valid]]=TRUE,_xlfn.NORM.S.DIST(Table1[[#This Row],[Birthweight Z-Score (BW+10%)]],TRUE)*100,"")</f>
        <v/>
      </c>
    </row>
    <row r="1124" spans="1:12" x14ac:dyDescent="0.35">
      <c r="A1124" s="3"/>
      <c r="B1124" s="2"/>
      <c r="C1124" s="2"/>
      <c r="D1124" s="2" t="b">
        <f>IF(AND(NOT(ISBLANK(Table1[[#This Row],[Fetal Sex (Male, Female or Unknown)]])),ISNUMBER(Table1[[#This Row],[Birthweight (grams)]]),ISNUMBER(Table1[[#This Row],[Gestation (days)]])),TRUE,FALSE)</f>
        <v>0</v>
      </c>
      <c r="E1124" s="2" t="str">
        <f>IF(Table1[[#This Row],[Is Data Valid]]=TRUE,IF(Table1[[#This Row],[Fetal Sex (Male, Female or Unknown)]]="Male",Backend!$C$6,IF(Table1[[#This Row],[Fetal Sex (Male, Female or Unknown)]]="Female",Backend!$C$7,IF(Table1[[#This Row],[Fetal Sex (Male, Female or Unknown)]]="Unknown",Backend!$C$8,"Error"))),"")</f>
        <v/>
      </c>
      <c r="F1124" s="8" t="str">
        <f>IF(Table1[[#This Row],[Is Data Valid]]=TRUE,EXP(0.578+0.332*((Table1[[#This Row],[Gestation (days)]]+0.5)/7)-0.00354*((Table1[[#This Row],[Gestation (days)]]+0.5)/7)^2)*Table1[[#This Row],[BW40_3705]],"")</f>
        <v/>
      </c>
      <c r="G1124" s="2" t="str">
        <f>IF(Table1[[#This Row],[Is Data Valid]]=TRUE,((Table1[[#This Row],[Birthweight (grams)]]/Table1[[#This Row],[BW_GA]])-1)/(Backend!$B$4/100*Table1[[#This Row],[BW40_3705]]),"")</f>
        <v/>
      </c>
      <c r="H1124" s="7" t="str">
        <f>IF(Table1[[#This Row],[Is Data Valid]]=TRUE,((Table1[[#This Row],[Birthweight (grams)]]*0.9/Table1[[#This Row],[BW_GA]])-1)/(Backend!$B$4/100*Table1[[#This Row],[BW40_3705]]),"")</f>
        <v/>
      </c>
      <c r="I1124" s="7" t="str">
        <f>IF(Table1[[#This Row],[Is Data Valid]]=TRUE,((Table1[[#This Row],[Birthweight (grams)]]*1.1/Table1[[#This Row],[BW_GA]])-1)/(Backend!$B$4/100*Table1[[#This Row],[BW40_3705]]),"")</f>
        <v/>
      </c>
      <c r="J1124" s="7" t="str">
        <f>IF(Table1[[#This Row],[Is Data Valid]]=TRUE,_xlfn.NORM.S.DIST(Table1[[#This Row],[Birthweight Z-Score]],TRUE)*100,"")</f>
        <v/>
      </c>
      <c r="K1124" s="7" t="str">
        <f>IF(Table1[[#This Row],[Is Data Valid]]=TRUE,_xlfn.NORM.S.DIST(Table1[[#This Row],[Birthweight Z-Score (BW-10%)]],TRUE)*100,"")</f>
        <v/>
      </c>
      <c r="L1124" s="7" t="str">
        <f>IF(Table1[[#This Row],[Is Data Valid]]=TRUE,_xlfn.NORM.S.DIST(Table1[[#This Row],[Birthweight Z-Score (BW+10%)]],TRUE)*100,"")</f>
        <v/>
      </c>
    </row>
    <row r="1125" spans="1:12" x14ac:dyDescent="0.35">
      <c r="A1125" s="3"/>
      <c r="B1125" s="2"/>
      <c r="C1125" s="2"/>
      <c r="D1125" s="2" t="b">
        <f>IF(AND(NOT(ISBLANK(Table1[[#This Row],[Fetal Sex (Male, Female or Unknown)]])),ISNUMBER(Table1[[#This Row],[Birthweight (grams)]]),ISNUMBER(Table1[[#This Row],[Gestation (days)]])),TRUE,FALSE)</f>
        <v>0</v>
      </c>
      <c r="E1125" s="2" t="str">
        <f>IF(Table1[[#This Row],[Is Data Valid]]=TRUE,IF(Table1[[#This Row],[Fetal Sex (Male, Female or Unknown)]]="Male",Backend!$C$6,IF(Table1[[#This Row],[Fetal Sex (Male, Female or Unknown)]]="Female",Backend!$C$7,IF(Table1[[#This Row],[Fetal Sex (Male, Female or Unknown)]]="Unknown",Backend!$C$8,"Error"))),"")</f>
        <v/>
      </c>
      <c r="F1125" s="8" t="str">
        <f>IF(Table1[[#This Row],[Is Data Valid]]=TRUE,EXP(0.578+0.332*((Table1[[#This Row],[Gestation (days)]]+0.5)/7)-0.00354*((Table1[[#This Row],[Gestation (days)]]+0.5)/7)^2)*Table1[[#This Row],[BW40_3705]],"")</f>
        <v/>
      </c>
      <c r="G1125" s="2" t="str">
        <f>IF(Table1[[#This Row],[Is Data Valid]]=TRUE,((Table1[[#This Row],[Birthweight (grams)]]/Table1[[#This Row],[BW_GA]])-1)/(Backend!$B$4/100*Table1[[#This Row],[BW40_3705]]),"")</f>
        <v/>
      </c>
      <c r="H1125" s="7" t="str">
        <f>IF(Table1[[#This Row],[Is Data Valid]]=TRUE,((Table1[[#This Row],[Birthweight (grams)]]*0.9/Table1[[#This Row],[BW_GA]])-1)/(Backend!$B$4/100*Table1[[#This Row],[BW40_3705]]),"")</f>
        <v/>
      </c>
      <c r="I1125" s="7" t="str">
        <f>IF(Table1[[#This Row],[Is Data Valid]]=TRUE,((Table1[[#This Row],[Birthweight (grams)]]*1.1/Table1[[#This Row],[BW_GA]])-1)/(Backend!$B$4/100*Table1[[#This Row],[BW40_3705]]),"")</f>
        <v/>
      </c>
      <c r="J1125" s="7" t="str">
        <f>IF(Table1[[#This Row],[Is Data Valid]]=TRUE,_xlfn.NORM.S.DIST(Table1[[#This Row],[Birthweight Z-Score]],TRUE)*100,"")</f>
        <v/>
      </c>
      <c r="K1125" s="7" t="str">
        <f>IF(Table1[[#This Row],[Is Data Valid]]=TRUE,_xlfn.NORM.S.DIST(Table1[[#This Row],[Birthweight Z-Score (BW-10%)]],TRUE)*100,"")</f>
        <v/>
      </c>
      <c r="L1125" s="7" t="str">
        <f>IF(Table1[[#This Row],[Is Data Valid]]=TRUE,_xlfn.NORM.S.DIST(Table1[[#This Row],[Birthweight Z-Score (BW+10%)]],TRUE)*100,"")</f>
        <v/>
      </c>
    </row>
    <row r="1126" spans="1:12" x14ac:dyDescent="0.35">
      <c r="A1126" s="3"/>
      <c r="B1126" s="2"/>
      <c r="C1126" s="2"/>
      <c r="D1126" s="2" t="b">
        <f>IF(AND(NOT(ISBLANK(Table1[[#This Row],[Fetal Sex (Male, Female or Unknown)]])),ISNUMBER(Table1[[#This Row],[Birthweight (grams)]]),ISNUMBER(Table1[[#This Row],[Gestation (days)]])),TRUE,FALSE)</f>
        <v>0</v>
      </c>
      <c r="E1126" s="2" t="str">
        <f>IF(Table1[[#This Row],[Is Data Valid]]=TRUE,IF(Table1[[#This Row],[Fetal Sex (Male, Female or Unknown)]]="Male",Backend!$C$6,IF(Table1[[#This Row],[Fetal Sex (Male, Female or Unknown)]]="Female",Backend!$C$7,IF(Table1[[#This Row],[Fetal Sex (Male, Female or Unknown)]]="Unknown",Backend!$C$8,"Error"))),"")</f>
        <v/>
      </c>
      <c r="F1126" s="8" t="str">
        <f>IF(Table1[[#This Row],[Is Data Valid]]=TRUE,EXP(0.578+0.332*((Table1[[#This Row],[Gestation (days)]]+0.5)/7)-0.00354*((Table1[[#This Row],[Gestation (days)]]+0.5)/7)^2)*Table1[[#This Row],[BW40_3705]],"")</f>
        <v/>
      </c>
      <c r="G1126" s="2" t="str">
        <f>IF(Table1[[#This Row],[Is Data Valid]]=TRUE,((Table1[[#This Row],[Birthweight (grams)]]/Table1[[#This Row],[BW_GA]])-1)/(Backend!$B$4/100*Table1[[#This Row],[BW40_3705]]),"")</f>
        <v/>
      </c>
      <c r="H1126" s="7" t="str">
        <f>IF(Table1[[#This Row],[Is Data Valid]]=TRUE,((Table1[[#This Row],[Birthweight (grams)]]*0.9/Table1[[#This Row],[BW_GA]])-1)/(Backend!$B$4/100*Table1[[#This Row],[BW40_3705]]),"")</f>
        <v/>
      </c>
      <c r="I1126" s="7" t="str">
        <f>IF(Table1[[#This Row],[Is Data Valid]]=TRUE,((Table1[[#This Row],[Birthweight (grams)]]*1.1/Table1[[#This Row],[BW_GA]])-1)/(Backend!$B$4/100*Table1[[#This Row],[BW40_3705]]),"")</f>
        <v/>
      </c>
      <c r="J1126" s="7" t="str">
        <f>IF(Table1[[#This Row],[Is Data Valid]]=TRUE,_xlfn.NORM.S.DIST(Table1[[#This Row],[Birthweight Z-Score]],TRUE)*100,"")</f>
        <v/>
      </c>
      <c r="K1126" s="7" t="str">
        <f>IF(Table1[[#This Row],[Is Data Valid]]=TRUE,_xlfn.NORM.S.DIST(Table1[[#This Row],[Birthweight Z-Score (BW-10%)]],TRUE)*100,"")</f>
        <v/>
      </c>
      <c r="L1126" s="7" t="str">
        <f>IF(Table1[[#This Row],[Is Data Valid]]=TRUE,_xlfn.NORM.S.DIST(Table1[[#This Row],[Birthweight Z-Score (BW+10%)]],TRUE)*100,"")</f>
        <v/>
      </c>
    </row>
    <row r="1127" spans="1:12" x14ac:dyDescent="0.35">
      <c r="A1127" s="3"/>
      <c r="B1127" s="2"/>
      <c r="C1127" s="2"/>
      <c r="D1127" s="2" t="b">
        <f>IF(AND(NOT(ISBLANK(Table1[[#This Row],[Fetal Sex (Male, Female or Unknown)]])),ISNUMBER(Table1[[#This Row],[Birthweight (grams)]]),ISNUMBER(Table1[[#This Row],[Gestation (days)]])),TRUE,FALSE)</f>
        <v>0</v>
      </c>
      <c r="E1127" s="2" t="str">
        <f>IF(Table1[[#This Row],[Is Data Valid]]=TRUE,IF(Table1[[#This Row],[Fetal Sex (Male, Female or Unknown)]]="Male",Backend!$C$6,IF(Table1[[#This Row],[Fetal Sex (Male, Female or Unknown)]]="Female",Backend!$C$7,IF(Table1[[#This Row],[Fetal Sex (Male, Female or Unknown)]]="Unknown",Backend!$C$8,"Error"))),"")</f>
        <v/>
      </c>
      <c r="F1127" s="8" t="str">
        <f>IF(Table1[[#This Row],[Is Data Valid]]=TRUE,EXP(0.578+0.332*((Table1[[#This Row],[Gestation (days)]]+0.5)/7)-0.00354*((Table1[[#This Row],[Gestation (days)]]+0.5)/7)^2)*Table1[[#This Row],[BW40_3705]],"")</f>
        <v/>
      </c>
      <c r="G1127" s="2" t="str">
        <f>IF(Table1[[#This Row],[Is Data Valid]]=TRUE,((Table1[[#This Row],[Birthweight (grams)]]/Table1[[#This Row],[BW_GA]])-1)/(Backend!$B$4/100*Table1[[#This Row],[BW40_3705]]),"")</f>
        <v/>
      </c>
      <c r="H1127" s="7" t="str">
        <f>IF(Table1[[#This Row],[Is Data Valid]]=TRUE,((Table1[[#This Row],[Birthweight (grams)]]*0.9/Table1[[#This Row],[BW_GA]])-1)/(Backend!$B$4/100*Table1[[#This Row],[BW40_3705]]),"")</f>
        <v/>
      </c>
      <c r="I1127" s="7" t="str">
        <f>IF(Table1[[#This Row],[Is Data Valid]]=TRUE,((Table1[[#This Row],[Birthweight (grams)]]*1.1/Table1[[#This Row],[BW_GA]])-1)/(Backend!$B$4/100*Table1[[#This Row],[BW40_3705]]),"")</f>
        <v/>
      </c>
      <c r="J1127" s="7" t="str">
        <f>IF(Table1[[#This Row],[Is Data Valid]]=TRUE,_xlfn.NORM.S.DIST(Table1[[#This Row],[Birthweight Z-Score]],TRUE)*100,"")</f>
        <v/>
      </c>
      <c r="K1127" s="7" t="str">
        <f>IF(Table1[[#This Row],[Is Data Valid]]=TRUE,_xlfn.NORM.S.DIST(Table1[[#This Row],[Birthweight Z-Score (BW-10%)]],TRUE)*100,"")</f>
        <v/>
      </c>
      <c r="L1127" s="7" t="str">
        <f>IF(Table1[[#This Row],[Is Data Valid]]=TRUE,_xlfn.NORM.S.DIST(Table1[[#This Row],[Birthweight Z-Score (BW+10%)]],TRUE)*100,"")</f>
        <v/>
      </c>
    </row>
    <row r="1128" spans="1:12" x14ac:dyDescent="0.35">
      <c r="A1128" s="3"/>
      <c r="B1128" s="2"/>
      <c r="C1128" s="2"/>
      <c r="D1128" s="2" t="b">
        <f>IF(AND(NOT(ISBLANK(Table1[[#This Row],[Fetal Sex (Male, Female or Unknown)]])),ISNUMBER(Table1[[#This Row],[Birthweight (grams)]]),ISNUMBER(Table1[[#This Row],[Gestation (days)]])),TRUE,FALSE)</f>
        <v>0</v>
      </c>
      <c r="E1128" s="2" t="str">
        <f>IF(Table1[[#This Row],[Is Data Valid]]=TRUE,IF(Table1[[#This Row],[Fetal Sex (Male, Female or Unknown)]]="Male",Backend!$C$6,IF(Table1[[#This Row],[Fetal Sex (Male, Female or Unknown)]]="Female",Backend!$C$7,IF(Table1[[#This Row],[Fetal Sex (Male, Female or Unknown)]]="Unknown",Backend!$C$8,"Error"))),"")</f>
        <v/>
      </c>
      <c r="F1128" s="8" t="str">
        <f>IF(Table1[[#This Row],[Is Data Valid]]=TRUE,EXP(0.578+0.332*((Table1[[#This Row],[Gestation (days)]]+0.5)/7)-0.00354*((Table1[[#This Row],[Gestation (days)]]+0.5)/7)^2)*Table1[[#This Row],[BW40_3705]],"")</f>
        <v/>
      </c>
      <c r="G1128" s="2" t="str">
        <f>IF(Table1[[#This Row],[Is Data Valid]]=TRUE,((Table1[[#This Row],[Birthweight (grams)]]/Table1[[#This Row],[BW_GA]])-1)/(Backend!$B$4/100*Table1[[#This Row],[BW40_3705]]),"")</f>
        <v/>
      </c>
      <c r="H1128" s="7" t="str">
        <f>IF(Table1[[#This Row],[Is Data Valid]]=TRUE,((Table1[[#This Row],[Birthweight (grams)]]*0.9/Table1[[#This Row],[BW_GA]])-1)/(Backend!$B$4/100*Table1[[#This Row],[BW40_3705]]),"")</f>
        <v/>
      </c>
      <c r="I1128" s="7" t="str">
        <f>IF(Table1[[#This Row],[Is Data Valid]]=TRUE,((Table1[[#This Row],[Birthweight (grams)]]*1.1/Table1[[#This Row],[BW_GA]])-1)/(Backend!$B$4/100*Table1[[#This Row],[BW40_3705]]),"")</f>
        <v/>
      </c>
      <c r="J1128" s="7" t="str">
        <f>IF(Table1[[#This Row],[Is Data Valid]]=TRUE,_xlfn.NORM.S.DIST(Table1[[#This Row],[Birthweight Z-Score]],TRUE)*100,"")</f>
        <v/>
      </c>
      <c r="K1128" s="7" t="str">
        <f>IF(Table1[[#This Row],[Is Data Valid]]=TRUE,_xlfn.NORM.S.DIST(Table1[[#This Row],[Birthweight Z-Score (BW-10%)]],TRUE)*100,"")</f>
        <v/>
      </c>
      <c r="L1128" s="7" t="str">
        <f>IF(Table1[[#This Row],[Is Data Valid]]=TRUE,_xlfn.NORM.S.DIST(Table1[[#This Row],[Birthweight Z-Score (BW+10%)]],TRUE)*100,"")</f>
        <v/>
      </c>
    </row>
    <row r="1129" spans="1:12" x14ac:dyDescent="0.35">
      <c r="A1129" s="3"/>
      <c r="B1129" s="2"/>
      <c r="C1129" s="2"/>
      <c r="D1129" s="2" t="b">
        <f>IF(AND(NOT(ISBLANK(Table1[[#This Row],[Fetal Sex (Male, Female or Unknown)]])),ISNUMBER(Table1[[#This Row],[Birthweight (grams)]]),ISNUMBER(Table1[[#This Row],[Gestation (days)]])),TRUE,FALSE)</f>
        <v>0</v>
      </c>
      <c r="E1129" s="2" t="str">
        <f>IF(Table1[[#This Row],[Is Data Valid]]=TRUE,IF(Table1[[#This Row],[Fetal Sex (Male, Female or Unknown)]]="Male",Backend!$C$6,IF(Table1[[#This Row],[Fetal Sex (Male, Female or Unknown)]]="Female",Backend!$C$7,IF(Table1[[#This Row],[Fetal Sex (Male, Female or Unknown)]]="Unknown",Backend!$C$8,"Error"))),"")</f>
        <v/>
      </c>
      <c r="F1129" s="8" t="str">
        <f>IF(Table1[[#This Row],[Is Data Valid]]=TRUE,EXP(0.578+0.332*((Table1[[#This Row],[Gestation (days)]]+0.5)/7)-0.00354*((Table1[[#This Row],[Gestation (days)]]+0.5)/7)^2)*Table1[[#This Row],[BW40_3705]],"")</f>
        <v/>
      </c>
      <c r="G1129" s="2" t="str">
        <f>IF(Table1[[#This Row],[Is Data Valid]]=TRUE,((Table1[[#This Row],[Birthweight (grams)]]/Table1[[#This Row],[BW_GA]])-1)/(Backend!$B$4/100*Table1[[#This Row],[BW40_3705]]),"")</f>
        <v/>
      </c>
      <c r="H1129" s="7" t="str">
        <f>IF(Table1[[#This Row],[Is Data Valid]]=TRUE,((Table1[[#This Row],[Birthweight (grams)]]*0.9/Table1[[#This Row],[BW_GA]])-1)/(Backend!$B$4/100*Table1[[#This Row],[BW40_3705]]),"")</f>
        <v/>
      </c>
      <c r="I1129" s="7" t="str">
        <f>IF(Table1[[#This Row],[Is Data Valid]]=TRUE,((Table1[[#This Row],[Birthweight (grams)]]*1.1/Table1[[#This Row],[BW_GA]])-1)/(Backend!$B$4/100*Table1[[#This Row],[BW40_3705]]),"")</f>
        <v/>
      </c>
      <c r="J1129" s="7" t="str">
        <f>IF(Table1[[#This Row],[Is Data Valid]]=TRUE,_xlfn.NORM.S.DIST(Table1[[#This Row],[Birthweight Z-Score]],TRUE)*100,"")</f>
        <v/>
      </c>
      <c r="K1129" s="7" t="str">
        <f>IF(Table1[[#This Row],[Is Data Valid]]=TRUE,_xlfn.NORM.S.DIST(Table1[[#This Row],[Birthweight Z-Score (BW-10%)]],TRUE)*100,"")</f>
        <v/>
      </c>
      <c r="L1129" s="7" t="str">
        <f>IF(Table1[[#This Row],[Is Data Valid]]=TRUE,_xlfn.NORM.S.DIST(Table1[[#This Row],[Birthweight Z-Score (BW+10%)]],TRUE)*100,"")</f>
        <v/>
      </c>
    </row>
    <row r="1130" spans="1:12" x14ac:dyDescent="0.35">
      <c r="A1130" s="3"/>
      <c r="B1130" s="2"/>
      <c r="C1130" s="2"/>
      <c r="D1130" s="2" t="b">
        <f>IF(AND(NOT(ISBLANK(Table1[[#This Row],[Fetal Sex (Male, Female or Unknown)]])),ISNUMBER(Table1[[#This Row],[Birthweight (grams)]]),ISNUMBER(Table1[[#This Row],[Gestation (days)]])),TRUE,FALSE)</f>
        <v>0</v>
      </c>
      <c r="E1130" s="2" t="str">
        <f>IF(Table1[[#This Row],[Is Data Valid]]=TRUE,IF(Table1[[#This Row],[Fetal Sex (Male, Female or Unknown)]]="Male",Backend!$C$6,IF(Table1[[#This Row],[Fetal Sex (Male, Female or Unknown)]]="Female",Backend!$C$7,IF(Table1[[#This Row],[Fetal Sex (Male, Female or Unknown)]]="Unknown",Backend!$C$8,"Error"))),"")</f>
        <v/>
      </c>
      <c r="F1130" s="8" t="str">
        <f>IF(Table1[[#This Row],[Is Data Valid]]=TRUE,EXP(0.578+0.332*((Table1[[#This Row],[Gestation (days)]]+0.5)/7)-0.00354*((Table1[[#This Row],[Gestation (days)]]+0.5)/7)^2)*Table1[[#This Row],[BW40_3705]],"")</f>
        <v/>
      </c>
      <c r="G1130" s="2" t="str">
        <f>IF(Table1[[#This Row],[Is Data Valid]]=TRUE,((Table1[[#This Row],[Birthweight (grams)]]/Table1[[#This Row],[BW_GA]])-1)/(Backend!$B$4/100*Table1[[#This Row],[BW40_3705]]),"")</f>
        <v/>
      </c>
      <c r="H1130" s="7" t="str">
        <f>IF(Table1[[#This Row],[Is Data Valid]]=TRUE,((Table1[[#This Row],[Birthweight (grams)]]*0.9/Table1[[#This Row],[BW_GA]])-1)/(Backend!$B$4/100*Table1[[#This Row],[BW40_3705]]),"")</f>
        <v/>
      </c>
      <c r="I1130" s="7" t="str">
        <f>IF(Table1[[#This Row],[Is Data Valid]]=TRUE,((Table1[[#This Row],[Birthweight (grams)]]*1.1/Table1[[#This Row],[BW_GA]])-1)/(Backend!$B$4/100*Table1[[#This Row],[BW40_3705]]),"")</f>
        <v/>
      </c>
      <c r="J1130" s="7" t="str">
        <f>IF(Table1[[#This Row],[Is Data Valid]]=TRUE,_xlfn.NORM.S.DIST(Table1[[#This Row],[Birthweight Z-Score]],TRUE)*100,"")</f>
        <v/>
      </c>
      <c r="K1130" s="7" t="str">
        <f>IF(Table1[[#This Row],[Is Data Valid]]=TRUE,_xlfn.NORM.S.DIST(Table1[[#This Row],[Birthweight Z-Score (BW-10%)]],TRUE)*100,"")</f>
        <v/>
      </c>
      <c r="L1130" s="7" t="str">
        <f>IF(Table1[[#This Row],[Is Data Valid]]=TRUE,_xlfn.NORM.S.DIST(Table1[[#This Row],[Birthweight Z-Score (BW+10%)]],TRUE)*100,"")</f>
        <v/>
      </c>
    </row>
    <row r="1131" spans="1:12" x14ac:dyDescent="0.35">
      <c r="A1131" s="3"/>
      <c r="B1131" s="2"/>
      <c r="C1131" s="2"/>
      <c r="D1131" s="2" t="b">
        <f>IF(AND(NOT(ISBLANK(Table1[[#This Row],[Fetal Sex (Male, Female or Unknown)]])),ISNUMBER(Table1[[#This Row],[Birthweight (grams)]]),ISNUMBER(Table1[[#This Row],[Gestation (days)]])),TRUE,FALSE)</f>
        <v>0</v>
      </c>
      <c r="E1131" s="2" t="str">
        <f>IF(Table1[[#This Row],[Is Data Valid]]=TRUE,IF(Table1[[#This Row],[Fetal Sex (Male, Female or Unknown)]]="Male",Backend!$C$6,IF(Table1[[#This Row],[Fetal Sex (Male, Female or Unknown)]]="Female",Backend!$C$7,IF(Table1[[#This Row],[Fetal Sex (Male, Female or Unknown)]]="Unknown",Backend!$C$8,"Error"))),"")</f>
        <v/>
      </c>
      <c r="F1131" s="8" t="str">
        <f>IF(Table1[[#This Row],[Is Data Valid]]=TRUE,EXP(0.578+0.332*((Table1[[#This Row],[Gestation (days)]]+0.5)/7)-0.00354*((Table1[[#This Row],[Gestation (days)]]+0.5)/7)^2)*Table1[[#This Row],[BW40_3705]],"")</f>
        <v/>
      </c>
      <c r="G1131" s="2" t="str">
        <f>IF(Table1[[#This Row],[Is Data Valid]]=TRUE,((Table1[[#This Row],[Birthweight (grams)]]/Table1[[#This Row],[BW_GA]])-1)/(Backend!$B$4/100*Table1[[#This Row],[BW40_3705]]),"")</f>
        <v/>
      </c>
      <c r="H1131" s="7" t="str">
        <f>IF(Table1[[#This Row],[Is Data Valid]]=TRUE,((Table1[[#This Row],[Birthweight (grams)]]*0.9/Table1[[#This Row],[BW_GA]])-1)/(Backend!$B$4/100*Table1[[#This Row],[BW40_3705]]),"")</f>
        <v/>
      </c>
      <c r="I1131" s="7" t="str">
        <f>IF(Table1[[#This Row],[Is Data Valid]]=TRUE,((Table1[[#This Row],[Birthweight (grams)]]*1.1/Table1[[#This Row],[BW_GA]])-1)/(Backend!$B$4/100*Table1[[#This Row],[BW40_3705]]),"")</f>
        <v/>
      </c>
      <c r="J1131" s="7" t="str">
        <f>IF(Table1[[#This Row],[Is Data Valid]]=TRUE,_xlfn.NORM.S.DIST(Table1[[#This Row],[Birthweight Z-Score]],TRUE)*100,"")</f>
        <v/>
      </c>
      <c r="K1131" s="7" t="str">
        <f>IF(Table1[[#This Row],[Is Data Valid]]=TRUE,_xlfn.NORM.S.DIST(Table1[[#This Row],[Birthweight Z-Score (BW-10%)]],TRUE)*100,"")</f>
        <v/>
      </c>
      <c r="L1131" s="7" t="str">
        <f>IF(Table1[[#This Row],[Is Data Valid]]=TRUE,_xlfn.NORM.S.DIST(Table1[[#This Row],[Birthweight Z-Score (BW+10%)]],TRUE)*100,"")</f>
        <v/>
      </c>
    </row>
    <row r="1132" spans="1:12" x14ac:dyDescent="0.35">
      <c r="A1132" s="3"/>
      <c r="B1132" s="2"/>
      <c r="C1132" s="2"/>
      <c r="D1132" s="2" t="b">
        <f>IF(AND(NOT(ISBLANK(Table1[[#This Row],[Fetal Sex (Male, Female or Unknown)]])),ISNUMBER(Table1[[#This Row],[Birthweight (grams)]]),ISNUMBER(Table1[[#This Row],[Gestation (days)]])),TRUE,FALSE)</f>
        <v>0</v>
      </c>
      <c r="E1132" s="2" t="str">
        <f>IF(Table1[[#This Row],[Is Data Valid]]=TRUE,IF(Table1[[#This Row],[Fetal Sex (Male, Female or Unknown)]]="Male",Backend!$C$6,IF(Table1[[#This Row],[Fetal Sex (Male, Female or Unknown)]]="Female",Backend!$C$7,IF(Table1[[#This Row],[Fetal Sex (Male, Female or Unknown)]]="Unknown",Backend!$C$8,"Error"))),"")</f>
        <v/>
      </c>
      <c r="F1132" s="8" t="str">
        <f>IF(Table1[[#This Row],[Is Data Valid]]=TRUE,EXP(0.578+0.332*((Table1[[#This Row],[Gestation (days)]]+0.5)/7)-0.00354*((Table1[[#This Row],[Gestation (days)]]+0.5)/7)^2)*Table1[[#This Row],[BW40_3705]],"")</f>
        <v/>
      </c>
      <c r="G1132" s="2" t="str">
        <f>IF(Table1[[#This Row],[Is Data Valid]]=TRUE,((Table1[[#This Row],[Birthweight (grams)]]/Table1[[#This Row],[BW_GA]])-1)/(Backend!$B$4/100*Table1[[#This Row],[BW40_3705]]),"")</f>
        <v/>
      </c>
      <c r="H1132" s="7" t="str">
        <f>IF(Table1[[#This Row],[Is Data Valid]]=TRUE,((Table1[[#This Row],[Birthweight (grams)]]*0.9/Table1[[#This Row],[BW_GA]])-1)/(Backend!$B$4/100*Table1[[#This Row],[BW40_3705]]),"")</f>
        <v/>
      </c>
      <c r="I1132" s="7" t="str">
        <f>IF(Table1[[#This Row],[Is Data Valid]]=TRUE,((Table1[[#This Row],[Birthweight (grams)]]*1.1/Table1[[#This Row],[BW_GA]])-1)/(Backend!$B$4/100*Table1[[#This Row],[BW40_3705]]),"")</f>
        <v/>
      </c>
      <c r="J1132" s="7" t="str">
        <f>IF(Table1[[#This Row],[Is Data Valid]]=TRUE,_xlfn.NORM.S.DIST(Table1[[#This Row],[Birthweight Z-Score]],TRUE)*100,"")</f>
        <v/>
      </c>
      <c r="K1132" s="7" t="str">
        <f>IF(Table1[[#This Row],[Is Data Valid]]=TRUE,_xlfn.NORM.S.DIST(Table1[[#This Row],[Birthweight Z-Score (BW-10%)]],TRUE)*100,"")</f>
        <v/>
      </c>
      <c r="L1132" s="7" t="str">
        <f>IF(Table1[[#This Row],[Is Data Valid]]=TRUE,_xlfn.NORM.S.DIST(Table1[[#This Row],[Birthweight Z-Score (BW+10%)]],TRUE)*100,"")</f>
        <v/>
      </c>
    </row>
    <row r="1133" spans="1:12" x14ac:dyDescent="0.35">
      <c r="A1133" s="3"/>
      <c r="B1133" s="2"/>
      <c r="C1133" s="2"/>
      <c r="D1133" s="2" t="b">
        <f>IF(AND(NOT(ISBLANK(Table1[[#This Row],[Fetal Sex (Male, Female or Unknown)]])),ISNUMBER(Table1[[#This Row],[Birthweight (grams)]]),ISNUMBER(Table1[[#This Row],[Gestation (days)]])),TRUE,FALSE)</f>
        <v>0</v>
      </c>
      <c r="E1133" s="2" t="str">
        <f>IF(Table1[[#This Row],[Is Data Valid]]=TRUE,IF(Table1[[#This Row],[Fetal Sex (Male, Female or Unknown)]]="Male",Backend!$C$6,IF(Table1[[#This Row],[Fetal Sex (Male, Female or Unknown)]]="Female",Backend!$C$7,IF(Table1[[#This Row],[Fetal Sex (Male, Female or Unknown)]]="Unknown",Backend!$C$8,"Error"))),"")</f>
        <v/>
      </c>
      <c r="F1133" s="8" t="str">
        <f>IF(Table1[[#This Row],[Is Data Valid]]=TRUE,EXP(0.578+0.332*((Table1[[#This Row],[Gestation (days)]]+0.5)/7)-0.00354*((Table1[[#This Row],[Gestation (days)]]+0.5)/7)^2)*Table1[[#This Row],[BW40_3705]],"")</f>
        <v/>
      </c>
      <c r="G1133" s="2" t="str">
        <f>IF(Table1[[#This Row],[Is Data Valid]]=TRUE,((Table1[[#This Row],[Birthweight (grams)]]/Table1[[#This Row],[BW_GA]])-1)/(Backend!$B$4/100*Table1[[#This Row],[BW40_3705]]),"")</f>
        <v/>
      </c>
      <c r="H1133" s="7" t="str">
        <f>IF(Table1[[#This Row],[Is Data Valid]]=TRUE,((Table1[[#This Row],[Birthweight (grams)]]*0.9/Table1[[#This Row],[BW_GA]])-1)/(Backend!$B$4/100*Table1[[#This Row],[BW40_3705]]),"")</f>
        <v/>
      </c>
      <c r="I1133" s="7" t="str">
        <f>IF(Table1[[#This Row],[Is Data Valid]]=TRUE,((Table1[[#This Row],[Birthweight (grams)]]*1.1/Table1[[#This Row],[BW_GA]])-1)/(Backend!$B$4/100*Table1[[#This Row],[BW40_3705]]),"")</f>
        <v/>
      </c>
      <c r="J1133" s="7" t="str">
        <f>IF(Table1[[#This Row],[Is Data Valid]]=TRUE,_xlfn.NORM.S.DIST(Table1[[#This Row],[Birthweight Z-Score]],TRUE)*100,"")</f>
        <v/>
      </c>
      <c r="K1133" s="7" t="str">
        <f>IF(Table1[[#This Row],[Is Data Valid]]=TRUE,_xlfn.NORM.S.DIST(Table1[[#This Row],[Birthweight Z-Score (BW-10%)]],TRUE)*100,"")</f>
        <v/>
      </c>
      <c r="L1133" s="7" t="str">
        <f>IF(Table1[[#This Row],[Is Data Valid]]=TRUE,_xlfn.NORM.S.DIST(Table1[[#This Row],[Birthweight Z-Score (BW+10%)]],TRUE)*100,"")</f>
        <v/>
      </c>
    </row>
    <row r="1134" spans="1:12" x14ac:dyDescent="0.35">
      <c r="A1134" s="3"/>
      <c r="B1134" s="2"/>
      <c r="C1134" s="2"/>
      <c r="D1134" s="2" t="b">
        <f>IF(AND(NOT(ISBLANK(Table1[[#This Row],[Fetal Sex (Male, Female or Unknown)]])),ISNUMBER(Table1[[#This Row],[Birthweight (grams)]]),ISNUMBER(Table1[[#This Row],[Gestation (days)]])),TRUE,FALSE)</f>
        <v>0</v>
      </c>
      <c r="E1134" s="2" t="str">
        <f>IF(Table1[[#This Row],[Is Data Valid]]=TRUE,IF(Table1[[#This Row],[Fetal Sex (Male, Female or Unknown)]]="Male",Backend!$C$6,IF(Table1[[#This Row],[Fetal Sex (Male, Female or Unknown)]]="Female",Backend!$C$7,IF(Table1[[#This Row],[Fetal Sex (Male, Female or Unknown)]]="Unknown",Backend!$C$8,"Error"))),"")</f>
        <v/>
      </c>
      <c r="F1134" s="8" t="str">
        <f>IF(Table1[[#This Row],[Is Data Valid]]=TRUE,EXP(0.578+0.332*((Table1[[#This Row],[Gestation (days)]]+0.5)/7)-0.00354*((Table1[[#This Row],[Gestation (days)]]+0.5)/7)^2)*Table1[[#This Row],[BW40_3705]],"")</f>
        <v/>
      </c>
      <c r="G1134" s="2" t="str">
        <f>IF(Table1[[#This Row],[Is Data Valid]]=TRUE,((Table1[[#This Row],[Birthweight (grams)]]/Table1[[#This Row],[BW_GA]])-1)/(Backend!$B$4/100*Table1[[#This Row],[BW40_3705]]),"")</f>
        <v/>
      </c>
      <c r="H1134" s="7" t="str">
        <f>IF(Table1[[#This Row],[Is Data Valid]]=TRUE,((Table1[[#This Row],[Birthweight (grams)]]*0.9/Table1[[#This Row],[BW_GA]])-1)/(Backend!$B$4/100*Table1[[#This Row],[BW40_3705]]),"")</f>
        <v/>
      </c>
      <c r="I1134" s="7" t="str">
        <f>IF(Table1[[#This Row],[Is Data Valid]]=TRUE,((Table1[[#This Row],[Birthweight (grams)]]*1.1/Table1[[#This Row],[BW_GA]])-1)/(Backend!$B$4/100*Table1[[#This Row],[BW40_3705]]),"")</f>
        <v/>
      </c>
      <c r="J1134" s="7" t="str">
        <f>IF(Table1[[#This Row],[Is Data Valid]]=TRUE,_xlfn.NORM.S.DIST(Table1[[#This Row],[Birthweight Z-Score]],TRUE)*100,"")</f>
        <v/>
      </c>
      <c r="K1134" s="7" t="str">
        <f>IF(Table1[[#This Row],[Is Data Valid]]=TRUE,_xlfn.NORM.S.DIST(Table1[[#This Row],[Birthweight Z-Score (BW-10%)]],TRUE)*100,"")</f>
        <v/>
      </c>
      <c r="L1134" s="7" t="str">
        <f>IF(Table1[[#This Row],[Is Data Valid]]=TRUE,_xlfn.NORM.S.DIST(Table1[[#This Row],[Birthweight Z-Score (BW+10%)]],TRUE)*100,"")</f>
        <v/>
      </c>
    </row>
    <row r="1135" spans="1:12" x14ac:dyDescent="0.35">
      <c r="A1135" s="3"/>
      <c r="B1135" s="2"/>
      <c r="C1135" s="2"/>
      <c r="D1135" s="2" t="b">
        <f>IF(AND(NOT(ISBLANK(Table1[[#This Row],[Fetal Sex (Male, Female or Unknown)]])),ISNUMBER(Table1[[#This Row],[Birthweight (grams)]]),ISNUMBER(Table1[[#This Row],[Gestation (days)]])),TRUE,FALSE)</f>
        <v>0</v>
      </c>
      <c r="E1135" s="2" t="str">
        <f>IF(Table1[[#This Row],[Is Data Valid]]=TRUE,IF(Table1[[#This Row],[Fetal Sex (Male, Female or Unknown)]]="Male",Backend!$C$6,IF(Table1[[#This Row],[Fetal Sex (Male, Female or Unknown)]]="Female",Backend!$C$7,IF(Table1[[#This Row],[Fetal Sex (Male, Female or Unknown)]]="Unknown",Backend!$C$8,"Error"))),"")</f>
        <v/>
      </c>
      <c r="F1135" s="8" t="str">
        <f>IF(Table1[[#This Row],[Is Data Valid]]=TRUE,EXP(0.578+0.332*((Table1[[#This Row],[Gestation (days)]]+0.5)/7)-0.00354*((Table1[[#This Row],[Gestation (days)]]+0.5)/7)^2)*Table1[[#This Row],[BW40_3705]],"")</f>
        <v/>
      </c>
      <c r="G1135" s="2" t="str">
        <f>IF(Table1[[#This Row],[Is Data Valid]]=TRUE,((Table1[[#This Row],[Birthweight (grams)]]/Table1[[#This Row],[BW_GA]])-1)/(Backend!$B$4/100*Table1[[#This Row],[BW40_3705]]),"")</f>
        <v/>
      </c>
      <c r="H1135" s="7" t="str">
        <f>IF(Table1[[#This Row],[Is Data Valid]]=TRUE,((Table1[[#This Row],[Birthweight (grams)]]*0.9/Table1[[#This Row],[BW_GA]])-1)/(Backend!$B$4/100*Table1[[#This Row],[BW40_3705]]),"")</f>
        <v/>
      </c>
      <c r="I1135" s="7" t="str">
        <f>IF(Table1[[#This Row],[Is Data Valid]]=TRUE,((Table1[[#This Row],[Birthweight (grams)]]*1.1/Table1[[#This Row],[BW_GA]])-1)/(Backend!$B$4/100*Table1[[#This Row],[BW40_3705]]),"")</f>
        <v/>
      </c>
      <c r="J1135" s="7" t="str">
        <f>IF(Table1[[#This Row],[Is Data Valid]]=TRUE,_xlfn.NORM.S.DIST(Table1[[#This Row],[Birthweight Z-Score]],TRUE)*100,"")</f>
        <v/>
      </c>
      <c r="K1135" s="7" t="str">
        <f>IF(Table1[[#This Row],[Is Data Valid]]=TRUE,_xlfn.NORM.S.DIST(Table1[[#This Row],[Birthweight Z-Score (BW-10%)]],TRUE)*100,"")</f>
        <v/>
      </c>
      <c r="L1135" s="7" t="str">
        <f>IF(Table1[[#This Row],[Is Data Valid]]=TRUE,_xlfn.NORM.S.DIST(Table1[[#This Row],[Birthweight Z-Score (BW+10%)]],TRUE)*100,"")</f>
        <v/>
      </c>
    </row>
    <row r="1136" spans="1:12" x14ac:dyDescent="0.35">
      <c r="A1136" s="3"/>
      <c r="B1136" s="2"/>
      <c r="C1136" s="2"/>
      <c r="D1136" s="2" t="b">
        <f>IF(AND(NOT(ISBLANK(Table1[[#This Row],[Fetal Sex (Male, Female or Unknown)]])),ISNUMBER(Table1[[#This Row],[Birthweight (grams)]]),ISNUMBER(Table1[[#This Row],[Gestation (days)]])),TRUE,FALSE)</f>
        <v>0</v>
      </c>
      <c r="E1136" s="2" t="str">
        <f>IF(Table1[[#This Row],[Is Data Valid]]=TRUE,IF(Table1[[#This Row],[Fetal Sex (Male, Female or Unknown)]]="Male",Backend!$C$6,IF(Table1[[#This Row],[Fetal Sex (Male, Female or Unknown)]]="Female",Backend!$C$7,IF(Table1[[#This Row],[Fetal Sex (Male, Female or Unknown)]]="Unknown",Backend!$C$8,"Error"))),"")</f>
        <v/>
      </c>
      <c r="F1136" s="8" t="str">
        <f>IF(Table1[[#This Row],[Is Data Valid]]=TRUE,EXP(0.578+0.332*((Table1[[#This Row],[Gestation (days)]]+0.5)/7)-0.00354*((Table1[[#This Row],[Gestation (days)]]+0.5)/7)^2)*Table1[[#This Row],[BW40_3705]],"")</f>
        <v/>
      </c>
      <c r="G1136" s="2" t="str">
        <f>IF(Table1[[#This Row],[Is Data Valid]]=TRUE,((Table1[[#This Row],[Birthweight (grams)]]/Table1[[#This Row],[BW_GA]])-1)/(Backend!$B$4/100*Table1[[#This Row],[BW40_3705]]),"")</f>
        <v/>
      </c>
      <c r="H1136" s="7" t="str">
        <f>IF(Table1[[#This Row],[Is Data Valid]]=TRUE,((Table1[[#This Row],[Birthweight (grams)]]*0.9/Table1[[#This Row],[BW_GA]])-1)/(Backend!$B$4/100*Table1[[#This Row],[BW40_3705]]),"")</f>
        <v/>
      </c>
      <c r="I1136" s="7" t="str">
        <f>IF(Table1[[#This Row],[Is Data Valid]]=TRUE,((Table1[[#This Row],[Birthweight (grams)]]*1.1/Table1[[#This Row],[BW_GA]])-1)/(Backend!$B$4/100*Table1[[#This Row],[BW40_3705]]),"")</f>
        <v/>
      </c>
      <c r="J1136" s="7" t="str">
        <f>IF(Table1[[#This Row],[Is Data Valid]]=TRUE,_xlfn.NORM.S.DIST(Table1[[#This Row],[Birthweight Z-Score]],TRUE)*100,"")</f>
        <v/>
      </c>
      <c r="K1136" s="7" t="str">
        <f>IF(Table1[[#This Row],[Is Data Valid]]=TRUE,_xlfn.NORM.S.DIST(Table1[[#This Row],[Birthweight Z-Score (BW-10%)]],TRUE)*100,"")</f>
        <v/>
      </c>
      <c r="L1136" s="7" t="str">
        <f>IF(Table1[[#This Row],[Is Data Valid]]=TRUE,_xlfn.NORM.S.DIST(Table1[[#This Row],[Birthweight Z-Score (BW+10%)]],TRUE)*100,"")</f>
        <v/>
      </c>
    </row>
    <row r="1137" spans="1:12" x14ac:dyDescent="0.35">
      <c r="A1137" s="3"/>
      <c r="B1137" s="2"/>
      <c r="C1137" s="2"/>
      <c r="D1137" s="2" t="b">
        <f>IF(AND(NOT(ISBLANK(Table1[[#This Row],[Fetal Sex (Male, Female or Unknown)]])),ISNUMBER(Table1[[#This Row],[Birthweight (grams)]]),ISNUMBER(Table1[[#This Row],[Gestation (days)]])),TRUE,FALSE)</f>
        <v>0</v>
      </c>
      <c r="E1137" s="2" t="str">
        <f>IF(Table1[[#This Row],[Is Data Valid]]=TRUE,IF(Table1[[#This Row],[Fetal Sex (Male, Female or Unknown)]]="Male",Backend!$C$6,IF(Table1[[#This Row],[Fetal Sex (Male, Female or Unknown)]]="Female",Backend!$C$7,IF(Table1[[#This Row],[Fetal Sex (Male, Female or Unknown)]]="Unknown",Backend!$C$8,"Error"))),"")</f>
        <v/>
      </c>
      <c r="F1137" s="8" t="str">
        <f>IF(Table1[[#This Row],[Is Data Valid]]=TRUE,EXP(0.578+0.332*((Table1[[#This Row],[Gestation (days)]]+0.5)/7)-0.00354*((Table1[[#This Row],[Gestation (days)]]+0.5)/7)^2)*Table1[[#This Row],[BW40_3705]],"")</f>
        <v/>
      </c>
      <c r="G1137" s="2" t="str">
        <f>IF(Table1[[#This Row],[Is Data Valid]]=TRUE,((Table1[[#This Row],[Birthweight (grams)]]/Table1[[#This Row],[BW_GA]])-1)/(Backend!$B$4/100*Table1[[#This Row],[BW40_3705]]),"")</f>
        <v/>
      </c>
      <c r="H1137" s="7" t="str">
        <f>IF(Table1[[#This Row],[Is Data Valid]]=TRUE,((Table1[[#This Row],[Birthweight (grams)]]*0.9/Table1[[#This Row],[BW_GA]])-1)/(Backend!$B$4/100*Table1[[#This Row],[BW40_3705]]),"")</f>
        <v/>
      </c>
      <c r="I1137" s="7" t="str">
        <f>IF(Table1[[#This Row],[Is Data Valid]]=TRUE,((Table1[[#This Row],[Birthweight (grams)]]*1.1/Table1[[#This Row],[BW_GA]])-1)/(Backend!$B$4/100*Table1[[#This Row],[BW40_3705]]),"")</f>
        <v/>
      </c>
      <c r="J1137" s="7" t="str">
        <f>IF(Table1[[#This Row],[Is Data Valid]]=TRUE,_xlfn.NORM.S.DIST(Table1[[#This Row],[Birthweight Z-Score]],TRUE)*100,"")</f>
        <v/>
      </c>
      <c r="K1137" s="7" t="str">
        <f>IF(Table1[[#This Row],[Is Data Valid]]=TRUE,_xlfn.NORM.S.DIST(Table1[[#This Row],[Birthweight Z-Score (BW-10%)]],TRUE)*100,"")</f>
        <v/>
      </c>
      <c r="L1137" s="7" t="str">
        <f>IF(Table1[[#This Row],[Is Data Valid]]=TRUE,_xlfn.NORM.S.DIST(Table1[[#This Row],[Birthweight Z-Score (BW+10%)]],TRUE)*100,"")</f>
        <v/>
      </c>
    </row>
    <row r="1138" spans="1:12" x14ac:dyDescent="0.35">
      <c r="A1138" s="3"/>
      <c r="B1138" s="2"/>
      <c r="C1138" s="2"/>
      <c r="D1138" s="2" t="b">
        <f>IF(AND(NOT(ISBLANK(Table1[[#This Row],[Fetal Sex (Male, Female or Unknown)]])),ISNUMBER(Table1[[#This Row],[Birthweight (grams)]]),ISNUMBER(Table1[[#This Row],[Gestation (days)]])),TRUE,FALSE)</f>
        <v>0</v>
      </c>
      <c r="E1138" s="2" t="str">
        <f>IF(Table1[[#This Row],[Is Data Valid]]=TRUE,IF(Table1[[#This Row],[Fetal Sex (Male, Female or Unknown)]]="Male",Backend!$C$6,IF(Table1[[#This Row],[Fetal Sex (Male, Female or Unknown)]]="Female",Backend!$C$7,IF(Table1[[#This Row],[Fetal Sex (Male, Female or Unknown)]]="Unknown",Backend!$C$8,"Error"))),"")</f>
        <v/>
      </c>
      <c r="F1138" s="8" t="str">
        <f>IF(Table1[[#This Row],[Is Data Valid]]=TRUE,EXP(0.578+0.332*((Table1[[#This Row],[Gestation (days)]]+0.5)/7)-0.00354*((Table1[[#This Row],[Gestation (days)]]+0.5)/7)^2)*Table1[[#This Row],[BW40_3705]],"")</f>
        <v/>
      </c>
      <c r="G1138" s="2" t="str">
        <f>IF(Table1[[#This Row],[Is Data Valid]]=TRUE,((Table1[[#This Row],[Birthweight (grams)]]/Table1[[#This Row],[BW_GA]])-1)/(Backend!$B$4/100*Table1[[#This Row],[BW40_3705]]),"")</f>
        <v/>
      </c>
      <c r="H1138" s="7" t="str">
        <f>IF(Table1[[#This Row],[Is Data Valid]]=TRUE,((Table1[[#This Row],[Birthweight (grams)]]*0.9/Table1[[#This Row],[BW_GA]])-1)/(Backend!$B$4/100*Table1[[#This Row],[BW40_3705]]),"")</f>
        <v/>
      </c>
      <c r="I1138" s="7" t="str">
        <f>IF(Table1[[#This Row],[Is Data Valid]]=TRUE,((Table1[[#This Row],[Birthweight (grams)]]*1.1/Table1[[#This Row],[BW_GA]])-1)/(Backend!$B$4/100*Table1[[#This Row],[BW40_3705]]),"")</f>
        <v/>
      </c>
      <c r="J1138" s="7" t="str">
        <f>IF(Table1[[#This Row],[Is Data Valid]]=TRUE,_xlfn.NORM.S.DIST(Table1[[#This Row],[Birthweight Z-Score]],TRUE)*100,"")</f>
        <v/>
      </c>
      <c r="K1138" s="7" t="str">
        <f>IF(Table1[[#This Row],[Is Data Valid]]=TRUE,_xlfn.NORM.S.DIST(Table1[[#This Row],[Birthweight Z-Score (BW-10%)]],TRUE)*100,"")</f>
        <v/>
      </c>
      <c r="L1138" s="7" t="str">
        <f>IF(Table1[[#This Row],[Is Data Valid]]=TRUE,_xlfn.NORM.S.DIST(Table1[[#This Row],[Birthweight Z-Score (BW+10%)]],TRUE)*100,"")</f>
        <v/>
      </c>
    </row>
    <row r="1139" spans="1:12" x14ac:dyDescent="0.35">
      <c r="A1139" s="3"/>
      <c r="B1139" s="2"/>
      <c r="C1139" s="2"/>
      <c r="D1139" s="2" t="b">
        <f>IF(AND(NOT(ISBLANK(Table1[[#This Row],[Fetal Sex (Male, Female or Unknown)]])),ISNUMBER(Table1[[#This Row],[Birthweight (grams)]]),ISNUMBER(Table1[[#This Row],[Gestation (days)]])),TRUE,FALSE)</f>
        <v>0</v>
      </c>
      <c r="E1139" s="2" t="str">
        <f>IF(Table1[[#This Row],[Is Data Valid]]=TRUE,IF(Table1[[#This Row],[Fetal Sex (Male, Female or Unknown)]]="Male",Backend!$C$6,IF(Table1[[#This Row],[Fetal Sex (Male, Female or Unknown)]]="Female",Backend!$C$7,IF(Table1[[#This Row],[Fetal Sex (Male, Female or Unknown)]]="Unknown",Backend!$C$8,"Error"))),"")</f>
        <v/>
      </c>
      <c r="F1139" s="8" t="str">
        <f>IF(Table1[[#This Row],[Is Data Valid]]=TRUE,EXP(0.578+0.332*((Table1[[#This Row],[Gestation (days)]]+0.5)/7)-0.00354*((Table1[[#This Row],[Gestation (days)]]+0.5)/7)^2)*Table1[[#This Row],[BW40_3705]],"")</f>
        <v/>
      </c>
      <c r="G1139" s="2" t="str">
        <f>IF(Table1[[#This Row],[Is Data Valid]]=TRUE,((Table1[[#This Row],[Birthweight (grams)]]/Table1[[#This Row],[BW_GA]])-1)/(Backend!$B$4/100*Table1[[#This Row],[BW40_3705]]),"")</f>
        <v/>
      </c>
      <c r="H1139" s="7" t="str">
        <f>IF(Table1[[#This Row],[Is Data Valid]]=TRUE,((Table1[[#This Row],[Birthweight (grams)]]*0.9/Table1[[#This Row],[BW_GA]])-1)/(Backend!$B$4/100*Table1[[#This Row],[BW40_3705]]),"")</f>
        <v/>
      </c>
      <c r="I1139" s="7" t="str">
        <f>IF(Table1[[#This Row],[Is Data Valid]]=TRUE,((Table1[[#This Row],[Birthweight (grams)]]*1.1/Table1[[#This Row],[BW_GA]])-1)/(Backend!$B$4/100*Table1[[#This Row],[BW40_3705]]),"")</f>
        <v/>
      </c>
      <c r="J1139" s="7" t="str">
        <f>IF(Table1[[#This Row],[Is Data Valid]]=TRUE,_xlfn.NORM.S.DIST(Table1[[#This Row],[Birthweight Z-Score]],TRUE)*100,"")</f>
        <v/>
      </c>
      <c r="K1139" s="7" t="str">
        <f>IF(Table1[[#This Row],[Is Data Valid]]=TRUE,_xlfn.NORM.S.DIST(Table1[[#This Row],[Birthweight Z-Score (BW-10%)]],TRUE)*100,"")</f>
        <v/>
      </c>
      <c r="L1139" s="7" t="str">
        <f>IF(Table1[[#This Row],[Is Data Valid]]=TRUE,_xlfn.NORM.S.DIST(Table1[[#This Row],[Birthweight Z-Score (BW+10%)]],TRUE)*100,"")</f>
        <v/>
      </c>
    </row>
    <row r="1140" spans="1:12" x14ac:dyDescent="0.35">
      <c r="A1140" s="3"/>
      <c r="B1140" s="2"/>
      <c r="C1140" s="2"/>
      <c r="D1140" s="2" t="b">
        <f>IF(AND(NOT(ISBLANK(Table1[[#This Row],[Fetal Sex (Male, Female or Unknown)]])),ISNUMBER(Table1[[#This Row],[Birthweight (grams)]]),ISNUMBER(Table1[[#This Row],[Gestation (days)]])),TRUE,FALSE)</f>
        <v>0</v>
      </c>
      <c r="E1140" s="2" t="str">
        <f>IF(Table1[[#This Row],[Is Data Valid]]=TRUE,IF(Table1[[#This Row],[Fetal Sex (Male, Female or Unknown)]]="Male",Backend!$C$6,IF(Table1[[#This Row],[Fetal Sex (Male, Female or Unknown)]]="Female",Backend!$C$7,IF(Table1[[#This Row],[Fetal Sex (Male, Female or Unknown)]]="Unknown",Backend!$C$8,"Error"))),"")</f>
        <v/>
      </c>
      <c r="F1140" s="8" t="str">
        <f>IF(Table1[[#This Row],[Is Data Valid]]=TRUE,EXP(0.578+0.332*((Table1[[#This Row],[Gestation (days)]]+0.5)/7)-0.00354*((Table1[[#This Row],[Gestation (days)]]+0.5)/7)^2)*Table1[[#This Row],[BW40_3705]],"")</f>
        <v/>
      </c>
      <c r="G1140" s="2" t="str">
        <f>IF(Table1[[#This Row],[Is Data Valid]]=TRUE,((Table1[[#This Row],[Birthweight (grams)]]/Table1[[#This Row],[BW_GA]])-1)/(Backend!$B$4/100*Table1[[#This Row],[BW40_3705]]),"")</f>
        <v/>
      </c>
      <c r="H1140" s="7" t="str">
        <f>IF(Table1[[#This Row],[Is Data Valid]]=TRUE,((Table1[[#This Row],[Birthweight (grams)]]*0.9/Table1[[#This Row],[BW_GA]])-1)/(Backend!$B$4/100*Table1[[#This Row],[BW40_3705]]),"")</f>
        <v/>
      </c>
      <c r="I1140" s="7" t="str">
        <f>IF(Table1[[#This Row],[Is Data Valid]]=TRUE,((Table1[[#This Row],[Birthweight (grams)]]*1.1/Table1[[#This Row],[BW_GA]])-1)/(Backend!$B$4/100*Table1[[#This Row],[BW40_3705]]),"")</f>
        <v/>
      </c>
      <c r="J1140" s="7" t="str">
        <f>IF(Table1[[#This Row],[Is Data Valid]]=TRUE,_xlfn.NORM.S.DIST(Table1[[#This Row],[Birthweight Z-Score]],TRUE)*100,"")</f>
        <v/>
      </c>
      <c r="K1140" s="7" t="str">
        <f>IF(Table1[[#This Row],[Is Data Valid]]=TRUE,_xlfn.NORM.S.DIST(Table1[[#This Row],[Birthweight Z-Score (BW-10%)]],TRUE)*100,"")</f>
        <v/>
      </c>
      <c r="L1140" s="7" t="str">
        <f>IF(Table1[[#This Row],[Is Data Valid]]=TRUE,_xlfn.NORM.S.DIST(Table1[[#This Row],[Birthweight Z-Score (BW+10%)]],TRUE)*100,"")</f>
        <v/>
      </c>
    </row>
    <row r="1141" spans="1:12" x14ac:dyDescent="0.35">
      <c r="A1141" s="3"/>
      <c r="B1141" s="2"/>
      <c r="C1141" s="2"/>
      <c r="D1141" s="2" t="b">
        <f>IF(AND(NOT(ISBLANK(Table1[[#This Row],[Fetal Sex (Male, Female or Unknown)]])),ISNUMBER(Table1[[#This Row],[Birthweight (grams)]]),ISNUMBER(Table1[[#This Row],[Gestation (days)]])),TRUE,FALSE)</f>
        <v>0</v>
      </c>
      <c r="E1141" s="2" t="str">
        <f>IF(Table1[[#This Row],[Is Data Valid]]=TRUE,IF(Table1[[#This Row],[Fetal Sex (Male, Female or Unknown)]]="Male",Backend!$C$6,IF(Table1[[#This Row],[Fetal Sex (Male, Female or Unknown)]]="Female",Backend!$C$7,IF(Table1[[#This Row],[Fetal Sex (Male, Female or Unknown)]]="Unknown",Backend!$C$8,"Error"))),"")</f>
        <v/>
      </c>
      <c r="F1141" s="8" t="str">
        <f>IF(Table1[[#This Row],[Is Data Valid]]=TRUE,EXP(0.578+0.332*((Table1[[#This Row],[Gestation (days)]]+0.5)/7)-0.00354*((Table1[[#This Row],[Gestation (days)]]+0.5)/7)^2)*Table1[[#This Row],[BW40_3705]],"")</f>
        <v/>
      </c>
      <c r="G1141" s="2" t="str">
        <f>IF(Table1[[#This Row],[Is Data Valid]]=TRUE,((Table1[[#This Row],[Birthweight (grams)]]/Table1[[#This Row],[BW_GA]])-1)/(Backend!$B$4/100*Table1[[#This Row],[BW40_3705]]),"")</f>
        <v/>
      </c>
      <c r="H1141" s="7" t="str">
        <f>IF(Table1[[#This Row],[Is Data Valid]]=TRUE,((Table1[[#This Row],[Birthweight (grams)]]*0.9/Table1[[#This Row],[BW_GA]])-1)/(Backend!$B$4/100*Table1[[#This Row],[BW40_3705]]),"")</f>
        <v/>
      </c>
      <c r="I1141" s="7" t="str">
        <f>IF(Table1[[#This Row],[Is Data Valid]]=TRUE,((Table1[[#This Row],[Birthweight (grams)]]*1.1/Table1[[#This Row],[BW_GA]])-1)/(Backend!$B$4/100*Table1[[#This Row],[BW40_3705]]),"")</f>
        <v/>
      </c>
      <c r="J1141" s="7" t="str">
        <f>IF(Table1[[#This Row],[Is Data Valid]]=TRUE,_xlfn.NORM.S.DIST(Table1[[#This Row],[Birthweight Z-Score]],TRUE)*100,"")</f>
        <v/>
      </c>
      <c r="K1141" s="7" t="str">
        <f>IF(Table1[[#This Row],[Is Data Valid]]=TRUE,_xlfn.NORM.S.DIST(Table1[[#This Row],[Birthweight Z-Score (BW-10%)]],TRUE)*100,"")</f>
        <v/>
      </c>
      <c r="L1141" s="7" t="str">
        <f>IF(Table1[[#This Row],[Is Data Valid]]=TRUE,_xlfn.NORM.S.DIST(Table1[[#This Row],[Birthweight Z-Score (BW+10%)]],TRUE)*100,"")</f>
        <v/>
      </c>
    </row>
    <row r="1142" spans="1:12" x14ac:dyDescent="0.35">
      <c r="A1142" s="3"/>
      <c r="B1142" s="2"/>
      <c r="C1142" s="2"/>
      <c r="D1142" s="2" t="b">
        <f>IF(AND(NOT(ISBLANK(Table1[[#This Row],[Fetal Sex (Male, Female or Unknown)]])),ISNUMBER(Table1[[#This Row],[Birthweight (grams)]]),ISNUMBER(Table1[[#This Row],[Gestation (days)]])),TRUE,FALSE)</f>
        <v>0</v>
      </c>
      <c r="E1142" s="2" t="str">
        <f>IF(Table1[[#This Row],[Is Data Valid]]=TRUE,IF(Table1[[#This Row],[Fetal Sex (Male, Female or Unknown)]]="Male",Backend!$C$6,IF(Table1[[#This Row],[Fetal Sex (Male, Female or Unknown)]]="Female",Backend!$C$7,IF(Table1[[#This Row],[Fetal Sex (Male, Female or Unknown)]]="Unknown",Backend!$C$8,"Error"))),"")</f>
        <v/>
      </c>
      <c r="F1142" s="8" t="str">
        <f>IF(Table1[[#This Row],[Is Data Valid]]=TRUE,EXP(0.578+0.332*((Table1[[#This Row],[Gestation (days)]]+0.5)/7)-0.00354*((Table1[[#This Row],[Gestation (days)]]+0.5)/7)^2)*Table1[[#This Row],[BW40_3705]],"")</f>
        <v/>
      </c>
      <c r="G1142" s="2" t="str">
        <f>IF(Table1[[#This Row],[Is Data Valid]]=TRUE,((Table1[[#This Row],[Birthweight (grams)]]/Table1[[#This Row],[BW_GA]])-1)/(Backend!$B$4/100*Table1[[#This Row],[BW40_3705]]),"")</f>
        <v/>
      </c>
      <c r="H1142" s="7" t="str">
        <f>IF(Table1[[#This Row],[Is Data Valid]]=TRUE,((Table1[[#This Row],[Birthweight (grams)]]*0.9/Table1[[#This Row],[BW_GA]])-1)/(Backend!$B$4/100*Table1[[#This Row],[BW40_3705]]),"")</f>
        <v/>
      </c>
      <c r="I1142" s="7" t="str">
        <f>IF(Table1[[#This Row],[Is Data Valid]]=TRUE,((Table1[[#This Row],[Birthweight (grams)]]*1.1/Table1[[#This Row],[BW_GA]])-1)/(Backend!$B$4/100*Table1[[#This Row],[BW40_3705]]),"")</f>
        <v/>
      </c>
      <c r="J1142" s="7" t="str">
        <f>IF(Table1[[#This Row],[Is Data Valid]]=TRUE,_xlfn.NORM.S.DIST(Table1[[#This Row],[Birthweight Z-Score]],TRUE)*100,"")</f>
        <v/>
      </c>
      <c r="K1142" s="7" t="str">
        <f>IF(Table1[[#This Row],[Is Data Valid]]=TRUE,_xlfn.NORM.S.DIST(Table1[[#This Row],[Birthweight Z-Score (BW-10%)]],TRUE)*100,"")</f>
        <v/>
      </c>
      <c r="L1142" s="7" t="str">
        <f>IF(Table1[[#This Row],[Is Data Valid]]=TRUE,_xlfn.NORM.S.DIST(Table1[[#This Row],[Birthweight Z-Score (BW+10%)]],TRUE)*100,"")</f>
        <v/>
      </c>
    </row>
    <row r="1143" spans="1:12" x14ac:dyDescent="0.35">
      <c r="A1143" s="3"/>
      <c r="B1143" s="2"/>
      <c r="C1143" s="2"/>
      <c r="D1143" s="2" t="b">
        <f>IF(AND(NOT(ISBLANK(Table1[[#This Row],[Fetal Sex (Male, Female or Unknown)]])),ISNUMBER(Table1[[#This Row],[Birthweight (grams)]]),ISNUMBER(Table1[[#This Row],[Gestation (days)]])),TRUE,FALSE)</f>
        <v>0</v>
      </c>
      <c r="E1143" s="2" t="str">
        <f>IF(Table1[[#This Row],[Is Data Valid]]=TRUE,IF(Table1[[#This Row],[Fetal Sex (Male, Female or Unknown)]]="Male",Backend!$C$6,IF(Table1[[#This Row],[Fetal Sex (Male, Female or Unknown)]]="Female",Backend!$C$7,IF(Table1[[#This Row],[Fetal Sex (Male, Female or Unknown)]]="Unknown",Backend!$C$8,"Error"))),"")</f>
        <v/>
      </c>
      <c r="F1143" s="8" t="str">
        <f>IF(Table1[[#This Row],[Is Data Valid]]=TRUE,EXP(0.578+0.332*((Table1[[#This Row],[Gestation (days)]]+0.5)/7)-0.00354*((Table1[[#This Row],[Gestation (days)]]+0.5)/7)^2)*Table1[[#This Row],[BW40_3705]],"")</f>
        <v/>
      </c>
      <c r="G1143" s="2" t="str">
        <f>IF(Table1[[#This Row],[Is Data Valid]]=TRUE,((Table1[[#This Row],[Birthweight (grams)]]/Table1[[#This Row],[BW_GA]])-1)/(Backend!$B$4/100*Table1[[#This Row],[BW40_3705]]),"")</f>
        <v/>
      </c>
      <c r="H1143" s="7" t="str">
        <f>IF(Table1[[#This Row],[Is Data Valid]]=TRUE,((Table1[[#This Row],[Birthweight (grams)]]*0.9/Table1[[#This Row],[BW_GA]])-1)/(Backend!$B$4/100*Table1[[#This Row],[BW40_3705]]),"")</f>
        <v/>
      </c>
      <c r="I1143" s="7" t="str">
        <f>IF(Table1[[#This Row],[Is Data Valid]]=TRUE,((Table1[[#This Row],[Birthweight (grams)]]*1.1/Table1[[#This Row],[BW_GA]])-1)/(Backend!$B$4/100*Table1[[#This Row],[BW40_3705]]),"")</f>
        <v/>
      </c>
      <c r="J1143" s="7" t="str">
        <f>IF(Table1[[#This Row],[Is Data Valid]]=TRUE,_xlfn.NORM.S.DIST(Table1[[#This Row],[Birthweight Z-Score]],TRUE)*100,"")</f>
        <v/>
      </c>
      <c r="K1143" s="7" t="str">
        <f>IF(Table1[[#This Row],[Is Data Valid]]=TRUE,_xlfn.NORM.S.DIST(Table1[[#This Row],[Birthweight Z-Score (BW-10%)]],TRUE)*100,"")</f>
        <v/>
      </c>
      <c r="L1143" s="7" t="str">
        <f>IF(Table1[[#This Row],[Is Data Valid]]=TRUE,_xlfn.NORM.S.DIST(Table1[[#This Row],[Birthweight Z-Score (BW+10%)]],TRUE)*100,"")</f>
        <v/>
      </c>
    </row>
    <row r="1144" spans="1:12" x14ac:dyDescent="0.35">
      <c r="A1144" s="3"/>
      <c r="B1144" s="2"/>
      <c r="C1144" s="2"/>
      <c r="D1144" s="2" t="b">
        <f>IF(AND(NOT(ISBLANK(Table1[[#This Row],[Fetal Sex (Male, Female or Unknown)]])),ISNUMBER(Table1[[#This Row],[Birthweight (grams)]]),ISNUMBER(Table1[[#This Row],[Gestation (days)]])),TRUE,FALSE)</f>
        <v>0</v>
      </c>
      <c r="E1144" s="2" t="str">
        <f>IF(Table1[[#This Row],[Is Data Valid]]=TRUE,IF(Table1[[#This Row],[Fetal Sex (Male, Female or Unknown)]]="Male",Backend!$C$6,IF(Table1[[#This Row],[Fetal Sex (Male, Female or Unknown)]]="Female",Backend!$C$7,IF(Table1[[#This Row],[Fetal Sex (Male, Female or Unknown)]]="Unknown",Backend!$C$8,"Error"))),"")</f>
        <v/>
      </c>
      <c r="F1144" s="8" t="str">
        <f>IF(Table1[[#This Row],[Is Data Valid]]=TRUE,EXP(0.578+0.332*((Table1[[#This Row],[Gestation (days)]]+0.5)/7)-0.00354*((Table1[[#This Row],[Gestation (days)]]+0.5)/7)^2)*Table1[[#This Row],[BW40_3705]],"")</f>
        <v/>
      </c>
      <c r="G1144" s="2" t="str">
        <f>IF(Table1[[#This Row],[Is Data Valid]]=TRUE,((Table1[[#This Row],[Birthweight (grams)]]/Table1[[#This Row],[BW_GA]])-1)/(Backend!$B$4/100*Table1[[#This Row],[BW40_3705]]),"")</f>
        <v/>
      </c>
      <c r="H1144" s="7" t="str">
        <f>IF(Table1[[#This Row],[Is Data Valid]]=TRUE,((Table1[[#This Row],[Birthweight (grams)]]*0.9/Table1[[#This Row],[BW_GA]])-1)/(Backend!$B$4/100*Table1[[#This Row],[BW40_3705]]),"")</f>
        <v/>
      </c>
      <c r="I1144" s="7" t="str">
        <f>IF(Table1[[#This Row],[Is Data Valid]]=TRUE,((Table1[[#This Row],[Birthweight (grams)]]*1.1/Table1[[#This Row],[BW_GA]])-1)/(Backend!$B$4/100*Table1[[#This Row],[BW40_3705]]),"")</f>
        <v/>
      </c>
      <c r="J1144" s="7" t="str">
        <f>IF(Table1[[#This Row],[Is Data Valid]]=TRUE,_xlfn.NORM.S.DIST(Table1[[#This Row],[Birthweight Z-Score]],TRUE)*100,"")</f>
        <v/>
      </c>
      <c r="K1144" s="7" t="str">
        <f>IF(Table1[[#This Row],[Is Data Valid]]=TRUE,_xlfn.NORM.S.DIST(Table1[[#This Row],[Birthweight Z-Score (BW-10%)]],TRUE)*100,"")</f>
        <v/>
      </c>
      <c r="L1144" s="7" t="str">
        <f>IF(Table1[[#This Row],[Is Data Valid]]=TRUE,_xlfn.NORM.S.DIST(Table1[[#This Row],[Birthweight Z-Score (BW+10%)]],TRUE)*100,"")</f>
        <v/>
      </c>
    </row>
    <row r="1145" spans="1:12" x14ac:dyDescent="0.35">
      <c r="A1145" s="3"/>
      <c r="B1145" s="2"/>
      <c r="C1145" s="2"/>
      <c r="D1145" s="2" t="b">
        <f>IF(AND(NOT(ISBLANK(Table1[[#This Row],[Fetal Sex (Male, Female or Unknown)]])),ISNUMBER(Table1[[#This Row],[Birthweight (grams)]]),ISNUMBER(Table1[[#This Row],[Gestation (days)]])),TRUE,FALSE)</f>
        <v>0</v>
      </c>
      <c r="E1145" s="2" t="str">
        <f>IF(Table1[[#This Row],[Is Data Valid]]=TRUE,IF(Table1[[#This Row],[Fetal Sex (Male, Female or Unknown)]]="Male",Backend!$C$6,IF(Table1[[#This Row],[Fetal Sex (Male, Female or Unknown)]]="Female",Backend!$C$7,IF(Table1[[#This Row],[Fetal Sex (Male, Female or Unknown)]]="Unknown",Backend!$C$8,"Error"))),"")</f>
        <v/>
      </c>
      <c r="F1145" s="8" t="str">
        <f>IF(Table1[[#This Row],[Is Data Valid]]=TRUE,EXP(0.578+0.332*((Table1[[#This Row],[Gestation (days)]]+0.5)/7)-0.00354*((Table1[[#This Row],[Gestation (days)]]+0.5)/7)^2)*Table1[[#This Row],[BW40_3705]],"")</f>
        <v/>
      </c>
      <c r="G1145" s="2" t="str">
        <f>IF(Table1[[#This Row],[Is Data Valid]]=TRUE,((Table1[[#This Row],[Birthweight (grams)]]/Table1[[#This Row],[BW_GA]])-1)/(Backend!$B$4/100*Table1[[#This Row],[BW40_3705]]),"")</f>
        <v/>
      </c>
      <c r="H1145" s="7" t="str">
        <f>IF(Table1[[#This Row],[Is Data Valid]]=TRUE,((Table1[[#This Row],[Birthweight (grams)]]*0.9/Table1[[#This Row],[BW_GA]])-1)/(Backend!$B$4/100*Table1[[#This Row],[BW40_3705]]),"")</f>
        <v/>
      </c>
      <c r="I1145" s="7" t="str">
        <f>IF(Table1[[#This Row],[Is Data Valid]]=TRUE,((Table1[[#This Row],[Birthweight (grams)]]*1.1/Table1[[#This Row],[BW_GA]])-1)/(Backend!$B$4/100*Table1[[#This Row],[BW40_3705]]),"")</f>
        <v/>
      </c>
      <c r="J1145" s="7" t="str">
        <f>IF(Table1[[#This Row],[Is Data Valid]]=TRUE,_xlfn.NORM.S.DIST(Table1[[#This Row],[Birthweight Z-Score]],TRUE)*100,"")</f>
        <v/>
      </c>
      <c r="K1145" s="7" t="str">
        <f>IF(Table1[[#This Row],[Is Data Valid]]=TRUE,_xlfn.NORM.S.DIST(Table1[[#This Row],[Birthweight Z-Score (BW-10%)]],TRUE)*100,"")</f>
        <v/>
      </c>
      <c r="L1145" s="7" t="str">
        <f>IF(Table1[[#This Row],[Is Data Valid]]=TRUE,_xlfn.NORM.S.DIST(Table1[[#This Row],[Birthweight Z-Score (BW+10%)]],TRUE)*100,"")</f>
        <v/>
      </c>
    </row>
    <row r="1146" spans="1:12" x14ac:dyDescent="0.35">
      <c r="A1146" s="3"/>
      <c r="B1146" s="2"/>
      <c r="C1146" s="2"/>
      <c r="D1146" s="2" t="b">
        <f>IF(AND(NOT(ISBLANK(Table1[[#This Row],[Fetal Sex (Male, Female or Unknown)]])),ISNUMBER(Table1[[#This Row],[Birthweight (grams)]]),ISNUMBER(Table1[[#This Row],[Gestation (days)]])),TRUE,FALSE)</f>
        <v>0</v>
      </c>
      <c r="E1146" s="2" t="str">
        <f>IF(Table1[[#This Row],[Is Data Valid]]=TRUE,IF(Table1[[#This Row],[Fetal Sex (Male, Female or Unknown)]]="Male",Backend!$C$6,IF(Table1[[#This Row],[Fetal Sex (Male, Female or Unknown)]]="Female",Backend!$C$7,IF(Table1[[#This Row],[Fetal Sex (Male, Female or Unknown)]]="Unknown",Backend!$C$8,"Error"))),"")</f>
        <v/>
      </c>
      <c r="F1146" s="8" t="str">
        <f>IF(Table1[[#This Row],[Is Data Valid]]=TRUE,EXP(0.578+0.332*((Table1[[#This Row],[Gestation (days)]]+0.5)/7)-0.00354*((Table1[[#This Row],[Gestation (days)]]+0.5)/7)^2)*Table1[[#This Row],[BW40_3705]],"")</f>
        <v/>
      </c>
      <c r="G1146" s="2" t="str">
        <f>IF(Table1[[#This Row],[Is Data Valid]]=TRUE,((Table1[[#This Row],[Birthweight (grams)]]/Table1[[#This Row],[BW_GA]])-1)/(Backend!$B$4/100*Table1[[#This Row],[BW40_3705]]),"")</f>
        <v/>
      </c>
      <c r="H1146" s="7" t="str">
        <f>IF(Table1[[#This Row],[Is Data Valid]]=TRUE,((Table1[[#This Row],[Birthweight (grams)]]*0.9/Table1[[#This Row],[BW_GA]])-1)/(Backend!$B$4/100*Table1[[#This Row],[BW40_3705]]),"")</f>
        <v/>
      </c>
      <c r="I1146" s="7" t="str">
        <f>IF(Table1[[#This Row],[Is Data Valid]]=TRUE,((Table1[[#This Row],[Birthweight (grams)]]*1.1/Table1[[#This Row],[BW_GA]])-1)/(Backend!$B$4/100*Table1[[#This Row],[BW40_3705]]),"")</f>
        <v/>
      </c>
      <c r="J1146" s="7" t="str">
        <f>IF(Table1[[#This Row],[Is Data Valid]]=TRUE,_xlfn.NORM.S.DIST(Table1[[#This Row],[Birthweight Z-Score]],TRUE)*100,"")</f>
        <v/>
      </c>
      <c r="K1146" s="7" t="str">
        <f>IF(Table1[[#This Row],[Is Data Valid]]=TRUE,_xlfn.NORM.S.DIST(Table1[[#This Row],[Birthweight Z-Score (BW-10%)]],TRUE)*100,"")</f>
        <v/>
      </c>
      <c r="L1146" s="7" t="str">
        <f>IF(Table1[[#This Row],[Is Data Valid]]=TRUE,_xlfn.NORM.S.DIST(Table1[[#This Row],[Birthweight Z-Score (BW+10%)]],TRUE)*100,"")</f>
        <v/>
      </c>
    </row>
    <row r="1147" spans="1:12" x14ac:dyDescent="0.35">
      <c r="A1147" s="3"/>
      <c r="B1147" s="2"/>
      <c r="C1147" s="2"/>
      <c r="D1147" s="2" t="b">
        <f>IF(AND(NOT(ISBLANK(Table1[[#This Row],[Fetal Sex (Male, Female or Unknown)]])),ISNUMBER(Table1[[#This Row],[Birthweight (grams)]]),ISNUMBER(Table1[[#This Row],[Gestation (days)]])),TRUE,FALSE)</f>
        <v>0</v>
      </c>
      <c r="E1147" s="2" t="str">
        <f>IF(Table1[[#This Row],[Is Data Valid]]=TRUE,IF(Table1[[#This Row],[Fetal Sex (Male, Female or Unknown)]]="Male",Backend!$C$6,IF(Table1[[#This Row],[Fetal Sex (Male, Female or Unknown)]]="Female",Backend!$C$7,IF(Table1[[#This Row],[Fetal Sex (Male, Female or Unknown)]]="Unknown",Backend!$C$8,"Error"))),"")</f>
        <v/>
      </c>
      <c r="F1147" s="8" t="str">
        <f>IF(Table1[[#This Row],[Is Data Valid]]=TRUE,EXP(0.578+0.332*((Table1[[#This Row],[Gestation (days)]]+0.5)/7)-0.00354*((Table1[[#This Row],[Gestation (days)]]+0.5)/7)^2)*Table1[[#This Row],[BW40_3705]],"")</f>
        <v/>
      </c>
      <c r="G1147" s="2" t="str">
        <f>IF(Table1[[#This Row],[Is Data Valid]]=TRUE,((Table1[[#This Row],[Birthweight (grams)]]/Table1[[#This Row],[BW_GA]])-1)/(Backend!$B$4/100*Table1[[#This Row],[BW40_3705]]),"")</f>
        <v/>
      </c>
      <c r="H1147" s="7" t="str">
        <f>IF(Table1[[#This Row],[Is Data Valid]]=TRUE,((Table1[[#This Row],[Birthweight (grams)]]*0.9/Table1[[#This Row],[BW_GA]])-1)/(Backend!$B$4/100*Table1[[#This Row],[BW40_3705]]),"")</f>
        <v/>
      </c>
      <c r="I1147" s="7" t="str">
        <f>IF(Table1[[#This Row],[Is Data Valid]]=TRUE,((Table1[[#This Row],[Birthweight (grams)]]*1.1/Table1[[#This Row],[BW_GA]])-1)/(Backend!$B$4/100*Table1[[#This Row],[BW40_3705]]),"")</f>
        <v/>
      </c>
      <c r="J1147" s="7" t="str">
        <f>IF(Table1[[#This Row],[Is Data Valid]]=TRUE,_xlfn.NORM.S.DIST(Table1[[#This Row],[Birthweight Z-Score]],TRUE)*100,"")</f>
        <v/>
      </c>
      <c r="K1147" s="7" t="str">
        <f>IF(Table1[[#This Row],[Is Data Valid]]=TRUE,_xlfn.NORM.S.DIST(Table1[[#This Row],[Birthweight Z-Score (BW-10%)]],TRUE)*100,"")</f>
        <v/>
      </c>
      <c r="L1147" s="7" t="str">
        <f>IF(Table1[[#This Row],[Is Data Valid]]=TRUE,_xlfn.NORM.S.DIST(Table1[[#This Row],[Birthweight Z-Score (BW+10%)]],TRUE)*100,"")</f>
        <v/>
      </c>
    </row>
    <row r="1148" spans="1:12" x14ac:dyDescent="0.35">
      <c r="A1148" s="3"/>
      <c r="B1148" s="2"/>
      <c r="C1148" s="2"/>
      <c r="D1148" s="2" t="b">
        <f>IF(AND(NOT(ISBLANK(Table1[[#This Row],[Fetal Sex (Male, Female or Unknown)]])),ISNUMBER(Table1[[#This Row],[Birthweight (grams)]]),ISNUMBER(Table1[[#This Row],[Gestation (days)]])),TRUE,FALSE)</f>
        <v>0</v>
      </c>
      <c r="E1148" s="2" t="str">
        <f>IF(Table1[[#This Row],[Is Data Valid]]=TRUE,IF(Table1[[#This Row],[Fetal Sex (Male, Female or Unknown)]]="Male",Backend!$C$6,IF(Table1[[#This Row],[Fetal Sex (Male, Female or Unknown)]]="Female",Backend!$C$7,IF(Table1[[#This Row],[Fetal Sex (Male, Female or Unknown)]]="Unknown",Backend!$C$8,"Error"))),"")</f>
        <v/>
      </c>
      <c r="F1148" s="8" t="str">
        <f>IF(Table1[[#This Row],[Is Data Valid]]=TRUE,EXP(0.578+0.332*((Table1[[#This Row],[Gestation (days)]]+0.5)/7)-0.00354*((Table1[[#This Row],[Gestation (days)]]+0.5)/7)^2)*Table1[[#This Row],[BW40_3705]],"")</f>
        <v/>
      </c>
      <c r="G1148" s="2" t="str">
        <f>IF(Table1[[#This Row],[Is Data Valid]]=TRUE,((Table1[[#This Row],[Birthweight (grams)]]/Table1[[#This Row],[BW_GA]])-1)/(Backend!$B$4/100*Table1[[#This Row],[BW40_3705]]),"")</f>
        <v/>
      </c>
      <c r="H1148" s="7" t="str">
        <f>IF(Table1[[#This Row],[Is Data Valid]]=TRUE,((Table1[[#This Row],[Birthweight (grams)]]*0.9/Table1[[#This Row],[BW_GA]])-1)/(Backend!$B$4/100*Table1[[#This Row],[BW40_3705]]),"")</f>
        <v/>
      </c>
      <c r="I1148" s="7" t="str">
        <f>IF(Table1[[#This Row],[Is Data Valid]]=TRUE,((Table1[[#This Row],[Birthweight (grams)]]*1.1/Table1[[#This Row],[BW_GA]])-1)/(Backend!$B$4/100*Table1[[#This Row],[BW40_3705]]),"")</f>
        <v/>
      </c>
      <c r="J1148" s="7" t="str">
        <f>IF(Table1[[#This Row],[Is Data Valid]]=TRUE,_xlfn.NORM.S.DIST(Table1[[#This Row],[Birthweight Z-Score]],TRUE)*100,"")</f>
        <v/>
      </c>
      <c r="K1148" s="7" t="str">
        <f>IF(Table1[[#This Row],[Is Data Valid]]=TRUE,_xlfn.NORM.S.DIST(Table1[[#This Row],[Birthweight Z-Score (BW-10%)]],TRUE)*100,"")</f>
        <v/>
      </c>
      <c r="L1148" s="7" t="str">
        <f>IF(Table1[[#This Row],[Is Data Valid]]=TRUE,_xlfn.NORM.S.DIST(Table1[[#This Row],[Birthweight Z-Score (BW+10%)]],TRUE)*100,"")</f>
        <v/>
      </c>
    </row>
    <row r="1149" spans="1:12" x14ac:dyDescent="0.35">
      <c r="A1149" s="3"/>
      <c r="B1149" s="2"/>
      <c r="C1149" s="2"/>
      <c r="D1149" s="2" t="b">
        <f>IF(AND(NOT(ISBLANK(Table1[[#This Row],[Fetal Sex (Male, Female or Unknown)]])),ISNUMBER(Table1[[#This Row],[Birthweight (grams)]]),ISNUMBER(Table1[[#This Row],[Gestation (days)]])),TRUE,FALSE)</f>
        <v>0</v>
      </c>
      <c r="E1149" s="2" t="str">
        <f>IF(Table1[[#This Row],[Is Data Valid]]=TRUE,IF(Table1[[#This Row],[Fetal Sex (Male, Female or Unknown)]]="Male",Backend!$C$6,IF(Table1[[#This Row],[Fetal Sex (Male, Female or Unknown)]]="Female",Backend!$C$7,IF(Table1[[#This Row],[Fetal Sex (Male, Female or Unknown)]]="Unknown",Backend!$C$8,"Error"))),"")</f>
        <v/>
      </c>
      <c r="F1149" s="8" t="str">
        <f>IF(Table1[[#This Row],[Is Data Valid]]=TRUE,EXP(0.578+0.332*((Table1[[#This Row],[Gestation (days)]]+0.5)/7)-0.00354*((Table1[[#This Row],[Gestation (days)]]+0.5)/7)^2)*Table1[[#This Row],[BW40_3705]],"")</f>
        <v/>
      </c>
      <c r="G1149" s="2" t="str">
        <f>IF(Table1[[#This Row],[Is Data Valid]]=TRUE,((Table1[[#This Row],[Birthweight (grams)]]/Table1[[#This Row],[BW_GA]])-1)/(Backend!$B$4/100*Table1[[#This Row],[BW40_3705]]),"")</f>
        <v/>
      </c>
      <c r="H1149" s="7" t="str">
        <f>IF(Table1[[#This Row],[Is Data Valid]]=TRUE,((Table1[[#This Row],[Birthweight (grams)]]*0.9/Table1[[#This Row],[BW_GA]])-1)/(Backend!$B$4/100*Table1[[#This Row],[BW40_3705]]),"")</f>
        <v/>
      </c>
      <c r="I1149" s="7" t="str">
        <f>IF(Table1[[#This Row],[Is Data Valid]]=TRUE,((Table1[[#This Row],[Birthweight (grams)]]*1.1/Table1[[#This Row],[BW_GA]])-1)/(Backend!$B$4/100*Table1[[#This Row],[BW40_3705]]),"")</f>
        <v/>
      </c>
      <c r="J1149" s="7" t="str">
        <f>IF(Table1[[#This Row],[Is Data Valid]]=TRUE,_xlfn.NORM.S.DIST(Table1[[#This Row],[Birthweight Z-Score]],TRUE)*100,"")</f>
        <v/>
      </c>
      <c r="K1149" s="7" t="str">
        <f>IF(Table1[[#This Row],[Is Data Valid]]=TRUE,_xlfn.NORM.S.DIST(Table1[[#This Row],[Birthweight Z-Score (BW-10%)]],TRUE)*100,"")</f>
        <v/>
      </c>
      <c r="L1149" s="7" t="str">
        <f>IF(Table1[[#This Row],[Is Data Valid]]=TRUE,_xlfn.NORM.S.DIST(Table1[[#This Row],[Birthweight Z-Score (BW+10%)]],TRUE)*100,"")</f>
        <v/>
      </c>
    </row>
    <row r="1150" spans="1:12" x14ac:dyDescent="0.35">
      <c r="A1150" s="3"/>
      <c r="B1150" s="2"/>
      <c r="C1150" s="2"/>
      <c r="D1150" s="2" t="b">
        <f>IF(AND(NOT(ISBLANK(Table1[[#This Row],[Fetal Sex (Male, Female or Unknown)]])),ISNUMBER(Table1[[#This Row],[Birthweight (grams)]]),ISNUMBER(Table1[[#This Row],[Gestation (days)]])),TRUE,FALSE)</f>
        <v>0</v>
      </c>
      <c r="E1150" s="2" t="str">
        <f>IF(Table1[[#This Row],[Is Data Valid]]=TRUE,IF(Table1[[#This Row],[Fetal Sex (Male, Female or Unknown)]]="Male",Backend!$C$6,IF(Table1[[#This Row],[Fetal Sex (Male, Female or Unknown)]]="Female",Backend!$C$7,IF(Table1[[#This Row],[Fetal Sex (Male, Female or Unknown)]]="Unknown",Backend!$C$8,"Error"))),"")</f>
        <v/>
      </c>
      <c r="F1150" s="8" t="str">
        <f>IF(Table1[[#This Row],[Is Data Valid]]=TRUE,EXP(0.578+0.332*((Table1[[#This Row],[Gestation (days)]]+0.5)/7)-0.00354*((Table1[[#This Row],[Gestation (days)]]+0.5)/7)^2)*Table1[[#This Row],[BW40_3705]],"")</f>
        <v/>
      </c>
      <c r="G1150" s="2" t="str">
        <f>IF(Table1[[#This Row],[Is Data Valid]]=TRUE,((Table1[[#This Row],[Birthweight (grams)]]/Table1[[#This Row],[BW_GA]])-1)/(Backend!$B$4/100*Table1[[#This Row],[BW40_3705]]),"")</f>
        <v/>
      </c>
      <c r="H1150" s="7" t="str">
        <f>IF(Table1[[#This Row],[Is Data Valid]]=TRUE,((Table1[[#This Row],[Birthweight (grams)]]*0.9/Table1[[#This Row],[BW_GA]])-1)/(Backend!$B$4/100*Table1[[#This Row],[BW40_3705]]),"")</f>
        <v/>
      </c>
      <c r="I1150" s="7" t="str">
        <f>IF(Table1[[#This Row],[Is Data Valid]]=TRUE,((Table1[[#This Row],[Birthweight (grams)]]*1.1/Table1[[#This Row],[BW_GA]])-1)/(Backend!$B$4/100*Table1[[#This Row],[BW40_3705]]),"")</f>
        <v/>
      </c>
      <c r="J1150" s="7" t="str">
        <f>IF(Table1[[#This Row],[Is Data Valid]]=TRUE,_xlfn.NORM.S.DIST(Table1[[#This Row],[Birthweight Z-Score]],TRUE)*100,"")</f>
        <v/>
      </c>
      <c r="K1150" s="7" t="str">
        <f>IF(Table1[[#This Row],[Is Data Valid]]=TRUE,_xlfn.NORM.S.DIST(Table1[[#This Row],[Birthweight Z-Score (BW-10%)]],TRUE)*100,"")</f>
        <v/>
      </c>
      <c r="L1150" s="7" t="str">
        <f>IF(Table1[[#This Row],[Is Data Valid]]=TRUE,_xlfn.NORM.S.DIST(Table1[[#This Row],[Birthweight Z-Score (BW+10%)]],TRUE)*100,"")</f>
        <v/>
      </c>
    </row>
    <row r="1151" spans="1:12" x14ac:dyDescent="0.35">
      <c r="A1151" s="3"/>
      <c r="B1151" s="2"/>
      <c r="C1151" s="2"/>
      <c r="D1151" s="2" t="b">
        <f>IF(AND(NOT(ISBLANK(Table1[[#This Row],[Fetal Sex (Male, Female or Unknown)]])),ISNUMBER(Table1[[#This Row],[Birthweight (grams)]]),ISNUMBER(Table1[[#This Row],[Gestation (days)]])),TRUE,FALSE)</f>
        <v>0</v>
      </c>
      <c r="E1151" s="2" t="str">
        <f>IF(Table1[[#This Row],[Is Data Valid]]=TRUE,IF(Table1[[#This Row],[Fetal Sex (Male, Female or Unknown)]]="Male",Backend!$C$6,IF(Table1[[#This Row],[Fetal Sex (Male, Female or Unknown)]]="Female",Backend!$C$7,IF(Table1[[#This Row],[Fetal Sex (Male, Female or Unknown)]]="Unknown",Backend!$C$8,"Error"))),"")</f>
        <v/>
      </c>
      <c r="F1151" s="8" t="str">
        <f>IF(Table1[[#This Row],[Is Data Valid]]=TRUE,EXP(0.578+0.332*((Table1[[#This Row],[Gestation (days)]]+0.5)/7)-0.00354*((Table1[[#This Row],[Gestation (days)]]+0.5)/7)^2)*Table1[[#This Row],[BW40_3705]],"")</f>
        <v/>
      </c>
      <c r="G1151" s="2" t="str">
        <f>IF(Table1[[#This Row],[Is Data Valid]]=TRUE,((Table1[[#This Row],[Birthweight (grams)]]/Table1[[#This Row],[BW_GA]])-1)/(Backend!$B$4/100*Table1[[#This Row],[BW40_3705]]),"")</f>
        <v/>
      </c>
      <c r="H1151" s="7" t="str">
        <f>IF(Table1[[#This Row],[Is Data Valid]]=TRUE,((Table1[[#This Row],[Birthweight (grams)]]*0.9/Table1[[#This Row],[BW_GA]])-1)/(Backend!$B$4/100*Table1[[#This Row],[BW40_3705]]),"")</f>
        <v/>
      </c>
      <c r="I1151" s="7" t="str">
        <f>IF(Table1[[#This Row],[Is Data Valid]]=TRUE,((Table1[[#This Row],[Birthweight (grams)]]*1.1/Table1[[#This Row],[BW_GA]])-1)/(Backend!$B$4/100*Table1[[#This Row],[BW40_3705]]),"")</f>
        <v/>
      </c>
      <c r="J1151" s="7" t="str">
        <f>IF(Table1[[#This Row],[Is Data Valid]]=TRUE,_xlfn.NORM.S.DIST(Table1[[#This Row],[Birthweight Z-Score]],TRUE)*100,"")</f>
        <v/>
      </c>
      <c r="K1151" s="7" t="str">
        <f>IF(Table1[[#This Row],[Is Data Valid]]=TRUE,_xlfn.NORM.S.DIST(Table1[[#This Row],[Birthweight Z-Score (BW-10%)]],TRUE)*100,"")</f>
        <v/>
      </c>
      <c r="L1151" s="7" t="str">
        <f>IF(Table1[[#This Row],[Is Data Valid]]=TRUE,_xlfn.NORM.S.DIST(Table1[[#This Row],[Birthweight Z-Score (BW+10%)]],TRUE)*100,"")</f>
        <v/>
      </c>
    </row>
    <row r="1152" spans="1:12" x14ac:dyDescent="0.35">
      <c r="A1152" s="3"/>
      <c r="B1152" s="2"/>
      <c r="C1152" s="2"/>
      <c r="D1152" s="2" t="b">
        <f>IF(AND(NOT(ISBLANK(Table1[[#This Row],[Fetal Sex (Male, Female or Unknown)]])),ISNUMBER(Table1[[#This Row],[Birthweight (grams)]]),ISNUMBER(Table1[[#This Row],[Gestation (days)]])),TRUE,FALSE)</f>
        <v>0</v>
      </c>
      <c r="E1152" s="2" t="str">
        <f>IF(Table1[[#This Row],[Is Data Valid]]=TRUE,IF(Table1[[#This Row],[Fetal Sex (Male, Female or Unknown)]]="Male",Backend!$C$6,IF(Table1[[#This Row],[Fetal Sex (Male, Female or Unknown)]]="Female",Backend!$C$7,IF(Table1[[#This Row],[Fetal Sex (Male, Female or Unknown)]]="Unknown",Backend!$C$8,"Error"))),"")</f>
        <v/>
      </c>
      <c r="F1152" s="8" t="str">
        <f>IF(Table1[[#This Row],[Is Data Valid]]=TRUE,EXP(0.578+0.332*((Table1[[#This Row],[Gestation (days)]]+0.5)/7)-0.00354*((Table1[[#This Row],[Gestation (days)]]+0.5)/7)^2)*Table1[[#This Row],[BW40_3705]],"")</f>
        <v/>
      </c>
      <c r="G1152" s="2" t="str">
        <f>IF(Table1[[#This Row],[Is Data Valid]]=TRUE,((Table1[[#This Row],[Birthweight (grams)]]/Table1[[#This Row],[BW_GA]])-1)/(Backend!$B$4/100*Table1[[#This Row],[BW40_3705]]),"")</f>
        <v/>
      </c>
      <c r="H1152" s="7" t="str">
        <f>IF(Table1[[#This Row],[Is Data Valid]]=TRUE,((Table1[[#This Row],[Birthweight (grams)]]*0.9/Table1[[#This Row],[BW_GA]])-1)/(Backend!$B$4/100*Table1[[#This Row],[BW40_3705]]),"")</f>
        <v/>
      </c>
      <c r="I1152" s="7" t="str">
        <f>IF(Table1[[#This Row],[Is Data Valid]]=TRUE,((Table1[[#This Row],[Birthweight (grams)]]*1.1/Table1[[#This Row],[BW_GA]])-1)/(Backend!$B$4/100*Table1[[#This Row],[BW40_3705]]),"")</f>
        <v/>
      </c>
      <c r="J1152" s="7" t="str">
        <f>IF(Table1[[#This Row],[Is Data Valid]]=TRUE,_xlfn.NORM.S.DIST(Table1[[#This Row],[Birthweight Z-Score]],TRUE)*100,"")</f>
        <v/>
      </c>
      <c r="K1152" s="7" t="str">
        <f>IF(Table1[[#This Row],[Is Data Valid]]=TRUE,_xlfn.NORM.S.DIST(Table1[[#This Row],[Birthweight Z-Score (BW-10%)]],TRUE)*100,"")</f>
        <v/>
      </c>
      <c r="L1152" s="7" t="str">
        <f>IF(Table1[[#This Row],[Is Data Valid]]=TRUE,_xlfn.NORM.S.DIST(Table1[[#This Row],[Birthweight Z-Score (BW+10%)]],TRUE)*100,"")</f>
        <v/>
      </c>
    </row>
    <row r="1153" spans="1:12" x14ac:dyDescent="0.35">
      <c r="A1153" s="3"/>
      <c r="B1153" s="2"/>
      <c r="C1153" s="2"/>
      <c r="D1153" s="2" t="b">
        <f>IF(AND(NOT(ISBLANK(Table1[[#This Row],[Fetal Sex (Male, Female or Unknown)]])),ISNUMBER(Table1[[#This Row],[Birthweight (grams)]]),ISNUMBER(Table1[[#This Row],[Gestation (days)]])),TRUE,FALSE)</f>
        <v>0</v>
      </c>
      <c r="E1153" s="2" t="str">
        <f>IF(Table1[[#This Row],[Is Data Valid]]=TRUE,IF(Table1[[#This Row],[Fetal Sex (Male, Female or Unknown)]]="Male",Backend!$C$6,IF(Table1[[#This Row],[Fetal Sex (Male, Female or Unknown)]]="Female",Backend!$C$7,IF(Table1[[#This Row],[Fetal Sex (Male, Female or Unknown)]]="Unknown",Backend!$C$8,"Error"))),"")</f>
        <v/>
      </c>
      <c r="F1153" s="8" t="str">
        <f>IF(Table1[[#This Row],[Is Data Valid]]=TRUE,EXP(0.578+0.332*((Table1[[#This Row],[Gestation (days)]]+0.5)/7)-0.00354*((Table1[[#This Row],[Gestation (days)]]+0.5)/7)^2)*Table1[[#This Row],[BW40_3705]],"")</f>
        <v/>
      </c>
      <c r="G1153" s="2" t="str">
        <f>IF(Table1[[#This Row],[Is Data Valid]]=TRUE,((Table1[[#This Row],[Birthweight (grams)]]/Table1[[#This Row],[BW_GA]])-1)/(Backend!$B$4/100*Table1[[#This Row],[BW40_3705]]),"")</f>
        <v/>
      </c>
      <c r="H1153" s="7" t="str">
        <f>IF(Table1[[#This Row],[Is Data Valid]]=TRUE,((Table1[[#This Row],[Birthweight (grams)]]*0.9/Table1[[#This Row],[BW_GA]])-1)/(Backend!$B$4/100*Table1[[#This Row],[BW40_3705]]),"")</f>
        <v/>
      </c>
      <c r="I1153" s="7" t="str">
        <f>IF(Table1[[#This Row],[Is Data Valid]]=TRUE,((Table1[[#This Row],[Birthweight (grams)]]*1.1/Table1[[#This Row],[BW_GA]])-1)/(Backend!$B$4/100*Table1[[#This Row],[BW40_3705]]),"")</f>
        <v/>
      </c>
      <c r="J1153" s="7" t="str">
        <f>IF(Table1[[#This Row],[Is Data Valid]]=TRUE,_xlfn.NORM.S.DIST(Table1[[#This Row],[Birthweight Z-Score]],TRUE)*100,"")</f>
        <v/>
      </c>
      <c r="K1153" s="7" t="str">
        <f>IF(Table1[[#This Row],[Is Data Valid]]=TRUE,_xlfn.NORM.S.DIST(Table1[[#This Row],[Birthweight Z-Score (BW-10%)]],TRUE)*100,"")</f>
        <v/>
      </c>
      <c r="L1153" s="7" t="str">
        <f>IF(Table1[[#This Row],[Is Data Valid]]=TRUE,_xlfn.NORM.S.DIST(Table1[[#This Row],[Birthweight Z-Score (BW+10%)]],TRUE)*100,"")</f>
        <v/>
      </c>
    </row>
    <row r="1154" spans="1:12" x14ac:dyDescent="0.35">
      <c r="A1154" s="3"/>
      <c r="B1154" s="2"/>
      <c r="C1154" s="2"/>
      <c r="D1154" s="2" t="b">
        <f>IF(AND(NOT(ISBLANK(Table1[[#This Row],[Fetal Sex (Male, Female or Unknown)]])),ISNUMBER(Table1[[#This Row],[Birthweight (grams)]]),ISNUMBER(Table1[[#This Row],[Gestation (days)]])),TRUE,FALSE)</f>
        <v>0</v>
      </c>
      <c r="E1154" s="2" t="str">
        <f>IF(Table1[[#This Row],[Is Data Valid]]=TRUE,IF(Table1[[#This Row],[Fetal Sex (Male, Female or Unknown)]]="Male",Backend!$C$6,IF(Table1[[#This Row],[Fetal Sex (Male, Female or Unknown)]]="Female",Backend!$C$7,IF(Table1[[#This Row],[Fetal Sex (Male, Female or Unknown)]]="Unknown",Backend!$C$8,"Error"))),"")</f>
        <v/>
      </c>
      <c r="F1154" s="8" t="str">
        <f>IF(Table1[[#This Row],[Is Data Valid]]=TRUE,EXP(0.578+0.332*((Table1[[#This Row],[Gestation (days)]]+0.5)/7)-0.00354*((Table1[[#This Row],[Gestation (days)]]+0.5)/7)^2)*Table1[[#This Row],[BW40_3705]],"")</f>
        <v/>
      </c>
      <c r="G1154" s="2" t="str">
        <f>IF(Table1[[#This Row],[Is Data Valid]]=TRUE,((Table1[[#This Row],[Birthweight (grams)]]/Table1[[#This Row],[BW_GA]])-1)/(Backend!$B$4/100*Table1[[#This Row],[BW40_3705]]),"")</f>
        <v/>
      </c>
      <c r="H1154" s="7" t="str">
        <f>IF(Table1[[#This Row],[Is Data Valid]]=TRUE,((Table1[[#This Row],[Birthweight (grams)]]*0.9/Table1[[#This Row],[BW_GA]])-1)/(Backend!$B$4/100*Table1[[#This Row],[BW40_3705]]),"")</f>
        <v/>
      </c>
      <c r="I1154" s="7" t="str">
        <f>IF(Table1[[#This Row],[Is Data Valid]]=TRUE,((Table1[[#This Row],[Birthweight (grams)]]*1.1/Table1[[#This Row],[BW_GA]])-1)/(Backend!$B$4/100*Table1[[#This Row],[BW40_3705]]),"")</f>
        <v/>
      </c>
      <c r="J1154" s="7" t="str">
        <f>IF(Table1[[#This Row],[Is Data Valid]]=TRUE,_xlfn.NORM.S.DIST(Table1[[#This Row],[Birthweight Z-Score]],TRUE)*100,"")</f>
        <v/>
      </c>
      <c r="K1154" s="7" t="str">
        <f>IF(Table1[[#This Row],[Is Data Valid]]=TRUE,_xlfn.NORM.S.DIST(Table1[[#This Row],[Birthweight Z-Score (BW-10%)]],TRUE)*100,"")</f>
        <v/>
      </c>
      <c r="L1154" s="7" t="str">
        <f>IF(Table1[[#This Row],[Is Data Valid]]=TRUE,_xlfn.NORM.S.DIST(Table1[[#This Row],[Birthweight Z-Score (BW+10%)]],TRUE)*100,"")</f>
        <v/>
      </c>
    </row>
    <row r="1155" spans="1:12" x14ac:dyDescent="0.35">
      <c r="A1155" s="3"/>
      <c r="B1155" s="2"/>
      <c r="C1155" s="2"/>
      <c r="D1155" s="2" t="b">
        <f>IF(AND(NOT(ISBLANK(Table1[[#This Row],[Fetal Sex (Male, Female or Unknown)]])),ISNUMBER(Table1[[#This Row],[Birthweight (grams)]]),ISNUMBER(Table1[[#This Row],[Gestation (days)]])),TRUE,FALSE)</f>
        <v>0</v>
      </c>
      <c r="E1155" s="2" t="str">
        <f>IF(Table1[[#This Row],[Is Data Valid]]=TRUE,IF(Table1[[#This Row],[Fetal Sex (Male, Female or Unknown)]]="Male",Backend!$C$6,IF(Table1[[#This Row],[Fetal Sex (Male, Female or Unknown)]]="Female",Backend!$C$7,IF(Table1[[#This Row],[Fetal Sex (Male, Female or Unknown)]]="Unknown",Backend!$C$8,"Error"))),"")</f>
        <v/>
      </c>
      <c r="F1155" s="8" t="str">
        <f>IF(Table1[[#This Row],[Is Data Valid]]=TRUE,EXP(0.578+0.332*((Table1[[#This Row],[Gestation (days)]]+0.5)/7)-0.00354*((Table1[[#This Row],[Gestation (days)]]+0.5)/7)^2)*Table1[[#This Row],[BW40_3705]],"")</f>
        <v/>
      </c>
      <c r="G1155" s="2" t="str">
        <f>IF(Table1[[#This Row],[Is Data Valid]]=TRUE,((Table1[[#This Row],[Birthweight (grams)]]/Table1[[#This Row],[BW_GA]])-1)/(Backend!$B$4/100*Table1[[#This Row],[BW40_3705]]),"")</f>
        <v/>
      </c>
      <c r="H1155" s="7" t="str">
        <f>IF(Table1[[#This Row],[Is Data Valid]]=TRUE,((Table1[[#This Row],[Birthweight (grams)]]*0.9/Table1[[#This Row],[BW_GA]])-1)/(Backend!$B$4/100*Table1[[#This Row],[BW40_3705]]),"")</f>
        <v/>
      </c>
      <c r="I1155" s="7" t="str">
        <f>IF(Table1[[#This Row],[Is Data Valid]]=TRUE,((Table1[[#This Row],[Birthweight (grams)]]*1.1/Table1[[#This Row],[BW_GA]])-1)/(Backend!$B$4/100*Table1[[#This Row],[BW40_3705]]),"")</f>
        <v/>
      </c>
      <c r="J1155" s="7" t="str">
        <f>IF(Table1[[#This Row],[Is Data Valid]]=TRUE,_xlfn.NORM.S.DIST(Table1[[#This Row],[Birthweight Z-Score]],TRUE)*100,"")</f>
        <v/>
      </c>
      <c r="K1155" s="7" t="str">
        <f>IF(Table1[[#This Row],[Is Data Valid]]=TRUE,_xlfn.NORM.S.DIST(Table1[[#This Row],[Birthweight Z-Score (BW-10%)]],TRUE)*100,"")</f>
        <v/>
      </c>
      <c r="L1155" s="7" t="str">
        <f>IF(Table1[[#This Row],[Is Data Valid]]=TRUE,_xlfn.NORM.S.DIST(Table1[[#This Row],[Birthweight Z-Score (BW+10%)]],TRUE)*100,"")</f>
        <v/>
      </c>
    </row>
    <row r="1156" spans="1:12" x14ac:dyDescent="0.35">
      <c r="A1156" s="3"/>
      <c r="B1156" s="2"/>
      <c r="C1156" s="2"/>
      <c r="D1156" s="2" t="b">
        <f>IF(AND(NOT(ISBLANK(Table1[[#This Row],[Fetal Sex (Male, Female or Unknown)]])),ISNUMBER(Table1[[#This Row],[Birthweight (grams)]]),ISNUMBER(Table1[[#This Row],[Gestation (days)]])),TRUE,FALSE)</f>
        <v>0</v>
      </c>
      <c r="E1156" s="2" t="str">
        <f>IF(Table1[[#This Row],[Is Data Valid]]=TRUE,IF(Table1[[#This Row],[Fetal Sex (Male, Female or Unknown)]]="Male",Backend!$C$6,IF(Table1[[#This Row],[Fetal Sex (Male, Female or Unknown)]]="Female",Backend!$C$7,IF(Table1[[#This Row],[Fetal Sex (Male, Female or Unknown)]]="Unknown",Backend!$C$8,"Error"))),"")</f>
        <v/>
      </c>
      <c r="F1156" s="8" t="str">
        <f>IF(Table1[[#This Row],[Is Data Valid]]=TRUE,EXP(0.578+0.332*((Table1[[#This Row],[Gestation (days)]]+0.5)/7)-0.00354*((Table1[[#This Row],[Gestation (days)]]+0.5)/7)^2)*Table1[[#This Row],[BW40_3705]],"")</f>
        <v/>
      </c>
      <c r="G1156" s="2" t="str">
        <f>IF(Table1[[#This Row],[Is Data Valid]]=TRUE,((Table1[[#This Row],[Birthweight (grams)]]/Table1[[#This Row],[BW_GA]])-1)/(Backend!$B$4/100*Table1[[#This Row],[BW40_3705]]),"")</f>
        <v/>
      </c>
      <c r="H1156" s="7" t="str">
        <f>IF(Table1[[#This Row],[Is Data Valid]]=TRUE,((Table1[[#This Row],[Birthweight (grams)]]*0.9/Table1[[#This Row],[BW_GA]])-1)/(Backend!$B$4/100*Table1[[#This Row],[BW40_3705]]),"")</f>
        <v/>
      </c>
      <c r="I1156" s="7" t="str">
        <f>IF(Table1[[#This Row],[Is Data Valid]]=TRUE,((Table1[[#This Row],[Birthweight (grams)]]*1.1/Table1[[#This Row],[BW_GA]])-1)/(Backend!$B$4/100*Table1[[#This Row],[BW40_3705]]),"")</f>
        <v/>
      </c>
      <c r="J1156" s="7" t="str">
        <f>IF(Table1[[#This Row],[Is Data Valid]]=TRUE,_xlfn.NORM.S.DIST(Table1[[#This Row],[Birthweight Z-Score]],TRUE)*100,"")</f>
        <v/>
      </c>
      <c r="K1156" s="7" t="str">
        <f>IF(Table1[[#This Row],[Is Data Valid]]=TRUE,_xlfn.NORM.S.DIST(Table1[[#This Row],[Birthweight Z-Score (BW-10%)]],TRUE)*100,"")</f>
        <v/>
      </c>
      <c r="L1156" s="7" t="str">
        <f>IF(Table1[[#This Row],[Is Data Valid]]=TRUE,_xlfn.NORM.S.DIST(Table1[[#This Row],[Birthweight Z-Score (BW+10%)]],TRUE)*100,"")</f>
        <v/>
      </c>
    </row>
    <row r="1157" spans="1:12" x14ac:dyDescent="0.35">
      <c r="A1157" s="3"/>
      <c r="B1157" s="2"/>
      <c r="C1157" s="2"/>
      <c r="D1157" s="2" t="b">
        <f>IF(AND(NOT(ISBLANK(Table1[[#This Row],[Fetal Sex (Male, Female or Unknown)]])),ISNUMBER(Table1[[#This Row],[Birthweight (grams)]]),ISNUMBER(Table1[[#This Row],[Gestation (days)]])),TRUE,FALSE)</f>
        <v>0</v>
      </c>
      <c r="E1157" s="2" t="str">
        <f>IF(Table1[[#This Row],[Is Data Valid]]=TRUE,IF(Table1[[#This Row],[Fetal Sex (Male, Female or Unknown)]]="Male",Backend!$C$6,IF(Table1[[#This Row],[Fetal Sex (Male, Female or Unknown)]]="Female",Backend!$C$7,IF(Table1[[#This Row],[Fetal Sex (Male, Female or Unknown)]]="Unknown",Backend!$C$8,"Error"))),"")</f>
        <v/>
      </c>
      <c r="F1157" s="8" t="str">
        <f>IF(Table1[[#This Row],[Is Data Valid]]=TRUE,EXP(0.578+0.332*((Table1[[#This Row],[Gestation (days)]]+0.5)/7)-0.00354*((Table1[[#This Row],[Gestation (days)]]+0.5)/7)^2)*Table1[[#This Row],[BW40_3705]],"")</f>
        <v/>
      </c>
      <c r="G1157" s="2" t="str">
        <f>IF(Table1[[#This Row],[Is Data Valid]]=TRUE,((Table1[[#This Row],[Birthweight (grams)]]/Table1[[#This Row],[BW_GA]])-1)/(Backend!$B$4/100*Table1[[#This Row],[BW40_3705]]),"")</f>
        <v/>
      </c>
      <c r="H1157" s="7" t="str">
        <f>IF(Table1[[#This Row],[Is Data Valid]]=TRUE,((Table1[[#This Row],[Birthweight (grams)]]*0.9/Table1[[#This Row],[BW_GA]])-1)/(Backend!$B$4/100*Table1[[#This Row],[BW40_3705]]),"")</f>
        <v/>
      </c>
      <c r="I1157" s="7" t="str">
        <f>IF(Table1[[#This Row],[Is Data Valid]]=TRUE,((Table1[[#This Row],[Birthweight (grams)]]*1.1/Table1[[#This Row],[BW_GA]])-1)/(Backend!$B$4/100*Table1[[#This Row],[BW40_3705]]),"")</f>
        <v/>
      </c>
      <c r="J1157" s="7" t="str">
        <f>IF(Table1[[#This Row],[Is Data Valid]]=TRUE,_xlfn.NORM.S.DIST(Table1[[#This Row],[Birthweight Z-Score]],TRUE)*100,"")</f>
        <v/>
      </c>
      <c r="K1157" s="7" t="str">
        <f>IF(Table1[[#This Row],[Is Data Valid]]=TRUE,_xlfn.NORM.S.DIST(Table1[[#This Row],[Birthweight Z-Score (BW-10%)]],TRUE)*100,"")</f>
        <v/>
      </c>
      <c r="L1157" s="7" t="str">
        <f>IF(Table1[[#This Row],[Is Data Valid]]=TRUE,_xlfn.NORM.S.DIST(Table1[[#This Row],[Birthweight Z-Score (BW+10%)]],TRUE)*100,"")</f>
        <v/>
      </c>
    </row>
    <row r="1158" spans="1:12" x14ac:dyDescent="0.35">
      <c r="A1158" s="3"/>
      <c r="B1158" s="2"/>
      <c r="C1158" s="2"/>
      <c r="D1158" s="2" t="b">
        <f>IF(AND(NOT(ISBLANK(Table1[[#This Row],[Fetal Sex (Male, Female or Unknown)]])),ISNUMBER(Table1[[#This Row],[Birthweight (grams)]]),ISNUMBER(Table1[[#This Row],[Gestation (days)]])),TRUE,FALSE)</f>
        <v>0</v>
      </c>
      <c r="E1158" s="2" t="str">
        <f>IF(Table1[[#This Row],[Is Data Valid]]=TRUE,IF(Table1[[#This Row],[Fetal Sex (Male, Female or Unknown)]]="Male",Backend!$C$6,IF(Table1[[#This Row],[Fetal Sex (Male, Female or Unknown)]]="Female",Backend!$C$7,IF(Table1[[#This Row],[Fetal Sex (Male, Female or Unknown)]]="Unknown",Backend!$C$8,"Error"))),"")</f>
        <v/>
      </c>
      <c r="F1158" s="8" t="str">
        <f>IF(Table1[[#This Row],[Is Data Valid]]=TRUE,EXP(0.578+0.332*((Table1[[#This Row],[Gestation (days)]]+0.5)/7)-0.00354*((Table1[[#This Row],[Gestation (days)]]+0.5)/7)^2)*Table1[[#This Row],[BW40_3705]],"")</f>
        <v/>
      </c>
      <c r="G1158" s="2" t="str">
        <f>IF(Table1[[#This Row],[Is Data Valid]]=TRUE,((Table1[[#This Row],[Birthweight (grams)]]/Table1[[#This Row],[BW_GA]])-1)/(Backend!$B$4/100*Table1[[#This Row],[BW40_3705]]),"")</f>
        <v/>
      </c>
      <c r="H1158" s="7" t="str">
        <f>IF(Table1[[#This Row],[Is Data Valid]]=TRUE,((Table1[[#This Row],[Birthweight (grams)]]*0.9/Table1[[#This Row],[BW_GA]])-1)/(Backend!$B$4/100*Table1[[#This Row],[BW40_3705]]),"")</f>
        <v/>
      </c>
      <c r="I1158" s="7" t="str">
        <f>IF(Table1[[#This Row],[Is Data Valid]]=TRUE,((Table1[[#This Row],[Birthweight (grams)]]*1.1/Table1[[#This Row],[BW_GA]])-1)/(Backend!$B$4/100*Table1[[#This Row],[BW40_3705]]),"")</f>
        <v/>
      </c>
      <c r="J1158" s="7" t="str">
        <f>IF(Table1[[#This Row],[Is Data Valid]]=TRUE,_xlfn.NORM.S.DIST(Table1[[#This Row],[Birthweight Z-Score]],TRUE)*100,"")</f>
        <v/>
      </c>
      <c r="K1158" s="7" t="str">
        <f>IF(Table1[[#This Row],[Is Data Valid]]=TRUE,_xlfn.NORM.S.DIST(Table1[[#This Row],[Birthweight Z-Score (BW-10%)]],TRUE)*100,"")</f>
        <v/>
      </c>
      <c r="L1158" s="7" t="str">
        <f>IF(Table1[[#This Row],[Is Data Valid]]=TRUE,_xlfn.NORM.S.DIST(Table1[[#This Row],[Birthweight Z-Score (BW+10%)]],TRUE)*100,"")</f>
        <v/>
      </c>
    </row>
    <row r="1159" spans="1:12" x14ac:dyDescent="0.35">
      <c r="A1159" s="3"/>
      <c r="B1159" s="2"/>
      <c r="C1159" s="2"/>
      <c r="D1159" s="2" t="b">
        <f>IF(AND(NOT(ISBLANK(Table1[[#This Row],[Fetal Sex (Male, Female or Unknown)]])),ISNUMBER(Table1[[#This Row],[Birthweight (grams)]]),ISNUMBER(Table1[[#This Row],[Gestation (days)]])),TRUE,FALSE)</f>
        <v>0</v>
      </c>
      <c r="E1159" s="2" t="str">
        <f>IF(Table1[[#This Row],[Is Data Valid]]=TRUE,IF(Table1[[#This Row],[Fetal Sex (Male, Female or Unknown)]]="Male",Backend!$C$6,IF(Table1[[#This Row],[Fetal Sex (Male, Female or Unknown)]]="Female",Backend!$C$7,IF(Table1[[#This Row],[Fetal Sex (Male, Female or Unknown)]]="Unknown",Backend!$C$8,"Error"))),"")</f>
        <v/>
      </c>
      <c r="F1159" s="8" t="str">
        <f>IF(Table1[[#This Row],[Is Data Valid]]=TRUE,EXP(0.578+0.332*((Table1[[#This Row],[Gestation (days)]]+0.5)/7)-0.00354*((Table1[[#This Row],[Gestation (days)]]+0.5)/7)^2)*Table1[[#This Row],[BW40_3705]],"")</f>
        <v/>
      </c>
      <c r="G1159" s="2" t="str">
        <f>IF(Table1[[#This Row],[Is Data Valid]]=TRUE,((Table1[[#This Row],[Birthweight (grams)]]/Table1[[#This Row],[BW_GA]])-1)/(Backend!$B$4/100*Table1[[#This Row],[BW40_3705]]),"")</f>
        <v/>
      </c>
      <c r="H1159" s="7" t="str">
        <f>IF(Table1[[#This Row],[Is Data Valid]]=TRUE,((Table1[[#This Row],[Birthweight (grams)]]*0.9/Table1[[#This Row],[BW_GA]])-1)/(Backend!$B$4/100*Table1[[#This Row],[BW40_3705]]),"")</f>
        <v/>
      </c>
      <c r="I1159" s="7" t="str">
        <f>IF(Table1[[#This Row],[Is Data Valid]]=TRUE,((Table1[[#This Row],[Birthweight (grams)]]*1.1/Table1[[#This Row],[BW_GA]])-1)/(Backend!$B$4/100*Table1[[#This Row],[BW40_3705]]),"")</f>
        <v/>
      </c>
      <c r="J1159" s="7" t="str">
        <f>IF(Table1[[#This Row],[Is Data Valid]]=TRUE,_xlfn.NORM.S.DIST(Table1[[#This Row],[Birthweight Z-Score]],TRUE)*100,"")</f>
        <v/>
      </c>
      <c r="K1159" s="7" t="str">
        <f>IF(Table1[[#This Row],[Is Data Valid]]=TRUE,_xlfn.NORM.S.DIST(Table1[[#This Row],[Birthweight Z-Score (BW-10%)]],TRUE)*100,"")</f>
        <v/>
      </c>
      <c r="L1159" s="7" t="str">
        <f>IF(Table1[[#This Row],[Is Data Valid]]=TRUE,_xlfn.NORM.S.DIST(Table1[[#This Row],[Birthweight Z-Score (BW+10%)]],TRUE)*100,"")</f>
        <v/>
      </c>
    </row>
    <row r="1160" spans="1:12" x14ac:dyDescent="0.35">
      <c r="A1160" s="3"/>
      <c r="B1160" s="2"/>
      <c r="C1160" s="2"/>
      <c r="D1160" s="2" t="b">
        <f>IF(AND(NOT(ISBLANK(Table1[[#This Row],[Fetal Sex (Male, Female or Unknown)]])),ISNUMBER(Table1[[#This Row],[Birthweight (grams)]]),ISNUMBER(Table1[[#This Row],[Gestation (days)]])),TRUE,FALSE)</f>
        <v>0</v>
      </c>
      <c r="E1160" s="2" t="str">
        <f>IF(Table1[[#This Row],[Is Data Valid]]=TRUE,IF(Table1[[#This Row],[Fetal Sex (Male, Female or Unknown)]]="Male",Backend!$C$6,IF(Table1[[#This Row],[Fetal Sex (Male, Female or Unknown)]]="Female",Backend!$C$7,IF(Table1[[#This Row],[Fetal Sex (Male, Female or Unknown)]]="Unknown",Backend!$C$8,"Error"))),"")</f>
        <v/>
      </c>
      <c r="F1160" s="8" t="str">
        <f>IF(Table1[[#This Row],[Is Data Valid]]=TRUE,EXP(0.578+0.332*((Table1[[#This Row],[Gestation (days)]]+0.5)/7)-0.00354*((Table1[[#This Row],[Gestation (days)]]+0.5)/7)^2)*Table1[[#This Row],[BW40_3705]],"")</f>
        <v/>
      </c>
      <c r="G1160" s="2" t="str">
        <f>IF(Table1[[#This Row],[Is Data Valid]]=TRUE,((Table1[[#This Row],[Birthweight (grams)]]/Table1[[#This Row],[BW_GA]])-1)/(Backend!$B$4/100*Table1[[#This Row],[BW40_3705]]),"")</f>
        <v/>
      </c>
      <c r="H1160" s="7" t="str">
        <f>IF(Table1[[#This Row],[Is Data Valid]]=TRUE,((Table1[[#This Row],[Birthweight (grams)]]*0.9/Table1[[#This Row],[BW_GA]])-1)/(Backend!$B$4/100*Table1[[#This Row],[BW40_3705]]),"")</f>
        <v/>
      </c>
      <c r="I1160" s="7" t="str">
        <f>IF(Table1[[#This Row],[Is Data Valid]]=TRUE,((Table1[[#This Row],[Birthweight (grams)]]*1.1/Table1[[#This Row],[BW_GA]])-1)/(Backend!$B$4/100*Table1[[#This Row],[BW40_3705]]),"")</f>
        <v/>
      </c>
      <c r="J1160" s="7" t="str">
        <f>IF(Table1[[#This Row],[Is Data Valid]]=TRUE,_xlfn.NORM.S.DIST(Table1[[#This Row],[Birthweight Z-Score]],TRUE)*100,"")</f>
        <v/>
      </c>
      <c r="K1160" s="7" t="str">
        <f>IF(Table1[[#This Row],[Is Data Valid]]=TRUE,_xlfn.NORM.S.DIST(Table1[[#This Row],[Birthweight Z-Score (BW-10%)]],TRUE)*100,"")</f>
        <v/>
      </c>
      <c r="L1160" s="7" t="str">
        <f>IF(Table1[[#This Row],[Is Data Valid]]=TRUE,_xlfn.NORM.S.DIST(Table1[[#This Row],[Birthweight Z-Score (BW+10%)]],TRUE)*100,"")</f>
        <v/>
      </c>
    </row>
    <row r="1161" spans="1:12" x14ac:dyDescent="0.35">
      <c r="A1161" s="3"/>
      <c r="B1161" s="2"/>
      <c r="C1161" s="2"/>
      <c r="D1161" s="2" t="b">
        <f>IF(AND(NOT(ISBLANK(Table1[[#This Row],[Fetal Sex (Male, Female or Unknown)]])),ISNUMBER(Table1[[#This Row],[Birthweight (grams)]]),ISNUMBER(Table1[[#This Row],[Gestation (days)]])),TRUE,FALSE)</f>
        <v>0</v>
      </c>
      <c r="E1161" s="2" t="str">
        <f>IF(Table1[[#This Row],[Is Data Valid]]=TRUE,IF(Table1[[#This Row],[Fetal Sex (Male, Female or Unknown)]]="Male",Backend!$C$6,IF(Table1[[#This Row],[Fetal Sex (Male, Female or Unknown)]]="Female",Backend!$C$7,IF(Table1[[#This Row],[Fetal Sex (Male, Female or Unknown)]]="Unknown",Backend!$C$8,"Error"))),"")</f>
        <v/>
      </c>
      <c r="F1161" s="8" t="str">
        <f>IF(Table1[[#This Row],[Is Data Valid]]=TRUE,EXP(0.578+0.332*((Table1[[#This Row],[Gestation (days)]]+0.5)/7)-0.00354*((Table1[[#This Row],[Gestation (days)]]+0.5)/7)^2)*Table1[[#This Row],[BW40_3705]],"")</f>
        <v/>
      </c>
      <c r="G1161" s="2" t="str">
        <f>IF(Table1[[#This Row],[Is Data Valid]]=TRUE,((Table1[[#This Row],[Birthweight (grams)]]/Table1[[#This Row],[BW_GA]])-1)/(Backend!$B$4/100*Table1[[#This Row],[BW40_3705]]),"")</f>
        <v/>
      </c>
      <c r="H1161" s="7" t="str">
        <f>IF(Table1[[#This Row],[Is Data Valid]]=TRUE,((Table1[[#This Row],[Birthweight (grams)]]*0.9/Table1[[#This Row],[BW_GA]])-1)/(Backend!$B$4/100*Table1[[#This Row],[BW40_3705]]),"")</f>
        <v/>
      </c>
      <c r="I1161" s="7" t="str">
        <f>IF(Table1[[#This Row],[Is Data Valid]]=TRUE,((Table1[[#This Row],[Birthweight (grams)]]*1.1/Table1[[#This Row],[BW_GA]])-1)/(Backend!$B$4/100*Table1[[#This Row],[BW40_3705]]),"")</f>
        <v/>
      </c>
      <c r="J1161" s="7" t="str">
        <f>IF(Table1[[#This Row],[Is Data Valid]]=TRUE,_xlfn.NORM.S.DIST(Table1[[#This Row],[Birthweight Z-Score]],TRUE)*100,"")</f>
        <v/>
      </c>
      <c r="K1161" s="7" t="str">
        <f>IF(Table1[[#This Row],[Is Data Valid]]=TRUE,_xlfn.NORM.S.DIST(Table1[[#This Row],[Birthweight Z-Score (BW-10%)]],TRUE)*100,"")</f>
        <v/>
      </c>
      <c r="L1161" s="7" t="str">
        <f>IF(Table1[[#This Row],[Is Data Valid]]=TRUE,_xlfn.NORM.S.DIST(Table1[[#This Row],[Birthweight Z-Score (BW+10%)]],TRUE)*100,"")</f>
        <v/>
      </c>
    </row>
    <row r="1162" spans="1:12" x14ac:dyDescent="0.35">
      <c r="A1162" s="3"/>
      <c r="B1162" s="2"/>
      <c r="C1162" s="2"/>
      <c r="D1162" s="2" t="b">
        <f>IF(AND(NOT(ISBLANK(Table1[[#This Row],[Fetal Sex (Male, Female or Unknown)]])),ISNUMBER(Table1[[#This Row],[Birthweight (grams)]]),ISNUMBER(Table1[[#This Row],[Gestation (days)]])),TRUE,FALSE)</f>
        <v>0</v>
      </c>
      <c r="E1162" s="2" t="str">
        <f>IF(Table1[[#This Row],[Is Data Valid]]=TRUE,IF(Table1[[#This Row],[Fetal Sex (Male, Female or Unknown)]]="Male",Backend!$C$6,IF(Table1[[#This Row],[Fetal Sex (Male, Female or Unknown)]]="Female",Backend!$C$7,IF(Table1[[#This Row],[Fetal Sex (Male, Female or Unknown)]]="Unknown",Backend!$C$8,"Error"))),"")</f>
        <v/>
      </c>
      <c r="F1162" s="8" t="str">
        <f>IF(Table1[[#This Row],[Is Data Valid]]=TRUE,EXP(0.578+0.332*((Table1[[#This Row],[Gestation (days)]]+0.5)/7)-0.00354*((Table1[[#This Row],[Gestation (days)]]+0.5)/7)^2)*Table1[[#This Row],[BW40_3705]],"")</f>
        <v/>
      </c>
      <c r="G1162" s="2" t="str">
        <f>IF(Table1[[#This Row],[Is Data Valid]]=TRUE,((Table1[[#This Row],[Birthweight (grams)]]/Table1[[#This Row],[BW_GA]])-1)/(Backend!$B$4/100*Table1[[#This Row],[BW40_3705]]),"")</f>
        <v/>
      </c>
      <c r="H1162" s="7" t="str">
        <f>IF(Table1[[#This Row],[Is Data Valid]]=TRUE,((Table1[[#This Row],[Birthweight (grams)]]*0.9/Table1[[#This Row],[BW_GA]])-1)/(Backend!$B$4/100*Table1[[#This Row],[BW40_3705]]),"")</f>
        <v/>
      </c>
      <c r="I1162" s="7" t="str">
        <f>IF(Table1[[#This Row],[Is Data Valid]]=TRUE,((Table1[[#This Row],[Birthweight (grams)]]*1.1/Table1[[#This Row],[BW_GA]])-1)/(Backend!$B$4/100*Table1[[#This Row],[BW40_3705]]),"")</f>
        <v/>
      </c>
      <c r="J1162" s="7" t="str">
        <f>IF(Table1[[#This Row],[Is Data Valid]]=TRUE,_xlfn.NORM.S.DIST(Table1[[#This Row],[Birthweight Z-Score]],TRUE)*100,"")</f>
        <v/>
      </c>
      <c r="K1162" s="7" t="str">
        <f>IF(Table1[[#This Row],[Is Data Valid]]=TRUE,_xlfn.NORM.S.DIST(Table1[[#This Row],[Birthweight Z-Score (BW-10%)]],TRUE)*100,"")</f>
        <v/>
      </c>
      <c r="L1162" s="7" t="str">
        <f>IF(Table1[[#This Row],[Is Data Valid]]=TRUE,_xlfn.NORM.S.DIST(Table1[[#This Row],[Birthweight Z-Score (BW+10%)]],TRUE)*100,"")</f>
        <v/>
      </c>
    </row>
    <row r="1163" spans="1:12" x14ac:dyDescent="0.35">
      <c r="A1163" s="3"/>
      <c r="B1163" s="2"/>
      <c r="C1163" s="2"/>
      <c r="D1163" s="2" t="b">
        <f>IF(AND(NOT(ISBLANK(Table1[[#This Row],[Fetal Sex (Male, Female or Unknown)]])),ISNUMBER(Table1[[#This Row],[Birthweight (grams)]]),ISNUMBER(Table1[[#This Row],[Gestation (days)]])),TRUE,FALSE)</f>
        <v>0</v>
      </c>
      <c r="E1163" s="2" t="str">
        <f>IF(Table1[[#This Row],[Is Data Valid]]=TRUE,IF(Table1[[#This Row],[Fetal Sex (Male, Female or Unknown)]]="Male",Backend!$C$6,IF(Table1[[#This Row],[Fetal Sex (Male, Female or Unknown)]]="Female",Backend!$C$7,IF(Table1[[#This Row],[Fetal Sex (Male, Female or Unknown)]]="Unknown",Backend!$C$8,"Error"))),"")</f>
        <v/>
      </c>
      <c r="F1163" s="8" t="str">
        <f>IF(Table1[[#This Row],[Is Data Valid]]=TRUE,EXP(0.578+0.332*((Table1[[#This Row],[Gestation (days)]]+0.5)/7)-0.00354*((Table1[[#This Row],[Gestation (days)]]+0.5)/7)^2)*Table1[[#This Row],[BW40_3705]],"")</f>
        <v/>
      </c>
      <c r="G1163" s="2" t="str">
        <f>IF(Table1[[#This Row],[Is Data Valid]]=TRUE,((Table1[[#This Row],[Birthweight (grams)]]/Table1[[#This Row],[BW_GA]])-1)/(Backend!$B$4/100*Table1[[#This Row],[BW40_3705]]),"")</f>
        <v/>
      </c>
      <c r="H1163" s="7" t="str">
        <f>IF(Table1[[#This Row],[Is Data Valid]]=TRUE,((Table1[[#This Row],[Birthweight (grams)]]*0.9/Table1[[#This Row],[BW_GA]])-1)/(Backend!$B$4/100*Table1[[#This Row],[BW40_3705]]),"")</f>
        <v/>
      </c>
      <c r="I1163" s="7" t="str">
        <f>IF(Table1[[#This Row],[Is Data Valid]]=TRUE,((Table1[[#This Row],[Birthweight (grams)]]*1.1/Table1[[#This Row],[BW_GA]])-1)/(Backend!$B$4/100*Table1[[#This Row],[BW40_3705]]),"")</f>
        <v/>
      </c>
      <c r="J1163" s="7" t="str">
        <f>IF(Table1[[#This Row],[Is Data Valid]]=TRUE,_xlfn.NORM.S.DIST(Table1[[#This Row],[Birthweight Z-Score]],TRUE)*100,"")</f>
        <v/>
      </c>
      <c r="K1163" s="7" t="str">
        <f>IF(Table1[[#This Row],[Is Data Valid]]=TRUE,_xlfn.NORM.S.DIST(Table1[[#This Row],[Birthweight Z-Score (BW-10%)]],TRUE)*100,"")</f>
        <v/>
      </c>
      <c r="L1163" s="7" t="str">
        <f>IF(Table1[[#This Row],[Is Data Valid]]=TRUE,_xlfn.NORM.S.DIST(Table1[[#This Row],[Birthweight Z-Score (BW+10%)]],TRUE)*100,"")</f>
        <v/>
      </c>
    </row>
    <row r="1164" spans="1:12" x14ac:dyDescent="0.35">
      <c r="A1164" s="3"/>
      <c r="B1164" s="2"/>
      <c r="C1164" s="2"/>
      <c r="D1164" s="2" t="b">
        <f>IF(AND(NOT(ISBLANK(Table1[[#This Row],[Fetal Sex (Male, Female or Unknown)]])),ISNUMBER(Table1[[#This Row],[Birthweight (grams)]]),ISNUMBER(Table1[[#This Row],[Gestation (days)]])),TRUE,FALSE)</f>
        <v>0</v>
      </c>
      <c r="E1164" s="2" t="str">
        <f>IF(Table1[[#This Row],[Is Data Valid]]=TRUE,IF(Table1[[#This Row],[Fetal Sex (Male, Female or Unknown)]]="Male",Backend!$C$6,IF(Table1[[#This Row],[Fetal Sex (Male, Female or Unknown)]]="Female",Backend!$C$7,IF(Table1[[#This Row],[Fetal Sex (Male, Female or Unknown)]]="Unknown",Backend!$C$8,"Error"))),"")</f>
        <v/>
      </c>
      <c r="F1164" s="8" t="str">
        <f>IF(Table1[[#This Row],[Is Data Valid]]=TRUE,EXP(0.578+0.332*((Table1[[#This Row],[Gestation (days)]]+0.5)/7)-0.00354*((Table1[[#This Row],[Gestation (days)]]+0.5)/7)^2)*Table1[[#This Row],[BW40_3705]],"")</f>
        <v/>
      </c>
      <c r="G1164" s="2" t="str">
        <f>IF(Table1[[#This Row],[Is Data Valid]]=TRUE,((Table1[[#This Row],[Birthweight (grams)]]/Table1[[#This Row],[BW_GA]])-1)/(Backend!$B$4/100*Table1[[#This Row],[BW40_3705]]),"")</f>
        <v/>
      </c>
      <c r="H1164" s="7" t="str">
        <f>IF(Table1[[#This Row],[Is Data Valid]]=TRUE,((Table1[[#This Row],[Birthweight (grams)]]*0.9/Table1[[#This Row],[BW_GA]])-1)/(Backend!$B$4/100*Table1[[#This Row],[BW40_3705]]),"")</f>
        <v/>
      </c>
      <c r="I1164" s="7" t="str">
        <f>IF(Table1[[#This Row],[Is Data Valid]]=TRUE,((Table1[[#This Row],[Birthweight (grams)]]*1.1/Table1[[#This Row],[BW_GA]])-1)/(Backend!$B$4/100*Table1[[#This Row],[BW40_3705]]),"")</f>
        <v/>
      </c>
      <c r="J1164" s="7" t="str">
        <f>IF(Table1[[#This Row],[Is Data Valid]]=TRUE,_xlfn.NORM.S.DIST(Table1[[#This Row],[Birthweight Z-Score]],TRUE)*100,"")</f>
        <v/>
      </c>
      <c r="K1164" s="7" t="str">
        <f>IF(Table1[[#This Row],[Is Data Valid]]=TRUE,_xlfn.NORM.S.DIST(Table1[[#This Row],[Birthweight Z-Score (BW-10%)]],TRUE)*100,"")</f>
        <v/>
      </c>
      <c r="L1164" s="7" t="str">
        <f>IF(Table1[[#This Row],[Is Data Valid]]=TRUE,_xlfn.NORM.S.DIST(Table1[[#This Row],[Birthweight Z-Score (BW+10%)]],TRUE)*100,"")</f>
        <v/>
      </c>
    </row>
    <row r="1165" spans="1:12" x14ac:dyDescent="0.35">
      <c r="A1165" s="3"/>
      <c r="B1165" s="2"/>
      <c r="C1165" s="2"/>
      <c r="D1165" s="2" t="b">
        <f>IF(AND(NOT(ISBLANK(Table1[[#This Row],[Fetal Sex (Male, Female or Unknown)]])),ISNUMBER(Table1[[#This Row],[Birthweight (grams)]]),ISNUMBER(Table1[[#This Row],[Gestation (days)]])),TRUE,FALSE)</f>
        <v>0</v>
      </c>
      <c r="E1165" s="2" t="str">
        <f>IF(Table1[[#This Row],[Is Data Valid]]=TRUE,IF(Table1[[#This Row],[Fetal Sex (Male, Female or Unknown)]]="Male",Backend!$C$6,IF(Table1[[#This Row],[Fetal Sex (Male, Female or Unknown)]]="Female",Backend!$C$7,IF(Table1[[#This Row],[Fetal Sex (Male, Female or Unknown)]]="Unknown",Backend!$C$8,"Error"))),"")</f>
        <v/>
      </c>
      <c r="F1165" s="8" t="str">
        <f>IF(Table1[[#This Row],[Is Data Valid]]=TRUE,EXP(0.578+0.332*((Table1[[#This Row],[Gestation (days)]]+0.5)/7)-0.00354*((Table1[[#This Row],[Gestation (days)]]+0.5)/7)^2)*Table1[[#This Row],[BW40_3705]],"")</f>
        <v/>
      </c>
      <c r="G1165" s="2" t="str">
        <f>IF(Table1[[#This Row],[Is Data Valid]]=TRUE,((Table1[[#This Row],[Birthweight (grams)]]/Table1[[#This Row],[BW_GA]])-1)/(Backend!$B$4/100*Table1[[#This Row],[BW40_3705]]),"")</f>
        <v/>
      </c>
      <c r="H1165" s="7" t="str">
        <f>IF(Table1[[#This Row],[Is Data Valid]]=TRUE,((Table1[[#This Row],[Birthweight (grams)]]*0.9/Table1[[#This Row],[BW_GA]])-1)/(Backend!$B$4/100*Table1[[#This Row],[BW40_3705]]),"")</f>
        <v/>
      </c>
      <c r="I1165" s="7" t="str">
        <f>IF(Table1[[#This Row],[Is Data Valid]]=TRUE,((Table1[[#This Row],[Birthweight (grams)]]*1.1/Table1[[#This Row],[BW_GA]])-1)/(Backend!$B$4/100*Table1[[#This Row],[BW40_3705]]),"")</f>
        <v/>
      </c>
      <c r="J1165" s="7" t="str">
        <f>IF(Table1[[#This Row],[Is Data Valid]]=TRUE,_xlfn.NORM.S.DIST(Table1[[#This Row],[Birthweight Z-Score]],TRUE)*100,"")</f>
        <v/>
      </c>
      <c r="K1165" s="7" t="str">
        <f>IF(Table1[[#This Row],[Is Data Valid]]=TRUE,_xlfn.NORM.S.DIST(Table1[[#This Row],[Birthweight Z-Score (BW-10%)]],TRUE)*100,"")</f>
        <v/>
      </c>
      <c r="L1165" s="7" t="str">
        <f>IF(Table1[[#This Row],[Is Data Valid]]=TRUE,_xlfn.NORM.S.DIST(Table1[[#This Row],[Birthweight Z-Score (BW+10%)]],TRUE)*100,"")</f>
        <v/>
      </c>
    </row>
    <row r="1166" spans="1:12" x14ac:dyDescent="0.35">
      <c r="A1166" s="3"/>
      <c r="B1166" s="2"/>
      <c r="C1166" s="2"/>
      <c r="D1166" s="2" t="b">
        <f>IF(AND(NOT(ISBLANK(Table1[[#This Row],[Fetal Sex (Male, Female or Unknown)]])),ISNUMBER(Table1[[#This Row],[Birthweight (grams)]]),ISNUMBER(Table1[[#This Row],[Gestation (days)]])),TRUE,FALSE)</f>
        <v>0</v>
      </c>
      <c r="E1166" s="2" t="str">
        <f>IF(Table1[[#This Row],[Is Data Valid]]=TRUE,IF(Table1[[#This Row],[Fetal Sex (Male, Female or Unknown)]]="Male",Backend!$C$6,IF(Table1[[#This Row],[Fetal Sex (Male, Female or Unknown)]]="Female",Backend!$C$7,IF(Table1[[#This Row],[Fetal Sex (Male, Female or Unknown)]]="Unknown",Backend!$C$8,"Error"))),"")</f>
        <v/>
      </c>
      <c r="F1166" s="8" t="str">
        <f>IF(Table1[[#This Row],[Is Data Valid]]=TRUE,EXP(0.578+0.332*((Table1[[#This Row],[Gestation (days)]]+0.5)/7)-0.00354*((Table1[[#This Row],[Gestation (days)]]+0.5)/7)^2)*Table1[[#This Row],[BW40_3705]],"")</f>
        <v/>
      </c>
      <c r="G1166" s="2" t="str">
        <f>IF(Table1[[#This Row],[Is Data Valid]]=TRUE,((Table1[[#This Row],[Birthweight (grams)]]/Table1[[#This Row],[BW_GA]])-1)/(Backend!$B$4/100*Table1[[#This Row],[BW40_3705]]),"")</f>
        <v/>
      </c>
      <c r="H1166" s="7" t="str">
        <f>IF(Table1[[#This Row],[Is Data Valid]]=TRUE,((Table1[[#This Row],[Birthweight (grams)]]*0.9/Table1[[#This Row],[BW_GA]])-1)/(Backend!$B$4/100*Table1[[#This Row],[BW40_3705]]),"")</f>
        <v/>
      </c>
      <c r="I1166" s="7" t="str">
        <f>IF(Table1[[#This Row],[Is Data Valid]]=TRUE,((Table1[[#This Row],[Birthweight (grams)]]*1.1/Table1[[#This Row],[BW_GA]])-1)/(Backend!$B$4/100*Table1[[#This Row],[BW40_3705]]),"")</f>
        <v/>
      </c>
      <c r="J1166" s="7" t="str">
        <f>IF(Table1[[#This Row],[Is Data Valid]]=TRUE,_xlfn.NORM.S.DIST(Table1[[#This Row],[Birthweight Z-Score]],TRUE)*100,"")</f>
        <v/>
      </c>
      <c r="K1166" s="7" t="str">
        <f>IF(Table1[[#This Row],[Is Data Valid]]=TRUE,_xlfn.NORM.S.DIST(Table1[[#This Row],[Birthweight Z-Score (BW-10%)]],TRUE)*100,"")</f>
        <v/>
      </c>
      <c r="L1166" s="7" t="str">
        <f>IF(Table1[[#This Row],[Is Data Valid]]=TRUE,_xlfn.NORM.S.DIST(Table1[[#This Row],[Birthweight Z-Score (BW+10%)]],TRUE)*100,"")</f>
        <v/>
      </c>
    </row>
    <row r="1167" spans="1:12" x14ac:dyDescent="0.35">
      <c r="A1167" s="3"/>
      <c r="B1167" s="2"/>
      <c r="C1167" s="2"/>
      <c r="D1167" s="2" t="b">
        <f>IF(AND(NOT(ISBLANK(Table1[[#This Row],[Fetal Sex (Male, Female or Unknown)]])),ISNUMBER(Table1[[#This Row],[Birthweight (grams)]]),ISNUMBER(Table1[[#This Row],[Gestation (days)]])),TRUE,FALSE)</f>
        <v>0</v>
      </c>
      <c r="E1167" s="2" t="str">
        <f>IF(Table1[[#This Row],[Is Data Valid]]=TRUE,IF(Table1[[#This Row],[Fetal Sex (Male, Female or Unknown)]]="Male",Backend!$C$6,IF(Table1[[#This Row],[Fetal Sex (Male, Female or Unknown)]]="Female",Backend!$C$7,IF(Table1[[#This Row],[Fetal Sex (Male, Female or Unknown)]]="Unknown",Backend!$C$8,"Error"))),"")</f>
        <v/>
      </c>
      <c r="F1167" s="8" t="str">
        <f>IF(Table1[[#This Row],[Is Data Valid]]=TRUE,EXP(0.578+0.332*((Table1[[#This Row],[Gestation (days)]]+0.5)/7)-0.00354*((Table1[[#This Row],[Gestation (days)]]+0.5)/7)^2)*Table1[[#This Row],[BW40_3705]],"")</f>
        <v/>
      </c>
      <c r="G1167" s="2" t="str">
        <f>IF(Table1[[#This Row],[Is Data Valid]]=TRUE,((Table1[[#This Row],[Birthweight (grams)]]/Table1[[#This Row],[BW_GA]])-1)/(Backend!$B$4/100*Table1[[#This Row],[BW40_3705]]),"")</f>
        <v/>
      </c>
      <c r="H1167" s="7" t="str">
        <f>IF(Table1[[#This Row],[Is Data Valid]]=TRUE,((Table1[[#This Row],[Birthweight (grams)]]*0.9/Table1[[#This Row],[BW_GA]])-1)/(Backend!$B$4/100*Table1[[#This Row],[BW40_3705]]),"")</f>
        <v/>
      </c>
      <c r="I1167" s="7" t="str">
        <f>IF(Table1[[#This Row],[Is Data Valid]]=TRUE,((Table1[[#This Row],[Birthweight (grams)]]*1.1/Table1[[#This Row],[BW_GA]])-1)/(Backend!$B$4/100*Table1[[#This Row],[BW40_3705]]),"")</f>
        <v/>
      </c>
      <c r="J1167" s="7" t="str">
        <f>IF(Table1[[#This Row],[Is Data Valid]]=TRUE,_xlfn.NORM.S.DIST(Table1[[#This Row],[Birthweight Z-Score]],TRUE)*100,"")</f>
        <v/>
      </c>
      <c r="K1167" s="7" t="str">
        <f>IF(Table1[[#This Row],[Is Data Valid]]=TRUE,_xlfn.NORM.S.DIST(Table1[[#This Row],[Birthweight Z-Score (BW-10%)]],TRUE)*100,"")</f>
        <v/>
      </c>
      <c r="L1167" s="7" t="str">
        <f>IF(Table1[[#This Row],[Is Data Valid]]=TRUE,_xlfn.NORM.S.DIST(Table1[[#This Row],[Birthweight Z-Score (BW+10%)]],TRUE)*100,"")</f>
        <v/>
      </c>
    </row>
    <row r="1168" spans="1:12" x14ac:dyDescent="0.35">
      <c r="A1168" s="3"/>
      <c r="B1168" s="2"/>
      <c r="C1168" s="2"/>
      <c r="D1168" s="2" t="b">
        <f>IF(AND(NOT(ISBLANK(Table1[[#This Row],[Fetal Sex (Male, Female or Unknown)]])),ISNUMBER(Table1[[#This Row],[Birthweight (grams)]]),ISNUMBER(Table1[[#This Row],[Gestation (days)]])),TRUE,FALSE)</f>
        <v>0</v>
      </c>
      <c r="E1168" s="2" t="str">
        <f>IF(Table1[[#This Row],[Is Data Valid]]=TRUE,IF(Table1[[#This Row],[Fetal Sex (Male, Female or Unknown)]]="Male",Backend!$C$6,IF(Table1[[#This Row],[Fetal Sex (Male, Female or Unknown)]]="Female",Backend!$C$7,IF(Table1[[#This Row],[Fetal Sex (Male, Female or Unknown)]]="Unknown",Backend!$C$8,"Error"))),"")</f>
        <v/>
      </c>
      <c r="F1168" s="8" t="str">
        <f>IF(Table1[[#This Row],[Is Data Valid]]=TRUE,EXP(0.578+0.332*((Table1[[#This Row],[Gestation (days)]]+0.5)/7)-0.00354*((Table1[[#This Row],[Gestation (days)]]+0.5)/7)^2)*Table1[[#This Row],[BW40_3705]],"")</f>
        <v/>
      </c>
      <c r="G1168" s="2" t="str">
        <f>IF(Table1[[#This Row],[Is Data Valid]]=TRUE,((Table1[[#This Row],[Birthweight (grams)]]/Table1[[#This Row],[BW_GA]])-1)/(Backend!$B$4/100*Table1[[#This Row],[BW40_3705]]),"")</f>
        <v/>
      </c>
      <c r="H1168" s="7" t="str">
        <f>IF(Table1[[#This Row],[Is Data Valid]]=TRUE,((Table1[[#This Row],[Birthweight (grams)]]*0.9/Table1[[#This Row],[BW_GA]])-1)/(Backend!$B$4/100*Table1[[#This Row],[BW40_3705]]),"")</f>
        <v/>
      </c>
      <c r="I1168" s="7" t="str">
        <f>IF(Table1[[#This Row],[Is Data Valid]]=TRUE,((Table1[[#This Row],[Birthweight (grams)]]*1.1/Table1[[#This Row],[BW_GA]])-1)/(Backend!$B$4/100*Table1[[#This Row],[BW40_3705]]),"")</f>
        <v/>
      </c>
      <c r="J1168" s="7" t="str">
        <f>IF(Table1[[#This Row],[Is Data Valid]]=TRUE,_xlfn.NORM.S.DIST(Table1[[#This Row],[Birthweight Z-Score]],TRUE)*100,"")</f>
        <v/>
      </c>
      <c r="K1168" s="7" t="str">
        <f>IF(Table1[[#This Row],[Is Data Valid]]=TRUE,_xlfn.NORM.S.DIST(Table1[[#This Row],[Birthweight Z-Score (BW-10%)]],TRUE)*100,"")</f>
        <v/>
      </c>
      <c r="L1168" s="7" t="str">
        <f>IF(Table1[[#This Row],[Is Data Valid]]=TRUE,_xlfn.NORM.S.DIST(Table1[[#This Row],[Birthweight Z-Score (BW+10%)]],TRUE)*100,"")</f>
        <v/>
      </c>
    </row>
    <row r="1169" spans="1:12" x14ac:dyDescent="0.35">
      <c r="A1169" s="3"/>
      <c r="B1169" s="2"/>
      <c r="C1169" s="2"/>
      <c r="D1169" s="2" t="b">
        <f>IF(AND(NOT(ISBLANK(Table1[[#This Row],[Fetal Sex (Male, Female or Unknown)]])),ISNUMBER(Table1[[#This Row],[Birthweight (grams)]]),ISNUMBER(Table1[[#This Row],[Gestation (days)]])),TRUE,FALSE)</f>
        <v>0</v>
      </c>
      <c r="E1169" s="2" t="str">
        <f>IF(Table1[[#This Row],[Is Data Valid]]=TRUE,IF(Table1[[#This Row],[Fetal Sex (Male, Female or Unknown)]]="Male",Backend!$C$6,IF(Table1[[#This Row],[Fetal Sex (Male, Female or Unknown)]]="Female",Backend!$C$7,IF(Table1[[#This Row],[Fetal Sex (Male, Female or Unknown)]]="Unknown",Backend!$C$8,"Error"))),"")</f>
        <v/>
      </c>
      <c r="F1169" s="8" t="str">
        <f>IF(Table1[[#This Row],[Is Data Valid]]=TRUE,EXP(0.578+0.332*((Table1[[#This Row],[Gestation (days)]]+0.5)/7)-0.00354*((Table1[[#This Row],[Gestation (days)]]+0.5)/7)^2)*Table1[[#This Row],[BW40_3705]],"")</f>
        <v/>
      </c>
      <c r="G1169" s="2" t="str">
        <f>IF(Table1[[#This Row],[Is Data Valid]]=TRUE,((Table1[[#This Row],[Birthweight (grams)]]/Table1[[#This Row],[BW_GA]])-1)/(Backend!$B$4/100*Table1[[#This Row],[BW40_3705]]),"")</f>
        <v/>
      </c>
      <c r="H1169" s="7" t="str">
        <f>IF(Table1[[#This Row],[Is Data Valid]]=TRUE,((Table1[[#This Row],[Birthweight (grams)]]*0.9/Table1[[#This Row],[BW_GA]])-1)/(Backend!$B$4/100*Table1[[#This Row],[BW40_3705]]),"")</f>
        <v/>
      </c>
      <c r="I1169" s="7" t="str">
        <f>IF(Table1[[#This Row],[Is Data Valid]]=TRUE,((Table1[[#This Row],[Birthweight (grams)]]*1.1/Table1[[#This Row],[BW_GA]])-1)/(Backend!$B$4/100*Table1[[#This Row],[BW40_3705]]),"")</f>
        <v/>
      </c>
      <c r="J1169" s="7" t="str">
        <f>IF(Table1[[#This Row],[Is Data Valid]]=TRUE,_xlfn.NORM.S.DIST(Table1[[#This Row],[Birthweight Z-Score]],TRUE)*100,"")</f>
        <v/>
      </c>
      <c r="K1169" s="7" t="str">
        <f>IF(Table1[[#This Row],[Is Data Valid]]=TRUE,_xlfn.NORM.S.DIST(Table1[[#This Row],[Birthweight Z-Score (BW-10%)]],TRUE)*100,"")</f>
        <v/>
      </c>
      <c r="L1169" s="7" t="str">
        <f>IF(Table1[[#This Row],[Is Data Valid]]=TRUE,_xlfn.NORM.S.DIST(Table1[[#This Row],[Birthweight Z-Score (BW+10%)]],TRUE)*100,"")</f>
        <v/>
      </c>
    </row>
    <row r="1170" spans="1:12" x14ac:dyDescent="0.35">
      <c r="A1170" s="3"/>
      <c r="B1170" s="2"/>
      <c r="C1170" s="2"/>
      <c r="D1170" s="2" t="b">
        <f>IF(AND(NOT(ISBLANK(Table1[[#This Row],[Fetal Sex (Male, Female or Unknown)]])),ISNUMBER(Table1[[#This Row],[Birthweight (grams)]]),ISNUMBER(Table1[[#This Row],[Gestation (days)]])),TRUE,FALSE)</f>
        <v>0</v>
      </c>
      <c r="E1170" s="2" t="str">
        <f>IF(Table1[[#This Row],[Is Data Valid]]=TRUE,IF(Table1[[#This Row],[Fetal Sex (Male, Female or Unknown)]]="Male",Backend!$C$6,IF(Table1[[#This Row],[Fetal Sex (Male, Female or Unknown)]]="Female",Backend!$C$7,IF(Table1[[#This Row],[Fetal Sex (Male, Female or Unknown)]]="Unknown",Backend!$C$8,"Error"))),"")</f>
        <v/>
      </c>
      <c r="F1170" s="8" t="str">
        <f>IF(Table1[[#This Row],[Is Data Valid]]=TRUE,EXP(0.578+0.332*((Table1[[#This Row],[Gestation (days)]]+0.5)/7)-0.00354*((Table1[[#This Row],[Gestation (days)]]+0.5)/7)^2)*Table1[[#This Row],[BW40_3705]],"")</f>
        <v/>
      </c>
      <c r="G1170" s="2" t="str">
        <f>IF(Table1[[#This Row],[Is Data Valid]]=TRUE,((Table1[[#This Row],[Birthweight (grams)]]/Table1[[#This Row],[BW_GA]])-1)/(Backend!$B$4/100*Table1[[#This Row],[BW40_3705]]),"")</f>
        <v/>
      </c>
      <c r="H1170" s="7" t="str">
        <f>IF(Table1[[#This Row],[Is Data Valid]]=TRUE,((Table1[[#This Row],[Birthweight (grams)]]*0.9/Table1[[#This Row],[BW_GA]])-1)/(Backend!$B$4/100*Table1[[#This Row],[BW40_3705]]),"")</f>
        <v/>
      </c>
      <c r="I1170" s="7" t="str">
        <f>IF(Table1[[#This Row],[Is Data Valid]]=TRUE,((Table1[[#This Row],[Birthweight (grams)]]*1.1/Table1[[#This Row],[BW_GA]])-1)/(Backend!$B$4/100*Table1[[#This Row],[BW40_3705]]),"")</f>
        <v/>
      </c>
      <c r="J1170" s="7" t="str">
        <f>IF(Table1[[#This Row],[Is Data Valid]]=TRUE,_xlfn.NORM.S.DIST(Table1[[#This Row],[Birthweight Z-Score]],TRUE)*100,"")</f>
        <v/>
      </c>
      <c r="K1170" s="7" t="str">
        <f>IF(Table1[[#This Row],[Is Data Valid]]=TRUE,_xlfn.NORM.S.DIST(Table1[[#This Row],[Birthweight Z-Score (BW-10%)]],TRUE)*100,"")</f>
        <v/>
      </c>
      <c r="L1170" s="7" t="str">
        <f>IF(Table1[[#This Row],[Is Data Valid]]=TRUE,_xlfn.NORM.S.DIST(Table1[[#This Row],[Birthweight Z-Score (BW+10%)]],TRUE)*100,"")</f>
        <v/>
      </c>
    </row>
    <row r="1171" spans="1:12" x14ac:dyDescent="0.35">
      <c r="A1171" s="3"/>
      <c r="B1171" s="2"/>
      <c r="C1171" s="2"/>
      <c r="D1171" s="2" t="b">
        <f>IF(AND(NOT(ISBLANK(Table1[[#This Row],[Fetal Sex (Male, Female or Unknown)]])),ISNUMBER(Table1[[#This Row],[Birthweight (grams)]]),ISNUMBER(Table1[[#This Row],[Gestation (days)]])),TRUE,FALSE)</f>
        <v>0</v>
      </c>
      <c r="E1171" s="2" t="str">
        <f>IF(Table1[[#This Row],[Is Data Valid]]=TRUE,IF(Table1[[#This Row],[Fetal Sex (Male, Female or Unknown)]]="Male",Backend!$C$6,IF(Table1[[#This Row],[Fetal Sex (Male, Female or Unknown)]]="Female",Backend!$C$7,IF(Table1[[#This Row],[Fetal Sex (Male, Female or Unknown)]]="Unknown",Backend!$C$8,"Error"))),"")</f>
        <v/>
      </c>
      <c r="F1171" s="8" t="str">
        <f>IF(Table1[[#This Row],[Is Data Valid]]=TRUE,EXP(0.578+0.332*((Table1[[#This Row],[Gestation (days)]]+0.5)/7)-0.00354*((Table1[[#This Row],[Gestation (days)]]+0.5)/7)^2)*Table1[[#This Row],[BW40_3705]],"")</f>
        <v/>
      </c>
      <c r="G1171" s="2" t="str">
        <f>IF(Table1[[#This Row],[Is Data Valid]]=TRUE,((Table1[[#This Row],[Birthweight (grams)]]/Table1[[#This Row],[BW_GA]])-1)/(Backend!$B$4/100*Table1[[#This Row],[BW40_3705]]),"")</f>
        <v/>
      </c>
      <c r="H1171" s="7" t="str">
        <f>IF(Table1[[#This Row],[Is Data Valid]]=TRUE,((Table1[[#This Row],[Birthweight (grams)]]*0.9/Table1[[#This Row],[BW_GA]])-1)/(Backend!$B$4/100*Table1[[#This Row],[BW40_3705]]),"")</f>
        <v/>
      </c>
      <c r="I1171" s="7" t="str">
        <f>IF(Table1[[#This Row],[Is Data Valid]]=TRUE,((Table1[[#This Row],[Birthweight (grams)]]*1.1/Table1[[#This Row],[BW_GA]])-1)/(Backend!$B$4/100*Table1[[#This Row],[BW40_3705]]),"")</f>
        <v/>
      </c>
      <c r="J1171" s="7" t="str">
        <f>IF(Table1[[#This Row],[Is Data Valid]]=TRUE,_xlfn.NORM.S.DIST(Table1[[#This Row],[Birthweight Z-Score]],TRUE)*100,"")</f>
        <v/>
      </c>
      <c r="K1171" s="7" t="str">
        <f>IF(Table1[[#This Row],[Is Data Valid]]=TRUE,_xlfn.NORM.S.DIST(Table1[[#This Row],[Birthweight Z-Score (BW-10%)]],TRUE)*100,"")</f>
        <v/>
      </c>
      <c r="L1171" s="7" t="str">
        <f>IF(Table1[[#This Row],[Is Data Valid]]=TRUE,_xlfn.NORM.S.DIST(Table1[[#This Row],[Birthweight Z-Score (BW+10%)]],TRUE)*100,"")</f>
        <v/>
      </c>
    </row>
    <row r="1172" spans="1:12" x14ac:dyDescent="0.35">
      <c r="A1172" s="3"/>
      <c r="B1172" s="2"/>
      <c r="C1172" s="2"/>
      <c r="D1172" s="2" t="b">
        <f>IF(AND(NOT(ISBLANK(Table1[[#This Row],[Fetal Sex (Male, Female or Unknown)]])),ISNUMBER(Table1[[#This Row],[Birthweight (grams)]]),ISNUMBER(Table1[[#This Row],[Gestation (days)]])),TRUE,FALSE)</f>
        <v>0</v>
      </c>
      <c r="E1172" s="2" t="str">
        <f>IF(Table1[[#This Row],[Is Data Valid]]=TRUE,IF(Table1[[#This Row],[Fetal Sex (Male, Female or Unknown)]]="Male",Backend!$C$6,IF(Table1[[#This Row],[Fetal Sex (Male, Female or Unknown)]]="Female",Backend!$C$7,IF(Table1[[#This Row],[Fetal Sex (Male, Female or Unknown)]]="Unknown",Backend!$C$8,"Error"))),"")</f>
        <v/>
      </c>
      <c r="F1172" s="8" t="str">
        <f>IF(Table1[[#This Row],[Is Data Valid]]=TRUE,EXP(0.578+0.332*((Table1[[#This Row],[Gestation (days)]]+0.5)/7)-0.00354*((Table1[[#This Row],[Gestation (days)]]+0.5)/7)^2)*Table1[[#This Row],[BW40_3705]],"")</f>
        <v/>
      </c>
      <c r="G1172" s="2" t="str">
        <f>IF(Table1[[#This Row],[Is Data Valid]]=TRUE,((Table1[[#This Row],[Birthweight (grams)]]/Table1[[#This Row],[BW_GA]])-1)/(Backend!$B$4/100*Table1[[#This Row],[BW40_3705]]),"")</f>
        <v/>
      </c>
      <c r="H1172" s="7" t="str">
        <f>IF(Table1[[#This Row],[Is Data Valid]]=TRUE,((Table1[[#This Row],[Birthweight (grams)]]*0.9/Table1[[#This Row],[BW_GA]])-1)/(Backend!$B$4/100*Table1[[#This Row],[BW40_3705]]),"")</f>
        <v/>
      </c>
      <c r="I1172" s="7" t="str">
        <f>IF(Table1[[#This Row],[Is Data Valid]]=TRUE,((Table1[[#This Row],[Birthweight (grams)]]*1.1/Table1[[#This Row],[BW_GA]])-1)/(Backend!$B$4/100*Table1[[#This Row],[BW40_3705]]),"")</f>
        <v/>
      </c>
      <c r="J1172" s="7" t="str">
        <f>IF(Table1[[#This Row],[Is Data Valid]]=TRUE,_xlfn.NORM.S.DIST(Table1[[#This Row],[Birthweight Z-Score]],TRUE)*100,"")</f>
        <v/>
      </c>
      <c r="K1172" s="7" t="str">
        <f>IF(Table1[[#This Row],[Is Data Valid]]=TRUE,_xlfn.NORM.S.DIST(Table1[[#This Row],[Birthweight Z-Score (BW-10%)]],TRUE)*100,"")</f>
        <v/>
      </c>
      <c r="L1172" s="7" t="str">
        <f>IF(Table1[[#This Row],[Is Data Valid]]=TRUE,_xlfn.NORM.S.DIST(Table1[[#This Row],[Birthweight Z-Score (BW+10%)]],TRUE)*100,"")</f>
        <v/>
      </c>
    </row>
    <row r="1173" spans="1:12" x14ac:dyDescent="0.35">
      <c r="A1173" s="3"/>
      <c r="B1173" s="2"/>
      <c r="C1173" s="2"/>
      <c r="D1173" s="2" t="b">
        <f>IF(AND(NOT(ISBLANK(Table1[[#This Row],[Fetal Sex (Male, Female or Unknown)]])),ISNUMBER(Table1[[#This Row],[Birthweight (grams)]]),ISNUMBER(Table1[[#This Row],[Gestation (days)]])),TRUE,FALSE)</f>
        <v>0</v>
      </c>
      <c r="E1173" s="2" t="str">
        <f>IF(Table1[[#This Row],[Is Data Valid]]=TRUE,IF(Table1[[#This Row],[Fetal Sex (Male, Female or Unknown)]]="Male",Backend!$C$6,IF(Table1[[#This Row],[Fetal Sex (Male, Female or Unknown)]]="Female",Backend!$C$7,IF(Table1[[#This Row],[Fetal Sex (Male, Female or Unknown)]]="Unknown",Backend!$C$8,"Error"))),"")</f>
        <v/>
      </c>
      <c r="F1173" s="8" t="str">
        <f>IF(Table1[[#This Row],[Is Data Valid]]=TRUE,EXP(0.578+0.332*((Table1[[#This Row],[Gestation (days)]]+0.5)/7)-0.00354*((Table1[[#This Row],[Gestation (days)]]+0.5)/7)^2)*Table1[[#This Row],[BW40_3705]],"")</f>
        <v/>
      </c>
      <c r="G1173" s="2" t="str">
        <f>IF(Table1[[#This Row],[Is Data Valid]]=TRUE,((Table1[[#This Row],[Birthweight (grams)]]/Table1[[#This Row],[BW_GA]])-1)/(Backend!$B$4/100*Table1[[#This Row],[BW40_3705]]),"")</f>
        <v/>
      </c>
      <c r="H1173" s="7" t="str">
        <f>IF(Table1[[#This Row],[Is Data Valid]]=TRUE,((Table1[[#This Row],[Birthweight (grams)]]*0.9/Table1[[#This Row],[BW_GA]])-1)/(Backend!$B$4/100*Table1[[#This Row],[BW40_3705]]),"")</f>
        <v/>
      </c>
      <c r="I1173" s="7" t="str">
        <f>IF(Table1[[#This Row],[Is Data Valid]]=TRUE,((Table1[[#This Row],[Birthweight (grams)]]*1.1/Table1[[#This Row],[BW_GA]])-1)/(Backend!$B$4/100*Table1[[#This Row],[BW40_3705]]),"")</f>
        <v/>
      </c>
      <c r="J1173" s="7" t="str">
        <f>IF(Table1[[#This Row],[Is Data Valid]]=TRUE,_xlfn.NORM.S.DIST(Table1[[#This Row],[Birthweight Z-Score]],TRUE)*100,"")</f>
        <v/>
      </c>
      <c r="K1173" s="7" t="str">
        <f>IF(Table1[[#This Row],[Is Data Valid]]=TRUE,_xlfn.NORM.S.DIST(Table1[[#This Row],[Birthweight Z-Score (BW-10%)]],TRUE)*100,"")</f>
        <v/>
      </c>
      <c r="L1173" s="7" t="str">
        <f>IF(Table1[[#This Row],[Is Data Valid]]=TRUE,_xlfn.NORM.S.DIST(Table1[[#This Row],[Birthweight Z-Score (BW+10%)]],TRUE)*100,"")</f>
        <v/>
      </c>
    </row>
    <row r="1174" spans="1:12" x14ac:dyDescent="0.35">
      <c r="A1174" s="3"/>
      <c r="B1174" s="2"/>
      <c r="C1174" s="2"/>
      <c r="D1174" s="2" t="b">
        <f>IF(AND(NOT(ISBLANK(Table1[[#This Row],[Fetal Sex (Male, Female or Unknown)]])),ISNUMBER(Table1[[#This Row],[Birthweight (grams)]]),ISNUMBER(Table1[[#This Row],[Gestation (days)]])),TRUE,FALSE)</f>
        <v>0</v>
      </c>
      <c r="E1174" s="2" t="str">
        <f>IF(Table1[[#This Row],[Is Data Valid]]=TRUE,IF(Table1[[#This Row],[Fetal Sex (Male, Female or Unknown)]]="Male",Backend!$C$6,IF(Table1[[#This Row],[Fetal Sex (Male, Female or Unknown)]]="Female",Backend!$C$7,IF(Table1[[#This Row],[Fetal Sex (Male, Female or Unknown)]]="Unknown",Backend!$C$8,"Error"))),"")</f>
        <v/>
      </c>
      <c r="F1174" s="8" t="str">
        <f>IF(Table1[[#This Row],[Is Data Valid]]=TRUE,EXP(0.578+0.332*((Table1[[#This Row],[Gestation (days)]]+0.5)/7)-0.00354*((Table1[[#This Row],[Gestation (days)]]+0.5)/7)^2)*Table1[[#This Row],[BW40_3705]],"")</f>
        <v/>
      </c>
      <c r="G1174" s="2" t="str">
        <f>IF(Table1[[#This Row],[Is Data Valid]]=TRUE,((Table1[[#This Row],[Birthweight (grams)]]/Table1[[#This Row],[BW_GA]])-1)/(Backend!$B$4/100*Table1[[#This Row],[BW40_3705]]),"")</f>
        <v/>
      </c>
      <c r="H1174" s="7" t="str">
        <f>IF(Table1[[#This Row],[Is Data Valid]]=TRUE,((Table1[[#This Row],[Birthweight (grams)]]*0.9/Table1[[#This Row],[BW_GA]])-1)/(Backend!$B$4/100*Table1[[#This Row],[BW40_3705]]),"")</f>
        <v/>
      </c>
      <c r="I1174" s="7" t="str">
        <f>IF(Table1[[#This Row],[Is Data Valid]]=TRUE,((Table1[[#This Row],[Birthweight (grams)]]*1.1/Table1[[#This Row],[BW_GA]])-1)/(Backend!$B$4/100*Table1[[#This Row],[BW40_3705]]),"")</f>
        <v/>
      </c>
      <c r="J1174" s="7" t="str">
        <f>IF(Table1[[#This Row],[Is Data Valid]]=TRUE,_xlfn.NORM.S.DIST(Table1[[#This Row],[Birthweight Z-Score]],TRUE)*100,"")</f>
        <v/>
      </c>
      <c r="K1174" s="7" t="str">
        <f>IF(Table1[[#This Row],[Is Data Valid]]=TRUE,_xlfn.NORM.S.DIST(Table1[[#This Row],[Birthweight Z-Score (BW-10%)]],TRUE)*100,"")</f>
        <v/>
      </c>
      <c r="L1174" s="7" t="str">
        <f>IF(Table1[[#This Row],[Is Data Valid]]=TRUE,_xlfn.NORM.S.DIST(Table1[[#This Row],[Birthweight Z-Score (BW+10%)]],TRUE)*100,"")</f>
        <v/>
      </c>
    </row>
    <row r="1175" spans="1:12" x14ac:dyDescent="0.35">
      <c r="A1175" s="3"/>
      <c r="B1175" s="2"/>
      <c r="C1175" s="2"/>
      <c r="D1175" s="2" t="b">
        <f>IF(AND(NOT(ISBLANK(Table1[[#This Row],[Fetal Sex (Male, Female or Unknown)]])),ISNUMBER(Table1[[#This Row],[Birthweight (grams)]]),ISNUMBER(Table1[[#This Row],[Gestation (days)]])),TRUE,FALSE)</f>
        <v>0</v>
      </c>
      <c r="E1175" s="2" t="str">
        <f>IF(Table1[[#This Row],[Is Data Valid]]=TRUE,IF(Table1[[#This Row],[Fetal Sex (Male, Female or Unknown)]]="Male",Backend!$C$6,IF(Table1[[#This Row],[Fetal Sex (Male, Female or Unknown)]]="Female",Backend!$C$7,IF(Table1[[#This Row],[Fetal Sex (Male, Female or Unknown)]]="Unknown",Backend!$C$8,"Error"))),"")</f>
        <v/>
      </c>
      <c r="F1175" s="8" t="str">
        <f>IF(Table1[[#This Row],[Is Data Valid]]=TRUE,EXP(0.578+0.332*((Table1[[#This Row],[Gestation (days)]]+0.5)/7)-0.00354*((Table1[[#This Row],[Gestation (days)]]+0.5)/7)^2)*Table1[[#This Row],[BW40_3705]],"")</f>
        <v/>
      </c>
      <c r="G1175" s="2" t="str">
        <f>IF(Table1[[#This Row],[Is Data Valid]]=TRUE,((Table1[[#This Row],[Birthweight (grams)]]/Table1[[#This Row],[BW_GA]])-1)/(Backend!$B$4/100*Table1[[#This Row],[BW40_3705]]),"")</f>
        <v/>
      </c>
      <c r="H1175" s="7" t="str">
        <f>IF(Table1[[#This Row],[Is Data Valid]]=TRUE,((Table1[[#This Row],[Birthweight (grams)]]*0.9/Table1[[#This Row],[BW_GA]])-1)/(Backend!$B$4/100*Table1[[#This Row],[BW40_3705]]),"")</f>
        <v/>
      </c>
      <c r="I1175" s="7" t="str">
        <f>IF(Table1[[#This Row],[Is Data Valid]]=TRUE,((Table1[[#This Row],[Birthweight (grams)]]*1.1/Table1[[#This Row],[BW_GA]])-1)/(Backend!$B$4/100*Table1[[#This Row],[BW40_3705]]),"")</f>
        <v/>
      </c>
      <c r="J1175" s="7" t="str">
        <f>IF(Table1[[#This Row],[Is Data Valid]]=TRUE,_xlfn.NORM.S.DIST(Table1[[#This Row],[Birthweight Z-Score]],TRUE)*100,"")</f>
        <v/>
      </c>
      <c r="K1175" s="7" t="str">
        <f>IF(Table1[[#This Row],[Is Data Valid]]=TRUE,_xlfn.NORM.S.DIST(Table1[[#This Row],[Birthweight Z-Score (BW-10%)]],TRUE)*100,"")</f>
        <v/>
      </c>
      <c r="L1175" s="7" t="str">
        <f>IF(Table1[[#This Row],[Is Data Valid]]=TRUE,_xlfn.NORM.S.DIST(Table1[[#This Row],[Birthweight Z-Score (BW+10%)]],TRUE)*100,"")</f>
        <v/>
      </c>
    </row>
    <row r="1176" spans="1:12" x14ac:dyDescent="0.35">
      <c r="A1176" s="3"/>
      <c r="B1176" s="2"/>
      <c r="C1176" s="2"/>
      <c r="D1176" s="2" t="b">
        <f>IF(AND(NOT(ISBLANK(Table1[[#This Row],[Fetal Sex (Male, Female or Unknown)]])),ISNUMBER(Table1[[#This Row],[Birthweight (grams)]]),ISNUMBER(Table1[[#This Row],[Gestation (days)]])),TRUE,FALSE)</f>
        <v>0</v>
      </c>
      <c r="E1176" s="2" t="str">
        <f>IF(Table1[[#This Row],[Is Data Valid]]=TRUE,IF(Table1[[#This Row],[Fetal Sex (Male, Female or Unknown)]]="Male",Backend!$C$6,IF(Table1[[#This Row],[Fetal Sex (Male, Female or Unknown)]]="Female",Backend!$C$7,IF(Table1[[#This Row],[Fetal Sex (Male, Female or Unknown)]]="Unknown",Backend!$C$8,"Error"))),"")</f>
        <v/>
      </c>
      <c r="F1176" s="8" t="str">
        <f>IF(Table1[[#This Row],[Is Data Valid]]=TRUE,EXP(0.578+0.332*((Table1[[#This Row],[Gestation (days)]]+0.5)/7)-0.00354*((Table1[[#This Row],[Gestation (days)]]+0.5)/7)^2)*Table1[[#This Row],[BW40_3705]],"")</f>
        <v/>
      </c>
      <c r="G1176" s="2" t="str">
        <f>IF(Table1[[#This Row],[Is Data Valid]]=TRUE,((Table1[[#This Row],[Birthweight (grams)]]/Table1[[#This Row],[BW_GA]])-1)/(Backend!$B$4/100*Table1[[#This Row],[BW40_3705]]),"")</f>
        <v/>
      </c>
      <c r="H1176" s="7" t="str">
        <f>IF(Table1[[#This Row],[Is Data Valid]]=TRUE,((Table1[[#This Row],[Birthweight (grams)]]*0.9/Table1[[#This Row],[BW_GA]])-1)/(Backend!$B$4/100*Table1[[#This Row],[BW40_3705]]),"")</f>
        <v/>
      </c>
      <c r="I1176" s="7" t="str">
        <f>IF(Table1[[#This Row],[Is Data Valid]]=TRUE,((Table1[[#This Row],[Birthweight (grams)]]*1.1/Table1[[#This Row],[BW_GA]])-1)/(Backend!$B$4/100*Table1[[#This Row],[BW40_3705]]),"")</f>
        <v/>
      </c>
      <c r="J1176" s="7" t="str">
        <f>IF(Table1[[#This Row],[Is Data Valid]]=TRUE,_xlfn.NORM.S.DIST(Table1[[#This Row],[Birthweight Z-Score]],TRUE)*100,"")</f>
        <v/>
      </c>
      <c r="K1176" s="7" t="str">
        <f>IF(Table1[[#This Row],[Is Data Valid]]=TRUE,_xlfn.NORM.S.DIST(Table1[[#This Row],[Birthweight Z-Score (BW-10%)]],TRUE)*100,"")</f>
        <v/>
      </c>
      <c r="L1176" s="7" t="str">
        <f>IF(Table1[[#This Row],[Is Data Valid]]=TRUE,_xlfn.NORM.S.DIST(Table1[[#This Row],[Birthweight Z-Score (BW+10%)]],TRUE)*100,"")</f>
        <v/>
      </c>
    </row>
    <row r="1177" spans="1:12" x14ac:dyDescent="0.35">
      <c r="A1177" s="3"/>
      <c r="B1177" s="2"/>
      <c r="C1177" s="2"/>
      <c r="D1177" s="2" t="b">
        <f>IF(AND(NOT(ISBLANK(Table1[[#This Row],[Fetal Sex (Male, Female or Unknown)]])),ISNUMBER(Table1[[#This Row],[Birthweight (grams)]]),ISNUMBER(Table1[[#This Row],[Gestation (days)]])),TRUE,FALSE)</f>
        <v>0</v>
      </c>
      <c r="E1177" s="2" t="str">
        <f>IF(Table1[[#This Row],[Is Data Valid]]=TRUE,IF(Table1[[#This Row],[Fetal Sex (Male, Female or Unknown)]]="Male",Backend!$C$6,IF(Table1[[#This Row],[Fetal Sex (Male, Female or Unknown)]]="Female",Backend!$C$7,IF(Table1[[#This Row],[Fetal Sex (Male, Female or Unknown)]]="Unknown",Backend!$C$8,"Error"))),"")</f>
        <v/>
      </c>
      <c r="F1177" s="8" t="str">
        <f>IF(Table1[[#This Row],[Is Data Valid]]=TRUE,EXP(0.578+0.332*((Table1[[#This Row],[Gestation (days)]]+0.5)/7)-0.00354*((Table1[[#This Row],[Gestation (days)]]+0.5)/7)^2)*Table1[[#This Row],[BW40_3705]],"")</f>
        <v/>
      </c>
      <c r="G1177" s="2" t="str">
        <f>IF(Table1[[#This Row],[Is Data Valid]]=TRUE,((Table1[[#This Row],[Birthweight (grams)]]/Table1[[#This Row],[BW_GA]])-1)/(Backend!$B$4/100*Table1[[#This Row],[BW40_3705]]),"")</f>
        <v/>
      </c>
      <c r="H1177" s="7" t="str">
        <f>IF(Table1[[#This Row],[Is Data Valid]]=TRUE,((Table1[[#This Row],[Birthweight (grams)]]*0.9/Table1[[#This Row],[BW_GA]])-1)/(Backend!$B$4/100*Table1[[#This Row],[BW40_3705]]),"")</f>
        <v/>
      </c>
      <c r="I1177" s="7" t="str">
        <f>IF(Table1[[#This Row],[Is Data Valid]]=TRUE,((Table1[[#This Row],[Birthweight (grams)]]*1.1/Table1[[#This Row],[BW_GA]])-1)/(Backend!$B$4/100*Table1[[#This Row],[BW40_3705]]),"")</f>
        <v/>
      </c>
      <c r="J1177" s="7" t="str">
        <f>IF(Table1[[#This Row],[Is Data Valid]]=TRUE,_xlfn.NORM.S.DIST(Table1[[#This Row],[Birthweight Z-Score]],TRUE)*100,"")</f>
        <v/>
      </c>
      <c r="K1177" s="7" t="str">
        <f>IF(Table1[[#This Row],[Is Data Valid]]=TRUE,_xlfn.NORM.S.DIST(Table1[[#This Row],[Birthweight Z-Score (BW-10%)]],TRUE)*100,"")</f>
        <v/>
      </c>
      <c r="L1177" s="7" t="str">
        <f>IF(Table1[[#This Row],[Is Data Valid]]=TRUE,_xlfn.NORM.S.DIST(Table1[[#This Row],[Birthweight Z-Score (BW+10%)]],TRUE)*100,"")</f>
        <v/>
      </c>
    </row>
    <row r="1178" spans="1:12" x14ac:dyDescent="0.35">
      <c r="A1178" s="3"/>
      <c r="B1178" s="2"/>
      <c r="C1178" s="2"/>
      <c r="D1178" s="2" t="b">
        <f>IF(AND(NOT(ISBLANK(Table1[[#This Row],[Fetal Sex (Male, Female or Unknown)]])),ISNUMBER(Table1[[#This Row],[Birthweight (grams)]]),ISNUMBER(Table1[[#This Row],[Gestation (days)]])),TRUE,FALSE)</f>
        <v>0</v>
      </c>
      <c r="E1178" s="2" t="str">
        <f>IF(Table1[[#This Row],[Is Data Valid]]=TRUE,IF(Table1[[#This Row],[Fetal Sex (Male, Female or Unknown)]]="Male",Backend!$C$6,IF(Table1[[#This Row],[Fetal Sex (Male, Female or Unknown)]]="Female",Backend!$C$7,IF(Table1[[#This Row],[Fetal Sex (Male, Female or Unknown)]]="Unknown",Backend!$C$8,"Error"))),"")</f>
        <v/>
      </c>
      <c r="F1178" s="8" t="str">
        <f>IF(Table1[[#This Row],[Is Data Valid]]=TRUE,EXP(0.578+0.332*((Table1[[#This Row],[Gestation (days)]]+0.5)/7)-0.00354*((Table1[[#This Row],[Gestation (days)]]+0.5)/7)^2)*Table1[[#This Row],[BW40_3705]],"")</f>
        <v/>
      </c>
      <c r="G1178" s="2" t="str">
        <f>IF(Table1[[#This Row],[Is Data Valid]]=TRUE,((Table1[[#This Row],[Birthweight (grams)]]/Table1[[#This Row],[BW_GA]])-1)/(Backend!$B$4/100*Table1[[#This Row],[BW40_3705]]),"")</f>
        <v/>
      </c>
      <c r="H1178" s="7" t="str">
        <f>IF(Table1[[#This Row],[Is Data Valid]]=TRUE,((Table1[[#This Row],[Birthweight (grams)]]*0.9/Table1[[#This Row],[BW_GA]])-1)/(Backend!$B$4/100*Table1[[#This Row],[BW40_3705]]),"")</f>
        <v/>
      </c>
      <c r="I1178" s="7" t="str">
        <f>IF(Table1[[#This Row],[Is Data Valid]]=TRUE,((Table1[[#This Row],[Birthweight (grams)]]*1.1/Table1[[#This Row],[BW_GA]])-1)/(Backend!$B$4/100*Table1[[#This Row],[BW40_3705]]),"")</f>
        <v/>
      </c>
      <c r="J1178" s="7" t="str">
        <f>IF(Table1[[#This Row],[Is Data Valid]]=TRUE,_xlfn.NORM.S.DIST(Table1[[#This Row],[Birthweight Z-Score]],TRUE)*100,"")</f>
        <v/>
      </c>
      <c r="K1178" s="7" t="str">
        <f>IF(Table1[[#This Row],[Is Data Valid]]=TRUE,_xlfn.NORM.S.DIST(Table1[[#This Row],[Birthweight Z-Score (BW-10%)]],TRUE)*100,"")</f>
        <v/>
      </c>
      <c r="L1178" s="7" t="str">
        <f>IF(Table1[[#This Row],[Is Data Valid]]=TRUE,_xlfn.NORM.S.DIST(Table1[[#This Row],[Birthweight Z-Score (BW+10%)]],TRUE)*100,"")</f>
        <v/>
      </c>
    </row>
    <row r="1179" spans="1:12" x14ac:dyDescent="0.35">
      <c r="A1179" s="3"/>
      <c r="B1179" s="2"/>
      <c r="C1179" s="2"/>
      <c r="D1179" s="2" t="b">
        <f>IF(AND(NOT(ISBLANK(Table1[[#This Row],[Fetal Sex (Male, Female or Unknown)]])),ISNUMBER(Table1[[#This Row],[Birthweight (grams)]]),ISNUMBER(Table1[[#This Row],[Gestation (days)]])),TRUE,FALSE)</f>
        <v>0</v>
      </c>
      <c r="E1179" s="2" t="str">
        <f>IF(Table1[[#This Row],[Is Data Valid]]=TRUE,IF(Table1[[#This Row],[Fetal Sex (Male, Female or Unknown)]]="Male",Backend!$C$6,IF(Table1[[#This Row],[Fetal Sex (Male, Female or Unknown)]]="Female",Backend!$C$7,IF(Table1[[#This Row],[Fetal Sex (Male, Female or Unknown)]]="Unknown",Backend!$C$8,"Error"))),"")</f>
        <v/>
      </c>
      <c r="F1179" s="8" t="str">
        <f>IF(Table1[[#This Row],[Is Data Valid]]=TRUE,EXP(0.578+0.332*((Table1[[#This Row],[Gestation (days)]]+0.5)/7)-0.00354*((Table1[[#This Row],[Gestation (days)]]+0.5)/7)^2)*Table1[[#This Row],[BW40_3705]],"")</f>
        <v/>
      </c>
      <c r="G1179" s="2" t="str">
        <f>IF(Table1[[#This Row],[Is Data Valid]]=TRUE,((Table1[[#This Row],[Birthweight (grams)]]/Table1[[#This Row],[BW_GA]])-1)/(Backend!$B$4/100*Table1[[#This Row],[BW40_3705]]),"")</f>
        <v/>
      </c>
      <c r="H1179" s="7" t="str">
        <f>IF(Table1[[#This Row],[Is Data Valid]]=TRUE,((Table1[[#This Row],[Birthweight (grams)]]*0.9/Table1[[#This Row],[BW_GA]])-1)/(Backend!$B$4/100*Table1[[#This Row],[BW40_3705]]),"")</f>
        <v/>
      </c>
      <c r="I1179" s="7" t="str">
        <f>IF(Table1[[#This Row],[Is Data Valid]]=TRUE,((Table1[[#This Row],[Birthweight (grams)]]*1.1/Table1[[#This Row],[BW_GA]])-1)/(Backend!$B$4/100*Table1[[#This Row],[BW40_3705]]),"")</f>
        <v/>
      </c>
      <c r="J1179" s="7" t="str">
        <f>IF(Table1[[#This Row],[Is Data Valid]]=TRUE,_xlfn.NORM.S.DIST(Table1[[#This Row],[Birthweight Z-Score]],TRUE)*100,"")</f>
        <v/>
      </c>
      <c r="K1179" s="7" t="str">
        <f>IF(Table1[[#This Row],[Is Data Valid]]=TRUE,_xlfn.NORM.S.DIST(Table1[[#This Row],[Birthweight Z-Score (BW-10%)]],TRUE)*100,"")</f>
        <v/>
      </c>
      <c r="L1179" s="7" t="str">
        <f>IF(Table1[[#This Row],[Is Data Valid]]=TRUE,_xlfn.NORM.S.DIST(Table1[[#This Row],[Birthweight Z-Score (BW+10%)]],TRUE)*100,"")</f>
        <v/>
      </c>
    </row>
    <row r="1180" spans="1:12" x14ac:dyDescent="0.35">
      <c r="A1180" s="3"/>
      <c r="B1180" s="2"/>
      <c r="C1180" s="2"/>
      <c r="D1180" s="2" t="b">
        <f>IF(AND(NOT(ISBLANK(Table1[[#This Row],[Fetal Sex (Male, Female or Unknown)]])),ISNUMBER(Table1[[#This Row],[Birthweight (grams)]]),ISNUMBER(Table1[[#This Row],[Gestation (days)]])),TRUE,FALSE)</f>
        <v>0</v>
      </c>
      <c r="E1180" s="2" t="str">
        <f>IF(Table1[[#This Row],[Is Data Valid]]=TRUE,IF(Table1[[#This Row],[Fetal Sex (Male, Female or Unknown)]]="Male",Backend!$C$6,IF(Table1[[#This Row],[Fetal Sex (Male, Female or Unknown)]]="Female",Backend!$C$7,IF(Table1[[#This Row],[Fetal Sex (Male, Female or Unknown)]]="Unknown",Backend!$C$8,"Error"))),"")</f>
        <v/>
      </c>
      <c r="F1180" s="8" t="str">
        <f>IF(Table1[[#This Row],[Is Data Valid]]=TRUE,EXP(0.578+0.332*((Table1[[#This Row],[Gestation (days)]]+0.5)/7)-0.00354*((Table1[[#This Row],[Gestation (days)]]+0.5)/7)^2)*Table1[[#This Row],[BW40_3705]],"")</f>
        <v/>
      </c>
      <c r="G1180" s="2" t="str">
        <f>IF(Table1[[#This Row],[Is Data Valid]]=TRUE,((Table1[[#This Row],[Birthweight (grams)]]/Table1[[#This Row],[BW_GA]])-1)/(Backend!$B$4/100*Table1[[#This Row],[BW40_3705]]),"")</f>
        <v/>
      </c>
      <c r="H1180" s="7" t="str">
        <f>IF(Table1[[#This Row],[Is Data Valid]]=TRUE,((Table1[[#This Row],[Birthweight (grams)]]*0.9/Table1[[#This Row],[BW_GA]])-1)/(Backend!$B$4/100*Table1[[#This Row],[BW40_3705]]),"")</f>
        <v/>
      </c>
      <c r="I1180" s="7" t="str">
        <f>IF(Table1[[#This Row],[Is Data Valid]]=TRUE,((Table1[[#This Row],[Birthweight (grams)]]*1.1/Table1[[#This Row],[BW_GA]])-1)/(Backend!$B$4/100*Table1[[#This Row],[BW40_3705]]),"")</f>
        <v/>
      </c>
      <c r="J1180" s="7" t="str">
        <f>IF(Table1[[#This Row],[Is Data Valid]]=TRUE,_xlfn.NORM.S.DIST(Table1[[#This Row],[Birthweight Z-Score]],TRUE)*100,"")</f>
        <v/>
      </c>
      <c r="K1180" s="7" t="str">
        <f>IF(Table1[[#This Row],[Is Data Valid]]=TRUE,_xlfn.NORM.S.DIST(Table1[[#This Row],[Birthweight Z-Score (BW-10%)]],TRUE)*100,"")</f>
        <v/>
      </c>
      <c r="L1180" s="7" t="str">
        <f>IF(Table1[[#This Row],[Is Data Valid]]=TRUE,_xlfn.NORM.S.DIST(Table1[[#This Row],[Birthweight Z-Score (BW+10%)]],TRUE)*100,"")</f>
        <v/>
      </c>
    </row>
    <row r="1181" spans="1:12" x14ac:dyDescent="0.35">
      <c r="A1181" s="3"/>
      <c r="B1181" s="2"/>
      <c r="C1181" s="2"/>
      <c r="D1181" s="2" t="b">
        <f>IF(AND(NOT(ISBLANK(Table1[[#This Row],[Fetal Sex (Male, Female or Unknown)]])),ISNUMBER(Table1[[#This Row],[Birthweight (grams)]]),ISNUMBER(Table1[[#This Row],[Gestation (days)]])),TRUE,FALSE)</f>
        <v>0</v>
      </c>
      <c r="E1181" s="2" t="str">
        <f>IF(Table1[[#This Row],[Is Data Valid]]=TRUE,IF(Table1[[#This Row],[Fetal Sex (Male, Female or Unknown)]]="Male",Backend!$C$6,IF(Table1[[#This Row],[Fetal Sex (Male, Female or Unknown)]]="Female",Backend!$C$7,IF(Table1[[#This Row],[Fetal Sex (Male, Female or Unknown)]]="Unknown",Backend!$C$8,"Error"))),"")</f>
        <v/>
      </c>
      <c r="F1181" s="8" t="str">
        <f>IF(Table1[[#This Row],[Is Data Valid]]=TRUE,EXP(0.578+0.332*((Table1[[#This Row],[Gestation (days)]]+0.5)/7)-0.00354*((Table1[[#This Row],[Gestation (days)]]+0.5)/7)^2)*Table1[[#This Row],[BW40_3705]],"")</f>
        <v/>
      </c>
      <c r="G1181" s="2" t="str">
        <f>IF(Table1[[#This Row],[Is Data Valid]]=TRUE,((Table1[[#This Row],[Birthweight (grams)]]/Table1[[#This Row],[BW_GA]])-1)/(Backend!$B$4/100*Table1[[#This Row],[BW40_3705]]),"")</f>
        <v/>
      </c>
      <c r="H1181" s="7" t="str">
        <f>IF(Table1[[#This Row],[Is Data Valid]]=TRUE,((Table1[[#This Row],[Birthweight (grams)]]*0.9/Table1[[#This Row],[BW_GA]])-1)/(Backend!$B$4/100*Table1[[#This Row],[BW40_3705]]),"")</f>
        <v/>
      </c>
      <c r="I1181" s="7" t="str">
        <f>IF(Table1[[#This Row],[Is Data Valid]]=TRUE,((Table1[[#This Row],[Birthweight (grams)]]*1.1/Table1[[#This Row],[BW_GA]])-1)/(Backend!$B$4/100*Table1[[#This Row],[BW40_3705]]),"")</f>
        <v/>
      </c>
      <c r="J1181" s="7" t="str">
        <f>IF(Table1[[#This Row],[Is Data Valid]]=TRUE,_xlfn.NORM.S.DIST(Table1[[#This Row],[Birthweight Z-Score]],TRUE)*100,"")</f>
        <v/>
      </c>
      <c r="K1181" s="7" t="str">
        <f>IF(Table1[[#This Row],[Is Data Valid]]=TRUE,_xlfn.NORM.S.DIST(Table1[[#This Row],[Birthweight Z-Score (BW-10%)]],TRUE)*100,"")</f>
        <v/>
      </c>
      <c r="L1181" s="7" t="str">
        <f>IF(Table1[[#This Row],[Is Data Valid]]=TRUE,_xlfn.NORM.S.DIST(Table1[[#This Row],[Birthweight Z-Score (BW+10%)]],TRUE)*100,"")</f>
        <v/>
      </c>
    </row>
    <row r="1182" spans="1:12" x14ac:dyDescent="0.35">
      <c r="A1182" s="3"/>
      <c r="B1182" s="2"/>
      <c r="C1182" s="2"/>
      <c r="D1182" s="2" t="b">
        <f>IF(AND(NOT(ISBLANK(Table1[[#This Row],[Fetal Sex (Male, Female or Unknown)]])),ISNUMBER(Table1[[#This Row],[Birthweight (grams)]]),ISNUMBER(Table1[[#This Row],[Gestation (days)]])),TRUE,FALSE)</f>
        <v>0</v>
      </c>
      <c r="E1182" s="2" t="str">
        <f>IF(Table1[[#This Row],[Is Data Valid]]=TRUE,IF(Table1[[#This Row],[Fetal Sex (Male, Female or Unknown)]]="Male",Backend!$C$6,IF(Table1[[#This Row],[Fetal Sex (Male, Female or Unknown)]]="Female",Backend!$C$7,IF(Table1[[#This Row],[Fetal Sex (Male, Female or Unknown)]]="Unknown",Backend!$C$8,"Error"))),"")</f>
        <v/>
      </c>
      <c r="F1182" s="8" t="str">
        <f>IF(Table1[[#This Row],[Is Data Valid]]=TRUE,EXP(0.578+0.332*((Table1[[#This Row],[Gestation (days)]]+0.5)/7)-0.00354*((Table1[[#This Row],[Gestation (days)]]+0.5)/7)^2)*Table1[[#This Row],[BW40_3705]],"")</f>
        <v/>
      </c>
      <c r="G1182" s="2" t="str">
        <f>IF(Table1[[#This Row],[Is Data Valid]]=TRUE,((Table1[[#This Row],[Birthweight (grams)]]/Table1[[#This Row],[BW_GA]])-1)/(Backend!$B$4/100*Table1[[#This Row],[BW40_3705]]),"")</f>
        <v/>
      </c>
      <c r="H1182" s="7" t="str">
        <f>IF(Table1[[#This Row],[Is Data Valid]]=TRUE,((Table1[[#This Row],[Birthweight (grams)]]*0.9/Table1[[#This Row],[BW_GA]])-1)/(Backend!$B$4/100*Table1[[#This Row],[BW40_3705]]),"")</f>
        <v/>
      </c>
      <c r="I1182" s="7" t="str">
        <f>IF(Table1[[#This Row],[Is Data Valid]]=TRUE,((Table1[[#This Row],[Birthweight (grams)]]*1.1/Table1[[#This Row],[BW_GA]])-1)/(Backend!$B$4/100*Table1[[#This Row],[BW40_3705]]),"")</f>
        <v/>
      </c>
      <c r="J1182" s="7" t="str">
        <f>IF(Table1[[#This Row],[Is Data Valid]]=TRUE,_xlfn.NORM.S.DIST(Table1[[#This Row],[Birthweight Z-Score]],TRUE)*100,"")</f>
        <v/>
      </c>
      <c r="K1182" s="7" t="str">
        <f>IF(Table1[[#This Row],[Is Data Valid]]=TRUE,_xlfn.NORM.S.DIST(Table1[[#This Row],[Birthweight Z-Score (BW-10%)]],TRUE)*100,"")</f>
        <v/>
      </c>
      <c r="L1182" s="7" t="str">
        <f>IF(Table1[[#This Row],[Is Data Valid]]=TRUE,_xlfn.NORM.S.DIST(Table1[[#This Row],[Birthweight Z-Score (BW+10%)]],TRUE)*100,"")</f>
        <v/>
      </c>
    </row>
    <row r="1183" spans="1:12" x14ac:dyDescent="0.35">
      <c r="A1183" s="3"/>
      <c r="B1183" s="2"/>
      <c r="C1183" s="2"/>
      <c r="D1183" s="2" t="b">
        <f>IF(AND(NOT(ISBLANK(Table1[[#This Row],[Fetal Sex (Male, Female or Unknown)]])),ISNUMBER(Table1[[#This Row],[Birthweight (grams)]]),ISNUMBER(Table1[[#This Row],[Gestation (days)]])),TRUE,FALSE)</f>
        <v>0</v>
      </c>
      <c r="E1183" s="2" t="str">
        <f>IF(Table1[[#This Row],[Is Data Valid]]=TRUE,IF(Table1[[#This Row],[Fetal Sex (Male, Female or Unknown)]]="Male",Backend!$C$6,IF(Table1[[#This Row],[Fetal Sex (Male, Female or Unknown)]]="Female",Backend!$C$7,IF(Table1[[#This Row],[Fetal Sex (Male, Female or Unknown)]]="Unknown",Backend!$C$8,"Error"))),"")</f>
        <v/>
      </c>
      <c r="F1183" s="8" t="str">
        <f>IF(Table1[[#This Row],[Is Data Valid]]=TRUE,EXP(0.578+0.332*((Table1[[#This Row],[Gestation (days)]]+0.5)/7)-0.00354*((Table1[[#This Row],[Gestation (days)]]+0.5)/7)^2)*Table1[[#This Row],[BW40_3705]],"")</f>
        <v/>
      </c>
      <c r="G1183" s="2" t="str">
        <f>IF(Table1[[#This Row],[Is Data Valid]]=TRUE,((Table1[[#This Row],[Birthweight (grams)]]/Table1[[#This Row],[BW_GA]])-1)/(Backend!$B$4/100*Table1[[#This Row],[BW40_3705]]),"")</f>
        <v/>
      </c>
      <c r="H1183" s="7" t="str">
        <f>IF(Table1[[#This Row],[Is Data Valid]]=TRUE,((Table1[[#This Row],[Birthweight (grams)]]*0.9/Table1[[#This Row],[BW_GA]])-1)/(Backend!$B$4/100*Table1[[#This Row],[BW40_3705]]),"")</f>
        <v/>
      </c>
      <c r="I1183" s="7" t="str">
        <f>IF(Table1[[#This Row],[Is Data Valid]]=TRUE,((Table1[[#This Row],[Birthweight (grams)]]*1.1/Table1[[#This Row],[BW_GA]])-1)/(Backend!$B$4/100*Table1[[#This Row],[BW40_3705]]),"")</f>
        <v/>
      </c>
      <c r="J1183" s="7" t="str">
        <f>IF(Table1[[#This Row],[Is Data Valid]]=TRUE,_xlfn.NORM.S.DIST(Table1[[#This Row],[Birthweight Z-Score]],TRUE)*100,"")</f>
        <v/>
      </c>
      <c r="K1183" s="7" t="str">
        <f>IF(Table1[[#This Row],[Is Data Valid]]=TRUE,_xlfn.NORM.S.DIST(Table1[[#This Row],[Birthweight Z-Score (BW-10%)]],TRUE)*100,"")</f>
        <v/>
      </c>
      <c r="L1183" s="7" t="str">
        <f>IF(Table1[[#This Row],[Is Data Valid]]=TRUE,_xlfn.NORM.S.DIST(Table1[[#This Row],[Birthweight Z-Score (BW+10%)]],TRUE)*100,"")</f>
        <v/>
      </c>
    </row>
    <row r="1184" spans="1:12" x14ac:dyDescent="0.35">
      <c r="A1184" s="3"/>
      <c r="B1184" s="2"/>
      <c r="C1184" s="2"/>
      <c r="D1184" s="2" t="b">
        <f>IF(AND(NOT(ISBLANK(Table1[[#This Row],[Fetal Sex (Male, Female or Unknown)]])),ISNUMBER(Table1[[#This Row],[Birthweight (grams)]]),ISNUMBER(Table1[[#This Row],[Gestation (days)]])),TRUE,FALSE)</f>
        <v>0</v>
      </c>
      <c r="E1184" s="2" t="str">
        <f>IF(Table1[[#This Row],[Is Data Valid]]=TRUE,IF(Table1[[#This Row],[Fetal Sex (Male, Female or Unknown)]]="Male",Backend!$C$6,IF(Table1[[#This Row],[Fetal Sex (Male, Female or Unknown)]]="Female",Backend!$C$7,IF(Table1[[#This Row],[Fetal Sex (Male, Female or Unknown)]]="Unknown",Backend!$C$8,"Error"))),"")</f>
        <v/>
      </c>
      <c r="F1184" s="8" t="str">
        <f>IF(Table1[[#This Row],[Is Data Valid]]=TRUE,EXP(0.578+0.332*((Table1[[#This Row],[Gestation (days)]]+0.5)/7)-0.00354*((Table1[[#This Row],[Gestation (days)]]+0.5)/7)^2)*Table1[[#This Row],[BW40_3705]],"")</f>
        <v/>
      </c>
      <c r="G1184" s="2" t="str">
        <f>IF(Table1[[#This Row],[Is Data Valid]]=TRUE,((Table1[[#This Row],[Birthweight (grams)]]/Table1[[#This Row],[BW_GA]])-1)/(Backend!$B$4/100*Table1[[#This Row],[BW40_3705]]),"")</f>
        <v/>
      </c>
      <c r="H1184" s="7" t="str">
        <f>IF(Table1[[#This Row],[Is Data Valid]]=TRUE,((Table1[[#This Row],[Birthweight (grams)]]*0.9/Table1[[#This Row],[BW_GA]])-1)/(Backend!$B$4/100*Table1[[#This Row],[BW40_3705]]),"")</f>
        <v/>
      </c>
      <c r="I1184" s="7" t="str">
        <f>IF(Table1[[#This Row],[Is Data Valid]]=TRUE,((Table1[[#This Row],[Birthweight (grams)]]*1.1/Table1[[#This Row],[BW_GA]])-1)/(Backend!$B$4/100*Table1[[#This Row],[BW40_3705]]),"")</f>
        <v/>
      </c>
      <c r="J1184" s="7" t="str">
        <f>IF(Table1[[#This Row],[Is Data Valid]]=TRUE,_xlfn.NORM.S.DIST(Table1[[#This Row],[Birthweight Z-Score]],TRUE)*100,"")</f>
        <v/>
      </c>
      <c r="K1184" s="7" t="str">
        <f>IF(Table1[[#This Row],[Is Data Valid]]=TRUE,_xlfn.NORM.S.DIST(Table1[[#This Row],[Birthweight Z-Score (BW-10%)]],TRUE)*100,"")</f>
        <v/>
      </c>
      <c r="L1184" s="7" t="str">
        <f>IF(Table1[[#This Row],[Is Data Valid]]=TRUE,_xlfn.NORM.S.DIST(Table1[[#This Row],[Birthweight Z-Score (BW+10%)]],TRUE)*100,"")</f>
        <v/>
      </c>
    </row>
    <row r="1185" spans="1:12" x14ac:dyDescent="0.35">
      <c r="A1185" s="3"/>
      <c r="B1185" s="2"/>
      <c r="C1185" s="2"/>
      <c r="D1185" s="2" t="b">
        <f>IF(AND(NOT(ISBLANK(Table1[[#This Row],[Fetal Sex (Male, Female or Unknown)]])),ISNUMBER(Table1[[#This Row],[Birthweight (grams)]]),ISNUMBER(Table1[[#This Row],[Gestation (days)]])),TRUE,FALSE)</f>
        <v>0</v>
      </c>
      <c r="E1185" s="2" t="str">
        <f>IF(Table1[[#This Row],[Is Data Valid]]=TRUE,IF(Table1[[#This Row],[Fetal Sex (Male, Female or Unknown)]]="Male",Backend!$C$6,IF(Table1[[#This Row],[Fetal Sex (Male, Female or Unknown)]]="Female",Backend!$C$7,IF(Table1[[#This Row],[Fetal Sex (Male, Female or Unknown)]]="Unknown",Backend!$C$8,"Error"))),"")</f>
        <v/>
      </c>
      <c r="F1185" s="8" t="str">
        <f>IF(Table1[[#This Row],[Is Data Valid]]=TRUE,EXP(0.578+0.332*((Table1[[#This Row],[Gestation (days)]]+0.5)/7)-0.00354*((Table1[[#This Row],[Gestation (days)]]+0.5)/7)^2)*Table1[[#This Row],[BW40_3705]],"")</f>
        <v/>
      </c>
      <c r="G1185" s="2" t="str">
        <f>IF(Table1[[#This Row],[Is Data Valid]]=TRUE,((Table1[[#This Row],[Birthweight (grams)]]/Table1[[#This Row],[BW_GA]])-1)/(Backend!$B$4/100*Table1[[#This Row],[BW40_3705]]),"")</f>
        <v/>
      </c>
      <c r="H1185" s="7" t="str">
        <f>IF(Table1[[#This Row],[Is Data Valid]]=TRUE,((Table1[[#This Row],[Birthweight (grams)]]*0.9/Table1[[#This Row],[BW_GA]])-1)/(Backend!$B$4/100*Table1[[#This Row],[BW40_3705]]),"")</f>
        <v/>
      </c>
      <c r="I1185" s="7" t="str">
        <f>IF(Table1[[#This Row],[Is Data Valid]]=TRUE,((Table1[[#This Row],[Birthweight (grams)]]*1.1/Table1[[#This Row],[BW_GA]])-1)/(Backend!$B$4/100*Table1[[#This Row],[BW40_3705]]),"")</f>
        <v/>
      </c>
      <c r="J1185" s="7" t="str">
        <f>IF(Table1[[#This Row],[Is Data Valid]]=TRUE,_xlfn.NORM.S.DIST(Table1[[#This Row],[Birthweight Z-Score]],TRUE)*100,"")</f>
        <v/>
      </c>
      <c r="K1185" s="7" t="str">
        <f>IF(Table1[[#This Row],[Is Data Valid]]=TRUE,_xlfn.NORM.S.DIST(Table1[[#This Row],[Birthweight Z-Score (BW-10%)]],TRUE)*100,"")</f>
        <v/>
      </c>
      <c r="L1185" s="7" t="str">
        <f>IF(Table1[[#This Row],[Is Data Valid]]=TRUE,_xlfn.NORM.S.DIST(Table1[[#This Row],[Birthweight Z-Score (BW+10%)]],TRUE)*100,"")</f>
        <v/>
      </c>
    </row>
    <row r="1186" spans="1:12" x14ac:dyDescent="0.35">
      <c r="A1186" s="3"/>
      <c r="B1186" s="2"/>
      <c r="C1186" s="2"/>
      <c r="D1186" s="2" t="b">
        <f>IF(AND(NOT(ISBLANK(Table1[[#This Row],[Fetal Sex (Male, Female or Unknown)]])),ISNUMBER(Table1[[#This Row],[Birthweight (grams)]]),ISNUMBER(Table1[[#This Row],[Gestation (days)]])),TRUE,FALSE)</f>
        <v>0</v>
      </c>
      <c r="E1186" s="2" t="str">
        <f>IF(Table1[[#This Row],[Is Data Valid]]=TRUE,IF(Table1[[#This Row],[Fetal Sex (Male, Female or Unknown)]]="Male",Backend!$C$6,IF(Table1[[#This Row],[Fetal Sex (Male, Female or Unknown)]]="Female",Backend!$C$7,IF(Table1[[#This Row],[Fetal Sex (Male, Female or Unknown)]]="Unknown",Backend!$C$8,"Error"))),"")</f>
        <v/>
      </c>
      <c r="F1186" s="8" t="str">
        <f>IF(Table1[[#This Row],[Is Data Valid]]=TRUE,EXP(0.578+0.332*((Table1[[#This Row],[Gestation (days)]]+0.5)/7)-0.00354*((Table1[[#This Row],[Gestation (days)]]+0.5)/7)^2)*Table1[[#This Row],[BW40_3705]],"")</f>
        <v/>
      </c>
      <c r="G1186" s="2" t="str">
        <f>IF(Table1[[#This Row],[Is Data Valid]]=TRUE,((Table1[[#This Row],[Birthweight (grams)]]/Table1[[#This Row],[BW_GA]])-1)/(Backend!$B$4/100*Table1[[#This Row],[BW40_3705]]),"")</f>
        <v/>
      </c>
      <c r="H1186" s="7" t="str">
        <f>IF(Table1[[#This Row],[Is Data Valid]]=TRUE,((Table1[[#This Row],[Birthweight (grams)]]*0.9/Table1[[#This Row],[BW_GA]])-1)/(Backend!$B$4/100*Table1[[#This Row],[BW40_3705]]),"")</f>
        <v/>
      </c>
      <c r="I1186" s="7" t="str">
        <f>IF(Table1[[#This Row],[Is Data Valid]]=TRUE,((Table1[[#This Row],[Birthweight (grams)]]*1.1/Table1[[#This Row],[BW_GA]])-1)/(Backend!$B$4/100*Table1[[#This Row],[BW40_3705]]),"")</f>
        <v/>
      </c>
      <c r="J1186" s="7" t="str">
        <f>IF(Table1[[#This Row],[Is Data Valid]]=TRUE,_xlfn.NORM.S.DIST(Table1[[#This Row],[Birthweight Z-Score]],TRUE)*100,"")</f>
        <v/>
      </c>
      <c r="K1186" s="7" t="str">
        <f>IF(Table1[[#This Row],[Is Data Valid]]=TRUE,_xlfn.NORM.S.DIST(Table1[[#This Row],[Birthweight Z-Score (BW-10%)]],TRUE)*100,"")</f>
        <v/>
      </c>
      <c r="L1186" s="7" t="str">
        <f>IF(Table1[[#This Row],[Is Data Valid]]=TRUE,_xlfn.NORM.S.DIST(Table1[[#This Row],[Birthweight Z-Score (BW+10%)]],TRUE)*100,"")</f>
        <v/>
      </c>
    </row>
    <row r="1187" spans="1:12" x14ac:dyDescent="0.35">
      <c r="A1187" s="3"/>
      <c r="B1187" s="2"/>
      <c r="C1187" s="2"/>
      <c r="D1187" s="2" t="b">
        <f>IF(AND(NOT(ISBLANK(Table1[[#This Row],[Fetal Sex (Male, Female or Unknown)]])),ISNUMBER(Table1[[#This Row],[Birthweight (grams)]]),ISNUMBER(Table1[[#This Row],[Gestation (days)]])),TRUE,FALSE)</f>
        <v>0</v>
      </c>
      <c r="E1187" s="2" t="str">
        <f>IF(Table1[[#This Row],[Is Data Valid]]=TRUE,IF(Table1[[#This Row],[Fetal Sex (Male, Female or Unknown)]]="Male",Backend!$C$6,IF(Table1[[#This Row],[Fetal Sex (Male, Female or Unknown)]]="Female",Backend!$C$7,IF(Table1[[#This Row],[Fetal Sex (Male, Female or Unknown)]]="Unknown",Backend!$C$8,"Error"))),"")</f>
        <v/>
      </c>
      <c r="F1187" s="8" t="str">
        <f>IF(Table1[[#This Row],[Is Data Valid]]=TRUE,EXP(0.578+0.332*((Table1[[#This Row],[Gestation (days)]]+0.5)/7)-0.00354*((Table1[[#This Row],[Gestation (days)]]+0.5)/7)^2)*Table1[[#This Row],[BW40_3705]],"")</f>
        <v/>
      </c>
      <c r="G1187" s="2" t="str">
        <f>IF(Table1[[#This Row],[Is Data Valid]]=TRUE,((Table1[[#This Row],[Birthweight (grams)]]/Table1[[#This Row],[BW_GA]])-1)/(Backend!$B$4/100*Table1[[#This Row],[BW40_3705]]),"")</f>
        <v/>
      </c>
      <c r="H1187" s="7" t="str">
        <f>IF(Table1[[#This Row],[Is Data Valid]]=TRUE,((Table1[[#This Row],[Birthweight (grams)]]*0.9/Table1[[#This Row],[BW_GA]])-1)/(Backend!$B$4/100*Table1[[#This Row],[BW40_3705]]),"")</f>
        <v/>
      </c>
      <c r="I1187" s="7" t="str">
        <f>IF(Table1[[#This Row],[Is Data Valid]]=TRUE,((Table1[[#This Row],[Birthweight (grams)]]*1.1/Table1[[#This Row],[BW_GA]])-1)/(Backend!$B$4/100*Table1[[#This Row],[BW40_3705]]),"")</f>
        <v/>
      </c>
      <c r="J1187" s="7" t="str">
        <f>IF(Table1[[#This Row],[Is Data Valid]]=TRUE,_xlfn.NORM.S.DIST(Table1[[#This Row],[Birthweight Z-Score]],TRUE)*100,"")</f>
        <v/>
      </c>
      <c r="K1187" s="7" t="str">
        <f>IF(Table1[[#This Row],[Is Data Valid]]=TRUE,_xlfn.NORM.S.DIST(Table1[[#This Row],[Birthweight Z-Score (BW-10%)]],TRUE)*100,"")</f>
        <v/>
      </c>
      <c r="L1187" s="7" t="str">
        <f>IF(Table1[[#This Row],[Is Data Valid]]=TRUE,_xlfn.NORM.S.DIST(Table1[[#This Row],[Birthweight Z-Score (BW+10%)]],TRUE)*100,"")</f>
        <v/>
      </c>
    </row>
    <row r="1188" spans="1:12" x14ac:dyDescent="0.35">
      <c r="A1188" s="3"/>
      <c r="B1188" s="2"/>
      <c r="C1188" s="2"/>
      <c r="D1188" s="2" t="b">
        <f>IF(AND(NOT(ISBLANK(Table1[[#This Row],[Fetal Sex (Male, Female or Unknown)]])),ISNUMBER(Table1[[#This Row],[Birthweight (grams)]]),ISNUMBER(Table1[[#This Row],[Gestation (days)]])),TRUE,FALSE)</f>
        <v>0</v>
      </c>
      <c r="E1188" s="2" t="str">
        <f>IF(Table1[[#This Row],[Is Data Valid]]=TRUE,IF(Table1[[#This Row],[Fetal Sex (Male, Female or Unknown)]]="Male",Backend!$C$6,IF(Table1[[#This Row],[Fetal Sex (Male, Female or Unknown)]]="Female",Backend!$C$7,IF(Table1[[#This Row],[Fetal Sex (Male, Female or Unknown)]]="Unknown",Backend!$C$8,"Error"))),"")</f>
        <v/>
      </c>
      <c r="F1188" s="8" t="str">
        <f>IF(Table1[[#This Row],[Is Data Valid]]=TRUE,EXP(0.578+0.332*((Table1[[#This Row],[Gestation (days)]]+0.5)/7)-0.00354*((Table1[[#This Row],[Gestation (days)]]+0.5)/7)^2)*Table1[[#This Row],[BW40_3705]],"")</f>
        <v/>
      </c>
      <c r="G1188" s="2" t="str">
        <f>IF(Table1[[#This Row],[Is Data Valid]]=TRUE,((Table1[[#This Row],[Birthweight (grams)]]/Table1[[#This Row],[BW_GA]])-1)/(Backend!$B$4/100*Table1[[#This Row],[BW40_3705]]),"")</f>
        <v/>
      </c>
      <c r="H1188" s="7" t="str">
        <f>IF(Table1[[#This Row],[Is Data Valid]]=TRUE,((Table1[[#This Row],[Birthweight (grams)]]*0.9/Table1[[#This Row],[BW_GA]])-1)/(Backend!$B$4/100*Table1[[#This Row],[BW40_3705]]),"")</f>
        <v/>
      </c>
      <c r="I1188" s="7" t="str">
        <f>IF(Table1[[#This Row],[Is Data Valid]]=TRUE,((Table1[[#This Row],[Birthweight (grams)]]*1.1/Table1[[#This Row],[BW_GA]])-1)/(Backend!$B$4/100*Table1[[#This Row],[BW40_3705]]),"")</f>
        <v/>
      </c>
      <c r="J1188" s="7" t="str">
        <f>IF(Table1[[#This Row],[Is Data Valid]]=TRUE,_xlfn.NORM.S.DIST(Table1[[#This Row],[Birthweight Z-Score]],TRUE)*100,"")</f>
        <v/>
      </c>
      <c r="K1188" s="7" t="str">
        <f>IF(Table1[[#This Row],[Is Data Valid]]=TRUE,_xlfn.NORM.S.DIST(Table1[[#This Row],[Birthweight Z-Score (BW-10%)]],TRUE)*100,"")</f>
        <v/>
      </c>
      <c r="L1188" s="7" t="str">
        <f>IF(Table1[[#This Row],[Is Data Valid]]=TRUE,_xlfn.NORM.S.DIST(Table1[[#This Row],[Birthweight Z-Score (BW+10%)]],TRUE)*100,"")</f>
        <v/>
      </c>
    </row>
    <row r="1189" spans="1:12" x14ac:dyDescent="0.35">
      <c r="A1189" s="3"/>
      <c r="B1189" s="2"/>
      <c r="C1189" s="2"/>
      <c r="D1189" s="2" t="b">
        <f>IF(AND(NOT(ISBLANK(Table1[[#This Row],[Fetal Sex (Male, Female or Unknown)]])),ISNUMBER(Table1[[#This Row],[Birthweight (grams)]]),ISNUMBER(Table1[[#This Row],[Gestation (days)]])),TRUE,FALSE)</f>
        <v>0</v>
      </c>
      <c r="E1189" s="2" t="str">
        <f>IF(Table1[[#This Row],[Is Data Valid]]=TRUE,IF(Table1[[#This Row],[Fetal Sex (Male, Female or Unknown)]]="Male",Backend!$C$6,IF(Table1[[#This Row],[Fetal Sex (Male, Female or Unknown)]]="Female",Backend!$C$7,IF(Table1[[#This Row],[Fetal Sex (Male, Female or Unknown)]]="Unknown",Backend!$C$8,"Error"))),"")</f>
        <v/>
      </c>
      <c r="F1189" s="8" t="str">
        <f>IF(Table1[[#This Row],[Is Data Valid]]=TRUE,EXP(0.578+0.332*((Table1[[#This Row],[Gestation (days)]]+0.5)/7)-0.00354*((Table1[[#This Row],[Gestation (days)]]+0.5)/7)^2)*Table1[[#This Row],[BW40_3705]],"")</f>
        <v/>
      </c>
      <c r="G1189" s="2" t="str">
        <f>IF(Table1[[#This Row],[Is Data Valid]]=TRUE,((Table1[[#This Row],[Birthweight (grams)]]/Table1[[#This Row],[BW_GA]])-1)/(Backend!$B$4/100*Table1[[#This Row],[BW40_3705]]),"")</f>
        <v/>
      </c>
      <c r="H1189" s="7" t="str">
        <f>IF(Table1[[#This Row],[Is Data Valid]]=TRUE,((Table1[[#This Row],[Birthweight (grams)]]*0.9/Table1[[#This Row],[BW_GA]])-1)/(Backend!$B$4/100*Table1[[#This Row],[BW40_3705]]),"")</f>
        <v/>
      </c>
      <c r="I1189" s="7" t="str">
        <f>IF(Table1[[#This Row],[Is Data Valid]]=TRUE,((Table1[[#This Row],[Birthweight (grams)]]*1.1/Table1[[#This Row],[BW_GA]])-1)/(Backend!$B$4/100*Table1[[#This Row],[BW40_3705]]),"")</f>
        <v/>
      </c>
      <c r="J1189" s="7" t="str">
        <f>IF(Table1[[#This Row],[Is Data Valid]]=TRUE,_xlfn.NORM.S.DIST(Table1[[#This Row],[Birthweight Z-Score]],TRUE)*100,"")</f>
        <v/>
      </c>
      <c r="K1189" s="7" t="str">
        <f>IF(Table1[[#This Row],[Is Data Valid]]=TRUE,_xlfn.NORM.S.DIST(Table1[[#This Row],[Birthweight Z-Score (BW-10%)]],TRUE)*100,"")</f>
        <v/>
      </c>
      <c r="L1189" s="7" t="str">
        <f>IF(Table1[[#This Row],[Is Data Valid]]=TRUE,_xlfn.NORM.S.DIST(Table1[[#This Row],[Birthweight Z-Score (BW+10%)]],TRUE)*100,"")</f>
        <v/>
      </c>
    </row>
    <row r="1190" spans="1:12" x14ac:dyDescent="0.35">
      <c r="A1190" s="3"/>
      <c r="B1190" s="2"/>
      <c r="C1190" s="2"/>
      <c r="D1190" s="2" t="b">
        <f>IF(AND(NOT(ISBLANK(Table1[[#This Row],[Fetal Sex (Male, Female or Unknown)]])),ISNUMBER(Table1[[#This Row],[Birthweight (grams)]]),ISNUMBER(Table1[[#This Row],[Gestation (days)]])),TRUE,FALSE)</f>
        <v>0</v>
      </c>
      <c r="E1190" s="2" t="str">
        <f>IF(Table1[[#This Row],[Is Data Valid]]=TRUE,IF(Table1[[#This Row],[Fetal Sex (Male, Female or Unknown)]]="Male",Backend!$C$6,IF(Table1[[#This Row],[Fetal Sex (Male, Female or Unknown)]]="Female",Backend!$C$7,IF(Table1[[#This Row],[Fetal Sex (Male, Female or Unknown)]]="Unknown",Backend!$C$8,"Error"))),"")</f>
        <v/>
      </c>
      <c r="F1190" s="8" t="str">
        <f>IF(Table1[[#This Row],[Is Data Valid]]=TRUE,EXP(0.578+0.332*((Table1[[#This Row],[Gestation (days)]]+0.5)/7)-0.00354*((Table1[[#This Row],[Gestation (days)]]+0.5)/7)^2)*Table1[[#This Row],[BW40_3705]],"")</f>
        <v/>
      </c>
      <c r="G1190" s="2" t="str">
        <f>IF(Table1[[#This Row],[Is Data Valid]]=TRUE,((Table1[[#This Row],[Birthweight (grams)]]/Table1[[#This Row],[BW_GA]])-1)/(Backend!$B$4/100*Table1[[#This Row],[BW40_3705]]),"")</f>
        <v/>
      </c>
      <c r="H1190" s="7" t="str">
        <f>IF(Table1[[#This Row],[Is Data Valid]]=TRUE,((Table1[[#This Row],[Birthweight (grams)]]*0.9/Table1[[#This Row],[BW_GA]])-1)/(Backend!$B$4/100*Table1[[#This Row],[BW40_3705]]),"")</f>
        <v/>
      </c>
      <c r="I1190" s="7" t="str">
        <f>IF(Table1[[#This Row],[Is Data Valid]]=TRUE,((Table1[[#This Row],[Birthweight (grams)]]*1.1/Table1[[#This Row],[BW_GA]])-1)/(Backend!$B$4/100*Table1[[#This Row],[BW40_3705]]),"")</f>
        <v/>
      </c>
      <c r="J1190" s="7" t="str">
        <f>IF(Table1[[#This Row],[Is Data Valid]]=TRUE,_xlfn.NORM.S.DIST(Table1[[#This Row],[Birthweight Z-Score]],TRUE)*100,"")</f>
        <v/>
      </c>
      <c r="K1190" s="7" t="str">
        <f>IF(Table1[[#This Row],[Is Data Valid]]=TRUE,_xlfn.NORM.S.DIST(Table1[[#This Row],[Birthweight Z-Score (BW-10%)]],TRUE)*100,"")</f>
        <v/>
      </c>
      <c r="L1190" s="7" t="str">
        <f>IF(Table1[[#This Row],[Is Data Valid]]=TRUE,_xlfn.NORM.S.DIST(Table1[[#This Row],[Birthweight Z-Score (BW+10%)]],TRUE)*100,"")</f>
        <v/>
      </c>
    </row>
    <row r="1191" spans="1:12" x14ac:dyDescent="0.35">
      <c r="A1191" s="3"/>
      <c r="B1191" s="2"/>
      <c r="C1191" s="2"/>
      <c r="D1191" s="2" t="b">
        <f>IF(AND(NOT(ISBLANK(Table1[[#This Row],[Fetal Sex (Male, Female or Unknown)]])),ISNUMBER(Table1[[#This Row],[Birthweight (grams)]]),ISNUMBER(Table1[[#This Row],[Gestation (days)]])),TRUE,FALSE)</f>
        <v>0</v>
      </c>
      <c r="E1191" s="2" t="str">
        <f>IF(Table1[[#This Row],[Is Data Valid]]=TRUE,IF(Table1[[#This Row],[Fetal Sex (Male, Female or Unknown)]]="Male",Backend!$C$6,IF(Table1[[#This Row],[Fetal Sex (Male, Female or Unknown)]]="Female",Backend!$C$7,IF(Table1[[#This Row],[Fetal Sex (Male, Female or Unknown)]]="Unknown",Backend!$C$8,"Error"))),"")</f>
        <v/>
      </c>
      <c r="F1191" s="8" t="str">
        <f>IF(Table1[[#This Row],[Is Data Valid]]=TRUE,EXP(0.578+0.332*((Table1[[#This Row],[Gestation (days)]]+0.5)/7)-0.00354*((Table1[[#This Row],[Gestation (days)]]+0.5)/7)^2)*Table1[[#This Row],[BW40_3705]],"")</f>
        <v/>
      </c>
      <c r="G1191" s="2" t="str">
        <f>IF(Table1[[#This Row],[Is Data Valid]]=TRUE,((Table1[[#This Row],[Birthweight (grams)]]/Table1[[#This Row],[BW_GA]])-1)/(Backend!$B$4/100*Table1[[#This Row],[BW40_3705]]),"")</f>
        <v/>
      </c>
      <c r="H1191" s="7" t="str">
        <f>IF(Table1[[#This Row],[Is Data Valid]]=TRUE,((Table1[[#This Row],[Birthweight (grams)]]*0.9/Table1[[#This Row],[BW_GA]])-1)/(Backend!$B$4/100*Table1[[#This Row],[BW40_3705]]),"")</f>
        <v/>
      </c>
      <c r="I1191" s="7" t="str">
        <f>IF(Table1[[#This Row],[Is Data Valid]]=TRUE,((Table1[[#This Row],[Birthweight (grams)]]*1.1/Table1[[#This Row],[BW_GA]])-1)/(Backend!$B$4/100*Table1[[#This Row],[BW40_3705]]),"")</f>
        <v/>
      </c>
      <c r="J1191" s="7" t="str">
        <f>IF(Table1[[#This Row],[Is Data Valid]]=TRUE,_xlfn.NORM.S.DIST(Table1[[#This Row],[Birthweight Z-Score]],TRUE)*100,"")</f>
        <v/>
      </c>
      <c r="K1191" s="7" t="str">
        <f>IF(Table1[[#This Row],[Is Data Valid]]=TRUE,_xlfn.NORM.S.DIST(Table1[[#This Row],[Birthweight Z-Score (BW-10%)]],TRUE)*100,"")</f>
        <v/>
      </c>
      <c r="L1191" s="7" t="str">
        <f>IF(Table1[[#This Row],[Is Data Valid]]=TRUE,_xlfn.NORM.S.DIST(Table1[[#This Row],[Birthweight Z-Score (BW+10%)]],TRUE)*100,"")</f>
        <v/>
      </c>
    </row>
    <row r="1192" spans="1:12" x14ac:dyDescent="0.35">
      <c r="A1192" s="3"/>
      <c r="B1192" s="2"/>
      <c r="C1192" s="2"/>
      <c r="D1192" s="2" t="b">
        <f>IF(AND(NOT(ISBLANK(Table1[[#This Row],[Fetal Sex (Male, Female or Unknown)]])),ISNUMBER(Table1[[#This Row],[Birthweight (grams)]]),ISNUMBER(Table1[[#This Row],[Gestation (days)]])),TRUE,FALSE)</f>
        <v>0</v>
      </c>
      <c r="E1192" s="2" t="str">
        <f>IF(Table1[[#This Row],[Is Data Valid]]=TRUE,IF(Table1[[#This Row],[Fetal Sex (Male, Female or Unknown)]]="Male",Backend!$C$6,IF(Table1[[#This Row],[Fetal Sex (Male, Female or Unknown)]]="Female",Backend!$C$7,IF(Table1[[#This Row],[Fetal Sex (Male, Female or Unknown)]]="Unknown",Backend!$C$8,"Error"))),"")</f>
        <v/>
      </c>
      <c r="F1192" s="8" t="str">
        <f>IF(Table1[[#This Row],[Is Data Valid]]=TRUE,EXP(0.578+0.332*((Table1[[#This Row],[Gestation (days)]]+0.5)/7)-0.00354*((Table1[[#This Row],[Gestation (days)]]+0.5)/7)^2)*Table1[[#This Row],[BW40_3705]],"")</f>
        <v/>
      </c>
      <c r="G1192" s="2" t="str">
        <f>IF(Table1[[#This Row],[Is Data Valid]]=TRUE,((Table1[[#This Row],[Birthweight (grams)]]/Table1[[#This Row],[BW_GA]])-1)/(Backend!$B$4/100*Table1[[#This Row],[BW40_3705]]),"")</f>
        <v/>
      </c>
      <c r="H1192" s="7" t="str">
        <f>IF(Table1[[#This Row],[Is Data Valid]]=TRUE,((Table1[[#This Row],[Birthweight (grams)]]*0.9/Table1[[#This Row],[BW_GA]])-1)/(Backend!$B$4/100*Table1[[#This Row],[BW40_3705]]),"")</f>
        <v/>
      </c>
      <c r="I1192" s="7" t="str">
        <f>IF(Table1[[#This Row],[Is Data Valid]]=TRUE,((Table1[[#This Row],[Birthweight (grams)]]*1.1/Table1[[#This Row],[BW_GA]])-1)/(Backend!$B$4/100*Table1[[#This Row],[BW40_3705]]),"")</f>
        <v/>
      </c>
      <c r="J1192" s="7" t="str">
        <f>IF(Table1[[#This Row],[Is Data Valid]]=TRUE,_xlfn.NORM.S.DIST(Table1[[#This Row],[Birthweight Z-Score]],TRUE)*100,"")</f>
        <v/>
      </c>
      <c r="K1192" s="7" t="str">
        <f>IF(Table1[[#This Row],[Is Data Valid]]=TRUE,_xlfn.NORM.S.DIST(Table1[[#This Row],[Birthweight Z-Score (BW-10%)]],TRUE)*100,"")</f>
        <v/>
      </c>
      <c r="L1192" s="7" t="str">
        <f>IF(Table1[[#This Row],[Is Data Valid]]=TRUE,_xlfn.NORM.S.DIST(Table1[[#This Row],[Birthweight Z-Score (BW+10%)]],TRUE)*100,"")</f>
        <v/>
      </c>
    </row>
    <row r="1193" spans="1:12" x14ac:dyDescent="0.35">
      <c r="A1193" s="3"/>
      <c r="B1193" s="2"/>
      <c r="C1193" s="2"/>
      <c r="D1193" s="2" t="b">
        <f>IF(AND(NOT(ISBLANK(Table1[[#This Row],[Fetal Sex (Male, Female or Unknown)]])),ISNUMBER(Table1[[#This Row],[Birthweight (grams)]]),ISNUMBER(Table1[[#This Row],[Gestation (days)]])),TRUE,FALSE)</f>
        <v>0</v>
      </c>
      <c r="E1193" s="2" t="str">
        <f>IF(Table1[[#This Row],[Is Data Valid]]=TRUE,IF(Table1[[#This Row],[Fetal Sex (Male, Female or Unknown)]]="Male",Backend!$C$6,IF(Table1[[#This Row],[Fetal Sex (Male, Female or Unknown)]]="Female",Backend!$C$7,IF(Table1[[#This Row],[Fetal Sex (Male, Female or Unknown)]]="Unknown",Backend!$C$8,"Error"))),"")</f>
        <v/>
      </c>
      <c r="F1193" s="8" t="str">
        <f>IF(Table1[[#This Row],[Is Data Valid]]=TRUE,EXP(0.578+0.332*((Table1[[#This Row],[Gestation (days)]]+0.5)/7)-0.00354*((Table1[[#This Row],[Gestation (days)]]+0.5)/7)^2)*Table1[[#This Row],[BW40_3705]],"")</f>
        <v/>
      </c>
      <c r="G1193" s="2" t="str">
        <f>IF(Table1[[#This Row],[Is Data Valid]]=TRUE,((Table1[[#This Row],[Birthweight (grams)]]/Table1[[#This Row],[BW_GA]])-1)/(Backend!$B$4/100*Table1[[#This Row],[BW40_3705]]),"")</f>
        <v/>
      </c>
      <c r="H1193" s="7" t="str">
        <f>IF(Table1[[#This Row],[Is Data Valid]]=TRUE,((Table1[[#This Row],[Birthweight (grams)]]*0.9/Table1[[#This Row],[BW_GA]])-1)/(Backend!$B$4/100*Table1[[#This Row],[BW40_3705]]),"")</f>
        <v/>
      </c>
      <c r="I1193" s="7" t="str">
        <f>IF(Table1[[#This Row],[Is Data Valid]]=TRUE,((Table1[[#This Row],[Birthweight (grams)]]*1.1/Table1[[#This Row],[BW_GA]])-1)/(Backend!$B$4/100*Table1[[#This Row],[BW40_3705]]),"")</f>
        <v/>
      </c>
      <c r="J1193" s="7" t="str">
        <f>IF(Table1[[#This Row],[Is Data Valid]]=TRUE,_xlfn.NORM.S.DIST(Table1[[#This Row],[Birthweight Z-Score]],TRUE)*100,"")</f>
        <v/>
      </c>
      <c r="K1193" s="7" t="str">
        <f>IF(Table1[[#This Row],[Is Data Valid]]=TRUE,_xlfn.NORM.S.DIST(Table1[[#This Row],[Birthweight Z-Score (BW-10%)]],TRUE)*100,"")</f>
        <v/>
      </c>
      <c r="L1193" s="7" t="str">
        <f>IF(Table1[[#This Row],[Is Data Valid]]=TRUE,_xlfn.NORM.S.DIST(Table1[[#This Row],[Birthweight Z-Score (BW+10%)]],TRUE)*100,"")</f>
        <v/>
      </c>
    </row>
    <row r="1194" spans="1:12" x14ac:dyDescent="0.35">
      <c r="A1194" s="3"/>
      <c r="B1194" s="2"/>
      <c r="C1194" s="2"/>
      <c r="D1194" s="2" t="b">
        <f>IF(AND(NOT(ISBLANK(Table1[[#This Row],[Fetal Sex (Male, Female or Unknown)]])),ISNUMBER(Table1[[#This Row],[Birthweight (grams)]]),ISNUMBER(Table1[[#This Row],[Gestation (days)]])),TRUE,FALSE)</f>
        <v>0</v>
      </c>
      <c r="E1194" s="2" t="str">
        <f>IF(Table1[[#This Row],[Is Data Valid]]=TRUE,IF(Table1[[#This Row],[Fetal Sex (Male, Female or Unknown)]]="Male",Backend!$C$6,IF(Table1[[#This Row],[Fetal Sex (Male, Female or Unknown)]]="Female",Backend!$C$7,IF(Table1[[#This Row],[Fetal Sex (Male, Female or Unknown)]]="Unknown",Backend!$C$8,"Error"))),"")</f>
        <v/>
      </c>
      <c r="F1194" s="8" t="str">
        <f>IF(Table1[[#This Row],[Is Data Valid]]=TRUE,EXP(0.578+0.332*((Table1[[#This Row],[Gestation (days)]]+0.5)/7)-0.00354*((Table1[[#This Row],[Gestation (days)]]+0.5)/7)^2)*Table1[[#This Row],[BW40_3705]],"")</f>
        <v/>
      </c>
      <c r="G1194" s="2" t="str">
        <f>IF(Table1[[#This Row],[Is Data Valid]]=TRUE,((Table1[[#This Row],[Birthweight (grams)]]/Table1[[#This Row],[BW_GA]])-1)/(Backend!$B$4/100*Table1[[#This Row],[BW40_3705]]),"")</f>
        <v/>
      </c>
      <c r="H1194" s="7" t="str">
        <f>IF(Table1[[#This Row],[Is Data Valid]]=TRUE,((Table1[[#This Row],[Birthweight (grams)]]*0.9/Table1[[#This Row],[BW_GA]])-1)/(Backend!$B$4/100*Table1[[#This Row],[BW40_3705]]),"")</f>
        <v/>
      </c>
      <c r="I1194" s="7" t="str">
        <f>IF(Table1[[#This Row],[Is Data Valid]]=TRUE,((Table1[[#This Row],[Birthweight (grams)]]*1.1/Table1[[#This Row],[BW_GA]])-1)/(Backend!$B$4/100*Table1[[#This Row],[BW40_3705]]),"")</f>
        <v/>
      </c>
      <c r="J1194" s="7" t="str">
        <f>IF(Table1[[#This Row],[Is Data Valid]]=TRUE,_xlfn.NORM.S.DIST(Table1[[#This Row],[Birthweight Z-Score]],TRUE)*100,"")</f>
        <v/>
      </c>
      <c r="K1194" s="7" t="str">
        <f>IF(Table1[[#This Row],[Is Data Valid]]=TRUE,_xlfn.NORM.S.DIST(Table1[[#This Row],[Birthweight Z-Score (BW-10%)]],TRUE)*100,"")</f>
        <v/>
      </c>
      <c r="L1194" s="7" t="str">
        <f>IF(Table1[[#This Row],[Is Data Valid]]=TRUE,_xlfn.NORM.S.DIST(Table1[[#This Row],[Birthweight Z-Score (BW+10%)]],TRUE)*100,"")</f>
        <v/>
      </c>
    </row>
    <row r="1195" spans="1:12" x14ac:dyDescent="0.35">
      <c r="A1195" s="3"/>
      <c r="B1195" s="2"/>
      <c r="C1195" s="2"/>
      <c r="D1195" s="2" t="b">
        <f>IF(AND(NOT(ISBLANK(Table1[[#This Row],[Fetal Sex (Male, Female or Unknown)]])),ISNUMBER(Table1[[#This Row],[Birthweight (grams)]]),ISNUMBER(Table1[[#This Row],[Gestation (days)]])),TRUE,FALSE)</f>
        <v>0</v>
      </c>
      <c r="E1195" s="2" t="str">
        <f>IF(Table1[[#This Row],[Is Data Valid]]=TRUE,IF(Table1[[#This Row],[Fetal Sex (Male, Female or Unknown)]]="Male",Backend!$C$6,IF(Table1[[#This Row],[Fetal Sex (Male, Female or Unknown)]]="Female",Backend!$C$7,IF(Table1[[#This Row],[Fetal Sex (Male, Female or Unknown)]]="Unknown",Backend!$C$8,"Error"))),"")</f>
        <v/>
      </c>
      <c r="F1195" s="8" t="str">
        <f>IF(Table1[[#This Row],[Is Data Valid]]=TRUE,EXP(0.578+0.332*((Table1[[#This Row],[Gestation (days)]]+0.5)/7)-0.00354*((Table1[[#This Row],[Gestation (days)]]+0.5)/7)^2)*Table1[[#This Row],[BW40_3705]],"")</f>
        <v/>
      </c>
      <c r="G1195" s="2" t="str">
        <f>IF(Table1[[#This Row],[Is Data Valid]]=TRUE,((Table1[[#This Row],[Birthweight (grams)]]/Table1[[#This Row],[BW_GA]])-1)/(Backend!$B$4/100*Table1[[#This Row],[BW40_3705]]),"")</f>
        <v/>
      </c>
      <c r="H1195" s="7" t="str">
        <f>IF(Table1[[#This Row],[Is Data Valid]]=TRUE,((Table1[[#This Row],[Birthweight (grams)]]*0.9/Table1[[#This Row],[BW_GA]])-1)/(Backend!$B$4/100*Table1[[#This Row],[BW40_3705]]),"")</f>
        <v/>
      </c>
      <c r="I1195" s="7" t="str">
        <f>IF(Table1[[#This Row],[Is Data Valid]]=TRUE,((Table1[[#This Row],[Birthweight (grams)]]*1.1/Table1[[#This Row],[BW_GA]])-1)/(Backend!$B$4/100*Table1[[#This Row],[BW40_3705]]),"")</f>
        <v/>
      </c>
      <c r="J1195" s="7" t="str">
        <f>IF(Table1[[#This Row],[Is Data Valid]]=TRUE,_xlfn.NORM.S.DIST(Table1[[#This Row],[Birthweight Z-Score]],TRUE)*100,"")</f>
        <v/>
      </c>
      <c r="K1195" s="7" t="str">
        <f>IF(Table1[[#This Row],[Is Data Valid]]=TRUE,_xlfn.NORM.S.DIST(Table1[[#This Row],[Birthweight Z-Score (BW-10%)]],TRUE)*100,"")</f>
        <v/>
      </c>
      <c r="L1195" s="7" t="str">
        <f>IF(Table1[[#This Row],[Is Data Valid]]=TRUE,_xlfn.NORM.S.DIST(Table1[[#This Row],[Birthweight Z-Score (BW+10%)]],TRUE)*100,"")</f>
        <v/>
      </c>
    </row>
    <row r="1196" spans="1:12" x14ac:dyDescent="0.35">
      <c r="A1196" s="3"/>
      <c r="B1196" s="2"/>
      <c r="C1196" s="2"/>
      <c r="D1196" s="2" t="b">
        <f>IF(AND(NOT(ISBLANK(Table1[[#This Row],[Fetal Sex (Male, Female or Unknown)]])),ISNUMBER(Table1[[#This Row],[Birthweight (grams)]]),ISNUMBER(Table1[[#This Row],[Gestation (days)]])),TRUE,FALSE)</f>
        <v>0</v>
      </c>
      <c r="E1196" s="2" t="str">
        <f>IF(Table1[[#This Row],[Is Data Valid]]=TRUE,IF(Table1[[#This Row],[Fetal Sex (Male, Female or Unknown)]]="Male",Backend!$C$6,IF(Table1[[#This Row],[Fetal Sex (Male, Female or Unknown)]]="Female",Backend!$C$7,IF(Table1[[#This Row],[Fetal Sex (Male, Female or Unknown)]]="Unknown",Backend!$C$8,"Error"))),"")</f>
        <v/>
      </c>
      <c r="F1196" s="8" t="str">
        <f>IF(Table1[[#This Row],[Is Data Valid]]=TRUE,EXP(0.578+0.332*((Table1[[#This Row],[Gestation (days)]]+0.5)/7)-0.00354*((Table1[[#This Row],[Gestation (days)]]+0.5)/7)^2)*Table1[[#This Row],[BW40_3705]],"")</f>
        <v/>
      </c>
      <c r="G1196" s="2" t="str">
        <f>IF(Table1[[#This Row],[Is Data Valid]]=TRUE,((Table1[[#This Row],[Birthweight (grams)]]/Table1[[#This Row],[BW_GA]])-1)/(Backend!$B$4/100*Table1[[#This Row],[BW40_3705]]),"")</f>
        <v/>
      </c>
      <c r="H1196" s="7" t="str">
        <f>IF(Table1[[#This Row],[Is Data Valid]]=TRUE,((Table1[[#This Row],[Birthweight (grams)]]*0.9/Table1[[#This Row],[BW_GA]])-1)/(Backend!$B$4/100*Table1[[#This Row],[BW40_3705]]),"")</f>
        <v/>
      </c>
      <c r="I1196" s="7" t="str">
        <f>IF(Table1[[#This Row],[Is Data Valid]]=TRUE,((Table1[[#This Row],[Birthweight (grams)]]*1.1/Table1[[#This Row],[BW_GA]])-1)/(Backend!$B$4/100*Table1[[#This Row],[BW40_3705]]),"")</f>
        <v/>
      </c>
      <c r="J1196" s="7" t="str">
        <f>IF(Table1[[#This Row],[Is Data Valid]]=TRUE,_xlfn.NORM.S.DIST(Table1[[#This Row],[Birthweight Z-Score]],TRUE)*100,"")</f>
        <v/>
      </c>
      <c r="K1196" s="7" t="str">
        <f>IF(Table1[[#This Row],[Is Data Valid]]=TRUE,_xlfn.NORM.S.DIST(Table1[[#This Row],[Birthweight Z-Score (BW-10%)]],TRUE)*100,"")</f>
        <v/>
      </c>
      <c r="L1196" s="7" t="str">
        <f>IF(Table1[[#This Row],[Is Data Valid]]=TRUE,_xlfn.NORM.S.DIST(Table1[[#This Row],[Birthweight Z-Score (BW+10%)]],TRUE)*100,"")</f>
        <v/>
      </c>
    </row>
    <row r="1197" spans="1:12" x14ac:dyDescent="0.35">
      <c r="A1197" s="3"/>
      <c r="B1197" s="2"/>
      <c r="C1197" s="2"/>
      <c r="D1197" s="2" t="b">
        <f>IF(AND(NOT(ISBLANK(Table1[[#This Row],[Fetal Sex (Male, Female or Unknown)]])),ISNUMBER(Table1[[#This Row],[Birthweight (grams)]]),ISNUMBER(Table1[[#This Row],[Gestation (days)]])),TRUE,FALSE)</f>
        <v>0</v>
      </c>
      <c r="E1197" s="2" t="str">
        <f>IF(Table1[[#This Row],[Is Data Valid]]=TRUE,IF(Table1[[#This Row],[Fetal Sex (Male, Female or Unknown)]]="Male",Backend!$C$6,IF(Table1[[#This Row],[Fetal Sex (Male, Female or Unknown)]]="Female",Backend!$C$7,IF(Table1[[#This Row],[Fetal Sex (Male, Female or Unknown)]]="Unknown",Backend!$C$8,"Error"))),"")</f>
        <v/>
      </c>
      <c r="F1197" s="8" t="str">
        <f>IF(Table1[[#This Row],[Is Data Valid]]=TRUE,EXP(0.578+0.332*((Table1[[#This Row],[Gestation (days)]]+0.5)/7)-0.00354*((Table1[[#This Row],[Gestation (days)]]+0.5)/7)^2)*Table1[[#This Row],[BW40_3705]],"")</f>
        <v/>
      </c>
      <c r="G1197" s="2" t="str">
        <f>IF(Table1[[#This Row],[Is Data Valid]]=TRUE,((Table1[[#This Row],[Birthweight (grams)]]/Table1[[#This Row],[BW_GA]])-1)/(Backend!$B$4/100*Table1[[#This Row],[BW40_3705]]),"")</f>
        <v/>
      </c>
      <c r="H1197" s="7" t="str">
        <f>IF(Table1[[#This Row],[Is Data Valid]]=TRUE,((Table1[[#This Row],[Birthweight (grams)]]*0.9/Table1[[#This Row],[BW_GA]])-1)/(Backend!$B$4/100*Table1[[#This Row],[BW40_3705]]),"")</f>
        <v/>
      </c>
      <c r="I1197" s="7" t="str">
        <f>IF(Table1[[#This Row],[Is Data Valid]]=TRUE,((Table1[[#This Row],[Birthweight (grams)]]*1.1/Table1[[#This Row],[BW_GA]])-1)/(Backend!$B$4/100*Table1[[#This Row],[BW40_3705]]),"")</f>
        <v/>
      </c>
      <c r="J1197" s="7" t="str">
        <f>IF(Table1[[#This Row],[Is Data Valid]]=TRUE,_xlfn.NORM.S.DIST(Table1[[#This Row],[Birthweight Z-Score]],TRUE)*100,"")</f>
        <v/>
      </c>
      <c r="K1197" s="7" t="str">
        <f>IF(Table1[[#This Row],[Is Data Valid]]=TRUE,_xlfn.NORM.S.DIST(Table1[[#This Row],[Birthweight Z-Score (BW-10%)]],TRUE)*100,"")</f>
        <v/>
      </c>
      <c r="L1197" s="7" t="str">
        <f>IF(Table1[[#This Row],[Is Data Valid]]=TRUE,_xlfn.NORM.S.DIST(Table1[[#This Row],[Birthweight Z-Score (BW+10%)]],TRUE)*100,"")</f>
        <v/>
      </c>
    </row>
    <row r="1198" spans="1:12" x14ac:dyDescent="0.35">
      <c r="A1198" s="3"/>
      <c r="B1198" s="2"/>
      <c r="C1198" s="2"/>
      <c r="D1198" s="2" t="b">
        <f>IF(AND(NOT(ISBLANK(Table1[[#This Row],[Fetal Sex (Male, Female or Unknown)]])),ISNUMBER(Table1[[#This Row],[Birthweight (grams)]]),ISNUMBER(Table1[[#This Row],[Gestation (days)]])),TRUE,FALSE)</f>
        <v>0</v>
      </c>
      <c r="E1198" s="2" t="str">
        <f>IF(Table1[[#This Row],[Is Data Valid]]=TRUE,IF(Table1[[#This Row],[Fetal Sex (Male, Female or Unknown)]]="Male",Backend!$C$6,IF(Table1[[#This Row],[Fetal Sex (Male, Female or Unknown)]]="Female",Backend!$C$7,IF(Table1[[#This Row],[Fetal Sex (Male, Female or Unknown)]]="Unknown",Backend!$C$8,"Error"))),"")</f>
        <v/>
      </c>
      <c r="F1198" s="8" t="str">
        <f>IF(Table1[[#This Row],[Is Data Valid]]=TRUE,EXP(0.578+0.332*((Table1[[#This Row],[Gestation (days)]]+0.5)/7)-0.00354*((Table1[[#This Row],[Gestation (days)]]+0.5)/7)^2)*Table1[[#This Row],[BW40_3705]],"")</f>
        <v/>
      </c>
      <c r="G1198" s="2" t="str">
        <f>IF(Table1[[#This Row],[Is Data Valid]]=TRUE,((Table1[[#This Row],[Birthweight (grams)]]/Table1[[#This Row],[BW_GA]])-1)/(Backend!$B$4/100*Table1[[#This Row],[BW40_3705]]),"")</f>
        <v/>
      </c>
      <c r="H1198" s="7" t="str">
        <f>IF(Table1[[#This Row],[Is Data Valid]]=TRUE,((Table1[[#This Row],[Birthweight (grams)]]*0.9/Table1[[#This Row],[BW_GA]])-1)/(Backend!$B$4/100*Table1[[#This Row],[BW40_3705]]),"")</f>
        <v/>
      </c>
      <c r="I1198" s="7" t="str">
        <f>IF(Table1[[#This Row],[Is Data Valid]]=TRUE,((Table1[[#This Row],[Birthweight (grams)]]*1.1/Table1[[#This Row],[BW_GA]])-1)/(Backend!$B$4/100*Table1[[#This Row],[BW40_3705]]),"")</f>
        <v/>
      </c>
      <c r="J1198" s="7" t="str">
        <f>IF(Table1[[#This Row],[Is Data Valid]]=TRUE,_xlfn.NORM.S.DIST(Table1[[#This Row],[Birthweight Z-Score]],TRUE)*100,"")</f>
        <v/>
      </c>
      <c r="K1198" s="7" t="str">
        <f>IF(Table1[[#This Row],[Is Data Valid]]=TRUE,_xlfn.NORM.S.DIST(Table1[[#This Row],[Birthweight Z-Score (BW-10%)]],TRUE)*100,"")</f>
        <v/>
      </c>
      <c r="L1198" s="7" t="str">
        <f>IF(Table1[[#This Row],[Is Data Valid]]=TRUE,_xlfn.NORM.S.DIST(Table1[[#This Row],[Birthweight Z-Score (BW+10%)]],TRUE)*100,"")</f>
        <v/>
      </c>
    </row>
    <row r="1199" spans="1:12" x14ac:dyDescent="0.35">
      <c r="A1199" s="3"/>
      <c r="B1199" s="2"/>
      <c r="C1199" s="2"/>
      <c r="D1199" s="2" t="b">
        <f>IF(AND(NOT(ISBLANK(Table1[[#This Row],[Fetal Sex (Male, Female or Unknown)]])),ISNUMBER(Table1[[#This Row],[Birthweight (grams)]]),ISNUMBER(Table1[[#This Row],[Gestation (days)]])),TRUE,FALSE)</f>
        <v>0</v>
      </c>
      <c r="E1199" s="2" t="str">
        <f>IF(Table1[[#This Row],[Is Data Valid]]=TRUE,IF(Table1[[#This Row],[Fetal Sex (Male, Female or Unknown)]]="Male",Backend!$C$6,IF(Table1[[#This Row],[Fetal Sex (Male, Female or Unknown)]]="Female",Backend!$C$7,IF(Table1[[#This Row],[Fetal Sex (Male, Female or Unknown)]]="Unknown",Backend!$C$8,"Error"))),"")</f>
        <v/>
      </c>
      <c r="F1199" s="8" t="str">
        <f>IF(Table1[[#This Row],[Is Data Valid]]=TRUE,EXP(0.578+0.332*((Table1[[#This Row],[Gestation (days)]]+0.5)/7)-0.00354*((Table1[[#This Row],[Gestation (days)]]+0.5)/7)^2)*Table1[[#This Row],[BW40_3705]],"")</f>
        <v/>
      </c>
      <c r="G1199" s="2" t="str">
        <f>IF(Table1[[#This Row],[Is Data Valid]]=TRUE,((Table1[[#This Row],[Birthweight (grams)]]/Table1[[#This Row],[BW_GA]])-1)/(Backend!$B$4/100*Table1[[#This Row],[BW40_3705]]),"")</f>
        <v/>
      </c>
      <c r="H1199" s="7" t="str">
        <f>IF(Table1[[#This Row],[Is Data Valid]]=TRUE,((Table1[[#This Row],[Birthweight (grams)]]*0.9/Table1[[#This Row],[BW_GA]])-1)/(Backend!$B$4/100*Table1[[#This Row],[BW40_3705]]),"")</f>
        <v/>
      </c>
      <c r="I1199" s="7" t="str">
        <f>IF(Table1[[#This Row],[Is Data Valid]]=TRUE,((Table1[[#This Row],[Birthweight (grams)]]*1.1/Table1[[#This Row],[BW_GA]])-1)/(Backend!$B$4/100*Table1[[#This Row],[BW40_3705]]),"")</f>
        <v/>
      </c>
      <c r="J1199" s="7" t="str">
        <f>IF(Table1[[#This Row],[Is Data Valid]]=TRUE,_xlfn.NORM.S.DIST(Table1[[#This Row],[Birthweight Z-Score]],TRUE)*100,"")</f>
        <v/>
      </c>
      <c r="K1199" s="7" t="str">
        <f>IF(Table1[[#This Row],[Is Data Valid]]=TRUE,_xlfn.NORM.S.DIST(Table1[[#This Row],[Birthweight Z-Score (BW-10%)]],TRUE)*100,"")</f>
        <v/>
      </c>
      <c r="L1199" s="7" t="str">
        <f>IF(Table1[[#This Row],[Is Data Valid]]=TRUE,_xlfn.NORM.S.DIST(Table1[[#This Row],[Birthweight Z-Score (BW+10%)]],TRUE)*100,"")</f>
        <v/>
      </c>
    </row>
    <row r="1200" spans="1:12" x14ac:dyDescent="0.35">
      <c r="A1200" s="3"/>
      <c r="B1200" s="2"/>
      <c r="C1200" s="2"/>
      <c r="D1200" s="2" t="b">
        <f>IF(AND(NOT(ISBLANK(Table1[[#This Row],[Fetal Sex (Male, Female or Unknown)]])),ISNUMBER(Table1[[#This Row],[Birthweight (grams)]]),ISNUMBER(Table1[[#This Row],[Gestation (days)]])),TRUE,FALSE)</f>
        <v>0</v>
      </c>
      <c r="E1200" s="2" t="str">
        <f>IF(Table1[[#This Row],[Is Data Valid]]=TRUE,IF(Table1[[#This Row],[Fetal Sex (Male, Female or Unknown)]]="Male",Backend!$C$6,IF(Table1[[#This Row],[Fetal Sex (Male, Female or Unknown)]]="Female",Backend!$C$7,IF(Table1[[#This Row],[Fetal Sex (Male, Female or Unknown)]]="Unknown",Backend!$C$8,"Error"))),"")</f>
        <v/>
      </c>
      <c r="F1200" s="8" t="str">
        <f>IF(Table1[[#This Row],[Is Data Valid]]=TRUE,EXP(0.578+0.332*((Table1[[#This Row],[Gestation (days)]]+0.5)/7)-0.00354*((Table1[[#This Row],[Gestation (days)]]+0.5)/7)^2)*Table1[[#This Row],[BW40_3705]],"")</f>
        <v/>
      </c>
      <c r="G1200" s="2" t="str">
        <f>IF(Table1[[#This Row],[Is Data Valid]]=TRUE,((Table1[[#This Row],[Birthweight (grams)]]/Table1[[#This Row],[BW_GA]])-1)/(Backend!$B$4/100*Table1[[#This Row],[BW40_3705]]),"")</f>
        <v/>
      </c>
      <c r="H1200" s="7" t="str">
        <f>IF(Table1[[#This Row],[Is Data Valid]]=TRUE,((Table1[[#This Row],[Birthweight (grams)]]*0.9/Table1[[#This Row],[BW_GA]])-1)/(Backend!$B$4/100*Table1[[#This Row],[BW40_3705]]),"")</f>
        <v/>
      </c>
      <c r="I1200" s="7" t="str">
        <f>IF(Table1[[#This Row],[Is Data Valid]]=TRUE,((Table1[[#This Row],[Birthweight (grams)]]*1.1/Table1[[#This Row],[BW_GA]])-1)/(Backend!$B$4/100*Table1[[#This Row],[BW40_3705]]),"")</f>
        <v/>
      </c>
      <c r="J1200" s="7" t="str">
        <f>IF(Table1[[#This Row],[Is Data Valid]]=TRUE,_xlfn.NORM.S.DIST(Table1[[#This Row],[Birthweight Z-Score]],TRUE)*100,"")</f>
        <v/>
      </c>
      <c r="K1200" s="7" t="str">
        <f>IF(Table1[[#This Row],[Is Data Valid]]=TRUE,_xlfn.NORM.S.DIST(Table1[[#This Row],[Birthweight Z-Score (BW-10%)]],TRUE)*100,"")</f>
        <v/>
      </c>
      <c r="L1200" s="7" t="str">
        <f>IF(Table1[[#This Row],[Is Data Valid]]=TRUE,_xlfn.NORM.S.DIST(Table1[[#This Row],[Birthweight Z-Score (BW+10%)]],TRUE)*100,"")</f>
        <v/>
      </c>
    </row>
    <row r="1201" spans="1:12" x14ac:dyDescent="0.35">
      <c r="A1201" s="3"/>
      <c r="B1201" s="2"/>
      <c r="C1201" s="2"/>
      <c r="D1201" s="2" t="b">
        <f>IF(AND(NOT(ISBLANK(Table1[[#This Row],[Fetal Sex (Male, Female or Unknown)]])),ISNUMBER(Table1[[#This Row],[Birthweight (grams)]]),ISNUMBER(Table1[[#This Row],[Gestation (days)]])),TRUE,FALSE)</f>
        <v>0</v>
      </c>
      <c r="E1201" s="2" t="str">
        <f>IF(Table1[[#This Row],[Is Data Valid]]=TRUE,IF(Table1[[#This Row],[Fetal Sex (Male, Female or Unknown)]]="Male",Backend!$C$6,IF(Table1[[#This Row],[Fetal Sex (Male, Female or Unknown)]]="Female",Backend!$C$7,IF(Table1[[#This Row],[Fetal Sex (Male, Female or Unknown)]]="Unknown",Backend!$C$8,"Error"))),"")</f>
        <v/>
      </c>
      <c r="F1201" s="8" t="str">
        <f>IF(Table1[[#This Row],[Is Data Valid]]=TRUE,EXP(0.578+0.332*((Table1[[#This Row],[Gestation (days)]]+0.5)/7)-0.00354*((Table1[[#This Row],[Gestation (days)]]+0.5)/7)^2)*Table1[[#This Row],[BW40_3705]],"")</f>
        <v/>
      </c>
      <c r="G1201" s="2" t="str">
        <f>IF(Table1[[#This Row],[Is Data Valid]]=TRUE,((Table1[[#This Row],[Birthweight (grams)]]/Table1[[#This Row],[BW_GA]])-1)/(Backend!$B$4/100*Table1[[#This Row],[BW40_3705]]),"")</f>
        <v/>
      </c>
      <c r="H1201" s="7" t="str">
        <f>IF(Table1[[#This Row],[Is Data Valid]]=TRUE,((Table1[[#This Row],[Birthweight (grams)]]*0.9/Table1[[#This Row],[BW_GA]])-1)/(Backend!$B$4/100*Table1[[#This Row],[BW40_3705]]),"")</f>
        <v/>
      </c>
      <c r="I1201" s="7" t="str">
        <f>IF(Table1[[#This Row],[Is Data Valid]]=TRUE,((Table1[[#This Row],[Birthweight (grams)]]*1.1/Table1[[#This Row],[BW_GA]])-1)/(Backend!$B$4/100*Table1[[#This Row],[BW40_3705]]),"")</f>
        <v/>
      </c>
      <c r="J1201" s="7" t="str">
        <f>IF(Table1[[#This Row],[Is Data Valid]]=TRUE,_xlfn.NORM.S.DIST(Table1[[#This Row],[Birthweight Z-Score]],TRUE)*100,"")</f>
        <v/>
      </c>
      <c r="K1201" s="7" t="str">
        <f>IF(Table1[[#This Row],[Is Data Valid]]=TRUE,_xlfn.NORM.S.DIST(Table1[[#This Row],[Birthweight Z-Score (BW-10%)]],TRUE)*100,"")</f>
        <v/>
      </c>
      <c r="L1201" s="7" t="str">
        <f>IF(Table1[[#This Row],[Is Data Valid]]=TRUE,_xlfn.NORM.S.DIST(Table1[[#This Row],[Birthweight Z-Score (BW+10%)]],TRUE)*100,"")</f>
        <v/>
      </c>
    </row>
    <row r="1202" spans="1:12" x14ac:dyDescent="0.35">
      <c r="A1202" s="3"/>
      <c r="B1202" s="2"/>
      <c r="C1202" s="2"/>
      <c r="D1202" s="2" t="b">
        <f>IF(AND(NOT(ISBLANK(Table1[[#This Row],[Fetal Sex (Male, Female or Unknown)]])),ISNUMBER(Table1[[#This Row],[Birthweight (grams)]]),ISNUMBER(Table1[[#This Row],[Gestation (days)]])),TRUE,FALSE)</f>
        <v>0</v>
      </c>
      <c r="E1202" s="2" t="str">
        <f>IF(Table1[[#This Row],[Is Data Valid]]=TRUE,IF(Table1[[#This Row],[Fetal Sex (Male, Female or Unknown)]]="Male",Backend!$C$6,IF(Table1[[#This Row],[Fetal Sex (Male, Female or Unknown)]]="Female",Backend!$C$7,IF(Table1[[#This Row],[Fetal Sex (Male, Female or Unknown)]]="Unknown",Backend!$C$8,"Error"))),"")</f>
        <v/>
      </c>
      <c r="F1202" s="8" t="str">
        <f>IF(Table1[[#This Row],[Is Data Valid]]=TRUE,EXP(0.578+0.332*((Table1[[#This Row],[Gestation (days)]]+0.5)/7)-0.00354*((Table1[[#This Row],[Gestation (days)]]+0.5)/7)^2)*Table1[[#This Row],[BW40_3705]],"")</f>
        <v/>
      </c>
      <c r="G1202" s="2" t="str">
        <f>IF(Table1[[#This Row],[Is Data Valid]]=TRUE,((Table1[[#This Row],[Birthweight (grams)]]/Table1[[#This Row],[BW_GA]])-1)/(Backend!$B$4/100*Table1[[#This Row],[BW40_3705]]),"")</f>
        <v/>
      </c>
      <c r="H1202" s="7" t="str">
        <f>IF(Table1[[#This Row],[Is Data Valid]]=TRUE,((Table1[[#This Row],[Birthweight (grams)]]*0.9/Table1[[#This Row],[BW_GA]])-1)/(Backend!$B$4/100*Table1[[#This Row],[BW40_3705]]),"")</f>
        <v/>
      </c>
      <c r="I1202" s="7" t="str">
        <f>IF(Table1[[#This Row],[Is Data Valid]]=TRUE,((Table1[[#This Row],[Birthweight (grams)]]*1.1/Table1[[#This Row],[BW_GA]])-1)/(Backend!$B$4/100*Table1[[#This Row],[BW40_3705]]),"")</f>
        <v/>
      </c>
      <c r="J1202" s="7" t="str">
        <f>IF(Table1[[#This Row],[Is Data Valid]]=TRUE,_xlfn.NORM.S.DIST(Table1[[#This Row],[Birthweight Z-Score]],TRUE)*100,"")</f>
        <v/>
      </c>
      <c r="K1202" s="7" t="str">
        <f>IF(Table1[[#This Row],[Is Data Valid]]=TRUE,_xlfn.NORM.S.DIST(Table1[[#This Row],[Birthweight Z-Score (BW-10%)]],TRUE)*100,"")</f>
        <v/>
      </c>
      <c r="L1202" s="7" t="str">
        <f>IF(Table1[[#This Row],[Is Data Valid]]=TRUE,_xlfn.NORM.S.DIST(Table1[[#This Row],[Birthweight Z-Score (BW+10%)]],TRUE)*100,"")</f>
        <v/>
      </c>
    </row>
    <row r="1203" spans="1:12" x14ac:dyDescent="0.35">
      <c r="A1203" s="3"/>
      <c r="B1203" s="2"/>
      <c r="C1203" s="2"/>
      <c r="D1203" s="2" t="b">
        <f>IF(AND(NOT(ISBLANK(Table1[[#This Row],[Fetal Sex (Male, Female or Unknown)]])),ISNUMBER(Table1[[#This Row],[Birthweight (grams)]]),ISNUMBER(Table1[[#This Row],[Gestation (days)]])),TRUE,FALSE)</f>
        <v>0</v>
      </c>
      <c r="E1203" s="2" t="str">
        <f>IF(Table1[[#This Row],[Is Data Valid]]=TRUE,IF(Table1[[#This Row],[Fetal Sex (Male, Female or Unknown)]]="Male",Backend!$C$6,IF(Table1[[#This Row],[Fetal Sex (Male, Female or Unknown)]]="Female",Backend!$C$7,IF(Table1[[#This Row],[Fetal Sex (Male, Female or Unknown)]]="Unknown",Backend!$C$8,"Error"))),"")</f>
        <v/>
      </c>
      <c r="F1203" s="8" t="str">
        <f>IF(Table1[[#This Row],[Is Data Valid]]=TRUE,EXP(0.578+0.332*((Table1[[#This Row],[Gestation (days)]]+0.5)/7)-0.00354*((Table1[[#This Row],[Gestation (days)]]+0.5)/7)^2)*Table1[[#This Row],[BW40_3705]],"")</f>
        <v/>
      </c>
      <c r="G1203" s="2" t="str">
        <f>IF(Table1[[#This Row],[Is Data Valid]]=TRUE,((Table1[[#This Row],[Birthweight (grams)]]/Table1[[#This Row],[BW_GA]])-1)/(Backend!$B$4/100*Table1[[#This Row],[BW40_3705]]),"")</f>
        <v/>
      </c>
      <c r="H1203" s="7" t="str">
        <f>IF(Table1[[#This Row],[Is Data Valid]]=TRUE,((Table1[[#This Row],[Birthweight (grams)]]*0.9/Table1[[#This Row],[BW_GA]])-1)/(Backend!$B$4/100*Table1[[#This Row],[BW40_3705]]),"")</f>
        <v/>
      </c>
      <c r="I1203" s="7" t="str">
        <f>IF(Table1[[#This Row],[Is Data Valid]]=TRUE,((Table1[[#This Row],[Birthweight (grams)]]*1.1/Table1[[#This Row],[BW_GA]])-1)/(Backend!$B$4/100*Table1[[#This Row],[BW40_3705]]),"")</f>
        <v/>
      </c>
      <c r="J1203" s="7" t="str">
        <f>IF(Table1[[#This Row],[Is Data Valid]]=TRUE,_xlfn.NORM.S.DIST(Table1[[#This Row],[Birthweight Z-Score]],TRUE)*100,"")</f>
        <v/>
      </c>
      <c r="K1203" s="7" t="str">
        <f>IF(Table1[[#This Row],[Is Data Valid]]=TRUE,_xlfn.NORM.S.DIST(Table1[[#This Row],[Birthweight Z-Score (BW-10%)]],TRUE)*100,"")</f>
        <v/>
      </c>
      <c r="L1203" s="7" t="str">
        <f>IF(Table1[[#This Row],[Is Data Valid]]=TRUE,_xlfn.NORM.S.DIST(Table1[[#This Row],[Birthweight Z-Score (BW+10%)]],TRUE)*100,"")</f>
        <v/>
      </c>
    </row>
    <row r="1204" spans="1:12" x14ac:dyDescent="0.35">
      <c r="A1204" s="3"/>
      <c r="B1204" s="2"/>
      <c r="C1204" s="2"/>
      <c r="D1204" s="2" t="b">
        <f>IF(AND(NOT(ISBLANK(Table1[[#This Row],[Fetal Sex (Male, Female or Unknown)]])),ISNUMBER(Table1[[#This Row],[Birthweight (grams)]]),ISNUMBER(Table1[[#This Row],[Gestation (days)]])),TRUE,FALSE)</f>
        <v>0</v>
      </c>
      <c r="E1204" s="2" t="str">
        <f>IF(Table1[[#This Row],[Is Data Valid]]=TRUE,IF(Table1[[#This Row],[Fetal Sex (Male, Female or Unknown)]]="Male",Backend!$C$6,IF(Table1[[#This Row],[Fetal Sex (Male, Female or Unknown)]]="Female",Backend!$C$7,IF(Table1[[#This Row],[Fetal Sex (Male, Female or Unknown)]]="Unknown",Backend!$C$8,"Error"))),"")</f>
        <v/>
      </c>
      <c r="F1204" s="8" t="str">
        <f>IF(Table1[[#This Row],[Is Data Valid]]=TRUE,EXP(0.578+0.332*((Table1[[#This Row],[Gestation (days)]]+0.5)/7)-0.00354*((Table1[[#This Row],[Gestation (days)]]+0.5)/7)^2)*Table1[[#This Row],[BW40_3705]],"")</f>
        <v/>
      </c>
      <c r="G1204" s="2" t="str">
        <f>IF(Table1[[#This Row],[Is Data Valid]]=TRUE,((Table1[[#This Row],[Birthweight (grams)]]/Table1[[#This Row],[BW_GA]])-1)/(Backend!$B$4/100*Table1[[#This Row],[BW40_3705]]),"")</f>
        <v/>
      </c>
      <c r="H1204" s="7" t="str">
        <f>IF(Table1[[#This Row],[Is Data Valid]]=TRUE,((Table1[[#This Row],[Birthweight (grams)]]*0.9/Table1[[#This Row],[BW_GA]])-1)/(Backend!$B$4/100*Table1[[#This Row],[BW40_3705]]),"")</f>
        <v/>
      </c>
      <c r="I1204" s="7" t="str">
        <f>IF(Table1[[#This Row],[Is Data Valid]]=TRUE,((Table1[[#This Row],[Birthweight (grams)]]*1.1/Table1[[#This Row],[BW_GA]])-1)/(Backend!$B$4/100*Table1[[#This Row],[BW40_3705]]),"")</f>
        <v/>
      </c>
      <c r="J1204" s="7" t="str">
        <f>IF(Table1[[#This Row],[Is Data Valid]]=TRUE,_xlfn.NORM.S.DIST(Table1[[#This Row],[Birthweight Z-Score]],TRUE)*100,"")</f>
        <v/>
      </c>
      <c r="K1204" s="7" t="str">
        <f>IF(Table1[[#This Row],[Is Data Valid]]=TRUE,_xlfn.NORM.S.DIST(Table1[[#This Row],[Birthweight Z-Score (BW-10%)]],TRUE)*100,"")</f>
        <v/>
      </c>
      <c r="L1204" s="7" t="str">
        <f>IF(Table1[[#This Row],[Is Data Valid]]=TRUE,_xlfn.NORM.S.DIST(Table1[[#This Row],[Birthweight Z-Score (BW+10%)]],TRUE)*100,"")</f>
        <v/>
      </c>
    </row>
    <row r="1205" spans="1:12" x14ac:dyDescent="0.35">
      <c r="A1205" s="3"/>
      <c r="B1205" s="2"/>
      <c r="C1205" s="2"/>
      <c r="D1205" s="2" t="b">
        <f>IF(AND(NOT(ISBLANK(Table1[[#This Row],[Fetal Sex (Male, Female or Unknown)]])),ISNUMBER(Table1[[#This Row],[Birthweight (grams)]]),ISNUMBER(Table1[[#This Row],[Gestation (days)]])),TRUE,FALSE)</f>
        <v>0</v>
      </c>
      <c r="E1205" s="2" t="str">
        <f>IF(Table1[[#This Row],[Is Data Valid]]=TRUE,IF(Table1[[#This Row],[Fetal Sex (Male, Female or Unknown)]]="Male",Backend!$C$6,IF(Table1[[#This Row],[Fetal Sex (Male, Female or Unknown)]]="Female",Backend!$C$7,IF(Table1[[#This Row],[Fetal Sex (Male, Female or Unknown)]]="Unknown",Backend!$C$8,"Error"))),"")</f>
        <v/>
      </c>
      <c r="F1205" s="8" t="str">
        <f>IF(Table1[[#This Row],[Is Data Valid]]=TRUE,EXP(0.578+0.332*((Table1[[#This Row],[Gestation (days)]]+0.5)/7)-0.00354*((Table1[[#This Row],[Gestation (days)]]+0.5)/7)^2)*Table1[[#This Row],[BW40_3705]],"")</f>
        <v/>
      </c>
      <c r="G1205" s="2" t="str">
        <f>IF(Table1[[#This Row],[Is Data Valid]]=TRUE,((Table1[[#This Row],[Birthweight (grams)]]/Table1[[#This Row],[BW_GA]])-1)/(Backend!$B$4/100*Table1[[#This Row],[BW40_3705]]),"")</f>
        <v/>
      </c>
      <c r="H1205" s="7" t="str">
        <f>IF(Table1[[#This Row],[Is Data Valid]]=TRUE,((Table1[[#This Row],[Birthweight (grams)]]*0.9/Table1[[#This Row],[BW_GA]])-1)/(Backend!$B$4/100*Table1[[#This Row],[BW40_3705]]),"")</f>
        <v/>
      </c>
      <c r="I1205" s="7" t="str">
        <f>IF(Table1[[#This Row],[Is Data Valid]]=TRUE,((Table1[[#This Row],[Birthweight (grams)]]*1.1/Table1[[#This Row],[BW_GA]])-1)/(Backend!$B$4/100*Table1[[#This Row],[BW40_3705]]),"")</f>
        <v/>
      </c>
      <c r="J1205" s="7" t="str">
        <f>IF(Table1[[#This Row],[Is Data Valid]]=TRUE,_xlfn.NORM.S.DIST(Table1[[#This Row],[Birthweight Z-Score]],TRUE)*100,"")</f>
        <v/>
      </c>
      <c r="K1205" s="7" t="str">
        <f>IF(Table1[[#This Row],[Is Data Valid]]=TRUE,_xlfn.NORM.S.DIST(Table1[[#This Row],[Birthweight Z-Score (BW-10%)]],TRUE)*100,"")</f>
        <v/>
      </c>
      <c r="L1205" s="7" t="str">
        <f>IF(Table1[[#This Row],[Is Data Valid]]=TRUE,_xlfn.NORM.S.DIST(Table1[[#This Row],[Birthweight Z-Score (BW+10%)]],TRUE)*100,"")</f>
        <v/>
      </c>
    </row>
    <row r="1206" spans="1:12" x14ac:dyDescent="0.35">
      <c r="A1206" s="3"/>
      <c r="B1206" s="2"/>
      <c r="C1206" s="2"/>
      <c r="D1206" s="2" t="b">
        <f>IF(AND(NOT(ISBLANK(Table1[[#This Row],[Fetal Sex (Male, Female or Unknown)]])),ISNUMBER(Table1[[#This Row],[Birthweight (grams)]]),ISNUMBER(Table1[[#This Row],[Gestation (days)]])),TRUE,FALSE)</f>
        <v>0</v>
      </c>
      <c r="E1206" s="2" t="str">
        <f>IF(Table1[[#This Row],[Is Data Valid]]=TRUE,IF(Table1[[#This Row],[Fetal Sex (Male, Female or Unknown)]]="Male",Backend!$C$6,IF(Table1[[#This Row],[Fetal Sex (Male, Female or Unknown)]]="Female",Backend!$C$7,IF(Table1[[#This Row],[Fetal Sex (Male, Female or Unknown)]]="Unknown",Backend!$C$8,"Error"))),"")</f>
        <v/>
      </c>
      <c r="F1206" s="8" t="str">
        <f>IF(Table1[[#This Row],[Is Data Valid]]=TRUE,EXP(0.578+0.332*((Table1[[#This Row],[Gestation (days)]]+0.5)/7)-0.00354*((Table1[[#This Row],[Gestation (days)]]+0.5)/7)^2)*Table1[[#This Row],[BW40_3705]],"")</f>
        <v/>
      </c>
      <c r="G1206" s="2" t="str">
        <f>IF(Table1[[#This Row],[Is Data Valid]]=TRUE,((Table1[[#This Row],[Birthweight (grams)]]/Table1[[#This Row],[BW_GA]])-1)/(Backend!$B$4/100*Table1[[#This Row],[BW40_3705]]),"")</f>
        <v/>
      </c>
      <c r="H1206" s="7" t="str">
        <f>IF(Table1[[#This Row],[Is Data Valid]]=TRUE,((Table1[[#This Row],[Birthweight (grams)]]*0.9/Table1[[#This Row],[BW_GA]])-1)/(Backend!$B$4/100*Table1[[#This Row],[BW40_3705]]),"")</f>
        <v/>
      </c>
      <c r="I1206" s="7" t="str">
        <f>IF(Table1[[#This Row],[Is Data Valid]]=TRUE,((Table1[[#This Row],[Birthweight (grams)]]*1.1/Table1[[#This Row],[BW_GA]])-1)/(Backend!$B$4/100*Table1[[#This Row],[BW40_3705]]),"")</f>
        <v/>
      </c>
      <c r="J1206" s="7" t="str">
        <f>IF(Table1[[#This Row],[Is Data Valid]]=TRUE,_xlfn.NORM.S.DIST(Table1[[#This Row],[Birthweight Z-Score]],TRUE)*100,"")</f>
        <v/>
      </c>
      <c r="K1206" s="7" t="str">
        <f>IF(Table1[[#This Row],[Is Data Valid]]=TRUE,_xlfn.NORM.S.DIST(Table1[[#This Row],[Birthweight Z-Score (BW-10%)]],TRUE)*100,"")</f>
        <v/>
      </c>
      <c r="L1206" s="7" t="str">
        <f>IF(Table1[[#This Row],[Is Data Valid]]=TRUE,_xlfn.NORM.S.DIST(Table1[[#This Row],[Birthweight Z-Score (BW+10%)]],TRUE)*100,"")</f>
        <v/>
      </c>
    </row>
    <row r="1207" spans="1:12" x14ac:dyDescent="0.35">
      <c r="A1207" s="3"/>
      <c r="B1207" s="2"/>
      <c r="C1207" s="2"/>
      <c r="D1207" s="2" t="b">
        <f>IF(AND(NOT(ISBLANK(Table1[[#This Row],[Fetal Sex (Male, Female or Unknown)]])),ISNUMBER(Table1[[#This Row],[Birthweight (grams)]]),ISNUMBER(Table1[[#This Row],[Gestation (days)]])),TRUE,FALSE)</f>
        <v>0</v>
      </c>
      <c r="E1207" s="2" t="str">
        <f>IF(Table1[[#This Row],[Is Data Valid]]=TRUE,IF(Table1[[#This Row],[Fetal Sex (Male, Female or Unknown)]]="Male",Backend!$C$6,IF(Table1[[#This Row],[Fetal Sex (Male, Female or Unknown)]]="Female",Backend!$C$7,IF(Table1[[#This Row],[Fetal Sex (Male, Female or Unknown)]]="Unknown",Backend!$C$8,"Error"))),"")</f>
        <v/>
      </c>
      <c r="F1207" s="8" t="str">
        <f>IF(Table1[[#This Row],[Is Data Valid]]=TRUE,EXP(0.578+0.332*((Table1[[#This Row],[Gestation (days)]]+0.5)/7)-0.00354*((Table1[[#This Row],[Gestation (days)]]+0.5)/7)^2)*Table1[[#This Row],[BW40_3705]],"")</f>
        <v/>
      </c>
      <c r="G1207" s="2" t="str">
        <f>IF(Table1[[#This Row],[Is Data Valid]]=TRUE,((Table1[[#This Row],[Birthweight (grams)]]/Table1[[#This Row],[BW_GA]])-1)/(Backend!$B$4/100*Table1[[#This Row],[BW40_3705]]),"")</f>
        <v/>
      </c>
      <c r="H1207" s="7" t="str">
        <f>IF(Table1[[#This Row],[Is Data Valid]]=TRUE,((Table1[[#This Row],[Birthweight (grams)]]*0.9/Table1[[#This Row],[BW_GA]])-1)/(Backend!$B$4/100*Table1[[#This Row],[BW40_3705]]),"")</f>
        <v/>
      </c>
      <c r="I1207" s="7" t="str">
        <f>IF(Table1[[#This Row],[Is Data Valid]]=TRUE,((Table1[[#This Row],[Birthweight (grams)]]*1.1/Table1[[#This Row],[BW_GA]])-1)/(Backend!$B$4/100*Table1[[#This Row],[BW40_3705]]),"")</f>
        <v/>
      </c>
      <c r="J1207" s="7" t="str">
        <f>IF(Table1[[#This Row],[Is Data Valid]]=TRUE,_xlfn.NORM.S.DIST(Table1[[#This Row],[Birthweight Z-Score]],TRUE)*100,"")</f>
        <v/>
      </c>
      <c r="K1207" s="7" t="str">
        <f>IF(Table1[[#This Row],[Is Data Valid]]=TRUE,_xlfn.NORM.S.DIST(Table1[[#This Row],[Birthweight Z-Score (BW-10%)]],TRUE)*100,"")</f>
        <v/>
      </c>
      <c r="L1207" s="7" t="str">
        <f>IF(Table1[[#This Row],[Is Data Valid]]=TRUE,_xlfn.NORM.S.DIST(Table1[[#This Row],[Birthweight Z-Score (BW+10%)]],TRUE)*100,"")</f>
        <v/>
      </c>
    </row>
    <row r="1208" spans="1:12" x14ac:dyDescent="0.35">
      <c r="A1208" s="3"/>
      <c r="B1208" s="2"/>
      <c r="C1208" s="2"/>
      <c r="D1208" s="2" t="b">
        <f>IF(AND(NOT(ISBLANK(Table1[[#This Row],[Fetal Sex (Male, Female or Unknown)]])),ISNUMBER(Table1[[#This Row],[Birthweight (grams)]]),ISNUMBER(Table1[[#This Row],[Gestation (days)]])),TRUE,FALSE)</f>
        <v>0</v>
      </c>
      <c r="E1208" s="2" t="str">
        <f>IF(Table1[[#This Row],[Is Data Valid]]=TRUE,IF(Table1[[#This Row],[Fetal Sex (Male, Female or Unknown)]]="Male",Backend!$C$6,IF(Table1[[#This Row],[Fetal Sex (Male, Female or Unknown)]]="Female",Backend!$C$7,IF(Table1[[#This Row],[Fetal Sex (Male, Female or Unknown)]]="Unknown",Backend!$C$8,"Error"))),"")</f>
        <v/>
      </c>
      <c r="F1208" s="8" t="str">
        <f>IF(Table1[[#This Row],[Is Data Valid]]=TRUE,EXP(0.578+0.332*((Table1[[#This Row],[Gestation (days)]]+0.5)/7)-0.00354*((Table1[[#This Row],[Gestation (days)]]+0.5)/7)^2)*Table1[[#This Row],[BW40_3705]],"")</f>
        <v/>
      </c>
      <c r="G1208" s="2" t="str">
        <f>IF(Table1[[#This Row],[Is Data Valid]]=TRUE,((Table1[[#This Row],[Birthweight (grams)]]/Table1[[#This Row],[BW_GA]])-1)/(Backend!$B$4/100*Table1[[#This Row],[BW40_3705]]),"")</f>
        <v/>
      </c>
      <c r="H1208" s="7" t="str">
        <f>IF(Table1[[#This Row],[Is Data Valid]]=TRUE,((Table1[[#This Row],[Birthweight (grams)]]*0.9/Table1[[#This Row],[BW_GA]])-1)/(Backend!$B$4/100*Table1[[#This Row],[BW40_3705]]),"")</f>
        <v/>
      </c>
      <c r="I1208" s="7" t="str">
        <f>IF(Table1[[#This Row],[Is Data Valid]]=TRUE,((Table1[[#This Row],[Birthweight (grams)]]*1.1/Table1[[#This Row],[BW_GA]])-1)/(Backend!$B$4/100*Table1[[#This Row],[BW40_3705]]),"")</f>
        <v/>
      </c>
      <c r="J1208" s="7" t="str">
        <f>IF(Table1[[#This Row],[Is Data Valid]]=TRUE,_xlfn.NORM.S.DIST(Table1[[#This Row],[Birthweight Z-Score]],TRUE)*100,"")</f>
        <v/>
      </c>
      <c r="K1208" s="7" t="str">
        <f>IF(Table1[[#This Row],[Is Data Valid]]=TRUE,_xlfn.NORM.S.DIST(Table1[[#This Row],[Birthweight Z-Score (BW-10%)]],TRUE)*100,"")</f>
        <v/>
      </c>
      <c r="L1208" s="7" t="str">
        <f>IF(Table1[[#This Row],[Is Data Valid]]=TRUE,_xlfn.NORM.S.DIST(Table1[[#This Row],[Birthweight Z-Score (BW+10%)]],TRUE)*100,"")</f>
        <v/>
      </c>
    </row>
    <row r="1209" spans="1:12" x14ac:dyDescent="0.35">
      <c r="A1209" s="3"/>
      <c r="B1209" s="2"/>
      <c r="C1209" s="2"/>
      <c r="D1209" s="2" t="b">
        <f>IF(AND(NOT(ISBLANK(Table1[[#This Row],[Fetal Sex (Male, Female or Unknown)]])),ISNUMBER(Table1[[#This Row],[Birthweight (grams)]]),ISNUMBER(Table1[[#This Row],[Gestation (days)]])),TRUE,FALSE)</f>
        <v>0</v>
      </c>
      <c r="E1209" s="2" t="str">
        <f>IF(Table1[[#This Row],[Is Data Valid]]=TRUE,IF(Table1[[#This Row],[Fetal Sex (Male, Female or Unknown)]]="Male",Backend!$C$6,IF(Table1[[#This Row],[Fetal Sex (Male, Female or Unknown)]]="Female",Backend!$C$7,IF(Table1[[#This Row],[Fetal Sex (Male, Female or Unknown)]]="Unknown",Backend!$C$8,"Error"))),"")</f>
        <v/>
      </c>
      <c r="F1209" s="8" t="str">
        <f>IF(Table1[[#This Row],[Is Data Valid]]=TRUE,EXP(0.578+0.332*((Table1[[#This Row],[Gestation (days)]]+0.5)/7)-0.00354*((Table1[[#This Row],[Gestation (days)]]+0.5)/7)^2)*Table1[[#This Row],[BW40_3705]],"")</f>
        <v/>
      </c>
      <c r="G1209" s="2" t="str">
        <f>IF(Table1[[#This Row],[Is Data Valid]]=TRUE,((Table1[[#This Row],[Birthweight (grams)]]/Table1[[#This Row],[BW_GA]])-1)/(Backend!$B$4/100*Table1[[#This Row],[BW40_3705]]),"")</f>
        <v/>
      </c>
      <c r="H1209" s="7" t="str">
        <f>IF(Table1[[#This Row],[Is Data Valid]]=TRUE,((Table1[[#This Row],[Birthweight (grams)]]*0.9/Table1[[#This Row],[BW_GA]])-1)/(Backend!$B$4/100*Table1[[#This Row],[BW40_3705]]),"")</f>
        <v/>
      </c>
      <c r="I1209" s="7" t="str">
        <f>IF(Table1[[#This Row],[Is Data Valid]]=TRUE,((Table1[[#This Row],[Birthweight (grams)]]*1.1/Table1[[#This Row],[BW_GA]])-1)/(Backend!$B$4/100*Table1[[#This Row],[BW40_3705]]),"")</f>
        <v/>
      </c>
      <c r="J1209" s="7" t="str">
        <f>IF(Table1[[#This Row],[Is Data Valid]]=TRUE,_xlfn.NORM.S.DIST(Table1[[#This Row],[Birthweight Z-Score]],TRUE)*100,"")</f>
        <v/>
      </c>
      <c r="K1209" s="7" t="str">
        <f>IF(Table1[[#This Row],[Is Data Valid]]=TRUE,_xlfn.NORM.S.DIST(Table1[[#This Row],[Birthweight Z-Score (BW-10%)]],TRUE)*100,"")</f>
        <v/>
      </c>
      <c r="L1209" s="7" t="str">
        <f>IF(Table1[[#This Row],[Is Data Valid]]=TRUE,_xlfn.NORM.S.DIST(Table1[[#This Row],[Birthweight Z-Score (BW+10%)]],TRUE)*100,"")</f>
        <v/>
      </c>
    </row>
    <row r="1210" spans="1:12" x14ac:dyDescent="0.35">
      <c r="A1210" s="3"/>
      <c r="B1210" s="2"/>
      <c r="C1210" s="2"/>
      <c r="D1210" s="2" t="b">
        <f>IF(AND(NOT(ISBLANK(Table1[[#This Row],[Fetal Sex (Male, Female or Unknown)]])),ISNUMBER(Table1[[#This Row],[Birthweight (grams)]]),ISNUMBER(Table1[[#This Row],[Gestation (days)]])),TRUE,FALSE)</f>
        <v>0</v>
      </c>
      <c r="E1210" s="2" t="str">
        <f>IF(Table1[[#This Row],[Is Data Valid]]=TRUE,IF(Table1[[#This Row],[Fetal Sex (Male, Female or Unknown)]]="Male",Backend!$C$6,IF(Table1[[#This Row],[Fetal Sex (Male, Female or Unknown)]]="Female",Backend!$C$7,IF(Table1[[#This Row],[Fetal Sex (Male, Female or Unknown)]]="Unknown",Backend!$C$8,"Error"))),"")</f>
        <v/>
      </c>
      <c r="F1210" s="8" t="str">
        <f>IF(Table1[[#This Row],[Is Data Valid]]=TRUE,EXP(0.578+0.332*((Table1[[#This Row],[Gestation (days)]]+0.5)/7)-0.00354*((Table1[[#This Row],[Gestation (days)]]+0.5)/7)^2)*Table1[[#This Row],[BW40_3705]],"")</f>
        <v/>
      </c>
      <c r="G1210" s="2" t="str">
        <f>IF(Table1[[#This Row],[Is Data Valid]]=TRUE,((Table1[[#This Row],[Birthweight (grams)]]/Table1[[#This Row],[BW_GA]])-1)/(Backend!$B$4/100*Table1[[#This Row],[BW40_3705]]),"")</f>
        <v/>
      </c>
      <c r="H1210" s="7" t="str">
        <f>IF(Table1[[#This Row],[Is Data Valid]]=TRUE,((Table1[[#This Row],[Birthweight (grams)]]*0.9/Table1[[#This Row],[BW_GA]])-1)/(Backend!$B$4/100*Table1[[#This Row],[BW40_3705]]),"")</f>
        <v/>
      </c>
      <c r="I1210" s="7" t="str">
        <f>IF(Table1[[#This Row],[Is Data Valid]]=TRUE,((Table1[[#This Row],[Birthweight (grams)]]*1.1/Table1[[#This Row],[BW_GA]])-1)/(Backend!$B$4/100*Table1[[#This Row],[BW40_3705]]),"")</f>
        <v/>
      </c>
      <c r="J1210" s="7" t="str">
        <f>IF(Table1[[#This Row],[Is Data Valid]]=TRUE,_xlfn.NORM.S.DIST(Table1[[#This Row],[Birthweight Z-Score]],TRUE)*100,"")</f>
        <v/>
      </c>
      <c r="K1210" s="7" t="str">
        <f>IF(Table1[[#This Row],[Is Data Valid]]=TRUE,_xlfn.NORM.S.DIST(Table1[[#This Row],[Birthweight Z-Score (BW-10%)]],TRUE)*100,"")</f>
        <v/>
      </c>
      <c r="L1210" s="7" t="str">
        <f>IF(Table1[[#This Row],[Is Data Valid]]=TRUE,_xlfn.NORM.S.DIST(Table1[[#This Row],[Birthweight Z-Score (BW+10%)]],TRUE)*100,"")</f>
        <v/>
      </c>
    </row>
    <row r="1211" spans="1:12" x14ac:dyDescent="0.35">
      <c r="A1211" s="3"/>
      <c r="B1211" s="2"/>
      <c r="C1211" s="2"/>
      <c r="D1211" s="2" t="b">
        <f>IF(AND(NOT(ISBLANK(Table1[[#This Row],[Fetal Sex (Male, Female or Unknown)]])),ISNUMBER(Table1[[#This Row],[Birthweight (grams)]]),ISNUMBER(Table1[[#This Row],[Gestation (days)]])),TRUE,FALSE)</f>
        <v>0</v>
      </c>
      <c r="E1211" s="2" t="str">
        <f>IF(Table1[[#This Row],[Is Data Valid]]=TRUE,IF(Table1[[#This Row],[Fetal Sex (Male, Female or Unknown)]]="Male",Backend!$C$6,IF(Table1[[#This Row],[Fetal Sex (Male, Female or Unknown)]]="Female",Backend!$C$7,IF(Table1[[#This Row],[Fetal Sex (Male, Female or Unknown)]]="Unknown",Backend!$C$8,"Error"))),"")</f>
        <v/>
      </c>
      <c r="F1211" s="8" t="str">
        <f>IF(Table1[[#This Row],[Is Data Valid]]=TRUE,EXP(0.578+0.332*((Table1[[#This Row],[Gestation (days)]]+0.5)/7)-0.00354*((Table1[[#This Row],[Gestation (days)]]+0.5)/7)^2)*Table1[[#This Row],[BW40_3705]],"")</f>
        <v/>
      </c>
      <c r="G1211" s="2" t="str">
        <f>IF(Table1[[#This Row],[Is Data Valid]]=TRUE,((Table1[[#This Row],[Birthweight (grams)]]/Table1[[#This Row],[BW_GA]])-1)/(Backend!$B$4/100*Table1[[#This Row],[BW40_3705]]),"")</f>
        <v/>
      </c>
      <c r="H1211" s="7" t="str">
        <f>IF(Table1[[#This Row],[Is Data Valid]]=TRUE,((Table1[[#This Row],[Birthweight (grams)]]*0.9/Table1[[#This Row],[BW_GA]])-1)/(Backend!$B$4/100*Table1[[#This Row],[BW40_3705]]),"")</f>
        <v/>
      </c>
      <c r="I1211" s="7" t="str">
        <f>IF(Table1[[#This Row],[Is Data Valid]]=TRUE,((Table1[[#This Row],[Birthweight (grams)]]*1.1/Table1[[#This Row],[BW_GA]])-1)/(Backend!$B$4/100*Table1[[#This Row],[BW40_3705]]),"")</f>
        <v/>
      </c>
      <c r="J1211" s="7" t="str">
        <f>IF(Table1[[#This Row],[Is Data Valid]]=TRUE,_xlfn.NORM.S.DIST(Table1[[#This Row],[Birthweight Z-Score]],TRUE)*100,"")</f>
        <v/>
      </c>
      <c r="K1211" s="7" t="str">
        <f>IF(Table1[[#This Row],[Is Data Valid]]=TRUE,_xlfn.NORM.S.DIST(Table1[[#This Row],[Birthweight Z-Score (BW-10%)]],TRUE)*100,"")</f>
        <v/>
      </c>
      <c r="L1211" s="7" t="str">
        <f>IF(Table1[[#This Row],[Is Data Valid]]=TRUE,_xlfn.NORM.S.DIST(Table1[[#This Row],[Birthweight Z-Score (BW+10%)]],TRUE)*100,"")</f>
        <v/>
      </c>
    </row>
    <row r="1212" spans="1:12" x14ac:dyDescent="0.35">
      <c r="A1212" s="3"/>
      <c r="B1212" s="2"/>
      <c r="C1212" s="2"/>
      <c r="D1212" s="2" t="b">
        <f>IF(AND(NOT(ISBLANK(Table1[[#This Row],[Fetal Sex (Male, Female or Unknown)]])),ISNUMBER(Table1[[#This Row],[Birthweight (grams)]]),ISNUMBER(Table1[[#This Row],[Gestation (days)]])),TRUE,FALSE)</f>
        <v>0</v>
      </c>
      <c r="E1212" s="2" t="str">
        <f>IF(Table1[[#This Row],[Is Data Valid]]=TRUE,IF(Table1[[#This Row],[Fetal Sex (Male, Female or Unknown)]]="Male",Backend!$C$6,IF(Table1[[#This Row],[Fetal Sex (Male, Female or Unknown)]]="Female",Backend!$C$7,IF(Table1[[#This Row],[Fetal Sex (Male, Female or Unknown)]]="Unknown",Backend!$C$8,"Error"))),"")</f>
        <v/>
      </c>
      <c r="F1212" s="8" t="str">
        <f>IF(Table1[[#This Row],[Is Data Valid]]=TRUE,EXP(0.578+0.332*((Table1[[#This Row],[Gestation (days)]]+0.5)/7)-0.00354*((Table1[[#This Row],[Gestation (days)]]+0.5)/7)^2)*Table1[[#This Row],[BW40_3705]],"")</f>
        <v/>
      </c>
      <c r="G1212" s="2" t="str">
        <f>IF(Table1[[#This Row],[Is Data Valid]]=TRUE,((Table1[[#This Row],[Birthweight (grams)]]/Table1[[#This Row],[BW_GA]])-1)/(Backend!$B$4/100*Table1[[#This Row],[BW40_3705]]),"")</f>
        <v/>
      </c>
      <c r="H1212" s="7" t="str">
        <f>IF(Table1[[#This Row],[Is Data Valid]]=TRUE,((Table1[[#This Row],[Birthweight (grams)]]*0.9/Table1[[#This Row],[BW_GA]])-1)/(Backend!$B$4/100*Table1[[#This Row],[BW40_3705]]),"")</f>
        <v/>
      </c>
      <c r="I1212" s="7" t="str">
        <f>IF(Table1[[#This Row],[Is Data Valid]]=TRUE,((Table1[[#This Row],[Birthweight (grams)]]*1.1/Table1[[#This Row],[BW_GA]])-1)/(Backend!$B$4/100*Table1[[#This Row],[BW40_3705]]),"")</f>
        <v/>
      </c>
      <c r="J1212" s="7" t="str">
        <f>IF(Table1[[#This Row],[Is Data Valid]]=TRUE,_xlfn.NORM.S.DIST(Table1[[#This Row],[Birthweight Z-Score]],TRUE)*100,"")</f>
        <v/>
      </c>
      <c r="K1212" s="7" t="str">
        <f>IF(Table1[[#This Row],[Is Data Valid]]=TRUE,_xlfn.NORM.S.DIST(Table1[[#This Row],[Birthweight Z-Score (BW-10%)]],TRUE)*100,"")</f>
        <v/>
      </c>
      <c r="L1212" s="7" t="str">
        <f>IF(Table1[[#This Row],[Is Data Valid]]=TRUE,_xlfn.NORM.S.DIST(Table1[[#This Row],[Birthweight Z-Score (BW+10%)]],TRUE)*100,"")</f>
        <v/>
      </c>
    </row>
    <row r="1213" spans="1:12" x14ac:dyDescent="0.35">
      <c r="A1213" s="3"/>
      <c r="B1213" s="2"/>
      <c r="C1213" s="2"/>
      <c r="D1213" s="2" t="b">
        <f>IF(AND(NOT(ISBLANK(Table1[[#This Row],[Fetal Sex (Male, Female or Unknown)]])),ISNUMBER(Table1[[#This Row],[Birthweight (grams)]]),ISNUMBER(Table1[[#This Row],[Gestation (days)]])),TRUE,FALSE)</f>
        <v>0</v>
      </c>
      <c r="E1213" s="2" t="str">
        <f>IF(Table1[[#This Row],[Is Data Valid]]=TRUE,IF(Table1[[#This Row],[Fetal Sex (Male, Female or Unknown)]]="Male",Backend!$C$6,IF(Table1[[#This Row],[Fetal Sex (Male, Female or Unknown)]]="Female",Backend!$C$7,IF(Table1[[#This Row],[Fetal Sex (Male, Female or Unknown)]]="Unknown",Backend!$C$8,"Error"))),"")</f>
        <v/>
      </c>
      <c r="F1213" s="8" t="str">
        <f>IF(Table1[[#This Row],[Is Data Valid]]=TRUE,EXP(0.578+0.332*((Table1[[#This Row],[Gestation (days)]]+0.5)/7)-0.00354*((Table1[[#This Row],[Gestation (days)]]+0.5)/7)^2)*Table1[[#This Row],[BW40_3705]],"")</f>
        <v/>
      </c>
      <c r="G1213" s="2" t="str">
        <f>IF(Table1[[#This Row],[Is Data Valid]]=TRUE,((Table1[[#This Row],[Birthweight (grams)]]/Table1[[#This Row],[BW_GA]])-1)/(Backend!$B$4/100*Table1[[#This Row],[BW40_3705]]),"")</f>
        <v/>
      </c>
      <c r="H1213" s="7" t="str">
        <f>IF(Table1[[#This Row],[Is Data Valid]]=TRUE,((Table1[[#This Row],[Birthweight (grams)]]*0.9/Table1[[#This Row],[BW_GA]])-1)/(Backend!$B$4/100*Table1[[#This Row],[BW40_3705]]),"")</f>
        <v/>
      </c>
      <c r="I1213" s="7" t="str">
        <f>IF(Table1[[#This Row],[Is Data Valid]]=TRUE,((Table1[[#This Row],[Birthweight (grams)]]*1.1/Table1[[#This Row],[BW_GA]])-1)/(Backend!$B$4/100*Table1[[#This Row],[BW40_3705]]),"")</f>
        <v/>
      </c>
      <c r="J1213" s="7" t="str">
        <f>IF(Table1[[#This Row],[Is Data Valid]]=TRUE,_xlfn.NORM.S.DIST(Table1[[#This Row],[Birthweight Z-Score]],TRUE)*100,"")</f>
        <v/>
      </c>
      <c r="K1213" s="7" t="str">
        <f>IF(Table1[[#This Row],[Is Data Valid]]=TRUE,_xlfn.NORM.S.DIST(Table1[[#This Row],[Birthweight Z-Score (BW-10%)]],TRUE)*100,"")</f>
        <v/>
      </c>
      <c r="L1213" s="7" t="str">
        <f>IF(Table1[[#This Row],[Is Data Valid]]=TRUE,_xlfn.NORM.S.DIST(Table1[[#This Row],[Birthweight Z-Score (BW+10%)]],TRUE)*100,"")</f>
        <v/>
      </c>
    </row>
    <row r="1214" spans="1:12" x14ac:dyDescent="0.35">
      <c r="A1214" s="3"/>
      <c r="B1214" s="2"/>
      <c r="C1214" s="2"/>
      <c r="D1214" s="2" t="b">
        <f>IF(AND(NOT(ISBLANK(Table1[[#This Row],[Fetal Sex (Male, Female or Unknown)]])),ISNUMBER(Table1[[#This Row],[Birthweight (grams)]]),ISNUMBER(Table1[[#This Row],[Gestation (days)]])),TRUE,FALSE)</f>
        <v>0</v>
      </c>
      <c r="E1214" s="2" t="str">
        <f>IF(Table1[[#This Row],[Is Data Valid]]=TRUE,IF(Table1[[#This Row],[Fetal Sex (Male, Female or Unknown)]]="Male",Backend!$C$6,IF(Table1[[#This Row],[Fetal Sex (Male, Female or Unknown)]]="Female",Backend!$C$7,IF(Table1[[#This Row],[Fetal Sex (Male, Female or Unknown)]]="Unknown",Backend!$C$8,"Error"))),"")</f>
        <v/>
      </c>
      <c r="F1214" s="8" t="str">
        <f>IF(Table1[[#This Row],[Is Data Valid]]=TRUE,EXP(0.578+0.332*((Table1[[#This Row],[Gestation (days)]]+0.5)/7)-0.00354*((Table1[[#This Row],[Gestation (days)]]+0.5)/7)^2)*Table1[[#This Row],[BW40_3705]],"")</f>
        <v/>
      </c>
      <c r="G1214" s="2" t="str">
        <f>IF(Table1[[#This Row],[Is Data Valid]]=TRUE,((Table1[[#This Row],[Birthweight (grams)]]/Table1[[#This Row],[BW_GA]])-1)/(Backend!$B$4/100*Table1[[#This Row],[BW40_3705]]),"")</f>
        <v/>
      </c>
      <c r="H1214" s="7" t="str">
        <f>IF(Table1[[#This Row],[Is Data Valid]]=TRUE,((Table1[[#This Row],[Birthweight (grams)]]*0.9/Table1[[#This Row],[BW_GA]])-1)/(Backend!$B$4/100*Table1[[#This Row],[BW40_3705]]),"")</f>
        <v/>
      </c>
      <c r="I1214" s="7" t="str">
        <f>IF(Table1[[#This Row],[Is Data Valid]]=TRUE,((Table1[[#This Row],[Birthweight (grams)]]*1.1/Table1[[#This Row],[BW_GA]])-1)/(Backend!$B$4/100*Table1[[#This Row],[BW40_3705]]),"")</f>
        <v/>
      </c>
      <c r="J1214" s="7" t="str">
        <f>IF(Table1[[#This Row],[Is Data Valid]]=TRUE,_xlfn.NORM.S.DIST(Table1[[#This Row],[Birthweight Z-Score]],TRUE)*100,"")</f>
        <v/>
      </c>
      <c r="K1214" s="7" t="str">
        <f>IF(Table1[[#This Row],[Is Data Valid]]=TRUE,_xlfn.NORM.S.DIST(Table1[[#This Row],[Birthweight Z-Score (BW-10%)]],TRUE)*100,"")</f>
        <v/>
      </c>
      <c r="L1214" s="7" t="str">
        <f>IF(Table1[[#This Row],[Is Data Valid]]=TRUE,_xlfn.NORM.S.DIST(Table1[[#This Row],[Birthweight Z-Score (BW+10%)]],TRUE)*100,"")</f>
        <v/>
      </c>
    </row>
    <row r="1215" spans="1:12" x14ac:dyDescent="0.35">
      <c r="A1215" s="3"/>
      <c r="B1215" s="2"/>
      <c r="C1215" s="2"/>
      <c r="D1215" s="2" t="b">
        <f>IF(AND(NOT(ISBLANK(Table1[[#This Row],[Fetal Sex (Male, Female or Unknown)]])),ISNUMBER(Table1[[#This Row],[Birthweight (grams)]]),ISNUMBER(Table1[[#This Row],[Gestation (days)]])),TRUE,FALSE)</f>
        <v>0</v>
      </c>
      <c r="E1215" s="2" t="str">
        <f>IF(Table1[[#This Row],[Is Data Valid]]=TRUE,IF(Table1[[#This Row],[Fetal Sex (Male, Female or Unknown)]]="Male",Backend!$C$6,IF(Table1[[#This Row],[Fetal Sex (Male, Female or Unknown)]]="Female",Backend!$C$7,IF(Table1[[#This Row],[Fetal Sex (Male, Female or Unknown)]]="Unknown",Backend!$C$8,"Error"))),"")</f>
        <v/>
      </c>
      <c r="F1215" s="8" t="str">
        <f>IF(Table1[[#This Row],[Is Data Valid]]=TRUE,EXP(0.578+0.332*((Table1[[#This Row],[Gestation (days)]]+0.5)/7)-0.00354*((Table1[[#This Row],[Gestation (days)]]+0.5)/7)^2)*Table1[[#This Row],[BW40_3705]],"")</f>
        <v/>
      </c>
      <c r="G1215" s="2" t="str">
        <f>IF(Table1[[#This Row],[Is Data Valid]]=TRUE,((Table1[[#This Row],[Birthweight (grams)]]/Table1[[#This Row],[BW_GA]])-1)/(Backend!$B$4/100*Table1[[#This Row],[BW40_3705]]),"")</f>
        <v/>
      </c>
      <c r="H1215" s="7" t="str">
        <f>IF(Table1[[#This Row],[Is Data Valid]]=TRUE,((Table1[[#This Row],[Birthweight (grams)]]*0.9/Table1[[#This Row],[BW_GA]])-1)/(Backend!$B$4/100*Table1[[#This Row],[BW40_3705]]),"")</f>
        <v/>
      </c>
      <c r="I1215" s="7" t="str">
        <f>IF(Table1[[#This Row],[Is Data Valid]]=TRUE,((Table1[[#This Row],[Birthweight (grams)]]*1.1/Table1[[#This Row],[BW_GA]])-1)/(Backend!$B$4/100*Table1[[#This Row],[BW40_3705]]),"")</f>
        <v/>
      </c>
      <c r="J1215" s="7" t="str">
        <f>IF(Table1[[#This Row],[Is Data Valid]]=TRUE,_xlfn.NORM.S.DIST(Table1[[#This Row],[Birthweight Z-Score]],TRUE)*100,"")</f>
        <v/>
      </c>
      <c r="K1215" s="7" t="str">
        <f>IF(Table1[[#This Row],[Is Data Valid]]=TRUE,_xlfn.NORM.S.DIST(Table1[[#This Row],[Birthweight Z-Score (BW-10%)]],TRUE)*100,"")</f>
        <v/>
      </c>
      <c r="L1215" s="7" t="str">
        <f>IF(Table1[[#This Row],[Is Data Valid]]=TRUE,_xlfn.NORM.S.DIST(Table1[[#This Row],[Birthweight Z-Score (BW+10%)]],TRUE)*100,"")</f>
        <v/>
      </c>
    </row>
    <row r="1216" spans="1:12" x14ac:dyDescent="0.35">
      <c r="A1216" s="3"/>
      <c r="B1216" s="2"/>
      <c r="C1216" s="2"/>
      <c r="D1216" s="2" t="b">
        <f>IF(AND(NOT(ISBLANK(Table1[[#This Row],[Fetal Sex (Male, Female or Unknown)]])),ISNUMBER(Table1[[#This Row],[Birthweight (grams)]]),ISNUMBER(Table1[[#This Row],[Gestation (days)]])),TRUE,FALSE)</f>
        <v>0</v>
      </c>
      <c r="E1216" s="2" t="str">
        <f>IF(Table1[[#This Row],[Is Data Valid]]=TRUE,IF(Table1[[#This Row],[Fetal Sex (Male, Female or Unknown)]]="Male",Backend!$C$6,IF(Table1[[#This Row],[Fetal Sex (Male, Female or Unknown)]]="Female",Backend!$C$7,IF(Table1[[#This Row],[Fetal Sex (Male, Female or Unknown)]]="Unknown",Backend!$C$8,"Error"))),"")</f>
        <v/>
      </c>
      <c r="F1216" s="8" t="str">
        <f>IF(Table1[[#This Row],[Is Data Valid]]=TRUE,EXP(0.578+0.332*((Table1[[#This Row],[Gestation (days)]]+0.5)/7)-0.00354*((Table1[[#This Row],[Gestation (days)]]+0.5)/7)^2)*Table1[[#This Row],[BW40_3705]],"")</f>
        <v/>
      </c>
      <c r="G1216" s="2" t="str">
        <f>IF(Table1[[#This Row],[Is Data Valid]]=TRUE,((Table1[[#This Row],[Birthweight (grams)]]/Table1[[#This Row],[BW_GA]])-1)/(Backend!$B$4/100*Table1[[#This Row],[BW40_3705]]),"")</f>
        <v/>
      </c>
      <c r="H1216" s="7" t="str">
        <f>IF(Table1[[#This Row],[Is Data Valid]]=TRUE,((Table1[[#This Row],[Birthweight (grams)]]*0.9/Table1[[#This Row],[BW_GA]])-1)/(Backend!$B$4/100*Table1[[#This Row],[BW40_3705]]),"")</f>
        <v/>
      </c>
      <c r="I1216" s="7" t="str">
        <f>IF(Table1[[#This Row],[Is Data Valid]]=TRUE,((Table1[[#This Row],[Birthweight (grams)]]*1.1/Table1[[#This Row],[BW_GA]])-1)/(Backend!$B$4/100*Table1[[#This Row],[BW40_3705]]),"")</f>
        <v/>
      </c>
      <c r="J1216" s="7" t="str">
        <f>IF(Table1[[#This Row],[Is Data Valid]]=TRUE,_xlfn.NORM.S.DIST(Table1[[#This Row],[Birthweight Z-Score]],TRUE)*100,"")</f>
        <v/>
      </c>
      <c r="K1216" s="7" t="str">
        <f>IF(Table1[[#This Row],[Is Data Valid]]=TRUE,_xlfn.NORM.S.DIST(Table1[[#This Row],[Birthweight Z-Score (BW-10%)]],TRUE)*100,"")</f>
        <v/>
      </c>
      <c r="L1216" s="7" t="str">
        <f>IF(Table1[[#This Row],[Is Data Valid]]=TRUE,_xlfn.NORM.S.DIST(Table1[[#This Row],[Birthweight Z-Score (BW+10%)]],TRUE)*100,"")</f>
        <v/>
      </c>
    </row>
    <row r="1217" spans="1:12" x14ac:dyDescent="0.35">
      <c r="A1217" s="3"/>
      <c r="B1217" s="2"/>
      <c r="C1217" s="2"/>
      <c r="D1217" s="2" t="b">
        <f>IF(AND(NOT(ISBLANK(Table1[[#This Row],[Fetal Sex (Male, Female or Unknown)]])),ISNUMBER(Table1[[#This Row],[Birthweight (grams)]]),ISNUMBER(Table1[[#This Row],[Gestation (days)]])),TRUE,FALSE)</f>
        <v>0</v>
      </c>
      <c r="E1217" s="2" t="str">
        <f>IF(Table1[[#This Row],[Is Data Valid]]=TRUE,IF(Table1[[#This Row],[Fetal Sex (Male, Female or Unknown)]]="Male",Backend!$C$6,IF(Table1[[#This Row],[Fetal Sex (Male, Female or Unknown)]]="Female",Backend!$C$7,IF(Table1[[#This Row],[Fetal Sex (Male, Female or Unknown)]]="Unknown",Backend!$C$8,"Error"))),"")</f>
        <v/>
      </c>
      <c r="F1217" s="8" t="str">
        <f>IF(Table1[[#This Row],[Is Data Valid]]=TRUE,EXP(0.578+0.332*((Table1[[#This Row],[Gestation (days)]]+0.5)/7)-0.00354*((Table1[[#This Row],[Gestation (days)]]+0.5)/7)^2)*Table1[[#This Row],[BW40_3705]],"")</f>
        <v/>
      </c>
      <c r="G1217" s="2" t="str">
        <f>IF(Table1[[#This Row],[Is Data Valid]]=TRUE,((Table1[[#This Row],[Birthweight (grams)]]/Table1[[#This Row],[BW_GA]])-1)/(Backend!$B$4/100*Table1[[#This Row],[BW40_3705]]),"")</f>
        <v/>
      </c>
      <c r="H1217" s="7" t="str">
        <f>IF(Table1[[#This Row],[Is Data Valid]]=TRUE,((Table1[[#This Row],[Birthweight (grams)]]*0.9/Table1[[#This Row],[BW_GA]])-1)/(Backend!$B$4/100*Table1[[#This Row],[BW40_3705]]),"")</f>
        <v/>
      </c>
      <c r="I1217" s="7" t="str">
        <f>IF(Table1[[#This Row],[Is Data Valid]]=TRUE,((Table1[[#This Row],[Birthweight (grams)]]*1.1/Table1[[#This Row],[BW_GA]])-1)/(Backend!$B$4/100*Table1[[#This Row],[BW40_3705]]),"")</f>
        <v/>
      </c>
      <c r="J1217" s="7" t="str">
        <f>IF(Table1[[#This Row],[Is Data Valid]]=TRUE,_xlfn.NORM.S.DIST(Table1[[#This Row],[Birthweight Z-Score]],TRUE)*100,"")</f>
        <v/>
      </c>
      <c r="K1217" s="7" t="str">
        <f>IF(Table1[[#This Row],[Is Data Valid]]=TRUE,_xlfn.NORM.S.DIST(Table1[[#This Row],[Birthweight Z-Score (BW-10%)]],TRUE)*100,"")</f>
        <v/>
      </c>
      <c r="L1217" s="7" t="str">
        <f>IF(Table1[[#This Row],[Is Data Valid]]=TRUE,_xlfn.NORM.S.DIST(Table1[[#This Row],[Birthweight Z-Score (BW+10%)]],TRUE)*100,"")</f>
        <v/>
      </c>
    </row>
    <row r="1218" spans="1:12" x14ac:dyDescent="0.35">
      <c r="A1218" s="3"/>
      <c r="B1218" s="2"/>
      <c r="C1218" s="2"/>
      <c r="D1218" s="2" t="b">
        <f>IF(AND(NOT(ISBLANK(Table1[[#This Row],[Fetal Sex (Male, Female or Unknown)]])),ISNUMBER(Table1[[#This Row],[Birthweight (grams)]]),ISNUMBER(Table1[[#This Row],[Gestation (days)]])),TRUE,FALSE)</f>
        <v>0</v>
      </c>
      <c r="E1218" s="2" t="str">
        <f>IF(Table1[[#This Row],[Is Data Valid]]=TRUE,IF(Table1[[#This Row],[Fetal Sex (Male, Female or Unknown)]]="Male",Backend!$C$6,IF(Table1[[#This Row],[Fetal Sex (Male, Female or Unknown)]]="Female",Backend!$C$7,IF(Table1[[#This Row],[Fetal Sex (Male, Female or Unknown)]]="Unknown",Backend!$C$8,"Error"))),"")</f>
        <v/>
      </c>
      <c r="F1218" s="8" t="str">
        <f>IF(Table1[[#This Row],[Is Data Valid]]=TRUE,EXP(0.578+0.332*((Table1[[#This Row],[Gestation (days)]]+0.5)/7)-0.00354*((Table1[[#This Row],[Gestation (days)]]+0.5)/7)^2)*Table1[[#This Row],[BW40_3705]],"")</f>
        <v/>
      </c>
      <c r="G1218" s="2" t="str">
        <f>IF(Table1[[#This Row],[Is Data Valid]]=TRUE,((Table1[[#This Row],[Birthweight (grams)]]/Table1[[#This Row],[BW_GA]])-1)/(Backend!$B$4/100*Table1[[#This Row],[BW40_3705]]),"")</f>
        <v/>
      </c>
      <c r="H1218" s="7" t="str">
        <f>IF(Table1[[#This Row],[Is Data Valid]]=TRUE,((Table1[[#This Row],[Birthweight (grams)]]*0.9/Table1[[#This Row],[BW_GA]])-1)/(Backend!$B$4/100*Table1[[#This Row],[BW40_3705]]),"")</f>
        <v/>
      </c>
      <c r="I1218" s="7" t="str">
        <f>IF(Table1[[#This Row],[Is Data Valid]]=TRUE,((Table1[[#This Row],[Birthweight (grams)]]*1.1/Table1[[#This Row],[BW_GA]])-1)/(Backend!$B$4/100*Table1[[#This Row],[BW40_3705]]),"")</f>
        <v/>
      </c>
      <c r="J1218" s="7" t="str">
        <f>IF(Table1[[#This Row],[Is Data Valid]]=TRUE,_xlfn.NORM.S.DIST(Table1[[#This Row],[Birthweight Z-Score]],TRUE)*100,"")</f>
        <v/>
      </c>
      <c r="K1218" s="7" t="str">
        <f>IF(Table1[[#This Row],[Is Data Valid]]=TRUE,_xlfn.NORM.S.DIST(Table1[[#This Row],[Birthweight Z-Score (BW-10%)]],TRUE)*100,"")</f>
        <v/>
      </c>
      <c r="L1218" s="7" t="str">
        <f>IF(Table1[[#This Row],[Is Data Valid]]=TRUE,_xlfn.NORM.S.DIST(Table1[[#This Row],[Birthweight Z-Score (BW+10%)]],TRUE)*100,"")</f>
        <v/>
      </c>
    </row>
    <row r="1219" spans="1:12" x14ac:dyDescent="0.35">
      <c r="A1219" s="3"/>
      <c r="B1219" s="2"/>
      <c r="C1219" s="2"/>
      <c r="D1219" s="2" t="b">
        <f>IF(AND(NOT(ISBLANK(Table1[[#This Row],[Fetal Sex (Male, Female or Unknown)]])),ISNUMBER(Table1[[#This Row],[Birthweight (grams)]]),ISNUMBER(Table1[[#This Row],[Gestation (days)]])),TRUE,FALSE)</f>
        <v>0</v>
      </c>
      <c r="E1219" s="2" t="str">
        <f>IF(Table1[[#This Row],[Is Data Valid]]=TRUE,IF(Table1[[#This Row],[Fetal Sex (Male, Female or Unknown)]]="Male",Backend!$C$6,IF(Table1[[#This Row],[Fetal Sex (Male, Female or Unknown)]]="Female",Backend!$C$7,IF(Table1[[#This Row],[Fetal Sex (Male, Female or Unknown)]]="Unknown",Backend!$C$8,"Error"))),"")</f>
        <v/>
      </c>
      <c r="F1219" s="8" t="str">
        <f>IF(Table1[[#This Row],[Is Data Valid]]=TRUE,EXP(0.578+0.332*((Table1[[#This Row],[Gestation (days)]]+0.5)/7)-0.00354*((Table1[[#This Row],[Gestation (days)]]+0.5)/7)^2)*Table1[[#This Row],[BW40_3705]],"")</f>
        <v/>
      </c>
      <c r="G1219" s="2" t="str">
        <f>IF(Table1[[#This Row],[Is Data Valid]]=TRUE,((Table1[[#This Row],[Birthweight (grams)]]/Table1[[#This Row],[BW_GA]])-1)/(Backend!$B$4/100*Table1[[#This Row],[BW40_3705]]),"")</f>
        <v/>
      </c>
      <c r="H1219" s="7" t="str">
        <f>IF(Table1[[#This Row],[Is Data Valid]]=TRUE,((Table1[[#This Row],[Birthweight (grams)]]*0.9/Table1[[#This Row],[BW_GA]])-1)/(Backend!$B$4/100*Table1[[#This Row],[BW40_3705]]),"")</f>
        <v/>
      </c>
      <c r="I1219" s="7" t="str">
        <f>IF(Table1[[#This Row],[Is Data Valid]]=TRUE,((Table1[[#This Row],[Birthweight (grams)]]*1.1/Table1[[#This Row],[BW_GA]])-1)/(Backend!$B$4/100*Table1[[#This Row],[BW40_3705]]),"")</f>
        <v/>
      </c>
      <c r="J1219" s="7" t="str">
        <f>IF(Table1[[#This Row],[Is Data Valid]]=TRUE,_xlfn.NORM.S.DIST(Table1[[#This Row],[Birthweight Z-Score]],TRUE)*100,"")</f>
        <v/>
      </c>
      <c r="K1219" s="7" t="str">
        <f>IF(Table1[[#This Row],[Is Data Valid]]=TRUE,_xlfn.NORM.S.DIST(Table1[[#This Row],[Birthweight Z-Score (BW-10%)]],TRUE)*100,"")</f>
        <v/>
      </c>
      <c r="L1219" s="7" t="str">
        <f>IF(Table1[[#This Row],[Is Data Valid]]=TRUE,_xlfn.NORM.S.DIST(Table1[[#This Row],[Birthweight Z-Score (BW+10%)]],TRUE)*100,"")</f>
        <v/>
      </c>
    </row>
    <row r="1220" spans="1:12" x14ac:dyDescent="0.35">
      <c r="A1220" s="3"/>
      <c r="B1220" s="2"/>
      <c r="C1220" s="2"/>
      <c r="D1220" s="2" t="b">
        <f>IF(AND(NOT(ISBLANK(Table1[[#This Row],[Fetal Sex (Male, Female or Unknown)]])),ISNUMBER(Table1[[#This Row],[Birthweight (grams)]]),ISNUMBER(Table1[[#This Row],[Gestation (days)]])),TRUE,FALSE)</f>
        <v>0</v>
      </c>
      <c r="E1220" s="2" t="str">
        <f>IF(Table1[[#This Row],[Is Data Valid]]=TRUE,IF(Table1[[#This Row],[Fetal Sex (Male, Female or Unknown)]]="Male",Backend!$C$6,IF(Table1[[#This Row],[Fetal Sex (Male, Female or Unknown)]]="Female",Backend!$C$7,IF(Table1[[#This Row],[Fetal Sex (Male, Female or Unknown)]]="Unknown",Backend!$C$8,"Error"))),"")</f>
        <v/>
      </c>
      <c r="F1220" s="8" t="str">
        <f>IF(Table1[[#This Row],[Is Data Valid]]=TRUE,EXP(0.578+0.332*((Table1[[#This Row],[Gestation (days)]]+0.5)/7)-0.00354*((Table1[[#This Row],[Gestation (days)]]+0.5)/7)^2)*Table1[[#This Row],[BW40_3705]],"")</f>
        <v/>
      </c>
      <c r="G1220" s="2" t="str">
        <f>IF(Table1[[#This Row],[Is Data Valid]]=TRUE,((Table1[[#This Row],[Birthweight (grams)]]/Table1[[#This Row],[BW_GA]])-1)/(Backend!$B$4/100*Table1[[#This Row],[BW40_3705]]),"")</f>
        <v/>
      </c>
      <c r="H1220" s="7" t="str">
        <f>IF(Table1[[#This Row],[Is Data Valid]]=TRUE,((Table1[[#This Row],[Birthweight (grams)]]*0.9/Table1[[#This Row],[BW_GA]])-1)/(Backend!$B$4/100*Table1[[#This Row],[BW40_3705]]),"")</f>
        <v/>
      </c>
      <c r="I1220" s="7" t="str">
        <f>IF(Table1[[#This Row],[Is Data Valid]]=TRUE,((Table1[[#This Row],[Birthweight (grams)]]*1.1/Table1[[#This Row],[BW_GA]])-1)/(Backend!$B$4/100*Table1[[#This Row],[BW40_3705]]),"")</f>
        <v/>
      </c>
      <c r="J1220" s="7" t="str">
        <f>IF(Table1[[#This Row],[Is Data Valid]]=TRUE,_xlfn.NORM.S.DIST(Table1[[#This Row],[Birthweight Z-Score]],TRUE)*100,"")</f>
        <v/>
      </c>
      <c r="K1220" s="7" t="str">
        <f>IF(Table1[[#This Row],[Is Data Valid]]=TRUE,_xlfn.NORM.S.DIST(Table1[[#This Row],[Birthweight Z-Score (BW-10%)]],TRUE)*100,"")</f>
        <v/>
      </c>
      <c r="L1220" s="7" t="str">
        <f>IF(Table1[[#This Row],[Is Data Valid]]=TRUE,_xlfn.NORM.S.DIST(Table1[[#This Row],[Birthweight Z-Score (BW+10%)]],TRUE)*100,"")</f>
        <v/>
      </c>
    </row>
    <row r="1221" spans="1:12" x14ac:dyDescent="0.35">
      <c r="A1221" s="3"/>
      <c r="B1221" s="2"/>
      <c r="C1221" s="2"/>
      <c r="D1221" s="2" t="b">
        <f>IF(AND(NOT(ISBLANK(Table1[[#This Row],[Fetal Sex (Male, Female or Unknown)]])),ISNUMBER(Table1[[#This Row],[Birthweight (grams)]]),ISNUMBER(Table1[[#This Row],[Gestation (days)]])),TRUE,FALSE)</f>
        <v>0</v>
      </c>
      <c r="E1221" s="2" t="str">
        <f>IF(Table1[[#This Row],[Is Data Valid]]=TRUE,IF(Table1[[#This Row],[Fetal Sex (Male, Female or Unknown)]]="Male",Backend!$C$6,IF(Table1[[#This Row],[Fetal Sex (Male, Female or Unknown)]]="Female",Backend!$C$7,IF(Table1[[#This Row],[Fetal Sex (Male, Female or Unknown)]]="Unknown",Backend!$C$8,"Error"))),"")</f>
        <v/>
      </c>
      <c r="F1221" s="8" t="str">
        <f>IF(Table1[[#This Row],[Is Data Valid]]=TRUE,EXP(0.578+0.332*((Table1[[#This Row],[Gestation (days)]]+0.5)/7)-0.00354*((Table1[[#This Row],[Gestation (days)]]+0.5)/7)^2)*Table1[[#This Row],[BW40_3705]],"")</f>
        <v/>
      </c>
      <c r="G1221" s="2" t="str">
        <f>IF(Table1[[#This Row],[Is Data Valid]]=TRUE,((Table1[[#This Row],[Birthweight (grams)]]/Table1[[#This Row],[BW_GA]])-1)/(Backend!$B$4/100*Table1[[#This Row],[BW40_3705]]),"")</f>
        <v/>
      </c>
      <c r="H1221" s="7" t="str">
        <f>IF(Table1[[#This Row],[Is Data Valid]]=TRUE,((Table1[[#This Row],[Birthweight (grams)]]*0.9/Table1[[#This Row],[BW_GA]])-1)/(Backend!$B$4/100*Table1[[#This Row],[BW40_3705]]),"")</f>
        <v/>
      </c>
      <c r="I1221" s="7" t="str">
        <f>IF(Table1[[#This Row],[Is Data Valid]]=TRUE,((Table1[[#This Row],[Birthweight (grams)]]*1.1/Table1[[#This Row],[BW_GA]])-1)/(Backend!$B$4/100*Table1[[#This Row],[BW40_3705]]),"")</f>
        <v/>
      </c>
      <c r="J1221" s="7" t="str">
        <f>IF(Table1[[#This Row],[Is Data Valid]]=TRUE,_xlfn.NORM.S.DIST(Table1[[#This Row],[Birthweight Z-Score]],TRUE)*100,"")</f>
        <v/>
      </c>
      <c r="K1221" s="7" t="str">
        <f>IF(Table1[[#This Row],[Is Data Valid]]=TRUE,_xlfn.NORM.S.DIST(Table1[[#This Row],[Birthweight Z-Score (BW-10%)]],TRUE)*100,"")</f>
        <v/>
      </c>
      <c r="L1221" s="7" t="str">
        <f>IF(Table1[[#This Row],[Is Data Valid]]=TRUE,_xlfn.NORM.S.DIST(Table1[[#This Row],[Birthweight Z-Score (BW+10%)]],TRUE)*100,"")</f>
        <v/>
      </c>
    </row>
    <row r="1222" spans="1:12" x14ac:dyDescent="0.35">
      <c r="A1222" s="3"/>
      <c r="B1222" s="2"/>
      <c r="C1222" s="2"/>
      <c r="D1222" s="2" t="b">
        <f>IF(AND(NOT(ISBLANK(Table1[[#This Row],[Fetal Sex (Male, Female or Unknown)]])),ISNUMBER(Table1[[#This Row],[Birthweight (grams)]]),ISNUMBER(Table1[[#This Row],[Gestation (days)]])),TRUE,FALSE)</f>
        <v>0</v>
      </c>
      <c r="E1222" s="2" t="str">
        <f>IF(Table1[[#This Row],[Is Data Valid]]=TRUE,IF(Table1[[#This Row],[Fetal Sex (Male, Female or Unknown)]]="Male",Backend!$C$6,IF(Table1[[#This Row],[Fetal Sex (Male, Female or Unknown)]]="Female",Backend!$C$7,IF(Table1[[#This Row],[Fetal Sex (Male, Female or Unknown)]]="Unknown",Backend!$C$8,"Error"))),"")</f>
        <v/>
      </c>
      <c r="F1222" s="8" t="str">
        <f>IF(Table1[[#This Row],[Is Data Valid]]=TRUE,EXP(0.578+0.332*((Table1[[#This Row],[Gestation (days)]]+0.5)/7)-0.00354*((Table1[[#This Row],[Gestation (days)]]+0.5)/7)^2)*Table1[[#This Row],[BW40_3705]],"")</f>
        <v/>
      </c>
      <c r="G1222" s="2" t="str">
        <f>IF(Table1[[#This Row],[Is Data Valid]]=TRUE,((Table1[[#This Row],[Birthweight (grams)]]/Table1[[#This Row],[BW_GA]])-1)/(Backend!$B$4/100*Table1[[#This Row],[BW40_3705]]),"")</f>
        <v/>
      </c>
      <c r="H1222" s="7" t="str">
        <f>IF(Table1[[#This Row],[Is Data Valid]]=TRUE,((Table1[[#This Row],[Birthweight (grams)]]*0.9/Table1[[#This Row],[BW_GA]])-1)/(Backend!$B$4/100*Table1[[#This Row],[BW40_3705]]),"")</f>
        <v/>
      </c>
      <c r="I1222" s="7" t="str">
        <f>IF(Table1[[#This Row],[Is Data Valid]]=TRUE,((Table1[[#This Row],[Birthweight (grams)]]*1.1/Table1[[#This Row],[BW_GA]])-1)/(Backend!$B$4/100*Table1[[#This Row],[BW40_3705]]),"")</f>
        <v/>
      </c>
      <c r="J1222" s="7" t="str">
        <f>IF(Table1[[#This Row],[Is Data Valid]]=TRUE,_xlfn.NORM.S.DIST(Table1[[#This Row],[Birthweight Z-Score]],TRUE)*100,"")</f>
        <v/>
      </c>
      <c r="K1222" s="7" t="str">
        <f>IF(Table1[[#This Row],[Is Data Valid]]=TRUE,_xlfn.NORM.S.DIST(Table1[[#This Row],[Birthweight Z-Score (BW-10%)]],TRUE)*100,"")</f>
        <v/>
      </c>
      <c r="L1222" s="7" t="str">
        <f>IF(Table1[[#This Row],[Is Data Valid]]=TRUE,_xlfn.NORM.S.DIST(Table1[[#This Row],[Birthweight Z-Score (BW+10%)]],TRUE)*100,"")</f>
        <v/>
      </c>
    </row>
    <row r="1223" spans="1:12" x14ac:dyDescent="0.35">
      <c r="A1223" s="3"/>
      <c r="B1223" s="2"/>
      <c r="C1223" s="2"/>
      <c r="D1223" s="2" t="b">
        <f>IF(AND(NOT(ISBLANK(Table1[[#This Row],[Fetal Sex (Male, Female or Unknown)]])),ISNUMBER(Table1[[#This Row],[Birthweight (grams)]]),ISNUMBER(Table1[[#This Row],[Gestation (days)]])),TRUE,FALSE)</f>
        <v>0</v>
      </c>
      <c r="E1223" s="2" t="str">
        <f>IF(Table1[[#This Row],[Is Data Valid]]=TRUE,IF(Table1[[#This Row],[Fetal Sex (Male, Female or Unknown)]]="Male",Backend!$C$6,IF(Table1[[#This Row],[Fetal Sex (Male, Female or Unknown)]]="Female",Backend!$C$7,IF(Table1[[#This Row],[Fetal Sex (Male, Female or Unknown)]]="Unknown",Backend!$C$8,"Error"))),"")</f>
        <v/>
      </c>
      <c r="F1223" s="8" t="str">
        <f>IF(Table1[[#This Row],[Is Data Valid]]=TRUE,EXP(0.578+0.332*((Table1[[#This Row],[Gestation (days)]]+0.5)/7)-0.00354*((Table1[[#This Row],[Gestation (days)]]+0.5)/7)^2)*Table1[[#This Row],[BW40_3705]],"")</f>
        <v/>
      </c>
      <c r="G1223" s="2" t="str">
        <f>IF(Table1[[#This Row],[Is Data Valid]]=TRUE,((Table1[[#This Row],[Birthweight (grams)]]/Table1[[#This Row],[BW_GA]])-1)/(Backend!$B$4/100*Table1[[#This Row],[BW40_3705]]),"")</f>
        <v/>
      </c>
      <c r="H1223" s="7" t="str">
        <f>IF(Table1[[#This Row],[Is Data Valid]]=TRUE,((Table1[[#This Row],[Birthweight (grams)]]*0.9/Table1[[#This Row],[BW_GA]])-1)/(Backend!$B$4/100*Table1[[#This Row],[BW40_3705]]),"")</f>
        <v/>
      </c>
      <c r="I1223" s="7" t="str">
        <f>IF(Table1[[#This Row],[Is Data Valid]]=TRUE,((Table1[[#This Row],[Birthweight (grams)]]*1.1/Table1[[#This Row],[BW_GA]])-1)/(Backend!$B$4/100*Table1[[#This Row],[BW40_3705]]),"")</f>
        <v/>
      </c>
      <c r="J1223" s="7" t="str">
        <f>IF(Table1[[#This Row],[Is Data Valid]]=TRUE,_xlfn.NORM.S.DIST(Table1[[#This Row],[Birthweight Z-Score]],TRUE)*100,"")</f>
        <v/>
      </c>
      <c r="K1223" s="7" t="str">
        <f>IF(Table1[[#This Row],[Is Data Valid]]=TRUE,_xlfn.NORM.S.DIST(Table1[[#This Row],[Birthweight Z-Score (BW-10%)]],TRUE)*100,"")</f>
        <v/>
      </c>
      <c r="L1223" s="7" t="str">
        <f>IF(Table1[[#This Row],[Is Data Valid]]=TRUE,_xlfn.NORM.S.DIST(Table1[[#This Row],[Birthweight Z-Score (BW+10%)]],TRUE)*100,"")</f>
        <v/>
      </c>
    </row>
    <row r="1224" spans="1:12" x14ac:dyDescent="0.35">
      <c r="A1224" s="3"/>
      <c r="B1224" s="2"/>
      <c r="C1224" s="2"/>
      <c r="D1224" s="2" t="b">
        <f>IF(AND(NOT(ISBLANK(Table1[[#This Row],[Fetal Sex (Male, Female or Unknown)]])),ISNUMBER(Table1[[#This Row],[Birthweight (grams)]]),ISNUMBER(Table1[[#This Row],[Gestation (days)]])),TRUE,FALSE)</f>
        <v>0</v>
      </c>
      <c r="E1224" s="2" t="str">
        <f>IF(Table1[[#This Row],[Is Data Valid]]=TRUE,IF(Table1[[#This Row],[Fetal Sex (Male, Female or Unknown)]]="Male",Backend!$C$6,IF(Table1[[#This Row],[Fetal Sex (Male, Female or Unknown)]]="Female",Backend!$C$7,IF(Table1[[#This Row],[Fetal Sex (Male, Female or Unknown)]]="Unknown",Backend!$C$8,"Error"))),"")</f>
        <v/>
      </c>
      <c r="F1224" s="8" t="str">
        <f>IF(Table1[[#This Row],[Is Data Valid]]=TRUE,EXP(0.578+0.332*((Table1[[#This Row],[Gestation (days)]]+0.5)/7)-0.00354*((Table1[[#This Row],[Gestation (days)]]+0.5)/7)^2)*Table1[[#This Row],[BW40_3705]],"")</f>
        <v/>
      </c>
      <c r="G1224" s="2" t="str">
        <f>IF(Table1[[#This Row],[Is Data Valid]]=TRUE,((Table1[[#This Row],[Birthweight (grams)]]/Table1[[#This Row],[BW_GA]])-1)/(Backend!$B$4/100*Table1[[#This Row],[BW40_3705]]),"")</f>
        <v/>
      </c>
      <c r="H1224" s="7" t="str">
        <f>IF(Table1[[#This Row],[Is Data Valid]]=TRUE,((Table1[[#This Row],[Birthweight (grams)]]*0.9/Table1[[#This Row],[BW_GA]])-1)/(Backend!$B$4/100*Table1[[#This Row],[BW40_3705]]),"")</f>
        <v/>
      </c>
      <c r="I1224" s="7" t="str">
        <f>IF(Table1[[#This Row],[Is Data Valid]]=TRUE,((Table1[[#This Row],[Birthweight (grams)]]*1.1/Table1[[#This Row],[BW_GA]])-1)/(Backend!$B$4/100*Table1[[#This Row],[BW40_3705]]),"")</f>
        <v/>
      </c>
      <c r="J1224" s="7" t="str">
        <f>IF(Table1[[#This Row],[Is Data Valid]]=TRUE,_xlfn.NORM.S.DIST(Table1[[#This Row],[Birthweight Z-Score]],TRUE)*100,"")</f>
        <v/>
      </c>
      <c r="K1224" s="7" t="str">
        <f>IF(Table1[[#This Row],[Is Data Valid]]=TRUE,_xlfn.NORM.S.DIST(Table1[[#This Row],[Birthweight Z-Score (BW-10%)]],TRUE)*100,"")</f>
        <v/>
      </c>
      <c r="L1224" s="7" t="str">
        <f>IF(Table1[[#This Row],[Is Data Valid]]=TRUE,_xlfn.NORM.S.DIST(Table1[[#This Row],[Birthweight Z-Score (BW+10%)]],TRUE)*100,"")</f>
        <v/>
      </c>
    </row>
    <row r="1225" spans="1:12" x14ac:dyDescent="0.35">
      <c r="A1225" s="3"/>
      <c r="B1225" s="2"/>
      <c r="C1225" s="2"/>
      <c r="D1225" s="2" t="b">
        <f>IF(AND(NOT(ISBLANK(Table1[[#This Row],[Fetal Sex (Male, Female or Unknown)]])),ISNUMBER(Table1[[#This Row],[Birthweight (grams)]]),ISNUMBER(Table1[[#This Row],[Gestation (days)]])),TRUE,FALSE)</f>
        <v>0</v>
      </c>
      <c r="E1225" s="2" t="str">
        <f>IF(Table1[[#This Row],[Is Data Valid]]=TRUE,IF(Table1[[#This Row],[Fetal Sex (Male, Female or Unknown)]]="Male",Backend!$C$6,IF(Table1[[#This Row],[Fetal Sex (Male, Female or Unknown)]]="Female",Backend!$C$7,IF(Table1[[#This Row],[Fetal Sex (Male, Female or Unknown)]]="Unknown",Backend!$C$8,"Error"))),"")</f>
        <v/>
      </c>
      <c r="F1225" s="8" t="str">
        <f>IF(Table1[[#This Row],[Is Data Valid]]=TRUE,EXP(0.578+0.332*((Table1[[#This Row],[Gestation (days)]]+0.5)/7)-0.00354*((Table1[[#This Row],[Gestation (days)]]+0.5)/7)^2)*Table1[[#This Row],[BW40_3705]],"")</f>
        <v/>
      </c>
      <c r="G1225" s="2" t="str">
        <f>IF(Table1[[#This Row],[Is Data Valid]]=TRUE,((Table1[[#This Row],[Birthweight (grams)]]/Table1[[#This Row],[BW_GA]])-1)/(Backend!$B$4/100*Table1[[#This Row],[BW40_3705]]),"")</f>
        <v/>
      </c>
      <c r="H1225" s="7" t="str">
        <f>IF(Table1[[#This Row],[Is Data Valid]]=TRUE,((Table1[[#This Row],[Birthweight (grams)]]*0.9/Table1[[#This Row],[BW_GA]])-1)/(Backend!$B$4/100*Table1[[#This Row],[BW40_3705]]),"")</f>
        <v/>
      </c>
      <c r="I1225" s="7" t="str">
        <f>IF(Table1[[#This Row],[Is Data Valid]]=TRUE,((Table1[[#This Row],[Birthweight (grams)]]*1.1/Table1[[#This Row],[BW_GA]])-1)/(Backend!$B$4/100*Table1[[#This Row],[BW40_3705]]),"")</f>
        <v/>
      </c>
      <c r="J1225" s="7" t="str">
        <f>IF(Table1[[#This Row],[Is Data Valid]]=TRUE,_xlfn.NORM.S.DIST(Table1[[#This Row],[Birthweight Z-Score]],TRUE)*100,"")</f>
        <v/>
      </c>
      <c r="K1225" s="7" t="str">
        <f>IF(Table1[[#This Row],[Is Data Valid]]=TRUE,_xlfn.NORM.S.DIST(Table1[[#This Row],[Birthweight Z-Score (BW-10%)]],TRUE)*100,"")</f>
        <v/>
      </c>
      <c r="L1225" s="7" t="str">
        <f>IF(Table1[[#This Row],[Is Data Valid]]=TRUE,_xlfn.NORM.S.DIST(Table1[[#This Row],[Birthweight Z-Score (BW+10%)]],TRUE)*100,"")</f>
        <v/>
      </c>
    </row>
    <row r="1226" spans="1:12" x14ac:dyDescent="0.35">
      <c r="A1226" s="3"/>
      <c r="B1226" s="2"/>
      <c r="C1226" s="2"/>
      <c r="D1226" s="2" t="b">
        <f>IF(AND(NOT(ISBLANK(Table1[[#This Row],[Fetal Sex (Male, Female or Unknown)]])),ISNUMBER(Table1[[#This Row],[Birthweight (grams)]]),ISNUMBER(Table1[[#This Row],[Gestation (days)]])),TRUE,FALSE)</f>
        <v>0</v>
      </c>
      <c r="E1226" s="2" t="str">
        <f>IF(Table1[[#This Row],[Is Data Valid]]=TRUE,IF(Table1[[#This Row],[Fetal Sex (Male, Female or Unknown)]]="Male",Backend!$C$6,IF(Table1[[#This Row],[Fetal Sex (Male, Female or Unknown)]]="Female",Backend!$C$7,IF(Table1[[#This Row],[Fetal Sex (Male, Female or Unknown)]]="Unknown",Backend!$C$8,"Error"))),"")</f>
        <v/>
      </c>
      <c r="F1226" s="8" t="str">
        <f>IF(Table1[[#This Row],[Is Data Valid]]=TRUE,EXP(0.578+0.332*((Table1[[#This Row],[Gestation (days)]]+0.5)/7)-0.00354*((Table1[[#This Row],[Gestation (days)]]+0.5)/7)^2)*Table1[[#This Row],[BW40_3705]],"")</f>
        <v/>
      </c>
      <c r="G1226" s="2" t="str">
        <f>IF(Table1[[#This Row],[Is Data Valid]]=TRUE,((Table1[[#This Row],[Birthweight (grams)]]/Table1[[#This Row],[BW_GA]])-1)/(Backend!$B$4/100*Table1[[#This Row],[BW40_3705]]),"")</f>
        <v/>
      </c>
      <c r="H1226" s="7" t="str">
        <f>IF(Table1[[#This Row],[Is Data Valid]]=TRUE,((Table1[[#This Row],[Birthweight (grams)]]*0.9/Table1[[#This Row],[BW_GA]])-1)/(Backend!$B$4/100*Table1[[#This Row],[BW40_3705]]),"")</f>
        <v/>
      </c>
      <c r="I1226" s="7" t="str">
        <f>IF(Table1[[#This Row],[Is Data Valid]]=TRUE,((Table1[[#This Row],[Birthweight (grams)]]*1.1/Table1[[#This Row],[BW_GA]])-1)/(Backend!$B$4/100*Table1[[#This Row],[BW40_3705]]),"")</f>
        <v/>
      </c>
      <c r="J1226" s="7" t="str">
        <f>IF(Table1[[#This Row],[Is Data Valid]]=TRUE,_xlfn.NORM.S.DIST(Table1[[#This Row],[Birthweight Z-Score]],TRUE)*100,"")</f>
        <v/>
      </c>
      <c r="K1226" s="7" t="str">
        <f>IF(Table1[[#This Row],[Is Data Valid]]=TRUE,_xlfn.NORM.S.DIST(Table1[[#This Row],[Birthweight Z-Score (BW-10%)]],TRUE)*100,"")</f>
        <v/>
      </c>
      <c r="L1226" s="7" t="str">
        <f>IF(Table1[[#This Row],[Is Data Valid]]=TRUE,_xlfn.NORM.S.DIST(Table1[[#This Row],[Birthweight Z-Score (BW+10%)]],TRUE)*100,"")</f>
        <v/>
      </c>
    </row>
    <row r="1227" spans="1:12" x14ac:dyDescent="0.35">
      <c r="A1227" s="3"/>
      <c r="B1227" s="2"/>
      <c r="C1227" s="2"/>
      <c r="D1227" s="2" t="b">
        <f>IF(AND(NOT(ISBLANK(Table1[[#This Row],[Fetal Sex (Male, Female or Unknown)]])),ISNUMBER(Table1[[#This Row],[Birthweight (grams)]]),ISNUMBER(Table1[[#This Row],[Gestation (days)]])),TRUE,FALSE)</f>
        <v>0</v>
      </c>
      <c r="E1227" s="2" t="str">
        <f>IF(Table1[[#This Row],[Is Data Valid]]=TRUE,IF(Table1[[#This Row],[Fetal Sex (Male, Female or Unknown)]]="Male",Backend!$C$6,IF(Table1[[#This Row],[Fetal Sex (Male, Female or Unknown)]]="Female",Backend!$C$7,IF(Table1[[#This Row],[Fetal Sex (Male, Female or Unknown)]]="Unknown",Backend!$C$8,"Error"))),"")</f>
        <v/>
      </c>
      <c r="F1227" s="8" t="str">
        <f>IF(Table1[[#This Row],[Is Data Valid]]=TRUE,EXP(0.578+0.332*((Table1[[#This Row],[Gestation (days)]]+0.5)/7)-0.00354*((Table1[[#This Row],[Gestation (days)]]+0.5)/7)^2)*Table1[[#This Row],[BW40_3705]],"")</f>
        <v/>
      </c>
      <c r="G1227" s="2" t="str">
        <f>IF(Table1[[#This Row],[Is Data Valid]]=TRUE,((Table1[[#This Row],[Birthweight (grams)]]/Table1[[#This Row],[BW_GA]])-1)/(Backend!$B$4/100*Table1[[#This Row],[BW40_3705]]),"")</f>
        <v/>
      </c>
      <c r="H1227" s="7" t="str">
        <f>IF(Table1[[#This Row],[Is Data Valid]]=TRUE,((Table1[[#This Row],[Birthweight (grams)]]*0.9/Table1[[#This Row],[BW_GA]])-1)/(Backend!$B$4/100*Table1[[#This Row],[BW40_3705]]),"")</f>
        <v/>
      </c>
      <c r="I1227" s="7" t="str">
        <f>IF(Table1[[#This Row],[Is Data Valid]]=TRUE,((Table1[[#This Row],[Birthweight (grams)]]*1.1/Table1[[#This Row],[BW_GA]])-1)/(Backend!$B$4/100*Table1[[#This Row],[BW40_3705]]),"")</f>
        <v/>
      </c>
      <c r="J1227" s="7" t="str">
        <f>IF(Table1[[#This Row],[Is Data Valid]]=TRUE,_xlfn.NORM.S.DIST(Table1[[#This Row],[Birthweight Z-Score]],TRUE)*100,"")</f>
        <v/>
      </c>
      <c r="K1227" s="7" t="str">
        <f>IF(Table1[[#This Row],[Is Data Valid]]=TRUE,_xlfn.NORM.S.DIST(Table1[[#This Row],[Birthweight Z-Score (BW-10%)]],TRUE)*100,"")</f>
        <v/>
      </c>
      <c r="L1227" s="7" t="str">
        <f>IF(Table1[[#This Row],[Is Data Valid]]=TRUE,_xlfn.NORM.S.DIST(Table1[[#This Row],[Birthweight Z-Score (BW+10%)]],TRUE)*100,"")</f>
        <v/>
      </c>
    </row>
    <row r="1228" spans="1:12" x14ac:dyDescent="0.35">
      <c r="A1228" s="3"/>
      <c r="B1228" s="2"/>
      <c r="C1228" s="2"/>
      <c r="D1228" s="2" t="b">
        <f>IF(AND(NOT(ISBLANK(Table1[[#This Row],[Fetal Sex (Male, Female or Unknown)]])),ISNUMBER(Table1[[#This Row],[Birthweight (grams)]]),ISNUMBER(Table1[[#This Row],[Gestation (days)]])),TRUE,FALSE)</f>
        <v>0</v>
      </c>
      <c r="E1228" s="2" t="str">
        <f>IF(Table1[[#This Row],[Is Data Valid]]=TRUE,IF(Table1[[#This Row],[Fetal Sex (Male, Female or Unknown)]]="Male",Backend!$C$6,IF(Table1[[#This Row],[Fetal Sex (Male, Female or Unknown)]]="Female",Backend!$C$7,IF(Table1[[#This Row],[Fetal Sex (Male, Female or Unknown)]]="Unknown",Backend!$C$8,"Error"))),"")</f>
        <v/>
      </c>
      <c r="F1228" s="8" t="str">
        <f>IF(Table1[[#This Row],[Is Data Valid]]=TRUE,EXP(0.578+0.332*((Table1[[#This Row],[Gestation (days)]]+0.5)/7)-0.00354*((Table1[[#This Row],[Gestation (days)]]+0.5)/7)^2)*Table1[[#This Row],[BW40_3705]],"")</f>
        <v/>
      </c>
      <c r="G1228" s="2" t="str">
        <f>IF(Table1[[#This Row],[Is Data Valid]]=TRUE,((Table1[[#This Row],[Birthweight (grams)]]/Table1[[#This Row],[BW_GA]])-1)/(Backend!$B$4/100*Table1[[#This Row],[BW40_3705]]),"")</f>
        <v/>
      </c>
      <c r="H1228" s="7" t="str">
        <f>IF(Table1[[#This Row],[Is Data Valid]]=TRUE,((Table1[[#This Row],[Birthweight (grams)]]*0.9/Table1[[#This Row],[BW_GA]])-1)/(Backend!$B$4/100*Table1[[#This Row],[BW40_3705]]),"")</f>
        <v/>
      </c>
      <c r="I1228" s="7" t="str">
        <f>IF(Table1[[#This Row],[Is Data Valid]]=TRUE,((Table1[[#This Row],[Birthweight (grams)]]*1.1/Table1[[#This Row],[BW_GA]])-1)/(Backend!$B$4/100*Table1[[#This Row],[BW40_3705]]),"")</f>
        <v/>
      </c>
      <c r="J1228" s="7" t="str">
        <f>IF(Table1[[#This Row],[Is Data Valid]]=TRUE,_xlfn.NORM.S.DIST(Table1[[#This Row],[Birthweight Z-Score]],TRUE)*100,"")</f>
        <v/>
      </c>
      <c r="K1228" s="7" t="str">
        <f>IF(Table1[[#This Row],[Is Data Valid]]=TRUE,_xlfn.NORM.S.DIST(Table1[[#This Row],[Birthweight Z-Score (BW-10%)]],TRUE)*100,"")</f>
        <v/>
      </c>
      <c r="L1228" s="7" t="str">
        <f>IF(Table1[[#This Row],[Is Data Valid]]=TRUE,_xlfn.NORM.S.DIST(Table1[[#This Row],[Birthweight Z-Score (BW+10%)]],TRUE)*100,"")</f>
        <v/>
      </c>
    </row>
    <row r="1229" spans="1:12" x14ac:dyDescent="0.35">
      <c r="A1229" s="3"/>
      <c r="B1229" s="2"/>
      <c r="C1229" s="2"/>
      <c r="D1229" s="2" t="b">
        <f>IF(AND(NOT(ISBLANK(Table1[[#This Row],[Fetal Sex (Male, Female or Unknown)]])),ISNUMBER(Table1[[#This Row],[Birthweight (grams)]]),ISNUMBER(Table1[[#This Row],[Gestation (days)]])),TRUE,FALSE)</f>
        <v>0</v>
      </c>
      <c r="E1229" s="2" t="str">
        <f>IF(Table1[[#This Row],[Is Data Valid]]=TRUE,IF(Table1[[#This Row],[Fetal Sex (Male, Female or Unknown)]]="Male",Backend!$C$6,IF(Table1[[#This Row],[Fetal Sex (Male, Female or Unknown)]]="Female",Backend!$C$7,IF(Table1[[#This Row],[Fetal Sex (Male, Female or Unknown)]]="Unknown",Backend!$C$8,"Error"))),"")</f>
        <v/>
      </c>
      <c r="F1229" s="8" t="str">
        <f>IF(Table1[[#This Row],[Is Data Valid]]=TRUE,EXP(0.578+0.332*((Table1[[#This Row],[Gestation (days)]]+0.5)/7)-0.00354*((Table1[[#This Row],[Gestation (days)]]+0.5)/7)^2)*Table1[[#This Row],[BW40_3705]],"")</f>
        <v/>
      </c>
      <c r="G1229" s="2" t="str">
        <f>IF(Table1[[#This Row],[Is Data Valid]]=TRUE,((Table1[[#This Row],[Birthweight (grams)]]/Table1[[#This Row],[BW_GA]])-1)/(Backend!$B$4/100*Table1[[#This Row],[BW40_3705]]),"")</f>
        <v/>
      </c>
      <c r="H1229" s="7" t="str">
        <f>IF(Table1[[#This Row],[Is Data Valid]]=TRUE,((Table1[[#This Row],[Birthweight (grams)]]*0.9/Table1[[#This Row],[BW_GA]])-1)/(Backend!$B$4/100*Table1[[#This Row],[BW40_3705]]),"")</f>
        <v/>
      </c>
      <c r="I1229" s="7" t="str">
        <f>IF(Table1[[#This Row],[Is Data Valid]]=TRUE,((Table1[[#This Row],[Birthweight (grams)]]*1.1/Table1[[#This Row],[BW_GA]])-1)/(Backend!$B$4/100*Table1[[#This Row],[BW40_3705]]),"")</f>
        <v/>
      </c>
      <c r="J1229" s="7" t="str">
        <f>IF(Table1[[#This Row],[Is Data Valid]]=TRUE,_xlfn.NORM.S.DIST(Table1[[#This Row],[Birthweight Z-Score]],TRUE)*100,"")</f>
        <v/>
      </c>
      <c r="K1229" s="7" t="str">
        <f>IF(Table1[[#This Row],[Is Data Valid]]=TRUE,_xlfn.NORM.S.DIST(Table1[[#This Row],[Birthweight Z-Score (BW-10%)]],TRUE)*100,"")</f>
        <v/>
      </c>
      <c r="L1229" s="7" t="str">
        <f>IF(Table1[[#This Row],[Is Data Valid]]=TRUE,_xlfn.NORM.S.DIST(Table1[[#This Row],[Birthweight Z-Score (BW+10%)]],TRUE)*100,"")</f>
        <v/>
      </c>
    </row>
    <row r="1230" spans="1:12" x14ac:dyDescent="0.35">
      <c r="A1230" s="3"/>
      <c r="B1230" s="2"/>
      <c r="C1230" s="2"/>
      <c r="D1230" s="2" t="b">
        <f>IF(AND(NOT(ISBLANK(Table1[[#This Row],[Fetal Sex (Male, Female or Unknown)]])),ISNUMBER(Table1[[#This Row],[Birthweight (grams)]]),ISNUMBER(Table1[[#This Row],[Gestation (days)]])),TRUE,FALSE)</f>
        <v>0</v>
      </c>
      <c r="E1230" s="2" t="str">
        <f>IF(Table1[[#This Row],[Is Data Valid]]=TRUE,IF(Table1[[#This Row],[Fetal Sex (Male, Female or Unknown)]]="Male",Backend!$C$6,IF(Table1[[#This Row],[Fetal Sex (Male, Female or Unknown)]]="Female",Backend!$C$7,IF(Table1[[#This Row],[Fetal Sex (Male, Female or Unknown)]]="Unknown",Backend!$C$8,"Error"))),"")</f>
        <v/>
      </c>
      <c r="F1230" s="8" t="str">
        <f>IF(Table1[[#This Row],[Is Data Valid]]=TRUE,EXP(0.578+0.332*((Table1[[#This Row],[Gestation (days)]]+0.5)/7)-0.00354*((Table1[[#This Row],[Gestation (days)]]+0.5)/7)^2)*Table1[[#This Row],[BW40_3705]],"")</f>
        <v/>
      </c>
      <c r="G1230" s="2" t="str">
        <f>IF(Table1[[#This Row],[Is Data Valid]]=TRUE,((Table1[[#This Row],[Birthweight (grams)]]/Table1[[#This Row],[BW_GA]])-1)/(Backend!$B$4/100*Table1[[#This Row],[BW40_3705]]),"")</f>
        <v/>
      </c>
      <c r="H1230" s="7" t="str">
        <f>IF(Table1[[#This Row],[Is Data Valid]]=TRUE,((Table1[[#This Row],[Birthweight (grams)]]*0.9/Table1[[#This Row],[BW_GA]])-1)/(Backend!$B$4/100*Table1[[#This Row],[BW40_3705]]),"")</f>
        <v/>
      </c>
      <c r="I1230" s="7" t="str">
        <f>IF(Table1[[#This Row],[Is Data Valid]]=TRUE,((Table1[[#This Row],[Birthweight (grams)]]*1.1/Table1[[#This Row],[BW_GA]])-1)/(Backend!$B$4/100*Table1[[#This Row],[BW40_3705]]),"")</f>
        <v/>
      </c>
      <c r="J1230" s="7" t="str">
        <f>IF(Table1[[#This Row],[Is Data Valid]]=TRUE,_xlfn.NORM.S.DIST(Table1[[#This Row],[Birthweight Z-Score]],TRUE)*100,"")</f>
        <v/>
      </c>
      <c r="K1230" s="7" t="str">
        <f>IF(Table1[[#This Row],[Is Data Valid]]=TRUE,_xlfn.NORM.S.DIST(Table1[[#This Row],[Birthweight Z-Score (BW-10%)]],TRUE)*100,"")</f>
        <v/>
      </c>
      <c r="L1230" s="7" t="str">
        <f>IF(Table1[[#This Row],[Is Data Valid]]=TRUE,_xlfn.NORM.S.DIST(Table1[[#This Row],[Birthweight Z-Score (BW+10%)]],TRUE)*100,"")</f>
        <v/>
      </c>
    </row>
    <row r="1231" spans="1:12" x14ac:dyDescent="0.35">
      <c r="A1231" s="3"/>
      <c r="B1231" s="2"/>
      <c r="C1231" s="2"/>
      <c r="D1231" s="2" t="b">
        <f>IF(AND(NOT(ISBLANK(Table1[[#This Row],[Fetal Sex (Male, Female or Unknown)]])),ISNUMBER(Table1[[#This Row],[Birthweight (grams)]]),ISNUMBER(Table1[[#This Row],[Gestation (days)]])),TRUE,FALSE)</f>
        <v>0</v>
      </c>
      <c r="E1231" s="2" t="str">
        <f>IF(Table1[[#This Row],[Is Data Valid]]=TRUE,IF(Table1[[#This Row],[Fetal Sex (Male, Female or Unknown)]]="Male",Backend!$C$6,IF(Table1[[#This Row],[Fetal Sex (Male, Female or Unknown)]]="Female",Backend!$C$7,IF(Table1[[#This Row],[Fetal Sex (Male, Female or Unknown)]]="Unknown",Backend!$C$8,"Error"))),"")</f>
        <v/>
      </c>
      <c r="F1231" s="8" t="str">
        <f>IF(Table1[[#This Row],[Is Data Valid]]=TRUE,EXP(0.578+0.332*((Table1[[#This Row],[Gestation (days)]]+0.5)/7)-0.00354*((Table1[[#This Row],[Gestation (days)]]+0.5)/7)^2)*Table1[[#This Row],[BW40_3705]],"")</f>
        <v/>
      </c>
      <c r="G1231" s="2" t="str">
        <f>IF(Table1[[#This Row],[Is Data Valid]]=TRUE,((Table1[[#This Row],[Birthweight (grams)]]/Table1[[#This Row],[BW_GA]])-1)/(Backend!$B$4/100*Table1[[#This Row],[BW40_3705]]),"")</f>
        <v/>
      </c>
      <c r="H1231" s="7" t="str">
        <f>IF(Table1[[#This Row],[Is Data Valid]]=TRUE,((Table1[[#This Row],[Birthweight (grams)]]*0.9/Table1[[#This Row],[BW_GA]])-1)/(Backend!$B$4/100*Table1[[#This Row],[BW40_3705]]),"")</f>
        <v/>
      </c>
      <c r="I1231" s="7" t="str">
        <f>IF(Table1[[#This Row],[Is Data Valid]]=TRUE,((Table1[[#This Row],[Birthweight (grams)]]*1.1/Table1[[#This Row],[BW_GA]])-1)/(Backend!$B$4/100*Table1[[#This Row],[BW40_3705]]),"")</f>
        <v/>
      </c>
      <c r="J1231" s="7" t="str">
        <f>IF(Table1[[#This Row],[Is Data Valid]]=TRUE,_xlfn.NORM.S.DIST(Table1[[#This Row],[Birthweight Z-Score]],TRUE)*100,"")</f>
        <v/>
      </c>
      <c r="K1231" s="7" t="str">
        <f>IF(Table1[[#This Row],[Is Data Valid]]=TRUE,_xlfn.NORM.S.DIST(Table1[[#This Row],[Birthweight Z-Score (BW-10%)]],TRUE)*100,"")</f>
        <v/>
      </c>
      <c r="L1231" s="7" t="str">
        <f>IF(Table1[[#This Row],[Is Data Valid]]=TRUE,_xlfn.NORM.S.DIST(Table1[[#This Row],[Birthweight Z-Score (BW+10%)]],TRUE)*100,"")</f>
        <v/>
      </c>
    </row>
    <row r="1232" spans="1:12" x14ac:dyDescent="0.35">
      <c r="A1232" s="3"/>
      <c r="B1232" s="2"/>
      <c r="C1232" s="2"/>
      <c r="D1232" s="2" t="b">
        <f>IF(AND(NOT(ISBLANK(Table1[[#This Row],[Fetal Sex (Male, Female or Unknown)]])),ISNUMBER(Table1[[#This Row],[Birthweight (grams)]]),ISNUMBER(Table1[[#This Row],[Gestation (days)]])),TRUE,FALSE)</f>
        <v>0</v>
      </c>
      <c r="E1232" s="2" t="str">
        <f>IF(Table1[[#This Row],[Is Data Valid]]=TRUE,IF(Table1[[#This Row],[Fetal Sex (Male, Female or Unknown)]]="Male",Backend!$C$6,IF(Table1[[#This Row],[Fetal Sex (Male, Female or Unknown)]]="Female",Backend!$C$7,IF(Table1[[#This Row],[Fetal Sex (Male, Female or Unknown)]]="Unknown",Backend!$C$8,"Error"))),"")</f>
        <v/>
      </c>
      <c r="F1232" s="8" t="str">
        <f>IF(Table1[[#This Row],[Is Data Valid]]=TRUE,EXP(0.578+0.332*((Table1[[#This Row],[Gestation (days)]]+0.5)/7)-0.00354*((Table1[[#This Row],[Gestation (days)]]+0.5)/7)^2)*Table1[[#This Row],[BW40_3705]],"")</f>
        <v/>
      </c>
      <c r="G1232" s="2" t="str">
        <f>IF(Table1[[#This Row],[Is Data Valid]]=TRUE,((Table1[[#This Row],[Birthweight (grams)]]/Table1[[#This Row],[BW_GA]])-1)/(Backend!$B$4/100*Table1[[#This Row],[BW40_3705]]),"")</f>
        <v/>
      </c>
      <c r="H1232" s="7" t="str">
        <f>IF(Table1[[#This Row],[Is Data Valid]]=TRUE,((Table1[[#This Row],[Birthweight (grams)]]*0.9/Table1[[#This Row],[BW_GA]])-1)/(Backend!$B$4/100*Table1[[#This Row],[BW40_3705]]),"")</f>
        <v/>
      </c>
      <c r="I1232" s="7" t="str">
        <f>IF(Table1[[#This Row],[Is Data Valid]]=TRUE,((Table1[[#This Row],[Birthweight (grams)]]*1.1/Table1[[#This Row],[BW_GA]])-1)/(Backend!$B$4/100*Table1[[#This Row],[BW40_3705]]),"")</f>
        <v/>
      </c>
      <c r="J1232" s="7" t="str">
        <f>IF(Table1[[#This Row],[Is Data Valid]]=TRUE,_xlfn.NORM.S.DIST(Table1[[#This Row],[Birthweight Z-Score]],TRUE)*100,"")</f>
        <v/>
      </c>
      <c r="K1232" s="7" t="str">
        <f>IF(Table1[[#This Row],[Is Data Valid]]=TRUE,_xlfn.NORM.S.DIST(Table1[[#This Row],[Birthweight Z-Score (BW-10%)]],TRUE)*100,"")</f>
        <v/>
      </c>
      <c r="L1232" s="7" t="str">
        <f>IF(Table1[[#This Row],[Is Data Valid]]=TRUE,_xlfn.NORM.S.DIST(Table1[[#This Row],[Birthweight Z-Score (BW+10%)]],TRUE)*100,"")</f>
        <v/>
      </c>
    </row>
    <row r="1233" spans="1:12" x14ac:dyDescent="0.35">
      <c r="A1233" s="3"/>
      <c r="B1233" s="2"/>
      <c r="C1233" s="2"/>
      <c r="D1233" s="2" t="b">
        <f>IF(AND(NOT(ISBLANK(Table1[[#This Row],[Fetal Sex (Male, Female or Unknown)]])),ISNUMBER(Table1[[#This Row],[Birthweight (grams)]]),ISNUMBER(Table1[[#This Row],[Gestation (days)]])),TRUE,FALSE)</f>
        <v>0</v>
      </c>
      <c r="E1233" s="2" t="str">
        <f>IF(Table1[[#This Row],[Is Data Valid]]=TRUE,IF(Table1[[#This Row],[Fetal Sex (Male, Female or Unknown)]]="Male",Backend!$C$6,IF(Table1[[#This Row],[Fetal Sex (Male, Female or Unknown)]]="Female",Backend!$C$7,IF(Table1[[#This Row],[Fetal Sex (Male, Female or Unknown)]]="Unknown",Backend!$C$8,"Error"))),"")</f>
        <v/>
      </c>
      <c r="F1233" s="8" t="str">
        <f>IF(Table1[[#This Row],[Is Data Valid]]=TRUE,EXP(0.578+0.332*((Table1[[#This Row],[Gestation (days)]]+0.5)/7)-0.00354*((Table1[[#This Row],[Gestation (days)]]+0.5)/7)^2)*Table1[[#This Row],[BW40_3705]],"")</f>
        <v/>
      </c>
      <c r="G1233" s="2" t="str">
        <f>IF(Table1[[#This Row],[Is Data Valid]]=TRUE,((Table1[[#This Row],[Birthweight (grams)]]/Table1[[#This Row],[BW_GA]])-1)/(Backend!$B$4/100*Table1[[#This Row],[BW40_3705]]),"")</f>
        <v/>
      </c>
      <c r="H1233" s="7" t="str">
        <f>IF(Table1[[#This Row],[Is Data Valid]]=TRUE,((Table1[[#This Row],[Birthweight (grams)]]*0.9/Table1[[#This Row],[BW_GA]])-1)/(Backend!$B$4/100*Table1[[#This Row],[BW40_3705]]),"")</f>
        <v/>
      </c>
      <c r="I1233" s="7" t="str">
        <f>IF(Table1[[#This Row],[Is Data Valid]]=TRUE,((Table1[[#This Row],[Birthweight (grams)]]*1.1/Table1[[#This Row],[BW_GA]])-1)/(Backend!$B$4/100*Table1[[#This Row],[BW40_3705]]),"")</f>
        <v/>
      </c>
      <c r="J1233" s="7" t="str">
        <f>IF(Table1[[#This Row],[Is Data Valid]]=TRUE,_xlfn.NORM.S.DIST(Table1[[#This Row],[Birthweight Z-Score]],TRUE)*100,"")</f>
        <v/>
      </c>
      <c r="K1233" s="7" t="str">
        <f>IF(Table1[[#This Row],[Is Data Valid]]=TRUE,_xlfn.NORM.S.DIST(Table1[[#This Row],[Birthweight Z-Score (BW-10%)]],TRUE)*100,"")</f>
        <v/>
      </c>
      <c r="L1233" s="7" t="str">
        <f>IF(Table1[[#This Row],[Is Data Valid]]=TRUE,_xlfn.NORM.S.DIST(Table1[[#This Row],[Birthweight Z-Score (BW+10%)]],TRUE)*100,"")</f>
        <v/>
      </c>
    </row>
    <row r="1234" spans="1:12" x14ac:dyDescent="0.35">
      <c r="A1234" s="3"/>
      <c r="B1234" s="2"/>
      <c r="C1234" s="2"/>
      <c r="D1234" s="2" t="b">
        <f>IF(AND(NOT(ISBLANK(Table1[[#This Row],[Fetal Sex (Male, Female or Unknown)]])),ISNUMBER(Table1[[#This Row],[Birthweight (grams)]]),ISNUMBER(Table1[[#This Row],[Gestation (days)]])),TRUE,FALSE)</f>
        <v>0</v>
      </c>
      <c r="E1234" s="2" t="str">
        <f>IF(Table1[[#This Row],[Is Data Valid]]=TRUE,IF(Table1[[#This Row],[Fetal Sex (Male, Female or Unknown)]]="Male",Backend!$C$6,IF(Table1[[#This Row],[Fetal Sex (Male, Female or Unknown)]]="Female",Backend!$C$7,IF(Table1[[#This Row],[Fetal Sex (Male, Female or Unknown)]]="Unknown",Backend!$C$8,"Error"))),"")</f>
        <v/>
      </c>
      <c r="F1234" s="8" t="str">
        <f>IF(Table1[[#This Row],[Is Data Valid]]=TRUE,EXP(0.578+0.332*((Table1[[#This Row],[Gestation (days)]]+0.5)/7)-0.00354*((Table1[[#This Row],[Gestation (days)]]+0.5)/7)^2)*Table1[[#This Row],[BW40_3705]],"")</f>
        <v/>
      </c>
      <c r="G1234" s="2" t="str">
        <f>IF(Table1[[#This Row],[Is Data Valid]]=TRUE,((Table1[[#This Row],[Birthweight (grams)]]/Table1[[#This Row],[BW_GA]])-1)/(Backend!$B$4/100*Table1[[#This Row],[BW40_3705]]),"")</f>
        <v/>
      </c>
      <c r="H1234" s="7" t="str">
        <f>IF(Table1[[#This Row],[Is Data Valid]]=TRUE,((Table1[[#This Row],[Birthweight (grams)]]*0.9/Table1[[#This Row],[BW_GA]])-1)/(Backend!$B$4/100*Table1[[#This Row],[BW40_3705]]),"")</f>
        <v/>
      </c>
      <c r="I1234" s="7" t="str">
        <f>IF(Table1[[#This Row],[Is Data Valid]]=TRUE,((Table1[[#This Row],[Birthweight (grams)]]*1.1/Table1[[#This Row],[BW_GA]])-1)/(Backend!$B$4/100*Table1[[#This Row],[BW40_3705]]),"")</f>
        <v/>
      </c>
      <c r="J1234" s="7" t="str">
        <f>IF(Table1[[#This Row],[Is Data Valid]]=TRUE,_xlfn.NORM.S.DIST(Table1[[#This Row],[Birthweight Z-Score]],TRUE)*100,"")</f>
        <v/>
      </c>
      <c r="K1234" s="7" t="str">
        <f>IF(Table1[[#This Row],[Is Data Valid]]=TRUE,_xlfn.NORM.S.DIST(Table1[[#This Row],[Birthweight Z-Score (BW-10%)]],TRUE)*100,"")</f>
        <v/>
      </c>
      <c r="L1234" s="7" t="str">
        <f>IF(Table1[[#This Row],[Is Data Valid]]=TRUE,_xlfn.NORM.S.DIST(Table1[[#This Row],[Birthweight Z-Score (BW+10%)]],TRUE)*100,"")</f>
        <v/>
      </c>
    </row>
    <row r="1235" spans="1:12" x14ac:dyDescent="0.35">
      <c r="A1235" s="3"/>
      <c r="B1235" s="2"/>
      <c r="C1235" s="2"/>
      <c r="D1235" s="2" t="b">
        <f>IF(AND(NOT(ISBLANK(Table1[[#This Row],[Fetal Sex (Male, Female or Unknown)]])),ISNUMBER(Table1[[#This Row],[Birthweight (grams)]]),ISNUMBER(Table1[[#This Row],[Gestation (days)]])),TRUE,FALSE)</f>
        <v>0</v>
      </c>
      <c r="E1235" s="2" t="str">
        <f>IF(Table1[[#This Row],[Is Data Valid]]=TRUE,IF(Table1[[#This Row],[Fetal Sex (Male, Female or Unknown)]]="Male",Backend!$C$6,IF(Table1[[#This Row],[Fetal Sex (Male, Female or Unknown)]]="Female",Backend!$C$7,IF(Table1[[#This Row],[Fetal Sex (Male, Female or Unknown)]]="Unknown",Backend!$C$8,"Error"))),"")</f>
        <v/>
      </c>
      <c r="F1235" s="8" t="str">
        <f>IF(Table1[[#This Row],[Is Data Valid]]=TRUE,EXP(0.578+0.332*((Table1[[#This Row],[Gestation (days)]]+0.5)/7)-0.00354*((Table1[[#This Row],[Gestation (days)]]+0.5)/7)^2)*Table1[[#This Row],[BW40_3705]],"")</f>
        <v/>
      </c>
      <c r="G1235" s="2" t="str">
        <f>IF(Table1[[#This Row],[Is Data Valid]]=TRUE,((Table1[[#This Row],[Birthweight (grams)]]/Table1[[#This Row],[BW_GA]])-1)/(Backend!$B$4/100*Table1[[#This Row],[BW40_3705]]),"")</f>
        <v/>
      </c>
      <c r="H1235" s="7" t="str">
        <f>IF(Table1[[#This Row],[Is Data Valid]]=TRUE,((Table1[[#This Row],[Birthweight (grams)]]*0.9/Table1[[#This Row],[BW_GA]])-1)/(Backend!$B$4/100*Table1[[#This Row],[BW40_3705]]),"")</f>
        <v/>
      </c>
      <c r="I1235" s="7" t="str">
        <f>IF(Table1[[#This Row],[Is Data Valid]]=TRUE,((Table1[[#This Row],[Birthweight (grams)]]*1.1/Table1[[#This Row],[BW_GA]])-1)/(Backend!$B$4/100*Table1[[#This Row],[BW40_3705]]),"")</f>
        <v/>
      </c>
      <c r="J1235" s="7" t="str">
        <f>IF(Table1[[#This Row],[Is Data Valid]]=TRUE,_xlfn.NORM.S.DIST(Table1[[#This Row],[Birthweight Z-Score]],TRUE)*100,"")</f>
        <v/>
      </c>
      <c r="K1235" s="7" t="str">
        <f>IF(Table1[[#This Row],[Is Data Valid]]=TRUE,_xlfn.NORM.S.DIST(Table1[[#This Row],[Birthweight Z-Score (BW-10%)]],TRUE)*100,"")</f>
        <v/>
      </c>
      <c r="L1235" s="7" t="str">
        <f>IF(Table1[[#This Row],[Is Data Valid]]=TRUE,_xlfn.NORM.S.DIST(Table1[[#This Row],[Birthweight Z-Score (BW+10%)]],TRUE)*100,"")</f>
        <v/>
      </c>
    </row>
    <row r="1236" spans="1:12" x14ac:dyDescent="0.35">
      <c r="A1236" s="3"/>
      <c r="B1236" s="2"/>
      <c r="C1236" s="2"/>
      <c r="D1236" s="2" t="b">
        <f>IF(AND(NOT(ISBLANK(Table1[[#This Row],[Fetal Sex (Male, Female or Unknown)]])),ISNUMBER(Table1[[#This Row],[Birthweight (grams)]]),ISNUMBER(Table1[[#This Row],[Gestation (days)]])),TRUE,FALSE)</f>
        <v>0</v>
      </c>
      <c r="E1236" s="2" t="str">
        <f>IF(Table1[[#This Row],[Is Data Valid]]=TRUE,IF(Table1[[#This Row],[Fetal Sex (Male, Female or Unknown)]]="Male",Backend!$C$6,IF(Table1[[#This Row],[Fetal Sex (Male, Female or Unknown)]]="Female",Backend!$C$7,IF(Table1[[#This Row],[Fetal Sex (Male, Female or Unknown)]]="Unknown",Backend!$C$8,"Error"))),"")</f>
        <v/>
      </c>
      <c r="F1236" s="8" t="str">
        <f>IF(Table1[[#This Row],[Is Data Valid]]=TRUE,EXP(0.578+0.332*((Table1[[#This Row],[Gestation (days)]]+0.5)/7)-0.00354*((Table1[[#This Row],[Gestation (days)]]+0.5)/7)^2)*Table1[[#This Row],[BW40_3705]],"")</f>
        <v/>
      </c>
      <c r="G1236" s="2" t="str">
        <f>IF(Table1[[#This Row],[Is Data Valid]]=TRUE,((Table1[[#This Row],[Birthweight (grams)]]/Table1[[#This Row],[BW_GA]])-1)/(Backend!$B$4/100*Table1[[#This Row],[BW40_3705]]),"")</f>
        <v/>
      </c>
      <c r="H1236" s="7" t="str">
        <f>IF(Table1[[#This Row],[Is Data Valid]]=TRUE,((Table1[[#This Row],[Birthweight (grams)]]*0.9/Table1[[#This Row],[BW_GA]])-1)/(Backend!$B$4/100*Table1[[#This Row],[BW40_3705]]),"")</f>
        <v/>
      </c>
      <c r="I1236" s="7" t="str">
        <f>IF(Table1[[#This Row],[Is Data Valid]]=TRUE,((Table1[[#This Row],[Birthweight (grams)]]*1.1/Table1[[#This Row],[BW_GA]])-1)/(Backend!$B$4/100*Table1[[#This Row],[BW40_3705]]),"")</f>
        <v/>
      </c>
      <c r="J1236" s="7" t="str">
        <f>IF(Table1[[#This Row],[Is Data Valid]]=TRUE,_xlfn.NORM.S.DIST(Table1[[#This Row],[Birthweight Z-Score]],TRUE)*100,"")</f>
        <v/>
      </c>
      <c r="K1236" s="7" t="str">
        <f>IF(Table1[[#This Row],[Is Data Valid]]=TRUE,_xlfn.NORM.S.DIST(Table1[[#This Row],[Birthweight Z-Score (BW-10%)]],TRUE)*100,"")</f>
        <v/>
      </c>
      <c r="L1236" s="7" t="str">
        <f>IF(Table1[[#This Row],[Is Data Valid]]=TRUE,_xlfn.NORM.S.DIST(Table1[[#This Row],[Birthweight Z-Score (BW+10%)]],TRUE)*100,"")</f>
        <v/>
      </c>
    </row>
    <row r="1237" spans="1:12" x14ac:dyDescent="0.35">
      <c r="A1237" s="3"/>
      <c r="B1237" s="2"/>
      <c r="C1237" s="2"/>
      <c r="D1237" s="2" t="b">
        <f>IF(AND(NOT(ISBLANK(Table1[[#This Row],[Fetal Sex (Male, Female or Unknown)]])),ISNUMBER(Table1[[#This Row],[Birthweight (grams)]]),ISNUMBER(Table1[[#This Row],[Gestation (days)]])),TRUE,FALSE)</f>
        <v>0</v>
      </c>
      <c r="E1237" s="2" t="str">
        <f>IF(Table1[[#This Row],[Is Data Valid]]=TRUE,IF(Table1[[#This Row],[Fetal Sex (Male, Female or Unknown)]]="Male",Backend!$C$6,IF(Table1[[#This Row],[Fetal Sex (Male, Female or Unknown)]]="Female",Backend!$C$7,IF(Table1[[#This Row],[Fetal Sex (Male, Female or Unknown)]]="Unknown",Backend!$C$8,"Error"))),"")</f>
        <v/>
      </c>
      <c r="F1237" s="8" t="str">
        <f>IF(Table1[[#This Row],[Is Data Valid]]=TRUE,EXP(0.578+0.332*((Table1[[#This Row],[Gestation (days)]]+0.5)/7)-0.00354*((Table1[[#This Row],[Gestation (days)]]+0.5)/7)^2)*Table1[[#This Row],[BW40_3705]],"")</f>
        <v/>
      </c>
      <c r="G1237" s="2" t="str">
        <f>IF(Table1[[#This Row],[Is Data Valid]]=TRUE,((Table1[[#This Row],[Birthweight (grams)]]/Table1[[#This Row],[BW_GA]])-1)/(Backend!$B$4/100*Table1[[#This Row],[BW40_3705]]),"")</f>
        <v/>
      </c>
      <c r="H1237" s="7" t="str">
        <f>IF(Table1[[#This Row],[Is Data Valid]]=TRUE,((Table1[[#This Row],[Birthweight (grams)]]*0.9/Table1[[#This Row],[BW_GA]])-1)/(Backend!$B$4/100*Table1[[#This Row],[BW40_3705]]),"")</f>
        <v/>
      </c>
      <c r="I1237" s="7" t="str">
        <f>IF(Table1[[#This Row],[Is Data Valid]]=TRUE,((Table1[[#This Row],[Birthweight (grams)]]*1.1/Table1[[#This Row],[BW_GA]])-1)/(Backend!$B$4/100*Table1[[#This Row],[BW40_3705]]),"")</f>
        <v/>
      </c>
      <c r="J1237" s="7" t="str">
        <f>IF(Table1[[#This Row],[Is Data Valid]]=TRUE,_xlfn.NORM.S.DIST(Table1[[#This Row],[Birthweight Z-Score]],TRUE)*100,"")</f>
        <v/>
      </c>
      <c r="K1237" s="7" t="str">
        <f>IF(Table1[[#This Row],[Is Data Valid]]=TRUE,_xlfn.NORM.S.DIST(Table1[[#This Row],[Birthweight Z-Score (BW-10%)]],TRUE)*100,"")</f>
        <v/>
      </c>
      <c r="L1237" s="7" t="str">
        <f>IF(Table1[[#This Row],[Is Data Valid]]=TRUE,_xlfn.NORM.S.DIST(Table1[[#This Row],[Birthweight Z-Score (BW+10%)]],TRUE)*100,"")</f>
        <v/>
      </c>
    </row>
    <row r="1238" spans="1:12" x14ac:dyDescent="0.35">
      <c r="A1238" s="3"/>
      <c r="B1238" s="2"/>
      <c r="C1238" s="2"/>
      <c r="D1238" s="2" t="b">
        <f>IF(AND(NOT(ISBLANK(Table1[[#This Row],[Fetal Sex (Male, Female or Unknown)]])),ISNUMBER(Table1[[#This Row],[Birthweight (grams)]]),ISNUMBER(Table1[[#This Row],[Gestation (days)]])),TRUE,FALSE)</f>
        <v>0</v>
      </c>
      <c r="E1238" s="2" t="str">
        <f>IF(Table1[[#This Row],[Is Data Valid]]=TRUE,IF(Table1[[#This Row],[Fetal Sex (Male, Female or Unknown)]]="Male",Backend!$C$6,IF(Table1[[#This Row],[Fetal Sex (Male, Female or Unknown)]]="Female",Backend!$C$7,IF(Table1[[#This Row],[Fetal Sex (Male, Female or Unknown)]]="Unknown",Backend!$C$8,"Error"))),"")</f>
        <v/>
      </c>
      <c r="F1238" s="8" t="str">
        <f>IF(Table1[[#This Row],[Is Data Valid]]=TRUE,EXP(0.578+0.332*((Table1[[#This Row],[Gestation (days)]]+0.5)/7)-0.00354*((Table1[[#This Row],[Gestation (days)]]+0.5)/7)^2)*Table1[[#This Row],[BW40_3705]],"")</f>
        <v/>
      </c>
      <c r="G1238" s="2" t="str">
        <f>IF(Table1[[#This Row],[Is Data Valid]]=TRUE,((Table1[[#This Row],[Birthweight (grams)]]/Table1[[#This Row],[BW_GA]])-1)/(Backend!$B$4/100*Table1[[#This Row],[BW40_3705]]),"")</f>
        <v/>
      </c>
      <c r="H1238" s="7" t="str">
        <f>IF(Table1[[#This Row],[Is Data Valid]]=TRUE,((Table1[[#This Row],[Birthweight (grams)]]*0.9/Table1[[#This Row],[BW_GA]])-1)/(Backend!$B$4/100*Table1[[#This Row],[BW40_3705]]),"")</f>
        <v/>
      </c>
      <c r="I1238" s="7" t="str">
        <f>IF(Table1[[#This Row],[Is Data Valid]]=TRUE,((Table1[[#This Row],[Birthweight (grams)]]*1.1/Table1[[#This Row],[BW_GA]])-1)/(Backend!$B$4/100*Table1[[#This Row],[BW40_3705]]),"")</f>
        <v/>
      </c>
      <c r="J1238" s="7" t="str">
        <f>IF(Table1[[#This Row],[Is Data Valid]]=TRUE,_xlfn.NORM.S.DIST(Table1[[#This Row],[Birthweight Z-Score]],TRUE)*100,"")</f>
        <v/>
      </c>
      <c r="K1238" s="7" t="str">
        <f>IF(Table1[[#This Row],[Is Data Valid]]=TRUE,_xlfn.NORM.S.DIST(Table1[[#This Row],[Birthweight Z-Score (BW-10%)]],TRUE)*100,"")</f>
        <v/>
      </c>
      <c r="L1238" s="7" t="str">
        <f>IF(Table1[[#This Row],[Is Data Valid]]=TRUE,_xlfn.NORM.S.DIST(Table1[[#This Row],[Birthweight Z-Score (BW+10%)]],TRUE)*100,"")</f>
        <v/>
      </c>
    </row>
    <row r="1239" spans="1:12" x14ac:dyDescent="0.35">
      <c r="A1239" s="3"/>
      <c r="B1239" s="2"/>
      <c r="C1239" s="2"/>
      <c r="D1239" s="2" t="b">
        <f>IF(AND(NOT(ISBLANK(Table1[[#This Row],[Fetal Sex (Male, Female or Unknown)]])),ISNUMBER(Table1[[#This Row],[Birthweight (grams)]]),ISNUMBER(Table1[[#This Row],[Gestation (days)]])),TRUE,FALSE)</f>
        <v>0</v>
      </c>
      <c r="E1239" s="2" t="str">
        <f>IF(Table1[[#This Row],[Is Data Valid]]=TRUE,IF(Table1[[#This Row],[Fetal Sex (Male, Female or Unknown)]]="Male",Backend!$C$6,IF(Table1[[#This Row],[Fetal Sex (Male, Female or Unknown)]]="Female",Backend!$C$7,IF(Table1[[#This Row],[Fetal Sex (Male, Female or Unknown)]]="Unknown",Backend!$C$8,"Error"))),"")</f>
        <v/>
      </c>
      <c r="F1239" s="8" t="str">
        <f>IF(Table1[[#This Row],[Is Data Valid]]=TRUE,EXP(0.578+0.332*((Table1[[#This Row],[Gestation (days)]]+0.5)/7)-0.00354*((Table1[[#This Row],[Gestation (days)]]+0.5)/7)^2)*Table1[[#This Row],[BW40_3705]],"")</f>
        <v/>
      </c>
      <c r="G1239" s="2" t="str">
        <f>IF(Table1[[#This Row],[Is Data Valid]]=TRUE,((Table1[[#This Row],[Birthweight (grams)]]/Table1[[#This Row],[BW_GA]])-1)/(Backend!$B$4/100*Table1[[#This Row],[BW40_3705]]),"")</f>
        <v/>
      </c>
      <c r="H1239" s="7" t="str">
        <f>IF(Table1[[#This Row],[Is Data Valid]]=TRUE,((Table1[[#This Row],[Birthweight (grams)]]*0.9/Table1[[#This Row],[BW_GA]])-1)/(Backend!$B$4/100*Table1[[#This Row],[BW40_3705]]),"")</f>
        <v/>
      </c>
      <c r="I1239" s="7" t="str">
        <f>IF(Table1[[#This Row],[Is Data Valid]]=TRUE,((Table1[[#This Row],[Birthweight (grams)]]*1.1/Table1[[#This Row],[BW_GA]])-1)/(Backend!$B$4/100*Table1[[#This Row],[BW40_3705]]),"")</f>
        <v/>
      </c>
      <c r="J1239" s="7" t="str">
        <f>IF(Table1[[#This Row],[Is Data Valid]]=TRUE,_xlfn.NORM.S.DIST(Table1[[#This Row],[Birthweight Z-Score]],TRUE)*100,"")</f>
        <v/>
      </c>
      <c r="K1239" s="7" t="str">
        <f>IF(Table1[[#This Row],[Is Data Valid]]=TRUE,_xlfn.NORM.S.DIST(Table1[[#This Row],[Birthweight Z-Score (BW-10%)]],TRUE)*100,"")</f>
        <v/>
      </c>
      <c r="L1239" s="7" t="str">
        <f>IF(Table1[[#This Row],[Is Data Valid]]=TRUE,_xlfn.NORM.S.DIST(Table1[[#This Row],[Birthweight Z-Score (BW+10%)]],TRUE)*100,"")</f>
        <v/>
      </c>
    </row>
    <row r="1240" spans="1:12" x14ac:dyDescent="0.35">
      <c r="A1240" s="3"/>
      <c r="B1240" s="2"/>
      <c r="C1240" s="2"/>
      <c r="D1240" s="2" t="b">
        <f>IF(AND(NOT(ISBLANK(Table1[[#This Row],[Fetal Sex (Male, Female or Unknown)]])),ISNUMBER(Table1[[#This Row],[Birthweight (grams)]]),ISNUMBER(Table1[[#This Row],[Gestation (days)]])),TRUE,FALSE)</f>
        <v>0</v>
      </c>
      <c r="E1240" s="2" t="str">
        <f>IF(Table1[[#This Row],[Is Data Valid]]=TRUE,IF(Table1[[#This Row],[Fetal Sex (Male, Female or Unknown)]]="Male",Backend!$C$6,IF(Table1[[#This Row],[Fetal Sex (Male, Female or Unknown)]]="Female",Backend!$C$7,IF(Table1[[#This Row],[Fetal Sex (Male, Female or Unknown)]]="Unknown",Backend!$C$8,"Error"))),"")</f>
        <v/>
      </c>
      <c r="F1240" s="8" t="str">
        <f>IF(Table1[[#This Row],[Is Data Valid]]=TRUE,EXP(0.578+0.332*((Table1[[#This Row],[Gestation (days)]]+0.5)/7)-0.00354*((Table1[[#This Row],[Gestation (days)]]+0.5)/7)^2)*Table1[[#This Row],[BW40_3705]],"")</f>
        <v/>
      </c>
      <c r="G1240" s="2" t="str">
        <f>IF(Table1[[#This Row],[Is Data Valid]]=TRUE,((Table1[[#This Row],[Birthweight (grams)]]/Table1[[#This Row],[BW_GA]])-1)/(Backend!$B$4/100*Table1[[#This Row],[BW40_3705]]),"")</f>
        <v/>
      </c>
      <c r="H1240" s="7" t="str">
        <f>IF(Table1[[#This Row],[Is Data Valid]]=TRUE,((Table1[[#This Row],[Birthweight (grams)]]*0.9/Table1[[#This Row],[BW_GA]])-1)/(Backend!$B$4/100*Table1[[#This Row],[BW40_3705]]),"")</f>
        <v/>
      </c>
      <c r="I1240" s="7" t="str">
        <f>IF(Table1[[#This Row],[Is Data Valid]]=TRUE,((Table1[[#This Row],[Birthweight (grams)]]*1.1/Table1[[#This Row],[BW_GA]])-1)/(Backend!$B$4/100*Table1[[#This Row],[BW40_3705]]),"")</f>
        <v/>
      </c>
      <c r="J1240" s="7" t="str">
        <f>IF(Table1[[#This Row],[Is Data Valid]]=TRUE,_xlfn.NORM.S.DIST(Table1[[#This Row],[Birthweight Z-Score]],TRUE)*100,"")</f>
        <v/>
      </c>
      <c r="K1240" s="7" t="str">
        <f>IF(Table1[[#This Row],[Is Data Valid]]=TRUE,_xlfn.NORM.S.DIST(Table1[[#This Row],[Birthweight Z-Score (BW-10%)]],TRUE)*100,"")</f>
        <v/>
      </c>
      <c r="L1240" s="7" t="str">
        <f>IF(Table1[[#This Row],[Is Data Valid]]=TRUE,_xlfn.NORM.S.DIST(Table1[[#This Row],[Birthweight Z-Score (BW+10%)]],TRUE)*100,"")</f>
        <v/>
      </c>
    </row>
    <row r="1241" spans="1:12" x14ac:dyDescent="0.35">
      <c r="A1241" s="3"/>
      <c r="B1241" s="2"/>
      <c r="C1241" s="2"/>
      <c r="D1241" s="2" t="b">
        <f>IF(AND(NOT(ISBLANK(Table1[[#This Row],[Fetal Sex (Male, Female or Unknown)]])),ISNUMBER(Table1[[#This Row],[Birthweight (grams)]]),ISNUMBER(Table1[[#This Row],[Gestation (days)]])),TRUE,FALSE)</f>
        <v>0</v>
      </c>
      <c r="E1241" s="2" t="str">
        <f>IF(Table1[[#This Row],[Is Data Valid]]=TRUE,IF(Table1[[#This Row],[Fetal Sex (Male, Female or Unknown)]]="Male",Backend!$C$6,IF(Table1[[#This Row],[Fetal Sex (Male, Female or Unknown)]]="Female",Backend!$C$7,IF(Table1[[#This Row],[Fetal Sex (Male, Female or Unknown)]]="Unknown",Backend!$C$8,"Error"))),"")</f>
        <v/>
      </c>
      <c r="F1241" s="8" t="str">
        <f>IF(Table1[[#This Row],[Is Data Valid]]=TRUE,EXP(0.578+0.332*((Table1[[#This Row],[Gestation (days)]]+0.5)/7)-0.00354*((Table1[[#This Row],[Gestation (days)]]+0.5)/7)^2)*Table1[[#This Row],[BW40_3705]],"")</f>
        <v/>
      </c>
      <c r="G1241" s="2" t="str">
        <f>IF(Table1[[#This Row],[Is Data Valid]]=TRUE,((Table1[[#This Row],[Birthweight (grams)]]/Table1[[#This Row],[BW_GA]])-1)/(Backend!$B$4/100*Table1[[#This Row],[BW40_3705]]),"")</f>
        <v/>
      </c>
      <c r="H1241" s="7" t="str">
        <f>IF(Table1[[#This Row],[Is Data Valid]]=TRUE,((Table1[[#This Row],[Birthweight (grams)]]*0.9/Table1[[#This Row],[BW_GA]])-1)/(Backend!$B$4/100*Table1[[#This Row],[BW40_3705]]),"")</f>
        <v/>
      </c>
      <c r="I1241" s="7" t="str">
        <f>IF(Table1[[#This Row],[Is Data Valid]]=TRUE,((Table1[[#This Row],[Birthweight (grams)]]*1.1/Table1[[#This Row],[BW_GA]])-1)/(Backend!$B$4/100*Table1[[#This Row],[BW40_3705]]),"")</f>
        <v/>
      </c>
      <c r="J1241" s="7" t="str">
        <f>IF(Table1[[#This Row],[Is Data Valid]]=TRUE,_xlfn.NORM.S.DIST(Table1[[#This Row],[Birthweight Z-Score]],TRUE)*100,"")</f>
        <v/>
      </c>
      <c r="K1241" s="7" t="str">
        <f>IF(Table1[[#This Row],[Is Data Valid]]=TRUE,_xlfn.NORM.S.DIST(Table1[[#This Row],[Birthweight Z-Score (BW-10%)]],TRUE)*100,"")</f>
        <v/>
      </c>
      <c r="L1241" s="7" t="str">
        <f>IF(Table1[[#This Row],[Is Data Valid]]=TRUE,_xlfn.NORM.S.DIST(Table1[[#This Row],[Birthweight Z-Score (BW+10%)]],TRUE)*100,"")</f>
        <v/>
      </c>
    </row>
    <row r="1242" spans="1:12" x14ac:dyDescent="0.35">
      <c r="A1242" s="3"/>
      <c r="B1242" s="2"/>
      <c r="C1242" s="2"/>
      <c r="D1242" s="2" t="b">
        <f>IF(AND(NOT(ISBLANK(Table1[[#This Row],[Fetal Sex (Male, Female or Unknown)]])),ISNUMBER(Table1[[#This Row],[Birthweight (grams)]]),ISNUMBER(Table1[[#This Row],[Gestation (days)]])),TRUE,FALSE)</f>
        <v>0</v>
      </c>
      <c r="E1242" s="2" t="str">
        <f>IF(Table1[[#This Row],[Is Data Valid]]=TRUE,IF(Table1[[#This Row],[Fetal Sex (Male, Female or Unknown)]]="Male",Backend!$C$6,IF(Table1[[#This Row],[Fetal Sex (Male, Female or Unknown)]]="Female",Backend!$C$7,IF(Table1[[#This Row],[Fetal Sex (Male, Female or Unknown)]]="Unknown",Backend!$C$8,"Error"))),"")</f>
        <v/>
      </c>
      <c r="F1242" s="8" t="str">
        <f>IF(Table1[[#This Row],[Is Data Valid]]=TRUE,EXP(0.578+0.332*((Table1[[#This Row],[Gestation (days)]]+0.5)/7)-0.00354*((Table1[[#This Row],[Gestation (days)]]+0.5)/7)^2)*Table1[[#This Row],[BW40_3705]],"")</f>
        <v/>
      </c>
      <c r="G1242" s="2" t="str">
        <f>IF(Table1[[#This Row],[Is Data Valid]]=TRUE,((Table1[[#This Row],[Birthweight (grams)]]/Table1[[#This Row],[BW_GA]])-1)/(Backend!$B$4/100*Table1[[#This Row],[BW40_3705]]),"")</f>
        <v/>
      </c>
      <c r="H1242" s="7" t="str">
        <f>IF(Table1[[#This Row],[Is Data Valid]]=TRUE,((Table1[[#This Row],[Birthweight (grams)]]*0.9/Table1[[#This Row],[BW_GA]])-1)/(Backend!$B$4/100*Table1[[#This Row],[BW40_3705]]),"")</f>
        <v/>
      </c>
      <c r="I1242" s="7" t="str">
        <f>IF(Table1[[#This Row],[Is Data Valid]]=TRUE,((Table1[[#This Row],[Birthweight (grams)]]*1.1/Table1[[#This Row],[BW_GA]])-1)/(Backend!$B$4/100*Table1[[#This Row],[BW40_3705]]),"")</f>
        <v/>
      </c>
      <c r="J1242" s="7" t="str">
        <f>IF(Table1[[#This Row],[Is Data Valid]]=TRUE,_xlfn.NORM.S.DIST(Table1[[#This Row],[Birthweight Z-Score]],TRUE)*100,"")</f>
        <v/>
      </c>
      <c r="K1242" s="7" t="str">
        <f>IF(Table1[[#This Row],[Is Data Valid]]=TRUE,_xlfn.NORM.S.DIST(Table1[[#This Row],[Birthweight Z-Score (BW-10%)]],TRUE)*100,"")</f>
        <v/>
      </c>
      <c r="L1242" s="7" t="str">
        <f>IF(Table1[[#This Row],[Is Data Valid]]=TRUE,_xlfn.NORM.S.DIST(Table1[[#This Row],[Birthweight Z-Score (BW+10%)]],TRUE)*100,"")</f>
        <v/>
      </c>
    </row>
    <row r="1243" spans="1:12" x14ac:dyDescent="0.35">
      <c r="A1243" s="3"/>
      <c r="B1243" s="2"/>
      <c r="C1243" s="2"/>
      <c r="D1243" s="2" t="b">
        <f>IF(AND(NOT(ISBLANK(Table1[[#This Row],[Fetal Sex (Male, Female or Unknown)]])),ISNUMBER(Table1[[#This Row],[Birthweight (grams)]]),ISNUMBER(Table1[[#This Row],[Gestation (days)]])),TRUE,FALSE)</f>
        <v>0</v>
      </c>
      <c r="E1243" s="2" t="str">
        <f>IF(Table1[[#This Row],[Is Data Valid]]=TRUE,IF(Table1[[#This Row],[Fetal Sex (Male, Female or Unknown)]]="Male",Backend!$C$6,IF(Table1[[#This Row],[Fetal Sex (Male, Female or Unknown)]]="Female",Backend!$C$7,IF(Table1[[#This Row],[Fetal Sex (Male, Female or Unknown)]]="Unknown",Backend!$C$8,"Error"))),"")</f>
        <v/>
      </c>
      <c r="F1243" s="8" t="str">
        <f>IF(Table1[[#This Row],[Is Data Valid]]=TRUE,EXP(0.578+0.332*((Table1[[#This Row],[Gestation (days)]]+0.5)/7)-0.00354*((Table1[[#This Row],[Gestation (days)]]+0.5)/7)^2)*Table1[[#This Row],[BW40_3705]],"")</f>
        <v/>
      </c>
      <c r="G1243" s="2" t="str">
        <f>IF(Table1[[#This Row],[Is Data Valid]]=TRUE,((Table1[[#This Row],[Birthweight (grams)]]/Table1[[#This Row],[BW_GA]])-1)/(Backend!$B$4/100*Table1[[#This Row],[BW40_3705]]),"")</f>
        <v/>
      </c>
      <c r="H1243" s="7" t="str">
        <f>IF(Table1[[#This Row],[Is Data Valid]]=TRUE,((Table1[[#This Row],[Birthweight (grams)]]*0.9/Table1[[#This Row],[BW_GA]])-1)/(Backend!$B$4/100*Table1[[#This Row],[BW40_3705]]),"")</f>
        <v/>
      </c>
      <c r="I1243" s="7" t="str">
        <f>IF(Table1[[#This Row],[Is Data Valid]]=TRUE,((Table1[[#This Row],[Birthweight (grams)]]*1.1/Table1[[#This Row],[BW_GA]])-1)/(Backend!$B$4/100*Table1[[#This Row],[BW40_3705]]),"")</f>
        <v/>
      </c>
      <c r="J1243" s="7" t="str">
        <f>IF(Table1[[#This Row],[Is Data Valid]]=TRUE,_xlfn.NORM.S.DIST(Table1[[#This Row],[Birthweight Z-Score]],TRUE)*100,"")</f>
        <v/>
      </c>
      <c r="K1243" s="7" t="str">
        <f>IF(Table1[[#This Row],[Is Data Valid]]=TRUE,_xlfn.NORM.S.DIST(Table1[[#This Row],[Birthweight Z-Score (BW-10%)]],TRUE)*100,"")</f>
        <v/>
      </c>
      <c r="L1243" s="7" t="str">
        <f>IF(Table1[[#This Row],[Is Data Valid]]=TRUE,_xlfn.NORM.S.DIST(Table1[[#This Row],[Birthweight Z-Score (BW+10%)]],TRUE)*100,"")</f>
        <v/>
      </c>
    </row>
    <row r="1244" spans="1:12" x14ac:dyDescent="0.35">
      <c r="A1244" s="3"/>
      <c r="B1244" s="2"/>
      <c r="C1244" s="2"/>
      <c r="D1244" s="2" t="b">
        <f>IF(AND(NOT(ISBLANK(Table1[[#This Row],[Fetal Sex (Male, Female or Unknown)]])),ISNUMBER(Table1[[#This Row],[Birthweight (grams)]]),ISNUMBER(Table1[[#This Row],[Gestation (days)]])),TRUE,FALSE)</f>
        <v>0</v>
      </c>
      <c r="E1244" s="2" t="str">
        <f>IF(Table1[[#This Row],[Is Data Valid]]=TRUE,IF(Table1[[#This Row],[Fetal Sex (Male, Female or Unknown)]]="Male",Backend!$C$6,IF(Table1[[#This Row],[Fetal Sex (Male, Female or Unknown)]]="Female",Backend!$C$7,IF(Table1[[#This Row],[Fetal Sex (Male, Female or Unknown)]]="Unknown",Backend!$C$8,"Error"))),"")</f>
        <v/>
      </c>
      <c r="F1244" s="8" t="str">
        <f>IF(Table1[[#This Row],[Is Data Valid]]=TRUE,EXP(0.578+0.332*((Table1[[#This Row],[Gestation (days)]]+0.5)/7)-0.00354*((Table1[[#This Row],[Gestation (days)]]+0.5)/7)^2)*Table1[[#This Row],[BW40_3705]],"")</f>
        <v/>
      </c>
      <c r="G1244" s="2" t="str">
        <f>IF(Table1[[#This Row],[Is Data Valid]]=TRUE,((Table1[[#This Row],[Birthweight (grams)]]/Table1[[#This Row],[BW_GA]])-1)/(Backend!$B$4/100*Table1[[#This Row],[BW40_3705]]),"")</f>
        <v/>
      </c>
      <c r="H1244" s="7" t="str">
        <f>IF(Table1[[#This Row],[Is Data Valid]]=TRUE,((Table1[[#This Row],[Birthweight (grams)]]*0.9/Table1[[#This Row],[BW_GA]])-1)/(Backend!$B$4/100*Table1[[#This Row],[BW40_3705]]),"")</f>
        <v/>
      </c>
      <c r="I1244" s="7" t="str">
        <f>IF(Table1[[#This Row],[Is Data Valid]]=TRUE,((Table1[[#This Row],[Birthweight (grams)]]*1.1/Table1[[#This Row],[BW_GA]])-1)/(Backend!$B$4/100*Table1[[#This Row],[BW40_3705]]),"")</f>
        <v/>
      </c>
      <c r="J1244" s="7" t="str">
        <f>IF(Table1[[#This Row],[Is Data Valid]]=TRUE,_xlfn.NORM.S.DIST(Table1[[#This Row],[Birthweight Z-Score]],TRUE)*100,"")</f>
        <v/>
      </c>
      <c r="K1244" s="7" t="str">
        <f>IF(Table1[[#This Row],[Is Data Valid]]=TRUE,_xlfn.NORM.S.DIST(Table1[[#This Row],[Birthweight Z-Score (BW-10%)]],TRUE)*100,"")</f>
        <v/>
      </c>
      <c r="L1244" s="7" t="str">
        <f>IF(Table1[[#This Row],[Is Data Valid]]=TRUE,_xlfn.NORM.S.DIST(Table1[[#This Row],[Birthweight Z-Score (BW+10%)]],TRUE)*100,"")</f>
        <v/>
      </c>
    </row>
    <row r="1245" spans="1:12" x14ac:dyDescent="0.35">
      <c r="A1245" s="3"/>
      <c r="B1245" s="2"/>
      <c r="C1245" s="2"/>
      <c r="D1245" s="2" t="b">
        <f>IF(AND(NOT(ISBLANK(Table1[[#This Row],[Fetal Sex (Male, Female or Unknown)]])),ISNUMBER(Table1[[#This Row],[Birthweight (grams)]]),ISNUMBER(Table1[[#This Row],[Gestation (days)]])),TRUE,FALSE)</f>
        <v>0</v>
      </c>
      <c r="E1245" s="2" t="str">
        <f>IF(Table1[[#This Row],[Is Data Valid]]=TRUE,IF(Table1[[#This Row],[Fetal Sex (Male, Female or Unknown)]]="Male",Backend!$C$6,IF(Table1[[#This Row],[Fetal Sex (Male, Female or Unknown)]]="Female",Backend!$C$7,IF(Table1[[#This Row],[Fetal Sex (Male, Female or Unknown)]]="Unknown",Backend!$C$8,"Error"))),"")</f>
        <v/>
      </c>
      <c r="F1245" s="8" t="str">
        <f>IF(Table1[[#This Row],[Is Data Valid]]=TRUE,EXP(0.578+0.332*((Table1[[#This Row],[Gestation (days)]]+0.5)/7)-0.00354*((Table1[[#This Row],[Gestation (days)]]+0.5)/7)^2)*Table1[[#This Row],[BW40_3705]],"")</f>
        <v/>
      </c>
      <c r="G1245" s="2" t="str">
        <f>IF(Table1[[#This Row],[Is Data Valid]]=TRUE,((Table1[[#This Row],[Birthweight (grams)]]/Table1[[#This Row],[BW_GA]])-1)/(Backend!$B$4/100*Table1[[#This Row],[BW40_3705]]),"")</f>
        <v/>
      </c>
      <c r="H1245" s="7" t="str">
        <f>IF(Table1[[#This Row],[Is Data Valid]]=TRUE,((Table1[[#This Row],[Birthweight (grams)]]*0.9/Table1[[#This Row],[BW_GA]])-1)/(Backend!$B$4/100*Table1[[#This Row],[BW40_3705]]),"")</f>
        <v/>
      </c>
      <c r="I1245" s="7" t="str">
        <f>IF(Table1[[#This Row],[Is Data Valid]]=TRUE,((Table1[[#This Row],[Birthweight (grams)]]*1.1/Table1[[#This Row],[BW_GA]])-1)/(Backend!$B$4/100*Table1[[#This Row],[BW40_3705]]),"")</f>
        <v/>
      </c>
      <c r="J1245" s="7" t="str">
        <f>IF(Table1[[#This Row],[Is Data Valid]]=TRUE,_xlfn.NORM.S.DIST(Table1[[#This Row],[Birthweight Z-Score]],TRUE)*100,"")</f>
        <v/>
      </c>
      <c r="K1245" s="7" t="str">
        <f>IF(Table1[[#This Row],[Is Data Valid]]=TRUE,_xlfn.NORM.S.DIST(Table1[[#This Row],[Birthweight Z-Score (BW-10%)]],TRUE)*100,"")</f>
        <v/>
      </c>
      <c r="L1245" s="7" t="str">
        <f>IF(Table1[[#This Row],[Is Data Valid]]=TRUE,_xlfn.NORM.S.DIST(Table1[[#This Row],[Birthweight Z-Score (BW+10%)]],TRUE)*100,"")</f>
        <v/>
      </c>
    </row>
    <row r="1246" spans="1:12" x14ac:dyDescent="0.35">
      <c r="A1246" s="3"/>
      <c r="B1246" s="2"/>
      <c r="C1246" s="2"/>
      <c r="D1246" s="2" t="b">
        <f>IF(AND(NOT(ISBLANK(Table1[[#This Row],[Fetal Sex (Male, Female or Unknown)]])),ISNUMBER(Table1[[#This Row],[Birthweight (grams)]]),ISNUMBER(Table1[[#This Row],[Gestation (days)]])),TRUE,FALSE)</f>
        <v>0</v>
      </c>
      <c r="E1246" s="2" t="str">
        <f>IF(Table1[[#This Row],[Is Data Valid]]=TRUE,IF(Table1[[#This Row],[Fetal Sex (Male, Female or Unknown)]]="Male",Backend!$C$6,IF(Table1[[#This Row],[Fetal Sex (Male, Female or Unknown)]]="Female",Backend!$C$7,IF(Table1[[#This Row],[Fetal Sex (Male, Female or Unknown)]]="Unknown",Backend!$C$8,"Error"))),"")</f>
        <v/>
      </c>
      <c r="F1246" s="8" t="str">
        <f>IF(Table1[[#This Row],[Is Data Valid]]=TRUE,EXP(0.578+0.332*((Table1[[#This Row],[Gestation (days)]]+0.5)/7)-0.00354*((Table1[[#This Row],[Gestation (days)]]+0.5)/7)^2)*Table1[[#This Row],[BW40_3705]],"")</f>
        <v/>
      </c>
      <c r="G1246" s="2" t="str">
        <f>IF(Table1[[#This Row],[Is Data Valid]]=TRUE,((Table1[[#This Row],[Birthweight (grams)]]/Table1[[#This Row],[BW_GA]])-1)/(Backend!$B$4/100*Table1[[#This Row],[BW40_3705]]),"")</f>
        <v/>
      </c>
      <c r="H1246" s="7" t="str">
        <f>IF(Table1[[#This Row],[Is Data Valid]]=TRUE,((Table1[[#This Row],[Birthweight (grams)]]*0.9/Table1[[#This Row],[BW_GA]])-1)/(Backend!$B$4/100*Table1[[#This Row],[BW40_3705]]),"")</f>
        <v/>
      </c>
      <c r="I1246" s="7" t="str">
        <f>IF(Table1[[#This Row],[Is Data Valid]]=TRUE,((Table1[[#This Row],[Birthweight (grams)]]*1.1/Table1[[#This Row],[BW_GA]])-1)/(Backend!$B$4/100*Table1[[#This Row],[BW40_3705]]),"")</f>
        <v/>
      </c>
      <c r="J1246" s="7" t="str">
        <f>IF(Table1[[#This Row],[Is Data Valid]]=TRUE,_xlfn.NORM.S.DIST(Table1[[#This Row],[Birthweight Z-Score]],TRUE)*100,"")</f>
        <v/>
      </c>
      <c r="K1246" s="7" t="str">
        <f>IF(Table1[[#This Row],[Is Data Valid]]=TRUE,_xlfn.NORM.S.DIST(Table1[[#This Row],[Birthweight Z-Score (BW-10%)]],TRUE)*100,"")</f>
        <v/>
      </c>
      <c r="L1246" s="7" t="str">
        <f>IF(Table1[[#This Row],[Is Data Valid]]=TRUE,_xlfn.NORM.S.DIST(Table1[[#This Row],[Birthweight Z-Score (BW+10%)]],TRUE)*100,"")</f>
        <v/>
      </c>
    </row>
    <row r="1247" spans="1:12" x14ac:dyDescent="0.35">
      <c r="A1247" s="3"/>
      <c r="B1247" s="2"/>
      <c r="C1247" s="2"/>
      <c r="D1247" s="2" t="b">
        <f>IF(AND(NOT(ISBLANK(Table1[[#This Row],[Fetal Sex (Male, Female or Unknown)]])),ISNUMBER(Table1[[#This Row],[Birthweight (grams)]]),ISNUMBER(Table1[[#This Row],[Gestation (days)]])),TRUE,FALSE)</f>
        <v>0</v>
      </c>
      <c r="E1247" s="2" t="str">
        <f>IF(Table1[[#This Row],[Is Data Valid]]=TRUE,IF(Table1[[#This Row],[Fetal Sex (Male, Female or Unknown)]]="Male",Backend!$C$6,IF(Table1[[#This Row],[Fetal Sex (Male, Female or Unknown)]]="Female",Backend!$C$7,IF(Table1[[#This Row],[Fetal Sex (Male, Female or Unknown)]]="Unknown",Backend!$C$8,"Error"))),"")</f>
        <v/>
      </c>
      <c r="F1247" s="8" t="str">
        <f>IF(Table1[[#This Row],[Is Data Valid]]=TRUE,EXP(0.578+0.332*((Table1[[#This Row],[Gestation (days)]]+0.5)/7)-0.00354*((Table1[[#This Row],[Gestation (days)]]+0.5)/7)^2)*Table1[[#This Row],[BW40_3705]],"")</f>
        <v/>
      </c>
      <c r="G1247" s="2" t="str">
        <f>IF(Table1[[#This Row],[Is Data Valid]]=TRUE,((Table1[[#This Row],[Birthweight (grams)]]/Table1[[#This Row],[BW_GA]])-1)/(Backend!$B$4/100*Table1[[#This Row],[BW40_3705]]),"")</f>
        <v/>
      </c>
      <c r="H1247" s="7" t="str">
        <f>IF(Table1[[#This Row],[Is Data Valid]]=TRUE,((Table1[[#This Row],[Birthweight (grams)]]*0.9/Table1[[#This Row],[BW_GA]])-1)/(Backend!$B$4/100*Table1[[#This Row],[BW40_3705]]),"")</f>
        <v/>
      </c>
      <c r="I1247" s="7" t="str">
        <f>IF(Table1[[#This Row],[Is Data Valid]]=TRUE,((Table1[[#This Row],[Birthweight (grams)]]*1.1/Table1[[#This Row],[BW_GA]])-1)/(Backend!$B$4/100*Table1[[#This Row],[BW40_3705]]),"")</f>
        <v/>
      </c>
      <c r="J1247" s="7" t="str">
        <f>IF(Table1[[#This Row],[Is Data Valid]]=TRUE,_xlfn.NORM.S.DIST(Table1[[#This Row],[Birthweight Z-Score]],TRUE)*100,"")</f>
        <v/>
      </c>
      <c r="K1247" s="7" t="str">
        <f>IF(Table1[[#This Row],[Is Data Valid]]=TRUE,_xlfn.NORM.S.DIST(Table1[[#This Row],[Birthweight Z-Score (BW-10%)]],TRUE)*100,"")</f>
        <v/>
      </c>
      <c r="L1247" s="7" t="str">
        <f>IF(Table1[[#This Row],[Is Data Valid]]=TRUE,_xlfn.NORM.S.DIST(Table1[[#This Row],[Birthweight Z-Score (BW+10%)]],TRUE)*100,"")</f>
        <v/>
      </c>
    </row>
    <row r="1248" spans="1:12" x14ac:dyDescent="0.35">
      <c r="A1248" s="3"/>
      <c r="B1248" s="2"/>
      <c r="C1248" s="2"/>
      <c r="D1248" s="2" t="b">
        <f>IF(AND(NOT(ISBLANK(Table1[[#This Row],[Fetal Sex (Male, Female or Unknown)]])),ISNUMBER(Table1[[#This Row],[Birthweight (grams)]]),ISNUMBER(Table1[[#This Row],[Gestation (days)]])),TRUE,FALSE)</f>
        <v>0</v>
      </c>
      <c r="E1248" s="2" t="str">
        <f>IF(Table1[[#This Row],[Is Data Valid]]=TRUE,IF(Table1[[#This Row],[Fetal Sex (Male, Female or Unknown)]]="Male",Backend!$C$6,IF(Table1[[#This Row],[Fetal Sex (Male, Female or Unknown)]]="Female",Backend!$C$7,IF(Table1[[#This Row],[Fetal Sex (Male, Female or Unknown)]]="Unknown",Backend!$C$8,"Error"))),"")</f>
        <v/>
      </c>
      <c r="F1248" s="8" t="str">
        <f>IF(Table1[[#This Row],[Is Data Valid]]=TRUE,EXP(0.578+0.332*((Table1[[#This Row],[Gestation (days)]]+0.5)/7)-0.00354*((Table1[[#This Row],[Gestation (days)]]+0.5)/7)^2)*Table1[[#This Row],[BW40_3705]],"")</f>
        <v/>
      </c>
      <c r="G1248" s="2" t="str">
        <f>IF(Table1[[#This Row],[Is Data Valid]]=TRUE,((Table1[[#This Row],[Birthweight (grams)]]/Table1[[#This Row],[BW_GA]])-1)/(Backend!$B$4/100*Table1[[#This Row],[BW40_3705]]),"")</f>
        <v/>
      </c>
      <c r="H1248" s="7" t="str">
        <f>IF(Table1[[#This Row],[Is Data Valid]]=TRUE,((Table1[[#This Row],[Birthweight (grams)]]*0.9/Table1[[#This Row],[BW_GA]])-1)/(Backend!$B$4/100*Table1[[#This Row],[BW40_3705]]),"")</f>
        <v/>
      </c>
      <c r="I1248" s="7" t="str">
        <f>IF(Table1[[#This Row],[Is Data Valid]]=TRUE,((Table1[[#This Row],[Birthweight (grams)]]*1.1/Table1[[#This Row],[BW_GA]])-1)/(Backend!$B$4/100*Table1[[#This Row],[BW40_3705]]),"")</f>
        <v/>
      </c>
      <c r="J1248" s="7" t="str">
        <f>IF(Table1[[#This Row],[Is Data Valid]]=TRUE,_xlfn.NORM.S.DIST(Table1[[#This Row],[Birthweight Z-Score]],TRUE)*100,"")</f>
        <v/>
      </c>
      <c r="K1248" s="7" t="str">
        <f>IF(Table1[[#This Row],[Is Data Valid]]=TRUE,_xlfn.NORM.S.DIST(Table1[[#This Row],[Birthweight Z-Score (BW-10%)]],TRUE)*100,"")</f>
        <v/>
      </c>
      <c r="L1248" s="7" t="str">
        <f>IF(Table1[[#This Row],[Is Data Valid]]=TRUE,_xlfn.NORM.S.DIST(Table1[[#This Row],[Birthweight Z-Score (BW+10%)]],TRUE)*100,"")</f>
        <v/>
      </c>
    </row>
    <row r="1249" spans="1:12" x14ac:dyDescent="0.35">
      <c r="A1249" s="3"/>
      <c r="B1249" s="2"/>
      <c r="C1249" s="2"/>
      <c r="D1249" s="2" t="b">
        <f>IF(AND(NOT(ISBLANK(Table1[[#This Row],[Fetal Sex (Male, Female or Unknown)]])),ISNUMBER(Table1[[#This Row],[Birthweight (grams)]]),ISNUMBER(Table1[[#This Row],[Gestation (days)]])),TRUE,FALSE)</f>
        <v>0</v>
      </c>
      <c r="E1249" s="2" t="str">
        <f>IF(Table1[[#This Row],[Is Data Valid]]=TRUE,IF(Table1[[#This Row],[Fetal Sex (Male, Female or Unknown)]]="Male",Backend!$C$6,IF(Table1[[#This Row],[Fetal Sex (Male, Female or Unknown)]]="Female",Backend!$C$7,IF(Table1[[#This Row],[Fetal Sex (Male, Female or Unknown)]]="Unknown",Backend!$C$8,"Error"))),"")</f>
        <v/>
      </c>
      <c r="F1249" s="8" t="str">
        <f>IF(Table1[[#This Row],[Is Data Valid]]=TRUE,EXP(0.578+0.332*((Table1[[#This Row],[Gestation (days)]]+0.5)/7)-0.00354*((Table1[[#This Row],[Gestation (days)]]+0.5)/7)^2)*Table1[[#This Row],[BW40_3705]],"")</f>
        <v/>
      </c>
      <c r="G1249" s="2" t="str">
        <f>IF(Table1[[#This Row],[Is Data Valid]]=TRUE,((Table1[[#This Row],[Birthweight (grams)]]/Table1[[#This Row],[BW_GA]])-1)/(Backend!$B$4/100*Table1[[#This Row],[BW40_3705]]),"")</f>
        <v/>
      </c>
      <c r="H1249" s="7" t="str">
        <f>IF(Table1[[#This Row],[Is Data Valid]]=TRUE,((Table1[[#This Row],[Birthweight (grams)]]*0.9/Table1[[#This Row],[BW_GA]])-1)/(Backend!$B$4/100*Table1[[#This Row],[BW40_3705]]),"")</f>
        <v/>
      </c>
      <c r="I1249" s="7" t="str">
        <f>IF(Table1[[#This Row],[Is Data Valid]]=TRUE,((Table1[[#This Row],[Birthweight (grams)]]*1.1/Table1[[#This Row],[BW_GA]])-1)/(Backend!$B$4/100*Table1[[#This Row],[BW40_3705]]),"")</f>
        <v/>
      </c>
      <c r="J1249" s="7" t="str">
        <f>IF(Table1[[#This Row],[Is Data Valid]]=TRUE,_xlfn.NORM.S.DIST(Table1[[#This Row],[Birthweight Z-Score]],TRUE)*100,"")</f>
        <v/>
      </c>
      <c r="K1249" s="7" t="str">
        <f>IF(Table1[[#This Row],[Is Data Valid]]=TRUE,_xlfn.NORM.S.DIST(Table1[[#This Row],[Birthweight Z-Score (BW-10%)]],TRUE)*100,"")</f>
        <v/>
      </c>
      <c r="L1249" s="7" t="str">
        <f>IF(Table1[[#This Row],[Is Data Valid]]=TRUE,_xlfn.NORM.S.DIST(Table1[[#This Row],[Birthweight Z-Score (BW+10%)]],TRUE)*100,"")</f>
        <v/>
      </c>
    </row>
    <row r="1250" spans="1:12" x14ac:dyDescent="0.35">
      <c r="A1250" s="3"/>
      <c r="B1250" s="2"/>
      <c r="C1250" s="2"/>
      <c r="D1250" s="2" t="b">
        <f>IF(AND(NOT(ISBLANK(Table1[[#This Row],[Fetal Sex (Male, Female or Unknown)]])),ISNUMBER(Table1[[#This Row],[Birthweight (grams)]]),ISNUMBER(Table1[[#This Row],[Gestation (days)]])),TRUE,FALSE)</f>
        <v>0</v>
      </c>
      <c r="E1250" s="2" t="str">
        <f>IF(Table1[[#This Row],[Is Data Valid]]=TRUE,IF(Table1[[#This Row],[Fetal Sex (Male, Female or Unknown)]]="Male",Backend!$C$6,IF(Table1[[#This Row],[Fetal Sex (Male, Female or Unknown)]]="Female",Backend!$C$7,IF(Table1[[#This Row],[Fetal Sex (Male, Female or Unknown)]]="Unknown",Backend!$C$8,"Error"))),"")</f>
        <v/>
      </c>
      <c r="F1250" s="8" t="str">
        <f>IF(Table1[[#This Row],[Is Data Valid]]=TRUE,EXP(0.578+0.332*((Table1[[#This Row],[Gestation (days)]]+0.5)/7)-0.00354*((Table1[[#This Row],[Gestation (days)]]+0.5)/7)^2)*Table1[[#This Row],[BW40_3705]],"")</f>
        <v/>
      </c>
      <c r="G1250" s="2" t="str">
        <f>IF(Table1[[#This Row],[Is Data Valid]]=TRUE,((Table1[[#This Row],[Birthweight (grams)]]/Table1[[#This Row],[BW_GA]])-1)/(Backend!$B$4/100*Table1[[#This Row],[BW40_3705]]),"")</f>
        <v/>
      </c>
      <c r="H1250" s="7" t="str">
        <f>IF(Table1[[#This Row],[Is Data Valid]]=TRUE,((Table1[[#This Row],[Birthweight (grams)]]*0.9/Table1[[#This Row],[BW_GA]])-1)/(Backend!$B$4/100*Table1[[#This Row],[BW40_3705]]),"")</f>
        <v/>
      </c>
      <c r="I1250" s="7" t="str">
        <f>IF(Table1[[#This Row],[Is Data Valid]]=TRUE,((Table1[[#This Row],[Birthweight (grams)]]*1.1/Table1[[#This Row],[BW_GA]])-1)/(Backend!$B$4/100*Table1[[#This Row],[BW40_3705]]),"")</f>
        <v/>
      </c>
      <c r="J1250" s="7" t="str">
        <f>IF(Table1[[#This Row],[Is Data Valid]]=TRUE,_xlfn.NORM.S.DIST(Table1[[#This Row],[Birthweight Z-Score]],TRUE)*100,"")</f>
        <v/>
      </c>
      <c r="K1250" s="7" t="str">
        <f>IF(Table1[[#This Row],[Is Data Valid]]=TRUE,_xlfn.NORM.S.DIST(Table1[[#This Row],[Birthweight Z-Score (BW-10%)]],TRUE)*100,"")</f>
        <v/>
      </c>
      <c r="L1250" s="7" t="str">
        <f>IF(Table1[[#This Row],[Is Data Valid]]=TRUE,_xlfn.NORM.S.DIST(Table1[[#This Row],[Birthweight Z-Score (BW+10%)]],TRUE)*100,"")</f>
        <v/>
      </c>
    </row>
    <row r="1251" spans="1:12" x14ac:dyDescent="0.35">
      <c r="A1251" s="3"/>
      <c r="B1251" s="2"/>
      <c r="C1251" s="2"/>
      <c r="D1251" s="2" t="b">
        <f>IF(AND(NOT(ISBLANK(Table1[[#This Row],[Fetal Sex (Male, Female or Unknown)]])),ISNUMBER(Table1[[#This Row],[Birthweight (grams)]]),ISNUMBER(Table1[[#This Row],[Gestation (days)]])),TRUE,FALSE)</f>
        <v>0</v>
      </c>
      <c r="E1251" s="2" t="str">
        <f>IF(Table1[[#This Row],[Is Data Valid]]=TRUE,IF(Table1[[#This Row],[Fetal Sex (Male, Female or Unknown)]]="Male",Backend!$C$6,IF(Table1[[#This Row],[Fetal Sex (Male, Female or Unknown)]]="Female",Backend!$C$7,IF(Table1[[#This Row],[Fetal Sex (Male, Female or Unknown)]]="Unknown",Backend!$C$8,"Error"))),"")</f>
        <v/>
      </c>
      <c r="F1251" s="8" t="str">
        <f>IF(Table1[[#This Row],[Is Data Valid]]=TRUE,EXP(0.578+0.332*((Table1[[#This Row],[Gestation (days)]]+0.5)/7)-0.00354*((Table1[[#This Row],[Gestation (days)]]+0.5)/7)^2)*Table1[[#This Row],[BW40_3705]],"")</f>
        <v/>
      </c>
      <c r="G1251" s="2" t="str">
        <f>IF(Table1[[#This Row],[Is Data Valid]]=TRUE,((Table1[[#This Row],[Birthweight (grams)]]/Table1[[#This Row],[BW_GA]])-1)/(Backend!$B$4/100*Table1[[#This Row],[BW40_3705]]),"")</f>
        <v/>
      </c>
      <c r="H1251" s="7" t="str">
        <f>IF(Table1[[#This Row],[Is Data Valid]]=TRUE,((Table1[[#This Row],[Birthweight (grams)]]*0.9/Table1[[#This Row],[BW_GA]])-1)/(Backend!$B$4/100*Table1[[#This Row],[BW40_3705]]),"")</f>
        <v/>
      </c>
      <c r="I1251" s="7" t="str">
        <f>IF(Table1[[#This Row],[Is Data Valid]]=TRUE,((Table1[[#This Row],[Birthweight (grams)]]*1.1/Table1[[#This Row],[BW_GA]])-1)/(Backend!$B$4/100*Table1[[#This Row],[BW40_3705]]),"")</f>
        <v/>
      </c>
      <c r="J1251" s="7" t="str">
        <f>IF(Table1[[#This Row],[Is Data Valid]]=TRUE,_xlfn.NORM.S.DIST(Table1[[#This Row],[Birthweight Z-Score]],TRUE)*100,"")</f>
        <v/>
      </c>
      <c r="K1251" s="7" t="str">
        <f>IF(Table1[[#This Row],[Is Data Valid]]=TRUE,_xlfn.NORM.S.DIST(Table1[[#This Row],[Birthweight Z-Score (BW-10%)]],TRUE)*100,"")</f>
        <v/>
      </c>
      <c r="L1251" s="7" t="str">
        <f>IF(Table1[[#This Row],[Is Data Valid]]=TRUE,_xlfn.NORM.S.DIST(Table1[[#This Row],[Birthweight Z-Score (BW+10%)]],TRUE)*100,"")</f>
        <v/>
      </c>
    </row>
    <row r="1252" spans="1:12" x14ac:dyDescent="0.35">
      <c r="A1252" s="3"/>
      <c r="B1252" s="2"/>
      <c r="C1252" s="2"/>
      <c r="D1252" s="2" t="b">
        <f>IF(AND(NOT(ISBLANK(Table1[[#This Row],[Fetal Sex (Male, Female or Unknown)]])),ISNUMBER(Table1[[#This Row],[Birthweight (grams)]]),ISNUMBER(Table1[[#This Row],[Gestation (days)]])),TRUE,FALSE)</f>
        <v>0</v>
      </c>
      <c r="E1252" s="2" t="str">
        <f>IF(Table1[[#This Row],[Is Data Valid]]=TRUE,IF(Table1[[#This Row],[Fetal Sex (Male, Female or Unknown)]]="Male",Backend!$C$6,IF(Table1[[#This Row],[Fetal Sex (Male, Female or Unknown)]]="Female",Backend!$C$7,IF(Table1[[#This Row],[Fetal Sex (Male, Female or Unknown)]]="Unknown",Backend!$C$8,"Error"))),"")</f>
        <v/>
      </c>
      <c r="F1252" s="8" t="str">
        <f>IF(Table1[[#This Row],[Is Data Valid]]=TRUE,EXP(0.578+0.332*((Table1[[#This Row],[Gestation (days)]]+0.5)/7)-0.00354*((Table1[[#This Row],[Gestation (days)]]+0.5)/7)^2)*Table1[[#This Row],[BW40_3705]],"")</f>
        <v/>
      </c>
      <c r="G1252" s="2" t="str">
        <f>IF(Table1[[#This Row],[Is Data Valid]]=TRUE,((Table1[[#This Row],[Birthweight (grams)]]/Table1[[#This Row],[BW_GA]])-1)/(Backend!$B$4/100*Table1[[#This Row],[BW40_3705]]),"")</f>
        <v/>
      </c>
      <c r="H1252" s="7" t="str">
        <f>IF(Table1[[#This Row],[Is Data Valid]]=TRUE,((Table1[[#This Row],[Birthweight (grams)]]*0.9/Table1[[#This Row],[BW_GA]])-1)/(Backend!$B$4/100*Table1[[#This Row],[BW40_3705]]),"")</f>
        <v/>
      </c>
      <c r="I1252" s="7" t="str">
        <f>IF(Table1[[#This Row],[Is Data Valid]]=TRUE,((Table1[[#This Row],[Birthweight (grams)]]*1.1/Table1[[#This Row],[BW_GA]])-1)/(Backend!$B$4/100*Table1[[#This Row],[BW40_3705]]),"")</f>
        <v/>
      </c>
      <c r="J1252" s="7" t="str">
        <f>IF(Table1[[#This Row],[Is Data Valid]]=TRUE,_xlfn.NORM.S.DIST(Table1[[#This Row],[Birthweight Z-Score]],TRUE)*100,"")</f>
        <v/>
      </c>
      <c r="K1252" s="7" t="str">
        <f>IF(Table1[[#This Row],[Is Data Valid]]=TRUE,_xlfn.NORM.S.DIST(Table1[[#This Row],[Birthweight Z-Score (BW-10%)]],TRUE)*100,"")</f>
        <v/>
      </c>
      <c r="L1252" s="7" t="str">
        <f>IF(Table1[[#This Row],[Is Data Valid]]=TRUE,_xlfn.NORM.S.DIST(Table1[[#This Row],[Birthweight Z-Score (BW+10%)]],TRUE)*100,"")</f>
        <v/>
      </c>
    </row>
    <row r="1253" spans="1:12" x14ac:dyDescent="0.35">
      <c r="A1253" s="3"/>
      <c r="B1253" s="2"/>
      <c r="C1253" s="2"/>
      <c r="D1253" s="2" t="b">
        <f>IF(AND(NOT(ISBLANK(Table1[[#This Row],[Fetal Sex (Male, Female or Unknown)]])),ISNUMBER(Table1[[#This Row],[Birthweight (grams)]]),ISNUMBER(Table1[[#This Row],[Gestation (days)]])),TRUE,FALSE)</f>
        <v>0</v>
      </c>
      <c r="E1253" s="2" t="str">
        <f>IF(Table1[[#This Row],[Is Data Valid]]=TRUE,IF(Table1[[#This Row],[Fetal Sex (Male, Female or Unknown)]]="Male",Backend!$C$6,IF(Table1[[#This Row],[Fetal Sex (Male, Female or Unknown)]]="Female",Backend!$C$7,IF(Table1[[#This Row],[Fetal Sex (Male, Female or Unknown)]]="Unknown",Backend!$C$8,"Error"))),"")</f>
        <v/>
      </c>
      <c r="F1253" s="8" t="str">
        <f>IF(Table1[[#This Row],[Is Data Valid]]=TRUE,EXP(0.578+0.332*((Table1[[#This Row],[Gestation (days)]]+0.5)/7)-0.00354*((Table1[[#This Row],[Gestation (days)]]+0.5)/7)^2)*Table1[[#This Row],[BW40_3705]],"")</f>
        <v/>
      </c>
      <c r="G1253" s="2" t="str">
        <f>IF(Table1[[#This Row],[Is Data Valid]]=TRUE,((Table1[[#This Row],[Birthweight (grams)]]/Table1[[#This Row],[BW_GA]])-1)/(Backend!$B$4/100*Table1[[#This Row],[BW40_3705]]),"")</f>
        <v/>
      </c>
      <c r="H1253" s="7" t="str">
        <f>IF(Table1[[#This Row],[Is Data Valid]]=TRUE,((Table1[[#This Row],[Birthweight (grams)]]*0.9/Table1[[#This Row],[BW_GA]])-1)/(Backend!$B$4/100*Table1[[#This Row],[BW40_3705]]),"")</f>
        <v/>
      </c>
      <c r="I1253" s="7" t="str">
        <f>IF(Table1[[#This Row],[Is Data Valid]]=TRUE,((Table1[[#This Row],[Birthweight (grams)]]*1.1/Table1[[#This Row],[BW_GA]])-1)/(Backend!$B$4/100*Table1[[#This Row],[BW40_3705]]),"")</f>
        <v/>
      </c>
      <c r="J1253" s="7" t="str">
        <f>IF(Table1[[#This Row],[Is Data Valid]]=TRUE,_xlfn.NORM.S.DIST(Table1[[#This Row],[Birthweight Z-Score]],TRUE)*100,"")</f>
        <v/>
      </c>
      <c r="K1253" s="7" t="str">
        <f>IF(Table1[[#This Row],[Is Data Valid]]=TRUE,_xlfn.NORM.S.DIST(Table1[[#This Row],[Birthweight Z-Score (BW-10%)]],TRUE)*100,"")</f>
        <v/>
      </c>
      <c r="L1253" s="7" t="str">
        <f>IF(Table1[[#This Row],[Is Data Valid]]=TRUE,_xlfn.NORM.S.DIST(Table1[[#This Row],[Birthweight Z-Score (BW+10%)]],TRUE)*100,"")</f>
        <v/>
      </c>
    </row>
    <row r="1254" spans="1:12" x14ac:dyDescent="0.35">
      <c r="A1254" s="3"/>
      <c r="B1254" s="2"/>
      <c r="C1254" s="2"/>
      <c r="D1254" s="2" t="b">
        <f>IF(AND(NOT(ISBLANK(Table1[[#This Row],[Fetal Sex (Male, Female or Unknown)]])),ISNUMBER(Table1[[#This Row],[Birthweight (grams)]]),ISNUMBER(Table1[[#This Row],[Gestation (days)]])),TRUE,FALSE)</f>
        <v>0</v>
      </c>
      <c r="E1254" s="2" t="str">
        <f>IF(Table1[[#This Row],[Is Data Valid]]=TRUE,IF(Table1[[#This Row],[Fetal Sex (Male, Female or Unknown)]]="Male",Backend!$C$6,IF(Table1[[#This Row],[Fetal Sex (Male, Female or Unknown)]]="Female",Backend!$C$7,IF(Table1[[#This Row],[Fetal Sex (Male, Female or Unknown)]]="Unknown",Backend!$C$8,"Error"))),"")</f>
        <v/>
      </c>
      <c r="F1254" s="8" t="str">
        <f>IF(Table1[[#This Row],[Is Data Valid]]=TRUE,EXP(0.578+0.332*((Table1[[#This Row],[Gestation (days)]]+0.5)/7)-0.00354*((Table1[[#This Row],[Gestation (days)]]+0.5)/7)^2)*Table1[[#This Row],[BW40_3705]],"")</f>
        <v/>
      </c>
      <c r="G1254" s="2" t="str">
        <f>IF(Table1[[#This Row],[Is Data Valid]]=TRUE,((Table1[[#This Row],[Birthweight (grams)]]/Table1[[#This Row],[BW_GA]])-1)/(Backend!$B$4/100*Table1[[#This Row],[BW40_3705]]),"")</f>
        <v/>
      </c>
      <c r="H1254" s="7" t="str">
        <f>IF(Table1[[#This Row],[Is Data Valid]]=TRUE,((Table1[[#This Row],[Birthweight (grams)]]*0.9/Table1[[#This Row],[BW_GA]])-1)/(Backend!$B$4/100*Table1[[#This Row],[BW40_3705]]),"")</f>
        <v/>
      </c>
      <c r="I1254" s="7" t="str">
        <f>IF(Table1[[#This Row],[Is Data Valid]]=TRUE,((Table1[[#This Row],[Birthweight (grams)]]*1.1/Table1[[#This Row],[BW_GA]])-1)/(Backend!$B$4/100*Table1[[#This Row],[BW40_3705]]),"")</f>
        <v/>
      </c>
      <c r="J1254" s="7" t="str">
        <f>IF(Table1[[#This Row],[Is Data Valid]]=TRUE,_xlfn.NORM.S.DIST(Table1[[#This Row],[Birthweight Z-Score]],TRUE)*100,"")</f>
        <v/>
      </c>
      <c r="K1254" s="7" t="str">
        <f>IF(Table1[[#This Row],[Is Data Valid]]=TRUE,_xlfn.NORM.S.DIST(Table1[[#This Row],[Birthweight Z-Score (BW-10%)]],TRUE)*100,"")</f>
        <v/>
      </c>
      <c r="L1254" s="7" t="str">
        <f>IF(Table1[[#This Row],[Is Data Valid]]=TRUE,_xlfn.NORM.S.DIST(Table1[[#This Row],[Birthweight Z-Score (BW+10%)]],TRUE)*100,"")</f>
        <v/>
      </c>
    </row>
    <row r="1255" spans="1:12" x14ac:dyDescent="0.35">
      <c r="A1255" s="3"/>
      <c r="B1255" s="2"/>
      <c r="C1255" s="2"/>
      <c r="D1255" s="2" t="b">
        <f>IF(AND(NOT(ISBLANK(Table1[[#This Row],[Fetal Sex (Male, Female or Unknown)]])),ISNUMBER(Table1[[#This Row],[Birthweight (grams)]]),ISNUMBER(Table1[[#This Row],[Gestation (days)]])),TRUE,FALSE)</f>
        <v>0</v>
      </c>
      <c r="E1255" s="2" t="str">
        <f>IF(Table1[[#This Row],[Is Data Valid]]=TRUE,IF(Table1[[#This Row],[Fetal Sex (Male, Female or Unknown)]]="Male",Backend!$C$6,IF(Table1[[#This Row],[Fetal Sex (Male, Female or Unknown)]]="Female",Backend!$C$7,IF(Table1[[#This Row],[Fetal Sex (Male, Female or Unknown)]]="Unknown",Backend!$C$8,"Error"))),"")</f>
        <v/>
      </c>
      <c r="F1255" s="8" t="str">
        <f>IF(Table1[[#This Row],[Is Data Valid]]=TRUE,EXP(0.578+0.332*((Table1[[#This Row],[Gestation (days)]]+0.5)/7)-0.00354*((Table1[[#This Row],[Gestation (days)]]+0.5)/7)^2)*Table1[[#This Row],[BW40_3705]],"")</f>
        <v/>
      </c>
      <c r="G1255" s="2" t="str">
        <f>IF(Table1[[#This Row],[Is Data Valid]]=TRUE,((Table1[[#This Row],[Birthweight (grams)]]/Table1[[#This Row],[BW_GA]])-1)/(Backend!$B$4/100*Table1[[#This Row],[BW40_3705]]),"")</f>
        <v/>
      </c>
      <c r="H1255" s="7" t="str">
        <f>IF(Table1[[#This Row],[Is Data Valid]]=TRUE,((Table1[[#This Row],[Birthweight (grams)]]*0.9/Table1[[#This Row],[BW_GA]])-1)/(Backend!$B$4/100*Table1[[#This Row],[BW40_3705]]),"")</f>
        <v/>
      </c>
      <c r="I1255" s="7" t="str">
        <f>IF(Table1[[#This Row],[Is Data Valid]]=TRUE,((Table1[[#This Row],[Birthweight (grams)]]*1.1/Table1[[#This Row],[BW_GA]])-1)/(Backend!$B$4/100*Table1[[#This Row],[BW40_3705]]),"")</f>
        <v/>
      </c>
      <c r="J1255" s="7" t="str">
        <f>IF(Table1[[#This Row],[Is Data Valid]]=TRUE,_xlfn.NORM.S.DIST(Table1[[#This Row],[Birthweight Z-Score]],TRUE)*100,"")</f>
        <v/>
      </c>
      <c r="K1255" s="7" t="str">
        <f>IF(Table1[[#This Row],[Is Data Valid]]=TRUE,_xlfn.NORM.S.DIST(Table1[[#This Row],[Birthweight Z-Score (BW-10%)]],TRUE)*100,"")</f>
        <v/>
      </c>
      <c r="L1255" s="7" t="str">
        <f>IF(Table1[[#This Row],[Is Data Valid]]=TRUE,_xlfn.NORM.S.DIST(Table1[[#This Row],[Birthweight Z-Score (BW+10%)]],TRUE)*100,"")</f>
        <v/>
      </c>
    </row>
    <row r="1256" spans="1:12" x14ac:dyDescent="0.35">
      <c r="A1256" s="3"/>
      <c r="B1256" s="2"/>
      <c r="C1256" s="2"/>
      <c r="D1256" s="2" t="b">
        <f>IF(AND(NOT(ISBLANK(Table1[[#This Row],[Fetal Sex (Male, Female or Unknown)]])),ISNUMBER(Table1[[#This Row],[Birthweight (grams)]]),ISNUMBER(Table1[[#This Row],[Gestation (days)]])),TRUE,FALSE)</f>
        <v>0</v>
      </c>
      <c r="E1256" s="2" t="str">
        <f>IF(Table1[[#This Row],[Is Data Valid]]=TRUE,IF(Table1[[#This Row],[Fetal Sex (Male, Female or Unknown)]]="Male",Backend!$C$6,IF(Table1[[#This Row],[Fetal Sex (Male, Female or Unknown)]]="Female",Backend!$C$7,IF(Table1[[#This Row],[Fetal Sex (Male, Female or Unknown)]]="Unknown",Backend!$C$8,"Error"))),"")</f>
        <v/>
      </c>
      <c r="F1256" s="8" t="str">
        <f>IF(Table1[[#This Row],[Is Data Valid]]=TRUE,EXP(0.578+0.332*((Table1[[#This Row],[Gestation (days)]]+0.5)/7)-0.00354*((Table1[[#This Row],[Gestation (days)]]+0.5)/7)^2)*Table1[[#This Row],[BW40_3705]],"")</f>
        <v/>
      </c>
      <c r="G1256" s="2" t="str">
        <f>IF(Table1[[#This Row],[Is Data Valid]]=TRUE,((Table1[[#This Row],[Birthweight (grams)]]/Table1[[#This Row],[BW_GA]])-1)/(Backend!$B$4/100*Table1[[#This Row],[BW40_3705]]),"")</f>
        <v/>
      </c>
      <c r="H1256" s="7" t="str">
        <f>IF(Table1[[#This Row],[Is Data Valid]]=TRUE,((Table1[[#This Row],[Birthweight (grams)]]*0.9/Table1[[#This Row],[BW_GA]])-1)/(Backend!$B$4/100*Table1[[#This Row],[BW40_3705]]),"")</f>
        <v/>
      </c>
      <c r="I1256" s="7" t="str">
        <f>IF(Table1[[#This Row],[Is Data Valid]]=TRUE,((Table1[[#This Row],[Birthweight (grams)]]*1.1/Table1[[#This Row],[BW_GA]])-1)/(Backend!$B$4/100*Table1[[#This Row],[BW40_3705]]),"")</f>
        <v/>
      </c>
      <c r="J1256" s="7" t="str">
        <f>IF(Table1[[#This Row],[Is Data Valid]]=TRUE,_xlfn.NORM.S.DIST(Table1[[#This Row],[Birthweight Z-Score]],TRUE)*100,"")</f>
        <v/>
      </c>
      <c r="K1256" s="7" t="str">
        <f>IF(Table1[[#This Row],[Is Data Valid]]=TRUE,_xlfn.NORM.S.DIST(Table1[[#This Row],[Birthweight Z-Score (BW-10%)]],TRUE)*100,"")</f>
        <v/>
      </c>
      <c r="L1256" s="7" t="str">
        <f>IF(Table1[[#This Row],[Is Data Valid]]=TRUE,_xlfn.NORM.S.DIST(Table1[[#This Row],[Birthweight Z-Score (BW+10%)]],TRUE)*100,"")</f>
        <v/>
      </c>
    </row>
    <row r="1257" spans="1:12" x14ac:dyDescent="0.35">
      <c r="A1257" s="3"/>
      <c r="B1257" s="2"/>
      <c r="C1257" s="2"/>
      <c r="D1257" s="2" t="b">
        <f>IF(AND(NOT(ISBLANK(Table1[[#This Row],[Fetal Sex (Male, Female or Unknown)]])),ISNUMBER(Table1[[#This Row],[Birthweight (grams)]]),ISNUMBER(Table1[[#This Row],[Gestation (days)]])),TRUE,FALSE)</f>
        <v>0</v>
      </c>
      <c r="E1257" s="2" t="str">
        <f>IF(Table1[[#This Row],[Is Data Valid]]=TRUE,IF(Table1[[#This Row],[Fetal Sex (Male, Female or Unknown)]]="Male",Backend!$C$6,IF(Table1[[#This Row],[Fetal Sex (Male, Female or Unknown)]]="Female",Backend!$C$7,IF(Table1[[#This Row],[Fetal Sex (Male, Female or Unknown)]]="Unknown",Backend!$C$8,"Error"))),"")</f>
        <v/>
      </c>
      <c r="F1257" s="8" t="str">
        <f>IF(Table1[[#This Row],[Is Data Valid]]=TRUE,EXP(0.578+0.332*((Table1[[#This Row],[Gestation (days)]]+0.5)/7)-0.00354*((Table1[[#This Row],[Gestation (days)]]+0.5)/7)^2)*Table1[[#This Row],[BW40_3705]],"")</f>
        <v/>
      </c>
      <c r="G1257" s="2" t="str">
        <f>IF(Table1[[#This Row],[Is Data Valid]]=TRUE,((Table1[[#This Row],[Birthweight (grams)]]/Table1[[#This Row],[BW_GA]])-1)/(Backend!$B$4/100*Table1[[#This Row],[BW40_3705]]),"")</f>
        <v/>
      </c>
      <c r="H1257" s="7" t="str">
        <f>IF(Table1[[#This Row],[Is Data Valid]]=TRUE,((Table1[[#This Row],[Birthweight (grams)]]*0.9/Table1[[#This Row],[BW_GA]])-1)/(Backend!$B$4/100*Table1[[#This Row],[BW40_3705]]),"")</f>
        <v/>
      </c>
      <c r="I1257" s="7" t="str">
        <f>IF(Table1[[#This Row],[Is Data Valid]]=TRUE,((Table1[[#This Row],[Birthweight (grams)]]*1.1/Table1[[#This Row],[BW_GA]])-1)/(Backend!$B$4/100*Table1[[#This Row],[BW40_3705]]),"")</f>
        <v/>
      </c>
      <c r="J1257" s="7" t="str">
        <f>IF(Table1[[#This Row],[Is Data Valid]]=TRUE,_xlfn.NORM.S.DIST(Table1[[#This Row],[Birthweight Z-Score]],TRUE)*100,"")</f>
        <v/>
      </c>
      <c r="K1257" s="7" t="str">
        <f>IF(Table1[[#This Row],[Is Data Valid]]=TRUE,_xlfn.NORM.S.DIST(Table1[[#This Row],[Birthweight Z-Score (BW-10%)]],TRUE)*100,"")</f>
        <v/>
      </c>
      <c r="L1257" s="7" t="str">
        <f>IF(Table1[[#This Row],[Is Data Valid]]=TRUE,_xlfn.NORM.S.DIST(Table1[[#This Row],[Birthweight Z-Score (BW+10%)]],TRUE)*100,"")</f>
        <v/>
      </c>
    </row>
    <row r="1258" spans="1:12" x14ac:dyDescent="0.35">
      <c r="A1258" s="3"/>
      <c r="B1258" s="2"/>
      <c r="C1258" s="2"/>
      <c r="D1258" s="2" t="b">
        <f>IF(AND(NOT(ISBLANK(Table1[[#This Row],[Fetal Sex (Male, Female or Unknown)]])),ISNUMBER(Table1[[#This Row],[Birthweight (grams)]]),ISNUMBER(Table1[[#This Row],[Gestation (days)]])),TRUE,FALSE)</f>
        <v>0</v>
      </c>
      <c r="E1258" s="2" t="str">
        <f>IF(Table1[[#This Row],[Is Data Valid]]=TRUE,IF(Table1[[#This Row],[Fetal Sex (Male, Female or Unknown)]]="Male",Backend!$C$6,IF(Table1[[#This Row],[Fetal Sex (Male, Female or Unknown)]]="Female",Backend!$C$7,IF(Table1[[#This Row],[Fetal Sex (Male, Female or Unknown)]]="Unknown",Backend!$C$8,"Error"))),"")</f>
        <v/>
      </c>
      <c r="F1258" s="8" t="str">
        <f>IF(Table1[[#This Row],[Is Data Valid]]=TRUE,EXP(0.578+0.332*((Table1[[#This Row],[Gestation (days)]]+0.5)/7)-0.00354*((Table1[[#This Row],[Gestation (days)]]+0.5)/7)^2)*Table1[[#This Row],[BW40_3705]],"")</f>
        <v/>
      </c>
      <c r="G1258" s="2" t="str">
        <f>IF(Table1[[#This Row],[Is Data Valid]]=TRUE,((Table1[[#This Row],[Birthweight (grams)]]/Table1[[#This Row],[BW_GA]])-1)/(Backend!$B$4/100*Table1[[#This Row],[BW40_3705]]),"")</f>
        <v/>
      </c>
      <c r="H1258" s="7" t="str">
        <f>IF(Table1[[#This Row],[Is Data Valid]]=TRUE,((Table1[[#This Row],[Birthweight (grams)]]*0.9/Table1[[#This Row],[BW_GA]])-1)/(Backend!$B$4/100*Table1[[#This Row],[BW40_3705]]),"")</f>
        <v/>
      </c>
      <c r="I1258" s="7" t="str">
        <f>IF(Table1[[#This Row],[Is Data Valid]]=TRUE,((Table1[[#This Row],[Birthweight (grams)]]*1.1/Table1[[#This Row],[BW_GA]])-1)/(Backend!$B$4/100*Table1[[#This Row],[BW40_3705]]),"")</f>
        <v/>
      </c>
      <c r="J1258" s="7" t="str">
        <f>IF(Table1[[#This Row],[Is Data Valid]]=TRUE,_xlfn.NORM.S.DIST(Table1[[#This Row],[Birthweight Z-Score]],TRUE)*100,"")</f>
        <v/>
      </c>
      <c r="K1258" s="7" t="str">
        <f>IF(Table1[[#This Row],[Is Data Valid]]=TRUE,_xlfn.NORM.S.DIST(Table1[[#This Row],[Birthweight Z-Score (BW-10%)]],TRUE)*100,"")</f>
        <v/>
      </c>
      <c r="L1258" s="7" t="str">
        <f>IF(Table1[[#This Row],[Is Data Valid]]=TRUE,_xlfn.NORM.S.DIST(Table1[[#This Row],[Birthweight Z-Score (BW+10%)]],TRUE)*100,"")</f>
        <v/>
      </c>
    </row>
    <row r="1259" spans="1:12" x14ac:dyDescent="0.35">
      <c r="A1259" s="3"/>
      <c r="B1259" s="2"/>
      <c r="C1259" s="2"/>
      <c r="D1259" s="2" t="b">
        <f>IF(AND(NOT(ISBLANK(Table1[[#This Row],[Fetal Sex (Male, Female or Unknown)]])),ISNUMBER(Table1[[#This Row],[Birthweight (grams)]]),ISNUMBER(Table1[[#This Row],[Gestation (days)]])),TRUE,FALSE)</f>
        <v>0</v>
      </c>
      <c r="E1259" s="2" t="str">
        <f>IF(Table1[[#This Row],[Is Data Valid]]=TRUE,IF(Table1[[#This Row],[Fetal Sex (Male, Female or Unknown)]]="Male",Backend!$C$6,IF(Table1[[#This Row],[Fetal Sex (Male, Female or Unknown)]]="Female",Backend!$C$7,IF(Table1[[#This Row],[Fetal Sex (Male, Female or Unknown)]]="Unknown",Backend!$C$8,"Error"))),"")</f>
        <v/>
      </c>
      <c r="F1259" s="8" t="str">
        <f>IF(Table1[[#This Row],[Is Data Valid]]=TRUE,EXP(0.578+0.332*((Table1[[#This Row],[Gestation (days)]]+0.5)/7)-0.00354*((Table1[[#This Row],[Gestation (days)]]+0.5)/7)^2)*Table1[[#This Row],[BW40_3705]],"")</f>
        <v/>
      </c>
      <c r="G1259" s="2" t="str">
        <f>IF(Table1[[#This Row],[Is Data Valid]]=TRUE,((Table1[[#This Row],[Birthweight (grams)]]/Table1[[#This Row],[BW_GA]])-1)/(Backend!$B$4/100*Table1[[#This Row],[BW40_3705]]),"")</f>
        <v/>
      </c>
      <c r="H1259" s="7" t="str">
        <f>IF(Table1[[#This Row],[Is Data Valid]]=TRUE,((Table1[[#This Row],[Birthweight (grams)]]*0.9/Table1[[#This Row],[BW_GA]])-1)/(Backend!$B$4/100*Table1[[#This Row],[BW40_3705]]),"")</f>
        <v/>
      </c>
      <c r="I1259" s="7" t="str">
        <f>IF(Table1[[#This Row],[Is Data Valid]]=TRUE,((Table1[[#This Row],[Birthweight (grams)]]*1.1/Table1[[#This Row],[BW_GA]])-1)/(Backend!$B$4/100*Table1[[#This Row],[BW40_3705]]),"")</f>
        <v/>
      </c>
      <c r="J1259" s="7" t="str">
        <f>IF(Table1[[#This Row],[Is Data Valid]]=TRUE,_xlfn.NORM.S.DIST(Table1[[#This Row],[Birthweight Z-Score]],TRUE)*100,"")</f>
        <v/>
      </c>
      <c r="K1259" s="7" t="str">
        <f>IF(Table1[[#This Row],[Is Data Valid]]=TRUE,_xlfn.NORM.S.DIST(Table1[[#This Row],[Birthweight Z-Score (BW-10%)]],TRUE)*100,"")</f>
        <v/>
      </c>
      <c r="L1259" s="7" t="str">
        <f>IF(Table1[[#This Row],[Is Data Valid]]=TRUE,_xlfn.NORM.S.DIST(Table1[[#This Row],[Birthweight Z-Score (BW+10%)]],TRUE)*100,"")</f>
        <v/>
      </c>
    </row>
    <row r="1260" spans="1:12" x14ac:dyDescent="0.35">
      <c r="A1260" s="3"/>
      <c r="B1260" s="2"/>
      <c r="C1260" s="2"/>
      <c r="D1260" s="2" t="b">
        <f>IF(AND(NOT(ISBLANK(Table1[[#This Row],[Fetal Sex (Male, Female or Unknown)]])),ISNUMBER(Table1[[#This Row],[Birthweight (grams)]]),ISNUMBER(Table1[[#This Row],[Gestation (days)]])),TRUE,FALSE)</f>
        <v>0</v>
      </c>
      <c r="E1260" s="2" t="str">
        <f>IF(Table1[[#This Row],[Is Data Valid]]=TRUE,IF(Table1[[#This Row],[Fetal Sex (Male, Female or Unknown)]]="Male",Backend!$C$6,IF(Table1[[#This Row],[Fetal Sex (Male, Female or Unknown)]]="Female",Backend!$C$7,IF(Table1[[#This Row],[Fetal Sex (Male, Female or Unknown)]]="Unknown",Backend!$C$8,"Error"))),"")</f>
        <v/>
      </c>
      <c r="F1260" s="8" t="str">
        <f>IF(Table1[[#This Row],[Is Data Valid]]=TRUE,EXP(0.578+0.332*((Table1[[#This Row],[Gestation (days)]]+0.5)/7)-0.00354*((Table1[[#This Row],[Gestation (days)]]+0.5)/7)^2)*Table1[[#This Row],[BW40_3705]],"")</f>
        <v/>
      </c>
      <c r="G1260" s="2" t="str">
        <f>IF(Table1[[#This Row],[Is Data Valid]]=TRUE,((Table1[[#This Row],[Birthweight (grams)]]/Table1[[#This Row],[BW_GA]])-1)/(Backend!$B$4/100*Table1[[#This Row],[BW40_3705]]),"")</f>
        <v/>
      </c>
      <c r="H1260" s="7" t="str">
        <f>IF(Table1[[#This Row],[Is Data Valid]]=TRUE,((Table1[[#This Row],[Birthweight (grams)]]*0.9/Table1[[#This Row],[BW_GA]])-1)/(Backend!$B$4/100*Table1[[#This Row],[BW40_3705]]),"")</f>
        <v/>
      </c>
      <c r="I1260" s="7" t="str">
        <f>IF(Table1[[#This Row],[Is Data Valid]]=TRUE,((Table1[[#This Row],[Birthweight (grams)]]*1.1/Table1[[#This Row],[BW_GA]])-1)/(Backend!$B$4/100*Table1[[#This Row],[BW40_3705]]),"")</f>
        <v/>
      </c>
      <c r="J1260" s="7" t="str">
        <f>IF(Table1[[#This Row],[Is Data Valid]]=TRUE,_xlfn.NORM.S.DIST(Table1[[#This Row],[Birthweight Z-Score]],TRUE)*100,"")</f>
        <v/>
      </c>
      <c r="K1260" s="7" t="str">
        <f>IF(Table1[[#This Row],[Is Data Valid]]=TRUE,_xlfn.NORM.S.DIST(Table1[[#This Row],[Birthweight Z-Score (BW-10%)]],TRUE)*100,"")</f>
        <v/>
      </c>
      <c r="L1260" s="7" t="str">
        <f>IF(Table1[[#This Row],[Is Data Valid]]=TRUE,_xlfn.NORM.S.DIST(Table1[[#This Row],[Birthweight Z-Score (BW+10%)]],TRUE)*100,"")</f>
        <v/>
      </c>
    </row>
    <row r="1261" spans="1:12" x14ac:dyDescent="0.35">
      <c r="A1261" s="3"/>
      <c r="B1261" s="2"/>
      <c r="C1261" s="2"/>
      <c r="D1261" s="2" t="b">
        <f>IF(AND(NOT(ISBLANK(Table1[[#This Row],[Fetal Sex (Male, Female or Unknown)]])),ISNUMBER(Table1[[#This Row],[Birthweight (grams)]]),ISNUMBER(Table1[[#This Row],[Gestation (days)]])),TRUE,FALSE)</f>
        <v>0</v>
      </c>
      <c r="E1261" s="2" t="str">
        <f>IF(Table1[[#This Row],[Is Data Valid]]=TRUE,IF(Table1[[#This Row],[Fetal Sex (Male, Female or Unknown)]]="Male",Backend!$C$6,IF(Table1[[#This Row],[Fetal Sex (Male, Female or Unknown)]]="Female",Backend!$C$7,IF(Table1[[#This Row],[Fetal Sex (Male, Female or Unknown)]]="Unknown",Backend!$C$8,"Error"))),"")</f>
        <v/>
      </c>
      <c r="F1261" s="8" t="str">
        <f>IF(Table1[[#This Row],[Is Data Valid]]=TRUE,EXP(0.578+0.332*((Table1[[#This Row],[Gestation (days)]]+0.5)/7)-0.00354*((Table1[[#This Row],[Gestation (days)]]+0.5)/7)^2)*Table1[[#This Row],[BW40_3705]],"")</f>
        <v/>
      </c>
      <c r="G1261" s="2" t="str">
        <f>IF(Table1[[#This Row],[Is Data Valid]]=TRUE,((Table1[[#This Row],[Birthweight (grams)]]/Table1[[#This Row],[BW_GA]])-1)/(Backend!$B$4/100*Table1[[#This Row],[BW40_3705]]),"")</f>
        <v/>
      </c>
      <c r="H1261" s="7" t="str">
        <f>IF(Table1[[#This Row],[Is Data Valid]]=TRUE,((Table1[[#This Row],[Birthweight (grams)]]*0.9/Table1[[#This Row],[BW_GA]])-1)/(Backend!$B$4/100*Table1[[#This Row],[BW40_3705]]),"")</f>
        <v/>
      </c>
      <c r="I1261" s="7" t="str">
        <f>IF(Table1[[#This Row],[Is Data Valid]]=TRUE,((Table1[[#This Row],[Birthweight (grams)]]*1.1/Table1[[#This Row],[BW_GA]])-1)/(Backend!$B$4/100*Table1[[#This Row],[BW40_3705]]),"")</f>
        <v/>
      </c>
      <c r="J1261" s="7" t="str">
        <f>IF(Table1[[#This Row],[Is Data Valid]]=TRUE,_xlfn.NORM.S.DIST(Table1[[#This Row],[Birthweight Z-Score]],TRUE)*100,"")</f>
        <v/>
      </c>
      <c r="K1261" s="7" t="str">
        <f>IF(Table1[[#This Row],[Is Data Valid]]=TRUE,_xlfn.NORM.S.DIST(Table1[[#This Row],[Birthweight Z-Score (BW-10%)]],TRUE)*100,"")</f>
        <v/>
      </c>
      <c r="L1261" s="7" t="str">
        <f>IF(Table1[[#This Row],[Is Data Valid]]=TRUE,_xlfn.NORM.S.DIST(Table1[[#This Row],[Birthweight Z-Score (BW+10%)]],TRUE)*100,"")</f>
        <v/>
      </c>
    </row>
    <row r="1262" spans="1:12" x14ac:dyDescent="0.35">
      <c r="A1262" s="3"/>
      <c r="B1262" s="2"/>
      <c r="C1262" s="2"/>
      <c r="D1262" s="2" t="b">
        <f>IF(AND(NOT(ISBLANK(Table1[[#This Row],[Fetal Sex (Male, Female or Unknown)]])),ISNUMBER(Table1[[#This Row],[Birthweight (grams)]]),ISNUMBER(Table1[[#This Row],[Gestation (days)]])),TRUE,FALSE)</f>
        <v>0</v>
      </c>
      <c r="E1262" s="2" t="str">
        <f>IF(Table1[[#This Row],[Is Data Valid]]=TRUE,IF(Table1[[#This Row],[Fetal Sex (Male, Female or Unknown)]]="Male",Backend!$C$6,IF(Table1[[#This Row],[Fetal Sex (Male, Female or Unknown)]]="Female",Backend!$C$7,IF(Table1[[#This Row],[Fetal Sex (Male, Female or Unknown)]]="Unknown",Backend!$C$8,"Error"))),"")</f>
        <v/>
      </c>
      <c r="F1262" s="8" t="str">
        <f>IF(Table1[[#This Row],[Is Data Valid]]=TRUE,EXP(0.578+0.332*((Table1[[#This Row],[Gestation (days)]]+0.5)/7)-0.00354*((Table1[[#This Row],[Gestation (days)]]+0.5)/7)^2)*Table1[[#This Row],[BW40_3705]],"")</f>
        <v/>
      </c>
      <c r="G1262" s="2" t="str">
        <f>IF(Table1[[#This Row],[Is Data Valid]]=TRUE,((Table1[[#This Row],[Birthweight (grams)]]/Table1[[#This Row],[BW_GA]])-1)/(Backend!$B$4/100*Table1[[#This Row],[BW40_3705]]),"")</f>
        <v/>
      </c>
      <c r="H1262" s="7" t="str">
        <f>IF(Table1[[#This Row],[Is Data Valid]]=TRUE,((Table1[[#This Row],[Birthweight (grams)]]*0.9/Table1[[#This Row],[BW_GA]])-1)/(Backend!$B$4/100*Table1[[#This Row],[BW40_3705]]),"")</f>
        <v/>
      </c>
      <c r="I1262" s="7" t="str">
        <f>IF(Table1[[#This Row],[Is Data Valid]]=TRUE,((Table1[[#This Row],[Birthweight (grams)]]*1.1/Table1[[#This Row],[BW_GA]])-1)/(Backend!$B$4/100*Table1[[#This Row],[BW40_3705]]),"")</f>
        <v/>
      </c>
      <c r="J1262" s="7" t="str">
        <f>IF(Table1[[#This Row],[Is Data Valid]]=TRUE,_xlfn.NORM.S.DIST(Table1[[#This Row],[Birthweight Z-Score]],TRUE)*100,"")</f>
        <v/>
      </c>
      <c r="K1262" s="7" t="str">
        <f>IF(Table1[[#This Row],[Is Data Valid]]=TRUE,_xlfn.NORM.S.DIST(Table1[[#This Row],[Birthweight Z-Score (BW-10%)]],TRUE)*100,"")</f>
        <v/>
      </c>
      <c r="L1262" s="7" t="str">
        <f>IF(Table1[[#This Row],[Is Data Valid]]=TRUE,_xlfn.NORM.S.DIST(Table1[[#This Row],[Birthweight Z-Score (BW+10%)]],TRUE)*100,"")</f>
        <v/>
      </c>
    </row>
    <row r="1263" spans="1:12" x14ac:dyDescent="0.35">
      <c r="A1263" s="3"/>
      <c r="B1263" s="2"/>
      <c r="C1263" s="2"/>
      <c r="D1263" s="2" t="b">
        <f>IF(AND(NOT(ISBLANK(Table1[[#This Row],[Fetal Sex (Male, Female or Unknown)]])),ISNUMBER(Table1[[#This Row],[Birthweight (grams)]]),ISNUMBER(Table1[[#This Row],[Gestation (days)]])),TRUE,FALSE)</f>
        <v>0</v>
      </c>
      <c r="E1263" s="2" t="str">
        <f>IF(Table1[[#This Row],[Is Data Valid]]=TRUE,IF(Table1[[#This Row],[Fetal Sex (Male, Female or Unknown)]]="Male",Backend!$C$6,IF(Table1[[#This Row],[Fetal Sex (Male, Female or Unknown)]]="Female",Backend!$C$7,IF(Table1[[#This Row],[Fetal Sex (Male, Female or Unknown)]]="Unknown",Backend!$C$8,"Error"))),"")</f>
        <v/>
      </c>
      <c r="F1263" s="8" t="str">
        <f>IF(Table1[[#This Row],[Is Data Valid]]=TRUE,EXP(0.578+0.332*((Table1[[#This Row],[Gestation (days)]]+0.5)/7)-0.00354*((Table1[[#This Row],[Gestation (days)]]+0.5)/7)^2)*Table1[[#This Row],[BW40_3705]],"")</f>
        <v/>
      </c>
      <c r="G1263" s="2" t="str">
        <f>IF(Table1[[#This Row],[Is Data Valid]]=TRUE,((Table1[[#This Row],[Birthweight (grams)]]/Table1[[#This Row],[BW_GA]])-1)/(Backend!$B$4/100*Table1[[#This Row],[BW40_3705]]),"")</f>
        <v/>
      </c>
      <c r="H1263" s="7" t="str">
        <f>IF(Table1[[#This Row],[Is Data Valid]]=TRUE,((Table1[[#This Row],[Birthweight (grams)]]*0.9/Table1[[#This Row],[BW_GA]])-1)/(Backend!$B$4/100*Table1[[#This Row],[BW40_3705]]),"")</f>
        <v/>
      </c>
      <c r="I1263" s="7" t="str">
        <f>IF(Table1[[#This Row],[Is Data Valid]]=TRUE,((Table1[[#This Row],[Birthweight (grams)]]*1.1/Table1[[#This Row],[BW_GA]])-1)/(Backend!$B$4/100*Table1[[#This Row],[BW40_3705]]),"")</f>
        <v/>
      </c>
      <c r="J1263" s="7" t="str">
        <f>IF(Table1[[#This Row],[Is Data Valid]]=TRUE,_xlfn.NORM.S.DIST(Table1[[#This Row],[Birthweight Z-Score]],TRUE)*100,"")</f>
        <v/>
      </c>
      <c r="K1263" s="7" t="str">
        <f>IF(Table1[[#This Row],[Is Data Valid]]=TRUE,_xlfn.NORM.S.DIST(Table1[[#This Row],[Birthweight Z-Score (BW-10%)]],TRUE)*100,"")</f>
        <v/>
      </c>
      <c r="L1263" s="7" t="str">
        <f>IF(Table1[[#This Row],[Is Data Valid]]=TRUE,_xlfn.NORM.S.DIST(Table1[[#This Row],[Birthweight Z-Score (BW+10%)]],TRUE)*100,"")</f>
        <v/>
      </c>
    </row>
    <row r="1264" spans="1:12" x14ac:dyDescent="0.35">
      <c r="A1264" s="3"/>
      <c r="B1264" s="2"/>
      <c r="C1264" s="2"/>
      <c r="D1264" s="2" t="b">
        <f>IF(AND(NOT(ISBLANK(Table1[[#This Row],[Fetal Sex (Male, Female or Unknown)]])),ISNUMBER(Table1[[#This Row],[Birthweight (grams)]]),ISNUMBER(Table1[[#This Row],[Gestation (days)]])),TRUE,FALSE)</f>
        <v>0</v>
      </c>
      <c r="E1264" s="2" t="str">
        <f>IF(Table1[[#This Row],[Is Data Valid]]=TRUE,IF(Table1[[#This Row],[Fetal Sex (Male, Female or Unknown)]]="Male",Backend!$C$6,IF(Table1[[#This Row],[Fetal Sex (Male, Female or Unknown)]]="Female",Backend!$C$7,IF(Table1[[#This Row],[Fetal Sex (Male, Female or Unknown)]]="Unknown",Backend!$C$8,"Error"))),"")</f>
        <v/>
      </c>
      <c r="F1264" s="8" t="str">
        <f>IF(Table1[[#This Row],[Is Data Valid]]=TRUE,EXP(0.578+0.332*((Table1[[#This Row],[Gestation (days)]]+0.5)/7)-0.00354*((Table1[[#This Row],[Gestation (days)]]+0.5)/7)^2)*Table1[[#This Row],[BW40_3705]],"")</f>
        <v/>
      </c>
      <c r="G1264" s="2" t="str">
        <f>IF(Table1[[#This Row],[Is Data Valid]]=TRUE,((Table1[[#This Row],[Birthweight (grams)]]/Table1[[#This Row],[BW_GA]])-1)/(Backend!$B$4/100*Table1[[#This Row],[BW40_3705]]),"")</f>
        <v/>
      </c>
      <c r="H1264" s="7" t="str">
        <f>IF(Table1[[#This Row],[Is Data Valid]]=TRUE,((Table1[[#This Row],[Birthweight (grams)]]*0.9/Table1[[#This Row],[BW_GA]])-1)/(Backend!$B$4/100*Table1[[#This Row],[BW40_3705]]),"")</f>
        <v/>
      </c>
      <c r="I1264" s="7" t="str">
        <f>IF(Table1[[#This Row],[Is Data Valid]]=TRUE,((Table1[[#This Row],[Birthweight (grams)]]*1.1/Table1[[#This Row],[BW_GA]])-1)/(Backend!$B$4/100*Table1[[#This Row],[BW40_3705]]),"")</f>
        <v/>
      </c>
      <c r="J1264" s="7" t="str">
        <f>IF(Table1[[#This Row],[Is Data Valid]]=TRUE,_xlfn.NORM.S.DIST(Table1[[#This Row],[Birthweight Z-Score]],TRUE)*100,"")</f>
        <v/>
      </c>
      <c r="K1264" s="7" t="str">
        <f>IF(Table1[[#This Row],[Is Data Valid]]=TRUE,_xlfn.NORM.S.DIST(Table1[[#This Row],[Birthweight Z-Score (BW-10%)]],TRUE)*100,"")</f>
        <v/>
      </c>
      <c r="L1264" s="7" t="str">
        <f>IF(Table1[[#This Row],[Is Data Valid]]=TRUE,_xlfn.NORM.S.DIST(Table1[[#This Row],[Birthweight Z-Score (BW+10%)]],TRUE)*100,"")</f>
        <v/>
      </c>
    </row>
    <row r="1265" spans="1:12" x14ac:dyDescent="0.35">
      <c r="A1265" s="3"/>
      <c r="B1265" s="2"/>
      <c r="C1265" s="2"/>
      <c r="D1265" s="2" t="b">
        <f>IF(AND(NOT(ISBLANK(Table1[[#This Row],[Fetal Sex (Male, Female or Unknown)]])),ISNUMBER(Table1[[#This Row],[Birthweight (grams)]]),ISNUMBER(Table1[[#This Row],[Gestation (days)]])),TRUE,FALSE)</f>
        <v>0</v>
      </c>
      <c r="E1265" s="2" t="str">
        <f>IF(Table1[[#This Row],[Is Data Valid]]=TRUE,IF(Table1[[#This Row],[Fetal Sex (Male, Female or Unknown)]]="Male",Backend!$C$6,IF(Table1[[#This Row],[Fetal Sex (Male, Female or Unknown)]]="Female",Backend!$C$7,IF(Table1[[#This Row],[Fetal Sex (Male, Female or Unknown)]]="Unknown",Backend!$C$8,"Error"))),"")</f>
        <v/>
      </c>
      <c r="F1265" s="8" t="str">
        <f>IF(Table1[[#This Row],[Is Data Valid]]=TRUE,EXP(0.578+0.332*((Table1[[#This Row],[Gestation (days)]]+0.5)/7)-0.00354*((Table1[[#This Row],[Gestation (days)]]+0.5)/7)^2)*Table1[[#This Row],[BW40_3705]],"")</f>
        <v/>
      </c>
      <c r="G1265" s="2" t="str">
        <f>IF(Table1[[#This Row],[Is Data Valid]]=TRUE,((Table1[[#This Row],[Birthweight (grams)]]/Table1[[#This Row],[BW_GA]])-1)/(Backend!$B$4/100*Table1[[#This Row],[BW40_3705]]),"")</f>
        <v/>
      </c>
      <c r="H1265" s="7" t="str">
        <f>IF(Table1[[#This Row],[Is Data Valid]]=TRUE,((Table1[[#This Row],[Birthweight (grams)]]*0.9/Table1[[#This Row],[BW_GA]])-1)/(Backend!$B$4/100*Table1[[#This Row],[BW40_3705]]),"")</f>
        <v/>
      </c>
      <c r="I1265" s="7" t="str">
        <f>IF(Table1[[#This Row],[Is Data Valid]]=TRUE,((Table1[[#This Row],[Birthweight (grams)]]*1.1/Table1[[#This Row],[BW_GA]])-1)/(Backend!$B$4/100*Table1[[#This Row],[BW40_3705]]),"")</f>
        <v/>
      </c>
      <c r="J1265" s="7" t="str">
        <f>IF(Table1[[#This Row],[Is Data Valid]]=TRUE,_xlfn.NORM.S.DIST(Table1[[#This Row],[Birthweight Z-Score]],TRUE)*100,"")</f>
        <v/>
      </c>
      <c r="K1265" s="7" t="str">
        <f>IF(Table1[[#This Row],[Is Data Valid]]=TRUE,_xlfn.NORM.S.DIST(Table1[[#This Row],[Birthweight Z-Score (BW-10%)]],TRUE)*100,"")</f>
        <v/>
      </c>
      <c r="L1265" s="7" t="str">
        <f>IF(Table1[[#This Row],[Is Data Valid]]=TRUE,_xlfn.NORM.S.DIST(Table1[[#This Row],[Birthweight Z-Score (BW+10%)]],TRUE)*100,"")</f>
        <v/>
      </c>
    </row>
    <row r="1266" spans="1:12" x14ac:dyDescent="0.35">
      <c r="A1266" s="3"/>
      <c r="B1266" s="2"/>
      <c r="C1266" s="2"/>
      <c r="D1266" s="2" t="b">
        <f>IF(AND(NOT(ISBLANK(Table1[[#This Row],[Fetal Sex (Male, Female or Unknown)]])),ISNUMBER(Table1[[#This Row],[Birthweight (grams)]]),ISNUMBER(Table1[[#This Row],[Gestation (days)]])),TRUE,FALSE)</f>
        <v>0</v>
      </c>
      <c r="E1266" s="2" t="str">
        <f>IF(Table1[[#This Row],[Is Data Valid]]=TRUE,IF(Table1[[#This Row],[Fetal Sex (Male, Female or Unknown)]]="Male",Backend!$C$6,IF(Table1[[#This Row],[Fetal Sex (Male, Female or Unknown)]]="Female",Backend!$C$7,IF(Table1[[#This Row],[Fetal Sex (Male, Female or Unknown)]]="Unknown",Backend!$C$8,"Error"))),"")</f>
        <v/>
      </c>
      <c r="F1266" s="8" t="str">
        <f>IF(Table1[[#This Row],[Is Data Valid]]=TRUE,EXP(0.578+0.332*((Table1[[#This Row],[Gestation (days)]]+0.5)/7)-0.00354*((Table1[[#This Row],[Gestation (days)]]+0.5)/7)^2)*Table1[[#This Row],[BW40_3705]],"")</f>
        <v/>
      </c>
      <c r="G1266" s="2" t="str">
        <f>IF(Table1[[#This Row],[Is Data Valid]]=TRUE,((Table1[[#This Row],[Birthweight (grams)]]/Table1[[#This Row],[BW_GA]])-1)/(Backend!$B$4/100*Table1[[#This Row],[BW40_3705]]),"")</f>
        <v/>
      </c>
      <c r="H1266" s="7" t="str">
        <f>IF(Table1[[#This Row],[Is Data Valid]]=TRUE,((Table1[[#This Row],[Birthweight (grams)]]*0.9/Table1[[#This Row],[BW_GA]])-1)/(Backend!$B$4/100*Table1[[#This Row],[BW40_3705]]),"")</f>
        <v/>
      </c>
      <c r="I1266" s="7" t="str">
        <f>IF(Table1[[#This Row],[Is Data Valid]]=TRUE,((Table1[[#This Row],[Birthweight (grams)]]*1.1/Table1[[#This Row],[BW_GA]])-1)/(Backend!$B$4/100*Table1[[#This Row],[BW40_3705]]),"")</f>
        <v/>
      </c>
      <c r="J1266" s="7" t="str">
        <f>IF(Table1[[#This Row],[Is Data Valid]]=TRUE,_xlfn.NORM.S.DIST(Table1[[#This Row],[Birthweight Z-Score]],TRUE)*100,"")</f>
        <v/>
      </c>
      <c r="K1266" s="7" t="str">
        <f>IF(Table1[[#This Row],[Is Data Valid]]=TRUE,_xlfn.NORM.S.DIST(Table1[[#This Row],[Birthweight Z-Score (BW-10%)]],TRUE)*100,"")</f>
        <v/>
      </c>
      <c r="L1266" s="7" t="str">
        <f>IF(Table1[[#This Row],[Is Data Valid]]=TRUE,_xlfn.NORM.S.DIST(Table1[[#This Row],[Birthweight Z-Score (BW+10%)]],TRUE)*100,"")</f>
        <v/>
      </c>
    </row>
    <row r="1267" spans="1:12" x14ac:dyDescent="0.35">
      <c r="A1267" s="3"/>
      <c r="B1267" s="2"/>
      <c r="C1267" s="2"/>
      <c r="D1267" s="2" t="b">
        <f>IF(AND(NOT(ISBLANK(Table1[[#This Row],[Fetal Sex (Male, Female or Unknown)]])),ISNUMBER(Table1[[#This Row],[Birthweight (grams)]]),ISNUMBER(Table1[[#This Row],[Gestation (days)]])),TRUE,FALSE)</f>
        <v>0</v>
      </c>
      <c r="E1267" s="2" t="str">
        <f>IF(Table1[[#This Row],[Is Data Valid]]=TRUE,IF(Table1[[#This Row],[Fetal Sex (Male, Female or Unknown)]]="Male",Backend!$C$6,IF(Table1[[#This Row],[Fetal Sex (Male, Female or Unknown)]]="Female",Backend!$C$7,IF(Table1[[#This Row],[Fetal Sex (Male, Female or Unknown)]]="Unknown",Backend!$C$8,"Error"))),"")</f>
        <v/>
      </c>
      <c r="F1267" s="8" t="str">
        <f>IF(Table1[[#This Row],[Is Data Valid]]=TRUE,EXP(0.578+0.332*((Table1[[#This Row],[Gestation (days)]]+0.5)/7)-0.00354*((Table1[[#This Row],[Gestation (days)]]+0.5)/7)^2)*Table1[[#This Row],[BW40_3705]],"")</f>
        <v/>
      </c>
      <c r="G1267" s="2" t="str">
        <f>IF(Table1[[#This Row],[Is Data Valid]]=TRUE,((Table1[[#This Row],[Birthweight (grams)]]/Table1[[#This Row],[BW_GA]])-1)/(Backend!$B$4/100*Table1[[#This Row],[BW40_3705]]),"")</f>
        <v/>
      </c>
      <c r="H1267" s="7" t="str">
        <f>IF(Table1[[#This Row],[Is Data Valid]]=TRUE,((Table1[[#This Row],[Birthweight (grams)]]*0.9/Table1[[#This Row],[BW_GA]])-1)/(Backend!$B$4/100*Table1[[#This Row],[BW40_3705]]),"")</f>
        <v/>
      </c>
      <c r="I1267" s="7" t="str">
        <f>IF(Table1[[#This Row],[Is Data Valid]]=TRUE,((Table1[[#This Row],[Birthweight (grams)]]*1.1/Table1[[#This Row],[BW_GA]])-1)/(Backend!$B$4/100*Table1[[#This Row],[BW40_3705]]),"")</f>
        <v/>
      </c>
      <c r="J1267" s="7" t="str">
        <f>IF(Table1[[#This Row],[Is Data Valid]]=TRUE,_xlfn.NORM.S.DIST(Table1[[#This Row],[Birthweight Z-Score]],TRUE)*100,"")</f>
        <v/>
      </c>
      <c r="K1267" s="7" t="str">
        <f>IF(Table1[[#This Row],[Is Data Valid]]=TRUE,_xlfn.NORM.S.DIST(Table1[[#This Row],[Birthweight Z-Score (BW-10%)]],TRUE)*100,"")</f>
        <v/>
      </c>
      <c r="L1267" s="7" t="str">
        <f>IF(Table1[[#This Row],[Is Data Valid]]=TRUE,_xlfn.NORM.S.DIST(Table1[[#This Row],[Birthweight Z-Score (BW+10%)]],TRUE)*100,"")</f>
        <v/>
      </c>
    </row>
    <row r="1268" spans="1:12" x14ac:dyDescent="0.35">
      <c r="A1268" s="3"/>
      <c r="B1268" s="2"/>
      <c r="C1268" s="2"/>
      <c r="D1268" s="2" t="b">
        <f>IF(AND(NOT(ISBLANK(Table1[[#This Row],[Fetal Sex (Male, Female or Unknown)]])),ISNUMBER(Table1[[#This Row],[Birthweight (grams)]]),ISNUMBER(Table1[[#This Row],[Gestation (days)]])),TRUE,FALSE)</f>
        <v>0</v>
      </c>
      <c r="E1268" s="2" t="str">
        <f>IF(Table1[[#This Row],[Is Data Valid]]=TRUE,IF(Table1[[#This Row],[Fetal Sex (Male, Female or Unknown)]]="Male",Backend!$C$6,IF(Table1[[#This Row],[Fetal Sex (Male, Female or Unknown)]]="Female",Backend!$C$7,IF(Table1[[#This Row],[Fetal Sex (Male, Female or Unknown)]]="Unknown",Backend!$C$8,"Error"))),"")</f>
        <v/>
      </c>
      <c r="F1268" s="8" t="str">
        <f>IF(Table1[[#This Row],[Is Data Valid]]=TRUE,EXP(0.578+0.332*((Table1[[#This Row],[Gestation (days)]]+0.5)/7)-0.00354*((Table1[[#This Row],[Gestation (days)]]+0.5)/7)^2)*Table1[[#This Row],[BW40_3705]],"")</f>
        <v/>
      </c>
      <c r="G1268" s="2" t="str">
        <f>IF(Table1[[#This Row],[Is Data Valid]]=TRUE,((Table1[[#This Row],[Birthweight (grams)]]/Table1[[#This Row],[BW_GA]])-1)/(Backend!$B$4/100*Table1[[#This Row],[BW40_3705]]),"")</f>
        <v/>
      </c>
      <c r="H1268" s="7" t="str">
        <f>IF(Table1[[#This Row],[Is Data Valid]]=TRUE,((Table1[[#This Row],[Birthweight (grams)]]*0.9/Table1[[#This Row],[BW_GA]])-1)/(Backend!$B$4/100*Table1[[#This Row],[BW40_3705]]),"")</f>
        <v/>
      </c>
      <c r="I1268" s="7" t="str">
        <f>IF(Table1[[#This Row],[Is Data Valid]]=TRUE,((Table1[[#This Row],[Birthweight (grams)]]*1.1/Table1[[#This Row],[BW_GA]])-1)/(Backend!$B$4/100*Table1[[#This Row],[BW40_3705]]),"")</f>
        <v/>
      </c>
      <c r="J1268" s="7" t="str">
        <f>IF(Table1[[#This Row],[Is Data Valid]]=TRUE,_xlfn.NORM.S.DIST(Table1[[#This Row],[Birthweight Z-Score]],TRUE)*100,"")</f>
        <v/>
      </c>
      <c r="K1268" s="7" t="str">
        <f>IF(Table1[[#This Row],[Is Data Valid]]=TRUE,_xlfn.NORM.S.DIST(Table1[[#This Row],[Birthweight Z-Score (BW-10%)]],TRUE)*100,"")</f>
        <v/>
      </c>
      <c r="L1268" s="7" t="str">
        <f>IF(Table1[[#This Row],[Is Data Valid]]=TRUE,_xlfn.NORM.S.DIST(Table1[[#This Row],[Birthweight Z-Score (BW+10%)]],TRUE)*100,"")</f>
        <v/>
      </c>
    </row>
    <row r="1269" spans="1:12" x14ac:dyDescent="0.35">
      <c r="A1269" s="3"/>
      <c r="B1269" s="2"/>
      <c r="C1269" s="2"/>
      <c r="D1269" s="2" t="b">
        <f>IF(AND(NOT(ISBLANK(Table1[[#This Row],[Fetal Sex (Male, Female or Unknown)]])),ISNUMBER(Table1[[#This Row],[Birthweight (grams)]]),ISNUMBER(Table1[[#This Row],[Gestation (days)]])),TRUE,FALSE)</f>
        <v>0</v>
      </c>
      <c r="E1269" s="2" t="str">
        <f>IF(Table1[[#This Row],[Is Data Valid]]=TRUE,IF(Table1[[#This Row],[Fetal Sex (Male, Female or Unknown)]]="Male",Backend!$C$6,IF(Table1[[#This Row],[Fetal Sex (Male, Female or Unknown)]]="Female",Backend!$C$7,IF(Table1[[#This Row],[Fetal Sex (Male, Female or Unknown)]]="Unknown",Backend!$C$8,"Error"))),"")</f>
        <v/>
      </c>
      <c r="F1269" s="8" t="str">
        <f>IF(Table1[[#This Row],[Is Data Valid]]=TRUE,EXP(0.578+0.332*((Table1[[#This Row],[Gestation (days)]]+0.5)/7)-0.00354*((Table1[[#This Row],[Gestation (days)]]+0.5)/7)^2)*Table1[[#This Row],[BW40_3705]],"")</f>
        <v/>
      </c>
      <c r="G1269" s="2" t="str">
        <f>IF(Table1[[#This Row],[Is Data Valid]]=TRUE,((Table1[[#This Row],[Birthweight (grams)]]/Table1[[#This Row],[BW_GA]])-1)/(Backend!$B$4/100*Table1[[#This Row],[BW40_3705]]),"")</f>
        <v/>
      </c>
      <c r="H1269" s="7" t="str">
        <f>IF(Table1[[#This Row],[Is Data Valid]]=TRUE,((Table1[[#This Row],[Birthweight (grams)]]*0.9/Table1[[#This Row],[BW_GA]])-1)/(Backend!$B$4/100*Table1[[#This Row],[BW40_3705]]),"")</f>
        <v/>
      </c>
      <c r="I1269" s="7" t="str">
        <f>IF(Table1[[#This Row],[Is Data Valid]]=TRUE,((Table1[[#This Row],[Birthweight (grams)]]*1.1/Table1[[#This Row],[BW_GA]])-1)/(Backend!$B$4/100*Table1[[#This Row],[BW40_3705]]),"")</f>
        <v/>
      </c>
      <c r="J1269" s="7" t="str">
        <f>IF(Table1[[#This Row],[Is Data Valid]]=TRUE,_xlfn.NORM.S.DIST(Table1[[#This Row],[Birthweight Z-Score]],TRUE)*100,"")</f>
        <v/>
      </c>
      <c r="K1269" s="7" t="str">
        <f>IF(Table1[[#This Row],[Is Data Valid]]=TRUE,_xlfn.NORM.S.DIST(Table1[[#This Row],[Birthweight Z-Score (BW-10%)]],TRUE)*100,"")</f>
        <v/>
      </c>
      <c r="L1269" s="7" t="str">
        <f>IF(Table1[[#This Row],[Is Data Valid]]=TRUE,_xlfn.NORM.S.DIST(Table1[[#This Row],[Birthweight Z-Score (BW+10%)]],TRUE)*100,"")</f>
        <v/>
      </c>
    </row>
    <row r="1270" spans="1:12" x14ac:dyDescent="0.35">
      <c r="A1270" s="3"/>
      <c r="B1270" s="2"/>
      <c r="C1270" s="2"/>
      <c r="D1270" s="2" t="b">
        <f>IF(AND(NOT(ISBLANK(Table1[[#This Row],[Fetal Sex (Male, Female or Unknown)]])),ISNUMBER(Table1[[#This Row],[Birthweight (grams)]]),ISNUMBER(Table1[[#This Row],[Gestation (days)]])),TRUE,FALSE)</f>
        <v>0</v>
      </c>
      <c r="E1270" s="2" t="str">
        <f>IF(Table1[[#This Row],[Is Data Valid]]=TRUE,IF(Table1[[#This Row],[Fetal Sex (Male, Female or Unknown)]]="Male",Backend!$C$6,IF(Table1[[#This Row],[Fetal Sex (Male, Female or Unknown)]]="Female",Backend!$C$7,IF(Table1[[#This Row],[Fetal Sex (Male, Female or Unknown)]]="Unknown",Backend!$C$8,"Error"))),"")</f>
        <v/>
      </c>
      <c r="F1270" s="8" t="str">
        <f>IF(Table1[[#This Row],[Is Data Valid]]=TRUE,EXP(0.578+0.332*((Table1[[#This Row],[Gestation (days)]]+0.5)/7)-0.00354*((Table1[[#This Row],[Gestation (days)]]+0.5)/7)^2)*Table1[[#This Row],[BW40_3705]],"")</f>
        <v/>
      </c>
      <c r="G1270" s="2" t="str">
        <f>IF(Table1[[#This Row],[Is Data Valid]]=TRUE,((Table1[[#This Row],[Birthweight (grams)]]/Table1[[#This Row],[BW_GA]])-1)/(Backend!$B$4/100*Table1[[#This Row],[BW40_3705]]),"")</f>
        <v/>
      </c>
      <c r="H1270" s="7" t="str">
        <f>IF(Table1[[#This Row],[Is Data Valid]]=TRUE,((Table1[[#This Row],[Birthweight (grams)]]*0.9/Table1[[#This Row],[BW_GA]])-1)/(Backend!$B$4/100*Table1[[#This Row],[BW40_3705]]),"")</f>
        <v/>
      </c>
      <c r="I1270" s="7" t="str">
        <f>IF(Table1[[#This Row],[Is Data Valid]]=TRUE,((Table1[[#This Row],[Birthweight (grams)]]*1.1/Table1[[#This Row],[BW_GA]])-1)/(Backend!$B$4/100*Table1[[#This Row],[BW40_3705]]),"")</f>
        <v/>
      </c>
      <c r="J1270" s="7" t="str">
        <f>IF(Table1[[#This Row],[Is Data Valid]]=TRUE,_xlfn.NORM.S.DIST(Table1[[#This Row],[Birthweight Z-Score]],TRUE)*100,"")</f>
        <v/>
      </c>
      <c r="K1270" s="7" t="str">
        <f>IF(Table1[[#This Row],[Is Data Valid]]=TRUE,_xlfn.NORM.S.DIST(Table1[[#This Row],[Birthweight Z-Score (BW-10%)]],TRUE)*100,"")</f>
        <v/>
      </c>
      <c r="L1270" s="7" t="str">
        <f>IF(Table1[[#This Row],[Is Data Valid]]=TRUE,_xlfn.NORM.S.DIST(Table1[[#This Row],[Birthweight Z-Score (BW+10%)]],TRUE)*100,"")</f>
        <v/>
      </c>
    </row>
    <row r="1271" spans="1:12" x14ac:dyDescent="0.35">
      <c r="A1271" s="3"/>
      <c r="B1271" s="2"/>
      <c r="C1271" s="2"/>
      <c r="D1271" s="2" t="b">
        <f>IF(AND(NOT(ISBLANK(Table1[[#This Row],[Fetal Sex (Male, Female or Unknown)]])),ISNUMBER(Table1[[#This Row],[Birthweight (grams)]]),ISNUMBER(Table1[[#This Row],[Gestation (days)]])),TRUE,FALSE)</f>
        <v>0</v>
      </c>
      <c r="E1271" s="2" t="str">
        <f>IF(Table1[[#This Row],[Is Data Valid]]=TRUE,IF(Table1[[#This Row],[Fetal Sex (Male, Female or Unknown)]]="Male",Backend!$C$6,IF(Table1[[#This Row],[Fetal Sex (Male, Female or Unknown)]]="Female",Backend!$C$7,IF(Table1[[#This Row],[Fetal Sex (Male, Female or Unknown)]]="Unknown",Backend!$C$8,"Error"))),"")</f>
        <v/>
      </c>
      <c r="F1271" s="8" t="str">
        <f>IF(Table1[[#This Row],[Is Data Valid]]=TRUE,EXP(0.578+0.332*((Table1[[#This Row],[Gestation (days)]]+0.5)/7)-0.00354*((Table1[[#This Row],[Gestation (days)]]+0.5)/7)^2)*Table1[[#This Row],[BW40_3705]],"")</f>
        <v/>
      </c>
      <c r="G1271" s="2" t="str">
        <f>IF(Table1[[#This Row],[Is Data Valid]]=TRUE,((Table1[[#This Row],[Birthweight (grams)]]/Table1[[#This Row],[BW_GA]])-1)/(Backend!$B$4/100*Table1[[#This Row],[BW40_3705]]),"")</f>
        <v/>
      </c>
      <c r="H1271" s="7" t="str">
        <f>IF(Table1[[#This Row],[Is Data Valid]]=TRUE,((Table1[[#This Row],[Birthweight (grams)]]*0.9/Table1[[#This Row],[BW_GA]])-1)/(Backend!$B$4/100*Table1[[#This Row],[BW40_3705]]),"")</f>
        <v/>
      </c>
      <c r="I1271" s="7" t="str">
        <f>IF(Table1[[#This Row],[Is Data Valid]]=TRUE,((Table1[[#This Row],[Birthweight (grams)]]*1.1/Table1[[#This Row],[BW_GA]])-1)/(Backend!$B$4/100*Table1[[#This Row],[BW40_3705]]),"")</f>
        <v/>
      </c>
      <c r="J1271" s="7" t="str">
        <f>IF(Table1[[#This Row],[Is Data Valid]]=TRUE,_xlfn.NORM.S.DIST(Table1[[#This Row],[Birthweight Z-Score]],TRUE)*100,"")</f>
        <v/>
      </c>
      <c r="K1271" s="7" t="str">
        <f>IF(Table1[[#This Row],[Is Data Valid]]=TRUE,_xlfn.NORM.S.DIST(Table1[[#This Row],[Birthweight Z-Score (BW-10%)]],TRUE)*100,"")</f>
        <v/>
      </c>
      <c r="L1271" s="7" t="str">
        <f>IF(Table1[[#This Row],[Is Data Valid]]=TRUE,_xlfn.NORM.S.DIST(Table1[[#This Row],[Birthweight Z-Score (BW+10%)]],TRUE)*100,"")</f>
        <v/>
      </c>
    </row>
    <row r="1272" spans="1:12" x14ac:dyDescent="0.35">
      <c r="A1272" s="3"/>
      <c r="B1272" s="2"/>
      <c r="C1272" s="2"/>
      <c r="D1272" s="2" t="b">
        <f>IF(AND(NOT(ISBLANK(Table1[[#This Row],[Fetal Sex (Male, Female or Unknown)]])),ISNUMBER(Table1[[#This Row],[Birthweight (grams)]]),ISNUMBER(Table1[[#This Row],[Gestation (days)]])),TRUE,FALSE)</f>
        <v>0</v>
      </c>
      <c r="E1272" s="2" t="str">
        <f>IF(Table1[[#This Row],[Is Data Valid]]=TRUE,IF(Table1[[#This Row],[Fetal Sex (Male, Female or Unknown)]]="Male",Backend!$C$6,IF(Table1[[#This Row],[Fetal Sex (Male, Female or Unknown)]]="Female",Backend!$C$7,IF(Table1[[#This Row],[Fetal Sex (Male, Female or Unknown)]]="Unknown",Backend!$C$8,"Error"))),"")</f>
        <v/>
      </c>
      <c r="F1272" s="8" t="str">
        <f>IF(Table1[[#This Row],[Is Data Valid]]=TRUE,EXP(0.578+0.332*((Table1[[#This Row],[Gestation (days)]]+0.5)/7)-0.00354*((Table1[[#This Row],[Gestation (days)]]+0.5)/7)^2)*Table1[[#This Row],[BW40_3705]],"")</f>
        <v/>
      </c>
      <c r="G1272" s="2" t="str">
        <f>IF(Table1[[#This Row],[Is Data Valid]]=TRUE,((Table1[[#This Row],[Birthweight (grams)]]/Table1[[#This Row],[BW_GA]])-1)/(Backend!$B$4/100*Table1[[#This Row],[BW40_3705]]),"")</f>
        <v/>
      </c>
      <c r="H1272" s="7" t="str">
        <f>IF(Table1[[#This Row],[Is Data Valid]]=TRUE,((Table1[[#This Row],[Birthweight (grams)]]*0.9/Table1[[#This Row],[BW_GA]])-1)/(Backend!$B$4/100*Table1[[#This Row],[BW40_3705]]),"")</f>
        <v/>
      </c>
      <c r="I1272" s="7" t="str">
        <f>IF(Table1[[#This Row],[Is Data Valid]]=TRUE,((Table1[[#This Row],[Birthweight (grams)]]*1.1/Table1[[#This Row],[BW_GA]])-1)/(Backend!$B$4/100*Table1[[#This Row],[BW40_3705]]),"")</f>
        <v/>
      </c>
      <c r="J1272" s="7" t="str">
        <f>IF(Table1[[#This Row],[Is Data Valid]]=TRUE,_xlfn.NORM.S.DIST(Table1[[#This Row],[Birthweight Z-Score]],TRUE)*100,"")</f>
        <v/>
      </c>
      <c r="K1272" s="7" t="str">
        <f>IF(Table1[[#This Row],[Is Data Valid]]=TRUE,_xlfn.NORM.S.DIST(Table1[[#This Row],[Birthweight Z-Score (BW-10%)]],TRUE)*100,"")</f>
        <v/>
      </c>
      <c r="L1272" s="7" t="str">
        <f>IF(Table1[[#This Row],[Is Data Valid]]=TRUE,_xlfn.NORM.S.DIST(Table1[[#This Row],[Birthweight Z-Score (BW+10%)]],TRUE)*100,"")</f>
        <v/>
      </c>
    </row>
    <row r="1273" spans="1:12" x14ac:dyDescent="0.35">
      <c r="A1273" s="3"/>
      <c r="B1273" s="2"/>
      <c r="C1273" s="2"/>
      <c r="D1273" s="2" t="b">
        <f>IF(AND(NOT(ISBLANK(Table1[[#This Row],[Fetal Sex (Male, Female or Unknown)]])),ISNUMBER(Table1[[#This Row],[Birthweight (grams)]]),ISNUMBER(Table1[[#This Row],[Gestation (days)]])),TRUE,FALSE)</f>
        <v>0</v>
      </c>
      <c r="E1273" s="2" t="str">
        <f>IF(Table1[[#This Row],[Is Data Valid]]=TRUE,IF(Table1[[#This Row],[Fetal Sex (Male, Female or Unknown)]]="Male",Backend!$C$6,IF(Table1[[#This Row],[Fetal Sex (Male, Female or Unknown)]]="Female",Backend!$C$7,IF(Table1[[#This Row],[Fetal Sex (Male, Female or Unknown)]]="Unknown",Backend!$C$8,"Error"))),"")</f>
        <v/>
      </c>
      <c r="F1273" s="8" t="str">
        <f>IF(Table1[[#This Row],[Is Data Valid]]=TRUE,EXP(0.578+0.332*((Table1[[#This Row],[Gestation (days)]]+0.5)/7)-0.00354*((Table1[[#This Row],[Gestation (days)]]+0.5)/7)^2)*Table1[[#This Row],[BW40_3705]],"")</f>
        <v/>
      </c>
      <c r="G1273" s="2" t="str">
        <f>IF(Table1[[#This Row],[Is Data Valid]]=TRUE,((Table1[[#This Row],[Birthweight (grams)]]/Table1[[#This Row],[BW_GA]])-1)/(Backend!$B$4/100*Table1[[#This Row],[BW40_3705]]),"")</f>
        <v/>
      </c>
      <c r="H1273" s="7" t="str">
        <f>IF(Table1[[#This Row],[Is Data Valid]]=TRUE,((Table1[[#This Row],[Birthweight (grams)]]*0.9/Table1[[#This Row],[BW_GA]])-1)/(Backend!$B$4/100*Table1[[#This Row],[BW40_3705]]),"")</f>
        <v/>
      </c>
      <c r="I1273" s="7" t="str">
        <f>IF(Table1[[#This Row],[Is Data Valid]]=TRUE,((Table1[[#This Row],[Birthweight (grams)]]*1.1/Table1[[#This Row],[BW_GA]])-1)/(Backend!$B$4/100*Table1[[#This Row],[BW40_3705]]),"")</f>
        <v/>
      </c>
      <c r="J1273" s="7" t="str">
        <f>IF(Table1[[#This Row],[Is Data Valid]]=TRUE,_xlfn.NORM.S.DIST(Table1[[#This Row],[Birthweight Z-Score]],TRUE)*100,"")</f>
        <v/>
      </c>
      <c r="K1273" s="7" t="str">
        <f>IF(Table1[[#This Row],[Is Data Valid]]=TRUE,_xlfn.NORM.S.DIST(Table1[[#This Row],[Birthweight Z-Score (BW-10%)]],TRUE)*100,"")</f>
        <v/>
      </c>
      <c r="L1273" s="7" t="str">
        <f>IF(Table1[[#This Row],[Is Data Valid]]=TRUE,_xlfn.NORM.S.DIST(Table1[[#This Row],[Birthweight Z-Score (BW+10%)]],TRUE)*100,"")</f>
        <v/>
      </c>
    </row>
    <row r="1274" spans="1:12" x14ac:dyDescent="0.35">
      <c r="A1274" s="3"/>
      <c r="B1274" s="2"/>
      <c r="C1274" s="2"/>
      <c r="D1274" s="2" t="b">
        <f>IF(AND(NOT(ISBLANK(Table1[[#This Row],[Fetal Sex (Male, Female or Unknown)]])),ISNUMBER(Table1[[#This Row],[Birthweight (grams)]]),ISNUMBER(Table1[[#This Row],[Gestation (days)]])),TRUE,FALSE)</f>
        <v>0</v>
      </c>
      <c r="E1274" s="2" t="str">
        <f>IF(Table1[[#This Row],[Is Data Valid]]=TRUE,IF(Table1[[#This Row],[Fetal Sex (Male, Female or Unknown)]]="Male",Backend!$C$6,IF(Table1[[#This Row],[Fetal Sex (Male, Female or Unknown)]]="Female",Backend!$C$7,IF(Table1[[#This Row],[Fetal Sex (Male, Female or Unknown)]]="Unknown",Backend!$C$8,"Error"))),"")</f>
        <v/>
      </c>
      <c r="F1274" s="8" t="str">
        <f>IF(Table1[[#This Row],[Is Data Valid]]=TRUE,EXP(0.578+0.332*((Table1[[#This Row],[Gestation (days)]]+0.5)/7)-0.00354*((Table1[[#This Row],[Gestation (days)]]+0.5)/7)^2)*Table1[[#This Row],[BW40_3705]],"")</f>
        <v/>
      </c>
      <c r="G1274" s="2" t="str">
        <f>IF(Table1[[#This Row],[Is Data Valid]]=TRUE,((Table1[[#This Row],[Birthweight (grams)]]/Table1[[#This Row],[BW_GA]])-1)/(Backend!$B$4/100*Table1[[#This Row],[BW40_3705]]),"")</f>
        <v/>
      </c>
      <c r="H1274" s="7" t="str">
        <f>IF(Table1[[#This Row],[Is Data Valid]]=TRUE,((Table1[[#This Row],[Birthweight (grams)]]*0.9/Table1[[#This Row],[BW_GA]])-1)/(Backend!$B$4/100*Table1[[#This Row],[BW40_3705]]),"")</f>
        <v/>
      </c>
      <c r="I1274" s="7" t="str">
        <f>IF(Table1[[#This Row],[Is Data Valid]]=TRUE,((Table1[[#This Row],[Birthweight (grams)]]*1.1/Table1[[#This Row],[BW_GA]])-1)/(Backend!$B$4/100*Table1[[#This Row],[BW40_3705]]),"")</f>
        <v/>
      </c>
      <c r="J1274" s="7" t="str">
        <f>IF(Table1[[#This Row],[Is Data Valid]]=TRUE,_xlfn.NORM.S.DIST(Table1[[#This Row],[Birthweight Z-Score]],TRUE)*100,"")</f>
        <v/>
      </c>
      <c r="K1274" s="7" t="str">
        <f>IF(Table1[[#This Row],[Is Data Valid]]=TRUE,_xlfn.NORM.S.DIST(Table1[[#This Row],[Birthweight Z-Score (BW-10%)]],TRUE)*100,"")</f>
        <v/>
      </c>
      <c r="L1274" s="7" t="str">
        <f>IF(Table1[[#This Row],[Is Data Valid]]=TRUE,_xlfn.NORM.S.DIST(Table1[[#This Row],[Birthweight Z-Score (BW+10%)]],TRUE)*100,"")</f>
        <v/>
      </c>
    </row>
    <row r="1275" spans="1:12" x14ac:dyDescent="0.35">
      <c r="A1275" s="3"/>
      <c r="B1275" s="2"/>
      <c r="C1275" s="2"/>
      <c r="D1275" s="2" t="b">
        <f>IF(AND(NOT(ISBLANK(Table1[[#This Row],[Fetal Sex (Male, Female or Unknown)]])),ISNUMBER(Table1[[#This Row],[Birthweight (grams)]]),ISNUMBER(Table1[[#This Row],[Gestation (days)]])),TRUE,FALSE)</f>
        <v>0</v>
      </c>
      <c r="E1275" s="2" t="str">
        <f>IF(Table1[[#This Row],[Is Data Valid]]=TRUE,IF(Table1[[#This Row],[Fetal Sex (Male, Female or Unknown)]]="Male",Backend!$C$6,IF(Table1[[#This Row],[Fetal Sex (Male, Female or Unknown)]]="Female",Backend!$C$7,IF(Table1[[#This Row],[Fetal Sex (Male, Female or Unknown)]]="Unknown",Backend!$C$8,"Error"))),"")</f>
        <v/>
      </c>
      <c r="F1275" s="8" t="str">
        <f>IF(Table1[[#This Row],[Is Data Valid]]=TRUE,EXP(0.578+0.332*((Table1[[#This Row],[Gestation (days)]]+0.5)/7)-0.00354*((Table1[[#This Row],[Gestation (days)]]+0.5)/7)^2)*Table1[[#This Row],[BW40_3705]],"")</f>
        <v/>
      </c>
      <c r="G1275" s="2" t="str">
        <f>IF(Table1[[#This Row],[Is Data Valid]]=TRUE,((Table1[[#This Row],[Birthweight (grams)]]/Table1[[#This Row],[BW_GA]])-1)/(Backend!$B$4/100*Table1[[#This Row],[BW40_3705]]),"")</f>
        <v/>
      </c>
      <c r="H1275" s="7" t="str">
        <f>IF(Table1[[#This Row],[Is Data Valid]]=TRUE,((Table1[[#This Row],[Birthweight (grams)]]*0.9/Table1[[#This Row],[BW_GA]])-1)/(Backend!$B$4/100*Table1[[#This Row],[BW40_3705]]),"")</f>
        <v/>
      </c>
      <c r="I1275" s="7" t="str">
        <f>IF(Table1[[#This Row],[Is Data Valid]]=TRUE,((Table1[[#This Row],[Birthweight (grams)]]*1.1/Table1[[#This Row],[BW_GA]])-1)/(Backend!$B$4/100*Table1[[#This Row],[BW40_3705]]),"")</f>
        <v/>
      </c>
      <c r="J1275" s="7" t="str">
        <f>IF(Table1[[#This Row],[Is Data Valid]]=TRUE,_xlfn.NORM.S.DIST(Table1[[#This Row],[Birthweight Z-Score]],TRUE)*100,"")</f>
        <v/>
      </c>
      <c r="K1275" s="7" t="str">
        <f>IF(Table1[[#This Row],[Is Data Valid]]=TRUE,_xlfn.NORM.S.DIST(Table1[[#This Row],[Birthweight Z-Score (BW-10%)]],TRUE)*100,"")</f>
        <v/>
      </c>
      <c r="L1275" s="7" t="str">
        <f>IF(Table1[[#This Row],[Is Data Valid]]=TRUE,_xlfn.NORM.S.DIST(Table1[[#This Row],[Birthweight Z-Score (BW+10%)]],TRUE)*100,"")</f>
        <v/>
      </c>
    </row>
    <row r="1276" spans="1:12" x14ac:dyDescent="0.35">
      <c r="A1276" s="3"/>
      <c r="B1276" s="2"/>
      <c r="C1276" s="2"/>
      <c r="D1276" s="2" t="b">
        <f>IF(AND(NOT(ISBLANK(Table1[[#This Row],[Fetal Sex (Male, Female or Unknown)]])),ISNUMBER(Table1[[#This Row],[Birthweight (grams)]]),ISNUMBER(Table1[[#This Row],[Gestation (days)]])),TRUE,FALSE)</f>
        <v>0</v>
      </c>
      <c r="E1276" s="2" t="str">
        <f>IF(Table1[[#This Row],[Is Data Valid]]=TRUE,IF(Table1[[#This Row],[Fetal Sex (Male, Female or Unknown)]]="Male",Backend!$C$6,IF(Table1[[#This Row],[Fetal Sex (Male, Female or Unknown)]]="Female",Backend!$C$7,IF(Table1[[#This Row],[Fetal Sex (Male, Female or Unknown)]]="Unknown",Backend!$C$8,"Error"))),"")</f>
        <v/>
      </c>
      <c r="F1276" s="8" t="str">
        <f>IF(Table1[[#This Row],[Is Data Valid]]=TRUE,EXP(0.578+0.332*((Table1[[#This Row],[Gestation (days)]]+0.5)/7)-0.00354*((Table1[[#This Row],[Gestation (days)]]+0.5)/7)^2)*Table1[[#This Row],[BW40_3705]],"")</f>
        <v/>
      </c>
      <c r="G1276" s="2" t="str">
        <f>IF(Table1[[#This Row],[Is Data Valid]]=TRUE,((Table1[[#This Row],[Birthweight (grams)]]/Table1[[#This Row],[BW_GA]])-1)/(Backend!$B$4/100*Table1[[#This Row],[BW40_3705]]),"")</f>
        <v/>
      </c>
      <c r="H1276" s="7" t="str">
        <f>IF(Table1[[#This Row],[Is Data Valid]]=TRUE,((Table1[[#This Row],[Birthweight (grams)]]*0.9/Table1[[#This Row],[BW_GA]])-1)/(Backend!$B$4/100*Table1[[#This Row],[BW40_3705]]),"")</f>
        <v/>
      </c>
      <c r="I1276" s="7" t="str">
        <f>IF(Table1[[#This Row],[Is Data Valid]]=TRUE,((Table1[[#This Row],[Birthweight (grams)]]*1.1/Table1[[#This Row],[BW_GA]])-1)/(Backend!$B$4/100*Table1[[#This Row],[BW40_3705]]),"")</f>
        <v/>
      </c>
      <c r="J1276" s="7" t="str">
        <f>IF(Table1[[#This Row],[Is Data Valid]]=TRUE,_xlfn.NORM.S.DIST(Table1[[#This Row],[Birthweight Z-Score]],TRUE)*100,"")</f>
        <v/>
      </c>
      <c r="K1276" s="7" t="str">
        <f>IF(Table1[[#This Row],[Is Data Valid]]=TRUE,_xlfn.NORM.S.DIST(Table1[[#This Row],[Birthweight Z-Score (BW-10%)]],TRUE)*100,"")</f>
        <v/>
      </c>
      <c r="L1276" s="7" t="str">
        <f>IF(Table1[[#This Row],[Is Data Valid]]=TRUE,_xlfn.NORM.S.DIST(Table1[[#This Row],[Birthweight Z-Score (BW+10%)]],TRUE)*100,"")</f>
        <v/>
      </c>
    </row>
    <row r="1277" spans="1:12" x14ac:dyDescent="0.35">
      <c r="A1277" s="3"/>
      <c r="B1277" s="2"/>
      <c r="C1277" s="2"/>
      <c r="D1277" s="2" t="b">
        <f>IF(AND(NOT(ISBLANK(Table1[[#This Row],[Fetal Sex (Male, Female or Unknown)]])),ISNUMBER(Table1[[#This Row],[Birthweight (grams)]]),ISNUMBER(Table1[[#This Row],[Gestation (days)]])),TRUE,FALSE)</f>
        <v>0</v>
      </c>
      <c r="E1277" s="2" t="str">
        <f>IF(Table1[[#This Row],[Is Data Valid]]=TRUE,IF(Table1[[#This Row],[Fetal Sex (Male, Female or Unknown)]]="Male",Backend!$C$6,IF(Table1[[#This Row],[Fetal Sex (Male, Female or Unknown)]]="Female",Backend!$C$7,IF(Table1[[#This Row],[Fetal Sex (Male, Female or Unknown)]]="Unknown",Backend!$C$8,"Error"))),"")</f>
        <v/>
      </c>
      <c r="F1277" s="8" t="str">
        <f>IF(Table1[[#This Row],[Is Data Valid]]=TRUE,EXP(0.578+0.332*((Table1[[#This Row],[Gestation (days)]]+0.5)/7)-0.00354*((Table1[[#This Row],[Gestation (days)]]+0.5)/7)^2)*Table1[[#This Row],[BW40_3705]],"")</f>
        <v/>
      </c>
      <c r="G1277" s="2" t="str">
        <f>IF(Table1[[#This Row],[Is Data Valid]]=TRUE,((Table1[[#This Row],[Birthweight (grams)]]/Table1[[#This Row],[BW_GA]])-1)/(Backend!$B$4/100*Table1[[#This Row],[BW40_3705]]),"")</f>
        <v/>
      </c>
      <c r="H1277" s="7" t="str">
        <f>IF(Table1[[#This Row],[Is Data Valid]]=TRUE,((Table1[[#This Row],[Birthweight (grams)]]*0.9/Table1[[#This Row],[BW_GA]])-1)/(Backend!$B$4/100*Table1[[#This Row],[BW40_3705]]),"")</f>
        <v/>
      </c>
      <c r="I1277" s="7" t="str">
        <f>IF(Table1[[#This Row],[Is Data Valid]]=TRUE,((Table1[[#This Row],[Birthweight (grams)]]*1.1/Table1[[#This Row],[BW_GA]])-1)/(Backend!$B$4/100*Table1[[#This Row],[BW40_3705]]),"")</f>
        <v/>
      </c>
      <c r="J1277" s="7" t="str">
        <f>IF(Table1[[#This Row],[Is Data Valid]]=TRUE,_xlfn.NORM.S.DIST(Table1[[#This Row],[Birthweight Z-Score]],TRUE)*100,"")</f>
        <v/>
      </c>
      <c r="K1277" s="7" t="str">
        <f>IF(Table1[[#This Row],[Is Data Valid]]=TRUE,_xlfn.NORM.S.DIST(Table1[[#This Row],[Birthweight Z-Score (BW-10%)]],TRUE)*100,"")</f>
        <v/>
      </c>
      <c r="L1277" s="7" t="str">
        <f>IF(Table1[[#This Row],[Is Data Valid]]=TRUE,_xlfn.NORM.S.DIST(Table1[[#This Row],[Birthweight Z-Score (BW+10%)]],TRUE)*100,"")</f>
        <v/>
      </c>
    </row>
    <row r="1278" spans="1:12" x14ac:dyDescent="0.35">
      <c r="A1278" s="3"/>
      <c r="B1278" s="2"/>
      <c r="C1278" s="2"/>
      <c r="D1278" s="2" t="b">
        <f>IF(AND(NOT(ISBLANK(Table1[[#This Row],[Fetal Sex (Male, Female or Unknown)]])),ISNUMBER(Table1[[#This Row],[Birthweight (grams)]]),ISNUMBER(Table1[[#This Row],[Gestation (days)]])),TRUE,FALSE)</f>
        <v>0</v>
      </c>
      <c r="E1278" s="2" t="str">
        <f>IF(Table1[[#This Row],[Is Data Valid]]=TRUE,IF(Table1[[#This Row],[Fetal Sex (Male, Female or Unknown)]]="Male",Backend!$C$6,IF(Table1[[#This Row],[Fetal Sex (Male, Female or Unknown)]]="Female",Backend!$C$7,IF(Table1[[#This Row],[Fetal Sex (Male, Female or Unknown)]]="Unknown",Backend!$C$8,"Error"))),"")</f>
        <v/>
      </c>
      <c r="F1278" s="8" t="str">
        <f>IF(Table1[[#This Row],[Is Data Valid]]=TRUE,EXP(0.578+0.332*((Table1[[#This Row],[Gestation (days)]]+0.5)/7)-0.00354*((Table1[[#This Row],[Gestation (days)]]+0.5)/7)^2)*Table1[[#This Row],[BW40_3705]],"")</f>
        <v/>
      </c>
      <c r="G1278" s="2" t="str">
        <f>IF(Table1[[#This Row],[Is Data Valid]]=TRUE,((Table1[[#This Row],[Birthweight (grams)]]/Table1[[#This Row],[BW_GA]])-1)/(Backend!$B$4/100*Table1[[#This Row],[BW40_3705]]),"")</f>
        <v/>
      </c>
      <c r="H1278" s="7" t="str">
        <f>IF(Table1[[#This Row],[Is Data Valid]]=TRUE,((Table1[[#This Row],[Birthweight (grams)]]*0.9/Table1[[#This Row],[BW_GA]])-1)/(Backend!$B$4/100*Table1[[#This Row],[BW40_3705]]),"")</f>
        <v/>
      </c>
      <c r="I1278" s="7" t="str">
        <f>IF(Table1[[#This Row],[Is Data Valid]]=TRUE,((Table1[[#This Row],[Birthweight (grams)]]*1.1/Table1[[#This Row],[BW_GA]])-1)/(Backend!$B$4/100*Table1[[#This Row],[BW40_3705]]),"")</f>
        <v/>
      </c>
      <c r="J1278" s="7" t="str">
        <f>IF(Table1[[#This Row],[Is Data Valid]]=TRUE,_xlfn.NORM.S.DIST(Table1[[#This Row],[Birthweight Z-Score]],TRUE)*100,"")</f>
        <v/>
      </c>
      <c r="K1278" s="7" t="str">
        <f>IF(Table1[[#This Row],[Is Data Valid]]=TRUE,_xlfn.NORM.S.DIST(Table1[[#This Row],[Birthweight Z-Score (BW-10%)]],TRUE)*100,"")</f>
        <v/>
      </c>
      <c r="L1278" s="7" t="str">
        <f>IF(Table1[[#This Row],[Is Data Valid]]=TRUE,_xlfn.NORM.S.DIST(Table1[[#This Row],[Birthweight Z-Score (BW+10%)]],TRUE)*100,"")</f>
        <v/>
      </c>
    </row>
    <row r="1279" spans="1:12" x14ac:dyDescent="0.35">
      <c r="A1279" s="3"/>
      <c r="B1279" s="2"/>
      <c r="C1279" s="2"/>
      <c r="D1279" s="2" t="b">
        <f>IF(AND(NOT(ISBLANK(Table1[[#This Row],[Fetal Sex (Male, Female or Unknown)]])),ISNUMBER(Table1[[#This Row],[Birthweight (grams)]]),ISNUMBER(Table1[[#This Row],[Gestation (days)]])),TRUE,FALSE)</f>
        <v>0</v>
      </c>
      <c r="E1279" s="2" t="str">
        <f>IF(Table1[[#This Row],[Is Data Valid]]=TRUE,IF(Table1[[#This Row],[Fetal Sex (Male, Female or Unknown)]]="Male",Backend!$C$6,IF(Table1[[#This Row],[Fetal Sex (Male, Female or Unknown)]]="Female",Backend!$C$7,IF(Table1[[#This Row],[Fetal Sex (Male, Female or Unknown)]]="Unknown",Backend!$C$8,"Error"))),"")</f>
        <v/>
      </c>
      <c r="F1279" s="8" t="str">
        <f>IF(Table1[[#This Row],[Is Data Valid]]=TRUE,EXP(0.578+0.332*((Table1[[#This Row],[Gestation (days)]]+0.5)/7)-0.00354*((Table1[[#This Row],[Gestation (days)]]+0.5)/7)^2)*Table1[[#This Row],[BW40_3705]],"")</f>
        <v/>
      </c>
      <c r="G1279" s="2" t="str">
        <f>IF(Table1[[#This Row],[Is Data Valid]]=TRUE,((Table1[[#This Row],[Birthweight (grams)]]/Table1[[#This Row],[BW_GA]])-1)/(Backend!$B$4/100*Table1[[#This Row],[BW40_3705]]),"")</f>
        <v/>
      </c>
      <c r="H1279" s="7" t="str">
        <f>IF(Table1[[#This Row],[Is Data Valid]]=TRUE,((Table1[[#This Row],[Birthweight (grams)]]*0.9/Table1[[#This Row],[BW_GA]])-1)/(Backend!$B$4/100*Table1[[#This Row],[BW40_3705]]),"")</f>
        <v/>
      </c>
      <c r="I1279" s="7" t="str">
        <f>IF(Table1[[#This Row],[Is Data Valid]]=TRUE,((Table1[[#This Row],[Birthweight (grams)]]*1.1/Table1[[#This Row],[BW_GA]])-1)/(Backend!$B$4/100*Table1[[#This Row],[BW40_3705]]),"")</f>
        <v/>
      </c>
      <c r="J1279" s="7" t="str">
        <f>IF(Table1[[#This Row],[Is Data Valid]]=TRUE,_xlfn.NORM.S.DIST(Table1[[#This Row],[Birthweight Z-Score]],TRUE)*100,"")</f>
        <v/>
      </c>
      <c r="K1279" s="7" t="str">
        <f>IF(Table1[[#This Row],[Is Data Valid]]=TRUE,_xlfn.NORM.S.DIST(Table1[[#This Row],[Birthweight Z-Score (BW-10%)]],TRUE)*100,"")</f>
        <v/>
      </c>
      <c r="L1279" s="7" t="str">
        <f>IF(Table1[[#This Row],[Is Data Valid]]=TRUE,_xlfn.NORM.S.DIST(Table1[[#This Row],[Birthweight Z-Score (BW+10%)]],TRUE)*100,"")</f>
        <v/>
      </c>
    </row>
    <row r="1280" spans="1:12" x14ac:dyDescent="0.35">
      <c r="A1280" s="3"/>
      <c r="B1280" s="2"/>
      <c r="C1280" s="2"/>
      <c r="D1280" s="2" t="b">
        <f>IF(AND(NOT(ISBLANK(Table1[[#This Row],[Fetal Sex (Male, Female or Unknown)]])),ISNUMBER(Table1[[#This Row],[Birthweight (grams)]]),ISNUMBER(Table1[[#This Row],[Gestation (days)]])),TRUE,FALSE)</f>
        <v>0</v>
      </c>
      <c r="E1280" s="2" t="str">
        <f>IF(Table1[[#This Row],[Is Data Valid]]=TRUE,IF(Table1[[#This Row],[Fetal Sex (Male, Female or Unknown)]]="Male",Backend!$C$6,IF(Table1[[#This Row],[Fetal Sex (Male, Female or Unknown)]]="Female",Backend!$C$7,IF(Table1[[#This Row],[Fetal Sex (Male, Female or Unknown)]]="Unknown",Backend!$C$8,"Error"))),"")</f>
        <v/>
      </c>
      <c r="F1280" s="8" t="str">
        <f>IF(Table1[[#This Row],[Is Data Valid]]=TRUE,EXP(0.578+0.332*((Table1[[#This Row],[Gestation (days)]]+0.5)/7)-0.00354*((Table1[[#This Row],[Gestation (days)]]+0.5)/7)^2)*Table1[[#This Row],[BW40_3705]],"")</f>
        <v/>
      </c>
      <c r="G1280" s="2" t="str">
        <f>IF(Table1[[#This Row],[Is Data Valid]]=TRUE,((Table1[[#This Row],[Birthweight (grams)]]/Table1[[#This Row],[BW_GA]])-1)/(Backend!$B$4/100*Table1[[#This Row],[BW40_3705]]),"")</f>
        <v/>
      </c>
      <c r="H1280" s="7" t="str">
        <f>IF(Table1[[#This Row],[Is Data Valid]]=TRUE,((Table1[[#This Row],[Birthweight (grams)]]*0.9/Table1[[#This Row],[BW_GA]])-1)/(Backend!$B$4/100*Table1[[#This Row],[BW40_3705]]),"")</f>
        <v/>
      </c>
      <c r="I1280" s="7" t="str">
        <f>IF(Table1[[#This Row],[Is Data Valid]]=TRUE,((Table1[[#This Row],[Birthweight (grams)]]*1.1/Table1[[#This Row],[BW_GA]])-1)/(Backend!$B$4/100*Table1[[#This Row],[BW40_3705]]),"")</f>
        <v/>
      </c>
      <c r="J1280" s="7" t="str">
        <f>IF(Table1[[#This Row],[Is Data Valid]]=TRUE,_xlfn.NORM.S.DIST(Table1[[#This Row],[Birthweight Z-Score]],TRUE)*100,"")</f>
        <v/>
      </c>
      <c r="K1280" s="7" t="str">
        <f>IF(Table1[[#This Row],[Is Data Valid]]=TRUE,_xlfn.NORM.S.DIST(Table1[[#This Row],[Birthweight Z-Score (BW-10%)]],TRUE)*100,"")</f>
        <v/>
      </c>
      <c r="L1280" s="7" t="str">
        <f>IF(Table1[[#This Row],[Is Data Valid]]=TRUE,_xlfn.NORM.S.DIST(Table1[[#This Row],[Birthweight Z-Score (BW+10%)]],TRUE)*100,"")</f>
        <v/>
      </c>
    </row>
    <row r="1281" spans="1:12" x14ac:dyDescent="0.35">
      <c r="A1281" s="3"/>
      <c r="B1281" s="2"/>
      <c r="C1281" s="2"/>
      <c r="D1281" s="2" t="b">
        <f>IF(AND(NOT(ISBLANK(Table1[[#This Row],[Fetal Sex (Male, Female or Unknown)]])),ISNUMBER(Table1[[#This Row],[Birthweight (grams)]]),ISNUMBER(Table1[[#This Row],[Gestation (days)]])),TRUE,FALSE)</f>
        <v>0</v>
      </c>
      <c r="E1281" s="2" t="str">
        <f>IF(Table1[[#This Row],[Is Data Valid]]=TRUE,IF(Table1[[#This Row],[Fetal Sex (Male, Female or Unknown)]]="Male",Backend!$C$6,IF(Table1[[#This Row],[Fetal Sex (Male, Female or Unknown)]]="Female",Backend!$C$7,IF(Table1[[#This Row],[Fetal Sex (Male, Female or Unknown)]]="Unknown",Backend!$C$8,"Error"))),"")</f>
        <v/>
      </c>
      <c r="F1281" s="8" t="str">
        <f>IF(Table1[[#This Row],[Is Data Valid]]=TRUE,EXP(0.578+0.332*((Table1[[#This Row],[Gestation (days)]]+0.5)/7)-0.00354*((Table1[[#This Row],[Gestation (days)]]+0.5)/7)^2)*Table1[[#This Row],[BW40_3705]],"")</f>
        <v/>
      </c>
      <c r="G1281" s="2" t="str">
        <f>IF(Table1[[#This Row],[Is Data Valid]]=TRUE,((Table1[[#This Row],[Birthweight (grams)]]/Table1[[#This Row],[BW_GA]])-1)/(Backend!$B$4/100*Table1[[#This Row],[BW40_3705]]),"")</f>
        <v/>
      </c>
      <c r="H1281" s="7" t="str">
        <f>IF(Table1[[#This Row],[Is Data Valid]]=TRUE,((Table1[[#This Row],[Birthweight (grams)]]*0.9/Table1[[#This Row],[BW_GA]])-1)/(Backend!$B$4/100*Table1[[#This Row],[BW40_3705]]),"")</f>
        <v/>
      </c>
      <c r="I1281" s="7" t="str">
        <f>IF(Table1[[#This Row],[Is Data Valid]]=TRUE,((Table1[[#This Row],[Birthweight (grams)]]*1.1/Table1[[#This Row],[BW_GA]])-1)/(Backend!$B$4/100*Table1[[#This Row],[BW40_3705]]),"")</f>
        <v/>
      </c>
      <c r="J1281" s="7" t="str">
        <f>IF(Table1[[#This Row],[Is Data Valid]]=TRUE,_xlfn.NORM.S.DIST(Table1[[#This Row],[Birthweight Z-Score]],TRUE)*100,"")</f>
        <v/>
      </c>
      <c r="K1281" s="7" t="str">
        <f>IF(Table1[[#This Row],[Is Data Valid]]=TRUE,_xlfn.NORM.S.DIST(Table1[[#This Row],[Birthweight Z-Score (BW-10%)]],TRUE)*100,"")</f>
        <v/>
      </c>
      <c r="L1281" s="7" t="str">
        <f>IF(Table1[[#This Row],[Is Data Valid]]=TRUE,_xlfn.NORM.S.DIST(Table1[[#This Row],[Birthweight Z-Score (BW+10%)]],TRUE)*100,"")</f>
        <v/>
      </c>
    </row>
    <row r="1282" spans="1:12" x14ac:dyDescent="0.35">
      <c r="A1282" s="3"/>
      <c r="B1282" s="2"/>
      <c r="C1282" s="2"/>
      <c r="D1282" s="2" t="b">
        <f>IF(AND(NOT(ISBLANK(Table1[[#This Row],[Fetal Sex (Male, Female or Unknown)]])),ISNUMBER(Table1[[#This Row],[Birthweight (grams)]]),ISNUMBER(Table1[[#This Row],[Gestation (days)]])),TRUE,FALSE)</f>
        <v>0</v>
      </c>
      <c r="E1282" s="2" t="str">
        <f>IF(Table1[[#This Row],[Is Data Valid]]=TRUE,IF(Table1[[#This Row],[Fetal Sex (Male, Female or Unknown)]]="Male",Backend!$C$6,IF(Table1[[#This Row],[Fetal Sex (Male, Female or Unknown)]]="Female",Backend!$C$7,IF(Table1[[#This Row],[Fetal Sex (Male, Female or Unknown)]]="Unknown",Backend!$C$8,"Error"))),"")</f>
        <v/>
      </c>
      <c r="F1282" s="8" t="str">
        <f>IF(Table1[[#This Row],[Is Data Valid]]=TRUE,EXP(0.578+0.332*((Table1[[#This Row],[Gestation (days)]]+0.5)/7)-0.00354*((Table1[[#This Row],[Gestation (days)]]+0.5)/7)^2)*Table1[[#This Row],[BW40_3705]],"")</f>
        <v/>
      </c>
      <c r="G1282" s="2" t="str">
        <f>IF(Table1[[#This Row],[Is Data Valid]]=TRUE,((Table1[[#This Row],[Birthweight (grams)]]/Table1[[#This Row],[BW_GA]])-1)/(Backend!$B$4/100*Table1[[#This Row],[BW40_3705]]),"")</f>
        <v/>
      </c>
      <c r="H1282" s="7" t="str">
        <f>IF(Table1[[#This Row],[Is Data Valid]]=TRUE,((Table1[[#This Row],[Birthweight (grams)]]*0.9/Table1[[#This Row],[BW_GA]])-1)/(Backend!$B$4/100*Table1[[#This Row],[BW40_3705]]),"")</f>
        <v/>
      </c>
      <c r="I1282" s="7" t="str">
        <f>IF(Table1[[#This Row],[Is Data Valid]]=TRUE,((Table1[[#This Row],[Birthweight (grams)]]*1.1/Table1[[#This Row],[BW_GA]])-1)/(Backend!$B$4/100*Table1[[#This Row],[BW40_3705]]),"")</f>
        <v/>
      </c>
      <c r="J1282" s="7" t="str">
        <f>IF(Table1[[#This Row],[Is Data Valid]]=TRUE,_xlfn.NORM.S.DIST(Table1[[#This Row],[Birthweight Z-Score]],TRUE)*100,"")</f>
        <v/>
      </c>
      <c r="K1282" s="7" t="str">
        <f>IF(Table1[[#This Row],[Is Data Valid]]=TRUE,_xlfn.NORM.S.DIST(Table1[[#This Row],[Birthweight Z-Score (BW-10%)]],TRUE)*100,"")</f>
        <v/>
      </c>
      <c r="L1282" s="7" t="str">
        <f>IF(Table1[[#This Row],[Is Data Valid]]=TRUE,_xlfn.NORM.S.DIST(Table1[[#This Row],[Birthweight Z-Score (BW+10%)]],TRUE)*100,"")</f>
        <v/>
      </c>
    </row>
    <row r="1283" spans="1:12" x14ac:dyDescent="0.35">
      <c r="A1283" s="3"/>
      <c r="B1283" s="2"/>
      <c r="C1283" s="2"/>
      <c r="D1283" s="2" t="b">
        <f>IF(AND(NOT(ISBLANK(Table1[[#This Row],[Fetal Sex (Male, Female or Unknown)]])),ISNUMBER(Table1[[#This Row],[Birthweight (grams)]]),ISNUMBER(Table1[[#This Row],[Gestation (days)]])),TRUE,FALSE)</f>
        <v>0</v>
      </c>
      <c r="E1283" s="2" t="str">
        <f>IF(Table1[[#This Row],[Is Data Valid]]=TRUE,IF(Table1[[#This Row],[Fetal Sex (Male, Female or Unknown)]]="Male",Backend!$C$6,IF(Table1[[#This Row],[Fetal Sex (Male, Female or Unknown)]]="Female",Backend!$C$7,IF(Table1[[#This Row],[Fetal Sex (Male, Female or Unknown)]]="Unknown",Backend!$C$8,"Error"))),"")</f>
        <v/>
      </c>
      <c r="F1283" s="8" t="str">
        <f>IF(Table1[[#This Row],[Is Data Valid]]=TRUE,EXP(0.578+0.332*((Table1[[#This Row],[Gestation (days)]]+0.5)/7)-0.00354*((Table1[[#This Row],[Gestation (days)]]+0.5)/7)^2)*Table1[[#This Row],[BW40_3705]],"")</f>
        <v/>
      </c>
      <c r="G1283" s="2" t="str">
        <f>IF(Table1[[#This Row],[Is Data Valid]]=TRUE,((Table1[[#This Row],[Birthweight (grams)]]/Table1[[#This Row],[BW_GA]])-1)/(Backend!$B$4/100*Table1[[#This Row],[BW40_3705]]),"")</f>
        <v/>
      </c>
      <c r="H1283" s="7" t="str">
        <f>IF(Table1[[#This Row],[Is Data Valid]]=TRUE,((Table1[[#This Row],[Birthweight (grams)]]*0.9/Table1[[#This Row],[BW_GA]])-1)/(Backend!$B$4/100*Table1[[#This Row],[BW40_3705]]),"")</f>
        <v/>
      </c>
      <c r="I1283" s="7" t="str">
        <f>IF(Table1[[#This Row],[Is Data Valid]]=TRUE,((Table1[[#This Row],[Birthweight (grams)]]*1.1/Table1[[#This Row],[BW_GA]])-1)/(Backend!$B$4/100*Table1[[#This Row],[BW40_3705]]),"")</f>
        <v/>
      </c>
      <c r="J1283" s="7" t="str">
        <f>IF(Table1[[#This Row],[Is Data Valid]]=TRUE,_xlfn.NORM.S.DIST(Table1[[#This Row],[Birthweight Z-Score]],TRUE)*100,"")</f>
        <v/>
      </c>
      <c r="K1283" s="7" t="str">
        <f>IF(Table1[[#This Row],[Is Data Valid]]=TRUE,_xlfn.NORM.S.DIST(Table1[[#This Row],[Birthweight Z-Score (BW-10%)]],TRUE)*100,"")</f>
        <v/>
      </c>
      <c r="L1283" s="7" t="str">
        <f>IF(Table1[[#This Row],[Is Data Valid]]=TRUE,_xlfn.NORM.S.DIST(Table1[[#This Row],[Birthweight Z-Score (BW+10%)]],TRUE)*100,"")</f>
        <v/>
      </c>
    </row>
    <row r="1284" spans="1:12" x14ac:dyDescent="0.35">
      <c r="A1284" s="3"/>
      <c r="B1284" s="2"/>
      <c r="C1284" s="2"/>
      <c r="D1284" s="2" t="b">
        <f>IF(AND(NOT(ISBLANK(Table1[[#This Row],[Fetal Sex (Male, Female or Unknown)]])),ISNUMBER(Table1[[#This Row],[Birthweight (grams)]]),ISNUMBER(Table1[[#This Row],[Gestation (days)]])),TRUE,FALSE)</f>
        <v>0</v>
      </c>
      <c r="E1284" s="2" t="str">
        <f>IF(Table1[[#This Row],[Is Data Valid]]=TRUE,IF(Table1[[#This Row],[Fetal Sex (Male, Female or Unknown)]]="Male",Backend!$C$6,IF(Table1[[#This Row],[Fetal Sex (Male, Female or Unknown)]]="Female",Backend!$C$7,IF(Table1[[#This Row],[Fetal Sex (Male, Female or Unknown)]]="Unknown",Backend!$C$8,"Error"))),"")</f>
        <v/>
      </c>
      <c r="F1284" s="8" t="str">
        <f>IF(Table1[[#This Row],[Is Data Valid]]=TRUE,EXP(0.578+0.332*((Table1[[#This Row],[Gestation (days)]]+0.5)/7)-0.00354*((Table1[[#This Row],[Gestation (days)]]+0.5)/7)^2)*Table1[[#This Row],[BW40_3705]],"")</f>
        <v/>
      </c>
      <c r="G1284" s="2" t="str">
        <f>IF(Table1[[#This Row],[Is Data Valid]]=TRUE,((Table1[[#This Row],[Birthweight (grams)]]/Table1[[#This Row],[BW_GA]])-1)/(Backend!$B$4/100*Table1[[#This Row],[BW40_3705]]),"")</f>
        <v/>
      </c>
      <c r="H1284" s="7" t="str">
        <f>IF(Table1[[#This Row],[Is Data Valid]]=TRUE,((Table1[[#This Row],[Birthweight (grams)]]*0.9/Table1[[#This Row],[BW_GA]])-1)/(Backend!$B$4/100*Table1[[#This Row],[BW40_3705]]),"")</f>
        <v/>
      </c>
      <c r="I1284" s="7" t="str">
        <f>IF(Table1[[#This Row],[Is Data Valid]]=TRUE,((Table1[[#This Row],[Birthweight (grams)]]*1.1/Table1[[#This Row],[BW_GA]])-1)/(Backend!$B$4/100*Table1[[#This Row],[BW40_3705]]),"")</f>
        <v/>
      </c>
      <c r="J1284" s="7" t="str">
        <f>IF(Table1[[#This Row],[Is Data Valid]]=TRUE,_xlfn.NORM.S.DIST(Table1[[#This Row],[Birthweight Z-Score]],TRUE)*100,"")</f>
        <v/>
      </c>
      <c r="K1284" s="7" t="str">
        <f>IF(Table1[[#This Row],[Is Data Valid]]=TRUE,_xlfn.NORM.S.DIST(Table1[[#This Row],[Birthweight Z-Score (BW-10%)]],TRUE)*100,"")</f>
        <v/>
      </c>
      <c r="L1284" s="7" t="str">
        <f>IF(Table1[[#This Row],[Is Data Valid]]=TRUE,_xlfn.NORM.S.DIST(Table1[[#This Row],[Birthweight Z-Score (BW+10%)]],TRUE)*100,"")</f>
        <v/>
      </c>
    </row>
    <row r="1285" spans="1:12" x14ac:dyDescent="0.35">
      <c r="A1285" s="3"/>
      <c r="B1285" s="2"/>
      <c r="C1285" s="2"/>
      <c r="D1285" s="2" t="b">
        <f>IF(AND(NOT(ISBLANK(Table1[[#This Row],[Fetal Sex (Male, Female or Unknown)]])),ISNUMBER(Table1[[#This Row],[Birthweight (grams)]]),ISNUMBER(Table1[[#This Row],[Gestation (days)]])),TRUE,FALSE)</f>
        <v>0</v>
      </c>
      <c r="E1285" s="2" t="str">
        <f>IF(Table1[[#This Row],[Is Data Valid]]=TRUE,IF(Table1[[#This Row],[Fetal Sex (Male, Female or Unknown)]]="Male",Backend!$C$6,IF(Table1[[#This Row],[Fetal Sex (Male, Female or Unknown)]]="Female",Backend!$C$7,IF(Table1[[#This Row],[Fetal Sex (Male, Female or Unknown)]]="Unknown",Backend!$C$8,"Error"))),"")</f>
        <v/>
      </c>
      <c r="F1285" s="8" t="str">
        <f>IF(Table1[[#This Row],[Is Data Valid]]=TRUE,EXP(0.578+0.332*((Table1[[#This Row],[Gestation (days)]]+0.5)/7)-0.00354*((Table1[[#This Row],[Gestation (days)]]+0.5)/7)^2)*Table1[[#This Row],[BW40_3705]],"")</f>
        <v/>
      </c>
      <c r="G1285" s="2" t="str">
        <f>IF(Table1[[#This Row],[Is Data Valid]]=TRUE,((Table1[[#This Row],[Birthweight (grams)]]/Table1[[#This Row],[BW_GA]])-1)/(Backend!$B$4/100*Table1[[#This Row],[BW40_3705]]),"")</f>
        <v/>
      </c>
      <c r="H1285" s="7" t="str">
        <f>IF(Table1[[#This Row],[Is Data Valid]]=TRUE,((Table1[[#This Row],[Birthweight (grams)]]*0.9/Table1[[#This Row],[BW_GA]])-1)/(Backend!$B$4/100*Table1[[#This Row],[BW40_3705]]),"")</f>
        <v/>
      </c>
      <c r="I1285" s="7" t="str">
        <f>IF(Table1[[#This Row],[Is Data Valid]]=TRUE,((Table1[[#This Row],[Birthweight (grams)]]*1.1/Table1[[#This Row],[BW_GA]])-1)/(Backend!$B$4/100*Table1[[#This Row],[BW40_3705]]),"")</f>
        <v/>
      </c>
      <c r="J1285" s="7" t="str">
        <f>IF(Table1[[#This Row],[Is Data Valid]]=TRUE,_xlfn.NORM.S.DIST(Table1[[#This Row],[Birthweight Z-Score]],TRUE)*100,"")</f>
        <v/>
      </c>
      <c r="K1285" s="7" t="str">
        <f>IF(Table1[[#This Row],[Is Data Valid]]=TRUE,_xlfn.NORM.S.DIST(Table1[[#This Row],[Birthweight Z-Score (BW-10%)]],TRUE)*100,"")</f>
        <v/>
      </c>
      <c r="L1285" s="7" t="str">
        <f>IF(Table1[[#This Row],[Is Data Valid]]=TRUE,_xlfn.NORM.S.DIST(Table1[[#This Row],[Birthweight Z-Score (BW+10%)]],TRUE)*100,"")</f>
        <v/>
      </c>
    </row>
    <row r="1286" spans="1:12" x14ac:dyDescent="0.35">
      <c r="A1286" s="3"/>
      <c r="B1286" s="2"/>
      <c r="C1286" s="2"/>
      <c r="D1286" s="2" t="b">
        <f>IF(AND(NOT(ISBLANK(Table1[[#This Row],[Fetal Sex (Male, Female or Unknown)]])),ISNUMBER(Table1[[#This Row],[Birthweight (grams)]]),ISNUMBER(Table1[[#This Row],[Gestation (days)]])),TRUE,FALSE)</f>
        <v>0</v>
      </c>
      <c r="E1286" s="2" t="str">
        <f>IF(Table1[[#This Row],[Is Data Valid]]=TRUE,IF(Table1[[#This Row],[Fetal Sex (Male, Female or Unknown)]]="Male",Backend!$C$6,IF(Table1[[#This Row],[Fetal Sex (Male, Female or Unknown)]]="Female",Backend!$C$7,IF(Table1[[#This Row],[Fetal Sex (Male, Female or Unknown)]]="Unknown",Backend!$C$8,"Error"))),"")</f>
        <v/>
      </c>
      <c r="F1286" s="8" t="str">
        <f>IF(Table1[[#This Row],[Is Data Valid]]=TRUE,EXP(0.578+0.332*((Table1[[#This Row],[Gestation (days)]]+0.5)/7)-0.00354*((Table1[[#This Row],[Gestation (days)]]+0.5)/7)^2)*Table1[[#This Row],[BW40_3705]],"")</f>
        <v/>
      </c>
      <c r="G1286" s="2" t="str">
        <f>IF(Table1[[#This Row],[Is Data Valid]]=TRUE,((Table1[[#This Row],[Birthweight (grams)]]/Table1[[#This Row],[BW_GA]])-1)/(Backend!$B$4/100*Table1[[#This Row],[BW40_3705]]),"")</f>
        <v/>
      </c>
      <c r="H1286" s="7" t="str">
        <f>IF(Table1[[#This Row],[Is Data Valid]]=TRUE,((Table1[[#This Row],[Birthweight (grams)]]*0.9/Table1[[#This Row],[BW_GA]])-1)/(Backend!$B$4/100*Table1[[#This Row],[BW40_3705]]),"")</f>
        <v/>
      </c>
      <c r="I1286" s="7" t="str">
        <f>IF(Table1[[#This Row],[Is Data Valid]]=TRUE,((Table1[[#This Row],[Birthweight (grams)]]*1.1/Table1[[#This Row],[BW_GA]])-1)/(Backend!$B$4/100*Table1[[#This Row],[BW40_3705]]),"")</f>
        <v/>
      </c>
      <c r="J1286" s="7" t="str">
        <f>IF(Table1[[#This Row],[Is Data Valid]]=TRUE,_xlfn.NORM.S.DIST(Table1[[#This Row],[Birthweight Z-Score]],TRUE)*100,"")</f>
        <v/>
      </c>
      <c r="K1286" s="7" t="str">
        <f>IF(Table1[[#This Row],[Is Data Valid]]=TRUE,_xlfn.NORM.S.DIST(Table1[[#This Row],[Birthweight Z-Score (BW-10%)]],TRUE)*100,"")</f>
        <v/>
      </c>
      <c r="L1286" s="7" t="str">
        <f>IF(Table1[[#This Row],[Is Data Valid]]=TRUE,_xlfn.NORM.S.DIST(Table1[[#This Row],[Birthweight Z-Score (BW+10%)]],TRUE)*100,"")</f>
        <v/>
      </c>
    </row>
    <row r="1287" spans="1:12" x14ac:dyDescent="0.35">
      <c r="A1287" s="3"/>
      <c r="B1287" s="2"/>
      <c r="C1287" s="2"/>
      <c r="D1287" s="2" t="b">
        <f>IF(AND(NOT(ISBLANK(Table1[[#This Row],[Fetal Sex (Male, Female or Unknown)]])),ISNUMBER(Table1[[#This Row],[Birthweight (grams)]]),ISNUMBER(Table1[[#This Row],[Gestation (days)]])),TRUE,FALSE)</f>
        <v>0</v>
      </c>
      <c r="E1287" s="2" t="str">
        <f>IF(Table1[[#This Row],[Is Data Valid]]=TRUE,IF(Table1[[#This Row],[Fetal Sex (Male, Female or Unknown)]]="Male",Backend!$C$6,IF(Table1[[#This Row],[Fetal Sex (Male, Female or Unknown)]]="Female",Backend!$C$7,IF(Table1[[#This Row],[Fetal Sex (Male, Female or Unknown)]]="Unknown",Backend!$C$8,"Error"))),"")</f>
        <v/>
      </c>
      <c r="F1287" s="8" t="str">
        <f>IF(Table1[[#This Row],[Is Data Valid]]=TRUE,EXP(0.578+0.332*((Table1[[#This Row],[Gestation (days)]]+0.5)/7)-0.00354*((Table1[[#This Row],[Gestation (days)]]+0.5)/7)^2)*Table1[[#This Row],[BW40_3705]],"")</f>
        <v/>
      </c>
      <c r="G1287" s="2" t="str">
        <f>IF(Table1[[#This Row],[Is Data Valid]]=TRUE,((Table1[[#This Row],[Birthweight (grams)]]/Table1[[#This Row],[BW_GA]])-1)/(Backend!$B$4/100*Table1[[#This Row],[BW40_3705]]),"")</f>
        <v/>
      </c>
      <c r="H1287" s="7" t="str">
        <f>IF(Table1[[#This Row],[Is Data Valid]]=TRUE,((Table1[[#This Row],[Birthweight (grams)]]*0.9/Table1[[#This Row],[BW_GA]])-1)/(Backend!$B$4/100*Table1[[#This Row],[BW40_3705]]),"")</f>
        <v/>
      </c>
      <c r="I1287" s="7" t="str">
        <f>IF(Table1[[#This Row],[Is Data Valid]]=TRUE,((Table1[[#This Row],[Birthweight (grams)]]*1.1/Table1[[#This Row],[BW_GA]])-1)/(Backend!$B$4/100*Table1[[#This Row],[BW40_3705]]),"")</f>
        <v/>
      </c>
      <c r="J1287" s="7" t="str">
        <f>IF(Table1[[#This Row],[Is Data Valid]]=TRUE,_xlfn.NORM.S.DIST(Table1[[#This Row],[Birthweight Z-Score]],TRUE)*100,"")</f>
        <v/>
      </c>
      <c r="K1287" s="7" t="str">
        <f>IF(Table1[[#This Row],[Is Data Valid]]=TRUE,_xlfn.NORM.S.DIST(Table1[[#This Row],[Birthweight Z-Score (BW-10%)]],TRUE)*100,"")</f>
        <v/>
      </c>
      <c r="L1287" s="7" t="str">
        <f>IF(Table1[[#This Row],[Is Data Valid]]=TRUE,_xlfn.NORM.S.DIST(Table1[[#This Row],[Birthweight Z-Score (BW+10%)]],TRUE)*100,"")</f>
        <v/>
      </c>
    </row>
    <row r="1288" spans="1:12" x14ac:dyDescent="0.35">
      <c r="A1288" s="3"/>
      <c r="B1288" s="2"/>
      <c r="C1288" s="2"/>
      <c r="D1288" s="2" t="b">
        <f>IF(AND(NOT(ISBLANK(Table1[[#This Row],[Fetal Sex (Male, Female or Unknown)]])),ISNUMBER(Table1[[#This Row],[Birthweight (grams)]]),ISNUMBER(Table1[[#This Row],[Gestation (days)]])),TRUE,FALSE)</f>
        <v>0</v>
      </c>
      <c r="E1288" s="2" t="str">
        <f>IF(Table1[[#This Row],[Is Data Valid]]=TRUE,IF(Table1[[#This Row],[Fetal Sex (Male, Female or Unknown)]]="Male",Backend!$C$6,IF(Table1[[#This Row],[Fetal Sex (Male, Female or Unknown)]]="Female",Backend!$C$7,IF(Table1[[#This Row],[Fetal Sex (Male, Female or Unknown)]]="Unknown",Backend!$C$8,"Error"))),"")</f>
        <v/>
      </c>
      <c r="F1288" s="8" t="str">
        <f>IF(Table1[[#This Row],[Is Data Valid]]=TRUE,EXP(0.578+0.332*((Table1[[#This Row],[Gestation (days)]]+0.5)/7)-0.00354*((Table1[[#This Row],[Gestation (days)]]+0.5)/7)^2)*Table1[[#This Row],[BW40_3705]],"")</f>
        <v/>
      </c>
      <c r="G1288" s="2" t="str">
        <f>IF(Table1[[#This Row],[Is Data Valid]]=TRUE,((Table1[[#This Row],[Birthweight (grams)]]/Table1[[#This Row],[BW_GA]])-1)/(Backend!$B$4/100*Table1[[#This Row],[BW40_3705]]),"")</f>
        <v/>
      </c>
      <c r="H1288" s="7" t="str">
        <f>IF(Table1[[#This Row],[Is Data Valid]]=TRUE,((Table1[[#This Row],[Birthweight (grams)]]*0.9/Table1[[#This Row],[BW_GA]])-1)/(Backend!$B$4/100*Table1[[#This Row],[BW40_3705]]),"")</f>
        <v/>
      </c>
      <c r="I1288" s="7" t="str">
        <f>IF(Table1[[#This Row],[Is Data Valid]]=TRUE,((Table1[[#This Row],[Birthweight (grams)]]*1.1/Table1[[#This Row],[BW_GA]])-1)/(Backend!$B$4/100*Table1[[#This Row],[BW40_3705]]),"")</f>
        <v/>
      </c>
      <c r="J1288" s="7" t="str">
        <f>IF(Table1[[#This Row],[Is Data Valid]]=TRUE,_xlfn.NORM.S.DIST(Table1[[#This Row],[Birthweight Z-Score]],TRUE)*100,"")</f>
        <v/>
      </c>
      <c r="K1288" s="7" t="str">
        <f>IF(Table1[[#This Row],[Is Data Valid]]=TRUE,_xlfn.NORM.S.DIST(Table1[[#This Row],[Birthweight Z-Score (BW-10%)]],TRUE)*100,"")</f>
        <v/>
      </c>
      <c r="L1288" s="7" t="str">
        <f>IF(Table1[[#This Row],[Is Data Valid]]=TRUE,_xlfn.NORM.S.DIST(Table1[[#This Row],[Birthweight Z-Score (BW+10%)]],TRUE)*100,"")</f>
        <v/>
      </c>
    </row>
    <row r="1289" spans="1:12" x14ac:dyDescent="0.35">
      <c r="A1289" s="3"/>
      <c r="B1289" s="2"/>
      <c r="C1289" s="2"/>
      <c r="D1289" s="2" t="b">
        <f>IF(AND(NOT(ISBLANK(Table1[[#This Row],[Fetal Sex (Male, Female or Unknown)]])),ISNUMBER(Table1[[#This Row],[Birthweight (grams)]]),ISNUMBER(Table1[[#This Row],[Gestation (days)]])),TRUE,FALSE)</f>
        <v>0</v>
      </c>
      <c r="E1289" s="2" t="str">
        <f>IF(Table1[[#This Row],[Is Data Valid]]=TRUE,IF(Table1[[#This Row],[Fetal Sex (Male, Female or Unknown)]]="Male",Backend!$C$6,IF(Table1[[#This Row],[Fetal Sex (Male, Female or Unknown)]]="Female",Backend!$C$7,IF(Table1[[#This Row],[Fetal Sex (Male, Female or Unknown)]]="Unknown",Backend!$C$8,"Error"))),"")</f>
        <v/>
      </c>
      <c r="F1289" s="8" t="str">
        <f>IF(Table1[[#This Row],[Is Data Valid]]=TRUE,EXP(0.578+0.332*((Table1[[#This Row],[Gestation (days)]]+0.5)/7)-0.00354*((Table1[[#This Row],[Gestation (days)]]+0.5)/7)^2)*Table1[[#This Row],[BW40_3705]],"")</f>
        <v/>
      </c>
      <c r="G1289" s="2" t="str">
        <f>IF(Table1[[#This Row],[Is Data Valid]]=TRUE,((Table1[[#This Row],[Birthweight (grams)]]/Table1[[#This Row],[BW_GA]])-1)/(Backend!$B$4/100*Table1[[#This Row],[BW40_3705]]),"")</f>
        <v/>
      </c>
      <c r="H1289" s="7" t="str">
        <f>IF(Table1[[#This Row],[Is Data Valid]]=TRUE,((Table1[[#This Row],[Birthweight (grams)]]*0.9/Table1[[#This Row],[BW_GA]])-1)/(Backend!$B$4/100*Table1[[#This Row],[BW40_3705]]),"")</f>
        <v/>
      </c>
      <c r="I1289" s="7" t="str">
        <f>IF(Table1[[#This Row],[Is Data Valid]]=TRUE,((Table1[[#This Row],[Birthweight (grams)]]*1.1/Table1[[#This Row],[BW_GA]])-1)/(Backend!$B$4/100*Table1[[#This Row],[BW40_3705]]),"")</f>
        <v/>
      </c>
      <c r="J1289" s="7" t="str">
        <f>IF(Table1[[#This Row],[Is Data Valid]]=TRUE,_xlfn.NORM.S.DIST(Table1[[#This Row],[Birthweight Z-Score]],TRUE)*100,"")</f>
        <v/>
      </c>
      <c r="K1289" s="7" t="str">
        <f>IF(Table1[[#This Row],[Is Data Valid]]=TRUE,_xlfn.NORM.S.DIST(Table1[[#This Row],[Birthweight Z-Score (BW-10%)]],TRUE)*100,"")</f>
        <v/>
      </c>
      <c r="L1289" s="7" t="str">
        <f>IF(Table1[[#This Row],[Is Data Valid]]=TRUE,_xlfn.NORM.S.DIST(Table1[[#This Row],[Birthweight Z-Score (BW+10%)]],TRUE)*100,"")</f>
        <v/>
      </c>
    </row>
    <row r="1290" spans="1:12" x14ac:dyDescent="0.35">
      <c r="A1290" s="3"/>
      <c r="B1290" s="2"/>
      <c r="C1290" s="2"/>
      <c r="D1290" s="2" t="b">
        <f>IF(AND(NOT(ISBLANK(Table1[[#This Row],[Fetal Sex (Male, Female or Unknown)]])),ISNUMBER(Table1[[#This Row],[Birthweight (grams)]]),ISNUMBER(Table1[[#This Row],[Gestation (days)]])),TRUE,FALSE)</f>
        <v>0</v>
      </c>
      <c r="E1290" s="2" t="str">
        <f>IF(Table1[[#This Row],[Is Data Valid]]=TRUE,IF(Table1[[#This Row],[Fetal Sex (Male, Female or Unknown)]]="Male",Backend!$C$6,IF(Table1[[#This Row],[Fetal Sex (Male, Female or Unknown)]]="Female",Backend!$C$7,IF(Table1[[#This Row],[Fetal Sex (Male, Female or Unknown)]]="Unknown",Backend!$C$8,"Error"))),"")</f>
        <v/>
      </c>
      <c r="F1290" s="8" t="str">
        <f>IF(Table1[[#This Row],[Is Data Valid]]=TRUE,EXP(0.578+0.332*((Table1[[#This Row],[Gestation (days)]]+0.5)/7)-0.00354*((Table1[[#This Row],[Gestation (days)]]+0.5)/7)^2)*Table1[[#This Row],[BW40_3705]],"")</f>
        <v/>
      </c>
      <c r="G1290" s="2" t="str">
        <f>IF(Table1[[#This Row],[Is Data Valid]]=TRUE,((Table1[[#This Row],[Birthweight (grams)]]/Table1[[#This Row],[BW_GA]])-1)/(Backend!$B$4/100*Table1[[#This Row],[BW40_3705]]),"")</f>
        <v/>
      </c>
      <c r="H1290" s="7" t="str">
        <f>IF(Table1[[#This Row],[Is Data Valid]]=TRUE,((Table1[[#This Row],[Birthweight (grams)]]*0.9/Table1[[#This Row],[BW_GA]])-1)/(Backend!$B$4/100*Table1[[#This Row],[BW40_3705]]),"")</f>
        <v/>
      </c>
      <c r="I1290" s="7" t="str">
        <f>IF(Table1[[#This Row],[Is Data Valid]]=TRUE,((Table1[[#This Row],[Birthweight (grams)]]*1.1/Table1[[#This Row],[BW_GA]])-1)/(Backend!$B$4/100*Table1[[#This Row],[BW40_3705]]),"")</f>
        <v/>
      </c>
      <c r="J1290" s="7" t="str">
        <f>IF(Table1[[#This Row],[Is Data Valid]]=TRUE,_xlfn.NORM.S.DIST(Table1[[#This Row],[Birthweight Z-Score]],TRUE)*100,"")</f>
        <v/>
      </c>
      <c r="K1290" s="7" t="str">
        <f>IF(Table1[[#This Row],[Is Data Valid]]=TRUE,_xlfn.NORM.S.DIST(Table1[[#This Row],[Birthweight Z-Score (BW-10%)]],TRUE)*100,"")</f>
        <v/>
      </c>
      <c r="L1290" s="7" t="str">
        <f>IF(Table1[[#This Row],[Is Data Valid]]=TRUE,_xlfn.NORM.S.DIST(Table1[[#This Row],[Birthweight Z-Score (BW+10%)]],TRUE)*100,"")</f>
        <v/>
      </c>
    </row>
    <row r="1291" spans="1:12" x14ac:dyDescent="0.35">
      <c r="A1291" s="3"/>
      <c r="B1291" s="2"/>
      <c r="C1291" s="2"/>
      <c r="D1291" s="2" t="b">
        <f>IF(AND(NOT(ISBLANK(Table1[[#This Row],[Fetal Sex (Male, Female or Unknown)]])),ISNUMBER(Table1[[#This Row],[Birthweight (grams)]]),ISNUMBER(Table1[[#This Row],[Gestation (days)]])),TRUE,FALSE)</f>
        <v>0</v>
      </c>
      <c r="E1291" s="2" t="str">
        <f>IF(Table1[[#This Row],[Is Data Valid]]=TRUE,IF(Table1[[#This Row],[Fetal Sex (Male, Female or Unknown)]]="Male",Backend!$C$6,IF(Table1[[#This Row],[Fetal Sex (Male, Female or Unknown)]]="Female",Backend!$C$7,IF(Table1[[#This Row],[Fetal Sex (Male, Female or Unknown)]]="Unknown",Backend!$C$8,"Error"))),"")</f>
        <v/>
      </c>
      <c r="F1291" s="8" t="str">
        <f>IF(Table1[[#This Row],[Is Data Valid]]=TRUE,EXP(0.578+0.332*((Table1[[#This Row],[Gestation (days)]]+0.5)/7)-0.00354*((Table1[[#This Row],[Gestation (days)]]+0.5)/7)^2)*Table1[[#This Row],[BW40_3705]],"")</f>
        <v/>
      </c>
      <c r="G1291" s="2" t="str">
        <f>IF(Table1[[#This Row],[Is Data Valid]]=TRUE,((Table1[[#This Row],[Birthweight (grams)]]/Table1[[#This Row],[BW_GA]])-1)/(Backend!$B$4/100*Table1[[#This Row],[BW40_3705]]),"")</f>
        <v/>
      </c>
      <c r="H1291" s="7" t="str">
        <f>IF(Table1[[#This Row],[Is Data Valid]]=TRUE,((Table1[[#This Row],[Birthweight (grams)]]*0.9/Table1[[#This Row],[BW_GA]])-1)/(Backend!$B$4/100*Table1[[#This Row],[BW40_3705]]),"")</f>
        <v/>
      </c>
      <c r="I1291" s="7" t="str">
        <f>IF(Table1[[#This Row],[Is Data Valid]]=TRUE,((Table1[[#This Row],[Birthweight (grams)]]*1.1/Table1[[#This Row],[BW_GA]])-1)/(Backend!$B$4/100*Table1[[#This Row],[BW40_3705]]),"")</f>
        <v/>
      </c>
      <c r="J1291" s="7" t="str">
        <f>IF(Table1[[#This Row],[Is Data Valid]]=TRUE,_xlfn.NORM.S.DIST(Table1[[#This Row],[Birthweight Z-Score]],TRUE)*100,"")</f>
        <v/>
      </c>
      <c r="K1291" s="7" t="str">
        <f>IF(Table1[[#This Row],[Is Data Valid]]=TRUE,_xlfn.NORM.S.DIST(Table1[[#This Row],[Birthweight Z-Score (BW-10%)]],TRUE)*100,"")</f>
        <v/>
      </c>
      <c r="L1291" s="7" t="str">
        <f>IF(Table1[[#This Row],[Is Data Valid]]=TRUE,_xlfn.NORM.S.DIST(Table1[[#This Row],[Birthweight Z-Score (BW+10%)]],TRUE)*100,"")</f>
        <v/>
      </c>
    </row>
    <row r="1292" spans="1:12" x14ac:dyDescent="0.35">
      <c r="A1292" s="3"/>
      <c r="B1292" s="2"/>
      <c r="C1292" s="2"/>
      <c r="D1292" s="2" t="b">
        <f>IF(AND(NOT(ISBLANK(Table1[[#This Row],[Fetal Sex (Male, Female or Unknown)]])),ISNUMBER(Table1[[#This Row],[Birthweight (grams)]]),ISNUMBER(Table1[[#This Row],[Gestation (days)]])),TRUE,FALSE)</f>
        <v>0</v>
      </c>
      <c r="E1292" s="2" t="str">
        <f>IF(Table1[[#This Row],[Is Data Valid]]=TRUE,IF(Table1[[#This Row],[Fetal Sex (Male, Female or Unknown)]]="Male",Backend!$C$6,IF(Table1[[#This Row],[Fetal Sex (Male, Female or Unknown)]]="Female",Backend!$C$7,IF(Table1[[#This Row],[Fetal Sex (Male, Female or Unknown)]]="Unknown",Backend!$C$8,"Error"))),"")</f>
        <v/>
      </c>
      <c r="F1292" s="8" t="str">
        <f>IF(Table1[[#This Row],[Is Data Valid]]=TRUE,EXP(0.578+0.332*((Table1[[#This Row],[Gestation (days)]]+0.5)/7)-0.00354*((Table1[[#This Row],[Gestation (days)]]+0.5)/7)^2)*Table1[[#This Row],[BW40_3705]],"")</f>
        <v/>
      </c>
      <c r="G1292" s="2" t="str">
        <f>IF(Table1[[#This Row],[Is Data Valid]]=TRUE,((Table1[[#This Row],[Birthweight (grams)]]/Table1[[#This Row],[BW_GA]])-1)/(Backend!$B$4/100*Table1[[#This Row],[BW40_3705]]),"")</f>
        <v/>
      </c>
      <c r="H1292" s="7" t="str">
        <f>IF(Table1[[#This Row],[Is Data Valid]]=TRUE,((Table1[[#This Row],[Birthweight (grams)]]*0.9/Table1[[#This Row],[BW_GA]])-1)/(Backend!$B$4/100*Table1[[#This Row],[BW40_3705]]),"")</f>
        <v/>
      </c>
      <c r="I1292" s="7" t="str">
        <f>IF(Table1[[#This Row],[Is Data Valid]]=TRUE,((Table1[[#This Row],[Birthweight (grams)]]*1.1/Table1[[#This Row],[BW_GA]])-1)/(Backend!$B$4/100*Table1[[#This Row],[BW40_3705]]),"")</f>
        <v/>
      </c>
      <c r="J1292" s="7" t="str">
        <f>IF(Table1[[#This Row],[Is Data Valid]]=TRUE,_xlfn.NORM.S.DIST(Table1[[#This Row],[Birthweight Z-Score]],TRUE)*100,"")</f>
        <v/>
      </c>
      <c r="K1292" s="7" t="str">
        <f>IF(Table1[[#This Row],[Is Data Valid]]=TRUE,_xlfn.NORM.S.DIST(Table1[[#This Row],[Birthweight Z-Score (BW-10%)]],TRUE)*100,"")</f>
        <v/>
      </c>
      <c r="L1292" s="7" t="str">
        <f>IF(Table1[[#This Row],[Is Data Valid]]=TRUE,_xlfn.NORM.S.DIST(Table1[[#This Row],[Birthweight Z-Score (BW+10%)]],TRUE)*100,"")</f>
        <v/>
      </c>
    </row>
    <row r="1293" spans="1:12" x14ac:dyDescent="0.35">
      <c r="A1293" s="3"/>
      <c r="B1293" s="2"/>
      <c r="C1293" s="2"/>
      <c r="D1293" s="2" t="b">
        <f>IF(AND(NOT(ISBLANK(Table1[[#This Row],[Fetal Sex (Male, Female or Unknown)]])),ISNUMBER(Table1[[#This Row],[Birthweight (grams)]]),ISNUMBER(Table1[[#This Row],[Gestation (days)]])),TRUE,FALSE)</f>
        <v>0</v>
      </c>
      <c r="E1293" s="2" t="str">
        <f>IF(Table1[[#This Row],[Is Data Valid]]=TRUE,IF(Table1[[#This Row],[Fetal Sex (Male, Female or Unknown)]]="Male",Backend!$C$6,IF(Table1[[#This Row],[Fetal Sex (Male, Female or Unknown)]]="Female",Backend!$C$7,IF(Table1[[#This Row],[Fetal Sex (Male, Female or Unknown)]]="Unknown",Backend!$C$8,"Error"))),"")</f>
        <v/>
      </c>
      <c r="F1293" s="8" t="str">
        <f>IF(Table1[[#This Row],[Is Data Valid]]=TRUE,EXP(0.578+0.332*((Table1[[#This Row],[Gestation (days)]]+0.5)/7)-0.00354*((Table1[[#This Row],[Gestation (days)]]+0.5)/7)^2)*Table1[[#This Row],[BW40_3705]],"")</f>
        <v/>
      </c>
      <c r="G1293" s="2" t="str">
        <f>IF(Table1[[#This Row],[Is Data Valid]]=TRUE,((Table1[[#This Row],[Birthweight (grams)]]/Table1[[#This Row],[BW_GA]])-1)/(Backend!$B$4/100*Table1[[#This Row],[BW40_3705]]),"")</f>
        <v/>
      </c>
      <c r="H1293" s="7" t="str">
        <f>IF(Table1[[#This Row],[Is Data Valid]]=TRUE,((Table1[[#This Row],[Birthweight (grams)]]*0.9/Table1[[#This Row],[BW_GA]])-1)/(Backend!$B$4/100*Table1[[#This Row],[BW40_3705]]),"")</f>
        <v/>
      </c>
      <c r="I1293" s="7" t="str">
        <f>IF(Table1[[#This Row],[Is Data Valid]]=TRUE,((Table1[[#This Row],[Birthweight (grams)]]*1.1/Table1[[#This Row],[BW_GA]])-1)/(Backend!$B$4/100*Table1[[#This Row],[BW40_3705]]),"")</f>
        <v/>
      </c>
      <c r="J1293" s="7" t="str">
        <f>IF(Table1[[#This Row],[Is Data Valid]]=TRUE,_xlfn.NORM.S.DIST(Table1[[#This Row],[Birthweight Z-Score]],TRUE)*100,"")</f>
        <v/>
      </c>
      <c r="K1293" s="7" t="str">
        <f>IF(Table1[[#This Row],[Is Data Valid]]=TRUE,_xlfn.NORM.S.DIST(Table1[[#This Row],[Birthweight Z-Score (BW-10%)]],TRUE)*100,"")</f>
        <v/>
      </c>
      <c r="L1293" s="7" t="str">
        <f>IF(Table1[[#This Row],[Is Data Valid]]=TRUE,_xlfn.NORM.S.DIST(Table1[[#This Row],[Birthweight Z-Score (BW+10%)]],TRUE)*100,"")</f>
        <v/>
      </c>
    </row>
    <row r="1294" spans="1:12" x14ac:dyDescent="0.35">
      <c r="A1294" s="3"/>
      <c r="B1294" s="2"/>
      <c r="C1294" s="2"/>
      <c r="D1294" s="2" t="b">
        <f>IF(AND(NOT(ISBLANK(Table1[[#This Row],[Fetal Sex (Male, Female or Unknown)]])),ISNUMBER(Table1[[#This Row],[Birthweight (grams)]]),ISNUMBER(Table1[[#This Row],[Gestation (days)]])),TRUE,FALSE)</f>
        <v>0</v>
      </c>
      <c r="E1294" s="2" t="str">
        <f>IF(Table1[[#This Row],[Is Data Valid]]=TRUE,IF(Table1[[#This Row],[Fetal Sex (Male, Female or Unknown)]]="Male",Backend!$C$6,IF(Table1[[#This Row],[Fetal Sex (Male, Female or Unknown)]]="Female",Backend!$C$7,IF(Table1[[#This Row],[Fetal Sex (Male, Female or Unknown)]]="Unknown",Backend!$C$8,"Error"))),"")</f>
        <v/>
      </c>
      <c r="F1294" s="8" t="str">
        <f>IF(Table1[[#This Row],[Is Data Valid]]=TRUE,EXP(0.578+0.332*((Table1[[#This Row],[Gestation (days)]]+0.5)/7)-0.00354*((Table1[[#This Row],[Gestation (days)]]+0.5)/7)^2)*Table1[[#This Row],[BW40_3705]],"")</f>
        <v/>
      </c>
      <c r="G1294" s="2" t="str">
        <f>IF(Table1[[#This Row],[Is Data Valid]]=TRUE,((Table1[[#This Row],[Birthweight (grams)]]/Table1[[#This Row],[BW_GA]])-1)/(Backend!$B$4/100*Table1[[#This Row],[BW40_3705]]),"")</f>
        <v/>
      </c>
      <c r="H1294" s="7" t="str">
        <f>IF(Table1[[#This Row],[Is Data Valid]]=TRUE,((Table1[[#This Row],[Birthweight (grams)]]*0.9/Table1[[#This Row],[BW_GA]])-1)/(Backend!$B$4/100*Table1[[#This Row],[BW40_3705]]),"")</f>
        <v/>
      </c>
      <c r="I1294" s="7" t="str">
        <f>IF(Table1[[#This Row],[Is Data Valid]]=TRUE,((Table1[[#This Row],[Birthweight (grams)]]*1.1/Table1[[#This Row],[BW_GA]])-1)/(Backend!$B$4/100*Table1[[#This Row],[BW40_3705]]),"")</f>
        <v/>
      </c>
      <c r="J1294" s="7" t="str">
        <f>IF(Table1[[#This Row],[Is Data Valid]]=TRUE,_xlfn.NORM.S.DIST(Table1[[#This Row],[Birthweight Z-Score]],TRUE)*100,"")</f>
        <v/>
      </c>
      <c r="K1294" s="7" t="str">
        <f>IF(Table1[[#This Row],[Is Data Valid]]=TRUE,_xlfn.NORM.S.DIST(Table1[[#This Row],[Birthweight Z-Score (BW-10%)]],TRUE)*100,"")</f>
        <v/>
      </c>
      <c r="L1294" s="7" t="str">
        <f>IF(Table1[[#This Row],[Is Data Valid]]=TRUE,_xlfn.NORM.S.DIST(Table1[[#This Row],[Birthweight Z-Score (BW+10%)]],TRUE)*100,"")</f>
        <v/>
      </c>
    </row>
    <row r="1295" spans="1:12" x14ac:dyDescent="0.35">
      <c r="A1295" s="3"/>
      <c r="B1295" s="2"/>
      <c r="C1295" s="2"/>
      <c r="D1295" s="2" t="b">
        <f>IF(AND(NOT(ISBLANK(Table1[[#This Row],[Fetal Sex (Male, Female or Unknown)]])),ISNUMBER(Table1[[#This Row],[Birthweight (grams)]]),ISNUMBER(Table1[[#This Row],[Gestation (days)]])),TRUE,FALSE)</f>
        <v>0</v>
      </c>
      <c r="E1295" s="2" t="str">
        <f>IF(Table1[[#This Row],[Is Data Valid]]=TRUE,IF(Table1[[#This Row],[Fetal Sex (Male, Female or Unknown)]]="Male",Backend!$C$6,IF(Table1[[#This Row],[Fetal Sex (Male, Female or Unknown)]]="Female",Backend!$C$7,IF(Table1[[#This Row],[Fetal Sex (Male, Female or Unknown)]]="Unknown",Backend!$C$8,"Error"))),"")</f>
        <v/>
      </c>
      <c r="F1295" s="8" t="str">
        <f>IF(Table1[[#This Row],[Is Data Valid]]=TRUE,EXP(0.578+0.332*((Table1[[#This Row],[Gestation (days)]]+0.5)/7)-0.00354*((Table1[[#This Row],[Gestation (days)]]+0.5)/7)^2)*Table1[[#This Row],[BW40_3705]],"")</f>
        <v/>
      </c>
      <c r="G1295" s="2" t="str">
        <f>IF(Table1[[#This Row],[Is Data Valid]]=TRUE,((Table1[[#This Row],[Birthweight (grams)]]/Table1[[#This Row],[BW_GA]])-1)/(Backend!$B$4/100*Table1[[#This Row],[BW40_3705]]),"")</f>
        <v/>
      </c>
      <c r="H1295" s="7" t="str">
        <f>IF(Table1[[#This Row],[Is Data Valid]]=TRUE,((Table1[[#This Row],[Birthweight (grams)]]*0.9/Table1[[#This Row],[BW_GA]])-1)/(Backend!$B$4/100*Table1[[#This Row],[BW40_3705]]),"")</f>
        <v/>
      </c>
      <c r="I1295" s="7" t="str">
        <f>IF(Table1[[#This Row],[Is Data Valid]]=TRUE,((Table1[[#This Row],[Birthweight (grams)]]*1.1/Table1[[#This Row],[BW_GA]])-1)/(Backend!$B$4/100*Table1[[#This Row],[BW40_3705]]),"")</f>
        <v/>
      </c>
      <c r="J1295" s="7" t="str">
        <f>IF(Table1[[#This Row],[Is Data Valid]]=TRUE,_xlfn.NORM.S.DIST(Table1[[#This Row],[Birthweight Z-Score]],TRUE)*100,"")</f>
        <v/>
      </c>
      <c r="K1295" s="7" t="str">
        <f>IF(Table1[[#This Row],[Is Data Valid]]=TRUE,_xlfn.NORM.S.DIST(Table1[[#This Row],[Birthweight Z-Score (BW-10%)]],TRUE)*100,"")</f>
        <v/>
      </c>
      <c r="L1295" s="7" t="str">
        <f>IF(Table1[[#This Row],[Is Data Valid]]=TRUE,_xlfn.NORM.S.DIST(Table1[[#This Row],[Birthweight Z-Score (BW+10%)]],TRUE)*100,"")</f>
        <v/>
      </c>
    </row>
    <row r="1296" spans="1:12" x14ac:dyDescent="0.35">
      <c r="A1296" s="3"/>
      <c r="B1296" s="2"/>
      <c r="C1296" s="2"/>
      <c r="D1296" s="2" t="b">
        <f>IF(AND(NOT(ISBLANK(Table1[[#This Row],[Fetal Sex (Male, Female or Unknown)]])),ISNUMBER(Table1[[#This Row],[Birthweight (grams)]]),ISNUMBER(Table1[[#This Row],[Gestation (days)]])),TRUE,FALSE)</f>
        <v>0</v>
      </c>
      <c r="E1296" s="2" t="str">
        <f>IF(Table1[[#This Row],[Is Data Valid]]=TRUE,IF(Table1[[#This Row],[Fetal Sex (Male, Female or Unknown)]]="Male",Backend!$C$6,IF(Table1[[#This Row],[Fetal Sex (Male, Female or Unknown)]]="Female",Backend!$C$7,IF(Table1[[#This Row],[Fetal Sex (Male, Female or Unknown)]]="Unknown",Backend!$C$8,"Error"))),"")</f>
        <v/>
      </c>
      <c r="F1296" s="8" t="str">
        <f>IF(Table1[[#This Row],[Is Data Valid]]=TRUE,EXP(0.578+0.332*((Table1[[#This Row],[Gestation (days)]]+0.5)/7)-0.00354*((Table1[[#This Row],[Gestation (days)]]+0.5)/7)^2)*Table1[[#This Row],[BW40_3705]],"")</f>
        <v/>
      </c>
      <c r="G1296" s="2" t="str">
        <f>IF(Table1[[#This Row],[Is Data Valid]]=TRUE,((Table1[[#This Row],[Birthweight (grams)]]/Table1[[#This Row],[BW_GA]])-1)/(Backend!$B$4/100*Table1[[#This Row],[BW40_3705]]),"")</f>
        <v/>
      </c>
      <c r="H1296" s="7" t="str">
        <f>IF(Table1[[#This Row],[Is Data Valid]]=TRUE,((Table1[[#This Row],[Birthweight (grams)]]*0.9/Table1[[#This Row],[BW_GA]])-1)/(Backend!$B$4/100*Table1[[#This Row],[BW40_3705]]),"")</f>
        <v/>
      </c>
      <c r="I1296" s="7" t="str">
        <f>IF(Table1[[#This Row],[Is Data Valid]]=TRUE,((Table1[[#This Row],[Birthweight (grams)]]*1.1/Table1[[#This Row],[BW_GA]])-1)/(Backend!$B$4/100*Table1[[#This Row],[BW40_3705]]),"")</f>
        <v/>
      </c>
      <c r="J1296" s="7" t="str">
        <f>IF(Table1[[#This Row],[Is Data Valid]]=TRUE,_xlfn.NORM.S.DIST(Table1[[#This Row],[Birthweight Z-Score]],TRUE)*100,"")</f>
        <v/>
      </c>
      <c r="K1296" s="7" t="str">
        <f>IF(Table1[[#This Row],[Is Data Valid]]=TRUE,_xlfn.NORM.S.DIST(Table1[[#This Row],[Birthweight Z-Score (BW-10%)]],TRUE)*100,"")</f>
        <v/>
      </c>
      <c r="L1296" s="7" t="str">
        <f>IF(Table1[[#This Row],[Is Data Valid]]=TRUE,_xlfn.NORM.S.DIST(Table1[[#This Row],[Birthweight Z-Score (BW+10%)]],TRUE)*100,"")</f>
        <v/>
      </c>
    </row>
    <row r="1297" spans="1:12" x14ac:dyDescent="0.35">
      <c r="A1297" s="3"/>
      <c r="B1297" s="2"/>
      <c r="C1297" s="2"/>
      <c r="D1297" s="2" t="b">
        <f>IF(AND(NOT(ISBLANK(Table1[[#This Row],[Fetal Sex (Male, Female or Unknown)]])),ISNUMBER(Table1[[#This Row],[Birthweight (grams)]]),ISNUMBER(Table1[[#This Row],[Gestation (days)]])),TRUE,FALSE)</f>
        <v>0</v>
      </c>
      <c r="E1297" s="2" t="str">
        <f>IF(Table1[[#This Row],[Is Data Valid]]=TRUE,IF(Table1[[#This Row],[Fetal Sex (Male, Female or Unknown)]]="Male",Backend!$C$6,IF(Table1[[#This Row],[Fetal Sex (Male, Female or Unknown)]]="Female",Backend!$C$7,IF(Table1[[#This Row],[Fetal Sex (Male, Female or Unknown)]]="Unknown",Backend!$C$8,"Error"))),"")</f>
        <v/>
      </c>
      <c r="F1297" s="8" t="str">
        <f>IF(Table1[[#This Row],[Is Data Valid]]=TRUE,EXP(0.578+0.332*((Table1[[#This Row],[Gestation (days)]]+0.5)/7)-0.00354*((Table1[[#This Row],[Gestation (days)]]+0.5)/7)^2)*Table1[[#This Row],[BW40_3705]],"")</f>
        <v/>
      </c>
      <c r="G1297" s="2" t="str">
        <f>IF(Table1[[#This Row],[Is Data Valid]]=TRUE,((Table1[[#This Row],[Birthweight (grams)]]/Table1[[#This Row],[BW_GA]])-1)/(Backend!$B$4/100*Table1[[#This Row],[BW40_3705]]),"")</f>
        <v/>
      </c>
      <c r="H1297" s="7" t="str">
        <f>IF(Table1[[#This Row],[Is Data Valid]]=TRUE,((Table1[[#This Row],[Birthweight (grams)]]*0.9/Table1[[#This Row],[BW_GA]])-1)/(Backend!$B$4/100*Table1[[#This Row],[BW40_3705]]),"")</f>
        <v/>
      </c>
      <c r="I1297" s="7" t="str">
        <f>IF(Table1[[#This Row],[Is Data Valid]]=TRUE,((Table1[[#This Row],[Birthweight (grams)]]*1.1/Table1[[#This Row],[BW_GA]])-1)/(Backend!$B$4/100*Table1[[#This Row],[BW40_3705]]),"")</f>
        <v/>
      </c>
      <c r="J1297" s="7" t="str">
        <f>IF(Table1[[#This Row],[Is Data Valid]]=TRUE,_xlfn.NORM.S.DIST(Table1[[#This Row],[Birthweight Z-Score]],TRUE)*100,"")</f>
        <v/>
      </c>
      <c r="K1297" s="7" t="str">
        <f>IF(Table1[[#This Row],[Is Data Valid]]=TRUE,_xlfn.NORM.S.DIST(Table1[[#This Row],[Birthweight Z-Score (BW-10%)]],TRUE)*100,"")</f>
        <v/>
      </c>
      <c r="L1297" s="7" t="str">
        <f>IF(Table1[[#This Row],[Is Data Valid]]=TRUE,_xlfn.NORM.S.DIST(Table1[[#This Row],[Birthweight Z-Score (BW+10%)]],TRUE)*100,"")</f>
        <v/>
      </c>
    </row>
    <row r="1298" spans="1:12" x14ac:dyDescent="0.35">
      <c r="A1298" s="3"/>
      <c r="B1298" s="2"/>
      <c r="C1298" s="2"/>
      <c r="D1298" s="2" t="b">
        <f>IF(AND(NOT(ISBLANK(Table1[[#This Row],[Fetal Sex (Male, Female or Unknown)]])),ISNUMBER(Table1[[#This Row],[Birthweight (grams)]]),ISNUMBER(Table1[[#This Row],[Gestation (days)]])),TRUE,FALSE)</f>
        <v>0</v>
      </c>
      <c r="E1298" s="2" t="str">
        <f>IF(Table1[[#This Row],[Is Data Valid]]=TRUE,IF(Table1[[#This Row],[Fetal Sex (Male, Female or Unknown)]]="Male",Backend!$C$6,IF(Table1[[#This Row],[Fetal Sex (Male, Female or Unknown)]]="Female",Backend!$C$7,IF(Table1[[#This Row],[Fetal Sex (Male, Female or Unknown)]]="Unknown",Backend!$C$8,"Error"))),"")</f>
        <v/>
      </c>
      <c r="F1298" s="8" t="str">
        <f>IF(Table1[[#This Row],[Is Data Valid]]=TRUE,EXP(0.578+0.332*((Table1[[#This Row],[Gestation (days)]]+0.5)/7)-0.00354*((Table1[[#This Row],[Gestation (days)]]+0.5)/7)^2)*Table1[[#This Row],[BW40_3705]],"")</f>
        <v/>
      </c>
      <c r="G1298" s="2" t="str">
        <f>IF(Table1[[#This Row],[Is Data Valid]]=TRUE,((Table1[[#This Row],[Birthweight (grams)]]/Table1[[#This Row],[BW_GA]])-1)/(Backend!$B$4/100*Table1[[#This Row],[BW40_3705]]),"")</f>
        <v/>
      </c>
      <c r="H1298" s="7" t="str">
        <f>IF(Table1[[#This Row],[Is Data Valid]]=TRUE,((Table1[[#This Row],[Birthweight (grams)]]*0.9/Table1[[#This Row],[BW_GA]])-1)/(Backend!$B$4/100*Table1[[#This Row],[BW40_3705]]),"")</f>
        <v/>
      </c>
      <c r="I1298" s="7" t="str">
        <f>IF(Table1[[#This Row],[Is Data Valid]]=TRUE,((Table1[[#This Row],[Birthweight (grams)]]*1.1/Table1[[#This Row],[BW_GA]])-1)/(Backend!$B$4/100*Table1[[#This Row],[BW40_3705]]),"")</f>
        <v/>
      </c>
      <c r="J1298" s="7" t="str">
        <f>IF(Table1[[#This Row],[Is Data Valid]]=TRUE,_xlfn.NORM.S.DIST(Table1[[#This Row],[Birthweight Z-Score]],TRUE)*100,"")</f>
        <v/>
      </c>
      <c r="K1298" s="7" t="str">
        <f>IF(Table1[[#This Row],[Is Data Valid]]=TRUE,_xlfn.NORM.S.DIST(Table1[[#This Row],[Birthweight Z-Score (BW-10%)]],TRUE)*100,"")</f>
        <v/>
      </c>
      <c r="L1298" s="7" t="str">
        <f>IF(Table1[[#This Row],[Is Data Valid]]=TRUE,_xlfn.NORM.S.DIST(Table1[[#This Row],[Birthweight Z-Score (BW+10%)]],TRUE)*100,"")</f>
        <v/>
      </c>
    </row>
    <row r="1299" spans="1:12" x14ac:dyDescent="0.35">
      <c r="A1299" s="3"/>
      <c r="B1299" s="2"/>
      <c r="C1299" s="2"/>
      <c r="D1299" s="2" t="b">
        <f>IF(AND(NOT(ISBLANK(Table1[[#This Row],[Fetal Sex (Male, Female or Unknown)]])),ISNUMBER(Table1[[#This Row],[Birthweight (grams)]]),ISNUMBER(Table1[[#This Row],[Gestation (days)]])),TRUE,FALSE)</f>
        <v>0</v>
      </c>
      <c r="E1299" s="2" t="str">
        <f>IF(Table1[[#This Row],[Is Data Valid]]=TRUE,IF(Table1[[#This Row],[Fetal Sex (Male, Female or Unknown)]]="Male",Backend!$C$6,IF(Table1[[#This Row],[Fetal Sex (Male, Female or Unknown)]]="Female",Backend!$C$7,IF(Table1[[#This Row],[Fetal Sex (Male, Female or Unknown)]]="Unknown",Backend!$C$8,"Error"))),"")</f>
        <v/>
      </c>
      <c r="F1299" s="8" t="str">
        <f>IF(Table1[[#This Row],[Is Data Valid]]=TRUE,EXP(0.578+0.332*((Table1[[#This Row],[Gestation (days)]]+0.5)/7)-0.00354*((Table1[[#This Row],[Gestation (days)]]+0.5)/7)^2)*Table1[[#This Row],[BW40_3705]],"")</f>
        <v/>
      </c>
      <c r="G1299" s="2" t="str">
        <f>IF(Table1[[#This Row],[Is Data Valid]]=TRUE,((Table1[[#This Row],[Birthweight (grams)]]/Table1[[#This Row],[BW_GA]])-1)/(Backend!$B$4/100*Table1[[#This Row],[BW40_3705]]),"")</f>
        <v/>
      </c>
      <c r="H1299" s="7" t="str">
        <f>IF(Table1[[#This Row],[Is Data Valid]]=TRUE,((Table1[[#This Row],[Birthweight (grams)]]*0.9/Table1[[#This Row],[BW_GA]])-1)/(Backend!$B$4/100*Table1[[#This Row],[BW40_3705]]),"")</f>
        <v/>
      </c>
      <c r="I1299" s="7" t="str">
        <f>IF(Table1[[#This Row],[Is Data Valid]]=TRUE,((Table1[[#This Row],[Birthweight (grams)]]*1.1/Table1[[#This Row],[BW_GA]])-1)/(Backend!$B$4/100*Table1[[#This Row],[BW40_3705]]),"")</f>
        <v/>
      </c>
      <c r="J1299" s="7" t="str">
        <f>IF(Table1[[#This Row],[Is Data Valid]]=TRUE,_xlfn.NORM.S.DIST(Table1[[#This Row],[Birthweight Z-Score]],TRUE)*100,"")</f>
        <v/>
      </c>
      <c r="K1299" s="7" t="str">
        <f>IF(Table1[[#This Row],[Is Data Valid]]=TRUE,_xlfn.NORM.S.DIST(Table1[[#This Row],[Birthweight Z-Score (BW-10%)]],TRUE)*100,"")</f>
        <v/>
      </c>
      <c r="L1299" s="7" t="str">
        <f>IF(Table1[[#This Row],[Is Data Valid]]=TRUE,_xlfn.NORM.S.DIST(Table1[[#This Row],[Birthweight Z-Score (BW+10%)]],TRUE)*100,"")</f>
        <v/>
      </c>
    </row>
    <row r="1300" spans="1:12" x14ac:dyDescent="0.35">
      <c r="A1300" s="3"/>
      <c r="B1300" s="2"/>
      <c r="C1300" s="2"/>
      <c r="D1300" s="2" t="b">
        <f>IF(AND(NOT(ISBLANK(Table1[[#This Row],[Fetal Sex (Male, Female or Unknown)]])),ISNUMBER(Table1[[#This Row],[Birthweight (grams)]]),ISNUMBER(Table1[[#This Row],[Gestation (days)]])),TRUE,FALSE)</f>
        <v>0</v>
      </c>
      <c r="E1300" s="2" t="str">
        <f>IF(Table1[[#This Row],[Is Data Valid]]=TRUE,IF(Table1[[#This Row],[Fetal Sex (Male, Female or Unknown)]]="Male",Backend!$C$6,IF(Table1[[#This Row],[Fetal Sex (Male, Female or Unknown)]]="Female",Backend!$C$7,IF(Table1[[#This Row],[Fetal Sex (Male, Female or Unknown)]]="Unknown",Backend!$C$8,"Error"))),"")</f>
        <v/>
      </c>
      <c r="F1300" s="8" t="str">
        <f>IF(Table1[[#This Row],[Is Data Valid]]=TRUE,EXP(0.578+0.332*((Table1[[#This Row],[Gestation (days)]]+0.5)/7)-0.00354*((Table1[[#This Row],[Gestation (days)]]+0.5)/7)^2)*Table1[[#This Row],[BW40_3705]],"")</f>
        <v/>
      </c>
      <c r="G1300" s="2" t="str">
        <f>IF(Table1[[#This Row],[Is Data Valid]]=TRUE,((Table1[[#This Row],[Birthweight (grams)]]/Table1[[#This Row],[BW_GA]])-1)/(Backend!$B$4/100*Table1[[#This Row],[BW40_3705]]),"")</f>
        <v/>
      </c>
      <c r="H1300" s="7" t="str">
        <f>IF(Table1[[#This Row],[Is Data Valid]]=TRUE,((Table1[[#This Row],[Birthweight (grams)]]*0.9/Table1[[#This Row],[BW_GA]])-1)/(Backend!$B$4/100*Table1[[#This Row],[BW40_3705]]),"")</f>
        <v/>
      </c>
      <c r="I1300" s="7" t="str">
        <f>IF(Table1[[#This Row],[Is Data Valid]]=TRUE,((Table1[[#This Row],[Birthweight (grams)]]*1.1/Table1[[#This Row],[BW_GA]])-1)/(Backend!$B$4/100*Table1[[#This Row],[BW40_3705]]),"")</f>
        <v/>
      </c>
      <c r="J1300" s="7" t="str">
        <f>IF(Table1[[#This Row],[Is Data Valid]]=TRUE,_xlfn.NORM.S.DIST(Table1[[#This Row],[Birthweight Z-Score]],TRUE)*100,"")</f>
        <v/>
      </c>
      <c r="K1300" s="7" t="str">
        <f>IF(Table1[[#This Row],[Is Data Valid]]=TRUE,_xlfn.NORM.S.DIST(Table1[[#This Row],[Birthweight Z-Score (BW-10%)]],TRUE)*100,"")</f>
        <v/>
      </c>
      <c r="L1300" s="7" t="str">
        <f>IF(Table1[[#This Row],[Is Data Valid]]=TRUE,_xlfn.NORM.S.DIST(Table1[[#This Row],[Birthweight Z-Score (BW+10%)]],TRUE)*100,"")</f>
        <v/>
      </c>
    </row>
    <row r="1301" spans="1:12" x14ac:dyDescent="0.35">
      <c r="A1301" s="3"/>
      <c r="B1301" s="2"/>
      <c r="C1301" s="2"/>
      <c r="D1301" s="2" t="b">
        <f>IF(AND(NOT(ISBLANK(Table1[[#This Row],[Fetal Sex (Male, Female or Unknown)]])),ISNUMBER(Table1[[#This Row],[Birthweight (grams)]]),ISNUMBER(Table1[[#This Row],[Gestation (days)]])),TRUE,FALSE)</f>
        <v>0</v>
      </c>
      <c r="E1301" s="2" t="str">
        <f>IF(Table1[[#This Row],[Is Data Valid]]=TRUE,IF(Table1[[#This Row],[Fetal Sex (Male, Female or Unknown)]]="Male",Backend!$C$6,IF(Table1[[#This Row],[Fetal Sex (Male, Female or Unknown)]]="Female",Backend!$C$7,IF(Table1[[#This Row],[Fetal Sex (Male, Female or Unknown)]]="Unknown",Backend!$C$8,"Error"))),"")</f>
        <v/>
      </c>
      <c r="F1301" s="8" t="str">
        <f>IF(Table1[[#This Row],[Is Data Valid]]=TRUE,EXP(0.578+0.332*((Table1[[#This Row],[Gestation (days)]]+0.5)/7)-0.00354*((Table1[[#This Row],[Gestation (days)]]+0.5)/7)^2)*Table1[[#This Row],[BW40_3705]],"")</f>
        <v/>
      </c>
      <c r="G1301" s="2" t="str">
        <f>IF(Table1[[#This Row],[Is Data Valid]]=TRUE,((Table1[[#This Row],[Birthweight (grams)]]/Table1[[#This Row],[BW_GA]])-1)/(Backend!$B$4/100*Table1[[#This Row],[BW40_3705]]),"")</f>
        <v/>
      </c>
      <c r="H1301" s="7" t="str">
        <f>IF(Table1[[#This Row],[Is Data Valid]]=TRUE,((Table1[[#This Row],[Birthweight (grams)]]*0.9/Table1[[#This Row],[BW_GA]])-1)/(Backend!$B$4/100*Table1[[#This Row],[BW40_3705]]),"")</f>
        <v/>
      </c>
      <c r="I1301" s="7" t="str">
        <f>IF(Table1[[#This Row],[Is Data Valid]]=TRUE,((Table1[[#This Row],[Birthweight (grams)]]*1.1/Table1[[#This Row],[BW_GA]])-1)/(Backend!$B$4/100*Table1[[#This Row],[BW40_3705]]),"")</f>
        <v/>
      </c>
      <c r="J1301" s="7" t="str">
        <f>IF(Table1[[#This Row],[Is Data Valid]]=TRUE,_xlfn.NORM.S.DIST(Table1[[#This Row],[Birthweight Z-Score]],TRUE)*100,"")</f>
        <v/>
      </c>
      <c r="K1301" s="7" t="str">
        <f>IF(Table1[[#This Row],[Is Data Valid]]=TRUE,_xlfn.NORM.S.DIST(Table1[[#This Row],[Birthweight Z-Score (BW-10%)]],TRUE)*100,"")</f>
        <v/>
      </c>
      <c r="L1301" s="7" t="str">
        <f>IF(Table1[[#This Row],[Is Data Valid]]=TRUE,_xlfn.NORM.S.DIST(Table1[[#This Row],[Birthweight Z-Score (BW+10%)]],TRUE)*100,"")</f>
        <v/>
      </c>
    </row>
    <row r="1302" spans="1:12" x14ac:dyDescent="0.35">
      <c r="A1302" s="3"/>
      <c r="B1302" s="2"/>
      <c r="C1302" s="2"/>
      <c r="D1302" s="2" t="b">
        <f>IF(AND(NOT(ISBLANK(Table1[[#This Row],[Fetal Sex (Male, Female or Unknown)]])),ISNUMBER(Table1[[#This Row],[Birthweight (grams)]]),ISNUMBER(Table1[[#This Row],[Gestation (days)]])),TRUE,FALSE)</f>
        <v>0</v>
      </c>
      <c r="E1302" s="2" t="str">
        <f>IF(Table1[[#This Row],[Is Data Valid]]=TRUE,IF(Table1[[#This Row],[Fetal Sex (Male, Female or Unknown)]]="Male",Backend!$C$6,IF(Table1[[#This Row],[Fetal Sex (Male, Female or Unknown)]]="Female",Backend!$C$7,IF(Table1[[#This Row],[Fetal Sex (Male, Female or Unknown)]]="Unknown",Backend!$C$8,"Error"))),"")</f>
        <v/>
      </c>
      <c r="F1302" s="8" t="str">
        <f>IF(Table1[[#This Row],[Is Data Valid]]=TRUE,EXP(0.578+0.332*((Table1[[#This Row],[Gestation (days)]]+0.5)/7)-0.00354*((Table1[[#This Row],[Gestation (days)]]+0.5)/7)^2)*Table1[[#This Row],[BW40_3705]],"")</f>
        <v/>
      </c>
      <c r="G1302" s="2" t="str">
        <f>IF(Table1[[#This Row],[Is Data Valid]]=TRUE,((Table1[[#This Row],[Birthweight (grams)]]/Table1[[#This Row],[BW_GA]])-1)/(Backend!$B$4/100*Table1[[#This Row],[BW40_3705]]),"")</f>
        <v/>
      </c>
      <c r="H1302" s="7" t="str">
        <f>IF(Table1[[#This Row],[Is Data Valid]]=TRUE,((Table1[[#This Row],[Birthweight (grams)]]*0.9/Table1[[#This Row],[BW_GA]])-1)/(Backend!$B$4/100*Table1[[#This Row],[BW40_3705]]),"")</f>
        <v/>
      </c>
      <c r="I1302" s="7" t="str">
        <f>IF(Table1[[#This Row],[Is Data Valid]]=TRUE,((Table1[[#This Row],[Birthweight (grams)]]*1.1/Table1[[#This Row],[BW_GA]])-1)/(Backend!$B$4/100*Table1[[#This Row],[BW40_3705]]),"")</f>
        <v/>
      </c>
      <c r="J1302" s="7" t="str">
        <f>IF(Table1[[#This Row],[Is Data Valid]]=TRUE,_xlfn.NORM.S.DIST(Table1[[#This Row],[Birthweight Z-Score]],TRUE)*100,"")</f>
        <v/>
      </c>
      <c r="K1302" s="7" t="str">
        <f>IF(Table1[[#This Row],[Is Data Valid]]=TRUE,_xlfn.NORM.S.DIST(Table1[[#This Row],[Birthweight Z-Score (BW-10%)]],TRUE)*100,"")</f>
        <v/>
      </c>
      <c r="L1302" s="7" t="str">
        <f>IF(Table1[[#This Row],[Is Data Valid]]=TRUE,_xlfn.NORM.S.DIST(Table1[[#This Row],[Birthweight Z-Score (BW+10%)]],TRUE)*100,"")</f>
        <v/>
      </c>
    </row>
    <row r="1303" spans="1:12" x14ac:dyDescent="0.35">
      <c r="A1303" s="3"/>
      <c r="B1303" s="2"/>
      <c r="C1303" s="2"/>
      <c r="D1303" s="2" t="b">
        <f>IF(AND(NOT(ISBLANK(Table1[[#This Row],[Fetal Sex (Male, Female or Unknown)]])),ISNUMBER(Table1[[#This Row],[Birthweight (grams)]]),ISNUMBER(Table1[[#This Row],[Gestation (days)]])),TRUE,FALSE)</f>
        <v>0</v>
      </c>
      <c r="E1303" s="2" t="str">
        <f>IF(Table1[[#This Row],[Is Data Valid]]=TRUE,IF(Table1[[#This Row],[Fetal Sex (Male, Female or Unknown)]]="Male",Backend!$C$6,IF(Table1[[#This Row],[Fetal Sex (Male, Female or Unknown)]]="Female",Backend!$C$7,IF(Table1[[#This Row],[Fetal Sex (Male, Female or Unknown)]]="Unknown",Backend!$C$8,"Error"))),"")</f>
        <v/>
      </c>
      <c r="F1303" s="8" t="str">
        <f>IF(Table1[[#This Row],[Is Data Valid]]=TRUE,EXP(0.578+0.332*((Table1[[#This Row],[Gestation (days)]]+0.5)/7)-0.00354*((Table1[[#This Row],[Gestation (days)]]+0.5)/7)^2)*Table1[[#This Row],[BW40_3705]],"")</f>
        <v/>
      </c>
      <c r="G1303" s="2" t="str">
        <f>IF(Table1[[#This Row],[Is Data Valid]]=TRUE,((Table1[[#This Row],[Birthweight (grams)]]/Table1[[#This Row],[BW_GA]])-1)/(Backend!$B$4/100*Table1[[#This Row],[BW40_3705]]),"")</f>
        <v/>
      </c>
      <c r="H1303" s="7" t="str">
        <f>IF(Table1[[#This Row],[Is Data Valid]]=TRUE,((Table1[[#This Row],[Birthweight (grams)]]*0.9/Table1[[#This Row],[BW_GA]])-1)/(Backend!$B$4/100*Table1[[#This Row],[BW40_3705]]),"")</f>
        <v/>
      </c>
      <c r="I1303" s="7" t="str">
        <f>IF(Table1[[#This Row],[Is Data Valid]]=TRUE,((Table1[[#This Row],[Birthweight (grams)]]*1.1/Table1[[#This Row],[BW_GA]])-1)/(Backend!$B$4/100*Table1[[#This Row],[BW40_3705]]),"")</f>
        <v/>
      </c>
      <c r="J1303" s="7" t="str">
        <f>IF(Table1[[#This Row],[Is Data Valid]]=TRUE,_xlfn.NORM.S.DIST(Table1[[#This Row],[Birthweight Z-Score]],TRUE)*100,"")</f>
        <v/>
      </c>
      <c r="K1303" s="7" t="str">
        <f>IF(Table1[[#This Row],[Is Data Valid]]=TRUE,_xlfn.NORM.S.DIST(Table1[[#This Row],[Birthweight Z-Score (BW-10%)]],TRUE)*100,"")</f>
        <v/>
      </c>
      <c r="L1303" s="7" t="str">
        <f>IF(Table1[[#This Row],[Is Data Valid]]=TRUE,_xlfn.NORM.S.DIST(Table1[[#This Row],[Birthweight Z-Score (BW+10%)]],TRUE)*100,"")</f>
        <v/>
      </c>
    </row>
    <row r="1304" spans="1:12" x14ac:dyDescent="0.35">
      <c r="A1304" s="3"/>
      <c r="B1304" s="2"/>
      <c r="C1304" s="2"/>
      <c r="D1304" s="2" t="b">
        <f>IF(AND(NOT(ISBLANK(Table1[[#This Row],[Fetal Sex (Male, Female or Unknown)]])),ISNUMBER(Table1[[#This Row],[Birthweight (grams)]]),ISNUMBER(Table1[[#This Row],[Gestation (days)]])),TRUE,FALSE)</f>
        <v>0</v>
      </c>
      <c r="E1304" s="2" t="str">
        <f>IF(Table1[[#This Row],[Is Data Valid]]=TRUE,IF(Table1[[#This Row],[Fetal Sex (Male, Female or Unknown)]]="Male",Backend!$C$6,IF(Table1[[#This Row],[Fetal Sex (Male, Female or Unknown)]]="Female",Backend!$C$7,IF(Table1[[#This Row],[Fetal Sex (Male, Female or Unknown)]]="Unknown",Backend!$C$8,"Error"))),"")</f>
        <v/>
      </c>
      <c r="F1304" s="8" t="str">
        <f>IF(Table1[[#This Row],[Is Data Valid]]=TRUE,EXP(0.578+0.332*((Table1[[#This Row],[Gestation (days)]]+0.5)/7)-0.00354*((Table1[[#This Row],[Gestation (days)]]+0.5)/7)^2)*Table1[[#This Row],[BW40_3705]],"")</f>
        <v/>
      </c>
      <c r="G1304" s="2" t="str">
        <f>IF(Table1[[#This Row],[Is Data Valid]]=TRUE,((Table1[[#This Row],[Birthweight (grams)]]/Table1[[#This Row],[BW_GA]])-1)/(Backend!$B$4/100*Table1[[#This Row],[BW40_3705]]),"")</f>
        <v/>
      </c>
      <c r="H1304" s="7" t="str">
        <f>IF(Table1[[#This Row],[Is Data Valid]]=TRUE,((Table1[[#This Row],[Birthweight (grams)]]*0.9/Table1[[#This Row],[BW_GA]])-1)/(Backend!$B$4/100*Table1[[#This Row],[BW40_3705]]),"")</f>
        <v/>
      </c>
      <c r="I1304" s="7" t="str">
        <f>IF(Table1[[#This Row],[Is Data Valid]]=TRUE,((Table1[[#This Row],[Birthweight (grams)]]*1.1/Table1[[#This Row],[BW_GA]])-1)/(Backend!$B$4/100*Table1[[#This Row],[BW40_3705]]),"")</f>
        <v/>
      </c>
      <c r="J1304" s="7" t="str">
        <f>IF(Table1[[#This Row],[Is Data Valid]]=TRUE,_xlfn.NORM.S.DIST(Table1[[#This Row],[Birthweight Z-Score]],TRUE)*100,"")</f>
        <v/>
      </c>
      <c r="K1304" s="7" t="str">
        <f>IF(Table1[[#This Row],[Is Data Valid]]=TRUE,_xlfn.NORM.S.DIST(Table1[[#This Row],[Birthweight Z-Score (BW-10%)]],TRUE)*100,"")</f>
        <v/>
      </c>
      <c r="L1304" s="7" t="str">
        <f>IF(Table1[[#This Row],[Is Data Valid]]=TRUE,_xlfn.NORM.S.DIST(Table1[[#This Row],[Birthweight Z-Score (BW+10%)]],TRUE)*100,"")</f>
        <v/>
      </c>
    </row>
    <row r="1305" spans="1:12" x14ac:dyDescent="0.35">
      <c r="A1305" s="3"/>
      <c r="B1305" s="2"/>
      <c r="C1305" s="2"/>
      <c r="D1305" s="2" t="b">
        <f>IF(AND(NOT(ISBLANK(Table1[[#This Row],[Fetal Sex (Male, Female or Unknown)]])),ISNUMBER(Table1[[#This Row],[Birthweight (grams)]]),ISNUMBER(Table1[[#This Row],[Gestation (days)]])),TRUE,FALSE)</f>
        <v>0</v>
      </c>
      <c r="E1305" s="2" t="str">
        <f>IF(Table1[[#This Row],[Is Data Valid]]=TRUE,IF(Table1[[#This Row],[Fetal Sex (Male, Female or Unknown)]]="Male",Backend!$C$6,IF(Table1[[#This Row],[Fetal Sex (Male, Female or Unknown)]]="Female",Backend!$C$7,IF(Table1[[#This Row],[Fetal Sex (Male, Female or Unknown)]]="Unknown",Backend!$C$8,"Error"))),"")</f>
        <v/>
      </c>
      <c r="F1305" s="8" t="str">
        <f>IF(Table1[[#This Row],[Is Data Valid]]=TRUE,EXP(0.578+0.332*((Table1[[#This Row],[Gestation (days)]]+0.5)/7)-0.00354*((Table1[[#This Row],[Gestation (days)]]+0.5)/7)^2)*Table1[[#This Row],[BW40_3705]],"")</f>
        <v/>
      </c>
      <c r="G1305" s="2" t="str">
        <f>IF(Table1[[#This Row],[Is Data Valid]]=TRUE,((Table1[[#This Row],[Birthweight (grams)]]/Table1[[#This Row],[BW_GA]])-1)/(Backend!$B$4/100*Table1[[#This Row],[BW40_3705]]),"")</f>
        <v/>
      </c>
      <c r="H1305" s="7" t="str">
        <f>IF(Table1[[#This Row],[Is Data Valid]]=TRUE,((Table1[[#This Row],[Birthweight (grams)]]*0.9/Table1[[#This Row],[BW_GA]])-1)/(Backend!$B$4/100*Table1[[#This Row],[BW40_3705]]),"")</f>
        <v/>
      </c>
      <c r="I1305" s="7" t="str">
        <f>IF(Table1[[#This Row],[Is Data Valid]]=TRUE,((Table1[[#This Row],[Birthweight (grams)]]*1.1/Table1[[#This Row],[BW_GA]])-1)/(Backend!$B$4/100*Table1[[#This Row],[BW40_3705]]),"")</f>
        <v/>
      </c>
      <c r="J1305" s="7" t="str">
        <f>IF(Table1[[#This Row],[Is Data Valid]]=TRUE,_xlfn.NORM.S.DIST(Table1[[#This Row],[Birthweight Z-Score]],TRUE)*100,"")</f>
        <v/>
      </c>
      <c r="K1305" s="7" t="str">
        <f>IF(Table1[[#This Row],[Is Data Valid]]=TRUE,_xlfn.NORM.S.DIST(Table1[[#This Row],[Birthweight Z-Score (BW-10%)]],TRUE)*100,"")</f>
        <v/>
      </c>
      <c r="L1305" s="7" t="str">
        <f>IF(Table1[[#This Row],[Is Data Valid]]=TRUE,_xlfn.NORM.S.DIST(Table1[[#This Row],[Birthweight Z-Score (BW+10%)]],TRUE)*100,"")</f>
        <v/>
      </c>
    </row>
    <row r="1306" spans="1:12" x14ac:dyDescent="0.35">
      <c r="A1306" s="3"/>
      <c r="B1306" s="2"/>
      <c r="C1306" s="2"/>
      <c r="D1306" s="2" t="b">
        <f>IF(AND(NOT(ISBLANK(Table1[[#This Row],[Fetal Sex (Male, Female or Unknown)]])),ISNUMBER(Table1[[#This Row],[Birthweight (grams)]]),ISNUMBER(Table1[[#This Row],[Gestation (days)]])),TRUE,FALSE)</f>
        <v>0</v>
      </c>
      <c r="E1306" s="2" t="str">
        <f>IF(Table1[[#This Row],[Is Data Valid]]=TRUE,IF(Table1[[#This Row],[Fetal Sex (Male, Female or Unknown)]]="Male",Backend!$C$6,IF(Table1[[#This Row],[Fetal Sex (Male, Female or Unknown)]]="Female",Backend!$C$7,IF(Table1[[#This Row],[Fetal Sex (Male, Female or Unknown)]]="Unknown",Backend!$C$8,"Error"))),"")</f>
        <v/>
      </c>
      <c r="F1306" s="8" t="str">
        <f>IF(Table1[[#This Row],[Is Data Valid]]=TRUE,EXP(0.578+0.332*((Table1[[#This Row],[Gestation (days)]]+0.5)/7)-0.00354*((Table1[[#This Row],[Gestation (days)]]+0.5)/7)^2)*Table1[[#This Row],[BW40_3705]],"")</f>
        <v/>
      </c>
      <c r="G1306" s="2" t="str">
        <f>IF(Table1[[#This Row],[Is Data Valid]]=TRUE,((Table1[[#This Row],[Birthweight (grams)]]/Table1[[#This Row],[BW_GA]])-1)/(Backend!$B$4/100*Table1[[#This Row],[BW40_3705]]),"")</f>
        <v/>
      </c>
      <c r="H1306" s="7" t="str">
        <f>IF(Table1[[#This Row],[Is Data Valid]]=TRUE,((Table1[[#This Row],[Birthweight (grams)]]*0.9/Table1[[#This Row],[BW_GA]])-1)/(Backend!$B$4/100*Table1[[#This Row],[BW40_3705]]),"")</f>
        <v/>
      </c>
      <c r="I1306" s="7" t="str">
        <f>IF(Table1[[#This Row],[Is Data Valid]]=TRUE,((Table1[[#This Row],[Birthweight (grams)]]*1.1/Table1[[#This Row],[BW_GA]])-1)/(Backend!$B$4/100*Table1[[#This Row],[BW40_3705]]),"")</f>
        <v/>
      </c>
      <c r="J1306" s="7" t="str">
        <f>IF(Table1[[#This Row],[Is Data Valid]]=TRUE,_xlfn.NORM.S.DIST(Table1[[#This Row],[Birthweight Z-Score]],TRUE)*100,"")</f>
        <v/>
      </c>
      <c r="K1306" s="7" t="str">
        <f>IF(Table1[[#This Row],[Is Data Valid]]=TRUE,_xlfn.NORM.S.DIST(Table1[[#This Row],[Birthweight Z-Score (BW-10%)]],TRUE)*100,"")</f>
        <v/>
      </c>
      <c r="L1306" s="7" t="str">
        <f>IF(Table1[[#This Row],[Is Data Valid]]=TRUE,_xlfn.NORM.S.DIST(Table1[[#This Row],[Birthweight Z-Score (BW+10%)]],TRUE)*100,"")</f>
        <v/>
      </c>
    </row>
    <row r="1307" spans="1:12" x14ac:dyDescent="0.35">
      <c r="A1307" s="3"/>
      <c r="B1307" s="2"/>
      <c r="C1307" s="2"/>
      <c r="D1307" s="2" t="b">
        <f>IF(AND(NOT(ISBLANK(Table1[[#This Row],[Fetal Sex (Male, Female or Unknown)]])),ISNUMBER(Table1[[#This Row],[Birthweight (grams)]]),ISNUMBER(Table1[[#This Row],[Gestation (days)]])),TRUE,FALSE)</f>
        <v>0</v>
      </c>
      <c r="E1307" s="2" t="str">
        <f>IF(Table1[[#This Row],[Is Data Valid]]=TRUE,IF(Table1[[#This Row],[Fetal Sex (Male, Female or Unknown)]]="Male",Backend!$C$6,IF(Table1[[#This Row],[Fetal Sex (Male, Female or Unknown)]]="Female",Backend!$C$7,IF(Table1[[#This Row],[Fetal Sex (Male, Female or Unknown)]]="Unknown",Backend!$C$8,"Error"))),"")</f>
        <v/>
      </c>
      <c r="F1307" s="8" t="str">
        <f>IF(Table1[[#This Row],[Is Data Valid]]=TRUE,EXP(0.578+0.332*((Table1[[#This Row],[Gestation (days)]]+0.5)/7)-0.00354*((Table1[[#This Row],[Gestation (days)]]+0.5)/7)^2)*Table1[[#This Row],[BW40_3705]],"")</f>
        <v/>
      </c>
      <c r="G1307" s="2" t="str">
        <f>IF(Table1[[#This Row],[Is Data Valid]]=TRUE,((Table1[[#This Row],[Birthweight (grams)]]/Table1[[#This Row],[BW_GA]])-1)/(Backend!$B$4/100*Table1[[#This Row],[BW40_3705]]),"")</f>
        <v/>
      </c>
      <c r="H1307" s="7" t="str">
        <f>IF(Table1[[#This Row],[Is Data Valid]]=TRUE,((Table1[[#This Row],[Birthweight (grams)]]*0.9/Table1[[#This Row],[BW_GA]])-1)/(Backend!$B$4/100*Table1[[#This Row],[BW40_3705]]),"")</f>
        <v/>
      </c>
      <c r="I1307" s="7" t="str">
        <f>IF(Table1[[#This Row],[Is Data Valid]]=TRUE,((Table1[[#This Row],[Birthweight (grams)]]*1.1/Table1[[#This Row],[BW_GA]])-1)/(Backend!$B$4/100*Table1[[#This Row],[BW40_3705]]),"")</f>
        <v/>
      </c>
      <c r="J1307" s="7" t="str">
        <f>IF(Table1[[#This Row],[Is Data Valid]]=TRUE,_xlfn.NORM.S.DIST(Table1[[#This Row],[Birthweight Z-Score]],TRUE)*100,"")</f>
        <v/>
      </c>
      <c r="K1307" s="7" t="str">
        <f>IF(Table1[[#This Row],[Is Data Valid]]=TRUE,_xlfn.NORM.S.DIST(Table1[[#This Row],[Birthweight Z-Score (BW-10%)]],TRUE)*100,"")</f>
        <v/>
      </c>
      <c r="L1307" s="7" t="str">
        <f>IF(Table1[[#This Row],[Is Data Valid]]=TRUE,_xlfn.NORM.S.DIST(Table1[[#This Row],[Birthweight Z-Score (BW+10%)]],TRUE)*100,"")</f>
        <v/>
      </c>
    </row>
    <row r="1308" spans="1:12" x14ac:dyDescent="0.35">
      <c r="A1308" s="3"/>
      <c r="B1308" s="2"/>
      <c r="C1308" s="2"/>
      <c r="D1308" s="2" t="b">
        <f>IF(AND(NOT(ISBLANK(Table1[[#This Row],[Fetal Sex (Male, Female or Unknown)]])),ISNUMBER(Table1[[#This Row],[Birthweight (grams)]]),ISNUMBER(Table1[[#This Row],[Gestation (days)]])),TRUE,FALSE)</f>
        <v>0</v>
      </c>
      <c r="E1308" s="2" t="str">
        <f>IF(Table1[[#This Row],[Is Data Valid]]=TRUE,IF(Table1[[#This Row],[Fetal Sex (Male, Female or Unknown)]]="Male",Backend!$C$6,IF(Table1[[#This Row],[Fetal Sex (Male, Female or Unknown)]]="Female",Backend!$C$7,IF(Table1[[#This Row],[Fetal Sex (Male, Female or Unknown)]]="Unknown",Backend!$C$8,"Error"))),"")</f>
        <v/>
      </c>
      <c r="F1308" s="8" t="str">
        <f>IF(Table1[[#This Row],[Is Data Valid]]=TRUE,EXP(0.578+0.332*((Table1[[#This Row],[Gestation (days)]]+0.5)/7)-0.00354*((Table1[[#This Row],[Gestation (days)]]+0.5)/7)^2)*Table1[[#This Row],[BW40_3705]],"")</f>
        <v/>
      </c>
      <c r="G1308" s="2" t="str">
        <f>IF(Table1[[#This Row],[Is Data Valid]]=TRUE,((Table1[[#This Row],[Birthweight (grams)]]/Table1[[#This Row],[BW_GA]])-1)/(Backend!$B$4/100*Table1[[#This Row],[BW40_3705]]),"")</f>
        <v/>
      </c>
      <c r="H1308" s="7" t="str">
        <f>IF(Table1[[#This Row],[Is Data Valid]]=TRUE,((Table1[[#This Row],[Birthweight (grams)]]*0.9/Table1[[#This Row],[BW_GA]])-1)/(Backend!$B$4/100*Table1[[#This Row],[BW40_3705]]),"")</f>
        <v/>
      </c>
      <c r="I1308" s="7" t="str">
        <f>IF(Table1[[#This Row],[Is Data Valid]]=TRUE,((Table1[[#This Row],[Birthweight (grams)]]*1.1/Table1[[#This Row],[BW_GA]])-1)/(Backend!$B$4/100*Table1[[#This Row],[BW40_3705]]),"")</f>
        <v/>
      </c>
      <c r="J1308" s="7" t="str">
        <f>IF(Table1[[#This Row],[Is Data Valid]]=TRUE,_xlfn.NORM.S.DIST(Table1[[#This Row],[Birthweight Z-Score]],TRUE)*100,"")</f>
        <v/>
      </c>
      <c r="K1308" s="7" t="str">
        <f>IF(Table1[[#This Row],[Is Data Valid]]=TRUE,_xlfn.NORM.S.DIST(Table1[[#This Row],[Birthweight Z-Score (BW-10%)]],TRUE)*100,"")</f>
        <v/>
      </c>
      <c r="L1308" s="7" t="str">
        <f>IF(Table1[[#This Row],[Is Data Valid]]=TRUE,_xlfn.NORM.S.DIST(Table1[[#This Row],[Birthweight Z-Score (BW+10%)]],TRUE)*100,"")</f>
        <v/>
      </c>
    </row>
    <row r="1309" spans="1:12" x14ac:dyDescent="0.35">
      <c r="A1309" s="3"/>
      <c r="B1309" s="2"/>
      <c r="C1309" s="2"/>
      <c r="D1309" s="2" t="b">
        <f>IF(AND(NOT(ISBLANK(Table1[[#This Row],[Fetal Sex (Male, Female or Unknown)]])),ISNUMBER(Table1[[#This Row],[Birthweight (grams)]]),ISNUMBER(Table1[[#This Row],[Gestation (days)]])),TRUE,FALSE)</f>
        <v>0</v>
      </c>
      <c r="E1309" s="2" t="str">
        <f>IF(Table1[[#This Row],[Is Data Valid]]=TRUE,IF(Table1[[#This Row],[Fetal Sex (Male, Female or Unknown)]]="Male",Backend!$C$6,IF(Table1[[#This Row],[Fetal Sex (Male, Female or Unknown)]]="Female",Backend!$C$7,IF(Table1[[#This Row],[Fetal Sex (Male, Female or Unknown)]]="Unknown",Backend!$C$8,"Error"))),"")</f>
        <v/>
      </c>
      <c r="F1309" s="8" t="str">
        <f>IF(Table1[[#This Row],[Is Data Valid]]=TRUE,EXP(0.578+0.332*((Table1[[#This Row],[Gestation (days)]]+0.5)/7)-0.00354*((Table1[[#This Row],[Gestation (days)]]+0.5)/7)^2)*Table1[[#This Row],[BW40_3705]],"")</f>
        <v/>
      </c>
      <c r="G1309" s="2" t="str">
        <f>IF(Table1[[#This Row],[Is Data Valid]]=TRUE,((Table1[[#This Row],[Birthweight (grams)]]/Table1[[#This Row],[BW_GA]])-1)/(Backend!$B$4/100*Table1[[#This Row],[BW40_3705]]),"")</f>
        <v/>
      </c>
      <c r="H1309" s="7" t="str">
        <f>IF(Table1[[#This Row],[Is Data Valid]]=TRUE,((Table1[[#This Row],[Birthweight (grams)]]*0.9/Table1[[#This Row],[BW_GA]])-1)/(Backend!$B$4/100*Table1[[#This Row],[BW40_3705]]),"")</f>
        <v/>
      </c>
      <c r="I1309" s="7" t="str">
        <f>IF(Table1[[#This Row],[Is Data Valid]]=TRUE,((Table1[[#This Row],[Birthweight (grams)]]*1.1/Table1[[#This Row],[BW_GA]])-1)/(Backend!$B$4/100*Table1[[#This Row],[BW40_3705]]),"")</f>
        <v/>
      </c>
      <c r="J1309" s="7" t="str">
        <f>IF(Table1[[#This Row],[Is Data Valid]]=TRUE,_xlfn.NORM.S.DIST(Table1[[#This Row],[Birthweight Z-Score]],TRUE)*100,"")</f>
        <v/>
      </c>
      <c r="K1309" s="7" t="str">
        <f>IF(Table1[[#This Row],[Is Data Valid]]=TRUE,_xlfn.NORM.S.DIST(Table1[[#This Row],[Birthweight Z-Score (BW-10%)]],TRUE)*100,"")</f>
        <v/>
      </c>
      <c r="L1309" s="7" t="str">
        <f>IF(Table1[[#This Row],[Is Data Valid]]=TRUE,_xlfn.NORM.S.DIST(Table1[[#This Row],[Birthweight Z-Score (BW+10%)]],TRUE)*100,"")</f>
        <v/>
      </c>
    </row>
    <row r="1310" spans="1:12" x14ac:dyDescent="0.35">
      <c r="A1310" s="3"/>
      <c r="B1310" s="2"/>
      <c r="C1310" s="2"/>
      <c r="D1310" s="2" t="b">
        <f>IF(AND(NOT(ISBLANK(Table1[[#This Row],[Fetal Sex (Male, Female or Unknown)]])),ISNUMBER(Table1[[#This Row],[Birthweight (grams)]]),ISNUMBER(Table1[[#This Row],[Gestation (days)]])),TRUE,FALSE)</f>
        <v>0</v>
      </c>
      <c r="E1310" s="2" t="str">
        <f>IF(Table1[[#This Row],[Is Data Valid]]=TRUE,IF(Table1[[#This Row],[Fetal Sex (Male, Female or Unknown)]]="Male",Backend!$C$6,IF(Table1[[#This Row],[Fetal Sex (Male, Female or Unknown)]]="Female",Backend!$C$7,IF(Table1[[#This Row],[Fetal Sex (Male, Female or Unknown)]]="Unknown",Backend!$C$8,"Error"))),"")</f>
        <v/>
      </c>
      <c r="F1310" s="8" t="str">
        <f>IF(Table1[[#This Row],[Is Data Valid]]=TRUE,EXP(0.578+0.332*((Table1[[#This Row],[Gestation (days)]]+0.5)/7)-0.00354*((Table1[[#This Row],[Gestation (days)]]+0.5)/7)^2)*Table1[[#This Row],[BW40_3705]],"")</f>
        <v/>
      </c>
      <c r="G1310" s="2" t="str">
        <f>IF(Table1[[#This Row],[Is Data Valid]]=TRUE,((Table1[[#This Row],[Birthweight (grams)]]/Table1[[#This Row],[BW_GA]])-1)/(Backend!$B$4/100*Table1[[#This Row],[BW40_3705]]),"")</f>
        <v/>
      </c>
      <c r="H1310" s="7" t="str">
        <f>IF(Table1[[#This Row],[Is Data Valid]]=TRUE,((Table1[[#This Row],[Birthweight (grams)]]*0.9/Table1[[#This Row],[BW_GA]])-1)/(Backend!$B$4/100*Table1[[#This Row],[BW40_3705]]),"")</f>
        <v/>
      </c>
      <c r="I1310" s="7" t="str">
        <f>IF(Table1[[#This Row],[Is Data Valid]]=TRUE,((Table1[[#This Row],[Birthweight (grams)]]*1.1/Table1[[#This Row],[BW_GA]])-1)/(Backend!$B$4/100*Table1[[#This Row],[BW40_3705]]),"")</f>
        <v/>
      </c>
      <c r="J1310" s="7" t="str">
        <f>IF(Table1[[#This Row],[Is Data Valid]]=TRUE,_xlfn.NORM.S.DIST(Table1[[#This Row],[Birthweight Z-Score]],TRUE)*100,"")</f>
        <v/>
      </c>
      <c r="K1310" s="7" t="str">
        <f>IF(Table1[[#This Row],[Is Data Valid]]=TRUE,_xlfn.NORM.S.DIST(Table1[[#This Row],[Birthweight Z-Score (BW-10%)]],TRUE)*100,"")</f>
        <v/>
      </c>
      <c r="L1310" s="7" t="str">
        <f>IF(Table1[[#This Row],[Is Data Valid]]=TRUE,_xlfn.NORM.S.DIST(Table1[[#This Row],[Birthweight Z-Score (BW+10%)]],TRUE)*100,"")</f>
        <v/>
      </c>
    </row>
    <row r="1311" spans="1:12" x14ac:dyDescent="0.35">
      <c r="A1311" s="3"/>
      <c r="B1311" s="2"/>
      <c r="C1311" s="2"/>
      <c r="D1311" s="2" t="b">
        <f>IF(AND(NOT(ISBLANK(Table1[[#This Row],[Fetal Sex (Male, Female or Unknown)]])),ISNUMBER(Table1[[#This Row],[Birthweight (grams)]]),ISNUMBER(Table1[[#This Row],[Gestation (days)]])),TRUE,FALSE)</f>
        <v>0</v>
      </c>
      <c r="E1311" s="2" t="str">
        <f>IF(Table1[[#This Row],[Is Data Valid]]=TRUE,IF(Table1[[#This Row],[Fetal Sex (Male, Female or Unknown)]]="Male",Backend!$C$6,IF(Table1[[#This Row],[Fetal Sex (Male, Female or Unknown)]]="Female",Backend!$C$7,IF(Table1[[#This Row],[Fetal Sex (Male, Female or Unknown)]]="Unknown",Backend!$C$8,"Error"))),"")</f>
        <v/>
      </c>
      <c r="F1311" s="8" t="str">
        <f>IF(Table1[[#This Row],[Is Data Valid]]=TRUE,EXP(0.578+0.332*((Table1[[#This Row],[Gestation (days)]]+0.5)/7)-0.00354*((Table1[[#This Row],[Gestation (days)]]+0.5)/7)^2)*Table1[[#This Row],[BW40_3705]],"")</f>
        <v/>
      </c>
      <c r="G1311" s="2" t="str">
        <f>IF(Table1[[#This Row],[Is Data Valid]]=TRUE,((Table1[[#This Row],[Birthweight (grams)]]/Table1[[#This Row],[BW_GA]])-1)/(Backend!$B$4/100*Table1[[#This Row],[BW40_3705]]),"")</f>
        <v/>
      </c>
      <c r="H1311" s="7" t="str">
        <f>IF(Table1[[#This Row],[Is Data Valid]]=TRUE,((Table1[[#This Row],[Birthweight (grams)]]*0.9/Table1[[#This Row],[BW_GA]])-1)/(Backend!$B$4/100*Table1[[#This Row],[BW40_3705]]),"")</f>
        <v/>
      </c>
      <c r="I1311" s="7" t="str">
        <f>IF(Table1[[#This Row],[Is Data Valid]]=TRUE,((Table1[[#This Row],[Birthweight (grams)]]*1.1/Table1[[#This Row],[BW_GA]])-1)/(Backend!$B$4/100*Table1[[#This Row],[BW40_3705]]),"")</f>
        <v/>
      </c>
      <c r="J1311" s="7" t="str">
        <f>IF(Table1[[#This Row],[Is Data Valid]]=TRUE,_xlfn.NORM.S.DIST(Table1[[#This Row],[Birthweight Z-Score]],TRUE)*100,"")</f>
        <v/>
      </c>
      <c r="K1311" s="7" t="str">
        <f>IF(Table1[[#This Row],[Is Data Valid]]=TRUE,_xlfn.NORM.S.DIST(Table1[[#This Row],[Birthweight Z-Score (BW-10%)]],TRUE)*100,"")</f>
        <v/>
      </c>
      <c r="L1311" s="7" t="str">
        <f>IF(Table1[[#This Row],[Is Data Valid]]=TRUE,_xlfn.NORM.S.DIST(Table1[[#This Row],[Birthweight Z-Score (BW+10%)]],TRUE)*100,"")</f>
        <v/>
      </c>
    </row>
    <row r="1312" spans="1:12" x14ac:dyDescent="0.35">
      <c r="A1312" s="3"/>
      <c r="B1312" s="2"/>
      <c r="C1312" s="2"/>
      <c r="D1312" s="2" t="b">
        <f>IF(AND(NOT(ISBLANK(Table1[[#This Row],[Fetal Sex (Male, Female or Unknown)]])),ISNUMBER(Table1[[#This Row],[Birthweight (grams)]]),ISNUMBER(Table1[[#This Row],[Gestation (days)]])),TRUE,FALSE)</f>
        <v>0</v>
      </c>
      <c r="E1312" s="2" t="str">
        <f>IF(Table1[[#This Row],[Is Data Valid]]=TRUE,IF(Table1[[#This Row],[Fetal Sex (Male, Female or Unknown)]]="Male",Backend!$C$6,IF(Table1[[#This Row],[Fetal Sex (Male, Female or Unknown)]]="Female",Backend!$C$7,IF(Table1[[#This Row],[Fetal Sex (Male, Female or Unknown)]]="Unknown",Backend!$C$8,"Error"))),"")</f>
        <v/>
      </c>
      <c r="F1312" s="8" t="str">
        <f>IF(Table1[[#This Row],[Is Data Valid]]=TRUE,EXP(0.578+0.332*((Table1[[#This Row],[Gestation (days)]]+0.5)/7)-0.00354*((Table1[[#This Row],[Gestation (days)]]+0.5)/7)^2)*Table1[[#This Row],[BW40_3705]],"")</f>
        <v/>
      </c>
      <c r="G1312" s="2" t="str">
        <f>IF(Table1[[#This Row],[Is Data Valid]]=TRUE,((Table1[[#This Row],[Birthweight (grams)]]/Table1[[#This Row],[BW_GA]])-1)/(Backend!$B$4/100*Table1[[#This Row],[BW40_3705]]),"")</f>
        <v/>
      </c>
      <c r="H1312" s="7" t="str">
        <f>IF(Table1[[#This Row],[Is Data Valid]]=TRUE,((Table1[[#This Row],[Birthweight (grams)]]*0.9/Table1[[#This Row],[BW_GA]])-1)/(Backend!$B$4/100*Table1[[#This Row],[BW40_3705]]),"")</f>
        <v/>
      </c>
      <c r="I1312" s="7" t="str">
        <f>IF(Table1[[#This Row],[Is Data Valid]]=TRUE,((Table1[[#This Row],[Birthweight (grams)]]*1.1/Table1[[#This Row],[BW_GA]])-1)/(Backend!$B$4/100*Table1[[#This Row],[BW40_3705]]),"")</f>
        <v/>
      </c>
      <c r="J1312" s="7" t="str">
        <f>IF(Table1[[#This Row],[Is Data Valid]]=TRUE,_xlfn.NORM.S.DIST(Table1[[#This Row],[Birthweight Z-Score]],TRUE)*100,"")</f>
        <v/>
      </c>
      <c r="K1312" s="7" t="str">
        <f>IF(Table1[[#This Row],[Is Data Valid]]=TRUE,_xlfn.NORM.S.DIST(Table1[[#This Row],[Birthweight Z-Score (BW-10%)]],TRUE)*100,"")</f>
        <v/>
      </c>
      <c r="L1312" s="7" t="str">
        <f>IF(Table1[[#This Row],[Is Data Valid]]=TRUE,_xlfn.NORM.S.DIST(Table1[[#This Row],[Birthweight Z-Score (BW+10%)]],TRUE)*100,"")</f>
        <v/>
      </c>
    </row>
    <row r="1313" spans="1:12" x14ac:dyDescent="0.35">
      <c r="A1313" s="3"/>
      <c r="B1313" s="2"/>
      <c r="C1313" s="2"/>
      <c r="D1313" s="2" t="b">
        <f>IF(AND(NOT(ISBLANK(Table1[[#This Row],[Fetal Sex (Male, Female or Unknown)]])),ISNUMBER(Table1[[#This Row],[Birthweight (grams)]]),ISNUMBER(Table1[[#This Row],[Gestation (days)]])),TRUE,FALSE)</f>
        <v>0</v>
      </c>
      <c r="E1313" s="2" t="str">
        <f>IF(Table1[[#This Row],[Is Data Valid]]=TRUE,IF(Table1[[#This Row],[Fetal Sex (Male, Female or Unknown)]]="Male",Backend!$C$6,IF(Table1[[#This Row],[Fetal Sex (Male, Female or Unknown)]]="Female",Backend!$C$7,IF(Table1[[#This Row],[Fetal Sex (Male, Female or Unknown)]]="Unknown",Backend!$C$8,"Error"))),"")</f>
        <v/>
      </c>
      <c r="F1313" s="8" t="str">
        <f>IF(Table1[[#This Row],[Is Data Valid]]=TRUE,EXP(0.578+0.332*((Table1[[#This Row],[Gestation (days)]]+0.5)/7)-0.00354*((Table1[[#This Row],[Gestation (days)]]+0.5)/7)^2)*Table1[[#This Row],[BW40_3705]],"")</f>
        <v/>
      </c>
      <c r="G1313" s="2" t="str">
        <f>IF(Table1[[#This Row],[Is Data Valid]]=TRUE,((Table1[[#This Row],[Birthweight (grams)]]/Table1[[#This Row],[BW_GA]])-1)/(Backend!$B$4/100*Table1[[#This Row],[BW40_3705]]),"")</f>
        <v/>
      </c>
      <c r="H1313" s="7" t="str">
        <f>IF(Table1[[#This Row],[Is Data Valid]]=TRUE,((Table1[[#This Row],[Birthweight (grams)]]*0.9/Table1[[#This Row],[BW_GA]])-1)/(Backend!$B$4/100*Table1[[#This Row],[BW40_3705]]),"")</f>
        <v/>
      </c>
      <c r="I1313" s="7" t="str">
        <f>IF(Table1[[#This Row],[Is Data Valid]]=TRUE,((Table1[[#This Row],[Birthweight (grams)]]*1.1/Table1[[#This Row],[BW_GA]])-1)/(Backend!$B$4/100*Table1[[#This Row],[BW40_3705]]),"")</f>
        <v/>
      </c>
      <c r="J1313" s="7" t="str">
        <f>IF(Table1[[#This Row],[Is Data Valid]]=TRUE,_xlfn.NORM.S.DIST(Table1[[#This Row],[Birthweight Z-Score]],TRUE)*100,"")</f>
        <v/>
      </c>
      <c r="K1313" s="7" t="str">
        <f>IF(Table1[[#This Row],[Is Data Valid]]=TRUE,_xlfn.NORM.S.DIST(Table1[[#This Row],[Birthweight Z-Score (BW-10%)]],TRUE)*100,"")</f>
        <v/>
      </c>
      <c r="L1313" s="7" t="str">
        <f>IF(Table1[[#This Row],[Is Data Valid]]=TRUE,_xlfn.NORM.S.DIST(Table1[[#This Row],[Birthweight Z-Score (BW+10%)]],TRUE)*100,"")</f>
        <v/>
      </c>
    </row>
    <row r="1314" spans="1:12" x14ac:dyDescent="0.35">
      <c r="A1314" s="3"/>
      <c r="B1314" s="2"/>
      <c r="C1314" s="2"/>
      <c r="D1314" s="2" t="b">
        <f>IF(AND(NOT(ISBLANK(Table1[[#This Row],[Fetal Sex (Male, Female or Unknown)]])),ISNUMBER(Table1[[#This Row],[Birthweight (grams)]]),ISNUMBER(Table1[[#This Row],[Gestation (days)]])),TRUE,FALSE)</f>
        <v>0</v>
      </c>
      <c r="E1314" s="2" t="str">
        <f>IF(Table1[[#This Row],[Is Data Valid]]=TRUE,IF(Table1[[#This Row],[Fetal Sex (Male, Female or Unknown)]]="Male",Backend!$C$6,IF(Table1[[#This Row],[Fetal Sex (Male, Female or Unknown)]]="Female",Backend!$C$7,IF(Table1[[#This Row],[Fetal Sex (Male, Female or Unknown)]]="Unknown",Backend!$C$8,"Error"))),"")</f>
        <v/>
      </c>
      <c r="F1314" s="8" t="str">
        <f>IF(Table1[[#This Row],[Is Data Valid]]=TRUE,EXP(0.578+0.332*((Table1[[#This Row],[Gestation (days)]]+0.5)/7)-0.00354*((Table1[[#This Row],[Gestation (days)]]+0.5)/7)^2)*Table1[[#This Row],[BW40_3705]],"")</f>
        <v/>
      </c>
      <c r="G1314" s="2" t="str">
        <f>IF(Table1[[#This Row],[Is Data Valid]]=TRUE,((Table1[[#This Row],[Birthweight (grams)]]/Table1[[#This Row],[BW_GA]])-1)/(Backend!$B$4/100*Table1[[#This Row],[BW40_3705]]),"")</f>
        <v/>
      </c>
      <c r="H1314" s="7" t="str">
        <f>IF(Table1[[#This Row],[Is Data Valid]]=TRUE,((Table1[[#This Row],[Birthweight (grams)]]*0.9/Table1[[#This Row],[BW_GA]])-1)/(Backend!$B$4/100*Table1[[#This Row],[BW40_3705]]),"")</f>
        <v/>
      </c>
      <c r="I1314" s="7" t="str">
        <f>IF(Table1[[#This Row],[Is Data Valid]]=TRUE,((Table1[[#This Row],[Birthweight (grams)]]*1.1/Table1[[#This Row],[BW_GA]])-1)/(Backend!$B$4/100*Table1[[#This Row],[BW40_3705]]),"")</f>
        <v/>
      </c>
      <c r="J1314" s="7" t="str">
        <f>IF(Table1[[#This Row],[Is Data Valid]]=TRUE,_xlfn.NORM.S.DIST(Table1[[#This Row],[Birthweight Z-Score]],TRUE)*100,"")</f>
        <v/>
      </c>
      <c r="K1314" s="7" t="str">
        <f>IF(Table1[[#This Row],[Is Data Valid]]=TRUE,_xlfn.NORM.S.DIST(Table1[[#This Row],[Birthweight Z-Score (BW-10%)]],TRUE)*100,"")</f>
        <v/>
      </c>
      <c r="L1314" s="7" t="str">
        <f>IF(Table1[[#This Row],[Is Data Valid]]=TRUE,_xlfn.NORM.S.DIST(Table1[[#This Row],[Birthweight Z-Score (BW+10%)]],TRUE)*100,"")</f>
        <v/>
      </c>
    </row>
    <row r="1315" spans="1:12" x14ac:dyDescent="0.35">
      <c r="A1315" s="3"/>
      <c r="B1315" s="2"/>
      <c r="C1315" s="2"/>
      <c r="D1315" s="2" t="b">
        <f>IF(AND(NOT(ISBLANK(Table1[[#This Row],[Fetal Sex (Male, Female or Unknown)]])),ISNUMBER(Table1[[#This Row],[Birthweight (grams)]]),ISNUMBER(Table1[[#This Row],[Gestation (days)]])),TRUE,FALSE)</f>
        <v>0</v>
      </c>
      <c r="E1315" s="2" t="str">
        <f>IF(Table1[[#This Row],[Is Data Valid]]=TRUE,IF(Table1[[#This Row],[Fetal Sex (Male, Female or Unknown)]]="Male",Backend!$C$6,IF(Table1[[#This Row],[Fetal Sex (Male, Female or Unknown)]]="Female",Backend!$C$7,IF(Table1[[#This Row],[Fetal Sex (Male, Female or Unknown)]]="Unknown",Backend!$C$8,"Error"))),"")</f>
        <v/>
      </c>
      <c r="F1315" s="8" t="str">
        <f>IF(Table1[[#This Row],[Is Data Valid]]=TRUE,EXP(0.578+0.332*((Table1[[#This Row],[Gestation (days)]]+0.5)/7)-0.00354*((Table1[[#This Row],[Gestation (days)]]+0.5)/7)^2)*Table1[[#This Row],[BW40_3705]],"")</f>
        <v/>
      </c>
      <c r="G1315" s="2" t="str">
        <f>IF(Table1[[#This Row],[Is Data Valid]]=TRUE,((Table1[[#This Row],[Birthweight (grams)]]/Table1[[#This Row],[BW_GA]])-1)/(Backend!$B$4/100*Table1[[#This Row],[BW40_3705]]),"")</f>
        <v/>
      </c>
      <c r="H1315" s="7" t="str">
        <f>IF(Table1[[#This Row],[Is Data Valid]]=TRUE,((Table1[[#This Row],[Birthweight (grams)]]*0.9/Table1[[#This Row],[BW_GA]])-1)/(Backend!$B$4/100*Table1[[#This Row],[BW40_3705]]),"")</f>
        <v/>
      </c>
      <c r="I1315" s="7" t="str">
        <f>IF(Table1[[#This Row],[Is Data Valid]]=TRUE,((Table1[[#This Row],[Birthweight (grams)]]*1.1/Table1[[#This Row],[BW_GA]])-1)/(Backend!$B$4/100*Table1[[#This Row],[BW40_3705]]),"")</f>
        <v/>
      </c>
      <c r="J1315" s="7" t="str">
        <f>IF(Table1[[#This Row],[Is Data Valid]]=TRUE,_xlfn.NORM.S.DIST(Table1[[#This Row],[Birthweight Z-Score]],TRUE)*100,"")</f>
        <v/>
      </c>
      <c r="K1315" s="7" t="str">
        <f>IF(Table1[[#This Row],[Is Data Valid]]=TRUE,_xlfn.NORM.S.DIST(Table1[[#This Row],[Birthweight Z-Score (BW-10%)]],TRUE)*100,"")</f>
        <v/>
      </c>
      <c r="L1315" s="7" t="str">
        <f>IF(Table1[[#This Row],[Is Data Valid]]=TRUE,_xlfn.NORM.S.DIST(Table1[[#This Row],[Birthweight Z-Score (BW+10%)]],TRUE)*100,"")</f>
        <v/>
      </c>
    </row>
    <row r="1316" spans="1:12" x14ac:dyDescent="0.35">
      <c r="A1316" s="3"/>
      <c r="B1316" s="2"/>
      <c r="C1316" s="2"/>
      <c r="D1316" s="2" t="b">
        <f>IF(AND(NOT(ISBLANK(Table1[[#This Row],[Fetal Sex (Male, Female or Unknown)]])),ISNUMBER(Table1[[#This Row],[Birthweight (grams)]]),ISNUMBER(Table1[[#This Row],[Gestation (days)]])),TRUE,FALSE)</f>
        <v>0</v>
      </c>
      <c r="E1316" s="2" t="str">
        <f>IF(Table1[[#This Row],[Is Data Valid]]=TRUE,IF(Table1[[#This Row],[Fetal Sex (Male, Female or Unknown)]]="Male",Backend!$C$6,IF(Table1[[#This Row],[Fetal Sex (Male, Female or Unknown)]]="Female",Backend!$C$7,IF(Table1[[#This Row],[Fetal Sex (Male, Female or Unknown)]]="Unknown",Backend!$C$8,"Error"))),"")</f>
        <v/>
      </c>
      <c r="F1316" s="8" t="str">
        <f>IF(Table1[[#This Row],[Is Data Valid]]=TRUE,EXP(0.578+0.332*((Table1[[#This Row],[Gestation (days)]]+0.5)/7)-0.00354*((Table1[[#This Row],[Gestation (days)]]+0.5)/7)^2)*Table1[[#This Row],[BW40_3705]],"")</f>
        <v/>
      </c>
      <c r="G1316" s="2" t="str">
        <f>IF(Table1[[#This Row],[Is Data Valid]]=TRUE,((Table1[[#This Row],[Birthweight (grams)]]/Table1[[#This Row],[BW_GA]])-1)/(Backend!$B$4/100*Table1[[#This Row],[BW40_3705]]),"")</f>
        <v/>
      </c>
      <c r="H1316" s="7" t="str">
        <f>IF(Table1[[#This Row],[Is Data Valid]]=TRUE,((Table1[[#This Row],[Birthweight (grams)]]*0.9/Table1[[#This Row],[BW_GA]])-1)/(Backend!$B$4/100*Table1[[#This Row],[BW40_3705]]),"")</f>
        <v/>
      </c>
      <c r="I1316" s="7" t="str">
        <f>IF(Table1[[#This Row],[Is Data Valid]]=TRUE,((Table1[[#This Row],[Birthweight (grams)]]*1.1/Table1[[#This Row],[BW_GA]])-1)/(Backend!$B$4/100*Table1[[#This Row],[BW40_3705]]),"")</f>
        <v/>
      </c>
      <c r="J1316" s="7" t="str">
        <f>IF(Table1[[#This Row],[Is Data Valid]]=TRUE,_xlfn.NORM.S.DIST(Table1[[#This Row],[Birthweight Z-Score]],TRUE)*100,"")</f>
        <v/>
      </c>
      <c r="K1316" s="7" t="str">
        <f>IF(Table1[[#This Row],[Is Data Valid]]=TRUE,_xlfn.NORM.S.DIST(Table1[[#This Row],[Birthweight Z-Score (BW-10%)]],TRUE)*100,"")</f>
        <v/>
      </c>
      <c r="L1316" s="7" t="str">
        <f>IF(Table1[[#This Row],[Is Data Valid]]=TRUE,_xlfn.NORM.S.DIST(Table1[[#This Row],[Birthweight Z-Score (BW+10%)]],TRUE)*100,"")</f>
        <v/>
      </c>
    </row>
    <row r="1317" spans="1:12" x14ac:dyDescent="0.35">
      <c r="A1317" s="3"/>
      <c r="B1317" s="2"/>
      <c r="C1317" s="2"/>
      <c r="D1317" s="2" t="b">
        <f>IF(AND(NOT(ISBLANK(Table1[[#This Row],[Fetal Sex (Male, Female or Unknown)]])),ISNUMBER(Table1[[#This Row],[Birthweight (grams)]]),ISNUMBER(Table1[[#This Row],[Gestation (days)]])),TRUE,FALSE)</f>
        <v>0</v>
      </c>
      <c r="E1317" s="2" t="str">
        <f>IF(Table1[[#This Row],[Is Data Valid]]=TRUE,IF(Table1[[#This Row],[Fetal Sex (Male, Female or Unknown)]]="Male",Backend!$C$6,IF(Table1[[#This Row],[Fetal Sex (Male, Female or Unknown)]]="Female",Backend!$C$7,IF(Table1[[#This Row],[Fetal Sex (Male, Female or Unknown)]]="Unknown",Backend!$C$8,"Error"))),"")</f>
        <v/>
      </c>
      <c r="F1317" s="8" t="str">
        <f>IF(Table1[[#This Row],[Is Data Valid]]=TRUE,EXP(0.578+0.332*((Table1[[#This Row],[Gestation (days)]]+0.5)/7)-0.00354*((Table1[[#This Row],[Gestation (days)]]+0.5)/7)^2)*Table1[[#This Row],[BW40_3705]],"")</f>
        <v/>
      </c>
      <c r="G1317" s="2" t="str">
        <f>IF(Table1[[#This Row],[Is Data Valid]]=TRUE,((Table1[[#This Row],[Birthweight (grams)]]/Table1[[#This Row],[BW_GA]])-1)/(Backend!$B$4/100*Table1[[#This Row],[BW40_3705]]),"")</f>
        <v/>
      </c>
      <c r="H1317" s="7" t="str">
        <f>IF(Table1[[#This Row],[Is Data Valid]]=TRUE,((Table1[[#This Row],[Birthweight (grams)]]*0.9/Table1[[#This Row],[BW_GA]])-1)/(Backend!$B$4/100*Table1[[#This Row],[BW40_3705]]),"")</f>
        <v/>
      </c>
      <c r="I1317" s="7" t="str">
        <f>IF(Table1[[#This Row],[Is Data Valid]]=TRUE,((Table1[[#This Row],[Birthweight (grams)]]*1.1/Table1[[#This Row],[BW_GA]])-1)/(Backend!$B$4/100*Table1[[#This Row],[BW40_3705]]),"")</f>
        <v/>
      </c>
      <c r="J1317" s="7" t="str">
        <f>IF(Table1[[#This Row],[Is Data Valid]]=TRUE,_xlfn.NORM.S.DIST(Table1[[#This Row],[Birthweight Z-Score]],TRUE)*100,"")</f>
        <v/>
      </c>
      <c r="K1317" s="7" t="str">
        <f>IF(Table1[[#This Row],[Is Data Valid]]=TRUE,_xlfn.NORM.S.DIST(Table1[[#This Row],[Birthweight Z-Score (BW-10%)]],TRUE)*100,"")</f>
        <v/>
      </c>
      <c r="L1317" s="7" t="str">
        <f>IF(Table1[[#This Row],[Is Data Valid]]=TRUE,_xlfn.NORM.S.DIST(Table1[[#This Row],[Birthweight Z-Score (BW+10%)]],TRUE)*100,"")</f>
        <v/>
      </c>
    </row>
    <row r="1318" spans="1:12" x14ac:dyDescent="0.35">
      <c r="A1318" s="3"/>
      <c r="B1318" s="2"/>
      <c r="C1318" s="2"/>
      <c r="D1318" s="2" t="b">
        <f>IF(AND(NOT(ISBLANK(Table1[[#This Row],[Fetal Sex (Male, Female or Unknown)]])),ISNUMBER(Table1[[#This Row],[Birthweight (grams)]]),ISNUMBER(Table1[[#This Row],[Gestation (days)]])),TRUE,FALSE)</f>
        <v>0</v>
      </c>
      <c r="E1318" s="2" t="str">
        <f>IF(Table1[[#This Row],[Is Data Valid]]=TRUE,IF(Table1[[#This Row],[Fetal Sex (Male, Female or Unknown)]]="Male",Backend!$C$6,IF(Table1[[#This Row],[Fetal Sex (Male, Female or Unknown)]]="Female",Backend!$C$7,IF(Table1[[#This Row],[Fetal Sex (Male, Female or Unknown)]]="Unknown",Backend!$C$8,"Error"))),"")</f>
        <v/>
      </c>
      <c r="F1318" s="8" t="str">
        <f>IF(Table1[[#This Row],[Is Data Valid]]=TRUE,EXP(0.578+0.332*((Table1[[#This Row],[Gestation (days)]]+0.5)/7)-0.00354*((Table1[[#This Row],[Gestation (days)]]+0.5)/7)^2)*Table1[[#This Row],[BW40_3705]],"")</f>
        <v/>
      </c>
      <c r="G1318" s="2" t="str">
        <f>IF(Table1[[#This Row],[Is Data Valid]]=TRUE,((Table1[[#This Row],[Birthweight (grams)]]/Table1[[#This Row],[BW_GA]])-1)/(Backend!$B$4/100*Table1[[#This Row],[BW40_3705]]),"")</f>
        <v/>
      </c>
      <c r="H1318" s="7" t="str">
        <f>IF(Table1[[#This Row],[Is Data Valid]]=TRUE,((Table1[[#This Row],[Birthweight (grams)]]*0.9/Table1[[#This Row],[BW_GA]])-1)/(Backend!$B$4/100*Table1[[#This Row],[BW40_3705]]),"")</f>
        <v/>
      </c>
      <c r="I1318" s="7" t="str">
        <f>IF(Table1[[#This Row],[Is Data Valid]]=TRUE,((Table1[[#This Row],[Birthweight (grams)]]*1.1/Table1[[#This Row],[BW_GA]])-1)/(Backend!$B$4/100*Table1[[#This Row],[BW40_3705]]),"")</f>
        <v/>
      </c>
      <c r="J1318" s="7" t="str">
        <f>IF(Table1[[#This Row],[Is Data Valid]]=TRUE,_xlfn.NORM.S.DIST(Table1[[#This Row],[Birthweight Z-Score]],TRUE)*100,"")</f>
        <v/>
      </c>
      <c r="K1318" s="7" t="str">
        <f>IF(Table1[[#This Row],[Is Data Valid]]=TRUE,_xlfn.NORM.S.DIST(Table1[[#This Row],[Birthweight Z-Score (BW-10%)]],TRUE)*100,"")</f>
        <v/>
      </c>
      <c r="L1318" s="7" t="str">
        <f>IF(Table1[[#This Row],[Is Data Valid]]=TRUE,_xlfn.NORM.S.DIST(Table1[[#This Row],[Birthweight Z-Score (BW+10%)]],TRUE)*100,"")</f>
        <v/>
      </c>
    </row>
    <row r="1319" spans="1:12" x14ac:dyDescent="0.35">
      <c r="A1319" s="3"/>
      <c r="B1319" s="2"/>
      <c r="C1319" s="2"/>
      <c r="D1319" s="2" t="b">
        <f>IF(AND(NOT(ISBLANK(Table1[[#This Row],[Fetal Sex (Male, Female or Unknown)]])),ISNUMBER(Table1[[#This Row],[Birthweight (grams)]]),ISNUMBER(Table1[[#This Row],[Gestation (days)]])),TRUE,FALSE)</f>
        <v>0</v>
      </c>
      <c r="E1319" s="2" t="str">
        <f>IF(Table1[[#This Row],[Is Data Valid]]=TRUE,IF(Table1[[#This Row],[Fetal Sex (Male, Female or Unknown)]]="Male",Backend!$C$6,IF(Table1[[#This Row],[Fetal Sex (Male, Female or Unknown)]]="Female",Backend!$C$7,IF(Table1[[#This Row],[Fetal Sex (Male, Female or Unknown)]]="Unknown",Backend!$C$8,"Error"))),"")</f>
        <v/>
      </c>
      <c r="F1319" s="8" t="str">
        <f>IF(Table1[[#This Row],[Is Data Valid]]=TRUE,EXP(0.578+0.332*((Table1[[#This Row],[Gestation (days)]]+0.5)/7)-0.00354*((Table1[[#This Row],[Gestation (days)]]+0.5)/7)^2)*Table1[[#This Row],[BW40_3705]],"")</f>
        <v/>
      </c>
      <c r="G1319" s="2" t="str">
        <f>IF(Table1[[#This Row],[Is Data Valid]]=TRUE,((Table1[[#This Row],[Birthweight (grams)]]/Table1[[#This Row],[BW_GA]])-1)/(Backend!$B$4/100*Table1[[#This Row],[BW40_3705]]),"")</f>
        <v/>
      </c>
      <c r="H1319" s="7" t="str">
        <f>IF(Table1[[#This Row],[Is Data Valid]]=TRUE,((Table1[[#This Row],[Birthweight (grams)]]*0.9/Table1[[#This Row],[BW_GA]])-1)/(Backend!$B$4/100*Table1[[#This Row],[BW40_3705]]),"")</f>
        <v/>
      </c>
      <c r="I1319" s="7" t="str">
        <f>IF(Table1[[#This Row],[Is Data Valid]]=TRUE,((Table1[[#This Row],[Birthweight (grams)]]*1.1/Table1[[#This Row],[BW_GA]])-1)/(Backend!$B$4/100*Table1[[#This Row],[BW40_3705]]),"")</f>
        <v/>
      </c>
      <c r="J1319" s="7" t="str">
        <f>IF(Table1[[#This Row],[Is Data Valid]]=TRUE,_xlfn.NORM.S.DIST(Table1[[#This Row],[Birthweight Z-Score]],TRUE)*100,"")</f>
        <v/>
      </c>
      <c r="K1319" s="7" t="str">
        <f>IF(Table1[[#This Row],[Is Data Valid]]=TRUE,_xlfn.NORM.S.DIST(Table1[[#This Row],[Birthweight Z-Score (BW-10%)]],TRUE)*100,"")</f>
        <v/>
      </c>
      <c r="L1319" s="7" t="str">
        <f>IF(Table1[[#This Row],[Is Data Valid]]=TRUE,_xlfn.NORM.S.DIST(Table1[[#This Row],[Birthweight Z-Score (BW+10%)]],TRUE)*100,"")</f>
        <v/>
      </c>
    </row>
    <row r="1320" spans="1:12" x14ac:dyDescent="0.35">
      <c r="A1320" s="3"/>
      <c r="B1320" s="2"/>
      <c r="C1320" s="2"/>
      <c r="D1320" s="2" t="b">
        <f>IF(AND(NOT(ISBLANK(Table1[[#This Row],[Fetal Sex (Male, Female or Unknown)]])),ISNUMBER(Table1[[#This Row],[Birthweight (grams)]]),ISNUMBER(Table1[[#This Row],[Gestation (days)]])),TRUE,FALSE)</f>
        <v>0</v>
      </c>
      <c r="E1320" s="2" t="str">
        <f>IF(Table1[[#This Row],[Is Data Valid]]=TRUE,IF(Table1[[#This Row],[Fetal Sex (Male, Female or Unknown)]]="Male",Backend!$C$6,IF(Table1[[#This Row],[Fetal Sex (Male, Female or Unknown)]]="Female",Backend!$C$7,IF(Table1[[#This Row],[Fetal Sex (Male, Female or Unknown)]]="Unknown",Backend!$C$8,"Error"))),"")</f>
        <v/>
      </c>
      <c r="F1320" s="8" t="str">
        <f>IF(Table1[[#This Row],[Is Data Valid]]=TRUE,EXP(0.578+0.332*((Table1[[#This Row],[Gestation (days)]]+0.5)/7)-0.00354*((Table1[[#This Row],[Gestation (days)]]+0.5)/7)^2)*Table1[[#This Row],[BW40_3705]],"")</f>
        <v/>
      </c>
      <c r="G1320" s="2" t="str">
        <f>IF(Table1[[#This Row],[Is Data Valid]]=TRUE,((Table1[[#This Row],[Birthweight (grams)]]/Table1[[#This Row],[BW_GA]])-1)/(Backend!$B$4/100*Table1[[#This Row],[BW40_3705]]),"")</f>
        <v/>
      </c>
      <c r="H1320" s="7" t="str">
        <f>IF(Table1[[#This Row],[Is Data Valid]]=TRUE,((Table1[[#This Row],[Birthweight (grams)]]*0.9/Table1[[#This Row],[BW_GA]])-1)/(Backend!$B$4/100*Table1[[#This Row],[BW40_3705]]),"")</f>
        <v/>
      </c>
      <c r="I1320" s="7" t="str">
        <f>IF(Table1[[#This Row],[Is Data Valid]]=TRUE,((Table1[[#This Row],[Birthweight (grams)]]*1.1/Table1[[#This Row],[BW_GA]])-1)/(Backend!$B$4/100*Table1[[#This Row],[BW40_3705]]),"")</f>
        <v/>
      </c>
      <c r="J1320" s="7" t="str">
        <f>IF(Table1[[#This Row],[Is Data Valid]]=TRUE,_xlfn.NORM.S.DIST(Table1[[#This Row],[Birthweight Z-Score]],TRUE)*100,"")</f>
        <v/>
      </c>
      <c r="K1320" s="7" t="str">
        <f>IF(Table1[[#This Row],[Is Data Valid]]=TRUE,_xlfn.NORM.S.DIST(Table1[[#This Row],[Birthweight Z-Score (BW-10%)]],TRUE)*100,"")</f>
        <v/>
      </c>
      <c r="L1320" s="7" t="str">
        <f>IF(Table1[[#This Row],[Is Data Valid]]=TRUE,_xlfn.NORM.S.DIST(Table1[[#This Row],[Birthweight Z-Score (BW+10%)]],TRUE)*100,"")</f>
        <v/>
      </c>
    </row>
    <row r="1321" spans="1:12" x14ac:dyDescent="0.35">
      <c r="A1321" s="3"/>
      <c r="B1321" s="2"/>
      <c r="C1321" s="2"/>
      <c r="D1321" s="2" t="b">
        <f>IF(AND(NOT(ISBLANK(Table1[[#This Row],[Fetal Sex (Male, Female or Unknown)]])),ISNUMBER(Table1[[#This Row],[Birthweight (grams)]]),ISNUMBER(Table1[[#This Row],[Gestation (days)]])),TRUE,FALSE)</f>
        <v>0</v>
      </c>
      <c r="E1321" s="2" t="str">
        <f>IF(Table1[[#This Row],[Is Data Valid]]=TRUE,IF(Table1[[#This Row],[Fetal Sex (Male, Female or Unknown)]]="Male",Backend!$C$6,IF(Table1[[#This Row],[Fetal Sex (Male, Female or Unknown)]]="Female",Backend!$C$7,IF(Table1[[#This Row],[Fetal Sex (Male, Female or Unknown)]]="Unknown",Backend!$C$8,"Error"))),"")</f>
        <v/>
      </c>
      <c r="F1321" s="8" t="str">
        <f>IF(Table1[[#This Row],[Is Data Valid]]=TRUE,EXP(0.578+0.332*((Table1[[#This Row],[Gestation (days)]]+0.5)/7)-0.00354*((Table1[[#This Row],[Gestation (days)]]+0.5)/7)^2)*Table1[[#This Row],[BW40_3705]],"")</f>
        <v/>
      </c>
      <c r="G1321" s="2" t="str">
        <f>IF(Table1[[#This Row],[Is Data Valid]]=TRUE,((Table1[[#This Row],[Birthweight (grams)]]/Table1[[#This Row],[BW_GA]])-1)/(Backend!$B$4/100*Table1[[#This Row],[BW40_3705]]),"")</f>
        <v/>
      </c>
      <c r="H1321" s="7" t="str">
        <f>IF(Table1[[#This Row],[Is Data Valid]]=TRUE,((Table1[[#This Row],[Birthweight (grams)]]*0.9/Table1[[#This Row],[BW_GA]])-1)/(Backend!$B$4/100*Table1[[#This Row],[BW40_3705]]),"")</f>
        <v/>
      </c>
      <c r="I1321" s="7" t="str">
        <f>IF(Table1[[#This Row],[Is Data Valid]]=TRUE,((Table1[[#This Row],[Birthweight (grams)]]*1.1/Table1[[#This Row],[BW_GA]])-1)/(Backend!$B$4/100*Table1[[#This Row],[BW40_3705]]),"")</f>
        <v/>
      </c>
      <c r="J1321" s="7" t="str">
        <f>IF(Table1[[#This Row],[Is Data Valid]]=TRUE,_xlfn.NORM.S.DIST(Table1[[#This Row],[Birthweight Z-Score]],TRUE)*100,"")</f>
        <v/>
      </c>
      <c r="K1321" s="7" t="str">
        <f>IF(Table1[[#This Row],[Is Data Valid]]=TRUE,_xlfn.NORM.S.DIST(Table1[[#This Row],[Birthweight Z-Score (BW-10%)]],TRUE)*100,"")</f>
        <v/>
      </c>
      <c r="L1321" s="7" t="str">
        <f>IF(Table1[[#This Row],[Is Data Valid]]=TRUE,_xlfn.NORM.S.DIST(Table1[[#This Row],[Birthweight Z-Score (BW+10%)]],TRUE)*100,"")</f>
        <v/>
      </c>
    </row>
    <row r="1322" spans="1:12" x14ac:dyDescent="0.35">
      <c r="A1322" s="3"/>
      <c r="B1322" s="2"/>
      <c r="C1322" s="2"/>
      <c r="D1322" s="2" t="b">
        <f>IF(AND(NOT(ISBLANK(Table1[[#This Row],[Fetal Sex (Male, Female or Unknown)]])),ISNUMBER(Table1[[#This Row],[Birthweight (grams)]]),ISNUMBER(Table1[[#This Row],[Gestation (days)]])),TRUE,FALSE)</f>
        <v>0</v>
      </c>
      <c r="E1322" s="2" t="str">
        <f>IF(Table1[[#This Row],[Is Data Valid]]=TRUE,IF(Table1[[#This Row],[Fetal Sex (Male, Female or Unknown)]]="Male",Backend!$C$6,IF(Table1[[#This Row],[Fetal Sex (Male, Female or Unknown)]]="Female",Backend!$C$7,IF(Table1[[#This Row],[Fetal Sex (Male, Female or Unknown)]]="Unknown",Backend!$C$8,"Error"))),"")</f>
        <v/>
      </c>
      <c r="F1322" s="8" t="str">
        <f>IF(Table1[[#This Row],[Is Data Valid]]=TRUE,EXP(0.578+0.332*((Table1[[#This Row],[Gestation (days)]]+0.5)/7)-0.00354*((Table1[[#This Row],[Gestation (days)]]+0.5)/7)^2)*Table1[[#This Row],[BW40_3705]],"")</f>
        <v/>
      </c>
      <c r="G1322" s="2" t="str">
        <f>IF(Table1[[#This Row],[Is Data Valid]]=TRUE,((Table1[[#This Row],[Birthweight (grams)]]/Table1[[#This Row],[BW_GA]])-1)/(Backend!$B$4/100*Table1[[#This Row],[BW40_3705]]),"")</f>
        <v/>
      </c>
      <c r="H1322" s="7" t="str">
        <f>IF(Table1[[#This Row],[Is Data Valid]]=TRUE,((Table1[[#This Row],[Birthweight (grams)]]*0.9/Table1[[#This Row],[BW_GA]])-1)/(Backend!$B$4/100*Table1[[#This Row],[BW40_3705]]),"")</f>
        <v/>
      </c>
      <c r="I1322" s="7" t="str">
        <f>IF(Table1[[#This Row],[Is Data Valid]]=TRUE,((Table1[[#This Row],[Birthweight (grams)]]*1.1/Table1[[#This Row],[BW_GA]])-1)/(Backend!$B$4/100*Table1[[#This Row],[BW40_3705]]),"")</f>
        <v/>
      </c>
      <c r="J1322" s="7" t="str">
        <f>IF(Table1[[#This Row],[Is Data Valid]]=TRUE,_xlfn.NORM.S.DIST(Table1[[#This Row],[Birthweight Z-Score]],TRUE)*100,"")</f>
        <v/>
      </c>
      <c r="K1322" s="7" t="str">
        <f>IF(Table1[[#This Row],[Is Data Valid]]=TRUE,_xlfn.NORM.S.DIST(Table1[[#This Row],[Birthweight Z-Score (BW-10%)]],TRUE)*100,"")</f>
        <v/>
      </c>
      <c r="L1322" s="7" t="str">
        <f>IF(Table1[[#This Row],[Is Data Valid]]=TRUE,_xlfn.NORM.S.DIST(Table1[[#This Row],[Birthweight Z-Score (BW+10%)]],TRUE)*100,"")</f>
        <v/>
      </c>
    </row>
    <row r="1323" spans="1:12" x14ac:dyDescent="0.35">
      <c r="A1323" s="3"/>
      <c r="B1323" s="2"/>
      <c r="C1323" s="2"/>
      <c r="D1323" s="2" t="b">
        <f>IF(AND(NOT(ISBLANK(Table1[[#This Row],[Fetal Sex (Male, Female or Unknown)]])),ISNUMBER(Table1[[#This Row],[Birthweight (grams)]]),ISNUMBER(Table1[[#This Row],[Gestation (days)]])),TRUE,FALSE)</f>
        <v>0</v>
      </c>
      <c r="E1323" s="2" t="str">
        <f>IF(Table1[[#This Row],[Is Data Valid]]=TRUE,IF(Table1[[#This Row],[Fetal Sex (Male, Female or Unknown)]]="Male",Backend!$C$6,IF(Table1[[#This Row],[Fetal Sex (Male, Female or Unknown)]]="Female",Backend!$C$7,IF(Table1[[#This Row],[Fetal Sex (Male, Female or Unknown)]]="Unknown",Backend!$C$8,"Error"))),"")</f>
        <v/>
      </c>
      <c r="F1323" s="8" t="str">
        <f>IF(Table1[[#This Row],[Is Data Valid]]=TRUE,EXP(0.578+0.332*((Table1[[#This Row],[Gestation (days)]]+0.5)/7)-0.00354*((Table1[[#This Row],[Gestation (days)]]+0.5)/7)^2)*Table1[[#This Row],[BW40_3705]],"")</f>
        <v/>
      </c>
      <c r="G1323" s="2" t="str">
        <f>IF(Table1[[#This Row],[Is Data Valid]]=TRUE,((Table1[[#This Row],[Birthweight (grams)]]/Table1[[#This Row],[BW_GA]])-1)/(Backend!$B$4/100*Table1[[#This Row],[BW40_3705]]),"")</f>
        <v/>
      </c>
      <c r="H1323" s="7" t="str">
        <f>IF(Table1[[#This Row],[Is Data Valid]]=TRUE,((Table1[[#This Row],[Birthweight (grams)]]*0.9/Table1[[#This Row],[BW_GA]])-1)/(Backend!$B$4/100*Table1[[#This Row],[BW40_3705]]),"")</f>
        <v/>
      </c>
      <c r="I1323" s="7" t="str">
        <f>IF(Table1[[#This Row],[Is Data Valid]]=TRUE,((Table1[[#This Row],[Birthweight (grams)]]*1.1/Table1[[#This Row],[BW_GA]])-1)/(Backend!$B$4/100*Table1[[#This Row],[BW40_3705]]),"")</f>
        <v/>
      </c>
      <c r="J1323" s="7" t="str">
        <f>IF(Table1[[#This Row],[Is Data Valid]]=TRUE,_xlfn.NORM.S.DIST(Table1[[#This Row],[Birthweight Z-Score]],TRUE)*100,"")</f>
        <v/>
      </c>
      <c r="K1323" s="7" t="str">
        <f>IF(Table1[[#This Row],[Is Data Valid]]=TRUE,_xlfn.NORM.S.DIST(Table1[[#This Row],[Birthweight Z-Score (BW-10%)]],TRUE)*100,"")</f>
        <v/>
      </c>
      <c r="L1323" s="7" t="str">
        <f>IF(Table1[[#This Row],[Is Data Valid]]=TRUE,_xlfn.NORM.S.DIST(Table1[[#This Row],[Birthweight Z-Score (BW+10%)]],TRUE)*100,"")</f>
        <v/>
      </c>
    </row>
    <row r="1324" spans="1:12" x14ac:dyDescent="0.35">
      <c r="A1324" s="3"/>
      <c r="B1324" s="2"/>
      <c r="C1324" s="2"/>
      <c r="D1324" s="2" t="b">
        <f>IF(AND(NOT(ISBLANK(Table1[[#This Row],[Fetal Sex (Male, Female or Unknown)]])),ISNUMBER(Table1[[#This Row],[Birthweight (grams)]]),ISNUMBER(Table1[[#This Row],[Gestation (days)]])),TRUE,FALSE)</f>
        <v>0</v>
      </c>
      <c r="E1324" s="2" t="str">
        <f>IF(Table1[[#This Row],[Is Data Valid]]=TRUE,IF(Table1[[#This Row],[Fetal Sex (Male, Female or Unknown)]]="Male",Backend!$C$6,IF(Table1[[#This Row],[Fetal Sex (Male, Female or Unknown)]]="Female",Backend!$C$7,IF(Table1[[#This Row],[Fetal Sex (Male, Female or Unknown)]]="Unknown",Backend!$C$8,"Error"))),"")</f>
        <v/>
      </c>
      <c r="F1324" s="8" t="str">
        <f>IF(Table1[[#This Row],[Is Data Valid]]=TRUE,EXP(0.578+0.332*((Table1[[#This Row],[Gestation (days)]]+0.5)/7)-0.00354*((Table1[[#This Row],[Gestation (days)]]+0.5)/7)^2)*Table1[[#This Row],[BW40_3705]],"")</f>
        <v/>
      </c>
      <c r="G1324" s="2" t="str">
        <f>IF(Table1[[#This Row],[Is Data Valid]]=TRUE,((Table1[[#This Row],[Birthweight (grams)]]/Table1[[#This Row],[BW_GA]])-1)/(Backend!$B$4/100*Table1[[#This Row],[BW40_3705]]),"")</f>
        <v/>
      </c>
      <c r="H1324" s="7" t="str">
        <f>IF(Table1[[#This Row],[Is Data Valid]]=TRUE,((Table1[[#This Row],[Birthweight (grams)]]*0.9/Table1[[#This Row],[BW_GA]])-1)/(Backend!$B$4/100*Table1[[#This Row],[BW40_3705]]),"")</f>
        <v/>
      </c>
      <c r="I1324" s="7" t="str">
        <f>IF(Table1[[#This Row],[Is Data Valid]]=TRUE,((Table1[[#This Row],[Birthweight (grams)]]*1.1/Table1[[#This Row],[BW_GA]])-1)/(Backend!$B$4/100*Table1[[#This Row],[BW40_3705]]),"")</f>
        <v/>
      </c>
      <c r="J1324" s="7" t="str">
        <f>IF(Table1[[#This Row],[Is Data Valid]]=TRUE,_xlfn.NORM.S.DIST(Table1[[#This Row],[Birthweight Z-Score]],TRUE)*100,"")</f>
        <v/>
      </c>
      <c r="K1324" s="7" t="str">
        <f>IF(Table1[[#This Row],[Is Data Valid]]=TRUE,_xlfn.NORM.S.DIST(Table1[[#This Row],[Birthweight Z-Score (BW-10%)]],TRUE)*100,"")</f>
        <v/>
      </c>
      <c r="L1324" s="7" t="str">
        <f>IF(Table1[[#This Row],[Is Data Valid]]=TRUE,_xlfn.NORM.S.DIST(Table1[[#This Row],[Birthweight Z-Score (BW+10%)]],TRUE)*100,"")</f>
        <v/>
      </c>
    </row>
    <row r="1325" spans="1:12" x14ac:dyDescent="0.35">
      <c r="A1325" s="3"/>
      <c r="B1325" s="2"/>
      <c r="C1325" s="2"/>
      <c r="D1325" s="2" t="b">
        <f>IF(AND(NOT(ISBLANK(Table1[[#This Row],[Fetal Sex (Male, Female or Unknown)]])),ISNUMBER(Table1[[#This Row],[Birthweight (grams)]]),ISNUMBER(Table1[[#This Row],[Gestation (days)]])),TRUE,FALSE)</f>
        <v>0</v>
      </c>
      <c r="E1325" s="2" t="str">
        <f>IF(Table1[[#This Row],[Is Data Valid]]=TRUE,IF(Table1[[#This Row],[Fetal Sex (Male, Female or Unknown)]]="Male",Backend!$C$6,IF(Table1[[#This Row],[Fetal Sex (Male, Female or Unknown)]]="Female",Backend!$C$7,IF(Table1[[#This Row],[Fetal Sex (Male, Female or Unknown)]]="Unknown",Backend!$C$8,"Error"))),"")</f>
        <v/>
      </c>
      <c r="F1325" s="8" t="str">
        <f>IF(Table1[[#This Row],[Is Data Valid]]=TRUE,EXP(0.578+0.332*((Table1[[#This Row],[Gestation (days)]]+0.5)/7)-0.00354*((Table1[[#This Row],[Gestation (days)]]+0.5)/7)^2)*Table1[[#This Row],[BW40_3705]],"")</f>
        <v/>
      </c>
      <c r="G1325" s="2" t="str">
        <f>IF(Table1[[#This Row],[Is Data Valid]]=TRUE,((Table1[[#This Row],[Birthweight (grams)]]/Table1[[#This Row],[BW_GA]])-1)/(Backend!$B$4/100*Table1[[#This Row],[BW40_3705]]),"")</f>
        <v/>
      </c>
      <c r="H1325" s="7" t="str">
        <f>IF(Table1[[#This Row],[Is Data Valid]]=TRUE,((Table1[[#This Row],[Birthweight (grams)]]*0.9/Table1[[#This Row],[BW_GA]])-1)/(Backend!$B$4/100*Table1[[#This Row],[BW40_3705]]),"")</f>
        <v/>
      </c>
      <c r="I1325" s="7" t="str">
        <f>IF(Table1[[#This Row],[Is Data Valid]]=TRUE,((Table1[[#This Row],[Birthweight (grams)]]*1.1/Table1[[#This Row],[BW_GA]])-1)/(Backend!$B$4/100*Table1[[#This Row],[BW40_3705]]),"")</f>
        <v/>
      </c>
      <c r="J1325" s="7" t="str">
        <f>IF(Table1[[#This Row],[Is Data Valid]]=TRUE,_xlfn.NORM.S.DIST(Table1[[#This Row],[Birthweight Z-Score]],TRUE)*100,"")</f>
        <v/>
      </c>
      <c r="K1325" s="7" t="str">
        <f>IF(Table1[[#This Row],[Is Data Valid]]=TRUE,_xlfn.NORM.S.DIST(Table1[[#This Row],[Birthweight Z-Score (BW-10%)]],TRUE)*100,"")</f>
        <v/>
      </c>
      <c r="L1325" s="7" t="str">
        <f>IF(Table1[[#This Row],[Is Data Valid]]=TRUE,_xlfn.NORM.S.DIST(Table1[[#This Row],[Birthweight Z-Score (BW+10%)]],TRUE)*100,"")</f>
        <v/>
      </c>
    </row>
    <row r="1326" spans="1:12" x14ac:dyDescent="0.35">
      <c r="A1326" s="3"/>
      <c r="B1326" s="2"/>
      <c r="C1326" s="2"/>
      <c r="D1326" s="2" t="b">
        <f>IF(AND(NOT(ISBLANK(Table1[[#This Row],[Fetal Sex (Male, Female or Unknown)]])),ISNUMBER(Table1[[#This Row],[Birthweight (grams)]]),ISNUMBER(Table1[[#This Row],[Gestation (days)]])),TRUE,FALSE)</f>
        <v>0</v>
      </c>
      <c r="E1326" s="2" t="str">
        <f>IF(Table1[[#This Row],[Is Data Valid]]=TRUE,IF(Table1[[#This Row],[Fetal Sex (Male, Female or Unknown)]]="Male",Backend!$C$6,IF(Table1[[#This Row],[Fetal Sex (Male, Female or Unknown)]]="Female",Backend!$C$7,IF(Table1[[#This Row],[Fetal Sex (Male, Female or Unknown)]]="Unknown",Backend!$C$8,"Error"))),"")</f>
        <v/>
      </c>
      <c r="F1326" s="8" t="str">
        <f>IF(Table1[[#This Row],[Is Data Valid]]=TRUE,EXP(0.578+0.332*((Table1[[#This Row],[Gestation (days)]]+0.5)/7)-0.00354*((Table1[[#This Row],[Gestation (days)]]+0.5)/7)^2)*Table1[[#This Row],[BW40_3705]],"")</f>
        <v/>
      </c>
      <c r="G1326" s="2" t="str">
        <f>IF(Table1[[#This Row],[Is Data Valid]]=TRUE,((Table1[[#This Row],[Birthweight (grams)]]/Table1[[#This Row],[BW_GA]])-1)/(Backend!$B$4/100*Table1[[#This Row],[BW40_3705]]),"")</f>
        <v/>
      </c>
      <c r="H1326" s="7" t="str">
        <f>IF(Table1[[#This Row],[Is Data Valid]]=TRUE,((Table1[[#This Row],[Birthweight (grams)]]*0.9/Table1[[#This Row],[BW_GA]])-1)/(Backend!$B$4/100*Table1[[#This Row],[BW40_3705]]),"")</f>
        <v/>
      </c>
      <c r="I1326" s="7" t="str">
        <f>IF(Table1[[#This Row],[Is Data Valid]]=TRUE,((Table1[[#This Row],[Birthweight (grams)]]*1.1/Table1[[#This Row],[BW_GA]])-1)/(Backend!$B$4/100*Table1[[#This Row],[BW40_3705]]),"")</f>
        <v/>
      </c>
      <c r="J1326" s="7" t="str">
        <f>IF(Table1[[#This Row],[Is Data Valid]]=TRUE,_xlfn.NORM.S.DIST(Table1[[#This Row],[Birthweight Z-Score]],TRUE)*100,"")</f>
        <v/>
      </c>
      <c r="K1326" s="7" t="str">
        <f>IF(Table1[[#This Row],[Is Data Valid]]=TRUE,_xlfn.NORM.S.DIST(Table1[[#This Row],[Birthweight Z-Score (BW-10%)]],TRUE)*100,"")</f>
        <v/>
      </c>
      <c r="L1326" s="7" t="str">
        <f>IF(Table1[[#This Row],[Is Data Valid]]=TRUE,_xlfn.NORM.S.DIST(Table1[[#This Row],[Birthweight Z-Score (BW+10%)]],TRUE)*100,"")</f>
        <v/>
      </c>
    </row>
    <row r="1327" spans="1:12" x14ac:dyDescent="0.35">
      <c r="A1327" s="3"/>
      <c r="B1327" s="2"/>
      <c r="C1327" s="2"/>
      <c r="D1327" s="2" t="b">
        <f>IF(AND(NOT(ISBLANK(Table1[[#This Row],[Fetal Sex (Male, Female or Unknown)]])),ISNUMBER(Table1[[#This Row],[Birthweight (grams)]]),ISNUMBER(Table1[[#This Row],[Gestation (days)]])),TRUE,FALSE)</f>
        <v>0</v>
      </c>
      <c r="E1327" s="2" t="str">
        <f>IF(Table1[[#This Row],[Is Data Valid]]=TRUE,IF(Table1[[#This Row],[Fetal Sex (Male, Female or Unknown)]]="Male",Backend!$C$6,IF(Table1[[#This Row],[Fetal Sex (Male, Female or Unknown)]]="Female",Backend!$C$7,IF(Table1[[#This Row],[Fetal Sex (Male, Female or Unknown)]]="Unknown",Backend!$C$8,"Error"))),"")</f>
        <v/>
      </c>
      <c r="F1327" s="8" t="str">
        <f>IF(Table1[[#This Row],[Is Data Valid]]=TRUE,EXP(0.578+0.332*((Table1[[#This Row],[Gestation (days)]]+0.5)/7)-0.00354*((Table1[[#This Row],[Gestation (days)]]+0.5)/7)^2)*Table1[[#This Row],[BW40_3705]],"")</f>
        <v/>
      </c>
      <c r="G1327" s="2" t="str">
        <f>IF(Table1[[#This Row],[Is Data Valid]]=TRUE,((Table1[[#This Row],[Birthweight (grams)]]/Table1[[#This Row],[BW_GA]])-1)/(Backend!$B$4/100*Table1[[#This Row],[BW40_3705]]),"")</f>
        <v/>
      </c>
      <c r="H1327" s="7" t="str">
        <f>IF(Table1[[#This Row],[Is Data Valid]]=TRUE,((Table1[[#This Row],[Birthweight (grams)]]*0.9/Table1[[#This Row],[BW_GA]])-1)/(Backend!$B$4/100*Table1[[#This Row],[BW40_3705]]),"")</f>
        <v/>
      </c>
      <c r="I1327" s="7" t="str">
        <f>IF(Table1[[#This Row],[Is Data Valid]]=TRUE,((Table1[[#This Row],[Birthweight (grams)]]*1.1/Table1[[#This Row],[BW_GA]])-1)/(Backend!$B$4/100*Table1[[#This Row],[BW40_3705]]),"")</f>
        <v/>
      </c>
      <c r="J1327" s="7" t="str">
        <f>IF(Table1[[#This Row],[Is Data Valid]]=TRUE,_xlfn.NORM.S.DIST(Table1[[#This Row],[Birthweight Z-Score]],TRUE)*100,"")</f>
        <v/>
      </c>
      <c r="K1327" s="7" t="str">
        <f>IF(Table1[[#This Row],[Is Data Valid]]=TRUE,_xlfn.NORM.S.DIST(Table1[[#This Row],[Birthweight Z-Score (BW-10%)]],TRUE)*100,"")</f>
        <v/>
      </c>
      <c r="L1327" s="7" t="str">
        <f>IF(Table1[[#This Row],[Is Data Valid]]=TRUE,_xlfn.NORM.S.DIST(Table1[[#This Row],[Birthweight Z-Score (BW+10%)]],TRUE)*100,"")</f>
        <v/>
      </c>
    </row>
    <row r="1328" spans="1:12" x14ac:dyDescent="0.35">
      <c r="A1328" s="3"/>
      <c r="B1328" s="2"/>
      <c r="C1328" s="2"/>
      <c r="D1328" s="2" t="b">
        <f>IF(AND(NOT(ISBLANK(Table1[[#This Row],[Fetal Sex (Male, Female or Unknown)]])),ISNUMBER(Table1[[#This Row],[Birthweight (grams)]]),ISNUMBER(Table1[[#This Row],[Gestation (days)]])),TRUE,FALSE)</f>
        <v>0</v>
      </c>
      <c r="E1328" s="2" t="str">
        <f>IF(Table1[[#This Row],[Is Data Valid]]=TRUE,IF(Table1[[#This Row],[Fetal Sex (Male, Female or Unknown)]]="Male",Backend!$C$6,IF(Table1[[#This Row],[Fetal Sex (Male, Female or Unknown)]]="Female",Backend!$C$7,IF(Table1[[#This Row],[Fetal Sex (Male, Female or Unknown)]]="Unknown",Backend!$C$8,"Error"))),"")</f>
        <v/>
      </c>
      <c r="F1328" s="8" t="str">
        <f>IF(Table1[[#This Row],[Is Data Valid]]=TRUE,EXP(0.578+0.332*((Table1[[#This Row],[Gestation (days)]]+0.5)/7)-0.00354*((Table1[[#This Row],[Gestation (days)]]+0.5)/7)^2)*Table1[[#This Row],[BW40_3705]],"")</f>
        <v/>
      </c>
      <c r="G1328" s="2" t="str">
        <f>IF(Table1[[#This Row],[Is Data Valid]]=TRUE,((Table1[[#This Row],[Birthweight (grams)]]/Table1[[#This Row],[BW_GA]])-1)/(Backend!$B$4/100*Table1[[#This Row],[BW40_3705]]),"")</f>
        <v/>
      </c>
      <c r="H1328" s="7" t="str">
        <f>IF(Table1[[#This Row],[Is Data Valid]]=TRUE,((Table1[[#This Row],[Birthweight (grams)]]*0.9/Table1[[#This Row],[BW_GA]])-1)/(Backend!$B$4/100*Table1[[#This Row],[BW40_3705]]),"")</f>
        <v/>
      </c>
      <c r="I1328" s="7" t="str">
        <f>IF(Table1[[#This Row],[Is Data Valid]]=TRUE,((Table1[[#This Row],[Birthweight (grams)]]*1.1/Table1[[#This Row],[BW_GA]])-1)/(Backend!$B$4/100*Table1[[#This Row],[BW40_3705]]),"")</f>
        <v/>
      </c>
      <c r="J1328" s="7" t="str">
        <f>IF(Table1[[#This Row],[Is Data Valid]]=TRUE,_xlfn.NORM.S.DIST(Table1[[#This Row],[Birthweight Z-Score]],TRUE)*100,"")</f>
        <v/>
      </c>
      <c r="K1328" s="7" t="str">
        <f>IF(Table1[[#This Row],[Is Data Valid]]=TRUE,_xlfn.NORM.S.DIST(Table1[[#This Row],[Birthweight Z-Score (BW-10%)]],TRUE)*100,"")</f>
        <v/>
      </c>
      <c r="L1328" s="7" t="str">
        <f>IF(Table1[[#This Row],[Is Data Valid]]=TRUE,_xlfn.NORM.S.DIST(Table1[[#This Row],[Birthweight Z-Score (BW+10%)]],TRUE)*100,"")</f>
        <v/>
      </c>
    </row>
    <row r="1329" spans="1:12" x14ac:dyDescent="0.35">
      <c r="A1329" s="3"/>
      <c r="B1329" s="2"/>
      <c r="C1329" s="2"/>
      <c r="D1329" s="2" t="b">
        <f>IF(AND(NOT(ISBLANK(Table1[[#This Row],[Fetal Sex (Male, Female or Unknown)]])),ISNUMBER(Table1[[#This Row],[Birthweight (grams)]]),ISNUMBER(Table1[[#This Row],[Gestation (days)]])),TRUE,FALSE)</f>
        <v>0</v>
      </c>
      <c r="E1329" s="2" t="str">
        <f>IF(Table1[[#This Row],[Is Data Valid]]=TRUE,IF(Table1[[#This Row],[Fetal Sex (Male, Female or Unknown)]]="Male",Backend!$C$6,IF(Table1[[#This Row],[Fetal Sex (Male, Female or Unknown)]]="Female",Backend!$C$7,IF(Table1[[#This Row],[Fetal Sex (Male, Female or Unknown)]]="Unknown",Backend!$C$8,"Error"))),"")</f>
        <v/>
      </c>
      <c r="F1329" s="8" t="str">
        <f>IF(Table1[[#This Row],[Is Data Valid]]=TRUE,EXP(0.578+0.332*((Table1[[#This Row],[Gestation (days)]]+0.5)/7)-0.00354*((Table1[[#This Row],[Gestation (days)]]+0.5)/7)^2)*Table1[[#This Row],[BW40_3705]],"")</f>
        <v/>
      </c>
      <c r="G1329" s="2" t="str">
        <f>IF(Table1[[#This Row],[Is Data Valid]]=TRUE,((Table1[[#This Row],[Birthweight (grams)]]/Table1[[#This Row],[BW_GA]])-1)/(Backend!$B$4/100*Table1[[#This Row],[BW40_3705]]),"")</f>
        <v/>
      </c>
      <c r="H1329" s="7" t="str">
        <f>IF(Table1[[#This Row],[Is Data Valid]]=TRUE,((Table1[[#This Row],[Birthweight (grams)]]*0.9/Table1[[#This Row],[BW_GA]])-1)/(Backend!$B$4/100*Table1[[#This Row],[BW40_3705]]),"")</f>
        <v/>
      </c>
      <c r="I1329" s="7" t="str">
        <f>IF(Table1[[#This Row],[Is Data Valid]]=TRUE,((Table1[[#This Row],[Birthweight (grams)]]*1.1/Table1[[#This Row],[BW_GA]])-1)/(Backend!$B$4/100*Table1[[#This Row],[BW40_3705]]),"")</f>
        <v/>
      </c>
      <c r="J1329" s="7" t="str">
        <f>IF(Table1[[#This Row],[Is Data Valid]]=TRUE,_xlfn.NORM.S.DIST(Table1[[#This Row],[Birthweight Z-Score]],TRUE)*100,"")</f>
        <v/>
      </c>
      <c r="K1329" s="7" t="str">
        <f>IF(Table1[[#This Row],[Is Data Valid]]=TRUE,_xlfn.NORM.S.DIST(Table1[[#This Row],[Birthweight Z-Score (BW-10%)]],TRUE)*100,"")</f>
        <v/>
      </c>
      <c r="L1329" s="7" t="str">
        <f>IF(Table1[[#This Row],[Is Data Valid]]=TRUE,_xlfn.NORM.S.DIST(Table1[[#This Row],[Birthweight Z-Score (BW+10%)]],TRUE)*100,"")</f>
        <v/>
      </c>
    </row>
    <row r="1330" spans="1:12" x14ac:dyDescent="0.35">
      <c r="A1330" s="3"/>
      <c r="B1330" s="2"/>
      <c r="C1330" s="2"/>
      <c r="D1330" s="2" t="b">
        <f>IF(AND(NOT(ISBLANK(Table1[[#This Row],[Fetal Sex (Male, Female or Unknown)]])),ISNUMBER(Table1[[#This Row],[Birthweight (grams)]]),ISNUMBER(Table1[[#This Row],[Gestation (days)]])),TRUE,FALSE)</f>
        <v>0</v>
      </c>
      <c r="E1330" s="2" t="str">
        <f>IF(Table1[[#This Row],[Is Data Valid]]=TRUE,IF(Table1[[#This Row],[Fetal Sex (Male, Female or Unknown)]]="Male",Backend!$C$6,IF(Table1[[#This Row],[Fetal Sex (Male, Female or Unknown)]]="Female",Backend!$C$7,IF(Table1[[#This Row],[Fetal Sex (Male, Female or Unknown)]]="Unknown",Backend!$C$8,"Error"))),"")</f>
        <v/>
      </c>
      <c r="F1330" s="8" t="str">
        <f>IF(Table1[[#This Row],[Is Data Valid]]=TRUE,EXP(0.578+0.332*((Table1[[#This Row],[Gestation (days)]]+0.5)/7)-0.00354*((Table1[[#This Row],[Gestation (days)]]+0.5)/7)^2)*Table1[[#This Row],[BW40_3705]],"")</f>
        <v/>
      </c>
      <c r="G1330" s="2" t="str">
        <f>IF(Table1[[#This Row],[Is Data Valid]]=TRUE,((Table1[[#This Row],[Birthweight (grams)]]/Table1[[#This Row],[BW_GA]])-1)/(Backend!$B$4/100*Table1[[#This Row],[BW40_3705]]),"")</f>
        <v/>
      </c>
      <c r="H1330" s="7" t="str">
        <f>IF(Table1[[#This Row],[Is Data Valid]]=TRUE,((Table1[[#This Row],[Birthweight (grams)]]*0.9/Table1[[#This Row],[BW_GA]])-1)/(Backend!$B$4/100*Table1[[#This Row],[BW40_3705]]),"")</f>
        <v/>
      </c>
      <c r="I1330" s="7" t="str">
        <f>IF(Table1[[#This Row],[Is Data Valid]]=TRUE,((Table1[[#This Row],[Birthweight (grams)]]*1.1/Table1[[#This Row],[BW_GA]])-1)/(Backend!$B$4/100*Table1[[#This Row],[BW40_3705]]),"")</f>
        <v/>
      </c>
      <c r="J1330" s="7" t="str">
        <f>IF(Table1[[#This Row],[Is Data Valid]]=TRUE,_xlfn.NORM.S.DIST(Table1[[#This Row],[Birthweight Z-Score]],TRUE)*100,"")</f>
        <v/>
      </c>
      <c r="K1330" s="7" t="str">
        <f>IF(Table1[[#This Row],[Is Data Valid]]=TRUE,_xlfn.NORM.S.DIST(Table1[[#This Row],[Birthweight Z-Score (BW-10%)]],TRUE)*100,"")</f>
        <v/>
      </c>
      <c r="L1330" s="7" t="str">
        <f>IF(Table1[[#This Row],[Is Data Valid]]=TRUE,_xlfn.NORM.S.DIST(Table1[[#This Row],[Birthweight Z-Score (BW+10%)]],TRUE)*100,"")</f>
        <v/>
      </c>
    </row>
    <row r="1331" spans="1:12" x14ac:dyDescent="0.35">
      <c r="A1331" s="3"/>
      <c r="B1331" s="2"/>
      <c r="C1331" s="2"/>
      <c r="D1331" s="2" t="b">
        <f>IF(AND(NOT(ISBLANK(Table1[[#This Row],[Fetal Sex (Male, Female or Unknown)]])),ISNUMBER(Table1[[#This Row],[Birthweight (grams)]]),ISNUMBER(Table1[[#This Row],[Gestation (days)]])),TRUE,FALSE)</f>
        <v>0</v>
      </c>
      <c r="E1331" s="2" t="str">
        <f>IF(Table1[[#This Row],[Is Data Valid]]=TRUE,IF(Table1[[#This Row],[Fetal Sex (Male, Female or Unknown)]]="Male",Backend!$C$6,IF(Table1[[#This Row],[Fetal Sex (Male, Female or Unknown)]]="Female",Backend!$C$7,IF(Table1[[#This Row],[Fetal Sex (Male, Female or Unknown)]]="Unknown",Backend!$C$8,"Error"))),"")</f>
        <v/>
      </c>
      <c r="F1331" s="8" t="str">
        <f>IF(Table1[[#This Row],[Is Data Valid]]=TRUE,EXP(0.578+0.332*((Table1[[#This Row],[Gestation (days)]]+0.5)/7)-0.00354*((Table1[[#This Row],[Gestation (days)]]+0.5)/7)^2)*Table1[[#This Row],[BW40_3705]],"")</f>
        <v/>
      </c>
      <c r="G1331" s="2" t="str">
        <f>IF(Table1[[#This Row],[Is Data Valid]]=TRUE,((Table1[[#This Row],[Birthweight (grams)]]/Table1[[#This Row],[BW_GA]])-1)/(Backend!$B$4/100*Table1[[#This Row],[BW40_3705]]),"")</f>
        <v/>
      </c>
      <c r="H1331" s="7" t="str">
        <f>IF(Table1[[#This Row],[Is Data Valid]]=TRUE,((Table1[[#This Row],[Birthweight (grams)]]*0.9/Table1[[#This Row],[BW_GA]])-1)/(Backend!$B$4/100*Table1[[#This Row],[BW40_3705]]),"")</f>
        <v/>
      </c>
      <c r="I1331" s="7" t="str">
        <f>IF(Table1[[#This Row],[Is Data Valid]]=TRUE,((Table1[[#This Row],[Birthweight (grams)]]*1.1/Table1[[#This Row],[BW_GA]])-1)/(Backend!$B$4/100*Table1[[#This Row],[BW40_3705]]),"")</f>
        <v/>
      </c>
      <c r="J1331" s="7" t="str">
        <f>IF(Table1[[#This Row],[Is Data Valid]]=TRUE,_xlfn.NORM.S.DIST(Table1[[#This Row],[Birthweight Z-Score]],TRUE)*100,"")</f>
        <v/>
      </c>
      <c r="K1331" s="7" t="str">
        <f>IF(Table1[[#This Row],[Is Data Valid]]=TRUE,_xlfn.NORM.S.DIST(Table1[[#This Row],[Birthweight Z-Score (BW-10%)]],TRUE)*100,"")</f>
        <v/>
      </c>
      <c r="L1331" s="7" t="str">
        <f>IF(Table1[[#This Row],[Is Data Valid]]=TRUE,_xlfn.NORM.S.DIST(Table1[[#This Row],[Birthweight Z-Score (BW+10%)]],TRUE)*100,"")</f>
        <v/>
      </c>
    </row>
    <row r="1332" spans="1:12" x14ac:dyDescent="0.35">
      <c r="A1332" s="3"/>
      <c r="B1332" s="2"/>
      <c r="C1332" s="2"/>
      <c r="D1332" s="2" t="b">
        <f>IF(AND(NOT(ISBLANK(Table1[[#This Row],[Fetal Sex (Male, Female or Unknown)]])),ISNUMBER(Table1[[#This Row],[Birthweight (grams)]]),ISNUMBER(Table1[[#This Row],[Gestation (days)]])),TRUE,FALSE)</f>
        <v>0</v>
      </c>
      <c r="E1332" s="2" t="str">
        <f>IF(Table1[[#This Row],[Is Data Valid]]=TRUE,IF(Table1[[#This Row],[Fetal Sex (Male, Female or Unknown)]]="Male",Backend!$C$6,IF(Table1[[#This Row],[Fetal Sex (Male, Female or Unknown)]]="Female",Backend!$C$7,IF(Table1[[#This Row],[Fetal Sex (Male, Female or Unknown)]]="Unknown",Backend!$C$8,"Error"))),"")</f>
        <v/>
      </c>
      <c r="F1332" s="8" t="str">
        <f>IF(Table1[[#This Row],[Is Data Valid]]=TRUE,EXP(0.578+0.332*((Table1[[#This Row],[Gestation (days)]]+0.5)/7)-0.00354*((Table1[[#This Row],[Gestation (days)]]+0.5)/7)^2)*Table1[[#This Row],[BW40_3705]],"")</f>
        <v/>
      </c>
      <c r="G1332" s="2" t="str">
        <f>IF(Table1[[#This Row],[Is Data Valid]]=TRUE,((Table1[[#This Row],[Birthweight (grams)]]/Table1[[#This Row],[BW_GA]])-1)/(Backend!$B$4/100*Table1[[#This Row],[BW40_3705]]),"")</f>
        <v/>
      </c>
      <c r="H1332" s="7" t="str">
        <f>IF(Table1[[#This Row],[Is Data Valid]]=TRUE,((Table1[[#This Row],[Birthweight (grams)]]*0.9/Table1[[#This Row],[BW_GA]])-1)/(Backend!$B$4/100*Table1[[#This Row],[BW40_3705]]),"")</f>
        <v/>
      </c>
      <c r="I1332" s="7" t="str">
        <f>IF(Table1[[#This Row],[Is Data Valid]]=TRUE,((Table1[[#This Row],[Birthweight (grams)]]*1.1/Table1[[#This Row],[BW_GA]])-1)/(Backend!$B$4/100*Table1[[#This Row],[BW40_3705]]),"")</f>
        <v/>
      </c>
      <c r="J1332" s="7" t="str">
        <f>IF(Table1[[#This Row],[Is Data Valid]]=TRUE,_xlfn.NORM.S.DIST(Table1[[#This Row],[Birthweight Z-Score]],TRUE)*100,"")</f>
        <v/>
      </c>
      <c r="K1332" s="7" t="str">
        <f>IF(Table1[[#This Row],[Is Data Valid]]=TRUE,_xlfn.NORM.S.DIST(Table1[[#This Row],[Birthweight Z-Score (BW-10%)]],TRUE)*100,"")</f>
        <v/>
      </c>
      <c r="L1332" s="7" t="str">
        <f>IF(Table1[[#This Row],[Is Data Valid]]=TRUE,_xlfn.NORM.S.DIST(Table1[[#This Row],[Birthweight Z-Score (BW+10%)]],TRUE)*100,"")</f>
        <v/>
      </c>
    </row>
    <row r="1333" spans="1:12" x14ac:dyDescent="0.35">
      <c r="A1333" s="3"/>
      <c r="B1333" s="2"/>
      <c r="C1333" s="2"/>
      <c r="D1333" s="2" t="b">
        <f>IF(AND(NOT(ISBLANK(Table1[[#This Row],[Fetal Sex (Male, Female or Unknown)]])),ISNUMBER(Table1[[#This Row],[Birthweight (grams)]]),ISNUMBER(Table1[[#This Row],[Gestation (days)]])),TRUE,FALSE)</f>
        <v>0</v>
      </c>
      <c r="E1333" s="2" t="str">
        <f>IF(Table1[[#This Row],[Is Data Valid]]=TRUE,IF(Table1[[#This Row],[Fetal Sex (Male, Female or Unknown)]]="Male",Backend!$C$6,IF(Table1[[#This Row],[Fetal Sex (Male, Female or Unknown)]]="Female",Backend!$C$7,IF(Table1[[#This Row],[Fetal Sex (Male, Female or Unknown)]]="Unknown",Backend!$C$8,"Error"))),"")</f>
        <v/>
      </c>
      <c r="F1333" s="8" t="str">
        <f>IF(Table1[[#This Row],[Is Data Valid]]=TRUE,EXP(0.578+0.332*((Table1[[#This Row],[Gestation (days)]]+0.5)/7)-0.00354*((Table1[[#This Row],[Gestation (days)]]+0.5)/7)^2)*Table1[[#This Row],[BW40_3705]],"")</f>
        <v/>
      </c>
      <c r="G1333" s="2" t="str">
        <f>IF(Table1[[#This Row],[Is Data Valid]]=TRUE,((Table1[[#This Row],[Birthweight (grams)]]/Table1[[#This Row],[BW_GA]])-1)/(Backend!$B$4/100*Table1[[#This Row],[BW40_3705]]),"")</f>
        <v/>
      </c>
      <c r="H1333" s="7" t="str">
        <f>IF(Table1[[#This Row],[Is Data Valid]]=TRUE,((Table1[[#This Row],[Birthweight (grams)]]*0.9/Table1[[#This Row],[BW_GA]])-1)/(Backend!$B$4/100*Table1[[#This Row],[BW40_3705]]),"")</f>
        <v/>
      </c>
      <c r="I1333" s="7" t="str">
        <f>IF(Table1[[#This Row],[Is Data Valid]]=TRUE,((Table1[[#This Row],[Birthweight (grams)]]*1.1/Table1[[#This Row],[BW_GA]])-1)/(Backend!$B$4/100*Table1[[#This Row],[BW40_3705]]),"")</f>
        <v/>
      </c>
      <c r="J1333" s="7" t="str">
        <f>IF(Table1[[#This Row],[Is Data Valid]]=TRUE,_xlfn.NORM.S.DIST(Table1[[#This Row],[Birthweight Z-Score]],TRUE)*100,"")</f>
        <v/>
      </c>
      <c r="K1333" s="7" t="str">
        <f>IF(Table1[[#This Row],[Is Data Valid]]=TRUE,_xlfn.NORM.S.DIST(Table1[[#This Row],[Birthweight Z-Score (BW-10%)]],TRUE)*100,"")</f>
        <v/>
      </c>
      <c r="L1333" s="7" t="str">
        <f>IF(Table1[[#This Row],[Is Data Valid]]=TRUE,_xlfn.NORM.S.DIST(Table1[[#This Row],[Birthweight Z-Score (BW+10%)]],TRUE)*100,"")</f>
        <v/>
      </c>
    </row>
    <row r="1334" spans="1:12" x14ac:dyDescent="0.35">
      <c r="A1334" s="3"/>
      <c r="B1334" s="2"/>
      <c r="C1334" s="2"/>
      <c r="D1334" s="2" t="b">
        <f>IF(AND(NOT(ISBLANK(Table1[[#This Row],[Fetal Sex (Male, Female or Unknown)]])),ISNUMBER(Table1[[#This Row],[Birthweight (grams)]]),ISNUMBER(Table1[[#This Row],[Gestation (days)]])),TRUE,FALSE)</f>
        <v>0</v>
      </c>
      <c r="E1334" s="2" t="str">
        <f>IF(Table1[[#This Row],[Is Data Valid]]=TRUE,IF(Table1[[#This Row],[Fetal Sex (Male, Female or Unknown)]]="Male",Backend!$C$6,IF(Table1[[#This Row],[Fetal Sex (Male, Female or Unknown)]]="Female",Backend!$C$7,IF(Table1[[#This Row],[Fetal Sex (Male, Female or Unknown)]]="Unknown",Backend!$C$8,"Error"))),"")</f>
        <v/>
      </c>
      <c r="F1334" s="8" t="str">
        <f>IF(Table1[[#This Row],[Is Data Valid]]=TRUE,EXP(0.578+0.332*((Table1[[#This Row],[Gestation (days)]]+0.5)/7)-0.00354*((Table1[[#This Row],[Gestation (days)]]+0.5)/7)^2)*Table1[[#This Row],[BW40_3705]],"")</f>
        <v/>
      </c>
      <c r="G1334" s="2" t="str">
        <f>IF(Table1[[#This Row],[Is Data Valid]]=TRUE,((Table1[[#This Row],[Birthweight (grams)]]/Table1[[#This Row],[BW_GA]])-1)/(Backend!$B$4/100*Table1[[#This Row],[BW40_3705]]),"")</f>
        <v/>
      </c>
      <c r="H1334" s="7" t="str">
        <f>IF(Table1[[#This Row],[Is Data Valid]]=TRUE,((Table1[[#This Row],[Birthweight (grams)]]*0.9/Table1[[#This Row],[BW_GA]])-1)/(Backend!$B$4/100*Table1[[#This Row],[BW40_3705]]),"")</f>
        <v/>
      </c>
      <c r="I1334" s="7" t="str">
        <f>IF(Table1[[#This Row],[Is Data Valid]]=TRUE,((Table1[[#This Row],[Birthweight (grams)]]*1.1/Table1[[#This Row],[BW_GA]])-1)/(Backend!$B$4/100*Table1[[#This Row],[BW40_3705]]),"")</f>
        <v/>
      </c>
      <c r="J1334" s="7" t="str">
        <f>IF(Table1[[#This Row],[Is Data Valid]]=TRUE,_xlfn.NORM.S.DIST(Table1[[#This Row],[Birthweight Z-Score]],TRUE)*100,"")</f>
        <v/>
      </c>
      <c r="K1334" s="7" t="str">
        <f>IF(Table1[[#This Row],[Is Data Valid]]=TRUE,_xlfn.NORM.S.DIST(Table1[[#This Row],[Birthweight Z-Score (BW-10%)]],TRUE)*100,"")</f>
        <v/>
      </c>
      <c r="L1334" s="7" t="str">
        <f>IF(Table1[[#This Row],[Is Data Valid]]=TRUE,_xlfn.NORM.S.DIST(Table1[[#This Row],[Birthweight Z-Score (BW+10%)]],TRUE)*100,"")</f>
        <v/>
      </c>
    </row>
    <row r="1335" spans="1:12" x14ac:dyDescent="0.35">
      <c r="A1335" s="3"/>
      <c r="B1335" s="2"/>
      <c r="C1335" s="2"/>
      <c r="D1335" s="2" t="b">
        <f>IF(AND(NOT(ISBLANK(Table1[[#This Row],[Fetal Sex (Male, Female or Unknown)]])),ISNUMBER(Table1[[#This Row],[Birthweight (grams)]]),ISNUMBER(Table1[[#This Row],[Gestation (days)]])),TRUE,FALSE)</f>
        <v>0</v>
      </c>
      <c r="E1335" s="2" t="str">
        <f>IF(Table1[[#This Row],[Is Data Valid]]=TRUE,IF(Table1[[#This Row],[Fetal Sex (Male, Female or Unknown)]]="Male",Backend!$C$6,IF(Table1[[#This Row],[Fetal Sex (Male, Female or Unknown)]]="Female",Backend!$C$7,IF(Table1[[#This Row],[Fetal Sex (Male, Female or Unknown)]]="Unknown",Backend!$C$8,"Error"))),"")</f>
        <v/>
      </c>
      <c r="F1335" s="8" t="str">
        <f>IF(Table1[[#This Row],[Is Data Valid]]=TRUE,EXP(0.578+0.332*((Table1[[#This Row],[Gestation (days)]]+0.5)/7)-0.00354*((Table1[[#This Row],[Gestation (days)]]+0.5)/7)^2)*Table1[[#This Row],[BW40_3705]],"")</f>
        <v/>
      </c>
      <c r="G1335" s="2" t="str">
        <f>IF(Table1[[#This Row],[Is Data Valid]]=TRUE,((Table1[[#This Row],[Birthweight (grams)]]/Table1[[#This Row],[BW_GA]])-1)/(Backend!$B$4/100*Table1[[#This Row],[BW40_3705]]),"")</f>
        <v/>
      </c>
      <c r="H1335" s="7" t="str">
        <f>IF(Table1[[#This Row],[Is Data Valid]]=TRUE,((Table1[[#This Row],[Birthweight (grams)]]*0.9/Table1[[#This Row],[BW_GA]])-1)/(Backend!$B$4/100*Table1[[#This Row],[BW40_3705]]),"")</f>
        <v/>
      </c>
      <c r="I1335" s="7" t="str">
        <f>IF(Table1[[#This Row],[Is Data Valid]]=TRUE,((Table1[[#This Row],[Birthweight (grams)]]*1.1/Table1[[#This Row],[BW_GA]])-1)/(Backend!$B$4/100*Table1[[#This Row],[BW40_3705]]),"")</f>
        <v/>
      </c>
      <c r="J1335" s="7" t="str">
        <f>IF(Table1[[#This Row],[Is Data Valid]]=TRUE,_xlfn.NORM.S.DIST(Table1[[#This Row],[Birthweight Z-Score]],TRUE)*100,"")</f>
        <v/>
      </c>
      <c r="K1335" s="7" t="str">
        <f>IF(Table1[[#This Row],[Is Data Valid]]=TRUE,_xlfn.NORM.S.DIST(Table1[[#This Row],[Birthweight Z-Score (BW-10%)]],TRUE)*100,"")</f>
        <v/>
      </c>
      <c r="L1335" s="7" t="str">
        <f>IF(Table1[[#This Row],[Is Data Valid]]=TRUE,_xlfn.NORM.S.DIST(Table1[[#This Row],[Birthweight Z-Score (BW+10%)]],TRUE)*100,"")</f>
        <v/>
      </c>
    </row>
    <row r="1336" spans="1:12" x14ac:dyDescent="0.35">
      <c r="A1336" s="3"/>
      <c r="B1336" s="2"/>
      <c r="C1336" s="2"/>
      <c r="D1336" s="2" t="b">
        <f>IF(AND(NOT(ISBLANK(Table1[[#This Row],[Fetal Sex (Male, Female or Unknown)]])),ISNUMBER(Table1[[#This Row],[Birthweight (grams)]]),ISNUMBER(Table1[[#This Row],[Gestation (days)]])),TRUE,FALSE)</f>
        <v>0</v>
      </c>
      <c r="E1336" s="2" t="str">
        <f>IF(Table1[[#This Row],[Is Data Valid]]=TRUE,IF(Table1[[#This Row],[Fetal Sex (Male, Female or Unknown)]]="Male",Backend!$C$6,IF(Table1[[#This Row],[Fetal Sex (Male, Female or Unknown)]]="Female",Backend!$C$7,IF(Table1[[#This Row],[Fetal Sex (Male, Female or Unknown)]]="Unknown",Backend!$C$8,"Error"))),"")</f>
        <v/>
      </c>
      <c r="F1336" s="8" t="str">
        <f>IF(Table1[[#This Row],[Is Data Valid]]=TRUE,EXP(0.578+0.332*((Table1[[#This Row],[Gestation (days)]]+0.5)/7)-0.00354*((Table1[[#This Row],[Gestation (days)]]+0.5)/7)^2)*Table1[[#This Row],[BW40_3705]],"")</f>
        <v/>
      </c>
      <c r="G1336" s="2" t="str">
        <f>IF(Table1[[#This Row],[Is Data Valid]]=TRUE,((Table1[[#This Row],[Birthweight (grams)]]/Table1[[#This Row],[BW_GA]])-1)/(Backend!$B$4/100*Table1[[#This Row],[BW40_3705]]),"")</f>
        <v/>
      </c>
      <c r="H1336" s="7" t="str">
        <f>IF(Table1[[#This Row],[Is Data Valid]]=TRUE,((Table1[[#This Row],[Birthweight (grams)]]*0.9/Table1[[#This Row],[BW_GA]])-1)/(Backend!$B$4/100*Table1[[#This Row],[BW40_3705]]),"")</f>
        <v/>
      </c>
      <c r="I1336" s="7" t="str">
        <f>IF(Table1[[#This Row],[Is Data Valid]]=TRUE,((Table1[[#This Row],[Birthweight (grams)]]*1.1/Table1[[#This Row],[BW_GA]])-1)/(Backend!$B$4/100*Table1[[#This Row],[BW40_3705]]),"")</f>
        <v/>
      </c>
      <c r="J1336" s="7" t="str">
        <f>IF(Table1[[#This Row],[Is Data Valid]]=TRUE,_xlfn.NORM.S.DIST(Table1[[#This Row],[Birthweight Z-Score]],TRUE)*100,"")</f>
        <v/>
      </c>
      <c r="K1336" s="7" t="str">
        <f>IF(Table1[[#This Row],[Is Data Valid]]=TRUE,_xlfn.NORM.S.DIST(Table1[[#This Row],[Birthweight Z-Score (BW-10%)]],TRUE)*100,"")</f>
        <v/>
      </c>
      <c r="L1336" s="7" t="str">
        <f>IF(Table1[[#This Row],[Is Data Valid]]=TRUE,_xlfn.NORM.S.DIST(Table1[[#This Row],[Birthweight Z-Score (BW+10%)]],TRUE)*100,"")</f>
        <v/>
      </c>
    </row>
    <row r="1337" spans="1:12" x14ac:dyDescent="0.35">
      <c r="A1337" s="3"/>
      <c r="B1337" s="2"/>
      <c r="C1337" s="2"/>
      <c r="D1337" s="2" t="b">
        <f>IF(AND(NOT(ISBLANK(Table1[[#This Row],[Fetal Sex (Male, Female or Unknown)]])),ISNUMBER(Table1[[#This Row],[Birthweight (grams)]]),ISNUMBER(Table1[[#This Row],[Gestation (days)]])),TRUE,FALSE)</f>
        <v>0</v>
      </c>
      <c r="E1337" s="2" t="str">
        <f>IF(Table1[[#This Row],[Is Data Valid]]=TRUE,IF(Table1[[#This Row],[Fetal Sex (Male, Female or Unknown)]]="Male",Backend!$C$6,IF(Table1[[#This Row],[Fetal Sex (Male, Female or Unknown)]]="Female",Backend!$C$7,IF(Table1[[#This Row],[Fetal Sex (Male, Female or Unknown)]]="Unknown",Backend!$C$8,"Error"))),"")</f>
        <v/>
      </c>
      <c r="F1337" s="8" t="str">
        <f>IF(Table1[[#This Row],[Is Data Valid]]=TRUE,EXP(0.578+0.332*((Table1[[#This Row],[Gestation (days)]]+0.5)/7)-0.00354*((Table1[[#This Row],[Gestation (days)]]+0.5)/7)^2)*Table1[[#This Row],[BW40_3705]],"")</f>
        <v/>
      </c>
      <c r="G1337" s="2" t="str">
        <f>IF(Table1[[#This Row],[Is Data Valid]]=TRUE,((Table1[[#This Row],[Birthweight (grams)]]/Table1[[#This Row],[BW_GA]])-1)/(Backend!$B$4/100*Table1[[#This Row],[BW40_3705]]),"")</f>
        <v/>
      </c>
      <c r="H1337" s="7" t="str">
        <f>IF(Table1[[#This Row],[Is Data Valid]]=TRUE,((Table1[[#This Row],[Birthweight (grams)]]*0.9/Table1[[#This Row],[BW_GA]])-1)/(Backend!$B$4/100*Table1[[#This Row],[BW40_3705]]),"")</f>
        <v/>
      </c>
      <c r="I1337" s="7" t="str">
        <f>IF(Table1[[#This Row],[Is Data Valid]]=TRUE,((Table1[[#This Row],[Birthweight (grams)]]*1.1/Table1[[#This Row],[BW_GA]])-1)/(Backend!$B$4/100*Table1[[#This Row],[BW40_3705]]),"")</f>
        <v/>
      </c>
      <c r="J1337" s="7" t="str">
        <f>IF(Table1[[#This Row],[Is Data Valid]]=TRUE,_xlfn.NORM.S.DIST(Table1[[#This Row],[Birthweight Z-Score]],TRUE)*100,"")</f>
        <v/>
      </c>
      <c r="K1337" s="7" t="str">
        <f>IF(Table1[[#This Row],[Is Data Valid]]=TRUE,_xlfn.NORM.S.DIST(Table1[[#This Row],[Birthweight Z-Score (BW-10%)]],TRUE)*100,"")</f>
        <v/>
      </c>
      <c r="L1337" s="7" t="str">
        <f>IF(Table1[[#This Row],[Is Data Valid]]=TRUE,_xlfn.NORM.S.DIST(Table1[[#This Row],[Birthweight Z-Score (BW+10%)]],TRUE)*100,"")</f>
        <v/>
      </c>
    </row>
    <row r="1338" spans="1:12" x14ac:dyDescent="0.35">
      <c r="A1338" s="3"/>
      <c r="B1338" s="2"/>
      <c r="C1338" s="2"/>
      <c r="D1338" s="2" t="b">
        <f>IF(AND(NOT(ISBLANK(Table1[[#This Row],[Fetal Sex (Male, Female or Unknown)]])),ISNUMBER(Table1[[#This Row],[Birthweight (grams)]]),ISNUMBER(Table1[[#This Row],[Gestation (days)]])),TRUE,FALSE)</f>
        <v>0</v>
      </c>
      <c r="E1338" s="2" t="str">
        <f>IF(Table1[[#This Row],[Is Data Valid]]=TRUE,IF(Table1[[#This Row],[Fetal Sex (Male, Female or Unknown)]]="Male",Backend!$C$6,IF(Table1[[#This Row],[Fetal Sex (Male, Female or Unknown)]]="Female",Backend!$C$7,IF(Table1[[#This Row],[Fetal Sex (Male, Female or Unknown)]]="Unknown",Backend!$C$8,"Error"))),"")</f>
        <v/>
      </c>
      <c r="F1338" s="8" t="str">
        <f>IF(Table1[[#This Row],[Is Data Valid]]=TRUE,EXP(0.578+0.332*((Table1[[#This Row],[Gestation (days)]]+0.5)/7)-0.00354*((Table1[[#This Row],[Gestation (days)]]+0.5)/7)^2)*Table1[[#This Row],[BW40_3705]],"")</f>
        <v/>
      </c>
      <c r="G1338" s="2" t="str">
        <f>IF(Table1[[#This Row],[Is Data Valid]]=TRUE,((Table1[[#This Row],[Birthweight (grams)]]/Table1[[#This Row],[BW_GA]])-1)/(Backend!$B$4/100*Table1[[#This Row],[BW40_3705]]),"")</f>
        <v/>
      </c>
      <c r="H1338" s="7" t="str">
        <f>IF(Table1[[#This Row],[Is Data Valid]]=TRUE,((Table1[[#This Row],[Birthweight (grams)]]*0.9/Table1[[#This Row],[BW_GA]])-1)/(Backend!$B$4/100*Table1[[#This Row],[BW40_3705]]),"")</f>
        <v/>
      </c>
      <c r="I1338" s="7" t="str">
        <f>IF(Table1[[#This Row],[Is Data Valid]]=TRUE,((Table1[[#This Row],[Birthweight (grams)]]*1.1/Table1[[#This Row],[BW_GA]])-1)/(Backend!$B$4/100*Table1[[#This Row],[BW40_3705]]),"")</f>
        <v/>
      </c>
      <c r="J1338" s="7" t="str">
        <f>IF(Table1[[#This Row],[Is Data Valid]]=TRUE,_xlfn.NORM.S.DIST(Table1[[#This Row],[Birthweight Z-Score]],TRUE)*100,"")</f>
        <v/>
      </c>
      <c r="K1338" s="7" t="str">
        <f>IF(Table1[[#This Row],[Is Data Valid]]=TRUE,_xlfn.NORM.S.DIST(Table1[[#This Row],[Birthweight Z-Score (BW-10%)]],TRUE)*100,"")</f>
        <v/>
      </c>
      <c r="L1338" s="7" t="str">
        <f>IF(Table1[[#This Row],[Is Data Valid]]=TRUE,_xlfn.NORM.S.DIST(Table1[[#This Row],[Birthweight Z-Score (BW+10%)]],TRUE)*100,"")</f>
        <v/>
      </c>
    </row>
    <row r="1339" spans="1:12" x14ac:dyDescent="0.35">
      <c r="A1339" s="3"/>
      <c r="B1339" s="2"/>
      <c r="C1339" s="2"/>
      <c r="D1339" s="2" t="b">
        <f>IF(AND(NOT(ISBLANK(Table1[[#This Row],[Fetal Sex (Male, Female or Unknown)]])),ISNUMBER(Table1[[#This Row],[Birthweight (grams)]]),ISNUMBER(Table1[[#This Row],[Gestation (days)]])),TRUE,FALSE)</f>
        <v>0</v>
      </c>
      <c r="E1339" s="2" t="str">
        <f>IF(Table1[[#This Row],[Is Data Valid]]=TRUE,IF(Table1[[#This Row],[Fetal Sex (Male, Female or Unknown)]]="Male",Backend!$C$6,IF(Table1[[#This Row],[Fetal Sex (Male, Female or Unknown)]]="Female",Backend!$C$7,IF(Table1[[#This Row],[Fetal Sex (Male, Female or Unknown)]]="Unknown",Backend!$C$8,"Error"))),"")</f>
        <v/>
      </c>
      <c r="F1339" s="8" t="str">
        <f>IF(Table1[[#This Row],[Is Data Valid]]=TRUE,EXP(0.578+0.332*((Table1[[#This Row],[Gestation (days)]]+0.5)/7)-0.00354*((Table1[[#This Row],[Gestation (days)]]+0.5)/7)^2)*Table1[[#This Row],[BW40_3705]],"")</f>
        <v/>
      </c>
      <c r="G1339" s="2" t="str">
        <f>IF(Table1[[#This Row],[Is Data Valid]]=TRUE,((Table1[[#This Row],[Birthweight (grams)]]/Table1[[#This Row],[BW_GA]])-1)/(Backend!$B$4/100*Table1[[#This Row],[BW40_3705]]),"")</f>
        <v/>
      </c>
      <c r="H1339" s="7" t="str">
        <f>IF(Table1[[#This Row],[Is Data Valid]]=TRUE,((Table1[[#This Row],[Birthweight (grams)]]*0.9/Table1[[#This Row],[BW_GA]])-1)/(Backend!$B$4/100*Table1[[#This Row],[BW40_3705]]),"")</f>
        <v/>
      </c>
      <c r="I1339" s="7" t="str">
        <f>IF(Table1[[#This Row],[Is Data Valid]]=TRUE,((Table1[[#This Row],[Birthweight (grams)]]*1.1/Table1[[#This Row],[BW_GA]])-1)/(Backend!$B$4/100*Table1[[#This Row],[BW40_3705]]),"")</f>
        <v/>
      </c>
      <c r="J1339" s="7" t="str">
        <f>IF(Table1[[#This Row],[Is Data Valid]]=TRUE,_xlfn.NORM.S.DIST(Table1[[#This Row],[Birthweight Z-Score]],TRUE)*100,"")</f>
        <v/>
      </c>
      <c r="K1339" s="7" t="str">
        <f>IF(Table1[[#This Row],[Is Data Valid]]=TRUE,_xlfn.NORM.S.DIST(Table1[[#This Row],[Birthweight Z-Score (BW-10%)]],TRUE)*100,"")</f>
        <v/>
      </c>
      <c r="L1339" s="7" t="str">
        <f>IF(Table1[[#This Row],[Is Data Valid]]=TRUE,_xlfn.NORM.S.DIST(Table1[[#This Row],[Birthweight Z-Score (BW+10%)]],TRUE)*100,"")</f>
        <v/>
      </c>
    </row>
    <row r="1340" spans="1:12" x14ac:dyDescent="0.35">
      <c r="A1340" s="3"/>
      <c r="B1340" s="2"/>
      <c r="C1340" s="2"/>
      <c r="D1340" s="2" t="b">
        <f>IF(AND(NOT(ISBLANK(Table1[[#This Row],[Fetal Sex (Male, Female or Unknown)]])),ISNUMBER(Table1[[#This Row],[Birthweight (grams)]]),ISNUMBER(Table1[[#This Row],[Gestation (days)]])),TRUE,FALSE)</f>
        <v>0</v>
      </c>
      <c r="E1340" s="2" t="str">
        <f>IF(Table1[[#This Row],[Is Data Valid]]=TRUE,IF(Table1[[#This Row],[Fetal Sex (Male, Female or Unknown)]]="Male",Backend!$C$6,IF(Table1[[#This Row],[Fetal Sex (Male, Female or Unknown)]]="Female",Backend!$C$7,IF(Table1[[#This Row],[Fetal Sex (Male, Female or Unknown)]]="Unknown",Backend!$C$8,"Error"))),"")</f>
        <v/>
      </c>
      <c r="F1340" s="8" t="str">
        <f>IF(Table1[[#This Row],[Is Data Valid]]=TRUE,EXP(0.578+0.332*((Table1[[#This Row],[Gestation (days)]]+0.5)/7)-0.00354*((Table1[[#This Row],[Gestation (days)]]+0.5)/7)^2)*Table1[[#This Row],[BW40_3705]],"")</f>
        <v/>
      </c>
      <c r="G1340" s="2" t="str">
        <f>IF(Table1[[#This Row],[Is Data Valid]]=TRUE,((Table1[[#This Row],[Birthweight (grams)]]/Table1[[#This Row],[BW_GA]])-1)/(Backend!$B$4/100*Table1[[#This Row],[BW40_3705]]),"")</f>
        <v/>
      </c>
      <c r="H1340" s="7" t="str">
        <f>IF(Table1[[#This Row],[Is Data Valid]]=TRUE,((Table1[[#This Row],[Birthweight (grams)]]*0.9/Table1[[#This Row],[BW_GA]])-1)/(Backend!$B$4/100*Table1[[#This Row],[BW40_3705]]),"")</f>
        <v/>
      </c>
      <c r="I1340" s="7" t="str">
        <f>IF(Table1[[#This Row],[Is Data Valid]]=TRUE,((Table1[[#This Row],[Birthweight (grams)]]*1.1/Table1[[#This Row],[BW_GA]])-1)/(Backend!$B$4/100*Table1[[#This Row],[BW40_3705]]),"")</f>
        <v/>
      </c>
      <c r="J1340" s="7" t="str">
        <f>IF(Table1[[#This Row],[Is Data Valid]]=TRUE,_xlfn.NORM.S.DIST(Table1[[#This Row],[Birthweight Z-Score]],TRUE)*100,"")</f>
        <v/>
      </c>
      <c r="K1340" s="7" t="str">
        <f>IF(Table1[[#This Row],[Is Data Valid]]=TRUE,_xlfn.NORM.S.DIST(Table1[[#This Row],[Birthweight Z-Score (BW-10%)]],TRUE)*100,"")</f>
        <v/>
      </c>
      <c r="L1340" s="7" t="str">
        <f>IF(Table1[[#This Row],[Is Data Valid]]=TRUE,_xlfn.NORM.S.DIST(Table1[[#This Row],[Birthweight Z-Score (BW+10%)]],TRUE)*100,"")</f>
        <v/>
      </c>
    </row>
    <row r="1341" spans="1:12" x14ac:dyDescent="0.35">
      <c r="A1341" s="3"/>
      <c r="B1341" s="2"/>
      <c r="C1341" s="2"/>
      <c r="D1341" s="2" t="b">
        <f>IF(AND(NOT(ISBLANK(Table1[[#This Row],[Fetal Sex (Male, Female or Unknown)]])),ISNUMBER(Table1[[#This Row],[Birthweight (grams)]]),ISNUMBER(Table1[[#This Row],[Gestation (days)]])),TRUE,FALSE)</f>
        <v>0</v>
      </c>
      <c r="E1341" s="2" t="str">
        <f>IF(Table1[[#This Row],[Is Data Valid]]=TRUE,IF(Table1[[#This Row],[Fetal Sex (Male, Female or Unknown)]]="Male",Backend!$C$6,IF(Table1[[#This Row],[Fetal Sex (Male, Female or Unknown)]]="Female",Backend!$C$7,IF(Table1[[#This Row],[Fetal Sex (Male, Female or Unknown)]]="Unknown",Backend!$C$8,"Error"))),"")</f>
        <v/>
      </c>
      <c r="F1341" s="8" t="str">
        <f>IF(Table1[[#This Row],[Is Data Valid]]=TRUE,EXP(0.578+0.332*((Table1[[#This Row],[Gestation (days)]]+0.5)/7)-0.00354*((Table1[[#This Row],[Gestation (days)]]+0.5)/7)^2)*Table1[[#This Row],[BW40_3705]],"")</f>
        <v/>
      </c>
      <c r="G1341" s="2" t="str">
        <f>IF(Table1[[#This Row],[Is Data Valid]]=TRUE,((Table1[[#This Row],[Birthweight (grams)]]/Table1[[#This Row],[BW_GA]])-1)/(Backend!$B$4/100*Table1[[#This Row],[BW40_3705]]),"")</f>
        <v/>
      </c>
      <c r="H1341" s="7" t="str">
        <f>IF(Table1[[#This Row],[Is Data Valid]]=TRUE,((Table1[[#This Row],[Birthweight (grams)]]*0.9/Table1[[#This Row],[BW_GA]])-1)/(Backend!$B$4/100*Table1[[#This Row],[BW40_3705]]),"")</f>
        <v/>
      </c>
      <c r="I1341" s="7" t="str">
        <f>IF(Table1[[#This Row],[Is Data Valid]]=TRUE,((Table1[[#This Row],[Birthweight (grams)]]*1.1/Table1[[#This Row],[BW_GA]])-1)/(Backend!$B$4/100*Table1[[#This Row],[BW40_3705]]),"")</f>
        <v/>
      </c>
      <c r="J1341" s="7" t="str">
        <f>IF(Table1[[#This Row],[Is Data Valid]]=TRUE,_xlfn.NORM.S.DIST(Table1[[#This Row],[Birthweight Z-Score]],TRUE)*100,"")</f>
        <v/>
      </c>
      <c r="K1341" s="7" t="str">
        <f>IF(Table1[[#This Row],[Is Data Valid]]=TRUE,_xlfn.NORM.S.DIST(Table1[[#This Row],[Birthweight Z-Score (BW-10%)]],TRUE)*100,"")</f>
        <v/>
      </c>
      <c r="L1341" s="7" t="str">
        <f>IF(Table1[[#This Row],[Is Data Valid]]=TRUE,_xlfn.NORM.S.DIST(Table1[[#This Row],[Birthweight Z-Score (BW+10%)]],TRUE)*100,"")</f>
        <v/>
      </c>
    </row>
    <row r="1342" spans="1:12" x14ac:dyDescent="0.35">
      <c r="A1342" s="3"/>
      <c r="B1342" s="2"/>
      <c r="C1342" s="2"/>
      <c r="D1342" s="2" t="b">
        <f>IF(AND(NOT(ISBLANK(Table1[[#This Row],[Fetal Sex (Male, Female or Unknown)]])),ISNUMBER(Table1[[#This Row],[Birthweight (grams)]]),ISNUMBER(Table1[[#This Row],[Gestation (days)]])),TRUE,FALSE)</f>
        <v>0</v>
      </c>
      <c r="E1342" s="2" t="str">
        <f>IF(Table1[[#This Row],[Is Data Valid]]=TRUE,IF(Table1[[#This Row],[Fetal Sex (Male, Female or Unknown)]]="Male",Backend!$C$6,IF(Table1[[#This Row],[Fetal Sex (Male, Female or Unknown)]]="Female",Backend!$C$7,IF(Table1[[#This Row],[Fetal Sex (Male, Female or Unknown)]]="Unknown",Backend!$C$8,"Error"))),"")</f>
        <v/>
      </c>
      <c r="F1342" s="8" t="str">
        <f>IF(Table1[[#This Row],[Is Data Valid]]=TRUE,EXP(0.578+0.332*((Table1[[#This Row],[Gestation (days)]]+0.5)/7)-0.00354*((Table1[[#This Row],[Gestation (days)]]+0.5)/7)^2)*Table1[[#This Row],[BW40_3705]],"")</f>
        <v/>
      </c>
      <c r="G1342" s="2" t="str">
        <f>IF(Table1[[#This Row],[Is Data Valid]]=TRUE,((Table1[[#This Row],[Birthweight (grams)]]/Table1[[#This Row],[BW_GA]])-1)/(Backend!$B$4/100*Table1[[#This Row],[BW40_3705]]),"")</f>
        <v/>
      </c>
      <c r="H1342" s="7" t="str">
        <f>IF(Table1[[#This Row],[Is Data Valid]]=TRUE,((Table1[[#This Row],[Birthweight (grams)]]*0.9/Table1[[#This Row],[BW_GA]])-1)/(Backend!$B$4/100*Table1[[#This Row],[BW40_3705]]),"")</f>
        <v/>
      </c>
      <c r="I1342" s="7" t="str">
        <f>IF(Table1[[#This Row],[Is Data Valid]]=TRUE,((Table1[[#This Row],[Birthweight (grams)]]*1.1/Table1[[#This Row],[BW_GA]])-1)/(Backend!$B$4/100*Table1[[#This Row],[BW40_3705]]),"")</f>
        <v/>
      </c>
      <c r="J1342" s="7" t="str">
        <f>IF(Table1[[#This Row],[Is Data Valid]]=TRUE,_xlfn.NORM.S.DIST(Table1[[#This Row],[Birthweight Z-Score]],TRUE)*100,"")</f>
        <v/>
      </c>
      <c r="K1342" s="7" t="str">
        <f>IF(Table1[[#This Row],[Is Data Valid]]=TRUE,_xlfn.NORM.S.DIST(Table1[[#This Row],[Birthweight Z-Score (BW-10%)]],TRUE)*100,"")</f>
        <v/>
      </c>
      <c r="L1342" s="7" t="str">
        <f>IF(Table1[[#This Row],[Is Data Valid]]=TRUE,_xlfn.NORM.S.DIST(Table1[[#This Row],[Birthweight Z-Score (BW+10%)]],TRUE)*100,"")</f>
        <v/>
      </c>
    </row>
    <row r="1343" spans="1:12" x14ac:dyDescent="0.35">
      <c r="A1343" s="3"/>
      <c r="B1343" s="2"/>
      <c r="C1343" s="2"/>
      <c r="D1343" s="2" t="b">
        <f>IF(AND(NOT(ISBLANK(Table1[[#This Row],[Fetal Sex (Male, Female or Unknown)]])),ISNUMBER(Table1[[#This Row],[Birthweight (grams)]]),ISNUMBER(Table1[[#This Row],[Gestation (days)]])),TRUE,FALSE)</f>
        <v>0</v>
      </c>
      <c r="E1343" s="2" t="str">
        <f>IF(Table1[[#This Row],[Is Data Valid]]=TRUE,IF(Table1[[#This Row],[Fetal Sex (Male, Female or Unknown)]]="Male",Backend!$C$6,IF(Table1[[#This Row],[Fetal Sex (Male, Female or Unknown)]]="Female",Backend!$C$7,IF(Table1[[#This Row],[Fetal Sex (Male, Female or Unknown)]]="Unknown",Backend!$C$8,"Error"))),"")</f>
        <v/>
      </c>
      <c r="F1343" s="8" t="str">
        <f>IF(Table1[[#This Row],[Is Data Valid]]=TRUE,EXP(0.578+0.332*((Table1[[#This Row],[Gestation (days)]]+0.5)/7)-0.00354*((Table1[[#This Row],[Gestation (days)]]+0.5)/7)^2)*Table1[[#This Row],[BW40_3705]],"")</f>
        <v/>
      </c>
      <c r="G1343" s="2" t="str">
        <f>IF(Table1[[#This Row],[Is Data Valid]]=TRUE,((Table1[[#This Row],[Birthweight (grams)]]/Table1[[#This Row],[BW_GA]])-1)/(Backend!$B$4/100*Table1[[#This Row],[BW40_3705]]),"")</f>
        <v/>
      </c>
      <c r="H1343" s="7" t="str">
        <f>IF(Table1[[#This Row],[Is Data Valid]]=TRUE,((Table1[[#This Row],[Birthweight (grams)]]*0.9/Table1[[#This Row],[BW_GA]])-1)/(Backend!$B$4/100*Table1[[#This Row],[BW40_3705]]),"")</f>
        <v/>
      </c>
      <c r="I1343" s="7" t="str">
        <f>IF(Table1[[#This Row],[Is Data Valid]]=TRUE,((Table1[[#This Row],[Birthweight (grams)]]*1.1/Table1[[#This Row],[BW_GA]])-1)/(Backend!$B$4/100*Table1[[#This Row],[BW40_3705]]),"")</f>
        <v/>
      </c>
      <c r="J1343" s="7" t="str">
        <f>IF(Table1[[#This Row],[Is Data Valid]]=TRUE,_xlfn.NORM.S.DIST(Table1[[#This Row],[Birthweight Z-Score]],TRUE)*100,"")</f>
        <v/>
      </c>
      <c r="K1343" s="7" t="str">
        <f>IF(Table1[[#This Row],[Is Data Valid]]=TRUE,_xlfn.NORM.S.DIST(Table1[[#This Row],[Birthweight Z-Score (BW-10%)]],TRUE)*100,"")</f>
        <v/>
      </c>
      <c r="L1343" s="7" t="str">
        <f>IF(Table1[[#This Row],[Is Data Valid]]=TRUE,_xlfn.NORM.S.DIST(Table1[[#This Row],[Birthweight Z-Score (BW+10%)]],TRUE)*100,"")</f>
        <v/>
      </c>
    </row>
    <row r="1344" spans="1:12" x14ac:dyDescent="0.35">
      <c r="A1344" s="3"/>
      <c r="B1344" s="2"/>
      <c r="C1344" s="2"/>
      <c r="D1344" s="2" t="b">
        <f>IF(AND(NOT(ISBLANK(Table1[[#This Row],[Fetal Sex (Male, Female or Unknown)]])),ISNUMBER(Table1[[#This Row],[Birthweight (grams)]]),ISNUMBER(Table1[[#This Row],[Gestation (days)]])),TRUE,FALSE)</f>
        <v>0</v>
      </c>
      <c r="E1344" s="2" t="str">
        <f>IF(Table1[[#This Row],[Is Data Valid]]=TRUE,IF(Table1[[#This Row],[Fetal Sex (Male, Female or Unknown)]]="Male",Backend!$C$6,IF(Table1[[#This Row],[Fetal Sex (Male, Female or Unknown)]]="Female",Backend!$C$7,IF(Table1[[#This Row],[Fetal Sex (Male, Female or Unknown)]]="Unknown",Backend!$C$8,"Error"))),"")</f>
        <v/>
      </c>
      <c r="F1344" s="8" t="str">
        <f>IF(Table1[[#This Row],[Is Data Valid]]=TRUE,EXP(0.578+0.332*((Table1[[#This Row],[Gestation (days)]]+0.5)/7)-0.00354*((Table1[[#This Row],[Gestation (days)]]+0.5)/7)^2)*Table1[[#This Row],[BW40_3705]],"")</f>
        <v/>
      </c>
      <c r="G1344" s="2" t="str">
        <f>IF(Table1[[#This Row],[Is Data Valid]]=TRUE,((Table1[[#This Row],[Birthweight (grams)]]/Table1[[#This Row],[BW_GA]])-1)/(Backend!$B$4/100*Table1[[#This Row],[BW40_3705]]),"")</f>
        <v/>
      </c>
      <c r="H1344" s="7" t="str">
        <f>IF(Table1[[#This Row],[Is Data Valid]]=TRUE,((Table1[[#This Row],[Birthweight (grams)]]*0.9/Table1[[#This Row],[BW_GA]])-1)/(Backend!$B$4/100*Table1[[#This Row],[BW40_3705]]),"")</f>
        <v/>
      </c>
      <c r="I1344" s="7" t="str">
        <f>IF(Table1[[#This Row],[Is Data Valid]]=TRUE,((Table1[[#This Row],[Birthweight (grams)]]*1.1/Table1[[#This Row],[BW_GA]])-1)/(Backend!$B$4/100*Table1[[#This Row],[BW40_3705]]),"")</f>
        <v/>
      </c>
      <c r="J1344" s="7" t="str">
        <f>IF(Table1[[#This Row],[Is Data Valid]]=TRUE,_xlfn.NORM.S.DIST(Table1[[#This Row],[Birthweight Z-Score]],TRUE)*100,"")</f>
        <v/>
      </c>
      <c r="K1344" s="7" t="str">
        <f>IF(Table1[[#This Row],[Is Data Valid]]=TRUE,_xlfn.NORM.S.DIST(Table1[[#This Row],[Birthweight Z-Score (BW-10%)]],TRUE)*100,"")</f>
        <v/>
      </c>
      <c r="L1344" s="7" t="str">
        <f>IF(Table1[[#This Row],[Is Data Valid]]=TRUE,_xlfn.NORM.S.DIST(Table1[[#This Row],[Birthweight Z-Score (BW+10%)]],TRUE)*100,"")</f>
        <v/>
      </c>
    </row>
    <row r="1345" spans="1:12" x14ac:dyDescent="0.35">
      <c r="A1345" s="3"/>
      <c r="B1345" s="2"/>
      <c r="C1345" s="2"/>
      <c r="D1345" s="2" t="b">
        <f>IF(AND(NOT(ISBLANK(Table1[[#This Row],[Fetal Sex (Male, Female or Unknown)]])),ISNUMBER(Table1[[#This Row],[Birthweight (grams)]]),ISNUMBER(Table1[[#This Row],[Gestation (days)]])),TRUE,FALSE)</f>
        <v>0</v>
      </c>
      <c r="E1345" s="2" t="str">
        <f>IF(Table1[[#This Row],[Is Data Valid]]=TRUE,IF(Table1[[#This Row],[Fetal Sex (Male, Female or Unknown)]]="Male",Backend!$C$6,IF(Table1[[#This Row],[Fetal Sex (Male, Female or Unknown)]]="Female",Backend!$C$7,IF(Table1[[#This Row],[Fetal Sex (Male, Female or Unknown)]]="Unknown",Backend!$C$8,"Error"))),"")</f>
        <v/>
      </c>
      <c r="F1345" s="8" t="str">
        <f>IF(Table1[[#This Row],[Is Data Valid]]=TRUE,EXP(0.578+0.332*((Table1[[#This Row],[Gestation (days)]]+0.5)/7)-0.00354*((Table1[[#This Row],[Gestation (days)]]+0.5)/7)^2)*Table1[[#This Row],[BW40_3705]],"")</f>
        <v/>
      </c>
      <c r="G1345" s="2" t="str">
        <f>IF(Table1[[#This Row],[Is Data Valid]]=TRUE,((Table1[[#This Row],[Birthweight (grams)]]/Table1[[#This Row],[BW_GA]])-1)/(Backend!$B$4/100*Table1[[#This Row],[BW40_3705]]),"")</f>
        <v/>
      </c>
      <c r="H1345" s="7" t="str">
        <f>IF(Table1[[#This Row],[Is Data Valid]]=TRUE,((Table1[[#This Row],[Birthweight (grams)]]*0.9/Table1[[#This Row],[BW_GA]])-1)/(Backend!$B$4/100*Table1[[#This Row],[BW40_3705]]),"")</f>
        <v/>
      </c>
      <c r="I1345" s="7" t="str">
        <f>IF(Table1[[#This Row],[Is Data Valid]]=TRUE,((Table1[[#This Row],[Birthweight (grams)]]*1.1/Table1[[#This Row],[BW_GA]])-1)/(Backend!$B$4/100*Table1[[#This Row],[BW40_3705]]),"")</f>
        <v/>
      </c>
      <c r="J1345" s="7" t="str">
        <f>IF(Table1[[#This Row],[Is Data Valid]]=TRUE,_xlfn.NORM.S.DIST(Table1[[#This Row],[Birthweight Z-Score]],TRUE)*100,"")</f>
        <v/>
      </c>
      <c r="K1345" s="7" t="str">
        <f>IF(Table1[[#This Row],[Is Data Valid]]=TRUE,_xlfn.NORM.S.DIST(Table1[[#This Row],[Birthweight Z-Score (BW-10%)]],TRUE)*100,"")</f>
        <v/>
      </c>
      <c r="L1345" s="7" t="str">
        <f>IF(Table1[[#This Row],[Is Data Valid]]=TRUE,_xlfn.NORM.S.DIST(Table1[[#This Row],[Birthweight Z-Score (BW+10%)]],TRUE)*100,"")</f>
        <v/>
      </c>
    </row>
    <row r="1346" spans="1:12" x14ac:dyDescent="0.35">
      <c r="A1346" s="3"/>
      <c r="B1346" s="2"/>
      <c r="C1346" s="2"/>
      <c r="D1346" s="2" t="b">
        <f>IF(AND(NOT(ISBLANK(Table1[[#This Row],[Fetal Sex (Male, Female or Unknown)]])),ISNUMBER(Table1[[#This Row],[Birthweight (grams)]]),ISNUMBER(Table1[[#This Row],[Gestation (days)]])),TRUE,FALSE)</f>
        <v>0</v>
      </c>
      <c r="E1346" s="2" t="str">
        <f>IF(Table1[[#This Row],[Is Data Valid]]=TRUE,IF(Table1[[#This Row],[Fetal Sex (Male, Female or Unknown)]]="Male",Backend!$C$6,IF(Table1[[#This Row],[Fetal Sex (Male, Female or Unknown)]]="Female",Backend!$C$7,IF(Table1[[#This Row],[Fetal Sex (Male, Female or Unknown)]]="Unknown",Backend!$C$8,"Error"))),"")</f>
        <v/>
      </c>
      <c r="F1346" s="8" t="str">
        <f>IF(Table1[[#This Row],[Is Data Valid]]=TRUE,EXP(0.578+0.332*((Table1[[#This Row],[Gestation (days)]]+0.5)/7)-0.00354*((Table1[[#This Row],[Gestation (days)]]+0.5)/7)^2)*Table1[[#This Row],[BW40_3705]],"")</f>
        <v/>
      </c>
      <c r="G1346" s="2" t="str">
        <f>IF(Table1[[#This Row],[Is Data Valid]]=TRUE,((Table1[[#This Row],[Birthweight (grams)]]/Table1[[#This Row],[BW_GA]])-1)/(Backend!$B$4/100*Table1[[#This Row],[BW40_3705]]),"")</f>
        <v/>
      </c>
      <c r="H1346" s="7" t="str">
        <f>IF(Table1[[#This Row],[Is Data Valid]]=TRUE,((Table1[[#This Row],[Birthweight (grams)]]*0.9/Table1[[#This Row],[BW_GA]])-1)/(Backend!$B$4/100*Table1[[#This Row],[BW40_3705]]),"")</f>
        <v/>
      </c>
      <c r="I1346" s="7" t="str">
        <f>IF(Table1[[#This Row],[Is Data Valid]]=TRUE,((Table1[[#This Row],[Birthweight (grams)]]*1.1/Table1[[#This Row],[BW_GA]])-1)/(Backend!$B$4/100*Table1[[#This Row],[BW40_3705]]),"")</f>
        <v/>
      </c>
      <c r="J1346" s="7" t="str">
        <f>IF(Table1[[#This Row],[Is Data Valid]]=TRUE,_xlfn.NORM.S.DIST(Table1[[#This Row],[Birthweight Z-Score]],TRUE)*100,"")</f>
        <v/>
      </c>
      <c r="K1346" s="7" t="str">
        <f>IF(Table1[[#This Row],[Is Data Valid]]=TRUE,_xlfn.NORM.S.DIST(Table1[[#This Row],[Birthweight Z-Score (BW-10%)]],TRUE)*100,"")</f>
        <v/>
      </c>
      <c r="L1346" s="7" t="str">
        <f>IF(Table1[[#This Row],[Is Data Valid]]=TRUE,_xlfn.NORM.S.DIST(Table1[[#This Row],[Birthweight Z-Score (BW+10%)]],TRUE)*100,"")</f>
        <v/>
      </c>
    </row>
    <row r="1347" spans="1:12" x14ac:dyDescent="0.35">
      <c r="A1347" s="3"/>
      <c r="B1347" s="2"/>
      <c r="C1347" s="2"/>
      <c r="D1347" s="2" t="b">
        <f>IF(AND(NOT(ISBLANK(Table1[[#This Row],[Fetal Sex (Male, Female or Unknown)]])),ISNUMBER(Table1[[#This Row],[Birthweight (grams)]]),ISNUMBER(Table1[[#This Row],[Gestation (days)]])),TRUE,FALSE)</f>
        <v>0</v>
      </c>
      <c r="E1347" s="2" t="str">
        <f>IF(Table1[[#This Row],[Is Data Valid]]=TRUE,IF(Table1[[#This Row],[Fetal Sex (Male, Female or Unknown)]]="Male",Backend!$C$6,IF(Table1[[#This Row],[Fetal Sex (Male, Female or Unknown)]]="Female",Backend!$C$7,IF(Table1[[#This Row],[Fetal Sex (Male, Female or Unknown)]]="Unknown",Backend!$C$8,"Error"))),"")</f>
        <v/>
      </c>
      <c r="F1347" s="8" t="str">
        <f>IF(Table1[[#This Row],[Is Data Valid]]=TRUE,EXP(0.578+0.332*((Table1[[#This Row],[Gestation (days)]]+0.5)/7)-0.00354*((Table1[[#This Row],[Gestation (days)]]+0.5)/7)^2)*Table1[[#This Row],[BW40_3705]],"")</f>
        <v/>
      </c>
      <c r="G1347" s="2" t="str">
        <f>IF(Table1[[#This Row],[Is Data Valid]]=TRUE,((Table1[[#This Row],[Birthweight (grams)]]/Table1[[#This Row],[BW_GA]])-1)/(Backend!$B$4/100*Table1[[#This Row],[BW40_3705]]),"")</f>
        <v/>
      </c>
      <c r="H1347" s="7" t="str">
        <f>IF(Table1[[#This Row],[Is Data Valid]]=TRUE,((Table1[[#This Row],[Birthweight (grams)]]*0.9/Table1[[#This Row],[BW_GA]])-1)/(Backend!$B$4/100*Table1[[#This Row],[BW40_3705]]),"")</f>
        <v/>
      </c>
      <c r="I1347" s="7" t="str">
        <f>IF(Table1[[#This Row],[Is Data Valid]]=TRUE,((Table1[[#This Row],[Birthweight (grams)]]*1.1/Table1[[#This Row],[BW_GA]])-1)/(Backend!$B$4/100*Table1[[#This Row],[BW40_3705]]),"")</f>
        <v/>
      </c>
      <c r="J1347" s="7" t="str">
        <f>IF(Table1[[#This Row],[Is Data Valid]]=TRUE,_xlfn.NORM.S.DIST(Table1[[#This Row],[Birthweight Z-Score]],TRUE)*100,"")</f>
        <v/>
      </c>
      <c r="K1347" s="7" t="str">
        <f>IF(Table1[[#This Row],[Is Data Valid]]=TRUE,_xlfn.NORM.S.DIST(Table1[[#This Row],[Birthweight Z-Score (BW-10%)]],TRUE)*100,"")</f>
        <v/>
      </c>
      <c r="L1347" s="7" t="str">
        <f>IF(Table1[[#This Row],[Is Data Valid]]=TRUE,_xlfn.NORM.S.DIST(Table1[[#This Row],[Birthweight Z-Score (BW+10%)]],TRUE)*100,"")</f>
        <v/>
      </c>
    </row>
    <row r="1348" spans="1:12" x14ac:dyDescent="0.35">
      <c r="A1348" s="3"/>
      <c r="B1348" s="2"/>
      <c r="C1348" s="2"/>
      <c r="D1348" s="2" t="b">
        <f>IF(AND(NOT(ISBLANK(Table1[[#This Row],[Fetal Sex (Male, Female or Unknown)]])),ISNUMBER(Table1[[#This Row],[Birthweight (grams)]]),ISNUMBER(Table1[[#This Row],[Gestation (days)]])),TRUE,FALSE)</f>
        <v>0</v>
      </c>
      <c r="E1348" s="2" t="str">
        <f>IF(Table1[[#This Row],[Is Data Valid]]=TRUE,IF(Table1[[#This Row],[Fetal Sex (Male, Female or Unknown)]]="Male",Backend!$C$6,IF(Table1[[#This Row],[Fetal Sex (Male, Female or Unknown)]]="Female",Backend!$C$7,IF(Table1[[#This Row],[Fetal Sex (Male, Female or Unknown)]]="Unknown",Backend!$C$8,"Error"))),"")</f>
        <v/>
      </c>
      <c r="F1348" s="8" t="str">
        <f>IF(Table1[[#This Row],[Is Data Valid]]=TRUE,EXP(0.578+0.332*((Table1[[#This Row],[Gestation (days)]]+0.5)/7)-0.00354*((Table1[[#This Row],[Gestation (days)]]+0.5)/7)^2)*Table1[[#This Row],[BW40_3705]],"")</f>
        <v/>
      </c>
      <c r="G1348" s="2" t="str">
        <f>IF(Table1[[#This Row],[Is Data Valid]]=TRUE,((Table1[[#This Row],[Birthweight (grams)]]/Table1[[#This Row],[BW_GA]])-1)/(Backend!$B$4/100*Table1[[#This Row],[BW40_3705]]),"")</f>
        <v/>
      </c>
      <c r="H1348" s="7" t="str">
        <f>IF(Table1[[#This Row],[Is Data Valid]]=TRUE,((Table1[[#This Row],[Birthweight (grams)]]*0.9/Table1[[#This Row],[BW_GA]])-1)/(Backend!$B$4/100*Table1[[#This Row],[BW40_3705]]),"")</f>
        <v/>
      </c>
      <c r="I1348" s="7" t="str">
        <f>IF(Table1[[#This Row],[Is Data Valid]]=TRUE,((Table1[[#This Row],[Birthweight (grams)]]*1.1/Table1[[#This Row],[BW_GA]])-1)/(Backend!$B$4/100*Table1[[#This Row],[BW40_3705]]),"")</f>
        <v/>
      </c>
      <c r="J1348" s="7" t="str">
        <f>IF(Table1[[#This Row],[Is Data Valid]]=TRUE,_xlfn.NORM.S.DIST(Table1[[#This Row],[Birthweight Z-Score]],TRUE)*100,"")</f>
        <v/>
      </c>
      <c r="K1348" s="7" t="str">
        <f>IF(Table1[[#This Row],[Is Data Valid]]=TRUE,_xlfn.NORM.S.DIST(Table1[[#This Row],[Birthweight Z-Score (BW-10%)]],TRUE)*100,"")</f>
        <v/>
      </c>
      <c r="L1348" s="7" t="str">
        <f>IF(Table1[[#This Row],[Is Data Valid]]=TRUE,_xlfn.NORM.S.DIST(Table1[[#This Row],[Birthweight Z-Score (BW+10%)]],TRUE)*100,"")</f>
        <v/>
      </c>
    </row>
    <row r="1349" spans="1:12" x14ac:dyDescent="0.35">
      <c r="A1349" s="3"/>
      <c r="B1349" s="2"/>
      <c r="C1349" s="2"/>
      <c r="D1349" s="2" t="b">
        <f>IF(AND(NOT(ISBLANK(Table1[[#This Row],[Fetal Sex (Male, Female or Unknown)]])),ISNUMBER(Table1[[#This Row],[Birthweight (grams)]]),ISNUMBER(Table1[[#This Row],[Gestation (days)]])),TRUE,FALSE)</f>
        <v>0</v>
      </c>
      <c r="E1349" s="2" t="str">
        <f>IF(Table1[[#This Row],[Is Data Valid]]=TRUE,IF(Table1[[#This Row],[Fetal Sex (Male, Female or Unknown)]]="Male",Backend!$C$6,IF(Table1[[#This Row],[Fetal Sex (Male, Female or Unknown)]]="Female",Backend!$C$7,IF(Table1[[#This Row],[Fetal Sex (Male, Female or Unknown)]]="Unknown",Backend!$C$8,"Error"))),"")</f>
        <v/>
      </c>
      <c r="F1349" s="8" t="str">
        <f>IF(Table1[[#This Row],[Is Data Valid]]=TRUE,EXP(0.578+0.332*((Table1[[#This Row],[Gestation (days)]]+0.5)/7)-0.00354*((Table1[[#This Row],[Gestation (days)]]+0.5)/7)^2)*Table1[[#This Row],[BW40_3705]],"")</f>
        <v/>
      </c>
      <c r="G1349" s="2" t="str">
        <f>IF(Table1[[#This Row],[Is Data Valid]]=TRUE,((Table1[[#This Row],[Birthweight (grams)]]/Table1[[#This Row],[BW_GA]])-1)/(Backend!$B$4/100*Table1[[#This Row],[BW40_3705]]),"")</f>
        <v/>
      </c>
      <c r="H1349" s="7" t="str">
        <f>IF(Table1[[#This Row],[Is Data Valid]]=TRUE,((Table1[[#This Row],[Birthweight (grams)]]*0.9/Table1[[#This Row],[BW_GA]])-1)/(Backend!$B$4/100*Table1[[#This Row],[BW40_3705]]),"")</f>
        <v/>
      </c>
      <c r="I1349" s="7" t="str">
        <f>IF(Table1[[#This Row],[Is Data Valid]]=TRUE,((Table1[[#This Row],[Birthweight (grams)]]*1.1/Table1[[#This Row],[BW_GA]])-1)/(Backend!$B$4/100*Table1[[#This Row],[BW40_3705]]),"")</f>
        <v/>
      </c>
      <c r="J1349" s="7" t="str">
        <f>IF(Table1[[#This Row],[Is Data Valid]]=TRUE,_xlfn.NORM.S.DIST(Table1[[#This Row],[Birthweight Z-Score]],TRUE)*100,"")</f>
        <v/>
      </c>
      <c r="K1349" s="7" t="str">
        <f>IF(Table1[[#This Row],[Is Data Valid]]=TRUE,_xlfn.NORM.S.DIST(Table1[[#This Row],[Birthweight Z-Score (BW-10%)]],TRUE)*100,"")</f>
        <v/>
      </c>
      <c r="L1349" s="7" t="str">
        <f>IF(Table1[[#This Row],[Is Data Valid]]=TRUE,_xlfn.NORM.S.DIST(Table1[[#This Row],[Birthweight Z-Score (BW+10%)]],TRUE)*100,"")</f>
        <v/>
      </c>
    </row>
    <row r="1350" spans="1:12" x14ac:dyDescent="0.35">
      <c r="A1350" s="3"/>
      <c r="B1350" s="2"/>
      <c r="C1350" s="2"/>
      <c r="D1350" s="2" t="b">
        <f>IF(AND(NOT(ISBLANK(Table1[[#This Row],[Fetal Sex (Male, Female or Unknown)]])),ISNUMBER(Table1[[#This Row],[Birthweight (grams)]]),ISNUMBER(Table1[[#This Row],[Gestation (days)]])),TRUE,FALSE)</f>
        <v>0</v>
      </c>
      <c r="E1350" s="2" t="str">
        <f>IF(Table1[[#This Row],[Is Data Valid]]=TRUE,IF(Table1[[#This Row],[Fetal Sex (Male, Female or Unknown)]]="Male",Backend!$C$6,IF(Table1[[#This Row],[Fetal Sex (Male, Female or Unknown)]]="Female",Backend!$C$7,IF(Table1[[#This Row],[Fetal Sex (Male, Female or Unknown)]]="Unknown",Backend!$C$8,"Error"))),"")</f>
        <v/>
      </c>
      <c r="F1350" s="8" t="str">
        <f>IF(Table1[[#This Row],[Is Data Valid]]=TRUE,EXP(0.578+0.332*((Table1[[#This Row],[Gestation (days)]]+0.5)/7)-0.00354*((Table1[[#This Row],[Gestation (days)]]+0.5)/7)^2)*Table1[[#This Row],[BW40_3705]],"")</f>
        <v/>
      </c>
      <c r="G1350" s="2" t="str">
        <f>IF(Table1[[#This Row],[Is Data Valid]]=TRUE,((Table1[[#This Row],[Birthweight (grams)]]/Table1[[#This Row],[BW_GA]])-1)/(Backend!$B$4/100*Table1[[#This Row],[BW40_3705]]),"")</f>
        <v/>
      </c>
      <c r="H1350" s="7" t="str">
        <f>IF(Table1[[#This Row],[Is Data Valid]]=TRUE,((Table1[[#This Row],[Birthweight (grams)]]*0.9/Table1[[#This Row],[BW_GA]])-1)/(Backend!$B$4/100*Table1[[#This Row],[BW40_3705]]),"")</f>
        <v/>
      </c>
      <c r="I1350" s="7" t="str">
        <f>IF(Table1[[#This Row],[Is Data Valid]]=TRUE,((Table1[[#This Row],[Birthweight (grams)]]*1.1/Table1[[#This Row],[BW_GA]])-1)/(Backend!$B$4/100*Table1[[#This Row],[BW40_3705]]),"")</f>
        <v/>
      </c>
      <c r="J1350" s="7" t="str">
        <f>IF(Table1[[#This Row],[Is Data Valid]]=TRUE,_xlfn.NORM.S.DIST(Table1[[#This Row],[Birthweight Z-Score]],TRUE)*100,"")</f>
        <v/>
      </c>
      <c r="K1350" s="7" t="str">
        <f>IF(Table1[[#This Row],[Is Data Valid]]=TRUE,_xlfn.NORM.S.DIST(Table1[[#This Row],[Birthweight Z-Score (BW-10%)]],TRUE)*100,"")</f>
        <v/>
      </c>
      <c r="L1350" s="7" t="str">
        <f>IF(Table1[[#This Row],[Is Data Valid]]=TRUE,_xlfn.NORM.S.DIST(Table1[[#This Row],[Birthweight Z-Score (BW+10%)]],TRUE)*100,"")</f>
        <v/>
      </c>
    </row>
    <row r="1351" spans="1:12" x14ac:dyDescent="0.35">
      <c r="A1351" s="3"/>
      <c r="B1351" s="2"/>
      <c r="C1351" s="2"/>
      <c r="D1351" s="2" t="b">
        <f>IF(AND(NOT(ISBLANK(Table1[[#This Row],[Fetal Sex (Male, Female or Unknown)]])),ISNUMBER(Table1[[#This Row],[Birthweight (grams)]]),ISNUMBER(Table1[[#This Row],[Gestation (days)]])),TRUE,FALSE)</f>
        <v>0</v>
      </c>
      <c r="E1351" s="2" t="str">
        <f>IF(Table1[[#This Row],[Is Data Valid]]=TRUE,IF(Table1[[#This Row],[Fetal Sex (Male, Female or Unknown)]]="Male",Backend!$C$6,IF(Table1[[#This Row],[Fetal Sex (Male, Female or Unknown)]]="Female",Backend!$C$7,IF(Table1[[#This Row],[Fetal Sex (Male, Female or Unknown)]]="Unknown",Backend!$C$8,"Error"))),"")</f>
        <v/>
      </c>
      <c r="F1351" s="8" t="str">
        <f>IF(Table1[[#This Row],[Is Data Valid]]=TRUE,EXP(0.578+0.332*((Table1[[#This Row],[Gestation (days)]]+0.5)/7)-0.00354*((Table1[[#This Row],[Gestation (days)]]+0.5)/7)^2)*Table1[[#This Row],[BW40_3705]],"")</f>
        <v/>
      </c>
      <c r="G1351" s="2" t="str">
        <f>IF(Table1[[#This Row],[Is Data Valid]]=TRUE,((Table1[[#This Row],[Birthweight (grams)]]/Table1[[#This Row],[BW_GA]])-1)/(Backend!$B$4/100*Table1[[#This Row],[BW40_3705]]),"")</f>
        <v/>
      </c>
      <c r="H1351" s="7" t="str">
        <f>IF(Table1[[#This Row],[Is Data Valid]]=TRUE,((Table1[[#This Row],[Birthweight (grams)]]*0.9/Table1[[#This Row],[BW_GA]])-1)/(Backend!$B$4/100*Table1[[#This Row],[BW40_3705]]),"")</f>
        <v/>
      </c>
      <c r="I1351" s="7" t="str">
        <f>IF(Table1[[#This Row],[Is Data Valid]]=TRUE,((Table1[[#This Row],[Birthweight (grams)]]*1.1/Table1[[#This Row],[BW_GA]])-1)/(Backend!$B$4/100*Table1[[#This Row],[BW40_3705]]),"")</f>
        <v/>
      </c>
      <c r="J1351" s="7" t="str">
        <f>IF(Table1[[#This Row],[Is Data Valid]]=TRUE,_xlfn.NORM.S.DIST(Table1[[#This Row],[Birthweight Z-Score]],TRUE)*100,"")</f>
        <v/>
      </c>
      <c r="K1351" s="7" t="str">
        <f>IF(Table1[[#This Row],[Is Data Valid]]=TRUE,_xlfn.NORM.S.DIST(Table1[[#This Row],[Birthweight Z-Score (BW-10%)]],TRUE)*100,"")</f>
        <v/>
      </c>
      <c r="L1351" s="7" t="str">
        <f>IF(Table1[[#This Row],[Is Data Valid]]=TRUE,_xlfn.NORM.S.DIST(Table1[[#This Row],[Birthweight Z-Score (BW+10%)]],TRUE)*100,"")</f>
        <v/>
      </c>
    </row>
    <row r="1352" spans="1:12" x14ac:dyDescent="0.35">
      <c r="A1352" s="3"/>
      <c r="B1352" s="2"/>
      <c r="C1352" s="2"/>
      <c r="D1352" s="2" t="b">
        <f>IF(AND(NOT(ISBLANK(Table1[[#This Row],[Fetal Sex (Male, Female or Unknown)]])),ISNUMBER(Table1[[#This Row],[Birthweight (grams)]]),ISNUMBER(Table1[[#This Row],[Gestation (days)]])),TRUE,FALSE)</f>
        <v>0</v>
      </c>
      <c r="E1352" s="2" t="str">
        <f>IF(Table1[[#This Row],[Is Data Valid]]=TRUE,IF(Table1[[#This Row],[Fetal Sex (Male, Female or Unknown)]]="Male",Backend!$C$6,IF(Table1[[#This Row],[Fetal Sex (Male, Female or Unknown)]]="Female",Backend!$C$7,IF(Table1[[#This Row],[Fetal Sex (Male, Female or Unknown)]]="Unknown",Backend!$C$8,"Error"))),"")</f>
        <v/>
      </c>
      <c r="F1352" s="8" t="str">
        <f>IF(Table1[[#This Row],[Is Data Valid]]=TRUE,EXP(0.578+0.332*((Table1[[#This Row],[Gestation (days)]]+0.5)/7)-0.00354*((Table1[[#This Row],[Gestation (days)]]+0.5)/7)^2)*Table1[[#This Row],[BW40_3705]],"")</f>
        <v/>
      </c>
      <c r="G1352" s="2" t="str">
        <f>IF(Table1[[#This Row],[Is Data Valid]]=TRUE,((Table1[[#This Row],[Birthweight (grams)]]/Table1[[#This Row],[BW_GA]])-1)/(Backend!$B$4/100*Table1[[#This Row],[BW40_3705]]),"")</f>
        <v/>
      </c>
      <c r="H1352" s="7" t="str">
        <f>IF(Table1[[#This Row],[Is Data Valid]]=TRUE,((Table1[[#This Row],[Birthweight (grams)]]*0.9/Table1[[#This Row],[BW_GA]])-1)/(Backend!$B$4/100*Table1[[#This Row],[BW40_3705]]),"")</f>
        <v/>
      </c>
      <c r="I1352" s="7" t="str">
        <f>IF(Table1[[#This Row],[Is Data Valid]]=TRUE,((Table1[[#This Row],[Birthweight (grams)]]*1.1/Table1[[#This Row],[BW_GA]])-1)/(Backend!$B$4/100*Table1[[#This Row],[BW40_3705]]),"")</f>
        <v/>
      </c>
      <c r="J1352" s="7" t="str">
        <f>IF(Table1[[#This Row],[Is Data Valid]]=TRUE,_xlfn.NORM.S.DIST(Table1[[#This Row],[Birthweight Z-Score]],TRUE)*100,"")</f>
        <v/>
      </c>
      <c r="K1352" s="7" t="str">
        <f>IF(Table1[[#This Row],[Is Data Valid]]=TRUE,_xlfn.NORM.S.DIST(Table1[[#This Row],[Birthweight Z-Score (BW-10%)]],TRUE)*100,"")</f>
        <v/>
      </c>
      <c r="L1352" s="7" t="str">
        <f>IF(Table1[[#This Row],[Is Data Valid]]=TRUE,_xlfn.NORM.S.DIST(Table1[[#This Row],[Birthweight Z-Score (BW+10%)]],TRUE)*100,"")</f>
        <v/>
      </c>
    </row>
    <row r="1353" spans="1:12" x14ac:dyDescent="0.35">
      <c r="A1353" s="3"/>
      <c r="B1353" s="2"/>
      <c r="C1353" s="2"/>
      <c r="D1353" s="2" t="b">
        <f>IF(AND(NOT(ISBLANK(Table1[[#This Row],[Fetal Sex (Male, Female or Unknown)]])),ISNUMBER(Table1[[#This Row],[Birthweight (grams)]]),ISNUMBER(Table1[[#This Row],[Gestation (days)]])),TRUE,FALSE)</f>
        <v>0</v>
      </c>
      <c r="E1353" s="2" t="str">
        <f>IF(Table1[[#This Row],[Is Data Valid]]=TRUE,IF(Table1[[#This Row],[Fetal Sex (Male, Female or Unknown)]]="Male",Backend!$C$6,IF(Table1[[#This Row],[Fetal Sex (Male, Female or Unknown)]]="Female",Backend!$C$7,IF(Table1[[#This Row],[Fetal Sex (Male, Female or Unknown)]]="Unknown",Backend!$C$8,"Error"))),"")</f>
        <v/>
      </c>
      <c r="F1353" s="8" t="str">
        <f>IF(Table1[[#This Row],[Is Data Valid]]=TRUE,EXP(0.578+0.332*((Table1[[#This Row],[Gestation (days)]]+0.5)/7)-0.00354*((Table1[[#This Row],[Gestation (days)]]+0.5)/7)^2)*Table1[[#This Row],[BW40_3705]],"")</f>
        <v/>
      </c>
      <c r="G1353" s="2" t="str">
        <f>IF(Table1[[#This Row],[Is Data Valid]]=TRUE,((Table1[[#This Row],[Birthweight (grams)]]/Table1[[#This Row],[BW_GA]])-1)/(Backend!$B$4/100*Table1[[#This Row],[BW40_3705]]),"")</f>
        <v/>
      </c>
      <c r="H1353" s="7" t="str">
        <f>IF(Table1[[#This Row],[Is Data Valid]]=TRUE,((Table1[[#This Row],[Birthweight (grams)]]*0.9/Table1[[#This Row],[BW_GA]])-1)/(Backend!$B$4/100*Table1[[#This Row],[BW40_3705]]),"")</f>
        <v/>
      </c>
      <c r="I1353" s="7" t="str">
        <f>IF(Table1[[#This Row],[Is Data Valid]]=TRUE,((Table1[[#This Row],[Birthweight (grams)]]*1.1/Table1[[#This Row],[BW_GA]])-1)/(Backend!$B$4/100*Table1[[#This Row],[BW40_3705]]),"")</f>
        <v/>
      </c>
      <c r="J1353" s="7" t="str">
        <f>IF(Table1[[#This Row],[Is Data Valid]]=TRUE,_xlfn.NORM.S.DIST(Table1[[#This Row],[Birthweight Z-Score]],TRUE)*100,"")</f>
        <v/>
      </c>
      <c r="K1353" s="7" t="str">
        <f>IF(Table1[[#This Row],[Is Data Valid]]=TRUE,_xlfn.NORM.S.DIST(Table1[[#This Row],[Birthweight Z-Score (BW-10%)]],TRUE)*100,"")</f>
        <v/>
      </c>
      <c r="L1353" s="7" t="str">
        <f>IF(Table1[[#This Row],[Is Data Valid]]=TRUE,_xlfn.NORM.S.DIST(Table1[[#This Row],[Birthweight Z-Score (BW+10%)]],TRUE)*100,"")</f>
        <v/>
      </c>
    </row>
    <row r="1354" spans="1:12" x14ac:dyDescent="0.35">
      <c r="A1354" s="3"/>
      <c r="B1354" s="2"/>
      <c r="C1354" s="2"/>
      <c r="D1354" s="2" t="b">
        <f>IF(AND(NOT(ISBLANK(Table1[[#This Row],[Fetal Sex (Male, Female or Unknown)]])),ISNUMBER(Table1[[#This Row],[Birthweight (grams)]]),ISNUMBER(Table1[[#This Row],[Gestation (days)]])),TRUE,FALSE)</f>
        <v>0</v>
      </c>
      <c r="E1354" s="2" t="str">
        <f>IF(Table1[[#This Row],[Is Data Valid]]=TRUE,IF(Table1[[#This Row],[Fetal Sex (Male, Female or Unknown)]]="Male",Backend!$C$6,IF(Table1[[#This Row],[Fetal Sex (Male, Female or Unknown)]]="Female",Backend!$C$7,IF(Table1[[#This Row],[Fetal Sex (Male, Female or Unknown)]]="Unknown",Backend!$C$8,"Error"))),"")</f>
        <v/>
      </c>
      <c r="F1354" s="8" t="str">
        <f>IF(Table1[[#This Row],[Is Data Valid]]=TRUE,EXP(0.578+0.332*((Table1[[#This Row],[Gestation (days)]]+0.5)/7)-0.00354*((Table1[[#This Row],[Gestation (days)]]+0.5)/7)^2)*Table1[[#This Row],[BW40_3705]],"")</f>
        <v/>
      </c>
      <c r="G1354" s="2" t="str">
        <f>IF(Table1[[#This Row],[Is Data Valid]]=TRUE,((Table1[[#This Row],[Birthweight (grams)]]/Table1[[#This Row],[BW_GA]])-1)/(Backend!$B$4/100*Table1[[#This Row],[BW40_3705]]),"")</f>
        <v/>
      </c>
      <c r="H1354" s="7" t="str">
        <f>IF(Table1[[#This Row],[Is Data Valid]]=TRUE,((Table1[[#This Row],[Birthweight (grams)]]*0.9/Table1[[#This Row],[BW_GA]])-1)/(Backend!$B$4/100*Table1[[#This Row],[BW40_3705]]),"")</f>
        <v/>
      </c>
      <c r="I1354" s="7" t="str">
        <f>IF(Table1[[#This Row],[Is Data Valid]]=TRUE,((Table1[[#This Row],[Birthweight (grams)]]*1.1/Table1[[#This Row],[BW_GA]])-1)/(Backend!$B$4/100*Table1[[#This Row],[BW40_3705]]),"")</f>
        <v/>
      </c>
      <c r="J1354" s="7" t="str">
        <f>IF(Table1[[#This Row],[Is Data Valid]]=TRUE,_xlfn.NORM.S.DIST(Table1[[#This Row],[Birthweight Z-Score]],TRUE)*100,"")</f>
        <v/>
      </c>
      <c r="K1354" s="7" t="str">
        <f>IF(Table1[[#This Row],[Is Data Valid]]=TRUE,_xlfn.NORM.S.DIST(Table1[[#This Row],[Birthweight Z-Score (BW-10%)]],TRUE)*100,"")</f>
        <v/>
      </c>
      <c r="L1354" s="7" t="str">
        <f>IF(Table1[[#This Row],[Is Data Valid]]=TRUE,_xlfn.NORM.S.DIST(Table1[[#This Row],[Birthweight Z-Score (BW+10%)]],TRUE)*100,"")</f>
        <v/>
      </c>
    </row>
    <row r="1355" spans="1:12" x14ac:dyDescent="0.35">
      <c r="A1355" s="3"/>
      <c r="B1355" s="2"/>
      <c r="C1355" s="2"/>
      <c r="D1355" s="2" t="b">
        <f>IF(AND(NOT(ISBLANK(Table1[[#This Row],[Fetal Sex (Male, Female or Unknown)]])),ISNUMBER(Table1[[#This Row],[Birthweight (grams)]]),ISNUMBER(Table1[[#This Row],[Gestation (days)]])),TRUE,FALSE)</f>
        <v>0</v>
      </c>
      <c r="E1355" s="2" t="str">
        <f>IF(Table1[[#This Row],[Is Data Valid]]=TRUE,IF(Table1[[#This Row],[Fetal Sex (Male, Female or Unknown)]]="Male",Backend!$C$6,IF(Table1[[#This Row],[Fetal Sex (Male, Female or Unknown)]]="Female",Backend!$C$7,IF(Table1[[#This Row],[Fetal Sex (Male, Female or Unknown)]]="Unknown",Backend!$C$8,"Error"))),"")</f>
        <v/>
      </c>
      <c r="F1355" s="8" t="str">
        <f>IF(Table1[[#This Row],[Is Data Valid]]=TRUE,EXP(0.578+0.332*((Table1[[#This Row],[Gestation (days)]]+0.5)/7)-0.00354*((Table1[[#This Row],[Gestation (days)]]+0.5)/7)^2)*Table1[[#This Row],[BW40_3705]],"")</f>
        <v/>
      </c>
      <c r="G1355" s="2" t="str">
        <f>IF(Table1[[#This Row],[Is Data Valid]]=TRUE,((Table1[[#This Row],[Birthweight (grams)]]/Table1[[#This Row],[BW_GA]])-1)/(Backend!$B$4/100*Table1[[#This Row],[BW40_3705]]),"")</f>
        <v/>
      </c>
      <c r="H1355" s="7" t="str">
        <f>IF(Table1[[#This Row],[Is Data Valid]]=TRUE,((Table1[[#This Row],[Birthweight (grams)]]*0.9/Table1[[#This Row],[BW_GA]])-1)/(Backend!$B$4/100*Table1[[#This Row],[BW40_3705]]),"")</f>
        <v/>
      </c>
      <c r="I1355" s="7" t="str">
        <f>IF(Table1[[#This Row],[Is Data Valid]]=TRUE,((Table1[[#This Row],[Birthweight (grams)]]*1.1/Table1[[#This Row],[BW_GA]])-1)/(Backend!$B$4/100*Table1[[#This Row],[BW40_3705]]),"")</f>
        <v/>
      </c>
      <c r="J1355" s="7" t="str">
        <f>IF(Table1[[#This Row],[Is Data Valid]]=TRUE,_xlfn.NORM.S.DIST(Table1[[#This Row],[Birthweight Z-Score]],TRUE)*100,"")</f>
        <v/>
      </c>
      <c r="K1355" s="7" t="str">
        <f>IF(Table1[[#This Row],[Is Data Valid]]=TRUE,_xlfn.NORM.S.DIST(Table1[[#This Row],[Birthweight Z-Score (BW-10%)]],TRUE)*100,"")</f>
        <v/>
      </c>
      <c r="L1355" s="7" t="str">
        <f>IF(Table1[[#This Row],[Is Data Valid]]=TRUE,_xlfn.NORM.S.DIST(Table1[[#This Row],[Birthweight Z-Score (BW+10%)]],TRUE)*100,"")</f>
        <v/>
      </c>
    </row>
    <row r="1356" spans="1:12" x14ac:dyDescent="0.35">
      <c r="A1356" s="3"/>
      <c r="B1356" s="2"/>
      <c r="C1356" s="2"/>
      <c r="D1356" s="2" t="b">
        <f>IF(AND(NOT(ISBLANK(Table1[[#This Row],[Fetal Sex (Male, Female or Unknown)]])),ISNUMBER(Table1[[#This Row],[Birthweight (grams)]]),ISNUMBER(Table1[[#This Row],[Gestation (days)]])),TRUE,FALSE)</f>
        <v>0</v>
      </c>
      <c r="E1356" s="2" t="str">
        <f>IF(Table1[[#This Row],[Is Data Valid]]=TRUE,IF(Table1[[#This Row],[Fetal Sex (Male, Female or Unknown)]]="Male",Backend!$C$6,IF(Table1[[#This Row],[Fetal Sex (Male, Female or Unknown)]]="Female",Backend!$C$7,IF(Table1[[#This Row],[Fetal Sex (Male, Female or Unknown)]]="Unknown",Backend!$C$8,"Error"))),"")</f>
        <v/>
      </c>
      <c r="F1356" s="8" t="str">
        <f>IF(Table1[[#This Row],[Is Data Valid]]=TRUE,EXP(0.578+0.332*((Table1[[#This Row],[Gestation (days)]]+0.5)/7)-0.00354*((Table1[[#This Row],[Gestation (days)]]+0.5)/7)^2)*Table1[[#This Row],[BW40_3705]],"")</f>
        <v/>
      </c>
      <c r="G1356" s="2" t="str">
        <f>IF(Table1[[#This Row],[Is Data Valid]]=TRUE,((Table1[[#This Row],[Birthweight (grams)]]/Table1[[#This Row],[BW_GA]])-1)/(Backend!$B$4/100*Table1[[#This Row],[BW40_3705]]),"")</f>
        <v/>
      </c>
      <c r="H1356" s="7" t="str">
        <f>IF(Table1[[#This Row],[Is Data Valid]]=TRUE,((Table1[[#This Row],[Birthweight (grams)]]*0.9/Table1[[#This Row],[BW_GA]])-1)/(Backend!$B$4/100*Table1[[#This Row],[BW40_3705]]),"")</f>
        <v/>
      </c>
      <c r="I1356" s="7" t="str">
        <f>IF(Table1[[#This Row],[Is Data Valid]]=TRUE,((Table1[[#This Row],[Birthweight (grams)]]*1.1/Table1[[#This Row],[BW_GA]])-1)/(Backend!$B$4/100*Table1[[#This Row],[BW40_3705]]),"")</f>
        <v/>
      </c>
      <c r="J1356" s="7" t="str">
        <f>IF(Table1[[#This Row],[Is Data Valid]]=TRUE,_xlfn.NORM.S.DIST(Table1[[#This Row],[Birthweight Z-Score]],TRUE)*100,"")</f>
        <v/>
      </c>
      <c r="K1356" s="7" t="str">
        <f>IF(Table1[[#This Row],[Is Data Valid]]=TRUE,_xlfn.NORM.S.DIST(Table1[[#This Row],[Birthweight Z-Score (BW-10%)]],TRUE)*100,"")</f>
        <v/>
      </c>
      <c r="L1356" s="7" t="str">
        <f>IF(Table1[[#This Row],[Is Data Valid]]=TRUE,_xlfn.NORM.S.DIST(Table1[[#This Row],[Birthweight Z-Score (BW+10%)]],TRUE)*100,"")</f>
        <v/>
      </c>
    </row>
    <row r="1357" spans="1:12" x14ac:dyDescent="0.35">
      <c r="A1357" s="3"/>
      <c r="B1357" s="2"/>
      <c r="C1357" s="2"/>
      <c r="D1357" s="2" t="b">
        <f>IF(AND(NOT(ISBLANK(Table1[[#This Row],[Fetal Sex (Male, Female or Unknown)]])),ISNUMBER(Table1[[#This Row],[Birthweight (grams)]]),ISNUMBER(Table1[[#This Row],[Gestation (days)]])),TRUE,FALSE)</f>
        <v>0</v>
      </c>
      <c r="E1357" s="2" t="str">
        <f>IF(Table1[[#This Row],[Is Data Valid]]=TRUE,IF(Table1[[#This Row],[Fetal Sex (Male, Female or Unknown)]]="Male",Backend!$C$6,IF(Table1[[#This Row],[Fetal Sex (Male, Female or Unknown)]]="Female",Backend!$C$7,IF(Table1[[#This Row],[Fetal Sex (Male, Female or Unknown)]]="Unknown",Backend!$C$8,"Error"))),"")</f>
        <v/>
      </c>
      <c r="F1357" s="8" t="str">
        <f>IF(Table1[[#This Row],[Is Data Valid]]=TRUE,EXP(0.578+0.332*((Table1[[#This Row],[Gestation (days)]]+0.5)/7)-0.00354*((Table1[[#This Row],[Gestation (days)]]+0.5)/7)^2)*Table1[[#This Row],[BW40_3705]],"")</f>
        <v/>
      </c>
      <c r="G1357" s="2" t="str">
        <f>IF(Table1[[#This Row],[Is Data Valid]]=TRUE,((Table1[[#This Row],[Birthweight (grams)]]/Table1[[#This Row],[BW_GA]])-1)/(Backend!$B$4/100*Table1[[#This Row],[BW40_3705]]),"")</f>
        <v/>
      </c>
      <c r="H1357" s="7" t="str">
        <f>IF(Table1[[#This Row],[Is Data Valid]]=TRUE,((Table1[[#This Row],[Birthweight (grams)]]*0.9/Table1[[#This Row],[BW_GA]])-1)/(Backend!$B$4/100*Table1[[#This Row],[BW40_3705]]),"")</f>
        <v/>
      </c>
      <c r="I1357" s="7" t="str">
        <f>IF(Table1[[#This Row],[Is Data Valid]]=TRUE,((Table1[[#This Row],[Birthweight (grams)]]*1.1/Table1[[#This Row],[BW_GA]])-1)/(Backend!$B$4/100*Table1[[#This Row],[BW40_3705]]),"")</f>
        <v/>
      </c>
      <c r="J1357" s="7" t="str">
        <f>IF(Table1[[#This Row],[Is Data Valid]]=TRUE,_xlfn.NORM.S.DIST(Table1[[#This Row],[Birthweight Z-Score]],TRUE)*100,"")</f>
        <v/>
      </c>
      <c r="K1357" s="7" t="str">
        <f>IF(Table1[[#This Row],[Is Data Valid]]=TRUE,_xlfn.NORM.S.DIST(Table1[[#This Row],[Birthweight Z-Score (BW-10%)]],TRUE)*100,"")</f>
        <v/>
      </c>
      <c r="L1357" s="7" t="str">
        <f>IF(Table1[[#This Row],[Is Data Valid]]=TRUE,_xlfn.NORM.S.DIST(Table1[[#This Row],[Birthweight Z-Score (BW+10%)]],TRUE)*100,"")</f>
        <v/>
      </c>
    </row>
    <row r="1358" spans="1:12" x14ac:dyDescent="0.35">
      <c r="A1358" s="3"/>
      <c r="B1358" s="2"/>
      <c r="C1358" s="2"/>
      <c r="D1358" s="2" t="b">
        <f>IF(AND(NOT(ISBLANK(Table1[[#This Row],[Fetal Sex (Male, Female or Unknown)]])),ISNUMBER(Table1[[#This Row],[Birthweight (grams)]]),ISNUMBER(Table1[[#This Row],[Gestation (days)]])),TRUE,FALSE)</f>
        <v>0</v>
      </c>
      <c r="E1358" s="2" t="str">
        <f>IF(Table1[[#This Row],[Is Data Valid]]=TRUE,IF(Table1[[#This Row],[Fetal Sex (Male, Female or Unknown)]]="Male",Backend!$C$6,IF(Table1[[#This Row],[Fetal Sex (Male, Female or Unknown)]]="Female",Backend!$C$7,IF(Table1[[#This Row],[Fetal Sex (Male, Female or Unknown)]]="Unknown",Backend!$C$8,"Error"))),"")</f>
        <v/>
      </c>
      <c r="F1358" s="8" t="str">
        <f>IF(Table1[[#This Row],[Is Data Valid]]=TRUE,EXP(0.578+0.332*((Table1[[#This Row],[Gestation (days)]]+0.5)/7)-0.00354*((Table1[[#This Row],[Gestation (days)]]+0.5)/7)^2)*Table1[[#This Row],[BW40_3705]],"")</f>
        <v/>
      </c>
      <c r="G1358" s="2" t="str">
        <f>IF(Table1[[#This Row],[Is Data Valid]]=TRUE,((Table1[[#This Row],[Birthweight (grams)]]/Table1[[#This Row],[BW_GA]])-1)/(Backend!$B$4/100*Table1[[#This Row],[BW40_3705]]),"")</f>
        <v/>
      </c>
      <c r="H1358" s="7" t="str">
        <f>IF(Table1[[#This Row],[Is Data Valid]]=TRUE,((Table1[[#This Row],[Birthweight (grams)]]*0.9/Table1[[#This Row],[BW_GA]])-1)/(Backend!$B$4/100*Table1[[#This Row],[BW40_3705]]),"")</f>
        <v/>
      </c>
      <c r="I1358" s="7" t="str">
        <f>IF(Table1[[#This Row],[Is Data Valid]]=TRUE,((Table1[[#This Row],[Birthweight (grams)]]*1.1/Table1[[#This Row],[BW_GA]])-1)/(Backend!$B$4/100*Table1[[#This Row],[BW40_3705]]),"")</f>
        <v/>
      </c>
      <c r="J1358" s="7" t="str">
        <f>IF(Table1[[#This Row],[Is Data Valid]]=TRUE,_xlfn.NORM.S.DIST(Table1[[#This Row],[Birthweight Z-Score]],TRUE)*100,"")</f>
        <v/>
      </c>
      <c r="K1358" s="7" t="str">
        <f>IF(Table1[[#This Row],[Is Data Valid]]=TRUE,_xlfn.NORM.S.DIST(Table1[[#This Row],[Birthweight Z-Score (BW-10%)]],TRUE)*100,"")</f>
        <v/>
      </c>
      <c r="L1358" s="7" t="str">
        <f>IF(Table1[[#This Row],[Is Data Valid]]=TRUE,_xlfn.NORM.S.DIST(Table1[[#This Row],[Birthweight Z-Score (BW+10%)]],TRUE)*100,"")</f>
        <v/>
      </c>
    </row>
    <row r="1359" spans="1:12" x14ac:dyDescent="0.35">
      <c r="A1359" s="3"/>
      <c r="B1359" s="2"/>
      <c r="C1359" s="2"/>
      <c r="D1359" s="2" t="b">
        <f>IF(AND(NOT(ISBLANK(Table1[[#This Row],[Fetal Sex (Male, Female or Unknown)]])),ISNUMBER(Table1[[#This Row],[Birthweight (grams)]]),ISNUMBER(Table1[[#This Row],[Gestation (days)]])),TRUE,FALSE)</f>
        <v>0</v>
      </c>
      <c r="E1359" s="2" t="str">
        <f>IF(Table1[[#This Row],[Is Data Valid]]=TRUE,IF(Table1[[#This Row],[Fetal Sex (Male, Female or Unknown)]]="Male",Backend!$C$6,IF(Table1[[#This Row],[Fetal Sex (Male, Female or Unknown)]]="Female",Backend!$C$7,IF(Table1[[#This Row],[Fetal Sex (Male, Female or Unknown)]]="Unknown",Backend!$C$8,"Error"))),"")</f>
        <v/>
      </c>
      <c r="F1359" s="8" t="str">
        <f>IF(Table1[[#This Row],[Is Data Valid]]=TRUE,EXP(0.578+0.332*((Table1[[#This Row],[Gestation (days)]]+0.5)/7)-0.00354*((Table1[[#This Row],[Gestation (days)]]+0.5)/7)^2)*Table1[[#This Row],[BW40_3705]],"")</f>
        <v/>
      </c>
      <c r="G1359" s="2" t="str">
        <f>IF(Table1[[#This Row],[Is Data Valid]]=TRUE,((Table1[[#This Row],[Birthweight (grams)]]/Table1[[#This Row],[BW_GA]])-1)/(Backend!$B$4/100*Table1[[#This Row],[BW40_3705]]),"")</f>
        <v/>
      </c>
      <c r="H1359" s="7" t="str">
        <f>IF(Table1[[#This Row],[Is Data Valid]]=TRUE,((Table1[[#This Row],[Birthweight (grams)]]*0.9/Table1[[#This Row],[BW_GA]])-1)/(Backend!$B$4/100*Table1[[#This Row],[BW40_3705]]),"")</f>
        <v/>
      </c>
      <c r="I1359" s="7" t="str">
        <f>IF(Table1[[#This Row],[Is Data Valid]]=TRUE,((Table1[[#This Row],[Birthweight (grams)]]*1.1/Table1[[#This Row],[BW_GA]])-1)/(Backend!$B$4/100*Table1[[#This Row],[BW40_3705]]),"")</f>
        <v/>
      </c>
      <c r="J1359" s="7" t="str">
        <f>IF(Table1[[#This Row],[Is Data Valid]]=TRUE,_xlfn.NORM.S.DIST(Table1[[#This Row],[Birthweight Z-Score]],TRUE)*100,"")</f>
        <v/>
      </c>
      <c r="K1359" s="7" t="str">
        <f>IF(Table1[[#This Row],[Is Data Valid]]=TRUE,_xlfn.NORM.S.DIST(Table1[[#This Row],[Birthweight Z-Score (BW-10%)]],TRUE)*100,"")</f>
        <v/>
      </c>
      <c r="L1359" s="7" t="str">
        <f>IF(Table1[[#This Row],[Is Data Valid]]=TRUE,_xlfn.NORM.S.DIST(Table1[[#This Row],[Birthweight Z-Score (BW+10%)]],TRUE)*100,"")</f>
        <v/>
      </c>
    </row>
    <row r="1360" spans="1:12" x14ac:dyDescent="0.35">
      <c r="A1360" s="3"/>
      <c r="B1360" s="2"/>
      <c r="C1360" s="2"/>
      <c r="D1360" s="2" t="b">
        <f>IF(AND(NOT(ISBLANK(Table1[[#This Row],[Fetal Sex (Male, Female or Unknown)]])),ISNUMBER(Table1[[#This Row],[Birthweight (grams)]]),ISNUMBER(Table1[[#This Row],[Gestation (days)]])),TRUE,FALSE)</f>
        <v>0</v>
      </c>
      <c r="E1360" s="2" t="str">
        <f>IF(Table1[[#This Row],[Is Data Valid]]=TRUE,IF(Table1[[#This Row],[Fetal Sex (Male, Female or Unknown)]]="Male",Backend!$C$6,IF(Table1[[#This Row],[Fetal Sex (Male, Female or Unknown)]]="Female",Backend!$C$7,IF(Table1[[#This Row],[Fetal Sex (Male, Female or Unknown)]]="Unknown",Backend!$C$8,"Error"))),"")</f>
        <v/>
      </c>
      <c r="F1360" s="8" t="str">
        <f>IF(Table1[[#This Row],[Is Data Valid]]=TRUE,EXP(0.578+0.332*((Table1[[#This Row],[Gestation (days)]]+0.5)/7)-0.00354*((Table1[[#This Row],[Gestation (days)]]+0.5)/7)^2)*Table1[[#This Row],[BW40_3705]],"")</f>
        <v/>
      </c>
      <c r="G1360" s="2" t="str">
        <f>IF(Table1[[#This Row],[Is Data Valid]]=TRUE,((Table1[[#This Row],[Birthweight (grams)]]/Table1[[#This Row],[BW_GA]])-1)/(Backend!$B$4/100*Table1[[#This Row],[BW40_3705]]),"")</f>
        <v/>
      </c>
      <c r="H1360" s="7" t="str">
        <f>IF(Table1[[#This Row],[Is Data Valid]]=TRUE,((Table1[[#This Row],[Birthweight (grams)]]*0.9/Table1[[#This Row],[BW_GA]])-1)/(Backend!$B$4/100*Table1[[#This Row],[BW40_3705]]),"")</f>
        <v/>
      </c>
      <c r="I1360" s="7" t="str">
        <f>IF(Table1[[#This Row],[Is Data Valid]]=TRUE,((Table1[[#This Row],[Birthweight (grams)]]*1.1/Table1[[#This Row],[BW_GA]])-1)/(Backend!$B$4/100*Table1[[#This Row],[BW40_3705]]),"")</f>
        <v/>
      </c>
      <c r="J1360" s="7" t="str">
        <f>IF(Table1[[#This Row],[Is Data Valid]]=TRUE,_xlfn.NORM.S.DIST(Table1[[#This Row],[Birthweight Z-Score]],TRUE)*100,"")</f>
        <v/>
      </c>
      <c r="K1360" s="7" t="str">
        <f>IF(Table1[[#This Row],[Is Data Valid]]=TRUE,_xlfn.NORM.S.DIST(Table1[[#This Row],[Birthweight Z-Score (BW-10%)]],TRUE)*100,"")</f>
        <v/>
      </c>
      <c r="L1360" s="7" t="str">
        <f>IF(Table1[[#This Row],[Is Data Valid]]=TRUE,_xlfn.NORM.S.DIST(Table1[[#This Row],[Birthweight Z-Score (BW+10%)]],TRUE)*100,"")</f>
        <v/>
      </c>
    </row>
    <row r="1361" spans="1:12" x14ac:dyDescent="0.35">
      <c r="A1361" s="3"/>
      <c r="B1361" s="2"/>
      <c r="C1361" s="2"/>
      <c r="D1361" s="2" t="b">
        <f>IF(AND(NOT(ISBLANK(Table1[[#This Row],[Fetal Sex (Male, Female or Unknown)]])),ISNUMBER(Table1[[#This Row],[Birthweight (grams)]]),ISNUMBER(Table1[[#This Row],[Gestation (days)]])),TRUE,FALSE)</f>
        <v>0</v>
      </c>
      <c r="E1361" s="2" t="str">
        <f>IF(Table1[[#This Row],[Is Data Valid]]=TRUE,IF(Table1[[#This Row],[Fetal Sex (Male, Female or Unknown)]]="Male",Backend!$C$6,IF(Table1[[#This Row],[Fetal Sex (Male, Female or Unknown)]]="Female",Backend!$C$7,IF(Table1[[#This Row],[Fetal Sex (Male, Female or Unknown)]]="Unknown",Backend!$C$8,"Error"))),"")</f>
        <v/>
      </c>
      <c r="F1361" s="8" t="str">
        <f>IF(Table1[[#This Row],[Is Data Valid]]=TRUE,EXP(0.578+0.332*((Table1[[#This Row],[Gestation (days)]]+0.5)/7)-0.00354*((Table1[[#This Row],[Gestation (days)]]+0.5)/7)^2)*Table1[[#This Row],[BW40_3705]],"")</f>
        <v/>
      </c>
      <c r="G1361" s="2" t="str">
        <f>IF(Table1[[#This Row],[Is Data Valid]]=TRUE,((Table1[[#This Row],[Birthweight (grams)]]/Table1[[#This Row],[BW_GA]])-1)/(Backend!$B$4/100*Table1[[#This Row],[BW40_3705]]),"")</f>
        <v/>
      </c>
      <c r="H1361" s="7" t="str">
        <f>IF(Table1[[#This Row],[Is Data Valid]]=TRUE,((Table1[[#This Row],[Birthweight (grams)]]*0.9/Table1[[#This Row],[BW_GA]])-1)/(Backend!$B$4/100*Table1[[#This Row],[BW40_3705]]),"")</f>
        <v/>
      </c>
      <c r="I1361" s="7" t="str">
        <f>IF(Table1[[#This Row],[Is Data Valid]]=TRUE,((Table1[[#This Row],[Birthweight (grams)]]*1.1/Table1[[#This Row],[BW_GA]])-1)/(Backend!$B$4/100*Table1[[#This Row],[BW40_3705]]),"")</f>
        <v/>
      </c>
      <c r="J1361" s="7" t="str">
        <f>IF(Table1[[#This Row],[Is Data Valid]]=TRUE,_xlfn.NORM.S.DIST(Table1[[#This Row],[Birthweight Z-Score]],TRUE)*100,"")</f>
        <v/>
      </c>
      <c r="K1361" s="7" t="str">
        <f>IF(Table1[[#This Row],[Is Data Valid]]=TRUE,_xlfn.NORM.S.DIST(Table1[[#This Row],[Birthweight Z-Score (BW-10%)]],TRUE)*100,"")</f>
        <v/>
      </c>
      <c r="L1361" s="7" t="str">
        <f>IF(Table1[[#This Row],[Is Data Valid]]=TRUE,_xlfn.NORM.S.DIST(Table1[[#This Row],[Birthweight Z-Score (BW+10%)]],TRUE)*100,"")</f>
        <v/>
      </c>
    </row>
    <row r="1362" spans="1:12" x14ac:dyDescent="0.35">
      <c r="A1362" s="3"/>
      <c r="B1362" s="2"/>
      <c r="C1362" s="2"/>
      <c r="D1362" s="2" t="b">
        <f>IF(AND(NOT(ISBLANK(Table1[[#This Row],[Fetal Sex (Male, Female or Unknown)]])),ISNUMBER(Table1[[#This Row],[Birthweight (grams)]]),ISNUMBER(Table1[[#This Row],[Gestation (days)]])),TRUE,FALSE)</f>
        <v>0</v>
      </c>
      <c r="E1362" s="2" t="str">
        <f>IF(Table1[[#This Row],[Is Data Valid]]=TRUE,IF(Table1[[#This Row],[Fetal Sex (Male, Female or Unknown)]]="Male",Backend!$C$6,IF(Table1[[#This Row],[Fetal Sex (Male, Female or Unknown)]]="Female",Backend!$C$7,IF(Table1[[#This Row],[Fetal Sex (Male, Female or Unknown)]]="Unknown",Backend!$C$8,"Error"))),"")</f>
        <v/>
      </c>
      <c r="F1362" s="8" t="str">
        <f>IF(Table1[[#This Row],[Is Data Valid]]=TRUE,EXP(0.578+0.332*((Table1[[#This Row],[Gestation (days)]]+0.5)/7)-0.00354*((Table1[[#This Row],[Gestation (days)]]+0.5)/7)^2)*Table1[[#This Row],[BW40_3705]],"")</f>
        <v/>
      </c>
      <c r="G1362" s="2" t="str">
        <f>IF(Table1[[#This Row],[Is Data Valid]]=TRUE,((Table1[[#This Row],[Birthweight (grams)]]/Table1[[#This Row],[BW_GA]])-1)/(Backend!$B$4/100*Table1[[#This Row],[BW40_3705]]),"")</f>
        <v/>
      </c>
      <c r="H1362" s="7" t="str">
        <f>IF(Table1[[#This Row],[Is Data Valid]]=TRUE,((Table1[[#This Row],[Birthweight (grams)]]*0.9/Table1[[#This Row],[BW_GA]])-1)/(Backend!$B$4/100*Table1[[#This Row],[BW40_3705]]),"")</f>
        <v/>
      </c>
      <c r="I1362" s="7" t="str">
        <f>IF(Table1[[#This Row],[Is Data Valid]]=TRUE,((Table1[[#This Row],[Birthweight (grams)]]*1.1/Table1[[#This Row],[BW_GA]])-1)/(Backend!$B$4/100*Table1[[#This Row],[BW40_3705]]),"")</f>
        <v/>
      </c>
      <c r="J1362" s="7" t="str">
        <f>IF(Table1[[#This Row],[Is Data Valid]]=TRUE,_xlfn.NORM.S.DIST(Table1[[#This Row],[Birthweight Z-Score]],TRUE)*100,"")</f>
        <v/>
      </c>
      <c r="K1362" s="7" t="str">
        <f>IF(Table1[[#This Row],[Is Data Valid]]=TRUE,_xlfn.NORM.S.DIST(Table1[[#This Row],[Birthweight Z-Score (BW-10%)]],TRUE)*100,"")</f>
        <v/>
      </c>
      <c r="L1362" s="7" t="str">
        <f>IF(Table1[[#This Row],[Is Data Valid]]=TRUE,_xlfn.NORM.S.DIST(Table1[[#This Row],[Birthweight Z-Score (BW+10%)]],TRUE)*100,"")</f>
        <v/>
      </c>
    </row>
    <row r="1363" spans="1:12" x14ac:dyDescent="0.35">
      <c r="A1363" s="3"/>
      <c r="B1363" s="2"/>
      <c r="C1363" s="2"/>
      <c r="D1363" s="2" t="b">
        <f>IF(AND(NOT(ISBLANK(Table1[[#This Row],[Fetal Sex (Male, Female or Unknown)]])),ISNUMBER(Table1[[#This Row],[Birthweight (grams)]]),ISNUMBER(Table1[[#This Row],[Gestation (days)]])),TRUE,FALSE)</f>
        <v>0</v>
      </c>
      <c r="E1363" s="2" t="str">
        <f>IF(Table1[[#This Row],[Is Data Valid]]=TRUE,IF(Table1[[#This Row],[Fetal Sex (Male, Female or Unknown)]]="Male",Backend!$C$6,IF(Table1[[#This Row],[Fetal Sex (Male, Female or Unknown)]]="Female",Backend!$C$7,IF(Table1[[#This Row],[Fetal Sex (Male, Female or Unknown)]]="Unknown",Backend!$C$8,"Error"))),"")</f>
        <v/>
      </c>
      <c r="F1363" s="8" t="str">
        <f>IF(Table1[[#This Row],[Is Data Valid]]=TRUE,EXP(0.578+0.332*((Table1[[#This Row],[Gestation (days)]]+0.5)/7)-0.00354*((Table1[[#This Row],[Gestation (days)]]+0.5)/7)^2)*Table1[[#This Row],[BW40_3705]],"")</f>
        <v/>
      </c>
      <c r="G1363" s="2" t="str">
        <f>IF(Table1[[#This Row],[Is Data Valid]]=TRUE,((Table1[[#This Row],[Birthweight (grams)]]/Table1[[#This Row],[BW_GA]])-1)/(Backend!$B$4/100*Table1[[#This Row],[BW40_3705]]),"")</f>
        <v/>
      </c>
      <c r="H1363" s="7" t="str">
        <f>IF(Table1[[#This Row],[Is Data Valid]]=TRUE,((Table1[[#This Row],[Birthweight (grams)]]*0.9/Table1[[#This Row],[BW_GA]])-1)/(Backend!$B$4/100*Table1[[#This Row],[BW40_3705]]),"")</f>
        <v/>
      </c>
      <c r="I1363" s="7" t="str">
        <f>IF(Table1[[#This Row],[Is Data Valid]]=TRUE,((Table1[[#This Row],[Birthweight (grams)]]*1.1/Table1[[#This Row],[BW_GA]])-1)/(Backend!$B$4/100*Table1[[#This Row],[BW40_3705]]),"")</f>
        <v/>
      </c>
      <c r="J1363" s="7" t="str">
        <f>IF(Table1[[#This Row],[Is Data Valid]]=TRUE,_xlfn.NORM.S.DIST(Table1[[#This Row],[Birthweight Z-Score]],TRUE)*100,"")</f>
        <v/>
      </c>
      <c r="K1363" s="7" t="str">
        <f>IF(Table1[[#This Row],[Is Data Valid]]=TRUE,_xlfn.NORM.S.DIST(Table1[[#This Row],[Birthweight Z-Score (BW-10%)]],TRUE)*100,"")</f>
        <v/>
      </c>
      <c r="L1363" s="7" t="str">
        <f>IF(Table1[[#This Row],[Is Data Valid]]=TRUE,_xlfn.NORM.S.DIST(Table1[[#This Row],[Birthweight Z-Score (BW+10%)]],TRUE)*100,"")</f>
        <v/>
      </c>
    </row>
    <row r="1364" spans="1:12" x14ac:dyDescent="0.35">
      <c r="A1364" s="3"/>
      <c r="B1364" s="2"/>
      <c r="C1364" s="2"/>
      <c r="D1364" s="2" t="b">
        <f>IF(AND(NOT(ISBLANK(Table1[[#This Row],[Fetal Sex (Male, Female or Unknown)]])),ISNUMBER(Table1[[#This Row],[Birthweight (grams)]]),ISNUMBER(Table1[[#This Row],[Gestation (days)]])),TRUE,FALSE)</f>
        <v>0</v>
      </c>
      <c r="E1364" s="2" t="str">
        <f>IF(Table1[[#This Row],[Is Data Valid]]=TRUE,IF(Table1[[#This Row],[Fetal Sex (Male, Female or Unknown)]]="Male",Backend!$C$6,IF(Table1[[#This Row],[Fetal Sex (Male, Female or Unknown)]]="Female",Backend!$C$7,IF(Table1[[#This Row],[Fetal Sex (Male, Female or Unknown)]]="Unknown",Backend!$C$8,"Error"))),"")</f>
        <v/>
      </c>
      <c r="F1364" s="8" t="str">
        <f>IF(Table1[[#This Row],[Is Data Valid]]=TRUE,EXP(0.578+0.332*((Table1[[#This Row],[Gestation (days)]]+0.5)/7)-0.00354*((Table1[[#This Row],[Gestation (days)]]+0.5)/7)^2)*Table1[[#This Row],[BW40_3705]],"")</f>
        <v/>
      </c>
      <c r="G1364" s="2" t="str">
        <f>IF(Table1[[#This Row],[Is Data Valid]]=TRUE,((Table1[[#This Row],[Birthweight (grams)]]/Table1[[#This Row],[BW_GA]])-1)/(Backend!$B$4/100*Table1[[#This Row],[BW40_3705]]),"")</f>
        <v/>
      </c>
      <c r="H1364" s="7" t="str">
        <f>IF(Table1[[#This Row],[Is Data Valid]]=TRUE,((Table1[[#This Row],[Birthweight (grams)]]*0.9/Table1[[#This Row],[BW_GA]])-1)/(Backend!$B$4/100*Table1[[#This Row],[BW40_3705]]),"")</f>
        <v/>
      </c>
      <c r="I1364" s="7" t="str">
        <f>IF(Table1[[#This Row],[Is Data Valid]]=TRUE,((Table1[[#This Row],[Birthweight (grams)]]*1.1/Table1[[#This Row],[BW_GA]])-1)/(Backend!$B$4/100*Table1[[#This Row],[BW40_3705]]),"")</f>
        <v/>
      </c>
      <c r="J1364" s="7" t="str">
        <f>IF(Table1[[#This Row],[Is Data Valid]]=TRUE,_xlfn.NORM.S.DIST(Table1[[#This Row],[Birthweight Z-Score]],TRUE)*100,"")</f>
        <v/>
      </c>
      <c r="K1364" s="7" t="str">
        <f>IF(Table1[[#This Row],[Is Data Valid]]=TRUE,_xlfn.NORM.S.DIST(Table1[[#This Row],[Birthweight Z-Score (BW-10%)]],TRUE)*100,"")</f>
        <v/>
      </c>
      <c r="L1364" s="7" t="str">
        <f>IF(Table1[[#This Row],[Is Data Valid]]=TRUE,_xlfn.NORM.S.DIST(Table1[[#This Row],[Birthweight Z-Score (BW+10%)]],TRUE)*100,"")</f>
        <v/>
      </c>
    </row>
    <row r="1365" spans="1:12" x14ac:dyDescent="0.35">
      <c r="A1365" s="3"/>
      <c r="B1365" s="2"/>
      <c r="C1365" s="2"/>
      <c r="D1365" s="2" t="b">
        <f>IF(AND(NOT(ISBLANK(Table1[[#This Row],[Fetal Sex (Male, Female or Unknown)]])),ISNUMBER(Table1[[#This Row],[Birthweight (grams)]]),ISNUMBER(Table1[[#This Row],[Gestation (days)]])),TRUE,FALSE)</f>
        <v>0</v>
      </c>
      <c r="E1365" s="2" t="str">
        <f>IF(Table1[[#This Row],[Is Data Valid]]=TRUE,IF(Table1[[#This Row],[Fetal Sex (Male, Female or Unknown)]]="Male",Backend!$C$6,IF(Table1[[#This Row],[Fetal Sex (Male, Female or Unknown)]]="Female",Backend!$C$7,IF(Table1[[#This Row],[Fetal Sex (Male, Female or Unknown)]]="Unknown",Backend!$C$8,"Error"))),"")</f>
        <v/>
      </c>
      <c r="F1365" s="8" t="str">
        <f>IF(Table1[[#This Row],[Is Data Valid]]=TRUE,EXP(0.578+0.332*((Table1[[#This Row],[Gestation (days)]]+0.5)/7)-0.00354*((Table1[[#This Row],[Gestation (days)]]+0.5)/7)^2)*Table1[[#This Row],[BW40_3705]],"")</f>
        <v/>
      </c>
      <c r="G1365" s="2" t="str">
        <f>IF(Table1[[#This Row],[Is Data Valid]]=TRUE,((Table1[[#This Row],[Birthweight (grams)]]/Table1[[#This Row],[BW_GA]])-1)/(Backend!$B$4/100*Table1[[#This Row],[BW40_3705]]),"")</f>
        <v/>
      </c>
      <c r="H1365" s="7" t="str">
        <f>IF(Table1[[#This Row],[Is Data Valid]]=TRUE,((Table1[[#This Row],[Birthweight (grams)]]*0.9/Table1[[#This Row],[BW_GA]])-1)/(Backend!$B$4/100*Table1[[#This Row],[BW40_3705]]),"")</f>
        <v/>
      </c>
      <c r="I1365" s="7" t="str">
        <f>IF(Table1[[#This Row],[Is Data Valid]]=TRUE,((Table1[[#This Row],[Birthweight (grams)]]*1.1/Table1[[#This Row],[BW_GA]])-1)/(Backend!$B$4/100*Table1[[#This Row],[BW40_3705]]),"")</f>
        <v/>
      </c>
      <c r="J1365" s="7" t="str">
        <f>IF(Table1[[#This Row],[Is Data Valid]]=TRUE,_xlfn.NORM.S.DIST(Table1[[#This Row],[Birthweight Z-Score]],TRUE)*100,"")</f>
        <v/>
      </c>
      <c r="K1365" s="7" t="str">
        <f>IF(Table1[[#This Row],[Is Data Valid]]=TRUE,_xlfn.NORM.S.DIST(Table1[[#This Row],[Birthweight Z-Score (BW-10%)]],TRUE)*100,"")</f>
        <v/>
      </c>
      <c r="L1365" s="7" t="str">
        <f>IF(Table1[[#This Row],[Is Data Valid]]=TRUE,_xlfn.NORM.S.DIST(Table1[[#This Row],[Birthweight Z-Score (BW+10%)]],TRUE)*100,"")</f>
        <v/>
      </c>
    </row>
    <row r="1366" spans="1:12" x14ac:dyDescent="0.35">
      <c r="A1366" s="3"/>
      <c r="B1366" s="2"/>
      <c r="C1366" s="2"/>
      <c r="D1366" s="2" t="b">
        <f>IF(AND(NOT(ISBLANK(Table1[[#This Row],[Fetal Sex (Male, Female or Unknown)]])),ISNUMBER(Table1[[#This Row],[Birthweight (grams)]]),ISNUMBER(Table1[[#This Row],[Gestation (days)]])),TRUE,FALSE)</f>
        <v>0</v>
      </c>
      <c r="E1366" s="2" t="str">
        <f>IF(Table1[[#This Row],[Is Data Valid]]=TRUE,IF(Table1[[#This Row],[Fetal Sex (Male, Female or Unknown)]]="Male",Backend!$C$6,IF(Table1[[#This Row],[Fetal Sex (Male, Female or Unknown)]]="Female",Backend!$C$7,IF(Table1[[#This Row],[Fetal Sex (Male, Female or Unknown)]]="Unknown",Backend!$C$8,"Error"))),"")</f>
        <v/>
      </c>
      <c r="F1366" s="8" t="str">
        <f>IF(Table1[[#This Row],[Is Data Valid]]=TRUE,EXP(0.578+0.332*((Table1[[#This Row],[Gestation (days)]]+0.5)/7)-0.00354*((Table1[[#This Row],[Gestation (days)]]+0.5)/7)^2)*Table1[[#This Row],[BW40_3705]],"")</f>
        <v/>
      </c>
      <c r="G1366" s="2" t="str">
        <f>IF(Table1[[#This Row],[Is Data Valid]]=TRUE,((Table1[[#This Row],[Birthweight (grams)]]/Table1[[#This Row],[BW_GA]])-1)/(Backend!$B$4/100*Table1[[#This Row],[BW40_3705]]),"")</f>
        <v/>
      </c>
      <c r="H1366" s="7" t="str">
        <f>IF(Table1[[#This Row],[Is Data Valid]]=TRUE,((Table1[[#This Row],[Birthweight (grams)]]*0.9/Table1[[#This Row],[BW_GA]])-1)/(Backend!$B$4/100*Table1[[#This Row],[BW40_3705]]),"")</f>
        <v/>
      </c>
      <c r="I1366" s="7" t="str">
        <f>IF(Table1[[#This Row],[Is Data Valid]]=TRUE,((Table1[[#This Row],[Birthweight (grams)]]*1.1/Table1[[#This Row],[BW_GA]])-1)/(Backend!$B$4/100*Table1[[#This Row],[BW40_3705]]),"")</f>
        <v/>
      </c>
      <c r="J1366" s="7" t="str">
        <f>IF(Table1[[#This Row],[Is Data Valid]]=TRUE,_xlfn.NORM.S.DIST(Table1[[#This Row],[Birthweight Z-Score]],TRUE)*100,"")</f>
        <v/>
      </c>
      <c r="K1366" s="7" t="str">
        <f>IF(Table1[[#This Row],[Is Data Valid]]=TRUE,_xlfn.NORM.S.DIST(Table1[[#This Row],[Birthweight Z-Score (BW-10%)]],TRUE)*100,"")</f>
        <v/>
      </c>
      <c r="L1366" s="7" t="str">
        <f>IF(Table1[[#This Row],[Is Data Valid]]=TRUE,_xlfn.NORM.S.DIST(Table1[[#This Row],[Birthweight Z-Score (BW+10%)]],TRUE)*100,"")</f>
        <v/>
      </c>
    </row>
    <row r="1367" spans="1:12" x14ac:dyDescent="0.35">
      <c r="A1367" s="3"/>
      <c r="B1367" s="2"/>
      <c r="C1367" s="2"/>
      <c r="D1367" s="2" t="b">
        <f>IF(AND(NOT(ISBLANK(Table1[[#This Row],[Fetal Sex (Male, Female or Unknown)]])),ISNUMBER(Table1[[#This Row],[Birthweight (grams)]]),ISNUMBER(Table1[[#This Row],[Gestation (days)]])),TRUE,FALSE)</f>
        <v>0</v>
      </c>
      <c r="E1367" s="2" t="str">
        <f>IF(Table1[[#This Row],[Is Data Valid]]=TRUE,IF(Table1[[#This Row],[Fetal Sex (Male, Female or Unknown)]]="Male",Backend!$C$6,IF(Table1[[#This Row],[Fetal Sex (Male, Female or Unknown)]]="Female",Backend!$C$7,IF(Table1[[#This Row],[Fetal Sex (Male, Female or Unknown)]]="Unknown",Backend!$C$8,"Error"))),"")</f>
        <v/>
      </c>
      <c r="F1367" s="8" t="str">
        <f>IF(Table1[[#This Row],[Is Data Valid]]=TRUE,EXP(0.578+0.332*((Table1[[#This Row],[Gestation (days)]]+0.5)/7)-0.00354*((Table1[[#This Row],[Gestation (days)]]+0.5)/7)^2)*Table1[[#This Row],[BW40_3705]],"")</f>
        <v/>
      </c>
      <c r="G1367" s="2" t="str">
        <f>IF(Table1[[#This Row],[Is Data Valid]]=TRUE,((Table1[[#This Row],[Birthweight (grams)]]/Table1[[#This Row],[BW_GA]])-1)/(Backend!$B$4/100*Table1[[#This Row],[BW40_3705]]),"")</f>
        <v/>
      </c>
      <c r="H1367" s="7" t="str">
        <f>IF(Table1[[#This Row],[Is Data Valid]]=TRUE,((Table1[[#This Row],[Birthweight (grams)]]*0.9/Table1[[#This Row],[BW_GA]])-1)/(Backend!$B$4/100*Table1[[#This Row],[BW40_3705]]),"")</f>
        <v/>
      </c>
      <c r="I1367" s="7" t="str">
        <f>IF(Table1[[#This Row],[Is Data Valid]]=TRUE,((Table1[[#This Row],[Birthweight (grams)]]*1.1/Table1[[#This Row],[BW_GA]])-1)/(Backend!$B$4/100*Table1[[#This Row],[BW40_3705]]),"")</f>
        <v/>
      </c>
      <c r="J1367" s="7" t="str">
        <f>IF(Table1[[#This Row],[Is Data Valid]]=TRUE,_xlfn.NORM.S.DIST(Table1[[#This Row],[Birthweight Z-Score]],TRUE)*100,"")</f>
        <v/>
      </c>
      <c r="K1367" s="7" t="str">
        <f>IF(Table1[[#This Row],[Is Data Valid]]=TRUE,_xlfn.NORM.S.DIST(Table1[[#This Row],[Birthweight Z-Score (BW-10%)]],TRUE)*100,"")</f>
        <v/>
      </c>
      <c r="L1367" s="7" t="str">
        <f>IF(Table1[[#This Row],[Is Data Valid]]=TRUE,_xlfn.NORM.S.DIST(Table1[[#This Row],[Birthweight Z-Score (BW+10%)]],TRUE)*100,"")</f>
        <v/>
      </c>
    </row>
    <row r="1368" spans="1:12" x14ac:dyDescent="0.35">
      <c r="A1368" s="3"/>
      <c r="B1368" s="2"/>
      <c r="C1368" s="2"/>
      <c r="D1368" s="2" t="b">
        <f>IF(AND(NOT(ISBLANK(Table1[[#This Row],[Fetal Sex (Male, Female or Unknown)]])),ISNUMBER(Table1[[#This Row],[Birthweight (grams)]]),ISNUMBER(Table1[[#This Row],[Gestation (days)]])),TRUE,FALSE)</f>
        <v>0</v>
      </c>
      <c r="E1368" s="2" t="str">
        <f>IF(Table1[[#This Row],[Is Data Valid]]=TRUE,IF(Table1[[#This Row],[Fetal Sex (Male, Female or Unknown)]]="Male",Backend!$C$6,IF(Table1[[#This Row],[Fetal Sex (Male, Female or Unknown)]]="Female",Backend!$C$7,IF(Table1[[#This Row],[Fetal Sex (Male, Female or Unknown)]]="Unknown",Backend!$C$8,"Error"))),"")</f>
        <v/>
      </c>
      <c r="F1368" s="8" t="str">
        <f>IF(Table1[[#This Row],[Is Data Valid]]=TRUE,EXP(0.578+0.332*((Table1[[#This Row],[Gestation (days)]]+0.5)/7)-0.00354*((Table1[[#This Row],[Gestation (days)]]+0.5)/7)^2)*Table1[[#This Row],[BW40_3705]],"")</f>
        <v/>
      </c>
      <c r="G1368" s="2" t="str">
        <f>IF(Table1[[#This Row],[Is Data Valid]]=TRUE,((Table1[[#This Row],[Birthweight (grams)]]/Table1[[#This Row],[BW_GA]])-1)/(Backend!$B$4/100*Table1[[#This Row],[BW40_3705]]),"")</f>
        <v/>
      </c>
      <c r="H1368" s="7" t="str">
        <f>IF(Table1[[#This Row],[Is Data Valid]]=TRUE,((Table1[[#This Row],[Birthweight (grams)]]*0.9/Table1[[#This Row],[BW_GA]])-1)/(Backend!$B$4/100*Table1[[#This Row],[BW40_3705]]),"")</f>
        <v/>
      </c>
      <c r="I1368" s="7" t="str">
        <f>IF(Table1[[#This Row],[Is Data Valid]]=TRUE,((Table1[[#This Row],[Birthweight (grams)]]*1.1/Table1[[#This Row],[BW_GA]])-1)/(Backend!$B$4/100*Table1[[#This Row],[BW40_3705]]),"")</f>
        <v/>
      </c>
      <c r="J1368" s="7" t="str">
        <f>IF(Table1[[#This Row],[Is Data Valid]]=TRUE,_xlfn.NORM.S.DIST(Table1[[#This Row],[Birthweight Z-Score]],TRUE)*100,"")</f>
        <v/>
      </c>
      <c r="K1368" s="7" t="str">
        <f>IF(Table1[[#This Row],[Is Data Valid]]=TRUE,_xlfn.NORM.S.DIST(Table1[[#This Row],[Birthweight Z-Score (BW-10%)]],TRUE)*100,"")</f>
        <v/>
      </c>
      <c r="L1368" s="7" t="str">
        <f>IF(Table1[[#This Row],[Is Data Valid]]=TRUE,_xlfn.NORM.S.DIST(Table1[[#This Row],[Birthweight Z-Score (BW+10%)]],TRUE)*100,"")</f>
        <v/>
      </c>
    </row>
    <row r="1369" spans="1:12" x14ac:dyDescent="0.35">
      <c r="A1369" s="3"/>
      <c r="B1369" s="2"/>
      <c r="C1369" s="2"/>
      <c r="D1369" s="2" t="b">
        <f>IF(AND(NOT(ISBLANK(Table1[[#This Row],[Fetal Sex (Male, Female or Unknown)]])),ISNUMBER(Table1[[#This Row],[Birthweight (grams)]]),ISNUMBER(Table1[[#This Row],[Gestation (days)]])),TRUE,FALSE)</f>
        <v>0</v>
      </c>
      <c r="E1369" s="2" t="str">
        <f>IF(Table1[[#This Row],[Is Data Valid]]=TRUE,IF(Table1[[#This Row],[Fetal Sex (Male, Female or Unknown)]]="Male",Backend!$C$6,IF(Table1[[#This Row],[Fetal Sex (Male, Female or Unknown)]]="Female",Backend!$C$7,IF(Table1[[#This Row],[Fetal Sex (Male, Female or Unknown)]]="Unknown",Backend!$C$8,"Error"))),"")</f>
        <v/>
      </c>
      <c r="F1369" s="8" t="str">
        <f>IF(Table1[[#This Row],[Is Data Valid]]=TRUE,EXP(0.578+0.332*((Table1[[#This Row],[Gestation (days)]]+0.5)/7)-0.00354*((Table1[[#This Row],[Gestation (days)]]+0.5)/7)^2)*Table1[[#This Row],[BW40_3705]],"")</f>
        <v/>
      </c>
      <c r="G1369" s="2" t="str">
        <f>IF(Table1[[#This Row],[Is Data Valid]]=TRUE,((Table1[[#This Row],[Birthweight (grams)]]/Table1[[#This Row],[BW_GA]])-1)/(Backend!$B$4/100*Table1[[#This Row],[BW40_3705]]),"")</f>
        <v/>
      </c>
      <c r="H1369" s="7" t="str">
        <f>IF(Table1[[#This Row],[Is Data Valid]]=TRUE,((Table1[[#This Row],[Birthweight (grams)]]*0.9/Table1[[#This Row],[BW_GA]])-1)/(Backend!$B$4/100*Table1[[#This Row],[BW40_3705]]),"")</f>
        <v/>
      </c>
      <c r="I1369" s="7" t="str">
        <f>IF(Table1[[#This Row],[Is Data Valid]]=TRUE,((Table1[[#This Row],[Birthweight (grams)]]*1.1/Table1[[#This Row],[BW_GA]])-1)/(Backend!$B$4/100*Table1[[#This Row],[BW40_3705]]),"")</f>
        <v/>
      </c>
      <c r="J1369" s="7" t="str">
        <f>IF(Table1[[#This Row],[Is Data Valid]]=TRUE,_xlfn.NORM.S.DIST(Table1[[#This Row],[Birthweight Z-Score]],TRUE)*100,"")</f>
        <v/>
      </c>
      <c r="K1369" s="7" t="str">
        <f>IF(Table1[[#This Row],[Is Data Valid]]=TRUE,_xlfn.NORM.S.DIST(Table1[[#This Row],[Birthweight Z-Score (BW-10%)]],TRUE)*100,"")</f>
        <v/>
      </c>
      <c r="L1369" s="7" t="str">
        <f>IF(Table1[[#This Row],[Is Data Valid]]=TRUE,_xlfn.NORM.S.DIST(Table1[[#This Row],[Birthweight Z-Score (BW+10%)]],TRUE)*100,"")</f>
        <v/>
      </c>
    </row>
    <row r="1370" spans="1:12" x14ac:dyDescent="0.35">
      <c r="A1370" s="3"/>
      <c r="B1370" s="2"/>
      <c r="C1370" s="2"/>
      <c r="D1370" s="2" t="b">
        <f>IF(AND(NOT(ISBLANK(Table1[[#This Row],[Fetal Sex (Male, Female or Unknown)]])),ISNUMBER(Table1[[#This Row],[Birthweight (grams)]]),ISNUMBER(Table1[[#This Row],[Gestation (days)]])),TRUE,FALSE)</f>
        <v>0</v>
      </c>
      <c r="E1370" s="2" t="str">
        <f>IF(Table1[[#This Row],[Is Data Valid]]=TRUE,IF(Table1[[#This Row],[Fetal Sex (Male, Female or Unknown)]]="Male",Backend!$C$6,IF(Table1[[#This Row],[Fetal Sex (Male, Female or Unknown)]]="Female",Backend!$C$7,IF(Table1[[#This Row],[Fetal Sex (Male, Female or Unknown)]]="Unknown",Backend!$C$8,"Error"))),"")</f>
        <v/>
      </c>
      <c r="F1370" s="8" t="str">
        <f>IF(Table1[[#This Row],[Is Data Valid]]=TRUE,EXP(0.578+0.332*((Table1[[#This Row],[Gestation (days)]]+0.5)/7)-0.00354*((Table1[[#This Row],[Gestation (days)]]+0.5)/7)^2)*Table1[[#This Row],[BW40_3705]],"")</f>
        <v/>
      </c>
      <c r="G1370" s="2" t="str">
        <f>IF(Table1[[#This Row],[Is Data Valid]]=TRUE,((Table1[[#This Row],[Birthweight (grams)]]/Table1[[#This Row],[BW_GA]])-1)/(Backend!$B$4/100*Table1[[#This Row],[BW40_3705]]),"")</f>
        <v/>
      </c>
      <c r="H1370" s="7" t="str">
        <f>IF(Table1[[#This Row],[Is Data Valid]]=TRUE,((Table1[[#This Row],[Birthweight (grams)]]*0.9/Table1[[#This Row],[BW_GA]])-1)/(Backend!$B$4/100*Table1[[#This Row],[BW40_3705]]),"")</f>
        <v/>
      </c>
      <c r="I1370" s="7" t="str">
        <f>IF(Table1[[#This Row],[Is Data Valid]]=TRUE,((Table1[[#This Row],[Birthweight (grams)]]*1.1/Table1[[#This Row],[BW_GA]])-1)/(Backend!$B$4/100*Table1[[#This Row],[BW40_3705]]),"")</f>
        <v/>
      </c>
      <c r="J1370" s="7" t="str">
        <f>IF(Table1[[#This Row],[Is Data Valid]]=TRUE,_xlfn.NORM.S.DIST(Table1[[#This Row],[Birthweight Z-Score]],TRUE)*100,"")</f>
        <v/>
      </c>
      <c r="K1370" s="7" t="str">
        <f>IF(Table1[[#This Row],[Is Data Valid]]=TRUE,_xlfn.NORM.S.DIST(Table1[[#This Row],[Birthweight Z-Score (BW-10%)]],TRUE)*100,"")</f>
        <v/>
      </c>
      <c r="L1370" s="7" t="str">
        <f>IF(Table1[[#This Row],[Is Data Valid]]=TRUE,_xlfn.NORM.S.DIST(Table1[[#This Row],[Birthweight Z-Score (BW+10%)]],TRUE)*100,"")</f>
        <v/>
      </c>
    </row>
    <row r="1371" spans="1:12" x14ac:dyDescent="0.35">
      <c r="A1371" s="3"/>
      <c r="B1371" s="2"/>
      <c r="C1371" s="2"/>
      <c r="D1371" s="2" t="b">
        <f>IF(AND(NOT(ISBLANK(Table1[[#This Row],[Fetal Sex (Male, Female or Unknown)]])),ISNUMBER(Table1[[#This Row],[Birthweight (grams)]]),ISNUMBER(Table1[[#This Row],[Gestation (days)]])),TRUE,FALSE)</f>
        <v>0</v>
      </c>
      <c r="E1371" s="2" t="str">
        <f>IF(Table1[[#This Row],[Is Data Valid]]=TRUE,IF(Table1[[#This Row],[Fetal Sex (Male, Female or Unknown)]]="Male",Backend!$C$6,IF(Table1[[#This Row],[Fetal Sex (Male, Female or Unknown)]]="Female",Backend!$C$7,IF(Table1[[#This Row],[Fetal Sex (Male, Female or Unknown)]]="Unknown",Backend!$C$8,"Error"))),"")</f>
        <v/>
      </c>
      <c r="F1371" s="8" t="str">
        <f>IF(Table1[[#This Row],[Is Data Valid]]=TRUE,EXP(0.578+0.332*((Table1[[#This Row],[Gestation (days)]]+0.5)/7)-0.00354*((Table1[[#This Row],[Gestation (days)]]+0.5)/7)^2)*Table1[[#This Row],[BW40_3705]],"")</f>
        <v/>
      </c>
      <c r="G1371" s="2" t="str">
        <f>IF(Table1[[#This Row],[Is Data Valid]]=TRUE,((Table1[[#This Row],[Birthweight (grams)]]/Table1[[#This Row],[BW_GA]])-1)/(Backend!$B$4/100*Table1[[#This Row],[BW40_3705]]),"")</f>
        <v/>
      </c>
      <c r="H1371" s="7" t="str">
        <f>IF(Table1[[#This Row],[Is Data Valid]]=TRUE,((Table1[[#This Row],[Birthweight (grams)]]*0.9/Table1[[#This Row],[BW_GA]])-1)/(Backend!$B$4/100*Table1[[#This Row],[BW40_3705]]),"")</f>
        <v/>
      </c>
      <c r="I1371" s="7" t="str">
        <f>IF(Table1[[#This Row],[Is Data Valid]]=TRUE,((Table1[[#This Row],[Birthweight (grams)]]*1.1/Table1[[#This Row],[BW_GA]])-1)/(Backend!$B$4/100*Table1[[#This Row],[BW40_3705]]),"")</f>
        <v/>
      </c>
      <c r="J1371" s="7" t="str">
        <f>IF(Table1[[#This Row],[Is Data Valid]]=TRUE,_xlfn.NORM.S.DIST(Table1[[#This Row],[Birthweight Z-Score]],TRUE)*100,"")</f>
        <v/>
      </c>
      <c r="K1371" s="7" t="str">
        <f>IF(Table1[[#This Row],[Is Data Valid]]=TRUE,_xlfn.NORM.S.DIST(Table1[[#This Row],[Birthweight Z-Score (BW-10%)]],TRUE)*100,"")</f>
        <v/>
      </c>
      <c r="L1371" s="7" t="str">
        <f>IF(Table1[[#This Row],[Is Data Valid]]=TRUE,_xlfn.NORM.S.DIST(Table1[[#This Row],[Birthweight Z-Score (BW+10%)]],TRUE)*100,"")</f>
        <v/>
      </c>
    </row>
    <row r="1372" spans="1:12" x14ac:dyDescent="0.35">
      <c r="A1372" s="3"/>
      <c r="B1372" s="2"/>
      <c r="C1372" s="2"/>
      <c r="D1372" s="2" t="b">
        <f>IF(AND(NOT(ISBLANK(Table1[[#This Row],[Fetal Sex (Male, Female or Unknown)]])),ISNUMBER(Table1[[#This Row],[Birthweight (grams)]]),ISNUMBER(Table1[[#This Row],[Gestation (days)]])),TRUE,FALSE)</f>
        <v>0</v>
      </c>
      <c r="E1372" s="2" t="str">
        <f>IF(Table1[[#This Row],[Is Data Valid]]=TRUE,IF(Table1[[#This Row],[Fetal Sex (Male, Female or Unknown)]]="Male",Backend!$C$6,IF(Table1[[#This Row],[Fetal Sex (Male, Female or Unknown)]]="Female",Backend!$C$7,IF(Table1[[#This Row],[Fetal Sex (Male, Female or Unknown)]]="Unknown",Backend!$C$8,"Error"))),"")</f>
        <v/>
      </c>
      <c r="F1372" s="8" t="str">
        <f>IF(Table1[[#This Row],[Is Data Valid]]=TRUE,EXP(0.578+0.332*((Table1[[#This Row],[Gestation (days)]]+0.5)/7)-0.00354*((Table1[[#This Row],[Gestation (days)]]+0.5)/7)^2)*Table1[[#This Row],[BW40_3705]],"")</f>
        <v/>
      </c>
      <c r="G1372" s="2" t="str">
        <f>IF(Table1[[#This Row],[Is Data Valid]]=TRUE,((Table1[[#This Row],[Birthweight (grams)]]/Table1[[#This Row],[BW_GA]])-1)/(Backend!$B$4/100*Table1[[#This Row],[BW40_3705]]),"")</f>
        <v/>
      </c>
      <c r="H1372" s="7" t="str">
        <f>IF(Table1[[#This Row],[Is Data Valid]]=TRUE,((Table1[[#This Row],[Birthweight (grams)]]*0.9/Table1[[#This Row],[BW_GA]])-1)/(Backend!$B$4/100*Table1[[#This Row],[BW40_3705]]),"")</f>
        <v/>
      </c>
      <c r="I1372" s="7" t="str">
        <f>IF(Table1[[#This Row],[Is Data Valid]]=TRUE,((Table1[[#This Row],[Birthweight (grams)]]*1.1/Table1[[#This Row],[BW_GA]])-1)/(Backend!$B$4/100*Table1[[#This Row],[BW40_3705]]),"")</f>
        <v/>
      </c>
      <c r="J1372" s="7" t="str">
        <f>IF(Table1[[#This Row],[Is Data Valid]]=TRUE,_xlfn.NORM.S.DIST(Table1[[#This Row],[Birthweight Z-Score]],TRUE)*100,"")</f>
        <v/>
      </c>
      <c r="K1372" s="7" t="str">
        <f>IF(Table1[[#This Row],[Is Data Valid]]=TRUE,_xlfn.NORM.S.DIST(Table1[[#This Row],[Birthweight Z-Score (BW-10%)]],TRUE)*100,"")</f>
        <v/>
      </c>
      <c r="L1372" s="7" t="str">
        <f>IF(Table1[[#This Row],[Is Data Valid]]=TRUE,_xlfn.NORM.S.DIST(Table1[[#This Row],[Birthweight Z-Score (BW+10%)]],TRUE)*100,"")</f>
        <v/>
      </c>
    </row>
    <row r="1373" spans="1:12" x14ac:dyDescent="0.35">
      <c r="A1373" s="3"/>
      <c r="B1373" s="2"/>
      <c r="C1373" s="2"/>
      <c r="D1373" s="2" t="b">
        <f>IF(AND(NOT(ISBLANK(Table1[[#This Row],[Fetal Sex (Male, Female or Unknown)]])),ISNUMBER(Table1[[#This Row],[Birthweight (grams)]]),ISNUMBER(Table1[[#This Row],[Gestation (days)]])),TRUE,FALSE)</f>
        <v>0</v>
      </c>
      <c r="E1373" s="2" t="str">
        <f>IF(Table1[[#This Row],[Is Data Valid]]=TRUE,IF(Table1[[#This Row],[Fetal Sex (Male, Female or Unknown)]]="Male",Backend!$C$6,IF(Table1[[#This Row],[Fetal Sex (Male, Female or Unknown)]]="Female",Backend!$C$7,IF(Table1[[#This Row],[Fetal Sex (Male, Female or Unknown)]]="Unknown",Backend!$C$8,"Error"))),"")</f>
        <v/>
      </c>
      <c r="F1373" s="8" t="str">
        <f>IF(Table1[[#This Row],[Is Data Valid]]=TRUE,EXP(0.578+0.332*((Table1[[#This Row],[Gestation (days)]]+0.5)/7)-0.00354*((Table1[[#This Row],[Gestation (days)]]+0.5)/7)^2)*Table1[[#This Row],[BW40_3705]],"")</f>
        <v/>
      </c>
      <c r="G1373" s="2" t="str">
        <f>IF(Table1[[#This Row],[Is Data Valid]]=TRUE,((Table1[[#This Row],[Birthweight (grams)]]/Table1[[#This Row],[BW_GA]])-1)/(Backend!$B$4/100*Table1[[#This Row],[BW40_3705]]),"")</f>
        <v/>
      </c>
      <c r="H1373" s="7" t="str">
        <f>IF(Table1[[#This Row],[Is Data Valid]]=TRUE,((Table1[[#This Row],[Birthweight (grams)]]*0.9/Table1[[#This Row],[BW_GA]])-1)/(Backend!$B$4/100*Table1[[#This Row],[BW40_3705]]),"")</f>
        <v/>
      </c>
      <c r="I1373" s="7" t="str">
        <f>IF(Table1[[#This Row],[Is Data Valid]]=TRUE,((Table1[[#This Row],[Birthweight (grams)]]*1.1/Table1[[#This Row],[BW_GA]])-1)/(Backend!$B$4/100*Table1[[#This Row],[BW40_3705]]),"")</f>
        <v/>
      </c>
      <c r="J1373" s="7" t="str">
        <f>IF(Table1[[#This Row],[Is Data Valid]]=TRUE,_xlfn.NORM.S.DIST(Table1[[#This Row],[Birthweight Z-Score]],TRUE)*100,"")</f>
        <v/>
      </c>
      <c r="K1373" s="7" t="str">
        <f>IF(Table1[[#This Row],[Is Data Valid]]=TRUE,_xlfn.NORM.S.DIST(Table1[[#This Row],[Birthweight Z-Score (BW-10%)]],TRUE)*100,"")</f>
        <v/>
      </c>
      <c r="L1373" s="7" t="str">
        <f>IF(Table1[[#This Row],[Is Data Valid]]=TRUE,_xlfn.NORM.S.DIST(Table1[[#This Row],[Birthweight Z-Score (BW+10%)]],TRUE)*100,"")</f>
        <v/>
      </c>
    </row>
    <row r="1374" spans="1:12" x14ac:dyDescent="0.35">
      <c r="A1374" s="3"/>
      <c r="B1374" s="2"/>
      <c r="C1374" s="2"/>
      <c r="D1374" s="2" t="b">
        <f>IF(AND(NOT(ISBLANK(Table1[[#This Row],[Fetal Sex (Male, Female or Unknown)]])),ISNUMBER(Table1[[#This Row],[Birthweight (grams)]]),ISNUMBER(Table1[[#This Row],[Gestation (days)]])),TRUE,FALSE)</f>
        <v>0</v>
      </c>
      <c r="E1374" s="2" t="str">
        <f>IF(Table1[[#This Row],[Is Data Valid]]=TRUE,IF(Table1[[#This Row],[Fetal Sex (Male, Female or Unknown)]]="Male",Backend!$C$6,IF(Table1[[#This Row],[Fetal Sex (Male, Female or Unknown)]]="Female",Backend!$C$7,IF(Table1[[#This Row],[Fetal Sex (Male, Female or Unknown)]]="Unknown",Backend!$C$8,"Error"))),"")</f>
        <v/>
      </c>
      <c r="F1374" s="8" t="str">
        <f>IF(Table1[[#This Row],[Is Data Valid]]=TRUE,EXP(0.578+0.332*((Table1[[#This Row],[Gestation (days)]]+0.5)/7)-0.00354*((Table1[[#This Row],[Gestation (days)]]+0.5)/7)^2)*Table1[[#This Row],[BW40_3705]],"")</f>
        <v/>
      </c>
      <c r="G1374" s="2" t="str">
        <f>IF(Table1[[#This Row],[Is Data Valid]]=TRUE,((Table1[[#This Row],[Birthweight (grams)]]/Table1[[#This Row],[BW_GA]])-1)/(Backend!$B$4/100*Table1[[#This Row],[BW40_3705]]),"")</f>
        <v/>
      </c>
      <c r="H1374" s="7" t="str">
        <f>IF(Table1[[#This Row],[Is Data Valid]]=TRUE,((Table1[[#This Row],[Birthweight (grams)]]*0.9/Table1[[#This Row],[BW_GA]])-1)/(Backend!$B$4/100*Table1[[#This Row],[BW40_3705]]),"")</f>
        <v/>
      </c>
      <c r="I1374" s="7" t="str">
        <f>IF(Table1[[#This Row],[Is Data Valid]]=TRUE,((Table1[[#This Row],[Birthweight (grams)]]*1.1/Table1[[#This Row],[BW_GA]])-1)/(Backend!$B$4/100*Table1[[#This Row],[BW40_3705]]),"")</f>
        <v/>
      </c>
      <c r="J1374" s="7" t="str">
        <f>IF(Table1[[#This Row],[Is Data Valid]]=TRUE,_xlfn.NORM.S.DIST(Table1[[#This Row],[Birthweight Z-Score]],TRUE)*100,"")</f>
        <v/>
      </c>
      <c r="K1374" s="7" t="str">
        <f>IF(Table1[[#This Row],[Is Data Valid]]=TRUE,_xlfn.NORM.S.DIST(Table1[[#This Row],[Birthweight Z-Score (BW-10%)]],TRUE)*100,"")</f>
        <v/>
      </c>
      <c r="L1374" s="7" t="str">
        <f>IF(Table1[[#This Row],[Is Data Valid]]=TRUE,_xlfn.NORM.S.DIST(Table1[[#This Row],[Birthweight Z-Score (BW+10%)]],TRUE)*100,"")</f>
        <v/>
      </c>
    </row>
    <row r="1375" spans="1:12" x14ac:dyDescent="0.35">
      <c r="A1375" s="3"/>
      <c r="B1375" s="2"/>
      <c r="C1375" s="2"/>
      <c r="D1375" s="2" t="b">
        <f>IF(AND(NOT(ISBLANK(Table1[[#This Row],[Fetal Sex (Male, Female or Unknown)]])),ISNUMBER(Table1[[#This Row],[Birthweight (grams)]]),ISNUMBER(Table1[[#This Row],[Gestation (days)]])),TRUE,FALSE)</f>
        <v>0</v>
      </c>
      <c r="E1375" s="2" t="str">
        <f>IF(Table1[[#This Row],[Is Data Valid]]=TRUE,IF(Table1[[#This Row],[Fetal Sex (Male, Female or Unknown)]]="Male",Backend!$C$6,IF(Table1[[#This Row],[Fetal Sex (Male, Female or Unknown)]]="Female",Backend!$C$7,IF(Table1[[#This Row],[Fetal Sex (Male, Female or Unknown)]]="Unknown",Backend!$C$8,"Error"))),"")</f>
        <v/>
      </c>
      <c r="F1375" s="8" t="str">
        <f>IF(Table1[[#This Row],[Is Data Valid]]=TRUE,EXP(0.578+0.332*((Table1[[#This Row],[Gestation (days)]]+0.5)/7)-0.00354*((Table1[[#This Row],[Gestation (days)]]+0.5)/7)^2)*Table1[[#This Row],[BW40_3705]],"")</f>
        <v/>
      </c>
      <c r="G1375" s="2" t="str">
        <f>IF(Table1[[#This Row],[Is Data Valid]]=TRUE,((Table1[[#This Row],[Birthweight (grams)]]/Table1[[#This Row],[BW_GA]])-1)/(Backend!$B$4/100*Table1[[#This Row],[BW40_3705]]),"")</f>
        <v/>
      </c>
      <c r="H1375" s="7" t="str">
        <f>IF(Table1[[#This Row],[Is Data Valid]]=TRUE,((Table1[[#This Row],[Birthweight (grams)]]*0.9/Table1[[#This Row],[BW_GA]])-1)/(Backend!$B$4/100*Table1[[#This Row],[BW40_3705]]),"")</f>
        <v/>
      </c>
      <c r="I1375" s="7" t="str">
        <f>IF(Table1[[#This Row],[Is Data Valid]]=TRUE,((Table1[[#This Row],[Birthweight (grams)]]*1.1/Table1[[#This Row],[BW_GA]])-1)/(Backend!$B$4/100*Table1[[#This Row],[BW40_3705]]),"")</f>
        <v/>
      </c>
      <c r="J1375" s="7" t="str">
        <f>IF(Table1[[#This Row],[Is Data Valid]]=TRUE,_xlfn.NORM.S.DIST(Table1[[#This Row],[Birthweight Z-Score]],TRUE)*100,"")</f>
        <v/>
      </c>
      <c r="K1375" s="7" t="str">
        <f>IF(Table1[[#This Row],[Is Data Valid]]=TRUE,_xlfn.NORM.S.DIST(Table1[[#This Row],[Birthweight Z-Score (BW-10%)]],TRUE)*100,"")</f>
        <v/>
      </c>
      <c r="L1375" s="7" t="str">
        <f>IF(Table1[[#This Row],[Is Data Valid]]=TRUE,_xlfn.NORM.S.DIST(Table1[[#This Row],[Birthweight Z-Score (BW+10%)]],TRUE)*100,"")</f>
        <v/>
      </c>
    </row>
    <row r="1376" spans="1:12" x14ac:dyDescent="0.35">
      <c r="A1376" s="3"/>
      <c r="B1376" s="2"/>
      <c r="C1376" s="2"/>
      <c r="D1376" s="2" t="b">
        <f>IF(AND(NOT(ISBLANK(Table1[[#This Row],[Fetal Sex (Male, Female or Unknown)]])),ISNUMBER(Table1[[#This Row],[Birthweight (grams)]]),ISNUMBER(Table1[[#This Row],[Gestation (days)]])),TRUE,FALSE)</f>
        <v>0</v>
      </c>
      <c r="E1376" s="2" t="str">
        <f>IF(Table1[[#This Row],[Is Data Valid]]=TRUE,IF(Table1[[#This Row],[Fetal Sex (Male, Female or Unknown)]]="Male",Backend!$C$6,IF(Table1[[#This Row],[Fetal Sex (Male, Female or Unknown)]]="Female",Backend!$C$7,IF(Table1[[#This Row],[Fetal Sex (Male, Female or Unknown)]]="Unknown",Backend!$C$8,"Error"))),"")</f>
        <v/>
      </c>
      <c r="F1376" s="8" t="str">
        <f>IF(Table1[[#This Row],[Is Data Valid]]=TRUE,EXP(0.578+0.332*((Table1[[#This Row],[Gestation (days)]]+0.5)/7)-0.00354*((Table1[[#This Row],[Gestation (days)]]+0.5)/7)^2)*Table1[[#This Row],[BW40_3705]],"")</f>
        <v/>
      </c>
      <c r="G1376" s="2" t="str">
        <f>IF(Table1[[#This Row],[Is Data Valid]]=TRUE,((Table1[[#This Row],[Birthweight (grams)]]/Table1[[#This Row],[BW_GA]])-1)/(Backend!$B$4/100*Table1[[#This Row],[BW40_3705]]),"")</f>
        <v/>
      </c>
      <c r="H1376" s="7" t="str">
        <f>IF(Table1[[#This Row],[Is Data Valid]]=TRUE,((Table1[[#This Row],[Birthweight (grams)]]*0.9/Table1[[#This Row],[BW_GA]])-1)/(Backend!$B$4/100*Table1[[#This Row],[BW40_3705]]),"")</f>
        <v/>
      </c>
      <c r="I1376" s="7" t="str">
        <f>IF(Table1[[#This Row],[Is Data Valid]]=TRUE,((Table1[[#This Row],[Birthweight (grams)]]*1.1/Table1[[#This Row],[BW_GA]])-1)/(Backend!$B$4/100*Table1[[#This Row],[BW40_3705]]),"")</f>
        <v/>
      </c>
      <c r="J1376" s="7" t="str">
        <f>IF(Table1[[#This Row],[Is Data Valid]]=TRUE,_xlfn.NORM.S.DIST(Table1[[#This Row],[Birthweight Z-Score]],TRUE)*100,"")</f>
        <v/>
      </c>
      <c r="K1376" s="7" t="str">
        <f>IF(Table1[[#This Row],[Is Data Valid]]=TRUE,_xlfn.NORM.S.DIST(Table1[[#This Row],[Birthweight Z-Score (BW-10%)]],TRUE)*100,"")</f>
        <v/>
      </c>
      <c r="L1376" s="7" t="str">
        <f>IF(Table1[[#This Row],[Is Data Valid]]=TRUE,_xlfn.NORM.S.DIST(Table1[[#This Row],[Birthweight Z-Score (BW+10%)]],TRUE)*100,"")</f>
        <v/>
      </c>
    </row>
    <row r="1377" spans="1:12" x14ac:dyDescent="0.35">
      <c r="A1377" s="3"/>
      <c r="B1377" s="2"/>
      <c r="C1377" s="2"/>
      <c r="D1377" s="2" t="b">
        <f>IF(AND(NOT(ISBLANK(Table1[[#This Row],[Fetal Sex (Male, Female or Unknown)]])),ISNUMBER(Table1[[#This Row],[Birthweight (grams)]]),ISNUMBER(Table1[[#This Row],[Gestation (days)]])),TRUE,FALSE)</f>
        <v>0</v>
      </c>
      <c r="E1377" s="2" t="str">
        <f>IF(Table1[[#This Row],[Is Data Valid]]=TRUE,IF(Table1[[#This Row],[Fetal Sex (Male, Female or Unknown)]]="Male",Backend!$C$6,IF(Table1[[#This Row],[Fetal Sex (Male, Female or Unknown)]]="Female",Backend!$C$7,IF(Table1[[#This Row],[Fetal Sex (Male, Female or Unknown)]]="Unknown",Backend!$C$8,"Error"))),"")</f>
        <v/>
      </c>
      <c r="F1377" s="8" t="str">
        <f>IF(Table1[[#This Row],[Is Data Valid]]=TRUE,EXP(0.578+0.332*((Table1[[#This Row],[Gestation (days)]]+0.5)/7)-0.00354*((Table1[[#This Row],[Gestation (days)]]+0.5)/7)^2)*Table1[[#This Row],[BW40_3705]],"")</f>
        <v/>
      </c>
      <c r="G1377" s="2" t="str">
        <f>IF(Table1[[#This Row],[Is Data Valid]]=TRUE,((Table1[[#This Row],[Birthweight (grams)]]/Table1[[#This Row],[BW_GA]])-1)/(Backend!$B$4/100*Table1[[#This Row],[BW40_3705]]),"")</f>
        <v/>
      </c>
      <c r="H1377" s="7" t="str">
        <f>IF(Table1[[#This Row],[Is Data Valid]]=TRUE,((Table1[[#This Row],[Birthweight (grams)]]*0.9/Table1[[#This Row],[BW_GA]])-1)/(Backend!$B$4/100*Table1[[#This Row],[BW40_3705]]),"")</f>
        <v/>
      </c>
      <c r="I1377" s="7" t="str">
        <f>IF(Table1[[#This Row],[Is Data Valid]]=TRUE,((Table1[[#This Row],[Birthweight (grams)]]*1.1/Table1[[#This Row],[BW_GA]])-1)/(Backend!$B$4/100*Table1[[#This Row],[BW40_3705]]),"")</f>
        <v/>
      </c>
      <c r="J1377" s="7" t="str">
        <f>IF(Table1[[#This Row],[Is Data Valid]]=TRUE,_xlfn.NORM.S.DIST(Table1[[#This Row],[Birthweight Z-Score]],TRUE)*100,"")</f>
        <v/>
      </c>
      <c r="K1377" s="7" t="str">
        <f>IF(Table1[[#This Row],[Is Data Valid]]=TRUE,_xlfn.NORM.S.DIST(Table1[[#This Row],[Birthweight Z-Score (BW-10%)]],TRUE)*100,"")</f>
        <v/>
      </c>
      <c r="L1377" s="7" t="str">
        <f>IF(Table1[[#This Row],[Is Data Valid]]=TRUE,_xlfn.NORM.S.DIST(Table1[[#This Row],[Birthweight Z-Score (BW+10%)]],TRUE)*100,"")</f>
        <v/>
      </c>
    </row>
    <row r="1378" spans="1:12" x14ac:dyDescent="0.35">
      <c r="A1378" s="3"/>
      <c r="B1378" s="2"/>
      <c r="C1378" s="2"/>
      <c r="D1378" s="2" t="b">
        <f>IF(AND(NOT(ISBLANK(Table1[[#This Row],[Fetal Sex (Male, Female or Unknown)]])),ISNUMBER(Table1[[#This Row],[Birthweight (grams)]]),ISNUMBER(Table1[[#This Row],[Gestation (days)]])),TRUE,FALSE)</f>
        <v>0</v>
      </c>
      <c r="E1378" s="2" t="str">
        <f>IF(Table1[[#This Row],[Is Data Valid]]=TRUE,IF(Table1[[#This Row],[Fetal Sex (Male, Female or Unknown)]]="Male",Backend!$C$6,IF(Table1[[#This Row],[Fetal Sex (Male, Female or Unknown)]]="Female",Backend!$C$7,IF(Table1[[#This Row],[Fetal Sex (Male, Female or Unknown)]]="Unknown",Backend!$C$8,"Error"))),"")</f>
        <v/>
      </c>
      <c r="F1378" s="8" t="str">
        <f>IF(Table1[[#This Row],[Is Data Valid]]=TRUE,EXP(0.578+0.332*((Table1[[#This Row],[Gestation (days)]]+0.5)/7)-0.00354*((Table1[[#This Row],[Gestation (days)]]+0.5)/7)^2)*Table1[[#This Row],[BW40_3705]],"")</f>
        <v/>
      </c>
      <c r="G1378" s="2" t="str">
        <f>IF(Table1[[#This Row],[Is Data Valid]]=TRUE,((Table1[[#This Row],[Birthweight (grams)]]/Table1[[#This Row],[BW_GA]])-1)/(Backend!$B$4/100*Table1[[#This Row],[BW40_3705]]),"")</f>
        <v/>
      </c>
      <c r="H1378" s="7" t="str">
        <f>IF(Table1[[#This Row],[Is Data Valid]]=TRUE,((Table1[[#This Row],[Birthweight (grams)]]*0.9/Table1[[#This Row],[BW_GA]])-1)/(Backend!$B$4/100*Table1[[#This Row],[BW40_3705]]),"")</f>
        <v/>
      </c>
      <c r="I1378" s="7" t="str">
        <f>IF(Table1[[#This Row],[Is Data Valid]]=TRUE,((Table1[[#This Row],[Birthweight (grams)]]*1.1/Table1[[#This Row],[BW_GA]])-1)/(Backend!$B$4/100*Table1[[#This Row],[BW40_3705]]),"")</f>
        <v/>
      </c>
      <c r="J1378" s="7" t="str">
        <f>IF(Table1[[#This Row],[Is Data Valid]]=TRUE,_xlfn.NORM.S.DIST(Table1[[#This Row],[Birthweight Z-Score]],TRUE)*100,"")</f>
        <v/>
      </c>
      <c r="K1378" s="7" t="str">
        <f>IF(Table1[[#This Row],[Is Data Valid]]=TRUE,_xlfn.NORM.S.DIST(Table1[[#This Row],[Birthweight Z-Score (BW-10%)]],TRUE)*100,"")</f>
        <v/>
      </c>
      <c r="L1378" s="7" t="str">
        <f>IF(Table1[[#This Row],[Is Data Valid]]=TRUE,_xlfn.NORM.S.DIST(Table1[[#This Row],[Birthweight Z-Score (BW+10%)]],TRUE)*100,"")</f>
        <v/>
      </c>
    </row>
    <row r="1379" spans="1:12" x14ac:dyDescent="0.35">
      <c r="A1379" s="3"/>
      <c r="B1379" s="2"/>
      <c r="C1379" s="2"/>
      <c r="D1379" s="2" t="b">
        <f>IF(AND(NOT(ISBLANK(Table1[[#This Row],[Fetal Sex (Male, Female or Unknown)]])),ISNUMBER(Table1[[#This Row],[Birthweight (grams)]]),ISNUMBER(Table1[[#This Row],[Gestation (days)]])),TRUE,FALSE)</f>
        <v>0</v>
      </c>
      <c r="E1379" s="2" t="str">
        <f>IF(Table1[[#This Row],[Is Data Valid]]=TRUE,IF(Table1[[#This Row],[Fetal Sex (Male, Female or Unknown)]]="Male",Backend!$C$6,IF(Table1[[#This Row],[Fetal Sex (Male, Female or Unknown)]]="Female",Backend!$C$7,IF(Table1[[#This Row],[Fetal Sex (Male, Female or Unknown)]]="Unknown",Backend!$C$8,"Error"))),"")</f>
        <v/>
      </c>
      <c r="F1379" s="8" t="str">
        <f>IF(Table1[[#This Row],[Is Data Valid]]=TRUE,EXP(0.578+0.332*((Table1[[#This Row],[Gestation (days)]]+0.5)/7)-0.00354*((Table1[[#This Row],[Gestation (days)]]+0.5)/7)^2)*Table1[[#This Row],[BW40_3705]],"")</f>
        <v/>
      </c>
      <c r="G1379" s="2" t="str">
        <f>IF(Table1[[#This Row],[Is Data Valid]]=TRUE,((Table1[[#This Row],[Birthweight (grams)]]/Table1[[#This Row],[BW_GA]])-1)/(Backend!$B$4/100*Table1[[#This Row],[BW40_3705]]),"")</f>
        <v/>
      </c>
      <c r="H1379" s="7" t="str">
        <f>IF(Table1[[#This Row],[Is Data Valid]]=TRUE,((Table1[[#This Row],[Birthweight (grams)]]*0.9/Table1[[#This Row],[BW_GA]])-1)/(Backend!$B$4/100*Table1[[#This Row],[BW40_3705]]),"")</f>
        <v/>
      </c>
      <c r="I1379" s="7" t="str">
        <f>IF(Table1[[#This Row],[Is Data Valid]]=TRUE,((Table1[[#This Row],[Birthweight (grams)]]*1.1/Table1[[#This Row],[BW_GA]])-1)/(Backend!$B$4/100*Table1[[#This Row],[BW40_3705]]),"")</f>
        <v/>
      </c>
      <c r="J1379" s="7" t="str">
        <f>IF(Table1[[#This Row],[Is Data Valid]]=TRUE,_xlfn.NORM.S.DIST(Table1[[#This Row],[Birthweight Z-Score]],TRUE)*100,"")</f>
        <v/>
      </c>
      <c r="K1379" s="7" t="str">
        <f>IF(Table1[[#This Row],[Is Data Valid]]=TRUE,_xlfn.NORM.S.DIST(Table1[[#This Row],[Birthweight Z-Score (BW-10%)]],TRUE)*100,"")</f>
        <v/>
      </c>
      <c r="L1379" s="7" t="str">
        <f>IF(Table1[[#This Row],[Is Data Valid]]=TRUE,_xlfn.NORM.S.DIST(Table1[[#This Row],[Birthweight Z-Score (BW+10%)]],TRUE)*100,"")</f>
        <v/>
      </c>
    </row>
    <row r="1380" spans="1:12" x14ac:dyDescent="0.35">
      <c r="A1380" s="3"/>
      <c r="B1380" s="2"/>
      <c r="C1380" s="2"/>
      <c r="D1380" s="2" t="b">
        <f>IF(AND(NOT(ISBLANK(Table1[[#This Row],[Fetal Sex (Male, Female or Unknown)]])),ISNUMBER(Table1[[#This Row],[Birthweight (grams)]]),ISNUMBER(Table1[[#This Row],[Gestation (days)]])),TRUE,FALSE)</f>
        <v>0</v>
      </c>
      <c r="E1380" s="2" t="str">
        <f>IF(Table1[[#This Row],[Is Data Valid]]=TRUE,IF(Table1[[#This Row],[Fetal Sex (Male, Female or Unknown)]]="Male",Backend!$C$6,IF(Table1[[#This Row],[Fetal Sex (Male, Female or Unknown)]]="Female",Backend!$C$7,IF(Table1[[#This Row],[Fetal Sex (Male, Female or Unknown)]]="Unknown",Backend!$C$8,"Error"))),"")</f>
        <v/>
      </c>
      <c r="F1380" s="8" t="str">
        <f>IF(Table1[[#This Row],[Is Data Valid]]=TRUE,EXP(0.578+0.332*((Table1[[#This Row],[Gestation (days)]]+0.5)/7)-0.00354*((Table1[[#This Row],[Gestation (days)]]+0.5)/7)^2)*Table1[[#This Row],[BW40_3705]],"")</f>
        <v/>
      </c>
      <c r="G1380" s="2" t="str">
        <f>IF(Table1[[#This Row],[Is Data Valid]]=TRUE,((Table1[[#This Row],[Birthweight (grams)]]/Table1[[#This Row],[BW_GA]])-1)/(Backend!$B$4/100*Table1[[#This Row],[BW40_3705]]),"")</f>
        <v/>
      </c>
      <c r="H1380" s="7" t="str">
        <f>IF(Table1[[#This Row],[Is Data Valid]]=TRUE,((Table1[[#This Row],[Birthweight (grams)]]*0.9/Table1[[#This Row],[BW_GA]])-1)/(Backend!$B$4/100*Table1[[#This Row],[BW40_3705]]),"")</f>
        <v/>
      </c>
      <c r="I1380" s="7" t="str">
        <f>IF(Table1[[#This Row],[Is Data Valid]]=TRUE,((Table1[[#This Row],[Birthweight (grams)]]*1.1/Table1[[#This Row],[BW_GA]])-1)/(Backend!$B$4/100*Table1[[#This Row],[BW40_3705]]),"")</f>
        <v/>
      </c>
      <c r="J1380" s="7" t="str">
        <f>IF(Table1[[#This Row],[Is Data Valid]]=TRUE,_xlfn.NORM.S.DIST(Table1[[#This Row],[Birthweight Z-Score]],TRUE)*100,"")</f>
        <v/>
      </c>
      <c r="K1380" s="7" t="str">
        <f>IF(Table1[[#This Row],[Is Data Valid]]=TRUE,_xlfn.NORM.S.DIST(Table1[[#This Row],[Birthweight Z-Score (BW-10%)]],TRUE)*100,"")</f>
        <v/>
      </c>
      <c r="L1380" s="7" t="str">
        <f>IF(Table1[[#This Row],[Is Data Valid]]=TRUE,_xlfn.NORM.S.DIST(Table1[[#This Row],[Birthweight Z-Score (BW+10%)]],TRUE)*100,"")</f>
        <v/>
      </c>
    </row>
    <row r="1381" spans="1:12" x14ac:dyDescent="0.35">
      <c r="A1381" s="3"/>
      <c r="B1381" s="2"/>
      <c r="C1381" s="2"/>
      <c r="D1381" s="2" t="b">
        <f>IF(AND(NOT(ISBLANK(Table1[[#This Row],[Fetal Sex (Male, Female or Unknown)]])),ISNUMBER(Table1[[#This Row],[Birthweight (grams)]]),ISNUMBER(Table1[[#This Row],[Gestation (days)]])),TRUE,FALSE)</f>
        <v>0</v>
      </c>
      <c r="E1381" s="2" t="str">
        <f>IF(Table1[[#This Row],[Is Data Valid]]=TRUE,IF(Table1[[#This Row],[Fetal Sex (Male, Female or Unknown)]]="Male",Backend!$C$6,IF(Table1[[#This Row],[Fetal Sex (Male, Female or Unknown)]]="Female",Backend!$C$7,IF(Table1[[#This Row],[Fetal Sex (Male, Female or Unknown)]]="Unknown",Backend!$C$8,"Error"))),"")</f>
        <v/>
      </c>
      <c r="F1381" s="8" t="str">
        <f>IF(Table1[[#This Row],[Is Data Valid]]=TRUE,EXP(0.578+0.332*((Table1[[#This Row],[Gestation (days)]]+0.5)/7)-0.00354*((Table1[[#This Row],[Gestation (days)]]+0.5)/7)^2)*Table1[[#This Row],[BW40_3705]],"")</f>
        <v/>
      </c>
      <c r="G1381" s="2" t="str">
        <f>IF(Table1[[#This Row],[Is Data Valid]]=TRUE,((Table1[[#This Row],[Birthweight (grams)]]/Table1[[#This Row],[BW_GA]])-1)/(Backend!$B$4/100*Table1[[#This Row],[BW40_3705]]),"")</f>
        <v/>
      </c>
      <c r="H1381" s="7" t="str">
        <f>IF(Table1[[#This Row],[Is Data Valid]]=TRUE,((Table1[[#This Row],[Birthweight (grams)]]*0.9/Table1[[#This Row],[BW_GA]])-1)/(Backend!$B$4/100*Table1[[#This Row],[BW40_3705]]),"")</f>
        <v/>
      </c>
      <c r="I1381" s="7" t="str">
        <f>IF(Table1[[#This Row],[Is Data Valid]]=TRUE,((Table1[[#This Row],[Birthweight (grams)]]*1.1/Table1[[#This Row],[BW_GA]])-1)/(Backend!$B$4/100*Table1[[#This Row],[BW40_3705]]),"")</f>
        <v/>
      </c>
      <c r="J1381" s="7" t="str">
        <f>IF(Table1[[#This Row],[Is Data Valid]]=TRUE,_xlfn.NORM.S.DIST(Table1[[#This Row],[Birthweight Z-Score]],TRUE)*100,"")</f>
        <v/>
      </c>
      <c r="K1381" s="7" t="str">
        <f>IF(Table1[[#This Row],[Is Data Valid]]=TRUE,_xlfn.NORM.S.DIST(Table1[[#This Row],[Birthweight Z-Score (BW-10%)]],TRUE)*100,"")</f>
        <v/>
      </c>
      <c r="L1381" s="7" t="str">
        <f>IF(Table1[[#This Row],[Is Data Valid]]=TRUE,_xlfn.NORM.S.DIST(Table1[[#This Row],[Birthweight Z-Score (BW+10%)]],TRUE)*100,"")</f>
        <v/>
      </c>
    </row>
    <row r="1382" spans="1:12" x14ac:dyDescent="0.35">
      <c r="A1382" s="3"/>
      <c r="B1382" s="2"/>
      <c r="C1382" s="2"/>
      <c r="D1382" s="2" t="b">
        <f>IF(AND(NOT(ISBLANK(Table1[[#This Row],[Fetal Sex (Male, Female or Unknown)]])),ISNUMBER(Table1[[#This Row],[Birthweight (grams)]]),ISNUMBER(Table1[[#This Row],[Gestation (days)]])),TRUE,FALSE)</f>
        <v>0</v>
      </c>
      <c r="E1382" s="2" t="str">
        <f>IF(Table1[[#This Row],[Is Data Valid]]=TRUE,IF(Table1[[#This Row],[Fetal Sex (Male, Female or Unknown)]]="Male",Backend!$C$6,IF(Table1[[#This Row],[Fetal Sex (Male, Female or Unknown)]]="Female",Backend!$C$7,IF(Table1[[#This Row],[Fetal Sex (Male, Female or Unknown)]]="Unknown",Backend!$C$8,"Error"))),"")</f>
        <v/>
      </c>
      <c r="F1382" s="8" t="str">
        <f>IF(Table1[[#This Row],[Is Data Valid]]=TRUE,EXP(0.578+0.332*((Table1[[#This Row],[Gestation (days)]]+0.5)/7)-0.00354*((Table1[[#This Row],[Gestation (days)]]+0.5)/7)^2)*Table1[[#This Row],[BW40_3705]],"")</f>
        <v/>
      </c>
      <c r="G1382" s="2" t="str">
        <f>IF(Table1[[#This Row],[Is Data Valid]]=TRUE,((Table1[[#This Row],[Birthweight (grams)]]/Table1[[#This Row],[BW_GA]])-1)/(Backend!$B$4/100*Table1[[#This Row],[BW40_3705]]),"")</f>
        <v/>
      </c>
      <c r="H1382" s="7" t="str">
        <f>IF(Table1[[#This Row],[Is Data Valid]]=TRUE,((Table1[[#This Row],[Birthweight (grams)]]*0.9/Table1[[#This Row],[BW_GA]])-1)/(Backend!$B$4/100*Table1[[#This Row],[BW40_3705]]),"")</f>
        <v/>
      </c>
      <c r="I1382" s="7" t="str">
        <f>IF(Table1[[#This Row],[Is Data Valid]]=TRUE,((Table1[[#This Row],[Birthweight (grams)]]*1.1/Table1[[#This Row],[BW_GA]])-1)/(Backend!$B$4/100*Table1[[#This Row],[BW40_3705]]),"")</f>
        <v/>
      </c>
      <c r="J1382" s="7" t="str">
        <f>IF(Table1[[#This Row],[Is Data Valid]]=TRUE,_xlfn.NORM.S.DIST(Table1[[#This Row],[Birthweight Z-Score]],TRUE)*100,"")</f>
        <v/>
      </c>
      <c r="K1382" s="7" t="str">
        <f>IF(Table1[[#This Row],[Is Data Valid]]=TRUE,_xlfn.NORM.S.DIST(Table1[[#This Row],[Birthweight Z-Score (BW-10%)]],TRUE)*100,"")</f>
        <v/>
      </c>
      <c r="L1382" s="7" t="str">
        <f>IF(Table1[[#This Row],[Is Data Valid]]=TRUE,_xlfn.NORM.S.DIST(Table1[[#This Row],[Birthweight Z-Score (BW+10%)]],TRUE)*100,"")</f>
        <v/>
      </c>
    </row>
    <row r="1383" spans="1:12" x14ac:dyDescent="0.35">
      <c r="A1383" s="3"/>
      <c r="B1383" s="2"/>
      <c r="C1383" s="2"/>
      <c r="D1383" s="2" t="b">
        <f>IF(AND(NOT(ISBLANK(Table1[[#This Row],[Fetal Sex (Male, Female or Unknown)]])),ISNUMBER(Table1[[#This Row],[Birthweight (grams)]]),ISNUMBER(Table1[[#This Row],[Gestation (days)]])),TRUE,FALSE)</f>
        <v>0</v>
      </c>
      <c r="E1383" s="2" t="str">
        <f>IF(Table1[[#This Row],[Is Data Valid]]=TRUE,IF(Table1[[#This Row],[Fetal Sex (Male, Female or Unknown)]]="Male",Backend!$C$6,IF(Table1[[#This Row],[Fetal Sex (Male, Female or Unknown)]]="Female",Backend!$C$7,IF(Table1[[#This Row],[Fetal Sex (Male, Female or Unknown)]]="Unknown",Backend!$C$8,"Error"))),"")</f>
        <v/>
      </c>
      <c r="F1383" s="8" t="str">
        <f>IF(Table1[[#This Row],[Is Data Valid]]=TRUE,EXP(0.578+0.332*((Table1[[#This Row],[Gestation (days)]]+0.5)/7)-0.00354*((Table1[[#This Row],[Gestation (days)]]+0.5)/7)^2)*Table1[[#This Row],[BW40_3705]],"")</f>
        <v/>
      </c>
      <c r="G1383" s="2" t="str">
        <f>IF(Table1[[#This Row],[Is Data Valid]]=TRUE,((Table1[[#This Row],[Birthweight (grams)]]/Table1[[#This Row],[BW_GA]])-1)/(Backend!$B$4/100*Table1[[#This Row],[BW40_3705]]),"")</f>
        <v/>
      </c>
      <c r="H1383" s="7" t="str">
        <f>IF(Table1[[#This Row],[Is Data Valid]]=TRUE,((Table1[[#This Row],[Birthweight (grams)]]*0.9/Table1[[#This Row],[BW_GA]])-1)/(Backend!$B$4/100*Table1[[#This Row],[BW40_3705]]),"")</f>
        <v/>
      </c>
      <c r="I1383" s="7" t="str">
        <f>IF(Table1[[#This Row],[Is Data Valid]]=TRUE,((Table1[[#This Row],[Birthweight (grams)]]*1.1/Table1[[#This Row],[BW_GA]])-1)/(Backend!$B$4/100*Table1[[#This Row],[BW40_3705]]),"")</f>
        <v/>
      </c>
      <c r="J1383" s="7" t="str">
        <f>IF(Table1[[#This Row],[Is Data Valid]]=TRUE,_xlfn.NORM.S.DIST(Table1[[#This Row],[Birthweight Z-Score]],TRUE)*100,"")</f>
        <v/>
      </c>
      <c r="K1383" s="7" t="str">
        <f>IF(Table1[[#This Row],[Is Data Valid]]=TRUE,_xlfn.NORM.S.DIST(Table1[[#This Row],[Birthweight Z-Score (BW-10%)]],TRUE)*100,"")</f>
        <v/>
      </c>
      <c r="L1383" s="7" t="str">
        <f>IF(Table1[[#This Row],[Is Data Valid]]=TRUE,_xlfn.NORM.S.DIST(Table1[[#This Row],[Birthweight Z-Score (BW+10%)]],TRUE)*100,"")</f>
        <v/>
      </c>
    </row>
    <row r="1384" spans="1:12" x14ac:dyDescent="0.35">
      <c r="A1384" s="3"/>
      <c r="B1384" s="2"/>
      <c r="C1384" s="2"/>
      <c r="D1384" s="2" t="b">
        <f>IF(AND(NOT(ISBLANK(Table1[[#This Row],[Fetal Sex (Male, Female or Unknown)]])),ISNUMBER(Table1[[#This Row],[Birthweight (grams)]]),ISNUMBER(Table1[[#This Row],[Gestation (days)]])),TRUE,FALSE)</f>
        <v>0</v>
      </c>
      <c r="E1384" s="2" t="str">
        <f>IF(Table1[[#This Row],[Is Data Valid]]=TRUE,IF(Table1[[#This Row],[Fetal Sex (Male, Female or Unknown)]]="Male",Backend!$C$6,IF(Table1[[#This Row],[Fetal Sex (Male, Female or Unknown)]]="Female",Backend!$C$7,IF(Table1[[#This Row],[Fetal Sex (Male, Female or Unknown)]]="Unknown",Backend!$C$8,"Error"))),"")</f>
        <v/>
      </c>
      <c r="F1384" s="8" t="str">
        <f>IF(Table1[[#This Row],[Is Data Valid]]=TRUE,EXP(0.578+0.332*((Table1[[#This Row],[Gestation (days)]]+0.5)/7)-0.00354*((Table1[[#This Row],[Gestation (days)]]+0.5)/7)^2)*Table1[[#This Row],[BW40_3705]],"")</f>
        <v/>
      </c>
      <c r="G1384" s="2" t="str">
        <f>IF(Table1[[#This Row],[Is Data Valid]]=TRUE,((Table1[[#This Row],[Birthweight (grams)]]/Table1[[#This Row],[BW_GA]])-1)/(Backend!$B$4/100*Table1[[#This Row],[BW40_3705]]),"")</f>
        <v/>
      </c>
      <c r="H1384" s="7" t="str">
        <f>IF(Table1[[#This Row],[Is Data Valid]]=TRUE,((Table1[[#This Row],[Birthweight (grams)]]*0.9/Table1[[#This Row],[BW_GA]])-1)/(Backend!$B$4/100*Table1[[#This Row],[BW40_3705]]),"")</f>
        <v/>
      </c>
      <c r="I1384" s="7" t="str">
        <f>IF(Table1[[#This Row],[Is Data Valid]]=TRUE,((Table1[[#This Row],[Birthweight (grams)]]*1.1/Table1[[#This Row],[BW_GA]])-1)/(Backend!$B$4/100*Table1[[#This Row],[BW40_3705]]),"")</f>
        <v/>
      </c>
      <c r="J1384" s="7" t="str">
        <f>IF(Table1[[#This Row],[Is Data Valid]]=TRUE,_xlfn.NORM.S.DIST(Table1[[#This Row],[Birthweight Z-Score]],TRUE)*100,"")</f>
        <v/>
      </c>
      <c r="K1384" s="7" t="str">
        <f>IF(Table1[[#This Row],[Is Data Valid]]=TRUE,_xlfn.NORM.S.DIST(Table1[[#This Row],[Birthweight Z-Score (BW-10%)]],TRUE)*100,"")</f>
        <v/>
      </c>
      <c r="L1384" s="7" t="str">
        <f>IF(Table1[[#This Row],[Is Data Valid]]=TRUE,_xlfn.NORM.S.DIST(Table1[[#This Row],[Birthweight Z-Score (BW+10%)]],TRUE)*100,"")</f>
        <v/>
      </c>
    </row>
    <row r="1385" spans="1:12" x14ac:dyDescent="0.35">
      <c r="A1385" s="3"/>
      <c r="B1385" s="2"/>
      <c r="C1385" s="2"/>
      <c r="D1385" s="2" t="b">
        <f>IF(AND(NOT(ISBLANK(Table1[[#This Row],[Fetal Sex (Male, Female or Unknown)]])),ISNUMBER(Table1[[#This Row],[Birthweight (grams)]]),ISNUMBER(Table1[[#This Row],[Gestation (days)]])),TRUE,FALSE)</f>
        <v>0</v>
      </c>
      <c r="E1385" s="2" t="str">
        <f>IF(Table1[[#This Row],[Is Data Valid]]=TRUE,IF(Table1[[#This Row],[Fetal Sex (Male, Female or Unknown)]]="Male",Backend!$C$6,IF(Table1[[#This Row],[Fetal Sex (Male, Female or Unknown)]]="Female",Backend!$C$7,IF(Table1[[#This Row],[Fetal Sex (Male, Female or Unknown)]]="Unknown",Backend!$C$8,"Error"))),"")</f>
        <v/>
      </c>
      <c r="F1385" s="8" t="str">
        <f>IF(Table1[[#This Row],[Is Data Valid]]=TRUE,EXP(0.578+0.332*((Table1[[#This Row],[Gestation (days)]]+0.5)/7)-0.00354*((Table1[[#This Row],[Gestation (days)]]+0.5)/7)^2)*Table1[[#This Row],[BW40_3705]],"")</f>
        <v/>
      </c>
      <c r="G1385" s="2" t="str">
        <f>IF(Table1[[#This Row],[Is Data Valid]]=TRUE,((Table1[[#This Row],[Birthweight (grams)]]/Table1[[#This Row],[BW_GA]])-1)/(Backend!$B$4/100*Table1[[#This Row],[BW40_3705]]),"")</f>
        <v/>
      </c>
      <c r="H1385" s="7" t="str">
        <f>IF(Table1[[#This Row],[Is Data Valid]]=TRUE,((Table1[[#This Row],[Birthweight (grams)]]*0.9/Table1[[#This Row],[BW_GA]])-1)/(Backend!$B$4/100*Table1[[#This Row],[BW40_3705]]),"")</f>
        <v/>
      </c>
      <c r="I1385" s="7" t="str">
        <f>IF(Table1[[#This Row],[Is Data Valid]]=TRUE,((Table1[[#This Row],[Birthweight (grams)]]*1.1/Table1[[#This Row],[BW_GA]])-1)/(Backend!$B$4/100*Table1[[#This Row],[BW40_3705]]),"")</f>
        <v/>
      </c>
      <c r="J1385" s="7" t="str">
        <f>IF(Table1[[#This Row],[Is Data Valid]]=TRUE,_xlfn.NORM.S.DIST(Table1[[#This Row],[Birthweight Z-Score]],TRUE)*100,"")</f>
        <v/>
      </c>
      <c r="K1385" s="7" t="str">
        <f>IF(Table1[[#This Row],[Is Data Valid]]=TRUE,_xlfn.NORM.S.DIST(Table1[[#This Row],[Birthweight Z-Score (BW-10%)]],TRUE)*100,"")</f>
        <v/>
      </c>
      <c r="L1385" s="7" t="str">
        <f>IF(Table1[[#This Row],[Is Data Valid]]=TRUE,_xlfn.NORM.S.DIST(Table1[[#This Row],[Birthweight Z-Score (BW+10%)]],TRUE)*100,"")</f>
        <v/>
      </c>
    </row>
    <row r="1386" spans="1:12" x14ac:dyDescent="0.35">
      <c r="A1386" s="3"/>
      <c r="B1386" s="2"/>
      <c r="C1386" s="2"/>
      <c r="D1386" s="2" t="b">
        <f>IF(AND(NOT(ISBLANK(Table1[[#This Row],[Fetal Sex (Male, Female or Unknown)]])),ISNUMBER(Table1[[#This Row],[Birthweight (grams)]]),ISNUMBER(Table1[[#This Row],[Gestation (days)]])),TRUE,FALSE)</f>
        <v>0</v>
      </c>
      <c r="E1386" s="2" t="str">
        <f>IF(Table1[[#This Row],[Is Data Valid]]=TRUE,IF(Table1[[#This Row],[Fetal Sex (Male, Female or Unknown)]]="Male",Backend!$C$6,IF(Table1[[#This Row],[Fetal Sex (Male, Female or Unknown)]]="Female",Backend!$C$7,IF(Table1[[#This Row],[Fetal Sex (Male, Female or Unknown)]]="Unknown",Backend!$C$8,"Error"))),"")</f>
        <v/>
      </c>
      <c r="F1386" s="8" t="str">
        <f>IF(Table1[[#This Row],[Is Data Valid]]=TRUE,EXP(0.578+0.332*((Table1[[#This Row],[Gestation (days)]]+0.5)/7)-0.00354*((Table1[[#This Row],[Gestation (days)]]+0.5)/7)^2)*Table1[[#This Row],[BW40_3705]],"")</f>
        <v/>
      </c>
      <c r="G1386" s="2" t="str">
        <f>IF(Table1[[#This Row],[Is Data Valid]]=TRUE,((Table1[[#This Row],[Birthweight (grams)]]/Table1[[#This Row],[BW_GA]])-1)/(Backend!$B$4/100*Table1[[#This Row],[BW40_3705]]),"")</f>
        <v/>
      </c>
      <c r="H1386" s="7" t="str">
        <f>IF(Table1[[#This Row],[Is Data Valid]]=TRUE,((Table1[[#This Row],[Birthweight (grams)]]*0.9/Table1[[#This Row],[BW_GA]])-1)/(Backend!$B$4/100*Table1[[#This Row],[BW40_3705]]),"")</f>
        <v/>
      </c>
      <c r="I1386" s="7" t="str">
        <f>IF(Table1[[#This Row],[Is Data Valid]]=TRUE,((Table1[[#This Row],[Birthweight (grams)]]*1.1/Table1[[#This Row],[BW_GA]])-1)/(Backend!$B$4/100*Table1[[#This Row],[BW40_3705]]),"")</f>
        <v/>
      </c>
      <c r="J1386" s="7" t="str">
        <f>IF(Table1[[#This Row],[Is Data Valid]]=TRUE,_xlfn.NORM.S.DIST(Table1[[#This Row],[Birthweight Z-Score]],TRUE)*100,"")</f>
        <v/>
      </c>
      <c r="K1386" s="7" t="str">
        <f>IF(Table1[[#This Row],[Is Data Valid]]=TRUE,_xlfn.NORM.S.DIST(Table1[[#This Row],[Birthweight Z-Score (BW-10%)]],TRUE)*100,"")</f>
        <v/>
      </c>
      <c r="L1386" s="7" t="str">
        <f>IF(Table1[[#This Row],[Is Data Valid]]=TRUE,_xlfn.NORM.S.DIST(Table1[[#This Row],[Birthweight Z-Score (BW+10%)]],TRUE)*100,"")</f>
        <v/>
      </c>
    </row>
    <row r="1387" spans="1:12" x14ac:dyDescent="0.35">
      <c r="A1387" s="3"/>
      <c r="B1387" s="2"/>
      <c r="C1387" s="2"/>
      <c r="D1387" s="2" t="b">
        <f>IF(AND(NOT(ISBLANK(Table1[[#This Row],[Fetal Sex (Male, Female or Unknown)]])),ISNUMBER(Table1[[#This Row],[Birthweight (grams)]]),ISNUMBER(Table1[[#This Row],[Gestation (days)]])),TRUE,FALSE)</f>
        <v>0</v>
      </c>
      <c r="E1387" s="2" t="str">
        <f>IF(Table1[[#This Row],[Is Data Valid]]=TRUE,IF(Table1[[#This Row],[Fetal Sex (Male, Female or Unknown)]]="Male",Backend!$C$6,IF(Table1[[#This Row],[Fetal Sex (Male, Female or Unknown)]]="Female",Backend!$C$7,IF(Table1[[#This Row],[Fetal Sex (Male, Female or Unknown)]]="Unknown",Backend!$C$8,"Error"))),"")</f>
        <v/>
      </c>
      <c r="F1387" s="8" t="str">
        <f>IF(Table1[[#This Row],[Is Data Valid]]=TRUE,EXP(0.578+0.332*((Table1[[#This Row],[Gestation (days)]]+0.5)/7)-0.00354*((Table1[[#This Row],[Gestation (days)]]+0.5)/7)^2)*Table1[[#This Row],[BW40_3705]],"")</f>
        <v/>
      </c>
      <c r="G1387" s="2" t="str">
        <f>IF(Table1[[#This Row],[Is Data Valid]]=TRUE,((Table1[[#This Row],[Birthweight (grams)]]/Table1[[#This Row],[BW_GA]])-1)/(Backend!$B$4/100*Table1[[#This Row],[BW40_3705]]),"")</f>
        <v/>
      </c>
      <c r="H1387" s="7" t="str">
        <f>IF(Table1[[#This Row],[Is Data Valid]]=TRUE,((Table1[[#This Row],[Birthweight (grams)]]*0.9/Table1[[#This Row],[BW_GA]])-1)/(Backend!$B$4/100*Table1[[#This Row],[BW40_3705]]),"")</f>
        <v/>
      </c>
      <c r="I1387" s="7" t="str">
        <f>IF(Table1[[#This Row],[Is Data Valid]]=TRUE,((Table1[[#This Row],[Birthweight (grams)]]*1.1/Table1[[#This Row],[BW_GA]])-1)/(Backend!$B$4/100*Table1[[#This Row],[BW40_3705]]),"")</f>
        <v/>
      </c>
      <c r="J1387" s="7" t="str">
        <f>IF(Table1[[#This Row],[Is Data Valid]]=TRUE,_xlfn.NORM.S.DIST(Table1[[#This Row],[Birthweight Z-Score]],TRUE)*100,"")</f>
        <v/>
      </c>
      <c r="K1387" s="7" t="str">
        <f>IF(Table1[[#This Row],[Is Data Valid]]=TRUE,_xlfn.NORM.S.DIST(Table1[[#This Row],[Birthweight Z-Score (BW-10%)]],TRUE)*100,"")</f>
        <v/>
      </c>
      <c r="L1387" s="7" t="str">
        <f>IF(Table1[[#This Row],[Is Data Valid]]=TRUE,_xlfn.NORM.S.DIST(Table1[[#This Row],[Birthweight Z-Score (BW+10%)]],TRUE)*100,"")</f>
        <v/>
      </c>
    </row>
    <row r="1388" spans="1:12" x14ac:dyDescent="0.35">
      <c r="A1388" s="3"/>
      <c r="B1388" s="2"/>
      <c r="C1388" s="2"/>
      <c r="D1388" s="2" t="b">
        <f>IF(AND(NOT(ISBLANK(Table1[[#This Row],[Fetal Sex (Male, Female or Unknown)]])),ISNUMBER(Table1[[#This Row],[Birthweight (grams)]]),ISNUMBER(Table1[[#This Row],[Gestation (days)]])),TRUE,FALSE)</f>
        <v>0</v>
      </c>
      <c r="E1388" s="2" t="str">
        <f>IF(Table1[[#This Row],[Is Data Valid]]=TRUE,IF(Table1[[#This Row],[Fetal Sex (Male, Female or Unknown)]]="Male",Backend!$C$6,IF(Table1[[#This Row],[Fetal Sex (Male, Female or Unknown)]]="Female",Backend!$C$7,IF(Table1[[#This Row],[Fetal Sex (Male, Female or Unknown)]]="Unknown",Backend!$C$8,"Error"))),"")</f>
        <v/>
      </c>
      <c r="F1388" s="8" t="str">
        <f>IF(Table1[[#This Row],[Is Data Valid]]=TRUE,EXP(0.578+0.332*((Table1[[#This Row],[Gestation (days)]]+0.5)/7)-0.00354*((Table1[[#This Row],[Gestation (days)]]+0.5)/7)^2)*Table1[[#This Row],[BW40_3705]],"")</f>
        <v/>
      </c>
      <c r="G1388" s="2" t="str">
        <f>IF(Table1[[#This Row],[Is Data Valid]]=TRUE,((Table1[[#This Row],[Birthweight (grams)]]/Table1[[#This Row],[BW_GA]])-1)/(Backend!$B$4/100*Table1[[#This Row],[BW40_3705]]),"")</f>
        <v/>
      </c>
      <c r="H1388" s="7" t="str">
        <f>IF(Table1[[#This Row],[Is Data Valid]]=TRUE,((Table1[[#This Row],[Birthweight (grams)]]*0.9/Table1[[#This Row],[BW_GA]])-1)/(Backend!$B$4/100*Table1[[#This Row],[BW40_3705]]),"")</f>
        <v/>
      </c>
      <c r="I1388" s="7" t="str">
        <f>IF(Table1[[#This Row],[Is Data Valid]]=TRUE,((Table1[[#This Row],[Birthweight (grams)]]*1.1/Table1[[#This Row],[BW_GA]])-1)/(Backend!$B$4/100*Table1[[#This Row],[BW40_3705]]),"")</f>
        <v/>
      </c>
      <c r="J1388" s="7" t="str">
        <f>IF(Table1[[#This Row],[Is Data Valid]]=TRUE,_xlfn.NORM.S.DIST(Table1[[#This Row],[Birthweight Z-Score]],TRUE)*100,"")</f>
        <v/>
      </c>
      <c r="K1388" s="7" t="str">
        <f>IF(Table1[[#This Row],[Is Data Valid]]=TRUE,_xlfn.NORM.S.DIST(Table1[[#This Row],[Birthweight Z-Score (BW-10%)]],TRUE)*100,"")</f>
        <v/>
      </c>
      <c r="L1388" s="7" t="str">
        <f>IF(Table1[[#This Row],[Is Data Valid]]=TRUE,_xlfn.NORM.S.DIST(Table1[[#This Row],[Birthweight Z-Score (BW+10%)]],TRUE)*100,"")</f>
        <v/>
      </c>
    </row>
    <row r="1389" spans="1:12" x14ac:dyDescent="0.35">
      <c r="A1389" s="3"/>
      <c r="B1389" s="2"/>
      <c r="C1389" s="2"/>
      <c r="D1389" s="2" t="b">
        <f>IF(AND(NOT(ISBLANK(Table1[[#This Row],[Fetal Sex (Male, Female or Unknown)]])),ISNUMBER(Table1[[#This Row],[Birthweight (grams)]]),ISNUMBER(Table1[[#This Row],[Gestation (days)]])),TRUE,FALSE)</f>
        <v>0</v>
      </c>
      <c r="E1389" s="2" t="str">
        <f>IF(Table1[[#This Row],[Is Data Valid]]=TRUE,IF(Table1[[#This Row],[Fetal Sex (Male, Female or Unknown)]]="Male",Backend!$C$6,IF(Table1[[#This Row],[Fetal Sex (Male, Female or Unknown)]]="Female",Backend!$C$7,IF(Table1[[#This Row],[Fetal Sex (Male, Female or Unknown)]]="Unknown",Backend!$C$8,"Error"))),"")</f>
        <v/>
      </c>
      <c r="F1389" s="8" t="str">
        <f>IF(Table1[[#This Row],[Is Data Valid]]=TRUE,EXP(0.578+0.332*((Table1[[#This Row],[Gestation (days)]]+0.5)/7)-0.00354*((Table1[[#This Row],[Gestation (days)]]+0.5)/7)^2)*Table1[[#This Row],[BW40_3705]],"")</f>
        <v/>
      </c>
      <c r="G1389" s="2" t="str">
        <f>IF(Table1[[#This Row],[Is Data Valid]]=TRUE,((Table1[[#This Row],[Birthweight (grams)]]/Table1[[#This Row],[BW_GA]])-1)/(Backend!$B$4/100*Table1[[#This Row],[BW40_3705]]),"")</f>
        <v/>
      </c>
      <c r="H1389" s="7" t="str">
        <f>IF(Table1[[#This Row],[Is Data Valid]]=TRUE,((Table1[[#This Row],[Birthweight (grams)]]*0.9/Table1[[#This Row],[BW_GA]])-1)/(Backend!$B$4/100*Table1[[#This Row],[BW40_3705]]),"")</f>
        <v/>
      </c>
      <c r="I1389" s="7" t="str">
        <f>IF(Table1[[#This Row],[Is Data Valid]]=TRUE,((Table1[[#This Row],[Birthweight (grams)]]*1.1/Table1[[#This Row],[BW_GA]])-1)/(Backend!$B$4/100*Table1[[#This Row],[BW40_3705]]),"")</f>
        <v/>
      </c>
      <c r="J1389" s="7" t="str">
        <f>IF(Table1[[#This Row],[Is Data Valid]]=TRUE,_xlfn.NORM.S.DIST(Table1[[#This Row],[Birthweight Z-Score]],TRUE)*100,"")</f>
        <v/>
      </c>
      <c r="K1389" s="7" t="str">
        <f>IF(Table1[[#This Row],[Is Data Valid]]=TRUE,_xlfn.NORM.S.DIST(Table1[[#This Row],[Birthweight Z-Score (BW-10%)]],TRUE)*100,"")</f>
        <v/>
      </c>
      <c r="L1389" s="7" t="str">
        <f>IF(Table1[[#This Row],[Is Data Valid]]=TRUE,_xlfn.NORM.S.DIST(Table1[[#This Row],[Birthweight Z-Score (BW+10%)]],TRUE)*100,"")</f>
        <v/>
      </c>
    </row>
    <row r="1390" spans="1:12" x14ac:dyDescent="0.35">
      <c r="A1390" s="3"/>
      <c r="B1390" s="2"/>
      <c r="C1390" s="2"/>
      <c r="D1390" s="2" t="b">
        <f>IF(AND(NOT(ISBLANK(Table1[[#This Row],[Fetal Sex (Male, Female or Unknown)]])),ISNUMBER(Table1[[#This Row],[Birthweight (grams)]]),ISNUMBER(Table1[[#This Row],[Gestation (days)]])),TRUE,FALSE)</f>
        <v>0</v>
      </c>
      <c r="E1390" s="2" t="str">
        <f>IF(Table1[[#This Row],[Is Data Valid]]=TRUE,IF(Table1[[#This Row],[Fetal Sex (Male, Female or Unknown)]]="Male",Backend!$C$6,IF(Table1[[#This Row],[Fetal Sex (Male, Female or Unknown)]]="Female",Backend!$C$7,IF(Table1[[#This Row],[Fetal Sex (Male, Female or Unknown)]]="Unknown",Backend!$C$8,"Error"))),"")</f>
        <v/>
      </c>
      <c r="F1390" s="8" t="str">
        <f>IF(Table1[[#This Row],[Is Data Valid]]=TRUE,EXP(0.578+0.332*((Table1[[#This Row],[Gestation (days)]]+0.5)/7)-0.00354*((Table1[[#This Row],[Gestation (days)]]+0.5)/7)^2)*Table1[[#This Row],[BW40_3705]],"")</f>
        <v/>
      </c>
      <c r="G1390" s="2" t="str">
        <f>IF(Table1[[#This Row],[Is Data Valid]]=TRUE,((Table1[[#This Row],[Birthweight (grams)]]/Table1[[#This Row],[BW_GA]])-1)/(Backend!$B$4/100*Table1[[#This Row],[BW40_3705]]),"")</f>
        <v/>
      </c>
      <c r="H1390" s="7" t="str">
        <f>IF(Table1[[#This Row],[Is Data Valid]]=TRUE,((Table1[[#This Row],[Birthweight (grams)]]*0.9/Table1[[#This Row],[BW_GA]])-1)/(Backend!$B$4/100*Table1[[#This Row],[BW40_3705]]),"")</f>
        <v/>
      </c>
      <c r="I1390" s="7" t="str">
        <f>IF(Table1[[#This Row],[Is Data Valid]]=TRUE,((Table1[[#This Row],[Birthweight (grams)]]*1.1/Table1[[#This Row],[BW_GA]])-1)/(Backend!$B$4/100*Table1[[#This Row],[BW40_3705]]),"")</f>
        <v/>
      </c>
      <c r="J1390" s="7" t="str">
        <f>IF(Table1[[#This Row],[Is Data Valid]]=TRUE,_xlfn.NORM.S.DIST(Table1[[#This Row],[Birthweight Z-Score]],TRUE)*100,"")</f>
        <v/>
      </c>
      <c r="K1390" s="7" t="str">
        <f>IF(Table1[[#This Row],[Is Data Valid]]=TRUE,_xlfn.NORM.S.DIST(Table1[[#This Row],[Birthweight Z-Score (BW-10%)]],TRUE)*100,"")</f>
        <v/>
      </c>
      <c r="L1390" s="7" t="str">
        <f>IF(Table1[[#This Row],[Is Data Valid]]=TRUE,_xlfn.NORM.S.DIST(Table1[[#This Row],[Birthweight Z-Score (BW+10%)]],TRUE)*100,"")</f>
        <v/>
      </c>
    </row>
    <row r="1391" spans="1:12" x14ac:dyDescent="0.35">
      <c r="A1391" s="3"/>
      <c r="B1391" s="2"/>
      <c r="C1391" s="2"/>
      <c r="D1391" s="2" t="b">
        <f>IF(AND(NOT(ISBLANK(Table1[[#This Row],[Fetal Sex (Male, Female or Unknown)]])),ISNUMBER(Table1[[#This Row],[Birthweight (grams)]]),ISNUMBER(Table1[[#This Row],[Gestation (days)]])),TRUE,FALSE)</f>
        <v>0</v>
      </c>
      <c r="E1391" s="2" t="str">
        <f>IF(Table1[[#This Row],[Is Data Valid]]=TRUE,IF(Table1[[#This Row],[Fetal Sex (Male, Female or Unknown)]]="Male",Backend!$C$6,IF(Table1[[#This Row],[Fetal Sex (Male, Female or Unknown)]]="Female",Backend!$C$7,IF(Table1[[#This Row],[Fetal Sex (Male, Female or Unknown)]]="Unknown",Backend!$C$8,"Error"))),"")</f>
        <v/>
      </c>
      <c r="F1391" s="8" t="str">
        <f>IF(Table1[[#This Row],[Is Data Valid]]=TRUE,EXP(0.578+0.332*((Table1[[#This Row],[Gestation (days)]]+0.5)/7)-0.00354*((Table1[[#This Row],[Gestation (days)]]+0.5)/7)^2)*Table1[[#This Row],[BW40_3705]],"")</f>
        <v/>
      </c>
      <c r="G1391" s="2" t="str">
        <f>IF(Table1[[#This Row],[Is Data Valid]]=TRUE,((Table1[[#This Row],[Birthweight (grams)]]/Table1[[#This Row],[BW_GA]])-1)/(Backend!$B$4/100*Table1[[#This Row],[BW40_3705]]),"")</f>
        <v/>
      </c>
      <c r="H1391" s="7" t="str">
        <f>IF(Table1[[#This Row],[Is Data Valid]]=TRUE,((Table1[[#This Row],[Birthweight (grams)]]*0.9/Table1[[#This Row],[BW_GA]])-1)/(Backend!$B$4/100*Table1[[#This Row],[BW40_3705]]),"")</f>
        <v/>
      </c>
      <c r="I1391" s="7" t="str">
        <f>IF(Table1[[#This Row],[Is Data Valid]]=TRUE,((Table1[[#This Row],[Birthweight (grams)]]*1.1/Table1[[#This Row],[BW_GA]])-1)/(Backend!$B$4/100*Table1[[#This Row],[BW40_3705]]),"")</f>
        <v/>
      </c>
      <c r="J1391" s="7" t="str">
        <f>IF(Table1[[#This Row],[Is Data Valid]]=TRUE,_xlfn.NORM.S.DIST(Table1[[#This Row],[Birthweight Z-Score]],TRUE)*100,"")</f>
        <v/>
      </c>
      <c r="K1391" s="7" t="str">
        <f>IF(Table1[[#This Row],[Is Data Valid]]=TRUE,_xlfn.NORM.S.DIST(Table1[[#This Row],[Birthweight Z-Score (BW-10%)]],TRUE)*100,"")</f>
        <v/>
      </c>
      <c r="L1391" s="7" t="str">
        <f>IF(Table1[[#This Row],[Is Data Valid]]=TRUE,_xlfn.NORM.S.DIST(Table1[[#This Row],[Birthweight Z-Score (BW+10%)]],TRUE)*100,"")</f>
        <v/>
      </c>
    </row>
    <row r="1392" spans="1:12" x14ac:dyDescent="0.35">
      <c r="A1392" s="3"/>
      <c r="B1392" s="2"/>
      <c r="C1392" s="2"/>
      <c r="D1392" s="2" t="b">
        <f>IF(AND(NOT(ISBLANK(Table1[[#This Row],[Fetal Sex (Male, Female or Unknown)]])),ISNUMBER(Table1[[#This Row],[Birthweight (grams)]]),ISNUMBER(Table1[[#This Row],[Gestation (days)]])),TRUE,FALSE)</f>
        <v>0</v>
      </c>
      <c r="E1392" s="2" t="str">
        <f>IF(Table1[[#This Row],[Is Data Valid]]=TRUE,IF(Table1[[#This Row],[Fetal Sex (Male, Female or Unknown)]]="Male",Backend!$C$6,IF(Table1[[#This Row],[Fetal Sex (Male, Female or Unknown)]]="Female",Backend!$C$7,IF(Table1[[#This Row],[Fetal Sex (Male, Female or Unknown)]]="Unknown",Backend!$C$8,"Error"))),"")</f>
        <v/>
      </c>
      <c r="F1392" s="8" t="str">
        <f>IF(Table1[[#This Row],[Is Data Valid]]=TRUE,EXP(0.578+0.332*((Table1[[#This Row],[Gestation (days)]]+0.5)/7)-0.00354*((Table1[[#This Row],[Gestation (days)]]+0.5)/7)^2)*Table1[[#This Row],[BW40_3705]],"")</f>
        <v/>
      </c>
      <c r="G1392" s="2" t="str">
        <f>IF(Table1[[#This Row],[Is Data Valid]]=TRUE,((Table1[[#This Row],[Birthweight (grams)]]/Table1[[#This Row],[BW_GA]])-1)/(Backend!$B$4/100*Table1[[#This Row],[BW40_3705]]),"")</f>
        <v/>
      </c>
      <c r="H1392" s="7" t="str">
        <f>IF(Table1[[#This Row],[Is Data Valid]]=TRUE,((Table1[[#This Row],[Birthweight (grams)]]*0.9/Table1[[#This Row],[BW_GA]])-1)/(Backend!$B$4/100*Table1[[#This Row],[BW40_3705]]),"")</f>
        <v/>
      </c>
      <c r="I1392" s="7" t="str">
        <f>IF(Table1[[#This Row],[Is Data Valid]]=TRUE,((Table1[[#This Row],[Birthweight (grams)]]*1.1/Table1[[#This Row],[BW_GA]])-1)/(Backend!$B$4/100*Table1[[#This Row],[BW40_3705]]),"")</f>
        <v/>
      </c>
      <c r="J1392" s="7" t="str">
        <f>IF(Table1[[#This Row],[Is Data Valid]]=TRUE,_xlfn.NORM.S.DIST(Table1[[#This Row],[Birthweight Z-Score]],TRUE)*100,"")</f>
        <v/>
      </c>
      <c r="K1392" s="7" t="str">
        <f>IF(Table1[[#This Row],[Is Data Valid]]=TRUE,_xlfn.NORM.S.DIST(Table1[[#This Row],[Birthweight Z-Score (BW-10%)]],TRUE)*100,"")</f>
        <v/>
      </c>
      <c r="L1392" s="7" t="str">
        <f>IF(Table1[[#This Row],[Is Data Valid]]=TRUE,_xlfn.NORM.S.DIST(Table1[[#This Row],[Birthweight Z-Score (BW+10%)]],TRUE)*100,"")</f>
        <v/>
      </c>
    </row>
    <row r="1393" spans="1:12" x14ac:dyDescent="0.35">
      <c r="A1393" s="3"/>
      <c r="B1393" s="2"/>
      <c r="C1393" s="2"/>
      <c r="D1393" s="2" t="b">
        <f>IF(AND(NOT(ISBLANK(Table1[[#This Row],[Fetal Sex (Male, Female or Unknown)]])),ISNUMBER(Table1[[#This Row],[Birthweight (grams)]]),ISNUMBER(Table1[[#This Row],[Gestation (days)]])),TRUE,FALSE)</f>
        <v>0</v>
      </c>
      <c r="E1393" s="2" t="str">
        <f>IF(Table1[[#This Row],[Is Data Valid]]=TRUE,IF(Table1[[#This Row],[Fetal Sex (Male, Female or Unknown)]]="Male",Backend!$C$6,IF(Table1[[#This Row],[Fetal Sex (Male, Female or Unknown)]]="Female",Backend!$C$7,IF(Table1[[#This Row],[Fetal Sex (Male, Female or Unknown)]]="Unknown",Backend!$C$8,"Error"))),"")</f>
        <v/>
      </c>
      <c r="F1393" s="8" t="str">
        <f>IF(Table1[[#This Row],[Is Data Valid]]=TRUE,EXP(0.578+0.332*((Table1[[#This Row],[Gestation (days)]]+0.5)/7)-0.00354*((Table1[[#This Row],[Gestation (days)]]+0.5)/7)^2)*Table1[[#This Row],[BW40_3705]],"")</f>
        <v/>
      </c>
      <c r="G1393" s="2" t="str">
        <f>IF(Table1[[#This Row],[Is Data Valid]]=TRUE,((Table1[[#This Row],[Birthweight (grams)]]/Table1[[#This Row],[BW_GA]])-1)/(Backend!$B$4/100*Table1[[#This Row],[BW40_3705]]),"")</f>
        <v/>
      </c>
      <c r="H1393" s="7" t="str">
        <f>IF(Table1[[#This Row],[Is Data Valid]]=TRUE,((Table1[[#This Row],[Birthweight (grams)]]*0.9/Table1[[#This Row],[BW_GA]])-1)/(Backend!$B$4/100*Table1[[#This Row],[BW40_3705]]),"")</f>
        <v/>
      </c>
      <c r="I1393" s="7" t="str">
        <f>IF(Table1[[#This Row],[Is Data Valid]]=TRUE,((Table1[[#This Row],[Birthweight (grams)]]*1.1/Table1[[#This Row],[BW_GA]])-1)/(Backend!$B$4/100*Table1[[#This Row],[BW40_3705]]),"")</f>
        <v/>
      </c>
      <c r="J1393" s="7" t="str">
        <f>IF(Table1[[#This Row],[Is Data Valid]]=TRUE,_xlfn.NORM.S.DIST(Table1[[#This Row],[Birthweight Z-Score]],TRUE)*100,"")</f>
        <v/>
      </c>
      <c r="K1393" s="7" t="str">
        <f>IF(Table1[[#This Row],[Is Data Valid]]=TRUE,_xlfn.NORM.S.DIST(Table1[[#This Row],[Birthweight Z-Score (BW-10%)]],TRUE)*100,"")</f>
        <v/>
      </c>
      <c r="L1393" s="7" t="str">
        <f>IF(Table1[[#This Row],[Is Data Valid]]=TRUE,_xlfn.NORM.S.DIST(Table1[[#This Row],[Birthweight Z-Score (BW+10%)]],TRUE)*100,"")</f>
        <v/>
      </c>
    </row>
    <row r="1394" spans="1:12" x14ac:dyDescent="0.35">
      <c r="A1394" s="3"/>
      <c r="B1394" s="2"/>
      <c r="C1394" s="2"/>
      <c r="D1394" s="2" t="b">
        <f>IF(AND(NOT(ISBLANK(Table1[[#This Row],[Fetal Sex (Male, Female or Unknown)]])),ISNUMBER(Table1[[#This Row],[Birthweight (grams)]]),ISNUMBER(Table1[[#This Row],[Gestation (days)]])),TRUE,FALSE)</f>
        <v>0</v>
      </c>
      <c r="E1394" s="2" t="str">
        <f>IF(Table1[[#This Row],[Is Data Valid]]=TRUE,IF(Table1[[#This Row],[Fetal Sex (Male, Female or Unknown)]]="Male",Backend!$C$6,IF(Table1[[#This Row],[Fetal Sex (Male, Female or Unknown)]]="Female",Backend!$C$7,IF(Table1[[#This Row],[Fetal Sex (Male, Female or Unknown)]]="Unknown",Backend!$C$8,"Error"))),"")</f>
        <v/>
      </c>
      <c r="F1394" s="8" t="str">
        <f>IF(Table1[[#This Row],[Is Data Valid]]=TRUE,EXP(0.578+0.332*((Table1[[#This Row],[Gestation (days)]]+0.5)/7)-0.00354*((Table1[[#This Row],[Gestation (days)]]+0.5)/7)^2)*Table1[[#This Row],[BW40_3705]],"")</f>
        <v/>
      </c>
      <c r="G1394" s="2" t="str">
        <f>IF(Table1[[#This Row],[Is Data Valid]]=TRUE,((Table1[[#This Row],[Birthweight (grams)]]/Table1[[#This Row],[BW_GA]])-1)/(Backend!$B$4/100*Table1[[#This Row],[BW40_3705]]),"")</f>
        <v/>
      </c>
      <c r="H1394" s="7" t="str">
        <f>IF(Table1[[#This Row],[Is Data Valid]]=TRUE,((Table1[[#This Row],[Birthweight (grams)]]*0.9/Table1[[#This Row],[BW_GA]])-1)/(Backend!$B$4/100*Table1[[#This Row],[BW40_3705]]),"")</f>
        <v/>
      </c>
      <c r="I1394" s="7" t="str">
        <f>IF(Table1[[#This Row],[Is Data Valid]]=TRUE,((Table1[[#This Row],[Birthweight (grams)]]*1.1/Table1[[#This Row],[BW_GA]])-1)/(Backend!$B$4/100*Table1[[#This Row],[BW40_3705]]),"")</f>
        <v/>
      </c>
      <c r="J1394" s="7" t="str">
        <f>IF(Table1[[#This Row],[Is Data Valid]]=TRUE,_xlfn.NORM.S.DIST(Table1[[#This Row],[Birthweight Z-Score]],TRUE)*100,"")</f>
        <v/>
      </c>
      <c r="K1394" s="7" t="str">
        <f>IF(Table1[[#This Row],[Is Data Valid]]=TRUE,_xlfn.NORM.S.DIST(Table1[[#This Row],[Birthweight Z-Score (BW-10%)]],TRUE)*100,"")</f>
        <v/>
      </c>
      <c r="L1394" s="7" t="str">
        <f>IF(Table1[[#This Row],[Is Data Valid]]=TRUE,_xlfn.NORM.S.DIST(Table1[[#This Row],[Birthweight Z-Score (BW+10%)]],TRUE)*100,"")</f>
        <v/>
      </c>
    </row>
    <row r="1395" spans="1:12" x14ac:dyDescent="0.35">
      <c r="A1395" s="3"/>
      <c r="B1395" s="2"/>
      <c r="C1395" s="2"/>
      <c r="D1395" s="2" t="b">
        <f>IF(AND(NOT(ISBLANK(Table1[[#This Row],[Fetal Sex (Male, Female or Unknown)]])),ISNUMBER(Table1[[#This Row],[Birthweight (grams)]]),ISNUMBER(Table1[[#This Row],[Gestation (days)]])),TRUE,FALSE)</f>
        <v>0</v>
      </c>
      <c r="E1395" s="2" t="str">
        <f>IF(Table1[[#This Row],[Is Data Valid]]=TRUE,IF(Table1[[#This Row],[Fetal Sex (Male, Female or Unknown)]]="Male",Backend!$C$6,IF(Table1[[#This Row],[Fetal Sex (Male, Female or Unknown)]]="Female",Backend!$C$7,IF(Table1[[#This Row],[Fetal Sex (Male, Female or Unknown)]]="Unknown",Backend!$C$8,"Error"))),"")</f>
        <v/>
      </c>
      <c r="F1395" s="8" t="str">
        <f>IF(Table1[[#This Row],[Is Data Valid]]=TRUE,EXP(0.578+0.332*((Table1[[#This Row],[Gestation (days)]]+0.5)/7)-0.00354*((Table1[[#This Row],[Gestation (days)]]+0.5)/7)^2)*Table1[[#This Row],[BW40_3705]],"")</f>
        <v/>
      </c>
      <c r="G1395" s="2" t="str">
        <f>IF(Table1[[#This Row],[Is Data Valid]]=TRUE,((Table1[[#This Row],[Birthweight (grams)]]/Table1[[#This Row],[BW_GA]])-1)/(Backend!$B$4/100*Table1[[#This Row],[BW40_3705]]),"")</f>
        <v/>
      </c>
      <c r="H1395" s="7" t="str">
        <f>IF(Table1[[#This Row],[Is Data Valid]]=TRUE,((Table1[[#This Row],[Birthweight (grams)]]*0.9/Table1[[#This Row],[BW_GA]])-1)/(Backend!$B$4/100*Table1[[#This Row],[BW40_3705]]),"")</f>
        <v/>
      </c>
      <c r="I1395" s="7" t="str">
        <f>IF(Table1[[#This Row],[Is Data Valid]]=TRUE,((Table1[[#This Row],[Birthweight (grams)]]*1.1/Table1[[#This Row],[BW_GA]])-1)/(Backend!$B$4/100*Table1[[#This Row],[BW40_3705]]),"")</f>
        <v/>
      </c>
      <c r="J1395" s="7" t="str">
        <f>IF(Table1[[#This Row],[Is Data Valid]]=TRUE,_xlfn.NORM.S.DIST(Table1[[#This Row],[Birthweight Z-Score]],TRUE)*100,"")</f>
        <v/>
      </c>
      <c r="K1395" s="7" t="str">
        <f>IF(Table1[[#This Row],[Is Data Valid]]=TRUE,_xlfn.NORM.S.DIST(Table1[[#This Row],[Birthweight Z-Score (BW-10%)]],TRUE)*100,"")</f>
        <v/>
      </c>
      <c r="L1395" s="7" t="str">
        <f>IF(Table1[[#This Row],[Is Data Valid]]=TRUE,_xlfn.NORM.S.DIST(Table1[[#This Row],[Birthweight Z-Score (BW+10%)]],TRUE)*100,"")</f>
        <v/>
      </c>
    </row>
    <row r="1396" spans="1:12" x14ac:dyDescent="0.35">
      <c r="A1396" s="3"/>
      <c r="B1396" s="2"/>
      <c r="C1396" s="2"/>
      <c r="D1396" s="2" t="b">
        <f>IF(AND(NOT(ISBLANK(Table1[[#This Row],[Fetal Sex (Male, Female or Unknown)]])),ISNUMBER(Table1[[#This Row],[Birthweight (grams)]]),ISNUMBER(Table1[[#This Row],[Gestation (days)]])),TRUE,FALSE)</f>
        <v>0</v>
      </c>
      <c r="E1396" s="2" t="str">
        <f>IF(Table1[[#This Row],[Is Data Valid]]=TRUE,IF(Table1[[#This Row],[Fetal Sex (Male, Female or Unknown)]]="Male",Backend!$C$6,IF(Table1[[#This Row],[Fetal Sex (Male, Female or Unknown)]]="Female",Backend!$C$7,IF(Table1[[#This Row],[Fetal Sex (Male, Female or Unknown)]]="Unknown",Backend!$C$8,"Error"))),"")</f>
        <v/>
      </c>
      <c r="F1396" s="8" t="str">
        <f>IF(Table1[[#This Row],[Is Data Valid]]=TRUE,EXP(0.578+0.332*((Table1[[#This Row],[Gestation (days)]]+0.5)/7)-0.00354*((Table1[[#This Row],[Gestation (days)]]+0.5)/7)^2)*Table1[[#This Row],[BW40_3705]],"")</f>
        <v/>
      </c>
      <c r="G1396" s="2" t="str">
        <f>IF(Table1[[#This Row],[Is Data Valid]]=TRUE,((Table1[[#This Row],[Birthweight (grams)]]/Table1[[#This Row],[BW_GA]])-1)/(Backend!$B$4/100*Table1[[#This Row],[BW40_3705]]),"")</f>
        <v/>
      </c>
      <c r="H1396" s="7" t="str">
        <f>IF(Table1[[#This Row],[Is Data Valid]]=TRUE,((Table1[[#This Row],[Birthweight (grams)]]*0.9/Table1[[#This Row],[BW_GA]])-1)/(Backend!$B$4/100*Table1[[#This Row],[BW40_3705]]),"")</f>
        <v/>
      </c>
      <c r="I1396" s="7" t="str">
        <f>IF(Table1[[#This Row],[Is Data Valid]]=TRUE,((Table1[[#This Row],[Birthweight (grams)]]*1.1/Table1[[#This Row],[BW_GA]])-1)/(Backend!$B$4/100*Table1[[#This Row],[BW40_3705]]),"")</f>
        <v/>
      </c>
      <c r="J1396" s="7" t="str">
        <f>IF(Table1[[#This Row],[Is Data Valid]]=TRUE,_xlfn.NORM.S.DIST(Table1[[#This Row],[Birthweight Z-Score]],TRUE)*100,"")</f>
        <v/>
      </c>
      <c r="K1396" s="7" t="str">
        <f>IF(Table1[[#This Row],[Is Data Valid]]=TRUE,_xlfn.NORM.S.DIST(Table1[[#This Row],[Birthweight Z-Score (BW-10%)]],TRUE)*100,"")</f>
        <v/>
      </c>
      <c r="L1396" s="7" t="str">
        <f>IF(Table1[[#This Row],[Is Data Valid]]=TRUE,_xlfn.NORM.S.DIST(Table1[[#This Row],[Birthweight Z-Score (BW+10%)]],TRUE)*100,"")</f>
        <v/>
      </c>
    </row>
    <row r="1397" spans="1:12" x14ac:dyDescent="0.35">
      <c r="A1397" s="3"/>
      <c r="B1397" s="2"/>
      <c r="C1397" s="2"/>
      <c r="D1397" s="2" t="b">
        <f>IF(AND(NOT(ISBLANK(Table1[[#This Row],[Fetal Sex (Male, Female or Unknown)]])),ISNUMBER(Table1[[#This Row],[Birthweight (grams)]]),ISNUMBER(Table1[[#This Row],[Gestation (days)]])),TRUE,FALSE)</f>
        <v>0</v>
      </c>
      <c r="E1397" s="2" t="str">
        <f>IF(Table1[[#This Row],[Is Data Valid]]=TRUE,IF(Table1[[#This Row],[Fetal Sex (Male, Female or Unknown)]]="Male",Backend!$C$6,IF(Table1[[#This Row],[Fetal Sex (Male, Female or Unknown)]]="Female",Backend!$C$7,IF(Table1[[#This Row],[Fetal Sex (Male, Female or Unknown)]]="Unknown",Backend!$C$8,"Error"))),"")</f>
        <v/>
      </c>
      <c r="F1397" s="8" t="str">
        <f>IF(Table1[[#This Row],[Is Data Valid]]=TRUE,EXP(0.578+0.332*((Table1[[#This Row],[Gestation (days)]]+0.5)/7)-0.00354*((Table1[[#This Row],[Gestation (days)]]+0.5)/7)^2)*Table1[[#This Row],[BW40_3705]],"")</f>
        <v/>
      </c>
      <c r="G1397" s="2" t="str">
        <f>IF(Table1[[#This Row],[Is Data Valid]]=TRUE,((Table1[[#This Row],[Birthweight (grams)]]/Table1[[#This Row],[BW_GA]])-1)/(Backend!$B$4/100*Table1[[#This Row],[BW40_3705]]),"")</f>
        <v/>
      </c>
      <c r="H1397" s="7" t="str">
        <f>IF(Table1[[#This Row],[Is Data Valid]]=TRUE,((Table1[[#This Row],[Birthweight (grams)]]*0.9/Table1[[#This Row],[BW_GA]])-1)/(Backend!$B$4/100*Table1[[#This Row],[BW40_3705]]),"")</f>
        <v/>
      </c>
      <c r="I1397" s="7" t="str">
        <f>IF(Table1[[#This Row],[Is Data Valid]]=TRUE,((Table1[[#This Row],[Birthweight (grams)]]*1.1/Table1[[#This Row],[BW_GA]])-1)/(Backend!$B$4/100*Table1[[#This Row],[BW40_3705]]),"")</f>
        <v/>
      </c>
      <c r="J1397" s="7" t="str">
        <f>IF(Table1[[#This Row],[Is Data Valid]]=TRUE,_xlfn.NORM.S.DIST(Table1[[#This Row],[Birthweight Z-Score]],TRUE)*100,"")</f>
        <v/>
      </c>
      <c r="K1397" s="7" t="str">
        <f>IF(Table1[[#This Row],[Is Data Valid]]=TRUE,_xlfn.NORM.S.DIST(Table1[[#This Row],[Birthweight Z-Score (BW-10%)]],TRUE)*100,"")</f>
        <v/>
      </c>
      <c r="L1397" s="7" t="str">
        <f>IF(Table1[[#This Row],[Is Data Valid]]=TRUE,_xlfn.NORM.S.DIST(Table1[[#This Row],[Birthweight Z-Score (BW+10%)]],TRUE)*100,"")</f>
        <v/>
      </c>
    </row>
    <row r="1398" spans="1:12" x14ac:dyDescent="0.35">
      <c r="A1398" s="3"/>
      <c r="B1398" s="2"/>
      <c r="C1398" s="2"/>
      <c r="D1398" s="2" t="b">
        <f>IF(AND(NOT(ISBLANK(Table1[[#This Row],[Fetal Sex (Male, Female or Unknown)]])),ISNUMBER(Table1[[#This Row],[Birthweight (grams)]]),ISNUMBER(Table1[[#This Row],[Gestation (days)]])),TRUE,FALSE)</f>
        <v>0</v>
      </c>
      <c r="E1398" s="2" t="str">
        <f>IF(Table1[[#This Row],[Is Data Valid]]=TRUE,IF(Table1[[#This Row],[Fetal Sex (Male, Female or Unknown)]]="Male",Backend!$C$6,IF(Table1[[#This Row],[Fetal Sex (Male, Female or Unknown)]]="Female",Backend!$C$7,IF(Table1[[#This Row],[Fetal Sex (Male, Female or Unknown)]]="Unknown",Backend!$C$8,"Error"))),"")</f>
        <v/>
      </c>
      <c r="F1398" s="8" t="str">
        <f>IF(Table1[[#This Row],[Is Data Valid]]=TRUE,EXP(0.578+0.332*((Table1[[#This Row],[Gestation (days)]]+0.5)/7)-0.00354*((Table1[[#This Row],[Gestation (days)]]+0.5)/7)^2)*Table1[[#This Row],[BW40_3705]],"")</f>
        <v/>
      </c>
      <c r="G1398" s="2" t="str">
        <f>IF(Table1[[#This Row],[Is Data Valid]]=TRUE,((Table1[[#This Row],[Birthweight (grams)]]/Table1[[#This Row],[BW_GA]])-1)/(Backend!$B$4/100*Table1[[#This Row],[BW40_3705]]),"")</f>
        <v/>
      </c>
      <c r="H1398" s="7" t="str">
        <f>IF(Table1[[#This Row],[Is Data Valid]]=TRUE,((Table1[[#This Row],[Birthweight (grams)]]*0.9/Table1[[#This Row],[BW_GA]])-1)/(Backend!$B$4/100*Table1[[#This Row],[BW40_3705]]),"")</f>
        <v/>
      </c>
      <c r="I1398" s="7" t="str">
        <f>IF(Table1[[#This Row],[Is Data Valid]]=TRUE,((Table1[[#This Row],[Birthweight (grams)]]*1.1/Table1[[#This Row],[BW_GA]])-1)/(Backend!$B$4/100*Table1[[#This Row],[BW40_3705]]),"")</f>
        <v/>
      </c>
      <c r="J1398" s="7" t="str">
        <f>IF(Table1[[#This Row],[Is Data Valid]]=TRUE,_xlfn.NORM.S.DIST(Table1[[#This Row],[Birthweight Z-Score]],TRUE)*100,"")</f>
        <v/>
      </c>
      <c r="K1398" s="7" t="str">
        <f>IF(Table1[[#This Row],[Is Data Valid]]=TRUE,_xlfn.NORM.S.DIST(Table1[[#This Row],[Birthweight Z-Score (BW-10%)]],TRUE)*100,"")</f>
        <v/>
      </c>
      <c r="L1398" s="7" t="str">
        <f>IF(Table1[[#This Row],[Is Data Valid]]=TRUE,_xlfn.NORM.S.DIST(Table1[[#This Row],[Birthweight Z-Score (BW+10%)]],TRUE)*100,"")</f>
        <v/>
      </c>
    </row>
    <row r="1399" spans="1:12" x14ac:dyDescent="0.35">
      <c r="A1399" s="3"/>
      <c r="B1399" s="2"/>
      <c r="C1399" s="2"/>
      <c r="D1399" s="2" t="b">
        <f>IF(AND(NOT(ISBLANK(Table1[[#This Row],[Fetal Sex (Male, Female or Unknown)]])),ISNUMBER(Table1[[#This Row],[Birthweight (grams)]]),ISNUMBER(Table1[[#This Row],[Gestation (days)]])),TRUE,FALSE)</f>
        <v>0</v>
      </c>
      <c r="E1399" s="2" t="str">
        <f>IF(Table1[[#This Row],[Is Data Valid]]=TRUE,IF(Table1[[#This Row],[Fetal Sex (Male, Female or Unknown)]]="Male",Backend!$C$6,IF(Table1[[#This Row],[Fetal Sex (Male, Female or Unknown)]]="Female",Backend!$C$7,IF(Table1[[#This Row],[Fetal Sex (Male, Female or Unknown)]]="Unknown",Backend!$C$8,"Error"))),"")</f>
        <v/>
      </c>
      <c r="F1399" s="8" t="str">
        <f>IF(Table1[[#This Row],[Is Data Valid]]=TRUE,EXP(0.578+0.332*((Table1[[#This Row],[Gestation (days)]]+0.5)/7)-0.00354*((Table1[[#This Row],[Gestation (days)]]+0.5)/7)^2)*Table1[[#This Row],[BW40_3705]],"")</f>
        <v/>
      </c>
      <c r="G1399" s="2" t="str">
        <f>IF(Table1[[#This Row],[Is Data Valid]]=TRUE,((Table1[[#This Row],[Birthweight (grams)]]/Table1[[#This Row],[BW_GA]])-1)/(Backend!$B$4/100*Table1[[#This Row],[BW40_3705]]),"")</f>
        <v/>
      </c>
      <c r="H1399" s="7" t="str">
        <f>IF(Table1[[#This Row],[Is Data Valid]]=TRUE,((Table1[[#This Row],[Birthweight (grams)]]*0.9/Table1[[#This Row],[BW_GA]])-1)/(Backend!$B$4/100*Table1[[#This Row],[BW40_3705]]),"")</f>
        <v/>
      </c>
      <c r="I1399" s="7" t="str">
        <f>IF(Table1[[#This Row],[Is Data Valid]]=TRUE,((Table1[[#This Row],[Birthweight (grams)]]*1.1/Table1[[#This Row],[BW_GA]])-1)/(Backend!$B$4/100*Table1[[#This Row],[BW40_3705]]),"")</f>
        <v/>
      </c>
      <c r="J1399" s="7" t="str">
        <f>IF(Table1[[#This Row],[Is Data Valid]]=TRUE,_xlfn.NORM.S.DIST(Table1[[#This Row],[Birthweight Z-Score]],TRUE)*100,"")</f>
        <v/>
      </c>
      <c r="K1399" s="7" t="str">
        <f>IF(Table1[[#This Row],[Is Data Valid]]=TRUE,_xlfn.NORM.S.DIST(Table1[[#This Row],[Birthweight Z-Score (BW-10%)]],TRUE)*100,"")</f>
        <v/>
      </c>
      <c r="L1399" s="7" t="str">
        <f>IF(Table1[[#This Row],[Is Data Valid]]=TRUE,_xlfn.NORM.S.DIST(Table1[[#This Row],[Birthweight Z-Score (BW+10%)]],TRUE)*100,"")</f>
        <v/>
      </c>
    </row>
    <row r="1400" spans="1:12" x14ac:dyDescent="0.35">
      <c r="A1400" s="3"/>
      <c r="B1400" s="2"/>
      <c r="C1400" s="2"/>
      <c r="D1400" s="2" t="b">
        <f>IF(AND(NOT(ISBLANK(Table1[[#This Row],[Fetal Sex (Male, Female or Unknown)]])),ISNUMBER(Table1[[#This Row],[Birthweight (grams)]]),ISNUMBER(Table1[[#This Row],[Gestation (days)]])),TRUE,FALSE)</f>
        <v>0</v>
      </c>
      <c r="E1400" s="2" t="str">
        <f>IF(Table1[[#This Row],[Is Data Valid]]=TRUE,IF(Table1[[#This Row],[Fetal Sex (Male, Female or Unknown)]]="Male",Backend!$C$6,IF(Table1[[#This Row],[Fetal Sex (Male, Female or Unknown)]]="Female",Backend!$C$7,IF(Table1[[#This Row],[Fetal Sex (Male, Female or Unknown)]]="Unknown",Backend!$C$8,"Error"))),"")</f>
        <v/>
      </c>
      <c r="F1400" s="8" t="str">
        <f>IF(Table1[[#This Row],[Is Data Valid]]=TRUE,EXP(0.578+0.332*((Table1[[#This Row],[Gestation (days)]]+0.5)/7)-0.00354*((Table1[[#This Row],[Gestation (days)]]+0.5)/7)^2)*Table1[[#This Row],[BW40_3705]],"")</f>
        <v/>
      </c>
      <c r="G1400" s="2" t="str">
        <f>IF(Table1[[#This Row],[Is Data Valid]]=TRUE,((Table1[[#This Row],[Birthweight (grams)]]/Table1[[#This Row],[BW_GA]])-1)/(Backend!$B$4/100*Table1[[#This Row],[BW40_3705]]),"")</f>
        <v/>
      </c>
      <c r="H1400" s="7" t="str">
        <f>IF(Table1[[#This Row],[Is Data Valid]]=TRUE,((Table1[[#This Row],[Birthweight (grams)]]*0.9/Table1[[#This Row],[BW_GA]])-1)/(Backend!$B$4/100*Table1[[#This Row],[BW40_3705]]),"")</f>
        <v/>
      </c>
      <c r="I1400" s="7" t="str">
        <f>IF(Table1[[#This Row],[Is Data Valid]]=TRUE,((Table1[[#This Row],[Birthweight (grams)]]*1.1/Table1[[#This Row],[BW_GA]])-1)/(Backend!$B$4/100*Table1[[#This Row],[BW40_3705]]),"")</f>
        <v/>
      </c>
      <c r="J1400" s="7" t="str">
        <f>IF(Table1[[#This Row],[Is Data Valid]]=TRUE,_xlfn.NORM.S.DIST(Table1[[#This Row],[Birthweight Z-Score]],TRUE)*100,"")</f>
        <v/>
      </c>
      <c r="K1400" s="7" t="str">
        <f>IF(Table1[[#This Row],[Is Data Valid]]=TRUE,_xlfn.NORM.S.DIST(Table1[[#This Row],[Birthweight Z-Score (BW-10%)]],TRUE)*100,"")</f>
        <v/>
      </c>
      <c r="L1400" s="7" t="str">
        <f>IF(Table1[[#This Row],[Is Data Valid]]=TRUE,_xlfn.NORM.S.DIST(Table1[[#This Row],[Birthweight Z-Score (BW+10%)]],TRUE)*100,"")</f>
        <v/>
      </c>
    </row>
    <row r="1401" spans="1:12" x14ac:dyDescent="0.35">
      <c r="A1401" s="3"/>
      <c r="B1401" s="2"/>
      <c r="C1401" s="2"/>
      <c r="D1401" s="2" t="b">
        <f>IF(AND(NOT(ISBLANK(Table1[[#This Row],[Fetal Sex (Male, Female or Unknown)]])),ISNUMBER(Table1[[#This Row],[Birthweight (grams)]]),ISNUMBER(Table1[[#This Row],[Gestation (days)]])),TRUE,FALSE)</f>
        <v>0</v>
      </c>
      <c r="E1401" s="2" t="str">
        <f>IF(Table1[[#This Row],[Is Data Valid]]=TRUE,IF(Table1[[#This Row],[Fetal Sex (Male, Female or Unknown)]]="Male",Backend!$C$6,IF(Table1[[#This Row],[Fetal Sex (Male, Female or Unknown)]]="Female",Backend!$C$7,IF(Table1[[#This Row],[Fetal Sex (Male, Female or Unknown)]]="Unknown",Backend!$C$8,"Error"))),"")</f>
        <v/>
      </c>
      <c r="F1401" s="8" t="str">
        <f>IF(Table1[[#This Row],[Is Data Valid]]=TRUE,EXP(0.578+0.332*((Table1[[#This Row],[Gestation (days)]]+0.5)/7)-0.00354*((Table1[[#This Row],[Gestation (days)]]+0.5)/7)^2)*Table1[[#This Row],[BW40_3705]],"")</f>
        <v/>
      </c>
      <c r="G1401" s="2" t="str">
        <f>IF(Table1[[#This Row],[Is Data Valid]]=TRUE,((Table1[[#This Row],[Birthweight (grams)]]/Table1[[#This Row],[BW_GA]])-1)/(Backend!$B$4/100*Table1[[#This Row],[BW40_3705]]),"")</f>
        <v/>
      </c>
      <c r="H1401" s="7" t="str">
        <f>IF(Table1[[#This Row],[Is Data Valid]]=TRUE,((Table1[[#This Row],[Birthweight (grams)]]*0.9/Table1[[#This Row],[BW_GA]])-1)/(Backend!$B$4/100*Table1[[#This Row],[BW40_3705]]),"")</f>
        <v/>
      </c>
      <c r="I1401" s="7" t="str">
        <f>IF(Table1[[#This Row],[Is Data Valid]]=TRUE,((Table1[[#This Row],[Birthweight (grams)]]*1.1/Table1[[#This Row],[BW_GA]])-1)/(Backend!$B$4/100*Table1[[#This Row],[BW40_3705]]),"")</f>
        <v/>
      </c>
      <c r="J1401" s="7" t="str">
        <f>IF(Table1[[#This Row],[Is Data Valid]]=TRUE,_xlfn.NORM.S.DIST(Table1[[#This Row],[Birthweight Z-Score]],TRUE)*100,"")</f>
        <v/>
      </c>
      <c r="K1401" s="7" t="str">
        <f>IF(Table1[[#This Row],[Is Data Valid]]=TRUE,_xlfn.NORM.S.DIST(Table1[[#This Row],[Birthweight Z-Score (BW-10%)]],TRUE)*100,"")</f>
        <v/>
      </c>
      <c r="L1401" s="7" t="str">
        <f>IF(Table1[[#This Row],[Is Data Valid]]=TRUE,_xlfn.NORM.S.DIST(Table1[[#This Row],[Birthweight Z-Score (BW+10%)]],TRUE)*100,"")</f>
        <v/>
      </c>
    </row>
    <row r="1402" spans="1:12" x14ac:dyDescent="0.35">
      <c r="A1402" s="3"/>
      <c r="B1402" s="2"/>
      <c r="C1402" s="2"/>
      <c r="D1402" s="2" t="b">
        <f>IF(AND(NOT(ISBLANK(Table1[[#This Row],[Fetal Sex (Male, Female or Unknown)]])),ISNUMBER(Table1[[#This Row],[Birthweight (grams)]]),ISNUMBER(Table1[[#This Row],[Gestation (days)]])),TRUE,FALSE)</f>
        <v>0</v>
      </c>
      <c r="E1402" s="2" t="str">
        <f>IF(Table1[[#This Row],[Is Data Valid]]=TRUE,IF(Table1[[#This Row],[Fetal Sex (Male, Female or Unknown)]]="Male",Backend!$C$6,IF(Table1[[#This Row],[Fetal Sex (Male, Female or Unknown)]]="Female",Backend!$C$7,IF(Table1[[#This Row],[Fetal Sex (Male, Female or Unknown)]]="Unknown",Backend!$C$8,"Error"))),"")</f>
        <v/>
      </c>
      <c r="F1402" s="8" t="str">
        <f>IF(Table1[[#This Row],[Is Data Valid]]=TRUE,EXP(0.578+0.332*((Table1[[#This Row],[Gestation (days)]]+0.5)/7)-0.00354*((Table1[[#This Row],[Gestation (days)]]+0.5)/7)^2)*Table1[[#This Row],[BW40_3705]],"")</f>
        <v/>
      </c>
      <c r="G1402" s="2" t="str">
        <f>IF(Table1[[#This Row],[Is Data Valid]]=TRUE,((Table1[[#This Row],[Birthweight (grams)]]/Table1[[#This Row],[BW_GA]])-1)/(Backend!$B$4/100*Table1[[#This Row],[BW40_3705]]),"")</f>
        <v/>
      </c>
      <c r="H1402" s="7" t="str">
        <f>IF(Table1[[#This Row],[Is Data Valid]]=TRUE,((Table1[[#This Row],[Birthweight (grams)]]*0.9/Table1[[#This Row],[BW_GA]])-1)/(Backend!$B$4/100*Table1[[#This Row],[BW40_3705]]),"")</f>
        <v/>
      </c>
      <c r="I1402" s="7" t="str">
        <f>IF(Table1[[#This Row],[Is Data Valid]]=TRUE,((Table1[[#This Row],[Birthweight (grams)]]*1.1/Table1[[#This Row],[BW_GA]])-1)/(Backend!$B$4/100*Table1[[#This Row],[BW40_3705]]),"")</f>
        <v/>
      </c>
      <c r="J1402" s="7" t="str">
        <f>IF(Table1[[#This Row],[Is Data Valid]]=TRUE,_xlfn.NORM.S.DIST(Table1[[#This Row],[Birthweight Z-Score]],TRUE)*100,"")</f>
        <v/>
      </c>
      <c r="K1402" s="7" t="str">
        <f>IF(Table1[[#This Row],[Is Data Valid]]=TRUE,_xlfn.NORM.S.DIST(Table1[[#This Row],[Birthweight Z-Score (BW-10%)]],TRUE)*100,"")</f>
        <v/>
      </c>
      <c r="L1402" s="7" t="str">
        <f>IF(Table1[[#This Row],[Is Data Valid]]=TRUE,_xlfn.NORM.S.DIST(Table1[[#This Row],[Birthweight Z-Score (BW+10%)]],TRUE)*100,"")</f>
        <v/>
      </c>
    </row>
    <row r="1403" spans="1:12" x14ac:dyDescent="0.35">
      <c r="A1403" s="3"/>
      <c r="B1403" s="2"/>
      <c r="C1403" s="2"/>
      <c r="D1403" s="2" t="b">
        <f>IF(AND(NOT(ISBLANK(Table1[[#This Row],[Fetal Sex (Male, Female or Unknown)]])),ISNUMBER(Table1[[#This Row],[Birthweight (grams)]]),ISNUMBER(Table1[[#This Row],[Gestation (days)]])),TRUE,FALSE)</f>
        <v>0</v>
      </c>
      <c r="E1403" s="2" t="str">
        <f>IF(Table1[[#This Row],[Is Data Valid]]=TRUE,IF(Table1[[#This Row],[Fetal Sex (Male, Female or Unknown)]]="Male",Backend!$C$6,IF(Table1[[#This Row],[Fetal Sex (Male, Female or Unknown)]]="Female",Backend!$C$7,IF(Table1[[#This Row],[Fetal Sex (Male, Female or Unknown)]]="Unknown",Backend!$C$8,"Error"))),"")</f>
        <v/>
      </c>
      <c r="F1403" s="8" t="str">
        <f>IF(Table1[[#This Row],[Is Data Valid]]=TRUE,EXP(0.578+0.332*((Table1[[#This Row],[Gestation (days)]]+0.5)/7)-0.00354*((Table1[[#This Row],[Gestation (days)]]+0.5)/7)^2)*Table1[[#This Row],[BW40_3705]],"")</f>
        <v/>
      </c>
      <c r="G1403" s="2" t="str">
        <f>IF(Table1[[#This Row],[Is Data Valid]]=TRUE,((Table1[[#This Row],[Birthweight (grams)]]/Table1[[#This Row],[BW_GA]])-1)/(Backend!$B$4/100*Table1[[#This Row],[BW40_3705]]),"")</f>
        <v/>
      </c>
      <c r="H1403" s="7" t="str">
        <f>IF(Table1[[#This Row],[Is Data Valid]]=TRUE,((Table1[[#This Row],[Birthweight (grams)]]*0.9/Table1[[#This Row],[BW_GA]])-1)/(Backend!$B$4/100*Table1[[#This Row],[BW40_3705]]),"")</f>
        <v/>
      </c>
      <c r="I1403" s="7" t="str">
        <f>IF(Table1[[#This Row],[Is Data Valid]]=TRUE,((Table1[[#This Row],[Birthweight (grams)]]*1.1/Table1[[#This Row],[BW_GA]])-1)/(Backend!$B$4/100*Table1[[#This Row],[BW40_3705]]),"")</f>
        <v/>
      </c>
      <c r="J1403" s="7" t="str">
        <f>IF(Table1[[#This Row],[Is Data Valid]]=TRUE,_xlfn.NORM.S.DIST(Table1[[#This Row],[Birthweight Z-Score]],TRUE)*100,"")</f>
        <v/>
      </c>
      <c r="K1403" s="7" t="str">
        <f>IF(Table1[[#This Row],[Is Data Valid]]=TRUE,_xlfn.NORM.S.DIST(Table1[[#This Row],[Birthweight Z-Score (BW-10%)]],TRUE)*100,"")</f>
        <v/>
      </c>
      <c r="L1403" s="7" t="str">
        <f>IF(Table1[[#This Row],[Is Data Valid]]=TRUE,_xlfn.NORM.S.DIST(Table1[[#This Row],[Birthweight Z-Score (BW+10%)]],TRUE)*100,"")</f>
        <v/>
      </c>
    </row>
    <row r="1404" spans="1:12" x14ac:dyDescent="0.35">
      <c r="A1404" s="3"/>
      <c r="B1404" s="2"/>
      <c r="C1404" s="2"/>
      <c r="D1404" s="2" t="b">
        <f>IF(AND(NOT(ISBLANK(Table1[[#This Row],[Fetal Sex (Male, Female or Unknown)]])),ISNUMBER(Table1[[#This Row],[Birthweight (grams)]]),ISNUMBER(Table1[[#This Row],[Gestation (days)]])),TRUE,FALSE)</f>
        <v>0</v>
      </c>
      <c r="E1404" s="2" t="str">
        <f>IF(Table1[[#This Row],[Is Data Valid]]=TRUE,IF(Table1[[#This Row],[Fetal Sex (Male, Female or Unknown)]]="Male",Backend!$C$6,IF(Table1[[#This Row],[Fetal Sex (Male, Female or Unknown)]]="Female",Backend!$C$7,IF(Table1[[#This Row],[Fetal Sex (Male, Female or Unknown)]]="Unknown",Backend!$C$8,"Error"))),"")</f>
        <v/>
      </c>
      <c r="F1404" s="8" t="str">
        <f>IF(Table1[[#This Row],[Is Data Valid]]=TRUE,EXP(0.578+0.332*((Table1[[#This Row],[Gestation (days)]]+0.5)/7)-0.00354*((Table1[[#This Row],[Gestation (days)]]+0.5)/7)^2)*Table1[[#This Row],[BW40_3705]],"")</f>
        <v/>
      </c>
      <c r="G1404" s="2" t="str">
        <f>IF(Table1[[#This Row],[Is Data Valid]]=TRUE,((Table1[[#This Row],[Birthweight (grams)]]/Table1[[#This Row],[BW_GA]])-1)/(Backend!$B$4/100*Table1[[#This Row],[BW40_3705]]),"")</f>
        <v/>
      </c>
      <c r="H1404" s="7" t="str">
        <f>IF(Table1[[#This Row],[Is Data Valid]]=TRUE,((Table1[[#This Row],[Birthweight (grams)]]*0.9/Table1[[#This Row],[BW_GA]])-1)/(Backend!$B$4/100*Table1[[#This Row],[BW40_3705]]),"")</f>
        <v/>
      </c>
      <c r="I1404" s="7" t="str">
        <f>IF(Table1[[#This Row],[Is Data Valid]]=TRUE,((Table1[[#This Row],[Birthweight (grams)]]*1.1/Table1[[#This Row],[BW_GA]])-1)/(Backend!$B$4/100*Table1[[#This Row],[BW40_3705]]),"")</f>
        <v/>
      </c>
      <c r="J1404" s="7" t="str">
        <f>IF(Table1[[#This Row],[Is Data Valid]]=TRUE,_xlfn.NORM.S.DIST(Table1[[#This Row],[Birthweight Z-Score]],TRUE)*100,"")</f>
        <v/>
      </c>
      <c r="K1404" s="7" t="str">
        <f>IF(Table1[[#This Row],[Is Data Valid]]=TRUE,_xlfn.NORM.S.DIST(Table1[[#This Row],[Birthweight Z-Score (BW-10%)]],TRUE)*100,"")</f>
        <v/>
      </c>
      <c r="L1404" s="7" t="str">
        <f>IF(Table1[[#This Row],[Is Data Valid]]=TRUE,_xlfn.NORM.S.DIST(Table1[[#This Row],[Birthweight Z-Score (BW+10%)]],TRUE)*100,"")</f>
        <v/>
      </c>
    </row>
    <row r="1405" spans="1:12" x14ac:dyDescent="0.35">
      <c r="A1405" s="3"/>
      <c r="B1405" s="2"/>
      <c r="C1405" s="2"/>
      <c r="D1405" s="2" t="b">
        <f>IF(AND(NOT(ISBLANK(Table1[[#This Row],[Fetal Sex (Male, Female or Unknown)]])),ISNUMBER(Table1[[#This Row],[Birthweight (grams)]]),ISNUMBER(Table1[[#This Row],[Gestation (days)]])),TRUE,FALSE)</f>
        <v>0</v>
      </c>
      <c r="E1405" s="2" t="str">
        <f>IF(Table1[[#This Row],[Is Data Valid]]=TRUE,IF(Table1[[#This Row],[Fetal Sex (Male, Female or Unknown)]]="Male",Backend!$C$6,IF(Table1[[#This Row],[Fetal Sex (Male, Female or Unknown)]]="Female",Backend!$C$7,IF(Table1[[#This Row],[Fetal Sex (Male, Female or Unknown)]]="Unknown",Backend!$C$8,"Error"))),"")</f>
        <v/>
      </c>
      <c r="F1405" s="8" t="str">
        <f>IF(Table1[[#This Row],[Is Data Valid]]=TRUE,EXP(0.578+0.332*((Table1[[#This Row],[Gestation (days)]]+0.5)/7)-0.00354*((Table1[[#This Row],[Gestation (days)]]+0.5)/7)^2)*Table1[[#This Row],[BW40_3705]],"")</f>
        <v/>
      </c>
      <c r="G1405" s="2" t="str">
        <f>IF(Table1[[#This Row],[Is Data Valid]]=TRUE,((Table1[[#This Row],[Birthweight (grams)]]/Table1[[#This Row],[BW_GA]])-1)/(Backend!$B$4/100*Table1[[#This Row],[BW40_3705]]),"")</f>
        <v/>
      </c>
      <c r="H1405" s="7" t="str">
        <f>IF(Table1[[#This Row],[Is Data Valid]]=TRUE,((Table1[[#This Row],[Birthweight (grams)]]*0.9/Table1[[#This Row],[BW_GA]])-1)/(Backend!$B$4/100*Table1[[#This Row],[BW40_3705]]),"")</f>
        <v/>
      </c>
      <c r="I1405" s="7" t="str">
        <f>IF(Table1[[#This Row],[Is Data Valid]]=TRUE,((Table1[[#This Row],[Birthweight (grams)]]*1.1/Table1[[#This Row],[BW_GA]])-1)/(Backend!$B$4/100*Table1[[#This Row],[BW40_3705]]),"")</f>
        <v/>
      </c>
      <c r="J1405" s="7" t="str">
        <f>IF(Table1[[#This Row],[Is Data Valid]]=TRUE,_xlfn.NORM.S.DIST(Table1[[#This Row],[Birthweight Z-Score]],TRUE)*100,"")</f>
        <v/>
      </c>
      <c r="K1405" s="7" t="str">
        <f>IF(Table1[[#This Row],[Is Data Valid]]=TRUE,_xlfn.NORM.S.DIST(Table1[[#This Row],[Birthweight Z-Score (BW-10%)]],TRUE)*100,"")</f>
        <v/>
      </c>
      <c r="L1405" s="7" t="str">
        <f>IF(Table1[[#This Row],[Is Data Valid]]=TRUE,_xlfn.NORM.S.DIST(Table1[[#This Row],[Birthweight Z-Score (BW+10%)]],TRUE)*100,"")</f>
        <v/>
      </c>
    </row>
    <row r="1406" spans="1:12" x14ac:dyDescent="0.35">
      <c r="A1406" s="3"/>
      <c r="B1406" s="2"/>
      <c r="C1406" s="2"/>
      <c r="D1406" s="2" t="b">
        <f>IF(AND(NOT(ISBLANK(Table1[[#This Row],[Fetal Sex (Male, Female or Unknown)]])),ISNUMBER(Table1[[#This Row],[Birthweight (grams)]]),ISNUMBER(Table1[[#This Row],[Gestation (days)]])),TRUE,FALSE)</f>
        <v>0</v>
      </c>
      <c r="E1406" s="2" t="str">
        <f>IF(Table1[[#This Row],[Is Data Valid]]=TRUE,IF(Table1[[#This Row],[Fetal Sex (Male, Female or Unknown)]]="Male",Backend!$C$6,IF(Table1[[#This Row],[Fetal Sex (Male, Female or Unknown)]]="Female",Backend!$C$7,IF(Table1[[#This Row],[Fetal Sex (Male, Female or Unknown)]]="Unknown",Backend!$C$8,"Error"))),"")</f>
        <v/>
      </c>
      <c r="F1406" s="8" t="str">
        <f>IF(Table1[[#This Row],[Is Data Valid]]=TRUE,EXP(0.578+0.332*((Table1[[#This Row],[Gestation (days)]]+0.5)/7)-0.00354*((Table1[[#This Row],[Gestation (days)]]+0.5)/7)^2)*Table1[[#This Row],[BW40_3705]],"")</f>
        <v/>
      </c>
      <c r="G1406" s="2" t="str">
        <f>IF(Table1[[#This Row],[Is Data Valid]]=TRUE,((Table1[[#This Row],[Birthweight (grams)]]/Table1[[#This Row],[BW_GA]])-1)/(Backend!$B$4/100*Table1[[#This Row],[BW40_3705]]),"")</f>
        <v/>
      </c>
      <c r="H1406" s="7" t="str">
        <f>IF(Table1[[#This Row],[Is Data Valid]]=TRUE,((Table1[[#This Row],[Birthweight (grams)]]*0.9/Table1[[#This Row],[BW_GA]])-1)/(Backend!$B$4/100*Table1[[#This Row],[BW40_3705]]),"")</f>
        <v/>
      </c>
      <c r="I1406" s="7" t="str">
        <f>IF(Table1[[#This Row],[Is Data Valid]]=TRUE,((Table1[[#This Row],[Birthweight (grams)]]*1.1/Table1[[#This Row],[BW_GA]])-1)/(Backend!$B$4/100*Table1[[#This Row],[BW40_3705]]),"")</f>
        <v/>
      </c>
      <c r="J1406" s="7" t="str">
        <f>IF(Table1[[#This Row],[Is Data Valid]]=TRUE,_xlfn.NORM.S.DIST(Table1[[#This Row],[Birthweight Z-Score]],TRUE)*100,"")</f>
        <v/>
      </c>
      <c r="K1406" s="7" t="str">
        <f>IF(Table1[[#This Row],[Is Data Valid]]=TRUE,_xlfn.NORM.S.DIST(Table1[[#This Row],[Birthweight Z-Score (BW-10%)]],TRUE)*100,"")</f>
        <v/>
      </c>
      <c r="L1406" s="7" t="str">
        <f>IF(Table1[[#This Row],[Is Data Valid]]=TRUE,_xlfn.NORM.S.DIST(Table1[[#This Row],[Birthweight Z-Score (BW+10%)]],TRUE)*100,"")</f>
        <v/>
      </c>
    </row>
    <row r="1407" spans="1:12" x14ac:dyDescent="0.35">
      <c r="A1407" s="3"/>
      <c r="B1407" s="2"/>
      <c r="C1407" s="2"/>
      <c r="D1407" s="2" t="b">
        <f>IF(AND(NOT(ISBLANK(Table1[[#This Row],[Fetal Sex (Male, Female or Unknown)]])),ISNUMBER(Table1[[#This Row],[Birthweight (grams)]]),ISNUMBER(Table1[[#This Row],[Gestation (days)]])),TRUE,FALSE)</f>
        <v>0</v>
      </c>
      <c r="E1407" s="2" t="str">
        <f>IF(Table1[[#This Row],[Is Data Valid]]=TRUE,IF(Table1[[#This Row],[Fetal Sex (Male, Female or Unknown)]]="Male",Backend!$C$6,IF(Table1[[#This Row],[Fetal Sex (Male, Female or Unknown)]]="Female",Backend!$C$7,IF(Table1[[#This Row],[Fetal Sex (Male, Female or Unknown)]]="Unknown",Backend!$C$8,"Error"))),"")</f>
        <v/>
      </c>
      <c r="F1407" s="8" t="str">
        <f>IF(Table1[[#This Row],[Is Data Valid]]=TRUE,EXP(0.578+0.332*((Table1[[#This Row],[Gestation (days)]]+0.5)/7)-0.00354*((Table1[[#This Row],[Gestation (days)]]+0.5)/7)^2)*Table1[[#This Row],[BW40_3705]],"")</f>
        <v/>
      </c>
      <c r="G1407" s="2" t="str">
        <f>IF(Table1[[#This Row],[Is Data Valid]]=TRUE,((Table1[[#This Row],[Birthweight (grams)]]/Table1[[#This Row],[BW_GA]])-1)/(Backend!$B$4/100*Table1[[#This Row],[BW40_3705]]),"")</f>
        <v/>
      </c>
      <c r="H1407" s="7" t="str">
        <f>IF(Table1[[#This Row],[Is Data Valid]]=TRUE,((Table1[[#This Row],[Birthweight (grams)]]*0.9/Table1[[#This Row],[BW_GA]])-1)/(Backend!$B$4/100*Table1[[#This Row],[BW40_3705]]),"")</f>
        <v/>
      </c>
      <c r="I1407" s="7" t="str">
        <f>IF(Table1[[#This Row],[Is Data Valid]]=TRUE,((Table1[[#This Row],[Birthweight (grams)]]*1.1/Table1[[#This Row],[BW_GA]])-1)/(Backend!$B$4/100*Table1[[#This Row],[BW40_3705]]),"")</f>
        <v/>
      </c>
      <c r="J1407" s="7" t="str">
        <f>IF(Table1[[#This Row],[Is Data Valid]]=TRUE,_xlfn.NORM.S.DIST(Table1[[#This Row],[Birthweight Z-Score]],TRUE)*100,"")</f>
        <v/>
      </c>
      <c r="K1407" s="7" t="str">
        <f>IF(Table1[[#This Row],[Is Data Valid]]=TRUE,_xlfn.NORM.S.DIST(Table1[[#This Row],[Birthweight Z-Score (BW-10%)]],TRUE)*100,"")</f>
        <v/>
      </c>
      <c r="L1407" s="7" t="str">
        <f>IF(Table1[[#This Row],[Is Data Valid]]=TRUE,_xlfn.NORM.S.DIST(Table1[[#This Row],[Birthweight Z-Score (BW+10%)]],TRUE)*100,"")</f>
        <v/>
      </c>
    </row>
    <row r="1408" spans="1:12" x14ac:dyDescent="0.35">
      <c r="A1408" s="3"/>
      <c r="B1408" s="2"/>
      <c r="C1408" s="2"/>
      <c r="D1408" s="2" t="b">
        <f>IF(AND(NOT(ISBLANK(Table1[[#This Row],[Fetal Sex (Male, Female or Unknown)]])),ISNUMBER(Table1[[#This Row],[Birthweight (grams)]]),ISNUMBER(Table1[[#This Row],[Gestation (days)]])),TRUE,FALSE)</f>
        <v>0</v>
      </c>
      <c r="E1408" s="2" t="str">
        <f>IF(Table1[[#This Row],[Is Data Valid]]=TRUE,IF(Table1[[#This Row],[Fetal Sex (Male, Female or Unknown)]]="Male",Backend!$C$6,IF(Table1[[#This Row],[Fetal Sex (Male, Female or Unknown)]]="Female",Backend!$C$7,IF(Table1[[#This Row],[Fetal Sex (Male, Female or Unknown)]]="Unknown",Backend!$C$8,"Error"))),"")</f>
        <v/>
      </c>
      <c r="F1408" s="8" t="str">
        <f>IF(Table1[[#This Row],[Is Data Valid]]=TRUE,EXP(0.578+0.332*((Table1[[#This Row],[Gestation (days)]]+0.5)/7)-0.00354*((Table1[[#This Row],[Gestation (days)]]+0.5)/7)^2)*Table1[[#This Row],[BW40_3705]],"")</f>
        <v/>
      </c>
      <c r="G1408" s="2" t="str">
        <f>IF(Table1[[#This Row],[Is Data Valid]]=TRUE,((Table1[[#This Row],[Birthweight (grams)]]/Table1[[#This Row],[BW_GA]])-1)/(Backend!$B$4/100*Table1[[#This Row],[BW40_3705]]),"")</f>
        <v/>
      </c>
      <c r="H1408" s="7" t="str">
        <f>IF(Table1[[#This Row],[Is Data Valid]]=TRUE,((Table1[[#This Row],[Birthweight (grams)]]*0.9/Table1[[#This Row],[BW_GA]])-1)/(Backend!$B$4/100*Table1[[#This Row],[BW40_3705]]),"")</f>
        <v/>
      </c>
      <c r="I1408" s="7" t="str">
        <f>IF(Table1[[#This Row],[Is Data Valid]]=TRUE,((Table1[[#This Row],[Birthweight (grams)]]*1.1/Table1[[#This Row],[BW_GA]])-1)/(Backend!$B$4/100*Table1[[#This Row],[BW40_3705]]),"")</f>
        <v/>
      </c>
      <c r="J1408" s="7" t="str">
        <f>IF(Table1[[#This Row],[Is Data Valid]]=TRUE,_xlfn.NORM.S.DIST(Table1[[#This Row],[Birthweight Z-Score]],TRUE)*100,"")</f>
        <v/>
      </c>
      <c r="K1408" s="7" t="str">
        <f>IF(Table1[[#This Row],[Is Data Valid]]=TRUE,_xlfn.NORM.S.DIST(Table1[[#This Row],[Birthweight Z-Score (BW-10%)]],TRUE)*100,"")</f>
        <v/>
      </c>
      <c r="L1408" s="7" t="str">
        <f>IF(Table1[[#This Row],[Is Data Valid]]=TRUE,_xlfn.NORM.S.DIST(Table1[[#This Row],[Birthweight Z-Score (BW+10%)]],TRUE)*100,"")</f>
        <v/>
      </c>
    </row>
    <row r="1409" spans="1:12" x14ac:dyDescent="0.35">
      <c r="A1409" s="3"/>
      <c r="B1409" s="2"/>
      <c r="C1409" s="2"/>
      <c r="D1409" s="2" t="b">
        <f>IF(AND(NOT(ISBLANK(Table1[[#This Row],[Fetal Sex (Male, Female or Unknown)]])),ISNUMBER(Table1[[#This Row],[Birthweight (grams)]]),ISNUMBER(Table1[[#This Row],[Gestation (days)]])),TRUE,FALSE)</f>
        <v>0</v>
      </c>
      <c r="E1409" s="2" t="str">
        <f>IF(Table1[[#This Row],[Is Data Valid]]=TRUE,IF(Table1[[#This Row],[Fetal Sex (Male, Female or Unknown)]]="Male",Backend!$C$6,IF(Table1[[#This Row],[Fetal Sex (Male, Female or Unknown)]]="Female",Backend!$C$7,IF(Table1[[#This Row],[Fetal Sex (Male, Female or Unknown)]]="Unknown",Backend!$C$8,"Error"))),"")</f>
        <v/>
      </c>
      <c r="F1409" s="8" t="str">
        <f>IF(Table1[[#This Row],[Is Data Valid]]=TRUE,EXP(0.578+0.332*((Table1[[#This Row],[Gestation (days)]]+0.5)/7)-0.00354*((Table1[[#This Row],[Gestation (days)]]+0.5)/7)^2)*Table1[[#This Row],[BW40_3705]],"")</f>
        <v/>
      </c>
      <c r="G1409" s="2" t="str">
        <f>IF(Table1[[#This Row],[Is Data Valid]]=TRUE,((Table1[[#This Row],[Birthweight (grams)]]/Table1[[#This Row],[BW_GA]])-1)/(Backend!$B$4/100*Table1[[#This Row],[BW40_3705]]),"")</f>
        <v/>
      </c>
      <c r="H1409" s="7" t="str">
        <f>IF(Table1[[#This Row],[Is Data Valid]]=TRUE,((Table1[[#This Row],[Birthweight (grams)]]*0.9/Table1[[#This Row],[BW_GA]])-1)/(Backend!$B$4/100*Table1[[#This Row],[BW40_3705]]),"")</f>
        <v/>
      </c>
      <c r="I1409" s="7" t="str">
        <f>IF(Table1[[#This Row],[Is Data Valid]]=TRUE,((Table1[[#This Row],[Birthweight (grams)]]*1.1/Table1[[#This Row],[BW_GA]])-1)/(Backend!$B$4/100*Table1[[#This Row],[BW40_3705]]),"")</f>
        <v/>
      </c>
      <c r="J1409" s="7" t="str">
        <f>IF(Table1[[#This Row],[Is Data Valid]]=TRUE,_xlfn.NORM.S.DIST(Table1[[#This Row],[Birthweight Z-Score]],TRUE)*100,"")</f>
        <v/>
      </c>
      <c r="K1409" s="7" t="str">
        <f>IF(Table1[[#This Row],[Is Data Valid]]=TRUE,_xlfn.NORM.S.DIST(Table1[[#This Row],[Birthweight Z-Score (BW-10%)]],TRUE)*100,"")</f>
        <v/>
      </c>
      <c r="L1409" s="7" t="str">
        <f>IF(Table1[[#This Row],[Is Data Valid]]=TRUE,_xlfn.NORM.S.DIST(Table1[[#This Row],[Birthweight Z-Score (BW+10%)]],TRUE)*100,"")</f>
        <v/>
      </c>
    </row>
    <row r="1410" spans="1:12" x14ac:dyDescent="0.35">
      <c r="A1410" s="3"/>
      <c r="B1410" s="2"/>
      <c r="C1410" s="2"/>
      <c r="D1410" s="2" t="b">
        <f>IF(AND(NOT(ISBLANK(Table1[[#This Row],[Fetal Sex (Male, Female or Unknown)]])),ISNUMBER(Table1[[#This Row],[Birthweight (grams)]]),ISNUMBER(Table1[[#This Row],[Gestation (days)]])),TRUE,FALSE)</f>
        <v>0</v>
      </c>
      <c r="E1410" s="2" t="str">
        <f>IF(Table1[[#This Row],[Is Data Valid]]=TRUE,IF(Table1[[#This Row],[Fetal Sex (Male, Female or Unknown)]]="Male",Backend!$C$6,IF(Table1[[#This Row],[Fetal Sex (Male, Female or Unknown)]]="Female",Backend!$C$7,IF(Table1[[#This Row],[Fetal Sex (Male, Female or Unknown)]]="Unknown",Backend!$C$8,"Error"))),"")</f>
        <v/>
      </c>
      <c r="F1410" s="8" t="str">
        <f>IF(Table1[[#This Row],[Is Data Valid]]=TRUE,EXP(0.578+0.332*((Table1[[#This Row],[Gestation (days)]]+0.5)/7)-0.00354*((Table1[[#This Row],[Gestation (days)]]+0.5)/7)^2)*Table1[[#This Row],[BW40_3705]],"")</f>
        <v/>
      </c>
      <c r="G1410" s="2" t="str">
        <f>IF(Table1[[#This Row],[Is Data Valid]]=TRUE,((Table1[[#This Row],[Birthweight (grams)]]/Table1[[#This Row],[BW_GA]])-1)/(Backend!$B$4/100*Table1[[#This Row],[BW40_3705]]),"")</f>
        <v/>
      </c>
      <c r="H1410" s="7" t="str">
        <f>IF(Table1[[#This Row],[Is Data Valid]]=TRUE,((Table1[[#This Row],[Birthweight (grams)]]*0.9/Table1[[#This Row],[BW_GA]])-1)/(Backend!$B$4/100*Table1[[#This Row],[BW40_3705]]),"")</f>
        <v/>
      </c>
      <c r="I1410" s="7" t="str">
        <f>IF(Table1[[#This Row],[Is Data Valid]]=TRUE,((Table1[[#This Row],[Birthweight (grams)]]*1.1/Table1[[#This Row],[BW_GA]])-1)/(Backend!$B$4/100*Table1[[#This Row],[BW40_3705]]),"")</f>
        <v/>
      </c>
      <c r="J1410" s="7" t="str">
        <f>IF(Table1[[#This Row],[Is Data Valid]]=TRUE,_xlfn.NORM.S.DIST(Table1[[#This Row],[Birthweight Z-Score]],TRUE)*100,"")</f>
        <v/>
      </c>
      <c r="K1410" s="7" t="str">
        <f>IF(Table1[[#This Row],[Is Data Valid]]=TRUE,_xlfn.NORM.S.DIST(Table1[[#This Row],[Birthweight Z-Score (BW-10%)]],TRUE)*100,"")</f>
        <v/>
      </c>
      <c r="L1410" s="7" t="str">
        <f>IF(Table1[[#This Row],[Is Data Valid]]=TRUE,_xlfn.NORM.S.DIST(Table1[[#This Row],[Birthweight Z-Score (BW+10%)]],TRUE)*100,"")</f>
        <v/>
      </c>
    </row>
    <row r="1411" spans="1:12" x14ac:dyDescent="0.35">
      <c r="A1411" s="3"/>
      <c r="B1411" s="2"/>
      <c r="C1411" s="2"/>
      <c r="D1411" s="2" t="b">
        <f>IF(AND(NOT(ISBLANK(Table1[[#This Row],[Fetal Sex (Male, Female or Unknown)]])),ISNUMBER(Table1[[#This Row],[Birthweight (grams)]]),ISNUMBER(Table1[[#This Row],[Gestation (days)]])),TRUE,FALSE)</f>
        <v>0</v>
      </c>
      <c r="E1411" s="2" t="str">
        <f>IF(Table1[[#This Row],[Is Data Valid]]=TRUE,IF(Table1[[#This Row],[Fetal Sex (Male, Female or Unknown)]]="Male",Backend!$C$6,IF(Table1[[#This Row],[Fetal Sex (Male, Female or Unknown)]]="Female",Backend!$C$7,IF(Table1[[#This Row],[Fetal Sex (Male, Female or Unknown)]]="Unknown",Backend!$C$8,"Error"))),"")</f>
        <v/>
      </c>
      <c r="F1411" s="8" t="str">
        <f>IF(Table1[[#This Row],[Is Data Valid]]=TRUE,EXP(0.578+0.332*((Table1[[#This Row],[Gestation (days)]]+0.5)/7)-0.00354*((Table1[[#This Row],[Gestation (days)]]+0.5)/7)^2)*Table1[[#This Row],[BW40_3705]],"")</f>
        <v/>
      </c>
      <c r="G1411" s="2" t="str">
        <f>IF(Table1[[#This Row],[Is Data Valid]]=TRUE,((Table1[[#This Row],[Birthweight (grams)]]/Table1[[#This Row],[BW_GA]])-1)/(Backend!$B$4/100*Table1[[#This Row],[BW40_3705]]),"")</f>
        <v/>
      </c>
      <c r="H1411" s="7" t="str">
        <f>IF(Table1[[#This Row],[Is Data Valid]]=TRUE,((Table1[[#This Row],[Birthweight (grams)]]*0.9/Table1[[#This Row],[BW_GA]])-1)/(Backend!$B$4/100*Table1[[#This Row],[BW40_3705]]),"")</f>
        <v/>
      </c>
      <c r="I1411" s="7" t="str">
        <f>IF(Table1[[#This Row],[Is Data Valid]]=TRUE,((Table1[[#This Row],[Birthweight (grams)]]*1.1/Table1[[#This Row],[BW_GA]])-1)/(Backend!$B$4/100*Table1[[#This Row],[BW40_3705]]),"")</f>
        <v/>
      </c>
      <c r="J1411" s="7" t="str">
        <f>IF(Table1[[#This Row],[Is Data Valid]]=TRUE,_xlfn.NORM.S.DIST(Table1[[#This Row],[Birthweight Z-Score]],TRUE)*100,"")</f>
        <v/>
      </c>
      <c r="K1411" s="7" t="str">
        <f>IF(Table1[[#This Row],[Is Data Valid]]=TRUE,_xlfn.NORM.S.DIST(Table1[[#This Row],[Birthweight Z-Score (BW-10%)]],TRUE)*100,"")</f>
        <v/>
      </c>
      <c r="L1411" s="7" t="str">
        <f>IF(Table1[[#This Row],[Is Data Valid]]=TRUE,_xlfn.NORM.S.DIST(Table1[[#This Row],[Birthweight Z-Score (BW+10%)]],TRUE)*100,"")</f>
        <v/>
      </c>
    </row>
    <row r="1412" spans="1:12" x14ac:dyDescent="0.35">
      <c r="A1412" s="3"/>
      <c r="B1412" s="2"/>
      <c r="C1412" s="2"/>
      <c r="D1412" s="2" t="b">
        <f>IF(AND(NOT(ISBLANK(Table1[[#This Row],[Fetal Sex (Male, Female or Unknown)]])),ISNUMBER(Table1[[#This Row],[Birthweight (grams)]]),ISNUMBER(Table1[[#This Row],[Gestation (days)]])),TRUE,FALSE)</f>
        <v>0</v>
      </c>
      <c r="E1412" s="2" t="str">
        <f>IF(Table1[[#This Row],[Is Data Valid]]=TRUE,IF(Table1[[#This Row],[Fetal Sex (Male, Female or Unknown)]]="Male",Backend!$C$6,IF(Table1[[#This Row],[Fetal Sex (Male, Female or Unknown)]]="Female",Backend!$C$7,IF(Table1[[#This Row],[Fetal Sex (Male, Female or Unknown)]]="Unknown",Backend!$C$8,"Error"))),"")</f>
        <v/>
      </c>
      <c r="F1412" s="8" t="str">
        <f>IF(Table1[[#This Row],[Is Data Valid]]=TRUE,EXP(0.578+0.332*((Table1[[#This Row],[Gestation (days)]]+0.5)/7)-0.00354*((Table1[[#This Row],[Gestation (days)]]+0.5)/7)^2)*Table1[[#This Row],[BW40_3705]],"")</f>
        <v/>
      </c>
      <c r="G1412" s="2" t="str">
        <f>IF(Table1[[#This Row],[Is Data Valid]]=TRUE,((Table1[[#This Row],[Birthweight (grams)]]/Table1[[#This Row],[BW_GA]])-1)/(Backend!$B$4/100*Table1[[#This Row],[BW40_3705]]),"")</f>
        <v/>
      </c>
      <c r="H1412" s="7" t="str">
        <f>IF(Table1[[#This Row],[Is Data Valid]]=TRUE,((Table1[[#This Row],[Birthweight (grams)]]*0.9/Table1[[#This Row],[BW_GA]])-1)/(Backend!$B$4/100*Table1[[#This Row],[BW40_3705]]),"")</f>
        <v/>
      </c>
      <c r="I1412" s="7" t="str">
        <f>IF(Table1[[#This Row],[Is Data Valid]]=TRUE,((Table1[[#This Row],[Birthweight (grams)]]*1.1/Table1[[#This Row],[BW_GA]])-1)/(Backend!$B$4/100*Table1[[#This Row],[BW40_3705]]),"")</f>
        <v/>
      </c>
      <c r="J1412" s="7" t="str">
        <f>IF(Table1[[#This Row],[Is Data Valid]]=TRUE,_xlfn.NORM.S.DIST(Table1[[#This Row],[Birthweight Z-Score]],TRUE)*100,"")</f>
        <v/>
      </c>
      <c r="K1412" s="7" t="str">
        <f>IF(Table1[[#This Row],[Is Data Valid]]=TRUE,_xlfn.NORM.S.DIST(Table1[[#This Row],[Birthweight Z-Score (BW-10%)]],TRUE)*100,"")</f>
        <v/>
      </c>
      <c r="L1412" s="7" t="str">
        <f>IF(Table1[[#This Row],[Is Data Valid]]=TRUE,_xlfn.NORM.S.DIST(Table1[[#This Row],[Birthweight Z-Score (BW+10%)]],TRUE)*100,"")</f>
        <v/>
      </c>
    </row>
    <row r="1413" spans="1:12" x14ac:dyDescent="0.35">
      <c r="A1413" s="3"/>
      <c r="B1413" s="2"/>
      <c r="C1413" s="2"/>
      <c r="D1413" s="2" t="b">
        <f>IF(AND(NOT(ISBLANK(Table1[[#This Row],[Fetal Sex (Male, Female or Unknown)]])),ISNUMBER(Table1[[#This Row],[Birthweight (grams)]]),ISNUMBER(Table1[[#This Row],[Gestation (days)]])),TRUE,FALSE)</f>
        <v>0</v>
      </c>
      <c r="E1413" s="2" t="str">
        <f>IF(Table1[[#This Row],[Is Data Valid]]=TRUE,IF(Table1[[#This Row],[Fetal Sex (Male, Female or Unknown)]]="Male",Backend!$C$6,IF(Table1[[#This Row],[Fetal Sex (Male, Female or Unknown)]]="Female",Backend!$C$7,IF(Table1[[#This Row],[Fetal Sex (Male, Female or Unknown)]]="Unknown",Backend!$C$8,"Error"))),"")</f>
        <v/>
      </c>
      <c r="F1413" s="8" t="str">
        <f>IF(Table1[[#This Row],[Is Data Valid]]=TRUE,EXP(0.578+0.332*((Table1[[#This Row],[Gestation (days)]]+0.5)/7)-0.00354*((Table1[[#This Row],[Gestation (days)]]+0.5)/7)^2)*Table1[[#This Row],[BW40_3705]],"")</f>
        <v/>
      </c>
      <c r="G1413" s="2" t="str">
        <f>IF(Table1[[#This Row],[Is Data Valid]]=TRUE,((Table1[[#This Row],[Birthweight (grams)]]/Table1[[#This Row],[BW_GA]])-1)/(Backend!$B$4/100*Table1[[#This Row],[BW40_3705]]),"")</f>
        <v/>
      </c>
      <c r="H1413" s="7" t="str">
        <f>IF(Table1[[#This Row],[Is Data Valid]]=TRUE,((Table1[[#This Row],[Birthweight (grams)]]*0.9/Table1[[#This Row],[BW_GA]])-1)/(Backend!$B$4/100*Table1[[#This Row],[BW40_3705]]),"")</f>
        <v/>
      </c>
      <c r="I1413" s="7" t="str">
        <f>IF(Table1[[#This Row],[Is Data Valid]]=TRUE,((Table1[[#This Row],[Birthweight (grams)]]*1.1/Table1[[#This Row],[BW_GA]])-1)/(Backend!$B$4/100*Table1[[#This Row],[BW40_3705]]),"")</f>
        <v/>
      </c>
      <c r="J1413" s="7" t="str">
        <f>IF(Table1[[#This Row],[Is Data Valid]]=TRUE,_xlfn.NORM.S.DIST(Table1[[#This Row],[Birthweight Z-Score]],TRUE)*100,"")</f>
        <v/>
      </c>
      <c r="K1413" s="7" t="str">
        <f>IF(Table1[[#This Row],[Is Data Valid]]=TRUE,_xlfn.NORM.S.DIST(Table1[[#This Row],[Birthweight Z-Score (BW-10%)]],TRUE)*100,"")</f>
        <v/>
      </c>
      <c r="L1413" s="7" t="str">
        <f>IF(Table1[[#This Row],[Is Data Valid]]=TRUE,_xlfn.NORM.S.DIST(Table1[[#This Row],[Birthweight Z-Score (BW+10%)]],TRUE)*100,"")</f>
        <v/>
      </c>
    </row>
    <row r="1414" spans="1:12" x14ac:dyDescent="0.35">
      <c r="A1414" s="3"/>
      <c r="B1414" s="2"/>
      <c r="C1414" s="2"/>
      <c r="D1414" s="2" t="b">
        <f>IF(AND(NOT(ISBLANK(Table1[[#This Row],[Fetal Sex (Male, Female or Unknown)]])),ISNUMBER(Table1[[#This Row],[Birthweight (grams)]]),ISNUMBER(Table1[[#This Row],[Gestation (days)]])),TRUE,FALSE)</f>
        <v>0</v>
      </c>
      <c r="E1414" s="2" t="str">
        <f>IF(Table1[[#This Row],[Is Data Valid]]=TRUE,IF(Table1[[#This Row],[Fetal Sex (Male, Female or Unknown)]]="Male",Backend!$C$6,IF(Table1[[#This Row],[Fetal Sex (Male, Female or Unknown)]]="Female",Backend!$C$7,IF(Table1[[#This Row],[Fetal Sex (Male, Female or Unknown)]]="Unknown",Backend!$C$8,"Error"))),"")</f>
        <v/>
      </c>
      <c r="F1414" s="8" t="str">
        <f>IF(Table1[[#This Row],[Is Data Valid]]=TRUE,EXP(0.578+0.332*((Table1[[#This Row],[Gestation (days)]]+0.5)/7)-0.00354*((Table1[[#This Row],[Gestation (days)]]+0.5)/7)^2)*Table1[[#This Row],[BW40_3705]],"")</f>
        <v/>
      </c>
      <c r="G1414" s="2" t="str">
        <f>IF(Table1[[#This Row],[Is Data Valid]]=TRUE,((Table1[[#This Row],[Birthweight (grams)]]/Table1[[#This Row],[BW_GA]])-1)/(Backend!$B$4/100*Table1[[#This Row],[BW40_3705]]),"")</f>
        <v/>
      </c>
      <c r="H1414" s="7" t="str">
        <f>IF(Table1[[#This Row],[Is Data Valid]]=TRUE,((Table1[[#This Row],[Birthweight (grams)]]*0.9/Table1[[#This Row],[BW_GA]])-1)/(Backend!$B$4/100*Table1[[#This Row],[BW40_3705]]),"")</f>
        <v/>
      </c>
      <c r="I1414" s="7" t="str">
        <f>IF(Table1[[#This Row],[Is Data Valid]]=TRUE,((Table1[[#This Row],[Birthweight (grams)]]*1.1/Table1[[#This Row],[BW_GA]])-1)/(Backend!$B$4/100*Table1[[#This Row],[BW40_3705]]),"")</f>
        <v/>
      </c>
      <c r="J1414" s="7" t="str">
        <f>IF(Table1[[#This Row],[Is Data Valid]]=TRUE,_xlfn.NORM.S.DIST(Table1[[#This Row],[Birthweight Z-Score]],TRUE)*100,"")</f>
        <v/>
      </c>
      <c r="K1414" s="7" t="str">
        <f>IF(Table1[[#This Row],[Is Data Valid]]=TRUE,_xlfn.NORM.S.DIST(Table1[[#This Row],[Birthweight Z-Score (BW-10%)]],TRUE)*100,"")</f>
        <v/>
      </c>
      <c r="L1414" s="7" t="str">
        <f>IF(Table1[[#This Row],[Is Data Valid]]=TRUE,_xlfn.NORM.S.DIST(Table1[[#This Row],[Birthweight Z-Score (BW+10%)]],TRUE)*100,"")</f>
        <v/>
      </c>
    </row>
    <row r="1415" spans="1:12" x14ac:dyDescent="0.35">
      <c r="A1415" s="3"/>
      <c r="B1415" s="2"/>
      <c r="C1415" s="2"/>
      <c r="D1415" s="2" t="b">
        <f>IF(AND(NOT(ISBLANK(Table1[[#This Row],[Fetal Sex (Male, Female or Unknown)]])),ISNUMBER(Table1[[#This Row],[Birthweight (grams)]]),ISNUMBER(Table1[[#This Row],[Gestation (days)]])),TRUE,FALSE)</f>
        <v>0</v>
      </c>
      <c r="E1415" s="2" t="str">
        <f>IF(Table1[[#This Row],[Is Data Valid]]=TRUE,IF(Table1[[#This Row],[Fetal Sex (Male, Female or Unknown)]]="Male",Backend!$C$6,IF(Table1[[#This Row],[Fetal Sex (Male, Female or Unknown)]]="Female",Backend!$C$7,IF(Table1[[#This Row],[Fetal Sex (Male, Female or Unknown)]]="Unknown",Backend!$C$8,"Error"))),"")</f>
        <v/>
      </c>
      <c r="F1415" s="8" t="str">
        <f>IF(Table1[[#This Row],[Is Data Valid]]=TRUE,EXP(0.578+0.332*((Table1[[#This Row],[Gestation (days)]]+0.5)/7)-0.00354*((Table1[[#This Row],[Gestation (days)]]+0.5)/7)^2)*Table1[[#This Row],[BW40_3705]],"")</f>
        <v/>
      </c>
      <c r="G1415" s="2" t="str">
        <f>IF(Table1[[#This Row],[Is Data Valid]]=TRUE,((Table1[[#This Row],[Birthweight (grams)]]/Table1[[#This Row],[BW_GA]])-1)/(Backend!$B$4/100*Table1[[#This Row],[BW40_3705]]),"")</f>
        <v/>
      </c>
      <c r="H1415" s="7" t="str">
        <f>IF(Table1[[#This Row],[Is Data Valid]]=TRUE,((Table1[[#This Row],[Birthweight (grams)]]*0.9/Table1[[#This Row],[BW_GA]])-1)/(Backend!$B$4/100*Table1[[#This Row],[BW40_3705]]),"")</f>
        <v/>
      </c>
      <c r="I1415" s="7" t="str">
        <f>IF(Table1[[#This Row],[Is Data Valid]]=TRUE,((Table1[[#This Row],[Birthweight (grams)]]*1.1/Table1[[#This Row],[BW_GA]])-1)/(Backend!$B$4/100*Table1[[#This Row],[BW40_3705]]),"")</f>
        <v/>
      </c>
      <c r="J1415" s="7" t="str">
        <f>IF(Table1[[#This Row],[Is Data Valid]]=TRUE,_xlfn.NORM.S.DIST(Table1[[#This Row],[Birthweight Z-Score]],TRUE)*100,"")</f>
        <v/>
      </c>
      <c r="K1415" s="7" t="str">
        <f>IF(Table1[[#This Row],[Is Data Valid]]=TRUE,_xlfn.NORM.S.DIST(Table1[[#This Row],[Birthweight Z-Score (BW-10%)]],TRUE)*100,"")</f>
        <v/>
      </c>
      <c r="L1415" s="7" t="str">
        <f>IF(Table1[[#This Row],[Is Data Valid]]=TRUE,_xlfn.NORM.S.DIST(Table1[[#This Row],[Birthweight Z-Score (BW+10%)]],TRUE)*100,"")</f>
        <v/>
      </c>
    </row>
    <row r="1416" spans="1:12" x14ac:dyDescent="0.35">
      <c r="A1416" s="3"/>
      <c r="B1416" s="2"/>
      <c r="C1416" s="2"/>
      <c r="D1416" s="2" t="b">
        <f>IF(AND(NOT(ISBLANK(Table1[[#This Row],[Fetal Sex (Male, Female or Unknown)]])),ISNUMBER(Table1[[#This Row],[Birthweight (grams)]]),ISNUMBER(Table1[[#This Row],[Gestation (days)]])),TRUE,FALSE)</f>
        <v>0</v>
      </c>
      <c r="E1416" s="2" t="str">
        <f>IF(Table1[[#This Row],[Is Data Valid]]=TRUE,IF(Table1[[#This Row],[Fetal Sex (Male, Female or Unknown)]]="Male",Backend!$C$6,IF(Table1[[#This Row],[Fetal Sex (Male, Female or Unknown)]]="Female",Backend!$C$7,IF(Table1[[#This Row],[Fetal Sex (Male, Female or Unknown)]]="Unknown",Backend!$C$8,"Error"))),"")</f>
        <v/>
      </c>
      <c r="F1416" s="8" t="str">
        <f>IF(Table1[[#This Row],[Is Data Valid]]=TRUE,EXP(0.578+0.332*((Table1[[#This Row],[Gestation (days)]]+0.5)/7)-0.00354*((Table1[[#This Row],[Gestation (days)]]+0.5)/7)^2)*Table1[[#This Row],[BW40_3705]],"")</f>
        <v/>
      </c>
      <c r="G1416" s="2" t="str">
        <f>IF(Table1[[#This Row],[Is Data Valid]]=TRUE,((Table1[[#This Row],[Birthweight (grams)]]/Table1[[#This Row],[BW_GA]])-1)/(Backend!$B$4/100*Table1[[#This Row],[BW40_3705]]),"")</f>
        <v/>
      </c>
      <c r="H1416" s="7" t="str">
        <f>IF(Table1[[#This Row],[Is Data Valid]]=TRUE,((Table1[[#This Row],[Birthweight (grams)]]*0.9/Table1[[#This Row],[BW_GA]])-1)/(Backend!$B$4/100*Table1[[#This Row],[BW40_3705]]),"")</f>
        <v/>
      </c>
      <c r="I1416" s="7" t="str">
        <f>IF(Table1[[#This Row],[Is Data Valid]]=TRUE,((Table1[[#This Row],[Birthweight (grams)]]*1.1/Table1[[#This Row],[BW_GA]])-1)/(Backend!$B$4/100*Table1[[#This Row],[BW40_3705]]),"")</f>
        <v/>
      </c>
      <c r="J1416" s="7" t="str">
        <f>IF(Table1[[#This Row],[Is Data Valid]]=TRUE,_xlfn.NORM.S.DIST(Table1[[#This Row],[Birthweight Z-Score]],TRUE)*100,"")</f>
        <v/>
      </c>
      <c r="K1416" s="7" t="str">
        <f>IF(Table1[[#This Row],[Is Data Valid]]=TRUE,_xlfn.NORM.S.DIST(Table1[[#This Row],[Birthweight Z-Score (BW-10%)]],TRUE)*100,"")</f>
        <v/>
      </c>
      <c r="L1416" s="7" t="str">
        <f>IF(Table1[[#This Row],[Is Data Valid]]=TRUE,_xlfn.NORM.S.DIST(Table1[[#This Row],[Birthweight Z-Score (BW+10%)]],TRUE)*100,"")</f>
        <v/>
      </c>
    </row>
    <row r="1417" spans="1:12" x14ac:dyDescent="0.35">
      <c r="A1417" s="3"/>
      <c r="B1417" s="2"/>
      <c r="C1417" s="2"/>
      <c r="D1417" s="2" t="b">
        <f>IF(AND(NOT(ISBLANK(Table1[[#This Row],[Fetal Sex (Male, Female or Unknown)]])),ISNUMBER(Table1[[#This Row],[Birthweight (grams)]]),ISNUMBER(Table1[[#This Row],[Gestation (days)]])),TRUE,FALSE)</f>
        <v>0</v>
      </c>
      <c r="E1417" s="2" t="str">
        <f>IF(Table1[[#This Row],[Is Data Valid]]=TRUE,IF(Table1[[#This Row],[Fetal Sex (Male, Female or Unknown)]]="Male",Backend!$C$6,IF(Table1[[#This Row],[Fetal Sex (Male, Female or Unknown)]]="Female",Backend!$C$7,IF(Table1[[#This Row],[Fetal Sex (Male, Female or Unknown)]]="Unknown",Backend!$C$8,"Error"))),"")</f>
        <v/>
      </c>
      <c r="F1417" s="8" t="str">
        <f>IF(Table1[[#This Row],[Is Data Valid]]=TRUE,EXP(0.578+0.332*((Table1[[#This Row],[Gestation (days)]]+0.5)/7)-0.00354*((Table1[[#This Row],[Gestation (days)]]+0.5)/7)^2)*Table1[[#This Row],[BW40_3705]],"")</f>
        <v/>
      </c>
      <c r="G1417" s="2" t="str">
        <f>IF(Table1[[#This Row],[Is Data Valid]]=TRUE,((Table1[[#This Row],[Birthweight (grams)]]/Table1[[#This Row],[BW_GA]])-1)/(Backend!$B$4/100*Table1[[#This Row],[BW40_3705]]),"")</f>
        <v/>
      </c>
      <c r="H1417" s="7" t="str">
        <f>IF(Table1[[#This Row],[Is Data Valid]]=TRUE,((Table1[[#This Row],[Birthweight (grams)]]*0.9/Table1[[#This Row],[BW_GA]])-1)/(Backend!$B$4/100*Table1[[#This Row],[BW40_3705]]),"")</f>
        <v/>
      </c>
      <c r="I1417" s="7" t="str">
        <f>IF(Table1[[#This Row],[Is Data Valid]]=TRUE,((Table1[[#This Row],[Birthweight (grams)]]*1.1/Table1[[#This Row],[BW_GA]])-1)/(Backend!$B$4/100*Table1[[#This Row],[BW40_3705]]),"")</f>
        <v/>
      </c>
      <c r="J1417" s="7" t="str">
        <f>IF(Table1[[#This Row],[Is Data Valid]]=TRUE,_xlfn.NORM.S.DIST(Table1[[#This Row],[Birthweight Z-Score]],TRUE)*100,"")</f>
        <v/>
      </c>
      <c r="K1417" s="7" t="str">
        <f>IF(Table1[[#This Row],[Is Data Valid]]=TRUE,_xlfn.NORM.S.DIST(Table1[[#This Row],[Birthweight Z-Score (BW-10%)]],TRUE)*100,"")</f>
        <v/>
      </c>
      <c r="L1417" s="7" t="str">
        <f>IF(Table1[[#This Row],[Is Data Valid]]=TRUE,_xlfn.NORM.S.DIST(Table1[[#This Row],[Birthweight Z-Score (BW+10%)]],TRUE)*100,"")</f>
        <v/>
      </c>
    </row>
    <row r="1418" spans="1:12" x14ac:dyDescent="0.35">
      <c r="A1418" s="3"/>
      <c r="B1418" s="2"/>
      <c r="C1418" s="2"/>
      <c r="D1418" s="2" t="b">
        <f>IF(AND(NOT(ISBLANK(Table1[[#This Row],[Fetal Sex (Male, Female or Unknown)]])),ISNUMBER(Table1[[#This Row],[Birthweight (grams)]]),ISNUMBER(Table1[[#This Row],[Gestation (days)]])),TRUE,FALSE)</f>
        <v>0</v>
      </c>
      <c r="E1418" s="2" t="str">
        <f>IF(Table1[[#This Row],[Is Data Valid]]=TRUE,IF(Table1[[#This Row],[Fetal Sex (Male, Female or Unknown)]]="Male",Backend!$C$6,IF(Table1[[#This Row],[Fetal Sex (Male, Female or Unknown)]]="Female",Backend!$C$7,IF(Table1[[#This Row],[Fetal Sex (Male, Female or Unknown)]]="Unknown",Backend!$C$8,"Error"))),"")</f>
        <v/>
      </c>
      <c r="F1418" s="8" t="str">
        <f>IF(Table1[[#This Row],[Is Data Valid]]=TRUE,EXP(0.578+0.332*((Table1[[#This Row],[Gestation (days)]]+0.5)/7)-0.00354*((Table1[[#This Row],[Gestation (days)]]+0.5)/7)^2)*Table1[[#This Row],[BW40_3705]],"")</f>
        <v/>
      </c>
      <c r="G1418" s="2" t="str">
        <f>IF(Table1[[#This Row],[Is Data Valid]]=TRUE,((Table1[[#This Row],[Birthweight (grams)]]/Table1[[#This Row],[BW_GA]])-1)/(Backend!$B$4/100*Table1[[#This Row],[BW40_3705]]),"")</f>
        <v/>
      </c>
      <c r="H1418" s="7" t="str">
        <f>IF(Table1[[#This Row],[Is Data Valid]]=TRUE,((Table1[[#This Row],[Birthweight (grams)]]*0.9/Table1[[#This Row],[BW_GA]])-1)/(Backend!$B$4/100*Table1[[#This Row],[BW40_3705]]),"")</f>
        <v/>
      </c>
      <c r="I1418" s="7" t="str">
        <f>IF(Table1[[#This Row],[Is Data Valid]]=TRUE,((Table1[[#This Row],[Birthweight (grams)]]*1.1/Table1[[#This Row],[BW_GA]])-1)/(Backend!$B$4/100*Table1[[#This Row],[BW40_3705]]),"")</f>
        <v/>
      </c>
      <c r="J1418" s="7" t="str">
        <f>IF(Table1[[#This Row],[Is Data Valid]]=TRUE,_xlfn.NORM.S.DIST(Table1[[#This Row],[Birthweight Z-Score]],TRUE)*100,"")</f>
        <v/>
      </c>
      <c r="K1418" s="7" t="str">
        <f>IF(Table1[[#This Row],[Is Data Valid]]=TRUE,_xlfn.NORM.S.DIST(Table1[[#This Row],[Birthweight Z-Score (BW-10%)]],TRUE)*100,"")</f>
        <v/>
      </c>
      <c r="L1418" s="7" t="str">
        <f>IF(Table1[[#This Row],[Is Data Valid]]=TRUE,_xlfn.NORM.S.DIST(Table1[[#This Row],[Birthweight Z-Score (BW+10%)]],TRUE)*100,"")</f>
        <v/>
      </c>
    </row>
    <row r="1419" spans="1:12" x14ac:dyDescent="0.35">
      <c r="A1419" s="3"/>
      <c r="B1419" s="2"/>
      <c r="C1419" s="2"/>
      <c r="D1419" s="2" t="b">
        <f>IF(AND(NOT(ISBLANK(Table1[[#This Row],[Fetal Sex (Male, Female or Unknown)]])),ISNUMBER(Table1[[#This Row],[Birthweight (grams)]]),ISNUMBER(Table1[[#This Row],[Gestation (days)]])),TRUE,FALSE)</f>
        <v>0</v>
      </c>
      <c r="E1419" s="2" t="str">
        <f>IF(Table1[[#This Row],[Is Data Valid]]=TRUE,IF(Table1[[#This Row],[Fetal Sex (Male, Female or Unknown)]]="Male",Backend!$C$6,IF(Table1[[#This Row],[Fetal Sex (Male, Female or Unknown)]]="Female",Backend!$C$7,IF(Table1[[#This Row],[Fetal Sex (Male, Female or Unknown)]]="Unknown",Backend!$C$8,"Error"))),"")</f>
        <v/>
      </c>
      <c r="F1419" s="8" t="str">
        <f>IF(Table1[[#This Row],[Is Data Valid]]=TRUE,EXP(0.578+0.332*((Table1[[#This Row],[Gestation (days)]]+0.5)/7)-0.00354*((Table1[[#This Row],[Gestation (days)]]+0.5)/7)^2)*Table1[[#This Row],[BW40_3705]],"")</f>
        <v/>
      </c>
      <c r="G1419" s="2" t="str">
        <f>IF(Table1[[#This Row],[Is Data Valid]]=TRUE,((Table1[[#This Row],[Birthweight (grams)]]/Table1[[#This Row],[BW_GA]])-1)/(Backend!$B$4/100*Table1[[#This Row],[BW40_3705]]),"")</f>
        <v/>
      </c>
      <c r="H1419" s="7" t="str">
        <f>IF(Table1[[#This Row],[Is Data Valid]]=TRUE,((Table1[[#This Row],[Birthweight (grams)]]*0.9/Table1[[#This Row],[BW_GA]])-1)/(Backend!$B$4/100*Table1[[#This Row],[BW40_3705]]),"")</f>
        <v/>
      </c>
      <c r="I1419" s="7" t="str">
        <f>IF(Table1[[#This Row],[Is Data Valid]]=TRUE,((Table1[[#This Row],[Birthweight (grams)]]*1.1/Table1[[#This Row],[BW_GA]])-1)/(Backend!$B$4/100*Table1[[#This Row],[BW40_3705]]),"")</f>
        <v/>
      </c>
      <c r="J1419" s="7" t="str">
        <f>IF(Table1[[#This Row],[Is Data Valid]]=TRUE,_xlfn.NORM.S.DIST(Table1[[#This Row],[Birthweight Z-Score]],TRUE)*100,"")</f>
        <v/>
      </c>
      <c r="K1419" s="7" t="str">
        <f>IF(Table1[[#This Row],[Is Data Valid]]=TRUE,_xlfn.NORM.S.DIST(Table1[[#This Row],[Birthweight Z-Score (BW-10%)]],TRUE)*100,"")</f>
        <v/>
      </c>
      <c r="L1419" s="7" t="str">
        <f>IF(Table1[[#This Row],[Is Data Valid]]=TRUE,_xlfn.NORM.S.DIST(Table1[[#This Row],[Birthweight Z-Score (BW+10%)]],TRUE)*100,"")</f>
        <v/>
      </c>
    </row>
    <row r="1420" spans="1:12" x14ac:dyDescent="0.35">
      <c r="A1420" s="3"/>
      <c r="B1420" s="2"/>
      <c r="C1420" s="2"/>
      <c r="D1420" s="2" t="b">
        <f>IF(AND(NOT(ISBLANK(Table1[[#This Row],[Fetal Sex (Male, Female or Unknown)]])),ISNUMBER(Table1[[#This Row],[Birthweight (grams)]]),ISNUMBER(Table1[[#This Row],[Gestation (days)]])),TRUE,FALSE)</f>
        <v>0</v>
      </c>
      <c r="E1420" s="2" t="str">
        <f>IF(Table1[[#This Row],[Is Data Valid]]=TRUE,IF(Table1[[#This Row],[Fetal Sex (Male, Female or Unknown)]]="Male",Backend!$C$6,IF(Table1[[#This Row],[Fetal Sex (Male, Female or Unknown)]]="Female",Backend!$C$7,IF(Table1[[#This Row],[Fetal Sex (Male, Female or Unknown)]]="Unknown",Backend!$C$8,"Error"))),"")</f>
        <v/>
      </c>
      <c r="F1420" s="8" t="str">
        <f>IF(Table1[[#This Row],[Is Data Valid]]=TRUE,EXP(0.578+0.332*((Table1[[#This Row],[Gestation (days)]]+0.5)/7)-0.00354*((Table1[[#This Row],[Gestation (days)]]+0.5)/7)^2)*Table1[[#This Row],[BW40_3705]],"")</f>
        <v/>
      </c>
      <c r="G1420" s="2" t="str">
        <f>IF(Table1[[#This Row],[Is Data Valid]]=TRUE,((Table1[[#This Row],[Birthweight (grams)]]/Table1[[#This Row],[BW_GA]])-1)/(Backend!$B$4/100*Table1[[#This Row],[BW40_3705]]),"")</f>
        <v/>
      </c>
      <c r="H1420" s="7" t="str">
        <f>IF(Table1[[#This Row],[Is Data Valid]]=TRUE,((Table1[[#This Row],[Birthweight (grams)]]*0.9/Table1[[#This Row],[BW_GA]])-1)/(Backend!$B$4/100*Table1[[#This Row],[BW40_3705]]),"")</f>
        <v/>
      </c>
      <c r="I1420" s="7" t="str">
        <f>IF(Table1[[#This Row],[Is Data Valid]]=TRUE,((Table1[[#This Row],[Birthweight (grams)]]*1.1/Table1[[#This Row],[BW_GA]])-1)/(Backend!$B$4/100*Table1[[#This Row],[BW40_3705]]),"")</f>
        <v/>
      </c>
      <c r="J1420" s="7" t="str">
        <f>IF(Table1[[#This Row],[Is Data Valid]]=TRUE,_xlfn.NORM.S.DIST(Table1[[#This Row],[Birthweight Z-Score]],TRUE)*100,"")</f>
        <v/>
      </c>
      <c r="K1420" s="7" t="str">
        <f>IF(Table1[[#This Row],[Is Data Valid]]=TRUE,_xlfn.NORM.S.DIST(Table1[[#This Row],[Birthweight Z-Score (BW-10%)]],TRUE)*100,"")</f>
        <v/>
      </c>
      <c r="L1420" s="7" t="str">
        <f>IF(Table1[[#This Row],[Is Data Valid]]=TRUE,_xlfn.NORM.S.DIST(Table1[[#This Row],[Birthweight Z-Score (BW+10%)]],TRUE)*100,"")</f>
        <v/>
      </c>
    </row>
    <row r="1421" spans="1:12" x14ac:dyDescent="0.35">
      <c r="A1421" s="3"/>
      <c r="B1421" s="2"/>
      <c r="C1421" s="2"/>
      <c r="D1421" s="2" t="b">
        <f>IF(AND(NOT(ISBLANK(Table1[[#This Row],[Fetal Sex (Male, Female or Unknown)]])),ISNUMBER(Table1[[#This Row],[Birthweight (grams)]]),ISNUMBER(Table1[[#This Row],[Gestation (days)]])),TRUE,FALSE)</f>
        <v>0</v>
      </c>
      <c r="E1421" s="2" t="str">
        <f>IF(Table1[[#This Row],[Is Data Valid]]=TRUE,IF(Table1[[#This Row],[Fetal Sex (Male, Female or Unknown)]]="Male",Backend!$C$6,IF(Table1[[#This Row],[Fetal Sex (Male, Female or Unknown)]]="Female",Backend!$C$7,IF(Table1[[#This Row],[Fetal Sex (Male, Female or Unknown)]]="Unknown",Backend!$C$8,"Error"))),"")</f>
        <v/>
      </c>
      <c r="F1421" s="8" t="str">
        <f>IF(Table1[[#This Row],[Is Data Valid]]=TRUE,EXP(0.578+0.332*((Table1[[#This Row],[Gestation (days)]]+0.5)/7)-0.00354*((Table1[[#This Row],[Gestation (days)]]+0.5)/7)^2)*Table1[[#This Row],[BW40_3705]],"")</f>
        <v/>
      </c>
      <c r="G1421" s="2" t="str">
        <f>IF(Table1[[#This Row],[Is Data Valid]]=TRUE,((Table1[[#This Row],[Birthweight (grams)]]/Table1[[#This Row],[BW_GA]])-1)/(Backend!$B$4/100*Table1[[#This Row],[BW40_3705]]),"")</f>
        <v/>
      </c>
      <c r="H1421" s="7" t="str">
        <f>IF(Table1[[#This Row],[Is Data Valid]]=TRUE,((Table1[[#This Row],[Birthweight (grams)]]*0.9/Table1[[#This Row],[BW_GA]])-1)/(Backend!$B$4/100*Table1[[#This Row],[BW40_3705]]),"")</f>
        <v/>
      </c>
      <c r="I1421" s="7" t="str">
        <f>IF(Table1[[#This Row],[Is Data Valid]]=TRUE,((Table1[[#This Row],[Birthweight (grams)]]*1.1/Table1[[#This Row],[BW_GA]])-1)/(Backend!$B$4/100*Table1[[#This Row],[BW40_3705]]),"")</f>
        <v/>
      </c>
      <c r="J1421" s="7" t="str">
        <f>IF(Table1[[#This Row],[Is Data Valid]]=TRUE,_xlfn.NORM.S.DIST(Table1[[#This Row],[Birthweight Z-Score]],TRUE)*100,"")</f>
        <v/>
      </c>
      <c r="K1421" s="7" t="str">
        <f>IF(Table1[[#This Row],[Is Data Valid]]=TRUE,_xlfn.NORM.S.DIST(Table1[[#This Row],[Birthweight Z-Score (BW-10%)]],TRUE)*100,"")</f>
        <v/>
      </c>
      <c r="L1421" s="7" t="str">
        <f>IF(Table1[[#This Row],[Is Data Valid]]=TRUE,_xlfn.NORM.S.DIST(Table1[[#This Row],[Birthweight Z-Score (BW+10%)]],TRUE)*100,"")</f>
        <v/>
      </c>
    </row>
    <row r="1422" spans="1:12" x14ac:dyDescent="0.35">
      <c r="A1422" s="3"/>
      <c r="B1422" s="2"/>
      <c r="C1422" s="2"/>
      <c r="D1422" s="2" t="b">
        <f>IF(AND(NOT(ISBLANK(Table1[[#This Row],[Fetal Sex (Male, Female or Unknown)]])),ISNUMBER(Table1[[#This Row],[Birthweight (grams)]]),ISNUMBER(Table1[[#This Row],[Gestation (days)]])),TRUE,FALSE)</f>
        <v>0</v>
      </c>
      <c r="E1422" s="2" t="str">
        <f>IF(Table1[[#This Row],[Is Data Valid]]=TRUE,IF(Table1[[#This Row],[Fetal Sex (Male, Female or Unknown)]]="Male",Backend!$C$6,IF(Table1[[#This Row],[Fetal Sex (Male, Female or Unknown)]]="Female",Backend!$C$7,IF(Table1[[#This Row],[Fetal Sex (Male, Female or Unknown)]]="Unknown",Backend!$C$8,"Error"))),"")</f>
        <v/>
      </c>
      <c r="F1422" s="8" t="str">
        <f>IF(Table1[[#This Row],[Is Data Valid]]=TRUE,EXP(0.578+0.332*((Table1[[#This Row],[Gestation (days)]]+0.5)/7)-0.00354*((Table1[[#This Row],[Gestation (days)]]+0.5)/7)^2)*Table1[[#This Row],[BW40_3705]],"")</f>
        <v/>
      </c>
      <c r="G1422" s="2" t="str">
        <f>IF(Table1[[#This Row],[Is Data Valid]]=TRUE,((Table1[[#This Row],[Birthweight (grams)]]/Table1[[#This Row],[BW_GA]])-1)/(Backend!$B$4/100*Table1[[#This Row],[BW40_3705]]),"")</f>
        <v/>
      </c>
      <c r="H1422" s="7" t="str">
        <f>IF(Table1[[#This Row],[Is Data Valid]]=TRUE,((Table1[[#This Row],[Birthweight (grams)]]*0.9/Table1[[#This Row],[BW_GA]])-1)/(Backend!$B$4/100*Table1[[#This Row],[BW40_3705]]),"")</f>
        <v/>
      </c>
      <c r="I1422" s="7" t="str">
        <f>IF(Table1[[#This Row],[Is Data Valid]]=TRUE,((Table1[[#This Row],[Birthweight (grams)]]*1.1/Table1[[#This Row],[BW_GA]])-1)/(Backend!$B$4/100*Table1[[#This Row],[BW40_3705]]),"")</f>
        <v/>
      </c>
      <c r="J1422" s="7" t="str">
        <f>IF(Table1[[#This Row],[Is Data Valid]]=TRUE,_xlfn.NORM.S.DIST(Table1[[#This Row],[Birthweight Z-Score]],TRUE)*100,"")</f>
        <v/>
      </c>
      <c r="K1422" s="7" t="str">
        <f>IF(Table1[[#This Row],[Is Data Valid]]=TRUE,_xlfn.NORM.S.DIST(Table1[[#This Row],[Birthweight Z-Score (BW-10%)]],TRUE)*100,"")</f>
        <v/>
      </c>
      <c r="L1422" s="7" t="str">
        <f>IF(Table1[[#This Row],[Is Data Valid]]=TRUE,_xlfn.NORM.S.DIST(Table1[[#This Row],[Birthweight Z-Score (BW+10%)]],TRUE)*100,"")</f>
        <v/>
      </c>
    </row>
    <row r="1423" spans="1:12" x14ac:dyDescent="0.35">
      <c r="A1423" s="3"/>
      <c r="B1423" s="2"/>
      <c r="C1423" s="2"/>
      <c r="D1423" s="2" t="b">
        <f>IF(AND(NOT(ISBLANK(Table1[[#This Row],[Fetal Sex (Male, Female or Unknown)]])),ISNUMBER(Table1[[#This Row],[Birthweight (grams)]]),ISNUMBER(Table1[[#This Row],[Gestation (days)]])),TRUE,FALSE)</f>
        <v>0</v>
      </c>
      <c r="E1423" s="2" t="str">
        <f>IF(Table1[[#This Row],[Is Data Valid]]=TRUE,IF(Table1[[#This Row],[Fetal Sex (Male, Female or Unknown)]]="Male",Backend!$C$6,IF(Table1[[#This Row],[Fetal Sex (Male, Female or Unknown)]]="Female",Backend!$C$7,IF(Table1[[#This Row],[Fetal Sex (Male, Female or Unknown)]]="Unknown",Backend!$C$8,"Error"))),"")</f>
        <v/>
      </c>
      <c r="F1423" s="8" t="str">
        <f>IF(Table1[[#This Row],[Is Data Valid]]=TRUE,EXP(0.578+0.332*((Table1[[#This Row],[Gestation (days)]]+0.5)/7)-0.00354*((Table1[[#This Row],[Gestation (days)]]+0.5)/7)^2)*Table1[[#This Row],[BW40_3705]],"")</f>
        <v/>
      </c>
      <c r="G1423" s="2" t="str">
        <f>IF(Table1[[#This Row],[Is Data Valid]]=TRUE,((Table1[[#This Row],[Birthweight (grams)]]/Table1[[#This Row],[BW_GA]])-1)/(Backend!$B$4/100*Table1[[#This Row],[BW40_3705]]),"")</f>
        <v/>
      </c>
      <c r="H1423" s="7" t="str">
        <f>IF(Table1[[#This Row],[Is Data Valid]]=TRUE,((Table1[[#This Row],[Birthweight (grams)]]*0.9/Table1[[#This Row],[BW_GA]])-1)/(Backend!$B$4/100*Table1[[#This Row],[BW40_3705]]),"")</f>
        <v/>
      </c>
      <c r="I1423" s="7" t="str">
        <f>IF(Table1[[#This Row],[Is Data Valid]]=TRUE,((Table1[[#This Row],[Birthweight (grams)]]*1.1/Table1[[#This Row],[BW_GA]])-1)/(Backend!$B$4/100*Table1[[#This Row],[BW40_3705]]),"")</f>
        <v/>
      </c>
      <c r="J1423" s="7" t="str">
        <f>IF(Table1[[#This Row],[Is Data Valid]]=TRUE,_xlfn.NORM.S.DIST(Table1[[#This Row],[Birthweight Z-Score]],TRUE)*100,"")</f>
        <v/>
      </c>
      <c r="K1423" s="7" t="str">
        <f>IF(Table1[[#This Row],[Is Data Valid]]=TRUE,_xlfn.NORM.S.DIST(Table1[[#This Row],[Birthweight Z-Score (BW-10%)]],TRUE)*100,"")</f>
        <v/>
      </c>
      <c r="L1423" s="7" t="str">
        <f>IF(Table1[[#This Row],[Is Data Valid]]=TRUE,_xlfn.NORM.S.DIST(Table1[[#This Row],[Birthweight Z-Score (BW+10%)]],TRUE)*100,"")</f>
        <v/>
      </c>
    </row>
    <row r="1424" spans="1:12" x14ac:dyDescent="0.35">
      <c r="A1424" s="3"/>
      <c r="B1424" s="2"/>
      <c r="C1424" s="2"/>
      <c r="D1424" s="2" t="b">
        <f>IF(AND(NOT(ISBLANK(Table1[[#This Row],[Fetal Sex (Male, Female or Unknown)]])),ISNUMBER(Table1[[#This Row],[Birthweight (grams)]]),ISNUMBER(Table1[[#This Row],[Gestation (days)]])),TRUE,FALSE)</f>
        <v>0</v>
      </c>
      <c r="E1424" s="2" t="str">
        <f>IF(Table1[[#This Row],[Is Data Valid]]=TRUE,IF(Table1[[#This Row],[Fetal Sex (Male, Female or Unknown)]]="Male",Backend!$C$6,IF(Table1[[#This Row],[Fetal Sex (Male, Female or Unknown)]]="Female",Backend!$C$7,IF(Table1[[#This Row],[Fetal Sex (Male, Female or Unknown)]]="Unknown",Backend!$C$8,"Error"))),"")</f>
        <v/>
      </c>
      <c r="F1424" s="8" t="str">
        <f>IF(Table1[[#This Row],[Is Data Valid]]=TRUE,EXP(0.578+0.332*((Table1[[#This Row],[Gestation (days)]]+0.5)/7)-0.00354*((Table1[[#This Row],[Gestation (days)]]+0.5)/7)^2)*Table1[[#This Row],[BW40_3705]],"")</f>
        <v/>
      </c>
      <c r="G1424" s="2" t="str">
        <f>IF(Table1[[#This Row],[Is Data Valid]]=TRUE,((Table1[[#This Row],[Birthweight (grams)]]/Table1[[#This Row],[BW_GA]])-1)/(Backend!$B$4/100*Table1[[#This Row],[BW40_3705]]),"")</f>
        <v/>
      </c>
      <c r="H1424" s="7" t="str">
        <f>IF(Table1[[#This Row],[Is Data Valid]]=TRUE,((Table1[[#This Row],[Birthweight (grams)]]*0.9/Table1[[#This Row],[BW_GA]])-1)/(Backend!$B$4/100*Table1[[#This Row],[BW40_3705]]),"")</f>
        <v/>
      </c>
      <c r="I1424" s="7" t="str">
        <f>IF(Table1[[#This Row],[Is Data Valid]]=TRUE,((Table1[[#This Row],[Birthweight (grams)]]*1.1/Table1[[#This Row],[BW_GA]])-1)/(Backend!$B$4/100*Table1[[#This Row],[BW40_3705]]),"")</f>
        <v/>
      </c>
      <c r="J1424" s="7" t="str">
        <f>IF(Table1[[#This Row],[Is Data Valid]]=TRUE,_xlfn.NORM.S.DIST(Table1[[#This Row],[Birthweight Z-Score]],TRUE)*100,"")</f>
        <v/>
      </c>
      <c r="K1424" s="7" t="str">
        <f>IF(Table1[[#This Row],[Is Data Valid]]=TRUE,_xlfn.NORM.S.DIST(Table1[[#This Row],[Birthweight Z-Score (BW-10%)]],TRUE)*100,"")</f>
        <v/>
      </c>
      <c r="L1424" s="7" t="str">
        <f>IF(Table1[[#This Row],[Is Data Valid]]=TRUE,_xlfn.NORM.S.DIST(Table1[[#This Row],[Birthweight Z-Score (BW+10%)]],TRUE)*100,"")</f>
        <v/>
      </c>
    </row>
    <row r="1425" spans="1:12" x14ac:dyDescent="0.35">
      <c r="A1425" s="3"/>
      <c r="B1425" s="2"/>
      <c r="C1425" s="2"/>
      <c r="D1425" s="2" t="b">
        <f>IF(AND(NOT(ISBLANK(Table1[[#This Row],[Fetal Sex (Male, Female or Unknown)]])),ISNUMBER(Table1[[#This Row],[Birthweight (grams)]]),ISNUMBER(Table1[[#This Row],[Gestation (days)]])),TRUE,FALSE)</f>
        <v>0</v>
      </c>
      <c r="E1425" s="2" t="str">
        <f>IF(Table1[[#This Row],[Is Data Valid]]=TRUE,IF(Table1[[#This Row],[Fetal Sex (Male, Female or Unknown)]]="Male",Backend!$C$6,IF(Table1[[#This Row],[Fetal Sex (Male, Female or Unknown)]]="Female",Backend!$C$7,IF(Table1[[#This Row],[Fetal Sex (Male, Female or Unknown)]]="Unknown",Backend!$C$8,"Error"))),"")</f>
        <v/>
      </c>
      <c r="F1425" s="8" t="str">
        <f>IF(Table1[[#This Row],[Is Data Valid]]=TRUE,EXP(0.578+0.332*((Table1[[#This Row],[Gestation (days)]]+0.5)/7)-0.00354*((Table1[[#This Row],[Gestation (days)]]+0.5)/7)^2)*Table1[[#This Row],[BW40_3705]],"")</f>
        <v/>
      </c>
      <c r="G1425" s="2" t="str">
        <f>IF(Table1[[#This Row],[Is Data Valid]]=TRUE,((Table1[[#This Row],[Birthweight (grams)]]/Table1[[#This Row],[BW_GA]])-1)/(Backend!$B$4/100*Table1[[#This Row],[BW40_3705]]),"")</f>
        <v/>
      </c>
      <c r="H1425" s="7" t="str">
        <f>IF(Table1[[#This Row],[Is Data Valid]]=TRUE,((Table1[[#This Row],[Birthweight (grams)]]*0.9/Table1[[#This Row],[BW_GA]])-1)/(Backend!$B$4/100*Table1[[#This Row],[BW40_3705]]),"")</f>
        <v/>
      </c>
      <c r="I1425" s="7" t="str">
        <f>IF(Table1[[#This Row],[Is Data Valid]]=TRUE,((Table1[[#This Row],[Birthweight (grams)]]*1.1/Table1[[#This Row],[BW_GA]])-1)/(Backend!$B$4/100*Table1[[#This Row],[BW40_3705]]),"")</f>
        <v/>
      </c>
      <c r="J1425" s="7" t="str">
        <f>IF(Table1[[#This Row],[Is Data Valid]]=TRUE,_xlfn.NORM.S.DIST(Table1[[#This Row],[Birthweight Z-Score]],TRUE)*100,"")</f>
        <v/>
      </c>
      <c r="K1425" s="7" t="str">
        <f>IF(Table1[[#This Row],[Is Data Valid]]=TRUE,_xlfn.NORM.S.DIST(Table1[[#This Row],[Birthweight Z-Score (BW-10%)]],TRUE)*100,"")</f>
        <v/>
      </c>
      <c r="L1425" s="7" t="str">
        <f>IF(Table1[[#This Row],[Is Data Valid]]=TRUE,_xlfn.NORM.S.DIST(Table1[[#This Row],[Birthweight Z-Score (BW+10%)]],TRUE)*100,"")</f>
        <v/>
      </c>
    </row>
    <row r="1426" spans="1:12" x14ac:dyDescent="0.35">
      <c r="A1426" s="3"/>
      <c r="B1426" s="2"/>
      <c r="C1426" s="2"/>
      <c r="D1426" s="2" t="b">
        <f>IF(AND(NOT(ISBLANK(Table1[[#This Row],[Fetal Sex (Male, Female or Unknown)]])),ISNUMBER(Table1[[#This Row],[Birthweight (grams)]]),ISNUMBER(Table1[[#This Row],[Gestation (days)]])),TRUE,FALSE)</f>
        <v>0</v>
      </c>
      <c r="E1426" s="2" t="str">
        <f>IF(Table1[[#This Row],[Is Data Valid]]=TRUE,IF(Table1[[#This Row],[Fetal Sex (Male, Female or Unknown)]]="Male",Backend!$C$6,IF(Table1[[#This Row],[Fetal Sex (Male, Female or Unknown)]]="Female",Backend!$C$7,IF(Table1[[#This Row],[Fetal Sex (Male, Female or Unknown)]]="Unknown",Backend!$C$8,"Error"))),"")</f>
        <v/>
      </c>
      <c r="F1426" s="8" t="str">
        <f>IF(Table1[[#This Row],[Is Data Valid]]=TRUE,EXP(0.578+0.332*((Table1[[#This Row],[Gestation (days)]]+0.5)/7)-0.00354*((Table1[[#This Row],[Gestation (days)]]+0.5)/7)^2)*Table1[[#This Row],[BW40_3705]],"")</f>
        <v/>
      </c>
      <c r="G1426" s="2" t="str">
        <f>IF(Table1[[#This Row],[Is Data Valid]]=TRUE,((Table1[[#This Row],[Birthweight (grams)]]/Table1[[#This Row],[BW_GA]])-1)/(Backend!$B$4/100*Table1[[#This Row],[BW40_3705]]),"")</f>
        <v/>
      </c>
      <c r="H1426" s="7" t="str">
        <f>IF(Table1[[#This Row],[Is Data Valid]]=TRUE,((Table1[[#This Row],[Birthweight (grams)]]*0.9/Table1[[#This Row],[BW_GA]])-1)/(Backend!$B$4/100*Table1[[#This Row],[BW40_3705]]),"")</f>
        <v/>
      </c>
      <c r="I1426" s="7" t="str">
        <f>IF(Table1[[#This Row],[Is Data Valid]]=TRUE,((Table1[[#This Row],[Birthweight (grams)]]*1.1/Table1[[#This Row],[BW_GA]])-1)/(Backend!$B$4/100*Table1[[#This Row],[BW40_3705]]),"")</f>
        <v/>
      </c>
      <c r="J1426" s="7" t="str">
        <f>IF(Table1[[#This Row],[Is Data Valid]]=TRUE,_xlfn.NORM.S.DIST(Table1[[#This Row],[Birthweight Z-Score]],TRUE)*100,"")</f>
        <v/>
      </c>
      <c r="K1426" s="7" t="str">
        <f>IF(Table1[[#This Row],[Is Data Valid]]=TRUE,_xlfn.NORM.S.DIST(Table1[[#This Row],[Birthweight Z-Score (BW-10%)]],TRUE)*100,"")</f>
        <v/>
      </c>
      <c r="L1426" s="7" t="str">
        <f>IF(Table1[[#This Row],[Is Data Valid]]=TRUE,_xlfn.NORM.S.DIST(Table1[[#This Row],[Birthweight Z-Score (BW+10%)]],TRUE)*100,"")</f>
        <v/>
      </c>
    </row>
    <row r="1427" spans="1:12" x14ac:dyDescent="0.35">
      <c r="A1427" s="3"/>
      <c r="B1427" s="2"/>
      <c r="C1427" s="2"/>
      <c r="D1427" s="2" t="b">
        <f>IF(AND(NOT(ISBLANK(Table1[[#This Row],[Fetal Sex (Male, Female or Unknown)]])),ISNUMBER(Table1[[#This Row],[Birthweight (grams)]]),ISNUMBER(Table1[[#This Row],[Gestation (days)]])),TRUE,FALSE)</f>
        <v>0</v>
      </c>
      <c r="E1427" s="2" t="str">
        <f>IF(Table1[[#This Row],[Is Data Valid]]=TRUE,IF(Table1[[#This Row],[Fetal Sex (Male, Female or Unknown)]]="Male",Backend!$C$6,IF(Table1[[#This Row],[Fetal Sex (Male, Female or Unknown)]]="Female",Backend!$C$7,IF(Table1[[#This Row],[Fetal Sex (Male, Female or Unknown)]]="Unknown",Backend!$C$8,"Error"))),"")</f>
        <v/>
      </c>
      <c r="F1427" s="8" t="str">
        <f>IF(Table1[[#This Row],[Is Data Valid]]=TRUE,EXP(0.578+0.332*((Table1[[#This Row],[Gestation (days)]]+0.5)/7)-0.00354*((Table1[[#This Row],[Gestation (days)]]+0.5)/7)^2)*Table1[[#This Row],[BW40_3705]],"")</f>
        <v/>
      </c>
      <c r="G1427" s="2" t="str">
        <f>IF(Table1[[#This Row],[Is Data Valid]]=TRUE,((Table1[[#This Row],[Birthweight (grams)]]/Table1[[#This Row],[BW_GA]])-1)/(Backend!$B$4/100*Table1[[#This Row],[BW40_3705]]),"")</f>
        <v/>
      </c>
      <c r="H1427" s="7" t="str">
        <f>IF(Table1[[#This Row],[Is Data Valid]]=TRUE,((Table1[[#This Row],[Birthweight (grams)]]*0.9/Table1[[#This Row],[BW_GA]])-1)/(Backend!$B$4/100*Table1[[#This Row],[BW40_3705]]),"")</f>
        <v/>
      </c>
      <c r="I1427" s="7" t="str">
        <f>IF(Table1[[#This Row],[Is Data Valid]]=TRUE,((Table1[[#This Row],[Birthweight (grams)]]*1.1/Table1[[#This Row],[BW_GA]])-1)/(Backend!$B$4/100*Table1[[#This Row],[BW40_3705]]),"")</f>
        <v/>
      </c>
      <c r="J1427" s="7" t="str">
        <f>IF(Table1[[#This Row],[Is Data Valid]]=TRUE,_xlfn.NORM.S.DIST(Table1[[#This Row],[Birthweight Z-Score]],TRUE)*100,"")</f>
        <v/>
      </c>
      <c r="K1427" s="7" t="str">
        <f>IF(Table1[[#This Row],[Is Data Valid]]=TRUE,_xlfn.NORM.S.DIST(Table1[[#This Row],[Birthweight Z-Score (BW-10%)]],TRUE)*100,"")</f>
        <v/>
      </c>
      <c r="L1427" s="7" t="str">
        <f>IF(Table1[[#This Row],[Is Data Valid]]=TRUE,_xlfn.NORM.S.DIST(Table1[[#This Row],[Birthweight Z-Score (BW+10%)]],TRUE)*100,"")</f>
        <v/>
      </c>
    </row>
    <row r="1428" spans="1:12" x14ac:dyDescent="0.35">
      <c r="A1428" s="3"/>
      <c r="B1428" s="2"/>
      <c r="C1428" s="2"/>
      <c r="D1428" s="2" t="b">
        <f>IF(AND(NOT(ISBLANK(Table1[[#This Row],[Fetal Sex (Male, Female or Unknown)]])),ISNUMBER(Table1[[#This Row],[Birthweight (grams)]]),ISNUMBER(Table1[[#This Row],[Gestation (days)]])),TRUE,FALSE)</f>
        <v>0</v>
      </c>
      <c r="E1428" s="2" t="str">
        <f>IF(Table1[[#This Row],[Is Data Valid]]=TRUE,IF(Table1[[#This Row],[Fetal Sex (Male, Female or Unknown)]]="Male",Backend!$C$6,IF(Table1[[#This Row],[Fetal Sex (Male, Female or Unknown)]]="Female",Backend!$C$7,IF(Table1[[#This Row],[Fetal Sex (Male, Female or Unknown)]]="Unknown",Backend!$C$8,"Error"))),"")</f>
        <v/>
      </c>
      <c r="F1428" s="8" t="str">
        <f>IF(Table1[[#This Row],[Is Data Valid]]=TRUE,EXP(0.578+0.332*((Table1[[#This Row],[Gestation (days)]]+0.5)/7)-0.00354*((Table1[[#This Row],[Gestation (days)]]+0.5)/7)^2)*Table1[[#This Row],[BW40_3705]],"")</f>
        <v/>
      </c>
      <c r="G1428" s="2" t="str">
        <f>IF(Table1[[#This Row],[Is Data Valid]]=TRUE,((Table1[[#This Row],[Birthweight (grams)]]/Table1[[#This Row],[BW_GA]])-1)/(Backend!$B$4/100*Table1[[#This Row],[BW40_3705]]),"")</f>
        <v/>
      </c>
      <c r="H1428" s="7" t="str">
        <f>IF(Table1[[#This Row],[Is Data Valid]]=TRUE,((Table1[[#This Row],[Birthweight (grams)]]*0.9/Table1[[#This Row],[BW_GA]])-1)/(Backend!$B$4/100*Table1[[#This Row],[BW40_3705]]),"")</f>
        <v/>
      </c>
      <c r="I1428" s="7" t="str">
        <f>IF(Table1[[#This Row],[Is Data Valid]]=TRUE,((Table1[[#This Row],[Birthweight (grams)]]*1.1/Table1[[#This Row],[BW_GA]])-1)/(Backend!$B$4/100*Table1[[#This Row],[BW40_3705]]),"")</f>
        <v/>
      </c>
      <c r="J1428" s="7" t="str">
        <f>IF(Table1[[#This Row],[Is Data Valid]]=TRUE,_xlfn.NORM.S.DIST(Table1[[#This Row],[Birthweight Z-Score]],TRUE)*100,"")</f>
        <v/>
      </c>
      <c r="K1428" s="7" t="str">
        <f>IF(Table1[[#This Row],[Is Data Valid]]=TRUE,_xlfn.NORM.S.DIST(Table1[[#This Row],[Birthweight Z-Score (BW-10%)]],TRUE)*100,"")</f>
        <v/>
      </c>
      <c r="L1428" s="7" t="str">
        <f>IF(Table1[[#This Row],[Is Data Valid]]=TRUE,_xlfn.NORM.S.DIST(Table1[[#This Row],[Birthweight Z-Score (BW+10%)]],TRUE)*100,"")</f>
        <v/>
      </c>
    </row>
    <row r="1429" spans="1:12" x14ac:dyDescent="0.35">
      <c r="A1429" s="3"/>
      <c r="B1429" s="2"/>
      <c r="C1429" s="2"/>
      <c r="D1429" s="2" t="b">
        <f>IF(AND(NOT(ISBLANK(Table1[[#This Row],[Fetal Sex (Male, Female or Unknown)]])),ISNUMBER(Table1[[#This Row],[Birthweight (grams)]]),ISNUMBER(Table1[[#This Row],[Gestation (days)]])),TRUE,FALSE)</f>
        <v>0</v>
      </c>
      <c r="E1429" s="2" t="str">
        <f>IF(Table1[[#This Row],[Is Data Valid]]=TRUE,IF(Table1[[#This Row],[Fetal Sex (Male, Female or Unknown)]]="Male",Backend!$C$6,IF(Table1[[#This Row],[Fetal Sex (Male, Female or Unknown)]]="Female",Backend!$C$7,IF(Table1[[#This Row],[Fetal Sex (Male, Female or Unknown)]]="Unknown",Backend!$C$8,"Error"))),"")</f>
        <v/>
      </c>
      <c r="F1429" s="8" t="str">
        <f>IF(Table1[[#This Row],[Is Data Valid]]=TRUE,EXP(0.578+0.332*((Table1[[#This Row],[Gestation (days)]]+0.5)/7)-0.00354*((Table1[[#This Row],[Gestation (days)]]+0.5)/7)^2)*Table1[[#This Row],[BW40_3705]],"")</f>
        <v/>
      </c>
      <c r="G1429" s="2" t="str">
        <f>IF(Table1[[#This Row],[Is Data Valid]]=TRUE,((Table1[[#This Row],[Birthweight (grams)]]/Table1[[#This Row],[BW_GA]])-1)/(Backend!$B$4/100*Table1[[#This Row],[BW40_3705]]),"")</f>
        <v/>
      </c>
      <c r="H1429" s="7" t="str">
        <f>IF(Table1[[#This Row],[Is Data Valid]]=TRUE,((Table1[[#This Row],[Birthweight (grams)]]*0.9/Table1[[#This Row],[BW_GA]])-1)/(Backend!$B$4/100*Table1[[#This Row],[BW40_3705]]),"")</f>
        <v/>
      </c>
      <c r="I1429" s="7" t="str">
        <f>IF(Table1[[#This Row],[Is Data Valid]]=TRUE,((Table1[[#This Row],[Birthweight (grams)]]*1.1/Table1[[#This Row],[BW_GA]])-1)/(Backend!$B$4/100*Table1[[#This Row],[BW40_3705]]),"")</f>
        <v/>
      </c>
      <c r="J1429" s="7" t="str">
        <f>IF(Table1[[#This Row],[Is Data Valid]]=TRUE,_xlfn.NORM.S.DIST(Table1[[#This Row],[Birthweight Z-Score]],TRUE)*100,"")</f>
        <v/>
      </c>
      <c r="K1429" s="7" t="str">
        <f>IF(Table1[[#This Row],[Is Data Valid]]=TRUE,_xlfn.NORM.S.DIST(Table1[[#This Row],[Birthweight Z-Score (BW-10%)]],TRUE)*100,"")</f>
        <v/>
      </c>
      <c r="L1429" s="7" t="str">
        <f>IF(Table1[[#This Row],[Is Data Valid]]=TRUE,_xlfn.NORM.S.DIST(Table1[[#This Row],[Birthweight Z-Score (BW+10%)]],TRUE)*100,"")</f>
        <v/>
      </c>
    </row>
    <row r="1430" spans="1:12" x14ac:dyDescent="0.35">
      <c r="A1430" s="3"/>
      <c r="B1430" s="2"/>
      <c r="C1430" s="2"/>
      <c r="D1430" s="2" t="b">
        <f>IF(AND(NOT(ISBLANK(Table1[[#This Row],[Fetal Sex (Male, Female or Unknown)]])),ISNUMBER(Table1[[#This Row],[Birthweight (grams)]]),ISNUMBER(Table1[[#This Row],[Gestation (days)]])),TRUE,FALSE)</f>
        <v>0</v>
      </c>
      <c r="E1430" s="2" t="str">
        <f>IF(Table1[[#This Row],[Is Data Valid]]=TRUE,IF(Table1[[#This Row],[Fetal Sex (Male, Female or Unknown)]]="Male",Backend!$C$6,IF(Table1[[#This Row],[Fetal Sex (Male, Female or Unknown)]]="Female",Backend!$C$7,IF(Table1[[#This Row],[Fetal Sex (Male, Female or Unknown)]]="Unknown",Backend!$C$8,"Error"))),"")</f>
        <v/>
      </c>
      <c r="F1430" s="8" t="str">
        <f>IF(Table1[[#This Row],[Is Data Valid]]=TRUE,EXP(0.578+0.332*((Table1[[#This Row],[Gestation (days)]]+0.5)/7)-0.00354*((Table1[[#This Row],[Gestation (days)]]+0.5)/7)^2)*Table1[[#This Row],[BW40_3705]],"")</f>
        <v/>
      </c>
      <c r="G1430" s="2" t="str">
        <f>IF(Table1[[#This Row],[Is Data Valid]]=TRUE,((Table1[[#This Row],[Birthweight (grams)]]/Table1[[#This Row],[BW_GA]])-1)/(Backend!$B$4/100*Table1[[#This Row],[BW40_3705]]),"")</f>
        <v/>
      </c>
      <c r="H1430" s="7" t="str">
        <f>IF(Table1[[#This Row],[Is Data Valid]]=TRUE,((Table1[[#This Row],[Birthweight (grams)]]*0.9/Table1[[#This Row],[BW_GA]])-1)/(Backend!$B$4/100*Table1[[#This Row],[BW40_3705]]),"")</f>
        <v/>
      </c>
      <c r="I1430" s="7" t="str">
        <f>IF(Table1[[#This Row],[Is Data Valid]]=TRUE,((Table1[[#This Row],[Birthweight (grams)]]*1.1/Table1[[#This Row],[BW_GA]])-1)/(Backend!$B$4/100*Table1[[#This Row],[BW40_3705]]),"")</f>
        <v/>
      </c>
      <c r="J1430" s="7" t="str">
        <f>IF(Table1[[#This Row],[Is Data Valid]]=TRUE,_xlfn.NORM.S.DIST(Table1[[#This Row],[Birthweight Z-Score]],TRUE)*100,"")</f>
        <v/>
      </c>
      <c r="K1430" s="7" t="str">
        <f>IF(Table1[[#This Row],[Is Data Valid]]=TRUE,_xlfn.NORM.S.DIST(Table1[[#This Row],[Birthweight Z-Score (BW-10%)]],TRUE)*100,"")</f>
        <v/>
      </c>
      <c r="L1430" s="7" t="str">
        <f>IF(Table1[[#This Row],[Is Data Valid]]=TRUE,_xlfn.NORM.S.DIST(Table1[[#This Row],[Birthweight Z-Score (BW+10%)]],TRUE)*100,"")</f>
        <v/>
      </c>
    </row>
    <row r="1431" spans="1:12" x14ac:dyDescent="0.35">
      <c r="A1431" s="3"/>
      <c r="B1431" s="2"/>
      <c r="C1431" s="2"/>
      <c r="D1431" s="2" t="b">
        <f>IF(AND(NOT(ISBLANK(Table1[[#This Row],[Fetal Sex (Male, Female or Unknown)]])),ISNUMBER(Table1[[#This Row],[Birthweight (grams)]]),ISNUMBER(Table1[[#This Row],[Gestation (days)]])),TRUE,FALSE)</f>
        <v>0</v>
      </c>
      <c r="E1431" s="2" t="str">
        <f>IF(Table1[[#This Row],[Is Data Valid]]=TRUE,IF(Table1[[#This Row],[Fetal Sex (Male, Female or Unknown)]]="Male",Backend!$C$6,IF(Table1[[#This Row],[Fetal Sex (Male, Female or Unknown)]]="Female",Backend!$C$7,IF(Table1[[#This Row],[Fetal Sex (Male, Female or Unknown)]]="Unknown",Backend!$C$8,"Error"))),"")</f>
        <v/>
      </c>
      <c r="F1431" s="8" t="str">
        <f>IF(Table1[[#This Row],[Is Data Valid]]=TRUE,EXP(0.578+0.332*((Table1[[#This Row],[Gestation (days)]]+0.5)/7)-0.00354*((Table1[[#This Row],[Gestation (days)]]+0.5)/7)^2)*Table1[[#This Row],[BW40_3705]],"")</f>
        <v/>
      </c>
      <c r="G1431" s="2" t="str">
        <f>IF(Table1[[#This Row],[Is Data Valid]]=TRUE,((Table1[[#This Row],[Birthweight (grams)]]/Table1[[#This Row],[BW_GA]])-1)/(Backend!$B$4/100*Table1[[#This Row],[BW40_3705]]),"")</f>
        <v/>
      </c>
      <c r="H1431" s="7" t="str">
        <f>IF(Table1[[#This Row],[Is Data Valid]]=TRUE,((Table1[[#This Row],[Birthweight (grams)]]*0.9/Table1[[#This Row],[BW_GA]])-1)/(Backend!$B$4/100*Table1[[#This Row],[BW40_3705]]),"")</f>
        <v/>
      </c>
      <c r="I1431" s="7" t="str">
        <f>IF(Table1[[#This Row],[Is Data Valid]]=TRUE,((Table1[[#This Row],[Birthweight (grams)]]*1.1/Table1[[#This Row],[BW_GA]])-1)/(Backend!$B$4/100*Table1[[#This Row],[BW40_3705]]),"")</f>
        <v/>
      </c>
      <c r="J1431" s="7" t="str">
        <f>IF(Table1[[#This Row],[Is Data Valid]]=TRUE,_xlfn.NORM.S.DIST(Table1[[#This Row],[Birthweight Z-Score]],TRUE)*100,"")</f>
        <v/>
      </c>
      <c r="K1431" s="7" t="str">
        <f>IF(Table1[[#This Row],[Is Data Valid]]=TRUE,_xlfn.NORM.S.DIST(Table1[[#This Row],[Birthweight Z-Score (BW-10%)]],TRUE)*100,"")</f>
        <v/>
      </c>
      <c r="L1431" s="7" t="str">
        <f>IF(Table1[[#This Row],[Is Data Valid]]=TRUE,_xlfn.NORM.S.DIST(Table1[[#This Row],[Birthweight Z-Score (BW+10%)]],TRUE)*100,"")</f>
        <v/>
      </c>
    </row>
    <row r="1432" spans="1:12" x14ac:dyDescent="0.35">
      <c r="A1432" s="3"/>
      <c r="B1432" s="2"/>
      <c r="C1432" s="2"/>
      <c r="D1432" s="2" t="b">
        <f>IF(AND(NOT(ISBLANK(Table1[[#This Row],[Fetal Sex (Male, Female or Unknown)]])),ISNUMBER(Table1[[#This Row],[Birthweight (grams)]]),ISNUMBER(Table1[[#This Row],[Gestation (days)]])),TRUE,FALSE)</f>
        <v>0</v>
      </c>
      <c r="E1432" s="2" t="str">
        <f>IF(Table1[[#This Row],[Is Data Valid]]=TRUE,IF(Table1[[#This Row],[Fetal Sex (Male, Female or Unknown)]]="Male",Backend!$C$6,IF(Table1[[#This Row],[Fetal Sex (Male, Female or Unknown)]]="Female",Backend!$C$7,IF(Table1[[#This Row],[Fetal Sex (Male, Female or Unknown)]]="Unknown",Backend!$C$8,"Error"))),"")</f>
        <v/>
      </c>
      <c r="F1432" s="8" t="str">
        <f>IF(Table1[[#This Row],[Is Data Valid]]=TRUE,EXP(0.578+0.332*((Table1[[#This Row],[Gestation (days)]]+0.5)/7)-0.00354*((Table1[[#This Row],[Gestation (days)]]+0.5)/7)^2)*Table1[[#This Row],[BW40_3705]],"")</f>
        <v/>
      </c>
      <c r="G1432" s="2" t="str">
        <f>IF(Table1[[#This Row],[Is Data Valid]]=TRUE,((Table1[[#This Row],[Birthweight (grams)]]/Table1[[#This Row],[BW_GA]])-1)/(Backend!$B$4/100*Table1[[#This Row],[BW40_3705]]),"")</f>
        <v/>
      </c>
      <c r="H1432" s="7" t="str">
        <f>IF(Table1[[#This Row],[Is Data Valid]]=TRUE,((Table1[[#This Row],[Birthweight (grams)]]*0.9/Table1[[#This Row],[BW_GA]])-1)/(Backend!$B$4/100*Table1[[#This Row],[BW40_3705]]),"")</f>
        <v/>
      </c>
      <c r="I1432" s="7" t="str">
        <f>IF(Table1[[#This Row],[Is Data Valid]]=TRUE,((Table1[[#This Row],[Birthweight (grams)]]*1.1/Table1[[#This Row],[BW_GA]])-1)/(Backend!$B$4/100*Table1[[#This Row],[BW40_3705]]),"")</f>
        <v/>
      </c>
      <c r="J1432" s="7" t="str">
        <f>IF(Table1[[#This Row],[Is Data Valid]]=TRUE,_xlfn.NORM.S.DIST(Table1[[#This Row],[Birthweight Z-Score]],TRUE)*100,"")</f>
        <v/>
      </c>
      <c r="K1432" s="7" t="str">
        <f>IF(Table1[[#This Row],[Is Data Valid]]=TRUE,_xlfn.NORM.S.DIST(Table1[[#This Row],[Birthweight Z-Score (BW-10%)]],TRUE)*100,"")</f>
        <v/>
      </c>
      <c r="L1432" s="7" t="str">
        <f>IF(Table1[[#This Row],[Is Data Valid]]=TRUE,_xlfn.NORM.S.DIST(Table1[[#This Row],[Birthweight Z-Score (BW+10%)]],TRUE)*100,"")</f>
        <v/>
      </c>
    </row>
    <row r="1433" spans="1:12" x14ac:dyDescent="0.35">
      <c r="A1433" s="3"/>
      <c r="B1433" s="2"/>
      <c r="C1433" s="2"/>
      <c r="D1433" s="2" t="b">
        <f>IF(AND(NOT(ISBLANK(Table1[[#This Row],[Fetal Sex (Male, Female or Unknown)]])),ISNUMBER(Table1[[#This Row],[Birthweight (grams)]]),ISNUMBER(Table1[[#This Row],[Gestation (days)]])),TRUE,FALSE)</f>
        <v>0</v>
      </c>
      <c r="E1433" s="2" t="str">
        <f>IF(Table1[[#This Row],[Is Data Valid]]=TRUE,IF(Table1[[#This Row],[Fetal Sex (Male, Female or Unknown)]]="Male",Backend!$C$6,IF(Table1[[#This Row],[Fetal Sex (Male, Female or Unknown)]]="Female",Backend!$C$7,IF(Table1[[#This Row],[Fetal Sex (Male, Female or Unknown)]]="Unknown",Backend!$C$8,"Error"))),"")</f>
        <v/>
      </c>
      <c r="F1433" s="8" t="str">
        <f>IF(Table1[[#This Row],[Is Data Valid]]=TRUE,EXP(0.578+0.332*((Table1[[#This Row],[Gestation (days)]]+0.5)/7)-0.00354*((Table1[[#This Row],[Gestation (days)]]+0.5)/7)^2)*Table1[[#This Row],[BW40_3705]],"")</f>
        <v/>
      </c>
      <c r="G1433" s="2" t="str">
        <f>IF(Table1[[#This Row],[Is Data Valid]]=TRUE,((Table1[[#This Row],[Birthweight (grams)]]/Table1[[#This Row],[BW_GA]])-1)/(Backend!$B$4/100*Table1[[#This Row],[BW40_3705]]),"")</f>
        <v/>
      </c>
      <c r="H1433" s="7" t="str">
        <f>IF(Table1[[#This Row],[Is Data Valid]]=TRUE,((Table1[[#This Row],[Birthweight (grams)]]*0.9/Table1[[#This Row],[BW_GA]])-1)/(Backend!$B$4/100*Table1[[#This Row],[BW40_3705]]),"")</f>
        <v/>
      </c>
      <c r="I1433" s="7" t="str">
        <f>IF(Table1[[#This Row],[Is Data Valid]]=TRUE,((Table1[[#This Row],[Birthweight (grams)]]*1.1/Table1[[#This Row],[BW_GA]])-1)/(Backend!$B$4/100*Table1[[#This Row],[BW40_3705]]),"")</f>
        <v/>
      </c>
      <c r="J1433" s="7" t="str">
        <f>IF(Table1[[#This Row],[Is Data Valid]]=TRUE,_xlfn.NORM.S.DIST(Table1[[#This Row],[Birthweight Z-Score]],TRUE)*100,"")</f>
        <v/>
      </c>
      <c r="K1433" s="7" t="str">
        <f>IF(Table1[[#This Row],[Is Data Valid]]=TRUE,_xlfn.NORM.S.DIST(Table1[[#This Row],[Birthweight Z-Score (BW-10%)]],TRUE)*100,"")</f>
        <v/>
      </c>
      <c r="L1433" s="7" t="str">
        <f>IF(Table1[[#This Row],[Is Data Valid]]=TRUE,_xlfn.NORM.S.DIST(Table1[[#This Row],[Birthweight Z-Score (BW+10%)]],TRUE)*100,"")</f>
        <v/>
      </c>
    </row>
    <row r="1434" spans="1:12" x14ac:dyDescent="0.35">
      <c r="A1434" s="3"/>
      <c r="B1434" s="2"/>
      <c r="C1434" s="2"/>
      <c r="D1434" s="2" t="b">
        <f>IF(AND(NOT(ISBLANK(Table1[[#This Row],[Fetal Sex (Male, Female or Unknown)]])),ISNUMBER(Table1[[#This Row],[Birthweight (grams)]]),ISNUMBER(Table1[[#This Row],[Gestation (days)]])),TRUE,FALSE)</f>
        <v>0</v>
      </c>
      <c r="E1434" s="2" t="str">
        <f>IF(Table1[[#This Row],[Is Data Valid]]=TRUE,IF(Table1[[#This Row],[Fetal Sex (Male, Female or Unknown)]]="Male",Backend!$C$6,IF(Table1[[#This Row],[Fetal Sex (Male, Female or Unknown)]]="Female",Backend!$C$7,IF(Table1[[#This Row],[Fetal Sex (Male, Female or Unknown)]]="Unknown",Backend!$C$8,"Error"))),"")</f>
        <v/>
      </c>
      <c r="F1434" s="8" t="str">
        <f>IF(Table1[[#This Row],[Is Data Valid]]=TRUE,EXP(0.578+0.332*((Table1[[#This Row],[Gestation (days)]]+0.5)/7)-0.00354*((Table1[[#This Row],[Gestation (days)]]+0.5)/7)^2)*Table1[[#This Row],[BW40_3705]],"")</f>
        <v/>
      </c>
      <c r="G1434" s="2" t="str">
        <f>IF(Table1[[#This Row],[Is Data Valid]]=TRUE,((Table1[[#This Row],[Birthweight (grams)]]/Table1[[#This Row],[BW_GA]])-1)/(Backend!$B$4/100*Table1[[#This Row],[BW40_3705]]),"")</f>
        <v/>
      </c>
      <c r="H1434" s="7" t="str">
        <f>IF(Table1[[#This Row],[Is Data Valid]]=TRUE,((Table1[[#This Row],[Birthweight (grams)]]*0.9/Table1[[#This Row],[BW_GA]])-1)/(Backend!$B$4/100*Table1[[#This Row],[BW40_3705]]),"")</f>
        <v/>
      </c>
      <c r="I1434" s="7" t="str">
        <f>IF(Table1[[#This Row],[Is Data Valid]]=TRUE,((Table1[[#This Row],[Birthweight (grams)]]*1.1/Table1[[#This Row],[BW_GA]])-1)/(Backend!$B$4/100*Table1[[#This Row],[BW40_3705]]),"")</f>
        <v/>
      </c>
      <c r="J1434" s="7" t="str">
        <f>IF(Table1[[#This Row],[Is Data Valid]]=TRUE,_xlfn.NORM.S.DIST(Table1[[#This Row],[Birthweight Z-Score]],TRUE)*100,"")</f>
        <v/>
      </c>
      <c r="K1434" s="7" t="str">
        <f>IF(Table1[[#This Row],[Is Data Valid]]=TRUE,_xlfn.NORM.S.DIST(Table1[[#This Row],[Birthweight Z-Score (BW-10%)]],TRUE)*100,"")</f>
        <v/>
      </c>
      <c r="L1434" s="7" t="str">
        <f>IF(Table1[[#This Row],[Is Data Valid]]=TRUE,_xlfn.NORM.S.DIST(Table1[[#This Row],[Birthweight Z-Score (BW+10%)]],TRUE)*100,"")</f>
        <v/>
      </c>
    </row>
    <row r="1435" spans="1:12" x14ac:dyDescent="0.35">
      <c r="A1435" s="3"/>
      <c r="B1435" s="2"/>
      <c r="C1435" s="2"/>
      <c r="D1435" s="2" t="b">
        <f>IF(AND(NOT(ISBLANK(Table1[[#This Row],[Fetal Sex (Male, Female or Unknown)]])),ISNUMBER(Table1[[#This Row],[Birthweight (grams)]]),ISNUMBER(Table1[[#This Row],[Gestation (days)]])),TRUE,FALSE)</f>
        <v>0</v>
      </c>
      <c r="E1435" s="2" t="str">
        <f>IF(Table1[[#This Row],[Is Data Valid]]=TRUE,IF(Table1[[#This Row],[Fetal Sex (Male, Female or Unknown)]]="Male",Backend!$C$6,IF(Table1[[#This Row],[Fetal Sex (Male, Female or Unknown)]]="Female",Backend!$C$7,IF(Table1[[#This Row],[Fetal Sex (Male, Female or Unknown)]]="Unknown",Backend!$C$8,"Error"))),"")</f>
        <v/>
      </c>
      <c r="F1435" s="8" t="str">
        <f>IF(Table1[[#This Row],[Is Data Valid]]=TRUE,EXP(0.578+0.332*((Table1[[#This Row],[Gestation (days)]]+0.5)/7)-0.00354*((Table1[[#This Row],[Gestation (days)]]+0.5)/7)^2)*Table1[[#This Row],[BW40_3705]],"")</f>
        <v/>
      </c>
      <c r="G1435" s="2" t="str">
        <f>IF(Table1[[#This Row],[Is Data Valid]]=TRUE,((Table1[[#This Row],[Birthweight (grams)]]/Table1[[#This Row],[BW_GA]])-1)/(Backend!$B$4/100*Table1[[#This Row],[BW40_3705]]),"")</f>
        <v/>
      </c>
      <c r="H1435" s="7" t="str">
        <f>IF(Table1[[#This Row],[Is Data Valid]]=TRUE,((Table1[[#This Row],[Birthweight (grams)]]*0.9/Table1[[#This Row],[BW_GA]])-1)/(Backend!$B$4/100*Table1[[#This Row],[BW40_3705]]),"")</f>
        <v/>
      </c>
      <c r="I1435" s="7" t="str">
        <f>IF(Table1[[#This Row],[Is Data Valid]]=TRUE,((Table1[[#This Row],[Birthweight (grams)]]*1.1/Table1[[#This Row],[BW_GA]])-1)/(Backend!$B$4/100*Table1[[#This Row],[BW40_3705]]),"")</f>
        <v/>
      </c>
      <c r="J1435" s="7" t="str">
        <f>IF(Table1[[#This Row],[Is Data Valid]]=TRUE,_xlfn.NORM.S.DIST(Table1[[#This Row],[Birthweight Z-Score]],TRUE)*100,"")</f>
        <v/>
      </c>
      <c r="K1435" s="7" t="str">
        <f>IF(Table1[[#This Row],[Is Data Valid]]=TRUE,_xlfn.NORM.S.DIST(Table1[[#This Row],[Birthweight Z-Score (BW-10%)]],TRUE)*100,"")</f>
        <v/>
      </c>
      <c r="L1435" s="7" t="str">
        <f>IF(Table1[[#This Row],[Is Data Valid]]=TRUE,_xlfn.NORM.S.DIST(Table1[[#This Row],[Birthweight Z-Score (BW+10%)]],TRUE)*100,"")</f>
        <v/>
      </c>
    </row>
    <row r="1436" spans="1:12" x14ac:dyDescent="0.35">
      <c r="A1436" s="3"/>
      <c r="B1436" s="2"/>
      <c r="C1436" s="2"/>
      <c r="D1436" s="2" t="b">
        <f>IF(AND(NOT(ISBLANK(Table1[[#This Row],[Fetal Sex (Male, Female or Unknown)]])),ISNUMBER(Table1[[#This Row],[Birthweight (grams)]]),ISNUMBER(Table1[[#This Row],[Gestation (days)]])),TRUE,FALSE)</f>
        <v>0</v>
      </c>
      <c r="E1436" s="2" t="str">
        <f>IF(Table1[[#This Row],[Is Data Valid]]=TRUE,IF(Table1[[#This Row],[Fetal Sex (Male, Female or Unknown)]]="Male",Backend!$C$6,IF(Table1[[#This Row],[Fetal Sex (Male, Female or Unknown)]]="Female",Backend!$C$7,IF(Table1[[#This Row],[Fetal Sex (Male, Female or Unknown)]]="Unknown",Backend!$C$8,"Error"))),"")</f>
        <v/>
      </c>
      <c r="F1436" s="8" t="str">
        <f>IF(Table1[[#This Row],[Is Data Valid]]=TRUE,EXP(0.578+0.332*((Table1[[#This Row],[Gestation (days)]]+0.5)/7)-0.00354*((Table1[[#This Row],[Gestation (days)]]+0.5)/7)^2)*Table1[[#This Row],[BW40_3705]],"")</f>
        <v/>
      </c>
      <c r="G1436" s="2" t="str">
        <f>IF(Table1[[#This Row],[Is Data Valid]]=TRUE,((Table1[[#This Row],[Birthweight (grams)]]/Table1[[#This Row],[BW_GA]])-1)/(Backend!$B$4/100*Table1[[#This Row],[BW40_3705]]),"")</f>
        <v/>
      </c>
      <c r="H1436" s="7" t="str">
        <f>IF(Table1[[#This Row],[Is Data Valid]]=TRUE,((Table1[[#This Row],[Birthweight (grams)]]*0.9/Table1[[#This Row],[BW_GA]])-1)/(Backend!$B$4/100*Table1[[#This Row],[BW40_3705]]),"")</f>
        <v/>
      </c>
      <c r="I1436" s="7" t="str">
        <f>IF(Table1[[#This Row],[Is Data Valid]]=TRUE,((Table1[[#This Row],[Birthweight (grams)]]*1.1/Table1[[#This Row],[BW_GA]])-1)/(Backend!$B$4/100*Table1[[#This Row],[BW40_3705]]),"")</f>
        <v/>
      </c>
      <c r="J1436" s="7" t="str">
        <f>IF(Table1[[#This Row],[Is Data Valid]]=TRUE,_xlfn.NORM.S.DIST(Table1[[#This Row],[Birthweight Z-Score]],TRUE)*100,"")</f>
        <v/>
      </c>
      <c r="K1436" s="7" t="str">
        <f>IF(Table1[[#This Row],[Is Data Valid]]=TRUE,_xlfn.NORM.S.DIST(Table1[[#This Row],[Birthweight Z-Score (BW-10%)]],TRUE)*100,"")</f>
        <v/>
      </c>
      <c r="L1436" s="7" t="str">
        <f>IF(Table1[[#This Row],[Is Data Valid]]=TRUE,_xlfn.NORM.S.DIST(Table1[[#This Row],[Birthweight Z-Score (BW+10%)]],TRUE)*100,"")</f>
        <v/>
      </c>
    </row>
    <row r="1437" spans="1:12" x14ac:dyDescent="0.35">
      <c r="A1437" s="3"/>
      <c r="B1437" s="2"/>
      <c r="C1437" s="2"/>
      <c r="D1437" s="2" t="b">
        <f>IF(AND(NOT(ISBLANK(Table1[[#This Row],[Fetal Sex (Male, Female or Unknown)]])),ISNUMBER(Table1[[#This Row],[Birthweight (grams)]]),ISNUMBER(Table1[[#This Row],[Gestation (days)]])),TRUE,FALSE)</f>
        <v>0</v>
      </c>
      <c r="E1437" s="2" t="str">
        <f>IF(Table1[[#This Row],[Is Data Valid]]=TRUE,IF(Table1[[#This Row],[Fetal Sex (Male, Female or Unknown)]]="Male",Backend!$C$6,IF(Table1[[#This Row],[Fetal Sex (Male, Female or Unknown)]]="Female",Backend!$C$7,IF(Table1[[#This Row],[Fetal Sex (Male, Female or Unknown)]]="Unknown",Backend!$C$8,"Error"))),"")</f>
        <v/>
      </c>
      <c r="F1437" s="8" t="str">
        <f>IF(Table1[[#This Row],[Is Data Valid]]=TRUE,EXP(0.578+0.332*((Table1[[#This Row],[Gestation (days)]]+0.5)/7)-0.00354*((Table1[[#This Row],[Gestation (days)]]+0.5)/7)^2)*Table1[[#This Row],[BW40_3705]],"")</f>
        <v/>
      </c>
      <c r="G1437" s="2" t="str">
        <f>IF(Table1[[#This Row],[Is Data Valid]]=TRUE,((Table1[[#This Row],[Birthweight (grams)]]/Table1[[#This Row],[BW_GA]])-1)/(Backend!$B$4/100*Table1[[#This Row],[BW40_3705]]),"")</f>
        <v/>
      </c>
      <c r="H1437" s="7" t="str">
        <f>IF(Table1[[#This Row],[Is Data Valid]]=TRUE,((Table1[[#This Row],[Birthweight (grams)]]*0.9/Table1[[#This Row],[BW_GA]])-1)/(Backend!$B$4/100*Table1[[#This Row],[BW40_3705]]),"")</f>
        <v/>
      </c>
      <c r="I1437" s="7" t="str">
        <f>IF(Table1[[#This Row],[Is Data Valid]]=TRUE,((Table1[[#This Row],[Birthweight (grams)]]*1.1/Table1[[#This Row],[BW_GA]])-1)/(Backend!$B$4/100*Table1[[#This Row],[BW40_3705]]),"")</f>
        <v/>
      </c>
      <c r="J1437" s="7" t="str">
        <f>IF(Table1[[#This Row],[Is Data Valid]]=TRUE,_xlfn.NORM.S.DIST(Table1[[#This Row],[Birthweight Z-Score]],TRUE)*100,"")</f>
        <v/>
      </c>
      <c r="K1437" s="7" t="str">
        <f>IF(Table1[[#This Row],[Is Data Valid]]=TRUE,_xlfn.NORM.S.DIST(Table1[[#This Row],[Birthweight Z-Score (BW-10%)]],TRUE)*100,"")</f>
        <v/>
      </c>
      <c r="L1437" s="7" t="str">
        <f>IF(Table1[[#This Row],[Is Data Valid]]=TRUE,_xlfn.NORM.S.DIST(Table1[[#This Row],[Birthweight Z-Score (BW+10%)]],TRUE)*100,"")</f>
        <v/>
      </c>
    </row>
    <row r="1438" spans="1:12" x14ac:dyDescent="0.35">
      <c r="A1438" s="3"/>
      <c r="B1438" s="2"/>
      <c r="C1438" s="2"/>
      <c r="D1438" s="2" t="b">
        <f>IF(AND(NOT(ISBLANK(Table1[[#This Row],[Fetal Sex (Male, Female or Unknown)]])),ISNUMBER(Table1[[#This Row],[Birthweight (grams)]]),ISNUMBER(Table1[[#This Row],[Gestation (days)]])),TRUE,FALSE)</f>
        <v>0</v>
      </c>
      <c r="E1438" s="2" t="str">
        <f>IF(Table1[[#This Row],[Is Data Valid]]=TRUE,IF(Table1[[#This Row],[Fetal Sex (Male, Female or Unknown)]]="Male",Backend!$C$6,IF(Table1[[#This Row],[Fetal Sex (Male, Female or Unknown)]]="Female",Backend!$C$7,IF(Table1[[#This Row],[Fetal Sex (Male, Female or Unknown)]]="Unknown",Backend!$C$8,"Error"))),"")</f>
        <v/>
      </c>
      <c r="F1438" s="8" t="str">
        <f>IF(Table1[[#This Row],[Is Data Valid]]=TRUE,EXP(0.578+0.332*((Table1[[#This Row],[Gestation (days)]]+0.5)/7)-0.00354*((Table1[[#This Row],[Gestation (days)]]+0.5)/7)^2)*Table1[[#This Row],[BW40_3705]],"")</f>
        <v/>
      </c>
      <c r="G1438" s="2" t="str">
        <f>IF(Table1[[#This Row],[Is Data Valid]]=TRUE,((Table1[[#This Row],[Birthweight (grams)]]/Table1[[#This Row],[BW_GA]])-1)/(Backend!$B$4/100*Table1[[#This Row],[BW40_3705]]),"")</f>
        <v/>
      </c>
      <c r="H1438" s="7" t="str">
        <f>IF(Table1[[#This Row],[Is Data Valid]]=TRUE,((Table1[[#This Row],[Birthweight (grams)]]*0.9/Table1[[#This Row],[BW_GA]])-1)/(Backend!$B$4/100*Table1[[#This Row],[BW40_3705]]),"")</f>
        <v/>
      </c>
      <c r="I1438" s="7" t="str">
        <f>IF(Table1[[#This Row],[Is Data Valid]]=TRUE,((Table1[[#This Row],[Birthweight (grams)]]*1.1/Table1[[#This Row],[BW_GA]])-1)/(Backend!$B$4/100*Table1[[#This Row],[BW40_3705]]),"")</f>
        <v/>
      </c>
      <c r="J1438" s="7" t="str">
        <f>IF(Table1[[#This Row],[Is Data Valid]]=TRUE,_xlfn.NORM.S.DIST(Table1[[#This Row],[Birthweight Z-Score]],TRUE)*100,"")</f>
        <v/>
      </c>
      <c r="K1438" s="7" t="str">
        <f>IF(Table1[[#This Row],[Is Data Valid]]=TRUE,_xlfn.NORM.S.DIST(Table1[[#This Row],[Birthweight Z-Score (BW-10%)]],TRUE)*100,"")</f>
        <v/>
      </c>
      <c r="L1438" s="7" t="str">
        <f>IF(Table1[[#This Row],[Is Data Valid]]=TRUE,_xlfn.NORM.S.DIST(Table1[[#This Row],[Birthweight Z-Score (BW+10%)]],TRUE)*100,"")</f>
        <v/>
      </c>
    </row>
    <row r="1439" spans="1:12" x14ac:dyDescent="0.35">
      <c r="A1439" s="3"/>
      <c r="B1439" s="2"/>
      <c r="C1439" s="2"/>
      <c r="D1439" s="2" t="b">
        <f>IF(AND(NOT(ISBLANK(Table1[[#This Row],[Fetal Sex (Male, Female or Unknown)]])),ISNUMBER(Table1[[#This Row],[Birthweight (grams)]]),ISNUMBER(Table1[[#This Row],[Gestation (days)]])),TRUE,FALSE)</f>
        <v>0</v>
      </c>
      <c r="E1439" s="2" t="str">
        <f>IF(Table1[[#This Row],[Is Data Valid]]=TRUE,IF(Table1[[#This Row],[Fetal Sex (Male, Female or Unknown)]]="Male",Backend!$C$6,IF(Table1[[#This Row],[Fetal Sex (Male, Female or Unknown)]]="Female",Backend!$C$7,IF(Table1[[#This Row],[Fetal Sex (Male, Female or Unknown)]]="Unknown",Backend!$C$8,"Error"))),"")</f>
        <v/>
      </c>
      <c r="F1439" s="8" t="str">
        <f>IF(Table1[[#This Row],[Is Data Valid]]=TRUE,EXP(0.578+0.332*((Table1[[#This Row],[Gestation (days)]]+0.5)/7)-0.00354*((Table1[[#This Row],[Gestation (days)]]+0.5)/7)^2)*Table1[[#This Row],[BW40_3705]],"")</f>
        <v/>
      </c>
      <c r="G1439" s="2" t="str">
        <f>IF(Table1[[#This Row],[Is Data Valid]]=TRUE,((Table1[[#This Row],[Birthweight (grams)]]/Table1[[#This Row],[BW_GA]])-1)/(Backend!$B$4/100*Table1[[#This Row],[BW40_3705]]),"")</f>
        <v/>
      </c>
      <c r="H1439" s="7" t="str">
        <f>IF(Table1[[#This Row],[Is Data Valid]]=TRUE,((Table1[[#This Row],[Birthweight (grams)]]*0.9/Table1[[#This Row],[BW_GA]])-1)/(Backend!$B$4/100*Table1[[#This Row],[BW40_3705]]),"")</f>
        <v/>
      </c>
      <c r="I1439" s="7" t="str">
        <f>IF(Table1[[#This Row],[Is Data Valid]]=TRUE,((Table1[[#This Row],[Birthweight (grams)]]*1.1/Table1[[#This Row],[BW_GA]])-1)/(Backend!$B$4/100*Table1[[#This Row],[BW40_3705]]),"")</f>
        <v/>
      </c>
      <c r="J1439" s="7" t="str">
        <f>IF(Table1[[#This Row],[Is Data Valid]]=TRUE,_xlfn.NORM.S.DIST(Table1[[#This Row],[Birthweight Z-Score]],TRUE)*100,"")</f>
        <v/>
      </c>
      <c r="K1439" s="7" t="str">
        <f>IF(Table1[[#This Row],[Is Data Valid]]=TRUE,_xlfn.NORM.S.DIST(Table1[[#This Row],[Birthweight Z-Score (BW-10%)]],TRUE)*100,"")</f>
        <v/>
      </c>
      <c r="L1439" s="7" t="str">
        <f>IF(Table1[[#This Row],[Is Data Valid]]=TRUE,_xlfn.NORM.S.DIST(Table1[[#This Row],[Birthweight Z-Score (BW+10%)]],TRUE)*100,"")</f>
        <v/>
      </c>
    </row>
    <row r="1440" spans="1:12" x14ac:dyDescent="0.35">
      <c r="A1440" s="3"/>
      <c r="B1440" s="2"/>
      <c r="C1440" s="2"/>
      <c r="D1440" s="2" t="b">
        <f>IF(AND(NOT(ISBLANK(Table1[[#This Row],[Fetal Sex (Male, Female or Unknown)]])),ISNUMBER(Table1[[#This Row],[Birthweight (grams)]]),ISNUMBER(Table1[[#This Row],[Gestation (days)]])),TRUE,FALSE)</f>
        <v>0</v>
      </c>
      <c r="E1440" s="2" t="str">
        <f>IF(Table1[[#This Row],[Is Data Valid]]=TRUE,IF(Table1[[#This Row],[Fetal Sex (Male, Female or Unknown)]]="Male",Backend!$C$6,IF(Table1[[#This Row],[Fetal Sex (Male, Female or Unknown)]]="Female",Backend!$C$7,IF(Table1[[#This Row],[Fetal Sex (Male, Female or Unknown)]]="Unknown",Backend!$C$8,"Error"))),"")</f>
        <v/>
      </c>
      <c r="F1440" s="8" t="str">
        <f>IF(Table1[[#This Row],[Is Data Valid]]=TRUE,EXP(0.578+0.332*((Table1[[#This Row],[Gestation (days)]]+0.5)/7)-0.00354*((Table1[[#This Row],[Gestation (days)]]+0.5)/7)^2)*Table1[[#This Row],[BW40_3705]],"")</f>
        <v/>
      </c>
      <c r="G1440" s="2" t="str">
        <f>IF(Table1[[#This Row],[Is Data Valid]]=TRUE,((Table1[[#This Row],[Birthweight (grams)]]/Table1[[#This Row],[BW_GA]])-1)/(Backend!$B$4/100*Table1[[#This Row],[BW40_3705]]),"")</f>
        <v/>
      </c>
      <c r="H1440" s="7" t="str">
        <f>IF(Table1[[#This Row],[Is Data Valid]]=TRUE,((Table1[[#This Row],[Birthweight (grams)]]*0.9/Table1[[#This Row],[BW_GA]])-1)/(Backend!$B$4/100*Table1[[#This Row],[BW40_3705]]),"")</f>
        <v/>
      </c>
      <c r="I1440" s="7" t="str">
        <f>IF(Table1[[#This Row],[Is Data Valid]]=TRUE,((Table1[[#This Row],[Birthweight (grams)]]*1.1/Table1[[#This Row],[BW_GA]])-1)/(Backend!$B$4/100*Table1[[#This Row],[BW40_3705]]),"")</f>
        <v/>
      </c>
      <c r="J1440" s="7" t="str">
        <f>IF(Table1[[#This Row],[Is Data Valid]]=TRUE,_xlfn.NORM.S.DIST(Table1[[#This Row],[Birthweight Z-Score]],TRUE)*100,"")</f>
        <v/>
      </c>
      <c r="K1440" s="7" t="str">
        <f>IF(Table1[[#This Row],[Is Data Valid]]=TRUE,_xlfn.NORM.S.DIST(Table1[[#This Row],[Birthweight Z-Score (BW-10%)]],TRUE)*100,"")</f>
        <v/>
      </c>
      <c r="L1440" s="7" t="str">
        <f>IF(Table1[[#This Row],[Is Data Valid]]=TRUE,_xlfn.NORM.S.DIST(Table1[[#This Row],[Birthweight Z-Score (BW+10%)]],TRUE)*100,"")</f>
        <v/>
      </c>
    </row>
    <row r="1441" spans="1:12" x14ac:dyDescent="0.35">
      <c r="A1441" s="3"/>
      <c r="B1441" s="2"/>
      <c r="C1441" s="2"/>
      <c r="D1441" s="2" t="b">
        <f>IF(AND(NOT(ISBLANK(Table1[[#This Row],[Fetal Sex (Male, Female or Unknown)]])),ISNUMBER(Table1[[#This Row],[Birthweight (grams)]]),ISNUMBER(Table1[[#This Row],[Gestation (days)]])),TRUE,FALSE)</f>
        <v>0</v>
      </c>
      <c r="E1441" s="2" t="str">
        <f>IF(Table1[[#This Row],[Is Data Valid]]=TRUE,IF(Table1[[#This Row],[Fetal Sex (Male, Female or Unknown)]]="Male",Backend!$C$6,IF(Table1[[#This Row],[Fetal Sex (Male, Female or Unknown)]]="Female",Backend!$C$7,IF(Table1[[#This Row],[Fetal Sex (Male, Female or Unknown)]]="Unknown",Backend!$C$8,"Error"))),"")</f>
        <v/>
      </c>
      <c r="F1441" s="8" t="str">
        <f>IF(Table1[[#This Row],[Is Data Valid]]=TRUE,EXP(0.578+0.332*((Table1[[#This Row],[Gestation (days)]]+0.5)/7)-0.00354*((Table1[[#This Row],[Gestation (days)]]+0.5)/7)^2)*Table1[[#This Row],[BW40_3705]],"")</f>
        <v/>
      </c>
      <c r="G1441" s="2" t="str">
        <f>IF(Table1[[#This Row],[Is Data Valid]]=TRUE,((Table1[[#This Row],[Birthweight (grams)]]/Table1[[#This Row],[BW_GA]])-1)/(Backend!$B$4/100*Table1[[#This Row],[BW40_3705]]),"")</f>
        <v/>
      </c>
      <c r="H1441" s="7" t="str">
        <f>IF(Table1[[#This Row],[Is Data Valid]]=TRUE,((Table1[[#This Row],[Birthweight (grams)]]*0.9/Table1[[#This Row],[BW_GA]])-1)/(Backend!$B$4/100*Table1[[#This Row],[BW40_3705]]),"")</f>
        <v/>
      </c>
      <c r="I1441" s="7" t="str">
        <f>IF(Table1[[#This Row],[Is Data Valid]]=TRUE,((Table1[[#This Row],[Birthweight (grams)]]*1.1/Table1[[#This Row],[BW_GA]])-1)/(Backend!$B$4/100*Table1[[#This Row],[BW40_3705]]),"")</f>
        <v/>
      </c>
      <c r="J1441" s="7" t="str">
        <f>IF(Table1[[#This Row],[Is Data Valid]]=TRUE,_xlfn.NORM.S.DIST(Table1[[#This Row],[Birthweight Z-Score]],TRUE)*100,"")</f>
        <v/>
      </c>
      <c r="K1441" s="7" t="str">
        <f>IF(Table1[[#This Row],[Is Data Valid]]=TRUE,_xlfn.NORM.S.DIST(Table1[[#This Row],[Birthweight Z-Score (BW-10%)]],TRUE)*100,"")</f>
        <v/>
      </c>
      <c r="L1441" s="7" t="str">
        <f>IF(Table1[[#This Row],[Is Data Valid]]=TRUE,_xlfn.NORM.S.DIST(Table1[[#This Row],[Birthweight Z-Score (BW+10%)]],TRUE)*100,"")</f>
        <v/>
      </c>
    </row>
    <row r="1442" spans="1:12" x14ac:dyDescent="0.35">
      <c r="A1442" s="3"/>
      <c r="B1442" s="2"/>
      <c r="C1442" s="2"/>
      <c r="D1442" s="2" t="b">
        <f>IF(AND(NOT(ISBLANK(Table1[[#This Row],[Fetal Sex (Male, Female or Unknown)]])),ISNUMBER(Table1[[#This Row],[Birthweight (grams)]]),ISNUMBER(Table1[[#This Row],[Gestation (days)]])),TRUE,FALSE)</f>
        <v>0</v>
      </c>
      <c r="E1442" s="2" t="str">
        <f>IF(Table1[[#This Row],[Is Data Valid]]=TRUE,IF(Table1[[#This Row],[Fetal Sex (Male, Female or Unknown)]]="Male",Backend!$C$6,IF(Table1[[#This Row],[Fetal Sex (Male, Female or Unknown)]]="Female",Backend!$C$7,IF(Table1[[#This Row],[Fetal Sex (Male, Female or Unknown)]]="Unknown",Backend!$C$8,"Error"))),"")</f>
        <v/>
      </c>
      <c r="F1442" s="8" t="str">
        <f>IF(Table1[[#This Row],[Is Data Valid]]=TRUE,EXP(0.578+0.332*((Table1[[#This Row],[Gestation (days)]]+0.5)/7)-0.00354*((Table1[[#This Row],[Gestation (days)]]+0.5)/7)^2)*Table1[[#This Row],[BW40_3705]],"")</f>
        <v/>
      </c>
      <c r="G1442" s="2" t="str">
        <f>IF(Table1[[#This Row],[Is Data Valid]]=TRUE,((Table1[[#This Row],[Birthweight (grams)]]/Table1[[#This Row],[BW_GA]])-1)/(Backend!$B$4/100*Table1[[#This Row],[BW40_3705]]),"")</f>
        <v/>
      </c>
      <c r="H1442" s="7" t="str">
        <f>IF(Table1[[#This Row],[Is Data Valid]]=TRUE,((Table1[[#This Row],[Birthweight (grams)]]*0.9/Table1[[#This Row],[BW_GA]])-1)/(Backend!$B$4/100*Table1[[#This Row],[BW40_3705]]),"")</f>
        <v/>
      </c>
      <c r="I1442" s="7" t="str">
        <f>IF(Table1[[#This Row],[Is Data Valid]]=TRUE,((Table1[[#This Row],[Birthweight (grams)]]*1.1/Table1[[#This Row],[BW_GA]])-1)/(Backend!$B$4/100*Table1[[#This Row],[BW40_3705]]),"")</f>
        <v/>
      </c>
      <c r="J1442" s="7" t="str">
        <f>IF(Table1[[#This Row],[Is Data Valid]]=TRUE,_xlfn.NORM.S.DIST(Table1[[#This Row],[Birthweight Z-Score]],TRUE)*100,"")</f>
        <v/>
      </c>
      <c r="K1442" s="7" t="str">
        <f>IF(Table1[[#This Row],[Is Data Valid]]=TRUE,_xlfn.NORM.S.DIST(Table1[[#This Row],[Birthweight Z-Score (BW-10%)]],TRUE)*100,"")</f>
        <v/>
      </c>
      <c r="L1442" s="7" t="str">
        <f>IF(Table1[[#This Row],[Is Data Valid]]=TRUE,_xlfn.NORM.S.DIST(Table1[[#This Row],[Birthweight Z-Score (BW+10%)]],TRUE)*100,"")</f>
        <v/>
      </c>
    </row>
    <row r="1443" spans="1:12" x14ac:dyDescent="0.35">
      <c r="A1443" s="3"/>
      <c r="B1443" s="2"/>
      <c r="C1443" s="2"/>
      <c r="D1443" s="2" t="b">
        <f>IF(AND(NOT(ISBLANK(Table1[[#This Row],[Fetal Sex (Male, Female or Unknown)]])),ISNUMBER(Table1[[#This Row],[Birthweight (grams)]]),ISNUMBER(Table1[[#This Row],[Gestation (days)]])),TRUE,FALSE)</f>
        <v>0</v>
      </c>
      <c r="E1443" s="2" t="str">
        <f>IF(Table1[[#This Row],[Is Data Valid]]=TRUE,IF(Table1[[#This Row],[Fetal Sex (Male, Female or Unknown)]]="Male",Backend!$C$6,IF(Table1[[#This Row],[Fetal Sex (Male, Female or Unknown)]]="Female",Backend!$C$7,IF(Table1[[#This Row],[Fetal Sex (Male, Female or Unknown)]]="Unknown",Backend!$C$8,"Error"))),"")</f>
        <v/>
      </c>
      <c r="F1443" s="8" t="str">
        <f>IF(Table1[[#This Row],[Is Data Valid]]=TRUE,EXP(0.578+0.332*((Table1[[#This Row],[Gestation (days)]]+0.5)/7)-0.00354*((Table1[[#This Row],[Gestation (days)]]+0.5)/7)^2)*Table1[[#This Row],[BW40_3705]],"")</f>
        <v/>
      </c>
      <c r="G1443" s="2" t="str">
        <f>IF(Table1[[#This Row],[Is Data Valid]]=TRUE,((Table1[[#This Row],[Birthweight (grams)]]/Table1[[#This Row],[BW_GA]])-1)/(Backend!$B$4/100*Table1[[#This Row],[BW40_3705]]),"")</f>
        <v/>
      </c>
      <c r="H1443" s="7" t="str">
        <f>IF(Table1[[#This Row],[Is Data Valid]]=TRUE,((Table1[[#This Row],[Birthweight (grams)]]*0.9/Table1[[#This Row],[BW_GA]])-1)/(Backend!$B$4/100*Table1[[#This Row],[BW40_3705]]),"")</f>
        <v/>
      </c>
      <c r="I1443" s="7" t="str">
        <f>IF(Table1[[#This Row],[Is Data Valid]]=TRUE,((Table1[[#This Row],[Birthweight (grams)]]*1.1/Table1[[#This Row],[BW_GA]])-1)/(Backend!$B$4/100*Table1[[#This Row],[BW40_3705]]),"")</f>
        <v/>
      </c>
      <c r="J1443" s="7" t="str">
        <f>IF(Table1[[#This Row],[Is Data Valid]]=TRUE,_xlfn.NORM.S.DIST(Table1[[#This Row],[Birthweight Z-Score]],TRUE)*100,"")</f>
        <v/>
      </c>
      <c r="K1443" s="7" t="str">
        <f>IF(Table1[[#This Row],[Is Data Valid]]=TRUE,_xlfn.NORM.S.DIST(Table1[[#This Row],[Birthweight Z-Score (BW-10%)]],TRUE)*100,"")</f>
        <v/>
      </c>
      <c r="L1443" s="7" t="str">
        <f>IF(Table1[[#This Row],[Is Data Valid]]=TRUE,_xlfn.NORM.S.DIST(Table1[[#This Row],[Birthweight Z-Score (BW+10%)]],TRUE)*100,"")</f>
        <v/>
      </c>
    </row>
    <row r="1444" spans="1:12" x14ac:dyDescent="0.35">
      <c r="A1444" s="3"/>
      <c r="B1444" s="2"/>
      <c r="C1444" s="2"/>
      <c r="D1444" s="2" t="b">
        <f>IF(AND(NOT(ISBLANK(Table1[[#This Row],[Fetal Sex (Male, Female or Unknown)]])),ISNUMBER(Table1[[#This Row],[Birthweight (grams)]]),ISNUMBER(Table1[[#This Row],[Gestation (days)]])),TRUE,FALSE)</f>
        <v>0</v>
      </c>
      <c r="E1444" s="2" t="str">
        <f>IF(Table1[[#This Row],[Is Data Valid]]=TRUE,IF(Table1[[#This Row],[Fetal Sex (Male, Female or Unknown)]]="Male",Backend!$C$6,IF(Table1[[#This Row],[Fetal Sex (Male, Female or Unknown)]]="Female",Backend!$C$7,IF(Table1[[#This Row],[Fetal Sex (Male, Female or Unknown)]]="Unknown",Backend!$C$8,"Error"))),"")</f>
        <v/>
      </c>
      <c r="F1444" s="8" t="str">
        <f>IF(Table1[[#This Row],[Is Data Valid]]=TRUE,EXP(0.578+0.332*((Table1[[#This Row],[Gestation (days)]]+0.5)/7)-0.00354*((Table1[[#This Row],[Gestation (days)]]+0.5)/7)^2)*Table1[[#This Row],[BW40_3705]],"")</f>
        <v/>
      </c>
      <c r="G1444" s="2" t="str">
        <f>IF(Table1[[#This Row],[Is Data Valid]]=TRUE,((Table1[[#This Row],[Birthweight (grams)]]/Table1[[#This Row],[BW_GA]])-1)/(Backend!$B$4/100*Table1[[#This Row],[BW40_3705]]),"")</f>
        <v/>
      </c>
      <c r="H1444" s="7" t="str">
        <f>IF(Table1[[#This Row],[Is Data Valid]]=TRUE,((Table1[[#This Row],[Birthweight (grams)]]*0.9/Table1[[#This Row],[BW_GA]])-1)/(Backend!$B$4/100*Table1[[#This Row],[BW40_3705]]),"")</f>
        <v/>
      </c>
      <c r="I1444" s="7" t="str">
        <f>IF(Table1[[#This Row],[Is Data Valid]]=TRUE,((Table1[[#This Row],[Birthweight (grams)]]*1.1/Table1[[#This Row],[BW_GA]])-1)/(Backend!$B$4/100*Table1[[#This Row],[BW40_3705]]),"")</f>
        <v/>
      </c>
      <c r="J1444" s="7" t="str">
        <f>IF(Table1[[#This Row],[Is Data Valid]]=TRUE,_xlfn.NORM.S.DIST(Table1[[#This Row],[Birthweight Z-Score]],TRUE)*100,"")</f>
        <v/>
      </c>
      <c r="K1444" s="7" t="str">
        <f>IF(Table1[[#This Row],[Is Data Valid]]=TRUE,_xlfn.NORM.S.DIST(Table1[[#This Row],[Birthweight Z-Score (BW-10%)]],TRUE)*100,"")</f>
        <v/>
      </c>
      <c r="L1444" s="7" t="str">
        <f>IF(Table1[[#This Row],[Is Data Valid]]=TRUE,_xlfn.NORM.S.DIST(Table1[[#This Row],[Birthweight Z-Score (BW+10%)]],TRUE)*100,"")</f>
        <v/>
      </c>
    </row>
    <row r="1445" spans="1:12" x14ac:dyDescent="0.35">
      <c r="A1445" s="3"/>
      <c r="B1445" s="2"/>
      <c r="C1445" s="2"/>
      <c r="D1445" s="2" t="b">
        <f>IF(AND(NOT(ISBLANK(Table1[[#This Row],[Fetal Sex (Male, Female or Unknown)]])),ISNUMBER(Table1[[#This Row],[Birthweight (grams)]]),ISNUMBER(Table1[[#This Row],[Gestation (days)]])),TRUE,FALSE)</f>
        <v>0</v>
      </c>
      <c r="E1445" s="2" t="str">
        <f>IF(Table1[[#This Row],[Is Data Valid]]=TRUE,IF(Table1[[#This Row],[Fetal Sex (Male, Female or Unknown)]]="Male",Backend!$C$6,IF(Table1[[#This Row],[Fetal Sex (Male, Female or Unknown)]]="Female",Backend!$C$7,IF(Table1[[#This Row],[Fetal Sex (Male, Female or Unknown)]]="Unknown",Backend!$C$8,"Error"))),"")</f>
        <v/>
      </c>
      <c r="F1445" s="8" t="str">
        <f>IF(Table1[[#This Row],[Is Data Valid]]=TRUE,EXP(0.578+0.332*((Table1[[#This Row],[Gestation (days)]]+0.5)/7)-0.00354*((Table1[[#This Row],[Gestation (days)]]+0.5)/7)^2)*Table1[[#This Row],[BW40_3705]],"")</f>
        <v/>
      </c>
      <c r="G1445" s="2" t="str">
        <f>IF(Table1[[#This Row],[Is Data Valid]]=TRUE,((Table1[[#This Row],[Birthweight (grams)]]/Table1[[#This Row],[BW_GA]])-1)/(Backend!$B$4/100*Table1[[#This Row],[BW40_3705]]),"")</f>
        <v/>
      </c>
      <c r="H1445" s="7" t="str">
        <f>IF(Table1[[#This Row],[Is Data Valid]]=TRUE,((Table1[[#This Row],[Birthweight (grams)]]*0.9/Table1[[#This Row],[BW_GA]])-1)/(Backend!$B$4/100*Table1[[#This Row],[BW40_3705]]),"")</f>
        <v/>
      </c>
      <c r="I1445" s="7" t="str">
        <f>IF(Table1[[#This Row],[Is Data Valid]]=TRUE,((Table1[[#This Row],[Birthweight (grams)]]*1.1/Table1[[#This Row],[BW_GA]])-1)/(Backend!$B$4/100*Table1[[#This Row],[BW40_3705]]),"")</f>
        <v/>
      </c>
      <c r="J1445" s="7" t="str">
        <f>IF(Table1[[#This Row],[Is Data Valid]]=TRUE,_xlfn.NORM.S.DIST(Table1[[#This Row],[Birthweight Z-Score]],TRUE)*100,"")</f>
        <v/>
      </c>
      <c r="K1445" s="7" t="str">
        <f>IF(Table1[[#This Row],[Is Data Valid]]=TRUE,_xlfn.NORM.S.DIST(Table1[[#This Row],[Birthweight Z-Score (BW-10%)]],TRUE)*100,"")</f>
        <v/>
      </c>
      <c r="L1445" s="7" t="str">
        <f>IF(Table1[[#This Row],[Is Data Valid]]=TRUE,_xlfn.NORM.S.DIST(Table1[[#This Row],[Birthweight Z-Score (BW+10%)]],TRUE)*100,"")</f>
        <v/>
      </c>
    </row>
    <row r="1446" spans="1:12" x14ac:dyDescent="0.35">
      <c r="A1446" s="3"/>
      <c r="B1446" s="2"/>
      <c r="C1446" s="2"/>
      <c r="D1446" s="2" t="b">
        <f>IF(AND(NOT(ISBLANK(Table1[[#This Row],[Fetal Sex (Male, Female or Unknown)]])),ISNUMBER(Table1[[#This Row],[Birthweight (grams)]]),ISNUMBER(Table1[[#This Row],[Gestation (days)]])),TRUE,FALSE)</f>
        <v>0</v>
      </c>
      <c r="E1446" s="2" t="str">
        <f>IF(Table1[[#This Row],[Is Data Valid]]=TRUE,IF(Table1[[#This Row],[Fetal Sex (Male, Female or Unknown)]]="Male",Backend!$C$6,IF(Table1[[#This Row],[Fetal Sex (Male, Female or Unknown)]]="Female",Backend!$C$7,IF(Table1[[#This Row],[Fetal Sex (Male, Female or Unknown)]]="Unknown",Backend!$C$8,"Error"))),"")</f>
        <v/>
      </c>
      <c r="F1446" s="8" t="str">
        <f>IF(Table1[[#This Row],[Is Data Valid]]=TRUE,EXP(0.578+0.332*((Table1[[#This Row],[Gestation (days)]]+0.5)/7)-0.00354*((Table1[[#This Row],[Gestation (days)]]+0.5)/7)^2)*Table1[[#This Row],[BW40_3705]],"")</f>
        <v/>
      </c>
      <c r="G1446" s="2" t="str">
        <f>IF(Table1[[#This Row],[Is Data Valid]]=TRUE,((Table1[[#This Row],[Birthweight (grams)]]/Table1[[#This Row],[BW_GA]])-1)/(Backend!$B$4/100*Table1[[#This Row],[BW40_3705]]),"")</f>
        <v/>
      </c>
      <c r="H1446" s="7" t="str">
        <f>IF(Table1[[#This Row],[Is Data Valid]]=TRUE,((Table1[[#This Row],[Birthweight (grams)]]*0.9/Table1[[#This Row],[BW_GA]])-1)/(Backend!$B$4/100*Table1[[#This Row],[BW40_3705]]),"")</f>
        <v/>
      </c>
      <c r="I1446" s="7" t="str">
        <f>IF(Table1[[#This Row],[Is Data Valid]]=TRUE,((Table1[[#This Row],[Birthweight (grams)]]*1.1/Table1[[#This Row],[BW_GA]])-1)/(Backend!$B$4/100*Table1[[#This Row],[BW40_3705]]),"")</f>
        <v/>
      </c>
      <c r="J1446" s="7" t="str">
        <f>IF(Table1[[#This Row],[Is Data Valid]]=TRUE,_xlfn.NORM.S.DIST(Table1[[#This Row],[Birthweight Z-Score]],TRUE)*100,"")</f>
        <v/>
      </c>
      <c r="K1446" s="7" t="str">
        <f>IF(Table1[[#This Row],[Is Data Valid]]=TRUE,_xlfn.NORM.S.DIST(Table1[[#This Row],[Birthweight Z-Score (BW-10%)]],TRUE)*100,"")</f>
        <v/>
      </c>
      <c r="L1446" s="7" t="str">
        <f>IF(Table1[[#This Row],[Is Data Valid]]=TRUE,_xlfn.NORM.S.DIST(Table1[[#This Row],[Birthweight Z-Score (BW+10%)]],TRUE)*100,"")</f>
        <v/>
      </c>
    </row>
    <row r="1447" spans="1:12" x14ac:dyDescent="0.35">
      <c r="A1447" s="3"/>
      <c r="B1447" s="2"/>
      <c r="C1447" s="2"/>
      <c r="D1447" s="2" t="b">
        <f>IF(AND(NOT(ISBLANK(Table1[[#This Row],[Fetal Sex (Male, Female or Unknown)]])),ISNUMBER(Table1[[#This Row],[Birthweight (grams)]]),ISNUMBER(Table1[[#This Row],[Gestation (days)]])),TRUE,FALSE)</f>
        <v>0</v>
      </c>
      <c r="E1447" s="2" t="str">
        <f>IF(Table1[[#This Row],[Is Data Valid]]=TRUE,IF(Table1[[#This Row],[Fetal Sex (Male, Female or Unknown)]]="Male",Backend!$C$6,IF(Table1[[#This Row],[Fetal Sex (Male, Female or Unknown)]]="Female",Backend!$C$7,IF(Table1[[#This Row],[Fetal Sex (Male, Female or Unknown)]]="Unknown",Backend!$C$8,"Error"))),"")</f>
        <v/>
      </c>
      <c r="F1447" s="8" t="str">
        <f>IF(Table1[[#This Row],[Is Data Valid]]=TRUE,EXP(0.578+0.332*((Table1[[#This Row],[Gestation (days)]]+0.5)/7)-0.00354*((Table1[[#This Row],[Gestation (days)]]+0.5)/7)^2)*Table1[[#This Row],[BW40_3705]],"")</f>
        <v/>
      </c>
      <c r="G1447" s="2" t="str">
        <f>IF(Table1[[#This Row],[Is Data Valid]]=TRUE,((Table1[[#This Row],[Birthweight (grams)]]/Table1[[#This Row],[BW_GA]])-1)/(Backend!$B$4/100*Table1[[#This Row],[BW40_3705]]),"")</f>
        <v/>
      </c>
      <c r="H1447" s="7" t="str">
        <f>IF(Table1[[#This Row],[Is Data Valid]]=TRUE,((Table1[[#This Row],[Birthweight (grams)]]*0.9/Table1[[#This Row],[BW_GA]])-1)/(Backend!$B$4/100*Table1[[#This Row],[BW40_3705]]),"")</f>
        <v/>
      </c>
      <c r="I1447" s="7" t="str">
        <f>IF(Table1[[#This Row],[Is Data Valid]]=TRUE,((Table1[[#This Row],[Birthweight (grams)]]*1.1/Table1[[#This Row],[BW_GA]])-1)/(Backend!$B$4/100*Table1[[#This Row],[BW40_3705]]),"")</f>
        <v/>
      </c>
      <c r="J1447" s="7" t="str">
        <f>IF(Table1[[#This Row],[Is Data Valid]]=TRUE,_xlfn.NORM.S.DIST(Table1[[#This Row],[Birthweight Z-Score]],TRUE)*100,"")</f>
        <v/>
      </c>
      <c r="K1447" s="7" t="str">
        <f>IF(Table1[[#This Row],[Is Data Valid]]=TRUE,_xlfn.NORM.S.DIST(Table1[[#This Row],[Birthweight Z-Score (BW-10%)]],TRUE)*100,"")</f>
        <v/>
      </c>
      <c r="L1447" s="7" t="str">
        <f>IF(Table1[[#This Row],[Is Data Valid]]=TRUE,_xlfn.NORM.S.DIST(Table1[[#This Row],[Birthweight Z-Score (BW+10%)]],TRUE)*100,"")</f>
        <v/>
      </c>
    </row>
    <row r="1448" spans="1:12" x14ac:dyDescent="0.35">
      <c r="A1448" s="3"/>
      <c r="B1448" s="2"/>
      <c r="C1448" s="2"/>
      <c r="D1448" s="2" t="b">
        <f>IF(AND(NOT(ISBLANK(Table1[[#This Row],[Fetal Sex (Male, Female or Unknown)]])),ISNUMBER(Table1[[#This Row],[Birthweight (grams)]]),ISNUMBER(Table1[[#This Row],[Gestation (days)]])),TRUE,FALSE)</f>
        <v>0</v>
      </c>
      <c r="E1448" s="2" t="str">
        <f>IF(Table1[[#This Row],[Is Data Valid]]=TRUE,IF(Table1[[#This Row],[Fetal Sex (Male, Female or Unknown)]]="Male",Backend!$C$6,IF(Table1[[#This Row],[Fetal Sex (Male, Female or Unknown)]]="Female",Backend!$C$7,IF(Table1[[#This Row],[Fetal Sex (Male, Female or Unknown)]]="Unknown",Backend!$C$8,"Error"))),"")</f>
        <v/>
      </c>
      <c r="F1448" s="8" t="str">
        <f>IF(Table1[[#This Row],[Is Data Valid]]=TRUE,EXP(0.578+0.332*((Table1[[#This Row],[Gestation (days)]]+0.5)/7)-0.00354*((Table1[[#This Row],[Gestation (days)]]+0.5)/7)^2)*Table1[[#This Row],[BW40_3705]],"")</f>
        <v/>
      </c>
      <c r="G1448" s="2" t="str">
        <f>IF(Table1[[#This Row],[Is Data Valid]]=TRUE,((Table1[[#This Row],[Birthweight (grams)]]/Table1[[#This Row],[BW_GA]])-1)/(Backend!$B$4/100*Table1[[#This Row],[BW40_3705]]),"")</f>
        <v/>
      </c>
      <c r="H1448" s="7" t="str">
        <f>IF(Table1[[#This Row],[Is Data Valid]]=TRUE,((Table1[[#This Row],[Birthweight (grams)]]*0.9/Table1[[#This Row],[BW_GA]])-1)/(Backend!$B$4/100*Table1[[#This Row],[BW40_3705]]),"")</f>
        <v/>
      </c>
      <c r="I1448" s="7" t="str">
        <f>IF(Table1[[#This Row],[Is Data Valid]]=TRUE,((Table1[[#This Row],[Birthweight (grams)]]*1.1/Table1[[#This Row],[BW_GA]])-1)/(Backend!$B$4/100*Table1[[#This Row],[BW40_3705]]),"")</f>
        <v/>
      </c>
      <c r="J1448" s="7" t="str">
        <f>IF(Table1[[#This Row],[Is Data Valid]]=TRUE,_xlfn.NORM.S.DIST(Table1[[#This Row],[Birthweight Z-Score]],TRUE)*100,"")</f>
        <v/>
      </c>
      <c r="K1448" s="7" t="str">
        <f>IF(Table1[[#This Row],[Is Data Valid]]=TRUE,_xlfn.NORM.S.DIST(Table1[[#This Row],[Birthweight Z-Score (BW-10%)]],TRUE)*100,"")</f>
        <v/>
      </c>
      <c r="L1448" s="7" t="str">
        <f>IF(Table1[[#This Row],[Is Data Valid]]=TRUE,_xlfn.NORM.S.DIST(Table1[[#This Row],[Birthweight Z-Score (BW+10%)]],TRUE)*100,"")</f>
        <v/>
      </c>
    </row>
    <row r="1449" spans="1:12" x14ac:dyDescent="0.35">
      <c r="A1449" s="3"/>
      <c r="B1449" s="2"/>
      <c r="C1449" s="2"/>
      <c r="D1449" s="2" t="b">
        <f>IF(AND(NOT(ISBLANK(Table1[[#This Row],[Fetal Sex (Male, Female or Unknown)]])),ISNUMBER(Table1[[#This Row],[Birthweight (grams)]]),ISNUMBER(Table1[[#This Row],[Gestation (days)]])),TRUE,FALSE)</f>
        <v>0</v>
      </c>
      <c r="E1449" s="2" t="str">
        <f>IF(Table1[[#This Row],[Is Data Valid]]=TRUE,IF(Table1[[#This Row],[Fetal Sex (Male, Female or Unknown)]]="Male",Backend!$C$6,IF(Table1[[#This Row],[Fetal Sex (Male, Female or Unknown)]]="Female",Backend!$C$7,IF(Table1[[#This Row],[Fetal Sex (Male, Female or Unknown)]]="Unknown",Backend!$C$8,"Error"))),"")</f>
        <v/>
      </c>
      <c r="F1449" s="8" t="str">
        <f>IF(Table1[[#This Row],[Is Data Valid]]=TRUE,EXP(0.578+0.332*((Table1[[#This Row],[Gestation (days)]]+0.5)/7)-0.00354*((Table1[[#This Row],[Gestation (days)]]+0.5)/7)^2)*Table1[[#This Row],[BW40_3705]],"")</f>
        <v/>
      </c>
      <c r="G1449" s="2" t="str">
        <f>IF(Table1[[#This Row],[Is Data Valid]]=TRUE,((Table1[[#This Row],[Birthweight (grams)]]/Table1[[#This Row],[BW_GA]])-1)/(Backend!$B$4/100*Table1[[#This Row],[BW40_3705]]),"")</f>
        <v/>
      </c>
      <c r="H1449" s="7" t="str">
        <f>IF(Table1[[#This Row],[Is Data Valid]]=TRUE,((Table1[[#This Row],[Birthweight (grams)]]*0.9/Table1[[#This Row],[BW_GA]])-1)/(Backend!$B$4/100*Table1[[#This Row],[BW40_3705]]),"")</f>
        <v/>
      </c>
      <c r="I1449" s="7" t="str">
        <f>IF(Table1[[#This Row],[Is Data Valid]]=TRUE,((Table1[[#This Row],[Birthweight (grams)]]*1.1/Table1[[#This Row],[BW_GA]])-1)/(Backend!$B$4/100*Table1[[#This Row],[BW40_3705]]),"")</f>
        <v/>
      </c>
      <c r="J1449" s="7" t="str">
        <f>IF(Table1[[#This Row],[Is Data Valid]]=TRUE,_xlfn.NORM.S.DIST(Table1[[#This Row],[Birthweight Z-Score]],TRUE)*100,"")</f>
        <v/>
      </c>
      <c r="K1449" s="7" t="str">
        <f>IF(Table1[[#This Row],[Is Data Valid]]=TRUE,_xlfn.NORM.S.DIST(Table1[[#This Row],[Birthweight Z-Score (BW-10%)]],TRUE)*100,"")</f>
        <v/>
      </c>
      <c r="L1449" s="7" t="str">
        <f>IF(Table1[[#This Row],[Is Data Valid]]=TRUE,_xlfn.NORM.S.DIST(Table1[[#This Row],[Birthweight Z-Score (BW+10%)]],TRUE)*100,"")</f>
        <v/>
      </c>
    </row>
    <row r="1450" spans="1:12" x14ac:dyDescent="0.35">
      <c r="A1450" s="3"/>
      <c r="B1450" s="2"/>
      <c r="C1450" s="2"/>
      <c r="D1450" s="2" t="b">
        <f>IF(AND(NOT(ISBLANK(Table1[[#This Row],[Fetal Sex (Male, Female or Unknown)]])),ISNUMBER(Table1[[#This Row],[Birthweight (grams)]]),ISNUMBER(Table1[[#This Row],[Gestation (days)]])),TRUE,FALSE)</f>
        <v>0</v>
      </c>
      <c r="E1450" s="2" t="str">
        <f>IF(Table1[[#This Row],[Is Data Valid]]=TRUE,IF(Table1[[#This Row],[Fetal Sex (Male, Female or Unknown)]]="Male",Backend!$C$6,IF(Table1[[#This Row],[Fetal Sex (Male, Female or Unknown)]]="Female",Backend!$C$7,IF(Table1[[#This Row],[Fetal Sex (Male, Female or Unknown)]]="Unknown",Backend!$C$8,"Error"))),"")</f>
        <v/>
      </c>
      <c r="F1450" s="8" t="str">
        <f>IF(Table1[[#This Row],[Is Data Valid]]=TRUE,EXP(0.578+0.332*((Table1[[#This Row],[Gestation (days)]]+0.5)/7)-0.00354*((Table1[[#This Row],[Gestation (days)]]+0.5)/7)^2)*Table1[[#This Row],[BW40_3705]],"")</f>
        <v/>
      </c>
      <c r="G1450" s="2" t="str">
        <f>IF(Table1[[#This Row],[Is Data Valid]]=TRUE,((Table1[[#This Row],[Birthweight (grams)]]/Table1[[#This Row],[BW_GA]])-1)/(Backend!$B$4/100*Table1[[#This Row],[BW40_3705]]),"")</f>
        <v/>
      </c>
      <c r="H1450" s="7" t="str">
        <f>IF(Table1[[#This Row],[Is Data Valid]]=TRUE,((Table1[[#This Row],[Birthweight (grams)]]*0.9/Table1[[#This Row],[BW_GA]])-1)/(Backend!$B$4/100*Table1[[#This Row],[BW40_3705]]),"")</f>
        <v/>
      </c>
      <c r="I1450" s="7" t="str">
        <f>IF(Table1[[#This Row],[Is Data Valid]]=TRUE,((Table1[[#This Row],[Birthweight (grams)]]*1.1/Table1[[#This Row],[BW_GA]])-1)/(Backend!$B$4/100*Table1[[#This Row],[BW40_3705]]),"")</f>
        <v/>
      </c>
      <c r="J1450" s="7" t="str">
        <f>IF(Table1[[#This Row],[Is Data Valid]]=TRUE,_xlfn.NORM.S.DIST(Table1[[#This Row],[Birthweight Z-Score]],TRUE)*100,"")</f>
        <v/>
      </c>
      <c r="K1450" s="7" t="str">
        <f>IF(Table1[[#This Row],[Is Data Valid]]=TRUE,_xlfn.NORM.S.DIST(Table1[[#This Row],[Birthweight Z-Score (BW-10%)]],TRUE)*100,"")</f>
        <v/>
      </c>
      <c r="L1450" s="7" t="str">
        <f>IF(Table1[[#This Row],[Is Data Valid]]=TRUE,_xlfn.NORM.S.DIST(Table1[[#This Row],[Birthweight Z-Score (BW+10%)]],TRUE)*100,"")</f>
        <v/>
      </c>
    </row>
    <row r="1451" spans="1:12" x14ac:dyDescent="0.35">
      <c r="A1451" s="3"/>
      <c r="B1451" s="2"/>
      <c r="C1451" s="2"/>
      <c r="D1451" s="2" t="b">
        <f>IF(AND(NOT(ISBLANK(Table1[[#This Row],[Fetal Sex (Male, Female or Unknown)]])),ISNUMBER(Table1[[#This Row],[Birthweight (grams)]]),ISNUMBER(Table1[[#This Row],[Gestation (days)]])),TRUE,FALSE)</f>
        <v>0</v>
      </c>
      <c r="E1451" s="2" t="str">
        <f>IF(Table1[[#This Row],[Is Data Valid]]=TRUE,IF(Table1[[#This Row],[Fetal Sex (Male, Female or Unknown)]]="Male",Backend!$C$6,IF(Table1[[#This Row],[Fetal Sex (Male, Female or Unknown)]]="Female",Backend!$C$7,IF(Table1[[#This Row],[Fetal Sex (Male, Female or Unknown)]]="Unknown",Backend!$C$8,"Error"))),"")</f>
        <v/>
      </c>
      <c r="F1451" s="8" t="str">
        <f>IF(Table1[[#This Row],[Is Data Valid]]=TRUE,EXP(0.578+0.332*((Table1[[#This Row],[Gestation (days)]]+0.5)/7)-0.00354*((Table1[[#This Row],[Gestation (days)]]+0.5)/7)^2)*Table1[[#This Row],[BW40_3705]],"")</f>
        <v/>
      </c>
      <c r="G1451" s="2" t="str">
        <f>IF(Table1[[#This Row],[Is Data Valid]]=TRUE,((Table1[[#This Row],[Birthweight (grams)]]/Table1[[#This Row],[BW_GA]])-1)/(Backend!$B$4/100*Table1[[#This Row],[BW40_3705]]),"")</f>
        <v/>
      </c>
      <c r="H1451" s="7" t="str">
        <f>IF(Table1[[#This Row],[Is Data Valid]]=TRUE,((Table1[[#This Row],[Birthweight (grams)]]*0.9/Table1[[#This Row],[BW_GA]])-1)/(Backend!$B$4/100*Table1[[#This Row],[BW40_3705]]),"")</f>
        <v/>
      </c>
      <c r="I1451" s="7" t="str">
        <f>IF(Table1[[#This Row],[Is Data Valid]]=TRUE,((Table1[[#This Row],[Birthweight (grams)]]*1.1/Table1[[#This Row],[BW_GA]])-1)/(Backend!$B$4/100*Table1[[#This Row],[BW40_3705]]),"")</f>
        <v/>
      </c>
      <c r="J1451" s="7" t="str">
        <f>IF(Table1[[#This Row],[Is Data Valid]]=TRUE,_xlfn.NORM.S.DIST(Table1[[#This Row],[Birthweight Z-Score]],TRUE)*100,"")</f>
        <v/>
      </c>
      <c r="K1451" s="7" t="str">
        <f>IF(Table1[[#This Row],[Is Data Valid]]=TRUE,_xlfn.NORM.S.DIST(Table1[[#This Row],[Birthweight Z-Score (BW-10%)]],TRUE)*100,"")</f>
        <v/>
      </c>
      <c r="L1451" s="7" t="str">
        <f>IF(Table1[[#This Row],[Is Data Valid]]=TRUE,_xlfn.NORM.S.DIST(Table1[[#This Row],[Birthweight Z-Score (BW+10%)]],TRUE)*100,"")</f>
        <v/>
      </c>
    </row>
    <row r="1452" spans="1:12" x14ac:dyDescent="0.35">
      <c r="A1452" s="3"/>
      <c r="B1452" s="2"/>
      <c r="C1452" s="2"/>
      <c r="D1452" s="2" t="b">
        <f>IF(AND(NOT(ISBLANK(Table1[[#This Row],[Fetal Sex (Male, Female or Unknown)]])),ISNUMBER(Table1[[#This Row],[Birthweight (grams)]]),ISNUMBER(Table1[[#This Row],[Gestation (days)]])),TRUE,FALSE)</f>
        <v>0</v>
      </c>
      <c r="E1452" s="2" t="str">
        <f>IF(Table1[[#This Row],[Is Data Valid]]=TRUE,IF(Table1[[#This Row],[Fetal Sex (Male, Female or Unknown)]]="Male",Backend!$C$6,IF(Table1[[#This Row],[Fetal Sex (Male, Female or Unknown)]]="Female",Backend!$C$7,IF(Table1[[#This Row],[Fetal Sex (Male, Female or Unknown)]]="Unknown",Backend!$C$8,"Error"))),"")</f>
        <v/>
      </c>
      <c r="F1452" s="8" t="str">
        <f>IF(Table1[[#This Row],[Is Data Valid]]=TRUE,EXP(0.578+0.332*((Table1[[#This Row],[Gestation (days)]]+0.5)/7)-0.00354*((Table1[[#This Row],[Gestation (days)]]+0.5)/7)^2)*Table1[[#This Row],[BW40_3705]],"")</f>
        <v/>
      </c>
      <c r="G1452" s="2" t="str">
        <f>IF(Table1[[#This Row],[Is Data Valid]]=TRUE,((Table1[[#This Row],[Birthweight (grams)]]/Table1[[#This Row],[BW_GA]])-1)/(Backend!$B$4/100*Table1[[#This Row],[BW40_3705]]),"")</f>
        <v/>
      </c>
      <c r="H1452" s="7" t="str">
        <f>IF(Table1[[#This Row],[Is Data Valid]]=TRUE,((Table1[[#This Row],[Birthweight (grams)]]*0.9/Table1[[#This Row],[BW_GA]])-1)/(Backend!$B$4/100*Table1[[#This Row],[BW40_3705]]),"")</f>
        <v/>
      </c>
      <c r="I1452" s="7" t="str">
        <f>IF(Table1[[#This Row],[Is Data Valid]]=TRUE,((Table1[[#This Row],[Birthweight (grams)]]*1.1/Table1[[#This Row],[BW_GA]])-1)/(Backend!$B$4/100*Table1[[#This Row],[BW40_3705]]),"")</f>
        <v/>
      </c>
      <c r="J1452" s="7" t="str">
        <f>IF(Table1[[#This Row],[Is Data Valid]]=TRUE,_xlfn.NORM.S.DIST(Table1[[#This Row],[Birthweight Z-Score]],TRUE)*100,"")</f>
        <v/>
      </c>
      <c r="K1452" s="7" t="str">
        <f>IF(Table1[[#This Row],[Is Data Valid]]=TRUE,_xlfn.NORM.S.DIST(Table1[[#This Row],[Birthweight Z-Score (BW-10%)]],TRUE)*100,"")</f>
        <v/>
      </c>
      <c r="L1452" s="7" t="str">
        <f>IF(Table1[[#This Row],[Is Data Valid]]=TRUE,_xlfn.NORM.S.DIST(Table1[[#This Row],[Birthweight Z-Score (BW+10%)]],TRUE)*100,"")</f>
        <v/>
      </c>
    </row>
    <row r="1453" spans="1:12" x14ac:dyDescent="0.35">
      <c r="A1453" s="3"/>
      <c r="B1453" s="2"/>
      <c r="C1453" s="2"/>
      <c r="D1453" s="2" t="b">
        <f>IF(AND(NOT(ISBLANK(Table1[[#This Row],[Fetal Sex (Male, Female or Unknown)]])),ISNUMBER(Table1[[#This Row],[Birthweight (grams)]]),ISNUMBER(Table1[[#This Row],[Gestation (days)]])),TRUE,FALSE)</f>
        <v>0</v>
      </c>
      <c r="E1453" s="2" t="str">
        <f>IF(Table1[[#This Row],[Is Data Valid]]=TRUE,IF(Table1[[#This Row],[Fetal Sex (Male, Female or Unknown)]]="Male",Backend!$C$6,IF(Table1[[#This Row],[Fetal Sex (Male, Female or Unknown)]]="Female",Backend!$C$7,IF(Table1[[#This Row],[Fetal Sex (Male, Female or Unknown)]]="Unknown",Backend!$C$8,"Error"))),"")</f>
        <v/>
      </c>
      <c r="F1453" s="8" t="str">
        <f>IF(Table1[[#This Row],[Is Data Valid]]=TRUE,EXP(0.578+0.332*((Table1[[#This Row],[Gestation (days)]]+0.5)/7)-0.00354*((Table1[[#This Row],[Gestation (days)]]+0.5)/7)^2)*Table1[[#This Row],[BW40_3705]],"")</f>
        <v/>
      </c>
      <c r="G1453" s="2" t="str">
        <f>IF(Table1[[#This Row],[Is Data Valid]]=TRUE,((Table1[[#This Row],[Birthweight (grams)]]/Table1[[#This Row],[BW_GA]])-1)/(Backend!$B$4/100*Table1[[#This Row],[BW40_3705]]),"")</f>
        <v/>
      </c>
      <c r="H1453" s="7" t="str">
        <f>IF(Table1[[#This Row],[Is Data Valid]]=TRUE,((Table1[[#This Row],[Birthweight (grams)]]*0.9/Table1[[#This Row],[BW_GA]])-1)/(Backend!$B$4/100*Table1[[#This Row],[BW40_3705]]),"")</f>
        <v/>
      </c>
      <c r="I1453" s="7" t="str">
        <f>IF(Table1[[#This Row],[Is Data Valid]]=TRUE,((Table1[[#This Row],[Birthweight (grams)]]*1.1/Table1[[#This Row],[BW_GA]])-1)/(Backend!$B$4/100*Table1[[#This Row],[BW40_3705]]),"")</f>
        <v/>
      </c>
      <c r="J1453" s="7" t="str">
        <f>IF(Table1[[#This Row],[Is Data Valid]]=TRUE,_xlfn.NORM.S.DIST(Table1[[#This Row],[Birthweight Z-Score]],TRUE)*100,"")</f>
        <v/>
      </c>
      <c r="K1453" s="7" t="str">
        <f>IF(Table1[[#This Row],[Is Data Valid]]=TRUE,_xlfn.NORM.S.DIST(Table1[[#This Row],[Birthweight Z-Score (BW-10%)]],TRUE)*100,"")</f>
        <v/>
      </c>
      <c r="L1453" s="7" t="str">
        <f>IF(Table1[[#This Row],[Is Data Valid]]=TRUE,_xlfn.NORM.S.DIST(Table1[[#This Row],[Birthweight Z-Score (BW+10%)]],TRUE)*100,"")</f>
        <v/>
      </c>
    </row>
    <row r="1454" spans="1:12" x14ac:dyDescent="0.35">
      <c r="A1454" s="3"/>
      <c r="B1454" s="2"/>
      <c r="C1454" s="2"/>
      <c r="D1454" s="2" t="b">
        <f>IF(AND(NOT(ISBLANK(Table1[[#This Row],[Fetal Sex (Male, Female or Unknown)]])),ISNUMBER(Table1[[#This Row],[Birthweight (grams)]]),ISNUMBER(Table1[[#This Row],[Gestation (days)]])),TRUE,FALSE)</f>
        <v>0</v>
      </c>
      <c r="E1454" s="2" t="str">
        <f>IF(Table1[[#This Row],[Is Data Valid]]=TRUE,IF(Table1[[#This Row],[Fetal Sex (Male, Female or Unknown)]]="Male",Backend!$C$6,IF(Table1[[#This Row],[Fetal Sex (Male, Female or Unknown)]]="Female",Backend!$C$7,IF(Table1[[#This Row],[Fetal Sex (Male, Female or Unknown)]]="Unknown",Backend!$C$8,"Error"))),"")</f>
        <v/>
      </c>
      <c r="F1454" s="8" t="str">
        <f>IF(Table1[[#This Row],[Is Data Valid]]=TRUE,EXP(0.578+0.332*((Table1[[#This Row],[Gestation (days)]]+0.5)/7)-0.00354*((Table1[[#This Row],[Gestation (days)]]+0.5)/7)^2)*Table1[[#This Row],[BW40_3705]],"")</f>
        <v/>
      </c>
      <c r="G1454" s="2" t="str">
        <f>IF(Table1[[#This Row],[Is Data Valid]]=TRUE,((Table1[[#This Row],[Birthweight (grams)]]/Table1[[#This Row],[BW_GA]])-1)/(Backend!$B$4/100*Table1[[#This Row],[BW40_3705]]),"")</f>
        <v/>
      </c>
      <c r="H1454" s="7" t="str">
        <f>IF(Table1[[#This Row],[Is Data Valid]]=TRUE,((Table1[[#This Row],[Birthweight (grams)]]*0.9/Table1[[#This Row],[BW_GA]])-1)/(Backend!$B$4/100*Table1[[#This Row],[BW40_3705]]),"")</f>
        <v/>
      </c>
      <c r="I1454" s="7" t="str">
        <f>IF(Table1[[#This Row],[Is Data Valid]]=TRUE,((Table1[[#This Row],[Birthweight (grams)]]*1.1/Table1[[#This Row],[BW_GA]])-1)/(Backend!$B$4/100*Table1[[#This Row],[BW40_3705]]),"")</f>
        <v/>
      </c>
      <c r="J1454" s="7" t="str">
        <f>IF(Table1[[#This Row],[Is Data Valid]]=TRUE,_xlfn.NORM.S.DIST(Table1[[#This Row],[Birthweight Z-Score]],TRUE)*100,"")</f>
        <v/>
      </c>
      <c r="K1454" s="7" t="str">
        <f>IF(Table1[[#This Row],[Is Data Valid]]=TRUE,_xlfn.NORM.S.DIST(Table1[[#This Row],[Birthweight Z-Score (BW-10%)]],TRUE)*100,"")</f>
        <v/>
      </c>
      <c r="L1454" s="7" t="str">
        <f>IF(Table1[[#This Row],[Is Data Valid]]=TRUE,_xlfn.NORM.S.DIST(Table1[[#This Row],[Birthweight Z-Score (BW+10%)]],TRUE)*100,"")</f>
        <v/>
      </c>
    </row>
    <row r="1455" spans="1:12" x14ac:dyDescent="0.35">
      <c r="A1455" s="3"/>
      <c r="B1455" s="2"/>
      <c r="C1455" s="2"/>
      <c r="D1455" s="2" t="b">
        <f>IF(AND(NOT(ISBLANK(Table1[[#This Row],[Fetal Sex (Male, Female or Unknown)]])),ISNUMBER(Table1[[#This Row],[Birthweight (grams)]]),ISNUMBER(Table1[[#This Row],[Gestation (days)]])),TRUE,FALSE)</f>
        <v>0</v>
      </c>
      <c r="E1455" s="2" t="str">
        <f>IF(Table1[[#This Row],[Is Data Valid]]=TRUE,IF(Table1[[#This Row],[Fetal Sex (Male, Female or Unknown)]]="Male",Backend!$C$6,IF(Table1[[#This Row],[Fetal Sex (Male, Female or Unknown)]]="Female",Backend!$C$7,IF(Table1[[#This Row],[Fetal Sex (Male, Female or Unknown)]]="Unknown",Backend!$C$8,"Error"))),"")</f>
        <v/>
      </c>
      <c r="F1455" s="8" t="str">
        <f>IF(Table1[[#This Row],[Is Data Valid]]=TRUE,EXP(0.578+0.332*((Table1[[#This Row],[Gestation (days)]]+0.5)/7)-0.00354*((Table1[[#This Row],[Gestation (days)]]+0.5)/7)^2)*Table1[[#This Row],[BW40_3705]],"")</f>
        <v/>
      </c>
      <c r="G1455" s="2" t="str">
        <f>IF(Table1[[#This Row],[Is Data Valid]]=TRUE,((Table1[[#This Row],[Birthweight (grams)]]/Table1[[#This Row],[BW_GA]])-1)/(Backend!$B$4/100*Table1[[#This Row],[BW40_3705]]),"")</f>
        <v/>
      </c>
      <c r="H1455" s="7" t="str">
        <f>IF(Table1[[#This Row],[Is Data Valid]]=TRUE,((Table1[[#This Row],[Birthweight (grams)]]*0.9/Table1[[#This Row],[BW_GA]])-1)/(Backend!$B$4/100*Table1[[#This Row],[BW40_3705]]),"")</f>
        <v/>
      </c>
      <c r="I1455" s="7" t="str">
        <f>IF(Table1[[#This Row],[Is Data Valid]]=TRUE,((Table1[[#This Row],[Birthweight (grams)]]*1.1/Table1[[#This Row],[BW_GA]])-1)/(Backend!$B$4/100*Table1[[#This Row],[BW40_3705]]),"")</f>
        <v/>
      </c>
      <c r="J1455" s="7" t="str">
        <f>IF(Table1[[#This Row],[Is Data Valid]]=TRUE,_xlfn.NORM.S.DIST(Table1[[#This Row],[Birthweight Z-Score]],TRUE)*100,"")</f>
        <v/>
      </c>
      <c r="K1455" s="7" t="str">
        <f>IF(Table1[[#This Row],[Is Data Valid]]=TRUE,_xlfn.NORM.S.DIST(Table1[[#This Row],[Birthweight Z-Score (BW-10%)]],TRUE)*100,"")</f>
        <v/>
      </c>
      <c r="L1455" s="7" t="str">
        <f>IF(Table1[[#This Row],[Is Data Valid]]=TRUE,_xlfn.NORM.S.DIST(Table1[[#This Row],[Birthweight Z-Score (BW+10%)]],TRUE)*100,"")</f>
        <v/>
      </c>
    </row>
    <row r="1456" spans="1:12" x14ac:dyDescent="0.35">
      <c r="A1456" s="3"/>
      <c r="B1456" s="2"/>
      <c r="C1456" s="2"/>
      <c r="D1456" s="2" t="b">
        <f>IF(AND(NOT(ISBLANK(Table1[[#This Row],[Fetal Sex (Male, Female or Unknown)]])),ISNUMBER(Table1[[#This Row],[Birthweight (grams)]]),ISNUMBER(Table1[[#This Row],[Gestation (days)]])),TRUE,FALSE)</f>
        <v>0</v>
      </c>
      <c r="E1456" s="2" t="str">
        <f>IF(Table1[[#This Row],[Is Data Valid]]=TRUE,IF(Table1[[#This Row],[Fetal Sex (Male, Female or Unknown)]]="Male",Backend!$C$6,IF(Table1[[#This Row],[Fetal Sex (Male, Female or Unknown)]]="Female",Backend!$C$7,IF(Table1[[#This Row],[Fetal Sex (Male, Female or Unknown)]]="Unknown",Backend!$C$8,"Error"))),"")</f>
        <v/>
      </c>
      <c r="F1456" s="8" t="str">
        <f>IF(Table1[[#This Row],[Is Data Valid]]=TRUE,EXP(0.578+0.332*((Table1[[#This Row],[Gestation (days)]]+0.5)/7)-0.00354*((Table1[[#This Row],[Gestation (days)]]+0.5)/7)^2)*Table1[[#This Row],[BW40_3705]],"")</f>
        <v/>
      </c>
      <c r="G1456" s="2" t="str">
        <f>IF(Table1[[#This Row],[Is Data Valid]]=TRUE,((Table1[[#This Row],[Birthweight (grams)]]/Table1[[#This Row],[BW_GA]])-1)/(Backend!$B$4/100*Table1[[#This Row],[BW40_3705]]),"")</f>
        <v/>
      </c>
      <c r="H1456" s="7" t="str">
        <f>IF(Table1[[#This Row],[Is Data Valid]]=TRUE,((Table1[[#This Row],[Birthweight (grams)]]*0.9/Table1[[#This Row],[BW_GA]])-1)/(Backend!$B$4/100*Table1[[#This Row],[BW40_3705]]),"")</f>
        <v/>
      </c>
      <c r="I1456" s="7" t="str">
        <f>IF(Table1[[#This Row],[Is Data Valid]]=TRUE,((Table1[[#This Row],[Birthweight (grams)]]*1.1/Table1[[#This Row],[BW_GA]])-1)/(Backend!$B$4/100*Table1[[#This Row],[BW40_3705]]),"")</f>
        <v/>
      </c>
      <c r="J1456" s="7" t="str">
        <f>IF(Table1[[#This Row],[Is Data Valid]]=TRUE,_xlfn.NORM.S.DIST(Table1[[#This Row],[Birthweight Z-Score]],TRUE)*100,"")</f>
        <v/>
      </c>
      <c r="K1456" s="7" t="str">
        <f>IF(Table1[[#This Row],[Is Data Valid]]=TRUE,_xlfn.NORM.S.DIST(Table1[[#This Row],[Birthweight Z-Score (BW-10%)]],TRUE)*100,"")</f>
        <v/>
      </c>
      <c r="L1456" s="7" t="str">
        <f>IF(Table1[[#This Row],[Is Data Valid]]=TRUE,_xlfn.NORM.S.DIST(Table1[[#This Row],[Birthweight Z-Score (BW+10%)]],TRUE)*100,"")</f>
        <v/>
      </c>
    </row>
    <row r="1457" spans="1:12" x14ac:dyDescent="0.35">
      <c r="A1457" s="3"/>
      <c r="B1457" s="2"/>
      <c r="C1457" s="2"/>
      <c r="D1457" s="2" t="b">
        <f>IF(AND(NOT(ISBLANK(Table1[[#This Row],[Fetal Sex (Male, Female or Unknown)]])),ISNUMBER(Table1[[#This Row],[Birthweight (grams)]]),ISNUMBER(Table1[[#This Row],[Gestation (days)]])),TRUE,FALSE)</f>
        <v>0</v>
      </c>
      <c r="E1457" s="2" t="str">
        <f>IF(Table1[[#This Row],[Is Data Valid]]=TRUE,IF(Table1[[#This Row],[Fetal Sex (Male, Female or Unknown)]]="Male",Backend!$C$6,IF(Table1[[#This Row],[Fetal Sex (Male, Female or Unknown)]]="Female",Backend!$C$7,IF(Table1[[#This Row],[Fetal Sex (Male, Female or Unknown)]]="Unknown",Backend!$C$8,"Error"))),"")</f>
        <v/>
      </c>
      <c r="F1457" s="8" t="str">
        <f>IF(Table1[[#This Row],[Is Data Valid]]=TRUE,EXP(0.578+0.332*((Table1[[#This Row],[Gestation (days)]]+0.5)/7)-0.00354*((Table1[[#This Row],[Gestation (days)]]+0.5)/7)^2)*Table1[[#This Row],[BW40_3705]],"")</f>
        <v/>
      </c>
      <c r="G1457" s="2" t="str">
        <f>IF(Table1[[#This Row],[Is Data Valid]]=TRUE,((Table1[[#This Row],[Birthweight (grams)]]/Table1[[#This Row],[BW_GA]])-1)/(Backend!$B$4/100*Table1[[#This Row],[BW40_3705]]),"")</f>
        <v/>
      </c>
      <c r="H1457" s="7" t="str">
        <f>IF(Table1[[#This Row],[Is Data Valid]]=TRUE,((Table1[[#This Row],[Birthweight (grams)]]*0.9/Table1[[#This Row],[BW_GA]])-1)/(Backend!$B$4/100*Table1[[#This Row],[BW40_3705]]),"")</f>
        <v/>
      </c>
      <c r="I1457" s="7" t="str">
        <f>IF(Table1[[#This Row],[Is Data Valid]]=TRUE,((Table1[[#This Row],[Birthweight (grams)]]*1.1/Table1[[#This Row],[BW_GA]])-1)/(Backend!$B$4/100*Table1[[#This Row],[BW40_3705]]),"")</f>
        <v/>
      </c>
      <c r="J1457" s="7" t="str">
        <f>IF(Table1[[#This Row],[Is Data Valid]]=TRUE,_xlfn.NORM.S.DIST(Table1[[#This Row],[Birthweight Z-Score]],TRUE)*100,"")</f>
        <v/>
      </c>
      <c r="K1457" s="7" t="str">
        <f>IF(Table1[[#This Row],[Is Data Valid]]=TRUE,_xlfn.NORM.S.DIST(Table1[[#This Row],[Birthweight Z-Score (BW-10%)]],TRUE)*100,"")</f>
        <v/>
      </c>
      <c r="L1457" s="7" t="str">
        <f>IF(Table1[[#This Row],[Is Data Valid]]=TRUE,_xlfn.NORM.S.DIST(Table1[[#This Row],[Birthweight Z-Score (BW+10%)]],TRUE)*100,"")</f>
        <v/>
      </c>
    </row>
    <row r="1458" spans="1:12" x14ac:dyDescent="0.35">
      <c r="A1458" s="3"/>
      <c r="B1458" s="2"/>
      <c r="C1458" s="2"/>
      <c r="D1458" s="2" t="b">
        <f>IF(AND(NOT(ISBLANK(Table1[[#This Row],[Fetal Sex (Male, Female or Unknown)]])),ISNUMBER(Table1[[#This Row],[Birthweight (grams)]]),ISNUMBER(Table1[[#This Row],[Gestation (days)]])),TRUE,FALSE)</f>
        <v>0</v>
      </c>
      <c r="E1458" s="2" t="str">
        <f>IF(Table1[[#This Row],[Is Data Valid]]=TRUE,IF(Table1[[#This Row],[Fetal Sex (Male, Female or Unknown)]]="Male",Backend!$C$6,IF(Table1[[#This Row],[Fetal Sex (Male, Female or Unknown)]]="Female",Backend!$C$7,IF(Table1[[#This Row],[Fetal Sex (Male, Female or Unknown)]]="Unknown",Backend!$C$8,"Error"))),"")</f>
        <v/>
      </c>
      <c r="F1458" s="8" t="str">
        <f>IF(Table1[[#This Row],[Is Data Valid]]=TRUE,EXP(0.578+0.332*((Table1[[#This Row],[Gestation (days)]]+0.5)/7)-0.00354*((Table1[[#This Row],[Gestation (days)]]+0.5)/7)^2)*Table1[[#This Row],[BW40_3705]],"")</f>
        <v/>
      </c>
      <c r="G1458" s="2" t="str">
        <f>IF(Table1[[#This Row],[Is Data Valid]]=TRUE,((Table1[[#This Row],[Birthweight (grams)]]/Table1[[#This Row],[BW_GA]])-1)/(Backend!$B$4/100*Table1[[#This Row],[BW40_3705]]),"")</f>
        <v/>
      </c>
      <c r="H1458" s="7" t="str">
        <f>IF(Table1[[#This Row],[Is Data Valid]]=TRUE,((Table1[[#This Row],[Birthweight (grams)]]*0.9/Table1[[#This Row],[BW_GA]])-1)/(Backend!$B$4/100*Table1[[#This Row],[BW40_3705]]),"")</f>
        <v/>
      </c>
      <c r="I1458" s="7" t="str">
        <f>IF(Table1[[#This Row],[Is Data Valid]]=TRUE,((Table1[[#This Row],[Birthweight (grams)]]*1.1/Table1[[#This Row],[BW_GA]])-1)/(Backend!$B$4/100*Table1[[#This Row],[BW40_3705]]),"")</f>
        <v/>
      </c>
      <c r="J1458" s="7" t="str">
        <f>IF(Table1[[#This Row],[Is Data Valid]]=TRUE,_xlfn.NORM.S.DIST(Table1[[#This Row],[Birthweight Z-Score]],TRUE)*100,"")</f>
        <v/>
      </c>
      <c r="K1458" s="7" t="str">
        <f>IF(Table1[[#This Row],[Is Data Valid]]=TRUE,_xlfn.NORM.S.DIST(Table1[[#This Row],[Birthweight Z-Score (BW-10%)]],TRUE)*100,"")</f>
        <v/>
      </c>
      <c r="L1458" s="7" t="str">
        <f>IF(Table1[[#This Row],[Is Data Valid]]=TRUE,_xlfn.NORM.S.DIST(Table1[[#This Row],[Birthweight Z-Score (BW+10%)]],TRUE)*100,"")</f>
        <v/>
      </c>
    </row>
    <row r="1459" spans="1:12" x14ac:dyDescent="0.35">
      <c r="A1459" s="3"/>
      <c r="B1459" s="2"/>
      <c r="C1459" s="2"/>
      <c r="D1459" s="2" t="b">
        <f>IF(AND(NOT(ISBLANK(Table1[[#This Row],[Fetal Sex (Male, Female or Unknown)]])),ISNUMBER(Table1[[#This Row],[Birthweight (grams)]]),ISNUMBER(Table1[[#This Row],[Gestation (days)]])),TRUE,FALSE)</f>
        <v>0</v>
      </c>
      <c r="E1459" s="2" t="str">
        <f>IF(Table1[[#This Row],[Is Data Valid]]=TRUE,IF(Table1[[#This Row],[Fetal Sex (Male, Female or Unknown)]]="Male",Backend!$C$6,IF(Table1[[#This Row],[Fetal Sex (Male, Female or Unknown)]]="Female",Backend!$C$7,IF(Table1[[#This Row],[Fetal Sex (Male, Female or Unknown)]]="Unknown",Backend!$C$8,"Error"))),"")</f>
        <v/>
      </c>
      <c r="F1459" s="8" t="str">
        <f>IF(Table1[[#This Row],[Is Data Valid]]=TRUE,EXP(0.578+0.332*((Table1[[#This Row],[Gestation (days)]]+0.5)/7)-0.00354*((Table1[[#This Row],[Gestation (days)]]+0.5)/7)^2)*Table1[[#This Row],[BW40_3705]],"")</f>
        <v/>
      </c>
      <c r="G1459" s="2" t="str">
        <f>IF(Table1[[#This Row],[Is Data Valid]]=TRUE,((Table1[[#This Row],[Birthweight (grams)]]/Table1[[#This Row],[BW_GA]])-1)/(Backend!$B$4/100*Table1[[#This Row],[BW40_3705]]),"")</f>
        <v/>
      </c>
      <c r="H1459" s="7" t="str">
        <f>IF(Table1[[#This Row],[Is Data Valid]]=TRUE,((Table1[[#This Row],[Birthweight (grams)]]*0.9/Table1[[#This Row],[BW_GA]])-1)/(Backend!$B$4/100*Table1[[#This Row],[BW40_3705]]),"")</f>
        <v/>
      </c>
      <c r="I1459" s="7" t="str">
        <f>IF(Table1[[#This Row],[Is Data Valid]]=TRUE,((Table1[[#This Row],[Birthweight (grams)]]*1.1/Table1[[#This Row],[BW_GA]])-1)/(Backend!$B$4/100*Table1[[#This Row],[BW40_3705]]),"")</f>
        <v/>
      </c>
      <c r="J1459" s="7" t="str">
        <f>IF(Table1[[#This Row],[Is Data Valid]]=TRUE,_xlfn.NORM.S.DIST(Table1[[#This Row],[Birthweight Z-Score]],TRUE)*100,"")</f>
        <v/>
      </c>
      <c r="K1459" s="7" t="str">
        <f>IF(Table1[[#This Row],[Is Data Valid]]=TRUE,_xlfn.NORM.S.DIST(Table1[[#This Row],[Birthweight Z-Score (BW-10%)]],TRUE)*100,"")</f>
        <v/>
      </c>
      <c r="L1459" s="7" t="str">
        <f>IF(Table1[[#This Row],[Is Data Valid]]=TRUE,_xlfn.NORM.S.DIST(Table1[[#This Row],[Birthweight Z-Score (BW+10%)]],TRUE)*100,"")</f>
        <v/>
      </c>
    </row>
    <row r="1460" spans="1:12" x14ac:dyDescent="0.35">
      <c r="A1460" s="3"/>
      <c r="B1460" s="2"/>
      <c r="C1460" s="2"/>
      <c r="D1460" s="2" t="b">
        <f>IF(AND(NOT(ISBLANK(Table1[[#This Row],[Fetal Sex (Male, Female or Unknown)]])),ISNUMBER(Table1[[#This Row],[Birthweight (grams)]]),ISNUMBER(Table1[[#This Row],[Gestation (days)]])),TRUE,FALSE)</f>
        <v>0</v>
      </c>
      <c r="E1460" s="2" t="str">
        <f>IF(Table1[[#This Row],[Is Data Valid]]=TRUE,IF(Table1[[#This Row],[Fetal Sex (Male, Female or Unknown)]]="Male",Backend!$C$6,IF(Table1[[#This Row],[Fetal Sex (Male, Female or Unknown)]]="Female",Backend!$C$7,IF(Table1[[#This Row],[Fetal Sex (Male, Female or Unknown)]]="Unknown",Backend!$C$8,"Error"))),"")</f>
        <v/>
      </c>
      <c r="F1460" s="8" t="str">
        <f>IF(Table1[[#This Row],[Is Data Valid]]=TRUE,EXP(0.578+0.332*((Table1[[#This Row],[Gestation (days)]]+0.5)/7)-0.00354*((Table1[[#This Row],[Gestation (days)]]+0.5)/7)^2)*Table1[[#This Row],[BW40_3705]],"")</f>
        <v/>
      </c>
      <c r="G1460" s="2" t="str">
        <f>IF(Table1[[#This Row],[Is Data Valid]]=TRUE,((Table1[[#This Row],[Birthweight (grams)]]/Table1[[#This Row],[BW_GA]])-1)/(Backend!$B$4/100*Table1[[#This Row],[BW40_3705]]),"")</f>
        <v/>
      </c>
      <c r="H1460" s="7" t="str">
        <f>IF(Table1[[#This Row],[Is Data Valid]]=TRUE,((Table1[[#This Row],[Birthweight (grams)]]*0.9/Table1[[#This Row],[BW_GA]])-1)/(Backend!$B$4/100*Table1[[#This Row],[BW40_3705]]),"")</f>
        <v/>
      </c>
      <c r="I1460" s="7" t="str">
        <f>IF(Table1[[#This Row],[Is Data Valid]]=TRUE,((Table1[[#This Row],[Birthweight (grams)]]*1.1/Table1[[#This Row],[BW_GA]])-1)/(Backend!$B$4/100*Table1[[#This Row],[BW40_3705]]),"")</f>
        <v/>
      </c>
      <c r="J1460" s="7" t="str">
        <f>IF(Table1[[#This Row],[Is Data Valid]]=TRUE,_xlfn.NORM.S.DIST(Table1[[#This Row],[Birthweight Z-Score]],TRUE)*100,"")</f>
        <v/>
      </c>
      <c r="K1460" s="7" t="str">
        <f>IF(Table1[[#This Row],[Is Data Valid]]=TRUE,_xlfn.NORM.S.DIST(Table1[[#This Row],[Birthweight Z-Score (BW-10%)]],TRUE)*100,"")</f>
        <v/>
      </c>
      <c r="L1460" s="7" t="str">
        <f>IF(Table1[[#This Row],[Is Data Valid]]=TRUE,_xlfn.NORM.S.DIST(Table1[[#This Row],[Birthweight Z-Score (BW+10%)]],TRUE)*100,"")</f>
        <v/>
      </c>
    </row>
    <row r="1461" spans="1:12" x14ac:dyDescent="0.35">
      <c r="A1461" s="3"/>
      <c r="B1461" s="2"/>
      <c r="C1461" s="2"/>
      <c r="D1461" s="2" t="b">
        <f>IF(AND(NOT(ISBLANK(Table1[[#This Row],[Fetal Sex (Male, Female or Unknown)]])),ISNUMBER(Table1[[#This Row],[Birthweight (grams)]]),ISNUMBER(Table1[[#This Row],[Gestation (days)]])),TRUE,FALSE)</f>
        <v>0</v>
      </c>
      <c r="E1461" s="2" t="str">
        <f>IF(Table1[[#This Row],[Is Data Valid]]=TRUE,IF(Table1[[#This Row],[Fetal Sex (Male, Female or Unknown)]]="Male",Backend!$C$6,IF(Table1[[#This Row],[Fetal Sex (Male, Female or Unknown)]]="Female",Backend!$C$7,IF(Table1[[#This Row],[Fetal Sex (Male, Female or Unknown)]]="Unknown",Backend!$C$8,"Error"))),"")</f>
        <v/>
      </c>
      <c r="F1461" s="8" t="str">
        <f>IF(Table1[[#This Row],[Is Data Valid]]=TRUE,EXP(0.578+0.332*((Table1[[#This Row],[Gestation (days)]]+0.5)/7)-0.00354*((Table1[[#This Row],[Gestation (days)]]+0.5)/7)^2)*Table1[[#This Row],[BW40_3705]],"")</f>
        <v/>
      </c>
      <c r="G1461" s="2" t="str">
        <f>IF(Table1[[#This Row],[Is Data Valid]]=TRUE,((Table1[[#This Row],[Birthweight (grams)]]/Table1[[#This Row],[BW_GA]])-1)/(Backend!$B$4/100*Table1[[#This Row],[BW40_3705]]),"")</f>
        <v/>
      </c>
      <c r="H1461" s="7" t="str">
        <f>IF(Table1[[#This Row],[Is Data Valid]]=TRUE,((Table1[[#This Row],[Birthweight (grams)]]*0.9/Table1[[#This Row],[BW_GA]])-1)/(Backend!$B$4/100*Table1[[#This Row],[BW40_3705]]),"")</f>
        <v/>
      </c>
      <c r="I1461" s="7" t="str">
        <f>IF(Table1[[#This Row],[Is Data Valid]]=TRUE,((Table1[[#This Row],[Birthweight (grams)]]*1.1/Table1[[#This Row],[BW_GA]])-1)/(Backend!$B$4/100*Table1[[#This Row],[BW40_3705]]),"")</f>
        <v/>
      </c>
      <c r="J1461" s="7" t="str">
        <f>IF(Table1[[#This Row],[Is Data Valid]]=TRUE,_xlfn.NORM.S.DIST(Table1[[#This Row],[Birthweight Z-Score]],TRUE)*100,"")</f>
        <v/>
      </c>
      <c r="K1461" s="7" t="str">
        <f>IF(Table1[[#This Row],[Is Data Valid]]=TRUE,_xlfn.NORM.S.DIST(Table1[[#This Row],[Birthweight Z-Score (BW-10%)]],TRUE)*100,"")</f>
        <v/>
      </c>
      <c r="L1461" s="7" t="str">
        <f>IF(Table1[[#This Row],[Is Data Valid]]=TRUE,_xlfn.NORM.S.DIST(Table1[[#This Row],[Birthweight Z-Score (BW+10%)]],TRUE)*100,"")</f>
        <v/>
      </c>
    </row>
    <row r="1462" spans="1:12" x14ac:dyDescent="0.35">
      <c r="A1462" s="3"/>
      <c r="B1462" s="2"/>
      <c r="C1462" s="2"/>
      <c r="D1462" s="2" t="b">
        <f>IF(AND(NOT(ISBLANK(Table1[[#This Row],[Fetal Sex (Male, Female or Unknown)]])),ISNUMBER(Table1[[#This Row],[Birthweight (grams)]]),ISNUMBER(Table1[[#This Row],[Gestation (days)]])),TRUE,FALSE)</f>
        <v>0</v>
      </c>
      <c r="E1462" s="2" t="str">
        <f>IF(Table1[[#This Row],[Is Data Valid]]=TRUE,IF(Table1[[#This Row],[Fetal Sex (Male, Female or Unknown)]]="Male",Backend!$C$6,IF(Table1[[#This Row],[Fetal Sex (Male, Female or Unknown)]]="Female",Backend!$C$7,IF(Table1[[#This Row],[Fetal Sex (Male, Female or Unknown)]]="Unknown",Backend!$C$8,"Error"))),"")</f>
        <v/>
      </c>
      <c r="F1462" s="8" t="str">
        <f>IF(Table1[[#This Row],[Is Data Valid]]=TRUE,EXP(0.578+0.332*((Table1[[#This Row],[Gestation (days)]]+0.5)/7)-0.00354*((Table1[[#This Row],[Gestation (days)]]+0.5)/7)^2)*Table1[[#This Row],[BW40_3705]],"")</f>
        <v/>
      </c>
      <c r="G1462" s="2" t="str">
        <f>IF(Table1[[#This Row],[Is Data Valid]]=TRUE,((Table1[[#This Row],[Birthweight (grams)]]/Table1[[#This Row],[BW_GA]])-1)/(Backend!$B$4/100*Table1[[#This Row],[BW40_3705]]),"")</f>
        <v/>
      </c>
      <c r="H1462" s="7" t="str">
        <f>IF(Table1[[#This Row],[Is Data Valid]]=TRUE,((Table1[[#This Row],[Birthweight (grams)]]*0.9/Table1[[#This Row],[BW_GA]])-1)/(Backend!$B$4/100*Table1[[#This Row],[BW40_3705]]),"")</f>
        <v/>
      </c>
      <c r="I1462" s="7" t="str">
        <f>IF(Table1[[#This Row],[Is Data Valid]]=TRUE,((Table1[[#This Row],[Birthweight (grams)]]*1.1/Table1[[#This Row],[BW_GA]])-1)/(Backend!$B$4/100*Table1[[#This Row],[BW40_3705]]),"")</f>
        <v/>
      </c>
      <c r="J1462" s="7" t="str">
        <f>IF(Table1[[#This Row],[Is Data Valid]]=TRUE,_xlfn.NORM.S.DIST(Table1[[#This Row],[Birthweight Z-Score]],TRUE)*100,"")</f>
        <v/>
      </c>
      <c r="K1462" s="7" t="str">
        <f>IF(Table1[[#This Row],[Is Data Valid]]=TRUE,_xlfn.NORM.S.DIST(Table1[[#This Row],[Birthweight Z-Score (BW-10%)]],TRUE)*100,"")</f>
        <v/>
      </c>
      <c r="L1462" s="7" t="str">
        <f>IF(Table1[[#This Row],[Is Data Valid]]=TRUE,_xlfn.NORM.S.DIST(Table1[[#This Row],[Birthweight Z-Score (BW+10%)]],TRUE)*100,"")</f>
        <v/>
      </c>
    </row>
    <row r="1463" spans="1:12" x14ac:dyDescent="0.35">
      <c r="A1463" s="3"/>
      <c r="B1463" s="2"/>
      <c r="C1463" s="2"/>
      <c r="D1463" s="2" t="b">
        <f>IF(AND(NOT(ISBLANK(Table1[[#This Row],[Fetal Sex (Male, Female or Unknown)]])),ISNUMBER(Table1[[#This Row],[Birthweight (grams)]]),ISNUMBER(Table1[[#This Row],[Gestation (days)]])),TRUE,FALSE)</f>
        <v>0</v>
      </c>
      <c r="E1463" s="2" t="str">
        <f>IF(Table1[[#This Row],[Is Data Valid]]=TRUE,IF(Table1[[#This Row],[Fetal Sex (Male, Female or Unknown)]]="Male",Backend!$C$6,IF(Table1[[#This Row],[Fetal Sex (Male, Female or Unknown)]]="Female",Backend!$C$7,IF(Table1[[#This Row],[Fetal Sex (Male, Female or Unknown)]]="Unknown",Backend!$C$8,"Error"))),"")</f>
        <v/>
      </c>
      <c r="F1463" s="8" t="str">
        <f>IF(Table1[[#This Row],[Is Data Valid]]=TRUE,EXP(0.578+0.332*((Table1[[#This Row],[Gestation (days)]]+0.5)/7)-0.00354*((Table1[[#This Row],[Gestation (days)]]+0.5)/7)^2)*Table1[[#This Row],[BW40_3705]],"")</f>
        <v/>
      </c>
      <c r="G1463" s="2" t="str">
        <f>IF(Table1[[#This Row],[Is Data Valid]]=TRUE,((Table1[[#This Row],[Birthweight (grams)]]/Table1[[#This Row],[BW_GA]])-1)/(Backend!$B$4/100*Table1[[#This Row],[BW40_3705]]),"")</f>
        <v/>
      </c>
      <c r="H1463" s="7" t="str">
        <f>IF(Table1[[#This Row],[Is Data Valid]]=TRUE,((Table1[[#This Row],[Birthweight (grams)]]*0.9/Table1[[#This Row],[BW_GA]])-1)/(Backend!$B$4/100*Table1[[#This Row],[BW40_3705]]),"")</f>
        <v/>
      </c>
      <c r="I1463" s="7" t="str">
        <f>IF(Table1[[#This Row],[Is Data Valid]]=TRUE,((Table1[[#This Row],[Birthweight (grams)]]*1.1/Table1[[#This Row],[BW_GA]])-1)/(Backend!$B$4/100*Table1[[#This Row],[BW40_3705]]),"")</f>
        <v/>
      </c>
      <c r="J1463" s="7" t="str">
        <f>IF(Table1[[#This Row],[Is Data Valid]]=TRUE,_xlfn.NORM.S.DIST(Table1[[#This Row],[Birthweight Z-Score]],TRUE)*100,"")</f>
        <v/>
      </c>
      <c r="K1463" s="7" t="str">
        <f>IF(Table1[[#This Row],[Is Data Valid]]=TRUE,_xlfn.NORM.S.DIST(Table1[[#This Row],[Birthweight Z-Score (BW-10%)]],TRUE)*100,"")</f>
        <v/>
      </c>
      <c r="L1463" s="7" t="str">
        <f>IF(Table1[[#This Row],[Is Data Valid]]=TRUE,_xlfn.NORM.S.DIST(Table1[[#This Row],[Birthweight Z-Score (BW+10%)]],TRUE)*100,"")</f>
        <v/>
      </c>
    </row>
    <row r="1464" spans="1:12" x14ac:dyDescent="0.35">
      <c r="A1464" s="3"/>
      <c r="B1464" s="2"/>
      <c r="C1464" s="2"/>
      <c r="D1464" s="2" t="b">
        <f>IF(AND(NOT(ISBLANK(Table1[[#This Row],[Fetal Sex (Male, Female or Unknown)]])),ISNUMBER(Table1[[#This Row],[Birthweight (grams)]]),ISNUMBER(Table1[[#This Row],[Gestation (days)]])),TRUE,FALSE)</f>
        <v>0</v>
      </c>
      <c r="E1464" s="2" t="str">
        <f>IF(Table1[[#This Row],[Is Data Valid]]=TRUE,IF(Table1[[#This Row],[Fetal Sex (Male, Female or Unknown)]]="Male",Backend!$C$6,IF(Table1[[#This Row],[Fetal Sex (Male, Female or Unknown)]]="Female",Backend!$C$7,IF(Table1[[#This Row],[Fetal Sex (Male, Female or Unknown)]]="Unknown",Backend!$C$8,"Error"))),"")</f>
        <v/>
      </c>
      <c r="F1464" s="8" t="str">
        <f>IF(Table1[[#This Row],[Is Data Valid]]=TRUE,EXP(0.578+0.332*((Table1[[#This Row],[Gestation (days)]]+0.5)/7)-0.00354*((Table1[[#This Row],[Gestation (days)]]+0.5)/7)^2)*Table1[[#This Row],[BW40_3705]],"")</f>
        <v/>
      </c>
      <c r="G1464" s="2" t="str">
        <f>IF(Table1[[#This Row],[Is Data Valid]]=TRUE,((Table1[[#This Row],[Birthweight (grams)]]/Table1[[#This Row],[BW_GA]])-1)/(Backend!$B$4/100*Table1[[#This Row],[BW40_3705]]),"")</f>
        <v/>
      </c>
      <c r="H1464" s="7" t="str">
        <f>IF(Table1[[#This Row],[Is Data Valid]]=TRUE,((Table1[[#This Row],[Birthweight (grams)]]*0.9/Table1[[#This Row],[BW_GA]])-1)/(Backend!$B$4/100*Table1[[#This Row],[BW40_3705]]),"")</f>
        <v/>
      </c>
      <c r="I1464" s="7" t="str">
        <f>IF(Table1[[#This Row],[Is Data Valid]]=TRUE,((Table1[[#This Row],[Birthweight (grams)]]*1.1/Table1[[#This Row],[BW_GA]])-1)/(Backend!$B$4/100*Table1[[#This Row],[BW40_3705]]),"")</f>
        <v/>
      </c>
      <c r="J1464" s="7" t="str">
        <f>IF(Table1[[#This Row],[Is Data Valid]]=TRUE,_xlfn.NORM.S.DIST(Table1[[#This Row],[Birthweight Z-Score]],TRUE)*100,"")</f>
        <v/>
      </c>
      <c r="K1464" s="7" t="str">
        <f>IF(Table1[[#This Row],[Is Data Valid]]=TRUE,_xlfn.NORM.S.DIST(Table1[[#This Row],[Birthweight Z-Score (BW-10%)]],TRUE)*100,"")</f>
        <v/>
      </c>
      <c r="L1464" s="7" t="str">
        <f>IF(Table1[[#This Row],[Is Data Valid]]=TRUE,_xlfn.NORM.S.DIST(Table1[[#This Row],[Birthweight Z-Score (BW+10%)]],TRUE)*100,"")</f>
        <v/>
      </c>
    </row>
    <row r="1465" spans="1:12" x14ac:dyDescent="0.35">
      <c r="A1465" s="3"/>
      <c r="B1465" s="2"/>
      <c r="C1465" s="2"/>
      <c r="D1465" s="2" t="b">
        <f>IF(AND(NOT(ISBLANK(Table1[[#This Row],[Fetal Sex (Male, Female or Unknown)]])),ISNUMBER(Table1[[#This Row],[Birthweight (grams)]]),ISNUMBER(Table1[[#This Row],[Gestation (days)]])),TRUE,FALSE)</f>
        <v>0</v>
      </c>
      <c r="E1465" s="2" t="str">
        <f>IF(Table1[[#This Row],[Is Data Valid]]=TRUE,IF(Table1[[#This Row],[Fetal Sex (Male, Female or Unknown)]]="Male",Backend!$C$6,IF(Table1[[#This Row],[Fetal Sex (Male, Female or Unknown)]]="Female",Backend!$C$7,IF(Table1[[#This Row],[Fetal Sex (Male, Female or Unknown)]]="Unknown",Backend!$C$8,"Error"))),"")</f>
        <v/>
      </c>
      <c r="F1465" s="8" t="str">
        <f>IF(Table1[[#This Row],[Is Data Valid]]=TRUE,EXP(0.578+0.332*((Table1[[#This Row],[Gestation (days)]]+0.5)/7)-0.00354*((Table1[[#This Row],[Gestation (days)]]+0.5)/7)^2)*Table1[[#This Row],[BW40_3705]],"")</f>
        <v/>
      </c>
      <c r="G1465" s="2" t="str">
        <f>IF(Table1[[#This Row],[Is Data Valid]]=TRUE,((Table1[[#This Row],[Birthweight (grams)]]/Table1[[#This Row],[BW_GA]])-1)/(Backend!$B$4/100*Table1[[#This Row],[BW40_3705]]),"")</f>
        <v/>
      </c>
      <c r="H1465" s="7" t="str">
        <f>IF(Table1[[#This Row],[Is Data Valid]]=TRUE,((Table1[[#This Row],[Birthweight (grams)]]*0.9/Table1[[#This Row],[BW_GA]])-1)/(Backend!$B$4/100*Table1[[#This Row],[BW40_3705]]),"")</f>
        <v/>
      </c>
      <c r="I1465" s="7" t="str">
        <f>IF(Table1[[#This Row],[Is Data Valid]]=TRUE,((Table1[[#This Row],[Birthweight (grams)]]*1.1/Table1[[#This Row],[BW_GA]])-1)/(Backend!$B$4/100*Table1[[#This Row],[BW40_3705]]),"")</f>
        <v/>
      </c>
      <c r="J1465" s="7" t="str">
        <f>IF(Table1[[#This Row],[Is Data Valid]]=TRUE,_xlfn.NORM.S.DIST(Table1[[#This Row],[Birthweight Z-Score]],TRUE)*100,"")</f>
        <v/>
      </c>
      <c r="K1465" s="7" t="str">
        <f>IF(Table1[[#This Row],[Is Data Valid]]=TRUE,_xlfn.NORM.S.DIST(Table1[[#This Row],[Birthweight Z-Score (BW-10%)]],TRUE)*100,"")</f>
        <v/>
      </c>
      <c r="L1465" s="7" t="str">
        <f>IF(Table1[[#This Row],[Is Data Valid]]=TRUE,_xlfn.NORM.S.DIST(Table1[[#This Row],[Birthweight Z-Score (BW+10%)]],TRUE)*100,"")</f>
        <v/>
      </c>
    </row>
    <row r="1466" spans="1:12" x14ac:dyDescent="0.35">
      <c r="A1466" s="3"/>
      <c r="B1466" s="2"/>
      <c r="C1466" s="2"/>
      <c r="D1466" s="2" t="b">
        <f>IF(AND(NOT(ISBLANK(Table1[[#This Row],[Fetal Sex (Male, Female or Unknown)]])),ISNUMBER(Table1[[#This Row],[Birthweight (grams)]]),ISNUMBER(Table1[[#This Row],[Gestation (days)]])),TRUE,FALSE)</f>
        <v>0</v>
      </c>
      <c r="E1466" s="2" t="str">
        <f>IF(Table1[[#This Row],[Is Data Valid]]=TRUE,IF(Table1[[#This Row],[Fetal Sex (Male, Female or Unknown)]]="Male",Backend!$C$6,IF(Table1[[#This Row],[Fetal Sex (Male, Female or Unknown)]]="Female",Backend!$C$7,IF(Table1[[#This Row],[Fetal Sex (Male, Female or Unknown)]]="Unknown",Backend!$C$8,"Error"))),"")</f>
        <v/>
      </c>
      <c r="F1466" s="8" t="str">
        <f>IF(Table1[[#This Row],[Is Data Valid]]=TRUE,EXP(0.578+0.332*((Table1[[#This Row],[Gestation (days)]]+0.5)/7)-0.00354*((Table1[[#This Row],[Gestation (days)]]+0.5)/7)^2)*Table1[[#This Row],[BW40_3705]],"")</f>
        <v/>
      </c>
      <c r="G1466" s="2" t="str">
        <f>IF(Table1[[#This Row],[Is Data Valid]]=TRUE,((Table1[[#This Row],[Birthweight (grams)]]/Table1[[#This Row],[BW_GA]])-1)/(Backend!$B$4/100*Table1[[#This Row],[BW40_3705]]),"")</f>
        <v/>
      </c>
      <c r="H1466" s="7" t="str">
        <f>IF(Table1[[#This Row],[Is Data Valid]]=TRUE,((Table1[[#This Row],[Birthweight (grams)]]*0.9/Table1[[#This Row],[BW_GA]])-1)/(Backend!$B$4/100*Table1[[#This Row],[BW40_3705]]),"")</f>
        <v/>
      </c>
      <c r="I1466" s="7" t="str">
        <f>IF(Table1[[#This Row],[Is Data Valid]]=TRUE,((Table1[[#This Row],[Birthweight (grams)]]*1.1/Table1[[#This Row],[BW_GA]])-1)/(Backend!$B$4/100*Table1[[#This Row],[BW40_3705]]),"")</f>
        <v/>
      </c>
      <c r="J1466" s="7" t="str">
        <f>IF(Table1[[#This Row],[Is Data Valid]]=TRUE,_xlfn.NORM.S.DIST(Table1[[#This Row],[Birthweight Z-Score]],TRUE)*100,"")</f>
        <v/>
      </c>
      <c r="K1466" s="7" t="str">
        <f>IF(Table1[[#This Row],[Is Data Valid]]=TRUE,_xlfn.NORM.S.DIST(Table1[[#This Row],[Birthweight Z-Score (BW-10%)]],TRUE)*100,"")</f>
        <v/>
      </c>
      <c r="L1466" s="7" t="str">
        <f>IF(Table1[[#This Row],[Is Data Valid]]=TRUE,_xlfn.NORM.S.DIST(Table1[[#This Row],[Birthweight Z-Score (BW+10%)]],TRUE)*100,"")</f>
        <v/>
      </c>
    </row>
    <row r="1467" spans="1:12" x14ac:dyDescent="0.35">
      <c r="A1467" s="3"/>
      <c r="B1467" s="2"/>
      <c r="C1467" s="2"/>
      <c r="D1467" s="2" t="b">
        <f>IF(AND(NOT(ISBLANK(Table1[[#This Row],[Fetal Sex (Male, Female or Unknown)]])),ISNUMBER(Table1[[#This Row],[Birthweight (grams)]]),ISNUMBER(Table1[[#This Row],[Gestation (days)]])),TRUE,FALSE)</f>
        <v>0</v>
      </c>
      <c r="E1467" s="2" t="str">
        <f>IF(Table1[[#This Row],[Is Data Valid]]=TRUE,IF(Table1[[#This Row],[Fetal Sex (Male, Female or Unknown)]]="Male",Backend!$C$6,IF(Table1[[#This Row],[Fetal Sex (Male, Female or Unknown)]]="Female",Backend!$C$7,IF(Table1[[#This Row],[Fetal Sex (Male, Female or Unknown)]]="Unknown",Backend!$C$8,"Error"))),"")</f>
        <v/>
      </c>
      <c r="F1467" s="8" t="str">
        <f>IF(Table1[[#This Row],[Is Data Valid]]=TRUE,EXP(0.578+0.332*((Table1[[#This Row],[Gestation (days)]]+0.5)/7)-0.00354*((Table1[[#This Row],[Gestation (days)]]+0.5)/7)^2)*Table1[[#This Row],[BW40_3705]],"")</f>
        <v/>
      </c>
      <c r="G1467" s="2" t="str">
        <f>IF(Table1[[#This Row],[Is Data Valid]]=TRUE,((Table1[[#This Row],[Birthweight (grams)]]/Table1[[#This Row],[BW_GA]])-1)/(Backend!$B$4/100*Table1[[#This Row],[BW40_3705]]),"")</f>
        <v/>
      </c>
      <c r="H1467" s="7" t="str">
        <f>IF(Table1[[#This Row],[Is Data Valid]]=TRUE,((Table1[[#This Row],[Birthweight (grams)]]*0.9/Table1[[#This Row],[BW_GA]])-1)/(Backend!$B$4/100*Table1[[#This Row],[BW40_3705]]),"")</f>
        <v/>
      </c>
      <c r="I1467" s="7" t="str">
        <f>IF(Table1[[#This Row],[Is Data Valid]]=TRUE,((Table1[[#This Row],[Birthweight (grams)]]*1.1/Table1[[#This Row],[BW_GA]])-1)/(Backend!$B$4/100*Table1[[#This Row],[BW40_3705]]),"")</f>
        <v/>
      </c>
      <c r="J1467" s="7" t="str">
        <f>IF(Table1[[#This Row],[Is Data Valid]]=TRUE,_xlfn.NORM.S.DIST(Table1[[#This Row],[Birthweight Z-Score]],TRUE)*100,"")</f>
        <v/>
      </c>
      <c r="K1467" s="7" t="str">
        <f>IF(Table1[[#This Row],[Is Data Valid]]=TRUE,_xlfn.NORM.S.DIST(Table1[[#This Row],[Birthweight Z-Score (BW-10%)]],TRUE)*100,"")</f>
        <v/>
      </c>
      <c r="L1467" s="7" t="str">
        <f>IF(Table1[[#This Row],[Is Data Valid]]=TRUE,_xlfn.NORM.S.DIST(Table1[[#This Row],[Birthweight Z-Score (BW+10%)]],TRUE)*100,"")</f>
        <v/>
      </c>
    </row>
    <row r="1468" spans="1:12" x14ac:dyDescent="0.35">
      <c r="A1468" s="3"/>
      <c r="B1468" s="2"/>
      <c r="C1468" s="2"/>
      <c r="D1468" s="2" t="b">
        <f>IF(AND(NOT(ISBLANK(Table1[[#This Row],[Fetal Sex (Male, Female or Unknown)]])),ISNUMBER(Table1[[#This Row],[Birthweight (grams)]]),ISNUMBER(Table1[[#This Row],[Gestation (days)]])),TRUE,FALSE)</f>
        <v>0</v>
      </c>
      <c r="E1468" s="2" t="str">
        <f>IF(Table1[[#This Row],[Is Data Valid]]=TRUE,IF(Table1[[#This Row],[Fetal Sex (Male, Female or Unknown)]]="Male",Backend!$C$6,IF(Table1[[#This Row],[Fetal Sex (Male, Female or Unknown)]]="Female",Backend!$C$7,IF(Table1[[#This Row],[Fetal Sex (Male, Female or Unknown)]]="Unknown",Backend!$C$8,"Error"))),"")</f>
        <v/>
      </c>
      <c r="F1468" s="8" t="str">
        <f>IF(Table1[[#This Row],[Is Data Valid]]=TRUE,EXP(0.578+0.332*((Table1[[#This Row],[Gestation (days)]]+0.5)/7)-0.00354*((Table1[[#This Row],[Gestation (days)]]+0.5)/7)^2)*Table1[[#This Row],[BW40_3705]],"")</f>
        <v/>
      </c>
      <c r="G1468" s="2" t="str">
        <f>IF(Table1[[#This Row],[Is Data Valid]]=TRUE,((Table1[[#This Row],[Birthweight (grams)]]/Table1[[#This Row],[BW_GA]])-1)/(Backend!$B$4/100*Table1[[#This Row],[BW40_3705]]),"")</f>
        <v/>
      </c>
      <c r="H1468" s="7" t="str">
        <f>IF(Table1[[#This Row],[Is Data Valid]]=TRUE,((Table1[[#This Row],[Birthweight (grams)]]*0.9/Table1[[#This Row],[BW_GA]])-1)/(Backend!$B$4/100*Table1[[#This Row],[BW40_3705]]),"")</f>
        <v/>
      </c>
      <c r="I1468" s="7" t="str">
        <f>IF(Table1[[#This Row],[Is Data Valid]]=TRUE,((Table1[[#This Row],[Birthweight (grams)]]*1.1/Table1[[#This Row],[BW_GA]])-1)/(Backend!$B$4/100*Table1[[#This Row],[BW40_3705]]),"")</f>
        <v/>
      </c>
      <c r="J1468" s="7" t="str">
        <f>IF(Table1[[#This Row],[Is Data Valid]]=TRUE,_xlfn.NORM.S.DIST(Table1[[#This Row],[Birthweight Z-Score]],TRUE)*100,"")</f>
        <v/>
      </c>
      <c r="K1468" s="7" t="str">
        <f>IF(Table1[[#This Row],[Is Data Valid]]=TRUE,_xlfn.NORM.S.DIST(Table1[[#This Row],[Birthweight Z-Score (BW-10%)]],TRUE)*100,"")</f>
        <v/>
      </c>
      <c r="L1468" s="7" t="str">
        <f>IF(Table1[[#This Row],[Is Data Valid]]=TRUE,_xlfn.NORM.S.DIST(Table1[[#This Row],[Birthweight Z-Score (BW+10%)]],TRUE)*100,"")</f>
        <v/>
      </c>
    </row>
    <row r="1469" spans="1:12" x14ac:dyDescent="0.35">
      <c r="A1469" s="3"/>
      <c r="B1469" s="2"/>
      <c r="C1469" s="2"/>
      <c r="D1469" s="2" t="b">
        <f>IF(AND(NOT(ISBLANK(Table1[[#This Row],[Fetal Sex (Male, Female or Unknown)]])),ISNUMBER(Table1[[#This Row],[Birthweight (grams)]]),ISNUMBER(Table1[[#This Row],[Gestation (days)]])),TRUE,FALSE)</f>
        <v>0</v>
      </c>
      <c r="E1469" s="2" t="str">
        <f>IF(Table1[[#This Row],[Is Data Valid]]=TRUE,IF(Table1[[#This Row],[Fetal Sex (Male, Female or Unknown)]]="Male",Backend!$C$6,IF(Table1[[#This Row],[Fetal Sex (Male, Female or Unknown)]]="Female",Backend!$C$7,IF(Table1[[#This Row],[Fetal Sex (Male, Female or Unknown)]]="Unknown",Backend!$C$8,"Error"))),"")</f>
        <v/>
      </c>
      <c r="F1469" s="8" t="str">
        <f>IF(Table1[[#This Row],[Is Data Valid]]=TRUE,EXP(0.578+0.332*((Table1[[#This Row],[Gestation (days)]]+0.5)/7)-0.00354*((Table1[[#This Row],[Gestation (days)]]+0.5)/7)^2)*Table1[[#This Row],[BW40_3705]],"")</f>
        <v/>
      </c>
      <c r="G1469" s="2" t="str">
        <f>IF(Table1[[#This Row],[Is Data Valid]]=TRUE,((Table1[[#This Row],[Birthweight (grams)]]/Table1[[#This Row],[BW_GA]])-1)/(Backend!$B$4/100*Table1[[#This Row],[BW40_3705]]),"")</f>
        <v/>
      </c>
      <c r="H1469" s="7" t="str">
        <f>IF(Table1[[#This Row],[Is Data Valid]]=TRUE,((Table1[[#This Row],[Birthweight (grams)]]*0.9/Table1[[#This Row],[BW_GA]])-1)/(Backend!$B$4/100*Table1[[#This Row],[BW40_3705]]),"")</f>
        <v/>
      </c>
      <c r="I1469" s="7" t="str">
        <f>IF(Table1[[#This Row],[Is Data Valid]]=TRUE,((Table1[[#This Row],[Birthweight (grams)]]*1.1/Table1[[#This Row],[BW_GA]])-1)/(Backend!$B$4/100*Table1[[#This Row],[BW40_3705]]),"")</f>
        <v/>
      </c>
      <c r="J1469" s="7" t="str">
        <f>IF(Table1[[#This Row],[Is Data Valid]]=TRUE,_xlfn.NORM.S.DIST(Table1[[#This Row],[Birthweight Z-Score]],TRUE)*100,"")</f>
        <v/>
      </c>
      <c r="K1469" s="7" t="str">
        <f>IF(Table1[[#This Row],[Is Data Valid]]=TRUE,_xlfn.NORM.S.DIST(Table1[[#This Row],[Birthweight Z-Score (BW-10%)]],TRUE)*100,"")</f>
        <v/>
      </c>
      <c r="L1469" s="7" t="str">
        <f>IF(Table1[[#This Row],[Is Data Valid]]=TRUE,_xlfn.NORM.S.DIST(Table1[[#This Row],[Birthweight Z-Score (BW+10%)]],TRUE)*100,"")</f>
        <v/>
      </c>
    </row>
    <row r="1470" spans="1:12" x14ac:dyDescent="0.35">
      <c r="A1470" s="3"/>
      <c r="B1470" s="2"/>
      <c r="C1470" s="2"/>
      <c r="D1470" s="2" t="b">
        <f>IF(AND(NOT(ISBLANK(Table1[[#This Row],[Fetal Sex (Male, Female or Unknown)]])),ISNUMBER(Table1[[#This Row],[Birthweight (grams)]]),ISNUMBER(Table1[[#This Row],[Gestation (days)]])),TRUE,FALSE)</f>
        <v>0</v>
      </c>
      <c r="E1470" s="2" t="str">
        <f>IF(Table1[[#This Row],[Is Data Valid]]=TRUE,IF(Table1[[#This Row],[Fetal Sex (Male, Female or Unknown)]]="Male",Backend!$C$6,IF(Table1[[#This Row],[Fetal Sex (Male, Female or Unknown)]]="Female",Backend!$C$7,IF(Table1[[#This Row],[Fetal Sex (Male, Female or Unknown)]]="Unknown",Backend!$C$8,"Error"))),"")</f>
        <v/>
      </c>
      <c r="F1470" s="8" t="str">
        <f>IF(Table1[[#This Row],[Is Data Valid]]=TRUE,EXP(0.578+0.332*((Table1[[#This Row],[Gestation (days)]]+0.5)/7)-0.00354*((Table1[[#This Row],[Gestation (days)]]+0.5)/7)^2)*Table1[[#This Row],[BW40_3705]],"")</f>
        <v/>
      </c>
      <c r="G1470" s="2" t="str">
        <f>IF(Table1[[#This Row],[Is Data Valid]]=TRUE,((Table1[[#This Row],[Birthweight (grams)]]/Table1[[#This Row],[BW_GA]])-1)/(Backend!$B$4/100*Table1[[#This Row],[BW40_3705]]),"")</f>
        <v/>
      </c>
      <c r="H1470" s="7" t="str">
        <f>IF(Table1[[#This Row],[Is Data Valid]]=TRUE,((Table1[[#This Row],[Birthweight (grams)]]*0.9/Table1[[#This Row],[BW_GA]])-1)/(Backend!$B$4/100*Table1[[#This Row],[BW40_3705]]),"")</f>
        <v/>
      </c>
      <c r="I1470" s="7" t="str">
        <f>IF(Table1[[#This Row],[Is Data Valid]]=TRUE,((Table1[[#This Row],[Birthweight (grams)]]*1.1/Table1[[#This Row],[BW_GA]])-1)/(Backend!$B$4/100*Table1[[#This Row],[BW40_3705]]),"")</f>
        <v/>
      </c>
      <c r="J1470" s="7" t="str">
        <f>IF(Table1[[#This Row],[Is Data Valid]]=TRUE,_xlfn.NORM.S.DIST(Table1[[#This Row],[Birthweight Z-Score]],TRUE)*100,"")</f>
        <v/>
      </c>
      <c r="K1470" s="7" t="str">
        <f>IF(Table1[[#This Row],[Is Data Valid]]=TRUE,_xlfn.NORM.S.DIST(Table1[[#This Row],[Birthweight Z-Score (BW-10%)]],TRUE)*100,"")</f>
        <v/>
      </c>
      <c r="L1470" s="7" t="str">
        <f>IF(Table1[[#This Row],[Is Data Valid]]=TRUE,_xlfn.NORM.S.DIST(Table1[[#This Row],[Birthweight Z-Score (BW+10%)]],TRUE)*100,"")</f>
        <v/>
      </c>
    </row>
    <row r="1471" spans="1:12" x14ac:dyDescent="0.35">
      <c r="A1471" s="3"/>
      <c r="B1471" s="2"/>
      <c r="C1471" s="2"/>
      <c r="D1471" s="2" t="b">
        <f>IF(AND(NOT(ISBLANK(Table1[[#This Row],[Fetal Sex (Male, Female or Unknown)]])),ISNUMBER(Table1[[#This Row],[Birthweight (grams)]]),ISNUMBER(Table1[[#This Row],[Gestation (days)]])),TRUE,FALSE)</f>
        <v>0</v>
      </c>
      <c r="E1471" s="2" t="str">
        <f>IF(Table1[[#This Row],[Is Data Valid]]=TRUE,IF(Table1[[#This Row],[Fetal Sex (Male, Female or Unknown)]]="Male",Backend!$C$6,IF(Table1[[#This Row],[Fetal Sex (Male, Female or Unknown)]]="Female",Backend!$C$7,IF(Table1[[#This Row],[Fetal Sex (Male, Female or Unknown)]]="Unknown",Backend!$C$8,"Error"))),"")</f>
        <v/>
      </c>
      <c r="F1471" s="8" t="str">
        <f>IF(Table1[[#This Row],[Is Data Valid]]=TRUE,EXP(0.578+0.332*((Table1[[#This Row],[Gestation (days)]]+0.5)/7)-0.00354*((Table1[[#This Row],[Gestation (days)]]+0.5)/7)^2)*Table1[[#This Row],[BW40_3705]],"")</f>
        <v/>
      </c>
      <c r="G1471" s="2" t="str">
        <f>IF(Table1[[#This Row],[Is Data Valid]]=TRUE,((Table1[[#This Row],[Birthweight (grams)]]/Table1[[#This Row],[BW_GA]])-1)/(Backend!$B$4/100*Table1[[#This Row],[BW40_3705]]),"")</f>
        <v/>
      </c>
      <c r="H1471" s="7" t="str">
        <f>IF(Table1[[#This Row],[Is Data Valid]]=TRUE,((Table1[[#This Row],[Birthweight (grams)]]*0.9/Table1[[#This Row],[BW_GA]])-1)/(Backend!$B$4/100*Table1[[#This Row],[BW40_3705]]),"")</f>
        <v/>
      </c>
      <c r="I1471" s="7" t="str">
        <f>IF(Table1[[#This Row],[Is Data Valid]]=TRUE,((Table1[[#This Row],[Birthweight (grams)]]*1.1/Table1[[#This Row],[BW_GA]])-1)/(Backend!$B$4/100*Table1[[#This Row],[BW40_3705]]),"")</f>
        <v/>
      </c>
      <c r="J1471" s="7" t="str">
        <f>IF(Table1[[#This Row],[Is Data Valid]]=TRUE,_xlfn.NORM.S.DIST(Table1[[#This Row],[Birthweight Z-Score]],TRUE)*100,"")</f>
        <v/>
      </c>
      <c r="K1471" s="7" t="str">
        <f>IF(Table1[[#This Row],[Is Data Valid]]=TRUE,_xlfn.NORM.S.DIST(Table1[[#This Row],[Birthweight Z-Score (BW-10%)]],TRUE)*100,"")</f>
        <v/>
      </c>
      <c r="L1471" s="7" t="str">
        <f>IF(Table1[[#This Row],[Is Data Valid]]=TRUE,_xlfn.NORM.S.DIST(Table1[[#This Row],[Birthweight Z-Score (BW+10%)]],TRUE)*100,"")</f>
        <v/>
      </c>
    </row>
    <row r="1472" spans="1:12" x14ac:dyDescent="0.35">
      <c r="A1472" s="3"/>
      <c r="B1472" s="2"/>
      <c r="C1472" s="2"/>
      <c r="D1472" s="2" t="b">
        <f>IF(AND(NOT(ISBLANK(Table1[[#This Row],[Fetal Sex (Male, Female or Unknown)]])),ISNUMBER(Table1[[#This Row],[Birthweight (grams)]]),ISNUMBER(Table1[[#This Row],[Gestation (days)]])),TRUE,FALSE)</f>
        <v>0</v>
      </c>
      <c r="E1472" s="2" t="str">
        <f>IF(Table1[[#This Row],[Is Data Valid]]=TRUE,IF(Table1[[#This Row],[Fetal Sex (Male, Female or Unknown)]]="Male",Backend!$C$6,IF(Table1[[#This Row],[Fetal Sex (Male, Female or Unknown)]]="Female",Backend!$C$7,IF(Table1[[#This Row],[Fetal Sex (Male, Female or Unknown)]]="Unknown",Backend!$C$8,"Error"))),"")</f>
        <v/>
      </c>
      <c r="F1472" s="8" t="str">
        <f>IF(Table1[[#This Row],[Is Data Valid]]=TRUE,EXP(0.578+0.332*((Table1[[#This Row],[Gestation (days)]]+0.5)/7)-0.00354*((Table1[[#This Row],[Gestation (days)]]+0.5)/7)^2)*Table1[[#This Row],[BW40_3705]],"")</f>
        <v/>
      </c>
      <c r="G1472" s="2" t="str">
        <f>IF(Table1[[#This Row],[Is Data Valid]]=TRUE,((Table1[[#This Row],[Birthweight (grams)]]/Table1[[#This Row],[BW_GA]])-1)/(Backend!$B$4/100*Table1[[#This Row],[BW40_3705]]),"")</f>
        <v/>
      </c>
      <c r="H1472" s="7" t="str">
        <f>IF(Table1[[#This Row],[Is Data Valid]]=TRUE,((Table1[[#This Row],[Birthweight (grams)]]*0.9/Table1[[#This Row],[BW_GA]])-1)/(Backend!$B$4/100*Table1[[#This Row],[BW40_3705]]),"")</f>
        <v/>
      </c>
      <c r="I1472" s="7" t="str">
        <f>IF(Table1[[#This Row],[Is Data Valid]]=TRUE,((Table1[[#This Row],[Birthweight (grams)]]*1.1/Table1[[#This Row],[BW_GA]])-1)/(Backend!$B$4/100*Table1[[#This Row],[BW40_3705]]),"")</f>
        <v/>
      </c>
      <c r="J1472" s="7" t="str">
        <f>IF(Table1[[#This Row],[Is Data Valid]]=TRUE,_xlfn.NORM.S.DIST(Table1[[#This Row],[Birthweight Z-Score]],TRUE)*100,"")</f>
        <v/>
      </c>
      <c r="K1472" s="7" t="str">
        <f>IF(Table1[[#This Row],[Is Data Valid]]=TRUE,_xlfn.NORM.S.DIST(Table1[[#This Row],[Birthweight Z-Score (BW-10%)]],TRUE)*100,"")</f>
        <v/>
      </c>
      <c r="L1472" s="7" t="str">
        <f>IF(Table1[[#This Row],[Is Data Valid]]=TRUE,_xlfn.NORM.S.DIST(Table1[[#This Row],[Birthweight Z-Score (BW+10%)]],TRUE)*100,"")</f>
        <v/>
      </c>
    </row>
    <row r="1473" spans="1:12" x14ac:dyDescent="0.35">
      <c r="A1473" s="3"/>
      <c r="B1473" s="2"/>
      <c r="C1473" s="2"/>
      <c r="D1473" s="2" t="b">
        <f>IF(AND(NOT(ISBLANK(Table1[[#This Row],[Fetal Sex (Male, Female or Unknown)]])),ISNUMBER(Table1[[#This Row],[Birthweight (grams)]]),ISNUMBER(Table1[[#This Row],[Gestation (days)]])),TRUE,FALSE)</f>
        <v>0</v>
      </c>
      <c r="E1473" s="2" t="str">
        <f>IF(Table1[[#This Row],[Is Data Valid]]=TRUE,IF(Table1[[#This Row],[Fetal Sex (Male, Female or Unknown)]]="Male",Backend!$C$6,IF(Table1[[#This Row],[Fetal Sex (Male, Female or Unknown)]]="Female",Backend!$C$7,IF(Table1[[#This Row],[Fetal Sex (Male, Female or Unknown)]]="Unknown",Backend!$C$8,"Error"))),"")</f>
        <v/>
      </c>
      <c r="F1473" s="8" t="str">
        <f>IF(Table1[[#This Row],[Is Data Valid]]=TRUE,EXP(0.578+0.332*((Table1[[#This Row],[Gestation (days)]]+0.5)/7)-0.00354*((Table1[[#This Row],[Gestation (days)]]+0.5)/7)^2)*Table1[[#This Row],[BW40_3705]],"")</f>
        <v/>
      </c>
      <c r="G1473" s="2" t="str">
        <f>IF(Table1[[#This Row],[Is Data Valid]]=TRUE,((Table1[[#This Row],[Birthweight (grams)]]/Table1[[#This Row],[BW_GA]])-1)/(Backend!$B$4/100*Table1[[#This Row],[BW40_3705]]),"")</f>
        <v/>
      </c>
      <c r="H1473" s="7" t="str">
        <f>IF(Table1[[#This Row],[Is Data Valid]]=TRUE,((Table1[[#This Row],[Birthweight (grams)]]*0.9/Table1[[#This Row],[BW_GA]])-1)/(Backend!$B$4/100*Table1[[#This Row],[BW40_3705]]),"")</f>
        <v/>
      </c>
      <c r="I1473" s="7" t="str">
        <f>IF(Table1[[#This Row],[Is Data Valid]]=TRUE,((Table1[[#This Row],[Birthweight (grams)]]*1.1/Table1[[#This Row],[BW_GA]])-1)/(Backend!$B$4/100*Table1[[#This Row],[BW40_3705]]),"")</f>
        <v/>
      </c>
      <c r="J1473" s="7" t="str">
        <f>IF(Table1[[#This Row],[Is Data Valid]]=TRUE,_xlfn.NORM.S.DIST(Table1[[#This Row],[Birthweight Z-Score]],TRUE)*100,"")</f>
        <v/>
      </c>
      <c r="K1473" s="7" t="str">
        <f>IF(Table1[[#This Row],[Is Data Valid]]=TRUE,_xlfn.NORM.S.DIST(Table1[[#This Row],[Birthweight Z-Score (BW-10%)]],TRUE)*100,"")</f>
        <v/>
      </c>
      <c r="L1473" s="7" t="str">
        <f>IF(Table1[[#This Row],[Is Data Valid]]=TRUE,_xlfn.NORM.S.DIST(Table1[[#This Row],[Birthweight Z-Score (BW+10%)]],TRUE)*100,"")</f>
        <v/>
      </c>
    </row>
    <row r="1474" spans="1:12" x14ac:dyDescent="0.35">
      <c r="A1474" s="3"/>
      <c r="B1474" s="2"/>
      <c r="C1474" s="2"/>
      <c r="D1474" s="2" t="b">
        <f>IF(AND(NOT(ISBLANK(Table1[[#This Row],[Fetal Sex (Male, Female or Unknown)]])),ISNUMBER(Table1[[#This Row],[Birthweight (grams)]]),ISNUMBER(Table1[[#This Row],[Gestation (days)]])),TRUE,FALSE)</f>
        <v>0</v>
      </c>
      <c r="E1474" s="2" t="str">
        <f>IF(Table1[[#This Row],[Is Data Valid]]=TRUE,IF(Table1[[#This Row],[Fetal Sex (Male, Female or Unknown)]]="Male",Backend!$C$6,IF(Table1[[#This Row],[Fetal Sex (Male, Female or Unknown)]]="Female",Backend!$C$7,IF(Table1[[#This Row],[Fetal Sex (Male, Female or Unknown)]]="Unknown",Backend!$C$8,"Error"))),"")</f>
        <v/>
      </c>
      <c r="F1474" s="8" t="str">
        <f>IF(Table1[[#This Row],[Is Data Valid]]=TRUE,EXP(0.578+0.332*((Table1[[#This Row],[Gestation (days)]]+0.5)/7)-0.00354*((Table1[[#This Row],[Gestation (days)]]+0.5)/7)^2)*Table1[[#This Row],[BW40_3705]],"")</f>
        <v/>
      </c>
      <c r="G1474" s="2" t="str">
        <f>IF(Table1[[#This Row],[Is Data Valid]]=TRUE,((Table1[[#This Row],[Birthweight (grams)]]/Table1[[#This Row],[BW_GA]])-1)/(Backend!$B$4/100*Table1[[#This Row],[BW40_3705]]),"")</f>
        <v/>
      </c>
      <c r="H1474" s="7" t="str">
        <f>IF(Table1[[#This Row],[Is Data Valid]]=TRUE,((Table1[[#This Row],[Birthweight (grams)]]*0.9/Table1[[#This Row],[BW_GA]])-1)/(Backend!$B$4/100*Table1[[#This Row],[BW40_3705]]),"")</f>
        <v/>
      </c>
      <c r="I1474" s="7" t="str">
        <f>IF(Table1[[#This Row],[Is Data Valid]]=TRUE,((Table1[[#This Row],[Birthweight (grams)]]*1.1/Table1[[#This Row],[BW_GA]])-1)/(Backend!$B$4/100*Table1[[#This Row],[BW40_3705]]),"")</f>
        <v/>
      </c>
      <c r="J1474" s="7" t="str">
        <f>IF(Table1[[#This Row],[Is Data Valid]]=TRUE,_xlfn.NORM.S.DIST(Table1[[#This Row],[Birthweight Z-Score]],TRUE)*100,"")</f>
        <v/>
      </c>
      <c r="K1474" s="7" t="str">
        <f>IF(Table1[[#This Row],[Is Data Valid]]=TRUE,_xlfn.NORM.S.DIST(Table1[[#This Row],[Birthweight Z-Score (BW-10%)]],TRUE)*100,"")</f>
        <v/>
      </c>
      <c r="L1474" s="7" t="str">
        <f>IF(Table1[[#This Row],[Is Data Valid]]=TRUE,_xlfn.NORM.S.DIST(Table1[[#This Row],[Birthweight Z-Score (BW+10%)]],TRUE)*100,"")</f>
        <v/>
      </c>
    </row>
    <row r="1475" spans="1:12" x14ac:dyDescent="0.35">
      <c r="A1475" s="3"/>
      <c r="B1475" s="2"/>
      <c r="C1475" s="2"/>
      <c r="D1475" s="2" t="b">
        <f>IF(AND(NOT(ISBLANK(Table1[[#This Row],[Fetal Sex (Male, Female or Unknown)]])),ISNUMBER(Table1[[#This Row],[Birthweight (grams)]]),ISNUMBER(Table1[[#This Row],[Gestation (days)]])),TRUE,FALSE)</f>
        <v>0</v>
      </c>
      <c r="E1475" s="2" t="str">
        <f>IF(Table1[[#This Row],[Is Data Valid]]=TRUE,IF(Table1[[#This Row],[Fetal Sex (Male, Female or Unknown)]]="Male",Backend!$C$6,IF(Table1[[#This Row],[Fetal Sex (Male, Female or Unknown)]]="Female",Backend!$C$7,IF(Table1[[#This Row],[Fetal Sex (Male, Female or Unknown)]]="Unknown",Backend!$C$8,"Error"))),"")</f>
        <v/>
      </c>
      <c r="F1475" s="8" t="str">
        <f>IF(Table1[[#This Row],[Is Data Valid]]=TRUE,EXP(0.578+0.332*((Table1[[#This Row],[Gestation (days)]]+0.5)/7)-0.00354*((Table1[[#This Row],[Gestation (days)]]+0.5)/7)^2)*Table1[[#This Row],[BW40_3705]],"")</f>
        <v/>
      </c>
      <c r="G1475" s="2" t="str">
        <f>IF(Table1[[#This Row],[Is Data Valid]]=TRUE,((Table1[[#This Row],[Birthweight (grams)]]/Table1[[#This Row],[BW_GA]])-1)/(Backend!$B$4/100*Table1[[#This Row],[BW40_3705]]),"")</f>
        <v/>
      </c>
      <c r="H1475" s="7" t="str">
        <f>IF(Table1[[#This Row],[Is Data Valid]]=TRUE,((Table1[[#This Row],[Birthweight (grams)]]*0.9/Table1[[#This Row],[BW_GA]])-1)/(Backend!$B$4/100*Table1[[#This Row],[BW40_3705]]),"")</f>
        <v/>
      </c>
      <c r="I1475" s="7" t="str">
        <f>IF(Table1[[#This Row],[Is Data Valid]]=TRUE,((Table1[[#This Row],[Birthweight (grams)]]*1.1/Table1[[#This Row],[BW_GA]])-1)/(Backend!$B$4/100*Table1[[#This Row],[BW40_3705]]),"")</f>
        <v/>
      </c>
      <c r="J1475" s="7" t="str">
        <f>IF(Table1[[#This Row],[Is Data Valid]]=TRUE,_xlfn.NORM.S.DIST(Table1[[#This Row],[Birthweight Z-Score]],TRUE)*100,"")</f>
        <v/>
      </c>
      <c r="K1475" s="7" t="str">
        <f>IF(Table1[[#This Row],[Is Data Valid]]=TRUE,_xlfn.NORM.S.DIST(Table1[[#This Row],[Birthweight Z-Score (BW-10%)]],TRUE)*100,"")</f>
        <v/>
      </c>
      <c r="L1475" s="7" t="str">
        <f>IF(Table1[[#This Row],[Is Data Valid]]=TRUE,_xlfn.NORM.S.DIST(Table1[[#This Row],[Birthweight Z-Score (BW+10%)]],TRUE)*100,"")</f>
        <v/>
      </c>
    </row>
    <row r="1476" spans="1:12" x14ac:dyDescent="0.35">
      <c r="A1476" s="3"/>
      <c r="B1476" s="2"/>
      <c r="C1476" s="2"/>
      <c r="D1476" s="2" t="b">
        <f>IF(AND(NOT(ISBLANK(Table1[[#This Row],[Fetal Sex (Male, Female or Unknown)]])),ISNUMBER(Table1[[#This Row],[Birthweight (grams)]]),ISNUMBER(Table1[[#This Row],[Gestation (days)]])),TRUE,FALSE)</f>
        <v>0</v>
      </c>
      <c r="E1476" s="2" t="str">
        <f>IF(Table1[[#This Row],[Is Data Valid]]=TRUE,IF(Table1[[#This Row],[Fetal Sex (Male, Female or Unknown)]]="Male",Backend!$C$6,IF(Table1[[#This Row],[Fetal Sex (Male, Female or Unknown)]]="Female",Backend!$C$7,IF(Table1[[#This Row],[Fetal Sex (Male, Female or Unknown)]]="Unknown",Backend!$C$8,"Error"))),"")</f>
        <v/>
      </c>
      <c r="F1476" s="8" t="str">
        <f>IF(Table1[[#This Row],[Is Data Valid]]=TRUE,EXP(0.578+0.332*((Table1[[#This Row],[Gestation (days)]]+0.5)/7)-0.00354*((Table1[[#This Row],[Gestation (days)]]+0.5)/7)^2)*Table1[[#This Row],[BW40_3705]],"")</f>
        <v/>
      </c>
      <c r="G1476" s="2" t="str">
        <f>IF(Table1[[#This Row],[Is Data Valid]]=TRUE,((Table1[[#This Row],[Birthweight (grams)]]/Table1[[#This Row],[BW_GA]])-1)/(Backend!$B$4/100*Table1[[#This Row],[BW40_3705]]),"")</f>
        <v/>
      </c>
      <c r="H1476" s="7" t="str">
        <f>IF(Table1[[#This Row],[Is Data Valid]]=TRUE,((Table1[[#This Row],[Birthweight (grams)]]*0.9/Table1[[#This Row],[BW_GA]])-1)/(Backend!$B$4/100*Table1[[#This Row],[BW40_3705]]),"")</f>
        <v/>
      </c>
      <c r="I1476" s="7" t="str">
        <f>IF(Table1[[#This Row],[Is Data Valid]]=TRUE,((Table1[[#This Row],[Birthweight (grams)]]*1.1/Table1[[#This Row],[BW_GA]])-1)/(Backend!$B$4/100*Table1[[#This Row],[BW40_3705]]),"")</f>
        <v/>
      </c>
      <c r="J1476" s="7" t="str">
        <f>IF(Table1[[#This Row],[Is Data Valid]]=TRUE,_xlfn.NORM.S.DIST(Table1[[#This Row],[Birthweight Z-Score]],TRUE)*100,"")</f>
        <v/>
      </c>
      <c r="K1476" s="7" t="str">
        <f>IF(Table1[[#This Row],[Is Data Valid]]=TRUE,_xlfn.NORM.S.DIST(Table1[[#This Row],[Birthweight Z-Score (BW-10%)]],TRUE)*100,"")</f>
        <v/>
      </c>
      <c r="L1476" s="7" t="str">
        <f>IF(Table1[[#This Row],[Is Data Valid]]=TRUE,_xlfn.NORM.S.DIST(Table1[[#This Row],[Birthweight Z-Score (BW+10%)]],TRUE)*100,"")</f>
        <v/>
      </c>
    </row>
    <row r="1477" spans="1:12" x14ac:dyDescent="0.35">
      <c r="A1477" s="3"/>
      <c r="B1477" s="2"/>
      <c r="C1477" s="2"/>
      <c r="D1477" s="2" t="b">
        <f>IF(AND(NOT(ISBLANK(Table1[[#This Row],[Fetal Sex (Male, Female or Unknown)]])),ISNUMBER(Table1[[#This Row],[Birthweight (grams)]]),ISNUMBER(Table1[[#This Row],[Gestation (days)]])),TRUE,FALSE)</f>
        <v>0</v>
      </c>
      <c r="E1477" s="2" t="str">
        <f>IF(Table1[[#This Row],[Is Data Valid]]=TRUE,IF(Table1[[#This Row],[Fetal Sex (Male, Female or Unknown)]]="Male",Backend!$C$6,IF(Table1[[#This Row],[Fetal Sex (Male, Female or Unknown)]]="Female",Backend!$C$7,IF(Table1[[#This Row],[Fetal Sex (Male, Female or Unknown)]]="Unknown",Backend!$C$8,"Error"))),"")</f>
        <v/>
      </c>
      <c r="F1477" s="8" t="str">
        <f>IF(Table1[[#This Row],[Is Data Valid]]=TRUE,EXP(0.578+0.332*((Table1[[#This Row],[Gestation (days)]]+0.5)/7)-0.00354*((Table1[[#This Row],[Gestation (days)]]+0.5)/7)^2)*Table1[[#This Row],[BW40_3705]],"")</f>
        <v/>
      </c>
      <c r="G1477" s="2" t="str">
        <f>IF(Table1[[#This Row],[Is Data Valid]]=TRUE,((Table1[[#This Row],[Birthweight (grams)]]/Table1[[#This Row],[BW_GA]])-1)/(Backend!$B$4/100*Table1[[#This Row],[BW40_3705]]),"")</f>
        <v/>
      </c>
      <c r="H1477" s="7" t="str">
        <f>IF(Table1[[#This Row],[Is Data Valid]]=TRUE,((Table1[[#This Row],[Birthweight (grams)]]*0.9/Table1[[#This Row],[BW_GA]])-1)/(Backend!$B$4/100*Table1[[#This Row],[BW40_3705]]),"")</f>
        <v/>
      </c>
      <c r="I1477" s="7" t="str">
        <f>IF(Table1[[#This Row],[Is Data Valid]]=TRUE,((Table1[[#This Row],[Birthweight (grams)]]*1.1/Table1[[#This Row],[BW_GA]])-1)/(Backend!$B$4/100*Table1[[#This Row],[BW40_3705]]),"")</f>
        <v/>
      </c>
      <c r="J1477" s="7" t="str">
        <f>IF(Table1[[#This Row],[Is Data Valid]]=TRUE,_xlfn.NORM.S.DIST(Table1[[#This Row],[Birthweight Z-Score]],TRUE)*100,"")</f>
        <v/>
      </c>
      <c r="K1477" s="7" t="str">
        <f>IF(Table1[[#This Row],[Is Data Valid]]=TRUE,_xlfn.NORM.S.DIST(Table1[[#This Row],[Birthweight Z-Score (BW-10%)]],TRUE)*100,"")</f>
        <v/>
      </c>
      <c r="L1477" s="7" t="str">
        <f>IF(Table1[[#This Row],[Is Data Valid]]=TRUE,_xlfn.NORM.S.DIST(Table1[[#This Row],[Birthweight Z-Score (BW+10%)]],TRUE)*100,"")</f>
        <v/>
      </c>
    </row>
    <row r="1478" spans="1:12" x14ac:dyDescent="0.35">
      <c r="A1478" s="3"/>
      <c r="B1478" s="2"/>
      <c r="C1478" s="2"/>
      <c r="D1478" s="2" t="b">
        <f>IF(AND(NOT(ISBLANK(Table1[[#This Row],[Fetal Sex (Male, Female or Unknown)]])),ISNUMBER(Table1[[#This Row],[Birthweight (grams)]]),ISNUMBER(Table1[[#This Row],[Gestation (days)]])),TRUE,FALSE)</f>
        <v>0</v>
      </c>
      <c r="E1478" s="2" t="str">
        <f>IF(Table1[[#This Row],[Is Data Valid]]=TRUE,IF(Table1[[#This Row],[Fetal Sex (Male, Female or Unknown)]]="Male",Backend!$C$6,IF(Table1[[#This Row],[Fetal Sex (Male, Female or Unknown)]]="Female",Backend!$C$7,IF(Table1[[#This Row],[Fetal Sex (Male, Female or Unknown)]]="Unknown",Backend!$C$8,"Error"))),"")</f>
        <v/>
      </c>
      <c r="F1478" s="8" t="str">
        <f>IF(Table1[[#This Row],[Is Data Valid]]=TRUE,EXP(0.578+0.332*((Table1[[#This Row],[Gestation (days)]]+0.5)/7)-0.00354*((Table1[[#This Row],[Gestation (days)]]+0.5)/7)^2)*Table1[[#This Row],[BW40_3705]],"")</f>
        <v/>
      </c>
      <c r="G1478" s="2" t="str">
        <f>IF(Table1[[#This Row],[Is Data Valid]]=TRUE,((Table1[[#This Row],[Birthweight (grams)]]/Table1[[#This Row],[BW_GA]])-1)/(Backend!$B$4/100*Table1[[#This Row],[BW40_3705]]),"")</f>
        <v/>
      </c>
      <c r="H1478" s="7" t="str">
        <f>IF(Table1[[#This Row],[Is Data Valid]]=TRUE,((Table1[[#This Row],[Birthweight (grams)]]*0.9/Table1[[#This Row],[BW_GA]])-1)/(Backend!$B$4/100*Table1[[#This Row],[BW40_3705]]),"")</f>
        <v/>
      </c>
      <c r="I1478" s="7" t="str">
        <f>IF(Table1[[#This Row],[Is Data Valid]]=TRUE,((Table1[[#This Row],[Birthweight (grams)]]*1.1/Table1[[#This Row],[BW_GA]])-1)/(Backend!$B$4/100*Table1[[#This Row],[BW40_3705]]),"")</f>
        <v/>
      </c>
      <c r="J1478" s="7" t="str">
        <f>IF(Table1[[#This Row],[Is Data Valid]]=TRUE,_xlfn.NORM.S.DIST(Table1[[#This Row],[Birthweight Z-Score]],TRUE)*100,"")</f>
        <v/>
      </c>
      <c r="K1478" s="7" t="str">
        <f>IF(Table1[[#This Row],[Is Data Valid]]=TRUE,_xlfn.NORM.S.DIST(Table1[[#This Row],[Birthweight Z-Score (BW-10%)]],TRUE)*100,"")</f>
        <v/>
      </c>
      <c r="L1478" s="7" t="str">
        <f>IF(Table1[[#This Row],[Is Data Valid]]=TRUE,_xlfn.NORM.S.DIST(Table1[[#This Row],[Birthweight Z-Score (BW+10%)]],TRUE)*100,"")</f>
        <v/>
      </c>
    </row>
    <row r="1479" spans="1:12" x14ac:dyDescent="0.35">
      <c r="A1479" s="3"/>
      <c r="B1479" s="2"/>
      <c r="C1479" s="2"/>
      <c r="D1479" s="2" t="b">
        <f>IF(AND(NOT(ISBLANK(Table1[[#This Row],[Fetal Sex (Male, Female or Unknown)]])),ISNUMBER(Table1[[#This Row],[Birthweight (grams)]]),ISNUMBER(Table1[[#This Row],[Gestation (days)]])),TRUE,FALSE)</f>
        <v>0</v>
      </c>
      <c r="E1479" s="2" t="str">
        <f>IF(Table1[[#This Row],[Is Data Valid]]=TRUE,IF(Table1[[#This Row],[Fetal Sex (Male, Female or Unknown)]]="Male",Backend!$C$6,IF(Table1[[#This Row],[Fetal Sex (Male, Female or Unknown)]]="Female",Backend!$C$7,IF(Table1[[#This Row],[Fetal Sex (Male, Female or Unknown)]]="Unknown",Backend!$C$8,"Error"))),"")</f>
        <v/>
      </c>
      <c r="F1479" s="8" t="str">
        <f>IF(Table1[[#This Row],[Is Data Valid]]=TRUE,EXP(0.578+0.332*((Table1[[#This Row],[Gestation (days)]]+0.5)/7)-0.00354*((Table1[[#This Row],[Gestation (days)]]+0.5)/7)^2)*Table1[[#This Row],[BW40_3705]],"")</f>
        <v/>
      </c>
      <c r="G1479" s="2" t="str">
        <f>IF(Table1[[#This Row],[Is Data Valid]]=TRUE,((Table1[[#This Row],[Birthweight (grams)]]/Table1[[#This Row],[BW_GA]])-1)/(Backend!$B$4/100*Table1[[#This Row],[BW40_3705]]),"")</f>
        <v/>
      </c>
      <c r="H1479" s="7" t="str">
        <f>IF(Table1[[#This Row],[Is Data Valid]]=TRUE,((Table1[[#This Row],[Birthweight (grams)]]*0.9/Table1[[#This Row],[BW_GA]])-1)/(Backend!$B$4/100*Table1[[#This Row],[BW40_3705]]),"")</f>
        <v/>
      </c>
      <c r="I1479" s="7" t="str">
        <f>IF(Table1[[#This Row],[Is Data Valid]]=TRUE,((Table1[[#This Row],[Birthweight (grams)]]*1.1/Table1[[#This Row],[BW_GA]])-1)/(Backend!$B$4/100*Table1[[#This Row],[BW40_3705]]),"")</f>
        <v/>
      </c>
      <c r="J1479" s="7" t="str">
        <f>IF(Table1[[#This Row],[Is Data Valid]]=TRUE,_xlfn.NORM.S.DIST(Table1[[#This Row],[Birthweight Z-Score]],TRUE)*100,"")</f>
        <v/>
      </c>
      <c r="K1479" s="7" t="str">
        <f>IF(Table1[[#This Row],[Is Data Valid]]=TRUE,_xlfn.NORM.S.DIST(Table1[[#This Row],[Birthweight Z-Score (BW-10%)]],TRUE)*100,"")</f>
        <v/>
      </c>
      <c r="L1479" s="7" t="str">
        <f>IF(Table1[[#This Row],[Is Data Valid]]=TRUE,_xlfn.NORM.S.DIST(Table1[[#This Row],[Birthweight Z-Score (BW+10%)]],TRUE)*100,"")</f>
        <v/>
      </c>
    </row>
    <row r="1480" spans="1:12" x14ac:dyDescent="0.35">
      <c r="A1480" s="3"/>
      <c r="B1480" s="2"/>
      <c r="C1480" s="2"/>
      <c r="D1480" s="2" t="b">
        <f>IF(AND(NOT(ISBLANK(Table1[[#This Row],[Fetal Sex (Male, Female or Unknown)]])),ISNUMBER(Table1[[#This Row],[Birthweight (grams)]]),ISNUMBER(Table1[[#This Row],[Gestation (days)]])),TRUE,FALSE)</f>
        <v>0</v>
      </c>
      <c r="E1480" s="2" t="str">
        <f>IF(Table1[[#This Row],[Is Data Valid]]=TRUE,IF(Table1[[#This Row],[Fetal Sex (Male, Female or Unknown)]]="Male",Backend!$C$6,IF(Table1[[#This Row],[Fetal Sex (Male, Female or Unknown)]]="Female",Backend!$C$7,IF(Table1[[#This Row],[Fetal Sex (Male, Female or Unknown)]]="Unknown",Backend!$C$8,"Error"))),"")</f>
        <v/>
      </c>
      <c r="F1480" s="8" t="str">
        <f>IF(Table1[[#This Row],[Is Data Valid]]=TRUE,EXP(0.578+0.332*((Table1[[#This Row],[Gestation (days)]]+0.5)/7)-0.00354*((Table1[[#This Row],[Gestation (days)]]+0.5)/7)^2)*Table1[[#This Row],[BW40_3705]],"")</f>
        <v/>
      </c>
      <c r="G1480" s="2" t="str">
        <f>IF(Table1[[#This Row],[Is Data Valid]]=TRUE,((Table1[[#This Row],[Birthweight (grams)]]/Table1[[#This Row],[BW_GA]])-1)/(Backend!$B$4/100*Table1[[#This Row],[BW40_3705]]),"")</f>
        <v/>
      </c>
      <c r="H1480" s="7" t="str">
        <f>IF(Table1[[#This Row],[Is Data Valid]]=TRUE,((Table1[[#This Row],[Birthweight (grams)]]*0.9/Table1[[#This Row],[BW_GA]])-1)/(Backend!$B$4/100*Table1[[#This Row],[BW40_3705]]),"")</f>
        <v/>
      </c>
      <c r="I1480" s="7" t="str">
        <f>IF(Table1[[#This Row],[Is Data Valid]]=TRUE,((Table1[[#This Row],[Birthweight (grams)]]*1.1/Table1[[#This Row],[BW_GA]])-1)/(Backend!$B$4/100*Table1[[#This Row],[BW40_3705]]),"")</f>
        <v/>
      </c>
      <c r="J1480" s="7" t="str">
        <f>IF(Table1[[#This Row],[Is Data Valid]]=TRUE,_xlfn.NORM.S.DIST(Table1[[#This Row],[Birthweight Z-Score]],TRUE)*100,"")</f>
        <v/>
      </c>
      <c r="K1480" s="7" t="str">
        <f>IF(Table1[[#This Row],[Is Data Valid]]=TRUE,_xlfn.NORM.S.DIST(Table1[[#This Row],[Birthweight Z-Score (BW-10%)]],TRUE)*100,"")</f>
        <v/>
      </c>
      <c r="L1480" s="7" t="str">
        <f>IF(Table1[[#This Row],[Is Data Valid]]=TRUE,_xlfn.NORM.S.DIST(Table1[[#This Row],[Birthweight Z-Score (BW+10%)]],TRUE)*100,"")</f>
        <v/>
      </c>
    </row>
    <row r="1481" spans="1:12" x14ac:dyDescent="0.35">
      <c r="A1481" s="3"/>
      <c r="B1481" s="2"/>
      <c r="C1481" s="2"/>
      <c r="D1481" s="2" t="b">
        <f>IF(AND(NOT(ISBLANK(Table1[[#This Row],[Fetal Sex (Male, Female or Unknown)]])),ISNUMBER(Table1[[#This Row],[Birthweight (grams)]]),ISNUMBER(Table1[[#This Row],[Gestation (days)]])),TRUE,FALSE)</f>
        <v>0</v>
      </c>
      <c r="E1481" s="2" t="str">
        <f>IF(Table1[[#This Row],[Is Data Valid]]=TRUE,IF(Table1[[#This Row],[Fetal Sex (Male, Female or Unknown)]]="Male",Backend!$C$6,IF(Table1[[#This Row],[Fetal Sex (Male, Female or Unknown)]]="Female",Backend!$C$7,IF(Table1[[#This Row],[Fetal Sex (Male, Female or Unknown)]]="Unknown",Backend!$C$8,"Error"))),"")</f>
        <v/>
      </c>
      <c r="F1481" s="8" t="str">
        <f>IF(Table1[[#This Row],[Is Data Valid]]=TRUE,EXP(0.578+0.332*((Table1[[#This Row],[Gestation (days)]]+0.5)/7)-0.00354*((Table1[[#This Row],[Gestation (days)]]+0.5)/7)^2)*Table1[[#This Row],[BW40_3705]],"")</f>
        <v/>
      </c>
      <c r="G1481" s="2" t="str">
        <f>IF(Table1[[#This Row],[Is Data Valid]]=TRUE,((Table1[[#This Row],[Birthweight (grams)]]/Table1[[#This Row],[BW_GA]])-1)/(Backend!$B$4/100*Table1[[#This Row],[BW40_3705]]),"")</f>
        <v/>
      </c>
      <c r="H1481" s="7" t="str">
        <f>IF(Table1[[#This Row],[Is Data Valid]]=TRUE,((Table1[[#This Row],[Birthweight (grams)]]*0.9/Table1[[#This Row],[BW_GA]])-1)/(Backend!$B$4/100*Table1[[#This Row],[BW40_3705]]),"")</f>
        <v/>
      </c>
      <c r="I1481" s="7" t="str">
        <f>IF(Table1[[#This Row],[Is Data Valid]]=TRUE,((Table1[[#This Row],[Birthweight (grams)]]*1.1/Table1[[#This Row],[BW_GA]])-1)/(Backend!$B$4/100*Table1[[#This Row],[BW40_3705]]),"")</f>
        <v/>
      </c>
      <c r="J1481" s="7" t="str">
        <f>IF(Table1[[#This Row],[Is Data Valid]]=TRUE,_xlfn.NORM.S.DIST(Table1[[#This Row],[Birthweight Z-Score]],TRUE)*100,"")</f>
        <v/>
      </c>
      <c r="K1481" s="7" t="str">
        <f>IF(Table1[[#This Row],[Is Data Valid]]=TRUE,_xlfn.NORM.S.DIST(Table1[[#This Row],[Birthweight Z-Score (BW-10%)]],TRUE)*100,"")</f>
        <v/>
      </c>
      <c r="L1481" s="7" t="str">
        <f>IF(Table1[[#This Row],[Is Data Valid]]=TRUE,_xlfn.NORM.S.DIST(Table1[[#This Row],[Birthweight Z-Score (BW+10%)]],TRUE)*100,"")</f>
        <v/>
      </c>
    </row>
    <row r="1482" spans="1:12" x14ac:dyDescent="0.35">
      <c r="A1482" s="3"/>
      <c r="B1482" s="2"/>
      <c r="C1482" s="2"/>
      <c r="D1482" s="2" t="b">
        <f>IF(AND(NOT(ISBLANK(Table1[[#This Row],[Fetal Sex (Male, Female or Unknown)]])),ISNUMBER(Table1[[#This Row],[Birthweight (grams)]]),ISNUMBER(Table1[[#This Row],[Gestation (days)]])),TRUE,FALSE)</f>
        <v>0</v>
      </c>
      <c r="E1482" s="2" t="str">
        <f>IF(Table1[[#This Row],[Is Data Valid]]=TRUE,IF(Table1[[#This Row],[Fetal Sex (Male, Female or Unknown)]]="Male",Backend!$C$6,IF(Table1[[#This Row],[Fetal Sex (Male, Female or Unknown)]]="Female",Backend!$C$7,IF(Table1[[#This Row],[Fetal Sex (Male, Female or Unknown)]]="Unknown",Backend!$C$8,"Error"))),"")</f>
        <v/>
      </c>
      <c r="F1482" s="8" t="str">
        <f>IF(Table1[[#This Row],[Is Data Valid]]=TRUE,EXP(0.578+0.332*((Table1[[#This Row],[Gestation (days)]]+0.5)/7)-0.00354*((Table1[[#This Row],[Gestation (days)]]+0.5)/7)^2)*Table1[[#This Row],[BW40_3705]],"")</f>
        <v/>
      </c>
      <c r="G1482" s="2" t="str">
        <f>IF(Table1[[#This Row],[Is Data Valid]]=TRUE,((Table1[[#This Row],[Birthweight (grams)]]/Table1[[#This Row],[BW_GA]])-1)/(Backend!$B$4/100*Table1[[#This Row],[BW40_3705]]),"")</f>
        <v/>
      </c>
      <c r="H1482" s="7" t="str">
        <f>IF(Table1[[#This Row],[Is Data Valid]]=TRUE,((Table1[[#This Row],[Birthweight (grams)]]*0.9/Table1[[#This Row],[BW_GA]])-1)/(Backend!$B$4/100*Table1[[#This Row],[BW40_3705]]),"")</f>
        <v/>
      </c>
      <c r="I1482" s="7" t="str">
        <f>IF(Table1[[#This Row],[Is Data Valid]]=TRUE,((Table1[[#This Row],[Birthweight (grams)]]*1.1/Table1[[#This Row],[BW_GA]])-1)/(Backend!$B$4/100*Table1[[#This Row],[BW40_3705]]),"")</f>
        <v/>
      </c>
      <c r="J1482" s="7" t="str">
        <f>IF(Table1[[#This Row],[Is Data Valid]]=TRUE,_xlfn.NORM.S.DIST(Table1[[#This Row],[Birthweight Z-Score]],TRUE)*100,"")</f>
        <v/>
      </c>
      <c r="K1482" s="7" t="str">
        <f>IF(Table1[[#This Row],[Is Data Valid]]=TRUE,_xlfn.NORM.S.DIST(Table1[[#This Row],[Birthweight Z-Score (BW-10%)]],TRUE)*100,"")</f>
        <v/>
      </c>
      <c r="L1482" s="7" t="str">
        <f>IF(Table1[[#This Row],[Is Data Valid]]=TRUE,_xlfn.NORM.S.DIST(Table1[[#This Row],[Birthweight Z-Score (BW+10%)]],TRUE)*100,"")</f>
        <v/>
      </c>
    </row>
    <row r="1483" spans="1:12" x14ac:dyDescent="0.35">
      <c r="A1483" s="3"/>
      <c r="B1483" s="2"/>
      <c r="C1483" s="2"/>
      <c r="D1483" s="2" t="b">
        <f>IF(AND(NOT(ISBLANK(Table1[[#This Row],[Fetal Sex (Male, Female or Unknown)]])),ISNUMBER(Table1[[#This Row],[Birthweight (grams)]]),ISNUMBER(Table1[[#This Row],[Gestation (days)]])),TRUE,FALSE)</f>
        <v>0</v>
      </c>
      <c r="E1483" s="2" t="str">
        <f>IF(Table1[[#This Row],[Is Data Valid]]=TRUE,IF(Table1[[#This Row],[Fetal Sex (Male, Female or Unknown)]]="Male",Backend!$C$6,IF(Table1[[#This Row],[Fetal Sex (Male, Female or Unknown)]]="Female",Backend!$C$7,IF(Table1[[#This Row],[Fetal Sex (Male, Female or Unknown)]]="Unknown",Backend!$C$8,"Error"))),"")</f>
        <v/>
      </c>
      <c r="F1483" s="8" t="str">
        <f>IF(Table1[[#This Row],[Is Data Valid]]=TRUE,EXP(0.578+0.332*((Table1[[#This Row],[Gestation (days)]]+0.5)/7)-0.00354*((Table1[[#This Row],[Gestation (days)]]+0.5)/7)^2)*Table1[[#This Row],[BW40_3705]],"")</f>
        <v/>
      </c>
      <c r="G1483" s="2" t="str">
        <f>IF(Table1[[#This Row],[Is Data Valid]]=TRUE,((Table1[[#This Row],[Birthweight (grams)]]/Table1[[#This Row],[BW_GA]])-1)/(Backend!$B$4/100*Table1[[#This Row],[BW40_3705]]),"")</f>
        <v/>
      </c>
      <c r="H1483" s="7" t="str">
        <f>IF(Table1[[#This Row],[Is Data Valid]]=TRUE,((Table1[[#This Row],[Birthweight (grams)]]*0.9/Table1[[#This Row],[BW_GA]])-1)/(Backend!$B$4/100*Table1[[#This Row],[BW40_3705]]),"")</f>
        <v/>
      </c>
      <c r="I1483" s="7" t="str">
        <f>IF(Table1[[#This Row],[Is Data Valid]]=TRUE,((Table1[[#This Row],[Birthweight (grams)]]*1.1/Table1[[#This Row],[BW_GA]])-1)/(Backend!$B$4/100*Table1[[#This Row],[BW40_3705]]),"")</f>
        <v/>
      </c>
      <c r="J1483" s="7" t="str">
        <f>IF(Table1[[#This Row],[Is Data Valid]]=TRUE,_xlfn.NORM.S.DIST(Table1[[#This Row],[Birthweight Z-Score]],TRUE)*100,"")</f>
        <v/>
      </c>
      <c r="K1483" s="7" t="str">
        <f>IF(Table1[[#This Row],[Is Data Valid]]=TRUE,_xlfn.NORM.S.DIST(Table1[[#This Row],[Birthweight Z-Score (BW-10%)]],TRUE)*100,"")</f>
        <v/>
      </c>
      <c r="L1483" s="7" t="str">
        <f>IF(Table1[[#This Row],[Is Data Valid]]=TRUE,_xlfn.NORM.S.DIST(Table1[[#This Row],[Birthweight Z-Score (BW+10%)]],TRUE)*100,"")</f>
        <v/>
      </c>
    </row>
    <row r="1484" spans="1:12" x14ac:dyDescent="0.35">
      <c r="A1484" s="3"/>
      <c r="B1484" s="2"/>
      <c r="C1484" s="2"/>
      <c r="D1484" s="2" t="b">
        <f>IF(AND(NOT(ISBLANK(Table1[[#This Row],[Fetal Sex (Male, Female or Unknown)]])),ISNUMBER(Table1[[#This Row],[Birthweight (grams)]]),ISNUMBER(Table1[[#This Row],[Gestation (days)]])),TRUE,FALSE)</f>
        <v>0</v>
      </c>
      <c r="E1484" s="2" t="str">
        <f>IF(Table1[[#This Row],[Is Data Valid]]=TRUE,IF(Table1[[#This Row],[Fetal Sex (Male, Female or Unknown)]]="Male",Backend!$C$6,IF(Table1[[#This Row],[Fetal Sex (Male, Female or Unknown)]]="Female",Backend!$C$7,IF(Table1[[#This Row],[Fetal Sex (Male, Female or Unknown)]]="Unknown",Backend!$C$8,"Error"))),"")</f>
        <v/>
      </c>
      <c r="F1484" s="8" t="str">
        <f>IF(Table1[[#This Row],[Is Data Valid]]=TRUE,EXP(0.578+0.332*((Table1[[#This Row],[Gestation (days)]]+0.5)/7)-0.00354*((Table1[[#This Row],[Gestation (days)]]+0.5)/7)^2)*Table1[[#This Row],[BW40_3705]],"")</f>
        <v/>
      </c>
      <c r="G1484" s="2" t="str">
        <f>IF(Table1[[#This Row],[Is Data Valid]]=TRUE,((Table1[[#This Row],[Birthweight (grams)]]/Table1[[#This Row],[BW_GA]])-1)/(Backend!$B$4/100*Table1[[#This Row],[BW40_3705]]),"")</f>
        <v/>
      </c>
      <c r="H1484" s="7" t="str">
        <f>IF(Table1[[#This Row],[Is Data Valid]]=TRUE,((Table1[[#This Row],[Birthweight (grams)]]*0.9/Table1[[#This Row],[BW_GA]])-1)/(Backend!$B$4/100*Table1[[#This Row],[BW40_3705]]),"")</f>
        <v/>
      </c>
      <c r="I1484" s="7" t="str">
        <f>IF(Table1[[#This Row],[Is Data Valid]]=TRUE,((Table1[[#This Row],[Birthweight (grams)]]*1.1/Table1[[#This Row],[BW_GA]])-1)/(Backend!$B$4/100*Table1[[#This Row],[BW40_3705]]),"")</f>
        <v/>
      </c>
      <c r="J1484" s="7" t="str">
        <f>IF(Table1[[#This Row],[Is Data Valid]]=TRUE,_xlfn.NORM.S.DIST(Table1[[#This Row],[Birthweight Z-Score]],TRUE)*100,"")</f>
        <v/>
      </c>
      <c r="K1484" s="7" t="str">
        <f>IF(Table1[[#This Row],[Is Data Valid]]=TRUE,_xlfn.NORM.S.DIST(Table1[[#This Row],[Birthweight Z-Score (BW-10%)]],TRUE)*100,"")</f>
        <v/>
      </c>
      <c r="L1484" s="7" t="str">
        <f>IF(Table1[[#This Row],[Is Data Valid]]=TRUE,_xlfn.NORM.S.DIST(Table1[[#This Row],[Birthweight Z-Score (BW+10%)]],TRUE)*100,"")</f>
        <v/>
      </c>
    </row>
    <row r="1485" spans="1:12" x14ac:dyDescent="0.35">
      <c r="A1485" s="3"/>
      <c r="B1485" s="2"/>
      <c r="C1485" s="2"/>
      <c r="D1485" s="2" t="b">
        <f>IF(AND(NOT(ISBLANK(Table1[[#This Row],[Fetal Sex (Male, Female or Unknown)]])),ISNUMBER(Table1[[#This Row],[Birthweight (grams)]]),ISNUMBER(Table1[[#This Row],[Gestation (days)]])),TRUE,FALSE)</f>
        <v>0</v>
      </c>
      <c r="E1485" s="2" t="str">
        <f>IF(Table1[[#This Row],[Is Data Valid]]=TRUE,IF(Table1[[#This Row],[Fetal Sex (Male, Female or Unknown)]]="Male",Backend!$C$6,IF(Table1[[#This Row],[Fetal Sex (Male, Female or Unknown)]]="Female",Backend!$C$7,IF(Table1[[#This Row],[Fetal Sex (Male, Female or Unknown)]]="Unknown",Backend!$C$8,"Error"))),"")</f>
        <v/>
      </c>
      <c r="F1485" s="8" t="str">
        <f>IF(Table1[[#This Row],[Is Data Valid]]=TRUE,EXP(0.578+0.332*((Table1[[#This Row],[Gestation (days)]]+0.5)/7)-0.00354*((Table1[[#This Row],[Gestation (days)]]+0.5)/7)^2)*Table1[[#This Row],[BW40_3705]],"")</f>
        <v/>
      </c>
      <c r="G1485" s="2" t="str">
        <f>IF(Table1[[#This Row],[Is Data Valid]]=TRUE,((Table1[[#This Row],[Birthweight (grams)]]/Table1[[#This Row],[BW_GA]])-1)/(Backend!$B$4/100*Table1[[#This Row],[BW40_3705]]),"")</f>
        <v/>
      </c>
      <c r="H1485" s="7" t="str">
        <f>IF(Table1[[#This Row],[Is Data Valid]]=TRUE,((Table1[[#This Row],[Birthweight (grams)]]*0.9/Table1[[#This Row],[BW_GA]])-1)/(Backend!$B$4/100*Table1[[#This Row],[BW40_3705]]),"")</f>
        <v/>
      </c>
      <c r="I1485" s="7" t="str">
        <f>IF(Table1[[#This Row],[Is Data Valid]]=TRUE,((Table1[[#This Row],[Birthweight (grams)]]*1.1/Table1[[#This Row],[BW_GA]])-1)/(Backend!$B$4/100*Table1[[#This Row],[BW40_3705]]),"")</f>
        <v/>
      </c>
      <c r="J1485" s="7" t="str">
        <f>IF(Table1[[#This Row],[Is Data Valid]]=TRUE,_xlfn.NORM.S.DIST(Table1[[#This Row],[Birthweight Z-Score]],TRUE)*100,"")</f>
        <v/>
      </c>
      <c r="K1485" s="7" t="str">
        <f>IF(Table1[[#This Row],[Is Data Valid]]=TRUE,_xlfn.NORM.S.DIST(Table1[[#This Row],[Birthweight Z-Score (BW-10%)]],TRUE)*100,"")</f>
        <v/>
      </c>
      <c r="L1485" s="7" t="str">
        <f>IF(Table1[[#This Row],[Is Data Valid]]=TRUE,_xlfn.NORM.S.DIST(Table1[[#This Row],[Birthweight Z-Score (BW+10%)]],TRUE)*100,"")</f>
        <v/>
      </c>
    </row>
    <row r="1486" spans="1:12" x14ac:dyDescent="0.35">
      <c r="A1486" s="3"/>
      <c r="B1486" s="2"/>
      <c r="C1486" s="2"/>
      <c r="D1486" s="2" t="b">
        <f>IF(AND(NOT(ISBLANK(Table1[[#This Row],[Fetal Sex (Male, Female or Unknown)]])),ISNUMBER(Table1[[#This Row],[Birthweight (grams)]]),ISNUMBER(Table1[[#This Row],[Gestation (days)]])),TRUE,FALSE)</f>
        <v>0</v>
      </c>
      <c r="E1486" s="2" t="str">
        <f>IF(Table1[[#This Row],[Is Data Valid]]=TRUE,IF(Table1[[#This Row],[Fetal Sex (Male, Female or Unknown)]]="Male",Backend!$C$6,IF(Table1[[#This Row],[Fetal Sex (Male, Female or Unknown)]]="Female",Backend!$C$7,IF(Table1[[#This Row],[Fetal Sex (Male, Female or Unknown)]]="Unknown",Backend!$C$8,"Error"))),"")</f>
        <v/>
      </c>
      <c r="F1486" s="8" t="str">
        <f>IF(Table1[[#This Row],[Is Data Valid]]=TRUE,EXP(0.578+0.332*((Table1[[#This Row],[Gestation (days)]]+0.5)/7)-0.00354*((Table1[[#This Row],[Gestation (days)]]+0.5)/7)^2)*Table1[[#This Row],[BW40_3705]],"")</f>
        <v/>
      </c>
      <c r="G1486" s="2" t="str">
        <f>IF(Table1[[#This Row],[Is Data Valid]]=TRUE,((Table1[[#This Row],[Birthweight (grams)]]/Table1[[#This Row],[BW_GA]])-1)/(Backend!$B$4/100*Table1[[#This Row],[BW40_3705]]),"")</f>
        <v/>
      </c>
      <c r="H1486" s="7" t="str">
        <f>IF(Table1[[#This Row],[Is Data Valid]]=TRUE,((Table1[[#This Row],[Birthweight (grams)]]*0.9/Table1[[#This Row],[BW_GA]])-1)/(Backend!$B$4/100*Table1[[#This Row],[BW40_3705]]),"")</f>
        <v/>
      </c>
      <c r="I1486" s="7" t="str">
        <f>IF(Table1[[#This Row],[Is Data Valid]]=TRUE,((Table1[[#This Row],[Birthweight (grams)]]*1.1/Table1[[#This Row],[BW_GA]])-1)/(Backend!$B$4/100*Table1[[#This Row],[BW40_3705]]),"")</f>
        <v/>
      </c>
      <c r="J1486" s="7" t="str">
        <f>IF(Table1[[#This Row],[Is Data Valid]]=TRUE,_xlfn.NORM.S.DIST(Table1[[#This Row],[Birthweight Z-Score]],TRUE)*100,"")</f>
        <v/>
      </c>
      <c r="K1486" s="7" t="str">
        <f>IF(Table1[[#This Row],[Is Data Valid]]=TRUE,_xlfn.NORM.S.DIST(Table1[[#This Row],[Birthweight Z-Score (BW-10%)]],TRUE)*100,"")</f>
        <v/>
      </c>
      <c r="L1486" s="7" t="str">
        <f>IF(Table1[[#This Row],[Is Data Valid]]=TRUE,_xlfn.NORM.S.DIST(Table1[[#This Row],[Birthweight Z-Score (BW+10%)]],TRUE)*100,"")</f>
        <v/>
      </c>
    </row>
    <row r="1487" spans="1:12" x14ac:dyDescent="0.35">
      <c r="A1487" s="3"/>
      <c r="B1487" s="2"/>
      <c r="C1487" s="2"/>
      <c r="D1487" s="2" t="b">
        <f>IF(AND(NOT(ISBLANK(Table1[[#This Row],[Fetal Sex (Male, Female or Unknown)]])),ISNUMBER(Table1[[#This Row],[Birthweight (grams)]]),ISNUMBER(Table1[[#This Row],[Gestation (days)]])),TRUE,FALSE)</f>
        <v>0</v>
      </c>
      <c r="E1487" s="2" t="str">
        <f>IF(Table1[[#This Row],[Is Data Valid]]=TRUE,IF(Table1[[#This Row],[Fetal Sex (Male, Female or Unknown)]]="Male",Backend!$C$6,IF(Table1[[#This Row],[Fetal Sex (Male, Female or Unknown)]]="Female",Backend!$C$7,IF(Table1[[#This Row],[Fetal Sex (Male, Female or Unknown)]]="Unknown",Backend!$C$8,"Error"))),"")</f>
        <v/>
      </c>
      <c r="F1487" s="8" t="str">
        <f>IF(Table1[[#This Row],[Is Data Valid]]=TRUE,EXP(0.578+0.332*((Table1[[#This Row],[Gestation (days)]]+0.5)/7)-0.00354*((Table1[[#This Row],[Gestation (days)]]+0.5)/7)^2)*Table1[[#This Row],[BW40_3705]],"")</f>
        <v/>
      </c>
      <c r="G1487" s="2" t="str">
        <f>IF(Table1[[#This Row],[Is Data Valid]]=TRUE,((Table1[[#This Row],[Birthweight (grams)]]/Table1[[#This Row],[BW_GA]])-1)/(Backend!$B$4/100*Table1[[#This Row],[BW40_3705]]),"")</f>
        <v/>
      </c>
      <c r="H1487" s="7" t="str">
        <f>IF(Table1[[#This Row],[Is Data Valid]]=TRUE,((Table1[[#This Row],[Birthweight (grams)]]*0.9/Table1[[#This Row],[BW_GA]])-1)/(Backend!$B$4/100*Table1[[#This Row],[BW40_3705]]),"")</f>
        <v/>
      </c>
      <c r="I1487" s="7" t="str">
        <f>IF(Table1[[#This Row],[Is Data Valid]]=TRUE,((Table1[[#This Row],[Birthweight (grams)]]*1.1/Table1[[#This Row],[BW_GA]])-1)/(Backend!$B$4/100*Table1[[#This Row],[BW40_3705]]),"")</f>
        <v/>
      </c>
      <c r="J1487" s="7" t="str">
        <f>IF(Table1[[#This Row],[Is Data Valid]]=TRUE,_xlfn.NORM.S.DIST(Table1[[#This Row],[Birthweight Z-Score]],TRUE)*100,"")</f>
        <v/>
      </c>
      <c r="K1487" s="7" t="str">
        <f>IF(Table1[[#This Row],[Is Data Valid]]=TRUE,_xlfn.NORM.S.DIST(Table1[[#This Row],[Birthweight Z-Score (BW-10%)]],TRUE)*100,"")</f>
        <v/>
      </c>
      <c r="L1487" s="7" t="str">
        <f>IF(Table1[[#This Row],[Is Data Valid]]=TRUE,_xlfn.NORM.S.DIST(Table1[[#This Row],[Birthweight Z-Score (BW+10%)]],TRUE)*100,"")</f>
        <v/>
      </c>
    </row>
    <row r="1488" spans="1:12" x14ac:dyDescent="0.35">
      <c r="A1488" s="3"/>
      <c r="B1488" s="2"/>
      <c r="C1488" s="2"/>
      <c r="D1488" s="2" t="b">
        <f>IF(AND(NOT(ISBLANK(Table1[[#This Row],[Fetal Sex (Male, Female or Unknown)]])),ISNUMBER(Table1[[#This Row],[Birthweight (grams)]]),ISNUMBER(Table1[[#This Row],[Gestation (days)]])),TRUE,FALSE)</f>
        <v>0</v>
      </c>
      <c r="E1488" s="2" t="str">
        <f>IF(Table1[[#This Row],[Is Data Valid]]=TRUE,IF(Table1[[#This Row],[Fetal Sex (Male, Female or Unknown)]]="Male",Backend!$C$6,IF(Table1[[#This Row],[Fetal Sex (Male, Female or Unknown)]]="Female",Backend!$C$7,IF(Table1[[#This Row],[Fetal Sex (Male, Female or Unknown)]]="Unknown",Backend!$C$8,"Error"))),"")</f>
        <v/>
      </c>
      <c r="F1488" s="8" t="str">
        <f>IF(Table1[[#This Row],[Is Data Valid]]=TRUE,EXP(0.578+0.332*((Table1[[#This Row],[Gestation (days)]]+0.5)/7)-0.00354*((Table1[[#This Row],[Gestation (days)]]+0.5)/7)^2)*Table1[[#This Row],[BW40_3705]],"")</f>
        <v/>
      </c>
      <c r="G1488" s="2" t="str">
        <f>IF(Table1[[#This Row],[Is Data Valid]]=TRUE,((Table1[[#This Row],[Birthweight (grams)]]/Table1[[#This Row],[BW_GA]])-1)/(Backend!$B$4/100*Table1[[#This Row],[BW40_3705]]),"")</f>
        <v/>
      </c>
      <c r="H1488" s="7" t="str">
        <f>IF(Table1[[#This Row],[Is Data Valid]]=TRUE,((Table1[[#This Row],[Birthweight (grams)]]*0.9/Table1[[#This Row],[BW_GA]])-1)/(Backend!$B$4/100*Table1[[#This Row],[BW40_3705]]),"")</f>
        <v/>
      </c>
      <c r="I1488" s="7" t="str">
        <f>IF(Table1[[#This Row],[Is Data Valid]]=TRUE,((Table1[[#This Row],[Birthweight (grams)]]*1.1/Table1[[#This Row],[BW_GA]])-1)/(Backend!$B$4/100*Table1[[#This Row],[BW40_3705]]),"")</f>
        <v/>
      </c>
      <c r="J1488" s="7" t="str">
        <f>IF(Table1[[#This Row],[Is Data Valid]]=TRUE,_xlfn.NORM.S.DIST(Table1[[#This Row],[Birthweight Z-Score]],TRUE)*100,"")</f>
        <v/>
      </c>
      <c r="K1488" s="7" t="str">
        <f>IF(Table1[[#This Row],[Is Data Valid]]=TRUE,_xlfn.NORM.S.DIST(Table1[[#This Row],[Birthweight Z-Score (BW-10%)]],TRUE)*100,"")</f>
        <v/>
      </c>
      <c r="L1488" s="7" t="str">
        <f>IF(Table1[[#This Row],[Is Data Valid]]=TRUE,_xlfn.NORM.S.DIST(Table1[[#This Row],[Birthweight Z-Score (BW+10%)]],TRUE)*100,"")</f>
        <v/>
      </c>
    </row>
    <row r="1489" spans="1:12" x14ac:dyDescent="0.35">
      <c r="A1489" s="3"/>
      <c r="B1489" s="2"/>
      <c r="C1489" s="2"/>
      <c r="D1489" s="2" t="b">
        <f>IF(AND(NOT(ISBLANK(Table1[[#This Row],[Fetal Sex (Male, Female or Unknown)]])),ISNUMBER(Table1[[#This Row],[Birthweight (grams)]]),ISNUMBER(Table1[[#This Row],[Gestation (days)]])),TRUE,FALSE)</f>
        <v>0</v>
      </c>
      <c r="E1489" s="2" t="str">
        <f>IF(Table1[[#This Row],[Is Data Valid]]=TRUE,IF(Table1[[#This Row],[Fetal Sex (Male, Female or Unknown)]]="Male",Backend!$C$6,IF(Table1[[#This Row],[Fetal Sex (Male, Female or Unknown)]]="Female",Backend!$C$7,IF(Table1[[#This Row],[Fetal Sex (Male, Female or Unknown)]]="Unknown",Backend!$C$8,"Error"))),"")</f>
        <v/>
      </c>
      <c r="F1489" s="8" t="str">
        <f>IF(Table1[[#This Row],[Is Data Valid]]=TRUE,EXP(0.578+0.332*((Table1[[#This Row],[Gestation (days)]]+0.5)/7)-0.00354*((Table1[[#This Row],[Gestation (days)]]+0.5)/7)^2)*Table1[[#This Row],[BW40_3705]],"")</f>
        <v/>
      </c>
      <c r="G1489" s="2" t="str">
        <f>IF(Table1[[#This Row],[Is Data Valid]]=TRUE,((Table1[[#This Row],[Birthweight (grams)]]/Table1[[#This Row],[BW_GA]])-1)/(Backend!$B$4/100*Table1[[#This Row],[BW40_3705]]),"")</f>
        <v/>
      </c>
      <c r="H1489" s="7" t="str">
        <f>IF(Table1[[#This Row],[Is Data Valid]]=TRUE,((Table1[[#This Row],[Birthweight (grams)]]*0.9/Table1[[#This Row],[BW_GA]])-1)/(Backend!$B$4/100*Table1[[#This Row],[BW40_3705]]),"")</f>
        <v/>
      </c>
      <c r="I1489" s="7" t="str">
        <f>IF(Table1[[#This Row],[Is Data Valid]]=TRUE,((Table1[[#This Row],[Birthweight (grams)]]*1.1/Table1[[#This Row],[BW_GA]])-1)/(Backend!$B$4/100*Table1[[#This Row],[BW40_3705]]),"")</f>
        <v/>
      </c>
      <c r="J1489" s="7" t="str">
        <f>IF(Table1[[#This Row],[Is Data Valid]]=TRUE,_xlfn.NORM.S.DIST(Table1[[#This Row],[Birthweight Z-Score]],TRUE)*100,"")</f>
        <v/>
      </c>
      <c r="K1489" s="7" t="str">
        <f>IF(Table1[[#This Row],[Is Data Valid]]=TRUE,_xlfn.NORM.S.DIST(Table1[[#This Row],[Birthweight Z-Score (BW-10%)]],TRUE)*100,"")</f>
        <v/>
      </c>
      <c r="L1489" s="7" t="str">
        <f>IF(Table1[[#This Row],[Is Data Valid]]=TRUE,_xlfn.NORM.S.DIST(Table1[[#This Row],[Birthweight Z-Score (BW+10%)]],TRUE)*100,"")</f>
        <v/>
      </c>
    </row>
    <row r="1490" spans="1:12" x14ac:dyDescent="0.35">
      <c r="A1490" s="3"/>
      <c r="B1490" s="2"/>
      <c r="C1490" s="2"/>
      <c r="D1490" s="2" t="b">
        <f>IF(AND(NOT(ISBLANK(Table1[[#This Row],[Fetal Sex (Male, Female or Unknown)]])),ISNUMBER(Table1[[#This Row],[Birthweight (grams)]]),ISNUMBER(Table1[[#This Row],[Gestation (days)]])),TRUE,FALSE)</f>
        <v>0</v>
      </c>
      <c r="E1490" s="2" t="str">
        <f>IF(Table1[[#This Row],[Is Data Valid]]=TRUE,IF(Table1[[#This Row],[Fetal Sex (Male, Female or Unknown)]]="Male",Backend!$C$6,IF(Table1[[#This Row],[Fetal Sex (Male, Female or Unknown)]]="Female",Backend!$C$7,IF(Table1[[#This Row],[Fetal Sex (Male, Female or Unknown)]]="Unknown",Backend!$C$8,"Error"))),"")</f>
        <v/>
      </c>
      <c r="F1490" s="8" t="str">
        <f>IF(Table1[[#This Row],[Is Data Valid]]=TRUE,EXP(0.578+0.332*((Table1[[#This Row],[Gestation (days)]]+0.5)/7)-0.00354*((Table1[[#This Row],[Gestation (days)]]+0.5)/7)^2)*Table1[[#This Row],[BW40_3705]],"")</f>
        <v/>
      </c>
      <c r="G1490" s="2" t="str">
        <f>IF(Table1[[#This Row],[Is Data Valid]]=TRUE,((Table1[[#This Row],[Birthweight (grams)]]/Table1[[#This Row],[BW_GA]])-1)/(Backend!$B$4/100*Table1[[#This Row],[BW40_3705]]),"")</f>
        <v/>
      </c>
      <c r="H1490" s="7" t="str">
        <f>IF(Table1[[#This Row],[Is Data Valid]]=TRUE,((Table1[[#This Row],[Birthweight (grams)]]*0.9/Table1[[#This Row],[BW_GA]])-1)/(Backend!$B$4/100*Table1[[#This Row],[BW40_3705]]),"")</f>
        <v/>
      </c>
      <c r="I1490" s="7" t="str">
        <f>IF(Table1[[#This Row],[Is Data Valid]]=TRUE,((Table1[[#This Row],[Birthweight (grams)]]*1.1/Table1[[#This Row],[BW_GA]])-1)/(Backend!$B$4/100*Table1[[#This Row],[BW40_3705]]),"")</f>
        <v/>
      </c>
      <c r="J1490" s="7" t="str">
        <f>IF(Table1[[#This Row],[Is Data Valid]]=TRUE,_xlfn.NORM.S.DIST(Table1[[#This Row],[Birthweight Z-Score]],TRUE)*100,"")</f>
        <v/>
      </c>
      <c r="K1490" s="7" t="str">
        <f>IF(Table1[[#This Row],[Is Data Valid]]=TRUE,_xlfn.NORM.S.DIST(Table1[[#This Row],[Birthweight Z-Score (BW-10%)]],TRUE)*100,"")</f>
        <v/>
      </c>
      <c r="L1490" s="7" t="str">
        <f>IF(Table1[[#This Row],[Is Data Valid]]=TRUE,_xlfn.NORM.S.DIST(Table1[[#This Row],[Birthweight Z-Score (BW+10%)]],TRUE)*100,"")</f>
        <v/>
      </c>
    </row>
    <row r="1491" spans="1:12" x14ac:dyDescent="0.35">
      <c r="A1491" s="3"/>
      <c r="B1491" s="2"/>
      <c r="C1491" s="2"/>
      <c r="D1491" s="2" t="b">
        <f>IF(AND(NOT(ISBLANK(Table1[[#This Row],[Fetal Sex (Male, Female or Unknown)]])),ISNUMBER(Table1[[#This Row],[Birthweight (grams)]]),ISNUMBER(Table1[[#This Row],[Gestation (days)]])),TRUE,FALSE)</f>
        <v>0</v>
      </c>
      <c r="E1491" s="2" t="str">
        <f>IF(Table1[[#This Row],[Is Data Valid]]=TRUE,IF(Table1[[#This Row],[Fetal Sex (Male, Female or Unknown)]]="Male",Backend!$C$6,IF(Table1[[#This Row],[Fetal Sex (Male, Female or Unknown)]]="Female",Backend!$C$7,IF(Table1[[#This Row],[Fetal Sex (Male, Female or Unknown)]]="Unknown",Backend!$C$8,"Error"))),"")</f>
        <v/>
      </c>
      <c r="F1491" s="8" t="str">
        <f>IF(Table1[[#This Row],[Is Data Valid]]=TRUE,EXP(0.578+0.332*((Table1[[#This Row],[Gestation (days)]]+0.5)/7)-0.00354*((Table1[[#This Row],[Gestation (days)]]+0.5)/7)^2)*Table1[[#This Row],[BW40_3705]],"")</f>
        <v/>
      </c>
      <c r="G1491" s="2" t="str">
        <f>IF(Table1[[#This Row],[Is Data Valid]]=TRUE,((Table1[[#This Row],[Birthweight (grams)]]/Table1[[#This Row],[BW_GA]])-1)/(Backend!$B$4/100*Table1[[#This Row],[BW40_3705]]),"")</f>
        <v/>
      </c>
      <c r="H1491" s="7" t="str">
        <f>IF(Table1[[#This Row],[Is Data Valid]]=TRUE,((Table1[[#This Row],[Birthweight (grams)]]*0.9/Table1[[#This Row],[BW_GA]])-1)/(Backend!$B$4/100*Table1[[#This Row],[BW40_3705]]),"")</f>
        <v/>
      </c>
      <c r="I1491" s="7" t="str">
        <f>IF(Table1[[#This Row],[Is Data Valid]]=TRUE,((Table1[[#This Row],[Birthweight (grams)]]*1.1/Table1[[#This Row],[BW_GA]])-1)/(Backend!$B$4/100*Table1[[#This Row],[BW40_3705]]),"")</f>
        <v/>
      </c>
      <c r="J1491" s="7" t="str">
        <f>IF(Table1[[#This Row],[Is Data Valid]]=TRUE,_xlfn.NORM.S.DIST(Table1[[#This Row],[Birthweight Z-Score]],TRUE)*100,"")</f>
        <v/>
      </c>
      <c r="K1491" s="7" t="str">
        <f>IF(Table1[[#This Row],[Is Data Valid]]=TRUE,_xlfn.NORM.S.DIST(Table1[[#This Row],[Birthweight Z-Score (BW-10%)]],TRUE)*100,"")</f>
        <v/>
      </c>
      <c r="L1491" s="7" t="str">
        <f>IF(Table1[[#This Row],[Is Data Valid]]=TRUE,_xlfn.NORM.S.DIST(Table1[[#This Row],[Birthweight Z-Score (BW+10%)]],TRUE)*100,"")</f>
        <v/>
      </c>
    </row>
    <row r="1492" spans="1:12" x14ac:dyDescent="0.35">
      <c r="A1492" s="3"/>
      <c r="B1492" s="2"/>
      <c r="C1492" s="2"/>
      <c r="D1492" s="2" t="b">
        <f>IF(AND(NOT(ISBLANK(Table1[[#This Row],[Fetal Sex (Male, Female or Unknown)]])),ISNUMBER(Table1[[#This Row],[Birthweight (grams)]]),ISNUMBER(Table1[[#This Row],[Gestation (days)]])),TRUE,FALSE)</f>
        <v>0</v>
      </c>
      <c r="E1492" s="2" t="str">
        <f>IF(Table1[[#This Row],[Is Data Valid]]=TRUE,IF(Table1[[#This Row],[Fetal Sex (Male, Female or Unknown)]]="Male",Backend!$C$6,IF(Table1[[#This Row],[Fetal Sex (Male, Female or Unknown)]]="Female",Backend!$C$7,IF(Table1[[#This Row],[Fetal Sex (Male, Female or Unknown)]]="Unknown",Backend!$C$8,"Error"))),"")</f>
        <v/>
      </c>
      <c r="F1492" s="8" t="str">
        <f>IF(Table1[[#This Row],[Is Data Valid]]=TRUE,EXP(0.578+0.332*((Table1[[#This Row],[Gestation (days)]]+0.5)/7)-0.00354*((Table1[[#This Row],[Gestation (days)]]+0.5)/7)^2)*Table1[[#This Row],[BW40_3705]],"")</f>
        <v/>
      </c>
      <c r="G1492" s="2" t="str">
        <f>IF(Table1[[#This Row],[Is Data Valid]]=TRUE,((Table1[[#This Row],[Birthweight (grams)]]/Table1[[#This Row],[BW_GA]])-1)/(Backend!$B$4/100*Table1[[#This Row],[BW40_3705]]),"")</f>
        <v/>
      </c>
      <c r="H1492" s="7" t="str">
        <f>IF(Table1[[#This Row],[Is Data Valid]]=TRUE,((Table1[[#This Row],[Birthweight (grams)]]*0.9/Table1[[#This Row],[BW_GA]])-1)/(Backend!$B$4/100*Table1[[#This Row],[BW40_3705]]),"")</f>
        <v/>
      </c>
      <c r="I1492" s="7" t="str">
        <f>IF(Table1[[#This Row],[Is Data Valid]]=TRUE,((Table1[[#This Row],[Birthweight (grams)]]*1.1/Table1[[#This Row],[BW_GA]])-1)/(Backend!$B$4/100*Table1[[#This Row],[BW40_3705]]),"")</f>
        <v/>
      </c>
      <c r="J1492" s="7" t="str">
        <f>IF(Table1[[#This Row],[Is Data Valid]]=TRUE,_xlfn.NORM.S.DIST(Table1[[#This Row],[Birthweight Z-Score]],TRUE)*100,"")</f>
        <v/>
      </c>
      <c r="K1492" s="7" t="str">
        <f>IF(Table1[[#This Row],[Is Data Valid]]=TRUE,_xlfn.NORM.S.DIST(Table1[[#This Row],[Birthweight Z-Score (BW-10%)]],TRUE)*100,"")</f>
        <v/>
      </c>
      <c r="L1492" s="7" t="str">
        <f>IF(Table1[[#This Row],[Is Data Valid]]=TRUE,_xlfn.NORM.S.DIST(Table1[[#This Row],[Birthweight Z-Score (BW+10%)]],TRUE)*100,"")</f>
        <v/>
      </c>
    </row>
    <row r="1493" spans="1:12" x14ac:dyDescent="0.35">
      <c r="A1493" s="3"/>
      <c r="B1493" s="2"/>
      <c r="C1493" s="2"/>
      <c r="D1493" s="2" t="b">
        <f>IF(AND(NOT(ISBLANK(Table1[[#This Row],[Fetal Sex (Male, Female or Unknown)]])),ISNUMBER(Table1[[#This Row],[Birthweight (grams)]]),ISNUMBER(Table1[[#This Row],[Gestation (days)]])),TRUE,FALSE)</f>
        <v>0</v>
      </c>
      <c r="E1493" s="2" t="str">
        <f>IF(Table1[[#This Row],[Is Data Valid]]=TRUE,IF(Table1[[#This Row],[Fetal Sex (Male, Female or Unknown)]]="Male",Backend!$C$6,IF(Table1[[#This Row],[Fetal Sex (Male, Female or Unknown)]]="Female",Backend!$C$7,IF(Table1[[#This Row],[Fetal Sex (Male, Female or Unknown)]]="Unknown",Backend!$C$8,"Error"))),"")</f>
        <v/>
      </c>
      <c r="F1493" s="8" t="str">
        <f>IF(Table1[[#This Row],[Is Data Valid]]=TRUE,EXP(0.578+0.332*((Table1[[#This Row],[Gestation (days)]]+0.5)/7)-0.00354*((Table1[[#This Row],[Gestation (days)]]+0.5)/7)^2)*Table1[[#This Row],[BW40_3705]],"")</f>
        <v/>
      </c>
      <c r="G1493" s="2" t="str">
        <f>IF(Table1[[#This Row],[Is Data Valid]]=TRUE,((Table1[[#This Row],[Birthweight (grams)]]/Table1[[#This Row],[BW_GA]])-1)/(Backend!$B$4/100*Table1[[#This Row],[BW40_3705]]),"")</f>
        <v/>
      </c>
      <c r="H1493" s="7" t="str">
        <f>IF(Table1[[#This Row],[Is Data Valid]]=TRUE,((Table1[[#This Row],[Birthweight (grams)]]*0.9/Table1[[#This Row],[BW_GA]])-1)/(Backend!$B$4/100*Table1[[#This Row],[BW40_3705]]),"")</f>
        <v/>
      </c>
      <c r="I1493" s="7" t="str">
        <f>IF(Table1[[#This Row],[Is Data Valid]]=TRUE,((Table1[[#This Row],[Birthweight (grams)]]*1.1/Table1[[#This Row],[BW_GA]])-1)/(Backend!$B$4/100*Table1[[#This Row],[BW40_3705]]),"")</f>
        <v/>
      </c>
      <c r="J1493" s="7" t="str">
        <f>IF(Table1[[#This Row],[Is Data Valid]]=TRUE,_xlfn.NORM.S.DIST(Table1[[#This Row],[Birthweight Z-Score]],TRUE)*100,"")</f>
        <v/>
      </c>
      <c r="K1493" s="7" t="str">
        <f>IF(Table1[[#This Row],[Is Data Valid]]=TRUE,_xlfn.NORM.S.DIST(Table1[[#This Row],[Birthweight Z-Score (BW-10%)]],TRUE)*100,"")</f>
        <v/>
      </c>
      <c r="L1493" s="7" t="str">
        <f>IF(Table1[[#This Row],[Is Data Valid]]=TRUE,_xlfn.NORM.S.DIST(Table1[[#This Row],[Birthweight Z-Score (BW+10%)]],TRUE)*100,"")</f>
        <v/>
      </c>
    </row>
    <row r="1494" spans="1:12" x14ac:dyDescent="0.35">
      <c r="A1494" s="3"/>
      <c r="B1494" s="2"/>
      <c r="C1494" s="2"/>
      <c r="D1494" s="2" t="b">
        <f>IF(AND(NOT(ISBLANK(Table1[[#This Row],[Fetal Sex (Male, Female or Unknown)]])),ISNUMBER(Table1[[#This Row],[Birthweight (grams)]]),ISNUMBER(Table1[[#This Row],[Gestation (days)]])),TRUE,FALSE)</f>
        <v>0</v>
      </c>
      <c r="E1494" s="2" t="str">
        <f>IF(Table1[[#This Row],[Is Data Valid]]=TRUE,IF(Table1[[#This Row],[Fetal Sex (Male, Female or Unknown)]]="Male",Backend!$C$6,IF(Table1[[#This Row],[Fetal Sex (Male, Female or Unknown)]]="Female",Backend!$C$7,IF(Table1[[#This Row],[Fetal Sex (Male, Female or Unknown)]]="Unknown",Backend!$C$8,"Error"))),"")</f>
        <v/>
      </c>
      <c r="F1494" s="8" t="str">
        <f>IF(Table1[[#This Row],[Is Data Valid]]=TRUE,EXP(0.578+0.332*((Table1[[#This Row],[Gestation (days)]]+0.5)/7)-0.00354*((Table1[[#This Row],[Gestation (days)]]+0.5)/7)^2)*Table1[[#This Row],[BW40_3705]],"")</f>
        <v/>
      </c>
      <c r="G1494" s="2" t="str">
        <f>IF(Table1[[#This Row],[Is Data Valid]]=TRUE,((Table1[[#This Row],[Birthweight (grams)]]/Table1[[#This Row],[BW_GA]])-1)/(Backend!$B$4/100*Table1[[#This Row],[BW40_3705]]),"")</f>
        <v/>
      </c>
      <c r="H1494" s="7" t="str">
        <f>IF(Table1[[#This Row],[Is Data Valid]]=TRUE,((Table1[[#This Row],[Birthweight (grams)]]*0.9/Table1[[#This Row],[BW_GA]])-1)/(Backend!$B$4/100*Table1[[#This Row],[BW40_3705]]),"")</f>
        <v/>
      </c>
      <c r="I1494" s="7" t="str">
        <f>IF(Table1[[#This Row],[Is Data Valid]]=TRUE,((Table1[[#This Row],[Birthweight (grams)]]*1.1/Table1[[#This Row],[BW_GA]])-1)/(Backend!$B$4/100*Table1[[#This Row],[BW40_3705]]),"")</f>
        <v/>
      </c>
      <c r="J1494" s="7" t="str">
        <f>IF(Table1[[#This Row],[Is Data Valid]]=TRUE,_xlfn.NORM.S.DIST(Table1[[#This Row],[Birthweight Z-Score]],TRUE)*100,"")</f>
        <v/>
      </c>
      <c r="K1494" s="7" t="str">
        <f>IF(Table1[[#This Row],[Is Data Valid]]=TRUE,_xlfn.NORM.S.DIST(Table1[[#This Row],[Birthweight Z-Score (BW-10%)]],TRUE)*100,"")</f>
        <v/>
      </c>
      <c r="L1494" s="7" t="str">
        <f>IF(Table1[[#This Row],[Is Data Valid]]=TRUE,_xlfn.NORM.S.DIST(Table1[[#This Row],[Birthweight Z-Score (BW+10%)]],TRUE)*100,"")</f>
        <v/>
      </c>
    </row>
    <row r="1495" spans="1:12" x14ac:dyDescent="0.35">
      <c r="A1495" s="3"/>
      <c r="B1495" s="2"/>
      <c r="C1495" s="2"/>
      <c r="D1495" s="2" t="b">
        <f>IF(AND(NOT(ISBLANK(Table1[[#This Row],[Fetal Sex (Male, Female or Unknown)]])),ISNUMBER(Table1[[#This Row],[Birthweight (grams)]]),ISNUMBER(Table1[[#This Row],[Gestation (days)]])),TRUE,FALSE)</f>
        <v>0</v>
      </c>
      <c r="E1495" s="2" t="str">
        <f>IF(Table1[[#This Row],[Is Data Valid]]=TRUE,IF(Table1[[#This Row],[Fetal Sex (Male, Female or Unknown)]]="Male",Backend!$C$6,IF(Table1[[#This Row],[Fetal Sex (Male, Female or Unknown)]]="Female",Backend!$C$7,IF(Table1[[#This Row],[Fetal Sex (Male, Female or Unknown)]]="Unknown",Backend!$C$8,"Error"))),"")</f>
        <v/>
      </c>
      <c r="F1495" s="8" t="str">
        <f>IF(Table1[[#This Row],[Is Data Valid]]=TRUE,EXP(0.578+0.332*((Table1[[#This Row],[Gestation (days)]]+0.5)/7)-0.00354*((Table1[[#This Row],[Gestation (days)]]+0.5)/7)^2)*Table1[[#This Row],[BW40_3705]],"")</f>
        <v/>
      </c>
      <c r="G1495" s="2" t="str">
        <f>IF(Table1[[#This Row],[Is Data Valid]]=TRUE,((Table1[[#This Row],[Birthweight (grams)]]/Table1[[#This Row],[BW_GA]])-1)/(Backend!$B$4/100*Table1[[#This Row],[BW40_3705]]),"")</f>
        <v/>
      </c>
      <c r="H1495" s="7" t="str">
        <f>IF(Table1[[#This Row],[Is Data Valid]]=TRUE,((Table1[[#This Row],[Birthweight (grams)]]*0.9/Table1[[#This Row],[BW_GA]])-1)/(Backend!$B$4/100*Table1[[#This Row],[BW40_3705]]),"")</f>
        <v/>
      </c>
      <c r="I1495" s="7" t="str">
        <f>IF(Table1[[#This Row],[Is Data Valid]]=TRUE,((Table1[[#This Row],[Birthweight (grams)]]*1.1/Table1[[#This Row],[BW_GA]])-1)/(Backend!$B$4/100*Table1[[#This Row],[BW40_3705]]),"")</f>
        <v/>
      </c>
      <c r="J1495" s="7" t="str">
        <f>IF(Table1[[#This Row],[Is Data Valid]]=TRUE,_xlfn.NORM.S.DIST(Table1[[#This Row],[Birthweight Z-Score]],TRUE)*100,"")</f>
        <v/>
      </c>
      <c r="K1495" s="7" t="str">
        <f>IF(Table1[[#This Row],[Is Data Valid]]=TRUE,_xlfn.NORM.S.DIST(Table1[[#This Row],[Birthweight Z-Score (BW-10%)]],TRUE)*100,"")</f>
        <v/>
      </c>
      <c r="L1495" s="7" t="str">
        <f>IF(Table1[[#This Row],[Is Data Valid]]=TRUE,_xlfn.NORM.S.DIST(Table1[[#This Row],[Birthweight Z-Score (BW+10%)]],TRUE)*100,"")</f>
        <v/>
      </c>
    </row>
    <row r="1496" spans="1:12" x14ac:dyDescent="0.35">
      <c r="A1496" s="3"/>
      <c r="B1496" s="2"/>
      <c r="C1496" s="2"/>
      <c r="D1496" s="2" t="b">
        <f>IF(AND(NOT(ISBLANK(Table1[[#This Row],[Fetal Sex (Male, Female or Unknown)]])),ISNUMBER(Table1[[#This Row],[Birthweight (grams)]]),ISNUMBER(Table1[[#This Row],[Gestation (days)]])),TRUE,FALSE)</f>
        <v>0</v>
      </c>
      <c r="E1496" s="2" t="str">
        <f>IF(Table1[[#This Row],[Is Data Valid]]=TRUE,IF(Table1[[#This Row],[Fetal Sex (Male, Female or Unknown)]]="Male",Backend!$C$6,IF(Table1[[#This Row],[Fetal Sex (Male, Female or Unknown)]]="Female",Backend!$C$7,IF(Table1[[#This Row],[Fetal Sex (Male, Female or Unknown)]]="Unknown",Backend!$C$8,"Error"))),"")</f>
        <v/>
      </c>
      <c r="F1496" s="8" t="str">
        <f>IF(Table1[[#This Row],[Is Data Valid]]=TRUE,EXP(0.578+0.332*((Table1[[#This Row],[Gestation (days)]]+0.5)/7)-0.00354*((Table1[[#This Row],[Gestation (days)]]+0.5)/7)^2)*Table1[[#This Row],[BW40_3705]],"")</f>
        <v/>
      </c>
      <c r="G1496" s="2" t="str">
        <f>IF(Table1[[#This Row],[Is Data Valid]]=TRUE,((Table1[[#This Row],[Birthweight (grams)]]/Table1[[#This Row],[BW_GA]])-1)/(Backend!$B$4/100*Table1[[#This Row],[BW40_3705]]),"")</f>
        <v/>
      </c>
      <c r="H1496" s="7" t="str">
        <f>IF(Table1[[#This Row],[Is Data Valid]]=TRUE,((Table1[[#This Row],[Birthweight (grams)]]*0.9/Table1[[#This Row],[BW_GA]])-1)/(Backend!$B$4/100*Table1[[#This Row],[BW40_3705]]),"")</f>
        <v/>
      </c>
      <c r="I1496" s="7" t="str">
        <f>IF(Table1[[#This Row],[Is Data Valid]]=TRUE,((Table1[[#This Row],[Birthweight (grams)]]*1.1/Table1[[#This Row],[BW_GA]])-1)/(Backend!$B$4/100*Table1[[#This Row],[BW40_3705]]),"")</f>
        <v/>
      </c>
      <c r="J1496" s="7" t="str">
        <f>IF(Table1[[#This Row],[Is Data Valid]]=TRUE,_xlfn.NORM.S.DIST(Table1[[#This Row],[Birthweight Z-Score]],TRUE)*100,"")</f>
        <v/>
      </c>
      <c r="K1496" s="7" t="str">
        <f>IF(Table1[[#This Row],[Is Data Valid]]=TRUE,_xlfn.NORM.S.DIST(Table1[[#This Row],[Birthweight Z-Score (BW-10%)]],TRUE)*100,"")</f>
        <v/>
      </c>
      <c r="L1496" s="7" t="str">
        <f>IF(Table1[[#This Row],[Is Data Valid]]=TRUE,_xlfn.NORM.S.DIST(Table1[[#This Row],[Birthweight Z-Score (BW+10%)]],TRUE)*100,"")</f>
        <v/>
      </c>
    </row>
    <row r="1497" spans="1:12" x14ac:dyDescent="0.35">
      <c r="A1497" s="3"/>
      <c r="B1497" s="2"/>
      <c r="C1497" s="2"/>
      <c r="D1497" s="2" t="b">
        <f>IF(AND(NOT(ISBLANK(Table1[[#This Row],[Fetal Sex (Male, Female or Unknown)]])),ISNUMBER(Table1[[#This Row],[Birthweight (grams)]]),ISNUMBER(Table1[[#This Row],[Gestation (days)]])),TRUE,FALSE)</f>
        <v>0</v>
      </c>
      <c r="E1497" s="2" t="str">
        <f>IF(Table1[[#This Row],[Is Data Valid]]=TRUE,IF(Table1[[#This Row],[Fetal Sex (Male, Female or Unknown)]]="Male",Backend!$C$6,IF(Table1[[#This Row],[Fetal Sex (Male, Female or Unknown)]]="Female",Backend!$C$7,IF(Table1[[#This Row],[Fetal Sex (Male, Female or Unknown)]]="Unknown",Backend!$C$8,"Error"))),"")</f>
        <v/>
      </c>
      <c r="F1497" s="8" t="str">
        <f>IF(Table1[[#This Row],[Is Data Valid]]=TRUE,EXP(0.578+0.332*((Table1[[#This Row],[Gestation (days)]]+0.5)/7)-0.00354*((Table1[[#This Row],[Gestation (days)]]+0.5)/7)^2)*Table1[[#This Row],[BW40_3705]],"")</f>
        <v/>
      </c>
      <c r="G1497" s="2" t="str">
        <f>IF(Table1[[#This Row],[Is Data Valid]]=TRUE,((Table1[[#This Row],[Birthweight (grams)]]/Table1[[#This Row],[BW_GA]])-1)/(Backend!$B$4/100*Table1[[#This Row],[BW40_3705]]),"")</f>
        <v/>
      </c>
      <c r="H1497" s="7" t="str">
        <f>IF(Table1[[#This Row],[Is Data Valid]]=TRUE,((Table1[[#This Row],[Birthweight (grams)]]*0.9/Table1[[#This Row],[BW_GA]])-1)/(Backend!$B$4/100*Table1[[#This Row],[BW40_3705]]),"")</f>
        <v/>
      </c>
      <c r="I1497" s="7" t="str">
        <f>IF(Table1[[#This Row],[Is Data Valid]]=TRUE,((Table1[[#This Row],[Birthweight (grams)]]*1.1/Table1[[#This Row],[BW_GA]])-1)/(Backend!$B$4/100*Table1[[#This Row],[BW40_3705]]),"")</f>
        <v/>
      </c>
      <c r="J1497" s="7" t="str">
        <f>IF(Table1[[#This Row],[Is Data Valid]]=TRUE,_xlfn.NORM.S.DIST(Table1[[#This Row],[Birthweight Z-Score]],TRUE)*100,"")</f>
        <v/>
      </c>
      <c r="K1497" s="7" t="str">
        <f>IF(Table1[[#This Row],[Is Data Valid]]=TRUE,_xlfn.NORM.S.DIST(Table1[[#This Row],[Birthweight Z-Score (BW-10%)]],TRUE)*100,"")</f>
        <v/>
      </c>
      <c r="L1497" s="7" t="str">
        <f>IF(Table1[[#This Row],[Is Data Valid]]=TRUE,_xlfn.NORM.S.DIST(Table1[[#This Row],[Birthweight Z-Score (BW+10%)]],TRUE)*100,"")</f>
        <v/>
      </c>
    </row>
    <row r="1498" spans="1:12" x14ac:dyDescent="0.35">
      <c r="A1498" s="3"/>
      <c r="B1498" s="2"/>
      <c r="C1498" s="2"/>
      <c r="D1498" s="2" t="b">
        <f>IF(AND(NOT(ISBLANK(Table1[[#This Row],[Fetal Sex (Male, Female or Unknown)]])),ISNUMBER(Table1[[#This Row],[Birthweight (grams)]]),ISNUMBER(Table1[[#This Row],[Gestation (days)]])),TRUE,FALSE)</f>
        <v>0</v>
      </c>
      <c r="E1498" s="2" t="str">
        <f>IF(Table1[[#This Row],[Is Data Valid]]=TRUE,IF(Table1[[#This Row],[Fetal Sex (Male, Female or Unknown)]]="Male",Backend!$C$6,IF(Table1[[#This Row],[Fetal Sex (Male, Female or Unknown)]]="Female",Backend!$C$7,IF(Table1[[#This Row],[Fetal Sex (Male, Female or Unknown)]]="Unknown",Backend!$C$8,"Error"))),"")</f>
        <v/>
      </c>
      <c r="F1498" s="8" t="str">
        <f>IF(Table1[[#This Row],[Is Data Valid]]=TRUE,EXP(0.578+0.332*((Table1[[#This Row],[Gestation (days)]]+0.5)/7)-0.00354*((Table1[[#This Row],[Gestation (days)]]+0.5)/7)^2)*Table1[[#This Row],[BW40_3705]],"")</f>
        <v/>
      </c>
      <c r="G1498" s="2" t="str">
        <f>IF(Table1[[#This Row],[Is Data Valid]]=TRUE,((Table1[[#This Row],[Birthweight (grams)]]/Table1[[#This Row],[BW_GA]])-1)/(Backend!$B$4/100*Table1[[#This Row],[BW40_3705]]),"")</f>
        <v/>
      </c>
      <c r="H1498" s="7" t="str">
        <f>IF(Table1[[#This Row],[Is Data Valid]]=TRUE,((Table1[[#This Row],[Birthweight (grams)]]*0.9/Table1[[#This Row],[BW_GA]])-1)/(Backend!$B$4/100*Table1[[#This Row],[BW40_3705]]),"")</f>
        <v/>
      </c>
      <c r="I1498" s="7" t="str">
        <f>IF(Table1[[#This Row],[Is Data Valid]]=TRUE,((Table1[[#This Row],[Birthweight (grams)]]*1.1/Table1[[#This Row],[BW_GA]])-1)/(Backend!$B$4/100*Table1[[#This Row],[BW40_3705]]),"")</f>
        <v/>
      </c>
      <c r="J1498" s="7" t="str">
        <f>IF(Table1[[#This Row],[Is Data Valid]]=TRUE,_xlfn.NORM.S.DIST(Table1[[#This Row],[Birthweight Z-Score]],TRUE)*100,"")</f>
        <v/>
      </c>
      <c r="K1498" s="7" t="str">
        <f>IF(Table1[[#This Row],[Is Data Valid]]=TRUE,_xlfn.NORM.S.DIST(Table1[[#This Row],[Birthweight Z-Score (BW-10%)]],TRUE)*100,"")</f>
        <v/>
      </c>
      <c r="L1498" s="7" t="str">
        <f>IF(Table1[[#This Row],[Is Data Valid]]=TRUE,_xlfn.NORM.S.DIST(Table1[[#This Row],[Birthweight Z-Score (BW+10%)]],TRUE)*100,"")</f>
        <v/>
      </c>
    </row>
    <row r="1499" spans="1:12" x14ac:dyDescent="0.35">
      <c r="A1499" s="3"/>
      <c r="B1499" s="2"/>
      <c r="C1499" s="2"/>
      <c r="D1499" s="2" t="b">
        <f>IF(AND(NOT(ISBLANK(Table1[[#This Row],[Fetal Sex (Male, Female or Unknown)]])),ISNUMBER(Table1[[#This Row],[Birthweight (grams)]]),ISNUMBER(Table1[[#This Row],[Gestation (days)]])),TRUE,FALSE)</f>
        <v>0</v>
      </c>
      <c r="E1499" s="2" t="str">
        <f>IF(Table1[[#This Row],[Is Data Valid]]=TRUE,IF(Table1[[#This Row],[Fetal Sex (Male, Female or Unknown)]]="Male",Backend!$C$6,IF(Table1[[#This Row],[Fetal Sex (Male, Female or Unknown)]]="Female",Backend!$C$7,IF(Table1[[#This Row],[Fetal Sex (Male, Female or Unknown)]]="Unknown",Backend!$C$8,"Error"))),"")</f>
        <v/>
      </c>
      <c r="F1499" s="8" t="str">
        <f>IF(Table1[[#This Row],[Is Data Valid]]=TRUE,EXP(0.578+0.332*((Table1[[#This Row],[Gestation (days)]]+0.5)/7)-0.00354*((Table1[[#This Row],[Gestation (days)]]+0.5)/7)^2)*Table1[[#This Row],[BW40_3705]],"")</f>
        <v/>
      </c>
      <c r="G1499" s="2" t="str">
        <f>IF(Table1[[#This Row],[Is Data Valid]]=TRUE,((Table1[[#This Row],[Birthweight (grams)]]/Table1[[#This Row],[BW_GA]])-1)/(Backend!$B$4/100*Table1[[#This Row],[BW40_3705]]),"")</f>
        <v/>
      </c>
      <c r="H1499" s="7" t="str">
        <f>IF(Table1[[#This Row],[Is Data Valid]]=TRUE,((Table1[[#This Row],[Birthweight (grams)]]*0.9/Table1[[#This Row],[BW_GA]])-1)/(Backend!$B$4/100*Table1[[#This Row],[BW40_3705]]),"")</f>
        <v/>
      </c>
      <c r="I1499" s="7" t="str">
        <f>IF(Table1[[#This Row],[Is Data Valid]]=TRUE,((Table1[[#This Row],[Birthweight (grams)]]*1.1/Table1[[#This Row],[BW_GA]])-1)/(Backend!$B$4/100*Table1[[#This Row],[BW40_3705]]),"")</f>
        <v/>
      </c>
      <c r="J1499" s="7" t="str">
        <f>IF(Table1[[#This Row],[Is Data Valid]]=TRUE,_xlfn.NORM.S.DIST(Table1[[#This Row],[Birthweight Z-Score]],TRUE)*100,"")</f>
        <v/>
      </c>
      <c r="K1499" s="7" t="str">
        <f>IF(Table1[[#This Row],[Is Data Valid]]=TRUE,_xlfn.NORM.S.DIST(Table1[[#This Row],[Birthweight Z-Score (BW-10%)]],TRUE)*100,"")</f>
        <v/>
      </c>
      <c r="L1499" s="7" t="str">
        <f>IF(Table1[[#This Row],[Is Data Valid]]=TRUE,_xlfn.NORM.S.DIST(Table1[[#This Row],[Birthweight Z-Score (BW+10%)]],TRUE)*100,"")</f>
        <v/>
      </c>
    </row>
    <row r="1500" spans="1:12" x14ac:dyDescent="0.35">
      <c r="A1500" s="3"/>
      <c r="B1500" s="2"/>
      <c r="C1500" s="2"/>
      <c r="D1500" s="2" t="b">
        <f>IF(AND(NOT(ISBLANK(Table1[[#This Row],[Fetal Sex (Male, Female or Unknown)]])),ISNUMBER(Table1[[#This Row],[Birthweight (grams)]]),ISNUMBER(Table1[[#This Row],[Gestation (days)]])),TRUE,FALSE)</f>
        <v>0</v>
      </c>
      <c r="E1500" s="2" t="str">
        <f>IF(Table1[[#This Row],[Is Data Valid]]=TRUE,IF(Table1[[#This Row],[Fetal Sex (Male, Female or Unknown)]]="Male",Backend!$C$6,IF(Table1[[#This Row],[Fetal Sex (Male, Female or Unknown)]]="Female",Backend!$C$7,IF(Table1[[#This Row],[Fetal Sex (Male, Female or Unknown)]]="Unknown",Backend!$C$8,"Error"))),"")</f>
        <v/>
      </c>
      <c r="F1500" s="8" t="str">
        <f>IF(Table1[[#This Row],[Is Data Valid]]=TRUE,EXP(0.578+0.332*((Table1[[#This Row],[Gestation (days)]]+0.5)/7)-0.00354*((Table1[[#This Row],[Gestation (days)]]+0.5)/7)^2)*Table1[[#This Row],[BW40_3705]],"")</f>
        <v/>
      </c>
      <c r="G1500" s="2" t="str">
        <f>IF(Table1[[#This Row],[Is Data Valid]]=TRUE,((Table1[[#This Row],[Birthweight (grams)]]/Table1[[#This Row],[BW_GA]])-1)/(Backend!$B$4/100*Table1[[#This Row],[BW40_3705]]),"")</f>
        <v/>
      </c>
      <c r="H1500" s="7" t="str">
        <f>IF(Table1[[#This Row],[Is Data Valid]]=TRUE,((Table1[[#This Row],[Birthweight (grams)]]*0.9/Table1[[#This Row],[BW_GA]])-1)/(Backend!$B$4/100*Table1[[#This Row],[BW40_3705]]),"")</f>
        <v/>
      </c>
      <c r="I1500" s="7" t="str">
        <f>IF(Table1[[#This Row],[Is Data Valid]]=TRUE,((Table1[[#This Row],[Birthweight (grams)]]*1.1/Table1[[#This Row],[BW_GA]])-1)/(Backend!$B$4/100*Table1[[#This Row],[BW40_3705]]),"")</f>
        <v/>
      </c>
      <c r="J1500" s="7" t="str">
        <f>IF(Table1[[#This Row],[Is Data Valid]]=TRUE,_xlfn.NORM.S.DIST(Table1[[#This Row],[Birthweight Z-Score]],TRUE)*100,"")</f>
        <v/>
      </c>
      <c r="K1500" s="7" t="str">
        <f>IF(Table1[[#This Row],[Is Data Valid]]=TRUE,_xlfn.NORM.S.DIST(Table1[[#This Row],[Birthweight Z-Score (BW-10%)]],TRUE)*100,"")</f>
        <v/>
      </c>
      <c r="L1500" s="7" t="str">
        <f>IF(Table1[[#This Row],[Is Data Valid]]=TRUE,_xlfn.NORM.S.DIST(Table1[[#This Row],[Birthweight Z-Score (BW+10%)]],TRUE)*100,"")</f>
        <v/>
      </c>
    </row>
    <row r="1501" spans="1:12" x14ac:dyDescent="0.35">
      <c r="A1501" s="3"/>
      <c r="B1501" s="2"/>
      <c r="C1501" s="2"/>
      <c r="D1501" s="2" t="b">
        <f>IF(AND(NOT(ISBLANK(Table1[[#This Row],[Fetal Sex (Male, Female or Unknown)]])),ISNUMBER(Table1[[#This Row],[Birthweight (grams)]]),ISNUMBER(Table1[[#This Row],[Gestation (days)]])),TRUE,FALSE)</f>
        <v>0</v>
      </c>
      <c r="E1501" s="2" t="str">
        <f>IF(Table1[[#This Row],[Is Data Valid]]=TRUE,IF(Table1[[#This Row],[Fetal Sex (Male, Female or Unknown)]]="Male",Backend!$C$6,IF(Table1[[#This Row],[Fetal Sex (Male, Female or Unknown)]]="Female",Backend!$C$7,IF(Table1[[#This Row],[Fetal Sex (Male, Female or Unknown)]]="Unknown",Backend!$C$8,"Error"))),"")</f>
        <v/>
      </c>
      <c r="F1501" s="8" t="str">
        <f>IF(Table1[[#This Row],[Is Data Valid]]=TRUE,EXP(0.578+0.332*((Table1[[#This Row],[Gestation (days)]]+0.5)/7)-0.00354*((Table1[[#This Row],[Gestation (days)]]+0.5)/7)^2)*Table1[[#This Row],[BW40_3705]],"")</f>
        <v/>
      </c>
      <c r="G1501" s="2" t="str">
        <f>IF(Table1[[#This Row],[Is Data Valid]]=TRUE,((Table1[[#This Row],[Birthweight (grams)]]/Table1[[#This Row],[BW_GA]])-1)/(Backend!$B$4/100*Table1[[#This Row],[BW40_3705]]),"")</f>
        <v/>
      </c>
      <c r="H1501" s="7" t="str">
        <f>IF(Table1[[#This Row],[Is Data Valid]]=TRUE,((Table1[[#This Row],[Birthweight (grams)]]*0.9/Table1[[#This Row],[BW_GA]])-1)/(Backend!$B$4/100*Table1[[#This Row],[BW40_3705]]),"")</f>
        <v/>
      </c>
      <c r="I1501" s="7" t="str">
        <f>IF(Table1[[#This Row],[Is Data Valid]]=TRUE,((Table1[[#This Row],[Birthweight (grams)]]*1.1/Table1[[#This Row],[BW_GA]])-1)/(Backend!$B$4/100*Table1[[#This Row],[BW40_3705]]),"")</f>
        <v/>
      </c>
      <c r="J1501" s="7" t="str">
        <f>IF(Table1[[#This Row],[Is Data Valid]]=TRUE,_xlfn.NORM.S.DIST(Table1[[#This Row],[Birthweight Z-Score]],TRUE)*100,"")</f>
        <v/>
      </c>
      <c r="K1501" s="7" t="str">
        <f>IF(Table1[[#This Row],[Is Data Valid]]=TRUE,_xlfn.NORM.S.DIST(Table1[[#This Row],[Birthweight Z-Score (BW-10%)]],TRUE)*100,"")</f>
        <v/>
      </c>
      <c r="L1501" s="7" t="str">
        <f>IF(Table1[[#This Row],[Is Data Valid]]=TRUE,_xlfn.NORM.S.DIST(Table1[[#This Row],[Birthweight Z-Score (BW+10%)]],TRUE)*100,"")</f>
        <v/>
      </c>
    </row>
    <row r="1502" spans="1:12" x14ac:dyDescent="0.35">
      <c r="A1502" s="3"/>
      <c r="B1502" s="2"/>
      <c r="C1502" s="2"/>
      <c r="D1502" s="2" t="b">
        <f>IF(AND(NOT(ISBLANK(Table1[[#This Row],[Fetal Sex (Male, Female or Unknown)]])),ISNUMBER(Table1[[#This Row],[Birthweight (grams)]]),ISNUMBER(Table1[[#This Row],[Gestation (days)]])),TRUE,FALSE)</f>
        <v>0</v>
      </c>
      <c r="E1502" s="2" t="str">
        <f>IF(Table1[[#This Row],[Is Data Valid]]=TRUE,IF(Table1[[#This Row],[Fetal Sex (Male, Female or Unknown)]]="Male",Backend!$C$6,IF(Table1[[#This Row],[Fetal Sex (Male, Female or Unknown)]]="Female",Backend!$C$7,IF(Table1[[#This Row],[Fetal Sex (Male, Female or Unknown)]]="Unknown",Backend!$C$8,"Error"))),"")</f>
        <v/>
      </c>
      <c r="F1502" s="8" t="str">
        <f>IF(Table1[[#This Row],[Is Data Valid]]=TRUE,EXP(0.578+0.332*((Table1[[#This Row],[Gestation (days)]]+0.5)/7)-0.00354*((Table1[[#This Row],[Gestation (days)]]+0.5)/7)^2)*Table1[[#This Row],[BW40_3705]],"")</f>
        <v/>
      </c>
      <c r="G1502" s="2" t="str">
        <f>IF(Table1[[#This Row],[Is Data Valid]]=TRUE,((Table1[[#This Row],[Birthweight (grams)]]/Table1[[#This Row],[BW_GA]])-1)/(Backend!$B$4/100*Table1[[#This Row],[BW40_3705]]),"")</f>
        <v/>
      </c>
      <c r="H1502" s="7" t="str">
        <f>IF(Table1[[#This Row],[Is Data Valid]]=TRUE,((Table1[[#This Row],[Birthweight (grams)]]*0.9/Table1[[#This Row],[BW_GA]])-1)/(Backend!$B$4/100*Table1[[#This Row],[BW40_3705]]),"")</f>
        <v/>
      </c>
      <c r="I1502" s="7" t="str">
        <f>IF(Table1[[#This Row],[Is Data Valid]]=TRUE,((Table1[[#This Row],[Birthweight (grams)]]*1.1/Table1[[#This Row],[BW_GA]])-1)/(Backend!$B$4/100*Table1[[#This Row],[BW40_3705]]),"")</f>
        <v/>
      </c>
      <c r="J1502" s="7" t="str">
        <f>IF(Table1[[#This Row],[Is Data Valid]]=TRUE,_xlfn.NORM.S.DIST(Table1[[#This Row],[Birthweight Z-Score]],TRUE)*100,"")</f>
        <v/>
      </c>
      <c r="K1502" s="7" t="str">
        <f>IF(Table1[[#This Row],[Is Data Valid]]=TRUE,_xlfn.NORM.S.DIST(Table1[[#This Row],[Birthweight Z-Score (BW-10%)]],TRUE)*100,"")</f>
        <v/>
      </c>
      <c r="L1502" s="7" t="str">
        <f>IF(Table1[[#This Row],[Is Data Valid]]=TRUE,_xlfn.NORM.S.DIST(Table1[[#This Row],[Birthweight Z-Score (BW+10%)]],TRUE)*100,"")</f>
        <v/>
      </c>
    </row>
    <row r="1503" spans="1:12" x14ac:dyDescent="0.35">
      <c r="A1503" s="3"/>
      <c r="B1503" s="2"/>
      <c r="C1503" s="2"/>
      <c r="D1503" s="2" t="b">
        <f>IF(AND(NOT(ISBLANK(Table1[[#This Row],[Fetal Sex (Male, Female or Unknown)]])),ISNUMBER(Table1[[#This Row],[Birthweight (grams)]]),ISNUMBER(Table1[[#This Row],[Gestation (days)]])),TRUE,FALSE)</f>
        <v>0</v>
      </c>
      <c r="E1503" s="2" t="str">
        <f>IF(Table1[[#This Row],[Is Data Valid]]=TRUE,IF(Table1[[#This Row],[Fetal Sex (Male, Female or Unknown)]]="Male",Backend!$C$6,IF(Table1[[#This Row],[Fetal Sex (Male, Female or Unknown)]]="Female",Backend!$C$7,IF(Table1[[#This Row],[Fetal Sex (Male, Female or Unknown)]]="Unknown",Backend!$C$8,"Error"))),"")</f>
        <v/>
      </c>
      <c r="F1503" s="8" t="str">
        <f>IF(Table1[[#This Row],[Is Data Valid]]=TRUE,EXP(0.578+0.332*((Table1[[#This Row],[Gestation (days)]]+0.5)/7)-0.00354*((Table1[[#This Row],[Gestation (days)]]+0.5)/7)^2)*Table1[[#This Row],[BW40_3705]],"")</f>
        <v/>
      </c>
      <c r="G1503" s="2" t="str">
        <f>IF(Table1[[#This Row],[Is Data Valid]]=TRUE,((Table1[[#This Row],[Birthweight (grams)]]/Table1[[#This Row],[BW_GA]])-1)/(Backend!$B$4/100*Table1[[#This Row],[BW40_3705]]),"")</f>
        <v/>
      </c>
      <c r="H1503" s="7" t="str">
        <f>IF(Table1[[#This Row],[Is Data Valid]]=TRUE,((Table1[[#This Row],[Birthweight (grams)]]*0.9/Table1[[#This Row],[BW_GA]])-1)/(Backend!$B$4/100*Table1[[#This Row],[BW40_3705]]),"")</f>
        <v/>
      </c>
      <c r="I1503" s="7" t="str">
        <f>IF(Table1[[#This Row],[Is Data Valid]]=TRUE,((Table1[[#This Row],[Birthweight (grams)]]*1.1/Table1[[#This Row],[BW_GA]])-1)/(Backend!$B$4/100*Table1[[#This Row],[BW40_3705]]),"")</f>
        <v/>
      </c>
      <c r="J1503" s="7" t="str">
        <f>IF(Table1[[#This Row],[Is Data Valid]]=TRUE,_xlfn.NORM.S.DIST(Table1[[#This Row],[Birthweight Z-Score]],TRUE)*100,"")</f>
        <v/>
      </c>
      <c r="K1503" s="7" t="str">
        <f>IF(Table1[[#This Row],[Is Data Valid]]=TRUE,_xlfn.NORM.S.DIST(Table1[[#This Row],[Birthweight Z-Score (BW-10%)]],TRUE)*100,"")</f>
        <v/>
      </c>
      <c r="L1503" s="7" t="str">
        <f>IF(Table1[[#This Row],[Is Data Valid]]=TRUE,_xlfn.NORM.S.DIST(Table1[[#This Row],[Birthweight Z-Score (BW+10%)]],TRUE)*100,"")</f>
        <v/>
      </c>
    </row>
    <row r="1504" spans="1:12" x14ac:dyDescent="0.35">
      <c r="A1504" s="3"/>
      <c r="B1504" s="2"/>
      <c r="C1504" s="2"/>
      <c r="D1504" s="2" t="b">
        <f>IF(AND(NOT(ISBLANK(Table1[[#This Row],[Fetal Sex (Male, Female or Unknown)]])),ISNUMBER(Table1[[#This Row],[Birthweight (grams)]]),ISNUMBER(Table1[[#This Row],[Gestation (days)]])),TRUE,FALSE)</f>
        <v>0</v>
      </c>
      <c r="E1504" s="2" t="str">
        <f>IF(Table1[[#This Row],[Is Data Valid]]=TRUE,IF(Table1[[#This Row],[Fetal Sex (Male, Female or Unknown)]]="Male",Backend!$C$6,IF(Table1[[#This Row],[Fetal Sex (Male, Female or Unknown)]]="Female",Backend!$C$7,IF(Table1[[#This Row],[Fetal Sex (Male, Female or Unknown)]]="Unknown",Backend!$C$8,"Error"))),"")</f>
        <v/>
      </c>
      <c r="F1504" s="8" t="str">
        <f>IF(Table1[[#This Row],[Is Data Valid]]=TRUE,EXP(0.578+0.332*((Table1[[#This Row],[Gestation (days)]]+0.5)/7)-0.00354*((Table1[[#This Row],[Gestation (days)]]+0.5)/7)^2)*Table1[[#This Row],[BW40_3705]],"")</f>
        <v/>
      </c>
      <c r="G1504" s="2" t="str">
        <f>IF(Table1[[#This Row],[Is Data Valid]]=TRUE,((Table1[[#This Row],[Birthweight (grams)]]/Table1[[#This Row],[BW_GA]])-1)/(Backend!$B$4/100*Table1[[#This Row],[BW40_3705]]),"")</f>
        <v/>
      </c>
      <c r="H1504" s="7" t="str">
        <f>IF(Table1[[#This Row],[Is Data Valid]]=TRUE,((Table1[[#This Row],[Birthweight (grams)]]*0.9/Table1[[#This Row],[BW_GA]])-1)/(Backend!$B$4/100*Table1[[#This Row],[BW40_3705]]),"")</f>
        <v/>
      </c>
      <c r="I1504" s="7" t="str">
        <f>IF(Table1[[#This Row],[Is Data Valid]]=TRUE,((Table1[[#This Row],[Birthweight (grams)]]*1.1/Table1[[#This Row],[BW_GA]])-1)/(Backend!$B$4/100*Table1[[#This Row],[BW40_3705]]),"")</f>
        <v/>
      </c>
      <c r="J1504" s="7" t="str">
        <f>IF(Table1[[#This Row],[Is Data Valid]]=TRUE,_xlfn.NORM.S.DIST(Table1[[#This Row],[Birthweight Z-Score]],TRUE)*100,"")</f>
        <v/>
      </c>
      <c r="K1504" s="7" t="str">
        <f>IF(Table1[[#This Row],[Is Data Valid]]=TRUE,_xlfn.NORM.S.DIST(Table1[[#This Row],[Birthweight Z-Score (BW-10%)]],TRUE)*100,"")</f>
        <v/>
      </c>
      <c r="L1504" s="7" t="str">
        <f>IF(Table1[[#This Row],[Is Data Valid]]=TRUE,_xlfn.NORM.S.DIST(Table1[[#This Row],[Birthweight Z-Score (BW+10%)]],TRUE)*100,"")</f>
        <v/>
      </c>
    </row>
    <row r="1505" spans="1:12" x14ac:dyDescent="0.35">
      <c r="A1505" s="3"/>
      <c r="B1505" s="2"/>
      <c r="C1505" s="2"/>
      <c r="D1505" s="2" t="b">
        <f>IF(AND(NOT(ISBLANK(Table1[[#This Row],[Fetal Sex (Male, Female or Unknown)]])),ISNUMBER(Table1[[#This Row],[Birthweight (grams)]]),ISNUMBER(Table1[[#This Row],[Gestation (days)]])),TRUE,FALSE)</f>
        <v>0</v>
      </c>
      <c r="E1505" s="2" t="str">
        <f>IF(Table1[[#This Row],[Is Data Valid]]=TRUE,IF(Table1[[#This Row],[Fetal Sex (Male, Female or Unknown)]]="Male",Backend!$C$6,IF(Table1[[#This Row],[Fetal Sex (Male, Female or Unknown)]]="Female",Backend!$C$7,IF(Table1[[#This Row],[Fetal Sex (Male, Female or Unknown)]]="Unknown",Backend!$C$8,"Error"))),"")</f>
        <v/>
      </c>
      <c r="F1505" s="8" t="str">
        <f>IF(Table1[[#This Row],[Is Data Valid]]=TRUE,EXP(0.578+0.332*((Table1[[#This Row],[Gestation (days)]]+0.5)/7)-0.00354*((Table1[[#This Row],[Gestation (days)]]+0.5)/7)^2)*Table1[[#This Row],[BW40_3705]],"")</f>
        <v/>
      </c>
      <c r="G1505" s="2" t="str">
        <f>IF(Table1[[#This Row],[Is Data Valid]]=TRUE,((Table1[[#This Row],[Birthweight (grams)]]/Table1[[#This Row],[BW_GA]])-1)/(Backend!$B$4/100*Table1[[#This Row],[BW40_3705]]),"")</f>
        <v/>
      </c>
      <c r="H1505" s="7" t="str">
        <f>IF(Table1[[#This Row],[Is Data Valid]]=TRUE,((Table1[[#This Row],[Birthweight (grams)]]*0.9/Table1[[#This Row],[BW_GA]])-1)/(Backend!$B$4/100*Table1[[#This Row],[BW40_3705]]),"")</f>
        <v/>
      </c>
      <c r="I1505" s="7" t="str">
        <f>IF(Table1[[#This Row],[Is Data Valid]]=TRUE,((Table1[[#This Row],[Birthweight (grams)]]*1.1/Table1[[#This Row],[BW_GA]])-1)/(Backend!$B$4/100*Table1[[#This Row],[BW40_3705]]),"")</f>
        <v/>
      </c>
      <c r="J1505" s="7" t="str">
        <f>IF(Table1[[#This Row],[Is Data Valid]]=TRUE,_xlfn.NORM.S.DIST(Table1[[#This Row],[Birthweight Z-Score]],TRUE)*100,"")</f>
        <v/>
      </c>
      <c r="K1505" s="7" t="str">
        <f>IF(Table1[[#This Row],[Is Data Valid]]=TRUE,_xlfn.NORM.S.DIST(Table1[[#This Row],[Birthweight Z-Score (BW-10%)]],TRUE)*100,"")</f>
        <v/>
      </c>
      <c r="L1505" s="7" t="str">
        <f>IF(Table1[[#This Row],[Is Data Valid]]=TRUE,_xlfn.NORM.S.DIST(Table1[[#This Row],[Birthweight Z-Score (BW+10%)]],TRUE)*100,"")</f>
        <v/>
      </c>
    </row>
    <row r="1506" spans="1:12" x14ac:dyDescent="0.35">
      <c r="A1506" s="3"/>
      <c r="B1506" s="2"/>
      <c r="C1506" s="2"/>
      <c r="D1506" s="2" t="b">
        <f>IF(AND(NOT(ISBLANK(Table1[[#This Row],[Fetal Sex (Male, Female or Unknown)]])),ISNUMBER(Table1[[#This Row],[Birthweight (grams)]]),ISNUMBER(Table1[[#This Row],[Gestation (days)]])),TRUE,FALSE)</f>
        <v>0</v>
      </c>
      <c r="E1506" s="2" t="str">
        <f>IF(Table1[[#This Row],[Is Data Valid]]=TRUE,IF(Table1[[#This Row],[Fetal Sex (Male, Female or Unknown)]]="Male",Backend!$C$6,IF(Table1[[#This Row],[Fetal Sex (Male, Female or Unknown)]]="Female",Backend!$C$7,IF(Table1[[#This Row],[Fetal Sex (Male, Female or Unknown)]]="Unknown",Backend!$C$8,"Error"))),"")</f>
        <v/>
      </c>
      <c r="F1506" s="8" t="str">
        <f>IF(Table1[[#This Row],[Is Data Valid]]=TRUE,EXP(0.578+0.332*((Table1[[#This Row],[Gestation (days)]]+0.5)/7)-0.00354*((Table1[[#This Row],[Gestation (days)]]+0.5)/7)^2)*Table1[[#This Row],[BW40_3705]],"")</f>
        <v/>
      </c>
      <c r="G1506" s="2" t="str">
        <f>IF(Table1[[#This Row],[Is Data Valid]]=TRUE,((Table1[[#This Row],[Birthweight (grams)]]/Table1[[#This Row],[BW_GA]])-1)/(Backend!$B$4/100*Table1[[#This Row],[BW40_3705]]),"")</f>
        <v/>
      </c>
      <c r="H1506" s="7" t="str">
        <f>IF(Table1[[#This Row],[Is Data Valid]]=TRUE,((Table1[[#This Row],[Birthweight (grams)]]*0.9/Table1[[#This Row],[BW_GA]])-1)/(Backend!$B$4/100*Table1[[#This Row],[BW40_3705]]),"")</f>
        <v/>
      </c>
      <c r="I1506" s="7" t="str">
        <f>IF(Table1[[#This Row],[Is Data Valid]]=TRUE,((Table1[[#This Row],[Birthweight (grams)]]*1.1/Table1[[#This Row],[BW_GA]])-1)/(Backend!$B$4/100*Table1[[#This Row],[BW40_3705]]),"")</f>
        <v/>
      </c>
      <c r="J1506" s="7" t="str">
        <f>IF(Table1[[#This Row],[Is Data Valid]]=TRUE,_xlfn.NORM.S.DIST(Table1[[#This Row],[Birthweight Z-Score]],TRUE)*100,"")</f>
        <v/>
      </c>
      <c r="K1506" s="7" t="str">
        <f>IF(Table1[[#This Row],[Is Data Valid]]=TRUE,_xlfn.NORM.S.DIST(Table1[[#This Row],[Birthweight Z-Score (BW-10%)]],TRUE)*100,"")</f>
        <v/>
      </c>
      <c r="L1506" s="7" t="str">
        <f>IF(Table1[[#This Row],[Is Data Valid]]=TRUE,_xlfn.NORM.S.DIST(Table1[[#This Row],[Birthweight Z-Score (BW+10%)]],TRUE)*100,"")</f>
        <v/>
      </c>
    </row>
    <row r="1507" spans="1:12" x14ac:dyDescent="0.35">
      <c r="A1507" s="3"/>
      <c r="B1507" s="2"/>
      <c r="C1507" s="2"/>
      <c r="D1507" s="2" t="b">
        <f>IF(AND(NOT(ISBLANK(Table1[[#This Row],[Fetal Sex (Male, Female or Unknown)]])),ISNUMBER(Table1[[#This Row],[Birthweight (grams)]]),ISNUMBER(Table1[[#This Row],[Gestation (days)]])),TRUE,FALSE)</f>
        <v>0</v>
      </c>
      <c r="E1507" s="2" t="str">
        <f>IF(Table1[[#This Row],[Is Data Valid]]=TRUE,IF(Table1[[#This Row],[Fetal Sex (Male, Female or Unknown)]]="Male",Backend!$C$6,IF(Table1[[#This Row],[Fetal Sex (Male, Female or Unknown)]]="Female",Backend!$C$7,IF(Table1[[#This Row],[Fetal Sex (Male, Female or Unknown)]]="Unknown",Backend!$C$8,"Error"))),"")</f>
        <v/>
      </c>
      <c r="F1507" s="8" t="str">
        <f>IF(Table1[[#This Row],[Is Data Valid]]=TRUE,EXP(0.578+0.332*((Table1[[#This Row],[Gestation (days)]]+0.5)/7)-0.00354*((Table1[[#This Row],[Gestation (days)]]+0.5)/7)^2)*Table1[[#This Row],[BW40_3705]],"")</f>
        <v/>
      </c>
      <c r="G1507" s="2" t="str">
        <f>IF(Table1[[#This Row],[Is Data Valid]]=TRUE,((Table1[[#This Row],[Birthweight (grams)]]/Table1[[#This Row],[BW_GA]])-1)/(Backend!$B$4/100*Table1[[#This Row],[BW40_3705]]),"")</f>
        <v/>
      </c>
      <c r="H1507" s="7" t="str">
        <f>IF(Table1[[#This Row],[Is Data Valid]]=TRUE,((Table1[[#This Row],[Birthweight (grams)]]*0.9/Table1[[#This Row],[BW_GA]])-1)/(Backend!$B$4/100*Table1[[#This Row],[BW40_3705]]),"")</f>
        <v/>
      </c>
      <c r="I1507" s="7" t="str">
        <f>IF(Table1[[#This Row],[Is Data Valid]]=TRUE,((Table1[[#This Row],[Birthweight (grams)]]*1.1/Table1[[#This Row],[BW_GA]])-1)/(Backend!$B$4/100*Table1[[#This Row],[BW40_3705]]),"")</f>
        <v/>
      </c>
      <c r="J1507" s="7" t="str">
        <f>IF(Table1[[#This Row],[Is Data Valid]]=TRUE,_xlfn.NORM.S.DIST(Table1[[#This Row],[Birthweight Z-Score]],TRUE)*100,"")</f>
        <v/>
      </c>
      <c r="K1507" s="7" t="str">
        <f>IF(Table1[[#This Row],[Is Data Valid]]=TRUE,_xlfn.NORM.S.DIST(Table1[[#This Row],[Birthweight Z-Score (BW-10%)]],TRUE)*100,"")</f>
        <v/>
      </c>
      <c r="L1507" s="7" t="str">
        <f>IF(Table1[[#This Row],[Is Data Valid]]=TRUE,_xlfn.NORM.S.DIST(Table1[[#This Row],[Birthweight Z-Score (BW+10%)]],TRUE)*100,"")</f>
        <v/>
      </c>
    </row>
    <row r="1508" spans="1:12" x14ac:dyDescent="0.35">
      <c r="A1508" s="3"/>
      <c r="B1508" s="2"/>
      <c r="C1508" s="2"/>
      <c r="D1508" s="2" t="b">
        <f>IF(AND(NOT(ISBLANK(Table1[[#This Row],[Fetal Sex (Male, Female or Unknown)]])),ISNUMBER(Table1[[#This Row],[Birthweight (grams)]]),ISNUMBER(Table1[[#This Row],[Gestation (days)]])),TRUE,FALSE)</f>
        <v>0</v>
      </c>
      <c r="E1508" s="2" t="str">
        <f>IF(Table1[[#This Row],[Is Data Valid]]=TRUE,IF(Table1[[#This Row],[Fetal Sex (Male, Female or Unknown)]]="Male",Backend!$C$6,IF(Table1[[#This Row],[Fetal Sex (Male, Female or Unknown)]]="Female",Backend!$C$7,IF(Table1[[#This Row],[Fetal Sex (Male, Female or Unknown)]]="Unknown",Backend!$C$8,"Error"))),"")</f>
        <v/>
      </c>
      <c r="F1508" s="8" t="str">
        <f>IF(Table1[[#This Row],[Is Data Valid]]=TRUE,EXP(0.578+0.332*((Table1[[#This Row],[Gestation (days)]]+0.5)/7)-0.00354*((Table1[[#This Row],[Gestation (days)]]+0.5)/7)^2)*Table1[[#This Row],[BW40_3705]],"")</f>
        <v/>
      </c>
      <c r="G1508" s="2" t="str">
        <f>IF(Table1[[#This Row],[Is Data Valid]]=TRUE,((Table1[[#This Row],[Birthweight (grams)]]/Table1[[#This Row],[BW_GA]])-1)/(Backend!$B$4/100*Table1[[#This Row],[BW40_3705]]),"")</f>
        <v/>
      </c>
      <c r="H1508" s="7" t="str">
        <f>IF(Table1[[#This Row],[Is Data Valid]]=TRUE,((Table1[[#This Row],[Birthweight (grams)]]*0.9/Table1[[#This Row],[BW_GA]])-1)/(Backend!$B$4/100*Table1[[#This Row],[BW40_3705]]),"")</f>
        <v/>
      </c>
      <c r="I1508" s="7" t="str">
        <f>IF(Table1[[#This Row],[Is Data Valid]]=TRUE,((Table1[[#This Row],[Birthweight (grams)]]*1.1/Table1[[#This Row],[BW_GA]])-1)/(Backend!$B$4/100*Table1[[#This Row],[BW40_3705]]),"")</f>
        <v/>
      </c>
      <c r="J1508" s="7" t="str">
        <f>IF(Table1[[#This Row],[Is Data Valid]]=TRUE,_xlfn.NORM.S.DIST(Table1[[#This Row],[Birthweight Z-Score]],TRUE)*100,"")</f>
        <v/>
      </c>
      <c r="K1508" s="7" t="str">
        <f>IF(Table1[[#This Row],[Is Data Valid]]=TRUE,_xlfn.NORM.S.DIST(Table1[[#This Row],[Birthweight Z-Score (BW-10%)]],TRUE)*100,"")</f>
        <v/>
      </c>
      <c r="L1508" s="7" t="str">
        <f>IF(Table1[[#This Row],[Is Data Valid]]=TRUE,_xlfn.NORM.S.DIST(Table1[[#This Row],[Birthweight Z-Score (BW+10%)]],TRUE)*100,"")</f>
        <v/>
      </c>
    </row>
    <row r="1509" spans="1:12" x14ac:dyDescent="0.35">
      <c r="A1509" s="3"/>
      <c r="B1509" s="2"/>
      <c r="C1509" s="2"/>
      <c r="D1509" s="2" t="b">
        <f>IF(AND(NOT(ISBLANK(Table1[[#This Row],[Fetal Sex (Male, Female or Unknown)]])),ISNUMBER(Table1[[#This Row],[Birthweight (grams)]]),ISNUMBER(Table1[[#This Row],[Gestation (days)]])),TRUE,FALSE)</f>
        <v>0</v>
      </c>
      <c r="E1509" s="2" t="str">
        <f>IF(Table1[[#This Row],[Is Data Valid]]=TRUE,IF(Table1[[#This Row],[Fetal Sex (Male, Female or Unknown)]]="Male",Backend!$C$6,IF(Table1[[#This Row],[Fetal Sex (Male, Female or Unknown)]]="Female",Backend!$C$7,IF(Table1[[#This Row],[Fetal Sex (Male, Female or Unknown)]]="Unknown",Backend!$C$8,"Error"))),"")</f>
        <v/>
      </c>
      <c r="F1509" s="8" t="str">
        <f>IF(Table1[[#This Row],[Is Data Valid]]=TRUE,EXP(0.578+0.332*((Table1[[#This Row],[Gestation (days)]]+0.5)/7)-0.00354*((Table1[[#This Row],[Gestation (days)]]+0.5)/7)^2)*Table1[[#This Row],[BW40_3705]],"")</f>
        <v/>
      </c>
      <c r="G1509" s="2" t="str">
        <f>IF(Table1[[#This Row],[Is Data Valid]]=TRUE,((Table1[[#This Row],[Birthweight (grams)]]/Table1[[#This Row],[BW_GA]])-1)/(Backend!$B$4/100*Table1[[#This Row],[BW40_3705]]),"")</f>
        <v/>
      </c>
      <c r="H1509" s="7" t="str">
        <f>IF(Table1[[#This Row],[Is Data Valid]]=TRUE,((Table1[[#This Row],[Birthweight (grams)]]*0.9/Table1[[#This Row],[BW_GA]])-1)/(Backend!$B$4/100*Table1[[#This Row],[BW40_3705]]),"")</f>
        <v/>
      </c>
      <c r="I1509" s="7" t="str">
        <f>IF(Table1[[#This Row],[Is Data Valid]]=TRUE,((Table1[[#This Row],[Birthweight (grams)]]*1.1/Table1[[#This Row],[BW_GA]])-1)/(Backend!$B$4/100*Table1[[#This Row],[BW40_3705]]),"")</f>
        <v/>
      </c>
      <c r="J1509" s="7" t="str">
        <f>IF(Table1[[#This Row],[Is Data Valid]]=TRUE,_xlfn.NORM.S.DIST(Table1[[#This Row],[Birthweight Z-Score]],TRUE)*100,"")</f>
        <v/>
      </c>
      <c r="K1509" s="7" t="str">
        <f>IF(Table1[[#This Row],[Is Data Valid]]=TRUE,_xlfn.NORM.S.DIST(Table1[[#This Row],[Birthweight Z-Score (BW-10%)]],TRUE)*100,"")</f>
        <v/>
      </c>
      <c r="L1509" s="7" t="str">
        <f>IF(Table1[[#This Row],[Is Data Valid]]=TRUE,_xlfn.NORM.S.DIST(Table1[[#This Row],[Birthweight Z-Score (BW+10%)]],TRUE)*100,"")</f>
        <v/>
      </c>
    </row>
    <row r="1510" spans="1:12" x14ac:dyDescent="0.35">
      <c r="A1510" s="3"/>
      <c r="B1510" s="2"/>
      <c r="C1510" s="2"/>
      <c r="D1510" s="2" t="b">
        <f>IF(AND(NOT(ISBLANK(Table1[[#This Row],[Fetal Sex (Male, Female or Unknown)]])),ISNUMBER(Table1[[#This Row],[Birthweight (grams)]]),ISNUMBER(Table1[[#This Row],[Gestation (days)]])),TRUE,FALSE)</f>
        <v>0</v>
      </c>
      <c r="E1510" s="2" t="str">
        <f>IF(Table1[[#This Row],[Is Data Valid]]=TRUE,IF(Table1[[#This Row],[Fetal Sex (Male, Female or Unknown)]]="Male",Backend!$C$6,IF(Table1[[#This Row],[Fetal Sex (Male, Female or Unknown)]]="Female",Backend!$C$7,IF(Table1[[#This Row],[Fetal Sex (Male, Female or Unknown)]]="Unknown",Backend!$C$8,"Error"))),"")</f>
        <v/>
      </c>
      <c r="F1510" s="8" t="str">
        <f>IF(Table1[[#This Row],[Is Data Valid]]=TRUE,EXP(0.578+0.332*((Table1[[#This Row],[Gestation (days)]]+0.5)/7)-0.00354*((Table1[[#This Row],[Gestation (days)]]+0.5)/7)^2)*Table1[[#This Row],[BW40_3705]],"")</f>
        <v/>
      </c>
      <c r="G1510" s="2" t="str">
        <f>IF(Table1[[#This Row],[Is Data Valid]]=TRUE,((Table1[[#This Row],[Birthweight (grams)]]/Table1[[#This Row],[BW_GA]])-1)/(Backend!$B$4/100*Table1[[#This Row],[BW40_3705]]),"")</f>
        <v/>
      </c>
      <c r="H1510" s="7" t="str">
        <f>IF(Table1[[#This Row],[Is Data Valid]]=TRUE,((Table1[[#This Row],[Birthweight (grams)]]*0.9/Table1[[#This Row],[BW_GA]])-1)/(Backend!$B$4/100*Table1[[#This Row],[BW40_3705]]),"")</f>
        <v/>
      </c>
      <c r="I1510" s="7" t="str">
        <f>IF(Table1[[#This Row],[Is Data Valid]]=TRUE,((Table1[[#This Row],[Birthweight (grams)]]*1.1/Table1[[#This Row],[BW_GA]])-1)/(Backend!$B$4/100*Table1[[#This Row],[BW40_3705]]),"")</f>
        <v/>
      </c>
      <c r="J1510" s="7" t="str">
        <f>IF(Table1[[#This Row],[Is Data Valid]]=TRUE,_xlfn.NORM.S.DIST(Table1[[#This Row],[Birthweight Z-Score]],TRUE)*100,"")</f>
        <v/>
      </c>
      <c r="K1510" s="7" t="str">
        <f>IF(Table1[[#This Row],[Is Data Valid]]=TRUE,_xlfn.NORM.S.DIST(Table1[[#This Row],[Birthweight Z-Score (BW-10%)]],TRUE)*100,"")</f>
        <v/>
      </c>
      <c r="L1510" s="7" t="str">
        <f>IF(Table1[[#This Row],[Is Data Valid]]=TRUE,_xlfn.NORM.S.DIST(Table1[[#This Row],[Birthweight Z-Score (BW+10%)]],TRUE)*100,"")</f>
        <v/>
      </c>
    </row>
    <row r="1511" spans="1:12" x14ac:dyDescent="0.35">
      <c r="A1511" s="3"/>
      <c r="B1511" s="2"/>
      <c r="C1511" s="2"/>
      <c r="D1511" s="2" t="b">
        <f>IF(AND(NOT(ISBLANK(Table1[[#This Row],[Fetal Sex (Male, Female or Unknown)]])),ISNUMBER(Table1[[#This Row],[Birthweight (grams)]]),ISNUMBER(Table1[[#This Row],[Gestation (days)]])),TRUE,FALSE)</f>
        <v>0</v>
      </c>
      <c r="E1511" s="2" t="str">
        <f>IF(Table1[[#This Row],[Is Data Valid]]=TRUE,IF(Table1[[#This Row],[Fetal Sex (Male, Female or Unknown)]]="Male",Backend!$C$6,IF(Table1[[#This Row],[Fetal Sex (Male, Female or Unknown)]]="Female",Backend!$C$7,IF(Table1[[#This Row],[Fetal Sex (Male, Female or Unknown)]]="Unknown",Backend!$C$8,"Error"))),"")</f>
        <v/>
      </c>
      <c r="F1511" s="8" t="str">
        <f>IF(Table1[[#This Row],[Is Data Valid]]=TRUE,EXP(0.578+0.332*((Table1[[#This Row],[Gestation (days)]]+0.5)/7)-0.00354*((Table1[[#This Row],[Gestation (days)]]+0.5)/7)^2)*Table1[[#This Row],[BW40_3705]],"")</f>
        <v/>
      </c>
      <c r="G1511" s="2" t="str">
        <f>IF(Table1[[#This Row],[Is Data Valid]]=TRUE,((Table1[[#This Row],[Birthweight (grams)]]/Table1[[#This Row],[BW_GA]])-1)/(Backend!$B$4/100*Table1[[#This Row],[BW40_3705]]),"")</f>
        <v/>
      </c>
      <c r="H1511" s="7" t="str">
        <f>IF(Table1[[#This Row],[Is Data Valid]]=TRUE,((Table1[[#This Row],[Birthweight (grams)]]*0.9/Table1[[#This Row],[BW_GA]])-1)/(Backend!$B$4/100*Table1[[#This Row],[BW40_3705]]),"")</f>
        <v/>
      </c>
      <c r="I1511" s="7" t="str">
        <f>IF(Table1[[#This Row],[Is Data Valid]]=TRUE,((Table1[[#This Row],[Birthweight (grams)]]*1.1/Table1[[#This Row],[BW_GA]])-1)/(Backend!$B$4/100*Table1[[#This Row],[BW40_3705]]),"")</f>
        <v/>
      </c>
      <c r="J1511" s="7" t="str">
        <f>IF(Table1[[#This Row],[Is Data Valid]]=TRUE,_xlfn.NORM.S.DIST(Table1[[#This Row],[Birthweight Z-Score]],TRUE)*100,"")</f>
        <v/>
      </c>
      <c r="K1511" s="7" t="str">
        <f>IF(Table1[[#This Row],[Is Data Valid]]=TRUE,_xlfn.NORM.S.DIST(Table1[[#This Row],[Birthweight Z-Score (BW-10%)]],TRUE)*100,"")</f>
        <v/>
      </c>
      <c r="L1511" s="7" t="str">
        <f>IF(Table1[[#This Row],[Is Data Valid]]=TRUE,_xlfn.NORM.S.DIST(Table1[[#This Row],[Birthweight Z-Score (BW+10%)]],TRUE)*100,"")</f>
        <v/>
      </c>
    </row>
    <row r="1512" spans="1:12" x14ac:dyDescent="0.35">
      <c r="A1512" s="3"/>
      <c r="B1512" s="2"/>
      <c r="C1512" s="2"/>
      <c r="D1512" s="2" t="b">
        <f>IF(AND(NOT(ISBLANK(Table1[[#This Row],[Fetal Sex (Male, Female or Unknown)]])),ISNUMBER(Table1[[#This Row],[Birthweight (grams)]]),ISNUMBER(Table1[[#This Row],[Gestation (days)]])),TRUE,FALSE)</f>
        <v>0</v>
      </c>
      <c r="E1512" s="2" t="str">
        <f>IF(Table1[[#This Row],[Is Data Valid]]=TRUE,IF(Table1[[#This Row],[Fetal Sex (Male, Female or Unknown)]]="Male",Backend!$C$6,IF(Table1[[#This Row],[Fetal Sex (Male, Female or Unknown)]]="Female",Backend!$C$7,IF(Table1[[#This Row],[Fetal Sex (Male, Female or Unknown)]]="Unknown",Backend!$C$8,"Error"))),"")</f>
        <v/>
      </c>
      <c r="F1512" s="8" t="str">
        <f>IF(Table1[[#This Row],[Is Data Valid]]=TRUE,EXP(0.578+0.332*((Table1[[#This Row],[Gestation (days)]]+0.5)/7)-0.00354*((Table1[[#This Row],[Gestation (days)]]+0.5)/7)^2)*Table1[[#This Row],[BW40_3705]],"")</f>
        <v/>
      </c>
      <c r="G1512" s="2" t="str">
        <f>IF(Table1[[#This Row],[Is Data Valid]]=TRUE,((Table1[[#This Row],[Birthweight (grams)]]/Table1[[#This Row],[BW_GA]])-1)/(Backend!$B$4/100*Table1[[#This Row],[BW40_3705]]),"")</f>
        <v/>
      </c>
      <c r="H1512" s="7" t="str">
        <f>IF(Table1[[#This Row],[Is Data Valid]]=TRUE,((Table1[[#This Row],[Birthweight (grams)]]*0.9/Table1[[#This Row],[BW_GA]])-1)/(Backend!$B$4/100*Table1[[#This Row],[BW40_3705]]),"")</f>
        <v/>
      </c>
      <c r="I1512" s="7" t="str">
        <f>IF(Table1[[#This Row],[Is Data Valid]]=TRUE,((Table1[[#This Row],[Birthweight (grams)]]*1.1/Table1[[#This Row],[BW_GA]])-1)/(Backend!$B$4/100*Table1[[#This Row],[BW40_3705]]),"")</f>
        <v/>
      </c>
      <c r="J1512" s="7" t="str">
        <f>IF(Table1[[#This Row],[Is Data Valid]]=TRUE,_xlfn.NORM.S.DIST(Table1[[#This Row],[Birthweight Z-Score]],TRUE)*100,"")</f>
        <v/>
      </c>
      <c r="K1512" s="7" t="str">
        <f>IF(Table1[[#This Row],[Is Data Valid]]=TRUE,_xlfn.NORM.S.DIST(Table1[[#This Row],[Birthweight Z-Score (BW-10%)]],TRUE)*100,"")</f>
        <v/>
      </c>
      <c r="L1512" s="7" t="str">
        <f>IF(Table1[[#This Row],[Is Data Valid]]=TRUE,_xlfn.NORM.S.DIST(Table1[[#This Row],[Birthweight Z-Score (BW+10%)]],TRUE)*100,"")</f>
        <v/>
      </c>
    </row>
    <row r="1513" spans="1:12" x14ac:dyDescent="0.35">
      <c r="A1513" s="3"/>
      <c r="B1513" s="2"/>
      <c r="C1513" s="2"/>
      <c r="D1513" s="2" t="b">
        <f>IF(AND(NOT(ISBLANK(Table1[[#This Row],[Fetal Sex (Male, Female or Unknown)]])),ISNUMBER(Table1[[#This Row],[Birthweight (grams)]]),ISNUMBER(Table1[[#This Row],[Gestation (days)]])),TRUE,FALSE)</f>
        <v>0</v>
      </c>
      <c r="E1513" s="2" t="str">
        <f>IF(Table1[[#This Row],[Is Data Valid]]=TRUE,IF(Table1[[#This Row],[Fetal Sex (Male, Female or Unknown)]]="Male",Backend!$C$6,IF(Table1[[#This Row],[Fetal Sex (Male, Female or Unknown)]]="Female",Backend!$C$7,IF(Table1[[#This Row],[Fetal Sex (Male, Female or Unknown)]]="Unknown",Backend!$C$8,"Error"))),"")</f>
        <v/>
      </c>
      <c r="F1513" s="8" t="str">
        <f>IF(Table1[[#This Row],[Is Data Valid]]=TRUE,EXP(0.578+0.332*((Table1[[#This Row],[Gestation (days)]]+0.5)/7)-0.00354*((Table1[[#This Row],[Gestation (days)]]+0.5)/7)^2)*Table1[[#This Row],[BW40_3705]],"")</f>
        <v/>
      </c>
      <c r="G1513" s="2" t="str">
        <f>IF(Table1[[#This Row],[Is Data Valid]]=TRUE,((Table1[[#This Row],[Birthweight (grams)]]/Table1[[#This Row],[BW_GA]])-1)/(Backend!$B$4/100*Table1[[#This Row],[BW40_3705]]),"")</f>
        <v/>
      </c>
      <c r="H1513" s="7" t="str">
        <f>IF(Table1[[#This Row],[Is Data Valid]]=TRUE,((Table1[[#This Row],[Birthweight (grams)]]*0.9/Table1[[#This Row],[BW_GA]])-1)/(Backend!$B$4/100*Table1[[#This Row],[BW40_3705]]),"")</f>
        <v/>
      </c>
      <c r="I1513" s="7" t="str">
        <f>IF(Table1[[#This Row],[Is Data Valid]]=TRUE,((Table1[[#This Row],[Birthweight (grams)]]*1.1/Table1[[#This Row],[BW_GA]])-1)/(Backend!$B$4/100*Table1[[#This Row],[BW40_3705]]),"")</f>
        <v/>
      </c>
      <c r="J1513" s="7" t="str">
        <f>IF(Table1[[#This Row],[Is Data Valid]]=TRUE,_xlfn.NORM.S.DIST(Table1[[#This Row],[Birthweight Z-Score]],TRUE)*100,"")</f>
        <v/>
      </c>
      <c r="K1513" s="7" t="str">
        <f>IF(Table1[[#This Row],[Is Data Valid]]=TRUE,_xlfn.NORM.S.DIST(Table1[[#This Row],[Birthweight Z-Score (BW-10%)]],TRUE)*100,"")</f>
        <v/>
      </c>
      <c r="L1513" s="7" t="str">
        <f>IF(Table1[[#This Row],[Is Data Valid]]=TRUE,_xlfn.NORM.S.DIST(Table1[[#This Row],[Birthweight Z-Score (BW+10%)]],TRUE)*100,"")</f>
        <v/>
      </c>
    </row>
    <row r="1514" spans="1:12" x14ac:dyDescent="0.35">
      <c r="A1514" s="3"/>
      <c r="B1514" s="2"/>
      <c r="C1514" s="2"/>
      <c r="D1514" s="2" t="b">
        <f>IF(AND(NOT(ISBLANK(Table1[[#This Row],[Fetal Sex (Male, Female or Unknown)]])),ISNUMBER(Table1[[#This Row],[Birthweight (grams)]]),ISNUMBER(Table1[[#This Row],[Gestation (days)]])),TRUE,FALSE)</f>
        <v>0</v>
      </c>
      <c r="E1514" s="2" t="str">
        <f>IF(Table1[[#This Row],[Is Data Valid]]=TRUE,IF(Table1[[#This Row],[Fetal Sex (Male, Female or Unknown)]]="Male",Backend!$C$6,IF(Table1[[#This Row],[Fetal Sex (Male, Female or Unknown)]]="Female",Backend!$C$7,IF(Table1[[#This Row],[Fetal Sex (Male, Female or Unknown)]]="Unknown",Backend!$C$8,"Error"))),"")</f>
        <v/>
      </c>
      <c r="F1514" s="8" t="str">
        <f>IF(Table1[[#This Row],[Is Data Valid]]=TRUE,EXP(0.578+0.332*((Table1[[#This Row],[Gestation (days)]]+0.5)/7)-0.00354*((Table1[[#This Row],[Gestation (days)]]+0.5)/7)^2)*Table1[[#This Row],[BW40_3705]],"")</f>
        <v/>
      </c>
      <c r="G1514" s="2" t="str">
        <f>IF(Table1[[#This Row],[Is Data Valid]]=TRUE,((Table1[[#This Row],[Birthweight (grams)]]/Table1[[#This Row],[BW_GA]])-1)/(Backend!$B$4/100*Table1[[#This Row],[BW40_3705]]),"")</f>
        <v/>
      </c>
      <c r="H1514" s="7" t="str">
        <f>IF(Table1[[#This Row],[Is Data Valid]]=TRUE,((Table1[[#This Row],[Birthweight (grams)]]*0.9/Table1[[#This Row],[BW_GA]])-1)/(Backend!$B$4/100*Table1[[#This Row],[BW40_3705]]),"")</f>
        <v/>
      </c>
      <c r="I1514" s="7" t="str">
        <f>IF(Table1[[#This Row],[Is Data Valid]]=TRUE,((Table1[[#This Row],[Birthweight (grams)]]*1.1/Table1[[#This Row],[BW_GA]])-1)/(Backend!$B$4/100*Table1[[#This Row],[BW40_3705]]),"")</f>
        <v/>
      </c>
      <c r="J1514" s="7" t="str">
        <f>IF(Table1[[#This Row],[Is Data Valid]]=TRUE,_xlfn.NORM.S.DIST(Table1[[#This Row],[Birthweight Z-Score]],TRUE)*100,"")</f>
        <v/>
      </c>
      <c r="K1514" s="7" t="str">
        <f>IF(Table1[[#This Row],[Is Data Valid]]=TRUE,_xlfn.NORM.S.DIST(Table1[[#This Row],[Birthweight Z-Score (BW-10%)]],TRUE)*100,"")</f>
        <v/>
      </c>
      <c r="L1514" s="7" t="str">
        <f>IF(Table1[[#This Row],[Is Data Valid]]=TRUE,_xlfn.NORM.S.DIST(Table1[[#This Row],[Birthweight Z-Score (BW+10%)]],TRUE)*100,"")</f>
        <v/>
      </c>
    </row>
    <row r="1515" spans="1:12" x14ac:dyDescent="0.35">
      <c r="A1515" s="3"/>
      <c r="B1515" s="2"/>
      <c r="C1515" s="2"/>
      <c r="D1515" s="2" t="b">
        <f>IF(AND(NOT(ISBLANK(Table1[[#This Row],[Fetal Sex (Male, Female or Unknown)]])),ISNUMBER(Table1[[#This Row],[Birthweight (grams)]]),ISNUMBER(Table1[[#This Row],[Gestation (days)]])),TRUE,FALSE)</f>
        <v>0</v>
      </c>
      <c r="E1515" s="2" t="str">
        <f>IF(Table1[[#This Row],[Is Data Valid]]=TRUE,IF(Table1[[#This Row],[Fetal Sex (Male, Female or Unknown)]]="Male",Backend!$C$6,IF(Table1[[#This Row],[Fetal Sex (Male, Female or Unknown)]]="Female",Backend!$C$7,IF(Table1[[#This Row],[Fetal Sex (Male, Female or Unknown)]]="Unknown",Backend!$C$8,"Error"))),"")</f>
        <v/>
      </c>
      <c r="F1515" s="8" t="str">
        <f>IF(Table1[[#This Row],[Is Data Valid]]=TRUE,EXP(0.578+0.332*((Table1[[#This Row],[Gestation (days)]]+0.5)/7)-0.00354*((Table1[[#This Row],[Gestation (days)]]+0.5)/7)^2)*Table1[[#This Row],[BW40_3705]],"")</f>
        <v/>
      </c>
      <c r="G1515" s="2" t="str">
        <f>IF(Table1[[#This Row],[Is Data Valid]]=TRUE,((Table1[[#This Row],[Birthweight (grams)]]/Table1[[#This Row],[BW_GA]])-1)/(Backend!$B$4/100*Table1[[#This Row],[BW40_3705]]),"")</f>
        <v/>
      </c>
      <c r="H1515" s="7" t="str">
        <f>IF(Table1[[#This Row],[Is Data Valid]]=TRUE,((Table1[[#This Row],[Birthweight (grams)]]*0.9/Table1[[#This Row],[BW_GA]])-1)/(Backend!$B$4/100*Table1[[#This Row],[BW40_3705]]),"")</f>
        <v/>
      </c>
      <c r="I1515" s="7" t="str">
        <f>IF(Table1[[#This Row],[Is Data Valid]]=TRUE,((Table1[[#This Row],[Birthweight (grams)]]*1.1/Table1[[#This Row],[BW_GA]])-1)/(Backend!$B$4/100*Table1[[#This Row],[BW40_3705]]),"")</f>
        <v/>
      </c>
      <c r="J1515" s="7" t="str">
        <f>IF(Table1[[#This Row],[Is Data Valid]]=TRUE,_xlfn.NORM.S.DIST(Table1[[#This Row],[Birthweight Z-Score]],TRUE)*100,"")</f>
        <v/>
      </c>
      <c r="K1515" s="7" t="str">
        <f>IF(Table1[[#This Row],[Is Data Valid]]=TRUE,_xlfn.NORM.S.DIST(Table1[[#This Row],[Birthweight Z-Score (BW-10%)]],TRUE)*100,"")</f>
        <v/>
      </c>
      <c r="L1515" s="7" t="str">
        <f>IF(Table1[[#This Row],[Is Data Valid]]=TRUE,_xlfn.NORM.S.DIST(Table1[[#This Row],[Birthweight Z-Score (BW+10%)]],TRUE)*100,"")</f>
        <v/>
      </c>
    </row>
    <row r="1516" spans="1:12" x14ac:dyDescent="0.35">
      <c r="A1516" s="3"/>
      <c r="B1516" s="2"/>
      <c r="C1516" s="2"/>
      <c r="D1516" s="2" t="b">
        <f>IF(AND(NOT(ISBLANK(Table1[[#This Row],[Fetal Sex (Male, Female or Unknown)]])),ISNUMBER(Table1[[#This Row],[Birthweight (grams)]]),ISNUMBER(Table1[[#This Row],[Gestation (days)]])),TRUE,FALSE)</f>
        <v>0</v>
      </c>
      <c r="E1516" s="2" t="str">
        <f>IF(Table1[[#This Row],[Is Data Valid]]=TRUE,IF(Table1[[#This Row],[Fetal Sex (Male, Female or Unknown)]]="Male",Backend!$C$6,IF(Table1[[#This Row],[Fetal Sex (Male, Female or Unknown)]]="Female",Backend!$C$7,IF(Table1[[#This Row],[Fetal Sex (Male, Female or Unknown)]]="Unknown",Backend!$C$8,"Error"))),"")</f>
        <v/>
      </c>
      <c r="F1516" s="8" t="str">
        <f>IF(Table1[[#This Row],[Is Data Valid]]=TRUE,EXP(0.578+0.332*((Table1[[#This Row],[Gestation (days)]]+0.5)/7)-0.00354*((Table1[[#This Row],[Gestation (days)]]+0.5)/7)^2)*Table1[[#This Row],[BW40_3705]],"")</f>
        <v/>
      </c>
      <c r="G1516" s="2" t="str">
        <f>IF(Table1[[#This Row],[Is Data Valid]]=TRUE,((Table1[[#This Row],[Birthweight (grams)]]/Table1[[#This Row],[BW_GA]])-1)/(Backend!$B$4/100*Table1[[#This Row],[BW40_3705]]),"")</f>
        <v/>
      </c>
      <c r="H1516" s="7" t="str">
        <f>IF(Table1[[#This Row],[Is Data Valid]]=TRUE,((Table1[[#This Row],[Birthweight (grams)]]*0.9/Table1[[#This Row],[BW_GA]])-1)/(Backend!$B$4/100*Table1[[#This Row],[BW40_3705]]),"")</f>
        <v/>
      </c>
      <c r="I1516" s="7" t="str">
        <f>IF(Table1[[#This Row],[Is Data Valid]]=TRUE,((Table1[[#This Row],[Birthweight (grams)]]*1.1/Table1[[#This Row],[BW_GA]])-1)/(Backend!$B$4/100*Table1[[#This Row],[BW40_3705]]),"")</f>
        <v/>
      </c>
      <c r="J1516" s="7" t="str">
        <f>IF(Table1[[#This Row],[Is Data Valid]]=TRUE,_xlfn.NORM.S.DIST(Table1[[#This Row],[Birthweight Z-Score]],TRUE)*100,"")</f>
        <v/>
      </c>
      <c r="K1516" s="7" t="str">
        <f>IF(Table1[[#This Row],[Is Data Valid]]=TRUE,_xlfn.NORM.S.DIST(Table1[[#This Row],[Birthweight Z-Score (BW-10%)]],TRUE)*100,"")</f>
        <v/>
      </c>
      <c r="L1516" s="7" t="str">
        <f>IF(Table1[[#This Row],[Is Data Valid]]=TRUE,_xlfn.NORM.S.DIST(Table1[[#This Row],[Birthweight Z-Score (BW+10%)]],TRUE)*100,"")</f>
        <v/>
      </c>
    </row>
    <row r="1517" spans="1:12" x14ac:dyDescent="0.35">
      <c r="A1517" s="3"/>
      <c r="B1517" s="2"/>
      <c r="C1517" s="2"/>
      <c r="D1517" s="2" t="b">
        <f>IF(AND(NOT(ISBLANK(Table1[[#This Row],[Fetal Sex (Male, Female or Unknown)]])),ISNUMBER(Table1[[#This Row],[Birthweight (grams)]]),ISNUMBER(Table1[[#This Row],[Gestation (days)]])),TRUE,FALSE)</f>
        <v>0</v>
      </c>
      <c r="E1517" s="2" t="str">
        <f>IF(Table1[[#This Row],[Is Data Valid]]=TRUE,IF(Table1[[#This Row],[Fetal Sex (Male, Female or Unknown)]]="Male",Backend!$C$6,IF(Table1[[#This Row],[Fetal Sex (Male, Female or Unknown)]]="Female",Backend!$C$7,IF(Table1[[#This Row],[Fetal Sex (Male, Female or Unknown)]]="Unknown",Backend!$C$8,"Error"))),"")</f>
        <v/>
      </c>
      <c r="F1517" s="8" t="str">
        <f>IF(Table1[[#This Row],[Is Data Valid]]=TRUE,EXP(0.578+0.332*((Table1[[#This Row],[Gestation (days)]]+0.5)/7)-0.00354*((Table1[[#This Row],[Gestation (days)]]+0.5)/7)^2)*Table1[[#This Row],[BW40_3705]],"")</f>
        <v/>
      </c>
      <c r="G1517" s="2" t="str">
        <f>IF(Table1[[#This Row],[Is Data Valid]]=TRUE,((Table1[[#This Row],[Birthweight (grams)]]/Table1[[#This Row],[BW_GA]])-1)/(Backend!$B$4/100*Table1[[#This Row],[BW40_3705]]),"")</f>
        <v/>
      </c>
      <c r="H1517" s="7" t="str">
        <f>IF(Table1[[#This Row],[Is Data Valid]]=TRUE,((Table1[[#This Row],[Birthweight (grams)]]*0.9/Table1[[#This Row],[BW_GA]])-1)/(Backend!$B$4/100*Table1[[#This Row],[BW40_3705]]),"")</f>
        <v/>
      </c>
      <c r="I1517" s="7" t="str">
        <f>IF(Table1[[#This Row],[Is Data Valid]]=TRUE,((Table1[[#This Row],[Birthweight (grams)]]*1.1/Table1[[#This Row],[BW_GA]])-1)/(Backend!$B$4/100*Table1[[#This Row],[BW40_3705]]),"")</f>
        <v/>
      </c>
      <c r="J1517" s="7" t="str">
        <f>IF(Table1[[#This Row],[Is Data Valid]]=TRUE,_xlfn.NORM.S.DIST(Table1[[#This Row],[Birthweight Z-Score]],TRUE)*100,"")</f>
        <v/>
      </c>
      <c r="K1517" s="7" t="str">
        <f>IF(Table1[[#This Row],[Is Data Valid]]=TRUE,_xlfn.NORM.S.DIST(Table1[[#This Row],[Birthweight Z-Score (BW-10%)]],TRUE)*100,"")</f>
        <v/>
      </c>
      <c r="L1517" s="7" t="str">
        <f>IF(Table1[[#This Row],[Is Data Valid]]=TRUE,_xlfn.NORM.S.DIST(Table1[[#This Row],[Birthweight Z-Score (BW+10%)]],TRUE)*100,"")</f>
        <v/>
      </c>
    </row>
    <row r="1518" spans="1:12" x14ac:dyDescent="0.35">
      <c r="A1518" s="3"/>
      <c r="B1518" s="2"/>
      <c r="C1518" s="2"/>
      <c r="D1518" s="2" t="b">
        <f>IF(AND(NOT(ISBLANK(Table1[[#This Row],[Fetal Sex (Male, Female or Unknown)]])),ISNUMBER(Table1[[#This Row],[Birthweight (grams)]]),ISNUMBER(Table1[[#This Row],[Gestation (days)]])),TRUE,FALSE)</f>
        <v>0</v>
      </c>
      <c r="E1518" s="2" t="str">
        <f>IF(Table1[[#This Row],[Is Data Valid]]=TRUE,IF(Table1[[#This Row],[Fetal Sex (Male, Female or Unknown)]]="Male",Backend!$C$6,IF(Table1[[#This Row],[Fetal Sex (Male, Female or Unknown)]]="Female",Backend!$C$7,IF(Table1[[#This Row],[Fetal Sex (Male, Female or Unknown)]]="Unknown",Backend!$C$8,"Error"))),"")</f>
        <v/>
      </c>
      <c r="F1518" s="8" t="str">
        <f>IF(Table1[[#This Row],[Is Data Valid]]=TRUE,EXP(0.578+0.332*((Table1[[#This Row],[Gestation (days)]]+0.5)/7)-0.00354*((Table1[[#This Row],[Gestation (days)]]+0.5)/7)^2)*Table1[[#This Row],[BW40_3705]],"")</f>
        <v/>
      </c>
      <c r="G1518" s="2" t="str">
        <f>IF(Table1[[#This Row],[Is Data Valid]]=TRUE,((Table1[[#This Row],[Birthweight (grams)]]/Table1[[#This Row],[BW_GA]])-1)/(Backend!$B$4/100*Table1[[#This Row],[BW40_3705]]),"")</f>
        <v/>
      </c>
      <c r="H1518" s="7" t="str">
        <f>IF(Table1[[#This Row],[Is Data Valid]]=TRUE,((Table1[[#This Row],[Birthweight (grams)]]*0.9/Table1[[#This Row],[BW_GA]])-1)/(Backend!$B$4/100*Table1[[#This Row],[BW40_3705]]),"")</f>
        <v/>
      </c>
      <c r="I1518" s="7" t="str">
        <f>IF(Table1[[#This Row],[Is Data Valid]]=TRUE,((Table1[[#This Row],[Birthweight (grams)]]*1.1/Table1[[#This Row],[BW_GA]])-1)/(Backend!$B$4/100*Table1[[#This Row],[BW40_3705]]),"")</f>
        <v/>
      </c>
      <c r="J1518" s="7" t="str">
        <f>IF(Table1[[#This Row],[Is Data Valid]]=TRUE,_xlfn.NORM.S.DIST(Table1[[#This Row],[Birthweight Z-Score]],TRUE)*100,"")</f>
        <v/>
      </c>
      <c r="K1518" s="7" t="str">
        <f>IF(Table1[[#This Row],[Is Data Valid]]=TRUE,_xlfn.NORM.S.DIST(Table1[[#This Row],[Birthweight Z-Score (BW-10%)]],TRUE)*100,"")</f>
        <v/>
      </c>
      <c r="L1518" s="7" t="str">
        <f>IF(Table1[[#This Row],[Is Data Valid]]=TRUE,_xlfn.NORM.S.DIST(Table1[[#This Row],[Birthweight Z-Score (BW+10%)]],TRUE)*100,"")</f>
        <v/>
      </c>
    </row>
    <row r="1519" spans="1:12" x14ac:dyDescent="0.35">
      <c r="A1519" s="3"/>
      <c r="B1519" s="2"/>
      <c r="C1519" s="2"/>
      <c r="D1519" s="2" t="b">
        <f>IF(AND(NOT(ISBLANK(Table1[[#This Row],[Fetal Sex (Male, Female or Unknown)]])),ISNUMBER(Table1[[#This Row],[Birthweight (grams)]]),ISNUMBER(Table1[[#This Row],[Gestation (days)]])),TRUE,FALSE)</f>
        <v>0</v>
      </c>
      <c r="E1519" s="2" t="str">
        <f>IF(Table1[[#This Row],[Is Data Valid]]=TRUE,IF(Table1[[#This Row],[Fetal Sex (Male, Female or Unknown)]]="Male",Backend!$C$6,IF(Table1[[#This Row],[Fetal Sex (Male, Female or Unknown)]]="Female",Backend!$C$7,IF(Table1[[#This Row],[Fetal Sex (Male, Female or Unknown)]]="Unknown",Backend!$C$8,"Error"))),"")</f>
        <v/>
      </c>
      <c r="F1519" s="8" t="str">
        <f>IF(Table1[[#This Row],[Is Data Valid]]=TRUE,EXP(0.578+0.332*((Table1[[#This Row],[Gestation (days)]]+0.5)/7)-0.00354*((Table1[[#This Row],[Gestation (days)]]+0.5)/7)^2)*Table1[[#This Row],[BW40_3705]],"")</f>
        <v/>
      </c>
      <c r="G1519" s="2" t="str">
        <f>IF(Table1[[#This Row],[Is Data Valid]]=TRUE,((Table1[[#This Row],[Birthweight (grams)]]/Table1[[#This Row],[BW_GA]])-1)/(Backend!$B$4/100*Table1[[#This Row],[BW40_3705]]),"")</f>
        <v/>
      </c>
      <c r="H1519" s="7" t="str">
        <f>IF(Table1[[#This Row],[Is Data Valid]]=TRUE,((Table1[[#This Row],[Birthweight (grams)]]*0.9/Table1[[#This Row],[BW_GA]])-1)/(Backend!$B$4/100*Table1[[#This Row],[BW40_3705]]),"")</f>
        <v/>
      </c>
      <c r="I1519" s="7" t="str">
        <f>IF(Table1[[#This Row],[Is Data Valid]]=TRUE,((Table1[[#This Row],[Birthweight (grams)]]*1.1/Table1[[#This Row],[BW_GA]])-1)/(Backend!$B$4/100*Table1[[#This Row],[BW40_3705]]),"")</f>
        <v/>
      </c>
      <c r="J1519" s="7" t="str">
        <f>IF(Table1[[#This Row],[Is Data Valid]]=TRUE,_xlfn.NORM.S.DIST(Table1[[#This Row],[Birthweight Z-Score]],TRUE)*100,"")</f>
        <v/>
      </c>
      <c r="K1519" s="7" t="str">
        <f>IF(Table1[[#This Row],[Is Data Valid]]=TRUE,_xlfn.NORM.S.DIST(Table1[[#This Row],[Birthweight Z-Score (BW-10%)]],TRUE)*100,"")</f>
        <v/>
      </c>
      <c r="L1519" s="7" t="str">
        <f>IF(Table1[[#This Row],[Is Data Valid]]=TRUE,_xlfn.NORM.S.DIST(Table1[[#This Row],[Birthweight Z-Score (BW+10%)]],TRUE)*100,"")</f>
        <v/>
      </c>
    </row>
    <row r="1520" spans="1:12" x14ac:dyDescent="0.35">
      <c r="A1520" s="3"/>
      <c r="B1520" s="2"/>
      <c r="C1520" s="2"/>
      <c r="D1520" s="2" t="b">
        <f>IF(AND(NOT(ISBLANK(Table1[[#This Row],[Fetal Sex (Male, Female or Unknown)]])),ISNUMBER(Table1[[#This Row],[Birthweight (grams)]]),ISNUMBER(Table1[[#This Row],[Gestation (days)]])),TRUE,FALSE)</f>
        <v>0</v>
      </c>
      <c r="E1520" s="2" t="str">
        <f>IF(Table1[[#This Row],[Is Data Valid]]=TRUE,IF(Table1[[#This Row],[Fetal Sex (Male, Female or Unknown)]]="Male",Backend!$C$6,IF(Table1[[#This Row],[Fetal Sex (Male, Female or Unknown)]]="Female",Backend!$C$7,IF(Table1[[#This Row],[Fetal Sex (Male, Female or Unknown)]]="Unknown",Backend!$C$8,"Error"))),"")</f>
        <v/>
      </c>
      <c r="F1520" s="8" t="str">
        <f>IF(Table1[[#This Row],[Is Data Valid]]=TRUE,EXP(0.578+0.332*((Table1[[#This Row],[Gestation (days)]]+0.5)/7)-0.00354*((Table1[[#This Row],[Gestation (days)]]+0.5)/7)^2)*Table1[[#This Row],[BW40_3705]],"")</f>
        <v/>
      </c>
      <c r="G1520" s="2" t="str">
        <f>IF(Table1[[#This Row],[Is Data Valid]]=TRUE,((Table1[[#This Row],[Birthweight (grams)]]/Table1[[#This Row],[BW_GA]])-1)/(Backend!$B$4/100*Table1[[#This Row],[BW40_3705]]),"")</f>
        <v/>
      </c>
      <c r="H1520" s="7" t="str">
        <f>IF(Table1[[#This Row],[Is Data Valid]]=TRUE,((Table1[[#This Row],[Birthweight (grams)]]*0.9/Table1[[#This Row],[BW_GA]])-1)/(Backend!$B$4/100*Table1[[#This Row],[BW40_3705]]),"")</f>
        <v/>
      </c>
      <c r="I1520" s="7" t="str">
        <f>IF(Table1[[#This Row],[Is Data Valid]]=TRUE,((Table1[[#This Row],[Birthweight (grams)]]*1.1/Table1[[#This Row],[BW_GA]])-1)/(Backend!$B$4/100*Table1[[#This Row],[BW40_3705]]),"")</f>
        <v/>
      </c>
      <c r="J1520" s="7" t="str">
        <f>IF(Table1[[#This Row],[Is Data Valid]]=TRUE,_xlfn.NORM.S.DIST(Table1[[#This Row],[Birthweight Z-Score]],TRUE)*100,"")</f>
        <v/>
      </c>
      <c r="K1520" s="7" t="str">
        <f>IF(Table1[[#This Row],[Is Data Valid]]=TRUE,_xlfn.NORM.S.DIST(Table1[[#This Row],[Birthweight Z-Score (BW-10%)]],TRUE)*100,"")</f>
        <v/>
      </c>
      <c r="L1520" s="7" t="str">
        <f>IF(Table1[[#This Row],[Is Data Valid]]=TRUE,_xlfn.NORM.S.DIST(Table1[[#This Row],[Birthweight Z-Score (BW+10%)]],TRUE)*100,"")</f>
        <v/>
      </c>
    </row>
    <row r="1521" spans="1:12" x14ac:dyDescent="0.35">
      <c r="A1521" s="3"/>
      <c r="B1521" s="2"/>
      <c r="C1521" s="2"/>
      <c r="D1521" s="2" t="b">
        <f>IF(AND(NOT(ISBLANK(Table1[[#This Row],[Fetal Sex (Male, Female or Unknown)]])),ISNUMBER(Table1[[#This Row],[Birthweight (grams)]]),ISNUMBER(Table1[[#This Row],[Gestation (days)]])),TRUE,FALSE)</f>
        <v>0</v>
      </c>
      <c r="E1521" s="2" t="str">
        <f>IF(Table1[[#This Row],[Is Data Valid]]=TRUE,IF(Table1[[#This Row],[Fetal Sex (Male, Female or Unknown)]]="Male",Backend!$C$6,IF(Table1[[#This Row],[Fetal Sex (Male, Female or Unknown)]]="Female",Backend!$C$7,IF(Table1[[#This Row],[Fetal Sex (Male, Female or Unknown)]]="Unknown",Backend!$C$8,"Error"))),"")</f>
        <v/>
      </c>
      <c r="F1521" s="8" t="str">
        <f>IF(Table1[[#This Row],[Is Data Valid]]=TRUE,EXP(0.578+0.332*((Table1[[#This Row],[Gestation (days)]]+0.5)/7)-0.00354*((Table1[[#This Row],[Gestation (days)]]+0.5)/7)^2)*Table1[[#This Row],[BW40_3705]],"")</f>
        <v/>
      </c>
      <c r="G1521" s="2" t="str">
        <f>IF(Table1[[#This Row],[Is Data Valid]]=TRUE,((Table1[[#This Row],[Birthweight (grams)]]/Table1[[#This Row],[BW_GA]])-1)/(Backend!$B$4/100*Table1[[#This Row],[BW40_3705]]),"")</f>
        <v/>
      </c>
      <c r="H1521" s="7" t="str">
        <f>IF(Table1[[#This Row],[Is Data Valid]]=TRUE,((Table1[[#This Row],[Birthweight (grams)]]*0.9/Table1[[#This Row],[BW_GA]])-1)/(Backend!$B$4/100*Table1[[#This Row],[BW40_3705]]),"")</f>
        <v/>
      </c>
      <c r="I1521" s="7" t="str">
        <f>IF(Table1[[#This Row],[Is Data Valid]]=TRUE,((Table1[[#This Row],[Birthweight (grams)]]*1.1/Table1[[#This Row],[BW_GA]])-1)/(Backend!$B$4/100*Table1[[#This Row],[BW40_3705]]),"")</f>
        <v/>
      </c>
      <c r="J1521" s="7" t="str">
        <f>IF(Table1[[#This Row],[Is Data Valid]]=TRUE,_xlfn.NORM.S.DIST(Table1[[#This Row],[Birthweight Z-Score]],TRUE)*100,"")</f>
        <v/>
      </c>
      <c r="K1521" s="7" t="str">
        <f>IF(Table1[[#This Row],[Is Data Valid]]=TRUE,_xlfn.NORM.S.DIST(Table1[[#This Row],[Birthweight Z-Score (BW-10%)]],TRUE)*100,"")</f>
        <v/>
      </c>
      <c r="L1521" s="7" t="str">
        <f>IF(Table1[[#This Row],[Is Data Valid]]=TRUE,_xlfn.NORM.S.DIST(Table1[[#This Row],[Birthweight Z-Score (BW+10%)]],TRUE)*100,"")</f>
        <v/>
      </c>
    </row>
    <row r="1522" spans="1:12" x14ac:dyDescent="0.35">
      <c r="A1522" s="3"/>
      <c r="B1522" s="2"/>
      <c r="C1522" s="2"/>
      <c r="D1522" s="2" t="b">
        <f>IF(AND(NOT(ISBLANK(Table1[[#This Row],[Fetal Sex (Male, Female or Unknown)]])),ISNUMBER(Table1[[#This Row],[Birthweight (grams)]]),ISNUMBER(Table1[[#This Row],[Gestation (days)]])),TRUE,FALSE)</f>
        <v>0</v>
      </c>
      <c r="E1522" s="2" t="str">
        <f>IF(Table1[[#This Row],[Is Data Valid]]=TRUE,IF(Table1[[#This Row],[Fetal Sex (Male, Female or Unknown)]]="Male",Backend!$C$6,IF(Table1[[#This Row],[Fetal Sex (Male, Female or Unknown)]]="Female",Backend!$C$7,IF(Table1[[#This Row],[Fetal Sex (Male, Female or Unknown)]]="Unknown",Backend!$C$8,"Error"))),"")</f>
        <v/>
      </c>
      <c r="F1522" s="8" t="str">
        <f>IF(Table1[[#This Row],[Is Data Valid]]=TRUE,EXP(0.578+0.332*((Table1[[#This Row],[Gestation (days)]]+0.5)/7)-0.00354*((Table1[[#This Row],[Gestation (days)]]+0.5)/7)^2)*Table1[[#This Row],[BW40_3705]],"")</f>
        <v/>
      </c>
      <c r="G1522" s="2" t="str">
        <f>IF(Table1[[#This Row],[Is Data Valid]]=TRUE,((Table1[[#This Row],[Birthweight (grams)]]/Table1[[#This Row],[BW_GA]])-1)/(Backend!$B$4/100*Table1[[#This Row],[BW40_3705]]),"")</f>
        <v/>
      </c>
      <c r="H1522" s="7" t="str">
        <f>IF(Table1[[#This Row],[Is Data Valid]]=TRUE,((Table1[[#This Row],[Birthweight (grams)]]*0.9/Table1[[#This Row],[BW_GA]])-1)/(Backend!$B$4/100*Table1[[#This Row],[BW40_3705]]),"")</f>
        <v/>
      </c>
      <c r="I1522" s="7" t="str">
        <f>IF(Table1[[#This Row],[Is Data Valid]]=TRUE,((Table1[[#This Row],[Birthweight (grams)]]*1.1/Table1[[#This Row],[BW_GA]])-1)/(Backend!$B$4/100*Table1[[#This Row],[BW40_3705]]),"")</f>
        <v/>
      </c>
      <c r="J1522" s="7" t="str">
        <f>IF(Table1[[#This Row],[Is Data Valid]]=TRUE,_xlfn.NORM.S.DIST(Table1[[#This Row],[Birthweight Z-Score]],TRUE)*100,"")</f>
        <v/>
      </c>
      <c r="K1522" s="7" t="str">
        <f>IF(Table1[[#This Row],[Is Data Valid]]=TRUE,_xlfn.NORM.S.DIST(Table1[[#This Row],[Birthweight Z-Score (BW-10%)]],TRUE)*100,"")</f>
        <v/>
      </c>
      <c r="L1522" s="7" t="str">
        <f>IF(Table1[[#This Row],[Is Data Valid]]=TRUE,_xlfn.NORM.S.DIST(Table1[[#This Row],[Birthweight Z-Score (BW+10%)]],TRUE)*100,"")</f>
        <v/>
      </c>
    </row>
    <row r="1523" spans="1:12" x14ac:dyDescent="0.35">
      <c r="A1523" s="3"/>
      <c r="B1523" s="2"/>
      <c r="C1523" s="2"/>
      <c r="D1523" s="2" t="b">
        <f>IF(AND(NOT(ISBLANK(Table1[[#This Row],[Fetal Sex (Male, Female or Unknown)]])),ISNUMBER(Table1[[#This Row],[Birthweight (grams)]]),ISNUMBER(Table1[[#This Row],[Gestation (days)]])),TRUE,FALSE)</f>
        <v>0</v>
      </c>
      <c r="E1523" s="2" t="str">
        <f>IF(Table1[[#This Row],[Is Data Valid]]=TRUE,IF(Table1[[#This Row],[Fetal Sex (Male, Female or Unknown)]]="Male",Backend!$C$6,IF(Table1[[#This Row],[Fetal Sex (Male, Female or Unknown)]]="Female",Backend!$C$7,IF(Table1[[#This Row],[Fetal Sex (Male, Female or Unknown)]]="Unknown",Backend!$C$8,"Error"))),"")</f>
        <v/>
      </c>
      <c r="F1523" s="8" t="str">
        <f>IF(Table1[[#This Row],[Is Data Valid]]=TRUE,EXP(0.578+0.332*((Table1[[#This Row],[Gestation (days)]]+0.5)/7)-0.00354*((Table1[[#This Row],[Gestation (days)]]+0.5)/7)^2)*Table1[[#This Row],[BW40_3705]],"")</f>
        <v/>
      </c>
      <c r="G1523" s="2" t="str">
        <f>IF(Table1[[#This Row],[Is Data Valid]]=TRUE,((Table1[[#This Row],[Birthweight (grams)]]/Table1[[#This Row],[BW_GA]])-1)/(Backend!$B$4/100*Table1[[#This Row],[BW40_3705]]),"")</f>
        <v/>
      </c>
      <c r="H1523" s="7" t="str">
        <f>IF(Table1[[#This Row],[Is Data Valid]]=TRUE,((Table1[[#This Row],[Birthweight (grams)]]*0.9/Table1[[#This Row],[BW_GA]])-1)/(Backend!$B$4/100*Table1[[#This Row],[BW40_3705]]),"")</f>
        <v/>
      </c>
      <c r="I1523" s="7" t="str">
        <f>IF(Table1[[#This Row],[Is Data Valid]]=TRUE,((Table1[[#This Row],[Birthweight (grams)]]*1.1/Table1[[#This Row],[BW_GA]])-1)/(Backend!$B$4/100*Table1[[#This Row],[BW40_3705]]),"")</f>
        <v/>
      </c>
      <c r="J1523" s="7" t="str">
        <f>IF(Table1[[#This Row],[Is Data Valid]]=TRUE,_xlfn.NORM.S.DIST(Table1[[#This Row],[Birthweight Z-Score]],TRUE)*100,"")</f>
        <v/>
      </c>
      <c r="K1523" s="7" t="str">
        <f>IF(Table1[[#This Row],[Is Data Valid]]=TRUE,_xlfn.NORM.S.DIST(Table1[[#This Row],[Birthweight Z-Score (BW-10%)]],TRUE)*100,"")</f>
        <v/>
      </c>
      <c r="L1523" s="7" t="str">
        <f>IF(Table1[[#This Row],[Is Data Valid]]=TRUE,_xlfn.NORM.S.DIST(Table1[[#This Row],[Birthweight Z-Score (BW+10%)]],TRUE)*100,"")</f>
        <v/>
      </c>
    </row>
    <row r="1524" spans="1:12" x14ac:dyDescent="0.35">
      <c r="A1524" s="3"/>
      <c r="B1524" s="2"/>
      <c r="C1524" s="2"/>
      <c r="D1524" s="2" t="b">
        <f>IF(AND(NOT(ISBLANK(Table1[[#This Row],[Fetal Sex (Male, Female or Unknown)]])),ISNUMBER(Table1[[#This Row],[Birthweight (grams)]]),ISNUMBER(Table1[[#This Row],[Gestation (days)]])),TRUE,FALSE)</f>
        <v>0</v>
      </c>
      <c r="E1524" s="2" t="str">
        <f>IF(Table1[[#This Row],[Is Data Valid]]=TRUE,IF(Table1[[#This Row],[Fetal Sex (Male, Female or Unknown)]]="Male",Backend!$C$6,IF(Table1[[#This Row],[Fetal Sex (Male, Female or Unknown)]]="Female",Backend!$C$7,IF(Table1[[#This Row],[Fetal Sex (Male, Female or Unknown)]]="Unknown",Backend!$C$8,"Error"))),"")</f>
        <v/>
      </c>
      <c r="F1524" s="8" t="str">
        <f>IF(Table1[[#This Row],[Is Data Valid]]=TRUE,EXP(0.578+0.332*((Table1[[#This Row],[Gestation (days)]]+0.5)/7)-0.00354*((Table1[[#This Row],[Gestation (days)]]+0.5)/7)^2)*Table1[[#This Row],[BW40_3705]],"")</f>
        <v/>
      </c>
      <c r="G1524" s="2" t="str">
        <f>IF(Table1[[#This Row],[Is Data Valid]]=TRUE,((Table1[[#This Row],[Birthweight (grams)]]/Table1[[#This Row],[BW_GA]])-1)/(Backend!$B$4/100*Table1[[#This Row],[BW40_3705]]),"")</f>
        <v/>
      </c>
      <c r="H1524" s="7" t="str">
        <f>IF(Table1[[#This Row],[Is Data Valid]]=TRUE,((Table1[[#This Row],[Birthweight (grams)]]*0.9/Table1[[#This Row],[BW_GA]])-1)/(Backend!$B$4/100*Table1[[#This Row],[BW40_3705]]),"")</f>
        <v/>
      </c>
      <c r="I1524" s="7" t="str">
        <f>IF(Table1[[#This Row],[Is Data Valid]]=TRUE,((Table1[[#This Row],[Birthweight (grams)]]*1.1/Table1[[#This Row],[BW_GA]])-1)/(Backend!$B$4/100*Table1[[#This Row],[BW40_3705]]),"")</f>
        <v/>
      </c>
      <c r="J1524" s="7" t="str">
        <f>IF(Table1[[#This Row],[Is Data Valid]]=TRUE,_xlfn.NORM.S.DIST(Table1[[#This Row],[Birthweight Z-Score]],TRUE)*100,"")</f>
        <v/>
      </c>
      <c r="K1524" s="7" t="str">
        <f>IF(Table1[[#This Row],[Is Data Valid]]=TRUE,_xlfn.NORM.S.DIST(Table1[[#This Row],[Birthweight Z-Score (BW-10%)]],TRUE)*100,"")</f>
        <v/>
      </c>
      <c r="L1524" s="7" t="str">
        <f>IF(Table1[[#This Row],[Is Data Valid]]=TRUE,_xlfn.NORM.S.DIST(Table1[[#This Row],[Birthweight Z-Score (BW+10%)]],TRUE)*100,"")</f>
        <v/>
      </c>
    </row>
    <row r="1525" spans="1:12" x14ac:dyDescent="0.35">
      <c r="A1525" s="3"/>
      <c r="B1525" s="2"/>
      <c r="C1525" s="2"/>
      <c r="D1525" s="2" t="b">
        <f>IF(AND(NOT(ISBLANK(Table1[[#This Row],[Fetal Sex (Male, Female or Unknown)]])),ISNUMBER(Table1[[#This Row],[Birthweight (grams)]]),ISNUMBER(Table1[[#This Row],[Gestation (days)]])),TRUE,FALSE)</f>
        <v>0</v>
      </c>
      <c r="E1525" s="2" t="str">
        <f>IF(Table1[[#This Row],[Is Data Valid]]=TRUE,IF(Table1[[#This Row],[Fetal Sex (Male, Female or Unknown)]]="Male",Backend!$C$6,IF(Table1[[#This Row],[Fetal Sex (Male, Female or Unknown)]]="Female",Backend!$C$7,IF(Table1[[#This Row],[Fetal Sex (Male, Female or Unknown)]]="Unknown",Backend!$C$8,"Error"))),"")</f>
        <v/>
      </c>
      <c r="F1525" s="8" t="str">
        <f>IF(Table1[[#This Row],[Is Data Valid]]=TRUE,EXP(0.578+0.332*((Table1[[#This Row],[Gestation (days)]]+0.5)/7)-0.00354*((Table1[[#This Row],[Gestation (days)]]+0.5)/7)^2)*Table1[[#This Row],[BW40_3705]],"")</f>
        <v/>
      </c>
      <c r="G1525" s="2" t="str">
        <f>IF(Table1[[#This Row],[Is Data Valid]]=TRUE,((Table1[[#This Row],[Birthweight (grams)]]/Table1[[#This Row],[BW_GA]])-1)/(Backend!$B$4/100*Table1[[#This Row],[BW40_3705]]),"")</f>
        <v/>
      </c>
      <c r="H1525" s="7" t="str">
        <f>IF(Table1[[#This Row],[Is Data Valid]]=TRUE,((Table1[[#This Row],[Birthweight (grams)]]*0.9/Table1[[#This Row],[BW_GA]])-1)/(Backend!$B$4/100*Table1[[#This Row],[BW40_3705]]),"")</f>
        <v/>
      </c>
      <c r="I1525" s="7" t="str">
        <f>IF(Table1[[#This Row],[Is Data Valid]]=TRUE,((Table1[[#This Row],[Birthweight (grams)]]*1.1/Table1[[#This Row],[BW_GA]])-1)/(Backend!$B$4/100*Table1[[#This Row],[BW40_3705]]),"")</f>
        <v/>
      </c>
      <c r="J1525" s="7" t="str">
        <f>IF(Table1[[#This Row],[Is Data Valid]]=TRUE,_xlfn.NORM.S.DIST(Table1[[#This Row],[Birthweight Z-Score]],TRUE)*100,"")</f>
        <v/>
      </c>
      <c r="K1525" s="7" t="str">
        <f>IF(Table1[[#This Row],[Is Data Valid]]=TRUE,_xlfn.NORM.S.DIST(Table1[[#This Row],[Birthweight Z-Score (BW-10%)]],TRUE)*100,"")</f>
        <v/>
      </c>
      <c r="L1525" s="7" t="str">
        <f>IF(Table1[[#This Row],[Is Data Valid]]=TRUE,_xlfn.NORM.S.DIST(Table1[[#This Row],[Birthweight Z-Score (BW+10%)]],TRUE)*100,"")</f>
        <v/>
      </c>
    </row>
    <row r="1526" spans="1:12" x14ac:dyDescent="0.35">
      <c r="A1526" s="3"/>
      <c r="B1526" s="2"/>
      <c r="C1526" s="2"/>
      <c r="D1526" s="2" t="b">
        <f>IF(AND(NOT(ISBLANK(Table1[[#This Row],[Fetal Sex (Male, Female or Unknown)]])),ISNUMBER(Table1[[#This Row],[Birthweight (grams)]]),ISNUMBER(Table1[[#This Row],[Gestation (days)]])),TRUE,FALSE)</f>
        <v>0</v>
      </c>
      <c r="E1526" s="2" t="str">
        <f>IF(Table1[[#This Row],[Is Data Valid]]=TRUE,IF(Table1[[#This Row],[Fetal Sex (Male, Female or Unknown)]]="Male",Backend!$C$6,IF(Table1[[#This Row],[Fetal Sex (Male, Female or Unknown)]]="Female",Backend!$C$7,IF(Table1[[#This Row],[Fetal Sex (Male, Female or Unknown)]]="Unknown",Backend!$C$8,"Error"))),"")</f>
        <v/>
      </c>
      <c r="F1526" s="8" t="str">
        <f>IF(Table1[[#This Row],[Is Data Valid]]=TRUE,EXP(0.578+0.332*((Table1[[#This Row],[Gestation (days)]]+0.5)/7)-0.00354*((Table1[[#This Row],[Gestation (days)]]+0.5)/7)^2)*Table1[[#This Row],[BW40_3705]],"")</f>
        <v/>
      </c>
      <c r="G1526" s="2" t="str">
        <f>IF(Table1[[#This Row],[Is Data Valid]]=TRUE,((Table1[[#This Row],[Birthweight (grams)]]/Table1[[#This Row],[BW_GA]])-1)/(Backend!$B$4/100*Table1[[#This Row],[BW40_3705]]),"")</f>
        <v/>
      </c>
      <c r="H1526" s="7" t="str">
        <f>IF(Table1[[#This Row],[Is Data Valid]]=TRUE,((Table1[[#This Row],[Birthweight (grams)]]*0.9/Table1[[#This Row],[BW_GA]])-1)/(Backend!$B$4/100*Table1[[#This Row],[BW40_3705]]),"")</f>
        <v/>
      </c>
      <c r="I1526" s="7" t="str">
        <f>IF(Table1[[#This Row],[Is Data Valid]]=TRUE,((Table1[[#This Row],[Birthweight (grams)]]*1.1/Table1[[#This Row],[BW_GA]])-1)/(Backend!$B$4/100*Table1[[#This Row],[BW40_3705]]),"")</f>
        <v/>
      </c>
      <c r="J1526" s="7" t="str">
        <f>IF(Table1[[#This Row],[Is Data Valid]]=TRUE,_xlfn.NORM.S.DIST(Table1[[#This Row],[Birthweight Z-Score]],TRUE)*100,"")</f>
        <v/>
      </c>
      <c r="K1526" s="7" t="str">
        <f>IF(Table1[[#This Row],[Is Data Valid]]=TRUE,_xlfn.NORM.S.DIST(Table1[[#This Row],[Birthweight Z-Score (BW-10%)]],TRUE)*100,"")</f>
        <v/>
      </c>
      <c r="L1526" s="7" t="str">
        <f>IF(Table1[[#This Row],[Is Data Valid]]=TRUE,_xlfn.NORM.S.DIST(Table1[[#This Row],[Birthweight Z-Score (BW+10%)]],TRUE)*100,"")</f>
        <v/>
      </c>
    </row>
    <row r="1527" spans="1:12" x14ac:dyDescent="0.35">
      <c r="A1527" s="3"/>
      <c r="B1527" s="2"/>
      <c r="C1527" s="2"/>
      <c r="D1527" s="2" t="b">
        <f>IF(AND(NOT(ISBLANK(Table1[[#This Row],[Fetal Sex (Male, Female or Unknown)]])),ISNUMBER(Table1[[#This Row],[Birthweight (grams)]]),ISNUMBER(Table1[[#This Row],[Gestation (days)]])),TRUE,FALSE)</f>
        <v>0</v>
      </c>
      <c r="E1527" s="2" t="str">
        <f>IF(Table1[[#This Row],[Is Data Valid]]=TRUE,IF(Table1[[#This Row],[Fetal Sex (Male, Female or Unknown)]]="Male",Backend!$C$6,IF(Table1[[#This Row],[Fetal Sex (Male, Female or Unknown)]]="Female",Backend!$C$7,IF(Table1[[#This Row],[Fetal Sex (Male, Female or Unknown)]]="Unknown",Backend!$C$8,"Error"))),"")</f>
        <v/>
      </c>
      <c r="F1527" s="8" t="str">
        <f>IF(Table1[[#This Row],[Is Data Valid]]=TRUE,EXP(0.578+0.332*((Table1[[#This Row],[Gestation (days)]]+0.5)/7)-0.00354*((Table1[[#This Row],[Gestation (days)]]+0.5)/7)^2)*Table1[[#This Row],[BW40_3705]],"")</f>
        <v/>
      </c>
      <c r="G1527" s="2" t="str">
        <f>IF(Table1[[#This Row],[Is Data Valid]]=TRUE,((Table1[[#This Row],[Birthweight (grams)]]/Table1[[#This Row],[BW_GA]])-1)/(Backend!$B$4/100*Table1[[#This Row],[BW40_3705]]),"")</f>
        <v/>
      </c>
      <c r="H1527" s="7" t="str">
        <f>IF(Table1[[#This Row],[Is Data Valid]]=TRUE,((Table1[[#This Row],[Birthweight (grams)]]*0.9/Table1[[#This Row],[BW_GA]])-1)/(Backend!$B$4/100*Table1[[#This Row],[BW40_3705]]),"")</f>
        <v/>
      </c>
      <c r="I1527" s="7" t="str">
        <f>IF(Table1[[#This Row],[Is Data Valid]]=TRUE,((Table1[[#This Row],[Birthweight (grams)]]*1.1/Table1[[#This Row],[BW_GA]])-1)/(Backend!$B$4/100*Table1[[#This Row],[BW40_3705]]),"")</f>
        <v/>
      </c>
      <c r="J1527" s="7" t="str">
        <f>IF(Table1[[#This Row],[Is Data Valid]]=TRUE,_xlfn.NORM.S.DIST(Table1[[#This Row],[Birthweight Z-Score]],TRUE)*100,"")</f>
        <v/>
      </c>
      <c r="K1527" s="7" t="str">
        <f>IF(Table1[[#This Row],[Is Data Valid]]=TRUE,_xlfn.NORM.S.DIST(Table1[[#This Row],[Birthweight Z-Score (BW-10%)]],TRUE)*100,"")</f>
        <v/>
      </c>
      <c r="L1527" s="7" t="str">
        <f>IF(Table1[[#This Row],[Is Data Valid]]=TRUE,_xlfn.NORM.S.DIST(Table1[[#This Row],[Birthweight Z-Score (BW+10%)]],TRUE)*100,"")</f>
        <v/>
      </c>
    </row>
    <row r="1528" spans="1:12" x14ac:dyDescent="0.35">
      <c r="A1528" s="3"/>
      <c r="B1528" s="2"/>
      <c r="C1528" s="2"/>
      <c r="D1528" s="2" t="b">
        <f>IF(AND(NOT(ISBLANK(Table1[[#This Row],[Fetal Sex (Male, Female or Unknown)]])),ISNUMBER(Table1[[#This Row],[Birthweight (grams)]]),ISNUMBER(Table1[[#This Row],[Gestation (days)]])),TRUE,FALSE)</f>
        <v>0</v>
      </c>
      <c r="E1528" s="2" t="str">
        <f>IF(Table1[[#This Row],[Is Data Valid]]=TRUE,IF(Table1[[#This Row],[Fetal Sex (Male, Female or Unknown)]]="Male",Backend!$C$6,IF(Table1[[#This Row],[Fetal Sex (Male, Female or Unknown)]]="Female",Backend!$C$7,IF(Table1[[#This Row],[Fetal Sex (Male, Female or Unknown)]]="Unknown",Backend!$C$8,"Error"))),"")</f>
        <v/>
      </c>
      <c r="F1528" s="8" t="str">
        <f>IF(Table1[[#This Row],[Is Data Valid]]=TRUE,EXP(0.578+0.332*((Table1[[#This Row],[Gestation (days)]]+0.5)/7)-0.00354*((Table1[[#This Row],[Gestation (days)]]+0.5)/7)^2)*Table1[[#This Row],[BW40_3705]],"")</f>
        <v/>
      </c>
      <c r="G1528" s="2" t="str">
        <f>IF(Table1[[#This Row],[Is Data Valid]]=TRUE,((Table1[[#This Row],[Birthweight (grams)]]/Table1[[#This Row],[BW_GA]])-1)/(Backend!$B$4/100*Table1[[#This Row],[BW40_3705]]),"")</f>
        <v/>
      </c>
      <c r="H1528" s="7" t="str">
        <f>IF(Table1[[#This Row],[Is Data Valid]]=TRUE,((Table1[[#This Row],[Birthweight (grams)]]*0.9/Table1[[#This Row],[BW_GA]])-1)/(Backend!$B$4/100*Table1[[#This Row],[BW40_3705]]),"")</f>
        <v/>
      </c>
      <c r="I1528" s="7" t="str">
        <f>IF(Table1[[#This Row],[Is Data Valid]]=TRUE,((Table1[[#This Row],[Birthweight (grams)]]*1.1/Table1[[#This Row],[BW_GA]])-1)/(Backend!$B$4/100*Table1[[#This Row],[BW40_3705]]),"")</f>
        <v/>
      </c>
      <c r="J1528" s="7" t="str">
        <f>IF(Table1[[#This Row],[Is Data Valid]]=TRUE,_xlfn.NORM.S.DIST(Table1[[#This Row],[Birthweight Z-Score]],TRUE)*100,"")</f>
        <v/>
      </c>
      <c r="K1528" s="7" t="str">
        <f>IF(Table1[[#This Row],[Is Data Valid]]=TRUE,_xlfn.NORM.S.DIST(Table1[[#This Row],[Birthweight Z-Score (BW-10%)]],TRUE)*100,"")</f>
        <v/>
      </c>
      <c r="L1528" s="7" t="str">
        <f>IF(Table1[[#This Row],[Is Data Valid]]=TRUE,_xlfn.NORM.S.DIST(Table1[[#This Row],[Birthweight Z-Score (BW+10%)]],TRUE)*100,"")</f>
        <v/>
      </c>
    </row>
    <row r="1529" spans="1:12" x14ac:dyDescent="0.35">
      <c r="A1529" s="3"/>
      <c r="B1529" s="2"/>
      <c r="C1529" s="2"/>
      <c r="D1529" s="2" t="b">
        <f>IF(AND(NOT(ISBLANK(Table1[[#This Row],[Fetal Sex (Male, Female or Unknown)]])),ISNUMBER(Table1[[#This Row],[Birthweight (grams)]]),ISNUMBER(Table1[[#This Row],[Gestation (days)]])),TRUE,FALSE)</f>
        <v>0</v>
      </c>
      <c r="E1529" s="2" t="str">
        <f>IF(Table1[[#This Row],[Is Data Valid]]=TRUE,IF(Table1[[#This Row],[Fetal Sex (Male, Female or Unknown)]]="Male",Backend!$C$6,IF(Table1[[#This Row],[Fetal Sex (Male, Female or Unknown)]]="Female",Backend!$C$7,IF(Table1[[#This Row],[Fetal Sex (Male, Female or Unknown)]]="Unknown",Backend!$C$8,"Error"))),"")</f>
        <v/>
      </c>
      <c r="F1529" s="8" t="str">
        <f>IF(Table1[[#This Row],[Is Data Valid]]=TRUE,EXP(0.578+0.332*((Table1[[#This Row],[Gestation (days)]]+0.5)/7)-0.00354*((Table1[[#This Row],[Gestation (days)]]+0.5)/7)^2)*Table1[[#This Row],[BW40_3705]],"")</f>
        <v/>
      </c>
      <c r="G1529" s="2" t="str">
        <f>IF(Table1[[#This Row],[Is Data Valid]]=TRUE,((Table1[[#This Row],[Birthweight (grams)]]/Table1[[#This Row],[BW_GA]])-1)/(Backend!$B$4/100*Table1[[#This Row],[BW40_3705]]),"")</f>
        <v/>
      </c>
      <c r="H1529" s="7" t="str">
        <f>IF(Table1[[#This Row],[Is Data Valid]]=TRUE,((Table1[[#This Row],[Birthweight (grams)]]*0.9/Table1[[#This Row],[BW_GA]])-1)/(Backend!$B$4/100*Table1[[#This Row],[BW40_3705]]),"")</f>
        <v/>
      </c>
      <c r="I1529" s="7" t="str">
        <f>IF(Table1[[#This Row],[Is Data Valid]]=TRUE,((Table1[[#This Row],[Birthweight (grams)]]*1.1/Table1[[#This Row],[BW_GA]])-1)/(Backend!$B$4/100*Table1[[#This Row],[BW40_3705]]),"")</f>
        <v/>
      </c>
      <c r="J1529" s="7" t="str">
        <f>IF(Table1[[#This Row],[Is Data Valid]]=TRUE,_xlfn.NORM.S.DIST(Table1[[#This Row],[Birthweight Z-Score]],TRUE)*100,"")</f>
        <v/>
      </c>
      <c r="K1529" s="7" t="str">
        <f>IF(Table1[[#This Row],[Is Data Valid]]=TRUE,_xlfn.NORM.S.DIST(Table1[[#This Row],[Birthweight Z-Score (BW-10%)]],TRUE)*100,"")</f>
        <v/>
      </c>
      <c r="L1529" s="7" t="str">
        <f>IF(Table1[[#This Row],[Is Data Valid]]=TRUE,_xlfn.NORM.S.DIST(Table1[[#This Row],[Birthweight Z-Score (BW+10%)]],TRUE)*100,"")</f>
        <v/>
      </c>
    </row>
    <row r="1530" spans="1:12" x14ac:dyDescent="0.35">
      <c r="A1530" s="3"/>
      <c r="B1530" s="2"/>
      <c r="C1530" s="2"/>
      <c r="D1530" s="2" t="b">
        <f>IF(AND(NOT(ISBLANK(Table1[[#This Row],[Fetal Sex (Male, Female or Unknown)]])),ISNUMBER(Table1[[#This Row],[Birthweight (grams)]]),ISNUMBER(Table1[[#This Row],[Gestation (days)]])),TRUE,FALSE)</f>
        <v>0</v>
      </c>
      <c r="E1530" s="2" t="str">
        <f>IF(Table1[[#This Row],[Is Data Valid]]=TRUE,IF(Table1[[#This Row],[Fetal Sex (Male, Female or Unknown)]]="Male",Backend!$C$6,IF(Table1[[#This Row],[Fetal Sex (Male, Female or Unknown)]]="Female",Backend!$C$7,IF(Table1[[#This Row],[Fetal Sex (Male, Female or Unknown)]]="Unknown",Backend!$C$8,"Error"))),"")</f>
        <v/>
      </c>
      <c r="F1530" s="8" t="str">
        <f>IF(Table1[[#This Row],[Is Data Valid]]=TRUE,EXP(0.578+0.332*((Table1[[#This Row],[Gestation (days)]]+0.5)/7)-0.00354*((Table1[[#This Row],[Gestation (days)]]+0.5)/7)^2)*Table1[[#This Row],[BW40_3705]],"")</f>
        <v/>
      </c>
      <c r="G1530" s="2" t="str">
        <f>IF(Table1[[#This Row],[Is Data Valid]]=TRUE,((Table1[[#This Row],[Birthweight (grams)]]/Table1[[#This Row],[BW_GA]])-1)/(Backend!$B$4/100*Table1[[#This Row],[BW40_3705]]),"")</f>
        <v/>
      </c>
      <c r="H1530" s="7" t="str">
        <f>IF(Table1[[#This Row],[Is Data Valid]]=TRUE,((Table1[[#This Row],[Birthweight (grams)]]*0.9/Table1[[#This Row],[BW_GA]])-1)/(Backend!$B$4/100*Table1[[#This Row],[BW40_3705]]),"")</f>
        <v/>
      </c>
      <c r="I1530" s="7" t="str">
        <f>IF(Table1[[#This Row],[Is Data Valid]]=TRUE,((Table1[[#This Row],[Birthweight (grams)]]*1.1/Table1[[#This Row],[BW_GA]])-1)/(Backend!$B$4/100*Table1[[#This Row],[BW40_3705]]),"")</f>
        <v/>
      </c>
      <c r="J1530" s="7" t="str">
        <f>IF(Table1[[#This Row],[Is Data Valid]]=TRUE,_xlfn.NORM.S.DIST(Table1[[#This Row],[Birthweight Z-Score]],TRUE)*100,"")</f>
        <v/>
      </c>
      <c r="K1530" s="7" t="str">
        <f>IF(Table1[[#This Row],[Is Data Valid]]=TRUE,_xlfn.NORM.S.DIST(Table1[[#This Row],[Birthweight Z-Score (BW-10%)]],TRUE)*100,"")</f>
        <v/>
      </c>
      <c r="L1530" s="7" t="str">
        <f>IF(Table1[[#This Row],[Is Data Valid]]=TRUE,_xlfn.NORM.S.DIST(Table1[[#This Row],[Birthweight Z-Score (BW+10%)]],TRUE)*100,"")</f>
        <v/>
      </c>
    </row>
    <row r="1531" spans="1:12" x14ac:dyDescent="0.35">
      <c r="A1531" s="3"/>
      <c r="B1531" s="2"/>
      <c r="C1531" s="2"/>
      <c r="D1531" s="2" t="b">
        <f>IF(AND(NOT(ISBLANK(Table1[[#This Row],[Fetal Sex (Male, Female or Unknown)]])),ISNUMBER(Table1[[#This Row],[Birthweight (grams)]]),ISNUMBER(Table1[[#This Row],[Gestation (days)]])),TRUE,FALSE)</f>
        <v>0</v>
      </c>
      <c r="E1531" s="2" t="str">
        <f>IF(Table1[[#This Row],[Is Data Valid]]=TRUE,IF(Table1[[#This Row],[Fetal Sex (Male, Female or Unknown)]]="Male",Backend!$C$6,IF(Table1[[#This Row],[Fetal Sex (Male, Female or Unknown)]]="Female",Backend!$C$7,IF(Table1[[#This Row],[Fetal Sex (Male, Female or Unknown)]]="Unknown",Backend!$C$8,"Error"))),"")</f>
        <v/>
      </c>
      <c r="F1531" s="8" t="str">
        <f>IF(Table1[[#This Row],[Is Data Valid]]=TRUE,EXP(0.578+0.332*((Table1[[#This Row],[Gestation (days)]]+0.5)/7)-0.00354*((Table1[[#This Row],[Gestation (days)]]+0.5)/7)^2)*Table1[[#This Row],[BW40_3705]],"")</f>
        <v/>
      </c>
      <c r="G1531" s="2" t="str">
        <f>IF(Table1[[#This Row],[Is Data Valid]]=TRUE,((Table1[[#This Row],[Birthweight (grams)]]/Table1[[#This Row],[BW_GA]])-1)/(Backend!$B$4/100*Table1[[#This Row],[BW40_3705]]),"")</f>
        <v/>
      </c>
      <c r="H1531" s="7" t="str">
        <f>IF(Table1[[#This Row],[Is Data Valid]]=TRUE,((Table1[[#This Row],[Birthweight (grams)]]*0.9/Table1[[#This Row],[BW_GA]])-1)/(Backend!$B$4/100*Table1[[#This Row],[BW40_3705]]),"")</f>
        <v/>
      </c>
      <c r="I1531" s="7" t="str">
        <f>IF(Table1[[#This Row],[Is Data Valid]]=TRUE,((Table1[[#This Row],[Birthweight (grams)]]*1.1/Table1[[#This Row],[BW_GA]])-1)/(Backend!$B$4/100*Table1[[#This Row],[BW40_3705]]),"")</f>
        <v/>
      </c>
      <c r="J1531" s="7" t="str">
        <f>IF(Table1[[#This Row],[Is Data Valid]]=TRUE,_xlfn.NORM.S.DIST(Table1[[#This Row],[Birthweight Z-Score]],TRUE)*100,"")</f>
        <v/>
      </c>
      <c r="K1531" s="7" t="str">
        <f>IF(Table1[[#This Row],[Is Data Valid]]=TRUE,_xlfn.NORM.S.DIST(Table1[[#This Row],[Birthweight Z-Score (BW-10%)]],TRUE)*100,"")</f>
        <v/>
      </c>
      <c r="L1531" s="7" t="str">
        <f>IF(Table1[[#This Row],[Is Data Valid]]=TRUE,_xlfn.NORM.S.DIST(Table1[[#This Row],[Birthweight Z-Score (BW+10%)]],TRUE)*100,"")</f>
        <v/>
      </c>
    </row>
    <row r="1532" spans="1:12" x14ac:dyDescent="0.35">
      <c r="A1532" s="3"/>
      <c r="B1532" s="2"/>
      <c r="C1532" s="2"/>
      <c r="D1532" s="2" t="b">
        <f>IF(AND(NOT(ISBLANK(Table1[[#This Row],[Fetal Sex (Male, Female or Unknown)]])),ISNUMBER(Table1[[#This Row],[Birthweight (grams)]]),ISNUMBER(Table1[[#This Row],[Gestation (days)]])),TRUE,FALSE)</f>
        <v>0</v>
      </c>
      <c r="E1532" s="2" t="str">
        <f>IF(Table1[[#This Row],[Is Data Valid]]=TRUE,IF(Table1[[#This Row],[Fetal Sex (Male, Female or Unknown)]]="Male",Backend!$C$6,IF(Table1[[#This Row],[Fetal Sex (Male, Female or Unknown)]]="Female",Backend!$C$7,IF(Table1[[#This Row],[Fetal Sex (Male, Female or Unknown)]]="Unknown",Backend!$C$8,"Error"))),"")</f>
        <v/>
      </c>
      <c r="F1532" s="8" t="str">
        <f>IF(Table1[[#This Row],[Is Data Valid]]=TRUE,EXP(0.578+0.332*((Table1[[#This Row],[Gestation (days)]]+0.5)/7)-0.00354*((Table1[[#This Row],[Gestation (days)]]+0.5)/7)^2)*Table1[[#This Row],[BW40_3705]],"")</f>
        <v/>
      </c>
      <c r="G1532" s="2" t="str">
        <f>IF(Table1[[#This Row],[Is Data Valid]]=TRUE,((Table1[[#This Row],[Birthweight (grams)]]/Table1[[#This Row],[BW_GA]])-1)/(Backend!$B$4/100*Table1[[#This Row],[BW40_3705]]),"")</f>
        <v/>
      </c>
      <c r="H1532" s="7" t="str">
        <f>IF(Table1[[#This Row],[Is Data Valid]]=TRUE,((Table1[[#This Row],[Birthweight (grams)]]*0.9/Table1[[#This Row],[BW_GA]])-1)/(Backend!$B$4/100*Table1[[#This Row],[BW40_3705]]),"")</f>
        <v/>
      </c>
      <c r="I1532" s="7" t="str">
        <f>IF(Table1[[#This Row],[Is Data Valid]]=TRUE,((Table1[[#This Row],[Birthweight (grams)]]*1.1/Table1[[#This Row],[BW_GA]])-1)/(Backend!$B$4/100*Table1[[#This Row],[BW40_3705]]),"")</f>
        <v/>
      </c>
      <c r="J1532" s="7" t="str">
        <f>IF(Table1[[#This Row],[Is Data Valid]]=TRUE,_xlfn.NORM.S.DIST(Table1[[#This Row],[Birthweight Z-Score]],TRUE)*100,"")</f>
        <v/>
      </c>
      <c r="K1532" s="7" t="str">
        <f>IF(Table1[[#This Row],[Is Data Valid]]=TRUE,_xlfn.NORM.S.DIST(Table1[[#This Row],[Birthweight Z-Score (BW-10%)]],TRUE)*100,"")</f>
        <v/>
      </c>
      <c r="L1532" s="7" t="str">
        <f>IF(Table1[[#This Row],[Is Data Valid]]=TRUE,_xlfn.NORM.S.DIST(Table1[[#This Row],[Birthweight Z-Score (BW+10%)]],TRUE)*100,"")</f>
        <v/>
      </c>
    </row>
    <row r="1533" spans="1:12" x14ac:dyDescent="0.35">
      <c r="A1533" s="3"/>
      <c r="B1533" s="2"/>
      <c r="C1533" s="2"/>
      <c r="D1533" s="2" t="b">
        <f>IF(AND(NOT(ISBLANK(Table1[[#This Row],[Fetal Sex (Male, Female or Unknown)]])),ISNUMBER(Table1[[#This Row],[Birthweight (grams)]]),ISNUMBER(Table1[[#This Row],[Gestation (days)]])),TRUE,FALSE)</f>
        <v>0</v>
      </c>
      <c r="E1533" s="2" t="str">
        <f>IF(Table1[[#This Row],[Is Data Valid]]=TRUE,IF(Table1[[#This Row],[Fetal Sex (Male, Female or Unknown)]]="Male",Backend!$C$6,IF(Table1[[#This Row],[Fetal Sex (Male, Female or Unknown)]]="Female",Backend!$C$7,IF(Table1[[#This Row],[Fetal Sex (Male, Female or Unknown)]]="Unknown",Backend!$C$8,"Error"))),"")</f>
        <v/>
      </c>
      <c r="F1533" s="8" t="str">
        <f>IF(Table1[[#This Row],[Is Data Valid]]=TRUE,EXP(0.578+0.332*((Table1[[#This Row],[Gestation (days)]]+0.5)/7)-0.00354*((Table1[[#This Row],[Gestation (days)]]+0.5)/7)^2)*Table1[[#This Row],[BW40_3705]],"")</f>
        <v/>
      </c>
      <c r="G1533" s="2" t="str">
        <f>IF(Table1[[#This Row],[Is Data Valid]]=TRUE,((Table1[[#This Row],[Birthweight (grams)]]/Table1[[#This Row],[BW_GA]])-1)/(Backend!$B$4/100*Table1[[#This Row],[BW40_3705]]),"")</f>
        <v/>
      </c>
      <c r="H1533" s="7" t="str">
        <f>IF(Table1[[#This Row],[Is Data Valid]]=TRUE,((Table1[[#This Row],[Birthweight (grams)]]*0.9/Table1[[#This Row],[BW_GA]])-1)/(Backend!$B$4/100*Table1[[#This Row],[BW40_3705]]),"")</f>
        <v/>
      </c>
      <c r="I1533" s="7" t="str">
        <f>IF(Table1[[#This Row],[Is Data Valid]]=TRUE,((Table1[[#This Row],[Birthweight (grams)]]*1.1/Table1[[#This Row],[BW_GA]])-1)/(Backend!$B$4/100*Table1[[#This Row],[BW40_3705]]),"")</f>
        <v/>
      </c>
      <c r="J1533" s="7" t="str">
        <f>IF(Table1[[#This Row],[Is Data Valid]]=TRUE,_xlfn.NORM.S.DIST(Table1[[#This Row],[Birthweight Z-Score]],TRUE)*100,"")</f>
        <v/>
      </c>
      <c r="K1533" s="7" t="str">
        <f>IF(Table1[[#This Row],[Is Data Valid]]=TRUE,_xlfn.NORM.S.DIST(Table1[[#This Row],[Birthweight Z-Score (BW-10%)]],TRUE)*100,"")</f>
        <v/>
      </c>
      <c r="L1533" s="7" t="str">
        <f>IF(Table1[[#This Row],[Is Data Valid]]=TRUE,_xlfn.NORM.S.DIST(Table1[[#This Row],[Birthweight Z-Score (BW+10%)]],TRUE)*100,"")</f>
        <v/>
      </c>
    </row>
    <row r="1534" spans="1:12" x14ac:dyDescent="0.35">
      <c r="A1534" s="3"/>
      <c r="B1534" s="2"/>
      <c r="C1534" s="2"/>
      <c r="D1534" s="2" t="b">
        <f>IF(AND(NOT(ISBLANK(Table1[[#This Row],[Fetal Sex (Male, Female or Unknown)]])),ISNUMBER(Table1[[#This Row],[Birthweight (grams)]]),ISNUMBER(Table1[[#This Row],[Gestation (days)]])),TRUE,FALSE)</f>
        <v>0</v>
      </c>
      <c r="E1534" s="2" t="str">
        <f>IF(Table1[[#This Row],[Is Data Valid]]=TRUE,IF(Table1[[#This Row],[Fetal Sex (Male, Female or Unknown)]]="Male",Backend!$C$6,IF(Table1[[#This Row],[Fetal Sex (Male, Female or Unknown)]]="Female",Backend!$C$7,IF(Table1[[#This Row],[Fetal Sex (Male, Female or Unknown)]]="Unknown",Backend!$C$8,"Error"))),"")</f>
        <v/>
      </c>
      <c r="F1534" s="8" t="str">
        <f>IF(Table1[[#This Row],[Is Data Valid]]=TRUE,EXP(0.578+0.332*((Table1[[#This Row],[Gestation (days)]]+0.5)/7)-0.00354*((Table1[[#This Row],[Gestation (days)]]+0.5)/7)^2)*Table1[[#This Row],[BW40_3705]],"")</f>
        <v/>
      </c>
      <c r="G1534" s="2" t="str">
        <f>IF(Table1[[#This Row],[Is Data Valid]]=TRUE,((Table1[[#This Row],[Birthweight (grams)]]/Table1[[#This Row],[BW_GA]])-1)/(Backend!$B$4/100*Table1[[#This Row],[BW40_3705]]),"")</f>
        <v/>
      </c>
      <c r="H1534" s="7" t="str">
        <f>IF(Table1[[#This Row],[Is Data Valid]]=TRUE,((Table1[[#This Row],[Birthweight (grams)]]*0.9/Table1[[#This Row],[BW_GA]])-1)/(Backend!$B$4/100*Table1[[#This Row],[BW40_3705]]),"")</f>
        <v/>
      </c>
      <c r="I1534" s="7" t="str">
        <f>IF(Table1[[#This Row],[Is Data Valid]]=TRUE,((Table1[[#This Row],[Birthweight (grams)]]*1.1/Table1[[#This Row],[BW_GA]])-1)/(Backend!$B$4/100*Table1[[#This Row],[BW40_3705]]),"")</f>
        <v/>
      </c>
      <c r="J1534" s="7" t="str">
        <f>IF(Table1[[#This Row],[Is Data Valid]]=TRUE,_xlfn.NORM.S.DIST(Table1[[#This Row],[Birthweight Z-Score]],TRUE)*100,"")</f>
        <v/>
      </c>
      <c r="K1534" s="7" t="str">
        <f>IF(Table1[[#This Row],[Is Data Valid]]=TRUE,_xlfn.NORM.S.DIST(Table1[[#This Row],[Birthweight Z-Score (BW-10%)]],TRUE)*100,"")</f>
        <v/>
      </c>
      <c r="L1534" s="7" t="str">
        <f>IF(Table1[[#This Row],[Is Data Valid]]=TRUE,_xlfn.NORM.S.DIST(Table1[[#This Row],[Birthweight Z-Score (BW+10%)]],TRUE)*100,"")</f>
        <v/>
      </c>
    </row>
    <row r="1535" spans="1:12" x14ac:dyDescent="0.35">
      <c r="A1535" s="3"/>
      <c r="B1535" s="2"/>
      <c r="C1535" s="2"/>
      <c r="D1535" s="2" t="b">
        <f>IF(AND(NOT(ISBLANK(Table1[[#This Row],[Fetal Sex (Male, Female or Unknown)]])),ISNUMBER(Table1[[#This Row],[Birthweight (grams)]]),ISNUMBER(Table1[[#This Row],[Gestation (days)]])),TRUE,FALSE)</f>
        <v>0</v>
      </c>
      <c r="E1535" s="2" t="str">
        <f>IF(Table1[[#This Row],[Is Data Valid]]=TRUE,IF(Table1[[#This Row],[Fetal Sex (Male, Female or Unknown)]]="Male",Backend!$C$6,IF(Table1[[#This Row],[Fetal Sex (Male, Female or Unknown)]]="Female",Backend!$C$7,IF(Table1[[#This Row],[Fetal Sex (Male, Female or Unknown)]]="Unknown",Backend!$C$8,"Error"))),"")</f>
        <v/>
      </c>
      <c r="F1535" s="8" t="str">
        <f>IF(Table1[[#This Row],[Is Data Valid]]=TRUE,EXP(0.578+0.332*((Table1[[#This Row],[Gestation (days)]]+0.5)/7)-0.00354*((Table1[[#This Row],[Gestation (days)]]+0.5)/7)^2)*Table1[[#This Row],[BW40_3705]],"")</f>
        <v/>
      </c>
      <c r="G1535" s="2" t="str">
        <f>IF(Table1[[#This Row],[Is Data Valid]]=TRUE,((Table1[[#This Row],[Birthweight (grams)]]/Table1[[#This Row],[BW_GA]])-1)/(Backend!$B$4/100*Table1[[#This Row],[BW40_3705]]),"")</f>
        <v/>
      </c>
      <c r="H1535" s="7" t="str">
        <f>IF(Table1[[#This Row],[Is Data Valid]]=TRUE,((Table1[[#This Row],[Birthweight (grams)]]*0.9/Table1[[#This Row],[BW_GA]])-1)/(Backend!$B$4/100*Table1[[#This Row],[BW40_3705]]),"")</f>
        <v/>
      </c>
      <c r="I1535" s="7" t="str">
        <f>IF(Table1[[#This Row],[Is Data Valid]]=TRUE,((Table1[[#This Row],[Birthweight (grams)]]*1.1/Table1[[#This Row],[BW_GA]])-1)/(Backend!$B$4/100*Table1[[#This Row],[BW40_3705]]),"")</f>
        <v/>
      </c>
      <c r="J1535" s="7" t="str">
        <f>IF(Table1[[#This Row],[Is Data Valid]]=TRUE,_xlfn.NORM.S.DIST(Table1[[#This Row],[Birthweight Z-Score]],TRUE)*100,"")</f>
        <v/>
      </c>
      <c r="K1535" s="7" t="str">
        <f>IF(Table1[[#This Row],[Is Data Valid]]=TRUE,_xlfn.NORM.S.DIST(Table1[[#This Row],[Birthweight Z-Score (BW-10%)]],TRUE)*100,"")</f>
        <v/>
      </c>
      <c r="L1535" s="7" t="str">
        <f>IF(Table1[[#This Row],[Is Data Valid]]=TRUE,_xlfn.NORM.S.DIST(Table1[[#This Row],[Birthweight Z-Score (BW+10%)]],TRUE)*100,"")</f>
        <v/>
      </c>
    </row>
    <row r="1536" spans="1:12" x14ac:dyDescent="0.35">
      <c r="A1536" s="3"/>
      <c r="B1536" s="2"/>
      <c r="C1536" s="2"/>
      <c r="D1536" s="2" t="b">
        <f>IF(AND(NOT(ISBLANK(Table1[[#This Row],[Fetal Sex (Male, Female or Unknown)]])),ISNUMBER(Table1[[#This Row],[Birthweight (grams)]]),ISNUMBER(Table1[[#This Row],[Gestation (days)]])),TRUE,FALSE)</f>
        <v>0</v>
      </c>
      <c r="E1536" s="2" t="str">
        <f>IF(Table1[[#This Row],[Is Data Valid]]=TRUE,IF(Table1[[#This Row],[Fetal Sex (Male, Female or Unknown)]]="Male",Backend!$C$6,IF(Table1[[#This Row],[Fetal Sex (Male, Female or Unknown)]]="Female",Backend!$C$7,IF(Table1[[#This Row],[Fetal Sex (Male, Female or Unknown)]]="Unknown",Backend!$C$8,"Error"))),"")</f>
        <v/>
      </c>
      <c r="F1536" s="8" t="str">
        <f>IF(Table1[[#This Row],[Is Data Valid]]=TRUE,EXP(0.578+0.332*((Table1[[#This Row],[Gestation (days)]]+0.5)/7)-0.00354*((Table1[[#This Row],[Gestation (days)]]+0.5)/7)^2)*Table1[[#This Row],[BW40_3705]],"")</f>
        <v/>
      </c>
      <c r="G1536" s="2" t="str">
        <f>IF(Table1[[#This Row],[Is Data Valid]]=TRUE,((Table1[[#This Row],[Birthweight (grams)]]/Table1[[#This Row],[BW_GA]])-1)/(Backend!$B$4/100*Table1[[#This Row],[BW40_3705]]),"")</f>
        <v/>
      </c>
      <c r="H1536" s="7" t="str">
        <f>IF(Table1[[#This Row],[Is Data Valid]]=TRUE,((Table1[[#This Row],[Birthweight (grams)]]*0.9/Table1[[#This Row],[BW_GA]])-1)/(Backend!$B$4/100*Table1[[#This Row],[BW40_3705]]),"")</f>
        <v/>
      </c>
      <c r="I1536" s="7" t="str">
        <f>IF(Table1[[#This Row],[Is Data Valid]]=TRUE,((Table1[[#This Row],[Birthweight (grams)]]*1.1/Table1[[#This Row],[BW_GA]])-1)/(Backend!$B$4/100*Table1[[#This Row],[BW40_3705]]),"")</f>
        <v/>
      </c>
      <c r="J1536" s="7" t="str">
        <f>IF(Table1[[#This Row],[Is Data Valid]]=TRUE,_xlfn.NORM.S.DIST(Table1[[#This Row],[Birthweight Z-Score]],TRUE)*100,"")</f>
        <v/>
      </c>
      <c r="K1536" s="7" t="str">
        <f>IF(Table1[[#This Row],[Is Data Valid]]=TRUE,_xlfn.NORM.S.DIST(Table1[[#This Row],[Birthweight Z-Score (BW-10%)]],TRUE)*100,"")</f>
        <v/>
      </c>
      <c r="L1536" s="7" t="str">
        <f>IF(Table1[[#This Row],[Is Data Valid]]=TRUE,_xlfn.NORM.S.DIST(Table1[[#This Row],[Birthweight Z-Score (BW+10%)]],TRUE)*100,"")</f>
        <v/>
      </c>
    </row>
    <row r="1537" spans="1:12" x14ac:dyDescent="0.35">
      <c r="A1537" s="3"/>
      <c r="B1537" s="2"/>
      <c r="C1537" s="2"/>
      <c r="D1537" s="2" t="b">
        <f>IF(AND(NOT(ISBLANK(Table1[[#This Row],[Fetal Sex (Male, Female or Unknown)]])),ISNUMBER(Table1[[#This Row],[Birthweight (grams)]]),ISNUMBER(Table1[[#This Row],[Gestation (days)]])),TRUE,FALSE)</f>
        <v>0</v>
      </c>
      <c r="E1537" s="2" t="str">
        <f>IF(Table1[[#This Row],[Is Data Valid]]=TRUE,IF(Table1[[#This Row],[Fetal Sex (Male, Female or Unknown)]]="Male",Backend!$C$6,IF(Table1[[#This Row],[Fetal Sex (Male, Female or Unknown)]]="Female",Backend!$C$7,IF(Table1[[#This Row],[Fetal Sex (Male, Female or Unknown)]]="Unknown",Backend!$C$8,"Error"))),"")</f>
        <v/>
      </c>
      <c r="F1537" s="8" t="str">
        <f>IF(Table1[[#This Row],[Is Data Valid]]=TRUE,EXP(0.578+0.332*((Table1[[#This Row],[Gestation (days)]]+0.5)/7)-0.00354*((Table1[[#This Row],[Gestation (days)]]+0.5)/7)^2)*Table1[[#This Row],[BW40_3705]],"")</f>
        <v/>
      </c>
      <c r="G1537" s="2" t="str">
        <f>IF(Table1[[#This Row],[Is Data Valid]]=TRUE,((Table1[[#This Row],[Birthweight (grams)]]/Table1[[#This Row],[BW_GA]])-1)/(Backend!$B$4/100*Table1[[#This Row],[BW40_3705]]),"")</f>
        <v/>
      </c>
      <c r="H1537" s="7" t="str">
        <f>IF(Table1[[#This Row],[Is Data Valid]]=TRUE,((Table1[[#This Row],[Birthweight (grams)]]*0.9/Table1[[#This Row],[BW_GA]])-1)/(Backend!$B$4/100*Table1[[#This Row],[BW40_3705]]),"")</f>
        <v/>
      </c>
      <c r="I1537" s="7" t="str">
        <f>IF(Table1[[#This Row],[Is Data Valid]]=TRUE,((Table1[[#This Row],[Birthweight (grams)]]*1.1/Table1[[#This Row],[BW_GA]])-1)/(Backend!$B$4/100*Table1[[#This Row],[BW40_3705]]),"")</f>
        <v/>
      </c>
      <c r="J1537" s="7" t="str">
        <f>IF(Table1[[#This Row],[Is Data Valid]]=TRUE,_xlfn.NORM.S.DIST(Table1[[#This Row],[Birthweight Z-Score]],TRUE)*100,"")</f>
        <v/>
      </c>
      <c r="K1537" s="7" t="str">
        <f>IF(Table1[[#This Row],[Is Data Valid]]=TRUE,_xlfn.NORM.S.DIST(Table1[[#This Row],[Birthweight Z-Score (BW-10%)]],TRUE)*100,"")</f>
        <v/>
      </c>
      <c r="L1537" s="7" t="str">
        <f>IF(Table1[[#This Row],[Is Data Valid]]=TRUE,_xlfn.NORM.S.DIST(Table1[[#This Row],[Birthweight Z-Score (BW+10%)]],TRUE)*100,"")</f>
        <v/>
      </c>
    </row>
    <row r="1538" spans="1:12" x14ac:dyDescent="0.35">
      <c r="A1538" s="3"/>
      <c r="B1538" s="2"/>
      <c r="C1538" s="2"/>
      <c r="D1538" s="2" t="b">
        <f>IF(AND(NOT(ISBLANK(Table1[[#This Row],[Fetal Sex (Male, Female or Unknown)]])),ISNUMBER(Table1[[#This Row],[Birthweight (grams)]]),ISNUMBER(Table1[[#This Row],[Gestation (days)]])),TRUE,FALSE)</f>
        <v>0</v>
      </c>
      <c r="E1538" s="2" t="str">
        <f>IF(Table1[[#This Row],[Is Data Valid]]=TRUE,IF(Table1[[#This Row],[Fetal Sex (Male, Female or Unknown)]]="Male",Backend!$C$6,IF(Table1[[#This Row],[Fetal Sex (Male, Female or Unknown)]]="Female",Backend!$C$7,IF(Table1[[#This Row],[Fetal Sex (Male, Female or Unknown)]]="Unknown",Backend!$C$8,"Error"))),"")</f>
        <v/>
      </c>
      <c r="F1538" s="8" t="str">
        <f>IF(Table1[[#This Row],[Is Data Valid]]=TRUE,EXP(0.578+0.332*((Table1[[#This Row],[Gestation (days)]]+0.5)/7)-0.00354*((Table1[[#This Row],[Gestation (days)]]+0.5)/7)^2)*Table1[[#This Row],[BW40_3705]],"")</f>
        <v/>
      </c>
      <c r="G1538" s="2" t="str">
        <f>IF(Table1[[#This Row],[Is Data Valid]]=TRUE,((Table1[[#This Row],[Birthweight (grams)]]/Table1[[#This Row],[BW_GA]])-1)/(Backend!$B$4/100*Table1[[#This Row],[BW40_3705]]),"")</f>
        <v/>
      </c>
      <c r="H1538" s="7" t="str">
        <f>IF(Table1[[#This Row],[Is Data Valid]]=TRUE,((Table1[[#This Row],[Birthweight (grams)]]*0.9/Table1[[#This Row],[BW_GA]])-1)/(Backend!$B$4/100*Table1[[#This Row],[BW40_3705]]),"")</f>
        <v/>
      </c>
      <c r="I1538" s="7" t="str">
        <f>IF(Table1[[#This Row],[Is Data Valid]]=TRUE,((Table1[[#This Row],[Birthweight (grams)]]*1.1/Table1[[#This Row],[BW_GA]])-1)/(Backend!$B$4/100*Table1[[#This Row],[BW40_3705]]),"")</f>
        <v/>
      </c>
      <c r="J1538" s="7" t="str">
        <f>IF(Table1[[#This Row],[Is Data Valid]]=TRUE,_xlfn.NORM.S.DIST(Table1[[#This Row],[Birthweight Z-Score]],TRUE)*100,"")</f>
        <v/>
      </c>
      <c r="K1538" s="7" t="str">
        <f>IF(Table1[[#This Row],[Is Data Valid]]=TRUE,_xlfn.NORM.S.DIST(Table1[[#This Row],[Birthweight Z-Score (BW-10%)]],TRUE)*100,"")</f>
        <v/>
      </c>
      <c r="L1538" s="7" t="str">
        <f>IF(Table1[[#This Row],[Is Data Valid]]=TRUE,_xlfn.NORM.S.DIST(Table1[[#This Row],[Birthweight Z-Score (BW+10%)]],TRUE)*100,"")</f>
        <v/>
      </c>
    </row>
    <row r="1539" spans="1:12" x14ac:dyDescent="0.35">
      <c r="A1539" s="3"/>
      <c r="B1539" s="2"/>
      <c r="C1539" s="2"/>
      <c r="D1539" s="2" t="b">
        <f>IF(AND(NOT(ISBLANK(Table1[[#This Row],[Fetal Sex (Male, Female or Unknown)]])),ISNUMBER(Table1[[#This Row],[Birthweight (grams)]]),ISNUMBER(Table1[[#This Row],[Gestation (days)]])),TRUE,FALSE)</f>
        <v>0</v>
      </c>
      <c r="E1539" s="2" t="str">
        <f>IF(Table1[[#This Row],[Is Data Valid]]=TRUE,IF(Table1[[#This Row],[Fetal Sex (Male, Female or Unknown)]]="Male",Backend!$C$6,IF(Table1[[#This Row],[Fetal Sex (Male, Female or Unknown)]]="Female",Backend!$C$7,IF(Table1[[#This Row],[Fetal Sex (Male, Female or Unknown)]]="Unknown",Backend!$C$8,"Error"))),"")</f>
        <v/>
      </c>
      <c r="F1539" s="8" t="str">
        <f>IF(Table1[[#This Row],[Is Data Valid]]=TRUE,EXP(0.578+0.332*((Table1[[#This Row],[Gestation (days)]]+0.5)/7)-0.00354*((Table1[[#This Row],[Gestation (days)]]+0.5)/7)^2)*Table1[[#This Row],[BW40_3705]],"")</f>
        <v/>
      </c>
      <c r="G1539" s="2" t="str">
        <f>IF(Table1[[#This Row],[Is Data Valid]]=TRUE,((Table1[[#This Row],[Birthweight (grams)]]/Table1[[#This Row],[BW_GA]])-1)/(Backend!$B$4/100*Table1[[#This Row],[BW40_3705]]),"")</f>
        <v/>
      </c>
      <c r="H1539" s="7" t="str">
        <f>IF(Table1[[#This Row],[Is Data Valid]]=TRUE,((Table1[[#This Row],[Birthweight (grams)]]*0.9/Table1[[#This Row],[BW_GA]])-1)/(Backend!$B$4/100*Table1[[#This Row],[BW40_3705]]),"")</f>
        <v/>
      </c>
      <c r="I1539" s="7" t="str">
        <f>IF(Table1[[#This Row],[Is Data Valid]]=TRUE,((Table1[[#This Row],[Birthweight (grams)]]*1.1/Table1[[#This Row],[BW_GA]])-1)/(Backend!$B$4/100*Table1[[#This Row],[BW40_3705]]),"")</f>
        <v/>
      </c>
      <c r="J1539" s="7" t="str">
        <f>IF(Table1[[#This Row],[Is Data Valid]]=TRUE,_xlfn.NORM.S.DIST(Table1[[#This Row],[Birthweight Z-Score]],TRUE)*100,"")</f>
        <v/>
      </c>
      <c r="K1539" s="7" t="str">
        <f>IF(Table1[[#This Row],[Is Data Valid]]=TRUE,_xlfn.NORM.S.DIST(Table1[[#This Row],[Birthweight Z-Score (BW-10%)]],TRUE)*100,"")</f>
        <v/>
      </c>
      <c r="L1539" s="7" t="str">
        <f>IF(Table1[[#This Row],[Is Data Valid]]=TRUE,_xlfn.NORM.S.DIST(Table1[[#This Row],[Birthweight Z-Score (BW+10%)]],TRUE)*100,"")</f>
        <v/>
      </c>
    </row>
    <row r="1540" spans="1:12" x14ac:dyDescent="0.35">
      <c r="A1540" s="3"/>
      <c r="B1540" s="2"/>
      <c r="C1540" s="2"/>
      <c r="D1540" s="2" t="b">
        <f>IF(AND(NOT(ISBLANK(Table1[[#This Row],[Fetal Sex (Male, Female or Unknown)]])),ISNUMBER(Table1[[#This Row],[Birthweight (grams)]]),ISNUMBER(Table1[[#This Row],[Gestation (days)]])),TRUE,FALSE)</f>
        <v>0</v>
      </c>
      <c r="E1540" s="2" t="str">
        <f>IF(Table1[[#This Row],[Is Data Valid]]=TRUE,IF(Table1[[#This Row],[Fetal Sex (Male, Female or Unknown)]]="Male",Backend!$C$6,IF(Table1[[#This Row],[Fetal Sex (Male, Female or Unknown)]]="Female",Backend!$C$7,IF(Table1[[#This Row],[Fetal Sex (Male, Female or Unknown)]]="Unknown",Backend!$C$8,"Error"))),"")</f>
        <v/>
      </c>
      <c r="F1540" s="8" t="str">
        <f>IF(Table1[[#This Row],[Is Data Valid]]=TRUE,EXP(0.578+0.332*((Table1[[#This Row],[Gestation (days)]]+0.5)/7)-0.00354*((Table1[[#This Row],[Gestation (days)]]+0.5)/7)^2)*Table1[[#This Row],[BW40_3705]],"")</f>
        <v/>
      </c>
      <c r="G1540" s="2" t="str">
        <f>IF(Table1[[#This Row],[Is Data Valid]]=TRUE,((Table1[[#This Row],[Birthweight (grams)]]/Table1[[#This Row],[BW_GA]])-1)/(Backend!$B$4/100*Table1[[#This Row],[BW40_3705]]),"")</f>
        <v/>
      </c>
      <c r="H1540" s="7" t="str">
        <f>IF(Table1[[#This Row],[Is Data Valid]]=TRUE,((Table1[[#This Row],[Birthweight (grams)]]*0.9/Table1[[#This Row],[BW_GA]])-1)/(Backend!$B$4/100*Table1[[#This Row],[BW40_3705]]),"")</f>
        <v/>
      </c>
      <c r="I1540" s="7" t="str">
        <f>IF(Table1[[#This Row],[Is Data Valid]]=TRUE,((Table1[[#This Row],[Birthweight (grams)]]*1.1/Table1[[#This Row],[BW_GA]])-1)/(Backend!$B$4/100*Table1[[#This Row],[BW40_3705]]),"")</f>
        <v/>
      </c>
      <c r="J1540" s="7" t="str">
        <f>IF(Table1[[#This Row],[Is Data Valid]]=TRUE,_xlfn.NORM.S.DIST(Table1[[#This Row],[Birthweight Z-Score]],TRUE)*100,"")</f>
        <v/>
      </c>
      <c r="K1540" s="7" t="str">
        <f>IF(Table1[[#This Row],[Is Data Valid]]=TRUE,_xlfn.NORM.S.DIST(Table1[[#This Row],[Birthweight Z-Score (BW-10%)]],TRUE)*100,"")</f>
        <v/>
      </c>
      <c r="L1540" s="7" t="str">
        <f>IF(Table1[[#This Row],[Is Data Valid]]=TRUE,_xlfn.NORM.S.DIST(Table1[[#This Row],[Birthweight Z-Score (BW+10%)]],TRUE)*100,"")</f>
        <v/>
      </c>
    </row>
    <row r="1541" spans="1:12" x14ac:dyDescent="0.35">
      <c r="A1541" s="3"/>
      <c r="B1541" s="2"/>
      <c r="C1541" s="2"/>
      <c r="D1541" s="2" t="b">
        <f>IF(AND(NOT(ISBLANK(Table1[[#This Row],[Fetal Sex (Male, Female or Unknown)]])),ISNUMBER(Table1[[#This Row],[Birthweight (grams)]]),ISNUMBER(Table1[[#This Row],[Gestation (days)]])),TRUE,FALSE)</f>
        <v>0</v>
      </c>
      <c r="E1541" s="2" t="str">
        <f>IF(Table1[[#This Row],[Is Data Valid]]=TRUE,IF(Table1[[#This Row],[Fetal Sex (Male, Female or Unknown)]]="Male",Backend!$C$6,IF(Table1[[#This Row],[Fetal Sex (Male, Female or Unknown)]]="Female",Backend!$C$7,IF(Table1[[#This Row],[Fetal Sex (Male, Female or Unknown)]]="Unknown",Backend!$C$8,"Error"))),"")</f>
        <v/>
      </c>
      <c r="F1541" s="8" t="str">
        <f>IF(Table1[[#This Row],[Is Data Valid]]=TRUE,EXP(0.578+0.332*((Table1[[#This Row],[Gestation (days)]]+0.5)/7)-0.00354*((Table1[[#This Row],[Gestation (days)]]+0.5)/7)^2)*Table1[[#This Row],[BW40_3705]],"")</f>
        <v/>
      </c>
      <c r="G1541" s="2" t="str">
        <f>IF(Table1[[#This Row],[Is Data Valid]]=TRUE,((Table1[[#This Row],[Birthweight (grams)]]/Table1[[#This Row],[BW_GA]])-1)/(Backend!$B$4/100*Table1[[#This Row],[BW40_3705]]),"")</f>
        <v/>
      </c>
      <c r="H1541" s="7" t="str">
        <f>IF(Table1[[#This Row],[Is Data Valid]]=TRUE,((Table1[[#This Row],[Birthweight (grams)]]*0.9/Table1[[#This Row],[BW_GA]])-1)/(Backend!$B$4/100*Table1[[#This Row],[BW40_3705]]),"")</f>
        <v/>
      </c>
      <c r="I1541" s="7" t="str">
        <f>IF(Table1[[#This Row],[Is Data Valid]]=TRUE,((Table1[[#This Row],[Birthweight (grams)]]*1.1/Table1[[#This Row],[BW_GA]])-1)/(Backend!$B$4/100*Table1[[#This Row],[BW40_3705]]),"")</f>
        <v/>
      </c>
      <c r="J1541" s="7" t="str">
        <f>IF(Table1[[#This Row],[Is Data Valid]]=TRUE,_xlfn.NORM.S.DIST(Table1[[#This Row],[Birthweight Z-Score]],TRUE)*100,"")</f>
        <v/>
      </c>
      <c r="K1541" s="7" t="str">
        <f>IF(Table1[[#This Row],[Is Data Valid]]=TRUE,_xlfn.NORM.S.DIST(Table1[[#This Row],[Birthweight Z-Score (BW-10%)]],TRUE)*100,"")</f>
        <v/>
      </c>
      <c r="L1541" s="7" t="str">
        <f>IF(Table1[[#This Row],[Is Data Valid]]=TRUE,_xlfn.NORM.S.DIST(Table1[[#This Row],[Birthweight Z-Score (BW+10%)]],TRUE)*100,"")</f>
        <v/>
      </c>
    </row>
    <row r="1542" spans="1:12" x14ac:dyDescent="0.35">
      <c r="A1542" s="3"/>
      <c r="B1542" s="2"/>
      <c r="C1542" s="2"/>
      <c r="D1542" s="2" t="b">
        <f>IF(AND(NOT(ISBLANK(Table1[[#This Row],[Fetal Sex (Male, Female or Unknown)]])),ISNUMBER(Table1[[#This Row],[Birthweight (grams)]]),ISNUMBER(Table1[[#This Row],[Gestation (days)]])),TRUE,FALSE)</f>
        <v>0</v>
      </c>
      <c r="E1542" s="2" t="str">
        <f>IF(Table1[[#This Row],[Is Data Valid]]=TRUE,IF(Table1[[#This Row],[Fetal Sex (Male, Female or Unknown)]]="Male",Backend!$C$6,IF(Table1[[#This Row],[Fetal Sex (Male, Female or Unknown)]]="Female",Backend!$C$7,IF(Table1[[#This Row],[Fetal Sex (Male, Female or Unknown)]]="Unknown",Backend!$C$8,"Error"))),"")</f>
        <v/>
      </c>
      <c r="F1542" s="8" t="str">
        <f>IF(Table1[[#This Row],[Is Data Valid]]=TRUE,EXP(0.578+0.332*((Table1[[#This Row],[Gestation (days)]]+0.5)/7)-0.00354*((Table1[[#This Row],[Gestation (days)]]+0.5)/7)^2)*Table1[[#This Row],[BW40_3705]],"")</f>
        <v/>
      </c>
      <c r="G1542" s="2" t="str">
        <f>IF(Table1[[#This Row],[Is Data Valid]]=TRUE,((Table1[[#This Row],[Birthweight (grams)]]/Table1[[#This Row],[BW_GA]])-1)/(Backend!$B$4/100*Table1[[#This Row],[BW40_3705]]),"")</f>
        <v/>
      </c>
      <c r="H1542" s="7" t="str">
        <f>IF(Table1[[#This Row],[Is Data Valid]]=TRUE,((Table1[[#This Row],[Birthweight (grams)]]*0.9/Table1[[#This Row],[BW_GA]])-1)/(Backend!$B$4/100*Table1[[#This Row],[BW40_3705]]),"")</f>
        <v/>
      </c>
      <c r="I1542" s="7" t="str">
        <f>IF(Table1[[#This Row],[Is Data Valid]]=TRUE,((Table1[[#This Row],[Birthweight (grams)]]*1.1/Table1[[#This Row],[BW_GA]])-1)/(Backend!$B$4/100*Table1[[#This Row],[BW40_3705]]),"")</f>
        <v/>
      </c>
      <c r="J1542" s="7" t="str">
        <f>IF(Table1[[#This Row],[Is Data Valid]]=TRUE,_xlfn.NORM.S.DIST(Table1[[#This Row],[Birthweight Z-Score]],TRUE)*100,"")</f>
        <v/>
      </c>
      <c r="K1542" s="7" t="str">
        <f>IF(Table1[[#This Row],[Is Data Valid]]=TRUE,_xlfn.NORM.S.DIST(Table1[[#This Row],[Birthweight Z-Score (BW-10%)]],TRUE)*100,"")</f>
        <v/>
      </c>
      <c r="L1542" s="7" t="str">
        <f>IF(Table1[[#This Row],[Is Data Valid]]=TRUE,_xlfn.NORM.S.DIST(Table1[[#This Row],[Birthweight Z-Score (BW+10%)]],TRUE)*100,"")</f>
        <v/>
      </c>
    </row>
    <row r="1543" spans="1:12" x14ac:dyDescent="0.35">
      <c r="A1543" s="3"/>
      <c r="B1543" s="2"/>
      <c r="C1543" s="2"/>
      <c r="D1543" s="2" t="b">
        <f>IF(AND(NOT(ISBLANK(Table1[[#This Row],[Fetal Sex (Male, Female or Unknown)]])),ISNUMBER(Table1[[#This Row],[Birthweight (grams)]]),ISNUMBER(Table1[[#This Row],[Gestation (days)]])),TRUE,FALSE)</f>
        <v>0</v>
      </c>
      <c r="E1543" s="2" t="str">
        <f>IF(Table1[[#This Row],[Is Data Valid]]=TRUE,IF(Table1[[#This Row],[Fetal Sex (Male, Female or Unknown)]]="Male",Backend!$C$6,IF(Table1[[#This Row],[Fetal Sex (Male, Female or Unknown)]]="Female",Backend!$C$7,IF(Table1[[#This Row],[Fetal Sex (Male, Female or Unknown)]]="Unknown",Backend!$C$8,"Error"))),"")</f>
        <v/>
      </c>
      <c r="F1543" s="8" t="str">
        <f>IF(Table1[[#This Row],[Is Data Valid]]=TRUE,EXP(0.578+0.332*((Table1[[#This Row],[Gestation (days)]]+0.5)/7)-0.00354*((Table1[[#This Row],[Gestation (days)]]+0.5)/7)^2)*Table1[[#This Row],[BW40_3705]],"")</f>
        <v/>
      </c>
      <c r="G1543" s="2" t="str">
        <f>IF(Table1[[#This Row],[Is Data Valid]]=TRUE,((Table1[[#This Row],[Birthweight (grams)]]/Table1[[#This Row],[BW_GA]])-1)/(Backend!$B$4/100*Table1[[#This Row],[BW40_3705]]),"")</f>
        <v/>
      </c>
      <c r="H1543" s="7" t="str">
        <f>IF(Table1[[#This Row],[Is Data Valid]]=TRUE,((Table1[[#This Row],[Birthweight (grams)]]*0.9/Table1[[#This Row],[BW_GA]])-1)/(Backend!$B$4/100*Table1[[#This Row],[BW40_3705]]),"")</f>
        <v/>
      </c>
      <c r="I1543" s="7" t="str">
        <f>IF(Table1[[#This Row],[Is Data Valid]]=TRUE,((Table1[[#This Row],[Birthweight (grams)]]*1.1/Table1[[#This Row],[BW_GA]])-1)/(Backend!$B$4/100*Table1[[#This Row],[BW40_3705]]),"")</f>
        <v/>
      </c>
      <c r="J1543" s="7" t="str">
        <f>IF(Table1[[#This Row],[Is Data Valid]]=TRUE,_xlfn.NORM.S.DIST(Table1[[#This Row],[Birthweight Z-Score]],TRUE)*100,"")</f>
        <v/>
      </c>
      <c r="K1543" s="7" t="str">
        <f>IF(Table1[[#This Row],[Is Data Valid]]=TRUE,_xlfn.NORM.S.DIST(Table1[[#This Row],[Birthweight Z-Score (BW-10%)]],TRUE)*100,"")</f>
        <v/>
      </c>
      <c r="L1543" s="7" t="str">
        <f>IF(Table1[[#This Row],[Is Data Valid]]=TRUE,_xlfn.NORM.S.DIST(Table1[[#This Row],[Birthweight Z-Score (BW+10%)]],TRUE)*100,"")</f>
        <v/>
      </c>
    </row>
    <row r="1544" spans="1:12" x14ac:dyDescent="0.35">
      <c r="A1544" s="3"/>
      <c r="B1544" s="2"/>
      <c r="C1544" s="2"/>
      <c r="D1544" s="2" t="b">
        <f>IF(AND(NOT(ISBLANK(Table1[[#This Row],[Fetal Sex (Male, Female or Unknown)]])),ISNUMBER(Table1[[#This Row],[Birthweight (grams)]]),ISNUMBER(Table1[[#This Row],[Gestation (days)]])),TRUE,FALSE)</f>
        <v>0</v>
      </c>
      <c r="E1544" s="2" t="str">
        <f>IF(Table1[[#This Row],[Is Data Valid]]=TRUE,IF(Table1[[#This Row],[Fetal Sex (Male, Female or Unknown)]]="Male",Backend!$C$6,IF(Table1[[#This Row],[Fetal Sex (Male, Female or Unknown)]]="Female",Backend!$C$7,IF(Table1[[#This Row],[Fetal Sex (Male, Female or Unknown)]]="Unknown",Backend!$C$8,"Error"))),"")</f>
        <v/>
      </c>
      <c r="F1544" s="8" t="str">
        <f>IF(Table1[[#This Row],[Is Data Valid]]=TRUE,EXP(0.578+0.332*((Table1[[#This Row],[Gestation (days)]]+0.5)/7)-0.00354*((Table1[[#This Row],[Gestation (days)]]+0.5)/7)^2)*Table1[[#This Row],[BW40_3705]],"")</f>
        <v/>
      </c>
      <c r="G1544" s="2" t="str">
        <f>IF(Table1[[#This Row],[Is Data Valid]]=TRUE,((Table1[[#This Row],[Birthweight (grams)]]/Table1[[#This Row],[BW_GA]])-1)/(Backend!$B$4/100*Table1[[#This Row],[BW40_3705]]),"")</f>
        <v/>
      </c>
      <c r="H1544" s="7" t="str">
        <f>IF(Table1[[#This Row],[Is Data Valid]]=TRUE,((Table1[[#This Row],[Birthweight (grams)]]*0.9/Table1[[#This Row],[BW_GA]])-1)/(Backend!$B$4/100*Table1[[#This Row],[BW40_3705]]),"")</f>
        <v/>
      </c>
      <c r="I1544" s="7" t="str">
        <f>IF(Table1[[#This Row],[Is Data Valid]]=TRUE,((Table1[[#This Row],[Birthweight (grams)]]*1.1/Table1[[#This Row],[BW_GA]])-1)/(Backend!$B$4/100*Table1[[#This Row],[BW40_3705]]),"")</f>
        <v/>
      </c>
      <c r="J1544" s="7" t="str">
        <f>IF(Table1[[#This Row],[Is Data Valid]]=TRUE,_xlfn.NORM.S.DIST(Table1[[#This Row],[Birthweight Z-Score]],TRUE)*100,"")</f>
        <v/>
      </c>
      <c r="K1544" s="7" t="str">
        <f>IF(Table1[[#This Row],[Is Data Valid]]=TRUE,_xlfn.NORM.S.DIST(Table1[[#This Row],[Birthweight Z-Score (BW-10%)]],TRUE)*100,"")</f>
        <v/>
      </c>
      <c r="L1544" s="7" t="str">
        <f>IF(Table1[[#This Row],[Is Data Valid]]=TRUE,_xlfn.NORM.S.DIST(Table1[[#This Row],[Birthweight Z-Score (BW+10%)]],TRUE)*100,"")</f>
        <v/>
      </c>
    </row>
    <row r="1545" spans="1:12" x14ac:dyDescent="0.35">
      <c r="A1545" s="3"/>
      <c r="B1545" s="2"/>
      <c r="C1545" s="2"/>
      <c r="D1545" s="2" t="b">
        <f>IF(AND(NOT(ISBLANK(Table1[[#This Row],[Fetal Sex (Male, Female or Unknown)]])),ISNUMBER(Table1[[#This Row],[Birthweight (grams)]]),ISNUMBER(Table1[[#This Row],[Gestation (days)]])),TRUE,FALSE)</f>
        <v>0</v>
      </c>
      <c r="E1545" s="2" t="str">
        <f>IF(Table1[[#This Row],[Is Data Valid]]=TRUE,IF(Table1[[#This Row],[Fetal Sex (Male, Female or Unknown)]]="Male",Backend!$C$6,IF(Table1[[#This Row],[Fetal Sex (Male, Female or Unknown)]]="Female",Backend!$C$7,IF(Table1[[#This Row],[Fetal Sex (Male, Female or Unknown)]]="Unknown",Backend!$C$8,"Error"))),"")</f>
        <v/>
      </c>
      <c r="F1545" s="8" t="str">
        <f>IF(Table1[[#This Row],[Is Data Valid]]=TRUE,EXP(0.578+0.332*((Table1[[#This Row],[Gestation (days)]]+0.5)/7)-0.00354*((Table1[[#This Row],[Gestation (days)]]+0.5)/7)^2)*Table1[[#This Row],[BW40_3705]],"")</f>
        <v/>
      </c>
      <c r="G1545" s="2" t="str">
        <f>IF(Table1[[#This Row],[Is Data Valid]]=TRUE,((Table1[[#This Row],[Birthweight (grams)]]/Table1[[#This Row],[BW_GA]])-1)/(Backend!$B$4/100*Table1[[#This Row],[BW40_3705]]),"")</f>
        <v/>
      </c>
      <c r="H1545" s="7" t="str">
        <f>IF(Table1[[#This Row],[Is Data Valid]]=TRUE,((Table1[[#This Row],[Birthweight (grams)]]*0.9/Table1[[#This Row],[BW_GA]])-1)/(Backend!$B$4/100*Table1[[#This Row],[BW40_3705]]),"")</f>
        <v/>
      </c>
      <c r="I1545" s="7" t="str">
        <f>IF(Table1[[#This Row],[Is Data Valid]]=TRUE,((Table1[[#This Row],[Birthweight (grams)]]*1.1/Table1[[#This Row],[BW_GA]])-1)/(Backend!$B$4/100*Table1[[#This Row],[BW40_3705]]),"")</f>
        <v/>
      </c>
      <c r="J1545" s="7" t="str">
        <f>IF(Table1[[#This Row],[Is Data Valid]]=TRUE,_xlfn.NORM.S.DIST(Table1[[#This Row],[Birthweight Z-Score]],TRUE)*100,"")</f>
        <v/>
      </c>
      <c r="K1545" s="7" t="str">
        <f>IF(Table1[[#This Row],[Is Data Valid]]=TRUE,_xlfn.NORM.S.DIST(Table1[[#This Row],[Birthweight Z-Score (BW-10%)]],TRUE)*100,"")</f>
        <v/>
      </c>
      <c r="L1545" s="7" t="str">
        <f>IF(Table1[[#This Row],[Is Data Valid]]=TRUE,_xlfn.NORM.S.DIST(Table1[[#This Row],[Birthweight Z-Score (BW+10%)]],TRUE)*100,"")</f>
        <v/>
      </c>
    </row>
    <row r="1546" spans="1:12" x14ac:dyDescent="0.35">
      <c r="A1546" s="3"/>
      <c r="B1546" s="2"/>
      <c r="C1546" s="2"/>
      <c r="D1546" s="2" t="b">
        <f>IF(AND(NOT(ISBLANK(Table1[[#This Row],[Fetal Sex (Male, Female or Unknown)]])),ISNUMBER(Table1[[#This Row],[Birthweight (grams)]]),ISNUMBER(Table1[[#This Row],[Gestation (days)]])),TRUE,FALSE)</f>
        <v>0</v>
      </c>
      <c r="E1546" s="2" t="str">
        <f>IF(Table1[[#This Row],[Is Data Valid]]=TRUE,IF(Table1[[#This Row],[Fetal Sex (Male, Female or Unknown)]]="Male",Backend!$C$6,IF(Table1[[#This Row],[Fetal Sex (Male, Female or Unknown)]]="Female",Backend!$C$7,IF(Table1[[#This Row],[Fetal Sex (Male, Female or Unknown)]]="Unknown",Backend!$C$8,"Error"))),"")</f>
        <v/>
      </c>
      <c r="F1546" s="8" t="str">
        <f>IF(Table1[[#This Row],[Is Data Valid]]=TRUE,EXP(0.578+0.332*((Table1[[#This Row],[Gestation (days)]]+0.5)/7)-0.00354*((Table1[[#This Row],[Gestation (days)]]+0.5)/7)^2)*Table1[[#This Row],[BW40_3705]],"")</f>
        <v/>
      </c>
      <c r="G1546" s="2" t="str">
        <f>IF(Table1[[#This Row],[Is Data Valid]]=TRUE,((Table1[[#This Row],[Birthweight (grams)]]/Table1[[#This Row],[BW_GA]])-1)/(Backend!$B$4/100*Table1[[#This Row],[BW40_3705]]),"")</f>
        <v/>
      </c>
      <c r="H1546" s="7" t="str">
        <f>IF(Table1[[#This Row],[Is Data Valid]]=TRUE,((Table1[[#This Row],[Birthweight (grams)]]*0.9/Table1[[#This Row],[BW_GA]])-1)/(Backend!$B$4/100*Table1[[#This Row],[BW40_3705]]),"")</f>
        <v/>
      </c>
      <c r="I1546" s="7" t="str">
        <f>IF(Table1[[#This Row],[Is Data Valid]]=TRUE,((Table1[[#This Row],[Birthweight (grams)]]*1.1/Table1[[#This Row],[BW_GA]])-1)/(Backend!$B$4/100*Table1[[#This Row],[BW40_3705]]),"")</f>
        <v/>
      </c>
      <c r="J1546" s="7" t="str">
        <f>IF(Table1[[#This Row],[Is Data Valid]]=TRUE,_xlfn.NORM.S.DIST(Table1[[#This Row],[Birthweight Z-Score]],TRUE)*100,"")</f>
        <v/>
      </c>
      <c r="K1546" s="7" t="str">
        <f>IF(Table1[[#This Row],[Is Data Valid]]=TRUE,_xlfn.NORM.S.DIST(Table1[[#This Row],[Birthweight Z-Score (BW-10%)]],TRUE)*100,"")</f>
        <v/>
      </c>
      <c r="L1546" s="7" t="str">
        <f>IF(Table1[[#This Row],[Is Data Valid]]=TRUE,_xlfn.NORM.S.DIST(Table1[[#This Row],[Birthweight Z-Score (BW+10%)]],TRUE)*100,"")</f>
        <v/>
      </c>
    </row>
    <row r="1547" spans="1:12" x14ac:dyDescent="0.35">
      <c r="A1547" s="3"/>
      <c r="B1547" s="2"/>
      <c r="C1547" s="2"/>
      <c r="D1547" s="2" t="b">
        <f>IF(AND(NOT(ISBLANK(Table1[[#This Row],[Fetal Sex (Male, Female or Unknown)]])),ISNUMBER(Table1[[#This Row],[Birthweight (grams)]]),ISNUMBER(Table1[[#This Row],[Gestation (days)]])),TRUE,FALSE)</f>
        <v>0</v>
      </c>
      <c r="E1547" s="2" t="str">
        <f>IF(Table1[[#This Row],[Is Data Valid]]=TRUE,IF(Table1[[#This Row],[Fetal Sex (Male, Female or Unknown)]]="Male",Backend!$C$6,IF(Table1[[#This Row],[Fetal Sex (Male, Female or Unknown)]]="Female",Backend!$C$7,IF(Table1[[#This Row],[Fetal Sex (Male, Female or Unknown)]]="Unknown",Backend!$C$8,"Error"))),"")</f>
        <v/>
      </c>
      <c r="F1547" s="8" t="str">
        <f>IF(Table1[[#This Row],[Is Data Valid]]=TRUE,EXP(0.578+0.332*((Table1[[#This Row],[Gestation (days)]]+0.5)/7)-0.00354*((Table1[[#This Row],[Gestation (days)]]+0.5)/7)^2)*Table1[[#This Row],[BW40_3705]],"")</f>
        <v/>
      </c>
      <c r="G1547" s="2" t="str">
        <f>IF(Table1[[#This Row],[Is Data Valid]]=TRUE,((Table1[[#This Row],[Birthweight (grams)]]/Table1[[#This Row],[BW_GA]])-1)/(Backend!$B$4/100*Table1[[#This Row],[BW40_3705]]),"")</f>
        <v/>
      </c>
      <c r="H1547" s="7" t="str">
        <f>IF(Table1[[#This Row],[Is Data Valid]]=TRUE,((Table1[[#This Row],[Birthweight (grams)]]*0.9/Table1[[#This Row],[BW_GA]])-1)/(Backend!$B$4/100*Table1[[#This Row],[BW40_3705]]),"")</f>
        <v/>
      </c>
      <c r="I1547" s="7" t="str">
        <f>IF(Table1[[#This Row],[Is Data Valid]]=TRUE,((Table1[[#This Row],[Birthweight (grams)]]*1.1/Table1[[#This Row],[BW_GA]])-1)/(Backend!$B$4/100*Table1[[#This Row],[BW40_3705]]),"")</f>
        <v/>
      </c>
      <c r="J1547" s="7" t="str">
        <f>IF(Table1[[#This Row],[Is Data Valid]]=TRUE,_xlfn.NORM.S.DIST(Table1[[#This Row],[Birthweight Z-Score]],TRUE)*100,"")</f>
        <v/>
      </c>
      <c r="K1547" s="7" t="str">
        <f>IF(Table1[[#This Row],[Is Data Valid]]=TRUE,_xlfn.NORM.S.DIST(Table1[[#This Row],[Birthweight Z-Score (BW-10%)]],TRUE)*100,"")</f>
        <v/>
      </c>
      <c r="L1547" s="7" t="str">
        <f>IF(Table1[[#This Row],[Is Data Valid]]=TRUE,_xlfn.NORM.S.DIST(Table1[[#This Row],[Birthweight Z-Score (BW+10%)]],TRUE)*100,"")</f>
        <v/>
      </c>
    </row>
    <row r="1548" spans="1:12" x14ac:dyDescent="0.35">
      <c r="A1548" s="3"/>
      <c r="B1548" s="2"/>
      <c r="C1548" s="2"/>
      <c r="D1548" s="2" t="b">
        <f>IF(AND(NOT(ISBLANK(Table1[[#This Row],[Fetal Sex (Male, Female or Unknown)]])),ISNUMBER(Table1[[#This Row],[Birthweight (grams)]]),ISNUMBER(Table1[[#This Row],[Gestation (days)]])),TRUE,FALSE)</f>
        <v>0</v>
      </c>
      <c r="E1548" s="2" t="str">
        <f>IF(Table1[[#This Row],[Is Data Valid]]=TRUE,IF(Table1[[#This Row],[Fetal Sex (Male, Female or Unknown)]]="Male",Backend!$C$6,IF(Table1[[#This Row],[Fetal Sex (Male, Female or Unknown)]]="Female",Backend!$C$7,IF(Table1[[#This Row],[Fetal Sex (Male, Female or Unknown)]]="Unknown",Backend!$C$8,"Error"))),"")</f>
        <v/>
      </c>
      <c r="F1548" s="8" t="str">
        <f>IF(Table1[[#This Row],[Is Data Valid]]=TRUE,EXP(0.578+0.332*((Table1[[#This Row],[Gestation (days)]]+0.5)/7)-0.00354*((Table1[[#This Row],[Gestation (days)]]+0.5)/7)^2)*Table1[[#This Row],[BW40_3705]],"")</f>
        <v/>
      </c>
      <c r="G1548" s="2" t="str">
        <f>IF(Table1[[#This Row],[Is Data Valid]]=TRUE,((Table1[[#This Row],[Birthweight (grams)]]/Table1[[#This Row],[BW_GA]])-1)/(Backend!$B$4/100*Table1[[#This Row],[BW40_3705]]),"")</f>
        <v/>
      </c>
      <c r="H1548" s="7" t="str">
        <f>IF(Table1[[#This Row],[Is Data Valid]]=TRUE,((Table1[[#This Row],[Birthweight (grams)]]*0.9/Table1[[#This Row],[BW_GA]])-1)/(Backend!$B$4/100*Table1[[#This Row],[BW40_3705]]),"")</f>
        <v/>
      </c>
      <c r="I1548" s="7" t="str">
        <f>IF(Table1[[#This Row],[Is Data Valid]]=TRUE,((Table1[[#This Row],[Birthweight (grams)]]*1.1/Table1[[#This Row],[BW_GA]])-1)/(Backend!$B$4/100*Table1[[#This Row],[BW40_3705]]),"")</f>
        <v/>
      </c>
      <c r="J1548" s="7" t="str">
        <f>IF(Table1[[#This Row],[Is Data Valid]]=TRUE,_xlfn.NORM.S.DIST(Table1[[#This Row],[Birthweight Z-Score]],TRUE)*100,"")</f>
        <v/>
      </c>
      <c r="K1548" s="7" t="str">
        <f>IF(Table1[[#This Row],[Is Data Valid]]=TRUE,_xlfn.NORM.S.DIST(Table1[[#This Row],[Birthweight Z-Score (BW-10%)]],TRUE)*100,"")</f>
        <v/>
      </c>
      <c r="L1548" s="7" t="str">
        <f>IF(Table1[[#This Row],[Is Data Valid]]=TRUE,_xlfn.NORM.S.DIST(Table1[[#This Row],[Birthweight Z-Score (BW+10%)]],TRUE)*100,"")</f>
        <v/>
      </c>
    </row>
    <row r="1549" spans="1:12" x14ac:dyDescent="0.35">
      <c r="A1549" s="3"/>
      <c r="B1549" s="2"/>
      <c r="C1549" s="2"/>
      <c r="D1549" s="2" t="b">
        <f>IF(AND(NOT(ISBLANK(Table1[[#This Row],[Fetal Sex (Male, Female or Unknown)]])),ISNUMBER(Table1[[#This Row],[Birthweight (grams)]]),ISNUMBER(Table1[[#This Row],[Gestation (days)]])),TRUE,FALSE)</f>
        <v>0</v>
      </c>
      <c r="E1549" s="2" t="str">
        <f>IF(Table1[[#This Row],[Is Data Valid]]=TRUE,IF(Table1[[#This Row],[Fetal Sex (Male, Female or Unknown)]]="Male",Backend!$C$6,IF(Table1[[#This Row],[Fetal Sex (Male, Female or Unknown)]]="Female",Backend!$C$7,IF(Table1[[#This Row],[Fetal Sex (Male, Female or Unknown)]]="Unknown",Backend!$C$8,"Error"))),"")</f>
        <v/>
      </c>
      <c r="F1549" s="8" t="str">
        <f>IF(Table1[[#This Row],[Is Data Valid]]=TRUE,EXP(0.578+0.332*((Table1[[#This Row],[Gestation (days)]]+0.5)/7)-0.00354*((Table1[[#This Row],[Gestation (days)]]+0.5)/7)^2)*Table1[[#This Row],[BW40_3705]],"")</f>
        <v/>
      </c>
      <c r="G1549" s="2" t="str">
        <f>IF(Table1[[#This Row],[Is Data Valid]]=TRUE,((Table1[[#This Row],[Birthweight (grams)]]/Table1[[#This Row],[BW_GA]])-1)/(Backend!$B$4/100*Table1[[#This Row],[BW40_3705]]),"")</f>
        <v/>
      </c>
      <c r="H1549" s="7" t="str">
        <f>IF(Table1[[#This Row],[Is Data Valid]]=TRUE,((Table1[[#This Row],[Birthweight (grams)]]*0.9/Table1[[#This Row],[BW_GA]])-1)/(Backend!$B$4/100*Table1[[#This Row],[BW40_3705]]),"")</f>
        <v/>
      </c>
      <c r="I1549" s="7" t="str">
        <f>IF(Table1[[#This Row],[Is Data Valid]]=TRUE,((Table1[[#This Row],[Birthweight (grams)]]*1.1/Table1[[#This Row],[BW_GA]])-1)/(Backend!$B$4/100*Table1[[#This Row],[BW40_3705]]),"")</f>
        <v/>
      </c>
      <c r="J1549" s="7" t="str">
        <f>IF(Table1[[#This Row],[Is Data Valid]]=TRUE,_xlfn.NORM.S.DIST(Table1[[#This Row],[Birthweight Z-Score]],TRUE)*100,"")</f>
        <v/>
      </c>
      <c r="K1549" s="7" t="str">
        <f>IF(Table1[[#This Row],[Is Data Valid]]=TRUE,_xlfn.NORM.S.DIST(Table1[[#This Row],[Birthweight Z-Score (BW-10%)]],TRUE)*100,"")</f>
        <v/>
      </c>
      <c r="L1549" s="7" t="str">
        <f>IF(Table1[[#This Row],[Is Data Valid]]=TRUE,_xlfn.NORM.S.DIST(Table1[[#This Row],[Birthweight Z-Score (BW+10%)]],TRUE)*100,"")</f>
        <v/>
      </c>
    </row>
    <row r="1550" spans="1:12" x14ac:dyDescent="0.35">
      <c r="A1550" s="3"/>
      <c r="B1550" s="2"/>
      <c r="C1550" s="2"/>
      <c r="D1550" s="2" t="b">
        <f>IF(AND(NOT(ISBLANK(Table1[[#This Row],[Fetal Sex (Male, Female or Unknown)]])),ISNUMBER(Table1[[#This Row],[Birthweight (grams)]]),ISNUMBER(Table1[[#This Row],[Gestation (days)]])),TRUE,FALSE)</f>
        <v>0</v>
      </c>
      <c r="E1550" s="2" t="str">
        <f>IF(Table1[[#This Row],[Is Data Valid]]=TRUE,IF(Table1[[#This Row],[Fetal Sex (Male, Female or Unknown)]]="Male",Backend!$C$6,IF(Table1[[#This Row],[Fetal Sex (Male, Female or Unknown)]]="Female",Backend!$C$7,IF(Table1[[#This Row],[Fetal Sex (Male, Female or Unknown)]]="Unknown",Backend!$C$8,"Error"))),"")</f>
        <v/>
      </c>
      <c r="F1550" s="8" t="str">
        <f>IF(Table1[[#This Row],[Is Data Valid]]=TRUE,EXP(0.578+0.332*((Table1[[#This Row],[Gestation (days)]]+0.5)/7)-0.00354*((Table1[[#This Row],[Gestation (days)]]+0.5)/7)^2)*Table1[[#This Row],[BW40_3705]],"")</f>
        <v/>
      </c>
      <c r="G1550" s="2" t="str">
        <f>IF(Table1[[#This Row],[Is Data Valid]]=TRUE,((Table1[[#This Row],[Birthweight (grams)]]/Table1[[#This Row],[BW_GA]])-1)/(Backend!$B$4/100*Table1[[#This Row],[BW40_3705]]),"")</f>
        <v/>
      </c>
      <c r="H1550" s="7" t="str">
        <f>IF(Table1[[#This Row],[Is Data Valid]]=TRUE,((Table1[[#This Row],[Birthweight (grams)]]*0.9/Table1[[#This Row],[BW_GA]])-1)/(Backend!$B$4/100*Table1[[#This Row],[BW40_3705]]),"")</f>
        <v/>
      </c>
      <c r="I1550" s="7" t="str">
        <f>IF(Table1[[#This Row],[Is Data Valid]]=TRUE,((Table1[[#This Row],[Birthweight (grams)]]*1.1/Table1[[#This Row],[BW_GA]])-1)/(Backend!$B$4/100*Table1[[#This Row],[BW40_3705]]),"")</f>
        <v/>
      </c>
      <c r="J1550" s="7" t="str">
        <f>IF(Table1[[#This Row],[Is Data Valid]]=TRUE,_xlfn.NORM.S.DIST(Table1[[#This Row],[Birthweight Z-Score]],TRUE)*100,"")</f>
        <v/>
      </c>
      <c r="K1550" s="7" t="str">
        <f>IF(Table1[[#This Row],[Is Data Valid]]=TRUE,_xlfn.NORM.S.DIST(Table1[[#This Row],[Birthweight Z-Score (BW-10%)]],TRUE)*100,"")</f>
        <v/>
      </c>
      <c r="L1550" s="7" t="str">
        <f>IF(Table1[[#This Row],[Is Data Valid]]=TRUE,_xlfn.NORM.S.DIST(Table1[[#This Row],[Birthweight Z-Score (BW+10%)]],TRUE)*100,"")</f>
        <v/>
      </c>
    </row>
    <row r="1551" spans="1:12" x14ac:dyDescent="0.35">
      <c r="A1551" s="3"/>
      <c r="B1551" s="2"/>
      <c r="C1551" s="2"/>
      <c r="D1551" s="2" t="b">
        <f>IF(AND(NOT(ISBLANK(Table1[[#This Row],[Fetal Sex (Male, Female or Unknown)]])),ISNUMBER(Table1[[#This Row],[Birthweight (grams)]]),ISNUMBER(Table1[[#This Row],[Gestation (days)]])),TRUE,FALSE)</f>
        <v>0</v>
      </c>
      <c r="E1551" s="2" t="str">
        <f>IF(Table1[[#This Row],[Is Data Valid]]=TRUE,IF(Table1[[#This Row],[Fetal Sex (Male, Female or Unknown)]]="Male",Backend!$C$6,IF(Table1[[#This Row],[Fetal Sex (Male, Female or Unknown)]]="Female",Backend!$C$7,IF(Table1[[#This Row],[Fetal Sex (Male, Female or Unknown)]]="Unknown",Backend!$C$8,"Error"))),"")</f>
        <v/>
      </c>
      <c r="F1551" s="8" t="str">
        <f>IF(Table1[[#This Row],[Is Data Valid]]=TRUE,EXP(0.578+0.332*((Table1[[#This Row],[Gestation (days)]]+0.5)/7)-0.00354*((Table1[[#This Row],[Gestation (days)]]+0.5)/7)^2)*Table1[[#This Row],[BW40_3705]],"")</f>
        <v/>
      </c>
      <c r="G1551" s="2" t="str">
        <f>IF(Table1[[#This Row],[Is Data Valid]]=TRUE,((Table1[[#This Row],[Birthweight (grams)]]/Table1[[#This Row],[BW_GA]])-1)/(Backend!$B$4/100*Table1[[#This Row],[BW40_3705]]),"")</f>
        <v/>
      </c>
      <c r="H1551" s="7" t="str">
        <f>IF(Table1[[#This Row],[Is Data Valid]]=TRUE,((Table1[[#This Row],[Birthweight (grams)]]*0.9/Table1[[#This Row],[BW_GA]])-1)/(Backend!$B$4/100*Table1[[#This Row],[BW40_3705]]),"")</f>
        <v/>
      </c>
      <c r="I1551" s="7" t="str">
        <f>IF(Table1[[#This Row],[Is Data Valid]]=TRUE,((Table1[[#This Row],[Birthweight (grams)]]*1.1/Table1[[#This Row],[BW_GA]])-1)/(Backend!$B$4/100*Table1[[#This Row],[BW40_3705]]),"")</f>
        <v/>
      </c>
      <c r="J1551" s="7" t="str">
        <f>IF(Table1[[#This Row],[Is Data Valid]]=TRUE,_xlfn.NORM.S.DIST(Table1[[#This Row],[Birthweight Z-Score]],TRUE)*100,"")</f>
        <v/>
      </c>
      <c r="K1551" s="7" t="str">
        <f>IF(Table1[[#This Row],[Is Data Valid]]=TRUE,_xlfn.NORM.S.DIST(Table1[[#This Row],[Birthweight Z-Score (BW-10%)]],TRUE)*100,"")</f>
        <v/>
      </c>
      <c r="L1551" s="7" t="str">
        <f>IF(Table1[[#This Row],[Is Data Valid]]=TRUE,_xlfn.NORM.S.DIST(Table1[[#This Row],[Birthweight Z-Score (BW+10%)]],TRUE)*100,"")</f>
        <v/>
      </c>
    </row>
    <row r="1552" spans="1:12" x14ac:dyDescent="0.35">
      <c r="A1552" s="3"/>
      <c r="B1552" s="2"/>
      <c r="C1552" s="2"/>
      <c r="D1552" s="2" t="b">
        <f>IF(AND(NOT(ISBLANK(Table1[[#This Row],[Fetal Sex (Male, Female or Unknown)]])),ISNUMBER(Table1[[#This Row],[Birthweight (grams)]]),ISNUMBER(Table1[[#This Row],[Gestation (days)]])),TRUE,FALSE)</f>
        <v>0</v>
      </c>
      <c r="E1552" s="2" t="str">
        <f>IF(Table1[[#This Row],[Is Data Valid]]=TRUE,IF(Table1[[#This Row],[Fetal Sex (Male, Female or Unknown)]]="Male",Backend!$C$6,IF(Table1[[#This Row],[Fetal Sex (Male, Female or Unknown)]]="Female",Backend!$C$7,IF(Table1[[#This Row],[Fetal Sex (Male, Female or Unknown)]]="Unknown",Backend!$C$8,"Error"))),"")</f>
        <v/>
      </c>
      <c r="F1552" s="8" t="str">
        <f>IF(Table1[[#This Row],[Is Data Valid]]=TRUE,EXP(0.578+0.332*((Table1[[#This Row],[Gestation (days)]]+0.5)/7)-0.00354*((Table1[[#This Row],[Gestation (days)]]+0.5)/7)^2)*Table1[[#This Row],[BW40_3705]],"")</f>
        <v/>
      </c>
      <c r="G1552" s="2" t="str">
        <f>IF(Table1[[#This Row],[Is Data Valid]]=TRUE,((Table1[[#This Row],[Birthweight (grams)]]/Table1[[#This Row],[BW_GA]])-1)/(Backend!$B$4/100*Table1[[#This Row],[BW40_3705]]),"")</f>
        <v/>
      </c>
      <c r="H1552" s="7" t="str">
        <f>IF(Table1[[#This Row],[Is Data Valid]]=TRUE,((Table1[[#This Row],[Birthweight (grams)]]*0.9/Table1[[#This Row],[BW_GA]])-1)/(Backend!$B$4/100*Table1[[#This Row],[BW40_3705]]),"")</f>
        <v/>
      </c>
      <c r="I1552" s="7" t="str">
        <f>IF(Table1[[#This Row],[Is Data Valid]]=TRUE,((Table1[[#This Row],[Birthweight (grams)]]*1.1/Table1[[#This Row],[BW_GA]])-1)/(Backend!$B$4/100*Table1[[#This Row],[BW40_3705]]),"")</f>
        <v/>
      </c>
      <c r="J1552" s="7" t="str">
        <f>IF(Table1[[#This Row],[Is Data Valid]]=TRUE,_xlfn.NORM.S.DIST(Table1[[#This Row],[Birthweight Z-Score]],TRUE)*100,"")</f>
        <v/>
      </c>
      <c r="K1552" s="7" t="str">
        <f>IF(Table1[[#This Row],[Is Data Valid]]=TRUE,_xlfn.NORM.S.DIST(Table1[[#This Row],[Birthweight Z-Score (BW-10%)]],TRUE)*100,"")</f>
        <v/>
      </c>
      <c r="L1552" s="7" t="str">
        <f>IF(Table1[[#This Row],[Is Data Valid]]=TRUE,_xlfn.NORM.S.DIST(Table1[[#This Row],[Birthweight Z-Score (BW+10%)]],TRUE)*100,"")</f>
        <v/>
      </c>
    </row>
    <row r="1553" spans="1:12" x14ac:dyDescent="0.35">
      <c r="A1553" s="3"/>
      <c r="B1553" s="2"/>
      <c r="C1553" s="2"/>
      <c r="D1553" s="2" t="b">
        <f>IF(AND(NOT(ISBLANK(Table1[[#This Row],[Fetal Sex (Male, Female or Unknown)]])),ISNUMBER(Table1[[#This Row],[Birthweight (grams)]]),ISNUMBER(Table1[[#This Row],[Gestation (days)]])),TRUE,FALSE)</f>
        <v>0</v>
      </c>
      <c r="E1553" s="2" t="str">
        <f>IF(Table1[[#This Row],[Is Data Valid]]=TRUE,IF(Table1[[#This Row],[Fetal Sex (Male, Female or Unknown)]]="Male",Backend!$C$6,IF(Table1[[#This Row],[Fetal Sex (Male, Female or Unknown)]]="Female",Backend!$C$7,IF(Table1[[#This Row],[Fetal Sex (Male, Female or Unknown)]]="Unknown",Backend!$C$8,"Error"))),"")</f>
        <v/>
      </c>
      <c r="F1553" s="8" t="str">
        <f>IF(Table1[[#This Row],[Is Data Valid]]=TRUE,EXP(0.578+0.332*((Table1[[#This Row],[Gestation (days)]]+0.5)/7)-0.00354*((Table1[[#This Row],[Gestation (days)]]+0.5)/7)^2)*Table1[[#This Row],[BW40_3705]],"")</f>
        <v/>
      </c>
      <c r="G1553" s="2" t="str">
        <f>IF(Table1[[#This Row],[Is Data Valid]]=TRUE,((Table1[[#This Row],[Birthweight (grams)]]/Table1[[#This Row],[BW_GA]])-1)/(Backend!$B$4/100*Table1[[#This Row],[BW40_3705]]),"")</f>
        <v/>
      </c>
      <c r="H1553" s="7" t="str">
        <f>IF(Table1[[#This Row],[Is Data Valid]]=TRUE,((Table1[[#This Row],[Birthweight (grams)]]*0.9/Table1[[#This Row],[BW_GA]])-1)/(Backend!$B$4/100*Table1[[#This Row],[BW40_3705]]),"")</f>
        <v/>
      </c>
      <c r="I1553" s="7" t="str">
        <f>IF(Table1[[#This Row],[Is Data Valid]]=TRUE,((Table1[[#This Row],[Birthweight (grams)]]*1.1/Table1[[#This Row],[BW_GA]])-1)/(Backend!$B$4/100*Table1[[#This Row],[BW40_3705]]),"")</f>
        <v/>
      </c>
      <c r="J1553" s="7" t="str">
        <f>IF(Table1[[#This Row],[Is Data Valid]]=TRUE,_xlfn.NORM.S.DIST(Table1[[#This Row],[Birthweight Z-Score]],TRUE)*100,"")</f>
        <v/>
      </c>
      <c r="K1553" s="7" t="str">
        <f>IF(Table1[[#This Row],[Is Data Valid]]=TRUE,_xlfn.NORM.S.DIST(Table1[[#This Row],[Birthweight Z-Score (BW-10%)]],TRUE)*100,"")</f>
        <v/>
      </c>
      <c r="L1553" s="7" t="str">
        <f>IF(Table1[[#This Row],[Is Data Valid]]=TRUE,_xlfn.NORM.S.DIST(Table1[[#This Row],[Birthweight Z-Score (BW+10%)]],TRUE)*100,"")</f>
        <v/>
      </c>
    </row>
    <row r="1554" spans="1:12" x14ac:dyDescent="0.35">
      <c r="A1554" s="3"/>
      <c r="B1554" s="2"/>
      <c r="C1554" s="2"/>
      <c r="D1554" s="2" t="b">
        <f>IF(AND(NOT(ISBLANK(Table1[[#This Row],[Fetal Sex (Male, Female or Unknown)]])),ISNUMBER(Table1[[#This Row],[Birthweight (grams)]]),ISNUMBER(Table1[[#This Row],[Gestation (days)]])),TRUE,FALSE)</f>
        <v>0</v>
      </c>
      <c r="E1554" s="2" t="str">
        <f>IF(Table1[[#This Row],[Is Data Valid]]=TRUE,IF(Table1[[#This Row],[Fetal Sex (Male, Female or Unknown)]]="Male",Backend!$C$6,IF(Table1[[#This Row],[Fetal Sex (Male, Female or Unknown)]]="Female",Backend!$C$7,IF(Table1[[#This Row],[Fetal Sex (Male, Female or Unknown)]]="Unknown",Backend!$C$8,"Error"))),"")</f>
        <v/>
      </c>
      <c r="F1554" s="8" t="str">
        <f>IF(Table1[[#This Row],[Is Data Valid]]=TRUE,EXP(0.578+0.332*((Table1[[#This Row],[Gestation (days)]]+0.5)/7)-0.00354*((Table1[[#This Row],[Gestation (days)]]+0.5)/7)^2)*Table1[[#This Row],[BW40_3705]],"")</f>
        <v/>
      </c>
      <c r="G1554" s="2" t="str">
        <f>IF(Table1[[#This Row],[Is Data Valid]]=TRUE,((Table1[[#This Row],[Birthweight (grams)]]/Table1[[#This Row],[BW_GA]])-1)/(Backend!$B$4/100*Table1[[#This Row],[BW40_3705]]),"")</f>
        <v/>
      </c>
      <c r="H1554" s="7" t="str">
        <f>IF(Table1[[#This Row],[Is Data Valid]]=TRUE,((Table1[[#This Row],[Birthweight (grams)]]*0.9/Table1[[#This Row],[BW_GA]])-1)/(Backend!$B$4/100*Table1[[#This Row],[BW40_3705]]),"")</f>
        <v/>
      </c>
      <c r="I1554" s="7" t="str">
        <f>IF(Table1[[#This Row],[Is Data Valid]]=TRUE,((Table1[[#This Row],[Birthweight (grams)]]*1.1/Table1[[#This Row],[BW_GA]])-1)/(Backend!$B$4/100*Table1[[#This Row],[BW40_3705]]),"")</f>
        <v/>
      </c>
      <c r="J1554" s="7" t="str">
        <f>IF(Table1[[#This Row],[Is Data Valid]]=TRUE,_xlfn.NORM.S.DIST(Table1[[#This Row],[Birthweight Z-Score]],TRUE)*100,"")</f>
        <v/>
      </c>
      <c r="K1554" s="7" t="str">
        <f>IF(Table1[[#This Row],[Is Data Valid]]=TRUE,_xlfn.NORM.S.DIST(Table1[[#This Row],[Birthweight Z-Score (BW-10%)]],TRUE)*100,"")</f>
        <v/>
      </c>
      <c r="L1554" s="7" t="str">
        <f>IF(Table1[[#This Row],[Is Data Valid]]=TRUE,_xlfn.NORM.S.DIST(Table1[[#This Row],[Birthweight Z-Score (BW+10%)]],TRUE)*100,"")</f>
        <v/>
      </c>
    </row>
    <row r="1555" spans="1:12" x14ac:dyDescent="0.35">
      <c r="A1555" s="3"/>
      <c r="B1555" s="2"/>
      <c r="C1555" s="2"/>
      <c r="D1555" s="2" t="b">
        <f>IF(AND(NOT(ISBLANK(Table1[[#This Row],[Fetal Sex (Male, Female or Unknown)]])),ISNUMBER(Table1[[#This Row],[Birthweight (grams)]]),ISNUMBER(Table1[[#This Row],[Gestation (days)]])),TRUE,FALSE)</f>
        <v>0</v>
      </c>
      <c r="E1555" s="2" t="str">
        <f>IF(Table1[[#This Row],[Is Data Valid]]=TRUE,IF(Table1[[#This Row],[Fetal Sex (Male, Female or Unknown)]]="Male",Backend!$C$6,IF(Table1[[#This Row],[Fetal Sex (Male, Female or Unknown)]]="Female",Backend!$C$7,IF(Table1[[#This Row],[Fetal Sex (Male, Female or Unknown)]]="Unknown",Backend!$C$8,"Error"))),"")</f>
        <v/>
      </c>
      <c r="F1555" s="8" t="str">
        <f>IF(Table1[[#This Row],[Is Data Valid]]=TRUE,EXP(0.578+0.332*((Table1[[#This Row],[Gestation (days)]]+0.5)/7)-0.00354*((Table1[[#This Row],[Gestation (days)]]+0.5)/7)^2)*Table1[[#This Row],[BW40_3705]],"")</f>
        <v/>
      </c>
      <c r="G1555" s="2" t="str">
        <f>IF(Table1[[#This Row],[Is Data Valid]]=TRUE,((Table1[[#This Row],[Birthweight (grams)]]/Table1[[#This Row],[BW_GA]])-1)/(Backend!$B$4/100*Table1[[#This Row],[BW40_3705]]),"")</f>
        <v/>
      </c>
      <c r="H1555" s="7" t="str">
        <f>IF(Table1[[#This Row],[Is Data Valid]]=TRUE,((Table1[[#This Row],[Birthweight (grams)]]*0.9/Table1[[#This Row],[BW_GA]])-1)/(Backend!$B$4/100*Table1[[#This Row],[BW40_3705]]),"")</f>
        <v/>
      </c>
      <c r="I1555" s="7" t="str">
        <f>IF(Table1[[#This Row],[Is Data Valid]]=TRUE,((Table1[[#This Row],[Birthweight (grams)]]*1.1/Table1[[#This Row],[BW_GA]])-1)/(Backend!$B$4/100*Table1[[#This Row],[BW40_3705]]),"")</f>
        <v/>
      </c>
      <c r="J1555" s="7" t="str">
        <f>IF(Table1[[#This Row],[Is Data Valid]]=TRUE,_xlfn.NORM.S.DIST(Table1[[#This Row],[Birthweight Z-Score]],TRUE)*100,"")</f>
        <v/>
      </c>
      <c r="K1555" s="7" t="str">
        <f>IF(Table1[[#This Row],[Is Data Valid]]=TRUE,_xlfn.NORM.S.DIST(Table1[[#This Row],[Birthweight Z-Score (BW-10%)]],TRUE)*100,"")</f>
        <v/>
      </c>
      <c r="L1555" s="7" t="str">
        <f>IF(Table1[[#This Row],[Is Data Valid]]=TRUE,_xlfn.NORM.S.DIST(Table1[[#This Row],[Birthweight Z-Score (BW+10%)]],TRUE)*100,"")</f>
        <v/>
      </c>
    </row>
    <row r="1556" spans="1:12" x14ac:dyDescent="0.35">
      <c r="A1556" s="3"/>
      <c r="B1556" s="2"/>
      <c r="C1556" s="2"/>
      <c r="D1556" s="2" t="b">
        <f>IF(AND(NOT(ISBLANK(Table1[[#This Row],[Fetal Sex (Male, Female or Unknown)]])),ISNUMBER(Table1[[#This Row],[Birthweight (grams)]]),ISNUMBER(Table1[[#This Row],[Gestation (days)]])),TRUE,FALSE)</f>
        <v>0</v>
      </c>
      <c r="E1556" s="2" t="str">
        <f>IF(Table1[[#This Row],[Is Data Valid]]=TRUE,IF(Table1[[#This Row],[Fetal Sex (Male, Female or Unknown)]]="Male",Backend!$C$6,IF(Table1[[#This Row],[Fetal Sex (Male, Female or Unknown)]]="Female",Backend!$C$7,IF(Table1[[#This Row],[Fetal Sex (Male, Female or Unknown)]]="Unknown",Backend!$C$8,"Error"))),"")</f>
        <v/>
      </c>
      <c r="F1556" s="8" t="str">
        <f>IF(Table1[[#This Row],[Is Data Valid]]=TRUE,EXP(0.578+0.332*((Table1[[#This Row],[Gestation (days)]]+0.5)/7)-0.00354*((Table1[[#This Row],[Gestation (days)]]+0.5)/7)^2)*Table1[[#This Row],[BW40_3705]],"")</f>
        <v/>
      </c>
      <c r="G1556" s="2" t="str">
        <f>IF(Table1[[#This Row],[Is Data Valid]]=TRUE,((Table1[[#This Row],[Birthweight (grams)]]/Table1[[#This Row],[BW_GA]])-1)/(Backend!$B$4/100*Table1[[#This Row],[BW40_3705]]),"")</f>
        <v/>
      </c>
      <c r="H1556" s="7" t="str">
        <f>IF(Table1[[#This Row],[Is Data Valid]]=TRUE,((Table1[[#This Row],[Birthweight (grams)]]*0.9/Table1[[#This Row],[BW_GA]])-1)/(Backend!$B$4/100*Table1[[#This Row],[BW40_3705]]),"")</f>
        <v/>
      </c>
      <c r="I1556" s="7" t="str">
        <f>IF(Table1[[#This Row],[Is Data Valid]]=TRUE,((Table1[[#This Row],[Birthweight (grams)]]*1.1/Table1[[#This Row],[BW_GA]])-1)/(Backend!$B$4/100*Table1[[#This Row],[BW40_3705]]),"")</f>
        <v/>
      </c>
      <c r="J1556" s="7" t="str">
        <f>IF(Table1[[#This Row],[Is Data Valid]]=TRUE,_xlfn.NORM.S.DIST(Table1[[#This Row],[Birthweight Z-Score]],TRUE)*100,"")</f>
        <v/>
      </c>
      <c r="K1556" s="7" t="str">
        <f>IF(Table1[[#This Row],[Is Data Valid]]=TRUE,_xlfn.NORM.S.DIST(Table1[[#This Row],[Birthweight Z-Score (BW-10%)]],TRUE)*100,"")</f>
        <v/>
      </c>
      <c r="L1556" s="7" t="str">
        <f>IF(Table1[[#This Row],[Is Data Valid]]=TRUE,_xlfn.NORM.S.DIST(Table1[[#This Row],[Birthweight Z-Score (BW+10%)]],TRUE)*100,"")</f>
        <v/>
      </c>
    </row>
    <row r="1557" spans="1:12" x14ac:dyDescent="0.35">
      <c r="A1557" s="3"/>
      <c r="B1557" s="2"/>
      <c r="C1557" s="2"/>
      <c r="D1557" s="2" t="b">
        <f>IF(AND(NOT(ISBLANK(Table1[[#This Row],[Fetal Sex (Male, Female or Unknown)]])),ISNUMBER(Table1[[#This Row],[Birthweight (grams)]]),ISNUMBER(Table1[[#This Row],[Gestation (days)]])),TRUE,FALSE)</f>
        <v>0</v>
      </c>
      <c r="E1557" s="2" t="str">
        <f>IF(Table1[[#This Row],[Is Data Valid]]=TRUE,IF(Table1[[#This Row],[Fetal Sex (Male, Female or Unknown)]]="Male",Backend!$C$6,IF(Table1[[#This Row],[Fetal Sex (Male, Female or Unknown)]]="Female",Backend!$C$7,IF(Table1[[#This Row],[Fetal Sex (Male, Female or Unknown)]]="Unknown",Backend!$C$8,"Error"))),"")</f>
        <v/>
      </c>
      <c r="F1557" s="8" t="str">
        <f>IF(Table1[[#This Row],[Is Data Valid]]=TRUE,EXP(0.578+0.332*((Table1[[#This Row],[Gestation (days)]]+0.5)/7)-0.00354*((Table1[[#This Row],[Gestation (days)]]+0.5)/7)^2)*Table1[[#This Row],[BW40_3705]],"")</f>
        <v/>
      </c>
      <c r="G1557" s="2" t="str">
        <f>IF(Table1[[#This Row],[Is Data Valid]]=TRUE,((Table1[[#This Row],[Birthweight (grams)]]/Table1[[#This Row],[BW_GA]])-1)/(Backend!$B$4/100*Table1[[#This Row],[BW40_3705]]),"")</f>
        <v/>
      </c>
      <c r="H1557" s="7" t="str">
        <f>IF(Table1[[#This Row],[Is Data Valid]]=TRUE,((Table1[[#This Row],[Birthweight (grams)]]*0.9/Table1[[#This Row],[BW_GA]])-1)/(Backend!$B$4/100*Table1[[#This Row],[BW40_3705]]),"")</f>
        <v/>
      </c>
      <c r="I1557" s="7" t="str">
        <f>IF(Table1[[#This Row],[Is Data Valid]]=TRUE,((Table1[[#This Row],[Birthweight (grams)]]*1.1/Table1[[#This Row],[BW_GA]])-1)/(Backend!$B$4/100*Table1[[#This Row],[BW40_3705]]),"")</f>
        <v/>
      </c>
      <c r="J1557" s="7" t="str">
        <f>IF(Table1[[#This Row],[Is Data Valid]]=TRUE,_xlfn.NORM.S.DIST(Table1[[#This Row],[Birthweight Z-Score]],TRUE)*100,"")</f>
        <v/>
      </c>
      <c r="K1557" s="7" t="str">
        <f>IF(Table1[[#This Row],[Is Data Valid]]=TRUE,_xlfn.NORM.S.DIST(Table1[[#This Row],[Birthweight Z-Score (BW-10%)]],TRUE)*100,"")</f>
        <v/>
      </c>
      <c r="L1557" s="7" t="str">
        <f>IF(Table1[[#This Row],[Is Data Valid]]=TRUE,_xlfn.NORM.S.DIST(Table1[[#This Row],[Birthweight Z-Score (BW+10%)]],TRUE)*100,"")</f>
        <v/>
      </c>
    </row>
    <row r="1558" spans="1:12" x14ac:dyDescent="0.35">
      <c r="A1558" s="3"/>
      <c r="B1558" s="2"/>
      <c r="C1558" s="2"/>
      <c r="D1558" s="2" t="b">
        <f>IF(AND(NOT(ISBLANK(Table1[[#This Row],[Fetal Sex (Male, Female or Unknown)]])),ISNUMBER(Table1[[#This Row],[Birthweight (grams)]]),ISNUMBER(Table1[[#This Row],[Gestation (days)]])),TRUE,FALSE)</f>
        <v>0</v>
      </c>
      <c r="E1558" s="2" t="str">
        <f>IF(Table1[[#This Row],[Is Data Valid]]=TRUE,IF(Table1[[#This Row],[Fetal Sex (Male, Female or Unknown)]]="Male",Backend!$C$6,IF(Table1[[#This Row],[Fetal Sex (Male, Female or Unknown)]]="Female",Backend!$C$7,IF(Table1[[#This Row],[Fetal Sex (Male, Female or Unknown)]]="Unknown",Backend!$C$8,"Error"))),"")</f>
        <v/>
      </c>
      <c r="F1558" s="8" t="str">
        <f>IF(Table1[[#This Row],[Is Data Valid]]=TRUE,EXP(0.578+0.332*((Table1[[#This Row],[Gestation (days)]]+0.5)/7)-0.00354*((Table1[[#This Row],[Gestation (days)]]+0.5)/7)^2)*Table1[[#This Row],[BW40_3705]],"")</f>
        <v/>
      </c>
      <c r="G1558" s="2" t="str">
        <f>IF(Table1[[#This Row],[Is Data Valid]]=TRUE,((Table1[[#This Row],[Birthweight (grams)]]/Table1[[#This Row],[BW_GA]])-1)/(Backend!$B$4/100*Table1[[#This Row],[BW40_3705]]),"")</f>
        <v/>
      </c>
      <c r="H1558" s="7" t="str">
        <f>IF(Table1[[#This Row],[Is Data Valid]]=TRUE,((Table1[[#This Row],[Birthweight (grams)]]*0.9/Table1[[#This Row],[BW_GA]])-1)/(Backend!$B$4/100*Table1[[#This Row],[BW40_3705]]),"")</f>
        <v/>
      </c>
      <c r="I1558" s="7" t="str">
        <f>IF(Table1[[#This Row],[Is Data Valid]]=TRUE,((Table1[[#This Row],[Birthweight (grams)]]*1.1/Table1[[#This Row],[BW_GA]])-1)/(Backend!$B$4/100*Table1[[#This Row],[BW40_3705]]),"")</f>
        <v/>
      </c>
      <c r="J1558" s="7" t="str">
        <f>IF(Table1[[#This Row],[Is Data Valid]]=TRUE,_xlfn.NORM.S.DIST(Table1[[#This Row],[Birthweight Z-Score]],TRUE)*100,"")</f>
        <v/>
      </c>
      <c r="K1558" s="7" t="str">
        <f>IF(Table1[[#This Row],[Is Data Valid]]=TRUE,_xlfn.NORM.S.DIST(Table1[[#This Row],[Birthweight Z-Score (BW-10%)]],TRUE)*100,"")</f>
        <v/>
      </c>
      <c r="L1558" s="7" t="str">
        <f>IF(Table1[[#This Row],[Is Data Valid]]=TRUE,_xlfn.NORM.S.DIST(Table1[[#This Row],[Birthweight Z-Score (BW+10%)]],TRUE)*100,"")</f>
        <v/>
      </c>
    </row>
    <row r="1559" spans="1:12" x14ac:dyDescent="0.35">
      <c r="A1559" s="3"/>
      <c r="B1559" s="2"/>
      <c r="C1559" s="2"/>
      <c r="D1559" s="2" t="b">
        <f>IF(AND(NOT(ISBLANK(Table1[[#This Row],[Fetal Sex (Male, Female or Unknown)]])),ISNUMBER(Table1[[#This Row],[Birthweight (grams)]]),ISNUMBER(Table1[[#This Row],[Gestation (days)]])),TRUE,FALSE)</f>
        <v>0</v>
      </c>
      <c r="E1559" s="2" t="str">
        <f>IF(Table1[[#This Row],[Is Data Valid]]=TRUE,IF(Table1[[#This Row],[Fetal Sex (Male, Female or Unknown)]]="Male",Backend!$C$6,IF(Table1[[#This Row],[Fetal Sex (Male, Female or Unknown)]]="Female",Backend!$C$7,IF(Table1[[#This Row],[Fetal Sex (Male, Female or Unknown)]]="Unknown",Backend!$C$8,"Error"))),"")</f>
        <v/>
      </c>
      <c r="F1559" s="8" t="str">
        <f>IF(Table1[[#This Row],[Is Data Valid]]=TRUE,EXP(0.578+0.332*((Table1[[#This Row],[Gestation (days)]]+0.5)/7)-0.00354*((Table1[[#This Row],[Gestation (days)]]+0.5)/7)^2)*Table1[[#This Row],[BW40_3705]],"")</f>
        <v/>
      </c>
      <c r="G1559" s="2" t="str">
        <f>IF(Table1[[#This Row],[Is Data Valid]]=TRUE,((Table1[[#This Row],[Birthweight (grams)]]/Table1[[#This Row],[BW_GA]])-1)/(Backend!$B$4/100*Table1[[#This Row],[BW40_3705]]),"")</f>
        <v/>
      </c>
      <c r="H1559" s="7" t="str">
        <f>IF(Table1[[#This Row],[Is Data Valid]]=TRUE,((Table1[[#This Row],[Birthweight (grams)]]*0.9/Table1[[#This Row],[BW_GA]])-1)/(Backend!$B$4/100*Table1[[#This Row],[BW40_3705]]),"")</f>
        <v/>
      </c>
      <c r="I1559" s="7" t="str">
        <f>IF(Table1[[#This Row],[Is Data Valid]]=TRUE,((Table1[[#This Row],[Birthweight (grams)]]*1.1/Table1[[#This Row],[BW_GA]])-1)/(Backend!$B$4/100*Table1[[#This Row],[BW40_3705]]),"")</f>
        <v/>
      </c>
      <c r="J1559" s="7" t="str">
        <f>IF(Table1[[#This Row],[Is Data Valid]]=TRUE,_xlfn.NORM.S.DIST(Table1[[#This Row],[Birthweight Z-Score]],TRUE)*100,"")</f>
        <v/>
      </c>
      <c r="K1559" s="7" t="str">
        <f>IF(Table1[[#This Row],[Is Data Valid]]=TRUE,_xlfn.NORM.S.DIST(Table1[[#This Row],[Birthweight Z-Score (BW-10%)]],TRUE)*100,"")</f>
        <v/>
      </c>
      <c r="L1559" s="7" t="str">
        <f>IF(Table1[[#This Row],[Is Data Valid]]=TRUE,_xlfn.NORM.S.DIST(Table1[[#This Row],[Birthweight Z-Score (BW+10%)]],TRUE)*100,"")</f>
        <v/>
      </c>
    </row>
    <row r="1560" spans="1:12" x14ac:dyDescent="0.35">
      <c r="A1560" s="3"/>
      <c r="B1560" s="2"/>
      <c r="C1560" s="2"/>
      <c r="D1560" s="2" t="b">
        <f>IF(AND(NOT(ISBLANK(Table1[[#This Row],[Fetal Sex (Male, Female or Unknown)]])),ISNUMBER(Table1[[#This Row],[Birthweight (grams)]]),ISNUMBER(Table1[[#This Row],[Gestation (days)]])),TRUE,FALSE)</f>
        <v>0</v>
      </c>
      <c r="E1560" s="2" t="str">
        <f>IF(Table1[[#This Row],[Is Data Valid]]=TRUE,IF(Table1[[#This Row],[Fetal Sex (Male, Female or Unknown)]]="Male",Backend!$C$6,IF(Table1[[#This Row],[Fetal Sex (Male, Female or Unknown)]]="Female",Backend!$C$7,IF(Table1[[#This Row],[Fetal Sex (Male, Female or Unknown)]]="Unknown",Backend!$C$8,"Error"))),"")</f>
        <v/>
      </c>
      <c r="F1560" s="8" t="str">
        <f>IF(Table1[[#This Row],[Is Data Valid]]=TRUE,EXP(0.578+0.332*((Table1[[#This Row],[Gestation (days)]]+0.5)/7)-0.00354*((Table1[[#This Row],[Gestation (days)]]+0.5)/7)^2)*Table1[[#This Row],[BW40_3705]],"")</f>
        <v/>
      </c>
      <c r="G1560" s="2" t="str">
        <f>IF(Table1[[#This Row],[Is Data Valid]]=TRUE,((Table1[[#This Row],[Birthweight (grams)]]/Table1[[#This Row],[BW_GA]])-1)/(Backend!$B$4/100*Table1[[#This Row],[BW40_3705]]),"")</f>
        <v/>
      </c>
      <c r="H1560" s="7" t="str">
        <f>IF(Table1[[#This Row],[Is Data Valid]]=TRUE,((Table1[[#This Row],[Birthweight (grams)]]*0.9/Table1[[#This Row],[BW_GA]])-1)/(Backend!$B$4/100*Table1[[#This Row],[BW40_3705]]),"")</f>
        <v/>
      </c>
      <c r="I1560" s="7" t="str">
        <f>IF(Table1[[#This Row],[Is Data Valid]]=TRUE,((Table1[[#This Row],[Birthweight (grams)]]*1.1/Table1[[#This Row],[BW_GA]])-1)/(Backend!$B$4/100*Table1[[#This Row],[BW40_3705]]),"")</f>
        <v/>
      </c>
      <c r="J1560" s="7" t="str">
        <f>IF(Table1[[#This Row],[Is Data Valid]]=TRUE,_xlfn.NORM.S.DIST(Table1[[#This Row],[Birthweight Z-Score]],TRUE)*100,"")</f>
        <v/>
      </c>
      <c r="K1560" s="7" t="str">
        <f>IF(Table1[[#This Row],[Is Data Valid]]=TRUE,_xlfn.NORM.S.DIST(Table1[[#This Row],[Birthweight Z-Score (BW-10%)]],TRUE)*100,"")</f>
        <v/>
      </c>
      <c r="L1560" s="7" t="str">
        <f>IF(Table1[[#This Row],[Is Data Valid]]=TRUE,_xlfn.NORM.S.DIST(Table1[[#This Row],[Birthweight Z-Score (BW+10%)]],TRUE)*100,"")</f>
        <v/>
      </c>
    </row>
    <row r="1561" spans="1:12" x14ac:dyDescent="0.35">
      <c r="A1561" s="3"/>
      <c r="B1561" s="2"/>
      <c r="C1561" s="2"/>
      <c r="D1561" s="2" t="b">
        <f>IF(AND(NOT(ISBLANK(Table1[[#This Row],[Fetal Sex (Male, Female or Unknown)]])),ISNUMBER(Table1[[#This Row],[Birthweight (grams)]]),ISNUMBER(Table1[[#This Row],[Gestation (days)]])),TRUE,FALSE)</f>
        <v>0</v>
      </c>
      <c r="E1561" s="2" t="str">
        <f>IF(Table1[[#This Row],[Is Data Valid]]=TRUE,IF(Table1[[#This Row],[Fetal Sex (Male, Female or Unknown)]]="Male",Backend!$C$6,IF(Table1[[#This Row],[Fetal Sex (Male, Female or Unknown)]]="Female",Backend!$C$7,IF(Table1[[#This Row],[Fetal Sex (Male, Female or Unknown)]]="Unknown",Backend!$C$8,"Error"))),"")</f>
        <v/>
      </c>
      <c r="F1561" s="8" t="str">
        <f>IF(Table1[[#This Row],[Is Data Valid]]=TRUE,EXP(0.578+0.332*((Table1[[#This Row],[Gestation (days)]]+0.5)/7)-0.00354*((Table1[[#This Row],[Gestation (days)]]+0.5)/7)^2)*Table1[[#This Row],[BW40_3705]],"")</f>
        <v/>
      </c>
      <c r="G1561" s="2" t="str">
        <f>IF(Table1[[#This Row],[Is Data Valid]]=TRUE,((Table1[[#This Row],[Birthweight (grams)]]/Table1[[#This Row],[BW_GA]])-1)/(Backend!$B$4/100*Table1[[#This Row],[BW40_3705]]),"")</f>
        <v/>
      </c>
      <c r="H1561" s="7" t="str">
        <f>IF(Table1[[#This Row],[Is Data Valid]]=TRUE,((Table1[[#This Row],[Birthweight (grams)]]*0.9/Table1[[#This Row],[BW_GA]])-1)/(Backend!$B$4/100*Table1[[#This Row],[BW40_3705]]),"")</f>
        <v/>
      </c>
      <c r="I1561" s="7" t="str">
        <f>IF(Table1[[#This Row],[Is Data Valid]]=TRUE,((Table1[[#This Row],[Birthweight (grams)]]*1.1/Table1[[#This Row],[BW_GA]])-1)/(Backend!$B$4/100*Table1[[#This Row],[BW40_3705]]),"")</f>
        <v/>
      </c>
      <c r="J1561" s="7" t="str">
        <f>IF(Table1[[#This Row],[Is Data Valid]]=TRUE,_xlfn.NORM.S.DIST(Table1[[#This Row],[Birthweight Z-Score]],TRUE)*100,"")</f>
        <v/>
      </c>
      <c r="K1561" s="7" t="str">
        <f>IF(Table1[[#This Row],[Is Data Valid]]=TRUE,_xlfn.NORM.S.DIST(Table1[[#This Row],[Birthweight Z-Score (BW-10%)]],TRUE)*100,"")</f>
        <v/>
      </c>
      <c r="L1561" s="7" t="str">
        <f>IF(Table1[[#This Row],[Is Data Valid]]=TRUE,_xlfn.NORM.S.DIST(Table1[[#This Row],[Birthweight Z-Score (BW+10%)]],TRUE)*100,"")</f>
        <v/>
      </c>
    </row>
    <row r="1562" spans="1:12" x14ac:dyDescent="0.35">
      <c r="A1562" s="3"/>
      <c r="B1562" s="2"/>
      <c r="C1562" s="2"/>
      <c r="D1562" s="2" t="b">
        <f>IF(AND(NOT(ISBLANK(Table1[[#This Row],[Fetal Sex (Male, Female or Unknown)]])),ISNUMBER(Table1[[#This Row],[Birthweight (grams)]]),ISNUMBER(Table1[[#This Row],[Gestation (days)]])),TRUE,FALSE)</f>
        <v>0</v>
      </c>
      <c r="E1562" s="2" t="str">
        <f>IF(Table1[[#This Row],[Is Data Valid]]=TRUE,IF(Table1[[#This Row],[Fetal Sex (Male, Female or Unknown)]]="Male",Backend!$C$6,IF(Table1[[#This Row],[Fetal Sex (Male, Female or Unknown)]]="Female",Backend!$C$7,IF(Table1[[#This Row],[Fetal Sex (Male, Female or Unknown)]]="Unknown",Backend!$C$8,"Error"))),"")</f>
        <v/>
      </c>
      <c r="F1562" s="8" t="str">
        <f>IF(Table1[[#This Row],[Is Data Valid]]=TRUE,EXP(0.578+0.332*((Table1[[#This Row],[Gestation (days)]]+0.5)/7)-0.00354*((Table1[[#This Row],[Gestation (days)]]+0.5)/7)^2)*Table1[[#This Row],[BW40_3705]],"")</f>
        <v/>
      </c>
      <c r="G1562" s="2" t="str">
        <f>IF(Table1[[#This Row],[Is Data Valid]]=TRUE,((Table1[[#This Row],[Birthweight (grams)]]/Table1[[#This Row],[BW_GA]])-1)/(Backend!$B$4/100*Table1[[#This Row],[BW40_3705]]),"")</f>
        <v/>
      </c>
      <c r="H1562" s="7" t="str">
        <f>IF(Table1[[#This Row],[Is Data Valid]]=TRUE,((Table1[[#This Row],[Birthweight (grams)]]*0.9/Table1[[#This Row],[BW_GA]])-1)/(Backend!$B$4/100*Table1[[#This Row],[BW40_3705]]),"")</f>
        <v/>
      </c>
      <c r="I1562" s="7" t="str">
        <f>IF(Table1[[#This Row],[Is Data Valid]]=TRUE,((Table1[[#This Row],[Birthweight (grams)]]*1.1/Table1[[#This Row],[BW_GA]])-1)/(Backend!$B$4/100*Table1[[#This Row],[BW40_3705]]),"")</f>
        <v/>
      </c>
      <c r="J1562" s="7" t="str">
        <f>IF(Table1[[#This Row],[Is Data Valid]]=TRUE,_xlfn.NORM.S.DIST(Table1[[#This Row],[Birthweight Z-Score]],TRUE)*100,"")</f>
        <v/>
      </c>
      <c r="K1562" s="7" t="str">
        <f>IF(Table1[[#This Row],[Is Data Valid]]=TRUE,_xlfn.NORM.S.DIST(Table1[[#This Row],[Birthweight Z-Score (BW-10%)]],TRUE)*100,"")</f>
        <v/>
      </c>
      <c r="L1562" s="7" t="str">
        <f>IF(Table1[[#This Row],[Is Data Valid]]=TRUE,_xlfn.NORM.S.DIST(Table1[[#This Row],[Birthweight Z-Score (BW+10%)]],TRUE)*100,"")</f>
        <v/>
      </c>
    </row>
    <row r="1563" spans="1:12" x14ac:dyDescent="0.35">
      <c r="A1563" s="3"/>
      <c r="B1563" s="2"/>
      <c r="C1563" s="2"/>
      <c r="D1563" s="2" t="b">
        <f>IF(AND(NOT(ISBLANK(Table1[[#This Row],[Fetal Sex (Male, Female or Unknown)]])),ISNUMBER(Table1[[#This Row],[Birthweight (grams)]]),ISNUMBER(Table1[[#This Row],[Gestation (days)]])),TRUE,FALSE)</f>
        <v>0</v>
      </c>
      <c r="E1563" s="2" t="str">
        <f>IF(Table1[[#This Row],[Is Data Valid]]=TRUE,IF(Table1[[#This Row],[Fetal Sex (Male, Female or Unknown)]]="Male",Backend!$C$6,IF(Table1[[#This Row],[Fetal Sex (Male, Female or Unknown)]]="Female",Backend!$C$7,IF(Table1[[#This Row],[Fetal Sex (Male, Female or Unknown)]]="Unknown",Backend!$C$8,"Error"))),"")</f>
        <v/>
      </c>
      <c r="F1563" s="8" t="str">
        <f>IF(Table1[[#This Row],[Is Data Valid]]=TRUE,EXP(0.578+0.332*((Table1[[#This Row],[Gestation (days)]]+0.5)/7)-0.00354*((Table1[[#This Row],[Gestation (days)]]+0.5)/7)^2)*Table1[[#This Row],[BW40_3705]],"")</f>
        <v/>
      </c>
      <c r="G1563" s="2" t="str">
        <f>IF(Table1[[#This Row],[Is Data Valid]]=TRUE,((Table1[[#This Row],[Birthweight (grams)]]/Table1[[#This Row],[BW_GA]])-1)/(Backend!$B$4/100*Table1[[#This Row],[BW40_3705]]),"")</f>
        <v/>
      </c>
      <c r="H1563" s="7" t="str">
        <f>IF(Table1[[#This Row],[Is Data Valid]]=TRUE,((Table1[[#This Row],[Birthweight (grams)]]*0.9/Table1[[#This Row],[BW_GA]])-1)/(Backend!$B$4/100*Table1[[#This Row],[BW40_3705]]),"")</f>
        <v/>
      </c>
      <c r="I1563" s="7" t="str">
        <f>IF(Table1[[#This Row],[Is Data Valid]]=TRUE,((Table1[[#This Row],[Birthweight (grams)]]*1.1/Table1[[#This Row],[BW_GA]])-1)/(Backend!$B$4/100*Table1[[#This Row],[BW40_3705]]),"")</f>
        <v/>
      </c>
      <c r="J1563" s="7" t="str">
        <f>IF(Table1[[#This Row],[Is Data Valid]]=TRUE,_xlfn.NORM.S.DIST(Table1[[#This Row],[Birthweight Z-Score]],TRUE)*100,"")</f>
        <v/>
      </c>
      <c r="K1563" s="7" t="str">
        <f>IF(Table1[[#This Row],[Is Data Valid]]=TRUE,_xlfn.NORM.S.DIST(Table1[[#This Row],[Birthweight Z-Score (BW-10%)]],TRUE)*100,"")</f>
        <v/>
      </c>
      <c r="L1563" s="7" t="str">
        <f>IF(Table1[[#This Row],[Is Data Valid]]=TRUE,_xlfn.NORM.S.DIST(Table1[[#This Row],[Birthweight Z-Score (BW+10%)]],TRUE)*100,"")</f>
        <v/>
      </c>
    </row>
    <row r="1564" spans="1:12" x14ac:dyDescent="0.35">
      <c r="A1564" s="3"/>
      <c r="B1564" s="2"/>
      <c r="C1564" s="2"/>
      <c r="D1564" s="2" t="b">
        <f>IF(AND(NOT(ISBLANK(Table1[[#This Row],[Fetal Sex (Male, Female or Unknown)]])),ISNUMBER(Table1[[#This Row],[Birthweight (grams)]]),ISNUMBER(Table1[[#This Row],[Gestation (days)]])),TRUE,FALSE)</f>
        <v>0</v>
      </c>
      <c r="E1564" s="2" t="str">
        <f>IF(Table1[[#This Row],[Is Data Valid]]=TRUE,IF(Table1[[#This Row],[Fetal Sex (Male, Female or Unknown)]]="Male",Backend!$C$6,IF(Table1[[#This Row],[Fetal Sex (Male, Female or Unknown)]]="Female",Backend!$C$7,IF(Table1[[#This Row],[Fetal Sex (Male, Female or Unknown)]]="Unknown",Backend!$C$8,"Error"))),"")</f>
        <v/>
      </c>
      <c r="F1564" s="8" t="str">
        <f>IF(Table1[[#This Row],[Is Data Valid]]=TRUE,EXP(0.578+0.332*((Table1[[#This Row],[Gestation (days)]]+0.5)/7)-0.00354*((Table1[[#This Row],[Gestation (days)]]+0.5)/7)^2)*Table1[[#This Row],[BW40_3705]],"")</f>
        <v/>
      </c>
      <c r="G1564" s="2" t="str">
        <f>IF(Table1[[#This Row],[Is Data Valid]]=TRUE,((Table1[[#This Row],[Birthweight (grams)]]/Table1[[#This Row],[BW_GA]])-1)/(Backend!$B$4/100*Table1[[#This Row],[BW40_3705]]),"")</f>
        <v/>
      </c>
      <c r="H1564" s="7" t="str">
        <f>IF(Table1[[#This Row],[Is Data Valid]]=TRUE,((Table1[[#This Row],[Birthweight (grams)]]*0.9/Table1[[#This Row],[BW_GA]])-1)/(Backend!$B$4/100*Table1[[#This Row],[BW40_3705]]),"")</f>
        <v/>
      </c>
      <c r="I1564" s="7" t="str">
        <f>IF(Table1[[#This Row],[Is Data Valid]]=TRUE,((Table1[[#This Row],[Birthweight (grams)]]*1.1/Table1[[#This Row],[BW_GA]])-1)/(Backend!$B$4/100*Table1[[#This Row],[BW40_3705]]),"")</f>
        <v/>
      </c>
      <c r="J1564" s="7" t="str">
        <f>IF(Table1[[#This Row],[Is Data Valid]]=TRUE,_xlfn.NORM.S.DIST(Table1[[#This Row],[Birthweight Z-Score]],TRUE)*100,"")</f>
        <v/>
      </c>
      <c r="K1564" s="7" t="str">
        <f>IF(Table1[[#This Row],[Is Data Valid]]=TRUE,_xlfn.NORM.S.DIST(Table1[[#This Row],[Birthweight Z-Score (BW-10%)]],TRUE)*100,"")</f>
        <v/>
      </c>
      <c r="L1564" s="7" t="str">
        <f>IF(Table1[[#This Row],[Is Data Valid]]=TRUE,_xlfn.NORM.S.DIST(Table1[[#This Row],[Birthweight Z-Score (BW+10%)]],TRUE)*100,"")</f>
        <v/>
      </c>
    </row>
    <row r="1565" spans="1:12" x14ac:dyDescent="0.35">
      <c r="A1565" s="3"/>
      <c r="B1565" s="2"/>
      <c r="C1565" s="2"/>
      <c r="D1565" s="2" t="b">
        <f>IF(AND(NOT(ISBLANK(Table1[[#This Row],[Fetal Sex (Male, Female or Unknown)]])),ISNUMBER(Table1[[#This Row],[Birthweight (grams)]]),ISNUMBER(Table1[[#This Row],[Gestation (days)]])),TRUE,FALSE)</f>
        <v>0</v>
      </c>
      <c r="E1565" s="2" t="str">
        <f>IF(Table1[[#This Row],[Is Data Valid]]=TRUE,IF(Table1[[#This Row],[Fetal Sex (Male, Female or Unknown)]]="Male",Backend!$C$6,IF(Table1[[#This Row],[Fetal Sex (Male, Female or Unknown)]]="Female",Backend!$C$7,IF(Table1[[#This Row],[Fetal Sex (Male, Female or Unknown)]]="Unknown",Backend!$C$8,"Error"))),"")</f>
        <v/>
      </c>
      <c r="F1565" s="8" t="str">
        <f>IF(Table1[[#This Row],[Is Data Valid]]=TRUE,EXP(0.578+0.332*((Table1[[#This Row],[Gestation (days)]]+0.5)/7)-0.00354*((Table1[[#This Row],[Gestation (days)]]+0.5)/7)^2)*Table1[[#This Row],[BW40_3705]],"")</f>
        <v/>
      </c>
      <c r="G1565" s="2" t="str">
        <f>IF(Table1[[#This Row],[Is Data Valid]]=TRUE,((Table1[[#This Row],[Birthweight (grams)]]/Table1[[#This Row],[BW_GA]])-1)/(Backend!$B$4/100*Table1[[#This Row],[BW40_3705]]),"")</f>
        <v/>
      </c>
      <c r="H1565" s="7" t="str">
        <f>IF(Table1[[#This Row],[Is Data Valid]]=TRUE,((Table1[[#This Row],[Birthweight (grams)]]*0.9/Table1[[#This Row],[BW_GA]])-1)/(Backend!$B$4/100*Table1[[#This Row],[BW40_3705]]),"")</f>
        <v/>
      </c>
      <c r="I1565" s="7" t="str">
        <f>IF(Table1[[#This Row],[Is Data Valid]]=TRUE,((Table1[[#This Row],[Birthweight (grams)]]*1.1/Table1[[#This Row],[BW_GA]])-1)/(Backend!$B$4/100*Table1[[#This Row],[BW40_3705]]),"")</f>
        <v/>
      </c>
      <c r="J1565" s="7" t="str">
        <f>IF(Table1[[#This Row],[Is Data Valid]]=TRUE,_xlfn.NORM.S.DIST(Table1[[#This Row],[Birthweight Z-Score]],TRUE)*100,"")</f>
        <v/>
      </c>
      <c r="K1565" s="7" t="str">
        <f>IF(Table1[[#This Row],[Is Data Valid]]=TRUE,_xlfn.NORM.S.DIST(Table1[[#This Row],[Birthweight Z-Score (BW-10%)]],TRUE)*100,"")</f>
        <v/>
      </c>
      <c r="L1565" s="7" t="str">
        <f>IF(Table1[[#This Row],[Is Data Valid]]=TRUE,_xlfn.NORM.S.DIST(Table1[[#This Row],[Birthweight Z-Score (BW+10%)]],TRUE)*100,"")</f>
        <v/>
      </c>
    </row>
    <row r="1566" spans="1:12" x14ac:dyDescent="0.35">
      <c r="A1566" s="3"/>
      <c r="B1566" s="2"/>
      <c r="C1566" s="2"/>
      <c r="D1566" s="2" t="b">
        <f>IF(AND(NOT(ISBLANK(Table1[[#This Row],[Fetal Sex (Male, Female or Unknown)]])),ISNUMBER(Table1[[#This Row],[Birthweight (grams)]]),ISNUMBER(Table1[[#This Row],[Gestation (days)]])),TRUE,FALSE)</f>
        <v>0</v>
      </c>
      <c r="E1566" s="2" t="str">
        <f>IF(Table1[[#This Row],[Is Data Valid]]=TRUE,IF(Table1[[#This Row],[Fetal Sex (Male, Female or Unknown)]]="Male",Backend!$C$6,IF(Table1[[#This Row],[Fetal Sex (Male, Female or Unknown)]]="Female",Backend!$C$7,IF(Table1[[#This Row],[Fetal Sex (Male, Female or Unknown)]]="Unknown",Backend!$C$8,"Error"))),"")</f>
        <v/>
      </c>
      <c r="F1566" s="8" t="str">
        <f>IF(Table1[[#This Row],[Is Data Valid]]=TRUE,EXP(0.578+0.332*((Table1[[#This Row],[Gestation (days)]]+0.5)/7)-0.00354*((Table1[[#This Row],[Gestation (days)]]+0.5)/7)^2)*Table1[[#This Row],[BW40_3705]],"")</f>
        <v/>
      </c>
      <c r="G1566" s="2" t="str">
        <f>IF(Table1[[#This Row],[Is Data Valid]]=TRUE,((Table1[[#This Row],[Birthweight (grams)]]/Table1[[#This Row],[BW_GA]])-1)/(Backend!$B$4/100*Table1[[#This Row],[BW40_3705]]),"")</f>
        <v/>
      </c>
      <c r="H1566" s="7" t="str">
        <f>IF(Table1[[#This Row],[Is Data Valid]]=TRUE,((Table1[[#This Row],[Birthweight (grams)]]*0.9/Table1[[#This Row],[BW_GA]])-1)/(Backend!$B$4/100*Table1[[#This Row],[BW40_3705]]),"")</f>
        <v/>
      </c>
      <c r="I1566" s="7" t="str">
        <f>IF(Table1[[#This Row],[Is Data Valid]]=TRUE,((Table1[[#This Row],[Birthweight (grams)]]*1.1/Table1[[#This Row],[BW_GA]])-1)/(Backend!$B$4/100*Table1[[#This Row],[BW40_3705]]),"")</f>
        <v/>
      </c>
      <c r="J1566" s="7" t="str">
        <f>IF(Table1[[#This Row],[Is Data Valid]]=TRUE,_xlfn.NORM.S.DIST(Table1[[#This Row],[Birthweight Z-Score]],TRUE)*100,"")</f>
        <v/>
      </c>
      <c r="K1566" s="7" t="str">
        <f>IF(Table1[[#This Row],[Is Data Valid]]=TRUE,_xlfn.NORM.S.DIST(Table1[[#This Row],[Birthweight Z-Score (BW-10%)]],TRUE)*100,"")</f>
        <v/>
      </c>
      <c r="L1566" s="7" t="str">
        <f>IF(Table1[[#This Row],[Is Data Valid]]=TRUE,_xlfn.NORM.S.DIST(Table1[[#This Row],[Birthweight Z-Score (BW+10%)]],TRUE)*100,"")</f>
        <v/>
      </c>
    </row>
    <row r="1567" spans="1:12" x14ac:dyDescent="0.35">
      <c r="A1567" s="3"/>
      <c r="B1567" s="2"/>
      <c r="C1567" s="2"/>
      <c r="D1567" s="2" t="b">
        <f>IF(AND(NOT(ISBLANK(Table1[[#This Row],[Fetal Sex (Male, Female or Unknown)]])),ISNUMBER(Table1[[#This Row],[Birthweight (grams)]]),ISNUMBER(Table1[[#This Row],[Gestation (days)]])),TRUE,FALSE)</f>
        <v>0</v>
      </c>
      <c r="E1567" s="2" t="str">
        <f>IF(Table1[[#This Row],[Is Data Valid]]=TRUE,IF(Table1[[#This Row],[Fetal Sex (Male, Female or Unknown)]]="Male",Backend!$C$6,IF(Table1[[#This Row],[Fetal Sex (Male, Female or Unknown)]]="Female",Backend!$C$7,IF(Table1[[#This Row],[Fetal Sex (Male, Female or Unknown)]]="Unknown",Backend!$C$8,"Error"))),"")</f>
        <v/>
      </c>
      <c r="F1567" s="8" t="str">
        <f>IF(Table1[[#This Row],[Is Data Valid]]=TRUE,EXP(0.578+0.332*((Table1[[#This Row],[Gestation (days)]]+0.5)/7)-0.00354*((Table1[[#This Row],[Gestation (days)]]+0.5)/7)^2)*Table1[[#This Row],[BW40_3705]],"")</f>
        <v/>
      </c>
      <c r="G1567" s="2" t="str">
        <f>IF(Table1[[#This Row],[Is Data Valid]]=TRUE,((Table1[[#This Row],[Birthweight (grams)]]/Table1[[#This Row],[BW_GA]])-1)/(Backend!$B$4/100*Table1[[#This Row],[BW40_3705]]),"")</f>
        <v/>
      </c>
      <c r="H1567" s="7" t="str">
        <f>IF(Table1[[#This Row],[Is Data Valid]]=TRUE,((Table1[[#This Row],[Birthweight (grams)]]*0.9/Table1[[#This Row],[BW_GA]])-1)/(Backend!$B$4/100*Table1[[#This Row],[BW40_3705]]),"")</f>
        <v/>
      </c>
      <c r="I1567" s="7" t="str">
        <f>IF(Table1[[#This Row],[Is Data Valid]]=TRUE,((Table1[[#This Row],[Birthweight (grams)]]*1.1/Table1[[#This Row],[BW_GA]])-1)/(Backend!$B$4/100*Table1[[#This Row],[BW40_3705]]),"")</f>
        <v/>
      </c>
      <c r="J1567" s="7" t="str">
        <f>IF(Table1[[#This Row],[Is Data Valid]]=TRUE,_xlfn.NORM.S.DIST(Table1[[#This Row],[Birthweight Z-Score]],TRUE)*100,"")</f>
        <v/>
      </c>
      <c r="K1567" s="7" t="str">
        <f>IF(Table1[[#This Row],[Is Data Valid]]=TRUE,_xlfn.NORM.S.DIST(Table1[[#This Row],[Birthweight Z-Score (BW-10%)]],TRUE)*100,"")</f>
        <v/>
      </c>
      <c r="L1567" s="7" t="str">
        <f>IF(Table1[[#This Row],[Is Data Valid]]=TRUE,_xlfn.NORM.S.DIST(Table1[[#This Row],[Birthweight Z-Score (BW+10%)]],TRUE)*100,"")</f>
        <v/>
      </c>
    </row>
    <row r="1568" spans="1:12" x14ac:dyDescent="0.35">
      <c r="A1568" s="3"/>
      <c r="B1568" s="2"/>
      <c r="C1568" s="2"/>
      <c r="D1568" s="2" t="b">
        <f>IF(AND(NOT(ISBLANK(Table1[[#This Row],[Fetal Sex (Male, Female or Unknown)]])),ISNUMBER(Table1[[#This Row],[Birthweight (grams)]]),ISNUMBER(Table1[[#This Row],[Gestation (days)]])),TRUE,FALSE)</f>
        <v>0</v>
      </c>
      <c r="E1568" s="2" t="str">
        <f>IF(Table1[[#This Row],[Is Data Valid]]=TRUE,IF(Table1[[#This Row],[Fetal Sex (Male, Female or Unknown)]]="Male",Backend!$C$6,IF(Table1[[#This Row],[Fetal Sex (Male, Female or Unknown)]]="Female",Backend!$C$7,IF(Table1[[#This Row],[Fetal Sex (Male, Female or Unknown)]]="Unknown",Backend!$C$8,"Error"))),"")</f>
        <v/>
      </c>
      <c r="F1568" s="8" t="str">
        <f>IF(Table1[[#This Row],[Is Data Valid]]=TRUE,EXP(0.578+0.332*((Table1[[#This Row],[Gestation (days)]]+0.5)/7)-0.00354*((Table1[[#This Row],[Gestation (days)]]+0.5)/7)^2)*Table1[[#This Row],[BW40_3705]],"")</f>
        <v/>
      </c>
      <c r="G1568" s="2" t="str">
        <f>IF(Table1[[#This Row],[Is Data Valid]]=TRUE,((Table1[[#This Row],[Birthweight (grams)]]/Table1[[#This Row],[BW_GA]])-1)/(Backend!$B$4/100*Table1[[#This Row],[BW40_3705]]),"")</f>
        <v/>
      </c>
      <c r="H1568" s="7" t="str">
        <f>IF(Table1[[#This Row],[Is Data Valid]]=TRUE,((Table1[[#This Row],[Birthweight (grams)]]*0.9/Table1[[#This Row],[BW_GA]])-1)/(Backend!$B$4/100*Table1[[#This Row],[BW40_3705]]),"")</f>
        <v/>
      </c>
      <c r="I1568" s="7" t="str">
        <f>IF(Table1[[#This Row],[Is Data Valid]]=TRUE,((Table1[[#This Row],[Birthweight (grams)]]*1.1/Table1[[#This Row],[BW_GA]])-1)/(Backend!$B$4/100*Table1[[#This Row],[BW40_3705]]),"")</f>
        <v/>
      </c>
      <c r="J1568" s="7" t="str">
        <f>IF(Table1[[#This Row],[Is Data Valid]]=TRUE,_xlfn.NORM.S.DIST(Table1[[#This Row],[Birthweight Z-Score]],TRUE)*100,"")</f>
        <v/>
      </c>
      <c r="K1568" s="7" t="str">
        <f>IF(Table1[[#This Row],[Is Data Valid]]=TRUE,_xlfn.NORM.S.DIST(Table1[[#This Row],[Birthweight Z-Score (BW-10%)]],TRUE)*100,"")</f>
        <v/>
      </c>
      <c r="L1568" s="7" t="str">
        <f>IF(Table1[[#This Row],[Is Data Valid]]=TRUE,_xlfn.NORM.S.DIST(Table1[[#This Row],[Birthweight Z-Score (BW+10%)]],TRUE)*100,"")</f>
        <v/>
      </c>
    </row>
    <row r="1569" spans="1:12" x14ac:dyDescent="0.35">
      <c r="A1569" s="3"/>
      <c r="B1569" s="2"/>
      <c r="C1569" s="2"/>
      <c r="D1569" s="2" t="b">
        <f>IF(AND(NOT(ISBLANK(Table1[[#This Row],[Fetal Sex (Male, Female or Unknown)]])),ISNUMBER(Table1[[#This Row],[Birthweight (grams)]]),ISNUMBER(Table1[[#This Row],[Gestation (days)]])),TRUE,FALSE)</f>
        <v>0</v>
      </c>
      <c r="E1569" s="2" t="str">
        <f>IF(Table1[[#This Row],[Is Data Valid]]=TRUE,IF(Table1[[#This Row],[Fetal Sex (Male, Female or Unknown)]]="Male",Backend!$C$6,IF(Table1[[#This Row],[Fetal Sex (Male, Female or Unknown)]]="Female",Backend!$C$7,IF(Table1[[#This Row],[Fetal Sex (Male, Female or Unknown)]]="Unknown",Backend!$C$8,"Error"))),"")</f>
        <v/>
      </c>
      <c r="F1569" s="8" t="str">
        <f>IF(Table1[[#This Row],[Is Data Valid]]=TRUE,EXP(0.578+0.332*((Table1[[#This Row],[Gestation (days)]]+0.5)/7)-0.00354*((Table1[[#This Row],[Gestation (days)]]+0.5)/7)^2)*Table1[[#This Row],[BW40_3705]],"")</f>
        <v/>
      </c>
      <c r="G1569" s="2" t="str">
        <f>IF(Table1[[#This Row],[Is Data Valid]]=TRUE,((Table1[[#This Row],[Birthweight (grams)]]/Table1[[#This Row],[BW_GA]])-1)/(Backend!$B$4/100*Table1[[#This Row],[BW40_3705]]),"")</f>
        <v/>
      </c>
      <c r="H1569" s="7" t="str">
        <f>IF(Table1[[#This Row],[Is Data Valid]]=TRUE,((Table1[[#This Row],[Birthweight (grams)]]*0.9/Table1[[#This Row],[BW_GA]])-1)/(Backend!$B$4/100*Table1[[#This Row],[BW40_3705]]),"")</f>
        <v/>
      </c>
      <c r="I1569" s="7" t="str">
        <f>IF(Table1[[#This Row],[Is Data Valid]]=TRUE,((Table1[[#This Row],[Birthweight (grams)]]*1.1/Table1[[#This Row],[BW_GA]])-1)/(Backend!$B$4/100*Table1[[#This Row],[BW40_3705]]),"")</f>
        <v/>
      </c>
      <c r="J1569" s="7" t="str">
        <f>IF(Table1[[#This Row],[Is Data Valid]]=TRUE,_xlfn.NORM.S.DIST(Table1[[#This Row],[Birthweight Z-Score]],TRUE)*100,"")</f>
        <v/>
      </c>
      <c r="K1569" s="7" t="str">
        <f>IF(Table1[[#This Row],[Is Data Valid]]=TRUE,_xlfn.NORM.S.DIST(Table1[[#This Row],[Birthweight Z-Score (BW-10%)]],TRUE)*100,"")</f>
        <v/>
      </c>
      <c r="L1569" s="7" t="str">
        <f>IF(Table1[[#This Row],[Is Data Valid]]=TRUE,_xlfn.NORM.S.DIST(Table1[[#This Row],[Birthweight Z-Score (BW+10%)]],TRUE)*100,"")</f>
        <v/>
      </c>
    </row>
    <row r="1570" spans="1:12" x14ac:dyDescent="0.35">
      <c r="A1570" s="3"/>
      <c r="B1570" s="2"/>
      <c r="C1570" s="2"/>
      <c r="D1570" s="2" t="b">
        <f>IF(AND(NOT(ISBLANK(Table1[[#This Row],[Fetal Sex (Male, Female or Unknown)]])),ISNUMBER(Table1[[#This Row],[Birthweight (grams)]]),ISNUMBER(Table1[[#This Row],[Gestation (days)]])),TRUE,FALSE)</f>
        <v>0</v>
      </c>
      <c r="E1570" s="2" t="str">
        <f>IF(Table1[[#This Row],[Is Data Valid]]=TRUE,IF(Table1[[#This Row],[Fetal Sex (Male, Female or Unknown)]]="Male",Backend!$C$6,IF(Table1[[#This Row],[Fetal Sex (Male, Female or Unknown)]]="Female",Backend!$C$7,IF(Table1[[#This Row],[Fetal Sex (Male, Female or Unknown)]]="Unknown",Backend!$C$8,"Error"))),"")</f>
        <v/>
      </c>
      <c r="F1570" s="8" t="str">
        <f>IF(Table1[[#This Row],[Is Data Valid]]=TRUE,EXP(0.578+0.332*((Table1[[#This Row],[Gestation (days)]]+0.5)/7)-0.00354*((Table1[[#This Row],[Gestation (days)]]+0.5)/7)^2)*Table1[[#This Row],[BW40_3705]],"")</f>
        <v/>
      </c>
      <c r="G1570" s="2" t="str">
        <f>IF(Table1[[#This Row],[Is Data Valid]]=TRUE,((Table1[[#This Row],[Birthweight (grams)]]/Table1[[#This Row],[BW_GA]])-1)/(Backend!$B$4/100*Table1[[#This Row],[BW40_3705]]),"")</f>
        <v/>
      </c>
      <c r="H1570" s="7" t="str">
        <f>IF(Table1[[#This Row],[Is Data Valid]]=TRUE,((Table1[[#This Row],[Birthweight (grams)]]*0.9/Table1[[#This Row],[BW_GA]])-1)/(Backend!$B$4/100*Table1[[#This Row],[BW40_3705]]),"")</f>
        <v/>
      </c>
      <c r="I1570" s="7" t="str">
        <f>IF(Table1[[#This Row],[Is Data Valid]]=TRUE,((Table1[[#This Row],[Birthweight (grams)]]*1.1/Table1[[#This Row],[BW_GA]])-1)/(Backend!$B$4/100*Table1[[#This Row],[BW40_3705]]),"")</f>
        <v/>
      </c>
      <c r="J1570" s="7" t="str">
        <f>IF(Table1[[#This Row],[Is Data Valid]]=TRUE,_xlfn.NORM.S.DIST(Table1[[#This Row],[Birthweight Z-Score]],TRUE)*100,"")</f>
        <v/>
      </c>
      <c r="K1570" s="7" t="str">
        <f>IF(Table1[[#This Row],[Is Data Valid]]=TRUE,_xlfn.NORM.S.DIST(Table1[[#This Row],[Birthweight Z-Score (BW-10%)]],TRUE)*100,"")</f>
        <v/>
      </c>
      <c r="L1570" s="7" t="str">
        <f>IF(Table1[[#This Row],[Is Data Valid]]=TRUE,_xlfn.NORM.S.DIST(Table1[[#This Row],[Birthweight Z-Score (BW+10%)]],TRUE)*100,"")</f>
        <v/>
      </c>
    </row>
    <row r="1571" spans="1:12" x14ac:dyDescent="0.35">
      <c r="A1571" s="3"/>
      <c r="B1571" s="2"/>
      <c r="C1571" s="2"/>
      <c r="D1571" s="2" t="b">
        <f>IF(AND(NOT(ISBLANK(Table1[[#This Row],[Fetal Sex (Male, Female or Unknown)]])),ISNUMBER(Table1[[#This Row],[Birthweight (grams)]]),ISNUMBER(Table1[[#This Row],[Gestation (days)]])),TRUE,FALSE)</f>
        <v>0</v>
      </c>
      <c r="E1571" s="2" t="str">
        <f>IF(Table1[[#This Row],[Is Data Valid]]=TRUE,IF(Table1[[#This Row],[Fetal Sex (Male, Female or Unknown)]]="Male",Backend!$C$6,IF(Table1[[#This Row],[Fetal Sex (Male, Female or Unknown)]]="Female",Backend!$C$7,IF(Table1[[#This Row],[Fetal Sex (Male, Female or Unknown)]]="Unknown",Backend!$C$8,"Error"))),"")</f>
        <v/>
      </c>
      <c r="F1571" s="8" t="str">
        <f>IF(Table1[[#This Row],[Is Data Valid]]=TRUE,EXP(0.578+0.332*((Table1[[#This Row],[Gestation (days)]]+0.5)/7)-0.00354*((Table1[[#This Row],[Gestation (days)]]+0.5)/7)^2)*Table1[[#This Row],[BW40_3705]],"")</f>
        <v/>
      </c>
      <c r="G1571" s="2" t="str">
        <f>IF(Table1[[#This Row],[Is Data Valid]]=TRUE,((Table1[[#This Row],[Birthweight (grams)]]/Table1[[#This Row],[BW_GA]])-1)/(Backend!$B$4/100*Table1[[#This Row],[BW40_3705]]),"")</f>
        <v/>
      </c>
      <c r="H1571" s="7" t="str">
        <f>IF(Table1[[#This Row],[Is Data Valid]]=TRUE,((Table1[[#This Row],[Birthweight (grams)]]*0.9/Table1[[#This Row],[BW_GA]])-1)/(Backend!$B$4/100*Table1[[#This Row],[BW40_3705]]),"")</f>
        <v/>
      </c>
      <c r="I1571" s="7" t="str">
        <f>IF(Table1[[#This Row],[Is Data Valid]]=TRUE,((Table1[[#This Row],[Birthweight (grams)]]*1.1/Table1[[#This Row],[BW_GA]])-1)/(Backend!$B$4/100*Table1[[#This Row],[BW40_3705]]),"")</f>
        <v/>
      </c>
      <c r="J1571" s="7" t="str">
        <f>IF(Table1[[#This Row],[Is Data Valid]]=TRUE,_xlfn.NORM.S.DIST(Table1[[#This Row],[Birthweight Z-Score]],TRUE)*100,"")</f>
        <v/>
      </c>
      <c r="K1571" s="7" t="str">
        <f>IF(Table1[[#This Row],[Is Data Valid]]=TRUE,_xlfn.NORM.S.DIST(Table1[[#This Row],[Birthweight Z-Score (BW-10%)]],TRUE)*100,"")</f>
        <v/>
      </c>
      <c r="L1571" s="7" t="str">
        <f>IF(Table1[[#This Row],[Is Data Valid]]=TRUE,_xlfn.NORM.S.DIST(Table1[[#This Row],[Birthweight Z-Score (BW+10%)]],TRUE)*100,"")</f>
        <v/>
      </c>
    </row>
    <row r="1572" spans="1:12" x14ac:dyDescent="0.35">
      <c r="A1572" s="3"/>
      <c r="B1572" s="2"/>
      <c r="C1572" s="2"/>
      <c r="D1572" s="2" t="b">
        <f>IF(AND(NOT(ISBLANK(Table1[[#This Row],[Fetal Sex (Male, Female or Unknown)]])),ISNUMBER(Table1[[#This Row],[Birthweight (grams)]]),ISNUMBER(Table1[[#This Row],[Gestation (days)]])),TRUE,FALSE)</f>
        <v>0</v>
      </c>
      <c r="E1572" s="2" t="str">
        <f>IF(Table1[[#This Row],[Is Data Valid]]=TRUE,IF(Table1[[#This Row],[Fetal Sex (Male, Female or Unknown)]]="Male",Backend!$C$6,IF(Table1[[#This Row],[Fetal Sex (Male, Female or Unknown)]]="Female",Backend!$C$7,IF(Table1[[#This Row],[Fetal Sex (Male, Female or Unknown)]]="Unknown",Backend!$C$8,"Error"))),"")</f>
        <v/>
      </c>
      <c r="F1572" s="8" t="str">
        <f>IF(Table1[[#This Row],[Is Data Valid]]=TRUE,EXP(0.578+0.332*((Table1[[#This Row],[Gestation (days)]]+0.5)/7)-0.00354*((Table1[[#This Row],[Gestation (days)]]+0.5)/7)^2)*Table1[[#This Row],[BW40_3705]],"")</f>
        <v/>
      </c>
      <c r="G1572" s="2" t="str">
        <f>IF(Table1[[#This Row],[Is Data Valid]]=TRUE,((Table1[[#This Row],[Birthweight (grams)]]/Table1[[#This Row],[BW_GA]])-1)/(Backend!$B$4/100*Table1[[#This Row],[BW40_3705]]),"")</f>
        <v/>
      </c>
      <c r="H1572" s="7" t="str">
        <f>IF(Table1[[#This Row],[Is Data Valid]]=TRUE,((Table1[[#This Row],[Birthweight (grams)]]*0.9/Table1[[#This Row],[BW_GA]])-1)/(Backend!$B$4/100*Table1[[#This Row],[BW40_3705]]),"")</f>
        <v/>
      </c>
      <c r="I1572" s="7" t="str">
        <f>IF(Table1[[#This Row],[Is Data Valid]]=TRUE,((Table1[[#This Row],[Birthweight (grams)]]*1.1/Table1[[#This Row],[BW_GA]])-1)/(Backend!$B$4/100*Table1[[#This Row],[BW40_3705]]),"")</f>
        <v/>
      </c>
      <c r="J1572" s="7" t="str">
        <f>IF(Table1[[#This Row],[Is Data Valid]]=TRUE,_xlfn.NORM.S.DIST(Table1[[#This Row],[Birthweight Z-Score]],TRUE)*100,"")</f>
        <v/>
      </c>
      <c r="K1572" s="7" t="str">
        <f>IF(Table1[[#This Row],[Is Data Valid]]=TRUE,_xlfn.NORM.S.DIST(Table1[[#This Row],[Birthweight Z-Score (BW-10%)]],TRUE)*100,"")</f>
        <v/>
      </c>
      <c r="L1572" s="7" t="str">
        <f>IF(Table1[[#This Row],[Is Data Valid]]=TRUE,_xlfn.NORM.S.DIST(Table1[[#This Row],[Birthweight Z-Score (BW+10%)]],TRUE)*100,"")</f>
        <v/>
      </c>
    </row>
    <row r="1573" spans="1:12" x14ac:dyDescent="0.35">
      <c r="A1573" s="3"/>
      <c r="B1573" s="2"/>
      <c r="C1573" s="2"/>
      <c r="D1573" s="2" t="b">
        <f>IF(AND(NOT(ISBLANK(Table1[[#This Row],[Fetal Sex (Male, Female or Unknown)]])),ISNUMBER(Table1[[#This Row],[Birthweight (grams)]]),ISNUMBER(Table1[[#This Row],[Gestation (days)]])),TRUE,FALSE)</f>
        <v>0</v>
      </c>
      <c r="E1573" s="2" t="str">
        <f>IF(Table1[[#This Row],[Is Data Valid]]=TRUE,IF(Table1[[#This Row],[Fetal Sex (Male, Female or Unknown)]]="Male",Backend!$C$6,IF(Table1[[#This Row],[Fetal Sex (Male, Female or Unknown)]]="Female",Backend!$C$7,IF(Table1[[#This Row],[Fetal Sex (Male, Female or Unknown)]]="Unknown",Backend!$C$8,"Error"))),"")</f>
        <v/>
      </c>
      <c r="F1573" s="8" t="str">
        <f>IF(Table1[[#This Row],[Is Data Valid]]=TRUE,EXP(0.578+0.332*((Table1[[#This Row],[Gestation (days)]]+0.5)/7)-0.00354*((Table1[[#This Row],[Gestation (days)]]+0.5)/7)^2)*Table1[[#This Row],[BW40_3705]],"")</f>
        <v/>
      </c>
      <c r="G1573" s="2" t="str">
        <f>IF(Table1[[#This Row],[Is Data Valid]]=TRUE,((Table1[[#This Row],[Birthweight (grams)]]/Table1[[#This Row],[BW_GA]])-1)/(Backend!$B$4/100*Table1[[#This Row],[BW40_3705]]),"")</f>
        <v/>
      </c>
      <c r="H1573" s="7" t="str">
        <f>IF(Table1[[#This Row],[Is Data Valid]]=TRUE,((Table1[[#This Row],[Birthweight (grams)]]*0.9/Table1[[#This Row],[BW_GA]])-1)/(Backend!$B$4/100*Table1[[#This Row],[BW40_3705]]),"")</f>
        <v/>
      </c>
      <c r="I1573" s="7" t="str">
        <f>IF(Table1[[#This Row],[Is Data Valid]]=TRUE,((Table1[[#This Row],[Birthweight (grams)]]*1.1/Table1[[#This Row],[BW_GA]])-1)/(Backend!$B$4/100*Table1[[#This Row],[BW40_3705]]),"")</f>
        <v/>
      </c>
      <c r="J1573" s="7" t="str">
        <f>IF(Table1[[#This Row],[Is Data Valid]]=TRUE,_xlfn.NORM.S.DIST(Table1[[#This Row],[Birthweight Z-Score]],TRUE)*100,"")</f>
        <v/>
      </c>
      <c r="K1573" s="7" t="str">
        <f>IF(Table1[[#This Row],[Is Data Valid]]=TRUE,_xlfn.NORM.S.DIST(Table1[[#This Row],[Birthweight Z-Score (BW-10%)]],TRUE)*100,"")</f>
        <v/>
      </c>
      <c r="L1573" s="7" t="str">
        <f>IF(Table1[[#This Row],[Is Data Valid]]=TRUE,_xlfn.NORM.S.DIST(Table1[[#This Row],[Birthweight Z-Score (BW+10%)]],TRUE)*100,"")</f>
        <v/>
      </c>
    </row>
    <row r="1574" spans="1:12" x14ac:dyDescent="0.35">
      <c r="A1574" s="3"/>
      <c r="B1574" s="2"/>
      <c r="C1574" s="2"/>
      <c r="D1574" s="2" t="b">
        <f>IF(AND(NOT(ISBLANK(Table1[[#This Row],[Fetal Sex (Male, Female or Unknown)]])),ISNUMBER(Table1[[#This Row],[Birthweight (grams)]]),ISNUMBER(Table1[[#This Row],[Gestation (days)]])),TRUE,FALSE)</f>
        <v>0</v>
      </c>
      <c r="E1574" s="2" t="str">
        <f>IF(Table1[[#This Row],[Is Data Valid]]=TRUE,IF(Table1[[#This Row],[Fetal Sex (Male, Female or Unknown)]]="Male",Backend!$C$6,IF(Table1[[#This Row],[Fetal Sex (Male, Female or Unknown)]]="Female",Backend!$C$7,IF(Table1[[#This Row],[Fetal Sex (Male, Female or Unknown)]]="Unknown",Backend!$C$8,"Error"))),"")</f>
        <v/>
      </c>
      <c r="F1574" s="8" t="str">
        <f>IF(Table1[[#This Row],[Is Data Valid]]=TRUE,EXP(0.578+0.332*((Table1[[#This Row],[Gestation (days)]]+0.5)/7)-0.00354*((Table1[[#This Row],[Gestation (days)]]+0.5)/7)^2)*Table1[[#This Row],[BW40_3705]],"")</f>
        <v/>
      </c>
      <c r="G1574" s="2" t="str">
        <f>IF(Table1[[#This Row],[Is Data Valid]]=TRUE,((Table1[[#This Row],[Birthweight (grams)]]/Table1[[#This Row],[BW_GA]])-1)/(Backend!$B$4/100*Table1[[#This Row],[BW40_3705]]),"")</f>
        <v/>
      </c>
      <c r="H1574" s="7" t="str">
        <f>IF(Table1[[#This Row],[Is Data Valid]]=TRUE,((Table1[[#This Row],[Birthweight (grams)]]*0.9/Table1[[#This Row],[BW_GA]])-1)/(Backend!$B$4/100*Table1[[#This Row],[BW40_3705]]),"")</f>
        <v/>
      </c>
      <c r="I1574" s="7" t="str">
        <f>IF(Table1[[#This Row],[Is Data Valid]]=TRUE,((Table1[[#This Row],[Birthweight (grams)]]*1.1/Table1[[#This Row],[BW_GA]])-1)/(Backend!$B$4/100*Table1[[#This Row],[BW40_3705]]),"")</f>
        <v/>
      </c>
      <c r="J1574" s="7" t="str">
        <f>IF(Table1[[#This Row],[Is Data Valid]]=TRUE,_xlfn.NORM.S.DIST(Table1[[#This Row],[Birthweight Z-Score]],TRUE)*100,"")</f>
        <v/>
      </c>
      <c r="K1574" s="7" t="str">
        <f>IF(Table1[[#This Row],[Is Data Valid]]=TRUE,_xlfn.NORM.S.DIST(Table1[[#This Row],[Birthweight Z-Score (BW-10%)]],TRUE)*100,"")</f>
        <v/>
      </c>
      <c r="L1574" s="7" t="str">
        <f>IF(Table1[[#This Row],[Is Data Valid]]=TRUE,_xlfn.NORM.S.DIST(Table1[[#This Row],[Birthweight Z-Score (BW+10%)]],TRUE)*100,"")</f>
        <v/>
      </c>
    </row>
    <row r="1575" spans="1:12" x14ac:dyDescent="0.35">
      <c r="A1575" s="3"/>
      <c r="B1575" s="2"/>
      <c r="C1575" s="2"/>
      <c r="D1575" s="2" t="b">
        <f>IF(AND(NOT(ISBLANK(Table1[[#This Row],[Fetal Sex (Male, Female or Unknown)]])),ISNUMBER(Table1[[#This Row],[Birthweight (grams)]]),ISNUMBER(Table1[[#This Row],[Gestation (days)]])),TRUE,FALSE)</f>
        <v>0</v>
      </c>
      <c r="E1575" s="2" t="str">
        <f>IF(Table1[[#This Row],[Is Data Valid]]=TRUE,IF(Table1[[#This Row],[Fetal Sex (Male, Female or Unknown)]]="Male",Backend!$C$6,IF(Table1[[#This Row],[Fetal Sex (Male, Female or Unknown)]]="Female",Backend!$C$7,IF(Table1[[#This Row],[Fetal Sex (Male, Female or Unknown)]]="Unknown",Backend!$C$8,"Error"))),"")</f>
        <v/>
      </c>
      <c r="F1575" s="8" t="str">
        <f>IF(Table1[[#This Row],[Is Data Valid]]=TRUE,EXP(0.578+0.332*((Table1[[#This Row],[Gestation (days)]]+0.5)/7)-0.00354*((Table1[[#This Row],[Gestation (days)]]+0.5)/7)^2)*Table1[[#This Row],[BW40_3705]],"")</f>
        <v/>
      </c>
      <c r="G1575" s="2" t="str">
        <f>IF(Table1[[#This Row],[Is Data Valid]]=TRUE,((Table1[[#This Row],[Birthweight (grams)]]/Table1[[#This Row],[BW_GA]])-1)/(Backend!$B$4/100*Table1[[#This Row],[BW40_3705]]),"")</f>
        <v/>
      </c>
      <c r="H1575" s="7" t="str">
        <f>IF(Table1[[#This Row],[Is Data Valid]]=TRUE,((Table1[[#This Row],[Birthweight (grams)]]*0.9/Table1[[#This Row],[BW_GA]])-1)/(Backend!$B$4/100*Table1[[#This Row],[BW40_3705]]),"")</f>
        <v/>
      </c>
      <c r="I1575" s="7" t="str">
        <f>IF(Table1[[#This Row],[Is Data Valid]]=TRUE,((Table1[[#This Row],[Birthweight (grams)]]*1.1/Table1[[#This Row],[BW_GA]])-1)/(Backend!$B$4/100*Table1[[#This Row],[BW40_3705]]),"")</f>
        <v/>
      </c>
      <c r="J1575" s="7" t="str">
        <f>IF(Table1[[#This Row],[Is Data Valid]]=TRUE,_xlfn.NORM.S.DIST(Table1[[#This Row],[Birthweight Z-Score]],TRUE)*100,"")</f>
        <v/>
      </c>
      <c r="K1575" s="7" t="str">
        <f>IF(Table1[[#This Row],[Is Data Valid]]=TRUE,_xlfn.NORM.S.DIST(Table1[[#This Row],[Birthweight Z-Score (BW-10%)]],TRUE)*100,"")</f>
        <v/>
      </c>
      <c r="L1575" s="7" t="str">
        <f>IF(Table1[[#This Row],[Is Data Valid]]=TRUE,_xlfn.NORM.S.DIST(Table1[[#This Row],[Birthweight Z-Score (BW+10%)]],TRUE)*100,"")</f>
        <v/>
      </c>
    </row>
    <row r="1576" spans="1:12" x14ac:dyDescent="0.35">
      <c r="A1576" s="3"/>
      <c r="B1576" s="2"/>
      <c r="C1576" s="2"/>
      <c r="D1576" s="2" t="b">
        <f>IF(AND(NOT(ISBLANK(Table1[[#This Row],[Fetal Sex (Male, Female or Unknown)]])),ISNUMBER(Table1[[#This Row],[Birthweight (grams)]]),ISNUMBER(Table1[[#This Row],[Gestation (days)]])),TRUE,FALSE)</f>
        <v>0</v>
      </c>
      <c r="E1576" s="2" t="str">
        <f>IF(Table1[[#This Row],[Is Data Valid]]=TRUE,IF(Table1[[#This Row],[Fetal Sex (Male, Female or Unknown)]]="Male",Backend!$C$6,IF(Table1[[#This Row],[Fetal Sex (Male, Female or Unknown)]]="Female",Backend!$C$7,IF(Table1[[#This Row],[Fetal Sex (Male, Female or Unknown)]]="Unknown",Backend!$C$8,"Error"))),"")</f>
        <v/>
      </c>
      <c r="F1576" s="8" t="str">
        <f>IF(Table1[[#This Row],[Is Data Valid]]=TRUE,EXP(0.578+0.332*((Table1[[#This Row],[Gestation (days)]]+0.5)/7)-0.00354*((Table1[[#This Row],[Gestation (days)]]+0.5)/7)^2)*Table1[[#This Row],[BW40_3705]],"")</f>
        <v/>
      </c>
      <c r="G1576" s="2" t="str">
        <f>IF(Table1[[#This Row],[Is Data Valid]]=TRUE,((Table1[[#This Row],[Birthweight (grams)]]/Table1[[#This Row],[BW_GA]])-1)/(Backend!$B$4/100*Table1[[#This Row],[BW40_3705]]),"")</f>
        <v/>
      </c>
      <c r="H1576" s="7" t="str">
        <f>IF(Table1[[#This Row],[Is Data Valid]]=TRUE,((Table1[[#This Row],[Birthweight (grams)]]*0.9/Table1[[#This Row],[BW_GA]])-1)/(Backend!$B$4/100*Table1[[#This Row],[BW40_3705]]),"")</f>
        <v/>
      </c>
      <c r="I1576" s="7" t="str">
        <f>IF(Table1[[#This Row],[Is Data Valid]]=TRUE,((Table1[[#This Row],[Birthweight (grams)]]*1.1/Table1[[#This Row],[BW_GA]])-1)/(Backend!$B$4/100*Table1[[#This Row],[BW40_3705]]),"")</f>
        <v/>
      </c>
      <c r="J1576" s="7" t="str">
        <f>IF(Table1[[#This Row],[Is Data Valid]]=TRUE,_xlfn.NORM.S.DIST(Table1[[#This Row],[Birthweight Z-Score]],TRUE)*100,"")</f>
        <v/>
      </c>
      <c r="K1576" s="7" t="str">
        <f>IF(Table1[[#This Row],[Is Data Valid]]=TRUE,_xlfn.NORM.S.DIST(Table1[[#This Row],[Birthweight Z-Score (BW-10%)]],TRUE)*100,"")</f>
        <v/>
      </c>
      <c r="L1576" s="7" t="str">
        <f>IF(Table1[[#This Row],[Is Data Valid]]=TRUE,_xlfn.NORM.S.DIST(Table1[[#This Row],[Birthweight Z-Score (BW+10%)]],TRUE)*100,"")</f>
        <v/>
      </c>
    </row>
    <row r="1577" spans="1:12" x14ac:dyDescent="0.35">
      <c r="A1577" s="3"/>
      <c r="B1577" s="2"/>
      <c r="C1577" s="2"/>
      <c r="D1577" s="2" t="b">
        <f>IF(AND(NOT(ISBLANK(Table1[[#This Row],[Fetal Sex (Male, Female or Unknown)]])),ISNUMBER(Table1[[#This Row],[Birthweight (grams)]]),ISNUMBER(Table1[[#This Row],[Gestation (days)]])),TRUE,FALSE)</f>
        <v>0</v>
      </c>
      <c r="E1577" s="2" t="str">
        <f>IF(Table1[[#This Row],[Is Data Valid]]=TRUE,IF(Table1[[#This Row],[Fetal Sex (Male, Female or Unknown)]]="Male",Backend!$C$6,IF(Table1[[#This Row],[Fetal Sex (Male, Female or Unknown)]]="Female",Backend!$C$7,IF(Table1[[#This Row],[Fetal Sex (Male, Female or Unknown)]]="Unknown",Backend!$C$8,"Error"))),"")</f>
        <v/>
      </c>
      <c r="F1577" s="8" t="str">
        <f>IF(Table1[[#This Row],[Is Data Valid]]=TRUE,EXP(0.578+0.332*((Table1[[#This Row],[Gestation (days)]]+0.5)/7)-0.00354*((Table1[[#This Row],[Gestation (days)]]+0.5)/7)^2)*Table1[[#This Row],[BW40_3705]],"")</f>
        <v/>
      </c>
      <c r="G1577" s="2" t="str">
        <f>IF(Table1[[#This Row],[Is Data Valid]]=TRUE,((Table1[[#This Row],[Birthweight (grams)]]/Table1[[#This Row],[BW_GA]])-1)/(Backend!$B$4/100*Table1[[#This Row],[BW40_3705]]),"")</f>
        <v/>
      </c>
      <c r="H1577" s="7" t="str">
        <f>IF(Table1[[#This Row],[Is Data Valid]]=TRUE,((Table1[[#This Row],[Birthweight (grams)]]*0.9/Table1[[#This Row],[BW_GA]])-1)/(Backend!$B$4/100*Table1[[#This Row],[BW40_3705]]),"")</f>
        <v/>
      </c>
      <c r="I1577" s="7" t="str">
        <f>IF(Table1[[#This Row],[Is Data Valid]]=TRUE,((Table1[[#This Row],[Birthweight (grams)]]*1.1/Table1[[#This Row],[BW_GA]])-1)/(Backend!$B$4/100*Table1[[#This Row],[BW40_3705]]),"")</f>
        <v/>
      </c>
      <c r="J1577" s="7" t="str">
        <f>IF(Table1[[#This Row],[Is Data Valid]]=TRUE,_xlfn.NORM.S.DIST(Table1[[#This Row],[Birthweight Z-Score]],TRUE)*100,"")</f>
        <v/>
      </c>
      <c r="K1577" s="7" t="str">
        <f>IF(Table1[[#This Row],[Is Data Valid]]=TRUE,_xlfn.NORM.S.DIST(Table1[[#This Row],[Birthweight Z-Score (BW-10%)]],TRUE)*100,"")</f>
        <v/>
      </c>
      <c r="L1577" s="7" t="str">
        <f>IF(Table1[[#This Row],[Is Data Valid]]=TRUE,_xlfn.NORM.S.DIST(Table1[[#This Row],[Birthweight Z-Score (BW+10%)]],TRUE)*100,"")</f>
        <v/>
      </c>
    </row>
    <row r="1578" spans="1:12" x14ac:dyDescent="0.35">
      <c r="A1578" s="3"/>
      <c r="B1578" s="2"/>
      <c r="C1578" s="2"/>
      <c r="D1578" s="2" t="b">
        <f>IF(AND(NOT(ISBLANK(Table1[[#This Row],[Fetal Sex (Male, Female or Unknown)]])),ISNUMBER(Table1[[#This Row],[Birthweight (grams)]]),ISNUMBER(Table1[[#This Row],[Gestation (days)]])),TRUE,FALSE)</f>
        <v>0</v>
      </c>
      <c r="E1578" s="2" t="str">
        <f>IF(Table1[[#This Row],[Is Data Valid]]=TRUE,IF(Table1[[#This Row],[Fetal Sex (Male, Female or Unknown)]]="Male",Backend!$C$6,IF(Table1[[#This Row],[Fetal Sex (Male, Female or Unknown)]]="Female",Backend!$C$7,IF(Table1[[#This Row],[Fetal Sex (Male, Female or Unknown)]]="Unknown",Backend!$C$8,"Error"))),"")</f>
        <v/>
      </c>
      <c r="F1578" s="8" t="str">
        <f>IF(Table1[[#This Row],[Is Data Valid]]=TRUE,EXP(0.578+0.332*((Table1[[#This Row],[Gestation (days)]]+0.5)/7)-0.00354*((Table1[[#This Row],[Gestation (days)]]+0.5)/7)^2)*Table1[[#This Row],[BW40_3705]],"")</f>
        <v/>
      </c>
      <c r="G1578" s="2" t="str">
        <f>IF(Table1[[#This Row],[Is Data Valid]]=TRUE,((Table1[[#This Row],[Birthweight (grams)]]/Table1[[#This Row],[BW_GA]])-1)/(Backend!$B$4/100*Table1[[#This Row],[BW40_3705]]),"")</f>
        <v/>
      </c>
      <c r="H1578" s="7" t="str">
        <f>IF(Table1[[#This Row],[Is Data Valid]]=TRUE,((Table1[[#This Row],[Birthweight (grams)]]*0.9/Table1[[#This Row],[BW_GA]])-1)/(Backend!$B$4/100*Table1[[#This Row],[BW40_3705]]),"")</f>
        <v/>
      </c>
      <c r="I1578" s="7" t="str">
        <f>IF(Table1[[#This Row],[Is Data Valid]]=TRUE,((Table1[[#This Row],[Birthweight (grams)]]*1.1/Table1[[#This Row],[BW_GA]])-1)/(Backend!$B$4/100*Table1[[#This Row],[BW40_3705]]),"")</f>
        <v/>
      </c>
      <c r="J1578" s="7" t="str">
        <f>IF(Table1[[#This Row],[Is Data Valid]]=TRUE,_xlfn.NORM.S.DIST(Table1[[#This Row],[Birthweight Z-Score]],TRUE)*100,"")</f>
        <v/>
      </c>
      <c r="K1578" s="7" t="str">
        <f>IF(Table1[[#This Row],[Is Data Valid]]=TRUE,_xlfn.NORM.S.DIST(Table1[[#This Row],[Birthweight Z-Score (BW-10%)]],TRUE)*100,"")</f>
        <v/>
      </c>
      <c r="L1578" s="7" t="str">
        <f>IF(Table1[[#This Row],[Is Data Valid]]=TRUE,_xlfn.NORM.S.DIST(Table1[[#This Row],[Birthweight Z-Score (BW+10%)]],TRUE)*100,"")</f>
        <v/>
      </c>
    </row>
    <row r="1579" spans="1:12" x14ac:dyDescent="0.35">
      <c r="A1579" s="3"/>
      <c r="B1579" s="2"/>
      <c r="C1579" s="2"/>
      <c r="D1579" s="2" t="b">
        <f>IF(AND(NOT(ISBLANK(Table1[[#This Row],[Fetal Sex (Male, Female or Unknown)]])),ISNUMBER(Table1[[#This Row],[Birthweight (grams)]]),ISNUMBER(Table1[[#This Row],[Gestation (days)]])),TRUE,FALSE)</f>
        <v>0</v>
      </c>
      <c r="E1579" s="2" t="str">
        <f>IF(Table1[[#This Row],[Is Data Valid]]=TRUE,IF(Table1[[#This Row],[Fetal Sex (Male, Female or Unknown)]]="Male",Backend!$C$6,IF(Table1[[#This Row],[Fetal Sex (Male, Female or Unknown)]]="Female",Backend!$C$7,IF(Table1[[#This Row],[Fetal Sex (Male, Female or Unknown)]]="Unknown",Backend!$C$8,"Error"))),"")</f>
        <v/>
      </c>
      <c r="F1579" s="8" t="str">
        <f>IF(Table1[[#This Row],[Is Data Valid]]=TRUE,EXP(0.578+0.332*((Table1[[#This Row],[Gestation (days)]]+0.5)/7)-0.00354*((Table1[[#This Row],[Gestation (days)]]+0.5)/7)^2)*Table1[[#This Row],[BW40_3705]],"")</f>
        <v/>
      </c>
      <c r="G1579" s="2" t="str">
        <f>IF(Table1[[#This Row],[Is Data Valid]]=TRUE,((Table1[[#This Row],[Birthweight (grams)]]/Table1[[#This Row],[BW_GA]])-1)/(Backend!$B$4/100*Table1[[#This Row],[BW40_3705]]),"")</f>
        <v/>
      </c>
      <c r="H1579" s="7" t="str">
        <f>IF(Table1[[#This Row],[Is Data Valid]]=TRUE,((Table1[[#This Row],[Birthweight (grams)]]*0.9/Table1[[#This Row],[BW_GA]])-1)/(Backend!$B$4/100*Table1[[#This Row],[BW40_3705]]),"")</f>
        <v/>
      </c>
      <c r="I1579" s="7" t="str">
        <f>IF(Table1[[#This Row],[Is Data Valid]]=TRUE,((Table1[[#This Row],[Birthweight (grams)]]*1.1/Table1[[#This Row],[BW_GA]])-1)/(Backend!$B$4/100*Table1[[#This Row],[BW40_3705]]),"")</f>
        <v/>
      </c>
      <c r="J1579" s="7" t="str">
        <f>IF(Table1[[#This Row],[Is Data Valid]]=TRUE,_xlfn.NORM.S.DIST(Table1[[#This Row],[Birthweight Z-Score]],TRUE)*100,"")</f>
        <v/>
      </c>
      <c r="K1579" s="7" t="str">
        <f>IF(Table1[[#This Row],[Is Data Valid]]=TRUE,_xlfn.NORM.S.DIST(Table1[[#This Row],[Birthweight Z-Score (BW-10%)]],TRUE)*100,"")</f>
        <v/>
      </c>
      <c r="L1579" s="7" t="str">
        <f>IF(Table1[[#This Row],[Is Data Valid]]=TRUE,_xlfn.NORM.S.DIST(Table1[[#This Row],[Birthweight Z-Score (BW+10%)]],TRUE)*100,"")</f>
        <v/>
      </c>
    </row>
    <row r="1580" spans="1:12" x14ac:dyDescent="0.35">
      <c r="A1580" s="3"/>
      <c r="B1580" s="2"/>
      <c r="C1580" s="2"/>
      <c r="D1580" s="2" t="b">
        <f>IF(AND(NOT(ISBLANK(Table1[[#This Row],[Fetal Sex (Male, Female or Unknown)]])),ISNUMBER(Table1[[#This Row],[Birthweight (grams)]]),ISNUMBER(Table1[[#This Row],[Gestation (days)]])),TRUE,FALSE)</f>
        <v>0</v>
      </c>
      <c r="E1580" s="2" t="str">
        <f>IF(Table1[[#This Row],[Is Data Valid]]=TRUE,IF(Table1[[#This Row],[Fetal Sex (Male, Female or Unknown)]]="Male",Backend!$C$6,IF(Table1[[#This Row],[Fetal Sex (Male, Female or Unknown)]]="Female",Backend!$C$7,IF(Table1[[#This Row],[Fetal Sex (Male, Female or Unknown)]]="Unknown",Backend!$C$8,"Error"))),"")</f>
        <v/>
      </c>
      <c r="F1580" s="8" t="str">
        <f>IF(Table1[[#This Row],[Is Data Valid]]=TRUE,EXP(0.578+0.332*((Table1[[#This Row],[Gestation (days)]]+0.5)/7)-0.00354*((Table1[[#This Row],[Gestation (days)]]+0.5)/7)^2)*Table1[[#This Row],[BW40_3705]],"")</f>
        <v/>
      </c>
      <c r="G1580" s="2" t="str">
        <f>IF(Table1[[#This Row],[Is Data Valid]]=TRUE,((Table1[[#This Row],[Birthweight (grams)]]/Table1[[#This Row],[BW_GA]])-1)/(Backend!$B$4/100*Table1[[#This Row],[BW40_3705]]),"")</f>
        <v/>
      </c>
      <c r="H1580" s="7" t="str">
        <f>IF(Table1[[#This Row],[Is Data Valid]]=TRUE,((Table1[[#This Row],[Birthweight (grams)]]*0.9/Table1[[#This Row],[BW_GA]])-1)/(Backend!$B$4/100*Table1[[#This Row],[BW40_3705]]),"")</f>
        <v/>
      </c>
      <c r="I1580" s="7" t="str">
        <f>IF(Table1[[#This Row],[Is Data Valid]]=TRUE,((Table1[[#This Row],[Birthweight (grams)]]*1.1/Table1[[#This Row],[BW_GA]])-1)/(Backend!$B$4/100*Table1[[#This Row],[BW40_3705]]),"")</f>
        <v/>
      </c>
      <c r="J1580" s="7" t="str">
        <f>IF(Table1[[#This Row],[Is Data Valid]]=TRUE,_xlfn.NORM.S.DIST(Table1[[#This Row],[Birthweight Z-Score]],TRUE)*100,"")</f>
        <v/>
      </c>
      <c r="K1580" s="7" t="str">
        <f>IF(Table1[[#This Row],[Is Data Valid]]=TRUE,_xlfn.NORM.S.DIST(Table1[[#This Row],[Birthweight Z-Score (BW-10%)]],TRUE)*100,"")</f>
        <v/>
      </c>
      <c r="L1580" s="7" t="str">
        <f>IF(Table1[[#This Row],[Is Data Valid]]=TRUE,_xlfn.NORM.S.DIST(Table1[[#This Row],[Birthweight Z-Score (BW+10%)]],TRUE)*100,"")</f>
        <v/>
      </c>
    </row>
    <row r="1581" spans="1:12" x14ac:dyDescent="0.35">
      <c r="A1581" s="3"/>
      <c r="B1581" s="2"/>
      <c r="C1581" s="2"/>
      <c r="D1581" s="2" t="b">
        <f>IF(AND(NOT(ISBLANK(Table1[[#This Row],[Fetal Sex (Male, Female or Unknown)]])),ISNUMBER(Table1[[#This Row],[Birthweight (grams)]]),ISNUMBER(Table1[[#This Row],[Gestation (days)]])),TRUE,FALSE)</f>
        <v>0</v>
      </c>
      <c r="E1581" s="2" t="str">
        <f>IF(Table1[[#This Row],[Is Data Valid]]=TRUE,IF(Table1[[#This Row],[Fetal Sex (Male, Female or Unknown)]]="Male",Backend!$C$6,IF(Table1[[#This Row],[Fetal Sex (Male, Female or Unknown)]]="Female",Backend!$C$7,IF(Table1[[#This Row],[Fetal Sex (Male, Female or Unknown)]]="Unknown",Backend!$C$8,"Error"))),"")</f>
        <v/>
      </c>
      <c r="F1581" s="8" t="str">
        <f>IF(Table1[[#This Row],[Is Data Valid]]=TRUE,EXP(0.578+0.332*((Table1[[#This Row],[Gestation (days)]]+0.5)/7)-0.00354*((Table1[[#This Row],[Gestation (days)]]+0.5)/7)^2)*Table1[[#This Row],[BW40_3705]],"")</f>
        <v/>
      </c>
      <c r="G1581" s="2" t="str">
        <f>IF(Table1[[#This Row],[Is Data Valid]]=TRUE,((Table1[[#This Row],[Birthweight (grams)]]/Table1[[#This Row],[BW_GA]])-1)/(Backend!$B$4/100*Table1[[#This Row],[BW40_3705]]),"")</f>
        <v/>
      </c>
      <c r="H1581" s="7" t="str">
        <f>IF(Table1[[#This Row],[Is Data Valid]]=TRUE,((Table1[[#This Row],[Birthweight (grams)]]*0.9/Table1[[#This Row],[BW_GA]])-1)/(Backend!$B$4/100*Table1[[#This Row],[BW40_3705]]),"")</f>
        <v/>
      </c>
      <c r="I1581" s="7" t="str">
        <f>IF(Table1[[#This Row],[Is Data Valid]]=TRUE,((Table1[[#This Row],[Birthweight (grams)]]*1.1/Table1[[#This Row],[BW_GA]])-1)/(Backend!$B$4/100*Table1[[#This Row],[BW40_3705]]),"")</f>
        <v/>
      </c>
      <c r="J1581" s="7" t="str">
        <f>IF(Table1[[#This Row],[Is Data Valid]]=TRUE,_xlfn.NORM.S.DIST(Table1[[#This Row],[Birthweight Z-Score]],TRUE)*100,"")</f>
        <v/>
      </c>
      <c r="K1581" s="7" t="str">
        <f>IF(Table1[[#This Row],[Is Data Valid]]=TRUE,_xlfn.NORM.S.DIST(Table1[[#This Row],[Birthweight Z-Score (BW-10%)]],TRUE)*100,"")</f>
        <v/>
      </c>
      <c r="L1581" s="7" t="str">
        <f>IF(Table1[[#This Row],[Is Data Valid]]=TRUE,_xlfn.NORM.S.DIST(Table1[[#This Row],[Birthweight Z-Score (BW+10%)]],TRUE)*100,"")</f>
        <v/>
      </c>
    </row>
    <row r="1582" spans="1:12" x14ac:dyDescent="0.35">
      <c r="A1582" s="3"/>
      <c r="B1582" s="2"/>
      <c r="C1582" s="2"/>
      <c r="D1582" s="2" t="b">
        <f>IF(AND(NOT(ISBLANK(Table1[[#This Row],[Fetal Sex (Male, Female or Unknown)]])),ISNUMBER(Table1[[#This Row],[Birthweight (grams)]]),ISNUMBER(Table1[[#This Row],[Gestation (days)]])),TRUE,FALSE)</f>
        <v>0</v>
      </c>
      <c r="E1582" s="2" t="str">
        <f>IF(Table1[[#This Row],[Is Data Valid]]=TRUE,IF(Table1[[#This Row],[Fetal Sex (Male, Female or Unknown)]]="Male",Backend!$C$6,IF(Table1[[#This Row],[Fetal Sex (Male, Female or Unknown)]]="Female",Backend!$C$7,IF(Table1[[#This Row],[Fetal Sex (Male, Female or Unknown)]]="Unknown",Backend!$C$8,"Error"))),"")</f>
        <v/>
      </c>
      <c r="F1582" s="8" t="str">
        <f>IF(Table1[[#This Row],[Is Data Valid]]=TRUE,EXP(0.578+0.332*((Table1[[#This Row],[Gestation (days)]]+0.5)/7)-0.00354*((Table1[[#This Row],[Gestation (days)]]+0.5)/7)^2)*Table1[[#This Row],[BW40_3705]],"")</f>
        <v/>
      </c>
      <c r="G1582" s="2" t="str">
        <f>IF(Table1[[#This Row],[Is Data Valid]]=TRUE,((Table1[[#This Row],[Birthweight (grams)]]/Table1[[#This Row],[BW_GA]])-1)/(Backend!$B$4/100*Table1[[#This Row],[BW40_3705]]),"")</f>
        <v/>
      </c>
      <c r="H1582" s="7" t="str">
        <f>IF(Table1[[#This Row],[Is Data Valid]]=TRUE,((Table1[[#This Row],[Birthweight (grams)]]*0.9/Table1[[#This Row],[BW_GA]])-1)/(Backend!$B$4/100*Table1[[#This Row],[BW40_3705]]),"")</f>
        <v/>
      </c>
      <c r="I1582" s="7" t="str">
        <f>IF(Table1[[#This Row],[Is Data Valid]]=TRUE,((Table1[[#This Row],[Birthweight (grams)]]*1.1/Table1[[#This Row],[BW_GA]])-1)/(Backend!$B$4/100*Table1[[#This Row],[BW40_3705]]),"")</f>
        <v/>
      </c>
      <c r="J1582" s="7" t="str">
        <f>IF(Table1[[#This Row],[Is Data Valid]]=TRUE,_xlfn.NORM.S.DIST(Table1[[#This Row],[Birthweight Z-Score]],TRUE)*100,"")</f>
        <v/>
      </c>
      <c r="K1582" s="7" t="str">
        <f>IF(Table1[[#This Row],[Is Data Valid]]=TRUE,_xlfn.NORM.S.DIST(Table1[[#This Row],[Birthweight Z-Score (BW-10%)]],TRUE)*100,"")</f>
        <v/>
      </c>
      <c r="L1582" s="7" t="str">
        <f>IF(Table1[[#This Row],[Is Data Valid]]=TRUE,_xlfn.NORM.S.DIST(Table1[[#This Row],[Birthweight Z-Score (BW+10%)]],TRUE)*100,"")</f>
        <v/>
      </c>
    </row>
    <row r="1583" spans="1:12" x14ac:dyDescent="0.35">
      <c r="A1583" s="3"/>
      <c r="B1583" s="2"/>
      <c r="C1583" s="2"/>
      <c r="D1583" s="2" t="b">
        <f>IF(AND(NOT(ISBLANK(Table1[[#This Row],[Fetal Sex (Male, Female or Unknown)]])),ISNUMBER(Table1[[#This Row],[Birthweight (grams)]]),ISNUMBER(Table1[[#This Row],[Gestation (days)]])),TRUE,FALSE)</f>
        <v>0</v>
      </c>
      <c r="E1583" s="2" t="str">
        <f>IF(Table1[[#This Row],[Is Data Valid]]=TRUE,IF(Table1[[#This Row],[Fetal Sex (Male, Female or Unknown)]]="Male",Backend!$C$6,IF(Table1[[#This Row],[Fetal Sex (Male, Female or Unknown)]]="Female",Backend!$C$7,IF(Table1[[#This Row],[Fetal Sex (Male, Female or Unknown)]]="Unknown",Backend!$C$8,"Error"))),"")</f>
        <v/>
      </c>
      <c r="F1583" s="8" t="str">
        <f>IF(Table1[[#This Row],[Is Data Valid]]=TRUE,EXP(0.578+0.332*((Table1[[#This Row],[Gestation (days)]]+0.5)/7)-0.00354*((Table1[[#This Row],[Gestation (days)]]+0.5)/7)^2)*Table1[[#This Row],[BW40_3705]],"")</f>
        <v/>
      </c>
      <c r="G1583" s="2" t="str">
        <f>IF(Table1[[#This Row],[Is Data Valid]]=TRUE,((Table1[[#This Row],[Birthweight (grams)]]/Table1[[#This Row],[BW_GA]])-1)/(Backend!$B$4/100*Table1[[#This Row],[BW40_3705]]),"")</f>
        <v/>
      </c>
      <c r="H1583" s="7" t="str">
        <f>IF(Table1[[#This Row],[Is Data Valid]]=TRUE,((Table1[[#This Row],[Birthweight (grams)]]*0.9/Table1[[#This Row],[BW_GA]])-1)/(Backend!$B$4/100*Table1[[#This Row],[BW40_3705]]),"")</f>
        <v/>
      </c>
      <c r="I1583" s="7" t="str">
        <f>IF(Table1[[#This Row],[Is Data Valid]]=TRUE,((Table1[[#This Row],[Birthweight (grams)]]*1.1/Table1[[#This Row],[BW_GA]])-1)/(Backend!$B$4/100*Table1[[#This Row],[BW40_3705]]),"")</f>
        <v/>
      </c>
      <c r="J1583" s="7" t="str">
        <f>IF(Table1[[#This Row],[Is Data Valid]]=TRUE,_xlfn.NORM.S.DIST(Table1[[#This Row],[Birthweight Z-Score]],TRUE)*100,"")</f>
        <v/>
      </c>
      <c r="K1583" s="7" t="str">
        <f>IF(Table1[[#This Row],[Is Data Valid]]=TRUE,_xlfn.NORM.S.DIST(Table1[[#This Row],[Birthweight Z-Score (BW-10%)]],TRUE)*100,"")</f>
        <v/>
      </c>
      <c r="L1583" s="7" t="str">
        <f>IF(Table1[[#This Row],[Is Data Valid]]=TRUE,_xlfn.NORM.S.DIST(Table1[[#This Row],[Birthweight Z-Score (BW+10%)]],TRUE)*100,"")</f>
        <v/>
      </c>
    </row>
    <row r="1584" spans="1:12" x14ac:dyDescent="0.35">
      <c r="A1584" s="3"/>
      <c r="B1584" s="2"/>
      <c r="C1584" s="2"/>
      <c r="D1584" s="2" t="b">
        <f>IF(AND(NOT(ISBLANK(Table1[[#This Row],[Fetal Sex (Male, Female or Unknown)]])),ISNUMBER(Table1[[#This Row],[Birthweight (grams)]]),ISNUMBER(Table1[[#This Row],[Gestation (days)]])),TRUE,FALSE)</f>
        <v>0</v>
      </c>
      <c r="E1584" s="2" t="str">
        <f>IF(Table1[[#This Row],[Is Data Valid]]=TRUE,IF(Table1[[#This Row],[Fetal Sex (Male, Female or Unknown)]]="Male",Backend!$C$6,IF(Table1[[#This Row],[Fetal Sex (Male, Female or Unknown)]]="Female",Backend!$C$7,IF(Table1[[#This Row],[Fetal Sex (Male, Female or Unknown)]]="Unknown",Backend!$C$8,"Error"))),"")</f>
        <v/>
      </c>
      <c r="F1584" s="8" t="str">
        <f>IF(Table1[[#This Row],[Is Data Valid]]=TRUE,EXP(0.578+0.332*((Table1[[#This Row],[Gestation (days)]]+0.5)/7)-0.00354*((Table1[[#This Row],[Gestation (days)]]+0.5)/7)^2)*Table1[[#This Row],[BW40_3705]],"")</f>
        <v/>
      </c>
      <c r="G1584" s="2" t="str">
        <f>IF(Table1[[#This Row],[Is Data Valid]]=TRUE,((Table1[[#This Row],[Birthweight (grams)]]/Table1[[#This Row],[BW_GA]])-1)/(Backend!$B$4/100*Table1[[#This Row],[BW40_3705]]),"")</f>
        <v/>
      </c>
      <c r="H1584" s="7" t="str">
        <f>IF(Table1[[#This Row],[Is Data Valid]]=TRUE,((Table1[[#This Row],[Birthweight (grams)]]*0.9/Table1[[#This Row],[BW_GA]])-1)/(Backend!$B$4/100*Table1[[#This Row],[BW40_3705]]),"")</f>
        <v/>
      </c>
      <c r="I1584" s="7" t="str">
        <f>IF(Table1[[#This Row],[Is Data Valid]]=TRUE,((Table1[[#This Row],[Birthweight (grams)]]*1.1/Table1[[#This Row],[BW_GA]])-1)/(Backend!$B$4/100*Table1[[#This Row],[BW40_3705]]),"")</f>
        <v/>
      </c>
      <c r="J1584" s="7" t="str">
        <f>IF(Table1[[#This Row],[Is Data Valid]]=TRUE,_xlfn.NORM.S.DIST(Table1[[#This Row],[Birthweight Z-Score]],TRUE)*100,"")</f>
        <v/>
      </c>
      <c r="K1584" s="7" t="str">
        <f>IF(Table1[[#This Row],[Is Data Valid]]=TRUE,_xlfn.NORM.S.DIST(Table1[[#This Row],[Birthweight Z-Score (BW-10%)]],TRUE)*100,"")</f>
        <v/>
      </c>
      <c r="L1584" s="7" t="str">
        <f>IF(Table1[[#This Row],[Is Data Valid]]=TRUE,_xlfn.NORM.S.DIST(Table1[[#This Row],[Birthweight Z-Score (BW+10%)]],TRUE)*100,"")</f>
        <v/>
      </c>
    </row>
    <row r="1585" spans="1:12" x14ac:dyDescent="0.35">
      <c r="A1585" s="3"/>
      <c r="B1585" s="2"/>
      <c r="C1585" s="2"/>
      <c r="D1585" s="2" t="b">
        <f>IF(AND(NOT(ISBLANK(Table1[[#This Row],[Fetal Sex (Male, Female or Unknown)]])),ISNUMBER(Table1[[#This Row],[Birthweight (grams)]]),ISNUMBER(Table1[[#This Row],[Gestation (days)]])),TRUE,FALSE)</f>
        <v>0</v>
      </c>
      <c r="E1585" s="2" t="str">
        <f>IF(Table1[[#This Row],[Is Data Valid]]=TRUE,IF(Table1[[#This Row],[Fetal Sex (Male, Female or Unknown)]]="Male",Backend!$C$6,IF(Table1[[#This Row],[Fetal Sex (Male, Female or Unknown)]]="Female",Backend!$C$7,IF(Table1[[#This Row],[Fetal Sex (Male, Female or Unknown)]]="Unknown",Backend!$C$8,"Error"))),"")</f>
        <v/>
      </c>
      <c r="F1585" s="8" t="str">
        <f>IF(Table1[[#This Row],[Is Data Valid]]=TRUE,EXP(0.578+0.332*((Table1[[#This Row],[Gestation (days)]]+0.5)/7)-0.00354*((Table1[[#This Row],[Gestation (days)]]+0.5)/7)^2)*Table1[[#This Row],[BW40_3705]],"")</f>
        <v/>
      </c>
      <c r="G1585" s="2" t="str">
        <f>IF(Table1[[#This Row],[Is Data Valid]]=TRUE,((Table1[[#This Row],[Birthweight (grams)]]/Table1[[#This Row],[BW_GA]])-1)/(Backend!$B$4/100*Table1[[#This Row],[BW40_3705]]),"")</f>
        <v/>
      </c>
      <c r="H1585" s="7" t="str">
        <f>IF(Table1[[#This Row],[Is Data Valid]]=TRUE,((Table1[[#This Row],[Birthweight (grams)]]*0.9/Table1[[#This Row],[BW_GA]])-1)/(Backend!$B$4/100*Table1[[#This Row],[BW40_3705]]),"")</f>
        <v/>
      </c>
      <c r="I1585" s="7" t="str">
        <f>IF(Table1[[#This Row],[Is Data Valid]]=TRUE,((Table1[[#This Row],[Birthweight (grams)]]*1.1/Table1[[#This Row],[BW_GA]])-1)/(Backend!$B$4/100*Table1[[#This Row],[BW40_3705]]),"")</f>
        <v/>
      </c>
      <c r="J1585" s="7" t="str">
        <f>IF(Table1[[#This Row],[Is Data Valid]]=TRUE,_xlfn.NORM.S.DIST(Table1[[#This Row],[Birthweight Z-Score]],TRUE)*100,"")</f>
        <v/>
      </c>
      <c r="K1585" s="7" t="str">
        <f>IF(Table1[[#This Row],[Is Data Valid]]=TRUE,_xlfn.NORM.S.DIST(Table1[[#This Row],[Birthweight Z-Score (BW-10%)]],TRUE)*100,"")</f>
        <v/>
      </c>
      <c r="L1585" s="7" t="str">
        <f>IF(Table1[[#This Row],[Is Data Valid]]=TRUE,_xlfn.NORM.S.DIST(Table1[[#This Row],[Birthweight Z-Score (BW+10%)]],TRUE)*100,"")</f>
        <v/>
      </c>
    </row>
    <row r="1586" spans="1:12" x14ac:dyDescent="0.35">
      <c r="A1586" s="3"/>
      <c r="B1586" s="2"/>
      <c r="C1586" s="2"/>
      <c r="D1586" s="2" t="b">
        <f>IF(AND(NOT(ISBLANK(Table1[[#This Row],[Fetal Sex (Male, Female or Unknown)]])),ISNUMBER(Table1[[#This Row],[Birthweight (grams)]]),ISNUMBER(Table1[[#This Row],[Gestation (days)]])),TRUE,FALSE)</f>
        <v>0</v>
      </c>
      <c r="E1586" s="2" t="str">
        <f>IF(Table1[[#This Row],[Is Data Valid]]=TRUE,IF(Table1[[#This Row],[Fetal Sex (Male, Female or Unknown)]]="Male",Backend!$C$6,IF(Table1[[#This Row],[Fetal Sex (Male, Female or Unknown)]]="Female",Backend!$C$7,IF(Table1[[#This Row],[Fetal Sex (Male, Female or Unknown)]]="Unknown",Backend!$C$8,"Error"))),"")</f>
        <v/>
      </c>
      <c r="F1586" s="8" t="str">
        <f>IF(Table1[[#This Row],[Is Data Valid]]=TRUE,EXP(0.578+0.332*((Table1[[#This Row],[Gestation (days)]]+0.5)/7)-0.00354*((Table1[[#This Row],[Gestation (days)]]+0.5)/7)^2)*Table1[[#This Row],[BW40_3705]],"")</f>
        <v/>
      </c>
      <c r="G1586" s="2" t="str">
        <f>IF(Table1[[#This Row],[Is Data Valid]]=TRUE,((Table1[[#This Row],[Birthweight (grams)]]/Table1[[#This Row],[BW_GA]])-1)/(Backend!$B$4/100*Table1[[#This Row],[BW40_3705]]),"")</f>
        <v/>
      </c>
      <c r="H1586" s="7" t="str">
        <f>IF(Table1[[#This Row],[Is Data Valid]]=TRUE,((Table1[[#This Row],[Birthweight (grams)]]*0.9/Table1[[#This Row],[BW_GA]])-1)/(Backend!$B$4/100*Table1[[#This Row],[BW40_3705]]),"")</f>
        <v/>
      </c>
      <c r="I1586" s="7" t="str">
        <f>IF(Table1[[#This Row],[Is Data Valid]]=TRUE,((Table1[[#This Row],[Birthweight (grams)]]*1.1/Table1[[#This Row],[BW_GA]])-1)/(Backend!$B$4/100*Table1[[#This Row],[BW40_3705]]),"")</f>
        <v/>
      </c>
      <c r="J1586" s="7" t="str">
        <f>IF(Table1[[#This Row],[Is Data Valid]]=TRUE,_xlfn.NORM.S.DIST(Table1[[#This Row],[Birthweight Z-Score]],TRUE)*100,"")</f>
        <v/>
      </c>
      <c r="K1586" s="7" t="str">
        <f>IF(Table1[[#This Row],[Is Data Valid]]=TRUE,_xlfn.NORM.S.DIST(Table1[[#This Row],[Birthweight Z-Score (BW-10%)]],TRUE)*100,"")</f>
        <v/>
      </c>
      <c r="L1586" s="7" t="str">
        <f>IF(Table1[[#This Row],[Is Data Valid]]=TRUE,_xlfn.NORM.S.DIST(Table1[[#This Row],[Birthweight Z-Score (BW+10%)]],TRUE)*100,"")</f>
        <v/>
      </c>
    </row>
    <row r="1587" spans="1:12" x14ac:dyDescent="0.35">
      <c r="A1587" s="3"/>
      <c r="B1587" s="2"/>
      <c r="C1587" s="2"/>
      <c r="D1587" s="2" t="b">
        <f>IF(AND(NOT(ISBLANK(Table1[[#This Row],[Fetal Sex (Male, Female or Unknown)]])),ISNUMBER(Table1[[#This Row],[Birthweight (grams)]]),ISNUMBER(Table1[[#This Row],[Gestation (days)]])),TRUE,FALSE)</f>
        <v>0</v>
      </c>
      <c r="E1587" s="2" t="str">
        <f>IF(Table1[[#This Row],[Is Data Valid]]=TRUE,IF(Table1[[#This Row],[Fetal Sex (Male, Female or Unknown)]]="Male",Backend!$C$6,IF(Table1[[#This Row],[Fetal Sex (Male, Female or Unknown)]]="Female",Backend!$C$7,IF(Table1[[#This Row],[Fetal Sex (Male, Female or Unknown)]]="Unknown",Backend!$C$8,"Error"))),"")</f>
        <v/>
      </c>
      <c r="F1587" s="8" t="str">
        <f>IF(Table1[[#This Row],[Is Data Valid]]=TRUE,EXP(0.578+0.332*((Table1[[#This Row],[Gestation (days)]]+0.5)/7)-0.00354*((Table1[[#This Row],[Gestation (days)]]+0.5)/7)^2)*Table1[[#This Row],[BW40_3705]],"")</f>
        <v/>
      </c>
      <c r="G1587" s="2" t="str">
        <f>IF(Table1[[#This Row],[Is Data Valid]]=TRUE,((Table1[[#This Row],[Birthweight (grams)]]/Table1[[#This Row],[BW_GA]])-1)/(Backend!$B$4/100*Table1[[#This Row],[BW40_3705]]),"")</f>
        <v/>
      </c>
      <c r="H1587" s="7" t="str">
        <f>IF(Table1[[#This Row],[Is Data Valid]]=TRUE,((Table1[[#This Row],[Birthweight (grams)]]*0.9/Table1[[#This Row],[BW_GA]])-1)/(Backend!$B$4/100*Table1[[#This Row],[BW40_3705]]),"")</f>
        <v/>
      </c>
      <c r="I1587" s="7" t="str">
        <f>IF(Table1[[#This Row],[Is Data Valid]]=TRUE,((Table1[[#This Row],[Birthweight (grams)]]*1.1/Table1[[#This Row],[BW_GA]])-1)/(Backend!$B$4/100*Table1[[#This Row],[BW40_3705]]),"")</f>
        <v/>
      </c>
      <c r="J1587" s="7" t="str">
        <f>IF(Table1[[#This Row],[Is Data Valid]]=TRUE,_xlfn.NORM.S.DIST(Table1[[#This Row],[Birthweight Z-Score]],TRUE)*100,"")</f>
        <v/>
      </c>
      <c r="K1587" s="7" t="str">
        <f>IF(Table1[[#This Row],[Is Data Valid]]=TRUE,_xlfn.NORM.S.DIST(Table1[[#This Row],[Birthweight Z-Score (BW-10%)]],TRUE)*100,"")</f>
        <v/>
      </c>
      <c r="L1587" s="7" t="str">
        <f>IF(Table1[[#This Row],[Is Data Valid]]=TRUE,_xlfn.NORM.S.DIST(Table1[[#This Row],[Birthweight Z-Score (BW+10%)]],TRUE)*100,"")</f>
        <v/>
      </c>
    </row>
    <row r="1588" spans="1:12" x14ac:dyDescent="0.35">
      <c r="A1588" s="3"/>
      <c r="B1588" s="2"/>
      <c r="C1588" s="2"/>
      <c r="D1588" s="2" t="b">
        <f>IF(AND(NOT(ISBLANK(Table1[[#This Row],[Fetal Sex (Male, Female or Unknown)]])),ISNUMBER(Table1[[#This Row],[Birthweight (grams)]]),ISNUMBER(Table1[[#This Row],[Gestation (days)]])),TRUE,FALSE)</f>
        <v>0</v>
      </c>
      <c r="E1588" s="2" t="str">
        <f>IF(Table1[[#This Row],[Is Data Valid]]=TRUE,IF(Table1[[#This Row],[Fetal Sex (Male, Female or Unknown)]]="Male",Backend!$C$6,IF(Table1[[#This Row],[Fetal Sex (Male, Female or Unknown)]]="Female",Backend!$C$7,IF(Table1[[#This Row],[Fetal Sex (Male, Female or Unknown)]]="Unknown",Backend!$C$8,"Error"))),"")</f>
        <v/>
      </c>
      <c r="F1588" s="8" t="str">
        <f>IF(Table1[[#This Row],[Is Data Valid]]=TRUE,EXP(0.578+0.332*((Table1[[#This Row],[Gestation (days)]]+0.5)/7)-0.00354*((Table1[[#This Row],[Gestation (days)]]+0.5)/7)^2)*Table1[[#This Row],[BW40_3705]],"")</f>
        <v/>
      </c>
      <c r="G1588" s="2" t="str">
        <f>IF(Table1[[#This Row],[Is Data Valid]]=TRUE,((Table1[[#This Row],[Birthweight (grams)]]/Table1[[#This Row],[BW_GA]])-1)/(Backend!$B$4/100*Table1[[#This Row],[BW40_3705]]),"")</f>
        <v/>
      </c>
      <c r="H1588" s="7" t="str">
        <f>IF(Table1[[#This Row],[Is Data Valid]]=TRUE,((Table1[[#This Row],[Birthweight (grams)]]*0.9/Table1[[#This Row],[BW_GA]])-1)/(Backend!$B$4/100*Table1[[#This Row],[BW40_3705]]),"")</f>
        <v/>
      </c>
      <c r="I1588" s="7" t="str">
        <f>IF(Table1[[#This Row],[Is Data Valid]]=TRUE,((Table1[[#This Row],[Birthweight (grams)]]*1.1/Table1[[#This Row],[BW_GA]])-1)/(Backend!$B$4/100*Table1[[#This Row],[BW40_3705]]),"")</f>
        <v/>
      </c>
      <c r="J1588" s="7" t="str">
        <f>IF(Table1[[#This Row],[Is Data Valid]]=TRUE,_xlfn.NORM.S.DIST(Table1[[#This Row],[Birthweight Z-Score]],TRUE)*100,"")</f>
        <v/>
      </c>
      <c r="K1588" s="7" t="str">
        <f>IF(Table1[[#This Row],[Is Data Valid]]=TRUE,_xlfn.NORM.S.DIST(Table1[[#This Row],[Birthweight Z-Score (BW-10%)]],TRUE)*100,"")</f>
        <v/>
      </c>
      <c r="L1588" s="7" t="str">
        <f>IF(Table1[[#This Row],[Is Data Valid]]=TRUE,_xlfn.NORM.S.DIST(Table1[[#This Row],[Birthweight Z-Score (BW+10%)]],TRUE)*100,"")</f>
        <v/>
      </c>
    </row>
    <row r="1589" spans="1:12" x14ac:dyDescent="0.35">
      <c r="A1589" s="3"/>
      <c r="B1589" s="2"/>
      <c r="C1589" s="2"/>
      <c r="D1589" s="2" t="b">
        <f>IF(AND(NOT(ISBLANK(Table1[[#This Row],[Fetal Sex (Male, Female or Unknown)]])),ISNUMBER(Table1[[#This Row],[Birthweight (grams)]]),ISNUMBER(Table1[[#This Row],[Gestation (days)]])),TRUE,FALSE)</f>
        <v>0</v>
      </c>
      <c r="E1589" s="2" t="str">
        <f>IF(Table1[[#This Row],[Is Data Valid]]=TRUE,IF(Table1[[#This Row],[Fetal Sex (Male, Female or Unknown)]]="Male",Backend!$C$6,IF(Table1[[#This Row],[Fetal Sex (Male, Female or Unknown)]]="Female",Backend!$C$7,IF(Table1[[#This Row],[Fetal Sex (Male, Female or Unknown)]]="Unknown",Backend!$C$8,"Error"))),"")</f>
        <v/>
      </c>
      <c r="F1589" s="8" t="str">
        <f>IF(Table1[[#This Row],[Is Data Valid]]=TRUE,EXP(0.578+0.332*((Table1[[#This Row],[Gestation (days)]]+0.5)/7)-0.00354*((Table1[[#This Row],[Gestation (days)]]+0.5)/7)^2)*Table1[[#This Row],[BW40_3705]],"")</f>
        <v/>
      </c>
      <c r="G1589" s="2" t="str">
        <f>IF(Table1[[#This Row],[Is Data Valid]]=TRUE,((Table1[[#This Row],[Birthweight (grams)]]/Table1[[#This Row],[BW_GA]])-1)/(Backend!$B$4/100*Table1[[#This Row],[BW40_3705]]),"")</f>
        <v/>
      </c>
      <c r="H1589" s="7" t="str">
        <f>IF(Table1[[#This Row],[Is Data Valid]]=TRUE,((Table1[[#This Row],[Birthweight (grams)]]*0.9/Table1[[#This Row],[BW_GA]])-1)/(Backend!$B$4/100*Table1[[#This Row],[BW40_3705]]),"")</f>
        <v/>
      </c>
      <c r="I1589" s="7" t="str">
        <f>IF(Table1[[#This Row],[Is Data Valid]]=TRUE,((Table1[[#This Row],[Birthweight (grams)]]*1.1/Table1[[#This Row],[BW_GA]])-1)/(Backend!$B$4/100*Table1[[#This Row],[BW40_3705]]),"")</f>
        <v/>
      </c>
      <c r="J1589" s="7" t="str">
        <f>IF(Table1[[#This Row],[Is Data Valid]]=TRUE,_xlfn.NORM.S.DIST(Table1[[#This Row],[Birthweight Z-Score]],TRUE)*100,"")</f>
        <v/>
      </c>
      <c r="K1589" s="7" t="str">
        <f>IF(Table1[[#This Row],[Is Data Valid]]=TRUE,_xlfn.NORM.S.DIST(Table1[[#This Row],[Birthweight Z-Score (BW-10%)]],TRUE)*100,"")</f>
        <v/>
      </c>
      <c r="L1589" s="7" t="str">
        <f>IF(Table1[[#This Row],[Is Data Valid]]=TRUE,_xlfn.NORM.S.DIST(Table1[[#This Row],[Birthweight Z-Score (BW+10%)]],TRUE)*100,"")</f>
        <v/>
      </c>
    </row>
    <row r="1590" spans="1:12" x14ac:dyDescent="0.35">
      <c r="A1590" s="3"/>
      <c r="B1590" s="2"/>
      <c r="C1590" s="2"/>
      <c r="D1590" s="2" t="b">
        <f>IF(AND(NOT(ISBLANK(Table1[[#This Row],[Fetal Sex (Male, Female or Unknown)]])),ISNUMBER(Table1[[#This Row],[Birthweight (grams)]]),ISNUMBER(Table1[[#This Row],[Gestation (days)]])),TRUE,FALSE)</f>
        <v>0</v>
      </c>
      <c r="E1590" s="2" t="str">
        <f>IF(Table1[[#This Row],[Is Data Valid]]=TRUE,IF(Table1[[#This Row],[Fetal Sex (Male, Female or Unknown)]]="Male",Backend!$C$6,IF(Table1[[#This Row],[Fetal Sex (Male, Female or Unknown)]]="Female",Backend!$C$7,IF(Table1[[#This Row],[Fetal Sex (Male, Female or Unknown)]]="Unknown",Backend!$C$8,"Error"))),"")</f>
        <v/>
      </c>
      <c r="F1590" s="8" t="str">
        <f>IF(Table1[[#This Row],[Is Data Valid]]=TRUE,EXP(0.578+0.332*((Table1[[#This Row],[Gestation (days)]]+0.5)/7)-0.00354*((Table1[[#This Row],[Gestation (days)]]+0.5)/7)^2)*Table1[[#This Row],[BW40_3705]],"")</f>
        <v/>
      </c>
      <c r="G1590" s="2" t="str">
        <f>IF(Table1[[#This Row],[Is Data Valid]]=TRUE,((Table1[[#This Row],[Birthweight (grams)]]/Table1[[#This Row],[BW_GA]])-1)/(Backend!$B$4/100*Table1[[#This Row],[BW40_3705]]),"")</f>
        <v/>
      </c>
      <c r="H1590" s="7" t="str">
        <f>IF(Table1[[#This Row],[Is Data Valid]]=TRUE,((Table1[[#This Row],[Birthweight (grams)]]*0.9/Table1[[#This Row],[BW_GA]])-1)/(Backend!$B$4/100*Table1[[#This Row],[BW40_3705]]),"")</f>
        <v/>
      </c>
      <c r="I1590" s="7" t="str">
        <f>IF(Table1[[#This Row],[Is Data Valid]]=TRUE,((Table1[[#This Row],[Birthweight (grams)]]*1.1/Table1[[#This Row],[BW_GA]])-1)/(Backend!$B$4/100*Table1[[#This Row],[BW40_3705]]),"")</f>
        <v/>
      </c>
      <c r="J1590" s="7" t="str">
        <f>IF(Table1[[#This Row],[Is Data Valid]]=TRUE,_xlfn.NORM.S.DIST(Table1[[#This Row],[Birthweight Z-Score]],TRUE)*100,"")</f>
        <v/>
      </c>
      <c r="K1590" s="7" t="str">
        <f>IF(Table1[[#This Row],[Is Data Valid]]=TRUE,_xlfn.NORM.S.DIST(Table1[[#This Row],[Birthweight Z-Score (BW-10%)]],TRUE)*100,"")</f>
        <v/>
      </c>
      <c r="L1590" s="7" t="str">
        <f>IF(Table1[[#This Row],[Is Data Valid]]=TRUE,_xlfn.NORM.S.DIST(Table1[[#This Row],[Birthweight Z-Score (BW+10%)]],TRUE)*100,"")</f>
        <v/>
      </c>
    </row>
    <row r="1591" spans="1:12" x14ac:dyDescent="0.35">
      <c r="A1591" s="3"/>
      <c r="B1591" s="2"/>
      <c r="C1591" s="2"/>
      <c r="D1591" s="2" t="b">
        <f>IF(AND(NOT(ISBLANK(Table1[[#This Row],[Fetal Sex (Male, Female or Unknown)]])),ISNUMBER(Table1[[#This Row],[Birthweight (grams)]]),ISNUMBER(Table1[[#This Row],[Gestation (days)]])),TRUE,FALSE)</f>
        <v>0</v>
      </c>
      <c r="E1591" s="2" t="str">
        <f>IF(Table1[[#This Row],[Is Data Valid]]=TRUE,IF(Table1[[#This Row],[Fetal Sex (Male, Female or Unknown)]]="Male",Backend!$C$6,IF(Table1[[#This Row],[Fetal Sex (Male, Female or Unknown)]]="Female",Backend!$C$7,IF(Table1[[#This Row],[Fetal Sex (Male, Female or Unknown)]]="Unknown",Backend!$C$8,"Error"))),"")</f>
        <v/>
      </c>
      <c r="F1591" s="8" t="str">
        <f>IF(Table1[[#This Row],[Is Data Valid]]=TRUE,EXP(0.578+0.332*((Table1[[#This Row],[Gestation (days)]]+0.5)/7)-0.00354*((Table1[[#This Row],[Gestation (days)]]+0.5)/7)^2)*Table1[[#This Row],[BW40_3705]],"")</f>
        <v/>
      </c>
      <c r="G1591" s="2" t="str">
        <f>IF(Table1[[#This Row],[Is Data Valid]]=TRUE,((Table1[[#This Row],[Birthweight (grams)]]/Table1[[#This Row],[BW_GA]])-1)/(Backend!$B$4/100*Table1[[#This Row],[BW40_3705]]),"")</f>
        <v/>
      </c>
      <c r="H1591" s="7" t="str">
        <f>IF(Table1[[#This Row],[Is Data Valid]]=TRUE,((Table1[[#This Row],[Birthweight (grams)]]*0.9/Table1[[#This Row],[BW_GA]])-1)/(Backend!$B$4/100*Table1[[#This Row],[BW40_3705]]),"")</f>
        <v/>
      </c>
      <c r="I1591" s="7" t="str">
        <f>IF(Table1[[#This Row],[Is Data Valid]]=TRUE,((Table1[[#This Row],[Birthweight (grams)]]*1.1/Table1[[#This Row],[BW_GA]])-1)/(Backend!$B$4/100*Table1[[#This Row],[BW40_3705]]),"")</f>
        <v/>
      </c>
      <c r="J1591" s="7" t="str">
        <f>IF(Table1[[#This Row],[Is Data Valid]]=TRUE,_xlfn.NORM.S.DIST(Table1[[#This Row],[Birthweight Z-Score]],TRUE)*100,"")</f>
        <v/>
      </c>
      <c r="K1591" s="7" t="str">
        <f>IF(Table1[[#This Row],[Is Data Valid]]=TRUE,_xlfn.NORM.S.DIST(Table1[[#This Row],[Birthweight Z-Score (BW-10%)]],TRUE)*100,"")</f>
        <v/>
      </c>
      <c r="L1591" s="7" t="str">
        <f>IF(Table1[[#This Row],[Is Data Valid]]=TRUE,_xlfn.NORM.S.DIST(Table1[[#This Row],[Birthweight Z-Score (BW+10%)]],TRUE)*100,"")</f>
        <v/>
      </c>
    </row>
    <row r="1592" spans="1:12" x14ac:dyDescent="0.35">
      <c r="A1592" s="3"/>
      <c r="B1592" s="2"/>
      <c r="C1592" s="2"/>
      <c r="D1592" s="2" t="b">
        <f>IF(AND(NOT(ISBLANK(Table1[[#This Row],[Fetal Sex (Male, Female or Unknown)]])),ISNUMBER(Table1[[#This Row],[Birthweight (grams)]]),ISNUMBER(Table1[[#This Row],[Gestation (days)]])),TRUE,FALSE)</f>
        <v>0</v>
      </c>
      <c r="E1592" s="2" t="str">
        <f>IF(Table1[[#This Row],[Is Data Valid]]=TRUE,IF(Table1[[#This Row],[Fetal Sex (Male, Female or Unknown)]]="Male",Backend!$C$6,IF(Table1[[#This Row],[Fetal Sex (Male, Female or Unknown)]]="Female",Backend!$C$7,IF(Table1[[#This Row],[Fetal Sex (Male, Female or Unknown)]]="Unknown",Backend!$C$8,"Error"))),"")</f>
        <v/>
      </c>
      <c r="F1592" s="8" t="str">
        <f>IF(Table1[[#This Row],[Is Data Valid]]=TRUE,EXP(0.578+0.332*((Table1[[#This Row],[Gestation (days)]]+0.5)/7)-0.00354*((Table1[[#This Row],[Gestation (days)]]+0.5)/7)^2)*Table1[[#This Row],[BW40_3705]],"")</f>
        <v/>
      </c>
      <c r="G1592" s="2" t="str">
        <f>IF(Table1[[#This Row],[Is Data Valid]]=TRUE,((Table1[[#This Row],[Birthweight (grams)]]/Table1[[#This Row],[BW_GA]])-1)/(Backend!$B$4/100*Table1[[#This Row],[BW40_3705]]),"")</f>
        <v/>
      </c>
      <c r="H1592" s="7" t="str">
        <f>IF(Table1[[#This Row],[Is Data Valid]]=TRUE,((Table1[[#This Row],[Birthweight (grams)]]*0.9/Table1[[#This Row],[BW_GA]])-1)/(Backend!$B$4/100*Table1[[#This Row],[BW40_3705]]),"")</f>
        <v/>
      </c>
      <c r="I1592" s="7" t="str">
        <f>IF(Table1[[#This Row],[Is Data Valid]]=TRUE,((Table1[[#This Row],[Birthweight (grams)]]*1.1/Table1[[#This Row],[BW_GA]])-1)/(Backend!$B$4/100*Table1[[#This Row],[BW40_3705]]),"")</f>
        <v/>
      </c>
      <c r="J1592" s="7" t="str">
        <f>IF(Table1[[#This Row],[Is Data Valid]]=TRUE,_xlfn.NORM.S.DIST(Table1[[#This Row],[Birthweight Z-Score]],TRUE)*100,"")</f>
        <v/>
      </c>
      <c r="K1592" s="7" t="str">
        <f>IF(Table1[[#This Row],[Is Data Valid]]=TRUE,_xlfn.NORM.S.DIST(Table1[[#This Row],[Birthweight Z-Score (BW-10%)]],TRUE)*100,"")</f>
        <v/>
      </c>
      <c r="L1592" s="7" t="str">
        <f>IF(Table1[[#This Row],[Is Data Valid]]=TRUE,_xlfn.NORM.S.DIST(Table1[[#This Row],[Birthweight Z-Score (BW+10%)]],TRUE)*100,"")</f>
        <v/>
      </c>
    </row>
    <row r="1593" spans="1:12" x14ac:dyDescent="0.35">
      <c r="A1593" s="3"/>
      <c r="B1593" s="2"/>
      <c r="C1593" s="2"/>
      <c r="D1593" s="2" t="b">
        <f>IF(AND(NOT(ISBLANK(Table1[[#This Row],[Fetal Sex (Male, Female or Unknown)]])),ISNUMBER(Table1[[#This Row],[Birthweight (grams)]]),ISNUMBER(Table1[[#This Row],[Gestation (days)]])),TRUE,FALSE)</f>
        <v>0</v>
      </c>
      <c r="E1593" s="2" t="str">
        <f>IF(Table1[[#This Row],[Is Data Valid]]=TRUE,IF(Table1[[#This Row],[Fetal Sex (Male, Female or Unknown)]]="Male",Backend!$C$6,IF(Table1[[#This Row],[Fetal Sex (Male, Female or Unknown)]]="Female",Backend!$C$7,IF(Table1[[#This Row],[Fetal Sex (Male, Female or Unknown)]]="Unknown",Backend!$C$8,"Error"))),"")</f>
        <v/>
      </c>
      <c r="F1593" s="8" t="str">
        <f>IF(Table1[[#This Row],[Is Data Valid]]=TRUE,EXP(0.578+0.332*((Table1[[#This Row],[Gestation (days)]]+0.5)/7)-0.00354*((Table1[[#This Row],[Gestation (days)]]+0.5)/7)^2)*Table1[[#This Row],[BW40_3705]],"")</f>
        <v/>
      </c>
      <c r="G1593" s="2" t="str">
        <f>IF(Table1[[#This Row],[Is Data Valid]]=TRUE,((Table1[[#This Row],[Birthweight (grams)]]/Table1[[#This Row],[BW_GA]])-1)/(Backend!$B$4/100*Table1[[#This Row],[BW40_3705]]),"")</f>
        <v/>
      </c>
      <c r="H1593" s="7" t="str">
        <f>IF(Table1[[#This Row],[Is Data Valid]]=TRUE,((Table1[[#This Row],[Birthweight (grams)]]*0.9/Table1[[#This Row],[BW_GA]])-1)/(Backend!$B$4/100*Table1[[#This Row],[BW40_3705]]),"")</f>
        <v/>
      </c>
      <c r="I1593" s="7" t="str">
        <f>IF(Table1[[#This Row],[Is Data Valid]]=TRUE,((Table1[[#This Row],[Birthweight (grams)]]*1.1/Table1[[#This Row],[BW_GA]])-1)/(Backend!$B$4/100*Table1[[#This Row],[BW40_3705]]),"")</f>
        <v/>
      </c>
      <c r="J1593" s="7" t="str">
        <f>IF(Table1[[#This Row],[Is Data Valid]]=TRUE,_xlfn.NORM.S.DIST(Table1[[#This Row],[Birthweight Z-Score]],TRUE)*100,"")</f>
        <v/>
      </c>
      <c r="K1593" s="7" t="str">
        <f>IF(Table1[[#This Row],[Is Data Valid]]=TRUE,_xlfn.NORM.S.DIST(Table1[[#This Row],[Birthweight Z-Score (BW-10%)]],TRUE)*100,"")</f>
        <v/>
      </c>
      <c r="L1593" s="7" t="str">
        <f>IF(Table1[[#This Row],[Is Data Valid]]=TRUE,_xlfn.NORM.S.DIST(Table1[[#This Row],[Birthweight Z-Score (BW+10%)]],TRUE)*100,"")</f>
        <v/>
      </c>
    </row>
    <row r="1594" spans="1:12" x14ac:dyDescent="0.35">
      <c r="A1594" s="3"/>
      <c r="B1594" s="2"/>
      <c r="C1594" s="2"/>
      <c r="D1594" s="2" t="b">
        <f>IF(AND(NOT(ISBLANK(Table1[[#This Row],[Fetal Sex (Male, Female or Unknown)]])),ISNUMBER(Table1[[#This Row],[Birthweight (grams)]]),ISNUMBER(Table1[[#This Row],[Gestation (days)]])),TRUE,FALSE)</f>
        <v>0</v>
      </c>
      <c r="E1594" s="2" t="str">
        <f>IF(Table1[[#This Row],[Is Data Valid]]=TRUE,IF(Table1[[#This Row],[Fetal Sex (Male, Female or Unknown)]]="Male",Backend!$C$6,IF(Table1[[#This Row],[Fetal Sex (Male, Female or Unknown)]]="Female",Backend!$C$7,IF(Table1[[#This Row],[Fetal Sex (Male, Female or Unknown)]]="Unknown",Backend!$C$8,"Error"))),"")</f>
        <v/>
      </c>
      <c r="F1594" s="8" t="str">
        <f>IF(Table1[[#This Row],[Is Data Valid]]=TRUE,EXP(0.578+0.332*((Table1[[#This Row],[Gestation (days)]]+0.5)/7)-0.00354*((Table1[[#This Row],[Gestation (days)]]+0.5)/7)^2)*Table1[[#This Row],[BW40_3705]],"")</f>
        <v/>
      </c>
      <c r="G1594" s="2" t="str">
        <f>IF(Table1[[#This Row],[Is Data Valid]]=TRUE,((Table1[[#This Row],[Birthweight (grams)]]/Table1[[#This Row],[BW_GA]])-1)/(Backend!$B$4/100*Table1[[#This Row],[BW40_3705]]),"")</f>
        <v/>
      </c>
      <c r="H1594" s="7" t="str">
        <f>IF(Table1[[#This Row],[Is Data Valid]]=TRUE,((Table1[[#This Row],[Birthweight (grams)]]*0.9/Table1[[#This Row],[BW_GA]])-1)/(Backend!$B$4/100*Table1[[#This Row],[BW40_3705]]),"")</f>
        <v/>
      </c>
      <c r="I1594" s="7" t="str">
        <f>IF(Table1[[#This Row],[Is Data Valid]]=TRUE,((Table1[[#This Row],[Birthweight (grams)]]*1.1/Table1[[#This Row],[BW_GA]])-1)/(Backend!$B$4/100*Table1[[#This Row],[BW40_3705]]),"")</f>
        <v/>
      </c>
      <c r="J1594" s="7" t="str">
        <f>IF(Table1[[#This Row],[Is Data Valid]]=TRUE,_xlfn.NORM.S.DIST(Table1[[#This Row],[Birthweight Z-Score]],TRUE)*100,"")</f>
        <v/>
      </c>
      <c r="K1594" s="7" t="str">
        <f>IF(Table1[[#This Row],[Is Data Valid]]=TRUE,_xlfn.NORM.S.DIST(Table1[[#This Row],[Birthweight Z-Score (BW-10%)]],TRUE)*100,"")</f>
        <v/>
      </c>
      <c r="L1594" s="7" t="str">
        <f>IF(Table1[[#This Row],[Is Data Valid]]=TRUE,_xlfn.NORM.S.DIST(Table1[[#This Row],[Birthweight Z-Score (BW+10%)]],TRUE)*100,"")</f>
        <v/>
      </c>
    </row>
    <row r="1595" spans="1:12" x14ac:dyDescent="0.35">
      <c r="A1595" s="3"/>
      <c r="B1595" s="2"/>
      <c r="C1595" s="2"/>
      <c r="D1595" s="2" t="b">
        <f>IF(AND(NOT(ISBLANK(Table1[[#This Row],[Fetal Sex (Male, Female or Unknown)]])),ISNUMBER(Table1[[#This Row],[Birthweight (grams)]]),ISNUMBER(Table1[[#This Row],[Gestation (days)]])),TRUE,FALSE)</f>
        <v>0</v>
      </c>
      <c r="E1595" s="2" t="str">
        <f>IF(Table1[[#This Row],[Is Data Valid]]=TRUE,IF(Table1[[#This Row],[Fetal Sex (Male, Female or Unknown)]]="Male",Backend!$C$6,IF(Table1[[#This Row],[Fetal Sex (Male, Female or Unknown)]]="Female",Backend!$C$7,IF(Table1[[#This Row],[Fetal Sex (Male, Female or Unknown)]]="Unknown",Backend!$C$8,"Error"))),"")</f>
        <v/>
      </c>
      <c r="F1595" s="8" t="str">
        <f>IF(Table1[[#This Row],[Is Data Valid]]=TRUE,EXP(0.578+0.332*((Table1[[#This Row],[Gestation (days)]]+0.5)/7)-0.00354*((Table1[[#This Row],[Gestation (days)]]+0.5)/7)^2)*Table1[[#This Row],[BW40_3705]],"")</f>
        <v/>
      </c>
      <c r="G1595" s="2" t="str">
        <f>IF(Table1[[#This Row],[Is Data Valid]]=TRUE,((Table1[[#This Row],[Birthweight (grams)]]/Table1[[#This Row],[BW_GA]])-1)/(Backend!$B$4/100*Table1[[#This Row],[BW40_3705]]),"")</f>
        <v/>
      </c>
      <c r="H1595" s="7" t="str">
        <f>IF(Table1[[#This Row],[Is Data Valid]]=TRUE,((Table1[[#This Row],[Birthweight (grams)]]*0.9/Table1[[#This Row],[BW_GA]])-1)/(Backend!$B$4/100*Table1[[#This Row],[BW40_3705]]),"")</f>
        <v/>
      </c>
      <c r="I1595" s="7" t="str">
        <f>IF(Table1[[#This Row],[Is Data Valid]]=TRUE,((Table1[[#This Row],[Birthweight (grams)]]*1.1/Table1[[#This Row],[BW_GA]])-1)/(Backend!$B$4/100*Table1[[#This Row],[BW40_3705]]),"")</f>
        <v/>
      </c>
      <c r="J1595" s="7" t="str">
        <f>IF(Table1[[#This Row],[Is Data Valid]]=TRUE,_xlfn.NORM.S.DIST(Table1[[#This Row],[Birthweight Z-Score]],TRUE)*100,"")</f>
        <v/>
      </c>
      <c r="K1595" s="7" t="str">
        <f>IF(Table1[[#This Row],[Is Data Valid]]=TRUE,_xlfn.NORM.S.DIST(Table1[[#This Row],[Birthweight Z-Score (BW-10%)]],TRUE)*100,"")</f>
        <v/>
      </c>
      <c r="L1595" s="7" t="str">
        <f>IF(Table1[[#This Row],[Is Data Valid]]=TRUE,_xlfn.NORM.S.DIST(Table1[[#This Row],[Birthweight Z-Score (BW+10%)]],TRUE)*100,"")</f>
        <v/>
      </c>
    </row>
    <row r="1596" spans="1:12" x14ac:dyDescent="0.35">
      <c r="A1596" s="3"/>
      <c r="B1596" s="2"/>
      <c r="C1596" s="2"/>
      <c r="D1596" s="2" t="b">
        <f>IF(AND(NOT(ISBLANK(Table1[[#This Row],[Fetal Sex (Male, Female or Unknown)]])),ISNUMBER(Table1[[#This Row],[Birthweight (grams)]]),ISNUMBER(Table1[[#This Row],[Gestation (days)]])),TRUE,FALSE)</f>
        <v>0</v>
      </c>
      <c r="E1596" s="2" t="str">
        <f>IF(Table1[[#This Row],[Is Data Valid]]=TRUE,IF(Table1[[#This Row],[Fetal Sex (Male, Female or Unknown)]]="Male",Backend!$C$6,IF(Table1[[#This Row],[Fetal Sex (Male, Female or Unknown)]]="Female",Backend!$C$7,IF(Table1[[#This Row],[Fetal Sex (Male, Female or Unknown)]]="Unknown",Backend!$C$8,"Error"))),"")</f>
        <v/>
      </c>
      <c r="F1596" s="8" t="str">
        <f>IF(Table1[[#This Row],[Is Data Valid]]=TRUE,EXP(0.578+0.332*((Table1[[#This Row],[Gestation (days)]]+0.5)/7)-0.00354*((Table1[[#This Row],[Gestation (days)]]+0.5)/7)^2)*Table1[[#This Row],[BW40_3705]],"")</f>
        <v/>
      </c>
      <c r="G1596" s="2" t="str">
        <f>IF(Table1[[#This Row],[Is Data Valid]]=TRUE,((Table1[[#This Row],[Birthweight (grams)]]/Table1[[#This Row],[BW_GA]])-1)/(Backend!$B$4/100*Table1[[#This Row],[BW40_3705]]),"")</f>
        <v/>
      </c>
      <c r="H1596" s="7" t="str">
        <f>IF(Table1[[#This Row],[Is Data Valid]]=TRUE,((Table1[[#This Row],[Birthweight (grams)]]*0.9/Table1[[#This Row],[BW_GA]])-1)/(Backend!$B$4/100*Table1[[#This Row],[BW40_3705]]),"")</f>
        <v/>
      </c>
      <c r="I1596" s="7" t="str">
        <f>IF(Table1[[#This Row],[Is Data Valid]]=TRUE,((Table1[[#This Row],[Birthweight (grams)]]*1.1/Table1[[#This Row],[BW_GA]])-1)/(Backend!$B$4/100*Table1[[#This Row],[BW40_3705]]),"")</f>
        <v/>
      </c>
      <c r="J1596" s="7" t="str">
        <f>IF(Table1[[#This Row],[Is Data Valid]]=TRUE,_xlfn.NORM.S.DIST(Table1[[#This Row],[Birthweight Z-Score]],TRUE)*100,"")</f>
        <v/>
      </c>
      <c r="K1596" s="7" t="str">
        <f>IF(Table1[[#This Row],[Is Data Valid]]=TRUE,_xlfn.NORM.S.DIST(Table1[[#This Row],[Birthweight Z-Score (BW-10%)]],TRUE)*100,"")</f>
        <v/>
      </c>
      <c r="L1596" s="7" t="str">
        <f>IF(Table1[[#This Row],[Is Data Valid]]=TRUE,_xlfn.NORM.S.DIST(Table1[[#This Row],[Birthweight Z-Score (BW+10%)]],TRUE)*100,"")</f>
        <v/>
      </c>
    </row>
    <row r="1597" spans="1:12" x14ac:dyDescent="0.35">
      <c r="A1597" s="3"/>
      <c r="B1597" s="2"/>
      <c r="C1597" s="2"/>
      <c r="D1597" s="2" t="b">
        <f>IF(AND(NOT(ISBLANK(Table1[[#This Row],[Fetal Sex (Male, Female or Unknown)]])),ISNUMBER(Table1[[#This Row],[Birthweight (grams)]]),ISNUMBER(Table1[[#This Row],[Gestation (days)]])),TRUE,FALSE)</f>
        <v>0</v>
      </c>
      <c r="E1597" s="2" t="str">
        <f>IF(Table1[[#This Row],[Is Data Valid]]=TRUE,IF(Table1[[#This Row],[Fetal Sex (Male, Female or Unknown)]]="Male",Backend!$C$6,IF(Table1[[#This Row],[Fetal Sex (Male, Female or Unknown)]]="Female",Backend!$C$7,IF(Table1[[#This Row],[Fetal Sex (Male, Female or Unknown)]]="Unknown",Backend!$C$8,"Error"))),"")</f>
        <v/>
      </c>
      <c r="F1597" s="8" t="str">
        <f>IF(Table1[[#This Row],[Is Data Valid]]=TRUE,EXP(0.578+0.332*((Table1[[#This Row],[Gestation (days)]]+0.5)/7)-0.00354*((Table1[[#This Row],[Gestation (days)]]+0.5)/7)^2)*Table1[[#This Row],[BW40_3705]],"")</f>
        <v/>
      </c>
      <c r="G1597" s="2" t="str">
        <f>IF(Table1[[#This Row],[Is Data Valid]]=TRUE,((Table1[[#This Row],[Birthweight (grams)]]/Table1[[#This Row],[BW_GA]])-1)/(Backend!$B$4/100*Table1[[#This Row],[BW40_3705]]),"")</f>
        <v/>
      </c>
      <c r="H1597" s="7" t="str">
        <f>IF(Table1[[#This Row],[Is Data Valid]]=TRUE,((Table1[[#This Row],[Birthweight (grams)]]*0.9/Table1[[#This Row],[BW_GA]])-1)/(Backend!$B$4/100*Table1[[#This Row],[BW40_3705]]),"")</f>
        <v/>
      </c>
      <c r="I1597" s="7" t="str">
        <f>IF(Table1[[#This Row],[Is Data Valid]]=TRUE,((Table1[[#This Row],[Birthweight (grams)]]*1.1/Table1[[#This Row],[BW_GA]])-1)/(Backend!$B$4/100*Table1[[#This Row],[BW40_3705]]),"")</f>
        <v/>
      </c>
      <c r="J1597" s="7" t="str">
        <f>IF(Table1[[#This Row],[Is Data Valid]]=TRUE,_xlfn.NORM.S.DIST(Table1[[#This Row],[Birthweight Z-Score]],TRUE)*100,"")</f>
        <v/>
      </c>
      <c r="K1597" s="7" t="str">
        <f>IF(Table1[[#This Row],[Is Data Valid]]=TRUE,_xlfn.NORM.S.DIST(Table1[[#This Row],[Birthweight Z-Score (BW-10%)]],TRUE)*100,"")</f>
        <v/>
      </c>
      <c r="L1597" s="7" t="str">
        <f>IF(Table1[[#This Row],[Is Data Valid]]=TRUE,_xlfn.NORM.S.DIST(Table1[[#This Row],[Birthweight Z-Score (BW+10%)]],TRUE)*100,"")</f>
        <v/>
      </c>
    </row>
    <row r="1598" spans="1:12" x14ac:dyDescent="0.35">
      <c r="A1598" s="3"/>
      <c r="B1598" s="2"/>
      <c r="C1598" s="2"/>
      <c r="D1598" s="2" t="b">
        <f>IF(AND(NOT(ISBLANK(Table1[[#This Row],[Fetal Sex (Male, Female or Unknown)]])),ISNUMBER(Table1[[#This Row],[Birthweight (grams)]]),ISNUMBER(Table1[[#This Row],[Gestation (days)]])),TRUE,FALSE)</f>
        <v>0</v>
      </c>
      <c r="E1598" s="2" t="str">
        <f>IF(Table1[[#This Row],[Is Data Valid]]=TRUE,IF(Table1[[#This Row],[Fetal Sex (Male, Female or Unknown)]]="Male",Backend!$C$6,IF(Table1[[#This Row],[Fetal Sex (Male, Female or Unknown)]]="Female",Backend!$C$7,IF(Table1[[#This Row],[Fetal Sex (Male, Female or Unknown)]]="Unknown",Backend!$C$8,"Error"))),"")</f>
        <v/>
      </c>
      <c r="F1598" s="8" t="str">
        <f>IF(Table1[[#This Row],[Is Data Valid]]=TRUE,EXP(0.578+0.332*((Table1[[#This Row],[Gestation (days)]]+0.5)/7)-0.00354*((Table1[[#This Row],[Gestation (days)]]+0.5)/7)^2)*Table1[[#This Row],[BW40_3705]],"")</f>
        <v/>
      </c>
      <c r="G1598" s="2" t="str">
        <f>IF(Table1[[#This Row],[Is Data Valid]]=TRUE,((Table1[[#This Row],[Birthweight (grams)]]/Table1[[#This Row],[BW_GA]])-1)/(Backend!$B$4/100*Table1[[#This Row],[BW40_3705]]),"")</f>
        <v/>
      </c>
      <c r="H1598" s="7" t="str">
        <f>IF(Table1[[#This Row],[Is Data Valid]]=TRUE,((Table1[[#This Row],[Birthweight (grams)]]*0.9/Table1[[#This Row],[BW_GA]])-1)/(Backend!$B$4/100*Table1[[#This Row],[BW40_3705]]),"")</f>
        <v/>
      </c>
      <c r="I1598" s="7" t="str">
        <f>IF(Table1[[#This Row],[Is Data Valid]]=TRUE,((Table1[[#This Row],[Birthweight (grams)]]*1.1/Table1[[#This Row],[BW_GA]])-1)/(Backend!$B$4/100*Table1[[#This Row],[BW40_3705]]),"")</f>
        <v/>
      </c>
      <c r="J1598" s="7" t="str">
        <f>IF(Table1[[#This Row],[Is Data Valid]]=TRUE,_xlfn.NORM.S.DIST(Table1[[#This Row],[Birthweight Z-Score]],TRUE)*100,"")</f>
        <v/>
      </c>
      <c r="K1598" s="7" t="str">
        <f>IF(Table1[[#This Row],[Is Data Valid]]=TRUE,_xlfn.NORM.S.DIST(Table1[[#This Row],[Birthweight Z-Score (BW-10%)]],TRUE)*100,"")</f>
        <v/>
      </c>
      <c r="L1598" s="7" t="str">
        <f>IF(Table1[[#This Row],[Is Data Valid]]=TRUE,_xlfn.NORM.S.DIST(Table1[[#This Row],[Birthweight Z-Score (BW+10%)]],TRUE)*100,"")</f>
        <v/>
      </c>
    </row>
    <row r="1599" spans="1:12" x14ac:dyDescent="0.35">
      <c r="A1599" s="3"/>
      <c r="B1599" s="2"/>
      <c r="C1599" s="2"/>
      <c r="D1599" s="2" t="b">
        <f>IF(AND(NOT(ISBLANK(Table1[[#This Row],[Fetal Sex (Male, Female or Unknown)]])),ISNUMBER(Table1[[#This Row],[Birthweight (grams)]]),ISNUMBER(Table1[[#This Row],[Gestation (days)]])),TRUE,FALSE)</f>
        <v>0</v>
      </c>
      <c r="E1599" s="2" t="str">
        <f>IF(Table1[[#This Row],[Is Data Valid]]=TRUE,IF(Table1[[#This Row],[Fetal Sex (Male, Female or Unknown)]]="Male",Backend!$C$6,IF(Table1[[#This Row],[Fetal Sex (Male, Female or Unknown)]]="Female",Backend!$C$7,IF(Table1[[#This Row],[Fetal Sex (Male, Female or Unknown)]]="Unknown",Backend!$C$8,"Error"))),"")</f>
        <v/>
      </c>
      <c r="F1599" s="8" t="str">
        <f>IF(Table1[[#This Row],[Is Data Valid]]=TRUE,EXP(0.578+0.332*((Table1[[#This Row],[Gestation (days)]]+0.5)/7)-0.00354*((Table1[[#This Row],[Gestation (days)]]+0.5)/7)^2)*Table1[[#This Row],[BW40_3705]],"")</f>
        <v/>
      </c>
      <c r="G1599" s="2" t="str">
        <f>IF(Table1[[#This Row],[Is Data Valid]]=TRUE,((Table1[[#This Row],[Birthweight (grams)]]/Table1[[#This Row],[BW_GA]])-1)/(Backend!$B$4/100*Table1[[#This Row],[BW40_3705]]),"")</f>
        <v/>
      </c>
      <c r="H1599" s="7" t="str">
        <f>IF(Table1[[#This Row],[Is Data Valid]]=TRUE,((Table1[[#This Row],[Birthweight (grams)]]*0.9/Table1[[#This Row],[BW_GA]])-1)/(Backend!$B$4/100*Table1[[#This Row],[BW40_3705]]),"")</f>
        <v/>
      </c>
      <c r="I1599" s="7" t="str">
        <f>IF(Table1[[#This Row],[Is Data Valid]]=TRUE,((Table1[[#This Row],[Birthweight (grams)]]*1.1/Table1[[#This Row],[BW_GA]])-1)/(Backend!$B$4/100*Table1[[#This Row],[BW40_3705]]),"")</f>
        <v/>
      </c>
      <c r="J1599" s="7" t="str">
        <f>IF(Table1[[#This Row],[Is Data Valid]]=TRUE,_xlfn.NORM.S.DIST(Table1[[#This Row],[Birthweight Z-Score]],TRUE)*100,"")</f>
        <v/>
      </c>
      <c r="K1599" s="7" t="str">
        <f>IF(Table1[[#This Row],[Is Data Valid]]=TRUE,_xlfn.NORM.S.DIST(Table1[[#This Row],[Birthweight Z-Score (BW-10%)]],TRUE)*100,"")</f>
        <v/>
      </c>
      <c r="L1599" s="7" t="str">
        <f>IF(Table1[[#This Row],[Is Data Valid]]=TRUE,_xlfn.NORM.S.DIST(Table1[[#This Row],[Birthweight Z-Score (BW+10%)]],TRUE)*100,"")</f>
        <v/>
      </c>
    </row>
    <row r="1600" spans="1:12" x14ac:dyDescent="0.35">
      <c r="A1600" s="3"/>
      <c r="B1600" s="2"/>
      <c r="C1600" s="2"/>
      <c r="D1600" s="2" t="b">
        <f>IF(AND(NOT(ISBLANK(Table1[[#This Row],[Fetal Sex (Male, Female or Unknown)]])),ISNUMBER(Table1[[#This Row],[Birthweight (grams)]]),ISNUMBER(Table1[[#This Row],[Gestation (days)]])),TRUE,FALSE)</f>
        <v>0</v>
      </c>
      <c r="E1600" s="2" t="str">
        <f>IF(Table1[[#This Row],[Is Data Valid]]=TRUE,IF(Table1[[#This Row],[Fetal Sex (Male, Female or Unknown)]]="Male",Backend!$C$6,IF(Table1[[#This Row],[Fetal Sex (Male, Female or Unknown)]]="Female",Backend!$C$7,IF(Table1[[#This Row],[Fetal Sex (Male, Female or Unknown)]]="Unknown",Backend!$C$8,"Error"))),"")</f>
        <v/>
      </c>
      <c r="F1600" s="8" t="str">
        <f>IF(Table1[[#This Row],[Is Data Valid]]=TRUE,EXP(0.578+0.332*((Table1[[#This Row],[Gestation (days)]]+0.5)/7)-0.00354*((Table1[[#This Row],[Gestation (days)]]+0.5)/7)^2)*Table1[[#This Row],[BW40_3705]],"")</f>
        <v/>
      </c>
      <c r="G1600" s="2" t="str">
        <f>IF(Table1[[#This Row],[Is Data Valid]]=TRUE,((Table1[[#This Row],[Birthweight (grams)]]/Table1[[#This Row],[BW_GA]])-1)/(Backend!$B$4/100*Table1[[#This Row],[BW40_3705]]),"")</f>
        <v/>
      </c>
      <c r="H1600" s="7" t="str">
        <f>IF(Table1[[#This Row],[Is Data Valid]]=TRUE,((Table1[[#This Row],[Birthweight (grams)]]*0.9/Table1[[#This Row],[BW_GA]])-1)/(Backend!$B$4/100*Table1[[#This Row],[BW40_3705]]),"")</f>
        <v/>
      </c>
      <c r="I1600" s="7" t="str">
        <f>IF(Table1[[#This Row],[Is Data Valid]]=TRUE,((Table1[[#This Row],[Birthweight (grams)]]*1.1/Table1[[#This Row],[BW_GA]])-1)/(Backend!$B$4/100*Table1[[#This Row],[BW40_3705]]),"")</f>
        <v/>
      </c>
      <c r="J1600" s="7" t="str">
        <f>IF(Table1[[#This Row],[Is Data Valid]]=TRUE,_xlfn.NORM.S.DIST(Table1[[#This Row],[Birthweight Z-Score]],TRUE)*100,"")</f>
        <v/>
      </c>
      <c r="K1600" s="7" t="str">
        <f>IF(Table1[[#This Row],[Is Data Valid]]=TRUE,_xlfn.NORM.S.DIST(Table1[[#This Row],[Birthweight Z-Score (BW-10%)]],TRUE)*100,"")</f>
        <v/>
      </c>
      <c r="L1600" s="7" t="str">
        <f>IF(Table1[[#This Row],[Is Data Valid]]=TRUE,_xlfn.NORM.S.DIST(Table1[[#This Row],[Birthweight Z-Score (BW+10%)]],TRUE)*100,"")</f>
        <v/>
      </c>
    </row>
    <row r="1601" spans="1:12" x14ac:dyDescent="0.35">
      <c r="A1601" s="3"/>
      <c r="B1601" s="2"/>
      <c r="C1601" s="2"/>
      <c r="D1601" s="2" t="b">
        <f>IF(AND(NOT(ISBLANK(Table1[[#This Row],[Fetal Sex (Male, Female or Unknown)]])),ISNUMBER(Table1[[#This Row],[Birthweight (grams)]]),ISNUMBER(Table1[[#This Row],[Gestation (days)]])),TRUE,FALSE)</f>
        <v>0</v>
      </c>
      <c r="E1601" s="2" t="str">
        <f>IF(Table1[[#This Row],[Is Data Valid]]=TRUE,IF(Table1[[#This Row],[Fetal Sex (Male, Female or Unknown)]]="Male",Backend!$C$6,IF(Table1[[#This Row],[Fetal Sex (Male, Female or Unknown)]]="Female",Backend!$C$7,IF(Table1[[#This Row],[Fetal Sex (Male, Female or Unknown)]]="Unknown",Backend!$C$8,"Error"))),"")</f>
        <v/>
      </c>
      <c r="F1601" s="8" t="str">
        <f>IF(Table1[[#This Row],[Is Data Valid]]=TRUE,EXP(0.578+0.332*((Table1[[#This Row],[Gestation (days)]]+0.5)/7)-0.00354*((Table1[[#This Row],[Gestation (days)]]+0.5)/7)^2)*Table1[[#This Row],[BW40_3705]],"")</f>
        <v/>
      </c>
      <c r="G1601" s="2" t="str">
        <f>IF(Table1[[#This Row],[Is Data Valid]]=TRUE,((Table1[[#This Row],[Birthweight (grams)]]/Table1[[#This Row],[BW_GA]])-1)/(Backend!$B$4/100*Table1[[#This Row],[BW40_3705]]),"")</f>
        <v/>
      </c>
      <c r="H1601" s="7" t="str">
        <f>IF(Table1[[#This Row],[Is Data Valid]]=TRUE,((Table1[[#This Row],[Birthweight (grams)]]*0.9/Table1[[#This Row],[BW_GA]])-1)/(Backend!$B$4/100*Table1[[#This Row],[BW40_3705]]),"")</f>
        <v/>
      </c>
      <c r="I1601" s="7" t="str">
        <f>IF(Table1[[#This Row],[Is Data Valid]]=TRUE,((Table1[[#This Row],[Birthweight (grams)]]*1.1/Table1[[#This Row],[BW_GA]])-1)/(Backend!$B$4/100*Table1[[#This Row],[BW40_3705]]),"")</f>
        <v/>
      </c>
      <c r="J1601" s="7" t="str">
        <f>IF(Table1[[#This Row],[Is Data Valid]]=TRUE,_xlfn.NORM.S.DIST(Table1[[#This Row],[Birthweight Z-Score]],TRUE)*100,"")</f>
        <v/>
      </c>
      <c r="K1601" s="7" t="str">
        <f>IF(Table1[[#This Row],[Is Data Valid]]=TRUE,_xlfn.NORM.S.DIST(Table1[[#This Row],[Birthweight Z-Score (BW-10%)]],TRUE)*100,"")</f>
        <v/>
      </c>
      <c r="L1601" s="7" t="str">
        <f>IF(Table1[[#This Row],[Is Data Valid]]=TRUE,_xlfn.NORM.S.DIST(Table1[[#This Row],[Birthweight Z-Score (BW+10%)]],TRUE)*100,"")</f>
        <v/>
      </c>
    </row>
    <row r="1602" spans="1:12" x14ac:dyDescent="0.35">
      <c r="A1602" s="3"/>
      <c r="B1602" s="2"/>
      <c r="C1602" s="2"/>
      <c r="D1602" s="2" t="b">
        <f>IF(AND(NOT(ISBLANK(Table1[[#This Row],[Fetal Sex (Male, Female or Unknown)]])),ISNUMBER(Table1[[#This Row],[Birthweight (grams)]]),ISNUMBER(Table1[[#This Row],[Gestation (days)]])),TRUE,FALSE)</f>
        <v>0</v>
      </c>
      <c r="E1602" s="2" t="str">
        <f>IF(Table1[[#This Row],[Is Data Valid]]=TRUE,IF(Table1[[#This Row],[Fetal Sex (Male, Female or Unknown)]]="Male",Backend!$C$6,IF(Table1[[#This Row],[Fetal Sex (Male, Female or Unknown)]]="Female",Backend!$C$7,IF(Table1[[#This Row],[Fetal Sex (Male, Female or Unknown)]]="Unknown",Backend!$C$8,"Error"))),"")</f>
        <v/>
      </c>
      <c r="F1602" s="8" t="str">
        <f>IF(Table1[[#This Row],[Is Data Valid]]=TRUE,EXP(0.578+0.332*((Table1[[#This Row],[Gestation (days)]]+0.5)/7)-0.00354*((Table1[[#This Row],[Gestation (days)]]+0.5)/7)^2)*Table1[[#This Row],[BW40_3705]],"")</f>
        <v/>
      </c>
      <c r="G1602" s="2" t="str">
        <f>IF(Table1[[#This Row],[Is Data Valid]]=TRUE,((Table1[[#This Row],[Birthweight (grams)]]/Table1[[#This Row],[BW_GA]])-1)/(Backend!$B$4/100*Table1[[#This Row],[BW40_3705]]),"")</f>
        <v/>
      </c>
      <c r="H1602" s="7" t="str">
        <f>IF(Table1[[#This Row],[Is Data Valid]]=TRUE,((Table1[[#This Row],[Birthweight (grams)]]*0.9/Table1[[#This Row],[BW_GA]])-1)/(Backend!$B$4/100*Table1[[#This Row],[BW40_3705]]),"")</f>
        <v/>
      </c>
      <c r="I1602" s="7" t="str">
        <f>IF(Table1[[#This Row],[Is Data Valid]]=TRUE,((Table1[[#This Row],[Birthweight (grams)]]*1.1/Table1[[#This Row],[BW_GA]])-1)/(Backend!$B$4/100*Table1[[#This Row],[BW40_3705]]),"")</f>
        <v/>
      </c>
      <c r="J1602" s="7" t="str">
        <f>IF(Table1[[#This Row],[Is Data Valid]]=TRUE,_xlfn.NORM.S.DIST(Table1[[#This Row],[Birthweight Z-Score]],TRUE)*100,"")</f>
        <v/>
      </c>
      <c r="K1602" s="7" t="str">
        <f>IF(Table1[[#This Row],[Is Data Valid]]=TRUE,_xlfn.NORM.S.DIST(Table1[[#This Row],[Birthweight Z-Score (BW-10%)]],TRUE)*100,"")</f>
        <v/>
      </c>
      <c r="L1602" s="7" t="str">
        <f>IF(Table1[[#This Row],[Is Data Valid]]=TRUE,_xlfn.NORM.S.DIST(Table1[[#This Row],[Birthweight Z-Score (BW+10%)]],TRUE)*100,"")</f>
        <v/>
      </c>
    </row>
    <row r="1603" spans="1:12" x14ac:dyDescent="0.35">
      <c r="A1603" s="3"/>
      <c r="B1603" s="2"/>
      <c r="C1603" s="2"/>
      <c r="D1603" s="2" t="b">
        <f>IF(AND(NOT(ISBLANK(Table1[[#This Row],[Fetal Sex (Male, Female or Unknown)]])),ISNUMBER(Table1[[#This Row],[Birthweight (grams)]]),ISNUMBER(Table1[[#This Row],[Gestation (days)]])),TRUE,FALSE)</f>
        <v>0</v>
      </c>
      <c r="E1603" s="2" t="str">
        <f>IF(Table1[[#This Row],[Is Data Valid]]=TRUE,IF(Table1[[#This Row],[Fetal Sex (Male, Female or Unknown)]]="Male",Backend!$C$6,IF(Table1[[#This Row],[Fetal Sex (Male, Female or Unknown)]]="Female",Backend!$C$7,IF(Table1[[#This Row],[Fetal Sex (Male, Female or Unknown)]]="Unknown",Backend!$C$8,"Error"))),"")</f>
        <v/>
      </c>
      <c r="F1603" s="8" t="str">
        <f>IF(Table1[[#This Row],[Is Data Valid]]=TRUE,EXP(0.578+0.332*((Table1[[#This Row],[Gestation (days)]]+0.5)/7)-0.00354*((Table1[[#This Row],[Gestation (days)]]+0.5)/7)^2)*Table1[[#This Row],[BW40_3705]],"")</f>
        <v/>
      </c>
      <c r="G1603" s="2" t="str">
        <f>IF(Table1[[#This Row],[Is Data Valid]]=TRUE,((Table1[[#This Row],[Birthweight (grams)]]/Table1[[#This Row],[BW_GA]])-1)/(Backend!$B$4/100*Table1[[#This Row],[BW40_3705]]),"")</f>
        <v/>
      </c>
      <c r="H1603" s="7" t="str">
        <f>IF(Table1[[#This Row],[Is Data Valid]]=TRUE,((Table1[[#This Row],[Birthweight (grams)]]*0.9/Table1[[#This Row],[BW_GA]])-1)/(Backend!$B$4/100*Table1[[#This Row],[BW40_3705]]),"")</f>
        <v/>
      </c>
      <c r="I1603" s="7" t="str">
        <f>IF(Table1[[#This Row],[Is Data Valid]]=TRUE,((Table1[[#This Row],[Birthweight (grams)]]*1.1/Table1[[#This Row],[BW_GA]])-1)/(Backend!$B$4/100*Table1[[#This Row],[BW40_3705]]),"")</f>
        <v/>
      </c>
      <c r="J1603" s="7" t="str">
        <f>IF(Table1[[#This Row],[Is Data Valid]]=TRUE,_xlfn.NORM.S.DIST(Table1[[#This Row],[Birthweight Z-Score]],TRUE)*100,"")</f>
        <v/>
      </c>
      <c r="K1603" s="7" t="str">
        <f>IF(Table1[[#This Row],[Is Data Valid]]=TRUE,_xlfn.NORM.S.DIST(Table1[[#This Row],[Birthweight Z-Score (BW-10%)]],TRUE)*100,"")</f>
        <v/>
      </c>
      <c r="L1603" s="7" t="str">
        <f>IF(Table1[[#This Row],[Is Data Valid]]=TRUE,_xlfn.NORM.S.DIST(Table1[[#This Row],[Birthweight Z-Score (BW+10%)]],TRUE)*100,"")</f>
        <v/>
      </c>
    </row>
    <row r="1604" spans="1:12" x14ac:dyDescent="0.35">
      <c r="A1604" s="3"/>
      <c r="B1604" s="2"/>
      <c r="C1604" s="2"/>
      <c r="D1604" s="2" t="b">
        <f>IF(AND(NOT(ISBLANK(Table1[[#This Row],[Fetal Sex (Male, Female or Unknown)]])),ISNUMBER(Table1[[#This Row],[Birthweight (grams)]]),ISNUMBER(Table1[[#This Row],[Gestation (days)]])),TRUE,FALSE)</f>
        <v>0</v>
      </c>
      <c r="E1604" s="2" t="str">
        <f>IF(Table1[[#This Row],[Is Data Valid]]=TRUE,IF(Table1[[#This Row],[Fetal Sex (Male, Female or Unknown)]]="Male",Backend!$C$6,IF(Table1[[#This Row],[Fetal Sex (Male, Female or Unknown)]]="Female",Backend!$C$7,IF(Table1[[#This Row],[Fetal Sex (Male, Female or Unknown)]]="Unknown",Backend!$C$8,"Error"))),"")</f>
        <v/>
      </c>
      <c r="F1604" s="8" t="str">
        <f>IF(Table1[[#This Row],[Is Data Valid]]=TRUE,EXP(0.578+0.332*((Table1[[#This Row],[Gestation (days)]]+0.5)/7)-0.00354*((Table1[[#This Row],[Gestation (days)]]+0.5)/7)^2)*Table1[[#This Row],[BW40_3705]],"")</f>
        <v/>
      </c>
      <c r="G1604" s="2" t="str">
        <f>IF(Table1[[#This Row],[Is Data Valid]]=TRUE,((Table1[[#This Row],[Birthweight (grams)]]/Table1[[#This Row],[BW_GA]])-1)/(Backend!$B$4/100*Table1[[#This Row],[BW40_3705]]),"")</f>
        <v/>
      </c>
      <c r="H1604" s="7" t="str">
        <f>IF(Table1[[#This Row],[Is Data Valid]]=TRUE,((Table1[[#This Row],[Birthweight (grams)]]*0.9/Table1[[#This Row],[BW_GA]])-1)/(Backend!$B$4/100*Table1[[#This Row],[BW40_3705]]),"")</f>
        <v/>
      </c>
      <c r="I1604" s="7" t="str">
        <f>IF(Table1[[#This Row],[Is Data Valid]]=TRUE,((Table1[[#This Row],[Birthweight (grams)]]*1.1/Table1[[#This Row],[BW_GA]])-1)/(Backend!$B$4/100*Table1[[#This Row],[BW40_3705]]),"")</f>
        <v/>
      </c>
      <c r="J1604" s="7" t="str">
        <f>IF(Table1[[#This Row],[Is Data Valid]]=TRUE,_xlfn.NORM.S.DIST(Table1[[#This Row],[Birthweight Z-Score]],TRUE)*100,"")</f>
        <v/>
      </c>
      <c r="K1604" s="7" t="str">
        <f>IF(Table1[[#This Row],[Is Data Valid]]=TRUE,_xlfn.NORM.S.DIST(Table1[[#This Row],[Birthweight Z-Score (BW-10%)]],TRUE)*100,"")</f>
        <v/>
      </c>
      <c r="L1604" s="7" t="str">
        <f>IF(Table1[[#This Row],[Is Data Valid]]=TRUE,_xlfn.NORM.S.DIST(Table1[[#This Row],[Birthweight Z-Score (BW+10%)]],TRUE)*100,"")</f>
        <v/>
      </c>
    </row>
    <row r="1605" spans="1:12" x14ac:dyDescent="0.35">
      <c r="A1605" s="3"/>
      <c r="B1605" s="2"/>
      <c r="C1605" s="2"/>
      <c r="D1605" s="2" t="b">
        <f>IF(AND(NOT(ISBLANK(Table1[[#This Row],[Fetal Sex (Male, Female or Unknown)]])),ISNUMBER(Table1[[#This Row],[Birthweight (grams)]]),ISNUMBER(Table1[[#This Row],[Gestation (days)]])),TRUE,FALSE)</f>
        <v>0</v>
      </c>
      <c r="E1605" s="2" t="str">
        <f>IF(Table1[[#This Row],[Is Data Valid]]=TRUE,IF(Table1[[#This Row],[Fetal Sex (Male, Female or Unknown)]]="Male",Backend!$C$6,IF(Table1[[#This Row],[Fetal Sex (Male, Female or Unknown)]]="Female",Backend!$C$7,IF(Table1[[#This Row],[Fetal Sex (Male, Female or Unknown)]]="Unknown",Backend!$C$8,"Error"))),"")</f>
        <v/>
      </c>
      <c r="F1605" s="8" t="str">
        <f>IF(Table1[[#This Row],[Is Data Valid]]=TRUE,EXP(0.578+0.332*((Table1[[#This Row],[Gestation (days)]]+0.5)/7)-0.00354*((Table1[[#This Row],[Gestation (days)]]+0.5)/7)^2)*Table1[[#This Row],[BW40_3705]],"")</f>
        <v/>
      </c>
      <c r="G1605" s="2" t="str">
        <f>IF(Table1[[#This Row],[Is Data Valid]]=TRUE,((Table1[[#This Row],[Birthweight (grams)]]/Table1[[#This Row],[BW_GA]])-1)/(Backend!$B$4/100*Table1[[#This Row],[BW40_3705]]),"")</f>
        <v/>
      </c>
      <c r="H1605" s="7" t="str">
        <f>IF(Table1[[#This Row],[Is Data Valid]]=TRUE,((Table1[[#This Row],[Birthweight (grams)]]*0.9/Table1[[#This Row],[BW_GA]])-1)/(Backend!$B$4/100*Table1[[#This Row],[BW40_3705]]),"")</f>
        <v/>
      </c>
      <c r="I1605" s="7" t="str">
        <f>IF(Table1[[#This Row],[Is Data Valid]]=TRUE,((Table1[[#This Row],[Birthweight (grams)]]*1.1/Table1[[#This Row],[BW_GA]])-1)/(Backend!$B$4/100*Table1[[#This Row],[BW40_3705]]),"")</f>
        <v/>
      </c>
      <c r="J1605" s="7" t="str">
        <f>IF(Table1[[#This Row],[Is Data Valid]]=TRUE,_xlfn.NORM.S.DIST(Table1[[#This Row],[Birthweight Z-Score]],TRUE)*100,"")</f>
        <v/>
      </c>
      <c r="K1605" s="7" t="str">
        <f>IF(Table1[[#This Row],[Is Data Valid]]=TRUE,_xlfn.NORM.S.DIST(Table1[[#This Row],[Birthweight Z-Score (BW-10%)]],TRUE)*100,"")</f>
        <v/>
      </c>
      <c r="L1605" s="7" t="str">
        <f>IF(Table1[[#This Row],[Is Data Valid]]=TRUE,_xlfn.NORM.S.DIST(Table1[[#This Row],[Birthweight Z-Score (BW+10%)]],TRUE)*100,"")</f>
        <v/>
      </c>
    </row>
    <row r="1606" spans="1:12" x14ac:dyDescent="0.35">
      <c r="A1606" s="3"/>
      <c r="B1606" s="2"/>
      <c r="C1606" s="2"/>
      <c r="D1606" s="2" t="b">
        <f>IF(AND(NOT(ISBLANK(Table1[[#This Row],[Fetal Sex (Male, Female or Unknown)]])),ISNUMBER(Table1[[#This Row],[Birthweight (grams)]]),ISNUMBER(Table1[[#This Row],[Gestation (days)]])),TRUE,FALSE)</f>
        <v>0</v>
      </c>
      <c r="E1606" s="2" t="str">
        <f>IF(Table1[[#This Row],[Is Data Valid]]=TRUE,IF(Table1[[#This Row],[Fetal Sex (Male, Female or Unknown)]]="Male",Backend!$C$6,IF(Table1[[#This Row],[Fetal Sex (Male, Female or Unknown)]]="Female",Backend!$C$7,IF(Table1[[#This Row],[Fetal Sex (Male, Female or Unknown)]]="Unknown",Backend!$C$8,"Error"))),"")</f>
        <v/>
      </c>
      <c r="F1606" s="8" t="str">
        <f>IF(Table1[[#This Row],[Is Data Valid]]=TRUE,EXP(0.578+0.332*((Table1[[#This Row],[Gestation (days)]]+0.5)/7)-0.00354*((Table1[[#This Row],[Gestation (days)]]+0.5)/7)^2)*Table1[[#This Row],[BW40_3705]],"")</f>
        <v/>
      </c>
      <c r="G1606" s="2" t="str">
        <f>IF(Table1[[#This Row],[Is Data Valid]]=TRUE,((Table1[[#This Row],[Birthweight (grams)]]/Table1[[#This Row],[BW_GA]])-1)/(Backend!$B$4/100*Table1[[#This Row],[BW40_3705]]),"")</f>
        <v/>
      </c>
      <c r="H1606" s="7" t="str">
        <f>IF(Table1[[#This Row],[Is Data Valid]]=TRUE,((Table1[[#This Row],[Birthweight (grams)]]*0.9/Table1[[#This Row],[BW_GA]])-1)/(Backend!$B$4/100*Table1[[#This Row],[BW40_3705]]),"")</f>
        <v/>
      </c>
      <c r="I1606" s="7" t="str">
        <f>IF(Table1[[#This Row],[Is Data Valid]]=TRUE,((Table1[[#This Row],[Birthweight (grams)]]*1.1/Table1[[#This Row],[BW_GA]])-1)/(Backend!$B$4/100*Table1[[#This Row],[BW40_3705]]),"")</f>
        <v/>
      </c>
      <c r="J1606" s="7" t="str">
        <f>IF(Table1[[#This Row],[Is Data Valid]]=TRUE,_xlfn.NORM.S.DIST(Table1[[#This Row],[Birthweight Z-Score]],TRUE)*100,"")</f>
        <v/>
      </c>
      <c r="K1606" s="7" t="str">
        <f>IF(Table1[[#This Row],[Is Data Valid]]=TRUE,_xlfn.NORM.S.DIST(Table1[[#This Row],[Birthweight Z-Score (BW-10%)]],TRUE)*100,"")</f>
        <v/>
      </c>
      <c r="L1606" s="7" t="str">
        <f>IF(Table1[[#This Row],[Is Data Valid]]=TRUE,_xlfn.NORM.S.DIST(Table1[[#This Row],[Birthweight Z-Score (BW+10%)]],TRUE)*100,"")</f>
        <v/>
      </c>
    </row>
    <row r="1607" spans="1:12" x14ac:dyDescent="0.35">
      <c r="A1607" s="3"/>
      <c r="B1607" s="2"/>
      <c r="C1607" s="2"/>
      <c r="D1607" s="2" t="b">
        <f>IF(AND(NOT(ISBLANK(Table1[[#This Row],[Fetal Sex (Male, Female or Unknown)]])),ISNUMBER(Table1[[#This Row],[Birthweight (grams)]]),ISNUMBER(Table1[[#This Row],[Gestation (days)]])),TRUE,FALSE)</f>
        <v>0</v>
      </c>
      <c r="E1607" s="2" t="str">
        <f>IF(Table1[[#This Row],[Is Data Valid]]=TRUE,IF(Table1[[#This Row],[Fetal Sex (Male, Female or Unknown)]]="Male",Backend!$C$6,IF(Table1[[#This Row],[Fetal Sex (Male, Female or Unknown)]]="Female",Backend!$C$7,IF(Table1[[#This Row],[Fetal Sex (Male, Female or Unknown)]]="Unknown",Backend!$C$8,"Error"))),"")</f>
        <v/>
      </c>
      <c r="F1607" s="8" t="str">
        <f>IF(Table1[[#This Row],[Is Data Valid]]=TRUE,EXP(0.578+0.332*((Table1[[#This Row],[Gestation (days)]]+0.5)/7)-0.00354*((Table1[[#This Row],[Gestation (days)]]+0.5)/7)^2)*Table1[[#This Row],[BW40_3705]],"")</f>
        <v/>
      </c>
      <c r="G1607" s="2" t="str">
        <f>IF(Table1[[#This Row],[Is Data Valid]]=TRUE,((Table1[[#This Row],[Birthweight (grams)]]/Table1[[#This Row],[BW_GA]])-1)/(Backend!$B$4/100*Table1[[#This Row],[BW40_3705]]),"")</f>
        <v/>
      </c>
      <c r="H1607" s="7" t="str">
        <f>IF(Table1[[#This Row],[Is Data Valid]]=TRUE,((Table1[[#This Row],[Birthweight (grams)]]*0.9/Table1[[#This Row],[BW_GA]])-1)/(Backend!$B$4/100*Table1[[#This Row],[BW40_3705]]),"")</f>
        <v/>
      </c>
      <c r="I1607" s="7" t="str">
        <f>IF(Table1[[#This Row],[Is Data Valid]]=TRUE,((Table1[[#This Row],[Birthweight (grams)]]*1.1/Table1[[#This Row],[BW_GA]])-1)/(Backend!$B$4/100*Table1[[#This Row],[BW40_3705]]),"")</f>
        <v/>
      </c>
      <c r="J1607" s="7" t="str">
        <f>IF(Table1[[#This Row],[Is Data Valid]]=TRUE,_xlfn.NORM.S.DIST(Table1[[#This Row],[Birthweight Z-Score]],TRUE)*100,"")</f>
        <v/>
      </c>
      <c r="K1607" s="7" t="str">
        <f>IF(Table1[[#This Row],[Is Data Valid]]=TRUE,_xlfn.NORM.S.DIST(Table1[[#This Row],[Birthweight Z-Score (BW-10%)]],TRUE)*100,"")</f>
        <v/>
      </c>
      <c r="L1607" s="7" t="str">
        <f>IF(Table1[[#This Row],[Is Data Valid]]=TRUE,_xlfn.NORM.S.DIST(Table1[[#This Row],[Birthweight Z-Score (BW+10%)]],TRUE)*100,"")</f>
        <v/>
      </c>
    </row>
    <row r="1608" spans="1:12" x14ac:dyDescent="0.35">
      <c r="A1608" s="3"/>
      <c r="B1608" s="2"/>
      <c r="C1608" s="2"/>
      <c r="D1608" s="2" t="b">
        <f>IF(AND(NOT(ISBLANK(Table1[[#This Row],[Fetal Sex (Male, Female or Unknown)]])),ISNUMBER(Table1[[#This Row],[Birthweight (grams)]]),ISNUMBER(Table1[[#This Row],[Gestation (days)]])),TRUE,FALSE)</f>
        <v>0</v>
      </c>
      <c r="E1608" s="2" t="str">
        <f>IF(Table1[[#This Row],[Is Data Valid]]=TRUE,IF(Table1[[#This Row],[Fetal Sex (Male, Female or Unknown)]]="Male",Backend!$C$6,IF(Table1[[#This Row],[Fetal Sex (Male, Female or Unknown)]]="Female",Backend!$C$7,IF(Table1[[#This Row],[Fetal Sex (Male, Female or Unknown)]]="Unknown",Backend!$C$8,"Error"))),"")</f>
        <v/>
      </c>
      <c r="F1608" s="8" t="str">
        <f>IF(Table1[[#This Row],[Is Data Valid]]=TRUE,EXP(0.578+0.332*((Table1[[#This Row],[Gestation (days)]]+0.5)/7)-0.00354*((Table1[[#This Row],[Gestation (days)]]+0.5)/7)^2)*Table1[[#This Row],[BW40_3705]],"")</f>
        <v/>
      </c>
      <c r="G1608" s="2" t="str">
        <f>IF(Table1[[#This Row],[Is Data Valid]]=TRUE,((Table1[[#This Row],[Birthweight (grams)]]/Table1[[#This Row],[BW_GA]])-1)/(Backend!$B$4/100*Table1[[#This Row],[BW40_3705]]),"")</f>
        <v/>
      </c>
      <c r="H1608" s="7" t="str">
        <f>IF(Table1[[#This Row],[Is Data Valid]]=TRUE,((Table1[[#This Row],[Birthweight (grams)]]*0.9/Table1[[#This Row],[BW_GA]])-1)/(Backend!$B$4/100*Table1[[#This Row],[BW40_3705]]),"")</f>
        <v/>
      </c>
      <c r="I1608" s="7" t="str">
        <f>IF(Table1[[#This Row],[Is Data Valid]]=TRUE,((Table1[[#This Row],[Birthweight (grams)]]*1.1/Table1[[#This Row],[BW_GA]])-1)/(Backend!$B$4/100*Table1[[#This Row],[BW40_3705]]),"")</f>
        <v/>
      </c>
      <c r="J1608" s="7" t="str">
        <f>IF(Table1[[#This Row],[Is Data Valid]]=TRUE,_xlfn.NORM.S.DIST(Table1[[#This Row],[Birthweight Z-Score]],TRUE)*100,"")</f>
        <v/>
      </c>
      <c r="K1608" s="7" t="str">
        <f>IF(Table1[[#This Row],[Is Data Valid]]=TRUE,_xlfn.NORM.S.DIST(Table1[[#This Row],[Birthweight Z-Score (BW-10%)]],TRUE)*100,"")</f>
        <v/>
      </c>
      <c r="L1608" s="7" t="str">
        <f>IF(Table1[[#This Row],[Is Data Valid]]=TRUE,_xlfn.NORM.S.DIST(Table1[[#This Row],[Birthweight Z-Score (BW+10%)]],TRUE)*100,"")</f>
        <v/>
      </c>
    </row>
    <row r="1609" spans="1:12" x14ac:dyDescent="0.35">
      <c r="A1609" s="3"/>
      <c r="B1609" s="2"/>
      <c r="C1609" s="2"/>
      <c r="D1609" s="2" t="b">
        <f>IF(AND(NOT(ISBLANK(Table1[[#This Row],[Fetal Sex (Male, Female or Unknown)]])),ISNUMBER(Table1[[#This Row],[Birthweight (grams)]]),ISNUMBER(Table1[[#This Row],[Gestation (days)]])),TRUE,FALSE)</f>
        <v>0</v>
      </c>
      <c r="E1609" s="2" t="str">
        <f>IF(Table1[[#This Row],[Is Data Valid]]=TRUE,IF(Table1[[#This Row],[Fetal Sex (Male, Female or Unknown)]]="Male",Backend!$C$6,IF(Table1[[#This Row],[Fetal Sex (Male, Female or Unknown)]]="Female",Backend!$C$7,IF(Table1[[#This Row],[Fetal Sex (Male, Female or Unknown)]]="Unknown",Backend!$C$8,"Error"))),"")</f>
        <v/>
      </c>
      <c r="F1609" s="8" t="str">
        <f>IF(Table1[[#This Row],[Is Data Valid]]=TRUE,EXP(0.578+0.332*((Table1[[#This Row],[Gestation (days)]]+0.5)/7)-0.00354*((Table1[[#This Row],[Gestation (days)]]+0.5)/7)^2)*Table1[[#This Row],[BW40_3705]],"")</f>
        <v/>
      </c>
      <c r="G1609" s="2" t="str">
        <f>IF(Table1[[#This Row],[Is Data Valid]]=TRUE,((Table1[[#This Row],[Birthweight (grams)]]/Table1[[#This Row],[BW_GA]])-1)/(Backend!$B$4/100*Table1[[#This Row],[BW40_3705]]),"")</f>
        <v/>
      </c>
      <c r="H1609" s="7" t="str">
        <f>IF(Table1[[#This Row],[Is Data Valid]]=TRUE,((Table1[[#This Row],[Birthweight (grams)]]*0.9/Table1[[#This Row],[BW_GA]])-1)/(Backend!$B$4/100*Table1[[#This Row],[BW40_3705]]),"")</f>
        <v/>
      </c>
      <c r="I1609" s="7" t="str">
        <f>IF(Table1[[#This Row],[Is Data Valid]]=TRUE,((Table1[[#This Row],[Birthweight (grams)]]*1.1/Table1[[#This Row],[BW_GA]])-1)/(Backend!$B$4/100*Table1[[#This Row],[BW40_3705]]),"")</f>
        <v/>
      </c>
      <c r="J1609" s="7" t="str">
        <f>IF(Table1[[#This Row],[Is Data Valid]]=TRUE,_xlfn.NORM.S.DIST(Table1[[#This Row],[Birthweight Z-Score]],TRUE)*100,"")</f>
        <v/>
      </c>
      <c r="K1609" s="7" t="str">
        <f>IF(Table1[[#This Row],[Is Data Valid]]=TRUE,_xlfn.NORM.S.DIST(Table1[[#This Row],[Birthweight Z-Score (BW-10%)]],TRUE)*100,"")</f>
        <v/>
      </c>
      <c r="L1609" s="7" t="str">
        <f>IF(Table1[[#This Row],[Is Data Valid]]=TRUE,_xlfn.NORM.S.DIST(Table1[[#This Row],[Birthweight Z-Score (BW+10%)]],TRUE)*100,"")</f>
        <v/>
      </c>
    </row>
    <row r="1610" spans="1:12" x14ac:dyDescent="0.35">
      <c r="A1610" s="3"/>
      <c r="B1610" s="2"/>
      <c r="C1610" s="2"/>
      <c r="D1610" s="2" t="b">
        <f>IF(AND(NOT(ISBLANK(Table1[[#This Row],[Fetal Sex (Male, Female or Unknown)]])),ISNUMBER(Table1[[#This Row],[Birthweight (grams)]]),ISNUMBER(Table1[[#This Row],[Gestation (days)]])),TRUE,FALSE)</f>
        <v>0</v>
      </c>
      <c r="E1610" s="2" t="str">
        <f>IF(Table1[[#This Row],[Is Data Valid]]=TRUE,IF(Table1[[#This Row],[Fetal Sex (Male, Female or Unknown)]]="Male",Backend!$C$6,IF(Table1[[#This Row],[Fetal Sex (Male, Female or Unknown)]]="Female",Backend!$C$7,IF(Table1[[#This Row],[Fetal Sex (Male, Female or Unknown)]]="Unknown",Backend!$C$8,"Error"))),"")</f>
        <v/>
      </c>
      <c r="F1610" s="8" t="str">
        <f>IF(Table1[[#This Row],[Is Data Valid]]=TRUE,EXP(0.578+0.332*((Table1[[#This Row],[Gestation (days)]]+0.5)/7)-0.00354*((Table1[[#This Row],[Gestation (days)]]+0.5)/7)^2)*Table1[[#This Row],[BW40_3705]],"")</f>
        <v/>
      </c>
      <c r="G1610" s="2" t="str">
        <f>IF(Table1[[#This Row],[Is Data Valid]]=TRUE,((Table1[[#This Row],[Birthweight (grams)]]/Table1[[#This Row],[BW_GA]])-1)/(Backend!$B$4/100*Table1[[#This Row],[BW40_3705]]),"")</f>
        <v/>
      </c>
      <c r="H1610" s="7" t="str">
        <f>IF(Table1[[#This Row],[Is Data Valid]]=TRUE,((Table1[[#This Row],[Birthweight (grams)]]*0.9/Table1[[#This Row],[BW_GA]])-1)/(Backend!$B$4/100*Table1[[#This Row],[BW40_3705]]),"")</f>
        <v/>
      </c>
      <c r="I1610" s="7" t="str">
        <f>IF(Table1[[#This Row],[Is Data Valid]]=TRUE,((Table1[[#This Row],[Birthweight (grams)]]*1.1/Table1[[#This Row],[BW_GA]])-1)/(Backend!$B$4/100*Table1[[#This Row],[BW40_3705]]),"")</f>
        <v/>
      </c>
      <c r="J1610" s="7" t="str">
        <f>IF(Table1[[#This Row],[Is Data Valid]]=TRUE,_xlfn.NORM.S.DIST(Table1[[#This Row],[Birthweight Z-Score]],TRUE)*100,"")</f>
        <v/>
      </c>
      <c r="K1610" s="7" t="str">
        <f>IF(Table1[[#This Row],[Is Data Valid]]=TRUE,_xlfn.NORM.S.DIST(Table1[[#This Row],[Birthweight Z-Score (BW-10%)]],TRUE)*100,"")</f>
        <v/>
      </c>
      <c r="L1610" s="7" t="str">
        <f>IF(Table1[[#This Row],[Is Data Valid]]=TRUE,_xlfn.NORM.S.DIST(Table1[[#This Row],[Birthweight Z-Score (BW+10%)]],TRUE)*100,"")</f>
        <v/>
      </c>
    </row>
    <row r="1611" spans="1:12" x14ac:dyDescent="0.35">
      <c r="A1611" s="3"/>
      <c r="B1611" s="2"/>
      <c r="C1611" s="2"/>
      <c r="D1611" s="2" t="b">
        <f>IF(AND(NOT(ISBLANK(Table1[[#This Row],[Fetal Sex (Male, Female or Unknown)]])),ISNUMBER(Table1[[#This Row],[Birthweight (grams)]]),ISNUMBER(Table1[[#This Row],[Gestation (days)]])),TRUE,FALSE)</f>
        <v>0</v>
      </c>
      <c r="E1611" s="2" t="str">
        <f>IF(Table1[[#This Row],[Is Data Valid]]=TRUE,IF(Table1[[#This Row],[Fetal Sex (Male, Female or Unknown)]]="Male",Backend!$C$6,IF(Table1[[#This Row],[Fetal Sex (Male, Female or Unknown)]]="Female",Backend!$C$7,IF(Table1[[#This Row],[Fetal Sex (Male, Female or Unknown)]]="Unknown",Backend!$C$8,"Error"))),"")</f>
        <v/>
      </c>
      <c r="F1611" s="8" t="str">
        <f>IF(Table1[[#This Row],[Is Data Valid]]=TRUE,EXP(0.578+0.332*((Table1[[#This Row],[Gestation (days)]]+0.5)/7)-0.00354*((Table1[[#This Row],[Gestation (days)]]+0.5)/7)^2)*Table1[[#This Row],[BW40_3705]],"")</f>
        <v/>
      </c>
      <c r="G1611" s="2" t="str">
        <f>IF(Table1[[#This Row],[Is Data Valid]]=TRUE,((Table1[[#This Row],[Birthweight (grams)]]/Table1[[#This Row],[BW_GA]])-1)/(Backend!$B$4/100*Table1[[#This Row],[BW40_3705]]),"")</f>
        <v/>
      </c>
      <c r="H1611" s="7" t="str">
        <f>IF(Table1[[#This Row],[Is Data Valid]]=TRUE,((Table1[[#This Row],[Birthweight (grams)]]*0.9/Table1[[#This Row],[BW_GA]])-1)/(Backend!$B$4/100*Table1[[#This Row],[BW40_3705]]),"")</f>
        <v/>
      </c>
      <c r="I1611" s="7" t="str">
        <f>IF(Table1[[#This Row],[Is Data Valid]]=TRUE,((Table1[[#This Row],[Birthweight (grams)]]*1.1/Table1[[#This Row],[BW_GA]])-1)/(Backend!$B$4/100*Table1[[#This Row],[BW40_3705]]),"")</f>
        <v/>
      </c>
      <c r="J1611" s="7" t="str">
        <f>IF(Table1[[#This Row],[Is Data Valid]]=TRUE,_xlfn.NORM.S.DIST(Table1[[#This Row],[Birthweight Z-Score]],TRUE)*100,"")</f>
        <v/>
      </c>
      <c r="K1611" s="7" t="str">
        <f>IF(Table1[[#This Row],[Is Data Valid]]=TRUE,_xlfn.NORM.S.DIST(Table1[[#This Row],[Birthweight Z-Score (BW-10%)]],TRUE)*100,"")</f>
        <v/>
      </c>
      <c r="L1611" s="7" t="str">
        <f>IF(Table1[[#This Row],[Is Data Valid]]=TRUE,_xlfn.NORM.S.DIST(Table1[[#This Row],[Birthweight Z-Score (BW+10%)]],TRUE)*100,"")</f>
        <v/>
      </c>
    </row>
    <row r="1612" spans="1:12" x14ac:dyDescent="0.35">
      <c r="A1612" s="3"/>
      <c r="B1612" s="2"/>
      <c r="C1612" s="2"/>
      <c r="D1612" s="2" t="b">
        <f>IF(AND(NOT(ISBLANK(Table1[[#This Row],[Fetal Sex (Male, Female or Unknown)]])),ISNUMBER(Table1[[#This Row],[Birthweight (grams)]]),ISNUMBER(Table1[[#This Row],[Gestation (days)]])),TRUE,FALSE)</f>
        <v>0</v>
      </c>
      <c r="E1612" s="2" t="str">
        <f>IF(Table1[[#This Row],[Is Data Valid]]=TRUE,IF(Table1[[#This Row],[Fetal Sex (Male, Female or Unknown)]]="Male",Backend!$C$6,IF(Table1[[#This Row],[Fetal Sex (Male, Female or Unknown)]]="Female",Backend!$C$7,IF(Table1[[#This Row],[Fetal Sex (Male, Female or Unknown)]]="Unknown",Backend!$C$8,"Error"))),"")</f>
        <v/>
      </c>
      <c r="F1612" s="8" t="str">
        <f>IF(Table1[[#This Row],[Is Data Valid]]=TRUE,EXP(0.578+0.332*((Table1[[#This Row],[Gestation (days)]]+0.5)/7)-0.00354*((Table1[[#This Row],[Gestation (days)]]+0.5)/7)^2)*Table1[[#This Row],[BW40_3705]],"")</f>
        <v/>
      </c>
      <c r="G1612" s="2" t="str">
        <f>IF(Table1[[#This Row],[Is Data Valid]]=TRUE,((Table1[[#This Row],[Birthweight (grams)]]/Table1[[#This Row],[BW_GA]])-1)/(Backend!$B$4/100*Table1[[#This Row],[BW40_3705]]),"")</f>
        <v/>
      </c>
      <c r="H1612" s="7" t="str">
        <f>IF(Table1[[#This Row],[Is Data Valid]]=TRUE,((Table1[[#This Row],[Birthweight (grams)]]*0.9/Table1[[#This Row],[BW_GA]])-1)/(Backend!$B$4/100*Table1[[#This Row],[BW40_3705]]),"")</f>
        <v/>
      </c>
      <c r="I1612" s="7" t="str">
        <f>IF(Table1[[#This Row],[Is Data Valid]]=TRUE,((Table1[[#This Row],[Birthweight (grams)]]*1.1/Table1[[#This Row],[BW_GA]])-1)/(Backend!$B$4/100*Table1[[#This Row],[BW40_3705]]),"")</f>
        <v/>
      </c>
      <c r="J1612" s="7" t="str">
        <f>IF(Table1[[#This Row],[Is Data Valid]]=TRUE,_xlfn.NORM.S.DIST(Table1[[#This Row],[Birthweight Z-Score]],TRUE)*100,"")</f>
        <v/>
      </c>
      <c r="K1612" s="7" t="str">
        <f>IF(Table1[[#This Row],[Is Data Valid]]=TRUE,_xlfn.NORM.S.DIST(Table1[[#This Row],[Birthweight Z-Score (BW-10%)]],TRUE)*100,"")</f>
        <v/>
      </c>
      <c r="L1612" s="7" t="str">
        <f>IF(Table1[[#This Row],[Is Data Valid]]=TRUE,_xlfn.NORM.S.DIST(Table1[[#This Row],[Birthweight Z-Score (BW+10%)]],TRUE)*100,"")</f>
        <v/>
      </c>
    </row>
    <row r="1613" spans="1:12" x14ac:dyDescent="0.35">
      <c r="A1613" s="3"/>
      <c r="B1613" s="2"/>
      <c r="C1613" s="2"/>
      <c r="D1613" s="2" t="b">
        <f>IF(AND(NOT(ISBLANK(Table1[[#This Row],[Fetal Sex (Male, Female or Unknown)]])),ISNUMBER(Table1[[#This Row],[Birthweight (grams)]]),ISNUMBER(Table1[[#This Row],[Gestation (days)]])),TRUE,FALSE)</f>
        <v>0</v>
      </c>
      <c r="E1613" s="2" t="str">
        <f>IF(Table1[[#This Row],[Is Data Valid]]=TRUE,IF(Table1[[#This Row],[Fetal Sex (Male, Female or Unknown)]]="Male",Backend!$C$6,IF(Table1[[#This Row],[Fetal Sex (Male, Female or Unknown)]]="Female",Backend!$C$7,IF(Table1[[#This Row],[Fetal Sex (Male, Female or Unknown)]]="Unknown",Backend!$C$8,"Error"))),"")</f>
        <v/>
      </c>
      <c r="F1613" s="8" t="str">
        <f>IF(Table1[[#This Row],[Is Data Valid]]=TRUE,EXP(0.578+0.332*((Table1[[#This Row],[Gestation (days)]]+0.5)/7)-0.00354*((Table1[[#This Row],[Gestation (days)]]+0.5)/7)^2)*Table1[[#This Row],[BW40_3705]],"")</f>
        <v/>
      </c>
      <c r="G1613" s="2" t="str">
        <f>IF(Table1[[#This Row],[Is Data Valid]]=TRUE,((Table1[[#This Row],[Birthweight (grams)]]/Table1[[#This Row],[BW_GA]])-1)/(Backend!$B$4/100*Table1[[#This Row],[BW40_3705]]),"")</f>
        <v/>
      </c>
      <c r="H1613" s="7" t="str">
        <f>IF(Table1[[#This Row],[Is Data Valid]]=TRUE,((Table1[[#This Row],[Birthweight (grams)]]*0.9/Table1[[#This Row],[BW_GA]])-1)/(Backend!$B$4/100*Table1[[#This Row],[BW40_3705]]),"")</f>
        <v/>
      </c>
      <c r="I1613" s="7" t="str">
        <f>IF(Table1[[#This Row],[Is Data Valid]]=TRUE,((Table1[[#This Row],[Birthweight (grams)]]*1.1/Table1[[#This Row],[BW_GA]])-1)/(Backend!$B$4/100*Table1[[#This Row],[BW40_3705]]),"")</f>
        <v/>
      </c>
      <c r="J1613" s="7" t="str">
        <f>IF(Table1[[#This Row],[Is Data Valid]]=TRUE,_xlfn.NORM.S.DIST(Table1[[#This Row],[Birthweight Z-Score]],TRUE)*100,"")</f>
        <v/>
      </c>
      <c r="K1613" s="7" t="str">
        <f>IF(Table1[[#This Row],[Is Data Valid]]=TRUE,_xlfn.NORM.S.DIST(Table1[[#This Row],[Birthweight Z-Score (BW-10%)]],TRUE)*100,"")</f>
        <v/>
      </c>
      <c r="L1613" s="7" t="str">
        <f>IF(Table1[[#This Row],[Is Data Valid]]=TRUE,_xlfn.NORM.S.DIST(Table1[[#This Row],[Birthweight Z-Score (BW+10%)]],TRUE)*100,"")</f>
        <v/>
      </c>
    </row>
    <row r="1614" spans="1:12" x14ac:dyDescent="0.35">
      <c r="A1614" s="3"/>
      <c r="B1614" s="2"/>
      <c r="C1614" s="2"/>
      <c r="D1614" s="2" t="b">
        <f>IF(AND(NOT(ISBLANK(Table1[[#This Row],[Fetal Sex (Male, Female or Unknown)]])),ISNUMBER(Table1[[#This Row],[Birthweight (grams)]]),ISNUMBER(Table1[[#This Row],[Gestation (days)]])),TRUE,FALSE)</f>
        <v>0</v>
      </c>
      <c r="E1614" s="2" t="str">
        <f>IF(Table1[[#This Row],[Is Data Valid]]=TRUE,IF(Table1[[#This Row],[Fetal Sex (Male, Female or Unknown)]]="Male",Backend!$C$6,IF(Table1[[#This Row],[Fetal Sex (Male, Female or Unknown)]]="Female",Backend!$C$7,IF(Table1[[#This Row],[Fetal Sex (Male, Female or Unknown)]]="Unknown",Backend!$C$8,"Error"))),"")</f>
        <v/>
      </c>
      <c r="F1614" s="8" t="str">
        <f>IF(Table1[[#This Row],[Is Data Valid]]=TRUE,EXP(0.578+0.332*((Table1[[#This Row],[Gestation (days)]]+0.5)/7)-0.00354*((Table1[[#This Row],[Gestation (days)]]+0.5)/7)^2)*Table1[[#This Row],[BW40_3705]],"")</f>
        <v/>
      </c>
      <c r="G1614" s="2" t="str">
        <f>IF(Table1[[#This Row],[Is Data Valid]]=TRUE,((Table1[[#This Row],[Birthweight (grams)]]/Table1[[#This Row],[BW_GA]])-1)/(Backend!$B$4/100*Table1[[#This Row],[BW40_3705]]),"")</f>
        <v/>
      </c>
      <c r="H1614" s="7" t="str">
        <f>IF(Table1[[#This Row],[Is Data Valid]]=TRUE,((Table1[[#This Row],[Birthweight (grams)]]*0.9/Table1[[#This Row],[BW_GA]])-1)/(Backend!$B$4/100*Table1[[#This Row],[BW40_3705]]),"")</f>
        <v/>
      </c>
      <c r="I1614" s="7" t="str">
        <f>IF(Table1[[#This Row],[Is Data Valid]]=TRUE,((Table1[[#This Row],[Birthweight (grams)]]*1.1/Table1[[#This Row],[BW_GA]])-1)/(Backend!$B$4/100*Table1[[#This Row],[BW40_3705]]),"")</f>
        <v/>
      </c>
      <c r="J1614" s="7" t="str">
        <f>IF(Table1[[#This Row],[Is Data Valid]]=TRUE,_xlfn.NORM.S.DIST(Table1[[#This Row],[Birthweight Z-Score]],TRUE)*100,"")</f>
        <v/>
      </c>
      <c r="K1614" s="7" t="str">
        <f>IF(Table1[[#This Row],[Is Data Valid]]=TRUE,_xlfn.NORM.S.DIST(Table1[[#This Row],[Birthweight Z-Score (BW-10%)]],TRUE)*100,"")</f>
        <v/>
      </c>
      <c r="L1614" s="7" t="str">
        <f>IF(Table1[[#This Row],[Is Data Valid]]=TRUE,_xlfn.NORM.S.DIST(Table1[[#This Row],[Birthweight Z-Score (BW+10%)]],TRUE)*100,"")</f>
        <v/>
      </c>
    </row>
    <row r="1615" spans="1:12" x14ac:dyDescent="0.35">
      <c r="A1615" s="3"/>
      <c r="B1615" s="2"/>
      <c r="C1615" s="2"/>
      <c r="D1615" s="2" t="b">
        <f>IF(AND(NOT(ISBLANK(Table1[[#This Row],[Fetal Sex (Male, Female or Unknown)]])),ISNUMBER(Table1[[#This Row],[Birthweight (grams)]]),ISNUMBER(Table1[[#This Row],[Gestation (days)]])),TRUE,FALSE)</f>
        <v>0</v>
      </c>
      <c r="E1615" s="2" t="str">
        <f>IF(Table1[[#This Row],[Is Data Valid]]=TRUE,IF(Table1[[#This Row],[Fetal Sex (Male, Female or Unknown)]]="Male",Backend!$C$6,IF(Table1[[#This Row],[Fetal Sex (Male, Female or Unknown)]]="Female",Backend!$C$7,IF(Table1[[#This Row],[Fetal Sex (Male, Female or Unknown)]]="Unknown",Backend!$C$8,"Error"))),"")</f>
        <v/>
      </c>
      <c r="F1615" s="8" t="str">
        <f>IF(Table1[[#This Row],[Is Data Valid]]=TRUE,EXP(0.578+0.332*((Table1[[#This Row],[Gestation (days)]]+0.5)/7)-0.00354*((Table1[[#This Row],[Gestation (days)]]+0.5)/7)^2)*Table1[[#This Row],[BW40_3705]],"")</f>
        <v/>
      </c>
      <c r="G1615" s="2" t="str">
        <f>IF(Table1[[#This Row],[Is Data Valid]]=TRUE,((Table1[[#This Row],[Birthweight (grams)]]/Table1[[#This Row],[BW_GA]])-1)/(Backend!$B$4/100*Table1[[#This Row],[BW40_3705]]),"")</f>
        <v/>
      </c>
      <c r="H1615" s="7" t="str">
        <f>IF(Table1[[#This Row],[Is Data Valid]]=TRUE,((Table1[[#This Row],[Birthweight (grams)]]*0.9/Table1[[#This Row],[BW_GA]])-1)/(Backend!$B$4/100*Table1[[#This Row],[BW40_3705]]),"")</f>
        <v/>
      </c>
      <c r="I1615" s="7" t="str">
        <f>IF(Table1[[#This Row],[Is Data Valid]]=TRUE,((Table1[[#This Row],[Birthweight (grams)]]*1.1/Table1[[#This Row],[BW_GA]])-1)/(Backend!$B$4/100*Table1[[#This Row],[BW40_3705]]),"")</f>
        <v/>
      </c>
      <c r="J1615" s="7" t="str">
        <f>IF(Table1[[#This Row],[Is Data Valid]]=TRUE,_xlfn.NORM.S.DIST(Table1[[#This Row],[Birthweight Z-Score]],TRUE)*100,"")</f>
        <v/>
      </c>
      <c r="K1615" s="7" t="str">
        <f>IF(Table1[[#This Row],[Is Data Valid]]=TRUE,_xlfn.NORM.S.DIST(Table1[[#This Row],[Birthweight Z-Score (BW-10%)]],TRUE)*100,"")</f>
        <v/>
      </c>
      <c r="L1615" s="7" t="str">
        <f>IF(Table1[[#This Row],[Is Data Valid]]=TRUE,_xlfn.NORM.S.DIST(Table1[[#This Row],[Birthweight Z-Score (BW+10%)]],TRUE)*100,"")</f>
        <v/>
      </c>
    </row>
    <row r="1616" spans="1:12" x14ac:dyDescent="0.35">
      <c r="A1616" s="3"/>
      <c r="B1616" s="2"/>
      <c r="C1616" s="2"/>
      <c r="D1616" s="2" t="b">
        <f>IF(AND(NOT(ISBLANK(Table1[[#This Row],[Fetal Sex (Male, Female or Unknown)]])),ISNUMBER(Table1[[#This Row],[Birthweight (grams)]]),ISNUMBER(Table1[[#This Row],[Gestation (days)]])),TRUE,FALSE)</f>
        <v>0</v>
      </c>
      <c r="E1616" s="2" t="str">
        <f>IF(Table1[[#This Row],[Is Data Valid]]=TRUE,IF(Table1[[#This Row],[Fetal Sex (Male, Female or Unknown)]]="Male",Backend!$C$6,IF(Table1[[#This Row],[Fetal Sex (Male, Female or Unknown)]]="Female",Backend!$C$7,IF(Table1[[#This Row],[Fetal Sex (Male, Female or Unknown)]]="Unknown",Backend!$C$8,"Error"))),"")</f>
        <v/>
      </c>
      <c r="F1616" s="8" t="str">
        <f>IF(Table1[[#This Row],[Is Data Valid]]=TRUE,EXP(0.578+0.332*((Table1[[#This Row],[Gestation (days)]]+0.5)/7)-0.00354*((Table1[[#This Row],[Gestation (days)]]+0.5)/7)^2)*Table1[[#This Row],[BW40_3705]],"")</f>
        <v/>
      </c>
      <c r="G1616" s="2" t="str">
        <f>IF(Table1[[#This Row],[Is Data Valid]]=TRUE,((Table1[[#This Row],[Birthweight (grams)]]/Table1[[#This Row],[BW_GA]])-1)/(Backend!$B$4/100*Table1[[#This Row],[BW40_3705]]),"")</f>
        <v/>
      </c>
      <c r="H1616" s="7" t="str">
        <f>IF(Table1[[#This Row],[Is Data Valid]]=TRUE,((Table1[[#This Row],[Birthweight (grams)]]*0.9/Table1[[#This Row],[BW_GA]])-1)/(Backend!$B$4/100*Table1[[#This Row],[BW40_3705]]),"")</f>
        <v/>
      </c>
      <c r="I1616" s="7" t="str">
        <f>IF(Table1[[#This Row],[Is Data Valid]]=TRUE,((Table1[[#This Row],[Birthweight (grams)]]*1.1/Table1[[#This Row],[BW_GA]])-1)/(Backend!$B$4/100*Table1[[#This Row],[BW40_3705]]),"")</f>
        <v/>
      </c>
      <c r="J1616" s="7" t="str">
        <f>IF(Table1[[#This Row],[Is Data Valid]]=TRUE,_xlfn.NORM.S.DIST(Table1[[#This Row],[Birthweight Z-Score]],TRUE)*100,"")</f>
        <v/>
      </c>
      <c r="K1616" s="7" t="str">
        <f>IF(Table1[[#This Row],[Is Data Valid]]=TRUE,_xlfn.NORM.S.DIST(Table1[[#This Row],[Birthweight Z-Score (BW-10%)]],TRUE)*100,"")</f>
        <v/>
      </c>
      <c r="L1616" s="7" t="str">
        <f>IF(Table1[[#This Row],[Is Data Valid]]=TRUE,_xlfn.NORM.S.DIST(Table1[[#This Row],[Birthweight Z-Score (BW+10%)]],TRUE)*100,"")</f>
        <v/>
      </c>
    </row>
    <row r="1617" spans="1:12" x14ac:dyDescent="0.35">
      <c r="A1617" s="3"/>
      <c r="B1617" s="2"/>
      <c r="C1617" s="2"/>
      <c r="D1617" s="2" t="b">
        <f>IF(AND(NOT(ISBLANK(Table1[[#This Row],[Fetal Sex (Male, Female or Unknown)]])),ISNUMBER(Table1[[#This Row],[Birthweight (grams)]]),ISNUMBER(Table1[[#This Row],[Gestation (days)]])),TRUE,FALSE)</f>
        <v>0</v>
      </c>
      <c r="E1617" s="2" t="str">
        <f>IF(Table1[[#This Row],[Is Data Valid]]=TRUE,IF(Table1[[#This Row],[Fetal Sex (Male, Female or Unknown)]]="Male",Backend!$C$6,IF(Table1[[#This Row],[Fetal Sex (Male, Female or Unknown)]]="Female",Backend!$C$7,IF(Table1[[#This Row],[Fetal Sex (Male, Female or Unknown)]]="Unknown",Backend!$C$8,"Error"))),"")</f>
        <v/>
      </c>
      <c r="F1617" s="8" t="str">
        <f>IF(Table1[[#This Row],[Is Data Valid]]=TRUE,EXP(0.578+0.332*((Table1[[#This Row],[Gestation (days)]]+0.5)/7)-0.00354*((Table1[[#This Row],[Gestation (days)]]+0.5)/7)^2)*Table1[[#This Row],[BW40_3705]],"")</f>
        <v/>
      </c>
      <c r="G1617" s="2" t="str">
        <f>IF(Table1[[#This Row],[Is Data Valid]]=TRUE,((Table1[[#This Row],[Birthweight (grams)]]/Table1[[#This Row],[BW_GA]])-1)/(Backend!$B$4/100*Table1[[#This Row],[BW40_3705]]),"")</f>
        <v/>
      </c>
      <c r="H1617" s="7" t="str">
        <f>IF(Table1[[#This Row],[Is Data Valid]]=TRUE,((Table1[[#This Row],[Birthweight (grams)]]*0.9/Table1[[#This Row],[BW_GA]])-1)/(Backend!$B$4/100*Table1[[#This Row],[BW40_3705]]),"")</f>
        <v/>
      </c>
      <c r="I1617" s="7" t="str">
        <f>IF(Table1[[#This Row],[Is Data Valid]]=TRUE,((Table1[[#This Row],[Birthweight (grams)]]*1.1/Table1[[#This Row],[BW_GA]])-1)/(Backend!$B$4/100*Table1[[#This Row],[BW40_3705]]),"")</f>
        <v/>
      </c>
      <c r="J1617" s="7" t="str">
        <f>IF(Table1[[#This Row],[Is Data Valid]]=TRUE,_xlfn.NORM.S.DIST(Table1[[#This Row],[Birthweight Z-Score]],TRUE)*100,"")</f>
        <v/>
      </c>
      <c r="K1617" s="7" t="str">
        <f>IF(Table1[[#This Row],[Is Data Valid]]=TRUE,_xlfn.NORM.S.DIST(Table1[[#This Row],[Birthweight Z-Score (BW-10%)]],TRUE)*100,"")</f>
        <v/>
      </c>
      <c r="L1617" s="7" t="str">
        <f>IF(Table1[[#This Row],[Is Data Valid]]=TRUE,_xlfn.NORM.S.DIST(Table1[[#This Row],[Birthweight Z-Score (BW+10%)]],TRUE)*100,"")</f>
        <v/>
      </c>
    </row>
    <row r="1618" spans="1:12" x14ac:dyDescent="0.35">
      <c r="A1618" s="3"/>
      <c r="B1618" s="2"/>
      <c r="C1618" s="2"/>
      <c r="D1618" s="2" t="b">
        <f>IF(AND(NOT(ISBLANK(Table1[[#This Row],[Fetal Sex (Male, Female or Unknown)]])),ISNUMBER(Table1[[#This Row],[Birthweight (grams)]]),ISNUMBER(Table1[[#This Row],[Gestation (days)]])),TRUE,FALSE)</f>
        <v>0</v>
      </c>
      <c r="E1618" s="2" t="str">
        <f>IF(Table1[[#This Row],[Is Data Valid]]=TRUE,IF(Table1[[#This Row],[Fetal Sex (Male, Female or Unknown)]]="Male",Backend!$C$6,IF(Table1[[#This Row],[Fetal Sex (Male, Female or Unknown)]]="Female",Backend!$C$7,IF(Table1[[#This Row],[Fetal Sex (Male, Female or Unknown)]]="Unknown",Backend!$C$8,"Error"))),"")</f>
        <v/>
      </c>
      <c r="F1618" s="8" t="str">
        <f>IF(Table1[[#This Row],[Is Data Valid]]=TRUE,EXP(0.578+0.332*((Table1[[#This Row],[Gestation (days)]]+0.5)/7)-0.00354*((Table1[[#This Row],[Gestation (days)]]+0.5)/7)^2)*Table1[[#This Row],[BW40_3705]],"")</f>
        <v/>
      </c>
      <c r="G1618" s="2" t="str">
        <f>IF(Table1[[#This Row],[Is Data Valid]]=TRUE,((Table1[[#This Row],[Birthweight (grams)]]/Table1[[#This Row],[BW_GA]])-1)/(Backend!$B$4/100*Table1[[#This Row],[BW40_3705]]),"")</f>
        <v/>
      </c>
      <c r="H1618" s="7" t="str">
        <f>IF(Table1[[#This Row],[Is Data Valid]]=TRUE,((Table1[[#This Row],[Birthweight (grams)]]*0.9/Table1[[#This Row],[BW_GA]])-1)/(Backend!$B$4/100*Table1[[#This Row],[BW40_3705]]),"")</f>
        <v/>
      </c>
      <c r="I1618" s="7" t="str">
        <f>IF(Table1[[#This Row],[Is Data Valid]]=TRUE,((Table1[[#This Row],[Birthweight (grams)]]*1.1/Table1[[#This Row],[BW_GA]])-1)/(Backend!$B$4/100*Table1[[#This Row],[BW40_3705]]),"")</f>
        <v/>
      </c>
      <c r="J1618" s="7" t="str">
        <f>IF(Table1[[#This Row],[Is Data Valid]]=TRUE,_xlfn.NORM.S.DIST(Table1[[#This Row],[Birthweight Z-Score]],TRUE)*100,"")</f>
        <v/>
      </c>
      <c r="K1618" s="7" t="str">
        <f>IF(Table1[[#This Row],[Is Data Valid]]=TRUE,_xlfn.NORM.S.DIST(Table1[[#This Row],[Birthweight Z-Score (BW-10%)]],TRUE)*100,"")</f>
        <v/>
      </c>
      <c r="L1618" s="7" t="str">
        <f>IF(Table1[[#This Row],[Is Data Valid]]=TRUE,_xlfn.NORM.S.DIST(Table1[[#This Row],[Birthweight Z-Score (BW+10%)]],TRUE)*100,"")</f>
        <v/>
      </c>
    </row>
    <row r="1619" spans="1:12" x14ac:dyDescent="0.35">
      <c r="A1619" s="3"/>
      <c r="B1619" s="2"/>
      <c r="C1619" s="2"/>
      <c r="D1619" s="2" t="b">
        <f>IF(AND(NOT(ISBLANK(Table1[[#This Row],[Fetal Sex (Male, Female or Unknown)]])),ISNUMBER(Table1[[#This Row],[Birthweight (grams)]]),ISNUMBER(Table1[[#This Row],[Gestation (days)]])),TRUE,FALSE)</f>
        <v>0</v>
      </c>
      <c r="E1619" s="2" t="str">
        <f>IF(Table1[[#This Row],[Is Data Valid]]=TRUE,IF(Table1[[#This Row],[Fetal Sex (Male, Female or Unknown)]]="Male",Backend!$C$6,IF(Table1[[#This Row],[Fetal Sex (Male, Female or Unknown)]]="Female",Backend!$C$7,IF(Table1[[#This Row],[Fetal Sex (Male, Female or Unknown)]]="Unknown",Backend!$C$8,"Error"))),"")</f>
        <v/>
      </c>
      <c r="F1619" s="8" t="str">
        <f>IF(Table1[[#This Row],[Is Data Valid]]=TRUE,EXP(0.578+0.332*((Table1[[#This Row],[Gestation (days)]]+0.5)/7)-0.00354*((Table1[[#This Row],[Gestation (days)]]+0.5)/7)^2)*Table1[[#This Row],[BW40_3705]],"")</f>
        <v/>
      </c>
      <c r="G1619" s="2" t="str">
        <f>IF(Table1[[#This Row],[Is Data Valid]]=TRUE,((Table1[[#This Row],[Birthweight (grams)]]/Table1[[#This Row],[BW_GA]])-1)/(Backend!$B$4/100*Table1[[#This Row],[BW40_3705]]),"")</f>
        <v/>
      </c>
      <c r="H1619" s="7" t="str">
        <f>IF(Table1[[#This Row],[Is Data Valid]]=TRUE,((Table1[[#This Row],[Birthweight (grams)]]*0.9/Table1[[#This Row],[BW_GA]])-1)/(Backend!$B$4/100*Table1[[#This Row],[BW40_3705]]),"")</f>
        <v/>
      </c>
      <c r="I1619" s="7" t="str">
        <f>IF(Table1[[#This Row],[Is Data Valid]]=TRUE,((Table1[[#This Row],[Birthweight (grams)]]*1.1/Table1[[#This Row],[BW_GA]])-1)/(Backend!$B$4/100*Table1[[#This Row],[BW40_3705]]),"")</f>
        <v/>
      </c>
      <c r="J1619" s="7" t="str">
        <f>IF(Table1[[#This Row],[Is Data Valid]]=TRUE,_xlfn.NORM.S.DIST(Table1[[#This Row],[Birthweight Z-Score]],TRUE)*100,"")</f>
        <v/>
      </c>
      <c r="K1619" s="7" t="str">
        <f>IF(Table1[[#This Row],[Is Data Valid]]=TRUE,_xlfn.NORM.S.DIST(Table1[[#This Row],[Birthweight Z-Score (BW-10%)]],TRUE)*100,"")</f>
        <v/>
      </c>
      <c r="L1619" s="7" t="str">
        <f>IF(Table1[[#This Row],[Is Data Valid]]=TRUE,_xlfn.NORM.S.DIST(Table1[[#This Row],[Birthweight Z-Score (BW+10%)]],TRUE)*100,"")</f>
        <v/>
      </c>
    </row>
    <row r="1620" spans="1:12" x14ac:dyDescent="0.35">
      <c r="A1620" s="3"/>
      <c r="B1620" s="2"/>
      <c r="C1620" s="2"/>
      <c r="D1620" s="2" t="b">
        <f>IF(AND(NOT(ISBLANK(Table1[[#This Row],[Fetal Sex (Male, Female or Unknown)]])),ISNUMBER(Table1[[#This Row],[Birthweight (grams)]]),ISNUMBER(Table1[[#This Row],[Gestation (days)]])),TRUE,FALSE)</f>
        <v>0</v>
      </c>
      <c r="E1620" s="2" t="str">
        <f>IF(Table1[[#This Row],[Is Data Valid]]=TRUE,IF(Table1[[#This Row],[Fetal Sex (Male, Female or Unknown)]]="Male",Backend!$C$6,IF(Table1[[#This Row],[Fetal Sex (Male, Female or Unknown)]]="Female",Backend!$C$7,IF(Table1[[#This Row],[Fetal Sex (Male, Female or Unknown)]]="Unknown",Backend!$C$8,"Error"))),"")</f>
        <v/>
      </c>
      <c r="F1620" s="8" t="str">
        <f>IF(Table1[[#This Row],[Is Data Valid]]=TRUE,EXP(0.578+0.332*((Table1[[#This Row],[Gestation (days)]]+0.5)/7)-0.00354*((Table1[[#This Row],[Gestation (days)]]+0.5)/7)^2)*Table1[[#This Row],[BW40_3705]],"")</f>
        <v/>
      </c>
      <c r="G1620" s="2" t="str">
        <f>IF(Table1[[#This Row],[Is Data Valid]]=TRUE,((Table1[[#This Row],[Birthweight (grams)]]/Table1[[#This Row],[BW_GA]])-1)/(Backend!$B$4/100*Table1[[#This Row],[BW40_3705]]),"")</f>
        <v/>
      </c>
      <c r="H1620" s="7" t="str">
        <f>IF(Table1[[#This Row],[Is Data Valid]]=TRUE,((Table1[[#This Row],[Birthweight (grams)]]*0.9/Table1[[#This Row],[BW_GA]])-1)/(Backend!$B$4/100*Table1[[#This Row],[BW40_3705]]),"")</f>
        <v/>
      </c>
      <c r="I1620" s="7" t="str">
        <f>IF(Table1[[#This Row],[Is Data Valid]]=TRUE,((Table1[[#This Row],[Birthweight (grams)]]*1.1/Table1[[#This Row],[BW_GA]])-1)/(Backend!$B$4/100*Table1[[#This Row],[BW40_3705]]),"")</f>
        <v/>
      </c>
      <c r="J1620" s="7" t="str">
        <f>IF(Table1[[#This Row],[Is Data Valid]]=TRUE,_xlfn.NORM.S.DIST(Table1[[#This Row],[Birthweight Z-Score]],TRUE)*100,"")</f>
        <v/>
      </c>
      <c r="K1620" s="7" t="str">
        <f>IF(Table1[[#This Row],[Is Data Valid]]=TRUE,_xlfn.NORM.S.DIST(Table1[[#This Row],[Birthweight Z-Score (BW-10%)]],TRUE)*100,"")</f>
        <v/>
      </c>
      <c r="L1620" s="7" t="str">
        <f>IF(Table1[[#This Row],[Is Data Valid]]=TRUE,_xlfn.NORM.S.DIST(Table1[[#This Row],[Birthweight Z-Score (BW+10%)]],TRUE)*100,"")</f>
        <v/>
      </c>
    </row>
    <row r="1621" spans="1:12" x14ac:dyDescent="0.35">
      <c r="A1621" s="3"/>
      <c r="B1621" s="2"/>
      <c r="C1621" s="2"/>
      <c r="D1621" s="2" t="b">
        <f>IF(AND(NOT(ISBLANK(Table1[[#This Row],[Fetal Sex (Male, Female or Unknown)]])),ISNUMBER(Table1[[#This Row],[Birthweight (grams)]]),ISNUMBER(Table1[[#This Row],[Gestation (days)]])),TRUE,FALSE)</f>
        <v>0</v>
      </c>
      <c r="E1621" s="2" t="str">
        <f>IF(Table1[[#This Row],[Is Data Valid]]=TRUE,IF(Table1[[#This Row],[Fetal Sex (Male, Female or Unknown)]]="Male",Backend!$C$6,IF(Table1[[#This Row],[Fetal Sex (Male, Female or Unknown)]]="Female",Backend!$C$7,IF(Table1[[#This Row],[Fetal Sex (Male, Female or Unknown)]]="Unknown",Backend!$C$8,"Error"))),"")</f>
        <v/>
      </c>
      <c r="F1621" s="8" t="str">
        <f>IF(Table1[[#This Row],[Is Data Valid]]=TRUE,EXP(0.578+0.332*((Table1[[#This Row],[Gestation (days)]]+0.5)/7)-0.00354*((Table1[[#This Row],[Gestation (days)]]+0.5)/7)^2)*Table1[[#This Row],[BW40_3705]],"")</f>
        <v/>
      </c>
      <c r="G1621" s="2" t="str">
        <f>IF(Table1[[#This Row],[Is Data Valid]]=TRUE,((Table1[[#This Row],[Birthweight (grams)]]/Table1[[#This Row],[BW_GA]])-1)/(Backend!$B$4/100*Table1[[#This Row],[BW40_3705]]),"")</f>
        <v/>
      </c>
      <c r="H1621" s="7" t="str">
        <f>IF(Table1[[#This Row],[Is Data Valid]]=TRUE,((Table1[[#This Row],[Birthweight (grams)]]*0.9/Table1[[#This Row],[BW_GA]])-1)/(Backend!$B$4/100*Table1[[#This Row],[BW40_3705]]),"")</f>
        <v/>
      </c>
      <c r="I1621" s="7" t="str">
        <f>IF(Table1[[#This Row],[Is Data Valid]]=TRUE,((Table1[[#This Row],[Birthweight (grams)]]*1.1/Table1[[#This Row],[BW_GA]])-1)/(Backend!$B$4/100*Table1[[#This Row],[BW40_3705]]),"")</f>
        <v/>
      </c>
      <c r="J1621" s="7" t="str">
        <f>IF(Table1[[#This Row],[Is Data Valid]]=TRUE,_xlfn.NORM.S.DIST(Table1[[#This Row],[Birthweight Z-Score]],TRUE)*100,"")</f>
        <v/>
      </c>
      <c r="K1621" s="7" t="str">
        <f>IF(Table1[[#This Row],[Is Data Valid]]=TRUE,_xlfn.NORM.S.DIST(Table1[[#This Row],[Birthweight Z-Score (BW-10%)]],TRUE)*100,"")</f>
        <v/>
      </c>
      <c r="L1621" s="7" t="str">
        <f>IF(Table1[[#This Row],[Is Data Valid]]=TRUE,_xlfn.NORM.S.DIST(Table1[[#This Row],[Birthweight Z-Score (BW+10%)]],TRUE)*100,"")</f>
        <v/>
      </c>
    </row>
    <row r="1622" spans="1:12" x14ac:dyDescent="0.35">
      <c r="A1622" s="3"/>
      <c r="B1622" s="2"/>
      <c r="C1622" s="2"/>
      <c r="D1622" s="2" t="b">
        <f>IF(AND(NOT(ISBLANK(Table1[[#This Row],[Fetal Sex (Male, Female or Unknown)]])),ISNUMBER(Table1[[#This Row],[Birthweight (grams)]]),ISNUMBER(Table1[[#This Row],[Gestation (days)]])),TRUE,FALSE)</f>
        <v>0</v>
      </c>
      <c r="E1622" s="2" t="str">
        <f>IF(Table1[[#This Row],[Is Data Valid]]=TRUE,IF(Table1[[#This Row],[Fetal Sex (Male, Female or Unknown)]]="Male",Backend!$C$6,IF(Table1[[#This Row],[Fetal Sex (Male, Female or Unknown)]]="Female",Backend!$C$7,IF(Table1[[#This Row],[Fetal Sex (Male, Female or Unknown)]]="Unknown",Backend!$C$8,"Error"))),"")</f>
        <v/>
      </c>
      <c r="F1622" s="8" t="str">
        <f>IF(Table1[[#This Row],[Is Data Valid]]=TRUE,EXP(0.578+0.332*((Table1[[#This Row],[Gestation (days)]]+0.5)/7)-0.00354*((Table1[[#This Row],[Gestation (days)]]+0.5)/7)^2)*Table1[[#This Row],[BW40_3705]],"")</f>
        <v/>
      </c>
      <c r="G1622" s="2" t="str">
        <f>IF(Table1[[#This Row],[Is Data Valid]]=TRUE,((Table1[[#This Row],[Birthweight (grams)]]/Table1[[#This Row],[BW_GA]])-1)/(Backend!$B$4/100*Table1[[#This Row],[BW40_3705]]),"")</f>
        <v/>
      </c>
      <c r="H1622" s="7" t="str">
        <f>IF(Table1[[#This Row],[Is Data Valid]]=TRUE,((Table1[[#This Row],[Birthweight (grams)]]*0.9/Table1[[#This Row],[BW_GA]])-1)/(Backend!$B$4/100*Table1[[#This Row],[BW40_3705]]),"")</f>
        <v/>
      </c>
      <c r="I1622" s="7" t="str">
        <f>IF(Table1[[#This Row],[Is Data Valid]]=TRUE,((Table1[[#This Row],[Birthweight (grams)]]*1.1/Table1[[#This Row],[BW_GA]])-1)/(Backend!$B$4/100*Table1[[#This Row],[BW40_3705]]),"")</f>
        <v/>
      </c>
      <c r="J1622" s="7" t="str">
        <f>IF(Table1[[#This Row],[Is Data Valid]]=TRUE,_xlfn.NORM.S.DIST(Table1[[#This Row],[Birthweight Z-Score]],TRUE)*100,"")</f>
        <v/>
      </c>
      <c r="K1622" s="7" t="str">
        <f>IF(Table1[[#This Row],[Is Data Valid]]=TRUE,_xlfn.NORM.S.DIST(Table1[[#This Row],[Birthweight Z-Score (BW-10%)]],TRUE)*100,"")</f>
        <v/>
      </c>
      <c r="L1622" s="7" t="str">
        <f>IF(Table1[[#This Row],[Is Data Valid]]=TRUE,_xlfn.NORM.S.DIST(Table1[[#This Row],[Birthweight Z-Score (BW+10%)]],TRUE)*100,"")</f>
        <v/>
      </c>
    </row>
    <row r="1623" spans="1:12" x14ac:dyDescent="0.35">
      <c r="A1623" s="3"/>
      <c r="B1623" s="2"/>
      <c r="C1623" s="2"/>
      <c r="D1623" s="2" t="b">
        <f>IF(AND(NOT(ISBLANK(Table1[[#This Row],[Fetal Sex (Male, Female or Unknown)]])),ISNUMBER(Table1[[#This Row],[Birthweight (grams)]]),ISNUMBER(Table1[[#This Row],[Gestation (days)]])),TRUE,FALSE)</f>
        <v>0</v>
      </c>
      <c r="E1623" s="2" t="str">
        <f>IF(Table1[[#This Row],[Is Data Valid]]=TRUE,IF(Table1[[#This Row],[Fetal Sex (Male, Female or Unknown)]]="Male",Backend!$C$6,IF(Table1[[#This Row],[Fetal Sex (Male, Female or Unknown)]]="Female",Backend!$C$7,IF(Table1[[#This Row],[Fetal Sex (Male, Female or Unknown)]]="Unknown",Backend!$C$8,"Error"))),"")</f>
        <v/>
      </c>
      <c r="F1623" s="8" t="str">
        <f>IF(Table1[[#This Row],[Is Data Valid]]=TRUE,EXP(0.578+0.332*((Table1[[#This Row],[Gestation (days)]]+0.5)/7)-0.00354*((Table1[[#This Row],[Gestation (days)]]+0.5)/7)^2)*Table1[[#This Row],[BW40_3705]],"")</f>
        <v/>
      </c>
      <c r="G1623" s="2" t="str">
        <f>IF(Table1[[#This Row],[Is Data Valid]]=TRUE,((Table1[[#This Row],[Birthweight (grams)]]/Table1[[#This Row],[BW_GA]])-1)/(Backend!$B$4/100*Table1[[#This Row],[BW40_3705]]),"")</f>
        <v/>
      </c>
      <c r="H1623" s="7" t="str">
        <f>IF(Table1[[#This Row],[Is Data Valid]]=TRUE,((Table1[[#This Row],[Birthweight (grams)]]*0.9/Table1[[#This Row],[BW_GA]])-1)/(Backend!$B$4/100*Table1[[#This Row],[BW40_3705]]),"")</f>
        <v/>
      </c>
      <c r="I1623" s="7" t="str">
        <f>IF(Table1[[#This Row],[Is Data Valid]]=TRUE,((Table1[[#This Row],[Birthweight (grams)]]*1.1/Table1[[#This Row],[BW_GA]])-1)/(Backend!$B$4/100*Table1[[#This Row],[BW40_3705]]),"")</f>
        <v/>
      </c>
      <c r="J1623" s="7" t="str">
        <f>IF(Table1[[#This Row],[Is Data Valid]]=TRUE,_xlfn.NORM.S.DIST(Table1[[#This Row],[Birthweight Z-Score]],TRUE)*100,"")</f>
        <v/>
      </c>
      <c r="K1623" s="7" t="str">
        <f>IF(Table1[[#This Row],[Is Data Valid]]=TRUE,_xlfn.NORM.S.DIST(Table1[[#This Row],[Birthweight Z-Score (BW-10%)]],TRUE)*100,"")</f>
        <v/>
      </c>
      <c r="L1623" s="7" t="str">
        <f>IF(Table1[[#This Row],[Is Data Valid]]=TRUE,_xlfn.NORM.S.DIST(Table1[[#This Row],[Birthweight Z-Score (BW+10%)]],TRUE)*100,"")</f>
        <v/>
      </c>
    </row>
    <row r="1624" spans="1:12" x14ac:dyDescent="0.35">
      <c r="A1624" s="3"/>
      <c r="B1624" s="2"/>
      <c r="C1624" s="2"/>
      <c r="D1624" s="2" t="b">
        <f>IF(AND(NOT(ISBLANK(Table1[[#This Row],[Fetal Sex (Male, Female or Unknown)]])),ISNUMBER(Table1[[#This Row],[Birthweight (grams)]]),ISNUMBER(Table1[[#This Row],[Gestation (days)]])),TRUE,FALSE)</f>
        <v>0</v>
      </c>
      <c r="E1624" s="2" t="str">
        <f>IF(Table1[[#This Row],[Is Data Valid]]=TRUE,IF(Table1[[#This Row],[Fetal Sex (Male, Female or Unknown)]]="Male",Backend!$C$6,IF(Table1[[#This Row],[Fetal Sex (Male, Female or Unknown)]]="Female",Backend!$C$7,IF(Table1[[#This Row],[Fetal Sex (Male, Female or Unknown)]]="Unknown",Backend!$C$8,"Error"))),"")</f>
        <v/>
      </c>
      <c r="F1624" s="8" t="str">
        <f>IF(Table1[[#This Row],[Is Data Valid]]=TRUE,EXP(0.578+0.332*((Table1[[#This Row],[Gestation (days)]]+0.5)/7)-0.00354*((Table1[[#This Row],[Gestation (days)]]+0.5)/7)^2)*Table1[[#This Row],[BW40_3705]],"")</f>
        <v/>
      </c>
      <c r="G1624" s="2" t="str">
        <f>IF(Table1[[#This Row],[Is Data Valid]]=TRUE,((Table1[[#This Row],[Birthweight (grams)]]/Table1[[#This Row],[BW_GA]])-1)/(Backend!$B$4/100*Table1[[#This Row],[BW40_3705]]),"")</f>
        <v/>
      </c>
      <c r="H1624" s="7" t="str">
        <f>IF(Table1[[#This Row],[Is Data Valid]]=TRUE,((Table1[[#This Row],[Birthweight (grams)]]*0.9/Table1[[#This Row],[BW_GA]])-1)/(Backend!$B$4/100*Table1[[#This Row],[BW40_3705]]),"")</f>
        <v/>
      </c>
      <c r="I1624" s="7" t="str">
        <f>IF(Table1[[#This Row],[Is Data Valid]]=TRUE,((Table1[[#This Row],[Birthweight (grams)]]*1.1/Table1[[#This Row],[BW_GA]])-1)/(Backend!$B$4/100*Table1[[#This Row],[BW40_3705]]),"")</f>
        <v/>
      </c>
      <c r="J1624" s="7" t="str">
        <f>IF(Table1[[#This Row],[Is Data Valid]]=TRUE,_xlfn.NORM.S.DIST(Table1[[#This Row],[Birthweight Z-Score]],TRUE)*100,"")</f>
        <v/>
      </c>
      <c r="K1624" s="7" t="str">
        <f>IF(Table1[[#This Row],[Is Data Valid]]=TRUE,_xlfn.NORM.S.DIST(Table1[[#This Row],[Birthweight Z-Score (BW-10%)]],TRUE)*100,"")</f>
        <v/>
      </c>
      <c r="L1624" s="7" t="str">
        <f>IF(Table1[[#This Row],[Is Data Valid]]=TRUE,_xlfn.NORM.S.DIST(Table1[[#This Row],[Birthweight Z-Score (BW+10%)]],TRUE)*100,"")</f>
        <v/>
      </c>
    </row>
    <row r="1625" spans="1:12" x14ac:dyDescent="0.35">
      <c r="A1625" s="3"/>
      <c r="B1625" s="2"/>
      <c r="C1625" s="2"/>
      <c r="D1625" s="2" t="b">
        <f>IF(AND(NOT(ISBLANK(Table1[[#This Row],[Fetal Sex (Male, Female or Unknown)]])),ISNUMBER(Table1[[#This Row],[Birthweight (grams)]]),ISNUMBER(Table1[[#This Row],[Gestation (days)]])),TRUE,FALSE)</f>
        <v>0</v>
      </c>
      <c r="E1625" s="2" t="str">
        <f>IF(Table1[[#This Row],[Is Data Valid]]=TRUE,IF(Table1[[#This Row],[Fetal Sex (Male, Female or Unknown)]]="Male",Backend!$C$6,IF(Table1[[#This Row],[Fetal Sex (Male, Female or Unknown)]]="Female",Backend!$C$7,IF(Table1[[#This Row],[Fetal Sex (Male, Female or Unknown)]]="Unknown",Backend!$C$8,"Error"))),"")</f>
        <v/>
      </c>
      <c r="F1625" s="8" t="str">
        <f>IF(Table1[[#This Row],[Is Data Valid]]=TRUE,EXP(0.578+0.332*((Table1[[#This Row],[Gestation (days)]]+0.5)/7)-0.00354*((Table1[[#This Row],[Gestation (days)]]+0.5)/7)^2)*Table1[[#This Row],[BW40_3705]],"")</f>
        <v/>
      </c>
      <c r="G1625" s="2" t="str">
        <f>IF(Table1[[#This Row],[Is Data Valid]]=TRUE,((Table1[[#This Row],[Birthweight (grams)]]/Table1[[#This Row],[BW_GA]])-1)/(Backend!$B$4/100*Table1[[#This Row],[BW40_3705]]),"")</f>
        <v/>
      </c>
      <c r="H1625" s="7" t="str">
        <f>IF(Table1[[#This Row],[Is Data Valid]]=TRUE,((Table1[[#This Row],[Birthweight (grams)]]*0.9/Table1[[#This Row],[BW_GA]])-1)/(Backend!$B$4/100*Table1[[#This Row],[BW40_3705]]),"")</f>
        <v/>
      </c>
      <c r="I1625" s="7" t="str">
        <f>IF(Table1[[#This Row],[Is Data Valid]]=TRUE,((Table1[[#This Row],[Birthweight (grams)]]*1.1/Table1[[#This Row],[BW_GA]])-1)/(Backend!$B$4/100*Table1[[#This Row],[BW40_3705]]),"")</f>
        <v/>
      </c>
      <c r="J1625" s="7" t="str">
        <f>IF(Table1[[#This Row],[Is Data Valid]]=TRUE,_xlfn.NORM.S.DIST(Table1[[#This Row],[Birthweight Z-Score]],TRUE)*100,"")</f>
        <v/>
      </c>
      <c r="K1625" s="7" t="str">
        <f>IF(Table1[[#This Row],[Is Data Valid]]=TRUE,_xlfn.NORM.S.DIST(Table1[[#This Row],[Birthweight Z-Score (BW-10%)]],TRUE)*100,"")</f>
        <v/>
      </c>
      <c r="L1625" s="7" t="str">
        <f>IF(Table1[[#This Row],[Is Data Valid]]=TRUE,_xlfn.NORM.S.DIST(Table1[[#This Row],[Birthweight Z-Score (BW+10%)]],TRUE)*100,"")</f>
        <v/>
      </c>
    </row>
    <row r="1626" spans="1:12" x14ac:dyDescent="0.35">
      <c r="A1626" s="3"/>
      <c r="B1626" s="2"/>
      <c r="C1626" s="2"/>
      <c r="D1626" s="2" t="b">
        <f>IF(AND(NOT(ISBLANK(Table1[[#This Row],[Fetal Sex (Male, Female or Unknown)]])),ISNUMBER(Table1[[#This Row],[Birthweight (grams)]]),ISNUMBER(Table1[[#This Row],[Gestation (days)]])),TRUE,FALSE)</f>
        <v>0</v>
      </c>
      <c r="E1626" s="2" t="str">
        <f>IF(Table1[[#This Row],[Is Data Valid]]=TRUE,IF(Table1[[#This Row],[Fetal Sex (Male, Female or Unknown)]]="Male",Backend!$C$6,IF(Table1[[#This Row],[Fetal Sex (Male, Female or Unknown)]]="Female",Backend!$C$7,IF(Table1[[#This Row],[Fetal Sex (Male, Female or Unknown)]]="Unknown",Backend!$C$8,"Error"))),"")</f>
        <v/>
      </c>
      <c r="F1626" s="8" t="str">
        <f>IF(Table1[[#This Row],[Is Data Valid]]=TRUE,EXP(0.578+0.332*((Table1[[#This Row],[Gestation (days)]]+0.5)/7)-0.00354*((Table1[[#This Row],[Gestation (days)]]+0.5)/7)^2)*Table1[[#This Row],[BW40_3705]],"")</f>
        <v/>
      </c>
      <c r="G1626" s="2" t="str">
        <f>IF(Table1[[#This Row],[Is Data Valid]]=TRUE,((Table1[[#This Row],[Birthweight (grams)]]/Table1[[#This Row],[BW_GA]])-1)/(Backend!$B$4/100*Table1[[#This Row],[BW40_3705]]),"")</f>
        <v/>
      </c>
      <c r="H1626" s="7" t="str">
        <f>IF(Table1[[#This Row],[Is Data Valid]]=TRUE,((Table1[[#This Row],[Birthweight (grams)]]*0.9/Table1[[#This Row],[BW_GA]])-1)/(Backend!$B$4/100*Table1[[#This Row],[BW40_3705]]),"")</f>
        <v/>
      </c>
      <c r="I1626" s="7" t="str">
        <f>IF(Table1[[#This Row],[Is Data Valid]]=TRUE,((Table1[[#This Row],[Birthweight (grams)]]*1.1/Table1[[#This Row],[BW_GA]])-1)/(Backend!$B$4/100*Table1[[#This Row],[BW40_3705]]),"")</f>
        <v/>
      </c>
      <c r="J1626" s="7" t="str">
        <f>IF(Table1[[#This Row],[Is Data Valid]]=TRUE,_xlfn.NORM.S.DIST(Table1[[#This Row],[Birthweight Z-Score]],TRUE)*100,"")</f>
        <v/>
      </c>
      <c r="K1626" s="7" t="str">
        <f>IF(Table1[[#This Row],[Is Data Valid]]=TRUE,_xlfn.NORM.S.DIST(Table1[[#This Row],[Birthweight Z-Score (BW-10%)]],TRUE)*100,"")</f>
        <v/>
      </c>
      <c r="L1626" s="7" t="str">
        <f>IF(Table1[[#This Row],[Is Data Valid]]=TRUE,_xlfn.NORM.S.DIST(Table1[[#This Row],[Birthweight Z-Score (BW+10%)]],TRUE)*100,"")</f>
        <v/>
      </c>
    </row>
    <row r="1627" spans="1:12" x14ac:dyDescent="0.35">
      <c r="A1627" s="3"/>
      <c r="B1627" s="2"/>
      <c r="C1627" s="2"/>
      <c r="D1627" s="2" t="b">
        <f>IF(AND(NOT(ISBLANK(Table1[[#This Row],[Fetal Sex (Male, Female or Unknown)]])),ISNUMBER(Table1[[#This Row],[Birthweight (grams)]]),ISNUMBER(Table1[[#This Row],[Gestation (days)]])),TRUE,FALSE)</f>
        <v>0</v>
      </c>
      <c r="E1627" s="2" t="str">
        <f>IF(Table1[[#This Row],[Is Data Valid]]=TRUE,IF(Table1[[#This Row],[Fetal Sex (Male, Female or Unknown)]]="Male",Backend!$C$6,IF(Table1[[#This Row],[Fetal Sex (Male, Female or Unknown)]]="Female",Backend!$C$7,IF(Table1[[#This Row],[Fetal Sex (Male, Female or Unknown)]]="Unknown",Backend!$C$8,"Error"))),"")</f>
        <v/>
      </c>
      <c r="F1627" s="8" t="str">
        <f>IF(Table1[[#This Row],[Is Data Valid]]=TRUE,EXP(0.578+0.332*((Table1[[#This Row],[Gestation (days)]]+0.5)/7)-0.00354*((Table1[[#This Row],[Gestation (days)]]+0.5)/7)^2)*Table1[[#This Row],[BW40_3705]],"")</f>
        <v/>
      </c>
      <c r="G1627" s="2" t="str">
        <f>IF(Table1[[#This Row],[Is Data Valid]]=TRUE,((Table1[[#This Row],[Birthweight (grams)]]/Table1[[#This Row],[BW_GA]])-1)/(Backend!$B$4/100*Table1[[#This Row],[BW40_3705]]),"")</f>
        <v/>
      </c>
      <c r="H1627" s="7" t="str">
        <f>IF(Table1[[#This Row],[Is Data Valid]]=TRUE,((Table1[[#This Row],[Birthweight (grams)]]*0.9/Table1[[#This Row],[BW_GA]])-1)/(Backend!$B$4/100*Table1[[#This Row],[BW40_3705]]),"")</f>
        <v/>
      </c>
      <c r="I1627" s="7" t="str">
        <f>IF(Table1[[#This Row],[Is Data Valid]]=TRUE,((Table1[[#This Row],[Birthweight (grams)]]*1.1/Table1[[#This Row],[BW_GA]])-1)/(Backend!$B$4/100*Table1[[#This Row],[BW40_3705]]),"")</f>
        <v/>
      </c>
      <c r="J1627" s="7" t="str">
        <f>IF(Table1[[#This Row],[Is Data Valid]]=TRUE,_xlfn.NORM.S.DIST(Table1[[#This Row],[Birthweight Z-Score]],TRUE)*100,"")</f>
        <v/>
      </c>
      <c r="K1627" s="7" t="str">
        <f>IF(Table1[[#This Row],[Is Data Valid]]=TRUE,_xlfn.NORM.S.DIST(Table1[[#This Row],[Birthweight Z-Score (BW-10%)]],TRUE)*100,"")</f>
        <v/>
      </c>
      <c r="L1627" s="7" t="str">
        <f>IF(Table1[[#This Row],[Is Data Valid]]=TRUE,_xlfn.NORM.S.DIST(Table1[[#This Row],[Birthweight Z-Score (BW+10%)]],TRUE)*100,"")</f>
        <v/>
      </c>
    </row>
    <row r="1628" spans="1:12" x14ac:dyDescent="0.35">
      <c r="A1628" s="3"/>
      <c r="B1628" s="2"/>
      <c r="C1628" s="2"/>
      <c r="D1628" s="2" t="b">
        <f>IF(AND(NOT(ISBLANK(Table1[[#This Row],[Fetal Sex (Male, Female or Unknown)]])),ISNUMBER(Table1[[#This Row],[Birthweight (grams)]]),ISNUMBER(Table1[[#This Row],[Gestation (days)]])),TRUE,FALSE)</f>
        <v>0</v>
      </c>
      <c r="E1628" s="2" t="str">
        <f>IF(Table1[[#This Row],[Is Data Valid]]=TRUE,IF(Table1[[#This Row],[Fetal Sex (Male, Female or Unknown)]]="Male",Backend!$C$6,IF(Table1[[#This Row],[Fetal Sex (Male, Female or Unknown)]]="Female",Backend!$C$7,IF(Table1[[#This Row],[Fetal Sex (Male, Female or Unknown)]]="Unknown",Backend!$C$8,"Error"))),"")</f>
        <v/>
      </c>
      <c r="F1628" s="8" t="str">
        <f>IF(Table1[[#This Row],[Is Data Valid]]=TRUE,EXP(0.578+0.332*((Table1[[#This Row],[Gestation (days)]]+0.5)/7)-0.00354*((Table1[[#This Row],[Gestation (days)]]+0.5)/7)^2)*Table1[[#This Row],[BW40_3705]],"")</f>
        <v/>
      </c>
      <c r="G1628" s="2" t="str">
        <f>IF(Table1[[#This Row],[Is Data Valid]]=TRUE,((Table1[[#This Row],[Birthweight (grams)]]/Table1[[#This Row],[BW_GA]])-1)/(Backend!$B$4/100*Table1[[#This Row],[BW40_3705]]),"")</f>
        <v/>
      </c>
      <c r="H1628" s="7" t="str">
        <f>IF(Table1[[#This Row],[Is Data Valid]]=TRUE,((Table1[[#This Row],[Birthweight (grams)]]*0.9/Table1[[#This Row],[BW_GA]])-1)/(Backend!$B$4/100*Table1[[#This Row],[BW40_3705]]),"")</f>
        <v/>
      </c>
      <c r="I1628" s="7" t="str">
        <f>IF(Table1[[#This Row],[Is Data Valid]]=TRUE,((Table1[[#This Row],[Birthweight (grams)]]*1.1/Table1[[#This Row],[BW_GA]])-1)/(Backend!$B$4/100*Table1[[#This Row],[BW40_3705]]),"")</f>
        <v/>
      </c>
      <c r="J1628" s="7" t="str">
        <f>IF(Table1[[#This Row],[Is Data Valid]]=TRUE,_xlfn.NORM.S.DIST(Table1[[#This Row],[Birthweight Z-Score]],TRUE)*100,"")</f>
        <v/>
      </c>
      <c r="K1628" s="7" t="str">
        <f>IF(Table1[[#This Row],[Is Data Valid]]=TRUE,_xlfn.NORM.S.DIST(Table1[[#This Row],[Birthweight Z-Score (BW-10%)]],TRUE)*100,"")</f>
        <v/>
      </c>
      <c r="L1628" s="7" t="str">
        <f>IF(Table1[[#This Row],[Is Data Valid]]=TRUE,_xlfn.NORM.S.DIST(Table1[[#This Row],[Birthweight Z-Score (BW+10%)]],TRUE)*100,"")</f>
        <v/>
      </c>
    </row>
    <row r="1629" spans="1:12" x14ac:dyDescent="0.35">
      <c r="A1629" s="3"/>
      <c r="B1629" s="2"/>
      <c r="C1629" s="2"/>
      <c r="D1629" s="2" t="b">
        <f>IF(AND(NOT(ISBLANK(Table1[[#This Row],[Fetal Sex (Male, Female or Unknown)]])),ISNUMBER(Table1[[#This Row],[Birthweight (grams)]]),ISNUMBER(Table1[[#This Row],[Gestation (days)]])),TRUE,FALSE)</f>
        <v>0</v>
      </c>
      <c r="E1629" s="2" t="str">
        <f>IF(Table1[[#This Row],[Is Data Valid]]=TRUE,IF(Table1[[#This Row],[Fetal Sex (Male, Female or Unknown)]]="Male",Backend!$C$6,IF(Table1[[#This Row],[Fetal Sex (Male, Female or Unknown)]]="Female",Backend!$C$7,IF(Table1[[#This Row],[Fetal Sex (Male, Female or Unknown)]]="Unknown",Backend!$C$8,"Error"))),"")</f>
        <v/>
      </c>
      <c r="F1629" s="8" t="str">
        <f>IF(Table1[[#This Row],[Is Data Valid]]=TRUE,EXP(0.578+0.332*((Table1[[#This Row],[Gestation (days)]]+0.5)/7)-0.00354*((Table1[[#This Row],[Gestation (days)]]+0.5)/7)^2)*Table1[[#This Row],[BW40_3705]],"")</f>
        <v/>
      </c>
      <c r="G1629" s="2" t="str">
        <f>IF(Table1[[#This Row],[Is Data Valid]]=TRUE,((Table1[[#This Row],[Birthweight (grams)]]/Table1[[#This Row],[BW_GA]])-1)/(Backend!$B$4/100*Table1[[#This Row],[BW40_3705]]),"")</f>
        <v/>
      </c>
      <c r="H1629" s="7" t="str">
        <f>IF(Table1[[#This Row],[Is Data Valid]]=TRUE,((Table1[[#This Row],[Birthweight (grams)]]*0.9/Table1[[#This Row],[BW_GA]])-1)/(Backend!$B$4/100*Table1[[#This Row],[BW40_3705]]),"")</f>
        <v/>
      </c>
      <c r="I1629" s="7" t="str">
        <f>IF(Table1[[#This Row],[Is Data Valid]]=TRUE,((Table1[[#This Row],[Birthweight (grams)]]*1.1/Table1[[#This Row],[BW_GA]])-1)/(Backend!$B$4/100*Table1[[#This Row],[BW40_3705]]),"")</f>
        <v/>
      </c>
      <c r="J1629" s="7" t="str">
        <f>IF(Table1[[#This Row],[Is Data Valid]]=TRUE,_xlfn.NORM.S.DIST(Table1[[#This Row],[Birthweight Z-Score]],TRUE)*100,"")</f>
        <v/>
      </c>
      <c r="K1629" s="7" t="str">
        <f>IF(Table1[[#This Row],[Is Data Valid]]=TRUE,_xlfn.NORM.S.DIST(Table1[[#This Row],[Birthweight Z-Score (BW-10%)]],TRUE)*100,"")</f>
        <v/>
      </c>
      <c r="L1629" s="7" t="str">
        <f>IF(Table1[[#This Row],[Is Data Valid]]=TRUE,_xlfn.NORM.S.DIST(Table1[[#This Row],[Birthweight Z-Score (BW+10%)]],TRUE)*100,"")</f>
        <v/>
      </c>
    </row>
    <row r="1630" spans="1:12" x14ac:dyDescent="0.35">
      <c r="A1630" s="3"/>
      <c r="B1630" s="2"/>
      <c r="C1630" s="2"/>
      <c r="D1630" s="2" t="b">
        <f>IF(AND(NOT(ISBLANK(Table1[[#This Row],[Fetal Sex (Male, Female or Unknown)]])),ISNUMBER(Table1[[#This Row],[Birthweight (grams)]]),ISNUMBER(Table1[[#This Row],[Gestation (days)]])),TRUE,FALSE)</f>
        <v>0</v>
      </c>
      <c r="E1630" s="2" t="str">
        <f>IF(Table1[[#This Row],[Is Data Valid]]=TRUE,IF(Table1[[#This Row],[Fetal Sex (Male, Female or Unknown)]]="Male",Backend!$C$6,IF(Table1[[#This Row],[Fetal Sex (Male, Female or Unknown)]]="Female",Backend!$C$7,IF(Table1[[#This Row],[Fetal Sex (Male, Female or Unknown)]]="Unknown",Backend!$C$8,"Error"))),"")</f>
        <v/>
      </c>
      <c r="F1630" s="8" t="str">
        <f>IF(Table1[[#This Row],[Is Data Valid]]=TRUE,EXP(0.578+0.332*((Table1[[#This Row],[Gestation (days)]]+0.5)/7)-0.00354*((Table1[[#This Row],[Gestation (days)]]+0.5)/7)^2)*Table1[[#This Row],[BW40_3705]],"")</f>
        <v/>
      </c>
      <c r="G1630" s="2" t="str">
        <f>IF(Table1[[#This Row],[Is Data Valid]]=TRUE,((Table1[[#This Row],[Birthweight (grams)]]/Table1[[#This Row],[BW_GA]])-1)/(Backend!$B$4/100*Table1[[#This Row],[BW40_3705]]),"")</f>
        <v/>
      </c>
      <c r="H1630" s="7" t="str">
        <f>IF(Table1[[#This Row],[Is Data Valid]]=TRUE,((Table1[[#This Row],[Birthweight (grams)]]*0.9/Table1[[#This Row],[BW_GA]])-1)/(Backend!$B$4/100*Table1[[#This Row],[BW40_3705]]),"")</f>
        <v/>
      </c>
      <c r="I1630" s="7" t="str">
        <f>IF(Table1[[#This Row],[Is Data Valid]]=TRUE,((Table1[[#This Row],[Birthweight (grams)]]*1.1/Table1[[#This Row],[BW_GA]])-1)/(Backend!$B$4/100*Table1[[#This Row],[BW40_3705]]),"")</f>
        <v/>
      </c>
      <c r="J1630" s="7" t="str">
        <f>IF(Table1[[#This Row],[Is Data Valid]]=TRUE,_xlfn.NORM.S.DIST(Table1[[#This Row],[Birthweight Z-Score]],TRUE)*100,"")</f>
        <v/>
      </c>
      <c r="K1630" s="7" t="str">
        <f>IF(Table1[[#This Row],[Is Data Valid]]=TRUE,_xlfn.NORM.S.DIST(Table1[[#This Row],[Birthweight Z-Score (BW-10%)]],TRUE)*100,"")</f>
        <v/>
      </c>
      <c r="L1630" s="7" t="str">
        <f>IF(Table1[[#This Row],[Is Data Valid]]=TRUE,_xlfn.NORM.S.DIST(Table1[[#This Row],[Birthweight Z-Score (BW+10%)]],TRUE)*100,"")</f>
        <v/>
      </c>
    </row>
    <row r="1631" spans="1:12" x14ac:dyDescent="0.35">
      <c r="A1631" s="3"/>
      <c r="B1631" s="2"/>
      <c r="C1631" s="2"/>
      <c r="D1631" s="2" t="b">
        <f>IF(AND(NOT(ISBLANK(Table1[[#This Row],[Fetal Sex (Male, Female or Unknown)]])),ISNUMBER(Table1[[#This Row],[Birthweight (grams)]]),ISNUMBER(Table1[[#This Row],[Gestation (days)]])),TRUE,FALSE)</f>
        <v>0</v>
      </c>
      <c r="E1631" s="2" t="str">
        <f>IF(Table1[[#This Row],[Is Data Valid]]=TRUE,IF(Table1[[#This Row],[Fetal Sex (Male, Female or Unknown)]]="Male",Backend!$C$6,IF(Table1[[#This Row],[Fetal Sex (Male, Female or Unknown)]]="Female",Backend!$C$7,IF(Table1[[#This Row],[Fetal Sex (Male, Female or Unknown)]]="Unknown",Backend!$C$8,"Error"))),"")</f>
        <v/>
      </c>
      <c r="F1631" s="8" t="str">
        <f>IF(Table1[[#This Row],[Is Data Valid]]=TRUE,EXP(0.578+0.332*((Table1[[#This Row],[Gestation (days)]]+0.5)/7)-0.00354*((Table1[[#This Row],[Gestation (days)]]+0.5)/7)^2)*Table1[[#This Row],[BW40_3705]],"")</f>
        <v/>
      </c>
      <c r="G1631" s="2" t="str">
        <f>IF(Table1[[#This Row],[Is Data Valid]]=TRUE,((Table1[[#This Row],[Birthweight (grams)]]/Table1[[#This Row],[BW_GA]])-1)/(Backend!$B$4/100*Table1[[#This Row],[BW40_3705]]),"")</f>
        <v/>
      </c>
      <c r="H1631" s="7" t="str">
        <f>IF(Table1[[#This Row],[Is Data Valid]]=TRUE,((Table1[[#This Row],[Birthweight (grams)]]*0.9/Table1[[#This Row],[BW_GA]])-1)/(Backend!$B$4/100*Table1[[#This Row],[BW40_3705]]),"")</f>
        <v/>
      </c>
      <c r="I1631" s="7" t="str">
        <f>IF(Table1[[#This Row],[Is Data Valid]]=TRUE,((Table1[[#This Row],[Birthweight (grams)]]*1.1/Table1[[#This Row],[BW_GA]])-1)/(Backend!$B$4/100*Table1[[#This Row],[BW40_3705]]),"")</f>
        <v/>
      </c>
      <c r="J1631" s="7" t="str">
        <f>IF(Table1[[#This Row],[Is Data Valid]]=TRUE,_xlfn.NORM.S.DIST(Table1[[#This Row],[Birthweight Z-Score]],TRUE)*100,"")</f>
        <v/>
      </c>
      <c r="K1631" s="7" t="str">
        <f>IF(Table1[[#This Row],[Is Data Valid]]=TRUE,_xlfn.NORM.S.DIST(Table1[[#This Row],[Birthweight Z-Score (BW-10%)]],TRUE)*100,"")</f>
        <v/>
      </c>
      <c r="L1631" s="7" t="str">
        <f>IF(Table1[[#This Row],[Is Data Valid]]=TRUE,_xlfn.NORM.S.DIST(Table1[[#This Row],[Birthweight Z-Score (BW+10%)]],TRUE)*100,"")</f>
        <v/>
      </c>
    </row>
    <row r="1632" spans="1:12" x14ac:dyDescent="0.35">
      <c r="A1632" s="3"/>
      <c r="B1632" s="2"/>
      <c r="C1632" s="2"/>
      <c r="D1632" s="2" t="b">
        <f>IF(AND(NOT(ISBLANK(Table1[[#This Row],[Fetal Sex (Male, Female or Unknown)]])),ISNUMBER(Table1[[#This Row],[Birthweight (grams)]]),ISNUMBER(Table1[[#This Row],[Gestation (days)]])),TRUE,FALSE)</f>
        <v>0</v>
      </c>
      <c r="E1632" s="2" t="str">
        <f>IF(Table1[[#This Row],[Is Data Valid]]=TRUE,IF(Table1[[#This Row],[Fetal Sex (Male, Female or Unknown)]]="Male",Backend!$C$6,IF(Table1[[#This Row],[Fetal Sex (Male, Female or Unknown)]]="Female",Backend!$C$7,IF(Table1[[#This Row],[Fetal Sex (Male, Female or Unknown)]]="Unknown",Backend!$C$8,"Error"))),"")</f>
        <v/>
      </c>
      <c r="F1632" s="8" t="str">
        <f>IF(Table1[[#This Row],[Is Data Valid]]=TRUE,EXP(0.578+0.332*((Table1[[#This Row],[Gestation (days)]]+0.5)/7)-0.00354*((Table1[[#This Row],[Gestation (days)]]+0.5)/7)^2)*Table1[[#This Row],[BW40_3705]],"")</f>
        <v/>
      </c>
      <c r="G1632" s="2" t="str">
        <f>IF(Table1[[#This Row],[Is Data Valid]]=TRUE,((Table1[[#This Row],[Birthweight (grams)]]/Table1[[#This Row],[BW_GA]])-1)/(Backend!$B$4/100*Table1[[#This Row],[BW40_3705]]),"")</f>
        <v/>
      </c>
      <c r="H1632" s="7" t="str">
        <f>IF(Table1[[#This Row],[Is Data Valid]]=TRUE,((Table1[[#This Row],[Birthweight (grams)]]*0.9/Table1[[#This Row],[BW_GA]])-1)/(Backend!$B$4/100*Table1[[#This Row],[BW40_3705]]),"")</f>
        <v/>
      </c>
      <c r="I1632" s="7" t="str">
        <f>IF(Table1[[#This Row],[Is Data Valid]]=TRUE,((Table1[[#This Row],[Birthweight (grams)]]*1.1/Table1[[#This Row],[BW_GA]])-1)/(Backend!$B$4/100*Table1[[#This Row],[BW40_3705]]),"")</f>
        <v/>
      </c>
      <c r="J1632" s="7" t="str">
        <f>IF(Table1[[#This Row],[Is Data Valid]]=TRUE,_xlfn.NORM.S.DIST(Table1[[#This Row],[Birthweight Z-Score]],TRUE)*100,"")</f>
        <v/>
      </c>
      <c r="K1632" s="7" t="str">
        <f>IF(Table1[[#This Row],[Is Data Valid]]=TRUE,_xlfn.NORM.S.DIST(Table1[[#This Row],[Birthweight Z-Score (BW-10%)]],TRUE)*100,"")</f>
        <v/>
      </c>
      <c r="L1632" s="7" t="str">
        <f>IF(Table1[[#This Row],[Is Data Valid]]=TRUE,_xlfn.NORM.S.DIST(Table1[[#This Row],[Birthweight Z-Score (BW+10%)]],TRUE)*100,"")</f>
        <v/>
      </c>
    </row>
    <row r="1633" spans="1:12" x14ac:dyDescent="0.35">
      <c r="A1633" s="3"/>
      <c r="B1633" s="2"/>
      <c r="C1633" s="2"/>
      <c r="D1633" s="2" t="b">
        <f>IF(AND(NOT(ISBLANK(Table1[[#This Row],[Fetal Sex (Male, Female or Unknown)]])),ISNUMBER(Table1[[#This Row],[Birthweight (grams)]]),ISNUMBER(Table1[[#This Row],[Gestation (days)]])),TRUE,FALSE)</f>
        <v>0</v>
      </c>
      <c r="E1633" s="2" t="str">
        <f>IF(Table1[[#This Row],[Is Data Valid]]=TRUE,IF(Table1[[#This Row],[Fetal Sex (Male, Female or Unknown)]]="Male",Backend!$C$6,IF(Table1[[#This Row],[Fetal Sex (Male, Female or Unknown)]]="Female",Backend!$C$7,IF(Table1[[#This Row],[Fetal Sex (Male, Female or Unknown)]]="Unknown",Backend!$C$8,"Error"))),"")</f>
        <v/>
      </c>
      <c r="F1633" s="8" t="str">
        <f>IF(Table1[[#This Row],[Is Data Valid]]=TRUE,EXP(0.578+0.332*((Table1[[#This Row],[Gestation (days)]]+0.5)/7)-0.00354*((Table1[[#This Row],[Gestation (days)]]+0.5)/7)^2)*Table1[[#This Row],[BW40_3705]],"")</f>
        <v/>
      </c>
      <c r="G1633" s="2" t="str">
        <f>IF(Table1[[#This Row],[Is Data Valid]]=TRUE,((Table1[[#This Row],[Birthweight (grams)]]/Table1[[#This Row],[BW_GA]])-1)/(Backend!$B$4/100*Table1[[#This Row],[BW40_3705]]),"")</f>
        <v/>
      </c>
      <c r="H1633" s="7" t="str">
        <f>IF(Table1[[#This Row],[Is Data Valid]]=TRUE,((Table1[[#This Row],[Birthweight (grams)]]*0.9/Table1[[#This Row],[BW_GA]])-1)/(Backend!$B$4/100*Table1[[#This Row],[BW40_3705]]),"")</f>
        <v/>
      </c>
      <c r="I1633" s="7" t="str">
        <f>IF(Table1[[#This Row],[Is Data Valid]]=TRUE,((Table1[[#This Row],[Birthweight (grams)]]*1.1/Table1[[#This Row],[BW_GA]])-1)/(Backend!$B$4/100*Table1[[#This Row],[BW40_3705]]),"")</f>
        <v/>
      </c>
      <c r="J1633" s="7" t="str">
        <f>IF(Table1[[#This Row],[Is Data Valid]]=TRUE,_xlfn.NORM.S.DIST(Table1[[#This Row],[Birthweight Z-Score]],TRUE)*100,"")</f>
        <v/>
      </c>
      <c r="K1633" s="7" t="str">
        <f>IF(Table1[[#This Row],[Is Data Valid]]=TRUE,_xlfn.NORM.S.DIST(Table1[[#This Row],[Birthweight Z-Score (BW-10%)]],TRUE)*100,"")</f>
        <v/>
      </c>
      <c r="L1633" s="7" t="str">
        <f>IF(Table1[[#This Row],[Is Data Valid]]=TRUE,_xlfn.NORM.S.DIST(Table1[[#This Row],[Birthweight Z-Score (BW+10%)]],TRUE)*100,"")</f>
        <v/>
      </c>
    </row>
    <row r="1634" spans="1:12" x14ac:dyDescent="0.35">
      <c r="A1634" s="3"/>
      <c r="B1634" s="2"/>
      <c r="C1634" s="2"/>
      <c r="D1634" s="2" t="b">
        <f>IF(AND(NOT(ISBLANK(Table1[[#This Row],[Fetal Sex (Male, Female or Unknown)]])),ISNUMBER(Table1[[#This Row],[Birthweight (grams)]]),ISNUMBER(Table1[[#This Row],[Gestation (days)]])),TRUE,FALSE)</f>
        <v>0</v>
      </c>
      <c r="E1634" s="2" t="str">
        <f>IF(Table1[[#This Row],[Is Data Valid]]=TRUE,IF(Table1[[#This Row],[Fetal Sex (Male, Female or Unknown)]]="Male",Backend!$C$6,IF(Table1[[#This Row],[Fetal Sex (Male, Female or Unknown)]]="Female",Backend!$C$7,IF(Table1[[#This Row],[Fetal Sex (Male, Female or Unknown)]]="Unknown",Backend!$C$8,"Error"))),"")</f>
        <v/>
      </c>
      <c r="F1634" s="8" t="str">
        <f>IF(Table1[[#This Row],[Is Data Valid]]=TRUE,EXP(0.578+0.332*((Table1[[#This Row],[Gestation (days)]]+0.5)/7)-0.00354*((Table1[[#This Row],[Gestation (days)]]+0.5)/7)^2)*Table1[[#This Row],[BW40_3705]],"")</f>
        <v/>
      </c>
      <c r="G1634" s="2" t="str">
        <f>IF(Table1[[#This Row],[Is Data Valid]]=TRUE,((Table1[[#This Row],[Birthweight (grams)]]/Table1[[#This Row],[BW_GA]])-1)/(Backend!$B$4/100*Table1[[#This Row],[BW40_3705]]),"")</f>
        <v/>
      </c>
      <c r="H1634" s="7" t="str">
        <f>IF(Table1[[#This Row],[Is Data Valid]]=TRUE,((Table1[[#This Row],[Birthweight (grams)]]*0.9/Table1[[#This Row],[BW_GA]])-1)/(Backend!$B$4/100*Table1[[#This Row],[BW40_3705]]),"")</f>
        <v/>
      </c>
      <c r="I1634" s="7" t="str">
        <f>IF(Table1[[#This Row],[Is Data Valid]]=TRUE,((Table1[[#This Row],[Birthweight (grams)]]*1.1/Table1[[#This Row],[BW_GA]])-1)/(Backend!$B$4/100*Table1[[#This Row],[BW40_3705]]),"")</f>
        <v/>
      </c>
      <c r="J1634" s="7" t="str">
        <f>IF(Table1[[#This Row],[Is Data Valid]]=TRUE,_xlfn.NORM.S.DIST(Table1[[#This Row],[Birthweight Z-Score]],TRUE)*100,"")</f>
        <v/>
      </c>
      <c r="K1634" s="7" t="str">
        <f>IF(Table1[[#This Row],[Is Data Valid]]=TRUE,_xlfn.NORM.S.DIST(Table1[[#This Row],[Birthweight Z-Score (BW-10%)]],TRUE)*100,"")</f>
        <v/>
      </c>
      <c r="L1634" s="7" t="str">
        <f>IF(Table1[[#This Row],[Is Data Valid]]=TRUE,_xlfn.NORM.S.DIST(Table1[[#This Row],[Birthweight Z-Score (BW+10%)]],TRUE)*100,"")</f>
        <v/>
      </c>
    </row>
    <row r="1635" spans="1:12" x14ac:dyDescent="0.35">
      <c r="A1635" s="3"/>
      <c r="B1635" s="2"/>
      <c r="C1635" s="2"/>
      <c r="D1635" s="2" t="b">
        <f>IF(AND(NOT(ISBLANK(Table1[[#This Row],[Fetal Sex (Male, Female or Unknown)]])),ISNUMBER(Table1[[#This Row],[Birthweight (grams)]]),ISNUMBER(Table1[[#This Row],[Gestation (days)]])),TRUE,FALSE)</f>
        <v>0</v>
      </c>
      <c r="E1635" s="2" t="str">
        <f>IF(Table1[[#This Row],[Is Data Valid]]=TRUE,IF(Table1[[#This Row],[Fetal Sex (Male, Female or Unknown)]]="Male",Backend!$C$6,IF(Table1[[#This Row],[Fetal Sex (Male, Female or Unknown)]]="Female",Backend!$C$7,IF(Table1[[#This Row],[Fetal Sex (Male, Female or Unknown)]]="Unknown",Backend!$C$8,"Error"))),"")</f>
        <v/>
      </c>
      <c r="F1635" s="8" t="str">
        <f>IF(Table1[[#This Row],[Is Data Valid]]=TRUE,EXP(0.578+0.332*((Table1[[#This Row],[Gestation (days)]]+0.5)/7)-0.00354*((Table1[[#This Row],[Gestation (days)]]+0.5)/7)^2)*Table1[[#This Row],[BW40_3705]],"")</f>
        <v/>
      </c>
      <c r="G1635" s="2" t="str">
        <f>IF(Table1[[#This Row],[Is Data Valid]]=TRUE,((Table1[[#This Row],[Birthweight (grams)]]/Table1[[#This Row],[BW_GA]])-1)/(Backend!$B$4/100*Table1[[#This Row],[BW40_3705]]),"")</f>
        <v/>
      </c>
      <c r="H1635" s="7" t="str">
        <f>IF(Table1[[#This Row],[Is Data Valid]]=TRUE,((Table1[[#This Row],[Birthweight (grams)]]*0.9/Table1[[#This Row],[BW_GA]])-1)/(Backend!$B$4/100*Table1[[#This Row],[BW40_3705]]),"")</f>
        <v/>
      </c>
      <c r="I1635" s="7" t="str">
        <f>IF(Table1[[#This Row],[Is Data Valid]]=TRUE,((Table1[[#This Row],[Birthweight (grams)]]*1.1/Table1[[#This Row],[BW_GA]])-1)/(Backend!$B$4/100*Table1[[#This Row],[BW40_3705]]),"")</f>
        <v/>
      </c>
      <c r="J1635" s="7" t="str">
        <f>IF(Table1[[#This Row],[Is Data Valid]]=TRUE,_xlfn.NORM.S.DIST(Table1[[#This Row],[Birthweight Z-Score]],TRUE)*100,"")</f>
        <v/>
      </c>
      <c r="K1635" s="7" t="str">
        <f>IF(Table1[[#This Row],[Is Data Valid]]=TRUE,_xlfn.NORM.S.DIST(Table1[[#This Row],[Birthweight Z-Score (BW-10%)]],TRUE)*100,"")</f>
        <v/>
      </c>
      <c r="L1635" s="7" t="str">
        <f>IF(Table1[[#This Row],[Is Data Valid]]=TRUE,_xlfn.NORM.S.DIST(Table1[[#This Row],[Birthweight Z-Score (BW+10%)]],TRUE)*100,"")</f>
        <v/>
      </c>
    </row>
    <row r="1636" spans="1:12" x14ac:dyDescent="0.35">
      <c r="A1636" s="3"/>
      <c r="B1636" s="2"/>
      <c r="C1636" s="2"/>
      <c r="D1636" s="2" t="b">
        <f>IF(AND(NOT(ISBLANK(Table1[[#This Row],[Fetal Sex (Male, Female or Unknown)]])),ISNUMBER(Table1[[#This Row],[Birthweight (grams)]]),ISNUMBER(Table1[[#This Row],[Gestation (days)]])),TRUE,FALSE)</f>
        <v>0</v>
      </c>
      <c r="E1636" s="2" t="str">
        <f>IF(Table1[[#This Row],[Is Data Valid]]=TRUE,IF(Table1[[#This Row],[Fetal Sex (Male, Female or Unknown)]]="Male",Backend!$C$6,IF(Table1[[#This Row],[Fetal Sex (Male, Female or Unknown)]]="Female",Backend!$C$7,IF(Table1[[#This Row],[Fetal Sex (Male, Female or Unknown)]]="Unknown",Backend!$C$8,"Error"))),"")</f>
        <v/>
      </c>
      <c r="F1636" s="8" t="str">
        <f>IF(Table1[[#This Row],[Is Data Valid]]=TRUE,EXP(0.578+0.332*((Table1[[#This Row],[Gestation (days)]]+0.5)/7)-0.00354*((Table1[[#This Row],[Gestation (days)]]+0.5)/7)^2)*Table1[[#This Row],[BW40_3705]],"")</f>
        <v/>
      </c>
      <c r="G1636" s="2" t="str">
        <f>IF(Table1[[#This Row],[Is Data Valid]]=TRUE,((Table1[[#This Row],[Birthweight (grams)]]/Table1[[#This Row],[BW_GA]])-1)/(Backend!$B$4/100*Table1[[#This Row],[BW40_3705]]),"")</f>
        <v/>
      </c>
      <c r="H1636" s="7" t="str">
        <f>IF(Table1[[#This Row],[Is Data Valid]]=TRUE,((Table1[[#This Row],[Birthweight (grams)]]*0.9/Table1[[#This Row],[BW_GA]])-1)/(Backend!$B$4/100*Table1[[#This Row],[BW40_3705]]),"")</f>
        <v/>
      </c>
      <c r="I1636" s="7" t="str">
        <f>IF(Table1[[#This Row],[Is Data Valid]]=TRUE,((Table1[[#This Row],[Birthweight (grams)]]*1.1/Table1[[#This Row],[BW_GA]])-1)/(Backend!$B$4/100*Table1[[#This Row],[BW40_3705]]),"")</f>
        <v/>
      </c>
      <c r="J1636" s="7" t="str">
        <f>IF(Table1[[#This Row],[Is Data Valid]]=TRUE,_xlfn.NORM.S.DIST(Table1[[#This Row],[Birthweight Z-Score]],TRUE)*100,"")</f>
        <v/>
      </c>
      <c r="K1636" s="7" t="str">
        <f>IF(Table1[[#This Row],[Is Data Valid]]=TRUE,_xlfn.NORM.S.DIST(Table1[[#This Row],[Birthweight Z-Score (BW-10%)]],TRUE)*100,"")</f>
        <v/>
      </c>
      <c r="L1636" s="7" t="str">
        <f>IF(Table1[[#This Row],[Is Data Valid]]=TRUE,_xlfn.NORM.S.DIST(Table1[[#This Row],[Birthweight Z-Score (BW+10%)]],TRUE)*100,"")</f>
        <v/>
      </c>
    </row>
    <row r="1637" spans="1:12" x14ac:dyDescent="0.35">
      <c r="A1637" s="3"/>
      <c r="B1637" s="2"/>
      <c r="C1637" s="2"/>
      <c r="D1637" s="2" t="b">
        <f>IF(AND(NOT(ISBLANK(Table1[[#This Row],[Fetal Sex (Male, Female or Unknown)]])),ISNUMBER(Table1[[#This Row],[Birthweight (grams)]]),ISNUMBER(Table1[[#This Row],[Gestation (days)]])),TRUE,FALSE)</f>
        <v>0</v>
      </c>
      <c r="E1637" s="2" t="str">
        <f>IF(Table1[[#This Row],[Is Data Valid]]=TRUE,IF(Table1[[#This Row],[Fetal Sex (Male, Female or Unknown)]]="Male",Backend!$C$6,IF(Table1[[#This Row],[Fetal Sex (Male, Female or Unknown)]]="Female",Backend!$C$7,IF(Table1[[#This Row],[Fetal Sex (Male, Female or Unknown)]]="Unknown",Backend!$C$8,"Error"))),"")</f>
        <v/>
      </c>
      <c r="F1637" s="8" t="str">
        <f>IF(Table1[[#This Row],[Is Data Valid]]=TRUE,EXP(0.578+0.332*((Table1[[#This Row],[Gestation (days)]]+0.5)/7)-0.00354*((Table1[[#This Row],[Gestation (days)]]+0.5)/7)^2)*Table1[[#This Row],[BW40_3705]],"")</f>
        <v/>
      </c>
      <c r="G1637" s="2" t="str">
        <f>IF(Table1[[#This Row],[Is Data Valid]]=TRUE,((Table1[[#This Row],[Birthweight (grams)]]/Table1[[#This Row],[BW_GA]])-1)/(Backend!$B$4/100*Table1[[#This Row],[BW40_3705]]),"")</f>
        <v/>
      </c>
      <c r="H1637" s="7" t="str">
        <f>IF(Table1[[#This Row],[Is Data Valid]]=TRUE,((Table1[[#This Row],[Birthweight (grams)]]*0.9/Table1[[#This Row],[BW_GA]])-1)/(Backend!$B$4/100*Table1[[#This Row],[BW40_3705]]),"")</f>
        <v/>
      </c>
      <c r="I1637" s="7" t="str">
        <f>IF(Table1[[#This Row],[Is Data Valid]]=TRUE,((Table1[[#This Row],[Birthweight (grams)]]*1.1/Table1[[#This Row],[BW_GA]])-1)/(Backend!$B$4/100*Table1[[#This Row],[BW40_3705]]),"")</f>
        <v/>
      </c>
      <c r="J1637" s="7" t="str">
        <f>IF(Table1[[#This Row],[Is Data Valid]]=TRUE,_xlfn.NORM.S.DIST(Table1[[#This Row],[Birthweight Z-Score]],TRUE)*100,"")</f>
        <v/>
      </c>
      <c r="K1637" s="7" t="str">
        <f>IF(Table1[[#This Row],[Is Data Valid]]=TRUE,_xlfn.NORM.S.DIST(Table1[[#This Row],[Birthweight Z-Score (BW-10%)]],TRUE)*100,"")</f>
        <v/>
      </c>
      <c r="L1637" s="7" t="str">
        <f>IF(Table1[[#This Row],[Is Data Valid]]=TRUE,_xlfn.NORM.S.DIST(Table1[[#This Row],[Birthweight Z-Score (BW+10%)]],TRUE)*100,"")</f>
        <v/>
      </c>
    </row>
    <row r="1638" spans="1:12" x14ac:dyDescent="0.35">
      <c r="A1638" s="3"/>
      <c r="B1638" s="2"/>
      <c r="C1638" s="2"/>
      <c r="D1638" s="2" t="b">
        <f>IF(AND(NOT(ISBLANK(Table1[[#This Row],[Fetal Sex (Male, Female or Unknown)]])),ISNUMBER(Table1[[#This Row],[Birthweight (grams)]]),ISNUMBER(Table1[[#This Row],[Gestation (days)]])),TRUE,FALSE)</f>
        <v>0</v>
      </c>
      <c r="E1638" s="2" t="str">
        <f>IF(Table1[[#This Row],[Is Data Valid]]=TRUE,IF(Table1[[#This Row],[Fetal Sex (Male, Female or Unknown)]]="Male",Backend!$C$6,IF(Table1[[#This Row],[Fetal Sex (Male, Female or Unknown)]]="Female",Backend!$C$7,IF(Table1[[#This Row],[Fetal Sex (Male, Female or Unknown)]]="Unknown",Backend!$C$8,"Error"))),"")</f>
        <v/>
      </c>
      <c r="F1638" s="8" t="str">
        <f>IF(Table1[[#This Row],[Is Data Valid]]=TRUE,EXP(0.578+0.332*((Table1[[#This Row],[Gestation (days)]]+0.5)/7)-0.00354*((Table1[[#This Row],[Gestation (days)]]+0.5)/7)^2)*Table1[[#This Row],[BW40_3705]],"")</f>
        <v/>
      </c>
      <c r="G1638" s="2" t="str">
        <f>IF(Table1[[#This Row],[Is Data Valid]]=TRUE,((Table1[[#This Row],[Birthweight (grams)]]/Table1[[#This Row],[BW_GA]])-1)/(Backend!$B$4/100*Table1[[#This Row],[BW40_3705]]),"")</f>
        <v/>
      </c>
      <c r="H1638" s="7" t="str">
        <f>IF(Table1[[#This Row],[Is Data Valid]]=TRUE,((Table1[[#This Row],[Birthweight (grams)]]*0.9/Table1[[#This Row],[BW_GA]])-1)/(Backend!$B$4/100*Table1[[#This Row],[BW40_3705]]),"")</f>
        <v/>
      </c>
      <c r="I1638" s="7" t="str">
        <f>IF(Table1[[#This Row],[Is Data Valid]]=TRUE,((Table1[[#This Row],[Birthweight (grams)]]*1.1/Table1[[#This Row],[BW_GA]])-1)/(Backend!$B$4/100*Table1[[#This Row],[BW40_3705]]),"")</f>
        <v/>
      </c>
      <c r="J1638" s="7" t="str">
        <f>IF(Table1[[#This Row],[Is Data Valid]]=TRUE,_xlfn.NORM.S.DIST(Table1[[#This Row],[Birthweight Z-Score]],TRUE)*100,"")</f>
        <v/>
      </c>
      <c r="K1638" s="7" t="str">
        <f>IF(Table1[[#This Row],[Is Data Valid]]=TRUE,_xlfn.NORM.S.DIST(Table1[[#This Row],[Birthweight Z-Score (BW-10%)]],TRUE)*100,"")</f>
        <v/>
      </c>
      <c r="L1638" s="7" t="str">
        <f>IF(Table1[[#This Row],[Is Data Valid]]=TRUE,_xlfn.NORM.S.DIST(Table1[[#This Row],[Birthweight Z-Score (BW+10%)]],TRUE)*100,"")</f>
        <v/>
      </c>
    </row>
    <row r="1639" spans="1:12" x14ac:dyDescent="0.35">
      <c r="A1639" s="3"/>
      <c r="B1639" s="2"/>
      <c r="C1639" s="2"/>
      <c r="D1639" s="2" t="b">
        <f>IF(AND(NOT(ISBLANK(Table1[[#This Row],[Fetal Sex (Male, Female or Unknown)]])),ISNUMBER(Table1[[#This Row],[Birthweight (grams)]]),ISNUMBER(Table1[[#This Row],[Gestation (days)]])),TRUE,FALSE)</f>
        <v>0</v>
      </c>
      <c r="E1639" s="2" t="str">
        <f>IF(Table1[[#This Row],[Is Data Valid]]=TRUE,IF(Table1[[#This Row],[Fetal Sex (Male, Female or Unknown)]]="Male",Backend!$C$6,IF(Table1[[#This Row],[Fetal Sex (Male, Female or Unknown)]]="Female",Backend!$C$7,IF(Table1[[#This Row],[Fetal Sex (Male, Female or Unknown)]]="Unknown",Backend!$C$8,"Error"))),"")</f>
        <v/>
      </c>
      <c r="F1639" s="8" t="str">
        <f>IF(Table1[[#This Row],[Is Data Valid]]=TRUE,EXP(0.578+0.332*((Table1[[#This Row],[Gestation (days)]]+0.5)/7)-0.00354*((Table1[[#This Row],[Gestation (days)]]+0.5)/7)^2)*Table1[[#This Row],[BW40_3705]],"")</f>
        <v/>
      </c>
      <c r="G1639" s="2" t="str">
        <f>IF(Table1[[#This Row],[Is Data Valid]]=TRUE,((Table1[[#This Row],[Birthweight (grams)]]/Table1[[#This Row],[BW_GA]])-1)/(Backend!$B$4/100*Table1[[#This Row],[BW40_3705]]),"")</f>
        <v/>
      </c>
      <c r="H1639" s="7" t="str">
        <f>IF(Table1[[#This Row],[Is Data Valid]]=TRUE,((Table1[[#This Row],[Birthweight (grams)]]*0.9/Table1[[#This Row],[BW_GA]])-1)/(Backend!$B$4/100*Table1[[#This Row],[BW40_3705]]),"")</f>
        <v/>
      </c>
      <c r="I1639" s="7" t="str">
        <f>IF(Table1[[#This Row],[Is Data Valid]]=TRUE,((Table1[[#This Row],[Birthweight (grams)]]*1.1/Table1[[#This Row],[BW_GA]])-1)/(Backend!$B$4/100*Table1[[#This Row],[BW40_3705]]),"")</f>
        <v/>
      </c>
      <c r="J1639" s="7" t="str">
        <f>IF(Table1[[#This Row],[Is Data Valid]]=TRUE,_xlfn.NORM.S.DIST(Table1[[#This Row],[Birthweight Z-Score]],TRUE)*100,"")</f>
        <v/>
      </c>
      <c r="K1639" s="7" t="str">
        <f>IF(Table1[[#This Row],[Is Data Valid]]=TRUE,_xlfn.NORM.S.DIST(Table1[[#This Row],[Birthweight Z-Score (BW-10%)]],TRUE)*100,"")</f>
        <v/>
      </c>
      <c r="L1639" s="7" t="str">
        <f>IF(Table1[[#This Row],[Is Data Valid]]=TRUE,_xlfn.NORM.S.DIST(Table1[[#This Row],[Birthweight Z-Score (BW+10%)]],TRUE)*100,"")</f>
        <v/>
      </c>
    </row>
    <row r="1640" spans="1:12" x14ac:dyDescent="0.35">
      <c r="A1640" s="3"/>
      <c r="B1640" s="2"/>
      <c r="C1640" s="2"/>
      <c r="D1640" s="2" t="b">
        <f>IF(AND(NOT(ISBLANK(Table1[[#This Row],[Fetal Sex (Male, Female or Unknown)]])),ISNUMBER(Table1[[#This Row],[Birthweight (grams)]]),ISNUMBER(Table1[[#This Row],[Gestation (days)]])),TRUE,FALSE)</f>
        <v>0</v>
      </c>
      <c r="E1640" s="2" t="str">
        <f>IF(Table1[[#This Row],[Is Data Valid]]=TRUE,IF(Table1[[#This Row],[Fetal Sex (Male, Female or Unknown)]]="Male",Backend!$C$6,IF(Table1[[#This Row],[Fetal Sex (Male, Female or Unknown)]]="Female",Backend!$C$7,IF(Table1[[#This Row],[Fetal Sex (Male, Female or Unknown)]]="Unknown",Backend!$C$8,"Error"))),"")</f>
        <v/>
      </c>
      <c r="F1640" s="8" t="str">
        <f>IF(Table1[[#This Row],[Is Data Valid]]=TRUE,EXP(0.578+0.332*((Table1[[#This Row],[Gestation (days)]]+0.5)/7)-0.00354*((Table1[[#This Row],[Gestation (days)]]+0.5)/7)^2)*Table1[[#This Row],[BW40_3705]],"")</f>
        <v/>
      </c>
      <c r="G1640" s="2" t="str">
        <f>IF(Table1[[#This Row],[Is Data Valid]]=TRUE,((Table1[[#This Row],[Birthweight (grams)]]/Table1[[#This Row],[BW_GA]])-1)/(Backend!$B$4/100*Table1[[#This Row],[BW40_3705]]),"")</f>
        <v/>
      </c>
      <c r="H1640" s="7" t="str">
        <f>IF(Table1[[#This Row],[Is Data Valid]]=TRUE,((Table1[[#This Row],[Birthweight (grams)]]*0.9/Table1[[#This Row],[BW_GA]])-1)/(Backend!$B$4/100*Table1[[#This Row],[BW40_3705]]),"")</f>
        <v/>
      </c>
      <c r="I1640" s="7" t="str">
        <f>IF(Table1[[#This Row],[Is Data Valid]]=TRUE,((Table1[[#This Row],[Birthweight (grams)]]*1.1/Table1[[#This Row],[BW_GA]])-1)/(Backend!$B$4/100*Table1[[#This Row],[BW40_3705]]),"")</f>
        <v/>
      </c>
      <c r="J1640" s="7" t="str">
        <f>IF(Table1[[#This Row],[Is Data Valid]]=TRUE,_xlfn.NORM.S.DIST(Table1[[#This Row],[Birthweight Z-Score]],TRUE)*100,"")</f>
        <v/>
      </c>
      <c r="K1640" s="7" t="str">
        <f>IF(Table1[[#This Row],[Is Data Valid]]=TRUE,_xlfn.NORM.S.DIST(Table1[[#This Row],[Birthweight Z-Score (BW-10%)]],TRUE)*100,"")</f>
        <v/>
      </c>
      <c r="L1640" s="7" t="str">
        <f>IF(Table1[[#This Row],[Is Data Valid]]=TRUE,_xlfn.NORM.S.DIST(Table1[[#This Row],[Birthweight Z-Score (BW+10%)]],TRUE)*100,"")</f>
        <v/>
      </c>
    </row>
    <row r="1641" spans="1:12" x14ac:dyDescent="0.35">
      <c r="A1641" s="3"/>
      <c r="B1641" s="2"/>
      <c r="C1641" s="2"/>
      <c r="D1641" s="2" t="b">
        <f>IF(AND(NOT(ISBLANK(Table1[[#This Row],[Fetal Sex (Male, Female or Unknown)]])),ISNUMBER(Table1[[#This Row],[Birthweight (grams)]]),ISNUMBER(Table1[[#This Row],[Gestation (days)]])),TRUE,FALSE)</f>
        <v>0</v>
      </c>
      <c r="E1641" s="2" t="str">
        <f>IF(Table1[[#This Row],[Is Data Valid]]=TRUE,IF(Table1[[#This Row],[Fetal Sex (Male, Female or Unknown)]]="Male",Backend!$C$6,IF(Table1[[#This Row],[Fetal Sex (Male, Female or Unknown)]]="Female",Backend!$C$7,IF(Table1[[#This Row],[Fetal Sex (Male, Female or Unknown)]]="Unknown",Backend!$C$8,"Error"))),"")</f>
        <v/>
      </c>
      <c r="F1641" s="8" t="str">
        <f>IF(Table1[[#This Row],[Is Data Valid]]=TRUE,EXP(0.578+0.332*((Table1[[#This Row],[Gestation (days)]]+0.5)/7)-0.00354*((Table1[[#This Row],[Gestation (days)]]+0.5)/7)^2)*Table1[[#This Row],[BW40_3705]],"")</f>
        <v/>
      </c>
      <c r="G1641" s="2" t="str">
        <f>IF(Table1[[#This Row],[Is Data Valid]]=TRUE,((Table1[[#This Row],[Birthweight (grams)]]/Table1[[#This Row],[BW_GA]])-1)/(Backend!$B$4/100*Table1[[#This Row],[BW40_3705]]),"")</f>
        <v/>
      </c>
      <c r="H1641" s="7" t="str">
        <f>IF(Table1[[#This Row],[Is Data Valid]]=TRUE,((Table1[[#This Row],[Birthweight (grams)]]*0.9/Table1[[#This Row],[BW_GA]])-1)/(Backend!$B$4/100*Table1[[#This Row],[BW40_3705]]),"")</f>
        <v/>
      </c>
      <c r="I1641" s="7" t="str">
        <f>IF(Table1[[#This Row],[Is Data Valid]]=TRUE,((Table1[[#This Row],[Birthweight (grams)]]*1.1/Table1[[#This Row],[BW_GA]])-1)/(Backend!$B$4/100*Table1[[#This Row],[BW40_3705]]),"")</f>
        <v/>
      </c>
      <c r="J1641" s="7" t="str">
        <f>IF(Table1[[#This Row],[Is Data Valid]]=TRUE,_xlfn.NORM.S.DIST(Table1[[#This Row],[Birthweight Z-Score]],TRUE)*100,"")</f>
        <v/>
      </c>
      <c r="K1641" s="7" t="str">
        <f>IF(Table1[[#This Row],[Is Data Valid]]=TRUE,_xlfn.NORM.S.DIST(Table1[[#This Row],[Birthweight Z-Score (BW-10%)]],TRUE)*100,"")</f>
        <v/>
      </c>
      <c r="L1641" s="7" t="str">
        <f>IF(Table1[[#This Row],[Is Data Valid]]=TRUE,_xlfn.NORM.S.DIST(Table1[[#This Row],[Birthweight Z-Score (BW+10%)]],TRUE)*100,"")</f>
        <v/>
      </c>
    </row>
    <row r="1642" spans="1:12" x14ac:dyDescent="0.35">
      <c r="A1642" s="3"/>
      <c r="B1642" s="2"/>
      <c r="C1642" s="2"/>
      <c r="D1642" s="2" t="b">
        <f>IF(AND(NOT(ISBLANK(Table1[[#This Row],[Fetal Sex (Male, Female or Unknown)]])),ISNUMBER(Table1[[#This Row],[Birthweight (grams)]]),ISNUMBER(Table1[[#This Row],[Gestation (days)]])),TRUE,FALSE)</f>
        <v>0</v>
      </c>
      <c r="E1642" s="2" t="str">
        <f>IF(Table1[[#This Row],[Is Data Valid]]=TRUE,IF(Table1[[#This Row],[Fetal Sex (Male, Female or Unknown)]]="Male",Backend!$C$6,IF(Table1[[#This Row],[Fetal Sex (Male, Female or Unknown)]]="Female",Backend!$C$7,IF(Table1[[#This Row],[Fetal Sex (Male, Female or Unknown)]]="Unknown",Backend!$C$8,"Error"))),"")</f>
        <v/>
      </c>
      <c r="F1642" s="8" t="str">
        <f>IF(Table1[[#This Row],[Is Data Valid]]=TRUE,EXP(0.578+0.332*((Table1[[#This Row],[Gestation (days)]]+0.5)/7)-0.00354*((Table1[[#This Row],[Gestation (days)]]+0.5)/7)^2)*Table1[[#This Row],[BW40_3705]],"")</f>
        <v/>
      </c>
      <c r="G1642" s="2" t="str">
        <f>IF(Table1[[#This Row],[Is Data Valid]]=TRUE,((Table1[[#This Row],[Birthweight (grams)]]/Table1[[#This Row],[BW_GA]])-1)/(Backend!$B$4/100*Table1[[#This Row],[BW40_3705]]),"")</f>
        <v/>
      </c>
      <c r="H1642" s="7" t="str">
        <f>IF(Table1[[#This Row],[Is Data Valid]]=TRUE,((Table1[[#This Row],[Birthweight (grams)]]*0.9/Table1[[#This Row],[BW_GA]])-1)/(Backend!$B$4/100*Table1[[#This Row],[BW40_3705]]),"")</f>
        <v/>
      </c>
      <c r="I1642" s="7" t="str">
        <f>IF(Table1[[#This Row],[Is Data Valid]]=TRUE,((Table1[[#This Row],[Birthweight (grams)]]*1.1/Table1[[#This Row],[BW_GA]])-1)/(Backend!$B$4/100*Table1[[#This Row],[BW40_3705]]),"")</f>
        <v/>
      </c>
      <c r="J1642" s="7" t="str">
        <f>IF(Table1[[#This Row],[Is Data Valid]]=TRUE,_xlfn.NORM.S.DIST(Table1[[#This Row],[Birthweight Z-Score]],TRUE)*100,"")</f>
        <v/>
      </c>
      <c r="K1642" s="7" t="str">
        <f>IF(Table1[[#This Row],[Is Data Valid]]=TRUE,_xlfn.NORM.S.DIST(Table1[[#This Row],[Birthweight Z-Score (BW-10%)]],TRUE)*100,"")</f>
        <v/>
      </c>
      <c r="L1642" s="7" t="str">
        <f>IF(Table1[[#This Row],[Is Data Valid]]=TRUE,_xlfn.NORM.S.DIST(Table1[[#This Row],[Birthweight Z-Score (BW+10%)]],TRUE)*100,"")</f>
        <v/>
      </c>
    </row>
    <row r="1643" spans="1:12" x14ac:dyDescent="0.35">
      <c r="A1643" s="3"/>
      <c r="B1643" s="2"/>
      <c r="C1643" s="2"/>
      <c r="D1643" s="2" t="b">
        <f>IF(AND(NOT(ISBLANK(Table1[[#This Row],[Fetal Sex (Male, Female or Unknown)]])),ISNUMBER(Table1[[#This Row],[Birthweight (grams)]]),ISNUMBER(Table1[[#This Row],[Gestation (days)]])),TRUE,FALSE)</f>
        <v>0</v>
      </c>
      <c r="E1643" s="2" t="str">
        <f>IF(Table1[[#This Row],[Is Data Valid]]=TRUE,IF(Table1[[#This Row],[Fetal Sex (Male, Female or Unknown)]]="Male",Backend!$C$6,IF(Table1[[#This Row],[Fetal Sex (Male, Female or Unknown)]]="Female",Backend!$C$7,IF(Table1[[#This Row],[Fetal Sex (Male, Female or Unknown)]]="Unknown",Backend!$C$8,"Error"))),"")</f>
        <v/>
      </c>
      <c r="F1643" s="8" t="str">
        <f>IF(Table1[[#This Row],[Is Data Valid]]=TRUE,EXP(0.578+0.332*((Table1[[#This Row],[Gestation (days)]]+0.5)/7)-0.00354*((Table1[[#This Row],[Gestation (days)]]+0.5)/7)^2)*Table1[[#This Row],[BW40_3705]],"")</f>
        <v/>
      </c>
      <c r="G1643" s="2" t="str">
        <f>IF(Table1[[#This Row],[Is Data Valid]]=TRUE,((Table1[[#This Row],[Birthweight (grams)]]/Table1[[#This Row],[BW_GA]])-1)/(Backend!$B$4/100*Table1[[#This Row],[BW40_3705]]),"")</f>
        <v/>
      </c>
      <c r="H1643" s="7" t="str">
        <f>IF(Table1[[#This Row],[Is Data Valid]]=TRUE,((Table1[[#This Row],[Birthweight (grams)]]*0.9/Table1[[#This Row],[BW_GA]])-1)/(Backend!$B$4/100*Table1[[#This Row],[BW40_3705]]),"")</f>
        <v/>
      </c>
      <c r="I1643" s="7" t="str">
        <f>IF(Table1[[#This Row],[Is Data Valid]]=TRUE,((Table1[[#This Row],[Birthweight (grams)]]*1.1/Table1[[#This Row],[BW_GA]])-1)/(Backend!$B$4/100*Table1[[#This Row],[BW40_3705]]),"")</f>
        <v/>
      </c>
      <c r="J1643" s="7" t="str">
        <f>IF(Table1[[#This Row],[Is Data Valid]]=TRUE,_xlfn.NORM.S.DIST(Table1[[#This Row],[Birthweight Z-Score]],TRUE)*100,"")</f>
        <v/>
      </c>
      <c r="K1643" s="7" t="str">
        <f>IF(Table1[[#This Row],[Is Data Valid]]=TRUE,_xlfn.NORM.S.DIST(Table1[[#This Row],[Birthweight Z-Score (BW-10%)]],TRUE)*100,"")</f>
        <v/>
      </c>
      <c r="L1643" s="7" t="str">
        <f>IF(Table1[[#This Row],[Is Data Valid]]=TRUE,_xlfn.NORM.S.DIST(Table1[[#This Row],[Birthweight Z-Score (BW+10%)]],TRUE)*100,"")</f>
        <v/>
      </c>
    </row>
    <row r="1644" spans="1:12" x14ac:dyDescent="0.35">
      <c r="A1644" s="3"/>
      <c r="B1644" s="2"/>
      <c r="C1644" s="2"/>
      <c r="D1644" s="2" t="b">
        <f>IF(AND(NOT(ISBLANK(Table1[[#This Row],[Fetal Sex (Male, Female or Unknown)]])),ISNUMBER(Table1[[#This Row],[Birthweight (grams)]]),ISNUMBER(Table1[[#This Row],[Gestation (days)]])),TRUE,FALSE)</f>
        <v>0</v>
      </c>
      <c r="E1644" s="2" t="str">
        <f>IF(Table1[[#This Row],[Is Data Valid]]=TRUE,IF(Table1[[#This Row],[Fetal Sex (Male, Female or Unknown)]]="Male",Backend!$C$6,IF(Table1[[#This Row],[Fetal Sex (Male, Female or Unknown)]]="Female",Backend!$C$7,IF(Table1[[#This Row],[Fetal Sex (Male, Female or Unknown)]]="Unknown",Backend!$C$8,"Error"))),"")</f>
        <v/>
      </c>
      <c r="F1644" s="8" t="str">
        <f>IF(Table1[[#This Row],[Is Data Valid]]=TRUE,EXP(0.578+0.332*((Table1[[#This Row],[Gestation (days)]]+0.5)/7)-0.00354*((Table1[[#This Row],[Gestation (days)]]+0.5)/7)^2)*Table1[[#This Row],[BW40_3705]],"")</f>
        <v/>
      </c>
      <c r="G1644" s="2" t="str">
        <f>IF(Table1[[#This Row],[Is Data Valid]]=TRUE,((Table1[[#This Row],[Birthweight (grams)]]/Table1[[#This Row],[BW_GA]])-1)/(Backend!$B$4/100*Table1[[#This Row],[BW40_3705]]),"")</f>
        <v/>
      </c>
      <c r="H1644" s="7" t="str">
        <f>IF(Table1[[#This Row],[Is Data Valid]]=TRUE,((Table1[[#This Row],[Birthweight (grams)]]*0.9/Table1[[#This Row],[BW_GA]])-1)/(Backend!$B$4/100*Table1[[#This Row],[BW40_3705]]),"")</f>
        <v/>
      </c>
      <c r="I1644" s="7" t="str">
        <f>IF(Table1[[#This Row],[Is Data Valid]]=TRUE,((Table1[[#This Row],[Birthweight (grams)]]*1.1/Table1[[#This Row],[BW_GA]])-1)/(Backend!$B$4/100*Table1[[#This Row],[BW40_3705]]),"")</f>
        <v/>
      </c>
      <c r="J1644" s="7" t="str">
        <f>IF(Table1[[#This Row],[Is Data Valid]]=TRUE,_xlfn.NORM.S.DIST(Table1[[#This Row],[Birthweight Z-Score]],TRUE)*100,"")</f>
        <v/>
      </c>
      <c r="K1644" s="7" t="str">
        <f>IF(Table1[[#This Row],[Is Data Valid]]=TRUE,_xlfn.NORM.S.DIST(Table1[[#This Row],[Birthweight Z-Score (BW-10%)]],TRUE)*100,"")</f>
        <v/>
      </c>
      <c r="L1644" s="7" t="str">
        <f>IF(Table1[[#This Row],[Is Data Valid]]=TRUE,_xlfn.NORM.S.DIST(Table1[[#This Row],[Birthweight Z-Score (BW+10%)]],TRUE)*100,"")</f>
        <v/>
      </c>
    </row>
    <row r="1645" spans="1:12" x14ac:dyDescent="0.35">
      <c r="A1645" s="3"/>
      <c r="B1645" s="2"/>
      <c r="C1645" s="2"/>
      <c r="D1645" s="2" t="b">
        <f>IF(AND(NOT(ISBLANK(Table1[[#This Row],[Fetal Sex (Male, Female or Unknown)]])),ISNUMBER(Table1[[#This Row],[Birthweight (grams)]]),ISNUMBER(Table1[[#This Row],[Gestation (days)]])),TRUE,FALSE)</f>
        <v>0</v>
      </c>
      <c r="E1645" s="2" t="str">
        <f>IF(Table1[[#This Row],[Is Data Valid]]=TRUE,IF(Table1[[#This Row],[Fetal Sex (Male, Female or Unknown)]]="Male",Backend!$C$6,IF(Table1[[#This Row],[Fetal Sex (Male, Female or Unknown)]]="Female",Backend!$C$7,IF(Table1[[#This Row],[Fetal Sex (Male, Female or Unknown)]]="Unknown",Backend!$C$8,"Error"))),"")</f>
        <v/>
      </c>
      <c r="F1645" s="8" t="str">
        <f>IF(Table1[[#This Row],[Is Data Valid]]=TRUE,EXP(0.578+0.332*((Table1[[#This Row],[Gestation (days)]]+0.5)/7)-0.00354*((Table1[[#This Row],[Gestation (days)]]+0.5)/7)^2)*Table1[[#This Row],[BW40_3705]],"")</f>
        <v/>
      </c>
      <c r="G1645" s="2" t="str">
        <f>IF(Table1[[#This Row],[Is Data Valid]]=TRUE,((Table1[[#This Row],[Birthweight (grams)]]/Table1[[#This Row],[BW_GA]])-1)/(Backend!$B$4/100*Table1[[#This Row],[BW40_3705]]),"")</f>
        <v/>
      </c>
      <c r="H1645" s="7" t="str">
        <f>IF(Table1[[#This Row],[Is Data Valid]]=TRUE,((Table1[[#This Row],[Birthweight (grams)]]*0.9/Table1[[#This Row],[BW_GA]])-1)/(Backend!$B$4/100*Table1[[#This Row],[BW40_3705]]),"")</f>
        <v/>
      </c>
      <c r="I1645" s="7" t="str">
        <f>IF(Table1[[#This Row],[Is Data Valid]]=TRUE,((Table1[[#This Row],[Birthweight (grams)]]*1.1/Table1[[#This Row],[BW_GA]])-1)/(Backend!$B$4/100*Table1[[#This Row],[BW40_3705]]),"")</f>
        <v/>
      </c>
      <c r="J1645" s="7" t="str">
        <f>IF(Table1[[#This Row],[Is Data Valid]]=TRUE,_xlfn.NORM.S.DIST(Table1[[#This Row],[Birthweight Z-Score]],TRUE)*100,"")</f>
        <v/>
      </c>
      <c r="K1645" s="7" t="str">
        <f>IF(Table1[[#This Row],[Is Data Valid]]=TRUE,_xlfn.NORM.S.DIST(Table1[[#This Row],[Birthweight Z-Score (BW-10%)]],TRUE)*100,"")</f>
        <v/>
      </c>
      <c r="L1645" s="7" t="str">
        <f>IF(Table1[[#This Row],[Is Data Valid]]=TRUE,_xlfn.NORM.S.DIST(Table1[[#This Row],[Birthweight Z-Score (BW+10%)]],TRUE)*100,"")</f>
        <v/>
      </c>
    </row>
    <row r="1646" spans="1:12" x14ac:dyDescent="0.35">
      <c r="A1646" s="3"/>
      <c r="B1646" s="2"/>
      <c r="C1646" s="2"/>
      <c r="D1646" s="2" t="b">
        <f>IF(AND(NOT(ISBLANK(Table1[[#This Row],[Fetal Sex (Male, Female or Unknown)]])),ISNUMBER(Table1[[#This Row],[Birthweight (grams)]]),ISNUMBER(Table1[[#This Row],[Gestation (days)]])),TRUE,FALSE)</f>
        <v>0</v>
      </c>
      <c r="E1646" s="2" t="str">
        <f>IF(Table1[[#This Row],[Is Data Valid]]=TRUE,IF(Table1[[#This Row],[Fetal Sex (Male, Female or Unknown)]]="Male",Backend!$C$6,IF(Table1[[#This Row],[Fetal Sex (Male, Female or Unknown)]]="Female",Backend!$C$7,IF(Table1[[#This Row],[Fetal Sex (Male, Female or Unknown)]]="Unknown",Backend!$C$8,"Error"))),"")</f>
        <v/>
      </c>
      <c r="F1646" s="8" t="str">
        <f>IF(Table1[[#This Row],[Is Data Valid]]=TRUE,EXP(0.578+0.332*((Table1[[#This Row],[Gestation (days)]]+0.5)/7)-0.00354*((Table1[[#This Row],[Gestation (days)]]+0.5)/7)^2)*Table1[[#This Row],[BW40_3705]],"")</f>
        <v/>
      </c>
      <c r="G1646" s="2" t="str">
        <f>IF(Table1[[#This Row],[Is Data Valid]]=TRUE,((Table1[[#This Row],[Birthweight (grams)]]/Table1[[#This Row],[BW_GA]])-1)/(Backend!$B$4/100*Table1[[#This Row],[BW40_3705]]),"")</f>
        <v/>
      </c>
      <c r="H1646" s="7" t="str">
        <f>IF(Table1[[#This Row],[Is Data Valid]]=TRUE,((Table1[[#This Row],[Birthweight (grams)]]*0.9/Table1[[#This Row],[BW_GA]])-1)/(Backend!$B$4/100*Table1[[#This Row],[BW40_3705]]),"")</f>
        <v/>
      </c>
      <c r="I1646" s="7" t="str">
        <f>IF(Table1[[#This Row],[Is Data Valid]]=TRUE,((Table1[[#This Row],[Birthweight (grams)]]*1.1/Table1[[#This Row],[BW_GA]])-1)/(Backend!$B$4/100*Table1[[#This Row],[BW40_3705]]),"")</f>
        <v/>
      </c>
      <c r="J1646" s="7" t="str">
        <f>IF(Table1[[#This Row],[Is Data Valid]]=TRUE,_xlfn.NORM.S.DIST(Table1[[#This Row],[Birthweight Z-Score]],TRUE)*100,"")</f>
        <v/>
      </c>
      <c r="K1646" s="7" t="str">
        <f>IF(Table1[[#This Row],[Is Data Valid]]=TRUE,_xlfn.NORM.S.DIST(Table1[[#This Row],[Birthweight Z-Score (BW-10%)]],TRUE)*100,"")</f>
        <v/>
      </c>
      <c r="L1646" s="7" t="str">
        <f>IF(Table1[[#This Row],[Is Data Valid]]=TRUE,_xlfn.NORM.S.DIST(Table1[[#This Row],[Birthweight Z-Score (BW+10%)]],TRUE)*100,"")</f>
        <v/>
      </c>
    </row>
    <row r="1647" spans="1:12" x14ac:dyDescent="0.35">
      <c r="A1647" s="3"/>
      <c r="B1647" s="2"/>
      <c r="C1647" s="2"/>
      <c r="D1647" s="2" t="b">
        <f>IF(AND(NOT(ISBLANK(Table1[[#This Row],[Fetal Sex (Male, Female or Unknown)]])),ISNUMBER(Table1[[#This Row],[Birthweight (grams)]]),ISNUMBER(Table1[[#This Row],[Gestation (days)]])),TRUE,FALSE)</f>
        <v>0</v>
      </c>
      <c r="E1647" s="2" t="str">
        <f>IF(Table1[[#This Row],[Is Data Valid]]=TRUE,IF(Table1[[#This Row],[Fetal Sex (Male, Female or Unknown)]]="Male",Backend!$C$6,IF(Table1[[#This Row],[Fetal Sex (Male, Female or Unknown)]]="Female",Backend!$C$7,IF(Table1[[#This Row],[Fetal Sex (Male, Female or Unknown)]]="Unknown",Backend!$C$8,"Error"))),"")</f>
        <v/>
      </c>
      <c r="F1647" s="8" t="str">
        <f>IF(Table1[[#This Row],[Is Data Valid]]=TRUE,EXP(0.578+0.332*((Table1[[#This Row],[Gestation (days)]]+0.5)/7)-0.00354*((Table1[[#This Row],[Gestation (days)]]+0.5)/7)^2)*Table1[[#This Row],[BW40_3705]],"")</f>
        <v/>
      </c>
      <c r="G1647" s="2" t="str">
        <f>IF(Table1[[#This Row],[Is Data Valid]]=TRUE,((Table1[[#This Row],[Birthweight (grams)]]/Table1[[#This Row],[BW_GA]])-1)/(Backend!$B$4/100*Table1[[#This Row],[BW40_3705]]),"")</f>
        <v/>
      </c>
      <c r="H1647" s="7" t="str">
        <f>IF(Table1[[#This Row],[Is Data Valid]]=TRUE,((Table1[[#This Row],[Birthweight (grams)]]*0.9/Table1[[#This Row],[BW_GA]])-1)/(Backend!$B$4/100*Table1[[#This Row],[BW40_3705]]),"")</f>
        <v/>
      </c>
      <c r="I1647" s="7" t="str">
        <f>IF(Table1[[#This Row],[Is Data Valid]]=TRUE,((Table1[[#This Row],[Birthweight (grams)]]*1.1/Table1[[#This Row],[BW_GA]])-1)/(Backend!$B$4/100*Table1[[#This Row],[BW40_3705]]),"")</f>
        <v/>
      </c>
      <c r="J1647" s="7" t="str">
        <f>IF(Table1[[#This Row],[Is Data Valid]]=TRUE,_xlfn.NORM.S.DIST(Table1[[#This Row],[Birthweight Z-Score]],TRUE)*100,"")</f>
        <v/>
      </c>
      <c r="K1647" s="7" t="str">
        <f>IF(Table1[[#This Row],[Is Data Valid]]=TRUE,_xlfn.NORM.S.DIST(Table1[[#This Row],[Birthweight Z-Score (BW-10%)]],TRUE)*100,"")</f>
        <v/>
      </c>
      <c r="L1647" s="7" t="str">
        <f>IF(Table1[[#This Row],[Is Data Valid]]=TRUE,_xlfn.NORM.S.DIST(Table1[[#This Row],[Birthweight Z-Score (BW+10%)]],TRUE)*100,"")</f>
        <v/>
      </c>
    </row>
    <row r="1648" spans="1:12" x14ac:dyDescent="0.35">
      <c r="A1648" s="3"/>
      <c r="B1648" s="2"/>
      <c r="C1648" s="2"/>
      <c r="D1648" s="2" t="b">
        <f>IF(AND(NOT(ISBLANK(Table1[[#This Row],[Fetal Sex (Male, Female or Unknown)]])),ISNUMBER(Table1[[#This Row],[Birthweight (grams)]]),ISNUMBER(Table1[[#This Row],[Gestation (days)]])),TRUE,FALSE)</f>
        <v>0</v>
      </c>
      <c r="E1648" s="2" t="str">
        <f>IF(Table1[[#This Row],[Is Data Valid]]=TRUE,IF(Table1[[#This Row],[Fetal Sex (Male, Female or Unknown)]]="Male",Backend!$C$6,IF(Table1[[#This Row],[Fetal Sex (Male, Female or Unknown)]]="Female",Backend!$C$7,IF(Table1[[#This Row],[Fetal Sex (Male, Female or Unknown)]]="Unknown",Backend!$C$8,"Error"))),"")</f>
        <v/>
      </c>
      <c r="F1648" s="8" t="str">
        <f>IF(Table1[[#This Row],[Is Data Valid]]=TRUE,EXP(0.578+0.332*((Table1[[#This Row],[Gestation (days)]]+0.5)/7)-0.00354*((Table1[[#This Row],[Gestation (days)]]+0.5)/7)^2)*Table1[[#This Row],[BW40_3705]],"")</f>
        <v/>
      </c>
      <c r="G1648" s="2" t="str">
        <f>IF(Table1[[#This Row],[Is Data Valid]]=TRUE,((Table1[[#This Row],[Birthweight (grams)]]/Table1[[#This Row],[BW_GA]])-1)/(Backend!$B$4/100*Table1[[#This Row],[BW40_3705]]),"")</f>
        <v/>
      </c>
      <c r="H1648" s="7" t="str">
        <f>IF(Table1[[#This Row],[Is Data Valid]]=TRUE,((Table1[[#This Row],[Birthweight (grams)]]*0.9/Table1[[#This Row],[BW_GA]])-1)/(Backend!$B$4/100*Table1[[#This Row],[BW40_3705]]),"")</f>
        <v/>
      </c>
      <c r="I1648" s="7" t="str">
        <f>IF(Table1[[#This Row],[Is Data Valid]]=TRUE,((Table1[[#This Row],[Birthweight (grams)]]*1.1/Table1[[#This Row],[BW_GA]])-1)/(Backend!$B$4/100*Table1[[#This Row],[BW40_3705]]),"")</f>
        <v/>
      </c>
      <c r="J1648" s="7" t="str">
        <f>IF(Table1[[#This Row],[Is Data Valid]]=TRUE,_xlfn.NORM.S.DIST(Table1[[#This Row],[Birthweight Z-Score]],TRUE)*100,"")</f>
        <v/>
      </c>
      <c r="K1648" s="7" t="str">
        <f>IF(Table1[[#This Row],[Is Data Valid]]=TRUE,_xlfn.NORM.S.DIST(Table1[[#This Row],[Birthweight Z-Score (BW-10%)]],TRUE)*100,"")</f>
        <v/>
      </c>
      <c r="L1648" s="7" t="str">
        <f>IF(Table1[[#This Row],[Is Data Valid]]=TRUE,_xlfn.NORM.S.DIST(Table1[[#This Row],[Birthweight Z-Score (BW+10%)]],TRUE)*100,"")</f>
        <v/>
      </c>
    </row>
    <row r="1649" spans="1:12" x14ac:dyDescent="0.35">
      <c r="A1649" s="3"/>
      <c r="B1649" s="2"/>
      <c r="C1649" s="2"/>
      <c r="D1649" s="2" t="b">
        <f>IF(AND(NOT(ISBLANK(Table1[[#This Row],[Fetal Sex (Male, Female or Unknown)]])),ISNUMBER(Table1[[#This Row],[Birthweight (grams)]]),ISNUMBER(Table1[[#This Row],[Gestation (days)]])),TRUE,FALSE)</f>
        <v>0</v>
      </c>
      <c r="E1649" s="2" t="str">
        <f>IF(Table1[[#This Row],[Is Data Valid]]=TRUE,IF(Table1[[#This Row],[Fetal Sex (Male, Female or Unknown)]]="Male",Backend!$C$6,IF(Table1[[#This Row],[Fetal Sex (Male, Female or Unknown)]]="Female",Backend!$C$7,IF(Table1[[#This Row],[Fetal Sex (Male, Female or Unknown)]]="Unknown",Backend!$C$8,"Error"))),"")</f>
        <v/>
      </c>
      <c r="F1649" s="8" t="str">
        <f>IF(Table1[[#This Row],[Is Data Valid]]=TRUE,EXP(0.578+0.332*((Table1[[#This Row],[Gestation (days)]]+0.5)/7)-0.00354*((Table1[[#This Row],[Gestation (days)]]+0.5)/7)^2)*Table1[[#This Row],[BW40_3705]],"")</f>
        <v/>
      </c>
      <c r="G1649" s="2" t="str">
        <f>IF(Table1[[#This Row],[Is Data Valid]]=TRUE,((Table1[[#This Row],[Birthweight (grams)]]/Table1[[#This Row],[BW_GA]])-1)/(Backend!$B$4/100*Table1[[#This Row],[BW40_3705]]),"")</f>
        <v/>
      </c>
      <c r="H1649" s="7" t="str">
        <f>IF(Table1[[#This Row],[Is Data Valid]]=TRUE,((Table1[[#This Row],[Birthweight (grams)]]*0.9/Table1[[#This Row],[BW_GA]])-1)/(Backend!$B$4/100*Table1[[#This Row],[BW40_3705]]),"")</f>
        <v/>
      </c>
      <c r="I1649" s="7" t="str">
        <f>IF(Table1[[#This Row],[Is Data Valid]]=TRUE,((Table1[[#This Row],[Birthweight (grams)]]*1.1/Table1[[#This Row],[BW_GA]])-1)/(Backend!$B$4/100*Table1[[#This Row],[BW40_3705]]),"")</f>
        <v/>
      </c>
      <c r="J1649" s="7" t="str">
        <f>IF(Table1[[#This Row],[Is Data Valid]]=TRUE,_xlfn.NORM.S.DIST(Table1[[#This Row],[Birthweight Z-Score]],TRUE)*100,"")</f>
        <v/>
      </c>
      <c r="K1649" s="7" t="str">
        <f>IF(Table1[[#This Row],[Is Data Valid]]=TRUE,_xlfn.NORM.S.DIST(Table1[[#This Row],[Birthweight Z-Score (BW-10%)]],TRUE)*100,"")</f>
        <v/>
      </c>
      <c r="L1649" s="7" t="str">
        <f>IF(Table1[[#This Row],[Is Data Valid]]=TRUE,_xlfn.NORM.S.DIST(Table1[[#This Row],[Birthweight Z-Score (BW+10%)]],TRUE)*100,"")</f>
        <v/>
      </c>
    </row>
    <row r="1650" spans="1:12" x14ac:dyDescent="0.35">
      <c r="A1650" s="3"/>
      <c r="B1650" s="2"/>
      <c r="C1650" s="2"/>
      <c r="D1650" s="2" t="b">
        <f>IF(AND(NOT(ISBLANK(Table1[[#This Row],[Fetal Sex (Male, Female or Unknown)]])),ISNUMBER(Table1[[#This Row],[Birthweight (grams)]]),ISNUMBER(Table1[[#This Row],[Gestation (days)]])),TRUE,FALSE)</f>
        <v>0</v>
      </c>
      <c r="E1650" s="2" t="str">
        <f>IF(Table1[[#This Row],[Is Data Valid]]=TRUE,IF(Table1[[#This Row],[Fetal Sex (Male, Female or Unknown)]]="Male",Backend!$C$6,IF(Table1[[#This Row],[Fetal Sex (Male, Female or Unknown)]]="Female",Backend!$C$7,IF(Table1[[#This Row],[Fetal Sex (Male, Female or Unknown)]]="Unknown",Backend!$C$8,"Error"))),"")</f>
        <v/>
      </c>
      <c r="F1650" s="8" t="str">
        <f>IF(Table1[[#This Row],[Is Data Valid]]=TRUE,EXP(0.578+0.332*((Table1[[#This Row],[Gestation (days)]]+0.5)/7)-0.00354*((Table1[[#This Row],[Gestation (days)]]+0.5)/7)^2)*Table1[[#This Row],[BW40_3705]],"")</f>
        <v/>
      </c>
      <c r="G1650" s="2" t="str">
        <f>IF(Table1[[#This Row],[Is Data Valid]]=TRUE,((Table1[[#This Row],[Birthweight (grams)]]/Table1[[#This Row],[BW_GA]])-1)/(Backend!$B$4/100*Table1[[#This Row],[BW40_3705]]),"")</f>
        <v/>
      </c>
      <c r="H1650" s="7" t="str">
        <f>IF(Table1[[#This Row],[Is Data Valid]]=TRUE,((Table1[[#This Row],[Birthweight (grams)]]*0.9/Table1[[#This Row],[BW_GA]])-1)/(Backend!$B$4/100*Table1[[#This Row],[BW40_3705]]),"")</f>
        <v/>
      </c>
      <c r="I1650" s="7" t="str">
        <f>IF(Table1[[#This Row],[Is Data Valid]]=TRUE,((Table1[[#This Row],[Birthweight (grams)]]*1.1/Table1[[#This Row],[BW_GA]])-1)/(Backend!$B$4/100*Table1[[#This Row],[BW40_3705]]),"")</f>
        <v/>
      </c>
      <c r="J1650" s="7" t="str">
        <f>IF(Table1[[#This Row],[Is Data Valid]]=TRUE,_xlfn.NORM.S.DIST(Table1[[#This Row],[Birthweight Z-Score]],TRUE)*100,"")</f>
        <v/>
      </c>
      <c r="K1650" s="7" t="str">
        <f>IF(Table1[[#This Row],[Is Data Valid]]=TRUE,_xlfn.NORM.S.DIST(Table1[[#This Row],[Birthweight Z-Score (BW-10%)]],TRUE)*100,"")</f>
        <v/>
      </c>
      <c r="L1650" s="7" t="str">
        <f>IF(Table1[[#This Row],[Is Data Valid]]=TRUE,_xlfn.NORM.S.DIST(Table1[[#This Row],[Birthweight Z-Score (BW+10%)]],TRUE)*100,"")</f>
        <v/>
      </c>
    </row>
    <row r="1651" spans="1:12" x14ac:dyDescent="0.35">
      <c r="A1651" s="3"/>
      <c r="B1651" s="2"/>
      <c r="C1651" s="2"/>
      <c r="D1651" s="2" t="b">
        <f>IF(AND(NOT(ISBLANK(Table1[[#This Row],[Fetal Sex (Male, Female or Unknown)]])),ISNUMBER(Table1[[#This Row],[Birthweight (grams)]]),ISNUMBER(Table1[[#This Row],[Gestation (days)]])),TRUE,FALSE)</f>
        <v>0</v>
      </c>
      <c r="E1651" s="2" t="str">
        <f>IF(Table1[[#This Row],[Is Data Valid]]=TRUE,IF(Table1[[#This Row],[Fetal Sex (Male, Female or Unknown)]]="Male",Backend!$C$6,IF(Table1[[#This Row],[Fetal Sex (Male, Female or Unknown)]]="Female",Backend!$C$7,IF(Table1[[#This Row],[Fetal Sex (Male, Female or Unknown)]]="Unknown",Backend!$C$8,"Error"))),"")</f>
        <v/>
      </c>
      <c r="F1651" s="8" t="str">
        <f>IF(Table1[[#This Row],[Is Data Valid]]=TRUE,EXP(0.578+0.332*((Table1[[#This Row],[Gestation (days)]]+0.5)/7)-0.00354*((Table1[[#This Row],[Gestation (days)]]+0.5)/7)^2)*Table1[[#This Row],[BW40_3705]],"")</f>
        <v/>
      </c>
      <c r="G1651" s="2" t="str">
        <f>IF(Table1[[#This Row],[Is Data Valid]]=TRUE,((Table1[[#This Row],[Birthweight (grams)]]/Table1[[#This Row],[BW_GA]])-1)/(Backend!$B$4/100*Table1[[#This Row],[BW40_3705]]),"")</f>
        <v/>
      </c>
      <c r="H1651" s="7" t="str">
        <f>IF(Table1[[#This Row],[Is Data Valid]]=TRUE,((Table1[[#This Row],[Birthweight (grams)]]*0.9/Table1[[#This Row],[BW_GA]])-1)/(Backend!$B$4/100*Table1[[#This Row],[BW40_3705]]),"")</f>
        <v/>
      </c>
      <c r="I1651" s="7" t="str">
        <f>IF(Table1[[#This Row],[Is Data Valid]]=TRUE,((Table1[[#This Row],[Birthweight (grams)]]*1.1/Table1[[#This Row],[BW_GA]])-1)/(Backend!$B$4/100*Table1[[#This Row],[BW40_3705]]),"")</f>
        <v/>
      </c>
      <c r="J1651" s="7" t="str">
        <f>IF(Table1[[#This Row],[Is Data Valid]]=TRUE,_xlfn.NORM.S.DIST(Table1[[#This Row],[Birthweight Z-Score]],TRUE)*100,"")</f>
        <v/>
      </c>
      <c r="K1651" s="7" t="str">
        <f>IF(Table1[[#This Row],[Is Data Valid]]=TRUE,_xlfn.NORM.S.DIST(Table1[[#This Row],[Birthweight Z-Score (BW-10%)]],TRUE)*100,"")</f>
        <v/>
      </c>
      <c r="L1651" s="7" t="str">
        <f>IF(Table1[[#This Row],[Is Data Valid]]=TRUE,_xlfn.NORM.S.DIST(Table1[[#This Row],[Birthweight Z-Score (BW+10%)]],TRUE)*100,"")</f>
        <v/>
      </c>
    </row>
    <row r="1652" spans="1:12" x14ac:dyDescent="0.35">
      <c r="A1652" s="3"/>
      <c r="B1652" s="2"/>
      <c r="C1652" s="2"/>
      <c r="D1652" s="2" t="b">
        <f>IF(AND(NOT(ISBLANK(Table1[[#This Row],[Fetal Sex (Male, Female or Unknown)]])),ISNUMBER(Table1[[#This Row],[Birthweight (grams)]]),ISNUMBER(Table1[[#This Row],[Gestation (days)]])),TRUE,FALSE)</f>
        <v>0</v>
      </c>
      <c r="E1652" s="2" t="str">
        <f>IF(Table1[[#This Row],[Is Data Valid]]=TRUE,IF(Table1[[#This Row],[Fetal Sex (Male, Female or Unknown)]]="Male",Backend!$C$6,IF(Table1[[#This Row],[Fetal Sex (Male, Female or Unknown)]]="Female",Backend!$C$7,IF(Table1[[#This Row],[Fetal Sex (Male, Female or Unknown)]]="Unknown",Backend!$C$8,"Error"))),"")</f>
        <v/>
      </c>
      <c r="F1652" s="8" t="str">
        <f>IF(Table1[[#This Row],[Is Data Valid]]=TRUE,EXP(0.578+0.332*((Table1[[#This Row],[Gestation (days)]]+0.5)/7)-0.00354*((Table1[[#This Row],[Gestation (days)]]+0.5)/7)^2)*Table1[[#This Row],[BW40_3705]],"")</f>
        <v/>
      </c>
      <c r="G1652" s="2" t="str">
        <f>IF(Table1[[#This Row],[Is Data Valid]]=TRUE,((Table1[[#This Row],[Birthweight (grams)]]/Table1[[#This Row],[BW_GA]])-1)/(Backend!$B$4/100*Table1[[#This Row],[BW40_3705]]),"")</f>
        <v/>
      </c>
      <c r="H1652" s="7" t="str">
        <f>IF(Table1[[#This Row],[Is Data Valid]]=TRUE,((Table1[[#This Row],[Birthweight (grams)]]*0.9/Table1[[#This Row],[BW_GA]])-1)/(Backend!$B$4/100*Table1[[#This Row],[BW40_3705]]),"")</f>
        <v/>
      </c>
      <c r="I1652" s="7" t="str">
        <f>IF(Table1[[#This Row],[Is Data Valid]]=TRUE,((Table1[[#This Row],[Birthweight (grams)]]*1.1/Table1[[#This Row],[BW_GA]])-1)/(Backend!$B$4/100*Table1[[#This Row],[BW40_3705]]),"")</f>
        <v/>
      </c>
      <c r="J1652" s="7" t="str">
        <f>IF(Table1[[#This Row],[Is Data Valid]]=TRUE,_xlfn.NORM.S.DIST(Table1[[#This Row],[Birthweight Z-Score]],TRUE)*100,"")</f>
        <v/>
      </c>
      <c r="K1652" s="7" t="str">
        <f>IF(Table1[[#This Row],[Is Data Valid]]=TRUE,_xlfn.NORM.S.DIST(Table1[[#This Row],[Birthweight Z-Score (BW-10%)]],TRUE)*100,"")</f>
        <v/>
      </c>
      <c r="L1652" s="7" t="str">
        <f>IF(Table1[[#This Row],[Is Data Valid]]=TRUE,_xlfn.NORM.S.DIST(Table1[[#This Row],[Birthweight Z-Score (BW+10%)]],TRUE)*100,"")</f>
        <v/>
      </c>
    </row>
    <row r="1653" spans="1:12" x14ac:dyDescent="0.35">
      <c r="A1653" s="3"/>
      <c r="B1653" s="2"/>
      <c r="C1653" s="2"/>
      <c r="D1653" s="2" t="b">
        <f>IF(AND(NOT(ISBLANK(Table1[[#This Row],[Fetal Sex (Male, Female or Unknown)]])),ISNUMBER(Table1[[#This Row],[Birthweight (grams)]]),ISNUMBER(Table1[[#This Row],[Gestation (days)]])),TRUE,FALSE)</f>
        <v>0</v>
      </c>
      <c r="E1653" s="2" t="str">
        <f>IF(Table1[[#This Row],[Is Data Valid]]=TRUE,IF(Table1[[#This Row],[Fetal Sex (Male, Female or Unknown)]]="Male",Backend!$C$6,IF(Table1[[#This Row],[Fetal Sex (Male, Female or Unknown)]]="Female",Backend!$C$7,IF(Table1[[#This Row],[Fetal Sex (Male, Female or Unknown)]]="Unknown",Backend!$C$8,"Error"))),"")</f>
        <v/>
      </c>
      <c r="F1653" s="8" t="str">
        <f>IF(Table1[[#This Row],[Is Data Valid]]=TRUE,EXP(0.578+0.332*((Table1[[#This Row],[Gestation (days)]]+0.5)/7)-0.00354*((Table1[[#This Row],[Gestation (days)]]+0.5)/7)^2)*Table1[[#This Row],[BW40_3705]],"")</f>
        <v/>
      </c>
      <c r="G1653" s="2" t="str">
        <f>IF(Table1[[#This Row],[Is Data Valid]]=TRUE,((Table1[[#This Row],[Birthweight (grams)]]/Table1[[#This Row],[BW_GA]])-1)/(Backend!$B$4/100*Table1[[#This Row],[BW40_3705]]),"")</f>
        <v/>
      </c>
      <c r="H1653" s="7" t="str">
        <f>IF(Table1[[#This Row],[Is Data Valid]]=TRUE,((Table1[[#This Row],[Birthweight (grams)]]*0.9/Table1[[#This Row],[BW_GA]])-1)/(Backend!$B$4/100*Table1[[#This Row],[BW40_3705]]),"")</f>
        <v/>
      </c>
      <c r="I1653" s="7" t="str">
        <f>IF(Table1[[#This Row],[Is Data Valid]]=TRUE,((Table1[[#This Row],[Birthweight (grams)]]*1.1/Table1[[#This Row],[BW_GA]])-1)/(Backend!$B$4/100*Table1[[#This Row],[BW40_3705]]),"")</f>
        <v/>
      </c>
      <c r="J1653" s="7" t="str">
        <f>IF(Table1[[#This Row],[Is Data Valid]]=TRUE,_xlfn.NORM.S.DIST(Table1[[#This Row],[Birthweight Z-Score]],TRUE)*100,"")</f>
        <v/>
      </c>
      <c r="K1653" s="7" t="str">
        <f>IF(Table1[[#This Row],[Is Data Valid]]=TRUE,_xlfn.NORM.S.DIST(Table1[[#This Row],[Birthweight Z-Score (BW-10%)]],TRUE)*100,"")</f>
        <v/>
      </c>
      <c r="L1653" s="7" t="str">
        <f>IF(Table1[[#This Row],[Is Data Valid]]=TRUE,_xlfn.NORM.S.DIST(Table1[[#This Row],[Birthweight Z-Score (BW+10%)]],TRUE)*100,"")</f>
        <v/>
      </c>
    </row>
    <row r="1654" spans="1:12" x14ac:dyDescent="0.35">
      <c r="A1654" s="3"/>
      <c r="B1654" s="2"/>
      <c r="C1654" s="2"/>
      <c r="D1654" s="2" t="b">
        <f>IF(AND(NOT(ISBLANK(Table1[[#This Row],[Fetal Sex (Male, Female or Unknown)]])),ISNUMBER(Table1[[#This Row],[Birthweight (grams)]]),ISNUMBER(Table1[[#This Row],[Gestation (days)]])),TRUE,FALSE)</f>
        <v>0</v>
      </c>
      <c r="E1654" s="2" t="str">
        <f>IF(Table1[[#This Row],[Is Data Valid]]=TRUE,IF(Table1[[#This Row],[Fetal Sex (Male, Female or Unknown)]]="Male",Backend!$C$6,IF(Table1[[#This Row],[Fetal Sex (Male, Female or Unknown)]]="Female",Backend!$C$7,IF(Table1[[#This Row],[Fetal Sex (Male, Female or Unknown)]]="Unknown",Backend!$C$8,"Error"))),"")</f>
        <v/>
      </c>
      <c r="F1654" s="8" t="str">
        <f>IF(Table1[[#This Row],[Is Data Valid]]=TRUE,EXP(0.578+0.332*((Table1[[#This Row],[Gestation (days)]]+0.5)/7)-0.00354*((Table1[[#This Row],[Gestation (days)]]+0.5)/7)^2)*Table1[[#This Row],[BW40_3705]],"")</f>
        <v/>
      </c>
      <c r="G1654" s="2" t="str">
        <f>IF(Table1[[#This Row],[Is Data Valid]]=TRUE,((Table1[[#This Row],[Birthweight (grams)]]/Table1[[#This Row],[BW_GA]])-1)/(Backend!$B$4/100*Table1[[#This Row],[BW40_3705]]),"")</f>
        <v/>
      </c>
      <c r="H1654" s="7" t="str">
        <f>IF(Table1[[#This Row],[Is Data Valid]]=TRUE,((Table1[[#This Row],[Birthweight (grams)]]*0.9/Table1[[#This Row],[BW_GA]])-1)/(Backend!$B$4/100*Table1[[#This Row],[BW40_3705]]),"")</f>
        <v/>
      </c>
      <c r="I1654" s="7" t="str">
        <f>IF(Table1[[#This Row],[Is Data Valid]]=TRUE,((Table1[[#This Row],[Birthweight (grams)]]*1.1/Table1[[#This Row],[BW_GA]])-1)/(Backend!$B$4/100*Table1[[#This Row],[BW40_3705]]),"")</f>
        <v/>
      </c>
      <c r="J1654" s="7" t="str">
        <f>IF(Table1[[#This Row],[Is Data Valid]]=TRUE,_xlfn.NORM.S.DIST(Table1[[#This Row],[Birthweight Z-Score]],TRUE)*100,"")</f>
        <v/>
      </c>
      <c r="K1654" s="7" t="str">
        <f>IF(Table1[[#This Row],[Is Data Valid]]=TRUE,_xlfn.NORM.S.DIST(Table1[[#This Row],[Birthweight Z-Score (BW-10%)]],TRUE)*100,"")</f>
        <v/>
      </c>
      <c r="L1654" s="7" t="str">
        <f>IF(Table1[[#This Row],[Is Data Valid]]=TRUE,_xlfn.NORM.S.DIST(Table1[[#This Row],[Birthweight Z-Score (BW+10%)]],TRUE)*100,"")</f>
        <v/>
      </c>
    </row>
    <row r="1655" spans="1:12" x14ac:dyDescent="0.35">
      <c r="A1655" s="3"/>
      <c r="B1655" s="2"/>
      <c r="C1655" s="2"/>
      <c r="D1655" s="2" t="b">
        <f>IF(AND(NOT(ISBLANK(Table1[[#This Row],[Fetal Sex (Male, Female or Unknown)]])),ISNUMBER(Table1[[#This Row],[Birthweight (grams)]]),ISNUMBER(Table1[[#This Row],[Gestation (days)]])),TRUE,FALSE)</f>
        <v>0</v>
      </c>
      <c r="E1655" s="2" t="str">
        <f>IF(Table1[[#This Row],[Is Data Valid]]=TRUE,IF(Table1[[#This Row],[Fetal Sex (Male, Female or Unknown)]]="Male",Backend!$C$6,IF(Table1[[#This Row],[Fetal Sex (Male, Female or Unknown)]]="Female",Backend!$C$7,IF(Table1[[#This Row],[Fetal Sex (Male, Female or Unknown)]]="Unknown",Backend!$C$8,"Error"))),"")</f>
        <v/>
      </c>
      <c r="F1655" s="8" t="str">
        <f>IF(Table1[[#This Row],[Is Data Valid]]=TRUE,EXP(0.578+0.332*((Table1[[#This Row],[Gestation (days)]]+0.5)/7)-0.00354*((Table1[[#This Row],[Gestation (days)]]+0.5)/7)^2)*Table1[[#This Row],[BW40_3705]],"")</f>
        <v/>
      </c>
      <c r="G1655" s="2" t="str">
        <f>IF(Table1[[#This Row],[Is Data Valid]]=TRUE,((Table1[[#This Row],[Birthweight (grams)]]/Table1[[#This Row],[BW_GA]])-1)/(Backend!$B$4/100*Table1[[#This Row],[BW40_3705]]),"")</f>
        <v/>
      </c>
      <c r="H1655" s="7" t="str">
        <f>IF(Table1[[#This Row],[Is Data Valid]]=TRUE,((Table1[[#This Row],[Birthweight (grams)]]*0.9/Table1[[#This Row],[BW_GA]])-1)/(Backend!$B$4/100*Table1[[#This Row],[BW40_3705]]),"")</f>
        <v/>
      </c>
      <c r="I1655" s="7" t="str">
        <f>IF(Table1[[#This Row],[Is Data Valid]]=TRUE,((Table1[[#This Row],[Birthweight (grams)]]*1.1/Table1[[#This Row],[BW_GA]])-1)/(Backend!$B$4/100*Table1[[#This Row],[BW40_3705]]),"")</f>
        <v/>
      </c>
      <c r="J1655" s="7" t="str">
        <f>IF(Table1[[#This Row],[Is Data Valid]]=TRUE,_xlfn.NORM.S.DIST(Table1[[#This Row],[Birthweight Z-Score]],TRUE)*100,"")</f>
        <v/>
      </c>
      <c r="K1655" s="7" t="str">
        <f>IF(Table1[[#This Row],[Is Data Valid]]=TRUE,_xlfn.NORM.S.DIST(Table1[[#This Row],[Birthweight Z-Score (BW-10%)]],TRUE)*100,"")</f>
        <v/>
      </c>
      <c r="L1655" s="7" t="str">
        <f>IF(Table1[[#This Row],[Is Data Valid]]=TRUE,_xlfn.NORM.S.DIST(Table1[[#This Row],[Birthweight Z-Score (BW+10%)]],TRUE)*100,"")</f>
        <v/>
      </c>
    </row>
    <row r="1656" spans="1:12" x14ac:dyDescent="0.35">
      <c r="A1656" s="3"/>
      <c r="B1656" s="2"/>
      <c r="C1656" s="2"/>
      <c r="D1656" s="2" t="b">
        <f>IF(AND(NOT(ISBLANK(Table1[[#This Row],[Fetal Sex (Male, Female or Unknown)]])),ISNUMBER(Table1[[#This Row],[Birthweight (grams)]]),ISNUMBER(Table1[[#This Row],[Gestation (days)]])),TRUE,FALSE)</f>
        <v>0</v>
      </c>
      <c r="E1656" s="2" t="str">
        <f>IF(Table1[[#This Row],[Is Data Valid]]=TRUE,IF(Table1[[#This Row],[Fetal Sex (Male, Female or Unknown)]]="Male",Backend!$C$6,IF(Table1[[#This Row],[Fetal Sex (Male, Female or Unknown)]]="Female",Backend!$C$7,IF(Table1[[#This Row],[Fetal Sex (Male, Female or Unknown)]]="Unknown",Backend!$C$8,"Error"))),"")</f>
        <v/>
      </c>
      <c r="F1656" s="8" t="str">
        <f>IF(Table1[[#This Row],[Is Data Valid]]=TRUE,EXP(0.578+0.332*((Table1[[#This Row],[Gestation (days)]]+0.5)/7)-0.00354*((Table1[[#This Row],[Gestation (days)]]+0.5)/7)^2)*Table1[[#This Row],[BW40_3705]],"")</f>
        <v/>
      </c>
      <c r="G1656" s="2" t="str">
        <f>IF(Table1[[#This Row],[Is Data Valid]]=TRUE,((Table1[[#This Row],[Birthweight (grams)]]/Table1[[#This Row],[BW_GA]])-1)/(Backend!$B$4/100*Table1[[#This Row],[BW40_3705]]),"")</f>
        <v/>
      </c>
      <c r="H1656" s="7" t="str">
        <f>IF(Table1[[#This Row],[Is Data Valid]]=TRUE,((Table1[[#This Row],[Birthweight (grams)]]*0.9/Table1[[#This Row],[BW_GA]])-1)/(Backend!$B$4/100*Table1[[#This Row],[BW40_3705]]),"")</f>
        <v/>
      </c>
      <c r="I1656" s="7" t="str">
        <f>IF(Table1[[#This Row],[Is Data Valid]]=TRUE,((Table1[[#This Row],[Birthweight (grams)]]*1.1/Table1[[#This Row],[BW_GA]])-1)/(Backend!$B$4/100*Table1[[#This Row],[BW40_3705]]),"")</f>
        <v/>
      </c>
      <c r="J1656" s="7" t="str">
        <f>IF(Table1[[#This Row],[Is Data Valid]]=TRUE,_xlfn.NORM.S.DIST(Table1[[#This Row],[Birthweight Z-Score]],TRUE)*100,"")</f>
        <v/>
      </c>
      <c r="K1656" s="7" t="str">
        <f>IF(Table1[[#This Row],[Is Data Valid]]=TRUE,_xlfn.NORM.S.DIST(Table1[[#This Row],[Birthweight Z-Score (BW-10%)]],TRUE)*100,"")</f>
        <v/>
      </c>
      <c r="L1656" s="7" t="str">
        <f>IF(Table1[[#This Row],[Is Data Valid]]=TRUE,_xlfn.NORM.S.DIST(Table1[[#This Row],[Birthweight Z-Score (BW+10%)]],TRUE)*100,"")</f>
        <v/>
      </c>
    </row>
    <row r="1657" spans="1:12" x14ac:dyDescent="0.35">
      <c r="A1657" s="3"/>
      <c r="B1657" s="2"/>
      <c r="C1657" s="2"/>
      <c r="D1657" s="2" t="b">
        <f>IF(AND(NOT(ISBLANK(Table1[[#This Row],[Fetal Sex (Male, Female or Unknown)]])),ISNUMBER(Table1[[#This Row],[Birthweight (grams)]]),ISNUMBER(Table1[[#This Row],[Gestation (days)]])),TRUE,FALSE)</f>
        <v>0</v>
      </c>
      <c r="E1657" s="2" t="str">
        <f>IF(Table1[[#This Row],[Is Data Valid]]=TRUE,IF(Table1[[#This Row],[Fetal Sex (Male, Female or Unknown)]]="Male",Backend!$C$6,IF(Table1[[#This Row],[Fetal Sex (Male, Female or Unknown)]]="Female",Backend!$C$7,IF(Table1[[#This Row],[Fetal Sex (Male, Female or Unknown)]]="Unknown",Backend!$C$8,"Error"))),"")</f>
        <v/>
      </c>
      <c r="F1657" s="8" t="str">
        <f>IF(Table1[[#This Row],[Is Data Valid]]=TRUE,EXP(0.578+0.332*((Table1[[#This Row],[Gestation (days)]]+0.5)/7)-0.00354*((Table1[[#This Row],[Gestation (days)]]+0.5)/7)^2)*Table1[[#This Row],[BW40_3705]],"")</f>
        <v/>
      </c>
      <c r="G1657" s="2" t="str">
        <f>IF(Table1[[#This Row],[Is Data Valid]]=TRUE,((Table1[[#This Row],[Birthweight (grams)]]/Table1[[#This Row],[BW_GA]])-1)/(Backend!$B$4/100*Table1[[#This Row],[BW40_3705]]),"")</f>
        <v/>
      </c>
      <c r="H1657" s="7" t="str">
        <f>IF(Table1[[#This Row],[Is Data Valid]]=TRUE,((Table1[[#This Row],[Birthweight (grams)]]*0.9/Table1[[#This Row],[BW_GA]])-1)/(Backend!$B$4/100*Table1[[#This Row],[BW40_3705]]),"")</f>
        <v/>
      </c>
      <c r="I1657" s="7" t="str">
        <f>IF(Table1[[#This Row],[Is Data Valid]]=TRUE,((Table1[[#This Row],[Birthweight (grams)]]*1.1/Table1[[#This Row],[BW_GA]])-1)/(Backend!$B$4/100*Table1[[#This Row],[BW40_3705]]),"")</f>
        <v/>
      </c>
      <c r="J1657" s="7" t="str">
        <f>IF(Table1[[#This Row],[Is Data Valid]]=TRUE,_xlfn.NORM.S.DIST(Table1[[#This Row],[Birthweight Z-Score]],TRUE)*100,"")</f>
        <v/>
      </c>
      <c r="K1657" s="7" t="str">
        <f>IF(Table1[[#This Row],[Is Data Valid]]=TRUE,_xlfn.NORM.S.DIST(Table1[[#This Row],[Birthweight Z-Score (BW-10%)]],TRUE)*100,"")</f>
        <v/>
      </c>
      <c r="L1657" s="7" t="str">
        <f>IF(Table1[[#This Row],[Is Data Valid]]=TRUE,_xlfn.NORM.S.DIST(Table1[[#This Row],[Birthweight Z-Score (BW+10%)]],TRUE)*100,"")</f>
        <v/>
      </c>
    </row>
    <row r="1658" spans="1:12" x14ac:dyDescent="0.35">
      <c r="A1658" s="3"/>
      <c r="B1658" s="2"/>
      <c r="C1658" s="2"/>
      <c r="D1658" s="2" t="b">
        <f>IF(AND(NOT(ISBLANK(Table1[[#This Row],[Fetal Sex (Male, Female or Unknown)]])),ISNUMBER(Table1[[#This Row],[Birthweight (grams)]]),ISNUMBER(Table1[[#This Row],[Gestation (days)]])),TRUE,FALSE)</f>
        <v>0</v>
      </c>
      <c r="E1658" s="2" t="str">
        <f>IF(Table1[[#This Row],[Is Data Valid]]=TRUE,IF(Table1[[#This Row],[Fetal Sex (Male, Female or Unknown)]]="Male",Backend!$C$6,IF(Table1[[#This Row],[Fetal Sex (Male, Female or Unknown)]]="Female",Backend!$C$7,IF(Table1[[#This Row],[Fetal Sex (Male, Female or Unknown)]]="Unknown",Backend!$C$8,"Error"))),"")</f>
        <v/>
      </c>
      <c r="F1658" s="8" t="str">
        <f>IF(Table1[[#This Row],[Is Data Valid]]=TRUE,EXP(0.578+0.332*((Table1[[#This Row],[Gestation (days)]]+0.5)/7)-0.00354*((Table1[[#This Row],[Gestation (days)]]+0.5)/7)^2)*Table1[[#This Row],[BW40_3705]],"")</f>
        <v/>
      </c>
      <c r="G1658" s="2" t="str">
        <f>IF(Table1[[#This Row],[Is Data Valid]]=TRUE,((Table1[[#This Row],[Birthweight (grams)]]/Table1[[#This Row],[BW_GA]])-1)/(Backend!$B$4/100*Table1[[#This Row],[BW40_3705]]),"")</f>
        <v/>
      </c>
      <c r="H1658" s="7" t="str">
        <f>IF(Table1[[#This Row],[Is Data Valid]]=TRUE,((Table1[[#This Row],[Birthweight (grams)]]*0.9/Table1[[#This Row],[BW_GA]])-1)/(Backend!$B$4/100*Table1[[#This Row],[BW40_3705]]),"")</f>
        <v/>
      </c>
      <c r="I1658" s="7" t="str">
        <f>IF(Table1[[#This Row],[Is Data Valid]]=TRUE,((Table1[[#This Row],[Birthweight (grams)]]*1.1/Table1[[#This Row],[BW_GA]])-1)/(Backend!$B$4/100*Table1[[#This Row],[BW40_3705]]),"")</f>
        <v/>
      </c>
      <c r="J1658" s="7" t="str">
        <f>IF(Table1[[#This Row],[Is Data Valid]]=TRUE,_xlfn.NORM.S.DIST(Table1[[#This Row],[Birthweight Z-Score]],TRUE)*100,"")</f>
        <v/>
      </c>
      <c r="K1658" s="7" t="str">
        <f>IF(Table1[[#This Row],[Is Data Valid]]=TRUE,_xlfn.NORM.S.DIST(Table1[[#This Row],[Birthweight Z-Score (BW-10%)]],TRUE)*100,"")</f>
        <v/>
      </c>
      <c r="L1658" s="7" t="str">
        <f>IF(Table1[[#This Row],[Is Data Valid]]=TRUE,_xlfn.NORM.S.DIST(Table1[[#This Row],[Birthweight Z-Score (BW+10%)]],TRUE)*100,"")</f>
        <v/>
      </c>
    </row>
    <row r="1659" spans="1:12" x14ac:dyDescent="0.35">
      <c r="A1659" s="3"/>
      <c r="B1659" s="2"/>
      <c r="C1659" s="2"/>
      <c r="D1659" s="2" t="b">
        <f>IF(AND(NOT(ISBLANK(Table1[[#This Row],[Fetal Sex (Male, Female or Unknown)]])),ISNUMBER(Table1[[#This Row],[Birthweight (grams)]]),ISNUMBER(Table1[[#This Row],[Gestation (days)]])),TRUE,FALSE)</f>
        <v>0</v>
      </c>
      <c r="E1659" s="2" t="str">
        <f>IF(Table1[[#This Row],[Is Data Valid]]=TRUE,IF(Table1[[#This Row],[Fetal Sex (Male, Female or Unknown)]]="Male",Backend!$C$6,IF(Table1[[#This Row],[Fetal Sex (Male, Female or Unknown)]]="Female",Backend!$C$7,IF(Table1[[#This Row],[Fetal Sex (Male, Female or Unknown)]]="Unknown",Backend!$C$8,"Error"))),"")</f>
        <v/>
      </c>
      <c r="F1659" s="8" t="str">
        <f>IF(Table1[[#This Row],[Is Data Valid]]=TRUE,EXP(0.578+0.332*((Table1[[#This Row],[Gestation (days)]]+0.5)/7)-0.00354*((Table1[[#This Row],[Gestation (days)]]+0.5)/7)^2)*Table1[[#This Row],[BW40_3705]],"")</f>
        <v/>
      </c>
      <c r="G1659" s="2" t="str">
        <f>IF(Table1[[#This Row],[Is Data Valid]]=TRUE,((Table1[[#This Row],[Birthweight (grams)]]/Table1[[#This Row],[BW_GA]])-1)/(Backend!$B$4/100*Table1[[#This Row],[BW40_3705]]),"")</f>
        <v/>
      </c>
      <c r="H1659" s="7" t="str">
        <f>IF(Table1[[#This Row],[Is Data Valid]]=TRUE,((Table1[[#This Row],[Birthweight (grams)]]*0.9/Table1[[#This Row],[BW_GA]])-1)/(Backend!$B$4/100*Table1[[#This Row],[BW40_3705]]),"")</f>
        <v/>
      </c>
      <c r="I1659" s="7" t="str">
        <f>IF(Table1[[#This Row],[Is Data Valid]]=TRUE,((Table1[[#This Row],[Birthweight (grams)]]*1.1/Table1[[#This Row],[BW_GA]])-1)/(Backend!$B$4/100*Table1[[#This Row],[BW40_3705]]),"")</f>
        <v/>
      </c>
      <c r="J1659" s="7" t="str">
        <f>IF(Table1[[#This Row],[Is Data Valid]]=TRUE,_xlfn.NORM.S.DIST(Table1[[#This Row],[Birthweight Z-Score]],TRUE)*100,"")</f>
        <v/>
      </c>
      <c r="K1659" s="7" t="str">
        <f>IF(Table1[[#This Row],[Is Data Valid]]=TRUE,_xlfn.NORM.S.DIST(Table1[[#This Row],[Birthweight Z-Score (BW-10%)]],TRUE)*100,"")</f>
        <v/>
      </c>
      <c r="L1659" s="7" t="str">
        <f>IF(Table1[[#This Row],[Is Data Valid]]=TRUE,_xlfn.NORM.S.DIST(Table1[[#This Row],[Birthweight Z-Score (BW+10%)]],TRUE)*100,"")</f>
        <v/>
      </c>
    </row>
    <row r="1660" spans="1:12" x14ac:dyDescent="0.35">
      <c r="A1660" s="3"/>
      <c r="B1660" s="2"/>
      <c r="C1660" s="2"/>
      <c r="D1660" s="2" t="b">
        <f>IF(AND(NOT(ISBLANK(Table1[[#This Row],[Fetal Sex (Male, Female or Unknown)]])),ISNUMBER(Table1[[#This Row],[Birthweight (grams)]]),ISNUMBER(Table1[[#This Row],[Gestation (days)]])),TRUE,FALSE)</f>
        <v>0</v>
      </c>
      <c r="E1660" s="2" t="str">
        <f>IF(Table1[[#This Row],[Is Data Valid]]=TRUE,IF(Table1[[#This Row],[Fetal Sex (Male, Female or Unknown)]]="Male",Backend!$C$6,IF(Table1[[#This Row],[Fetal Sex (Male, Female or Unknown)]]="Female",Backend!$C$7,IF(Table1[[#This Row],[Fetal Sex (Male, Female or Unknown)]]="Unknown",Backend!$C$8,"Error"))),"")</f>
        <v/>
      </c>
      <c r="F1660" s="8" t="str">
        <f>IF(Table1[[#This Row],[Is Data Valid]]=TRUE,EXP(0.578+0.332*((Table1[[#This Row],[Gestation (days)]]+0.5)/7)-0.00354*((Table1[[#This Row],[Gestation (days)]]+0.5)/7)^2)*Table1[[#This Row],[BW40_3705]],"")</f>
        <v/>
      </c>
      <c r="G1660" s="2" t="str">
        <f>IF(Table1[[#This Row],[Is Data Valid]]=TRUE,((Table1[[#This Row],[Birthweight (grams)]]/Table1[[#This Row],[BW_GA]])-1)/(Backend!$B$4/100*Table1[[#This Row],[BW40_3705]]),"")</f>
        <v/>
      </c>
      <c r="H1660" s="7" t="str">
        <f>IF(Table1[[#This Row],[Is Data Valid]]=TRUE,((Table1[[#This Row],[Birthweight (grams)]]*0.9/Table1[[#This Row],[BW_GA]])-1)/(Backend!$B$4/100*Table1[[#This Row],[BW40_3705]]),"")</f>
        <v/>
      </c>
      <c r="I1660" s="7" t="str">
        <f>IF(Table1[[#This Row],[Is Data Valid]]=TRUE,((Table1[[#This Row],[Birthweight (grams)]]*1.1/Table1[[#This Row],[BW_GA]])-1)/(Backend!$B$4/100*Table1[[#This Row],[BW40_3705]]),"")</f>
        <v/>
      </c>
      <c r="J1660" s="7" t="str">
        <f>IF(Table1[[#This Row],[Is Data Valid]]=TRUE,_xlfn.NORM.S.DIST(Table1[[#This Row],[Birthweight Z-Score]],TRUE)*100,"")</f>
        <v/>
      </c>
      <c r="K1660" s="7" t="str">
        <f>IF(Table1[[#This Row],[Is Data Valid]]=TRUE,_xlfn.NORM.S.DIST(Table1[[#This Row],[Birthweight Z-Score (BW-10%)]],TRUE)*100,"")</f>
        <v/>
      </c>
      <c r="L1660" s="7" t="str">
        <f>IF(Table1[[#This Row],[Is Data Valid]]=TRUE,_xlfn.NORM.S.DIST(Table1[[#This Row],[Birthweight Z-Score (BW+10%)]],TRUE)*100,"")</f>
        <v/>
      </c>
    </row>
    <row r="1661" spans="1:12" x14ac:dyDescent="0.35">
      <c r="A1661" s="3"/>
      <c r="B1661" s="2"/>
      <c r="C1661" s="2"/>
      <c r="D1661" s="2" t="b">
        <f>IF(AND(NOT(ISBLANK(Table1[[#This Row],[Fetal Sex (Male, Female or Unknown)]])),ISNUMBER(Table1[[#This Row],[Birthweight (grams)]]),ISNUMBER(Table1[[#This Row],[Gestation (days)]])),TRUE,FALSE)</f>
        <v>0</v>
      </c>
      <c r="E1661" s="2" t="str">
        <f>IF(Table1[[#This Row],[Is Data Valid]]=TRUE,IF(Table1[[#This Row],[Fetal Sex (Male, Female or Unknown)]]="Male",Backend!$C$6,IF(Table1[[#This Row],[Fetal Sex (Male, Female or Unknown)]]="Female",Backend!$C$7,IF(Table1[[#This Row],[Fetal Sex (Male, Female or Unknown)]]="Unknown",Backend!$C$8,"Error"))),"")</f>
        <v/>
      </c>
      <c r="F1661" s="8" t="str">
        <f>IF(Table1[[#This Row],[Is Data Valid]]=TRUE,EXP(0.578+0.332*((Table1[[#This Row],[Gestation (days)]]+0.5)/7)-0.00354*((Table1[[#This Row],[Gestation (days)]]+0.5)/7)^2)*Table1[[#This Row],[BW40_3705]],"")</f>
        <v/>
      </c>
      <c r="G1661" s="2" t="str">
        <f>IF(Table1[[#This Row],[Is Data Valid]]=TRUE,((Table1[[#This Row],[Birthweight (grams)]]/Table1[[#This Row],[BW_GA]])-1)/(Backend!$B$4/100*Table1[[#This Row],[BW40_3705]]),"")</f>
        <v/>
      </c>
      <c r="H1661" s="7" t="str">
        <f>IF(Table1[[#This Row],[Is Data Valid]]=TRUE,((Table1[[#This Row],[Birthweight (grams)]]*0.9/Table1[[#This Row],[BW_GA]])-1)/(Backend!$B$4/100*Table1[[#This Row],[BW40_3705]]),"")</f>
        <v/>
      </c>
      <c r="I1661" s="7" t="str">
        <f>IF(Table1[[#This Row],[Is Data Valid]]=TRUE,((Table1[[#This Row],[Birthweight (grams)]]*1.1/Table1[[#This Row],[BW_GA]])-1)/(Backend!$B$4/100*Table1[[#This Row],[BW40_3705]]),"")</f>
        <v/>
      </c>
      <c r="J1661" s="7" t="str">
        <f>IF(Table1[[#This Row],[Is Data Valid]]=TRUE,_xlfn.NORM.S.DIST(Table1[[#This Row],[Birthweight Z-Score]],TRUE)*100,"")</f>
        <v/>
      </c>
      <c r="K1661" s="7" t="str">
        <f>IF(Table1[[#This Row],[Is Data Valid]]=TRUE,_xlfn.NORM.S.DIST(Table1[[#This Row],[Birthweight Z-Score (BW-10%)]],TRUE)*100,"")</f>
        <v/>
      </c>
      <c r="L1661" s="7" t="str">
        <f>IF(Table1[[#This Row],[Is Data Valid]]=TRUE,_xlfn.NORM.S.DIST(Table1[[#This Row],[Birthweight Z-Score (BW+10%)]],TRUE)*100,"")</f>
        <v/>
      </c>
    </row>
    <row r="1662" spans="1:12" x14ac:dyDescent="0.35">
      <c r="A1662" s="3"/>
      <c r="B1662" s="2"/>
      <c r="C1662" s="2"/>
      <c r="D1662" s="2" t="b">
        <f>IF(AND(NOT(ISBLANK(Table1[[#This Row],[Fetal Sex (Male, Female or Unknown)]])),ISNUMBER(Table1[[#This Row],[Birthweight (grams)]]),ISNUMBER(Table1[[#This Row],[Gestation (days)]])),TRUE,FALSE)</f>
        <v>0</v>
      </c>
      <c r="E1662" s="2" t="str">
        <f>IF(Table1[[#This Row],[Is Data Valid]]=TRUE,IF(Table1[[#This Row],[Fetal Sex (Male, Female or Unknown)]]="Male",Backend!$C$6,IF(Table1[[#This Row],[Fetal Sex (Male, Female or Unknown)]]="Female",Backend!$C$7,IF(Table1[[#This Row],[Fetal Sex (Male, Female or Unknown)]]="Unknown",Backend!$C$8,"Error"))),"")</f>
        <v/>
      </c>
      <c r="F1662" s="8" t="str">
        <f>IF(Table1[[#This Row],[Is Data Valid]]=TRUE,EXP(0.578+0.332*((Table1[[#This Row],[Gestation (days)]]+0.5)/7)-0.00354*((Table1[[#This Row],[Gestation (days)]]+0.5)/7)^2)*Table1[[#This Row],[BW40_3705]],"")</f>
        <v/>
      </c>
      <c r="G1662" s="2" t="str">
        <f>IF(Table1[[#This Row],[Is Data Valid]]=TRUE,((Table1[[#This Row],[Birthweight (grams)]]/Table1[[#This Row],[BW_GA]])-1)/(Backend!$B$4/100*Table1[[#This Row],[BW40_3705]]),"")</f>
        <v/>
      </c>
      <c r="H1662" s="7" t="str">
        <f>IF(Table1[[#This Row],[Is Data Valid]]=TRUE,((Table1[[#This Row],[Birthweight (grams)]]*0.9/Table1[[#This Row],[BW_GA]])-1)/(Backend!$B$4/100*Table1[[#This Row],[BW40_3705]]),"")</f>
        <v/>
      </c>
      <c r="I1662" s="7" t="str">
        <f>IF(Table1[[#This Row],[Is Data Valid]]=TRUE,((Table1[[#This Row],[Birthweight (grams)]]*1.1/Table1[[#This Row],[BW_GA]])-1)/(Backend!$B$4/100*Table1[[#This Row],[BW40_3705]]),"")</f>
        <v/>
      </c>
      <c r="J1662" s="7" t="str">
        <f>IF(Table1[[#This Row],[Is Data Valid]]=TRUE,_xlfn.NORM.S.DIST(Table1[[#This Row],[Birthweight Z-Score]],TRUE)*100,"")</f>
        <v/>
      </c>
      <c r="K1662" s="7" t="str">
        <f>IF(Table1[[#This Row],[Is Data Valid]]=TRUE,_xlfn.NORM.S.DIST(Table1[[#This Row],[Birthweight Z-Score (BW-10%)]],TRUE)*100,"")</f>
        <v/>
      </c>
      <c r="L1662" s="7" t="str">
        <f>IF(Table1[[#This Row],[Is Data Valid]]=TRUE,_xlfn.NORM.S.DIST(Table1[[#This Row],[Birthweight Z-Score (BW+10%)]],TRUE)*100,"")</f>
        <v/>
      </c>
    </row>
    <row r="1663" spans="1:12" x14ac:dyDescent="0.35">
      <c r="A1663" s="3"/>
      <c r="B1663" s="2"/>
      <c r="C1663" s="2"/>
      <c r="D1663" s="2" t="b">
        <f>IF(AND(NOT(ISBLANK(Table1[[#This Row],[Fetal Sex (Male, Female or Unknown)]])),ISNUMBER(Table1[[#This Row],[Birthweight (grams)]]),ISNUMBER(Table1[[#This Row],[Gestation (days)]])),TRUE,FALSE)</f>
        <v>0</v>
      </c>
      <c r="E1663" s="2" t="str">
        <f>IF(Table1[[#This Row],[Is Data Valid]]=TRUE,IF(Table1[[#This Row],[Fetal Sex (Male, Female or Unknown)]]="Male",Backend!$C$6,IF(Table1[[#This Row],[Fetal Sex (Male, Female or Unknown)]]="Female",Backend!$C$7,IF(Table1[[#This Row],[Fetal Sex (Male, Female or Unknown)]]="Unknown",Backend!$C$8,"Error"))),"")</f>
        <v/>
      </c>
      <c r="F1663" s="8" t="str">
        <f>IF(Table1[[#This Row],[Is Data Valid]]=TRUE,EXP(0.578+0.332*((Table1[[#This Row],[Gestation (days)]]+0.5)/7)-0.00354*((Table1[[#This Row],[Gestation (days)]]+0.5)/7)^2)*Table1[[#This Row],[BW40_3705]],"")</f>
        <v/>
      </c>
      <c r="G1663" s="2" t="str">
        <f>IF(Table1[[#This Row],[Is Data Valid]]=TRUE,((Table1[[#This Row],[Birthweight (grams)]]/Table1[[#This Row],[BW_GA]])-1)/(Backend!$B$4/100*Table1[[#This Row],[BW40_3705]]),"")</f>
        <v/>
      </c>
      <c r="H1663" s="7" t="str">
        <f>IF(Table1[[#This Row],[Is Data Valid]]=TRUE,((Table1[[#This Row],[Birthweight (grams)]]*0.9/Table1[[#This Row],[BW_GA]])-1)/(Backend!$B$4/100*Table1[[#This Row],[BW40_3705]]),"")</f>
        <v/>
      </c>
      <c r="I1663" s="7" t="str">
        <f>IF(Table1[[#This Row],[Is Data Valid]]=TRUE,((Table1[[#This Row],[Birthweight (grams)]]*1.1/Table1[[#This Row],[BW_GA]])-1)/(Backend!$B$4/100*Table1[[#This Row],[BW40_3705]]),"")</f>
        <v/>
      </c>
      <c r="J1663" s="7" t="str">
        <f>IF(Table1[[#This Row],[Is Data Valid]]=TRUE,_xlfn.NORM.S.DIST(Table1[[#This Row],[Birthweight Z-Score]],TRUE)*100,"")</f>
        <v/>
      </c>
      <c r="K1663" s="7" t="str">
        <f>IF(Table1[[#This Row],[Is Data Valid]]=TRUE,_xlfn.NORM.S.DIST(Table1[[#This Row],[Birthweight Z-Score (BW-10%)]],TRUE)*100,"")</f>
        <v/>
      </c>
      <c r="L1663" s="7" t="str">
        <f>IF(Table1[[#This Row],[Is Data Valid]]=TRUE,_xlfn.NORM.S.DIST(Table1[[#This Row],[Birthweight Z-Score (BW+10%)]],TRUE)*100,"")</f>
        <v/>
      </c>
    </row>
    <row r="1664" spans="1:12" x14ac:dyDescent="0.35">
      <c r="A1664" s="3"/>
      <c r="B1664" s="2"/>
      <c r="C1664" s="2"/>
      <c r="D1664" s="2" t="b">
        <f>IF(AND(NOT(ISBLANK(Table1[[#This Row],[Fetal Sex (Male, Female or Unknown)]])),ISNUMBER(Table1[[#This Row],[Birthweight (grams)]]),ISNUMBER(Table1[[#This Row],[Gestation (days)]])),TRUE,FALSE)</f>
        <v>0</v>
      </c>
      <c r="E1664" s="2" t="str">
        <f>IF(Table1[[#This Row],[Is Data Valid]]=TRUE,IF(Table1[[#This Row],[Fetal Sex (Male, Female or Unknown)]]="Male",Backend!$C$6,IF(Table1[[#This Row],[Fetal Sex (Male, Female or Unknown)]]="Female",Backend!$C$7,IF(Table1[[#This Row],[Fetal Sex (Male, Female or Unknown)]]="Unknown",Backend!$C$8,"Error"))),"")</f>
        <v/>
      </c>
      <c r="F1664" s="8" t="str">
        <f>IF(Table1[[#This Row],[Is Data Valid]]=TRUE,EXP(0.578+0.332*((Table1[[#This Row],[Gestation (days)]]+0.5)/7)-0.00354*((Table1[[#This Row],[Gestation (days)]]+0.5)/7)^2)*Table1[[#This Row],[BW40_3705]],"")</f>
        <v/>
      </c>
      <c r="G1664" s="2" t="str">
        <f>IF(Table1[[#This Row],[Is Data Valid]]=TRUE,((Table1[[#This Row],[Birthweight (grams)]]/Table1[[#This Row],[BW_GA]])-1)/(Backend!$B$4/100*Table1[[#This Row],[BW40_3705]]),"")</f>
        <v/>
      </c>
      <c r="H1664" s="7" t="str">
        <f>IF(Table1[[#This Row],[Is Data Valid]]=TRUE,((Table1[[#This Row],[Birthweight (grams)]]*0.9/Table1[[#This Row],[BW_GA]])-1)/(Backend!$B$4/100*Table1[[#This Row],[BW40_3705]]),"")</f>
        <v/>
      </c>
      <c r="I1664" s="7" t="str">
        <f>IF(Table1[[#This Row],[Is Data Valid]]=TRUE,((Table1[[#This Row],[Birthweight (grams)]]*1.1/Table1[[#This Row],[BW_GA]])-1)/(Backend!$B$4/100*Table1[[#This Row],[BW40_3705]]),"")</f>
        <v/>
      </c>
      <c r="J1664" s="7" t="str">
        <f>IF(Table1[[#This Row],[Is Data Valid]]=TRUE,_xlfn.NORM.S.DIST(Table1[[#This Row],[Birthweight Z-Score]],TRUE)*100,"")</f>
        <v/>
      </c>
      <c r="K1664" s="7" t="str">
        <f>IF(Table1[[#This Row],[Is Data Valid]]=TRUE,_xlfn.NORM.S.DIST(Table1[[#This Row],[Birthweight Z-Score (BW-10%)]],TRUE)*100,"")</f>
        <v/>
      </c>
      <c r="L1664" s="7" t="str">
        <f>IF(Table1[[#This Row],[Is Data Valid]]=TRUE,_xlfn.NORM.S.DIST(Table1[[#This Row],[Birthweight Z-Score (BW+10%)]],TRUE)*100,"")</f>
        <v/>
      </c>
    </row>
    <row r="1665" spans="1:12" x14ac:dyDescent="0.35">
      <c r="A1665" s="3"/>
      <c r="B1665" s="2"/>
      <c r="C1665" s="2"/>
      <c r="D1665" s="2" t="b">
        <f>IF(AND(NOT(ISBLANK(Table1[[#This Row],[Fetal Sex (Male, Female or Unknown)]])),ISNUMBER(Table1[[#This Row],[Birthweight (grams)]]),ISNUMBER(Table1[[#This Row],[Gestation (days)]])),TRUE,FALSE)</f>
        <v>0</v>
      </c>
      <c r="E1665" s="2" t="str">
        <f>IF(Table1[[#This Row],[Is Data Valid]]=TRUE,IF(Table1[[#This Row],[Fetal Sex (Male, Female or Unknown)]]="Male",Backend!$C$6,IF(Table1[[#This Row],[Fetal Sex (Male, Female or Unknown)]]="Female",Backend!$C$7,IF(Table1[[#This Row],[Fetal Sex (Male, Female or Unknown)]]="Unknown",Backend!$C$8,"Error"))),"")</f>
        <v/>
      </c>
      <c r="F1665" s="8" t="str">
        <f>IF(Table1[[#This Row],[Is Data Valid]]=TRUE,EXP(0.578+0.332*((Table1[[#This Row],[Gestation (days)]]+0.5)/7)-0.00354*((Table1[[#This Row],[Gestation (days)]]+0.5)/7)^2)*Table1[[#This Row],[BW40_3705]],"")</f>
        <v/>
      </c>
      <c r="G1665" s="2" t="str">
        <f>IF(Table1[[#This Row],[Is Data Valid]]=TRUE,((Table1[[#This Row],[Birthweight (grams)]]/Table1[[#This Row],[BW_GA]])-1)/(Backend!$B$4/100*Table1[[#This Row],[BW40_3705]]),"")</f>
        <v/>
      </c>
      <c r="H1665" s="7" t="str">
        <f>IF(Table1[[#This Row],[Is Data Valid]]=TRUE,((Table1[[#This Row],[Birthweight (grams)]]*0.9/Table1[[#This Row],[BW_GA]])-1)/(Backend!$B$4/100*Table1[[#This Row],[BW40_3705]]),"")</f>
        <v/>
      </c>
      <c r="I1665" s="7" t="str">
        <f>IF(Table1[[#This Row],[Is Data Valid]]=TRUE,((Table1[[#This Row],[Birthweight (grams)]]*1.1/Table1[[#This Row],[BW_GA]])-1)/(Backend!$B$4/100*Table1[[#This Row],[BW40_3705]]),"")</f>
        <v/>
      </c>
      <c r="J1665" s="7" t="str">
        <f>IF(Table1[[#This Row],[Is Data Valid]]=TRUE,_xlfn.NORM.S.DIST(Table1[[#This Row],[Birthweight Z-Score]],TRUE)*100,"")</f>
        <v/>
      </c>
      <c r="K1665" s="7" t="str">
        <f>IF(Table1[[#This Row],[Is Data Valid]]=TRUE,_xlfn.NORM.S.DIST(Table1[[#This Row],[Birthweight Z-Score (BW-10%)]],TRUE)*100,"")</f>
        <v/>
      </c>
      <c r="L1665" s="7" t="str">
        <f>IF(Table1[[#This Row],[Is Data Valid]]=TRUE,_xlfn.NORM.S.DIST(Table1[[#This Row],[Birthweight Z-Score (BW+10%)]],TRUE)*100,"")</f>
        <v/>
      </c>
    </row>
    <row r="1666" spans="1:12" x14ac:dyDescent="0.35">
      <c r="A1666" s="3"/>
      <c r="B1666" s="2"/>
      <c r="C1666" s="2"/>
      <c r="D1666" s="2" t="b">
        <f>IF(AND(NOT(ISBLANK(Table1[[#This Row],[Fetal Sex (Male, Female or Unknown)]])),ISNUMBER(Table1[[#This Row],[Birthweight (grams)]]),ISNUMBER(Table1[[#This Row],[Gestation (days)]])),TRUE,FALSE)</f>
        <v>0</v>
      </c>
      <c r="E1666" s="2" t="str">
        <f>IF(Table1[[#This Row],[Is Data Valid]]=TRUE,IF(Table1[[#This Row],[Fetal Sex (Male, Female or Unknown)]]="Male",Backend!$C$6,IF(Table1[[#This Row],[Fetal Sex (Male, Female or Unknown)]]="Female",Backend!$C$7,IF(Table1[[#This Row],[Fetal Sex (Male, Female or Unknown)]]="Unknown",Backend!$C$8,"Error"))),"")</f>
        <v/>
      </c>
      <c r="F1666" s="8" t="str">
        <f>IF(Table1[[#This Row],[Is Data Valid]]=TRUE,EXP(0.578+0.332*((Table1[[#This Row],[Gestation (days)]]+0.5)/7)-0.00354*((Table1[[#This Row],[Gestation (days)]]+0.5)/7)^2)*Table1[[#This Row],[BW40_3705]],"")</f>
        <v/>
      </c>
      <c r="G1666" s="2" t="str">
        <f>IF(Table1[[#This Row],[Is Data Valid]]=TRUE,((Table1[[#This Row],[Birthweight (grams)]]/Table1[[#This Row],[BW_GA]])-1)/(Backend!$B$4/100*Table1[[#This Row],[BW40_3705]]),"")</f>
        <v/>
      </c>
      <c r="H1666" s="7" t="str">
        <f>IF(Table1[[#This Row],[Is Data Valid]]=TRUE,((Table1[[#This Row],[Birthweight (grams)]]*0.9/Table1[[#This Row],[BW_GA]])-1)/(Backend!$B$4/100*Table1[[#This Row],[BW40_3705]]),"")</f>
        <v/>
      </c>
      <c r="I1666" s="7" t="str">
        <f>IF(Table1[[#This Row],[Is Data Valid]]=TRUE,((Table1[[#This Row],[Birthweight (grams)]]*1.1/Table1[[#This Row],[BW_GA]])-1)/(Backend!$B$4/100*Table1[[#This Row],[BW40_3705]]),"")</f>
        <v/>
      </c>
      <c r="J1666" s="7" t="str">
        <f>IF(Table1[[#This Row],[Is Data Valid]]=TRUE,_xlfn.NORM.S.DIST(Table1[[#This Row],[Birthweight Z-Score]],TRUE)*100,"")</f>
        <v/>
      </c>
      <c r="K1666" s="7" t="str">
        <f>IF(Table1[[#This Row],[Is Data Valid]]=TRUE,_xlfn.NORM.S.DIST(Table1[[#This Row],[Birthweight Z-Score (BW-10%)]],TRUE)*100,"")</f>
        <v/>
      </c>
      <c r="L1666" s="7" t="str">
        <f>IF(Table1[[#This Row],[Is Data Valid]]=TRUE,_xlfn.NORM.S.DIST(Table1[[#This Row],[Birthweight Z-Score (BW+10%)]],TRUE)*100,"")</f>
        <v/>
      </c>
    </row>
    <row r="1667" spans="1:12" x14ac:dyDescent="0.35">
      <c r="A1667" s="3"/>
      <c r="B1667" s="2"/>
      <c r="C1667" s="2"/>
      <c r="D1667" s="2" t="b">
        <f>IF(AND(NOT(ISBLANK(Table1[[#This Row],[Fetal Sex (Male, Female or Unknown)]])),ISNUMBER(Table1[[#This Row],[Birthweight (grams)]]),ISNUMBER(Table1[[#This Row],[Gestation (days)]])),TRUE,FALSE)</f>
        <v>0</v>
      </c>
      <c r="E1667" s="2" t="str">
        <f>IF(Table1[[#This Row],[Is Data Valid]]=TRUE,IF(Table1[[#This Row],[Fetal Sex (Male, Female or Unknown)]]="Male",Backend!$C$6,IF(Table1[[#This Row],[Fetal Sex (Male, Female or Unknown)]]="Female",Backend!$C$7,IF(Table1[[#This Row],[Fetal Sex (Male, Female or Unknown)]]="Unknown",Backend!$C$8,"Error"))),"")</f>
        <v/>
      </c>
      <c r="F1667" s="8" t="str">
        <f>IF(Table1[[#This Row],[Is Data Valid]]=TRUE,EXP(0.578+0.332*((Table1[[#This Row],[Gestation (days)]]+0.5)/7)-0.00354*((Table1[[#This Row],[Gestation (days)]]+0.5)/7)^2)*Table1[[#This Row],[BW40_3705]],"")</f>
        <v/>
      </c>
      <c r="G1667" s="2" t="str">
        <f>IF(Table1[[#This Row],[Is Data Valid]]=TRUE,((Table1[[#This Row],[Birthweight (grams)]]/Table1[[#This Row],[BW_GA]])-1)/(Backend!$B$4/100*Table1[[#This Row],[BW40_3705]]),"")</f>
        <v/>
      </c>
      <c r="H1667" s="7" t="str">
        <f>IF(Table1[[#This Row],[Is Data Valid]]=TRUE,((Table1[[#This Row],[Birthweight (grams)]]*0.9/Table1[[#This Row],[BW_GA]])-1)/(Backend!$B$4/100*Table1[[#This Row],[BW40_3705]]),"")</f>
        <v/>
      </c>
      <c r="I1667" s="7" t="str">
        <f>IF(Table1[[#This Row],[Is Data Valid]]=TRUE,((Table1[[#This Row],[Birthweight (grams)]]*1.1/Table1[[#This Row],[BW_GA]])-1)/(Backend!$B$4/100*Table1[[#This Row],[BW40_3705]]),"")</f>
        <v/>
      </c>
      <c r="J1667" s="7" t="str">
        <f>IF(Table1[[#This Row],[Is Data Valid]]=TRUE,_xlfn.NORM.S.DIST(Table1[[#This Row],[Birthweight Z-Score]],TRUE)*100,"")</f>
        <v/>
      </c>
      <c r="K1667" s="7" t="str">
        <f>IF(Table1[[#This Row],[Is Data Valid]]=TRUE,_xlfn.NORM.S.DIST(Table1[[#This Row],[Birthweight Z-Score (BW-10%)]],TRUE)*100,"")</f>
        <v/>
      </c>
      <c r="L1667" s="7" t="str">
        <f>IF(Table1[[#This Row],[Is Data Valid]]=TRUE,_xlfn.NORM.S.DIST(Table1[[#This Row],[Birthweight Z-Score (BW+10%)]],TRUE)*100,"")</f>
        <v/>
      </c>
    </row>
    <row r="1668" spans="1:12" x14ac:dyDescent="0.35">
      <c r="A1668" s="3"/>
      <c r="B1668" s="2"/>
      <c r="C1668" s="2"/>
      <c r="D1668" s="2" t="b">
        <f>IF(AND(NOT(ISBLANK(Table1[[#This Row],[Fetal Sex (Male, Female or Unknown)]])),ISNUMBER(Table1[[#This Row],[Birthweight (grams)]]),ISNUMBER(Table1[[#This Row],[Gestation (days)]])),TRUE,FALSE)</f>
        <v>0</v>
      </c>
      <c r="E1668" s="2" t="str">
        <f>IF(Table1[[#This Row],[Is Data Valid]]=TRUE,IF(Table1[[#This Row],[Fetal Sex (Male, Female or Unknown)]]="Male",Backend!$C$6,IF(Table1[[#This Row],[Fetal Sex (Male, Female or Unknown)]]="Female",Backend!$C$7,IF(Table1[[#This Row],[Fetal Sex (Male, Female or Unknown)]]="Unknown",Backend!$C$8,"Error"))),"")</f>
        <v/>
      </c>
      <c r="F1668" s="8" t="str">
        <f>IF(Table1[[#This Row],[Is Data Valid]]=TRUE,EXP(0.578+0.332*((Table1[[#This Row],[Gestation (days)]]+0.5)/7)-0.00354*((Table1[[#This Row],[Gestation (days)]]+0.5)/7)^2)*Table1[[#This Row],[BW40_3705]],"")</f>
        <v/>
      </c>
      <c r="G1668" s="2" t="str">
        <f>IF(Table1[[#This Row],[Is Data Valid]]=TRUE,((Table1[[#This Row],[Birthweight (grams)]]/Table1[[#This Row],[BW_GA]])-1)/(Backend!$B$4/100*Table1[[#This Row],[BW40_3705]]),"")</f>
        <v/>
      </c>
      <c r="H1668" s="7" t="str">
        <f>IF(Table1[[#This Row],[Is Data Valid]]=TRUE,((Table1[[#This Row],[Birthweight (grams)]]*0.9/Table1[[#This Row],[BW_GA]])-1)/(Backend!$B$4/100*Table1[[#This Row],[BW40_3705]]),"")</f>
        <v/>
      </c>
      <c r="I1668" s="7" t="str">
        <f>IF(Table1[[#This Row],[Is Data Valid]]=TRUE,((Table1[[#This Row],[Birthweight (grams)]]*1.1/Table1[[#This Row],[BW_GA]])-1)/(Backend!$B$4/100*Table1[[#This Row],[BW40_3705]]),"")</f>
        <v/>
      </c>
      <c r="J1668" s="7" t="str">
        <f>IF(Table1[[#This Row],[Is Data Valid]]=TRUE,_xlfn.NORM.S.DIST(Table1[[#This Row],[Birthweight Z-Score]],TRUE)*100,"")</f>
        <v/>
      </c>
      <c r="K1668" s="7" t="str">
        <f>IF(Table1[[#This Row],[Is Data Valid]]=TRUE,_xlfn.NORM.S.DIST(Table1[[#This Row],[Birthweight Z-Score (BW-10%)]],TRUE)*100,"")</f>
        <v/>
      </c>
      <c r="L1668" s="7" t="str">
        <f>IF(Table1[[#This Row],[Is Data Valid]]=TRUE,_xlfn.NORM.S.DIST(Table1[[#This Row],[Birthweight Z-Score (BW+10%)]],TRUE)*100,"")</f>
        <v/>
      </c>
    </row>
    <row r="1669" spans="1:12" x14ac:dyDescent="0.35">
      <c r="A1669" s="3"/>
      <c r="B1669" s="2"/>
      <c r="C1669" s="2"/>
      <c r="D1669" s="2" t="b">
        <f>IF(AND(NOT(ISBLANK(Table1[[#This Row],[Fetal Sex (Male, Female or Unknown)]])),ISNUMBER(Table1[[#This Row],[Birthweight (grams)]]),ISNUMBER(Table1[[#This Row],[Gestation (days)]])),TRUE,FALSE)</f>
        <v>0</v>
      </c>
      <c r="E1669" s="2" t="str">
        <f>IF(Table1[[#This Row],[Is Data Valid]]=TRUE,IF(Table1[[#This Row],[Fetal Sex (Male, Female or Unknown)]]="Male",Backend!$C$6,IF(Table1[[#This Row],[Fetal Sex (Male, Female or Unknown)]]="Female",Backend!$C$7,IF(Table1[[#This Row],[Fetal Sex (Male, Female or Unknown)]]="Unknown",Backend!$C$8,"Error"))),"")</f>
        <v/>
      </c>
      <c r="F1669" s="8" t="str">
        <f>IF(Table1[[#This Row],[Is Data Valid]]=TRUE,EXP(0.578+0.332*((Table1[[#This Row],[Gestation (days)]]+0.5)/7)-0.00354*((Table1[[#This Row],[Gestation (days)]]+0.5)/7)^2)*Table1[[#This Row],[BW40_3705]],"")</f>
        <v/>
      </c>
      <c r="G1669" s="2" t="str">
        <f>IF(Table1[[#This Row],[Is Data Valid]]=TRUE,((Table1[[#This Row],[Birthweight (grams)]]/Table1[[#This Row],[BW_GA]])-1)/(Backend!$B$4/100*Table1[[#This Row],[BW40_3705]]),"")</f>
        <v/>
      </c>
      <c r="H1669" s="7" t="str">
        <f>IF(Table1[[#This Row],[Is Data Valid]]=TRUE,((Table1[[#This Row],[Birthweight (grams)]]*0.9/Table1[[#This Row],[BW_GA]])-1)/(Backend!$B$4/100*Table1[[#This Row],[BW40_3705]]),"")</f>
        <v/>
      </c>
      <c r="I1669" s="7" t="str">
        <f>IF(Table1[[#This Row],[Is Data Valid]]=TRUE,((Table1[[#This Row],[Birthweight (grams)]]*1.1/Table1[[#This Row],[BW_GA]])-1)/(Backend!$B$4/100*Table1[[#This Row],[BW40_3705]]),"")</f>
        <v/>
      </c>
      <c r="J1669" s="7" t="str">
        <f>IF(Table1[[#This Row],[Is Data Valid]]=TRUE,_xlfn.NORM.S.DIST(Table1[[#This Row],[Birthweight Z-Score]],TRUE)*100,"")</f>
        <v/>
      </c>
      <c r="K1669" s="7" t="str">
        <f>IF(Table1[[#This Row],[Is Data Valid]]=TRUE,_xlfn.NORM.S.DIST(Table1[[#This Row],[Birthweight Z-Score (BW-10%)]],TRUE)*100,"")</f>
        <v/>
      </c>
      <c r="L1669" s="7" t="str">
        <f>IF(Table1[[#This Row],[Is Data Valid]]=TRUE,_xlfn.NORM.S.DIST(Table1[[#This Row],[Birthweight Z-Score (BW+10%)]],TRUE)*100,"")</f>
        <v/>
      </c>
    </row>
    <row r="1670" spans="1:12" x14ac:dyDescent="0.35">
      <c r="A1670" s="3"/>
      <c r="B1670" s="2"/>
      <c r="C1670" s="2"/>
      <c r="D1670" s="2" t="b">
        <f>IF(AND(NOT(ISBLANK(Table1[[#This Row],[Fetal Sex (Male, Female or Unknown)]])),ISNUMBER(Table1[[#This Row],[Birthweight (grams)]]),ISNUMBER(Table1[[#This Row],[Gestation (days)]])),TRUE,FALSE)</f>
        <v>0</v>
      </c>
      <c r="E1670" s="2" t="str">
        <f>IF(Table1[[#This Row],[Is Data Valid]]=TRUE,IF(Table1[[#This Row],[Fetal Sex (Male, Female or Unknown)]]="Male",Backend!$C$6,IF(Table1[[#This Row],[Fetal Sex (Male, Female or Unknown)]]="Female",Backend!$C$7,IF(Table1[[#This Row],[Fetal Sex (Male, Female or Unknown)]]="Unknown",Backend!$C$8,"Error"))),"")</f>
        <v/>
      </c>
      <c r="F1670" s="8" t="str">
        <f>IF(Table1[[#This Row],[Is Data Valid]]=TRUE,EXP(0.578+0.332*((Table1[[#This Row],[Gestation (days)]]+0.5)/7)-0.00354*((Table1[[#This Row],[Gestation (days)]]+0.5)/7)^2)*Table1[[#This Row],[BW40_3705]],"")</f>
        <v/>
      </c>
      <c r="G1670" s="2" t="str">
        <f>IF(Table1[[#This Row],[Is Data Valid]]=TRUE,((Table1[[#This Row],[Birthweight (grams)]]/Table1[[#This Row],[BW_GA]])-1)/(Backend!$B$4/100*Table1[[#This Row],[BW40_3705]]),"")</f>
        <v/>
      </c>
      <c r="H1670" s="7" t="str">
        <f>IF(Table1[[#This Row],[Is Data Valid]]=TRUE,((Table1[[#This Row],[Birthweight (grams)]]*0.9/Table1[[#This Row],[BW_GA]])-1)/(Backend!$B$4/100*Table1[[#This Row],[BW40_3705]]),"")</f>
        <v/>
      </c>
      <c r="I1670" s="7" t="str">
        <f>IF(Table1[[#This Row],[Is Data Valid]]=TRUE,((Table1[[#This Row],[Birthweight (grams)]]*1.1/Table1[[#This Row],[BW_GA]])-1)/(Backend!$B$4/100*Table1[[#This Row],[BW40_3705]]),"")</f>
        <v/>
      </c>
      <c r="J1670" s="7" t="str">
        <f>IF(Table1[[#This Row],[Is Data Valid]]=TRUE,_xlfn.NORM.S.DIST(Table1[[#This Row],[Birthweight Z-Score]],TRUE)*100,"")</f>
        <v/>
      </c>
      <c r="K1670" s="7" t="str">
        <f>IF(Table1[[#This Row],[Is Data Valid]]=TRUE,_xlfn.NORM.S.DIST(Table1[[#This Row],[Birthweight Z-Score (BW-10%)]],TRUE)*100,"")</f>
        <v/>
      </c>
      <c r="L1670" s="7" t="str">
        <f>IF(Table1[[#This Row],[Is Data Valid]]=TRUE,_xlfn.NORM.S.DIST(Table1[[#This Row],[Birthweight Z-Score (BW+10%)]],TRUE)*100,"")</f>
        <v/>
      </c>
    </row>
    <row r="1671" spans="1:12" x14ac:dyDescent="0.35">
      <c r="A1671" s="3"/>
      <c r="B1671" s="2"/>
      <c r="C1671" s="2"/>
      <c r="D1671" s="2" t="b">
        <f>IF(AND(NOT(ISBLANK(Table1[[#This Row],[Fetal Sex (Male, Female or Unknown)]])),ISNUMBER(Table1[[#This Row],[Birthweight (grams)]]),ISNUMBER(Table1[[#This Row],[Gestation (days)]])),TRUE,FALSE)</f>
        <v>0</v>
      </c>
      <c r="E1671" s="2" t="str">
        <f>IF(Table1[[#This Row],[Is Data Valid]]=TRUE,IF(Table1[[#This Row],[Fetal Sex (Male, Female or Unknown)]]="Male",Backend!$C$6,IF(Table1[[#This Row],[Fetal Sex (Male, Female or Unknown)]]="Female",Backend!$C$7,IF(Table1[[#This Row],[Fetal Sex (Male, Female or Unknown)]]="Unknown",Backend!$C$8,"Error"))),"")</f>
        <v/>
      </c>
      <c r="F1671" s="8" t="str">
        <f>IF(Table1[[#This Row],[Is Data Valid]]=TRUE,EXP(0.578+0.332*((Table1[[#This Row],[Gestation (days)]]+0.5)/7)-0.00354*((Table1[[#This Row],[Gestation (days)]]+0.5)/7)^2)*Table1[[#This Row],[BW40_3705]],"")</f>
        <v/>
      </c>
      <c r="G1671" s="2" t="str">
        <f>IF(Table1[[#This Row],[Is Data Valid]]=TRUE,((Table1[[#This Row],[Birthweight (grams)]]/Table1[[#This Row],[BW_GA]])-1)/(Backend!$B$4/100*Table1[[#This Row],[BW40_3705]]),"")</f>
        <v/>
      </c>
      <c r="H1671" s="7" t="str">
        <f>IF(Table1[[#This Row],[Is Data Valid]]=TRUE,((Table1[[#This Row],[Birthweight (grams)]]*0.9/Table1[[#This Row],[BW_GA]])-1)/(Backend!$B$4/100*Table1[[#This Row],[BW40_3705]]),"")</f>
        <v/>
      </c>
      <c r="I1671" s="7" t="str">
        <f>IF(Table1[[#This Row],[Is Data Valid]]=TRUE,((Table1[[#This Row],[Birthweight (grams)]]*1.1/Table1[[#This Row],[BW_GA]])-1)/(Backend!$B$4/100*Table1[[#This Row],[BW40_3705]]),"")</f>
        <v/>
      </c>
      <c r="J1671" s="7" t="str">
        <f>IF(Table1[[#This Row],[Is Data Valid]]=TRUE,_xlfn.NORM.S.DIST(Table1[[#This Row],[Birthweight Z-Score]],TRUE)*100,"")</f>
        <v/>
      </c>
      <c r="K1671" s="7" t="str">
        <f>IF(Table1[[#This Row],[Is Data Valid]]=TRUE,_xlfn.NORM.S.DIST(Table1[[#This Row],[Birthweight Z-Score (BW-10%)]],TRUE)*100,"")</f>
        <v/>
      </c>
      <c r="L1671" s="7" t="str">
        <f>IF(Table1[[#This Row],[Is Data Valid]]=TRUE,_xlfn.NORM.S.DIST(Table1[[#This Row],[Birthweight Z-Score (BW+10%)]],TRUE)*100,"")</f>
        <v/>
      </c>
    </row>
    <row r="1672" spans="1:12" x14ac:dyDescent="0.35">
      <c r="A1672" s="3"/>
      <c r="B1672" s="2"/>
      <c r="C1672" s="2"/>
      <c r="D1672" s="2" t="b">
        <f>IF(AND(NOT(ISBLANK(Table1[[#This Row],[Fetal Sex (Male, Female or Unknown)]])),ISNUMBER(Table1[[#This Row],[Birthweight (grams)]]),ISNUMBER(Table1[[#This Row],[Gestation (days)]])),TRUE,FALSE)</f>
        <v>0</v>
      </c>
      <c r="E1672" s="2" t="str">
        <f>IF(Table1[[#This Row],[Is Data Valid]]=TRUE,IF(Table1[[#This Row],[Fetal Sex (Male, Female or Unknown)]]="Male",Backend!$C$6,IF(Table1[[#This Row],[Fetal Sex (Male, Female or Unknown)]]="Female",Backend!$C$7,IF(Table1[[#This Row],[Fetal Sex (Male, Female or Unknown)]]="Unknown",Backend!$C$8,"Error"))),"")</f>
        <v/>
      </c>
      <c r="F1672" s="8" t="str">
        <f>IF(Table1[[#This Row],[Is Data Valid]]=TRUE,EXP(0.578+0.332*((Table1[[#This Row],[Gestation (days)]]+0.5)/7)-0.00354*((Table1[[#This Row],[Gestation (days)]]+0.5)/7)^2)*Table1[[#This Row],[BW40_3705]],"")</f>
        <v/>
      </c>
      <c r="G1672" s="2" t="str">
        <f>IF(Table1[[#This Row],[Is Data Valid]]=TRUE,((Table1[[#This Row],[Birthweight (grams)]]/Table1[[#This Row],[BW_GA]])-1)/(Backend!$B$4/100*Table1[[#This Row],[BW40_3705]]),"")</f>
        <v/>
      </c>
      <c r="H1672" s="7" t="str">
        <f>IF(Table1[[#This Row],[Is Data Valid]]=TRUE,((Table1[[#This Row],[Birthweight (grams)]]*0.9/Table1[[#This Row],[BW_GA]])-1)/(Backend!$B$4/100*Table1[[#This Row],[BW40_3705]]),"")</f>
        <v/>
      </c>
      <c r="I1672" s="7" t="str">
        <f>IF(Table1[[#This Row],[Is Data Valid]]=TRUE,((Table1[[#This Row],[Birthweight (grams)]]*1.1/Table1[[#This Row],[BW_GA]])-1)/(Backend!$B$4/100*Table1[[#This Row],[BW40_3705]]),"")</f>
        <v/>
      </c>
      <c r="J1672" s="7" t="str">
        <f>IF(Table1[[#This Row],[Is Data Valid]]=TRUE,_xlfn.NORM.S.DIST(Table1[[#This Row],[Birthweight Z-Score]],TRUE)*100,"")</f>
        <v/>
      </c>
      <c r="K1672" s="7" t="str">
        <f>IF(Table1[[#This Row],[Is Data Valid]]=TRUE,_xlfn.NORM.S.DIST(Table1[[#This Row],[Birthweight Z-Score (BW-10%)]],TRUE)*100,"")</f>
        <v/>
      </c>
      <c r="L1672" s="7" t="str">
        <f>IF(Table1[[#This Row],[Is Data Valid]]=TRUE,_xlfn.NORM.S.DIST(Table1[[#This Row],[Birthweight Z-Score (BW+10%)]],TRUE)*100,"")</f>
        <v/>
      </c>
    </row>
    <row r="1673" spans="1:12" x14ac:dyDescent="0.35">
      <c r="A1673" s="3"/>
      <c r="B1673" s="2"/>
      <c r="C1673" s="2"/>
      <c r="D1673" s="2" t="b">
        <f>IF(AND(NOT(ISBLANK(Table1[[#This Row],[Fetal Sex (Male, Female or Unknown)]])),ISNUMBER(Table1[[#This Row],[Birthweight (grams)]]),ISNUMBER(Table1[[#This Row],[Gestation (days)]])),TRUE,FALSE)</f>
        <v>0</v>
      </c>
      <c r="E1673" s="2" t="str">
        <f>IF(Table1[[#This Row],[Is Data Valid]]=TRUE,IF(Table1[[#This Row],[Fetal Sex (Male, Female or Unknown)]]="Male",Backend!$C$6,IF(Table1[[#This Row],[Fetal Sex (Male, Female or Unknown)]]="Female",Backend!$C$7,IF(Table1[[#This Row],[Fetal Sex (Male, Female or Unknown)]]="Unknown",Backend!$C$8,"Error"))),"")</f>
        <v/>
      </c>
      <c r="F1673" s="8" t="str">
        <f>IF(Table1[[#This Row],[Is Data Valid]]=TRUE,EXP(0.578+0.332*((Table1[[#This Row],[Gestation (days)]]+0.5)/7)-0.00354*((Table1[[#This Row],[Gestation (days)]]+0.5)/7)^2)*Table1[[#This Row],[BW40_3705]],"")</f>
        <v/>
      </c>
      <c r="G1673" s="2" t="str">
        <f>IF(Table1[[#This Row],[Is Data Valid]]=TRUE,((Table1[[#This Row],[Birthweight (grams)]]/Table1[[#This Row],[BW_GA]])-1)/(Backend!$B$4/100*Table1[[#This Row],[BW40_3705]]),"")</f>
        <v/>
      </c>
      <c r="H1673" s="7" t="str">
        <f>IF(Table1[[#This Row],[Is Data Valid]]=TRUE,((Table1[[#This Row],[Birthweight (grams)]]*0.9/Table1[[#This Row],[BW_GA]])-1)/(Backend!$B$4/100*Table1[[#This Row],[BW40_3705]]),"")</f>
        <v/>
      </c>
      <c r="I1673" s="7" t="str">
        <f>IF(Table1[[#This Row],[Is Data Valid]]=TRUE,((Table1[[#This Row],[Birthweight (grams)]]*1.1/Table1[[#This Row],[BW_GA]])-1)/(Backend!$B$4/100*Table1[[#This Row],[BW40_3705]]),"")</f>
        <v/>
      </c>
      <c r="J1673" s="7" t="str">
        <f>IF(Table1[[#This Row],[Is Data Valid]]=TRUE,_xlfn.NORM.S.DIST(Table1[[#This Row],[Birthweight Z-Score]],TRUE)*100,"")</f>
        <v/>
      </c>
      <c r="K1673" s="7" t="str">
        <f>IF(Table1[[#This Row],[Is Data Valid]]=TRUE,_xlfn.NORM.S.DIST(Table1[[#This Row],[Birthweight Z-Score (BW-10%)]],TRUE)*100,"")</f>
        <v/>
      </c>
      <c r="L1673" s="7" t="str">
        <f>IF(Table1[[#This Row],[Is Data Valid]]=TRUE,_xlfn.NORM.S.DIST(Table1[[#This Row],[Birthweight Z-Score (BW+10%)]],TRUE)*100,"")</f>
        <v/>
      </c>
    </row>
    <row r="1674" spans="1:12" x14ac:dyDescent="0.35">
      <c r="A1674" s="3"/>
      <c r="B1674" s="2"/>
      <c r="C1674" s="2"/>
      <c r="D1674" s="2" t="b">
        <f>IF(AND(NOT(ISBLANK(Table1[[#This Row],[Fetal Sex (Male, Female or Unknown)]])),ISNUMBER(Table1[[#This Row],[Birthweight (grams)]]),ISNUMBER(Table1[[#This Row],[Gestation (days)]])),TRUE,FALSE)</f>
        <v>0</v>
      </c>
      <c r="E1674" s="2" t="str">
        <f>IF(Table1[[#This Row],[Is Data Valid]]=TRUE,IF(Table1[[#This Row],[Fetal Sex (Male, Female or Unknown)]]="Male",Backend!$C$6,IF(Table1[[#This Row],[Fetal Sex (Male, Female or Unknown)]]="Female",Backend!$C$7,IF(Table1[[#This Row],[Fetal Sex (Male, Female or Unknown)]]="Unknown",Backend!$C$8,"Error"))),"")</f>
        <v/>
      </c>
      <c r="F1674" s="8" t="str">
        <f>IF(Table1[[#This Row],[Is Data Valid]]=TRUE,EXP(0.578+0.332*((Table1[[#This Row],[Gestation (days)]]+0.5)/7)-0.00354*((Table1[[#This Row],[Gestation (days)]]+0.5)/7)^2)*Table1[[#This Row],[BW40_3705]],"")</f>
        <v/>
      </c>
      <c r="G1674" s="2" t="str">
        <f>IF(Table1[[#This Row],[Is Data Valid]]=TRUE,((Table1[[#This Row],[Birthweight (grams)]]/Table1[[#This Row],[BW_GA]])-1)/(Backend!$B$4/100*Table1[[#This Row],[BW40_3705]]),"")</f>
        <v/>
      </c>
      <c r="H1674" s="7" t="str">
        <f>IF(Table1[[#This Row],[Is Data Valid]]=TRUE,((Table1[[#This Row],[Birthweight (grams)]]*0.9/Table1[[#This Row],[BW_GA]])-1)/(Backend!$B$4/100*Table1[[#This Row],[BW40_3705]]),"")</f>
        <v/>
      </c>
      <c r="I1674" s="7" t="str">
        <f>IF(Table1[[#This Row],[Is Data Valid]]=TRUE,((Table1[[#This Row],[Birthweight (grams)]]*1.1/Table1[[#This Row],[BW_GA]])-1)/(Backend!$B$4/100*Table1[[#This Row],[BW40_3705]]),"")</f>
        <v/>
      </c>
      <c r="J1674" s="7" t="str">
        <f>IF(Table1[[#This Row],[Is Data Valid]]=TRUE,_xlfn.NORM.S.DIST(Table1[[#This Row],[Birthweight Z-Score]],TRUE)*100,"")</f>
        <v/>
      </c>
      <c r="K1674" s="7" t="str">
        <f>IF(Table1[[#This Row],[Is Data Valid]]=TRUE,_xlfn.NORM.S.DIST(Table1[[#This Row],[Birthweight Z-Score (BW-10%)]],TRUE)*100,"")</f>
        <v/>
      </c>
      <c r="L1674" s="7" t="str">
        <f>IF(Table1[[#This Row],[Is Data Valid]]=TRUE,_xlfn.NORM.S.DIST(Table1[[#This Row],[Birthweight Z-Score (BW+10%)]],TRUE)*100,"")</f>
        <v/>
      </c>
    </row>
    <row r="1675" spans="1:12" x14ac:dyDescent="0.35">
      <c r="A1675" s="3"/>
      <c r="B1675" s="2"/>
      <c r="C1675" s="2"/>
      <c r="D1675" s="2" t="b">
        <f>IF(AND(NOT(ISBLANK(Table1[[#This Row],[Fetal Sex (Male, Female or Unknown)]])),ISNUMBER(Table1[[#This Row],[Birthweight (grams)]]),ISNUMBER(Table1[[#This Row],[Gestation (days)]])),TRUE,FALSE)</f>
        <v>0</v>
      </c>
      <c r="E1675" s="2" t="str">
        <f>IF(Table1[[#This Row],[Is Data Valid]]=TRUE,IF(Table1[[#This Row],[Fetal Sex (Male, Female or Unknown)]]="Male",Backend!$C$6,IF(Table1[[#This Row],[Fetal Sex (Male, Female or Unknown)]]="Female",Backend!$C$7,IF(Table1[[#This Row],[Fetal Sex (Male, Female or Unknown)]]="Unknown",Backend!$C$8,"Error"))),"")</f>
        <v/>
      </c>
      <c r="F1675" s="8" t="str">
        <f>IF(Table1[[#This Row],[Is Data Valid]]=TRUE,EXP(0.578+0.332*((Table1[[#This Row],[Gestation (days)]]+0.5)/7)-0.00354*((Table1[[#This Row],[Gestation (days)]]+0.5)/7)^2)*Table1[[#This Row],[BW40_3705]],"")</f>
        <v/>
      </c>
      <c r="G1675" s="2" t="str">
        <f>IF(Table1[[#This Row],[Is Data Valid]]=TRUE,((Table1[[#This Row],[Birthweight (grams)]]/Table1[[#This Row],[BW_GA]])-1)/(Backend!$B$4/100*Table1[[#This Row],[BW40_3705]]),"")</f>
        <v/>
      </c>
      <c r="H1675" s="7" t="str">
        <f>IF(Table1[[#This Row],[Is Data Valid]]=TRUE,((Table1[[#This Row],[Birthweight (grams)]]*0.9/Table1[[#This Row],[BW_GA]])-1)/(Backend!$B$4/100*Table1[[#This Row],[BW40_3705]]),"")</f>
        <v/>
      </c>
      <c r="I1675" s="7" t="str">
        <f>IF(Table1[[#This Row],[Is Data Valid]]=TRUE,((Table1[[#This Row],[Birthweight (grams)]]*1.1/Table1[[#This Row],[BW_GA]])-1)/(Backend!$B$4/100*Table1[[#This Row],[BW40_3705]]),"")</f>
        <v/>
      </c>
      <c r="J1675" s="7" t="str">
        <f>IF(Table1[[#This Row],[Is Data Valid]]=TRUE,_xlfn.NORM.S.DIST(Table1[[#This Row],[Birthweight Z-Score]],TRUE)*100,"")</f>
        <v/>
      </c>
      <c r="K1675" s="7" t="str">
        <f>IF(Table1[[#This Row],[Is Data Valid]]=TRUE,_xlfn.NORM.S.DIST(Table1[[#This Row],[Birthweight Z-Score (BW-10%)]],TRUE)*100,"")</f>
        <v/>
      </c>
      <c r="L1675" s="7" t="str">
        <f>IF(Table1[[#This Row],[Is Data Valid]]=TRUE,_xlfn.NORM.S.DIST(Table1[[#This Row],[Birthweight Z-Score (BW+10%)]],TRUE)*100,"")</f>
        <v/>
      </c>
    </row>
    <row r="1676" spans="1:12" x14ac:dyDescent="0.35">
      <c r="A1676" s="3"/>
      <c r="B1676" s="2"/>
      <c r="C1676" s="2"/>
      <c r="D1676" s="2" t="b">
        <f>IF(AND(NOT(ISBLANK(Table1[[#This Row],[Fetal Sex (Male, Female or Unknown)]])),ISNUMBER(Table1[[#This Row],[Birthweight (grams)]]),ISNUMBER(Table1[[#This Row],[Gestation (days)]])),TRUE,FALSE)</f>
        <v>0</v>
      </c>
      <c r="E1676" s="2" t="str">
        <f>IF(Table1[[#This Row],[Is Data Valid]]=TRUE,IF(Table1[[#This Row],[Fetal Sex (Male, Female or Unknown)]]="Male",Backend!$C$6,IF(Table1[[#This Row],[Fetal Sex (Male, Female or Unknown)]]="Female",Backend!$C$7,IF(Table1[[#This Row],[Fetal Sex (Male, Female or Unknown)]]="Unknown",Backend!$C$8,"Error"))),"")</f>
        <v/>
      </c>
      <c r="F1676" s="8" t="str">
        <f>IF(Table1[[#This Row],[Is Data Valid]]=TRUE,EXP(0.578+0.332*((Table1[[#This Row],[Gestation (days)]]+0.5)/7)-0.00354*((Table1[[#This Row],[Gestation (days)]]+0.5)/7)^2)*Table1[[#This Row],[BW40_3705]],"")</f>
        <v/>
      </c>
      <c r="G1676" s="2" t="str">
        <f>IF(Table1[[#This Row],[Is Data Valid]]=TRUE,((Table1[[#This Row],[Birthweight (grams)]]/Table1[[#This Row],[BW_GA]])-1)/(Backend!$B$4/100*Table1[[#This Row],[BW40_3705]]),"")</f>
        <v/>
      </c>
      <c r="H1676" s="7" t="str">
        <f>IF(Table1[[#This Row],[Is Data Valid]]=TRUE,((Table1[[#This Row],[Birthweight (grams)]]*0.9/Table1[[#This Row],[BW_GA]])-1)/(Backend!$B$4/100*Table1[[#This Row],[BW40_3705]]),"")</f>
        <v/>
      </c>
      <c r="I1676" s="7" t="str">
        <f>IF(Table1[[#This Row],[Is Data Valid]]=TRUE,((Table1[[#This Row],[Birthweight (grams)]]*1.1/Table1[[#This Row],[BW_GA]])-1)/(Backend!$B$4/100*Table1[[#This Row],[BW40_3705]]),"")</f>
        <v/>
      </c>
      <c r="J1676" s="7" t="str">
        <f>IF(Table1[[#This Row],[Is Data Valid]]=TRUE,_xlfn.NORM.S.DIST(Table1[[#This Row],[Birthweight Z-Score]],TRUE)*100,"")</f>
        <v/>
      </c>
      <c r="K1676" s="7" t="str">
        <f>IF(Table1[[#This Row],[Is Data Valid]]=TRUE,_xlfn.NORM.S.DIST(Table1[[#This Row],[Birthweight Z-Score (BW-10%)]],TRUE)*100,"")</f>
        <v/>
      </c>
      <c r="L1676" s="7" t="str">
        <f>IF(Table1[[#This Row],[Is Data Valid]]=TRUE,_xlfn.NORM.S.DIST(Table1[[#This Row],[Birthweight Z-Score (BW+10%)]],TRUE)*100,"")</f>
        <v/>
      </c>
    </row>
    <row r="1677" spans="1:12" x14ac:dyDescent="0.35">
      <c r="A1677" s="3"/>
      <c r="B1677" s="2"/>
      <c r="C1677" s="2"/>
      <c r="D1677" s="2" t="b">
        <f>IF(AND(NOT(ISBLANK(Table1[[#This Row],[Fetal Sex (Male, Female or Unknown)]])),ISNUMBER(Table1[[#This Row],[Birthweight (grams)]]),ISNUMBER(Table1[[#This Row],[Gestation (days)]])),TRUE,FALSE)</f>
        <v>0</v>
      </c>
      <c r="E1677" s="2" t="str">
        <f>IF(Table1[[#This Row],[Is Data Valid]]=TRUE,IF(Table1[[#This Row],[Fetal Sex (Male, Female or Unknown)]]="Male",Backend!$C$6,IF(Table1[[#This Row],[Fetal Sex (Male, Female or Unknown)]]="Female",Backend!$C$7,IF(Table1[[#This Row],[Fetal Sex (Male, Female or Unknown)]]="Unknown",Backend!$C$8,"Error"))),"")</f>
        <v/>
      </c>
      <c r="F1677" s="8" t="str">
        <f>IF(Table1[[#This Row],[Is Data Valid]]=TRUE,EXP(0.578+0.332*((Table1[[#This Row],[Gestation (days)]]+0.5)/7)-0.00354*((Table1[[#This Row],[Gestation (days)]]+0.5)/7)^2)*Table1[[#This Row],[BW40_3705]],"")</f>
        <v/>
      </c>
      <c r="G1677" s="2" t="str">
        <f>IF(Table1[[#This Row],[Is Data Valid]]=TRUE,((Table1[[#This Row],[Birthweight (grams)]]/Table1[[#This Row],[BW_GA]])-1)/(Backend!$B$4/100*Table1[[#This Row],[BW40_3705]]),"")</f>
        <v/>
      </c>
      <c r="H1677" s="7" t="str">
        <f>IF(Table1[[#This Row],[Is Data Valid]]=TRUE,((Table1[[#This Row],[Birthweight (grams)]]*0.9/Table1[[#This Row],[BW_GA]])-1)/(Backend!$B$4/100*Table1[[#This Row],[BW40_3705]]),"")</f>
        <v/>
      </c>
      <c r="I1677" s="7" t="str">
        <f>IF(Table1[[#This Row],[Is Data Valid]]=TRUE,((Table1[[#This Row],[Birthweight (grams)]]*1.1/Table1[[#This Row],[BW_GA]])-1)/(Backend!$B$4/100*Table1[[#This Row],[BW40_3705]]),"")</f>
        <v/>
      </c>
      <c r="J1677" s="7" t="str">
        <f>IF(Table1[[#This Row],[Is Data Valid]]=TRUE,_xlfn.NORM.S.DIST(Table1[[#This Row],[Birthweight Z-Score]],TRUE)*100,"")</f>
        <v/>
      </c>
      <c r="K1677" s="7" t="str">
        <f>IF(Table1[[#This Row],[Is Data Valid]]=TRUE,_xlfn.NORM.S.DIST(Table1[[#This Row],[Birthweight Z-Score (BW-10%)]],TRUE)*100,"")</f>
        <v/>
      </c>
      <c r="L1677" s="7" t="str">
        <f>IF(Table1[[#This Row],[Is Data Valid]]=TRUE,_xlfn.NORM.S.DIST(Table1[[#This Row],[Birthweight Z-Score (BW+10%)]],TRUE)*100,"")</f>
        <v/>
      </c>
    </row>
    <row r="1678" spans="1:12" x14ac:dyDescent="0.35">
      <c r="A1678" s="3"/>
      <c r="B1678" s="2"/>
      <c r="C1678" s="2"/>
      <c r="D1678" s="2" t="b">
        <f>IF(AND(NOT(ISBLANK(Table1[[#This Row],[Fetal Sex (Male, Female or Unknown)]])),ISNUMBER(Table1[[#This Row],[Birthweight (grams)]]),ISNUMBER(Table1[[#This Row],[Gestation (days)]])),TRUE,FALSE)</f>
        <v>0</v>
      </c>
      <c r="E1678" s="2" t="str">
        <f>IF(Table1[[#This Row],[Is Data Valid]]=TRUE,IF(Table1[[#This Row],[Fetal Sex (Male, Female or Unknown)]]="Male",Backend!$C$6,IF(Table1[[#This Row],[Fetal Sex (Male, Female or Unknown)]]="Female",Backend!$C$7,IF(Table1[[#This Row],[Fetal Sex (Male, Female or Unknown)]]="Unknown",Backend!$C$8,"Error"))),"")</f>
        <v/>
      </c>
      <c r="F1678" s="8" t="str">
        <f>IF(Table1[[#This Row],[Is Data Valid]]=TRUE,EXP(0.578+0.332*((Table1[[#This Row],[Gestation (days)]]+0.5)/7)-0.00354*((Table1[[#This Row],[Gestation (days)]]+0.5)/7)^2)*Table1[[#This Row],[BW40_3705]],"")</f>
        <v/>
      </c>
      <c r="G1678" s="2" t="str">
        <f>IF(Table1[[#This Row],[Is Data Valid]]=TRUE,((Table1[[#This Row],[Birthweight (grams)]]/Table1[[#This Row],[BW_GA]])-1)/(Backend!$B$4/100*Table1[[#This Row],[BW40_3705]]),"")</f>
        <v/>
      </c>
      <c r="H1678" s="7" t="str">
        <f>IF(Table1[[#This Row],[Is Data Valid]]=TRUE,((Table1[[#This Row],[Birthweight (grams)]]*0.9/Table1[[#This Row],[BW_GA]])-1)/(Backend!$B$4/100*Table1[[#This Row],[BW40_3705]]),"")</f>
        <v/>
      </c>
      <c r="I1678" s="7" t="str">
        <f>IF(Table1[[#This Row],[Is Data Valid]]=TRUE,((Table1[[#This Row],[Birthweight (grams)]]*1.1/Table1[[#This Row],[BW_GA]])-1)/(Backend!$B$4/100*Table1[[#This Row],[BW40_3705]]),"")</f>
        <v/>
      </c>
      <c r="J1678" s="7" t="str">
        <f>IF(Table1[[#This Row],[Is Data Valid]]=TRUE,_xlfn.NORM.S.DIST(Table1[[#This Row],[Birthweight Z-Score]],TRUE)*100,"")</f>
        <v/>
      </c>
      <c r="K1678" s="7" t="str">
        <f>IF(Table1[[#This Row],[Is Data Valid]]=TRUE,_xlfn.NORM.S.DIST(Table1[[#This Row],[Birthweight Z-Score (BW-10%)]],TRUE)*100,"")</f>
        <v/>
      </c>
      <c r="L1678" s="7" t="str">
        <f>IF(Table1[[#This Row],[Is Data Valid]]=TRUE,_xlfn.NORM.S.DIST(Table1[[#This Row],[Birthweight Z-Score (BW+10%)]],TRUE)*100,"")</f>
        <v/>
      </c>
    </row>
    <row r="1679" spans="1:12" x14ac:dyDescent="0.35">
      <c r="A1679" s="3"/>
      <c r="B1679" s="2"/>
      <c r="C1679" s="2"/>
      <c r="D1679" s="2" t="b">
        <f>IF(AND(NOT(ISBLANK(Table1[[#This Row],[Fetal Sex (Male, Female or Unknown)]])),ISNUMBER(Table1[[#This Row],[Birthweight (grams)]]),ISNUMBER(Table1[[#This Row],[Gestation (days)]])),TRUE,FALSE)</f>
        <v>0</v>
      </c>
      <c r="E1679" s="2" t="str">
        <f>IF(Table1[[#This Row],[Is Data Valid]]=TRUE,IF(Table1[[#This Row],[Fetal Sex (Male, Female or Unknown)]]="Male",Backend!$C$6,IF(Table1[[#This Row],[Fetal Sex (Male, Female or Unknown)]]="Female",Backend!$C$7,IF(Table1[[#This Row],[Fetal Sex (Male, Female or Unknown)]]="Unknown",Backend!$C$8,"Error"))),"")</f>
        <v/>
      </c>
      <c r="F1679" s="8" t="str">
        <f>IF(Table1[[#This Row],[Is Data Valid]]=TRUE,EXP(0.578+0.332*((Table1[[#This Row],[Gestation (days)]]+0.5)/7)-0.00354*((Table1[[#This Row],[Gestation (days)]]+0.5)/7)^2)*Table1[[#This Row],[BW40_3705]],"")</f>
        <v/>
      </c>
      <c r="G1679" s="2" t="str">
        <f>IF(Table1[[#This Row],[Is Data Valid]]=TRUE,((Table1[[#This Row],[Birthweight (grams)]]/Table1[[#This Row],[BW_GA]])-1)/(Backend!$B$4/100*Table1[[#This Row],[BW40_3705]]),"")</f>
        <v/>
      </c>
      <c r="H1679" s="7" t="str">
        <f>IF(Table1[[#This Row],[Is Data Valid]]=TRUE,((Table1[[#This Row],[Birthweight (grams)]]*0.9/Table1[[#This Row],[BW_GA]])-1)/(Backend!$B$4/100*Table1[[#This Row],[BW40_3705]]),"")</f>
        <v/>
      </c>
      <c r="I1679" s="7" t="str">
        <f>IF(Table1[[#This Row],[Is Data Valid]]=TRUE,((Table1[[#This Row],[Birthweight (grams)]]*1.1/Table1[[#This Row],[BW_GA]])-1)/(Backend!$B$4/100*Table1[[#This Row],[BW40_3705]]),"")</f>
        <v/>
      </c>
      <c r="J1679" s="7" t="str">
        <f>IF(Table1[[#This Row],[Is Data Valid]]=TRUE,_xlfn.NORM.S.DIST(Table1[[#This Row],[Birthweight Z-Score]],TRUE)*100,"")</f>
        <v/>
      </c>
      <c r="K1679" s="7" t="str">
        <f>IF(Table1[[#This Row],[Is Data Valid]]=TRUE,_xlfn.NORM.S.DIST(Table1[[#This Row],[Birthweight Z-Score (BW-10%)]],TRUE)*100,"")</f>
        <v/>
      </c>
      <c r="L1679" s="7" t="str">
        <f>IF(Table1[[#This Row],[Is Data Valid]]=TRUE,_xlfn.NORM.S.DIST(Table1[[#This Row],[Birthweight Z-Score (BW+10%)]],TRUE)*100,"")</f>
        <v/>
      </c>
    </row>
    <row r="1680" spans="1:12" x14ac:dyDescent="0.35">
      <c r="A1680" s="3"/>
      <c r="B1680" s="2"/>
      <c r="C1680" s="2"/>
      <c r="D1680" s="2" t="b">
        <f>IF(AND(NOT(ISBLANK(Table1[[#This Row],[Fetal Sex (Male, Female or Unknown)]])),ISNUMBER(Table1[[#This Row],[Birthweight (grams)]]),ISNUMBER(Table1[[#This Row],[Gestation (days)]])),TRUE,FALSE)</f>
        <v>0</v>
      </c>
      <c r="E1680" s="2" t="str">
        <f>IF(Table1[[#This Row],[Is Data Valid]]=TRUE,IF(Table1[[#This Row],[Fetal Sex (Male, Female or Unknown)]]="Male",Backend!$C$6,IF(Table1[[#This Row],[Fetal Sex (Male, Female or Unknown)]]="Female",Backend!$C$7,IF(Table1[[#This Row],[Fetal Sex (Male, Female or Unknown)]]="Unknown",Backend!$C$8,"Error"))),"")</f>
        <v/>
      </c>
      <c r="F1680" s="8" t="str">
        <f>IF(Table1[[#This Row],[Is Data Valid]]=TRUE,EXP(0.578+0.332*((Table1[[#This Row],[Gestation (days)]]+0.5)/7)-0.00354*((Table1[[#This Row],[Gestation (days)]]+0.5)/7)^2)*Table1[[#This Row],[BW40_3705]],"")</f>
        <v/>
      </c>
      <c r="G1680" s="2" t="str">
        <f>IF(Table1[[#This Row],[Is Data Valid]]=TRUE,((Table1[[#This Row],[Birthweight (grams)]]/Table1[[#This Row],[BW_GA]])-1)/(Backend!$B$4/100*Table1[[#This Row],[BW40_3705]]),"")</f>
        <v/>
      </c>
      <c r="H1680" s="7" t="str">
        <f>IF(Table1[[#This Row],[Is Data Valid]]=TRUE,((Table1[[#This Row],[Birthweight (grams)]]*0.9/Table1[[#This Row],[BW_GA]])-1)/(Backend!$B$4/100*Table1[[#This Row],[BW40_3705]]),"")</f>
        <v/>
      </c>
      <c r="I1680" s="7" t="str">
        <f>IF(Table1[[#This Row],[Is Data Valid]]=TRUE,((Table1[[#This Row],[Birthweight (grams)]]*1.1/Table1[[#This Row],[BW_GA]])-1)/(Backend!$B$4/100*Table1[[#This Row],[BW40_3705]]),"")</f>
        <v/>
      </c>
      <c r="J1680" s="7" t="str">
        <f>IF(Table1[[#This Row],[Is Data Valid]]=TRUE,_xlfn.NORM.S.DIST(Table1[[#This Row],[Birthweight Z-Score]],TRUE)*100,"")</f>
        <v/>
      </c>
      <c r="K1680" s="7" t="str">
        <f>IF(Table1[[#This Row],[Is Data Valid]]=TRUE,_xlfn.NORM.S.DIST(Table1[[#This Row],[Birthweight Z-Score (BW-10%)]],TRUE)*100,"")</f>
        <v/>
      </c>
      <c r="L1680" s="7" t="str">
        <f>IF(Table1[[#This Row],[Is Data Valid]]=TRUE,_xlfn.NORM.S.DIST(Table1[[#This Row],[Birthweight Z-Score (BW+10%)]],TRUE)*100,"")</f>
        <v/>
      </c>
    </row>
    <row r="1681" spans="1:12" x14ac:dyDescent="0.35">
      <c r="A1681" s="3"/>
      <c r="B1681" s="2"/>
      <c r="C1681" s="2"/>
      <c r="D1681" s="2" t="b">
        <f>IF(AND(NOT(ISBLANK(Table1[[#This Row],[Fetal Sex (Male, Female or Unknown)]])),ISNUMBER(Table1[[#This Row],[Birthweight (grams)]]),ISNUMBER(Table1[[#This Row],[Gestation (days)]])),TRUE,FALSE)</f>
        <v>0</v>
      </c>
      <c r="E1681" s="2" t="str">
        <f>IF(Table1[[#This Row],[Is Data Valid]]=TRUE,IF(Table1[[#This Row],[Fetal Sex (Male, Female or Unknown)]]="Male",Backend!$C$6,IF(Table1[[#This Row],[Fetal Sex (Male, Female or Unknown)]]="Female",Backend!$C$7,IF(Table1[[#This Row],[Fetal Sex (Male, Female or Unknown)]]="Unknown",Backend!$C$8,"Error"))),"")</f>
        <v/>
      </c>
      <c r="F1681" s="8" t="str">
        <f>IF(Table1[[#This Row],[Is Data Valid]]=TRUE,EXP(0.578+0.332*((Table1[[#This Row],[Gestation (days)]]+0.5)/7)-0.00354*((Table1[[#This Row],[Gestation (days)]]+0.5)/7)^2)*Table1[[#This Row],[BW40_3705]],"")</f>
        <v/>
      </c>
      <c r="G1681" s="2" t="str">
        <f>IF(Table1[[#This Row],[Is Data Valid]]=TRUE,((Table1[[#This Row],[Birthweight (grams)]]/Table1[[#This Row],[BW_GA]])-1)/(Backend!$B$4/100*Table1[[#This Row],[BW40_3705]]),"")</f>
        <v/>
      </c>
      <c r="H1681" s="7" t="str">
        <f>IF(Table1[[#This Row],[Is Data Valid]]=TRUE,((Table1[[#This Row],[Birthweight (grams)]]*0.9/Table1[[#This Row],[BW_GA]])-1)/(Backend!$B$4/100*Table1[[#This Row],[BW40_3705]]),"")</f>
        <v/>
      </c>
      <c r="I1681" s="7" t="str">
        <f>IF(Table1[[#This Row],[Is Data Valid]]=TRUE,((Table1[[#This Row],[Birthweight (grams)]]*1.1/Table1[[#This Row],[BW_GA]])-1)/(Backend!$B$4/100*Table1[[#This Row],[BW40_3705]]),"")</f>
        <v/>
      </c>
      <c r="J1681" s="7" t="str">
        <f>IF(Table1[[#This Row],[Is Data Valid]]=TRUE,_xlfn.NORM.S.DIST(Table1[[#This Row],[Birthweight Z-Score]],TRUE)*100,"")</f>
        <v/>
      </c>
      <c r="K1681" s="7" t="str">
        <f>IF(Table1[[#This Row],[Is Data Valid]]=TRUE,_xlfn.NORM.S.DIST(Table1[[#This Row],[Birthweight Z-Score (BW-10%)]],TRUE)*100,"")</f>
        <v/>
      </c>
      <c r="L1681" s="7" t="str">
        <f>IF(Table1[[#This Row],[Is Data Valid]]=TRUE,_xlfn.NORM.S.DIST(Table1[[#This Row],[Birthweight Z-Score (BW+10%)]],TRUE)*100,"")</f>
        <v/>
      </c>
    </row>
    <row r="1682" spans="1:12" x14ac:dyDescent="0.35">
      <c r="A1682" s="3"/>
      <c r="B1682" s="2"/>
      <c r="C1682" s="2"/>
      <c r="D1682" s="2" t="b">
        <f>IF(AND(NOT(ISBLANK(Table1[[#This Row],[Fetal Sex (Male, Female or Unknown)]])),ISNUMBER(Table1[[#This Row],[Birthweight (grams)]]),ISNUMBER(Table1[[#This Row],[Gestation (days)]])),TRUE,FALSE)</f>
        <v>0</v>
      </c>
      <c r="E1682" s="2" t="str">
        <f>IF(Table1[[#This Row],[Is Data Valid]]=TRUE,IF(Table1[[#This Row],[Fetal Sex (Male, Female or Unknown)]]="Male",Backend!$C$6,IF(Table1[[#This Row],[Fetal Sex (Male, Female or Unknown)]]="Female",Backend!$C$7,IF(Table1[[#This Row],[Fetal Sex (Male, Female or Unknown)]]="Unknown",Backend!$C$8,"Error"))),"")</f>
        <v/>
      </c>
      <c r="F1682" s="8" t="str">
        <f>IF(Table1[[#This Row],[Is Data Valid]]=TRUE,EXP(0.578+0.332*((Table1[[#This Row],[Gestation (days)]]+0.5)/7)-0.00354*((Table1[[#This Row],[Gestation (days)]]+0.5)/7)^2)*Table1[[#This Row],[BW40_3705]],"")</f>
        <v/>
      </c>
      <c r="G1682" s="2" t="str">
        <f>IF(Table1[[#This Row],[Is Data Valid]]=TRUE,((Table1[[#This Row],[Birthweight (grams)]]/Table1[[#This Row],[BW_GA]])-1)/(Backend!$B$4/100*Table1[[#This Row],[BW40_3705]]),"")</f>
        <v/>
      </c>
      <c r="H1682" s="7" t="str">
        <f>IF(Table1[[#This Row],[Is Data Valid]]=TRUE,((Table1[[#This Row],[Birthweight (grams)]]*0.9/Table1[[#This Row],[BW_GA]])-1)/(Backend!$B$4/100*Table1[[#This Row],[BW40_3705]]),"")</f>
        <v/>
      </c>
      <c r="I1682" s="7" t="str">
        <f>IF(Table1[[#This Row],[Is Data Valid]]=TRUE,((Table1[[#This Row],[Birthweight (grams)]]*1.1/Table1[[#This Row],[BW_GA]])-1)/(Backend!$B$4/100*Table1[[#This Row],[BW40_3705]]),"")</f>
        <v/>
      </c>
      <c r="J1682" s="7" t="str">
        <f>IF(Table1[[#This Row],[Is Data Valid]]=TRUE,_xlfn.NORM.S.DIST(Table1[[#This Row],[Birthweight Z-Score]],TRUE)*100,"")</f>
        <v/>
      </c>
      <c r="K1682" s="7" t="str">
        <f>IF(Table1[[#This Row],[Is Data Valid]]=TRUE,_xlfn.NORM.S.DIST(Table1[[#This Row],[Birthweight Z-Score (BW-10%)]],TRUE)*100,"")</f>
        <v/>
      </c>
      <c r="L1682" s="7" t="str">
        <f>IF(Table1[[#This Row],[Is Data Valid]]=TRUE,_xlfn.NORM.S.DIST(Table1[[#This Row],[Birthweight Z-Score (BW+10%)]],TRUE)*100,"")</f>
        <v/>
      </c>
    </row>
    <row r="1683" spans="1:12" x14ac:dyDescent="0.35">
      <c r="A1683" s="3"/>
      <c r="B1683" s="2"/>
      <c r="C1683" s="2"/>
      <c r="D1683" s="2" t="b">
        <f>IF(AND(NOT(ISBLANK(Table1[[#This Row],[Fetal Sex (Male, Female or Unknown)]])),ISNUMBER(Table1[[#This Row],[Birthweight (grams)]]),ISNUMBER(Table1[[#This Row],[Gestation (days)]])),TRUE,FALSE)</f>
        <v>0</v>
      </c>
      <c r="E1683" s="2" t="str">
        <f>IF(Table1[[#This Row],[Is Data Valid]]=TRUE,IF(Table1[[#This Row],[Fetal Sex (Male, Female or Unknown)]]="Male",Backend!$C$6,IF(Table1[[#This Row],[Fetal Sex (Male, Female or Unknown)]]="Female",Backend!$C$7,IF(Table1[[#This Row],[Fetal Sex (Male, Female or Unknown)]]="Unknown",Backend!$C$8,"Error"))),"")</f>
        <v/>
      </c>
      <c r="F1683" s="8" t="str">
        <f>IF(Table1[[#This Row],[Is Data Valid]]=TRUE,EXP(0.578+0.332*((Table1[[#This Row],[Gestation (days)]]+0.5)/7)-0.00354*((Table1[[#This Row],[Gestation (days)]]+0.5)/7)^2)*Table1[[#This Row],[BW40_3705]],"")</f>
        <v/>
      </c>
      <c r="G1683" s="2" t="str">
        <f>IF(Table1[[#This Row],[Is Data Valid]]=TRUE,((Table1[[#This Row],[Birthweight (grams)]]/Table1[[#This Row],[BW_GA]])-1)/(Backend!$B$4/100*Table1[[#This Row],[BW40_3705]]),"")</f>
        <v/>
      </c>
      <c r="H1683" s="7" t="str">
        <f>IF(Table1[[#This Row],[Is Data Valid]]=TRUE,((Table1[[#This Row],[Birthweight (grams)]]*0.9/Table1[[#This Row],[BW_GA]])-1)/(Backend!$B$4/100*Table1[[#This Row],[BW40_3705]]),"")</f>
        <v/>
      </c>
      <c r="I1683" s="7" t="str">
        <f>IF(Table1[[#This Row],[Is Data Valid]]=TRUE,((Table1[[#This Row],[Birthweight (grams)]]*1.1/Table1[[#This Row],[BW_GA]])-1)/(Backend!$B$4/100*Table1[[#This Row],[BW40_3705]]),"")</f>
        <v/>
      </c>
      <c r="J1683" s="7" t="str">
        <f>IF(Table1[[#This Row],[Is Data Valid]]=TRUE,_xlfn.NORM.S.DIST(Table1[[#This Row],[Birthweight Z-Score]],TRUE)*100,"")</f>
        <v/>
      </c>
      <c r="K1683" s="7" t="str">
        <f>IF(Table1[[#This Row],[Is Data Valid]]=TRUE,_xlfn.NORM.S.DIST(Table1[[#This Row],[Birthweight Z-Score (BW-10%)]],TRUE)*100,"")</f>
        <v/>
      </c>
      <c r="L1683" s="7" t="str">
        <f>IF(Table1[[#This Row],[Is Data Valid]]=TRUE,_xlfn.NORM.S.DIST(Table1[[#This Row],[Birthweight Z-Score (BW+10%)]],TRUE)*100,"")</f>
        <v/>
      </c>
    </row>
    <row r="1684" spans="1:12" x14ac:dyDescent="0.35">
      <c r="A1684" s="3"/>
      <c r="B1684" s="2"/>
      <c r="C1684" s="2"/>
      <c r="D1684" s="2" t="b">
        <f>IF(AND(NOT(ISBLANK(Table1[[#This Row],[Fetal Sex (Male, Female or Unknown)]])),ISNUMBER(Table1[[#This Row],[Birthweight (grams)]]),ISNUMBER(Table1[[#This Row],[Gestation (days)]])),TRUE,FALSE)</f>
        <v>0</v>
      </c>
      <c r="E1684" s="2" t="str">
        <f>IF(Table1[[#This Row],[Is Data Valid]]=TRUE,IF(Table1[[#This Row],[Fetal Sex (Male, Female or Unknown)]]="Male",Backend!$C$6,IF(Table1[[#This Row],[Fetal Sex (Male, Female or Unknown)]]="Female",Backend!$C$7,IF(Table1[[#This Row],[Fetal Sex (Male, Female or Unknown)]]="Unknown",Backend!$C$8,"Error"))),"")</f>
        <v/>
      </c>
      <c r="F1684" s="8" t="str">
        <f>IF(Table1[[#This Row],[Is Data Valid]]=TRUE,EXP(0.578+0.332*((Table1[[#This Row],[Gestation (days)]]+0.5)/7)-0.00354*((Table1[[#This Row],[Gestation (days)]]+0.5)/7)^2)*Table1[[#This Row],[BW40_3705]],"")</f>
        <v/>
      </c>
      <c r="G1684" s="2" t="str">
        <f>IF(Table1[[#This Row],[Is Data Valid]]=TRUE,((Table1[[#This Row],[Birthweight (grams)]]/Table1[[#This Row],[BW_GA]])-1)/(Backend!$B$4/100*Table1[[#This Row],[BW40_3705]]),"")</f>
        <v/>
      </c>
      <c r="H1684" s="7" t="str">
        <f>IF(Table1[[#This Row],[Is Data Valid]]=TRUE,((Table1[[#This Row],[Birthweight (grams)]]*0.9/Table1[[#This Row],[BW_GA]])-1)/(Backend!$B$4/100*Table1[[#This Row],[BW40_3705]]),"")</f>
        <v/>
      </c>
      <c r="I1684" s="7" t="str">
        <f>IF(Table1[[#This Row],[Is Data Valid]]=TRUE,((Table1[[#This Row],[Birthweight (grams)]]*1.1/Table1[[#This Row],[BW_GA]])-1)/(Backend!$B$4/100*Table1[[#This Row],[BW40_3705]]),"")</f>
        <v/>
      </c>
      <c r="J1684" s="7" t="str">
        <f>IF(Table1[[#This Row],[Is Data Valid]]=TRUE,_xlfn.NORM.S.DIST(Table1[[#This Row],[Birthweight Z-Score]],TRUE)*100,"")</f>
        <v/>
      </c>
      <c r="K1684" s="7" t="str">
        <f>IF(Table1[[#This Row],[Is Data Valid]]=TRUE,_xlfn.NORM.S.DIST(Table1[[#This Row],[Birthweight Z-Score (BW-10%)]],TRUE)*100,"")</f>
        <v/>
      </c>
      <c r="L1684" s="7" t="str">
        <f>IF(Table1[[#This Row],[Is Data Valid]]=TRUE,_xlfn.NORM.S.DIST(Table1[[#This Row],[Birthweight Z-Score (BW+10%)]],TRUE)*100,"")</f>
        <v/>
      </c>
    </row>
    <row r="1685" spans="1:12" x14ac:dyDescent="0.35">
      <c r="A1685" s="3"/>
      <c r="B1685" s="2"/>
      <c r="C1685" s="2"/>
      <c r="D1685" s="2" t="b">
        <f>IF(AND(NOT(ISBLANK(Table1[[#This Row],[Fetal Sex (Male, Female or Unknown)]])),ISNUMBER(Table1[[#This Row],[Birthweight (grams)]]),ISNUMBER(Table1[[#This Row],[Gestation (days)]])),TRUE,FALSE)</f>
        <v>0</v>
      </c>
      <c r="E1685" s="2" t="str">
        <f>IF(Table1[[#This Row],[Is Data Valid]]=TRUE,IF(Table1[[#This Row],[Fetal Sex (Male, Female or Unknown)]]="Male",Backend!$C$6,IF(Table1[[#This Row],[Fetal Sex (Male, Female or Unknown)]]="Female",Backend!$C$7,IF(Table1[[#This Row],[Fetal Sex (Male, Female or Unknown)]]="Unknown",Backend!$C$8,"Error"))),"")</f>
        <v/>
      </c>
      <c r="F1685" s="8" t="str">
        <f>IF(Table1[[#This Row],[Is Data Valid]]=TRUE,EXP(0.578+0.332*((Table1[[#This Row],[Gestation (days)]]+0.5)/7)-0.00354*((Table1[[#This Row],[Gestation (days)]]+0.5)/7)^2)*Table1[[#This Row],[BW40_3705]],"")</f>
        <v/>
      </c>
      <c r="G1685" s="2" t="str">
        <f>IF(Table1[[#This Row],[Is Data Valid]]=TRUE,((Table1[[#This Row],[Birthweight (grams)]]/Table1[[#This Row],[BW_GA]])-1)/(Backend!$B$4/100*Table1[[#This Row],[BW40_3705]]),"")</f>
        <v/>
      </c>
      <c r="H1685" s="7" t="str">
        <f>IF(Table1[[#This Row],[Is Data Valid]]=TRUE,((Table1[[#This Row],[Birthweight (grams)]]*0.9/Table1[[#This Row],[BW_GA]])-1)/(Backend!$B$4/100*Table1[[#This Row],[BW40_3705]]),"")</f>
        <v/>
      </c>
      <c r="I1685" s="7" t="str">
        <f>IF(Table1[[#This Row],[Is Data Valid]]=TRUE,((Table1[[#This Row],[Birthweight (grams)]]*1.1/Table1[[#This Row],[BW_GA]])-1)/(Backend!$B$4/100*Table1[[#This Row],[BW40_3705]]),"")</f>
        <v/>
      </c>
      <c r="J1685" s="7" t="str">
        <f>IF(Table1[[#This Row],[Is Data Valid]]=TRUE,_xlfn.NORM.S.DIST(Table1[[#This Row],[Birthweight Z-Score]],TRUE)*100,"")</f>
        <v/>
      </c>
      <c r="K1685" s="7" t="str">
        <f>IF(Table1[[#This Row],[Is Data Valid]]=TRUE,_xlfn.NORM.S.DIST(Table1[[#This Row],[Birthweight Z-Score (BW-10%)]],TRUE)*100,"")</f>
        <v/>
      </c>
      <c r="L1685" s="7" t="str">
        <f>IF(Table1[[#This Row],[Is Data Valid]]=TRUE,_xlfn.NORM.S.DIST(Table1[[#This Row],[Birthweight Z-Score (BW+10%)]],TRUE)*100,"")</f>
        <v/>
      </c>
    </row>
    <row r="1686" spans="1:12" x14ac:dyDescent="0.35">
      <c r="A1686" s="3"/>
      <c r="B1686" s="2"/>
      <c r="C1686" s="2"/>
      <c r="D1686" s="2" t="b">
        <f>IF(AND(NOT(ISBLANK(Table1[[#This Row],[Fetal Sex (Male, Female or Unknown)]])),ISNUMBER(Table1[[#This Row],[Birthweight (grams)]]),ISNUMBER(Table1[[#This Row],[Gestation (days)]])),TRUE,FALSE)</f>
        <v>0</v>
      </c>
      <c r="E1686" s="2" t="str">
        <f>IF(Table1[[#This Row],[Is Data Valid]]=TRUE,IF(Table1[[#This Row],[Fetal Sex (Male, Female or Unknown)]]="Male",Backend!$C$6,IF(Table1[[#This Row],[Fetal Sex (Male, Female or Unknown)]]="Female",Backend!$C$7,IF(Table1[[#This Row],[Fetal Sex (Male, Female or Unknown)]]="Unknown",Backend!$C$8,"Error"))),"")</f>
        <v/>
      </c>
      <c r="F1686" s="8" t="str">
        <f>IF(Table1[[#This Row],[Is Data Valid]]=TRUE,EXP(0.578+0.332*((Table1[[#This Row],[Gestation (days)]]+0.5)/7)-0.00354*((Table1[[#This Row],[Gestation (days)]]+0.5)/7)^2)*Table1[[#This Row],[BW40_3705]],"")</f>
        <v/>
      </c>
      <c r="G1686" s="2" t="str">
        <f>IF(Table1[[#This Row],[Is Data Valid]]=TRUE,((Table1[[#This Row],[Birthweight (grams)]]/Table1[[#This Row],[BW_GA]])-1)/(Backend!$B$4/100*Table1[[#This Row],[BW40_3705]]),"")</f>
        <v/>
      </c>
      <c r="H1686" s="7" t="str">
        <f>IF(Table1[[#This Row],[Is Data Valid]]=TRUE,((Table1[[#This Row],[Birthweight (grams)]]*0.9/Table1[[#This Row],[BW_GA]])-1)/(Backend!$B$4/100*Table1[[#This Row],[BW40_3705]]),"")</f>
        <v/>
      </c>
      <c r="I1686" s="7" t="str">
        <f>IF(Table1[[#This Row],[Is Data Valid]]=TRUE,((Table1[[#This Row],[Birthweight (grams)]]*1.1/Table1[[#This Row],[BW_GA]])-1)/(Backend!$B$4/100*Table1[[#This Row],[BW40_3705]]),"")</f>
        <v/>
      </c>
      <c r="J1686" s="7" t="str">
        <f>IF(Table1[[#This Row],[Is Data Valid]]=TRUE,_xlfn.NORM.S.DIST(Table1[[#This Row],[Birthweight Z-Score]],TRUE)*100,"")</f>
        <v/>
      </c>
      <c r="K1686" s="7" t="str">
        <f>IF(Table1[[#This Row],[Is Data Valid]]=TRUE,_xlfn.NORM.S.DIST(Table1[[#This Row],[Birthweight Z-Score (BW-10%)]],TRUE)*100,"")</f>
        <v/>
      </c>
      <c r="L1686" s="7" t="str">
        <f>IF(Table1[[#This Row],[Is Data Valid]]=TRUE,_xlfn.NORM.S.DIST(Table1[[#This Row],[Birthweight Z-Score (BW+10%)]],TRUE)*100,"")</f>
        <v/>
      </c>
    </row>
    <row r="1687" spans="1:12" x14ac:dyDescent="0.35">
      <c r="A1687" s="3"/>
      <c r="B1687" s="2"/>
      <c r="C1687" s="2"/>
      <c r="D1687" s="2" t="b">
        <f>IF(AND(NOT(ISBLANK(Table1[[#This Row],[Fetal Sex (Male, Female or Unknown)]])),ISNUMBER(Table1[[#This Row],[Birthweight (grams)]]),ISNUMBER(Table1[[#This Row],[Gestation (days)]])),TRUE,FALSE)</f>
        <v>0</v>
      </c>
      <c r="E1687" s="2" t="str">
        <f>IF(Table1[[#This Row],[Is Data Valid]]=TRUE,IF(Table1[[#This Row],[Fetal Sex (Male, Female or Unknown)]]="Male",Backend!$C$6,IF(Table1[[#This Row],[Fetal Sex (Male, Female or Unknown)]]="Female",Backend!$C$7,IF(Table1[[#This Row],[Fetal Sex (Male, Female or Unknown)]]="Unknown",Backend!$C$8,"Error"))),"")</f>
        <v/>
      </c>
      <c r="F1687" s="8" t="str">
        <f>IF(Table1[[#This Row],[Is Data Valid]]=TRUE,EXP(0.578+0.332*((Table1[[#This Row],[Gestation (days)]]+0.5)/7)-0.00354*((Table1[[#This Row],[Gestation (days)]]+0.5)/7)^2)*Table1[[#This Row],[BW40_3705]],"")</f>
        <v/>
      </c>
      <c r="G1687" s="2" t="str">
        <f>IF(Table1[[#This Row],[Is Data Valid]]=TRUE,((Table1[[#This Row],[Birthweight (grams)]]/Table1[[#This Row],[BW_GA]])-1)/(Backend!$B$4/100*Table1[[#This Row],[BW40_3705]]),"")</f>
        <v/>
      </c>
      <c r="H1687" s="7" t="str">
        <f>IF(Table1[[#This Row],[Is Data Valid]]=TRUE,((Table1[[#This Row],[Birthweight (grams)]]*0.9/Table1[[#This Row],[BW_GA]])-1)/(Backend!$B$4/100*Table1[[#This Row],[BW40_3705]]),"")</f>
        <v/>
      </c>
      <c r="I1687" s="7" t="str">
        <f>IF(Table1[[#This Row],[Is Data Valid]]=TRUE,((Table1[[#This Row],[Birthweight (grams)]]*1.1/Table1[[#This Row],[BW_GA]])-1)/(Backend!$B$4/100*Table1[[#This Row],[BW40_3705]]),"")</f>
        <v/>
      </c>
      <c r="J1687" s="7" t="str">
        <f>IF(Table1[[#This Row],[Is Data Valid]]=TRUE,_xlfn.NORM.S.DIST(Table1[[#This Row],[Birthweight Z-Score]],TRUE)*100,"")</f>
        <v/>
      </c>
      <c r="K1687" s="7" t="str">
        <f>IF(Table1[[#This Row],[Is Data Valid]]=TRUE,_xlfn.NORM.S.DIST(Table1[[#This Row],[Birthweight Z-Score (BW-10%)]],TRUE)*100,"")</f>
        <v/>
      </c>
      <c r="L1687" s="7" t="str">
        <f>IF(Table1[[#This Row],[Is Data Valid]]=TRUE,_xlfn.NORM.S.DIST(Table1[[#This Row],[Birthweight Z-Score (BW+10%)]],TRUE)*100,"")</f>
        <v/>
      </c>
    </row>
    <row r="1688" spans="1:12" x14ac:dyDescent="0.35">
      <c r="A1688" s="3"/>
      <c r="B1688" s="2"/>
      <c r="C1688" s="2"/>
      <c r="D1688" s="2" t="b">
        <f>IF(AND(NOT(ISBLANK(Table1[[#This Row],[Fetal Sex (Male, Female or Unknown)]])),ISNUMBER(Table1[[#This Row],[Birthweight (grams)]]),ISNUMBER(Table1[[#This Row],[Gestation (days)]])),TRUE,FALSE)</f>
        <v>0</v>
      </c>
      <c r="E1688" s="2" t="str">
        <f>IF(Table1[[#This Row],[Is Data Valid]]=TRUE,IF(Table1[[#This Row],[Fetal Sex (Male, Female or Unknown)]]="Male",Backend!$C$6,IF(Table1[[#This Row],[Fetal Sex (Male, Female or Unknown)]]="Female",Backend!$C$7,IF(Table1[[#This Row],[Fetal Sex (Male, Female or Unknown)]]="Unknown",Backend!$C$8,"Error"))),"")</f>
        <v/>
      </c>
      <c r="F1688" s="8" t="str">
        <f>IF(Table1[[#This Row],[Is Data Valid]]=TRUE,EXP(0.578+0.332*((Table1[[#This Row],[Gestation (days)]]+0.5)/7)-0.00354*((Table1[[#This Row],[Gestation (days)]]+0.5)/7)^2)*Table1[[#This Row],[BW40_3705]],"")</f>
        <v/>
      </c>
      <c r="G1688" s="2" t="str">
        <f>IF(Table1[[#This Row],[Is Data Valid]]=TRUE,((Table1[[#This Row],[Birthweight (grams)]]/Table1[[#This Row],[BW_GA]])-1)/(Backend!$B$4/100*Table1[[#This Row],[BW40_3705]]),"")</f>
        <v/>
      </c>
      <c r="H1688" s="7" t="str">
        <f>IF(Table1[[#This Row],[Is Data Valid]]=TRUE,((Table1[[#This Row],[Birthweight (grams)]]*0.9/Table1[[#This Row],[BW_GA]])-1)/(Backend!$B$4/100*Table1[[#This Row],[BW40_3705]]),"")</f>
        <v/>
      </c>
      <c r="I1688" s="7" t="str">
        <f>IF(Table1[[#This Row],[Is Data Valid]]=TRUE,((Table1[[#This Row],[Birthweight (grams)]]*1.1/Table1[[#This Row],[BW_GA]])-1)/(Backend!$B$4/100*Table1[[#This Row],[BW40_3705]]),"")</f>
        <v/>
      </c>
      <c r="J1688" s="7" t="str">
        <f>IF(Table1[[#This Row],[Is Data Valid]]=TRUE,_xlfn.NORM.S.DIST(Table1[[#This Row],[Birthweight Z-Score]],TRUE)*100,"")</f>
        <v/>
      </c>
      <c r="K1688" s="7" t="str">
        <f>IF(Table1[[#This Row],[Is Data Valid]]=TRUE,_xlfn.NORM.S.DIST(Table1[[#This Row],[Birthweight Z-Score (BW-10%)]],TRUE)*100,"")</f>
        <v/>
      </c>
      <c r="L1688" s="7" t="str">
        <f>IF(Table1[[#This Row],[Is Data Valid]]=TRUE,_xlfn.NORM.S.DIST(Table1[[#This Row],[Birthweight Z-Score (BW+10%)]],TRUE)*100,"")</f>
        <v/>
      </c>
    </row>
    <row r="1689" spans="1:12" x14ac:dyDescent="0.35">
      <c r="A1689" s="3"/>
      <c r="B1689" s="2"/>
      <c r="C1689" s="2"/>
      <c r="D1689" s="2" t="b">
        <f>IF(AND(NOT(ISBLANK(Table1[[#This Row],[Fetal Sex (Male, Female or Unknown)]])),ISNUMBER(Table1[[#This Row],[Birthweight (grams)]]),ISNUMBER(Table1[[#This Row],[Gestation (days)]])),TRUE,FALSE)</f>
        <v>0</v>
      </c>
      <c r="E1689" s="2" t="str">
        <f>IF(Table1[[#This Row],[Is Data Valid]]=TRUE,IF(Table1[[#This Row],[Fetal Sex (Male, Female or Unknown)]]="Male",Backend!$C$6,IF(Table1[[#This Row],[Fetal Sex (Male, Female or Unknown)]]="Female",Backend!$C$7,IF(Table1[[#This Row],[Fetal Sex (Male, Female or Unknown)]]="Unknown",Backend!$C$8,"Error"))),"")</f>
        <v/>
      </c>
      <c r="F1689" s="8" t="str">
        <f>IF(Table1[[#This Row],[Is Data Valid]]=TRUE,EXP(0.578+0.332*((Table1[[#This Row],[Gestation (days)]]+0.5)/7)-0.00354*((Table1[[#This Row],[Gestation (days)]]+0.5)/7)^2)*Table1[[#This Row],[BW40_3705]],"")</f>
        <v/>
      </c>
      <c r="G1689" s="2" t="str">
        <f>IF(Table1[[#This Row],[Is Data Valid]]=TRUE,((Table1[[#This Row],[Birthweight (grams)]]/Table1[[#This Row],[BW_GA]])-1)/(Backend!$B$4/100*Table1[[#This Row],[BW40_3705]]),"")</f>
        <v/>
      </c>
      <c r="H1689" s="7" t="str">
        <f>IF(Table1[[#This Row],[Is Data Valid]]=TRUE,((Table1[[#This Row],[Birthweight (grams)]]*0.9/Table1[[#This Row],[BW_GA]])-1)/(Backend!$B$4/100*Table1[[#This Row],[BW40_3705]]),"")</f>
        <v/>
      </c>
      <c r="I1689" s="7" t="str">
        <f>IF(Table1[[#This Row],[Is Data Valid]]=TRUE,((Table1[[#This Row],[Birthweight (grams)]]*1.1/Table1[[#This Row],[BW_GA]])-1)/(Backend!$B$4/100*Table1[[#This Row],[BW40_3705]]),"")</f>
        <v/>
      </c>
      <c r="J1689" s="7" t="str">
        <f>IF(Table1[[#This Row],[Is Data Valid]]=TRUE,_xlfn.NORM.S.DIST(Table1[[#This Row],[Birthweight Z-Score]],TRUE)*100,"")</f>
        <v/>
      </c>
      <c r="K1689" s="7" t="str">
        <f>IF(Table1[[#This Row],[Is Data Valid]]=TRUE,_xlfn.NORM.S.DIST(Table1[[#This Row],[Birthweight Z-Score (BW-10%)]],TRUE)*100,"")</f>
        <v/>
      </c>
      <c r="L1689" s="7" t="str">
        <f>IF(Table1[[#This Row],[Is Data Valid]]=TRUE,_xlfn.NORM.S.DIST(Table1[[#This Row],[Birthweight Z-Score (BW+10%)]],TRUE)*100,"")</f>
        <v/>
      </c>
    </row>
    <row r="1690" spans="1:12" x14ac:dyDescent="0.35">
      <c r="A1690" s="3"/>
      <c r="B1690" s="2"/>
      <c r="C1690" s="2"/>
      <c r="D1690" s="2" t="b">
        <f>IF(AND(NOT(ISBLANK(Table1[[#This Row],[Fetal Sex (Male, Female or Unknown)]])),ISNUMBER(Table1[[#This Row],[Birthweight (grams)]]),ISNUMBER(Table1[[#This Row],[Gestation (days)]])),TRUE,FALSE)</f>
        <v>0</v>
      </c>
      <c r="E1690" s="2" t="str">
        <f>IF(Table1[[#This Row],[Is Data Valid]]=TRUE,IF(Table1[[#This Row],[Fetal Sex (Male, Female or Unknown)]]="Male",Backend!$C$6,IF(Table1[[#This Row],[Fetal Sex (Male, Female or Unknown)]]="Female",Backend!$C$7,IF(Table1[[#This Row],[Fetal Sex (Male, Female or Unknown)]]="Unknown",Backend!$C$8,"Error"))),"")</f>
        <v/>
      </c>
      <c r="F1690" s="8" t="str">
        <f>IF(Table1[[#This Row],[Is Data Valid]]=TRUE,EXP(0.578+0.332*((Table1[[#This Row],[Gestation (days)]]+0.5)/7)-0.00354*((Table1[[#This Row],[Gestation (days)]]+0.5)/7)^2)*Table1[[#This Row],[BW40_3705]],"")</f>
        <v/>
      </c>
      <c r="G1690" s="2" t="str">
        <f>IF(Table1[[#This Row],[Is Data Valid]]=TRUE,((Table1[[#This Row],[Birthweight (grams)]]/Table1[[#This Row],[BW_GA]])-1)/(Backend!$B$4/100*Table1[[#This Row],[BW40_3705]]),"")</f>
        <v/>
      </c>
      <c r="H1690" s="7" t="str">
        <f>IF(Table1[[#This Row],[Is Data Valid]]=TRUE,((Table1[[#This Row],[Birthweight (grams)]]*0.9/Table1[[#This Row],[BW_GA]])-1)/(Backend!$B$4/100*Table1[[#This Row],[BW40_3705]]),"")</f>
        <v/>
      </c>
      <c r="I1690" s="7" t="str">
        <f>IF(Table1[[#This Row],[Is Data Valid]]=TRUE,((Table1[[#This Row],[Birthweight (grams)]]*1.1/Table1[[#This Row],[BW_GA]])-1)/(Backend!$B$4/100*Table1[[#This Row],[BW40_3705]]),"")</f>
        <v/>
      </c>
      <c r="J1690" s="7" t="str">
        <f>IF(Table1[[#This Row],[Is Data Valid]]=TRUE,_xlfn.NORM.S.DIST(Table1[[#This Row],[Birthweight Z-Score]],TRUE)*100,"")</f>
        <v/>
      </c>
      <c r="K1690" s="7" t="str">
        <f>IF(Table1[[#This Row],[Is Data Valid]]=TRUE,_xlfn.NORM.S.DIST(Table1[[#This Row],[Birthweight Z-Score (BW-10%)]],TRUE)*100,"")</f>
        <v/>
      </c>
      <c r="L1690" s="7" t="str">
        <f>IF(Table1[[#This Row],[Is Data Valid]]=TRUE,_xlfn.NORM.S.DIST(Table1[[#This Row],[Birthweight Z-Score (BW+10%)]],TRUE)*100,"")</f>
        <v/>
      </c>
    </row>
    <row r="1691" spans="1:12" x14ac:dyDescent="0.35">
      <c r="A1691" s="3"/>
      <c r="B1691" s="2"/>
      <c r="C1691" s="2"/>
      <c r="D1691" s="2" t="b">
        <f>IF(AND(NOT(ISBLANK(Table1[[#This Row],[Fetal Sex (Male, Female or Unknown)]])),ISNUMBER(Table1[[#This Row],[Birthweight (grams)]]),ISNUMBER(Table1[[#This Row],[Gestation (days)]])),TRUE,FALSE)</f>
        <v>0</v>
      </c>
      <c r="E1691" s="2" t="str">
        <f>IF(Table1[[#This Row],[Is Data Valid]]=TRUE,IF(Table1[[#This Row],[Fetal Sex (Male, Female or Unknown)]]="Male",Backend!$C$6,IF(Table1[[#This Row],[Fetal Sex (Male, Female or Unknown)]]="Female",Backend!$C$7,IF(Table1[[#This Row],[Fetal Sex (Male, Female or Unknown)]]="Unknown",Backend!$C$8,"Error"))),"")</f>
        <v/>
      </c>
      <c r="F1691" s="8" t="str">
        <f>IF(Table1[[#This Row],[Is Data Valid]]=TRUE,EXP(0.578+0.332*((Table1[[#This Row],[Gestation (days)]]+0.5)/7)-0.00354*((Table1[[#This Row],[Gestation (days)]]+0.5)/7)^2)*Table1[[#This Row],[BW40_3705]],"")</f>
        <v/>
      </c>
      <c r="G1691" s="2" t="str">
        <f>IF(Table1[[#This Row],[Is Data Valid]]=TRUE,((Table1[[#This Row],[Birthweight (grams)]]/Table1[[#This Row],[BW_GA]])-1)/(Backend!$B$4/100*Table1[[#This Row],[BW40_3705]]),"")</f>
        <v/>
      </c>
      <c r="H1691" s="7" t="str">
        <f>IF(Table1[[#This Row],[Is Data Valid]]=TRUE,((Table1[[#This Row],[Birthweight (grams)]]*0.9/Table1[[#This Row],[BW_GA]])-1)/(Backend!$B$4/100*Table1[[#This Row],[BW40_3705]]),"")</f>
        <v/>
      </c>
      <c r="I1691" s="7" t="str">
        <f>IF(Table1[[#This Row],[Is Data Valid]]=TRUE,((Table1[[#This Row],[Birthweight (grams)]]*1.1/Table1[[#This Row],[BW_GA]])-1)/(Backend!$B$4/100*Table1[[#This Row],[BW40_3705]]),"")</f>
        <v/>
      </c>
      <c r="J1691" s="7" t="str">
        <f>IF(Table1[[#This Row],[Is Data Valid]]=TRUE,_xlfn.NORM.S.DIST(Table1[[#This Row],[Birthweight Z-Score]],TRUE)*100,"")</f>
        <v/>
      </c>
      <c r="K1691" s="7" t="str">
        <f>IF(Table1[[#This Row],[Is Data Valid]]=TRUE,_xlfn.NORM.S.DIST(Table1[[#This Row],[Birthweight Z-Score (BW-10%)]],TRUE)*100,"")</f>
        <v/>
      </c>
      <c r="L1691" s="7" t="str">
        <f>IF(Table1[[#This Row],[Is Data Valid]]=TRUE,_xlfn.NORM.S.DIST(Table1[[#This Row],[Birthweight Z-Score (BW+10%)]],TRUE)*100,"")</f>
        <v/>
      </c>
    </row>
    <row r="1692" spans="1:12" x14ac:dyDescent="0.35">
      <c r="A1692" s="3"/>
      <c r="B1692" s="2"/>
      <c r="C1692" s="2"/>
      <c r="D1692" s="2" t="b">
        <f>IF(AND(NOT(ISBLANK(Table1[[#This Row],[Fetal Sex (Male, Female or Unknown)]])),ISNUMBER(Table1[[#This Row],[Birthweight (grams)]]),ISNUMBER(Table1[[#This Row],[Gestation (days)]])),TRUE,FALSE)</f>
        <v>0</v>
      </c>
      <c r="E1692" s="2" t="str">
        <f>IF(Table1[[#This Row],[Is Data Valid]]=TRUE,IF(Table1[[#This Row],[Fetal Sex (Male, Female or Unknown)]]="Male",Backend!$C$6,IF(Table1[[#This Row],[Fetal Sex (Male, Female or Unknown)]]="Female",Backend!$C$7,IF(Table1[[#This Row],[Fetal Sex (Male, Female or Unknown)]]="Unknown",Backend!$C$8,"Error"))),"")</f>
        <v/>
      </c>
      <c r="F1692" s="8" t="str">
        <f>IF(Table1[[#This Row],[Is Data Valid]]=TRUE,EXP(0.578+0.332*((Table1[[#This Row],[Gestation (days)]]+0.5)/7)-0.00354*((Table1[[#This Row],[Gestation (days)]]+0.5)/7)^2)*Table1[[#This Row],[BW40_3705]],"")</f>
        <v/>
      </c>
      <c r="G1692" s="2" t="str">
        <f>IF(Table1[[#This Row],[Is Data Valid]]=TRUE,((Table1[[#This Row],[Birthweight (grams)]]/Table1[[#This Row],[BW_GA]])-1)/(Backend!$B$4/100*Table1[[#This Row],[BW40_3705]]),"")</f>
        <v/>
      </c>
      <c r="H1692" s="7" t="str">
        <f>IF(Table1[[#This Row],[Is Data Valid]]=TRUE,((Table1[[#This Row],[Birthweight (grams)]]*0.9/Table1[[#This Row],[BW_GA]])-1)/(Backend!$B$4/100*Table1[[#This Row],[BW40_3705]]),"")</f>
        <v/>
      </c>
      <c r="I1692" s="7" t="str">
        <f>IF(Table1[[#This Row],[Is Data Valid]]=TRUE,((Table1[[#This Row],[Birthweight (grams)]]*1.1/Table1[[#This Row],[BW_GA]])-1)/(Backend!$B$4/100*Table1[[#This Row],[BW40_3705]]),"")</f>
        <v/>
      </c>
      <c r="J1692" s="7" t="str">
        <f>IF(Table1[[#This Row],[Is Data Valid]]=TRUE,_xlfn.NORM.S.DIST(Table1[[#This Row],[Birthweight Z-Score]],TRUE)*100,"")</f>
        <v/>
      </c>
      <c r="K1692" s="7" t="str">
        <f>IF(Table1[[#This Row],[Is Data Valid]]=TRUE,_xlfn.NORM.S.DIST(Table1[[#This Row],[Birthweight Z-Score (BW-10%)]],TRUE)*100,"")</f>
        <v/>
      </c>
      <c r="L1692" s="7" t="str">
        <f>IF(Table1[[#This Row],[Is Data Valid]]=TRUE,_xlfn.NORM.S.DIST(Table1[[#This Row],[Birthweight Z-Score (BW+10%)]],TRUE)*100,"")</f>
        <v/>
      </c>
    </row>
    <row r="1693" spans="1:12" x14ac:dyDescent="0.35">
      <c r="A1693" s="3"/>
      <c r="B1693" s="2"/>
      <c r="C1693" s="2"/>
      <c r="D1693" s="2" t="b">
        <f>IF(AND(NOT(ISBLANK(Table1[[#This Row],[Fetal Sex (Male, Female or Unknown)]])),ISNUMBER(Table1[[#This Row],[Birthweight (grams)]]),ISNUMBER(Table1[[#This Row],[Gestation (days)]])),TRUE,FALSE)</f>
        <v>0</v>
      </c>
      <c r="E1693" s="2" t="str">
        <f>IF(Table1[[#This Row],[Is Data Valid]]=TRUE,IF(Table1[[#This Row],[Fetal Sex (Male, Female or Unknown)]]="Male",Backend!$C$6,IF(Table1[[#This Row],[Fetal Sex (Male, Female or Unknown)]]="Female",Backend!$C$7,IF(Table1[[#This Row],[Fetal Sex (Male, Female or Unknown)]]="Unknown",Backend!$C$8,"Error"))),"")</f>
        <v/>
      </c>
      <c r="F1693" s="8" t="str">
        <f>IF(Table1[[#This Row],[Is Data Valid]]=TRUE,EXP(0.578+0.332*((Table1[[#This Row],[Gestation (days)]]+0.5)/7)-0.00354*((Table1[[#This Row],[Gestation (days)]]+0.5)/7)^2)*Table1[[#This Row],[BW40_3705]],"")</f>
        <v/>
      </c>
      <c r="G1693" s="2" t="str">
        <f>IF(Table1[[#This Row],[Is Data Valid]]=TRUE,((Table1[[#This Row],[Birthweight (grams)]]/Table1[[#This Row],[BW_GA]])-1)/(Backend!$B$4/100*Table1[[#This Row],[BW40_3705]]),"")</f>
        <v/>
      </c>
      <c r="H1693" s="7" t="str">
        <f>IF(Table1[[#This Row],[Is Data Valid]]=TRUE,((Table1[[#This Row],[Birthweight (grams)]]*0.9/Table1[[#This Row],[BW_GA]])-1)/(Backend!$B$4/100*Table1[[#This Row],[BW40_3705]]),"")</f>
        <v/>
      </c>
      <c r="I1693" s="7" t="str">
        <f>IF(Table1[[#This Row],[Is Data Valid]]=TRUE,((Table1[[#This Row],[Birthweight (grams)]]*1.1/Table1[[#This Row],[BW_GA]])-1)/(Backend!$B$4/100*Table1[[#This Row],[BW40_3705]]),"")</f>
        <v/>
      </c>
      <c r="J1693" s="7" t="str">
        <f>IF(Table1[[#This Row],[Is Data Valid]]=TRUE,_xlfn.NORM.S.DIST(Table1[[#This Row],[Birthweight Z-Score]],TRUE)*100,"")</f>
        <v/>
      </c>
      <c r="K1693" s="7" t="str">
        <f>IF(Table1[[#This Row],[Is Data Valid]]=TRUE,_xlfn.NORM.S.DIST(Table1[[#This Row],[Birthweight Z-Score (BW-10%)]],TRUE)*100,"")</f>
        <v/>
      </c>
      <c r="L1693" s="7" t="str">
        <f>IF(Table1[[#This Row],[Is Data Valid]]=TRUE,_xlfn.NORM.S.DIST(Table1[[#This Row],[Birthweight Z-Score (BW+10%)]],TRUE)*100,"")</f>
        <v/>
      </c>
    </row>
    <row r="1694" spans="1:12" x14ac:dyDescent="0.35">
      <c r="A1694" s="3"/>
      <c r="B1694" s="2"/>
      <c r="C1694" s="2"/>
      <c r="D1694" s="2" t="b">
        <f>IF(AND(NOT(ISBLANK(Table1[[#This Row],[Fetal Sex (Male, Female or Unknown)]])),ISNUMBER(Table1[[#This Row],[Birthweight (grams)]]),ISNUMBER(Table1[[#This Row],[Gestation (days)]])),TRUE,FALSE)</f>
        <v>0</v>
      </c>
      <c r="E1694" s="2" t="str">
        <f>IF(Table1[[#This Row],[Is Data Valid]]=TRUE,IF(Table1[[#This Row],[Fetal Sex (Male, Female or Unknown)]]="Male",Backend!$C$6,IF(Table1[[#This Row],[Fetal Sex (Male, Female or Unknown)]]="Female",Backend!$C$7,IF(Table1[[#This Row],[Fetal Sex (Male, Female or Unknown)]]="Unknown",Backend!$C$8,"Error"))),"")</f>
        <v/>
      </c>
      <c r="F1694" s="8" t="str">
        <f>IF(Table1[[#This Row],[Is Data Valid]]=TRUE,EXP(0.578+0.332*((Table1[[#This Row],[Gestation (days)]]+0.5)/7)-0.00354*((Table1[[#This Row],[Gestation (days)]]+0.5)/7)^2)*Table1[[#This Row],[BW40_3705]],"")</f>
        <v/>
      </c>
      <c r="G1694" s="2" t="str">
        <f>IF(Table1[[#This Row],[Is Data Valid]]=TRUE,((Table1[[#This Row],[Birthweight (grams)]]/Table1[[#This Row],[BW_GA]])-1)/(Backend!$B$4/100*Table1[[#This Row],[BW40_3705]]),"")</f>
        <v/>
      </c>
      <c r="H1694" s="7" t="str">
        <f>IF(Table1[[#This Row],[Is Data Valid]]=TRUE,((Table1[[#This Row],[Birthweight (grams)]]*0.9/Table1[[#This Row],[BW_GA]])-1)/(Backend!$B$4/100*Table1[[#This Row],[BW40_3705]]),"")</f>
        <v/>
      </c>
      <c r="I1694" s="7" t="str">
        <f>IF(Table1[[#This Row],[Is Data Valid]]=TRUE,((Table1[[#This Row],[Birthweight (grams)]]*1.1/Table1[[#This Row],[BW_GA]])-1)/(Backend!$B$4/100*Table1[[#This Row],[BW40_3705]]),"")</f>
        <v/>
      </c>
      <c r="J1694" s="7" t="str">
        <f>IF(Table1[[#This Row],[Is Data Valid]]=TRUE,_xlfn.NORM.S.DIST(Table1[[#This Row],[Birthweight Z-Score]],TRUE)*100,"")</f>
        <v/>
      </c>
      <c r="K1694" s="7" t="str">
        <f>IF(Table1[[#This Row],[Is Data Valid]]=TRUE,_xlfn.NORM.S.DIST(Table1[[#This Row],[Birthweight Z-Score (BW-10%)]],TRUE)*100,"")</f>
        <v/>
      </c>
      <c r="L1694" s="7" t="str">
        <f>IF(Table1[[#This Row],[Is Data Valid]]=TRUE,_xlfn.NORM.S.DIST(Table1[[#This Row],[Birthweight Z-Score (BW+10%)]],TRUE)*100,"")</f>
        <v/>
      </c>
    </row>
    <row r="1695" spans="1:12" x14ac:dyDescent="0.35">
      <c r="A1695" s="3"/>
      <c r="B1695" s="2"/>
      <c r="C1695" s="2"/>
      <c r="D1695" s="2" t="b">
        <f>IF(AND(NOT(ISBLANK(Table1[[#This Row],[Fetal Sex (Male, Female or Unknown)]])),ISNUMBER(Table1[[#This Row],[Birthweight (grams)]]),ISNUMBER(Table1[[#This Row],[Gestation (days)]])),TRUE,FALSE)</f>
        <v>0</v>
      </c>
      <c r="E1695" s="2" t="str">
        <f>IF(Table1[[#This Row],[Is Data Valid]]=TRUE,IF(Table1[[#This Row],[Fetal Sex (Male, Female or Unknown)]]="Male",Backend!$C$6,IF(Table1[[#This Row],[Fetal Sex (Male, Female or Unknown)]]="Female",Backend!$C$7,IF(Table1[[#This Row],[Fetal Sex (Male, Female or Unknown)]]="Unknown",Backend!$C$8,"Error"))),"")</f>
        <v/>
      </c>
      <c r="F1695" s="8" t="str">
        <f>IF(Table1[[#This Row],[Is Data Valid]]=TRUE,EXP(0.578+0.332*((Table1[[#This Row],[Gestation (days)]]+0.5)/7)-0.00354*((Table1[[#This Row],[Gestation (days)]]+0.5)/7)^2)*Table1[[#This Row],[BW40_3705]],"")</f>
        <v/>
      </c>
      <c r="G1695" s="2" t="str">
        <f>IF(Table1[[#This Row],[Is Data Valid]]=TRUE,((Table1[[#This Row],[Birthweight (grams)]]/Table1[[#This Row],[BW_GA]])-1)/(Backend!$B$4/100*Table1[[#This Row],[BW40_3705]]),"")</f>
        <v/>
      </c>
      <c r="H1695" s="7" t="str">
        <f>IF(Table1[[#This Row],[Is Data Valid]]=TRUE,((Table1[[#This Row],[Birthweight (grams)]]*0.9/Table1[[#This Row],[BW_GA]])-1)/(Backend!$B$4/100*Table1[[#This Row],[BW40_3705]]),"")</f>
        <v/>
      </c>
      <c r="I1695" s="7" t="str">
        <f>IF(Table1[[#This Row],[Is Data Valid]]=TRUE,((Table1[[#This Row],[Birthweight (grams)]]*1.1/Table1[[#This Row],[BW_GA]])-1)/(Backend!$B$4/100*Table1[[#This Row],[BW40_3705]]),"")</f>
        <v/>
      </c>
      <c r="J1695" s="7" t="str">
        <f>IF(Table1[[#This Row],[Is Data Valid]]=TRUE,_xlfn.NORM.S.DIST(Table1[[#This Row],[Birthweight Z-Score]],TRUE)*100,"")</f>
        <v/>
      </c>
      <c r="K1695" s="7" t="str">
        <f>IF(Table1[[#This Row],[Is Data Valid]]=TRUE,_xlfn.NORM.S.DIST(Table1[[#This Row],[Birthweight Z-Score (BW-10%)]],TRUE)*100,"")</f>
        <v/>
      </c>
      <c r="L1695" s="7" t="str">
        <f>IF(Table1[[#This Row],[Is Data Valid]]=TRUE,_xlfn.NORM.S.DIST(Table1[[#This Row],[Birthweight Z-Score (BW+10%)]],TRUE)*100,"")</f>
        <v/>
      </c>
    </row>
    <row r="1696" spans="1:12" x14ac:dyDescent="0.35">
      <c r="A1696" s="3"/>
      <c r="B1696" s="2"/>
      <c r="C1696" s="2"/>
      <c r="D1696" s="2" t="b">
        <f>IF(AND(NOT(ISBLANK(Table1[[#This Row],[Fetal Sex (Male, Female or Unknown)]])),ISNUMBER(Table1[[#This Row],[Birthweight (grams)]]),ISNUMBER(Table1[[#This Row],[Gestation (days)]])),TRUE,FALSE)</f>
        <v>0</v>
      </c>
      <c r="E1696" s="2" t="str">
        <f>IF(Table1[[#This Row],[Is Data Valid]]=TRUE,IF(Table1[[#This Row],[Fetal Sex (Male, Female or Unknown)]]="Male",Backend!$C$6,IF(Table1[[#This Row],[Fetal Sex (Male, Female or Unknown)]]="Female",Backend!$C$7,IF(Table1[[#This Row],[Fetal Sex (Male, Female or Unknown)]]="Unknown",Backend!$C$8,"Error"))),"")</f>
        <v/>
      </c>
      <c r="F1696" s="8" t="str">
        <f>IF(Table1[[#This Row],[Is Data Valid]]=TRUE,EXP(0.578+0.332*((Table1[[#This Row],[Gestation (days)]]+0.5)/7)-0.00354*((Table1[[#This Row],[Gestation (days)]]+0.5)/7)^2)*Table1[[#This Row],[BW40_3705]],"")</f>
        <v/>
      </c>
      <c r="G1696" s="2" t="str">
        <f>IF(Table1[[#This Row],[Is Data Valid]]=TRUE,((Table1[[#This Row],[Birthweight (grams)]]/Table1[[#This Row],[BW_GA]])-1)/(Backend!$B$4/100*Table1[[#This Row],[BW40_3705]]),"")</f>
        <v/>
      </c>
      <c r="H1696" s="7" t="str">
        <f>IF(Table1[[#This Row],[Is Data Valid]]=TRUE,((Table1[[#This Row],[Birthweight (grams)]]*0.9/Table1[[#This Row],[BW_GA]])-1)/(Backend!$B$4/100*Table1[[#This Row],[BW40_3705]]),"")</f>
        <v/>
      </c>
      <c r="I1696" s="7" t="str">
        <f>IF(Table1[[#This Row],[Is Data Valid]]=TRUE,((Table1[[#This Row],[Birthweight (grams)]]*1.1/Table1[[#This Row],[BW_GA]])-1)/(Backend!$B$4/100*Table1[[#This Row],[BW40_3705]]),"")</f>
        <v/>
      </c>
      <c r="J1696" s="7" t="str">
        <f>IF(Table1[[#This Row],[Is Data Valid]]=TRUE,_xlfn.NORM.S.DIST(Table1[[#This Row],[Birthweight Z-Score]],TRUE)*100,"")</f>
        <v/>
      </c>
      <c r="K1696" s="7" t="str">
        <f>IF(Table1[[#This Row],[Is Data Valid]]=TRUE,_xlfn.NORM.S.DIST(Table1[[#This Row],[Birthweight Z-Score (BW-10%)]],TRUE)*100,"")</f>
        <v/>
      </c>
      <c r="L1696" s="7" t="str">
        <f>IF(Table1[[#This Row],[Is Data Valid]]=TRUE,_xlfn.NORM.S.DIST(Table1[[#This Row],[Birthweight Z-Score (BW+10%)]],TRUE)*100,"")</f>
        <v/>
      </c>
    </row>
    <row r="1697" spans="1:12" x14ac:dyDescent="0.35">
      <c r="A1697" s="3"/>
      <c r="B1697" s="2"/>
      <c r="C1697" s="2"/>
      <c r="D1697" s="2" t="b">
        <f>IF(AND(NOT(ISBLANK(Table1[[#This Row],[Fetal Sex (Male, Female or Unknown)]])),ISNUMBER(Table1[[#This Row],[Birthweight (grams)]]),ISNUMBER(Table1[[#This Row],[Gestation (days)]])),TRUE,FALSE)</f>
        <v>0</v>
      </c>
      <c r="E1697" s="2" t="str">
        <f>IF(Table1[[#This Row],[Is Data Valid]]=TRUE,IF(Table1[[#This Row],[Fetal Sex (Male, Female or Unknown)]]="Male",Backend!$C$6,IF(Table1[[#This Row],[Fetal Sex (Male, Female or Unknown)]]="Female",Backend!$C$7,IF(Table1[[#This Row],[Fetal Sex (Male, Female or Unknown)]]="Unknown",Backend!$C$8,"Error"))),"")</f>
        <v/>
      </c>
      <c r="F1697" s="8" t="str">
        <f>IF(Table1[[#This Row],[Is Data Valid]]=TRUE,EXP(0.578+0.332*((Table1[[#This Row],[Gestation (days)]]+0.5)/7)-0.00354*((Table1[[#This Row],[Gestation (days)]]+0.5)/7)^2)*Table1[[#This Row],[BW40_3705]],"")</f>
        <v/>
      </c>
      <c r="G1697" s="2" t="str">
        <f>IF(Table1[[#This Row],[Is Data Valid]]=TRUE,((Table1[[#This Row],[Birthweight (grams)]]/Table1[[#This Row],[BW_GA]])-1)/(Backend!$B$4/100*Table1[[#This Row],[BW40_3705]]),"")</f>
        <v/>
      </c>
      <c r="H1697" s="7" t="str">
        <f>IF(Table1[[#This Row],[Is Data Valid]]=TRUE,((Table1[[#This Row],[Birthweight (grams)]]*0.9/Table1[[#This Row],[BW_GA]])-1)/(Backend!$B$4/100*Table1[[#This Row],[BW40_3705]]),"")</f>
        <v/>
      </c>
      <c r="I1697" s="7" t="str">
        <f>IF(Table1[[#This Row],[Is Data Valid]]=TRUE,((Table1[[#This Row],[Birthweight (grams)]]*1.1/Table1[[#This Row],[BW_GA]])-1)/(Backend!$B$4/100*Table1[[#This Row],[BW40_3705]]),"")</f>
        <v/>
      </c>
      <c r="J1697" s="7" t="str">
        <f>IF(Table1[[#This Row],[Is Data Valid]]=TRUE,_xlfn.NORM.S.DIST(Table1[[#This Row],[Birthweight Z-Score]],TRUE)*100,"")</f>
        <v/>
      </c>
      <c r="K1697" s="7" t="str">
        <f>IF(Table1[[#This Row],[Is Data Valid]]=TRUE,_xlfn.NORM.S.DIST(Table1[[#This Row],[Birthweight Z-Score (BW-10%)]],TRUE)*100,"")</f>
        <v/>
      </c>
      <c r="L1697" s="7" t="str">
        <f>IF(Table1[[#This Row],[Is Data Valid]]=TRUE,_xlfn.NORM.S.DIST(Table1[[#This Row],[Birthweight Z-Score (BW+10%)]],TRUE)*100,"")</f>
        <v/>
      </c>
    </row>
    <row r="1698" spans="1:12" x14ac:dyDescent="0.35">
      <c r="A1698" s="3"/>
      <c r="B1698" s="2"/>
      <c r="C1698" s="2"/>
      <c r="D1698" s="2" t="b">
        <f>IF(AND(NOT(ISBLANK(Table1[[#This Row],[Fetal Sex (Male, Female or Unknown)]])),ISNUMBER(Table1[[#This Row],[Birthweight (grams)]]),ISNUMBER(Table1[[#This Row],[Gestation (days)]])),TRUE,FALSE)</f>
        <v>0</v>
      </c>
      <c r="E1698" s="2" t="str">
        <f>IF(Table1[[#This Row],[Is Data Valid]]=TRUE,IF(Table1[[#This Row],[Fetal Sex (Male, Female or Unknown)]]="Male",Backend!$C$6,IF(Table1[[#This Row],[Fetal Sex (Male, Female or Unknown)]]="Female",Backend!$C$7,IF(Table1[[#This Row],[Fetal Sex (Male, Female or Unknown)]]="Unknown",Backend!$C$8,"Error"))),"")</f>
        <v/>
      </c>
      <c r="F1698" s="8" t="str">
        <f>IF(Table1[[#This Row],[Is Data Valid]]=TRUE,EXP(0.578+0.332*((Table1[[#This Row],[Gestation (days)]]+0.5)/7)-0.00354*((Table1[[#This Row],[Gestation (days)]]+0.5)/7)^2)*Table1[[#This Row],[BW40_3705]],"")</f>
        <v/>
      </c>
      <c r="G1698" s="2" t="str">
        <f>IF(Table1[[#This Row],[Is Data Valid]]=TRUE,((Table1[[#This Row],[Birthweight (grams)]]/Table1[[#This Row],[BW_GA]])-1)/(Backend!$B$4/100*Table1[[#This Row],[BW40_3705]]),"")</f>
        <v/>
      </c>
      <c r="H1698" s="7" t="str">
        <f>IF(Table1[[#This Row],[Is Data Valid]]=TRUE,((Table1[[#This Row],[Birthweight (grams)]]*0.9/Table1[[#This Row],[BW_GA]])-1)/(Backend!$B$4/100*Table1[[#This Row],[BW40_3705]]),"")</f>
        <v/>
      </c>
      <c r="I1698" s="7" t="str">
        <f>IF(Table1[[#This Row],[Is Data Valid]]=TRUE,((Table1[[#This Row],[Birthweight (grams)]]*1.1/Table1[[#This Row],[BW_GA]])-1)/(Backend!$B$4/100*Table1[[#This Row],[BW40_3705]]),"")</f>
        <v/>
      </c>
      <c r="J1698" s="7" t="str">
        <f>IF(Table1[[#This Row],[Is Data Valid]]=TRUE,_xlfn.NORM.S.DIST(Table1[[#This Row],[Birthweight Z-Score]],TRUE)*100,"")</f>
        <v/>
      </c>
      <c r="K1698" s="7" t="str">
        <f>IF(Table1[[#This Row],[Is Data Valid]]=TRUE,_xlfn.NORM.S.DIST(Table1[[#This Row],[Birthweight Z-Score (BW-10%)]],TRUE)*100,"")</f>
        <v/>
      </c>
      <c r="L1698" s="7" t="str">
        <f>IF(Table1[[#This Row],[Is Data Valid]]=TRUE,_xlfn.NORM.S.DIST(Table1[[#This Row],[Birthweight Z-Score (BW+10%)]],TRUE)*100,"")</f>
        <v/>
      </c>
    </row>
    <row r="1699" spans="1:12" x14ac:dyDescent="0.35">
      <c r="A1699" s="3"/>
      <c r="B1699" s="2"/>
      <c r="C1699" s="2"/>
      <c r="D1699" s="2" t="b">
        <f>IF(AND(NOT(ISBLANK(Table1[[#This Row],[Fetal Sex (Male, Female or Unknown)]])),ISNUMBER(Table1[[#This Row],[Birthweight (grams)]]),ISNUMBER(Table1[[#This Row],[Gestation (days)]])),TRUE,FALSE)</f>
        <v>0</v>
      </c>
      <c r="E1699" s="2" t="str">
        <f>IF(Table1[[#This Row],[Is Data Valid]]=TRUE,IF(Table1[[#This Row],[Fetal Sex (Male, Female or Unknown)]]="Male",Backend!$C$6,IF(Table1[[#This Row],[Fetal Sex (Male, Female or Unknown)]]="Female",Backend!$C$7,IF(Table1[[#This Row],[Fetal Sex (Male, Female or Unknown)]]="Unknown",Backend!$C$8,"Error"))),"")</f>
        <v/>
      </c>
      <c r="F1699" s="8" t="str">
        <f>IF(Table1[[#This Row],[Is Data Valid]]=TRUE,EXP(0.578+0.332*((Table1[[#This Row],[Gestation (days)]]+0.5)/7)-0.00354*((Table1[[#This Row],[Gestation (days)]]+0.5)/7)^2)*Table1[[#This Row],[BW40_3705]],"")</f>
        <v/>
      </c>
      <c r="G1699" s="2" t="str">
        <f>IF(Table1[[#This Row],[Is Data Valid]]=TRUE,((Table1[[#This Row],[Birthweight (grams)]]/Table1[[#This Row],[BW_GA]])-1)/(Backend!$B$4/100*Table1[[#This Row],[BW40_3705]]),"")</f>
        <v/>
      </c>
      <c r="H1699" s="7" t="str">
        <f>IF(Table1[[#This Row],[Is Data Valid]]=TRUE,((Table1[[#This Row],[Birthweight (grams)]]*0.9/Table1[[#This Row],[BW_GA]])-1)/(Backend!$B$4/100*Table1[[#This Row],[BW40_3705]]),"")</f>
        <v/>
      </c>
      <c r="I1699" s="7" t="str">
        <f>IF(Table1[[#This Row],[Is Data Valid]]=TRUE,((Table1[[#This Row],[Birthweight (grams)]]*1.1/Table1[[#This Row],[BW_GA]])-1)/(Backend!$B$4/100*Table1[[#This Row],[BW40_3705]]),"")</f>
        <v/>
      </c>
      <c r="J1699" s="7" t="str">
        <f>IF(Table1[[#This Row],[Is Data Valid]]=TRUE,_xlfn.NORM.S.DIST(Table1[[#This Row],[Birthweight Z-Score]],TRUE)*100,"")</f>
        <v/>
      </c>
      <c r="K1699" s="7" t="str">
        <f>IF(Table1[[#This Row],[Is Data Valid]]=TRUE,_xlfn.NORM.S.DIST(Table1[[#This Row],[Birthweight Z-Score (BW-10%)]],TRUE)*100,"")</f>
        <v/>
      </c>
      <c r="L1699" s="7" t="str">
        <f>IF(Table1[[#This Row],[Is Data Valid]]=TRUE,_xlfn.NORM.S.DIST(Table1[[#This Row],[Birthweight Z-Score (BW+10%)]],TRUE)*100,"")</f>
        <v/>
      </c>
    </row>
    <row r="1700" spans="1:12" x14ac:dyDescent="0.35">
      <c r="A1700" s="3"/>
      <c r="B1700" s="2"/>
      <c r="C1700" s="2"/>
      <c r="D1700" s="2" t="b">
        <f>IF(AND(NOT(ISBLANK(Table1[[#This Row],[Fetal Sex (Male, Female or Unknown)]])),ISNUMBER(Table1[[#This Row],[Birthweight (grams)]]),ISNUMBER(Table1[[#This Row],[Gestation (days)]])),TRUE,FALSE)</f>
        <v>0</v>
      </c>
      <c r="E1700" s="2" t="str">
        <f>IF(Table1[[#This Row],[Is Data Valid]]=TRUE,IF(Table1[[#This Row],[Fetal Sex (Male, Female or Unknown)]]="Male",Backend!$C$6,IF(Table1[[#This Row],[Fetal Sex (Male, Female or Unknown)]]="Female",Backend!$C$7,IF(Table1[[#This Row],[Fetal Sex (Male, Female or Unknown)]]="Unknown",Backend!$C$8,"Error"))),"")</f>
        <v/>
      </c>
      <c r="F1700" s="8" t="str">
        <f>IF(Table1[[#This Row],[Is Data Valid]]=TRUE,EXP(0.578+0.332*((Table1[[#This Row],[Gestation (days)]]+0.5)/7)-0.00354*((Table1[[#This Row],[Gestation (days)]]+0.5)/7)^2)*Table1[[#This Row],[BW40_3705]],"")</f>
        <v/>
      </c>
      <c r="G1700" s="2" t="str">
        <f>IF(Table1[[#This Row],[Is Data Valid]]=TRUE,((Table1[[#This Row],[Birthweight (grams)]]/Table1[[#This Row],[BW_GA]])-1)/(Backend!$B$4/100*Table1[[#This Row],[BW40_3705]]),"")</f>
        <v/>
      </c>
      <c r="H1700" s="7" t="str">
        <f>IF(Table1[[#This Row],[Is Data Valid]]=TRUE,((Table1[[#This Row],[Birthweight (grams)]]*0.9/Table1[[#This Row],[BW_GA]])-1)/(Backend!$B$4/100*Table1[[#This Row],[BW40_3705]]),"")</f>
        <v/>
      </c>
      <c r="I1700" s="7" t="str">
        <f>IF(Table1[[#This Row],[Is Data Valid]]=TRUE,((Table1[[#This Row],[Birthweight (grams)]]*1.1/Table1[[#This Row],[BW_GA]])-1)/(Backend!$B$4/100*Table1[[#This Row],[BW40_3705]]),"")</f>
        <v/>
      </c>
      <c r="J1700" s="7" t="str">
        <f>IF(Table1[[#This Row],[Is Data Valid]]=TRUE,_xlfn.NORM.S.DIST(Table1[[#This Row],[Birthweight Z-Score]],TRUE)*100,"")</f>
        <v/>
      </c>
      <c r="K1700" s="7" t="str">
        <f>IF(Table1[[#This Row],[Is Data Valid]]=TRUE,_xlfn.NORM.S.DIST(Table1[[#This Row],[Birthweight Z-Score (BW-10%)]],TRUE)*100,"")</f>
        <v/>
      </c>
      <c r="L1700" s="7" t="str">
        <f>IF(Table1[[#This Row],[Is Data Valid]]=TRUE,_xlfn.NORM.S.DIST(Table1[[#This Row],[Birthweight Z-Score (BW+10%)]],TRUE)*100,"")</f>
        <v/>
      </c>
    </row>
    <row r="1701" spans="1:12" x14ac:dyDescent="0.35">
      <c r="A1701" s="3"/>
      <c r="B1701" s="2"/>
      <c r="C1701" s="2"/>
      <c r="D1701" s="2" t="b">
        <f>IF(AND(NOT(ISBLANK(Table1[[#This Row],[Fetal Sex (Male, Female or Unknown)]])),ISNUMBER(Table1[[#This Row],[Birthweight (grams)]]),ISNUMBER(Table1[[#This Row],[Gestation (days)]])),TRUE,FALSE)</f>
        <v>0</v>
      </c>
      <c r="E1701" s="2" t="str">
        <f>IF(Table1[[#This Row],[Is Data Valid]]=TRUE,IF(Table1[[#This Row],[Fetal Sex (Male, Female or Unknown)]]="Male",Backend!$C$6,IF(Table1[[#This Row],[Fetal Sex (Male, Female or Unknown)]]="Female",Backend!$C$7,IF(Table1[[#This Row],[Fetal Sex (Male, Female or Unknown)]]="Unknown",Backend!$C$8,"Error"))),"")</f>
        <v/>
      </c>
      <c r="F1701" s="8" t="str">
        <f>IF(Table1[[#This Row],[Is Data Valid]]=TRUE,EXP(0.578+0.332*((Table1[[#This Row],[Gestation (days)]]+0.5)/7)-0.00354*((Table1[[#This Row],[Gestation (days)]]+0.5)/7)^2)*Table1[[#This Row],[BW40_3705]],"")</f>
        <v/>
      </c>
      <c r="G1701" s="2" t="str">
        <f>IF(Table1[[#This Row],[Is Data Valid]]=TRUE,((Table1[[#This Row],[Birthweight (grams)]]/Table1[[#This Row],[BW_GA]])-1)/(Backend!$B$4/100*Table1[[#This Row],[BW40_3705]]),"")</f>
        <v/>
      </c>
      <c r="H1701" s="7" t="str">
        <f>IF(Table1[[#This Row],[Is Data Valid]]=TRUE,((Table1[[#This Row],[Birthweight (grams)]]*0.9/Table1[[#This Row],[BW_GA]])-1)/(Backend!$B$4/100*Table1[[#This Row],[BW40_3705]]),"")</f>
        <v/>
      </c>
      <c r="I1701" s="7" t="str">
        <f>IF(Table1[[#This Row],[Is Data Valid]]=TRUE,((Table1[[#This Row],[Birthweight (grams)]]*1.1/Table1[[#This Row],[BW_GA]])-1)/(Backend!$B$4/100*Table1[[#This Row],[BW40_3705]]),"")</f>
        <v/>
      </c>
      <c r="J1701" s="7" t="str">
        <f>IF(Table1[[#This Row],[Is Data Valid]]=TRUE,_xlfn.NORM.S.DIST(Table1[[#This Row],[Birthweight Z-Score]],TRUE)*100,"")</f>
        <v/>
      </c>
      <c r="K1701" s="7" t="str">
        <f>IF(Table1[[#This Row],[Is Data Valid]]=TRUE,_xlfn.NORM.S.DIST(Table1[[#This Row],[Birthweight Z-Score (BW-10%)]],TRUE)*100,"")</f>
        <v/>
      </c>
      <c r="L1701" s="7" t="str">
        <f>IF(Table1[[#This Row],[Is Data Valid]]=TRUE,_xlfn.NORM.S.DIST(Table1[[#This Row],[Birthweight Z-Score (BW+10%)]],TRUE)*100,"")</f>
        <v/>
      </c>
    </row>
    <row r="1702" spans="1:12" x14ac:dyDescent="0.35">
      <c r="A1702" s="3"/>
      <c r="B1702" s="2"/>
      <c r="C1702" s="2"/>
      <c r="D1702" s="2" t="b">
        <f>IF(AND(NOT(ISBLANK(Table1[[#This Row],[Fetal Sex (Male, Female or Unknown)]])),ISNUMBER(Table1[[#This Row],[Birthweight (grams)]]),ISNUMBER(Table1[[#This Row],[Gestation (days)]])),TRUE,FALSE)</f>
        <v>0</v>
      </c>
      <c r="E1702" s="2" t="str">
        <f>IF(Table1[[#This Row],[Is Data Valid]]=TRUE,IF(Table1[[#This Row],[Fetal Sex (Male, Female or Unknown)]]="Male",Backend!$C$6,IF(Table1[[#This Row],[Fetal Sex (Male, Female or Unknown)]]="Female",Backend!$C$7,IF(Table1[[#This Row],[Fetal Sex (Male, Female or Unknown)]]="Unknown",Backend!$C$8,"Error"))),"")</f>
        <v/>
      </c>
      <c r="F1702" s="8" t="str">
        <f>IF(Table1[[#This Row],[Is Data Valid]]=TRUE,EXP(0.578+0.332*((Table1[[#This Row],[Gestation (days)]]+0.5)/7)-0.00354*((Table1[[#This Row],[Gestation (days)]]+0.5)/7)^2)*Table1[[#This Row],[BW40_3705]],"")</f>
        <v/>
      </c>
      <c r="G1702" s="2" t="str">
        <f>IF(Table1[[#This Row],[Is Data Valid]]=TRUE,((Table1[[#This Row],[Birthweight (grams)]]/Table1[[#This Row],[BW_GA]])-1)/(Backend!$B$4/100*Table1[[#This Row],[BW40_3705]]),"")</f>
        <v/>
      </c>
      <c r="H1702" s="7" t="str">
        <f>IF(Table1[[#This Row],[Is Data Valid]]=TRUE,((Table1[[#This Row],[Birthweight (grams)]]*0.9/Table1[[#This Row],[BW_GA]])-1)/(Backend!$B$4/100*Table1[[#This Row],[BW40_3705]]),"")</f>
        <v/>
      </c>
      <c r="I1702" s="7" t="str">
        <f>IF(Table1[[#This Row],[Is Data Valid]]=TRUE,((Table1[[#This Row],[Birthweight (grams)]]*1.1/Table1[[#This Row],[BW_GA]])-1)/(Backend!$B$4/100*Table1[[#This Row],[BW40_3705]]),"")</f>
        <v/>
      </c>
      <c r="J1702" s="7" t="str">
        <f>IF(Table1[[#This Row],[Is Data Valid]]=TRUE,_xlfn.NORM.S.DIST(Table1[[#This Row],[Birthweight Z-Score]],TRUE)*100,"")</f>
        <v/>
      </c>
      <c r="K1702" s="7" t="str">
        <f>IF(Table1[[#This Row],[Is Data Valid]]=TRUE,_xlfn.NORM.S.DIST(Table1[[#This Row],[Birthweight Z-Score (BW-10%)]],TRUE)*100,"")</f>
        <v/>
      </c>
      <c r="L1702" s="7" t="str">
        <f>IF(Table1[[#This Row],[Is Data Valid]]=TRUE,_xlfn.NORM.S.DIST(Table1[[#This Row],[Birthweight Z-Score (BW+10%)]],TRUE)*100,"")</f>
        <v/>
      </c>
    </row>
    <row r="1703" spans="1:12" x14ac:dyDescent="0.35">
      <c r="A1703" s="3"/>
      <c r="B1703" s="2"/>
      <c r="C1703" s="2"/>
      <c r="D1703" s="2" t="b">
        <f>IF(AND(NOT(ISBLANK(Table1[[#This Row],[Fetal Sex (Male, Female or Unknown)]])),ISNUMBER(Table1[[#This Row],[Birthweight (grams)]]),ISNUMBER(Table1[[#This Row],[Gestation (days)]])),TRUE,FALSE)</f>
        <v>0</v>
      </c>
      <c r="E1703" s="2" t="str">
        <f>IF(Table1[[#This Row],[Is Data Valid]]=TRUE,IF(Table1[[#This Row],[Fetal Sex (Male, Female or Unknown)]]="Male",Backend!$C$6,IF(Table1[[#This Row],[Fetal Sex (Male, Female or Unknown)]]="Female",Backend!$C$7,IF(Table1[[#This Row],[Fetal Sex (Male, Female or Unknown)]]="Unknown",Backend!$C$8,"Error"))),"")</f>
        <v/>
      </c>
      <c r="F1703" s="8" t="str">
        <f>IF(Table1[[#This Row],[Is Data Valid]]=TRUE,EXP(0.578+0.332*((Table1[[#This Row],[Gestation (days)]]+0.5)/7)-0.00354*((Table1[[#This Row],[Gestation (days)]]+0.5)/7)^2)*Table1[[#This Row],[BW40_3705]],"")</f>
        <v/>
      </c>
      <c r="G1703" s="2" t="str">
        <f>IF(Table1[[#This Row],[Is Data Valid]]=TRUE,((Table1[[#This Row],[Birthweight (grams)]]/Table1[[#This Row],[BW_GA]])-1)/(Backend!$B$4/100*Table1[[#This Row],[BW40_3705]]),"")</f>
        <v/>
      </c>
      <c r="H1703" s="7" t="str">
        <f>IF(Table1[[#This Row],[Is Data Valid]]=TRUE,((Table1[[#This Row],[Birthweight (grams)]]*0.9/Table1[[#This Row],[BW_GA]])-1)/(Backend!$B$4/100*Table1[[#This Row],[BW40_3705]]),"")</f>
        <v/>
      </c>
      <c r="I1703" s="7" t="str">
        <f>IF(Table1[[#This Row],[Is Data Valid]]=TRUE,((Table1[[#This Row],[Birthweight (grams)]]*1.1/Table1[[#This Row],[BW_GA]])-1)/(Backend!$B$4/100*Table1[[#This Row],[BW40_3705]]),"")</f>
        <v/>
      </c>
      <c r="J1703" s="7" t="str">
        <f>IF(Table1[[#This Row],[Is Data Valid]]=TRUE,_xlfn.NORM.S.DIST(Table1[[#This Row],[Birthweight Z-Score]],TRUE)*100,"")</f>
        <v/>
      </c>
      <c r="K1703" s="7" t="str">
        <f>IF(Table1[[#This Row],[Is Data Valid]]=TRUE,_xlfn.NORM.S.DIST(Table1[[#This Row],[Birthweight Z-Score (BW-10%)]],TRUE)*100,"")</f>
        <v/>
      </c>
      <c r="L1703" s="7" t="str">
        <f>IF(Table1[[#This Row],[Is Data Valid]]=TRUE,_xlfn.NORM.S.DIST(Table1[[#This Row],[Birthweight Z-Score (BW+10%)]],TRUE)*100,"")</f>
        <v/>
      </c>
    </row>
    <row r="1704" spans="1:12" x14ac:dyDescent="0.35">
      <c r="A1704" s="3"/>
      <c r="B1704" s="2"/>
      <c r="C1704" s="2"/>
      <c r="D1704" s="2" t="b">
        <f>IF(AND(NOT(ISBLANK(Table1[[#This Row],[Fetal Sex (Male, Female or Unknown)]])),ISNUMBER(Table1[[#This Row],[Birthweight (grams)]]),ISNUMBER(Table1[[#This Row],[Gestation (days)]])),TRUE,FALSE)</f>
        <v>0</v>
      </c>
      <c r="E1704" s="2" t="str">
        <f>IF(Table1[[#This Row],[Is Data Valid]]=TRUE,IF(Table1[[#This Row],[Fetal Sex (Male, Female or Unknown)]]="Male",Backend!$C$6,IF(Table1[[#This Row],[Fetal Sex (Male, Female or Unknown)]]="Female",Backend!$C$7,IF(Table1[[#This Row],[Fetal Sex (Male, Female or Unknown)]]="Unknown",Backend!$C$8,"Error"))),"")</f>
        <v/>
      </c>
      <c r="F1704" s="8" t="str">
        <f>IF(Table1[[#This Row],[Is Data Valid]]=TRUE,EXP(0.578+0.332*((Table1[[#This Row],[Gestation (days)]]+0.5)/7)-0.00354*((Table1[[#This Row],[Gestation (days)]]+0.5)/7)^2)*Table1[[#This Row],[BW40_3705]],"")</f>
        <v/>
      </c>
      <c r="G1704" s="2" t="str">
        <f>IF(Table1[[#This Row],[Is Data Valid]]=TRUE,((Table1[[#This Row],[Birthweight (grams)]]/Table1[[#This Row],[BW_GA]])-1)/(Backend!$B$4/100*Table1[[#This Row],[BW40_3705]]),"")</f>
        <v/>
      </c>
      <c r="H1704" s="7" t="str">
        <f>IF(Table1[[#This Row],[Is Data Valid]]=TRUE,((Table1[[#This Row],[Birthweight (grams)]]*0.9/Table1[[#This Row],[BW_GA]])-1)/(Backend!$B$4/100*Table1[[#This Row],[BW40_3705]]),"")</f>
        <v/>
      </c>
      <c r="I1704" s="7" t="str">
        <f>IF(Table1[[#This Row],[Is Data Valid]]=TRUE,((Table1[[#This Row],[Birthweight (grams)]]*1.1/Table1[[#This Row],[BW_GA]])-1)/(Backend!$B$4/100*Table1[[#This Row],[BW40_3705]]),"")</f>
        <v/>
      </c>
      <c r="J1704" s="7" t="str">
        <f>IF(Table1[[#This Row],[Is Data Valid]]=TRUE,_xlfn.NORM.S.DIST(Table1[[#This Row],[Birthweight Z-Score]],TRUE)*100,"")</f>
        <v/>
      </c>
      <c r="K1704" s="7" t="str">
        <f>IF(Table1[[#This Row],[Is Data Valid]]=TRUE,_xlfn.NORM.S.DIST(Table1[[#This Row],[Birthweight Z-Score (BW-10%)]],TRUE)*100,"")</f>
        <v/>
      </c>
      <c r="L1704" s="7" t="str">
        <f>IF(Table1[[#This Row],[Is Data Valid]]=TRUE,_xlfn.NORM.S.DIST(Table1[[#This Row],[Birthweight Z-Score (BW+10%)]],TRUE)*100,"")</f>
        <v/>
      </c>
    </row>
    <row r="1705" spans="1:12" x14ac:dyDescent="0.35">
      <c r="A1705" s="3"/>
      <c r="B1705" s="2"/>
      <c r="C1705" s="2"/>
      <c r="D1705" s="2" t="b">
        <f>IF(AND(NOT(ISBLANK(Table1[[#This Row],[Fetal Sex (Male, Female or Unknown)]])),ISNUMBER(Table1[[#This Row],[Birthweight (grams)]]),ISNUMBER(Table1[[#This Row],[Gestation (days)]])),TRUE,FALSE)</f>
        <v>0</v>
      </c>
      <c r="E1705" s="2" t="str">
        <f>IF(Table1[[#This Row],[Is Data Valid]]=TRUE,IF(Table1[[#This Row],[Fetal Sex (Male, Female or Unknown)]]="Male",Backend!$C$6,IF(Table1[[#This Row],[Fetal Sex (Male, Female or Unknown)]]="Female",Backend!$C$7,IF(Table1[[#This Row],[Fetal Sex (Male, Female or Unknown)]]="Unknown",Backend!$C$8,"Error"))),"")</f>
        <v/>
      </c>
      <c r="F1705" s="8" t="str">
        <f>IF(Table1[[#This Row],[Is Data Valid]]=TRUE,EXP(0.578+0.332*((Table1[[#This Row],[Gestation (days)]]+0.5)/7)-0.00354*((Table1[[#This Row],[Gestation (days)]]+0.5)/7)^2)*Table1[[#This Row],[BW40_3705]],"")</f>
        <v/>
      </c>
      <c r="G1705" s="2" t="str">
        <f>IF(Table1[[#This Row],[Is Data Valid]]=TRUE,((Table1[[#This Row],[Birthweight (grams)]]/Table1[[#This Row],[BW_GA]])-1)/(Backend!$B$4/100*Table1[[#This Row],[BW40_3705]]),"")</f>
        <v/>
      </c>
      <c r="H1705" s="7" t="str">
        <f>IF(Table1[[#This Row],[Is Data Valid]]=TRUE,((Table1[[#This Row],[Birthweight (grams)]]*0.9/Table1[[#This Row],[BW_GA]])-1)/(Backend!$B$4/100*Table1[[#This Row],[BW40_3705]]),"")</f>
        <v/>
      </c>
      <c r="I1705" s="7" t="str">
        <f>IF(Table1[[#This Row],[Is Data Valid]]=TRUE,((Table1[[#This Row],[Birthweight (grams)]]*1.1/Table1[[#This Row],[BW_GA]])-1)/(Backend!$B$4/100*Table1[[#This Row],[BW40_3705]]),"")</f>
        <v/>
      </c>
      <c r="J1705" s="7" t="str">
        <f>IF(Table1[[#This Row],[Is Data Valid]]=TRUE,_xlfn.NORM.S.DIST(Table1[[#This Row],[Birthweight Z-Score]],TRUE)*100,"")</f>
        <v/>
      </c>
      <c r="K1705" s="7" t="str">
        <f>IF(Table1[[#This Row],[Is Data Valid]]=TRUE,_xlfn.NORM.S.DIST(Table1[[#This Row],[Birthweight Z-Score (BW-10%)]],TRUE)*100,"")</f>
        <v/>
      </c>
      <c r="L1705" s="7" t="str">
        <f>IF(Table1[[#This Row],[Is Data Valid]]=TRUE,_xlfn.NORM.S.DIST(Table1[[#This Row],[Birthweight Z-Score (BW+10%)]],TRUE)*100,"")</f>
        <v/>
      </c>
    </row>
    <row r="1706" spans="1:12" x14ac:dyDescent="0.35">
      <c r="A1706" s="3"/>
      <c r="B1706" s="2"/>
      <c r="C1706" s="2"/>
      <c r="D1706" s="2" t="b">
        <f>IF(AND(NOT(ISBLANK(Table1[[#This Row],[Fetal Sex (Male, Female or Unknown)]])),ISNUMBER(Table1[[#This Row],[Birthweight (grams)]]),ISNUMBER(Table1[[#This Row],[Gestation (days)]])),TRUE,FALSE)</f>
        <v>0</v>
      </c>
      <c r="E1706" s="2" t="str">
        <f>IF(Table1[[#This Row],[Is Data Valid]]=TRUE,IF(Table1[[#This Row],[Fetal Sex (Male, Female or Unknown)]]="Male",Backend!$C$6,IF(Table1[[#This Row],[Fetal Sex (Male, Female or Unknown)]]="Female",Backend!$C$7,IF(Table1[[#This Row],[Fetal Sex (Male, Female or Unknown)]]="Unknown",Backend!$C$8,"Error"))),"")</f>
        <v/>
      </c>
      <c r="F1706" s="8" t="str">
        <f>IF(Table1[[#This Row],[Is Data Valid]]=TRUE,EXP(0.578+0.332*((Table1[[#This Row],[Gestation (days)]]+0.5)/7)-0.00354*((Table1[[#This Row],[Gestation (days)]]+0.5)/7)^2)*Table1[[#This Row],[BW40_3705]],"")</f>
        <v/>
      </c>
      <c r="G1706" s="2" t="str">
        <f>IF(Table1[[#This Row],[Is Data Valid]]=TRUE,((Table1[[#This Row],[Birthweight (grams)]]/Table1[[#This Row],[BW_GA]])-1)/(Backend!$B$4/100*Table1[[#This Row],[BW40_3705]]),"")</f>
        <v/>
      </c>
      <c r="H1706" s="7" t="str">
        <f>IF(Table1[[#This Row],[Is Data Valid]]=TRUE,((Table1[[#This Row],[Birthweight (grams)]]*0.9/Table1[[#This Row],[BW_GA]])-1)/(Backend!$B$4/100*Table1[[#This Row],[BW40_3705]]),"")</f>
        <v/>
      </c>
      <c r="I1706" s="7" t="str">
        <f>IF(Table1[[#This Row],[Is Data Valid]]=TRUE,((Table1[[#This Row],[Birthweight (grams)]]*1.1/Table1[[#This Row],[BW_GA]])-1)/(Backend!$B$4/100*Table1[[#This Row],[BW40_3705]]),"")</f>
        <v/>
      </c>
      <c r="J1706" s="7" t="str">
        <f>IF(Table1[[#This Row],[Is Data Valid]]=TRUE,_xlfn.NORM.S.DIST(Table1[[#This Row],[Birthweight Z-Score]],TRUE)*100,"")</f>
        <v/>
      </c>
      <c r="K1706" s="7" t="str">
        <f>IF(Table1[[#This Row],[Is Data Valid]]=TRUE,_xlfn.NORM.S.DIST(Table1[[#This Row],[Birthweight Z-Score (BW-10%)]],TRUE)*100,"")</f>
        <v/>
      </c>
      <c r="L1706" s="7" t="str">
        <f>IF(Table1[[#This Row],[Is Data Valid]]=TRUE,_xlfn.NORM.S.DIST(Table1[[#This Row],[Birthweight Z-Score (BW+10%)]],TRUE)*100,"")</f>
        <v/>
      </c>
    </row>
    <row r="1707" spans="1:12" x14ac:dyDescent="0.35">
      <c r="A1707" s="3"/>
      <c r="B1707" s="2"/>
      <c r="C1707" s="2"/>
      <c r="D1707" s="2" t="b">
        <f>IF(AND(NOT(ISBLANK(Table1[[#This Row],[Fetal Sex (Male, Female or Unknown)]])),ISNUMBER(Table1[[#This Row],[Birthweight (grams)]]),ISNUMBER(Table1[[#This Row],[Gestation (days)]])),TRUE,FALSE)</f>
        <v>0</v>
      </c>
      <c r="E1707" s="2" t="str">
        <f>IF(Table1[[#This Row],[Is Data Valid]]=TRUE,IF(Table1[[#This Row],[Fetal Sex (Male, Female or Unknown)]]="Male",Backend!$C$6,IF(Table1[[#This Row],[Fetal Sex (Male, Female or Unknown)]]="Female",Backend!$C$7,IF(Table1[[#This Row],[Fetal Sex (Male, Female or Unknown)]]="Unknown",Backend!$C$8,"Error"))),"")</f>
        <v/>
      </c>
      <c r="F1707" s="8" t="str">
        <f>IF(Table1[[#This Row],[Is Data Valid]]=TRUE,EXP(0.578+0.332*((Table1[[#This Row],[Gestation (days)]]+0.5)/7)-0.00354*((Table1[[#This Row],[Gestation (days)]]+0.5)/7)^2)*Table1[[#This Row],[BW40_3705]],"")</f>
        <v/>
      </c>
      <c r="G1707" s="2" t="str">
        <f>IF(Table1[[#This Row],[Is Data Valid]]=TRUE,((Table1[[#This Row],[Birthweight (grams)]]/Table1[[#This Row],[BW_GA]])-1)/(Backend!$B$4/100*Table1[[#This Row],[BW40_3705]]),"")</f>
        <v/>
      </c>
      <c r="H1707" s="7" t="str">
        <f>IF(Table1[[#This Row],[Is Data Valid]]=TRUE,((Table1[[#This Row],[Birthweight (grams)]]*0.9/Table1[[#This Row],[BW_GA]])-1)/(Backend!$B$4/100*Table1[[#This Row],[BW40_3705]]),"")</f>
        <v/>
      </c>
      <c r="I1707" s="7" t="str">
        <f>IF(Table1[[#This Row],[Is Data Valid]]=TRUE,((Table1[[#This Row],[Birthweight (grams)]]*1.1/Table1[[#This Row],[BW_GA]])-1)/(Backend!$B$4/100*Table1[[#This Row],[BW40_3705]]),"")</f>
        <v/>
      </c>
      <c r="J1707" s="7" t="str">
        <f>IF(Table1[[#This Row],[Is Data Valid]]=TRUE,_xlfn.NORM.S.DIST(Table1[[#This Row],[Birthweight Z-Score]],TRUE)*100,"")</f>
        <v/>
      </c>
      <c r="K1707" s="7" t="str">
        <f>IF(Table1[[#This Row],[Is Data Valid]]=TRUE,_xlfn.NORM.S.DIST(Table1[[#This Row],[Birthweight Z-Score (BW-10%)]],TRUE)*100,"")</f>
        <v/>
      </c>
      <c r="L1707" s="7" t="str">
        <f>IF(Table1[[#This Row],[Is Data Valid]]=TRUE,_xlfn.NORM.S.DIST(Table1[[#This Row],[Birthweight Z-Score (BW+10%)]],TRUE)*100,"")</f>
        <v/>
      </c>
    </row>
    <row r="1708" spans="1:12" x14ac:dyDescent="0.35">
      <c r="A1708" s="3"/>
      <c r="B1708" s="2"/>
      <c r="C1708" s="2"/>
      <c r="D1708" s="2" t="b">
        <f>IF(AND(NOT(ISBLANK(Table1[[#This Row],[Fetal Sex (Male, Female or Unknown)]])),ISNUMBER(Table1[[#This Row],[Birthweight (grams)]]),ISNUMBER(Table1[[#This Row],[Gestation (days)]])),TRUE,FALSE)</f>
        <v>0</v>
      </c>
      <c r="E1708" s="2" t="str">
        <f>IF(Table1[[#This Row],[Is Data Valid]]=TRUE,IF(Table1[[#This Row],[Fetal Sex (Male, Female or Unknown)]]="Male",Backend!$C$6,IF(Table1[[#This Row],[Fetal Sex (Male, Female or Unknown)]]="Female",Backend!$C$7,IF(Table1[[#This Row],[Fetal Sex (Male, Female or Unknown)]]="Unknown",Backend!$C$8,"Error"))),"")</f>
        <v/>
      </c>
      <c r="F1708" s="8" t="str">
        <f>IF(Table1[[#This Row],[Is Data Valid]]=TRUE,EXP(0.578+0.332*((Table1[[#This Row],[Gestation (days)]]+0.5)/7)-0.00354*((Table1[[#This Row],[Gestation (days)]]+0.5)/7)^2)*Table1[[#This Row],[BW40_3705]],"")</f>
        <v/>
      </c>
      <c r="G1708" s="2" t="str">
        <f>IF(Table1[[#This Row],[Is Data Valid]]=TRUE,((Table1[[#This Row],[Birthweight (grams)]]/Table1[[#This Row],[BW_GA]])-1)/(Backend!$B$4/100*Table1[[#This Row],[BW40_3705]]),"")</f>
        <v/>
      </c>
      <c r="H1708" s="7" t="str">
        <f>IF(Table1[[#This Row],[Is Data Valid]]=TRUE,((Table1[[#This Row],[Birthweight (grams)]]*0.9/Table1[[#This Row],[BW_GA]])-1)/(Backend!$B$4/100*Table1[[#This Row],[BW40_3705]]),"")</f>
        <v/>
      </c>
      <c r="I1708" s="7" t="str">
        <f>IF(Table1[[#This Row],[Is Data Valid]]=TRUE,((Table1[[#This Row],[Birthweight (grams)]]*1.1/Table1[[#This Row],[BW_GA]])-1)/(Backend!$B$4/100*Table1[[#This Row],[BW40_3705]]),"")</f>
        <v/>
      </c>
      <c r="J1708" s="7" t="str">
        <f>IF(Table1[[#This Row],[Is Data Valid]]=TRUE,_xlfn.NORM.S.DIST(Table1[[#This Row],[Birthweight Z-Score]],TRUE)*100,"")</f>
        <v/>
      </c>
      <c r="K1708" s="7" t="str">
        <f>IF(Table1[[#This Row],[Is Data Valid]]=TRUE,_xlfn.NORM.S.DIST(Table1[[#This Row],[Birthweight Z-Score (BW-10%)]],TRUE)*100,"")</f>
        <v/>
      </c>
      <c r="L1708" s="7" t="str">
        <f>IF(Table1[[#This Row],[Is Data Valid]]=TRUE,_xlfn.NORM.S.DIST(Table1[[#This Row],[Birthweight Z-Score (BW+10%)]],TRUE)*100,"")</f>
        <v/>
      </c>
    </row>
    <row r="1709" spans="1:12" x14ac:dyDescent="0.35">
      <c r="A1709" s="3"/>
      <c r="B1709" s="2"/>
      <c r="C1709" s="2"/>
      <c r="D1709" s="2" t="b">
        <f>IF(AND(NOT(ISBLANK(Table1[[#This Row],[Fetal Sex (Male, Female or Unknown)]])),ISNUMBER(Table1[[#This Row],[Birthweight (grams)]]),ISNUMBER(Table1[[#This Row],[Gestation (days)]])),TRUE,FALSE)</f>
        <v>0</v>
      </c>
      <c r="E1709" s="2" t="str">
        <f>IF(Table1[[#This Row],[Is Data Valid]]=TRUE,IF(Table1[[#This Row],[Fetal Sex (Male, Female or Unknown)]]="Male",Backend!$C$6,IF(Table1[[#This Row],[Fetal Sex (Male, Female or Unknown)]]="Female",Backend!$C$7,IF(Table1[[#This Row],[Fetal Sex (Male, Female or Unknown)]]="Unknown",Backend!$C$8,"Error"))),"")</f>
        <v/>
      </c>
      <c r="F1709" s="8" t="str">
        <f>IF(Table1[[#This Row],[Is Data Valid]]=TRUE,EXP(0.578+0.332*((Table1[[#This Row],[Gestation (days)]]+0.5)/7)-0.00354*((Table1[[#This Row],[Gestation (days)]]+0.5)/7)^2)*Table1[[#This Row],[BW40_3705]],"")</f>
        <v/>
      </c>
      <c r="G1709" s="2" t="str">
        <f>IF(Table1[[#This Row],[Is Data Valid]]=TRUE,((Table1[[#This Row],[Birthweight (grams)]]/Table1[[#This Row],[BW_GA]])-1)/(Backend!$B$4/100*Table1[[#This Row],[BW40_3705]]),"")</f>
        <v/>
      </c>
      <c r="H1709" s="7" t="str">
        <f>IF(Table1[[#This Row],[Is Data Valid]]=TRUE,((Table1[[#This Row],[Birthweight (grams)]]*0.9/Table1[[#This Row],[BW_GA]])-1)/(Backend!$B$4/100*Table1[[#This Row],[BW40_3705]]),"")</f>
        <v/>
      </c>
      <c r="I1709" s="7" t="str">
        <f>IF(Table1[[#This Row],[Is Data Valid]]=TRUE,((Table1[[#This Row],[Birthweight (grams)]]*1.1/Table1[[#This Row],[BW_GA]])-1)/(Backend!$B$4/100*Table1[[#This Row],[BW40_3705]]),"")</f>
        <v/>
      </c>
      <c r="J1709" s="7" t="str">
        <f>IF(Table1[[#This Row],[Is Data Valid]]=TRUE,_xlfn.NORM.S.DIST(Table1[[#This Row],[Birthweight Z-Score]],TRUE)*100,"")</f>
        <v/>
      </c>
      <c r="K1709" s="7" t="str">
        <f>IF(Table1[[#This Row],[Is Data Valid]]=TRUE,_xlfn.NORM.S.DIST(Table1[[#This Row],[Birthweight Z-Score (BW-10%)]],TRUE)*100,"")</f>
        <v/>
      </c>
      <c r="L1709" s="7" t="str">
        <f>IF(Table1[[#This Row],[Is Data Valid]]=TRUE,_xlfn.NORM.S.DIST(Table1[[#This Row],[Birthweight Z-Score (BW+10%)]],TRUE)*100,"")</f>
        <v/>
      </c>
    </row>
    <row r="1710" spans="1:12" x14ac:dyDescent="0.35">
      <c r="A1710" s="3"/>
      <c r="B1710" s="2"/>
      <c r="C1710" s="2"/>
      <c r="D1710" s="2" t="b">
        <f>IF(AND(NOT(ISBLANK(Table1[[#This Row],[Fetal Sex (Male, Female or Unknown)]])),ISNUMBER(Table1[[#This Row],[Birthweight (grams)]]),ISNUMBER(Table1[[#This Row],[Gestation (days)]])),TRUE,FALSE)</f>
        <v>0</v>
      </c>
      <c r="E1710" s="2" t="str">
        <f>IF(Table1[[#This Row],[Is Data Valid]]=TRUE,IF(Table1[[#This Row],[Fetal Sex (Male, Female or Unknown)]]="Male",Backend!$C$6,IF(Table1[[#This Row],[Fetal Sex (Male, Female or Unknown)]]="Female",Backend!$C$7,IF(Table1[[#This Row],[Fetal Sex (Male, Female or Unknown)]]="Unknown",Backend!$C$8,"Error"))),"")</f>
        <v/>
      </c>
      <c r="F1710" s="8" t="str">
        <f>IF(Table1[[#This Row],[Is Data Valid]]=TRUE,EXP(0.578+0.332*((Table1[[#This Row],[Gestation (days)]]+0.5)/7)-0.00354*((Table1[[#This Row],[Gestation (days)]]+0.5)/7)^2)*Table1[[#This Row],[BW40_3705]],"")</f>
        <v/>
      </c>
      <c r="G1710" s="2" t="str">
        <f>IF(Table1[[#This Row],[Is Data Valid]]=TRUE,((Table1[[#This Row],[Birthweight (grams)]]/Table1[[#This Row],[BW_GA]])-1)/(Backend!$B$4/100*Table1[[#This Row],[BW40_3705]]),"")</f>
        <v/>
      </c>
      <c r="H1710" s="7" t="str">
        <f>IF(Table1[[#This Row],[Is Data Valid]]=TRUE,((Table1[[#This Row],[Birthweight (grams)]]*0.9/Table1[[#This Row],[BW_GA]])-1)/(Backend!$B$4/100*Table1[[#This Row],[BW40_3705]]),"")</f>
        <v/>
      </c>
      <c r="I1710" s="7" t="str">
        <f>IF(Table1[[#This Row],[Is Data Valid]]=TRUE,((Table1[[#This Row],[Birthweight (grams)]]*1.1/Table1[[#This Row],[BW_GA]])-1)/(Backend!$B$4/100*Table1[[#This Row],[BW40_3705]]),"")</f>
        <v/>
      </c>
      <c r="J1710" s="7" t="str">
        <f>IF(Table1[[#This Row],[Is Data Valid]]=TRUE,_xlfn.NORM.S.DIST(Table1[[#This Row],[Birthweight Z-Score]],TRUE)*100,"")</f>
        <v/>
      </c>
      <c r="K1710" s="7" t="str">
        <f>IF(Table1[[#This Row],[Is Data Valid]]=TRUE,_xlfn.NORM.S.DIST(Table1[[#This Row],[Birthweight Z-Score (BW-10%)]],TRUE)*100,"")</f>
        <v/>
      </c>
      <c r="L1710" s="7" t="str">
        <f>IF(Table1[[#This Row],[Is Data Valid]]=TRUE,_xlfn.NORM.S.DIST(Table1[[#This Row],[Birthweight Z-Score (BW+10%)]],TRUE)*100,"")</f>
        <v/>
      </c>
    </row>
    <row r="1711" spans="1:12" x14ac:dyDescent="0.35">
      <c r="A1711" s="3"/>
      <c r="B1711" s="2"/>
      <c r="C1711" s="2"/>
      <c r="D1711" s="2" t="b">
        <f>IF(AND(NOT(ISBLANK(Table1[[#This Row],[Fetal Sex (Male, Female or Unknown)]])),ISNUMBER(Table1[[#This Row],[Birthweight (grams)]]),ISNUMBER(Table1[[#This Row],[Gestation (days)]])),TRUE,FALSE)</f>
        <v>0</v>
      </c>
      <c r="E1711" s="2" t="str">
        <f>IF(Table1[[#This Row],[Is Data Valid]]=TRUE,IF(Table1[[#This Row],[Fetal Sex (Male, Female or Unknown)]]="Male",Backend!$C$6,IF(Table1[[#This Row],[Fetal Sex (Male, Female or Unknown)]]="Female",Backend!$C$7,IF(Table1[[#This Row],[Fetal Sex (Male, Female or Unknown)]]="Unknown",Backend!$C$8,"Error"))),"")</f>
        <v/>
      </c>
      <c r="F1711" s="8" t="str">
        <f>IF(Table1[[#This Row],[Is Data Valid]]=TRUE,EXP(0.578+0.332*((Table1[[#This Row],[Gestation (days)]]+0.5)/7)-0.00354*((Table1[[#This Row],[Gestation (days)]]+0.5)/7)^2)*Table1[[#This Row],[BW40_3705]],"")</f>
        <v/>
      </c>
      <c r="G1711" s="2" t="str">
        <f>IF(Table1[[#This Row],[Is Data Valid]]=TRUE,((Table1[[#This Row],[Birthweight (grams)]]/Table1[[#This Row],[BW_GA]])-1)/(Backend!$B$4/100*Table1[[#This Row],[BW40_3705]]),"")</f>
        <v/>
      </c>
      <c r="H1711" s="7" t="str">
        <f>IF(Table1[[#This Row],[Is Data Valid]]=TRUE,((Table1[[#This Row],[Birthweight (grams)]]*0.9/Table1[[#This Row],[BW_GA]])-1)/(Backend!$B$4/100*Table1[[#This Row],[BW40_3705]]),"")</f>
        <v/>
      </c>
      <c r="I1711" s="7" t="str">
        <f>IF(Table1[[#This Row],[Is Data Valid]]=TRUE,((Table1[[#This Row],[Birthweight (grams)]]*1.1/Table1[[#This Row],[BW_GA]])-1)/(Backend!$B$4/100*Table1[[#This Row],[BW40_3705]]),"")</f>
        <v/>
      </c>
      <c r="J1711" s="7" t="str">
        <f>IF(Table1[[#This Row],[Is Data Valid]]=TRUE,_xlfn.NORM.S.DIST(Table1[[#This Row],[Birthweight Z-Score]],TRUE)*100,"")</f>
        <v/>
      </c>
      <c r="K1711" s="7" t="str">
        <f>IF(Table1[[#This Row],[Is Data Valid]]=TRUE,_xlfn.NORM.S.DIST(Table1[[#This Row],[Birthweight Z-Score (BW-10%)]],TRUE)*100,"")</f>
        <v/>
      </c>
      <c r="L1711" s="7" t="str">
        <f>IF(Table1[[#This Row],[Is Data Valid]]=TRUE,_xlfn.NORM.S.DIST(Table1[[#This Row],[Birthweight Z-Score (BW+10%)]],TRUE)*100,"")</f>
        <v/>
      </c>
    </row>
    <row r="1712" spans="1:12" x14ac:dyDescent="0.35">
      <c r="A1712" s="3"/>
      <c r="B1712" s="2"/>
      <c r="C1712" s="2"/>
      <c r="D1712" s="2" t="b">
        <f>IF(AND(NOT(ISBLANK(Table1[[#This Row],[Fetal Sex (Male, Female or Unknown)]])),ISNUMBER(Table1[[#This Row],[Birthweight (grams)]]),ISNUMBER(Table1[[#This Row],[Gestation (days)]])),TRUE,FALSE)</f>
        <v>0</v>
      </c>
      <c r="E1712" s="2" t="str">
        <f>IF(Table1[[#This Row],[Is Data Valid]]=TRUE,IF(Table1[[#This Row],[Fetal Sex (Male, Female or Unknown)]]="Male",Backend!$C$6,IF(Table1[[#This Row],[Fetal Sex (Male, Female or Unknown)]]="Female",Backend!$C$7,IF(Table1[[#This Row],[Fetal Sex (Male, Female or Unknown)]]="Unknown",Backend!$C$8,"Error"))),"")</f>
        <v/>
      </c>
      <c r="F1712" s="8" t="str">
        <f>IF(Table1[[#This Row],[Is Data Valid]]=TRUE,EXP(0.578+0.332*((Table1[[#This Row],[Gestation (days)]]+0.5)/7)-0.00354*((Table1[[#This Row],[Gestation (days)]]+0.5)/7)^2)*Table1[[#This Row],[BW40_3705]],"")</f>
        <v/>
      </c>
      <c r="G1712" s="2" t="str">
        <f>IF(Table1[[#This Row],[Is Data Valid]]=TRUE,((Table1[[#This Row],[Birthweight (grams)]]/Table1[[#This Row],[BW_GA]])-1)/(Backend!$B$4/100*Table1[[#This Row],[BW40_3705]]),"")</f>
        <v/>
      </c>
      <c r="H1712" s="7" t="str">
        <f>IF(Table1[[#This Row],[Is Data Valid]]=TRUE,((Table1[[#This Row],[Birthweight (grams)]]*0.9/Table1[[#This Row],[BW_GA]])-1)/(Backend!$B$4/100*Table1[[#This Row],[BW40_3705]]),"")</f>
        <v/>
      </c>
      <c r="I1712" s="7" t="str">
        <f>IF(Table1[[#This Row],[Is Data Valid]]=TRUE,((Table1[[#This Row],[Birthweight (grams)]]*1.1/Table1[[#This Row],[BW_GA]])-1)/(Backend!$B$4/100*Table1[[#This Row],[BW40_3705]]),"")</f>
        <v/>
      </c>
      <c r="J1712" s="7" t="str">
        <f>IF(Table1[[#This Row],[Is Data Valid]]=TRUE,_xlfn.NORM.S.DIST(Table1[[#This Row],[Birthweight Z-Score]],TRUE)*100,"")</f>
        <v/>
      </c>
      <c r="K1712" s="7" t="str">
        <f>IF(Table1[[#This Row],[Is Data Valid]]=TRUE,_xlfn.NORM.S.DIST(Table1[[#This Row],[Birthweight Z-Score (BW-10%)]],TRUE)*100,"")</f>
        <v/>
      </c>
      <c r="L1712" s="7" t="str">
        <f>IF(Table1[[#This Row],[Is Data Valid]]=TRUE,_xlfn.NORM.S.DIST(Table1[[#This Row],[Birthweight Z-Score (BW+10%)]],TRUE)*100,"")</f>
        <v/>
      </c>
    </row>
    <row r="1713" spans="1:12" x14ac:dyDescent="0.35">
      <c r="A1713" s="3"/>
      <c r="B1713" s="2"/>
      <c r="C1713" s="2"/>
      <c r="D1713" s="2" t="b">
        <f>IF(AND(NOT(ISBLANK(Table1[[#This Row],[Fetal Sex (Male, Female or Unknown)]])),ISNUMBER(Table1[[#This Row],[Birthweight (grams)]]),ISNUMBER(Table1[[#This Row],[Gestation (days)]])),TRUE,FALSE)</f>
        <v>0</v>
      </c>
      <c r="E1713" s="2" t="str">
        <f>IF(Table1[[#This Row],[Is Data Valid]]=TRUE,IF(Table1[[#This Row],[Fetal Sex (Male, Female or Unknown)]]="Male",Backend!$C$6,IF(Table1[[#This Row],[Fetal Sex (Male, Female or Unknown)]]="Female",Backend!$C$7,IF(Table1[[#This Row],[Fetal Sex (Male, Female or Unknown)]]="Unknown",Backend!$C$8,"Error"))),"")</f>
        <v/>
      </c>
      <c r="F1713" s="8" t="str">
        <f>IF(Table1[[#This Row],[Is Data Valid]]=TRUE,EXP(0.578+0.332*((Table1[[#This Row],[Gestation (days)]]+0.5)/7)-0.00354*((Table1[[#This Row],[Gestation (days)]]+0.5)/7)^2)*Table1[[#This Row],[BW40_3705]],"")</f>
        <v/>
      </c>
      <c r="G1713" s="2" t="str">
        <f>IF(Table1[[#This Row],[Is Data Valid]]=TRUE,((Table1[[#This Row],[Birthweight (grams)]]/Table1[[#This Row],[BW_GA]])-1)/(Backend!$B$4/100*Table1[[#This Row],[BW40_3705]]),"")</f>
        <v/>
      </c>
      <c r="H1713" s="7" t="str">
        <f>IF(Table1[[#This Row],[Is Data Valid]]=TRUE,((Table1[[#This Row],[Birthweight (grams)]]*0.9/Table1[[#This Row],[BW_GA]])-1)/(Backend!$B$4/100*Table1[[#This Row],[BW40_3705]]),"")</f>
        <v/>
      </c>
      <c r="I1713" s="7" t="str">
        <f>IF(Table1[[#This Row],[Is Data Valid]]=TRUE,((Table1[[#This Row],[Birthweight (grams)]]*1.1/Table1[[#This Row],[BW_GA]])-1)/(Backend!$B$4/100*Table1[[#This Row],[BW40_3705]]),"")</f>
        <v/>
      </c>
      <c r="J1713" s="7" t="str">
        <f>IF(Table1[[#This Row],[Is Data Valid]]=TRUE,_xlfn.NORM.S.DIST(Table1[[#This Row],[Birthweight Z-Score]],TRUE)*100,"")</f>
        <v/>
      </c>
      <c r="K1713" s="7" t="str">
        <f>IF(Table1[[#This Row],[Is Data Valid]]=TRUE,_xlfn.NORM.S.DIST(Table1[[#This Row],[Birthweight Z-Score (BW-10%)]],TRUE)*100,"")</f>
        <v/>
      </c>
      <c r="L1713" s="7" t="str">
        <f>IF(Table1[[#This Row],[Is Data Valid]]=TRUE,_xlfn.NORM.S.DIST(Table1[[#This Row],[Birthweight Z-Score (BW+10%)]],TRUE)*100,"")</f>
        <v/>
      </c>
    </row>
    <row r="1714" spans="1:12" x14ac:dyDescent="0.35">
      <c r="A1714" s="3"/>
      <c r="B1714" s="2"/>
      <c r="C1714" s="2"/>
      <c r="D1714" s="2" t="b">
        <f>IF(AND(NOT(ISBLANK(Table1[[#This Row],[Fetal Sex (Male, Female or Unknown)]])),ISNUMBER(Table1[[#This Row],[Birthweight (grams)]]),ISNUMBER(Table1[[#This Row],[Gestation (days)]])),TRUE,FALSE)</f>
        <v>0</v>
      </c>
      <c r="E1714" s="2" t="str">
        <f>IF(Table1[[#This Row],[Is Data Valid]]=TRUE,IF(Table1[[#This Row],[Fetal Sex (Male, Female or Unknown)]]="Male",Backend!$C$6,IF(Table1[[#This Row],[Fetal Sex (Male, Female or Unknown)]]="Female",Backend!$C$7,IF(Table1[[#This Row],[Fetal Sex (Male, Female or Unknown)]]="Unknown",Backend!$C$8,"Error"))),"")</f>
        <v/>
      </c>
      <c r="F1714" s="8" t="str">
        <f>IF(Table1[[#This Row],[Is Data Valid]]=TRUE,EXP(0.578+0.332*((Table1[[#This Row],[Gestation (days)]]+0.5)/7)-0.00354*((Table1[[#This Row],[Gestation (days)]]+0.5)/7)^2)*Table1[[#This Row],[BW40_3705]],"")</f>
        <v/>
      </c>
      <c r="G1714" s="2" t="str">
        <f>IF(Table1[[#This Row],[Is Data Valid]]=TRUE,((Table1[[#This Row],[Birthweight (grams)]]/Table1[[#This Row],[BW_GA]])-1)/(Backend!$B$4/100*Table1[[#This Row],[BW40_3705]]),"")</f>
        <v/>
      </c>
      <c r="H1714" s="7" t="str">
        <f>IF(Table1[[#This Row],[Is Data Valid]]=TRUE,((Table1[[#This Row],[Birthweight (grams)]]*0.9/Table1[[#This Row],[BW_GA]])-1)/(Backend!$B$4/100*Table1[[#This Row],[BW40_3705]]),"")</f>
        <v/>
      </c>
      <c r="I1714" s="7" t="str">
        <f>IF(Table1[[#This Row],[Is Data Valid]]=TRUE,((Table1[[#This Row],[Birthweight (grams)]]*1.1/Table1[[#This Row],[BW_GA]])-1)/(Backend!$B$4/100*Table1[[#This Row],[BW40_3705]]),"")</f>
        <v/>
      </c>
      <c r="J1714" s="7" t="str">
        <f>IF(Table1[[#This Row],[Is Data Valid]]=TRUE,_xlfn.NORM.S.DIST(Table1[[#This Row],[Birthweight Z-Score]],TRUE)*100,"")</f>
        <v/>
      </c>
      <c r="K1714" s="7" t="str">
        <f>IF(Table1[[#This Row],[Is Data Valid]]=TRUE,_xlfn.NORM.S.DIST(Table1[[#This Row],[Birthweight Z-Score (BW-10%)]],TRUE)*100,"")</f>
        <v/>
      </c>
      <c r="L1714" s="7" t="str">
        <f>IF(Table1[[#This Row],[Is Data Valid]]=TRUE,_xlfn.NORM.S.DIST(Table1[[#This Row],[Birthweight Z-Score (BW+10%)]],TRUE)*100,"")</f>
        <v/>
      </c>
    </row>
    <row r="1715" spans="1:12" x14ac:dyDescent="0.35">
      <c r="A1715" s="3"/>
      <c r="B1715" s="2"/>
      <c r="C1715" s="2"/>
      <c r="D1715" s="2" t="b">
        <f>IF(AND(NOT(ISBLANK(Table1[[#This Row],[Fetal Sex (Male, Female or Unknown)]])),ISNUMBER(Table1[[#This Row],[Birthweight (grams)]]),ISNUMBER(Table1[[#This Row],[Gestation (days)]])),TRUE,FALSE)</f>
        <v>0</v>
      </c>
      <c r="E1715" s="2" t="str">
        <f>IF(Table1[[#This Row],[Is Data Valid]]=TRUE,IF(Table1[[#This Row],[Fetal Sex (Male, Female or Unknown)]]="Male",Backend!$C$6,IF(Table1[[#This Row],[Fetal Sex (Male, Female or Unknown)]]="Female",Backend!$C$7,IF(Table1[[#This Row],[Fetal Sex (Male, Female or Unknown)]]="Unknown",Backend!$C$8,"Error"))),"")</f>
        <v/>
      </c>
      <c r="F1715" s="8" t="str">
        <f>IF(Table1[[#This Row],[Is Data Valid]]=TRUE,EXP(0.578+0.332*((Table1[[#This Row],[Gestation (days)]]+0.5)/7)-0.00354*((Table1[[#This Row],[Gestation (days)]]+0.5)/7)^2)*Table1[[#This Row],[BW40_3705]],"")</f>
        <v/>
      </c>
      <c r="G1715" s="2" t="str">
        <f>IF(Table1[[#This Row],[Is Data Valid]]=TRUE,((Table1[[#This Row],[Birthweight (grams)]]/Table1[[#This Row],[BW_GA]])-1)/(Backend!$B$4/100*Table1[[#This Row],[BW40_3705]]),"")</f>
        <v/>
      </c>
      <c r="H1715" s="7" t="str">
        <f>IF(Table1[[#This Row],[Is Data Valid]]=TRUE,((Table1[[#This Row],[Birthweight (grams)]]*0.9/Table1[[#This Row],[BW_GA]])-1)/(Backend!$B$4/100*Table1[[#This Row],[BW40_3705]]),"")</f>
        <v/>
      </c>
      <c r="I1715" s="7" t="str">
        <f>IF(Table1[[#This Row],[Is Data Valid]]=TRUE,((Table1[[#This Row],[Birthweight (grams)]]*1.1/Table1[[#This Row],[BW_GA]])-1)/(Backend!$B$4/100*Table1[[#This Row],[BW40_3705]]),"")</f>
        <v/>
      </c>
      <c r="J1715" s="7" t="str">
        <f>IF(Table1[[#This Row],[Is Data Valid]]=TRUE,_xlfn.NORM.S.DIST(Table1[[#This Row],[Birthweight Z-Score]],TRUE)*100,"")</f>
        <v/>
      </c>
      <c r="K1715" s="7" t="str">
        <f>IF(Table1[[#This Row],[Is Data Valid]]=TRUE,_xlfn.NORM.S.DIST(Table1[[#This Row],[Birthweight Z-Score (BW-10%)]],TRUE)*100,"")</f>
        <v/>
      </c>
      <c r="L1715" s="7" t="str">
        <f>IF(Table1[[#This Row],[Is Data Valid]]=TRUE,_xlfn.NORM.S.DIST(Table1[[#This Row],[Birthweight Z-Score (BW+10%)]],TRUE)*100,"")</f>
        <v/>
      </c>
    </row>
    <row r="1716" spans="1:12" x14ac:dyDescent="0.35">
      <c r="A1716" s="3"/>
      <c r="B1716" s="2"/>
      <c r="C1716" s="2"/>
      <c r="D1716" s="2" t="b">
        <f>IF(AND(NOT(ISBLANK(Table1[[#This Row],[Fetal Sex (Male, Female or Unknown)]])),ISNUMBER(Table1[[#This Row],[Birthweight (grams)]]),ISNUMBER(Table1[[#This Row],[Gestation (days)]])),TRUE,FALSE)</f>
        <v>0</v>
      </c>
      <c r="E1716" s="2" t="str">
        <f>IF(Table1[[#This Row],[Is Data Valid]]=TRUE,IF(Table1[[#This Row],[Fetal Sex (Male, Female or Unknown)]]="Male",Backend!$C$6,IF(Table1[[#This Row],[Fetal Sex (Male, Female or Unknown)]]="Female",Backend!$C$7,IF(Table1[[#This Row],[Fetal Sex (Male, Female or Unknown)]]="Unknown",Backend!$C$8,"Error"))),"")</f>
        <v/>
      </c>
      <c r="F1716" s="8" t="str">
        <f>IF(Table1[[#This Row],[Is Data Valid]]=TRUE,EXP(0.578+0.332*((Table1[[#This Row],[Gestation (days)]]+0.5)/7)-0.00354*((Table1[[#This Row],[Gestation (days)]]+0.5)/7)^2)*Table1[[#This Row],[BW40_3705]],"")</f>
        <v/>
      </c>
      <c r="G1716" s="2" t="str">
        <f>IF(Table1[[#This Row],[Is Data Valid]]=TRUE,((Table1[[#This Row],[Birthweight (grams)]]/Table1[[#This Row],[BW_GA]])-1)/(Backend!$B$4/100*Table1[[#This Row],[BW40_3705]]),"")</f>
        <v/>
      </c>
      <c r="H1716" s="7" t="str">
        <f>IF(Table1[[#This Row],[Is Data Valid]]=TRUE,((Table1[[#This Row],[Birthweight (grams)]]*0.9/Table1[[#This Row],[BW_GA]])-1)/(Backend!$B$4/100*Table1[[#This Row],[BW40_3705]]),"")</f>
        <v/>
      </c>
      <c r="I1716" s="7" t="str">
        <f>IF(Table1[[#This Row],[Is Data Valid]]=TRUE,((Table1[[#This Row],[Birthweight (grams)]]*1.1/Table1[[#This Row],[BW_GA]])-1)/(Backend!$B$4/100*Table1[[#This Row],[BW40_3705]]),"")</f>
        <v/>
      </c>
      <c r="J1716" s="7" t="str">
        <f>IF(Table1[[#This Row],[Is Data Valid]]=TRUE,_xlfn.NORM.S.DIST(Table1[[#This Row],[Birthweight Z-Score]],TRUE)*100,"")</f>
        <v/>
      </c>
      <c r="K1716" s="7" t="str">
        <f>IF(Table1[[#This Row],[Is Data Valid]]=TRUE,_xlfn.NORM.S.DIST(Table1[[#This Row],[Birthweight Z-Score (BW-10%)]],TRUE)*100,"")</f>
        <v/>
      </c>
      <c r="L1716" s="7" t="str">
        <f>IF(Table1[[#This Row],[Is Data Valid]]=TRUE,_xlfn.NORM.S.DIST(Table1[[#This Row],[Birthweight Z-Score (BW+10%)]],TRUE)*100,"")</f>
        <v/>
      </c>
    </row>
    <row r="1717" spans="1:12" x14ac:dyDescent="0.35">
      <c r="A1717" s="3"/>
      <c r="B1717" s="2"/>
      <c r="C1717" s="2"/>
      <c r="D1717" s="2" t="b">
        <f>IF(AND(NOT(ISBLANK(Table1[[#This Row],[Fetal Sex (Male, Female or Unknown)]])),ISNUMBER(Table1[[#This Row],[Birthweight (grams)]]),ISNUMBER(Table1[[#This Row],[Gestation (days)]])),TRUE,FALSE)</f>
        <v>0</v>
      </c>
      <c r="E1717" s="2" t="str">
        <f>IF(Table1[[#This Row],[Is Data Valid]]=TRUE,IF(Table1[[#This Row],[Fetal Sex (Male, Female or Unknown)]]="Male",Backend!$C$6,IF(Table1[[#This Row],[Fetal Sex (Male, Female or Unknown)]]="Female",Backend!$C$7,IF(Table1[[#This Row],[Fetal Sex (Male, Female or Unknown)]]="Unknown",Backend!$C$8,"Error"))),"")</f>
        <v/>
      </c>
      <c r="F1717" s="8" t="str">
        <f>IF(Table1[[#This Row],[Is Data Valid]]=TRUE,EXP(0.578+0.332*((Table1[[#This Row],[Gestation (days)]]+0.5)/7)-0.00354*((Table1[[#This Row],[Gestation (days)]]+0.5)/7)^2)*Table1[[#This Row],[BW40_3705]],"")</f>
        <v/>
      </c>
      <c r="G1717" s="2" t="str">
        <f>IF(Table1[[#This Row],[Is Data Valid]]=TRUE,((Table1[[#This Row],[Birthweight (grams)]]/Table1[[#This Row],[BW_GA]])-1)/(Backend!$B$4/100*Table1[[#This Row],[BW40_3705]]),"")</f>
        <v/>
      </c>
      <c r="H1717" s="7" t="str">
        <f>IF(Table1[[#This Row],[Is Data Valid]]=TRUE,((Table1[[#This Row],[Birthweight (grams)]]*0.9/Table1[[#This Row],[BW_GA]])-1)/(Backend!$B$4/100*Table1[[#This Row],[BW40_3705]]),"")</f>
        <v/>
      </c>
      <c r="I1717" s="7" t="str">
        <f>IF(Table1[[#This Row],[Is Data Valid]]=TRUE,((Table1[[#This Row],[Birthweight (grams)]]*1.1/Table1[[#This Row],[BW_GA]])-1)/(Backend!$B$4/100*Table1[[#This Row],[BW40_3705]]),"")</f>
        <v/>
      </c>
      <c r="J1717" s="7" t="str">
        <f>IF(Table1[[#This Row],[Is Data Valid]]=TRUE,_xlfn.NORM.S.DIST(Table1[[#This Row],[Birthweight Z-Score]],TRUE)*100,"")</f>
        <v/>
      </c>
      <c r="K1717" s="7" t="str">
        <f>IF(Table1[[#This Row],[Is Data Valid]]=TRUE,_xlfn.NORM.S.DIST(Table1[[#This Row],[Birthweight Z-Score (BW-10%)]],TRUE)*100,"")</f>
        <v/>
      </c>
      <c r="L1717" s="7" t="str">
        <f>IF(Table1[[#This Row],[Is Data Valid]]=TRUE,_xlfn.NORM.S.DIST(Table1[[#This Row],[Birthweight Z-Score (BW+10%)]],TRUE)*100,"")</f>
        <v/>
      </c>
    </row>
    <row r="1718" spans="1:12" x14ac:dyDescent="0.35">
      <c r="A1718" s="3"/>
      <c r="B1718" s="2"/>
      <c r="C1718" s="2"/>
      <c r="D1718" s="2" t="b">
        <f>IF(AND(NOT(ISBLANK(Table1[[#This Row],[Fetal Sex (Male, Female or Unknown)]])),ISNUMBER(Table1[[#This Row],[Birthweight (grams)]]),ISNUMBER(Table1[[#This Row],[Gestation (days)]])),TRUE,FALSE)</f>
        <v>0</v>
      </c>
      <c r="E1718" s="2" t="str">
        <f>IF(Table1[[#This Row],[Is Data Valid]]=TRUE,IF(Table1[[#This Row],[Fetal Sex (Male, Female or Unknown)]]="Male",Backend!$C$6,IF(Table1[[#This Row],[Fetal Sex (Male, Female or Unknown)]]="Female",Backend!$C$7,IF(Table1[[#This Row],[Fetal Sex (Male, Female or Unknown)]]="Unknown",Backend!$C$8,"Error"))),"")</f>
        <v/>
      </c>
      <c r="F1718" s="8" t="str">
        <f>IF(Table1[[#This Row],[Is Data Valid]]=TRUE,EXP(0.578+0.332*((Table1[[#This Row],[Gestation (days)]]+0.5)/7)-0.00354*((Table1[[#This Row],[Gestation (days)]]+0.5)/7)^2)*Table1[[#This Row],[BW40_3705]],"")</f>
        <v/>
      </c>
      <c r="G1718" s="2" t="str">
        <f>IF(Table1[[#This Row],[Is Data Valid]]=TRUE,((Table1[[#This Row],[Birthweight (grams)]]/Table1[[#This Row],[BW_GA]])-1)/(Backend!$B$4/100*Table1[[#This Row],[BW40_3705]]),"")</f>
        <v/>
      </c>
      <c r="H1718" s="7" t="str">
        <f>IF(Table1[[#This Row],[Is Data Valid]]=TRUE,((Table1[[#This Row],[Birthweight (grams)]]*0.9/Table1[[#This Row],[BW_GA]])-1)/(Backend!$B$4/100*Table1[[#This Row],[BW40_3705]]),"")</f>
        <v/>
      </c>
      <c r="I1718" s="7" t="str">
        <f>IF(Table1[[#This Row],[Is Data Valid]]=TRUE,((Table1[[#This Row],[Birthweight (grams)]]*1.1/Table1[[#This Row],[BW_GA]])-1)/(Backend!$B$4/100*Table1[[#This Row],[BW40_3705]]),"")</f>
        <v/>
      </c>
      <c r="J1718" s="7" t="str">
        <f>IF(Table1[[#This Row],[Is Data Valid]]=TRUE,_xlfn.NORM.S.DIST(Table1[[#This Row],[Birthweight Z-Score]],TRUE)*100,"")</f>
        <v/>
      </c>
      <c r="K1718" s="7" t="str">
        <f>IF(Table1[[#This Row],[Is Data Valid]]=TRUE,_xlfn.NORM.S.DIST(Table1[[#This Row],[Birthweight Z-Score (BW-10%)]],TRUE)*100,"")</f>
        <v/>
      </c>
      <c r="L1718" s="7" t="str">
        <f>IF(Table1[[#This Row],[Is Data Valid]]=TRUE,_xlfn.NORM.S.DIST(Table1[[#This Row],[Birthweight Z-Score (BW+10%)]],TRUE)*100,"")</f>
        <v/>
      </c>
    </row>
    <row r="1719" spans="1:12" x14ac:dyDescent="0.35">
      <c r="A1719" s="3"/>
      <c r="B1719" s="2"/>
      <c r="C1719" s="2"/>
      <c r="D1719" s="2" t="b">
        <f>IF(AND(NOT(ISBLANK(Table1[[#This Row],[Fetal Sex (Male, Female or Unknown)]])),ISNUMBER(Table1[[#This Row],[Birthweight (grams)]]),ISNUMBER(Table1[[#This Row],[Gestation (days)]])),TRUE,FALSE)</f>
        <v>0</v>
      </c>
      <c r="E1719" s="2" t="str">
        <f>IF(Table1[[#This Row],[Is Data Valid]]=TRUE,IF(Table1[[#This Row],[Fetal Sex (Male, Female or Unknown)]]="Male",Backend!$C$6,IF(Table1[[#This Row],[Fetal Sex (Male, Female or Unknown)]]="Female",Backend!$C$7,IF(Table1[[#This Row],[Fetal Sex (Male, Female or Unknown)]]="Unknown",Backend!$C$8,"Error"))),"")</f>
        <v/>
      </c>
      <c r="F1719" s="8" t="str">
        <f>IF(Table1[[#This Row],[Is Data Valid]]=TRUE,EXP(0.578+0.332*((Table1[[#This Row],[Gestation (days)]]+0.5)/7)-0.00354*((Table1[[#This Row],[Gestation (days)]]+0.5)/7)^2)*Table1[[#This Row],[BW40_3705]],"")</f>
        <v/>
      </c>
      <c r="G1719" s="2" t="str">
        <f>IF(Table1[[#This Row],[Is Data Valid]]=TRUE,((Table1[[#This Row],[Birthweight (grams)]]/Table1[[#This Row],[BW_GA]])-1)/(Backend!$B$4/100*Table1[[#This Row],[BW40_3705]]),"")</f>
        <v/>
      </c>
      <c r="H1719" s="7" t="str">
        <f>IF(Table1[[#This Row],[Is Data Valid]]=TRUE,((Table1[[#This Row],[Birthweight (grams)]]*0.9/Table1[[#This Row],[BW_GA]])-1)/(Backend!$B$4/100*Table1[[#This Row],[BW40_3705]]),"")</f>
        <v/>
      </c>
      <c r="I1719" s="7" t="str">
        <f>IF(Table1[[#This Row],[Is Data Valid]]=TRUE,((Table1[[#This Row],[Birthweight (grams)]]*1.1/Table1[[#This Row],[BW_GA]])-1)/(Backend!$B$4/100*Table1[[#This Row],[BW40_3705]]),"")</f>
        <v/>
      </c>
      <c r="J1719" s="7" t="str">
        <f>IF(Table1[[#This Row],[Is Data Valid]]=TRUE,_xlfn.NORM.S.DIST(Table1[[#This Row],[Birthweight Z-Score]],TRUE)*100,"")</f>
        <v/>
      </c>
      <c r="K1719" s="7" t="str">
        <f>IF(Table1[[#This Row],[Is Data Valid]]=TRUE,_xlfn.NORM.S.DIST(Table1[[#This Row],[Birthweight Z-Score (BW-10%)]],TRUE)*100,"")</f>
        <v/>
      </c>
      <c r="L1719" s="7" t="str">
        <f>IF(Table1[[#This Row],[Is Data Valid]]=TRUE,_xlfn.NORM.S.DIST(Table1[[#This Row],[Birthweight Z-Score (BW+10%)]],TRUE)*100,"")</f>
        <v/>
      </c>
    </row>
    <row r="1720" spans="1:12" x14ac:dyDescent="0.35">
      <c r="A1720" s="3"/>
      <c r="B1720" s="2"/>
      <c r="C1720" s="2"/>
      <c r="D1720" s="2" t="b">
        <f>IF(AND(NOT(ISBLANK(Table1[[#This Row],[Fetal Sex (Male, Female or Unknown)]])),ISNUMBER(Table1[[#This Row],[Birthweight (grams)]]),ISNUMBER(Table1[[#This Row],[Gestation (days)]])),TRUE,FALSE)</f>
        <v>0</v>
      </c>
      <c r="E1720" s="2" t="str">
        <f>IF(Table1[[#This Row],[Is Data Valid]]=TRUE,IF(Table1[[#This Row],[Fetal Sex (Male, Female or Unknown)]]="Male",Backend!$C$6,IF(Table1[[#This Row],[Fetal Sex (Male, Female or Unknown)]]="Female",Backend!$C$7,IF(Table1[[#This Row],[Fetal Sex (Male, Female or Unknown)]]="Unknown",Backend!$C$8,"Error"))),"")</f>
        <v/>
      </c>
      <c r="F1720" s="8" t="str">
        <f>IF(Table1[[#This Row],[Is Data Valid]]=TRUE,EXP(0.578+0.332*((Table1[[#This Row],[Gestation (days)]]+0.5)/7)-0.00354*((Table1[[#This Row],[Gestation (days)]]+0.5)/7)^2)*Table1[[#This Row],[BW40_3705]],"")</f>
        <v/>
      </c>
      <c r="G1720" s="2" t="str">
        <f>IF(Table1[[#This Row],[Is Data Valid]]=TRUE,((Table1[[#This Row],[Birthweight (grams)]]/Table1[[#This Row],[BW_GA]])-1)/(Backend!$B$4/100*Table1[[#This Row],[BW40_3705]]),"")</f>
        <v/>
      </c>
      <c r="H1720" s="7" t="str">
        <f>IF(Table1[[#This Row],[Is Data Valid]]=TRUE,((Table1[[#This Row],[Birthweight (grams)]]*0.9/Table1[[#This Row],[BW_GA]])-1)/(Backend!$B$4/100*Table1[[#This Row],[BW40_3705]]),"")</f>
        <v/>
      </c>
      <c r="I1720" s="7" t="str">
        <f>IF(Table1[[#This Row],[Is Data Valid]]=TRUE,((Table1[[#This Row],[Birthweight (grams)]]*1.1/Table1[[#This Row],[BW_GA]])-1)/(Backend!$B$4/100*Table1[[#This Row],[BW40_3705]]),"")</f>
        <v/>
      </c>
      <c r="J1720" s="7" t="str">
        <f>IF(Table1[[#This Row],[Is Data Valid]]=TRUE,_xlfn.NORM.S.DIST(Table1[[#This Row],[Birthweight Z-Score]],TRUE)*100,"")</f>
        <v/>
      </c>
      <c r="K1720" s="7" t="str">
        <f>IF(Table1[[#This Row],[Is Data Valid]]=TRUE,_xlfn.NORM.S.DIST(Table1[[#This Row],[Birthweight Z-Score (BW-10%)]],TRUE)*100,"")</f>
        <v/>
      </c>
      <c r="L1720" s="7" t="str">
        <f>IF(Table1[[#This Row],[Is Data Valid]]=TRUE,_xlfn.NORM.S.DIST(Table1[[#This Row],[Birthweight Z-Score (BW+10%)]],TRUE)*100,"")</f>
        <v/>
      </c>
    </row>
    <row r="1721" spans="1:12" x14ac:dyDescent="0.35">
      <c r="A1721" s="3"/>
      <c r="B1721" s="2"/>
      <c r="C1721" s="2"/>
      <c r="D1721" s="2" t="b">
        <f>IF(AND(NOT(ISBLANK(Table1[[#This Row],[Fetal Sex (Male, Female or Unknown)]])),ISNUMBER(Table1[[#This Row],[Birthweight (grams)]]),ISNUMBER(Table1[[#This Row],[Gestation (days)]])),TRUE,FALSE)</f>
        <v>0</v>
      </c>
      <c r="E1721" s="2" t="str">
        <f>IF(Table1[[#This Row],[Is Data Valid]]=TRUE,IF(Table1[[#This Row],[Fetal Sex (Male, Female or Unknown)]]="Male",Backend!$C$6,IF(Table1[[#This Row],[Fetal Sex (Male, Female or Unknown)]]="Female",Backend!$C$7,IF(Table1[[#This Row],[Fetal Sex (Male, Female or Unknown)]]="Unknown",Backend!$C$8,"Error"))),"")</f>
        <v/>
      </c>
      <c r="F1721" s="8" t="str">
        <f>IF(Table1[[#This Row],[Is Data Valid]]=TRUE,EXP(0.578+0.332*((Table1[[#This Row],[Gestation (days)]]+0.5)/7)-0.00354*((Table1[[#This Row],[Gestation (days)]]+0.5)/7)^2)*Table1[[#This Row],[BW40_3705]],"")</f>
        <v/>
      </c>
      <c r="G1721" s="2" t="str">
        <f>IF(Table1[[#This Row],[Is Data Valid]]=TRUE,((Table1[[#This Row],[Birthweight (grams)]]/Table1[[#This Row],[BW_GA]])-1)/(Backend!$B$4/100*Table1[[#This Row],[BW40_3705]]),"")</f>
        <v/>
      </c>
      <c r="H1721" s="7" t="str">
        <f>IF(Table1[[#This Row],[Is Data Valid]]=TRUE,((Table1[[#This Row],[Birthweight (grams)]]*0.9/Table1[[#This Row],[BW_GA]])-1)/(Backend!$B$4/100*Table1[[#This Row],[BW40_3705]]),"")</f>
        <v/>
      </c>
      <c r="I1721" s="7" t="str">
        <f>IF(Table1[[#This Row],[Is Data Valid]]=TRUE,((Table1[[#This Row],[Birthweight (grams)]]*1.1/Table1[[#This Row],[BW_GA]])-1)/(Backend!$B$4/100*Table1[[#This Row],[BW40_3705]]),"")</f>
        <v/>
      </c>
      <c r="J1721" s="7" t="str">
        <f>IF(Table1[[#This Row],[Is Data Valid]]=TRUE,_xlfn.NORM.S.DIST(Table1[[#This Row],[Birthweight Z-Score]],TRUE)*100,"")</f>
        <v/>
      </c>
      <c r="K1721" s="7" t="str">
        <f>IF(Table1[[#This Row],[Is Data Valid]]=TRUE,_xlfn.NORM.S.DIST(Table1[[#This Row],[Birthweight Z-Score (BW-10%)]],TRUE)*100,"")</f>
        <v/>
      </c>
      <c r="L1721" s="7" t="str">
        <f>IF(Table1[[#This Row],[Is Data Valid]]=TRUE,_xlfn.NORM.S.DIST(Table1[[#This Row],[Birthweight Z-Score (BW+10%)]],TRUE)*100,"")</f>
        <v/>
      </c>
    </row>
    <row r="1722" spans="1:12" x14ac:dyDescent="0.35">
      <c r="A1722" s="3"/>
      <c r="B1722" s="2"/>
      <c r="C1722" s="2"/>
      <c r="D1722" s="2" t="b">
        <f>IF(AND(NOT(ISBLANK(Table1[[#This Row],[Fetal Sex (Male, Female or Unknown)]])),ISNUMBER(Table1[[#This Row],[Birthweight (grams)]]),ISNUMBER(Table1[[#This Row],[Gestation (days)]])),TRUE,FALSE)</f>
        <v>0</v>
      </c>
      <c r="E1722" s="2" t="str">
        <f>IF(Table1[[#This Row],[Is Data Valid]]=TRUE,IF(Table1[[#This Row],[Fetal Sex (Male, Female or Unknown)]]="Male",Backend!$C$6,IF(Table1[[#This Row],[Fetal Sex (Male, Female or Unknown)]]="Female",Backend!$C$7,IF(Table1[[#This Row],[Fetal Sex (Male, Female or Unknown)]]="Unknown",Backend!$C$8,"Error"))),"")</f>
        <v/>
      </c>
      <c r="F1722" s="8" t="str">
        <f>IF(Table1[[#This Row],[Is Data Valid]]=TRUE,EXP(0.578+0.332*((Table1[[#This Row],[Gestation (days)]]+0.5)/7)-0.00354*((Table1[[#This Row],[Gestation (days)]]+0.5)/7)^2)*Table1[[#This Row],[BW40_3705]],"")</f>
        <v/>
      </c>
      <c r="G1722" s="2" t="str">
        <f>IF(Table1[[#This Row],[Is Data Valid]]=TRUE,((Table1[[#This Row],[Birthweight (grams)]]/Table1[[#This Row],[BW_GA]])-1)/(Backend!$B$4/100*Table1[[#This Row],[BW40_3705]]),"")</f>
        <v/>
      </c>
      <c r="H1722" s="7" t="str">
        <f>IF(Table1[[#This Row],[Is Data Valid]]=TRUE,((Table1[[#This Row],[Birthweight (grams)]]*0.9/Table1[[#This Row],[BW_GA]])-1)/(Backend!$B$4/100*Table1[[#This Row],[BW40_3705]]),"")</f>
        <v/>
      </c>
      <c r="I1722" s="7" t="str">
        <f>IF(Table1[[#This Row],[Is Data Valid]]=TRUE,((Table1[[#This Row],[Birthweight (grams)]]*1.1/Table1[[#This Row],[BW_GA]])-1)/(Backend!$B$4/100*Table1[[#This Row],[BW40_3705]]),"")</f>
        <v/>
      </c>
      <c r="J1722" s="7" t="str">
        <f>IF(Table1[[#This Row],[Is Data Valid]]=TRUE,_xlfn.NORM.S.DIST(Table1[[#This Row],[Birthweight Z-Score]],TRUE)*100,"")</f>
        <v/>
      </c>
      <c r="K1722" s="7" t="str">
        <f>IF(Table1[[#This Row],[Is Data Valid]]=TRUE,_xlfn.NORM.S.DIST(Table1[[#This Row],[Birthweight Z-Score (BW-10%)]],TRUE)*100,"")</f>
        <v/>
      </c>
      <c r="L1722" s="7" t="str">
        <f>IF(Table1[[#This Row],[Is Data Valid]]=TRUE,_xlfn.NORM.S.DIST(Table1[[#This Row],[Birthweight Z-Score (BW+10%)]],TRUE)*100,"")</f>
        <v/>
      </c>
    </row>
    <row r="1723" spans="1:12" x14ac:dyDescent="0.35">
      <c r="A1723" s="3"/>
      <c r="B1723" s="2"/>
      <c r="C1723" s="2"/>
      <c r="D1723" s="2" t="b">
        <f>IF(AND(NOT(ISBLANK(Table1[[#This Row],[Fetal Sex (Male, Female or Unknown)]])),ISNUMBER(Table1[[#This Row],[Birthweight (grams)]]),ISNUMBER(Table1[[#This Row],[Gestation (days)]])),TRUE,FALSE)</f>
        <v>0</v>
      </c>
      <c r="E1723" s="2" t="str">
        <f>IF(Table1[[#This Row],[Is Data Valid]]=TRUE,IF(Table1[[#This Row],[Fetal Sex (Male, Female or Unknown)]]="Male",Backend!$C$6,IF(Table1[[#This Row],[Fetal Sex (Male, Female or Unknown)]]="Female",Backend!$C$7,IF(Table1[[#This Row],[Fetal Sex (Male, Female or Unknown)]]="Unknown",Backend!$C$8,"Error"))),"")</f>
        <v/>
      </c>
      <c r="F1723" s="8" t="str">
        <f>IF(Table1[[#This Row],[Is Data Valid]]=TRUE,EXP(0.578+0.332*((Table1[[#This Row],[Gestation (days)]]+0.5)/7)-0.00354*((Table1[[#This Row],[Gestation (days)]]+0.5)/7)^2)*Table1[[#This Row],[BW40_3705]],"")</f>
        <v/>
      </c>
      <c r="G1723" s="2" t="str">
        <f>IF(Table1[[#This Row],[Is Data Valid]]=TRUE,((Table1[[#This Row],[Birthweight (grams)]]/Table1[[#This Row],[BW_GA]])-1)/(Backend!$B$4/100*Table1[[#This Row],[BW40_3705]]),"")</f>
        <v/>
      </c>
      <c r="H1723" s="7" t="str">
        <f>IF(Table1[[#This Row],[Is Data Valid]]=TRUE,((Table1[[#This Row],[Birthweight (grams)]]*0.9/Table1[[#This Row],[BW_GA]])-1)/(Backend!$B$4/100*Table1[[#This Row],[BW40_3705]]),"")</f>
        <v/>
      </c>
      <c r="I1723" s="7" t="str">
        <f>IF(Table1[[#This Row],[Is Data Valid]]=TRUE,((Table1[[#This Row],[Birthweight (grams)]]*1.1/Table1[[#This Row],[BW_GA]])-1)/(Backend!$B$4/100*Table1[[#This Row],[BW40_3705]]),"")</f>
        <v/>
      </c>
      <c r="J1723" s="7" t="str">
        <f>IF(Table1[[#This Row],[Is Data Valid]]=TRUE,_xlfn.NORM.S.DIST(Table1[[#This Row],[Birthweight Z-Score]],TRUE)*100,"")</f>
        <v/>
      </c>
      <c r="K1723" s="7" t="str">
        <f>IF(Table1[[#This Row],[Is Data Valid]]=TRUE,_xlfn.NORM.S.DIST(Table1[[#This Row],[Birthweight Z-Score (BW-10%)]],TRUE)*100,"")</f>
        <v/>
      </c>
      <c r="L1723" s="7" t="str">
        <f>IF(Table1[[#This Row],[Is Data Valid]]=TRUE,_xlfn.NORM.S.DIST(Table1[[#This Row],[Birthweight Z-Score (BW+10%)]],TRUE)*100,"")</f>
        <v/>
      </c>
    </row>
    <row r="1724" spans="1:12" x14ac:dyDescent="0.35">
      <c r="A1724" s="3"/>
      <c r="B1724" s="2"/>
      <c r="C1724" s="2"/>
      <c r="D1724" s="2" t="b">
        <f>IF(AND(NOT(ISBLANK(Table1[[#This Row],[Fetal Sex (Male, Female or Unknown)]])),ISNUMBER(Table1[[#This Row],[Birthweight (grams)]]),ISNUMBER(Table1[[#This Row],[Gestation (days)]])),TRUE,FALSE)</f>
        <v>0</v>
      </c>
      <c r="E1724" s="2" t="str">
        <f>IF(Table1[[#This Row],[Is Data Valid]]=TRUE,IF(Table1[[#This Row],[Fetal Sex (Male, Female or Unknown)]]="Male",Backend!$C$6,IF(Table1[[#This Row],[Fetal Sex (Male, Female or Unknown)]]="Female",Backend!$C$7,IF(Table1[[#This Row],[Fetal Sex (Male, Female or Unknown)]]="Unknown",Backend!$C$8,"Error"))),"")</f>
        <v/>
      </c>
      <c r="F1724" s="8" t="str">
        <f>IF(Table1[[#This Row],[Is Data Valid]]=TRUE,EXP(0.578+0.332*((Table1[[#This Row],[Gestation (days)]]+0.5)/7)-0.00354*((Table1[[#This Row],[Gestation (days)]]+0.5)/7)^2)*Table1[[#This Row],[BW40_3705]],"")</f>
        <v/>
      </c>
      <c r="G1724" s="2" t="str">
        <f>IF(Table1[[#This Row],[Is Data Valid]]=TRUE,((Table1[[#This Row],[Birthweight (grams)]]/Table1[[#This Row],[BW_GA]])-1)/(Backend!$B$4/100*Table1[[#This Row],[BW40_3705]]),"")</f>
        <v/>
      </c>
      <c r="H1724" s="7" t="str">
        <f>IF(Table1[[#This Row],[Is Data Valid]]=TRUE,((Table1[[#This Row],[Birthweight (grams)]]*0.9/Table1[[#This Row],[BW_GA]])-1)/(Backend!$B$4/100*Table1[[#This Row],[BW40_3705]]),"")</f>
        <v/>
      </c>
      <c r="I1724" s="7" t="str">
        <f>IF(Table1[[#This Row],[Is Data Valid]]=TRUE,((Table1[[#This Row],[Birthweight (grams)]]*1.1/Table1[[#This Row],[BW_GA]])-1)/(Backend!$B$4/100*Table1[[#This Row],[BW40_3705]]),"")</f>
        <v/>
      </c>
      <c r="J1724" s="7" t="str">
        <f>IF(Table1[[#This Row],[Is Data Valid]]=TRUE,_xlfn.NORM.S.DIST(Table1[[#This Row],[Birthweight Z-Score]],TRUE)*100,"")</f>
        <v/>
      </c>
      <c r="K1724" s="7" t="str">
        <f>IF(Table1[[#This Row],[Is Data Valid]]=TRUE,_xlfn.NORM.S.DIST(Table1[[#This Row],[Birthweight Z-Score (BW-10%)]],TRUE)*100,"")</f>
        <v/>
      </c>
      <c r="L1724" s="7" t="str">
        <f>IF(Table1[[#This Row],[Is Data Valid]]=TRUE,_xlfn.NORM.S.DIST(Table1[[#This Row],[Birthweight Z-Score (BW+10%)]],TRUE)*100,"")</f>
        <v/>
      </c>
    </row>
    <row r="1725" spans="1:12" x14ac:dyDescent="0.35">
      <c r="A1725" s="3"/>
      <c r="B1725" s="2"/>
      <c r="C1725" s="2"/>
      <c r="D1725" s="2" t="b">
        <f>IF(AND(NOT(ISBLANK(Table1[[#This Row],[Fetal Sex (Male, Female or Unknown)]])),ISNUMBER(Table1[[#This Row],[Birthweight (grams)]]),ISNUMBER(Table1[[#This Row],[Gestation (days)]])),TRUE,FALSE)</f>
        <v>0</v>
      </c>
      <c r="E1725" s="2" t="str">
        <f>IF(Table1[[#This Row],[Is Data Valid]]=TRUE,IF(Table1[[#This Row],[Fetal Sex (Male, Female or Unknown)]]="Male",Backend!$C$6,IF(Table1[[#This Row],[Fetal Sex (Male, Female or Unknown)]]="Female",Backend!$C$7,IF(Table1[[#This Row],[Fetal Sex (Male, Female or Unknown)]]="Unknown",Backend!$C$8,"Error"))),"")</f>
        <v/>
      </c>
      <c r="F1725" s="8" t="str">
        <f>IF(Table1[[#This Row],[Is Data Valid]]=TRUE,EXP(0.578+0.332*((Table1[[#This Row],[Gestation (days)]]+0.5)/7)-0.00354*((Table1[[#This Row],[Gestation (days)]]+0.5)/7)^2)*Table1[[#This Row],[BW40_3705]],"")</f>
        <v/>
      </c>
      <c r="G1725" s="2" t="str">
        <f>IF(Table1[[#This Row],[Is Data Valid]]=TRUE,((Table1[[#This Row],[Birthweight (grams)]]/Table1[[#This Row],[BW_GA]])-1)/(Backend!$B$4/100*Table1[[#This Row],[BW40_3705]]),"")</f>
        <v/>
      </c>
      <c r="H1725" s="7" t="str">
        <f>IF(Table1[[#This Row],[Is Data Valid]]=TRUE,((Table1[[#This Row],[Birthweight (grams)]]*0.9/Table1[[#This Row],[BW_GA]])-1)/(Backend!$B$4/100*Table1[[#This Row],[BW40_3705]]),"")</f>
        <v/>
      </c>
      <c r="I1725" s="7" t="str">
        <f>IF(Table1[[#This Row],[Is Data Valid]]=TRUE,((Table1[[#This Row],[Birthweight (grams)]]*1.1/Table1[[#This Row],[BW_GA]])-1)/(Backend!$B$4/100*Table1[[#This Row],[BW40_3705]]),"")</f>
        <v/>
      </c>
      <c r="J1725" s="7" t="str">
        <f>IF(Table1[[#This Row],[Is Data Valid]]=TRUE,_xlfn.NORM.S.DIST(Table1[[#This Row],[Birthweight Z-Score]],TRUE)*100,"")</f>
        <v/>
      </c>
      <c r="K1725" s="7" t="str">
        <f>IF(Table1[[#This Row],[Is Data Valid]]=TRUE,_xlfn.NORM.S.DIST(Table1[[#This Row],[Birthweight Z-Score (BW-10%)]],TRUE)*100,"")</f>
        <v/>
      </c>
      <c r="L1725" s="7" t="str">
        <f>IF(Table1[[#This Row],[Is Data Valid]]=TRUE,_xlfn.NORM.S.DIST(Table1[[#This Row],[Birthweight Z-Score (BW+10%)]],TRUE)*100,"")</f>
        <v/>
      </c>
    </row>
    <row r="1726" spans="1:12" x14ac:dyDescent="0.35">
      <c r="A1726" s="3"/>
      <c r="B1726" s="2"/>
      <c r="C1726" s="2"/>
      <c r="D1726" s="2" t="b">
        <f>IF(AND(NOT(ISBLANK(Table1[[#This Row],[Fetal Sex (Male, Female or Unknown)]])),ISNUMBER(Table1[[#This Row],[Birthweight (grams)]]),ISNUMBER(Table1[[#This Row],[Gestation (days)]])),TRUE,FALSE)</f>
        <v>0</v>
      </c>
      <c r="E1726" s="2" t="str">
        <f>IF(Table1[[#This Row],[Is Data Valid]]=TRUE,IF(Table1[[#This Row],[Fetal Sex (Male, Female or Unknown)]]="Male",Backend!$C$6,IF(Table1[[#This Row],[Fetal Sex (Male, Female or Unknown)]]="Female",Backend!$C$7,IF(Table1[[#This Row],[Fetal Sex (Male, Female or Unknown)]]="Unknown",Backend!$C$8,"Error"))),"")</f>
        <v/>
      </c>
      <c r="F1726" s="8" t="str">
        <f>IF(Table1[[#This Row],[Is Data Valid]]=TRUE,EXP(0.578+0.332*((Table1[[#This Row],[Gestation (days)]]+0.5)/7)-0.00354*((Table1[[#This Row],[Gestation (days)]]+0.5)/7)^2)*Table1[[#This Row],[BW40_3705]],"")</f>
        <v/>
      </c>
      <c r="G1726" s="2" t="str">
        <f>IF(Table1[[#This Row],[Is Data Valid]]=TRUE,((Table1[[#This Row],[Birthweight (grams)]]/Table1[[#This Row],[BW_GA]])-1)/(Backend!$B$4/100*Table1[[#This Row],[BW40_3705]]),"")</f>
        <v/>
      </c>
      <c r="H1726" s="7" t="str">
        <f>IF(Table1[[#This Row],[Is Data Valid]]=TRUE,((Table1[[#This Row],[Birthweight (grams)]]*0.9/Table1[[#This Row],[BW_GA]])-1)/(Backend!$B$4/100*Table1[[#This Row],[BW40_3705]]),"")</f>
        <v/>
      </c>
      <c r="I1726" s="7" t="str">
        <f>IF(Table1[[#This Row],[Is Data Valid]]=TRUE,((Table1[[#This Row],[Birthweight (grams)]]*1.1/Table1[[#This Row],[BW_GA]])-1)/(Backend!$B$4/100*Table1[[#This Row],[BW40_3705]]),"")</f>
        <v/>
      </c>
      <c r="J1726" s="7" t="str">
        <f>IF(Table1[[#This Row],[Is Data Valid]]=TRUE,_xlfn.NORM.S.DIST(Table1[[#This Row],[Birthweight Z-Score]],TRUE)*100,"")</f>
        <v/>
      </c>
      <c r="K1726" s="7" t="str">
        <f>IF(Table1[[#This Row],[Is Data Valid]]=TRUE,_xlfn.NORM.S.DIST(Table1[[#This Row],[Birthweight Z-Score (BW-10%)]],TRUE)*100,"")</f>
        <v/>
      </c>
      <c r="L1726" s="7" t="str">
        <f>IF(Table1[[#This Row],[Is Data Valid]]=TRUE,_xlfn.NORM.S.DIST(Table1[[#This Row],[Birthweight Z-Score (BW+10%)]],TRUE)*100,"")</f>
        <v/>
      </c>
    </row>
    <row r="1727" spans="1:12" x14ac:dyDescent="0.35">
      <c r="A1727" s="3"/>
      <c r="B1727" s="2"/>
      <c r="C1727" s="2"/>
      <c r="D1727" s="2" t="b">
        <f>IF(AND(NOT(ISBLANK(Table1[[#This Row],[Fetal Sex (Male, Female or Unknown)]])),ISNUMBER(Table1[[#This Row],[Birthweight (grams)]]),ISNUMBER(Table1[[#This Row],[Gestation (days)]])),TRUE,FALSE)</f>
        <v>0</v>
      </c>
      <c r="E1727" s="2" t="str">
        <f>IF(Table1[[#This Row],[Is Data Valid]]=TRUE,IF(Table1[[#This Row],[Fetal Sex (Male, Female or Unknown)]]="Male",Backend!$C$6,IF(Table1[[#This Row],[Fetal Sex (Male, Female or Unknown)]]="Female",Backend!$C$7,IF(Table1[[#This Row],[Fetal Sex (Male, Female or Unknown)]]="Unknown",Backend!$C$8,"Error"))),"")</f>
        <v/>
      </c>
      <c r="F1727" s="8" t="str">
        <f>IF(Table1[[#This Row],[Is Data Valid]]=TRUE,EXP(0.578+0.332*((Table1[[#This Row],[Gestation (days)]]+0.5)/7)-0.00354*((Table1[[#This Row],[Gestation (days)]]+0.5)/7)^2)*Table1[[#This Row],[BW40_3705]],"")</f>
        <v/>
      </c>
      <c r="G1727" s="2" t="str">
        <f>IF(Table1[[#This Row],[Is Data Valid]]=TRUE,((Table1[[#This Row],[Birthweight (grams)]]/Table1[[#This Row],[BW_GA]])-1)/(Backend!$B$4/100*Table1[[#This Row],[BW40_3705]]),"")</f>
        <v/>
      </c>
      <c r="H1727" s="7" t="str">
        <f>IF(Table1[[#This Row],[Is Data Valid]]=TRUE,((Table1[[#This Row],[Birthweight (grams)]]*0.9/Table1[[#This Row],[BW_GA]])-1)/(Backend!$B$4/100*Table1[[#This Row],[BW40_3705]]),"")</f>
        <v/>
      </c>
      <c r="I1727" s="7" t="str">
        <f>IF(Table1[[#This Row],[Is Data Valid]]=TRUE,((Table1[[#This Row],[Birthweight (grams)]]*1.1/Table1[[#This Row],[BW_GA]])-1)/(Backend!$B$4/100*Table1[[#This Row],[BW40_3705]]),"")</f>
        <v/>
      </c>
      <c r="J1727" s="7" t="str">
        <f>IF(Table1[[#This Row],[Is Data Valid]]=TRUE,_xlfn.NORM.S.DIST(Table1[[#This Row],[Birthweight Z-Score]],TRUE)*100,"")</f>
        <v/>
      </c>
      <c r="K1727" s="7" t="str">
        <f>IF(Table1[[#This Row],[Is Data Valid]]=TRUE,_xlfn.NORM.S.DIST(Table1[[#This Row],[Birthweight Z-Score (BW-10%)]],TRUE)*100,"")</f>
        <v/>
      </c>
      <c r="L1727" s="7" t="str">
        <f>IF(Table1[[#This Row],[Is Data Valid]]=TRUE,_xlfn.NORM.S.DIST(Table1[[#This Row],[Birthweight Z-Score (BW+10%)]],TRUE)*100,"")</f>
        <v/>
      </c>
    </row>
    <row r="1728" spans="1:12" x14ac:dyDescent="0.35">
      <c r="A1728" s="3"/>
      <c r="B1728" s="2"/>
      <c r="C1728" s="2"/>
      <c r="D1728" s="2" t="b">
        <f>IF(AND(NOT(ISBLANK(Table1[[#This Row],[Fetal Sex (Male, Female or Unknown)]])),ISNUMBER(Table1[[#This Row],[Birthweight (grams)]]),ISNUMBER(Table1[[#This Row],[Gestation (days)]])),TRUE,FALSE)</f>
        <v>0</v>
      </c>
      <c r="E1728" s="2" t="str">
        <f>IF(Table1[[#This Row],[Is Data Valid]]=TRUE,IF(Table1[[#This Row],[Fetal Sex (Male, Female or Unknown)]]="Male",Backend!$C$6,IF(Table1[[#This Row],[Fetal Sex (Male, Female or Unknown)]]="Female",Backend!$C$7,IF(Table1[[#This Row],[Fetal Sex (Male, Female or Unknown)]]="Unknown",Backend!$C$8,"Error"))),"")</f>
        <v/>
      </c>
      <c r="F1728" s="8" t="str">
        <f>IF(Table1[[#This Row],[Is Data Valid]]=TRUE,EXP(0.578+0.332*((Table1[[#This Row],[Gestation (days)]]+0.5)/7)-0.00354*((Table1[[#This Row],[Gestation (days)]]+0.5)/7)^2)*Table1[[#This Row],[BW40_3705]],"")</f>
        <v/>
      </c>
      <c r="G1728" s="2" t="str">
        <f>IF(Table1[[#This Row],[Is Data Valid]]=TRUE,((Table1[[#This Row],[Birthweight (grams)]]/Table1[[#This Row],[BW_GA]])-1)/(Backend!$B$4/100*Table1[[#This Row],[BW40_3705]]),"")</f>
        <v/>
      </c>
      <c r="H1728" s="7" t="str">
        <f>IF(Table1[[#This Row],[Is Data Valid]]=TRUE,((Table1[[#This Row],[Birthweight (grams)]]*0.9/Table1[[#This Row],[BW_GA]])-1)/(Backend!$B$4/100*Table1[[#This Row],[BW40_3705]]),"")</f>
        <v/>
      </c>
      <c r="I1728" s="7" t="str">
        <f>IF(Table1[[#This Row],[Is Data Valid]]=TRUE,((Table1[[#This Row],[Birthweight (grams)]]*1.1/Table1[[#This Row],[BW_GA]])-1)/(Backend!$B$4/100*Table1[[#This Row],[BW40_3705]]),"")</f>
        <v/>
      </c>
      <c r="J1728" s="7" t="str">
        <f>IF(Table1[[#This Row],[Is Data Valid]]=TRUE,_xlfn.NORM.S.DIST(Table1[[#This Row],[Birthweight Z-Score]],TRUE)*100,"")</f>
        <v/>
      </c>
      <c r="K1728" s="7" t="str">
        <f>IF(Table1[[#This Row],[Is Data Valid]]=TRUE,_xlfn.NORM.S.DIST(Table1[[#This Row],[Birthweight Z-Score (BW-10%)]],TRUE)*100,"")</f>
        <v/>
      </c>
      <c r="L1728" s="7" t="str">
        <f>IF(Table1[[#This Row],[Is Data Valid]]=TRUE,_xlfn.NORM.S.DIST(Table1[[#This Row],[Birthweight Z-Score (BW+10%)]],TRUE)*100,"")</f>
        <v/>
      </c>
    </row>
    <row r="1729" spans="1:12" x14ac:dyDescent="0.35">
      <c r="A1729" s="3"/>
      <c r="B1729" s="2"/>
      <c r="C1729" s="2"/>
      <c r="D1729" s="2" t="b">
        <f>IF(AND(NOT(ISBLANK(Table1[[#This Row],[Fetal Sex (Male, Female or Unknown)]])),ISNUMBER(Table1[[#This Row],[Birthweight (grams)]]),ISNUMBER(Table1[[#This Row],[Gestation (days)]])),TRUE,FALSE)</f>
        <v>0</v>
      </c>
      <c r="E1729" s="2" t="str">
        <f>IF(Table1[[#This Row],[Is Data Valid]]=TRUE,IF(Table1[[#This Row],[Fetal Sex (Male, Female or Unknown)]]="Male",Backend!$C$6,IF(Table1[[#This Row],[Fetal Sex (Male, Female or Unknown)]]="Female",Backend!$C$7,IF(Table1[[#This Row],[Fetal Sex (Male, Female or Unknown)]]="Unknown",Backend!$C$8,"Error"))),"")</f>
        <v/>
      </c>
      <c r="F1729" s="8" t="str">
        <f>IF(Table1[[#This Row],[Is Data Valid]]=TRUE,EXP(0.578+0.332*((Table1[[#This Row],[Gestation (days)]]+0.5)/7)-0.00354*((Table1[[#This Row],[Gestation (days)]]+0.5)/7)^2)*Table1[[#This Row],[BW40_3705]],"")</f>
        <v/>
      </c>
      <c r="G1729" s="2" t="str">
        <f>IF(Table1[[#This Row],[Is Data Valid]]=TRUE,((Table1[[#This Row],[Birthweight (grams)]]/Table1[[#This Row],[BW_GA]])-1)/(Backend!$B$4/100*Table1[[#This Row],[BW40_3705]]),"")</f>
        <v/>
      </c>
      <c r="H1729" s="7" t="str">
        <f>IF(Table1[[#This Row],[Is Data Valid]]=TRUE,((Table1[[#This Row],[Birthweight (grams)]]*0.9/Table1[[#This Row],[BW_GA]])-1)/(Backend!$B$4/100*Table1[[#This Row],[BW40_3705]]),"")</f>
        <v/>
      </c>
      <c r="I1729" s="7" t="str">
        <f>IF(Table1[[#This Row],[Is Data Valid]]=TRUE,((Table1[[#This Row],[Birthweight (grams)]]*1.1/Table1[[#This Row],[BW_GA]])-1)/(Backend!$B$4/100*Table1[[#This Row],[BW40_3705]]),"")</f>
        <v/>
      </c>
      <c r="J1729" s="7" t="str">
        <f>IF(Table1[[#This Row],[Is Data Valid]]=TRUE,_xlfn.NORM.S.DIST(Table1[[#This Row],[Birthweight Z-Score]],TRUE)*100,"")</f>
        <v/>
      </c>
      <c r="K1729" s="7" t="str">
        <f>IF(Table1[[#This Row],[Is Data Valid]]=TRUE,_xlfn.NORM.S.DIST(Table1[[#This Row],[Birthweight Z-Score (BW-10%)]],TRUE)*100,"")</f>
        <v/>
      </c>
      <c r="L1729" s="7" t="str">
        <f>IF(Table1[[#This Row],[Is Data Valid]]=TRUE,_xlfn.NORM.S.DIST(Table1[[#This Row],[Birthweight Z-Score (BW+10%)]],TRUE)*100,"")</f>
        <v/>
      </c>
    </row>
    <row r="1730" spans="1:12" x14ac:dyDescent="0.35">
      <c r="A1730" s="3"/>
      <c r="B1730" s="2"/>
      <c r="C1730" s="2"/>
      <c r="D1730" s="2" t="b">
        <f>IF(AND(NOT(ISBLANK(Table1[[#This Row],[Fetal Sex (Male, Female or Unknown)]])),ISNUMBER(Table1[[#This Row],[Birthweight (grams)]]),ISNUMBER(Table1[[#This Row],[Gestation (days)]])),TRUE,FALSE)</f>
        <v>0</v>
      </c>
      <c r="E1730" s="2" t="str">
        <f>IF(Table1[[#This Row],[Is Data Valid]]=TRUE,IF(Table1[[#This Row],[Fetal Sex (Male, Female or Unknown)]]="Male",Backend!$C$6,IF(Table1[[#This Row],[Fetal Sex (Male, Female or Unknown)]]="Female",Backend!$C$7,IF(Table1[[#This Row],[Fetal Sex (Male, Female or Unknown)]]="Unknown",Backend!$C$8,"Error"))),"")</f>
        <v/>
      </c>
      <c r="F1730" s="8" t="str">
        <f>IF(Table1[[#This Row],[Is Data Valid]]=TRUE,EXP(0.578+0.332*((Table1[[#This Row],[Gestation (days)]]+0.5)/7)-0.00354*((Table1[[#This Row],[Gestation (days)]]+0.5)/7)^2)*Table1[[#This Row],[BW40_3705]],"")</f>
        <v/>
      </c>
      <c r="G1730" s="2" t="str">
        <f>IF(Table1[[#This Row],[Is Data Valid]]=TRUE,((Table1[[#This Row],[Birthweight (grams)]]/Table1[[#This Row],[BW_GA]])-1)/(Backend!$B$4/100*Table1[[#This Row],[BW40_3705]]),"")</f>
        <v/>
      </c>
      <c r="H1730" s="7" t="str">
        <f>IF(Table1[[#This Row],[Is Data Valid]]=TRUE,((Table1[[#This Row],[Birthweight (grams)]]*0.9/Table1[[#This Row],[BW_GA]])-1)/(Backend!$B$4/100*Table1[[#This Row],[BW40_3705]]),"")</f>
        <v/>
      </c>
      <c r="I1730" s="7" t="str">
        <f>IF(Table1[[#This Row],[Is Data Valid]]=TRUE,((Table1[[#This Row],[Birthweight (grams)]]*1.1/Table1[[#This Row],[BW_GA]])-1)/(Backend!$B$4/100*Table1[[#This Row],[BW40_3705]]),"")</f>
        <v/>
      </c>
      <c r="J1730" s="7" t="str">
        <f>IF(Table1[[#This Row],[Is Data Valid]]=TRUE,_xlfn.NORM.S.DIST(Table1[[#This Row],[Birthweight Z-Score]],TRUE)*100,"")</f>
        <v/>
      </c>
      <c r="K1730" s="7" t="str">
        <f>IF(Table1[[#This Row],[Is Data Valid]]=TRUE,_xlfn.NORM.S.DIST(Table1[[#This Row],[Birthweight Z-Score (BW-10%)]],TRUE)*100,"")</f>
        <v/>
      </c>
      <c r="L1730" s="7" t="str">
        <f>IF(Table1[[#This Row],[Is Data Valid]]=TRUE,_xlfn.NORM.S.DIST(Table1[[#This Row],[Birthweight Z-Score (BW+10%)]],TRUE)*100,"")</f>
        <v/>
      </c>
    </row>
    <row r="1731" spans="1:12" x14ac:dyDescent="0.35">
      <c r="A1731" s="3"/>
      <c r="B1731" s="2"/>
      <c r="C1731" s="2"/>
      <c r="D1731" s="2" t="b">
        <f>IF(AND(NOT(ISBLANK(Table1[[#This Row],[Fetal Sex (Male, Female or Unknown)]])),ISNUMBER(Table1[[#This Row],[Birthweight (grams)]]),ISNUMBER(Table1[[#This Row],[Gestation (days)]])),TRUE,FALSE)</f>
        <v>0</v>
      </c>
      <c r="E1731" s="2" t="str">
        <f>IF(Table1[[#This Row],[Is Data Valid]]=TRUE,IF(Table1[[#This Row],[Fetal Sex (Male, Female or Unknown)]]="Male",Backend!$C$6,IF(Table1[[#This Row],[Fetal Sex (Male, Female or Unknown)]]="Female",Backend!$C$7,IF(Table1[[#This Row],[Fetal Sex (Male, Female or Unknown)]]="Unknown",Backend!$C$8,"Error"))),"")</f>
        <v/>
      </c>
      <c r="F1731" s="8" t="str">
        <f>IF(Table1[[#This Row],[Is Data Valid]]=TRUE,EXP(0.578+0.332*((Table1[[#This Row],[Gestation (days)]]+0.5)/7)-0.00354*((Table1[[#This Row],[Gestation (days)]]+0.5)/7)^2)*Table1[[#This Row],[BW40_3705]],"")</f>
        <v/>
      </c>
      <c r="G1731" s="2" t="str">
        <f>IF(Table1[[#This Row],[Is Data Valid]]=TRUE,((Table1[[#This Row],[Birthweight (grams)]]/Table1[[#This Row],[BW_GA]])-1)/(Backend!$B$4/100*Table1[[#This Row],[BW40_3705]]),"")</f>
        <v/>
      </c>
      <c r="H1731" s="7" t="str">
        <f>IF(Table1[[#This Row],[Is Data Valid]]=TRUE,((Table1[[#This Row],[Birthweight (grams)]]*0.9/Table1[[#This Row],[BW_GA]])-1)/(Backend!$B$4/100*Table1[[#This Row],[BW40_3705]]),"")</f>
        <v/>
      </c>
      <c r="I1731" s="7" t="str">
        <f>IF(Table1[[#This Row],[Is Data Valid]]=TRUE,((Table1[[#This Row],[Birthweight (grams)]]*1.1/Table1[[#This Row],[BW_GA]])-1)/(Backend!$B$4/100*Table1[[#This Row],[BW40_3705]]),"")</f>
        <v/>
      </c>
      <c r="J1731" s="7" t="str">
        <f>IF(Table1[[#This Row],[Is Data Valid]]=TRUE,_xlfn.NORM.S.DIST(Table1[[#This Row],[Birthweight Z-Score]],TRUE)*100,"")</f>
        <v/>
      </c>
      <c r="K1731" s="7" t="str">
        <f>IF(Table1[[#This Row],[Is Data Valid]]=TRUE,_xlfn.NORM.S.DIST(Table1[[#This Row],[Birthweight Z-Score (BW-10%)]],TRUE)*100,"")</f>
        <v/>
      </c>
      <c r="L1731" s="7" t="str">
        <f>IF(Table1[[#This Row],[Is Data Valid]]=TRUE,_xlfn.NORM.S.DIST(Table1[[#This Row],[Birthweight Z-Score (BW+10%)]],TRUE)*100,"")</f>
        <v/>
      </c>
    </row>
    <row r="1732" spans="1:12" x14ac:dyDescent="0.35">
      <c r="A1732" s="3"/>
      <c r="B1732" s="2"/>
      <c r="C1732" s="2"/>
      <c r="D1732" s="2" t="b">
        <f>IF(AND(NOT(ISBLANK(Table1[[#This Row],[Fetal Sex (Male, Female or Unknown)]])),ISNUMBER(Table1[[#This Row],[Birthweight (grams)]]),ISNUMBER(Table1[[#This Row],[Gestation (days)]])),TRUE,FALSE)</f>
        <v>0</v>
      </c>
      <c r="E1732" s="2" t="str">
        <f>IF(Table1[[#This Row],[Is Data Valid]]=TRUE,IF(Table1[[#This Row],[Fetal Sex (Male, Female or Unknown)]]="Male",Backend!$C$6,IF(Table1[[#This Row],[Fetal Sex (Male, Female or Unknown)]]="Female",Backend!$C$7,IF(Table1[[#This Row],[Fetal Sex (Male, Female or Unknown)]]="Unknown",Backend!$C$8,"Error"))),"")</f>
        <v/>
      </c>
      <c r="F1732" s="8" t="str">
        <f>IF(Table1[[#This Row],[Is Data Valid]]=TRUE,EXP(0.578+0.332*((Table1[[#This Row],[Gestation (days)]]+0.5)/7)-0.00354*((Table1[[#This Row],[Gestation (days)]]+0.5)/7)^2)*Table1[[#This Row],[BW40_3705]],"")</f>
        <v/>
      </c>
      <c r="G1732" s="2" t="str">
        <f>IF(Table1[[#This Row],[Is Data Valid]]=TRUE,((Table1[[#This Row],[Birthweight (grams)]]/Table1[[#This Row],[BW_GA]])-1)/(Backend!$B$4/100*Table1[[#This Row],[BW40_3705]]),"")</f>
        <v/>
      </c>
      <c r="H1732" s="7" t="str">
        <f>IF(Table1[[#This Row],[Is Data Valid]]=TRUE,((Table1[[#This Row],[Birthweight (grams)]]*0.9/Table1[[#This Row],[BW_GA]])-1)/(Backend!$B$4/100*Table1[[#This Row],[BW40_3705]]),"")</f>
        <v/>
      </c>
      <c r="I1732" s="7" t="str">
        <f>IF(Table1[[#This Row],[Is Data Valid]]=TRUE,((Table1[[#This Row],[Birthweight (grams)]]*1.1/Table1[[#This Row],[BW_GA]])-1)/(Backend!$B$4/100*Table1[[#This Row],[BW40_3705]]),"")</f>
        <v/>
      </c>
      <c r="J1732" s="7" t="str">
        <f>IF(Table1[[#This Row],[Is Data Valid]]=TRUE,_xlfn.NORM.S.DIST(Table1[[#This Row],[Birthweight Z-Score]],TRUE)*100,"")</f>
        <v/>
      </c>
      <c r="K1732" s="7" t="str">
        <f>IF(Table1[[#This Row],[Is Data Valid]]=TRUE,_xlfn.NORM.S.DIST(Table1[[#This Row],[Birthweight Z-Score (BW-10%)]],TRUE)*100,"")</f>
        <v/>
      </c>
      <c r="L1732" s="7" t="str">
        <f>IF(Table1[[#This Row],[Is Data Valid]]=TRUE,_xlfn.NORM.S.DIST(Table1[[#This Row],[Birthweight Z-Score (BW+10%)]],TRUE)*100,"")</f>
        <v/>
      </c>
    </row>
    <row r="1733" spans="1:12" x14ac:dyDescent="0.35">
      <c r="A1733" s="3"/>
      <c r="B1733" s="2"/>
      <c r="C1733" s="2"/>
      <c r="D1733" s="2" t="b">
        <f>IF(AND(NOT(ISBLANK(Table1[[#This Row],[Fetal Sex (Male, Female or Unknown)]])),ISNUMBER(Table1[[#This Row],[Birthweight (grams)]]),ISNUMBER(Table1[[#This Row],[Gestation (days)]])),TRUE,FALSE)</f>
        <v>0</v>
      </c>
      <c r="E1733" s="2" t="str">
        <f>IF(Table1[[#This Row],[Is Data Valid]]=TRUE,IF(Table1[[#This Row],[Fetal Sex (Male, Female or Unknown)]]="Male",Backend!$C$6,IF(Table1[[#This Row],[Fetal Sex (Male, Female or Unknown)]]="Female",Backend!$C$7,IF(Table1[[#This Row],[Fetal Sex (Male, Female or Unknown)]]="Unknown",Backend!$C$8,"Error"))),"")</f>
        <v/>
      </c>
      <c r="F1733" s="8" t="str">
        <f>IF(Table1[[#This Row],[Is Data Valid]]=TRUE,EXP(0.578+0.332*((Table1[[#This Row],[Gestation (days)]]+0.5)/7)-0.00354*((Table1[[#This Row],[Gestation (days)]]+0.5)/7)^2)*Table1[[#This Row],[BW40_3705]],"")</f>
        <v/>
      </c>
      <c r="G1733" s="2" t="str">
        <f>IF(Table1[[#This Row],[Is Data Valid]]=TRUE,((Table1[[#This Row],[Birthweight (grams)]]/Table1[[#This Row],[BW_GA]])-1)/(Backend!$B$4/100*Table1[[#This Row],[BW40_3705]]),"")</f>
        <v/>
      </c>
      <c r="H1733" s="7" t="str">
        <f>IF(Table1[[#This Row],[Is Data Valid]]=TRUE,((Table1[[#This Row],[Birthweight (grams)]]*0.9/Table1[[#This Row],[BW_GA]])-1)/(Backend!$B$4/100*Table1[[#This Row],[BW40_3705]]),"")</f>
        <v/>
      </c>
      <c r="I1733" s="7" t="str">
        <f>IF(Table1[[#This Row],[Is Data Valid]]=TRUE,((Table1[[#This Row],[Birthweight (grams)]]*1.1/Table1[[#This Row],[BW_GA]])-1)/(Backend!$B$4/100*Table1[[#This Row],[BW40_3705]]),"")</f>
        <v/>
      </c>
      <c r="J1733" s="7" t="str">
        <f>IF(Table1[[#This Row],[Is Data Valid]]=TRUE,_xlfn.NORM.S.DIST(Table1[[#This Row],[Birthweight Z-Score]],TRUE)*100,"")</f>
        <v/>
      </c>
      <c r="K1733" s="7" t="str">
        <f>IF(Table1[[#This Row],[Is Data Valid]]=TRUE,_xlfn.NORM.S.DIST(Table1[[#This Row],[Birthweight Z-Score (BW-10%)]],TRUE)*100,"")</f>
        <v/>
      </c>
      <c r="L1733" s="7" t="str">
        <f>IF(Table1[[#This Row],[Is Data Valid]]=TRUE,_xlfn.NORM.S.DIST(Table1[[#This Row],[Birthweight Z-Score (BW+10%)]],TRUE)*100,"")</f>
        <v/>
      </c>
    </row>
    <row r="1734" spans="1:12" x14ac:dyDescent="0.35">
      <c r="A1734" s="3"/>
      <c r="B1734" s="2"/>
      <c r="C1734" s="2"/>
      <c r="D1734" s="2" t="b">
        <f>IF(AND(NOT(ISBLANK(Table1[[#This Row],[Fetal Sex (Male, Female or Unknown)]])),ISNUMBER(Table1[[#This Row],[Birthweight (grams)]]),ISNUMBER(Table1[[#This Row],[Gestation (days)]])),TRUE,FALSE)</f>
        <v>0</v>
      </c>
      <c r="E1734" s="2" t="str">
        <f>IF(Table1[[#This Row],[Is Data Valid]]=TRUE,IF(Table1[[#This Row],[Fetal Sex (Male, Female or Unknown)]]="Male",Backend!$C$6,IF(Table1[[#This Row],[Fetal Sex (Male, Female or Unknown)]]="Female",Backend!$C$7,IF(Table1[[#This Row],[Fetal Sex (Male, Female or Unknown)]]="Unknown",Backend!$C$8,"Error"))),"")</f>
        <v/>
      </c>
      <c r="F1734" s="8" t="str">
        <f>IF(Table1[[#This Row],[Is Data Valid]]=TRUE,EXP(0.578+0.332*((Table1[[#This Row],[Gestation (days)]]+0.5)/7)-0.00354*((Table1[[#This Row],[Gestation (days)]]+0.5)/7)^2)*Table1[[#This Row],[BW40_3705]],"")</f>
        <v/>
      </c>
      <c r="G1734" s="2" t="str">
        <f>IF(Table1[[#This Row],[Is Data Valid]]=TRUE,((Table1[[#This Row],[Birthweight (grams)]]/Table1[[#This Row],[BW_GA]])-1)/(Backend!$B$4/100*Table1[[#This Row],[BW40_3705]]),"")</f>
        <v/>
      </c>
      <c r="H1734" s="7" t="str">
        <f>IF(Table1[[#This Row],[Is Data Valid]]=TRUE,((Table1[[#This Row],[Birthweight (grams)]]*0.9/Table1[[#This Row],[BW_GA]])-1)/(Backend!$B$4/100*Table1[[#This Row],[BW40_3705]]),"")</f>
        <v/>
      </c>
      <c r="I1734" s="7" t="str">
        <f>IF(Table1[[#This Row],[Is Data Valid]]=TRUE,((Table1[[#This Row],[Birthweight (grams)]]*1.1/Table1[[#This Row],[BW_GA]])-1)/(Backend!$B$4/100*Table1[[#This Row],[BW40_3705]]),"")</f>
        <v/>
      </c>
      <c r="J1734" s="7" t="str">
        <f>IF(Table1[[#This Row],[Is Data Valid]]=TRUE,_xlfn.NORM.S.DIST(Table1[[#This Row],[Birthweight Z-Score]],TRUE)*100,"")</f>
        <v/>
      </c>
      <c r="K1734" s="7" t="str">
        <f>IF(Table1[[#This Row],[Is Data Valid]]=TRUE,_xlfn.NORM.S.DIST(Table1[[#This Row],[Birthweight Z-Score (BW-10%)]],TRUE)*100,"")</f>
        <v/>
      </c>
      <c r="L1734" s="7" t="str">
        <f>IF(Table1[[#This Row],[Is Data Valid]]=TRUE,_xlfn.NORM.S.DIST(Table1[[#This Row],[Birthweight Z-Score (BW+10%)]],TRUE)*100,"")</f>
        <v/>
      </c>
    </row>
    <row r="1735" spans="1:12" x14ac:dyDescent="0.35">
      <c r="A1735" s="3"/>
      <c r="B1735" s="2"/>
      <c r="C1735" s="2"/>
      <c r="D1735" s="2" t="b">
        <f>IF(AND(NOT(ISBLANK(Table1[[#This Row],[Fetal Sex (Male, Female or Unknown)]])),ISNUMBER(Table1[[#This Row],[Birthweight (grams)]]),ISNUMBER(Table1[[#This Row],[Gestation (days)]])),TRUE,FALSE)</f>
        <v>0</v>
      </c>
      <c r="E1735" s="2" t="str">
        <f>IF(Table1[[#This Row],[Is Data Valid]]=TRUE,IF(Table1[[#This Row],[Fetal Sex (Male, Female or Unknown)]]="Male",Backend!$C$6,IF(Table1[[#This Row],[Fetal Sex (Male, Female or Unknown)]]="Female",Backend!$C$7,IF(Table1[[#This Row],[Fetal Sex (Male, Female or Unknown)]]="Unknown",Backend!$C$8,"Error"))),"")</f>
        <v/>
      </c>
      <c r="F1735" s="8" t="str">
        <f>IF(Table1[[#This Row],[Is Data Valid]]=TRUE,EXP(0.578+0.332*((Table1[[#This Row],[Gestation (days)]]+0.5)/7)-0.00354*((Table1[[#This Row],[Gestation (days)]]+0.5)/7)^2)*Table1[[#This Row],[BW40_3705]],"")</f>
        <v/>
      </c>
      <c r="G1735" s="2" t="str">
        <f>IF(Table1[[#This Row],[Is Data Valid]]=TRUE,((Table1[[#This Row],[Birthweight (grams)]]/Table1[[#This Row],[BW_GA]])-1)/(Backend!$B$4/100*Table1[[#This Row],[BW40_3705]]),"")</f>
        <v/>
      </c>
      <c r="H1735" s="7" t="str">
        <f>IF(Table1[[#This Row],[Is Data Valid]]=TRUE,((Table1[[#This Row],[Birthweight (grams)]]*0.9/Table1[[#This Row],[BW_GA]])-1)/(Backend!$B$4/100*Table1[[#This Row],[BW40_3705]]),"")</f>
        <v/>
      </c>
      <c r="I1735" s="7" t="str">
        <f>IF(Table1[[#This Row],[Is Data Valid]]=TRUE,((Table1[[#This Row],[Birthweight (grams)]]*1.1/Table1[[#This Row],[BW_GA]])-1)/(Backend!$B$4/100*Table1[[#This Row],[BW40_3705]]),"")</f>
        <v/>
      </c>
      <c r="J1735" s="7" t="str">
        <f>IF(Table1[[#This Row],[Is Data Valid]]=TRUE,_xlfn.NORM.S.DIST(Table1[[#This Row],[Birthweight Z-Score]],TRUE)*100,"")</f>
        <v/>
      </c>
      <c r="K1735" s="7" t="str">
        <f>IF(Table1[[#This Row],[Is Data Valid]]=TRUE,_xlfn.NORM.S.DIST(Table1[[#This Row],[Birthweight Z-Score (BW-10%)]],TRUE)*100,"")</f>
        <v/>
      </c>
      <c r="L1735" s="7" t="str">
        <f>IF(Table1[[#This Row],[Is Data Valid]]=TRUE,_xlfn.NORM.S.DIST(Table1[[#This Row],[Birthweight Z-Score (BW+10%)]],TRUE)*100,"")</f>
        <v/>
      </c>
    </row>
    <row r="1736" spans="1:12" x14ac:dyDescent="0.35">
      <c r="A1736" s="3"/>
      <c r="B1736" s="2"/>
      <c r="C1736" s="2"/>
      <c r="D1736" s="2" t="b">
        <f>IF(AND(NOT(ISBLANK(Table1[[#This Row],[Fetal Sex (Male, Female or Unknown)]])),ISNUMBER(Table1[[#This Row],[Birthweight (grams)]]),ISNUMBER(Table1[[#This Row],[Gestation (days)]])),TRUE,FALSE)</f>
        <v>0</v>
      </c>
      <c r="E1736" s="2" t="str">
        <f>IF(Table1[[#This Row],[Is Data Valid]]=TRUE,IF(Table1[[#This Row],[Fetal Sex (Male, Female or Unknown)]]="Male",Backend!$C$6,IF(Table1[[#This Row],[Fetal Sex (Male, Female or Unknown)]]="Female",Backend!$C$7,IF(Table1[[#This Row],[Fetal Sex (Male, Female or Unknown)]]="Unknown",Backend!$C$8,"Error"))),"")</f>
        <v/>
      </c>
      <c r="F1736" s="8" t="str">
        <f>IF(Table1[[#This Row],[Is Data Valid]]=TRUE,EXP(0.578+0.332*((Table1[[#This Row],[Gestation (days)]]+0.5)/7)-0.00354*((Table1[[#This Row],[Gestation (days)]]+0.5)/7)^2)*Table1[[#This Row],[BW40_3705]],"")</f>
        <v/>
      </c>
      <c r="G1736" s="2" t="str">
        <f>IF(Table1[[#This Row],[Is Data Valid]]=TRUE,((Table1[[#This Row],[Birthweight (grams)]]/Table1[[#This Row],[BW_GA]])-1)/(Backend!$B$4/100*Table1[[#This Row],[BW40_3705]]),"")</f>
        <v/>
      </c>
      <c r="H1736" s="7" t="str">
        <f>IF(Table1[[#This Row],[Is Data Valid]]=TRUE,((Table1[[#This Row],[Birthweight (grams)]]*0.9/Table1[[#This Row],[BW_GA]])-1)/(Backend!$B$4/100*Table1[[#This Row],[BW40_3705]]),"")</f>
        <v/>
      </c>
      <c r="I1736" s="7" t="str">
        <f>IF(Table1[[#This Row],[Is Data Valid]]=TRUE,((Table1[[#This Row],[Birthweight (grams)]]*1.1/Table1[[#This Row],[BW_GA]])-1)/(Backend!$B$4/100*Table1[[#This Row],[BW40_3705]]),"")</f>
        <v/>
      </c>
      <c r="J1736" s="7" t="str">
        <f>IF(Table1[[#This Row],[Is Data Valid]]=TRUE,_xlfn.NORM.S.DIST(Table1[[#This Row],[Birthweight Z-Score]],TRUE)*100,"")</f>
        <v/>
      </c>
      <c r="K1736" s="7" t="str">
        <f>IF(Table1[[#This Row],[Is Data Valid]]=TRUE,_xlfn.NORM.S.DIST(Table1[[#This Row],[Birthweight Z-Score (BW-10%)]],TRUE)*100,"")</f>
        <v/>
      </c>
      <c r="L1736" s="7" t="str">
        <f>IF(Table1[[#This Row],[Is Data Valid]]=TRUE,_xlfn.NORM.S.DIST(Table1[[#This Row],[Birthweight Z-Score (BW+10%)]],TRUE)*100,"")</f>
        <v/>
      </c>
    </row>
    <row r="1737" spans="1:12" x14ac:dyDescent="0.35">
      <c r="A1737" s="3"/>
      <c r="B1737" s="2"/>
      <c r="C1737" s="2"/>
      <c r="D1737" s="2" t="b">
        <f>IF(AND(NOT(ISBLANK(Table1[[#This Row],[Fetal Sex (Male, Female or Unknown)]])),ISNUMBER(Table1[[#This Row],[Birthweight (grams)]]),ISNUMBER(Table1[[#This Row],[Gestation (days)]])),TRUE,FALSE)</f>
        <v>0</v>
      </c>
      <c r="E1737" s="2" t="str">
        <f>IF(Table1[[#This Row],[Is Data Valid]]=TRUE,IF(Table1[[#This Row],[Fetal Sex (Male, Female or Unknown)]]="Male",Backend!$C$6,IF(Table1[[#This Row],[Fetal Sex (Male, Female or Unknown)]]="Female",Backend!$C$7,IF(Table1[[#This Row],[Fetal Sex (Male, Female or Unknown)]]="Unknown",Backend!$C$8,"Error"))),"")</f>
        <v/>
      </c>
      <c r="F1737" s="8" t="str">
        <f>IF(Table1[[#This Row],[Is Data Valid]]=TRUE,EXP(0.578+0.332*((Table1[[#This Row],[Gestation (days)]]+0.5)/7)-0.00354*((Table1[[#This Row],[Gestation (days)]]+0.5)/7)^2)*Table1[[#This Row],[BW40_3705]],"")</f>
        <v/>
      </c>
      <c r="G1737" s="2" t="str">
        <f>IF(Table1[[#This Row],[Is Data Valid]]=TRUE,((Table1[[#This Row],[Birthweight (grams)]]/Table1[[#This Row],[BW_GA]])-1)/(Backend!$B$4/100*Table1[[#This Row],[BW40_3705]]),"")</f>
        <v/>
      </c>
      <c r="H1737" s="7" t="str">
        <f>IF(Table1[[#This Row],[Is Data Valid]]=TRUE,((Table1[[#This Row],[Birthweight (grams)]]*0.9/Table1[[#This Row],[BW_GA]])-1)/(Backend!$B$4/100*Table1[[#This Row],[BW40_3705]]),"")</f>
        <v/>
      </c>
      <c r="I1737" s="7" t="str">
        <f>IF(Table1[[#This Row],[Is Data Valid]]=TRUE,((Table1[[#This Row],[Birthweight (grams)]]*1.1/Table1[[#This Row],[BW_GA]])-1)/(Backend!$B$4/100*Table1[[#This Row],[BW40_3705]]),"")</f>
        <v/>
      </c>
      <c r="J1737" s="7" t="str">
        <f>IF(Table1[[#This Row],[Is Data Valid]]=TRUE,_xlfn.NORM.S.DIST(Table1[[#This Row],[Birthweight Z-Score]],TRUE)*100,"")</f>
        <v/>
      </c>
      <c r="K1737" s="7" t="str">
        <f>IF(Table1[[#This Row],[Is Data Valid]]=TRUE,_xlfn.NORM.S.DIST(Table1[[#This Row],[Birthweight Z-Score (BW-10%)]],TRUE)*100,"")</f>
        <v/>
      </c>
      <c r="L1737" s="7" t="str">
        <f>IF(Table1[[#This Row],[Is Data Valid]]=TRUE,_xlfn.NORM.S.DIST(Table1[[#This Row],[Birthweight Z-Score (BW+10%)]],TRUE)*100,"")</f>
        <v/>
      </c>
    </row>
    <row r="1738" spans="1:12" x14ac:dyDescent="0.35">
      <c r="A1738" s="3"/>
      <c r="B1738" s="2"/>
      <c r="C1738" s="2"/>
      <c r="D1738" s="2" t="b">
        <f>IF(AND(NOT(ISBLANK(Table1[[#This Row],[Fetal Sex (Male, Female or Unknown)]])),ISNUMBER(Table1[[#This Row],[Birthweight (grams)]]),ISNUMBER(Table1[[#This Row],[Gestation (days)]])),TRUE,FALSE)</f>
        <v>0</v>
      </c>
      <c r="E1738" s="2" t="str">
        <f>IF(Table1[[#This Row],[Is Data Valid]]=TRUE,IF(Table1[[#This Row],[Fetal Sex (Male, Female or Unknown)]]="Male",Backend!$C$6,IF(Table1[[#This Row],[Fetal Sex (Male, Female or Unknown)]]="Female",Backend!$C$7,IF(Table1[[#This Row],[Fetal Sex (Male, Female or Unknown)]]="Unknown",Backend!$C$8,"Error"))),"")</f>
        <v/>
      </c>
      <c r="F1738" s="8" t="str">
        <f>IF(Table1[[#This Row],[Is Data Valid]]=TRUE,EXP(0.578+0.332*((Table1[[#This Row],[Gestation (days)]]+0.5)/7)-0.00354*((Table1[[#This Row],[Gestation (days)]]+0.5)/7)^2)*Table1[[#This Row],[BW40_3705]],"")</f>
        <v/>
      </c>
      <c r="G1738" s="2" t="str">
        <f>IF(Table1[[#This Row],[Is Data Valid]]=TRUE,((Table1[[#This Row],[Birthweight (grams)]]/Table1[[#This Row],[BW_GA]])-1)/(Backend!$B$4/100*Table1[[#This Row],[BW40_3705]]),"")</f>
        <v/>
      </c>
      <c r="H1738" s="7" t="str">
        <f>IF(Table1[[#This Row],[Is Data Valid]]=TRUE,((Table1[[#This Row],[Birthweight (grams)]]*0.9/Table1[[#This Row],[BW_GA]])-1)/(Backend!$B$4/100*Table1[[#This Row],[BW40_3705]]),"")</f>
        <v/>
      </c>
      <c r="I1738" s="7" t="str">
        <f>IF(Table1[[#This Row],[Is Data Valid]]=TRUE,((Table1[[#This Row],[Birthweight (grams)]]*1.1/Table1[[#This Row],[BW_GA]])-1)/(Backend!$B$4/100*Table1[[#This Row],[BW40_3705]]),"")</f>
        <v/>
      </c>
      <c r="J1738" s="7" t="str">
        <f>IF(Table1[[#This Row],[Is Data Valid]]=TRUE,_xlfn.NORM.S.DIST(Table1[[#This Row],[Birthweight Z-Score]],TRUE)*100,"")</f>
        <v/>
      </c>
      <c r="K1738" s="7" t="str">
        <f>IF(Table1[[#This Row],[Is Data Valid]]=TRUE,_xlfn.NORM.S.DIST(Table1[[#This Row],[Birthweight Z-Score (BW-10%)]],TRUE)*100,"")</f>
        <v/>
      </c>
      <c r="L1738" s="7" t="str">
        <f>IF(Table1[[#This Row],[Is Data Valid]]=TRUE,_xlfn.NORM.S.DIST(Table1[[#This Row],[Birthweight Z-Score (BW+10%)]],TRUE)*100,"")</f>
        <v/>
      </c>
    </row>
    <row r="1739" spans="1:12" x14ac:dyDescent="0.35">
      <c r="A1739" s="3"/>
      <c r="B1739" s="2"/>
      <c r="C1739" s="2"/>
      <c r="D1739" s="2" t="b">
        <f>IF(AND(NOT(ISBLANK(Table1[[#This Row],[Fetal Sex (Male, Female or Unknown)]])),ISNUMBER(Table1[[#This Row],[Birthweight (grams)]]),ISNUMBER(Table1[[#This Row],[Gestation (days)]])),TRUE,FALSE)</f>
        <v>0</v>
      </c>
      <c r="E1739" s="2" t="str">
        <f>IF(Table1[[#This Row],[Is Data Valid]]=TRUE,IF(Table1[[#This Row],[Fetal Sex (Male, Female or Unknown)]]="Male",Backend!$C$6,IF(Table1[[#This Row],[Fetal Sex (Male, Female or Unknown)]]="Female",Backend!$C$7,IF(Table1[[#This Row],[Fetal Sex (Male, Female or Unknown)]]="Unknown",Backend!$C$8,"Error"))),"")</f>
        <v/>
      </c>
      <c r="F1739" s="8" t="str">
        <f>IF(Table1[[#This Row],[Is Data Valid]]=TRUE,EXP(0.578+0.332*((Table1[[#This Row],[Gestation (days)]]+0.5)/7)-0.00354*((Table1[[#This Row],[Gestation (days)]]+0.5)/7)^2)*Table1[[#This Row],[BW40_3705]],"")</f>
        <v/>
      </c>
      <c r="G1739" s="2" t="str">
        <f>IF(Table1[[#This Row],[Is Data Valid]]=TRUE,((Table1[[#This Row],[Birthweight (grams)]]/Table1[[#This Row],[BW_GA]])-1)/(Backend!$B$4/100*Table1[[#This Row],[BW40_3705]]),"")</f>
        <v/>
      </c>
      <c r="H1739" s="7" t="str">
        <f>IF(Table1[[#This Row],[Is Data Valid]]=TRUE,((Table1[[#This Row],[Birthweight (grams)]]*0.9/Table1[[#This Row],[BW_GA]])-1)/(Backend!$B$4/100*Table1[[#This Row],[BW40_3705]]),"")</f>
        <v/>
      </c>
      <c r="I1739" s="7" t="str">
        <f>IF(Table1[[#This Row],[Is Data Valid]]=TRUE,((Table1[[#This Row],[Birthweight (grams)]]*1.1/Table1[[#This Row],[BW_GA]])-1)/(Backend!$B$4/100*Table1[[#This Row],[BW40_3705]]),"")</f>
        <v/>
      </c>
      <c r="J1739" s="7" t="str">
        <f>IF(Table1[[#This Row],[Is Data Valid]]=TRUE,_xlfn.NORM.S.DIST(Table1[[#This Row],[Birthweight Z-Score]],TRUE)*100,"")</f>
        <v/>
      </c>
      <c r="K1739" s="7" t="str">
        <f>IF(Table1[[#This Row],[Is Data Valid]]=TRUE,_xlfn.NORM.S.DIST(Table1[[#This Row],[Birthweight Z-Score (BW-10%)]],TRUE)*100,"")</f>
        <v/>
      </c>
      <c r="L1739" s="7" t="str">
        <f>IF(Table1[[#This Row],[Is Data Valid]]=TRUE,_xlfn.NORM.S.DIST(Table1[[#This Row],[Birthweight Z-Score (BW+10%)]],TRUE)*100,"")</f>
        <v/>
      </c>
    </row>
    <row r="1740" spans="1:12" x14ac:dyDescent="0.35">
      <c r="A1740" s="3"/>
      <c r="B1740" s="2"/>
      <c r="C1740" s="2"/>
      <c r="D1740" s="2" t="b">
        <f>IF(AND(NOT(ISBLANK(Table1[[#This Row],[Fetal Sex (Male, Female or Unknown)]])),ISNUMBER(Table1[[#This Row],[Birthweight (grams)]]),ISNUMBER(Table1[[#This Row],[Gestation (days)]])),TRUE,FALSE)</f>
        <v>0</v>
      </c>
      <c r="E1740" s="2" t="str">
        <f>IF(Table1[[#This Row],[Is Data Valid]]=TRUE,IF(Table1[[#This Row],[Fetal Sex (Male, Female or Unknown)]]="Male",Backend!$C$6,IF(Table1[[#This Row],[Fetal Sex (Male, Female or Unknown)]]="Female",Backend!$C$7,IF(Table1[[#This Row],[Fetal Sex (Male, Female or Unknown)]]="Unknown",Backend!$C$8,"Error"))),"")</f>
        <v/>
      </c>
      <c r="F1740" s="8" t="str">
        <f>IF(Table1[[#This Row],[Is Data Valid]]=TRUE,EXP(0.578+0.332*((Table1[[#This Row],[Gestation (days)]]+0.5)/7)-0.00354*((Table1[[#This Row],[Gestation (days)]]+0.5)/7)^2)*Table1[[#This Row],[BW40_3705]],"")</f>
        <v/>
      </c>
      <c r="G1740" s="2" t="str">
        <f>IF(Table1[[#This Row],[Is Data Valid]]=TRUE,((Table1[[#This Row],[Birthweight (grams)]]/Table1[[#This Row],[BW_GA]])-1)/(Backend!$B$4/100*Table1[[#This Row],[BW40_3705]]),"")</f>
        <v/>
      </c>
      <c r="H1740" s="7" t="str">
        <f>IF(Table1[[#This Row],[Is Data Valid]]=TRUE,((Table1[[#This Row],[Birthweight (grams)]]*0.9/Table1[[#This Row],[BW_GA]])-1)/(Backend!$B$4/100*Table1[[#This Row],[BW40_3705]]),"")</f>
        <v/>
      </c>
      <c r="I1740" s="7" t="str">
        <f>IF(Table1[[#This Row],[Is Data Valid]]=TRUE,((Table1[[#This Row],[Birthweight (grams)]]*1.1/Table1[[#This Row],[BW_GA]])-1)/(Backend!$B$4/100*Table1[[#This Row],[BW40_3705]]),"")</f>
        <v/>
      </c>
      <c r="J1740" s="7" t="str">
        <f>IF(Table1[[#This Row],[Is Data Valid]]=TRUE,_xlfn.NORM.S.DIST(Table1[[#This Row],[Birthweight Z-Score]],TRUE)*100,"")</f>
        <v/>
      </c>
      <c r="K1740" s="7" t="str">
        <f>IF(Table1[[#This Row],[Is Data Valid]]=TRUE,_xlfn.NORM.S.DIST(Table1[[#This Row],[Birthweight Z-Score (BW-10%)]],TRUE)*100,"")</f>
        <v/>
      </c>
      <c r="L1740" s="7" t="str">
        <f>IF(Table1[[#This Row],[Is Data Valid]]=TRUE,_xlfn.NORM.S.DIST(Table1[[#This Row],[Birthweight Z-Score (BW+10%)]],TRUE)*100,"")</f>
        <v/>
      </c>
    </row>
    <row r="1741" spans="1:12" x14ac:dyDescent="0.35">
      <c r="A1741" s="3"/>
      <c r="B1741" s="2"/>
      <c r="C1741" s="2"/>
      <c r="D1741" s="2" t="b">
        <f>IF(AND(NOT(ISBLANK(Table1[[#This Row],[Fetal Sex (Male, Female or Unknown)]])),ISNUMBER(Table1[[#This Row],[Birthweight (grams)]]),ISNUMBER(Table1[[#This Row],[Gestation (days)]])),TRUE,FALSE)</f>
        <v>0</v>
      </c>
      <c r="E1741" s="2" t="str">
        <f>IF(Table1[[#This Row],[Is Data Valid]]=TRUE,IF(Table1[[#This Row],[Fetal Sex (Male, Female or Unknown)]]="Male",Backend!$C$6,IF(Table1[[#This Row],[Fetal Sex (Male, Female or Unknown)]]="Female",Backend!$C$7,IF(Table1[[#This Row],[Fetal Sex (Male, Female or Unknown)]]="Unknown",Backend!$C$8,"Error"))),"")</f>
        <v/>
      </c>
      <c r="F1741" s="8" t="str">
        <f>IF(Table1[[#This Row],[Is Data Valid]]=TRUE,EXP(0.578+0.332*((Table1[[#This Row],[Gestation (days)]]+0.5)/7)-0.00354*((Table1[[#This Row],[Gestation (days)]]+0.5)/7)^2)*Table1[[#This Row],[BW40_3705]],"")</f>
        <v/>
      </c>
      <c r="G1741" s="2" t="str">
        <f>IF(Table1[[#This Row],[Is Data Valid]]=TRUE,((Table1[[#This Row],[Birthweight (grams)]]/Table1[[#This Row],[BW_GA]])-1)/(Backend!$B$4/100*Table1[[#This Row],[BW40_3705]]),"")</f>
        <v/>
      </c>
      <c r="H1741" s="7" t="str">
        <f>IF(Table1[[#This Row],[Is Data Valid]]=TRUE,((Table1[[#This Row],[Birthweight (grams)]]*0.9/Table1[[#This Row],[BW_GA]])-1)/(Backend!$B$4/100*Table1[[#This Row],[BW40_3705]]),"")</f>
        <v/>
      </c>
      <c r="I1741" s="7" t="str">
        <f>IF(Table1[[#This Row],[Is Data Valid]]=TRUE,((Table1[[#This Row],[Birthweight (grams)]]*1.1/Table1[[#This Row],[BW_GA]])-1)/(Backend!$B$4/100*Table1[[#This Row],[BW40_3705]]),"")</f>
        <v/>
      </c>
      <c r="J1741" s="7" t="str">
        <f>IF(Table1[[#This Row],[Is Data Valid]]=TRUE,_xlfn.NORM.S.DIST(Table1[[#This Row],[Birthweight Z-Score]],TRUE)*100,"")</f>
        <v/>
      </c>
      <c r="K1741" s="7" t="str">
        <f>IF(Table1[[#This Row],[Is Data Valid]]=TRUE,_xlfn.NORM.S.DIST(Table1[[#This Row],[Birthweight Z-Score (BW-10%)]],TRUE)*100,"")</f>
        <v/>
      </c>
      <c r="L1741" s="7" t="str">
        <f>IF(Table1[[#This Row],[Is Data Valid]]=TRUE,_xlfn.NORM.S.DIST(Table1[[#This Row],[Birthweight Z-Score (BW+10%)]],TRUE)*100,"")</f>
        <v/>
      </c>
    </row>
    <row r="1742" spans="1:12" x14ac:dyDescent="0.35">
      <c r="A1742" s="3"/>
      <c r="B1742" s="2"/>
      <c r="C1742" s="2"/>
      <c r="D1742" s="2" t="b">
        <f>IF(AND(NOT(ISBLANK(Table1[[#This Row],[Fetal Sex (Male, Female or Unknown)]])),ISNUMBER(Table1[[#This Row],[Birthweight (grams)]]),ISNUMBER(Table1[[#This Row],[Gestation (days)]])),TRUE,FALSE)</f>
        <v>0</v>
      </c>
      <c r="E1742" s="2" t="str">
        <f>IF(Table1[[#This Row],[Is Data Valid]]=TRUE,IF(Table1[[#This Row],[Fetal Sex (Male, Female or Unknown)]]="Male",Backend!$C$6,IF(Table1[[#This Row],[Fetal Sex (Male, Female or Unknown)]]="Female",Backend!$C$7,IF(Table1[[#This Row],[Fetal Sex (Male, Female or Unknown)]]="Unknown",Backend!$C$8,"Error"))),"")</f>
        <v/>
      </c>
      <c r="F1742" s="8" t="str">
        <f>IF(Table1[[#This Row],[Is Data Valid]]=TRUE,EXP(0.578+0.332*((Table1[[#This Row],[Gestation (days)]]+0.5)/7)-0.00354*((Table1[[#This Row],[Gestation (days)]]+0.5)/7)^2)*Table1[[#This Row],[BW40_3705]],"")</f>
        <v/>
      </c>
      <c r="G1742" s="2" t="str">
        <f>IF(Table1[[#This Row],[Is Data Valid]]=TRUE,((Table1[[#This Row],[Birthweight (grams)]]/Table1[[#This Row],[BW_GA]])-1)/(Backend!$B$4/100*Table1[[#This Row],[BW40_3705]]),"")</f>
        <v/>
      </c>
      <c r="H1742" s="7" t="str">
        <f>IF(Table1[[#This Row],[Is Data Valid]]=TRUE,((Table1[[#This Row],[Birthweight (grams)]]*0.9/Table1[[#This Row],[BW_GA]])-1)/(Backend!$B$4/100*Table1[[#This Row],[BW40_3705]]),"")</f>
        <v/>
      </c>
      <c r="I1742" s="7" t="str">
        <f>IF(Table1[[#This Row],[Is Data Valid]]=TRUE,((Table1[[#This Row],[Birthweight (grams)]]*1.1/Table1[[#This Row],[BW_GA]])-1)/(Backend!$B$4/100*Table1[[#This Row],[BW40_3705]]),"")</f>
        <v/>
      </c>
      <c r="J1742" s="7" t="str">
        <f>IF(Table1[[#This Row],[Is Data Valid]]=TRUE,_xlfn.NORM.S.DIST(Table1[[#This Row],[Birthweight Z-Score]],TRUE)*100,"")</f>
        <v/>
      </c>
      <c r="K1742" s="7" t="str">
        <f>IF(Table1[[#This Row],[Is Data Valid]]=TRUE,_xlfn.NORM.S.DIST(Table1[[#This Row],[Birthweight Z-Score (BW-10%)]],TRUE)*100,"")</f>
        <v/>
      </c>
      <c r="L1742" s="7" t="str">
        <f>IF(Table1[[#This Row],[Is Data Valid]]=TRUE,_xlfn.NORM.S.DIST(Table1[[#This Row],[Birthweight Z-Score (BW+10%)]],TRUE)*100,"")</f>
        <v/>
      </c>
    </row>
    <row r="1743" spans="1:12" x14ac:dyDescent="0.35">
      <c r="A1743" s="3"/>
      <c r="B1743" s="2"/>
      <c r="C1743" s="2"/>
      <c r="D1743" s="2" t="b">
        <f>IF(AND(NOT(ISBLANK(Table1[[#This Row],[Fetal Sex (Male, Female or Unknown)]])),ISNUMBER(Table1[[#This Row],[Birthweight (grams)]]),ISNUMBER(Table1[[#This Row],[Gestation (days)]])),TRUE,FALSE)</f>
        <v>0</v>
      </c>
      <c r="E1743" s="2" t="str">
        <f>IF(Table1[[#This Row],[Is Data Valid]]=TRUE,IF(Table1[[#This Row],[Fetal Sex (Male, Female or Unknown)]]="Male",Backend!$C$6,IF(Table1[[#This Row],[Fetal Sex (Male, Female or Unknown)]]="Female",Backend!$C$7,IF(Table1[[#This Row],[Fetal Sex (Male, Female or Unknown)]]="Unknown",Backend!$C$8,"Error"))),"")</f>
        <v/>
      </c>
      <c r="F1743" s="8" t="str">
        <f>IF(Table1[[#This Row],[Is Data Valid]]=TRUE,EXP(0.578+0.332*((Table1[[#This Row],[Gestation (days)]]+0.5)/7)-0.00354*((Table1[[#This Row],[Gestation (days)]]+0.5)/7)^2)*Table1[[#This Row],[BW40_3705]],"")</f>
        <v/>
      </c>
      <c r="G1743" s="2" t="str">
        <f>IF(Table1[[#This Row],[Is Data Valid]]=TRUE,((Table1[[#This Row],[Birthweight (grams)]]/Table1[[#This Row],[BW_GA]])-1)/(Backend!$B$4/100*Table1[[#This Row],[BW40_3705]]),"")</f>
        <v/>
      </c>
      <c r="H1743" s="7" t="str">
        <f>IF(Table1[[#This Row],[Is Data Valid]]=TRUE,((Table1[[#This Row],[Birthweight (grams)]]*0.9/Table1[[#This Row],[BW_GA]])-1)/(Backend!$B$4/100*Table1[[#This Row],[BW40_3705]]),"")</f>
        <v/>
      </c>
      <c r="I1743" s="7" t="str">
        <f>IF(Table1[[#This Row],[Is Data Valid]]=TRUE,((Table1[[#This Row],[Birthweight (grams)]]*1.1/Table1[[#This Row],[BW_GA]])-1)/(Backend!$B$4/100*Table1[[#This Row],[BW40_3705]]),"")</f>
        <v/>
      </c>
      <c r="J1743" s="7" t="str">
        <f>IF(Table1[[#This Row],[Is Data Valid]]=TRUE,_xlfn.NORM.S.DIST(Table1[[#This Row],[Birthweight Z-Score]],TRUE)*100,"")</f>
        <v/>
      </c>
      <c r="K1743" s="7" t="str">
        <f>IF(Table1[[#This Row],[Is Data Valid]]=TRUE,_xlfn.NORM.S.DIST(Table1[[#This Row],[Birthweight Z-Score (BW-10%)]],TRUE)*100,"")</f>
        <v/>
      </c>
      <c r="L1743" s="7" t="str">
        <f>IF(Table1[[#This Row],[Is Data Valid]]=TRUE,_xlfn.NORM.S.DIST(Table1[[#This Row],[Birthweight Z-Score (BW+10%)]],TRUE)*100,"")</f>
        <v/>
      </c>
    </row>
    <row r="1744" spans="1:12" x14ac:dyDescent="0.35">
      <c r="A1744" s="3"/>
      <c r="B1744" s="2"/>
      <c r="C1744" s="2"/>
      <c r="D1744" s="2" t="b">
        <f>IF(AND(NOT(ISBLANK(Table1[[#This Row],[Fetal Sex (Male, Female or Unknown)]])),ISNUMBER(Table1[[#This Row],[Birthweight (grams)]]),ISNUMBER(Table1[[#This Row],[Gestation (days)]])),TRUE,FALSE)</f>
        <v>0</v>
      </c>
      <c r="E1744" s="2" t="str">
        <f>IF(Table1[[#This Row],[Is Data Valid]]=TRUE,IF(Table1[[#This Row],[Fetal Sex (Male, Female or Unknown)]]="Male",Backend!$C$6,IF(Table1[[#This Row],[Fetal Sex (Male, Female or Unknown)]]="Female",Backend!$C$7,IF(Table1[[#This Row],[Fetal Sex (Male, Female or Unknown)]]="Unknown",Backend!$C$8,"Error"))),"")</f>
        <v/>
      </c>
      <c r="F1744" s="8" t="str">
        <f>IF(Table1[[#This Row],[Is Data Valid]]=TRUE,EXP(0.578+0.332*((Table1[[#This Row],[Gestation (days)]]+0.5)/7)-0.00354*((Table1[[#This Row],[Gestation (days)]]+0.5)/7)^2)*Table1[[#This Row],[BW40_3705]],"")</f>
        <v/>
      </c>
      <c r="G1744" s="2" t="str">
        <f>IF(Table1[[#This Row],[Is Data Valid]]=TRUE,((Table1[[#This Row],[Birthweight (grams)]]/Table1[[#This Row],[BW_GA]])-1)/(Backend!$B$4/100*Table1[[#This Row],[BW40_3705]]),"")</f>
        <v/>
      </c>
      <c r="H1744" s="7" t="str">
        <f>IF(Table1[[#This Row],[Is Data Valid]]=TRUE,((Table1[[#This Row],[Birthweight (grams)]]*0.9/Table1[[#This Row],[BW_GA]])-1)/(Backend!$B$4/100*Table1[[#This Row],[BW40_3705]]),"")</f>
        <v/>
      </c>
      <c r="I1744" s="7" t="str">
        <f>IF(Table1[[#This Row],[Is Data Valid]]=TRUE,((Table1[[#This Row],[Birthweight (grams)]]*1.1/Table1[[#This Row],[BW_GA]])-1)/(Backend!$B$4/100*Table1[[#This Row],[BW40_3705]]),"")</f>
        <v/>
      </c>
      <c r="J1744" s="7" t="str">
        <f>IF(Table1[[#This Row],[Is Data Valid]]=TRUE,_xlfn.NORM.S.DIST(Table1[[#This Row],[Birthweight Z-Score]],TRUE)*100,"")</f>
        <v/>
      </c>
      <c r="K1744" s="7" t="str">
        <f>IF(Table1[[#This Row],[Is Data Valid]]=TRUE,_xlfn.NORM.S.DIST(Table1[[#This Row],[Birthweight Z-Score (BW-10%)]],TRUE)*100,"")</f>
        <v/>
      </c>
      <c r="L1744" s="7" t="str">
        <f>IF(Table1[[#This Row],[Is Data Valid]]=TRUE,_xlfn.NORM.S.DIST(Table1[[#This Row],[Birthweight Z-Score (BW+10%)]],TRUE)*100,"")</f>
        <v/>
      </c>
    </row>
    <row r="1745" spans="1:12" x14ac:dyDescent="0.35">
      <c r="A1745" s="3"/>
      <c r="B1745" s="2"/>
      <c r="C1745" s="2"/>
      <c r="D1745" s="2" t="b">
        <f>IF(AND(NOT(ISBLANK(Table1[[#This Row],[Fetal Sex (Male, Female or Unknown)]])),ISNUMBER(Table1[[#This Row],[Birthweight (grams)]]),ISNUMBER(Table1[[#This Row],[Gestation (days)]])),TRUE,FALSE)</f>
        <v>0</v>
      </c>
      <c r="E1745" s="2" t="str">
        <f>IF(Table1[[#This Row],[Is Data Valid]]=TRUE,IF(Table1[[#This Row],[Fetal Sex (Male, Female or Unknown)]]="Male",Backend!$C$6,IF(Table1[[#This Row],[Fetal Sex (Male, Female or Unknown)]]="Female",Backend!$C$7,IF(Table1[[#This Row],[Fetal Sex (Male, Female or Unknown)]]="Unknown",Backend!$C$8,"Error"))),"")</f>
        <v/>
      </c>
      <c r="F1745" s="8" t="str">
        <f>IF(Table1[[#This Row],[Is Data Valid]]=TRUE,EXP(0.578+0.332*((Table1[[#This Row],[Gestation (days)]]+0.5)/7)-0.00354*((Table1[[#This Row],[Gestation (days)]]+0.5)/7)^2)*Table1[[#This Row],[BW40_3705]],"")</f>
        <v/>
      </c>
      <c r="G1745" s="2" t="str">
        <f>IF(Table1[[#This Row],[Is Data Valid]]=TRUE,((Table1[[#This Row],[Birthweight (grams)]]/Table1[[#This Row],[BW_GA]])-1)/(Backend!$B$4/100*Table1[[#This Row],[BW40_3705]]),"")</f>
        <v/>
      </c>
      <c r="H1745" s="7" t="str">
        <f>IF(Table1[[#This Row],[Is Data Valid]]=TRUE,((Table1[[#This Row],[Birthweight (grams)]]*0.9/Table1[[#This Row],[BW_GA]])-1)/(Backend!$B$4/100*Table1[[#This Row],[BW40_3705]]),"")</f>
        <v/>
      </c>
      <c r="I1745" s="7" t="str">
        <f>IF(Table1[[#This Row],[Is Data Valid]]=TRUE,((Table1[[#This Row],[Birthweight (grams)]]*1.1/Table1[[#This Row],[BW_GA]])-1)/(Backend!$B$4/100*Table1[[#This Row],[BW40_3705]]),"")</f>
        <v/>
      </c>
      <c r="J1745" s="7" t="str">
        <f>IF(Table1[[#This Row],[Is Data Valid]]=TRUE,_xlfn.NORM.S.DIST(Table1[[#This Row],[Birthweight Z-Score]],TRUE)*100,"")</f>
        <v/>
      </c>
      <c r="K1745" s="7" t="str">
        <f>IF(Table1[[#This Row],[Is Data Valid]]=TRUE,_xlfn.NORM.S.DIST(Table1[[#This Row],[Birthweight Z-Score (BW-10%)]],TRUE)*100,"")</f>
        <v/>
      </c>
      <c r="L1745" s="7" t="str">
        <f>IF(Table1[[#This Row],[Is Data Valid]]=TRUE,_xlfn.NORM.S.DIST(Table1[[#This Row],[Birthweight Z-Score (BW+10%)]],TRUE)*100,"")</f>
        <v/>
      </c>
    </row>
    <row r="1746" spans="1:12" x14ac:dyDescent="0.35">
      <c r="A1746" s="3"/>
      <c r="B1746" s="2"/>
      <c r="C1746" s="2"/>
      <c r="D1746" s="2" t="b">
        <f>IF(AND(NOT(ISBLANK(Table1[[#This Row],[Fetal Sex (Male, Female or Unknown)]])),ISNUMBER(Table1[[#This Row],[Birthweight (grams)]]),ISNUMBER(Table1[[#This Row],[Gestation (days)]])),TRUE,FALSE)</f>
        <v>0</v>
      </c>
      <c r="E1746" s="2" t="str">
        <f>IF(Table1[[#This Row],[Is Data Valid]]=TRUE,IF(Table1[[#This Row],[Fetal Sex (Male, Female or Unknown)]]="Male",Backend!$C$6,IF(Table1[[#This Row],[Fetal Sex (Male, Female or Unknown)]]="Female",Backend!$C$7,IF(Table1[[#This Row],[Fetal Sex (Male, Female or Unknown)]]="Unknown",Backend!$C$8,"Error"))),"")</f>
        <v/>
      </c>
      <c r="F1746" s="8" t="str">
        <f>IF(Table1[[#This Row],[Is Data Valid]]=TRUE,EXP(0.578+0.332*((Table1[[#This Row],[Gestation (days)]]+0.5)/7)-0.00354*((Table1[[#This Row],[Gestation (days)]]+0.5)/7)^2)*Table1[[#This Row],[BW40_3705]],"")</f>
        <v/>
      </c>
      <c r="G1746" s="2" t="str">
        <f>IF(Table1[[#This Row],[Is Data Valid]]=TRUE,((Table1[[#This Row],[Birthweight (grams)]]/Table1[[#This Row],[BW_GA]])-1)/(Backend!$B$4/100*Table1[[#This Row],[BW40_3705]]),"")</f>
        <v/>
      </c>
      <c r="H1746" s="7" t="str">
        <f>IF(Table1[[#This Row],[Is Data Valid]]=TRUE,((Table1[[#This Row],[Birthweight (grams)]]*0.9/Table1[[#This Row],[BW_GA]])-1)/(Backend!$B$4/100*Table1[[#This Row],[BW40_3705]]),"")</f>
        <v/>
      </c>
      <c r="I1746" s="7" t="str">
        <f>IF(Table1[[#This Row],[Is Data Valid]]=TRUE,((Table1[[#This Row],[Birthweight (grams)]]*1.1/Table1[[#This Row],[BW_GA]])-1)/(Backend!$B$4/100*Table1[[#This Row],[BW40_3705]]),"")</f>
        <v/>
      </c>
      <c r="J1746" s="7" t="str">
        <f>IF(Table1[[#This Row],[Is Data Valid]]=TRUE,_xlfn.NORM.S.DIST(Table1[[#This Row],[Birthweight Z-Score]],TRUE)*100,"")</f>
        <v/>
      </c>
      <c r="K1746" s="7" t="str">
        <f>IF(Table1[[#This Row],[Is Data Valid]]=TRUE,_xlfn.NORM.S.DIST(Table1[[#This Row],[Birthweight Z-Score (BW-10%)]],TRUE)*100,"")</f>
        <v/>
      </c>
      <c r="L1746" s="7" t="str">
        <f>IF(Table1[[#This Row],[Is Data Valid]]=TRUE,_xlfn.NORM.S.DIST(Table1[[#This Row],[Birthweight Z-Score (BW+10%)]],TRUE)*100,"")</f>
        <v/>
      </c>
    </row>
    <row r="1747" spans="1:12" x14ac:dyDescent="0.35">
      <c r="A1747" s="3"/>
      <c r="B1747" s="2"/>
      <c r="C1747" s="2"/>
      <c r="D1747" s="2" t="b">
        <f>IF(AND(NOT(ISBLANK(Table1[[#This Row],[Fetal Sex (Male, Female or Unknown)]])),ISNUMBER(Table1[[#This Row],[Birthweight (grams)]]),ISNUMBER(Table1[[#This Row],[Gestation (days)]])),TRUE,FALSE)</f>
        <v>0</v>
      </c>
      <c r="E1747" s="2" t="str">
        <f>IF(Table1[[#This Row],[Is Data Valid]]=TRUE,IF(Table1[[#This Row],[Fetal Sex (Male, Female or Unknown)]]="Male",Backend!$C$6,IF(Table1[[#This Row],[Fetal Sex (Male, Female or Unknown)]]="Female",Backend!$C$7,IF(Table1[[#This Row],[Fetal Sex (Male, Female or Unknown)]]="Unknown",Backend!$C$8,"Error"))),"")</f>
        <v/>
      </c>
      <c r="F1747" s="8" t="str">
        <f>IF(Table1[[#This Row],[Is Data Valid]]=TRUE,EXP(0.578+0.332*((Table1[[#This Row],[Gestation (days)]]+0.5)/7)-0.00354*((Table1[[#This Row],[Gestation (days)]]+0.5)/7)^2)*Table1[[#This Row],[BW40_3705]],"")</f>
        <v/>
      </c>
      <c r="G1747" s="2" t="str">
        <f>IF(Table1[[#This Row],[Is Data Valid]]=TRUE,((Table1[[#This Row],[Birthweight (grams)]]/Table1[[#This Row],[BW_GA]])-1)/(Backend!$B$4/100*Table1[[#This Row],[BW40_3705]]),"")</f>
        <v/>
      </c>
      <c r="H1747" s="7" t="str">
        <f>IF(Table1[[#This Row],[Is Data Valid]]=TRUE,((Table1[[#This Row],[Birthweight (grams)]]*0.9/Table1[[#This Row],[BW_GA]])-1)/(Backend!$B$4/100*Table1[[#This Row],[BW40_3705]]),"")</f>
        <v/>
      </c>
      <c r="I1747" s="7" t="str">
        <f>IF(Table1[[#This Row],[Is Data Valid]]=TRUE,((Table1[[#This Row],[Birthweight (grams)]]*1.1/Table1[[#This Row],[BW_GA]])-1)/(Backend!$B$4/100*Table1[[#This Row],[BW40_3705]]),"")</f>
        <v/>
      </c>
      <c r="J1747" s="7" t="str">
        <f>IF(Table1[[#This Row],[Is Data Valid]]=TRUE,_xlfn.NORM.S.DIST(Table1[[#This Row],[Birthweight Z-Score]],TRUE)*100,"")</f>
        <v/>
      </c>
      <c r="K1747" s="7" t="str">
        <f>IF(Table1[[#This Row],[Is Data Valid]]=TRUE,_xlfn.NORM.S.DIST(Table1[[#This Row],[Birthweight Z-Score (BW-10%)]],TRUE)*100,"")</f>
        <v/>
      </c>
      <c r="L1747" s="7" t="str">
        <f>IF(Table1[[#This Row],[Is Data Valid]]=TRUE,_xlfn.NORM.S.DIST(Table1[[#This Row],[Birthweight Z-Score (BW+10%)]],TRUE)*100,"")</f>
        <v/>
      </c>
    </row>
    <row r="1748" spans="1:12" x14ac:dyDescent="0.35">
      <c r="A1748" s="3"/>
      <c r="B1748" s="2"/>
      <c r="C1748" s="2"/>
      <c r="D1748" s="2" t="b">
        <f>IF(AND(NOT(ISBLANK(Table1[[#This Row],[Fetal Sex (Male, Female or Unknown)]])),ISNUMBER(Table1[[#This Row],[Birthweight (grams)]]),ISNUMBER(Table1[[#This Row],[Gestation (days)]])),TRUE,FALSE)</f>
        <v>0</v>
      </c>
      <c r="E1748" s="2" t="str">
        <f>IF(Table1[[#This Row],[Is Data Valid]]=TRUE,IF(Table1[[#This Row],[Fetal Sex (Male, Female or Unknown)]]="Male",Backend!$C$6,IF(Table1[[#This Row],[Fetal Sex (Male, Female or Unknown)]]="Female",Backend!$C$7,IF(Table1[[#This Row],[Fetal Sex (Male, Female or Unknown)]]="Unknown",Backend!$C$8,"Error"))),"")</f>
        <v/>
      </c>
      <c r="F1748" s="8" t="str">
        <f>IF(Table1[[#This Row],[Is Data Valid]]=TRUE,EXP(0.578+0.332*((Table1[[#This Row],[Gestation (days)]]+0.5)/7)-0.00354*((Table1[[#This Row],[Gestation (days)]]+0.5)/7)^2)*Table1[[#This Row],[BW40_3705]],"")</f>
        <v/>
      </c>
      <c r="G1748" s="2" t="str">
        <f>IF(Table1[[#This Row],[Is Data Valid]]=TRUE,((Table1[[#This Row],[Birthweight (grams)]]/Table1[[#This Row],[BW_GA]])-1)/(Backend!$B$4/100*Table1[[#This Row],[BW40_3705]]),"")</f>
        <v/>
      </c>
      <c r="H1748" s="7" t="str">
        <f>IF(Table1[[#This Row],[Is Data Valid]]=TRUE,((Table1[[#This Row],[Birthweight (grams)]]*0.9/Table1[[#This Row],[BW_GA]])-1)/(Backend!$B$4/100*Table1[[#This Row],[BW40_3705]]),"")</f>
        <v/>
      </c>
      <c r="I1748" s="7" t="str">
        <f>IF(Table1[[#This Row],[Is Data Valid]]=TRUE,((Table1[[#This Row],[Birthweight (grams)]]*1.1/Table1[[#This Row],[BW_GA]])-1)/(Backend!$B$4/100*Table1[[#This Row],[BW40_3705]]),"")</f>
        <v/>
      </c>
      <c r="J1748" s="7" t="str">
        <f>IF(Table1[[#This Row],[Is Data Valid]]=TRUE,_xlfn.NORM.S.DIST(Table1[[#This Row],[Birthweight Z-Score]],TRUE)*100,"")</f>
        <v/>
      </c>
      <c r="K1748" s="7" t="str">
        <f>IF(Table1[[#This Row],[Is Data Valid]]=TRUE,_xlfn.NORM.S.DIST(Table1[[#This Row],[Birthweight Z-Score (BW-10%)]],TRUE)*100,"")</f>
        <v/>
      </c>
      <c r="L1748" s="7" t="str">
        <f>IF(Table1[[#This Row],[Is Data Valid]]=TRUE,_xlfn.NORM.S.DIST(Table1[[#This Row],[Birthweight Z-Score (BW+10%)]],TRUE)*100,"")</f>
        <v/>
      </c>
    </row>
    <row r="1749" spans="1:12" x14ac:dyDescent="0.35">
      <c r="A1749" s="3"/>
      <c r="B1749" s="2"/>
      <c r="C1749" s="2"/>
      <c r="D1749" s="2" t="b">
        <f>IF(AND(NOT(ISBLANK(Table1[[#This Row],[Fetal Sex (Male, Female or Unknown)]])),ISNUMBER(Table1[[#This Row],[Birthweight (grams)]]),ISNUMBER(Table1[[#This Row],[Gestation (days)]])),TRUE,FALSE)</f>
        <v>0</v>
      </c>
      <c r="E1749" s="2" t="str">
        <f>IF(Table1[[#This Row],[Is Data Valid]]=TRUE,IF(Table1[[#This Row],[Fetal Sex (Male, Female or Unknown)]]="Male",Backend!$C$6,IF(Table1[[#This Row],[Fetal Sex (Male, Female or Unknown)]]="Female",Backend!$C$7,IF(Table1[[#This Row],[Fetal Sex (Male, Female or Unknown)]]="Unknown",Backend!$C$8,"Error"))),"")</f>
        <v/>
      </c>
      <c r="F1749" s="8" t="str">
        <f>IF(Table1[[#This Row],[Is Data Valid]]=TRUE,EXP(0.578+0.332*((Table1[[#This Row],[Gestation (days)]]+0.5)/7)-0.00354*((Table1[[#This Row],[Gestation (days)]]+0.5)/7)^2)*Table1[[#This Row],[BW40_3705]],"")</f>
        <v/>
      </c>
      <c r="G1749" s="2" t="str">
        <f>IF(Table1[[#This Row],[Is Data Valid]]=TRUE,((Table1[[#This Row],[Birthweight (grams)]]/Table1[[#This Row],[BW_GA]])-1)/(Backend!$B$4/100*Table1[[#This Row],[BW40_3705]]),"")</f>
        <v/>
      </c>
      <c r="H1749" s="7" t="str">
        <f>IF(Table1[[#This Row],[Is Data Valid]]=TRUE,((Table1[[#This Row],[Birthweight (grams)]]*0.9/Table1[[#This Row],[BW_GA]])-1)/(Backend!$B$4/100*Table1[[#This Row],[BW40_3705]]),"")</f>
        <v/>
      </c>
      <c r="I1749" s="7" t="str">
        <f>IF(Table1[[#This Row],[Is Data Valid]]=TRUE,((Table1[[#This Row],[Birthweight (grams)]]*1.1/Table1[[#This Row],[BW_GA]])-1)/(Backend!$B$4/100*Table1[[#This Row],[BW40_3705]]),"")</f>
        <v/>
      </c>
      <c r="J1749" s="7" t="str">
        <f>IF(Table1[[#This Row],[Is Data Valid]]=TRUE,_xlfn.NORM.S.DIST(Table1[[#This Row],[Birthweight Z-Score]],TRUE)*100,"")</f>
        <v/>
      </c>
      <c r="K1749" s="7" t="str">
        <f>IF(Table1[[#This Row],[Is Data Valid]]=TRUE,_xlfn.NORM.S.DIST(Table1[[#This Row],[Birthweight Z-Score (BW-10%)]],TRUE)*100,"")</f>
        <v/>
      </c>
      <c r="L1749" s="7" t="str">
        <f>IF(Table1[[#This Row],[Is Data Valid]]=TRUE,_xlfn.NORM.S.DIST(Table1[[#This Row],[Birthweight Z-Score (BW+10%)]],TRUE)*100,"")</f>
        <v/>
      </c>
    </row>
    <row r="1750" spans="1:12" x14ac:dyDescent="0.35">
      <c r="A1750" s="3"/>
      <c r="B1750" s="2"/>
      <c r="C1750" s="2"/>
      <c r="D1750" s="2" t="b">
        <f>IF(AND(NOT(ISBLANK(Table1[[#This Row],[Fetal Sex (Male, Female or Unknown)]])),ISNUMBER(Table1[[#This Row],[Birthweight (grams)]]),ISNUMBER(Table1[[#This Row],[Gestation (days)]])),TRUE,FALSE)</f>
        <v>0</v>
      </c>
      <c r="E1750" s="2" t="str">
        <f>IF(Table1[[#This Row],[Is Data Valid]]=TRUE,IF(Table1[[#This Row],[Fetal Sex (Male, Female or Unknown)]]="Male",Backend!$C$6,IF(Table1[[#This Row],[Fetal Sex (Male, Female or Unknown)]]="Female",Backend!$C$7,IF(Table1[[#This Row],[Fetal Sex (Male, Female or Unknown)]]="Unknown",Backend!$C$8,"Error"))),"")</f>
        <v/>
      </c>
      <c r="F1750" s="8" t="str">
        <f>IF(Table1[[#This Row],[Is Data Valid]]=TRUE,EXP(0.578+0.332*((Table1[[#This Row],[Gestation (days)]]+0.5)/7)-0.00354*((Table1[[#This Row],[Gestation (days)]]+0.5)/7)^2)*Table1[[#This Row],[BW40_3705]],"")</f>
        <v/>
      </c>
      <c r="G1750" s="2" t="str">
        <f>IF(Table1[[#This Row],[Is Data Valid]]=TRUE,((Table1[[#This Row],[Birthweight (grams)]]/Table1[[#This Row],[BW_GA]])-1)/(Backend!$B$4/100*Table1[[#This Row],[BW40_3705]]),"")</f>
        <v/>
      </c>
      <c r="H1750" s="7" t="str">
        <f>IF(Table1[[#This Row],[Is Data Valid]]=TRUE,((Table1[[#This Row],[Birthweight (grams)]]*0.9/Table1[[#This Row],[BW_GA]])-1)/(Backend!$B$4/100*Table1[[#This Row],[BW40_3705]]),"")</f>
        <v/>
      </c>
      <c r="I1750" s="7" t="str">
        <f>IF(Table1[[#This Row],[Is Data Valid]]=TRUE,((Table1[[#This Row],[Birthweight (grams)]]*1.1/Table1[[#This Row],[BW_GA]])-1)/(Backend!$B$4/100*Table1[[#This Row],[BW40_3705]]),"")</f>
        <v/>
      </c>
      <c r="J1750" s="7" t="str">
        <f>IF(Table1[[#This Row],[Is Data Valid]]=TRUE,_xlfn.NORM.S.DIST(Table1[[#This Row],[Birthweight Z-Score]],TRUE)*100,"")</f>
        <v/>
      </c>
      <c r="K1750" s="7" t="str">
        <f>IF(Table1[[#This Row],[Is Data Valid]]=TRUE,_xlfn.NORM.S.DIST(Table1[[#This Row],[Birthweight Z-Score (BW-10%)]],TRUE)*100,"")</f>
        <v/>
      </c>
      <c r="L1750" s="7" t="str">
        <f>IF(Table1[[#This Row],[Is Data Valid]]=TRUE,_xlfn.NORM.S.DIST(Table1[[#This Row],[Birthweight Z-Score (BW+10%)]],TRUE)*100,"")</f>
        <v/>
      </c>
    </row>
    <row r="1751" spans="1:12" x14ac:dyDescent="0.35">
      <c r="A1751" s="3"/>
      <c r="B1751" s="2"/>
      <c r="C1751" s="2"/>
      <c r="D1751" s="2" t="b">
        <f>IF(AND(NOT(ISBLANK(Table1[[#This Row],[Fetal Sex (Male, Female or Unknown)]])),ISNUMBER(Table1[[#This Row],[Birthweight (grams)]]),ISNUMBER(Table1[[#This Row],[Gestation (days)]])),TRUE,FALSE)</f>
        <v>0</v>
      </c>
      <c r="E1751" s="2" t="str">
        <f>IF(Table1[[#This Row],[Is Data Valid]]=TRUE,IF(Table1[[#This Row],[Fetal Sex (Male, Female or Unknown)]]="Male",Backend!$C$6,IF(Table1[[#This Row],[Fetal Sex (Male, Female or Unknown)]]="Female",Backend!$C$7,IF(Table1[[#This Row],[Fetal Sex (Male, Female or Unknown)]]="Unknown",Backend!$C$8,"Error"))),"")</f>
        <v/>
      </c>
      <c r="F1751" s="8" t="str">
        <f>IF(Table1[[#This Row],[Is Data Valid]]=TRUE,EXP(0.578+0.332*((Table1[[#This Row],[Gestation (days)]]+0.5)/7)-0.00354*((Table1[[#This Row],[Gestation (days)]]+0.5)/7)^2)*Table1[[#This Row],[BW40_3705]],"")</f>
        <v/>
      </c>
      <c r="G1751" s="2" t="str">
        <f>IF(Table1[[#This Row],[Is Data Valid]]=TRUE,((Table1[[#This Row],[Birthweight (grams)]]/Table1[[#This Row],[BW_GA]])-1)/(Backend!$B$4/100*Table1[[#This Row],[BW40_3705]]),"")</f>
        <v/>
      </c>
      <c r="H1751" s="7" t="str">
        <f>IF(Table1[[#This Row],[Is Data Valid]]=TRUE,((Table1[[#This Row],[Birthweight (grams)]]*0.9/Table1[[#This Row],[BW_GA]])-1)/(Backend!$B$4/100*Table1[[#This Row],[BW40_3705]]),"")</f>
        <v/>
      </c>
      <c r="I1751" s="7" t="str">
        <f>IF(Table1[[#This Row],[Is Data Valid]]=TRUE,((Table1[[#This Row],[Birthweight (grams)]]*1.1/Table1[[#This Row],[BW_GA]])-1)/(Backend!$B$4/100*Table1[[#This Row],[BW40_3705]]),"")</f>
        <v/>
      </c>
      <c r="J1751" s="7" t="str">
        <f>IF(Table1[[#This Row],[Is Data Valid]]=TRUE,_xlfn.NORM.S.DIST(Table1[[#This Row],[Birthweight Z-Score]],TRUE)*100,"")</f>
        <v/>
      </c>
      <c r="K1751" s="7" t="str">
        <f>IF(Table1[[#This Row],[Is Data Valid]]=TRUE,_xlfn.NORM.S.DIST(Table1[[#This Row],[Birthweight Z-Score (BW-10%)]],TRUE)*100,"")</f>
        <v/>
      </c>
      <c r="L1751" s="7" t="str">
        <f>IF(Table1[[#This Row],[Is Data Valid]]=TRUE,_xlfn.NORM.S.DIST(Table1[[#This Row],[Birthweight Z-Score (BW+10%)]],TRUE)*100,"")</f>
        <v/>
      </c>
    </row>
    <row r="1752" spans="1:12" x14ac:dyDescent="0.35">
      <c r="A1752" s="3"/>
      <c r="B1752" s="2"/>
      <c r="C1752" s="2"/>
      <c r="D1752" s="2" t="b">
        <f>IF(AND(NOT(ISBLANK(Table1[[#This Row],[Fetal Sex (Male, Female or Unknown)]])),ISNUMBER(Table1[[#This Row],[Birthweight (grams)]]),ISNUMBER(Table1[[#This Row],[Gestation (days)]])),TRUE,FALSE)</f>
        <v>0</v>
      </c>
      <c r="E1752" s="2" t="str">
        <f>IF(Table1[[#This Row],[Is Data Valid]]=TRUE,IF(Table1[[#This Row],[Fetal Sex (Male, Female or Unknown)]]="Male",Backend!$C$6,IF(Table1[[#This Row],[Fetal Sex (Male, Female or Unknown)]]="Female",Backend!$C$7,IF(Table1[[#This Row],[Fetal Sex (Male, Female or Unknown)]]="Unknown",Backend!$C$8,"Error"))),"")</f>
        <v/>
      </c>
      <c r="F1752" s="8" t="str">
        <f>IF(Table1[[#This Row],[Is Data Valid]]=TRUE,EXP(0.578+0.332*((Table1[[#This Row],[Gestation (days)]]+0.5)/7)-0.00354*((Table1[[#This Row],[Gestation (days)]]+0.5)/7)^2)*Table1[[#This Row],[BW40_3705]],"")</f>
        <v/>
      </c>
      <c r="G1752" s="2" t="str">
        <f>IF(Table1[[#This Row],[Is Data Valid]]=TRUE,((Table1[[#This Row],[Birthweight (grams)]]/Table1[[#This Row],[BW_GA]])-1)/(Backend!$B$4/100*Table1[[#This Row],[BW40_3705]]),"")</f>
        <v/>
      </c>
      <c r="H1752" s="7" t="str">
        <f>IF(Table1[[#This Row],[Is Data Valid]]=TRUE,((Table1[[#This Row],[Birthweight (grams)]]*0.9/Table1[[#This Row],[BW_GA]])-1)/(Backend!$B$4/100*Table1[[#This Row],[BW40_3705]]),"")</f>
        <v/>
      </c>
      <c r="I1752" s="7" t="str">
        <f>IF(Table1[[#This Row],[Is Data Valid]]=TRUE,((Table1[[#This Row],[Birthweight (grams)]]*1.1/Table1[[#This Row],[BW_GA]])-1)/(Backend!$B$4/100*Table1[[#This Row],[BW40_3705]]),"")</f>
        <v/>
      </c>
      <c r="J1752" s="7" t="str">
        <f>IF(Table1[[#This Row],[Is Data Valid]]=TRUE,_xlfn.NORM.S.DIST(Table1[[#This Row],[Birthweight Z-Score]],TRUE)*100,"")</f>
        <v/>
      </c>
      <c r="K1752" s="7" t="str">
        <f>IF(Table1[[#This Row],[Is Data Valid]]=TRUE,_xlfn.NORM.S.DIST(Table1[[#This Row],[Birthweight Z-Score (BW-10%)]],TRUE)*100,"")</f>
        <v/>
      </c>
      <c r="L1752" s="7" t="str">
        <f>IF(Table1[[#This Row],[Is Data Valid]]=TRUE,_xlfn.NORM.S.DIST(Table1[[#This Row],[Birthweight Z-Score (BW+10%)]],TRUE)*100,"")</f>
        <v/>
      </c>
    </row>
    <row r="1753" spans="1:12" x14ac:dyDescent="0.35">
      <c r="A1753" s="3"/>
      <c r="B1753" s="2"/>
      <c r="C1753" s="2"/>
      <c r="D1753" s="2" t="b">
        <f>IF(AND(NOT(ISBLANK(Table1[[#This Row],[Fetal Sex (Male, Female or Unknown)]])),ISNUMBER(Table1[[#This Row],[Birthweight (grams)]]),ISNUMBER(Table1[[#This Row],[Gestation (days)]])),TRUE,FALSE)</f>
        <v>0</v>
      </c>
      <c r="E1753" s="2" t="str">
        <f>IF(Table1[[#This Row],[Is Data Valid]]=TRUE,IF(Table1[[#This Row],[Fetal Sex (Male, Female or Unknown)]]="Male",Backend!$C$6,IF(Table1[[#This Row],[Fetal Sex (Male, Female or Unknown)]]="Female",Backend!$C$7,IF(Table1[[#This Row],[Fetal Sex (Male, Female or Unknown)]]="Unknown",Backend!$C$8,"Error"))),"")</f>
        <v/>
      </c>
      <c r="F1753" s="8" t="str">
        <f>IF(Table1[[#This Row],[Is Data Valid]]=TRUE,EXP(0.578+0.332*((Table1[[#This Row],[Gestation (days)]]+0.5)/7)-0.00354*((Table1[[#This Row],[Gestation (days)]]+0.5)/7)^2)*Table1[[#This Row],[BW40_3705]],"")</f>
        <v/>
      </c>
      <c r="G1753" s="2" t="str">
        <f>IF(Table1[[#This Row],[Is Data Valid]]=TRUE,((Table1[[#This Row],[Birthweight (grams)]]/Table1[[#This Row],[BW_GA]])-1)/(Backend!$B$4/100*Table1[[#This Row],[BW40_3705]]),"")</f>
        <v/>
      </c>
      <c r="H1753" s="7" t="str">
        <f>IF(Table1[[#This Row],[Is Data Valid]]=TRUE,((Table1[[#This Row],[Birthweight (grams)]]*0.9/Table1[[#This Row],[BW_GA]])-1)/(Backend!$B$4/100*Table1[[#This Row],[BW40_3705]]),"")</f>
        <v/>
      </c>
      <c r="I1753" s="7" t="str">
        <f>IF(Table1[[#This Row],[Is Data Valid]]=TRUE,((Table1[[#This Row],[Birthweight (grams)]]*1.1/Table1[[#This Row],[BW_GA]])-1)/(Backend!$B$4/100*Table1[[#This Row],[BW40_3705]]),"")</f>
        <v/>
      </c>
      <c r="J1753" s="7" t="str">
        <f>IF(Table1[[#This Row],[Is Data Valid]]=TRUE,_xlfn.NORM.S.DIST(Table1[[#This Row],[Birthweight Z-Score]],TRUE)*100,"")</f>
        <v/>
      </c>
      <c r="K1753" s="7" t="str">
        <f>IF(Table1[[#This Row],[Is Data Valid]]=TRUE,_xlfn.NORM.S.DIST(Table1[[#This Row],[Birthweight Z-Score (BW-10%)]],TRUE)*100,"")</f>
        <v/>
      </c>
      <c r="L1753" s="7" t="str">
        <f>IF(Table1[[#This Row],[Is Data Valid]]=TRUE,_xlfn.NORM.S.DIST(Table1[[#This Row],[Birthweight Z-Score (BW+10%)]],TRUE)*100,"")</f>
        <v/>
      </c>
    </row>
    <row r="1754" spans="1:12" x14ac:dyDescent="0.35">
      <c r="A1754" s="3"/>
      <c r="B1754" s="2"/>
      <c r="C1754" s="2"/>
      <c r="D1754" s="2" t="b">
        <f>IF(AND(NOT(ISBLANK(Table1[[#This Row],[Fetal Sex (Male, Female or Unknown)]])),ISNUMBER(Table1[[#This Row],[Birthweight (grams)]]),ISNUMBER(Table1[[#This Row],[Gestation (days)]])),TRUE,FALSE)</f>
        <v>0</v>
      </c>
      <c r="E1754" s="2" t="str">
        <f>IF(Table1[[#This Row],[Is Data Valid]]=TRUE,IF(Table1[[#This Row],[Fetal Sex (Male, Female or Unknown)]]="Male",Backend!$C$6,IF(Table1[[#This Row],[Fetal Sex (Male, Female or Unknown)]]="Female",Backend!$C$7,IF(Table1[[#This Row],[Fetal Sex (Male, Female or Unknown)]]="Unknown",Backend!$C$8,"Error"))),"")</f>
        <v/>
      </c>
      <c r="F1754" s="8" t="str">
        <f>IF(Table1[[#This Row],[Is Data Valid]]=TRUE,EXP(0.578+0.332*((Table1[[#This Row],[Gestation (days)]]+0.5)/7)-0.00354*((Table1[[#This Row],[Gestation (days)]]+0.5)/7)^2)*Table1[[#This Row],[BW40_3705]],"")</f>
        <v/>
      </c>
      <c r="G1754" s="2" t="str">
        <f>IF(Table1[[#This Row],[Is Data Valid]]=TRUE,((Table1[[#This Row],[Birthweight (grams)]]/Table1[[#This Row],[BW_GA]])-1)/(Backend!$B$4/100*Table1[[#This Row],[BW40_3705]]),"")</f>
        <v/>
      </c>
      <c r="H1754" s="7" t="str">
        <f>IF(Table1[[#This Row],[Is Data Valid]]=TRUE,((Table1[[#This Row],[Birthweight (grams)]]*0.9/Table1[[#This Row],[BW_GA]])-1)/(Backend!$B$4/100*Table1[[#This Row],[BW40_3705]]),"")</f>
        <v/>
      </c>
      <c r="I1754" s="7" t="str">
        <f>IF(Table1[[#This Row],[Is Data Valid]]=TRUE,((Table1[[#This Row],[Birthweight (grams)]]*1.1/Table1[[#This Row],[BW_GA]])-1)/(Backend!$B$4/100*Table1[[#This Row],[BW40_3705]]),"")</f>
        <v/>
      </c>
      <c r="J1754" s="7" t="str">
        <f>IF(Table1[[#This Row],[Is Data Valid]]=TRUE,_xlfn.NORM.S.DIST(Table1[[#This Row],[Birthweight Z-Score]],TRUE)*100,"")</f>
        <v/>
      </c>
      <c r="K1754" s="7" t="str">
        <f>IF(Table1[[#This Row],[Is Data Valid]]=TRUE,_xlfn.NORM.S.DIST(Table1[[#This Row],[Birthweight Z-Score (BW-10%)]],TRUE)*100,"")</f>
        <v/>
      </c>
      <c r="L1754" s="7" t="str">
        <f>IF(Table1[[#This Row],[Is Data Valid]]=TRUE,_xlfn.NORM.S.DIST(Table1[[#This Row],[Birthweight Z-Score (BW+10%)]],TRUE)*100,"")</f>
        <v/>
      </c>
    </row>
    <row r="1755" spans="1:12" x14ac:dyDescent="0.35">
      <c r="A1755" s="3"/>
      <c r="B1755" s="2"/>
      <c r="C1755" s="2"/>
      <c r="D1755" s="2" t="b">
        <f>IF(AND(NOT(ISBLANK(Table1[[#This Row],[Fetal Sex (Male, Female or Unknown)]])),ISNUMBER(Table1[[#This Row],[Birthweight (grams)]]),ISNUMBER(Table1[[#This Row],[Gestation (days)]])),TRUE,FALSE)</f>
        <v>0</v>
      </c>
      <c r="E1755" s="2" t="str">
        <f>IF(Table1[[#This Row],[Is Data Valid]]=TRUE,IF(Table1[[#This Row],[Fetal Sex (Male, Female or Unknown)]]="Male",Backend!$C$6,IF(Table1[[#This Row],[Fetal Sex (Male, Female or Unknown)]]="Female",Backend!$C$7,IF(Table1[[#This Row],[Fetal Sex (Male, Female or Unknown)]]="Unknown",Backend!$C$8,"Error"))),"")</f>
        <v/>
      </c>
      <c r="F1755" s="8" t="str">
        <f>IF(Table1[[#This Row],[Is Data Valid]]=TRUE,EXP(0.578+0.332*((Table1[[#This Row],[Gestation (days)]]+0.5)/7)-0.00354*((Table1[[#This Row],[Gestation (days)]]+0.5)/7)^2)*Table1[[#This Row],[BW40_3705]],"")</f>
        <v/>
      </c>
      <c r="G1755" s="2" t="str">
        <f>IF(Table1[[#This Row],[Is Data Valid]]=TRUE,((Table1[[#This Row],[Birthweight (grams)]]/Table1[[#This Row],[BW_GA]])-1)/(Backend!$B$4/100*Table1[[#This Row],[BW40_3705]]),"")</f>
        <v/>
      </c>
      <c r="H1755" s="7" t="str">
        <f>IF(Table1[[#This Row],[Is Data Valid]]=TRUE,((Table1[[#This Row],[Birthweight (grams)]]*0.9/Table1[[#This Row],[BW_GA]])-1)/(Backend!$B$4/100*Table1[[#This Row],[BW40_3705]]),"")</f>
        <v/>
      </c>
      <c r="I1755" s="7" t="str">
        <f>IF(Table1[[#This Row],[Is Data Valid]]=TRUE,((Table1[[#This Row],[Birthweight (grams)]]*1.1/Table1[[#This Row],[BW_GA]])-1)/(Backend!$B$4/100*Table1[[#This Row],[BW40_3705]]),"")</f>
        <v/>
      </c>
      <c r="J1755" s="7" t="str">
        <f>IF(Table1[[#This Row],[Is Data Valid]]=TRUE,_xlfn.NORM.S.DIST(Table1[[#This Row],[Birthweight Z-Score]],TRUE)*100,"")</f>
        <v/>
      </c>
      <c r="K1755" s="7" t="str">
        <f>IF(Table1[[#This Row],[Is Data Valid]]=TRUE,_xlfn.NORM.S.DIST(Table1[[#This Row],[Birthweight Z-Score (BW-10%)]],TRUE)*100,"")</f>
        <v/>
      </c>
      <c r="L1755" s="7" t="str">
        <f>IF(Table1[[#This Row],[Is Data Valid]]=TRUE,_xlfn.NORM.S.DIST(Table1[[#This Row],[Birthweight Z-Score (BW+10%)]],TRUE)*100,"")</f>
        <v/>
      </c>
    </row>
    <row r="1756" spans="1:12" x14ac:dyDescent="0.35">
      <c r="A1756" s="3"/>
      <c r="B1756" s="2"/>
      <c r="C1756" s="2"/>
      <c r="D1756" s="2" t="b">
        <f>IF(AND(NOT(ISBLANK(Table1[[#This Row],[Fetal Sex (Male, Female or Unknown)]])),ISNUMBER(Table1[[#This Row],[Birthweight (grams)]]),ISNUMBER(Table1[[#This Row],[Gestation (days)]])),TRUE,FALSE)</f>
        <v>0</v>
      </c>
      <c r="E1756" s="2" t="str">
        <f>IF(Table1[[#This Row],[Is Data Valid]]=TRUE,IF(Table1[[#This Row],[Fetal Sex (Male, Female or Unknown)]]="Male",Backend!$C$6,IF(Table1[[#This Row],[Fetal Sex (Male, Female or Unknown)]]="Female",Backend!$C$7,IF(Table1[[#This Row],[Fetal Sex (Male, Female or Unknown)]]="Unknown",Backend!$C$8,"Error"))),"")</f>
        <v/>
      </c>
      <c r="F1756" s="8" t="str">
        <f>IF(Table1[[#This Row],[Is Data Valid]]=TRUE,EXP(0.578+0.332*((Table1[[#This Row],[Gestation (days)]]+0.5)/7)-0.00354*((Table1[[#This Row],[Gestation (days)]]+0.5)/7)^2)*Table1[[#This Row],[BW40_3705]],"")</f>
        <v/>
      </c>
      <c r="G1756" s="2" t="str">
        <f>IF(Table1[[#This Row],[Is Data Valid]]=TRUE,((Table1[[#This Row],[Birthweight (grams)]]/Table1[[#This Row],[BW_GA]])-1)/(Backend!$B$4/100*Table1[[#This Row],[BW40_3705]]),"")</f>
        <v/>
      </c>
      <c r="H1756" s="7" t="str">
        <f>IF(Table1[[#This Row],[Is Data Valid]]=TRUE,((Table1[[#This Row],[Birthweight (grams)]]*0.9/Table1[[#This Row],[BW_GA]])-1)/(Backend!$B$4/100*Table1[[#This Row],[BW40_3705]]),"")</f>
        <v/>
      </c>
      <c r="I1756" s="7" t="str">
        <f>IF(Table1[[#This Row],[Is Data Valid]]=TRUE,((Table1[[#This Row],[Birthweight (grams)]]*1.1/Table1[[#This Row],[BW_GA]])-1)/(Backend!$B$4/100*Table1[[#This Row],[BW40_3705]]),"")</f>
        <v/>
      </c>
      <c r="J1756" s="7" t="str">
        <f>IF(Table1[[#This Row],[Is Data Valid]]=TRUE,_xlfn.NORM.S.DIST(Table1[[#This Row],[Birthweight Z-Score]],TRUE)*100,"")</f>
        <v/>
      </c>
      <c r="K1756" s="7" t="str">
        <f>IF(Table1[[#This Row],[Is Data Valid]]=TRUE,_xlfn.NORM.S.DIST(Table1[[#This Row],[Birthweight Z-Score (BW-10%)]],TRUE)*100,"")</f>
        <v/>
      </c>
      <c r="L1756" s="7" t="str">
        <f>IF(Table1[[#This Row],[Is Data Valid]]=TRUE,_xlfn.NORM.S.DIST(Table1[[#This Row],[Birthweight Z-Score (BW+10%)]],TRUE)*100,"")</f>
        <v/>
      </c>
    </row>
    <row r="1757" spans="1:12" x14ac:dyDescent="0.35">
      <c r="A1757" s="3"/>
      <c r="B1757" s="2"/>
      <c r="C1757" s="2"/>
      <c r="D1757" s="2" t="b">
        <f>IF(AND(NOT(ISBLANK(Table1[[#This Row],[Fetal Sex (Male, Female or Unknown)]])),ISNUMBER(Table1[[#This Row],[Birthweight (grams)]]),ISNUMBER(Table1[[#This Row],[Gestation (days)]])),TRUE,FALSE)</f>
        <v>0</v>
      </c>
      <c r="E1757" s="2" t="str">
        <f>IF(Table1[[#This Row],[Is Data Valid]]=TRUE,IF(Table1[[#This Row],[Fetal Sex (Male, Female or Unknown)]]="Male",Backend!$C$6,IF(Table1[[#This Row],[Fetal Sex (Male, Female or Unknown)]]="Female",Backend!$C$7,IF(Table1[[#This Row],[Fetal Sex (Male, Female or Unknown)]]="Unknown",Backend!$C$8,"Error"))),"")</f>
        <v/>
      </c>
      <c r="F1757" s="8" t="str">
        <f>IF(Table1[[#This Row],[Is Data Valid]]=TRUE,EXP(0.578+0.332*((Table1[[#This Row],[Gestation (days)]]+0.5)/7)-0.00354*((Table1[[#This Row],[Gestation (days)]]+0.5)/7)^2)*Table1[[#This Row],[BW40_3705]],"")</f>
        <v/>
      </c>
      <c r="G1757" s="2" t="str">
        <f>IF(Table1[[#This Row],[Is Data Valid]]=TRUE,((Table1[[#This Row],[Birthweight (grams)]]/Table1[[#This Row],[BW_GA]])-1)/(Backend!$B$4/100*Table1[[#This Row],[BW40_3705]]),"")</f>
        <v/>
      </c>
      <c r="H1757" s="7" t="str">
        <f>IF(Table1[[#This Row],[Is Data Valid]]=TRUE,((Table1[[#This Row],[Birthweight (grams)]]*0.9/Table1[[#This Row],[BW_GA]])-1)/(Backend!$B$4/100*Table1[[#This Row],[BW40_3705]]),"")</f>
        <v/>
      </c>
      <c r="I1757" s="7" t="str">
        <f>IF(Table1[[#This Row],[Is Data Valid]]=TRUE,((Table1[[#This Row],[Birthweight (grams)]]*1.1/Table1[[#This Row],[BW_GA]])-1)/(Backend!$B$4/100*Table1[[#This Row],[BW40_3705]]),"")</f>
        <v/>
      </c>
      <c r="J1757" s="7" t="str">
        <f>IF(Table1[[#This Row],[Is Data Valid]]=TRUE,_xlfn.NORM.S.DIST(Table1[[#This Row],[Birthweight Z-Score]],TRUE)*100,"")</f>
        <v/>
      </c>
      <c r="K1757" s="7" t="str">
        <f>IF(Table1[[#This Row],[Is Data Valid]]=TRUE,_xlfn.NORM.S.DIST(Table1[[#This Row],[Birthweight Z-Score (BW-10%)]],TRUE)*100,"")</f>
        <v/>
      </c>
      <c r="L1757" s="7" t="str">
        <f>IF(Table1[[#This Row],[Is Data Valid]]=TRUE,_xlfn.NORM.S.DIST(Table1[[#This Row],[Birthweight Z-Score (BW+10%)]],TRUE)*100,"")</f>
        <v/>
      </c>
    </row>
    <row r="1758" spans="1:12" x14ac:dyDescent="0.35">
      <c r="A1758" s="3"/>
      <c r="B1758" s="2"/>
      <c r="C1758" s="2"/>
      <c r="D1758" s="2" t="b">
        <f>IF(AND(NOT(ISBLANK(Table1[[#This Row],[Fetal Sex (Male, Female or Unknown)]])),ISNUMBER(Table1[[#This Row],[Birthweight (grams)]]),ISNUMBER(Table1[[#This Row],[Gestation (days)]])),TRUE,FALSE)</f>
        <v>0</v>
      </c>
      <c r="E1758" s="2" t="str">
        <f>IF(Table1[[#This Row],[Is Data Valid]]=TRUE,IF(Table1[[#This Row],[Fetal Sex (Male, Female or Unknown)]]="Male",Backend!$C$6,IF(Table1[[#This Row],[Fetal Sex (Male, Female or Unknown)]]="Female",Backend!$C$7,IF(Table1[[#This Row],[Fetal Sex (Male, Female or Unknown)]]="Unknown",Backend!$C$8,"Error"))),"")</f>
        <v/>
      </c>
      <c r="F1758" s="8" t="str">
        <f>IF(Table1[[#This Row],[Is Data Valid]]=TRUE,EXP(0.578+0.332*((Table1[[#This Row],[Gestation (days)]]+0.5)/7)-0.00354*((Table1[[#This Row],[Gestation (days)]]+0.5)/7)^2)*Table1[[#This Row],[BW40_3705]],"")</f>
        <v/>
      </c>
      <c r="G1758" s="2" t="str">
        <f>IF(Table1[[#This Row],[Is Data Valid]]=TRUE,((Table1[[#This Row],[Birthweight (grams)]]/Table1[[#This Row],[BW_GA]])-1)/(Backend!$B$4/100*Table1[[#This Row],[BW40_3705]]),"")</f>
        <v/>
      </c>
      <c r="H1758" s="7" t="str">
        <f>IF(Table1[[#This Row],[Is Data Valid]]=TRUE,((Table1[[#This Row],[Birthweight (grams)]]*0.9/Table1[[#This Row],[BW_GA]])-1)/(Backend!$B$4/100*Table1[[#This Row],[BW40_3705]]),"")</f>
        <v/>
      </c>
      <c r="I1758" s="7" t="str">
        <f>IF(Table1[[#This Row],[Is Data Valid]]=TRUE,((Table1[[#This Row],[Birthweight (grams)]]*1.1/Table1[[#This Row],[BW_GA]])-1)/(Backend!$B$4/100*Table1[[#This Row],[BW40_3705]]),"")</f>
        <v/>
      </c>
      <c r="J1758" s="7" t="str">
        <f>IF(Table1[[#This Row],[Is Data Valid]]=TRUE,_xlfn.NORM.S.DIST(Table1[[#This Row],[Birthweight Z-Score]],TRUE)*100,"")</f>
        <v/>
      </c>
      <c r="K1758" s="7" t="str">
        <f>IF(Table1[[#This Row],[Is Data Valid]]=TRUE,_xlfn.NORM.S.DIST(Table1[[#This Row],[Birthweight Z-Score (BW-10%)]],TRUE)*100,"")</f>
        <v/>
      </c>
      <c r="L1758" s="7" t="str">
        <f>IF(Table1[[#This Row],[Is Data Valid]]=TRUE,_xlfn.NORM.S.DIST(Table1[[#This Row],[Birthweight Z-Score (BW+10%)]],TRUE)*100,"")</f>
        <v/>
      </c>
    </row>
    <row r="1759" spans="1:12" x14ac:dyDescent="0.35">
      <c r="A1759" s="3"/>
      <c r="B1759" s="2"/>
      <c r="C1759" s="2"/>
      <c r="D1759" s="2" t="b">
        <f>IF(AND(NOT(ISBLANK(Table1[[#This Row],[Fetal Sex (Male, Female or Unknown)]])),ISNUMBER(Table1[[#This Row],[Birthweight (grams)]]),ISNUMBER(Table1[[#This Row],[Gestation (days)]])),TRUE,FALSE)</f>
        <v>0</v>
      </c>
      <c r="E1759" s="2" t="str">
        <f>IF(Table1[[#This Row],[Is Data Valid]]=TRUE,IF(Table1[[#This Row],[Fetal Sex (Male, Female or Unknown)]]="Male",Backend!$C$6,IF(Table1[[#This Row],[Fetal Sex (Male, Female or Unknown)]]="Female",Backend!$C$7,IF(Table1[[#This Row],[Fetal Sex (Male, Female or Unknown)]]="Unknown",Backend!$C$8,"Error"))),"")</f>
        <v/>
      </c>
      <c r="F1759" s="8" t="str">
        <f>IF(Table1[[#This Row],[Is Data Valid]]=TRUE,EXP(0.578+0.332*((Table1[[#This Row],[Gestation (days)]]+0.5)/7)-0.00354*((Table1[[#This Row],[Gestation (days)]]+0.5)/7)^2)*Table1[[#This Row],[BW40_3705]],"")</f>
        <v/>
      </c>
      <c r="G1759" s="2" t="str">
        <f>IF(Table1[[#This Row],[Is Data Valid]]=TRUE,((Table1[[#This Row],[Birthweight (grams)]]/Table1[[#This Row],[BW_GA]])-1)/(Backend!$B$4/100*Table1[[#This Row],[BW40_3705]]),"")</f>
        <v/>
      </c>
      <c r="H1759" s="7" t="str">
        <f>IF(Table1[[#This Row],[Is Data Valid]]=TRUE,((Table1[[#This Row],[Birthweight (grams)]]*0.9/Table1[[#This Row],[BW_GA]])-1)/(Backend!$B$4/100*Table1[[#This Row],[BW40_3705]]),"")</f>
        <v/>
      </c>
      <c r="I1759" s="7" t="str">
        <f>IF(Table1[[#This Row],[Is Data Valid]]=TRUE,((Table1[[#This Row],[Birthweight (grams)]]*1.1/Table1[[#This Row],[BW_GA]])-1)/(Backend!$B$4/100*Table1[[#This Row],[BW40_3705]]),"")</f>
        <v/>
      </c>
      <c r="J1759" s="7" t="str">
        <f>IF(Table1[[#This Row],[Is Data Valid]]=TRUE,_xlfn.NORM.S.DIST(Table1[[#This Row],[Birthweight Z-Score]],TRUE)*100,"")</f>
        <v/>
      </c>
      <c r="K1759" s="7" t="str">
        <f>IF(Table1[[#This Row],[Is Data Valid]]=TRUE,_xlfn.NORM.S.DIST(Table1[[#This Row],[Birthweight Z-Score (BW-10%)]],TRUE)*100,"")</f>
        <v/>
      </c>
      <c r="L1759" s="7" t="str">
        <f>IF(Table1[[#This Row],[Is Data Valid]]=TRUE,_xlfn.NORM.S.DIST(Table1[[#This Row],[Birthweight Z-Score (BW+10%)]],TRUE)*100,"")</f>
        <v/>
      </c>
    </row>
    <row r="1760" spans="1:12" x14ac:dyDescent="0.35">
      <c r="A1760" s="3"/>
      <c r="B1760" s="2"/>
      <c r="C1760" s="2"/>
      <c r="D1760" s="2" t="b">
        <f>IF(AND(NOT(ISBLANK(Table1[[#This Row],[Fetal Sex (Male, Female or Unknown)]])),ISNUMBER(Table1[[#This Row],[Birthweight (grams)]]),ISNUMBER(Table1[[#This Row],[Gestation (days)]])),TRUE,FALSE)</f>
        <v>0</v>
      </c>
      <c r="E1760" s="2" t="str">
        <f>IF(Table1[[#This Row],[Is Data Valid]]=TRUE,IF(Table1[[#This Row],[Fetal Sex (Male, Female or Unknown)]]="Male",Backend!$C$6,IF(Table1[[#This Row],[Fetal Sex (Male, Female or Unknown)]]="Female",Backend!$C$7,IF(Table1[[#This Row],[Fetal Sex (Male, Female or Unknown)]]="Unknown",Backend!$C$8,"Error"))),"")</f>
        <v/>
      </c>
      <c r="F1760" s="8" t="str">
        <f>IF(Table1[[#This Row],[Is Data Valid]]=TRUE,EXP(0.578+0.332*((Table1[[#This Row],[Gestation (days)]]+0.5)/7)-0.00354*((Table1[[#This Row],[Gestation (days)]]+0.5)/7)^2)*Table1[[#This Row],[BW40_3705]],"")</f>
        <v/>
      </c>
      <c r="G1760" s="2" t="str">
        <f>IF(Table1[[#This Row],[Is Data Valid]]=TRUE,((Table1[[#This Row],[Birthweight (grams)]]/Table1[[#This Row],[BW_GA]])-1)/(Backend!$B$4/100*Table1[[#This Row],[BW40_3705]]),"")</f>
        <v/>
      </c>
      <c r="H1760" s="7" t="str">
        <f>IF(Table1[[#This Row],[Is Data Valid]]=TRUE,((Table1[[#This Row],[Birthweight (grams)]]*0.9/Table1[[#This Row],[BW_GA]])-1)/(Backend!$B$4/100*Table1[[#This Row],[BW40_3705]]),"")</f>
        <v/>
      </c>
      <c r="I1760" s="7" t="str">
        <f>IF(Table1[[#This Row],[Is Data Valid]]=TRUE,((Table1[[#This Row],[Birthweight (grams)]]*1.1/Table1[[#This Row],[BW_GA]])-1)/(Backend!$B$4/100*Table1[[#This Row],[BW40_3705]]),"")</f>
        <v/>
      </c>
      <c r="J1760" s="7" t="str">
        <f>IF(Table1[[#This Row],[Is Data Valid]]=TRUE,_xlfn.NORM.S.DIST(Table1[[#This Row],[Birthweight Z-Score]],TRUE)*100,"")</f>
        <v/>
      </c>
      <c r="K1760" s="7" t="str">
        <f>IF(Table1[[#This Row],[Is Data Valid]]=TRUE,_xlfn.NORM.S.DIST(Table1[[#This Row],[Birthweight Z-Score (BW-10%)]],TRUE)*100,"")</f>
        <v/>
      </c>
      <c r="L1760" s="7" t="str">
        <f>IF(Table1[[#This Row],[Is Data Valid]]=TRUE,_xlfn.NORM.S.DIST(Table1[[#This Row],[Birthweight Z-Score (BW+10%)]],TRUE)*100,"")</f>
        <v/>
      </c>
    </row>
    <row r="1761" spans="1:12" x14ac:dyDescent="0.35">
      <c r="A1761" s="3"/>
      <c r="B1761" s="2"/>
      <c r="C1761" s="2"/>
      <c r="D1761" s="2" t="b">
        <f>IF(AND(NOT(ISBLANK(Table1[[#This Row],[Fetal Sex (Male, Female or Unknown)]])),ISNUMBER(Table1[[#This Row],[Birthweight (grams)]]),ISNUMBER(Table1[[#This Row],[Gestation (days)]])),TRUE,FALSE)</f>
        <v>0</v>
      </c>
      <c r="E1761" s="2" t="str">
        <f>IF(Table1[[#This Row],[Is Data Valid]]=TRUE,IF(Table1[[#This Row],[Fetal Sex (Male, Female or Unknown)]]="Male",Backend!$C$6,IF(Table1[[#This Row],[Fetal Sex (Male, Female or Unknown)]]="Female",Backend!$C$7,IF(Table1[[#This Row],[Fetal Sex (Male, Female or Unknown)]]="Unknown",Backend!$C$8,"Error"))),"")</f>
        <v/>
      </c>
      <c r="F1761" s="8" t="str">
        <f>IF(Table1[[#This Row],[Is Data Valid]]=TRUE,EXP(0.578+0.332*((Table1[[#This Row],[Gestation (days)]]+0.5)/7)-0.00354*((Table1[[#This Row],[Gestation (days)]]+0.5)/7)^2)*Table1[[#This Row],[BW40_3705]],"")</f>
        <v/>
      </c>
      <c r="G1761" s="2" t="str">
        <f>IF(Table1[[#This Row],[Is Data Valid]]=TRUE,((Table1[[#This Row],[Birthweight (grams)]]/Table1[[#This Row],[BW_GA]])-1)/(Backend!$B$4/100*Table1[[#This Row],[BW40_3705]]),"")</f>
        <v/>
      </c>
      <c r="H1761" s="7" t="str">
        <f>IF(Table1[[#This Row],[Is Data Valid]]=TRUE,((Table1[[#This Row],[Birthweight (grams)]]*0.9/Table1[[#This Row],[BW_GA]])-1)/(Backend!$B$4/100*Table1[[#This Row],[BW40_3705]]),"")</f>
        <v/>
      </c>
      <c r="I1761" s="7" t="str">
        <f>IF(Table1[[#This Row],[Is Data Valid]]=TRUE,((Table1[[#This Row],[Birthweight (grams)]]*1.1/Table1[[#This Row],[BW_GA]])-1)/(Backend!$B$4/100*Table1[[#This Row],[BW40_3705]]),"")</f>
        <v/>
      </c>
      <c r="J1761" s="7" t="str">
        <f>IF(Table1[[#This Row],[Is Data Valid]]=TRUE,_xlfn.NORM.S.DIST(Table1[[#This Row],[Birthweight Z-Score]],TRUE)*100,"")</f>
        <v/>
      </c>
      <c r="K1761" s="7" t="str">
        <f>IF(Table1[[#This Row],[Is Data Valid]]=TRUE,_xlfn.NORM.S.DIST(Table1[[#This Row],[Birthweight Z-Score (BW-10%)]],TRUE)*100,"")</f>
        <v/>
      </c>
      <c r="L1761" s="7" t="str">
        <f>IF(Table1[[#This Row],[Is Data Valid]]=TRUE,_xlfn.NORM.S.DIST(Table1[[#This Row],[Birthweight Z-Score (BW+10%)]],TRUE)*100,"")</f>
        <v/>
      </c>
    </row>
    <row r="1762" spans="1:12" x14ac:dyDescent="0.35">
      <c r="A1762" s="3"/>
      <c r="B1762" s="2"/>
      <c r="C1762" s="2"/>
      <c r="D1762" s="2" t="b">
        <f>IF(AND(NOT(ISBLANK(Table1[[#This Row],[Fetal Sex (Male, Female or Unknown)]])),ISNUMBER(Table1[[#This Row],[Birthweight (grams)]]),ISNUMBER(Table1[[#This Row],[Gestation (days)]])),TRUE,FALSE)</f>
        <v>0</v>
      </c>
      <c r="E1762" s="2" t="str">
        <f>IF(Table1[[#This Row],[Is Data Valid]]=TRUE,IF(Table1[[#This Row],[Fetal Sex (Male, Female or Unknown)]]="Male",Backend!$C$6,IF(Table1[[#This Row],[Fetal Sex (Male, Female or Unknown)]]="Female",Backend!$C$7,IF(Table1[[#This Row],[Fetal Sex (Male, Female or Unknown)]]="Unknown",Backend!$C$8,"Error"))),"")</f>
        <v/>
      </c>
      <c r="F1762" s="8" t="str">
        <f>IF(Table1[[#This Row],[Is Data Valid]]=TRUE,EXP(0.578+0.332*((Table1[[#This Row],[Gestation (days)]]+0.5)/7)-0.00354*((Table1[[#This Row],[Gestation (days)]]+0.5)/7)^2)*Table1[[#This Row],[BW40_3705]],"")</f>
        <v/>
      </c>
      <c r="G1762" s="2" t="str">
        <f>IF(Table1[[#This Row],[Is Data Valid]]=TRUE,((Table1[[#This Row],[Birthweight (grams)]]/Table1[[#This Row],[BW_GA]])-1)/(Backend!$B$4/100*Table1[[#This Row],[BW40_3705]]),"")</f>
        <v/>
      </c>
      <c r="H1762" s="7" t="str">
        <f>IF(Table1[[#This Row],[Is Data Valid]]=TRUE,((Table1[[#This Row],[Birthweight (grams)]]*0.9/Table1[[#This Row],[BW_GA]])-1)/(Backend!$B$4/100*Table1[[#This Row],[BW40_3705]]),"")</f>
        <v/>
      </c>
      <c r="I1762" s="7" t="str">
        <f>IF(Table1[[#This Row],[Is Data Valid]]=TRUE,((Table1[[#This Row],[Birthweight (grams)]]*1.1/Table1[[#This Row],[BW_GA]])-1)/(Backend!$B$4/100*Table1[[#This Row],[BW40_3705]]),"")</f>
        <v/>
      </c>
      <c r="J1762" s="7" t="str">
        <f>IF(Table1[[#This Row],[Is Data Valid]]=TRUE,_xlfn.NORM.S.DIST(Table1[[#This Row],[Birthweight Z-Score]],TRUE)*100,"")</f>
        <v/>
      </c>
      <c r="K1762" s="7" t="str">
        <f>IF(Table1[[#This Row],[Is Data Valid]]=TRUE,_xlfn.NORM.S.DIST(Table1[[#This Row],[Birthweight Z-Score (BW-10%)]],TRUE)*100,"")</f>
        <v/>
      </c>
      <c r="L1762" s="7" t="str">
        <f>IF(Table1[[#This Row],[Is Data Valid]]=TRUE,_xlfn.NORM.S.DIST(Table1[[#This Row],[Birthweight Z-Score (BW+10%)]],TRUE)*100,"")</f>
        <v/>
      </c>
    </row>
    <row r="1763" spans="1:12" x14ac:dyDescent="0.35">
      <c r="A1763" s="3"/>
      <c r="B1763" s="2"/>
      <c r="C1763" s="2"/>
      <c r="D1763" s="2" t="b">
        <f>IF(AND(NOT(ISBLANK(Table1[[#This Row],[Fetal Sex (Male, Female or Unknown)]])),ISNUMBER(Table1[[#This Row],[Birthweight (grams)]]),ISNUMBER(Table1[[#This Row],[Gestation (days)]])),TRUE,FALSE)</f>
        <v>0</v>
      </c>
      <c r="E1763" s="2" t="str">
        <f>IF(Table1[[#This Row],[Is Data Valid]]=TRUE,IF(Table1[[#This Row],[Fetal Sex (Male, Female or Unknown)]]="Male",Backend!$C$6,IF(Table1[[#This Row],[Fetal Sex (Male, Female or Unknown)]]="Female",Backend!$C$7,IF(Table1[[#This Row],[Fetal Sex (Male, Female or Unknown)]]="Unknown",Backend!$C$8,"Error"))),"")</f>
        <v/>
      </c>
      <c r="F1763" s="8" t="str">
        <f>IF(Table1[[#This Row],[Is Data Valid]]=TRUE,EXP(0.578+0.332*((Table1[[#This Row],[Gestation (days)]]+0.5)/7)-0.00354*((Table1[[#This Row],[Gestation (days)]]+0.5)/7)^2)*Table1[[#This Row],[BW40_3705]],"")</f>
        <v/>
      </c>
      <c r="G1763" s="2" t="str">
        <f>IF(Table1[[#This Row],[Is Data Valid]]=TRUE,((Table1[[#This Row],[Birthweight (grams)]]/Table1[[#This Row],[BW_GA]])-1)/(Backend!$B$4/100*Table1[[#This Row],[BW40_3705]]),"")</f>
        <v/>
      </c>
      <c r="H1763" s="7" t="str">
        <f>IF(Table1[[#This Row],[Is Data Valid]]=TRUE,((Table1[[#This Row],[Birthweight (grams)]]*0.9/Table1[[#This Row],[BW_GA]])-1)/(Backend!$B$4/100*Table1[[#This Row],[BW40_3705]]),"")</f>
        <v/>
      </c>
      <c r="I1763" s="7" t="str">
        <f>IF(Table1[[#This Row],[Is Data Valid]]=TRUE,((Table1[[#This Row],[Birthweight (grams)]]*1.1/Table1[[#This Row],[BW_GA]])-1)/(Backend!$B$4/100*Table1[[#This Row],[BW40_3705]]),"")</f>
        <v/>
      </c>
      <c r="J1763" s="7" t="str">
        <f>IF(Table1[[#This Row],[Is Data Valid]]=TRUE,_xlfn.NORM.S.DIST(Table1[[#This Row],[Birthweight Z-Score]],TRUE)*100,"")</f>
        <v/>
      </c>
      <c r="K1763" s="7" t="str">
        <f>IF(Table1[[#This Row],[Is Data Valid]]=TRUE,_xlfn.NORM.S.DIST(Table1[[#This Row],[Birthweight Z-Score (BW-10%)]],TRUE)*100,"")</f>
        <v/>
      </c>
      <c r="L1763" s="7" t="str">
        <f>IF(Table1[[#This Row],[Is Data Valid]]=TRUE,_xlfn.NORM.S.DIST(Table1[[#This Row],[Birthweight Z-Score (BW+10%)]],TRUE)*100,"")</f>
        <v/>
      </c>
    </row>
    <row r="1764" spans="1:12" x14ac:dyDescent="0.35">
      <c r="A1764" s="3"/>
      <c r="B1764" s="2"/>
      <c r="C1764" s="2"/>
      <c r="D1764" s="2" t="b">
        <f>IF(AND(NOT(ISBLANK(Table1[[#This Row],[Fetal Sex (Male, Female or Unknown)]])),ISNUMBER(Table1[[#This Row],[Birthweight (grams)]]),ISNUMBER(Table1[[#This Row],[Gestation (days)]])),TRUE,FALSE)</f>
        <v>0</v>
      </c>
      <c r="E1764" s="2" t="str">
        <f>IF(Table1[[#This Row],[Is Data Valid]]=TRUE,IF(Table1[[#This Row],[Fetal Sex (Male, Female or Unknown)]]="Male",Backend!$C$6,IF(Table1[[#This Row],[Fetal Sex (Male, Female or Unknown)]]="Female",Backend!$C$7,IF(Table1[[#This Row],[Fetal Sex (Male, Female or Unknown)]]="Unknown",Backend!$C$8,"Error"))),"")</f>
        <v/>
      </c>
      <c r="F1764" s="8" t="str">
        <f>IF(Table1[[#This Row],[Is Data Valid]]=TRUE,EXP(0.578+0.332*((Table1[[#This Row],[Gestation (days)]]+0.5)/7)-0.00354*((Table1[[#This Row],[Gestation (days)]]+0.5)/7)^2)*Table1[[#This Row],[BW40_3705]],"")</f>
        <v/>
      </c>
      <c r="G1764" s="2" t="str">
        <f>IF(Table1[[#This Row],[Is Data Valid]]=TRUE,((Table1[[#This Row],[Birthweight (grams)]]/Table1[[#This Row],[BW_GA]])-1)/(Backend!$B$4/100*Table1[[#This Row],[BW40_3705]]),"")</f>
        <v/>
      </c>
      <c r="H1764" s="7" t="str">
        <f>IF(Table1[[#This Row],[Is Data Valid]]=TRUE,((Table1[[#This Row],[Birthweight (grams)]]*0.9/Table1[[#This Row],[BW_GA]])-1)/(Backend!$B$4/100*Table1[[#This Row],[BW40_3705]]),"")</f>
        <v/>
      </c>
      <c r="I1764" s="7" t="str">
        <f>IF(Table1[[#This Row],[Is Data Valid]]=TRUE,((Table1[[#This Row],[Birthweight (grams)]]*1.1/Table1[[#This Row],[BW_GA]])-1)/(Backend!$B$4/100*Table1[[#This Row],[BW40_3705]]),"")</f>
        <v/>
      </c>
      <c r="J1764" s="7" t="str">
        <f>IF(Table1[[#This Row],[Is Data Valid]]=TRUE,_xlfn.NORM.S.DIST(Table1[[#This Row],[Birthweight Z-Score]],TRUE)*100,"")</f>
        <v/>
      </c>
      <c r="K1764" s="7" t="str">
        <f>IF(Table1[[#This Row],[Is Data Valid]]=TRUE,_xlfn.NORM.S.DIST(Table1[[#This Row],[Birthweight Z-Score (BW-10%)]],TRUE)*100,"")</f>
        <v/>
      </c>
      <c r="L1764" s="7" t="str">
        <f>IF(Table1[[#This Row],[Is Data Valid]]=TRUE,_xlfn.NORM.S.DIST(Table1[[#This Row],[Birthweight Z-Score (BW+10%)]],TRUE)*100,"")</f>
        <v/>
      </c>
    </row>
    <row r="1765" spans="1:12" x14ac:dyDescent="0.35">
      <c r="A1765" s="3"/>
      <c r="B1765" s="2"/>
      <c r="C1765" s="2"/>
      <c r="D1765" s="2" t="b">
        <f>IF(AND(NOT(ISBLANK(Table1[[#This Row],[Fetal Sex (Male, Female or Unknown)]])),ISNUMBER(Table1[[#This Row],[Birthweight (grams)]]),ISNUMBER(Table1[[#This Row],[Gestation (days)]])),TRUE,FALSE)</f>
        <v>0</v>
      </c>
      <c r="E1765" s="2" t="str">
        <f>IF(Table1[[#This Row],[Is Data Valid]]=TRUE,IF(Table1[[#This Row],[Fetal Sex (Male, Female or Unknown)]]="Male",Backend!$C$6,IF(Table1[[#This Row],[Fetal Sex (Male, Female or Unknown)]]="Female",Backend!$C$7,IF(Table1[[#This Row],[Fetal Sex (Male, Female or Unknown)]]="Unknown",Backend!$C$8,"Error"))),"")</f>
        <v/>
      </c>
      <c r="F1765" s="8" t="str">
        <f>IF(Table1[[#This Row],[Is Data Valid]]=TRUE,EXP(0.578+0.332*((Table1[[#This Row],[Gestation (days)]]+0.5)/7)-0.00354*((Table1[[#This Row],[Gestation (days)]]+0.5)/7)^2)*Table1[[#This Row],[BW40_3705]],"")</f>
        <v/>
      </c>
      <c r="G1765" s="2" t="str">
        <f>IF(Table1[[#This Row],[Is Data Valid]]=TRUE,((Table1[[#This Row],[Birthweight (grams)]]/Table1[[#This Row],[BW_GA]])-1)/(Backend!$B$4/100*Table1[[#This Row],[BW40_3705]]),"")</f>
        <v/>
      </c>
      <c r="H1765" s="7" t="str">
        <f>IF(Table1[[#This Row],[Is Data Valid]]=TRUE,((Table1[[#This Row],[Birthweight (grams)]]*0.9/Table1[[#This Row],[BW_GA]])-1)/(Backend!$B$4/100*Table1[[#This Row],[BW40_3705]]),"")</f>
        <v/>
      </c>
      <c r="I1765" s="7" t="str">
        <f>IF(Table1[[#This Row],[Is Data Valid]]=TRUE,((Table1[[#This Row],[Birthweight (grams)]]*1.1/Table1[[#This Row],[BW_GA]])-1)/(Backend!$B$4/100*Table1[[#This Row],[BW40_3705]]),"")</f>
        <v/>
      </c>
      <c r="J1765" s="7" t="str">
        <f>IF(Table1[[#This Row],[Is Data Valid]]=TRUE,_xlfn.NORM.S.DIST(Table1[[#This Row],[Birthweight Z-Score]],TRUE)*100,"")</f>
        <v/>
      </c>
      <c r="K1765" s="7" t="str">
        <f>IF(Table1[[#This Row],[Is Data Valid]]=TRUE,_xlfn.NORM.S.DIST(Table1[[#This Row],[Birthweight Z-Score (BW-10%)]],TRUE)*100,"")</f>
        <v/>
      </c>
      <c r="L1765" s="7" t="str">
        <f>IF(Table1[[#This Row],[Is Data Valid]]=TRUE,_xlfn.NORM.S.DIST(Table1[[#This Row],[Birthweight Z-Score (BW+10%)]],TRUE)*100,"")</f>
        <v/>
      </c>
    </row>
    <row r="1766" spans="1:12" x14ac:dyDescent="0.35">
      <c r="A1766" s="3"/>
      <c r="B1766" s="2"/>
      <c r="C1766" s="2"/>
      <c r="D1766" s="2" t="b">
        <f>IF(AND(NOT(ISBLANK(Table1[[#This Row],[Fetal Sex (Male, Female or Unknown)]])),ISNUMBER(Table1[[#This Row],[Birthweight (grams)]]),ISNUMBER(Table1[[#This Row],[Gestation (days)]])),TRUE,FALSE)</f>
        <v>0</v>
      </c>
      <c r="E1766" s="2" t="str">
        <f>IF(Table1[[#This Row],[Is Data Valid]]=TRUE,IF(Table1[[#This Row],[Fetal Sex (Male, Female or Unknown)]]="Male",Backend!$C$6,IF(Table1[[#This Row],[Fetal Sex (Male, Female or Unknown)]]="Female",Backend!$C$7,IF(Table1[[#This Row],[Fetal Sex (Male, Female or Unknown)]]="Unknown",Backend!$C$8,"Error"))),"")</f>
        <v/>
      </c>
      <c r="F1766" s="8" t="str">
        <f>IF(Table1[[#This Row],[Is Data Valid]]=TRUE,EXP(0.578+0.332*((Table1[[#This Row],[Gestation (days)]]+0.5)/7)-0.00354*((Table1[[#This Row],[Gestation (days)]]+0.5)/7)^2)*Table1[[#This Row],[BW40_3705]],"")</f>
        <v/>
      </c>
      <c r="G1766" s="2" t="str">
        <f>IF(Table1[[#This Row],[Is Data Valid]]=TRUE,((Table1[[#This Row],[Birthweight (grams)]]/Table1[[#This Row],[BW_GA]])-1)/(Backend!$B$4/100*Table1[[#This Row],[BW40_3705]]),"")</f>
        <v/>
      </c>
      <c r="H1766" s="7" t="str">
        <f>IF(Table1[[#This Row],[Is Data Valid]]=TRUE,((Table1[[#This Row],[Birthweight (grams)]]*0.9/Table1[[#This Row],[BW_GA]])-1)/(Backend!$B$4/100*Table1[[#This Row],[BW40_3705]]),"")</f>
        <v/>
      </c>
      <c r="I1766" s="7" t="str">
        <f>IF(Table1[[#This Row],[Is Data Valid]]=TRUE,((Table1[[#This Row],[Birthweight (grams)]]*1.1/Table1[[#This Row],[BW_GA]])-1)/(Backend!$B$4/100*Table1[[#This Row],[BW40_3705]]),"")</f>
        <v/>
      </c>
      <c r="J1766" s="7" t="str">
        <f>IF(Table1[[#This Row],[Is Data Valid]]=TRUE,_xlfn.NORM.S.DIST(Table1[[#This Row],[Birthweight Z-Score]],TRUE)*100,"")</f>
        <v/>
      </c>
      <c r="K1766" s="7" t="str">
        <f>IF(Table1[[#This Row],[Is Data Valid]]=TRUE,_xlfn.NORM.S.DIST(Table1[[#This Row],[Birthweight Z-Score (BW-10%)]],TRUE)*100,"")</f>
        <v/>
      </c>
      <c r="L1766" s="7" t="str">
        <f>IF(Table1[[#This Row],[Is Data Valid]]=TRUE,_xlfn.NORM.S.DIST(Table1[[#This Row],[Birthweight Z-Score (BW+10%)]],TRUE)*100,"")</f>
        <v/>
      </c>
    </row>
    <row r="1767" spans="1:12" x14ac:dyDescent="0.35">
      <c r="A1767" s="3"/>
      <c r="B1767" s="2"/>
      <c r="C1767" s="2"/>
      <c r="D1767" s="2" t="b">
        <f>IF(AND(NOT(ISBLANK(Table1[[#This Row],[Fetal Sex (Male, Female or Unknown)]])),ISNUMBER(Table1[[#This Row],[Birthweight (grams)]]),ISNUMBER(Table1[[#This Row],[Gestation (days)]])),TRUE,FALSE)</f>
        <v>0</v>
      </c>
      <c r="E1767" s="2" t="str">
        <f>IF(Table1[[#This Row],[Is Data Valid]]=TRUE,IF(Table1[[#This Row],[Fetal Sex (Male, Female or Unknown)]]="Male",Backend!$C$6,IF(Table1[[#This Row],[Fetal Sex (Male, Female or Unknown)]]="Female",Backend!$C$7,IF(Table1[[#This Row],[Fetal Sex (Male, Female or Unknown)]]="Unknown",Backend!$C$8,"Error"))),"")</f>
        <v/>
      </c>
      <c r="F1767" s="8" t="str">
        <f>IF(Table1[[#This Row],[Is Data Valid]]=TRUE,EXP(0.578+0.332*((Table1[[#This Row],[Gestation (days)]]+0.5)/7)-0.00354*((Table1[[#This Row],[Gestation (days)]]+0.5)/7)^2)*Table1[[#This Row],[BW40_3705]],"")</f>
        <v/>
      </c>
      <c r="G1767" s="2" t="str">
        <f>IF(Table1[[#This Row],[Is Data Valid]]=TRUE,((Table1[[#This Row],[Birthweight (grams)]]/Table1[[#This Row],[BW_GA]])-1)/(Backend!$B$4/100*Table1[[#This Row],[BW40_3705]]),"")</f>
        <v/>
      </c>
      <c r="H1767" s="7" t="str">
        <f>IF(Table1[[#This Row],[Is Data Valid]]=TRUE,((Table1[[#This Row],[Birthweight (grams)]]*0.9/Table1[[#This Row],[BW_GA]])-1)/(Backend!$B$4/100*Table1[[#This Row],[BW40_3705]]),"")</f>
        <v/>
      </c>
      <c r="I1767" s="7" t="str">
        <f>IF(Table1[[#This Row],[Is Data Valid]]=TRUE,((Table1[[#This Row],[Birthweight (grams)]]*1.1/Table1[[#This Row],[BW_GA]])-1)/(Backend!$B$4/100*Table1[[#This Row],[BW40_3705]]),"")</f>
        <v/>
      </c>
      <c r="J1767" s="7" t="str">
        <f>IF(Table1[[#This Row],[Is Data Valid]]=TRUE,_xlfn.NORM.S.DIST(Table1[[#This Row],[Birthweight Z-Score]],TRUE)*100,"")</f>
        <v/>
      </c>
      <c r="K1767" s="7" t="str">
        <f>IF(Table1[[#This Row],[Is Data Valid]]=TRUE,_xlfn.NORM.S.DIST(Table1[[#This Row],[Birthweight Z-Score (BW-10%)]],TRUE)*100,"")</f>
        <v/>
      </c>
      <c r="L1767" s="7" t="str">
        <f>IF(Table1[[#This Row],[Is Data Valid]]=TRUE,_xlfn.NORM.S.DIST(Table1[[#This Row],[Birthweight Z-Score (BW+10%)]],TRUE)*100,"")</f>
        <v/>
      </c>
    </row>
    <row r="1768" spans="1:12" x14ac:dyDescent="0.35">
      <c r="A1768" s="3"/>
      <c r="B1768" s="2"/>
      <c r="C1768" s="2"/>
      <c r="D1768" s="2" t="b">
        <f>IF(AND(NOT(ISBLANK(Table1[[#This Row],[Fetal Sex (Male, Female or Unknown)]])),ISNUMBER(Table1[[#This Row],[Birthweight (grams)]]),ISNUMBER(Table1[[#This Row],[Gestation (days)]])),TRUE,FALSE)</f>
        <v>0</v>
      </c>
      <c r="E1768" s="2" t="str">
        <f>IF(Table1[[#This Row],[Is Data Valid]]=TRUE,IF(Table1[[#This Row],[Fetal Sex (Male, Female or Unknown)]]="Male",Backend!$C$6,IF(Table1[[#This Row],[Fetal Sex (Male, Female or Unknown)]]="Female",Backend!$C$7,IF(Table1[[#This Row],[Fetal Sex (Male, Female or Unknown)]]="Unknown",Backend!$C$8,"Error"))),"")</f>
        <v/>
      </c>
      <c r="F1768" s="8" t="str">
        <f>IF(Table1[[#This Row],[Is Data Valid]]=TRUE,EXP(0.578+0.332*((Table1[[#This Row],[Gestation (days)]]+0.5)/7)-0.00354*((Table1[[#This Row],[Gestation (days)]]+0.5)/7)^2)*Table1[[#This Row],[BW40_3705]],"")</f>
        <v/>
      </c>
      <c r="G1768" s="2" t="str">
        <f>IF(Table1[[#This Row],[Is Data Valid]]=TRUE,((Table1[[#This Row],[Birthweight (grams)]]/Table1[[#This Row],[BW_GA]])-1)/(Backend!$B$4/100*Table1[[#This Row],[BW40_3705]]),"")</f>
        <v/>
      </c>
      <c r="H1768" s="7" t="str">
        <f>IF(Table1[[#This Row],[Is Data Valid]]=TRUE,((Table1[[#This Row],[Birthweight (grams)]]*0.9/Table1[[#This Row],[BW_GA]])-1)/(Backend!$B$4/100*Table1[[#This Row],[BW40_3705]]),"")</f>
        <v/>
      </c>
      <c r="I1768" s="7" t="str">
        <f>IF(Table1[[#This Row],[Is Data Valid]]=TRUE,((Table1[[#This Row],[Birthweight (grams)]]*1.1/Table1[[#This Row],[BW_GA]])-1)/(Backend!$B$4/100*Table1[[#This Row],[BW40_3705]]),"")</f>
        <v/>
      </c>
      <c r="J1768" s="7" t="str">
        <f>IF(Table1[[#This Row],[Is Data Valid]]=TRUE,_xlfn.NORM.S.DIST(Table1[[#This Row],[Birthweight Z-Score]],TRUE)*100,"")</f>
        <v/>
      </c>
      <c r="K1768" s="7" t="str">
        <f>IF(Table1[[#This Row],[Is Data Valid]]=TRUE,_xlfn.NORM.S.DIST(Table1[[#This Row],[Birthweight Z-Score (BW-10%)]],TRUE)*100,"")</f>
        <v/>
      </c>
      <c r="L1768" s="7" t="str">
        <f>IF(Table1[[#This Row],[Is Data Valid]]=TRUE,_xlfn.NORM.S.DIST(Table1[[#This Row],[Birthweight Z-Score (BW+10%)]],TRUE)*100,"")</f>
        <v/>
      </c>
    </row>
    <row r="1769" spans="1:12" x14ac:dyDescent="0.35">
      <c r="A1769" s="3"/>
      <c r="B1769" s="2"/>
      <c r="C1769" s="2"/>
      <c r="D1769" s="2" t="b">
        <f>IF(AND(NOT(ISBLANK(Table1[[#This Row],[Fetal Sex (Male, Female or Unknown)]])),ISNUMBER(Table1[[#This Row],[Birthweight (grams)]]),ISNUMBER(Table1[[#This Row],[Gestation (days)]])),TRUE,FALSE)</f>
        <v>0</v>
      </c>
      <c r="E1769" s="2" t="str">
        <f>IF(Table1[[#This Row],[Is Data Valid]]=TRUE,IF(Table1[[#This Row],[Fetal Sex (Male, Female or Unknown)]]="Male",Backend!$C$6,IF(Table1[[#This Row],[Fetal Sex (Male, Female or Unknown)]]="Female",Backend!$C$7,IF(Table1[[#This Row],[Fetal Sex (Male, Female or Unknown)]]="Unknown",Backend!$C$8,"Error"))),"")</f>
        <v/>
      </c>
      <c r="F1769" s="8" t="str">
        <f>IF(Table1[[#This Row],[Is Data Valid]]=TRUE,EXP(0.578+0.332*((Table1[[#This Row],[Gestation (days)]]+0.5)/7)-0.00354*((Table1[[#This Row],[Gestation (days)]]+0.5)/7)^2)*Table1[[#This Row],[BW40_3705]],"")</f>
        <v/>
      </c>
      <c r="G1769" s="2" t="str">
        <f>IF(Table1[[#This Row],[Is Data Valid]]=TRUE,((Table1[[#This Row],[Birthweight (grams)]]/Table1[[#This Row],[BW_GA]])-1)/(Backend!$B$4/100*Table1[[#This Row],[BW40_3705]]),"")</f>
        <v/>
      </c>
      <c r="H1769" s="7" t="str">
        <f>IF(Table1[[#This Row],[Is Data Valid]]=TRUE,((Table1[[#This Row],[Birthweight (grams)]]*0.9/Table1[[#This Row],[BW_GA]])-1)/(Backend!$B$4/100*Table1[[#This Row],[BW40_3705]]),"")</f>
        <v/>
      </c>
      <c r="I1769" s="7" t="str">
        <f>IF(Table1[[#This Row],[Is Data Valid]]=TRUE,((Table1[[#This Row],[Birthweight (grams)]]*1.1/Table1[[#This Row],[BW_GA]])-1)/(Backend!$B$4/100*Table1[[#This Row],[BW40_3705]]),"")</f>
        <v/>
      </c>
      <c r="J1769" s="7" t="str">
        <f>IF(Table1[[#This Row],[Is Data Valid]]=TRUE,_xlfn.NORM.S.DIST(Table1[[#This Row],[Birthweight Z-Score]],TRUE)*100,"")</f>
        <v/>
      </c>
      <c r="K1769" s="7" t="str">
        <f>IF(Table1[[#This Row],[Is Data Valid]]=TRUE,_xlfn.NORM.S.DIST(Table1[[#This Row],[Birthweight Z-Score (BW-10%)]],TRUE)*100,"")</f>
        <v/>
      </c>
      <c r="L1769" s="7" t="str">
        <f>IF(Table1[[#This Row],[Is Data Valid]]=TRUE,_xlfn.NORM.S.DIST(Table1[[#This Row],[Birthweight Z-Score (BW+10%)]],TRUE)*100,"")</f>
        <v/>
      </c>
    </row>
    <row r="1770" spans="1:12" x14ac:dyDescent="0.35">
      <c r="A1770" s="3"/>
      <c r="B1770" s="2"/>
      <c r="C1770" s="2"/>
      <c r="D1770" s="2" t="b">
        <f>IF(AND(NOT(ISBLANK(Table1[[#This Row],[Fetal Sex (Male, Female or Unknown)]])),ISNUMBER(Table1[[#This Row],[Birthweight (grams)]]),ISNUMBER(Table1[[#This Row],[Gestation (days)]])),TRUE,FALSE)</f>
        <v>0</v>
      </c>
      <c r="E1770" s="2" t="str">
        <f>IF(Table1[[#This Row],[Is Data Valid]]=TRUE,IF(Table1[[#This Row],[Fetal Sex (Male, Female or Unknown)]]="Male",Backend!$C$6,IF(Table1[[#This Row],[Fetal Sex (Male, Female or Unknown)]]="Female",Backend!$C$7,IF(Table1[[#This Row],[Fetal Sex (Male, Female or Unknown)]]="Unknown",Backend!$C$8,"Error"))),"")</f>
        <v/>
      </c>
      <c r="F1770" s="8" t="str">
        <f>IF(Table1[[#This Row],[Is Data Valid]]=TRUE,EXP(0.578+0.332*((Table1[[#This Row],[Gestation (days)]]+0.5)/7)-0.00354*((Table1[[#This Row],[Gestation (days)]]+0.5)/7)^2)*Table1[[#This Row],[BW40_3705]],"")</f>
        <v/>
      </c>
      <c r="G1770" s="2" t="str">
        <f>IF(Table1[[#This Row],[Is Data Valid]]=TRUE,((Table1[[#This Row],[Birthweight (grams)]]/Table1[[#This Row],[BW_GA]])-1)/(Backend!$B$4/100*Table1[[#This Row],[BW40_3705]]),"")</f>
        <v/>
      </c>
      <c r="H1770" s="7" t="str">
        <f>IF(Table1[[#This Row],[Is Data Valid]]=TRUE,((Table1[[#This Row],[Birthweight (grams)]]*0.9/Table1[[#This Row],[BW_GA]])-1)/(Backend!$B$4/100*Table1[[#This Row],[BW40_3705]]),"")</f>
        <v/>
      </c>
      <c r="I1770" s="7" t="str">
        <f>IF(Table1[[#This Row],[Is Data Valid]]=TRUE,((Table1[[#This Row],[Birthweight (grams)]]*1.1/Table1[[#This Row],[BW_GA]])-1)/(Backend!$B$4/100*Table1[[#This Row],[BW40_3705]]),"")</f>
        <v/>
      </c>
      <c r="J1770" s="7" t="str">
        <f>IF(Table1[[#This Row],[Is Data Valid]]=TRUE,_xlfn.NORM.S.DIST(Table1[[#This Row],[Birthweight Z-Score]],TRUE)*100,"")</f>
        <v/>
      </c>
      <c r="K1770" s="7" t="str">
        <f>IF(Table1[[#This Row],[Is Data Valid]]=TRUE,_xlfn.NORM.S.DIST(Table1[[#This Row],[Birthweight Z-Score (BW-10%)]],TRUE)*100,"")</f>
        <v/>
      </c>
      <c r="L1770" s="7" t="str">
        <f>IF(Table1[[#This Row],[Is Data Valid]]=TRUE,_xlfn.NORM.S.DIST(Table1[[#This Row],[Birthweight Z-Score (BW+10%)]],TRUE)*100,"")</f>
        <v/>
      </c>
    </row>
    <row r="1771" spans="1:12" x14ac:dyDescent="0.35">
      <c r="A1771" s="3"/>
      <c r="B1771" s="2"/>
      <c r="C1771" s="2"/>
      <c r="D1771" s="2" t="b">
        <f>IF(AND(NOT(ISBLANK(Table1[[#This Row],[Fetal Sex (Male, Female or Unknown)]])),ISNUMBER(Table1[[#This Row],[Birthweight (grams)]]),ISNUMBER(Table1[[#This Row],[Gestation (days)]])),TRUE,FALSE)</f>
        <v>0</v>
      </c>
      <c r="E1771" s="2" t="str">
        <f>IF(Table1[[#This Row],[Is Data Valid]]=TRUE,IF(Table1[[#This Row],[Fetal Sex (Male, Female or Unknown)]]="Male",Backend!$C$6,IF(Table1[[#This Row],[Fetal Sex (Male, Female or Unknown)]]="Female",Backend!$C$7,IF(Table1[[#This Row],[Fetal Sex (Male, Female or Unknown)]]="Unknown",Backend!$C$8,"Error"))),"")</f>
        <v/>
      </c>
      <c r="F1771" s="8" t="str">
        <f>IF(Table1[[#This Row],[Is Data Valid]]=TRUE,EXP(0.578+0.332*((Table1[[#This Row],[Gestation (days)]]+0.5)/7)-0.00354*((Table1[[#This Row],[Gestation (days)]]+0.5)/7)^2)*Table1[[#This Row],[BW40_3705]],"")</f>
        <v/>
      </c>
      <c r="G1771" s="2" t="str">
        <f>IF(Table1[[#This Row],[Is Data Valid]]=TRUE,((Table1[[#This Row],[Birthweight (grams)]]/Table1[[#This Row],[BW_GA]])-1)/(Backend!$B$4/100*Table1[[#This Row],[BW40_3705]]),"")</f>
        <v/>
      </c>
      <c r="H1771" s="7" t="str">
        <f>IF(Table1[[#This Row],[Is Data Valid]]=TRUE,((Table1[[#This Row],[Birthweight (grams)]]*0.9/Table1[[#This Row],[BW_GA]])-1)/(Backend!$B$4/100*Table1[[#This Row],[BW40_3705]]),"")</f>
        <v/>
      </c>
      <c r="I1771" s="7" t="str">
        <f>IF(Table1[[#This Row],[Is Data Valid]]=TRUE,((Table1[[#This Row],[Birthweight (grams)]]*1.1/Table1[[#This Row],[BW_GA]])-1)/(Backend!$B$4/100*Table1[[#This Row],[BW40_3705]]),"")</f>
        <v/>
      </c>
      <c r="J1771" s="7" t="str">
        <f>IF(Table1[[#This Row],[Is Data Valid]]=TRUE,_xlfn.NORM.S.DIST(Table1[[#This Row],[Birthweight Z-Score]],TRUE)*100,"")</f>
        <v/>
      </c>
      <c r="K1771" s="7" t="str">
        <f>IF(Table1[[#This Row],[Is Data Valid]]=TRUE,_xlfn.NORM.S.DIST(Table1[[#This Row],[Birthweight Z-Score (BW-10%)]],TRUE)*100,"")</f>
        <v/>
      </c>
      <c r="L1771" s="7" t="str">
        <f>IF(Table1[[#This Row],[Is Data Valid]]=TRUE,_xlfn.NORM.S.DIST(Table1[[#This Row],[Birthweight Z-Score (BW+10%)]],TRUE)*100,"")</f>
        <v/>
      </c>
    </row>
    <row r="1772" spans="1:12" x14ac:dyDescent="0.35">
      <c r="A1772" s="3"/>
      <c r="B1772" s="2"/>
      <c r="C1772" s="2"/>
      <c r="D1772" s="2" t="b">
        <f>IF(AND(NOT(ISBLANK(Table1[[#This Row],[Fetal Sex (Male, Female or Unknown)]])),ISNUMBER(Table1[[#This Row],[Birthweight (grams)]]),ISNUMBER(Table1[[#This Row],[Gestation (days)]])),TRUE,FALSE)</f>
        <v>0</v>
      </c>
      <c r="E1772" s="2" t="str">
        <f>IF(Table1[[#This Row],[Is Data Valid]]=TRUE,IF(Table1[[#This Row],[Fetal Sex (Male, Female or Unknown)]]="Male",Backend!$C$6,IF(Table1[[#This Row],[Fetal Sex (Male, Female or Unknown)]]="Female",Backend!$C$7,IF(Table1[[#This Row],[Fetal Sex (Male, Female or Unknown)]]="Unknown",Backend!$C$8,"Error"))),"")</f>
        <v/>
      </c>
      <c r="F1772" s="8" t="str">
        <f>IF(Table1[[#This Row],[Is Data Valid]]=TRUE,EXP(0.578+0.332*((Table1[[#This Row],[Gestation (days)]]+0.5)/7)-0.00354*((Table1[[#This Row],[Gestation (days)]]+0.5)/7)^2)*Table1[[#This Row],[BW40_3705]],"")</f>
        <v/>
      </c>
      <c r="G1772" s="2" t="str">
        <f>IF(Table1[[#This Row],[Is Data Valid]]=TRUE,((Table1[[#This Row],[Birthweight (grams)]]/Table1[[#This Row],[BW_GA]])-1)/(Backend!$B$4/100*Table1[[#This Row],[BW40_3705]]),"")</f>
        <v/>
      </c>
      <c r="H1772" s="7" t="str">
        <f>IF(Table1[[#This Row],[Is Data Valid]]=TRUE,((Table1[[#This Row],[Birthweight (grams)]]*0.9/Table1[[#This Row],[BW_GA]])-1)/(Backend!$B$4/100*Table1[[#This Row],[BW40_3705]]),"")</f>
        <v/>
      </c>
      <c r="I1772" s="7" t="str">
        <f>IF(Table1[[#This Row],[Is Data Valid]]=TRUE,((Table1[[#This Row],[Birthweight (grams)]]*1.1/Table1[[#This Row],[BW_GA]])-1)/(Backend!$B$4/100*Table1[[#This Row],[BW40_3705]]),"")</f>
        <v/>
      </c>
      <c r="J1772" s="7" t="str">
        <f>IF(Table1[[#This Row],[Is Data Valid]]=TRUE,_xlfn.NORM.S.DIST(Table1[[#This Row],[Birthweight Z-Score]],TRUE)*100,"")</f>
        <v/>
      </c>
      <c r="K1772" s="7" t="str">
        <f>IF(Table1[[#This Row],[Is Data Valid]]=TRUE,_xlfn.NORM.S.DIST(Table1[[#This Row],[Birthweight Z-Score (BW-10%)]],TRUE)*100,"")</f>
        <v/>
      </c>
      <c r="L1772" s="7" t="str">
        <f>IF(Table1[[#This Row],[Is Data Valid]]=TRUE,_xlfn.NORM.S.DIST(Table1[[#This Row],[Birthweight Z-Score (BW+10%)]],TRUE)*100,"")</f>
        <v/>
      </c>
    </row>
    <row r="1773" spans="1:12" x14ac:dyDescent="0.35">
      <c r="A1773" s="3"/>
      <c r="B1773" s="2"/>
      <c r="C1773" s="2"/>
      <c r="D1773" s="2" t="b">
        <f>IF(AND(NOT(ISBLANK(Table1[[#This Row],[Fetal Sex (Male, Female or Unknown)]])),ISNUMBER(Table1[[#This Row],[Birthweight (grams)]]),ISNUMBER(Table1[[#This Row],[Gestation (days)]])),TRUE,FALSE)</f>
        <v>0</v>
      </c>
      <c r="E1773" s="2" t="str">
        <f>IF(Table1[[#This Row],[Is Data Valid]]=TRUE,IF(Table1[[#This Row],[Fetal Sex (Male, Female or Unknown)]]="Male",Backend!$C$6,IF(Table1[[#This Row],[Fetal Sex (Male, Female or Unknown)]]="Female",Backend!$C$7,IF(Table1[[#This Row],[Fetal Sex (Male, Female or Unknown)]]="Unknown",Backend!$C$8,"Error"))),"")</f>
        <v/>
      </c>
      <c r="F1773" s="8" t="str">
        <f>IF(Table1[[#This Row],[Is Data Valid]]=TRUE,EXP(0.578+0.332*((Table1[[#This Row],[Gestation (days)]]+0.5)/7)-0.00354*((Table1[[#This Row],[Gestation (days)]]+0.5)/7)^2)*Table1[[#This Row],[BW40_3705]],"")</f>
        <v/>
      </c>
      <c r="G1773" s="2" t="str">
        <f>IF(Table1[[#This Row],[Is Data Valid]]=TRUE,((Table1[[#This Row],[Birthweight (grams)]]/Table1[[#This Row],[BW_GA]])-1)/(Backend!$B$4/100*Table1[[#This Row],[BW40_3705]]),"")</f>
        <v/>
      </c>
      <c r="H1773" s="7" t="str">
        <f>IF(Table1[[#This Row],[Is Data Valid]]=TRUE,((Table1[[#This Row],[Birthweight (grams)]]*0.9/Table1[[#This Row],[BW_GA]])-1)/(Backend!$B$4/100*Table1[[#This Row],[BW40_3705]]),"")</f>
        <v/>
      </c>
      <c r="I1773" s="7" t="str">
        <f>IF(Table1[[#This Row],[Is Data Valid]]=TRUE,((Table1[[#This Row],[Birthweight (grams)]]*1.1/Table1[[#This Row],[BW_GA]])-1)/(Backend!$B$4/100*Table1[[#This Row],[BW40_3705]]),"")</f>
        <v/>
      </c>
      <c r="J1773" s="7" t="str">
        <f>IF(Table1[[#This Row],[Is Data Valid]]=TRUE,_xlfn.NORM.S.DIST(Table1[[#This Row],[Birthweight Z-Score]],TRUE)*100,"")</f>
        <v/>
      </c>
      <c r="K1773" s="7" t="str">
        <f>IF(Table1[[#This Row],[Is Data Valid]]=TRUE,_xlfn.NORM.S.DIST(Table1[[#This Row],[Birthweight Z-Score (BW-10%)]],TRUE)*100,"")</f>
        <v/>
      </c>
      <c r="L1773" s="7" t="str">
        <f>IF(Table1[[#This Row],[Is Data Valid]]=TRUE,_xlfn.NORM.S.DIST(Table1[[#This Row],[Birthweight Z-Score (BW+10%)]],TRUE)*100,"")</f>
        <v/>
      </c>
    </row>
    <row r="1774" spans="1:12" x14ac:dyDescent="0.35">
      <c r="A1774" s="3"/>
      <c r="B1774" s="2"/>
      <c r="C1774" s="2"/>
      <c r="D1774" s="2" t="b">
        <f>IF(AND(NOT(ISBLANK(Table1[[#This Row],[Fetal Sex (Male, Female or Unknown)]])),ISNUMBER(Table1[[#This Row],[Birthweight (grams)]]),ISNUMBER(Table1[[#This Row],[Gestation (days)]])),TRUE,FALSE)</f>
        <v>0</v>
      </c>
      <c r="E1774" s="2" t="str">
        <f>IF(Table1[[#This Row],[Is Data Valid]]=TRUE,IF(Table1[[#This Row],[Fetal Sex (Male, Female or Unknown)]]="Male",Backend!$C$6,IF(Table1[[#This Row],[Fetal Sex (Male, Female or Unknown)]]="Female",Backend!$C$7,IF(Table1[[#This Row],[Fetal Sex (Male, Female or Unknown)]]="Unknown",Backend!$C$8,"Error"))),"")</f>
        <v/>
      </c>
      <c r="F1774" s="8" t="str">
        <f>IF(Table1[[#This Row],[Is Data Valid]]=TRUE,EXP(0.578+0.332*((Table1[[#This Row],[Gestation (days)]]+0.5)/7)-0.00354*((Table1[[#This Row],[Gestation (days)]]+0.5)/7)^2)*Table1[[#This Row],[BW40_3705]],"")</f>
        <v/>
      </c>
      <c r="G1774" s="2" t="str">
        <f>IF(Table1[[#This Row],[Is Data Valid]]=TRUE,((Table1[[#This Row],[Birthweight (grams)]]/Table1[[#This Row],[BW_GA]])-1)/(Backend!$B$4/100*Table1[[#This Row],[BW40_3705]]),"")</f>
        <v/>
      </c>
      <c r="H1774" s="7" t="str">
        <f>IF(Table1[[#This Row],[Is Data Valid]]=TRUE,((Table1[[#This Row],[Birthweight (grams)]]*0.9/Table1[[#This Row],[BW_GA]])-1)/(Backend!$B$4/100*Table1[[#This Row],[BW40_3705]]),"")</f>
        <v/>
      </c>
      <c r="I1774" s="7" t="str">
        <f>IF(Table1[[#This Row],[Is Data Valid]]=TRUE,((Table1[[#This Row],[Birthweight (grams)]]*1.1/Table1[[#This Row],[BW_GA]])-1)/(Backend!$B$4/100*Table1[[#This Row],[BW40_3705]]),"")</f>
        <v/>
      </c>
      <c r="J1774" s="7" t="str">
        <f>IF(Table1[[#This Row],[Is Data Valid]]=TRUE,_xlfn.NORM.S.DIST(Table1[[#This Row],[Birthweight Z-Score]],TRUE)*100,"")</f>
        <v/>
      </c>
      <c r="K1774" s="7" t="str">
        <f>IF(Table1[[#This Row],[Is Data Valid]]=TRUE,_xlfn.NORM.S.DIST(Table1[[#This Row],[Birthweight Z-Score (BW-10%)]],TRUE)*100,"")</f>
        <v/>
      </c>
      <c r="L1774" s="7" t="str">
        <f>IF(Table1[[#This Row],[Is Data Valid]]=TRUE,_xlfn.NORM.S.DIST(Table1[[#This Row],[Birthweight Z-Score (BW+10%)]],TRUE)*100,"")</f>
        <v/>
      </c>
    </row>
    <row r="1775" spans="1:12" x14ac:dyDescent="0.35">
      <c r="A1775" s="3"/>
      <c r="B1775" s="2"/>
      <c r="C1775" s="2"/>
      <c r="D1775" s="2" t="b">
        <f>IF(AND(NOT(ISBLANK(Table1[[#This Row],[Fetal Sex (Male, Female or Unknown)]])),ISNUMBER(Table1[[#This Row],[Birthweight (grams)]]),ISNUMBER(Table1[[#This Row],[Gestation (days)]])),TRUE,FALSE)</f>
        <v>0</v>
      </c>
      <c r="E1775" s="2" t="str">
        <f>IF(Table1[[#This Row],[Is Data Valid]]=TRUE,IF(Table1[[#This Row],[Fetal Sex (Male, Female or Unknown)]]="Male",Backend!$C$6,IF(Table1[[#This Row],[Fetal Sex (Male, Female or Unknown)]]="Female",Backend!$C$7,IF(Table1[[#This Row],[Fetal Sex (Male, Female or Unknown)]]="Unknown",Backend!$C$8,"Error"))),"")</f>
        <v/>
      </c>
      <c r="F1775" s="8" t="str">
        <f>IF(Table1[[#This Row],[Is Data Valid]]=TRUE,EXP(0.578+0.332*((Table1[[#This Row],[Gestation (days)]]+0.5)/7)-0.00354*((Table1[[#This Row],[Gestation (days)]]+0.5)/7)^2)*Table1[[#This Row],[BW40_3705]],"")</f>
        <v/>
      </c>
      <c r="G1775" s="2" t="str">
        <f>IF(Table1[[#This Row],[Is Data Valid]]=TRUE,((Table1[[#This Row],[Birthweight (grams)]]/Table1[[#This Row],[BW_GA]])-1)/(Backend!$B$4/100*Table1[[#This Row],[BW40_3705]]),"")</f>
        <v/>
      </c>
      <c r="H1775" s="7" t="str">
        <f>IF(Table1[[#This Row],[Is Data Valid]]=TRUE,((Table1[[#This Row],[Birthweight (grams)]]*0.9/Table1[[#This Row],[BW_GA]])-1)/(Backend!$B$4/100*Table1[[#This Row],[BW40_3705]]),"")</f>
        <v/>
      </c>
      <c r="I1775" s="7" t="str">
        <f>IF(Table1[[#This Row],[Is Data Valid]]=TRUE,((Table1[[#This Row],[Birthweight (grams)]]*1.1/Table1[[#This Row],[BW_GA]])-1)/(Backend!$B$4/100*Table1[[#This Row],[BW40_3705]]),"")</f>
        <v/>
      </c>
      <c r="J1775" s="7" t="str">
        <f>IF(Table1[[#This Row],[Is Data Valid]]=TRUE,_xlfn.NORM.S.DIST(Table1[[#This Row],[Birthweight Z-Score]],TRUE)*100,"")</f>
        <v/>
      </c>
      <c r="K1775" s="7" t="str">
        <f>IF(Table1[[#This Row],[Is Data Valid]]=TRUE,_xlfn.NORM.S.DIST(Table1[[#This Row],[Birthweight Z-Score (BW-10%)]],TRUE)*100,"")</f>
        <v/>
      </c>
      <c r="L1775" s="7" t="str">
        <f>IF(Table1[[#This Row],[Is Data Valid]]=TRUE,_xlfn.NORM.S.DIST(Table1[[#This Row],[Birthweight Z-Score (BW+10%)]],TRUE)*100,"")</f>
        <v/>
      </c>
    </row>
    <row r="1776" spans="1:12" x14ac:dyDescent="0.35">
      <c r="A1776" s="3"/>
      <c r="B1776" s="2"/>
      <c r="C1776" s="2"/>
      <c r="D1776" s="2" t="b">
        <f>IF(AND(NOT(ISBLANK(Table1[[#This Row],[Fetal Sex (Male, Female or Unknown)]])),ISNUMBER(Table1[[#This Row],[Birthweight (grams)]]),ISNUMBER(Table1[[#This Row],[Gestation (days)]])),TRUE,FALSE)</f>
        <v>0</v>
      </c>
      <c r="E1776" s="2" t="str">
        <f>IF(Table1[[#This Row],[Is Data Valid]]=TRUE,IF(Table1[[#This Row],[Fetal Sex (Male, Female or Unknown)]]="Male",Backend!$C$6,IF(Table1[[#This Row],[Fetal Sex (Male, Female or Unknown)]]="Female",Backend!$C$7,IF(Table1[[#This Row],[Fetal Sex (Male, Female or Unknown)]]="Unknown",Backend!$C$8,"Error"))),"")</f>
        <v/>
      </c>
      <c r="F1776" s="8" t="str">
        <f>IF(Table1[[#This Row],[Is Data Valid]]=TRUE,EXP(0.578+0.332*((Table1[[#This Row],[Gestation (days)]]+0.5)/7)-0.00354*((Table1[[#This Row],[Gestation (days)]]+0.5)/7)^2)*Table1[[#This Row],[BW40_3705]],"")</f>
        <v/>
      </c>
      <c r="G1776" s="2" t="str">
        <f>IF(Table1[[#This Row],[Is Data Valid]]=TRUE,((Table1[[#This Row],[Birthweight (grams)]]/Table1[[#This Row],[BW_GA]])-1)/(Backend!$B$4/100*Table1[[#This Row],[BW40_3705]]),"")</f>
        <v/>
      </c>
      <c r="H1776" s="7" t="str">
        <f>IF(Table1[[#This Row],[Is Data Valid]]=TRUE,((Table1[[#This Row],[Birthweight (grams)]]*0.9/Table1[[#This Row],[BW_GA]])-1)/(Backend!$B$4/100*Table1[[#This Row],[BW40_3705]]),"")</f>
        <v/>
      </c>
      <c r="I1776" s="7" t="str">
        <f>IF(Table1[[#This Row],[Is Data Valid]]=TRUE,((Table1[[#This Row],[Birthweight (grams)]]*1.1/Table1[[#This Row],[BW_GA]])-1)/(Backend!$B$4/100*Table1[[#This Row],[BW40_3705]]),"")</f>
        <v/>
      </c>
      <c r="J1776" s="7" t="str">
        <f>IF(Table1[[#This Row],[Is Data Valid]]=TRUE,_xlfn.NORM.S.DIST(Table1[[#This Row],[Birthweight Z-Score]],TRUE)*100,"")</f>
        <v/>
      </c>
      <c r="K1776" s="7" t="str">
        <f>IF(Table1[[#This Row],[Is Data Valid]]=TRUE,_xlfn.NORM.S.DIST(Table1[[#This Row],[Birthweight Z-Score (BW-10%)]],TRUE)*100,"")</f>
        <v/>
      </c>
      <c r="L1776" s="7" t="str">
        <f>IF(Table1[[#This Row],[Is Data Valid]]=TRUE,_xlfn.NORM.S.DIST(Table1[[#This Row],[Birthweight Z-Score (BW+10%)]],TRUE)*100,"")</f>
        <v/>
      </c>
    </row>
    <row r="1777" spans="1:12" x14ac:dyDescent="0.35">
      <c r="A1777" s="3"/>
      <c r="B1777" s="2"/>
      <c r="C1777" s="2"/>
      <c r="D1777" s="2" t="b">
        <f>IF(AND(NOT(ISBLANK(Table1[[#This Row],[Fetal Sex (Male, Female or Unknown)]])),ISNUMBER(Table1[[#This Row],[Birthweight (grams)]]),ISNUMBER(Table1[[#This Row],[Gestation (days)]])),TRUE,FALSE)</f>
        <v>0</v>
      </c>
      <c r="E1777" s="2" t="str">
        <f>IF(Table1[[#This Row],[Is Data Valid]]=TRUE,IF(Table1[[#This Row],[Fetal Sex (Male, Female or Unknown)]]="Male",Backend!$C$6,IF(Table1[[#This Row],[Fetal Sex (Male, Female or Unknown)]]="Female",Backend!$C$7,IF(Table1[[#This Row],[Fetal Sex (Male, Female or Unknown)]]="Unknown",Backend!$C$8,"Error"))),"")</f>
        <v/>
      </c>
      <c r="F1777" s="8" t="str">
        <f>IF(Table1[[#This Row],[Is Data Valid]]=TRUE,EXP(0.578+0.332*((Table1[[#This Row],[Gestation (days)]]+0.5)/7)-0.00354*((Table1[[#This Row],[Gestation (days)]]+0.5)/7)^2)*Table1[[#This Row],[BW40_3705]],"")</f>
        <v/>
      </c>
      <c r="G1777" s="2" t="str">
        <f>IF(Table1[[#This Row],[Is Data Valid]]=TRUE,((Table1[[#This Row],[Birthweight (grams)]]/Table1[[#This Row],[BW_GA]])-1)/(Backend!$B$4/100*Table1[[#This Row],[BW40_3705]]),"")</f>
        <v/>
      </c>
      <c r="H1777" s="7" t="str">
        <f>IF(Table1[[#This Row],[Is Data Valid]]=TRUE,((Table1[[#This Row],[Birthweight (grams)]]*0.9/Table1[[#This Row],[BW_GA]])-1)/(Backend!$B$4/100*Table1[[#This Row],[BW40_3705]]),"")</f>
        <v/>
      </c>
      <c r="I1777" s="7" t="str">
        <f>IF(Table1[[#This Row],[Is Data Valid]]=TRUE,((Table1[[#This Row],[Birthweight (grams)]]*1.1/Table1[[#This Row],[BW_GA]])-1)/(Backend!$B$4/100*Table1[[#This Row],[BW40_3705]]),"")</f>
        <v/>
      </c>
      <c r="J1777" s="7" t="str">
        <f>IF(Table1[[#This Row],[Is Data Valid]]=TRUE,_xlfn.NORM.S.DIST(Table1[[#This Row],[Birthweight Z-Score]],TRUE)*100,"")</f>
        <v/>
      </c>
      <c r="K1777" s="7" t="str">
        <f>IF(Table1[[#This Row],[Is Data Valid]]=TRUE,_xlfn.NORM.S.DIST(Table1[[#This Row],[Birthweight Z-Score (BW-10%)]],TRUE)*100,"")</f>
        <v/>
      </c>
      <c r="L1777" s="7" t="str">
        <f>IF(Table1[[#This Row],[Is Data Valid]]=TRUE,_xlfn.NORM.S.DIST(Table1[[#This Row],[Birthweight Z-Score (BW+10%)]],TRUE)*100,"")</f>
        <v/>
      </c>
    </row>
    <row r="1778" spans="1:12" x14ac:dyDescent="0.35">
      <c r="A1778" s="3"/>
      <c r="B1778" s="2"/>
      <c r="C1778" s="2"/>
      <c r="D1778" s="2" t="b">
        <f>IF(AND(NOT(ISBLANK(Table1[[#This Row],[Fetal Sex (Male, Female or Unknown)]])),ISNUMBER(Table1[[#This Row],[Birthweight (grams)]]),ISNUMBER(Table1[[#This Row],[Gestation (days)]])),TRUE,FALSE)</f>
        <v>0</v>
      </c>
      <c r="E1778" s="2" t="str">
        <f>IF(Table1[[#This Row],[Is Data Valid]]=TRUE,IF(Table1[[#This Row],[Fetal Sex (Male, Female or Unknown)]]="Male",Backend!$C$6,IF(Table1[[#This Row],[Fetal Sex (Male, Female or Unknown)]]="Female",Backend!$C$7,IF(Table1[[#This Row],[Fetal Sex (Male, Female or Unknown)]]="Unknown",Backend!$C$8,"Error"))),"")</f>
        <v/>
      </c>
      <c r="F1778" s="8" t="str">
        <f>IF(Table1[[#This Row],[Is Data Valid]]=TRUE,EXP(0.578+0.332*((Table1[[#This Row],[Gestation (days)]]+0.5)/7)-0.00354*((Table1[[#This Row],[Gestation (days)]]+0.5)/7)^2)*Table1[[#This Row],[BW40_3705]],"")</f>
        <v/>
      </c>
      <c r="G1778" s="2" t="str">
        <f>IF(Table1[[#This Row],[Is Data Valid]]=TRUE,((Table1[[#This Row],[Birthweight (grams)]]/Table1[[#This Row],[BW_GA]])-1)/(Backend!$B$4/100*Table1[[#This Row],[BW40_3705]]),"")</f>
        <v/>
      </c>
      <c r="H1778" s="7" t="str">
        <f>IF(Table1[[#This Row],[Is Data Valid]]=TRUE,((Table1[[#This Row],[Birthweight (grams)]]*0.9/Table1[[#This Row],[BW_GA]])-1)/(Backend!$B$4/100*Table1[[#This Row],[BW40_3705]]),"")</f>
        <v/>
      </c>
      <c r="I1778" s="7" t="str">
        <f>IF(Table1[[#This Row],[Is Data Valid]]=TRUE,((Table1[[#This Row],[Birthweight (grams)]]*1.1/Table1[[#This Row],[BW_GA]])-1)/(Backend!$B$4/100*Table1[[#This Row],[BW40_3705]]),"")</f>
        <v/>
      </c>
      <c r="J1778" s="7" t="str">
        <f>IF(Table1[[#This Row],[Is Data Valid]]=TRUE,_xlfn.NORM.S.DIST(Table1[[#This Row],[Birthweight Z-Score]],TRUE)*100,"")</f>
        <v/>
      </c>
      <c r="K1778" s="7" t="str">
        <f>IF(Table1[[#This Row],[Is Data Valid]]=TRUE,_xlfn.NORM.S.DIST(Table1[[#This Row],[Birthweight Z-Score (BW-10%)]],TRUE)*100,"")</f>
        <v/>
      </c>
      <c r="L1778" s="7" t="str">
        <f>IF(Table1[[#This Row],[Is Data Valid]]=TRUE,_xlfn.NORM.S.DIST(Table1[[#This Row],[Birthweight Z-Score (BW+10%)]],TRUE)*100,"")</f>
        <v/>
      </c>
    </row>
    <row r="1779" spans="1:12" x14ac:dyDescent="0.35">
      <c r="A1779" s="3"/>
      <c r="B1779" s="2"/>
      <c r="C1779" s="2"/>
      <c r="D1779" s="2" t="b">
        <f>IF(AND(NOT(ISBLANK(Table1[[#This Row],[Fetal Sex (Male, Female or Unknown)]])),ISNUMBER(Table1[[#This Row],[Birthweight (grams)]]),ISNUMBER(Table1[[#This Row],[Gestation (days)]])),TRUE,FALSE)</f>
        <v>0</v>
      </c>
      <c r="E1779" s="2" t="str">
        <f>IF(Table1[[#This Row],[Is Data Valid]]=TRUE,IF(Table1[[#This Row],[Fetal Sex (Male, Female or Unknown)]]="Male",Backend!$C$6,IF(Table1[[#This Row],[Fetal Sex (Male, Female or Unknown)]]="Female",Backend!$C$7,IF(Table1[[#This Row],[Fetal Sex (Male, Female or Unknown)]]="Unknown",Backend!$C$8,"Error"))),"")</f>
        <v/>
      </c>
      <c r="F1779" s="8" t="str">
        <f>IF(Table1[[#This Row],[Is Data Valid]]=TRUE,EXP(0.578+0.332*((Table1[[#This Row],[Gestation (days)]]+0.5)/7)-0.00354*((Table1[[#This Row],[Gestation (days)]]+0.5)/7)^2)*Table1[[#This Row],[BW40_3705]],"")</f>
        <v/>
      </c>
      <c r="G1779" s="2" t="str">
        <f>IF(Table1[[#This Row],[Is Data Valid]]=TRUE,((Table1[[#This Row],[Birthweight (grams)]]/Table1[[#This Row],[BW_GA]])-1)/(Backend!$B$4/100*Table1[[#This Row],[BW40_3705]]),"")</f>
        <v/>
      </c>
      <c r="H1779" s="7" t="str">
        <f>IF(Table1[[#This Row],[Is Data Valid]]=TRUE,((Table1[[#This Row],[Birthweight (grams)]]*0.9/Table1[[#This Row],[BW_GA]])-1)/(Backend!$B$4/100*Table1[[#This Row],[BW40_3705]]),"")</f>
        <v/>
      </c>
      <c r="I1779" s="7" t="str">
        <f>IF(Table1[[#This Row],[Is Data Valid]]=TRUE,((Table1[[#This Row],[Birthweight (grams)]]*1.1/Table1[[#This Row],[BW_GA]])-1)/(Backend!$B$4/100*Table1[[#This Row],[BW40_3705]]),"")</f>
        <v/>
      </c>
      <c r="J1779" s="7" t="str">
        <f>IF(Table1[[#This Row],[Is Data Valid]]=TRUE,_xlfn.NORM.S.DIST(Table1[[#This Row],[Birthweight Z-Score]],TRUE)*100,"")</f>
        <v/>
      </c>
      <c r="K1779" s="7" t="str">
        <f>IF(Table1[[#This Row],[Is Data Valid]]=TRUE,_xlfn.NORM.S.DIST(Table1[[#This Row],[Birthweight Z-Score (BW-10%)]],TRUE)*100,"")</f>
        <v/>
      </c>
      <c r="L1779" s="7" t="str">
        <f>IF(Table1[[#This Row],[Is Data Valid]]=TRUE,_xlfn.NORM.S.DIST(Table1[[#This Row],[Birthweight Z-Score (BW+10%)]],TRUE)*100,"")</f>
        <v/>
      </c>
    </row>
    <row r="1780" spans="1:12" x14ac:dyDescent="0.35">
      <c r="A1780" s="3"/>
      <c r="B1780" s="2"/>
      <c r="C1780" s="2"/>
      <c r="D1780" s="2" t="b">
        <f>IF(AND(NOT(ISBLANK(Table1[[#This Row],[Fetal Sex (Male, Female or Unknown)]])),ISNUMBER(Table1[[#This Row],[Birthweight (grams)]]),ISNUMBER(Table1[[#This Row],[Gestation (days)]])),TRUE,FALSE)</f>
        <v>0</v>
      </c>
      <c r="E1780" s="2" t="str">
        <f>IF(Table1[[#This Row],[Is Data Valid]]=TRUE,IF(Table1[[#This Row],[Fetal Sex (Male, Female or Unknown)]]="Male",Backend!$C$6,IF(Table1[[#This Row],[Fetal Sex (Male, Female or Unknown)]]="Female",Backend!$C$7,IF(Table1[[#This Row],[Fetal Sex (Male, Female or Unknown)]]="Unknown",Backend!$C$8,"Error"))),"")</f>
        <v/>
      </c>
      <c r="F1780" s="8" t="str">
        <f>IF(Table1[[#This Row],[Is Data Valid]]=TRUE,EXP(0.578+0.332*((Table1[[#This Row],[Gestation (days)]]+0.5)/7)-0.00354*((Table1[[#This Row],[Gestation (days)]]+0.5)/7)^2)*Table1[[#This Row],[BW40_3705]],"")</f>
        <v/>
      </c>
      <c r="G1780" s="2" t="str">
        <f>IF(Table1[[#This Row],[Is Data Valid]]=TRUE,((Table1[[#This Row],[Birthweight (grams)]]/Table1[[#This Row],[BW_GA]])-1)/(Backend!$B$4/100*Table1[[#This Row],[BW40_3705]]),"")</f>
        <v/>
      </c>
      <c r="H1780" s="7" t="str">
        <f>IF(Table1[[#This Row],[Is Data Valid]]=TRUE,((Table1[[#This Row],[Birthweight (grams)]]*0.9/Table1[[#This Row],[BW_GA]])-1)/(Backend!$B$4/100*Table1[[#This Row],[BW40_3705]]),"")</f>
        <v/>
      </c>
      <c r="I1780" s="7" t="str">
        <f>IF(Table1[[#This Row],[Is Data Valid]]=TRUE,((Table1[[#This Row],[Birthweight (grams)]]*1.1/Table1[[#This Row],[BW_GA]])-1)/(Backend!$B$4/100*Table1[[#This Row],[BW40_3705]]),"")</f>
        <v/>
      </c>
      <c r="J1780" s="7" t="str">
        <f>IF(Table1[[#This Row],[Is Data Valid]]=TRUE,_xlfn.NORM.S.DIST(Table1[[#This Row],[Birthweight Z-Score]],TRUE)*100,"")</f>
        <v/>
      </c>
      <c r="K1780" s="7" t="str">
        <f>IF(Table1[[#This Row],[Is Data Valid]]=TRUE,_xlfn.NORM.S.DIST(Table1[[#This Row],[Birthweight Z-Score (BW-10%)]],TRUE)*100,"")</f>
        <v/>
      </c>
      <c r="L1780" s="7" t="str">
        <f>IF(Table1[[#This Row],[Is Data Valid]]=TRUE,_xlfn.NORM.S.DIST(Table1[[#This Row],[Birthweight Z-Score (BW+10%)]],TRUE)*100,"")</f>
        <v/>
      </c>
    </row>
    <row r="1781" spans="1:12" x14ac:dyDescent="0.35">
      <c r="A1781" s="3"/>
      <c r="B1781" s="2"/>
      <c r="C1781" s="2"/>
      <c r="D1781" s="2" t="b">
        <f>IF(AND(NOT(ISBLANK(Table1[[#This Row],[Fetal Sex (Male, Female or Unknown)]])),ISNUMBER(Table1[[#This Row],[Birthweight (grams)]]),ISNUMBER(Table1[[#This Row],[Gestation (days)]])),TRUE,FALSE)</f>
        <v>0</v>
      </c>
      <c r="E1781" s="2" t="str">
        <f>IF(Table1[[#This Row],[Is Data Valid]]=TRUE,IF(Table1[[#This Row],[Fetal Sex (Male, Female or Unknown)]]="Male",Backend!$C$6,IF(Table1[[#This Row],[Fetal Sex (Male, Female or Unknown)]]="Female",Backend!$C$7,IF(Table1[[#This Row],[Fetal Sex (Male, Female or Unknown)]]="Unknown",Backend!$C$8,"Error"))),"")</f>
        <v/>
      </c>
      <c r="F1781" s="8" t="str">
        <f>IF(Table1[[#This Row],[Is Data Valid]]=TRUE,EXP(0.578+0.332*((Table1[[#This Row],[Gestation (days)]]+0.5)/7)-0.00354*((Table1[[#This Row],[Gestation (days)]]+0.5)/7)^2)*Table1[[#This Row],[BW40_3705]],"")</f>
        <v/>
      </c>
      <c r="G1781" s="2" t="str">
        <f>IF(Table1[[#This Row],[Is Data Valid]]=TRUE,((Table1[[#This Row],[Birthweight (grams)]]/Table1[[#This Row],[BW_GA]])-1)/(Backend!$B$4/100*Table1[[#This Row],[BW40_3705]]),"")</f>
        <v/>
      </c>
      <c r="H1781" s="7" t="str">
        <f>IF(Table1[[#This Row],[Is Data Valid]]=TRUE,((Table1[[#This Row],[Birthweight (grams)]]*0.9/Table1[[#This Row],[BW_GA]])-1)/(Backend!$B$4/100*Table1[[#This Row],[BW40_3705]]),"")</f>
        <v/>
      </c>
      <c r="I1781" s="7" t="str">
        <f>IF(Table1[[#This Row],[Is Data Valid]]=TRUE,((Table1[[#This Row],[Birthweight (grams)]]*1.1/Table1[[#This Row],[BW_GA]])-1)/(Backend!$B$4/100*Table1[[#This Row],[BW40_3705]]),"")</f>
        <v/>
      </c>
      <c r="J1781" s="7" t="str">
        <f>IF(Table1[[#This Row],[Is Data Valid]]=TRUE,_xlfn.NORM.S.DIST(Table1[[#This Row],[Birthweight Z-Score]],TRUE)*100,"")</f>
        <v/>
      </c>
      <c r="K1781" s="7" t="str">
        <f>IF(Table1[[#This Row],[Is Data Valid]]=TRUE,_xlfn.NORM.S.DIST(Table1[[#This Row],[Birthweight Z-Score (BW-10%)]],TRUE)*100,"")</f>
        <v/>
      </c>
      <c r="L1781" s="7" t="str">
        <f>IF(Table1[[#This Row],[Is Data Valid]]=TRUE,_xlfn.NORM.S.DIST(Table1[[#This Row],[Birthweight Z-Score (BW+10%)]],TRUE)*100,"")</f>
        <v/>
      </c>
    </row>
    <row r="1782" spans="1:12" x14ac:dyDescent="0.35">
      <c r="A1782" s="3"/>
      <c r="B1782" s="2"/>
      <c r="C1782" s="2"/>
      <c r="D1782" s="2" t="b">
        <f>IF(AND(NOT(ISBLANK(Table1[[#This Row],[Fetal Sex (Male, Female or Unknown)]])),ISNUMBER(Table1[[#This Row],[Birthweight (grams)]]),ISNUMBER(Table1[[#This Row],[Gestation (days)]])),TRUE,FALSE)</f>
        <v>0</v>
      </c>
      <c r="E1782" s="2" t="str">
        <f>IF(Table1[[#This Row],[Is Data Valid]]=TRUE,IF(Table1[[#This Row],[Fetal Sex (Male, Female or Unknown)]]="Male",Backend!$C$6,IF(Table1[[#This Row],[Fetal Sex (Male, Female or Unknown)]]="Female",Backend!$C$7,IF(Table1[[#This Row],[Fetal Sex (Male, Female or Unknown)]]="Unknown",Backend!$C$8,"Error"))),"")</f>
        <v/>
      </c>
      <c r="F1782" s="8" t="str">
        <f>IF(Table1[[#This Row],[Is Data Valid]]=TRUE,EXP(0.578+0.332*((Table1[[#This Row],[Gestation (days)]]+0.5)/7)-0.00354*((Table1[[#This Row],[Gestation (days)]]+0.5)/7)^2)*Table1[[#This Row],[BW40_3705]],"")</f>
        <v/>
      </c>
      <c r="G1782" s="2" t="str">
        <f>IF(Table1[[#This Row],[Is Data Valid]]=TRUE,((Table1[[#This Row],[Birthweight (grams)]]/Table1[[#This Row],[BW_GA]])-1)/(Backend!$B$4/100*Table1[[#This Row],[BW40_3705]]),"")</f>
        <v/>
      </c>
      <c r="H1782" s="7" t="str">
        <f>IF(Table1[[#This Row],[Is Data Valid]]=TRUE,((Table1[[#This Row],[Birthweight (grams)]]*0.9/Table1[[#This Row],[BW_GA]])-1)/(Backend!$B$4/100*Table1[[#This Row],[BW40_3705]]),"")</f>
        <v/>
      </c>
      <c r="I1782" s="7" t="str">
        <f>IF(Table1[[#This Row],[Is Data Valid]]=TRUE,((Table1[[#This Row],[Birthweight (grams)]]*1.1/Table1[[#This Row],[BW_GA]])-1)/(Backend!$B$4/100*Table1[[#This Row],[BW40_3705]]),"")</f>
        <v/>
      </c>
      <c r="J1782" s="7" t="str">
        <f>IF(Table1[[#This Row],[Is Data Valid]]=TRUE,_xlfn.NORM.S.DIST(Table1[[#This Row],[Birthweight Z-Score]],TRUE)*100,"")</f>
        <v/>
      </c>
      <c r="K1782" s="7" t="str">
        <f>IF(Table1[[#This Row],[Is Data Valid]]=TRUE,_xlfn.NORM.S.DIST(Table1[[#This Row],[Birthweight Z-Score (BW-10%)]],TRUE)*100,"")</f>
        <v/>
      </c>
      <c r="L1782" s="7" t="str">
        <f>IF(Table1[[#This Row],[Is Data Valid]]=TRUE,_xlfn.NORM.S.DIST(Table1[[#This Row],[Birthweight Z-Score (BW+10%)]],TRUE)*100,"")</f>
        <v/>
      </c>
    </row>
    <row r="1783" spans="1:12" x14ac:dyDescent="0.35">
      <c r="A1783" s="3"/>
      <c r="B1783" s="2"/>
      <c r="C1783" s="2"/>
      <c r="D1783" s="2" t="b">
        <f>IF(AND(NOT(ISBLANK(Table1[[#This Row],[Fetal Sex (Male, Female or Unknown)]])),ISNUMBER(Table1[[#This Row],[Birthweight (grams)]]),ISNUMBER(Table1[[#This Row],[Gestation (days)]])),TRUE,FALSE)</f>
        <v>0</v>
      </c>
      <c r="E1783" s="2" t="str">
        <f>IF(Table1[[#This Row],[Is Data Valid]]=TRUE,IF(Table1[[#This Row],[Fetal Sex (Male, Female or Unknown)]]="Male",Backend!$C$6,IF(Table1[[#This Row],[Fetal Sex (Male, Female or Unknown)]]="Female",Backend!$C$7,IF(Table1[[#This Row],[Fetal Sex (Male, Female or Unknown)]]="Unknown",Backend!$C$8,"Error"))),"")</f>
        <v/>
      </c>
      <c r="F1783" s="8" t="str">
        <f>IF(Table1[[#This Row],[Is Data Valid]]=TRUE,EXP(0.578+0.332*((Table1[[#This Row],[Gestation (days)]]+0.5)/7)-0.00354*((Table1[[#This Row],[Gestation (days)]]+0.5)/7)^2)*Table1[[#This Row],[BW40_3705]],"")</f>
        <v/>
      </c>
      <c r="G1783" s="2" t="str">
        <f>IF(Table1[[#This Row],[Is Data Valid]]=TRUE,((Table1[[#This Row],[Birthweight (grams)]]/Table1[[#This Row],[BW_GA]])-1)/(Backend!$B$4/100*Table1[[#This Row],[BW40_3705]]),"")</f>
        <v/>
      </c>
      <c r="H1783" s="7" t="str">
        <f>IF(Table1[[#This Row],[Is Data Valid]]=TRUE,((Table1[[#This Row],[Birthweight (grams)]]*0.9/Table1[[#This Row],[BW_GA]])-1)/(Backend!$B$4/100*Table1[[#This Row],[BW40_3705]]),"")</f>
        <v/>
      </c>
      <c r="I1783" s="7" t="str">
        <f>IF(Table1[[#This Row],[Is Data Valid]]=TRUE,((Table1[[#This Row],[Birthweight (grams)]]*1.1/Table1[[#This Row],[BW_GA]])-1)/(Backend!$B$4/100*Table1[[#This Row],[BW40_3705]]),"")</f>
        <v/>
      </c>
      <c r="J1783" s="7" t="str">
        <f>IF(Table1[[#This Row],[Is Data Valid]]=TRUE,_xlfn.NORM.S.DIST(Table1[[#This Row],[Birthweight Z-Score]],TRUE)*100,"")</f>
        <v/>
      </c>
      <c r="K1783" s="7" t="str">
        <f>IF(Table1[[#This Row],[Is Data Valid]]=TRUE,_xlfn.NORM.S.DIST(Table1[[#This Row],[Birthweight Z-Score (BW-10%)]],TRUE)*100,"")</f>
        <v/>
      </c>
      <c r="L1783" s="7" t="str">
        <f>IF(Table1[[#This Row],[Is Data Valid]]=TRUE,_xlfn.NORM.S.DIST(Table1[[#This Row],[Birthweight Z-Score (BW+10%)]],TRUE)*100,"")</f>
        <v/>
      </c>
    </row>
    <row r="1784" spans="1:12" x14ac:dyDescent="0.35">
      <c r="A1784" s="3"/>
      <c r="B1784" s="2"/>
      <c r="C1784" s="2"/>
      <c r="D1784" s="2" t="b">
        <f>IF(AND(NOT(ISBLANK(Table1[[#This Row],[Fetal Sex (Male, Female or Unknown)]])),ISNUMBER(Table1[[#This Row],[Birthweight (grams)]]),ISNUMBER(Table1[[#This Row],[Gestation (days)]])),TRUE,FALSE)</f>
        <v>0</v>
      </c>
      <c r="E1784" s="2" t="str">
        <f>IF(Table1[[#This Row],[Is Data Valid]]=TRUE,IF(Table1[[#This Row],[Fetal Sex (Male, Female or Unknown)]]="Male",Backend!$C$6,IF(Table1[[#This Row],[Fetal Sex (Male, Female or Unknown)]]="Female",Backend!$C$7,IF(Table1[[#This Row],[Fetal Sex (Male, Female or Unknown)]]="Unknown",Backend!$C$8,"Error"))),"")</f>
        <v/>
      </c>
      <c r="F1784" s="8" t="str">
        <f>IF(Table1[[#This Row],[Is Data Valid]]=TRUE,EXP(0.578+0.332*((Table1[[#This Row],[Gestation (days)]]+0.5)/7)-0.00354*((Table1[[#This Row],[Gestation (days)]]+0.5)/7)^2)*Table1[[#This Row],[BW40_3705]],"")</f>
        <v/>
      </c>
      <c r="G1784" s="2" t="str">
        <f>IF(Table1[[#This Row],[Is Data Valid]]=TRUE,((Table1[[#This Row],[Birthweight (grams)]]/Table1[[#This Row],[BW_GA]])-1)/(Backend!$B$4/100*Table1[[#This Row],[BW40_3705]]),"")</f>
        <v/>
      </c>
      <c r="H1784" s="7" t="str">
        <f>IF(Table1[[#This Row],[Is Data Valid]]=TRUE,((Table1[[#This Row],[Birthweight (grams)]]*0.9/Table1[[#This Row],[BW_GA]])-1)/(Backend!$B$4/100*Table1[[#This Row],[BW40_3705]]),"")</f>
        <v/>
      </c>
      <c r="I1784" s="7" t="str">
        <f>IF(Table1[[#This Row],[Is Data Valid]]=TRUE,((Table1[[#This Row],[Birthweight (grams)]]*1.1/Table1[[#This Row],[BW_GA]])-1)/(Backend!$B$4/100*Table1[[#This Row],[BW40_3705]]),"")</f>
        <v/>
      </c>
      <c r="J1784" s="7" t="str">
        <f>IF(Table1[[#This Row],[Is Data Valid]]=TRUE,_xlfn.NORM.S.DIST(Table1[[#This Row],[Birthweight Z-Score]],TRUE)*100,"")</f>
        <v/>
      </c>
      <c r="K1784" s="7" t="str">
        <f>IF(Table1[[#This Row],[Is Data Valid]]=TRUE,_xlfn.NORM.S.DIST(Table1[[#This Row],[Birthweight Z-Score (BW-10%)]],TRUE)*100,"")</f>
        <v/>
      </c>
      <c r="L1784" s="7" t="str">
        <f>IF(Table1[[#This Row],[Is Data Valid]]=TRUE,_xlfn.NORM.S.DIST(Table1[[#This Row],[Birthweight Z-Score (BW+10%)]],TRUE)*100,"")</f>
        <v/>
      </c>
    </row>
    <row r="1785" spans="1:12" x14ac:dyDescent="0.35">
      <c r="A1785" s="3"/>
      <c r="B1785" s="2"/>
      <c r="C1785" s="2"/>
      <c r="D1785" s="2" t="b">
        <f>IF(AND(NOT(ISBLANK(Table1[[#This Row],[Fetal Sex (Male, Female or Unknown)]])),ISNUMBER(Table1[[#This Row],[Birthweight (grams)]]),ISNUMBER(Table1[[#This Row],[Gestation (days)]])),TRUE,FALSE)</f>
        <v>0</v>
      </c>
      <c r="E1785" s="2" t="str">
        <f>IF(Table1[[#This Row],[Is Data Valid]]=TRUE,IF(Table1[[#This Row],[Fetal Sex (Male, Female or Unknown)]]="Male",Backend!$C$6,IF(Table1[[#This Row],[Fetal Sex (Male, Female or Unknown)]]="Female",Backend!$C$7,IF(Table1[[#This Row],[Fetal Sex (Male, Female or Unknown)]]="Unknown",Backend!$C$8,"Error"))),"")</f>
        <v/>
      </c>
      <c r="F1785" s="8" t="str">
        <f>IF(Table1[[#This Row],[Is Data Valid]]=TRUE,EXP(0.578+0.332*((Table1[[#This Row],[Gestation (days)]]+0.5)/7)-0.00354*((Table1[[#This Row],[Gestation (days)]]+0.5)/7)^2)*Table1[[#This Row],[BW40_3705]],"")</f>
        <v/>
      </c>
      <c r="G1785" s="2" t="str">
        <f>IF(Table1[[#This Row],[Is Data Valid]]=TRUE,((Table1[[#This Row],[Birthweight (grams)]]/Table1[[#This Row],[BW_GA]])-1)/(Backend!$B$4/100*Table1[[#This Row],[BW40_3705]]),"")</f>
        <v/>
      </c>
      <c r="H1785" s="7" t="str">
        <f>IF(Table1[[#This Row],[Is Data Valid]]=TRUE,((Table1[[#This Row],[Birthweight (grams)]]*0.9/Table1[[#This Row],[BW_GA]])-1)/(Backend!$B$4/100*Table1[[#This Row],[BW40_3705]]),"")</f>
        <v/>
      </c>
      <c r="I1785" s="7" t="str">
        <f>IF(Table1[[#This Row],[Is Data Valid]]=TRUE,((Table1[[#This Row],[Birthweight (grams)]]*1.1/Table1[[#This Row],[BW_GA]])-1)/(Backend!$B$4/100*Table1[[#This Row],[BW40_3705]]),"")</f>
        <v/>
      </c>
      <c r="J1785" s="7" t="str">
        <f>IF(Table1[[#This Row],[Is Data Valid]]=TRUE,_xlfn.NORM.S.DIST(Table1[[#This Row],[Birthweight Z-Score]],TRUE)*100,"")</f>
        <v/>
      </c>
      <c r="K1785" s="7" t="str">
        <f>IF(Table1[[#This Row],[Is Data Valid]]=TRUE,_xlfn.NORM.S.DIST(Table1[[#This Row],[Birthweight Z-Score (BW-10%)]],TRUE)*100,"")</f>
        <v/>
      </c>
      <c r="L1785" s="7" t="str">
        <f>IF(Table1[[#This Row],[Is Data Valid]]=TRUE,_xlfn.NORM.S.DIST(Table1[[#This Row],[Birthweight Z-Score (BW+10%)]],TRUE)*100,"")</f>
        <v/>
      </c>
    </row>
    <row r="1786" spans="1:12" x14ac:dyDescent="0.35">
      <c r="A1786" s="3"/>
      <c r="B1786" s="2"/>
      <c r="C1786" s="2"/>
      <c r="D1786" s="2" t="b">
        <f>IF(AND(NOT(ISBLANK(Table1[[#This Row],[Fetal Sex (Male, Female or Unknown)]])),ISNUMBER(Table1[[#This Row],[Birthweight (grams)]]),ISNUMBER(Table1[[#This Row],[Gestation (days)]])),TRUE,FALSE)</f>
        <v>0</v>
      </c>
      <c r="E1786" s="2" t="str">
        <f>IF(Table1[[#This Row],[Is Data Valid]]=TRUE,IF(Table1[[#This Row],[Fetal Sex (Male, Female or Unknown)]]="Male",Backend!$C$6,IF(Table1[[#This Row],[Fetal Sex (Male, Female or Unknown)]]="Female",Backend!$C$7,IF(Table1[[#This Row],[Fetal Sex (Male, Female or Unknown)]]="Unknown",Backend!$C$8,"Error"))),"")</f>
        <v/>
      </c>
      <c r="F1786" s="8" t="str">
        <f>IF(Table1[[#This Row],[Is Data Valid]]=TRUE,EXP(0.578+0.332*((Table1[[#This Row],[Gestation (days)]]+0.5)/7)-0.00354*((Table1[[#This Row],[Gestation (days)]]+0.5)/7)^2)*Table1[[#This Row],[BW40_3705]],"")</f>
        <v/>
      </c>
      <c r="G1786" s="2" t="str">
        <f>IF(Table1[[#This Row],[Is Data Valid]]=TRUE,((Table1[[#This Row],[Birthweight (grams)]]/Table1[[#This Row],[BW_GA]])-1)/(Backend!$B$4/100*Table1[[#This Row],[BW40_3705]]),"")</f>
        <v/>
      </c>
      <c r="H1786" s="7" t="str">
        <f>IF(Table1[[#This Row],[Is Data Valid]]=TRUE,((Table1[[#This Row],[Birthweight (grams)]]*0.9/Table1[[#This Row],[BW_GA]])-1)/(Backend!$B$4/100*Table1[[#This Row],[BW40_3705]]),"")</f>
        <v/>
      </c>
      <c r="I1786" s="7" t="str">
        <f>IF(Table1[[#This Row],[Is Data Valid]]=TRUE,((Table1[[#This Row],[Birthweight (grams)]]*1.1/Table1[[#This Row],[BW_GA]])-1)/(Backend!$B$4/100*Table1[[#This Row],[BW40_3705]]),"")</f>
        <v/>
      </c>
      <c r="J1786" s="7" t="str">
        <f>IF(Table1[[#This Row],[Is Data Valid]]=TRUE,_xlfn.NORM.S.DIST(Table1[[#This Row],[Birthweight Z-Score]],TRUE)*100,"")</f>
        <v/>
      </c>
      <c r="K1786" s="7" t="str">
        <f>IF(Table1[[#This Row],[Is Data Valid]]=TRUE,_xlfn.NORM.S.DIST(Table1[[#This Row],[Birthweight Z-Score (BW-10%)]],TRUE)*100,"")</f>
        <v/>
      </c>
      <c r="L1786" s="7" t="str">
        <f>IF(Table1[[#This Row],[Is Data Valid]]=TRUE,_xlfn.NORM.S.DIST(Table1[[#This Row],[Birthweight Z-Score (BW+10%)]],TRUE)*100,"")</f>
        <v/>
      </c>
    </row>
    <row r="1787" spans="1:12" x14ac:dyDescent="0.35">
      <c r="A1787" s="3"/>
      <c r="B1787" s="2"/>
      <c r="C1787" s="2"/>
      <c r="D1787" s="2" t="b">
        <f>IF(AND(NOT(ISBLANK(Table1[[#This Row],[Fetal Sex (Male, Female or Unknown)]])),ISNUMBER(Table1[[#This Row],[Birthweight (grams)]]),ISNUMBER(Table1[[#This Row],[Gestation (days)]])),TRUE,FALSE)</f>
        <v>0</v>
      </c>
      <c r="E1787" s="2" t="str">
        <f>IF(Table1[[#This Row],[Is Data Valid]]=TRUE,IF(Table1[[#This Row],[Fetal Sex (Male, Female or Unknown)]]="Male",Backend!$C$6,IF(Table1[[#This Row],[Fetal Sex (Male, Female or Unknown)]]="Female",Backend!$C$7,IF(Table1[[#This Row],[Fetal Sex (Male, Female or Unknown)]]="Unknown",Backend!$C$8,"Error"))),"")</f>
        <v/>
      </c>
      <c r="F1787" s="8" t="str">
        <f>IF(Table1[[#This Row],[Is Data Valid]]=TRUE,EXP(0.578+0.332*((Table1[[#This Row],[Gestation (days)]]+0.5)/7)-0.00354*((Table1[[#This Row],[Gestation (days)]]+0.5)/7)^2)*Table1[[#This Row],[BW40_3705]],"")</f>
        <v/>
      </c>
      <c r="G1787" s="2" t="str">
        <f>IF(Table1[[#This Row],[Is Data Valid]]=TRUE,((Table1[[#This Row],[Birthweight (grams)]]/Table1[[#This Row],[BW_GA]])-1)/(Backend!$B$4/100*Table1[[#This Row],[BW40_3705]]),"")</f>
        <v/>
      </c>
      <c r="H1787" s="7" t="str">
        <f>IF(Table1[[#This Row],[Is Data Valid]]=TRUE,((Table1[[#This Row],[Birthweight (grams)]]*0.9/Table1[[#This Row],[BW_GA]])-1)/(Backend!$B$4/100*Table1[[#This Row],[BW40_3705]]),"")</f>
        <v/>
      </c>
      <c r="I1787" s="7" t="str">
        <f>IF(Table1[[#This Row],[Is Data Valid]]=TRUE,((Table1[[#This Row],[Birthweight (grams)]]*1.1/Table1[[#This Row],[BW_GA]])-1)/(Backend!$B$4/100*Table1[[#This Row],[BW40_3705]]),"")</f>
        <v/>
      </c>
      <c r="J1787" s="7" t="str">
        <f>IF(Table1[[#This Row],[Is Data Valid]]=TRUE,_xlfn.NORM.S.DIST(Table1[[#This Row],[Birthweight Z-Score]],TRUE)*100,"")</f>
        <v/>
      </c>
      <c r="K1787" s="7" t="str">
        <f>IF(Table1[[#This Row],[Is Data Valid]]=TRUE,_xlfn.NORM.S.DIST(Table1[[#This Row],[Birthweight Z-Score (BW-10%)]],TRUE)*100,"")</f>
        <v/>
      </c>
      <c r="L1787" s="7" t="str">
        <f>IF(Table1[[#This Row],[Is Data Valid]]=TRUE,_xlfn.NORM.S.DIST(Table1[[#This Row],[Birthweight Z-Score (BW+10%)]],TRUE)*100,"")</f>
        <v/>
      </c>
    </row>
    <row r="1788" spans="1:12" x14ac:dyDescent="0.35">
      <c r="A1788" s="3"/>
      <c r="B1788" s="2"/>
      <c r="C1788" s="2"/>
      <c r="D1788" s="2" t="b">
        <f>IF(AND(NOT(ISBLANK(Table1[[#This Row],[Fetal Sex (Male, Female or Unknown)]])),ISNUMBER(Table1[[#This Row],[Birthweight (grams)]]),ISNUMBER(Table1[[#This Row],[Gestation (days)]])),TRUE,FALSE)</f>
        <v>0</v>
      </c>
      <c r="E1788" s="2" t="str">
        <f>IF(Table1[[#This Row],[Is Data Valid]]=TRUE,IF(Table1[[#This Row],[Fetal Sex (Male, Female or Unknown)]]="Male",Backend!$C$6,IF(Table1[[#This Row],[Fetal Sex (Male, Female or Unknown)]]="Female",Backend!$C$7,IF(Table1[[#This Row],[Fetal Sex (Male, Female or Unknown)]]="Unknown",Backend!$C$8,"Error"))),"")</f>
        <v/>
      </c>
      <c r="F1788" s="8" t="str">
        <f>IF(Table1[[#This Row],[Is Data Valid]]=TRUE,EXP(0.578+0.332*((Table1[[#This Row],[Gestation (days)]]+0.5)/7)-0.00354*((Table1[[#This Row],[Gestation (days)]]+0.5)/7)^2)*Table1[[#This Row],[BW40_3705]],"")</f>
        <v/>
      </c>
      <c r="G1788" s="2" t="str">
        <f>IF(Table1[[#This Row],[Is Data Valid]]=TRUE,((Table1[[#This Row],[Birthweight (grams)]]/Table1[[#This Row],[BW_GA]])-1)/(Backend!$B$4/100*Table1[[#This Row],[BW40_3705]]),"")</f>
        <v/>
      </c>
      <c r="H1788" s="7" t="str">
        <f>IF(Table1[[#This Row],[Is Data Valid]]=TRUE,((Table1[[#This Row],[Birthweight (grams)]]*0.9/Table1[[#This Row],[BW_GA]])-1)/(Backend!$B$4/100*Table1[[#This Row],[BW40_3705]]),"")</f>
        <v/>
      </c>
      <c r="I1788" s="7" t="str">
        <f>IF(Table1[[#This Row],[Is Data Valid]]=TRUE,((Table1[[#This Row],[Birthweight (grams)]]*1.1/Table1[[#This Row],[BW_GA]])-1)/(Backend!$B$4/100*Table1[[#This Row],[BW40_3705]]),"")</f>
        <v/>
      </c>
      <c r="J1788" s="7" t="str">
        <f>IF(Table1[[#This Row],[Is Data Valid]]=TRUE,_xlfn.NORM.S.DIST(Table1[[#This Row],[Birthweight Z-Score]],TRUE)*100,"")</f>
        <v/>
      </c>
      <c r="K1788" s="7" t="str">
        <f>IF(Table1[[#This Row],[Is Data Valid]]=TRUE,_xlfn.NORM.S.DIST(Table1[[#This Row],[Birthweight Z-Score (BW-10%)]],TRUE)*100,"")</f>
        <v/>
      </c>
      <c r="L1788" s="7" t="str">
        <f>IF(Table1[[#This Row],[Is Data Valid]]=TRUE,_xlfn.NORM.S.DIST(Table1[[#This Row],[Birthweight Z-Score (BW+10%)]],TRUE)*100,"")</f>
        <v/>
      </c>
    </row>
    <row r="1789" spans="1:12" x14ac:dyDescent="0.35">
      <c r="A1789" s="3"/>
      <c r="B1789" s="2"/>
      <c r="C1789" s="2"/>
      <c r="D1789" s="2" t="b">
        <f>IF(AND(NOT(ISBLANK(Table1[[#This Row],[Fetal Sex (Male, Female or Unknown)]])),ISNUMBER(Table1[[#This Row],[Birthweight (grams)]]),ISNUMBER(Table1[[#This Row],[Gestation (days)]])),TRUE,FALSE)</f>
        <v>0</v>
      </c>
      <c r="E1789" s="2" t="str">
        <f>IF(Table1[[#This Row],[Is Data Valid]]=TRUE,IF(Table1[[#This Row],[Fetal Sex (Male, Female or Unknown)]]="Male",Backend!$C$6,IF(Table1[[#This Row],[Fetal Sex (Male, Female or Unknown)]]="Female",Backend!$C$7,IF(Table1[[#This Row],[Fetal Sex (Male, Female or Unknown)]]="Unknown",Backend!$C$8,"Error"))),"")</f>
        <v/>
      </c>
      <c r="F1789" s="8" t="str">
        <f>IF(Table1[[#This Row],[Is Data Valid]]=TRUE,EXP(0.578+0.332*((Table1[[#This Row],[Gestation (days)]]+0.5)/7)-0.00354*((Table1[[#This Row],[Gestation (days)]]+0.5)/7)^2)*Table1[[#This Row],[BW40_3705]],"")</f>
        <v/>
      </c>
      <c r="G1789" s="2" t="str">
        <f>IF(Table1[[#This Row],[Is Data Valid]]=TRUE,((Table1[[#This Row],[Birthweight (grams)]]/Table1[[#This Row],[BW_GA]])-1)/(Backend!$B$4/100*Table1[[#This Row],[BW40_3705]]),"")</f>
        <v/>
      </c>
      <c r="H1789" s="7" t="str">
        <f>IF(Table1[[#This Row],[Is Data Valid]]=TRUE,((Table1[[#This Row],[Birthweight (grams)]]*0.9/Table1[[#This Row],[BW_GA]])-1)/(Backend!$B$4/100*Table1[[#This Row],[BW40_3705]]),"")</f>
        <v/>
      </c>
      <c r="I1789" s="7" t="str">
        <f>IF(Table1[[#This Row],[Is Data Valid]]=TRUE,((Table1[[#This Row],[Birthweight (grams)]]*1.1/Table1[[#This Row],[BW_GA]])-1)/(Backend!$B$4/100*Table1[[#This Row],[BW40_3705]]),"")</f>
        <v/>
      </c>
      <c r="J1789" s="7" t="str">
        <f>IF(Table1[[#This Row],[Is Data Valid]]=TRUE,_xlfn.NORM.S.DIST(Table1[[#This Row],[Birthweight Z-Score]],TRUE)*100,"")</f>
        <v/>
      </c>
      <c r="K1789" s="7" t="str">
        <f>IF(Table1[[#This Row],[Is Data Valid]]=TRUE,_xlfn.NORM.S.DIST(Table1[[#This Row],[Birthweight Z-Score (BW-10%)]],TRUE)*100,"")</f>
        <v/>
      </c>
      <c r="L1789" s="7" t="str">
        <f>IF(Table1[[#This Row],[Is Data Valid]]=TRUE,_xlfn.NORM.S.DIST(Table1[[#This Row],[Birthweight Z-Score (BW+10%)]],TRUE)*100,"")</f>
        <v/>
      </c>
    </row>
    <row r="1790" spans="1:12" x14ac:dyDescent="0.35">
      <c r="A1790" s="3"/>
      <c r="B1790" s="2"/>
      <c r="C1790" s="2"/>
      <c r="D1790" s="2" t="b">
        <f>IF(AND(NOT(ISBLANK(Table1[[#This Row],[Fetal Sex (Male, Female or Unknown)]])),ISNUMBER(Table1[[#This Row],[Birthweight (grams)]]),ISNUMBER(Table1[[#This Row],[Gestation (days)]])),TRUE,FALSE)</f>
        <v>0</v>
      </c>
      <c r="E1790" s="2" t="str">
        <f>IF(Table1[[#This Row],[Is Data Valid]]=TRUE,IF(Table1[[#This Row],[Fetal Sex (Male, Female or Unknown)]]="Male",Backend!$C$6,IF(Table1[[#This Row],[Fetal Sex (Male, Female or Unknown)]]="Female",Backend!$C$7,IF(Table1[[#This Row],[Fetal Sex (Male, Female or Unknown)]]="Unknown",Backend!$C$8,"Error"))),"")</f>
        <v/>
      </c>
      <c r="F1790" s="8" t="str">
        <f>IF(Table1[[#This Row],[Is Data Valid]]=TRUE,EXP(0.578+0.332*((Table1[[#This Row],[Gestation (days)]]+0.5)/7)-0.00354*((Table1[[#This Row],[Gestation (days)]]+0.5)/7)^2)*Table1[[#This Row],[BW40_3705]],"")</f>
        <v/>
      </c>
      <c r="G1790" s="2" t="str">
        <f>IF(Table1[[#This Row],[Is Data Valid]]=TRUE,((Table1[[#This Row],[Birthweight (grams)]]/Table1[[#This Row],[BW_GA]])-1)/(Backend!$B$4/100*Table1[[#This Row],[BW40_3705]]),"")</f>
        <v/>
      </c>
      <c r="H1790" s="7" t="str">
        <f>IF(Table1[[#This Row],[Is Data Valid]]=TRUE,((Table1[[#This Row],[Birthweight (grams)]]*0.9/Table1[[#This Row],[BW_GA]])-1)/(Backend!$B$4/100*Table1[[#This Row],[BW40_3705]]),"")</f>
        <v/>
      </c>
      <c r="I1790" s="7" t="str">
        <f>IF(Table1[[#This Row],[Is Data Valid]]=TRUE,((Table1[[#This Row],[Birthweight (grams)]]*1.1/Table1[[#This Row],[BW_GA]])-1)/(Backend!$B$4/100*Table1[[#This Row],[BW40_3705]]),"")</f>
        <v/>
      </c>
      <c r="J1790" s="7" t="str">
        <f>IF(Table1[[#This Row],[Is Data Valid]]=TRUE,_xlfn.NORM.S.DIST(Table1[[#This Row],[Birthweight Z-Score]],TRUE)*100,"")</f>
        <v/>
      </c>
      <c r="K1790" s="7" t="str">
        <f>IF(Table1[[#This Row],[Is Data Valid]]=TRUE,_xlfn.NORM.S.DIST(Table1[[#This Row],[Birthweight Z-Score (BW-10%)]],TRUE)*100,"")</f>
        <v/>
      </c>
      <c r="L1790" s="7" t="str">
        <f>IF(Table1[[#This Row],[Is Data Valid]]=TRUE,_xlfn.NORM.S.DIST(Table1[[#This Row],[Birthweight Z-Score (BW+10%)]],TRUE)*100,"")</f>
        <v/>
      </c>
    </row>
    <row r="1791" spans="1:12" x14ac:dyDescent="0.35">
      <c r="A1791" s="3"/>
      <c r="B1791" s="2"/>
      <c r="C1791" s="2"/>
      <c r="D1791" s="2" t="b">
        <f>IF(AND(NOT(ISBLANK(Table1[[#This Row],[Fetal Sex (Male, Female or Unknown)]])),ISNUMBER(Table1[[#This Row],[Birthweight (grams)]]),ISNUMBER(Table1[[#This Row],[Gestation (days)]])),TRUE,FALSE)</f>
        <v>0</v>
      </c>
      <c r="E1791" s="2" t="str">
        <f>IF(Table1[[#This Row],[Is Data Valid]]=TRUE,IF(Table1[[#This Row],[Fetal Sex (Male, Female or Unknown)]]="Male",Backend!$C$6,IF(Table1[[#This Row],[Fetal Sex (Male, Female or Unknown)]]="Female",Backend!$C$7,IF(Table1[[#This Row],[Fetal Sex (Male, Female or Unknown)]]="Unknown",Backend!$C$8,"Error"))),"")</f>
        <v/>
      </c>
      <c r="F1791" s="8" t="str">
        <f>IF(Table1[[#This Row],[Is Data Valid]]=TRUE,EXP(0.578+0.332*((Table1[[#This Row],[Gestation (days)]]+0.5)/7)-0.00354*((Table1[[#This Row],[Gestation (days)]]+0.5)/7)^2)*Table1[[#This Row],[BW40_3705]],"")</f>
        <v/>
      </c>
      <c r="G1791" s="2" t="str">
        <f>IF(Table1[[#This Row],[Is Data Valid]]=TRUE,((Table1[[#This Row],[Birthweight (grams)]]/Table1[[#This Row],[BW_GA]])-1)/(Backend!$B$4/100*Table1[[#This Row],[BW40_3705]]),"")</f>
        <v/>
      </c>
      <c r="H1791" s="7" t="str">
        <f>IF(Table1[[#This Row],[Is Data Valid]]=TRUE,((Table1[[#This Row],[Birthweight (grams)]]*0.9/Table1[[#This Row],[BW_GA]])-1)/(Backend!$B$4/100*Table1[[#This Row],[BW40_3705]]),"")</f>
        <v/>
      </c>
      <c r="I1791" s="7" t="str">
        <f>IF(Table1[[#This Row],[Is Data Valid]]=TRUE,((Table1[[#This Row],[Birthweight (grams)]]*1.1/Table1[[#This Row],[BW_GA]])-1)/(Backend!$B$4/100*Table1[[#This Row],[BW40_3705]]),"")</f>
        <v/>
      </c>
      <c r="J1791" s="7" t="str">
        <f>IF(Table1[[#This Row],[Is Data Valid]]=TRUE,_xlfn.NORM.S.DIST(Table1[[#This Row],[Birthweight Z-Score]],TRUE)*100,"")</f>
        <v/>
      </c>
      <c r="K1791" s="7" t="str">
        <f>IF(Table1[[#This Row],[Is Data Valid]]=TRUE,_xlfn.NORM.S.DIST(Table1[[#This Row],[Birthweight Z-Score (BW-10%)]],TRUE)*100,"")</f>
        <v/>
      </c>
      <c r="L1791" s="7" t="str">
        <f>IF(Table1[[#This Row],[Is Data Valid]]=TRUE,_xlfn.NORM.S.DIST(Table1[[#This Row],[Birthweight Z-Score (BW+10%)]],TRUE)*100,"")</f>
        <v/>
      </c>
    </row>
    <row r="1792" spans="1:12" x14ac:dyDescent="0.35">
      <c r="A1792" s="3"/>
      <c r="B1792" s="2"/>
      <c r="C1792" s="2"/>
      <c r="D1792" s="2" t="b">
        <f>IF(AND(NOT(ISBLANK(Table1[[#This Row],[Fetal Sex (Male, Female or Unknown)]])),ISNUMBER(Table1[[#This Row],[Birthweight (grams)]]),ISNUMBER(Table1[[#This Row],[Gestation (days)]])),TRUE,FALSE)</f>
        <v>0</v>
      </c>
      <c r="E1792" s="2" t="str">
        <f>IF(Table1[[#This Row],[Is Data Valid]]=TRUE,IF(Table1[[#This Row],[Fetal Sex (Male, Female or Unknown)]]="Male",Backend!$C$6,IF(Table1[[#This Row],[Fetal Sex (Male, Female or Unknown)]]="Female",Backend!$C$7,IF(Table1[[#This Row],[Fetal Sex (Male, Female or Unknown)]]="Unknown",Backend!$C$8,"Error"))),"")</f>
        <v/>
      </c>
      <c r="F1792" s="8" t="str">
        <f>IF(Table1[[#This Row],[Is Data Valid]]=TRUE,EXP(0.578+0.332*((Table1[[#This Row],[Gestation (days)]]+0.5)/7)-0.00354*((Table1[[#This Row],[Gestation (days)]]+0.5)/7)^2)*Table1[[#This Row],[BW40_3705]],"")</f>
        <v/>
      </c>
      <c r="G1792" s="2" t="str">
        <f>IF(Table1[[#This Row],[Is Data Valid]]=TRUE,((Table1[[#This Row],[Birthweight (grams)]]/Table1[[#This Row],[BW_GA]])-1)/(Backend!$B$4/100*Table1[[#This Row],[BW40_3705]]),"")</f>
        <v/>
      </c>
      <c r="H1792" s="7" t="str">
        <f>IF(Table1[[#This Row],[Is Data Valid]]=TRUE,((Table1[[#This Row],[Birthweight (grams)]]*0.9/Table1[[#This Row],[BW_GA]])-1)/(Backend!$B$4/100*Table1[[#This Row],[BW40_3705]]),"")</f>
        <v/>
      </c>
      <c r="I1792" s="7" t="str">
        <f>IF(Table1[[#This Row],[Is Data Valid]]=TRUE,((Table1[[#This Row],[Birthweight (grams)]]*1.1/Table1[[#This Row],[BW_GA]])-1)/(Backend!$B$4/100*Table1[[#This Row],[BW40_3705]]),"")</f>
        <v/>
      </c>
      <c r="J1792" s="7" t="str">
        <f>IF(Table1[[#This Row],[Is Data Valid]]=TRUE,_xlfn.NORM.S.DIST(Table1[[#This Row],[Birthweight Z-Score]],TRUE)*100,"")</f>
        <v/>
      </c>
      <c r="K1792" s="7" t="str">
        <f>IF(Table1[[#This Row],[Is Data Valid]]=TRUE,_xlfn.NORM.S.DIST(Table1[[#This Row],[Birthweight Z-Score (BW-10%)]],TRUE)*100,"")</f>
        <v/>
      </c>
      <c r="L1792" s="7" t="str">
        <f>IF(Table1[[#This Row],[Is Data Valid]]=TRUE,_xlfn.NORM.S.DIST(Table1[[#This Row],[Birthweight Z-Score (BW+10%)]],TRUE)*100,"")</f>
        <v/>
      </c>
    </row>
    <row r="1793" spans="1:12" x14ac:dyDescent="0.35">
      <c r="A1793" s="3"/>
      <c r="B1793" s="2"/>
      <c r="C1793" s="2"/>
      <c r="D1793" s="2" t="b">
        <f>IF(AND(NOT(ISBLANK(Table1[[#This Row],[Fetal Sex (Male, Female or Unknown)]])),ISNUMBER(Table1[[#This Row],[Birthweight (grams)]]),ISNUMBER(Table1[[#This Row],[Gestation (days)]])),TRUE,FALSE)</f>
        <v>0</v>
      </c>
      <c r="E1793" s="2" t="str">
        <f>IF(Table1[[#This Row],[Is Data Valid]]=TRUE,IF(Table1[[#This Row],[Fetal Sex (Male, Female or Unknown)]]="Male",Backend!$C$6,IF(Table1[[#This Row],[Fetal Sex (Male, Female or Unknown)]]="Female",Backend!$C$7,IF(Table1[[#This Row],[Fetal Sex (Male, Female or Unknown)]]="Unknown",Backend!$C$8,"Error"))),"")</f>
        <v/>
      </c>
      <c r="F1793" s="8" t="str">
        <f>IF(Table1[[#This Row],[Is Data Valid]]=TRUE,EXP(0.578+0.332*((Table1[[#This Row],[Gestation (days)]]+0.5)/7)-0.00354*((Table1[[#This Row],[Gestation (days)]]+0.5)/7)^2)*Table1[[#This Row],[BW40_3705]],"")</f>
        <v/>
      </c>
      <c r="G1793" s="2" t="str">
        <f>IF(Table1[[#This Row],[Is Data Valid]]=TRUE,((Table1[[#This Row],[Birthweight (grams)]]/Table1[[#This Row],[BW_GA]])-1)/(Backend!$B$4/100*Table1[[#This Row],[BW40_3705]]),"")</f>
        <v/>
      </c>
      <c r="H1793" s="7" t="str">
        <f>IF(Table1[[#This Row],[Is Data Valid]]=TRUE,((Table1[[#This Row],[Birthweight (grams)]]*0.9/Table1[[#This Row],[BW_GA]])-1)/(Backend!$B$4/100*Table1[[#This Row],[BW40_3705]]),"")</f>
        <v/>
      </c>
      <c r="I1793" s="7" t="str">
        <f>IF(Table1[[#This Row],[Is Data Valid]]=TRUE,((Table1[[#This Row],[Birthweight (grams)]]*1.1/Table1[[#This Row],[BW_GA]])-1)/(Backend!$B$4/100*Table1[[#This Row],[BW40_3705]]),"")</f>
        <v/>
      </c>
      <c r="J1793" s="7" t="str">
        <f>IF(Table1[[#This Row],[Is Data Valid]]=TRUE,_xlfn.NORM.S.DIST(Table1[[#This Row],[Birthweight Z-Score]],TRUE)*100,"")</f>
        <v/>
      </c>
      <c r="K1793" s="7" t="str">
        <f>IF(Table1[[#This Row],[Is Data Valid]]=TRUE,_xlfn.NORM.S.DIST(Table1[[#This Row],[Birthweight Z-Score (BW-10%)]],TRUE)*100,"")</f>
        <v/>
      </c>
      <c r="L1793" s="7" t="str">
        <f>IF(Table1[[#This Row],[Is Data Valid]]=TRUE,_xlfn.NORM.S.DIST(Table1[[#This Row],[Birthweight Z-Score (BW+10%)]],TRUE)*100,"")</f>
        <v/>
      </c>
    </row>
    <row r="1794" spans="1:12" x14ac:dyDescent="0.35">
      <c r="A1794" s="3"/>
      <c r="B1794" s="2"/>
      <c r="C1794" s="2"/>
      <c r="D1794" s="2" t="b">
        <f>IF(AND(NOT(ISBLANK(Table1[[#This Row],[Fetal Sex (Male, Female or Unknown)]])),ISNUMBER(Table1[[#This Row],[Birthweight (grams)]]),ISNUMBER(Table1[[#This Row],[Gestation (days)]])),TRUE,FALSE)</f>
        <v>0</v>
      </c>
      <c r="E1794" s="2" t="str">
        <f>IF(Table1[[#This Row],[Is Data Valid]]=TRUE,IF(Table1[[#This Row],[Fetal Sex (Male, Female or Unknown)]]="Male",Backend!$C$6,IF(Table1[[#This Row],[Fetal Sex (Male, Female or Unknown)]]="Female",Backend!$C$7,IF(Table1[[#This Row],[Fetal Sex (Male, Female or Unknown)]]="Unknown",Backend!$C$8,"Error"))),"")</f>
        <v/>
      </c>
      <c r="F1794" s="8" t="str">
        <f>IF(Table1[[#This Row],[Is Data Valid]]=TRUE,EXP(0.578+0.332*((Table1[[#This Row],[Gestation (days)]]+0.5)/7)-0.00354*((Table1[[#This Row],[Gestation (days)]]+0.5)/7)^2)*Table1[[#This Row],[BW40_3705]],"")</f>
        <v/>
      </c>
      <c r="G1794" s="2" t="str">
        <f>IF(Table1[[#This Row],[Is Data Valid]]=TRUE,((Table1[[#This Row],[Birthweight (grams)]]/Table1[[#This Row],[BW_GA]])-1)/(Backend!$B$4/100*Table1[[#This Row],[BW40_3705]]),"")</f>
        <v/>
      </c>
      <c r="H1794" s="7" t="str">
        <f>IF(Table1[[#This Row],[Is Data Valid]]=TRUE,((Table1[[#This Row],[Birthweight (grams)]]*0.9/Table1[[#This Row],[BW_GA]])-1)/(Backend!$B$4/100*Table1[[#This Row],[BW40_3705]]),"")</f>
        <v/>
      </c>
      <c r="I1794" s="7" t="str">
        <f>IF(Table1[[#This Row],[Is Data Valid]]=TRUE,((Table1[[#This Row],[Birthweight (grams)]]*1.1/Table1[[#This Row],[BW_GA]])-1)/(Backend!$B$4/100*Table1[[#This Row],[BW40_3705]]),"")</f>
        <v/>
      </c>
      <c r="J1794" s="7" t="str">
        <f>IF(Table1[[#This Row],[Is Data Valid]]=TRUE,_xlfn.NORM.S.DIST(Table1[[#This Row],[Birthweight Z-Score]],TRUE)*100,"")</f>
        <v/>
      </c>
      <c r="K1794" s="7" t="str">
        <f>IF(Table1[[#This Row],[Is Data Valid]]=TRUE,_xlfn.NORM.S.DIST(Table1[[#This Row],[Birthweight Z-Score (BW-10%)]],TRUE)*100,"")</f>
        <v/>
      </c>
      <c r="L1794" s="7" t="str">
        <f>IF(Table1[[#This Row],[Is Data Valid]]=TRUE,_xlfn.NORM.S.DIST(Table1[[#This Row],[Birthweight Z-Score (BW+10%)]],TRUE)*100,"")</f>
        <v/>
      </c>
    </row>
    <row r="1795" spans="1:12" x14ac:dyDescent="0.35">
      <c r="A1795" s="3"/>
      <c r="B1795" s="2"/>
      <c r="C1795" s="2"/>
      <c r="D1795" s="2" t="b">
        <f>IF(AND(NOT(ISBLANK(Table1[[#This Row],[Fetal Sex (Male, Female or Unknown)]])),ISNUMBER(Table1[[#This Row],[Birthweight (grams)]]),ISNUMBER(Table1[[#This Row],[Gestation (days)]])),TRUE,FALSE)</f>
        <v>0</v>
      </c>
      <c r="E1795" s="2" t="str">
        <f>IF(Table1[[#This Row],[Is Data Valid]]=TRUE,IF(Table1[[#This Row],[Fetal Sex (Male, Female or Unknown)]]="Male",Backend!$C$6,IF(Table1[[#This Row],[Fetal Sex (Male, Female or Unknown)]]="Female",Backend!$C$7,IF(Table1[[#This Row],[Fetal Sex (Male, Female or Unknown)]]="Unknown",Backend!$C$8,"Error"))),"")</f>
        <v/>
      </c>
      <c r="F1795" s="8" t="str">
        <f>IF(Table1[[#This Row],[Is Data Valid]]=TRUE,EXP(0.578+0.332*((Table1[[#This Row],[Gestation (days)]]+0.5)/7)-0.00354*((Table1[[#This Row],[Gestation (days)]]+0.5)/7)^2)*Table1[[#This Row],[BW40_3705]],"")</f>
        <v/>
      </c>
      <c r="G1795" s="2" t="str">
        <f>IF(Table1[[#This Row],[Is Data Valid]]=TRUE,((Table1[[#This Row],[Birthweight (grams)]]/Table1[[#This Row],[BW_GA]])-1)/(Backend!$B$4/100*Table1[[#This Row],[BW40_3705]]),"")</f>
        <v/>
      </c>
      <c r="H1795" s="7" t="str">
        <f>IF(Table1[[#This Row],[Is Data Valid]]=TRUE,((Table1[[#This Row],[Birthweight (grams)]]*0.9/Table1[[#This Row],[BW_GA]])-1)/(Backend!$B$4/100*Table1[[#This Row],[BW40_3705]]),"")</f>
        <v/>
      </c>
      <c r="I1795" s="7" t="str">
        <f>IF(Table1[[#This Row],[Is Data Valid]]=TRUE,((Table1[[#This Row],[Birthweight (grams)]]*1.1/Table1[[#This Row],[BW_GA]])-1)/(Backend!$B$4/100*Table1[[#This Row],[BW40_3705]]),"")</f>
        <v/>
      </c>
      <c r="J1795" s="7" t="str">
        <f>IF(Table1[[#This Row],[Is Data Valid]]=TRUE,_xlfn.NORM.S.DIST(Table1[[#This Row],[Birthweight Z-Score]],TRUE)*100,"")</f>
        <v/>
      </c>
      <c r="K1795" s="7" t="str">
        <f>IF(Table1[[#This Row],[Is Data Valid]]=TRUE,_xlfn.NORM.S.DIST(Table1[[#This Row],[Birthweight Z-Score (BW-10%)]],TRUE)*100,"")</f>
        <v/>
      </c>
      <c r="L1795" s="7" t="str">
        <f>IF(Table1[[#This Row],[Is Data Valid]]=TRUE,_xlfn.NORM.S.DIST(Table1[[#This Row],[Birthweight Z-Score (BW+10%)]],TRUE)*100,"")</f>
        <v/>
      </c>
    </row>
    <row r="1796" spans="1:12" x14ac:dyDescent="0.35">
      <c r="A1796" s="3"/>
      <c r="B1796" s="2"/>
      <c r="C1796" s="2"/>
      <c r="D1796" s="2" t="b">
        <f>IF(AND(NOT(ISBLANK(Table1[[#This Row],[Fetal Sex (Male, Female or Unknown)]])),ISNUMBER(Table1[[#This Row],[Birthweight (grams)]]),ISNUMBER(Table1[[#This Row],[Gestation (days)]])),TRUE,FALSE)</f>
        <v>0</v>
      </c>
      <c r="E1796" s="2" t="str">
        <f>IF(Table1[[#This Row],[Is Data Valid]]=TRUE,IF(Table1[[#This Row],[Fetal Sex (Male, Female or Unknown)]]="Male",Backend!$C$6,IF(Table1[[#This Row],[Fetal Sex (Male, Female or Unknown)]]="Female",Backend!$C$7,IF(Table1[[#This Row],[Fetal Sex (Male, Female or Unknown)]]="Unknown",Backend!$C$8,"Error"))),"")</f>
        <v/>
      </c>
      <c r="F1796" s="8" t="str">
        <f>IF(Table1[[#This Row],[Is Data Valid]]=TRUE,EXP(0.578+0.332*((Table1[[#This Row],[Gestation (days)]]+0.5)/7)-0.00354*((Table1[[#This Row],[Gestation (days)]]+0.5)/7)^2)*Table1[[#This Row],[BW40_3705]],"")</f>
        <v/>
      </c>
      <c r="G1796" s="2" t="str">
        <f>IF(Table1[[#This Row],[Is Data Valid]]=TRUE,((Table1[[#This Row],[Birthweight (grams)]]/Table1[[#This Row],[BW_GA]])-1)/(Backend!$B$4/100*Table1[[#This Row],[BW40_3705]]),"")</f>
        <v/>
      </c>
      <c r="H1796" s="7" t="str">
        <f>IF(Table1[[#This Row],[Is Data Valid]]=TRUE,((Table1[[#This Row],[Birthweight (grams)]]*0.9/Table1[[#This Row],[BW_GA]])-1)/(Backend!$B$4/100*Table1[[#This Row],[BW40_3705]]),"")</f>
        <v/>
      </c>
      <c r="I1796" s="7" t="str">
        <f>IF(Table1[[#This Row],[Is Data Valid]]=TRUE,((Table1[[#This Row],[Birthweight (grams)]]*1.1/Table1[[#This Row],[BW_GA]])-1)/(Backend!$B$4/100*Table1[[#This Row],[BW40_3705]]),"")</f>
        <v/>
      </c>
      <c r="J1796" s="7" t="str">
        <f>IF(Table1[[#This Row],[Is Data Valid]]=TRUE,_xlfn.NORM.S.DIST(Table1[[#This Row],[Birthweight Z-Score]],TRUE)*100,"")</f>
        <v/>
      </c>
      <c r="K1796" s="7" t="str">
        <f>IF(Table1[[#This Row],[Is Data Valid]]=TRUE,_xlfn.NORM.S.DIST(Table1[[#This Row],[Birthweight Z-Score (BW-10%)]],TRUE)*100,"")</f>
        <v/>
      </c>
      <c r="L1796" s="7" t="str">
        <f>IF(Table1[[#This Row],[Is Data Valid]]=TRUE,_xlfn.NORM.S.DIST(Table1[[#This Row],[Birthweight Z-Score (BW+10%)]],TRUE)*100,"")</f>
        <v/>
      </c>
    </row>
    <row r="1797" spans="1:12" x14ac:dyDescent="0.35">
      <c r="A1797" s="3"/>
      <c r="B1797" s="2"/>
      <c r="C1797" s="2"/>
      <c r="D1797" s="2" t="b">
        <f>IF(AND(NOT(ISBLANK(Table1[[#This Row],[Fetal Sex (Male, Female or Unknown)]])),ISNUMBER(Table1[[#This Row],[Birthweight (grams)]]),ISNUMBER(Table1[[#This Row],[Gestation (days)]])),TRUE,FALSE)</f>
        <v>0</v>
      </c>
      <c r="E1797" s="2" t="str">
        <f>IF(Table1[[#This Row],[Is Data Valid]]=TRUE,IF(Table1[[#This Row],[Fetal Sex (Male, Female or Unknown)]]="Male",Backend!$C$6,IF(Table1[[#This Row],[Fetal Sex (Male, Female or Unknown)]]="Female",Backend!$C$7,IF(Table1[[#This Row],[Fetal Sex (Male, Female or Unknown)]]="Unknown",Backend!$C$8,"Error"))),"")</f>
        <v/>
      </c>
      <c r="F1797" s="8" t="str">
        <f>IF(Table1[[#This Row],[Is Data Valid]]=TRUE,EXP(0.578+0.332*((Table1[[#This Row],[Gestation (days)]]+0.5)/7)-0.00354*((Table1[[#This Row],[Gestation (days)]]+0.5)/7)^2)*Table1[[#This Row],[BW40_3705]],"")</f>
        <v/>
      </c>
      <c r="G1797" s="2" t="str">
        <f>IF(Table1[[#This Row],[Is Data Valid]]=TRUE,((Table1[[#This Row],[Birthweight (grams)]]/Table1[[#This Row],[BW_GA]])-1)/(Backend!$B$4/100*Table1[[#This Row],[BW40_3705]]),"")</f>
        <v/>
      </c>
      <c r="H1797" s="7" t="str">
        <f>IF(Table1[[#This Row],[Is Data Valid]]=TRUE,((Table1[[#This Row],[Birthweight (grams)]]*0.9/Table1[[#This Row],[BW_GA]])-1)/(Backend!$B$4/100*Table1[[#This Row],[BW40_3705]]),"")</f>
        <v/>
      </c>
      <c r="I1797" s="7" t="str">
        <f>IF(Table1[[#This Row],[Is Data Valid]]=TRUE,((Table1[[#This Row],[Birthweight (grams)]]*1.1/Table1[[#This Row],[BW_GA]])-1)/(Backend!$B$4/100*Table1[[#This Row],[BW40_3705]]),"")</f>
        <v/>
      </c>
      <c r="J1797" s="7" t="str">
        <f>IF(Table1[[#This Row],[Is Data Valid]]=TRUE,_xlfn.NORM.S.DIST(Table1[[#This Row],[Birthweight Z-Score]],TRUE)*100,"")</f>
        <v/>
      </c>
      <c r="K1797" s="7" t="str">
        <f>IF(Table1[[#This Row],[Is Data Valid]]=TRUE,_xlfn.NORM.S.DIST(Table1[[#This Row],[Birthweight Z-Score (BW-10%)]],TRUE)*100,"")</f>
        <v/>
      </c>
      <c r="L1797" s="7" t="str">
        <f>IF(Table1[[#This Row],[Is Data Valid]]=TRUE,_xlfn.NORM.S.DIST(Table1[[#This Row],[Birthweight Z-Score (BW+10%)]],TRUE)*100,"")</f>
        <v/>
      </c>
    </row>
    <row r="1798" spans="1:12" x14ac:dyDescent="0.35">
      <c r="A1798" s="3"/>
      <c r="B1798" s="2"/>
      <c r="C1798" s="2"/>
      <c r="D1798" s="2" t="b">
        <f>IF(AND(NOT(ISBLANK(Table1[[#This Row],[Fetal Sex (Male, Female or Unknown)]])),ISNUMBER(Table1[[#This Row],[Birthweight (grams)]]),ISNUMBER(Table1[[#This Row],[Gestation (days)]])),TRUE,FALSE)</f>
        <v>0</v>
      </c>
      <c r="E1798" s="2" t="str">
        <f>IF(Table1[[#This Row],[Is Data Valid]]=TRUE,IF(Table1[[#This Row],[Fetal Sex (Male, Female or Unknown)]]="Male",Backend!$C$6,IF(Table1[[#This Row],[Fetal Sex (Male, Female or Unknown)]]="Female",Backend!$C$7,IF(Table1[[#This Row],[Fetal Sex (Male, Female or Unknown)]]="Unknown",Backend!$C$8,"Error"))),"")</f>
        <v/>
      </c>
      <c r="F1798" s="8" t="str">
        <f>IF(Table1[[#This Row],[Is Data Valid]]=TRUE,EXP(0.578+0.332*((Table1[[#This Row],[Gestation (days)]]+0.5)/7)-0.00354*((Table1[[#This Row],[Gestation (days)]]+0.5)/7)^2)*Table1[[#This Row],[BW40_3705]],"")</f>
        <v/>
      </c>
      <c r="G1798" s="2" t="str">
        <f>IF(Table1[[#This Row],[Is Data Valid]]=TRUE,((Table1[[#This Row],[Birthweight (grams)]]/Table1[[#This Row],[BW_GA]])-1)/(Backend!$B$4/100*Table1[[#This Row],[BW40_3705]]),"")</f>
        <v/>
      </c>
      <c r="H1798" s="7" t="str">
        <f>IF(Table1[[#This Row],[Is Data Valid]]=TRUE,((Table1[[#This Row],[Birthweight (grams)]]*0.9/Table1[[#This Row],[BW_GA]])-1)/(Backend!$B$4/100*Table1[[#This Row],[BW40_3705]]),"")</f>
        <v/>
      </c>
      <c r="I1798" s="7" t="str">
        <f>IF(Table1[[#This Row],[Is Data Valid]]=TRUE,((Table1[[#This Row],[Birthweight (grams)]]*1.1/Table1[[#This Row],[BW_GA]])-1)/(Backend!$B$4/100*Table1[[#This Row],[BW40_3705]]),"")</f>
        <v/>
      </c>
      <c r="J1798" s="7" t="str">
        <f>IF(Table1[[#This Row],[Is Data Valid]]=TRUE,_xlfn.NORM.S.DIST(Table1[[#This Row],[Birthweight Z-Score]],TRUE)*100,"")</f>
        <v/>
      </c>
      <c r="K1798" s="7" t="str">
        <f>IF(Table1[[#This Row],[Is Data Valid]]=TRUE,_xlfn.NORM.S.DIST(Table1[[#This Row],[Birthweight Z-Score (BW-10%)]],TRUE)*100,"")</f>
        <v/>
      </c>
      <c r="L1798" s="7" t="str">
        <f>IF(Table1[[#This Row],[Is Data Valid]]=TRUE,_xlfn.NORM.S.DIST(Table1[[#This Row],[Birthweight Z-Score (BW+10%)]],TRUE)*100,"")</f>
        <v/>
      </c>
    </row>
    <row r="1799" spans="1:12" x14ac:dyDescent="0.35">
      <c r="A1799" s="3"/>
      <c r="B1799" s="2"/>
      <c r="C1799" s="2"/>
      <c r="D1799" s="2" t="b">
        <f>IF(AND(NOT(ISBLANK(Table1[[#This Row],[Fetal Sex (Male, Female or Unknown)]])),ISNUMBER(Table1[[#This Row],[Birthweight (grams)]]),ISNUMBER(Table1[[#This Row],[Gestation (days)]])),TRUE,FALSE)</f>
        <v>0</v>
      </c>
      <c r="E1799" s="2" t="str">
        <f>IF(Table1[[#This Row],[Is Data Valid]]=TRUE,IF(Table1[[#This Row],[Fetal Sex (Male, Female or Unknown)]]="Male",Backend!$C$6,IF(Table1[[#This Row],[Fetal Sex (Male, Female or Unknown)]]="Female",Backend!$C$7,IF(Table1[[#This Row],[Fetal Sex (Male, Female or Unknown)]]="Unknown",Backend!$C$8,"Error"))),"")</f>
        <v/>
      </c>
      <c r="F1799" s="8" t="str">
        <f>IF(Table1[[#This Row],[Is Data Valid]]=TRUE,EXP(0.578+0.332*((Table1[[#This Row],[Gestation (days)]]+0.5)/7)-0.00354*((Table1[[#This Row],[Gestation (days)]]+0.5)/7)^2)*Table1[[#This Row],[BW40_3705]],"")</f>
        <v/>
      </c>
      <c r="G1799" s="2" t="str">
        <f>IF(Table1[[#This Row],[Is Data Valid]]=TRUE,((Table1[[#This Row],[Birthweight (grams)]]/Table1[[#This Row],[BW_GA]])-1)/(Backend!$B$4/100*Table1[[#This Row],[BW40_3705]]),"")</f>
        <v/>
      </c>
      <c r="H1799" s="7" t="str">
        <f>IF(Table1[[#This Row],[Is Data Valid]]=TRUE,((Table1[[#This Row],[Birthweight (grams)]]*0.9/Table1[[#This Row],[BW_GA]])-1)/(Backend!$B$4/100*Table1[[#This Row],[BW40_3705]]),"")</f>
        <v/>
      </c>
      <c r="I1799" s="7" t="str">
        <f>IF(Table1[[#This Row],[Is Data Valid]]=TRUE,((Table1[[#This Row],[Birthweight (grams)]]*1.1/Table1[[#This Row],[BW_GA]])-1)/(Backend!$B$4/100*Table1[[#This Row],[BW40_3705]]),"")</f>
        <v/>
      </c>
      <c r="J1799" s="7" t="str">
        <f>IF(Table1[[#This Row],[Is Data Valid]]=TRUE,_xlfn.NORM.S.DIST(Table1[[#This Row],[Birthweight Z-Score]],TRUE)*100,"")</f>
        <v/>
      </c>
      <c r="K1799" s="7" t="str">
        <f>IF(Table1[[#This Row],[Is Data Valid]]=TRUE,_xlfn.NORM.S.DIST(Table1[[#This Row],[Birthweight Z-Score (BW-10%)]],TRUE)*100,"")</f>
        <v/>
      </c>
      <c r="L1799" s="7" t="str">
        <f>IF(Table1[[#This Row],[Is Data Valid]]=TRUE,_xlfn.NORM.S.DIST(Table1[[#This Row],[Birthweight Z-Score (BW+10%)]],TRUE)*100,"")</f>
        <v/>
      </c>
    </row>
    <row r="1800" spans="1:12" x14ac:dyDescent="0.35">
      <c r="A1800" s="3"/>
      <c r="B1800" s="2"/>
      <c r="C1800" s="2"/>
      <c r="D1800" s="2" t="b">
        <f>IF(AND(NOT(ISBLANK(Table1[[#This Row],[Fetal Sex (Male, Female or Unknown)]])),ISNUMBER(Table1[[#This Row],[Birthweight (grams)]]),ISNUMBER(Table1[[#This Row],[Gestation (days)]])),TRUE,FALSE)</f>
        <v>0</v>
      </c>
      <c r="E1800" s="2" t="str">
        <f>IF(Table1[[#This Row],[Is Data Valid]]=TRUE,IF(Table1[[#This Row],[Fetal Sex (Male, Female or Unknown)]]="Male",Backend!$C$6,IF(Table1[[#This Row],[Fetal Sex (Male, Female or Unknown)]]="Female",Backend!$C$7,IF(Table1[[#This Row],[Fetal Sex (Male, Female or Unknown)]]="Unknown",Backend!$C$8,"Error"))),"")</f>
        <v/>
      </c>
      <c r="F1800" s="8" t="str">
        <f>IF(Table1[[#This Row],[Is Data Valid]]=TRUE,EXP(0.578+0.332*((Table1[[#This Row],[Gestation (days)]]+0.5)/7)-0.00354*((Table1[[#This Row],[Gestation (days)]]+0.5)/7)^2)*Table1[[#This Row],[BW40_3705]],"")</f>
        <v/>
      </c>
      <c r="G1800" s="2" t="str">
        <f>IF(Table1[[#This Row],[Is Data Valid]]=TRUE,((Table1[[#This Row],[Birthweight (grams)]]/Table1[[#This Row],[BW_GA]])-1)/(Backend!$B$4/100*Table1[[#This Row],[BW40_3705]]),"")</f>
        <v/>
      </c>
      <c r="H1800" s="7" t="str">
        <f>IF(Table1[[#This Row],[Is Data Valid]]=TRUE,((Table1[[#This Row],[Birthweight (grams)]]*0.9/Table1[[#This Row],[BW_GA]])-1)/(Backend!$B$4/100*Table1[[#This Row],[BW40_3705]]),"")</f>
        <v/>
      </c>
      <c r="I1800" s="7" t="str">
        <f>IF(Table1[[#This Row],[Is Data Valid]]=TRUE,((Table1[[#This Row],[Birthweight (grams)]]*1.1/Table1[[#This Row],[BW_GA]])-1)/(Backend!$B$4/100*Table1[[#This Row],[BW40_3705]]),"")</f>
        <v/>
      </c>
      <c r="J1800" s="7" t="str">
        <f>IF(Table1[[#This Row],[Is Data Valid]]=TRUE,_xlfn.NORM.S.DIST(Table1[[#This Row],[Birthweight Z-Score]],TRUE)*100,"")</f>
        <v/>
      </c>
      <c r="K1800" s="7" t="str">
        <f>IF(Table1[[#This Row],[Is Data Valid]]=TRUE,_xlfn.NORM.S.DIST(Table1[[#This Row],[Birthweight Z-Score (BW-10%)]],TRUE)*100,"")</f>
        <v/>
      </c>
      <c r="L1800" s="7" t="str">
        <f>IF(Table1[[#This Row],[Is Data Valid]]=TRUE,_xlfn.NORM.S.DIST(Table1[[#This Row],[Birthweight Z-Score (BW+10%)]],TRUE)*100,"")</f>
        <v/>
      </c>
    </row>
    <row r="1801" spans="1:12" x14ac:dyDescent="0.35">
      <c r="A1801" s="3"/>
      <c r="B1801" s="2"/>
      <c r="C1801" s="2"/>
      <c r="D1801" s="2" t="b">
        <f>IF(AND(NOT(ISBLANK(Table1[[#This Row],[Fetal Sex (Male, Female or Unknown)]])),ISNUMBER(Table1[[#This Row],[Birthweight (grams)]]),ISNUMBER(Table1[[#This Row],[Gestation (days)]])),TRUE,FALSE)</f>
        <v>0</v>
      </c>
      <c r="E1801" s="2" t="str">
        <f>IF(Table1[[#This Row],[Is Data Valid]]=TRUE,IF(Table1[[#This Row],[Fetal Sex (Male, Female or Unknown)]]="Male",Backend!$C$6,IF(Table1[[#This Row],[Fetal Sex (Male, Female or Unknown)]]="Female",Backend!$C$7,IF(Table1[[#This Row],[Fetal Sex (Male, Female or Unknown)]]="Unknown",Backend!$C$8,"Error"))),"")</f>
        <v/>
      </c>
      <c r="F1801" s="8" t="str">
        <f>IF(Table1[[#This Row],[Is Data Valid]]=TRUE,EXP(0.578+0.332*((Table1[[#This Row],[Gestation (days)]]+0.5)/7)-0.00354*((Table1[[#This Row],[Gestation (days)]]+0.5)/7)^2)*Table1[[#This Row],[BW40_3705]],"")</f>
        <v/>
      </c>
      <c r="G1801" s="2" t="str">
        <f>IF(Table1[[#This Row],[Is Data Valid]]=TRUE,((Table1[[#This Row],[Birthweight (grams)]]/Table1[[#This Row],[BW_GA]])-1)/(Backend!$B$4/100*Table1[[#This Row],[BW40_3705]]),"")</f>
        <v/>
      </c>
      <c r="H1801" s="7" t="str">
        <f>IF(Table1[[#This Row],[Is Data Valid]]=TRUE,((Table1[[#This Row],[Birthweight (grams)]]*0.9/Table1[[#This Row],[BW_GA]])-1)/(Backend!$B$4/100*Table1[[#This Row],[BW40_3705]]),"")</f>
        <v/>
      </c>
      <c r="I1801" s="7" t="str">
        <f>IF(Table1[[#This Row],[Is Data Valid]]=TRUE,((Table1[[#This Row],[Birthweight (grams)]]*1.1/Table1[[#This Row],[BW_GA]])-1)/(Backend!$B$4/100*Table1[[#This Row],[BW40_3705]]),"")</f>
        <v/>
      </c>
      <c r="J1801" s="7" t="str">
        <f>IF(Table1[[#This Row],[Is Data Valid]]=TRUE,_xlfn.NORM.S.DIST(Table1[[#This Row],[Birthweight Z-Score]],TRUE)*100,"")</f>
        <v/>
      </c>
      <c r="K1801" s="7" t="str">
        <f>IF(Table1[[#This Row],[Is Data Valid]]=TRUE,_xlfn.NORM.S.DIST(Table1[[#This Row],[Birthweight Z-Score (BW-10%)]],TRUE)*100,"")</f>
        <v/>
      </c>
      <c r="L1801" s="7" t="str">
        <f>IF(Table1[[#This Row],[Is Data Valid]]=TRUE,_xlfn.NORM.S.DIST(Table1[[#This Row],[Birthweight Z-Score (BW+10%)]],TRUE)*100,"")</f>
        <v/>
      </c>
    </row>
    <row r="1802" spans="1:12" x14ac:dyDescent="0.35">
      <c r="A1802" s="3"/>
      <c r="B1802" s="2"/>
      <c r="C1802" s="2"/>
      <c r="D1802" s="2" t="b">
        <f>IF(AND(NOT(ISBLANK(Table1[[#This Row],[Fetal Sex (Male, Female or Unknown)]])),ISNUMBER(Table1[[#This Row],[Birthweight (grams)]]),ISNUMBER(Table1[[#This Row],[Gestation (days)]])),TRUE,FALSE)</f>
        <v>0</v>
      </c>
      <c r="E1802" s="2" t="str">
        <f>IF(Table1[[#This Row],[Is Data Valid]]=TRUE,IF(Table1[[#This Row],[Fetal Sex (Male, Female or Unknown)]]="Male",Backend!$C$6,IF(Table1[[#This Row],[Fetal Sex (Male, Female or Unknown)]]="Female",Backend!$C$7,IF(Table1[[#This Row],[Fetal Sex (Male, Female or Unknown)]]="Unknown",Backend!$C$8,"Error"))),"")</f>
        <v/>
      </c>
      <c r="F1802" s="8" t="str">
        <f>IF(Table1[[#This Row],[Is Data Valid]]=TRUE,EXP(0.578+0.332*((Table1[[#This Row],[Gestation (days)]]+0.5)/7)-0.00354*((Table1[[#This Row],[Gestation (days)]]+0.5)/7)^2)*Table1[[#This Row],[BW40_3705]],"")</f>
        <v/>
      </c>
      <c r="G1802" s="2" t="str">
        <f>IF(Table1[[#This Row],[Is Data Valid]]=TRUE,((Table1[[#This Row],[Birthweight (grams)]]/Table1[[#This Row],[BW_GA]])-1)/(Backend!$B$4/100*Table1[[#This Row],[BW40_3705]]),"")</f>
        <v/>
      </c>
      <c r="H1802" s="7" t="str">
        <f>IF(Table1[[#This Row],[Is Data Valid]]=TRUE,((Table1[[#This Row],[Birthweight (grams)]]*0.9/Table1[[#This Row],[BW_GA]])-1)/(Backend!$B$4/100*Table1[[#This Row],[BW40_3705]]),"")</f>
        <v/>
      </c>
      <c r="I1802" s="7" t="str">
        <f>IF(Table1[[#This Row],[Is Data Valid]]=TRUE,((Table1[[#This Row],[Birthweight (grams)]]*1.1/Table1[[#This Row],[BW_GA]])-1)/(Backend!$B$4/100*Table1[[#This Row],[BW40_3705]]),"")</f>
        <v/>
      </c>
      <c r="J1802" s="7" t="str">
        <f>IF(Table1[[#This Row],[Is Data Valid]]=TRUE,_xlfn.NORM.S.DIST(Table1[[#This Row],[Birthweight Z-Score]],TRUE)*100,"")</f>
        <v/>
      </c>
      <c r="K1802" s="7" t="str">
        <f>IF(Table1[[#This Row],[Is Data Valid]]=TRUE,_xlfn.NORM.S.DIST(Table1[[#This Row],[Birthweight Z-Score (BW-10%)]],TRUE)*100,"")</f>
        <v/>
      </c>
      <c r="L1802" s="7" t="str">
        <f>IF(Table1[[#This Row],[Is Data Valid]]=TRUE,_xlfn.NORM.S.DIST(Table1[[#This Row],[Birthweight Z-Score (BW+10%)]],TRUE)*100,"")</f>
        <v/>
      </c>
    </row>
    <row r="1803" spans="1:12" x14ac:dyDescent="0.35">
      <c r="A1803" s="3"/>
      <c r="B1803" s="2"/>
      <c r="C1803" s="2"/>
      <c r="D1803" s="2" t="b">
        <f>IF(AND(NOT(ISBLANK(Table1[[#This Row],[Fetal Sex (Male, Female or Unknown)]])),ISNUMBER(Table1[[#This Row],[Birthweight (grams)]]),ISNUMBER(Table1[[#This Row],[Gestation (days)]])),TRUE,FALSE)</f>
        <v>0</v>
      </c>
      <c r="E1803" s="2" t="str">
        <f>IF(Table1[[#This Row],[Is Data Valid]]=TRUE,IF(Table1[[#This Row],[Fetal Sex (Male, Female or Unknown)]]="Male",Backend!$C$6,IF(Table1[[#This Row],[Fetal Sex (Male, Female or Unknown)]]="Female",Backend!$C$7,IF(Table1[[#This Row],[Fetal Sex (Male, Female or Unknown)]]="Unknown",Backend!$C$8,"Error"))),"")</f>
        <v/>
      </c>
      <c r="F1803" s="8" t="str">
        <f>IF(Table1[[#This Row],[Is Data Valid]]=TRUE,EXP(0.578+0.332*((Table1[[#This Row],[Gestation (days)]]+0.5)/7)-0.00354*((Table1[[#This Row],[Gestation (days)]]+0.5)/7)^2)*Table1[[#This Row],[BW40_3705]],"")</f>
        <v/>
      </c>
      <c r="G1803" s="2" t="str">
        <f>IF(Table1[[#This Row],[Is Data Valid]]=TRUE,((Table1[[#This Row],[Birthweight (grams)]]/Table1[[#This Row],[BW_GA]])-1)/(Backend!$B$4/100*Table1[[#This Row],[BW40_3705]]),"")</f>
        <v/>
      </c>
      <c r="H1803" s="7" t="str">
        <f>IF(Table1[[#This Row],[Is Data Valid]]=TRUE,((Table1[[#This Row],[Birthweight (grams)]]*0.9/Table1[[#This Row],[BW_GA]])-1)/(Backend!$B$4/100*Table1[[#This Row],[BW40_3705]]),"")</f>
        <v/>
      </c>
      <c r="I1803" s="7" t="str">
        <f>IF(Table1[[#This Row],[Is Data Valid]]=TRUE,((Table1[[#This Row],[Birthweight (grams)]]*1.1/Table1[[#This Row],[BW_GA]])-1)/(Backend!$B$4/100*Table1[[#This Row],[BW40_3705]]),"")</f>
        <v/>
      </c>
      <c r="J1803" s="7" t="str">
        <f>IF(Table1[[#This Row],[Is Data Valid]]=TRUE,_xlfn.NORM.S.DIST(Table1[[#This Row],[Birthweight Z-Score]],TRUE)*100,"")</f>
        <v/>
      </c>
      <c r="K1803" s="7" t="str">
        <f>IF(Table1[[#This Row],[Is Data Valid]]=TRUE,_xlfn.NORM.S.DIST(Table1[[#This Row],[Birthweight Z-Score (BW-10%)]],TRUE)*100,"")</f>
        <v/>
      </c>
      <c r="L1803" s="7" t="str">
        <f>IF(Table1[[#This Row],[Is Data Valid]]=TRUE,_xlfn.NORM.S.DIST(Table1[[#This Row],[Birthweight Z-Score (BW+10%)]],TRUE)*100,"")</f>
        <v/>
      </c>
    </row>
    <row r="1804" spans="1:12" x14ac:dyDescent="0.35">
      <c r="A1804" s="3"/>
      <c r="B1804" s="2"/>
      <c r="C1804" s="2"/>
      <c r="D1804" s="2" t="b">
        <f>IF(AND(NOT(ISBLANK(Table1[[#This Row],[Fetal Sex (Male, Female or Unknown)]])),ISNUMBER(Table1[[#This Row],[Birthweight (grams)]]),ISNUMBER(Table1[[#This Row],[Gestation (days)]])),TRUE,FALSE)</f>
        <v>0</v>
      </c>
      <c r="E1804" s="2" t="str">
        <f>IF(Table1[[#This Row],[Is Data Valid]]=TRUE,IF(Table1[[#This Row],[Fetal Sex (Male, Female or Unknown)]]="Male",Backend!$C$6,IF(Table1[[#This Row],[Fetal Sex (Male, Female or Unknown)]]="Female",Backend!$C$7,IF(Table1[[#This Row],[Fetal Sex (Male, Female or Unknown)]]="Unknown",Backend!$C$8,"Error"))),"")</f>
        <v/>
      </c>
      <c r="F1804" s="8" t="str">
        <f>IF(Table1[[#This Row],[Is Data Valid]]=TRUE,EXP(0.578+0.332*((Table1[[#This Row],[Gestation (days)]]+0.5)/7)-0.00354*((Table1[[#This Row],[Gestation (days)]]+0.5)/7)^2)*Table1[[#This Row],[BW40_3705]],"")</f>
        <v/>
      </c>
      <c r="G1804" s="2" t="str">
        <f>IF(Table1[[#This Row],[Is Data Valid]]=TRUE,((Table1[[#This Row],[Birthweight (grams)]]/Table1[[#This Row],[BW_GA]])-1)/(Backend!$B$4/100*Table1[[#This Row],[BW40_3705]]),"")</f>
        <v/>
      </c>
      <c r="H1804" s="7" t="str">
        <f>IF(Table1[[#This Row],[Is Data Valid]]=TRUE,((Table1[[#This Row],[Birthweight (grams)]]*0.9/Table1[[#This Row],[BW_GA]])-1)/(Backend!$B$4/100*Table1[[#This Row],[BW40_3705]]),"")</f>
        <v/>
      </c>
      <c r="I1804" s="7" t="str">
        <f>IF(Table1[[#This Row],[Is Data Valid]]=TRUE,((Table1[[#This Row],[Birthweight (grams)]]*1.1/Table1[[#This Row],[BW_GA]])-1)/(Backend!$B$4/100*Table1[[#This Row],[BW40_3705]]),"")</f>
        <v/>
      </c>
      <c r="J1804" s="7" t="str">
        <f>IF(Table1[[#This Row],[Is Data Valid]]=TRUE,_xlfn.NORM.S.DIST(Table1[[#This Row],[Birthweight Z-Score]],TRUE)*100,"")</f>
        <v/>
      </c>
      <c r="K1804" s="7" t="str">
        <f>IF(Table1[[#This Row],[Is Data Valid]]=TRUE,_xlfn.NORM.S.DIST(Table1[[#This Row],[Birthweight Z-Score (BW-10%)]],TRUE)*100,"")</f>
        <v/>
      </c>
      <c r="L1804" s="7" t="str">
        <f>IF(Table1[[#This Row],[Is Data Valid]]=TRUE,_xlfn.NORM.S.DIST(Table1[[#This Row],[Birthweight Z-Score (BW+10%)]],TRUE)*100,"")</f>
        <v/>
      </c>
    </row>
    <row r="1805" spans="1:12" x14ac:dyDescent="0.35">
      <c r="A1805" s="3"/>
      <c r="B1805" s="2"/>
      <c r="C1805" s="2"/>
      <c r="D1805" s="2" t="b">
        <f>IF(AND(NOT(ISBLANK(Table1[[#This Row],[Fetal Sex (Male, Female or Unknown)]])),ISNUMBER(Table1[[#This Row],[Birthweight (grams)]]),ISNUMBER(Table1[[#This Row],[Gestation (days)]])),TRUE,FALSE)</f>
        <v>0</v>
      </c>
      <c r="E1805" s="2" t="str">
        <f>IF(Table1[[#This Row],[Is Data Valid]]=TRUE,IF(Table1[[#This Row],[Fetal Sex (Male, Female or Unknown)]]="Male",Backend!$C$6,IF(Table1[[#This Row],[Fetal Sex (Male, Female or Unknown)]]="Female",Backend!$C$7,IF(Table1[[#This Row],[Fetal Sex (Male, Female or Unknown)]]="Unknown",Backend!$C$8,"Error"))),"")</f>
        <v/>
      </c>
      <c r="F1805" s="8" t="str">
        <f>IF(Table1[[#This Row],[Is Data Valid]]=TRUE,EXP(0.578+0.332*((Table1[[#This Row],[Gestation (days)]]+0.5)/7)-0.00354*((Table1[[#This Row],[Gestation (days)]]+0.5)/7)^2)*Table1[[#This Row],[BW40_3705]],"")</f>
        <v/>
      </c>
      <c r="G1805" s="2" t="str">
        <f>IF(Table1[[#This Row],[Is Data Valid]]=TRUE,((Table1[[#This Row],[Birthweight (grams)]]/Table1[[#This Row],[BW_GA]])-1)/(Backend!$B$4/100*Table1[[#This Row],[BW40_3705]]),"")</f>
        <v/>
      </c>
      <c r="H1805" s="7" t="str">
        <f>IF(Table1[[#This Row],[Is Data Valid]]=TRUE,((Table1[[#This Row],[Birthweight (grams)]]*0.9/Table1[[#This Row],[BW_GA]])-1)/(Backend!$B$4/100*Table1[[#This Row],[BW40_3705]]),"")</f>
        <v/>
      </c>
      <c r="I1805" s="7" t="str">
        <f>IF(Table1[[#This Row],[Is Data Valid]]=TRUE,((Table1[[#This Row],[Birthweight (grams)]]*1.1/Table1[[#This Row],[BW_GA]])-1)/(Backend!$B$4/100*Table1[[#This Row],[BW40_3705]]),"")</f>
        <v/>
      </c>
      <c r="J1805" s="7" t="str">
        <f>IF(Table1[[#This Row],[Is Data Valid]]=TRUE,_xlfn.NORM.S.DIST(Table1[[#This Row],[Birthweight Z-Score]],TRUE)*100,"")</f>
        <v/>
      </c>
      <c r="K1805" s="7" t="str">
        <f>IF(Table1[[#This Row],[Is Data Valid]]=TRUE,_xlfn.NORM.S.DIST(Table1[[#This Row],[Birthweight Z-Score (BW-10%)]],TRUE)*100,"")</f>
        <v/>
      </c>
      <c r="L1805" s="7" t="str">
        <f>IF(Table1[[#This Row],[Is Data Valid]]=TRUE,_xlfn.NORM.S.DIST(Table1[[#This Row],[Birthweight Z-Score (BW+10%)]],TRUE)*100,"")</f>
        <v/>
      </c>
    </row>
    <row r="1806" spans="1:12" x14ac:dyDescent="0.35">
      <c r="A1806" s="3"/>
      <c r="B1806" s="2"/>
      <c r="C1806" s="2"/>
      <c r="D1806" s="2" t="b">
        <f>IF(AND(NOT(ISBLANK(Table1[[#This Row],[Fetal Sex (Male, Female or Unknown)]])),ISNUMBER(Table1[[#This Row],[Birthweight (grams)]]),ISNUMBER(Table1[[#This Row],[Gestation (days)]])),TRUE,FALSE)</f>
        <v>0</v>
      </c>
      <c r="E1806" s="2" t="str">
        <f>IF(Table1[[#This Row],[Is Data Valid]]=TRUE,IF(Table1[[#This Row],[Fetal Sex (Male, Female or Unknown)]]="Male",Backend!$C$6,IF(Table1[[#This Row],[Fetal Sex (Male, Female or Unknown)]]="Female",Backend!$C$7,IF(Table1[[#This Row],[Fetal Sex (Male, Female or Unknown)]]="Unknown",Backend!$C$8,"Error"))),"")</f>
        <v/>
      </c>
      <c r="F1806" s="8" t="str">
        <f>IF(Table1[[#This Row],[Is Data Valid]]=TRUE,EXP(0.578+0.332*((Table1[[#This Row],[Gestation (days)]]+0.5)/7)-0.00354*((Table1[[#This Row],[Gestation (days)]]+0.5)/7)^2)*Table1[[#This Row],[BW40_3705]],"")</f>
        <v/>
      </c>
      <c r="G1806" s="2" t="str">
        <f>IF(Table1[[#This Row],[Is Data Valid]]=TRUE,((Table1[[#This Row],[Birthweight (grams)]]/Table1[[#This Row],[BW_GA]])-1)/(Backend!$B$4/100*Table1[[#This Row],[BW40_3705]]),"")</f>
        <v/>
      </c>
      <c r="H1806" s="7" t="str">
        <f>IF(Table1[[#This Row],[Is Data Valid]]=TRUE,((Table1[[#This Row],[Birthweight (grams)]]*0.9/Table1[[#This Row],[BW_GA]])-1)/(Backend!$B$4/100*Table1[[#This Row],[BW40_3705]]),"")</f>
        <v/>
      </c>
      <c r="I1806" s="7" t="str">
        <f>IF(Table1[[#This Row],[Is Data Valid]]=TRUE,((Table1[[#This Row],[Birthweight (grams)]]*1.1/Table1[[#This Row],[BW_GA]])-1)/(Backend!$B$4/100*Table1[[#This Row],[BW40_3705]]),"")</f>
        <v/>
      </c>
      <c r="J1806" s="7" t="str">
        <f>IF(Table1[[#This Row],[Is Data Valid]]=TRUE,_xlfn.NORM.S.DIST(Table1[[#This Row],[Birthweight Z-Score]],TRUE)*100,"")</f>
        <v/>
      </c>
      <c r="K1806" s="7" t="str">
        <f>IF(Table1[[#This Row],[Is Data Valid]]=TRUE,_xlfn.NORM.S.DIST(Table1[[#This Row],[Birthweight Z-Score (BW-10%)]],TRUE)*100,"")</f>
        <v/>
      </c>
      <c r="L1806" s="7" t="str">
        <f>IF(Table1[[#This Row],[Is Data Valid]]=TRUE,_xlfn.NORM.S.DIST(Table1[[#This Row],[Birthweight Z-Score (BW+10%)]],TRUE)*100,"")</f>
        <v/>
      </c>
    </row>
    <row r="1807" spans="1:12" x14ac:dyDescent="0.35">
      <c r="A1807" s="3"/>
      <c r="B1807" s="2"/>
      <c r="C1807" s="2"/>
      <c r="D1807" s="2" t="b">
        <f>IF(AND(NOT(ISBLANK(Table1[[#This Row],[Fetal Sex (Male, Female or Unknown)]])),ISNUMBER(Table1[[#This Row],[Birthweight (grams)]]),ISNUMBER(Table1[[#This Row],[Gestation (days)]])),TRUE,FALSE)</f>
        <v>0</v>
      </c>
      <c r="E1807" s="2" t="str">
        <f>IF(Table1[[#This Row],[Is Data Valid]]=TRUE,IF(Table1[[#This Row],[Fetal Sex (Male, Female or Unknown)]]="Male",Backend!$C$6,IF(Table1[[#This Row],[Fetal Sex (Male, Female or Unknown)]]="Female",Backend!$C$7,IF(Table1[[#This Row],[Fetal Sex (Male, Female or Unknown)]]="Unknown",Backend!$C$8,"Error"))),"")</f>
        <v/>
      </c>
      <c r="F1807" s="8" t="str">
        <f>IF(Table1[[#This Row],[Is Data Valid]]=TRUE,EXP(0.578+0.332*((Table1[[#This Row],[Gestation (days)]]+0.5)/7)-0.00354*((Table1[[#This Row],[Gestation (days)]]+0.5)/7)^2)*Table1[[#This Row],[BW40_3705]],"")</f>
        <v/>
      </c>
      <c r="G1807" s="2" t="str">
        <f>IF(Table1[[#This Row],[Is Data Valid]]=TRUE,((Table1[[#This Row],[Birthweight (grams)]]/Table1[[#This Row],[BW_GA]])-1)/(Backend!$B$4/100*Table1[[#This Row],[BW40_3705]]),"")</f>
        <v/>
      </c>
      <c r="H1807" s="7" t="str">
        <f>IF(Table1[[#This Row],[Is Data Valid]]=TRUE,((Table1[[#This Row],[Birthweight (grams)]]*0.9/Table1[[#This Row],[BW_GA]])-1)/(Backend!$B$4/100*Table1[[#This Row],[BW40_3705]]),"")</f>
        <v/>
      </c>
      <c r="I1807" s="7" t="str">
        <f>IF(Table1[[#This Row],[Is Data Valid]]=TRUE,((Table1[[#This Row],[Birthweight (grams)]]*1.1/Table1[[#This Row],[BW_GA]])-1)/(Backend!$B$4/100*Table1[[#This Row],[BW40_3705]]),"")</f>
        <v/>
      </c>
      <c r="J1807" s="7" t="str">
        <f>IF(Table1[[#This Row],[Is Data Valid]]=TRUE,_xlfn.NORM.S.DIST(Table1[[#This Row],[Birthweight Z-Score]],TRUE)*100,"")</f>
        <v/>
      </c>
      <c r="K1807" s="7" t="str">
        <f>IF(Table1[[#This Row],[Is Data Valid]]=TRUE,_xlfn.NORM.S.DIST(Table1[[#This Row],[Birthweight Z-Score (BW-10%)]],TRUE)*100,"")</f>
        <v/>
      </c>
      <c r="L1807" s="7" t="str">
        <f>IF(Table1[[#This Row],[Is Data Valid]]=TRUE,_xlfn.NORM.S.DIST(Table1[[#This Row],[Birthweight Z-Score (BW+10%)]],TRUE)*100,"")</f>
        <v/>
      </c>
    </row>
    <row r="1808" spans="1:12" x14ac:dyDescent="0.35">
      <c r="A1808" s="3"/>
      <c r="B1808" s="2"/>
      <c r="C1808" s="2"/>
      <c r="D1808" s="2" t="b">
        <f>IF(AND(NOT(ISBLANK(Table1[[#This Row],[Fetal Sex (Male, Female or Unknown)]])),ISNUMBER(Table1[[#This Row],[Birthweight (grams)]]),ISNUMBER(Table1[[#This Row],[Gestation (days)]])),TRUE,FALSE)</f>
        <v>0</v>
      </c>
      <c r="E1808" s="2" t="str">
        <f>IF(Table1[[#This Row],[Is Data Valid]]=TRUE,IF(Table1[[#This Row],[Fetal Sex (Male, Female or Unknown)]]="Male",Backend!$C$6,IF(Table1[[#This Row],[Fetal Sex (Male, Female or Unknown)]]="Female",Backend!$C$7,IF(Table1[[#This Row],[Fetal Sex (Male, Female or Unknown)]]="Unknown",Backend!$C$8,"Error"))),"")</f>
        <v/>
      </c>
      <c r="F1808" s="8" t="str">
        <f>IF(Table1[[#This Row],[Is Data Valid]]=TRUE,EXP(0.578+0.332*((Table1[[#This Row],[Gestation (days)]]+0.5)/7)-0.00354*((Table1[[#This Row],[Gestation (days)]]+0.5)/7)^2)*Table1[[#This Row],[BW40_3705]],"")</f>
        <v/>
      </c>
      <c r="G1808" s="2" t="str">
        <f>IF(Table1[[#This Row],[Is Data Valid]]=TRUE,((Table1[[#This Row],[Birthweight (grams)]]/Table1[[#This Row],[BW_GA]])-1)/(Backend!$B$4/100*Table1[[#This Row],[BW40_3705]]),"")</f>
        <v/>
      </c>
      <c r="H1808" s="7" t="str">
        <f>IF(Table1[[#This Row],[Is Data Valid]]=TRUE,((Table1[[#This Row],[Birthweight (grams)]]*0.9/Table1[[#This Row],[BW_GA]])-1)/(Backend!$B$4/100*Table1[[#This Row],[BW40_3705]]),"")</f>
        <v/>
      </c>
      <c r="I1808" s="7" t="str">
        <f>IF(Table1[[#This Row],[Is Data Valid]]=TRUE,((Table1[[#This Row],[Birthweight (grams)]]*1.1/Table1[[#This Row],[BW_GA]])-1)/(Backend!$B$4/100*Table1[[#This Row],[BW40_3705]]),"")</f>
        <v/>
      </c>
      <c r="J1808" s="7" t="str">
        <f>IF(Table1[[#This Row],[Is Data Valid]]=TRUE,_xlfn.NORM.S.DIST(Table1[[#This Row],[Birthweight Z-Score]],TRUE)*100,"")</f>
        <v/>
      </c>
      <c r="K1808" s="7" t="str">
        <f>IF(Table1[[#This Row],[Is Data Valid]]=TRUE,_xlfn.NORM.S.DIST(Table1[[#This Row],[Birthweight Z-Score (BW-10%)]],TRUE)*100,"")</f>
        <v/>
      </c>
      <c r="L1808" s="7" t="str">
        <f>IF(Table1[[#This Row],[Is Data Valid]]=TRUE,_xlfn.NORM.S.DIST(Table1[[#This Row],[Birthweight Z-Score (BW+10%)]],TRUE)*100,"")</f>
        <v/>
      </c>
    </row>
    <row r="1809" spans="1:12" x14ac:dyDescent="0.35">
      <c r="A1809" s="3"/>
      <c r="B1809" s="2"/>
      <c r="C1809" s="2"/>
      <c r="D1809" s="2" t="b">
        <f>IF(AND(NOT(ISBLANK(Table1[[#This Row],[Fetal Sex (Male, Female or Unknown)]])),ISNUMBER(Table1[[#This Row],[Birthweight (grams)]]),ISNUMBER(Table1[[#This Row],[Gestation (days)]])),TRUE,FALSE)</f>
        <v>0</v>
      </c>
      <c r="E1809" s="2" t="str">
        <f>IF(Table1[[#This Row],[Is Data Valid]]=TRUE,IF(Table1[[#This Row],[Fetal Sex (Male, Female or Unknown)]]="Male",Backend!$C$6,IF(Table1[[#This Row],[Fetal Sex (Male, Female or Unknown)]]="Female",Backend!$C$7,IF(Table1[[#This Row],[Fetal Sex (Male, Female or Unknown)]]="Unknown",Backend!$C$8,"Error"))),"")</f>
        <v/>
      </c>
      <c r="F1809" s="8" t="str">
        <f>IF(Table1[[#This Row],[Is Data Valid]]=TRUE,EXP(0.578+0.332*((Table1[[#This Row],[Gestation (days)]]+0.5)/7)-0.00354*((Table1[[#This Row],[Gestation (days)]]+0.5)/7)^2)*Table1[[#This Row],[BW40_3705]],"")</f>
        <v/>
      </c>
      <c r="G1809" s="2" t="str">
        <f>IF(Table1[[#This Row],[Is Data Valid]]=TRUE,((Table1[[#This Row],[Birthweight (grams)]]/Table1[[#This Row],[BW_GA]])-1)/(Backend!$B$4/100*Table1[[#This Row],[BW40_3705]]),"")</f>
        <v/>
      </c>
      <c r="H1809" s="7" t="str">
        <f>IF(Table1[[#This Row],[Is Data Valid]]=TRUE,((Table1[[#This Row],[Birthweight (grams)]]*0.9/Table1[[#This Row],[BW_GA]])-1)/(Backend!$B$4/100*Table1[[#This Row],[BW40_3705]]),"")</f>
        <v/>
      </c>
      <c r="I1809" s="7" t="str">
        <f>IF(Table1[[#This Row],[Is Data Valid]]=TRUE,((Table1[[#This Row],[Birthweight (grams)]]*1.1/Table1[[#This Row],[BW_GA]])-1)/(Backend!$B$4/100*Table1[[#This Row],[BW40_3705]]),"")</f>
        <v/>
      </c>
      <c r="J1809" s="7" t="str">
        <f>IF(Table1[[#This Row],[Is Data Valid]]=TRUE,_xlfn.NORM.S.DIST(Table1[[#This Row],[Birthweight Z-Score]],TRUE)*100,"")</f>
        <v/>
      </c>
      <c r="K1809" s="7" t="str">
        <f>IF(Table1[[#This Row],[Is Data Valid]]=TRUE,_xlfn.NORM.S.DIST(Table1[[#This Row],[Birthweight Z-Score (BW-10%)]],TRUE)*100,"")</f>
        <v/>
      </c>
      <c r="L1809" s="7" t="str">
        <f>IF(Table1[[#This Row],[Is Data Valid]]=TRUE,_xlfn.NORM.S.DIST(Table1[[#This Row],[Birthweight Z-Score (BW+10%)]],TRUE)*100,"")</f>
        <v/>
      </c>
    </row>
    <row r="1810" spans="1:12" x14ac:dyDescent="0.35">
      <c r="A1810" s="3"/>
      <c r="B1810" s="2"/>
      <c r="C1810" s="2"/>
      <c r="D1810" s="2" t="b">
        <f>IF(AND(NOT(ISBLANK(Table1[[#This Row],[Fetal Sex (Male, Female or Unknown)]])),ISNUMBER(Table1[[#This Row],[Birthweight (grams)]]),ISNUMBER(Table1[[#This Row],[Gestation (days)]])),TRUE,FALSE)</f>
        <v>0</v>
      </c>
      <c r="E1810" s="2" t="str">
        <f>IF(Table1[[#This Row],[Is Data Valid]]=TRUE,IF(Table1[[#This Row],[Fetal Sex (Male, Female or Unknown)]]="Male",Backend!$C$6,IF(Table1[[#This Row],[Fetal Sex (Male, Female or Unknown)]]="Female",Backend!$C$7,IF(Table1[[#This Row],[Fetal Sex (Male, Female or Unknown)]]="Unknown",Backend!$C$8,"Error"))),"")</f>
        <v/>
      </c>
      <c r="F1810" s="8" t="str">
        <f>IF(Table1[[#This Row],[Is Data Valid]]=TRUE,EXP(0.578+0.332*((Table1[[#This Row],[Gestation (days)]]+0.5)/7)-0.00354*((Table1[[#This Row],[Gestation (days)]]+0.5)/7)^2)*Table1[[#This Row],[BW40_3705]],"")</f>
        <v/>
      </c>
      <c r="G1810" s="2" t="str">
        <f>IF(Table1[[#This Row],[Is Data Valid]]=TRUE,((Table1[[#This Row],[Birthweight (grams)]]/Table1[[#This Row],[BW_GA]])-1)/(Backend!$B$4/100*Table1[[#This Row],[BW40_3705]]),"")</f>
        <v/>
      </c>
      <c r="H1810" s="7" t="str">
        <f>IF(Table1[[#This Row],[Is Data Valid]]=TRUE,((Table1[[#This Row],[Birthweight (grams)]]*0.9/Table1[[#This Row],[BW_GA]])-1)/(Backend!$B$4/100*Table1[[#This Row],[BW40_3705]]),"")</f>
        <v/>
      </c>
      <c r="I1810" s="7" t="str">
        <f>IF(Table1[[#This Row],[Is Data Valid]]=TRUE,((Table1[[#This Row],[Birthweight (grams)]]*1.1/Table1[[#This Row],[BW_GA]])-1)/(Backend!$B$4/100*Table1[[#This Row],[BW40_3705]]),"")</f>
        <v/>
      </c>
      <c r="J1810" s="7" t="str">
        <f>IF(Table1[[#This Row],[Is Data Valid]]=TRUE,_xlfn.NORM.S.DIST(Table1[[#This Row],[Birthweight Z-Score]],TRUE)*100,"")</f>
        <v/>
      </c>
      <c r="K1810" s="7" t="str">
        <f>IF(Table1[[#This Row],[Is Data Valid]]=TRUE,_xlfn.NORM.S.DIST(Table1[[#This Row],[Birthweight Z-Score (BW-10%)]],TRUE)*100,"")</f>
        <v/>
      </c>
      <c r="L1810" s="7" t="str">
        <f>IF(Table1[[#This Row],[Is Data Valid]]=TRUE,_xlfn.NORM.S.DIST(Table1[[#This Row],[Birthweight Z-Score (BW+10%)]],TRUE)*100,"")</f>
        <v/>
      </c>
    </row>
    <row r="1811" spans="1:12" x14ac:dyDescent="0.35">
      <c r="A1811" s="3"/>
      <c r="B1811" s="2"/>
      <c r="C1811" s="2"/>
      <c r="D1811" s="2" t="b">
        <f>IF(AND(NOT(ISBLANK(Table1[[#This Row],[Fetal Sex (Male, Female or Unknown)]])),ISNUMBER(Table1[[#This Row],[Birthweight (grams)]]),ISNUMBER(Table1[[#This Row],[Gestation (days)]])),TRUE,FALSE)</f>
        <v>0</v>
      </c>
      <c r="E1811" s="2" t="str">
        <f>IF(Table1[[#This Row],[Is Data Valid]]=TRUE,IF(Table1[[#This Row],[Fetal Sex (Male, Female or Unknown)]]="Male",Backend!$C$6,IF(Table1[[#This Row],[Fetal Sex (Male, Female or Unknown)]]="Female",Backend!$C$7,IF(Table1[[#This Row],[Fetal Sex (Male, Female or Unknown)]]="Unknown",Backend!$C$8,"Error"))),"")</f>
        <v/>
      </c>
      <c r="F1811" s="8" t="str">
        <f>IF(Table1[[#This Row],[Is Data Valid]]=TRUE,EXP(0.578+0.332*((Table1[[#This Row],[Gestation (days)]]+0.5)/7)-0.00354*((Table1[[#This Row],[Gestation (days)]]+0.5)/7)^2)*Table1[[#This Row],[BW40_3705]],"")</f>
        <v/>
      </c>
      <c r="G1811" s="2" t="str">
        <f>IF(Table1[[#This Row],[Is Data Valid]]=TRUE,((Table1[[#This Row],[Birthweight (grams)]]/Table1[[#This Row],[BW_GA]])-1)/(Backend!$B$4/100*Table1[[#This Row],[BW40_3705]]),"")</f>
        <v/>
      </c>
      <c r="H1811" s="7" t="str">
        <f>IF(Table1[[#This Row],[Is Data Valid]]=TRUE,((Table1[[#This Row],[Birthweight (grams)]]*0.9/Table1[[#This Row],[BW_GA]])-1)/(Backend!$B$4/100*Table1[[#This Row],[BW40_3705]]),"")</f>
        <v/>
      </c>
      <c r="I1811" s="7" t="str">
        <f>IF(Table1[[#This Row],[Is Data Valid]]=TRUE,((Table1[[#This Row],[Birthweight (grams)]]*1.1/Table1[[#This Row],[BW_GA]])-1)/(Backend!$B$4/100*Table1[[#This Row],[BW40_3705]]),"")</f>
        <v/>
      </c>
      <c r="J1811" s="7" t="str">
        <f>IF(Table1[[#This Row],[Is Data Valid]]=TRUE,_xlfn.NORM.S.DIST(Table1[[#This Row],[Birthweight Z-Score]],TRUE)*100,"")</f>
        <v/>
      </c>
      <c r="K1811" s="7" t="str">
        <f>IF(Table1[[#This Row],[Is Data Valid]]=TRUE,_xlfn.NORM.S.DIST(Table1[[#This Row],[Birthweight Z-Score (BW-10%)]],TRUE)*100,"")</f>
        <v/>
      </c>
      <c r="L1811" s="7" t="str">
        <f>IF(Table1[[#This Row],[Is Data Valid]]=TRUE,_xlfn.NORM.S.DIST(Table1[[#This Row],[Birthweight Z-Score (BW+10%)]],TRUE)*100,"")</f>
        <v/>
      </c>
    </row>
    <row r="1812" spans="1:12" x14ac:dyDescent="0.35">
      <c r="A1812" s="3"/>
      <c r="B1812" s="2"/>
      <c r="C1812" s="2"/>
      <c r="D1812" s="2" t="b">
        <f>IF(AND(NOT(ISBLANK(Table1[[#This Row],[Fetal Sex (Male, Female or Unknown)]])),ISNUMBER(Table1[[#This Row],[Birthweight (grams)]]),ISNUMBER(Table1[[#This Row],[Gestation (days)]])),TRUE,FALSE)</f>
        <v>0</v>
      </c>
      <c r="E1812" s="2" t="str">
        <f>IF(Table1[[#This Row],[Is Data Valid]]=TRUE,IF(Table1[[#This Row],[Fetal Sex (Male, Female or Unknown)]]="Male",Backend!$C$6,IF(Table1[[#This Row],[Fetal Sex (Male, Female or Unknown)]]="Female",Backend!$C$7,IF(Table1[[#This Row],[Fetal Sex (Male, Female or Unknown)]]="Unknown",Backend!$C$8,"Error"))),"")</f>
        <v/>
      </c>
      <c r="F1812" s="8" t="str">
        <f>IF(Table1[[#This Row],[Is Data Valid]]=TRUE,EXP(0.578+0.332*((Table1[[#This Row],[Gestation (days)]]+0.5)/7)-0.00354*((Table1[[#This Row],[Gestation (days)]]+0.5)/7)^2)*Table1[[#This Row],[BW40_3705]],"")</f>
        <v/>
      </c>
      <c r="G1812" s="2" t="str">
        <f>IF(Table1[[#This Row],[Is Data Valid]]=TRUE,((Table1[[#This Row],[Birthweight (grams)]]/Table1[[#This Row],[BW_GA]])-1)/(Backend!$B$4/100*Table1[[#This Row],[BW40_3705]]),"")</f>
        <v/>
      </c>
      <c r="H1812" s="7" t="str">
        <f>IF(Table1[[#This Row],[Is Data Valid]]=TRUE,((Table1[[#This Row],[Birthweight (grams)]]*0.9/Table1[[#This Row],[BW_GA]])-1)/(Backend!$B$4/100*Table1[[#This Row],[BW40_3705]]),"")</f>
        <v/>
      </c>
      <c r="I1812" s="7" t="str">
        <f>IF(Table1[[#This Row],[Is Data Valid]]=TRUE,((Table1[[#This Row],[Birthweight (grams)]]*1.1/Table1[[#This Row],[BW_GA]])-1)/(Backend!$B$4/100*Table1[[#This Row],[BW40_3705]]),"")</f>
        <v/>
      </c>
      <c r="J1812" s="7" t="str">
        <f>IF(Table1[[#This Row],[Is Data Valid]]=TRUE,_xlfn.NORM.S.DIST(Table1[[#This Row],[Birthweight Z-Score]],TRUE)*100,"")</f>
        <v/>
      </c>
      <c r="K1812" s="7" t="str">
        <f>IF(Table1[[#This Row],[Is Data Valid]]=TRUE,_xlfn.NORM.S.DIST(Table1[[#This Row],[Birthweight Z-Score (BW-10%)]],TRUE)*100,"")</f>
        <v/>
      </c>
      <c r="L1812" s="7" t="str">
        <f>IF(Table1[[#This Row],[Is Data Valid]]=TRUE,_xlfn.NORM.S.DIST(Table1[[#This Row],[Birthweight Z-Score (BW+10%)]],TRUE)*100,"")</f>
        <v/>
      </c>
    </row>
    <row r="1813" spans="1:12" x14ac:dyDescent="0.35">
      <c r="A1813" s="3"/>
      <c r="B1813" s="2"/>
      <c r="C1813" s="2"/>
      <c r="D1813" s="2" t="b">
        <f>IF(AND(NOT(ISBLANK(Table1[[#This Row],[Fetal Sex (Male, Female or Unknown)]])),ISNUMBER(Table1[[#This Row],[Birthweight (grams)]]),ISNUMBER(Table1[[#This Row],[Gestation (days)]])),TRUE,FALSE)</f>
        <v>0</v>
      </c>
      <c r="E1813" s="2" t="str">
        <f>IF(Table1[[#This Row],[Is Data Valid]]=TRUE,IF(Table1[[#This Row],[Fetal Sex (Male, Female or Unknown)]]="Male",Backend!$C$6,IF(Table1[[#This Row],[Fetal Sex (Male, Female or Unknown)]]="Female",Backend!$C$7,IF(Table1[[#This Row],[Fetal Sex (Male, Female or Unknown)]]="Unknown",Backend!$C$8,"Error"))),"")</f>
        <v/>
      </c>
      <c r="F1813" s="8" t="str">
        <f>IF(Table1[[#This Row],[Is Data Valid]]=TRUE,EXP(0.578+0.332*((Table1[[#This Row],[Gestation (days)]]+0.5)/7)-0.00354*((Table1[[#This Row],[Gestation (days)]]+0.5)/7)^2)*Table1[[#This Row],[BW40_3705]],"")</f>
        <v/>
      </c>
      <c r="G1813" s="2" t="str">
        <f>IF(Table1[[#This Row],[Is Data Valid]]=TRUE,((Table1[[#This Row],[Birthweight (grams)]]/Table1[[#This Row],[BW_GA]])-1)/(Backend!$B$4/100*Table1[[#This Row],[BW40_3705]]),"")</f>
        <v/>
      </c>
      <c r="H1813" s="7" t="str">
        <f>IF(Table1[[#This Row],[Is Data Valid]]=TRUE,((Table1[[#This Row],[Birthweight (grams)]]*0.9/Table1[[#This Row],[BW_GA]])-1)/(Backend!$B$4/100*Table1[[#This Row],[BW40_3705]]),"")</f>
        <v/>
      </c>
      <c r="I1813" s="7" t="str">
        <f>IF(Table1[[#This Row],[Is Data Valid]]=TRUE,((Table1[[#This Row],[Birthweight (grams)]]*1.1/Table1[[#This Row],[BW_GA]])-1)/(Backend!$B$4/100*Table1[[#This Row],[BW40_3705]]),"")</f>
        <v/>
      </c>
      <c r="J1813" s="7" t="str">
        <f>IF(Table1[[#This Row],[Is Data Valid]]=TRUE,_xlfn.NORM.S.DIST(Table1[[#This Row],[Birthweight Z-Score]],TRUE)*100,"")</f>
        <v/>
      </c>
      <c r="K1813" s="7" t="str">
        <f>IF(Table1[[#This Row],[Is Data Valid]]=TRUE,_xlfn.NORM.S.DIST(Table1[[#This Row],[Birthweight Z-Score (BW-10%)]],TRUE)*100,"")</f>
        <v/>
      </c>
      <c r="L1813" s="7" t="str">
        <f>IF(Table1[[#This Row],[Is Data Valid]]=TRUE,_xlfn.NORM.S.DIST(Table1[[#This Row],[Birthweight Z-Score (BW+10%)]],TRUE)*100,"")</f>
        <v/>
      </c>
    </row>
    <row r="1814" spans="1:12" x14ac:dyDescent="0.35">
      <c r="A1814" s="3"/>
      <c r="B1814" s="2"/>
      <c r="C1814" s="2"/>
      <c r="D1814" s="2" t="b">
        <f>IF(AND(NOT(ISBLANK(Table1[[#This Row],[Fetal Sex (Male, Female or Unknown)]])),ISNUMBER(Table1[[#This Row],[Birthweight (grams)]]),ISNUMBER(Table1[[#This Row],[Gestation (days)]])),TRUE,FALSE)</f>
        <v>0</v>
      </c>
      <c r="E1814" s="2" t="str">
        <f>IF(Table1[[#This Row],[Is Data Valid]]=TRUE,IF(Table1[[#This Row],[Fetal Sex (Male, Female or Unknown)]]="Male",Backend!$C$6,IF(Table1[[#This Row],[Fetal Sex (Male, Female or Unknown)]]="Female",Backend!$C$7,IF(Table1[[#This Row],[Fetal Sex (Male, Female or Unknown)]]="Unknown",Backend!$C$8,"Error"))),"")</f>
        <v/>
      </c>
      <c r="F1814" s="8" t="str">
        <f>IF(Table1[[#This Row],[Is Data Valid]]=TRUE,EXP(0.578+0.332*((Table1[[#This Row],[Gestation (days)]]+0.5)/7)-0.00354*((Table1[[#This Row],[Gestation (days)]]+0.5)/7)^2)*Table1[[#This Row],[BW40_3705]],"")</f>
        <v/>
      </c>
      <c r="G1814" s="2" t="str">
        <f>IF(Table1[[#This Row],[Is Data Valid]]=TRUE,((Table1[[#This Row],[Birthweight (grams)]]/Table1[[#This Row],[BW_GA]])-1)/(Backend!$B$4/100*Table1[[#This Row],[BW40_3705]]),"")</f>
        <v/>
      </c>
      <c r="H1814" s="7" t="str">
        <f>IF(Table1[[#This Row],[Is Data Valid]]=TRUE,((Table1[[#This Row],[Birthweight (grams)]]*0.9/Table1[[#This Row],[BW_GA]])-1)/(Backend!$B$4/100*Table1[[#This Row],[BW40_3705]]),"")</f>
        <v/>
      </c>
      <c r="I1814" s="7" t="str">
        <f>IF(Table1[[#This Row],[Is Data Valid]]=TRUE,((Table1[[#This Row],[Birthweight (grams)]]*1.1/Table1[[#This Row],[BW_GA]])-1)/(Backend!$B$4/100*Table1[[#This Row],[BW40_3705]]),"")</f>
        <v/>
      </c>
      <c r="J1814" s="7" t="str">
        <f>IF(Table1[[#This Row],[Is Data Valid]]=TRUE,_xlfn.NORM.S.DIST(Table1[[#This Row],[Birthweight Z-Score]],TRUE)*100,"")</f>
        <v/>
      </c>
      <c r="K1814" s="7" t="str">
        <f>IF(Table1[[#This Row],[Is Data Valid]]=TRUE,_xlfn.NORM.S.DIST(Table1[[#This Row],[Birthweight Z-Score (BW-10%)]],TRUE)*100,"")</f>
        <v/>
      </c>
      <c r="L1814" s="7" t="str">
        <f>IF(Table1[[#This Row],[Is Data Valid]]=TRUE,_xlfn.NORM.S.DIST(Table1[[#This Row],[Birthweight Z-Score (BW+10%)]],TRUE)*100,"")</f>
        <v/>
      </c>
    </row>
    <row r="1815" spans="1:12" x14ac:dyDescent="0.35">
      <c r="A1815" s="3"/>
      <c r="B1815" s="2"/>
      <c r="C1815" s="2"/>
      <c r="D1815" s="2" t="b">
        <f>IF(AND(NOT(ISBLANK(Table1[[#This Row],[Fetal Sex (Male, Female or Unknown)]])),ISNUMBER(Table1[[#This Row],[Birthweight (grams)]]),ISNUMBER(Table1[[#This Row],[Gestation (days)]])),TRUE,FALSE)</f>
        <v>0</v>
      </c>
      <c r="E1815" s="2" t="str">
        <f>IF(Table1[[#This Row],[Is Data Valid]]=TRUE,IF(Table1[[#This Row],[Fetal Sex (Male, Female or Unknown)]]="Male",Backend!$C$6,IF(Table1[[#This Row],[Fetal Sex (Male, Female or Unknown)]]="Female",Backend!$C$7,IF(Table1[[#This Row],[Fetal Sex (Male, Female or Unknown)]]="Unknown",Backend!$C$8,"Error"))),"")</f>
        <v/>
      </c>
      <c r="F1815" s="8" t="str">
        <f>IF(Table1[[#This Row],[Is Data Valid]]=TRUE,EXP(0.578+0.332*((Table1[[#This Row],[Gestation (days)]]+0.5)/7)-0.00354*((Table1[[#This Row],[Gestation (days)]]+0.5)/7)^2)*Table1[[#This Row],[BW40_3705]],"")</f>
        <v/>
      </c>
      <c r="G1815" s="2" t="str">
        <f>IF(Table1[[#This Row],[Is Data Valid]]=TRUE,((Table1[[#This Row],[Birthweight (grams)]]/Table1[[#This Row],[BW_GA]])-1)/(Backend!$B$4/100*Table1[[#This Row],[BW40_3705]]),"")</f>
        <v/>
      </c>
      <c r="H1815" s="7" t="str">
        <f>IF(Table1[[#This Row],[Is Data Valid]]=TRUE,((Table1[[#This Row],[Birthweight (grams)]]*0.9/Table1[[#This Row],[BW_GA]])-1)/(Backend!$B$4/100*Table1[[#This Row],[BW40_3705]]),"")</f>
        <v/>
      </c>
      <c r="I1815" s="7" t="str">
        <f>IF(Table1[[#This Row],[Is Data Valid]]=TRUE,((Table1[[#This Row],[Birthweight (grams)]]*1.1/Table1[[#This Row],[BW_GA]])-1)/(Backend!$B$4/100*Table1[[#This Row],[BW40_3705]]),"")</f>
        <v/>
      </c>
      <c r="J1815" s="7" t="str">
        <f>IF(Table1[[#This Row],[Is Data Valid]]=TRUE,_xlfn.NORM.S.DIST(Table1[[#This Row],[Birthweight Z-Score]],TRUE)*100,"")</f>
        <v/>
      </c>
      <c r="K1815" s="7" t="str">
        <f>IF(Table1[[#This Row],[Is Data Valid]]=TRUE,_xlfn.NORM.S.DIST(Table1[[#This Row],[Birthweight Z-Score (BW-10%)]],TRUE)*100,"")</f>
        <v/>
      </c>
      <c r="L1815" s="7" t="str">
        <f>IF(Table1[[#This Row],[Is Data Valid]]=TRUE,_xlfn.NORM.S.DIST(Table1[[#This Row],[Birthweight Z-Score (BW+10%)]],TRUE)*100,"")</f>
        <v/>
      </c>
    </row>
    <row r="1816" spans="1:12" x14ac:dyDescent="0.35">
      <c r="A1816" s="3"/>
      <c r="B1816" s="2"/>
      <c r="C1816" s="2"/>
      <c r="D1816" s="2" t="b">
        <f>IF(AND(NOT(ISBLANK(Table1[[#This Row],[Fetal Sex (Male, Female or Unknown)]])),ISNUMBER(Table1[[#This Row],[Birthweight (grams)]]),ISNUMBER(Table1[[#This Row],[Gestation (days)]])),TRUE,FALSE)</f>
        <v>0</v>
      </c>
      <c r="E1816" s="2" t="str">
        <f>IF(Table1[[#This Row],[Is Data Valid]]=TRUE,IF(Table1[[#This Row],[Fetal Sex (Male, Female or Unknown)]]="Male",Backend!$C$6,IF(Table1[[#This Row],[Fetal Sex (Male, Female or Unknown)]]="Female",Backend!$C$7,IF(Table1[[#This Row],[Fetal Sex (Male, Female or Unknown)]]="Unknown",Backend!$C$8,"Error"))),"")</f>
        <v/>
      </c>
      <c r="F1816" s="8" t="str">
        <f>IF(Table1[[#This Row],[Is Data Valid]]=TRUE,EXP(0.578+0.332*((Table1[[#This Row],[Gestation (days)]]+0.5)/7)-0.00354*((Table1[[#This Row],[Gestation (days)]]+0.5)/7)^2)*Table1[[#This Row],[BW40_3705]],"")</f>
        <v/>
      </c>
      <c r="G1816" s="2" t="str">
        <f>IF(Table1[[#This Row],[Is Data Valid]]=TRUE,((Table1[[#This Row],[Birthweight (grams)]]/Table1[[#This Row],[BW_GA]])-1)/(Backend!$B$4/100*Table1[[#This Row],[BW40_3705]]),"")</f>
        <v/>
      </c>
      <c r="H1816" s="7" t="str">
        <f>IF(Table1[[#This Row],[Is Data Valid]]=TRUE,((Table1[[#This Row],[Birthweight (grams)]]*0.9/Table1[[#This Row],[BW_GA]])-1)/(Backend!$B$4/100*Table1[[#This Row],[BW40_3705]]),"")</f>
        <v/>
      </c>
      <c r="I1816" s="7" t="str">
        <f>IF(Table1[[#This Row],[Is Data Valid]]=TRUE,((Table1[[#This Row],[Birthweight (grams)]]*1.1/Table1[[#This Row],[BW_GA]])-1)/(Backend!$B$4/100*Table1[[#This Row],[BW40_3705]]),"")</f>
        <v/>
      </c>
      <c r="J1816" s="7" t="str">
        <f>IF(Table1[[#This Row],[Is Data Valid]]=TRUE,_xlfn.NORM.S.DIST(Table1[[#This Row],[Birthweight Z-Score]],TRUE)*100,"")</f>
        <v/>
      </c>
      <c r="K1816" s="7" t="str">
        <f>IF(Table1[[#This Row],[Is Data Valid]]=TRUE,_xlfn.NORM.S.DIST(Table1[[#This Row],[Birthweight Z-Score (BW-10%)]],TRUE)*100,"")</f>
        <v/>
      </c>
      <c r="L1816" s="7" t="str">
        <f>IF(Table1[[#This Row],[Is Data Valid]]=TRUE,_xlfn.NORM.S.DIST(Table1[[#This Row],[Birthweight Z-Score (BW+10%)]],TRUE)*100,"")</f>
        <v/>
      </c>
    </row>
    <row r="1817" spans="1:12" x14ac:dyDescent="0.35">
      <c r="A1817" s="3"/>
      <c r="B1817" s="2"/>
      <c r="C1817" s="2"/>
      <c r="D1817" s="2" t="b">
        <f>IF(AND(NOT(ISBLANK(Table1[[#This Row],[Fetal Sex (Male, Female or Unknown)]])),ISNUMBER(Table1[[#This Row],[Birthweight (grams)]]),ISNUMBER(Table1[[#This Row],[Gestation (days)]])),TRUE,FALSE)</f>
        <v>0</v>
      </c>
      <c r="E1817" s="2" t="str">
        <f>IF(Table1[[#This Row],[Is Data Valid]]=TRUE,IF(Table1[[#This Row],[Fetal Sex (Male, Female or Unknown)]]="Male",Backend!$C$6,IF(Table1[[#This Row],[Fetal Sex (Male, Female or Unknown)]]="Female",Backend!$C$7,IF(Table1[[#This Row],[Fetal Sex (Male, Female or Unknown)]]="Unknown",Backend!$C$8,"Error"))),"")</f>
        <v/>
      </c>
      <c r="F1817" s="8" t="str">
        <f>IF(Table1[[#This Row],[Is Data Valid]]=TRUE,EXP(0.578+0.332*((Table1[[#This Row],[Gestation (days)]]+0.5)/7)-0.00354*((Table1[[#This Row],[Gestation (days)]]+0.5)/7)^2)*Table1[[#This Row],[BW40_3705]],"")</f>
        <v/>
      </c>
      <c r="G1817" s="2" t="str">
        <f>IF(Table1[[#This Row],[Is Data Valid]]=TRUE,((Table1[[#This Row],[Birthweight (grams)]]/Table1[[#This Row],[BW_GA]])-1)/(Backend!$B$4/100*Table1[[#This Row],[BW40_3705]]),"")</f>
        <v/>
      </c>
      <c r="H1817" s="7" t="str">
        <f>IF(Table1[[#This Row],[Is Data Valid]]=TRUE,((Table1[[#This Row],[Birthweight (grams)]]*0.9/Table1[[#This Row],[BW_GA]])-1)/(Backend!$B$4/100*Table1[[#This Row],[BW40_3705]]),"")</f>
        <v/>
      </c>
      <c r="I1817" s="7" t="str">
        <f>IF(Table1[[#This Row],[Is Data Valid]]=TRUE,((Table1[[#This Row],[Birthweight (grams)]]*1.1/Table1[[#This Row],[BW_GA]])-1)/(Backend!$B$4/100*Table1[[#This Row],[BW40_3705]]),"")</f>
        <v/>
      </c>
      <c r="J1817" s="7" t="str">
        <f>IF(Table1[[#This Row],[Is Data Valid]]=TRUE,_xlfn.NORM.S.DIST(Table1[[#This Row],[Birthweight Z-Score]],TRUE)*100,"")</f>
        <v/>
      </c>
      <c r="K1817" s="7" t="str">
        <f>IF(Table1[[#This Row],[Is Data Valid]]=TRUE,_xlfn.NORM.S.DIST(Table1[[#This Row],[Birthweight Z-Score (BW-10%)]],TRUE)*100,"")</f>
        <v/>
      </c>
      <c r="L1817" s="7" t="str">
        <f>IF(Table1[[#This Row],[Is Data Valid]]=TRUE,_xlfn.NORM.S.DIST(Table1[[#This Row],[Birthweight Z-Score (BW+10%)]],TRUE)*100,"")</f>
        <v/>
      </c>
    </row>
    <row r="1818" spans="1:12" x14ac:dyDescent="0.35">
      <c r="A1818" s="3"/>
      <c r="B1818" s="2"/>
      <c r="C1818" s="2"/>
      <c r="D1818" s="2" t="b">
        <f>IF(AND(NOT(ISBLANK(Table1[[#This Row],[Fetal Sex (Male, Female or Unknown)]])),ISNUMBER(Table1[[#This Row],[Birthweight (grams)]]),ISNUMBER(Table1[[#This Row],[Gestation (days)]])),TRUE,FALSE)</f>
        <v>0</v>
      </c>
      <c r="E1818" s="2" t="str">
        <f>IF(Table1[[#This Row],[Is Data Valid]]=TRUE,IF(Table1[[#This Row],[Fetal Sex (Male, Female or Unknown)]]="Male",Backend!$C$6,IF(Table1[[#This Row],[Fetal Sex (Male, Female or Unknown)]]="Female",Backend!$C$7,IF(Table1[[#This Row],[Fetal Sex (Male, Female or Unknown)]]="Unknown",Backend!$C$8,"Error"))),"")</f>
        <v/>
      </c>
      <c r="F1818" s="8" t="str">
        <f>IF(Table1[[#This Row],[Is Data Valid]]=TRUE,EXP(0.578+0.332*((Table1[[#This Row],[Gestation (days)]]+0.5)/7)-0.00354*((Table1[[#This Row],[Gestation (days)]]+0.5)/7)^2)*Table1[[#This Row],[BW40_3705]],"")</f>
        <v/>
      </c>
      <c r="G1818" s="2" t="str">
        <f>IF(Table1[[#This Row],[Is Data Valid]]=TRUE,((Table1[[#This Row],[Birthweight (grams)]]/Table1[[#This Row],[BW_GA]])-1)/(Backend!$B$4/100*Table1[[#This Row],[BW40_3705]]),"")</f>
        <v/>
      </c>
      <c r="H1818" s="7" t="str">
        <f>IF(Table1[[#This Row],[Is Data Valid]]=TRUE,((Table1[[#This Row],[Birthweight (grams)]]*0.9/Table1[[#This Row],[BW_GA]])-1)/(Backend!$B$4/100*Table1[[#This Row],[BW40_3705]]),"")</f>
        <v/>
      </c>
      <c r="I1818" s="7" t="str">
        <f>IF(Table1[[#This Row],[Is Data Valid]]=TRUE,((Table1[[#This Row],[Birthweight (grams)]]*1.1/Table1[[#This Row],[BW_GA]])-1)/(Backend!$B$4/100*Table1[[#This Row],[BW40_3705]]),"")</f>
        <v/>
      </c>
      <c r="J1818" s="7" t="str">
        <f>IF(Table1[[#This Row],[Is Data Valid]]=TRUE,_xlfn.NORM.S.DIST(Table1[[#This Row],[Birthweight Z-Score]],TRUE)*100,"")</f>
        <v/>
      </c>
      <c r="K1818" s="7" t="str">
        <f>IF(Table1[[#This Row],[Is Data Valid]]=TRUE,_xlfn.NORM.S.DIST(Table1[[#This Row],[Birthweight Z-Score (BW-10%)]],TRUE)*100,"")</f>
        <v/>
      </c>
      <c r="L1818" s="7" t="str">
        <f>IF(Table1[[#This Row],[Is Data Valid]]=TRUE,_xlfn.NORM.S.DIST(Table1[[#This Row],[Birthweight Z-Score (BW+10%)]],TRUE)*100,"")</f>
        <v/>
      </c>
    </row>
    <row r="1819" spans="1:12" x14ac:dyDescent="0.35">
      <c r="A1819" s="3"/>
      <c r="B1819" s="2"/>
      <c r="C1819" s="2"/>
      <c r="D1819" s="2" t="b">
        <f>IF(AND(NOT(ISBLANK(Table1[[#This Row],[Fetal Sex (Male, Female or Unknown)]])),ISNUMBER(Table1[[#This Row],[Birthweight (grams)]]),ISNUMBER(Table1[[#This Row],[Gestation (days)]])),TRUE,FALSE)</f>
        <v>0</v>
      </c>
      <c r="E1819" s="2" t="str">
        <f>IF(Table1[[#This Row],[Is Data Valid]]=TRUE,IF(Table1[[#This Row],[Fetal Sex (Male, Female or Unknown)]]="Male",Backend!$C$6,IF(Table1[[#This Row],[Fetal Sex (Male, Female or Unknown)]]="Female",Backend!$C$7,IF(Table1[[#This Row],[Fetal Sex (Male, Female or Unknown)]]="Unknown",Backend!$C$8,"Error"))),"")</f>
        <v/>
      </c>
      <c r="F1819" s="8" t="str">
        <f>IF(Table1[[#This Row],[Is Data Valid]]=TRUE,EXP(0.578+0.332*((Table1[[#This Row],[Gestation (days)]]+0.5)/7)-0.00354*((Table1[[#This Row],[Gestation (days)]]+0.5)/7)^2)*Table1[[#This Row],[BW40_3705]],"")</f>
        <v/>
      </c>
      <c r="G1819" s="2" t="str">
        <f>IF(Table1[[#This Row],[Is Data Valid]]=TRUE,((Table1[[#This Row],[Birthweight (grams)]]/Table1[[#This Row],[BW_GA]])-1)/(Backend!$B$4/100*Table1[[#This Row],[BW40_3705]]),"")</f>
        <v/>
      </c>
      <c r="H1819" s="7" t="str">
        <f>IF(Table1[[#This Row],[Is Data Valid]]=TRUE,((Table1[[#This Row],[Birthweight (grams)]]*0.9/Table1[[#This Row],[BW_GA]])-1)/(Backend!$B$4/100*Table1[[#This Row],[BW40_3705]]),"")</f>
        <v/>
      </c>
      <c r="I1819" s="7" t="str">
        <f>IF(Table1[[#This Row],[Is Data Valid]]=TRUE,((Table1[[#This Row],[Birthweight (grams)]]*1.1/Table1[[#This Row],[BW_GA]])-1)/(Backend!$B$4/100*Table1[[#This Row],[BW40_3705]]),"")</f>
        <v/>
      </c>
      <c r="J1819" s="7" t="str">
        <f>IF(Table1[[#This Row],[Is Data Valid]]=TRUE,_xlfn.NORM.S.DIST(Table1[[#This Row],[Birthweight Z-Score]],TRUE)*100,"")</f>
        <v/>
      </c>
      <c r="K1819" s="7" t="str">
        <f>IF(Table1[[#This Row],[Is Data Valid]]=TRUE,_xlfn.NORM.S.DIST(Table1[[#This Row],[Birthweight Z-Score (BW-10%)]],TRUE)*100,"")</f>
        <v/>
      </c>
      <c r="L1819" s="7" t="str">
        <f>IF(Table1[[#This Row],[Is Data Valid]]=TRUE,_xlfn.NORM.S.DIST(Table1[[#This Row],[Birthweight Z-Score (BW+10%)]],TRUE)*100,"")</f>
        <v/>
      </c>
    </row>
    <row r="1820" spans="1:12" x14ac:dyDescent="0.35">
      <c r="A1820" s="3"/>
      <c r="B1820" s="2"/>
      <c r="C1820" s="2"/>
      <c r="D1820" s="2" t="b">
        <f>IF(AND(NOT(ISBLANK(Table1[[#This Row],[Fetal Sex (Male, Female or Unknown)]])),ISNUMBER(Table1[[#This Row],[Birthweight (grams)]]),ISNUMBER(Table1[[#This Row],[Gestation (days)]])),TRUE,FALSE)</f>
        <v>0</v>
      </c>
      <c r="E1820" s="2" t="str">
        <f>IF(Table1[[#This Row],[Is Data Valid]]=TRUE,IF(Table1[[#This Row],[Fetal Sex (Male, Female or Unknown)]]="Male",Backend!$C$6,IF(Table1[[#This Row],[Fetal Sex (Male, Female or Unknown)]]="Female",Backend!$C$7,IF(Table1[[#This Row],[Fetal Sex (Male, Female or Unknown)]]="Unknown",Backend!$C$8,"Error"))),"")</f>
        <v/>
      </c>
      <c r="F1820" s="8" t="str">
        <f>IF(Table1[[#This Row],[Is Data Valid]]=TRUE,EXP(0.578+0.332*((Table1[[#This Row],[Gestation (days)]]+0.5)/7)-0.00354*((Table1[[#This Row],[Gestation (days)]]+0.5)/7)^2)*Table1[[#This Row],[BW40_3705]],"")</f>
        <v/>
      </c>
      <c r="G1820" s="2" t="str">
        <f>IF(Table1[[#This Row],[Is Data Valid]]=TRUE,((Table1[[#This Row],[Birthweight (grams)]]/Table1[[#This Row],[BW_GA]])-1)/(Backend!$B$4/100*Table1[[#This Row],[BW40_3705]]),"")</f>
        <v/>
      </c>
      <c r="H1820" s="7" t="str">
        <f>IF(Table1[[#This Row],[Is Data Valid]]=TRUE,((Table1[[#This Row],[Birthweight (grams)]]*0.9/Table1[[#This Row],[BW_GA]])-1)/(Backend!$B$4/100*Table1[[#This Row],[BW40_3705]]),"")</f>
        <v/>
      </c>
      <c r="I1820" s="7" t="str">
        <f>IF(Table1[[#This Row],[Is Data Valid]]=TRUE,((Table1[[#This Row],[Birthweight (grams)]]*1.1/Table1[[#This Row],[BW_GA]])-1)/(Backend!$B$4/100*Table1[[#This Row],[BW40_3705]]),"")</f>
        <v/>
      </c>
      <c r="J1820" s="7" t="str">
        <f>IF(Table1[[#This Row],[Is Data Valid]]=TRUE,_xlfn.NORM.S.DIST(Table1[[#This Row],[Birthweight Z-Score]],TRUE)*100,"")</f>
        <v/>
      </c>
      <c r="K1820" s="7" t="str">
        <f>IF(Table1[[#This Row],[Is Data Valid]]=TRUE,_xlfn.NORM.S.DIST(Table1[[#This Row],[Birthweight Z-Score (BW-10%)]],TRUE)*100,"")</f>
        <v/>
      </c>
      <c r="L1820" s="7" t="str">
        <f>IF(Table1[[#This Row],[Is Data Valid]]=TRUE,_xlfn.NORM.S.DIST(Table1[[#This Row],[Birthweight Z-Score (BW+10%)]],TRUE)*100,"")</f>
        <v/>
      </c>
    </row>
    <row r="1821" spans="1:12" x14ac:dyDescent="0.35">
      <c r="A1821" s="3"/>
      <c r="B1821" s="2"/>
      <c r="C1821" s="2"/>
      <c r="D1821" s="2" t="b">
        <f>IF(AND(NOT(ISBLANK(Table1[[#This Row],[Fetal Sex (Male, Female or Unknown)]])),ISNUMBER(Table1[[#This Row],[Birthweight (grams)]]),ISNUMBER(Table1[[#This Row],[Gestation (days)]])),TRUE,FALSE)</f>
        <v>0</v>
      </c>
      <c r="E1821" s="2" t="str">
        <f>IF(Table1[[#This Row],[Is Data Valid]]=TRUE,IF(Table1[[#This Row],[Fetal Sex (Male, Female or Unknown)]]="Male",Backend!$C$6,IF(Table1[[#This Row],[Fetal Sex (Male, Female or Unknown)]]="Female",Backend!$C$7,IF(Table1[[#This Row],[Fetal Sex (Male, Female or Unknown)]]="Unknown",Backend!$C$8,"Error"))),"")</f>
        <v/>
      </c>
      <c r="F1821" s="8" t="str">
        <f>IF(Table1[[#This Row],[Is Data Valid]]=TRUE,EXP(0.578+0.332*((Table1[[#This Row],[Gestation (days)]]+0.5)/7)-0.00354*((Table1[[#This Row],[Gestation (days)]]+0.5)/7)^2)*Table1[[#This Row],[BW40_3705]],"")</f>
        <v/>
      </c>
      <c r="G1821" s="2" t="str">
        <f>IF(Table1[[#This Row],[Is Data Valid]]=TRUE,((Table1[[#This Row],[Birthweight (grams)]]/Table1[[#This Row],[BW_GA]])-1)/(Backend!$B$4/100*Table1[[#This Row],[BW40_3705]]),"")</f>
        <v/>
      </c>
      <c r="H1821" s="7" t="str">
        <f>IF(Table1[[#This Row],[Is Data Valid]]=TRUE,((Table1[[#This Row],[Birthweight (grams)]]*0.9/Table1[[#This Row],[BW_GA]])-1)/(Backend!$B$4/100*Table1[[#This Row],[BW40_3705]]),"")</f>
        <v/>
      </c>
      <c r="I1821" s="7" t="str">
        <f>IF(Table1[[#This Row],[Is Data Valid]]=TRUE,((Table1[[#This Row],[Birthweight (grams)]]*1.1/Table1[[#This Row],[BW_GA]])-1)/(Backend!$B$4/100*Table1[[#This Row],[BW40_3705]]),"")</f>
        <v/>
      </c>
      <c r="J1821" s="7" t="str">
        <f>IF(Table1[[#This Row],[Is Data Valid]]=TRUE,_xlfn.NORM.S.DIST(Table1[[#This Row],[Birthweight Z-Score]],TRUE)*100,"")</f>
        <v/>
      </c>
      <c r="K1821" s="7" t="str">
        <f>IF(Table1[[#This Row],[Is Data Valid]]=TRUE,_xlfn.NORM.S.DIST(Table1[[#This Row],[Birthweight Z-Score (BW-10%)]],TRUE)*100,"")</f>
        <v/>
      </c>
      <c r="L1821" s="7" t="str">
        <f>IF(Table1[[#This Row],[Is Data Valid]]=TRUE,_xlfn.NORM.S.DIST(Table1[[#This Row],[Birthweight Z-Score (BW+10%)]],TRUE)*100,"")</f>
        <v/>
      </c>
    </row>
    <row r="1822" spans="1:12" x14ac:dyDescent="0.35">
      <c r="A1822" s="3"/>
      <c r="B1822" s="2"/>
      <c r="C1822" s="2"/>
      <c r="D1822" s="2" t="b">
        <f>IF(AND(NOT(ISBLANK(Table1[[#This Row],[Fetal Sex (Male, Female or Unknown)]])),ISNUMBER(Table1[[#This Row],[Birthweight (grams)]]),ISNUMBER(Table1[[#This Row],[Gestation (days)]])),TRUE,FALSE)</f>
        <v>0</v>
      </c>
      <c r="E1822" s="2" t="str">
        <f>IF(Table1[[#This Row],[Is Data Valid]]=TRUE,IF(Table1[[#This Row],[Fetal Sex (Male, Female or Unknown)]]="Male",Backend!$C$6,IF(Table1[[#This Row],[Fetal Sex (Male, Female or Unknown)]]="Female",Backend!$C$7,IF(Table1[[#This Row],[Fetal Sex (Male, Female or Unknown)]]="Unknown",Backend!$C$8,"Error"))),"")</f>
        <v/>
      </c>
      <c r="F1822" s="8" t="str">
        <f>IF(Table1[[#This Row],[Is Data Valid]]=TRUE,EXP(0.578+0.332*((Table1[[#This Row],[Gestation (days)]]+0.5)/7)-0.00354*((Table1[[#This Row],[Gestation (days)]]+0.5)/7)^2)*Table1[[#This Row],[BW40_3705]],"")</f>
        <v/>
      </c>
      <c r="G1822" s="2" t="str">
        <f>IF(Table1[[#This Row],[Is Data Valid]]=TRUE,((Table1[[#This Row],[Birthweight (grams)]]/Table1[[#This Row],[BW_GA]])-1)/(Backend!$B$4/100*Table1[[#This Row],[BW40_3705]]),"")</f>
        <v/>
      </c>
      <c r="H1822" s="7" t="str">
        <f>IF(Table1[[#This Row],[Is Data Valid]]=TRUE,((Table1[[#This Row],[Birthweight (grams)]]*0.9/Table1[[#This Row],[BW_GA]])-1)/(Backend!$B$4/100*Table1[[#This Row],[BW40_3705]]),"")</f>
        <v/>
      </c>
      <c r="I1822" s="7" t="str">
        <f>IF(Table1[[#This Row],[Is Data Valid]]=TRUE,((Table1[[#This Row],[Birthweight (grams)]]*1.1/Table1[[#This Row],[BW_GA]])-1)/(Backend!$B$4/100*Table1[[#This Row],[BW40_3705]]),"")</f>
        <v/>
      </c>
      <c r="J1822" s="7" t="str">
        <f>IF(Table1[[#This Row],[Is Data Valid]]=TRUE,_xlfn.NORM.S.DIST(Table1[[#This Row],[Birthweight Z-Score]],TRUE)*100,"")</f>
        <v/>
      </c>
      <c r="K1822" s="7" t="str">
        <f>IF(Table1[[#This Row],[Is Data Valid]]=TRUE,_xlfn.NORM.S.DIST(Table1[[#This Row],[Birthweight Z-Score (BW-10%)]],TRUE)*100,"")</f>
        <v/>
      </c>
      <c r="L1822" s="7" t="str">
        <f>IF(Table1[[#This Row],[Is Data Valid]]=TRUE,_xlfn.NORM.S.DIST(Table1[[#This Row],[Birthweight Z-Score (BW+10%)]],TRUE)*100,"")</f>
        <v/>
      </c>
    </row>
    <row r="1823" spans="1:12" x14ac:dyDescent="0.35">
      <c r="A1823" s="3"/>
      <c r="B1823" s="2"/>
      <c r="C1823" s="2"/>
      <c r="D1823" s="2" t="b">
        <f>IF(AND(NOT(ISBLANK(Table1[[#This Row],[Fetal Sex (Male, Female or Unknown)]])),ISNUMBER(Table1[[#This Row],[Birthweight (grams)]]),ISNUMBER(Table1[[#This Row],[Gestation (days)]])),TRUE,FALSE)</f>
        <v>0</v>
      </c>
      <c r="E1823" s="2" t="str">
        <f>IF(Table1[[#This Row],[Is Data Valid]]=TRUE,IF(Table1[[#This Row],[Fetal Sex (Male, Female or Unknown)]]="Male",Backend!$C$6,IF(Table1[[#This Row],[Fetal Sex (Male, Female or Unknown)]]="Female",Backend!$C$7,IF(Table1[[#This Row],[Fetal Sex (Male, Female or Unknown)]]="Unknown",Backend!$C$8,"Error"))),"")</f>
        <v/>
      </c>
      <c r="F1823" s="8" t="str">
        <f>IF(Table1[[#This Row],[Is Data Valid]]=TRUE,EXP(0.578+0.332*((Table1[[#This Row],[Gestation (days)]]+0.5)/7)-0.00354*((Table1[[#This Row],[Gestation (days)]]+0.5)/7)^2)*Table1[[#This Row],[BW40_3705]],"")</f>
        <v/>
      </c>
      <c r="G1823" s="2" t="str">
        <f>IF(Table1[[#This Row],[Is Data Valid]]=TRUE,((Table1[[#This Row],[Birthweight (grams)]]/Table1[[#This Row],[BW_GA]])-1)/(Backend!$B$4/100*Table1[[#This Row],[BW40_3705]]),"")</f>
        <v/>
      </c>
      <c r="H1823" s="7" t="str">
        <f>IF(Table1[[#This Row],[Is Data Valid]]=TRUE,((Table1[[#This Row],[Birthweight (grams)]]*0.9/Table1[[#This Row],[BW_GA]])-1)/(Backend!$B$4/100*Table1[[#This Row],[BW40_3705]]),"")</f>
        <v/>
      </c>
      <c r="I1823" s="7" t="str">
        <f>IF(Table1[[#This Row],[Is Data Valid]]=TRUE,((Table1[[#This Row],[Birthweight (grams)]]*1.1/Table1[[#This Row],[BW_GA]])-1)/(Backend!$B$4/100*Table1[[#This Row],[BW40_3705]]),"")</f>
        <v/>
      </c>
      <c r="J1823" s="7" t="str">
        <f>IF(Table1[[#This Row],[Is Data Valid]]=TRUE,_xlfn.NORM.S.DIST(Table1[[#This Row],[Birthweight Z-Score]],TRUE)*100,"")</f>
        <v/>
      </c>
      <c r="K1823" s="7" t="str">
        <f>IF(Table1[[#This Row],[Is Data Valid]]=TRUE,_xlfn.NORM.S.DIST(Table1[[#This Row],[Birthweight Z-Score (BW-10%)]],TRUE)*100,"")</f>
        <v/>
      </c>
      <c r="L1823" s="7" t="str">
        <f>IF(Table1[[#This Row],[Is Data Valid]]=TRUE,_xlfn.NORM.S.DIST(Table1[[#This Row],[Birthweight Z-Score (BW+10%)]],TRUE)*100,"")</f>
        <v/>
      </c>
    </row>
    <row r="1824" spans="1:12" x14ac:dyDescent="0.35">
      <c r="A1824" s="3"/>
      <c r="B1824" s="2"/>
      <c r="C1824" s="2"/>
      <c r="D1824" s="2" t="b">
        <f>IF(AND(NOT(ISBLANK(Table1[[#This Row],[Fetal Sex (Male, Female or Unknown)]])),ISNUMBER(Table1[[#This Row],[Birthweight (grams)]]),ISNUMBER(Table1[[#This Row],[Gestation (days)]])),TRUE,FALSE)</f>
        <v>0</v>
      </c>
      <c r="E1824" s="2" t="str">
        <f>IF(Table1[[#This Row],[Is Data Valid]]=TRUE,IF(Table1[[#This Row],[Fetal Sex (Male, Female or Unknown)]]="Male",Backend!$C$6,IF(Table1[[#This Row],[Fetal Sex (Male, Female or Unknown)]]="Female",Backend!$C$7,IF(Table1[[#This Row],[Fetal Sex (Male, Female or Unknown)]]="Unknown",Backend!$C$8,"Error"))),"")</f>
        <v/>
      </c>
      <c r="F1824" s="8" t="str">
        <f>IF(Table1[[#This Row],[Is Data Valid]]=TRUE,EXP(0.578+0.332*((Table1[[#This Row],[Gestation (days)]]+0.5)/7)-0.00354*((Table1[[#This Row],[Gestation (days)]]+0.5)/7)^2)*Table1[[#This Row],[BW40_3705]],"")</f>
        <v/>
      </c>
      <c r="G1824" s="2" t="str">
        <f>IF(Table1[[#This Row],[Is Data Valid]]=TRUE,((Table1[[#This Row],[Birthweight (grams)]]/Table1[[#This Row],[BW_GA]])-1)/(Backend!$B$4/100*Table1[[#This Row],[BW40_3705]]),"")</f>
        <v/>
      </c>
      <c r="H1824" s="7" t="str">
        <f>IF(Table1[[#This Row],[Is Data Valid]]=TRUE,((Table1[[#This Row],[Birthweight (grams)]]*0.9/Table1[[#This Row],[BW_GA]])-1)/(Backend!$B$4/100*Table1[[#This Row],[BW40_3705]]),"")</f>
        <v/>
      </c>
      <c r="I1824" s="7" t="str">
        <f>IF(Table1[[#This Row],[Is Data Valid]]=TRUE,((Table1[[#This Row],[Birthweight (grams)]]*1.1/Table1[[#This Row],[BW_GA]])-1)/(Backend!$B$4/100*Table1[[#This Row],[BW40_3705]]),"")</f>
        <v/>
      </c>
      <c r="J1824" s="7" t="str">
        <f>IF(Table1[[#This Row],[Is Data Valid]]=TRUE,_xlfn.NORM.S.DIST(Table1[[#This Row],[Birthweight Z-Score]],TRUE)*100,"")</f>
        <v/>
      </c>
      <c r="K1824" s="7" t="str">
        <f>IF(Table1[[#This Row],[Is Data Valid]]=TRUE,_xlfn.NORM.S.DIST(Table1[[#This Row],[Birthweight Z-Score (BW-10%)]],TRUE)*100,"")</f>
        <v/>
      </c>
      <c r="L1824" s="7" t="str">
        <f>IF(Table1[[#This Row],[Is Data Valid]]=TRUE,_xlfn.NORM.S.DIST(Table1[[#This Row],[Birthweight Z-Score (BW+10%)]],TRUE)*100,"")</f>
        <v/>
      </c>
    </row>
    <row r="1825" spans="1:12" x14ac:dyDescent="0.35">
      <c r="A1825" s="3"/>
      <c r="B1825" s="2"/>
      <c r="C1825" s="2"/>
      <c r="D1825" s="2" t="b">
        <f>IF(AND(NOT(ISBLANK(Table1[[#This Row],[Fetal Sex (Male, Female or Unknown)]])),ISNUMBER(Table1[[#This Row],[Birthweight (grams)]]),ISNUMBER(Table1[[#This Row],[Gestation (days)]])),TRUE,FALSE)</f>
        <v>0</v>
      </c>
      <c r="E1825" s="2" t="str">
        <f>IF(Table1[[#This Row],[Is Data Valid]]=TRUE,IF(Table1[[#This Row],[Fetal Sex (Male, Female or Unknown)]]="Male",Backend!$C$6,IF(Table1[[#This Row],[Fetal Sex (Male, Female or Unknown)]]="Female",Backend!$C$7,IF(Table1[[#This Row],[Fetal Sex (Male, Female or Unknown)]]="Unknown",Backend!$C$8,"Error"))),"")</f>
        <v/>
      </c>
      <c r="F1825" s="8" t="str">
        <f>IF(Table1[[#This Row],[Is Data Valid]]=TRUE,EXP(0.578+0.332*((Table1[[#This Row],[Gestation (days)]]+0.5)/7)-0.00354*((Table1[[#This Row],[Gestation (days)]]+0.5)/7)^2)*Table1[[#This Row],[BW40_3705]],"")</f>
        <v/>
      </c>
      <c r="G1825" s="2" t="str">
        <f>IF(Table1[[#This Row],[Is Data Valid]]=TRUE,((Table1[[#This Row],[Birthweight (grams)]]/Table1[[#This Row],[BW_GA]])-1)/(Backend!$B$4/100*Table1[[#This Row],[BW40_3705]]),"")</f>
        <v/>
      </c>
      <c r="H1825" s="7" t="str">
        <f>IF(Table1[[#This Row],[Is Data Valid]]=TRUE,((Table1[[#This Row],[Birthweight (grams)]]*0.9/Table1[[#This Row],[BW_GA]])-1)/(Backend!$B$4/100*Table1[[#This Row],[BW40_3705]]),"")</f>
        <v/>
      </c>
      <c r="I1825" s="7" t="str">
        <f>IF(Table1[[#This Row],[Is Data Valid]]=TRUE,((Table1[[#This Row],[Birthweight (grams)]]*1.1/Table1[[#This Row],[BW_GA]])-1)/(Backend!$B$4/100*Table1[[#This Row],[BW40_3705]]),"")</f>
        <v/>
      </c>
      <c r="J1825" s="7" t="str">
        <f>IF(Table1[[#This Row],[Is Data Valid]]=TRUE,_xlfn.NORM.S.DIST(Table1[[#This Row],[Birthweight Z-Score]],TRUE)*100,"")</f>
        <v/>
      </c>
      <c r="K1825" s="7" t="str">
        <f>IF(Table1[[#This Row],[Is Data Valid]]=TRUE,_xlfn.NORM.S.DIST(Table1[[#This Row],[Birthweight Z-Score (BW-10%)]],TRUE)*100,"")</f>
        <v/>
      </c>
      <c r="L1825" s="7" t="str">
        <f>IF(Table1[[#This Row],[Is Data Valid]]=TRUE,_xlfn.NORM.S.DIST(Table1[[#This Row],[Birthweight Z-Score (BW+10%)]],TRUE)*100,"")</f>
        <v/>
      </c>
    </row>
    <row r="1826" spans="1:12" x14ac:dyDescent="0.35">
      <c r="A1826" s="3"/>
      <c r="B1826" s="2"/>
      <c r="C1826" s="2"/>
      <c r="D1826" s="2" t="b">
        <f>IF(AND(NOT(ISBLANK(Table1[[#This Row],[Fetal Sex (Male, Female or Unknown)]])),ISNUMBER(Table1[[#This Row],[Birthweight (grams)]]),ISNUMBER(Table1[[#This Row],[Gestation (days)]])),TRUE,FALSE)</f>
        <v>0</v>
      </c>
      <c r="E1826" s="2" t="str">
        <f>IF(Table1[[#This Row],[Is Data Valid]]=TRUE,IF(Table1[[#This Row],[Fetal Sex (Male, Female or Unknown)]]="Male",Backend!$C$6,IF(Table1[[#This Row],[Fetal Sex (Male, Female or Unknown)]]="Female",Backend!$C$7,IF(Table1[[#This Row],[Fetal Sex (Male, Female or Unknown)]]="Unknown",Backend!$C$8,"Error"))),"")</f>
        <v/>
      </c>
      <c r="F1826" s="8" t="str">
        <f>IF(Table1[[#This Row],[Is Data Valid]]=TRUE,EXP(0.578+0.332*((Table1[[#This Row],[Gestation (days)]]+0.5)/7)-0.00354*((Table1[[#This Row],[Gestation (days)]]+0.5)/7)^2)*Table1[[#This Row],[BW40_3705]],"")</f>
        <v/>
      </c>
      <c r="G1826" s="2" t="str">
        <f>IF(Table1[[#This Row],[Is Data Valid]]=TRUE,((Table1[[#This Row],[Birthweight (grams)]]/Table1[[#This Row],[BW_GA]])-1)/(Backend!$B$4/100*Table1[[#This Row],[BW40_3705]]),"")</f>
        <v/>
      </c>
      <c r="H1826" s="7" t="str">
        <f>IF(Table1[[#This Row],[Is Data Valid]]=TRUE,((Table1[[#This Row],[Birthweight (grams)]]*0.9/Table1[[#This Row],[BW_GA]])-1)/(Backend!$B$4/100*Table1[[#This Row],[BW40_3705]]),"")</f>
        <v/>
      </c>
      <c r="I1826" s="7" t="str">
        <f>IF(Table1[[#This Row],[Is Data Valid]]=TRUE,((Table1[[#This Row],[Birthweight (grams)]]*1.1/Table1[[#This Row],[BW_GA]])-1)/(Backend!$B$4/100*Table1[[#This Row],[BW40_3705]]),"")</f>
        <v/>
      </c>
      <c r="J1826" s="7" t="str">
        <f>IF(Table1[[#This Row],[Is Data Valid]]=TRUE,_xlfn.NORM.S.DIST(Table1[[#This Row],[Birthweight Z-Score]],TRUE)*100,"")</f>
        <v/>
      </c>
      <c r="K1826" s="7" t="str">
        <f>IF(Table1[[#This Row],[Is Data Valid]]=TRUE,_xlfn.NORM.S.DIST(Table1[[#This Row],[Birthweight Z-Score (BW-10%)]],TRUE)*100,"")</f>
        <v/>
      </c>
      <c r="L1826" s="7" t="str">
        <f>IF(Table1[[#This Row],[Is Data Valid]]=TRUE,_xlfn.NORM.S.DIST(Table1[[#This Row],[Birthweight Z-Score (BW+10%)]],TRUE)*100,"")</f>
        <v/>
      </c>
    </row>
    <row r="1827" spans="1:12" x14ac:dyDescent="0.35">
      <c r="A1827" s="3"/>
      <c r="B1827" s="2"/>
      <c r="C1827" s="2"/>
      <c r="D1827" s="2" t="b">
        <f>IF(AND(NOT(ISBLANK(Table1[[#This Row],[Fetal Sex (Male, Female or Unknown)]])),ISNUMBER(Table1[[#This Row],[Birthweight (grams)]]),ISNUMBER(Table1[[#This Row],[Gestation (days)]])),TRUE,FALSE)</f>
        <v>0</v>
      </c>
      <c r="E1827" s="2" t="str">
        <f>IF(Table1[[#This Row],[Is Data Valid]]=TRUE,IF(Table1[[#This Row],[Fetal Sex (Male, Female or Unknown)]]="Male",Backend!$C$6,IF(Table1[[#This Row],[Fetal Sex (Male, Female or Unknown)]]="Female",Backend!$C$7,IF(Table1[[#This Row],[Fetal Sex (Male, Female or Unknown)]]="Unknown",Backend!$C$8,"Error"))),"")</f>
        <v/>
      </c>
      <c r="F1827" s="8" t="str">
        <f>IF(Table1[[#This Row],[Is Data Valid]]=TRUE,EXP(0.578+0.332*((Table1[[#This Row],[Gestation (days)]]+0.5)/7)-0.00354*((Table1[[#This Row],[Gestation (days)]]+0.5)/7)^2)*Table1[[#This Row],[BW40_3705]],"")</f>
        <v/>
      </c>
      <c r="G1827" s="2" t="str">
        <f>IF(Table1[[#This Row],[Is Data Valid]]=TRUE,((Table1[[#This Row],[Birthweight (grams)]]/Table1[[#This Row],[BW_GA]])-1)/(Backend!$B$4/100*Table1[[#This Row],[BW40_3705]]),"")</f>
        <v/>
      </c>
      <c r="H1827" s="7" t="str">
        <f>IF(Table1[[#This Row],[Is Data Valid]]=TRUE,((Table1[[#This Row],[Birthweight (grams)]]*0.9/Table1[[#This Row],[BW_GA]])-1)/(Backend!$B$4/100*Table1[[#This Row],[BW40_3705]]),"")</f>
        <v/>
      </c>
      <c r="I1827" s="7" t="str">
        <f>IF(Table1[[#This Row],[Is Data Valid]]=TRUE,((Table1[[#This Row],[Birthweight (grams)]]*1.1/Table1[[#This Row],[BW_GA]])-1)/(Backend!$B$4/100*Table1[[#This Row],[BW40_3705]]),"")</f>
        <v/>
      </c>
      <c r="J1827" s="7" t="str">
        <f>IF(Table1[[#This Row],[Is Data Valid]]=TRUE,_xlfn.NORM.S.DIST(Table1[[#This Row],[Birthweight Z-Score]],TRUE)*100,"")</f>
        <v/>
      </c>
      <c r="K1827" s="7" t="str">
        <f>IF(Table1[[#This Row],[Is Data Valid]]=TRUE,_xlfn.NORM.S.DIST(Table1[[#This Row],[Birthweight Z-Score (BW-10%)]],TRUE)*100,"")</f>
        <v/>
      </c>
      <c r="L1827" s="7" t="str">
        <f>IF(Table1[[#This Row],[Is Data Valid]]=TRUE,_xlfn.NORM.S.DIST(Table1[[#This Row],[Birthweight Z-Score (BW+10%)]],TRUE)*100,"")</f>
        <v/>
      </c>
    </row>
    <row r="1828" spans="1:12" x14ac:dyDescent="0.35">
      <c r="A1828" s="3"/>
      <c r="B1828" s="2"/>
      <c r="C1828" s="2"/>
      <c r="D1828" s="2" t="b">
        <f>IF(AND(NOT(ISBLANK(Table1[[#This Row],[Fetal Sex (Male, Female or Unknown)]])),ISNUMBER(Table1[[#This Row],[Birthweight (grams)]]),ISNUMBER(Table1[[#This Row],[Gestation (days)]])),TRUE,FALSE)</f>
        <v>0</v>
      </c>
      <c r="E1828" s="2" t="str">
        <f>IF(Table1[[#This Row],[Is Data Valid]]=TRUE,IF(Table1[[#This Row],[Fetal Sex (Male, Female or Unknown)]]="Male",Backend!$C$6,IF(Table1[[#This Row],[Fetal Sex (Male, Female or Unknown)]]="Female",Backend!$C$7,IF(Table1[[#This Row],[Fetal Sex (Male, Female or Unknown)]]="Unknown",Backend!$C$8,"Error"))),"")</f>
        <v/>
      </c>
      <c r="F1828" s="8" t="str">
        <f>IF(Table1[[#This Row],[Is Data Valid]]=TRUE,EXP(0.578+0.332*((Table1[[#This Row],[Gestation (days)]]+0.5)/7)-0.00354*((Table1[[#This Row],[Gestation (days)]]+0.5)/7)^2)*Table1[[#This Row],[BW40_3705]],"")</f>
        <v/>
      </c>
      <c r="G1828" s="2" t="str">
        <f>IF(Table1[[#This Row],[Is Data Valid]]=TRUE,((Table1[[#This Row],[Birthweight (grams)]]/Table1[[#This Row],[BW_GA]])-1)/(Backend!$B$4/100*Table1[[#This Row],[BW40_3705]]),"")</f>
        <v/>
      </c>
      <c r="H1828" s="7" t="str">
        <f>IF(Table1[[#This Row],[Is Data Valid]]=TRUE,((Table1[[#This Row],[Birthweight (grams)]]*0.9/Table1[[#This Row],[BW_GA]])-1)/(Backend!$B$4/100*Table1[[#This Row],[BW40_3705]]),"")</f>
        <v/>
      </c>
      <c r="I1828" s="7" t="str">
        <f>IF(Table1[[#This Row],[Is Data Valid]]=TRUE,((Table1[[#This Row],[Birthweight (grams)]]*1.1/Table1[[#This Row],[BW_GA]])-1)/(Backend!$B$4/100*Table1[[#This Row],[BW40_3705]]),"")</f>
        <v/>
      </c>
      <c r="J1828" s="7" t="str">
        <f>IF(Table1[[#This Row],[Is Data Valid]]=TRUE,_xlfn.NORM.S.DIST(Table1[[#This Row],[Birthweight Z-Score]],TRUE)*100,"")</f>
        <v/>
      </c>
      <c r="K1828" s="7" t="str">
        <f>IF(Table1[[#This Row],[Is Data Valid]]=TRUE,_xlfn.NORM.S.DIST(Table1[[#This Row],[Birthweight Z-Score (BW-10%)]],TRUE)*100,"")</f>
        <v/>
      </c>
      <c r="L1828" s="7" t="str">
        <f>IF(Table1[[#This Row],[Is Data Valid]]=TRUE,_xlfn.NORM.S.DIST(Table1[[#This Row],[Birthweight Z-Score (BW+10%)]],TRUE)*100,"")</f>
        <v/>
      </c>
    </row>
    <row r="1829" spans="1:12" x14ac:dyDescent="0.35">
      <c r="A1829" s="3"/>
      <c r="B1829" s="2"/>
      <c r="C1829" s="2"/>
      <c r="D1829" s="2" t="b">
        <f>IF(AND(NOT(ISBLANK(Table1[[#This Row],[Fetal Sex (Male, Female or Unknown)]])),ISNUMBER(Table1[[#This Row],[Birthweight (grams)]]),ISNUMBER(Table1[[#This Row],[Gestation (days)]])),TRUE,FALSE)</f>
        <v>0</v>
      </c>
      <c r="E1829" s="2" t="str">
        <f>IF(Table1[[#This Row],[Is Data Valid]]=TRUE,IF(Table1[[#This Row],[Fetal Sex (Male, Female or Unknown)]]="Male",Backend!$C$6,IF(Table1[[#This Row],[Fetal Sex (Male, Female or Unknown)]]="Female",Backend!$C$7,IF(Table1[[#This Row],[Fetal Sex (Male, Female or Unknown)]]="Unknown",Backend!$C$8,"Error"))),"")</f>
        <v/>
      </c>
      <c r="F1829" s="8" t="str">
        <f>IF(Table1[[#This Row],[Is Data Valid]]=TRUE,EXP(0.578+0.332*((Table1[[#This Row],[Gestation (days)]]+0.5)/7)-0.00354*((Table1[[#This Row],[Gestation (days)]]+0.5)/7)^2)*Table1[[#This Row],[BW40_3705]],"")</f>
        <v/>
      </c>
      <c r="G1829" s="2" t="str">
        <f>IF(Table1[[#This Row],[Is Data Valid]]=TRUE,((Table1[[#This Row],[Birthweight (grams)]]/Table1[[#This Row],[BW_GA]])-1)/(Backend!$B$4/100*Table1[[#This Row],[BW40_3705]]),"")</f>
        <v/>
      </c>
      <c r="H1829" s="7" t="str">
        <f>IF(Table1[[#This Row],[Is Data Valid]]=TRUE,((Table1[[#This Row],[Birthweight (grams)]]*0.9/Table1[[#This Row],[BW_GA]])-1)/(Backend!$B$4/100*Table1[[#This Row],[BW40_3705]]),"")</f>
        <v/>
      </c>
      <c r="I1829" s="7" t="str">
        <f>IF(Table1[[#This Row],[Is Data Valid]]=TRUE,((Table1[[#This Row],[Birthweight (grams)]]*1.1/Table1[[#This Row],[BW_GA]])-1)/(Backend!$B$4/100*Table1[[#This Row],[BW40_3705]]),"")</f>
        <v/>
      </c>
      <c r="J1829" s="7" t="str">
        <f>IF(Table1[[#This Row],[Is Data Valid]]=TRUE,_xlfn.NORM.S.DIST(Table1[[#This Row],[Birthweight Z-Score]],TRUE)*100,"")</f>
        <v/>
      </c>
      <c r="K1829" s="7" t="str">
        <f>IF(Table1[[#This Row],[Is Data Valid]]=TRUE,_xlfn.NORM.S.DIST(Table1[[#This Row],[Birthweight Z-Score (BW-10%)]],TRUE)*100,"")</f>
        <v/>
      </c>
      <c r="L1829" s="7" t="str">
        <f>IF(Table1[[#This Row],[Is Data Valid]]=TRUE,_xlfn.NORM.S.DIST(Table1[[#This Row],[Birthweight Z-Score (BW+10%)]],TRUE)*100,"")</f>
        <v/>
      </c>
    </row>
    <row r="1830" spans="1:12" x14ac:dyDescent="0.35">
      <c r="A1830" s="3"/>
      <c r="B1830" s="2"/>
      <c r="C1830" s="2"/>
      <c r="D1830" s="2" t="b">
        <f>IF(AND(NOT(ISBLANK(Table1[[#This Row],[Fetal Sex (Male, Female or Unknown)]])),ISNUMBER(Table1[[#This Row],[Birthweight (grams)]]),ISNUMBER(Table1[[#This Row],[Gestation (days)]])),TRUE,FALSE)</f>
        <v>0</v>
      </c>
      <c r="E1830" s="2" t="str">
        <f>IF(Table1[[#This Row],[Is Data Valid]]=TRUE,IF(Table1[[#This Row],[Fetal Sex (Male, Female or Unknown)]]="Male",Backend!$C$6,IF(Table1[[#This Row],[Fetal Sex (Male, Female or Unknown)]]="Female",Backend!$C$7,IF(Table1[[#This Row],[Fetal Sex (Male, Female or Unknown)]]="Unknown",Backend!$C$8,"Error"))),"")</f>
        <v/>
      </c>
      <c r="F1830" s="8" t="str">
        <f>IF(Table1[[#This Row],[Is Data Valid]]=TRUE,EXP(0.578+0.332*((Table1[[#This Row],[Gestation (days)]]+0.5)/7)-0.00354*((Table1[[#This Row],[Gestation (days)]]+0.5)/7)^2)*Table1[[#This Row],[BW40_3705]],"")</f>
        <v/>
      </c>
      <c r="G1830" s="2" t="str">
        <f>IF(Table1[[#This Row],[Is Data Valid]]=TRUE,((Table1[[#This Row],[Birthweight (grams)]]/Table1[[#This Row],[BW_GA]])-1)/(Backend!$B$4/100*Table1[[#This Row],[BW40_3705]]),"")</f>
        <v/>
      </c>
      <c r="H1830" s="7" t="str">
        <f>IF(Table1[[#This Row],[Is Data Valid]]=TRUE,((Table1[[#This Row],[Birthweight (grams)]]*0.9/Table1[[#This Row],[BW_GA]])-1)/(Backend!$B$4/100*Table1[[#This Row],[BW40_3705]]),"")</f>
        <v/>
      </c>
      <c r="I1830" s="7" t="str">
        <f>IF(Table1[[#This Row],[Is Data Valid]]=TRUE,((Table1[[#This Row],[Birthweight (grams)]]*1.1/Table1[[#This Row],[BW_GA]])-1)/(Backend!$B$4/100*Table1[[#This Row],[BW40_3705]]),"")</f>
        <v/>
      </c>
      <c r="J1830" s="7" t="str">
        <f>IF(Table1[[#This Row],[Is Data Valid]]=TRUE,_xlfn.NORM.S.DIST(Table1[[#This Row],[Birthweight Z-Score]],TRUE)*100,"")</f>
        <v/>
      </c>
      <c r="K1830" s="7" t="str">
        <f>IF(Table1[[#This Row],[Is Data Valid]]=TRUE,_xlfn.NORM.S.DIST(Table1[[#This Row],[Birthweight Z-Score (BW-10%)]],TRUE)*100,"")</f>
        <v/>
      </c>
      <c r="L1830" s="7" t="str">
        <f>IF(Table1[[#This Row],[Is Data Valid]]=TRUE,_xlfn.NORM.S.DIST(Table1[[#This Row],[Birthweight Z-Score (BW+10%)]],TRUE)*100,"")</f>
        <v/>
      </c>
    </row>
    <row r="1831" spans="1:12" x14ac:dyDescent="0.35">
      <c r="A1831" s="3"/>
      <c r="B1831" s="2"/>
      <c r="C1831" s="2"/>
      <c r="D1831" s="2" t="b">
        <f>IF(AND(NOT(ISBLANK(Table1[[#This Row],[Fetal Sex (Male, Female or Unknown)]])),ISNUMBER(Table1[[#This Row],[Birthweight (grams)]]),ISNUMBER(Table1[[#This Row],[Gestation (days)]])),TRUE,FALSE)</f>
        <v>0</v>
      </c>
      <c r="E1831" s="2" t="str">
        <f>IF(Table1[[#This Row],[Is Data Valid]]=TRUE,IF(Table1[[#This Row],[Fetal Sex (Male, Female or Unknown)]]="Male",Backend!$C$6,IF(Table1[[#This Row],[Fetal Sex (Male, Female or Unknown)]]="Female",Backend!$C$7,IF(Table1[[#This Row],[Fetal Sex (Male, Female or Unknown)]]="Unknown",Backend!$C$8,"Error"))),"")</f>
        <v/>
      </c>
      <c r="F1831" s="8" t="str">
        <f>IF(Table1[[#This Row],[Is Data Valid]]=TRUE,EXP(0.578+0.332*((Table1[[#This Row],[Gestation (days)]]+0.5)/7)-0.00354*((Table1[[#This Row],[Gestation (days)]]+0.5)/7)^2)*Table1[[#This Row],[BW40_3705]],"")</f>
        <v/>
      </c>
      <c r="G1831" s="2" t="str">
        <f>IF(Table1[[#This Row],[Is Data Valid]]=TRUE,((Table1[[#This Row],[Birthweight (grams)]]/Table1[[#This Row],[BW_GA]])-1)/(Backend!$B$4/100*Table1[[#This Row],[BW40_3705]]),"")</f>
        <v/>
      </c>
      <c r="H1831" s="7" t="str">
        <f>IF(Table1[[#This Row],[Is Data Valid]]=TRUE,((Table1[[#This Row],[Birthweight (grams)]]*0.9/Table1[[#This Row],[BW_GA]])-1)/(Backend!$B$4/100*Table1[[#This Row],[BW40_3705]]),"")</f>
        <v/>
      </c>
      <c r="I1831" s="7" t="str">
        <f>IF(Table1[[#This Row],[Is Data Valid]]=TRUE,((Table1[[#This Row],[Birthweight (grams)]]*1.1/Table1[[#This Row],[BW_GA]])-1)/(Backend!$B$4/100*Table1[[#This Row],[BW40_3705]]),"")</f>
        <v/>
      </c>
      <c r="J1831" s="7" t="str">
        <f>IF(Table1[[#This Row],[Is Data Valid]]=TRUE,_xlfn.NORM.S.DIST(Table1[[#This Row],[Birthweight Z-Score]],TRUE)*100,"")</f>
        <v/>
      </c>
      <c r="K1831" s="7" t="str">
        <f>IF(Table1[[#This Row],[Is Data Valid]]=TRUE,_xlfn.NORM.S.DIST(Table1[[#This Row],[Birthweight Z-Score (BW-10%)]],TRUE)*100,"")</f>
        <v/>
      </c>
      <c r="L1831" s="7" t="str">
        <f>IF(Table1[[#This Row],[Is Data Valid]]=TRUE,_xlfn.NORM.S.DIST(Table1[[#This Row],[Birthweight Z-Score (BW+10%)]],TRUE)*100,"")</f>
        <v/>
      </c>
    </row>
    <row r="1832" spans="1:12" x14ac:dyDescent="0.35">
      <c r="A1832" s="3"/>
      <c r="B1832" s="2"/>
      <c r="C1832" s="2"/>
      <c r="D1832" s="2" t="b">
        <f>IF(AND(NOT(ISBLANK(Table1[[#This Row],[Fetal Sex (Male, Female or Unknown)]])),ISNUMBER(Table1[[#This Row],[Birthweight (grams)]]),ISNUMBER(Table1[[#This Row],[Gestation (days)]])),TRUE,FALSE)</f>
        <v>0</v>
      </c>
      <c r="E1832" s="2" t="str">
        <f>IF(Table1[[#This Row],[Is Data Valid]]=TRUE,IF(Table1[[#This Row],[Fetal Sex (Male, Female or Unknown)]]="Male",Backend!$C$6,IF(Table1[[#This Row],[Fetal Sex (Male, Female or Unknown)]]="Female",Backend!$C$7,IF(Table1[[#This Row],[Fetal Sex (Male, Female or Unknown)]]="Unknown",Backend!$C$8,"Error"))),"")</f>
        <v/>
      </c>
      <c r="F1832" s="8" t="str">
        <f>IF(Table1[[#This Row],[Is Data Valid]]=TRUE,EXP(0.578+0.332*((Table1[[#This Row],[Gestation (days)]]+0.5)/7)-0.00354*((Table1[[#This Row],[Gestation (days)]]+0.5)/7)^2)*Table1[[#This Row],[BW40_3705]],"")</f>
        <v/>
      </c>
      <c r="G1832" s="2" t="str">
        <f>IF(Table1[[#This Row],[Is Data Valid]]=TRUE,((Table1[[#This Row],[Birthweight (grams)]]/Table1[[#This Row],[BW_GA]])-1)/(Backend!$B$4/100*Table1[[#This Row],[BW40_3705]]),"")</f>
        <v/>
      </c>
      <c r="H1832" s="7" t="str">
        <f>IF(Table1[[#This Row],[Is Data Valid]]=TRUE,((Table1[[#This Row],[Birthweight (grams)]]*0.9/Table1[[#This Row],[BW_GA]])-1)/(Backend!$B$4/100*Table1[[#This Row],[BW40_3705]]),"")</f>
        <v/>
      </c>
      <c r="I1832" s="7" t="str">
        <f>IF(Table1[[#This Row],[Is Data Valid]]=TRUE,((Table1[[#This Row],[Birthweight (grams)]]*1.1/Table1[[#This Row],[BW_GA]])-1)/(Backend!$B$4/100*Table1[[#This Row],[BW40_3705]]),"")</f>
        <v/>
      </c>
      <c r="J1832" s="7" t="str">
        <f>IF(Table1[[#This Row],[Is Data Valid]]=TRUE,_xlfn.NORM.S.DIST(Table1[[#This Row],[Birthweight Z-Score]],TRUE)*100,"")</f>
        <v/>
      </c>
      <c r="K1832" s="7" t="str">
        <f>IF(Table1[[#This Row],[Is Data Valid]]=TRUE,_xlfn.NORM.S.DIST(Table1[[#This Row],[Birthweight Z-Score (BW-10%)]],TRUE)*100,"")</f>
        <v/>
      </c>
      <c r="L1832" s="7" t="str">
        <f>IF(Table1[[#This Row],[Is Data Valid]]=TRUE,_xlfn.NORM.S.DIST(Table1[[#This Row],[Birthweight Z-Score (BW+10%)]],TRUE)*100,"")</f>
        <v/>
      </c>
    </row>
    <row r="1833" spans="1:12" x14ac:dyDescent="0.35">
      <c r="A1833" s="3"/>
      <c r="B1833" s="2"/>
      <c r="C1833" s="2"/>
      <c r="D1833" s="2" t="b">
        <f>IF(AND(NOT(ISBLANK(Table1[[#This Row],[Fetal Sex (Male, Female or Unknown)]])),ISNUMBER(Table1[[#This Row],[Birthweight (grams)]]),ISNUMBER(Table1[[#This Row],[Gestation (days)]])),TRUE,FALSE)</f>
        <v>0</v>
      </c>
      <c r="E1833" s="2" t="str">
        <f>IF(Table1[[#This Row],[Is Data Valid]]=TRUE,IF(Table1[[#This Row],[Fetal Sex (Male, Female or Unknown)]]="Male",Backend!$C$6,IF(Table1[[#This Row],[Fetal Sex (Male, Female or Unknown)]]="Female",Backend!$C$7,IF(Table1[[#This Row],[Fetal Sex (Male, Female or Unknown)]]="Unknown",Backend!$C$8,"Error"))),"")</f>
        <v/>
      </c>
      <c r="F1833" s="8" t="str">
        <f>IF(Table1[[#This Row],[Is Data Valid]]=TRUE,EXP(0.578+0.332*((Table1[[#This Row],[Gestation (days)]]+0.5)/7)-0.00354*((Table1[[#This Row],[Gestation (days)]]+0.5)/7)^2)*Table1[[#This Row],[BW40_3705]],"")</f>
        <v/>
      </c>
      <c r="G1833" s="2" t="str">
        <f>IF(Table1[[#This Row],[Is Data Valid]]=TRUE,((Table1[[#This Row],[Birthweight (grams)]]/Table1[[#This Row],[BW_GA]])-1)/(Backend!$B$4/100*Table1[[#This Row],[BW40_3705]]),"")</f>
        <v/>
      </c>
      <c r="H1833" s="7" t="str">
        <f>IF(Table1[[#This Row],[Is Data Valid]]=TRUE,((Table1[[#This Row],[Birthweight (grams)]]*0.9/Table1[[#This Row],[BW_GA]])-1)/(Backend!$B$4/100*Table1[[#This Row],[BW40_3705]]),"")</f>
        <v/>
      </c>
      <c r="I1833" s="7" t="str">
        <f>IF(Table1[[#This Row],[Is Data Valid]]=TRUE,((Table1[[#This Row],[Birthweight (grams)]]*1.1/Table1[[#This Row],[BW_GA]])-1)/(Backend!$B$4/100*Table1[[#This Row],[BW40_3705]]),"")</f>
        <v/>
      </c>
      <c r="J1833" s="7" t="str">
        <f>IF(Table1[[#This Row],[Is Data Valid]]=TRUE,_xlfn.NORM.S.DIST(Table1[[#This Row],[Birthweight Z-Score]],TRUE)*100,"")</f>
        <v/>
      </c>
      <c r="K1833" s="7" t="str">
        <f>IF(Table1[[#This Row],[Is Data Valid]]=TRUE,_xlfn.NORM.S.DIST(Table1[[#This Row],[Birthweight Z-Score (BW-10%)]],TRUE)*100,"")</f>
        <v/>
      </c>
      <c r="L1833" s="7" t="str">
        <f>IF(Table1[[#This Row],[Is Data Valid]]=TRUE,_xlfn.NORM.S.DIST(Table1[[#This Row],[Birthweight Z-Score (BW+10%)]],TRUE)*100,"")</f>
        <v/>
      </c>
    </row>
    <row r="1834" spans="1:12" x14ac:dyDescent="0.35">
      <c r="A1834" s="3"/>
      <c r="B1834" s="2"/>
      <c r="C1834" s="2"/>
      <c r="D1834" s="2" t="b">
        <f>IF(AND(NOT(ISBLANK(Table1[[#This Row],[Fetal Sex (Male, Female or Unknown)]])),ISNUMBER(Table1[[#This Row],[Birthweight (grams)]]),ISNUMBER(Table1[[#This Row],[Gestation (days)]])),TRUE,FALSE)</f>
        <v>0</v>
      </c>
      <c r="E1834" s="2" t="str">
        <f>IF(Table1[[#This Row],[Is Data Valid]]=TRUE,IF(Table1[[#This Row],[Fetal Sex (Male, Female or Unknown)]]="Male",Backend!$C$6,IF(Table1[[#This Row],[Fetal Sex (Male, Female or Unknown)]]="Female",Backend!$C$7,IF(Table1[[#This Row],[Fetal Sex (Male, Female or Unknown)]]="Unknown",Backend!$C$8,"Error"))),"")</f>
        <v/>
      </c>
      <c r="F1834" s="8" t="str">
        <f>IF(Table1[[#This Row],[Is Data Valid]]=TRUE,EXP(0.578+0.332*((Table1[[#This Row],[Gestation (days)]]+0.5)/7)-0.00354*((Table1[[#This Row],[Gestation (days)]]+0.5)/7)^2)*Table1[[#This Row],[BW40_3705]],"")</f>
        <v/>
      </c>
      <c r="G1834" s="2" t="str">
        <f>IF(Table1[[#This Row],[Is Data Valid]]=TRUE,((Table1[[#This Row],[Birthweight (grams)]]/Table1[[#This Row],[BW_GA]])-1)/(Backend!$B$4/100*Table1[[#This Row],[BW40_3705]]),"")</f>
        <v/>
      </c>
      <c r="H1834" s="7" t="str">
        <f>IF(Table1[[#This Row],[Is Data Valid]]=TRUE,((Table1[[#This Row],[Birthweight (grams)]]*0.9/Table1[[#This Row],[BW_GA]])-1)/(Backend!$B$4/100*Table1[[#This Row],[BW40_3705]]),"")</f>
        <v/>
      </c>
      <c r="I1834" s="7" t="str">
        <f>IF(Table1[[#This Row],[Is Data Valid]]=TRUE,((Table1[[#This Row],[Birthweight (grams)]]*1.1/Table1[[#This Row],[BW_GA]])-1)/(Backend!$B$4/100*Table1[[#This Row],[BW40_3705]]),"")</f>
        <v/>
      </c>
      <c r="J1834" s="7" t="str">
        <f>IF(Table1[[#This Row],[Is Data Valid]]=TRUE,_xlfn.NORM.S.DIST(Table1[[#This Row],[Birthweight Z-Score]],TRUE)*100,"")</f>
        <v/>
      </c>
      <c r="K1834" s="7" t="str">
        <f>IF(Table1[[#This Row],[Is Data Valid]]=TRUE,_xlfn.NORM.S.DIST(Table1[[#This Row],[Birthweight Z-Score (BW-10%)]],TRUE)*100,"")</f>
        <v/>
      </c>
      <c r="L1834" s="7" t="str">
        <f>IF(Table1[[#This Row],[Is Data Valid]]=TRUE,_xlfn.NORM.S.DIST(Table1[[#This Row],[Birthweight Z-Score (BW+10%)]],TRUE)*100,"")</f>
        <v/>
      </c>
    </row>
    <row r="1835" spans="1:12" x14ac:dyDescent="0.35">
      <c r="A1835" s="3"/>
      <c r="B1835" s="2"/>
      <c r="C1835" s="2"/>
      <c r="D1835" s="2" t="b">
        <f>IF(AND(NOT(ISBLANK(Table1[[#This Row],[Fetal Sex (Male, Female or Unknown)]])),ISNUMBER(Table1[[#This Row],[Birthweight (grams)]]),ISNUMBER(Table1[[#This Row],[Gestation (days)]])),TRUE,FALSE)</f>
        <v>0</v>
      </c>
      <c r="E1835" s="2" t="str">
        <f>IF(Table1[[#This Row],[Is Data Valid]]=TRUE,IF(Table1[[#This Row],[Fetal Sex (Male, Female or Unknown)]]="Male",Backend!$C$6,IF(Table1[[#This Row],[Fetal Sex (Male, Female or Unknown)]]="Female",Backend!$C$7,IF(Table1[[#This Row],[Fetal Sex (Male, Female or Unknown)]]="Unknown",Backend!$C$8,"Error"))),"")</f>
        <v/>
      </c>
      <c r="F1835" s="8" t="str">
        <f>IF(Table1[[#This Row],[Is Data Valid]]=TRUE,EXP(0.578+0.332*((Table1[[#This Row],[Gestation (days)]]+0.5)/7)-0.00354*((Table1[[#This Row],[Gestation (days)]]+0.5)/7)^2)*Table1[[#This Row],[BW40_3705]],"")</f>
        <v/>
      </c>
      <c r="G1835" s="2" t="str">
        <f>IF(Table1[[#This Row],[Is Data Valid]]=TRUE,((Table1[[#This Row],[Birthweight (grams)]]/Table1[[#This Row],[BW_GA]])-1)/(Backend!$B$4/100*Table1[[#This Row],[BW40_3705]]),"")</f>
        <v/>
      </c>
      <c r="H1835" s="7" t="str">
        <f>IF(Table1[[#This Row],[Is Data Valid]]=TRUE,((Table1[[#This Row],[Birthweight (grams)]]*0.9/Table1[[#This Row],[BW_GA]])-1)/(Backend!$B$4/100*Table1[[#This Row],[BW40_3705]]),"")</f>
        <v/>
      </c>
      <c r="I1835" s="7" t="str">
        <f>IF(Table1[[#This Row],[Is Data Valid]]=TRUE,((Table1[[#This Row],[Birthweight (grams)]]*1.1/Table1[[#This Row],[BW_GA]])-1)/(Backend!$B$4/100*Table1[[#This Row],[BW40_3705]]),"")</f>
        <v/>
      </c>
      <c r="J1835" s="7" t="str">
        <f>IF(Table1[[#This Row],[Is Data Valid]]=TRUE,_xlfn.NORM.S.DIST(Table1[[#This Row],[Birthweight Z-Score]],TRUE)*100,"")</f>
        <v/>
      </c>
      <c r="K1835" s="7" t="str">
        <f>IF(Table1[[#This Row],[Is Data Valid]]=TRUE,_xlfn.NORM.S.DIST(Table1[[#This Row],[Birthweight Z-Score (BW-10%)]],TRUE)*100,"")</f>
        <v/>
      </c>
      <c r="L1835" s="7" t="str">
        <f>IF(Table1[[#This Row],[Is Data Valid]]=TRUE,_xlfn.NORM.S.DIST(Table1[[#This Row],[Birthweight Z-Score (BW+10%)]],TRUE)*100,"")</f>
        <v/>
      </c>
    </row>
    <row r="1836" spans="1:12" x14ac:dyDescent="0.35">
      <c r="A1836" s="3"/>
      <c r="B1836" s="2"/>
      <c r="C1836" s="2"/>
      <c r="D1836" s="2" t="b">
        <f>IF(AND(NOT(ISBLANK(Table1[[#This Row],[Fetal Sex (Male, Female or Unknown)]])),ISNUMBER(Table1[[#This Row],[Birthweight (grams)]]),ISNUMBER(Table1[[#This Row],[Gestation (days)]])),TRUE,FALSE)</f>
        <v>0</v>
      </c>
      <c r="E1836" s="2" t="str">
        <f>IF(Table1[[#This Row],[Is Data Valid]]=TRUE,IF(Table1[[#This Row],[Fetal Sex (Male, Female or Unknown)]]="Male",Backend!$C$6,IF(Table1[[#This Row],[Fetal Sex (Male, Female or Unknown)]]="Female",Backend!$C$7,IF(Table1[[#This Row],[Fetal Sex (Male, Female or Unknown)]]="Unknown",Backend!$C$8,"Error"))),"")</f>
        <v/>
      </c>
      <c r="F1836" s="8" t="str">
        <f>IF(Table1[[#This Row],[Is Data Valid]]=TRUE,EXP(0.578+0.332*((Table1[[#This Row],[Gestation (days)]]+0.5)/7)-0.00354*((Table1[[#This Row],[Gestation (days)]]+0.5)/7)^2)*Table1[[#This Row],[BW40_3705]],"")</f>
        <v/>
      </c>
      <c r="G1836" s="2" t="str">
        <f>IF(Table1[[#This Row],[Is Data Valid]]=TRUE,((Table1[[#This Row],[Birthweight (grams)]]/Table1[[#This Row],[BW_GA]])-1)/(Backend!$B$4/100*Table1[[#This Row],[BW40_3705]]),"")</f>
        <v/>
      </c>
      <c r="H1836" s="7" t="str">
        <f>IF(Table1[[#This Row],[Is Data Valid]]=TRUE,((Table1[[#This Row],[Birthweight (grams)]]*0.9/Table1[[#This Row],[BW_GA]])-1)/(Backend!$B$4/100*Table1[[#This Row],[BW40_3705]]),"")</f>
        <v/>
      </c>
      <c r="I1836" s="7" t="str">
        <f>IF(Table1[[#This Row],[Is Data Valid]]=TRUE,((Table1[[#This Row],[Birthweight (grams)]]*1.1/Table1[[#This Row],[BW_GA]])-1)/(Backend!$B$4/100*Table1[[#This Row],[BW40_3705]]),"")</f>
        <v/>
      </c>
      <c r="J1836" s="7" t="str">
        <f>IF(Table1[[#This Row],[Is Data Valid]]=TRUE,_xlfn.NORM.S.DIST(Table1[[#This Row],[Birthweight Z-Score]],TRUE)*100,"")</f>
        <v/>
      </c>
      <c r="K1836" s="7" t="str">
        <f>IF(Table1[[#This Row],[Is Data Valid]]=TRUE,_xlfn.NORM.S.DIST(Table1[[#This Row],[Birthweight Z-Score (BW-10%)]],TRUE)*100,"")</f>
        <v/>
      </c>
      <c r="L1836" s="7" t="str">
        <f>IF(Table1[[#This Row],[Is Data Valid]]=TRUE,_xlfn.NORM.S.DIST(Table1[[#This Row],[Birthweight Z-Score (BW+10%)]],TRUE)*100,"")</f>
        <v/>
      </c>
    </row>
    <row r="1837" spans="1:12" x14ac:dyDescent="0.35">
      <c r="A1837" s="3"/>
      <c r="B1837" s="2"/>
      <c r="C1837" s="2"/>
      <c r="D1837" s="2" t="b">
        <f>IF(AND(NOT(ISBLANK(Table1[[#This Row],[Fetal Sex (Male, Female or Unknown)]])),ISNUMBER(Table1[[#This Row],[Birthweight (grams)]]),ISNUMBER(Table1[[#This Row],[Gestation (days)]])),TRUE,FALSE)</f>
        <v>0</v>
      </c>
      <c r="E1837" s="2" t="str">
        <f>IF(Table1[[#This Row],[Is Data Valid]]=TRUE,IF(Table1[[#This Row],[Fetal Sex (Male, Female or Unknown)]]="Male",Backend!$C$6,IF(Table1[[#This Row],[Fetal Sex (Male, Female or Unknown)]]="Female",Backend!$C$7,IF(Table1[[#This Row],[Fetal Sex (Male, Female or Unknown)]]="Unknown",Backend!$C$8,"Error"))),"")</f>
        <v/>
      </c>
      <c r="F1837" s="8" t="str">
        <f>IF(Table1[[#This Row],[Is Data Valid]]=TRUE,EXP(0.578+0.332*((Table1[[#This Row],[Gestation (days)]]+0.5)/7)-0.00354*((Table1[[#This Row],[Gestation (days)]]+0.5)/7)^2)*Table1[[#This Row],[BW40_3705]],"")</f>
        <v/>
      </c>
      <c r="G1837" s="2" t="str">
        <f>IF(Table1[[#This Row],[Is Data Valid]]=TRUE,((Table1[[#This Row],[Birthweight (grams)]]/Table1[[#This Row],[BW_GA]])-1)/(Backend!$B$4/100*Table1[[#This Row],[BW40_3705]]),"")</f>
        <v/>
      </c>
      <c r="H1837" s="7" t="str">
        <f>IF(Table1[[#This Row],[Is Data Valid]]=TRUE,((Table1[[#This Row],[Birthweight (grams)]]*0.9/Table1[[#This Row],[BW_GA]])-1)/(Backend!$B$4/100*Table1[[#This Row],[BW40_3705]]),"")</f>
        <v/>
      </c>
      <c r="I1837" s="7" t="str">
        <f>IF(Table1[[#This Row],[Is Data Valid]]=TRUE,((Table1[[#This Row],[Birthweight (grams)]]*1.1/Table1[[#This Row],[BW_GA]])-1)/(Backend!$B$4/100*Table1[[#This Row],[BW40_3705]]),"")</f>
        <v/>
      </c>
      <c r="J1837" s="7" t="str">
        <f>IF(Table1[[#This Row],[Is Data Valid]]=TRUE,_xlfn.NORM.S.DIST(Table1[[#This Row],[Birthweight Z-Score]],TRUE)*100,"")</f>
        <v/>
      </c>
      <c r="K1837" s="7" t="str">
        <f>IF(Table1[[#This Row],[Is Data Valid]]=TRUE,_xlfn.NORM.S.DIST(Table1[[#This Row],[Birthweight Z-Score (BW-10%)]],TRUE)*100,"")</f>
        <v/>
      </c>
      <c r="L1837" s="7" t="str">
        <f>IF(Table1[[#This Row],[Is Data Valid]]=TRUE,_xlfn.NORM.S.DIST(Table1[[#This Row],[Birthweight Z-Score (BW+10%)]],TRUE)*100,"")</f>
        <v/>
      </c>
    </row>
    <row r="1838" spans="1:12" x14ac:dyDescent="0.35">
      <c r="A1838" s="3"/>
      <c r="B1838" s="2"/>
      <c r="C1838" s="2"/>
      <c r="D1838" s="2" t="b">
        <f>IF(AND(NOT(ISBLANK(Table1[[#This Row],[Fetal Sex (Male, Female or Unknown)]])),ISNUMBER(Table1[[#This Row],[Birthweight (grams)]]),ISNUMBER(Table1[[#This Row],[Gestation (days)]])),TRUE,FALSE)</f>
        <v>0</v>
      </c>
      <c r="E1838" s="2" t="str">
        <f>IF(Table1[[#This Row],[Is Data Valid]]=TRUE,IF(Table1[[#This Row],[Fetal Sex (Male, Female or Unknown)]]="Male",Backend!$C$6,IF(Table1[[#This Row],[Fetal Sex (Male, Female or Unknown)]]="Female",Backend!$C$7,IF(Table1[[#This Row],[Fetal Sex (Male, Female or Unknown)]]="Unknown",Backend!$C$8,"Error"))),"")</f>
        <v/>
      </c>
      <c r="F1838" s="8" t="str">
        <f>IF(Table1[[#This Row],[Is Data Valid]]=TRUE,EXP(0.578+0.332*((Table1[[#This Row],[Gestation (days)]]+0.5)/7)-0.00354*((Table1[[#This Row],[Gestation (days)]]+0.5)/7)^2)*Table1[[#This Row],[BW40_3705]],"")</f>
        <v/>
      </c>
      <c r="G1838" s="2" t="str">
        <f>IF(Table1[[#This Row],[Is Data Valid]]=TRUE,((Table1[[#This Row],[Birthweight (grams)]]/Table1[[#This Row],[BW_GA]])-1)/(Backend!$B$4/100*Table1[[#This Row],[BW40_3705]]),"")</f>
        <v/>
      </c>
      <c r="H1838" s="7" t="str">
        <f>IF(Table1[[#This Row],[Is Data Valid]]=TRUE,((Table1[[#This Row],[Birthweight (grams)]]*0.9/Table1[[#This Row],[BW_GA]])-1)/(Backend!$B$4/100*Table1[[#This Row],[BW40_3705]]),"")</f>
        <v/>
      </c>
      <c r="I1838" s="7" t="str">
        <f>IF(Table1[[#This Row],[Is Data Valid]]=TRUE,((Table1[[#This Row],[Birthweight (grams)]]*1.1/Table1[[#This Row],[BW_GA]])-1)/(Backend!$B$4/100*Table1[[#This Row],[BW40_3705]]),"")</f>
        <v/>
      </c>
      <c r="J1838" s="7" t="str">
        <f>IF(Table1[[#This Row],[Is Data Valid]]=TRUE,_xlfn.NORM.S.DIST(Table1[[#This Row],[Birthweight Z-Score]],TRUE)*100,"")</f>
        <v/>
      </c>
      <c r="K1838" s="7" t="str">
        <f>IF(Table1[[#This Row],[Is Data Valid]]=TRUE,_xlfn.NORM.S.DIST(Table1[[#This Row],[Birthweight Z-Score (BW-10%)]],TRUE)*100,"")</f>
        <v/>
      </c>
      <c r="L1838" s="7" t="str">
        <f>IF(Table1[[#This Row],[Is Data Valid]]=TRUE,_xlfn.NORM.S.DIST(Table1[[#This Row],[Birthweight Z-Score (BW+10%)]],TRUE)*100,"")</f>
        <v/>
      </c>
    </row>
    <row r="1839" spans="1:12" x14ac:dyDescent="0.35">
      <c r="A1839" s="3"/>
      <c r="B1839" s="2"/>
      <c r="C1839" s="2"/>
      <c r="D1839" s="2" t="b">
        <f>IF(AND(NOT(ISBLANK(Table1[[#This Row],[Fetal Sex (Male, Female or Unknown)]])),ISNUMBER(Table1[[#This Row],[Birthweight (grams)]]),ISNUMBER(Table1[[#This Row],[Gestation (days)]])),TRUE,FALSE)</f>
        <v>0</v>
      </c>
      <c r="E1839" s="2" t="str">
        <f>IF(Table1[[#This Row],[Is Data Valid]]=TRUE,IF(Table1[[#This Row],[Fetal Sex (Male, Female or Unknown)]]="Male",Backend!$C$6,IF(Table1[[#This Row],[Fetal Sex (Male, Female or Unknown)]]="Female",Backend!$C$7,IF(Table1[[#This Row],[Fetal Sex (Male, Female or Unknown)]]="Unknown",Backend!$C$8,"Error"))),"")</f>
        <v/>
      </c>
      <c r="F1839" s="8" t="str">
        <f>IF(Table1[[#This Row],[Is Data Valid]]=TRUE,EXP(0.578+0.332*((Table1[[#This Row],[Gestation (days)]]+0.5)/7)-0.00354*((Table1[[#This Row],[Gestation (days)]]+0.5)/7)^2)*Table1[[#This Row],[BW40_3705]],"")</f>
        <v/>
      </c>
      <c r="G1839" s="2" t="str">
        <f>IF(Table1[[#This Row],[Is Data Valid]]=TRUE,((Table1[[#This Row],[Birthweight (grams)]]/Table1[[#This Row],[BW_GA]])-1)/(Backend!$B$4/100*Table1[[#This Row],[BW40_3705]]),"")</f>
        <v/>
      </c>
      <c r="H1839" s="7" t="str">
        <f>IF(Table1[[#This Row],[Is Data Valid]]=TRUE,((Table1[[#This Row],[Birthweight (grams)]]*0.9/Table1[[#This Row],[BW_GA]])-1)/(Backend!$B$4/100*Table1[[#This Row],[BW40_3705]]),"")</f>
        <v/>
      </c>
      <c r="I1839" s="7" t="str">
        <f>IF(Table1[[#This Row],[Is Data Valid]]=TRUE,((Table1[[#This Row],[Birthweight (grams)]]*1.1/Table1[[#This Row],[BW_GA]])-1)/(Backend!$B$4/100*Table1[[#This Row],[BW40_3705]]),"")</f>
        <v/>
      </c>
      <c r="J1839" s="7" t="str">
        <f>IF(Table1[[#This Row],[Is Data Valid]]=TRUE,_xlfn.NORM.S.DIST(Table1[[#This Row],[Birthweight Z-Score]],TRUE)*100,"")</f>
        <v/>
      </c>
      <c r="K1839" s="7" t="str">
        <f>IF(Table1[[#This Row],[Is Data Valid]]=TRUE,_xlfn.NORM.S.DIST(Table1[[#This Row],[Birthweight Z-Score (BW-10%)]],TRUE)*100,"")</f>
        <v/>
      </c>
      <c r="L1839" s="7" t="str">
        <f>IF(Table1[[#This Row],[Is Data Valid]]=TRUE,_xlfn.NORM.S.DIST(Table1[[#This Row],[Birthweight Z-Score (BW+10%)]],TRUE)*100,"")</f>
        <v/>
      </c>
    </row>
    <row r="1840" spans="1:12" x14ac:dyDescent="0.35">
      <c r="A1840" s="3"/>
      <c r="B1840" s="2"/>
      <c r="C1840" s="2"/>
      <c r="D1840" s="2" t="b">
        <f>IF(AND(NOT(ISBLANK(Table1[[#This Row],[Fetal Sex (Male, Female or Unknown)]])),ISNUMBER(Table1[[#This Row],[Birthweight (grams)]]),ISNUMBER(Table1[[#This Row],[Gestation (days)]])),TRUE,FALSE)</f>
        <v>0</v>
      </c>
      <c r="E1840" s="2" t="str">
        <f>IF(Table1[[#This Row],[Is Data Valid]]=TRUE,IF(Table1[[#This Row],[Fetal Sex (Male, Female or Unknown)]]="Male",Backend!$C$6,IF(Table1[[#This Row],[Fetal Sex (Male, Female or Unknown)]]="Female",Backend!$C$7,IF(Table1[[#This Row],[Fetal Sex (Male, Female or Unknown)]]="Unknown",Backend!$C$8,"Error"))),"")</f>
        <v/>
      </c>
      <c r="F1840" s="8" t="str">
        <f>IF(Table1[[#This Row],[Is Data Valid]]=TRUE,EXP(0.578+0.332*((Table1[[#This Row],[Gestation (days)]]+0.5)/7)-0.00354*((Table1[[#This Row],[Gestation (days)]]+0.5)/7)^2)*Table1[[#This Row],[BW40_3705]],"")</f>
        <v/>
      </c>
      <c r="G1840" s="2" t="str">
        <f>IF(Table1[[#This Row],[Is Data Valid]]=TRUE,((Table1[[#This Row],[Birthweight (grams)]]/Table1[[#This Row],[BW_GA]])-1)/(Backend!$B$4/100*Table1[[#This Row],[BW40_3705]]),"")</f>
        <v/>
      </c>
      <c r="H1840" s="7" t="str">
        <f>IF(Table1[[#This Row],[Is Data Valid]]=TRUE,((Table1[[#This Row],[Birthweight (grams)]]*0.9/Table1[[#This Row],[BW_GA]])-1)/(Backend!$B$4/100*Table1[[#This Row],[BW40_3705]]),"")</f>
        <v/>
      </c>
      <c r="I1840" s="7" t="str">
        <f>IF(Table1[[#This Row],[Is Data Valid]]=TRUE,((Table1[[#This Row],[Birthweight (grams)]]*1.1/Table1[[#This Row],[BW_GA]])-1)/(Backend!$B$4/100*Table1[[#This Row],[BW40_3705]]),"")</f>
        <v/>
      </c>
      <c r="J1840" s="7" t="str">
        <f>IF(Table1[[#This Row],[Is Data Valid]]=TRUE,_xlfn.NORM.S.DIST(Table1[[#This Row],[Birthweight Z-Score]],TRUE)*100,"")</f>
        <v/>
      </c>
      <c r="K1840" s="7" t="str">
        <f>IF(Table1[[#This Row],[Is Data Valid]]=TRUE,_xlfn.NORM.S.DIST(Table1[[#This Row],[Birthweight Z-Score (BW-10%)]],TRUE)*100,"")</f>
        <v/>
      </c>
      <c r="L1840" s="7" t="str">
        <f>IF(Table1[[#This Row],[Is Data Valid]]=TRUE,_xlfn.NORM.S.DIST(Table1[[#This Row],[Birthweight Z-Score (BW+10%)]],TRUE)*100,"")</f>
        <v/>
      </c>
    </row>
    <row r="1841" spans="1:12" x14ac:dyDescent="0.35">
      <c r="A1841" s="3"/>
      <c r="B1841" s="2"/>
      <c r="C1841" s="2"/>
      <c r="D1841" s="2" t="b">
        <f>IF(AND(NOT(ISBLANK(Table1[[#This Row],[Fetal Sex (Male, Female or Unknown)]])),ISNUMBER(Table1[[#This Row],[Birthweight (grams)]]),ISNUMBER(Table1[[#This Row],[Gestation (days)]])),TRUE,FALSE)</f>
        <v>0</v>
      </c>
      <c r="E1841" s="2" t="str">
        <f>IF(Table1[[#This Row],[Is Data Valid]]=TRUE,IF(Table1[[#This Row],[Fetal Sex (Male, Female or Unknown)]]="Male",Backend!$C$6,IF(Table1[[#This Row],[Fetal Sex (Male, Female or Unknown)]]="Female",Backend!$C$7,IF(Table1[[#This Row],[Fetal Sex (Male, Female or Unknown)]]="Unknown",Backend!$C$8,"Error"))),"")</f>
        <v/>
      </c>
      <c r="F1841" s="8" t="str">
        <f>IF(Table1[[#This Row],[Is Data Valid]]=TRUE,EXP(0.578+0.332*((Table1[[#This Row],[Gestation (days)]]+0.5)/7)-0.00354*((Table1[[#This Row],[Gestation (days)]]+0.5)/7)^2)*Table1[[#This Row],[BW40_3705]],"")</f>
        <v/>
      </c>
      <c r="G1841" s="2" t="str">
        <f>IF(Table1[[#This Row],[Is Data Valid]]=TRUE,((Table1[[#This Row],[Birthweight (grams)]]/Table1[[#This Row],[BW_GA]])-1)/(Backend!$B$4/100*Table1[[#This Row],[BW40_3705]]),"")</f>
        <v/>
      </c>
      <c r="H1841" s="7" t="str">
        <f>IF(Table1[[#This Row],[Is Data Valid]]=TRUE,((Table1[[#This Row],[Birthweight (grams)]]*0.9/Table1[[#This Row],[BW_GA]])-1)/(Backend!$B$4/100*Table1[[#This Row],[BW40_3705]]),"")</f>
        <v/>
      </c>
      <c r="I1841" s="7" t="str">
        <f>IF(Table1[[#This Row],[Is Data Valid]]=TRUE,((Table1[[#This Row],[Birthweight (grams)]]*1.1/Table1[[#This Row],[BW_GA]])-1)/(Backend!$B$4/100*Table1[[#This Row],[BW40_3705]]),"")</f>
        <v/>
      </c>
      <c r="J1841" s="7" t="str">
        <f>IF(Table1[[#This Row],[Is Data Valid]]=TRUE,_xlfn.NORM.S.DIST(Table1[[#This Row],[Birthweight Z-Score]],TRUE)*100,"")</f>
        <v/>
      </c>
      <c r="K1841" s="7" t="str">
        <f>IF(Table1[[#This Row],[Is Data Valid]]=TRUE,_xlfn.NORM.S.DIST(Table1[[#This Row],[Birthweight Z-Score (BW-10%)]],TRUE)*100,"")</f>
        <v/>
      </c>
      <c r="L1841" s="7" t="str">
        <f>IF(Table1[[#This Row],[Is Data Valid]]=TRUE,_xlfn.NORM.S.DIST(Table1[[#This Row],[Birthweight Z-Score (BW+10%)]],TRUE)*100,"")</f>
        <v/>
      </c>
    </row>
    <row r="1842" spans="1:12" x14ac:dyDescent="0.35">
      <c r="A1842" s="3"/>
      <c r="B1842" s="2"/>
      <c r="C1842" s="2"/>
      <c r="D1842" s="2" t="b">
        <f>IF(AND(NOT(ISBLANK(Table1[[#This Row],[Fetal Sex (Male, Female or Unknown)]])),ISNUMBER(Table1[[#This Row],[Birthweight (grams)]]),ISNUMBER(Table1[[#This Row],[Gestation (days)]])),TRUE,FALSE)</f>
        <v>0</v>
      </c>
      <c r="E1842" s="2" t="str">
        <f>IF(Table1[[#This Row],[Is Data Valid]]=TRUE,IF(Table1[[#This Row],[Fetal Sex (Male, Female or Unknown)]]="Male",Backend!$C$6,IF(Table1[[#This Row],[Fetal Sex (Male, Female or Unknown)]]="Female",Backend!$C$7,IF(Table1[[#This Row],[Fetal Sex (Male, Female or Unknown)]]="Unknown",Backend!$C$8,"Error"))),"")</f>
        <v/>
      </c>
      <c r="F1842" s="8" t="str">
        <f>IF(Table1[[#This Row],[Is Data Valid]]=TRUE,EXP(0.578+0.332*((Table1[[#This Row],[Gestation (days)]]+0.5)/7)-0.00354*((Table1[[#This Row],[Gestation (days)]]+0.5)/7)^2)*Table1[[#This Row],[BW40_3705]],"")</f>
        <v/>
      </c>
      <c r="G1842" s="2" t="str">
        <f>IF(Table1[[#This Row],[Is Data Valid]]=TRUE,((Table1[[#This Row],[Birthweight (grams)]]/Table1[[#This Row],[BW_GA]])-1)/(Backend!$B$4/100*Table1[[#This Row],[BW40_3705]]),"")</f>
        <v/>
      </c>
      <c r="H1842" s="7" t="str">
        <f>IF(Table1[[#This Row],[Is Data Valid]]=TRUE,((Table1[[#This Row],[Birthweight (grams)]]*0.9/Table1[[#This Row],[BW_GA]])-1)/(Backend!$B$4/100*Table1[[#This Row],[BW40_3705]]),"")</f>
        <v/>
      </c>
      <c r="I1842" s="7" t="str">
        <f>IF(Table1[[#This Row],[Is Data Valid]]=TRUE,((Table1[[#This Row],[Birthweight (grams)]]*1.1/Table1[[#This Row],[BW_GA]])-1)/(Backend!$B$4/100*Table1[[#This Row],[BW40_3705]]),"")</f>
        <v/>
      </c>
      <c r="J1842" s="7" t="str">
        <f>IF(Table1[[#This Row],[Is Data Valid]]=TRUE,_xlfn.NORM.S.DIST(Table1[[#This Row],[Birthweight Z-Score]],TRUE)*100,"")</f>
        <v/>
      </c>
      <c r="K1842" s="7" t="str">
        <f>IF(Table1[[#This Row],[Is Data Valid]]=TRUE,_xlfn.NORM.S.DIST(Table1[[#This Row],[Birthweight Z-Score (BW-10%)]],TRUE)*100,"")</f>
        <v/>
      </c>
      <c r="L1842" s="7" t="str">
        <f>IF(Table1[[#This Row],[Is Data Valid]]=TRUE,_xlfn.NORM.S.DIST(Table1[[#This Row],[Birthweight Z-Score (BW+10%)]],TRUE)*100,"")</f>
        <v/>
      </c>
    </row>
    <row r="1843" spans="1:12" x14ac:dyDescent="0.35">
      <c r="A1843" s="3"/>
      <c r="B1843" s="2"/>
      <c r="C1843" s="2"/>
      <c r="D1843" s="2" t="b">
        <f>IF(AND(NOT(ISBLANK(Table1[[#This Row],[Fetal Sex (Male, Female or Unknown)]])),ISNUMBER(Table1[[#This Row],[Birthweight (grams)]]),ISNUMBER(Table1[[#This Row],[Gestation (days)]])),TRUE,FALSE)</f>
        <v>0</v>
      </c>
      <c r="E1843" s="2" t="str">
        <f>IF(Table1[[#This Row],[Is Data Valid]]=TRUE,IF(Table1[[#This Row],[Fetal Sex (Male, Female or Unknown)]]="Male",Backend!$C$6,IF(Table1[[#This Row],[Fetal Sex (Male, Female or Unknown)]]="Female",Backend!$C$7,IF(Table1[[#This Row],[Fetal Sex (Male, Female or Unknown)]]="Unknown",Backend!$C$8,"Error"))),"")</f>
        <v/>
      </c>
      <c r="F1843" s="8" t="str">
        <f>IF(Table1[[#This Row],[Is Data Valid]]=TRUE,EXP(0.578+0.332*((Table1[[#This Row],[Gestation (days)]]+0.5)/7)-0.00354*((Table1[[#This Row],[Gestation (days)]]+0.5)/7)^2)*Table1[[#This Row],[BW40_3705]],"")</f>
        <v/>
      </c>
      <c r="G1843" s="2" t="str">
        <f>IF(Table1[[#This Row],[Is Data Valid]]=TRUE,((Table1[[#This Row],[Birthweight (grams)]]/Table1[[#This Row],[BW_GA]])-1)/(Backend!$B$4/100*Table1[[#This Row],[BW40_3705]]),"")</f>
        <v/>
      </c>
      <c r="H1843" s="7" t="str">
        <f>IF(Table1[[#This Row],[Is Data Valid]]=TRUE,((Table1[[#This Row],[Birthweight (grams)]]*0.9/Table1[[#This Row],[BW_GA]])-1)/(Backend!$B$4/100*Table1[[#This Row],[BW40_3705]]),"")</f>
        <v/>
      </c>
      <c r="I1843" s="7" t="str">
        <f>IF(Table1[[#This Row],[Is Data Valid]]=TRUE,((Table1[[#This Row],[Birthweight (grams)]]*1.1/Table1[[#This Row],[BW_GA]])-1)/(Backend!$B$4/100*Table1[[#This Row],[BW40_3705]]),"")</f>
        <v/>
      </c>
      <c r="J1843" s="7" t="str">
        <f>IF(Table1[[#This Row],[Is Data Valid]]=TRUE,_xlfn.NORM.S.DIST(Table1[[#This Row],[Birthweight Z-Score]],TRUE)*100,"")</f>
        <v/>
      </c>
      <c r="K1843" s="7" t="str">
        <f>IF(Table1[[#This Row],[Is Data Valid]]=TRUE,_xlfn.NORM.S.DIST(Table1[[#This Row],[Birthweight Z-Score (BW-10%)]],TRUE)*100,"")</f>
        <v/>
      </c>
      <c r="L1843" s="7" t="str">
        <f>IF(Table1[[#This Row],[Is Data Valid]]=TRUE,_xlfn.NORM.S.DIST(Table1[[#This Row],[Birthweight Z-Score (BW+10%)]],TRUE)*100,"")</f>
        <v/>
      </c>
    </row>
    <row r="1844" spans="1:12" x14ac:dyDescent="0.35">
      <c r="A1844" s="3"/>
      <c r="B1844" s="2"/>
      <c r="C1844" s="2"/>
      <c r="D1844" s="2" t="b">
        <f>IF(AND(NOT(ISBLANK(Table1[[#This Row],[Fetal Sex (Male, Female or Unknown)]])),ISNUMBER(Table1[[#This Row],[Birthweight (grams)]]),ISNUMBER(Table1[[#This Row],[Gestation (days)]])),TRUE,FALSE)</f>
        <v>0</v>
      </c>
      <c r="E1844" s="2" t="str">
        <f>IF(Table1[[#This Row],[Is Data Valid]]=TRUE,IF(Table1[[#This Row],[Fetal Sex (Male, Female or Unknown)]]="Male",Backend!$C$6,IF(Table1[[#This Row],[Fetal Sex (Male, Female or Unknown)]]="Female",Backend!$C$7,IF(Table1[[#This Row],[Fetal Sex (Male, Female or Unknown)]]="Unknown",Backend!$C$8,"Error"))),"")</f>
        <v/>
      </c>
      <c r="F1844" s="8" t="str">
        <f>IF(Table1[[#This Row],[Is Data Valid]]=TRUE,EXP(0.578+0.332*((Table1[[#This Row],[Gestation (days)]]+0.5)/7)-0.00354*((Table1[[#This Row],[Gestation (days)]]+0.5)/7)^2)*Table1[[#This Row],[BW40_3705]],"")</f>
        <v/>
      </c>
      <c r="G1844" s="2" t="str">
        <f>IF(Table1[[#This Row],[Is Data Valid]]=TRUE,((Table1[[#This Row],[Birthweight (grams)]]/Table1[[#This Row],[BW_GA]])-1)/(Backend!$B$4/100*Table1[[#This Row],[BW40_3705]]),"")</f>
        <v/>
      </c>
      <c r="H1844" s="7" t="str">
        <f>IF(Table1[[#This Row],[Is Data Valid]]=TRUE,((Table1[[#This Row],[Birthweight (grams)]]*0.9/Table1[[#This Row],[BW_GA]])-1)/(Backend!$B$4/100*Table1[[#This Row],[BW40_3705]]),"")</f>
        <v/>
      </c>
      <c r="I1844" s="7" t="str">
        <f>IF(Table1[[#This Row],[Is Data Valid]]=TRUE,((Table1[[#This Row],[Birthweight (grams)]]*1.1/Table1[[#This Row],[BW_GA]])-1)/(Backend!$B$4/100*Table1[[#This Row],[BW40_3705]]),"")</f>
        <v/>
      </c>
      <c r="J1844" s="7" t="str">
        <f>IF(Table1[[#This Row],[Is Data Valid]]=TRUE,_xlfn.NORM.S.DIST(Table1[[#This Row],[Birthweight Z-Score]],TRUE)*100,"")</f>
        <v/>
      </c>
      <c r="K1844" s="7" t="str">
        <f>IF(Table1[[#This Row],[Is Data Valid]]=TRUE,_xlfn.NORM.S.DIST(Table1[[#This Row],[Birthweight Z-Score (BW-10%)]],TRUE)*100,"")</f>
        <v/>
      </c>
      <c r="L1844" s="7" t="str">
        <f>IF(Table1[[#This Row],[Is Data Valid]]=TRUE,_xlfn.NORM.S.DIST(Table1[[#This Row],[Birthweight Z-Score (BW+10%)]],TRUE)*100,"")</f>
        <v/>
      </c>
    </row>
    <row r="1845" spans="1:12" x14ac:dyDescent="0.35">
      <c r="A1845" s="3"/>
      <c r="B1845" s="2"/>
      <c r="C1845" s="2"/>
      <c r="D1845" s="2" t="b">
        <f>IF(AND(NOT(ISBLANK(Table1[[#This Row],[Fetal Sex (Male, Female or Unknown)]])),ISNUMBER(Table1[[#This Row],[Birthweight (grams)]]),ISNUMBER(Table1[[#This Row],[Gestation (days)]])),TRUE,FALSE)</f>
        <v>0</v>
      </c>
      <c r="E1845" s="2" t="str">
        <f>IF(Table1[[#This Row],[Is Data Valid]]=TRUE,IF(Table1[[#This Row],[Fetal Sex (Male, Female or Unknown)]]="Male",Backend!$C$6,IF(Table1[[#This Row],[Fetal Sex (Male, Female or Unknown)]]="Female",Backend!$C$7,IF(Table1[[#This Row],[Fetal Sex (Male, Female or Unknown)]]="Unknown",Backend!$C$8,"Error"))),"")</f>
        <v/>
      </c>
      <c r="F1845" s="8" t="str">
        <f>IF(Table1[[#This Row],[Is Data Valid]]=TRUE,EXP(0.578+0.332*((Table1[[#This Row],[Gestation (days)]]+0.5)/7)-0.00354*((Table1[[#This Row],[Gestation (days)]]+0.5)/7)^2)*Table1[[#This Row],[BW40_3705]],"")</f>
        <v/>
      </c>
      <c r="G1845" s="2" t="str">
        <f>IF(Table1[[#This Row],[Is Data Valid]]=TRUE,((Table1[[#This Row],[Birthweight (grams)]]/Table1[[#This Row],[BW_GA]])-1)/(Backend!$B$4/100*Table1[[#This Row],[BW40_3705]]),"")</f>
        <v/>
      </c>
      <c r="H1845" s="7" t="str">
        <f>IF(Table1[[#This Row],[Is Data Valid]]=TRUE,((Table1[[#This Row],[Birthweight (grams)]]*0.9/Table1[[#This Row],[BW_GA]])-1)/(Backend!$B$4/100*Table1[[#This Row],[BW40_3705]]),"")</f>
        <v/>
      </c>
      <c r="I1845" s="7" t="str">
        <f>IF(Table1[[#This Row],[Is Data Valid]]=TRUE,((Table1[[#This Row],[Birthweight (grams)]]*1.1/Table1[[#This Row],[BW_GA]])-1)/(Backend!$B$4/100*Table1[[#This Row],[BW40_3705]]),"")</f>
        <v/>
      </c>
      <c r="J1845" s="7" t="str">
        <f>IF(Table1[[#This Row],[Is Data Valid]]=TRUE,_xlfn.NORM.S.DIST(Table1[[#This Row],[Birthweight Z-Score]],TRUE)*100,"")</f>
        <v/>
      </c>
      <c r="K1845" s="7" t="str">
        <f>IF(Table1[[#This Row],[Is Data Valid]]=TRUE,_xlfn.NORM.S.DIST(Table1[[#This Row],[Birthweight Z-Score (BW-10%)]],TRUE)*100,"")</f>
        <v/>
      </c>
      <c r="L1845" s="7" t="str">
        <f>IF(Table1[[#This Row],[Is Data Valid]]=TRUE,_xlfn.NORM.S.DIST(Table1[[#This Row],[Birthweight Z-Score (BW+10%)]],TRUE)*100,"")</f>
        <v/>
      </c>
    </row>
    <row r="1846" spans="1:12" x14ac:dyDescent="0.35">
      <c r="A1846" s="3"/>
      <c r="B1846" s="2"/>
      <c r="C1846" s="2"/>
      <c r="D1846" s="2" t="b">
        <f>IF(AND(NOT(ISBLANK(Table1[[#This Row],[Fetal Sex (Male, Female or Unknown)]])),ISNUMBER(Table1[[#This Row],[Birthweight (grams)]]),ISNUMBER(Table1[[#This Row],[Gestation (days)]])),TRUE,FALSE)</f>
        <v>0</v>
      </c>
      <c r="E1846" s="2" t="str">
        <f>IF(Table1[[#This Row],[Is Data Valid]]=TRUE,IF(Table1[[#This Row],[Fetal Sex (Male, Female or Unknown)]]="Male",Backend!$C$6,IF(Table1[[#This Row],[Fetal Sex (Male, Female or Unknown)]]="Female",Backend!$C$7,IF(Table1[[#This Row],[Fetal Sex (Male, Female or Unknown)]]="Unknown",Backend!$C$8,"Error"))),"")</f>
        <v/>
      </c>
      <c r="F1846" s="8" t="str">
        <f>IF(Table1[[#This Row],[Is Data Valid]]=TRUE,EXP(0.578+0.332*((Table1[[#This Row],[Gestation (days)]]+0.5)/7)-0.00354*((Table1[[#This Row],[Gestation (days)]]+0.5)/7)^2)*Table1[[#This Row],[BW40_3705]],"")</f>
        <v/>
      </c>
      <c r="G1846" s="2" t="str">
        <f>IF(Table1[[#This Row],[Is Data Valid]]=TRUE,((Table1[[#This Row],[Birthweight (grams)]]/Table1[[#This Row],[BW_GA]])-1)/(Backend!$B$4/100*Table1[[#This Row],[BW40_3705]]),"")</f>
        <v/>
      </c>
      <c r="H1846" s="7" t="str">
        <f>IF(Table1[[#This Row],[Is Data Valid]]=TRUE,((Table1[[#This Row],[Birthweight (grams)]]*0.9/Table1[[#This Row],[BW_GA]])-1)/(Backend!$B$4/100*Table1[[#This Row],[BW40_3705]]),"")</f>
        <v/>
      </c>
      <c r="I1846" s="7" t="str">
        <f>IF(Table1[[#This Row],[Is Data Valid]]=TRUE,((Table1[[#This Row],[Birthweight (grams)]]*1.1/Table1[[#This Row],[BW_GA]])-1)/(Backend!$B$4/100*Table1[[#This Row],[BW40_3705]]),"")</f>
        <v/>
      </c>
      <c r="J1846" s="7" t="str">
        <f>IF(Table1[[#This Row],[Is Data Valid]]=TRUE,_xlfn.NORM.S.DIST(Table1[[#This Row],[Birthweight Z-Score]],TRUE)*100,"")</f>
        <v/>
      </c>
      <c r="K1846" s="7" t="str">
        <f>IF(Table1[[#This Row],[Is Data Valid]]=TRUE,_xlfn.NORM.S.DIST(Table1[[#This Row],[Birthweight Z-Score (BW-10%)]],TRUE)*100,"")</f>
        <v/>
      </c>
      <c r="L1846" s="7" t="str">
        <f>IF(Table1[[#This Row],[Is Data Valid]]=TRUE,_xlfn.NORM.S.DIST(Table1[[#This Row],[Birthweight Z-Score (BW+10%)]],TRUE)*100,"")</f>
        <v/>
      </c>
    </row>
    <row r="1847" spans="1:12" x14ac:dyDescent="0.35">
      <c r="A1847" s="3"/>
      <c r="B1847" s="2"/>
      <c r="C1847" s="2"/>
      <c r="D1847" s="2" t="b">
        <f>IF(AND(NOT(ISBLANK(Table1[[#This Row],[Fetal Sex (Male, Female or Unknown)]])),ISNUMBER(Table1[[#This Row],[Birthweight (grams)]]),ISNUMBER(Table1[[#This Row],[Gestation (days)]])),TRUE,FALSE)</f>
        <v>0</v>
      </c>
      <c r="E1847" s="2" t="str">
        <f>IF(Table1[[#This Row],[Is Data Valid]]=TRUE,IF(Table1[[#This Row],[Fetal Sex (Male, Female or Unknown)]]="Male",Backend!$C$6,IF(Table1[[#This Row],[Fetal Sex (Male, Female or Unknown)]]="Female",Backend!$C$7,IF(Table1[[#This Row],[Fetal Sex (Male, Female or Unknown)]]="Unknown",Backend!$C$8,"Error"))),"")</f>
        <v/>
      </c>
      <c r="F1847" s="8" t="str">
        <f>IF(Table1[[#This Row],[Is Data Valid]]=TRUE,EXP(0.578+0.332*((Table1[[#This Row],[Gestation (days)]]+0.5)/7)-0.00354*((Table1[[#This Row],[Gestation (days)]]+0.5)/7)^2)*Table1[[#This Row],[BW40_3705]],"")</f>
        <v/>
      </c>
      <c r="G1847" s="2" t="str">
        <f>IF(Table1[[#This Row],[Is Data Valid]]=TRUE,((Table1[[#This Row],[Birthweight (grams)]]/Table1[[#This Row],[BW_GA]])-1)/(Backend!$B$4/100*Table1[[#This Row],[BW40_3705]]),"")</f>
        <v/>
      </c>
      <c r="H1847" s="7" t="str">
        <f>IF(Table1[[#This Row],[Is Data Valid]]=TRUE,((Table1[[#This Row],[Birthweight (grams)]]*0.9/Table1[[#This Row],[BW_GA]])-1)/(Backend!$B$4/100*Table1[[#This Row],[BW40_3705]]),"")</f>
        <v/>
      </c>
      <c r="I1847" s="7" t="str">
        <f>IF(Table1[[#This Row],[Is Data Valid]]=TRUE,((Table1[[#This Row],[Birthweight (grams)]]*1.1/Table1[[#This Row],[BW_GA]])-1)/(Backend!$B$4/100*Table1[[#This Row],[BW40_3705]]),"")</f>
        <v/>
      </c>
      <c r="J1847" s="7" t="str">
        <f>IF(Table1[[#This Row],[Is Data Valid]]=TRUE,_xlfn.NORM.S.DIST(Table1[[#This Row],[Birthweight Z-Score]],TRUE)*100,"")</f>
        <v/>
      </c>
      <c r="K1847" s="7" t="str">
        <f>IF(Table1[[#This Row],[Is Data Valid]]=TRUE,_xlfn.NORM.S.DIST(Table1[[#This Row],[Birthweight Z-Score (BW-10%)]],TRUE)*100,"")</f>
        <v/>
      </c>
      <c r="L1847" s="7" t="str">
        <f>IF(Table1[[#This Row],[Is Data Valid]]=TRUE,_xlfn.NORM.S.DIST(Table1[[#This Row],[Birthweight Z-Score (BW+10%)]],TRUE)*100,"")</f>
        <v/>
      </c>
    </row>
    <row r="1848" spans="1:12" x14ac:dyDescent="0.35">
      <c r="A1848" s="3"/>
      <c r="B1848" s="2"/>
      <c r="C1848" s="2"/>
      <c r="D1848" s="2" t="b">
        <f>IF(AND(NOT(ISBLANK(Table1[[#This Row],[Fetal Sex (Male, Female or Unknown)]])),ISNUMBER(Table1[[#This Row],[Birthweight (grams)]]),ISNUMBER(Table1[[#This Row],[Gestation (days)]])),TRUE,FALSE)</f>
        <v>0</v>
      </c>
      <c r="E1848" s="2" t="str">
        <f>IF(Table1[[#This Row],[Is Data Valid]]=TRUE,IF(Table1[[#This Row],[Fetal Sex (Male, Female or Unknown)]]="Male",Backend!$C$6,IF(Table1[[#This Row],[Fetal Sex (Male, Female or Unknown)]]="Female",Backend!$C$7,IF(Table1[[#This Row],[Fetal Sex (Male, Female or Unknown)]]="Unknown",Backend!$C$8,"Error"))),"")</f>
        <v/>
      </c>
      <c r="F1848" s="8" t="str">
        <f>IF(Table1[[#This Row],[Is Data Valid]]=TRUE,EXP(0.578+0.332*((Table1[[#This Row],[Gestation (days)]]+0.5)/7)-0.00354*((Table1[[#This Row],[Gestation (days)]]+0.5)/7)^2)*Table1[[#This Row],[BW40_3705]],"")</f>
        <v/>
      </c>
      <c r="G1848" s="2" t="str">
        <f>IF(Table1[[#This Row],[Is Data Valid]]=TRUE,((Table1[[#This Row],[Birthweight (grams)]]/Table1[[#This Row],[BW_GA]])-1)/(Backend!$B$4/100*Table1[[#This Row],[BW40_3705]]),"")</f>
        <v/>
      </c>
      <c r="H1848" s="7" t="str">
        <f>IF(Table1[[#This Row],[Is Data Valid]]=TRUE,((Table1[[#This Row],[Birthweight (grams)]]*0.9/Table1[[#This Row],[BW_GA]])-1)/(Backend!$B$4/100*Table1[[#This Row],[BW40_3705]]),"")</f>
        <v/>
      </c>
      <c r="I1848" s="7" t="str">
        <f>IF(Table1[[#This Row],[Is Data Valid]]=TRUE,((Table1[[#This Row],[Birthweight (grams)]]*1.1/Table1[[#This Row],[BW_GA]])-1)/(Backend!$B$4/100*Table1[[#This Row],[BW40_3705]]),"")</f>
        <v/>
      </c>
      <c r="J1848" s="7" t="str">
        <f>IF(Table1[[#This Row],[Is Data Valid]]=TRUE,_xlfn.NORM.S.DIST(Table1[[#This Row],[Birthweight Z-Score]],TRUE)*100,"")</f>
        <v/>
      </c>
      <c r="K1848" s="7" t="str">
        <f>IF(Table1[[#This Row],[Is Data Valid]]=TRUE,_xlfn.NORM.S.DIST(Table1[[#This Row],[Birthweight Z-Score (BW-10%)]],TRUE)*100,"")</f>
        <v/>
      </c>
      <c r="L1848" s="7" t="str">
        <f>IF(Table1[[#This Row],[Is Data Valid]]=TRUE,_xlfn.NORM.S.DIST(Table1[[#This Row],[Birthweight Z-Score (BW+10%)]],TRUE)*100,"")</f>
        <v/>
      </c>
    </row>
    <row r="1849" spans="1:12" x14ac:dyDescent="0.35">
      <c r="A1849" s="3"/>
      <c r="B1849" s="2"/>
      <c r="C1849" s="2"/>
      <c r="D1849" s="2" t="b">
        <f>IF(AND(NOT(ISBLANK(Table1[[#This Row],[Fetal Sex (Male, Female or Unknown)]])),ISNUMBER(Table1[[#This Row],[Birthweight (grams)]]),ISNUMBER(Table1[[#This Row],[Gestation (days)]])),TRUE,FALSE)</f>
        <v>0</v>
      </c>
      <c r="E1849" s="2" t="str">
        <f>IF(Table1[[#This Row],[Is Data Valid]]=TRUE,IF(Table1[[#This Row],[Fetal Sex (Male, Female or Unknown)]]="Male",Backend!$C$6,IF(Table1[[#This Row],[Fetal Sex (Male, Female or Unknown)]]="Female",Backend!$C$7,IF(Table1[[#This Row],[Fetal Sex (Male, Female or Unknown)]]="Unknown",Backend!$C$8,"Error"))),"")</f>
        <v/>
      </c>
      <c r="F1849" s="8" t="str">
        <f>IF(Table1[[#This Row],[Is Data Valid]]=TRUE,EXP(0.578+0.332*((Table1[[#This Row],[Gestation (days)]]+0.5)/7)-0.00354*((Table1[[#This Row],[Gestation (days)]]+0.5)/7)^2)*Table1[[#This Row],[BW40_3705]],"")</f>
        <v/>
      </c>
      <c r="G1849" s="2" t="str">
        <f>IF(Table1[[#This Row],[Is Data Valid]]=TRUE,((Table1[[#This Row],[Birthweight (grams)]]/Table1[[#This Row],[BW_GA]])-1)/(Backend!$B$4/100*Table1[[#This Row],[BW40_3705]]),"")</f>
        <v/>
      </c>
      <c r="H1849" s="7" t="str">
        <f>IF(Table1[[#This Row],[Is Data Valid]]=TRUE,((Table1[[#This Row],[Birthweight (grams)]]*0.9/Table1[[#This Row],[BW_GA]])-1)/(Backend!$B$4/100*Table1[[#This Row],[BW40_3705]]),"")</f>
        <v/>
      </c>
      <c r="I1849" s="7" t="str">
        <f>IF(Table1[[#This Row],[Is Data Valid]]=TRUE,((Table1[[#This Row],[Birthweight (grams)]]*1.1/Table1[[#This Row],[BW_GA]])-1)/(Backend!$B$4/100*Table1[[#This Row],[BW40_3705]]),"")</f>
        <v/>
      </c>
      <c r="J1849" s="7" t="str">
        <f>IF(Table1[[#This Row],[Is Data Valid]]=TRUE,_xlfn.NORM.S.DIST(Table1[[#This Row],[Birthweight Z-Score]],TRUE)*100,"")</f>
        <v/>
      </c>
      <c r="K1849" s="7" t="str">
        <f>IF(Table1[[#This Row],[Is Data Valid]]=TRUE,_xlfn.NORM.S.DIST(Table1[[#This Row],[Birthweight Z-Score (BW-10%)]],TRUE)*100,"")</f>
        <v/>
      </c>
      <c r="L1849" s="7" t="str">
        <f>IF(Table1[[#This Row],[Is Data Valid]]=TRUE,_xlfn.NORM.S.DIST(Table1[[#This Row],[Birthweight Z-Score (BW+10%)]],TRUE)*100,"")</f>
        <v/>
      </c>
    </row>
    <row r="1850" spans="1:12" x14ac:dyDescent="0.35">
      <c r="A1850" s="3"/>
      <c r="B1850" s="2"/>
      <c r="C1850" s="2"/>
      <c r="D1850" s="2" t="b">
        <f>IF(AND(NOT(ISBLANK(Table1[[#This Row],[Fetal Sex (Male, Female or Unknown)]])),ISNUMBER(Table1[[#This Row],[Birthweight (grams)]]),ISNUMBER(Table1[[#This Row],[Gestation (days)]])),TRUE,FALSE)</f>
        <v>0</v>
      </c>
      <c r="E1850" s="2" t="str">
        <f>IF(Table1[[#This Row],[Is Data Valid]]=TRUE,IF(Table1[[#This Row],[Fetal Sex (Male, Female or Unknown)]]="Male",Backend!$C$6,IF(Table1[[#This Row],[Fetal Sex (Male, Female or Unknown)]]="Female",Backend!$C$7,IF(Table1[[#This Row],[Fetal Sex (Male, Female or Unknown)]]="Unknown",Backend!$C$8,"Error"))),"")</f>
        <v/>
      </c>
      <c r="F1850" s="8" t="str">
        <f>IF(Table1[[#This Row],[Is Data Valid]]=TRUE,EXP(0.578+0.332*((Table1[[#This Row],[Gestation (days)]]+0.5)/7)-0.00354*((Table1[[#This Row],[Gestation (days)]]+0.5)/7)^2)*Table1[[#This Row],[BW40_3705]],"")</f>
        <v/>
      </c>
      <c r="G1850" s="2" t="str">
        <f>IF(Table1[[#This Row],[Is Data Valid]]=TRUE,((Table1[[#This Row],[Birthweight (grams)]]/Table1[[#This Row],[BW_GA]])-1)/(Backend!$B$4/100*Table1[[#This Row],[BW40_3705]]),"")</f>
        <v/>
      </c>
      <c r="H1850" s="7" t="str">
        <f>IF(Table1[[#This Row],[Is Data Valid]]=TRUE,((Table1[[#This Row],[Birthweight (grams)]]*0.9/Table1[[#This Row],[BW_GA]])-1)/(Backend!$B$4/100*Table1[[#This Row],[BW40_3705]]),"")</f>
        <v/>
      </c>
      <c r="I1850" s="7" t="str">
        <f>IF(Table1[[#This Row],[Is Data Valid]]=TRUE,((Table1[[#This Row],[Birthweight (grams)]]*1.1/Table1[[#This Row],[BW_GA]])-1)/(Backend!$B$4/100*Table1[[#This Row],[BW40_3705]]),"")</f>
        <v/>
      </c>
      <c r="J1850" s="7" t="str">
        <f>IF(Table1[[#This Row],[Is Data Valid]]=TRUE,_xlfn.NORM.S.DIST(Table1[[#This Row],[Birthweight Z-Score]],TRUE)*100,"")</f>
        <v/>
      </c>
      <c r="K1850" s="7" t="str">
        <f>IF(Table1[[#This Row],[Is Data Valid]]=TRUE,_xlfn.NORM.S.DIST(Table1[[#This Row],[Birthweight Z-Score (BW-10%)]],TRUE)*100,"")</f>
        <v/>
      </c>
      <c r="L1850" s="7" t="str">
        <f>IF(Table1[[#This Row],[Is Data Valid]]=TRUE,_xlfn.NORM.S.DIST(Table1[[#This Row],[Birthweight Z-Score (BW+10%)]],TRUE)*100,"")</f>
        <v/>
      </c>
    </row>
    <row r="1851" spans="1:12" x14ac:dyDescent="0.35">
      <c r="A1851" s="3"/>
      <c r="B1851" s="2"/>
      <c r="C1851" s="2"/>
      <c r="D1851" s="2" t="b">
        <f>IF(AND(NOT(ISBLANK(Table1[[#This Row],[Fetal Sex (Male, Female or Unknown)]])),ISNUMBER(Table1[[#This Row],[Birthweight (grams)]]),ISNUMBER(Table1[[#This Row],[Gestation (days)]])),TRUE,FALSE)</f>
        <v>0</v>
      </c>
      <c r="E1851" s="2" t="str">
        <f>IF(Table1[[#This Row],[Is Data Valid]]=TRUE,IF(Table1[[#This Row],[Fetal Sex (Male, Female or Unknown)]]="Male",Backend!$C$6,IF(Table1[[#This Row],[Fetal Sex (Male, Female or Unknown)]]="Female",Backend!$C$7,IF(Table1[[#This Row],[Fetal Sex (Male, Female or Unknown)]]="Unknown",Backend!$C$8,"Error"))),"")</f>
        <v/>
      </c>
      <c r="F1851" s="8" t="str">
        <f>IF(Table1[[#This Row],[Is Data Valid]]=TRUE,EXP(0.578+0.332*((Table1[[#This Row],[Gestation (days)]]+0.5)/7)-0.00354*((Table1[[#This Row],[Gestation (days)]]+0.5)/7)^2)*Table1[[#This Row],[BW40_3705]],"")</f>
        <v/>
      </c>
      <c r="G1851" s="2" t="str">
        <f>IF(Table1[[#This Row],[Is Data Valid]]=TRUE,((Table1[[#This Row],[Birthweight (grams)]]/Table1[[#This Row],[BW_GA]])-1)/(Backend!$B$4/100*Table1[[#This Row],[BW40_3705]]),"")</f>
        <v/>
      </c>
      <c r="H1851" s="7" t="str">
        <f>IF(Table1[[#This Row],[Is Data Valid]]=TRUE,((Table1[[#This Row],[Birthweight (grams)]]*0.9/Table1[[#This Row],[BW_GA]])-1)/(Backend!$B$4/100*Table1[[#This Row],[BW40_3705]]),"")</f>
        <v/>
      </c>
      <c r="I1851" s="7" t="str">
        <f>IF(Table1[[#This Row],[Is Data Valid]]=TRUE,((Table1[[#This Row],[Birthweight (grams)]]*1.1/Table1[[#This Row],[BW_GA]])-1)/(Backend!$B$4/100*Table1[[#This Row],[BW40_3705]]),"")</f>
        <v/>
      </c>
      <c r="J1851" s="7" t="str">
        <f>IF(Table1[[#This Row],[Is Data Valid]]=TRUE,_xlfn.NORM.S.DIST(Table1[[#This Row],[Birthweight Z-Score]],TRUE)*100,"")</f>
        <v/>
      </c>
      <c r="K1851" s="7" t="str">
        <f>IF(Table1[[#This Row],[Is Data Valid]]=TRUE,_xlfn.NORM.S.DIST(Table1[[#This Row],[Birthweight Z-Score (BW-10%)]],TRUE)*100,"")</f>
        <v/>
      </c>
      <c r="L1851" s="7" t="str">
        <f>IF(Table1[[#This Row],[Is Data Valid]]=TRUE,_xlfn.NORM.S.DIST(Table1[[#This Row],[Birthweight Z-Score (BW+10%)]],TRUE)*100,"")</f>
        <v/>
      </c>
    </row>
    <row r="1852" spans="1:12" x14ac:dyDescent="0.35">
      <c r="A1852" s="3"/>
      <c r="B1852" s="2"/>
      <c r="C1852" s="2"/>
      <c r="D1852" s="2" t="b">
        <f>IF(AND(NOT(ISBLANK(Table1[[#This Row],[Fetal Sex (Male, Female or Unknown)]])),ISNUMBER(Table1[[#This Row],[Birthweight (grams)]]),ISNUMBER(Table1[[#This Row],[Gestation (days)]])),TRUE,FALSE)</f>
        <v>0</v>
      </c>
      <c r="E1852" s="2" t="str">
        <f>IF(Table1[[#This Row],[Is Data Valid]]=TRUE,IF(Table1[[#This Row],[Fetal Sex (Male, Female or Unknown)]]="Male",Backend!$C$6,IF(Table1[[#This Row],[Fetal Sex (Male, Female or Unknown)]]="Female",Backend!$C$7,IF(Table1[[#This Row],[Fetal Sex (Male, Female or Unknown)]]="Unknown",Backend!$C$8,"Error"))),"")</f>
        <v/>
      </c>
      <c r="F1852" s="8" t="str">
        <f>IF(Table1[[#This Row],[Is Data Valid]]=TRUE,EXP(0.578+0.332*((Table1[[#This Row],[Gestation (days)]]+0.5)/7)-0.00354*((Table1[[#This Row],[Gestation (days)]]+0.5)/7)^2)*Table1[[#This Row],[BW40_3705]],"")</f>
        <v/>
      </c>
      <c r="G1852" s="2" t="str">
        <f>IF(Table1[[#This Row],[Is Data Valid]]=TRUE,((Table1[[#This Row],[Birthweight (grams)]]/Table1[[#This Row],[BW_GA]])-1)/(Backend!$B$4/100*Table1[[#This Row],[BW40_3705]]),"")</f>
        <v/>
      </c>
      <c r="H1852" s="7" t="str">
        <f>IF(Table1[[#This Row],[Is Data Valid]]=TRUE,((Table1[[#This Row],[Birthweight (grams)]]*0.9/Table1[[#This Row],[BW_GA]])-1)/(Backend!$B$4/100*Table1[[#This Row],[BW40_3705]]),"")</f>
        <v/>
      </c>
      <c r="I1852" s="7" t="str">
        <f>IF(Table1[[#This Row],[Is Data Valid]]=TRUE,((Table1[[#This Row],[Birthweight (grams)]]*1.1/Table1[[#This Row],[BW_GA]])-1)/(Backend!$B$4/100*Table1[[#This Row],[BW40_3705]]),"")</f>
        <v/>
      </c>
      <c r="J1852" s="7" t="str">
        <f>IF(Table1[[#This Row],[Is Data Valid]]=TRUE,_xlfn.NORM.S.DIST(Table1[[#This Row],[Birthweight Z-Score]],TRUE)*100,"")</f>
        <v/>
      </c>
      <c r="K1852" s="7" t="str">
        <f>IF(Table1[[#This Row],[Is Data Valid]]=TRUE,_xlfn.NORM.S.DIST(Table1[[#This Row],[Birthweight Z-Score (BW-10%)]],TRUE)*100,"")</f>
        <v/>
      </c>
      <c r="L1852" s="7" t="str">
        <f>IF(Table1[[#This Row],[Is Data Valid]]=TRUE,_xlfn.NORM.S.DIST(Table1[[#This Row],[Birthweight Z-Score (BW+10%)]],TRUE)*100,"")</f>
        <v/>
      </c>
    </row>
    <row r="1853" spans="1:12" x14ac:dyDescent="0.35">
      <c r="A1853" s="3"/>
      <c r="B1853" s="2"/>
      <c r="C1853" s="2"/>
      <c r="D1853" s="2" t="b">
        <f>IF(AND(NOT(ISBLANK(Table1[[#This Row],[Fetal Sex (Male, Female or Unknown)]])),ISNUMBER(Table1[[#This Row],[Birthweight (grams)]]),ISNUMBER(Table1[[#This Row],[Gestation (days)]])),TRUE,FALSE)</f>
        <v>0</v>
      </c>
      <c r="E1853" s="2" t="str">
        <f>IF(Table1[[#This Row],[Is Data Valid]]=TRUE,IF(Table1[[#This Row],[Fetal Sex (Male, Female or Unknown)]]="Male",Backend!$C$6,IF(Table1[[#This Row],[Fetal Sex (Male, Female or Unknown)]]="Female",Backend!$C$7,IF(Table1[[#This Row],[Fetal Sex (Male, Female or Unknown)]]="Unknown",Backend!$C$8,"Error"))),"")</f>
        <v/>
      </c>
      <c r="F1853" s="8" t="str">
        <f>IF(Table1[[#This Row],[Is Data Valid]]=TRUE,EXP(0.578+0.332*((Table1[[#This Row],[Gestation (days)]]+0.5)/7)-0.00354*((Table1[[#This Row],[Gestation (days)]]+0.5)/7)^2)*Table1[[#This Row],[BW40_3705]],"")</f>
        <v/>
      </c>
      <c r="G1853" s="2" t="str">
        <f>IF(Table1[[#This Row],[Is Data Valid]]=TRUE,((Table1[[#This Row],[Birthweight (grams)]]/Table1[[#This Row],[BW_GA]])-1)/(Backend!$B$4/100*Table1[[#This Row],[BW40_3705]]),"")</f>
        <v/>
      </c>
      <c r="H1853" s="7" t="str">
        <f>IF(Table1[[#This Row],[Is Data Valid]]=TRUE,((Table1[[#This Row],[Birthweight (grams)]]*0.9/Table1[[#This Row],[BW_GA]])-1)/(Backend!$B$4/100*Table1[[#This Row],[BW40_3705]]),"")</f>
        <v/>
      </c>
      <c r="I1853" s="7" t="str">
        <f>IF(Table1[[#This Row],[Is Data Valid]]=TRUE,((Table1[[#This Row],[Birthweight (grams)]]*1.1/Table1[[#This Row],[BW_GA]])-1)/(Backend!$B$4/100*Table1[[#This Row],[BW40_3705]]),"")</f>
        <v/>
      </c>
      <c r="J1853" s="7" t="str">
        <f>IF(Table1[[#This Row],[Is Data Valid]]=TRUE,_xlfn.NORM.S.DIST(Table1[[#This Row],[Birthweight Z-Score]],TRUE)*100,"")</f>
        <v/>
      </c>
      <c r="K1853" s="7" t="str">
        <f>IF(Table1[[#This Row],[Is Data Valid]]=TRUE,_xlfn.NORM.S.DIST(Table1[[#This Row],[Birthweight Z-Score (BW-10%)]],TRUE)*100,"")</f>
        <v/>
      </c>
      <c r="L1853" s="7" t="str">
        <f>IF(Table1[[#This Row],[Is Data Valid]]=TRUE,_xlfn.NORM.S.DIST(Table1[[#This Row],[Birthweight Z-Score (BW+10%)]],TRUE)*100,"")</f>
        <v/>
      </c>
    </row>
    <row r="1854" spans="1:12" x14ac:dyDescent="0.35">
      <c r="A1854" s="3"/>
      <c r="B1854" s="2"/>
      <c r="C1854" s="2"/>
      <c r="D1854" s="2" t="b">
        <f>IF(AND(NOT(ISBLANK(Table1[[#This Row],[Fetal Sex (Male, Female or Unknown)]])),ISNUMBER(Table1[[#This Row],[Birthweight (grams)]]),ISNUMBER(Table1[[#This Row],[Gestation (days)]])),TRUE,FALSE)</f>
        <v>0</v>
      </c>
      <c r="E1854" s="2" t="str">
        <f>IF(Table1[[#This Row],[Is Data Valid]]=TRUE,IF(Table1[[#This Row],[Fetal Sex (Male, Female or Unknown)]]="Male",Backend!$C$6,IF(Table1[[#This Row],[Fetal Sex (Male, Female or Unknown)]]="Female",Backend!$C$7,IF(Table1[[#This Row],[Fetal Sex (Male, Female or Unknown)]]="Unknown",Backend!$C$8,"Error"))),"")</f>
        <v/>
      </c>
      <c r="F1854" s="8" t="str">
        <f>IF(Table1[[#This Row],[Is Data Valid]]=TRUE,EXP(0.578+0.332*((Table1[[#This Row],[Gestation (days)]]+0.5)/7)-0.00354*((Table1[[#This Row],[Gestation (days)]]+0.5)/7)^2)*Table1[[#This Row],[BW40_3705]],"")</f>
        <v/>
      </c>
      <c r="G1854" s="2" t="str">
        <f>IF(Table1[[#This Row],[Is Data Valid]]=TRUE,((Table1[[#This Row],[Birthweight (grams)]]/Table1[[#This Row],[BW_GA]])-1)/(Backend!$B$4/100*Table1[[#This Row],[BW40_3705]]),"")</f>
        <v/>
      </c>
      <c r="H1854" s="7" t="str">
        <f>IF(Table1[[#This Row],[Is Data Valid]]=TRUE,((Table1[[#This Row],[Birthweight (grams)]]*0.9/Table1[[#This Row],[BW_GA]])-1)/(Backend!$B$4/100*Table1[[#This Row],[BW40_3705]]),"")</f>
        <v/>
      </c>
      <c r="I1854" s="7" t="str">
        <f>IF(Table1[[#This Row],[Is Data Valid]]=TRUE,((Table1[[#This Row],[Birthweight (grams)]]*1.1/Table1[[#This Row],[BW_GA]])-1)/(Backend!$B$4/100*Table1[[#This Row],[BW40_3705]]),"")</f>
        <v/>
      </c>
      <c r="J1854" s="7" t="str">
        <f>IF(Table1[[#This Row],[Is Data Valid]]=TRUE,_xlfn.NORM.S.DIST(Table1[[#This Row],[Birthweight Z-Score]],TRUE)*100,"")</f>
        <v/>
      </c>
      <c r="K1854" s="7" t="str">
        <f>IF(Table1[[#This Row],[Is Data Valid]]=TRUE,_xlfn.NORM.S.DIST(Table1[[#This Row],[Birthweight Z-Score (BW-10%)]],TRUE)*100,"")</f>
        <v/>
      </c>
      <c r="L1854" s="7" t="str">
        <f>IF(Table1[[#This Row],[Is Data Valid]]=TRUE,_xlfn.NORM.S.DIST(Table1[[#This Row],[Birthweight Z-Score (BW+10%)]],TRUE)*100,"")</f>
        <v/>
      </c>
    </row>
    <row r="1855" spans="1:12" x14ac:dyDescent="0.35">
      <c r="A1855" s="3"/>
      <c r="B1855" s="2"/>
      <c r="C1855" s="2"/>
      <c r="D1855" s="2" t="b">
        <f>IF(AND(NOT(ISBLANK(Table1[[#This Row],[Fetal Sex (Male, Female or Unknown)]])),ISNUMBER(Table1[[#This Row],[Birthweight (grams)]]),ISNUMBER(Table1[[#This Row],[Gestation (days)]])),TRUE,FALSE)</f>
        <v>0</v>
      </c>
      <c r="E1855" s="2" t="str">
        <f>IF(Table1[[#This Row],[Is Data Valid]]=TRUE,IF(Table1[[#This Row],[Fetal Sex (Male, Female or Unknown)]]="Male",Backend!$C$6,IF(Table1[[#This Row],[Fetal Sex (Male, Female or Unknown)]]="Female",Backend!$C$7,IF(Table1[[#This Row],[Fetal Sex (Male, Female or Unknown)]]="Unknown",Backend!$C$8,"Error"))),"")</f>
        <v/>
      </c>
      <c r="F1855" s="8" t="str">
        <f>IF(Table1[[#This Row],[Is Data Valid]]=TRUE,EXP(0.578+0.332*((Table1[[#This Row],[Gestation (days)]]+0.5)/7)-0.00354*((Table1[[#This Row],[Gestation (days)]]+0.5)/7)^2)*Table1[[#This Row],[BW40_3705]],"")</f>
        <v/>
      </c>
      <c r="G1855" s="2" t="str">
        <f>IF(Table1[[#This Row],[Is Data Valid]]=TRUE,((Table1[[#This Row],[Birthweight (grams)]]/Table1[[#This Row],[BW_GA]])-1)/(Backend!$B$4/100*Table1[[#This Row],[BW40_3705]]),"")</f>
        <v/>
      </c>
      <c r="H1855" s="7" t="str">
        <f>IF(Table1[[#This Row],[Is Data Valid]]=TRUE,((Table1[[#This Row],[Birthweight (grams)]]*0.9/Table1[[#This Row],[BW_GA]])-1)/(Backend!$B$4/100*Table1[[#This Row],[BW40_3705]]),"")</f>
        <v/>
      </c>
      <c r="I1855" s="7" t="str">
        <f>IF(Table1[[#This Row],[Is Data Valid]]=TRUE,((Table1[[#This Row],[Birthweight (grams)]]*1.1/Table1[[#This Row],[BW_GA]])-1)/(Backend!$B$4/100*Table1[[#This Row],[BW40_3705]]),"")</f>
        <v/>
      </c>
      <c r="J1855" s="7" t="str">
        <f>IF(Table1[[#This Row],[Is Data Valid]]=TRUE,_xlfn.NORM.S.DIST(Table1[[#This Row],[Birthweight Z-Score]],TRUE)*100,"")</f>
        <v/>
      </c>
      <c r="K1855" s="7" t="str">
        <f>IF(Table1[[#This Row],[Is Data Valid]]=TRUE,_xlfn.NORM.S.DIST(Table1[[#This Row],[Birthweight Z-Score (BW-10%)]],TRUE)*100,"")</f>
        <v/>
      </c>
      <c r="L1855" s="7" t="str">
        <f>IF(Table1[[#This Row],[Is Data Valid]]=TRUE,_xlfn.NORM.S.DIST(Table1[[#This Row],[Birthweight Z-Score (BW+10%)]],TRUE)*100,"")</f>
        <v/>
      </c>
    </row>
    <row r="1856" spans="1:12" x14ac:dyDescent="0.35">
      <c r="A1856" s="3"/>
      <c r="B1856" s="2"/>
      <c r="C1856" s="2"/>
      <c r="D1856" s="2" t="b">
        <f>IF(AND(NOT(ISBLANK(Table1[[#This Row],[Fetal Sex (Male, Female or Unknown)]])),ISNUMBER(Table1[[#This Row],[Birthweight (grams)]]),ISNUMBER(Table1[[#This Row],[Gestation (days)]])),TRUE,FALSE)</f>
        <v>0</v>
      </c>
      <c r="E1856" s="2" t="str">
        <f>IF(Table1[[#This Row],[Is Data Valid]]=TRUE,IF(Table1[[#This Row],[Fetal Sex (Male, Female or Unknown)]]="Male",Backend!$C$6,IF(Table1[[#This Row],[Fetal Sex (Male, Female or Unknown)]]="Female",Backend!$C$7,IF(Table1[[#This Row],[Fetal Sex (Male, Female or Unknown)]]="Unknown",Backend!$C$8,"Error"))),"")</f>
        <v/>
      </c>
      <c r="F1856" s="8" t="str">
        <f>IF(Table1[[#This Row],[Is Data Valid]]=TRUE,EXP(0.578+0.332*((Table1[[#This Row],[Gestation (days)]]+0.5)/7)-0.00354*((Table1[[#This Row],[Gestation (days)]]+0.5)/7)^2)*Table1[[#This Row],[BW40_3705]],"")</f>
        <v/>
      </c>
      <c r="G1856" s="2" t="str">
        <f>IF(Table1[[#This Row],[Is Data Valid]]=TRUE,((Table1[[#This Row],[Birthweight (grams)]]/Table1[[#This Row],[BW_GA]])-1)/(Backend!$B$4/100*Table1[[#This Row],[BW40_3705]]),"")</f>
        <v/>
      </c>
      <c r="H1856" s="7" t="str">
        <f>IF(Table1[[#This Row],[Is Data Valid]]=TRUE,((Table1[[#This Row],[Birthweight (grams)]]*0.9/Table1[[#This Row],[BW_GA]])-1)/(Backend!$B$4/100*Table1[[#This Row],[BW40_3705]]),"")</f>
        <v/>
      </c>
      <c r="I1856" s="7" t="str">
        <f>IF(Table1[[#This Row],[Is Data Valid]]=TRUE,((Table1[[#This Row],[Birthweight (grams)]]*1.1/Table1[[#This Row],[BW_GA]])-1)/(Backend!$B$4/100*Table1[[#This Row],[BW40_3705]]),"")</f>
        <v/>
      </c>
      <c r="J1856" s="7" t="str">
        <f>IF(Table1[[#This Row],[Is Data Valid]]=TRUE,_xlfn.NORM.S.DIST(Table1[[#This Row],[Birthweight Z-Score]],TRUE)*100,"")</f>
        <v/>
      </c>
      <c r="K1856" s="7" t="str">
        <f>IF(Table1[[#This Row],[Is Data Valid]]=TRUE,_xlfn.NORM.S.DIST(Table1[[#This Row],[Birthweight Z-Score (BW-10%)]],TRUE)*100,"")</f>
        <v/>
      </c>
      <c r="L1856" s="7" t="str">
        <f>IF(Table1[[#This Row],[Is Data Valid]]=TRUE,_xlfn.NORM.S.DIST(Table1[[#This Row],[Birthweight Z-Score (BW+10%)]],TRUE)*100,"")</f>
        <v/>
      </c>
    </row>
    <row r="1857" spans="1:12" x14ac:dyDescent="0.35">
      <c r="A1857" s="3"/>
      <c r="B1857" s="2"/>
      <c r="C1857" s="2"/>
      <c r="D1857" s="2" t="b">
        <f>IF(AND(NOT(ISBLANK(Table1[[#This Row],[Fetal Sex (Male, Female or Unknown)]])),ISNUMBER(Table1[[#This Row],[Birthweight (grams)]]),ISNUMBER(Table1[[#This Row],[Gestation (days)]])),TRUE,FALSE)</f>
        <v>0</v>
      </c>
      <c r="E1857" s="2" t="str">
        <f>IF(Table1[[#This Row],[Is Data Valid]]=TRUE,IF(Table1[[#This Row],[Fetal Sex (Male, Female or Unknown)]]="Male",Backend!$C$6,IF(Table1[[#This Row],[Fetal Sex (Male, Female or Unknown)]]="Female",Backend!$C$7,IF(Table1[[#This Row],[Fetal Sex (Male, Female or Unknown)]]="Unknown",Backend!$C$8,"Error"))),"")</f>
        <v/>
      </c>
      <c r="F1857" s="8" t="str">
        <f>IF(Table1[[#This Row],[Is Data Valid]]=TRUE,EXP(0.578+0.332*((Table1[[#This Row],[Gestation (days)]]+0.5)/7)-0.00354*((Table1[[#This Row],[Gestation (days)]]+0.5)/7)^2)*Table1[[#This Row],[BW40_3705]],"")</f>
        <v/>
      </c>
      <c r="G1857" s="2" t="str">
        <f>IF(Table1[[#This Row],[Is Data Valid]]=TRUE,((Table1[[#This Row],[Birthweight (grams)]]/Table1[[#This Row],[BW_GA]])-1)/(Backend!$B$4/100*Table1[[#This Row],[BW40_3705]]),"")</f>
        <v/>
      </c>
      <c r="H1857" s="7" t="str">
        <f>IF(Table1[[#This Row],[Is Data Valid]]=TRUE,((Table1[[#This Row],[Birthweight (grams)]]*0.9/Table1[[#This Row],[BW_GA]])-1)/(Backend!$B$4/100*Table1[[#This Row],[BW40_3705]]),"")</f>
        <v/>
      </c>
      <c r="I1857" s="7" t="str">
        <f>IF(Table1[[#This Row],[Is Data Valid]]=TRUE,((Table1[[#This Row],[Birthweight (grams)]]*1.1/Table1[[#This Row],[BW_GA]])-1)/(Backend!$B$4/100*Table1[[#This Row],[BW40_3705]]),"")</f>
        <v/>
      </c>
      <c r="J1857" s="7" t="str">
        <f>IF(Table1[[#This Row],[Is Data Valid]]=TRUE,_xlfn.NORM.S.DIST(Table1[[#This Row],[Birthweight Z-Score]],TRUE)*100,"")</f>
        <v/>
      </c>
      <c r="K1857" s="7" t="str">
        <f>IF(Table1[[#This Row],[Is Data Valid]]=TRUE,_xlfn.NORM.S.DIST(Table1[[#This Row],[Birthweight Z-Score (BW-10%)]],TRUE)*100,"")</f>
        <v/>
      </c>
      <c r="L1857" s="7" t="str">
        <f>IF(Table1[[#This Row],[Is Data Valid]]=TRUE,_xlfn.NORM.S.DIST(Table1[[#This Row],[Birthweight Z-Score (BW+10%)]],TRUE)*100,"")</f>
        <v/>
      </c>
    </row>
    <row r="1858" spans="1:12" x14ac:dyDescent="0.35">
      <c r="A1858" s="3"/>
      <c r="B1858" s="2"/>
      <c r="C1858" s="2"/>
      <c r="D1858" s="2" t="b">
        <f>IF(AND(NOT(ISBLANK(Table1[[#This Row],[Fetal Sex (Male, Female or Unknown)]])),ISNUMBER(Table1[[#This Row],[Birthweight (grams)]]),ISNUMBER(Table1[[#This Row],[Gestation (days)]])),TRUE,FALSE)</f>
        <v>0</v>
      </c>
      <c r="E1858" s="2" t="str">
        <f>IF(Table1[[#This Row],[Is Data Valid]]=TRUE,IF(Table1[[#This Row],[Fetal Sex (Male, Female or Unknown)]]="Male",Backend!$C$6,IF(Table1[[#This Row],[Fetal Sex (Male, Female or Unknown)]]="Female",Backend!$C$7,IF(Table1[[#This Row],[Fetal Sex (Male, Female or Unknown)]]="Unknown",Backend!$C$8,"Error"))),"")</f>
        <v/>
      </c>
      <c r="F1858" s="8" t="str">
        <f>IF(Table1[[#This Row],[Is Data Valid]]=TRUE,EXP(0.578+0.332*((Table1[[#This Row],[Gestation (days)]]+0.5)/7)-0.00354*((Table1[[#This Row],[Gestation (days)]]+0.5)/7)^2)*Table1[[#This Row],[BW40_3705]],"")</f>
        <v/>
      </c>
      <c r="G1858" s="2" t="str">
        <f>IF(Table1[[#This Row],[Is Data Valid]]=TRUE,((Table1[[#This Row],[Birthweight (grams)]]/Table1[[#This Row],[BW_GA]])-1)/(Backend!$B$4/100*Table1[[#This Row],[BW40_3705]]),"")</f>
        <v/>
      </c>
      <c r="H1858" s="7" t="str">
        <f>IF(Table1[[#This Row],[Is Data Valid]]=TRUE,((Table1[[#This Row],[Birthweight (grams)]]*0.9/Table1[[#This Row],[BW_GA]])-1)/(Backend!$B$4/100*Table1[[#This Row],[BW40_3705]]),"")</f>
        <v/>
      </c>
      <c r="I1858" s="7" t="str">
        <f>IF(Table1[[#This Row],[Is Data Valid]]=TRUE,((Table1[[#This Row],[Birthweight (grams)]]*1.1/Table1[[#This Row],[BW_GA]])-1)/(Backend!$B$4/100*Table1[[#This Row],[BW40_3705]]),"")</f>
        <v/>
      </c>
      <c r="J1858" s="7" t="str">
        <f>IF(Table1[[#This Row],[Is Data Valid]]=TRUE,_xlfn.NORM.S.DIST(Table1[[#This Row],[Birthweight Z-Score]],TRUE)*100,"")</f>
        <v/>
      </c>
      <c r="K1858" s="7" t="str">
        <f>IF(Table1[[#This Row],[Is Data Valid]]=TRUE,_xlfn.NORM.S.DIST(Table1[[#This Row],[Birthweight Z-Score (BW-10%)]],TRUE)*100,"")</f>
        <v/>
      </c>
      <c r="L1858" s="7" t="str">
        <f>IF(Table1[[#This Row],[Is Data Valid]]=TRUE,_xlfn.NORM.S.DIST(Table1[[#This Row],[Birthweight Z-Score (BW+10%)]],TRUE)*100,"")</f>
        <v/>
      </c>
    </row>
    <row r="1859" spans="1:12" x14ac:dyDescent="0.35">
      <c r="A1859" s="3"/>
      <c r="B1859" s="2"/>
      <c r="C1859" s="2"/>
      <c r="D1859" s="2" t="b">
        <f>IF(AND(NOT(ISBLANK(Table1[[#This Row],[Fetal Sex (Male, Female or Unknown)]])),ISNUMBER(Table1[[#This Row],[Birthweight (grams)]]),ISNUMBER(Table1[[#This Row],[Gestation (days)]])),TRUE,FALSE)</f>
        <v>0</v>
      </c>
      <c r="E1859" s="2" t="str">
        <f>IF(Table1[[#This Row],[Is Data Valid]]=TRUE,IF(Table1[[#This Row],[Fetal Sex (Male, Female or Unknown)]]="Male",Backend!$C$6,IF(Table1[[#This Row],[Fetal Sex (Male, Female or Unknown)]]="Female",Backend!$C$7,IF(Table1[[#This Row],[Fetal Sex (Male, Female or Unknown)]]="Unknown",Backend!$C$8,"Error"))),"")</f>
        <v/>
      </c>
      <c r="F1859" s="8" t="str">
        <f>IF(Table1[[#This Row],[Is Data Valid]]=TRUE,EXP(0.578+0.332*((Table1[[#This Row],[Gestation (days)]]+0.5)/7)-0.00354*((Table1[[#This Row],[Gestation (days)]]+0.5)/7)^2)*Table1[[#This Row],[BW40_3705]],"")</f>
        <v/>
      </c>
      <c r="G1859" s="2" t="str">
        <f>IF(Table1[[#This Row],[Is Data Valid]]=TRUE,((Table1[[#This Row],[Birthweight (grams)]]/Table1[[#This Row],[BW_GA]])-1)/(Backend!$B$4/100*Table1[[#This Row],[BW40_3705]]),"")</f>
        <v/>
      </c>
      <c r="H1859" s="7" t="str">
        <f>IF(Table1[[#This Row],[Is Data Valid]]=TRUE,((Table1[[#This Row],[Birthweight (grams)]]*0.9/Table1[[#This Row],[BW_GA]])-1)/(Backend!$B$4/100*Table1[[#This Row],[BW40_3705]]),"")</f>
        <v/>
      </c>
      <c r="I1859" s="7" t="str">
        <f>IF(Table1[[#This Row],[Is Data Valid]]=TRUE,((Table1[[#This Row],[Birthweight (grams)]]*1.1/Table1[[#This Row],[BW_GA]])-1)/(Backend!$B$4/100*Table1[[#This Row],[BW40_3705]]),"")</f>
        <v/>
      </c>
      <c r="J1859" s="7" t="str">
        <f>IF(Table1[[#This Row],[Is Data Valid]]=TRUE,_xlfn.NORM.S.DIST(Table1[[#This Row],[Birthweight Z-Score]],TRUE)*100,"")</f>
        <v/>
      </c>
      <c r="K1859" s="7" t="str">
        <f>IF(Table1[[#This Row],[Is Data Valid]]=TRUE,_xlfn.NORM.S.DIST(Table1[[#This Row],[Birthweight Z-Score (BW-10%)]],TRUE)*100,"")</f>
        <v/>
      </c>
      <c r="L1859" s="7" t="str">
        <f>IF(Table1[[#This Row],[Is Data Valid]]=TRUE,_xlfn.NORM.S.DIST(Table1[[#This Row],[Birthweight Z-Score (BW+10%)]],TRUE)*100,"")</f>
        <v/>
      </c>
    </row>
    <row r="1860" spans="1:12" x14ac:dyDescent="0.35">
      <c r="A1860" s="3"/>
      <c r="B1860" s="2"/>
      <c r="C1860" s="2"/>
      <c r="D1860" s="2" t="b">
        <f>IF(AND(NOT(ISBLANK(Table1[[#This Row],[Fetal Sex (Male, Female or Unknown)]])),ISNUMBER(Table1[[#This Row],[Birthweight (grams)]]),ISNUMBER(Table1[[#This Row],[Gestation (days)]])),TRUE,FALSE)</f>
        <v>0</v>
      </c>
      <c r="E1860" s="2" t="str">
        <f>IF(Table1[[#This Row],[Is Data Valid]]=TRUE,IF(Table1[[#This Row],[Fetal Sex (Male, Female or Unknown)]]="Male",Backend!$C$6,IF(Table1[[#This Row],[Fetal Sex (Male, Female or Unknown)]]="Female",Backend!$C$7,IF(Table1[[#This Row],[Fetal Sex (Male, Female or Unknown)]]="Unknown",Backend!$C$8,"Error"))),"")</f>
        <v/>
      </c>
      <c r="F1860" s="8" t="str">
        <f>IF(Table1[[#This Row],[Is Data Valid]]=TRUE,EXP(0.578+0.332*((Table1[[#This Row],[Gestation (days)]]+0.5)/7)-0.00354*((Table1[[#This Row],[Gestation (days)]]+0.5)/7)^2)*Table1[[#This Row],[BW40_3705]],"")</f>
        <v/>
      </c>
      <c r="G1860" s="2" t="str">
        <f>IF(Table1[[#This Row],[Is Data Valid]]=TRUE,((Table1[[#This Row],[Birthweight (grams)]]/Table1[[#This Row],[BW_GA]])-1)/(Backend!$B$4/100*Table1[[#This Row],[BW40_3705]]),"")</f>
        <v/>
      </c>
      <c r="H1860" s="7" t="str">
        <f>IF(Table1[[#This Row],[Is Data Valid]]=TRUE,((Table1[[#This Row],[Birthweight (grams)]]*0.9/Table1[[#This Row],[BW_GA]])-1)/(Backend!$B$4/100*Table1[[#This Row],[BW40_3705]]),"")</f>
        <v/>
      </c>
      <c r="I1860" s="7" t="str">
        <f>IF(Table1[[#This Row],[Is Data Valid]]=TRUE,((Table1[[#This Row],[Birthweight (grams)]]*1.1/Table1[[#This Row],[BW_GA]])-1)/(Backend!$B$4/100*Table1[[#This Row],[BW40_3705]]),"")</f>
        <v/>
      </c>
      <c r="J1860" s="7" t="str">
        <f>IF(Table1[[#This Row],[Is Data Valid]]=TRUE,_xlfn.NORM.S.DIST(Table1[[#This Row],[Birthweight Z-Score]],TRUE)*100,"")</f>
        <v/>
      </c>
      <c r="K1860" s="7" t="str">
        <f>IF(Table1[[#This Row],[Is Data Valid]]=TRUE,_xlfn.NORM.S.DIST(Table1[[#This Row],[Birthweight Z-Score (BW-10%)]],TRUE)*100,"")</f>
        <v/>
      </c>
      <c r="L1860" s="7" t="str">
        <f>IF(Table1[[#This Row],[Is Data Valid]]=TRUE,_xlfn.NORM.S.DIST(Table1[[#This Row],[Birthweight Z-Score (BW+10%)]],TRUE)*100,"")</f>
        <v/>
      </c>
    </row>
    <row r="1861" spans="1:12" x14ac:dyDescent="0.35">
      <c r="A1861" s="3"/>
      <c r="B1861" s="2"/>
      <c r="C1861" s="2"/>
      <c r="D1861" s="2" t="b">
        <f>IF(AND(NOT(ISBLANK(Table1[[#This Row],[Fetal Sex (Male, Female or Unknown)]])),ISNUMBER(Table1[[#This Row],[Birthweight (grams)]]),ISNUMBER(Table1[[#This Row],[Gestation (days)]])),TRUE,FALSE)</f>
        <v>0</v>
      </c>
      <c r="E1861" s="2" t="str">
        <f>IF(Table1[[#This Row],[Is Data Valid]]=TRUE,IF(Table1[[#This Row],[Fetal Sex (Male, Female or Unknown)]]="Male",Backend!$C$6,IF(Table1[[#This Row],[Fetal Sex (Male, Female or Unknown)]]="Female",Backend!$C$7,IF(Table1[[#This Row],[Fetal Sex (Male, Female or Unknown)]]="Unknown",Backend!$C$8,"Error"))),"")</f>
        <v/>
      </c>
      <c r="F1861" s="8" t="str">
        <f>IF(Table1[[#This Row],[Is Data Valid]]=TRUE,EXP(0.578+0.332*((Table1[[#This Row],[Gestation (days)]]+0.5)/7)-0.00354*((Table1[[#This Row],[Gestation (days)]]+0.5)/7)^2)*Table1[[#This Row],[BW40_3705]],"")</f>
        <v/>
      </c>
      <c r="G1861" s="2" t="str">
        <f>IF(Table1[[#This Row],[Is Data Valid]]=TRUE,((Table1[[#This Row],[Birthweight (grams)]]/Table1[[#This Row],[BW_GA]])-1)/(Backend!$B$4/100*Table1[[#This Row],[BW40_3705]]),"")</f>
        <v/>
      </c>
      <c r="H1861" s="7" t="str">
        <f>IF(Table1[[#This Row],[Is Data Valid]]=TRUE,((Table1[[#This Row],[Birthweight (grams)]]*0.9/Table1[[#This Row],[BW_GA]])-1)/(Backend!$B$4/100*Table1[[#This Row],[BW40_3705]]),"")</f>
        <v/>
      </c>
      <c r="I1861" s="7" t="str">
        <f>IF(Table1[[#This Row],[Is Data Valid]]=TRUE,((Table1[[#This Row],[Birthweight (grams)]]*1.1/Table1[[#This Row],[BW_GA]])-1)/(Backend!$B$4/100*Table1[[#This Row],[BW40_3705]]),"")</f>
        <v/>
      </c>
      <c r="J1861" s="7" t="str">
        <f>IF(Table1[[#This Row],[Is Data Valid]]=TRUE,_xlfn.NORM.S.DIST(Table1[[#This Row],[Birthweight Z-Score]],TRUE)*100,"")</f>
        <v/>
      </c>
      <c r="K1861" s="7" t="str">
        <f>IF(Table1[[#This Row],[Is Data Valid]]=TRUE,_xlfn.NORM.S.DIST(Table1[[#This Row],[Birthweight Z-Score (BW-10%)]],TRUE)*100,"")</f>
        <v/>
      </c>
      <c r="L1861" s="7" t="str">
        <f>IF(Table1[[#This Row],[Is Data Valid]]=TRUE,_xlfn.NORM.S.DIST(Table1[[#This Row],[Birthweight Z-Score (BW+10%)]],TRUE)*100,"")</f>
        <v/>
      </c>
    </row>
    <row r="1862" spans="1:12" x14ac:dyDescent="0.35">
      <c r="A1862" s="3"/>
      <c r="B1862" s="2"/>
      <c r="C1862" s="2"/>
      <c r="D1862" s="2" t="b">
        <f>IF(AND(NOT(ISBLANK(Table1[[#This Row],[Fetal Sex (Male, Female or Unknown)]])),ISNUMBER(Table1[[#This Row],[Birthweight (grams)]]),ISNUMBER(Table1[[#This Row],[Gestation (days)]])),TRUE,FALSE)</f>
        <v>0</v>
      </c>
      <c r="E1862" s="2" t="str">
        <f>IF(Table1[[#This Row],[Is Data Valid]]=TRUE,IF(Table1[[#This Row],[Fetal Sex (Male, Female or Unknown)]]="Male",Backend!$C$6,IF(Table1[[#This Row],[Fetal Sex (Male, Female or Unknown)]]="Female",Backend!$C$7,IF(Table1[[#This Row],[Fetal Sex (Male, Female or Unknown)]]="Unknown",Backend!$C$8,"Error"))),"")</f>
        <v/>
      </c>
      <c r="F1862" s="8" t="str">
        <f>IF(Table1[[#This Row],[Is Data Valid]]=TRUE,EXP(0.578+0.332*((Table1[[#This Row],[Gestation (days)]]+0.5)/7)-0.00354*((Table1[[#This Row],[Gestation (days)]]+0.5)/7)^2)*Table1[[#This Row],[BW40_3705]],"")</f>
        <v/>
      </c>
      <c r="G1862" s="2" t="str">
        <f>IF(Table1[[#This Row],[Is Data Valid]]=TRUE,((Table1[[#This Row],[Birthweight (grams)]]/Table1[[#This Row],[BW_GA]])-1)/(Backend!$B$4/100*Table1[[#This Row],[BW40_3705]]),"")</f>
        <v/>
      </c>
      <c r="H1862" s="7" t="str">
        <f>IF(Table1[[#This Row],[Is Data Valid]]=TRUE,((Table1[[#This Row],[Birthweight (grams)]]*0.9/Table1[[#This Row],[BW_GA]])-1)/(Backend!$B$4/100*Table1[[#This Row],[BW40_3705]]),"")</f>
        <v/>
      </c>
      <c r="I1862" s="7" t="str">
        <f>IF(Table1[[#This Row],[Is Data Valid]]=TRUE,((Table1[[#This Row],[Birthweight (grams)]]*1.1/Table1[[#This Row],[BW_GA]])-1)/(Backend!$B$4/100*Table1[[#This Row],[BW40_3705]]),"")</f>
        <v/>
      </c>
      <c r="J1862" s="7" t="str">
        <f>IF(Table1[[#This Row],[Is Data Valid]]=TRUE,_xlfn.NORM.S.DIST(Table1[[#This Row],[Birthweight Z-Score]],TRUE)*100,"")</f>
        <v/>
      </c>
      <c r="K1862" s="7" t="str">
        <f>IF(Table1[[#This Row],[Is Data Valid]]=TRUE,_xlfn.NORM.S.DIST(Table1[[#This Row],[Birthweight Z-Score (BW-10%)]],TRUE)*100,"")</f>
        <v/>
      </c>
      <c r="L1862" s="7" t="str">
        <f>IF(Table1[[#This Row],[Is Data Valid]]=TRUE,_xlfn.NORM.S.DIST(Table1[[#This Row],[Birthweight Z-Score (BW+10%)]],TRUE)*100,"")</f>
        <v/>
      </c>
    </row>
    <row r="1863" spans="1:12" x14ac:dyDescent="0.35">
      <c r="A1863" s="3"/>
      <c r="B1863" s="2"/>
      <c r="C1863" s="2"/>
      <c r="D1863" s="2" t="b">
        <f>IF(AND(NOT(ISBLANK(Table1[[#This Row],[Fetal Sex (Male, Female or Unknown)]])),ISNUMBER(Table1[[#This Row],[Birthweight (grams)]]),ISNUMBER(Table1[[#This Row],[Gestation (days)]])),TRUE,FALSE)</f>
        <v>0</v>
      </c>
      <c r="E1863" s="2" t="str">
        <f>IF(Table1[[#This Row],[Is Data Valid]]=TRUE,IF(Table1[[#This Row],[Fetal Sex (Male, Female or Unknown)]]="Male",Backend!$C$6,IF(Table1[[#This Row],[Fetal Sex (Male, Female or Unknown)]]="Female",Backend!$C$7,IF(Table1[[#This Row],[Fetal Sex (Male, Female or Unknown)]]="Unknown",Backend!$C$8,"Error"))),"")</f>
        <v/>
      </c>
      <c r="F1863" s="8" t="str">
        <f>IF(Table1[[#This Row],[Is Data Valid]]=TRUE,EXP(0.578+0.332*((Table1[[#This Row],[Gestation (days)]]+0.5)/7)-0.00354*((Table1[[#This Row],[Gestation (days)]]+0.5)/7)^2)*Table1[[#This Row],[BW40_3705]],"")</f>
        <v/>
      </c>
      <c r="G1863" s="2" t="str">
        <f>IF(Table1[[#This Row],[Is Data Valid]]=TRUE,((Table1[[#This Row],[Birthweight (grams)]]/Table1[[#This Row],[BW_GA]])-1)/(Backend!$B$4/100*Table1[[#This Row],[BW40_3705]]),"")</f>
        <v/>
      </c>
      <c r="H1863" s="7" t="str">
        <f>IF(Table1[[#This Row],[Is Data Valid]]=TRUE,((Table1[[#This Row],[Birthweight (grams)]]*0.9/Table1[[#This Row],[BW_GA]])-1)/(Backend!$B$4/100*Table1[[#This Row],[BW40_3705]]),"")</f>
        <v/>
      </c>
      <c r="I1863" s="7" t="str">
        <f>IF(Table1[[#This Row],[Is Data Valid]]=TRUE,((Table1[[#This Row],[Birthweight (grams)]]*1.1/Table1[[#This Row],[BW_GA]])-1)/(Backend!$B$4/100*Table1[[#This Row],[BW40_3705]]),"")</f>
        <v/>
      </c>
      <c r="J1863" s="7" t="str">
        <f>IF(Table1[[#This Row],[Is Data Valid]]=TRUE,_xlfn.NORM.S.DIST(Table1[[#This Row],[Birthweight Z-Score]],TRUE)*100,"")</f>
        <v/>
      </c>
      <c r="K1863" s="7" t="str">
        <f>IF(Table1[[#This Row],[Is Data Valid]]=TRUE,_xlfn.NORM.S.DIST(Table1[[#This Row],[Birthweight Z-Score (BW-10%)]],TRUE)*100,"")</f>
        <v/>
      </c>
      <c r="L1863" s="7" t="str">
        <f>IF(Table1[[#This Row],[Is Data Valid]]=TRUE,_xlfn.NORM.S.DIST(Table1[[#This Row],[Birthweight Z-Score (BW+10%)]],TRUE)*100,"")</f>
        <v/>
      </c>
    </row>
    <row r="1864" spans="1:12" x14ac:dyDescent="0.35">
      <c r="A1864" s="3"/>
      <c r="B1864" s="2"/>
      <c r="C1864" s="2"/>
      <c r="D1864" s="2" t="b">
        <f>IF(AND(NOT(ISBLANK(Table1[[#This Row],[Fetal Sex (Male, Female or Unknown)]])),ISNUMBER(Table1[[#This Row],[Birthweight (grams)]]),ISNUMBER(Table1[[#This Row],[Gestation (days)]])),TRUE,FALSE)</f>
        <v>0</v>
      </c>
      <c r="E1864" s="2" t="str">
        <f>IF(Table1[[#This Row],[Is Data Valid]]=TRUE,IF(Table1[[#This Row],[Fetal Sex (Male, Female or Unknown)]]="Male",Backend!$C$6,IF(Table1[[#This Row],[Fetal Sex (Male, Female or Unknown)]]="Female",Backend!$C$7,IF(Table1[[#This Row],[Fetal Sex (Male, Female or Unknown)]]="Unknown",Backend!$C$8,"Error"))),"")</f>
        <v/>
      </c>
      <c r="F1864" s="8" t="str">
        <f>IF(Table1[[#This Row],[Is Data Valid]]=TRUE,EXP(0.578+0.332*((Table1[[#This Row],[Gestation (days)]]+0.5)/7)-0.00354*((Table1[[#This Row],[Gestation (days)]]+0.5)/7)^2)*Table1[[#This Row],[BW40_3705]],"")</f>
        <v/>
      </c>
      <c r="G1864" s="2" t="str">
        <f>IF(Table1[[#This Row],[Is Data Valid]]=TRUE,((Table1[[#This Row],[Birthweight (grams)]]/Table1[[#This Row],[BW_GA]])-1)/(Backend!$B$4/100*Table1[[#This Row],[BW40_3705]]),"")</f>
        <v/>
      </c>
      <c r="H1864" s="7" t="str">
        <f>IF(Table1[[#This Row],[Is Data Valid]]=TRUE,((Table1[[#This Row],[Birthweight (grams)]]*0.9/Table1[[#This Row],[BW_GA]])-1)/(Backend!$B$4/100*Table1[[#This Row],[BW40_3705]]),"")</f>
        <v/>
      </c>
      <c r="I1864" s="7" t="str">
        <f>IF(Table1[[#This Row],[Is Data Valid]]=TRUE,((Table1[[#This Row],[Birthweight (grams)]]*1.1/Table1[[#This Row],[BW_GA]])-1)/(Backend!$B$4/100*Table1[[#This Row],[BW40_3705]]),"")</f>
        <v/>
      </c>
      <c r="J1864" s="7" t="str">
        <f>IF(Table1[[#This Row],[Is Data Valid]]=TRUE,_xlfn.NORM.S.DIST(Table1[[#This Row],[Birthweight Z-Score]],TRUE)*100,"")</f>
        <v/>
      </c>
      <c r="K1864" s="7" t="str">
        <f>IF(Table1[[#This Row],[Is Data Valid]]=TRUE,_xlfn.NORM.S.DIST(Table1[[#This Row],[Birthweight Z-Score (BW-10%)]],TRUE)*100,"")</f>
        <v/>
      </c>
      <c r="L1864" s="7" t="str">
        <f>IF(Table1[[#This Row],[Is Data Valid]]=TRUE,_xlfn.NORM.S.DIST(Table1[[#This Row],[Birthweight Z-Score (BW+10%)]],TRUE)*100,"")</f>
        <v/>
      </c>
    </row>
    <row r="1865" spans="1:12" x14ac:dyDescent="0.35">
      <c r="A1865" s="3"/>
      <c r="B1865" s="2"/>
      <c r="C1865" s="2"/>
      <c r="D1865" s="2" t="b">
        <f>IF(AND(NOT(ISBLANK(Table1[[#This Row],[Fetal Sex (Male, Female or Unknown)]])),ISNUMBER(Table1[[#This Row],[Birthweight (grams)]]),ISNUMBER(Table1[[#This Row],[Gestation (days)]])),TRUE,FALSE)</f>
        <v>0</v>
      </c>
      <c r="E1865" s="2" t="str">
        <f>IF(Table1[[#This Row],[Is Data Valid]]=TRUE,IF(Table1[[#This Row],[Fetal Sex (Male, Female or Unknown)]]="Male",Backend!$C$6,IF(Table1[[#This Row],[Fetal Sex (Male, Female or Unknown)]]="Female",Backend!$C$7,IF(Table1[[#This Row],[Fetal Sex (Male, Female or Unknown)]]="Unknown",Backend!$C$8,"Error"))),"")</f>
        <v/>
      </c>
      <c r="F1865" s="8" t="str">
        <f>IF(Table1[[#This Row],[Is Data Valid]]=TRUE,EXP(0.578+0.332*((Table1[[#This Row],[Gestation (days)]]+0.5)/7)-0.00354*((Table1[[#This Row],[Gestation (days)]]+0.5)/7)^2)*Table1[[#This Row],[BW40_3705]],"")</f>
        <v/>
      </c>
      <c r="G1865" s="2" t="str">
        <f>IF(Table1[[#This Row],[Is Data Valid]]=TRUE,((Table1[[#This Row],[Birthweight (grams)]]/Table1[[#This Row],[BW_GA]])-1)/(Backend!$B$4/100*Table1[[#This Row],[BW40_3705]]),"")</f>
        <v/>
      </c>
      <c r="H1865" s="7" t="str">
        <f>IF(Table1[[#This Row],[Is Data Valid]]=TRUE,((Table1[[#This Row],[Birthweight (grams)]]*0.9/Table1[[#This Row],[BW_GA]])-1)/(Backend!$B$4/100*Table1[[#This Row],[BW40_3705]]),"")</f>
        <v/>
      </c>
      <c r="I1865" s="7" t="str">
        <f>IF(Table1[[#This Row],[Is Data Valid]]=TRUE,((Table1[[#This Row],[Birthweight (grams)]]*1.1/Table1[[#This Row],[BW_GA]])-1)/(Backend!$B$4/100*Table1[[#This Row],[BW40_3705]]),"")</f>
        <v/>
      </c>
      <c r="J1865" s="7" t="str">
        <f>IF(Table1[[#This Row],[Is Data Valid]]=TRUE,_xlfn.NORM.S.DIST(Table1[[#This Row],[Birthweight Z-Score]],TRUE)*100,"")</f>
        <v/>
      </c>
      <c r="K1865" s="7" t="str">
        <f>IF(Table1[[#This Row],[Is Data Valid]]=TRUE,_xlfn.NORM.S.DIST(Table1[[#This Row],[Birthweight Z-Score (BW-10%)]],TRUE)*100,"")</f>
        <v/>
      </c>
      <c r="L1865" s="7" t="str">
        <f>IF(Table1[[#This Row],[Is Data Valid]]=TRUE,_xlfn.NORM.S.DIST(Table1[[#This Row],[Birthweight Z-Score (BW+10%)]],TRUE)*100,"")</f>
        <v/>
      </c>
    </row>
    <row r="1866" spans="1:12" x14ac:dyDescent="0.35">
      <c r="A1866" s="3"/>
      <c r="B1866" s="2"/>
      <c r="C1866" s="2"/>
      <c r="D1866" s="2" t="b">
        <f>IF(AND(NOT(ISBLANK(Table1[[#This Row],[Fetal Sex (Male, Female or Unknown)]])),ISNUMBER(Table1[[#This Row],[Birthweight (grams)]]),ISNUMBER(Table1[[#This Row],[Gestation (days)]])),TRUE,FALSE)</f>
        <v>0</v>
      </c>
      <c r="E1866" s="2" t="str">
        <f>IF(Table1[[#This Row],[Is Data Valid]]=TRUE,IF(Table1[[#This Row],[Fetal Sex (Male, Female or Unknown)]]="Male",Backend!$C$6,IF(Table1[[#This Row],[Fetal Sex (Male, Female or Unknown)]]="Female",Backend!$C$7,IF(Table1[[#This Row],[Fetal Sex (Male, Female or Unknown)]]="Unknown",Backend!$C$8,"Error"))),"")</f>
        <v/>
      </c>
      <c r="F1866" s="8" t="str">
        <f>IF(Table1[[#This Row],[Is Data Valid]]=TRUE,EXP(0.578+0.332*((Table1[[#This Row],[Gestation (days)]]+0.5)/7)-0.00354*((Table1[[#This Row],[Gestation (days)]]+0.5)/7)^2)*Table1[[#This Row],[BW40_3705]],"")</f>
        <v/>
      </c>
      <c r="G1866" s="2" t="str">
        <f>IF(Table1[[#This Row],[Is Data Valid]]=TRUE,((Table1[[#This Row],[Birthweight (grams)]]/Table1[[#This Row],[BW_GA]])-1)/(Backend!$B$4/100*Table1[[#This Row],[BW40_3705]]),"")</f>
        <v/>
      </c>
      <c r="H1866" s="7" t="str">
        <f>IF(Table1[[#This Row],[Is Data Valid]]=TRUE,((Table1[[#This Row],[Birthweight (grams)]]*0.9/Table1[[#This Row],[BW_GA]])-1)/(Backend!$B$4/100*Table1[[#This Row],[BW40_3705]]),"")</f>
        <v/>
      </c>
      <c r="I1866" s="7" t="str">
        <f>IF(Table1[[#This Row],[Is Data Valid]]=TRUE,((Table1[[#This Row],[Birthweight (grams)]]*1.1/Table1[[#This Row],[BW_GA]])-1)/(Backend!$B$4/100*Table1[[#This Row],[BW40_3705]]),"")</f>
        <v/>
      </c>
      <c r="J1866" s="7" t="str">
        <f>IF(Table1[[#This Row],[Is Data Valid]]=TRUE,_xlfn.NORM.S.DIST(Table1[[#This Row],[Birthweight Z-Score]],TRUE)*100,"")</f>
        <v/>
      </c>
      <c r="K1866" s="7" t="str">
        <f>IF(Table1[[#This Row],[Is Data Valid]]=TRUE,_xlfn.NORM.S.DIST(Table1[[#This Row],[Birthweight Z-Score (BW-10%)]],TRUE)*100,"")</f>
        <v/>
      </c>
      <c r="L1866" s="7" t="str">
        <f>IF(Table1[[#This Row],[Is Data Valid]]=TRUE,_xlfn.NORM.S.DIST(Table1[[#This Row],[Birthweight Z-Score (BW+10%)]],TRUE)*100,"")</f>
        <v/>
      </c>
    </row>
    <row r="1867" spans="1:12" x14ac:dyDescent="0.35">
      <c r="A1867" s="3"/>
      <c r="B1867" s="2"/>
      <c r="C1867" s="2"/>
      <c r="D1867" s="2" t="b">
        <f>IF(AND(NOT(ISBLANK(Table1[[#This Row],[Fetal Sex (Male, Female or Unknown)]])),ISNUMBER(Table1[[#This Row],[Birthweight (grams)]]),ISNUMBER(Table1[[#This Row],[Gestation (days)]])),TRUE,FALSE)</f>
        <v>0</v>
      </c>
      <c r="E1867" s="2" t="str">
        <f>IF(Table1[[#This Row],[Is Data Valid]]=TRUE,IF(Table1[[#This Row],[Fetal Sex (Male, Female or Unknown)]]="Male",Backend!$C$6,IF(Table1[[#This Row],[Fetal Sex (Male, Female or Unknown)]]="Female",Backend!$C$7,IF(Table1[[#This Row],[Fetal Sex (Male, Female or Unknown)]]="Unknown",Backend!$C$8,"Error"))),"")</f>
        <v/>
      </c>
      <c r="F1867" s="8" t="str">
        <f>IF(Table1[[#This Row],[Is Data Valid]]=TRUE,EXP(0.578+0.332*((Table1[[#This Row],[Gestation (days)]]+0.5)/7)-0.00354*((Table1[[#This Row],[Gestation (days)]]+0.5)/7)^2)*Table1[[#This Row],[BW40_3705]],"")</f>
        <v/>
      </c>
      <c r="G1867" s="2" t="str">
        <f>IF(Table1[[#This Row],[Is Data Valid]]=TRUE,((Table1[[#This Row],[Birthweight (grams)]]/Table1[[#This Row],[BW_GA]])-1)/(Backend!$B$4/100*Table1[[#This Row],[BW40_3705]]),"")</f>
        <v/>
      </c>
      <c r="H1867" s="7" t="str">
        <f>IF(Table1[[#This Row],[Is Data Valid]]=TRUE,((Table1[[#This Row],[Birthweight (grams)]]*0.9/Table1[[#This Row],[BW_GA]])-1)/(Backend!$B$4/100*Table1[[#This Row],[BW40_3705]]),"")</f>
        <v/>
      </c>
      <c r="I1867" s="7" t="str">
        <f>IF(Table1[[#This Row],[Is Data Valid]]=TRUE,((Table1[[#This Row],[Birthweight (grams)]]*1.1/Table1[[#This Row],[BW_GA]])-1)/(Backend!$B$4/100*Table1[[#This Row],[BW40_3705]]),"")</f>
        <v/>
      </c>
      <c r="J1867" s="7" t="str">
        <f>IF(Table1[[#This Row],[Is Data Valid]]=TRUE,_xlfn.NORM.S.DIST(Table1[[#This Row],[Birthweight Z-Score]],TRUE)*100,"")</f>
        <v/>
      </c>
      <c r="K1867" s="7" t="str">
        <f>IF(Table1[[#This Row],[Is Data Valid]]=TRUE,_xlfn.NORM.S.DIST(Table1[[#This Row],[Birthweight Z-Score (BW-10%)]],TRUE)*100,"")</f>
        <v/>
      </c>
      <c r="L1867" s="7" t="str">
        <f>IF(Table1[[#This Row],[Is Data Valid]]=TRUE,_xlfn.NORM.S.DIST(Table1[[#This Row],[Birthweight Z-Score (BW+10%)]],TRUE)*100,"")</f>
        <v/>
      </c>
    </row>
    <row r="1868" spans="1:12" x14ac:dyDescent="0.35">
      <c r="A1868" s="3"/>
      <c r="B1868" s="2"/>
      <c r="C1868" s="2"/>
      <c r="D1868" s="2" t="b">
        <f>IF(AND(NOT(ISBLANK(Table1[[#This Row],[Fetal Sex (Male, Female or Unknown)]])),ISNUMBER(Table1[[#This Row],[Birthweight (grams)]]),ISNUMBER(Table1[[#This Row],[Gestation (days)]])),TRUE,FALSE)</f>
        <v>0</v>
      </c>
      <c r="E1868" s="2" t="str">
        <f>IF(Table1[[#This Row],[Is Data Valid]]=TRUE,IF(Table1[[#This Row],[Fetal Sex (Male, Female or Unknown)]]="Male",Backend!$C$6,IF(Table1[[#This Row],[Fetal Sex (Male, Female or Unknown)]]="Female",Backend!$C$7,IF(Table1[[#This Row],[Fetal Sex (Male, Female or Unknown)]]="Unknown",Backend!$C$8,"Error"))),"")</f>
        <v/>
      </c>
      <c r="F1868" s="8" t="str">
        <f>IF(Table1[[#This Row],[Is Data Valid]]=TRUE,EXP(0.578+0.332*((Table1[[#This Row],[Gestation (days)]]+0.5)/7)-0.00354*((Table1[[#This Row],[Gestation (days)]]+0.5)/7)^2)*Table1[[#This Row],[BW40_3705]],"")</f>
        <v/>
      </c>
      <c r="G1868" s="2" t="str">
        <f>IF(Table1[[#This Row],[Is Data Valid]]=TRUE,((Table1[[#This Row],[Birthweight (grams)]]/Table1[[#This Row],[BW_GA]])-1)/(Backend!$B$4/100*Table1[[#This Row],[BW40_3705]]),"")</f>
        <v/>
      </c>
      <c r="H1868" s="7" t="str">
        <f>IF(Table1[[#This Row],[Is Data Valid]]=TRUE,((Table1[[#This Row],[Birthweight (grams)]]*0.9/Table1[[#This Row],[BW_GA]])-1)/(Backend!$B$4/100*Table1[[#This Row],[BW40_3705]]),"")</f>
        <v/>
      </c>
      <c r="I1868" s="7" t="str">
        <f>IF(Table1[[#This Row],[Is Data Valid]]=TRUE,((Table1[[#This Row],[Birthweight (grams)]]*1.1/Table1[[#This Row],[BW_GA]])-1)/(Backend!$B$4/100*Table1[[#This Row],[BW40_3705]]),"")</f>
        <v/>
      </c>
      <c r="J1868" s="7" t="str">
        <f>IF(Table1[[#This Row],[Is Data Valid]]=TRUE,_xlfn.NORM.S.DIST(Table1[[#This Row],[Birthweight Z-Score]],TRUE)*100,"")</f>
        <v/>
      </c>
      <c r="K1868" s="7" t="str">
        <f>IF(Table1[[#This Row],[Is Data Valid]]=TRUE,_xlfn.NORM.S.DIST(Table1[[#This Row],[Birthweight Z-Score (BW-10%)]],TRUE)*100,"")</f>
        <v/>
      </c>
      <c r="L1868" s="7" t="str">
        <f>IF(Table1[[#This Row],[Is Data Valid]]=TRUE,_xlfn.NORM.S.DIST(Table1[[#This Row],[Birthweight Z-Score (BW+10%)]],TRUE)*100,"")</f>
        <v/>
      </c>
    </row>
    <row r="1869" spans="1:12" x14ac:dyDescent="0.35">
      <c r="A1869" s="3"/>
      <c r="B1869" s="2"/>
      <c r="C1869" s="2"/>
      <c r="D1869" s="2" t="b">
        <f>IF(AND(NOT(ISBLANK(Table1[[#This Row],[Fetal Sex (Male, Female or Unknown)]])),ISNUMBER(Table1[[#This Row],[Birthweight (grams)]]),ISNUMBER(Table1[[#This Row],[Gestation (days)]])),TRUE,FALSE)</f>
        <v>0</v>
      </c>
      <c r="E1869" s="2" t="str">
        <f>IF(Table1[[#This Row],[Is Data Valid]]=TRUE,IF(Table1[[#This Row],[Fetal Sex (Male, Female or Unknown)]]="Male",Backend!$C$6,IF(Table1[[#This Row],[Fetal Sex (Male, Female or Unknown)]]="Female",Backend!$C$7,IF(Table1[[#This Row],[Fetal Sex (Male, Female or Unknown)]]="Unknown",Backend!$C$8,"Error"))),"")</f>
        <v/>
      </c>
      <c r="F1869" s="8" t="str">
        <f>IF(Table1[[#This Row],[Is Data Valid]]=TRUE,EXP(0.578+0.332*((Table1[[#This Row],[Gestation (days)]]+0.5)/7)-0.00354*((Table1[[#This Row],[Gestation (days)]]+0.5)/7)^2)*Table1[[#This Row],[BW40_3705]],"")</f>
        <v/>
      </c>
      <c r="G1869" s="2" t="str">
        <f>IF(Table1[[#This Row],[Is Data Valid]]=TRUE,((Table1[[#This Row],[Birthweight (grams)]]/Table1[[#This Row],[BW_GA]])-1)/(Backend!$B$4/100*Table1[[#This Row],[BW40_3705]]),"")</f>
        <v/>
      </c>
      <c r="H1869" s="7" t="str">
        <f>IF(Table1[[#This Row],[Is Data Valid]]=TRUE,((Table1[[#This Row],[Birthweight (grams)]]*0.9/Table1[[#This Row],[BW_GA]])-1)/(Backend!$B$4/100*Table1[[#This Row],[BW40_3705]]),"")</f>
        <v/>
      </c>
      <c r="I1869" s="7" t="str">
        <f>IF(Table1[[#This Row],[Is Data Valid]]=TRUE,((Table1[[#This Row],[Birthweight (grams)]]*1.1/Table1[[#This Row],[BW_GA]])-1)/(Backend!$B$4/100*Table1[[#This Row],[BW40_3705]]),"")</f>
        <v/>
      </c>
      <c r="J1869" s="7" t="str">
        <f>IF(Table1[[#This Row],[Is Data Valid]]=TRUE,_xlfn.NORM.S.DIST(Table1[[#This Row],[Birthweight Z-Score]],TRUE)*100,"")</f>
        <v/>
      </c>
      <c r="K1869" s="7" t="str">
        <f>IF(Table1[[#This Row],[Is Data Valid]]=TRUE,_xlfn.NORM.S.DIST(Table1[[#This Row],[Birthweight Z-Score (BW-10%)]],TRUE)*100,"")</f>
        <v/>
      </c>
      <c r="L1869" s="7" t="str">
        <f>IF(Table1[[#This Row],[Is Data Valid]]=TRUE,_xlfn.NORM.S.DIST(Table1[[#This Row],[Birthweight Z-Score (BW+10%)]],TRUE)*100,"")</f>
        <v/>
      </c>
    </row>
    <row r="1870" spans="1:12" x14ac:dyDescent="0.35">
      <c r="A1870" s="3"/>
      <c r="B1870" s="2"/>
      <c r="C1870" s="2"/>
      <c r="D1870" s="2" t="b">
        <f>IF(AND(NOT(ISBLANK(Table1[[#This Row],[Fetal Sex (Male, Female or Unknown)]])),ISNUMBER(Table1[[#This Row],[Birthweight (grams)]]),ISNUMBER(Table1[[#This Row],[Gestation (days)]])),TRUE,FALSE)</f>
        <v>0</v>
      </c>
      <c r="E1870" s="2" t="str">
        <f>IF(Table1[[#This Row],[Is Data Valid]]=TRUE,IF(Table1[[#This Row],[Fetal Sex (Male, Female or Unknown)]]="Male",Backend!$C$6,IF(Table1[[#This Row],[Fetal Sex (Male, Female or Unknown)]]="Female",Backend!$C$7,IF(Table1[[#This Row],[Fetal Sex (Male, Female or Unknown)]]="Unknown",Backend!$C$8,"Error"))),"")</f>
        <v/>
      </c>
      <c r="F1870" s="8" t="str">
        <f>IF(Table1[[#This Row],[Is Data Valid]]=TRUE,EXP(0.578+0.332*((Table1[[#This Row],[Gestation (days)]]+0.5)/7)-0.00354*((Table1[[#This Row],[Gestation (days)]]+0.5)/7)^2)*Table1[[#This Row],[BW40_3705]],"")</f>
        <v/>
      </c>
      <c r="G1870" s="2" t="str">
        <f>IF(Table1[[#This Row],[Is Data Valid]]=TRUE,((Table1[[#This Row],[Birthweight (grams)]]/Table1[[#This Row],[BW_GA]])-1)/(Backend!$B$4/100*Table1[[#This Row],[BW40_3705]]),"")</f>
        <v/>
      </c>
      <c r="H1870" s="7" t="str">
        <f>IF(Table1[[#This Row],[Is Data Valid]]=TRUE,((Table1[[#This Row],[Birthweight (grams)]]*0.9/Table1[[#This Row],[BW_GA]])-1)/(Backend!$B$4/100*Table1[[#This Row],[BW40_3705]]),"")</f>
        <v/>
      </c>
      <c r="I1870" s="7" t="str">
        <f>IF(Table1[[#This Row],[Is Data Valid]]=TRUE,((Table1[[#This Row],[Birthweight (grams)]]*1.1/Table1[[#This Row],[BW_GA]])-1)/(Backend!$B$4/100*Table1[[#This Row],[BW40_3705]]),"")</f>
        <v/>
      </c>
      <c r="J1870" s="7" t="str">
        <f>IF(Table1[[#This Row],[Is Data Valid]]=TRUE,_xlfn.NORM.S.DIST(Table1[[#This Row],[Birthweight Z-Score]],TRUE)*100,"")</f>
        <v/>
      </c>
      <c r="K1870" s="7" t="str">
        <f>IF(Table1[[#This Row],[Is Data Valid]]=TRUE,_xlfn.NORM.S.DIST(Table1[[#This Row],[Birthweight Z-Score (BW-10%)]],TRUE)*100,"")</f>
        <v/>
      </c>
      <c r="L1870" s="7" t="str">
        <f>IF(Table1[[#This Row],[Is Data Valid]]=TRUE,_xlfn.NORM.S.DIST(Table1[[#This Row],[Birthweight Z-Score (BW+10%)]],TRUE)*100,"")</f>
        <v/>
      </c>
    </row>
    <row r="1871" spans="1:12" x14ac:dyDescent="0.35">
      <c r="A1871" s="3"/>
      <c r="B1871" s="2"/>
      <c r="C1871" s="2"/>
      <c r="D1871" s="2" t="b">
        <f>IF(AND(NOT(ISBLANK(Table1[[#This Row],[Fetal Sex (Male, Female or Unknown)]])),ISNUMBER(Table1[[#This Row],[Birthweight (grams)]]),ISNUMBER(Table1[[#This Row],[Gestation (days)]])),TRUE,FALSE)</f>
        <v>0</v>
      </c>
      <c r="E1871" s="2" t="str">
        <f>IF(Table1[[#This Row],[Is Data Valid]]=TRUE,IF(Table1[[#This Row],[Fetal Sex (Male, Female or Unknown)]]="Male",Backend!$C$6,IF(Table1[[#This Row],[Fetal Sex (Male, Female or Unknown)]]="Female",Backend!$C$7,IF(Table1[[#This Row],[Fetal Sex (Male, Female or Unknown)]]="Unknown",Backend!$C$8,"Error"))),"")</f>
        <v/>
      </c>
      <c r="F1871" s="8" t="str">
        <f>IF(Table1[[#This Row],[Is Data Valid]]=TRUE,EXP(0.578+0.332*((Table1[[#This Row],[Gestation (days)]]+0.5)/7)-0.00354*((Table1[[#This Row],[Gestation (days)]]+0.5)/7)^2)*Table1[[#This Row],[BW40_3705]],"")</f>
        <v/>
      </c>
      <c r="G1871" s="2" t="str">
        <f>IF(Table1[[#This Row],[Is Data Valid]]=TRUE,((Table1[[#This Row],[Birthweight (grams)]]/Table1[[#This Row],[BW_GA]])-1)/(Backend!$B$4/100*Table1[[#This Row],[BW40_3705]]),"")</f>
        <v/>
      </c>
      <c r="H1871" s="7" t="str">
        <f>IF(Table1[[#This Row],[Is Data Valid]]=TRUE,((Table1[[#This Row],[Birthweight (grams)]]*0.9/Table1[[#This Row],[BW_GA]])-1)/(Backend!$B$4/100*Table1[[#This Row],[BW40_3705]]),"")</f>
        <v/>
      </c>
      <c r="I1871" s="7" t="str">
        <f>IF(Table1[[#This Row],[Is Data Valid]]=TRUE,((Table1[[#This Row],[Birthweight (grams)]]*1.1/Table1[[#This Row],[BW_GA]])-1)/(Backend!$B$4/100*Table1[[#This Row],[BW40_3705]]),"")</f>
        <v/>
      </c>
      <c r="J1871" s="7" t="str">
        <f>IF(Table1[[#This Row],[Is Data Valid]]=TRUE,_xlfn.NORM.S.DIST(Table1[[#This Row],[Birthweight Z-Score]],TRUE)*100,"")</f>
        <v/>
      </c>
      <c r="K1871" s="7" t="str">
        <f>IF(Table1[[#This Row],[Is Data Valid]]=TRUE,_xlfn.NORM.S.DIST(Table1[[#This Row],[Birthweight Z-Score (BW-10%)]],TRUE)*100,"")</f>
        <v/>
      </c>
      <c r="L1871" s="7" t="str">
        <f>IF(Table1[[#This Row],[Is Data Valid]]=TRUE,_xlfn.NORM.S.DIST(Table1[[#This Row],[Birthweight Z-Score (BW+10%)]],TRUE)*100,"")</f>
        <v/>
      </c>
    </row>
    <row r="1872" spans="1:12" x14ac:dyDescent="0.35">
      <c r="A1872" s="3"/>
      <c r="B1872" s="2"/>
      <c r="C1872" s="2"/>
      <c r="D1872" s="2" t="b">
        <f>IF(AND(NOT(ISBLANK(Table1[[#This Row],[Fetal Sex (Male, Female or Unknown)]])),ISNUMBER(Table1[[#This Row],[Birthweight (grams)]]),ISNUMBER(Table1[[#This Row],[Gestation (days)]])),TRUE,FALSE)</f>
        <v>0</v>
      </c>
      <c r="E1872" s="2" t="str">
        <f>IF(Table1[[#This Row],[Is Data Valid]]=TRUE,IF(Table1[[#This Row],[Fetal Sex (Male, Female or Unknown)]]="Male",Backend!$C$6,IF(Table1[[#This Row],[Fetal Sex (Male, Female or Unknown)]]="Female",Backend!$C$7,IF(Table1[[#This Row],[Fetal Sex (Male, Female or Unknown)]]="Unknown",Backend!$C$8,"Error"))),"")</f>
        <v/>
      </c>
      <c r="F1872" s="8" t="str">
        <f>IF(Table1[[#This Row],[Is Data Valid]]=TRUE,EXP(0.578+0.332*((Table1[[#This Row],[Gestation (days)]]+0.5)/7)-0.00354*((Table1[[#This Row],[Gestation (days)]]+0.5)/7)^2)*Table1[[#This Row],[BW40_3705]],"")</f>
        <v/>
      </c>
      <c r="G1872" s="2" t="str">
        <f>IF(Table1[[#This Row],[Is Data Valid]]=TRUE,((Table1[[#This Row],[Birthweight (grams)]]/Table1[[#This Row],[BW_GA]])-1)/(Backend!$B$4/100*Table1[[#This Row],[BW40_3705]]),"")</f>
        <v/>
      </c>
      <c r="H1872" s="7" t="str">
        <f>IF(Table1[[#This Row],[Is Data Valid]]=TRUE,((Table1[[#This Row],[Birthweight (grams)]]*0.9/Table1[[#This Row],[BW_GA]])-1)/(Backend!$B$4/100*Table1[[#This Row],[BW40_3705]]),"")</f>
        <v/>
      </c>
      <c r="I1872" s="7" t="str">
        <f>IF(Table1[[#This Row],[Is Data Valid]]=TRUE,((Table1[[#This Row],[Birthweight (grams)]]*1.1/Table1[[#This Row],[BW_GA]])-1)/(Backend!$B$4/100*Table1[[#This Row],[BW40_3705]]),"")</f>
        <v/>
      </c>
      <c r="J1872" s="7" t="str">
        <f>IF(Table1[[#This Row],[Is Data Valid]]=TRUE,_xlfn.NORM.S.DIST(Table1[[#This Row],[Birthweight Z-Score]],TRUE)*100,"")</f>
        <v/>
      </c>
      <c r="K1872" s="7" t="str">
        <f>IF(Table1[[#This Row],[Is Data Valid]]=TRUE,_xlfn.NORM.S.DIST(Table1[[#This Row],[Birthweight Z-Score (BW-10%)]],TRUE)*100,"")</f>
        <v/>
      </c>
      <c r="L1872" s="7" t="str">
        <f>IF(Table1[[#This Row],[Is Data Valid]]=TRUE,_xlfn.NORM.S.DIST(Table1[[#This Row],[Birthweight Z-Score (BW+10%)]],TRUE)*100,"")</f>
        <v/>
      </c>
    </row>
    <row r="1873" spans="1:12" x14ac:dyDescent="0.35">
      <c r="A1873" s="3"/>
      <c r="B1873" s="2"/>
      <c r="C1873" s="2"/>
      <c r="D1873" s="2" t="b">
        <f>IF(AND(NOT(ISBLANK(Table1[[#This Row],[Fetal Sex (Male, Female or Unknown)]])),ISNUMBER(Table1[[#This Row],[Birthweight (grams)]]),ISNUMBER(Table1[[#This Row],[Gestation (days)]])),TRUE,FALSE)</f>
        <v>0</v>
      </c>
      <c r="E1873" s="2" t="str">
        <f>IF(Table1[[#This Row],[Is Data Valid]]=TRUE,IF(Table1[[#This Row],[Fetal Sex (Male, Female or Unknown)]]="Male",Backend!$C$6,IF(Table1[[#This Row],[Fetal Sex (Male, Female or Unknown)]]="Female",Backend!$C$7,IF(Table1[[#This Row],[Fetal Sex (Male, Female or Unknown)]]="Unknown",Backend!$C$8,"Error"))),"")</f>
        <v/>
      </c>
      <c r="F1873" s="8" t="str">
        <f>IF(Table1[[#This Row],[Is Data Valid]]=TRUE,EXP(0.578+0.332*((Table1[[#This Row],[Gestation (days)]]+0.5)/7)-0.00354*((Table1[[#This Row],[Gestation (days)]]+0.5)/7)^2)*Table1[[#This Row],[BW40_3705]],"")</f>
        <v/>
      </c>
      <c r="G1873" s="2" t="str">
        <f>IF(Table1[[#This Row],[Is Data Valid]]=TRUE,((Table1[[#This Row],[Birthweight (grams)]]/Table1[[#This Row],[BW_GA]])-1)/(Backend!$B$4/100*Table1[[#This Row],[BW40_3705]]),"")</f>
        <v/>
      </c>
      <c r="H1873" s="7" t="str">
        <f>IF(Table1[[#This Row],[Is Data Valid]]=TRUE,((Table1[[#This Row],[Birthweight (grams)]]*0.9/Table1[[#This Row],[BW_GA]])-1)/(Backend!$B$4/100*Table1[[#This Row],[BW40_3705]]),"")</f>
        <v/>
      </c>
      <c r="I1873" s="7" t="str">
        <f>IF(Table1[[#This Row],[Is Data Valid]]=TRUE,((Table1[[#This Row],[Birthweight (grams)]]*1.1/Table1[[#This Row],[BW_GA]])-1)/(Backend!$B$4/100*Table1[[#This Row],[BW40_3705]]),"")</f>
        <v/>
      </c>
      <c r="J1873" s="7" t="str">
        <f>IF(Table1[[#This Row],[Is Data Valid]]=TRUE,_xlfn.NORM.S.DIST(Table1[[#This Row],[Birthweight Z-Score]],TRUE)*100,"")</f>
        <v/>
      </c>
      <c r="K1873" s="7" t="str">
        <f>IF(Table1[[#This Row],[Is Data Valid]]=TRUE,_xlfn.NORM.S.DIST(Table1[[#This Row],[Birthweight Z-Score (BW-10%)]],TRUE)*100,"")</f>
        <v/>
      </c>
      <c r="L1873" s="7" t="str">
        <f>IF(Table1[[#This Row],[Is Data Valid]]=TRUE,_xlfn.NORM.S.DIST(Table1[[#This Row],[Birthweight Z-Score (BW+10%)]],TRUE)*100,"")</f>
        <v/>
      </c>
    </row>
    <row r="1874" spans="1:12" x14ac:dyDescent="0.35">
      <c r="A1874" s="3"/>
      <c r="B1874" s="2"/>
      <c r="C1874" s="2"/>
      <c r="D1874" s="2" t="b">
        <f>IF(AND(NOT(ISBLANK(Table1[[#This Row],[Fetal Sex (Male, Female or Unknown)]])),ISNUMBER(Table1[[#This Row],[Birthweight (grams)]]),ISNUMBER(Table1[[#This Row],[Gestation (days)]])),TRUE,FALSE)</f>
        <v>0</v>
      </c>
      <c r="E1874" s="2" t="str">
        <f>IF(Table1[[#This Row],[Is Data Valid]]=TRUE,IF(Table1[[#This Row],[Fetal Sex (Male, Female or Unknown)]]="Male",Backend!$C$6,IF(Table1[[#This Row],[Fetal Sex (Male, Female or Unknown)]]="Female",Backend!$C$7,IF(Table1[[#This Row],[Fetal Sex (Male, Female or Unknown)]]="Unknown",Backend!$C$8,"Error"))),"")</f>
        <v/>
      </c>
      <c r="F1874" s="8" t="str">
        <f>IF(Table1[[#This Row],[Is Data Valid]]=TRUE,EXP(0.578+0.332*((Table1[[#This Row],[Gestation (days)]]+0.5)/7)-0.00354*((Table1[[#This Row],[Gestation (days)]]+0.5)/7)^2)*Table1[[#This Row],[BW40_3705]],"")</f>
        <v/>
      </c>
      <c r="G1874" s="2" t="str">
        <f>IF(Table1[[#This Row],[Is Data Valid]]=TRUE,((Table1[[#This Row],[Birthweight (grams)]]/Table1[[#This Row],[BW_GA]])-1)/(Backend!$B$4/100*Table1[[#This Row],[BW40_3705]]),"")</f>
        <v/>
      </c>
      <c r="H1874" s="7" t="str">
        <f>IF(Table1[[#This Row],[Is Data Valid]]=TRUE,((Table1[[#This Row],[Birthweight (grams)]]*0.9/Table1[[#This Row],[BW_GA]])-1)/(Backend!$B$4/100*Table1[[#This Row],[BW40_3705]]),"")</f>
        <v/>
      </c>
      <c r="I1874" s="7" t="str">
        <f>IF(Table1[[#This Row],[Is Data Valid]]=TRUE,((Table1[[#This Row],[Birthweight (grams)]]*1.1/Table1[[#This Row],[BW_GA]])-1)/(Backend!$B$4/100*Table1[[#This Row],[BW40_3705]]),"")</f>
        <v/>
      </c>
      <c r="J1874" s="7" t="str">
        <f>IF(Table1[[#This Row],[Is Data Valid]]=TRUE,_xlfn.NORM.S.DIST(Table1[[#This Row],[Birthweight Z-Score]],TRUE)*100,"")</f>
        <v/>
      </c>
      <c r="K1874" s="7" t="str">
        <f>IF(Table1[[#This Row],[Is Data Valid]]=TRUE,_xlfn.NORM.S.DIST(Table1[[#This Row],[Birthweight Z-Score (BW-10%)]],TRUE)*100,"")</f>
        <v/>
      </c>
      <c r="L1874" s="7" t="str">
        <f>IF(Table1[[#This Row],[Is Data Valid]]=TRUE,_xlfn.NORM.S.DIST(Table1[[#This Row],[Birthweight Z-Score (BW+10%)]],TRUE)*100,"")</f>
        <v/>
      </c>
    </row>
    <row r="1875" spans="1:12" x14ac:dyDescent="0.35">
      <c r="A1875" s="3"/>
      <c r="B1875" s="2"/>
      <c r="C1875" s="2"/>
      <c r="D1875" s="2" t="b">
        <f>IF(AND(NOT(ISBLANK(Table1[[#This Row],[Fetal Sex (Male, Female or Unknown)]])),ISNUMBER(Table1[[#This Row],[Birthweight (grams)]]),ISNUMBER(Table1[[#This Row],[Gestation (days)]])),TRUE,FALSE)</f>
        <v>0</v>
      </c>
      <c r="E1875" s="2" t="str">
        <f>IF(Table1[[#This Row],[Is Data Valid]]=TRUE,IF(Table1[[#This Row],[Fetal Sex (Male, Female or Unknown)]]="Male",Backend!$C$6,IF(Table1[[#This Row],[Fetal Sex (Male, Female or Unknown)]]="Female",Backend!$C$7,IF(Table1[[#This Row],[Fetal Sex (Male, Female or Unknown)]]="Unknown",Backend!$C$8,"Error"))),"")</f>
        <v/>
      </c>
      <c r="F1875" s="8" t="str">
        <f>IF(Table1[[#This Row],[Is Data Valid]]=TRUE,EXP(0.578+0.332*((Table1[[#This Row],[Gestation (days)]]+0.5)/7)-0.00354*((Table1[[#This Row],[Gestation (days)]]+0.5)/7)^2)*Table1[[#This Row],[BW40_3705]],"")</f>
        <v/>
      </c>
      <c r="G1875" s="2" t="str">
        <f>IF(Table1[[#This Row],[Is Data Valid]]=TRUE,((Table1[[#This Row],[Birthweight (grams)]]/Table1[[#This Row],[BW_GA]])-1)/(Backend!$B$4/100*Table1[[#This Row],[BW40_3705]]),"")</f>
        <v/>
      </c>
      <c r="H1875" s="7" t="str">
        <f>IF(Table1[[#This Row],[Is Data Valid]]=TRUE,((Table1[[#This Row],[Birthweight (grams)]]*0.9/Table1[[#This Row],[BW_GA]])-1)/(Backend!$B$4/100*Table1[[#This Row],[BW40_3705]]),"")</f>
        <v/>
      </c>
      <c r="I1875" s="7" t="str">
        <f>IF(Table1[[#This Row],[Is Data Valid]]=TRUE,((Table1[[#This Row],[Birthweight (grams)]]*1.1/Table1[[#This Row],[BW_GA]])-1)/(Backend!$B$4/100*Table1[[#This Row],[BW40_3705]]),"")</f>
        <v/>
      </c>
      <c r="J1875" s="7" t="str">
        <f>IF(Table1[[#This Row],[Is Data Valid]]=TRUE,_xlfn.NORM.S.DIST(Table1[[#This Row],[Birthweight Z-Score]],TRUE)*100,"")</f>
        <v/>
      </c>
      <c r="K1875" s="7" t="str">
        <f>IF(Table1[[#This Row],[Is Data Valid]]=TRUE,_xlfn.NORM.S.DIST(Table1[[#This Row],[Birthweight Z-Score (BW-10%)]],TRUE)*100,"")</f>
        <v/>
      </c>
      <c r="L1875" s="7" t="str">
        <f>IF(Table1[[#This Row],[Is Data Valid]]=TRUE,_xlfn.NORM.S.DIST(Table1[[#This Row],[Birthweight Z-Score (BW+10%)]],TRUE)*100,"")</f>
        <v/>
      </c>
    </row>
    <row r="1876" spans="1:12" x14ac:dyDescent="0.35">
      <c r="A1876" s="3"/>
      <c r="B1876" s="2"/>
      <c r="C1876" s="2"/>
      <c r="D1876" s="2" t="b">
        <f>IF(AND(NOT(ISBLANK(Table1[[#This Row],[Fetal Sex (Male, Female or Unknown)]])),ISNUMBER(Table1[[#This Row],[Birthweight (grams)]]),ISNUMBER(Table1[[#This Row],[Gestation (days)]])),TRUE,FALSE)</f>
        <v>0</v>
      </c>
      <c r="E1876" s="2" t="str">
        <f>IF(Table1[[#This Row],[Is Data Valid]]=TRUE,IF(Table1[[#This Row],[Fetal Sex (Male, Female or Unknown)]]="Male",Backend!$C$6,IF(Table1[[#This Row],[Fetal Sex (Male, Female or Unknown)]]="Female",Backend!$C$7,IF(Table1[[#This Row],[Fetal Sex (Male, Female or Unknown)]]="Unknown",Backend!$C$8,"Error"))),"")</f>
        <v/>
      </c>
      <c r="F1876" s="8" t="str">
        <f>IF(Table1[[#This Row],[Is Data Valid]]=TRUE,EXP(0.578+0.332*((Table1[[#This Row],[Gestation (days)]]+0.5)/7)-0.00354*((Table1[[#This Row],[Gestation (days)]]+0.5)/7)^2)*Table1[[#This Row],[BW40_3705]],"")</f>
        <v/>
      </c>
      <c r="G1876" s="2" t="str">
        <f>IF(Table1[[#This Row],[Is Data Valid]]=TRUE,((Table1[[#This Row],[Birthweight (grams)]]/Table1[[#This Row],[BW_GA]])-1)/(Backend!$B$4/100*Table1[[#This Row],[BW40_3705]]),"")</f>
        <v/>
      </c>
      <c r="H1876" s="7" t="str">
        <f>IF(Table1[[#This Row],[Is Data Valid]]=TRUE,((Table1[[#This Row],[Birthweight (grams)]]*0.9/Table1[[#This Row],[BW_GA]])-1)/(Backend!$B$4/100*Table1[[#This Row],[BW40_3705]]),"")</f>
        <v/>
      </c>
      <c r="I1876" s="7" t="str">
        <f>IF(Table1[[#This Row],[Is Data Valid]]=TRUE,((Table1[[#This Row],[Birthweight (grams)]]*1.1/Table1[[#This Row],[BW_GA]])-1)/(Backend!$B$4/100*Table1[[#This Row],[BW40_3705]]),"")</f>
        <v/>
      </c>
      <c r="J1876" s="7" t="str">
        <f>IF(Table1[[#This Row],[Is Data Valid]]=TRUE,_xlfn.NORM.S.DIST(Table1[[#This Row],[Birthweight Z-Score]],TRUE)*100,"")</f>
        <v/>
      </c>
      <c r="K1876" s="7" t="str">
        <f>IF(Table1[[#This Row],[Is Data Valid]]=TRUE,_xlfn.NORM.S.DIST(Table1[[#This Row],[Birthweight Z-Score (BW-10%)]],TRUE)*100,"")</f>
        <v/>
      </c>
      <c r="L1876" s="7" t="str">
        <f>IF(Table1[[#This Row],[Is Data Valid]]=TRUE,_xlfn.NORM.S.DIST(Table1[[#This Row],[Birthweight Z-Score (BW+10%)]],TRUE)*100,"")</f>
        <v/>
      </c>
    </row>
    <row r="1877" spans="1:12" x14ac:dyDescent="0.35">
      <c r="A1877" s="3"/>
      <c r="B1877" s="2"/>
      <c r="C1877" s="2"/>
      <c r="D1877" s="2" t="b">
        <f>IF(AND(NOT(ISBLANK(Table1[[#This Row],[Fetal Sex (Male, Female or Unknown)]])),ISNUMBER(Table1[[#This Row],[Birthweight (grams)]]),ISNUMBER(Table1[[#This Row],[Gestation (days)]])),TRUE,FALSE)</f>
        <v>0</v>
      </c>
      <c r="E1877" s="2" t="str">
        <f>IF(Table1[[#This Row],[Is Data Valid]]=TRUE,IF(Table1[[#This Row],[Fetal Sex (Male, Female or Unknown)]]="Male",Backend!$C$6,IF(Table1[[#This Row],[Fetal Sex (Male, Female or Unknown)]]="Female",Backend!$C$7,IF(Table1[[#This Row],[Fetal Sex (Male, Female or Unknown)]]="Unknown",Backend!$C$8,"Error"))),"")</f>
        <v/>
      </c>
      <c r="F1877" s="8" t="str">
        <f>IF(Table1[[#This Row],[Is Data Valid]]=TRUE,EXP(0.578+0.332*((Table1[[#This Row],[Gestation (days)]]+0.5)/7)-0.00354*((Table1[[#This Row],[Gestation (days)]]+0.5)/7)^2)*Table1[[#This Row],[BW40_3705]],"")</f>
        <v/>
      </c>
      <c r="G1877" s="2" t="str">
        <f>IF(Table1[[#This Row],[Is Data Valid]]=TRUE,((Table1[[#This Row],[Birthweight (grams)]]/Table1[[#This Row],[BW_GA]])-1)/(Backend!$B$4/100*Table1[[#This Row],[BW40_3705]]),"")</f>
        <v/>
      </c>
      <c r="H1877" s="7" t="str">
        <f>IF(Table1[[#This Row],[Is Data Valid]]=TRUE,((Table1[[#This Row],[Birthweight (grams)]]*0.9/Table1[[#This Row],[BW_GA]])-1)/(Backend!$B$4/100*Table1[[#This Row],[BW40_3705]]),"")</f>
        <v/>
      </c>
      <c r="I1877" s="7" t="str">
        <f>IF(Table1[[#This Row],[Is Data Valid]]=TRUE,((Table1[[#This Row],[Birthweight (grams)]]*1.1/Table1[[#This Row],[BW_GA]])-1)/(Backend!$B$4/100*Table1[[#This Row],[BW40_3705]]),"")</f>
        <v/>
      </c>
      <c r="J1877" s="7" t="str">
        <f>IF(Table1[[#This Row],[Is Data Valid]]=TRUE,_xlfn.NORM.S.DIST(Table1[[#This Row],[Birthweight Z-Score]],TRUE)*100,"")</f>
        <v/>
      </c>
      <c r="K1877" s="7" t="str">
        <f>IF(Table1[[#This Row],[Is Data Valid]]=TRUE,_xlfn.NORM.S.DIST(Table1[[#This Row],[Birthweight Z-Score (BW-10%)]],TRUE)*100,"")</f>
        <v/>
      </c>
      <c r="L1877" s="7" t="str">
        <f>IF(Table1[[#This Row],[Is Data Valid]]=TRUE,_xlfn.NORM.S.DIST(Table1[[#This Row],[Birthweight Z-Score (BW+10%)]],TRUE)*100,"")</f>
        <v/>
      </c>
    </row>
    <row r="1878" spans="1:12" x14ac:dyDescent="0.35">
      <c r="A1878" s="3"/>
      <c r="B1878" s="2"/>
      <c r="C1878" s="2"/>
      <c r="D1878" s="2" t="b">
        <f>IF(AND(NOT(ISBLANK(Table1[[#This Row],[Fetal Sex (Male, Female or Unknown)]])),ISNUMBER(Table1[[#This Row],[Birthweight (grams)]]),ISNUMBER(Table1[[#This Row],[Gestation (days)]])),TRUE,FALSE)</f>
        <v>0</v>
      </c>
      <c r="E1878" s="2" t="str">
        <f>IF(Table1[[#This Row],[Is Data Valid]]=TRUE,IF(Table1[[#This Row],[Fetal Sex (Male, Female or Unknown)]]="Male",Backend!$C$6,IF(Table1[[#This Row],[Fetal Sex (Male, Female or Unknown)]]="Female",Backend!$C$7,IF(Table1[[#This Row],[Fetal Sex (Male, Female or Unknown)]]="Unknown",Backend!$C$8,"Error"))),"")</f>
        <v/>
      </c>
      <c r="F1878" s="8" t="str">
        <f>IF(Table1[[#This Row],[Is Data Valid]]=TRUE,EXP(0.578+0.332*((Table1[[#This Row],[Gestation (days)]]+0.5)/7)-0.00354*((Table1[[#This Row],[Gestation (days)]]+0.5)/7)^2)*Table1[[#This Row],[BW40_3705]],"")</f>
        <v/>
      </c>
      <c r="G1878" s="2" t="str">
        <f>IF(Table1[[#This Row],[Is Data Valid]]=TRUE,((Table1[[#This Row],[Birthweight (grams)]]/Table1[[#This Row],[BW_GA]])-1)/(Backend!$B$4/100*Table1[[#This Row],[BW40_3705]]),"")</f>
        <v/>
      </c>
      <c r="H1878" s="7" t="str">
        <f>IF(Table1[[#This Row],[Is Data Valid]]=TRUE,((Table1[[#This Row],[Birthweight (grams)]]*0.9/Table1[[#This Row],[BW_GA]])-1)/(Backend!$B$4/100*Table1[[#This Row],[BW40_3705]]),"")</f>
        <v/>
      </c>
      <c r="I1878" s="7" t="str">
        <f>IF(Table1[[#This Row],[Is Data Valid]]=TRUE,((Table1[[#This Row],[Birthweight (grams)]]*1.1/Table1[[#This Row],[BW_GA]])-1)/(Backend!$B$4/100*Table1[[#This Row],[BW40_3705]]),"")</f>
        <v/>
      </c>
      <c r="J1878" s="7" t="str">
        <f>IF(Table1[[#This Row],[Is Data Valid]]=TRUE,_xlfn.NORM.S.DIST(Table1[[#This Row],[Birthweight Z-Score]],TRUE)*100,"")</f>
        <v/>
      </c>
      <c r="K1878" s="7" t="str">
        <f>IF(Table1[[#This Row],[Is Data Valid]]=TRUE,_xlfn.NORM.S.DIST(Table1[[#This Row],[Birthweight Z-Score (BW-10%)]],TRUE)*100,"")</f>
        <v/>
      </c>
      <c r="L1878" s="7" t="str">
        <f>IF(Table1[[#This Row],[Is Data Valid]]=TRUE,_xlfn.NORM.S.DIST(Table1[[#This Row],[Birthweight Z-Score (BW+10%)]],TRUE)*100,"")</f>
        <v/>
      </c>
    </row>
    <row r="1879" spans="1:12" x14ac:dyDescent="0.35">
      <c r="A1879" s="3"/>
      <c r="B1879" s="2"/>
      <c r="C1879" s="2"/>
      <c r="D1879" s="2" t="b">
        <f>IF(AND(NOT(ISBLANK(Table1[[#This Row],[Fetal Sex (Male, Female or Unknown)]])),ISNUMBER(Table1[[#This Row],[Birthweight (grams)]]),ISNUMBER(Table1[[#This Row],[Gestation (days)]])),TRUE,FALSE)</f>
        <v>0</v>
      </c>
      <c r="E1879" s="2" t="str">
        <f>IF(Table1[[#This Row],[Is Data Valid]]=TRUE,IF(Table1[[#This Row],[Fetal Sex (Male, Female or Unknown)]]="Male",Backend!$C$6,IF(Table1[[#This Row],[Fetal Sex (Male, Female or Unknown)]]="Female",Backend!$C$7,IF(Table1[[#This Row],[Fetal Sex (Male, Female or Unknown)]]="Unknown",Backend!$C$8,"Error"))),"")</f>
        <v/>
      </c>
      <c r="F1879" s="8" t="str">
        <f>IF(Table1[[#This Row],[Is Data Valid]]=TRUE,EXP(0.578+0.332*((Table1[[#This Row],[Gestation (days)]]+0.5)/7)-0.00354*((Table1[[#This Row],[Gestation (days)]]+0.5)/7)^2)*Table1[[#This Row],[BW40_3705]],"")</f>
        <v/>
      </c>
      <c r="G1879" s="2" t="str">
        <f>IF(Table1[[#This Row],[Is Data Valid]]=TRUE,((Table1[[#This Row],[Birthweight (grams)]]/Table1[[#This Row],[BW_GA]])-1)/(Backend!$B$4/100*Table1[[#This Row],[BW40_3705]]),"")</f>
        <v/>
      </c>
      <c r="H1879" s="7" t="str">
        <f>IF(Table1[[#This Row],[Is Data Valid]]=TRUE,((Table1[[#This Row],[Birthweight (grams)]]*0.9/Table1[[#This Row],[BW_GA]])-1)/(Backend!$B$4/100*Table1[[#This Row],[BW40_3705]]),"")</f>
        <v/>
      </c>
      <c r="I1879" s="7" t="str">
        <f>IF(Table1[[#This Row],[Is Data Valid]]=TRUE,((Table1[[#This Row],[Birthweight (grams)]]*1.1/Table1[[#This Row],[BW_GA]])-1)/(Backend!$B$4/100*Table1[[#This Row],[BW40_3705]]),"")</f>
        <v/>
      </c>
      <c r="J1879" s="7" t="str">
        <f>IF(Table1[[#This Row],[Is Data Valid]]=TRUE,_xlfn.NORM.S.DIST(Table1[[#This Row],[Birthweight Z-Score]],TRUE)*100,"")</f>
        <v/>
      </c>
      <c r="K1879" s="7" t="str">
        <f>IF(Table1[[#This Row],[Is Data Valid]]=TRUE,_xlfn.NORM.S.DIST(Table1[[#This Row],[Birthweight Z-Score (BW-10%)]],TRUE)*100,"")</f>
        <v/>
      </c>
      <c r="L1879" s="7" t="str">
        <f>IF(Table1[[#This Row],[Is Data Valid]]=TRUE,_xlfn.NORM.S.DIST(Table1[[#This Row],[Birthweight Z-Score (BW+10%)]],TRUE)*100,"")</f>
        <v/>
      </c>
    </row>
    <row r="1880" spans="1:12" x14ac:dyDescent="0.35">
      <c r="A1880" s="3"/>
      <c r="B1880" s="2"/>
      <c r="C1880" s="2"/>
      <c r="D1880" s="2" t="b">
        <f>IF(AND(NOT(ISBLANK(Table1[[#This Row],[Fetal Sex (Male, Female or Unknown)]])),ISNUMBER(Table1[[#This Row],[Birthweight (grams)]]),ISNUMBER(Table1[[#This Row],[Gestation (days)]])),TRUE,FALSE)</f>
        <v>0</v>
      </c>
      <c r="E1880" s="2" t="str">
        <f>IF(Table1[[#This Row],[Is Data Valid]]=TRUE,IF(Table1[[#This Row],[Fetal Sex (Male, Female or Unknown)]]="Male",Backend!$C$6,IF(Table1[[#This Row],[Fetal Sex (Male, Female or Unknown)]]="Female",Backend!$C$7,IF(Table1[[#This Row],[Fetal Sex (Male, Female or Unknown)]]="Unknown",Backend!$C$8,"Error"))),"")</f>
        <v/>
      </c>
      <c r="F1880" s="8" t="str">
        <f>IF(Table1[[#This Row],[Is Data Valid]]=TRUE,EXP(0.578+0.332*((Table1[[#This Row],[Gestation (days)]]+0.5)/7)-0.00354*((Table1[[#This Row],[Gestation (days)]]+0.5)/7)^2)*Table1[[#This Row],[BW40_3705]],"")</f>
        <v/>
      </c>
      <c r="G1880" s="2" t="str">
        <f>IF(Table1[[#This Row],[Is Data Valid]]=TRUE,((Table1[[#This Row],[Birthweight (grams)]]/Table1[[#This Row],[BW_GA]])-1)/(Backend!$B$4/100*Table1[[#This Row],[BW40_3705]]),"")</f>
        <v/>
      </c>
      <c r="H1880" s="7" t="str">
        <f>IF(Table1[[#This Row],[Is Data Valid]]=TRUE,((Table1[[#This Row],[Birthweight (grams)]]*0.9/Table1[[#This Row],[BW_GA]])-1)/(Backend!$B$4/100*Table1[[#This Row],[BW40_3705]]),"")</f>
        <v/>
      </c>
      <c r="I1880" s="7" t="str">
        <f>IF(Table1[[#This Row],[Is Data Valid]]=TRUE,((Table1[[#This Row],[Birthweight (grams)]]*1.1/Table1[[#This Row],[BW_GA]])-1)/(Backend!$B$4/100*Table1[[#This Row],[BW40_3705]]),"")</f>
        <v/>
      </c>
      <c r="J1880" s="7" t="str">
        <f>IF(Table1[[#This Row],[Is Data Valid]]=TRUE,_xlfn.NORM.S.DIST(Table1[[#This Row],[Birthweight Z-Score]],TRUE)*100,"")</f>
        <v/>
      </c>
      <c r="K1880" s="7" t="str">
        <f>IF(Table1[[#This Row],[Is Data Valid]]=TRUE,_xlfn.NORM.S.DIST(Table1[[#This Row],[Birthweight Z-Score (BW-10%)]],TRUE)*100,"")</f>
        <v/>
      </c>
      <c r="L1880" s="7" t="str">
        <f>IF(Table1[[#This Row],[Is Data Valid]]=TRUE,_xlfn.NORM.S.DIST(Table1[[#This Row],[Birthweight Z-Score (BW+10%)]],TRUE)*100,"")</f>
        <v/>
      </c>
    </row>
    <row r="1881" spans="1:12" x14ac:dyDescent="0.35">
      <c r="A1881" s="3"/>
      <c r="B1881" s="2"/>
      <c r="C1881" s="2"/>
      <c r="D1881" s="2" t="b">
        <f>IF(AND(NOT(ISBLANK(Table1[[#This Row],[Fetal Sex (Male, Female or Unknown)]])),ISNUMBER(Table1[[#This Row],[Birthweight (grams)]]),ISNUMBER(Table1[[#This Row],[Gestation (days)]])),TRUE,FALSE)</f>
        <v>0</v>
      </c>
      <c r="E1881" s="2" t="str">
        <f>IF(Table1[[#This Row],[Is Data Valid]]=TRUE,IF(Table1[[#This Row],[Fetal Sex (Male, Female or Unknown)]]="Male",Backend!$C$6,IF(Table1[[#This Row],[Fetal Sex (Male, Female or Unknown)]]="Female",Backend!$C$7,IF(Table1[[#This Row],[Fetal Sex (Male, Female or Unknown)]]="Unknown",Backend!$C$8,"Error"))),"")</f>
        <v/>
      </c>
      <c r="F1881" s="8" t="str">
        <f>IF(Table1[[#This Row],[Is Data Valid]]=TRUE,EXP(0.578+0.332*((Table1[[#This Row],[Gestation (days)]]+0.5)/7)-0.00354*((Table1[[#This Row],[Gestation (days)]]+0.5)/7)^2)*Table1[[#This Row],[BW40_3705]],"")</f>
        <v/>
      </c>
      <c r="G1881" s="2" t="str">
        <f>IF(Table1[[#This Row],[Is Data Valid]]=TRUE,((Table1[[#This Row],[Birthweight (grams)]]/Table1[[#This Row],[BW_GA]])-1)/(Backend!$B$4/100*Table1[[#This Row],[BW40_3705]]),"")</f>
        <v/>
      </c>
      <c r="H1881" s="7" t="str">
        <f>IF(Table1[[#This Row],[Is Data Valid]]=TRUE,((Table1[[#This Row],[Birthweight (grams)]]*0.9/Table1[[#This Row],[BW_GA]])-1)/(Backend!$B$4/100*Table1[[#This Row],[BW40_3705]]),"")</f>
        <v/>
      </c>
      <c r="I1881" s="7" t="str">
        <f>IF(Table1[[#This Row],[Is Data Valid]]=TRUE,((Table1[[#This Row],[Birthweight (grams)]]*1.1/Table1[[#This Row],[BW_GA]])-1)/(Backend!$B$4/100*Table1[[#This Row],[BW40_3705]]),"")</f>
        <v/>
      </c>
      <c r="J1881" s="7" t="str">
        <f>IF(Table1[[#This Row],[Is Data Valid]]=TRUE,_xlfn.NORM.S.DIST(Table1[[#This Row],[Birthweight Z-Score]],TRUE)*100,"")</f>
        <v/>
      </c>
      <c r="K1881" s="7" t="str">
        <f>IF(Table1[[#This Row],[Is Data Valid]]=TRUE,_xlfn.NORM.S.DIST(Table1[[#This Row],[Birthweight Z-Score (BW-10%)]],TRUE)*100,"")</f>
        <v/>
      </c>
      <c r="L1881" s="7" t="str">
        <f>IF(Table1[[#This Row],[Is Data Valid]]=TRUE,_xlfn.NORM.S.DIST(Table1[[#This Row],[Birthweight Z-Score (BW+10%)]],TRUE)*100,"")</f>
        <v/>
      </c>
    </row>
    <row r="1882" spans="1:12" x14ac:dyDescent="0.35">
      <c r="A1882" s="3"/>
      <c r="B1882" s="2"/>
      <c r="C1882" s="2"/>
      <c r="D1882" s="2" t="b">
        <f>IF(AND(NOT(ISBLANK(Table1[[#This Row],[Fetal Sex (Male, Female or Unknown)]])),ISNUMBER(Table1[[#This Row],[Birthweight (grams)]]),ISNUMBER(Table1[[#This Row],[Gestation (days)]])),TRUE,FALSE)</f>
        <v>0</v>
      </c>
      <c r="E1882" s="2" t="str">
        <f>IF(Table1[[#This Row],[Is Data Valid]]=TRUE,IF(Table1[[#This Row],[Fetal Sex (Male, Female or Unknown)]]="Male",Backend!$C$6,IF(Table1[[#This Row],[Fetal Sex (Male, Female or Unknown)]]="Female",Backend!$C$7,IF(Table1[[#This Row],[Fetal Sex (Male, Female or Unknown)]]="Unknown",Backend!$C$8,"Error"))),"")</f>
        <v/>
      </c>
      <c r="F1882" s="8" t="str">
        <f>IF(Table1[[#This Row],[Is Data Valid]]=TRUE,EXP(0.578+0.332*((Table1[[#This Row],[Gestation (days)]]+0.5)/7)-0.00354*((Table1[[#This Row],[Gestation (days)]]+0.5)/7)^2)*Table1[[#This Row],[BW40_3705]],"")</f>
        <v/>
      </c>
      <c r="G1882" s="2" t="str">
        <f>IF(Table1[[#This Row],[Is Data Valid]]=TRUE,((Table1[[#This Row],[Birthweight (grams)]]/Table1[[#This Row],[BW_GA]])-1)/(Backend!$B$4/100*Table1[[#This Row],[BW40_3705]]),"")</f>
        <v/>
      </c>
      <c r="H1882" s="7" t="str">
        <f>IF(Table1[[#This Row],[Is Data Valid]]=TRUE,((Table1[[#This Row],[Birthweight (grams)]]*0.9/Table1[[#This Row],[BW_GA]])-1)/(Backend!$B$4/100*Table1[[#This Row],[BW40_3705]]),"")</f>
        <v/>
      </c>
      <c r="I1882" s="7" t="str">
        <f>IF(Table1[[#This Row],[Is Data Valid]]=TRUE,((Table1[[#This Row],[Birthweight (grams)]]*1.1/Table1[[#This Row],[BW_GA]])-1)/(Backend!$B$4/100*Table1[[#This Row],[BW40_3705]]),"")</f>
        <v/>
      </c>
      <c r="J1882" s="7" t="str">
        <f>IF(Table1[[#This Row],[Is Data Valid]]=TRUE,_xlfn.NORM.S.DIST(Table1[[#This Row],[Birthweight Z-Score]],TRUE)*100,"")</f>
        <v/>
      </c>
      <c r="K1882" s="7" t="str">
        <f>IF(Table1[[#This Row],[Is Data Valid]]=TRUE,_xlfn.NORM.S.DIST(Table1[[#This Row],[Birthweight Z-Score (BW-10%)]],TRUE)*100,"")</f>
        <v/>
      </c>
      <c r="L1882" s="7" t="str">
        <f>IF(Table1[[#This Row],[Is Data Valid]]=TRUE,_xlfn.NORM.S.DIST(Table1[[#This Row],[Birthweight Z-Score (BW+10%)]],TRUE)*100,"")</f>
        <v/>
      </c>
    </row>
    <row r="1883" spans="1:12" x14ac:dyDescent="0.35">
      <c r="A1883" s="3"/>
      <c r="B1883" s="2"/>
      <c r="C1883" s="2"/>
      <c r="D1883" s="2" t="b">
        <f>IF(AND(NOT(ISBLANK(Table1[[#This Row],[Fetal Sex (Male, Female or Unknown)]])),ISNUMBER(Table1[[#This Row],[Birthweight (grams)]]),ISNUMBER(Table1[[#This Row],[Gestation (days)]])),TRUE,FALSE)</f>
        <v>0</v>
      </c>
      <c r="E1883" s="2" t="str">
        <f>IF(Table1[[#This Row],[Is Data Valid]]=TRUE,IF(Table1[[#This Row],[Fetal Sex (Male, Female or Unknown)]]="Male",Backend!$C$6,IF(Table1[[#This Row],[Fetal Sex (Male, Female or Unknown)]]="Female",Backend!$C$7,IF(Table1[[#This Row],[Fetal Sex (Male, Female or Unknown)]]="Unknown",Backend!$C$8,"Error"))),"")</f>
        <v/>
      </c>
      <c r="F1883" s="8" t="str">
        <f>IF(Table1[[#This Row],[Is Data Valid]]=TRUE,EXP(0.578+0.332*((Table1[[#This Row],[Gestation (days)]]+0.5)/7)-0.00354*((Table1[[#This Row],[Gestation (days)]]+0.5)/7)^2)*Table1[[#This Row],[BW40_3705]],"")</f>
        <v/>
      </c>
      <c r="G1883" s="2" t="str">
        <f>IF(Table1[[#This Row],[Is Data Valid]]=TRUE,((Table1[[#This Row],[Birthweight (grams)]]/Table1[[#This Row],[BW_GA]])-1)/(Backend!$B$4/100*Table1[[#This Row],[BW40_3705]]),"")</f>
        <v/>
      </c>
      <c r="H1883" s="7" t="str">
        <f>IF(Table1[[#This Row],[Is Data Valid]]=TRUE,((Table1[[#This Row],[Birthweight (grams)]]*0.9/Table1[[#This Row],[BW_GA]])-1)/(Backend!$B$4/100*Table1[[#This Row],[BW40_3705]]),"")</f>
        <v/>
      </c>
      <c r="I1883" s="7" t="str">
        <f>IF(Table1[[#This Row],[Is Data Valid]]=TRUE,((Table1[[#This Row],[Birthweight (grams)]]*1.1/Table1[[#This Row],[BW_GA]])-1)/(Backend!$B$4/100*Table1[[#This Row],[BW40_3705]]),"")</f>
        <v/>
      </c>
      <c r="J1883" s="7" t="str">
        <f>IF(Table1[[#This Row],[Is Data Valid]]=TRUE,_xlfn.NORM.S.DIST(Table1[[#This Row],[Birthweight Z-Score]],TRUE)*100,"")</f>
        <v/>
      </c>
      <c r="K1883" s="7" t="str">
        <f>IF(Table1[[#This Row],[Is Data Valid]]=TRUE,_xlfn.NORM.S.DIST(Table1[[#This Row],[Birthweight Z-Score (BW-10%)]],TRUE)*100,"")</f>
        <v/>
      </c>
      <c r="L1883" s="7" t="str">
        <f>IF(Table1[[#This Row],[Is Data Valid]]=TRUE,_xlfn.NORM.S.DIST(Table1[[#This Row],[Birthweight Z-Score (BW+10%)]],TRUE)*100,"")</f>
        <v/>
      </c>
    </row>
    <row r="1884" spans="1:12" x14ac:dyDescent="0.35">
      <c r="A1884" s="3"/>
      <c r="B1884" s="2"/>
      <c r="C1884" s="2"/>
      <c r="D1884" s="2" t="b">
        <f>IF(AND(NOT(ISBLANK(Table1[[#This Row],[Fetal Sex (Male, Female or Unknown)]])),ISNUMBER(Table1[[#This Row],[Birthweight (grams)]]),ISNUMBER(Table1[[#This Row],[Gestation (days)]])),TRUE,FALSE)</f>
        <v>0</v>
      </c>
      <c r="E1884" s="2" t="str">
        <f>IF(Table1[[#This Row],[Is Data Valid]]=TRUE,IF(Table1[[#This Row],[Fetal Sex (Male, Female or Unknown)]]="Male",Backend!$C$6,IF(Table1[[#This Row],[Fetal Sex (Male, Female or Unknown)]]="Female",Backend!$C$7,IF(Table1[[#This Row],[Fetal Sex (Male, Female or Unknown)]]="Unknown",Backend!$C$8,"Error"))),"")</f>
        <v/>
      </c>
      <c r="F1884" s="8" t="str">
        <f>IF(Table1[[#This Row],[Is Data Valid]]=TRUE,EXP(0.578+0.332*((Table1[[#This Row],[Gestation (days)]]+0.5)/7)-0.00354*((Table1[[#This Row],[Gestation (days)]]+0.5)/7)^2)*Table1[[#This Row],[BW40_3705]],"")</f>
        <v/>
      </c>
      <c r="G1884" s="2" t="str">
        <f>IF(Table1[[#This Row],[Is Data Valid]]=TRUE,((Table1[[#This Row],[Birthweight (grams)]]/Table1[[#This Row],[BW_GA]])-1)/(Backend!$B$4/100*Table1[[#This Row],[BW40_3705]]),"")</f>
        <v/>
      </c>
      <c r="H1884" s="7" t="str">
        <f>IF(Table1[[#This Row],[Is Data Valid]]=TRUE,((Table1[[#This Row],[Birthweight (grams)]]*0.9/Table1[[#This Row],[BW_GA]])-1)/(Backend!$B$4/100*Table1[[#This Row],[BW40_3705]]),"")</f>
        <v/>
      </c>
      <c r="I1884" s="7" t="str">
        <f>IF(Table1[[#This Row],[Is Data Valid]]=TRUE,((Table1[[#This Row],[Birthweight (grams)]]*1.1/Table1[[#This Row],[BW_GA]])-1)/(Backend!$B$4/100*Table1[[#This Row],[BW40_3705]]),"")</f>
        <v/>
      </c>
      <c r="J1884" s="7" t="str">
        <f>IF(Table1[[#This Row],[Is Data Valid]]=TRUE,_xlfn.NORM.S.DIST(Table1[[#This Row],[Birthweight Z-Score]],TRUE)*100,"")</f>
        <v/>
      </c>
      <c r="K1884" s="7" t="str">
        <f>IF(Table1[[#This Row],[Is Data Valid]]=TRUE,_xlfn.NORM.S.DIST(Table1[[#This Row],[Birthweight Z-Score (BW-10%)]],TRUE)*100,"")</f>
        <v/>
      </c>
      <c r="L1884" s="7" t="str">
        <f>IF(Table1[[#This Row],[Is Data Valid]]=TRUE,_xlfn.NORM.S.DIST(Table1[[#This Row],[Birthweight Z-Score (BW+10%)]],TRUE)*100,"")</f>
        <v/>
      </c>
    </row>
    <row r="1885" spans="1:12" x14ac:dyDescent="0.35">
      <c r="A1885" s="3"/>
      <c r="B1885" s="2"/>
      <c r="C1885" s="2"/>
      <c r="D1885" s="2" t="b">
        <f>IF(AND(NOT(ISBLANK(Table1[[#This Row],[Fetal Sex (Male, Female or Unknown)]])),ISNUMBER(Table1[[#This Row],[Birthweight (grams)]]),ISNUMBER(Table1[[#This Row],[Gestation (days)]])),TRUE,FALSE)</f>
        <v>0</v>
      </c>
      <c r="E1885" s="2" t="str">
        <f>IF(Table1[[#This Row],[Is Data Valid]]=TRUE,IF(Table1[[#This Row],[Fetal Sex (Male, Female or Unknown)]]="Male",Backend!$C$6,IF(Table1[[#This Row],[Fetal Sex (Male, Female or Unknown)]]="Female",Backend!$C$7,IF(Table1[[#This Row],[Fetal Sex (Male, Female or Unknown)]]="Unknown",Backend!$C$8,"Error"))),"")</f>
        <v/>
      </c>
      <c r="F1885" s="8" t="str">
        <f>IF(Table1[[#This Row],[Is Data Valid]]=TRUE,EXP(0.578+0.332*((Table1[[#This Row],[Gestation (days)]]+0.5)/7)-0.00354*((Table1[[#This Row],[Gestation (days)]]+0.5)/7)^2)*Table1[[#This Row],[BW40_3705]],"")</f>
        <v/>
      </c>
      <c r="G1885" s="2" t="str">
        <f>IF(Table1[[#This Row],[Is Data Valid]]=TRUE,((Table1[[#This Row],[Birthweight (grams)]]/Table1[[#This Row],[BW_GA]])-1)/(Backend!$B$4/100*Table1[[#This Row],[BW40_3705]]),"")</f>
        <v/>
      </c>
      <c r="H1885" s="7" t="str">
        <f>IF(Table1[[#This Row],[Is Data Valid]]=TRUE,((Table1[[#This Row],[Birthweight (grams)]]*0.9/Table1[[#This Row],[BW_GA]])-1)/(Backend!$B$4/100*Table1[[#This Row],[BW40_3705]]),"")</f>
        <v/>
      </c>
      <c r="I1885" s="7" t="str">
        <f>IF(Table1[[#This Row],[Is Data Valid]]=TRUE,((Table1[[#This Row],[Birthweight (grams)]]*1.1/Table1[[#This Row],[BW_GA]])-1)/(Backend!$B$4/100*Table1[[#This Row],[BW40_3705]]),"")</f>
        <v/>
      </c>
      <c r="J1885" s="7" t="str">
        <f>IF(Table1[[#This Row],[Is Data Valid]]=TRUE,_xlfn.NORM.S.DIST(Table1[[#This Row],[Birthweight Z-Score]],TRUE)*100,"")</f>
        <v/>
      </c>
      <c r="K1885" s="7" t="str">
        <f>IF(Table1[[#This Row],[Is Data Valid]]=TRUE,_xlfn.NORM.S.DIST(Table1[[#This Row],[Birthweight Z-Score (BW-10%)]],TRUE)*100,"")</f>
        <v/>
      </c>
      <c r="L1885" s="7" t="str">
        <f>IF(Table1[[#This Row],[Is Data Valid]]=TRUE,_xlfn.NORM.S.DIST(Table1[[#This Row],[Birthweight Z-Score (BW+10%)]],TRUE)*100,"")</f>
        <v/>
      </c>
    </row>
    <row r="1886" spans="1:12" x14ac:dyDescent="0.35">
      <c r="A1886" s="3"/>
      <c r="B1886" s="2"/>
      <c r="C1886" s="2"/>
      <c r="D1886" s="2" t="b">
        <f>IF(AND(NOT(ISBLANK(Table1[[#This Row],[Fetal Sex (Male, Female or Unknown)]])),ISNUMBER(Table1[[#This Row],[Birthweight (grams)]]),ISNUMBER(Table1[[#This Row],[Gestation (days)]])),TRUE,FALSE)</f>
        <v>0</v>
      </c>
      <c r="E1886" s="2" t="str">
        <f>IF(Table1[[#This Row],[Is Data Valid]]=TRUE,IF(Table1[[#This Row],[Fetal Sex (Male, Female or Unknown)]]="Male",Backend!$C$6,IF(Table1[[#This Row],[Fetal Sex (Male, Female or Unknown)]]="Female",Backend!$C$7,IF(Table1[[#This Row],[Fetal Sex (Male, Female or Unknown)]]="Unknown",Backend!$C$8,"Error"))),"")</f>
        <v/>
      </c>
      <c r="F1886" s="8" t="str">
        <f>IF(Table1[[#This Row],[Is Data Valid]]=TRUE,EXP(0.578+0.332*((Table1[[#This Row],[Gestation (days)]]+0.5)/7)-0.00354*((Table1[[#This Row],[Gestation (days)]]+0.5)/7)^2)*Table1[[#This Row],[BW40_3705]],"")</f>
        <v/>
      </c>
      <c r="G1886" s="2" t="str">
        <f>IF(Table1[[#This Row],[Is Data Valid]]=TRUE,((Table1[[#This Row],[Birthweight (grams)]]/Table1[[#This Row],[BW_GA]])-1)/(Backend!$B$4/100*Table1[[#This Row],[BW40_3705]]),"")</f>
        <v/>
      </c>
      <c r="H1886" s="7" t="str">
        <f>IF(Table1[[#This Row],[Is Data Valid]]=TRUE,((Table1[[#This Row],[Birthweight (grams)]]*0.9/Table1[[#This Row],[BW_GA]])-1)/(Backend!$B$4/100*Table1[[#This Row],[BW40_3705]]),"")</f>
        <v/>
      </c>
      <c r="I1886" s="7" t="str">
        <f>IF(Table1[[#This Row],[Is Data Valid]]=TRUE,((Table1[[#This Row],[Birthweight (grams)]]*1.1/Table1[[#This Row],[BW_GA]])-1)/(Backend!$B$4/100*Table1[[#This Row],[BW40_3705]]),"")</f>
        <v/>
      </c>
      <c r="J1886" s="7" t="str">
        <f>IF(Table1[[#This Row],[Is Data Valid]]=TRUE,_xlfn.NORM.S.DIST(Table1[[#This Row],[Birthweight Z-Score]],TRUE)*100,"")</f>
        <v/>
      </c>
      <c r="K1886" s="7" t="str">
        <f>IF(Table1[[#This Row],[Is Data Valid]]=TRUE,_xlfn.NORM.S.DIST(Table1[[#This Row],[Birthweight Z-Score (BW-10%)]],TRUE)*100,"")</f>
        <v/>
      </c>
      <c r="L1886" s="7" t="str">
        <f>IF(Table1[[#This Row],[Is Data Valid]]=TRUE,_xlfn.NORM.S.DIST(Table1[[#This Row],[Birthweight Z-Score (BW+10%)]],TRUE)*100,"")</f>
        <v/>
      </c>
    </row>
    <row r="1887" spans="1:12" x14ac:dyDescent="0.35">
      <c r="A1887" s="3"/>
      <c r="B1887" s="2"/>
      <c r="C1887" s="2"/>
      <c r="D1887" s="2" t="b">
        <f>IF(AND(NOT(ISBLANK(Table1[[#This Row],[Fetal Sex (Male, Female or Unknown)]])),ISNUMBER(Table1[[#This Row],[Birthweight (grams)]]),ISNUMBER(Table1[[#This Row],[Gestation (days)]])),TRUE,FALSE)</f>
        <v>0</v>
      </c>
      <c r="E1887" s="2" t="str">
        <f>IF(Table1[[#This Row],[Is Data Valid]]=TRUE,IF(Table1[[#This Row],[Fetal Sex (Male, Female or Unknown)]]="Male",Backend!$C$6,IF(Table1[[#This Row],[Fetal Sex (Male, Female or Unknown)]]="Female",Backend!$C$7,IF(Table1[[#This Row],[Fetal Sex (Male, Female or Unknown)]]="Unknown",Backend!$C$8,"Error"))),"")</f>
        <v/>
      </c>
      <c r="F1887" s="8" t="str">
        <f>IF(Table1[[#This Row],[Is Data Valid]]=TRUE,EXP(0.578+0.332*((Table1[[#This Row],[Gestation (days)]]+0.5)/7)-0.00354*((Table1[[#This Row],[Gestation (days)]]+0.5)/7)^2)*Table1[[#This Row],[BW40_3705]],"")</f>
        <v/>
      </c>
      <c r="G1887" s="2" t="str">
        <f>IF(Table1[[#This Row],[Is Data Valid]]=TRUE,((Table1[[#This Row],[Birthweight (grams)]]/Table1[[#This Row],[BW_GA]])-1)/(Backend!$B$4/100*Table1[[#This Row],[BW40_3705]]),"")</f>
        <v/>
      </c>
      <c r="H1887" s="7" t="str">
        <f>IF(Table1[[#This Row],[Is Data Valid]]=TRUE,((Table1[[#This Row],[Birthweight (grams)]]*0.9/Table1[[#This Row],[BW_GA]])-1)/(Backend!$B$4/100*Table1[[#This Row],[BW40_3705]]),"")</f>
        <v/>
      </c>
      <c r="I1887" s="7" t="str">
        <f>IF(Table1[[#This Row],[Is Data Valid]]=TRUE,((Table1[[#This Row],[Birthweight (grams)]]*1.1/Table1[[#This Row],[BW_GA]])-1)/(Backend!$B$4/100*Table1[[#This Row],[BW40_3705]]),"")</f>
        <v/>
      </c>
      <c r="J1887" s="7" t="str">
        <f>IF(Table1[[#This Row],[Is Data Valid]]=TRUE,_xlfn.NORM.S.DIST(Table1[[#This Row],[Birthweight Z-Score]],TRUE)*100,"")</f>
        <v/>
      </c>
      <c r="K1887" s="7" t="str">
        <f>IF(Table1[[#This Row],[Is Data Valid]]=TRUE,_xlfn.NORM.S.DIST(Table1[[#This Row],[Birthweight Z-Score (BW-10%)]],TRUE)*100,"")</f>
        <v/>
      </c>
      <c r="L1887" s="7" t="str">
        <f>IF(Table1[[#This Row],[Is Data Valid]]=TRUE,_xlfn.NORM.S.DIST(Table1[[#This Row],[Birthweight Z-Score (BW+10%)]],TRUE)*100,"")</f>
        <v/>
      </c>
    </row>
    <row r="1888" spans="1:12" x14ac:dyDescent="0.35">
      <c r="A1888" s="3"/>
      <c r="B1888" s="2"/>
      <c r="C1888" s="2"/>
      <c r="D1888" s="2" t="b">
        <f>IF(AND(NOT(ISBLANK(Table1[[#This Row],[Fetal Sex (Male, Female or Unknown)]])),ISNUMBER(Table1[[#This Row],[Birthweight (grams)]]),ISNUMBER(Table1[[#This Row],[Gestation (days)]])),TRUE,FALSE)</f>
        <v>0</v>
      </c>
      <c r="E1888" s="2" t="str">
        <f>IF(Table1[[#This Row],[Is Data Valid]]=TRUE,IF(Table1[[#This Row],[Fetal Sex (Male, Female or Unknown)]]="Male",Backend!$C$6,IF(Table1[[#This Row],[Fetal Sex (Male, Female or Unknown)]]="Female",Backend!$C$7,IF(Table1[[#This Row],[Fetal Sex (Male, Female or Unknown)]]="Unknown",Backend!$C$8,"Error"))),"")</f>
        <v/>
      </c>
      <c r="F1888" s="8" t="str">
        <f>IF(Table1[[#This Row],[Is Data Valid]]=TRUE,EXP(0.578+0.332*((Table1[[#This Row],[Gestation (days)]]+0.5)/7)-0.00354*((Table1[[#This Row],[Gestation (days)]]+0.5)/7)^2)*Table1[[#This Row],[BW40_3705]],"")</f>
        <v/>
      </c>
      <c r="G1888" s="2" t="str">
        <f>IF(Table1[[#This Row],[Is Data Valid]]=TRUE,((Table1[[#This Row],[Birthweight (grams)]]/Table1[[#This Row],[BW_GA]])-1)/(Backend!$B$4/100*Table1[[#This Row],[BW40_3705]]),"")</f>
        <v/>
      </c>
      <c r="H1888" s="7" t="str">
        <f>IF(Table1[[#This Row],[Is Data Valid]]=TRUE,((Table1[[#This Row],[Birthweight (grams)]]*0.9/Table1[[#This Row],[BW_GA]])-1)/(Backend!$B$4/100*Table1[[#This Row],[BW40_3705]]),"")</f>
        <v/>
      </c>
      <c r="I1888" s="7" t="str">
        <f>IF(Table1[[#This Row],[Is Data Valid]]=TRUE,((Table1[[#This Row],[Birthweight (grams)]]*1.1/Table1[[#This Row],[BW_GA]])-1)/(Backend!$B$4/100*Table1[[#This Row],[BW40_3705]]),"")</f>
        <v/>
      </c>
      <c r="J1888" s="7" t="str">
        <f>IF(Table1[[#This Row],[Is Data Valid]]=TRUE,_xlfn.NORM.S.DIST(Table1[[#This Row],[Birthweight Z-Score]],TRUE)*100,"")</f>
        <v/>
      </c>
      <c r="K1888" s="7" t="str">
        <f>IF(Table1[[#This Row],[Is Data Valid]]=TRUE,_xlfn.NORM.S.DIST(Table1[[#This Row],[Birthweight Z-Score (BW-10%)]],TRUE)*100,"")</f>
        <v/>
      </c>
      <c r="L1888" s="7" t="str">
        <f>IF(Table1[[#This Row],[Is Data Valid]]=TRUE,_xlfn.NORM.S.DIST(Table1[[#This Row],[Birthweight Z-Score (BW+10%)]],TRUE)*100,"")</f>
        <v/>
      </c>
    </row>
    <row r="1889" spans="1:12" x14ac:dyDescent="0.35">
      <c r="A1889" s="3"/>
      <c r="B1889" s="2"/>
      <c r="C1889" s="2"/>
      <c r="D1889" s="2" t="b">
        <f>IF(AND(NOT(ISBLANK(Table1[[#This Row],[Fetal Sex (Male, Female or Unknown)]])),ISNUMBER(Table1[[#This Row],[Birthweight (grams)]]),ISNUMBER(Table1[[#This Row],[Gestation (days)]])),TRUE,FALSE)</f>
        <v>0</v>
      </c>
      <c r="E1889" s="2" t="str">
        <f>IF(Table1[[#This Row],[Is Data Valid]]=TRUE,IF(Table1[[#This Row],[Fetal Sex (Male, Female or Unknown)]]="Male",Backend!$C$6,IF(Table1[[#This Row],[Fetal Sex (Male, Female or Unknown)]]="Female",Backend!$C$7,IF(Table1[[#This Row],[Fetal Sex (Male, Female or Unknown)]]="Unknown",Backend!$C$8,"Error"))),"")</f>
        <v/>
      </c>
      <c r="F1889" s="8" t="str">
        <f>IF(Table1[[#This Row],[Is Data Valid]]=TRUE,EXP(0.578+0.332*((Table1[[#This Row],[Gestation (days)]]+0.5)/7)-0.00354*((Table1[[#This Row],[Gestation (days)]]+0.5)/7)^2)*Table1[[#This Row],[BW40_3705]],"")</f>
        <v/>
      </c>
      <c r="G1889" s="2" t="str">
        <f>IF(Table1[[#This Row],[Is Data Valid]]=TRUE,((Table1[[#This Row],[Birthweight (grams)]]/Table1[[#This Row],[BW_GA]])-1)/(Backend!$B$4/100*Table1[[#This Row],[BW40_3705]]),"")</f>
        <v/>
      </c>
      <c r="H1889" s="7" t="str">
        <f>IF(Table1[[#This Row],[Is Data Valid]]=TRUE,((Table1[[#This Row],[Birthweight (grams)]]*0.9/Table1[[#This Row],[BW_GA]])-1)/(Backend!$B$4/100*Table1[[#This Row],[BW40_3705]]),"")</f>
        <v/>
      </c>
      <c r="I1889" s="7" t="str">
        <f>IF(Table1[[#This Row],[Is Data Valid]]=TRUE,((Table1[[#This Row],[Birthweight (grams)]]*1.1/Table1[[#This Row],[BW_GA]])-1)/(Backend!$B$4/100*Table1[[#This Row],[BW40_3705]]),"")</f>
        <v/>
      </c>
      <c r="J1889" s="7" t="str">
        <f>IF(Table1[[#This Row],[Is Data Valid]]=TRUE,_xlfn.NORM.S.DIST(Table1[[#This Row],[Birthweight Z-Score]],TRUE)*100,"")</f>
        <v/>
      </c>
      <c r="K1889" s="7" t="str">
        <f>IF(Table1[[#This Row],[Is Data Valid]]=TRUE,_xlfn.NORM.S.DIST(Table1[[#This Row],[Birthweight Z-Score (BW-10%)]],TRUE)*100,"")</f>
        <v/>
      </c>
      <c r="L1889" s="7" t="str">
        <f>IF(Table1[[#This Row],[Is Data Valid]]=TRUE,_xlfn.NORM.S.DIST(Table1[[#This Row],[Birthweight Z-Score (BW+10%)]],TRUE)*100,"")</f>
        <v/>
      </c>
    </row>
    <row r="1890" spans="1:12" x14ac:dyDescent="0.35">
      <c r="A1890" s="3"/>
      <c r="B1890" s="2"/>
      <c r="C1890" s="2"/>
      <c r="D1890" s="2" t="b">
        <f>IF(AND(NOT(ISBLANK(Table1[[#This Row],[Fetal Sex (Male, Female or Unknown)]])),ISNUMBER(Table1[[#This Row],[Birthweight (grams)]]),ISNUMBER(Table1[[#This Row],[Gestation (days)]])),TRUE,FALSE)</f>
        <v>0</v>
      </c>
      <c r="E1890" s="2" t="str">
        <f>IF(Table1[[#This Row],[Is Data Valid]]=TRUE,IF(Table1[[#This Row],[Fetal Sex (Male, Female or Unknown)]]="Male",Backend!$C$6,IF(Table1[[#This Row],[Fetal Sex (Male, Female or Unknown)]]="Female",Backend!$C$7,IF(Table1[[#This Row],[Fetal Sex (Male, Female or Unknown)]]="Unknown",Backend!$C$8,"Error"))),"")</f>
        <v/>
      </c>
      <c r="F1890" s="8" t="str">
        <f>IF(Table1[[#This Row],[Is Data Valid]]=TRUE,EXP(0.578+0.332*((Table1[[#This Row],[Gestation (days)]]+0.5)/7)-0.00354*((Table1[[#This Row],[Gestation (days)]]+0.5)/7)^2)*Table1[[#This Row],[BW40_3705]],"")</f>
        <v/>
      </c>
      <c r="G1890" s="2" t="str">
        <f>IF(Table1[[#This Row],[Is Data Valid]]=TRUE,((Table1[[#This Row],[Birthweight (grams)]]/Table1[[#This Row],[BW_GA]])-1)/(Backend!$B$4/100*Table1[[#This Row],[BW40_3705]]),"")</f>
        <v/>
      </c>
      <c r="H1890" s="7" t="str">
        <f>IF(Table1[[#This Row],[Is Data Valid]]=TRUE,((Table1[[#This Row],[Birthweight (grams)]]*0.9/Table1[[#This Row],[BW_GA]])-1)/(Backend!$B$4/100*Table1[[#This Row],[BW40_3705]]),"")</f>
        <v/>
      </c>
      <c r="I1890" s="7" t="str">
        <f>IF(Table1[[#This Row],[Is Data Valid]]=TRUE,((Table1[[#This Row],[Birthweight (grams)]]*1.1/Table1[[#This Row],[BW_GA]])-1)/(Backend!$B$4/100*Table1[[#This Row],[BW40_3705]]),"")</f>
        <v/>
      </c>
      <c r="J1890" s="7" t="str">
        <f>IF(Table1[[#This Row],[Is Data Valid]]=TRUE,_xlfn.NORM.S.DIST(Table1[[#This Row],[Birthweight Z-Score]],TRUE)*100,"")</f>
        <v/>
      </c>
      <c r="K1890" s="7" t="str">
        <f>IF(Table1[[#This Row],[Is Data Valid]]=TRUE,_xlfn.NORM.S.DIST(Table1[[#This Row],[Birthweight Z-Score (BW-10%)]],TRUE)*100,"")</f>
        <v/>
      </c>
      <c r="L1890" s="7" t="str">
        <f>IF(Table1[[#This Row],[Is Data Valid]]=TRUE,_xlfn.NORM.S.DIST(Table1[[#This Row],[Birthweight Z-Score (BW+10%)]],TRUE)*100,"")</f>
        <v/>
      </c>
    </row>
    <row r="1891" spans="1:12" x14ac:dyDescent="0.35">
      <c r="A1891" s="3"/>
      <c r="B1891" s="2"/>
      <c r="C1891" s="2"/>
      <c r="D1891" s="2" t="b">
        <f>IF(AND(NOT(ISBLANK(Table1[[#This Row],[Fetal Sex (Male, Female or Unknown)]])),ISNUMBER(Table1[[#This Row],[Birthweight (grams)]]),ISNUMBER(Table1[[#This Row],[Gestation (days)]])),TRUE,FALSE)</f>
        <v>0</v>
      </c>
      <c r="E1891" s="2" t="str">
        <f>IF(Table1[[#This Row],[Is Data Valid]]=TRUE,IF(Table1[[#This Row],[Fetal Sex (Male, Female or Unknown)]]="Male",Backend!$C$6,IF(Table1[[#This Row],[Fetal Sex (Male, Female or Unknown)]]="Female",Backend!$C$7,IF(Table1[[#This Row],[Fetal Sex (Male, Female or Unknown)]]="Unknown",Backend!$C$8,"Error"))),"")</f>
        <v/>
      </c>
      <c r="F1891" s="8" t="str">
        <f>IF(Table1[[#This Row],[Is Data Valid]]=TRUE,EXP(0.578+0.332*((Table1[[#This Row],[Gestation (days)]]+0.5)/7)-0.00354*((Table1[[#This Row],[Gestation (days)]]+0.5)/7)^2)*Table1[[#This Row],[BW40_3705]],"")</f>
        <v/>
      </c>
      <c r="G1891" s="2" t="str">
        <f>IF(Table1[[#This Row],[Is Data Valid]]=TRUE,((Table1[[#This Row],[Birthweight (grams)]]/Table1[[#This Row],[BW_GA]])-1)/(Backend!$B$4/100*Table1[[#This Row],[BW40_3705]]),"")</f>
        <v/>
      </c>
      <c r="H1891" s="7" t="str">
        <f>IF(Table1[[#This Row],[Is Data Valid]]=TRUE,((Table1[[#This Row],[Birthweight (grams)]]*0.9/Table1[[#This Row],[BW_GA]])-1)/(Backend!$B$4/100*Table1[[#This Row],[BW40_3705]]),"")</f>
        <v/>
      </c>
      <c r="I1891" s="7" t="str">
        <f>IF(Table1[[#This Row],[Is Data Valid]]=TRUE,((Table1[[#This Row],[Birthweight (grams)]]*1.1/Table1[[#This Row],[BW_GA]])-1)/(Backend!$B$4/100*Table1[[#This Row],[BW40_3705]]),"")</f>
        <v/>
      </c>
      <c r="J1891" s="7" t="str">
        <f>IF(Table1[[#This Row],[Is Data Valid]]=TRUE,_xlfn.NORM.S.DIST(Table1[[#This Row],[Birthweight Z-Score]],TRUE)*100,"")</f>
        <v/>
      </c>
      <c r="K1891" s="7" t="str">
        <f>IF(Table1[[#This Row],[Is Data Valid]]=TRUE,_xlfn.NORM.S.DIST(Table1[[#This Row],[Birthweight Z-Score (BW-10%)]],TRUE)*100,"")</f>
        <v/>
      </c>
      <c r="L1891" s="7" t="str">
        <f>IF(Table1[[#This Row],[Is Data Valid]]=TRUE,_xlfn.NORM.S.DIST(Table1[[#This Row],[Birthweight Z-Score (BW+10%)]],TRUE)*100,"")</f>
        <v/>
      </c>
    </row>
    <row r="1892" spans="1:12" x14ac:dyDescent="0.35">
      <c r="A1892" s="3"/>
      <c r="B1892" s="2"/>
      <c r="C1892" s="2"/>
      <c r="D1892" s="2" t="b">
        <f>IF(AND(NOT(ISBLANK(Table1[[#This Row],[Fetal Sex (Male, Female or Unknown)]])),ISNUMBER(Table1[[#This Row],[Birthweight (grams)]]),ISNUMBER(Table1[[#This Row],[Gestation (days)]])),TRUE,FALSE)</f>
        <v>0</v>
      </c>
      <c r="E1892" s="2" t="str">
        <f>IF(Table1[[#This Row],[Is Data Valid]]=TRUE,IF(Table1[[#This Row],[Fetal Sex (Male, Female or Unknown)]]="Male",Backend!$C$6,IF(Table1[[#This Row],[Fetal Sex (Male, Female or Unknown)]]="Female",Backend!$C$7,IF(Table1[[#This Row],[Fetal Sex (Male, Female or Unknown)]]="Unknown",Backend!$C$8,"Error"))),"")</f>
        <v/>
      </c>
      <c r="F1892" s="8" t="str">
        <f>IF(Table1[[#This Row],[Is Data Valid]]=TRUE,EXP(0.578+0.332*((Table1[[#This Row],[Gestation (days)]]+0.5)/7)-0.00354*((Table1[[#This Row],[Gestation (days)]]+0.5)/7)^2)*Table1[[#This Row],[BW40_3705]],"")</f>
        <v/>
      </c>
      <c r="G1892" s="2" t="str">
        <f>IF(Table1[[#This Row],[Is Data Valid]]=TRUE,((Table1[[#This Row],[Birthweight (grams)]]/Table1[[#This Row],[BW_GA]])-1)/(Backend!$B$4/100*Table1[[#This Row],[BW40_3705]]),"")</f>
        <v/>
      </c>
      <c r="H1892" s="7" t="str">
        <f>IF(Table1[[#This Row],[Is Data Valid]]=TRUE,((Table1[[#This Row],[Birthweight (grams)]]*0.9/Table1[[#This Row],[BW_GA]])-1)/(Backend!$B$4/100*Table1[[#This Row],[BW40_3705]]),"")</f>
        <v/>
      </c>
      <c r="I1892" s="7" t="str">
        <f>IF(Table1[[#This Row],[Is Data Valid]]=TRUE,((Table1[[#This Row],[Birthweight (grams)]]*1.1/Table1[[#This Row],[BW_GA]])-1)/(Backend!$B$4/100*Table1[[#This Row],[BW40_3705]]),"")</f>
        <v/>
      </c>
      <c r="J1892" s="7" t="str">
        <f>IF(Table1[[#This Row],[Is Data Valid]]=TRUE,_xlfn.NORM.S.DIST(Table1[[#This Row],[Birthweight Z-Score]],TRUE)*100,"")</f>
        <v/>
      </c>
      <c r="K1892" s="7" t="str">
        <f>IF(Table1[[#This Row],[Is Data Valid]]=TRUE,_xlfn.NORM.S.DIST(Table1[[#This Row],[Birthweight Z-Score (BW-10%)]],TRUE)*100,"")</f>
        <v/>
      </c>
      <c r="L1892" s="7" t="str">
        <f>IF(Table1[[#This Row],[Is Data Valid]]=TRUE,_xlfn.NORM.S.DIST(Table1[[#This Row],[Birthweight Z-Score (BW+10%)]],TRUE)*100,"")</f>
        <v/>
      </c>
    </row>
    <row r="1893" spans="1:12" x14ac:dyDescent="0.35">
      <c r="A1893" s="3"/>
      <c r="B1893" s="2"/>
      <c r="C1893" s="2"/>
      <c r="D1893" s="2" t="b">
        <f>IF(AND(NOT(ISBLANK(Table1[[#This Row],[Fetal Sex (Male, Female or Unknown)]])),ISNUMBER(Table1[[#This Row],[Birthweight (grams)]]),ISNUMBER(Table1[[#This Row],[Gestation (days)]])),TRUE,FALSE)</f>
        <v>0</v>
      </c>
      <c r="E1893" s="2" t="str">
        <f>IF(Table1[[#This Row],[Is Data Valid]]=TRUE,IF(Table1[[#This Row],[Fetal Sex (Male, Female or Unknown)]]="Male",Backend!$C$6,IF(Table1[[#This Row],[Fetal Sex (Male, Female or Unknown)]]="Female",Backend!$C$7,IF(Table1[[#This Row],[Fetal Sex (Male, Female or Unknown)]]="Unknown",Backend!$C$8,"Error"))),"")</f>
        <v/>
      </c>
      <c r="F1893" s="8" t="str">
        <f>IF(Table1[[#This Row],[Is Data Valid]]=TRUE,EXP(0.578+0.332*((Table1[[#This Row],[Gestation (days)]]+0.5)/7)-0.00354*((Table1[[#This Row],[Gestation (days)]]+0.5)/7)^2)*Table1[[#This Row],[BW40_3705]],"")</f>
        <v/>
      </c>
      <c r="G1893" s="2" t="str">
        <f>IF(Table1[[#This Row],[Is Data Valid]]=TRUE,((Table1[[#This Row],[Birthweight (grams)]]/Table1[[#This Row],[BW_GA]])-1)/(Backend!$B$4/100*Table1[[#This Row],[BW40_3705]]),"")</f>
        <v/>
      </c>
      <c r="H1893" s="7" t="str">
        <f>IF(Table1[[#This Row],[Is Data Valid]]=TRUE,((Table1[[#This Row],[Birthweight (grams)]]*0.9/Table1[[#This Row],[BW_GA]])-1)/(Backend!$B$4/100*Table1[[#This Row],[BW40_3705]]),"")</f>
        <v/>
      </c>
      <c r="I1893" s="7" t="str">
        <f>IF(Table1[[#This Row],[Is Data Valid]]=TRUE,((Table1[[#This Row],[Birthweight (grams)]]*1.1/Table1[[#This Row],[BW_GA]])-1)/(Backend!$B$4/100*Table1[[#This Row],[BW40_3705]]),"")</f>
        <v/>
      </c>
      <c r="J1893" s="7" t="str">
        <f>IF(Table1[[#This Row],[Is Data Valid]]=TRUE,_xlfn.NORM.S.DIST(Table1[[#This Row],[Birthweight Z-Score]],TRUE)*100,"")</f>
        <v/>
      </c>
      <c r="K1893" s="7" t="str">
        <f>IF(Table1[[#This Row],[Is Data Valid]]=TRUE,_xlfn.NORM.S.DIST(Table1[[#This Row],[Birthweight Z-Score (BW-10%)]],TRUE)*100,"")</f>
        <v/>
      </c>
      <c r="L1893" s="7" t="str">
        <f>IF(Table1[[#This Row],[Is Data Valid]]=TRUE,_xlfn.NORM.S.DIST(Table1[[#This Row],[Birthweight Z-Score (BW+10%)]],TRUE)*100,"")</f>
        <v/>
      </c>
    </row>
    <row r="1894" spans="1:12" x14ac:dyDescent="0.35">
      <c r="A1894" s="3"/>
      <c r="B1894" s="2"/>
      <c r="C1894" s="2"/>
      <c r="D1894" s="2" t="b">
        <f>IF(AND(NOT(ISBLANK(Table1[[#This Row],[Fetal Sex (Male, Female or Unknown)]])),ISNUMBER(Table1[[#This Row],[Birthweight (grams)]]),ISNUMBER(Table1[[#This Row],[Gestation (days)]])),TRUE,FALSE)</f>
        <v>0</v>
      </c>
      <c r="E1894" s="2" t="str">
        <f>IF(Table1[[#This Row],[Is Data Valid]]=TRUE,IF(Table1[[#This Row],[Fetal Sex (Male, Female or Unknown)]]="Male",Backend!$C$6,IF(Table1[[#This Row],[Fetal Sex (Male, Female or Unknown)]]="Female",Backend!$C$7,IF(Table1[[#This Row],[Fetal Sex (Male, Female or Unknown)]]="Unknown",Backend!$C$8,"Error"))),"")</f>
        <v/>
      </c>
      <c r="F1894" s="8" t="str">
        <f>IF(Table1[[#This Row],[Is Data Valid]]=TRUE,EXP(0.578+0.332*((Table1[[#This Row],[Gestation (days)]]+0.5)/7)-0.00354*((Table1[[#This Row],[Gestation (days)]]+0.5)/7)^2)*Table1[[#This Row],[BW40_3705]],"")</f>
        <v/>
      </c>
      <c r="G1894" s="2" t="str">
        <f>IF(Table1[[#This Row],[Is Data Valid]]=TRUE,((Table1[[#This Row],[Birthweight (grams)]]/Table1[[#This Row],[BW_GA]])-1)/(Backend!$B$4/100*Table1[[#This Row],[BW40_3705]]),"")</f>
        <v/>
      </c>
      <c r="H1894" s="7" t="str">
        <f>IF(Table1[[#This Row],[Is Data Valid]]=TRUE,((Table1[[#This Row],[Birthweight (grams)]]*0.9/Table1[[#This Row],[BW_GA]])-1)/(Backend!$B$4/100*Table1[[#This Row],[BW40_3705]]),"")</f>
        <v/>
      </c>
      <c r="I1894" s="7" t="str">
        <f>IF(Table1[[#This Row],[Is Data Valid]]=TRUE,((Table1[[#This Row],[Birthweight (grams)]]*1.1/Table1[[#This Row],[BW_GA]])-1)/(Backend!$B$4/100*Table1[[#This Row],[BW40_3705]]),"")</f>
        <v/>
      </c>
      <c r="J1894" s="7" t="str">
        <f>IF(Table1[[#This Row],[Is Data Valid]]=TRUE,_xlfn.NORM.S.DIST(Table1[[#This Row],[Birthweight Z-Score]],TRUE)*100,"")</f>
        <v/>
      </c>
      <c r="K1894" s="7" t="str">
        <f>IF(Table1[[#This Row],[Is Data Valid]]=TRUE,_xlfn.NORM.S.DIST(Table1[[#This Row],[Birthweight Z-Score (BW-10%)]],TRUE)*100,"")</f>
        <v/>
      </c>
      <c r="L1894" s="7" t="str">
        <f>IF(Table1[[#This Row],[Is Data Valid]]=TRUE,_xlfn.NORM.S.DIST(Table1[[#This Row],[Birthweight Z-Score (BW+10%)]],TRUE)*100,"")</f>
        <v/>
      </c>
    </row>
    <row r="1895" spans="1:12" x14ac:dyDescent="0.35">
      <c r="A1895" s="3"/>
      <c r="B1895" s="2"/>
      <c r="C1895" s="2"/>
      <c r="D1895" s="2" t="b">
        <f>IF(AND(NOT(ISBLANK(Table1[[#This Row],[Fetal Sex (Male, Female or Unknown)]])),ISNUMBER(Table1[[#This Row],[Birthweight (grams)]]),ISNUMBER(Table1[[#This Row],[Gestation (days)]])),TRUE,FALSE)</f>
        <v>0</v>
      </c>
      <c r="E1895" s="2" t="str">
        <f>IF(Table1[[#This Row],[Is Data Valid]]=TRUE,IF(Table1[[#This Row],[Fetal Sex (Male, Female or Unknown)]]="Male",Backend!$C$6,IF(Table1[[#This Row],[Fetal Sex (Male, Female or Unknown)]]="Female",Backend!$C$7,IF(Table1[[#This Row],[Fetal Sex (Male, Female or Unknown)]]="Unknown",Backend!$C$8,"Error"))),"")</f>
        <v/>
      </c>
      <c r="F1895" s="8" t="str">
        <f>IF(Table1[[#This Row],[Is Data Valid]]=TRUE,EXP(0.578+0.332*((Table1[[#This Row],[Gestation (days)]]+0.5)/7)-0.00354*((Table1[[#This Row],[Gestation (days)]]+0.5)/7)^2)*Table1[[#This Row],[BW40_3705]],"")</f>
        <v/>
      </c>
      <c r="G1895" s="2" t="str">
        <f>IF(Table1[[#This Row],[Is Data Valid]]=TRUE,((Table1[[#This Row],[Birthweight (grams)]]/Table1[[#This Row],[BW_GA]])-1)/(Backend!$B$4/100*Table1[[#This Row],[BW40_3705]]),"")</f>
        <v/>
      </c>
      <c r="H1895" s="7" t="str">
        <f>IF(Table1[[#This Row],[Is Data Valid]]=TRUE,((Table1[[#This Row],[Birthweight (grams)]]*0.9/Table1[[#This Row],[BW_GA]])-1)/(Backend!$B$4/100*Table1[[#This Row],[BW40_3705]]),"")</f>
        <v/>
      </c>
      <c r="I1895" s="7" t="str">
        <f>IF(Table1[[#This Row],[Is Data Valid]]=TRUE,((Table1[[#This Row],[Birthweight (grams)]]*1.1/Table1[[#This Row],[BW_GA]])-1)/(Backend!$B$4/100*Table1[[#This Row],[BW40_3705]]),"")</f>
        <v/>
      </c>
      <c r="J1895" s="7" t="str">
        <f>IF(Table1[[#This Row],[Is Data Valid]]=TRUE,_xlfn.NORM.S.DIST(Table1[[#This Row],[Birthweight Z-Score]],TRUE)*100,"")</f>
        <v/>
      </c>
      <c r="K1895" s="7" t="str">
        <f>IF(Table1[[#This Row],[Is Data Valid]]=TRUE,_xlfn.NORM.S.DIST(Table1[[#This Row],[Birthweight Z-Score (BW-10%)]],TRUE)*100,"")</f>
        <v/>
      </c>
      <c r="L1895" s="7" t="str">
        <f>IF(Table1[[#This Row],[Is Data Valid]]=TRUE,_xlfn.NORM.S.DIST(Table1[[#This Row],[Birthweight Z-Score (BW+10%)]],TRUE)*100,"")</f>
        <v/>
      </c>
    </row>
    <row r="1896" spans="1:12" x14ac:dyDescent="0.35">
      <c r="A1896" s="3"/>
      <c r="B1896" s="2"/>
      <c r="C1896" s="2"/>
      <c r="D1896" s="2" t="b">
        <f>IF(AND(NOT(ISBLANK(Table1[[#This Row],[Fetal Sex (Male, Female or Unknown)]])),ISNUMBER(Table1[[#This Row],[Birthweight (grams)]]),ISNUMBER(Table1[[#This Row],[Gestation (days)]])),TRUE,FALSE)</f>
        <v>0</v>
      </c>
      <c r="E1896" s="2" t="str">
        <f>IF(Table1[[#This Row],[Is Data Valid]]=TRUE,IF(Table1[[#This Row],[Fetal Sex (Male, Female or Unknown)]]="Male",Backend!$C$6,IF(Table1[[#This Row],[Fetal Sex (Male, Female or Unknown)]]="Female",Backend!$C$7,IF(Table1[[#This Row],[Fetal Sex (Male, Female or Unknown)]]="Unknown",Backend!$C$8,"Error"))),"")</f>
        <v/>
      </c>
      <c r="F1896" s="8" t="str">
        <f>IF(Table1[[#This Row],[Is Data Valid]]=TRUE,EXP(0.578+0.332*((Table1[[#This Row],[Gestation (days)]]+0.5)/7)-0.00354*((Table1[[#This Row],[Gestation (days)]]+0.5)/7)^2)*Table1[[#This Row],[BW40_3705]],"")</f>
        <v/>
      </c>
      <c r="G1896" s="2" t="str">
        <f>IF(Table1[[#This Row],[Is Data Valid]]=TRUE,((Table1[[#This Row],[Birthweight (grams)]]/Table1[[#This Row],[BW_GA]])-1)/(Backend!$B$4/100*Table1[[#This Row],[BW40_3705]]),"")</f>
        <v/>
      </c>
      <c r="H1896" s="7" t="str">
        <f>IF(Table1[[#This Row],[Is Data Valid]]=TRUE,((Table1[[#This Row],[Birthweight (grams)]]*0.9/Table1[[#This Row],[BW_GA]])-1)/(Backend!$B$4/100*Table1[[#This Row],[BW40_3705]]),"")</f>
        <v/>
      </c>
      <c r="I1896" s="7" t="str">
        <f>IF(Table1[[#This Row],[Is Data Valid]]=TRUE,((Table1[[#This Row],[Birthweight (grams)]]*1.1/Table1[[#This Row],[BW_GA]])-1)/(Backend!$B$4/100*Table1[[#This Row],[BW40_3705]]),"")</f>
        <v/>
      </c>
      <c r="J1896" s="7" t="str">
        <f>IF(Table1[[#This Row],[Is Data Valid]]=TRUE,_xlfn.NORM.S.DIST(Table1[[#This Row],[Birthweight Z-Score]],TRUE)*100,"")</f>
        <v/>
      </c>
      <c r="K1896" s="7" t="str">
        <f>IF(Table1[[#This Row],[Is Data Valid]]=TRUE,_xlfn.NORM.S.DIST(Table1[[#This Row],[Birthweight Z-Score (BW-10%)]],TRUE)*100,"")</f>
        <v/>
      </c>
      <c r="L1896" s="7" t="str">
        <f>IF(Table1[[#This Row],[Is Data Valid]]=TRUE,_xlfn.NORM.S.DIST(Table1[[#This Row],[Birthweight Z-Score (BW+10%)]],TRUE)*100,"")</f>
        <v/>
      </c>
    </row>
    <row r="1897" spans="1:12" x14ac:dyDescent="0.35">
      <c r="A1897" s="3"/>
      <c r="B1897" s="2"/>
      <c r="C1897" s="2"/>
      <c r="D1897" s="2" t="b">
        <f>IF(AND(NOT(ISBLANK(Table1[[#This Row],[Fetal Sex (Male, Female or Unknown)]])),ISNUMBER(Table1[[#This Row],[Birthweight (grams)]]),ISNUMBER(Table1[[#This Row],[Gestation (days)]])),TRUE,FALSE)</f>
        <v>0</v>
      </c>
      <c r="E1897" s="2" t="str">
        <f>IF(Table1[[#This Row],[Is Data Valid]]=TRUE,IF(Table1[[#This Row],[Fetal Sex (Male, Female or Unknown)]]="Male",Backend!$C$6,IF(Table1[[#This Row],[Fetal Sex (Male, Female or Unknown)]]="Female",Backend!$C$7,IF(Table1[[#This Row],[Fetal Sex (Male, Female or Unknown)]]="Unknown",Backend!$C$8,"Error"))),"")</f>
        <v/>
      </c>
      <c r="F1897" s="8" t="str">
        <f>IF(Table1[[#This Row],[Is Data Valid]]=TRUE,EXP(0.578+0.332*((Table1[[#This Row],[Gestation (days)]]+0.5)/7)-0.00354*((Table1[[#This Row],[Gestation (days)]]+0.5)/7)^2)*Table1[[#This Row],[BW40_3705]],"")</f>
        <v/>
      </c>
      <c r="G1897" s="2" t="str">
        <f>IF(Table1[[#This Row],[Is Data Valid]]=TRUE,((Table1[[#This Row],[Birthweight (grams)]]/Table1[[#This Row],[BW_GA]])-1)/(Backend!$B$4/100*Table1[[#This Row],[BW40_3705]]),"")</f>
        <v/>
      </c>
      <c r="H1897" s="7" t="str">
        <f>IF(Table1[[#This Row],[Is Data Valid]]=TRUE,((Table1[[#This Row],[Birthweight (grams)]]*0.9/Table1[[#This Row],[BW_GA]])-1)/(Backend!$B$4/100*Table1[[#This Row],[BW40_3705]]),"")</f>
        <v/>
      </c>
      <c r="I1897" s="7" t="str">
        <f>IF(Table1[[#This Row],[Is Data Valid]]=TRUE,((Table1[[#This Row],[Birthweight (grams)]]*1.1/Table1[[#This Row],[BW_GA]])-1)/(Backend!$B$4/100*Table1[[#This Row],[BW40_3705]]),"")</f>
        <v/>
      </c>
      <c r="J1897" s="7" t="str">
        <f>IF(Table1[[#This Row],[Is Data Valid]]=TRUE,_xlfn.NORM.S.DIST(Table1[[#This Row],[Birthweight Z-Score]],TRUE)*100,"")</f>
        <v/>
      </c>
      <c r="K1897" s="7" t="str">
        <f>IF(Table1[[#This Row],[Is Data Valid]]=TRUE,_xlfn.NORM.S.DIST(Table1[[#This Row],[Birthweight Z-Score (BW-10%)]],TRUE)*100,"")</f>
        <v/>
      </c>
      <c r="L1897" s="7" t="str">
        <f>IF(Table1[[#This Row],[Is Data Valid]]=TRUE,_xlfn.NORM.S.DIST(Table1[[#This Row],[Birthweight Z-Score (BW+10%)]],TRUE)*100,"")</f>
        <v/>
      </c>
    </row>
    <row r="1898" spans="1:12" x14ac:dyDescent="0.35">
      <c r="A1898" s="3"/>
      <c r="B1898" s="2"/>
      <c r="C1898" s="2"/>
      <c r="D1898" s="2" t="b">
        <f>IF(AND(NOT(ISBLANK(Table1[[#This Row],[Fetal Sex (Male, Female or Unknown)]])),ISNUMBER(Table1[[#This Row],[Birthweight (grams)]]),ISNUMBER(Table1[[#This Row],[Gestation (days)]])),TRUE,FALSE)</f>
        <v>0</v>
      </c>
      <c r="E1898" s="2" t="str">
        <f>IF(Table1[[#This Row],[Is Data Valid]]=TRUE,IF(Table1[[#This Row],[Fetal Sex (Male, Female or Unknown)]]="Male",Backend!$C$6,IF(Table1[[#This Row],[Fetal Sex (Male, Female or Unknown)]]="Female",Backend!$C$7,IF(Table1[[#This Row],[Fetal Sex (Male, Female or Unknown)]]="Unknown",Backend!$C$8,"Error"))),"")</f>
        <v/>
      </c>
      <c r="F1898" s="8" t="str">
        <f>IF(Table1[[#This Row],[Is Data Valid]]=TRUE,EXP(0.578+0.332*((Table1[[#This Row],[Gestation (days)]]+0.5)/7)-0.00354*((Table1[[#This Row],[Gestation (days)]]+0.5)/7)^2)*Table1[[#This Row],[BW40_3705]],"")</f>
        <v/>
      </c>
      <c r="G1898" s="2" t="str">
        <f>IF(Table1[[#This Row],[Is Data Valid]]=TRUE,((Table1[[#This Row],[Birthweight (grams)]]/Table1[[#This Row],[BW_GA]])-1)/(Backend!$B$4/100*Table1[[#This Row],[BW40_3705]]),"")</f>
        <v/>
      </c>
      <c r="H1898" s="7" t="str">
        <f>IF(Table1[[#This Row],[Is Data Valid]]=TRUE,((Table1[[#This Row],[Birthweight (grams)]]*0.9/Table1[[#This Row],[BW_GA]])-1)/(Backend!$B$4/100*Table1[[#This Row],[BW40_3705]]),"")</f>
        <v/>
      </c>
      <c r="I1898" s="7" t="str">
        <f>IF(Table1[[#This Row],[Is Data Valid]]=TRUE,((Table1[[#This Row],[Birthweight (grams)]]*1.1/Table1[[#This Row],[BW_GA]])-1)/(Backend!$B$4/100*Table1[[#This Row],[BW40_3705]]),"")</f>
        <v/>
      </c>
      <c r="J1898" s="7" t="str">
        <f>IF(Table1[[#This Row],[Is Data Valid]]=TRUE,_xlfn.NORM.S.DIST(Table1[[#This Row],[Birthweight Z-Score]],TRUE)*100,"")</f>
        <v/>
      </c>
      <c r="K1898" s="7" t="str">
        <f>IF(Table1[[#This Row],[Is Data Valid]]=TRUE,_xlfn.NORM.S.DIST(Table1[[#This Row],[Birthweight Z-Score (BW-10%)]],TRUE)*100,"")</f>
        <v/>
      </c>
      <c r="L1898" s="7" t="str">
        <f>IF(Table1[[#This Row],[Is Data Valid]]=TRUE,_xlfn.NORM.S.DIST(Table1[[#This Row],[Birthweight Z-Score (BW+10%)]],TRUE)*100,"")</f>
        <v/>
      </c>
    </row>
    <row r="1899" spans="1:12" x14ac:dyDescent="0.35">
      <c r="A1899" s="3"/>
      <c r="B1899" s="2"/>
      <c r="C1899" s="2"/>
      <c r="D1899" s="2" t="b">
        <f>IF(AND(NOT(ISBLANK(Table1[[#This Row],[Fetal Sex (Male, Female or Unknown)]])),ISNUMBER(Table1[[#This Row],[Birthweight (grams)]]),ISNUMBER(Table1[[#This Row],[Gestation (days)]])),TRUE,FALSE)</f>
        <v>0</v>
      </c>
      <c r="E1899" s="2" t="str">
        <f>IF(Table1[[#This Row],[Is Data Valid]]=TRUE,IF(Table1[[#This Row],[Fetal Sex (Male, Female or Unknown)]]="Male",Backend!$C$6,IF(Table1[[#This Row],[Fetal Sex (Male, Female or Unknown)]]="Female",Backend!$C$7,IF(Table1[[#This Row],[Fetal Sex (Male, Female or Unknown)]]="Unknown",Backend!$C$8,"Error"))),"")</f>
        <v/>
      </c>
      <c r="F1899" s="8" t="str">
        <f>IF(Table1[[#This Row],[Is Data Valid]]=TRUE,EXP(0.578+0.332*((Table1[[#This Row],[Gestation (days)]]+0.5)/7)-0.00354*((Table1[[#This Row],[Gestation (days)]]+0.5)/7)^2)*Table1[[#This Row],[BW40_3705]],"")</f>
        <v/>
      </c>
      <c r="G1899" s="2" t="str">
        <f>IF(Table1[[#This Row],[Is Data Valid]]=TRUE,((Table1[[#This Row],[Birthweight (grams)]]/Table1[[#This Row],[BW_GA]])-1)/(Backend!$B$4/100*Table1[[#This Row],[BW40_3705]]),"")</f>
        <v/>
      </c>
      <c r="H1899" s="7" t="str">
        <f>IF(Table1[[#This Row],[Is Data Valid]]=TRUE,((Table1[[#This Row],[Birthweight (grams)]]*0.9/Table1[[#This Row],[BW_GA]])-1)/(Backend!$B$4/100*Table1[[#This Row],[BW40_3705]]),"")</f>
        <v/>
      </c>
      <c r="I1899" s="7" t="str">
        <f>IF(Table1[[#This Row],[Is Data Valid]]=TRUE,((Table1[[#This Row],[Birthweight (grams)]]*1.1/Table1[[#This Row],[BW_GA]])-1)/(Backend!$B$4/100*Table1[[#This Row],[BW40_3705]]),"")</f>
        <v/>
      </c>
      <c r="J1899" s="7" t="str">
        <f>IF(Table1[[#This Row],[Is Data Valid]]=TRUE,_xlfn.NORM.S.DIST(Table1[[#This Row],[Birthweight Z-Score]],TRUE)*100,"")</f>
        <v/>
      </c>
      <c r="K1899" s="7" t="str">
        <f>IF(Table1[[#This Row],[Is Data Valid]]=TRUE,_xlfn.NORM.S.DIST(Table1[[#This Row],[Birthweight Z-Score (BW-10%)]],TRUE)*100,"")</f>
        <v/>
      </c>
      <c r="L1899" s="7" t="str">
        <f>IF(Table1[[#This Row],[Is Data Valid]]=TRUE,_xlfn.NORM.S.DIST(Table1[[#This Row],[Birthweight Z-Score (BW+10%)]],TRUE)*100,"")</f>
        <v/>
      </c>
    </row>
    <row r="1900" spans="1:12" x14ac:dyDescent="0.35">
      <c r="A1900" s="3"/>
      <c r="B1900" s="2"/>
      <c r="C1900" s="2"/>
      <c r="D1900" s="2" t="b">
        <f>IF(AND(NOT(ISBLANK(Table1[[#This Row],[Fetal Sex (Male, Female or Unknown)]])),ISNUMBER(Table1[[#This Row],[Birthweight (grams)]]),ISNUMBER(Table1[[#This Row],[Gestation (days)]])),TRUE,FALSE)</f>
        <v>0</v>
      </c>
      <c r="E1900" s="2" t="str">
        <f>IF(Table1[[#This Row],[Is Data Valid]]=TRUE,IF(Table1[[#This Row],[Fetal Sex (Male, Female or Unknown)]]="Male",Backend!$C$6,IF(Table1[[#This Row],[Fetal Sex (Male, Female or Unknown)]]="Female",Backend!$C$7,IF(Table1[[#This Row],[Fetal Sex (Male, Female or Unknown)]]="Unknown",Backend!$C$8,"Error"))),"")</f>
        <v/>
      </c>
      <c r="F1900" s="8" t="str">
        <f>IF(Table1[[#This Row],[Is Data Valid]]=TRUE,EXP(0.578+0.332*((Table1[[#This Row],[Gestation (days)]]+0.5)/7)-0.00354*((Table1[[#This Row],[Gestation (days)]]+0.5)/7)^2)*Table1[[#This Row],[BW40_3705]],"")</f>
        <v/>
      </c>
      <c r="G1900" s="2" t="str">
        <f>IF(Table1[[#This Row],[Is Data Valid]]=TRUE,((Table1[[#This Row],[Birthweight (grams)]]/Table1[[#This Row],[BW_GA]])-1)/(Backend!$B$4/100*Table1[[#This Row],[BW40_3705]]),"")</f>
        <v/>
      </c>
      <c r="H1900" s="7" t="str">
        <f>IF(Table1[[#This Row],[Is Data Valid]]=TRUE,((Table1[[#This Row],[Birthweight (grams)]]*0.9/Table1[[#This Row],[BW_GA]])-1)/(Backend!$B$4/100*Table1[[#This Row],[BW40_3705]]),"")</f>
        <v/>
      </c>
      <c r="I1900" s="7" t="str">
        <f>IF(Table1[[#This Row],[Is Data Valid]]=TRUE,((Table1[[#This Row],[Birthweight (grams)]]*1.1/Table1[[#This Row],[BW_GA]])-1)/(Backend!$B$4/100*Table1[[#This Row],[BW40_3705]]),"")</f>
        <v/>
      </c>
      <c r="J1900" s="7" t="str">
        <f>IF(Table1[[#This Row],[Is Data Valid]]=TRUE,_xlfn.NORM.S.DIST(Table1[[#This Row],[Birthweight Z-Score]],TRUE)*100,"")</f>
        <v/>
      </c>
      <c r="K1900" s="7" t="str">
        <f>IF(Table1[[#This Row],[Is Data Valid]]=TRUE,_xlfn.NORM.S.DIST(Table1[[#This Row],[Birthweight Z-Score (BW-10%)]],TRUE)*100,"")</f>
        <v/>
      </c>
      <c r="L1900" s="7" t="str">
        <f>IF(Table1[[#This Row],[Is Data Valid]]=TRUE,_xlfn.NORM.S.DIST(Table1[[#This Row],[Birthweight Z-Score (BW+10%)]],TRUE)*100,"")</f>
        <v/>
      </c>
    </row>
    <row r="1901" spans="1:12" x14ac:dyDescent="0.35">
      <c r="A1901" s="3"/>
      <c r="B1901" s="2"/>
      <c r="C1901" s="2"/>
      <c r="D1901" s="2" t="b">
        <f>IF(AND(NOT(ISBLANK(Table1[[#This Row],[Fetal Sex (Male, Female or Unknown)]])),ISNUMBER(Table1[[#This Row],[Birthweight (grams)]]),ISNUMBER(Table1[[#This Row],[Gestation (days)]])),TRUE,FALSE)</f>
        <v>0</v>
      </c>
      <c r="E1901" s="2" t="str">
        <f>IF(Table1[[#This Row],[Is Data Valid]]=TRUE,IF(Table1[[#This Row],[Fetal Sex (Male, Female or Unknown)]]="Male",Backend!$C$6,IF(Table1[[#This Row],[Fetal Sex (Male, Female or Unknown)]]="Female",Backend!$C$7,IF(Table1[[#This Row],[Fetal Sex (Male, Female or Unknown)]]="Unknown",Backend!$C$8,"Error"))),"")</f>
        <v/>
      </c>
      <c r="F1901" s="8" t="str">
        <f>IF(Table1[[#This Row],[Is Data Valid]]=TRUE,EXP(0.578+0.332*((Table1[[#This Row],[Gestation (days)]]+0.5)/7)-0.00354*((Table1[[#This Row],[Gestation (days)]]+0.5)/7)^2)*Table1[[#This Row],[BW40_3705]],"")</f>
        <v/>
      </c>
      <c r="G1901" s="2" t="str">
        <f>IF(Table1[[#This Row],[Is Data Valid]]=TRUE,((Table1[[#This Row],[Birthweight (grams)]]/Table1[[#This Row],[BW_GA]])-1)/(Backend!$B$4/100*Table1[[#This Row],[BW40_3705]]),"")</f>
        <v/>
      </c>
      <c r="H1901" s="7" t="str">
        <f>IF(Table1[[#This Row],[Is Data Valid]]=TRUE,((Table1[[#This Row],[Birthweight (grams)]]*0.9/Table1[[#This Row],[BW_GA]])-1)/(Backend!$B$4/100*Table1[[#This Row],[BW40_3705]]),"")</f>
        <v/>
      </c>
      <c r="I1901" s="7" t="str">
        <f>IF(Table1[[#This Row],[Is Data Valid]]=TRUE,((Table1[[#This Row],[Birthweight (grams)]]*1.1/Table1[[#This Row],[BW_GA]])-1)/(Backend!$B$4/100*Table1[[#This Row],[BW40_3705]]),"")</f>
        <v/>
      </c>
      <c r="J1901" s="7" t="str">
        <f>IF(Table1[[#This Row],[Is Data Valid]]=TRUE,_xlfn.NORM.S.DIST(Table1[[#This Row],[Birthweight Z-Score]],TRUE)*100,"")</f>
        <v/>
      </c>
      <c r="K1901" s="7" t="str">
        <f>IF(Table1[[#This Row],[Is Data Valid]]=TRUE,_xlfn.NORM.S.DIST(Table1[[#This Row],[Birthweight Z-Score (BW-10%)]],TRUE)*100,"")</f>
        <v/>
      </c>
      <c r="L1901" s="7" t="str">
        <f>IF(Table1[[#This Row],[Is Data Valid]]=TRUE,_xlfn.NORM.S.DIST(Table1[[#This Row],[Birthweight Z-Score (BW+10%)]],TRUE)*100,"")</f>
        <v/>
      </c>
    </row>
    <row r="1902" spans="1:12" x14ac:dyDescent="0.35">
      <c r="A1902" s="3"/>
      <c r="B1902" s="2"/>
      <c r="C1902" s="2"/>
      <c r="D1902" s="2" t="b">
        <f>IF(AND(NOT(ISBLANK(Table1[[#This Row],[Fetal Sex (Male, Female or Unknown)]])),ISNUMBER(Table1[[#This Row],[Birthweight (grams)]]),ISNUMBER(Table1[[#This Row],[Gestation (days)]])),TRUE,FALSE)</f>
        <v>0</v>
      </c>
      <c r="E1902" s="2" t="str">
        <f>IF(Table1[[#This Row],[Is Data Valid]]=TRUE,IF(Table1[[#This Row],[Fetal Sex (Male, Female or Unknown)]]="Male",Backend!$C$6,IF(Table1[[#This Row],[Fetal Sex (Male, Female or Unknown)]]="Female",Backend!$C$7,IF(Table1[[#This Row],[Fetal Sex (Male, Female or Unknown)]]="Unknown",Backend!$C$8,"Error"))),"")</f>
        <v/>
      </c>
      <c r="F1902" s="8" t="str">
        <f>IF(Table1[[#This Row],[Is Data Valid]]=TRUE,EXP(0.578+0.332*((Table1[[#This Row],[Gestation (days)]]+0.5)/7)-0.00354*((Table1[[#This Row],[Gestation (days)]]+0.5)/7)^2)*Table1[[#This Row],[BW40_3705]],"")</f>
        <v/>
      </c>
      <c r="G1902" s="2" t="str">
        <f>IF(Table1[[#This Row],[Is Data Valid]]=TRUE,((Table1[[#This Row],[Birthweight (grams)]]/Table1[[#This Row],[BW_GA]])-1)/(Backend!$B$4/100*Table1[[#This Row],[BW40_3705]]),"")</f>
        <v/>
      </c>
      <c r="H1902" s="7" t="str">
        <f>IF(Table1[[#This Row],[Is Data Valid]]=TRUE,((Table1[[#This Row],[Birthweight (grams)]]*0.9/Table1[[#This Row],[BW_GA]])-1)/(Backend!$B$4/100*Table1[[#This Row],[BW40_3705]]),"")</f>
        <v/>
      </c>
      <c r="I1902" s="7" t="str">
        <f>IF(Table1[[#This Row],[Is Data Valid]]=TRUE,((Table1[[#This Row],[Birthweight (grams)]]*1.1/Table1[[#This Row],[BW_GA]])-1)/(Backend!$B$4/100*Table1[[#This Row],[BW40_3705]]),"")</f>
        <v/>
      </c>
      <c r="J1902" s="7" t="str">
        <f>IF(Table1[[#This Row],[Is Data Valid]]=TRUE,_xlfn.NORM.S.DIST(Table1[[#This Row],[Birthweight Z-Score]],TRUE)*100,"")</f>
        <v/>
      </c>
      <c r="K1902" s="7" t="str">
        <f>IF(Table1[[#This Row],[Is Data Valid]]=TRUE,_xlfn.NORM.S.DIST(Table1[[#This Row],[Birthweight Z-Score (BW-10%)]],TRUE)*100,"")</f>
        <v/>
      </c>
      <c r="L1902" s="7" t="str">
        <f>IF(Table1[[#This Row],[Is Data Valid]]=TRUE,_xlfn.NORM.S.DIST(Table1[[#This Row],[Birthweight Z-Score (BW+10%)]],TRUE)*100,"")</f>
        <v/>
      </c>
    </row>
    <row r="1903" spans="1:12" x14ac:dyDescent="0.35">
      <c r="A1903" s="3"/>
      <c r="B1903" s="2"/>
      <c r="C1903" s="2"/>
      <c r="D1903" s="2" t="b">
        <f>IF(AND(NOT(ISBLANK(Table1[[#This Row],[Fetal Sex (Male, Female or Unknown)]])),ISNUMBER(Table1[[#This Row],[Birthweight (grams)]]),ISNUMBER(Table1[[#This Row],[Gestation (days)]])),TRUE,FALSE)</f>
        <v>0</v>
      </c>
      <c r="E1903" s="2" t="str">
        <f>IF(Table1[[#This Row],[Is Data Valid]]=TRUE,IF(Table1[[#This Row],[Fetal Sex (Male, Female or Unknown)]]="Male",Backend!$C$6,IF(Table1[[#This Row],[Fetal Sex (Male, Female or Unknown)]]="Female",Backend!$C$7,IF(Table1[[#This Row],[Fetal Sex (Male, Female or Unknown)]]="Unknown",Backend!$C$8,"Error"))),"")</f>
        <v/>
      </c>
      <c r="F1903" s="8" t="str">
        <f>IF(Table1[[#This Row],[Is Data Valid]]=TRUE,EXP(0.578+0.332*((Table1[[#This Row],[Gestation (days)]]+0.5)/7)-0.00354*((Table1[[#This Row],[Gestation (days)]]+0.5)/7)^2)*Table1[[#This Row],[BW40_3705]],"")</f>
        <v/>
      </c>
      <c r="G1903" s="2" t="str">
        <f>IF(Table1[[#This Row],[Is Data Valid]]=TRUE,((Table1[[#This Row],[Birthweight (grams)]]/Table1[[#This Row],[BW_GA]])-1)/(Backend!$B$4/100*Table1[[#This Row],[BW40_3705]]),"")</f>
        <v/>
      </c>
      <c r="H1903" s="7" t="str">
        <f>IF(Table1[[#This Row],[Is Data Valid]]=TRUE,((Table1[[#This Row],[Birthweight (grams)]]*0.9/Table1[[#This Row],[BW_GA]])-1)/(Backend!$B$4/100*Table1[[#This Row],[BW40_3705]]),"")</f>
        <v/>
      </c>
      <c r="I1903" s="7" t="str">
        <f>IF(Table1[[#This Row],[Is Data Valid]]=TRUE,((Table1[[#This Row],[Birthweight (grams)]]*1.1/Table1[[#This Row],[BW_GA]])-1)/(Backend!$B$4/100*Table1[[#This Row],[BW40_3705]]),"")</f>
        <v/>
      </c>
      <c r="J1903" s="7" t="str">
        <f>IF(Table1[[#This Row],[Is Data Valid]]=TRUE,_xlfn.NORM.S.DIST(Table1[[#This Row],[Birthweight Z-Score]],TRUE)*100,"")</f>
        <v/>
      </c>
      <c r="K1903" s="7" t="str">
        <f>IF(Table1[[#This Row],[Is Data Valid]]=TRUE,_xlfn.NORM.S.DIST(Table1[[#This Row],[Birthweight Z-Score (BW-10%)]],TRUE)*100,"")</f>
        <v/>
      </c>
      <c r="L1903" s="7" t="str">
        <f>IF(Table1[[#This Row],[Is Data Valid]]=TRUE,_xlfn.NORM.S.DIST(Table1[[#This Row],[Birthweight Z-Score (BW+10%)]],TRUE)*100,"")</f>
        <v/>
      </c>
    </row>
    <row r="1904" spans="1:12" x14ac:dyDescent="0.35">
      <c r="A1904" s="3"/>
      <c r="B1904" s="2"/>
      <c r="C1904" s="2"/>
      <c r="D1904" s="2" t="b">
        <f>IF(AND(NOT(ISBLANK(Table1[[#This Row],[Fetal Sex (Male, Female or Unknown)]])),ISNUMBER(Table1[[#This Row],[Birthweight (grams)]]),ISNUMBER(Table1[[#This Row],[Gestation (days)]])),TRUE,FALSE)</f>
        <v>0</v>
      </c>
      <c r="E1904" s="2" t="str">
        <f>IF(Table1[[#This Row],[Is Data Valid]]=TRUE,IF(Table1[[#This Row],[Fetal Sex (Male, Female or Unknown)]]="Male",Backend!$C$6,IF(Table1[[#This Row],[Fetal Sex (Male, Female or Unknown)]]="Female",Backend!$C$7,IF(Table1[[#This Row],[Fetal Sex (Male, Female or Unknown)]]="Unknown",Backend!$C$8,"Error"))),"")</f>
        <v/>
      </c>
      <c r="F1904" s="8" t="str">
        <f>IF(Table1[[#This Row],[Is Data Valid]]=TRUE,EXP(0.578+0.332*((Table1[[#This Row],[Gestation (days)]]+0.5)/7)-0.00354*((Table1[[#This Row],[Gestation (days)]]+0.5)/7)^2)*Table1[[#This Row],[BW40_3705]],"")</f>
        <v/>
      </c>
      <c r="G1904" s="2" t="str">
        <f>IF(Table1[[#This Row],[Is Data Valid]]=TRUE,((Table1[[#This Row],[Birthweight (grams)]]/Table1[[#This Row],[BW_GA]])-1)/(Backend!$B$4/100*Table1[[#This Row],[BW40_3705]]),"")</f>
        <v/>
      </c>
      <c r="H1904" s="7" t="str">
        <f>IF(Table1[[#This Row],[Is Data Valid]]=TRUE,((Table1[[#This Row],[Birthweight (grams)]]*0.9/Table1[[#This Row],[BW_GA]])-1)/(Backend!$B$4/100*Table1[[#This Row],[BW40_3705]]),"")</f>
        <v/>
      </c>
      <c r="I1904" s="7" t="str">
        <f>IF(Table1[[#This Row],[Is Data Valid]]=TRUE,((Table1[[#This Row],[Birthweight (grams)]]*1.1/Table1[[#This Row],[BW_GA]])-1)/(Backend!$B$4/100*Table1[[#This Row],[BW40_3705]]),"")</f>
        <v/>
      </c>
      <c r="J1904" s="7" t="str">
        <f>IF(Table1[[#This Row],[Is Data Valid]]=TRUE,_xlfn.NORM.S.DIST(Table1[[#This Row],[Birthweight Z-Score]],TRUE)*100,"")</f>
        <v/>
      </c>
      <c r="K1904" s="7" t="str">
        <f>IF(Table1[[#This Row],[Is Data Valid]]=TRUE,_xlfn.NORM.S.DIST(Table1[[#This Row],[Birthweight Z-Score (BW-10%)]],TRUE)*100,"")</f>
        <v/>
      </c>
      <c r="L1904" s="7" t="str">
        <f>IF(Table1[[#This Row],[Is Data Valid]]=TRUE,_xlfn.NORM.S.DIST(Table1[[#This Row],[Birthweight Z-Score (BW+10%)]],TRUE)*100,"")</f>
        <v/>
      </c>
    </row>
    <row r="1905" spans="1:12" x14ac:dyDescent="0.35">
      <c r="A1905" s="3"/>
      <c r="B1905" s="2"/>
      <c r="C1905" s="2"/>
      <c r="D1905" s="2" t="b">
        <f>IF(AND(NOT(ISBLANK(Table1[[#This Row],[Fetal Sex (Male, Female or Unknown)]])),ISNUMBER(Table1[[#This Row],[Birthweight (grams)]]),ISNUMBER(Table1[[#This Row],[Gestation (days)]])),TRUE,FALSE)</f>
        <v>0</v>
      </c>
      <c r="E1905" s="2" t="str">
        <f>IF(Table1[[#This Row],[Is Data Valid]]=TRUE,IF(Table1[[#This Row],[Fetal Sex (Male, Female or Unknown)]]="Male",Backend!$C$6,IF(Table1[[#This Row],[Fetal Sex (Male, Female or Unknown)]]="Female",Backend!$C$7,IF(Table1[[#This Row],[Fetal Sex (Male, Female or Unknown)]]="Unknown",Backend!$C$8,"Error"))),"")</f>
        <v/>
      </c>
      <c r="F1905" s="8" t="str">
        <f>IF(Table1[[#This Row],[Is Data Valid]]=TRUE,EXP(0.578+0.332*((Table1[[#This Row],[Gestation (days)]]+0.5)/7)-0.00354*((Table1[[#This Row],[Gestation (days)]]+0.5)/7)^2)*Table1[[#This Row],[BW40_3705]],"")</f>
        <v/>
      </c>
      <c r="G1905" s="2" t="str">
        <f>IF(Table1[[#This Row],[Is Data Valid]]=TRUE,((Table1[[#This Row],[Birthweight (grams)]]/Table1[[#This Row],[BW_GA]])-1)/(Backend!$B$4/100*Table1[[#This Row],[BW40_3705]]),"")</f>
        <v/>
      </c>
      <c r="H1905" s="7" t="str">
        <f>IF(Table1[[#This Row],[Is Data Valid]]=TRUE,((Table1[[#This Row],[Birthweight (grams)]]*0.9/Table1[[#This Row],[BW_GA]])-1)/(Backend!$B$4/100*Table1[[#This Row],[BW40_3705]]),"")</f>
        <v/>
      </c>
      <c r="I1905" s="7" t="str">
        <f>IF(Table1[[#This Row],[Is Data Valid]]=TRUE,((Table1[[#This Row],[Birthweight (grams)]]*1.1/Table1[[#This Row],[BW_GA]])-1)/(Backend!$B$4/100*Table1[[#This Row],[BW40_3705]]),"")</f>
        <v/>
      </c>
      <c r="J1905" s="7" t="str">
        <f>IF(Table1[[#This Row],[Is Data Valid]]=TRUE,_xlfn.NORM.S.DIST(Table1[[#This Row],[Birthweight Z-Score]],TRUE)*100,"")</f>
        <v/>
      </c>
      <c r="K1905" s="7" t="str">
        <f>IF(Table1[[#This Row],[Is Data Valid]]=TRUE,_xlfn.NORM.S.DIST(Table1[[#This Row],[Birthweight Z-Score (BW-10%)]],TRUE)*100,"")</f>
        <v/>
      </c>
      <c r="L1905" s="7" t="str">
        <f>IF(Table1[[#This Row],[Is Data Valid]]=TRUE,_xlfn.NORM.S.DIST(Table1[[#This Row],[Birthweight Z-Score (BW+10%)]],TRUE)*100,"")</f>
        <v/>
      </c>
    </row>
    <row r="1906" spans="1:12" x14ac:dyDescent="0.35">
      <c r="A1906" s="3"/>
      <c r="B1906" s="2"/>
      <c r="C1906" s="2"/>
      <c r="D1906" s="2" t="b">
        <f>IF(AND(NOT(ISBLANK(Table1[[#This Row],[Fetal Sex (Male, Female or Unknown)]])),ISNUMBER(Table1[[#This Row],[Birthweight (grams)]]),ISNUMBER(Table1[[#This Row],[Gestation (days)]])),TRUE,FALSE)</f>
        <v>0</v>
      </c>
      <c r="E1906" s="2" t="str">
        <f>IF(Table1[[#This Row],[Is Data Valid]]=TRUE,IF(Table1[[#This Row],[Fetal Sex (Male, Female or Unknown)]]="Male",Backend!$C$6,IF(Table1[[#This Row],[Fetal Sex (Male, Female or Unknown)]]="Female",Backend!$C$7,IF(Table1[[#This Row],[Fetal Sex (Male, Female or Unknown)]]="Unknown",Backend!$C$8,"Error"))),"")</f>
        <v/>
      </c>
      <c r="F1906" s="8" t="str">
        <f>IF(Table1[[#This Row],[Is Data Valid]]=TRUE,EXP(0.578+0.332*((Table1[[#This Row],[Gestation (days)]]+0.5)/7)-0.00354*((Table1[[#This Row],[Gestation (days)]]+0.5)/7)^2)*Table1[[#This Row],[BW40_3705]],"")</f>
        <v/>
      </c>
      <c r="G1906" s="2" t="str">
        <f>IF(Table1[[#This Row],[Is Data Valid]]=TRUE,((Table1[[#This Row],[Birthweight (grams)]]/Table1[[#This Row],[BW_GA]])-1)/(Backend!$B$4/100*Table1[[#This Row],[BW40_3705]]),"")</f>
        <v/>
      </c>
      <c r="H1906" s="7" t="str">
        <f>IF(Table1[[#This Row],[Is Data Valid]]=TRUE,((Table1[[#This Row],[Birthweight (grams)]]*0.9/Table1[[#This Row],[BW_GA]])-1)/(Backend!$B$4/100*Table1[[#This Row],[BW40_3705]]),"")</f>
        <v/>
      </c>
      <c r="I1906" s="7" t="str">
        <f>IF(Table1[[#This Row],[Is Data Valid]]=TRUE,((Table1[[#This Row],[Birthweight (grams)]]*1.1/Table1[[#This Row],[BW_GA]])-1)/(Backend!$B$4/100*Table1[[#This Row],[BW40_3705]]),"")</f>
        <v/>
      </c>
      <c r="J1906" s="7" t="str">
        <f>IF(Table1[[#This Row],[Is Data Valid]]=TRUE,_xlfn.NORM.S.DIST(Table1[[#This Row],[Birthweight Z-Score]],TRUE)*100,"")</f>
        <v/>
      </c>
      <c r="K1906" s="7" t="str">
        <f>IF(Table1[[#This Row],[Is Data Valid]]=TRUE,_xlfn.NORM.S.DIST(Table1[[#This Row],[Birthweight Z-Score (BW-10%)]],TRUE)*100,"")</f>
        <v/>
      </c>
      <c r="L1906" s="7" t="str">
        <f>IF(Table1[[#This Row],[Is Data Valid]]=TRUE,_xlfn.NORM.S.DIST(Table1[[#This Row],[Birthweight Z-Score (BW+10%)]],TRUE)*100,"")</f>
        <v/>
      </c>
    </row>
    <row r="1907" spans="1:12" x14ac:dyDescent="0.35">
      <c r="A1907" s="3"/>
      <c r="B1907" s="2"/>
      <c r="C1907" s="2"/>
      <c r="D1907" s="2" t="b">
        <f>IF(AND(NOT(ISBLANK(Table1[[#This Row],[Fetal Sex (Male, Female or Unknown)]])),ISNUMBER(Table1[[#This Row],[Birthweight (grams)]]),ISNUMBER(Table1[[#This Row],[Gestation (days)]])),TRUE,FALSE)</f>
        <v>0</v>
      </c>
      <c r="E1907" s="2" t="str">
        <f>IF(Table1[[#This Row],[Is Data Valid]]=TRUE,IF(Table1[[#This Row],[Fetal Sex (Male, Female or Unknown)]]="Male",Backend!$C$6,IF(Table1[[#This Row],[Fetal Sex (Male, Female or Unknown)]]="Female",Backend!$C$7,IF(Table1[[#This Row],[Fetal Sex (Male, Female or Unknown)]]="Unknown",Backend!$C$8,"Error"))),"")</f>
        <v/>
      </c>
      <c r="F1907" s="8" t="str">
        <f>IF(Table1[[#This Row],[Is Data Valid]]=TRUE,EXP(0.578+0.332*((Table1[[#This Row],[Gestation (days)]]+0.5)/7)-0.00354*((Table1[[#This Row],[Gestation (days)]]+0.5)/7)^2)*Table1[[#This Row],[BW40_3705]],"")</f>
        <v/>
      </c>
      <c r="G1907" s="2" t="str">
        <f>IF(Table1[[#This Row],[Is Data Valid]]=TRUE,((Table1[[#This Row],[Birthweight (grams)]]/Table1[[#This Row],[BW_GA]])-1)/(Backend!$B$4/100*Table1[[#This Row],[BW40_3705]]),"")</f>
        <v/>
      </c>
      <c r="H1907" s="7" t="str">
        <f>IF(Table1[[#This Row],[Is Data Valid]]=TRUE,((Table1[[#This Row],[Birthweight (grams)]]*0.9/Table1[[#This Row],[BW_GA]])-1)/(Backend!$B$4/100*Table1[[#This Row],[BW40_3705]]),"")</f>
        <v/>
      </c>
      <c r="I1907" s="7" t="str">
        <f>IF(Table1[[#This Row],[Is Data Valid]]=TRUE,((Table1[[#This Row],[Birthweight (grams)]]*1.1/Table1[[#This Row],[BW_GA]])-1)/(Backend!$B$4/100*Table1[[#This Row],[BW40_3705]]),"")</f>
        <v/>
      </c>
      <c r="J1907" s="7" t="str">
        <f>IF(Table1[[#This Row],[Is Data Valid]]=TRUE,_xlfn.NORM.S.DIST(Table1[[#This Row],[Birthweight Z-Score]],TRUE)*100,"")</f>
        <v/>
      </c>
      <c r="K1907" s="7" t="str">
        <f>IF(Table1[[#This Row],[Is Data Valid]]=TRUE,_xlfn.NORM.S.DIST(Table1[[#This Row],[Birthweight Z-Score (BW-10%)]],TRUE)*100,"")</f>
        <v/>
      </c>
      <c r="L1907" s="7" t="str">
        <f>IF(Table1[[#This Row],[Is Data Valid]]=TRUE,_xlfn.NORM.S.DIST(Table1[[#This Row],[Birthweight Z-Score (BW+10%)]],TRUE)*100,"")</f>
        <v/>
      </c>
    </row>
    <row r="1908" spans="1:12" x14ac:dyDescent="0.35">
      <c r="A1908" s="3"/>
      <c r="B1908" s="2"/>
      <c r="C1908" s="2"/>
      <c r="D1908" s="2" t="b">
        <f>IF(AND(NOT(ISBLANK(Table1[[#This Row],[Fetal Sex (Male, Female or Unknown)]])),ISNUMBER(Table1[[#This Row],[Birthweight (grams)]]),ISNUMBER(Table1[[#This Row],[Gestation (days)]])),TRUE,FALSE)</f>
        <v>0</v>
      </c>
      <c r="E1908" s="2" t="str">
        <f>IF(Table1[[#This Row],[Is Data Valid]]=TRUE,IF(Table1[[#This Row],[Fetal Sex (Male, Female or Unknown)]]="Male",Backend!$C$6,IF(Table1[[#This Row],[Fetal Sex (Male, Female or Unknown)]]="Female",Backend!$C$7,IF(Table1[[#This Row],[Fetal Sex (Male, Female or Unknown)]]="Unknown",Backend!$C$8,"Error"))),"")</f>
        <v/>
      </c>
      <c r="F1908" s="8" t="str">
        <f>IF(Table1[[#This Row],[Is Data Valid]]=TRUE,EXP(0.578+0.332*((Table1[[#This Row],[Gestation (days)]]+0.5)/7)-0.00354*((Table1[[#This Row],[Gestation (days)]]+0.5)/7)^2)*Table1[[#This Row],[BW40_3705]],"")</f>
        <v/>
      </c>
      <c r="G1908" s="2" t="str">
        <f>IF(Table1[[#This Row],[Is Data Valid]]=TRUE,((Table1[[#This Row],[Birthweight (grams)]]/Table1[[#This Row],[BW_GA]])-1)/(Backend!$B$4/100*Table1[[#This Row],[BW40_3705]]),"")</f>
        <v/>
      </c>
      <c r="H1908" s="7" t="str">
        <f>IF(Table1[[#This Row],[Is Data Valid]]=TRUE,((Table1[[#This Row],[Birthweight (grams)]]*0.9/Table1[[#This Row],[BW_GA]])-1)/(Backend!$B$4/100*Table1[[#This Row],[BW40_3705]]),"")</f>
        <v/>
      </c>
      <c r="I1908" s="7" t="str">
        <f>IF(Table1[[#This Row],[Is Data Valid]]=TRUE,((Table1[[#This Row],[Birthweight (grams)]]*1.1/Table1[[#This Row],[BW_GA]])-1)/(Backend!$B$4/100*Table1[[#This Row],[BW40_3705]]),"")</f>
        <v/>
      </c>
      <c r="J1908" s="7" t="str">
        <f>IF(Table1[[#This Row],[Is Data Valid]]=TRUE,_xlfn.NORM.S.DIST(Table1[[#This Row],[Birthweight Z-Score]],TRUE)*100,"")</f>
        <v/>
      </c>
      <c r="K1908" s="7" t="str">
        <f>IF(Table1[[#This Row],[Is Data Valid]]=TRUE,_xlfn.NORM.S.DIST(Table1[[#This Row],[Birthweight Z-Score (BW-10%)]],TRUE)*100,"")</f>
        <v/>
      </c>
      <c r="L1908" s="7" t="str">
        <f>IF(Table1[[#This Row],[Is Data Valid]]=TRUE,_xlfn.NORM.S.DIST(Table1[[#This Row],[Birthweight Z-Score (BW+10%)]],TRUE)*100,"")</f>
        <v/>
      </c>
    </row>
    <row r="1909" spans="1:12" x14ac:dyDescent="0.35">
      <c r="A1909" s="3"/>
      <c r="B1909" s="2"/>
      <c r="C1909" s="2"/>
      <c r="D1909" s="2" t="b">
        <f>IF(AND(NOT(ISBLANK(Table1[[#This Row],[Fetal Sex (Male, Female or Unknown)]])),ISNUMBER(Table1[[#This Row],[Birthweight (grams)]]),ISNUMBER(Table1[[#This Row],[Gestation (days)]])),TRUE,FALSE)</f>
        <v>0</v>
      </c>
      <c r="E1909" s="2" t="str">
        <f>IF(Table1[[#This Row],[Is Data Valid]]=TRUE,IF(Table1[[#This Row],[Fetal Sex (Male, Female or Unknown)]]="Male",Backend!$C$6,IF(Table1[[#This Row],[Fetal Sex (Male, Female or Unknown)]]="Female",Backend!$C$7,IF(Table1[[#This Row],[Fetal Sex (Male, Female or Unknown)]]="Unknown",Backend!$C$8,"Error"))),"")</f>
        <v/>
      </c>
      <c r="F1909" s="8" t="str">
        <f>IF(Table1[[#This Row],[Is Data Valid]]=TRUE,EXP(0.578+0.332*((Table1[[#This Row],[Gestation (days)]]+0.5)/7)-0.00354*((Table1[[#This Row],[Gestation (days)]]+0.5)/7)^2)*Table1[[#This Row],[BW40_3705]],"")</f>
        <v/>
      </c>
      <c r="G1909" s="2" t="str">
        <f>IF(Table1[[#This Row],[Is Data Valid]]=TRUE,((Table1[[#This Row],[Birthweight (grams)]]/Table1[[#This Row],[BW_GA]])-1)/(Backend!$B$4/100*Table1[[#This Row],[BW40_3705]]),"")</f>
        <v/>
      </c>
      <c r="H1909" s="7" t="str">
        <f>IF(Table1[[#This Row],[Is Data Valid]]=TRUE,((Table1[[#This Row],[Birthweight (grams)]]*0.9/Table1[[#This Row],[BW_GA]])-1)/(Backend!$B$4/100*Table1[[#This Row],[BW40_3705]]),"")</f>
        <v/>
      </c>
      <c r="I1909" s="7" t="str">
        <f>IF(Table1[[#This Row],[Is Data Valid]]=TRUE,((Table1[[#This Row],[Birthweight (grams)]]*1.1/Table1[[#This Row],[BW_GA]])-1)/(Backend!$B$4/100*Table1[[#This Row],[BW40_3705]]),"")</f>
        <v/>
      </c>
      <c r="J1909" s="7" t="str">
        <f>IF(Table1[[#This Row],[Is Data Valid]]=TRUE,_xlfn.NORM.S.DIST(Table1[[#This Row],[Birthweight Z-Score]],TRUE)*100,"")</f>
        <v/>
      </c>
      <c r="K1909" s="7" t="str">
        <f>IF(Table1[[#This Row],[Is Data Valid]]=TRUE,_xlfn.NORM.S.DIST(Table1[[#This Row],[Birthweight Z-Score (BW-10%)]],TRUE)*100,"")</f>
        <v/>
      </c>
      <c r="L1909" s="7" t="str">
        <f>IF(Table1[[#This Row],[Is Data Valid]]=TRUE,_xlfn.NORM.S.DIST(Table1[[#This Row],[Birthweight Z-Score (BW+10%)]],TRUE)*100,"")</f>
        <v/>
      </c>
    </row>
    <row r="1910" spans="1:12" x14ac:dyDescent="0.35">
      <c r="A1910" s="3"/>
      <c r="B1910" s="2"/>
      <c r="C1910" s="2"/>
      <c r="D1910" s="2" t="b">
        <f>IF(AND(NOT(ISBLANK(Table1[[#This Row],[Fetal Sex (Male, Female or Unknown)]])),ISNUMBER(Table1[[#This Row],[Birthweight (grams)]]),ISNUMBER(Table1[[#This Row],[Gestation (days)]])),TRUE,FALSE)</f>
        <v>0</v>
      </c>
      <c r="E1910" s="2" t="str">
        <f>IF(Table1[[#This Row],[Is Data Valid]]=TRUE,IF(Table1[[#This Row],[Fetal Sex (Male, Female or Unknown)]]="Male",Backend!$C$6,IF(Table1[[#This Row],[Fetal Sex (Male, Female or Unknown)]]="Female",Backend!$C$7,IF(Table1[[#This Row],[Fetal Sex (Male, Female or Unknown)]]="Unknown",Backend!$C$8,"Error"))),"")</f>
        <v/>
      </c>
      <c r="F1910" s="8" t="str">
        <f>IF(Table1[[#This Row],[Is Data Valid]]=TRUE,EXP(0.578+0.332*((Table1[[#This Row],[Gestation (days)]]+0.5)/7)-0.00354*((Table1[[#This Row],[Gestation (days)]]+0.5)/7)^2)*Table1[[#This Row],[BW40_3705]],"")</f>
        <v/>
      </c>
      <c r="G1910" s="2" t="str">
        <f>IF(Table1[[#This Row],[Is Data Valid]]=TRUE,((Table1[[#This Row],[Birthweight (grams)]]/Table1[[#This Row],[BW_GA]])-1)/(Backend!$B$4/100*Table1[[#This Row],[BW40_3705]]),"")</f>
        <v/>
      </c>
      <c r="H1910" s="7" t="str">
        <f>IF(Table1[[#This Row],[Is Data Valid]]=TRUE,((Table1[[#This Row],[Birthweight (grams)]]*0.9/Table1[[#This Row],[BW_GA]])-1)/(Backend!$B$4/100*Table1[[#This Row],[BW40_3705]]),"")</f>
        <v/>
      </c>
      <c r="I1910" s="7" t="str">
        <f>IF(Table1[[#This Row],[Is Data Valid]]=TRUE,((Table1[[#This Row],[Birthweight (grams)]]*1.1/Table1[[#This Row],[BW_GA]])-1)/(Backend!$B$4/100*Table1[[#This Row],[BW40_3705]]),"")</f>
        <v/>
      </c>
      <c r="J1910" s="7" t="str">
        <f>IF(Table1[[#This Row],[Is Data Valid]]=TRUE,_xlfn.NORM.S.DIST(Table1[[#This Row],[Birthweight Z-Score]],TRUE)*100,"")</f>
        <v/>
      </c>
      <c r="K1910" s="7" t="str">
        <f>IF(Table1[[#This Row],[Is Data Valid]]=TRUE,_xlfn.NORM.S.DIST(Table1[[#This Row],[Birthweight Z-Score (BW-10%)]],TRUE)*100,"")</f>
        <v/>
      </c>
      <c r="L1910" s="7" t="str">
        <f>IF(Table1[[#This Row],[Is Data Valid]]=TRUE,_xlfn.NORM.S.DIST(Table1[[#This Row],[Birthweight Z-Score (BW+10%)]],TRUE)*100,"")</f>
        <v/>
      </c>
    </row>
    <row r="1911" spans="1:12" x14ac:dyDescent="0.35">
      <c r="A1911" s="3"/>
      <c r="B1911" s="2"/>
      <c r="C1911" s="2"/>
      <c r="D1911" s="2" t="b">
        <f>IF(AND(NOT(ISBLANK(Table1[[#This Row],[Fetal Sex (Male, Female or Unknown)]])),ISNUMBER(Table1[[#This Row],[Birthweight (grams)]]),ISNUMBER(Table1[[#This Row],[Gestation (days)]])),TRUE,FALSE)</f>
        <v>0</v>
      </c>
      <c r="E1911" s="2" t="str">
        <f>IF(Table1[[#This Row],[Is Data Valid]]=TRUE,IF(Table1[[#This Row],[Fetal Sex (Male, Female or Unknown)]]="Male",Backend!$C$6,IF(Table1[[#This Row],[Fetal Sex (Male, Female or Unknown)]]="Female",Backend!$C$7,IF(Table1[[#This Row],[Fetal Sex (Male, Female or Unknown)]]="Unknown",Backend!$C$8,"Error"))),"")</f>
        <v/>
      </c>
      <c r="F1911" s="8" t="str">
        <f>IF(Table1[[#This Row],[Is Data Valid]]=TRUE,EXP(0.578+0.332*((Table1[[#This Row],[Gestation (days)]]+0.5)/7)-0.00354*((Table1[[#This Row],[Gestation (days)]]+0.5)/7)^2)*Table1[[#This Row],[BW40_3705]],"")</f>
        <v/>
      </c>
      <c r="G1911" s="2" t="str">
        <f>IF(Table1[[#This Row],[Is Data Valid]]=TRUE,((Table1[[#This Row],[Birthweight (grams)]]/Table1[[#This Row],[BW_GA]])-1)/(Backend!$B$4/100*Table1[[#This Row],[BW40_3705]]),"")</f>
        <v/>
      </c>
      <c r="H1911" s="7" t="str">
        <f>IF(Table1[[#This Row],[Is Data Valid]]=TRUE,((Table1[[#This Row],[Birthweight (grams)]]*0.9/Table1[[#This Row],[BW_GA]])-1)/(Backend!$B$4/100*Table1[[#This Row],[BW40_3705]]),"")</f>
        <v/>
      </c>
      <c r="I1911" s="7" t="str">
        <f>IF(Table1[[#This Row],[Is Data Valid]]=TRUE,((Table1[[#This Row],[Birthweight (grams)]]*1.1/Table1[[#This Row],[BW_GA]])-1)/(Backend!$B$4/100*Table1[[#This Row],[BW40_3705]]),"")</f>
        <v/>
      </c>
      <c r="J1911" s="7" t="str">
        <f>IF(Table1[[#This Row],[Is Data Valid]]=TRUE,_xlfn.NORM.S.DIST(Table1[[#This Row],[Birthweight Z-Score]],TRUE)*100,"")</f>
        <v/>
      </c>
      <c r="K1911" s="7" t="str">
        <f>IF(Table1[[#This Row],[Is Data Valid]]=TRUE,_xlfn.NORM.S.DIST(Table1[[#This Row],[Birthweight Z-Score (BW-10%)]],TRUE)*100,"")</f>
        <v/>
      </c>
      <c r="L1911" s="7" t="str">
        <f>IF(Table1[[#This Row],[Is Data Valid]]=TRUE,_xlfn.NORM.S.DIST(Table1[[#This Row],[Birthweight Z-Score (BW+10%)]],TRUE)*100,"")</f>
        <v/>
      </c>
    </row>
    <row r="1912" spans="1:12" x14ac:dyDescent="0.35">
      <c r="A1912" s="3"/>
      <c r="B1912" s="2"/>
      <c r="C1912" s="2"/>
      <c r="D1912" s="2" t="b">
        <f>IF(AND(NOT(ISBLANK(Table1[[#This Row],[Fetal Sex (Male, Female or Unknown)]])),ISNUMBER(Table1[[#This Row],[Birthweight (grams)]]),ISNUMBER(Table1[[#This Row],[Gestation (days)]])),TRUE,FALSE)</f>
        <v>0</v>
      </c>
      <c r="E1912" s="2" t="str">
        <f>IF(Table1[[#This Row],[Is Data Valid]]=TRUE,IF(Table1[[#This Row],[Fetal Sex (Male, Female or Unknown)]]="Male",Backend!$C$6,IF(Table1[[#This Row],[Fetal Sex (Male, Female or Unknown)]]="Female",Backend!$C$7,IF(Table1[[#This Row],[Fetal Sex (Male, Female or Unknown)]]="Unknown",Backend!$C$8,"Error"))),"")</f>
        <v/>
      </c>
      <c r="F1912" s="8" t="str">
        <f>IF(Table1[[#This Row],[Is Data Valid]]=TRUE,EXP(0.578+0.332*((Table1[[#This Row],[Gestation (days)]]+0.5)/7)-0.00354*((Table1[[#This Row],[Gestation (days)]]+0.5)/7)^2)*Table1[[#This Row],[BW40_3705]],"")</f>
        <v/>
      </c>
      <c r="G1912" s="2" t="str">
        <f>IF(Table1[[#This Row],[Is Data Valid]]=TRUE,((Table1[[#This Row],[Birthweight (grams)]]/Table1[[#This Row],[BW_GA]])-1)/(Backend!$B$4/100*Table1[[#This Row],[BW40_3705]]),"")</f>
        <v/>
      </c>
      <c r="H1912" s="7" t="str">
        <f>IF(Table1[[#This Row],[Is Data Valid]]=TRUE,((Table1[[#This Row],[Birthweight (grams)]]*0.9/Table1[[#This Row],[BW_GA]])-1)/(Backend!$B$4/100*Table1[[#This Row],[BW40_3705]]),"")</f>
        <v/>
      </c>
      <c r="I1912" s="7" t="str">
        <f>IF(Table1[[#This Row],[Is Data Valid]]=TRUE,((Table1[[#This Row],[Birthweight (grams)]]*1.1/Table1[[#This Row],[BW_GA]])-1)/(Backend!$B$4/100*Table1[[#This Row],[BW40_3705]]),"")</f>
        <v/>
      </c>
      <c r="J1912" s="7" t="str">
        <f>IF(Table1[[#This Row],[Is Data Valid]]=TRUE,_xlfn.NORM.S.DIST(Table1[[#This Row],[Birthweight Z-Score]],TRUE)*100,"")</f>
        <v/>
      </c>
      <c r="K1912" s="7" t="str">
        <f>IF(Table1[[#This Row],[Is Data Valid]]=TRUE,_xlfn.NORM.S.DIST(Table1[[#This Row],[Birthweight Z-Score (BW-10%)]],TRUE)*100,"")</f>
        <v/>
      </c>
      <c r="L1912" s="7" t="str">
        <f>IF(Table1[[#This Row],[Is Data Valid]]=TRUE,_xlfn.NORM.S.DIST(Table1[[#This Row],[Birthweight Z-Score (BW+10%)]],TRUE)*100,"")</f>
        <v/>
      </c>
    </row>
    <row r="1913" spans="1:12" x14ac:dyDescent="0.35">
      <c r="A1913" s="3"/>
      <c r="B1913" s="2"/>
      <c r="C1913" s="2"/>
      <c r="D1913" s="2" t="b">
        <f>IF(AND(NOT(ISBLANK(Table1[[#This Row],[Fetal Sex (Male, Female or Unknown)]])),ISNUMBER(Table1[[#This Row],[Birthweight (grams)]]),ISNUMBER(Table1[[#This Row],[Gestation (days)]])),TRUE,FALSE)</f>
        <v>0</v>
      </c>
      <c r="E1913" s="2" t="str">
        <f>IF(Table1[[#This Row],[Is Data Valid]]=TRUE,IF(Table1[[#This Row],[Fetal Sex (Male, Female or Unknown)]]="Male",Backend!$C$6,IF(Table1[[#This Row],[Fetal Sex (Male, Female or Unknown)]]="Female",Backend!$C$7,IF(Table1[[#This Row],[Fetal Sex (Male, Female or Unknown)]]="Unknown",Backend!$C$8,"Error"))),"")</f>
        <v/>
      </c>
      <c r="F1913" s="8" t="str">
        <f>IF(Table1[[#This Row],[Is Data Valid]]=TRUE,EXP(0.578+0.332*((Table1[[#This Row],[Gestation (days)]]+0.5)/7)-0.00354*((Table1[[#This Row],[Gestation (days)]]+0.5)/7)^2)*Table1[[#This Row],[BW40_3705]],"")</f>
        <v/>
      </c>
      <c r="G1913" s="2" t="str">
        <f>IF(Table1[[#This Row],[Is Data Valid]]=TRUE,((Table1[[#This Row],[Birthweight (grams)]]/Table1[[#This Row],[BW_GA]])-1)/(Backend!$B$4/100*Table1[[#This Row],[BW40_3705]]),"")</f>
        <v/>
      </c>
      <c r="H1913" s="7" t="str">
        <f>IF(Table1[[#This Row],[Is Data Valid]]=TRUE,((Table1[[#This Row],[Birthweight (grams)]]*0.9/Table1[[#This Row],[BW_GA]])-1)/(Backend!$B$4/100*Table1[[#This Row],[BW40_3705]]),"")</f>
        <v/>
      </c>
      <c r="I1913" s="7" t="str">
        <f>IF(Table1[[#This Row],[Is Data Valid]]=TRUE,((Table1[[#This Row],[Birthweight (grams)]]*1.1/Table1[[#This Row],[BW_GA]])-1)/(Backend!$B$4/100*Table1[[#This Row],[BW40_3705]]),"")</f>
        <v/>
      </c>
      <c r="J1913" s="7" t="str">
        <f>IF(Table1[[#This Row],[Is Data Valid]]=TRUE,_xlfn.NORM.S.DIST(Table1[[#This Row],[Birthweight Z-Score]],TRUE)*100,"")</f>
        <v/>
      </c>
      <c r="K1913" s="7" t="str">
        <f>IF(Table1[[#This Row],[Is Data Valid]]=TRUE,_xlfn.NORM.S.DIST(Table1[[#This Row],[Birthweight Z-Score (BW-10%)]],TRUE)*100,"")</f>
        <v/>
      </c>
      <c r="L1913" s="7" t="str">
        <f>IF(Table1[[#This Row],[Is Data Valid]]=TRUE,_xlfn.NORM.S.DIST(Table1[[#This Row],[Birthweight Z-Score (BW+10%)]],TRUE)*100,"")</f>
        <v/>
      </c>
    </row>
    <row r="1914" spans="1:12" x14ac:dyDescent="0.35">
      <c r="A1914" s="3"/>
      <c r="B1914" s="2"/>
      <c r="C1914" s="2"/>
      <c r="D1914" s="2" t="b">
        <f>IF(AND(NOT(ISBLANK(Table1[[#This Row],[Fetal Sex (Male, Female or Unknown)]])),ISNUMBER(Table1[[#This Row],[Birthweight (grams)]]),ISNUMBER(Table1[[#This Row],[Gestation (days)]])),TRUE,FALSE)</f>
        <v>0</v>
      </c>
      <c r="E1914" s="2" t="str">
        <f>IF(Table1[[#This Row],[Is Data Valid]]=TRUE,IF(Table1[[#This Row],[Fetal Sex (Male, Female or Unknown)]]="Male",Backend!$C$6,IF(Table1[[#This Row],[Fetal Sex (Male, Female or Unknown)]]="Female",Backend!$C$7,IF(Table1[[#This Row],[Fetal Sex (Male, Female or Unknown)]]="Unknown",Backend!$C$8,"Error"))),"")</f>
        <v/>
      </c>
      <c r="F1914" s="8" t="str">
        <f>IF(Table1[[#This Row],[Is Data Valid]]=TRUE,EXP(0.578+0.332*((Table1[[#This Row],[Gestation (days)]]+0.5)/7)-0.00354*((Table1[[#This Row],[Gestation (days)]]+0.5)/7)^2)*Table1[[#This Row],[BW40_3705]],"")</f>
        <v/>
      </c>
      <c r="G1914" s="2" t="str">
        <f>IF(Table1[[#This Row],[Is Data Valid]]=TRUE,((Table1[[#This Row],[Birthweight (grams)]]/Table1[[#This Row],[BW_GA]])-1)/(Backend!$B$4/100*Table1[[#This Row],[BW40_3705]]),"")</f>
        <v/>
      </c>
      <c r="H1914" s="7" t="str">
        <f>IF(Table1[[#This Row],[Is Data Valid]]=TRUE,((Table1[[#This Row],[Birthweight (grams)]]*0.9/Table1[[#This Row],[BW_GA]])-1)/(Backend!$B$4/100*Table1[[#This Row],[BW40_3705]]),"")</f>
        <v/>
      </c>
      <c r="I1914" s="7" t="str">
        <f>IF(Table1[[#This Row],[Is Data Valid]]=TRUE,((Table1[[#This Row],[Birthweight (grams)]]*1.1/Table1[[#This Row],[BW_GA]])-1)/(Backend!$B$4/100*Table1[[#This Row],[BW40_3705]]),"")</f>
        <v/>
      </c>
      <c r="J1914" s="7" t="str">
        <f>IF(Table1[[#This Row],[Is Data Valid]]=TRUE,_xlfn.NORM.S.DIST(Table1[[#This Row],[Birthweight Z-Score]],TRUE)*100,"")</f>
        <v/>
      </c>
      <c r="K1914" s="7" t="str">
        <f>IF(Table1[[#This Row],[Is Data Valid]]=TRUE,_xlfn.NORM.S.DIST(Table1[[#This Row],[Birthweight Z-Score (BW-10%)]],TRUE)*100,"")</f>
        <v/>
      </c>
      <c r="L1914" s="7" t="str">
        <f>IF(Table1[[#This Row],[Is Data Valid]]=TRUE,_xlfn.NORM.S.DIST(Table1[[#This Row],[Birthweight Z-Score (BW+10%)]],TRUE)*100,"")</f>
        <v/>
      </c>
    </row>
    <row r="1915" spans="1:12" x14ac:dyDescent="0.35">
      <c r="A1915" s="3"/>
      <c r="B1915" s="2"/>
      <c r="C1915" s="2"/>
      <c r="D1915" s="2" t="b">
        <f>IF(AND(NOT(ISBLANK(Table1[[#This Row],[Fetal Sex (Male, Female or Unknown)]])),ISNUMBER(Table1[[#This Row],[Birthweight (grams)]]),ISNUMBER(Table1[[#This Row],[Gestation (days)]])),TRUE,FALSE)</f>
        <v>0</v>
      </c>
      <c r="E1915" s="2" t="str">
        <f>IF(Table1[[#This Row],[Is Data Valid]]=TRUE,IF(Table1[[#This Row],[Fetal Sex (Male, Female or Unknown)]]="Male",Backend!$C$6,IF(Table1[[#This Row],[Fetal Sex (Male, Female or Unknown)]]="Female",Backend!$C$7,IF(Table1[[#This Row],[Fetal Sex (Male, Female or Unknown)]]="Unknown",Backend!$C$8,"Error"))),"")</f>
        <v/>
      </c>
      <c r="F1915" s="8" t="str">
        <f>IF(Table1[[#This Row],[Is Data Valid]]=TRUE,EXP(0.578+0.332*((Table1[[#This Row],[Gestation (days)]]+0.5)/7)-0.00354*((Table1[[#This Row],[Gestation (days)]]+0.5)/7)^2)*Table1[[#This Row],[BW40_3705]],"")</f>
        <v/>
      </c>
      <c r="G1915" s="2" t="str">
        <f>IF(Table1[[#This Row],[Is Data Valid]]=TRUE,((Table1[[#This Row],[Birthweight (grams)]]/Table1[[#This Row],[BW_GA]])-1)/(Backend!$B$4/100*Table1[[#This Row],[BW40_3705]]),"")</f>
        <v/>
      </c>
      <c r="H1915" s="7" t="str">
        <f>IF(Table1[[#This Row],[Is Data Valid]]=TRUE,((Table1[[#This Row],[Birthweight (grams)]]*0.9/Table1[[#This Row],[BW_GA]])-1)/(Backend!$B$4/100*Table1[[#This Row],[BW40_3705]]),"")</f>
        <v/>
      </c>
      <c r="I1915" s="7" t="str">
        <f>IF(Table1[[#This Row],[Is Data Valid]]=TRUE,((Table1[[#This Row],[Birthweight (grams)]]*1.1/Table1[[#This Row],[BW_GA]])-1)/(Backend!$B$4/100*Table1[[#This Row],[BW40_3705]]),"")</f>
        <v/>
      </c>
      <c r="J1915" s="7" t="str">
        <f>IF(Table1[[#This Row],[Is Data Valid]]=TRUE,_xlfn.NORM.S.DIST(Table1[[#This Row],[Birthweight Z-Score]],TRUE)*100,"")</f>
        <v/>
      </c>
      <c r="K1915" s="7" t="str">
        <f>IF(Table1[[#This Row],[Is Data Valid]]=TRUE,_xlfn.NORM.S.DIST(Table1[[#This Row],[Birthweight Z-Score (BW-10%)]],TRUE)*100,"")</f>
        <v/>
      </c>
      <c r="L1915" s="7" t="str">
        <f>IF(Table1[[#This Row],[Is Data Valid]]=TRUE,_xlfn.NORM.S.DIST(Table1[[#This Row],[Birthweight Z-Score (BW+10%)]],TRUE)*100,"")</f>
        <v/>
      </c>
    </row>
    <row r="1916" spans="1:12" x14ac:dyDescent="0.35">
      <c r="A1916" s="3"/>
      <c r="B1916" s="2"/>
      <c r="C1916" s="2"/>
      <c r="D1916" s="2" t="b">
        <f>IF(AND(NOT(ISBLANK(Table1[[#This Row],[Fetal Sex (Male, Female or Unknown)]])),ISNUMBER(Table1[[#This Row],[Birthweight (grams)]]),ISNUMBER(Table1[[#This Row],[Gestation (days)]])),TRUE,FALSE)</f>
        <v>0</v>
      </c>
      <c r="E1916" s="2" t="str">
        <f>IF(Table1[[#This Row],[Is Data Valid]]=TRUE,IF(Table1[[#This Row],[Fetal Sex (Male, Female or Unknown)]]="Male",Backend!$C$6,IF(Table1[[#This Row],[Fetal Sex (Male, Female or Unknown)]]="Female",Backend!$C$7,IF(Table1[[#This Row],[Fetal Sex (Male, Female or Unknown)]]="Unknown",Backend!$C$8,"Error"))),"")</f>
        <v/>
      </c>
      <c r="F1916" s="8" t="str">
        <f>IF(Table1[[#This Row],[Is Data Valid]]=TRUE,EXP(0.578+0.332*((Table1[[#This Row],[Gestation (days)]]+0.5)/7)-0.00354*((Table1[[#This Row],[Gestation (days)]]+0.5)/7)^2)*Table1[[#This Row],[BW40_3705]],"")</f>
        <v/>
      </c>
      <c r="G1916" s="2" t="str">
        <f>IF(Table1[[#This Row],[Is Data Valid]]=TRUE,((Table1[[#This Row],[Birthweight (grams)]]/Table1[[#This Row],[BW_GA]])-1)/(Backend!$B$4/100*Table1[[#This Row],[BW40_3705]]),"")</f>
        <v/>
      </c>
      <c r="H1916" s="7" t="str">
        <f>IF(Table1[[#This Row],[Is Data Valid]]=TRUE,((Table1[[#This Row],[Birthweight (grams)]]*0.9/Table1[[#This Row],[BW_GA]])-1)/(Backend!$B$4/100*Table1[[#This Row],[BW40_3705]]),"")</f>
        <v/>
      </c>
      <c r="I1916" s="7" t="str">
        <f>IF(Table1[[#This Row],[Is Data Valid]]=TRUE,((Table1[[#This Row],[Birthweight (grams)]]*1.1/Table1[[#This Row],[BW_GA]])-1)/(Backend!$B$4/100*Table1[[#This Row],[BW40_3705]]),"")</f>
        <v/>
      </c>
      <c r="J1916" s="7" t="str">
        <f>IF(Table1[[#This Row],[Is Data Valid]]=TRUE,_xlfn.NORM.S.DIST(Table1[[#This Row],[Birthweight Z-Score]],TRUE)*100,"")</f>
        <v/>
      </c>
      <c r="K1916" s="7" t="str">
        <f>IF(Table1[[#This Row],[Is Data Valid]]=TRUE,_xlfn.NORM.S.DIST(Table1[[#This Row],[Birthweight Z-Score (BW-10%)]],TRUE)*100,"")</f>
        <v/>
      </c>
      <c r="L1916" s="7" t="str">
        <f>IF(Table1[[#This Row],[Is Data Valid]]=TRUE,_xlfn.NORM.S.DIST(Table1[[#This Row],[Birthweight Z-Score (BW+10%)]],TRUE)*100,"")</f>
        <v/>
      </c>
    </row>
    <row r="1917" spans="1:12" x14ac:dyDescent="0.35">
      <c r="A1917" s="3"/>
      <c r="B1917" s="2"/>
      <c r="C1917" s="2"/>
      <c r="D1917" s="2" t="b">
        <f>IF(AND(NOT(ISBLANK(Table1[[#This Row],[Fetal Sex (Male, Female or Unknown)]])),ISNUMBER(Table1[[#This Row],[Birthweight (grams)]]),ISNUMBER(Table1[[#This Row],[Gestation (days)]])),TRUE,FALSE)</f>
        <v>0</v>
      </c>
      <c r="E1917" s="2" t="str">
        <f>IF(Table1[[#This Row],[Is Data Valid]]=TRUE,IF(Table1[[#This Row],[Fetal Sex (Male, Female or Unknown)]]="Male",Backend!$C$6,IF(Table1[[#This Row],[Fetal Sex (Male, Female or Unknown)]]="Female",Backend!$C$7,IF(Table1[[#This Row],[Fetal Sex (Male, Female or Unknown)]]="Unknown",Backend!$C$8,"Error"))),"")</f>
        <v/>
      </c>
      <c r="F1917" s="8" t="str">
        <f>IF(Table1[[#This Row],[Is Data Valid]]=TRUE,EXP(0.578+0.332*((Table1[[#This Row],[Gestation (days)]]+0.5)/7)-0.00354*((Table1[[#This Row],[Gestation (days)]]+0.5)/7)^2)*Table1[[#This Row],[BW40_3705]],"")</f>
        <v/>
      </c>
      <c r="G1917" s="2" t="str">
        <f>IF(Table1[[#This Row],[Is Data Valid]]=TRUE,((Table1[[#This Row],[Birthweight (grams)]]/Table1[[#This Row],[BW_GA]])-1)/(Backend!$B$4/100*Table1[[#This Row],[BW40_3705]]),"")</f>
        <v/>
      </c>
      <c r="H1917" s="7" t="str">
        <f>IF(Table1[[#This Row],[Is Data Valid]]=TRUE,((Table1[[#This Row],[Birthweight (grams)]]*0.9/Table1[[#This Row],[BW_GA]])-1)/(Backend!$B$4/100*Table1[[#This Row],[BW40_3705]]),"")</f>
        <v/>
      </c>
      <c r="I1917" s="7" t="str">
        <f>IF(Table1[[#This Row],[Is Data Valid]]=TRUE,((Table1[[#This Row],[Birthweight (grams)]]*1.1/Table1[[#This Row],[BW_GA]])-1)/(Backend!$B$4/100*Table1[[#This Row],[BW40_3705]]),"")</f>
        <v/>
      </c>
      <c r="J1917" s="7" t="str">
        <f>IF(Table1[[#This Row],[Is Data Valid]]=TRUE,_xlfn.NORM.S.DIST(Table1[[#This Row],[Birthweight Z-Score]],TRUE)*100,"")</f>
        <v/>
      </c>
      <c r="K1917" s="7" t="str">
        <f>IF(Table1[[#This Row],[Is Data Valid]]=TRUE,_xlfn.NORM.S.DIST(Table1[[#This Row],[Birthweight Z-Score (BW-10%)]],TRUE)*100,"")</f>
        <v/>
      </c>
      <c r="L1917" s="7" t="str">
        <f>IF(Table1[[#This Row],[Is Data Valid]]=TRUE,_xlfn.NORM.S.DIST(Table1[[#This Row],[Birthweight Z-Score (BW+10%)]],TRUE)*100,"")</f>
        <v/>
      </c>
    </row>
    <row r="1918" spans="1:12" x14ac:dyDescent="0.35">
      <c r="A1918" s="3"/>
      <c r="B1918" s="2"/>
      <c r="C1918" s="2"/>
      <c r="D1918" s="2" t="b">
        <f>IF(AND(NOT(ISBLANK(Table1[[#This Row],[Fetal Sex (Male, Female or Unknown)]])),ISNUMBER(Table1[[#This Row],[Birthweight (grams)]]),ISNUMBER(Table1[[#This Row],[Gestation (days)]])),TRUE,FALSE)</f>
        <v>0</v>
      </c>
      <c r="E1918" s="2" t="str">
        <f>IF(Table1[[#This Row],[Is Data Valid]]=TRUE,IF(Table1[[#This Row],[Fetal Sex (Male, Female or Unknown)]]="Male",Backend!$C$6,IF(Table1[[#This Row],[Fetal Sex (Male, Female or Unknown)]]="Female",Backend!$C$7,IF(Table1[[#This Row],[Fetal Sex (Male, Female or Unknown)]]="Unknown",Backend!$C$8,"Error"))),"")</f>
        <v/>
      </c>
      <c r="F1918" s="8" t="str">
        <f>IF(Table1[[#This Row],[Is Data Valid]]=TRUE,EXP(0.578+0.332*((Table1[[#This Row],[Gestation (days)]]+0.5)/7)-0.00354*((Table1[[#This Row],[Gestation (days)]]+0.5)/7)^2)*Table1[[#This Row],[BW40_3705]],"")</f>
        <v/>
      </c>
      <c r="G1918" s="2" t="str">
        <f>IF(Table1[[#This Row],[Is Data Valid]]=TRUE,((Table1[[#This Row],[Birthweight (grams)]]/Table1[[#This Row],[BW_GA]])-1)/(Backend!$B$4/100*Table1[[#This Row],[BW40_3705]]),"")</f>
        <v/>
      </c>
      <c r="H1918" s="7" t="str">
        <f>IF(Table1[[#This Row],[Is Data Valid]]=TRUE,((Table1[[#This Row],[Birthweight (grams)]]*0.9/Table1[[#This Row],[BW_GA]])-1)/(Backend!$B$4/100*Table1[[#This Row],[BW40_3705]]),"")</f>
        <v/>
      </c>
      <c r="I1918" s="7" t="str">
        <f>IF(Table1[[#This Row],[Is Data Valid]]=TRUE,((Table1[[#This Row],[Birthweight (grams)]]*1.1/Table1[[#This Row],[BW_GA]])-1)/(Backend!$B$4/100*Table1[[#This Row],[BW40_3705]]),"")</f>
        <v/>
      </c>
      <c r="J1918" s="7" t="str">
        <f>IF(Table1[[#This Row],[Is Data Valid]]=TRUE,_xlfn.NORM.S.DIST(Table1[[#This Row],[Birthweight Z-Score]],TRUE)*100,"")</f>
        <v/>
      </c>
      <c r="K1918" s="7" t="str">
        <f>IF(Table1[[#This Row],[Is Data Valid]]=TRUE,_xlfn.NORM.S.DIST(Table1[[#This Row],[Birthweight Z-Score (BW-10%)]],TRUE)*100,"")</f>
        <v/>
      </c>
      <c r="L1918" s="7" t="str">
        <f>IF(Table1[[#This Row],[Is Data Valid]]=TRUE,_xlfn.NORM.S.DIST(Table1[[#This Row],[Birthweight Z-Score (BW+10%)]],TRUE)*100,"")</f>
        <v/>
      </c>
    </row>
    <row r="1919" spans="1:12" x14ac:dyDescent="0.35">
      <c r="A1919" s="3"/>
      <c r="B1919" s="2"/>
      <c r="C1919" s="2"/>
      <c r="D1919" s="2" t="b">
        <f>IF(AND(NOT(ISBLANK(Table1[[#This Row],[Fetal Sex (Male, Female or Unknown)]])),ISNUMBER(Table1[[#This Row],[Birthweight (grams)]]),ISNUMBER(Table1[[#This Row],[Gestation (days)]])),TRUE,FALSE)</f>
        <v>0</v>
      </c>
      <c r="E1919" s="2" t="str">
        <f>IF(Table1[[#This Row],[Is Data Valid]]=TRUE,IF(Table1[[#This Row],[Fetal Sex (Male, Female or Unknown)]]="Male",Backend!$C$6,IF(Table1[[#This Row],[Fetal Sex (Male, Female or Unknown)]]="Female",Backend!$C$7,IF(Table1[[#This Row],[Fetal Sex (Male, Female or Unknown)]]="Unknown",Backend!$C$8,"Error"))),"")</f>
        <v/>
      </c>
      <c r="F1919" s="8" t="str">
        <f>IF(Table1[[#This Row],[Is Data Valid]]=TRUE,EXP(0.578+0.332*((Table1[[#This Row],[Gestation (days)]]+0.5)/7)-0.00354*((Table1[[#This Row],[Gestation (days)]]+0.5)/7)^2)*Table1[[#This Row],[BW40_3705]],"")</f>
        <v/>
      </c>
      <c r="G1919" s="2" t="str">
        <f>IF(Table1[[#This Row],[Is Data Valid]]=TRUE,((Table1[[#This Row],[Birthweight (grams)]]/Table1[[#This Row],[BW_GA]])-1)/(Backend!$B$4/100*Table1[[#This Row],[BW40_3705]]),"")</f>
        <v/>
      </c>
      <c r="H1919" s="7" t="str">
        <f>IF(Table1[[#This Row],[Is Data Valid]]=TRUE,((Table1[[#This Row],[Birthweight (grams)]]*0.9/Table1[[#This Row],[BW_GA]])-1)/(Backend!$B$4/100*Table1[[#This Row],[BW40_3705]]),"")</f>
        <v/>
      </c>
      <c r="I1919" s="7" t="str">
        <f>IF(Table1[[#This Row],[Is Data Valid]]=TRUE,((Table1[[#This Row],[Birthweight (grams)]]*1.1/Table1[[#This Row],[BW_GA]])-1)/(Backend!$B$4/100*Table1[[#This Row],[BW40_3705]]),"")</f>
        <v/>
      </c>
      <c r="J1919" s="7" t="str">
        <f>IF(Table1[[#This Row],[Is Data Valid]]=TRUE,_xlfn.NORM.S.DIST(Table1[[#This Row],[Birthweight Z-Score]],TRUE)*100,"")</f>
        <v/>
      </c>
      <c r="K1919" s="7" t="str">
        <f>IF(Table1[[#This Row],[Is Data Valid]]=TRUE,_xlfn.NORM.S.DIST(Table1[[#This Row],[Birthweight Z-Score (BW-10%)]],TRUE)*100,"")</f>
        <v/>
      </c>
      <c r="L1919" s="7" t="str">
        <f>IF(Table1[[#This Row],[Is Data Valid]]=TRUE,_xlfn.NORM.S.DIST(Table1[[#This Row],[Birthweight Z-Score (BW+10%)]],TRUE)*100,"")</f>
        <v/>
      </c>
    </row>
    <row r="1920" spans="1:12" x14ac:dyDescent="0.35">
      <c r="A1920" s="3"/>
      <c r="B1920" s="2"/>
      <c r="C1920" s="2"/>
      <c r="D1920" s="2" t="b">
        <f>IF(AND(NOT(ISBLANK(Table1[[#This Row],[Fetal Sex (Male, Female or Unknown)]])),ISNUMBER(Table1[[#This Row],[Birthweight (grams)]]),ISNUMBER(Table1[[#This Row],[Gestation (days)]])),TRUE,FALSE)</f>
        <v>0</v>
      </c>
      <c r="E1920" s="2" t="str">
        <f>IF(Table1[[#This Row],[Is Data Valid]]=TRUE,IF(Table1[[#This Row],[Fetal Sex (Male, Female or Unknown)]]="Male",Backend!$C$6,IF(Table1[[#This Row],[Fetal Sex (Male, Female or Unknown)]]="Female",Backend!$C$7,IF(Table1[[#This Row],[Fetal Sex (Male, Female or Unknown)]]="Unknown",Backend!$C$8,"Error"))),"")</f>
        <v/>
      </c>
      <c r="F1920" s="8" t="str">
        <f>IF(Table1[[#This Row],[Is Data Valid]]=TRUE,EXP(0.578+0.332*((Table1[[#This Row],[Gestation (days)]]+0.5)/7)-0.00354*((Table1[[#This Row],[Gestation (days)]]+0.5)/7)^2)*Table1[[#This Row],[BW40_3705]],"")</f>
        <v/>
      </c>
      <c r="G1920" s="2" t="str">
        <f>IF(Table1[[#This Row],[Is Data Valid]]=TRUE,((Table1[[#This Row],[Birthweight (grams)]]/Table1[[#This Row],[BW_GA]])-1)/(Backend!$B$4/100*Table1[[#This Row],[BW40_3705]]),"")</f>
        <v/>
      </c>
      <c r="H1920" s="7" t="str">
        <f>IF(Table1[[#This Row],[Is Data Valid]]=TRUE,((Table1[[#This Row],[Birthweight (grams)]]*0.9/Table1[[#This Row],[BW_GA]])-1)/(Backend!$B$4/100*Table1[[#This Row],[BW40_3705]]),"")</f>
        <v/>
      </c>
      <c r="I1920" s="7" t="str">
        <f>IF(Table1[[#This Row],[Is Data Valid]]=TRUE,((Table1[[#This Row],[Birthweight (grams)]]*1.1/Table1[[#This Row],[BW_GA]])-1)/(Backend!$B$4/100*Table1[[#This Row],[BW40_3705]]),"")</f>
        <v/>
      </c>
      <c r="J1920" s="7" t="str">
        <f>IF(Table1[[#This Row],[Is Data Valid]]=TRUE,_xlfn.NORM.S.DIST(Table1[[#This Row],[Birthweight Z-Score]],TRUE)*100,"")</f>
        <v/>
      </c>
      <c r="K1920" s="7" t="str">
        <f>IF(Table1[[#This Row],[Is Data Valid]]=TRUE,_xlfn.NORM.S.DIST(Table1[[#This Row],[Birthweight Z-Score (BW-10%)]],TRUE)*100,"")</f>
        <v/>
      </c>
      <c r="L1920" s="7" t="str">
        <f>IF(Table1[[#This Row],[Is Data Valid]]=TRUE,_xlfn.NORM.S.DIST(Table1[[#This Row],[Birthweight Z-Score (BW+10%)]],TRUE)*100,"")</f>
        <v/>
      </c>
    </row>
    <row r="1921" spans="1:12" x14ac:dyDescent="0.35">
      <c r="A1921" s="3"/>
      <c r="B1921" s="2"/>
      <c r="C1921" s="2"/>
      <c r="D1921" s="2" t="b">
        <f>IF(AND(NOT(ISBLANK(Table1[[#This Row],[Fetal Sex (Male, Female or Unknown)]])),ISNUMBER(Table1[[#This Row],[Birthweight (grams)]]),ISNUMBER(Table1[[#This Row],[Gestation (days)]])),TRUE,FALSE)</f>
        <v>0</v>
      </c>
      <c r="E1921" s="2" t="str">
        <f>IF(Table1[[#This Row],[Is Data Valid]]=TRUE,IF(Table1[[#This Row],[Fetal Sex (Male, Female or Unknown)]]="Male",Backend!$C$6,IF(Table1[[#This Row],[Fetal Sex (Male, Female or Unknown)]]="Female",Backend!$C$7,IF(Table1[[#This Row],[Fetal Sex (Male, Female or Unknown)]]="Unknown",Backend!$C$8,"Error"))),"")</f>
        <v/>
      </c>
      <c r="F1921" s="8" t="str">
        <f>IF(Table1[[#This Row],[Is Data Valid]]=TRUE,EXP(0.578+0.332*((Table1[[#This Row],[Gestation (days)]]+0.5)/7)-0.00354*((Table1[[#This Row],[Gestation (days)]]+0.5)/7)^2)*Table1[[#This Row],[BW40_3705]],"")</f>
        <v/>
      </c>
      <c r="G1921" s="2" t="str">
        <f>IF(Table1[[#This Row],[Is Data Valid]]=TRUE,((Table1[[#This Row],[Birthweight (grams)]]/Table1[[#This Row],[BW_GA]])-1)/(Backend!$B$4/100*Table1[[#This Row],[BW40_3705]]),"")</f>
        <v/>
      </c>
      <c r="H1921" s="7" t="str">
        <f>IF(Table1[[#This Row],[Is Data Valid]]=TRUE,((Table1[[#This Row],[Birthweight (grams)]]*0.9/Table1[[#This Row],[BW_GA]])-1)/(Backend!$B$4/100*Table1[[#This Row],[BW40_3705]]),"")</f>
        <v/>
      </c>
      <c r="I1921" s="7" t="str">
        <f>IF(Table1[[#This Row],[Is Data Valid]]=TRUE,((Table1[[#This Row],[Birthweight (grams)]]*1.1/Table1[[#This Row],[BW_GA]])-1)/(Backend!$B$4/100*Table1[[#This Row],[BW40_3705]]),"")</f>
        <v/>
      </c>
      <c r="J1921" s="7" t="str">
        <f>IF(Table1[[#This Row],[Is Data Valid]]=TRUE,_xlfn.NORM.S.DIST(Table1[[#This Row],[Birthweight Z-Score]],TRUE)*100,"")</f>
        <v/>
      </c>
      <c r="K1921" s="7" t="str">
        <f>IF(Table1[[#This Row],[Is Data Valid]]=TRUE,_xlfn.NORM.S.DIST(Table1[[#This Row],[Birthweight Z-Score (BW-10%)]],TRUE)*100,"")</f>
        <v/>
      </c>
      <c r="L1921" s="7" t="str">
        <f>IF(Table1[[#This Row],[Is Data Valid]]=TRUE,_xlfn.NORM.S.DIST(Table1[[#This Row],[Birthweight Z-Score (BW+10%)]],TRUE)*100,"")</f>
        <v/>
      </c>
    </row>
    <row r="1922" spans="1:12" x14ac:dyDescent="0.35">
      <c r="A1922" s="3"/>
      <c r="B1922" s="2"/>
      <c r="C1922" s="2"/>
      <c r="D1922" s="2" t="b">
        <f>IF(AND(NOT(ISBLANK(Table1[[#This Row],[Fetal Sex (Male, Female or Unknown)]])),ISNUMBER(Table1[[#This Row],[Birthweight (grams)]]),ISNUMBER(Table1[[#This Row],[Gestation (days)]])),TRUE,FALSE)</f>
        <v>0</v>
      </c>
      <c r="E1922" s="2" t="str">
        <f>IF(Table1[[#This Row],[Is Data Valid]]=TRUE,IF(Table1[[#This Row],[Fetal Sex (Male, Female or Unknown)]]="Male",Backend!$C$6,IF(Table1[[#This Row],[Fetal Sex (Male, Female or Unknown)]]="Female",Backend!$C$7,IF(Table1[[#This Row],[Fetal Sex (Male, Female or Unknown)]]="Unknown",Backend!$C$8,"Error"))),"")</f>
        <v/>
      </c>
      <c r="F1922" s="8" t="str">
        <f>IF(Table1[[#This Row],[Is Data Valid]]=TRUE,EXP(0.578+0.332*((Table1[[#This Row],[Gestation (days)]]+0.5)/7)-0.00354*((Table1[[#This Row],[Gestation (days)]]+0.5)/7)^2)*Table1[[#This Row],[BW40_3705]],"")</f>
        <v/>
      </c>
      <c r="G1922" s="2" t="str">
        <f>IF(Table1[[#This Row],[Is Data Valid]]=TRUE,((Table1[[#This Row],[Birthweight (grams)]]/Table1[[#This Row],[BW_GA]])-1)/(Backend!$B$4/100*Table1[[#This Row],[BW40_3705]]),"")</f>
        <v/>
      </c>
      <c r="H1922" s="7" t="str">
        <f>IF(Table1[[#This Row],[Is Data Valid]]=TRUE,((Table1[[#This Row],[Birthweight (grams)]]*0.9/Table1[[#This Row],[BW_GA]])-1)/(Backend!$B$4/100*Table1[[#This Row],[BW40_3705]]),"")</f>
        <v/>
      </c>
      <c r="I1922" s="7" t="str">
        <f>IF(Table1[[#This Row],[Is Data Valid]]=TRUE,((Table1[[#This Row],[Birthweight (grams)]]*1.1/Table1[[#This Row],[BW_GA]])-1)/(Backend!$B$4/100*Table1[[#This Row],[BW40_3705]]),"")</f>
        <v/>
      </c>
      <c r="J1922" s="7" t="str">
        <f>IF(Table1[[#This Row],[Is Data Valid]]=TRUE,_xlfn.NORM.S.DIST(Table1[[#This Row],[Birthweight Z-Score]],TRUE)*100,"")</f>
        <v/>
      </c>
      <c r="K1922" s="7" t="str">
        <f>IF(Table1[[#This Row],[Is Data Valid]]=TRUE,_xlfn.NORM.S.DIST(Table1[[#This Row],[Birthweight Z-Score (BW-10%)]],TRUE)*100,"")</f>
        <v/>
      </c>
      <c r="L1922" s="7" t="str">
        <f>IF(Table1[[#This Row],[Is Data Valid]]=TRUE,_xlfn.NORM.S.DIST(Table1[[#This Row],[Birthweight Z-Score (BW+10%)]],TRUE)*100,"")</f>
        <v/>
      </c>
    </row>
    <row r="1923" spans="1:12" x14ac:dyDescent="0.35">
      <c r="A1923" s="3"/>
      <c r="B1923" s="2"/>
      <c r="C1923" s="2"/>
      <c r="D1923" s="2" t="b">
        <f>IF(AND(NOT(ISBLANK(Table1[[#This Row],[Fetal Sex (Male, Female or Unknown)]])),ISNUMBER(Table1[[#This Row],[Birthweight (grams)]]),ISNUMBER(Table1[[#This Row],[Gestation (days)]])),TRUE,FALSE)</f>
        <v>0</v>
      </c>
      <c r="E1923" s="2" t="str">
        <f>IF(Table1[[#This Row],[Is Data Valid]]=TRUE,IF(Table1[[#This Row],[Fetal Sex (Male, Female or Unknown)]]="Male",Backend!$C$6,IF(Table1[[#This Row],[Fetal Sex (Male, Female or Unknown)]]="Female",Backend!$C$7,IF(Table1[[#This Row],[Fetal Sex (Male, Female or Unknown)]]="Unknown",Backend!$C$8,"Error"))),"")</f>
        <v/>
      </c>
      <c r="F1923" s="8" t="str">
        <f>IF(Table1[[#This Row],[Is Data Valid]]=TRUE,EXP(0.578+0.332*((Table1[[#This Row],[Gestation (days)]]+0.5)/7)-0.00354*((Table1[[#This Row],[Gestation (days)]]+0.5)/7)^2)*Table1[[#This Row],[BW40_3705]],"")</f>
        <v/>
      </c>
      <c r="G1923" s="2" t="str">
        <f>IF(Table1[[#This Row],[Is Data Valid]]=TRUE,((Table1[[#This Row],[Birthweight (grams)]]/Table1[[#This Row],[BW_GA]])-1)/(Backend!$B$4/100*Table1[[#This Row],[BW40_3705]]),"")</f>
        <v/>
      </c>
      <c r="H1923" s="7" t="str">
        <f>IF(Table1[[#This Row],[Is Data Valid]]=TRUE,((Table1[[#This Row],[Birthweight (grams)]]*0.9/Table1[[#This Row],[BW_GA]])-1)/(Backend!$B$4/100*Table1[[#This Row],[BW40_3705]]),"")</f>
        <v/>
      </c>
      <c r="I1923" s="7" t="str">
        <f>IF(Table1[[#This Row],[Is Data Valid]]=TRUE,((Table1[[#This Row],[Birthweight (grams)]]*1.1/Table1[[#This Row],[BW_GA]])-1)/(Backend!$B$4/100*Table1[[#This Row],[BW40_3705]]),"")</f>
        <v/>
      </c>
      <c r="J1923" s="7" t="str">
        <f>IF(Table1[[#This Row],[Is Data Valid]]=TRUE,_xlfn.NORM.S.DIST(Table1[[#This Row],[Birthweight Z-Score]],TRUE)*100,"")</f>
        <v/>
      </c>
      <c r="K1923" s="7" t="str">
        <f>IF(Table1[[#This Row],[Is Data Valid]]=TRUE,_xlfn.NORM.S.DIST(Table1[[#This Row],[Birthweight Z-Score (BW-10%)]],TRUE)*100,"")</f>
        <v/>
      </c>
      <c r="L1923" s="7" t="str">
        <f>IF(Table1[[#This Row],[Is Data Valid]]=TRUE,_xlfn.NORM.S.DIST(Table1[[#This Row],[Birthweight Z-Score (BW+10%)]],TRUE)*100,"")</f>
        <v/>
      </c>
    </row>
    <row r="1924" spans="1:12" x14ac:dyDescent="0.35">
      <c r="A1924" s="3"/>
      <c r="B1924" s="2"/>
      <c r="C1924" s="2"/>
      <c r="D1924" s="2" t="b">
        <f>IF(AND(NOT(ISBLANK(Table1[[#This Row],[Fetal Sex (Male, Female or Unknown)]])),ISNUMBER(Table1[[#This Row],[Birthweight (grams)]]),ISNUMBER(Table1[[#This Row],[Gestation (days)]])),TRUE,FALSE)</f>
        <v>0</v>
      </c>
      <c r="E1924" s="2" t="str">
        <f>IF(Table1[[#This Row],[Is Data Valid]]=TRUE,IF(Table1[[#This Row],[Fetal Sex (Male, Female or Unknown)]]="Male",Backend!$C$6,IF(Table1[[#This Row],[Fetal Sex (Male, Female or Unknown)]]="Female",Backend!$C$7,IF(Table1[[#This Row],[Fetal Sex (Male, Female or Unknown)]]="Unknown",Backend!$C$8,"Error"))),"")</f>
        <v/>
      </c>
      <c r="F1924" s="8" t="str">
        <f>IF(Table1[[#This Row],[Is Data Valid]]=TRUE,EXP(0.578+0.332*((Table1[[#This Row],[Gestation (days)]]+0.5)/7)-0.00354*((Table1[[#This Row],[Gestation (days)]]+0.5)/7)^2)*Table1[[#This Row],[BW40_3705]],"")</f>
        <v/>
      </c>
      <c r="G1924" s="2" t="str">
        <f>IF(Table1[[#This Row],[Is Data Valid]]=TRUE,((Table1[[#This Row],[Birthweight (grams)]]/Table1[[#This Row],[BW_GA]])-1)/(Backend!$B$4/100*Table1[[#This Row],[BW40_3705]]),"")</f>
        <v/>
      </c>
      <c r="H1924" s="7" t="str">
        <f>IF(Table1[[#This Row],[Is Data Valid]]=TRUE,((Table1[[#This Row],[Birthweight (grams)]]*0.9/Table1[[#This Row],[BW_GA]])-1)/(Backend!$B$4/100*Table1[[#This Row],[BW40_3705]]),"")</f>
        <v/>
      </c>
      <c r="I1924" s="7" t="str">
        <f>IF(Table1[[#This Row],[Is Data Valid]]=TRUE,((Table1[[#This Row],[Birthweight (grams)]]*1.1/Table1[[#This Row],[BW_GA]])-1)/(Backend!$B$4/100*Table1[[#This Row],[BW40_3705]]),"")</f>
        <v/>
      </c>
      <c r="J1924" s="7" t="str">
        <f>IF(Table1[[#This Row],[Is Data Valid]]=TRUE,_xlfn.NORM.S.DIST(Table1[[#This Row],[Birthweight Z-Score]],TRUE)*100,"")</f>
        <v/>
      </c>
      <c r="K1924" s="7" t="str">
        <f>IF(Table1[[#This Row],[Is Data Valid]]=TRUE,_xlfn.NORM.S.DIST(Table1[[#This Row],[Birthweight Z-Score (BW-10%)]],TRUE)*100,"")</f>
        <v/>
      </c>
      <c r="L1924" s="7" t="str">
        <f>IF(Table1[[#This Row],[Is Data Valid]]=TRUE,_xlfn.NORM.S.DIST(Table1[[#This Row],[Birthweight Z-Score (BW+10%)]],TRUE)*100,"")</f>
        <v/>
      </c>
    </row>
    <row r="1925" spans="1:12" x14ac:dyDescent="0.35">
      <c r="A1925" s="3"/>
      <c r="B1925" s="2"/>
      <c r="C1925" s="2"/>
      <c r="D1925" s="2" t="b">
        <f>IF(AND(NOT(ISBLANK(Table1[[#This Row],[Fetal Sex (Male, Female or Unknown)]])),ISNUMBER(Table1[[#This Row],[Birthweight (grams)]]),ISNUMBER(Table1[[#This Row],[Gestation (days)]])),TRUE,FALSE)</f>
        <v>0</v>
      </c>
      <c r="E1925" s="2" t="str">
        <f>IF(Table1[[#This Row],[Is Data Valid]]=TRUE,IF(Table1[[#This Row],[Fetal Sex (Male, Female or Unknown)]]="Male",Backend!$C$6,IF(Table1[[#This Row],[Fetal Sex (Male, Female or Unknown)]]="Female",Backend!$C$7,IF(Table1[[#This Row],[Fetal Sex (Male, Female or Unknown)]]="Unknown",Backend!$C$8,"Error"))),"")</f>
        <v/>
      </c>
      <c r="F1925" s="8" t="str">
        <f>IF(Table1[[#This Row],[Is Data Valid]]=TRUE,EXP(0.578+0.332*((Table1[[#This Row],[Gestation (days)]]+0.5)/7)-0.00354*((Table1[[#This Row],[Gestation (days)]]+0.5)/7)^2)*Table1[[#This Row],[BW40_3705]],"")</f>
        <v/>
      </c>
      <c r="G1925" s="2" t="str">
        <f>IF(Table1[[#This Row],[Is Data Valid]]=TRUE,((Table1[[#This Row],[Birthweight (grams)]]/Table1[[#This Row],[BW_GA]])-1)/(Backend!$B$4/100*Table1[[#This Row],[BW40_3705]]),"")</f>
        <v/>
      </c>
      <c r="H1925" s="7" t="str">
        <f>IF(Table1[[#This Row],[Is Data Valid]]=TRUE,((Table1[[#This Row],[Birthweight (grams)]]*0.9/Table1[[#This Row],[BW_GA]])-1)/(Backend!$B$4/100*Table1[[#This Row],[BW40_3705]]),"")</f>
        <v/>
      </c>
      <c r="I1925" s="7" t="str">
        <f>IF(Table1[[#This Row],[Is Data Valid]]=TRUE,((Table1[[#This Row],[Birthweight (grams)]]*1.1/Table1[[#This Row],[BW_GA]])-1)/(Backend!$B$4/100*Table1[[#This Row],[BW40_3705]]),"")</f>
        <v/>
      </c>
      <c r="J1925" s="7" t="str">
        <f>IF(Table1[[#This Row],[Is Data Valid]]=TRUE,_xlfn.NORM.S.DIST(Table1[[#This Row],[Birthweight Z-Score]],TRUE)*100,"")</f>
        <v/>
      </c>
      <c r="K1925" s="7" t="str">
        <f>IF(Table1[[#This Row],[Is Data Valid]]=TRUE,_xlfn.NORM.S.DIST(Table1[[#This Row],[Birthweight Z-Score (BW-10%)]],TRUE)*100,"")</f>
        <v/>
      </c>
      <c r="L1925" s="7" t="str">
        <f>IF(Table1[[#This Row],[Is Data Valid]]=TRUE,_xlfn.NORM.S.DIST(Table1[[#This Row],[Birthweight Z-Score (BW+10%)]],TRUE)*100,"")</f>
        <v/>
      </c>
    </row>
    <row r="1926" spans="1:12" x14ac:dyDescent="0.35">
      <c r="A1926" s="3"/>
      <c r="B1926" s="2"/>
      <c r="C1926" s="2"/>
      <c r="D1926" s="2" t="b">
        <f>IF(AND(NOT(ISBLANK(Table1[[#This Row],[Fetal Sex (Male, Female or Unknown)]])),ISNUMBER(Table1[[#This Row],[Birthweight (grams)]]),ISNUMBER(Table1[[#This Row],[Gestation (days)]])),TRUE,FALSE)</f>
        <v>0</v>
      </c>
      <c r="E1926" s="2" t="str">
        <f>IF(Table1[[#This Row],[Is Data Valid]]=TRUE,IF(Table1[[#This Row],[Fetal Sex (Male, Female or Unknown)]]="Male",Backend!$C$6,IF(Table1[[#This Row],[Fetal Sex (Male, Female or Unknown)]]="Female",Backend!$C$7,IF(Table1[[#This Row],[Fetal Sex (Male, Female or Unknown)]]="Unknown",Backend!$C$8,"Error"))),"")</f>
        <v/>
      </c>
      <c r="F1926" s="8" t="str">
        <f>IF(Table1[[#This Row],[Is Data Valid]]=TRUE,EXP(0.578+0.332*((Table1[[#This Row],[Gestation (days)]]+0.5)/7)-0.00354*((Table1[[#This Row],[Gestation (days)]]+0.5)/7)^2)*Table1[[#This Row],[BW40_3705]],"")</f>
        <v/>
      </c>
      <c r="G1926" s="2" t="str">
        <f>IF(Table1[[#This Row],[Is Data Valid]]=TRUE,((Table1[[#This Row],[Birthweight (grams)]]/Table1[[#This Row],[BW_GA]])-1)/(Backend!$B$4/100*Table1[[#This Row],[BW40_3705]]),"")</f>
        <v/>
      </c>
      <c r="H1926" s="7" t="str">
        <f>IF(Table1[[#This Row],[Is Data Valid]]=TRUE,((Table1[[#This Row],[Birthweight (grams)]]*0.9/Table1[[#This Row],[BW_GA]])-1)/(Backend!$B$4/100*Table1[[#This Row],[BW40_3705]]),"")</f>
        <v/>
      </c>
      <c r="I1926" s="7" t="str">
        <f>IF(Table1[[#This Row],[Is Data Valid]]=TRUE,((Table1[[#This Row],[Birthweight (grams)]]*1.1/Table1[[#This Row],[BW_GA]])-1)/(Backend!$B$4/100*Table1[[#This Row],[BW40_3705]]),"")</f>
        <v/>
      </c>
      <c r="J1926" s="7" t="str">
        <f>IF(Table1[[#This Row],[Is Data Valid]]=TRUE,_xlfn.NORM.S.DIST(Table1[[#This Row],[Birthweight Z-Score]],TRUE)*100,"")</f>
        <v/>
      </c>
      <c r="K1926" s="7" t="str">
        <f>IF(Table1[[#This Row],[Is Data Valid]]=TRUE,_xlfn.NORM.S.DIST(Table1[[#This Row],[Birthweight Z-Score (BW-10%)]],TRUE)*100,"")</f>
        <v/>
      </c>
      <c r="L1926" s="7" t="str">
        <f>IF(Table1[[#This Row],[Is Data Valid]]=TRUE,_xlfn.NORM.S.DIST(Table1[[#This Row],[Birthweight Z-Score (BW+10%)]],TRUE)*100,"")</f>
        <v/>
      </c>
    </row>
    <row r="1927" spans="1:12" x14ac:dyDescent="0.35">
      <c r="A1927" s="3"/>
      <c r="B1927" s="2"/>
      <c r="C1927" s="2"/>
      <c r="D1927" s="2" t="b">
        <f>IF(AND(NOT(ISBLANK(Table1[[#This Row],[Fetal Sex (Male, Female or Unknown)]])),ISNUMBER(Table1[[#This Row],[Birthweight (grams)]]),ISNUMBER(Table1[[#This Row],[Gestation (days)]])),TRUE,FALSE)</f>
        <v>0</v>
      </c>
      <c r="E1927" s="2" t="str">
        <f>IF(Table1[[#This Row],[Is Data Valid]]=TRUE,IF(Table1[[#This Row],[Fetal Sex (Male, Female or Unknown)]]="Male",Backend!$C$6,IF(Table1[[#This Row],[Fetal Sex (Male, Female or Unknown)]]="Female",Backend!$C$7,IF(Table1[[#This Row],[Fetal Sex (Male, Female or Unknown)]]="Unknown",Backend!$C$8,"Error"))),"")</f>
        <v/>
      </c>
      <c r="F1927" s="8" t="str">
        <f>IF(Table1[[#This Row],[Is Data Valid]]=TRUE,EXP(0.578+0.332*((Table1[[#This Row],[Gestation (days)]]+0.5)/7)-0.00354*((Table1[[#This Row],[Gestation (days)]]+0.5)/7)^2)*Table1[[#This Row],[BW40_3705]],"")</f>
        <v/>
      </c>
      <c r="G1927" s="2" t="str">
        <f>IF(Table1[[#This Row],[Is Data Valid]]=TRUE,((Table1[[#This Row],[Birthweight (grams)]]/Table1[[#This Row],[BW_GA]])-1)/(Backend!$B$4/100*Table1[[#This Row],[BW40_3705]]),"")</f>
        <v/>
      </c>
      <c r="H1927" s="7" t="str">
        <f>IF(Table1[[#This Row],[Is Data Valid]]=TRUE,((Table1[[#This Row],[Birthweight (grams)]]*0.9/Table1[[#This Row],[BW_GA]])-1)/(Backend!$B$4/100*Table1[[#This Row],[BW40_3705]]),"")</f>
        <v/>
      </c>
      <c r="I1927" s="7" t="str">
        <f>IF(Table1[[#This Row],[Is Data Valid]]=TRUE,((Table1[[#This Row],[Birthweight (grams)]]*1.1/Table1[[#This Row],[BW_GA]])-1)/(Backend!$B$4/100*Table1[[#This Row],[BW40_3705]]),"")</f>
        <v/>
      </c>
      <c r="J1927" s="7" t="str">
        <f>IF(Table1[[#This Row],[Is Data Valid]]=TRUE,_xlfn.NORM.S.DIST(Table1[[#This Row],[Birthweight Z-Score]],TRUE)*100,"")</f>
        <v/>
      </c>
      <c r="K1927" s="7" t="str">
        <f>IF(Table1[[#This Row],[Is Data Valid]]=TRUE,_xlfn.NORM.S.DIST(Table1[[#This Row],[Birthweight Z-Score (BW-10%)]],TRUE)*100,"")</f>
        <v/>
      </c>
      <c r="L1927" s="7" t="str">
        <f>IF(Table1[[#This Row],[Is Data Valid]]=TRUE,_xlfn.NORM.S.DIST(Table1[[#This Row],[Birthweight Z-Score (BW+10%)]],TRUE)*100,"")</f>
        <v/>
      </c>
    </row>
    <row r="1928" spans="1:12" x14ac:dyDescent="0.35">
      <c r="A1928" s="3"/>
      <c r="B1928" s="2"/>
      <c r="C1928" s="2"/>
      <c r="D1928" s="2" t="b">
        <f>IF(AND(NOT(ISBLANK(Table1[[#This Row],[Fetal Sex (Male, Female or Unknown)]])),ISNUMBER(Table1[[#This Row],[Birthweight (grams)]]),ISNUMBER(Table1[[#This Row],[Gestation (days)]])),TRUE,FALSE)</f>
        <v>0</v>
      </c>
      <c r="E1928" s="2" t="str">
        <f>IF(Table1[[#This Row],[Is Data Valid]]=TRUE,IF(Table1[[#This Row],[Fetal Sex (Male, Female or Unknown)]]="Male",Backend!$C$6,IF(Table1[[#This Row],[Fetal Sex (Male, Female or Unknown)]]="Female",Backend!$C$7,IF(Table1[[#This Row],[Fetal Sex (Male, Female or Unknown)]]="Unknown",Backend!$C$8,"Error"))),"")</f>
        <v/>
      </c>
      <c r="F1928" s="8" t="str">
        <f>IF(Table1[[#This Row],[Is Data Valid]]=TRUE,EXP(0.578+0.332*((Table1[[#This Row],[Gestation (days)]]+0.5)/7)-0.00354*((Table1[[#This Row],[Gestation (days)]]+0.5)/7)^2)*Table1[[#This Row],[BW40_3705]],"")</f>
        <v/>
      </c>
      <c r="G1928" s="2" t="str">
        <f>IF(Table1[[#This Row],[Is Data Valid]]=TRUE,((Table1[[#This Row],[Birthweight (grams)]]/Table1[[#This Row],[BW_GA]])-1)/(Backend!$B$4/100*Table1[[#This Row],[BW40_3705]]),"")</f>
        <v/>
      </c>
      <c r="H1928" s="7" t="str">
        <f>IF(Table1[[#This Row],[Is Data Valid]]=TRUE,((Table1[[#This Row],[Birthweight (grams)]]*0.9/Table1[[#This Row],[BW_GA]])-1)/(Backend!$B$4/100*Table1[[#This Row],[BW40_3705]]),"")</f>
        <v/>
      </c>
      <c r="I1928" s="7" t="str">
        <f>IF(Table1[[#This Row],[Is Data Valid]]=TRUE,((Table1[[#This Row],[Birthweight (grams)]]*1.1/Table1[[#This Row],[BW_GA]])-1)/(Backend!$B$4/100*Table1[[#This Row],[BW40_3705]]),"")</f>
        <v/>
      </c>
      <c r="J1928" s="7" t="str">
        <f>IF(Table1[[#This Row],[Is Data Valid]]=TRUE,_xlfn.NORM.S.DIST(Table1[[#This Row],[Birthweight Z-Score]],TRUE)*100,"")</f>
        <v/>
      </c>
      <c r="K1928" s="7" t="str">
        <f>IF(Table1[[#This Row],[Is Data Valid]]=TRUE,_xlfn.NORM.S.DIST(Table1[[#This Row],[Birthweight Z-Score (BW-10%)]],TRUE)*100,"")</f>
        <v/>
      </c>
      <c r="L1928" s="7" t="str">
        <f>IF(Table1[[#This Row],[Is Data Valid]]=TRUE,_xlfn.NORM.S.DIST(Table1[[#This Row],[Birthweight Z-Score (BW+10%)]],TRUE)*100,"")</f>
        <v/>
      </c>
    </row>
    <row r="1929" spans="1:12" x14ac:dyDescent="0.35">
      <c r="A1929" s="3"/>
      <c r="B1929" s="2"/>
      <c r="C1929" s="2"/>
      <c r="D1929" s="2" t="b">
        <f>IF(AND(NOT(ISBLANK(Table1[[#This Row],[Fetal Sex (Male, Female or Unknown)]])),ISNUMBER(Table1[[#This Row],[Birthweight (grams)]]),ISNUMBER(Table1[[#This Row],[Gestation (days)]])),TRUE,FALSE)</f>
        <v>0</v>
      </c>
      <c r="E1929" s="2" t="str">
        <f>IF(Table1[[#This Row],[Is Data Valid]]=TRUE,IF(Table1[[#This Row],[Fetal Sex (Male, Female or Unknown)]]="Male",Backend!$C$6,IF(Table1[[#This Row],[Fetal Sex (Male, Female or Unknown)]]="Female",Backend!$C$7,IF(Table1[[#This Row],[Fetal Sex (Male, Female or Unknown)]]="Unknown",Backend!$C$8,"Error"))),"")</f>
        <v/>
      </c>
      <c r="F1929" s="8" t="str">
        <f>IF(Table1[[#This Row],[Is Data Valid]]=TRUE,EXP(0.578+0.332*((Table1[[#This Row],[Gestation (days)]]+0.5)/7)-0.00354*((Table1[[#This Row],[Gestation (days)]]+0.5)/7)^2)*Table1[[#This Row],[BW40_3705]],"")</f>
        <v/>
      </c>
      <c r="G1929" s="2" t="str">
        <f>IF(Table1[[#This Row],[Is Data Valid]]=TRUE,((Table1[[#This Row],[Birthweight (grams)]]/Table1[[#This Row],[BW_GA]])-1)/(Backend!$B$4/100*Table1[[#This Row],[BW40_3705]]),"")</f>
        <v/>
      </c>
      <c r="H1929" s="7" t="str">
        <f>IF(Table1[[#This Row],[Is Data Valid]]=TRUE,((Table1[[#This Row],[Birthweight (grams)]]*0.9/Table1[[#This Row],[BW_GA]])-1)/(Backend!$B$4/100*Table1[[#This Row],[BW40_3705]]),"")</f>
        <v/>
      </c>
      <c r="I1929" s="7" t="str">
        <f>IF(Table1[[#This Row],[Is Data Valid]]=TRUE,((Table1[[#This Row],[Birthweight (grams)]]*1.1/Table1[[#This Row],[BW_GA]])-1)/(Backend!$B$4/100*Table1[[#This Row],[BW40_3705]]),"")</f>
        <v/>
      </c>
      <c r="J1929" s="7" t="str">
        <f>IF(Table1[[#This Row],[Is Data Valid]]=TRUE,_xlfn.NORM.S.DIST(Table1[[#This Row],[Birthweight Z-Score]],TRUE)*100,"")</f>
        <v/>
      </c>
      <c r="K1929" s="7" t="str">
        <f>IF(Table1[[#This Row],[Is Data Valid]]=TRUE,_xlfn.NORM.S.DIST(Table1[[#This Row],[Birthweight Z-Score (BW-10%)]],TRUE)*100,"")</f>
        <v/>
      </c>
      <c r="L1929" s="7" t="str">
        <f>IF(Table1[[#This Row],[Is Data Valid]]=TRUE,_xlfn.NORM.S.DIST(Table1[[#This Row],[Birthweight Z-Score (BW+10%)]],TRUE)*100,"")</f>
        <v/>
      </c>
    </row>
    <row r="1930" spans="1:12" x14ac:dyDescent="0.35">
      <c r="A1930" s="3"/>
      <c r="B1930" s="2"/>
      <c r="C1930" s="2"/>
      <c r="D1930" s="2" t="b">
        <f>IF(AND(NOT(ISBLANK(Table1[[#This Row],[Fetal Sex (Male, Female or Unknown)]])),ISNUMBER(Table1[[#This Row],[Birthweight (grams)]]),ISNUMBER(Table1[[#This Row],[Gestation (days)]])),TRUE,FALSE)</f>
        <v>0</v>
      </c>
      <c r="E1930" s="2" t="str">
        <f>IF(Table1[[#This Row],[Is Data Valid]]=TRUE,IF(Table1[[#This Row],[Fetal Sex (Male, Female or Unknown)]]="Male",Backend!$C$6,IF(Table1[[#This Row],[Fetal Sex (Male, Female or Unknown)]]="Female",Backend!$C$7,IF(Table1[[#This Row],[Fetal Sex (Male, Female or Unknown)]]="Unknown",Backend!$C$8,"Error"))),"")</f>
        <v/>
      </c>
      <c r="F1930" s="8" t="str">
        <f>IF(Table1[[#This Row],[Is Data Valid]]=TRUE,EXP(0.578+0.332*((Table1[[#This Row],[Gestation (days)]]+0.5)/7)-0.00354*((Table1[[#This Row],[Gestation (days)]]+0.5)/7)^2)*Table1[[#This Row],[BW40_3705]],"")</f>
        <v/>
      </c>
      <c r="G1930" s="2" t="str">
        <f>IF(Table1[[#This Row],[Is Data Valid]]=TRUE,((Table1[[#This Row],[Birthweight (grams)]]/Table1[[#This Row],[BW_GA]])-1)/(Backend!$B$4/100*Table1[[#This Row],[BW40_3705]]),"")</f>
        <v/>
      </c>
      <c r="H1930" s="7" t="str">
        <f>IF(Table1[[#This Row],[Is Data Valid]]=TRUE,((Table1[[#This Row],[Birthweight (grams)]]*0.9/Table1[[#This Row],[BW_GA]])-1)/(Backend!$B$4/100*Table1[[#This Row],[BW40_3705]]),"")</f>
        <v/>
      </c>
      <c r="I1930" s="7" t="str">
        <f>IF(Table1[[#This Row],[Is Data Valid]]=TRUE,((Table1[[#This Row],[Birthweight (grams)]]*1.1/Table1[[#This Row],[BW_GA]])-1)/(Backend!$B$4/100*Table1[[#This Row],[BW40_3705]]),"")</f>
        <v/>
      </c>
      <c r="J1930" s="7" t="str">
        <f>IF(Table1[[#This Row],[Is Data Valid]]=TRUE,_xlfn.NORM.S.DIST(Table1[[#This Row],[Birthweight Z-Score]],TRUE)*100,"")</f>
        <v/>
      </c>
      <c r="K1930" s="7" t="str">
        <f>IF(Table1[[#This Row],[Is Data Valid]]=TRUE,_xlfn.NORM.S.DIST(Table1[[#This Row],[Birthweight Z-Score (BW-10%)]],TRUE)*100,"")</f>
        <v/>
      </c>
      <c r="L1930" s="7" t="str">
        <f>IF(Table1[[#This Row],[Is Data Valid]]=TRUE,_xlfn.NORM.S.DIST(Table1[[#This Row],[Birthweight Z-Score (BW+10%)]],TRUE)*100,"")</f>
        <v/>
      </c>
    </row>
    <row r="1931" spans="1:12" x14ac:dyDescent="0.35">
      <c r="A1931" s="3"/>
      <c r="B1931" s="2"/>
      <c r="C1931" s="2"/>
      <c r="D1931" s="2" t="b">
        <f>IF(AND(NOT(ISBLANK(Table1[[#This Row],[Fetal Sex (Male, Female or Unknown)]])),ISNUMBER(Table1[[#This Row],[Birthweight (grams)]]),ISNUMBER(Table1[[#This Row],[Gestation (days)]])),TRUE,FALSE)</f>
        <v>0</v>
      </c>
      <c r="E1931" s="2" t="str">
        <f>IF(Table1[[#This Row],[Is Data Valid]]=TRUE,IF(Table1[[#This Row],[Fetal Sex (Male, Female or Unknown)]]="Male",Backend!$C$6,IF(Table1[[#This Row],[Fetal Sex (Male, Female or Unknown)]]="Female",Backend!$C$7,IF(Table1[[#This Row],[Fetal Sex (Male, Female or Unknown)]]="Unknown",Backend!$C$8,"Error"))),"")</f>
        <v/>
      </c>
      <c r="F1931" s="8" t="str">
        <f>IF(Table1[[#This Row],[Is Data Valid]]=TRUE,EXP(0.578+0.332*((Table1[[#This Row],[Gestation (days)]]+0.5)/7)-0.00354*((Table1[[#This Row],[Gestation (days)]]+0.5)/7)^2)*Table1[[#This Row],[BW40_3705]],"")</f>
        <v/>
      </c>
      <c r="G1931" s="2" t="str">
        <f>IF(Table1[[#This Row],[Is Data Valid]]=TRUE,((Table1[[#This Row],[Birthweight (grams)]]/Table1[[#This Row],[BW_GA]])-1)/(Backend!$B$4/100*Table1[[#This Row],[BW40_3705]]),"")</f>
        <v/>
      </c>
      <c r="H1931" s="7" t="str">
        <f>IF(Table1[[#This Row],[Is Data Valid]]=TRUE,((Table1[[#This Row],[Birthweight (grams)]]*0.9/Table1[[#This Row],[BW_GA]])-1)/(Backend!$B$4/100*Table1[[#This Row],[BW40_3705]]),"")</f>
        <v/>
      </c>
      <c r="I1931" s="7" t="str">
        <f>IF(Table1[[#This Row],[Is Data Valid]]=TRUE,((Table1[[#This Row],[Birthweight (grams)]]*1.1/Table1[[#This Row],[BW_GA]])-1)/(Backend!$B$4/100*Table1[[#This Row],[BW40_3705]]),"")</f>
        <v/>
      </c>
      <c r="J1931" s="7" t="str">
        <f>IF(Table1[[#This Row],[Is Data Valid]]=TRUE,_xlfn.NORM.S.DIST(Table1[[#This Row],[Birthweight Z-Score]],TRUE)*100,"")</f>
        <v/>
      </c>
      <c r="K1931" s="7" t="str">
        <f>IF(Table1[[#This Row],[Is Data Valid]]=TRUE,_xlfn.NORM.S.DIST(Table1[[#This Row],[Birthweight Z-Score (BW-10%)]],TRUE)*100,"")</f>
        <v/>
      </c>
      <c r="L1931" s="7" t="str">
        <f>IF(Table1[[#This Row],[Is Data Valid]]=TRUE,_xlfn.NORM.S.DIST(Table1[[#This Row],[Birthweight Z-Score (BW+10%)]],TRUE)*100,"")</f>
        <v/>
      </c>
    </row>
    <row r="1932" spans="1:12" x14ac:dyDescent="0.35">
      <c r="A1932" s="3"/>
      <c r="B1932" s="2"/>
      <c r="C1932" s="2"/>
      <c r="D1932" s="2" t="b">
        <f>IF(AND(NOT(ISBLANK(Table1[[#This Row],[Fetal Sex (Male, Female or Unknown)]])),ISNUMBER(Table1[[#This Row],[Birthweight (grams)]]),ISNUMBER(Table1[[#This Row],[Gestation (days)]])),TRUE,FALSE)</f>
        <v>0</v>
      </c>
      <c r="E1932" s="2" t="str">
        <f>IF(Table1[[#This Row],[Is Data Valid]]=TRUE,IF(Table1[[#This Row],[Fetal Sex (Male, Female or Unknown)]]="Male",Backend!$C$6,IF(Table1[[#This Row],[Fetal Sex (Male, Female or Unknown)]]="Female",Backend!$C$7,IF(Table1[[#This Row],[Fetal Sex (Male, Female or Unknown)]]="Unknown",Backend!$C$8,"Error"))),"")</f>
        <v/>
      </c>
      <c r="F1932" s="8" t="str">
        <f>IF(Table1[[#This Row],[Is Data Valid]]=TRUE,EXP(0.578+0.332*((Table1[[#This Row],[Gestation (days)]]+0.5)/7)-0.00354*((Table1[[#This Row],[Gestation (days)]]+0.5)/7)^2)*Table1[[#This Row],[BW40_3705]],"")</f>
        <v/>
      </c>
      <c r="G1932" s="2" t="str">
        <f>IF(Table1[[#This Row],[Is Data Valid]]=TRUE,((Table1[[#This Row],[Birthweight (grams)]]/Table1[[#This Row],[BW_GA]])-1)/(Backend!$B$4/100*Table1[[#This Row],[BW40_3705]]),"")</f>
        <v/>
      </c>
      <c r="H1932" s="7" t="str">
        <f>IF(Table1[[#This Row],[Is Data Valid]]=TRUE,((Table1[[#This Row],[Birthweight (grams)]]*0.9/Table1[[#This Row],[BW_GA]])-1)/(Backend!$B$4/100*Table1[[#This Row],[BW40_3705]]),"")</f>
        <v/>
      </c>
      <c r="I1932" s="7" t="str">
        <f>IF(Table1[[#This Row],[Is Data Valid]]=TRUE,((Table1[[#This Row],[Birthweight (grams)]]*1.1/Table1[[#This Row],[BW_GA]])-1)/(Backend!$B$4/100*Table1[[#This Row],[BW40_3705]]),"")</f>
        <v/>
      </c>
      <c r="J1932" s="7" t="str">
        <f>IF(Table1[[#This Row],[Is Data Valid]]=TRUE,_xlfn.NORM.S.DIST(Table1[[#This Row],[Birthweight Z-Score]],TRUE)*100,"")</f>
        <v/>
      </c>
      <c r="K1932" s="7" t="str">
        <f>IF(Table1[[#This Row],[Is Data Valid]]=TRUE,_xlfn.NORM.S.DIST(Table1[[#This Row],[Birthweight Z-Score (BW-10%)]],TRUE)*100,"")</f>
        <v/>
      </c>
      <c r="L1932" s="7" t="str">
        <f>IF(Table1[[#This Row],[Is Data Valid]]=TRUE,_xlfn.NORM.S.DIST(Table1[[#This Row],[Birthweight Z-Score (BW+10%)]],TRUE)*100,"")</f>
        <v/>
      </c>
    </row>
    <row r="1933" spans="1:12" x14ac:dyDescent="0.35">
      <c r="A1933" s="3"/>
      <c r="B1933" s="2"/>
      <c r="C1933" s="2"/>
      <c r="D1933" s="2" t="b">
        <f>IF(AND(NOT(ISBLANK(Table1[[#This Row],[Fetal Sex (Male, Female or Unknown)]])),ISNUMBER(Table1[[#This Row],[Birthweight (grams)]]),ISNUMBER(Table1[[#This Row],[Gestation (days)]])),TRUE,FALSE)</f>
        <v>0</v>
      </c>
      <c r="E1933" s="2" t="str">
        <f>IF(Table1[[#This Row],[Is Data Valid]]=TRUE,IF(Table1[[#This Row],[Fetal Sex (Male, Female or Unknown)]]="Male",Backend!$C$6,IF(Table1[[#This Row],[Fetal Sex (Male, Female or Unknown)]]="Female",Backend!$C$7,IF(Table1[[#This Row],[Fetal Sex (Male, Female or Unknown)]]="Unknown",Backend!$C$8,"Error"))),"")</f>
        <v/>
      </c>
      <c r="F1933" s="8" t="str">
        <f>IF(Table1[[#This Row],[Is Data Valid]]=TRUE,EXP(0.578+0.332*((Table1[[#This Row],[Gestation (days)]]+0.5)/7)-0.00354*((Table1[[#This Row],[Gestation (days)]]+0.5)/7)^2)*Table1[[#This Row],[BW40_3705]],"")</f>
        <v/>
      </c>
      <c r="G1933" s="2" t="str">
        <f>IF(Table1[[#This Row],[Is Data Valid]]=TRUE,((Table1[[#This Row],[Birthweight (grams)]]/Table1[[#This Row],[BW_GA]])-1)/(Backend!$B$4/100*Table1[[#This Row],[BW40_3705]]),"")</f>
        <v/>
      </c>
      <c r="H1933" s="7" t="str">
        <f>IF(Table1[[#This Row],[Is Data Valid]]=TRUE,((Table1[[#This Row],[Birthweight (grams)]]*0.9/Table1[[#This Row],[BW_GA]])-1)/(Backend!$B$4/100*Table1[[#This Row],[BW40_3705]]),"")</f>
        <v/>
      </c>
      <c r="I1933" s="7" t="str">
        <f>IF(Table1[[#This Row],[Is Data Valid]]=TRUE,((Table1[[#This Row],[Birthweight (grams)]]*1.1/Table1[[#This Row],[BW_GA]])-1)/(Backend!$B$4/100*Table1[[#This Row],[BW40_3705]]),"")</f>
        <v/>
      </c>
      <c r="J1933" s="7" t="str">
        <f>IF(Table1[[#This Row],[Is Data Valid]]=TRUE,_xlfn.NORM.S.DIST(Table1[[#This Row],[Birthweight Z-Score]],TRUE)*100,"")</f>
        <v/>
      </c>
      <c r="K1933" s="7" t="str">
        <f>IF(Table1[[#This Row],[Is Data Valid]]=TRUE,_xlfn.NORM.S.DIST(Table1[[#This Row],[Birthweight Z-Score (BW-10%)]],TRUE)*100,"")</f>
        <v/>
      </c>
      <c r="L1933" s="7" t="str">
        <f>IF(Table1[[#This Row],[Is Data Valid]]=TRUE,_xlfn.NORM.S.DIST(Table1[[#This Row],[Birthweight Z-Score (BW+10%)]],TRUE)*100,"")</f>
        <v/>
      </c>
    </row>
    <row r="1934" spans="1:12" x14ac:dyDescent="0.35">
      <c r="A1934" s="3"/>
      <c r="B1934" s="2"/>
      <c r="C1934" s="2"/>
      <c r="D1934" s="2" t="b">
        <f>IF(AND(NOT(ISBLANK(Table1[[#This Row],[Fetal Sex (Male, Female or Unknown)]])),ISNUMBER(Table1[[#This Row],[Birthweight (grams)]]),ISNUMBER(Table1[[#This Row],[Gestation (days)]])),TRUE,FALSE)</f>
        <v>0</v>
      </c>
      <c r="E1934" s="2" t="str">
        <f>IF(Table1[[#This Row],[Is Data Valid]]=TRUE,IF(Table1[[#This Row],[Fetal Sex (Male, Female or Unknown)]]="Male",Backend!$C$6,IF(Table1[[#This Row],[Fetal Sex (Male, Female or Unknown)]]="Female",Backend!$C$7,IF(Table1[[#This Row],[Fetal Sex (Male, Female or Unknown)]]="Unknown",Backend!$C$8,"Error"))),"")</f>
        <v/>
      </c>
      <c r="F1934" s="8" t="str">
        <f>IF(Table1[[#This Row],[Is Data Valid]]=TRUE,EXP(0.578+0.332*((Table1[[#This Row],[Gestation (days)]]+0.5)/7)-0.00354*((Table1[[#This Row],[Gestation (days)]]+0.5)/7)^2)*Table1[[#This Row],[BW40_3705]],"")</f>
        <v/>
      </c>
      <c r="G1934" s="2" t="str">
        <f>IF(Table1[[#This Row],[Is Data Valid]]=TRUE,((Table1[[#This Row],[Birthweight (grams)]]/Table1[[#This Row],[BW_GA]])-1)/(Backend!$B$4/100*Table1[[#This Row],[BW40_3705]]),"")</f>
        <v/>
      </c>
      <c r="H1934" s="7" t="str">
        <f>IF(Table1[[#This Row],[Is Data Valid]]=TRUE,((Table1[[#This Row],[Birthweight (grams)]]*0.9/Table1[[#This Row],[BW_GA]])-1)/(Backend!$B$4/100*Table1[[#This Row],[BW40_3705]]),"")</f>
        <v/>
      </c>
      <c r="I1934" s="7" t="str">
        <f>IF(Table1[[#This Row],[Is Data Valid]]=TRUE,((Table1[[#This Row],[Birthweight (grams)]]*1.1/Table1[[#This Row],[BW_GA]])-1)/(Backend!$B$4/100*Table1[[#This Row],[BW40_3705]]),"")</f>
        <v/>
      </c>
      <c r="J1934" s="7" t="str">
        <f>IF(Table1[[#This Row],[Is Data Valid]]=TRUE,_xlfn.NORM.S.DIST(Table1[[#This Row],[Birthweight Z-Score]],TRUE)*100,"")</f>
        <v/>
      </c>
      <c r="K1934" s="7" t="str">
        <f>IF(Table1[[#This Row],[Is Data Valid]]=TRUE,_xlfn.NORM.S.DIST(Table1[[#This Row],[Birthweight Z-Score (BW-10%)]],TRUE)*100,"")</f>
        <v/>
      </c>
      <c r="L1934" s="7" t="str">
        <f>IF(Table1[[#This Row],[Is Data Valid]]=TRUE,_xlfn.NORM.S.DIST(Table1[[#This Row],[Birthweight Z-Score (BW+10%)]],TRUE)*100,"")</f>
        <v/>
      </c>
    </row>
    <row r="1935" spans="1:12" x14ac:dyDescent="0.35">
      <c r="A1935" s="3"/>
      <c r="B1935" s="2"/>
      <c r="C1935" s="2"/>
      <c r="D1935" s="2" t="b">
        <f>IF(AND(NOT(ISBLANK(Table1[[#This Row],[Fetal Sex (Male, Female or Unknown)]])),ISNUMBER(Table1[[#This Row],[Birthweight (grams)]]),ISNUMBER(Table1[[#This Row],[Gestation (days)]])),TRUE,FALSE)</f>
        <v>0</v>
      </c>
      <c r="E1935" s="2" t="str">
        <f>IF(Table1[[#This Row],[Is Data Valid]]=TRUE,IF(Table1[[#This Row],[Fetal Sex (Male, Female or Unknown)]]="Male",Backend!$C$6,IF(Table1[[#This Row],[Fetal Sex (Male, Female or Unknown)]]="Female",Backend!$C$7,IF(Table1[[#This Row],[Fetal Sex (Male, Female or Unknown)]]="Unknown",Backend!$C$8,"Error"))),"")</f>
        <v/>
      </c>
      <c r="F1935" s="8" t="str">
        <f>IF(Table1[[#This Row],[Is Data Valid]]=TRUE,EXP(0.578+0.332*((Table1[[#This Row],[Gestation (days)]]+0.5)/7)-0.00354*((Table1[[#This Row],[Gestation (days)]]+0.5)/7)^2)*Table1[[#This Row],[BW40_3705]],"")</f>
        <v/>
      </c>
      <c r="G1935" s="2" t="str">
        <f>IF(Table1[[#This Row],[Is Data Valid]]=TRUE,((Table1[[#This Row],[Birthweight (grams)]]/Table1[[#This Row],[BW_GA]])-1)/(Backend!$B$4/100*Table1[[#This Row],[BW40_3705]]),"")</f>
        <v/>
      </c>
      <c r="H1935" s="7" t="str">
        <f>IF(Table1[[#This Row],[Is Data Valid]]=TRUE,((Table1[[#This Row],[Birthweight (grams)]]*0.9/Table1[[#This Row],[BW_GA]])-1)/(Backend!$B$4/100*Table1[[#This Row],[BW40_3705]]),"")</f>
        <v/>
      </c>
      <c r="I1935" s="7" t="str">
        <f>IF(Table1[[#This Row],[Is Data Valid]]=TRUE,((Table1[[#This Row],[Birthweight (grams)]]*1.1/Table1[[#This Row],[BW_GA]])-1)/(Backend!$B$4/100*Table1[[#This Row],[BW40_3705]]),"")</f>
        <v/>
      </c>
      <c r="J1935" s="7" t="str">
        <f>IF(Table1[[#This Row],[Is Data Valid]]=TRUE,_xlfn.NORM.S.DIST(Table1[[#This Row],[Birthweight Z-Score]],TRUE)*100,"")</f>
        <v/>
      </c>
      <c r="K1935" s="7" t="str">
        <f>IF(Table1[[#This Row],[Is Data Valid]]=TRUE,_xlfn.NORM.S.DIST(Table1[[#This Row],[Birthweight Z-Score (BW-10%)]],TRUE)*100,"")</f>
        <v/>
      </c>
      <c r="L1935" s="7" t="str">
        <f>IF(Table1[[#This Row],[Is Data Valid]]=TRUE,_xlfn.NORM.S.DIST(Table1[[#This Row],[Birthweight Z-Score (BW+10%)]],TRUE)*100,"")</f>
        <v/>
      </c>
    </row>
    <row r="1936" spans="1:12" x14ac:dyDescent="0.35">
      <c r="A1936" s="3"/>
      <c r="B1936" s="2"/>
      <c r="C1936" s="2"/>
      <c r="D1936" s="2" t="b">
        <f>IF(AND(NOT(ISBLANK(Table1[[#This Row],[Fetal Sex (Male, Female or Unknown)]])),ISNUMBER(Table1[[#This Row],[Birthweight (grams)]]),ISNUMBER(Table1[[#This Row],[Gestation (days)]])),TRUE,FALSE)</f>
        <v>0</v>
      </c>
      <c r="E1936" s="2" t="str">
        <f>IF(Table1[[#This Row],[Is Data Valid]]=TRUE,IF(Table1[[#This Row],[Fetal Sex (Male, Female or Unknown)]]="Male",Backend!$C$6,IF(Table1[[#This Row],[Fetal Sex (Male, Female or Unknown)]]="Female",Backend!$C$7,IF(Table1[[#This Row],[Fetal Sex (Male, Female or Unknown)]]="Unknown",Backend!$C$8,"Error"))),"")</f>
        <v/>
      </c>
      <c r="F1936" s="8" t="str">
        <f>IF(Table1[[#This Row],[Is Data Valid]]=TRUE,EXP(0.578+0.332*((Table1[[#This Row],[Gestation (days)]]+0.5)/7)-0.00354*((Table1[[#This Row],[Gestation (days)]]+0.5)/7)^2)*Table1[[#This Row],[BW40_3705]],"")</f>
        <v/>
      </c>
      <c r="G1936" s="2" t="str">
        <f>IF(Table1[[#This Row],[Is Data Valid]]=TRUE,((Table1[[#This Row],[Birthweight (grams)]]/Table1[[#This Row],[BW_GA]])-1)/(Backend!$B$4/100*Table1[[#This Row],[BW40_3705]]),"")</f>
        <v/>
      </c>
      <c r="H1936" s="7" t="str">
        <f>IF(Table1[[#This Row],[Is Data Valid]]=TRUE,((Table1[[#This Row],[Birthweight (grams)]]*0.9/Table1[[#This Row],[BW_GA]])-1)/(Backend!$B$4/100*Table1[[#This Row],[BW40_3705]]),"")</f>
        <v/>
      </c>
      <c r="I1936" s="7" t="str">
        <f>IF(Table1[[#This Row],[Is Data Valid]]=TRUE,((Table1[[#This Row],[Birthweight (grams)]]*1.1/Table1[[#This Row],[BW_GA]])-1)/(Backend!$B$4/100*Table1[[#This Row],[BW40_3705]]),"")</f>
        <v/>
      </c>
      <c r="J1936" s="7" t="str">
        <f>IF(Table1[[#This Row],[Is Data Valid]]=TRUE,_xlfn.NORM.S.DIST(Table1[[#This Row],[Birthweight Z-Score]],TRUE)*100,"")</f>
        <v/>
      </c>
      <c r="K1936" s="7" t="str">
        <f>IF(Table1[[#This Row],[Is Data Valid]]=TRUE,_xlfn.NORM.S.DIST(Table1[[#This Row],[Birthweight Z-Score (BW-10%)]],TRUE)*100,"")</f>
        <v/>
      </c>
      <c r="L1936" s="7" t="str">
        <f>IF(Table1[[#This Row],[Is Data Valid]]=TRUE,_xlfn.NORM.S.DIST(Table1[[#This Row],[Birthweight Z-Score (BW+10%)]],TRUE)*100,"")</f>
        <v/>
      </c>
    </row>
    <row r="1937" spans="1:12" x14ac:dyDescent="0.35">
      <c r="A1937" s="3"/>
      <c r="B1937" s="2"/>
      <c r="C1937" s="2"/>
      <c r="D1937" s="2" t="b">
        <f>IF(AND(NOT(ISBLANK(Table1[[#This Row],[Fetal Sex (Male, Female or Unknown)]])),ISNUMBER(Table1[[#This Row],[Birthweight (grams)]]),ISNUMBER(Table1[[#This Row],[Gestation (days)]])),TRUE,FALSE)</f>
        <v>0</v>
      </c>
      <c r="E1937" s="2" t="str">
        <f>IF(Table1[[#This Row],[Is Data Valid]]=TRUE,IF(Table1[[#This Row],[Fetal Sex (Male, Female or Unknown)]]="Male",Backend!$C$6,IF(Table1[[#This Row],[Fetal Sex (Male, Female or Unknown)]]="Female",Backend!$C$7,IF(Table1[[#This Row],[Fetal Sex (Male, Female or Unknown)]]="Unknown",Backend!$C$8,"Error"))),"")</f>
        <v/>
      </c>
      <c r="F1937" s="8" t="str">
        <f>IF(Table1[[#This Row],[Is Data Valid]]=TRUE,EXP(0.578+0.332*((Table1[[#This Row],[Gestation (days)]]+0.5)/7)-0.00354*((Table1[[#This Row],[Gestation (days)]]+0.5)/7)^2)*Table1[[#This Row],[BW40_3705]],"")</f>
        <v/>
      </c>
      <c r="G1937" s="2" t="str">
        <f>IF(Table1[[#This Row],[Is Data Valid]]=TRUE,((Table1[[#This Row],[Birthweight (grams)]]/Table1[[#This Row],[BW_GA]])-1)/(Backend!$B$4/100*Table1[[#This Row],[BW40_3705]]),"")</f>
        <v/>
      </c>
      <c r="H1937" s="7" t="str">
        <f>IF(Table1[[#This Row],[Is Data Valid]]=TRUE,((Table1[[#This Row],[Birthweight (grams)]]*0.9/Table1[[#This Row],[BW_GA]])-1)/(Backend!$B$4/100*Table1[[#This Row],[BW40_3705]]),"")</f>
        <v/>
      </c>
      <c r="I1937" s="7" t="str">
        <f>IF(Table1[[#This Row],[Is Data Valid]]=TRUE,((Table1[[#This Row],[Birthweight (grams)]]*1.1/Table1[[#This Row],[BW_GA]])-1)/(Backend!$B$4/100*Table1[[#This Row],[BW40_3705]]),"")</f>
        <v/>
      </c>
      <c r="J1937" s="7" t="str">
        <f>IF(Table1[[#This Row],[Is Data Valid]]=TRUE,_xlfn.NORM.S.DIST(Table1[[#This Row],[Birthweight Z-Score]],TRUE)*100,"")</f>
        <v/>
      </c>
      <c r="K1937" s="7" t="str">
        <f>IF(Table1[[#This Row],[Is Data Valid]]=TRUE,_xlfn.NORM.S.DIST(Table1[[#This Row],[Birthweight Z-Score (BW-10%)]],TRUE)*100,"")</f>
        <v/>
      </c>
      <c r="L1937" s="7" t="str">
        <f>IF(Table1[[#This Row],[Is Data Valid]]=TRUE,_xlfn.NORM.S.DIST(Table1[[#This Row],[Birthweight Z-Score (BW+10%)]],TRUE)*100,"")</f>
        <v/>
      </c>
    </row>
    <row r="1938" spans="1:12" x14ac:dyDescent="0.35">
      <c r="A1938" s="3"/>
      <c r="B1938" s="2"/>
      <c r="C1938" s="2"/>
      <c r="D1938" s="2" t="b">
        <f>IF(AND(NOT(ISBLANK(Table1[[#This Row],[Fetal Sex (Male, Female or Unknown)]])),ISNUMBER(Table1[[#This Row],[Birthweight (grams)]]),ISNUMBER(Table1[[#This Row],[Gestation (days)]])),TRUE,FALSE)</f>
        <v>0</v>
      </c>
      <c r="E1938" s="2" t="str">
        <f>IF(Table1[[#This Row],[Is Data Valid]]=TRUE,IF(Table1[[#This Row],[Fetal Sex (Male, Female or Unknown)]]="Male",Backend!$C$6,IF(Table1[[#This Row],[Fetal Sex (Male, Female or Unknown)]]="Female",Backend!$C$7,IF(Table1[[#This Row],[Fetal Sex (Male, Female or Unknown)]]="Unknown",Backend!$C$8,"Error"))),"")</f>
        <v/>
      </c>
      <c r="F1938" s="8" t="str">
        <f>IF(Table1[[#This Row],[Is Data Valid]]=TRUE,EXP(0.578+0.332*((Table1[[#This Row],[Gestation (days)]]+0.5)/7)-0.00354*((Table1[[#This Row],[Gestation (days)]]+0.5)/7)^2)*Table1[[#This Row],[BW40_3705]],"")</f>
        <v/>
      </c>
      <c r="G1938" s="2" t="str">
        <f>IF(Table1[[#This Row],[Is Data Valid]]=TRUE,((Table1[[#This Row],[Birthweight (grams)]]/Table1[[#This Row],[BW_GA]])-1)/(Backend!$B$4/100*Table1[[#This Row],[BW40_3705]]),"")</f>
        <v/>
      </c>
      <c r="H1938" s="7" t="str">
        <f>IF(Table1[[#This Row],[Is Data Valid]]=TRUE,((Table1[[#This Row],[Birthweight (grams)]]*0.9/Table1[[#This Row],[BW_GA]])-1)/(Backend!$B$4/100*Table1[[#This Row],[BW40_3705]]),"")</f>
        <v/>
      </c>
      <c r="I1938" s="7" t="str">
        <f>IF(Table1[[#This Row],[Is Data Valid]]=TRUE,((Table1[[#This Row],[Birthweight (grams)]]*1.1/Table1[[#This Row],[BW_GA]])-1)/(Backend!$B$4/100*Table1[[#This Row],[BW40_3705]]),"")</f>
        <v/>
      </c>
      <c r="J1938" s="7" t="str">
        <f>IF(Table1[[#This Row],[Is Data Valid]]=TRUE,_xlfn.NORM.S.DIST(Table1[[#This Row],[Birthweight Z-Score]],TRUE)*100,"")</f>
        <v/>
      </c>
      <c r="K1938" s="7" t="str">
        <f>IF(Table1[[#This Row],[Is Data Valid]]=TRUE,_xlfn.NORM.S.DIST(Table1[[#This Row],[Birthweight Z-Score (BW-10%)]],TRUE)*100,"")</f>
        <v/>
      </c>
      <c r="L1938" s="7" t="str">
        <f>IF(Table1[[#This Row],[Is Data Valid]]=TRUE,_xlfn.NORM.S.DIST(Table1[[#This Row],[Birthweight Z-Score (BW+10%)]],TRUE)*100,"")</f>
        <v/>
      </c>
    </row>
    <row r="1939" spans="1:12" x14ac:dyDescent="0.35">
      <c r="A1939" s="3"/>
      <c r="B1939" s="2"/>
      <c r="C1939" s="2"/>
      <c r="D1939" s="2" t="b">
        <f>IF(AND(NOT(ISBLANK(Table1[[#This Row],[Fetal Sex (Male, Female or Unknown)]])),ISNUMBER(Table1[[#This Row],[Birthweight (grams)]]),ISNUMBER(Table1[[#This Row],[Gestation (days)]])),TRUE,FALSE)</f>
        <v>0</v>
      </c>
      <c r="E1939" s="2" t="str">
        <f>IF(Table1[[#This Row],[Is Data Valid]]=TRUE,IF(Table1[[#This Row],[Fetal Sex (Male, Female or Unknown)]]="Male",Backend!$C$6,IF(Table1[[#This Row],[Fetal Sex (Male, Female or Unknown)]]="Female",Backend!$C$7,IF(Table1[[#This Row],[Fetal Sex (Male, Female or Unknown)]]="Unknown",Backend!$C$8,"Error"))),"")</f>
        <v/>
      </c>
      <c r="F1939" s="8" t="str">
        <f>IF(Table1[[#This Row],[Is Data Valid]]=TRUE,EXP(0.578+0.332*((Table1[[#This Row],[Gestation (days)]]+0.5)/7)-0.00354*((Table1[[#This Row],[Gestation (days)]]+0.5)/7)^2)*Table1[[#This Row],[BW40_3705]],"")</f>
        <v/>
      </c>
      <c r="G1939" s="2" t="str">
        <f>IF(Table1[[#This Row],[Is Data Valid]]=TRUE,((Table1[[#This Row],[Birthweight (grams)]]/Table1[[#This Row],[BW_GA]])-1)/(Backend!$B$4/100*Table1[[#This Row],[BW40_3705]]),"")</f>
        <v/>
      </c>
      <c r="H1939" s="7" t="str">
        <f>IF(Table1[[#This Row],[Is Data Valid]]=TRUE,((Table1[[#This Row],[Birthweight (grams)]]*0.9/Table1[[#This Row],[BW_GA]])-1)/(Backend!$B$4/100*Table1[[#This Row],[BW40_3705]]),"")</f>
        <v/>
      </c>
      <c r="I1939" s="7" t="str">
        <f>IF(Table1[[#This Row],[Is Data Valid]]=TRUE,((Table1[[#This Row],[Birthweight (grams)]]*1.1/Table1[[#This Row],[BW_GA]])-1)/(Backend!$B$4/100*Table1[[#This Row],[BW40_3705]]),"")</f>
        <v/>
      </c>
      <c r="J1939" s="7" t="str">
        <f>IF(Table1[[#This Row],[Is Data Valid]]=TRUE,_xlfn.NORM.S.DIST(Table1[[#This Row],[Birthweight Z-Score]],TRUE)*100,"")</f>
        <v/>
      </c>
      <c r="K1939" s="7" t="str">
        <f>IF(Table1[[#This Row],[Is Data Valid]]=TRUE,_xlfn.NORM.S.DIST(Table1[[#This Row],[Birthweight Z-Score (BW-10%)]],TRUE)*100,"")</f>
        <v/>
      </c>
      <c r="L1939" s="7" t="str">
        <f>IF(Table1[[#This Row],[Is Data Valid]]=TRUE,_xlfn.NORM.S.DIST(Table1[[#This Row],[Birthweight Z-Score (BW+10%)]],TRUE)*100,"")</f>
        <v/>
      </c>
    </row>
    <row r="1940" spans="1:12" x14ac:dyDescent="0.35">
      <c r="A1940" s="3"/>
      <c r="B1940" s="2"/>
      <c r="C1940" s="2"/>
      <c r="D1940" s="2" t="b">
        <f>IF(AND(NOT(ISBLANK(Table1[[#This Row],[Fetal Sex (Male, Female or Unknown)]])),ISNUMBER(Table1[[#This Row],[Birthweight (grams)]]),ISNUMBER(Table1[[#This Row],[Gestation (days)]])),TRUE,FALSE)</f>
        <v>0</v>
      </c>
      <c r="E1940" s="2" t="str">
        <f>IF(Table1[[#This Row],[Is Data Valid]]=TRUE,IF(Table1[[#This Row],[Fetal Sex (Male, Female or Unknown)]]="Male",Backend!$C$6,IF(Table1[[#This Row],[Fetal Sex (Male, Female or Unknown)]]="Female",Backend!$C$7,IF(Table1[[#This Row],[Fetal Sex (Male, Female or Unknown)]]="Unknown",Backend!$C$8,"Error"))),"")</f>
        <v/>
      </c>
      <c r="F1940" s="8" t="str">
        <f>IF(Table1[[#This Row],[Is Data Valid]]=TRUE,EXP(0.578+0.332*((Table1[[#This Row],[Gestation (days)]]+0.5)/7)-0.00354*((Table1[[#This Row],[Gestation (days)]]+0.5)/7)^2)*Table1[[#This Row],[BW40_3705]],"")</f>
        <v/>
      </c>
      <c r="G1940" s="2" t="str">
        <f>IF(Table1[[#This Row],[Is Data Valid]]=TRUE,((Table1[[#This Row],[Birthweight (grams)]]/Table1[[#This Row],[BW_GA]])-1)/(Backend!$B$4/100*Table1[[#This Row],[BW40_3705]]),"")</f>
        <v/>
      </c>
      <c r="H1940" s="7" t="str">
        <f>IF(Table1[[#This Row],[Is Data Valid]]=TRUE,((Table1[[#This Row],[Birthweight (grams)]]*0.9/Table1[[#This Row],[BW_GA]])-1)/(Backend!$B$4/100*Table1[[#This Row],[BW40_3705]]),"")</f>
        <v/>
      </c>
      <c r="I1940" s="7" t="str">
        <f>IF(Table1[[#This Row],[Is Data Valid]]=TRUE,((Table1[[#This Row],[Birthweight (grams)]]*1.1/Table1[[#This Row],[BW_GA]])-1)/(Backend!$B$4/100*Table1[[#This Row],[BW40_3705]]),"")</f>
        <v/>
      </c>
      <c r="J1940" s="7" t="str">
        <f>IF(Table1[[#This Row],[Is Data Valid]]=TRUE,_xlfn.NORM.S.DIST(Table1[[#This Row],[Birthweight Z-Score]],TRUE)*100,"")</f>
        <v/>
      </c>
      <c r="K1940" s="7" t="str">
        <f>IF(Table1[[#This Row],[Is Data Valid]]=TRUE,_xlfn.NORM.S.DIST(Table1[[#This Row],[Birthweight Z-Score (BW-10%)]],TRUE)*100,"")</f>
        <v/>
      </c>
      <c r="L1940" s="7" t="str">
        <f>IF(Table1[[#This Row],[Is Data Valid]]=TRUE,_xlfn.NORM.S.DIST(Table1[[#This Row],[Birthweight Z-Score (BW+10%)]],TRUE)*100,"")</f>
        <v/>
      </c>
    </row>
    <row r="1941" spans="1:12" x14ac:dyDescent="0.35">
      <c r="A1941" s="3"/>
      <c r="B1941" s="2"/>
      <c r="C1941" s="2"/>
      <c r="D1941" s="2" t="b">
        <f>IF(AND(NOT(ISBLANK(Table1[[#This Row],[Fetal Sex (Male, Female or Unknown)]])),ISNUMBER(Table1[[#This Row],[Birthweight (grams)]]),ISNUMBER(Table1[[#This Row],[Gestation (days)]])),TRUE,FALSE)</f>
        <v>0</v>
      </c>
      <c r="E1941" s="2" t="str">
        <f>IF(Table1[[#This Row],[Is Data Valid]]=TRUE,IF(Table1[[#This Row],[Fetal Sex (Male, Female or Unknown)]]="Male",Backend!$C$6,IF(Table1[[#This Row],[Fetal Sex (Male, Female or Unknown)]]="Female",Backend!$C$7,IF(Table1[[#This Row],[Fetal Sex (Male, Female or Unknown)]]="Unknown",Backend!$C$8,"Error"))),"")</f>
        <v/>
      </c>
      <c r="F1941" s="8" t="str">
        <f>IF(Table1[[#This Row],[Is Data Valid]]=TRUE,EXP(0.578+0.332*((Table1[[#This Row],[Gestation (days)]]+0.5)/7)-0.00354*((Table1[[#This Row],[Gestation (days)]]+0.5)/7)^2)*Table1[[#This Row],[BW40_3705]],"")</f>
        <v/>
      </c>
      <c r="G1941" s="2" t="str">
        <f>IF(Table1[[#This Row],[Is Data Valid]]=TRUE,((Table1[[#This Row],[Birthweight (grams)]]/Table1[[#This Row],[BW_GA]])-1)/(Backend!$B$4/100*Table1[[#This Row],[BW40_3705]]),"")</f>
        <v/>
      </c>
      <c r="H1941" s="7" t="str">
        <f>IF(Table1[[#This Row],[Is Data Valid]]=TRUE,((Table1[[#This Row],[Birthweight (grams)]]*0.9/Table1[[#This Row],[BW_GA]])-1)/(Backend!$B$4/100*Table1[[#This Row],[BW40_3705]]),"")</f>
        <v/>
      </c>
      <c r="I1941" s="7" t="str">
        <f>IF(Table1[[#This Row],[Is Data Valid]]=TRUE,((Table1[[#This Row],[Birthweight (grams)]]*1.1/Table1[[#This Row],[BW_GA]])-1)/(Backend!$B$4/100*Table1[[#This Row],[BW40_3705]]),"")</f>
        <v/>
      </c>
      <c r="J1941" s="7" t="str">
        <f>IF(Table1[[#This Row],[Is Data Valid]]=TRUE,_xlfn.NORM.S.DIST(Table1[[#This Row],[Birthweight Z-Score]],TRUE)*100,"")</f>
        <v/>
      </c>
      <c r="K1941" s="7" t="str">
        <f>IF(Table1[[#This Row],[Is Data Valid]]=TRUE,_xlfn.NORM.S.DIST(Table1[[#This Row],[Birthweight Z-Score (BW-10%)]],TRUE)*100,"")</f>
        <v/>
      </c>
      <c r="L1941" s="7" t="str">
        <f>IF(Table1[[#This Row],[Is Data Valid]]=TRUE,_xlfn.NORM.S.DIST(Table1[[#This Row],[Birthweight Z-Score (BW+10%)]],TRUE)*100,"")</f>
        <v/>
      </c>
    </row>
    <row r="1942" spans="1:12" x14ac:dyDescent="0.35">
      <c r="A1942" s="3"/>
      <c r="B1942" s="2"/>
      <c r="C1942" s="2"/>
      <c r="D1942" s="2" t="b">
        <f>IF(AND(NOT(ISBLANK(Table1[[#This Row],[Fetal Sex (Male, Female or Unknown)]])),ISNUMBER(Table1[[#This Row],[Birthweight (grams)]]),ISNUMBER(Table1[[#This Row],[Gestation (days)]])),TRUE,FALSE)</f>
        <v>0</v>
      </c>
      <c r="E1942" s="2" t="str">
        <f>IF(Table1[[#This Row],[Is Data Valid]]=TRUE,IF(Table1[[#This Row],[Fetal Sex (Male, Female or Unknown)]]="Male",Backend!$C$6,IF(Table1[[#This Row],[Fetal Sex (Male, Female or Unknown)]]="Female",Backend!$C$7,IF(Table1[[#This Row],[Fetal Sex (Male, Female or Unknown)]]="Unknown",Backend!$C$8,"Error"))),"")</f>
        <v/>
      </c>
      <c r="F1942" s="8" t="str">
        <f>IF(Table1[[#This Row],[Is Data Valid]]=TRUE,EXP(0.578+0.332*((Table1[[#This Row],[Gestation (days)]]+0.5)/7)-0.00354*((Table1[[#This Row],[Gestation (days)]]+0.5)/7)^2)*Table1[[#This Row],[BW40_3705]],"")</f>
        <v/>
      </c>
      <c r="G1942" s="2" t="str">
        <f>IF(Table1[[#This Row],[Is Data Valid]]=TRUE,((Table1[[#This Row],[Birthweight (grams)]]/Table1[[#This Row],[BW_GA]])-1)/(Backend!$B$4/100*Table1[[#This Row],[BW40_3705]]),"")</f>
        <v/>
      </c>
      <c r="H1942" s="7" t="str">
        <f>IF(Table1[[#This Row],[Is Data Valid]]=TRUE,((Table1[[#This Row],[Birthweight (grams)]]*0.9/Table1[[#This Row],[BW_GA]])-1)/(Backend!$B$4/100*Table1[[#This Row],[BW40_3705]]),"")</f>
        <v/>
      </c>
      <c r="I1942" s="7" t="str">
        <f>IF(Table1[[#This Row],[Is Data Valid]]=TRUE,((Table1[[#This Row],[Birthweight (grams)]]*1.1/Table1[[#This Row],[BW_GA]])-1)/(Backend!$B$4/100*Table1[[#This Row],[BW40_3705]]),"")</f>
        <v/>
      </c>
      <c r="J1942" s="7" t="str">
        <f>IF(Table1[[#This Row],[Is Data Valid]]=TRUE,_xlfn.NORM.S.DIST(Table1[[#This Row],[Birthweight Z-Score]],TRUE)*100,"")</f>
        <v/>
      </c>
      <c r="K1942" s="7" t="str">
        <f>IF(Table1[[#This Row],[Is Data Valid]]=TRUE,_xlfn.NORM.S.DIST(Table1[[#This Row],[Birthweight Z-Score (BW-10%)]],TRUE)*100,"")</f>
        <v/>
      </c>
      <c r="L1942" s="7" t="str">
        <f>IF(Table1[[#This Row],[Is Data Valid]]=TRUE,_xlfn.NORM.S.DIST(Table1[[#This Row],[Birthweight Z-Score (BW+10%)]],TRUE)*100,"")</f>
        <v/>
      </c>
    </row>
    <row r="1943" spans="1:12" x14ac:dyDescent="0.35">
      <c r="A1943" s="3"/>
      <c r="B1943" s="2"/>
      <c r="C1943" s="2"/>
      <c r="D1943" s="2" t="b">
        <f>IF(AND(NOT(ISBLANK(Table1[[#This Row],[Fetal Sex (Male, Female or Unknown)]])),ISNUMBER(Table1[[#This Row],[Birthweight (grams)]]),ISNUMBER(Table1[[#This Row],[Gestation (days)]])),TRUE,FALSE)</f>
        <v>0</v>
      </c>
      <c r="E1943" s="2" t="str">
        <f>IF(Table1[[#This Row],[Is Data Valid]]=TRUE,IF(Table1[[#This Row],[Fetal Sex (Male, Female or Unknown)]]="Male",Backend!$C$6,IF(Table1[[#This Row],[Fetal Sex (Male, Female or Unknown)]]="Female",Backend!$C$7,IF(Table1[[#This Row],[Fetal Sex (Male, Female or Unknown)]]="Unknown",Backend!$C$8,"Error"))),"")</f>
        <v/>
      </c>
      <c r="F1943" s="8" t="str">
        <f>IF(Table1[[#This Row],[Is Data Valid]]=TRUE,EXP(0.578+0.332*((Table1[[#This Row],[Gestation (days)]]+0.5)/7)-0.00354*((Table1[[#This Row],[Gestation (days)]]+0.5)/7)^2)*Table1[[#This Row],[BW40_3705]],"")</f>
        <v/>
      </c>
      <c r="G1943" s="2" t="str">
        <f>IF(Table1[[#This Row],[Is Data Valid]]=TRUE,((Table1[[#This Row],[Birthweight (grams)]]/Table1[[#This Row],[BW_GA]])-1)/(Backend!$B$4/100*Table1[[#This Row],[BW40_3705]]),"")</f>
        <v/>
      </c>
      <c r="H1943" s="7" t="str">
        <f>IF(Table1[[#This Row],[Is Data Valid]]=TRUE,((Table1[[#This Row],[Birthweight (grams)]]*0.9/Table1[[#This Row],[BW_GA]])-1)/(Backend!$B$4/100*Table1[[#This Row],[BW40_3705]]),"")</f>
        <v/>
      </c>
      <c r="I1943" s="7" t="str">
        <f>IF(Table1[[#This Row],[Is Data Valid]]=TRUE,((Table1[[#This Row],[Birthweight (grams)]]*1.1/Table1[[#This Row],[BW_GA]])-1)/(Backend!$B$4/100*Table1[[#This Row],[BW40_3705]]),"")</f>
        <v/>
      </c>
      <c r="J1943" s="7" t="str">
        <f>IF(Table1[[#This Row],[Is Data Valid]]=TRUE,_xlfn.NORM.S.DIST(Table1[[#This Row],[Birthweight Z-Score]],TRUE)*100,"")</f>
        <v/>
      </c>
      <c r="K1943" s="7" t="str">
        <f>IF(Table1[[#This Row],[Is Data Valid]]=TRUE,_xlfn.NORM.S.DIST(Table1[[#This Row],[Birthweight Z-Score (BW-10%)]],TRUE)*100,"")</f>
        <v/>
      </c>
      <c r="L1943" s="7" t="str">
        <f>IF(Table1[[#This Row],[Is Data Valid]]=TRUE,_xlfn.NORM.S.DIST(Table1[[#This Row],[Birthweight Z-Score (BW+10%)]],TRUE)*100,"")</f>
        <v/>
      </c>
    </row>
    <row r="1944" spans="1:12" x14ac:dyDescent="0.35">
      <c r="A1944" s="3"/>
      <c r="B1944" s="2"/>
      <c r="C1944" s="2"/>
      <c r="D1944" s="2" t="b">
        <f>IF(AND(NOT(ISBLANK(Table1[[#This Row],[Fetal Sex (Male, Female or Unknown)]])),ISNUMBER(Table1[[#This Row],[Birthweight (grams)]]),ISNUMBER(Table1[[#This Row],[Gestation (days)]])),TRUE,FALSE)</f>
        <v>0</v>
      </c>
      <c r="E1944" s="2" t="str">
        <f>IF(Table1[[#This Row],[Is Data Valid]]=TRUE,IF(Table1[[#This Row],[Fetal Sex (Male, Female or Unknown)]]="Male",Backend!$C$6,IF(Table1[[#This Row],[Fetal Sex (Male, Female or Unknown)]]="Female",Backend!$C$7,IF(Table1[[#This Row],[Fetal Sex (Male, Female or Unknown)]]="Unknown",Backend!$C$8,"Error"))),"")</f>
        <v/>
      </c>
      <c r="F1944" s="8" t="str">
        <f>IF(Table1[[#This Row],[Is Data Valid]]=TRUE,EXP(0.578+0.332*((Table1[[#This Row],[Gestation (days)]]+0.5)/7)-0.00354*((Table1[[#This Row],[Gestation (days)]]+0.5)/7)^2)*Table1[[#This Row],[BW40_3705]],"")</f>
        <v/>
      </c>
      <c r="G1944" s="2" t="str">
        <f>IF(Table1[[#This Row],[Is Data Valid]]=TRUE,((Table1[[#This Row],[Birthweight (grams)]]/Table1[[#This Row],[BW_GA]])-1)/(Backend!$B$4/100*Table1[[#This Row],[BW40_3705]]),"")</f>
        <v/>
      </c>
      <c r="H1944" s="7" t="str">
        <f>IF(Table1[[#This Row],[Is Data Valid]]=TRUE,((Table1[[#This Row],[Birthweight (grams)]]*0.9/Table1[[#This Row],[BW_GA]])-1)/(Backend!$B$4/100*Table1[[#This Row],[BW40_3705]]),"")</f>
        <v/>
      </c>
      <c r="I1944" s="7" t="str">
        <f>IF(Table1[[#This Row],[Is Data Valid]]=TRUE,((Table1[[#This Row],[Birthweight (grams)]]*1.1/Table1[[#This Row],[BW_GA]])-1)/(Backend!$B$4/100*Table1[[#This Row],[BW40_3705]]),"")</f>
        <v/>
      </c>
      <c r="J1944" s="7" t="str">
        <f>IF(Table1[[#This Row],[Is Data Valid]]=TRUE,_xlfn.NORM.S.DIST(Table1[[#This Row],[Birthweight Z-Score]],TRUE)*100,"")</f>
        <v/>
      </c>
      <c r="K1944" s="7" t="str">
        <f>IF(Table1[[#This Row],[Is Data Valid]]=TRUE,_xlfn.NORM.S.DIST(Table1[[#This Row],[Birthweight Z-Score (BW-10%)]],TRUE)*100,"")</f>
        <v/>
      </c>
      <c r="L1944" s="7" t="str">
        <f>IF(Table1[[#This Row],[Is Data Valid]]=TRUE,_xlfn.NORM.S.DIST(Table1[[#This Row],[Birthweight Z-Score (BW+10%)]],TRUE)*100,"")</f>
        <v/>
      </c>
    </row>
    <row r="1945" spans="1:12" x14ac:dyDescent="0.35">
      <c r="A1945" s="3"/>
      <c r="B1945" s="2"/>
      <c r="C1945" s="2"/>
      <c r="D1945" s="2" t="b">
        <f>IF(AND(NOT(ISBLANK(Table1[[#This Row],[Fetal Sex (Male, Female or Unknown)]])),ISNUMBER(Table1[[#This Row],[Birthweight (grams)]]),ISNUMBER(Table1[[#This Row],[Gestation (days)]])),TRUE,FALSE)</f>
        <v>0</v>
      </c>
      <c r="E1945" s="2" t="str">
        <f>IF(Table1[[#This Row],[Is Data Valid]]=TRUE,IF(Table1[[#This Row],[Fetal Sex (Male, Female or Unknown)]]="Male",Backend!$C$6,IF(Table1[[#This Row],[Fetal Sex (Male, Female or Unknown)]]="Female",Backend!$C$7,IF(Table1[[#This Row],[Fetal Sex (Male, Female or Unknown)]]="Unknown",Backend!$C$8,"Error"))),"")</f>
        <v/>
      </c>
      <c r="F1945" s="8" t="str">
        <f>IF(Table1[[#This Row],[Is Data Valid]]=TRUE,EXP(0.578+0.332*((Table1[[#This Row],[Gestation (days)]]+0.5)/7)-0.00354*((Table1[[#This Row],[Gestation (days)]]+0.5)/7)^2)*Table1[[#This Row],[BW40_3705]],"")</f>
        <v/>
      </c>
      <c r="G1945" s="2" t="str">
        <f>IF(Table1[[#This Row],[Is Data Valid]]=TRUE,((Table1[[#This Row],[Birthweight (grams)]]/Table1[[#This Row],[BW_GA]])-1)/(Backend!$B$4/100*Table1[[#This Row],[BW40_3705]]),"")</f>
        <v/>
      </c>
      <c r="H1945" s="7" t="str">
        <f>IF(Table1[[#This Row],[Is Data Valid]]=TRUE,((Table1[[#This Row],[Birthweight (grams)]]*0.9/Table1[[#This Row],[BW_GA]])-1)/(Backend!$B$4/100*Table1[[#This Row],[BW40_3705]]),"")</f>
        <v/>
      </c>
      <c r="I1945" s="7" t="str">
        <f>IF(Table1[[#This Row],[Is Data Valid]]=TRUE,((Table1[[#This Row],[Birthweight (grams)]]*1.1/Table1[[#This Row],[BW_GA]])-1)/(Backend!$B$4/100*Table1[[#This Row],[BW40_3705]]),"")</f>
        <v/>
      </c>
      <c r="J1945" s="7" t="str">
        <f>IF(Table1[[#This Row],[Is Data Valid]]=TRUE,_xlfn.NORM.S.DIST(Table1[[#This Row],[Birthweight Z-Score]],TRUE)*100,"")</f>
        <v/>
      </c>
      <c r="K1945" s="7" t="str">
        <f>IF(Table1[[#This Row],[Is Data Valid]]=TRUE,_xlfn.NORM.S.DIST(Table1[[#This Row],[Birthweight Z-Score (BW-10%)]],TRUE)*100,"")</f>
        <v/>
      </c>
      <c r="L1945" s="7" t="str">
        <f>IF(Table1[[#This Row],[Is Data Valid]]=TRUE,_xlfn.NORM.S.DIST(Table1[[#This Row],[Birthweight Z-Score (BW+10%)]],TRUE)*100,"")</f>
        <v/>
      </c>
    </row>
    <row r="1946" spans="1:12" x14ac:dyDescent="0.35">
      <c r="A1946" s="3"/>
      <c r="B1946" s="2"/>
      <c r="C1946" s="2"/>
      <c r="D1946" s="2" t="b">
        <f>IF(AND(NOT(ISBLANK(Table1[[#This Row],[Fetal Sex (Male, Female or Unknown)]])),ISNUMBER(Table1[[#This Row],[Birthweight (grams)]]),ISNUMBER(Table1[[#This Row],[Gestation (days)]])),TRUE,FALSE)</f>
        <v>0</v>
      </c>
      <c r="E1946" s="2" t="str">
        <f>IF(Table1[[#This Row],[Is Data Valid]]=TRUE,IF(Table1[[#This Row],[Fetal Sex (Male, Female or Unknown)]]="Male",Backend!$C$6,IF(Table1[[#This Row],[Fetal Sex (Male, Female or Unknown)]]="Female",Backend!$C$7,IF(Table1[[#This Row],[Fetal Sex (Male, Female or Unknown)]]="Unknown",Backend!$C$8,"Error"))),"")</f>
        <v/>
      </c>
      <c r="F1946" s="8" t="str">
        <f>IF(Table1[[#This Row],[Is Data Valid]]=TRUE,EXP(0.578+0.332*((Table1[[#This Row],[Gestation (days)]]+0.5)/7)-0.00354*((Table1[[#This Row],[Gestation (days)]]+0.5)/7)^2)*Table1[[#This Row],[BW40_3705]],"")</f>
        <v/>
      </c>
      <c r="G1946" s="2" t="str">
        <f>IF(Table1[[#This Row],[Is Data Valid]]=TRUE,((Table1[[#This Row],[Birthweight (grams)]]/Table1[[#This Row],[BW_GA]])-1)/(Backend!$B$4/100*Table1[[#This Row],[BW40_3705]]),"")</f>
        <v/>
      </c>
      <c r="H1946" s="7" t="str">
        <f>IF(Table1[[#This Row],[Is Data Valid]]=TRUE,((Table1[[#This Row],[Birthweight (grams)]]*0.9/Table1[[#This Row],[BW_GA]])-1)/(Backend!$B$4/100*Table1[[#This Row],[BW40_3705]]),"")</f>
        <v/>
      </c>
      <c r="I1946" s="7" t="str">
        <f>IF(Table1[[#This Row],[Is Data Valid]]=TRUE,((Table1[[#This Row],[Birthweight (grams)]]*1.1/Table1[[#This Row],[BW_GA]])-1)/(Backend!$B$4/100*Table1[[#This Row],[BW40_3705]]),"")</f>
        <v/>
      </c>
      <c r="J1946" s="7" t="str">
        <f>IF(Table1[[#This Row],[Is Data Valid]]=TRUE,_xlfn.NORM.S.DIST(Table1[[#This Row],[Birthweight Z-Score]],TRUE)*100,"")</f>
        <v/>
      </c>
      <c r="K1946" s="7" t="str">
        <f>IF(Table1[[#This Row],[Is Data Valid]]=TRUE,_xlfn.NORM.S.DIST(Table1[[#This Row],[Birthweight Z-Score (BW-10%)]],TRUE)*100,"")</f>
        <v/>
      </c>
      <c r="L1946" s="7" t="str">
        <f>IF(Table1[[#This Row],[Is Data Valid]]=TRUE,_xlfn.NORM.S.DIST(Table1[[#This Row],[Birthweight Z-Score (BW+10%)]],TRUE)*100,"")</f>
        <v/>
      </c>
    </row>
    <row r="1947" spans="1:12" x14ac:dyDescent="0.35">
      <c r="A1947" s="3"/>
      <c r="B1947" s="2"/>
      <c r="C1947" s="2"/>
      <c r="D1947" s="2" t="b">
        <f>IF(AND(NOT(ISBLANK(Table1[[#This Row],[Fetal Sex (Male, Female or Unknown)]])),ISNUMBER(Table1[[#This Row],[Birthweight (grams)]]),ISNUMBER(Table1[[#This Row],[Gestation (days)]])),TRUE,FALSE)</f>
        <v>0</v>
      </c>
      <c r="E1947" s="2" t="str">
        <f>IF(Table1[[#This Row],[Is Data Valid]]=TRUE,IF(Table1[[#This Row],[Fetal Sex (Male, Female or Unknown)]]="Male",Backend!$C$6,IF(Table1[[#This Row],[Fetal Sex (Male, Female or Unknown)]]="Female",Backend!$C$7,IF(Table1[[#This Row],[Fetal Sex (Male, Female or Unknown)]]="Unknown",Backend!$C$8,"Error"))),"")</f>
        <v/>
      </c>
      <c r="F1947" s="8" t="str">
        <f>IF(Table1[[#This Row],[Is Data Valid]]=TRUE,EXP(0.578+0.332*((Table1[[#This Row],[Gestation (days)]]+0.5)/7)-0.00354*((Table1[[#This Row],[Gestation (days)]]+0.5)/7)^2)*Table1[[#This Row],[BW40_3705]],"")</f>
        <v/>
      </c>
      <c r="G1947" s="2" t="str">
        <f>IF(Table1[[#This Row],[Is Data Valid]]=TRUE,((Table1[[#This Row],[Birthweight (grams)]]/Table1[[#This Row],[BW_GA]])-1)/(Backend!$B$4/100*Table1[[#This Row],[BW40_3705]]),"")</f>
        <v/>
      </c>
      <c r="H1947" s="7" t="str">
        <f>IF(Table1[[#This Row],[Is Data Valid]]=TRUE,((Table1[[#This Row],[Birthweight (grams)]]*0.9/Table1[[#This Row],[BW_GA]])-1)/(Backend!$B$4/100*Table1[[#This Row],[BW40_3705]]),"")</f>
        <v/>
      </c>
      <c r="I1947" s="7" t="str">
        <f>IF(Table1[[#This Row],[Is Data Valid]]=TRUE,((Table1[[#This Row],[Birthweight (grams)]]*1.1/Table1[[#This Row],[BW_GA]])-1)/(Backend!$B$4/100*Table1[[#This Row],[BW40_3705]]),"")</f>
        <v/>
      </c>
      <c r="J1947" s="7" t="str">
        <f>IF(Table1[[#This Row],[Is Data Valid]]=TRUE,_xlfn.NORM.S.DIST(Table1[[#This Row],[Birthweight Z-Score]],TRUE)*100,"")</f>
        <v/>
      </c>
      <c r="K1947" s="7" t="str">
        <f>IF(Table1[[#This Row],[Is Data Valid]]=TRUE,_xlfn.NORM.S.DIST(Table1[[#This Row],[Birthweight Z-Score (BW-10%)]],TRUE)*100,"")</f>
        <v/>
      </c>
      <c r="L1947" s="7" t="str">
        <f>IF(Table1[[#This Row],[Is Data Valid]]=TRUE,_xlfn.NORM.S.DIST(Table1[[#This Row],[Birthweight Z-Score (BW+10%)]],TRUE)*100,"")</f>
        <v/>
      </c>
    </row>
    <row r="1948" spans="1:12" x14ac:dyDescent="0.35">
      <c r="A1948" s="3"/>
      <c r="B1948" s="2"/>
      <c r="C1948" s="2"/>
      <c r="D1948" s="2" t="b">
        <f>IF(AND(NOT(ISBLANK(Table1[[#This Row],[Fetal Sex (Male, Female or Unknown)]])),ISNUMBER(Table1[[#This Row],[Birthweight (grams)]]),ISNUMBER(Table1[[#This Row],[Gestation (days)]])),TRUE,FALSE)</f>
        <v>0</v>
      </c>
      <c r="E1948" s="2" t="str">
        <f>IF(Table1[[#This Row],[Is Data Valid]]=TRUE,IF(Table1[[#This Row],[Fetal Sex (Male, Female or Unknown)]]="Male",Backend!$C$6,IF(Table1[[#This Row],[Fetal Sex (Male, Female or Unknown)]]="Female",Backend!$C$7,IF(Table1[[#This Row],[Fetal Sex (Male, Female or Unknown)]]="Unknown",Backend!$C$8,"Error"))),"")</f>
        <v/>
      </c>
      <c r="F1948" s="8" t="str">
        <f>IF(Table1[[#This Row],[Is Data Valid]]=TRUE,EXP(0.578+0.332*((Table1[[#This Row],[Gestation (days)]]+0.5)/7)-0.00354*((Table1[[#This Row],[Gestation (days)]]+0.5)/7)^2)*Table1[[#This Row],[BW40_3705]],"")</f>
        <v/>
      </c>
      <c r="G1948" s="2" t="str">
        <f>IF(Table1[[#This Row],[Is Data Valid]]=TRUE,((Table1[[#This Row],[Birthweight (grams)]]/Table1[[#This Row],[BW_GA]])-1)/(Backend!$B$4/100*Table1[[#This Row],[BW40_3705]]),"")</f>
        <v/>
      </c>
      <c r="H1948" s="7" t="str">
        <f>IF(Table1[[#This Row],[Is Data Valid]]=TRUE,((Table1[[#This Row],[Birthweight (grams)]]*0.9/Table1[[#This Row],[BW_GA]])-1)/(Backend!$B$4/100*Table1[[#This Row],[BW40_3705]]),"")</f>
        <v/>
      </c>
      <c r="I1948" s="7" t="str">
        <f>IF(Table1[[#This Row],[Is Data Valid]]=TRUE,((Table1[[#This Row],[Birthweight (grams)]]*1.1/Table1[[#This Row],[BW_GA]])-1)/(Backend!$B$4/100*Table1[[#This Row],[BW40_3705]]),"")</f>
        <v/>
      </c>
      <c r="J1948" s="7" t="str">
        <f>IF(Table1[[#This Row],[Is Data Valid]]=TRUE,_xlfn.NORM.S.DIST(Table1[[#This Row],[Birthweight Z-Score]],TRUE)*100,"")</f>
        <v/>
      </c>
      <c r="K1948" s="7" t="str">
        <f>IF(Table1[[#This Row],[Is Data Valid]]=TRUE,_xlfn.NORM.S.DIST(Table1[[#This Row],[Birthweight Z-Score (BW-10%)]],TRUE)*100,"")</f>
        <v/>
      </c>
      <c r="L1948" s="7" t="str">
        <f>IF(Table1[[#This Row],[Is Data Valid]]=TRUE,_xlfn.NORM.S.DIST(Table1[[#This Row],[Birthweight Z-Score (BW+10%)]],TRUE)*100,"")</f>
        <v/>
      </c>
    </row>
    <row r="1949" spans="1:12" x14ac:dyDescent="0.35">
      <c r="A1949" s="3"/>
      <c r="B1949" s="2"/>
      <c r="C1949" s="2"/>
      <c r="D1949" s="2" t="b">
        <f>IF(AND(NOT(ISBLANK(Table1[[#This Row],[Fetal Sex (Male, Female or Unknown)]])),ISNUMBER(Table1[[#This Row],[Birthweight (grams)]]),ISNUMBER(Table1[[#This Row],[Gestation (days)]])),TRUE,FALSE)</f>
        <v>0</v>
      </c>
      <c r="E1949" s="2" t="str">
        <f>IF(Table1[[#This Row],[Is Data Valid]]=TRUE,IF(Table1[[#This Row],[Fetal Sex (Male, Female or Unknown)]]="Male",Backend!$C$6,IF(Table1[[#This Row],[Fetal Sex (Male, Female or Unknown)]]="Female",Backend!$C$7,IF(Table1[[#This Row],[Fetal Sex (Male, Female or Unknown)]]="Unknown",Backend!$C$8,"Error"))),"")</f>
        <v/>
      </c>
      <c r="F1949" s="8" t="str">
        <f>IF(Table1[[#This Row],[Is Data Valid]]=TRUE,EXP(0.578+0.332*((Table1[[#This Row],[Gestation (days)]]+0.5)/7)-0.00354*((Table1[[#This Row],[Gestation (days)]]+0.5)/7)^2)*Table1[[#This Row],[BW40_3705]],"")</f>
        <v/>
      </c>
      <c r="G1949" s="2" t="str">
        <f>IF(Table1[[#This Row],[Is Data Valid]]=TRUE,((Table1[[#This Row],[Birthweight (grams)]]/Table1[[#This Row],[BW_GA]])-1)/(Backend!$B$4/100*Table1[[#This Row],[BW40_3705]]),"")</f>
        <v/>
      </c>
      <c r="H1949" s="7" t="str">
        <f>IF(Table1[[#This Row],[Is Data Valid]]=TRUE,((Table1[[#This Row],[Birthweight (grams)]]*0.9/Table1[[#This Row],[BW_GA]])-1)/(Backend!$B$4/100*Table1[[#This Row],[BW40_3705]]),"")</f>
        <v/>
      </c>
      <c r="I1949" s="7" t="str">
        <f>IF(Table1[[#This Row],[Is Data Valid]]=TRUE,((Table1[[#This Row],[Birthweight (grams)]]*1.1/Table1[[#This Row],[BW_GA]])-1)/(Backend!$B$4/100*Table1[[#This Row],[BW40_3705]]),"")</f>
        <v/>
      </c>
      <c r="J1949" s="7" t="str">
        <f>IF(Table1[[#This Row],[Is Data Valid]]=TRUE,_xlfn.NORM.S.DIST(Table1[[#This Row],[Birthweight Z-Score]],TRUE)*100,"")</f>
        <v/>
      </c>
      <c r="K1949" s="7" t="str">
        <f>IF(Table1[[#This Row],[Is Data Valid]]=TRUE,_xlfn.NORM.S.DIST(Table1[[#This Row],[Birthweight Z-Score (BW-10%)]],TRUE)*100,"")</f>
        <v/>
      </c>
      <c r="L1949" s="7" t="str">
        <f>IF(Table1[[#This Row],[Is Data Valid]]=TRUE,_xlfn.NORM.S.DIST(Table1[[#This Row],[Birthweight Z-Score (BW+10%)]],TRUE)*100,"")</f>
        <v/>
      </c>
    </row>
    <row r="1950" spans="1:12" x14ac:dyDescent="0.35">
      <c r="A1950" s="3"/>
      <c r="B1950" s="2"/>
      <c r="C1950" s="2"/>
      <c r="D1950" s="2" t="b">
        <f>IF(AND(NOT(ISBLANK(Table1[[#This Row],[Fetal Sex (Male, Female or Unknown)]])),ISNUMBER(Table1[[#This Row],[Birthweight (grams)]]),ISNUMBER(Table1[[#This Row],[Gestation (days)]])),TRUE,FALSE)</f>
        <v>0</v>
      </c>
      <c r="E1950" s="2" t="str">
        <f>IF(Table1[[#This Row],[Is Data Valid]]=TRUE,IF(Table1[[#This Row],[Fetal Sex (Male, Female or Unknown)]]="Male",Backend!$C$6,IF(Table1[[#This Row],[Fetal Sex (Male, Female or Unknown)]]="Female",Backend!$C$7,IF(Table1[[#This Row],[Fetal Sex (Male, Female or Unknown)]]="Unknown",Backend!$C$8,"Error"))),"")</f>
        <v/>
      </c>
      <c r="F1950" s="8" t="str">
        <f>IF(Table1[[#This Row],[Is Data Valid]]=TRUE,EXP(0.578+0.332*((Table1[[#This Row],[Gestation (days)]]+0.5)/7)-0.00354*((Table1[[#This Row],[Gestation (days)]]+0.5)/7)^2)*Table1[[#This Row],[BW40_3705]],"")</f>
        <v/>
      </c>
      <c r="G1950" s="2" t="str">
        <f>IF(Table1[[#This Row],[Is Data Valid]]=TRUE,((Table1[[#This Row],[Birthweight (grams)]]/Table1[[#This Row],[BW_GA]])-1)/(Backend!$B$4/100*Table1[[#This Row],[BW40_3705]]),"")</f>
        <v/>
      </c>
      <c r="H1950" s="7" t="str">
        <f>IF(Table1[[#This Row],[Is Data Valid]]=TRUE,((Table1[[#This Row],[Birthweight (grams)]]*0.9/Table1[[#This Row],[BW_GA]])-1)/(Backend!$B$4/100*Table1[[#This Row],[BW40_3705]]),"")</f>
        <v/>
      </c>
      <c r="I1950" s="7" t="str">
        <f>IF(Table1[[#This Row],[Is Data Valid]]=TRUE,((Table1[[#This Row],[Birthweight (grams)]]*1.1/Table1[[#This Row],[BW_GA]])-1)/(Backend!$B$4/100*Table1[[#This Row],[BW40_3705]]),"")</f>
        <v/>
      </c>
      <c r="J1950" s="7" t="str">
        <f>IF(Table1[[#This Row],[Is Data Valid]]=TRUE,_xlfn.NORM.S.DIST(Table1[[#This Row],[Birthweight Z-Score]],TRUE)*100,"")</f>
        <v/>
      </c>
      <c r="K1950" s="7" t="str">
        <f>IF(Table1[[#This Row],[Is Data Valid]]=TRUE,_xlfn.NORM.S.DIST(Table1[[#This Row],[Birthweight Z-Score (BW-10%)]],TRUE)*100,"")</f>
        <v/>
      </c>
      <c r="L1950" s="7" t="str">
        <f>IF(Table1[[#This Row],[Is Data Valid]]=TRUE,_xlfn.NORM.S.DIST(Table1[[#This Row],[Birthweight Z-Score (BW+10%)]],TRUE)*100,"")</f>
        <v/>
      </c>
    </row>
    <row r="1951" spans="1:12" x14ac:dyDescent="0.35">
      <c r="A1951" s="3"/>
      <c r="B1951" s="2"/>
      <c r="C1951" s="2"/>
      <c r="D1951" s="2" t="b">
        <f>IF(AND(NOT(ISBLANK(Table1[[#This Row],[Fetal Sex (Male, Female or Unknown)]])),ISNUMBER(Table1[[#This Row],[Birthweight (grams)]]),ISNUMBER(Table1[[#This Row],[Gestation (days)]])),TRUE,FALSE)</f>
        <v>0</v>
      </c>
      <c r="E1951" s="2" t="str">
        <f>IF(Table1[[#This Row],[Is Data Valid]]=TRUE,IF(Table1[[#This Row],[Fetal Sex (Male, Female or Unknown)]]="Male",Backend!$C$6,IF(Table1[[#This Row],[Fetal Sex (Male, Female or Unknown)]]="Female",Backend!$C$7,IF(Table1[[#This Row],[Fetal Sex (Male, Female or Unknown)]]="Unknown",Backend!$C$8,"Error"))),"")</f>
        <v/>
      </c>
      <c r="F1951" s="8" t="str">
        <f>IF(Table1[[#This Row],[Is Data Valid]]=TRUE,EXP(0.578+0.332*((Table1[[#This Row],[Gestation (days)]]+0.5)/7)-0.00354*((Table1[[#This Row],[Gestation (days)]]+0.5)/7)^2)*Table1[[#This Row],[BW40_3705]],"")</f>
        <v/>
      </c>
      <c r="G1951" s="2" t="str">
        <f>IF(Table1[[#This Row],[Is Data Valid]]=TRUE,((Table1[[#This Row],[Birthweight (grams)]]/Table1[[#This Row],[BW_GA]])-1)/(Backend!$B$4/100*Table1[[#This Row],[BW40_3705]]),"")</f>
        <v/>
      </c>
      <c r="H1951" s="7" t="str">
        <f>IF(Table1[[#This Row],[Is Data Valid]]=TRUE,((Table1[[#This Row],[Birthweight (grams)]]*0.9/Table1[[#This Row],[BW_GA]])-1)/(Backend!$B$4/100*Table1[[#This Row],[BW40_3705]]),"")</f>
        <v/>
      </c>
      <c r="I1951" s="7" t="str">
        <f>IF(Table1[[#This Row],[Is Data Valid]]=TRUE,((Table1[[#This Row],[Birthweight (grams)]]*1.1/Table1[[#This Row],[BW_GA]])-1)/(Backend!$B$4/100*Table1[[#This Row],[BW40_3705]]),"")</f>
        <v/>
      </c>
      <c r="J1951" s="7" t="str">
        <f>IF(Table1[[#This Row],[Is Data Valid]]=TRUE,_xlfn.NORM.S.DIST(Table1[[#This Row],[Birthweight Z-Score]],TRUE)*100,"")</f>
        <v/>
      </c>
      <c r="K1951" s="7" t="str">
        <f>IF(Table1[[#This Row],[Is Data Valid]]=TRUE,_xlfn.NORM.S.DIST(Table1[[#This Row],[Birthweight Z-Score (BW-10%)]],TRUE)*100,"")</f>
        <v/>
      </c>
      <c r="L1951" s="7" t="str">
        <f>IF(Table1[[#This Row],[Is Data Valid]]=TRUE,_xlfn.NORM.S.DIST(Table1[[#This Row],[Birthweight Z-Score (BW+10%)]],TRUE)*100,"")</f>
        <v/>
      </c>
    </row>
    <row r="1952" spans="1:12" x14ac:dyDescent="0.35">
      <c r="A1952" s="3"/>
      <c r="B1952" s="2"/>
      <c r="C1952" s="2"/>
      <c r="D1952" s="2" t="b">
        <f>IF(AND(NOT(ISBLANK(Table1[[#This Row],[Fetal Sex (Male, Female or Unknown)]])),ISNUMBER(Table1[[#This Row],[Birthweight (grams)]]),ISNUMBER(Table1[[#This Row],[Gestation (days)]])),TRUE,FALSE)</f>
        <v>0</v>
      </c>
      <c r="E1952" s="2" t="str">
        <f>IF(Table1[[#This Row],[Is Data Valid]]=TRUE,IF(Table1[[#This Row],[Fetal Sex (Male, Female or Unknown)]]="Male",Backend!$C$6,IF(Table1[[#This Row],[Fetal Sex (Male, Female or Unknown)]]="Female",Backend!$C$7,IF(Table1[[#This Row],[Fetal Sex (Male, Female or Unknown)]]="Unknown",Backend!$C$8,"Error"))),"")</f>
        <v/>
      </c>
      <c r="F1952" s="8" t="str">
        <f>IF(Table1[[#This Row],[Is Data Valid]]=TRUE,EXP(0.578+0.332*((Table1[[#This Row],[Gestation (days)]]+0.5)/7)-0.00354*((Table1[[#This Row],[Gestation (days)]]+0.5)/7)^2)*Table1[[#This Row],[BW40_3705]],"")</f>
        <v/>
      </c>
      <c r="G1952" s="2" t="str">
        <f>IF(Table1[[#This Row],[Is Data Valid]]=TRUE,((Table1[[#This Row],[Birthweight (grams)]]/Table1[[#This Row],[BW_GA]])-1)/(Backend!$B$4/100*Table1[[#This Row],[BW40_3705]]),"")</f>
        <v/>
      </c>
      <c r="H1952" s="7" t="str">
        <f>IF(Table1[[#This Row],[Is Data Valid]]=TRUE,((Table1[[#This Row],[Birthweight (grams)]]*0.9/Table1[[#This Row],[BW_GA]])-1)/(Backend!$B$4/100*Table1[[#This Row],[BW40_3705]]),"")</f>
        <v/>
      </c>
      <c r="I1952" s="7" t="str">
        <f>IF(Table1[[#This Row],[Is Data Valid]]=TRUE,((Table1[[#This Row],[Birthweight (grams)]]*1.1/Table1[[#This Row],[BW_GA]])-1)/(Backend!$B$4/100*Table1[[#This Row],[BW40_3705]]),"")</f>
        <v/>
      </c>
      <c r="J1952" s="7" t="str">
        <f>IF(Table1[[#This Row],[Is Data Valid]]=TRUE,_xlfn.NORM.S.DIST(Table1[[#This Row],[Birthweight Z-Score]],TRUE)*100,"")</f>
        <v/>
      </c>
      <c r="K1952" s="7" t="str">
        <f>IF(Table1[[#This Row],[Is Data Valid]]=TRUE,_xlfn.NORM.S.DIST(Table1[[#This Row],[Birthweight Z-Score (BW-10%)]],TRUE)*100,"")</f>
        <v/>
      </c>
      <c r="L1952" s="7" t="str">
        <f>IF(Table1[[#This Row],[Is Data Valid]]=TRUE,_xlfn.NORM.S.DIST(Table1[[#This Row],[Birthweight Z-Score (BW+10%)]],TRUE)*100,"")</f>
        <v/>
      </c>
    </row>
    <row r="1953" spans="1:12" x14ac:dyDescent="0.35">
      <c r="A1953" s="3"/>
      <c r="B1953" s="2"/>
      <c r="C1953" s="2"/>
      <c r="D1953" s="2" t="b">
        <f>IF(AND(NOT(ISBLANK(Table1[[#This Row],[Fetal Sex (Male, Female or Unknown)]])),ISNUMBER(Table1[[#This Row],[Birthweight (grams)]]),ISNUMBER(Table1[[#This Row],[Gestation (days)]])),TRUE,FALSE)</f>
        <v>0</v>
      </c>
      <c r="E1953" s="2" t="str">
        <f>IF(Table1[[#This Row],[Is Data Valid]]=TRUE,IF(Table1[[#This Row],[Fetal Sex (Male, Female or Unknown)]]="Male",Backend!$C$6,IF(Table1[[#This Row],[Fetal Sex (Male, Female or Unknown)]]="Female",Backend!$C$7,IF(Table1[[#This Row],[Fetal Sex (Male, Female or Unknown)]]="Unknown",Backend!$C$8,"Error"))),"")</f>
        <v/>
      </c>
      <c r="F1953" s="8" t="str">
        <f>IF(Table1[[#This Row],[Is Data Valid]]=TRUE,EXP(0.578+0.332*((Table1[[#This Row],[Gestation (days)]]+0.5)/7)-0.00354*((Table1[[#This Row],[Gestation (days)]]+0.5)/7)^2)*Table1[[#This Row],[BW40_3705]],"")</f>
        <v/>
      </c>
      <c r="G1953" s="2" t="str">
        <f>IF(Table1[[#This Row],[Is Data Valid]]=TRUE,((Table1[[#This Row],[Birthweight (grams)]]/Table1[[#This Row],[BW_GA]])-1)/(Backend!$B$4/100*Table1[[#This Row],[BW40_3705]]),"")</f>
        <v/>
      </c>
      <c r="H1953" s="7" t="str">
        <f>IF(Table1[[#This Row],[Is Data Valid]]=TRUE,((Table1[[#This Row],[Birthweight (grams)]]*0.9/Table1[[#This Row],[BW_GA]])-1)/(Backend!$B$4/100*Table1[[#This Row],[BW40_3705]]),"")</f>
        <v/>
      </c>
      <c r="I1953" s="7" t="str">
        <f>IF(Table1[[#This Row],[Is Data Valid]]=TRUE,((Table1[[#This Row],[Birthweight (grams)]]*1.1/Table1[[#This Row],[BW_GA]])-1)/(Backend!$B$4/100*Table1[[#This Row],[BW40_3705]]),"")</f>
        <v/>
      </c>
      <c r="J1953" s="7" t="str">
        <f>IF(Table1[[#This Row],[Is Data Valid]]=TRUE,_xlfn.NORM.S.DIST(Table1[[#This Row],[Birthweight Z-Score]],TRUE)*100,"")</f>
        <v/>
      </c>
      <c r="K1953" s="7" t="str">
        <f>IF(Table1[[#This Row],[Is Data Valid]]=TRUE,_xlfn.NORM.S.DIST(Table1[[#This Row],[Birthweight Z-Score (BW-10%)]],TRUE)*100,"")</f>
        <v/>
      </c>
      <c r="L1953" s="7" t="str">
        <f>IF(Table1[[#This Row],[Is Data Valid]]=TRUE,_xlfn.NORM.S.DIST(Table1[[#This Row],[Birthweight Z-Score (BW+10%)]],TRUE)*100,"")</f>
        <v/>
      </c>
    </row>
    <row r="1954" spans="1:12" x14ac:dyDescent="0.35">
      <c r="A1954" s="3"/>
      <c r="B1954" s="2"/>
      <c r="C1954" s="2"/>
      <c r="D1954" s="2" t="b">
        <f>IF(AND(NOT(ISBLANK(Table1[[#This Row],[Fetal Sex (Male, Female or Unknown)]])),ISNUMBER(Table1[[#This Row],[Birthweight (grams)]]),ISNUMBER(Table1[[#This Row],[Gestation (days)]])),TRUE,FALSE)</f>
        <v>0</v>
      </c>
      <c r="E1954" s="2" t="str">
        <f>IF(Table1[[#This Row],[Is Data Valid]]=TRUE,IF(Table1[[#This Row],[Fetal Sex (Male, Female or Unknown)]]="Male",Backend!$C$6,IF(Table1[[#This Row],[Fetal Sex (Male, Female or Unknown)]]="Female",Backend!$C$7,IF(Table1[[#This Row],[Fetal Sex (Male, Female or Unknown)]]="Unknown",Backend!$C$8,"Error"))),"")</f>
        <v/>
      </c>
      <c r="F1954" s="8" t="str">
        <f>IF(Table1[[#This Row],[Is Data Valid]]=TRUE,EXP(0.578+0.332*((Table1[[#This Row],[Gestation (days)]]+0.5)/7)-0.00354*((Table1[[#This Row],[Gestation (days)]]+0.5)/7)^2)*Table1[[#This Row],[BW40_3705]],"")</f>
        <v/>
      </c>
      <c r="G1954" s="2" t="str">
        <f>IF(Table1[[#This Row],[Is Data Valid]]=TRUE,((Table1[[#This Row],[Birthweight (grams)]]/Table1[[#This Row],[BW_GA]])-1)/(Backend!$B$4/100*Table1[[#This Row],[BW40_3705]]),"")</f>
        <v/>
      </c>
      <c r="H1954" s="7" t="str">
        <f>IF(Table1[[#This Row],[Is Data Valid]]=TRUE,((Table1[[#This Row],[Birthweight (grams)]]*0.9/Table1[[#This Row],[BW_GA]])-1)/(Backend!$B$4/100*Table1[[#This Row],[BW40_3705]]),"")</f>
        <v/>
      </c>
      <c r="I1954" s="7" t="str">
        <f>IF(Table1[[#This Row],[Is Data Valid]]=TRUE,((Table1[[#This Row],[Birthweight (grams)]]*1.1/Table1[[#This Row],[BW_GA]])-1)/(Backend!$B$4/100*Table1[[#This Row],[BW40_3705]]),"")</f>
        <v/>
      </c>
      <c r="J1954" s="7" t="str">
        <f>IF(Table1[[#This Row],[Is Data Valid]]=TRUE,_xlfn.NORM.S.DIST(Table1[[#This Row],[Birthweight Z-Score]],TRUE)*100,"")</f>
        <v/>
      </c>
      <c r="K1954" s="7" t="str">
        <f>IF(Table1[[#This Row],[Is Data Valid]]=TRUE,_xlfn.NORM.S.DIST(Table1[[#This Row],[Birthweight Z-Score (BW-10%)]],TRUE)*100,"")</f>
        <v/>
      </c>
      <c r="L1954" s="7" t="str">
        <f>IF(Table1[[#This Row],[Is Data Valid]]=TRUE,_xlfn.NORM.S.DIST(Table1[[#This Row],[Birthweight Z-Score (BW+10%)]],TRUE)*100,"")</f>
        <v/>
      </c>
    </row>
    <row r="1955" spans="1:12" x14ac:dyDescent="0.35">
      <c r="A1955" s="3"/>
      <c r="B1955" s="2"/>
      <c r="C1955" s="2"/>
      <c r="D1955" s="2" t="b">
        <f>IF(AND(NOT(ISBLANK(Table1[[#This Row],[Fetal Sex (Male, Female or Unknown)]])),ISNUMBER(Table1[[#This Row],[Birthweight (grams)]]),ISNUMBER(Table1[[#This Row],[Gestation (days)]])),TRUE,FALSE)</f>
        <v>0</v>
      </c>
      <c r="E1955" s="2" t="str">
        <f>IF(Table1[[#This Row],[Is Data Valid]]=TRUE,IF(Table1[[#This Row],[Fetal Sex (Male, Female or Unknown)]]="Male",Backend!$C$6,IF(Table1[[#This Row],[Fetal Sex (Male, Female or Unknown)]]="Female",Backend!$C$7,IF(Table1[[#This Row],[Fetal Sex (Male, Female or Unknown)]]="Unknown",Backend!$C$8,"Error"))),"")</f>
        <v/>
      </c>
      <c r="F1955" s="8" t="str">
        <f>IF(Table1[[#This Row],[Is Data Valid]]=TRUE,EXP(0.578+0.332*((Table1[[#This Row],[Gestation (days)]]+0.5)/7)-0.00354*((Table1[[#This Row],[Gestation (days)]]+0.5)/7)^2)*Table1[[#This Row],[BW40_3705]],"")</f>
        <v/>
      </c>
      <c r="G1955" s="2" t="str">
        <f>IF(Table1[[#This Row],[Is Data Valid]]=TRUE,((Table1[[#This Row],[Birthweight (grams)]]/Table1[[#This Row],[BW_GA]])-1)/(Backend!$B$4/100*Table1[[#This Row],[BW40_3705]]),"")</f>
        <v/>
      </c>
      <c r="H1955" s="7" t="str">
        <f>IF(Table1[[#This Row],[Is Data Valid]]=TRUE,((Table1[[#This Row],[Birthweight (grams)]]*0.9/Table1[[#This Row],[BW_GA]])-1)/(Backend!$B$4/100*Table1[[#This Row],[BW40_3705]]),"")</f>
        <v/>
      </c>
      <c r="I1955" s="7" t="str">
        <f>IF(Table1[[#This Row],[Is Data Valid]]=TRUE,((Table1[[#This Row],[Birthweight (grams)]]*1.1/Table1[[#This Row],[BW_GA]])-1)/(Backend!$B$4/100*Table1[[#This Row],[BW40_3705]]),"")</f>
        <v/>
      </c>
      <c r="J1955" s="7" t="str">
        <f>IF(Table1[[#This Row],[Is Data Valid]]=TRUE,_xlfn.NORM.S.DIST(Table1[[#This Row],[Birthweight Z-Score]],TRUE)*100,"")</f>
        <v/>
      </c>
      <c r="K1955" s="7" t="str">
        <f>IF(Table1[[#This Row],[Is Data Valid]]=TRUE,_xlfn.NORM.S.DIST(Table1[[#This Row],[Birthweight Z-Score (BW-10%)]],TRUE)*100,"")</f>
        <v/>
      </c>
      <c r="L1955" s="7" t="str">
        <f>IF(Table1[[#This Row],[Is Data Valid]]=TRUE,_xlfn.NORM.S.DIST(Table1[[#This Row],[Birthweight Z-Score (BW+10%)]],TRUE)*100,"")</f>
        <v/>
      </c>
    </row>
    <row r="1956" spans="1:12" x14ac:dyDescent="0.35">
      <c r="A1956" s="3"/>
      <c r="B1956" s="2"/>
      <c r="C1956" s="2"/>
      <c r="D1956" s="2" t="b">
        <f>IF(AND(NOT(ISBLANK(Table1[[#This Row],[Fetal Sex (Male, Female or Unknown)]])),ISNUMBER(Table1[[#This Row],[Birthweight (grams)]]),ISNUMBER(Table1[[#This Row],[Gestation (days)]])),TRUE,FALSE)</f>
        <v>0</v>
      </c>
      <c r="E1956" s="2" t="str">
        <f>IF(Table1[[#This Row],[Is Data Valid]]=TRUE,IF(Table1[[#This Row],[Fetal Sex (Male, Female or Unknown)]]="Male",Backend!$C$6,IF(Table1[[#This Row],[Fetal Sex (Male, Female or Unknown)]]="Female",Backend!$C$7,IF(Table1[[#This Row],[Fetal Sex (Male, Female or Unknown)]]="Unknown",Backend!$C$8,"Error"))),"")</f>
        <v/>
      </c>
      <c r="F1956" s="8" t="str">
        <f>IF(Table1[[#This Row],[Is Data Valid]]=TRUE,EXP(0.578+0.332*((Table1[[#This Row],[Gestation (days)]]+0.5)/7)-0.00354*((Table1[[#This Row],[Gestation (days)]]+0.5)/7)^2)*Table1[[#This Row],[BW40_3705]],"")</f>
        <v/>
      </c>
      <c r="G1956" s="2" t="str">
        <f>IF(Table1[[#This Row],[Is Data Valid]]=TRUE,((Table1[[#This Row],[Birthweight (grams)]]/Table1[[#This Row],[BW_GA]])-1)/(Backend!$B$4/100*Table1[[#This Row],[BW40_3705]]),"")</f>
        <v/>
      </c>
      <c r="H1956" s="7" t="str">
        <f>IF(Table1[[#This Row],[Is Data Valid]]=TRUE,((Table1[[#This Row],[Birthweight (grams)]]*0.9/Table1[[#This Row],[BW_GA]])-1)/(Backend!$B$4/100*Table1[[#This Row],[BW40_3705]]),"")</f>
        <v/>
      </c>
      <c r="I1956" s="7" t="str">
        <f>IF(Table1[[#This Row],[Is Data Valid]]=TRUE,((Table1[[#This Row],[Birthweight (grams)]]*1.1/Table1[[#This Row],[BW_GA]])-1)/(Backend!$B$4/100*Table1[[#This Row],[BW40_3705]]),"")</f>
        <v/>
      </c>
      <c r="J1956" s="7" t="str">
        <f>IF(Table1[[#This Row],[Is Data Valid]]=TRUE,_xlfn.NORM.S.DIST(Table1[[#This Row],[Birthweight Z-Score]],TRUE)*100,"")</f>
        <v/>
      </c>
      <c r="K1956" s="7" t="str">
        <f>IF(Table1[[#This Row],[Is Data Valid]]=TRUE,_xlfn.NORM.S.DIST(Table1[[#This Row],[Birthweight Z-Score (BW-10%)]],TRUE)*100,"")</f>
        <v/>
      </c>
      <c r="L1956" s="7" t="str">
        <f>IF(Table1[[#This Row],[Is Data Valid]]=TRUE,_xlfn.NORM.S.DIST(Table1[[#This Row],[Birthweight Z-Score (BW+10%)]],TRUE)*100,"")</f>
        <v/>
      </c>
    </row>
    <row r="1957" spans="1:12" x14ac:dyDescent="0.35">
      <c r="A1957" s="3"/>
      <c r="B1957" s="2"/>
      <c r="C1957" s="2"/>
      <c r="D1957" s="2" t="b">
        <f>IF(AND(NOT(ISBLANK(Table1[[#This Row],[Fetal Sex (Male, Female or Unknown)]])),ISNUMBER(Table1[[#This Row],[Birthweight (grams)]]),ISNUMBER(Table1[[#This Row],[Gestation (days)]])),TRUE,FALSE)</f>
        <v>0</v>
      </c>
      <c r="E1957" s="2" t="str">
        <f>IF(Table1[[#This Row],[Is Data Valid]]=TRUE,IF(Table1[[#This Row],[Fetal Sex (Male, Female or Unknown)]]="Male",Backend!$C$6,IF(Table1[[#This Row],[Fetal Sex (Male, Female or Unknown)]]="Female",Backend!$C$7,IF(Table1[[#This Row],[Fetal Sex (Male, Female or Unknown)]]="Unknown",Backend!$C$8,"Error"))),"")</f>
        <v/>
      </c>
      <c r="F1957" s="8" t="str">
        <f>IF(Table1[[#This Row],[Is Data Valid]]=TRUE,EXP(0.578+0.332*((Table1[[#This Row],[Gestation (days)]]+0.5)/7)-0.00354*((Table1[[#This Row],[Gestation (days)]]+0.5)/7)^2)*Table1[[#This Row],[BW40_3705]],"")</f>
        <v/>
      </c>
      <c r="G1957" s="2" t="str">
        <f>IF(Table1[[#This Row],[Is Data Valid]]=TRUE,((Table1[[#This Row],[Birthweight (grams)]]/Table1[[#This Row],[BW_GA]])-1)/(Backend!$B$4/100*Table1[[#This Row],[BW40_3705]]),"")</f>
        <v/>
      </c>
      <c r="H1957" s="7" t="str">
        <f>IF(Table1[[#This Row],[Is Data Valid]]=TRUE,((Table1[[#This Row],[Birthweight (grams)]]*0.9/Table1[[#This Row],[BW_GA]])-1)/(Backend!$B$4/100*Table1[[#This Row],[BW40_3705]]),"")</f>
        <v/>
      </c>
      <c r="I1957" s="7" t="str">
        <f>IF(Table1[[#This Row],[Is Data Valid]]=TRUE,((Table1[[#This Row],[Birthweight (grams)]]*1.1/Table1[[#This Row],[BW_GA]])-1)/(Backend!$B$4/100*Table1[[#This Row],[BW40_3705]]),"")</f>
        <v/>
      </c>
      <c r="J1957" s="7" t="str">
        <f>IF(Table1[[#This Row],[Is Data Valid]]=TRUE,_xlfn.NORM.S.DIST(Table1[[#This Row],[Birthweight Z-Score]],TRUE)*100,"")</f>
        <v/>
      </c>
      <c r="K1957" s="7" t="str">
        <f>IF(Table1[[#This Row],[Is Data Valid]]=TRUE,_xlfn.NORM.S.DIST(Table1[[#This Row],[Birthweight Z-Score (BW-10%)]],TRUE)*100,"")</f>
        <v/>
      </c>
      <c r="L1957" s="7" t="str">
        <f>IF(Table1[[#This Row],[Is Data Valid]]=TRUE,_xlfn.NORM.S.DIST(Table1[[#This Row],[Birthweight Z-Score (BW+10%)]],TRUE)*100,"")</f>
        <v/>
      </c>
    </row>
    <row r="1958" spans="1:12" x14ac:dyDescent="0.35">
      <c r="A1958" s="3"/>
      <c r="B1958" s="2"/>
      <c r="C1958" s="2"/>
      <c r="D1958" s="2" t="b">
        <f>IF(AND(NOT(ISBLANK(Table1[[#This Row],[Fetal Sex (Male, Female or Unknown)]])),ISNUMBER(Table1[[#This Row],[Birthweight (grams)]]),ISNUMBER(Table1[[#This Row],[Gestation (days)]])),TRUE,FALSE)</f>
        <v>0</v>
      </c>
      <c r="E1958" s="2" t="str">
        <f>IF(Table1[[#This Row],[Is Data Valid]]=TRUE,IF(Table1[[#This Row],[Fetal Sex (Male, Female or Unknown)]]="Male",Backend!$C$6,IF(Table1[[#This Row],[Fetal Sex (Male, Female or Unknown)]]="Female",Backend!$C$7,IF(Table1[[#This Row],[Fetal Sex (Male, Female or Unknown)]]="Unknown",Backend!$C$8,"Error"))),"")</f>
        <v/>
      </c>
      <c r="F1958" s="8" t="str">
        <f>IF(Table1[[#This Row],[Is Data Valid]]=TRUE,EXP(0.578+0.332*((Table1[[#This Row],[Gestation (days)]]+0.5)/7)-0.00354*((Table1[[#This Row],[Gestation (days)]]+0.5)/7)^2)*Table1[[#This Row],[BW40_3705]],"")</f>
        <v/>
      </c>
      <c r="G1958" s="2" t="str">
        <f>IF(Table1[[#This Row],[Is Data Valid]]=TRUE,((Table1[[#This Row],[Birthweight (grams)]]/Table1[[#This Row],[BW_GA]])-1)/(Backend!$B$4/100*Table1[[#This Row],[BW40_3705]]),"")</f>
        <v/>
      </c>
      <c r="H1958" s="7" t="str">
        <f>IF(Table1[[#This Row],[Is Data Valid]]=TRUE,((Table1[[#This Row],[Birthweight (grams)]]*0.9/Table1[[#This Row],[BW_GA]])-1)/(Backend!$B$4/100*Table1[[#This Row],[BW40_3705]]),"")</f>
        <v/>
      </c>
      <c r="I1958" s="7" t="str">
        <f>IF(Table1[[#This Row],[Is Data Valid]]=TRUE,((Table1[[#This Row],[Birthweight (grams)]]*1.1/Table1[[#This Row],[BW_GA]])-1)/(Backend!$B$4/100*Table1[[#This Row],[BW40_3705]]),"")</f>
        <v/>
      </c>
      <c r="J1958" s="7" t="str">
        <f>IF(Table1[[#This Row],[Is Data Valid]]=TRUE,_xlfn.NORM.S.DIST(Table1[[#This Row],[Birthweight Z-Score]],TRUE)*100,"")</f>
        <v/>
      </c>
      <c r="K1958" s="7" t="str">
        <f>IF(Table1[[#This Row],[Is Data Valid]]=TRUE,_xlfn.NORM.S.DIST(Table1[[#This Row],[Birthweight Z-Score (BW-10%)]],TRUE)*100,"")</f>
        <v/>
      </c>
      <c r="L1958" s="7" t="str">
        <f>IF(Table1[[#This Row],[Is Data Valid]]=TRUE,_xlfn.NORM.S.DIST(Table1[[#This Row],[Birthweight Z-Score (BW+10%)]],TRUE)*100,"")</f>
        <v/>
      </c>
    </row>
    <row r="1959" spans="1:12" x14ac:dyDescent="0.35">
      <c r="A1959" s="3"/>
      <c r="B1959" s="2"/>
      <c r="C1959" s="2"/>
      <c r="D1959" s="2" t="b">
        <f>IF(AND(NOT(ISBLANK(Table1[[#This Row],[Fetal Sex (Male, Female or Unknown)]])),ISNUMBER(Table1[[#This Row],[Birthweight (grams)]]),ISNUMBER(Table1[[#This Row],[Gestation (days)]])),TRUE,FALSE)</f>
        <v>0</v>
      </c>
      <c r="E1959" s="2" t="str">
        <f>IF(Table1[[#This Row],[Is Data Valid]]=TRUE,IF(Table1[[#This Row],[Fetal Sex (Male, Female or Unknown)]]="Male",Backend!$C$6,IF(Table1[[#This Row],[Fetal Sex (Male, Female or Unknown)]]="Female",Backend!$C$7,IF(Table1[[#This Row],[Fetal Sex (Male, Female or Unknown)]]="Unknown",Backend!$C$8,"Error"))),"")</f>
        <v/>
      </c>
      <c r="F1959" s="8" t="str">
        <f>IF(Table1[[#This Row],[Is Data Valid]]=TRUE,EXP(0.578+0.332*((Table1[[#This Row],[Gestation (days)]]+0.5)/7)-0.00354*((Table1[[#This Row],[Gestation (days)]]+0.5)/7)^2)*Table1[[#This Row],[BW40_3705]],"")</f>
        <v/>
      </c>
      <c r="G1959" s="2" t="str">
        <f>IF(Table1[[#This Row],[Is Data Valid]]=TRUE,((Table1[[#This Row],[Birthweight (grams)]]/Table1[[#This Row],[BW_GA]])-1)/(Backend!$B$4/100*Table1[[#This Row],[BW40_3705]]),"")</f>
        <v/>
      </c>
      <c r="H1959" s="7" t="str">
        <f>IF(Table1[[#This Row],[Is Data Valid]]=TRUE,((Table1[[#This Row],[Birthweight (grams)]]*0.9/Table1[[#This Row],[BW_GA]])-1)/(Backend!$B$4/100*Table1[[#This Row],[BW40_3705]]),"")</f>
        <v/>
      </c>
      <c r="I1959" s="7" t="str">
        <f>IF(Table1[[#This Row],[Is Data Valid]]=TRUE,((Table1[[#This Row],[Birthweight (grams)]]*1.1/Table1[[#This Row],[BW_GA]])-1)/(Backend!$B$4/100*Table1[[#This Row],[BW40_3705]]),"")</f>
        <v/>
      </c>
      <c r="J1959" s="7" t="str">
        <f>IF(Table1[[#This Row],[Is Data Valid]]=TRUE,_xlfn.NORM.S.DIST(Table1[[#This Row],[Birthweight Z-Score]],TRUE)*100,"")</f>
        <v/>
      </c>
      <c r="K1959" s="7" t="str">
        <f>IF(Table1[[#This Row],[Is Data Valid]]=TRUE,_xlfn.NORM.S.DIST(Table1[[#This Row],[Birthweight Z-Score (BW-10%)]],TRUE)*100,"")</f>
        <v/>
      </c>
      <c r="L1959" s="7" t="str">
        <f>IF(Table1[[#This Row],[Is Data Valid]]=TRUE,_xlfn.NORM.S.DIST(Table1[[#This Row],[Birthweight Z-Score (BW+10%)]],TRUE)*100,"")</f>
        <v/>
      </c>
    </row>
    <row r="1960" spans="1:12" x14ac:dyDescent="0.35">
      <c r="A1960" s="3"/>
      <c r="B1960" s="2"/>
      <c r="C1960" s="2"/>
      <c r="D1960" s="2" t="b">
        <f>IF(AND(NOT(ISBLANK(Table1[[#This Row],[Fetal Sex (Male, Female or Unknown)]])),ISNUMBER(Table1[[#This Row],[Birthweight (grams)]]),ISNUMBER(Table1[[#This Row],[Gestation (days)]])),TRUE,FALSE)</f>
        <v>0</v>
      </c>
      <c r="E1960" s="2" t="str">
        <f>IF(Table1[[#This Row],[Is Data Valid]]=TRUE,IF(Table1[[#This Row],[Fetal Sex (Male, Female or Unknown)]]="Male",Backend!$C$6,IF(Table1[[#This Row],[Fetal Sex (Male, Female or Unknown)]]="Female",Backend!$C$7,IF(Table1[[#This Row],[Fetal Sex (Male, Female or Unknown)]]="Unknown",Backend!$C$8,"Error"))),"")</f>
        <v/>
      </c>
      <c r="F1960" s="8" t="str">
        <f>IF(Table1[[#This Row],[Is Data Valid]]=TRUE,EXP(0.578+0.332*((Table1[[#This Row],[Gestation (days)]]+0.5)/7)-0.00354*((Table1[[#This Row],[Gestation (days)]]+0.5)/7)^2)*Table1[[#This Row],[BW40_3705]],"")</f>
        <v/>
      </c>
      <c r="G1960" s="2" t="str">
        <f>IF(Table1[[#This Row],[Is Data Valid]]=TRUE,((Table1[[#This Row],[Birthweight (grams)]]/Table1[[#This Row],[BW_GA]])-1)/(Backend!$B$4/100*Table1[[#This Row],[BW40_3705]]),"")</f>
        <v/>
      </c>
      <c r="H1960" s="7" t="str">
        <f>IF(Table1[[#This Row],[Is Data Valid]]=TRUE,((Table1[[#This Row],[Birthweight (grams)]]*0.9/Table1[[#This Row],[BW_GA]])-1)/(Backend!$B$4/100*Table1[[#This Row],[BW40_3705]]),"")</f>
        <v/>
      </c>
      <c r="I1960" s="7" t="str">
        <f>IF(Table1[[#This Row],[Is Data Valid]]=TRUE,((Table1[[#This Row],[Birthweight (grams)]]*1.1/Table1[[#This Row],[BW_GA]])-1)/(Backend!$B$4/100*Table1[[#This Row],[BW40_3705]]),"")</f>
        <v/>
      </c>
      <c r="J1960" s="7" t="str">
        <f>IF(Table1[[#This Row],[Is Data Valid]]=TRUE,_xlfn.NORM.S.DIST(Table1[[#This Row],[Birthweight Z-Score]],TRUE)*100,"")</f>
        <v/>
      </c>
      <c r="K1960" s="7" t="str">
        <f>IF(Table1[[#This Row],[Is Data Valid]]=TRUE,_xlfn.NORM.S.DIST(Table1[[#This Row],[Birthweight Z-Score (BW-10%)]],TRUE)*100,"")</f>
        <v/>
      </c>
      <c r="L1960" s="7" t="str">
        <f>IF(Table1[[#This Row],[Is Data Valid]]=TRUE,_xlfn.NORM.S.DIST(Table1[[#This Row],[Birthweight Z-Score (BW+10%)]],TRUE)*100,"")</f>
        <v/>
      </c>
    </row>
    <row r="1961" spans="1:12" x14ac:dyDescent="0.35">
      <c r="A1961" s="3"/>
      <c r="B1961" s="2"/>
      <c r="C1961" s="2"/>
      <c r="D1961" s="2" t="b">
        <f>IF(AND(NOT(ISBLANK(Table1[[#This Row],[Fetal Sex (Male, Female or Unknown)]])),ISNUMBER(Table1[[#This Row],[Birthweight (grams)]]),ISNUMBER(Table1[[#This Row],[Gestation (days)]])),TRUE,FALSE)</f>
        <v>0</v>
      </c>
      <c r="E1961" s="2" t="str">
        <f>IF(Table1[[#This Row],[Is Data Valid]]=TRUE,IF(Table1[[#This Row],[Fetal Sex (Male, Female or Unknown)]]="Male",Backend!$C$6,IF(Table1[[#This Row],[Fetal Sex (Male, Female or Unknown)]]="Female",Backend!$C$7,IF(Table1[[#This Row],[Fetal Sex (Male, Female or Unknown)]]="Unknown",Backend!$C$8,"Error"))),"")</f>
        <v/>
      </c>
      <c r="F1961" s="8" t="str">
        <f>IF(Table1[[#This Row],[Is Data Valid]]=TRUE,EXP(0.578+0.332*((Table1[[#This Row],[Gestation (days)]]+0.5)/7)-0.00354*((Table1[[#This Row],[Gestation (days)]]+0.5)/7)^2)*Table1[[#This Row],[BW40_3705]],"")</f>
        <v/>
      </c>
      <c r="G1961" s="2" t="str">
        <f>IF(Table1[[#This Row],[Is Data Valid]]=TRUE,((Table1[[#This Row],[Birthweight (grams)]]/Table1[[#This Row],[BW_GA]])-1)/(Backend!$B$4/100*Table1[[#This Row],[BW40_3705]]),"")</f>
        <v/>
      </c>
      <c r="H1961" s="7" t="str">
        <f>IF(Table1[[#This Row],[Is Data Valid]]=TRUE,((Table1[[#This Row],[Birthweight (grams)]]*0.9/Table1[[#This Row],[BW_GA]])-1)/(Backend!$B$4/100*Table1[[#This Row],[BW40_3705]]),"")</f>
        <v/>
      </c>
      <c r="I1961" s="7" t="str">
        <f>IF(Table1[[#This Row],[Is Data Valid]]=TRUE,((Table1[[#This Row],[Birthweight (grams)]]*1.1/Table1[[#This Row],[BW_GA]])-1)/(Backend!$B$4/100*Table1[[#This Row],[BW40_3705]]),"")</f>
        <v/>
      </c>
      <c r="J1961" s="7" t="str">
        <f>IF(Table1[[#This Row],[Is Data Valid]]=TRUE,_xlfn.NORM.S.DIST(Table1[[#This Row],[Birthweight Z-Score]],TRUE)*100,"")</f>
        <v/>
      </c>
      <c r="K1961" s="7" t="str">
        <f>IF(Table1[[#This Row],[Is Data Valid]]=TRUE,_xlfn.NORM.S.DIST(Table1[[#This Row],[Birthweight Z-Score (BW-10%)]],TRUE)*100,"")</f>
        <v/>
      </c>
      <c r="L1961" s="7" t="str">
        <f>IF(Table1[[#This Row],[Is Data Valid]]=TRUE,_xlfn.NORM.S.DIST(Table1[[#This Row],[Birthweight Z-Score (BW+10%)]],TRUE)*100,"")</f>
        <v/>
      </c>
    </row>
    <row r="1962" spans="1:12" x14ac:dyDescent="0.35">
      <c r="A1962" s="3"/>
      <c r="B1962" s="2"/>
      <c r="C1962" s="2"/>
      <c r="D1962" s="2" t="b">
        <f>IF(AND(NOT(ISBLANK(Table1[[#This Row],[Fetal Sex (Male, Female or Unknown)]])),ISNUMBER(Table1[[#This Row],[Birthweight (grams)]]),ISNUMBER(Table1[[#This Row],[Gestation (days)]])),TRUE,FALSE)</f>
        <v>0</v>
      </c>
      <c r="E1962" s="2" t="str">
        <f>IF(Table1[[#This Row],[Is Data Valid]]=TRUE,IF(Table1[[#This Row],[Fetal Sex (Male, Female or Unknown)]]="Male",Backend!$C$6,IF(Table1[[#This Row],[Fetal Sex (Male, Female or Unknown)]]="Female",Backend!$C$7,IF(Table1[[#This Row],[Fetal Sex (Male, Female or Unknown)]]="Unknown",Backend!$C$8,"Error"))),"")</f>
        <v/>
      </c>
      <c r="F1962" s="8" t="str">
        <f>IF(Table1[[#This Row],[Is Data Valid]]=TRUE,EXP(0.578+0.332*((Table1[[#This Row],[Gestation (days)]]+0.5)/7)-0.00354*((Table1[[#This Row],[Gestation (days)]]+0.5)/7)^2)*Table1[[#This Row],[BW40_3705]],"")</f>
        <v/>
      </c>
      <c r="G1962" s="2" t="str">
        <f>IF(Table1[[#This Row],[Is Data Valid]]=TRUE,((Table1[[#This Row],[Birthweight (grams)]]/Table1[[#This Row],[BW_GA]])-1)/(Backend!$B$4/100*Table1[[#This Row],[BW40_3705]]),"")</f>
        <v/>
      </c>
      <c r="H1962" s="7" t="str">
        <f>IF(Table1[[#This Row],[Is Data Valid]]=TRUE,((Table1[[#This Row],[Birthweight (grams)]]*0.9/Table1[[#This Row],[BW_GA]])-1)/(Backend!$B$4/100*Table1[[#This Row],[BW40_3705]]),"")</f>
        <v/>
      </c>
      <c r="I1962" s="7" t="str">
        <f>IF(Table1[[#This Row],[Is Data Valid]]=TRUE,((Table1[[#This Row],[Birthweight (grams)]]*1.1/Table1[[#This Row],[BW_GA]])-1)/(Backend!$B$4/100*Table1[[#This Row],[BW40_3705]]),"")</f>
        <v/>
      </c>
      <c r="J1962" s="7" t="str">
        <f>IF(Table1[[#This Row],[Is Data Valid]]=TRUE,_xlfn.NORM.S.DIST(Table1[[#This Row],[Birthweight Z-Score]],TRUE)*100,"")</f>
        <v/>
      </c>
      <c r="K1962" s="7" t="str">
        <f>IF(Table1[[#This Row],[Is Data Valid]]=TRUE,_xlfn.NORM.S.DIST(Table1[[#This Row],[Birthweight Z-Score (BW-10%)]],TRUE)*100,"")</f>
        <v/>
      </c>
      <c r="L1962" s="7" t="str">
        <f>IF(Table1[[#This Row],[Is Data Valid]]=TRUE,_xlfn.NORM.S.DIST(Table1[[#This Row],[Birthweight Z-Score (BW+10%)]],TRUE)*100,"")</f>
        <v/>
      </c>
    </row>
    <row r="1963" spans="1:12" x14ac:dyDescent="0.35">
      <c r="A1963" s="3"/>
      <c r="B1963" s="2"/>
      <c r="C1963" s="2"/>
      <c r="D1963" s="2" t="b">
        <f>IF(AND(NOT(ISBLANK(Table1[[#This Row],[Fetal Sex (Male, Female or Unknown)]])),ISNUMBER(Table1[[#This Row],[Birthweight (grams)]]),ISNUMBER(Table1[[#This Row],[Gestation (days)]])),TRUE,FALSE)</f>
        <v>0</v>
      </c>
      <c r="E1963" s="2" t="str">
        <f>IF(Table1[[#This Row],[Is Data Valid]]=TRUE,IF(Table1[[#This Row],[Fetal Sex (Male, Female or Unknown)]]="Male",Backend!$C$6,IF(Table1[[#This Row],[Fetal Sex (Male, Female or Unknown)]]="Female",Backend!$C$7,IF(Table1[[#This Row],[Fetal Sex (Male, Female or Unknown)]]="Unknown",Backend!$C$8,"Error"))),"")</f>
        <v/>
      </c>
      <c r="F1963" s="8" t="str">
        <f>IF(Table1[[#This Row],[Is Data Valid]]=TRUE,EXP(0.578+0.332*((Table1[[#This Row],[Gestation (days)]]+0.5)/7)-0.00354*((Table1[[#This Row],[Gestation (days)]]+0.5)/7)^2)*Table1[[#This Row],[BW40_3705]],"")</f>
        <v/>
      </c>
      <c r="G1963" s="2" t="str">
        <f>IF(Table1[[#This Row],[Is Data Valid]]=TRUE,((Table1[[#This Row],[Birthweight (grams)]]/Table1[[#This Row],[BW_GA]])-1)/(Backend!$B$4/100*Table1[[#This Row],[BW40_3705]]),"")</f>
        <v/>
      </c>
      <c r="H1963" s="7" t="str">
        <f>IF(Table1[[#This Row],[Is Data Valid]]=TRUE,((Table1[[#This Row],[Birthweight (grams)]]*0.9/Table1[[#This Row],[BW_GA]])-1)/(Backend!$B$4/100*Table1[[#This Row],[BW40_3705]]),"")</f>
        <v/>
      </c>
      <c r="I1963" s="7" t="str">
        <f>IF(Table1[[#This Row],[Is Data Valid]]=TRUE,((Table1[[#This Row],[Birthweight (grams)]]*1.1/Table1[[#This Row],[BW_GA]])-1)/(Backend!$B$4/100*Table1[[#This Row],[BW40_3705]]),"")</f>
        <v/>
      </c>
      <c r="J1963" s="7" t="str">
        <f>IF(Table1[[#This Row],[Is Data Valid]]=TRUE,_xlfn.NORM.S.DIST(Table1[[#This Row],[Birthweight Z-Score]],TRUE)*100,"")</f>
        <v/>
      </c>
      <c r="K1963" s="7" t="str">
        <f>IF(Table1[[#This Row],[Is Data Valid]]=TRUE,_xlfn.NORM.S.DIST(Table1[[#This Row],[Birthweight Z-Score (BW-10%)]],TRUE)*100,"")</f>
        <v/>
      </c>
      <c r="L1963" s="7" t="str">
        <f>IF(Table1[[#This Row],[Is Data Valid]]=TRUE,_xlfn.NORM.S.DIST(Table1[[#This Row],[Birthweight Z-Score (BW+10%)]],TRUE)*100,"")</f>
        <v/>
      </c>
    </row>
    <row r="1964" spans="1:12" x14ac:dyDescent="0.35">
      <c r="A1964" s="3"/>
      <c r="B1964" s="2"/>
      <c r="C1964" s="2"/>
      <c r="D1964" s="2" t="b">
        <f>IF(AND(NOT(ISBLANK(Table1[[#This Row],[Fetal Sex (Male, Female or Unknown)]])),ISNUMBER(Table1[[#This Row],[Birthweight (grams)]]),ISNUMBER(Table1[[#This Row],[Gestation (days)]])),TRUE,FALSE)</f>
        <v>0</v>
      </c>
      <c r="E1964" s="2" t="str">
        <f>IF(Table1[[#This Row],[Is Data Valid]]=TRUE,IF(Table1[[#This Row],[Fetal Sex (Male, Female or Unknown)]]="Male",Backend!$C$6,IF(Table1[[#This Row],[Fetal Sex (Male, Female or Unknown)]]="Female",Backend!$C$7,IF(Table1[[#This Row],[Fetal Sex (Male, Female or Unknown)]]="Unknown",Backend!$C$8,"Error"))),"")</f>
        <v/>
      </c>
      <c r="F1964" s="8" t="str">
        <f>IF(Table1[[#This Row],[Is Data Valid]]=TRUE,EXP(0.578+0.332*((Table1[[#This Row],[Gestation (days)]]+0.5)/7)-0.00354*((Table1[[#This Row],[Gestation (days)]]+0.5)/7)^2)*Table1[[#This Row],[BW40_3705]],"")</f>
        <v/>
      </c>
      <c r="G1964" s="2" t="str">
        <f>IF(Table1[[#This Row],[Is Data Valid]]=TRUE,((Table1[[#This Row],[Birthweight (grams)]]/Table1[[#This Row],[BW_GA]])-1)/(Backend!$B$4/100*Table1[[#This Row],[BW40_3705]]),"")</f>
        <v/>
      </c>
      <c r="H1964" s="7" t="str">
        <f>IF(Table1[[#This Row],[Is Data Valid]]=TRUE,((Table1[[#This Row],[Birthweight (grams)]]*0.9/Table1[[#This Row],[BW_GA]])-1)/(Backend!$B$4/100*Table1[[#This Row],[BW40_3705]]),"")</f>
        <v/>
      </c>
      <c r="I1964" s="7" t="str">
        <f>IF(Table1[[#This Row],[Is Data Valid]]=TRUE,((Table1[[#This Row],[Birthweight (grams)]]*1.1/Table1[[#This Row],[BW_GA]])-1)/(Backend!$B$4/100*Table1[[#This Row],[BW40_3705]]),"")</f>
        <v/>
      </c>
      <c r="J1964" s="7" t="str">
        <f>IF(Table1[[#This Row],[Is Data Valid]]=TRUE,_xlfn.NORM.S.DIST(Table1[[#This Row],[Birthweight Z-Score]],TRUE)*100,"")</f>
        <v/>
      </c>
      <c r="K1964" s="7" t="str">
        <f>IF(Table1[[#This Row],[Is Data Valid]]=TRUE,_xlfn.NORM.S.DIST(Table1[[#This Row],[Birthweight Z-Score (BW-10%)]],TRUE)*100,"")</f>
        <v/>
      </c>
      <c r="L1964" s="7" t="str">
        <f>IF(Table1[[#This Row],[Is Data Valid]]=TRUE,_xlfn.NORM.S.DIST(Table1[[#This Row],[Birthweight Z-Score (BW+10%)]],TRUE)*100,"")</f>
        <v/>
      </c>
    </row>
    <row r="1965" spans="1:12" x14ac:dyDescent="0.35">
      <c r="A1965" s="3"/>
      <c r="B1965" s="2"/>
      <c r="C1965" s="2"/>
      <c r="D1965" s="2" t="b">
        <f>IF(AND(NOT(ISBLANK(Table1[[#This Row],[Fetal Sex (Male, Female or Unknown)]])),ISNUMBER(Table1[[#This Row],[Birthweight (grams)]]),ISNUMBER(Table1[[#This Row],[Gestation (days)]])),TRUE,FALSE)</f>
        <v>0</v>
      </c>
      <c r="E1965" s="2" t="str">
        <f>IF(Table1[[#This Row],[Is Data Valid]]=TRUE,IF(Table1[[#This Row],[Fetal Sex (Male, Female or Unknown)]]="Male",Backend!$C$6,IF(Table1[[#This Row],[Fetal Sex (Male, Female or Unknown)]]="Female",Backend!$C$7,IF(Table1[[#This Row],[Fetal Sex (Male, Female or Unknown)]]="Unknown",Backend!$C$8,"Error"))),"")</f>
        <v/>
      </c>
      <c r="F1965" s="8" t="str">
        <f>IF(Table1[[#This Row],[Is Data Valid]]=TRUE,EXP(0.578+0.332*((Table1[[#This Row],[Gestation (days)]]+0.5)/7)-0.00354*((Table1[[#This Row],[Gestation (days)]]+0.5)/7)^2)*Table1[[#This Row],[BW40_3705]],"")</f>
        <v/>
      </c>
      <c r="G1965" s="2" t="str">
        <f>IF(Table1[[#This Row],[Is Data Valid]]=TRUE,((Table1[[#This Row],[Birthweight (grams)]]/Table1[[#This Row],[BW_GA]])-1)/(Backend!$B$4/100*Table1[[#This Row],[BW40_3705]]),"")</f>
        <v/>
      </c>
      <c r="H1965" s="7" t="str">
        <f>IF(Table1[[#This Row],[Is Data Valid]]=TRUE,((Table1[[#This Row],[Birthweight (grams)]]*0.9/Table1[[#This Row],[BW_GA]])-1)/(Backend!$B$4/100*Table1[[#This Row],[BW40_3705]]),"")</f>
        <v/>
      </c>
      <c r="I1965" s="7" t="str">
        <f>IF(Table1[[#This Row],[Is Data Valid]]=TRUE,((Table1[[#This Row],[Birthweight (grams)]]*1.1/Table1[[#This Row],[BW_GA]])-1)/(Backend!$B$4/100*Table1[[#This Row],[BW40_3705]]),"")</f>
        <v/>
      </c>
      <c r="J1965" s="7" t="str">
        <f>IF(Table1[[#This Row],[Is Data Valid]]=TRUE,_xlfn.NORM.S.DIST(Table1[[#This Row],[Birthweight Z-Score]],TRUE)*100,"")</f>
        <v/>
      </c>
      <c r="K1965" s="7" t="str">
        <f>IF(Table1[[#This Row],[Is Data Valid]]=TRUE,_xlfn.NORM.S.DIST(Table1[[#This Row],[Birthweight Z-Score (BW-10%)]],TRUE)*100,"")</f>
        <v/>
      </c>
      <c r="L1965" s="7" t="str">
        <f>IF(Table1[[#This Row],[Is Data Valid]]=TRUE,_xlfn.NORM.S.DIST(Table1[[#This Row],[Birthweight Z-Score (BW+10%)]],TRUE)*100,"")</f>
        <v/>
      </c>
    </row>
    <row r="1966" spans="1:12" x14ac:dyDescent="0.35">
      <c r="A1966" s="3"/>
      <c r="B1966" s="2"/>
      <c r="C1966" s="2"/>
      <c r="D1966" s="2" t="b">
        <f>IF(AND(NOT(ISBLANK(Table1[[#This Row],[Fetal Sex (Male, Female or Unknown)]])),ISNUMBER(Table1[[#This Row],[Birthweight (grams)]]),ISNUMBER(Table1[[#This Row],[Gestation (days)]])),TRUE,FALSE)</f>
        <v>0</v>
      </c>
      <c r="E1966" s="2" t="str">
        <f>IF(Table1[[#This Row],[Is Data Valid]]=TRUE,IF(Table1[[#This Row],[Fetal Sex (Male, Female or Unknown)]]="Male",Backend!$C$6,IF(Table1[[#This Row],[Fetal Sex (Male, Female or Unknown)]]="Female",Backend!$C$7,IF(Table1[[#This Row],[Fetal Sex (Male, Female or Unknown)]]="Unknown",Backend!$C$8,"Error"))),"")</f>
        <v/>
      </c>
      <c r="F1966" s="8" t="str">
        <f>IF(Table1[[#This Row],[Is Data Valid]]=TRUE,EXP(0.578+0.332*((Table1[[#This Row],[Gestation (days)]]+0.5)/7)-0.00354*((Table1[[#This Row],[Gestation (days)]]+0.5)/7)^2)*Table1[[#This Row],[BW40_3705]],"")</f>
        <v/>
      </c>
      <c r="G1966" s="2" t="str">
        <f>IF(Table1[[#This Row],[Is Data Valid]]=TRUE,((Table1[[#This Row],[Birthweight (grams)]]/Table1[[#This Row],[BW_GA]])-1)/(Backend!$B$4/100*Table1[[#This Row],[BW40_3705]]),"")</f>
        <v/>
      </c>
      <c r="H1966" s="7" t="str">
        <f>IF(Table1[[#This Row],[Is Data Valid]]=TRUE,((Table1[[#This Row],[Birthweight (grams)]]*0.9/Table1[[#This Row],[BW_GA]])-1)/(Backend!$B$4/100*Table1[[#This Row],[BW40_3705]]),"")</f>
        <v/>
      </c>
      <c r="I1966" s="7" t="str">
        <f>IF(Table1[[#This Row],[Is Data Valid]]=TRUE,((Table1[[#This Row],[Birthweight (grams)]]*1.1/Table1[[#This Row],[BW_GA]])-1)/(Backend!$B$4/100*Table1[[#This Row],[BW40_3705]]),"")</f>
        <v/>
      </c>
      <c r="J1966" s="7" t="str">
        <f>IF(Table1[[#This Row],[Is Data Valid]]=TRUE,_xlfn.NORM.S.DIST(Table1[[#This Row],[Birthweight Z-Score]],TRUE)*100,"")</f>
        <v/>
      </c>
      <c r="K1966" s="7" t="str">
        <f>IF(Table1[[#This Row],[Is Data Valid]]=TRUE,_xlfn.NORM.S.DIST(Table1[[#This Row],[Birthweight Z-Score (BW-10%)]],TRUE)*100,"")</f>
        <v/>
      </c>
      <c r="L1966" s="7" t="str">
        <f>IF(Table1[[#This Row],[Is Data Valid]]=TRUE,_xlfn.NORM.S.DIST(Table1[[#This Row],[Birthweight Z-Score (BW+10%)]],TRUE)*100,"")</f>
        <v/>
      </c>
    </row>
    <row r="1967" spans="1:12" x14ac:dyDescent="0.35">
      <c r="A1967" s="3"/>
      <c r="B1967" s="2"/>
      <c r="C1967" s="2"/>
      <c r="D1967" s="2" t="b">
        <f>IF(AND(NOT(ISBLANK(Table1[[#This Row],[Fetal Sex (Male, Female or Unknown)]])),ISNUMBER(Table1[[#This Row],[Birthweight (grams)]]),ISNUMBER(Table1[[#This Row],[Gestation (days)]])),TRUE,FALSE)</f>
        <v>0</v>
      </c>
      <c r="E1967" s="2" t="str">
        <f>IF(Table1[[#This Row],[Is Data Valid]]=TRUE,IF(Table1[[#This Row],[Fetal Sex (Male, Female or Unknown)]]="Male",Backend!$C$6,IF(Table1[[#This Row],[Fetal Sex (Male, Female or Unknown)]]="Female",Backend!$C$7,IF(Table1[[#This Row],[Fetal Sex (Male, Female or Unknown)]]="Unknown",Backend!$C$8,"Error"))),"")</f>
        <v/>
      </c>
      <c r="F1967" s="8" t="str">
        <f>IF(Table1[[#This Row],[Is Data Valid]]=TRUE,EXP(0.578+0.332*((Table1[[#This Row],[Gestation (days)]]+0.5)/7)-0.00354*((Table1[[#This Row],[Gestation (days)]]+0.5)/7)^2)*Table1[[#This Row],[BW40_3705]],"")</f>
        <v/>
      </c>
      <c r="G1967" s="2" t="str">
        <f>IF(Table1[[#This Row],[Is Data Valid]]=TRUE,((Table1[[#This Row],[Birthweight (grams)]]/Table1[[#This Row],[BW_GA]])-1)/(Backend!$B$4/100*Table1[[#This Row],[BW40_3705]]),"")</f>
        <v/>
      </c>
      <c r="H1967" s="7" t="str">
        <f>IF(Table1[[#This Row],[Is Data Valid]]=TRUE,((Table1[[#This Row],[Birthweight (grams)]]*0.9/Table1[[#This Row],[BW_GA]])-1)/(Backend!$B$4/100*Table1[[#This Row],[BW40_3705]]),"")</f>
        <v/>
      </c>
      <c r="I1967" s="7" t="str">
        <f>IF(Table1[[#This Row],[Is Data Valid]]=TRUE,((Table1[[#This Row],[Birthweight (grams)]]*1.1/Table1[[#This Row],[BW_GA]])-1)/(Backend!$B$4/100*Table1[[#This Row],[BW40_3705]]),"")</f>
        <v/>
      </c>
      <c r="J1967" s="7" t="str">
        <f>IF(Table1[[#This Row],[Is Data Valid]]=TRUE,_xlfn.NORM.S.DIST(Table1[[#This Row],[Birthweight Z-Score]],TRUE)*100,"")</f>
        <v/>
      </c>
      <c r="K1967" s="7" t="str">
        <f>IF(Table1[[#This Row],[Is Data Valid]]=TRUE,_xlfn.NORM.S.DIST(Table1[[#This Row],[Birthweight Z-Score (BW-10%)]],TRUE)*100,"")</f>
        <v/>
      </c>
      <c r="L1967" s="7" t="str">
        <f>IF(Table1[[#This Row],[Is Data Valid]]=TRUE,_xlfn.NORM.S.DIST(Table1[[#This Row],[Birthweight Z-Score (BW+10%)]],TRUE)*100,"")</f>
        <v/>
      </c>
    </row>
    <row r="1968" spans="1:12" x14ac:dyDescent="0.35">
      <c r="A1968" s="3"/>
      <c r="B1968" s="2"/>
      <c r="C1968" s="2"/>
      <c r="D1968" s="2" t="b">
        <f>IF(AND(NOT(ISBLANK(Table1[[#This Row],[Fetal Sex (Male, Female or Unknown)]])),ISNUMBER(Table1[[#This Row],[Birthweight (grams)]]),ISNUMBER(Table1[[#This Row],[Gestation (days)]])),TRUE,FALSE)</f>
        <v>0</v>
      </c>
      <c r="E1968" s="2" t="str">
        <f>IF(Table1[[#This Row],[Is Data Valid]]=TRUE,IF(Table1[[#This Row],[Fetal Sex (Male, Female or Unknown)]]="Male",Backend!$C$6,IF(Table1[[#This Row],[Fetal Sex (Male, Female or Unknown)]]="Female",Backend!$C$7,IF(Table1[[#This Row],[Fetal Sex (Male, Female or Unknown)]]="Unknown",Backend!$C$8,"Error"))),"")</f>
        <v/>
      </c>
      <c r="F1968" s="8" t="str">
        <f>IF(Table1[[#This Row],[Is Data Valid]]=TRUE,EXP(0.578+0.332*((Table1[[#This Row],[Gestation (days)]]+0.5)/7)-0.00354*((Table1[[#This Row],[Gestation (days)]]+0.5)/7)^2)*Table1[[#This Row],[BW40_3705]],"")</f>
        <v/>
      </c>
      <c r="G1968" s="2" t="str">
        <f>IF(Table1[[#This Row],[Is Data Valid]]=TRUE,((Table1[[#This Row],[Birthweight (grams)]]/Table1[[#This Row],[BW_GA]])-1)/(Backend!$B$4/100*Table1[[#This Row],[BW40_3705]]),"")</f>
        <v/>
      </c>
      <c r="H1968" s="7" t="str">
        <f>IF(Table1[[#This Row],[Is Data Valid]]=TRUE,((Table1[[#This Row],[Birthweight (grams)]]*0.9/Table1[[#This Row],[BW_GA]])-1)/(Backend!$B$4/100*Table1[[#This Row],[BW40_3705]]),"")</f>
        <v/>
      </c>
      <c r="I1968" s="7" t="str">
        <f>IF(Table1[[#This Row],[Is Data Valid]]=TRUE,((Table1[[#This Row],[Birthweight (grams)]]*1.1/Table1[[#This Row],[BW_GA]])-1)/(Backend!$B$4/100*Table1[[#This Row],[BW40_3705]]),"")</f>
        <v/>
      </c>
      <c r="J1968" s="7" t="str">
        <f>IF(Table1[[#This Row],[Is Data Valid]]=TRUE,_xlfn.NORM.S.DIST(Table1[[#This Row],[Birthweight Z-Score]],TRUE)*100,"")</f>
        <v/>
      </c>
      <c r="K1968" s="7" t="str">
        <f>IF(Table1[[#This Row],[Is Data Valid]]=TRUE,_xlfn.NORM.S.DIST(Table1[[#This Row],[Birthweight Z-Score (BW-10%)]],TRUE)*100,"")</f>
        <v/>
      </c>
      <c r="L1968" s="7" t="str">
        <f>IF(Table1[[#This Row],[Is Data Valid]]=TRUE,_xlfn.NORM.S.DIST(Table1[[#This Row],[Birthweight Z-Score (BW+10%)]],TRUE)*100,"")</f>
        <v/>
      </c>
    </row>
    <row r="1969" spans="1:12" x14ac:dyDescent="0.35">
      <c r="A1969" s="3"/>
      <c r="B1969" s="2"/>
      <c r="C1969" s="2"/>
      <c r="D1969" s="2" t="b">
        <f>IF(AND(NOT(ISBLANK(Table1[[#This Row],[Fetal Sex (Male, Female or Unknown)]])),ISNUMBER(Table1[[#This Row],[Birthweight (grams)]]),ISNUMBER(Table1[[#This Row],[Gestation (days)]])),TRUE,FALSE)</f>
        <v>0</v>
      </c>
      <c r="E1969" s="2" t="str">
        <f>IF(Table1[[#This Row],[Is Data Valid]]=TRUE,IF(Table1[[#This Row],[Fetal Sex (Male, Female or Unknown)]]="Male",Backend!$C$6,IF(Table1[[#This Row],[Fetal Sex (Male, Female or Unknown)]]="Female",Backend!$C$7,IF(Table1[[#This Row],[Fetal Sex (Male, Female or Unknown)]]="Unknown",Backend!$C$8,"Error"))),"")</f>
        <v/>
      </c>
      <c r="F1969" s="8" t="str">
        <f>IF(Table1[[#This Row],[Is Data Valid]]=TRUE,EXP(0.578+0.332*((Table1[[#This Row],[Gestation (days)]]+0.5)/7)-0.00354*((Table1[[#This Row],[Gestation (days)]]+0.5)/7)^2)*Table1[[#This Row],[BW40_3705]],"")</f>
        <v/>
      </c>
      <c r="G1969" s="2" t="str">
        <f>IF(Table1[[#This Row],[Is Data Valid]]=TRUE,((Table1[[#This Row],[Birthweight (grams)]]/Table1[[#This Row],[BW_GA]])-1)/(Backend!$B$4/100*Table1[[#This Row],[BW40_3705]]),"")</f>
        <v/>
      </c>
      <c r="H1969" s="7" t="str">
        <f>IF(Table1[[#This Row],[Is Data Valid]]=TRUE,((Table1[[#This Row],[Birthweight (grams)]]*0.9/Table1[[#This Row],[BW_GA]])-1)/(Backend!$B$4/100*Table1[[#This Row],[BW40_3705]]),"")</f>
        <v/>
      </c>
      <c r="I1969" s="7" t="str">
        <f>IF(Table1[[#This Row],[Is Data Valid]]=TRUE,((Table1[[#This Row],[Birthweight (grams)]]*1.1/Table1[[#This Row],[BW_GA]])-1)/(Backend!$B$4/100*Table1[[#This Row],[BW40_3705]]),"")</f>
        <v/>
      </c>
      <c r="J1969" s="7" t="str">
        <f>IF(Table1[[#This Row],[Is Data Valid]]=TRUE,_xlfn.NORM.S.DIST(Table1[[#This Row],[Birthweight Z-Score]],TRUE)*100,"")</f>
        <v/>
      </c>
      <c r="K1969" s="7" t="str">
        <f>IF(Table1[[#This Row],[Is Data Valid]]=TRUE,_xlfn.NORM.S.DIST(Table1[[#This Row],[Birthweight Z-Score (BW-10%)]],TRUE)*100,"")</f>
        <v/>
      </c>
      <c r="L1969" s="7" t="str">
        <f>IF(Table1[[#This Row],[Is Data Valid]]=TRUE,_xlfn.NORM.S.DIST(Table1[[#This Row],[Birthweight Z-Score (BW+10%)]],TRUE)*100,"")</f>
        <v/>
      </c>
    </row>
    <row r="1970" spans="1:12" x14ac:dyDescent="0.35">
      <c r="A1970" s="3"/>
      <c r="B1970" s="2"/>
      <c r="C1970" s="2"/>
      <c r="D1970" s="2" t="b">
        <f>IF(AND(NOT(ISBLANK(Table1[[#This Row],[Fetal Sex (Male, Female or Unknown)]])),ISNUMBER(Table1[[#This Row],[Birthweight (grams)]]),ISNUMBER(Table1[[#This Row],[Gestation (days)]])),TRUE,FALSE)</f>
        <v>0</v>
      </c>
      <c r="E1970" s="2" t="str">
        <f>IF(Table1[[#This Row],[Is Data Valid]]=TRUE,IF(Table1[[#This Row],[Fetal Sex (Male, Female or Unknown)]]="Male",Backend!$C$6,IF(Table1[[#This Row],[Fetal Sex (Male, Female or Unknown)]]="Female",Backend!$C$7,IF(Table1[[#This Row],[Fetal Sex (Male, Female or Unknown)]]="Unknown",Backend!$C$8,"Error"))),"")</f>
        <v/>
      </c>
      <c r="F1970" s="8" t="str">
        <f>IF(Table1[[#This Row],[Is Data Valid]]=TRUE,EXP(0.578+0.332*((Table1[[#This Row],[Gestation (days)]]+0.5)/7)-0.00354*((Table1[[#This Row],[Gestation (days)]]+0.5)/7)^2)*Table1[[#This Row],[BW40_3705]],"")</f>
        <v/>
      </c>
      <c r="G1970" s="2" t="str">
        <f>IF(Table1[[#This Row],[Is Data Valid]]=TRUE,((Table1[[#This Row],[Birthweight (grams)]]/Table1[[#This Row],[BW_GA]])-1)/(Backend!$B$4/100*Table1[[#This Row],[BW40_3705]]),"")</f>
        <v/>
      </c>
      <c r="H1970" s="7" t="str">
        <f>IF(Table1[[#This Row],[Is Data Valid]]=TRUE,((Table1[[#This Row],[Birthweight (grams)]]*0.9/Table1[[#This Row],[BW_GA]])-1)/(Backend!$B$4/100*Table1[[#This Row],[BW40_3705]]),"")</f>
        <v/>
      </c>
      <c r="I1970" s="7" t="str">
        <f>IF(Table1[[#This Row],[Is Data Valid]]=TRUE,((Table1[[#This Row],[Birthweight (grams)]]*1.1/Table1[[#This Row],[BW_GA]])-1)/(Backend!$B$4/100*Table1[[#This Row],[BW40_3705]]),"")</f>
        <v/>
      </c>
      <c r="J1970" s="7" t="str">
        <f>IF(Table1[[#This Row],[Is Data Valid]]=TRUE,_xlfn.NORM.S.DIST(Table1[[#This Row],[Birthweight Z-Score]],TRUE)*100,"")</f>
        <v/>
      </c>
      <c r="K1970" s="7" t="str">
        <f>IF(Table1[[#This Row],[Is Data Valid]]=TRUE,_xlfn.NORM.S.DIST(Table1[[#This Row],[Birthweight Z-Score (BW-10%)]],TRUE)*100,"")</f>
        <v/>
      </c>
      <c r="L1970" s="7" t="str">
        <f>IF(Table1[[#This Row],[Is Data Valid]]=TRUE,_xlfn.NORM.S.DIST(Table1[[#This Row],[Birthweight Z-Score (BW+10%)]],TRUE)*100,"")</f>
        <v/>
      </c>
    </row>
    <row r="1971" spans="1:12" x14ac:dyDescent="0.35">
      <c r="A1971" s="3"/>
      <c r="B1971" s="2"/>
      <c r="C1971" s="2"/>
      <c r="D1971" s="2" t="b">
        <f>IF(AND(NOT(ISBLANK(Table1[[#This Row],[Fetal Sex (Male, Female or Unknown)]])),ISNUMBER(Table1[[#This Row],[Birthweight (grams)]]),ISNUMBER(Table1[[#This Row],[Gestation (days)]])),TRUE,FALSE)</f>
        <v>0</v>
      </c>
      <c r="E1971" s="2" t="str">
        <f>IF(Table1[[#This Row],[Is Data Valid]]=TRUE,IF(Table1[[#This Row],[Fetal Sex (Male, Female or Unknown)]]="Male",Backend!$C$6,IF(Table1[[#This Row],[Fetal Sex (Male, Female or Unknown)]]="Female",Backend!$C$7,IF(Table1[[#This Row],[Fetal Sex (Male, Female or Unknown)]]="Unknown",Backend!$C$8,"Error"))),"")</f>
        <v/>
      </c>
      <c r="F1971" s="8" t="str">
        <f>IF(Table1[[#This Row],[Is Data Valid]]=TRUE,EXP(0.578+0.332*((Table1[[#This Row],[Gestation (days)]]+0.5)/7)-0.00354*((Table1[[#This Row],[Gestation (days)]]+0.5)/7)^2)*Table1[[#This Row],[BW40_3705]],"")</f>
        <v/>
      </c>
      <c r="G1971" s="2" t="str">
        <f>IF(Table1[[#This Row],[Is Data Valid]]=TRUE,((Table1[[#This Row],[Birthweight (grams)]]/Table1[[#This Row],[BW_GA]])-1)/(Backend!$B$4/100*Table1[[#This Row],[BW40_3705]]),"")</f>
        <v/>
      </c>
      <c r="H1971" s="7" t="str">
        <f>IF(Table1[[#This Row],[Is Data Valid]]=TRUE,((Table1[[#This Row],[Birthweight (grams)]]*0.9/Table1[[#This Row],[BW_GA]])-1)/(Backend!$B$4/100*Table1[[#This Row],[BW40_3705]]),"")</f>
        <v/>
      </c>
      <c r="I1971" s="7" t="str">
        <f>IF(Table1[[#This Row],[Is Data Valid]]=TRUE,((Table1[[#This Row],[Birthweight (grams)]]*1.1/Table1[[#This Row],[BW_GA]])-1)/(Backend!$B$4/100*Table1[[#This Row],[BW40_3705]]),"")</f>
        <v/>
      </c>
      <c r="J1971" s="7" t="str">
        <f>IF(Table1[[#This Row],[Is Data Valid]]=TRUE,_xlfn.NORM.S.DIST(Table1[[#This Row],[Birthweight Z-Score]],TRUE)*100,"")</f>
        <v/>
      </c>
      <c r="K1971" s="7" t="str">
        <f>IF(Table1[[#This Row],[Is Data Valid]]=TRUE,_xlfn.NORM.S.DIST(Table1[[#This Row],[Birthweight Z-Score (BW-10%)]],TRUE)*100,"")</f>
        <v/>
      </c>
      <c r="L1971" s="7" t="str">
        <f>IF(Table1[[#This Row],[Is Data Valid]]=TRUE,_xlfn.NORM.S.DIST(Table1[[#This Row],[Birthweight Z-Score (BW+10%)]],TRUE)*100,"")</f>
        <v/>
      </c>
    </row>
    <row r="1972" spans="1:12" x14ac:dyDescent="0.35">
      <c r="A1972" s="3"/>
      <c r="B1972" s="2"/>
      <c r="C1972" s="2"/>
      <c r="D1972" s="2" t="b">
        <f>IF(AND(NOT(ISBLANK(Table1[[#This Row],[Fetal Sex (Male, Female or Unknown)]])),ISNUMBER(Table1[[#This Row],[Birthweight (grams)]]),ISNUMBER(Table1[[#This Row],[Gestation (days)]])),TRUE,FALSE)</f>
        <v>0</v>
      </c>
      <c r="E1972" s="2" t="str">
        <f>IF(Table1[[#This Row],[Is Data Valid]]=TRUE,IF(Table1[[#This Row],[Fetal Sex (Male, Female or Unknown)]]="Male",Backend!$C$6,IF(Table1[[#This Row],[Fetal Sex (Male, Female or Unknown)]]="Female",Backend!$C$7,IF(Table1[[#This Row],[Fetal Sex (Male, Female or Unknown)]]="Unknown",Backend!$C$8,"Error"))),"")</f>
        <v/>
      </c>
      <c r="F1972" s="8" t="str">
        <f>IF(Table1[[#This Row],[Is Data Valid]]=TRUE,EXP(0.578+0.332*((Table1[[#This Row],[Gestation (days)]]+0.5)/7)-0.00354*((Table1[[#This Row],[Gestation (days)]]+0.5)/7)^2)*Table1[[#This Row],[BW40_3705]],"")</f>
        <v/>
      </c>
      <c r="G1972" s="2" t="str">
        <f>IF(Table1[[#This Row],[Is Data Valid]]=TRUE,((Table1[[#This Row],[Birthweight (grams)]]/Table1[[#This Row],[BW_GA]])-1)/(Backend!$B$4/100*Table1[[#This Row],[BW40_3705]]),"")</f>
        <v/>
      </c>
      <c r="H1972" s="7" t="str">
        <f>IF(Table1[[#This Row],[Is Data Valid]]=TRUE,((Table1[[#This Row],[Birthweight (grams)]]*0.9/Table1[[#This Row],[BW_GA]])-1)/(Backend!$B$4/100*Table1[[#This Row],[BW40_3705]]),"")</f>
        <v/>
      </c>
      <c r="I1972" s="7" t="str">
        <f>IF(Table1[[#This Row],[Is Data Valid]]=TRUE,((Table1[[#This Row],[Birthweight (grams)]]*1.1/Table1[[#This Row],[BW_GA]])-1)/(Backend!$B$4/100*Table1[[#This Row],[BW40_3705]]),"")</f>
        <v/>
      </c>
      <c r="J1972" s="7" t="str">
        <f>IF(Table1[[#This Row],[Is Data Valid]]=TRUE,_xlfn.NORM.S.DIST(Table1[[#This Row],[Birthweight Z-Score]],TRUE)*100,"")</f>
        <v/>
      </c>
      <c r="K1972" s="7" t="str">
        <f>IF(Table1[[#This Row],[Is Data Valid]]=TRUE,_xlfn.NORM.S.DIST(Table1[[#This Row],[Birthweight Z-Score (BW-10%)]],TRUE)*100,"")</f>
        <v/>
      </c>
      <c r="L1972" s="7" t="str">
        <f>IF(Table1[[#This Row],[Is Data Valid]]=TRUE,_xlfn.NORM.S.DIST(Table1[[#This Row],[Birthweight Z-Score (BW+10%)]],TRUE)*100,"")</f>
        <v/>
      </c>
    </row>
    <row r="1973" spans="1:12" x14ac:dyDescent="0.35">
      <c r="A1973" s="3"/>
      <c r="B1973" s="2"/>
      <c r="C1973" s="2"/>
      <c r="D1973" s="2" t="b">
        <f>IF(AND(NOT(ISBLANK(Table1[[#This Row],[Fetal Sex (Male, Female or Unknown)]])),ISNUMBER(Table1[[#This Row],[Birthweight (grams)]]),ISNUMBER(Table1[[#This Row],[Gestation (days)]])),TRUE,FALSE)</f>
        <v>0</v>
      </c>
      <c r="E1973" s="2" t="str">
        <f>IF(Table1[[#This Row],[Is Data Valid]]=TRUE,IF(Table1[[#This Row],[Fetal Sex (Male, Female or Unknown)]]="Male",Backend!$C$6,IF(Table1[[#This Row],[Fetal Sex (Male, Female or Unknown)]]="Female",Backend!$C$7,IF(Table1[[#This Row],[Fetal Sex (Male, Female or Unknown)]]="Unknown",Backend!$C$8,"Error"))),"")</f>
        <v/>
      </c>
      <c r="F1973" s="8" t="str">
        <f>IF(Table1[[#This Row],[Is Data Valid]]=TRUE,EXP(0.578+0.332*((Table1[[#This Row],[Gestation (days)]]+0.5)/7)-0.00354*((Table1[[#This Row],[Gestation (days)]]+0.5)/7)^2)*Table1[[#This Row],[BW40_3705]],"")</f>
        <v/>
      </c>
      <c r="G1973" s="2" t="str">
        <f>IF(Table1[[#This Row],[Is Data Valid]]=TRUE,((Table1[[#This Row],[Birthweight (grams)]]/Table1[[#This Row],[BW_GA]])-1)/(Backend!$B$4/100*Table1[[#This Row],[BW40_3705]]),"")</f>
        <v/>
      </c>
      <c r="H1973" s="7" t="str">
        <f>IF(Table1[[#This Row],[Is Data Valid]]=TRUE,((Table1[[#This Row],[Birthweight (grams)]]*0.9/Table1[[#This Row],[BW_GA]])-1)/(Backend!$B$4/100*Table1[[#This Row],[BW40_3705]]),"")</f>
        <v/>
      </c>
      <c r="I1973" s="7" t="str">
        <f>IF(Table1[[#This Row],[Is Data Valid]]=TRUE,((Table1[[#This Row],[Birthweight (grams)]]*1.1/Table1[[#This Row],[BW_GA]])-1)/(Backend!$B$4/100*Table1[[#This Row],[BW40_3705]]),"")</f>
        <v/>
      </c>
      <c r="J1973" s="7" t="str">
        <f>IF(Table1[[#This Row],[Is Data Valid]]=TRUE,_xlfn.NORM.S.DIST(Table1[[#This Row],[Birthweight Z-Score]],TRUE)*100,"")</f>
        <v/>
      </c>
      <c r="K1973" s="7" t="str">
        <f>IF(Table1[[#This Row],[Is Data Valid]]=TRUE,_xlfn.NORM.S.DIST(Table1[[#This Row],[Birthweight Z-Score (BW-10%)]],TRUE)*100,"")</f>
        <v/>
      </c>
      <c r="L1973" s="7" t="str">
        <f>IF(Table1[[#This Row],[Is Data Valid]]=TRUE,_xlfn.NORM.S.DIST(Table1[[#This Row],[Birthweight Z-Score (BW+10%)]],TRUE)*100,"")</f>
        <v/>
      </c>
    </row>
    <row r="1974" spans="1:12" x14ac:dyDescent="0.35">
      <c r="A1974" s="3"/>
      <c r="B1974" s="2"/>
      <c r="C1974" s="2"/>
      <c r="D1974" s="2" t="b">
        <f>IF(AND(NOT(ISBLANK(Table1[[#This Row],[Fetal Sex (Male, Female or Unknown)]])),ISNUMBER(Table1[[#This Row],[Birthweight (grams)]]),ISNUMBER(Table1[[#This Row],[Gestation (days)]])),TRUE,FALSE)</f>
        <v>0</v>
      </c>
      <c r="E1974" s="2" t="str">
        <f>IF(Table1[[#This Row],[Is Data Valid]]=TRUE,IF(Table1[[#This Row],[Fetal Sex (Male, Female or Unknown)]]="Male",Backend!$C$6,IF(Table1[[#This Row],[Fetal Sex (Male, Female or Unknown)]]="Female",Backend!$C$7,IF(Table1[[#This Row],[Fetal Sex (Male, Female or Unknown)]]="Unknown",Backend!$C$8,"Error"))),"")</f>
        <v/>
      </c>
      <c r="F1974" s="8" t="str">
        <f>IF(Table1[[#This Row],[Is Data Valid]]=TRUE,EXP(0.578+0.332*((Table1[[#This Row],[Gestation (days)]]+0.5)/7)-0.00354*((Table1[[#This Row],[Gestation (days)]]+0.5)/7)^2)*Table1[[#This Row],[BW40_3705]],"")</f>
        <v/>
      </c>
      <c r="G1974" s="2" t="str">
        <f>IF(Table1[[#This Row],[Is Data Valid]]=TRUE,((Table1[[#This Row],[Birthweight (grams)]]/Table1[[#This Row],[BW_GA]])-1)/(Backend!$B$4/100*Table1[[#This Row],[BW40_3705]]),"")</f>
        <v/>
      </c>
      <c r="H1974" s="7" t="str">
        <f>IF(Table1[[#This Row],[Is Data Valid]]=TRUE,((Table1[[#This Row],[Birthweight (grams)]]*0.9/Table1[[#This Row],[BW_GA]])-1)/(Backend!$B$4/100*Table1[[#This Row],[BW40_3705]]),"")</f>
        <v/>
      </c>
      <c r="I1974" s="7" t="str">
        <f>IF(Table1[[#This Row],[Is Data Valid]]=TRUE,((Table1[[#This Row],[Birthweight (grams)]]*1.1/Table1[[#This Row],[BW_GA]])-1)/(Backend!$B$4/100*Table1[[#This Row],[BW40_3705]]),"")</f>
        <v/>
      </c>
      <c r="J1974" s="7" t="str">
        <f>IF(Table1[[#This Row],[Is Data Valid]]=TRUE,_xlfn.NORM.S.DIST(Table1[[#This Row],[Birthweight Z-Score]],TRUE)*100,"")</f>
        <v/>
      </c>
      <c r="K1974" s="7" t="str">
        <f>IF(Table1[[#This Row],[Is Data Valid]]=TRUE,_xlfn.NORM.S.DIST(Table1[[#This Row],[Birthweight Z-Score (BW-10%)]],TRUE)*100,"")</f>
        <v/>
      </c>
      <c r="L1974" s="7" t="str">
        <f>IF(Table1[[#This Row],[Is Data Valid]]=TRUE,_xlfn.NORM.S.DIST(Table1[[#This Row],[Birthweight Z-Score (BW+10%)]],TRUE)*100,"")</f>
        <v/>
      </c>
    </row>
    <row r="1975" spans="1:12" x14ac:dyDescent="0.35">
      <c r="A1975" s="3"/>
      <c r="B1975" s="2"/>
      <c r="C1975" s="2"/>
      <c r="D1975" s="2" t="b">
        <f>IF(AND(NOT(ISBLANK(Table1[[#This Row],[Fetal Sex (Male, Female or Unknown)]])),ISNUMBER(Table1[[#This Row],[Birthweight (grams)]]),ISNUMBER(Table1[[#This Row],[Gestation (days)]])),TRUE,FALSE)</f>
        <v>0</v>
      </c>
      <c r="E1975" s="2" t="str">
        <f>IF(Table1[[#This Row],[Is Data Valid]]=TRUE,IF(Table1[[#This Row],[Fetal Sex (Male, Female or Unknown)]]="Male",Backend!$C$6,IF(Table1[[#This Row],[Fetal Sex (Male, Female or Unknown)]]="Female",Backend!$C$7,IF(Table1[[#This Row],[Fetal Sex (Male, Female or Unknown)]]="Unknown",Backend!$C$8,"Error"))),"")</f>
        <v/>
      </c>
      <c r="F1975" s="8" t="str">
        <f>IF(Table1[[#This Row],[Is Data Valid]]=TRUE,EXP(0.578+0.332*((Table1[[#This Row],[Gestation (days)]]+0.5)/7)-0.00354*((Table1[[#This Row],[Gestation (days)]]+0.5)/7)^2)*Table1[[#This Row],[BW40_3705]],"")</f>
        <v/>
      </c>
      <c r="G1975" s="2" t="str">
        <f>IF(Table1[[#This Row],[Is Data Valid]]=TRUE,((Table1[[#This Row],[Birthweight (grams)]]/Table1[[#This Row],[BW_GA]])-1)/(Backend!$B$4/100*Table1[[#This Row],[BW40_3705]]),"")</f>
        <v/>
      </c>
      <c r="H1975" s="7" t="str">
        <f>IF(Table1[[#This Row],[Is Data Valid]]=TRUE,((Table1[[#This Row],[Birthweight (grams)]]*0.9/Table1[[#This Row],[BW_GA]])-1)/(Backend!$B$4/100*Table1[[#This Row],[BW40_3705]]),"")</f>
        <v/>
      </c>
      <c r="I1975" s="7" t="str">
        <f>IF(Table1[[#This Row],[Is Data Valid]]=TRUE,((Table1[[#This Row],[Birthweight (grams)]]*1.1/Table1[[#This Row],[BW_GA]])-1)/(Backend!$B$4/100*Table1[[#This Row],[BW40_3705]]),"")</f>
        <v/>
      </c>
      <c r="J1975" s="7" t="str">
        <f>IF(Table1[[#This Row],[Is Data Valid]]=TRUE,_xlfn.NORM.S.DIST(Table1[[#This Row],[Birthweight Z-Score]],TRUE)*100,"")</f>
        <v/>
      </c>
      <c r="K1975" s="7" t="str">
        <f>IF(Table1[[#This Row],[Is Data Valid]]=TRUE,_xlfn.NORM.S.DIST(Table1[[#This Row],[Birthweight Z-Score (BW-10%)]],TRUE)*100,"")</f>
        <v/>
      </c>
      <c r="L1975" s="7" t="str">
        <f>IF(Table1[[#This Row],[Is Data Valid]]=TRUE,_xlfn.NORM.S.DIST(Table1[[#This Row],[Birthweight Z-Score (BW+10%)]],TRUE)*100,"")</f>
        <v/>
      </c>
    </row>
    <row r="1976" spans="1:12" x14ac:dyDescent="0.35">
      <c r="A1976" s="3"/>
      <c r="B1976" s="2"/>
      <c r="C1976" s="2"/>
      <c r="D1976" s="2" t="b">
        <f>IF(AND(NOT(ISBLANK(Table1[[#This Row],[Fetal Sex (Male, Female or Unknown)]])),ISNUMBER(Table1[[#This Row],[Birthweight (grams)]]),ISNUMBER(Table1[[#This Row],[Gestation (days)]])),TRUE,FALSE)</f>
        <v>0</v>
      </c>
      <c r="E1976" s="2" t="str">
        <f>IF(Table1[[#This Row],[Is Data Valid]]=TRUE,IF(Table1[[#This Row],[Fetal Sex (Male, Female or Unknown)]]="Male",Backend!$C$6,IF(Table1[[#This Row],[Fetal Sex (Male, Female or Unknown)]]="Female",Backend!$C$7,IF(Table1[[#This Row],[Fetal Sex (Male, Female or Unknown)]]="Unknown",Backend!$C$8,"Error"))),"")</f>
        <v/>
      </c>
      <c r="F1976" s="8" t="str">
        <f>IF(Table1[[#This Row],[Is Data Valid]]=TRUE,EXP(0.578+0.332*((Table1[[#This Row],[Gestation (days)]]+0.5)/7)-0.00354*((Table1[[#This Row],[Gestation (days)]]+0.5)/7)^2)*Table1[[#This Row],[BW40_3705]],"")</f>
        <v/>
      </c>
      <c r="G1976" s="2" t="str">
        <f>IF(Table1[[#This Row],[Is Data Valid]]=TRUE,((Table1[[#This Row],[Birthweight (grams)]]/Table1[[#This Row],[BW_GA]])-1)/(Backend!$B$4/100*Table1[[#This Row],[BW40_3705]]),"")</f>
        <v/>
      </c>
      <c r="H1976" s="7" t="str">
        <f>IF(Table1[[#This Row],[Is Data Valid]]=TRUE,((Table1[[#This Row],[Birthweight (grams)]]*0.9/Table1[[#This Row],[BW_GA]])-1)/(Backend!$B$4/100*Table1[[#This Row],[BW40_3705]]),"")</f>
        <v/>
      </c>
      <c r="I1976" s="7" t="str">
        <f>IF(Table1[[#This Row],[Is Data Valid]]=TRUE,((Table1[[#This Row],[Birthweight (grams)]]*1.1/Table1[[#This Row],[BW_GA]])-1)/(Backend!$B$4/100*Table1[[#This Row],[BW40_3705]]),"")</f>
        <v/>
      </c>
      <c r="J1976" s="7" t="str">
        <f>IF(Table1[[#This Row],[Is Data Valid]]=TRUE,_xlfn.NORM.S.DIST(Table1[[#This Row],[Birthweight Z-Score]],TRUE)*100,"")</f>
        <v/>
      </c>
      <c r="K1976" s="7" t="str">
        <f>IF(Table1[[#This Row],[Is Data Valid]]=TRUE,_xlfn.NORM.S.DIST(Table1[[#This Row],[Birthweight Z-Score (BW-10%)]],TRUE)*100,"")</f>
        <v/>
      </c>
      <c r="L1976" s="7" t="str">
        <f>IF(Table1[[#This Row],[Is Data Valid]]=TRUE,_xlfn.NORM.S.DIST(Table1[[#This Row],[Birthweight Z-Score (BW+10%)]],TRUE)*100,"")</f>
        <v/>
      </c>
    </row>
    <row r="1977" spans="1:12" x14ac:dyDescent="0.35">
      <c r="A1977" s="3"/>
      <c r="B1977" s="2"/>
      <c r="C1977" s="2"/>
      <c r="D1977" s="2" t="b">
        <f>IF(AND(NOT(ISBLANK(Table1[[#This Row],[Fetal Sex (Male, Female or Unknown)]])),ISNUMBER(Table1[[#This Row],[Birthweight (grams)]]),ISNUMBER(Table1[[#This Row],[Gestation (days)]])),TRUE,FALSE)</f>
        <v>0</v>
      </c>
      <c r="E1977" s="2" t="str">
        <f>IF(Table1[[#This Row],[Is Data Valid]]=TRUE,IF(Table1[[#This Row],[Fetal Sex (Male, Female or Unknown)]]="Male",Backend!$C$6,IF(Table1[[#This Row],[Fetal Sex (Male, Female or Unknown)]]="Female",Backend!$C$7,IF(Table1[[#This Row],[Fetal Sex (Male, Female or Unknown)]]="Unknown",Backend!$C$8,"Error"))),"")</f>
        <v/>
      </c>
      <c r="F1977" s="8" t="str">
        <f>IF(Table1[[#This Row],[Is Data Valid]]=TRUE,EXP(0.578+0.332*((Table1[[#This Row],[Gestation (days)]]+0.5)/7)-0.00354*((Table1[[#This Row],[Gestation (days)]]+0.5)/7)^2)*Table1[[#This Row],[BW40_3705]],"")</f>
        <v/>
      </c>
      <c r="G1977" s="2" t="str">
        <f>IF(Table1[[#This Row],[Is Data Valid]]=TRUE,((Table1[[#This Row],[Birthweight (grams)]]/Table1[[#This Row],[BW_GA]])-1)/(Backend!$B$4/100*Table1[[#This Row],[BW40_3705]]),"")</f>
        <v/>
      </c>
      <c r="H1977" s="7" t="str">
        <f>IF(Table1[[#This Row],[Is Data Valid]]=TRUE,((Table1[[#This Row],[Birthweight (grams)]]*0.9/Table1[[#This Row],[BW_GA]])-1)/(Backend!$B$4/100*Table1[[#This Row],[BW40_3705]]),"")</f>
        <v/>
      </c>
      <c r="I1977" s="7" t="str">
        <f>IF(Table1[[#This Row],[Is Data Valid]]=TRUE,((Table1[[#This Row],[Birthweight (grams)]]*1.1/Table1[[#This Row],[BW_GA]])-1)/(Backend!$B$4/100*Table1[[#This Row],[BW40_3705]]),"")</f>
        <v/>
      </c>
      <c r="J1977" s="7" t="str">
        <f>IF(Table1[[#This Row],[Is Data Valid]]=TRUE,_xlfn.NORM.S.DIST(Table1[[#This Row],[Birthweight Z-Score]],TRUE)*100,"")</f>
        <v/>
      </c>
      <c r="K1977" s="7" t="str">
        <f>IF(Table1[[#This Row],[Is Data Valid]]=TRUE,_xlfn.NORM.S.DIST(Table1[[#This Row],[Birthweight Z-Score (BW-10%)]],TRUE)*100,"")</f>
        <v/>
      </c>
      <c r="L1977" s="7" t="str">
        <f>IF(Table1[[#This Row],[Is Data Valid]]=TRUE,_xlfn.NORM.S.DIST(Table1[[#This Row],[Birthweight Z-Score (BW+10%)]],TRUE)*100,"")</f>
        <v/>
      </c>
    </row>
    <row r="1978" spans="1:12" x14ac:dyDescent="0.35">
      <c r="A1978" s="3"/>
      <c r="B1978" s="2"/>
      <c r="C1978" s="2"/>
      <c r="D1978" s="2" t="b">
        <f>IF(AND(NOT(ISBLANK(Table1[[#This Row],[Fetal Sex (Male, Female or Unknown)]])),ISNUMBER(Table1[[#This Row],[Birthweight (grams)]]),ISNUMBER(Table1[[#This Row],[Gestation (days)]])),TRUE,FALSE)</f>
        <v>0</v>
      </c>
      <c r="E1978" s="2" t="str">
        <f>IF(Table1[[#This Row],[Is Data Valid]]=TRUE,IF(Table1[[#This Row],[Fetal Sex (Male, Female or Unknown)]]="Male",Backend!$C$6,IF(Table1[[#This Row],[Fetal Sex (Male, Female or Unknown)]]="Female",Backend!$C$7,IF(Table1[[#This Row],[Fetal Sex (Male, Female or Unknown)]]="Unknown",Backend!$C$8,"Error"))),"")</f>
        <v/>
      </c>
      <c r="F1978" s="8" t="str">
        <f>IF(Table1[[#This Row],[Is Data Valid]]=TRUE,EXP(0.578+0.332*((Table1[[#This Row],[Gestation (days)]]+0.5)/7)-0.00354*((Table1[[#This Row],[Gestation (days)]]+0.5)/7)^2)*Table1[[#This Row],[BW40_3705]],"")</f>
        <v/>
      </c>
      <c r="G1978" s="2" t="str">
        <f>IF(Table1[[#This Row],[Is Data Valid]]=TRUE,((Table1[[#This Row],[Birthweight (grams)]]/Table1[[#This Row],[BW_GA]])-1)/(Backend!$B$4/100*Table1[[#This Row],[BW40_3705]]),"")</f>
        <v/>
      </c>
      <c r="H1978" s="7" t="str">
        <f>IF(Table1[[#This Row],[Is Data Valid]]=TRUE,((Table1[[#This Row],[Birthweight (grams)]]*0.9/Table1[[#This Row],[BW_GA]])-1)/(Backend!$B$4/100*Table1[[#This Row],[BW40_3705]]),"")</f>
        <v/>
      </c>
      <c r="I1978" s="7" t="str">
        <f>IF(Table1[[#This Row],[Is Data Valid]]=TRUE,((Table1[[#This Row],[Birthweight (grams)]]*1.1/Table1[[#This Row],[BW_GA]])-1)/(Backend!$B$4/100*Table1[[#This Row],[BW40_3705]]),"")</f>
        <v/>
      </c>
      <c r="J1978" s="7" t="str">
        <f>IF(Table1[[#This Row],[Is Data Valid]]=TRUE,_xlfn.NORM.S.DIST(Table1[[#This Row],[Birthweight Z-Score]],TRUE)*100,"")</f>
        <v/>
      </c>
      <c r="K1978" s="7" t="str">
        <f>IF(Table1[[#This Row],[Is Data Valid]]=TRUE,_xlfn.NORM.S.DIST(Table1[[#This Row],[Birthweight Z-Score (BW-10%)]],TRUE)*100,"")</f>
        <v/>
      </c>
      <c r="L1978" s="7" t="str">
        <f>IF(Table1[[#This Row],[Is Data Valid]]=TRUE,_xlfn.NORM.S.DIST(Table1[[#This Row],[Birthweight Z-Score (BW+10%)]],TRUE)*100,"")</f>
        <v/>
      </c>
    </row>
    <row r="1979" spans="1:12" x14ac:dyDescent="0.35">
      <c r="A1979" s="3"/>
      <c r="B1979" s="2"/>
      <c r="C1979" s="2"/>
      <c r="D1979" s="2" t="b">
        <f>IF(AND(NOT(ISBLANK(Table1[[#This Row],[Fetal Sex (Male, Female or Unknown)]])),ISNUMBER(Table1[[#This Row],[Birthweight (grams)]]),ISNUMBER(Table1[[#This Row],[Gestation (days)]])),TRUE,FALSE)</f>
        <v>0</v>
      </c>
      <c r="E1979" s="2" t="str">
        <f>IF(Table1[[#This Row],[Is Data Valid]]=TRUE,IF(Table1[[#This Row],[Fetal Sex (Male, Female or Unknown)]]="Male",Backend!$C$6,IF(Table1[[#This Row],[Fetal Sex (Male, Female or Unknown)]]="Female",Backend!$C$7,IF(Table1[[#This Row],[Fetal Sex (Male, Female or Unknown)]]="Unknown",Backend!$C$8,"Error"))),"")</f>
        <v/>
      </c>
      <c r="F1979" s="8" t="str">
        <f>IF(Table1[[#This Row],[Is Data Valid]]=TRUE,EXP(0.578+0.332*((Table1[[#This Row],[Gestation (days)]]+0.5)/7)-0.00354*((Table1[[#This Row],[Gestation (days)]]+0.5)/7)^2)*Table1[[#This Row],[BW40_3705]],"")</f>
        <v/>
      </c>
      <c r="G1979" s="2" t="str">
        <f>IF(Table1[[#This Row],[Is Data Valid]]=TRUE,((Table1[[#This Row],[Birthweight (grams)]]/Table1[[#This Row],[BW_GA]])-1)/(Backend!$B$4/100*Table1[[#This Row],[BW40_3705]]),"")</f>
        <v/>
      </c>
      <c r="H1979" s="7" t="str">
        <f>IF(Table1[[#This Row],[Is Data Valid]]=TRUE,((Table1[[#This Row],[Birthweight (grams)]]*0.9/Table1[[#This Row],[BW_GA]])-1)/(Backend!$B$4/100*Table1[[#This Row],[BW40_3705]]),"")</f>
        <v/>
      </c>
      <c r="I1979" s="7" t="str">
        <f>IF(Table1[[#This Row],[Is Data Valid]]=TRUE,((Table1[[#This Row],[Birthweight (grams)]]*1.1/Table1[[#This Row],[BW_GA]])-1)/(Backend!$B$4/100*Table1[[#This Row],[BW40_3705]]),"")</f>
        <v/>
      </c>
      <c r="J1979" s="7" t="str">
        <f>IF(Table1[[#This Row],[Is Data Valid]]=TRUE,_xlfn.NORM.S.DIST(Table1[[#This Row],[Birthweight Z-Score]],TRUE)*100,"")</f>
        <v/>
      </c>
      <c r="K1979" s="7" t="str">
        <f>IF(Table1[[#This Row],[Is Data Valid]]=TRUE,_xlfn.NORM.S.DIST(Table1[[#This Row],[Birthweight Z-Score (BW-10%)]],TRUE)*100,"")</f>
        <v/>
      </c>
      <c r="L1979" s="7" t="str">
        <f>IF(Table1[[#This Row],[Is Data Valid]]=TRUE,_xlfn.NORM.S.DIST(Table1[[#This Row],[Birthweight Z-Score (BW+10%)]],TRUE)*100,"")</f>
        <v/>
      </c>
    </row>
    <row r="1980" spans="1:12" x14ac:dyDescent="0.35">
      <c r="A1980" s="3"/>
      <c r="B1980" s="2"/>
      <c r="C1980" s="2"/>
      <c r="D1980" s="2" t="b">
        <f>IF(AND(NOT(ISBLANK(Table1[[#This Row],[Fetal Sex (Male, Female or Unknown)]])),ISNUMBER(Table1[[#This Row],[Birthweight (grams)]]),ISNUMBER(Table1[[#This Row],[Gestation (days)]])),TRUE,FALSE)</f>
        <v>0</v>
      </c>
      <c r="E1980" s="2" t="str">
        <f>IF(Table1[[#This Row],[Is Data Valid]]=TRUE,IF(Table1[[#This Row],[Fetal Sex (Male, Female or Unknown)]]="Male",Backend!$C$6,IF(Table1[[#This Row],[Fetal Sex (Male, Female or Unknown)]]="Female",Backend!$C$7,IF(Table1[[#This Row],[Fetal Sex (Male, Female or Unknown)]]="Unknown",Backend!$C$8,"Error"))),"")</f>
        <v/>
      </c>
      <c r="F1980" s="8" t="str">
        <f>IF(Table1[[#This Row],[Is Data Valid]]=TRUE,EXP(0.578+0.332*((Table1[[#This Row],[Gestation (days)]]+0.5)/7)-0.00354*((Table1[[#This Row],[Gestation (days)]]+0.5)/7)^2)*Table1[[#This Row],[BW40_3705]],"")</f>
        <v/>
      </c>
      <c r="G1980" s="2" t="str">
        <f>IF(Table1[[#This Row],[Is Data Valid]]=TRUE,((Table1[[#This Row],[Birthweight (grams)]]/Table1[[#This Row],[BW_GA]])-1)/(Backend!$B$4/100*Table1[[#This Row],[BW40_3705]]),"")</f>
        <v/>
      </c>
      <c r="H1980" s="7" t="str">
        <f>IF(Table1[[#This Row],[Is Data Valid]]=TRUE,((Table1[[#This Row],[Birthweight (grams)]]*0.9/Table1[[#This Row],[BW_GA]])-1)/(Backend!$B$4/100*Table1[[#This Row],[BW40_3705]]),"")</f>
        <v/>
      </c>
      <c r="I1980" s="7" t="str">
        <f>IF(Table1[[#This Row],[Is Data Valid]]=TRUE,((Table1[[#This Row],[Birthweight (grams)]]*1.1/Table1[[#This Row],[BW_GA]])-1)/(Backend!$B$4/100*Table1[[#This Row],[BW40_3705]]),"")</f>
        <v/>
      </c>
      <c r="J1980" s="7" t="str">
        <f>IF(Table1[[#This Row],[Is Data Valid]]=TRUE,_xlfn.NORM.S.DIST(Table1[[#This Row],[Birthweight Z-Score]],TRUE)*100,"")</f>
        <v/>
      </c>
      <c r="K1980" s="7" t="str">
        <f>IF(Table1[[#This Row],[Is Data Valid]]=TRUE,_xlfn.NORM.S.DIST(Table1[[#This Row],[Birthweight Z-Score (BW-10%)]],TRUE)*100,"")</f>
        <v/>
      </c>
      <c r="L1980" s="7" t="str">
        <f>IF(Table1[[#This Row],[Is Data Valid]]=TRUE,_xlfn.NORM.S.DIST(Table1[[#This Row],[Birthweight Z-Score (BW+10%)]],TRUE)*100,"")</f>
        <v/>
      </c>
    </row>
    <row r="1981" spans="1:12" x14ac:dyDescent="0.35">
      <c r="A1981" s="3"/>
      <c r="B1981" s="2"/>
      <c r="C1981" s="2"/>
      <c r="D1981" s="2" t="b">
        <f>IF(AND(NOT(ISBLANK(Table1[[#This Row],[Fetal Sex (Male, Female or Unknown)]])),ISNUMBER(Table1[[#This Row],[Birthweight (grams)]]),ISNUMBER(Table1[[#This Row],[Gestation (days)]])),TRUE,FALSE)</f>
        <v>0</v>
      </c>
      <c r="E1981" s="2" t="str">
        <f>IF(Table1[[#This Row],[Is Data Valid]]=TRUE,IF(Table1[[#This Row],[Fetal Sex (Male, Female or Unknown)]]="Male",Backend!$C$6,IF(Table1[[#This Row],[Fetal Sex (Male, Female or Unknown)]]="Female",Backend!$C$7,IF(Table1[[#This Row],[Fetal Sex (Male, Female or Unknown)]]="Unknown",Backend!$C$8,"Error"))),"")</f>
        <v/>
      </c>
      <c r="F1981" s="8" t="str">
        <f>IF(Table1[[#This Row],[Is Data Valid]]=TRUE,EXP(0.578+0.332*((Table1[[#This Row],[Gestation (days)]]+0.5)/7)-0.00354*((Table1[[#This Row],[Gestation (days)]]+0.5)/7)^2)*Table1[[#This Row],[BW40_3705]],"")</f>
        <v/>
      </c>
      <c r="G1981" s="2" t="str">
        <f>IF(Table1[[#This Row],[Is Data Valid]]=TRUE,((Table1[[#This Row],[Birthweight (grams)]]/Table1[[#This Row],[BW_GA]])-1)/(Backend!$B$4/100*Table1[[#This Row],[BW40_3705]]),"")</f>
        <v/>
      </c>
      <c r="H1981" s="7" t="str">
        <f>IF(Table1[[#This Row],[Is Data Valid]]=TRUE,((Table1[[#This Row],[Birthweight (grams)]]*0.9/Table1[[#This Row],[BW_GA]])-1)/(Backend!$B$4/100*Table1[[#This Row],[BW40_3705]]),"")</f>
        <v/>
      </c>
      <c r="I1981" s="7" t="str">
        <f>IF(Table1[[#This Row],[Is Data Valid]]=TRUE,((Table1[[#This Row],[Birthweight (grams)]]*1.1/Table1[[#This Row],[BW_GA]])-1)/(Backend!$B$4/100*Table1[[#This Row],[BW40_3705]]),"")</f>
        <v/>
      </c>
      <c r="J1981" s="7" t="str">
        <f>IF(Table1[[#This Row],[Is Data Valid]]=TRUE,_xlfn.NORM.S.DIST(Table1[[#This Row],[Birthweight Z-Score]],TRUE)*100,"")</f>
        <v/>
      </c>
      <c r="K1981" s="7" t="str">
        <f>IF(Table1[[#This Row],[Is Data Valid]]=TRUE,_xlfn.NORM.S.DIST(Table1[[#This Row],[Birthweight Z-Score (BW-10%)]],TRUE)*100,"")</f>
        <v/>
      </c>
      <c r="L1981" s="7" t="str">
        <f>IF(Table1[[#This Row],[Is Data Valid]]=TRUE,_xlfn.NORM.S.DIST(Table1[[#This Row],[Birthweight Z-Score (BW+10%)]],TRUE)*100,"")</f>
        <v/>
      </c>
    </row>
    <row r="1982" spans="1:12" x14ac:dyDescent="0.35">
      <c r="A1982" s="3"/>
      <c r="B1982" s="2"/>
      <c r="C1982" s="2"/>
      <c r="D1982" s="2" t="b">
        <f>IF(AND(NOT(ISBLANK(Table1[[#This Row],[Fetal Sex (Male, Female or Unknown)]])),ISNUMBER(Table1[[#This Row],[Birthweight (grams)]]),ISNUMBER(Table1[[#This Row],[Gestation (days)]])),TRUE,FALSE)</f>
        <v>0</v>
      </c>
      <c r="E1982" s="2" t="str">
        <f>IF(Table1[[#This Row],[Is Data Valid]]=TRUE,IF(Table1[[#This Row],[Fetal Sex (Male, Female or Unknown)]]="Male",Backend!$C$6,IF(Table1[[#This Row],[Fetal Sex (Male, Female or Unknown)]]="Female",Backend!$C$7,IF(Table1[[#This Row],[Fetal Sex (Male, Female or Unknown)]]="Unknown",Backend!$C$8,"Error"))),"")</f>
        <v/>
      </c>
      <c r="F1982" s="8" t="str">
        <f>IF(Table1[[#This Row],[Is Data Valid]]=TRUE,EXP(0.578+0.332*((Table1[[#This Row],[Gestation (days)]]+0.5)/7)-0.00354*((Table1[[#This Row],[Gestation (days)]]+0.5)/7)^2)*Table1[[#This Row],[BW40_3705]],"")</f>
        <v/>
      </c>
      <c r="G1982" s="2" t="str">
        <f>IF(Table1[[#This Row],[Is Data Valid]]=TRUE,((Table1[[#This Row],[Birthweight (grams)]]/Table1[[#This Row],[BW_GA]])-1)/(Backend!$B$4/100*Table1[[#This Row],[BW40_3705]]),"")</f>
        <v/>
      </c>
      <c r="H1982" s="7" t="str">
        <f>IF(Table1[[#This Row],[Is Data Valid]]=TRUE,((Table1[[#This Row],[Birthweight (grams)]]*0.9/Table1[[#This Row],[BW_GA]])-1)/(Backend!$B$4/100*Table1[[#This Row],[BW40_3705]]),"")</f>
        <v/>
      </c>
      <c r="I1982" s="7" t="str">
        <f>IF(Table1[[#This Row],[Is Data Valid]]=TRUE,((Table1[[#This Row],[Birthweight (grams)]]*1.1/Table1[[#This Row],[BW_GA]])-1)/(Backend!$B$4/100*Table1[[#This Row],[BW40_3705]]),"")</f>
        <v/>
      </c>
      <c r="J1982" s="7" t="str">
        <f>IF(Table1[[#This Row],[Is Data Valid]]=TRUE,_xlfn.NORM.S.DIST(Table1[[#This Row],[Birthweight Z-Score]],TRUE)*100,"")</f>
        <v/>
      </c>
      <c r="K1982" s="7" t="str">
        <f>IF(Table1[[#This Row],[Is Data Valid]]=TRUE,_xlfn.NORM.S.DIST(Table1[[#This Row],[Birthweight Z-Score (BW-10%)]],TRUE)*100,"")</f>
        <v/>
      </c>
      <c r="L1982" s="7" t="str">
        <f>IF(Table1[[#This Row],[Is Data Valid]]=TRUE,_xlfn.NORM.S.DIST(Table1[[#This Row],[Birthweight Z-Score (BW+10%)]],TRUE)*100,"")</f>
        <v/>
      </c>
    </row>
    <row r="1983" spans="1:12" x14ac:dyDescent="0.35">
      <c r="A1983" s="3"/>
      <c r="B1983" s="2"/>
      <c r="C1983" s="2"/>
      <c r="D1983" s="2" t="b">
        <f>IF(AND(NOT(ISBLANK(Table1[[#This Row],[Fetal Sex (Male, Female or Unknown)]])),ISNUMBER(Table1[[#This Row],[Birthweight (grams)]]),ISNUMBER(Table1[[#This Row],[Gestation (days)]])),TRUE,FALSE)</f>
        <v>0</v>
      </c>
      <c r="E1983" s="2" t="str">
        <f>IF(Table1[[#This Row],[Is Data Valid]]=TRUE,IF(Table1[[#This Row],[Fetal Sex (Male, Female or Unknown)]]="Male",Backend!$C$6,IF(Table1[[#This Row],[Fetal Sex (Male, Female or Unknown)]]="Female",Backend!$C$7,IF(Table1[[#This Row],[Fetal Sex (Male, Female or Unknown)]]="Unknown",Backend!$C$8,"Error"))),"")</f>
        <v/>
      </c>
      <c r="F1983" s="8" t="str">
        <f>IF(Table1[[#This Row],[Is Data Valid]]=TRUE,EXP(0.578+0.332*((Table1[[#This Row],[Gestation (days)]]+0.5)/7)-0.00354*((Table1[[#This Row],[Gestation (days)]]+0.5)/7)^2)*Table1[[#This Row],[BW40_3705]],"")</f>
        <v/>
      </c>
      <c r="G1983" s="2" t="str">
        <f>IF(Table1[[#This Row],[Is Data Valid]]=TRUE,((Table1[[#This Row],[Birthweight (grams)]]/Table1[[#This Row],[BW_GA]])-1)/(Backend!$B$4/100*Table1[[#This Row],[BW40_3705]]),"")</f>
        <v/>
      </c>
      <c r="H1983" s="7" t="str">
        <f>IF(Table1[[#This Row],[Is Data Valid]]=TRUE,((Table1[[#This Row],[Birthweight (grams)]]*0.9/Table1[[#This Row],[BW_GA]])-1)/(Backend!$B$4/100*Table1[[#This Row],[BW40_3705]]),"")</f>
        <v/>
      </c>
      <c r="I1983" s="7" t="str">
        <f>IF(Table1[[#This Row],[Is Data Valid]]=TRUE,((Table1[[#This Row],[Birthweight (grams)]]*1.1/Table1[[#This Row],[BW_GA]])-1)/(Backend!$B$4/100*Table1[[#This Row],[BW40_3705]]),"")</f>
        <v/>
      </c>
      <c r="J1983" s="7" t="str">
        <f>IF(Table1[[#This Row],[Is Data Valid]]=TRUE,_xlfn.NORM.S.DIST(Table1[[#This Row],[Birthweight Z-Score]],TRUE)*100,"")</f>
        <v/>
      </c>
      <c r="K1983" s="7" t="str">
        <f>IF(Table1[[#This Row],[Is Data Valid]]=TRUE,_xlfn.NORM.S.DIST(Table1[[#This Row],[Birthweight Z-Score (BW-10%)]],TRUE)*100,"")</f>
        <v/>
      </c>
      <c r="L1983" s="7" t="str">
        <f>IF(Table1[[#This Row],[Is Data Valid]]=TRUE,_xlfn.NORM.S.DIST(Table1[[#This Row],[Birthweight Z-Score (BW+10%)]],TRUE)*100,"")</f>
        <v/>
      </c>
    </row>
    <row r="1984" spans="1:12" x14ac:dyDescent="0.35">
      <c r="A1984" s="3"/>
      <c r="B1984" s="2"/>
      <c r="C1984" s="2"/>
      <c r="D1984" s="2" t="b">
        <f>IF(AND(NOT(ISBLANK(Table1[[#This Row],[Fetal Sex (Male, Female or Unknown)]])),ISNUMBER(Table1[[#This Row],[Birthweight (grams)]]),ISNUMBER(Table1[[#This Row],[Gestation (days)]])),TRUE,FALSE)</f>
        <v>0</v>
      </c>
      <c r="E1984" s="2" t="str">
        <f>IF(Table1[[#This Row],[Is Data Valid]]=TRUE,IF(Table1[[#This Row],[Fetal Sex (Male, Female or Unknown)]]="Male",Backend!$C$6,IF(Table1[[#This Row],[Fetal Sex (Male, Female or Unknown)]]="Female",Backend!$C$7,IF(Table1[[#This Row],[Fetal Sex (Male, Female or Unknown)]]="Unknown",Backend!$C$8,"Error"))),"")</f>
        <v/>
      </c>
      <c r="F1984" s="8" t="str">
        <f>IF(Table1[[#This Row],[Is Data Valid]]=TRUE,EXP(0.578+0.332*((Table1[[#This Row],[Gestation (days)]]+0.5)/7)-0.00354*((Table1[[#This Row],[Gestation (days)]]+0.5)/7)^2)*Table1[[#This Row],[BW40_3705]],"")</f>
        <v/>
      </c>
      <c r="G1984" s="2" t="str">
        <f>IF(Table1[[#This Row],[Is Data Valid]]=TRUE,((Table1[[#This Row],[Birthweight (grams)]]/Table1[[#This Row],[BW_GA]])-1)/(Backend!$B$4/100*Table1[[#This Row],[BW40_3705]]),"")</f>
        <v/>
      </c>
      <c r="H1984" s="7" t="str">
        <f>IF(Table1[[#This Row],[Is Data Valid]]=TRUE,((Table1[[#This Row],[Birthweight (grams)]]*0.9/Table1[[#This Row],[BW_GA]])-1)/(Backend!$B$4/100*Table1[[#This Row],[BW40_3705]]),"")</f>
        <v/>
      </c>
      <c r="I1984" s="7" t="str">
        <f>IF(Table1[[#This Row],[Is Data Valid]]=TRUE,((Table1[[#This Row],[Birthweight (grams)]]*1.1/Table1[[#This Row],[BW_GA]])-1)/(Backend!$B$4/100*Table1[[#This Row],[BW40_3705]]),"")</f>
        <v/>
      </c>
      <c r="J1984" s="7" t="str">
        <f>IF(Table1[[#This Row],[Is Data Valid]]=TRUE,_xlfn.NORM.S.DIST(Table1[[#This Row],[Birthweight Z-Score]],TRUE)*100,"")</f>
        <v/>
      </c>
      <c r="K1984" s="7" t="str">
        <f>IF(Table1[[#This Row],[Is Data Valid]]=TRUE,_xlfn.NORM.S.DIST(Table1[[#This Row],[Birthweight Z-Score (BW-10%)]],TRUE)*100,"")</f>
        <v/>
      </c>
      <c r="L1984" s="7" t="str">
        <f>IF(Table1[[#This Row],[Is Data Valid]]=TRUE,_xlfn.NORM.S.DIST(Table1[[#This Row],[Birthweight Z-Score (BW+10%)]],TRUE)*100,"")</f>
        <v/>
      </c>
    </row>
    <row r="1985" spans="1:12" x14ac:dyDescent="0.35">
      <c r="A1985" s="3"/>
      <c r="B1985" s="2"/>
      <c r="C1985" s="2"/>
      <c r="D1985" s="2" t="b">
        <f>IF(AND(NOT(ISBLANK(Table1[[#This Row],[Fetal Sex (Male, Female or Unknown)]])),ISNUMBER(Table1[[#This Row],[Birthweight (grams)]]),ISNUMBER(Table1[[#This Row],[Gestation (days)]])),TRUE,FALSE)</f>
        <v>0</v>
      </c>
      <c r="E1985" s="2" t="str">
        <f>IF(Table1[[#This Row],[Is Data Valid]]=TRUE,IF(Table1[[#This Row],[Fetal Sex (Male, Female or Unknown)]]="Male",Backend!$C$6,IF(Table1[[#This Row],[Fetal Sex (Male, Female or Unknown)]]="Female",Backend!$C$7,IF(Table1[[#This Row],[Fetal Sex (Male, Female or Unknown)]]="Unknown",Backend!$C$8,"Error"))),"")</f>
        <v/>
      </c>
      <c r="F1985" s="8" t="str">
        <f>IF(Table1[[#This Row],[Is Data Valid]]=TRUE,EXP(0.578+0.332*((Table1[[#This Row],[Gestation (days)]]+0.5)/7)-0.00354*((Table1[[#This Row],[Gestation (days)]]+0.5)/7)^2)*Table1[[#This Row],[BW40_3705]],"")</f>
        <v/>
      </c>
      <c r="G1985" s="2" t="str">
        <f>IF(Table1[[#This Row],[Is Data Valid]]=TRUE,((Table1[[#This Row],[Birthweight (grams)]]/Table1[[#This Row],[BW_GA]])-1)/(Backend!$B$4/100*Table1[[#This Row],[BW40_3705]]),"")</f>
        <v/>
      </c>
      <c r="H1985" s="7" t="str">
        <f>IF(Table1[[#This Row],[Is Data Valid]]=TRUE,((Table1[[#This Row],[Birthweight (grams)]]*0.9/Table1[[#This Row],[BW_GA]])-1)/(Backend!$B$4/100*Table1[[#This Row],[BW40_3705]]),"")</f>
        <v/>
      </c>
      <c r="I1985" s="7" t="str">
        <f>IF(Table1[[#This Row],[Is Data Valid]]=TRUE,((Table1[[#This Row],[Birthweight (grams)]]*1.1/Table1[[#This Row],[BW_GA]])-1)/(Backend!$B$4/100*Table1[[#This Row],[BW40_3705]]),"")</f>
        <v/>
      </c>
      <c r="J1985" s="7" t="str">
        <f>IF(Table1[[#This Row],[Is Data Valid]]=TRUE,_xlfn.NORM.S.DIST(Table1[[#This Row],[Birthweight Z-Score]],TRUE)*100,"")</f>
        <v/>
      </c>
      <c r="K1985" s="7" t="str">
        <f>IF(Table1[[#This Row],[Is Data Valid]]=TRUE,_xlfn.NORM.S.DIST(Table1[[#This Row],[Birthweight Z-Score (BW-10%)]],TRUE)*100,"")</f>
        <v/>
      </c>
      <c r="L1985" s="7" t="str">
        <f>IF(Table1[[#This Row],[Is Data Valid]]=TRUE,_xlfn.NORM.S.DIST(Table1[[#This Row],[Birthweight Z-Score (BW+10%)]],TRUE)*100,"")</f>
        <v/>
      </c>
    </row>
    <row r="1986" spans="1:12" x14ac:dyDescent="0.35">
      <c r="A1986" s="3"/>
      <c r="B1986" s="2"/>
      <c r="C1986" s="2"/>
      <c r="D1986" s="2" t="b">
        <f>IF(AND(NOT(ISBLANK(Table1[[#This Row],[Fetal Sex (Male, Female or Unknown)]])),ISNUMBER(Table1[[#This Row],[Birthweight (grams)]]),ISNUMBER(Table1[[#This Row],[Gestation (days)]])),TRUE,FALSE)</f>
        <v>0</v>
      </c>
      <c r="E1986" s="2" t="str">
        <f>IF(Table1[[#This Row],[Is Data Valid]]=TRUE,IF(Table1[[#This Row],[Fetal Sex (Male, Female or Unknown)]]="Male",Backend!$C$6,IF(Table1[[#This Row],[Fetal Sex (Male, Female or Unknown)]]="Female",Backend!$C$7,IF(Table1[[#This Row],[Fetal Sex (Male, Female or Unknown)]]="Unknown",Backend!$C$8,"Error"))),"")</f>
        <v/>
      </c>
      <c r="F1986" s="8" t="str">
        <f>IF(Table1[[#This Row],[Is Data Valid]]=TRUE,EXP(0.578+0.332*((Table1[[#This Row],[Gestation (days)]]+0.5)/7)-0.00354*((Table1[[#This Row],[Gestation (days)]]+0.5)/7)^2)*Table1[[#This Row],[BW40_3705]],"")</f>
        <v/>
      </c>
      <c r="G1986" s="2" t="str">
        <f>IF(Table1[[#This Row],[Is Data Valid]]=TRUE,((Table1[[#This Row],[Birthweight (grams)]]/Table1[[#This Row],[BW_GA]])-1)/(Backend!$B$4/100*Table1[[#This Row],[BW40_3705]]),"")</f>
        <v/>
      </c>
      <c r="H1986" s="7" t="str">
        <f>IF(Table1[[#This Row],[Is Data Valid]]=TRUE,((Table1[[#This Row],[Birthweight (grams)]]*0.9/Table1[[#This Row],[BW_GA]])-1)/(Backend!$B$4/100*Table1[[#This Row],[BW40_3705]]),"")</f>
        <v/>
      </c>
      <c r="I1986" s="7" t="str">
        <f>IF(Table1[[#This Row],[Is Data Valid]]=TRUE,((Table1[[#This Row],[Birthweight (grams)]]*1.1/Table1[[#This Row],[BW_GA]])-1)/(Backend!$B$4/100*Table1[[#This Row],[BW40_3705]]),"")</f>
        <v/>
      </c>
      <c r="J1986" s="7" t="str">
        <f>IF(Table1[[#This Row],[Is Data Valid]]=TRUE,_xlfn.NORM.S.DIST(Table1[[#This Row],[Birthweight Z-Score]],TRUE)*100,"")</f>
        <v/>
      </c>
      <c r="K1986" s="7" t="str">
        <f>IF(Table1[[#This Row],[Is Data Valid]]=TRUE,_xlfn.NORM.S.DIST(Table1[[#This Row],[Birthweight Z-Score (BW-10%)]],TRUE)*100,"")</f>
        <v/>
      </c>
      <c r="L1986" s="7" t="str">
        <f>IF(Table1[[#This Row],[Is Data Valid]]=TRUE,_xlfn.NORM.S.DIST(Table1[[#This Row],[Birthweight Z-Score (BW+10%)]],TRUE)*100,"")</f>
        <v/>
      </c>
    </row>
    <row r="1987" spans="1:12" x14ac:dyDescent="0.35">
      <c r="A1987" s="3"/>
      <c r="B1987" s="2"/>
      <c r="C1987" s="2"/>
      <c r="D1987" s="2" t="b">
        <f>IF(AND(NOT(ISBLANK(Table1[[#This Row],[Fetal Sex (Male, Female or Unknown)]])),ISNUMBER(Table1[[#This Row],[Birthweight (grams)]]),ISNUMBER(Table1[[#This Row],[Gestation (days)]])),TRUE,FALSE)</f>
        <v>0</v>
      </c>
      <c r="E1987" s="2" t="str">
        <f>IF(Table1[[#This Row],[Is Data Valid]]=TRUE,IF(Table1[[#This Row],[Fetal Sex (Male, Female or Unknown)]]="Male",Backend!$C$6,IF(Table1[[#This Row],[Fetal Sex (Male, Female or Unknown)]]="Female",Backend!$C$7,IF(Table1[[#This Row],[Fetal Sex (Male, Female or Unknown)]]="Unknown",Backend!$C$8,"Error"))),"")</f>
        <v/>
      </c>
      <c r="F1987" s="8" t="str">
        <f>IF(Table1[[#This Row],[Is Data Valid]]=TRUE,EXP(0.578+0.332*((Table1[[#This Row],[Gestation (days)]]+0.5)/7)-0.00354*((Table1[[#This Row],[Gestation (days)]]+0.5)/7)^2)*Table1[[#This Row],[BW40_3705]],"")</f>
        <v/>
      </c>
      <c r="G1987" s="2" t="str">
        <f>IF(Table1[[#This Row],[Is Data Valid]]=TRUE,((Table1[[#This Row],[Birthweight (grams)]]/Table1[[#This Row],[BW_GA]])-1)/(Backend!$B$4/100*Table1[[#This Row],[BW40_3705]]),"")</f>
        <v/>
      </c>
      <c r="H1987" s="7" t="str">
        <f>IF(Table1[[#This Row],[Is Data Valid]]=TRUE,((Table1[[#This Row],[Birthweight (grams)]]*0.9/Table1[[#This Row],[BW_GA]])-1)/(Backend!$B$4/100*Table1[[#This Row],[BW40_3705]]),"")</f>
        <v/>
      </c>
      <c r="I1987" s="7" t="str">
        <f>IF(Table1[[#This Row],[Is Data Valid]]=TRUE,((Table1[[#This Row],[Birthweight (grams)]]*1.1/Table1[[#This Row],[BW_GA]])-1)/(Backend!$B$4/100*Table1[[#This Row],[BW40_3705]]),"")</f>
        <v/>
      </c>
      <c r="J1987" s="7" t="str">
        <f>IF(Table1[[#This Row],[Is Data Valid]]=TRUE,_xlfn.NORM.S.DIST(Table1[[#This Row],[Birthweight Z-Score]],TRUE)*100,"")</f>
        <v/>
      </c>
      <c r="K1987" s="7" t="str">
        <f>IF(Table1[[#This Row],[Is Data Valid]]=TRUE,_xlfn.NORM.S.DIST(Table1[[#This Row],[Birthweight Z-Score (BW-10%)]],TRUE)*100,"")</f>
        <v/>
      </c>
      <c r="L1987" s="7" t="str">
        <f>IF(Table1[[#This Row],[Is Data Valid]]=TRUE,_xlfn.NORM.S.DIST(Table1[[#This Row],[Birthweight Z-Score (BW+10%)]],TRUE)*100,"")</f>
        <v/>
      </c>
    </row>
    <row r="1988" spans="1:12" x14ac:dyDescent="0.35">
      <c r="A1988" s="3"/>
      <c r="B1988" s="2"/>
      <c r="C1988" s="2"/>
      <c r="D1988" s="2" t="b">
        <f>IF(AND(NOT(ISBLANK(Table1[[#This Row],[Fetal Sex (Male, Female or Unknown)]])),ISNUMBER(Table1[[#This Row],[Birthweight (grams)]]),ISNUMBER(Table1[[#This Row],[Gestation (days)]])),TRUE,FALSE)</f>
        <v>0</v>
      </c>
      <c r="E1988" s="2" t="str">
        <f>IF(Table1[[#This Row],[Is Data Valid]]=TRUE,IF(Table1[[#This Row],[Fetal Sex (Male, Female or Unknown)]]="Male",Backend!$C$6,IF(Table1[[#This Row],[Fetal Sex (Male, Female or Unknown)]]="Female",Backend!$C$7,IF(Table1[[#This Row],[Fetal Sex (Male, Female or Unknown)]]="Unknown",Backend!$C$8,"Error"))),"")</f>
        <v/>
      </c>
      <c r="F1988" s="8" t="str">
        <f>IF(Table1[[#This Row],[Is Data Valid]]=TRUE,EXP(0.578+0.332*((Table1[[#This Row],[Gestation (days)]]+0.5)/7)-0.00354*((Table1[[#This Row],[Gestation (days)]]+0.5)/7)^2)*Table1[[#This Row],[BW40_3705]],"")</f>
        <v/>
      </c>
      <c r="G1988" s="2" t="str">
        <f>IF(Table1[[#This Row],[Is Data Valid]]=TRUE,((Table1[[#This Row],[Birthweight (grams)]]/Table1[[#This Row],[BW_GA]])-1)/(Backend!$B$4/100*Table1[[#This Row],[BW40_3705]]),"")</f>
        <v/>
      </c>
      <c r="H1988" s="7" t="str">
        <f>IF(Table1[[#This Row],[Is Data Valid]]=TRUE,((Table1[[#This Row],[Birthweight (grams)]]*0.9/Table1[[#This Row],[BW_GA]])-1)/(Backend!$B$4/100*Table1[[#This Row],[BW40_3705]]),"")</f>
        <v/>
      </c>
      <c r="I1988" s="7" t="str">
        <f>IF(Table1[[#This Row],[Is Data Valid]]=TRUE,((Table1[[#This Row],[Birthweight (grams)]]*1.1/Table1[[#This Row],[BW_GA]])-1)/(Backend!$B$4/100*Table1[[#This Row],[BW40_3705]]),"")</f>
        <v/>
      </c>
      <c r="J1988" s="7" t="str">
        <f>IF(Table1[[#This Row],[Is Data Valid]]=TRUE,_xlfn.NORM.S.DIST(Table1[[#This Row],[Birthweight Z-Score]],TRUE)*100,"")</f>
        <v/>
      </c>
      <c r="K1988" s="7" t="str">
        <f>IF(Table1[[#This Row],[Is Data Valid]]=TRUE,_xlfn.NORM.S.DIST(Table1[[#This Row],[Birthweight Z-Score (BW-10%)]],TRUE)*100,"")</f>
        <v/>
      </c>
      <c r="L1988" s="7" t="str">
        <f>IF(Table1[[#This Row],[Is Data Valid]]=TRUE,_xlfn.NORM.S.DIST(Table1[[#This Row],[Birthweight Z-Score (BW+10%)]],TRUE)*100,"")</f>
        <v/>
      </c>
    </row>
    <row r="1989" spans="1:12" x14ac:dyDescent="0.35">
      <c r="A1989" s="3"/>
      <c r="B1989" s="2"/>
      <c r="C1989" s="2"/>
      <c r="D1989" s="2" t="b">
        <f>IF(AND(NOT(ISBLANK(Table1[[#This Row],[Fetal Sex (Male, Female or Unknown)]])),ISNUMBER(Table1[[#This Row],[Birthweight (grams)]]),ISNUMBER(Table1[[#This Row],[Gestation (days)]])),TRUE,FALSE)</f>
        <v>0</v>
      </c>
      <c r="E1989" s="2" t="str">
        <f>IF(Table1[[#This Row],[Is Data Valid]]=TRUE,IF(Table1[[#This Row],[Fetal Sex (Male, Female or Unknown)]]="Male",Backend!$C$6,IF(Table1[[#This Row],[Fetal Sex (Male, Female or Unknown)]]="Female",Backend!$C$7,IF(Table1[[#This Row],[Fetal Sex (Male, Female or Unknown)]]="Unknown",Backend!$C$8,"Error"))),"")</f>
        <v/>
      </c>
      <c r="F1989" s="8" t="str">
        <f>IF(Table1[[#This Row],[Is Data Valid]]=TRUE,EXP(0.578+0.332*((Table1[[#This Row],[Gestation (days)]]+0.5)/7)-0.00354*((Table1[[#This Row],[Gestation (days)]]+0.5)/7)^2)*Table1[[#This Row],[BW40_3705]],"")</f>
        <v/>
      </c>
      <c r="G1989" s="2" t="str">
        <f>IF(Table1[[#This Row],[Is Data Valid]]=TRUE,((Table1[[#This Row],[Birthweight (grams)]]/Table1[[#This Row],[BW_GA]])-1)/(Backend!$B$4/100*Table1[[#This Row],[BW40_3705]]),"")</f>
        <v/>
      </c>
      <c r="H1989" s="7" t="str">
        <f>IF(Table1[[#This Row],[Is Data Valid]]=TRUE,((Table1[[#This Row],[Birthweight (grams)]]*0.9/Table1[[#This Row],[BW_GA]])-1)/(Backend!$B$4/100*Table1[[#This Row],[BW40_3705]]),"")</f>
        <v/>
      </c>
      <c r="I1989" s="7" t="str">
        <f>IF(Table1[[#This Row],[Is Data Valid]]=TRUE,((Table1[[#This Row],[Birthweight (grams)]]*1.1/Table1[[#This Row],[BW_GA]])-1)/(Backend!$B$4/100*Table1[[#This Row],[BW40_3705]]),"")</f>
        <v/>
      </c>
      <c r="J1989" s="7" t="str">
        <f>IF(Table1[[#This Row],[Is Data Valid]]=TRUE,_xlfn.NORM.S.DIST(Table1[[#This Row],[Birthweight Z-Score]],TRUE)*100,"")</f>
        <v/>
      </c>
      <c r="K1989" s="7" t="str">
        <f>IF(Table1[[#This Row],[Is Data Valid]]=TRUE,_xlfn.NORM.S.DIST(Table1[[#This Row],[Birthweight Z-Score (BW-10%)]],TRUE)*100,"")</f>
        <v/>
      </c>
      <c r="L1989" s="7" t="str">
        <f>IF(Table1[[#This Row],[Is Data Valid]]=TRUE,_xlfn.NORM.S.DIST(Table1[[#This Row],[Birthweight Z-Score (BW+10%)]],TRUE)*100,"")</f>
        <v/>
      </c>
    </row>
    <row r="1990" spans="1:12" x14ac:dyDescent="0.35">
      <c r="A1990" s="3"/>
      <c r="B1990" s="2"/>
      <c r="C1990" s="2"/>
      <c r="D1990" s="2" t="b">
        <f>IF(AND(NOT(ISBLANK(Table1[[#This Row],[Fetal Sex (Male, Female or Unknown)]])),ISNUMBER(Table1[[#This Row],[Birthweight (grams)]]),ISNUMBER(Table1[[#This Row],[Gestation (days)]])),TRUE,FALSE)</f>
        <v>0</v>
      </c>
      <c r="E1990" s="2" t="str">
        <f>IF(Table1[[#This Row],[Is Data Valid]]=TRUE,IF(Table1[[#This Row],[Fetal Sex (Male, Female or Unknown)]]="Male",Backend!$C$6,IF(Table1[[#This Row],[Fetal Sex (Male, Female or Unknown)]]="Female",Backend!$C$7,IF(Table1[[#This Row],[Fetal Sex (Male, Female or Unknown)]]="Unknown",Backend!$C$8,"Error"))),"")</f>
        <v/>
      </c>
      <c r="F1990" s="8" t="str">
        <f>IF(Table1[[#This Row],[Is Data Valid]]=TRUE,EXP(0.578+0.332*((Table1[[#This Row],[Gestation (days)]]+0.5)/7)-0.00354*((Table1[[#This Row],[Gestation (days)]]+0.5)/7)^2)*Table1[[#This Row],[BW40_3705]],"")</f>
        <v/>
      </c>
      <c r="G1990" s="2" t="str">
        <f>IF(Table1[[#This Row],[Is Data Valid]]=TRUE,((Table1[[#This Row],[Birthweight (grams)]]/Table1[[#This Row],[BW_GA]])-1)/(Backend!$B$4/100*Table1[[#This Row],[BW40_3705]]),"")</f>
        <v/>
      </c>
      <c r="H1990" s="7" t="str">
        <f>IF(Table1[[#This Row],[Is Data Valid]]=TRUE,((Table1[[#This Row],[Birthweight (grams)]]*0.9/Table1[[#This Row],[BW_GA]])-1)/(Backend!$B$4/100*Table1[[#This Row],[BW40_3705]]),"")</f>
        <v/>
      </c>
      <c r="I1990" s="7" t="str">
        <f>IF(Table1[[#This Row],[Is Data Valid]]=TRUE,((Table1[[#This Row],[Birthweight (grams)]]*1.1/Table1[[#This Row],[BW_GA]])-1)/(Backend!$B$4/100*Table1[[#This Row],[BW40_3705]]),"")</f>
        <v/>
      </c>
      <c r="J1990" s="7" t="str">
        <f>IF(Table1[[#This Row],[Is Data Valid]]=TRUE,_xlfn.NORM.S.DIST(Table1[[#This Row],[Birthweight Z-Score]],TRUE)*100,"")</f>
        <v/>
      </c>
      <c r="K1990" s="7" t="str">
        <f>IF(Table1[[#This Row],[Is Data Valid]]=TRUE,_xlfn.NORM.S.DIST(Table1[[#This Row],[Birthweight Z-Score (BW-10%)]],TRUE)*100,"")</f>
        <v/>
      </c>
      <c r="L1990" s="7" t="str">
        <f>IF(Table1[[#This Row],[Is Data Valid]]=TRUE,_xlfn.NORM.S.DIST(Table1[[#This Row],[Birthweight Z-Score (BW+10%)]],TRUE)*100,"")</f>
        <v/>
      </c>
    </row>
    <row r="1991" spans="1:12" x14ac:dyDescent="0.35">
      <c r="A1991" s="3"/>
      <c r="B1991" s="2"/>
      <c r="C1991" s="2"/>
      <c r="D1991" s="2" t="b">
        <f>IF(AND(NOT(ISBLANK(Table1[[#This Row],[Fetal Sex (Male, Female or Unknown)]])),ISNUMBER(Table1[[#This Row],[Birthweight (grams)]]),ISNUMBER(Table1[[#This Row],[Gestation (days)]])),TRUE,FALSE)</f>
        <v>0</v>
      </c>
      <c r="E1991" s="2" t="str">
        <f>IF(Table1[[#This Row],[Is Data Valid]]=TRUE,IF(Table1[[#This Row],[Fetal Sex (Male, Female or Unknown)]]="Male",Backend!$C$6,IF(Table1[[#This Row],[Fetal Sex (Male, Female or Unknown)]]="Female",Backend!$C$7,IF(Table1[[#This Row],[Fetal Sex (Male, Female or Unknown)]]="Unknown",Backend!$C$8,"Error"))),"")</f>
        <v/>
      </c>
      <c r="F1991" s="8" t="str">
        <f>IF(Table1[[#This Row],[Is Data Valid]]=TRUE,EXP(0.578+0.332*((Table1[[#This Row],[Gestation (days)]]+0.5)/7)-0.00354*((Table1[[#This Row],[Gestation (days)]]+0.5)/7)^2)*Table1[[#This Row],[BW40_3705]],"")</f>
        <v/>
      </c>
      <c r="G1991" s="2" t="str">
        <f>IF(Table1[[#This Row],[Is Data Valid]]=TRUE,((Table1[[#This Row],[Birthweight (grams)]]/Table1[[#This Row],[BW_GA]])-1)/(Backend!$B$4/100*Table1[[#This Row],[BW40_3705]]),"")</f>
        <v/>
      </c>
      <c r="H1991" s="7" t="str">
        <f>IF(Table1[[#This Row],[Is Data Valid]]=TRUE,((Table1[[#This Row],[Birthweight (grams)]]*0.9/Table1[[#This Row],[BW_GA]])-1)/(Backend!$B$4/100*Table1[[#This Row],[BW40_3705]]),"")</f>
        <v/>
      </c>
      <c r="I1991" s="7" t="str">
        <f>IF(Table1[[#This Row],[Is Data Valid]]=TRUE,((Table1[[#This Row],[Birthweight (grams)]]*1.1/Table1[[#This Row],[BW_GA]])-1)/(Backend!$B$4/100*Table1[[#This Row],[BW40_3705]]),"")</f>
        <v/>
      </c>
      <c r="J1991" s="7" t="str">
        <f>IF(Table1[[#This Row],[Is Data Valid]]=TRUE,_xlfn.NORM.S.DIST(Table1[[#This Row],[Birthweight Z-Score]],TRUE)*100,"")</f>
        <v/>
      </c>
      <c r="K1991" s="7" t="str">
        <f>IF(Table1[[#This Row],[Is Data Valid]]=TRUE,_xlfn.NORM.S.DIST(Table1[[#This Row],[Birthweight Z-Score (BW-10%)]],TRUE)*100,"")</f>
        <v/>
      </c>
      <c r="L1991" s="7" t="str">
        <f>IF(Table1[[#This Row],[Is Data Valid]]=TRUE,_xlfn.NORM.S.DIST(Table1[[#This Row],[Birthweight Z-Score (BW+10%)]],TRUE)*100,"")</f>
        <v/>
      </c>
    </row>
    <row r="1992" spans="1:12" x14ac:dyDescent="0.35">
      <c r="A1992" s="3"/>
      <c r="B1992" s="2"/>
      <c r="C1992" s="2"/>
      <c r="D1992" s="2" t="b">
        <f>IF(AND(NOT(ISBLANK(Table1[[#This Row],[Fetal Sex (Male, Female or Unknown)]])),ISNUMBER(Table1[[#This Row],[Birthweight (grams)]]),ISNUMBER(Table1[[#This Row],[Gestation (days)]])),TRUE,FALSE)</f>
        <v>0</v>
      </c>
      <c r="E1992" s="2" t="str">
        <f>IF(Table1[[#This Row],[Is Data Valid]]=TRUE,IF(Table1[[#This Row],[Fetal Sex (Male, Female or Unknown)]]="Male",Backend!$C$6,IF(Table1[[#This Row],[Fetal Sex (Male, Female or Unknown)]]="Female",Backend!$C$7,IF(Table1[[#This Row],[Fetal Sex (Male, Female or Unknown)]]="Unknown",Backend!$C$8,"Error"))),"")</f>
        <v/>
      </c>
      <c r="F1992" s="8" t="str">
        <f>IF(Table1[[#This Row],[Is Data Valid]]=TRUE,EXP(0.578+0.332*((Table1[[#This Row],[Gestation (days)]]+0.5)/7)-0.00354*((Table1[[#This Row],[Gestation (days)]]+0.5)/7)^2)*Table1[[#This Row],[BW40_3705]],"")</f>
        <v/>
      </c>
      <c r="G1992" s="2" t="str">
        <f>IF(Table1[[#This Row],[Is Data Valid]]=TRUE,((Table1[[#This Row],[Birthweight (grams)]]/Table1[[#This Row],[BW_GA]])-1)/(Backend!$B$4/100*Table1[[#This Row],[BW40_3705]]),"")</f>
        <v/>
      </c>
      <c r="H1992" s="7" t="str">
        <f>IF(Table1[[#This Row],[Is Data Valid]]=TRUE,((Table1[[#This Row],[Birthweight (grams)]]*0.9/Table1[[#This Row],[BW_GA]])-1)/(Backend!$B$4/100*Table1[[#This Row],[BW40_3705]]),"")</f>
        <v/>
      </c>
      <c r="I1992" s="7" t="str">
        <f>IF(Table1[[#This Row],[Is Data Valid]]=TRUE,((Table1[[#This Row],[Birthweight (grams)]]*1.1/Table1[[#This Row],[BW_GA]])-1)/(Backend!$B$4/100*Table1[[#This Row],[BW40_3705]]),"")</f>
        <v/>
      </c>
      <c r="J1992" s="7" t="str">
        <f>IF(Table1[[#This Row],[Is Data Valid]]=TRUE,_xlfn.NORM.S.DIST(Table1[[#This Row],[Birthweight Z-Score]],TRUE)*100,"")</f>
        <v/>
      </c>
      <c r="K1992" s="7" t="str">
        <f>IF(Table1[[#This Row],[Is Data Valid]]=TRUE,_xlfn.NORM.S.DIST(Table1[[#This Row],[Birthweight Z-Score (BW-10%)]],TRUE)*100,"")</f>
        <v/>
      </c>
      <c r="L1992" s="7" t="str">
        <f>IF(Table1[[#This Row],[Is Data Valid]]=TRUE,_xlfn.NORM.S.DIST(Table1[[#This Row],[Birthweight Z-Score (BW+10%)]],TRUE)*100,"")</f>
        <v/>
      </c>
    </row>
    <row r="1993" spans="1:12" x14ac:dyDescent="0.35">
      <c r="A1993" s="3"/>
      <c r="B1993" s="2"/>
      <c r="C1993" s="2"/>
      <c r="D1993" s="2" t="b">
        <f>IF(AND(NOT(ISBLANK(Table1[[#This Row],[Fetal Sex (Male, Female or Unknown)]])),ISNUMBER(Table1[[#This Row],[Birthweight (grams)]]),ISNUMBER(Table1[[#This Row],[Gestation (days)]])),TRUE,FALSE)</f>
        <v>0</v>
      </c>
      <c r="E1993" s="2" t="str">
        <f>IF(Table1[[#This Row],[Is Data Valid]]=TRUE,IF(Table1[[#This Row],[Fetal Sex (Male, Female or Unknown)]]="Male",Backend!$C$6,IF(Table1[[#This Row],[Fetal Sex (Male, Female or Unknown)]]="Female",Backend!$C$7,IF(Table1[[#This Row],[Fetal Sex (Male, Female or Unknown)]]="Unknown",Backend!$C$8,"Error"))),"")</f>
        <v/>
      </c>
      <c r="F1993" s="8" t="str">
        <f>IF(Table1[[#This Row],[Is Data Valid]]=TRUE,EXP(0.578+0.332*((Table1[[#This Row],[Gestation (days)]]+0.5)/7)-0.00354*((Table1[[#This Row],[Gestation (days)]]+0.5)/7)^2)*Table1[[#This Row],[BW40_3705]],"")</f>
        <v/>
      </c>
      <c r="G1993" s="2" t="str">
        <f>IF(Table1[[#This Row],[Is Data Valid]]=TRUE,((Table1[[#This Row],[Birthweight (grams)]]/Table1[[#This Row],[BW_GA]])-1)/(Backend!$B$4/100*Table1[[#This Row],[BW40_3705]]),"")</f>
        <v/>
      </c>
      <c r="H1993" s="7" t="str">
        <f>IF(Table1[[#This Row],[Is Data Valid]]=TRUE,((Table1[[#This Row],[Birthweight (grams)]]*0.9/Table1[[#This Row],[BW_GA]])-1)/(Backend!$B$4/100*Table1[[#This Row],[BW40_3705]]),"")</f>
        <v/>
      </c>
      <c r="I1993" s="7" t="str">
        <f>IF(Table1[[#This Row],[Is Data Valid]]=TRUE,((Table1[[#This Row],[Birthweight (grams)]]*1.1/Table1[[#This Row],[BW_GA]])-1)/(Backend!$B$4/100*Table1[[#This Row],[BW40_3705]]),"")</f>
        <v/>
      </c>
      <c r="J1993" s="7" t="str">
        <f>IF(Table1[[#This Row],[Is Data Valid]]=TRUE,_xlfn.NORM.S.DIST(Table1[[#This Row],[Birthweight Z-Score]],TRUE)*100,"")</f>
        <v/>
      </c>
      <c r="K1993" s="7" t="str">
        <f>IF(Table1[[#This Row],[Is Data Valid]]=TRUE,_xlfn.NORM.S.DIST(Table1[[#This Row],[Birthweight Z-Score (BW-10%)]],TRUE)*100,"")</f>
        <v/>
      </c>
      <c r="L1993" s="7" t="str">
        <f>IF(Table1[[#This Row],[Is Data Valid]]=TRUE,_xlfn.NORM.S.DIST(Table1[[#This Row],[Birthweight Z-Score (BW+10%)]],TRUE)*100,"")</f>
        <v/>
      </c>
    </row>
    <row r="1994" spans="1:12" x14ac:dyDescent="0.35">
      <c r="A1994" s="3"/>
      <c r="B1994" s="2"/>
      <c r="C1994" s="2"/>
      <c r="D1994" s="2" t="b">
        <f>IF(AND(NOT(ISBLANK(Table1[[#This Row],[Fetal Sex (Male, Female or Unknown)]])),ISNUMBER(Table1[[#This Row],[Birthweight (grams)]]),ISNUMBER(Table1[[#This Row],[Gestation (days)]])),TRUE,FALSE)</f>
        <v>0</v>
      </c>
      <c r="E1994" s="2" t="str">
        <f>IF(Table1[[#This Row],[Is Data Valid]]=TRUE,IF(Table1[[#This Row],[Fetal Sex (Male, Female or Unknown)]]="Male",Backend!$C$6,IF(Table1[[#This Row],[Fetal Sex (Male, Female or Unknown)]]="Female",Backend!$C$7,IF(Table1[[#This Row],[Fetal Sex (Male, Female or Unknown)]]="Unknown",Backend!$C$8,"Error"))),"")</f>
        <v/>
      </c>
      <c r="F1994" s="8" t="str">
        <f>IF(Table1[[#This Row],[Is Data Valid]]=TRUE,EXP(0.578+0.332*((Table1[[#This Row],[Gestation (days)]]+0.5)/7)-0.00354*((Table1[[#This Row],[Gestation (days)]]+0.5)/7)^2)*Table1[[#This Row],[BW40_3705]],"")</f>
        <v/>
      </c>
      <c r="G1994" s="2" t="str">
        <f>IF(Table1[[#This Row],[Is Data Valid]]=TRUE,((Table1[[#This Row],[Birthweight (grams)]]/Table1[[#This Row],[BW_GA]])-1)/(Backend!$B$4/100*Table1[[#This Row],[BW40_3705]]),"")</f>
        <v/>
      </c>
      <c r="H1994" s="7" t="str">
        <f>IF(Table1[[#This Row],[Is Data Valid]]=TRUE,((Table1[[#This Row],[Birthweight (grams)]]*0.9/Table1[[#This Row],[BW_GA]])-1)/(Backend!$B$4/100*Table1[[#This Row],[BW40_3705]]),"")</f>
        <v/>
      </c>
      <c r="I1994" s="7" t="str">
        <f>IF(Table1[[#This Row],[Is Data Valid]]=TRUE,((Table1[[#This Row],[Birthweight (grams)]]*1.1/Table1[[#This Row],[BW_GA]])-1)/(Backend!$B$4/100*Table1[[#This Row],[BW40_3705]]),"")</f>
        <v/>
      </c>
      <c r="J1994" s="7" t="str">
        <f>IF(Table1[[#This Row],[Is Data Valid]]=TRUE,_xlfn.NORM.S.DIST(Table1[[#This Row],[Birthweight Z-Score]],TRUE)*100,"")</f>
        <v/>
      </c>
      <c r="K1994" s="7" t="str">
        <f>IF(Table1[[#This Row],[Is Data Valid]]=TRUE,_xlfn.NORM.S.DIST(Table1[[#This Row],[Birthweight Z-Score (BW-10%)]],TRUE)*100,"")</f>
        <v/>
      </c>
      <c r="L1994" s="7" t="str">
        <f>IF(Table1[[#This Row],[Is Data Valid]]=TRUE,_xlfn.NORM.S.DIST(Table1[[#This Row],[Birthweight Z-Score (BW+10%)]],TRUE)*100,"")</f>
        <v/>
      </c>
    </row>
    <row r="1995" spans="1:12" x14ac:dyDescent="0.35">
      <c r="A1995" s="3"/>
      <c r="B1995" s="2"/>
      <c r="C1995" s="2"/>
      <c r="D1995" s="2" t="b">
        <f>IF(AND(NOT(ISBLANK(Table1[[#This Row],[Fetal Sex (Male, Female or Unknown)]])),ISNUMBER(Table1[[#This Row],[Birthweight (grams)]]),ISNUMBER(Table1[[#This Row],[Gestation (days)]])),TRUE,FALSE)</f>
        <v>0</v>
      </c>
      <c r="E1995" s="2" t="str">
        <f>IF(Table1[[#This Row],[Is Data Valid]]=TRUE,IF(Table1[[#This Row],[Fetal Sex (Male, Female or Unknown)]]="Male",Backend!$C$6,IF(Table1[[#This Row],[Fetal Sex (Male, Female or Unknown)]]="Female",Backend!$C$7,IF(Table1[[#This Row],[Fetal Sex (Male, Female or Unknown)]]="Unknown",Backend!$C$8,"Error"))),"")</f>
        <v/>
      </c>
      <c r="F1995" s="8" t="str">
        <f>IF(Table1[[#This Row],[Is Data Valid]]=TRUE,EXP(0.578+0.332*((Table1[[#This Row],[Gestation (days)]]+0.5)/7)-0.00354*((Table1[[#This Row],[Gestation (days)]]+0.5)/7)^2)*Table1[[#This Row],[BW40_3705]],"")</f>
        <v/>
      </c>
      <c r="G1995" s="2" t="str">
        <f>IF(Table1[[#This Row],[Is Data Valid]]=TRUE,((Table1[[#This Row],[Birthweight (grams)]]/Table1[[#This Row],[BW_GA]])-1)/(Backend!$B$4/100*Table1[[#This Row],[BW40_3705]]),"")</f>
        <v/>
      </c>
      <c r="H1995" s="7" t="str">
        <f>IF(Table1[[#This Row],[Is Data Valid]]=TRUE,((Table1[[#This Row],[Birthweight (grams)]]*0.9/Table1[[#This Row],[BW_GA]])-1)/(Backend!$B$4/100*Table1[[#This Row],[BW40_3705]]),"")</f>
        <v/>
      </c>
      <c r="I1995" s="7" t="str">
        <f>IF(Table1[[#This Row],[Is Data Valid]]=TRUE,((Table1[[#This Row],[Birthweight (grams)]]*1.1/Table1[[#This Row],[BW_GA]])-1)/(Backend!$B$4/100*Table1[[#This Row],[BW40_3705]]),"")</f>
        <v/>
      </c>
      <c r="J1995" s="7" t="str">
        <f>IF(Table1[[#This Row],[Is Data Valid]]=TRUE,_xlfn.NORM.S.DIST(Table1[[#This Row],[Birthweight Z-Score]],TRUE)*100,"")</f>
        <v/>
      </c>
      <c r="K1995" s="7" t="str">
        <f>IF(Table1[[#This Row],[Is Data Valid]]=TRUE,_xlfn.NORM.S.DIST(Table1[[#This Row],[Birthweight Z-Score (BW-10%)]],TRUE)*100,"")</f>
        <v/>
      </c>
      <c r="L1995" s="7" t="str">
        <f>IF(Table1[[#This Row],[Is Data Valid]]=TRUE,_xlfn.NORM.S.DIST(Table1[[#This Row],[Birthweight Z-Score (BW+10%)]],TRUE)*100,"")</f>
        <v/>
      </c>
    </row>
    <row r="1996" spans="1:12" x14ac:dyDescent="0.35">
      <c r="A1996" s="3"/>
      <c r="B1996" s="2"/>
      <c r="C1996" s="2"/>
      <c r="D1996" s="2" t="b">
        <f>IF(AND(NOT(ISBLANK(Table1[[#This Row],[Fetal Sex (Male, Female or Unknown)]])),ISNUMBER(Table1[[#This Row],[Birthweight (grams)]]),ISNUMBER(Table1[[#This Row],[Gestation (days)]])),TRUE,FALSE)</f>
        <v>0</v>
      </c>
      <c r="E1996" s="2" t="str">
        <f>IF(Table1[[#This Row],[Is Data Valid]]=TRUE,IF(Table1[[#This Row],[Fetal Sex (Male, Female or Unknown)]]="Male",Backend!$C$6,IF(Table1[[#This Row],[Fetal Sex (Male, Female or Unknown)]]="Female",Backend!$C$7,IF(Table1[[#This Row],[Fetal Sex (Male, Female or Unknown)]]="Unknown",Backend!$C$8,"Error"))),"")</f>
        <v/>
      </c>
      <c r="F1996" s="8" t="str">
        <f>IF(Table1[[#This Row],[Is Data Valid]]=TRUE,EXP(0.578+0.332*((Table1[[#This Row],[Gestation (days)]]+0.5)/7)-0.00354*((Table1[[#This Row],[Gestation (days)]]+0.5)/7)^2)*Table1[[#This Row],[BW40_3705]],"")</f>
        <v/>
      </c>
      <c r="G1996" s="2" t="str">
        <f>IF(Table1[[#This Row],[Is Data Valid]]=TRUE,((Table1[[#This Row],[Birthweight (grams)]]/Table1[[#This Row],[BW_GA]])-1)/(Backend!$B$4/100*Table1[[#This Row],[BW40_3705]]),"")</f>
        <v/>
      </c>
      <c r="H1996" s="7" t="str">
        <f>IF(Table1[[#This Row],[Is Data Valid]]=TRUE,((Table1[[#This Row],[Birthweight (grams)]]*0.9/Table1[[#This Row],[BW_GA]])-1)/(Backend!$B$4/100*Table1[[#This Row],[BW40_3705]]),"")</f>
        <v/>
      </c>
      <c r="I1996" s="7" t="str">
        <f>IF(Table1[[#This Row],[Is Data Valid]]=TRUE,((Table1[[#This Row],[Birthweight (grams)]]*1.1/Table1[[#This Row],[BW_GA]])-1)/(Backend!$B$4/100*Table1[[#This Row],[BW40_3705]]),"")</f>
        <v/>
      </c>
      <c r="J1996" s="7" t="str">
        <f>IF(Table1[[#This Row],[Is Data Valid]]=TRUE,_xlfn.NORM.S.DIST(Table1[[#This Row],[Birthweight Z-Score]],TRUE)*100,"")</f>
        <v/>
      </c>
      <c r="K1996" s="7" t="str">
        <f>IF(Table1[[#This Row],[Is Data Valid]]=TRUE,_xlfn.NORM.S.DIST(Table1[[#This Row],[Birthweight Z-Score (BW-10%)]],TRUE)*100,"")</f>
        <v/>
      </c>
      <c r="L1996" s="7" t="str">
        <f>IF(Table1[[#This Row],[Is Data Valid]]=TRUE,_xlfn.NORM.S.DIST(Table1[[#This Row],[Birthweight Z-Score (BW+10%)]],TRUE)*100,"")</f>
        <v/>
      </c>
    </row>
    <row r="1997" spans="1:12" x14ac:dyDescent="0.35">
      <c r="A1997" s="3"/>
      <c r="B1997" s="2"/>
      <c r="C1997" s="2"/>
      <c r="D1997" s="2" t="b">
        <f>IF(AND(NOT(ISBLANK(Table1[[#This Row],[Fetal Sex (Male, Female or Unknown)]])),ISNUMBER(Table1[[#This Row],[Birthweight (grams)]]),ISNUMBER(Table1[[#This Row],[Gestation (days)]])),TRUE,FALSE)</f>
        <v>0</v>
      </c>
      <c r="E1997" s="2" t="str">
        <f>IF(Table1[[#This Row],[Is Data Valid]]=TRUE,IF(Table1[[#This Row],[Fetal Sex (Male, Female or Unknown)]]="Male",Backend!$C$6,IF(Table1[[#This Row],[Fetal Sex (Male, Female or Unknown)]]="Female",Backend!$C$7,IF(Table1[[#This Row],[Fetal Sex (Male, Female or Unknown)]]="Unknown",Backend!$C$8,"Error"))),"")</f>
        <v/>
      </c>
      <c r="F1997" s="8" t="str">
        <f>IF(Table1[[#This Row],[Is Data Valid]]=TRUE,EXP(0.578+0.332*((Table1[[#This Row],[Gestation (days)]]+0.5)/7)-0.00354*((Table1[[#This Row],[Gestation (days)]]+0.5)/7)^2)*Table1[[#This Row],[BW40_3705]],"")</f>
        <v/>
      </c>
      <c r="G1997" s="2" t="str">
        <f>IF(Table1[[#This Row],[Is Data Valid]]=TRUE,((Table1[[#This Row],[Birthweight (grams)]]/Table1[[#This Row],[BW_GA]])-1)/(Backend!$B$4/100*Table1[[#This Row],[BW40_3705]]),"")</f>
        <v/>
      </c>
      <c r="H1997" s="7" t="str">
        <f>IF(Table1[[#This Row],[Is Data Valid]]=TRUE,((Table1[[#This Row],[Birthweight (grams)]]*0.9/Table1[[#This Row],[BW_GA]])-1)/(Backend!$B$4/100*Table1[[#This Row],[BW40_3705]]),"")</f>
        <v/>
      </c>
      <c r="I1997" s="7" t="str">
        <f>IF(Table1[[#This Row],[Is Data Valid]]=TRUE,((Table1[[#This Row],[Birthweight (grams)]]*1.1/Table1[[#This Row],[BW_GA]])-1)/(Backend!$B$4/100*Table1[[#This Row],[BW40_3705]]),"")</f>
        <v/>
      </c>
      <c r="J1997" s="7" t="str">
        <f>IF(Table1[[#This Row],[Is Data Valid]]=TRUE,_xlfn.NORM.S.DIST(Table1[[#This Row],[Birthweight Z-Score]],TRUE)*100,"")</f>
        <v/>
      </c>
      <c r="K1997" s="7" t="str">
        <f>IF(Table1[[#This Row],[Is Data Valid]]=TRUE,_xlfn.NORM.S.DIST(Table1[[#This Row],[Birthweight Z-Score (BW-10%)]],TRUE)*100,"")</f>
        <v/>
      </c>
      <c r="L1997" s="7" t="str">
        <f>IF(Table1[[#This Row],[Is Data Valid]]=TRUE,_xlfn.NORM.S.DIST(Table1[[#This Row],[Birthweight Z-Score (BW+10%)]],TRUE)*100,"")</f>
        <v/>
      </c>
    </row>
    <row r="1998" spans="1:12" x14ac:dyDescent="0.35">
      <c r="A1998" s="3"/>
      <c r="B1998" s="2"/>
      <c r="C1998" s="2"/>
      <c r="D1998" s="2" t="b">
        <f>IF(AND(NOT(ISBLANK(Table1[[#This Row],[Fetal Sex (Male, Female or Unknown)]])),ISNUMBER(Table1[[#This Row],[Birthweight (grams)]]),ISNUMBER(Table1[[#This Row],[Gestation (days)]])),TRUE,FALSE)</f>
        <v>0</v>
      </c>
      <c r="E1998" s="2" t="str">
        <f>IF(Table1[[#This Row],[Is Data Valid]]=TRUE,IF(Table1[[#This Row],[Fetal Sex (Male, Female or Unknown)]]="Male",Backend!$C$6,IF(Table1[[#This Row],[Fetal Sex (Male, Female or Unknown)]]="Female",Backend!$C$7,IF(Table1[[#This Row],[Fetal Sex (Male, Female or Unknown)]]="Unknown",Backend!$C$8,"Error"))),"")</f>
        <v/>
      </c>
      <c r="F1998" s="8" t="str">
        <f>IF(Table1[[#This Row],[Is Data Valid]]=TRUE,EXP(0.578+0.332*((Table1[[#This Row],[Gestation (days)]]+0.5)/7)-0.00354*((Table1[[#This Row],[Gestation (days)]]+0.5)/7)^2)*Table1[[#This Row],[BW40_3705]],"")</f>
        <v/>
      </c>
      <c r="G1998" s="2" t="str">
        <f>IF(Table1[[#This Row],[Is Data Valid]]=TRUE,((Table1[[#This Row],[Birthweight (grams)]]/Table1[[#This Row],[BW_GA]])-1)/(Backend!$B$4/100*Table1[[#This Row],[BW40_3705]]),"")</f>
        <v/>
      </c>
      <c r="H1998" s="7" t="str">
        <f>IF(Table1[[#This Row],[Is Data Valid]]=TRUE,((Table1[[#This Row],[Birthweight (grams)]]*0.9/Table1[[#This Row],[BW_GA]])-1)/(Backend!$B$4/100*Table1[[#This Row],[BW40_3705]]),"")</f>
        <v/>
      </c>
      <c r="I1998" s="7" t="str">
        <f>IF(Table1[[#This Row],[Is Data Valid]]=TRUE,((Table1[[#This Row],[Birthweight (grams)]]*1.1/Table1[[#This Row],[BW_GA]])-1)/(Backend!$B$4/100*Table1[[#This Row],[BW40_3705]]),"")</f>
        <v/>
      </c>
      <c r="J1998" s="7" t="str">
        <f>IF(Table1[[#This Row],[Is Data Valid]]=TRUE,_xlfn.NORM.S.DIST(Table1[[#This Row],[Birthweight Z-Score]],TRUE)*100,"")</f>
        <v/>
      </c>
      <c r="K1998" s="7" t="str">
        <f>IF(Table1[[#This Row],[Is Data Valid]]=TRUE,_xlfn.NORM.S.DIST(Table1[[#This Row],[Birthweight Z-Score (BW-10%)]],TRUE)*100,"")</f>
        <v/>
      </c>
      <c r="L1998" s="7" t="str">
        <f>IF(Table1[[#This Row],[Is Data Valid]]=TRUE,_xlfn.NORM.S.DIST(Table1[[#This Row],[Birthweight Z-Score (BW+10%)]],TRUE)*100,"")</f>
        <v/>
      </c>
    </row>
    <row r="1999" spans="1:12" x14ac:dyDescent="0.35">
      <c r="A1999" s="3"/>
      <c r="B1999" s="2"/>
      <c r="C1999" s="2"/>
      <c r="D1999" s="2" t="b">
        <f>IF(AND(NOT(ISBLANK(Table1[[#This Row],[Fetal Sex (Male, Female or Unknown)]])),ISNUMBER(Table1[[#This Row],[Birthweight (grams)]]),ISNUMBER(Table1[[#This Row],[Gestation (days)]])),TRUE,FALSE)</f>
        <v>0</v>
      </c>
      <c r="E1999" s="2" t="str">
        <f>IF(Table1[[#This Row],[Is Data Valid]]=TRUE,IF(Table1[[#This Row],[Fetal Sex (Male, Female or Unknown)]]="Male",Backend!$C$6,IF(Table1[[#This Row],[Fetal Sex (Male, Female or Unknown)]]="Female",Backend!$C$7,IF(Table1[[#This Row],[Fetal Sex (Male, Female or Unknown)]]="Unknown",Backend!$C$8,"Error"))),"")</f>
        <v/>
      </c>
      <c r="F1999" s="8" t="str">
        <f>IF(Table1[[#This Row],[Is Data Valid]]=TRUE,EXP(0.578+0.332*((Table1[[#This Row],[Gestation (days)]]+0.5)/7)-0.00354*((Table1[[#This Row],[Gestation (days)]]+0.5)/7)^2)*Table1[[#This Row],[BW40_3705]],"")</f>
        <v/>
      </c>
      <c r="G1999" s="2" t="str">
        <f>IF(Table1[[#This Row],[Is Data Valid]]=TRUE,((Table1[[#This Row],[Birthweight (grams)]]/Table1[[#This Row],[BW_GA]])-1)/(Backend!$B$4/100*Table1[[#This Row],[BW40_3705]]),"")</f>
        <v/>
      </c>
      <c r="H1999" s="7" t="str">
        <f>IF(Table1[[#This Row],[Is Data Valid]]=TRUE,((Table1[[#This Row],[Birthweight (grams)]]*0.9/Table1[[#This Row],[BW_GA]])-1)/(Backend!$B$4/100*Table1[[#This Row],[BW40_3705]]),"")</f>
        <v/>
      </c>
      <c r="I1999" s="7" t="str">
        <f>IF(Table1[[#This Row],[Is Data Valid]]=TRUE,((Table1[[#This Row],[Birthweight (grams)]]*1.1/Table1[[#This Row],[BW_GA]])-1)/(Backend!$B$4/100*Table1[[#This Row],[BW40_3705]]),"")</f>
        <v/>
      </c>
      <c r="J1999" s="7" t="str">
        <f>IF(Table1[[#This Row],[Is Data Valid]]=TRUE,_xlfn.NORM.S.DIST(Table1[[#This Row],[Birthweight Z-Score]],TRUE)*100,"")</f>
        <v/>
      </c>
      <c r="K1999" s="7" t="str">
        <f>IF(Table1[[#This Row],[Is Data Valid]]=TRUE,_xlfn.NORM.S.DIST(Table1[[#This Row],[Birthweight Z-Score (BW-10%)]],TRUE)*100,"")</f>
        <v/>
      </c>
      <c r="L1999" s="7" t="str">
        <f>IF(Table1[[#This Row],[Is Data Valid]]=TRUE,_xlfn.NORM.S.DIST(Table1[[#This Row],[Birthweight Z-Score (BW+10%)]],TRUE)*100,"")</f>
        <v/>
      </c>
    </row>
    <row r="2000" spans="1:12" x14ac:dyDescent="0.35">
      <c r="A2000" s="3"/>
      <c r="B2000" s="2"/>
      <c r="C2000" s="2"/>
      <c r="D2000" s="2" t="b">
        <f>IF(AND(NOT(ISBLANK(Table1[[#This Row],[Fetal Sex (Male, Female or Unknown)]])),ISNUMBER(Table1[[#This Row],[Birthweight (grams)]]),ISNUMBER(Table1[[#This Row],[Gestation (days)]])),TRUE,FALSE)</f>
        <v>0</v>
      </c>
      <c r="E2000" s="2" t="str">
        <f>IF(Table1[[#This Row],[Is Data Valid]]=TRUE,IF(Table1[[#This Row],[Fetal Sex (Male, Female or Unknown)]]="Male",Backend!$C$6,IF(Table1[[#This Row],[Fetal Sex (Male, Female or Unknown)]]="Female",Backend!$C$7,IF(Table1[[#This Row],[Fetal Sex (Male, Female or Unknown)]]="Unknown",Backend!$C$8,"Error"))),"")</f>
        <v/>
      </c>
      <c r="F2000" s="8" t="str">
        <f>IF(Table1[[#This Row],[Is Data Valid]]=TRUE,EXP(0.578+0.332*((Table1[[#This Row],[Gestation (days)]]+0.5)/7)-0.00354*((Table1[[#This Row],[Gestation (days)]]+0.5)/7)^2)*Table1[[#This Row],[BW40_3705]],"")</f>
        <v/>
      </c>
      <c r="G2000" s="2" t="str">
        <f>IF(Table1[[#This Row],[Is Data Valid]]=TRUE,((Table1[[#This Row],[Birthweight (grams)]]/Table1[[#This Row],[BW_GA]])-1)/(Backend!$B$4/100*Table1[[#This Row],[BW40_3705]]),"")</f>
        <v/>
      </c>
      <c r="H2000" s="7" t="str">
        <f>IF(Table1[[#This Row],[Is Data Valid]]=TRUE,((Table1[[#This Row],[Birthweight (grams)]]*0.9/Table1[[#This Row],[BW_GA]])-1)/(Backend!$B$4/100*Table1[[#This Row],[BW40_3705]]),"")</f>
        <v/>
      </c>
      <c r="I2000" s="7" t="str">
        <f>IF(Table1[[#This Row],[Is Data Valid]]=TRUE,((Table1[[#This Row],[Birthweight (grams)]]*1.1/Table1[[#This Row],[BW_GA]])-1)/(Backend!$B$4/100*Table1[[#This Row],[BW40_3705]]),"")</f>
        <v/>
      </c>
      <c r="J2000" s="7" t="str">
        <f>IF(Table1[[#This Row],[Is Data Valid]]=TRUE,_xlfn.NORM.S.DIST(Table1[[#This Row],[Birthweight Z-Score]],TRUE)*100,"")</f>
        <v/>
      </c>
      <c r="K2000" s="7" t="str">
        <f>IF(Table1[[#This Row],[Is Data Valid]]=TRUE,_xlfn.NORM.S.DIST(Table1[[#This Row],[Birthweight Z-Score (BW-10%)]],TRUE)*100,"")</f>
        <v/>
      </c>
      <c r="L2000" s="7" t="str">
        <f>IF(Table1[[#This Row],[Is Data Valid]]=TRUE,_xlfn.NORM.S.DIST(Table1[[#This Row],[Birthweight Z-Score (BW+10%)]],TRUE)*100,"")</f>
        <v/>
      </c>
    </row>
    <row r="2001" spans="1:12" x14ac:dyDescent="0.35">
      <c r="A2001" s="3"/>
      <c r="B2001" s="2"/>
      <c r="C2001" s="2"/>
      <c r="D2001" s="2" t="b">
        <f>IF(AND(NOT(ISBLANK(Table1[[#This Row],[Fetal Sex (Male, Female or Unknown)]])),ISNUMBER(Table1[[#This Row],[Birthweight (grams)]]),ISNUMBER(Table1[[#This Row],[Gestation (days)]])),TRUE,FALSE)</f>
        <v>0</v>
      </c>
      <c r="E2001" s="2" t="str">
        <f>IF(Table1[[#This Row],[Is Data Valid]]=TRUE,IF(Table1[[#This Row],[Fetal Sex (Male, Female or Unknown)]]="Male",Backend!$C$6,IF(Table1[[#This Row],[Fetal Sex (Male, Female or Unknown)]]="Female",Backend!$C$7,IF(Table1[[#This Row],[Fetal Sex (Male, Female or Unknown)]]="Unknown",Backend!$C$8,"Error"))),"")</f>
        <v/>
      </c>
      <c r="F2001" s="8" t="str">
        <f>IF(Table1[[#This Row],[Is Data Valid]]=TRUE,EXP(0.578+0.332*((Table1[[#This Row],[Gestation (days)]]+0.5)/7)-0.00354*((Table1[[#This Row],[Gestation (days)]]+0.5)/7)^2)*Table1[[#This Row],[BW40_3705]],"")</f>
        <v/>
      </c>
      <c r="G2001" s="2" t="str">
        <f>IF(Table1[[#This Row],[Is Data Valid]]=TRUE,((Table1[[#This Row],[Birthweight (grams)]]/Table1[[#This Row],[BW_GA]])-1)/(Backend!$B$4/100*Table1[[#This Row],[BW40_3705]]),"")</f>
        <v/>
      </c>
      <c r="H2001" s="7" t="str">
        <f>IF(Table1[[#This Row],[Is Data Valid]]=TRUE,((Table1[[#This Row],[Birthweight (grams)]]*0.9/Table1[[#This Row],[BW_GA]])-1)/(Backend!$B$4/100*Table1[[#This Row],[BW40_3705]]),"")</f>
        <v/>
      </c>
      <c r="I2001" s="7" t="str">
        <f>IF(Table1[[#This Row],[Is Data Valid]]=TRUE,((Table1[[#This Row],[Birthweight (grams)]]*1.1/Table1[[#This Row],[BW_GA]])-1)/(Backend!$B$4/100*Table1[[#This Row],[BW40_3705]]),"")</f>
        <v/>
      </c>
      <c r="J2001" s="7" t="str">
        <f>IF(Table1[[#This Row],[Is Data Valid]]=TRUE,_xlfn.NORM.S.DIST(Table1[[#This Row],[Birthweight Z-Score]],TRUE)*100,"")</f>
        <v/>
      </c>
      <c r="K2001" s="7" t="str">
        <f>IF(Table1[[#This Row],[Is Data Valid]]=TRUE,_xlfn.NORM.S.DIST(Table1[[#This Row],[Birthweight Z-Score (BW-10%)]],TRUE)*100,"")</f>
        <v/>
      </c>
      <c r="L2001" s="7" t="str">
        <f>IF(Table1[[#This Row],[Is Data Valid]]=TRUE,_xlfn.NORM.S.DIST(Table1[[#This Row],[Birthweight Z-Score (BW+10%)]],TRUE)*100,"")</f>
        <v/>
      </c>
    </row>
    <row r="2002" spans="1:12" x14ac:dyDescent="0.35">
      <c r="A2002" s="3"/>
      <c r="B2002" s="2"/>
      <c r="C2002" s="2"/>
      <c r="D2002" s="2" t="b">
        <f>IF(AND(NOT(ISBLANK(Table1[[#This Row],[Fetal Sex (Male, Female or Unknown)]])),ISNUMBER(Table1[[#This Row],[Birthweight (grams)]]),ISNUMBER(Table1[[#This Row],[Gestation (days)]])),TRUE,FALSE)</f>
        <v>0</v>
      </c>
      <c r="E2002" s="2" t="str">
        <f>IF(Table1[[#This Row],[Is Data Valid]]=TRUE,IF(Table1[[#This Row],[Fetal Sex (Male, Female or Unknown)]]="Male",Backend!$C$6,IF(Table1[[#This Row],[Fetal Sex (Male, Female or Unknown)]]="Female",Backend!$C$7,IF(Table1[[#This Row],[Fetal Sex (Male, Female or Unknown)]]="Unknown",Backend!$C$8,"Error"))),"")</f>
        <v/>
      </c>
      <c r="F2002" s="8" t="str">
        <f>IF(Table1[[#This Row],[Is Data Valid]]=TRUE,EXP(0.578+0.332*((Table1[[#This Row],[Gestation (days)]]+0.5)/7)-0.00354*((Table1[[#This Row],[Gestation (days)]]+0.5)/7)^2)*Table1[[#This Row],[BW40_3705]],"")</f>
        <v/>
      </c>
      <c r="G2002" s="2" t="str">
        <f>IF(Table1[[#This Row],[Is Data Valid]]=TRUE,((Table1[[#This Row],[Birthweight (grams)]]/Table1[[#This Row],[BW_GA]])-1)/(Backend!$B$4/100*Table1[[#This Row],[BW40_3705]]),"")</f>
        <v/>
      </c>
      <c r="H2002" s="7" t="str">
        <f>IF(Table1[[#This Row],[Is Data Valid]]=TRUE,((Table1[[#This Row],[Birthweight (grams)]]*0.9/Table1[[#This Row],[BW_GA]])-1)/(Backend!$B$4/100*Table1[[#This Row],[BW40_3705]]),"")</f>
        <v/>
      </c>
      <c r="I2002" s="7" t="str">
        <f>IF(Table1[[#This Row],[Is Data Valid]]=TRUE,((Table1[[#This Row],[Birthweight (grams)]]*1.1/Table1[[#This Row],[BW_GA]])-1)/(Backend!$B$4/100*Table1[[#This Row],[BW40_3705]]),"")</f>
        <v/>
      </c>
      <c r="J2002" s="7" t="str">
        <f>IF(Table1[[#This Row],[Is Data Valid]]=TRUE,_xlfn.NORM.S.DIST(Table1[[#This Row],[Birthweight Z-Score]],TRUE)*100,"")</f>
        <v/>
      </c>
      <c r="K2002" s="7" t="str">
        <f>IF(Table1[[#This Row],[Is Data Valid]]=TRUE,_xlfn.NORM.S.DIST(Table1[[#This Row],[Birthweight Z-Score (BW-10%)]],TRUE)*100,"")</f>
        <v/>
      </c>
      <c r="L2002" s="7" t="str">
        <f>IF(Table1[[#This Row],[Is Data Valid]]=TRUE,_xlfn.NORM.S.DIST(Table1[[#This Row],[Birthweight Z-Score (BW+10%)]],TRUE)*100,"")</f>
        <v/>
      </c>
    </row>
    <row r="2003" spans="1:12" x14ac:dyDescent="0.35">
      <c r="A2003" s="3"/>
      <c r="B2003" s="2"/>
      <c r="C2003" s="2"/>
      <c r="D2003" s="2" t="b">
        <f>IF(AND(NOT(ISBLANK(Table1[[#This Row],[Fetal Sex (Male, Female or Unknown)]])),ISNUMBER(Table1[[#This Row],[Birthweight (grams)]]),ISNUMBER(Table1[[#This Row],[Gestation (days)]])),TRUE,FALSE)</f>
        <v>0</v>
      </c>
      <c r="E2003" s="2" t="str">
        <f>IF(Table1[[#This Row],[Is Data Valid]]=TRUE,IF(Table1[[#This Row],[Fetal Sex (Male, Female or Unknown)]]="Male",Backend!$C$6,IF(Table1[[#This Row],[Fetal Sex (Male, Female or Unknown)]]="Female",Backend!$C$7,IF(Table1[[#This Row],[Fetal Sex (Male, Female or Unknown)]]="Unknown",Backend!$C$8,"Error"))),"")</f>
        <v/>
      </c>
      <c r="F2003" s="8" t="str">
        <f>IF(Table1[[#This Row],[Is Data Valid]]=TRUE,EXP(0.578+0.332*((Table1[[#This Row],[Gestation (days)]]+0.5)/7)-0.00354*((Table1[[#This Row],[Gestation (days)]]+0.5)/7)^2)*Table1[[#This Row],[BW40_3705]],"")</f>
        <v/>
      </c>
      <c r="G2003" s="2" t="str">
        <f>IF(Table1[[#This Row],[Is Data Valid]]=TRUE,((Table1[[#This Row],[Birthweight (grams)]]/Table1[[#This Row],[BW_GA]])-1)/(Backend!$B$4/100*Table1[[#This Row],[BW40_3705]]),"")</f>
        <v/>
      </c>
      <c r="H2003" s="7" t="str">
        <f>IF(Table1[[#This Row],[Is Data Valid]]=TRUE,((Table1[[#This Row],[Birthweight (grams)]]*0.9/Table1[[#This Row],[BW_GA]])-1)/(Backend!$B$4/100*Table1[[#This Row],[BW40_3705]]),"")</f>
        <v/>
      </c>
      <c r="I2003" s="7" t="str">
        <f>IF(Table1[[#This Row],[Is Data Valid]]=TRUE,((Table1[[#This Row],[Birthweight (grams)]]*1.1/Table1[[#This Row],[BW_GA]])-1)/(Backend!$B$4/100*Table1[[#This Row],[BW40_3705]]),"")</f>
        <v/>
      </c>
      <c r="J2003" s="7" t="str">
        <f>IF(Table1[[#This Row],[Is Data Valid]]=TRUE,_xlfn.NORM.S.DIST(Table1[[#This Row],[Birthweight Z-Score]],TRUE)*100,"")</f>
        <v/>
      </c>
      <c r="K2003" s="7" t="str">
        <f>IF(Table1[[#This Row],[Is Data Valid]]=TRUE,_xlfn.NORM.S.DIST(Table1[[#This Row],[Birthweight Z-Score (BW-10%)]],TRUE)*100,"")</f>
        <v/>
      </c>
      <c r="L2003" s="7" t="str">
        <f>IF(Table1[[#This Row],[Is Data Valid]]=TRUE,_xlfn.NORM.S.DIST(Table1[[#This Row],[Birthweight Z-Score (BW+10%)]],TRUE)*100,"")</f>
        <v/>
      </c>
    </row>
    <row r="2004" spans="1:12" x14ac:dyDescent="0.35">
      <c r="A2004" s="3"/>
      <c r="B2004" s="2"/>
      <c r="C2004" s="2"/>
      <c r="D2004" s="2" t="b">
        <f>IF(AND(NOT(ISBLANK(Table1[[#This Row],[Fetal Sex (Male, Female or Unknown)]])),ISNUMBER(Table1[[#This Row],[Birthweight (grams)]]),ISNUMBER(Table1[[#This Row],[Gestation (days)]])),TRUE,FALSE)</f>
        <v>0</v>
      </c>
      <c r="E2004" s="2" t="str">
        <f>IF(Table1[[#This Row],[Is Data Valid]]=TRUE,IF(Table1[[#This Row],[Fetal Sex (Male, Female or Unknown)]]="Male",Backend!$C$6,IF(Table1[[#This Row],[Fetal Sex (Male, Female or Unknown)]]="Female",Backend!$C$7,IF(Table1[[#This Row],[Fetal Sex (Male, Female or Unknown)]]="Unknown",Backend!$C$8,"Error"))),"")</f>
        <v/>
      </c>
      <c r="F2004" s="8" t="str">
        <f>IF(Table1[[#This Row],[Is Data Valid]]=TRUE,EXP(0.578+0.332*((Table1[[#This Row],[Gestation (days)]]+0.5)/7)-0.00354*((Table1[[#This Row],[Gestation (days)]]+0.5)/7)^2)*Table1[[#This Row],[BW40_3705]],"")</f>
        <v/>
      </c>
      <c r="G2004" s="2" t="str">
        <f>IF(Table1[[#This Row],[Is Data Valid]]=TRUE,((Table1[[#This Row],[Birthweight (grams)]]/Table1[[#This Row],[BW_GA]])-1)/(Backend!$B$4/100*Table1[[#This Row],[BW40_3705]]),"")</f>
        <v/>
      </c>
      <c r="H2004" s="7" t="str">
        <f>IF(Table1[[#This Row],[Is Data Valid]]=TRUE,((Table1[[#This Row],[Birthweight (grams)]]*0.9/Table1[[#This Row],[BW_GA]])-1)/(Backend!$B$4/100*Table1[[#This Row],[BW40_3705]]),"")</f>
        <v/>
      </c>
      <c r="I2004" s="7" t="str">
        <f>IF(Table1[[#This Row],[Is Data Valid]]=TRUE,((Table1[[#This Row],[Birthweight (grams)]]*1.1/Table1[[#This Row],[BW_GA]])-1)/(Backend!$B$4/100*Table1[[#This Row],[BW40_3705]]),"")</f>
        <v/>
      </c>
      <c r="J2004" s="7" t="str">
        <f>IF(Table1[[#This Row],[Is Data Valid]]=TRUE,_xlfn.NORM.S.DIST(Table1[[#This Row],[Birthweight Z-Score]],TRUE)*100,"")</f>
        <v/>
      </c>
      <c r="K2004" s="7" t="str">
        <f>IF(Table1[[#This Row],[Is Data Valid]]=TRUE,_xlfn.NORM.S.DIST(Table1[[#This Row],[Birthweight Z-Score (BW-10%)]],TRUE)*100,"")</f>
        <v/>
      </c>
      <c r="L2004" s="7" t="str">
        <f>IF(Table1[[#This Row],[Is Data Valid]]=TRUE,_xlfn.NORM.S.DIST(Table1[[#This Row],[Birthweight Z-Score (BW+10%)]],TRUE)*100,"")</f>
        <v/>
      </c>
    </row>
    <row r="2005" spans="1:12" x14ac:dyDescent="0.35">
      <c r="A2005" s="3"/>
      <c r="B2005" s="2"/>
      <c r="C2005" s="2"/>
      <c r="D2005" s="2" t="b">
        <f>IF(AND(NOT(ISBLANK(Table1[[#This Row],[Fetal Sex (Male, Female or Unknown)]])),ISNUMBER(Table1[[#This Row],[Birthweight (grams)]]),ISNUMBER(Table1[[#This Row],[Gestation (days)]])),TRUE,FALSE)</f>
        <v>0</v>
      </c>
      <c r="E2005" s="2" t="str">
        <f>IF(Table1[[#This Row],[Is Data Valid]]=TRUE,IF(Table1[[#This Row],[Fetal Sex (Male, Female or Unknown)]]="Male",Backend!$C$6,IF(Table1[[#This Row],[Fetal Sex (Male, Female or Unknown)]]="Female",Backend!$C$7,IF(Table1[[#This Row],[Fetal Sex (Male, Female or Unknown)]]="Unknown",Backend!$C$8,"Error"))),"")</f>
        <v/>
      </c>
      <c r="F2005" s="8" t="str">
        <f>IF(Table1[[#This Row],[Is Data Valid]]=TRUE,EXP(0.578+0.332*((Table1[[#This Row],[Gestation (days)]]+0.5)/7)-0.00354*((Table1[[#This Row],[Gestation (days)]]+0.5)/7)^2)*Table1[[#This Row],[BW40_3705]],"")</f>
        <v/>
      </c>
      <c r="G2005" s="2" t="str">
        <f>IF(Table1[[#This Row],[Is Data Valid]]=TRUE,((Table1[[#This Row],[Birthweight (grams)]]/Table1[[#This Row],[BW_GA]])-1)/(Backend!$B$4/100*Table1[[#This Row],[BW40_3705]]),"")</f>
        <v/>
      </c>
      <c r="H2005" s="7" t="str">
        <f>IF(Table1[[#This Row],[Is Data Valid]]=TRUE,((Table1[[#This Row],[Birthweight (grams)]]*0.9/Table1[[#This Row],[BW_GA]])-1)/(Backend!$B$4/100*Table1[[#This Row],[BW40_3705]]),"")</f>
        <v/>
      </c>
      <c r="I2005" s="7" t="str">
        <f>IF(Table1[[#This Row],[Is Data Valid]]=TRUE,((Table1[[#This Row],[Birthweight (grams)]]*1.1/Table1[[#This Row],[BW_GA]])-1)/(Backend!$B$4/100*Table1[[#This Row],[BW40_3705]]),"")</f>
        <v/>
      </c>
      <c r="J2005" s="7" t="str">
        <f>IF(Table1[[#This Row],[Is Data Valid]]=TRUE,_xlfn.NORM.S.DIST(Table1[[#This Row],[Birthweight Z-Score]],TRUE)*100,"")</f>
        <v/>
      </c>
      <c r="K2005" s="7" t="str">
        <f>IF(Table1[[#This Row],[Is Data Valid]]=TRUE,_xlfn.NORM.S.DIST(Table1[[#This Row],[Birthweight Z-Score (BW-10%)]],TRUE)*100,"")</f>
        <v/>
      </c>
      <c r="L2005" s="7" t="str">
        <f>IF(Table1[[#This Row],[Is Data Valid]]=TRUE,_xlfn.NORM.S.DIST(Table1[[#This Row],[Birthweight Z-Score (BW+10%)]],TRUE)*100,"")</f>
        <v/>
      </c>
    </row>
    <row r="2006" spans="1:12" x14ac:dyDescent="0.35">
      <c r="A2006" s="3"/>
      <c r="B2006" s="2"/>
      <c r="C2006" s="2"/>
      <c r="D2006" s="2" t="b">
        <f>IF(AND(NOT(ISBLANK(Table1[[#This Row],[Fetal Sex (Male, Female or Unknown)]])),ISNUMBER(Table1[[#This Row],[Birthweight (grams)]]),ISNUMBER(Table1[[#This Row],[Gestation (days)]])),TRUE,FALSE)</f>
        <v>0</v>
      </c>
      <c r="E2006" s="2" t="str">
        <f>IF(Table1[[#This Row],[Is Data Valid]]=TRUE,IF(Table1[[#This Row],[Fetal Sex (Male, Female or Unknown)]]="Male",Backend!$C$6,IF(Table1[[#This Row],[Fetal Sex (Male, Female or Unknown)]]="Female",Backend!$C$7,IF(Table1[[#This Row],[Fetal Sex (Male, Female or Unknown)]]="Unknown",Backend!$C$8,"Error"))),"")</f>
        <v/>
      </c>
      <c r="F2006" s="8" t="str">
        <f>IF(Table1[[#This Row],[Is Data Valid]]=TRUE,EXP(0.578+0.332*((Table1[[#This Row],[Gestation (days)]]+0.5)/7)-0.00354*((Table1[[#This Row],[Gestation (days)]]+0.5)/7)^2)*Table1[[#This Row],[BW40_3705]],"")</f>
        <v/>
      </c>
      <c r="G2006" s="2" t="str">
        <f>IF(Table1[[#This Row],[Is Data Valid]]=TRUE,((Table1[[#This Row],[Birthweight (grams)]]/Table1[[#This Row],[BW_GA]])-1)/(Backend!$B$4/100*Table1[[#This Row],[BW40_3705]]),"")</f>
        <v/>
      </c>
      <c r="H2006" s="7" t="str">
        <f>IF(Table1[[#This Row],[Is Data Valid]]=TRUE,((Table1[[#This Row],[Birthweight (grams)]]*0.9/Table1[[#This Row],[BW_GA]])-1)/(Backend!$B$4/100*Table1[[#This Row],[BW40_3705]]),"")</f>
        <v/>
      </c>
      <c r="I2006" s="7" t="str">
        <f>IF(Table1[[#This Row],[Is Data Valid]]=TRUE,((Table1[[#This Row],[Birthweight (grams)]]*1.1/Table1[[#This Row],[BW_GA]])-1)/(Backend!$B$4/100*Table1[[#This Row],[BW40_3705]]),"")</f>
        <v/>
      </c>
      <c r="J2006" s="7" t="str">
        <f>IF(Table1[[#This Row],[Is Data Valid]]=TRUE,_xlfn.NORM.S.DIST(Table1[[#This Row],[Birthweight Z-Score]],TRUE)*100,"")</f>
        <v/>
      </c>
      <c r="K2006" s="7" t="str">
        <f>IF(Table1[[#This Row],[Is Data Valid]]=TRUE,_xlfn.NORM.S.DIST(Table1[[#This Row],[Birthweight Z-Score (BW-10%)]],TRUE)*100,"")</f>
        <v/>
      </c>
      <c r="L2006" s="7" t="str">
        <f>IF(Table1[[#This Row],[Is Data Valid]]=TRUE,_xlfn.NORM.S.DIST(Table1[[#This Row],[Birthweight Z-Score (BW+10%)]],TRUE)*100,"")</f>
        <v/>
      </c>
    </row>
    <row r="2007" spans="1:12" x14ac:dyDescent="0.35">
      <c r="A2007" s="3"/>
      <c r="B2007" s="2"/>
      <c r="C2007" s="2"/>
      <c r="D2007" s="2" t="b">
        <f>IF(AND(NOT(ISBLANK(Table1[[#This Row],[Fetal Sex (Male, Female or Unknown)]])),ISNUMBER(Table1[[#This Row],[Birthweight (grams)]]),ISNUMBER(Table1[[#This Row],[Gestation (days)]])),TRUE,FALSE)</f>
        <v>0</v>
      </c>
      <c r="E2007" s="2" t="str">
        <f>IF(Table1[[#This Row],[Is Data Valid]]=TRUE,IF(Table1[[#This Row],[Fetal Sex (Male, Female or Unknown)]]="Male",Backend!$C$6,IF(Table1[[#This Row],[Fetal Sex (Male, Female or Unknown)]]="Female",Backend!$C$7,IF(Table1[[#This Row],[Fetal Sex (Male, Female or Unknown)]]="Unknown",Backend!$C$8,"Error"))),"")</f>
        <v/>
      </c>
      <c r="F2007" s="8" t="str">
        <f>IF(Table1[[#This Row],[Is Data Valid]]=TRUE,EXP(0.578+0.332*((Table1[[#This Row],[Gestation (days)]]+0.5)/7)-0.00354*((Table1[[#This Row],[Gestation (days)]]+0.5)/7)^2)*Table1[[#This Row],[BW40_3705]],"")</f>
        <v/>
      </c>
      <c r="G2007" s="2" t="str">
        <f>IF(Table1[[#This Row],[Is Data Valid]]=TRUE,((Table1[[#This Row],[Birthweight (grams)]]/Table1[[#This Row],[BW_GA]])-1)/(Backend!$B$4/100*Table1[[#This Row],[BW40_3705]]),"")</f>
        <v/>
      </c>
      <c r="H2007" s="7" t="str">
        <f>IF(Table1[[#This Row],[Is Data Valid]]=TRUE,((Table1[[#This Row],[Birthweight (grams)]]*0.9/Table1[[#This Row],[BW_GA]])-1)/(Backend!$B$4/100*Table1[[#This Row],[BW40_3705]]),"")</f>
        <v/>
      </c>
      <c r="I2007" s="7" t="str">
        <f>IF(Table1[[#This Row],[Is Data Valid]]=TRUE,((Table1[[#This Row],[Birthweight (grams)]]*1.1/Table1[[#This Row],[BW_GA]])-1)/(Backend!$B$4/100*Table1[[#This Row],[BW40_3705]]),"")</f>
        <v/>
      </c>
      <c r="J2007" s="7" t="str">
        <f>IF(Table1[[#This Row],[Is Data Valid]]=TRUE,_xlfn.NORM.S.DIST(Table1[[#This Row],[Birthweight Z-Score]],TRUE)*100,"")</f>
        <v/>
      </c>
      <c r="K2007" s="7" t="str">
        <f>IF(Table1[[#This Row],[Is Data Valid]]=TRUE,_xlfn.NORM.S.DIST(Table1[[#This Row],[Birthweight Z-Score (BW-10%)]],TRUE)*100,"")</f>
        <v/>
      </c>
      <c r="L2007" s="7" t="str">
        <f>IF(Table1[[#This Row],[Is Data Valid]]=TRUE,_xlfn.NORM.S.DIST(Table1[[#This Row],[Birthweight Z-Score (BW+10%)]],TRUE)*100,"")</f>
        <v/>
      </c>
    </row>
    <row r="2008" spans="1:12" x14ac:dyDescent="0.35">
      <c r="A2008" s="3"/>
      <c r="B2008" s="2"/>
      <c r="C2008" s="2"/>
      <c r="D2008" s="2" t="b">
        <f>IF(AND(NOT(ISBLANK(Table1[[#This Row],[Fetal Sex (Male, Female or Unknown)]])),ISNUMBER(Table1[[#This Row],[Birthweight (grams)]]),ISNUMBER(Table1[[#This Row],[Gestation (days)]])),TRUE,FALSE)</f>
        <v>0</v>
      </c>
      <c r="E2008" s="2" t="str">
        <f>IF(Table1[[#This Row],[Is Data Valid]]=TRUE,IF(Table1[[#This Row],[Fetal Sex (Male, Female or Unknown)]]="Male",Backend!$C$6,IF(Table1[[#This Row],[Fetal Sex (Male, Female or Unknown)]]="Female",Backend!$C$7,IF(Table1[[#This Row],[Fetal Sex (Male, Female or Unknown)]]="Unknown",Backend!$C$8,"Error"))),"")</f>
        <v/>
      </c>
      <c r="F2008" s="8" t="str">
        <f>IF(Table1[[#This Row],[Is Data Valid]]=TRUE,EXP(0.578+0.332*((Table1[[#This Row],[Gestation (days)]]+0.5)/7)-0.00354*((Table1[[#This Row],[Gestation (days)]]+0.5)/7)^2)*Table1[[#This Row],[BW40_3705]],"")</f>
        <v/>
      </c>
      <c r="G2008" s="2" t="str">
        <f>IF(Table1[[#This Row],[Is Data Valid]]=TRUE,((Table1[[#This Row],[Birthweight (grams)]]/Table1[[#This Row],[BW_GA]])-1)/(Backend!$B$4/100*Table1[[#This Row],[BW40_3705]]),"")</f>
        <v/>
      </c>
      <c r="H2008" s="7" t="str">
        <f>IF(Table1[[#This Row],[Is Data Valid]]=TRUE,((Table1[[#This Row],[Birthweight (grams)]]*0.9/Table1[[#This Row],[BW_GA]])-1)/(Backend!$B$4/100*Table1[[#This Row],[BW40_3705]]),"")</f>
        <v/>
      </c>
      <c r="I2008" s="7" t="str">
        <f>IF(Table1[[#This Row],[Is Data Valid]]=TRUE,((Table1[[#This Row],[Birthweight (grams)]]*1.1/Table1[[#This Row],[BW_GA]])-1)/(Backend!$B$4/100*Table1[[#This Row],[BW40_3705]]),"")</f>
        <v/>
      </c>
      <c r="J2008" s="7" t="str">
        <f>IF(Table1[[#This Row],[Is Data Valid]]=TRUE,_xlfn.NORM.S.DIST(Table1[[#This Row],[Birthweight Z-Score]],TRUE)*100,"")</f>
        <v/>
      </c>
      <c r="K2008" s="7" t="str">
        <f>IF(Table1[[#This Row],[Is Data Valid]]=TRUE,_xlfn.NORM.S.DIST(Table1[[#This Row],[Birthweight Z-Score (BW-10%)]],TRUE)*100,"")</f>
        <v/>
      </c>
      <c r="L2008" s="7" t="str">
        <f>IF(Table1[[#This Row],[Is Data Valid]]=TRUE,_xlfn.NORM.S.DIST(Table1[[#This Row],[Birthweight Z-Score (BW+10%)]],TRUE)*100,"")</f>
        <v/>
      </c>
    </row>
    <row r="2009" spans="1:12" x14ac:dyDescent="0.35">
      <c r="A2009" s="3"/>
      <c r="B2009" s="2"/>
      <c r="C2009" s="2"/>
      <c r="D2009" s="2" t="b">
        <f>IF(AND(NOT(ISBLANK(Table1[[#This Row],[Fetal Sex (Male, Female or Unknown)]])),ISNUMBER(Table1[[#This Row],[Birthweight (grams)]]),ISNUMBER(Table1[[#This Row],[Gestation (days)]])),TRUE,FALSE)</f>
        <v>0</v>
      </c>
      <c r="E2009" s="2" t="str">
        <f>IF(Table1[[#This Row],[Is Data Valid]]=TRUE,IF(Table1[[#This Row],[Fetal Sex (Male, Female or Unknown)]]="Male",Backend!$C$6,IF(Table1[[#This Row],[Fetal Sex (Male, Female or Unknown)]]="Female",Backend!$C$7,IF(Table1[[#This Row],[Fetal Sex (Male, Female or Unknown)]]="Unknown",Backend!$C$8,"Error"))),"")</f>
        <v/>
      </c>
      <c r="F2009" s="8" t="str">
        <f>IF(Table1[[#This Row],[Is Data Valid]]=TRUE,EXP(0.578+0.332*((Table1[[#This Row],[Gestation (days)]]+0.5)/7)-0.00354*((Table1[[#This Row],[Gestation (days)]]+0.5)/7)^2)*Table1[[#This Row],[BW40_3705]],"")</f>
        <v/>
      </c>
      <c r="G2009" s="2" t="str">
        <f>IF(Table1[[#This Row],[Is Data Valid]]=TRUE,((Table1[[#This Row],[Birthweight (grams)]]/Table1[[#This Row],[BW_GA]])-1)/(Backend!$B$4/100*Table1[[#This Row],[BW40_3705]]),"")</f>
        <v/>
      </c>
      <c r="H2009" s="7" t="str">
        <f>IF(Table1[[#This Row],[Is Data Valid]]=TRUE,((Table1[[#This Row],[Birthweight (grams)]]*0.9/Table1[[#This Row],[BW_GA]])-1)/(Backend!$B$4/100*Table1[[#This Row],[BW40_3705]]),"")</f>
        <v/>
      </c>
      <c r="I2009" s="7" t="str">
        <f>IF(Table1[[#This Row],[Is Data Valid]]=TRUE,((Table1[[#This Row],[Birthweight (grams)]]*1.1/Table1[[#This Row],[BW_GA]])-1)/(Backend!$B$4/100*Table1[[#This Row],[BW40_3705]]),"")</f>
        <v/>
      </c>
      <c r="J2009" s="7" t="str">
        <f>IF(Table1[[#This Row],[Is Data Valid]]=TRUE,_xlfn.NORM.S.DIST(Table1[[#This Row],[Birthweight Z-Score]],TRUE)*100,"")</f>
        <v/>
      </c>
      <c r="K2009" s="7" t="str">
        <f>IF(Table1[[#This Row],[Is Data Valid]]=TRUE,_xlfn.NORM.S.DIST(Table1[[#This Row],[Birthweight Z-Score (BW-10%)]],TRUE)*100,"")</f>
        <v/>
      </c>
      <c r="L2009" s="7" t="str">
        <f>IF(Table1[[#This Row],[Is Data Valid]]=TRUE,_xlfn.NORM.S.DIST(Table1[[#This Row],[Birthweight Z-Score (BW+10%)]],TRUE)*100,"")</f>
        <v/>
      </c>
    </row>
    <row r="2010" spans="1:12" x14ac:dyDescent="0.35">
      <c r="A2010" s="3"/>
      <c r="B2010" s="2"/>
      <c r="C2010" s="2"/>
      <c r="D2010" s="2" t="b">
        <f>IF(AND(NOT(ISBLANK(Table1[[#This Row],[Fetal Sex (Male, Female or Unknown)]])),ISNUMBER(Table1[[#This Row],[Birthweight (grams)]]),ISNUMBER(Table1[[#This Row],[Gestation (days)]])),TRUE,FALSE)</f>
        <v>0</v>
      </c>
      <c r="E2010" s="2" t="str">
        <f>IF(Table1[[#This Row],[Is Data Valid]]=TRUE,IF(Table1[[#This Row],[Fetal Sex (Male, Female or Unknown)]]="Male",Backend!$C$6,IF(Table1[[#This Row],[Fetal Sex (Male, Female or Unknown)]]="Female",Backend!$C$7,IF(Table1[[#This Row],[Fetal Sex (Male, Female or Unknown)]]="Unknown",Backend!$C$8,"Error"))),"")</f>
        <v/>
      </c>
      <c r="F2010" s="8" t="str">
        <f>IF(Table1[[#This Row],[Is Data Valid]]=TRUE,EXP(0.578+0.332*((Table1[[#This Row],[Gestation (days)]]+0.5)/7)-0.00354*((Table1[[#This Row],[Gestation (days)]]+0.5)/7)^2)*Table1[[#This Row],[BW40_3705]],"")</f>
        <v/>
      </c>
      <c r="G2010" s="2" t="str">
        <f>IF(Table1[[#This Row],[Is Data Valid]]=TRUE,((Table1[[#This Row],[Birthweight (grams)]]/Table1[[#This Row],[BW_GA]])-1)/(Backend!$B$4/100*Table1[[#This Row],[BW40_3705]]),"")</f>
        <v/>
      </c>
      <c r="H2010" s="7" t="str">
        <f>IF(Table1[[#This Row],[Is Data Valid]]=TRUE,((Table1[[#This Row],[Birthweight (grams)]]*0.9/Table1[[#This Row],[BW_GA]])-1)/(Backend!$B$4/100*Table1[[#This Row],[BW40_3705]]),"")</f>
        <v/>
      </c>
      <c r="I2010" s="7" t="str">
        <f>IF(Table1[[#This Row],[Is Data Valid]]=TRUE,((Table1[[#This Row],[Birthweight (grams)]]*1.1/Table1[[#This Row],[BW_GA]])-1)/(Backend!$B$4/100*Table1[[#This Row],[BW40_3705]]),"")</f>
        <v/>
      </c>
      <c r="J2010" s="7" t="str">
        <f>IF(Table1[[#This Row],[Is Data Valid]]=TRUE,_xlfn.NORM.S.DIST(Table1[[#This Row],[Birthweight Z-Score]],TRUE)*100,"")</f>
        <v/>
      </c>
      <c r="K2010" s="7" t="str">
        <f>IF(Table1[[#This Row],[Is Data Valid]]=TRUE,_xlfn.NORM.S.DIST(Table1[[#This Row],[Birthweight Z-Score (BW-10%)]],TRUE)*100,"")</f>
        <v/>
      </c>
      <c r="L2010" s="7" t="str">
        <f>IF(Table1[[#This Row],[Is Data Valid]]=TRUE,_xlfn.NORM.S.DIST(Table1[[#This Row],[Birthweight Z-Score (BW+10%)]],TRUE)*100,"")</f>
        <v/>
      </c>
    </row>
    <row r="2011" spans="1:12" x14ac:dyDescent="0.35">
      <c r="A2011" s="3"/>
      <c r="B2011" s="2"/>
      <c r="C2011" s="2"/>
      <c r="D2011" s="2" t="b">
        <f>IF(AND(NOT(ISBLANK(Table1[[#This Row],[Fetal Sex (Male, Female or Unknown)]])),ISNUMBER(Table1[[#This Row],[Birthweight (grams)]]),ISNUMBER(Table1[[#This Row],[Gestation (days)]])),TRUE,FALSE)</f>
        <v>0</v>
      </c>
      <c r="E2011" s="2" t="str">
        <f>IF(Table1[[#This Row],[Is Data Valid]]=TRUE,IF(Table1[[#This Row],[Fetal Sex (Male, Female or Unknown)]]="Male",Backend!$C$6,IF(Table1[[#This Row],[Fetal Sex (Male, Female or Unknown)]]="Female",Backend!$C$7,IF(Table1[[#This Row],[Fetal Sex (Male, Female or Unknown)]]="Unknown",Backend!$C$8,"Error"))),"")</f>
        <v/>
      </c>
      <c r="F2011" s="8" t="str">
        <f>IF(Table1[[#This Row],[Is Data Valid]]=TRUE,EXP(0.578+0.332*((Table1[[#This Row],[Gestation (days)]]+0.5)/7)-0.00354*((Table1[[#This Row],[Gestation (days)]]+0.5)/7)^2)*Table1[[#This Row],[BW40_3705]],"")</f>
        <v/>
      </c>
      <c r="G2011" s="2" t="str">
        <f>IF(Table1[[#This Row],[Is Data Valid]]=TRUE,((Table1[[#This Row],[Birthweight (grams)]]/Table1[[#This Row],[BW_GA]])-1)/(Backend!$B$4/100*Table1[[#This Row],[BW40_3705]]),"")</f>
        <v/>
      </c>
      <c r="H2011" s="7" t="str">
        <f>IF(Table1[[#This Row],[Is Data Valid]]=TRUE,((Table1[[#This Row],[Birthweight (grams)]]*0.9/Table1[[#This Row],[BW_GA]])-1)/(Backend!$B$4/100*Table1[[#This Row],[BW40_3705]]),"")</f>
        <v/>
      </c>
      <c r="I2011" s="7" t="str">
        <f>IF(Table1[[#This Row],[Is Data Valid]]=TRUE,((Table1[[#This Row],[Birthweight (grams)]]*1.1/Table1[[#This Row],[BW_GA]])-1)/(Backend!$B$4/100*Table1[[#This Row],[BW40_3705]]),"")</f>
        <v/>
      </c>
      <c r="J2011" s="7" t="str">
        <f>IF(Table1[[#This Row],[Is Data Valid]]=TRUE,_xlfn.NORM.S.DIST(Table1[[#This Row],[Birthweight Z-Score]],TRUE)*100,"")</f>
        <v/>
      </c>
      <c r="K2011" s="7" t="str">
        <f>IF(Table1[[#This Row],[Is Data Valid]]=TRUE,_xlfn.NORM.S.DIST(Table1[[#This Row],[Birthweight Z-Score (BW-10%)]],TRUE)*100,"")</f>
        <v/>
      </c>
      <c r="L2011" s="7" t="str">
        <f>IF(Table1[[#This Row],[Is Data Valid]]=TRUE,_xlfn.NORM.S.DIST(Table1[[#This Row],[Birthweight Z-Score (BW+10%)]],TRUE)*100,"")</f>
        <v/>
      </c>
    </row>
    <row r="2012" spans="1:12" x14ac:dyDescent="0.35">
      <c r="A2012" s="3"/>
      <c r="B2012" s="2"/>
      <c r="C2012" s="2"/>
      <c r="D2012" s="2" t="b">
        <f>IF(AND(NOT(ISBLANK(Table1[[#This Row],[Fetal Sex (Male, Female or Unknown)]])),ISNUMBER(Table1[[#This Row],[Birthweight (grams)]]),ISNUMBER(Table1[[#This Row],[Gestation (days)]])),TRUE,FALSE)</f>
        <v>0</v>
      </c>
      <c r="E2012" s="2" t="str">
        <f>IF(Table1[[#This Row],[Is Data Valid]]=TRUE,IF(Table1[[#This Row],[Fetal Sex (Male, Female or Unknown)]]="Male",Backend!$C$6,IF(Table1[[#This Row],[Fetal Sex (Male, Female or Unknown)]]="Female",Backend!$C$7,IF(Table1[[#This Row],[Fetal Sex (Male, Female or Unknown)]]="Unknown",Backend!$C$8,"Error"))),"")</f>
        <v/>
      </c>
      <c r="F2012" s="8" t="str">
        <f>IF(Table1[[#This Row],[Is Data Valid]]=TRUE,EXP(0.578+0.332*((Table1[[#This Row],[Gestation (days)]]+0.5)/7)-0.00354*((Table1[[#This Row],[Gestation (days)]]+0.5)/7)^2)*Table1[[#This Row],[BW40_3705]],"")</f>
        <v/>
      </c>
      <c r="G2012" s="2" t="str">
        <f>IF(Table1[[#This Row],[Is Data Valid]]=TRUE,((Table1[[#This Row],[Birthweight (grams)]]/Table1[[#This Row],[BW_GA]])-1)/(Backend!$B$4/100*Table1[[#This Row],[BW40_3705]]),"")</f>
        <v/>
      </c>
      <c r="H2012" s="7" t="str">
        <f>IF(Table1[[#This Row],[Is Data Valid]]=TRUE,((Table1[[#This Row],[Birthweight (grams)]]*0.9/Table1[[#This Row],[BW_GA]])-1)/(Backend!$B$4/100*Table1[[#This Row],[BW40_3705]]),"")</f>
        <v/>
      </c>
      <c r="I2012" s="7" t="str">
        <f>IF(Table1[[#This Row],[Is Data Valid]]=TRUE,((Table1[[#This Row],[Birthweight (grams)]]*1.1/Table1[[#This Row],[BW_GA]])-1)/(Backend!$B$4/100*Table1[[#This Row],[BW40_3705]]),"")</f>
        <v/>
      </c>
      <c r="J2012" s="7" t="str">
        <f>IF(Table1[[#This Row],[Is Data Valid]]=TRUE,_xlfn.NORM.S.DIST(Table1[[#This Row],[Birthweight Z-Score]],TRUE)*100,"")</f>
        <v/>
      </c>
      <c r="K2012" s="7" t="str">
        <f>IF(Table1[[#This Row],[Is Data Valid]]=TRUE,_xlfn.NORM.S.DIST(Table1[[#This Row],[Birthweight Z-Score (BW-10%)]],TRUE)*100,"")</f>
        <v/>
      </c>
      <c r="L2012" s="7" t="str">
        <f>IF(Table1[[#This Row],[Is Data Valid]]=TRUE,_xlfn.NORM.S.DIST(Table1[[#This Row],[Birthweight Z-Score (BW+10%)]],TRUE)*100,"")</f>
        <v/>
      </c>
    </row>
    <row r="2013" spans="1:12" x14ac:dyDescent="0.35">
      <c r="A2013" s="3"/>
      <c r="B2013" s="2"/>
      <c r="C2013" s="2"/>
      <c r="D2013" s="2" t="b">
        <f>IF(AND(NOT(ISBLANK(Table1[[#This Row],[Fetal Sex (Male, Female or Unknown)]])),ISNUMBER(Table1[[#This Row],[Birthweight (grams)]]),ISNUMBER(Table1[[#This Row],[Gestation (days)]])),TRUE,FALSE)</f>
        <v>0</v>
      </c>
      <c r="E2013" s="2" t="str">
        <f>IF(Table1[[#This Row],[Is Data Valid]]=TRUE,IF(Table1[[#This Row],[Fetal Sex (Male, Female or Unknown)]]="Male",Backend!$C$6,IF(Table1[[#This Row],[Fetal Sex (Male, Female or Unknown)]]="Female",Backend!$C$7,IF(Table1[[#This Row],[Fetal Sex (Male, Female or Unknown)]]="Unknown",Backend!$C$8,"Error"))),"")</f>
        <v/>
      </c>
      <c r="F2013" s="8" t="str">
        <f>IF(Table1[[#This Row],[Is Data Valid]]=TRUE,EXP(0.578+0.332*((Table1[[#This Row],[Gestation (days)]]+0.5)/7)-0.00354*((Table1[[#This Row],[Gestation (days)]]+0.5)/7)^2)*Table1[[#This Row],[BW40_3705]],"")</f>
        <v/>
      </c>
      <c r="G2013" s="2" t="str">
        <f>IF(Table1[[#This Row],[Is Data Valid]]=TRUE,((Table1[[#This Row],[Birthweight (grams)]]/Table1[[#This Row],[BW_GA]])-1)/(Backend!$B$4/100*Table1[[#This Row],[BW40_3705]]),"")</f>
        <v/>
      </c>
      <c r="H2013" s="7" t="str">
        <f>IF(Table1[[#This Row],[Is Data Valid]]=TRUE,((Table1[[#This Row],[Birthweight (grams)]]*0.9/Table1[[#This Row],[BW_GA]])-1)/(Backend!$B$4/100*Table1[[#This Row],[BW40_3705]]),"")</f>
        <v/>
      </c>
      <c r="I2013" s="7" t="str">
        <f>IF(Table1[[#This Row],[Is Data Valid]]=TRUE,((Table1[[#This Row],[Birthweight (grams)]]*1.1/Table1[[#This Row],[BW_GA]])-1)/(Backend!$B$4/100*Table1[[#This Row],[BW40_3705]]),"")</f>
        <v/>
      </c>
      <c r="J2013" s="7" t="str">
        <f>IF(Table1[[#This Row],[Is Data Valid]]=TRUE,_xlfn.NORM.S.DIST(Table1[[#This Row],[Birthweight Z-Score]],TRUE)*100,"")</f>
        <v/>
      </c>
      <c r="K2013" s="7" t="str">
        <f>IF(Table1[[#This Row],[Is Data Valid]]=TRUE,_xlfn.NORM.S.DIST(Table1[[#This Row],[Birthweight Z-Score (BW-10%)]],TRUE)*100,"")</f>
        <v/>
      </c>
      <c r="L2013" s="7" t="str">
        <f>IF(Table1[[#This Row],[Is Data Valid]]=TRUE,_xlfn.NORM.S.DIST(Table1[[#This Row],[Birthweight Z-Score (BW+10%)]],TRUE)*100,"")</f>
        <v/>
      </c>
    </row>
    <row r="2014" spans="1:12" x14ac:dyDescent="0.35">
      <c r="A2014" s="3"/>
      <c r="B2014" s="2"/>
      <c r="C2014" s="2"/>
      <c r="D2014" s="2" t="b">
        <f>IF(AND(NOT(ISBLANK(Table1[[#This Row],[Fetal Sex (Male, Female or Unknown)]])),ISNUMBER(Table1[[#This Row],[Birthweight (grams)]]),ISNUMBER(Table1[[#This Row],[Gestation (days)]])),TRUE,FALSE)</f>
        <v>0</v>
      </c>
      <c r="E2014" s="2" t="str">
        <f>IF(Table1[[#This Row],[Is Data Valid]]=TRUE,IF(Table1[[#This Row],[Fetal Sex (Male, Female or Unknown)]]="Male",Backend!$C$6,IF(Table1[[#This Row],[Fetal Sex (Male, Female or Unknown)]]="Female",Backend!$C$7,IF(Table1[[#This Row],[Fetal Sex (Male, Female or Unknown)]]="Unknown",Backend!$C$8,"Error"))),"")</f>
        <v/>
      </c>
      <c r="F2014" s="8" t="str">
        <f>IF(Table1[[#This Row],[Is Data Valid]]=TRUE,EXP(0.578+0.332*((Table1[[#This Row],[Gestation (days)]]+0.5)/7)-0.00354*((Table1[[#This Row],[Gestation (days)]]+0.5)/7)^2)*Table1[[#This Row],[BW40_3705]],"")</f>
        <v/>
      </c>
      <c r="G2014" s="2" t="str">
        <f>IF(Table1[[#This Row],[Is Data Valid]]=TRUE,((Table1[[#This Row],[Birthweight (grams)]]/Table1[[#This Row],[BW_GA]])-1)/(Backend!$B$4/100*Table1[[#This Row],[BW40_3705]]),"")</f>
        <v/>
      </c>
      <c r="H2014" s="7" t="str">
        <f>IF(Table1[[#This Row],[Is Data Valid]]=TRUE,((Table1[[#This Row],[Birthweight (grams)]]*0.9/Table1[[#This Row],[BW_GA]])-1)/(Backend!$B$4/100*Table1[[#This Row],[BW40_3705]]),"")</f>
        <v/>
      </c>
      <c r="I2014" s="7" t="str">
        <f>IF(Table1[[#This Row],[Is Data Valid]]=TRUE,((Table1[[#This Row],[Birthweight (grams)]]*1.1/Table1[[#This Row],[BW_GA]])-1)/(Backend!$B$4/100*Table1[[#This Row],[BW40_3705]]),"")</f>
        <v/>
      </c>
      <c r="J2014" s="7" t="str">
        <f>IF(Table1[[#This Row],[Is Data Valid]]=TRUE,_xlfn.NORM.S.DIST(Table1[[#This Row],[Birthweight Z-Score]],TRUE)*100,"")</f>
        <v/>
      </c>
      <c r="K2014" s="7" t="str">
        <f>IF(Table1[[#This Row],[Is Data Valid]]=TRUE,_xlfn.NORM.S.DIST(Table1[[#This Row],[Birthweight Z-Score (BW-10%)]],TRUE)*100,"")</f>
        <v/>
      </c>
      <c r="L2014" s="7" t="str">
        <f>IF(Table1[[#This Row],[Is Data Valid]]=TRUE,_xlfn.NORM.S.DIST(Table1[[#This Row],[Birthweight Z-Score (BW+10%)]],TRUE)*100,"")</f>
        <v/>
      </c>
    </row>
    <row r="2015" spans="1:12" x14ac:dyDescent="0.35">
      <c r="A2015" s="3"/>
      <c r="B2015" s="2"/>
      <c r="C2015" s="2"/>
      <c r="D2015" s="2" t="b">
        <f>IF(AND(NOT(ISBLANK(Table1[[#This Row],[Fetal Sex (Male, Female or Unknown)]])),ISNUMBER(Table1[[#This Row],[Birthweight (grams)]]),ISNUMBER(Table1[[#This Row],[Gestation (days)]])),TRUE,FALSE)</f>
        <v>0</v>
      </c>
      <c r="E2015" s="2" t="str">
        <f>IF(Table1[[#This Row],[Is Data Valid]]=TRUE,IF(Table1[[#This Row],[Fetal Sex (Male, Female or Unknown)]]="Male",Backend!$C$6,IF(Table1[[#This Row],[Fetal Sex (Male, Female or Unknown)]]="Female",Backend!$C$7,IF(Table1[[#This Row],[Fetal Sex (Male, Female or Unknown)]]="Unknown",Backend!$C$8,"Error"))),"")</f>
        <v/>
      </c>
      <c r="F2015" s="8" t="str">
        <f>IF(Table1[[#This Row],[Is Data Valid]]=TRUE,EXP(0.578+0.332*((Table1[[#This Row],[Gestation (days)]]+0.5)/7)-0.00354*((Table1[[#This Row],[Gestation (days)]]+0.5)/7)^2)*Table1[[#This Row],[BW40_3705]],"")</f>
        <v/>
      </c>
      <c r="G2015" s="2" t="str">
        <f>IF(Table1[[#This Row],[Is Data Valid]]=TRUE,((Table1[[#This Row],[Birthweight (grams)]]/Table1[[#This Row],[BW_GA]])-1)/(Backend!$B$4/100*Table1[[#This Row],[BW40_3705]]),"")</f>
        <v/>
      </c>
      <c r="H2015" s="7" t="str">
        <f>IF(Table1[[#This Row],[Is Data Valid]]=TRUE,((Table1[[#This Row],[Birthweight (grams)]]*0.9/Table1[[#This Row],[BW_GA]])-1)/(Backend!$B$4/100*Table1[[#This Row],[BW40_3705]]),"")</f>
        <v/>
      </c>
      <c r="I2015" s="7" t="str">
        <f>IF(Table1[[#This Row],[Is Data Valid]]=TRUE,((Table1[[#This Row],[Birthweight (grams)]]*1.1/Table1[[#This Row],[BW_GA]])-1)/(Backend!$B$4/100*Table1[[#This Row],[BW40_3705]]),"")</f>
        <v/>
      </c>
      <c r="J2015" s="7" t="str">
        <f>IF(Table1[[#This Row],[Is Data Valid]]=TRUE,_xlfn.NORM.S.DIST(Table1[[#This Row],[Birthweight Z-Score]],TRUE)*100,"")</f>
        <v/>
      </c>
      <c r="K2015" s="7" t="str">
        <f>IF(Table1[[#This Row],[Is Data Valid]]=TRUE,_xlfn.NORM.S.DIST(Table1[[#This Row],[Birthweight Z-Score (BW-10%)]],TRUE)*100,"")</f>
        <v/>
      </c>
      <c r="L2015" s="7" t="str">
        <f>IF(Table1[[#This Row],[Is Data Valid]]=TRUE,_xlfn.NORM.S.DIST(Table1[[#This Row],[Birthweight Z-Score (BW+10%)]],TRUE)*100,"")</f>
        <v/>
      </c>
    </row>
    <row r="2016" spans="1:12" x14ac:dyDescent="0.35">
      <c r="A2016" s="3"/>
      <c r="B2016" s="2"/>
      <c r="C2016" s="2"/>
      <c r="D2016" s="2" t="b">
        <f>IF(AND(NOT(ISBLANK(Table1[[#This Row],[Fetal Sex (Male, Female or Unknown)]])),ISNUMBER(Table1[[#This Row],[Birthweight (grams)]]),ISNUMBER(Table1[[#This Row],[Gestation (days)]])),TRUE,FALSE)</f>
        <v>0</v>
      </c>
      <c r="E2016" s="2" t="str">
        <f>IF(Table1[[#This Row],[Is Data Valid]]=TRUE,IF(Table1[[#This Row],[Fetal Sex (Male, Female or Unknown)]]="Male",Backend!$C$6,IF(Table1[[#This Row],[Fetal Sex (Male, Female or Unknown)]]="Female",Backend!$C$7,IF(Table1[[#This Row],[Fetal Sex (Male, Female or Unknown)]]="Unknown",Backend!$C$8,"Error"))),"")</f>
        <v/>
      </c>
      <c r="F2016" s="8" t="str">
        <f>IF(Table1[[#This Row],[Is Data Valid]]=TRUE,EXP(0.578+0.332*((Table1[[#This Row],[Gestation (days)]]+0.5)/7)-0.00354*((Table1[[#This Row],[Gestation (days)]]+0.5)/7)^2)*Table1[[#This Row],[BW40_3705]],"")</f>
        <v/>
      </c>
      <c r="G2016" s="2" t="str">
        <f>IF(Table1[[#This Row],[Is Data Valid]]=TRUE,((Table1[[#This Row],[Birthweight (grams)]]/Table1[[#This Row],[BW_GA]])-1)/(Backend!$B$4/100*Table1[[#This Row],[BW40_3705]]),"")</f>
        <v/>
      </c>
      <c r="H2016" s="7" t="str">
        <f>IF(Table1[[#This Row],[Is Data Valid]]=TRUE,((Table1[[#This Row],[Birthweight (grams)]]*0.9/Table1[[#This Row],[BW_GA]])-1)/(Backend!$B$4/100*Table1[[#This Row],[BW40_3705]]),"")</f>
        <v/>
      </c>
      <c r="I2016" s="7" t="str">
        <f>IF(Table1[[#This Row],[Is Data Valid]]=TRUE,((Table1[[#This Row],[Birthweight (grams)]]*1.1/Table1[[#This Row],[BW_GA]])-1)/(Backend!$B$4/100*Table1[[#This Row],[BW40_3705]]),"")</f>
        <v/>
      </c>
      <c r="J2016" s="7" t="str">
        <f>IF(Table1[[#This Row],[Is Data Valid]]=TRUE,_xlfn.NORM.S.DIST(Table1[[#This Row],[Birthweight Z-Score]],TRUE)*100,"")</f>
        <v/>
      </c>
      <c r="K2016" s="7" t="str">
        <f>IF(Table1[[#This Row],[Is Data Valid]]=TRUE,_xlfn.NORM.S.DIST(Table1[[#This Row],[Birthweight Z-Score (BW-10%)]],TRUE)*100,"")</f>
        <v/>
      </c>
      <c r="L2016" s="7" t="str">
        <f>IF(Table1[[#This Row],[Is Data Valid]]=TRUE,_xlfn.NORM.S.DIST(Table1[[#This Row],[Birthweight Z-Score (BW+10%)]],TRUE)*100,"")</f>
        <v/>
      </c>
    </row>
    <row r="2017" spans="1:12" x14ac:dyDescent="0.35">
      <c r="A2017" s="3"/>
      <c r="B2017" s="2"/>
      <c r="C2017" s="2"/>
      <c r="D2017" s="2" t="b">
        <f>IF(AND(NOT(ISBLANK(Table1[[#This Row],[Fetal Sex (Male, Female or Unknown)]])),ISNUMBER(Table1[[#This Row],[Birthweight (grams)]]),ISNUMBER(Table1[[#This Row],[Gestation (days)]])),TRUE,FALSE)</f>
        <v>0</v>
      </c>
      <c r="E2017" s="2" t="str">
        <f>IF(Table1[[#This Row],[Is Data Valid]]=TRUE,IF(Table1[[#This Row],[Fetal Sex (Male, Female or Unknown)]]="Male",Backend!$C$6,IF(Table1[[#This Row],[Fetal Sex (Male, Female or Unknown)]]="Female",Backend!$C$7,IF(Table1[[#This Row],[Fetal Sex (Male, Female or Unknown)]]="Unknown",Backend!$C$8,"Error"))),"")</f>
        <v/>
      </c>
      <c r="F2017" s="8" t="str">
        <f>IF(Table1[[#This Row],[Is Data Valid]]=TRUE,EXP(0.578+0.332*((Table1[[#This Row],[Gestation (days)]]+0.5)/7)-0.00354*((Table1[[#This Row],[Gestation (days)]]+0.5)/7)^2)*Table1[[#This Row],[BW40_3705]],"")</f>
        <v/>
      </c>
      <c r="G2017" s="2" t="str">
        <f>IF(Table1[[#This Row],[Is Data Valid]]=TRUE,((Table1[[#This Row],[Birthweight (grams)]]/Table1[[#This Row],[BW_GA]])-1)/(Backend!$B$4/100*Table1[[#This Row],[BW40_3705]]),"")</f>
        <v/>
      </c>
      <c r="H2017" s="7" t="str">
        <f>IF(Table1[[#This Row],[Is Data Valid]]=TRUE,((Table1[[#This Row],[Birthweight (grams)]]*0.9/Table1[[#This Row],[BW_GA]])-1)/(Backend!$B$4/100*Table1[[#This Row],[BW40_3705]]),"")</f>
        <v/>
      </c>
      <c r="I2017" s="7" t="str">
        <f>IF(Table1[[#This Row],[Is Data Valid]]=TRUE,((Table1[[#This Row],[Birthweight (grams)]]*1.1/Table1[[#This Row],[BW_GA]])-1)/(Backend!$B$4/100*Table1[[#This Row],[BW40_3705]]),"")</f>
        <v/>
      </c>
      <c r="J2017" s="7" t="str">
        <f>IF(Table1[[#This Row],[Is Data Valid]]=TRUE,_xlfn.NORM.S.DIST(Table1[[#This Row],[Birthweight Z-Score]],TRUE)*100,"")</f>
        <v/>
      </c>
      <c r="K2017" s="7" t="str">
        <f>IF(Table1[[#This Row],[Is Data Valid]]=TRUE,_xlfn.NORM.S.DIST(Table1[[#This Row],[Birthweight Z-Score (BW-10%)]],TRUE)*100,"")</f>
        <v/>
      </c>
      <c r="L2017" s="7" t="str">
        <f>IF(Table1[[#This Row],[Is Data Valid]]=TRUE,_xlfn.NORM.S.DIST(Table1[[#This Row],[Birthweight Z-Score (BW+10%)]],TRUE)*100,"")</f>
        <v/>
      </c>
    </row>
    <row r="2018" spans="1:12" x14ac:dyDescent="0.35">
      <c r="A2018" s="3"/>
      <c r="B2018" s="2"/>
      <c r="C2018" s="2"/>
      <c r="D2018" s="2" t="b">
        <f>IF(AND(NOT(ISBLANK(Table1[[#This Row],[Fetal Sex (Male, Female or Unknown)]])),ISNUMBER(Table1[[#This Row],[Birthweight (grams)]]),ISNUMBER(Table1[[#This Row],[Gestation (days)]])),TRUE,FALSE)</f>
        <v>0</v>
      </c>
      <c r="E2018" s="2" t="str">
        <f>IF(Table1[[#This Row],[Is Data Valid]]=TRUE,IF(Table1[[#This Row],[Fetal Sex (Male, Female or Unknown)]]="Male",Backend!$C$6,IF(Table1[[#This Row],[Fetal Sex (Male, Female or Unknown)]]="Female",Backend!$C$7,IF(Table1[[#This Row],[Fetal Sex (Male, Female or Unknown)]]="Unknown",Backend!$C$8,"Error"))),"")</f>
        <v/>
      </c>
      <c r="F2018" s="8" t="str">
        <f>IF(Table1[[#This Row],[Is Data Valid]]=TRUE,EXP(0.578+0.332*((Table1[[#This Row],[Gestation (days)]]+0.5)/7)-0.00354*((Table1[[#This Row],[Gestation (days)]]+0.5)/7)^2)*Table1[[#This Row],[BW40_3705]],"")</f>
        <v/>
      </c>
      <c r="G2018" s="2" t="str">
        <f>IF(Table1[[#This Row],[Is Data Valid]]=TRUE,((Table1[[#This Row],[Birthweight (grams)]]/Table1[[#This Row],[BW_GA]])-1)/(Backend!$B$4/100*Table1[[#This Row],[BW40_3705]]),"")</f>
        <v/>
      </c>
      <c r="H2018" s="7" t="str">
        <f>IF(Table1[[#This Row],[Is Data Valid]]=TRUE,((Table1[[#This Row],[Birthweight (grams)]]*0.9/Table1[[#This Row],[BW_GA]])-1)/(Backend!$B$4/100*Table1[[#This Row],[BW40_3705]]),"")</f>
        <v/>
      </c>
      <c r="I2018" s="7" t="str">
        <f>IF(Table1[[#This Row],[Is Data Valid]]=TRUE,((Table1[[#This Row],[Birthweight (grams)]]*1.1/Table1[[#This Row],[BW_GA]])-1)/(Backend!$B$4/100*Table1[[#This Row],[BW40_3705]]),"")</f>
        <v/>
      </c>
      <c r="J2018" s="7" t="str">
        <f>IF(Table1[[#This Row],[Is Data Valid]]=TRUE,_xlfn.NORM.S.DIST(Table1[[#This Row],[Birthweight Z-Score]],TRUE)*100,"")</f>
        <v/>
      </c>
      <c r="K2018" s="7" t="str">
        <f>IF(Table1[[#This Row],[Is Data Valid]]=TRUE,_xlfn.NORM.S.DIST(Table1[[#This Row],[Birthweight Z-Score (BW-10%)]],TRUE)*100,"")</f>
        <v/>
      </c>
      <c r="L2018" s="7" t="str">
        <f>IF(Table1[[#This Row],[Is Data Valid]]=TRUE,_xlfn.NORM.S.DIST(Table1[[#This Row],[Birthweight Z-Score (BW+10%)]],TRUE)*100,"")</f>
        <v/>
      </c>
    </row>
    <row r="2019" spans="1:12" x14ac:dyDescent="0.35">
      <c r="A2019" s="3"/>
      <c r="B2019" s="2"/>
      <c r="C2019" s="2"/>
      <c r="D2019" s="2" t="b">
        <f>IF(AND(NOT(ISBLANK(Table1[[#This Row],[Fetal Sex (Male, Female or Unknown)]])),ISNUMBER(Table1[[#This Row],[Birthweight (grams)]]),ISNUMBER(Table1[[#This Row],[Gestation (days)]])),TRUE,FALSE)</f>
        <v>0</v>
      </c>
      <c r="E2019" s="2" t="str">
        <f>IF(Table1[[#This Row],[Is Data Valid]]=TRUE,IF(Table1[[#This Row],[Fetal Sex (Male, Female or Unknown)]]="Male",Backend!$C$6,IF(Table1[[#This Row],[Fetal Sex (Male, Female or Unknown)]]="Female",Backend!$C$7,IF(Table1[[#This Row],[Fetal Sex (Male, Female or Unknown)]]="Unknown",Backend!$C$8,"Error"))),"")</f>
        <v/>
      </c>
      <c r="F2019" s="8" t="str">
        <f>IF(Table1[[#This Row],[Is Data Valid]]=TRUE,EXP(0.578+0.332*((Table1[[#This Row],[Gestation (days)]]+0.5)/7)-0.00354*((Table1[[#This Row],[Gestation (days)]]+0.5)/7)^2)*Table1[[#This Row],[BW40_3705]],"")</f>
        <v/>
      </c>
      <c r="G2019" s="2" t="str">
        <f>IF(Table1[[#This Row],[Is Data Valid]]=TRUE,((Table1[[#This Row],[Birthweight (grams)]]/Table1[[#This Row],[BW_GA]])-1)/(Backend!$B$4/100*Table1[[#This Row],[BW40_3705]]),"")</f>
        <v/>
      </c>
      <c r="H2019" s="7" t="str">
        <f>IF(Table1[[#This Row],[Is Data Valid]]=TRUE,((Table1[[#This Row],[Birthweight (grams)]]*0.9/Table1[[#This Row],[BW_GA]])-1)/(Backend!$B$4/100*Table1[[#This Row],[BW40_3705]]),"")</f>
        <v/>
      </c>
      <c r="I2019" s="7" t="str">
        <f>IF(Table1[[#This Row],[Is Data Valid]]=TRUE,((Table1[[#This Row],[Birthweight (grams)]]*1.1/Table1[[#This Row],[BW_GA]])-1)/(Backend!$B$4/100*Table1[[#This Row],[BW40_3705]]),"")</f>
        <v/>
      </c>
      <c r="J2019" s="7" t="str">
        <f>IF(Table1[[#This Row],[Is Data Valid]]=TRUE,_xlfn.NORM.S.DIST(Table1[[#This Row],[Birthweight Z-Score]],TRUE)*100,"")</f>
        <v/>
      </c>
      <c r="K2019" s="7" t="str">
        <f>IF(Table1[[#This Row],[Is Data Valid]]=TRUE,_xlfn.NORM.S.DIST(Table1[[#This Row],[Birthweight Z-Score (BW-10%)]],TRUE)*100,"")</f>
        <v/>
      </c>
      <c r="L2019" s="7" t="str">
        <f>IF(Table1[[#This Row],[Is Data Valid]]=TRUE,_xlfn.NORM.S.DIST(Table1[[#This Row],[Birthweight Z-Score (BW+10%)]],TRUE)*100,"")</f>
        <v/>
      </c>
    </row>
    <row r="2020" spans="1:12" x14ac:dyDescent="0.35">
      <c r="A2020" s="3"/>
      <c r="B2020" s="2"/>
      <c r="C2020" s="2"/>
      <c r="D2020" s="2" t="b">
        <f>IF(AND(NOT(ISBLANK(Table1[[#This Row],[Fetal Sex (Male, Female or Unknown)]])),ISNUMBER(Table1[[#This Row],[Birthweight (grams)]]),ISNUMBER(Table1[[#This Row],[Gestation (days)]])),TRUE,FALSE)</f>
        <v>0</v>
      </c>
      <c r="E2020" s="2" t="str">
        <f>IF(Table1[[#This Row],[Is Data Valid]]=TRUE,IF(Table1[[#This Row],[Fetal Sex (Male, Female or Unknown)]]="Male",Backend!$C$6,IF(Table1[[#This Row],[Fetal Sex (Male, Female or Unknown)]]="Female",Backend!$C$7,IF(Table1[[#This Row],[Fetal Sex (Male, Female or Unknown)]]="Unknown",Backend!$C$8,"Error"))),"")</f>
        <v/>
      </c>
      <c r="F2020" s="8" t="str">
        <f>IF(Table1[[#This Row],[Is Data Valid]]=TRUE,EXP(0.578+0.332*((Table1[[#This Row],[Gestation (days)]]+0.5)/7)-0.00354*((Table1[[#This Row],[Gestation (days)]]+0.5)/7)^2)*Table1[[#This Row],[BW40_3705]],"")</f>
        <v/>
      </c>
      <c r="G2020" s="2" t="str">
        <f>IF(Table1[[#This Row],[Is Data Valid]]=TRUE,((Table1[[#This Row],[Birthweight (grams)]]/Table1[[#This Row],[BW_GA]])-1)/(Backend!$B$4/100*Table1[[#This Row],[BW40_3705]]),"")</f>
        <v/>
      </c>
      <c r="H2020" s="7" t="str">
        <f>IF(Table1[[#This Row],[Is Data Valid]]=TRUE,((Table1[[#This Row],[Birthweight (grams)]]*0.9/Table1[[#This Row],[BW_GA]])-1)/(Backend!$B$4/100*Table1[[#This Row],[BW40_3705]]),"")</f>
        <v/>
      </c>
      <c r="I2020" s="7" t="str">
        <f>IF(Table1[[#This Row],[Is Data Valid]]=TRUE,((Table1[[#This Row],[Birthweight (grams)]]*1.1/Table1[[#This Row],[BW_GA]])-1)/(Backend!$B$4/100*Table1[[#This Row],[BW40_3705]]),"")</f>
        <v/>
      </c>
      <c r="J2020" s="7" t="str">
        <f>IF(Table1[[#This Row],[Is Data Valid]]=TRUE,_xlfn.NORM.S.DIST(Table1[[#This Row],[Birthweight Z-Score]],TRUE)*100,"")</f>
        <v/>
      </c>
      <c r="K2020" s="7" t="str">
        <f>IF(Table1[[#This Row],[Is Data Valid]]=TRUE,_xlfn.NORM.S.DIST(Table1[[#This Row],[Birthweight Z-Score (BW-10%)]],TRUE)*100,"")</f>
        <v/>
      </c>
      <c r="L2020" s="7" t="str">
        <f>IF(Table1[[#This Row],[Is Data Valid]]=TRUE,_xlfn.NORM.S.DIST(Table1[[#This Row],[Birthweight Z-Score (BW+10%)]],TRUE)*100,"")</f>
        <v/>
      </c>
    </row>
    <row r="2021" spans="1:12" x14ac:dyDescent="0.35">
      <c r="A2021" s="3"/>
      <c r="B2021" s="2"/>
      <c r="C2021" s="2"/>
      <c r="D2021" s="2" t="b">
        <f>IF(AND(NOT(ISBLANK(Table1[[#This Row],[Fetal Sex (Male, Female or Unknown)]])),ISNUMBER(Table1[[#This Row],[Birthweight (grams)]]),ISNUMBER(Table1[[#This Row],[Gestation (days)]])),TRUE,FALSE)</f>
        <v>0</v>
      </c>
      <c r="E2021" s="2" t="str">
        <f>IF(Table1[[#This Row],[Is Data Valid]]=TRUE,IF(Table1[[#This Row],[Fetal Sex (Male, Female or Unknown)]]="Male",Backend!$C$6,IF(Table1[[#This Row],[Fetal Sex (Male, Female or Unknown)]]="Female",Backend!$C$7,IF(Table1[[#This Row],[Fetal Sex (Male, Female or Unknown)]]="Unknown",Backend!$C$8,"Error"))),"")</f>
        <v/>
      </c>
      <c r="F2021" s="8" t="str">
        <f>IF(Table1[[#This Row],[Is Data Valid]]=TRUE,EXP(0.578+0.332*((Table1[[#This Row],[Gestation (days)]]+0.5)/7)-0.00354*((Table1[[#This Row],[Gestation (days)]]+0.5)/7)^2)*Table1[[#This Row],[BW40_3705]],"")</f>
        <v/>
      </c>
      <c r="G2021" s="2" t="str">
        <f>IF(Table1[[#This Row],[Is Data Valid]]=TRUE,((Table1[[#This Row],[Birthweight (grams)]]/Table1[[#This Row],[BW_GA]])-1)/(Backend!$B$4/100*Table1[[#This Row],[BW40_3705]]),"")</f>
        <v/>
      </c>
      <c r="H2021" s="7" t="str">
        <f>IF(Table1[[#This Row],[Is Data Valid]]=TRUE,((Table1[[#This Row],[Birthweight (grams)]]*0.9/Table1[[#This Row],[BW_GA]])-1)/(Backend!$B$4/100*Table1[[#This Row],[BW40_3705]]),"")</f>
        <v/>
      </c>
      <c r="I2021" s="7" t="str">
        <f>IF(Table1[[#This Row],[Is Data Valid]]=TRUE,((Table1[[#This Row],[Birthweight (grams)]]*1.1/Table1[[#This Row],[BW_GA]])-1)/(Backend!$B$4/100*Table1[[#This Row],[BW40_3705]]),"")</f>
        <v/>
      </c>
      <c r="J2021" s="7" t="str">
        <f>IF(Table1[[#This Row],[Is Data Valid]]=TRUE,_xlfn.NORM.S.DIST(Table1[[#This Row],[Birthweight Z-Score]],TRUE)*100,"")</f>
        <v/>
      </c>
      <c r="K2021" s="7" t="str">
        <f>IF(Table1[[#This Row],[Is Data Valid]]=TRUE,_xlfn.NORM.S.DIST(Table1[[#This Row],[Birthweight Z-Score (BW-10%)]],TRUE)*100,"")</f>
        <v/>
      </c>
      <c r="L2021" s="7" t="str">
        <f>IF(Table1[[#This Row],[Is Data Valid]]=TRUE,_xlfn.NORM.S.DIST(Table1[[#This Row],[Birthweight Z-Score (BW+10%)]],TRUE)*100,"")</f>
        <v/>
      </c>
    </row>
    <row r="2022" spans="1:12" x14ac:dyDescent="0.35">
      <c r="A2022" s="3"/>
      <c r="B2022" s="2"/>
      <c r="C2022" s="2"/>
      <c r="D2022" s="2" t="b">
        <f>IF(AND(NOT(ISBLANK(Table1[[#This Row],[Fetal Sex (Male, Female or Unknown)]])),ISNUMBER(Table1[[#This Row],[Birthweight (grams)]]),ISNUMBER(Table1[[#This Row],[Gestation (days)]])),TRUE,FALSE)</f>
        <v>0</v>
      </c>
      <c r="E2022" s="2" t="str">
        <f>IF(Table1[[#This Row],[Is Data Valid]]=TRUE,IF(Table1[[#This Row],[Fetal Sex (Male, Female or Unknown)]]="Male",Backend!$C$6,IF(Table1[[#This Row],[Fetal Sex (Male, Female or Unknown)]]="Female",Backend!$C$7,IF(Table1[[#This Row],[Fetal Sex (Male, Female or Unknown)]]="Unknown",Backend!$C$8,"Error"))),"")</f>
        <v/>
      </c>
      <c r="F2022" s="8" t="str">
        <f>IF(Table1[[#This Row],[Is Data Valid]]=TRUE,EXP(0.578+0.332*((Table1[[#This Row],[Gestation (days)]]+0.5)/7)-0.00354*((Table1[[#This Row],[Gestation (days)]]+0.5)/7)^2)*Table1[[#This Row],[BW40_3705]],"")</f>
        <v/>
      </c>
      <c r="G2022" s="2" t="str">
        <f>IF(Table1[[#This Row],[Is Data Valid]]=TRUE,((Table1[[#This Row],[Birthweight (grams)]]/Table1[[#This Row],[BW_GA]])-1)/(Backend!$B$4/100*Table1[[#This Row],[BW40_3705]]),"")</f>
        <v/>
      </c>
      <c r="H2022" s="7" t="str">
        <f>IF(Table1[[#This Row],[Is Data Valid]]=TRUE,((Table1[[#This Row],[Birthweight (grams)]]*0.9/Table1[[#This Row],[BW_GA]])-1)/(Backend!$B$4/100*Table1[[#This Row],[BW40_3705]]),"")</f>
        <v/>
      </c>
      <c r="I2022" s="7" t="str">
        <f>IF(Table1[[#This Row],[Is Data Valid]]=TRUE,((Table1[[#This Row],[Birthweight (grams)]]*1.1/Table1[[#This Row],[BW_GA]])-1)/(Backend!$B$4/100*Table1[[#This Row],[BW40_3705]]),"")</f>
        <v/>
      </c>
      <c r="J2022" s="7" t="str">
        <f>IF(Table1[[#This Row],[Is Data Valid]]=TRUE,_xlfn.NORM.S.DIST(Table1[[#This Row],[Birthweight Z-Score]],TRUE)*100,"")</f>
        <v/>
      </c>
      <c r="K2022" s="7" t="str">
        <f>IF(Table1[[#This Row],[Is Data Valid]]=TRUE,_xlfn.NORM.S.DIST(Table1[[#This Row],[Birthweight Z-Score (BW-10%)]],TRUE)*100,"")</f>
        <v/>
      </c>
      <c r="L2022" s="7" t="str">
        <f>IF(Table1[[#This Row],[Is Data Valid]]=TRUE,_xlfn.NORM.S.DIST(Table1[[#This Row],[Birthweight Z-Score (BW+10%)]],TRUE)*100,"")</f>
        <v/>
      </c>
    </row>
    <row r="2023" spans="1:12" x14ac:dyDescent="0.35">
      <c r="A2023" s="3"/>
      <c r="B2023" s="2"/>
      <c r="C2023" s="2"/>
      <c r="D2023" s="2" t="b">
        <f>IF(AND(NOT(ISBLANK(Table1[[#This Row],[Fetal Sex (Male, Female or Unknown)]])),ISNUMBER(Table1[[#This Row],[Birthweight (grams)]]),ISNUMBER(Table1[[#This Row],[Gestation (days)]])),TRUE,FALSE)</f>
        <v>0</v>
      </c>
      <c r="E2023" s="2" t="str">
        <f>IF(Table1[[#This Row],[Is Data Valid]]=TRUE,IF(Table1[[#This Row],[Fetal Sex (Male, Female or Unknown)]]="Male",Backend!$C$6,IF(Table1[[#This Row],[Fetal Sex (Male, Female or Unknown)]]="Female",Backend!$C$7,IF(Table1[[#This Row],[Fetal Sex (Male, Female or Unknown)]]="Unknown",Backend!$C$8,"Error"))),"")</f>
        <v/>
      </c>
      <c r="F2023" s="8" t="str">
        <f>IF(Table1[[#This Row],[Is Data Valid]]=TRUE,EXP(0.578+0.332*((Table1[[#This Row],[Gestation (days)]]+0.5)/7)-0.00354*((Table1[[#This Row],[Gestation (days)]]+0.5)/7)^2)*Table1[[#This Row],[BW40_3705]],"")</f>
        <v/>
      </c>
      <c r="G2023" s="2" t="str">
        <f>IF(Table1[[#This Row],[Is Data Valid]]=TRUE,((Table1[[#This Row],[Birthweight (grams)]]/Table1[[#This Row],[BW_GA]])-1)/(Backend!$B$4/100*Table1[[#This Row],[BW40_3705]]),"")</f>
        <v/>
      </c>
      <c r="H2023" s="7" t="str">
        <f>IF(Table1[[#This Row],[Is Data Valid]]=TRUE,((Table1[[#This Row],[Birthweight (grams)]]*0.9/Table1[[#This Row],[BW_GA]])-1)/(Backend!$B$4/100*Table1[[#This Row],[BW40_3705]]),"")</f>
        <v/>
      </c>
      <c r="I2023" s="7" t="str">
        <f>IF(Table1[[#This Row],[Is Data Valid]]=TRUE,((Table1[[#This Row],[Birthweight (grams)]]*1.1/Table1[[#This Row],[BW_GA]])-1)/(Backend!$B$4/100*Table1[[#This Row],[BW40_3705]]),"")</f>
        <v/>
      </c>
      <c r="J2023" s="7" t="str">
        <f>IF(Table1[[#This Row],[Is Data Valid]]=TRUE,_xlfn.NORM.S.DIST(Table1[[#This Row],[Birthweight Z-Score]],TRUE)*100,"")</f>
        <v/>
      </c>
      <c r="K2023" s="7" t="str">
        <f>IF(Table1[[#This Row],[Is Data Valid]]=TRUE,_xlfn.NORM.S.DIST(Table1[[#This Row],[Birthweight Z-Score (BW-10%)]],TRUE)*100,"")</f>
        <v/>
      </c>
      <c r="L2023" s="7" t="str">
        <f>IF(Table1[[#This Row],[Is Data Valid]]=TRUE,_xlfn.NORM.S.DIST(Table1[[#This Row],[Birthweight Z-Score (BW+10%)]],TRUE)*100,"")</f>
        <v/>
      </c>
    </row>
    <row r="2024" spans="1:12" x14ac:dyDescent="0.35">
      <c r="A2024" s="3"/>
      <c r="B2024" s="2"/>
      <c r="C2024" s="2"/>
      <c r="D2024" s="2" t="b">
        <f>IF(AND(NOT(ISBLANK(Table1[[#This Row],[Fetal Sex (Male, Female or Unknown)]])),ISNUMBER(Table1[[#This Row],[Birthweight (grams)]]),ISNUMBER(Table1[[#This Row],[Gestation (days)]])),TRUE,FALSE)</f>
        <v>0</v>
      </c>
      <c r="E2024" s="2" t="str">
        <f>IF(Table1[[#This Row],[Is Data Valid]]=TRUE,IF(Table1[[#This Row],[Fetal Sex (Male, Female or Unknown)]]="Male",Backend!$C$6,IF(Table1[[#This Row],[Fetal Sex (Male, Female or Unknown)]]="Female",Backend!$C$7,IF(Table1[[#This Row],[Fetal Sex (Male, Female or Unknown)]]="Unknown",Backend!$C$8,"Error"))),"")</f>
        <v/>
      </c>
      <c r="F2024" s="8" t="str">
        <f>IF(Table1[[#This Row],[Is Data Valid]]=TRUE,EXP(0.578+0.332*((Table1[[#This Row],[Gestation (days)]]+0.5)/7)-0.00354*((Table1[[#This Row],[Gestation (days)]]+0.5)/7)^2)*Table1[[#This Row],[BW40_3705]],"")</f>
        <v/>
      </c>
      <c r="G2024" s="2" t="str">
        <f>IF(Table1[[#This Row],[Is Data Valid]]=TRUE,((Table1[[#This Row],[Birthweight (grams)]]/Table1[[#This Row],[BW_GA]])-1)/(Backend!$B$4/100*Table1[[#This Row],[BW40_3705]]),"")</f>
        <v/>
      </c>
      <c r="H2024" s="7" t="str">
        <f>IF(Table1[[#This Row],[Is Data Valid]]=TRUE,((Table1[[#This Row],[Birthweight (grams)]]*0.9/Table1[[#This Row],[BW_GA]])-1)/(Backend!$B$4/100*Table1[[#This Row],[BW40_3705]]),"")</f>
        <v/>
      </c>
      <c r="I2024" s="7" t="str">
        <f>IF(Table1[[#This Row],[Is Data Valid]]=TRUE,((Table1[[#This Row],[Birthweight (grams)]]*1.1/Table1[[#This Row],[BW_GA]])-1)/(Backend!$B$4/100*Table1[[#This Row],[BW40_3705]]),"")</f>
        <v/>
      </c>
      <c r="J2024" s="7" t="str">
        <f>IF(Table1[[#This Row],[Is Data Valid]]=TRUE,_xlfn.NORM.S.DIST(Table1[[#This Row],[Birthweight Z-Score]],TRUE)*100,"")</f>
        <v/>
      </c>
      <c r="K2024" s="7" t="str">
        <f>IF(Table1[[#This Row],[Is Data Valid]]=TRUE,_xlfn.NORM.S.DIST(Table1[[#This Row],[Birthweight Z-Score (BW-10%)]],TRUE)*100,"")</f>
        <v/>
      </c>
      <c r="L2024" s="7" t="str">
        <f>IF(Table1[[#This Row],[Is Data Valid]]=TRUE,_xlfn.NORM.S.DIST(Table1[[#This Row],[Birthweight Z-Score (BW+10%)]],TRUE)*100,"")</f>
        <v/>
      </c>
    </row>
    <row r="2025" spans="1:12" x14ac:dyDescent="0.35">
      <c r="A2025" s="3"/>
      <c r="B2025" s="2"/>
      <c r="C2025" s="2"/>
      <c r="D2025" s="2" t="b">
        <f>IF(AND(NOT(ISBLANK(Table1[[#This Row],[Fetal Sex (Male, Female or Unknown)]])),ISNUMBER(Table1[[#This Row],[Birthweight (grams)]]),ISNUMBER(Table1[[#This Row],[Gestation (days)]])),TRUE,FALSE)</f>
        <v>0</v>
      </c>
      <c r="E2025" s="2" t="str">
        <f>IF(Table1[[#This Row],[Is Data Valid]]=TRUE,IF(Table1[[#This Row],[Fetal Sex (Male, Female or Unknown)]]="Male",Backend!$C$6,IF(Table1[[#This Row],[Fetal Sex (Male, Female or Unknown)]]="Female",Backend!$C$7,IF(Table1[[#This Row],[Fetal Sex (Male, Female or Unknown)]]="Unknown",Backend!$C$8,"Error"))),"")</f>
        <v/>
      </c>
      <c r="F2025" s="8" t="str">
        <f>IF(Table1[[#This Row],[Is Data Valid]]=TRUE,EXP(0.578+0.332*((Table1[[#This Row],[Gestation (days)]]+0.5)/7)-0.00354*((Table1[[#This Row],[Gestation (days)]]+0.5)/7)^2)*Table1[[#This Row],[BW40_3705]],"")</f>
        <v/>
      </c>
      <c r="G2025" s="2" t="str">
        <f>IF(Table1[[#This Row],[Is Data Valid]]=TRUE,((Table1[[#This Row],[Birthweight (grams)]]/Table1[[#This Row],[BW_GA]])-1)/(Backend!$B$4/100*Table1[[#This Row],[BW40_3705]]),"")</f>
        <v/>
      </c>
      <c r="H2025" s="7" t="str">
        <f>IF(Table1[[#This Row],[Is Data Valid]]=TRUE,((Table1[[#This Row],[Birthweight (grams)]]*0.9/Table1[[#This Row],[BW_GA]])-1)/(Backend!$B$4/100*Table1[[#This Row],[BW40_3705]]),"")</f>
        <v/>
      </c>
      <c r="I2025" s="7" t="str">
        <f>IF(Table1[[#This Row],[Is Data Valid]]=TRUE,((Table1[[#This Row],[Birthweight (grams)]]*1.1/Table1[[#This Row],[BW_GA]])-1)/(Backend!$B$4/100*Table1[[#This Row],[BW40_3705]]),"")</f>
        <v/>
      </c>
      <c r="J2025" s="7" t="str">
        <f>IF(Table1[[#This Row],[Is Data Valid]]=TRUE,_xlfn.NORM.S.DIST(Table1[[#This Row],[Birthweight Z-Score]],TRUE)*100,"")</f>
        <v/>
      </c>
      <c r="K2025" s="7" t="str">
        <f>IF(Table1[[#This Row],[Is Data Valid]]=TRUE,_xlfn.NORM.S.DIST(Table1[[#This Row],[Birthweight Z-Score (BW-10%)]],TRUE)*100,"")</f>
        <v/>
      </c>
      <c r="L2025" s="7" t="str">
        <f>IF(Table1[[#This Row],[Is Data Valid]]=TRUE,_xlfn.NORM.S.DIST(Table1[[#This Row],[Birthweight Z-Score (BW+10%)]],TRUE)*100,"")</f>
        <v/>
      </c>
    </row>
    <row r="2026" spans="1:12" x14ac:dyDescent="0.35">
      <c r="A2026" s="3"/>
      <c r="B2026" s="2"/>
      <c r="C2026" s="2"/>
      <c r="D2026" s="2" t="b">
        <f>IF(AND(NOT(ISBLANK(Table1[[#This Row],[Fetal Sex (Male, Female or Unknown)]])),ISNUMBER(Table1[[#This Row],[Birthweight (grams)]]),ISNUMBER(Table1[[#This Row],[Gestation (days)]])),TRUE,FALSE)</f>
        <v>0</v>
      </c>
      <c r="E2026" s="2" t="str">
        <f>IF(Table1[[#This Row],[Is Data Valid]]=TRUE,IF(Table1[[#This Row],[Fetal Sex (Male, Female or Unknown)]]="Male",Backend!$C$6,IF(Table1[[#This Row],[Fetal Sex (Male, Female or Unknown)]]="Female",Backend!$C$7,IF(Table1[[#This Row],[Fetal Sex (Male, Female or Unknown)]]="Unknown",Backend!$C$8,"Error"))),"")</f>
        <v/>
      </c>
      <c r="F2026" s="8" t="str">
        <f>IF(Table1[[#This Row],[Is Data Valid]]=TRUE,EXP(0.578+0.332*((Table1[[#This Row],[Gestation (days)]]+0.5)/7)-0.00354*((Table1[[#This Row],[Gestation (days)]]+0.5)/7)^2)*Table1[[#This Row],[BW40_3705]],"")</f>
        <v/>
      </c>
      <c r="G2026" s="2" t="str">
        <f>IF(Table1[[#This Row],[Is Data Valid]]=TRUE,((Table1[[#This Row],[Birthweight (grams)]]/Table1[[#This Row],[BW_GA]])-1)/(Backend!$B$4/100*Table1[[#This Row],[BW40_3705]]),"")</f>
        <v/>
      </c>
      <c r="H2026" s="7" t="str">
        <f>IF(Table1[[#This Row],[Is Data Valid]]=TRUE,((Table1[[#This Row],[Birthweight (grams)]]*0.9/Table1[[#This Row],[BW_GA]])-1)/(Backend!$B$4/100*Table1[[#This Row],[BW40_3705]]),"")</f>
        <v/>
      </c>
      <c r="I2026" s="7" t="str">
        <f>IF(Table1[[#This Row],[Is Data Valid]]=TRUE,((Table1[[#This Row],[Birthweight (grams)]]*1.1/Table1[[#This Row],[BW_GA]])-1)/(Backend!$B$4/100*Table1[[#This Row],[BW40_3705]]),"")</f>
        <v/>
      </c>
      <c r="J2026" s="7" t="str">
        <f>IF(Table1[[#This Row],[Is Data Valid]]=TRUE,_xlfn.NORM.S.DIST(Table1[[#This Row],[Birthweight Z-Score]],TRUE)*100,"")</f>
        <v/>
      </c>
      <c r="K2026" s="7" t="str">
        <f>IF(Table1[[#This Row],[Is Data Valid]]=TRUE,_xlfn.NORM.S.DIST(Table1[[#This Row],[Birthweight Z-Score (BW-10%)]],TRUE)*100,"")</f>
        <v/>
      </c>
      <c r="L2026" s="7" t="str">
        <f>IF(Table1[[#This Row],[Is Data Valid]]=TRUE,_xlfn.NORM.S.DIST(Table1[[#This Row],[Birthweight Z-Score (BW+10%)]],TRUE)*100,"")</f>
        <v/>
      </c>
    </row>
    <row r="2027" spans="1:12" x14ac:dyDescent="0.35">
      <c r="A2027" s="3"/>
      <c r="B2027" s="2"/>
      <c r="C2027" s="2"/>
      <c r="D2027" s="2" t="b">
        <f>IF(AND(NOT(ISBLANK(Table1[[#This Row],[Fetal Sex (Male, Female or Unknown)]])),ISNUMBER(Table1[[#This Row],[Birthweight (grams)]]),ISNUMBER(Table1[[#This Row],[Gestation (days)]])),TRUE,FALSE)</f>
        <v>0</v>
      </c>
      <c r="E2027" s="2" t="str">
        <f>IF(Table1[[#This Row],[Is Data Valid]]=TRUE,IF(Table1[[#This Row],[Fetal Sex (Male, Female or Unknown)]]="Male",Backend!$C$6,IF(Table1[[#This Row],[Fetal Sex (Male, Female or Unknown)]]="Female",Backend!$C$7,IF(Table1[[#This Row],[Fetal Sex (Male, Female or Unknown)]]="Unknown",Backend!$C$8,"Error"))),"")</f>
        <v/>
      </c>
      <c r="F2027" s="8" t="str">
        <f>IF(Table1[[#This Row],[Is Data Valid]]=TRUE,EXP(0.578+0.332*((Table1[[#This Row],[Gestation (days)]]+0.5)/7)-0.00354*((Table1[[#This Row],[Gestation (days)]]+0.5)/7)^2)*Table1[[#This Row],[BW40_3705]],"")</f>
        <v/>
      </c>
      <c r="G2027" s="2" t="str">
        <f>IF(Table1[[#This Row],[Is Data Valid]]=TRUE,((Table1[[#This Row],[Birthweight (grams)]]/Table1[[#This Row],[BW_GA]])-1)/(Backend!$B$4/100*Table1[[#This Row],[BW40_3705]]),"")</f>
        <v/>
      </c>
      <c r="H2027" s="7" t="str">
        <f>IF(Table1[[#This Row],[Is Data Valid]]=TRUE,((Table1[[#This Row],[Birthweight (grams)]]*0.9/Table1[[#This Row],[BW_GA]])-1)/(Backend!$B$4/100*Table1[[#This Row],[BW40_3705]]),"")</f>
        <v/>
      </c>
      <c r="I2027" s="7" t="str">
        <f>IF(Table1[[#This Row],[Is Data Valid]]=TRUE,((Table1[[#This Row],[Birthweight (grams)]]*1.1/Table1[[#This Row],[BW_GA]])-1)/(Backend!$B$4/100*Table1[[#This Row],[BW40_3705]]),"")</f>
        <v/>
      </c>
      <c r="J2027" s="7" t="str">
        <f>IF(Table1[[#This Row],[Is Data Valid]]=TRUE,_xlfn.NORM.S.DIST(Table1[[#This Row],[Birthweight Z-Score]],TRUE)*100,"")</f>
        <v/>
      </c>
      <c r="K2027" s="7" t="str">
        <f>IF(Table1[[#This Row],[Is Data Valid]]=TRUE,_xlfn.NORM.S.DIST(Table1[[#This Row],[Birthweight Z-Score (BW-10%)]],TRUE)*100,"")</f>
        <v/>
      </c>
      <c r="L2027" s="7" t="str">
        <f>IF(Table1[[#This Row],[Is Data Valid]]=TRUE,_xlfn.NORM.S.DIST(Table1[[#This Row],[Birthweight Z-Score (BW+10%)]],TRUE)*100,"")</f>
        <v/>
      </c>
    </row>
    <row r="2028" spans="1:12" x14ac:dyDescent="0.35">
      <c r="A2028" s="3"/>
      <c r="B2028" s="2"/>
      <c r="C2028" s="2"/>
      <c r="D2028" s="2" t="b">
        <f>IF(AND(NOT(ISBLANK(Table1[[#This Row],[Fetal Sex (Male, Female or Unknown)]])),ISNUMBER(Table1[[#This Row],[Birthweight (grams)]]),ISNUMBER(Table1[[#This Row],[Gestation (days)]])),TRUE,FALSE)</f>
        <v>0</v>
      </c>
      <c r="E2028" s="2" t="str">
        <f>IF(Table1[[#This Row],[Is Data Valid]]=TRUE,IF(Table1[[#This Row],[Fetal Sex (Male, Female or Unknown)]]="Male",Backend!$C$6,IF(Table1[[#This Row],[Fetal Sex (Male, Female or Unknown)]]="Female",Backend!$C$7,IF(Table1[[#This Row],[Fetal Sex (Male, Female or Unknown)]]="Unknown",Backend!$C$8,"Error"))),"")</f>
        <v/>
      </c>
      <c r="F2028" s="8" t="str">
        <f>IF(Table1[[#This Row],[Is Data Valid]]=TRUE,EXP(0.578+0.332*((Table1[[#This Row],[Gestation (days)]]+0.5)/7)-0.00354*((Table1[[#This Row],[Gestation (days)]]+0.5)/7)^2)*Table1[[#This Row],[BW40_3705]],"")</f>
        <v/>
      </c>
      <c r="G2028" s="2" t="str">
        <f>IF(Table1[[#This Row],[Is Data Valid]]=TRUE,((Table1[[#This Row],[Birthweight (grams)]]/Table1[[#This Row],[BW_GA]])-1)/(Backend!$B$4/100*Table1[[#This Row],[BW40_3705]]),"")</f>
        <v/>
      </c>
      <c r="H2028" s="7" t="str">
        <f>IF(Table1[[#This Row],[Is Data Valid]]=TRUE,((Table1[[#This Row],[Birthweight (grams)]]*0.9/Table1[[#This Row],[BW_GA]])-1)/(Backend!$B$4/100*Table1[[#This Row],[BW40_3705]]),"")</f>
        <v/>
      </c>
      <c r="I2028" s="7" t="str">
        <f>IF(Table1[[#This Row],[Is Data Valid]]=TRUE,((Table1[[#This Row],[Birthweight (grams)]]*1.1/Table1[[#This Row],[BW_GA]])-1)/(Backend!$B$4/100*Table1[[#This Row],[BW40_3705]]),"")</f>
        <v/>
      </c>
      <c r="J2028" s="7" t="str">
        <f>IF(Table1[[#This Row],[Is Data Valid]]=TRUE,_xlfn.NORM.S.DIST(Table1[[#This Row],[Birthweight Z-Score]],TRUE)*100,"")</f>
        <v/>
      </c>
      <c r="K2028" s="7" t="str">
        <f>IF(Table1[[#This Row],[Is Data Valid]]=TRUE,_xlfn.NORM.S.DIST(Table1[[#This Row],[Birthweight Z-Score (BW-10%)]],TRUE)*100,"")</f>
        <v/>
      </c>
      <c r="L2028" s="7" t="str">
        <f>IF(Table1[[#This Row],[Is Data Valid]]=TRUE,_xlfn.NORM.S.DIST(Table1[[#This Row],[Birthweight Z-Score (BW+10%)]],TRUE)*100,"")</f>
        <v/>
      </c>
    </row>
    <row r="2029" spans="1:12" x14ac:dyDescent="0.35">
      <c r="A2029" s="3"/>
      <c r="B2029" s="2"/>
      <c r="C2029" s="2"/>
      <c r="D2029" s="2" t="b">
        <f>IF(AND(NOT(ISBLANK(Table1[[#This Row],[Fetal Sex (Male, Female or Unknown)]])),ISNUMBER(Table1[[#This Row],[Birthweight (grams)]]),ISNUMBER(Table1[[#This Row],[Gestation (days)]])),TRUE,FALSE)</f>
        <v>0</v>
      </c>
      <c r="E2029" s="2" t="str">
        <f>IF(Table1[[#This Row],[Is Data Valid]]=TRUE,IF(Table1[[#This Row],[Fetal Sex (Male, Female or Unknown)]]="Male",Backend!$C$6,IF(Table1[[#This Row],[Fetal Sex (Male, Female or Unknown)]]="Female",Backend!$C$7,IF(Table1[[#This Row],[Fetal Sex (Male, Female or Unknown)]]="Unknown",Backend!$C$8,"Error"))),"")</f>
        <v/>
      </c>
      <c r="F2029" s="8" t="str">
        <f>IF(Table1[[#This Row],[Is Data Valid]]=TRUE,EXP(0.578+0.332*((Table1[[#This Row],[Gestation (days)]]+0.5)/7)-0.00354*((Table1[[#This Row],[Gestation (days)]]+0.5)/7)^2)*Table1[[#This Row],[BW40_3705]],"")</f>
        <v/>
      </c>
      <c r="G2029" s="2" t="str">
        <f>IF(Table1[[#This Row],[Is Data Valid]]=TRUE,((Table1[[#This Row],[Birthweight (grams)]]/Table1[[#This Row],[BW_GA]])-1)/(Backend!$B$4/100*Table1[[#This Row],[BW40_3705]]),"")</f>
        <v/>
      </c>
      <c r="H2029" s="7" t="str">
        <f>IF(Table1[[#This Row],[Is Data Valid]]=TRUE,((Table1[[#This Row],[Birthweight (grams)]]*0.9/Table1[[#This Row],[BW_GA]])-1)/(Backend!$B$4/100*Table1[[#This Row],[BW40_3705]]),"")</f>
        <v/>
      </c>
      <c r="I2029" s="7" t="str">
        <f>IF(Table1[[#This Row],[Is Data Valid]]=TRUE,((Table1[[#This Row],[Birthweight (grams)]]*1.1/Table1[[#This Row],[BW_GA]])-1)/(Backend!$B$4/100*Table1[[#This Row],[BW40_3705]]),"")</f>
        <v/>
      </c>
      <c r="J2029" s="7" t="str">
        <f>IF(Table1[[#This Row],[Is Data Valid]]=TRUE,_xlfn.NORM.S.DIST(Table1[[#This Row],[Birthweight Z-Score]],TRUE)*100,"")</f>
        <v/>
      </c>
      <c r="K2029" s="7" t="str">
        <f>IF(Table1[[#This Row],[Is Data Valid]]=TRUE,_xlfn.NORM.S.DIST(Table1[[#This Row],[Birthweight Z-Score (BW-10%)]],TRUE)*100,"")</f>
        <v/>
      </c>
      <c r="L2029" s="7" t="str">
        <f>IF(Table1[[#This Row],[Is Data Valid]]=TRUE,_xlfn.NORM.S.DIST(Table1[[#This Row],[Birthweight Z-Score (BW+10%)]],TRUE)*100,"")</f>
        <v/>
      </c>
    </row>
    <row r="2030" spans="1:12" x14ac:dyDescent="0.35">
      <c r="A2030" s="3"/>
      <c r="B2030" s="2"/>
      <c r="C2030" s="2"/>
      <c r="D2030" s="2" t="b">
        <f>IF(AND(NOT(ISBLANK(Table1[[#This Row],[Fetal Sex (Male, Female or Unknown)]])),ISNUMBER(Table1[[#This Row],[Birthweight (grams)]]),ISNUMBER(Table1[[#This Row],[Gestation (days)]])),TRUE,FALSE)</f>
        <v>0</v>
      </c>
      <c r="E2030" s="2" t="str">
        <f>IF(Table1[[#This Row],[Is Data Valid]]=TRUE,IF(Table1[[#This Row],[Fetal Sex (Male, Female or Unknown)]]="Male",Backend!$C$6,IF(Table1[[#This Row],[Fetal Sex (Male, Female or Unknown)]]="Female",Backend!$C$7,IF(Table1[[#This Row],[Fetal Sex (Male, Female or Unknown)]]="Unknown",Backend!$C$8,"Error"))),"")</f>
        <v/>
      </c>
      <c r="F2030" s="8" t="str">
        <f>IF(Table1[[#This Row],[Is Data Valid]]=TRUE,EXP(0.578+0.332*((Table1[[#This Row],[Gestation (days)]]+0.5)/7)-0.00354*((Table1[[#This Row],[Gestation (days)]]+0.5)/7)^2)*Table1[[#This Row],[BW40_3705]],"")</f>
        <v/>
      </c>
      <c r="G2030" s="2" t="str">
        <f>IF(Table1[[#This Row],[Is Data Valid]]=TRUE,((Table1[[#This Row],[Birthweight (grams)]]/Table1[[#This Row],[BW_GA]])-1)/(Backend!$B$4/100*Table1[[#This Row],[BW40_3705]]),"")</f>
        <v/>
      </c>
      <c r="H2030" s="7" t="str">
        <f>IF(Table1[[#This Row],[Is Data Valid]]=TRUE,((Table1[[#This Row],[Birthweight (grams)]]*0.9/Table1[[#This Row],[BW_GA]])-1)/(Backend!$B$4/100*Table1[[#This Row],[BW40_3705]]),"")</f>
        <v/>
      </c>
      <c r="I2030" s="7" t="str">
        <f>IF(Table1[[#This Row],[Is Data Valid]]=TRUE,((Table1[[#This Row],[Birthweight (grams)]]*1.1/Table1[[#This Row],[BW_GA]])-1)/(Backend!$B$4/100*Table1[[#This Row],[BW40_3705]]),"")</f>
        <v/>
      </c>
      <c r="J2030" s="7" t="str">
        <f>IF(Table1[[#This Row],[Is Data Valid]]=TRUE,_xlfn.NORM.S.DIST(Table1[[#This Row],[Birthweight Z-Score]],TRUE)*100,"")</f>
        <v/>
      </c>
      <c r="K2030" s="7" t="str">
        <f>IF(Table1[[#This Row],[Is Data Valid]]=TRUE,_xlfn.NORM.S.DIST(Table1[[#This Row],[Birthweight Z-Score (BW-10%)]],TRUE)*100,"")</f>
        <v/>
      </c>
      <c r="L2030" s="7" t="str">
        <f>IF(Table1[[#This Row],[Is Data Valid]]=TRUE,_xlfn.NORM.S.DIST(Table1[[#This Row],[Birthweight Z-Score (BW+10%)]],TRUE)*100,"")</f>
        <v/>
      </c>
    </row>
    <row r="2031" spans="1:12" x14ac:dyDescent="0.35">
      <c r="A2031" s="3"/>
      <c r="B2031" s="2"/>
      <c r="C2031" s="2"/>
      <c r="D2031" s="2" t="b">
        <f>IF(AND(NOT(ISBLANK(Table1[[#This Row],[Fetal Sex (Male, Female or Unknown)]])),ISNUMBER(Table1[[#This Row],[Birthweight (grams)]]),ISNUMBER(Table1[[#This Row],[Gestation (days)]])),TRUE,FALSE)</f>
        <v>0</v>
      </c>
      <c r="E2031" s="2" t="str">
        <f>IF(Table1[[#This Row],[Is Data Valid]]=TRUE,IF(Table1[[#This Row],[Fetal Sex (Male, Female or Unknown)]]="Male",Backend!$C$6,IF(Table1[[#This Row],[Fetal Sex (Male, Female or Unknown)]]="Female",Backend!$C$7,IF(Table1[[#This Row],[Fetal Sex (Male, Female or Unknown)]]="Unknown",Backend!$C$8,"Error"))),"")</f>
        <v/>
      </c>
      <c r="F2031" s="8" t="str">
        <f>IF(Table1[[#This Row],[Is Data Valid]]=TRUE,EXP(0.578+0.332*((Table1[[#This Row],[Gestation (days)]]+0.5)/7)-0.00354*((Table1[[#This Row],[Gestation (days)]]+0.5)/7)^2)*Table1[[#This Row],[BW40_3705]],"")</f>
        <v/>
      </c>
      <c r="G2031" s="2" t="str">
        <f>IF(Table1[[#This Row],[Is Data Valid]]=TRUE,((Table1[[#This Row],[Birthweight (grams)]]/Table1[[#This Row],[BW_GA]])-1)/(Backend!$B$4/100*Table1[[#This Row],[BW40_3705]]),"")</f>
        <v/>
      </c>
      <c r="H2031" s="7" t="str">
        <f>IF(Table1[[#This Row],[Is Data Valid]]=TRUE,((Table1[[#This Row],[Birthweight (grams)]]*0.9/Table1[[#This Row],[BW_GA]])-1)/(Backend!$B$4/100*Table1[[#This Row],[BW40_3705]]),"")</f>
        <v/>
      </c>
      <c r="I2031" s="7" t="str">
        <f>IF(Table1[[#This Row],[Is Data Valid]]=TRUE,((Table1[[#This Row],[Birthweight (grams)]]*1.1/Table1[[#This Row],[BW_GA]])-1)/(Backend!$B$4/100*Table1[[#This Row],[BW40_3705]]),"")</f>
        <v/>
      </c>
      <c r="J2031" s="7" t="str">
        <f>IF(Table1[[#This Row],[Is Data Valid]]=TRUE,_xlfn.NORM.S.DIST(Table1[[#This Row],[Birthweight Z-Score]],TRUE)*100,"")</f>
        <v/>
      </c>
      <c r="K2031" s="7" t="str">
        <f>IF(Table1[[#This Row],[Is Data Valid]]=TRUE,_xlfn.NORM.S.DIST(Table1[[#This Row],[Birthweight Z-Score (BW-10%)]],TRUE)*100,"")</f>
        <v/>
      </c>
      <c r="L2031" s="7" t="str">
        <f>IF(Table1[[#This Row],[Is Data Valid]]=TRUE,_xlfn.NORM.S.DIST(Table1[[#This Row],[Birthweight Z-Score (BW+10%)]],TRUE)*100,"")</f>
        <v/>
      </c>
    </row>
    <row r="2032" spans="1:12" x14ac:dyDescent="0.35">
      <c r="A2032" s="3"/>
      <c r="B2032" s="2"/>
      <c r="C2032" s="2"/>
      <c r="D2032" s="2" t="b">
        <f>IF(AND(NOT(ISBLANK(Table1[[#This Row],[Fetal Sex (Male, Female or Unknown)]])),ISNUMBER(Table1[[#This Row],[Birthweight (grams)]]),ISNUMBER(Table1[[#This Row],[Gestation (days)]])),TRUE,FALSE)</f>
        <v>0</v>
      </c>
      <c r="E2032" s="2" t="str">
        <f>IF(Table1[[#This Row],[Is Data Valid]]=TRUE,IF(Table1[[#This Row],[Fetal Sex (Male, Female or Unknown)]]="Male",Backend!$C$6,IF(Table1[[#This Row],[Fetal Sex (Male, Female or Unknown)]]="Female",Backend!$C$7,IF(Table1[[#This Row],[Fetal Sex (Male, Female or Unknown)]]="Unknown",Backend!$C$8,"Error"))),"")</f>
        <v/>
      </c>
      <c r="F2032" s="8" t="str">
        <f>IF(Table1[[#This Row],[Is Data Valid]]=TRUE,EXP(0.578+0.332*((Table1[[#This Row],[Gestation (days)]]+0.5)/7)-0.00354*((Table1[[#This Row],[Gestation (days)]]+0.5)/7)^2)*Table1[[#This Row],[BW40_3705]],"")</f>
        <v/>
      </c>
      <c r="G2032" s="2" t="str">
        <f>IF(Table1[[#This Row],[Is Data Valid]]=TRUE,((Table1[[#This Row],[Birthweight (grams)]]/Table1[[#This Row],[BW_GA]])-1)/(Backend!$B$4/100*Table1[[#This Row],[BW40_3705]]),"")</f>
        <v/>
      </c>
      <c r="H2032" s="7" t="str">
        <f>IF(Table1[[#This Row],[Is Data Valid]]=TRUE,((Table1[[#This Row],[Birthweight (grams)]]*0.9/Table1[[#This Row],[BW_GA]])-1)/(Backend!$B$4/100*Table1[[#This Row],[BW40_3705]]),"")</f>
        <v/>
      </c>
      <c r="I2032" s="7" t="str">
        <f>IF(Table1[[#This Row],[Is Data Valid]]=TRUE,((Table1[[#This Row],[Birthweight (grams)]]*1.1/Table1[[#This Row],[BW_GA]])-1)/(Backend!$B$4/100*Table1[[#This Row],[BW40_3705]]),"")</f>
        <v/>
      </c>
      <c r="J2032" s="7" t="str">
        <f>IF(Table1[[#This Row],[Is Data Valid]]=TRUE,_xlfn.NORM.S.DIST(Table1[[#This Row],[Birthweight Z-Score]],TRUE)*100,"")</f>
        <v/>
      </c>
      <c r="K2032" s="7" t="str">
        <f>IF(Table1[[#This Row],[Is Data Valid]]=TRUE,_xlfn.NORM.S.DIST(Table1[[#This Row],[Birthweight Z-Score (BW-10%)]],TRUE)*100,"")</f>
        <v/>
      </c>
      <c r="L2032" s="7" t="str">
        <f>IF(Table1[[#This Row],[Is Data Valid]]=TRUE,_xlfn.NORM.S.DIST(Table1[[#This Row],[Birthweight Z-Score (BW+10%)]],TRUE)*100,"")</f>
        <v/>
      </c>
    </row>
    <row r="2033" spans="1:12" x14ac:dyDescent="0.35">
      <c r="A2033" s="3"/>
      <c r="B2033" s="2"/>
      <c r="C2033" s="2"/>
      <c r="D2033" s="2" t="b">
        <f>IF(AND(NOT(ISBLANK(Table1[[#This Row],[Fetal Sex (Male, Female or Unknown)]])),ISNUMBER(Table1[[#This Row],[Birthweight (grams)]]),ISNUMBER(Table1[[#This Row],[Gestation (days)]])),TRUE,FALSE)</f>
        <v>0</v>
      </c>
      <c r="E2033" s="2" t="str">
        <f>IF(Table1[[#This Row],[Is Data Valid]]=TRUE,IF(Table1[[#This Row],[Fetal Sex (Male, Female or Unknown)]]="Male",Backend!$C$6,IF(Table1[[#This Row],[Fetal Sex (Male, Female or Unknown)]]="Female",Backend!$C$7,IF(Table1[[#This Row],[Fetal Sex (Male, Female or Unknown)]]="Unknown",Backend!$C$8,"Error"))),"")</f>
        <v/>
      </c>
      <c r="F2033" s="8" t="str">
        <f>IF(Table1[[#This Row],[Is Data Valid]]=TRUE,EXP(0.578+0.332*((Table1[[#This Row],[Gestation (days)]]+0.5)/7)-0.00354*((Table1[[#This Row],[Gestation (days)]]+0.5)/7)^2)*Table1[[#This Row],[BW40_3705]],"")</f>
        <v/>
      </c>
      <c r="G2033" s="2" t="str">
        <f>IF(Table1[[#This Row],[Is Data Valid]]=TRUE,((Table1[[#This Row],[Birthweight (grams)]]/Table1[[#This Row],[BW_GA]])-1)/(Backend!$B$4/100*Table1[[#This Row],[BW40_3705]]),"")</f>
        <v/>
      </c>
      <c r="H2033" s="7" t="str">
        <f>IF(Table1[[#This Row],[Is Data Valid]]=TRUE,((Table1[[#This Row],[Birthweight (grams)]]*0.9/Table1[[#This Row],[BW_GA]])-1)/(Backend!$B$4/100*Table1[[#This Row],[BW40_3705]]),"")</f>
        <v/>
      </c>
      <c r="I2033" s="7" t="str">
        <f>IF(Table1[[#This Row],[Is Data Valid]]=TRUE,((Table1[[#This Row],[Birthweight (grams)]]*1.1/Table1[[#This Row],[BW_GA]])-1)/(Backend!$B$4/100*Table1[[#This Row],[BW40_3705]]),"")</f>
        <v/>
      </c>
      <c r="J2033" s="7" t="str">
        <f>IF(Table1[[#This Row],[Is Data Valid]]=TRUE,_xlfn.NORM.S.DIST(Table1[[#This Row],[Birthweight Z-Score]],TRUE)*100,"")</f>
        <v/>
      </c>
      <c r="K2033" s="7" t="str">
        <f>IF(Table1[[#This Row],[Is Data Valid]]=TRUE,_xlfn.NORM.S.DIST(Table1[[#This Row],[Birthweight Z-Score (BW-10%)]],TRUE)*100,"")</f>
        <v/>
      </c>
      <c r="L2033" s="7" t="str">
        <f>IF(Table1[[#This Row],[Is Data Valid]]=TRUE,_xlfn.NORM.S.DIST(Table1[[#This Row],[Birthweight Z-Score (BW+10%)]],TRUE)*100,"")</f>
        <v/>
      </c>
    </row>
    <row r="2034" spans="1:12" x14ac:dyDescent="0.35">
      <c r="A2034" s="3"/>
      <c r="B2034" s="2"/>
      <c r="C2034" s="2"/>
      <c r="D2034" s="2" t="b">
        <f>IF(AND(NOT(ISBLANK(Table1[[#This Row],[Fetal Sex (Male, Female or Unknown)]])),ISNUMBER(Table1[[#This Row],[Birthweight (grams)]]),ISNUMBER(Table1[[#This Row],[Gestation (days)]])),TRUE,FALSE)</f>
        <v>0</v>
      </c>
      <c r="E2034" s="2" t="str">
        <f>IF(Table1[[#This Row],[Is Data Valid]]=TRUE,IF(Table1[[#This Row],[Fetal Sex (Male, Female or Unknown)]]="Male",Backend!$C$6,IF(Table1[[#This Row],[Fetal Sex (Male, Female or Unknown)]]="Female",Backend!$C$7,IF(Table1[[#This Row],[Fetal Sex (Male, Female or Unknown)]]="Unknown",Backend!$C$8,"Error"))),"")</f>
        <v/>
      </c>
      <c r="F2034" s="8" t="str">
        <f>IF(Table1[[#This Row],[Is Data Valid]]=TRUE,EXP(0.578+0.332*((Table1[[#This Row],[Gestation (days)]]+0.5)/7)-0.00354*((Table1[[#This Row],[Gestation (days)]]+0.5)/7)^2)*Table1[[#This Row],[BW40_3705]],"")</f>
        <v/>
      </c>
      <c r="G2034" s="2" t="str">
        <f>IF(Table1[[#This Row],[Is Data Valid]]=TRUE,((Table1[[#This Row],[Birthweight (grams)]]/Table1[[#This Row],[BW_GA]])-1)/(Backend!$B$4/100*Table1[[#This Row],[BW40_3705]]),"")</f>
        <v/>
      </c>
      <c r="H2034" s="7" t="str">
        <f>IF(Table1[[#This Row],[Is Data Valid]]=TRUE,((Table1[[#This Row],[Birthweight (grams)]]*0.9/Table1[[#This Row],[BW_GA]])-1)/(Backend!$B$4/100*Table1[[#This Row],[BW40_3705]]),"")</f>
        <v/>
      </c>
      <c r="I2034" s="7" t="str">
        <f>IF(Table1[[#This Row],[Is Data Valid]]=TRUE,((Table1[[#This Row],[Birthweight (grams)]]*1.1/Table1[[#This Row],[BW_GA]])-1)/(Backend!$B$4/100*Table1[[#This Row],[BW40_3705]]),"")</f>
        <v/>
      </c>
      <c r="J2034" s="7" t="str">
        <f>IF(Table1[[#This Row],[Is Data Valid]]=TRUE,_xlfn.NORM.S.DIST(Table1[[#This Row],[Birthweight Z-Score]],TRUE)*100,"")</f>
        <v/>
      </c>
      <c r="K2034" s="7" t="str">
        <f>IF(Table1[[#This Row],[Is Data Valid]]=TRUE,_xlfn.NORM.S.DIST(Table1[[#This Row],[Birthweight Z-Score (BW-10%)]],TRUE)*100,"")</f>
        <v/>
      </c>
      <c r="L2034" s="7" t="str">
        <f>IF(Table1[[#This Row],[Is Data Valid]]=TRUE,_xlfn.NORM.S.DIST(Table1[[#This Row],[Birthweight Z-Score (BW+10%)]],TRUE)*100,"")</f>
        <v/>
      </c>
    </row>
    <row r="2035" spans="1:12" x14ac:dyDescent="0.35">
      <c r="A2035" s="3"/>
      <c r="B2035" s="2"/>
      <c r="C2035" s="2"/>
      <c r="D2035" s="2" t="b">
        <f>IF(AND(NOT(ISBLANK(Table1[[#This Row],[Fetal Sex (Male, Female or Unknown)]])),ISNUMBER(Table1[[#This Row],[Birthweight (grams)]]),ISNUMBER(Table1[[#This Row],[Gestation (days)]])),TRUE,FALSE)</f>
        <v>0</v>
      </c>
      <c r="E2035" s="2" t="str">
        <f>IF(Table1[[#This Row],[Is Data Valid]]=TRUE,IF(Table1[[#This Row],[Fetal Sex (Male, Female or Unknown)]]="Male",Backend!$C$6,IF(Table1[[#This Row],[Fetal Sex (Male, Female or Unknown)]]="Female",Backend!$C$7,IF(Table1[[#This Row],[Fetal Sex (Male, Female or Unknown)]]="Unknown",Backend!$C$8,"Error"))),"")</f>
        <v/>
      </c>
      <c r="F2035" s="8" t="str">
        <f>IF(Table1[[#This Row],[Is Data Valid]]=TRUE,EXP(0.578+0.332*((Table1[[#This Row],[Gestation (days)]]+0.5)/7)-0.00354*((Table1[[#This Row],[Gestation (days)]]+0.5)/7)^2)*Table1[[#This Row],[BW40_3705]],"")</f>
        <v/>
      </c>
      <c r="G2035" s="2" t="str">
        <f>IF(Table1[[#This Row],[Is Data Valid]]=TRUE,((Table1[[#This Row],[Birthweight (grams)]]/Table1[[#This Row],[BW_GA]])-1)/(Backend!$B$4/100*Table1[[#This Row],[BW40_3705]]),"")</f>
        <v/>
      </c>
      <c r="H2035" s="7" t="str">
        <f>IF(Table1[[#This Row],[Is Data Valid]]=TRUE,((Table1[[#This Row],[Birthweight (grams)]]*0.9/Table1[[#This Row],[BW_GA]])-1)/(Backend!$B$4/100*Table1[[#This Row],[BW40_3705]]),"")</f>
        <v/>
      </c>
      <c r="I2035" s="7" t="str">
        <f>IF(Table1[[#This Row],[Is Data Valid]]=TRUE,((Table1[[#This Row],[Birthweight (grams)]]*1.1/Table1[[#This Row],[BW_GA]])-1)/(Backend!$B$4/100*Table1[[#This Row],[BW40_3705]]),"")</f>
        <v/>
      </c>
      <c r="J2035" s="7" t="str">
        <f>IF(Table1[[#This Row],[Is Data Valid]]=TRUE,_xlfn.NORM.S.DIST(Table1[[#This Row],[Birthweight Z-Score]],TRUE)*100,"")</f>
        <v/>
      </c>
      <c r="K2035" s="7" t="str">
        <f>IF(Table1[[#This Row],[Is Data Valid]]=TRUE,_xlfn.NORM.S.DIST(Table1[[#This Row],[Birthweight Z-Score (BW-10%)]],TRUE)*100,"")</f>
        <v/>
      </c>
      <c r="L2035" s="7" t="str">
        <f>IF(Table1[[#This Row],[Is Data Valid]]=TRUE,_xlfn.NORM.S.DIST(Table1[[#This Row],[Birthweight Z-Score (BW+10%)]],TRUE)*100,"")</f>
        <v/>
      </c>
    </row>
    <row r="2036" spans="1:12" x14ac:dyDescent="0.35">
      <c r="A2036" s="3"/>
      <c r="B2036" s="2"/>
      <c r="C2036" s="2"/>
      <c r="D2036" s="2" t="b">
        <f>IF(AND(NOT(ISBLANK(Table1[[#This Row],[Fetal Sex (Male, Female or Unknown)]])),ISNUMBER(Table1[[#This Row],[Birthweight (grams)]]),ISNUMBER(Table1[[#This Row],[Gestation (days)]])),TRUE,FALSE)</f>
        <v>0</v>
      </c>
      <c r="E2036" s="2" t="str">
        <f>IF(Table1[[#This Row],[Is Data Valid]]=TRUE,IF(Table1[[#This Row],[Fetal Sex (Male, Female or Unknown)]]="Male",Backend!$C$6,IF(Table1[[#This Row],[Fetal Sex (Male, Female or Unknown)]]="Female",Backend!$C$7,IF(Table1[[#This Row],[Fetal Sex (Male, Female or Unknown)]]="Unknown",Backend!$C$8,"Error"))),"")</f>
        <v/>
      </c>
      <c r="F2036" s="8" t="str">
        <f>IF(Table1[[#This Row],[Is Data Valid]]=TRUE,EXP(0.578+0.332*((Table1[[#This Row],[Gestation (days)]]+0.5)/7)-0.00354*((Table1[[#This Row],[Gestation (days)]]+0.5)/7)^2)*Table1[[#This Row],[BW40_3705]],"")</f>
        <v/>
      </c>
      <c r="G2036" s="2" t="str">
        <f>IF(Table1[[#This Row],[Is Data Valid]]=TRUE,((Table1[[#This Row],[Birthweight (grams)]]/Table1[[#This Row],[BW_GA]])-1)/(Backend!$B$4/100*Table1[[#This Row],[BW40_3705]]),"")</f>
        <v/>
      </c>
      <c r="H2036" s="7" t="str">
        <f>IF(Table1[[#This Row],[Is Data Valid]]=TRUE,((Table1[[#This Row],[Birthweight (grams)]]*0.9/Table1[[#This Row],[BW_GA]])-1)/(Backend!$B$4/100*Table1[[#This Row],[BW40_3705]]),"")</f>
        <v/>
      </c>
      <c r="I2036" s="7" t="str">
        <f>IF(Table1[[#This Row],[Is Data Valid]]=TRUE,((Table1[[#This Row],[Birthweight (grams)]]*1.1/Table1[[#This Row],[BW_GA]])-1)/(Backend!$B$4/100*Table1[[#This Row],[BW40_3705]]),"")</f>
        <v/>
      </c>
      <c r="J2036" s="7" t="str">
        <f>IF(Table1[[#This Row],[Is Data Valid]]=TRUE,_xlfn.NORM.S.DIST(Table1[[#This Row],[Birthweight Z-Score]],TRUE)*100,"")</f>
        <v/>
      </c>
      <c r="K2036" s="7" t="str">
        <f>IF(Table1[[#This Row],[Is Data Valid]]=TRUE,_xlfn.NORM.S.DIST(Table1[[#This Row],[Birthweight Z-Score (BW-10%)]],TRUE)*100,"")</f>
        <v/>
      </c>
      <c r="L2036" s="7" t="str">
        <f>IF(Table1[[#This Row],[Is Data Valid]]=TRUE,_xlfn.NORM.S.DIST(Table1[[#This Row],[Birthweight Z-Score (BW+10%)]],TRUE)*100,"")</f>
        <v/>
      </c>
    </row>
    <row r="2037" spans="1:12" x14ac:dyDescent="0.35">
      <c r="A2037" s="3"/>
      <c r="B2037" s="2"/>
      <c r="C2037" s="2"/>
      <c r="D2037" s="2" t="b">
        <f>IF(AND(NOT(ISBLANK(Table1[[#This Row],[Fetal Sex (Male, Female or Unknown)]])),ISNUMBER(Table1[[#This Row],[Birthweight (grams)]]),ISNUMBER(Table1[[#This Row],[Gestation (days)]])),TRUE,FALSE)</f>
        <v>0</v>
      </c>
      <c r="E2037" s="2" t="str">
        <f>IF(Table1[[#This Row],[Is Data Valid]]=TRUE,IF(Table1[[#This Row],[Fetal Sex (Male, Female or Unknown)]]="Male",Backend!$C$6,IF(Table1[[#This Row],[Fetal Sex (Male, Female or Unknown)]]="Female",Backend!$C$7,IF(Table1[[#This Row],[Fetal Sex (Male, Female or Unknown)]]="Unknown",Backend!$C$8,"Error"))),"")</f>
        <v/>
      </c>
      <c r="F2037" s="8" t="str">
        <f>IF(Table1[[#This Row],[Is Data Valid]]=TRUE,EXP(0.578+0.332*((Table1[[#This Row],[Gestation (days)]]+0.5)/7)-0.00354*((Table1[[#This Row],[Gestation (days)]]+0.5)/7)^2)*Table1[[#This Row],[BW40_3705]],"")</f>
        <v/>
      </c>
      <c r="G2037" s="2" t="str">
        <f>IF(Table1[[#This Row],[Is Data Valid]]=TRUE,((Table1[[#This Row],[Birthweight (grams)]]/Table1[[#This Row],[BW_GA]])-1)/(Backend!$B$4/100*Table1[[#This Row],[BW40_3705]]),"")</f>
        <v/>
      </c>
      <c r="H2037" s="7" t="str">
        <f>IF(Table1[[#This Row],[Is Data Valid]]=TRUE,((Table1[[#This Row],[Birthweight (grams)]]*0.9/Table1[[#This Row],[BW_GA]])-1)/(Backend!$B$4/100*Table1[[#This Row],[BW40_3705]]),"")</f>
        <v/>
      </c>
      <c r="I2037" s="7" t="str">
        <f>IF(Table1[[#This Row],[Is Data Valid]]=TRUE,((Table1[[#This Row],[Birthweight (grams)]]*1.1/Table1[[#This Row],[BW_GA]])-1)/(Backend!$B$4/100*Table1[[#This Row],[BW40_3705]]),"")</f>
        <v/>
      </c>
      <c r="J2037" s="7" t="str">
        <f>IF(Table1[[#This Row],[Is Data Valid]]=TRUE,_xlfn.NORM.S.DIST(Table1[[#This Row],[Birthweight Z-Score]],TRUE)*100,"")</f>
        <v/>
      </c>
      <c r="K2037" s="7" t="str">
        <f>IF(Table1[[#This Row],[Is Data Valid]]=TRUE,_xlfn.NORM.S.DIST(Table1[[#This Row],[Birthweight Z-Score (BW-10%)]],TRUE)*100,"")</f>
        <v/>
      </c>
      <c r="L2037" s="7" t="str">
        <f>IF(Table1[[#This Row],[Is Data Valid]]=TRUE,_xlfn.NORM.S.DIST(Table1[[#This Row],[Birthweight Z-Score (BW+10%)]],TRUE)*100,"")</f>
        <v/>
      </c>
    </row>
    <row r="2038" spans="1:12" x14ac:dyDescent="0.35">
      <c r="A2038" s="3"/>
      <c r="B2038" s="2"/>
      <c r="C2038" s="2"/>
      <c r="D2038" s="2" t="b">
        <f>IF(AND(NOT(ISBLANK(Table1[[#This Row],[Fetal Sex (Male, Female or Unknown)]])),ISNUMBER(Table1[[#This Row],[Birthweight (grams)]]),ISNUMBER(Table1[[#This Row],[Gestation (days)]])),TRUE,FALSE)</f>
        <v>0</v>
      </c>
      <c r="E2038" s="2" t="str">
        <f>IF(Table1[[#This Row],[Is Data Valid]]=TRUE,IF(Table1[[#This Row],[Fetal Sex (Male, Female or Unknown)]]="Male",Backend!$C$6,IF(Table1[[#This Row],[Fetal Sex (Male, Female or Unknown)]]="Female",Backend!$C$7,IF(Table1[[#This Row],[Fetal Sex (Male, Female or Unknown)]]="Unknown",Backend!$C$8,"Error"))),"")</f>
        <v/>
      </c>
      <c r="F2038" s="8" t="str">
        <f>IF(Table1[[#This Row],[Is Data Valid]]=TRUE,EXP(0.578+0.332*((Table1[[#This Row],[Gestation (days)]]+0.5)/7)-0.00354*((Table1[[#This Row],[Gestation (days)]]+0.5)/7)^2)*Table1[[#This Row],[BW40_3705]],"")</f>
        <v/>
      </c>
      <c r="G2038" s="2" t="str">
        <f>IF(Table1[[#This Row],[Is Data Valid]]=TRUE,((Table1[[#This Row],[Birthweight (grams)]]/Table1[[#This Row],[BW_GA]])-1)/(Backend!$B$4/100*Table1[[#This Row],[BW40_3705]]),"")</f>
        <v/>
      </c>
      <c r="H2038" s="7" t="str">
        <f>IF(Table1[[#This Row],[Is Data Valid]]=TRUE,((Table1[[#This Row],[Birthweight (grams)]]*0.9/Table1[[#This Row],[BW_GA]])-1)/(Backend!$B$4/100*Table1[[#This Row],[BW40_3705]]),"")</f>
        <v/>
      </c>
      <c r="I2038" s="7" t="str">
        <f>IF(Table1[[#This Row],[Is Data Valid]]=TRUE,((Table1[[#This Row],[Birthweight (grams)]]*1.1/Table1[[#This Row],[BW_GA]])-1)/(Backend!$B$4/100*Table1[[#This Row],[BW40_3705]]),"")</f>
        <v/>
      </c>
      <c r="J2038" s="7" t="str">
        <f>IF(Table1[[#This Row],[Is Data Valid]]=TRUE,_xlfn.NORM.S.DIST(Table1[[#This Row],[Birthweight Z-Score]],TRUE)*100,"")</f>
        <v/>
      </c>
      <c r="K2038" s="7" t="str">
        <f>IF(Table1[[#This Row],[Is Data Valid]]=TRUE,_xlfn.NORM.S.DIST(Table1[[#This Row],[Birthweight Z-Score (BW-10%)]],TRUE)*100,"")</f>
        <v/>
      </c>
      <c r="L2038" s="7" t="str">
        <f>IF(Table1[[#This Row],[Is Data Valid]]=TRUE,_xlfn.NORM.S.DIST(Table1[[#This Row],[Birthweight Z-Score (BW+10%)]],TRUE)*100,"")</f>
        <v/>
      </c>
    </row>
    <row r="2039" spans="1:12" x14ac:dyDescent="0.35">
      <c r="A2039" s="3"/>
      <c r="B2039" s="2"/>
      <c r="C2039" s="2"/>
      <c r="D2039" s="2" t="b">
        <f>IF(AND(NOT(ISBLANK(Table1[[#This Row],[Fetal Sex (Male, Female or Unknown)]])),ISNUMBER(Table1[[#This Row],[Birthweight (grams)]]),ISNUMBER(Table1[[#This Row],[Gestation (days)]])),TRUE,FALSE)</f>
        <v>0</v>
      </c>
      <c r="E2039" s="2" t="str">
        <f>IF(Table1[[#This Row],[Is Data Valid]]=TRUE,IF(Table1[[#This Row],[Fetal Sex (Male, Female or Unknown)]]="Male",Backend!$C$6,IF(Table1[[#This Row],[Fetal Sex (Male, Female or Unknown)]]="Female",Backend!$C$7,IF(Table1[[#This Row],[Fetal Sex (Male, Female or Unknown)]]="Unknown",Backend!$C$8,"Error"))),"")</f>
        <v/>
      </c>
      <c r="F2039" s="8" t="str">
        <f>IF(Table1[[#This Row],[Is Data Valid]]=TRUE,EXP(0.578+0.332*((Table1[[#This Row],[Gestation (days)]]+0.5)/7)-0.00354*((Table1[[#This Row],[Gestation (days)]]+0.5)/7)^2)*Table1[[#This Row],[BW40_3705]],"")</f>
        <v/>
      </c>
      <c r="G2039" s="2" t="str">
        <f>IF(Table1[[#This Row],[Is Data Valid]]=TRUE,((Table1[[#This Row],[Birthweight (grams)]]/Table1[[#This Row],[BW_GA]])-1)/(Backend!$B$4/100*Table1[[#This Row],[BW40_3705]]),"")</f>
        <v/>
      </c>
      <c r="H2039" s="7" t="str">
        <f>IF(Table1[[#This Row],[Is Data Valid]]=TRUE,((Table1[[#This Row],[Birthweight (grams)]]*0.9/Table1[[#This Row],[BW_GA]])-1)/(Backend!$B$4/100*Table1[[#This Row],[BW40_3705]]),"")</f>
        <v/>
      </c>
      <c r="I2039" s="7" t="str">
        <f>IF(Table1[[#This Row],[Is Data Valid]]=TRUE,((Table1[[#This Row],[Birthweight (grams)]]*1.1/Table1[[#This Row],[BW_GA]])-1)/(Backend!$B$4/100*Table1[[#This Row],[BW40_3705]]),"")</f>
        <v/>
      </c>
      <c r="J2039" s="7" t="str">
        <f>IF(Table1[[#This Row],[Is Data Valid]]=TRUE,_xlfn.NORM.S.DIST(Table1[[#This Row],[Birthweight Z-Score]],TRUE)*100,"")</f>
        <v/>
      </c>
      <c r="K2039" s="7" t="str">
        <f>IF(Table1[[#This Row],[Is Data Valid]]=TRUE,_xlfn.NORM.S.DIST(Table1[[#This Row],[Birthweight Z-Score (BW-10%)]],TRUE)*100,"")</f>
        <v/>
      </c>
      <c r="L2039" s="7" t="str">
        <f>IF(Table1[[#This Row],[Is Data Valid]]=TRUE,_xlfn.NORM.S.DIST(Table1[[#This Row],[Birthweight Z-Score (BW+10%)]],TRUE)*100,"")</f>
        <v/>
      </c>
    </row>
    <row r="2040" spans="1:12" x14ac:dyDescent="0.35">
      <c r="A2040" s="3"/>
      <c r="B2040" s="2"/>
      <c r="C2040" s="2"/>
      <c r="D2040" s="2" t="b">
        <f>IF(AND(NOT(ISBLANK(Table1[[#This Row],[Fetal Sex (Male, Female or Unknown)]])),ISNUMBER(Table1[[#This Row],[Birthweight (grams)]]),ISNUMBER(Table1[[#This Row],[Gestation (days)]])),TRUE,FALSE)</f>
        <v>0</v>
      </c>
      <c r="E2040" s="2" t="str">
        <f>IF(Table1[[#This Row],[Is Data Valid]]=TRUE,IF(Table1[[#This Row],[Fetal Sex (Male, Female or Unknown)]]="Male",Backend!$C$6,IF(Table1[[#This Row],[Fetal Sex (Male, Female or Unknown)]]="Female",Backend!$C$7,IF(Table1[[#This Row],[Fetal Sex (Male, Female or Unknown)]]="Unknown",Backend!$C$8,"Error"))),"")</f>
        <v/>
      </c>
      <c r="F2040" s="8" t="str">
        <f>IF(Table1[[#This Row],[Is Data Valid]]=TRUE,EXP(0.578+0.332*((Table1[[#This Row],[Gestation (days)]]+0.5)/7)-0.00354*((Table1[[#This Row],[Gestation (days)]]+0.5)/7)^2)*Table1[[#This Row],[BW40_3705]],"")</f>
        <v/>
      </c>
      <c r="G2040" s="2" t="str">
        <f>IF(Table1[[#This Row],[Is Data Valid]]=TRUE,((Table1[[#This Row],[Birthweight (grams)]]/Table1[[#This Row],[BW_GA]])-1)/(Backend!$B$4/100*Table1[[#This Row],[BW40_3705]]),"")</f>
        <v/>
      </c>
      <c r="H2040" s="7" t="str">
        <f>IF(Table1[[#This Row],[Is Data Valid]]=TRUE,((Table1[[#This Row],[Birthweight (grams)]]*0.9/Table1[[#This Row],[BW_GA]])-1)/(Backend!$B$4/100*Table1[[#This Row],[BW40_3705]]),"")</f>
        <v/>
      </c>
      <c r="I2040" s="7" t="str">
        <f>IF(Table1[[#This Row],[Is Data Valid]]=TRUE,((Table1[[#This Row],[Birthweight (grams)]]*1.1/Table1[[#This Row],[BW_GA]])-1)/(Backend!$B$4/100*Table1[[#This Row],[BW40_3705]]),"")</f>
        <v/>
      </c>
      <c r="J2040" s="7" t="str">
        <f>IF(Table1[[#This Row],[Is Data Valid]]=TRUE,_xlfn.NORM.S.DIST(Table1[[#This Row],[Birthweight Z-Score]],TRUE)*100,"")</f>
        <v/>
      </c>
      <c r="K2040" s="7" t="str">
        <f>IF(Table1[[#This Row],[Is Data Valid]]=TRUE,_xlfn.NORM.S.DIST(Table1[[#This Row],[Birthweight Z-Score (BW-10%)]],TRUE)*100,"")</f>
        <v/>
      </c>
      <c r="L2040" s="7" t="str">
        <f>IF(Table1[[#This Row],[Is Data Valid]]=TRUE,_xlfn.NORM.S.DIST(Table1[[#This Row],[Birthweight Z-Score (BW+10%)]],TRUE)*100,"")</f>
        <v/>
      </c>
    </row>
    <row r="2041" spans="1:12" x14ac:dyDescent="0.35">
      <c r="A2041" s="3"/>
      <c r="B2041" s="2"/>
      <c r="C2041" s="2"/>
      <c r="D2041" s="2" t="b">
        <f>IF(AND(NOT(ISBLANK(Table1[[#This Row],[Fetal Sex (Male, Female or Unknown)]])),ISNUMBER(Table1[[#This Row],[Birthweight (grams)]]),ISNUMBER(Table1[[#This Row],[Gestation (days)]])),TRUE,FALSE)</f>
        <v>0</v>
      </c>
      <c r="E2041" s="2" t="str">
        <f>IF(Table1[[#This Row],[Is Data Valid]]=TRUE,IF(Table1[[#This Row],[Fetal Sex (Male, Female or Unknown)]]="Male",Backend!$C$6,IF(Table1[[#This Row],[Fetal Sex (Male, Female or Unknown)]]="Female",Backend!$C$7,IF(Table1[[#This Row],[Fetal Sex (Male, Female or Unknown)]]="Unknown",Backend!$C$8,"Error"))),"")</f>
        <v/>
      </c>
      <c r="F2041" s="8" t="str">
        <f>IF(Table1[[#This Row],[Is Data Valid]]=TRUE,EXP(0.578+0.332*((Table1[[#This Row],[Gestation (days)]]+0.5)/7)-0.00354*((Table1[[#This Row],[Gestation (days)]]+0.5)/7)^2)*Table1[[#This Row],[BW40_3705]],"")</f>
        <v/>
      </c>
      <c r="G2041" s="2" t="str">
        <f>IF(Table1[[#This Row],[Is Data Valid]]=TRUE,((Table1[[#This Row],[Birthweight (grams)]]/Table1[[#This Row],[BW_GA]])-1)/(Backend!$B$4/100*Table1[[#This Row],[BW40_3705]]),"")</f>
        <v/>
      </c>
      <c r="H2041" s="7" t="str">
        <f>IF(Table1[[#This Row],[Is Data Valid]]=TRUE,((Table1[[#This Row],[Birthweight (grams)]]*0.9/Table1[[#This Row],[BW_GA]])-1)/(Backend!$B$4/100*Table1[[#This Row],[BW40_3705]]),"")</f>
        <v/>
      </c>
      <c r="I2041" s="7" t="str">
        <f>IF(Table1[[#This Row],[Is Data Valid]]=TRUE,((Table1[[#This Row],[Birthweight (grams)]]*1.1/Table1[[#This Row],[BW_GA]])-1)/(Backend!$B$4/100*Table1[[#This Row],[BW40_3705]]),"")</f>
        <v/>
      </c>
      <c r="J2041" s="7" t="str">
        <f>IF(Table1[[#This Row],[Is Data Valid]]=TRUE,_xlfn.NORM.S.DIST(Table1[[#This Row],[Birthweight Z-Score]],TRUE)*100,"")</f>
        <v/>
      </c>
      <c r="K2041" s="7" t="str">
        <f>IF(Table1[[#This Row],[Is Data Valid]]=TRUE,_xlfn.NORM.S.DIST(Table1[[#This Row],[Birthweight Z-Score (BW-10%)]],TRUE)*100,"")</f>
        <v/>
      </c>
      <c r="L2041" s="7" t="str">
        <f>IF(Table1[[#This Row],[Is Data Valid]]=TRUE,_xlfn.NORM.S.DIST(Table1[[#This Row],[Birthweight Z-Score (BW+10%)]],TRUE)*100,"")</f>
        <v/>
      </c>
    </row>
    <row r="2042" spans="1:12" x14ac:dyDescent="0.35">
      <c r="A2042" s="3"/>
      <c r="B2042" s="2"/>
      <c r="C2042" s="2"/>
      <c r="D2042" s="2" t="b">
        <f>IF(AND(NOT(ISBLANK(Table1[[#This Row],[Fetal Sex (Male, Female or Unknown)]])),ISNUMBER(Table1[[#This Row],[Birthweight (grams)]]),ISNUMBER(Table1[[#This Row],[Gestation (days)]])),TRUE,FALSE)</f>
        <v>0</v>
      </c>
      <c r="E2042" s="2" t="str">
        <f>IF(Table1[[#This Row],[Is Data Valid]]=TRUE,IF(Table1[[#This Row],[Fetal Sex (Male, Female or Unknown)]]="Male",Backend!$C$6,IF(Table1[[#This Row],[Fetal Sex (Male, Female or Unknown)]]="Female",Backend!$C$7,IF(Table1[[#This Row],[Fetal Sex (Male, Female or Unknown)]]="Unknown",Backend!$C$8,"Error"))),"")</f>
        <v/>
      </c>
      <c r="F2042" s="8" t="str">
        <f>IF(Table1[[#This Row],[Is Data Valid]]=TRUE,EXP(0.578+0.332*((Table1[[#This Row],[Gestation (days)]]+0.5)/7)-0.00354*((Table1[[#This Row],[Gestation (days)]]+0.5)/7)^2)*Table1[[#This Row],[BW40_3705]],"")</f>
        <v/>
      </c>
      <c r="G2042" s="2" t="str">
        <f>IF(Table1[[#This Row],[Is Data Valid]]=TRUE,((Table1[[#This Row],[Birthweight (grams)]]/Table1[[#This Row],[BW_GA]])-1)/(Backend!$B$4/100*Table1[[#This Row],[BW40_3705]]),"")</f>
        <v/>
      </c>
      <c r="H2042" s="7" t="str">
        <f>IF(Table1[[#This Row],[Is Data Valid]]=TRUE,((Table1[[#This Row],[Birthweight (grams)]]*0.9/Table1[[#This Row],[BW_GA]])-1)/(Backend!$B$4/100*Table1[[#This Row],[BW40_3705]]),"")</f>
        <v/>
      </c>
      <c r="I2042" s="7" t="str">
        <f>IF(Table1[[#This Row],[Is Data Valid]]=TRUE,((Table1[[#This Row],[Birthweight (grams)]]*1.1/Table1[[#This Row],[BW_GA]])-1)/(Backend!$B$4/100*Table1[[#This Row],[BW40_3705]]),"")</f>
        <v/>
      </c>
      <c r="J2042" s="7" t="str">
        <f>IF(Table1[[#This Row],[Is Data Valid]]=TRUE,_xlfn.NORM.S.DIST(Table1[[#This Row],[Birthweight Z-Score]],TRUE)*100,"")</f>
        <v/>
      </c>
      <c r="K2042" s="7" t="str">
        <f>IF(Table1[[#This Row],[Is Data Valid]]=TRUE,_xlfn.NORM.S.DIST(Table1[[#This Row],[Birthweight Z-Score (BW-10%)]],TRUE)*100,"")</f>
        <v/>
      </c>
      <c r="L2042" s="7" t="str">
        <f>IF(Table1[[#This Row],[Is Data Valid]]=TRUE,_xlfn.NORM.S.DIST(Table1[[#This Row],[Birthweight Z-Score (BW+10%)]],TRUE)*100,"")</f>
        <v/>
      </c>
    </row>
    <row r="2043" spans="1:12" x14ac:dyDescent="0.35">
      <c r="A2043" s="3"/>
      <c r="B2043" s="2"/>
      <c r="C2043" s="2"/>
      <c r="D2043" s="2" t="b">
        <f>IF(AND(NOT(ISBLANK(Table1[[#This Row],[Fetal Sex (Male, Female or Unknown)]])),ISNUMBER(Table1[[#This Row],[Birthweight (grams)]]),ISNUMBER(Table1[[#This Row],[Gestation (days)]])),TRUE,FALSE)</f>
        <v>0</v>
      </c>
      <c r="E2043" s="2" t="str">
        <f>IF(Table1[[#This Row],[Is Data Valid]]=TRUE,IF(Table1[[#This Row],[Fetal Sex (Male, Female or Unknown)]]="Male",Backend!$C$6,IF(Table1[[#This Row],[Fetal Sex (Male, Female or Unknown)]]="Female",Backend!$C$7,IF(Table1[[#This Row],[Fetal Sex (Male, Female or Unknown)]]="Unknown",Backend!$C$8,"Error"))),"")</f>
        <v/>
      </c>
      <c r="F2043" s="8" t="str">
        <f>IF(Table1[[#This Row],[Is Data Valid]]=TRUE,EXP(0.578+0.332*((Table1[[#This Row],[Gestation (days)]]+0.5)/7)-0.00354*((Table1[[#This Row],[Gestation (days)]]+0.5)/7)^2)*Table1[[#This Row],[BW40_3705]],"")</f>
        <v/>
      </c>
      <c r="G2043" s="2" t="str">
        <f>IF(Table1[[#This Row],[Is Data Valid]]=TRUE,((Table1[[#This Row],[Birthweight (grams)]]/Table1[[#This Row],[BW_GA]])-1)/(Backend!$B$4/100*Table1[[#This Row],[BW40_3705]]),"")</f>
        <v/>
      </c>
      <c r="H2043" s="7" t="str">
        <f>IF(Table1[[#This Row],[Is Data Valid]]=TRUE,((Table1[[#This Row],[Birthweight (grams)]]*0.9/Table1[[#This Row],[BW_GA]])-1)/(Backend!$B$4/100*Table1[[#This Row],[BW40_3705]]),"")</f>
        <v/>
      </c>
      <c r="I2043" s="7" t="str">
        <f>IF(Table1[[#This Row],[Is Data Valid]]=TRUE,((Table1[[#This Row],[Birthweight (grams)]]*1.1/Table1[[#This Row],[BW_GA]])-1)/(Backend!$B$4/100*Table1[[#This Row],[BW40_3705]]),"")</f>
        <v/>
      </c>
      <c r="J2043" s="7" t="str">
        <f>IF(Table1[[#This Row],[Is Data Valid]]=TRUE,_xlfn.NORM.S.DIST(Table1[[#This Row],[Birthweight Z-Score]],TRUE)*100,"")</f>
        <v/>
      </c>
      <c r="K2043" s="7" t="str">
        <f>IF(Table1[[#This Row],[Is Data Valid]]=TRUE,_xlfn.NORM.S.DIST(Table1[[#This Row],[Birthweight Z-Score (BW-10%)]],TRUE)*100,"")</f>
        <v/>
      </c>
      <c r="L2043" s="7" t="str">
        <f>IF(Table1[[#This Row],[Is Data Valid]]=TRUE,_xlfn.NORM.S.DIST(Table1[[#This Row],[Birthweight Z-Score (BW+10%)]],TRUE)*100,"")</f>
        <v/>
      </c>
    </row>
    <row r="2044" spans="1:12" x14ac:dyDescent="0.35">
      <c r="A2044" s="3"/>
      <c r="B2044" s="2"/>
      <c r="C2044" s="2"/>
      <c r="D2044" s="2" t="b">
        <f>IF(AND(NOT(ISBLANK(Table1[[#This Row],[Fetal Sex (Male, Female or Unknown)]])),ISNUMBER(Table1[[#This Row],[Birthweight (grams)]]),ISNUMBER(Table1[[#This Row],[Gestation (days)]])),TRUE,FALSE)</f>
        <v>0</v>
      </c>
      <c r="E2044" s="2" t="str">
        <f>IF(Table1[[#This Row],[Is Data Valid]]=TRUE,IF(Table1[[#This Row],[Fetal Sex (Male, Female or Unknown)]]="Male",Backend!$C$6,IF(Table1[[#This Row],[Fetal Sex (Male, Female or Unknown)]]="Female",Backend!$C$7,IF(Table1[[#This Row],[Fetal Sex (Male, Female or Unknown)]]="Unknown",Backend!$C$8,"Error"))),"")</f>
        <v/>
      </c>
      <c r="F2044" s="8" t="str">
        <f>IF(Table1[[#This Row],[Is Data Valid]]=TRUE,EXP(0.578+0.332*((Table1[[#This Row],[Gestation (days)]]+0.5)/7)-0.00354*((Table1[[#This Row],[Gestation (days)]]+0.5)/7)^2)*Table1[[#This Row],[BW40_3705]],"")</f>
        <v/>
      </c>
      <c r="G2044" s="2" t="str">
        <f>IF(Table1[[#This Row],[Is Data Valid]]=TRUE,((Table1[[#This Row],[Birthweight (grams)]]/Table1[[#This Row],[BW_GA]])-1)/(Backend!$B$4/100*Table1[[#This Row],[BW40_3705]]),"")</f>
        <v/>
      </c>
      <c r="H2044" s="7" t="str">
        <f>IF(Table1[[#This Row],[Is Data Valid]]=TRUE,((Table1[[#This Row],[Birthweight (grams)]]*0.9/Table1[[#This Row],[BW_GA]])-1)/(Backend!$B$4/100*Table1[[#This Row],[BW40_3705]]),"")</f>
        <v/>
      </c>
      <c r="I2044" s="7" t="str">
        <f>IF(Table1[[#This Row],[Is Data Valid]]=TRUE,((Table1[[#This Row],[Birthweight (grams)]]*1.1/Table1[[#This Row],[BW_GA]])-1)/(Backend!$B$4/100*Table1[[#This Row],[BW40_3705]]),"")</f>
        <v/>
      </c>
      <c r="J2044" s="7" t="str">
        <f>IF(Table1[[#This Row],[Is Data Valid]]=TRUE,_xlfn.NORM.S.DIST(Table1[[#This Row],[Birthweight Z-Score]],TRUE)*100,"")</f>
        <v/>
      </c>
      <c r="K2044" s="7" t="str">
        <f>IF(Table1[[#This Row],[Is Data Valid]]=TRUE,_xlfn.NORM.S.DIST(Table1[[#This Row],[Birthweight Z-Score (BW-10%)]],TRUE)*100,"")</f>
        <v/>
      </c>
      <c r="L2044" s="7" t="str">
        <f>IF(Table1[[#This Row],[Is Data Valid]]=TRUE,_xlfn.NORM.S.DIST(Table1[[#This Row],[Birthweight Z-Score (BW+10%)]],TRUE)*100,"")</f>
        <v/>
      </c>
    </row>
    <row r="2045" spans="1:12" x14ac:dyDescent="0.35">
      <c r="A2045" s="3"/>
      <c r="B2045" s="2"/>
      <c r="C2045" s="2"/>
      <c r="D2045" s="2" t="b">
        <f>IF(AND(NOT(ISBLANK(Table1[[#This Row],[Fetal Sex (Male, Female or Unknown)]])),ISNUMBER(Table1[[#This Row],[Birthweight (grams)]]),ISNUMBER(Table1[[#This Row],[Gestation (days)]])),TRUE,FALSE)</f>
        <v>0</v>
      </c>
      <c r="E2045" s="2" t="str">
        <f>IF(Table1[[#This Row],[Is Data Valid]]=TRUE,IF(Table1[[#This Row],[Fetal Sex (Male, Female or Unknown)]]="Male",Backend!$C$6,IF(Table1[[#This Row],[Fetal Sex (Male, Female or Unknown)]]="Female",Backend!$C$7,IF(Table1[[#This Row],[Fetal Sex (Male, Female or Unknown)]]="Unknown",Backend!$C$8,"Error"))),"")</f>
        <v/>
      </c>
      <c r="F2045" s="8" t="str">
        <f>IF(Table1[[#This Row],[Is Data Valid]]=TRUE,EXP(0.578+0.332*((Table1[[#This Row],[Gestation (days)]]+0.5)/7)-0.00354*((Table1[[#This Row],[Gestation (days)]]+0.5)/7)^2)*Table1[[#This Row],[BW40_3705]],"")</f>
        <v/>
      </c>
      <c r="G2045" s="2" t="str">
        <f>IF(Table1[[#This Row],[Is Data Valid]]=TRUE,((Table1[[#This Row],[Birthweight (grams)]]/Table1[[#This Row],[BW_GA]])-1)/(Backend!$B$4/100*Table1[[#This Row],[BW40_3705]]),"")</f>
        <v/>
      </c>
      <c r="H2045" s="7" t="str">
        <f>IF(Table1[[#This Row],[Is Data Valid]]=TRUE,((Table1[[#This Row],[Birthweight (grams)]]*0.9/Table1[[#This Row],[BW_GA]])-1)/(Backend!$B$4/100*Table1[[#This Row],[BW40_3705]]),"")</f>
        <v/>
      </c>
      <c r="I2045" s="7" t="str">
        <f>IF(Table1[[#This Row],[Is Data Valid]]=TRUE,((Table1[[#This Row],[Birthweight (grams)]]*1.1/Table1[[#This Row],[BW_GA]])-1)/(Backend!$B$4/100*Table1[[#This Row],[BW40_3705]]),"")</f>
        <v/>
      </c>
      <c r="J2045" s="7" t="str">
        <f>IF(Table1[[#This Row],[Is Data Valid]]=TRUE,_xlfn.NORM.S.DIST(Table1[[#This Row],[Birthweight Z-Score]],TRUE)*100,"")</f>
        <v/>
      </c>
      <c r="K2045" s="7" t="str">
        <f>IF(Table1[[#This Row],[Is Data Valid]]=TRUE,_xlfn.NORM.S.DIST(Table1[[#This Row],[Birthweight Z-Score (BW-10%)]],TRUE)*100,"")</f>
        <v/>
      </c>
      <c r="L2045" s="7" t="str">
        <f>IF(Table1[[#This Row],[Is Data Valid]]=TRUE,_xlfn.NORM.S.DIST(Table1[[#This Row],[Birthweight Z-Score (BW+10%)]],TRUE)*100,"")</f>
        <v/>
      </c>
    </row>
    <row r="2046" spans="1:12" x14ac:dyDescent="0.35">
      <c r="A2046" s="3"/>
      <c r="B2046" s="2"/>
      <c r="C2046" s="2"/>
      <c r="D2046" s="2" t="b">
        <f>IF(AND(NOT(ISBLANK(Table1[[#This Row],[Fetal Sex (Male, Female or Unknown)]])),ISNUMBER(Table1[[#This Row],[Birthweight (grams)]]),ISNUMBER(Table1[[#This Row],[Gestation (days)]])),TRUE,FALSE)</f>
        <v>0</v>
      </c>
      <c r="E2046" s="2" t="str">
        <f>IF(Table1[[#This Row],[Is Data Valid]]=TRUE,IF(Table1[[#This Row],[Fetal Sex (Male, Female or Unknown)]]="Male",Backend!$C$6,IF(Table1[[#This Row],[Fetal Sex (Male, Female or Unknown)]]="Female",Backend!$C$7,IF(Table1[[#This Row],[Fetal Sex (Male, Female or Unknown)]]="Unknown",Backend!$C$8,"Error"))),"")</f>
        <v/>
      </c>
      <c r="F2046" s="8" t="str">
        <f>IF(Table1[[#This Row],[Is Data Valid]]=TRUE,EXP(0.578+0.332*((Table1[[#This Row],[Gestation (days)]]+0.5)/7)-0.00354*((Table1[[#This Row],[Gestation (days)]]+0.5)/7)^2)*Table1[[#This Row],[BW40_3705]],"")</f>
        <v/>
      </c>
      <c r="G2046" s="2" t="str">
        <f>IF(Table1[[#This Row],[Is Data Valid]]=TRUE,((Table1[[#This Row],[Birthweight (grams)]]/Table1[[#This Row],[BW_GA]])-1)/(Backend!$B$4/100*Table1[[#This Row],[BW40_3705]]),"")</f>
        <v/>
      </c>
      <c r="H2046" s="7" t="str">
        <f>IF(Table1[[#This Row],[Is Data Valid]]=TRUE,((Table1[[#This Row],[Birthweight (grams)]]*0.9/Table1[[#This Row],[BW_GA]])-1)/(Backend!$B$4/100*Table1[[#This Row],[BW40_3705]]),"")</f>
        <v/>
      </c>
      <c r="I2046" s="7" t="str">
        <f>IF(Table1[[#This Row],[Is Data Valid]]=TRUE,((Table1[[#This Row],[Birthweight (grams)]]*1.1/Table1[[#This Row],[BW_GA]])-1)/(Backend!$B$4/100*Table1[[#This Row],[BW40_3705]]),"")</f>
        <v/>
      </c>
      <c r="J2046" s="7" t="str">
        <f>IF(Table1[[#This Row],[Is Data Valid]]=TRUE,_xlfn.NORM.S.DIST(Table1[[#This Row],[Birthweight Z-Score]],TRUE)*100,"")</f>
        <v/>
      </c>
      <c r="K2046" s="7" t="str">
        <f>IF(Table1[[#This Row],[Is Data Valid]]=TRUE,_xlfn.NORM.S.DIST(Table1[[#This Row],[Birthweight Z-Score (BW-10%)]],TRUE)*100,"")</f>
        <v/>
      </c>
      <c r="L2046" s="7" t="str">
        <f>IF(Table1[[#This Row],[Is Data Valid]]=TRUE,_xlfn.NORM.S.DIST(Table1[[#This Row],[Birthweight Z-Score (BW+10%)]],TRUE)*100,"")</f>
        <v/>
      </c>
    </row>
    <row r="2047" spans="1:12" x14ac:dyDescent="0.35">
      <c r="A2047" s="3"/>
      <c r="B2047" s="2"/>
      <c r="C2047" s="2"/>
      <c r="D2047" s="2" t="b">
        <f>IF(AND(NOT(ISBLANK(Table1[[#This Row],[Fetal Sex (Male, Female or Unknown)]])),ISNUMBER(Table1[[#This Row],[Birthweight (grams)]]),ISNUMBER(Table1[[#This Row],[Gestation (days)]])),TRUE,FALSE)</f>
        <v>0</v>
      </c>
      <c r="E2047" s="2" t="str">
        <f>IF(Table1[[#This Row],[Is Data Valid]]=TRUE,IF(Table1[[#This Row],[Fetal Sex (Male, Female or Unknown)]]="Male",Backend!$C$6,IF(Table1[[#This Row],[Fetal Sex (Male, Female or Unknown)]]="Female",Backend!$C$7,IF(Table1[[#This Row],[Fetal Sex (Male, Female or Unknown)]]="Unknown",Backend!$C$8,"Error"))),"")</f>
        <v/>
      </c>
      <c r="F2047" s="8" t="str">
        <f>IF(Table1[[#This Row],[Is Data Valid]]=TRUE,EXP(0.578+0.332*((Table1[[#This Row],[Gestation (days)]]+0.5)/7)-0.00354*((Table1[[#This Row],[Gestation (days)]]+0.5)/7)^2)*Table1[[#This Row],[BW40_3705]],"")</f>
        <v/>
      </c>
      <c r="G2047" s="2" t="str">
        <f>IF(Table1[[#This Row],[Is Data Valid]]=TRUE,((Table1[[#This Row],[Birthweight (grams)]]/Table1[[#This Row],[BW_GA]])-1)/(Backend!$B$4/100*Table1[[#This Row],[BW40_3705]]),"")</f>
        <v/>
      </c>
      <c r="H2047" s="7" t="str">
        <f>IF(Table1[[#This Row],[Is Data Valid]]=TRUE,((Table1[[#This Row],[Birthweight (grams)]]*0.9/Table1[[#This Row],[BW_GA]])-1)/(Backend!$B$4/100*Table1[[#This Row],[BW40_3705]]),"")</f>
        <v/>
      </c>
      <c r="I2047" s="7" t="str">
        <f>IF(Table1[[#This Row],[Is Data Valid]]=TRUE,((Table1[[#This Row],[Birthweight (grams)]]*1.1/Table1[[#This Row],[BW_GA]])-1)/(Backend!$B$4/100*Table1[[#This Row],[BW40_3705]]),"")</f>
        <v/>
      </c>
      <c r="J2047" s="7" t="str">
        <f>IF(Table1[[#This Row],[Is Data Valid]]=TRUE,_xlfn.NORM.S.DIST(Table1[[#This Row],[Birthweight Z-Score]],TRUE)*100,"")</f>
        <v/>
      </c>
      <c r="K2047" s="7" t="str">
        <f>IF(Table1[[#This Row],[Is Data Valid]]=TRUE,_xlfn.NORM.S.DIST(Table1[[#This Row],[Birthweight Z-Score (BW-10%)]],TRUE)*100,"")</f>
        <v/>
      </c>
      <c r="L2047" s="7" t="str">
        <f>IF(Table1[[#This Row],[Is Data Valid]]=TRUE,_xlfn.NORM.S.DIST(Table1[[#This Row],[Birthweight Z-Score (BW+10%)]],TRUE)*100,"")</f>
        <v/>
      </c>
    </row>
    <row r="2048" spans="1:12" x14ac:dyDescent="0.35">
      <c r="A2048" s="3"/>
      <c r="B2048" s="2"/>
      <c r="C2048" s="2"/>
      <c r="D2048" s="2" t="b">
        <f>IF(AND(NOT(ISBLANK(Table1[[#This Row],[Fetal Sex (Male, Female or Unknown)]])),ISNUMBER(Table1[[#This Row],[Birthweight (grams)]]),ISNUMBER(Table1[[#This Row],[Gestation (days)]])),TRUE,FALSE)</f>
        <v>0</v>
      </c>
      <c r="E2048" s="2" t="str">
        <f>IF(Table1[[#This Row],[Is Data Valid]]=TRUE,IF(Table1[[#This Row],[Fetal Sex (Male, Female or Unknown)]]="Male",Backend!$C$6,IF(Table1[[#This Row],[Fetal Sex (Male, Female or Unknown)]]="Female",Backend!$C$7,IF(Table1[[#This Row],[Fetal Sex (Male, Female or Unknown)]]="Unknown",Backend!$C$8,"Error"))),"")</f>
        <v/>
      </c>
      <c r="F2048" s="8" t="str">
        <f>IF(Table1[[#This Row],[Is Data Valid]]=TRUE,EXP(0.578+0.332*((Table1[[#This Row],[Gestation (days)]]+0.5)/7)-0.00354*((Table1[[#This Row],[Gestation (days)]]+0.5)/7)^2)*Table1[[#This Row],[BW40_3705]],"")</f>
        <v/>
      </c>
      <c r="G2048" s="2" t="str">
        <f>IF(Table1[[#This Row],[Is Data Valid]]=TRUE,((Table1[[#This Row],[Birthweight (grams)]]/Table1[[#This Row],[BW_GA]])-1)/(Backend!$B$4/100*Table1[[#This Row],[BW40_3705]]),"")</f>
        <v/>
      </c>
      <c r="H2048" s="7" t="str">
        <f>IF(Table1[[#This Row],[Is Data Valid]]=TRUE,((Table1[[#This Row],[Birthweight (grams)]]*0.9/Table1[[#This Row],[BW_GA]])-1)/(Backend!$B$4/100*Table1[[#This Row],[BW40_3705]]),"")</f>
        <v/>
      </c>
      <c r="I2048" s="7" t="str">
        <f>IF(Table1[[#This Row],[Is Data Valid]]=TRUE,((Table1[[#This Row],[Birthweight (grams)]]*1.1/Table1[[#This Row],[BW_GA]])-1)/(Backend!$B$4/100*Table1[[#This Row],[BW40_3705]]),"")</f>
        <v/>
      </c>
      <c r="J2048" s="7" t="str">
        <f>IF(Table1[[#This Row],[Is Data Valid]]=TRUE,_xlfn.NORM.S.DIST(Table1[[#This Row],[Birthweight Z-Score]],TRUE)*100,"")</f>
        <v/>
      </c>
      <c r="K2048" s="7" t="str">
        <f>IF(Table1[[#This Row],[Is Data Valid]]=TRUE,_xlfn.NORM.S.DIST(Table1[[#This Row],[Birthweight Z-Score (BW-10%)]],TRUE)*100,"")</f>
        <v/>
      </c>
      <c r="L2048" s="7" t="str">
        <f>IF(Table1[[#This Row],[Is Data Valid]]=TRUE,_xlfn.NORM.S.DIST(Table1[[#This Row],[Birthweight Z-Score (BW+10%)]],TRUE)*100,"")</f>
        <v/>
      </c>
    </row>
    <row r="2049" spans="1:12" x14ac:dyDescent="0.35">
      <c r="A2049" s="3"/>
      <c r="B2049" s="2"/>
      <c r="C2049" s="2"/>
      <c r="D2049" s="2" t="b">
        <f>IF(AND(NOT(ISBLANK(Table1[[#This Row],[Fetal Sex (Male, Female or Unknown)]])),ISNUMBER(Table1[[#This Row],[Birthweight (grams)]]),ISNUMBER(Table1[[#This Row],[Gestation (days)]])),TRUE,FALSE)</f>
        <v>0</v>
      </c>
      <c r="E2049" s="2" t="str">
        <f>IF(Table1[[#This Row],[Is Data Valid]]=TRUE,IF(Table1[[#This Row],[Fetal Sex (Male, Female or Unknown)]]="Male",Backend!$C$6,IF(Table1[[#This Row],[Fetal Sex (Male, Female or Unknown)]]="Female",Backend!$C$7,IF(Table1[[#This Row],[Fetal Sex (Male, Female or Unknown)]]="Unknown",Backend!$C$8,"Error"))),"")</f>
        <v/>
      </c>
      <c r="F2049" s="8" t="str">
        <f>IF(Table1[[#This Row],[Is Data Valid]]=TRUE,EXP(0.578+0.332*((Table1[[#This Row],[Gestation (days)]]+0.5)/7)-0.00354*((Table1[[#This Row],[Gestation (days)]]+0.5)/7)^2)*Table1[[#This Row],[BW40_3705]],"")</f>
        <v/>
      </c>
      <c r="G2049" s="2" t="str">
        <f>IF(Table1[[#This Row],[Is Data Valid]]=TRUE,((Table1[[#This Row],[Birthweight (grams)]]/Table1[[#This Row],[BW_GA]])-1)/(Backend!$B$4/100*Table1[[#This Row],[BW40_3705]]),"")</f>
        <v/>
      </c>
      <c r="H2049" s="7" t="str">
        <f>IF(Table1[[#This Row],[Is Data Valid]]=TRUE,((Table1[[#This Row],[Birthweight (grams)]]*0.9/Table1[[#This Row],[BW_GA]])-1)/(Backend!$B$4/100*Table1[[#This Row],[BW40_3705]]),"")</f>
        <v/>
      </c>
      <c r="I2049" s="7" t="str">
        <f>IF(Table1[[#This Row],[Is Data Valid]]=TRUE,((Table1[[#This Row],[Birthweight (grams)]]*1.1/Table1[[#This Row],[BW_GA]])-1)/(Backend!$B$4/100*Table1[[#This Row],[BW40_3705]]),"")</f>
        <v/>
      </c>
      <c r="J2049" s="7" t="str">
        <f>IF(Table1[[#This Row],[Is Data Valid]]=TRUE,_xlfn.NORM.S.DIST(Table1[[#This Row],[Birthweight Z-Score]],TRUE)*100,"")</f>
        <v/>
      </c>
      <c r="K2049" s="7" t="str">
        <f>IF(Table1[[#This Row],[Is Data Valid]]=TRUE,_xlfn.NORM.S.DIST(Table1[[#This Row],[Birthweight Z-Score (BW-10%)]],TRUE)*100,"")</f>
        <v/>
      </c>
      <c r="L2049" s="7" t="str">
        <f>IF(Table1[[#This Row],[Is Data Valid]]=TRUE,_xlfn.NORM.S.DIST(Table1[[#This Row],[Birthweight Z-Score (BW+10%)]],TRUE)*100,"")</f>
        <v/>
      </c>
    </row>
    <row r="2050" spans="1:12" x14ac:dyDescent="0.35">
      <c r="A2050" s="3"/>
      <c r="B2050" s="2"/>
      <c r="C2050" s="2"/>
      <c r="D2050" s="2" t="b">
        <f>IF(AND(NOT(ISBLANK(Table1[[#This Row],[Fetal Sex (Male, Female or Unknown)]])),ISNUMBER(Table1[[#This Row],[Birthweight (grams)]]),ISNUMBER(Table1[[#This Row],[Gestation (days)]])),TRUE,FALSE)</f>
        <v>0</v>
      </c>
      <c r="E2050" s="2" t="str">
        <f>IF(Table1[[#This Row],[Is Data Valid]]=TRUE,IF(Table1[[#This Row],[Fetal Sex (Male, Female or Unknown)]]="Male",Backend!$C$6,IF(Table1[[#This Row],[Fetal Sex (Male, Female or Unknown)]]="Female",Backend!$C$7,IF(Table1[[#This Row],[Fetal Sex (Male, Female or Unknown)]]="Unknown",Backend!$C$8,"Error"))),"")</f>
        <v/>
      </c>
      <c r="F2050" s="8" t="str">
        <f>IF(Table1[[#This Row],[Is Data Valid]]=TRUE,EXP(0.578+0.332*((Table1[[#This Row],[Gestation (days)]]+0.5)/7)-0.00354*((Table1[[#This Row],[Gestation (days)]]+0.5)/7)^2)*Table1[[#This Row],[BW40_3705]],"")</f>
        <v/>
      </c>
      <c r="G2050" s="2" t="str">
        <f>IF(Table1[[#This Row],[Is Data Valid]]=TRUE,((Table1[[#This Row],[Birthweight (grams)]]/Table1[[#This Row],[BW_GA]])-1)/(Backend!$B$4/100*Table1[[#This Row],[BW40_3705]]),"")</f>
        <v/>
      </c>
      <c r="H2050" s="7" t="str">
        <f>IF(Table1[[#This Row],[Is Data Valid]]=TRUE,((Table1[[#This Row],[Birthweight (grams)]]*0.9/Table1[[#This Row],[BW_GA]])-1)/(Backend!$B$4/100*Table1[[#This Row],[BW40_3705]]),"")</f>
        <v/>
      </c>
      <c r="I2050" s="7" t="str">
        <f>IF(Table1[[#This Row],[Is Data Valid]]=TRUE,((Table1[[#This Row],[Birthweight (grams)]]*1.1/Table1[[#This Row],[BW_GA]])-1)/(Backend!$B$4/100*Table1[[#This Row],[BW40_3705]]),"")</f>
        <v/>
      </c>
      <c r="J2050" s="7" t="str">
        <f>IF(Table1[[#This Row],[Is Data Valid]]=TRUE,_xlfn.NORM.S.DIST(Table1[[#This Row],[Birthweight Z-Score]],TRUE)*100,"")</f>
        <v/>
      </c>
      <c r="K2050" s="7" t="str">
        <f>IF(Table1[[#This Row],[Is Data Valid]]=TRUE,_xlfn.NORM.S.DIST(Table1[[#This Row],[Birthweight Z-Score (BW-10%)]],TRUE)*100,"")</f>
        <v/>
      </c>
      <c r="L2050" s="7" t="str">
        <f>IF(Table1[[#This Row],[Is Data Valid]]=TRUE,_xlfn.NORM.S.DIST(Table1[[#This Row],[Birthweight Z-Score (BW+10%)]],TRUE)*100,"")</f>
        <v/>
      </c>
    </row>
    <row r="2051" spans="1:12" x14ac:dyDescent="0.35">
      <c r="A2051" s="3"/>
      <c r="B2051" s="2"/>
      <c r="C2051" s="2"/>
      <c r="D2051" s="2" t="b">
        <f>IF(AND(NOT(ISBLANK(Table1[[#This Row],[Fetal Sex (Male, Female or Unknown)]])),ISNUMBER(Table1[[#This Row],[Birthweight (grams)]]),ISNUMBER(Table1[[#This Row],[Gestation (days)]])),TRUE,FALSE)</f>
        <v>0</v>
      </c>
      <c r="E2051" s="2" t="str">
        <f>IF(Table1[[#This Row],[Is Data Valid]]=TRUE,IF(Table1[[#This Row],[Fetal Sex (Male, Female or Unknown)]]="Male",Backend!$C$6,IF(Table1[[#This Row],[Fetal Sex (Male, Female or Unknown)]]="Female",Backend!$C$7,IF(Table1[[#This Row],[Fetal Sex (Male, Female or Unknown)]]="Unknown",Backend!$C$8,"Error"))),"")</f>
        <v/>
      </c>
      <c r="F2051" s="8" t="str">
        <f>IF(Table1[[#This Row],[Is Data Valid]]=TRUE,EXP(0.578+0.332*((Table1[[#This Row],[Gestation (days)]]+0.5)/7)-0.00354*((Table1[[#This Row],[Gestation (days)]]+0.5)/7)^2)*Table1[[#This Row],[BW40_3705]],"")</f>
        <v/>
      </c>
      <c r="G2051" s="2" t="str">
        <f>IF(Table1[[#This Row],[Is Data Valid]]=TRUE,((Table1[[#This Row],[Birthweight (grams)]]/Table1[[#This Row],[BW_GA]])-1)/(Backend!$B$4/100*Table1[[#This Row],[BW40_3705]]),"")</f>
        <v/>
      </c>
      <c r="H2051" s="7" t="str">
        <f>IF(Table1[[#This Row],[Is Data Valid]]=TRUE,((Table1[[#This Row],[Birthweight (grams)]]*0.9/Table1[[#This Row],[BW_GA]])-1)/(Backend!$B$4/100*Table1[[#This Row],[BW40_3705]]),"")</f>
        <v/>
      </c>
      <c r="I2051" s="7" t="str">
        <f>IF(Table1[[#This Row],[Is Data Valid]]=TRUE,((Table1[[#This Row],[Birthweight (grams)]]*1.1/Table1[[#This Row],[BW_GA]])-1)/(Backend!$B$4/100*Table1[[#This Row],[BW40_3705]]),"")</f>
        <v/>
      </c>
      <c r="J2051" s="7" t="str">
        <f>IF(Table1[[#This Row],[Is Data Valid]]=TRUE,_xlfn.NORM.S.DIST(Table1[[#This Row],[Birthweight Z-Score]],TRUE)*100,"")</f>
        <v/>
      </c>
      <c r="K2051" s="7" t="str">
        <f>IF(Table1[[#This Row],[Is Data Valid]]=TRUE,_xlfn.NORM.S.DIST(Table1[[#This Row],[Birthweight Z-Score (BW-10%)]],TRUE)*100,"")</f>
        <v/>
      </c>
      <c r="L2051" s="7" t="str">
        <f>IF(Table1[[#This Row],[Is Data Valid]]=TRUE,_xlfn.NORM.S.DIST(Table1[[#This Row],[Birthweight Z-Score (BW+10%)]],TRUE)*100,"")</f>
        <v/>
      </c>
    </row>
    <row r="2052" spans="1:12" x14ac:dyDescent="0.35">
      <c r="A2052" s="3"/>
      <c r="B2052" s="2"/>
      <c r="C2052" s="2"/>
      <c r="D2052" s="2" t="b">
        <f>IF(AND(NOT(ISBLANK(Table1[[#This Row],[Fetal Sex (Male, Female or Unknown)]])),ISNUMBER(Table1[[#This Row],[Birthweight (grams)]]),ISNUMBER(Table1[[#This Row],[Gestation (days)]])),TRUE,FALSE)</f>
        <v>0</v>
      </c>
      <c r="E2052" s="2" t="str">
        <f>IF(Table1[[#This Row],[Is Data Valid]]=TRUE,IF(Table1[[#This Row],[Fetal Sex (Male, Female or Unknown)]]="Male",Backend!$C$6,IF(Table1[[#This Row],[Fetal Sex (Male, Female or Unknown)]]="Female",Backend!$C$7,IF(Table1[[#This Row],[Fetal Sex (Male, Female or Unknown)]]="Unknown",Backend!$C$8,"Error"))),"")</f>
        <v/>
      </c>
      <c r="F2052" s="8" t="str">
        <f>IF(Table1[[#This Row],[Is Data Valid]]=TRUE,EXP(0.578+0.332*((Table1[[#This Row],[Gestation (days)]]+0.5)/7)-0.00354*((Table1[[#This Row],[Gestation (days)]]+0.5)/7)^2)*Table1[[#This Row],[BW40_3705]],"")</f>
        <v/>
      </c>
      <c r="G2052" s="2" t="str">
        <f>IF(Table1[[#This Row],[Is Data Valid]]=TRUE,((Table1[[#This Row],[Birthweight (grams)]]/Table1[[#This Row],[BW_GA]])-1)/(Backend!$B$4/100*Table1[[#This Row],[BW40_3705]]),"")</f>
        <v/>
      </c>
      <c r="H2052" s="7" t="str">
        <f>IF(Table1[[#This Row],[Is Data Valid]]=TRUE,((Table1[[#This Row],[Birthweight (grams)]]*0.9/Table1[[#This Row],[BW_GA]])-1)/(Backend!$B$4/100*Table1[[#This Row],[BW40_3705]]),"")</f>
        <v/>
      </c>
      <c r="I2052" s="7" t="str">
        <f>IF(Table1[[#This Row],[Is Data Valid]]=TRUE,((Table1[[#This Row],[Birthweight (grams)]]*1.1/Table1[[#This Row],[BW_GA]])-1)/(Backend!$B$4/100*Table1[[#This Row],[BW40_3705]]),"")</f>
        <v/>
      </c>
      <c r="J2052" s="7" t="str">
        <f>IF(Table1[[#This Row],[Is Data Valid]]=TRUE,_xlfn.NORM.S.DIST(Table1[[#This Row],[Birthweight Z-Score]],TRUE)*100,"")</f>
        <v/>
      </c>
      <c r="K2052" s="7" t="str">
        <f>IF(Table1[[#This Row],[Is Data Valid]]=TRUE,_xlfn.NORM.S.DIST(Table1[[#This Row],[Birthweight Z-Score (BW-10%)]],TRUE)*100,"")</f>
        <v/>
      </c>
      <c r="L2052" s="7" t="str">
        <f>IF(Table1[[#This Row],[Is Data Valid]]=TRUE,_xlfn.NORM.S.DIST(Table1[[#This Row],[Birthweight Z-Score (BW+10%)]],TRUE)*100,"")</f>
        <v/>
      </c>
    </row>
    <row r="2053" spans="1:12" x14ac:dyDescent="0.35">
      <c r="A2053" s="3"/>
      <c r="B2053" s="2"/>
      <c r="C2053" s="2"/>
      <c r="D2053" s="2" t="b">
        <f>IF(AND(NOT(ISBLANK(Table1[[#This Row],[Fetal Sex (Male, Female or Unknown)]])),ISNUMBER(Table1[[#This Row],[Birthweight (grams)]]),ISNUMBER(Table1[[#This Row],[Gestation (days)]])),TRUE,FALSE)</f>
        <v>0</v>
      </c>
      <c r="E2053" s="2" t="str">
        <f>IF(Table1[[#This Row],[Is Data Valid]]=TRUE,IF(Table1[[#This Row],[Fetal Sex (Male, Female or Unknown)]]="Male",Backend!$C$6,IF(Table1[[#This Row],[Fetal Sex (Male, Female or Unknown)]]="Female",Backend!$C$7,IF(Table1[[#This Row],[Fetal Sex (Male, Female or Unknown)]]="Unknown",Backend!$C$8,"Error"))),"")</f>
        <v/>
      </c>
      <c r="F2053" s="8" t="str">
        <f>IF(Table1[[#This Row],[Is Data Valid]]=TRUE,EXP(0.578+0.332*((Table1[[#This Row],[Gestation (days)]]+0.5)/7)-0.00354*((Table1[[#This Row],[Gestation (days)]]+0.5)/7)^2)*Table1[[#This Row],[BW40_3705]],"")</f>
        <v/>
      </c>
      <c r="G2053" s="2" t="str">
        <f>IF(Table1[[#This Row],[Is Data Valid]]=TRUE,((Table1[[#This Row],[Birthweight (grams)]]/Table1[[#This Row],[BW_GA]])-1)/(Backend!$B$4/100*Table1[[#This Row],[BW40_3705]]),"")</f>
        <v/>
      </c>
      <c r="H2053" s="7" t="str">
        <f>IF(Table1[[#This Row],[Is Data Valid]]=TRUE,((Table1[[#This Row],[Birthweight (grams)]]*0.9/Table1[[#This Row],[BW_GA]])-1)/(Backend!$B$4/100*Table1[[#This Row],[BW40_3705]]),"")</f>
        <v/>
      </c>
      <c r="I2053" s="7" t="str">
        <f>IF(Table1[[#This Row],[Is Data Valid]]=TRUE,((Table1[[#This Row],[Birthweight (grams)]]*1.1/Table1[[#This Row],[BW_GA]])-1)/(Backend!$B$4/100*Table1[[#This Row],[BW40_3705]]),"")</f>
        <v/>
      </c>
      <c r="J2053" s="7" t="str">
        <f>IF(Table1[[#This Row],[Is Data Valid]]=TRUE,_xlfn.NORM.S.DIST(Table1[[#This Row],[Birthweight Z-Score]],TRUE)*100,"")</f>
        <v/>
      </c>
      <c r="K2053" s="7" t="str">
        <f>IF(Table1[[#This Row],[Is Data Valid]]=TRUE,_xlfn.NORM.S.DIST(Table1[[#This Row],[Birthweight Z-Score (BW-10%)]],TRUE)*100,"")</f>
        <v/>
      </c>
      <c r="L2053" s="7" t="str">
        <f>IF(Table1[[#This Row],[Is Data Valid]]=TRUE,_xlfn.NORM.S.DIST(Table1[[#This Row],[Birthweight Z-Score (BW+10%)]],TRUE)*100,"")</f>
        <v/>
      </c>
    </row>
    <row r="2054" spans="1:12" x14ac:dyDescent="0.35">
      <c r="A2054" s="3"/>
      <c r="B2054" s="2"/>
      <c r="C2054" s="2"/>
      <c r="D2054" s="2" t="b">
        <f>IF(AND(NOT(ISBLANK(Table1[[#This Row],[Fetal Sex (Male, Female or Unknown)]])),ISNUMBER(Table1[[#This Row],[Birthweight (grams)]]),ISNUMBER(Table1[[#This Row],[Gestation (days)]])),TRUE,FALSE)</f>
        <v>0</v>
      </c>
      <c r="E2054" s="2" t="str">
        <f>IF(Table1[[#This Row],[Is Data Valid]]=TRUE,IF(Table1[[#This Row],[Fetal Sex (Male, Female or Unknown)]]="Male",Backend!$C$6,IF(Table1[[#This Row],[Fetal Sex (Male, Female or Unknown)]]="Female",Backend!$C$7,IF(Table1[[#This Row],[Fetal Sex (Male, Female or Unknown)]]="Unknown",Backend!$C$8,"Error"))),"")</f>
        <v/>
      </c>
      <c r="F2054" s="8" t="str">
        <f>IF(Table1[[#This Row],[Is Data Valid]]=TRUE,EXP(0.578+0.332*((Table1[[#This Row],[Gestation (days)]]+0.5)/7)-0.00354*((Table1[[#This Row],[Gestation (days)]]+0.5)/7)^2)*Table1[[#This Row],[BW40_3705]],"")</f>
        <v/>
      </c>
      <c r="G2054" s="2" t="str">
        <f>IF(Table1[[#This Row],[Is Data Valid]]=TRUE,((Table1[[#This Row],[Birthweight (grams)]]/Table1[[#This Row],[BW_GA]])-1)/(Backend!$B$4/100*Table1[[#This Row],[BW40_3705]]),"")</f>
        <v/>
      </c>
      <c r="H2054" s="7" t="str">
        <f>IF(Table1[[#This Row],[Is Data Valid]]=TRUE,((Table1[[#This Row],[Birthweight (grams)]]*0.9/Table1[[#This Row],[BW_GA]])-1)/(Backend!$B$4/100*Table1[[#This Row],[BW40_3705]]),"")</f>
        <v/>
      </c>
      <c r="I2054" s="7" t="str">
        <f>IF(Table1[[#This Row],[Is Data Valid]]=TRUE,((Table1[[#This Row],[Birthweight (grams)]]*1.1/Table1[[#This Row],[BW_GA]])-1)/(Backend!$B$4/100*Table1[[#This Row],[BW40_3705]]),"")</f>
        <v/>
      </c>
      <c r="J2054" s="7" t="str">
        <f>IF(Table1[[#This Row],[Is Data Valid]]=TRUE,_xlfn.NORM.S.DIST(Table1[[#This Row],[Birthweight Z-Score]],TRUE)*100,"")</f>
        <v/>
      </c>
      <c r="K2054" s="7" t="str">
        <f>IF(Table1[[#This Row],[Is Data Valid]]=TRUE,_xlfn.NORM.S.DIST(Table1[[#This Row],[Birthweight Z-Score (BW-10%)]],TRUE)*100,"")</f>
        <v/>
      </c>
      <c r="L2054" s="7" t="str">
        <f>IF(Table1[[#This Row],[Is Data Valid]]=TRUE,_xlfn.NORM.S.DIST(Table1[[#This Row],[Birthweight Z-Score (BW+10%)]],TRUE)*100,"")</f>
        <v/>
      </c>
    </row>
    <row r="2055" spans="1:12" x14ac:dyDescent="0.35">
      <c r="A2055" s="3"/>
      <c r="B2055" s="2"/>
      <c r="C2055" s="2"/>
      <c r="D2055" s="2" t="b">
        <f>IF(AND(NOT(ISBLANK(Table1[[#This Row],[Fetal Sex (Male, Female or Unknown)]])),ISNUMBER(Table1[[#This Row],[Birthweight (grams)]]),ISNUMBER(Table1[[#This Row],[Gestation (days)]])),TRUE,FALSE)</f>
        <v>0</v>
      </c>
      <c r="E2055" s="2" t="str">
        <f>IF(Table1[[#This Row],[Is Data Valid]]=TRUE,IF(Table1[[#This Row],[Fetal Sex (Male, Female or Unknown)]]="Male",Backend!$C$6,IF(Table1[[#This Row],[Fetal Sex (Male, Female or Unknown)]]="Female",Backend!$C$7,IF(Table1[[#This Row],[Fetal Sex (Male, Female or Unknown)]]="Unknown",Backend!$C$8,"Error"))),"")</f>
        <v/>
      </c>
      <c r="F2055" s="8" t="str">
        <f>IF(Table1[[#This Row],[Is Data Valid]]=TRUE,EXP(0.578+0.332*((Table1[[#This Row],[Gestation (days)]]+0.5)/7)-0.00354*((Table1[[#This Row],[Gestation (days)]]+0.5)/7)^2)*Table1[[#This Row],[BW40_3705]],"")</f>
        <v/>
      </c>
      <c r="G2055" s="2" t="str">
        <f>IF(Table1[[#This Row],[Is Data Valid]]=TRUE,((Table1[[#This Row],[Birthweight (grams)]]/Table1[[#This Row],[BW_GA]])-1)/(Backend!$B$4/100*Table1[[#This Row],[BW40_3705]]),"")</f>
        <v/>
      </c>
      <c r="H2055" s="7" t="str">
        <f>IF(Table1[[#This Row],[Is Data Valid]]=TRUE,((Table1[[#This Row],[Birthweight (grams)]]*0.9/Table1[[#This Row],[BW_GA]])-1)/(Backend!$B$4/100*Table1[[#This Row],[BW40_3705]]),"")</f>
        <v/>
      </c>
      <c r="I2055" s="7" t="str">
        <f>IF(Table1[[#This Row],[Is Data Valid]]=TRUE,((Table1[[#This Row],[Birthweight (grams)]]*1.1/Table1[[#This Row],[BW_GA]])-1)/(Backend!$B$4/100*Table1[[#This Row],[BW40_3705]]),"")</f>
        <v/>
      </c>
      <c r="J2055" s="7" t="str">
        <f>IF(Table1[[#This Row],[Is Data Valid]]=TRUE,_xlfn.NORM.S.DIST(Table1[[#This Row],[Birthweight Z-Score]],TRUE)*100,"")</f>
        <v/>
      </c>
      <c r="K2055" s="7" t="str">
        <f>IF(Table1[[#This Row],[Is Data Valid]]=TRUE,_xlfn.NORM.S.DIST(Table1[[#This Row],[Birthweight Z-Score (BW-10%)]],TRUE)*100,"")</f>
        <v/>
      </c>
      <c r="L2055" s="7" t="str">
        <f>IF(Table1[[#This Row],[Is Data Valid]]=TRUE,_xlfn.NORM.S.DIST(Table1[[#This Row],[Birthweight Z-Score (BW+10%)]],TRUE)*100,"")</f>
        <v/>
      </c>
    </row>
    <row r="2056" spans="1:12" x14ac:dyDescent="0.35">
      <c r="A2056" s="3"/>
      <c r="B2056" s="2"/>
      <c r="C2056" s="2"/>
      <c r="D2056" s="2" t="b">
        <f>IF(AND(NOT(ISBLANK(Table1[[#This Row],[Fetal Sex (Male, Female or Unknown)]])),ISNUMBER(Table1[[#This Row],[Birthweight (grams)]]),ISNUMBER(Table1[[#This Row],[Gestation (days)]])),TRUE,FALSE)</f>
        <v>0</v>
      </c>
      <c r="E2056" s="2" t="str">
        <f>IF(Table1[[#This Row],[Is Data Valid]]=TRUE,IF(Table1[[#This Row],[Fetal Sex (Male, Female or Unknown)]]="Male",Backend!$C$6,IF(Table1[[#This Row],[Fetal Sex (Male, Female or Unknown)]]="Female",Backend!$C$7,IF(Table1[[#This Row],[Fetal Sex (Male, Female or Unknown)]]="Unknown",Backend!$C$8,"Error"))),"")</f>
        <v/>
      </c>
      <c r="F2056" s="8" t="str">
        <f>IF(Table1[[#This Row],[Is Data Valid]]=TRUE,EXP(0.578+0.332*((Table1[[#This Row],[Gestation (days)]]+0.5)/7)-0.00354*((Table1[[#This Row],[Gestation (days)]]+0.5)/7)^2)*Table1[[#This Row],[BW40_3705]],"")</f>
        <v/>
      </c>
      <c r="G2056" s="2" t="str">
        <f>IF(Table1[[#This Row],[Is Data Valid]]=TRUE,((Table1[[#This Row],[Birthweight (grams)]]/Table1[[#This Row],[BW_GA]])-1)/(Backend!$B$4/100*Table1[[#This Row],[BW40_3705]]),"")</f>
        <v/>
      </c>
      <c r="H2056" s="7" t="str">
        <f>IF(Table1[[#This Row],[Is Data Valid]]=TRUE,((Table1[[#This Row],[Birthweight (grams)]]*0.9/Table1[[#This Row],[BW_GA]])-1)/(Backend!$B$4/100*Table1[[#This Row],[BW40_3705]]),"")</f>
        <v/>
      </c>
      <c r="I2056" s="7" t="str">
        <f>IF(Table1[[#This Row],[Is Data Valid]]=TRUE,((Table1[[#This Row],[Birthweight (grams)]]*1.1/Table1[[#This Row],[BW_GA]])-1)/(Backend!$B$4/100*Table1[[#This Row],[BW40_3705]]),"")</f>
        <v/>
      </c>
      <c r="J2056" s="7" t="str">
        <f>IF(Table1[[#This Row],[Is Data Valid]]=TRUE,_xlfn.NORM.S.DIST(Table1[[#This Row],[Birthweight Z-Score]],TRUE)*100,"")</f>
        <v/>
      </c>
      <c r="K2056" s="7" t="str">
        <f>IF(Table1[[#This Row],[Is Data Valid]]=TRUE,_xlfn.NORM.S.DIST(Table1[[#This Row],[Birthweight Z-Score (BW-10%)]],TRUE)*100,"")</f>
        <v/>
      </c>
      <c r="L2056" s="7" t="str">
        <f>IF(Table1[[#This Row],[Is Data Valid]]=TRUE,_xlfn.NORM.S.DIST(Table1[[#This Row],[Birthweight Z-Score (BW+10%)]],TRUE)*100,"")</f>
        <v/>
      </c>
    </row>
    <row r="2057" spans="1:12" x14ac:dyDescent="0.35">
      <c r="A2057" s="3"/>
      <c r="B2057" s="2"/>
      <c r="C2057" s="2"/>
      <c r="D2057" s="2" t="b">
        <f>IF(AND(NOT(ISBLANK(Table1[[#This Row],[Fetal Sex (Male, Female or Unknown)]])),ISNUMBER(Table1[[#This Row],[Birthweight (grams)]]),ISNUMBER(Table1[[#This Row],[Gestation (days)]])),TRUE,FALSE)</f>
        <v>0</v>
      </c>
      <c r="E2057" s="2" t="str">
        <f>IF(Table1[[#This Row],[Is Data Valid]]=TRUE,IF(Table1[[#This Row],[Fetal Sex (Male, Female or Unknown)]]="Male",Backend!$C$6,IF(Table1[[#This Row],[Fetal Sex (Male, Female or Unknown)]]="Female",Backend!$C$7,IF(Table1[[#This Row],[Fetal Sex (Male, Female or Unknown)]]="Unknown",Backend!$C$8,"Error"))),"")</f>
        <v/>
      </c>
      <c r="F2057" s="8" t="str">
        <f>IF(Table1[[#This Row],[Is Data Valid]]=TRUE,EXP(0.578+0.332*((Table1[[#This Row],[Gestation (days)]]+0.5)/7)-0.00354*((Table1[[#This Row],[Gestation (days)]]+0.5)/7)^2)*Table1[[#This Row],[BW40_3705]],"")</f>
        <v/>
      </c>
      <c r="G2057" s="2" t="str">
        <f>IF(Table1[[#This Row],[Is Data Valid]]=TRUE,((Table1[[#This Row],[Birthweight (grams)]]/Table1[[#This Row],[BW_GA]])-1)/(Backend!$B$4/100*Table1[[#This Row],[BW40_3705]]),"")</f>
        <v/>
      </c>
      <c r="H2057" s="7" t="str">
        <f>IF(Table1[[#This Row],[Is Data Valid]]=TRUE,((Table1[[#This Row],[Birthweight (grams)]]*0.9/Table1[[#This Row],[BW_GA]])-1)/(Backend!$B$4/100*Table1[[#This Row],[BW40_3705]]),"")</f>
        <v/>
      </c>
      <c r="I2057" s="7" t="str">
        <f>IF(Table1[[#This Row],[Is Data Valid]]=TRUE,((Table1[[#This Row],[Birthweight (grams)]]*1.1/Table1[[#This Row],[BW_GA]])-1)/(Backend!$B$4/100*Table1[[#This Row],[BW40_3705]]),"")</f>
        <v/>
      </c>
      <c r="J2057" s="7" t="str">
        <f>IF(Table1[[#This Row],[Is Data Valid]]=TRUE,_xlfn.NORM.S.DIST(Table1[[#This Row],[Birthweight Z-Score]],TRUE)*100,"")</f>
        <v/>
      </c>
      <c r="K2057" s="7" t="str">
        <f>IF(Table1[[#This Row],[Is Data Valid]]=TRUE,_xlfn.NORM.S.DIST(Table1[[#This Row],[Birthweight Z-Score (BW-10%)]],TRUE)*100,"")</f>
        <v/>
      </c>
      <c r="L2057" s="7" t="str">
        <f>IF(Table1[[#This Row],[Is Data Valid]]=TRUE,_xlfn.NORM.S.DIST(Table1[[#This Row],[Birthweight Z-Score (BW+10%)]],TRUE)*100,"")</f>
        <v/>
      </c>
    </row>
    <row r="2058" spans="1:12" x14ac:dyDescent="0.35">
      <c r="A2058" s="3"/>
      <c r="B2058" s="2"/>
      <c r="C2058" s="2"/>
      <c r="D2058" s="2" t="b">
        <f>IF(AND(NOT(ISBLANK(Table1[[#This Row],[Fetal Sex (Male, Female or Unknown)]])),ISNUMBER(Table1[[#This Row],[Birthweight (grams)]]),ISNUMBER(Table1[[#This Row],[Gestation (days)]])),TRUE,FALSE)</f>
        <v>0</v>
      </c>
      <c r="E2058" s="2" t="str">
        <f>IF(Table1[[#This Row],[Is Data Valid]]=TRUE,IF(Table1[[#This Row],[Fetal Sex (Male, Female or Unknown)]]="Male",Backend!$C$6,IF(Table1[[#This Row],[Fetal Sex (Male, Female or Unknown)]]="Female",Backend!$C$7,IF(Table1[[#This Row],[Fetal Sex (Male, Female or Unknown)]]="Unknown",Backend!$C$8,"Error"))),"")</f>
        <v/>
      </c>
      <c r="F2058" s="8" t="str">
        <f>IF(Table1[[#This Row],[Is Data Valid]]=TRUE,EXP(0.578+0.332*((Table1[[#This Row],[Gestation (days)]]+0.5)/7)-0.00354*((Table1[[#This Row],[Gestation (days)]]+0.5)/7)^2)*Table1[[#This Row],[BW40_3705]],"")</f>
        <v/>
      </c>
      <c r="G2058" s="2" t="str">
        <f>IF(Table1[[#This Row],[Is Data Valid]]=TRUE,((Table1[[#This Row],[Birthweight (grams)]]/Table1[[#This Row],[BW_GA]])-1)/(Backend!$B$4/100*Table1[[#This Row],[BW40_3705]]),"")</f>
        <v/>
      </c>
      <c r="H2058" s="7" t="str">
        <f>IF(Table1[[#This Row],[Is Data Valid]]=TRUE,((Table1[[#This Row],[Birthweight (grams)]]*0.9/Table1[[#This Row],[BW_GA]])-1)/(Backend!$B$4/100*Table1[[#This Row],[BW40_3705]]),"")</f>
        <v/>
      </c>
      <c r="I2058" s="7" t="str">
        <f>IF(Table1[[#This Row],[Is Data Valid]]=TRUE,((Table1[[#This Row],[Birthweight (grams)]]*1.1/Table1[[#This Row],[BW_GA]])-1)/(Backend!$B$4/100*Table1[[#This Row],[BW40_3705]]),"")</f>
        <v/>
      </c>
      <c r="J2058" s="7" t="str">
        <f>IF(Table1[[#This Row],[Is Data Valid]]=TRUE,_xlfn.NORM.S.DIST(Table1[[#This Row],[Birthweight Z-Score]],TRUE)*100,"")</f>
        <v/>
      </c>
      <c r="K2058" s="7" t="str">
        <f>IF(Table1[[#This Row],[Is Data Valid]]=TRUE,_xlfn.NORM.S.DIST(Table1[[#This Row],[Birthweight Z-Score (BW-10%)]],TRUE)*100,"")</f>
        <v/>
      </c>
      <c r="L2058" s="7" t="str">
        <f>IF(Table1[[#This Row],[Is Data Valid]]=TRUE,_xlfn.NORM.S.DIST(Table1[[#This Row],[Birthweight Z-Score (BW+10%)]],TRUE)*100,"")</f>
        <v/>
      </c>
    </row>
    <row r="2059" spans="1:12" x14ac:dyDescent="0.35">
      <c r="A2059" s="3"/>
      <c r="B2059" s="2"/>
      <c r="C2059" s="2"/>
      <c r="D2059" s="2" t="b">
        <f>IF(AND(NOT(ISBLANK(Table1[[#This Row],[Fetal Sex (Male, Female or Unknown)]])),ISNUMBER(Table1[[#This Row],[Birthweight (grams)]]),ISNUMBER(Table1[[#This Row],[Gestation (days)]])),TRUE,FALSE)</f>
        <v>0</v>
      </c>
      <c r="E2059" s="2" t="str">
        <f>IF(Table1[[#This Row],[Is Data Valid]]=TRUE,IF(Table1[[#This Row],[Fetal Sex (Male, Female or Unknown)]]="Male",Backend!$C$6,IF(Table1[[#This Row],[Fetal Sex (Male, Female or Unknown)]]="Female",Backend!$C$7,IF(Table1[[#This Row],[Fetal Sex (Male, Female or Unknown)]]="Unknown",Backend!$C$8,"Error"))),"")</f>
        <v/>
      </c>
      <c r="F2059" s="8" t="str">
        <f>IF(Table1[[#This Row],[Is Data Valid]]=TRUE,EXP(0.578+0.332*((Table1[[#This Row],[Gestation (days)]]+0.5)/7)-0.00354*((Table1[[#This Row],[Gestation (days)]]+0.5)/7)^2)*Table1[[#This Row],[BW40_3705]],"")</f>
        <v/>
      </c>
      <c r="G2059" s="2" t="str">
        <f>IF(Table1[[#This Row],[Is Data Valid]]=TRUE,((Table1[[#This Row],[Birthweight (grams)]]/Table1[[#This Row],[BW_GA]])-1)/(Backend!$B$4/100*Table1[[#This Row],[BW40_3705]]),"")</f>
        <v/>
      </c>
      <c r="H2059" s="7" t="str">
        <f>IF(Table1[[#This Row],[Is Data Valid]]=TRUE,((Table1[[#This Row],[Birthweight (grams)]]*0.9/Table1[[#This Row],[BW_GA]])-1)/(Backend!$B$4/100*Table1[[#This Row],[BW40_3705]]),"")</f>
        <v/>
      </c>
      <c r="I2059" s="7" t="str">
        <f>IF(Table1[[#This Row],[Is Data Valid]]=TRUE,((Table1[[#This Row],[Birthweight (grams)]]*1.1/Table1[[#This Row],[BW_GA]])-1)/(Backend!$B$4/100*Table1[[#This Row],[BW40_3705]]),"")</f>
        <v/>
      </c>
      <c r="J2059" s="7" t="str">
        <f>IF(Table1[[#This Row],[Is Data Valid]]=TRUE,_xlfn.NORM.S.DIST(Table1[[#This Row],[Birthweight Z-Score]],TRUE)*100,"")</f>
        <v/>
      </c>
      <c r="K2059" s="7" t="str">
        <f>IF(Table1[[#This Row],[Is Data Valid]]=TRUE,_xlfn.NORM.S.DIST(Table1[[#This Row],[Birthweight Z-Score (BW-10%)]],TRUE)*100,"")</f>
        <v/>
      </c>
      <c r="L2059" s="7" t="str">
        <f>IF(Table1[[#This Row],[Is Data Valid]]=TRUE,_xlfn.NORM.S.DIST(Table1[[#This Row],[Birthweight Z-Score (BW+10%)]],TRUE)*100,"")</f>
        <v/>
      </c>
    </row>
    <row r="2060" spans="1:12" x14ac:dyDescent="0.35">
      <c r="A2060" s="3"/>
      <c r="B2060" s="2"/>
      <c r="C2060" s="2"/>
      <c r="D2060" s="2" t="b">
        <f>IF(AND(NOT(ISBLANK(Table1[[#This Row],[Fetal Sex (Male, Female or Unknown)]])),ISNUMBER(Table1[[#This Row],[Birthweight (grams)]]),ISNUMBER(Table1[[#This Row],[Gestation (days)]])),TRUE,FALSE)</f>
        <v>0</v>
      </c>
      <c r="E2060" s="2" t="str">
        <f>IF(Table1[[#This Row],[Is Data Valid]]=TRUE,IF(Table1[[#This Row],[Fetal Sex (Male, Female or Unknown)]]="Male",Backend!$C$6,IF(Table1[[#This Row],[Fetal Sex (Male, Female or Unknown)]]="Female",Backend!$C$7,IF(Table1[[#This Row],[Fetal Sex (Male, Female or Unknown)]]="Unknown",Backend!$C$8,"Error"))),"")</f>
        <v/>
      </c>
      <c r="F2060" s="8" t="str">
        <f>IF(Table1[[#This Row],[Is Data Valid]]=TRUE,EXP(0.578+0.332*((Table1[[#This Row],[Gestation (days)]]+0.5)/7)-0.00354*((Table1[[#This Row],[Gestation (days)]]+0.5)/7)^2)*Table1[[#This Row],[BW40_3705]],"")</f>
        <v/>
      </c>
      <c r="G2060" s="2" t="str">
        <f>IF(Table1[[#This Row],[Is Data Valid]]=TRUE,((Table1[[#This Row],[Birthweight (grams)]]/Table1[[#This Row],[BW_GA]])-1)/(Backend!$B$4/100*Table1[[#This Row],[BW40_3705]]),"")</f>
        <v/>
      </c>
      <c r="H2060" s="7" t="str">
        <f>IF(Table1[[#This Row],[Is Data Valid]]=TRUE,((Table1[[#This Row],[Birthweight (grams)]]*0.9/Table1[[#This Row],[BW_GA]])-1)/(Backend!$B$4/100*Table1[[#This Row],[BW40_3705]]),"")</f>
        <v/>
      </c>
      <c r="I2060" s="7" t="str">
        <f>IF(Table1[[#This Row],[Is Data Valid]]=TRUE,((Table1[[#This Row],[Birthweight (grams)]]*1.1/Table1[[#This Row],[BW_GA]])-1)/(Backend!$B$4/100*Table1[[#This Row],[BW40_3705]]),"")</f>
        <v/>
      </c>
      <c r="J2060" s="7" t="str">
        <f>IF(Table1[[#This Row],[Is Data Valid]]=TRUE,_xlfn.NORM.S.DIST(Table1[[#This Row],[Birthweight Z-Score]],TRUE)*100,"")</f>
        <v/>
      </c>
      <c r="K2060" s="7" t="str">
        <f>IF(Table1[[#This Row],[Is Data Valid]]=TRUE,_xlfn.NORM.S.DIST(Table1[[#This Row],[Birthweight Z-Score (BW-10%)]],TRUE)*100,"")</f>
        <v/>
      </c>
      <c r="L2060" s="7" t="str">
        <f>IF(Table1[[#This Row],[Is Data Valid]]=TRUE,_xlfn.NORM.S.DIST(Table1[[#This Row],[Birthweight Z-Score (BW+10%)]],TRUE)*100,"")</f>
        <v/>
      </c>
    </row>
    <row r="2061" spans="1:12" x14ac:dyDescent="0.35">
      <c r="A2061" s="3"/>
      <c r="B2061" s="2"/>
      <c r="C2061" s="2"/>
      <c r="D2061" s="2" t="b">
        <f>IF(AND(NOT(ISBLANK(Table1[[#This Row],[Fetal Sex (Male, Female or Unknown)]])),ISNUMBER(Table1[[#This Row],[Birthweight (grams)]]),ISNUMBER(Table1[[#This Row],[Gestation (days)]])),TRUE,FALSE)</f>
        <v>0</v>
      </c>
      <c r="E2061" s="2" t="str">
        <f>IF(Table1[[#This Row],[Is Data Valid]]=TRUE,IF(Table1[[#This Row],[Fetal Sex (Male, Female or Unknown)]]="Male",Backend!$C$6,IF(Table1[[#This Row],[Fetal Sex (Male, Female or Unknown)]]="Female",Backend!$C$7,IF(Table1[[#This Row],[Fetal Sex (Male, Female or Unknown)]]="Unknown",Backend!$C$8,"Error"))),"")</f>
        <v/>
      </c>
      <c r="F2061" s="8" t="str">
        <f>IF(Table1[[#This Row],[Is Data Valid]]=TRUE,EXP(0.578+0.332*((Table1[[#This Row],[Gestation (days)]]+0.5)/7)-0.00354*((Table1[[#This Row],[Gestation (days)]]+0.5)/7)^2)*Table1[[#This Row],[BW40_3705]],"")</f>
        <v/>
      </c>
      <c r="G2061" s="2" t="str">
        <f>IF(Table1[[#This Row],[Is Data Valid]]=TRUE,((Table1[[#This Row],[Birthweight (grams)]]/Table1[[#This Row],[BW_GA]])-1)/(Backend!$B$4/100*Table1[[#This Row],[BW40_3705]]),"")</f>
        <v/>
      </c>
      <c r="H2061" s="7" t="str">
        <f>IF(Table1[[#This Row],[Is Data Valid]]=TRUE,((Table1[[#This Row],[Birthweight (grams)]]*0.9/Table1[[#This Row],[BW_GA]])-1)/(Backend!$B$4/100*Table1[[#This Row],[BW40_3705]]),"")</f>
        <v/>
      </c>
      <c r="I2061" s="7" t="str">
        <f>IF(Table1[[#This Row],[Is Data Valid]]=TRUE,((Table1[[#This Row],[Birthweight (grams)]]*1.1/Table1[[#This Row],[BW_GA]])-1)/(Backend!$B$4/100*Table1[[#This Row],[BW40_3705]]),"")</f>
        <v/>
      </c>
      <c r="J2061" s="7" t="str">
        <f>IF(Table1[[#This Row],[Is Data Valid]]=TRUE,_xlfn.NORM.S.DIST(Table1[[#This Row],[Birthweight Z-Score]],TRUE)*100,"")</f>
        <v/>
      </c>
      <c r="K2061" s="7" t="str">
        <f>IF(Table1[[#This Row],[Is Data Valid]]=TRUE,_xlfn.NORM.S.DIST(Table1[[#This Row],[Birthweight Z-Score (BW-10%)]],TRUE)*100,"")</f>
        <v/>
      </c>
      <c r="L2061" s="7" t="str">
        <f>IF(Table1[[#This Row],[Is Data Valid]]=TRUE,_xlfn.NORM.S.DIST(Table1[[#This Row],[Birthweight Z-Score (BW+10%)]],TRUE)*100,"")</f>
        <v/>
      </c>
    </row>
    <row r="2062" spans="1:12" x14ac:dyDescent="0.35">
      <c r="A2062" s="3"/>
      <c r="B2062" s="2"/>
      <c r="C2062" s="2"/>
      <c r="D2062" s="2" t="b">
        <f>IF(AND(NOT(ISBLANK(Table1[[#This Row],[Fetal Sex (Male, Female or Unknown)]])),ISNUMBER(Table1[[#This Row],[Birthweight (grams)]]),ISNUMBER(Table1[[#This Row],[Gestation (days)]])),TRUE,FALSE)</f>
        <v>0</v>
      </c>
      <c r="E2062" s="2" t="str">
        <f>IF(Table1[[#This Row],[Is Data Valid]]=TRUE,IF(Table1[[#This Row],[Fetal Sex (Male, Female or Unknown)]]="Male",Backend!$C$6,IF(Table1[[#This Row],[Fetal Sex (Male, Female or Unknown)]]="Female",Backend!$C$7,IF(Table1[[#This Row],[Fetal Sex (Male, Female or Unknown)]]="Unknown",Backend!$C$8,"Error"))),"")</f>
        <v/>
      </c>
      <c r="F2062" s="8" t="str">
        <f>IF(Table1[[#This Row],[Is Data Valid]]=TRUE,EXP(0.578+0.332*((Table1[[#This Row],[Gestation (days)]]+0.5)/7)-0.00354*((Table1[[#This Row],[Gestation (days)]]+0.5)/7)^2)*Table1[[#This Row],[BW40_3705]],"")</f>
        <v/>
      </c>
      <c r="G2062" s="2" t="str">
        <f>IF(Table1[[#This Row],[Is Data Valid]]=TRUE,((Table1[[#This Row],[Birthweight (grams)]]/Table1[[#This Row],[BW_GA]])-1)/(Backend!$B$4/100*Table1[[#This Row],[BW40_3705]]),"")</f>
        <v/>
      </c>
      <c r="H2062" s="7" t="str">
        <f>IF(Table1[[#This Row],[Is Data Valid]]=TRUE,((Table1[[#This Row],[Birthweight (grams)]]*0.9/Table1[[#This Row],[BW_GA]])-1)/(Backend!$B$4/100*Table1[[#This Row],[BW40_3705]]),"")</f>
        <v/>
      </c>
      <c r="I2062" s="7" t="str">
        <f>IF(Table1[[#This Row],[Is Data Valid]]=TRUE,((Table1[[#This Row],[Birthweight (grams)]]*1.1/Table1[[#This Row],[BW_GA]])-1)/(Backend!$B$4/100*Table1[[#This Row],[BW40_3705]]),"")</f>
        <v/>
      </c>
      <c r="J2062" s="7" t="str">
        <f>IF(Table1[[#This Row],[Is Data Valid]]=TRUE,_xlfn.NORM.S.DIST(Table1[[#This Row],[Birthweight Z-Score]],TRUE)*100,"")</f>
        <v/>
      </c>
      <c r="K2062" s="7" t="str">
        <f>IF(Table1[[#This Row],[Is Data Valid]]=TRUE,_xlfn.NORM.S.DIST(Table1[[#This Row],[Birthweight Z-Score (BW-10%)]],TRUE)*100,"")</f>
        <v/>
      </c>
      <c r="L2062" s="7" t="str">
        <f>IF(Table1[[#This Row],[Is Data Valid]]=TRUE,_xlfn.NORM.S.DIST(Table1[[#This Row],[Birthweight Z-Score (BW+10%)]],TRUE)*100,"")</f>
        <v/>
      </c>
    </row>
    <row r="2063" spans="1:12" x14ac:dyDescent="0.35">
      <c r="A2063" s="3"/>
      <c r="B2063" s="2"/>
      <c r="C2063" s="2"/>
      <c r="D2063" s="2" t="b">
        <f>IF(AND(NOT(ISBLANK(Table1[[#This Row],[Fetal Sex (Male, Female or Unknown)]])),ISNUMBER(Table1[[#This Row],[Birthweight (grams)]]),ISNUMBER(Table1[[#This Row],[Gestation (days)]])),TRUE,FALSE)</f>
        <v>0</v>
      </c>
      <c r="E2063" s="2" t="str">
        <f>IF(Table1[[#This Row],[Is Data Valid]]=TRUE,IF(Table1[[#This Row],[Fetal Sex (Male, Female or Unknown)]]="Male",Backend!$C$6,IF(Table1[[#This Row],[Fetal Sex (Male, Female or Unknown)]]="Female",Backend!$C$7,IF(Table1[[#This Row],[Fetal Sex (Male, Female or Unknown)]]="Unknown",Backend!$C$8,"Error"))),"")</f>
        <v/>
      </c>
      <c r="F2063" s="8" t="str">
        <f>IF(Table1[[#This Row],[Is Data Valid]]=TRUE,EXP(0.578+0.332*((Table1[[#This Row],[Gestation (days)]]+0.5)/7)-0.00354*((Table1[[#This Row],[Gestation (days)]]+0.5)/7)^2)*Table1[[#This Row],[BW40_3705]],"")</f>
        <v/>
      </c>
      <c r="G2063" s="2" t="str">
        <f>IF(Table1[[#This Row],[Is Data Valid]]=TRUE,((Table1[[#This Row],[Birthweight (grams)]]/Table1[[#This Row],[BW_GA]])-1)/(Backend!$B$4/100*Table1[[#This Row],[BW40_3705]]),"")</f>
        <v/>
      </c>
      <c r="H2063" s="7" t="str">
        <f>IF(Table1[[#This Row],[Is Data Valid]]=TRUE,((Table1[[#This Row],[Birthweight (grams)]]*0.9/Table1[[#This Row],[BW_GA]])-1)/(Backend!$B$4/100*Table1[[#This Row],[BW40_3705]]),"")</f>
        <v/>
      </c>
      <c r="I2063" s="7" t="str">
        <f>IF(Table1[[#This Row],[Is Data Valid]]=TRUE,((Table1[[#This Row],[Birthweight (grams)]]*1.1/Table1[[#This Row],[BW_GA]])-1)/(Backend!$B$4/100*Table1[[#This Row],[BW40_3705]]),"")</f>
        <v/>
      </c>
      <c r="J2063" s="7" t="str">
        <f>IF(Table1[[#This Row],[Is Data Valid]]=TRUE,_xlfn.NORM.S.DIST(Table1[[#This Row],[Birthweight Z-Score]],TRUE)*100,"")</f>
        <v/>
      </c>
      <c r="K2063" s="7" t="str">
        <f>IF(Table1[[#This Row],[Is Data Valid]]=TRUE,_xlfn.NORM.S.DIST(Table1[[#This Row],[Birthweight Z-Score (BW-10%)]],TRUE)*100,"")</f>
        <v/>
      </c>
      <c r="L2063" s="7" t="str">
        <f>IF(Table1[[#This Row],[Is Data Valid]]=TRUE,_xlfn.NORM.S.DIST(Table1[[#This Row],[Birthweight Z-Score (BW+10%)]],TRUE)*100,"")</f>
        <v/>
      </c>
    </row>
    <row r="2064" spans="1:12" x14ac:dyDescent="0.35">
      <c r="A2064" s="3"/>
      <c r="B2064" s="2"/>
      <c r="C2064" s="2"/>
      <c r="D2064" s="2" t="b">
        <f>IF(AND(NOT(ISBLANK(Table1[[#This Row],[Fetal Sex (Male, Female or Unknown)]])),ISNUMBER(Table1[[#This Row],[Birthweight (grams)]]),ISNUMBER(Table1[[#This Row],[Gestation (days)]])),TRUE,FALSE)</f>
        <v>0</v>
      </c>
      <c r="E2064" s="2" t="str">
        <f>IF(Table1[[#This Row],[Is Data Valid]]=TRUE,IF(Table1[[#This Row],[Fetal Sex (Male, Female or Unknown)]]="Male",Backend!$C$6,IF(Table1[[#This Row],[Fetal Sex (Male, Female or Unknown)]]="Female",Backend!$C$7,IF(Table1[[#This Row],[Fetal Sex (Male, Female or Unknown)]]="Unknown",Backend!$C$8,"Error"))),"")</f>
        <v/>
      </c>
      <c r="F2064" s="8" t="str">
        <f>IF(Table1[[#This Row],[Is Data Valid]]=TRUE,EXP(0.578+0.332*((Table1[[#This Row],[Gestation (days)]]+0.5)/7)-0.00354*((Table1[[#This Row],[Gestation (days)]]+0.5)/7)^2)*Table1[[#This Row],[BW40_3705]],"")</f>
        <v/>
      </c>
      <c r="G2064" s="2" t="str">
        <f>IF(Table1[[#This Row],[Is Data Valid]]=TRUE,((Table1[[#This Row],[Birthweight (grams)]]/Table1[[#This Row],[BW_GA]])-1)/(Backend!$B$4/100*Table1[[#This Row],[BW40_3705]]),"")</f>
        <v/>
      </c>
      <c r="H2064" s="7" t="str">
        <f>IF(Table1[[#This Row],[Is Data Valid]]=TRUE,((Table1[[#This Row],[Birthweight (grams)]]*0.9/Table1[[#This Row],[BW_GA]])-1)/(Backend!$B$4/100*Table1[[#This Row],[BW40_3705]]),"")</f>
        <v/>
      </c>
      <c r="I2064" s="7" t="str">
        <f>IF(Table1[[#This Row],[Is Data Valid]]=TRUE,((Table1[[#This Row],[Birthweight (grams)]]*1.1/Table1[[#This Row],[BW_GA]])-1)/(Backend!$B$4/100*Table1[[#This Row],[BW40_3705]]),"")</f>
        <v/>
      </c>
      <c r="J2064" s="7" t="str">
        <f>IF(Table1[[#This Row],[Is Data Valid]]=TRUE,_xlfn.NORM.S.DIST(Table1[[#This Row],[Birthweight Z-Score]],TRUE)*100,"")</f>
        <v/>
      </c>
      <c r="K2064" s="7" t="str">
        <f>IF(Table1[[#This Row],[Is Data Valid]]=TRUE,_xlfn.NORM.S.DIST(Table1[[#This Row],[Birthweight Z-Score (BW-10%)]],TRUE)*100,"")</f>
        <v/>
      </c>
      <c r="L2064" s="7" t="str">
        <f>IF(Table1[[#This Row],[Is Data Valid]]=TRUE,_xlfn.NORM.S.DIST(Table1[[#This Row],[Birthweight Z-Score (BW+10%)]],TRUE)*100,"")</f>
        <v/>
      </c>
    </row>
    <row r="2065" spans="1:12" x14ac:dyDescent="0.35">
      <c r="A2065" s="3"/>
      <c r="B2065" s="2"/>
      <c r="C2065" s="2"/>
      <c r="D2065" s="2" t="b">
        <f>IF(AND(NOT(ISBLANK(Table1[[#This Row],[Fetal Sex (Male, Female or Unknown)]])),ISNUMBER(Table1[[#This Row],[Birthweight (grams)]]),ISNUMBER(Table1[[#This Row],[Gestation (days)]])),TRUE,FALSE)</f>
        <v>0</v>
      </c>
      <c r="E2065" s="2" t="str">
        <f>IF(Table1[[#This Row],[Is Data Valid]]=TRUE,IF(Table1[[#This Row],[Fetal Sex (Male, Female or Unknown)]]="Male",Backend!$C$6,IF(Table1[[#This Row],[Fetal Sex (Male, Female or Unknown)]]="Female",Backend!$C$7,IF(Table1[[#This Row],[Fetal Sex (Male, Female or Unknown)]]="Unknown",Backend!$C$8,"Error"))),"")</f>
        <v/>
      </c>
      <c r="F2065" s="8" t="str">
        <f>IF(Table1[[#This Row],[Is Data Valid]]=TRUE,EXP(0.578+0.332*((Table1[[#This Row],[Gestation (days)]]+0.5)/7)-0.00354*((Table1[[#This Row],[Gestation (days)]]+0.5)/7)^2)*Table1[[#This Row],[BW40_3705]],"")</f>
        <v/>
      </c>
      <c r="G2065" s="2" t="str">
        <f>IF(Table1[[#This Row],[Is Data Valid]]=TRUE,((Table1[[#This Row],[Birthweight (grams)]]/Table1[[#This Row],[BW_GA]])-1)/(Backend!$B$4/100*Table1[[#This Row],[BW40_3705]]),"")</f>
        <v/>
      </c>
      <c r="H2065" s="7" t="str">
        <f>IF(Table1[[#This Row],[Is Data Valid]]=TRUE,((Table1[[#This Row],[Birthweight (grams)]]*0.9/Table1[[#This Row],[BW_GA]])-1)/(Backend!$B$4/100*Table1[[#This Row],[BW40_3705]]),"")</f>
        <v/>
      </c>
      <c r="I2065" s="7" t="str">
        <f>IF(Table1[[#This Row],[Is Data Valid]]=TRUE,((Table1[[#This Row],[Birthweight (grams)]]*1.1/Table1[[#This Row],[BW_GA]])-1)/(Backend!$B$4/100*Table1[[#This Row],[BW40_3705]]),"")</f>
        <v/>
      </c>
      <c r="J2065" s="7" t="str">
        <f>IF(Table1[[#This Row],[Is Data Valid]]=TRUE,_xlfn.NORM.S.DIST(Table1[[#This Row],[Birthweight Z-Score]],TRUE)*100,"")</f>
        <v/>
      </c>
      <c r="K2065" s="7" t="str">
        <f>IF(Table1[[#This Row],[Is Data Valid]]=TRUE,_xlfn.NORM.S.DIST(Table1[[#This Row],[Birthweight Z-Score (BW-10%)]],TRUE)*100,"")</f>
        <v/>
      </c>
      <c r="L2065" s="7" t="str">
        <f>IF(Table1[[#This Row],[Is Data Valid]]=TRUE,_xlfn.NORM.S.DIST(Table1[[#This Row],[Birthweight Z-Score (BW+10%)]],TRUE)*100,"")</f>
        <v/>
      </c>
    </row>
    <row r="2066" spans="1:12" x14ac:dyDescent="0.35">
      <c r="A2066" s="3"/>
      <c r="B2066" s="2"/>
      <c r="C2066" s="2"/>
      <c r="D2066" s="2" t="b">
        <f>IF(AND(NOT(ISBLANK(Table1[[#This Row],[Fetal Sex (Male, Female or Unknown)]])),ISNUMBER(Table1[[#This Row],[Birthweight (grams)]]),ISNUMBER(Table1[[#This Row],[Gestation (days)]])),TRUE,FALSE)</f>
        <v>0</v>
      </c>
      <c r="E2066" s="2" t="str">
        <f>IF(Table1[[#This Row],[Is Data Valid]]=TRUE,IF(Table1[[#This Row],[Fetal Sex (Male, Female or Unknown)]]="Male",Backend!$C$6,IF(Table1[[#This Row],[Fetal Sex (Male, Female or Unknown)]]="Female",Backend!$C$7,IF(Table1[[#This Row],[Fetal Sex (Male, Female or Unknown)]]="Unknown",Backend!$C$8,"Error"))),"")</f>
        <v/>
      </c>
      <c r="F2066" s="8" t="str">
        <f>IF(Table1[[#This Row],[Is Data Valid]]=TRUE,EXP(0.578+0.332*((Table1[[#This Row],[Gestation (days)]]+0.5)/7)-0.00354*((Table1[[#This Row],[Gestation (days)]]+0.5)/7)^2)*Table1[[#This Row],[BW40_3705]],"")</f>
        <v/>
      </c>
      <c r="G2066" s="2" t="str">
        <f>IF(Table1[[#This Row],[Is Data Valid]]=TRUE,((Table1[[#This Row],[Birthweight (grams)]]/Table1[[#This Row],[BW_GA]])-1)/(Backend!$B$4/100*Table1[[#This Row],[BW40_3705]]),"")</f>
        <v/>
      </c>
      <c r="H2066" s="7" t="str">
        <f>IF(Table1[[#This Row],[Is Data Valid]]=TRUE,((Table1[[#This Row],[Birthweight (grams)]]*0.9/Table1[[#This Row],[BW_GA]])-1)/(Backend!$B$4/100*Table1[[#This Row],[BW40_3705]]),"")</f>
        <v/>
      </c>
      <c r="I2066" s="7" t="str">
        <f>IF(Table1[[#This Row],[Is Data Valid]]=TRUE,((Table1[[#This Row],[Birthweight (grams)]]*1.1/Table1[[#This Row],[BW_GA]])-1)/(Backend!$B$4/100*Table1[[#This Row],[BW40_3705]]),"")</f>
        <v/>
      </c>
      <c r="J2066" s="7" t="str">
        <f>IF(Table1[[#This Row],[Is Data Valid]]=TRUE,_xlfn.NORM.S.DIST(Table1[[#This Row],[Birthweight Z-Score]],TRUE)*100,"")</f>
        <v/>
      </c>
      <c r="K2066" s="7" t="str">
        <f>IF(Table1[[#This Row],[Is Data Valid]]=TRUE,_xlfn.NORM.S.DIST(Table1[[#This Row],[Birthweight Z-Score (BW-10%)]],TRUE)*100,"")</f>
        <v/>
      </c>
      <c r="L2066" s="7" t="str">
        <f>IF(Table1[[#This Row],[Is Data Valid]]=TRUE,_xlfn.NORM.S.DIST(Table1[[#This Row],[Birthweight Z-Score (BW+10%)]],TRUE)*100,"")</f>
        <v/>
      </c>
    </row>
    <row r="2067" spans="1:12" x14ac:dyDescent="0.35">
      <c r="A2067" s="3"/>
      <c r="B2067" s="2"/>
      <c r="C2067" s="2"/>
      <c r="D2067" s="2" t="b">
        <f>IF(AND(NOT(ISBLANK(Table1[[#This Row],[Fetal Sex (Male, Female or Unknown)]])),ISNUMBER(Table1[[#This Row],[Birthweight (grams)]]),ISNUMBER(Table1[[#This Row],[Gestation (days)]])),TRUE,FALSE)</f>
        <v>0</v>
      </c>
      <c r="E2067" s="2" t="str">
        <f>IF(Table1[[#This Row],[Is Data Valid]]=TRUE,IF(Table1[[#This Row],[Fetal Sex (Male, Female or Unknown)]]="Male",Backend!$C$6,IF(Table1[[#This Row],[Fetal Sex (Male, Female or Unknown)]]="Female",Backend!$C$7,IF(Table1[[#This Row],[Fetal Sex (Male, Female or Unknown)]]="Unknown",Backend!$C$8,"Error"))),"")</f>
        <v/>
      </c>
      <c r="F2067" s="8" t="str">
        <f>IF(Table1[[#This Row],[Is Data Valid]]=TRUE,EXP(0.578+0.332*((Table1[[#This Row],[Gestation (days)]]+0.5)/7)-0.00354*((Table1[[#This Row],[Gestation (days)]]+0.5)/7)^2)*Table1[[#This Row],[BW40_3705]],"")</f>
        <v/>
      </c>
      <c r="G2067" s="2" t="str">
        <f>IF(Table1[[#This Row],[Is Data Valid]]=TRUE,((Table1[[#This Row],[Birthweight (grams)]]/Table1[[#This Row],[BW_GA]])-1)/(Backend!$B$4/100*Table1[[#This Row],[BW40_3705]]),"")</f>
        <v/>
      </c>
      <c r="H2067" s="7" t="str">
        <f>IF(Table1[[#This Row],[Is Data Valid]]=TRUE,((Table1[[#This Row],[Birthweight (grams)]]*0.9/Table1[[#This Row],[BW_GA]])-1)/(Backend!$B$4/100*Table1[[#This Row],[BW40_3705]]),"")</f>
        <v/>
      </c>
      <c r="I2067" s="7" t="str">
        <f>IF(Table1[[#This Row],[Is Data Valid]]=TRUE,((Table1[[#This Row],[Birthweight (grams)]]*1.1/Table1[[#This Row],[BW_GA]])-1)/(Backend!$B$4/100*Table1[[#This Row],[BW40_3705]]),"")</f>
        <v/>
      </c>
      <c r="J2067" s="7" t="str">
        <f>IF(Table1[[#This Row],[Is Data Valid]]=TRUE,_xlfn.NORM.S.DIST(Table1[[#This Row],[Birthweight Z-Score]],TRUE)*100,"")</f>
        <v/>
      </c>
      <c r="K2067" s="7" t="str">
        <f>IF(Table1[[#This Row],[Is Data Valid]]=TRUE,_xlfn.NORM.S.DIST(Table1[[#This Row],[Birthweight Z-Score (BW-10%)]],TRUE)*100,"")</f>
        <v/>
      </c>
      <c r="L2067" s="7" t="str">
        <f>IF(Table1[[#This Row],[Is Data Valid]]=TRUE,_xlfn.NORM.S.DIST(Table1[[#This Row],[Birthweight Z-Score (BW+10%)]],TRUE)*100,"")</f>
        <v/>
      </c>
    </row>
    <row r="2068" spans="1:12" x14ac:dyDescent="0.35">
      <c r="A2068" s="3"/>
      <c r="B2068" s="2"/>
      <c r="C2068" s="2"/>
      <c r="D2068" s="2" t="b">
        <f>IF(AND(NOT(ISBLANK(Table1[[#This Row],[Fetal Sex (Male, Female or Unknown)]])),ISNUMBER(Table1[[#This Row],[Birthweight (grams)]]),ISNUMBER(Table1[[#This Row],[Gestation (days)]])),TRUE,FALSE)</f>
        <v>0</v>
      </c>
      <c r="E2068" s="2" t="str">
        <f>IF(Table1[[#This Row],[Is Data Valid]]=TRUE,IF(Table1[[#This Row],[Fetal Sex (Male, Female or Unknown)]]="Male",Backend!$C$6,IF(Table1[[#This Row],[Fetal Sex (Male, Female or Unknown)]]="Female",Backend!$C$7,IF(Table1[[#This Row],[Fetal Sex (Male, Female or Unknown)]]="Unknown",Backend!$C$8,"Error"))),"")</f>
        <v/>
      </c>
      <c r="F2068" s="8" t="str">
        <f>IF(Table1[[#This Row],[Is Data Valid]]=TRUE,EXP(0.578+0.332*((Table1[[#This Row],[Gestation (days)]]+0.5)/7)-0.00354*((Table1[[#This Row],[Gestation (days)]]+0.5)/7)^2)*Table1[[#This Row],[BW40_3705]],"")</f>
        <v/>
      </c>
      <c r="G2068" s="2" t="str">
        <f>IF(Table1[[#This Row],[Is Data Valid]]=TRUE,((Table1[[#This Row],[Birthweight (grams)]]/Table1[[#This Row],[BW_GA]])-1)/(Backend!$B$4/100*Table1[[#This Row],[BW40_3705]]),"")</f>
        <v/>
      </c>
      <c r="H2068" s="7" t="str">
        <f>IF(Table1[[#This Row],[Is Data Valid]]=TRUE,((Table1[[#This Row],[Birthweight (grams)]]*0.9/Table1[[#This Row],[BW_GA]])-1)/(Backend!$B$4/100*Table1[[#This Row],[BW40_3705]]),"")</f>
        <v/>
      </c>
      <c r="I2068" s="7" t="str">
        <f>IF(Table1[[#This Row],[Is Data Valid]]=TRUE,((Table1[[#This Row],[Birthweight (grams)]]*1.1/Table1[[#This Row],[BW_GA]])-1)/(Backend!$B$4/100*Table1[[#This Row],[BW40_3705]]),"")</f>
        <v/>
      </c>
      <c r="J2068" s="7" t="str">
        <f>IF(Table1[[#This Row],[Is Data Valid]]=TRUE,_xlfn.NORM.S.DIST(Table1[[#This Row],[Birthweight Z-Score]],TRUE)*100,"")</f>
        <v/>
      </c>
      <c r="K2068" s="7" t="str">
        <f>IF(Table1[[#This Row],[Is Data Valid]]=TRUE,_xlfn.NORM.S.DIST(Table1[[#This Row],[Birthweight Z-Score (BW-10%)]],TRUE)*100,"")</f>
        <v/>
      </c>
      <c r="L2068" s="7" t="str">
        <f>IF(Table1[[#This Row],[Is Data Valid]]=TRUE,_xlfn.NORM.S.DIST(Table1[[#This Row],[Birthweight Z-Score (BW+10%)]],TRUE)*100,"")</f>
        <v/>
      </c>
    </row>
    <row r="2069" spans="1:12" x14ac:dyDescent="0.35">
      <c r="A2069" s="3"/>
      <c r="B2069" s="2"/>
      <c r="C2069" s="2"/>
      <c r="D2069" s="2" t="b">
        <f>IF(AND(NOT(ISBLANK(Table1[[#This Row],[Fetal Sex (Male, Female or Unknown)]])),ISNUMBER(Table1[[#This Row],[Birthweight (grams)]]),ISNUMBER(Table1[[#This Row],[Gestation (days)]])),TRUE,FALSE)</f>
        <v>0</v>
      </c>
      <c r="E2069" s="2" t="str">
        <f>IF(Table1[[#This Row],[Is Data Valid]]=TRUE,IF(Table1[[#This Row],[Fetal Sex (Male, Female or Unknown)]]="Male",Backend!$C$6,IF(Table1[[#This Row],[Fetal Sex (Male, Female or Unknown)]]="Female",Backend!$C$7,IF(Table1[[#This Row],[Fetal Sex (Male, Female or Unknown)]]="Unknown",Backend!$C$8,"Error"))),"")</f>
        <v/>
      </c>
      <c r="F2069" s="8" t="str">
        <f>IF(Table1[[#This Row],[Is Data Valid]]=TRUE,EXP(0.578+0.332*((Table1[[#This Row],[Gestation (days)]]+0.5)/7)-0.00354*((Table1[[#This Row],[Gestation (days)]]+0.5)/7)^2)*Table1[[#This Row],[BW40_3705]],"")</f>
        <v/>
      </c>
      <c r="G2069" s="2" t="str">
        <f>IF(Table1[[#This Row],[Is Data Valid]]=TRUE,((Table1[[#This Row],[Birthweight (grams)]]/Table1[[#This Row],[BW_GA]])-1)/(Backend!$B$4/100*Table1[[#This Row],[BW40_3705]]),"")</f>
        <v/>
      </c>
      <c r="H2069" s="7" t="str">
        <f>IF(Table1[[#This Row],[Is Data Valid]]=TRUE,((Table1[[#This Row],[Birthweight (grams)]]*0.9/Table1[[#This Row],[BW_GA]])-1)/(Backend!$B$4/100*Table1[[#This Row],[BW40_3705]]),"")</f>
        <v/>
      </c>
      <c r="I2069" s="7" t="str">
        <f>IF(Table1[[#This Row],[Is Data Valid]]=TRUE,((Table1[[#This Row],[Birthweight (grams)]]*1.1/Table1[[#This Row],[BW_GA]])-1)/(Backend!$B$4/100*Table1[[#This Row],[BW40_3705]]),"")</f>
        <v/>
      </c>
      <c r="J2069" s="7" t="str">
        <f>IF(Table1[[#This Row],[Is Data Valid]]=TRUE,_xlfn.NORM.S.DIST(Table1[[#This Row],[Birthweight Z-Score]],TRUE)*100,"")</f>
        <v/>
      </c>
      <c r="K2069" s="7" t="str">
        <f>IF(Table1[[#This Row],[Is Data Valid]]=TRUE,_xlfn.NORM.S.DIST(Table1[[#This Row],[Birthweight Z-Score (BW-10%)]],TRUE)*100,"")</f>
        <v/>
      </c>
      <c r="L2069" s="7" t="str">
        <f>IF(Table1[[#This Row],[Is Data Valid]]=TRUE,_xlfn.NORM.S.DIST(Table1[[#This Row],[Birthweight Z-Score (BW+10%)]],TRUE)*100,"")</f>
        <v/>
      </c>
    </row>
    <row r="2070" spans="1:12" x14ac:dyDescent="0.35">
      <c r="A2070" s="3"/>
      <c r="B2070" s="2"/>
      <c r="C2070" s="2"/>
      <c r="D2070" s="2" t="b">
        <f>IF(AND(NOT(ISBLANK(Table1[[#This Row],[Fetal Sex (Male, Female or Unknown)]])),ISNUMBER(Table1[[#This Row],[Birthweight (grams)]]),ISNUMBER(Table1[[#This Row],[Gestation (days)]])),TRUE,FALSE)</f>
        <v>0</v>
      </c>
      <c r="E2070" s="2" t="str">
        <f>IF(Table1[[#This Row],[Is Data Valid]]=TRUE,IF(Table1[[#This Row],[Fetal Sex (Male, Female or Unknown)]]="Male",Backend!$C$6,IF(Table1[[#This Row],[Fetal Sex (Male, Female or Unknown)]]="Female",Backend!$C$7,IF(Table1[[#This Row],[Fetal Sex (Male, Female or Unknown)]]="Unknown",Backend!$C$8,"Error"))),"")</f>
        <v/>
      </c>
      <c r="F2070" s="8" t="str">
        <f>IF(Table1[[#This Row],[Is Data Valid]]=TRUE,EXP(0.578+0.332*((Table1[[#This Row],[Gestation (days)]]+0.5)/7)-0.00354*((Table1[[#This Row],[Gestation (days)]]+0.5)/7)^2)*Table1[[#This Row],[BW40_3705]],"")</f>
        <v/>
      </c>
      <c r="G2070" s="2" t="str">
        <f>IF(Table1[[#This Row],[Is Data Valid]]=TRUE,((Table1[[#This Row],[Birthweight (grams)]]/Table1[[#This Row],[BW_GA]])-1)/(Backend!$B$4/100*Table1[[#This Row],[BW40_3705]]),"")</f>
        <v/>
      </c>
      <c r="H2070" s="7" t="str">
        <f>IF(Table1[[#This Row],[Is Data Valid]]=TRUE,((Table1[[#This Row],[Birthweight (grams)]]*0.9/Table1[[#This Row],[BW_GA]])-1)/(Backend!$B$4/100*Table1[[#This Row],[BW40_3705]]),"")</f>
        <v/>
      </c>
      <c r="I2070" s="7" t="str">
        <f>IF(Table1[[#This Row],[Is Data Valid]]=TRUE,((Table1[[#This Row],[Birthweight (grams)]]*1.1/Table1[[#This Row],[BW_GA]])-1)/(Backend!$B$4/100*Table1[[#This Row],[BW40_3705]]),"")</f>
        <v/>
      </c>
      <c r="J2070" s="7" t="str">
        <f>IF(Table1[[#This Row],[Is Data Valid]]=TRUE,_xlfn.NORM.S.DIST(Table1[[#This Row],[Birthweight Z-Score]],TRUE)*100,"")</f>
        <v/>
      </c>
      <c r="K2070" s="7" t="str">
        <f>IF(Table1[[#This Row],[Is Data Valid]]=TRUE,_xlfn.NORM.S.DIST(Table1[[#This Row],[Birthweight Z-Score (BW-10%)]],TRUE)*100,"")</f>
        <v/>
      </c>
      <c r="L2070" s="7" t="str">
        <f>IF(Table1[[#This Row],[Is Data Valid]]=TRUE,_xlfn.NORM.S.DIST(Table1[[#This Row],[Birthweight Z-Score (BW+10%)]],TRUE)*100,"")</f>
        <v/>
      </c>
    </row>
    <row r="2071" spans="1:12" x14ac:dyDescent="0.35">
      <c r="A2071" s="3"/>
      <c r="B2071" s="2"/>
      <c r="C2071" s="2"/>
      <c r="D2071" s="2" t="b">
        <f>IF(AND(NOT(ISBLANK(Table1[[#This Row],[Fetal Sex (Male, Female or Unknown)]])),ISNUMBER(Table1[[#This Row],[Birthweight (grams)]]),ISNUMBER(Table1[[#This Row],[Gestation (days)]])),TRUE,FALSE)</f>
        <v>0</v>
      </c>
      <c r="E2071" s="2" t="str">
        <f>IF(Table1[[#This Row],[Is Data Valid]]=TRUE,IF(Table1[[#This Row],[Fetal Sex (Male, Female or Unknown)]]="Male",Backend!$C$6,IF(Table1[[#This Row],[Fetal Sex (Male, Female or Unknown)]]="Female",Backend!$C$7,IF(Table1[[#This Row],[Fetal Sex (Male, Female or Unknown)]]="Unknown",Backend!$C$8,"Error"))),"")</f>
        <v/>
      </c>
      <c r="F2071" s="8" t="str">
        <f>IF(Table1[[#This Row],[Is Data Valid]]=TRUE,EXP(0.578+0.332*((Table1[[#This Row],[Gestation (days)]]+0.5)/7)-0.00354*((Table1[[#This Row],[Gestation (days)]]+0.5)/7)^2)*Table1[[#This Row],[BW40_3705]],"")</f>
        <v/>
      </c>
      <c r="G2071" s="2" t="str">
        <f>IF(Table1[[#This Row],[Is Data Valid]]=TRUE,((Table1[[#This Row],[Birthweight (grams)]]/Table1[[#This Row],[BW_GA]])-1)/(Backend!$B$4/100*Table1[[#This Row],[BW40_3705]]),"")</f>
        <v/>
      </c>
      <c r="H2071" s="7" t="str">
        <f>IF(Table1[[#This Row],[Is Data Valid]]=TRUE,((Table1[[#This Row],[Birthweight (grams)]]*0.9/Table1[[#This Row],[BW_GA]])-1)/(Backend!$B$4/100*Table1[[#This Row],[BW40_3705]]),"")</f>
        <v/>
      </c>
      <c r="I2071" s="7" t="str">
        <f>IF(Table1[[#This Row],[Is Data Valid]]=TRUE,((Table1[[#This Row],[Birthweight (grams)]]*1.1/Table1[[#This Row],[BW_GA]])-1)/(Backend!$B$4/100*Table1[[#This Row],[BW40_3705]]),"")</f>
        <v/>
      </c>
      <c r="J2071" s="7" t="str">
        <f>IF(Table1[[#This Row],[Is Data Valid]]=TRUE,_xlfn.NORM.S.DIST(Table1[[#This Row],[Birthweight Z-Score]],TRUE)*100,"")</f>
        <v/>
      </c>
      <c r="K2071" s="7" t="str">
        <f>IF(Table1[[#This Row],[Is Data Valid]]=TRUE,_xlfn.NORM.S.DIST(Table1[[#This Row],[Birthweight Z-Score (BW-10%)]],TRUE)*100,"")</f>
        <v/>
      </c>
      <c r="L2071" s="7" t="str">
        <f>IF(Table1[[#This Row],[Is Data Valid]]=TRUE,_xlfn.NORM.S.DIST(Table1[[#This Row],[Birthweight Z-Score (BW+10%)]],TRUE)*100,"")</f>
        <v/>
      </c>
    </row>
    <row r="2072" spans="1:12" x14ac:dyDescent="0.35">
      <c r="A2072" s="3"/>
      <c r="B2072" s="2"/>
      <c r="C2072" s="2"/>
      <c r="D2072" s="2" t="b">
        <f>IF(AND(NOT(ISBLANK(Table1[[#This Row],[Fetal Sex (Male, Female or Unknown)]])),ISNUMBER(Table1[[#This Row],[Birthweight (grams)]]),ISNUMBER(Table1[[#This Row],[Gestation (days)]])),TRUE,FALSE)</f>
        <v>0</v>
      </c>
      <c r="E2072" s="2" t="str">
        <f>IF(Table1[[#This Row],[Is Data Valid]]=TRUE,IF(Table1[[#This Row],[Fetal Sex (Male, Female or Unknown)]]="Male",Backend!$C$6,IF(Table1[[#This Row],[Fetal Sex (Male, Female or Unknown)]]="Female",Backend!$C$7,IF(Table1[[#This Row],[Fetal Sex (Male, Female or Unknown)]]="Unknown",Backend!$C$8,"Error"))),"")</f>
        <v/>
      </c>
      <c r="F2072" s="8" t="str">
        <f>IF(Table1[[#This Row],[Is Data Valid]]=TRUE,EXP(0.578+0.332*((Table1[[#This Row],[Gestation (days)]]+0.5)/7)-0.00354*((Table1[[#This Row],[Gestation (days)]]+0.5)/7)^2)*Table1[[#This Row],[BW40_3705]],"")</f>
        <v/>
      </c>
      <c r="G2072" s="2" t="str">
        <f>IF(Table1[[#This Row],[Is Data Valid]]=TRUE,((Table1[[#This Row],[Birthweight (grams)]]/Table1[[#This Row],[BW_GA]])-1)/(Backend!$B$4/100*Table1[[#This Row],[BW40_3705]]),"")</f>
        <v/>
      </c>
      <c r="H2072" s="7" t="str">
        <f>IF(Table1[[#This Row],[Is Data Valid]]=TRUE,((Table1[[#This Row],[Birthweight (grams)]]*0.9/Table1[[#This Row],[BW_GA]])-1)/(Backend!$B$4/100*Table1[[#This Row],[BW40_3705]]),"")</f>
        <v/>
      </c>
      <c r="I2072" s="7" t="str">
        <f>IF(Table1[[#This Row],[Is Data Valid]]=TRUE,((Table1[[#This Row],[Birthweight (grams)]]*1.1/Table1[[#This Row],[BW_GA]])-1)/(Backend!$B$4/100*Table1[[#This Row],[BW40_3705]]),"")</f>
        <v/>
      </c>
      <c r="J2072" s="7" t="str">
        <f>IF(Table1[[#This Row],[Is Data Valid]]=TRUE,_xlfn.NORM.S.DIST(Table1[[#This Row],[Birthweight Z-Score]],TRUE)*100,"")</f>
        <v/>
      </c>
      <c r="K2072" s="7" t="str">
        <f>IF(Table1[[#This Row],[Is Data Valid]]=TRUE,_xlfn.NORM.S.DIST(Table1[[#This Row],[Birthweight Z-Score (BW-10%)]],TRUE)*100,"")</f>
        <v/>
      </c>
      <c r="L2072" s="7" t="str">
        <f>IF(Table1[[#This Row],[Is Data Valid]]=TRUE,_xlfn.NORM.S.DIST(Table1[[#This Row],[Birthweight Z-Score (BW+10%)]],TRUE)*100,"")</f>
        <v/>
      </c>
    </row>
    <row r="2073" spans="1:12" x14ac:dyDescent="0.35">
      <c r="A2073" s="3"/>
      <c r="B2073" s="2"/>
      <c r="C2073" s="2"/>
      <c r="D2073" s="2" t="b">
        <f>IF(AND(NOT(ISBLANK(Table1[[#This Row],[Fetal Sex (Male, Female or Unknown)]])),ISNUMBER(Table1[[#This Row],[Birthweight (grams)]]),ISNUMBER(Table1[[#This Row],[Gestation (days)]])),TRUE,FALSE)</f>
        <v>0</v>
      </c>
      <c r="E2073" s="2" t="str">
        <f>IF(Table1[[#This Row],[Is Data Valid]]=TRUE,IF(Table1[[#This Row],[Fetal Sex (Male, Female or Unknown)]]="Male",Backend!$C$6,IF(Table1[[#This Row],[Fetal Sex (Male, Female or Unknown)]]="Female",Backend!$C$7,IF(Table1[[#This Row],[Fetal Sex (Male, Female or Unknown)]]="Unknown",Backend!$C$8,"Error"))),"")</f>
        <v/>
      </c>
      <c r="F2073" s="8" t="str">
        <f>IF(Table1[[#This Row],[Is Data Valid]]=TRUE,EXP(0.578+0.332*((Table1[[#This Row],[Gestation (days)]]+0.5)/7)-0.00354*((Table1[[#This Row],[Gestation (days)]]+0.5)/7)^2)*Table1[[#This Row],[BW40_3705]],"")</f>
        <v/>
      </c>
      <c r="G2073" s="2" t="str">
        <f>IF(Table1[[#This Row],[Is Data Valid]]=TRUE,((Table1[[#This Row],[Birthweight (grams)]]/Table1[[#This Row],[BW_GA]])-1)/(Backend!$B$4/100*Table1[[#This Row],[BW40_3705]]),"")</f>
        <v/>
      </c>
      <c r="H2073" s="7" t="str">
        <f>IF(Table1[[#This Row],[Is Data Valid]]=TRUE,((Table1[[#This Row],[Birthweight (grams)]]*0.9/Table1[[#This Row],[BW_GA]])-1)/(Backend!$B$4/100*Table1[[#This Row],[BW40_3705]]),"")</f>
        <v/>
      </c>
      <c r="I2073" s="7" t="str">
        <f>IF(Table1[[#This Row],[Is Data Valid]]=TRUE,((Table1[[#This Row],[Birthweight (grams)]]*1.1/Table1[[#This Row],[BW_GA]])-1)/(Backend!$B$4/100*Table1[[#This Row],[BW40_3705]]),"")</f>
        <v/>
      </c>
      <c r="J2073" s="7" t="str">
        <f>IF(Table1[[#This Row],[Is Data Valid]]=TRUE,_xlfn.NORM.S.DIST(Table1[[#This Row],[Birthweight Z-Score]],TRUE)*100,"")</f>
        <v/>
      </c>
      <c r="K2073" s="7" t="str">
        <f>IF(Table1[[#This Row],[Is Data Valid]]=TRUE,_xlfn.NORM.S.DIST(Table1[[#This Row],[Birthweight Z-Score (BW-10%)]],TRUE)*100,"")</f>
        <v/>
      </c>
      <c r="L2073" s="7" t="str">
        <f>IF(Table1[[#This Row],[Is Data Valid]]=TRUE,_xlfn.NORM.S.DIST(Table1[[#This Row],[Birthweight Z-Score (BW+10%)]],TRUE)*100,"")</f>
        <v/>
      </c>
    </row>
    <row r="2074" spans="1:12" x14ac:dyDescent="0.35">
      <c r="A2074" s="3"/>
      <c r="B2074" s="2"/>
      <c r="C2074" s="2"/>
      <c r="D2074" s="2" t="b">
        <f>IF(AND(NOT(ISBLANK(Table1[[#This Row],[Fetal Sex (Male, Female or Unknown)]])),ISNUMBER(Table1[[#This Row],[Birthweight (grams)]]),ISNUMBER(Table1[[#This Row],[Gestation (days)]])),TRUE,FALSE)</f>
        <v>0</v>
      </c>
      <c r="E2074" s="2" t="str">
        <f>IF(Table1[[#This Row],[Is Data Valid]]=TRUE,IF(Table1[[#This Row],[Fetal Sex (Male, Female or Unknown)]]="Male",Backend!$C$6,IF(Table1[[#This Row],[Fetal Sex (Male, Female or Unknown)]]="Female",Backend!$C$7,IF(Table1[[#This Row],[Fetal Sex (Male, Female or Unknown)]]="Unknown",Backend!$C$8,"Error"))),"")</f>
        <v/>
      </c>
      <c r="F2074" s="8" t="str">
        <f>IF(Table1[[#This Row],[Is Data Valid]]=TRUE,EXP(0.578+0.332*((Table1[[#This Row],[Gestation (days)]]+0.5)/7)-0.00354*((Table1[[#This Row],[Gestation (days)]]+0.5)/7)^2)*Table1[[#This Row],[BW40_3705]],"")</f>
        <v/>
      </c>
      <c r="G2074" s="2" t="str">
        <f>IF(Table1[[#This Row],[Is Data Valid]]=TRUE,((Table1[[#This Row],[Birthweight (grams)]]/Table1[[#This Row],[BW_GA]])-1)/(Backend!$B$4/100*Table1[[#This Row],[BW40_3705]]),"")</f>
        <v/>
      </c>
      <c r="H2074" s="7" t="str">
        <f>IF(Table1[[#This Row],[Is Data Valid]]=TRUE,((Table1[[#This Row],[Birthweight (grams)]]*0.9/Table1[[#This Row],[BW_GA]])-1)/(Backend!$B$4/100*Table1[[#This Row],[BW40_3705]]),"")</f>
        <v/>
      </c>
      <c r="I2074" s="7" t="str">
        <f>IF(Table1[[#This Row],[Is Data Valid]]=TRUE,((Table1[[#This Row],[Birthweight (grams)]]*1.1/Table1[[#This Row],[BW_GA]])-1)/(Backend!$B$4/100*Table1[[#This Row],[BW40_3705]]),"")</f>
        <v/>
      </c>
      <c r="J2074" s="7" t="str">
        <f>IF(Table1[[#This Row],[Is Data Valid]]=TRUE,_xlfn.NORM.S.DIST(Table1[[#This Row],[Birthweight Z-Score]],TRUE)*100,"")</f>
        <v/>
      </c>
      <c r="K2074" s="7" t="str">
        <f>IF(Table1[[#This Row],[Is Data Valid]]=TRUE,_xlfn.NORM.S.DIST(Table1[[#This Row],[Birthweight Z-Score (BW-10%)]],TRUE)*100,"")</f>
        <v/>
      </c>
      <c r="L2074" s="7" t="str">
        <f>IF(Table1[[#This Row],[Is Data Valid]]=TRUE,_xlfn.NORM.S.DIST(Table1[[#This Row],[Birthweight Z-Score (BW+10%)]],TRUE)*100,"")</f>
        <v/>
      </c>
    </row>
    <row r="2075" spans="1:12" x14ac:dyDescent="0.35">
      <c r="A2075" s="3"/>
      <c r="B2075" s="2"/>
      <c r="C2075" s="2"/>
      <c r="D2075" s="2" t="b">
        <f>IF(AND(NOT(ISBLANK(Table1[[#This Row],[Fetal Sex (Male, Female or Unknown)]])),ISNUMBER(Table1[[#This Row],[Birthweight (grams)]]),ISNUMBER(Table1[[#This Row],[Gestation (days)]])),TRUE,FALSE)</f>
        <v>0</v>
      </c>
      <c r="E2075" s="2" t="str">
        <f>IF(Table1[[#This Row],[Is Data Valid]]=TRUE,IF(Table1[[#This Row],[Fetal Sex (Male, Female or Unknown)]]="Male",Backend!$C$6,IF(Table1[[#This Row],[Fetal Sex (Male, Female or Unknown)]]="Female",Backend!$C$7,IF(Table1[[#This Row],[Fetal Sex (Male, Female or Unknown)]]="Unknown",Backend!$C$8,"Error"))),"")</f>
        <v/>
      </c>
      <c r="F2075" s="8" t="str">
        <f>IF(Table1[[#This Row],[Is Data Valid]]=TRUE,EXP(0.578+0.332*((Table1[[#This Row],[Gestation (days)]]+0.5)/7)-0.00354*((Table1[[#This Row],[Gestation (days)]]+0.5)/7)^2)*Table1[[#This Row],[BW40_3705]],"")</f>
        <v/>
      </c>
      <c r="G2075" s="2" t="str">
        <f>IF(Table1[[#This Row],[Is Data Valid]]=TRUE,((Table1[[#This Row],[Birthweight (grams)]]/Table1[[#This Row],[BW_GA]])-1)/(Backend!$B$4/100*Table1[[#This Row],[BW40_3705]]),"")</f>
        <v/>
      </c>
      <c r="H2075" s="7" t="str">
        <f>IF(Table1[[#This Row],[Is Data Valid]]=TRUE,((Table1[[#This Row],[Birthweight (grams)]]*0.9/Table1[[#This Row],[BW_GA]])-1)/(Backend!$B$4/100*Table1[[#This Row],[BW40_3705]]),"")</f>
        <v/>
      </c>
      <c r="I2075" s="7" t="str">
        <f>IF(Table1[[#This Row],[Is Data Valid]]=TRUE,((Table1[[#This Row],[Birthweight (grams)]]*1.1/Table1[[#This Row],[BW_GA]])-1)/(Backend!$B$4/100*Table1[[#This Row],[BW40_3705]]),"")</f>
        <v/>
      </c>
      <c r="J2075" s="7" t="str">
        <f>IF(Table1[[#This Row],[Is Data Valid]]=TRUE,_xlfn.NORM.S.DIST(Table1[[#This Row],[Birthweight Z-Score]],TRUE)*100,"")</f>
        <v/>
      </c>
      <c r="K2075" s="7" t="str">
        <f>IF(Table1[[#This Row],[Is Data Valid]]=TRUE,_xlfn.NORM.S.DIST(Table1[[#This Row],[Birthweight Z-Score (BW-10%)]],TRUE)*100,"")</f>
        <v/>
      </c>
      <c r="L2075" s="7" t="str">
        <f>IF(Table1[[#This Row],[Is Data Valid]]=TRUE,_xlfn.NORM.S.DIST(Table1[[#This Row],[Birthweight Z-Score (BW+10%)]],TRUE)*100,"")</f>
        <v/>
      </c>
    </row>
    <row r="2076" spans="1:12" x14ac:dyDescent="0.35">
      <c r="A2076" s="3"/>
      <c r="B2076" s="2"/>
      <c r="C2076" s="2"/>
      <c r="D2076" s="2" t="b">
        <f>IF(AND(NOT(ISBLANK(Table1[[#This Row],[Fetal Sex (Male, Female or Unknown)]])),ISNUMBER(Table1[[#This Row],[Birthweight (grams)]]),ISNUMBER(Table1[[#This Row],[Gestation (days)]])),TRUE,FALSE)</f>
        <v>0</v>
      </c>
      <c r="E2076" s="2" t="str">
        <f>IF(Table1[[#This Row],[Is Data Valid]]=TRUE,IF(Table1[[#This Row],[Fetal Sex (Male, Female or Unknown)]]="Male",Backend!$C$6,IF(Table1[[#This Row],[Fetal Sex (Male, Female or Unknown)]]="Female",Backend!$C$7,IF(Table1[[#This Row],[Fetal Sex (Male, Female or Unknown)]]="Unknown",Backend!$C$8,"Error"))),"")</f>
        <v/>
      </c>
      <c r="F2076" s="8" t="str">
        <f>IF(Table1[[#This Row],[Is Data Valid]]=TRUE,EXP(0.578+0.332*((Table1[[#This Row],[Gestation (days)]]+0.5)/7)-0.00354*((Table1[[#This Row],[Gestation (days)]]+0.5)/7)^2)*Table1[[#This Row],[BW40_3705]],"")</f>
        <v/>
      </c>
      <c r="G2076" s="2" t="str">
        <f>IF(Table1[[#This Row],[Is Data Valid]]=TRUE,((Table1[[#This Row],[Birthweight (grams)]]/Table1[[#This Row],[BW_GA]])-1)/(Backend!$B$4/100*Table1[[#This Row],[BW40_3705]]),"")</f>
        <v/>
      </c>
      <c r="H2076" s="7" t="str">
        <f>IF(Table1[[#This Row],[Is Data Valid]]=TRUE,((Table1[[#This Row],[Birthweight (grams)]]*0.9/Table1[[#This Row],[BW_GA]])-1)/(Backend!$B$4/100*Table1[[#This Row],[BW40_3705]]),"")</f>
        <v/>
      </c>
      <c r="I2076" s="7" t="str">
        <f>IF(Table1[[#This Row],[Is Data Valid]]=TRUE,((Table1[[#This Row],[Birthweight (grams)]]*1.1/Table1[[#This Row],[BW_GA]])-1)/(Backend!$B$4/100*Table1[[#This Row],[BW40_3705]]),"")</f>
        <v/>
      </c>
      <c r="J2076" s="7" t="str">
        <f>IF(Table1[[#This Row],[Is Data Valid]]=TRUE,_xlfn.NORM.S.DIST(Table1[[#This Row],[Birthweight Z-Score]],TRUE)*100,"")</f>
        <v/>
      </c>
      <c r="K2076" s="7" t="str">
        <f>IF(Table1[[#This Row],[Is Data Valid]]=TRUE,_xlfn.NORM.S.DIST(Table1[[#This Row],[Birthweight Z-Score (BW-10%)]],TRUE)*100,"")</f>
        <v/>
      </c>
      <c r="L2076" s="7" t="str">
        <f>IF(Table1[[#This Row],[Is Data Valid]]=TRUE,_xlfn.NORM.S.DIST(Table1[[#This Row],[Birthweight Z-Score (BW+10%)]],TRUE)*100,"")</f>
        <v/>
      </c>
    </row>
    <row r="2077" spans="1:12" x14ac:dyDescent="0.35">
      <c r="A2077" s="3"/>
      <c r="B2077" s="2"/>
      <c r="C2077" s="2"/>
      <c r="D2077" s="2" t="b">
        <f>IF(AND(NOT(ISBLANK(Table1[[#This Row],[Fetal Sex (Male, Female or Unknown)]])),ISNUMBER(Table1[[#This Row],[Birthweight (grams)]]),ISNUMBER(Table1[[#This Row],[Gestation (days)]])),TRUE,FALSE)</f>
        <v>0</v>
      </c>
      <c r="E2077" s="2" t="str">
        <f>IF(Table1[[#This Row],[Is Data Valid]]=TRUE,IF(Table1[[#This Row],[Fetal Sex (Male, Female or Unknown)]]="Male",Backend!$C$6,IF(Table1[[#This Row],[Fetal Sex (Male, Female or Unknown)]]="Female",Backend!$C$7,IF(Table1[[#This Row],[Fetal Sex (Male, Female or Unknown)]]="Unknown",Backend!$C$8,"Error"))),"")</f>
        <v/>
      </c>
      <c r="F2077" s="8" t="str">
        <f>IF(Table1[[#This Row],[Is Data Valid]]=TRUE,EXP(0.578+0.332*((Table1[[#This Row],[Gestation (days)]]+0.5)/7)-0.00354*((Table1[[#This Row],[Gestation (days)]]+0.5)/7)^2)*Table1[[#This Row],[BW40_3705]],"")</f>
        <v/>
      </c>
      <c r="G2077" s="2" t="str">
        <f>IF(Table1[[#This Row],[Is Data Valid]]=TRUE,((Table1[[#This Row],[Birthweight (grams)]]/Table1[[#This Row],[BW_GA]])-1)/(Backend!$B$4/100*Table1[[#This Row],[BW40_3705]]),"")</f>
        <v/>
      </c>
      <c r="H2077" s="7" t="str">
        <f>IF(Table1[[#This Row],[Is Data Valid]]=TRUE,((Table1[[#This Row],[Birthweight (grams)]]*0.9/Table1[[#This Row],[BW_GA]])-1)/(Backend!$B$4/100*Table1[[#This Row],[BW40_3705]]),"")</f>
        <v/>
      </c>
      <c r="I2077" s="7" t="str">
        <f>IF(Table1[[#This Row],[Is Data Valid]]=TRUE,((Table1[[#This Row],[Birthweight (grams)]]*1.1/Table1[[#This Row],[BW_GA]])-1)/(Backend!$B$4/100*Table1[[#This Row],[BW40_3705]]),"")</f>
        <v/>
      </c>
      <c r="J2077" s="7" t="str">
        <f>IF(Table1[[#This Row],[Is Data Valid]]=TRUE,_xlfn.NORM.S.DIST(Table1[[#This Row],[Birthweight Z-Score]],TRUE)*100,"")</f>
        <v/>
      </c>
      <c r="K2077" s="7" t="str">
        <f>IF(Table1[[#This Row],[Is Data Valid]]=TRUE,_xlfn.NORM.S.DIST(Table1[[#This Row],[Birthweight Z-Score (BW-10%)]],TRUE)*100,"")</f>
        <v/>
      </c>
      <c r="L2077" s="7" t="str">
        <f>IF(Table1[[#This Row],[Is Data Valid]]=TRUE,_xlfn.NORM.S.DIST(Table1[[#This Row],[Birthweight Z-Score (BW+10%)]],TRUE)*100,"")</f>
        <v/>
      </c>
    </row>
    <row r="2078" spans="1:12" x14ac:dyDescent="0.35">
      <c r="A2078" s="3"/>
      <c r="B2078" s="2"/>
      <c r="C2078" s="2"/>
      <c r="D2078" s="2" t="b">
        <f>IF(AND(NOT(ISBLANK(Table1[[#This Row],[Fetal Sex (Male, Female or Unknown)]])),ISNUMBER(Table1[[#This Row],[Birthweight (grams)]]),ISNUMBER(Table1[[#This Row],[Gestation (days)]])),TRUE,FALSE)</f>
        <v>0</v>
      </c>
      <c r="E2078" s="2" t="str">
        <f>IF(Table1[[#This Row],[Is Data Valid]]=TRUE,IF(Table1[[#This Row],[Fetal Sex (Male, Female or Unknown)]]="Male",Backend!$C$6,IF(Table1[[#This Row],[Fetal Sex (Male, Female or Unknown)]]="Female",Backend!$C$7,IF(Table1[[#This Row],[Fetal Sex (Male, Female or Unknown)]]="Unknown",Backend!$C$8,"Error"))),"")</f>
        <v/>
      </c>
      <c r="F2078" s="8" t="str">
        <f>IF(Table1[[#This Row],[Is Data Valid]]=TRUE,EXP(0.578+0.332*((Table1[[#This Row],[Gestation (days)]]+0.5)/7)-0.00354*((Table1[[#This Row],[Gestation (days)]]+0.5)/7)^2)*Table1[[#This Row],[BW40_3705]],"")</f>
        <v/>
      </c>
      <c r="G2078" s="2" t="str">
        <f>IF(Table1[[#This Row],[Is Data Valid]]=TRUE,((Table1[[#This Row],[Birthweight (grams)]]/Table1[[#This Row],[BW_GA]])-1)/(Backend!$B$4/100*Table1[[#This Row],[BW40_3705]]),"")</f>
        <v/>
      </c>
      <c r="H2078" s="7" t="str">
        <f>IF(Table1[[#This Row],[Is Data Valid]]=TRUE,((Table1[[#This Row],[Birthweight (grams)]]*0.9/Table1[[#This Row],[BW_GA]])-1)/(Backend!$B$4/100*Table1[[#This Row],[BW40_3705]]),"")</f>
        <v/>
      </c>
      <c r="I2078" s="7" t="str">
        <f>IF(Table1[[#This Row],[Is Data Valid]]=TRUE,((Table1[[#This Row],[Birthweight (grams)]]*1.1/Table1[[#This Row],[BW_GA]])-1)/(Backend!$B$4/100*Table1[[#This Row],[BW40_3705]]),"")</f>
        <v/>
      </c>
      <c r="J2078" s="7" t="str">
        <f>IF(Table1[[#This Row],[Is Data Valid]]=TRUE,_xlfn.NORM.S.DIST(Table1[[#This Row],[Birthweight Z-Score]],TRUE)*100,"")</f>
        <v/>
      </c>
      <c r="K2078" s="7" t="str">
        <f>IF(Table1[[#This Row],[Is Data Valid]]=TRUE,_xlfn.NORM.S.DIST(Table1[[#This Row],[Birthweight Z-Score (BW-10%)]],TRUE)*100,"")</f>
        <v/>
      </c>
      <c r="L2078" s="7" t="str">
        <f>IF(Table1[[#This Row],[Is Data Valid]]=TRUE,_xlfn.NORM.S.DIST(Table1[[#This Row],[Birthweight Z-Score (BW+10%)]],TRUE)*100,"")</f>
        <v/>
      </c>
    </row>
    <row r="2079" spans="1:12" x14ac:dyDescent="0.35">
      <c r="A2079" s="3"/>
      <c r="B2079" s="2"/>
      <c r="C2079" s="2"/>
      <c r="D2079" s="2" t="b">
        <f>IF(AND(NOT(ISBLANK(Table1[[#This Row],[Fetal Sex (Male, Female or Unknown)]])),ISNUMBER(Table1[[#This Row],[Birthweight (grams)]]),ISNUMBER(Table1[[#This Row],[Gestation (days)]])),TRUE,FALSE)</f>
        <v>0</v>
      </c>
      <c r="E2079" s="2" t="str">
        <f>IF(Table1[[#This Row],[Is Data Valid]]=TRUE,IF(Table1[[#This Row],[Fetal Sex (Male, Female or Unknown)]]="Male",Backend!$C$6,IF(Table1[[#This Row],[Fetal Sex (Male, Female or Unknown)]]="Female",Backend!$C$7,IF(Table1[[#This Row],[Fetal Sex (Male, Female or Unknown)]]="Unknown",Backend!$C$8,"Error"))),"")</f>
        <v/>
      </c>
      <c r="F2079" s="8" t="str">
        <f>IF(Table1[[#This Row],[Is Data Valid]]=TRUE,EXP(0.578+0.332*((Table1[[#This Row],[Gestation (days)]]+0.5)/7)-0.00354*((Table1[[#This Row],[Gestation (days)]]+0.5)/7)^2)*Table1[[#This Row],[BW40_3705]],"")</f>
        <v/>
      </c>
      <c r="G2079" s="2" t="str">
        <f>IF(Table1[[#This Row],[Is Data Valid]]=TRUE,((Table1[[#This Row],[Birthweight (grams)]]/Table1[[#This Row],[BW_GA]])-1)/(Backend!$B$4/100*Table1[[#This Row],[BW40_3705]]),"")</f>
        <v/>
      </c>
      <c r="H2079" s="7" t="str">
        <f>IF(Table1[[#This Row],[Is Data Valid]]=TRUE,((Table1[[#This Row],[Birthweight (grams)]]*0.9/Table1[[#This Row],[BW_GA]])-1)/(Backend!$B$4/100*Table1[[#This Row],[BW40_3705]]),"")</f>
        <v/>
      </c>
      <c r="I2079" s="7" t="str">
        <f>IF(Table1[[#This Row],[Is Data Valid]]=TRUE,((Table1[[#This Row],[Birthweight (grams)]]*1.1/Table1[[#This Row],[BW_GA]])-1)/(Backend!$B$4/100*Table1[[#This Row],[BW40_3705]]),"")</f>
        <v/>
      </c>
      <c r="J2079" s="7" t="str">
        <f>IF(Table1[[#This Row],[Is Data Valid]]=TRUE,_xlfn.NORM.S.DIST(Table1[[#This Row],[Birthweight Z-Score]],TRUE)*100,"")</f>
        <v/>
      </c>
      <c r="K2079" s="7" t="str">
        <f>IF(Table1[[#This Row],[Is Data Valid]]=TRUE,_xlfn.NORM.S.DIST(Table1[[#This Row],[Birthweight Z-Score (BW-10%)]],TRUE)*100,"")</f>
        <v/>
      </c>
      <c r="L2079" s="7" t="str">
        <f>IF(Table1[[#This Row],[Is Data Valid]]=TRUE,_xlfn.NORM.S.DIST(Table1[[#This Row],[Birthweight Z-Score (BW+10%)]],TRUE)*100,"")</f>
        <v/>
      </c>
    </row>
    <row r="2080" spans="1:12" x14ac:dyDescent="0.35">
      <c r="A2080" s="3"/>
      <c r="B2080" s="2"/>
      <c r="C2080" s="2"/>
      <c r="D2080" s="2" t="b">
        <f>IF(AND(NOT(ISBLANK(Table1[[#This Row],[Fetal Sex (Male, Female or Unknown)]])),ISNUMBER(Table1[[#This Row],[Birthweight (grams)]]),ISNUMBER(Table1[[#This Row],[Gestation (days)]])),TRUE,FALSE)</f>
        <v>0</v>
      </c>
      <c r="E2080" s="2" t="str">
        <f>IF(Table1[[#This Row],[Is Data Valid]]=TRUE,IF(Table1[[#This Row],[Fetal Sex (Male, Female or Unknown)]]="Male",Backend!$C$6,IF(Table1[[#This Row],[Fetal Sex (Male, Female or Unknown)]]="Female",Backend!$C$7,IF(Table1[[#This Row],[Fetal Sex (Male, Female or Unknown)]]="Unknown",Backend!$C$8,"Error"))),"")</f>
        <v/>
      </c>
      <c r="F2080" s="8" t="str">
        <f>IF(Table1[[#This Row],[Is Data Valid]]=TRUE,EXP(0.578+0.332*((Table1[[#This Row],[Gestation (days)]]+0.5)/7)-0.00354*((Table1[[#This Row],[Gestation (days)]]+0.5)/7)^2)*Table1[[#This Row],[BW40_3705]],"")</f>
        <v/>
      </c>
      <c r="G2080" s="2" t="str">
        <f>IF(Table1[[#This Row],[Is Data Valid]]=TRUE,((Table1[[#This Row],[Birthweight (grams)]]/Table1[[#This Row],[BW_GA]])-1)/(Backend!$B$4/100*Table1[[#This Row],[BW40_3705]]),"")</f>
        <v/>
      </c>
      <c r="H2080" s="7" t="str">
        <f>IF(Table1[[#This Row],[Is Data Valid]]=TRUE,((Table1[[#This Row],[Birthweight (grams)]]*0.9/Table1[[#This Row],[BW_GA]])-1)/(Backend!$B$4/100*Table1[[#This Row],[BW40_3705]]),"")</f>
        <v/>
      </c>
      <c r="I2080" s="7" t="str">
        <f>IF(Table1[[#This Row],[Is Data Valid]]=TRUE,((Table1[[#This Row],[Birthweight (grams)]]*1.1/Table1[[#This Row],[BW_GA]])-1)/(Backend!$B$4/100*Table1[[#This Row],[BW40_3705]]),"")</f>
        <v/>
      </c>
      <c r="J2080" s="7" t="str">
        <f>IF(Table1[[#This Row],[Is Data Valid]]=TRUE,_xlfn.NORM.S.DIST(Table1[[#This Row],[Birthweight Z-Score]],TRUE)*100,"")</f>
        <v/>
      </c>
      <c r="K2080" s="7" t="str">
        <f>IF(Table1[[#This Row],[Is Data Valid]]=TRUE,_xlfn.NORM.S.DIST(Table1[[#This Row],[Birthweight Z-Score (BW-10%)]],TRUE)*100,"")</f>
        <v/>
      </c>
      <c r="L2080" s="7" t="str">
        <f>IF(Table1[[#This Row],[Is Data Valid]]=TRUE,_xlfn.NORM.S.DIST(Table1[[#This Row],[Birthweight Z-Score (BW+10%)]],TRUE)*100,"")</f>
        <v/>
      </c>
    </row>
    <row r="2081" spans="1:12" x14ac:dyDescent="0.35">
      <c r="A2081" s="3"/>
      <c r="B2081" s="2"/>
      <c r="C2081" s="2"/>
      <c r="D2081" s="2" t="b">
        <f>IF(AND(NOT(ISBLANK(Table1[[#This Row],[Fetal Sex (Male, Female or Unknown)]])),ISNUMBER(Table1[[#This Row],[Birthweight (grams)]]),ISNUMBER(Table1[[#This Row],[Gestation (days)]])),TRUE,FALSE)</f>
        <v>0</v>
      </c>
      <c r="E2081" s="2" t="str">
        <f>IF(Table1[[#This Row],[Is Data Valid]]=TRUE,IF(Table1[[#This Row],[Fetal Sex (Male, Female or Unknown)]]="Male",Backend!$C$6,IF(Table1[[#This Row],[Fetal Sex (Male, Female or Unknown)]]="Female",Backend!$C$7,IF(Table1[[#This Row],[Fetal Sex (Male, Female or Unknown)]]="Unknown",Backend!$C$8,"Error"))),"")</f>
        <v/>
      </c>
      <c r="F2081" s="8" t="str">
        <f>IF(Table1[[#This Row],[Is Data Valid]]=TRUE,EXP(0.578+0.332*((Table1[[#This Row],[Gestation (days)]]+0.5)/7)-0.00354*((Table1[[#This Row],[Gestation (days)]]+0.5)/7)^2)*Table1[[#This Row],[BW40_3705]],"")</f>
        <v/>
      </c>
      <c r="G2081" s="2" t="str">
        <f>IF(Table1[[#This Row],[Is Data Valid]]=TRUE,((Table1[[#This Row],[Birthweight (grams)]]/Table1[[#This Row],[BW_GA]])-1)/(Backend!$B$4/100*Table1[[#This Row],[BW40_3705]]),"")</f>
        <v/>
      </c>
      <c r="H2081" s="7" t="str">
        <f>IF(Table1[[#This Row],[Is Data Valid]]=TRUE,((Table1[[#This Row],[Birthweight (grams)]]*0.9/Table1[[#This Row],[BW_GA]])-1)/(Backend!$B$4/100*Table1[[#This Row],[BW40_3705]]),"")</f>
        <v/>
      </c>
      <c r="I2081" s="7" t="str">
        <f>IF(Table1[[#This Row],[Is Data Valid]]=TRUE,((Table1[[#This Row],[Birthweight (grams)]]*1.1/Table1[[#This Row],[BW_GA]])-1)/(Backend!$B$4/100*Table1[[#This Row],[BW40_3705]]),"")</f>
        <v/>
      </c>
      <c r="J2081" s="7" t="str">
        <f>IF(Table1[[#This Row],[Is Data Valid]]=TRUE,_xlfn.NORM.S.DIST(Table1[[#This Row],[Birthweight Z-Score]],TRUE)*100,"")</f>
        <v/>
      </c>
      <c r="K2081" s="7" t="str">
        <f>IF(Table1[[#This Row],[Is Data Valid]]=TRUE,_xlfn.NORM.S.DIST(Table1[[#This Row],[Birthweight Z-Score (BW-10%)]],TRUE)*100,"")</f>
        <v/>
      </c>
      <c r="L2081" s="7" t="str">
        <f>IF(Table1[[#This Row],[Is Data Valid]]=TRUE,_xlfn.NORM.S.DIST(Table1[[#This Row],[Birthweight Z-Score (BW+10%)]],TRUE)*100,"")</f>
        <v/>
      </c>
    </row>
    <row r="2082" spans="1:12" x14ac:dyDescent="0.35">
      <c r="A2082" s="3"/>
      <c r="B2082" s="2"/>
      <c r="C2082" s="2"/>
      <c r="D2082" s="2" t="b">
        <f>IF(AND(NOT(ISBLANK(Table1[[#This Row],[Fetal Sex (Male, Female or Unknown)]])),ISNUMBER(Table1[[#This Row],[Birthweight (grams)]]),ISNUMBER(Table1[[#This Row],[Gestation (days)]])),TRUE,FALSE)</f>
        <v>0</v>
      </c>
      <c r="E2082" s="2" t="str">
        <f>IF(Table1[[#This Row],[Is Data Valid]]=TRUE,IF(Table1[[#This Row],[Fetal Sex (Male, Female or Unknown)]]="Male",Backend!$C$6,IF(Table1[[#This Row],[Fetal Sex (Male, Female or Unknown)]]="Female",Backend!$C$7,IF(Table1[[#This Row],[Fetal Sex (Male, Female or Unknown)]]="Unknown",Backend!$C$8,"Error"))),"")</f>
        <v/>
      </c>
      <c r="F2082" s="8" t="str">
        <f>IF(Table1[[#This Row],[Is Data Valid]]=TRUE,EXP(0.578+0.332*((Table1[[#This Row],[Gestation (days)]]+0.5)/7)-0.00354*((Table1[[#This Row],[Gestation (days)]]+0.5)/7)^2)*Table1[[#This Row],[BW40_3705]],"")</f>
        <v/>
      </c>
      <c r="G2082" s="2" t="str">
        <f>IF(Table1[[#This Row],[Is Data Valid]]=TRUE,((Table1[[#This Row],[Birthweight (grams)]]/Table1[[#This Row],[BW_GA]])-1)/(Backend!$B$4/100*Table1[[#This Row],[BW40_3705]]),"")</f>
        <v/>
      </c>
      <c r="H2082" s="7" t="str">
        <f>IF(Table1[[#This Row],[Is Data Valid]]=TRUE,((Table1[[#This Row],[Birthweight (grams)]]*0.9/Table1[[#This Row],[BW_GA]])-1)/(Backend!$B$4/100*Table1[[#This Row],[BW40_3705]]),"")</f>
        <v/>
      </c>
      <c r="I2082" s="7" t="str">
        <f>IF(Table1[[#This Row],[Is Data Valid]]=TRUE,((Table1[[#This Row],[Birthweight (grams)]]*1.1/Table1[[#This Row],[BW_GA]])-1)/(Backend!$B$4/100*Table1[[#This Row],[BW40_3705]]),"")</f>
        <v/>
      </c>
      <c r="J2082" s="7" t="str">
        <f>IF(Table1[[#This Row],[Is Data Valid]]=TRUE,_xlfn.NORM.S.DIST(Table1[[#This Row],[Birthweight Z-Score]],TRUE)*100,"")</f>
        <v/>
      </c>
      <c r="K2082" s="7" t="str">
        <f>IF(Table1[[#This Row],[Is Data Valid]]=TRUE,_xlfn.NORM.S.DIST(Table1[[#This Row],[Birthweight Z-Score (BW-10%)]],TRUE)*100,"")</f>
        <v/>
      </c>
      <c r="L2082" s="7" t="str">
        <f>IF(Table1[[#This Row],[Is Data Valid]]=TRUE,_xlfn.NORM.S.DIST(Table1[[#This Row],[Birthweight Z-Score (BW+10%)]],TRUE)*100,"")</f>
        <v/>
      </c>
    </row>
    <row r="2083" spans="1:12" x14ac:dyDescent="0.35">
      <c r="A2083" s="3"/>
      <c r="B2083" s="2"/>
      <c r="C2083" s="2"/>
      <c r="D2083" s="2" t="b">
        <f>IF(AND(NOT(ISBLANK(Table1[[#This Row],[Fetal Sex (Male, Female or Unknown)]])),ISNUMBER(Table1[[#This Row],[Birthweight (grams)]]),ISNUMBER(Table1[[#This Row],[Gestation (days)]])),TRUE,FALSE)</f>
        <v>0</v>
      </c>
      <c r="E2083" s="2" t="str">
        <f>IF(Table1[[#This Row],[Is Data Valid]]=TRUE,IF(Table1[[#This Row],[Fetal Sex (Male, Female or Unknown)]]="Male",Backend!$C$6,IF(Table1[[#This Row],[Fetal Sex (Male, Female or Unknown)]]="Female",Backend!$C$7,IF(Table1[[#This Row],[Fetal Sex (Male, Female or Unknown)]]="Unknown",Backend!$C$8,"Error"))),"")</f>
        <v/>
      </c>
      <c r="F2083" s="8" t="str">
        <f>IF(Table1[[#This Row],[Is Data Valid]]=TRUE,EXP(0.578+0.332*((Table1[[#This Row],[Gestation (days)]]+0.5)/7)-0.00354*((Table1[[#This Row],[Gestation (days)]]+0.5)/7)^2)*Table1[[#This Row],[BW40_3705]],"")</f>
        <v/>
      </c>
      <c r="G2083" s="2" t="str">
        <f>IF(Table1[[#This Row],[Is Data Valid]]=TRUE,((Table1[[#This Row],[Birthweight (grams)]]/Table1[[#This Row],[BW_GA]])-1)/(Backend!$B$4/100*Table1[[#This Row],[BW40_3705]]),"")</f>
        <v/>
      </c>
      <c r="H2083" s="7" t="str">
        <f>IF(Table1[[#This Row],[Is Data Valid]]=TRUE,((Table1[[#This Row],[Birthweight (grams)]]*0.9/Table1[[#This Row],[BW_GA]])-1)/(Backend!$B$4/100*Table1[[#This Row],[BW40_3705]]),"")</f>
        <v/>
      </c>
      <c r="I2083" s="7" t="str">
        <f>IF(Table1[[#This Row],[Is Data Valid]]=TRUE,((Table1[[#This Row],[Birthweight (grams)]]*1.1/Table1[[#This Row],[BW_GA]])-1)/(Backend!$B$4/100*Table1[[#This Row],[BW40_3705]]),"")</f>
        <v/>
      </c>
      <c r="J2083" s="7" t="str">
        <f>IF(Table1[[#This Row],[Is Data Valid]]=TRUE,_xlfn.NORM.S.DIST(Table1[[#This Row],[Birthweight Z-Score]],TRUE)*100,"")</f>
        <v/>
      </c>
      <c r="K2083" s="7" t="str">
        <f>IF(Table1[[#This Row],[Is Data Valid]]=TRUE,_xlfn.NORM.S.DIST(Table1[[#This Row],[Birthweight Z-Score (BW-10%)]],TRUE)*100,"")</f>
        <v/>
      </c>
      <c r="L2083" s="7" t="str">
        <f>IF(Table1[[#This Row],[Is Data Valid]]=TRUE,_xlfn.NORM.S.DIST(Table1[[#This Row],[Birthweight Z-Score (BW+10%)]],TRUE)*100,"")</f>
        <v/>
      </c>
    </row>
    <row r="2084" spans="1:12" x14ac:dyDescent="0.35">
      <c r="A2084" s="3"/>
      <c r="B2084" s="2"/>
      <c r="C2084" s="2"/>
      <c r="D2084" s="2" t="b">
        <f>IF(AND(NOT(ISBLANK(Table1[[#This Row],[Fetal Sex (Male, Female or Unknown)]])),ISNUMBER(Table1[[#This Row],[Birthweight (grams)]]),ISNUMBER(Table1[[#This Row],[Gestation (days)]])),TRUE,FALSE)</f>
        <v>0</v>
      </c>
      <c r="E2084" s="2" t="str">
        <f>IF(Table1[[#This Row],[Is Data Valid]]=TRUE,IF(Table1[[#This Row],[Fetal Sex (Male, Female or Unknown)]]="Male",Backend!$C$6,IF(Table1[[#This Row],[Fetal Sex (Male, Female or Unknown)]]="Female",Backend!$C$7,IF(Table1[[#This Row],[Fetal Sex (Male, Female or Unknown)]]="Unknown",Backend!$C$8,"Error"))),"")</f>
        <v/>
      </c>
      <c r="F2084" s="8" t="str">
        <f>IF(Table1[[#This Row],[Is Data Valid]]=TRUE,EXP(0.578+0.332*((Table1[[#This Row],[Gestation (days)]]+0.5)/7)-0.00354*((Table1[[#This Row],[Gestation (days)]]+0.5)/7)^2)*Table1[[#This Row],[BW40_3705]],"")</f>
        <v/>
      </c>
      <c r="G2084" s="2" t="str">
        <f>IF(Table1[[#This Row],[Is Data Valid]]=TRUE,((Table1[[#This Row],[Birthweight (grams)]]/Table1[[#This Row],[BW_GA]])-1)/(Backend!$B$4/100*Table1[[#This Row],[BW40_3705]]),"")</f>
        <v/>
      </c>
      <c r="H2084" s="7" t="str">
        <f>IF(Table1[[#This Row],[Is Data Valid]]=TRUE,((Table1[[#This Row],[Birthweight (grams)]]*0.9/Table1[[#This Row],[BW_GA]])-1)/(Backend!$B$4/100*Table1[[#This Row],[BW40_3705]]),"")</f>
        <v/>
      </c>
      <c r="I2084" s="7" t="str">
        <f>IF(Table1[[#This Row],[Is Data Valid]]=TRUE,((Table1[[#This Row],[Birthweight (grams)]]*1.1/Table1[[#This Row],[BW_GA]])-1)/(Backend!$B$4/100*Table1[[#This Row],[BW40_3705]]),"")</f>
        <v/>
      </c>
      <c r="J2084" s="7" t="str">
        <f>IF(Table1[[#This Row],[Is Data Valid]]=TRUE,_xlfn.NORM.S.DIST(Table1[[#This Row],[Birthweight Z-Score]],TRUE)*100,"")</f>
        <v/>
      </c>
      <c r="K2084" s="7" t="str">
        <f>IF(Table1[[#This Row],[Is Data Valid]]=TRUE,_xlfn.NORM.S.DIST(Table1[[#This Row],[Birthweight Z-Score (BW-10%)]],TRUE)*100,"")</f>
        <v/>
      </c>
      <c r="L2084" s="7" t="str">
        <f>IF(Table1[[#This Row],[Is Data Valid]]=TRUE,_xlfn.NORM.S.DIST(Table1[[#This Row],[Birthweight Z-Score (BW+10%)]],TRUE)*100,"")</f>
        <v/>
      </c>
    </row>
    <row r="2085" spans="1:12" x14ac:dyDescent="0.35">
      <c r="A2085" s="3"/>
      <c r="B2085" s="2"/>
      <c r="C2085" s="2"/>
      <c r="D2085" s="2" t="b">
        <f>IF(AND(NOT(ISBLANK(Table1[[#This Row],[Fetal Sex (Male, Female or Unknown)]])),ISNUMBER(Table1[[#This Row],[Birthweight (grams)]]),ISNUMBER(Table1[[#This Row],[Gestation (days)]])),TRUE,FALSE)</f>
        <v>0</v>
      </c>
      <c r="E2085" s="2" t="str">
        <f>IF(Table1[[#This Row],[Is Data Valid]]=TRUE,IF(Table1[[#This Row],[Fetal Sex (Male, Female or Unknown)]]="Male",Backend!$C$6,IF(Table1[[#This Row],[Fetal Sex (Male, Female or Unknown)]]="Female",Backend!$C$7,IF(Table1[[#This Row],[Fetal Sex (Male, Female or Unknown)]]="Unknown",Backend!$C$8,"Error"))),"")</f>
        <v/>
      </c>
      <c r="F2085" s="8" t="str">
        <f>IF(Table1[[#This Row],[Is Data Valid]]=TRUE,EXP(0.578+0.332*((Table1[[#This Row],[Gestation (days)]]+0.5)/7)-0.00354*((Table1[[#This Row],[Gestation (days)]]+0.5)/7)^2)*Table1[[#This Row],[BW40_3705]],"")</f>
        <v/>
      </c>
      <c r="G2085" s="2" t="str">
        <f>IF(Table1[[#This Row],[Is Data Valid]]=TRUE,((Table1[[#This Row],[Birthweight (grams)]]/Table1[[#This Row],[BW_GA]])-1)/(Backend!$B$4/100*Table1[[#This Row],[BW40_3705]]),"")</f>
        <v/>
      </c>
      <c r="H2085" s="7" t="str">
        <f>IF(Table1[[#This Row],[Is Data Valid]]=TRUE,((Table1[[#This Row],[Birthweight (grams)]]*0.9/Table1[[#This Row],[BW_GA]])-1)/(Backend!$B$4/100*Table1[[#This Row],[BW40_3705]]),"")</f>
        <v/>
      </c>
      <c r="I2085" s="7" t="str">
        <f>IF(Table1[[#This Row],[Is Data Valid]]=TRUE,((Table1[[#This Row],[Birthweight (grams)]]*1.1/Table1[[#This Row],[BW_GA]])-1)/(Backend!$B$4/100*Table1[[#This Row],[BW40_3705]]),"")</f>
        <v/>
      </c>
      <c r="J2085" s="7" t="str">
        <f>IF(Table1[[#This Row],[Is Data Valid]]=TRUE,_xlfn.NORM.S.DIST(Table1[[#This Row],[Birthweight Z-Score]],TRUE)*100,"")</f>
        <v/>
      </c>
      <c r="K2085" s="7" t="str">
        <f>IF(Table1[[#This Row],[Is Data Valid]]=TRUE,_xlfn.NORM.S.DIST(Table1[[#This Row],[Birthweight Z-Score (BW-10%)]],TRUE)*100,"")</f>
        <v/>
      </c>
      <c r="L2085" s="7" t="str">
        <f>IF(Table1[[#This Row],[Is Data Valid]]=TRUE,_xlfn.NORM.S.DIST(Table1[[#This Row],[Birthweight Z-Score (BW+10%)]],TRUE)*100,"")</f>
        <v/>
      </c>
    </row>
    <row r="2086" spans="1:12" x14ac:dyDescent="0.35">
      <c r="A2086" s="3"/>
      <c r="B2086" s="2"/>
      <c r="C2086" s="2"/>
      <c r="D2086" s="2" t="b">
        <f>IF(AND(NOT(ISBLANK(Table1[[#This Row],[Fetal Sex (Male, Female or Unknown)]])),ISNUMBER(Table1[[#This Row],[Birthweight (grams)]]),ISNUMBER(Table1[[#This Row],[Gestation (days)]])),TRUE,FALSE)</f>
        <v>0</v>
      </c>
      <c r="E2086" s="2" t="str">
        <f>IF(Table1[[#This Row],[Is Data Valid]]=TRUE,IF(Table1[[#This Row],[Fetal Sex (Male, Female or Unknown)]]="Male",Backend!$C$6,IF(Table1[[#This Row],[Fetal Sex (Male, Female or Unknown)]]="Female",Backend!$C$7,IF(Table1[[#This Row],[Fetal Sex (Male, Female or Unknown)]]="Unknown",Backend!$C$8,"Error"))),"")</f>
        <v/>
      </c>
      <c r="F2086" s="8" t="str">
        <f>IF(Table1[[#This Row],[Is Data Valid]]=TRUE,EXP(0.578+0.332*((Table1[[#This Row],[Gestation (days)]]+0.5)/7)-0.00354*((Table1[[#This Row],[Gestation (days)]]+0.5)/7)^2)*Table1[[#This Row],[BW40_3705]],"")</f>
        <v/>
      </c>
      <c r="G2086" s="2" t="str">
        <f>IF(Table1[[#This Row],[Is Data Valid]]=TRUE,((Table1[[#This Row],[Birthweight (grams)]]/Table1[[#This Row],[BW_GA]])-1)/(Backend!$B$4/100*Table1[[#This Row],[BW40_3705]]),"")</f>
        <v/>
      </c>
      <c r="H2086" s="7" t="str">
        <f>IF(Table1[[#This Row],[Is Data Valid]]=TRUE,((Table1[[#This Row],[Birthweight (grams)]]*0.9/Table1[[#This Row],[BW_GA]])-1)/(Backend!$B$4/100*Table1[[#This Row],[BW40_3705]]),"")</f>
        <v/>
      </c>
      <c r="I2086" s="7" t="str">
        <f>IF(Table1[[#This Row],[Is Data Valid]]=TRUE,((Table1[[#This Row],[Birthweight (grams)]]*1.1/Table1[[#This Row],[BW_GA]])-1)/(Backend!$B$4/100*Table1[[#This Row],[BW40_3705]]),"")</f>
        <v/>
      </c>
      <c r="J2086" s="7" t="str">
        <f>IF(Table1[[#This Row],[Is Data Valid]]=TRUE,_xlfn.NORM.S.DIST(Table1[[#This Row],[Birthweight Z-Score]],TRUE)*100,"")</f>
        <v/>
      </c>
      <c r="K2086" s="7" t="str">
        <f>IF(Table1[[#This Row],[Is Data Valid]]=TRUE,_xlfn.NORM.S.DIST(Table1[[#This Row],[Birthweight Z-Score (BW-10%)]],TRUE)*100,"")</f>
        <v/>
      </c>
      <c r="L2086" s="7" t="str">
        <f>IF(Table1[[#This Row],[Is Data Valid]]=TRUE,_xlfn.NORM.S.DIST(Table1[[#This Row],[Birthweight Z-Score (BW+10%)]],TRUE)*100,"")</f>
        <v/>
      </c>
    </row>
    <row r="2087" spans="1:12" x14ac:dyDescent="0.35">
      <c r="A2087" s="3"/>
      <c r="B2087" s="2"/>
      <c r="C2087" s="2"/>
      <c r="D2087" s="2" t="b">
        <f>IF(AND(NOT(ISBLANK(Table1[[#This Row],[Fetal Sex (Male, Female or Unknown)]])),ISNUMBER(Table1[[#This Row],[Birthweight (grams)]]),ISNUMBER(Table1[[#This Row],[Gestation (days)]])),TRUE,FALSE)</f>
        <v>0</v>
      </c>
      <c r="E2087" s="2" t="str">
        <f>IF(Table1[[#This Row],[Is Data Valid]]=TRUE,IF(Table1[[#This Row],[Fetal Sex (Male, Female or Unknown)]]="Male",Backend!$C$6,IF(Table1[[#This Row],[Fetal Sex (Male, Female or Unknown)]]="Female",Backend!$C$7,IF(Table1[[#This Row],[Fetal Sex (Male, Female or Unknown)]]="Unknown",Backend!$C$8,"Error"))),"")</f>
        <v/>
      </c>
      <c r="F2087" s="8" t="str">
        <f>IF(Table1[[#This Row],[Is Data Valid]]=TRUE,EXP(0.578+0.332*((Table1[[#This Row],[Gestation (days)]]+0.5)/7)-0.00354*((Table1[[#This Row],[Gestation (days)]]+0.5)/7)^2)*Table1[[#This Row],[BW40_3705]],"")</f>
        <v/>
      </c>
      <c r="G2087" s="2" t="str">
        <f>IF(Table1[[#This Row],[Is Data Valid]]=TRUE,((Table1[[#This Row],[Birthweight (grams)]]/Table1[[#This Row],[BW_GA]])-1)/(Backend!$B$4/100*Table1[[#This Row],[BW40_3705]]),"")</f>
        <v/>
      </c>
      <c r="H2087" s="7" t="str">
        <f>IF(Table1[[#This Row],[Is Data Valid]]=TRUE,((Table1[[#This Row],[Birthweight (grams)]]*0.9/Table1[[#This Row],[BW_GA]])-1)/(Backend!$B$4/100*Table1[[#This Row],[BW40_3705]]),"")</f>
        <v/>
      </c>
      <c r="I2087" s="7" t="str">
        <f>IF(Table1[[#This Row],[Is Data Valid]]=TRUE,((Table1[[#This Row],[Birthweight (grams)]]*1.1/Table1[[#This Row],[BW_GA]])-1)/(Backend!$B$4/100*Table1[[#This Row],[BW40_3705]]),"")</f>
        <v/>
      </c>
      <c r="J2087" s="7" t="str">
        <f>IF(Table1[[#This Row],[Is Data Valid]]=TRUE,_xlfn.NORM.S.DIST(Table1[[#This Row],[Birthweight Z-Score]],TRUE)*100,"")</f>
        <v/>
      </c>
      <c r="K2087" s="7" t="str">
        <f>IF(Table1[[#This Row],[Is Data Valid]]=TRUE,_xlfn.NORM.S.DIST(Table1[[#This Row],[Birthweight Z-Score (BW-10%)]],TRUE)*100,"")</f>
        <v/>
      </c>
      <c r="L2087" s="7" t="str">
        <f>IF(Table1[[#This Row],[Is Data Valid]]=TRUE,_xlfn.NORM.S.DIST(Table1[[#This Row],[Birthweight Z-Score (BW+10%)]],TRUE)*100,"")</f>
        <v/>
      </c>
    </row>
    <row r="2088" spans="1:12" x14ac:dyDescent="0.35">
      <c r="A2088" s="3"/>
      <c r="B2088" s="2"/>
      <c r="C2088" s="2"/>
      <c r="D2088" s="2" t="b">
        <f>IF(AND(NOT(ISBLANK(Table1[[#This Row],[Fetal Sex (Male, Female or Unknown)]])),ISNUMBER(Table1[[#This Row],[Birthweight (grams)]]),ISNUMBER(Table1[[#This Row],[Gestation (days)]])),TRUE,FALSE)</f>
        <v>0</v>
      </c>
      <c r="E2088" s="2" t="str">
        <f>IF(Table1[[#This Row],[Is Data Valid]]=TRUE,IF(Table1[[#This Row],[Fetal Sex (Male, Female or Unknown)]]="Male",Backend!$C$6,IF(Table1[[#This Row],[Fetal Sex (Male, Female or Unknown)]]="Female",Backend!$C$7,IF(Table1[[#This Row],[Fetal Sex (Male, Female or Unknown)]]="Unknown",Backend!$C$8,"Error"))),"")</f>
        <v/>
      </c>
      <c r="F2088" s="8" t="str">
        <f>IF(Table1[[#This Row],[Is Data Valid]]=TRUE,EXP(0.578+0.332*((Table1[[#This Row],[Gestation (days)]]+0.5)/7)-0.00354*((Table1[[#This Row],[Gestation (days)]]+0.5)/7)^2)*Table1[[#This Row],[BW40_3705]],"")</f>
        <v/>
      </c>
      <c r="G2088" s="2" t="str">
        <f>IF(Table1[[#This Row],[Is Data Valid]]=TRUE,((Table1[[#This Row],[Birthweight (grams)]]/Table1[[#This Row],[BW_GA]])-1)/(Backend!$B$4/100*Table1[[#This Row],[BW40_3705]]),"")</f>
        <v/>
      </c>
      <c r="H2088" s="7" t="str">
        <f>IF(Table1[[#This Row],[Is Data Valid]]=TRUE,((Table1[[#This Row],[Birthweight (grams)]]*0.9/Table1[[#This Row],[BW_GA]])-1)/(Backend!$B$4/100*Table1[[#This Row],[BW40_3705]]),"")</f>
        <v/>
      </c>
      <c r="I2088" s="7" t="str">
        <f>IF(Table1[[#This Row],[Is Data Valid]]=TRUE,((Table1[[#This Row],[Birthweight (grams)]]*1.1/Table1[[#This Row],[BW_GA]])-1)/(Backend!$B$4/100*Table1[[#This Row],[BW40_3705]]),"")</f>
        <v/>
      </c>
      <c r="J2088" s="7" t="str">
        <f>IF(Table1[[#This Row],[Is Data Valid]]=TRUE,_xlfn.NORM.S.DIST(Table1[[#This Row],[Birthweight Z-Score]],TRUE)*100,"")</f>
        <v/>
      </c>
      <c r="K2088" s="7" t="str">
        <f>IF(Table1[[#This Row],[Is Data Valid]]=TRUE,_xlfn.NORM.S.DIST(Table1[[#This Row],[Birthweight Z-Score (BW-10%)]],TRUE)*100,"")</f>
        <v/>
      </c>
      <c r="L2088" s="7" t="str">
        <f>IF(Table1[[#This Row],[Is Data Valid]]=TRUE,_xlfn.NORM.S.DIST(Table1[[#This Row],[Birthweight Z-Score (BW+10%)]],TRUE)*100,"")</f>
        <v/>
      </c>
    </row>
    <row r="2089" spans="1:12" x14ac:dyDescent="0.35">
      <c r="A2089" s="3"/>
      <c r="B2089" s="2"/>
      <c r="C2089" s="2"/>
      <c r="D2089" s="2" t="b">
        <f>IF(AND(NOT(ISBLANK(Table1[[#This Row],[Fetal Sex (Male, Female or Unknown)]])),ISNUMBER(Table1[[#This Row],[Birthweight (grams)]]),ISNUMBER(Table1[[#This Row],[Gestation (days)]])),TRUE,FALSE)</f>
        <v>0</v>
      </c>
      <c r="E2089" s="2" t="str">
        <f>IF(Table1[[#This Row],[Is Data Valid]]=TRUE,IF(Table1[[#This Row],[Fetal Sex (Male, Female or Unknown)]]="Male",Backend!$C$6,IF(Table1[[#This Row],[Fetal Sex (Male, Female or Unknown)]]="Female",Backend!$C$7,IF(Table1[[#This Row],[Fetal Sex (Male, Female or Unknown)]]="Unknown",Backend!$C$8,"Error"))),"")</f>
        <v/>
      </c>
      <c r="F2089" s="8" t="str">
        <f>IF(Table1[[#This Row],[Is Data Valid]]=TRUE,EXP(0.578+0.332*((Table1[[#This Row],[Gestation (days)]]+0.5)/7)-0.00354*((Table1[[#This Row],[Gestation (days)]]+0.5)/7)^2)*Table1[[#This Row],[BW40_3705]],"")</f>
        <v/>
      </c>
      <c r="G2089" s="2" t="str">
        <f>IF(Table1[[#This Row],[Is Data Valid]]=TRUE,((Table1[[#This Row],[Birthweight (grams)]]/Table1[[#This Row],[BW_GA]])-1)/(Backend!$B$4/100*Table1[[#This Row],[BW40_3705]]),"")</f>
        <v/>
      </c>
      <c r="H2089" s="7" t="str">
        <f>IF(Table1[[#This Row],[Is Data Valid]]=TRUE,((Table1[[#This Row],[Birthweight (grams)]]*0.9/Table1[[#This Row],[BW_GA]])-1)/(Backend!$B$4/100*Table1[[#This Row],[BW40_3705]]),"")</f>
        <v/>
      </c>
      <c r="I2089" s="7" t="str">
        <f>IF(Table1[[#This Row],[Is Data Valid]]=TRUE,((Table1[[#This Row],[Birthweight (grams)]]*1.1/Table1[[#This Row],[BW_GA]])-1)/(Backend!$B$4/100*Table1[[#This Row],[BW40_3705]]),"")</f>
        <v/>
      </c>
      <c r="J2089" s="7" t="str">
        <f>IF(Table1[[#This Row],[Is Data Valid]]=TRUE,_xlfn.NORM.S.DIST(Table1[[#This Row],[Birthweight Z-Score]],TRUE)*100,"")</f>
        <v/>
      </c>
      <c r="K2089" s="7" t="str">
        <f>IF(Table1[[#This Row],[Is Data Valid]]=TRUE,_xlfn.NORM.S.DIST(Table1[[#This Row],[Birthweight Z-Score (BW-10%)]],TRUE)*100,"")</f>
        <v/>
      </c>
      <c r="L2089" s="7" t="str">
        <f>IF(Table1[[#This Row],[Is Data Valid]]=TRUE,_xlfn.NORM.S.DIST(Table1[[#This Row],[Birthweight Z-Score (BW+10%)]],TRUE)*100,"")</f>
        <v/>
      </c>
    </row>
    <row r="2090" spans="1:12" x14ac:dyDescent="0.35">
      <c r="A2090" s="3"/>
      <c r="B2090" s="2"/>
      <c r="C2090" s="2"/>
      <c r="D2090" s="2" t="b">
        <f>IF(AND(NOT(ISBLANK(Table1[[#This Row],[Fetal Sex (Male, Female or Unknown)]])),ISNUMBER(Table1[[#This Row],[Birthweight (grams)]]),ISNUMBER(Table1[[#This Row],[Gestation (days)]])),TRUE,FALSE)</f>
        <v>0</v>
      </c>
      <c r="E2090" s="2" t="str">
        <f>IF(Table1[[#This Row],[Is Data Valid]]=TRUE,IF(Table1[[#This Row],[Fetal Sex (Male, Female or Unknown)]]="Male",Backend!$C$6,IF(Table1[[#This Row],[Fetal Sex (Male, Female or Unknown)]]="Female",Backend!$C$7,IF(Table1[[#This Row],[Fetal Sex (Male, Female or Unknown)]]="Unknown",Backend!$C$8,"Error"))),"")</f>
        <v/>
      </c>
      <c r="F2090" s="8" t="str">
        <f>IF(Table1[[#This Row],[Is Data Valid]]=TRUE,EXP(0.578+0.332*((Table1[[#This Row],[Gestation (days)]]+0.5)/7)-0.00354*((Table1[[#This Row],[Gestation (days)]]+0.5)/7)^2)*Table1[[#This Row],[BW40_3705]],"")</f>
        <v/>
      </c>
      <c r="G2090" s="2" t="str">
        <f>IF(Table1[[#This Row],[Is Data Valid]]=TRUE,((Table1[[#This Row],[Birthweight (grams)]]/Table1[[#This Row],[BW_GA]])-1)/(Backend!$B$4/100*Table1[[#This Row],[BW40_3705]]),"")</f>
        <v/>
      </c>
      <c r="H2090" s="7" t="str">
        <f>IF(Table1[[#This Row],[Is Data Valid]]=TRUE,((Table1[[#This Row],[Birthweight (grams)]]*0.9/Table1[[#This Row],[BW_GA]])-1)/(Backend!$B$4/100*Table1[[#This Row],[BW40_3705]]),"")</f>
        <v/>
      </c>
      <c r="I2090" s="7" t="str">
        <f>IF(Table1[[#This Row],[Is Data Valid]]=TRUE,((Table1[[#This Row],[Birthweight (grams)]]*1.1/Table1[[#This Row],[BW_GA]])-1)/(Backend!$B$4/100*Table1[[#This Row],[BW40_3705]]),"")</f>
        <v/>
      </c>
      <c r="J2090" s="7" t="str">
        <f>IF(Table1[[#This Row],[Is Data Valid]]=TRUE,_xlfn.NORM.S.DIST(Table1[[#This Row],[Birthweight Z-Score]],TRUE)*100,"")</f>
        <v/>
      </c>
      <c r="K2090" s="7" t="str">
        <f>IF(Table1[[#This Row],[Is Data Valid]]=TRUE,_xlfn.NORM.S.DIST(Table1[[#This Row],[Birthweight Z-Score (BW-10%)]],TRUE)*100,"")</f>
        <v/>
      </c>
      <c r="L2090" s="7" t="str">
        <f>IF(Table1[[#This Row],[Is Data Valid]]=TRUE,_xlfn.NORM.S.DIST(Table1[[#This Row],[Birthweight Z-Score (BW+10%)]],TRUE)*100,"")</f>
        <v/>
      </c>
    </row>
    <row r="2091" spans="1:12" x14ac:dyDescent="0.35">
      <c r="A2091" s="3"/>
      <c r="B2091" s="2"/>
      <c r="C2091" s="2"/>
      <c r="D2091" s="2" t="b">
        <f>IF(AND(NOT(ISBLANK(Table1[[#This Row],[Fetal Sex (Male, Female or Unknown)]])),ISNUMBER(Table1[[#This Row],[Birthweight (grams)]]),ISNUMBER(Table1[[#This Row],[Gestation (days)]])),TRUE,FALSE)</f>
        <v>0</v>
      </c>
      <c r="E2091" s="2" t="str">
        <f>IF(Table1[[#This Row],[Is Data Valid]]=TRUE,IF(Table1[[#This Row],[Fetal Sex (Male, Female or Unknown)]]="Male",Backend!$C$6,IF(Table1[[#This Row],[Fetal Sex (Male, Female or Unknown)]]="Female",Backend!$C$7,IF(Table1[[#This Row],[Fetal Sex (Male, Female or Unknown)]]="Unknown",Backend!$C$8,"Error"))),"")</f>
        <v/>
      </c>
      <c r="F2091" s="8" t="str">
        <f>IF(Table1[[#This Row],[Is Data Valid]]=TRUE,EXP(0.578+0.332*((Table1[[#This Row],[Gestation (days)]]+0.5)/7)-0.00354*((Table1[[#This Row],[Gestation (days)]]+0.5)/7)^2)*Table1[[#This Row],[BW40_3705]],"")</f>
        <v/>
      </c>
      <c r="G2091" s="2" t="str">
        <f>IF(Table1[[#This Row],[Is Data Valid]]=TRUE,((Table1[[#This Row],[Birthweight (grams)]]/Table1[[#This Row],[BW_GA]])-1)/(Backend!$B$4/100*Table1[[#This Row],[BW40_3705]]),"")</f>
        <v/>
      </c>
      <c r="H2091" s="7" t="str">
        <f>IF(Table1[[#This Row],[Is Data Valid]]=TRUE,((Table1[[#This Row],[Birthweight (grams)]]*0.9/Table1[[#This Row],[BW_GA]])-1)/(Backend!$B$4/100*Table1[[#This Row],[BW40_3705]]),"")</f>
        <v/>
      </c>
      <c r="I2091" s="7" t="str">
        <f>IF(Table1[[#This Row],[Is Data Valid]]=TRUE,((Table1[[#This Row],[Birthweight (grams)]]*1.1/Table1[[#This Row],[BW_GA]])-1)/(Backend!$B$4/100*Table1[[#This Row],[BW40_3705]]),"")</f>
        <v/>
      </c>
      <c r="J2091" s="7" t="str">
        <f>IF(Table1[[#This Row],[Is Data Valid]]=TRUE,_xlfn.NORM.S.DIST(Table1[[#This Row],[Birthweight Z-Score]],TRUE)*100,"")</f>
        <v/>
      </c>
      <c r="K2091" s="7" t="str">
        <f>IF(Table1[[#This Row],[Is Data Valid]]=TRUE,_xlfn.NORM.S.DIST(Table1[[#This Row],[Birthweight Z-Score (BW-10%)]],TRUE)*100,"")</f>
        <v/>
      </c>
      <c r="L2091" s="7" t="str">
        <f>IF(Table1[[#This Row],[Is Data Valid]]=TRUE,_xlfn.NORM.S.DIST(Table1[[#This Row],[Birthweight Z-Score (BW+10%)]],TRUE)*100,"")</f>
        <v/>
      </c>
    </row>
    <row r="2092" spans="1:12" x14ac:dyDescent="0.35">
      <c r="A2092" s="3"/>
      <c r="B2092" s="2"/>
      <c r="C2092" s="2"/>
      <c r="D2092" s="2" t="b">
        <f>IF(AND(NOT(ISBLANK(Table1[[#This Row],[Fetal Sex (Male, Female or Unknown)]])),ISNUMBER(Table1[[#This Row],[Birthweight (grams)]]),ISNUMBER(Table1[[#This Row],[Gestation (days)]])),TRUE,FALSE)</f>
        <v>0</v>
      </c>
      <c r="E2092" s="2" t="str">
        <f>IF(Table1[[#This Row],[Is Data Valid]]=TRUE,IF(Table1[[#This Row],[Fetal Sex (Male, Female or Unknown)]]="Male",Backend!$C$6,IF(Table1[[#This Row],[Fetal Sex (Male, Female or Unknown)]]="Female",Backend!$C$7,IF(Table1[[#This Row],[Fetal Sex (Male, Female or Unknown)]]="Unknown",Backend!$C$8,"Error"))),"")</f>
        <v/>
      </c>
      <c r="F2092" s="8" t="str">
        <f>IF(Table1[[#This Row],[Is Data Valid]]=TRUE,EXP(0.578+0.332*((Table1[[#This Row],[Gestation (days)]]+0.5)/7)-0.00354*((Table1[[#This Row],[Gestation (days)]]+0.5)/7)^2)*Table1[[#This Row],[BW40_3705]],"")</f>
        <v/>
      </c>
      <c r="G2092" s="2" t="str">
        <f>IF(Table1[[#This Row],[Is Data Valid]]=TRUE,((Table1[[#This Row],[Birthweight (grams)]]/Table1[[#This Row],[BW_GA]])-1)/(Backend!$B$4/100*Table1[[#This Row],[BW40_3705]]),"")</f>
        <v/>
      </c>
      <c r="H2092" s="7" t="str">
        <f>IF(Table1[[#This Row],[Is Data Valid]]=TRUE,((Table1[[#This Row],[Birthweight (grams)]]*0.9/Table1[[#This Row],[BW_GA]])-1)/(Backend!$B$4/100*Table1[[#This Row],[BW40_3705]]),"")</f>
        <v/>
      </c>
      <c r="I2092" s="7" t="str">
        <f>IF(Table1[[#This Row],[Is Data Valid]]=TRUE,((Table1[[#This Row],[Birthweight (grams)]]*1.1/Table1[[#This Row],[BW_GA]])-1)/(Backend!$B$4/100*Table1[[#This Row],[BW40_3705]]),"")</f>
        <v/>
      </c>
      <c r="J2092" s="7" t="str">
        <f>IF(Table1[[#This Row],[Is Data Valid]]=TRUE,_xlfn.NORM.S.DIST(Table1[[#This Row],[Birthweight Z-Score]],TRUE)*100,"")</f>
        <v/>
      </c>
      <c r="K2092" s="7" t="str">
        <f>IF(Table1[[#This Row],[Is Data Valid]]=TRUE,_xlfn.NORM.S.DIST(Table1[[#This Row],[Birthweight Z-Score (BW-10%)]],TRUE)*100,"")</f>
        <v/>
      </c>
      <c r="L2092" s="7" t="str">
        <f>IF(Table1[[#This Row],[Is Data Valid]]=TRUE,_xlfn.NORM.S.DIST(Table1[[#This Row],[Birthweight Z-Score (BW+10%)]],TRUE)*100,"")</f>
        <v/>
      </c>
    </row>
    <row r="2093" spans="1:12" x14ac:dyDescent="0.35">
      <c r="A2093" s="3"/>
      <c r="B2093" s="2"/>
      <c r="C2093" s="2"/>
      <c r="D2093" s="2" t="b">
        <f>IF(AND(NOT(ISBLANK(Table1[[#This Row],[Fetal Sex (Male, Female or Unknown)]])),ISNUMBER(Table1[[#This Row],[Birthweight (grams)]]),ISNUMBER(Table1[[#This Row],[Gestation (days)]])),TRUE,FALSE)</f>
        <v>0</v>
      </c>
      <c r="E2093" s="2" t="str">
        <f>IF(Table1[[#This Row],[Is Data Valid]]=TRUE,IF(Table1[[#This Row],[Fetal Sex (Male, Female or Unknown)]]="Male",Backend!$C$6,IF(Table1[[#This Row],[Fetal Sex (Male, Female or Unknown)]]="Female",Backend!$C$7,IF(Table1[[#This Row],[Fetal Sex (Male, Female or Unknown)]]="Unknown",Backend!$C$8,"Error"))),"")</f>
        <v/>
      </c>
      <c r="F2093" s="8" t="str">
        <f>IF(Table1[[#This Row],[Is Data Valid]]=TRUE,EXP(0.578+0.332*((Table1[[#This Row],[Gestation (days)]]+0.5)/7)-0.00354*((Table1[[#This Row],[Gestation (days)]]+0.5)/7)^2)*Table1[[#This Row],[BW40_3705]],"")</f>
        <v/>
      </c>
      <c r="G2093" s="2" t="str">
        <f>IF(Table1[[#This Row],[Is Data Valid]]=TRUE,((Table1[[#This Row],[Birthweight (grams)]]/Table1[[#This Row],[BW_GA]])-1)/(Backend!$B$4/100*Table1[[#This Row],[BW40_3705]]),"")</f>
        <v/>
      </c>
      <c r="H2093" s="7" t="str">
        <f>IF(Table1[[#This Row],[Is Data Valid]]=TRUE,((Table1[[#This Row],[Birthweight (grams)]]*0.9/Table1[[#This Row],[BW_GA]])-1)/(Backend!$B$4/100*Table1[[#This Row],[BW40_3705]]),"")</f>
        <v/>
      </c>
      <c r="I2093" s="7" t="str">
        <f>IF(Table1[[#This Row],[Is Data Valid]]=TRUE,((Table1[[#This Row],[Birthweight (grams)]]*1.1/Table1[[#This Row],[BW_GA]])-1)/(Backend!$B$4/100*Table1[[#This Row],[BW40_3705]]),"")</f>
        <v/>
      </c>
      <c r="J2093" s="7" t="str">
        <f>IF(Table1[[#This Row],[Is Data Valid]]=TRUE,_xlfn.NORM.S.DIST(Table1[[#This Row],[Birthweight Z-Score]],TRUE)*100,"")</f>
        <v/>
      </c>
      <c r="K2093" s="7" t="str">
        <f>IF(Table1[[#This Row],[Is Data Valid]]=TRUE,_xlfn.NORM.S.DIST(Table1[[#This Row],[Birthweight Z-Score (BW-10%)]],TRUE)*100,"")</f>
        <v/>
      </c>
      <c r="L2093" s="7" t="str">
        <f>IF(Table1[[#This Row],[Is Data Valid]]=TRUE,_xlfn.NORM.S.DIST(Table1[[#This Row],[Birthweight Z-Score (BW+10%)]],TRUE)*100,"")</f>
        <v/>
      </c>
    </row>
    <row r="2094" spans="1:12" x14ac:dyDescent="0.35">
      <c r="A2094" s="3"/>
      <c r="B2094" s="2"/>
      <c r="C2094" s="2"/>
      <c r="D2094" s="2" t="b">
        <f>IF(AND(NOT(ISBLANK(Table1[[#This Row],[Fetal Sex (Male, Female or Unknown)]])),ISNUMBER(Table1[[#This Row],[Birthweight (grams)]]),ISNUMBER(Table1[[#This Row],[Gestation (days)]])),TRUE,FALSE)</f>
        <v>0</v>
      </c>
      <c r="E2094" s="2" t="str">
        <f>IF(Table1[[#This Row],[Is Data Valid]]=TRUE,IF(Table1[[#This Row],[Fetal Sex (Male, Female or Unknown)]]="Male",Backend!$C$6,IF(Table1[[#This Row],[Fetal Sex (Male, Female or Unknown)]]="Female",Backend!$C$7,IF(Table1[[#This Row],[Fetal Sex (Male, Female or Unknown)]]="Unknown",Backend!$C$8,"Error"))),"")</f>
        <v/>
      </c>
      <c r="F2094" s="8" t="str">
        <f>IF(Table1[[#This Row],[Is Data Valid]]=TRUE,EXP(0.578+0.332*((Table1[[#This Row],[Gestation (days)]]+0.5)/7)-0.00354*((Table1[[#This Row],[Gestation (days)]]+0.5)/7)^2)*Table1[[#This Row],[BW40_3705]],"")</f>
        <v/>
      </c>
      <c r="G2094" s="2" t="str">
        <f>IF(Table1[[#This Row],[Is Data Valid]]=TRUE,((Table1[[#This Row],[Birthweight (grams)]]/Table1[[#This Row],[BW_GA]])-1)/(Backend!$B$4/100*Table1[[#This Row],[BW40_3705]]),"")</f>
        <v/>
      </c>
      <c r="H2094" s="7" t="str">
        <f>IF(Table1[[#This Row],[Is Data Valid]]=TRUE,((Table1[[#This Row],[Birthweight (grams)]]*0.9/Table1[[#This Row],[BW_GA]])-1)/(Backend!$B$4/100*Table1[[#This Row],[BW40_3705]]),"")</f>
        <v/>
      </c>
      <c r="I2094" s="7" t="str">
        <f>IF(Table1[[#This Row],[Is Data Valid]]=TRUE,((Table1[[#This Row],[Birthweight (grams)]]*1.1/Table1[[#This Row],[BW_GA]])-1)/(Backend!$B$4/100*Table1[[#This Row],[BW40_3705]]),"")</f>
        <v/>
      </c>
      <c r="J2094" s="7" t="str">
        <f>IF(Table1[[#This Row],[Is Data Valid]]=TRUE,_xlfn.NORM.S.DIST(Table1[[#This Row],[Birthweight Z-Score]],TRUE)*100,"")</f>
        <v/>
      </c>
      <c r="K2094" s="7" t="str">
        <f>IF(Table1[[#This Row],[Is Data Valid]]=TRUE,_xlfn.NORM.S.DIST(Table1[[#This Row],[Birthweight Z-Score (BW-10%)]],TRUE)*100,"")</f>
        <v/>
      </c>
      <c r="L2094" s="7" t="str">
        <f>IF(Table1[[#This Row],[Is Data Valid]]=TRUE,_xlfn.NORM.S.DIST(Table1[[#This Row],[Birthweight Z-Score (BW+10%)]],TRUE)*100,"")</f>
        <v/>
      </c>
    </row>
    <row r="2095" spans="1:12" x14ac:dyDescent="0.35">
      <c r="A2095" s="3"/>
      <c r="B2095" s="2"/>
      <c r="C2095" s="2"/>
      <c r="D2095" s="2" t="b">
        <f>IF(AND(NOT(ISBLANK(Table1[[#This Row],[Fetal Sex (Male, Female or Unknown)]])),ISNUMBER(Table1[[#This Row],[Birthweight (grams)]]),ISNUMBER(Table1[[#This Row],[Gestation (days)]])),TRUE,FALSE)</f>
        <v>0</v>
      </c>
      <c r="E2095" s="2" t="str">
        <f>IF(Table1[[#This Row],[Is Data Valid]]=TRUE,IF(Table1[[#This Row],[Fetal Sex (Male, Female or Unknown)]]="Male",Backend!$C$6,IF(Table1[[#This Row],[Fetal Sex (Male, Female or Unknown)]]="Female",Backend!$C$7,IF(Table1[[#This Row],[Fetal Sex (Male, Female or Unknown)]]="Unknown",Backend!$C$8,"Error"))),"")</f>
        <v/>
      </c>
      <c r="F2095" s="8" t="str">
        <f>IF(Table1[[#This Row],[Is Data Valid]]=TRUE,EXP(0.578+0.332*((Table1[[#This Row],[Gestation (days)]]+0.5)/7)-0.00354*((Table1[[#This Row],[Gestation (days)]]+0.5)/7)^2)*Table1[[#This Row],[BW40_3705]],"")</f>
        <v/>
      </c>
      <c r="G2095" s="2" t="str">
        <f>IF(Table1[[#This Row],[Is Data Valid]]=TRUE,((Table1[[#This Row],[Birthweight (grams)]]/Table1[[#This Row],[BW_GA]])-1)/(Backend!$B$4/100*Table1[[#This Row],[BW40_3705]]),"")</f>
        <v/>
      </c>
      <c r="H2095" s="7" t="str">
        <f>IF(Table1[[#This Row],[Is Data Valid]]=TRUE,((Table1[[#This Row],[Birthweight (grams)]]*0.9/Table1[[#This Row],[BW_GA]])-1)/(Backend!$B$4/100*Table1[[#This Row],[BW40_3705]]),"")</f>
        <v/>
      </c>
      <c r="I2095" s="7" t="str">
        <f>IF(Table1[[#This Row],[Is Data Valid]]=TRUE,((Table1[[#This Row],[Birthweight (grams)]]*1.1/Table1[[#This Row],[BW_GA]])-1)/(Backend!$B$4/100*Table1[[#This Row],[BW40_3705]]),"")</f>
        <v/>
      </c>
      <c r="J2095" s="7" t="str">
        <f>IF(Table1[[#This Row],[Is Data Valid]]=TRUE,_xlfn.NORM.S.DIST(Table1[[#This Row],[Birthweight Z-Score]],TRUE)*100,"")</f>
        <v/>
      </c>
      <c r="K2095" s="7" t="str">
        <f>IF(Table1[[#This Row],[Is Data Valid]]=TRUE,_xlfn.NORM.S.DIST(Table1[[#This Row],[Birthweight Z-Score (BW-10%)]],TRUE)*100,"")</f>
        <v/>
      </c>
      <c r="L2095" s="7" t="str">
        <f>IF(Table1[[#This Row],[Is Data Valid]]=TRUE,_xlfn.NORM.S.DIST(Table1[[#This Row],[Birthweight Z-Score (BW+10%)]],TRUE)*100,"")</f>
        <v/>
      </c>
    </row>
    <row r="2096" spans="1:12" x14ac:dyDescent="0.35">
      <c r="A2096" s="3"/>
      <c r="B2096" s="2"/>
      <c r="C2096" s="2"/>
      <c r="D2096" s="2" t="b">
        <f>IF(AND(NOT(ISBLANK(Table1[[#This Row],[Fetal Sex (Male, Female or Unknown)]])),ISNUMBER(Table1[[#This Row],[Birthweight (grams)]]),ISNUMBER(Table1[[#This Row],[Gestation (days)]])),TRUE,FALSE)</f>
        <v>0</v>
      </c>
      <c r="E2096" s="2" t="str">
        <f>IF(Table1[[#This Row],[Is Data Valid]]=TRUE,IF(Table1[[#This Row],[Fetal Sex (Male, Female or Unknown)]]="Male",Backend!$C$6,IF(Table1[[#This Row],[Fetal Sex (Male, Female or Unknown)]]="Female",Backend!$C$7,IF(Table1[[#This Row],[Fetal Sex (Male, Female or Unknown)]]="Unknown",Backend!$C$8,"Error"))),"")</f>
        <v/>
      </c>
      <c r="F2096" s="8" t="str">
        <f>IF(Table1[[#This Row],[Is Data Valid]]=TRUE,EXP(0.578+0.332*((Table1[[#This Row],[Gestation (days)]]+0.5)/7)-0.00354*((Table1[[#This Row],[Gestation (days)]]+0.5)/7)^2)*Table1[[#This Row],[BW40_3705]],"")</f>
        <v/>
      </c>
      <c r="G2096" s="2" t="str">
        <f>IF(Table1[[#This Row],[Is Data Valid]]=TRUE,((Table1[[#This Row],[Birthweight (grams)]]/Table1[[#This Row],[BW_GA]])-1)/(Backend!$B$4/100*Table1[[#This Row],[BW40_3705]]),"")</f>
        <v/>
      </c>
      <c r="H2096" s="7" t="str">
        <f>IF(Table1[[#This Row],[Is Data Valid]]=TRUE,((Table1[[#This Row],[Birthweight (grams)]]*0.9/Table1[[#This Row],[BW_GA]])-1)/(Backend!$B$4/100*Table1[[#This Row],[BW40_3705]]),"")</f>
        <v/>
      </c>
      <c r="I2096" s="7" t="str">
        <f>IF(Table1[[#This Row],[Is Data Valid]]=TRUE,((Table1[[#This Row],[Birthweight (grams)]]*1.1/Table1[[#This Row],[BW_GA]])-1)/(Backend!$B$4/100*Table1[[#This Row],[BW40_3705]]),"")</f>
        <v/>
      </c>
      <c r="J2096" s="7" t="str">
        <f>IF(Table1[[#This Row],[Is Data Valid]]=TRUE,_xlfn.NORM.S.DIST(Table1[[#This Row],[Birthweight Z-Score]],TRUE)*100,"")</f>
        <v/>
      </c>
      <c r="K2096" s="7" t="str">
        <f>IF(Table1[[#This Row],[Is Data Valid]]=TRUE,_xlfn.NORM.S.DIST(Table1[[#This Row],[Birthweight Z-Score (BW-10%)]],TRUE)*100,"")</f>
        <v/>
      </c>
      <c r="L2096" s="7" t="str">
        <f>IF(Table1[[#This Row],[Is Data Valid]]=TRUE,_xlfn.NORM.S.DIST(Table1[[#This Row],[Birthweight Z-Score (BW+10%)]],TRUE)*100,"")</f>
        <v/>
      </c>
    </row>
    <row r="2097" spans="1:12" x14ac:dyDescent="0.35">
      <c r="A2097" s="3"/>
      <c r="B2097" s="2"/>
      <c r="C2097" s="2"/>
      <c r="D2097" s="2" t="b">
        <f>IF(AND(NOT(ISBLANK(Table1[[#This Row],[Fetal Sex (Male, Female or Unknown)]])),ISNUMBER(Table1[[#This Row],[Birthweight (grams)]]),ISNUMBER(Table1[[#This Row],[Gestation (days)]])),TRUE,FALSE)</f>
        <v>0</v>
      </c>
      <c r="E2097" s="2" t="str">
        <f>IF(Table1[[#This Row],[Is Data Valid]]=TRUE,IF(Table1[[#This Row],[Fetal Sex (Male, Female or Unknown)]]="Male",Backend!$C$6,IF(Table1[[#This Row],[Fetal Sex (Male, Female or Unknown)]]="Female",Backend!$C$7,IF(Table1[[#This Row],[Fetal Sex (Male, Female or Unknown)]]="Unknown",Backend!$C$8,"Error"))),"")</f>
        <v/>
      </c>
      <c r="F2097" s="8" t="str">
        <f>IF(Table1[[#This Row],[Is Data Valid]]=TRUE,EXP(0.578+0.332*((Table1[[#This Row],[Gestation (days)]]+0.5)/7)-0.00354*((Table1[[#This Row],[Gestation (days)]]+0.5)/7)^2)*Table1[[#This Row],[BW40_3705]],"")</f>
        <v/>
      </c>
      <c r="G2097" s="2" t="str">
        <f>IF(Table1[[#This Row],[Is Data Valid]]=TRUE,((Table1[[#This Row],[Birthweight (grams)]]/Table1[[#This Row],[BW_GA]])-1)/(Backend!$B$4/100*Table1[[#This Row],[BW40_3705]]),"")</f>
        <v/>
      </c>
      <c r="H2097" s="7" t="str">
        <f>IF(Table1[[#This Row],[Is Data Valid]]=TRUE,((Table1[[#This Row],[Birthweight (grams)]]*0.9/Table1[[#This Row],[BW_GA]])-1)/(Backend!$B$4/100*Table1[[#This Row],[BW40_3705]]),"")</f>
        <v/>
      </c>
      <c r="I2097" s="7" t="str">
        <f>IF(Table1[[#This Row],[Is Data Valid]]=TRUE,((Table1[[#This Row],[Birthweight (grams)]]*1.1/Table1[[#This Row],[BW_GA]])-1)/(Backend!$B$4/100*Table1[[#This Row],[BW40_3705]]),"")</f>
        <v/>
      </c>
      <c r="J2097" s="7" t="str">
        <f>IF(Table1[[#This Row],[Is Data Valid]]=TRUE,_xlfn.NORM.S.DIST(Table1[[#This Row],[Birthweight Z-Score]],TRUE)*100,"")</f>
        <v/>
      </c>
      <c r="K2097" s="7" t="str">
        <f>IF(Table1[[#This Row],[Is Data Valid]]=TRUE,_xlfn.NORM.S.DIST(Table1[[#This Row],[Birthweight Z-Score (BW-10%)]],TRUE)*100,"")</f>
        <v/>
      </c>
      <c r="L2097" s="7" t="str">
        <f>IF(Table1[[#This Row],[Is Data Valid]]=TRUE,_xlfn.NORM.S.DIST(Table1[[#This Row],[Birthweight Z-Score (BW+10%)]],TRUE)*100,"")</f>
        <v/>
      </c>
    </row>
    <row r="2098" spans="1:12" x14ac:dyDescent="0.35">
      <c r="A2098" s="3"/>
      <c r="B2098" s="2"/>
      <c r="C2098" s="2"/>
      <c r="D2098" s="2" t="b">
        <f>IF(AND(NOT(ISBLANK(Table1[[#This Row],[Fetal Sex (Male, Female or Unknown)]])),ISNUMBER(Table1[[#This Row],[Birthweight (grams)]]),ISNUMBER(Table1[[#This Row],[Gestation (days)]])),TRUE,FALSE)</f>
        <v>0</v>
      </c>
      <c r="E2098" s="2" t="str">
        <f>IF(Table1[[#This Row],[Is Data Valid]]=TRUE,IF(Table1[[#This Row],[Fetal Sex (Male, Female or Unknown)]]="Male",Backend!$C$6,IF(Table1[[#This Row],[Fetal Sex (Male, Female or Unknown)]]="Female",Backend!$C$7,IF(Table1[[#This Row],[Fetal Sex (Male, Female or Unknown)]]="Unknown",Backend!$C$8,"Error"))),"")</f>
        <v/>
      </c>
      <c r="F2098" s="8" t="str">
        <f>IF(Table1[[#This Row],[Is Data Valid]]=TRUE,EXP(0.578+0.332*((Table1[[#This Row],[Gestation (days)]]+0.5)/7)-0.00354*((Table1[[#This Row],[Gestation (days)]]+0.5)/7)^2)*Table1[[#This Row],[BW40_3705]],"")</f>
        <v/>
      </c>
      <c r="G2098" s="2" t="str">
        <f>IF(Table1[[#This Row],[Is Data Valid]]=TRUE,((Table1[[#This Row],[Birthweight (grams)]]/Table1[[#This Row],[BW_GA]])-1)/(Backend!$B$4/100*Table1[[#This Row],[BW40_3705]]),"")</f>
        <v/>
      </c>
      <c r="H2098" s="7" t="str">
        <f>IF(Table1[[#This Row],[Is Data Valid]]=TRUE,((Table1[[#This Row],[Birthweight (grams)]]*0.9/Table1[[#This Row],[BW_GA]])-1)/(Backend!$B$4/100*Table1[[#This Row],[BW40_3705]]),"")</f>
        <v/>
      </c>
      <c r="I2098" s="7" t="str">
        <f>IF(Table1[[#This Row],[Is Data Valid]]=TRUE,((Table1[[#This Row],[Birthweight (grams)]]*1.1/Table1[[#This Row],[BW_GA]])-1)/(Backend!$B$4/100*Table1[[#This Row],[BW40_3705]]),"")</f>
        <v/>
      </c>
      <c r="J2098" s="7" t="str">
        <f>IF(Table1[[#This Row],[Is Data Valid]]=TRUE,_xlfn.NORM.S.DIST(Table1[[#This Row],[Birthweight Z-Score]],TRUE)*100,"")</f>
        <v/>
      </c>
      <c r="K2098" s="7" t="str">
        <f>IF(Table1[[#This Row],[Is Data Valid]]=TRUE,_xlfn.NORM.S.DIST(Table1[[#This Row],[Birthweight Z-Score (BW-10%)]],TRUE)*100,"")</f>
        <v/>
      </c>
      <c r="L2098" s="7" t="str">
        <f>IF(Table1[[#This Row],[Is Data Valid]]=TRUE,_xlfn.NORM.S.DIST(Table1[[#This Row],[Birthweight Z-Score (BW+10%)]],TRUE)*100,"")</f>
        <v/>
      </c>
    </row>
    <row r="2099" spans="1:12" x14ac:dyDescent="0.35">
      <c r="A2099" s="3"/>
      <c r="B2099" s="2"/>
      <c r="C2099" s="2"/>
      <c r="D2099" s="2" t="b">
        <f>IF(AND(NOT(ISBLANK(Table1[[#This Row],[Fetal Sex (Male, Female or Unknown)]])),ISNUMBER(Table1[[#This Row],[Birthweight (grams)]]),ISNUMBER(Table1[[#This Row],[Gestation (days)]])),TRUE,FALSE)</f>
        <v>0</v>
      </c>
      <c r="E2099" s="2" t="str">
        <f>IF(Table1[[#This Row],[Is Data Valid]]=TRUE,IF(Table1[[#This Row],[Fetal Sex (Male, Female or Unknown)]]="Male",Backend!$C$6,IF(Table1[[#This Row],[Fetal Sex (Male, Female or Unknown)]]="Female",Backend!$C$7,IF(Table1[[#This Row],[Fetal Sex (Male, Female or Unknown)]]="Unknown",Backend!$C$8,"Error"))),"")</f>
        <v/>
      </c>
      <c r="F2099" s="8" t="str">
        <f>IF(Table1[[#This Row],[Is Data Valid]]=TRUE,EXP(0.578+0.332*((Table1[[#This Row],[Gestation (days)]]+0.5)/7)-0.00354*((Table1[[#This Row],[Gestation (days)]]+0.5)/7)^2)*Table1[[#This Row],[BW40_3705]],"")</f>
        <v/>
      </c>
      <c r="G2099" s="2" t="str">
        <f>IF(Table1[[#This Row],[Is Data Valid]]=TRUE,((Table1[[#This Row],[Birthweight (grams)]]/Table1[[#This Row],[BW_GA]])-1)/(Backend!$B$4/100*Table1[[#This Row],[BW40_3705]]),"")</f>
        <v/>
      </c>
      <c r="H2099" s="7" t="str">
        <f>IF(Table1[[#This Row],[Is Data Valid]]=TRUE,((Table1[[#This Row],[Birthweight (grams)]]*0.9/Table1[[#This Row],[BW_GA]])-1)/(Backend!$B$4/100*Table1[[#This Row],[BW40_3705]]),"")</f>
        <v/>
      </c>
      <c r="I2099" s="7" t="str">
        <f>IF(Table1[[#This Row],[Is Data Valid]]=TRUE,((Table1[[#This Row],[Birthweight (grams)]]*1.1/Table1[[#This Row],[BW_GA]])-1)/(Backend!$B$4/100*Table1[[#This Row],[BW40_3705]]),"")</f>
        <v/>
      </c>
      <c r="J2099" s="7" t="str">
        <f>IF(Table1[[#This Row],[Is Data Valid]]=TRUE,_xlfn.NORM.S.DIST(Table1[[#This Row],[Birthweight Z-Score]],TRUE)*100,"")</f>
        <v/>
      </c>
      <c r="K2099" s="7" t="str">
        <f>IF(Table1[[#This Row],[Is Data Valid]]=TRUE,_xlfn.NORM.S.DIST(Table1[[#This Row],[Birthweight Z-Score (BW-10%)]],TRUE)*100,"")</f>
        <v/>
      </c>
      <c r="L2099" s="7" t="str">
        <f>IF(Table1[[#This Row],[Is Data Valid]]=TRUE,_xlfn.NORM.S.DIST(Table1[[#This Row],[Birthweight Z-Score (BW+10%)]],TRUE)*100,"")</f>
        <v/>
      </c>
    </row>
    <row r="2100" spans="1:12" x14ac:dyDescent="0.35">
      <c r="A2100" s="3"/>
      <c r="B2100" s="2"/>
      <c r="C2100" s="2"/>
      <c r="D2100" s="2" t="b">
        <f>IF(AND(NOT(ISBLANK(Table1[[#This Row],[Fetal Sex (Male, Female or Unknown)]])),ISNUMBER(Table1[[#This Row],[Birthweight (grams)]]),ISNUMBER(Table1[[#This Row],[Gestation (days)]])),TRUE,FALSE)</f>
        <v>0</v>
      </c>
      <c r="E2100" s="2" t="str">
        <f>IF(Table1[[#This Row],[Is Data Valid]]=TRUE,IF(Table1[[#This Row],[Fetal Sex (Male, Female or Unknown)]]="Male",Backend!$C$6,IF(Table1[[#This Row],[Fetal Sex (Male, Female or Unknown)]]="Female",Backend!$C$7,IF(Table1[[#This Row],[Fetal Sex (Male, Female or Unknown)]]="Unknown",Backend!$C$8,"Error"))),"")</f>
        <v/>
      </c>
      <c r="F2100" s="8" t="str">
        <f>IF(Table1[[#This Row],[Is Data Valid]]=TRUE,EXP(0.578+0.332*((Table1[[#This Row],[Gestation (days)]]+0.5)/7)-0.00354*((Table1[[#This Row],[Gestation (days)]]+0.5)/7)^2)*Table1[[#This Row],[BW40_3705]],"")</f>
        <v/>
      </c>
      <c r="G2100" s="2" t="str">
        <f>IF(Table1[[#This Row],[Is Data Valid]]=TRUE,((Table1[[#This Row],[Birthweight (grams)]]/Table1[[#This Row],[BW_GA]])-1)/(Backend!$B$4/100*Table1[[#This Row],[BW40_3705]]),"")</f>
        <v/>
      </c>
      <c r="H2100" s="7" t="str">
        <f>IF(Table1[[#This Row],[Is Data Valid]]=TRUE,((Table1[[#This Row],[Birthweight (grams)]]*0.9/Table1[[#This Row],[BW_GA]])-1)/(Backend!$B$4/100*Table1[[#This Row],[BW40_3705]]),"")</f>
        <v/>
      </c>
      <c r="I2100" s="7" t="str">
        <f>IF(Table1[[#This Row],[Is Data Valid]]=TRUE,((Table1[[#This Row],[Birthweight (grams)]]*1.1/Table1[[#This Row],[BW_GA]])-1)/(Backend!$B$4/100*Table1[[#This Row],[BW40_3705]]),"")</f>
        <v/>
      </c>
      <c r="J2100" s="7" t="str">
        <f>IF(Table1[[#This Row],[Is Data Valid]]=TRUE,_xlfn.NORM.S.DIST(Table1[[#This Row],[Birthweight Z-Score]],TRUE)*100,"")</f>
        <v/>
      </c>
      <c r="K2100" s="7" t="str">
        <f>IF(Table1[[#This Row],[Is Data Valid]]=TRUE,_xlfn.NORM.S.DIST(Table1[[#This Row],[Birthweight Z-Score (BW-10%)]],TRUE)*100,"")</f>
        <v/>
      </c>
      <c r="L2100" s="7" t="str">
        <f>IF(Table1[[#This Row],[Is Data Valid]]=TRUE,_xlfn.NORM.S.DIST(Table1[[#This Row],[Birthweight Z-Score (BW+10%)]],TRUE)*100,"")</f>
        <v/>
      </c>
    </row>
    <row r="2101" spans="1:12" x14ac:dyDescent="0.35">
      <c r="A2101" s="3"/>
      <c r="B2101" s="2"/>
      <c r="C2101" s="2"/>
      <c r="D2101" s="2" t="b">
        <f>IF(AND(NOT(ISBLANK(Table1[[#This Row],[Fetal Sex (Male, Female or Unknown)]])),ISNUMBER(Table1[[#This Row],[Birthweight (grams)]]),ISNUMBER(Table1[[#This Row],[Gestation (days)]])),TRUE,FALSE)</f>
        <v>0</v>
      </c>
      <c r="E2101" s="2" t="str">
        <f>IF(Table1[[#This Row],[Is Data Valid]]=TRUE,IF(Table1[[#This Row],[Fetal Sex (Male, Female or Unknown)]]="Male",Backend!$C$6,IF(Table1[[#This Row],[Fetal Sex (Male, Female or Unknown)]]="Female",Backend!$C$7,IF(Table1[[#This Row],[Fetal Sex (Male, Female or Unknown)]]="Unknown",Backend!$C$8,"Error"))),"")</f>
        <v/>
      </c>
      <c r="F2101" s="8" t="str">
        <f>IF(Table1[[#This Row],[Is Data Valid]]=TRUE,EXP(0.578+0.332*((Table1[[#This Row],[Gestation (days)]]+0.5)/7)-0.00354*((Table1[[#This Row],[Gestation (days)]]+0.5)/7)^2)*Table1[[#This Row],[BW40_3705]],"")</f>
        <v/>
      </c>
      <c r="G2101" s="2" t="str">
        <f>IF(Table1[[#This Row],[Is Data Valid]]=TRUE,((Table1[[#This Row],[Birthweight (grams)]]/Table1[[#This Row],[BW_GA]])-1)/(Backend!$B$4/100*Table1[[#This Row],[BW40_3705]]),"")</f>
        <v/>
      </c>
      <c r="H2101" s="7" t="str">
        <f>IF(Table1[[#This Row],[Is Data Valid]]=TRUE,((Table1[[#This Row],[Birthweight (grams)]]*0.9/Table1[[#This Row],[BW_GA]])-1)/(Backend!$B$4/100*Table1[[#This Row],[BW40_3705]]),"")</f>
        <v/>
      </c>
      <c r="I2101" s="7" t="str">
        <f>IF(Table1[[#This Row],[Is Data Valid]]=TRUE,((Table1[[#This Row],[Birthweight (grams)]]*1.1/Table1[[#This Row],[BW_GA]])-1)/(Backend!$B$4/100*Table1[[#This Row],[BW40_3705]]),"")</f>
        <v/>
      </c>
      <c r="J2101" s="7" t="str">
        <f>IF(Table1[[#This Row],[Is Data Valid]]=TRUE,_xlfn.NORM.S.DIST(Table1[[#This Row],[Birthweight Z-Score]],TRUE)*100,"")</f>
        <v/>
      </c>
      <c r="K2101" s="7" t="str">
        <f>IF(Table1[[#This Row],[Is Data Valid]]=TRUE,_xlfn.NORM.S.DIST(Table1[[#This Row],[Birthweight Z-Score (BW-10%)]],TRUE)*100,"")</f>
        <v/>
      </c>
      <c r="L2101" s="7" t="str">
        <f>IF(Table1[[#This Row],[Is Data Valid]]=TRUE,_xlfn.NORM.S.DIST(Table1[[#This Row],[Birthweight Z-Score (BW+10%)]],TRUE)*100,"")</f>
        <v/>
      </c>
    </row>
    <row r="2102" spans="1:12" x14ac:dyDescent="0.35">
      <c r="A2102" s="3"/>
      <c r="B2102" s="2"/>
      <c r="C2102" s="2"/>
      <c r="D2102" s="2" t="b">
        <f>IF(AND(NOT(ISBLANK(Table1[[#This Row],[Fetal Sex (Male, Female or Unknown)]])),ISNUMBER(Table1[[#This Row],[Birthweight (grams)]]),ISNUMBER(Table1[[#This Row],[Gestation (days)]])),TRUE,FALSE)</f>
        <v>0</v>
      </c>
      <c r="E2102" s="2" t="str">
        <f>IF(Table1[[#This Row],[Is Data Valid]]=TRUE,IF(Table1[[#This Row],[Fetal Sex (Male, Female or Unknown)]]="Male",Backend!$C$6,IF(Table1[[#This Row],[Fetal Sex (Male, Female or Unknown)]]="Female",Backend!$C$7,IF(Table1[[#This Row],[Fetal Sex (Male, Female or Unknown)]]="Unknown",Backend!$C$8,"Error"))),"")</f>
        <v/>
      </c>
      <c r="F2102" s="8" t="str">
        <f>IF(Table1[[#This Row],[Is Data Valid]]=TRUE,EXP(0.578+0.332*((Table1[[#This Row],[Gestation (days)]]+0.5)/7)-0.00354*((Table1[[#This Row],[Gestation (days)]]+0.5)/7)^2)*Table1[[#This Row],[BW40_3705]],"")</f>
        <v/>
      </c>
      <c r="G2102" s="2" t="str">
        <f>IF(Table1[[#This Row],[Is Data Valid]]=TRUE,((Table1[[#This Row],[Birthweight (grams)]]/Table1[[#This Row],[BW_GA]])-1)/(Backend!$B$4/100*Table1[[#This Row],[BW40_3705]]),"")</f>
        <v/>
      </c>
      <c r="H2102" s="7" t="str">
        <f>IF(Table1[[#This Row],[Is Data Valid]]=TRUE,((Table1[[#This Row],[Birthweight (grams)]]*0.9/Table1[[#This Row],[BW_GA]])-1)/(Backend!$B$4/100*Table1[[#This Row],[BW40_3705]]),"")</f>
        <v/>
      </c>
      <c r="I2102" s="7" t="str">
        <f>IF(Table1[[#This Row],[Is Data Valid]]=TRUE,((Table1[[#This Row],[Birthweight (grams)]]*1.1/Table1[[#This Row],[BW_GA]])-1)/(Backend!$B$4/100*Table1[[#This Row],[BW40_3705]]),"")</f>
        <v/>
      </c>
      <c r="J2102" s="7" t="str">
        <f>IF(Table1[[#This Row],[Is Data Valid]]=TRUE,_xlfn.NORM.S.DIST(Table1[[#This Row],[Birthweight Z-Score]],TRUE)*100,"")</f>
        <v/>
      </c>
      <c r="K2102" s="7" t="str">
        <f>IF(Table1[[#This Row],[Is Data Valid]]=TRUE,_xlfn.NORM.S.DIST(Table1[[#This Row],[Birthweight Z-Score (BW-10%)]],TRUE)*100,"")</f>
        <v/>
      </c>
      <c r="L2102" s="7" t="str">
        <f>IF(Table1[[#This Row],[Is Data Valid]]=TRUE,_xlfn.NORM.S.DIST(Table1[[#This Row],[Birthweight Z-Score (BW+10%)]],TRUE)*100,"")</f>
        <v/>
      </c>
    </row>
    <row r="2103" spans="1:12" x14ac:dyDescent="0.35">
      <c r="A2103" s="3"/>
      <c r="B2103" s="2"/>
      <c r="C2103" s="2"/>
      <c r="D2103" s="2" t="b">
        <f>IF(AND(NOT(ISBLANK(Table1[[#This Row],[Fetal Sex (Male, Female or Unknown)]])),ISNUMBER(Table1[[#This Row],[Birthweight (grams)]]),ISNUMBER(Table1[[#This Row],[Gestation (days)]])),TRUE,FALSE)</f>
        <v>0</v>
      </c>
      <c r="E2103" s="2" t="str">
        <f>IF(Table1[[#This Row],[Is Data Valid]]=TRUE,IF(Table1[[#This Row],[Fetal Sex (Male, Female or Unknown)]]="Male",Backend!$C$6,IF(Table1[[#This Row],[Fetal Sex (Male, Female or Unknown)]]="Female",Backend!$C$7,IF(Table1[[#This Row],[Fetal Sex (Male, Female or Unknown)]]="Unknown",Backend!$C$8,"Error"))),"")</f>
        <v/>
      </c>
      <c r="F2103" s="8" t="str">
        <f>IF(Table1[[#This Row],[Is Data Valid]]=TRUE,EXP(0.578+0.332*((Table1[[#This Row],[Gestation (days)]]+0.5)/7)-0.00354*((Table1[[#This Row],[Gestation (days)]]+0.5)/7)^2)*Table1[[#This Row],[BW40_3705]],"")</f>
        <v/>
      </c>
      <c r="G2103" s="2" t="str">
        <f>IF(Table1[[#This Row],[Is Data Valid]]=TRUE,((Table1[[#This Row],[Birthweight (grams)]]/Table1[[#This Row],[BW_GA]])-1)/(Backend!$B$4/100*Table1[[#This Row],[BW40_3705]]),"")</f>
        <v/>
      </c>
      <c r="H2103" s="7" t="str">
        <f>IF(Table1[[#This Row],[Is Data Valid]]=TRUE,((Table1[[#This Row],[Birthweight (grams)]]*0.9/Table1[[#This Row],[BW_GA]])-1)/(Backend!$B$4/100*Table1[[#This Row],[BW40_3705]]),"")</f>
        <v/>
      </c>
      <c r="I2103" s="7" t="str">
        <f>IF(Table1[[#This Row],[Is Data Valid]]=TRUE,((Table1[[#This Row],[Birthweight (grams)]]*1.1/Table1[[#This Row],[BW_GA]])-1)/(Backend!$B$4/100*Table1[[#This Row],[BW40_3705]]),"")</f>
        <v/>
      </c>
      <c r="J2103" s="7" t="str">
        <f>IF(Table1[[#This Row],[Is Data Valid]]=TRUE,_xlfn.NORM.S.DIST(Table1[[#This Row],[Birthweight Z-Score]],TRUE)*100,"")</f>
        <v/>
      </c>
      <c r="K2103" s="7" t="str">
        <f>IF(Table1[[#This Row],[Is Data Valid]]=TRUE,_xlfn.NORM.S.DIST(Table1[[#This Row],[Birthweight Z-Score (BW-10%)]],TRUE)*100,"")</f>
        <v/>
      </c>
      <c r="L2103" s="7" t="str">
        <f>IF(Table1[[#This Row],[Is Data Valid]]=TRUE,_xlfn.NORM.S.DIST(Table1[[#This Row],[Birthweight Z-Score (BW+10%)]],TRUE)*100,"")</f>
        <v/>
      </c>
    </row>
    <row r="2104" spans="1:12" x14ac:dyDescent="0.35">
      <c r="A2104" s="3"/>
      <c r="B2104" s="2"/>
      <c r="C2104" s="2"/>
      <c r="D2104" s="2" t="b">
        <f>IF(AND(NOT(ISBLANK(Table1[[#This Row],[Fetal Sex (Male, Female or Unknown)]])),ISNUMBER(Table1[[#This Row],[Birthweight (grams)]]),ISNUMBER(Table1[[#This Row],[Gestation (days)]])),TRUE,FALSE)</f>
        <v>0</v>
      </c>
      <c r="E2104" s="2" t="str">
        <f>IF(Table1[[#This Row],[Is Data Valid]]=TRUE,IF(Table1[[#This Row],[Fetal Sex (Male, Female or Unknown)]]="Male",Backend!$C$6,IF(Table1[[#This Row],[Fetal Sex (Male, Female or Unknown)]]="Female",Backend!$C$7,IF(Table1[[#This Row],[Fetal Sex (Male, Female or Unknown)]]="Unknown",Backend!$C$8,"Error"))),"")</f>
        <v/>
      </c>
      <c r="F2104" s="8" t="str">
        <f>IF(Table1[[#This Row],[Is Data Valid]]=TRUE,EXP(0.578+0.332*((Table1[[#This Row],[Gestation (days)]]+0.5)/7)-0.00354*((Table1[[#This Row],[Gestation (days)]]+0.5)/7)^2)*Table1[[#This Row],[BW40_3705]],"")</f>
        <v/>
      </c>
      <c r="G2104" s="2" t="str">
        <f>IF(Table1[[#This Row],[Is Data Valid]]=TRUE,((Table1[[#This Row],[Birthweight (grams)]]/Table1[[#This Row],[BW_GA]])-1)/(Backend!$B$4/100*Table1[[#This Row],[BW40_3705]]),"")</f>
        <v/>
      </c>
      <c r="H2104" s="7" t="str">
        <f>IF(Table1[[#This Row],[Is Data Valid]]=TRUE,((Table1[[#This Row],[Birthweight (grams)]]*0.9/Table1[[#This Row],[BW_GA]])-1)/(Backend!$B$4/100*Table1[[#This Row],[BW40_3705]]),"")</f>
        <v/>
      </c>
      <c r="I2104" s="7" t="str">
        <f>IF(Table1[[#This Row],[Is Data Valid]]=TRUE,((Table1[[#This Row],[Birthweight (grams)]]*1.1/Table1[[#This Row],[BW_GA]])-1)/(Backend!$B$4/100*Table1[[#This Row],[BW40_3705]]),"")</f>
        <v/>
      </c>
      <c r="J2104" s="7" t="str">
        <f>IF(Table1[[#This Row],[Is Data Valid]]=TRUE,_xlfn.NORM.S.DIST(Table1[[#This Row],[Birthweight Z-Score]],TRUE)*100,"")</f>
        <v/>
      </c>
      <c r="K2104" s="7" t="str">
        <f>IF(Table1[[#This Row],[Is Data Valid]]=TRUE,_xlfn.NORM.S.DIST(Table1[[#This Row],[Birthweight Z-Score (BW-10%)]],TRUE)*100,"")</f>
        <v/>
      </c>
      <c r="L2104" s="7" t="str">
        <f>IF(Table1[[#This Row],[Is Data Valid]]=TRUE,_xlfn.NORM.S.DIST(Table1[[#This Row],[Birthweight Z-Score (BW+10%)]],TRUE)*100,"")</f>
        <v/>
      </c>
    </row>
    <row r="2105" spans="1:12" x14ac:dyDescent="0.35">
      <c r="A2105" s="3"/>
      <c r="B2105" s="2"/>
      <c r="C2105" s="2"/>
      <c r="D2105" s="2" t="b">
        <f>IF(AND(NOT(ISBLANK(Table1[[#This Row],[Fetal Sex (Male, Female or Unknown)]])),ISNUMBER(Table1[[#This Row],[Birthweight (grams)]]),ISNUMBER(Table1[[#This Row],[Gestation (days)]])),TRUE,FALSE)</f>
        <v>0</v>
      </c>
      <c r="E2105" s="2" t="str">
        <f>IF(Table1[[#This Row],[Is Data Valid]]=TRUE,IF(Table1[[#This Row],[Fetal Sex (Male, Female or Unknown)]]="Male",Backend!$C$6,IF(Table1[[#This Row],[Fetal Sex (Male, Female or Unknown)]]="Female",Backend!$C$7,IF(Table1[[#This Row],[Fetal Sex (Male, Female or Unknown)]]="Unknown",Backend!$C$8,"Error"))),"")</f>
        <v/>
      </c>
      <c r="F2105" s="8" t="str">
        <f>IF(Table1[[#This Row],[Is Data Valid]]=TRUE,EXP(0.578+0.332*((Table1[[#This Row],[Gestation (days)]]+0.5)/7)-0.00354*((Table1[[#This Row],[Gestation (days)]]+0.5)/7)^2)*Table1[[#This Row],[BW40_3705]],"")</f>
        <v/>
      </c>
      <c r="G2105" s="2" t="str">
        <f>IF(Table1[[#This Row],[Is Data Valid]]=TRUE,((Table1[[#This Row],[Birthweight (grams)]]/Table1[[#This Row],[BW_GA]])-1)/(Backend!$B$4/100*Table1[[#This Row],[BW40_3705]]),"")</f>
        <v/>
      </c>
      <c r="H2105" s="7" t="str">
        <f>IF(Table1[[#This Row],[Is Data Valid]]=TRUE,((Table1[[#This Row],[Birthweight (grams)]]*0.9/Table1[[#This Row],[BW_GA]])-1)/(Backend!$B$4/100*Table1[[#This Row],[BW40_3705]]),"")</f>
        <v/>
      </c>
      <c r="I2105" s="7" t="str">
        <f>IF(Table1[[#This Row],[Is Data Valid]]=TRUE,((Table1[[#This Row],[Birthweight (grams)]]*1.1/Table1[[#This Row],[BW_GA]])-1)/(Backend!$B$4/100*Table1[[#This Row],[BW40_3705]]),"")</f>
        <v/>
      </c>
      <c r="J2105" s="7" t="str">
        <f>IF(Table1[[#This Row],[Is Data Valid]]=TRUE,_xlfn.NORM.S.DIST(Table1[[#This Row],[Birthweight Z-Score]],TRUE)*100,"")</f>
        <v/>
      </c>
      <c r="K2105" s="7" t="str">
        <f>IF(Table1[[#This Row],[Is Data Valid]]=TRUE,_xlfn.NORM.S.DIST(Table1[[#This Row],[Birthweight Z-Score (BW-10%)]],TRUE)*100,"")</f>
        <v/>
      </c>
      <c r="L2105" s="7" t="str">
        <f>IF(Table1[[#This Row],[Is Data Valid]]=TRUE,_xlfn.NORM.S.DIST(Table1[[#This Row],[Birthweight Z-Score (BW+10%)]],TRUE)*100,"")</f>
        <v/>
      </c>
    </row>
    <row r="2106" spans="1:12" x14ac:dyDescent="0.35">
      <c r="A2106" s="3"/>
      <c r="B2106" s="2"/>
      <c r="C2106" s="2"/>
      <c r="D2106" s="2" t="b">
        <f>IF(AND(NOT(ISBLANK(Table1[[#This Row],[Fetal Sex (Male, Female or Unknown)]])),ISNUMBER(Table1[[#This Row],[Birthweight (grams)]]),ISNUMBER(Table1[[#This Row],[Gestation (days)]])),TRUE,FALSE)</f>
        <v>0</v>
      </c>
      <c r="E2106" s="2" t="str">
        <f>IF(Table1[[#This Row],[Is Data Valid]]=TRUE,IF(Table1[[#This Row],[Fetal Sex (Male, Female or Unknown)]]="Male",Backend!$C$6,IF(Table1[[#This Row],[Fetal Sex (Male, Female or Unknown)]]="Female",Backend!$C$7,IF(Table1[[#This Row],[Fetal Sex (Male, Female or Unknown)]]="Unknown",Backend!$C$8,"Error"))),"")</f>
        <v/>
      </c>
      <c r="F2106" s="8" t="str">
        <f>IF(Table1[[#This Row],[Is Data Valid]]=TRUE,EXP(0.578+0.332*((Table1[[#This Row],[Gestation (days)]]+0.5)/7)-0.00354*((Table1[[#This Row],[Gestation (days)]]+0.5)/7)^2)*Table1[[#This Row],[BW40_3705]],"")</f>
        <v/>
      </c>
      <c r="G2106" s="2" t="str">
        <f>IF(Table1[[#This Row],[Is Data Valid]]=TRUE,((Table1[[#This Row],[Birthweight (grams)]]/Table1[[#This Row],[BW_GA]])-1)/(Backend!$B$4/100*Table1[[#This Row],[BW40_3705]]),"")</f>
        <v/>
      </c>
      <c r="H2106" s="7" t="str">
        <f>IF(Table1[[#This Row],[Is Data Valid]]=TRUE,((Table1[[#This Row],[Birthweight (grams)]]*0.9/Table1[[#This Row],[BW_GA]])-1)/(Backend!$B$4/100*Table1[[#This Row],[BW40_3705]]),"")</f>
        <v/>
      </c>
      <c r="I2106" s="7" t="str">
        <f>IF(Table1[[#This Row],[Is Data Valid]]=TRUE,((Table1[[#This Row],[Birthweight (grams)]]*1.1/Table1[[#This Row],[BW_GA]])-1)/(Backend!$B$4/100*Table1[[#This Row],[BW40_3705]]),"")</f>
        <v/>
      </c>
      <c r="J2106" s="7" t="str">
        <f>IF(Table1[[#This Row],[Is Data Valid]]=TRUE,_xlfn.NORM.S.DIST(Table1[[#This Row],[Birthweight Z-Score]],TRUE)*100,"")</f>
        <v/>
      </c>
      <c r="K2106" s="7" t="str">
        <f>IF(Table1[[#This Row],[Is Data Valid]]=TRUE,_xlfn.NORM.S.DIST(Table1[[#This Row],[Birthweight Z-Score (BW-10%)]],TRUE)*100,"")</f>
        <v/>
      </c>
      <c r="L2106" s="7" t="str">
        <f>IF(Table1[[#This Row],[Is Data Valid]]=TRUE,_xlfn.NORM.S.DIST(Table1[[#This Row],[Birthweight Z-Score (BW+10%)]],TRUE)*100,"")</f>
        <v/>
      </c>
    </row>
    <row r="2107" spans="1:12" x14ac:dyDescent="0.35">
      <c r="A2107" s="3"/>
      <c r="B2107" s="2"/>
      <c r="C2107" s="2"/>
      <c r="D2107" s="2" t="b">
        <f>IF(AND(NOT(ISBLANK(Table1[[#This Row],[Fetal Sex (Male, Female or Unknown)]])),ISNUMBER(Table1[[#This Row],[Birthweight (grams)]]),ISNUMBER(Table1[[#This Row],[Gestation (days)]])),TRUE,FALSE)</f>
        <v>0</v>
      </c>
      <c r="E2107" s="2" t="str">
        <f>IF(Table1[[#This Row],[Is Data Valid]]=TRUE,IF(Table1[[#This Row],[Fetal Sex (Male, Female or Unknown)]]="Male",Backend!$C$6,IF(Table1[[#This Row],[Fetal Sex (Male, Female or Unknown)]]="Female",Backend!$C$7,IF(Table1[[#This Row],[Fetal Sex (Male, Female or Unknown)]]="Unknown",Backend!$C$8,"Error"))),"")</f>
        <v/>
      </c>
      <c r="F2107" s="8" t="str">
        <f>IF(Table1[[#This Row],[Is Data Valid]]=TRUE,EXP(0.578+0.332*((Table1[[#This Row],[Gestation (days)]]+0.5)/7)-0.00354*((Table1[[#This Row],[Gestation (days)]]+0.5)/7)^2)*Table1[[#This Row],[BW40_3705]],"")</f>
        <v/>
      </c>
      <c r="G2107" s="2" t="str">
        <f>IF(Table1[[#This Row],[Is Data Valid]]=TRUE,((Table1[[#This Row],[Birthweight (grams)]]/Table1[[#This Row],[BW_GA]])-1)/(Backend!$B$4/100*Table1[[#This Row],[BW40_3705]]),"")</f>
        <v/>
      </c>
      <c r="H2107" s="7" t="str">
        <f>IF(Table1[[#This Row],[Is Data Valid]]=TRUE,((Table1[[#This Row],[Birthweight (grams)]]*0.9/Table1[[#This Row],[BW_GA]])-1)/(Backend!$B$4/100*Table1[[#This Row],[BW40_3705]]),"")</f>
        <v/>
      </c>
      <c r="I2107" s="7" t="str">
        <f>IF(Table1[[#This Row],[Is Data Valid]]=TRUE,((Table1[[#This Row],[Birthweight (grams)]]*1.1/Table1[[#This Row],[BW_GA]])-1)/(Backend!$B$4/100*Table1[[#This Row],[BW40_3705]]),"")</f>
        <v/>
      </c>
      <c r="J2107" s="7" t="str">
        <f>IF(Table1[[#This Row],[Is Data Valid]]=TRUE,_xlfn.NORM.S.DIST(Table1[[#This Row],[Birthweight Z-Score]],TRUE)*100,"")</f>
        <v/>
      </c>
      <c r="K2107" s="7" t="str">
        <f>IF(Table1[[#This Row],[Is Data Valid]]=TRUE,_xlfn.NORM.S.DIST(Table1[[#This Row],[Birthweight Z-Score (BW-10%)]],TRUE)*100,"")</f>
        <v/>
      </c>
      <c r="L2107" s="7" t="str">
        <f>IF(Table1[[#This Row],[Is Data Valid]]=TRUE,_xlfn.NORM.S.DIST(Table1[[#This Row],[Birthweight Z-Score (BW+10%)]],TRUE)*100,"")</f>
        <v/>
      </c>
    </row>
    <row r="2108" spans="1:12" x14ac:dyDescent="0.35">
      <c r="A2108" s="3"/>
      <c r="B2108" s="2"/>
      <c r="C2108" s="2"/>
      <c r="D2108" s="2" t="b">
        <f>IF(AND(NOT(ISBLANK(Table1[[#This Row],[Fetal Sex (Male, Female or Unknown)]])),ISNUMBER(Table1[[#This Row],[Birthweight (grams)]]),ISNUMBER(Table1[[#This Row],[Gestation (days)]])),TRUE,FALSE)</f>
        <v>0</v>
      </c>
      <c r="E2108" s="2" t="str">
        <f>IF(Table1[[#This Row],[Is Data Valid]]=TRUE,IF(Table1[[#This Row],[Fetal Sex (Male, Female or Unknown)]]="Male",Backend!$C$6,IF(Table1[[#This Row],[Fetal Sex (Male, Female or Unknown)]]="Female",Backend!$C$7,IF(Table1[[#This Row],[Fetal Sex (Male, Female or Unknown)]]="Unknown",Backend!$C$8,"Error"))),"")</f>
        <v/>
      </c>
      <c r="F2108" s="8" t="str">
        <f>IF(Table1[[#This Row],[Is Data Valid]]=TRUE,EXP(0.578+0.332*((Table1[[#This Row],[Gestation (days)]]+0.5)/7)-0.00354*((Table1[[#This Row],[Gestation (days)]]+0.5)/7)^2)*Table1[[#This Row],[BW40_3705]],"")</f>
        <v/>
      </c>
      <c r="G2108" s="2" t="str">
        <f>IF(Table1[[#This Row],[Is Data Valid]]=TRUE,((Table1[[#This Row],[Birthweight (grams)]]/Table1[[#This Row],[BW_GA]])-1)/(Backend!$B$4/100*Table1[[#This Row],[BW40_3705]]),"")</f>
        <v/>
      </c>
      <c r="H2108" s="7" t="str">
        <f>IF(Table1[[#This Row],[Is Data Valid]]=TRUE,((Table1[[#This Row],[Birthweight (grams)]]*0.9/Table1[[#This Row],[BW_GA]])-1)/(Backend!$B$4/100*Table1[[#This Row],[BW40_3705]]),"")</f>
        <v/>
      </c>
      <c r="I2108" s="7" t="str">
        <f>IF(Table1[[#This Row],[Is Data Valid]]=TRUE,((Table1[[#This Row],[Birthweight (grams)]]*1.1/Table1[[#This Row],[BW_GA]])-1)/(Backend!$B$4/100*Table1[[#This Row],[BW40_3705]]),"")</f>
        <v/>
      </c>
      <c r="J2108" s="7" t="str">
        <f>IF(Table1[[#This Row],[Is Data Valid]]=TRUE,_xlfn.NORM.S.DIST(Table1[[#This Row],[Birthweight Z-Score]],TRUE)*100,"")</f>
        <v/>
      </c>
      <c r="K2108" s="7" t="str">
        <f>IF(Table1[[#This Row],[Is Data Valid]]=TRUE,_xlfn.NORM.S.DIST(Table1[[#This Row],[Birthweight Z-Score (BW-10%)]],TRUE)*100,"")</f>
        <v/>
      </c>
      <c r="L2108" s="7" t="str">
        <f>IF(Table1[[#This Row],[Is Data Valid]]=TRUE,_xlfn.NORM.S.DIST(Table1[[#This Row],[Birthweight Z-Score (BW+10%)]],TRUE)*100,"")</f>
        <v/>
      </c>
    </row>
    <row r="2109" spans="1:12" x14ac:dyDescent="0.35">
      <c r="A2109" s="3"/>
      <c r="B2109" s="2"/>
      <c r="C2109" s="2"/>
      <c r="D2109" s="2" t="b">
        <f>IF(AND(NOT(ISBLANK(Table1[[#This Row],[Fetal Sex (Male, Female or Unknown)]])),ISNUMBER(Table1[[#This Row],[Birthweight (grams)]]),ISNUMBER(Table1[[#This Row],[Gestation (days)]])),TRUE,FALSE)</f>
        <v>0</v>
      </c>
      <c r="E2109" s="2" t="str">
        <f>IF(Table1[[#This Row],[Is Data Valid]]=TRUE,IF(Table1[[#This Row],[Fetal Sex (Male, Female or Unknown)]]="Male",Backend!$C$6,IF(Table1[[#This Row],[Fetal Sex (Male, Female or Unknown)]]="Female",Backend!$C$7,IF(Table1[[#This Row],[Fetal Sex (Male, Female or Unknown)]]="Unknown",Backend!$C$8,"Error"))),"")</f>
        <v/>
      </c>
      <c r="F2109" s="8" t="str">
        <f>IF(Table1[[#This Row],[Is Data Valid]]=TRUE,EXP(0.578+0.332*((Table1[[#This Row],[Gestation (days)]]+0.5)/7)-0.00354*((Table1[[#This Row],[Gestation (days)]]+0.5)/7)^2)*Table1[[#This Row],[BW40_3705]],"")</f>
        <v/>
      </c>
      <c r="G2109" s="2" t="str">
        <f>IF(Table1[[#This Row],[Is Data Valid]]=TRUE,((Table1[[#This Row],[Birthweight (grams)]]/Table1[[#This Row],[BW_GA]])-1)/(Backend!$B$4/100*Table1[[#This Row],[BW40_3705]]),"")</f>
        <v/>
      </c>
      <c r="H2109" s="7" t="str">
        <f>IF(Table1[[#This Row],[Is Data Valid]]=TRUE,((Table1[[#This Row],[Birthweight (grams)]]*0.9/Table1[[#This Row],[BW_GA]])-1)/(Backend!$B$4/100*Table1[[#This Row],[BW40_3705]]),"")</f>
        <v/>
      </c>
      <c r="I2109" s="7" t="str">
        <f>IF(Table1[[#This Row],[Is Data Valid]]=TRUE,((Table1[[#This Row],[Birthweight (grams)]]*1.1/Table1[[#This Row],[BW_GA]])-1)/(Backend!$B$4/100*Table1[[#This Row],[BW40_3705]]),"")</f>
        <v/>
      </c>
      <c r="J2109" s="7" t="str">
        <f>IF(Table1[[#This Row],[Is Data Valid]]=TRUE,_xlfn.NORM.S.DIST(Table1[[#This Row],[Birthweight Z-Score]],TRUE)*100,"")</f>
        <v/>
      </c>
      <c r="K2109" s="7" t="str">
        <f>IF(Table1[[#This Row],[Is Data Valid]]=TRUE,_xlfn.NORM.S.DIST(Table1[[#This Row],[Birthweight Z-Score (BW-10%)]],TRUE)*100,"")</f>
        <v/>
      </c>
      <c r="L2109" s="7" t="str">
        <f>IF(Table1[[#This Row],[Is Data Valid]]=TRUE,_xlfn.NORM.S.DIST(Table1[[#This Row],[Birthweight Z-Score (BW+10%)]],TRUE)*100,"")</f>
        <v/>
      </c>
    </row>
    <row r="2110" spans="1:12" x14ac:dyDescent="0.35">
      <c r="A2110" s="3"/>
      <c r="B2110" s="2"/>
      <c r="C2110" s="2"/>
      <c r="D2110" s="2" t="b">
        <f>IF(AND(NOT(ISBLANK(Table1[[#This Row],[Fetal Sex (Male, Female or Unknown)]])),ISNUMBER(Table1[[#This Row],[Birthweight (grams)]]),ISNUMBER(Table1[[#This Row],[Gestation (days)]])),TRUE,FALSE)</f>
        <v>0</v>
      </c>
      <c r="E2110" s="2" t="str">
        <f>IF(Table1[[#This Row],[Is Data Valid]]=TRUE,IF(Table1[[#This Row],[Fetal Sex (Male, Female or Unknown)]]="Male",Backend!$C$6,IF(Table1[[#This Row],[Fetal Sex (Male, Female or Unknown)]]="Female",Backend!$C$7,IF(Table1[[#This Row],[Fetal Sex (Male, Female or Unknown)]]="Unknown",Backend!$C$8,"Error"))),"")</f>
        <v/>
      </c>
      <c r="F2110" s="8" t="str">
        <f>IF(Table1[[#This Row],[Is Data Valid]]=TRUE,EXP(0.578+0.332*((Table1[[#This Row],[Gestation (days)]]+0.5)/7)-0.00354*((Table1[[#This Row],[Gestation (days)]]+0.5)/7)^2)*Table1[[#This Row],[BW40_3705]],"")</f>
        <v/>
      </c>
      <c r="G2110" s="2" t="str">
        <f>IF(Table1[[#This Row],[Is Data Valid]]=TRUE,((Table1[[#This Row],[Birthweight (grams)]]/Table1[[#This Row],[BW_GA]])-1)/(Backend!$B$4/100*Table1[[#This Row],[BW40_3705]]),"")</f>
        <v/>
      </c>
      <c r="H2110" s="7" t="str">
        <f>IF(Table1[[#This Row],[Is Data Valid]]=TRUE,((Table1[[#This Row],[Birthweight (grams)]]*0.9/Table1[[#This Row],[BW_GA]])-1)/(Backend!$B$4/100*Table1[[#This Row],[BW40_3705]]),"")</f>
        <v/>
      </c>
      <c r="I2110" s="7" t="str">
        <f>IF(Table1[[#This Row],[Is Data Valid]]=TRUE,((Table1[[#This Row],[Birthweight (grams)]]*1.1/Table1[[#This Row],[BW_GA]])-1)/(Backend!$B$4/100*Table1[[#This Row],[BW40_3705]]),"")</f>
        <v/>
      </c>
      <c r="J2110" s="7" t="str">
        <f>IF(Table1[[#This Row],[Is Data Valid]]=TRUE,_xlfn.NORM.S.DIST(Table1[[#This Row],[Birthweight Z-Score]],TRUE)*100,"")</f>
        <v/>
      </c>
      <c r="K2110" s="7" t="str">
        <f>IF(Table1[[#This Row],[Is Data Valid]]=TRUE,_xlfn.NORM.S.DIST(Table1[[#This Row],[Birthweight Z-Score (BW-10%)]],TRUE)*100,"")</f>
        <v/>
      </c>
      <c r="L2110" s="7" t="str">
        <f>IF(Table1[[#This Row],[Is Data Valid]]=TRUE,_xlfn.NORM.S.DIST(Table1[[#This Row],[Birthweight Z-Score (BW+10%)]],TRUE)*100,"")</f>
        <v/>
      </c>
    </row>
    <row r="2111" spans="1:12" x14ac:dyDescent="0.35">
      <c r="A2111" s="3"/>
      <c r="B2111" s="2"/>
      <c r="C2111" s="2"/>
      <c r="D2111" s="2" t="b">
        <f>IF(AND(NOT(ISBLANK(Table1[[#This Row],[Fetal Sex (Male, Female or Unknown)]])),ISNUMBER(Table1[[#This Row],[Birthweight (grams)]]),ISNUMBER(Table1[[#This Row],[Gestation (days)]])),TRUE,FALSE)</f>
        <v>0</v>
      </c>
      <c r="E2111" s="2" t="str">
        <f>IF(Table1[[#This Row],[Is Data Valid]]=TRUE,IF(Table1[[#This Row],[Fetal Sex (Male, Female or Unknown)]]="Male",Backend!$C$6,IF(Table1[[#This Row],[Fetal Sex (Male, Female or Unknown)]]="Female",Backend!$C$7,IF(Table1[[#This Row],[Fetal Sex (Male, Female or Unknown)]]="Unknown",Backend!$C$8,"Error"))),"")</f>
        <v/>
      </c>
      <c r="F2111" s="8" t="str">
        <f>IF(Table1[[#This Row],[Is Data Valid]]=TRUE,EXP(0.578+0.332*((Table1[[#This Row],[Gestation (days)]]+0.5)/7)-0.00354*((Table1[[#This Row],[Gestation (days)]]+0.5)/7)^2)*Table1[[#This Row],[BW40_3705]],"")</f>
        <v/>
      </c>
      <c r="G2111" s="2" t="str">
        <f>IF(Table1[[#This Row],[Is Data Valid]]=TRUE,((Table1[[#This Row],[Birthweight (grams)]]/Table1[[#This Row],[BW_GA]])-1)/(Backend!$B$4/100*Table1[[#This Row],[BW40_3705]]),"")</f>
        <v/>
      </c>
      <c r="H2111" s="7" t="str">
        <f>IF(Table1[[#This Row],[Is Data Valid]]=TRUE,((Table1[[#This Row],[Birthweight (grams)]]*0.9/Table1[[#This Row],[BW_GA]])-1)/(Backend!$B$4/100*Table1[[#This Row],[BW40_3705]]),"")</f>
        <v/>
      </c>
      <c r="I2111" s="7" t="str">
        <f>IF(Table1[[#This Row],[Is Data Valid]]=TRUE,((Table1[[#This Row],[Birthweight (grams)]]*1.1/Table1[[#This Row],[BW_GA]])-1)/(Backend!$B$4/100*Table1[[#This Row],[BW40_3705]]),"")</f>
        <v/>
      </c>
      <c r="J2111" s="7" t="str">
        <f>IF(Table1[[#This Row],[Is Data Valid]]=TRUE,_xlfn.NORM.S.DIST(Table1[[#This Row],[Birthweight Z-Score]],TRUE)*100,"")</f>
        <v/>
      </c>
      <c r="K2111" s="7" t="str">
        <f>IF(Table1[[#This Row],[Is Data Valid]]=TRUE,_xlfn.NORM.S.DIST(Table1[[#This Row],[Birthweight Z-Score (BW-10%)]],TRUE)*100,"")</f>
        <v/>
      </c>
      <c r="L2111" s="7" t="str">
        <f>IF(Table1[[#This Row],[Is Data Valid]]=TRUE,_xlfn.NORM.S.DIST(Table1[[#This Row],[Birthweight Z-Score (BW+10%)]],TRUE)*100,"")</f>
        <v/>
      </c>
    </row>
    <row r="2112" spans="1:12" x14ac:dyDescent="0.35">
      <c r="A2112" s="3"/>
      <c r="B2112" s="2"/>
      <c r="C2112" s="2"/>
      <c r="D2112" s="2" t="b">
        <f>IF(AND(NOT(ISBLANK(Table1[[#This Row],[Fetal Sex (Male, Female or Unknown)]])),ISNUMBER(Table1[[#This Row],[Birthweight (grams)]]),ISNUMBER(Table1[[#This Row],[Gestation (days)]])),TRUE,FALSE)</f>
        <v>0</v>
      </c>
      <c r="E2112" s="2" t="str">
        <f>IF(Table1[[#This Row],[Is Data Valid]]=TRUE,IF(Table1[[#This Row],[Fetal Sex (Male, Female or Unknown)]]="Male",Backend!$C$6,IF(Table1[[#This Row],[Fetal Sex (Male, Female or Unknown)]]="Female",Backend!$C$7,IF(Table1[[#This Row],[Fetal Sex (Male, Female or Unknown)]]="Unknown",Backend!$C$8,"Error"))),"")</f>
        <v/>
      </c>
      <c r="F2112" s="8" t="str">
        <f>IF(Table1[[#This Row],[Is Data Valid]]=TRUE,EXP(0.578+0.332*((Table1[[#This Row],[Gestation (days)]]+0.5)/7)-0.00354*((Table1[[#This Row],[Gestation (days)]]+0.5)/7)^2)*Table1[[#This Row],[BW40_3705]],"")</f>
        <v/>
      </c>
      <c r="G2112" s="2" t="str">
        <f>IF(Table1[[#This Row],[Is Data Valid]]=TRUE,((Table1[[#This Row],[Birthweight (grams)]]/Table1[[#This Row],[BW_GA]])-1)/(Backend!$B$4/100*Table1[[#This Row],[BW40_3705]]),"")</f>
        <v/>
      </c>
      <c r="H2112" s="7" t="str">
        <f>IF(Table1[[#This Row],[Is Data Valid]]=TRUE,((Table1[[#This Row],[Birthweight (grams)]]*0.9/Table1[[#This Row],[BW_GA]])-1)/(Backend!$B$4/100*Table1[[#This Row],[BW40_3705]]),"")</f>
        <v/>
      </c>
      <c r="I2112" s="7" t="str">
        <f>IF(Table1[[#This Row],[Is Data Valid]]=TRUE,((Table1[[#This Row],[Birthweight (grams)]]*1.1/Table1[[#This Row],[BW_GA]])-1)/(Backend!$B$4/100*Table1[[#This Row],[BW40_3705]]),"")</f>
        <v/>
      </c>
      <c r="J2112" s="7" t="str">
        <f>IF(Table1[[#This Row],[Is Data Valid]]=TRUE,_xlfn.NORM.S.DIST(Table1[[#This Row],[Birthweight Z-Score]],TRUE)*100,"")</f>
        <v/>
      </c>
      <c r="K2112" s="7" t="str">
        <f>IF(Table1[[#This Row],[Is Data Valid]]=TRUE,_xlfn.NORM.S.DIST(Table1[[#This Row],[Birthweight Z-Score (BW-10%)]],TRUE)*100,"")</f>
        <v/>
      </c>
      <c r="L2112" s="7" t="str">
        <f>IF(Table1[[#This Row],[Is Data Valid]]=TRUE,_xlfn.NORM.S.DIST(Table1[[#This Row],[Birthweight Z-Score (BW+10%)]],TRUE)*100,"")</f>
        <v/>
      </c>
    </row>
    <row r="2113" spans="1:12" x14ac:dyDescent="0.35">
      <c r="A2113" s="3"/>
      <c r="B2113" s="2"/>
      <c r="C2113" s="2"/>
      <c r="D2113" s="2" t="b">
        <f>IF(AND(NOT(ISBLANK(Table1[[#This Row],[Fetal Sex (Male, Female or Unknown)]])),ISNUMBER(Table1[[#This Row],[Birthweight (grams)]]),ISNUMBER(Table1[[#This Row],[Gestation (days)]])),TRUE,FALSE)</f>
        <v>0</v>
      </c>
      <c r="E2113" s="2" t="str">
        <f>IF(Table1[[#This Row],[Is Data Valid]]=TRUE,IF(Table1[[#This Row],[Fetal Sex (Male, Female or Unknown)]]="Male",Backend!$C$6,IF(Table1[[#This Row],[Fetal Sex (Male, Female or Unknown)]]="Female",Backend!$C$7,IF(Table1[[#This Row],[Fetal Sex (Male, Female or Unknown)]]="Unknown",Backend!$C$8,"Error"))),"")</f>
        <v/>
      </c>
      <c r="F2113" s="8" t="str">
        <f>IF(Table1[[#This Row],[Is Data Valid]]=TRUE,EXP(0.578+0.332*((Table1[[#This Row],[Gestation (days)]]+0.5)/7)-0.00354*((Table1[[#This Row],[Gestation (days)]]+0.5)/7)^2)*Table1[[#This Row],[BW40_3705]],"")</f>
        <v/>
      </c>
      <c r="G2113" s="2" t="str">
        <f>IF(Table1[[#This Row],[Is Data Valid]]=TRUE,((Table1[[#This Row],[Birthweight (grams)]]/Table1[[#This Row],[BW_GA]])-1)/(Backend!$B$4/100*Table1[[#This Row],[BW40_3705]]),"")</f>
        <v/>
      </c>
      <c r="H2113" s="7" t="str">
        <f>IF(Table1[[#This Row],[Is Data Valid]]=TRUE,((Table1[[#This Row],[Birthweight (grams)]]*0.9/Table1[[#This Row],[BW_GA]])-1)/(Backend!$B$4/100*Table1[[#This Row],[BW40_3705]]),"")</f>
        <v/>
      </c>
      <c r="I2113" s="7" t="str">
        <f>IF(Table1[[#This Row],[Is Data Valid]]=TRUE,((Table1[[#This Row],[Birthweight (grams)]]*1.1/Table1[[#This Row],[BW_GA]])-1)/(Backend!$B$4/100*Table1[[#This Row],[BW40_3705]]),"")</f>
        <v/>
      </c>
      <c r="J2113" s="7" t="str">
        <f>IF(Table1[[#This Row],[Is Data Valid]]=TRUE,_xlfn.NORM.S.DIST(Table1[[#This Row],[Birthweight Z-Score]],TRUE)*100,"")</f>
        <v/>
      </c>
      <c r="K2113" s="7" t="str">
        <f>IF(Table1[[#This Row],[Is Data Valid]]=TRUE,_xlfn.NORM.S.DIST(Table1[[#This Row],[Birthweight Z-Score (BW-10%)]],TRUE)*100,"")</f>
        <v/>
      </c>
      <c r="L2113" s="7" t="str">
        <f>IF(Table1[[#This Row],[Is Data Valid]]=TRUE,_xlfn.NORM.S.DIST(Table1[[#This Row],[Birthweight Z-Score (BW+10%)]],TRUE)*100,"")</f>
        <v/>
      </c>
    </row>
    <row r="2114" spans="1:12" x14ac:dyDescent="0.35">
      <c r="A2114" s="3"/>
      <c r="B2114" s="2"/>
      <c r="C2114" s="2"/>
      <c r="D2114" s="2" t="b">
        <f>IF(AND(NOT(ISBLANK(Table1[[#This Row],[Fetal Sex (Male, Female or Unknown)]])),ISNUMBER(Table1[[#This Row],[Birthweight (grams)]]),ISNUMBER(Table1[[#This Row],[Gestation (days)]])),TRUE,FALSE)</f>
        <v>0</v>
      </c>
      <c r="E2114" s="2" t="str">
        <f>IF(Table1[[#This Row],[Is Data Valid]]=TRUE,IF(Table1[[#This Row],[Fetal Sex (Male, Female or Unknown)]]="Male",Backend!$C$6,IF(Table1[[#This Row],[Fetal Sex (Male, Female or Unknown)]]="Female",Backend!$C$7,IF(Table1[[#This Row],[Fetal Sex (Male, Female or Unknown)]]="Unknown",Backend!$C$8,"Error"))),"")</f>
        <v/>
      </c>
      <c r="F2114" s="8" t="str">
        <f>IF(Table1[[#This Row],[Is Data Valid]]=TRUE,EXP(0.578+0.332*((Table1[[#This Row],[Gestation (days)]]+0.5)/7)-0.00354*((Table1[[#This Row],[Gestation (days)]]+0.5)/7)^2)*Table1[[#This Row],[BW40_3705]],"")</f>
        <v/>
      </c>
      <c r="G2114" s="2" t="str">
        <f>IF(Table1[[#This Row],[Is Data Valid]]=TRUE,((Table1[[#This Row],[Birthweight (grams)]]/Table1[[#This Row],[BW_GA]])-1)/(Backend!$B$4/100*Table1[[#This Row],[BW40_3705]]),"")</f>
        <v/>
      </c>
      <c r="H2114" s="7" t="str">
        <f>IF(Table1[[#This Row],[Is Data Valid]]=TRUE,((Table1[[#This Row],[Birthweight (grams)]]*0.9/Table1[[#This Row],[BW_GA]])-1)/(Backend!$B$4/100*Table1[[#This Row],[BW40_3705]]),"")</f>
        <v/>
      </c>
      <c r="I2114" s="7" t="str">
        <f>IF(Table1[[#This Row],[Is Data Valid]]=TRUE,((Table1[[#This Row],[Birthweight (grams)]]*1.1/Table1[[#This Row],[BW_GA]])-1)/(Backend!$B$4/100*Table1[[#This Row],[BW40_3705]]),"")</f>
        <v/>
      </c>
      <c r="J2114" s="7" t="str">
        <f>IF(Table1[[#This Row],[Is Data Valid]]=TRUE,_xlfn.NORM.S.DIST(Table1[[#This Row],[Birthweight Z-Score]],TRUE)*100,"")</f>
        <v/>
      </c>
      <c r="K2114" s="7" t="str">
        <f>IF(Table1[[#This Row],[Is Data Valid]]=TRUE,_xlfn.NORM.S.DIST(Table1[[#This Row],[Birthweight Z-Score (BW-10%)]],TRUE)*100,"")</f>
        <v/>
      </c>
      <c r="L2114" s="7" t="str">
        <f>IF(Table1[[#This Row],[Is Data Valid]]=TRUE,_xlfn.NORM.S.DIST(Table1[[#This Row],[Birthweight Z-Score (BW+10%)]],TRUE)*100,"")</f>
        <v/>
      </c>
    </row>
    <row r="2115" spans="1:12" x14ac:dyDescent="0.35">
      <c r="A2115" s="3"/>
      <c r="B2115" s="2"/>
      <c r="C2115" s="2"/>
      <c r="D2115" s="2" t="b">
        <f>IF(AND(NOT(ISBLANK(Table1[[#This Row],[Fetal Sex (Male, Female or Unknown)]])),ISNUMBER(Table1[[#This Row],[Birthweight (grams)]]),ISNUMBER(Table1[[#This Row],[Gestation (days)]])),TRUE,FALSE)</f>
        <v>0</v>
      </c>
      <c r="E2115" s="2" t="str">
        <f>IF(Table1[[#This Row],[Is Data Valid]]=TRUE,IF(Table1[[#This Row],[Fetal Sex (Male, Female or Unknown)]]="Male",Backend!$C$6,IF(Table1[[#This Row],[Fetal Sex (Male, Female or Unknown)]]="Female",Backend!$C$7,IF(Table1[[#This Row],[Fetal Sex (Male, Female or Unknown)]]="Unknown",Backend!$C$8,"Error"))),"")</f>
        <v/>
      </c>
      <c r="F2115" s="8" t="str">
        <f>IF(Table1[[#This Row],[Is Data Valid]]=TRUE,EXP(0.578+0.332*((Table1[[#This Row],[Gestation (days)]]+0.5)/7)-0.00354*((Table1[[#This Row],[Gestation (days)]]+0.5)/7)^2)*Table1[[#This Row],[BW40_3705]],"")</f>
        <v/>
      </c>
      <c r="G2115" s="2" t="str">
        <f>IF(Table1[[#This Row],[Is Data Valid]]=TRUE,((Table1[[#This Row],[Birthweight (grams)]]/Table1[[#This Row],[BW_GA]])-1)/(Backend!$B$4/100*Table1[[#This Row],[BW40_3705]]),"")</f>
        <v/>
      </c>
      <c r="H2115" s="7" t="str">
        <f>IF(Table1[[#This Row],[Is Data Valid]]=TRUE,((Table1[[#This Row],[Birthweight (grams)]]*0.9/Table1[[#This Row],[BW_GA]])-1)/(Backend!$B$4/100*Table1[[#This Row],[BW40_3705]]),"")</f>
        <v/>
      </c>
      <c r="I2115" s="7" t="str">
        <f>IF(Table1[[#This Row],[Is Data Valid]]=TRUE,((Table1[[#This Row],[Birthweight (grams)]]*1.1/Table1[[#This Row],[BW_GA]])-1)/(Backend!$B$4/100*Table1[[#This Row],[BW40_3705]]),"")</f>
        <v/>
      </c>
      <c r="J2115" s="7" t="str">
        <f>IF(Table1[[#This Row],[Is Data Valid]]=TRUE,_xlfn.NORM.S.DIST(Table1[[#This Row],[Birthweight Z-Score]],TRUE)*100,"")</f>
        <v/>
      </c>
      <c r="K2115" s="7" t="str">
        <f>IF(Table1[[#This Row],[Is Data Valid]]=TRUE,_xlfn.NORM.S.DIST(Table1[[#This Row],[Birthweight Z-Score (BW-10%)]],TRUE)*100,"")</f>
        <v/>
      </c>
      <c r="L2115" s="7" t="str">
        <f>IF(Table1[[#This Row],[Is Data Valid]]=TRUE,_xlfn.NORM.S.DIST(Table1[[#This Row],[Birthweight Z-Score (BW+10%)]],TRUE)*100,"")</f>
        <v/>
      </c>
    </row>
    <row r="2116" spans="1:12" x14ac:dyDescent="0.35">
      <c r="A2116" s="3"/>
      <c r="B2116" s="2"/>
      <c r="C2116" s="2"/>
      <c r="D2116" s="2" t="b">
        <f>IF(AND(NOT(ISBLANK(Table1[[#This Row],[Fetal Sex (Male, Female or Unknown)]])),ISNUMBER(Table1[[#This Row],[Birthweight (grams)]]),ISNUMBER(Table1[[#This Row],[Gestation (days)]])),TRUE,FALSE)</f>
        <v>0</v>
      </c>
      <c r="E2116" s="2" t="str">
        <f>IF(Table1[[#This Row],[Is Data Valid]]=TRUE,IF(Table1[[#This Row],[Fetal Sex (Male, Female or Unknown)]]="Male",Backend!$C$6,IF(Table1[[#This Row],[Fetal Sex (Male, Female or Unknown)]]="Female",Backend!$C$7,IF(Table1[[#This Row],[Fetal Sex (Male, Female or Unknown)]]="Unknown",Backend!$C$8,"Error"))),"")</f>
        <v/>
      </c>
      <c r="F2116" s="8" t="str">
        <f>IF(Table1[[#This Row],[Is Data Valid]]=TRUE,EXP(0.578+0.332*((Table1[[#This Row],[Gestation (days)]]+0.5)/7)-0.00354*((Table1[[#This Row],[Gestation (days)]]+0.5)/7)^2)*Table1[[#This Row],[BW40_3705]],"")</f>
        <v/>
      </c>
      <c r="G2116" s="2" t="str">
        <f>IF(Table1[[#This Row],[Is Data Valid]]=TRUE,((Table1[[#This Row],[Birthweight (grams)]]/Table1[[#This Row],[BW_GA]])-1)/(Backend!$B$4/100*Table1[[#This Row],[BW40_3705]]),"")</f>
        <v/>
      </c>
      <c r="H2116" s="7" t="str">
        <f>IF(Table1[[#This Row],[Is Data Valid]]=TRUE,((Table1[[#This Row],[Birthweight (grams)]]*0.9/Table1[[#This Row],[BW_GA]])-1)/(Backend!$B$4/100*Table1[[#This Row],[BW40_3705]]),"")</f>
        <v/>
      </c>
      <c r="I2116" s="7" t="str">
        <f>IF(Table1[[#This Row],[Is Data Valid]]=TRUE,((Table1[[#This Row],[Birthweight (grams)]]*1.1/Table1[[#This Row],[BW_GA]])-1)/(Backend!$B$4/100*Table1[[#This Row],[BW40_3705]]),"")</f>
        <v/>
      </c>
      <c r="J2116" s="7" t="str">
        <f>IF(Table1[[#This Row],[Is Data Valid]]=TRUE,_xlfn.NORM.S.DIST(Table1[[#This Row],[Birthweight Z-Score]],TRUE)*100,"")</f>
        <v/>
      </c>
      <c r="K2116" s="7" t="str">
        <f>IF(Table1[[#This Row],[Is Data Valid]]=TRUE,_xlfn.NORM.S.DIST(Table1[[#This Row],[Birthweight Z-Score (BW-10%)]],TRUE)*100,"")</f>
        <v/>
      </c>
      <c r="L2116" s="7" t="str">
        <f>IF(Table1[[#This Row],[Is Data Valid]]=TRUE,_xlfn.NORM.S.DIST(Table1[[#This Row],[Birthweight Z-Score (BW+10%)]],TRUE)*100,"")</f>
        <v/>
      </c>
    </row>
    <row r="2117" spans="1:12" x14ac:dyDescent="0.35">
      <c r="A2117" s="3"/>
      <c r="B2117" s="2"/>
      <c r="C2117" s="2"/>
      <c r="D2117" s="2" t="b">
        <f>IF(AND(NOT(ISBLANK(Table1[[#This Row],[Fetal Sex (Male, Female or Unknown)]])),ISNUMBER(Table1[[#This Row],[Birthweight (grams)]]),ISNUMBER(Table1[[#This Row],[Gestation (days)]])),TRUE,FALSE)</f>
        <v>0</v>
      </c>
      <c r="E2117" s="2" t="str">
        <f>IF(Table1[[#This Row],[Is Data Valid]]=TRUE,IF(Table1[[#This Row],[Fetal Sex (Male, Female or Unknown)]]="Male",Backend!$C$6,IF(Table1[[#This Row],[Fetal Sex (Male, Female or Unknown)]]="Female",Backend!$C$7,IF(Table1[[#This Row],[Fetal Sex (Male, Female or Unknown)]]="Unknown",Backend!$C$8,"Error"))),"")</f>
        <v/>
      </c>
      <c r="F2117" s="8" t="str">
        <f>IF(Table1[[#This Row],[Is Data Valid]]=TRUE,EXP(0.578+0.332*((Table1[[#This Row],[Gestation (days)]]+0.5)/7)-0.00354*((Table1[[#This Row],[Gestation (days)]]+0.5)/7)^2)*Table1[[#This Row],[BW40_3705]],"")</f>
        <v/>
      </c>
      <c r="G2117" s="2" t="str">
        <f>IF(Table1[[#This Row],[Is Data Valid]]=TRUE,((Table1[[#This Row],[Birthweight (grams)]]/Table1[[#This Row],[BW_GA]])-1)/(Backend!$B$4/100*Table1[[#This Row],[BW40_3705]]),"")</f>
        <v/>
      </c>
      <c r="H2117" s="7" t="str">
        <f>IF(Table1[[#This Row],[Is Data Valid]]=TRUE,((Table1[[#This Row],[Birthweight (grams)]]*0.9/Table1[[#This Row],[BW_GA]])-1)/(Backend!$B$4/100*Table1[[#This Row],[BW40_3705]]),"")</f>
        <v/>
      </c>
      <c r="I2117" s="7" t="str">
        <f>IF(Table1[[#This Row],[Is Data Valid]]=TRUE,((Table1[[#This Row],[Birthweight (grams)]]*1.1/Table1[[#This Row],[BW_GA]])-1)/(Backend!$B$4/100*Table1[[#This Row],[BW40_3705]]),"")</f>
        <v/>
      </c>
      <c r="J2117" s="7" t="str">
        <f>IF(Table1[[#This Row],[Is Data Valid]]=TRUE,_xlfn.NORM.S.DIST(Table1[[#This Row],[Birthweight Z-Score]],TRUE)*100,"")</f>
        <v/>
      </c>
      <c r="K2117" s="7" t="str">
        <f>IF(Table1[[#This Row],[Is Data Valid]]=TRUE,_xlfn.NORM.S.DIST(Table1[[#This Row],[Birthweight Z-Score (BW-10%)]],TRUE)*100,"")</f>
        <v/>
      </c>
      <c r="L2117" s="7" t="str">
        <f>IF(Table1[[#This Row],[Is Data Valid]]=TRUE,_xlfn.NORM.S.DIST(Table1[[#This Row],[Birthweight Z-Score (BW+10%)]],TRUE)*100,"")</f>
        <v/>
      </c>
    </row>
    <row r="2118" spans="1:12" x14ac:dyDescent="0.35">
      <c r="A2118" s="3"/>
      <c r="B2118" s="2"/>
      <c r="C2118" s="2"/>
      <c r="D2118" s="2" t="b">
        <f>IF(AND(NOT(ISBLANK(Table1[[#This Row],[Fetal Sex (Male, Female or Unknown)]])),ISNUMBER(Table1[[#This Row],[Birthweight (grams)]]),ISNUMBER(Table1[[#This Row],[Gestation (days)]])),TRUE,FALSE)</f>
        <v>0</v>
      </c>
      <c r="E2118" s="2" t="str">
        <f>IF(Table1[[#This Row],[Is Data Valid]]=TRUE,IF(Table1[[#This Row],[Fetal Sex (Male, Female or Unknown)]]="Male",Backend!$C$6,IF(Table1[[#This Row],[Fetal Sex (Male, Female or Unknown)]]="Female",Backend!$C$7,IF(Table1[[#This Row],[Fetal Sex (Male, Female or Unknown)]]="Unknown",Backend!$C$8,"Error"))),"")</f>
        <v/>
      </c>
      <c r="F2118" s="8" t="str">
        <f>IF(Table1[[#This Row],[Is Data Valid]]=TRUE,EXP(0.578+0.332*((Table1[[#This Row],[Gestation (days)]]+0.5)/7)-0.00354*((Table1[[#This Row],[Gestation (days)]]+0.5)/7)^2)*Table1[[#This Row],[BW40_3705]],"")</f>
        <v/>
      </c>
      <c r="G2118" s="2" t="str">
        <f>IF(Table1[[#This Row],[Is Data Valid]]=TRUE,((Table1[[#This Row],[Birthweight (grams)]]/Table1[[#This Row],[BW_GA]])-1)/(Backend!$B$4/100*Table1[[#This Row],[BW40_3705]]),"")</f>
        <v/>
      </c>
      <c r="H2118" s="7" t="str">
        <f>IF(Table1[[#This Row],[Is Data Valid]]=TRUE,((Table1[[#This Row],[Birthweight (grams)]]*0.9/Table1[[#This Row],[BW_GA]])-1)/(Backend!$B$4/100*Table1[[#This Row],[BW40_3705]]),"")</f>
        <v/>
      </c>
      <c r="I2118" s="7" t="str">
        <f>IF(Table1[[#This Row],[Is Data Valid]]=TRUE,((Table1[[#This Row],[Birthweight (grams)]]*1.1/Table1[[#This Row],[BW_GA]])-1)/(Backend!$B$4/100*Table1[[#This Row],[BW40_3705]]),"")</f>
        <v/>
      </c>
      <c r="J2118" s="7" t="str">
        <f>IF(Table1[[#This Row],[Is Data Valid]]=TRUE,_xlfn.NORM.S.DIST(Table1[[#This Row],[Birthweight Z-Score]],TRUE)*100,"")</f>
        <v/>
      </c>
      <c r="K2118" s="7" t="str">
        <f>IF(Table1[[#This Row],[Is Data Valid]]=TRUE,_xlfn.NORM.S.DIST(Table1[[#This Row],[Birthweight Z-Score (BW-10%)]],TRUE)*100,"")</f>
        <v/>
      </c>
      <c r="L2118" s="7" t="str">
        <f>IF(Table1[[#This Row],[Is Data Valid]]=TRUE,_xlfn.NORM.S.DIST(Table1[[#This Row],[Birthweight Z-Score (BW+10%)]],TRUE)*100,"")</f>
        <v/>
      </c>
    </row>
    <row r="2119" spans="1:12" x14ac:dyDescent="0.35">
      <c r="A2119" s="3"/>
      <c r="B2119" s="2"/>
      <c r="C2119" s="2"/>
      <c r="D2119" s="2" t="b">
        <f>IF(AND(NOT(ISBLANK(Table1[[#This Row],[Fetal Sex (Male, Female or Unknown)]])),ISNUMBER(Table1[[#This Row],[Birthweight (grams)]]),ISNUMBER(Table1[[#This Row],[Gestation (days)]])),TRUE,FALSE)</f>
        <v>0</v>
      </c>
      <c r="E2119" s="2" t="str">
        <f>IF(Table1[[#This Row],[Is Data Valid]]=TRUE,IF(Table1[[#This Row],[Fetal Sex (Male, Female or Unknown)]]="Male",Backend!$C$6,IF(Table1[[#This Row],[Fetal Sex (Male, Female or Unknown)]]="Female",Backend!$C$7,IF(Table1[[#This Row],[Fetal Sex (Male, Female or Unknown)]]="Unknown",Backend!$C$8,"Error"))),"")</f>
        <v/>
      </c>
      <c r="F2119" s="8" t="str">
        <f>IF(Table1[[#This Row],[Is Data Valid]]=TRUE,EXP(0.578+0.332*((Table1[[#This Row],[Gestation (days)]]+0.5)/7)-0.00354*((Table1[[#This Row],[Gestation (days)]]+0.5)/7)^2)*Table1[[#This Row],[BW40_3705]],"")</f>
        <v/>
      </c>
      <c r="G2119" s="2" t="str">
        <f>IF(Table1[[#This Row],[Is Data Valid]]=TRUE,((Table1[[#This Row],[Birthweight (grams)]]/Table1[[#This Row],[BW_GA]])-1)/(Backend!$B$4/100*Table1[[#This Row],[BW40_3705]]),"")</f>
        <v/>
      </c>
      <c r="H2119" s="7" t="str">
        <f>IF(Table1[[#This Row],[Is Data Valid]]=TRUE,((Table1[[#This Row],[Birthweight (grams)]]*0.9/Table1[[#This Row],[BW_GA]])-1)/(Backend!$B$4/100*Table1[[#This Row],[BW40_3705]]),"")</f>
        <v/>
      </c>
      <c r="I2119" s="7" t="str">
        <f>IF(Table1[[#This Row],[Is Data Valid]]=TRUE,((Table1[[#This Row],[Birthweight (grams)]]*1.1/Table1[[#This Row],[BW_GA]])-1)/(Backend!$B$4/100*Table1[[#This Row],[BW40_3705]]),"")</f>
        <v/>
      </c>
      <c r="J2119" s="7" t="str">
        <f>IF(Table1[[#This Row],[Is Data Valid]]=TRUE,_xlfn.NORM.S.DIST(Table1[[#This Row],[Birthweight Z-Score]],TRUE)*100,"")</f>
        <v/>
      </c>
      <c r="K2119" s="7" t="str">
        <f>IF(Table1[[#This Row],[Is Data Valid]]=TRUE,_xlfn.NORM.S.DIST(Table1[[#This Row],[Birthweight Z-Score (BW-10%)]],TRUE)*100,"")</f>
        <v/>
      </c>
      <c r="L2119" s="7" t="str">
        <f>IF(Table1[[#This Row],[Is Data Valid]]=TRUE,_xlfn.NORM.S.DIST(Table1[[#This Row],[Birthweight Z-Score (BW+10%)]],TRUE)*100,"")</f>
        <v/>
      </c>
    </row>
    <row r="2120" spans="1:12" x14ac:dyDescent="0.35">
      <c r="A2120" s="3"/>
      <c r="B2120" s="2"/>
      <c r="C2120" s="2"/>
      <c r="D2120" s="2" t="b">
        <f>IF(AND(NOT(ISBLANK(Table1[[#This Row],[Fetal Sex (Male, Female or Unknown)]])),ISNUMBER(Table1[[#This Row],[Birthweight (grams)]]),ISNUMBER(Table1[[#This Row],[Gestation (days)]])),TRUE,FALSE)</f>
        <v>0</v>
      </c>
      <c r="E2120" s="2" t="str">
        <f>IF(Table1[[#This Row],[Is Data Valid]]=TRUE,IF(Table1[[#This Row],[Fetal Sex (Male, Female or Unknown)]]="Male",Backend!$C$6,IF(Table1[[#This Row],[Fetal Sex (Male, Female or Unknown)]]="Female",Backend!$C$7,IF(Table1[[#This Row],[Fetal Sex (Male, Female or Unknown)]]="Unknown",Backend!$C$8,"Error"))),"")</f>
        <v/>
      </c>
      <c r="F2120" s="8" t="str">
        <f>IF(Table1[[#This Row],[Is Data Valid]]=TRUE,EXP(0.578+0.332*((Table1[[#This Row],[Gestation (days)]]+0.5)/7)-0.00354*((Table1[[#This Row],[Gestation (days)]]+0.5)/7)^2)*Table1[[#This Row],[BW40_3705]],"")</f>
        <v/>
      </c>
      <c r="G2120" s="2" t="str">
        <f>IF(Table1[[#This Row],[Is Data Valid]]=TRUE,((Table1[[#This Row],[Birthweight (grams)]]/Table1[[#This Row],[BW_GA]])-1)/(Backend!$B$4/100*Table1[[#This Row],[BW40_3705]]),"")</f>
        <v/>
      </c>
      <c r="H2120" s="7" t="str">
        <f>IF(Table1[[#This Row],[Is Data Valid]]=TRUE,((Table1[[#This Row],[Birthweight (grams)]]*0.9/Table1[[#This Row],[BW_GA]])-1)/(Backend!$B$4/100*Table1[[#This Row],[BW40_3705]]),"")</f>
        <v/>
      </c>
      <c r="I2120" s="7" t="str">
        <f>IF(Table1[[#This Row],[Is Data Valid]]=TRUE,((Table1[[#This Row],[Birthweight (grams)]]*1.1/Table1[[#This Row],[BW_GA]])-1)/(Backend!$B$4/100*Table1[[#This Row],[BW40_3705]]),"")</f>
        <v/>
      </c>
      <c r="J2120" s="7" t="str">
        <f>IF(Table1[[#This Row],[Is Data Valid]]=TRUE,_xlfn.NORM.S.DIST(Table1[[#This Row],[Birthweight Z-Score]],TRUE)*100,"")</f>
        <v/>
      </c>
      <c r="K2120" s="7" t="str">
        <f>IF(Table1[[#This Row],[Is Data Valid]]=TRUE,_xlfn.NORM.S.DIST(Table1[[#This Row],[Birthweight Z-Score (BW-10%)]],TRUE)*100,"")</f>
        <v/>
      </c>
      <c r="L2120" s="7" t="str">
        <f>IF(Table1[[#This Row],[Is Data Valid]]=TRUE,_xlfn.NORM.S.DIST(Table1[[#This Row],[Birthweight Z-Score (BW+10%)]],TRUE)*100,"")</f>
        <v/>
      </c>
    </row>
    <row r="2121" spans="1:12" x14ac:dyDescent="0.35">
      <c r="A2121" s="3"/>
      <c r="B2121" s="2"/>
      <c r="C2121" s="2"/>
      <c r="D2121" s="2" t="b">
        <f>IF(AND(NOT(ISBLANK(Table1[[#This Row],[Fetal Sex (Male, Female or Unknown)]])),ISNUMBER(Table1[[#This Row],[Birthweight (grams)]]),ISNUMBER(Table1[[#This Row],[Gestation (days)]])),TRUE,FALSE)</f>
        <v>0</v>
      </c>
      <c r="E2121" s="2" t="str">
        <f>IF(Table1[[#This Row],[Is Data Valid]]=TRUE,IF(Table1[[#This Row],[Fetal Sex (Male, Female or Unknown)]]="Male",Backend!$C$6,IF(Table1[[#This Row],[Fetal Sex (Male, Female or Unknown)]]="Female",Backend!$C$7,IF(Table1[[#This Row],[Fetal Sex (Male, Female or Unknown)]]="Unknown",Backend!$C$8,"Error"))),"")</f>
        <v/>
      </c>
      <c r="F2121" s="8" t="str">
        <f>IF(Table1[[#This Row],[Is Data Valid]]=TRUE,EXP(0.578+0.332*((Table1[[#This Row],[Gestation (days)]]+0.5)/7)-0.00354*((Table1[[#This Row],[Gestation (days)]]+0.5)/7)^2)*Table1[[#This Row],[BW40_3705]],"")</f>
        <v/>
      </c>
      <c r="G2121" s="2" t="str">
        <f>IF(Table1[[#This Row],[Is Data Valid]]=TRUE,((Table1[[#This Row],[Birthweight (grams)]]/Table1[[#This Row],[BW_GA]])-1)/(Backend!$B$4/100*Table1[[#This Row],[BW40_3705]]),"")</f>
        <v/>
      </c>
      <c r="H2121" s="7" t="str">
        <f>IF(Table1[[#This Row],[Is Data Valid]]=TRUE,((Table1[[#This Row],[Birthweight (grams)]]*0.9/Table1[[#This Row],[BW_GA]])-1)/(Backend!$B$4/100*Table1[[#This Row],[BW40_3705]]),"")</f>
        <v/>
      </c>
      <c r="I2121" s="7" t="str">
        <f>IF(Table1[[#This Row],[Is Data Valid]]=TRUE,((Table1[[#This Row],[Birthweight (grams)]]*1.1/Table1[[#This Row],[BW_GA]])-1)/(Backend!$B$4/100*Table1[[#This Row],[BW40_3705]]),"")</f>
        <v/>
      </c>
      <c r="J2121" s="7" t="str">
        <f>IF(Table1[[#This Row],[Is Data Valid]]=TRUE,_xlfn.NORM.S.DIST(Table1[[#This Row],[Birthweight Z-Score]],TRUE)*100,"")</f>
        <v/>
      </c>
      <c r="K2121" s="7" t="str">
        <f>IF(Table1[[#This Row],[Is Data Valid]]=TRUE,_xlfn.NORM.S.DIST(Table1[[#This Row],[Birthweight Z-Score (BW-10%)]],TRUE)*100,"")</f>
        <v/>
      </c>
      <c r="L2121" s="7" t="str">
        <f>IF(Table1[[#This Row],[Is Data Valid]]=TRUE,_xlfn.NORM.S.DIST(Table1[[#This Row],[Birthweight Z-Score (BW+10%)]],TRUE)*100,"")</f>
        <v/>
      </c>
    </row>
    <row r="2122" spans="1:12" x14ac:dyDescent="0.35">
      <c r="A2122" s="3"/>
      <c r="B2122" s="2"/>
      <c r="C2122" s="2"/>
      <c r="D2122" s="2" t="b">
        <f>IF(AND(NOT(ISBLANK(Table1[[#This Row],[Fetal Sex (Male, Female or Unknown)]])),ISNUMBER(Table1[[#This Row],[Birthweight (grams)]]),ISNUMBER(Table1[[#This Row],[Gestation (days)]])),TRUE,FALSE)</f>
        <v>0</v>
      </c>
      <c r="E2122" s="2" t="str">
        <f>IF(Table1[[#This Row],[Is Data Valid]]=TRUE,IF(Table1[[#This Row],[Fetal Sex (Male, Female or Unknown)]]="Male",Backend!$C$6,IF(Table1[[#This Row],[Fetal Sex (Male, Female or Unknown)]]="Female",Backend!$C$7,IF(Table1[[#This Row],[Fetal Sex (Male, Female or Unknown)]]="Unknown",Backend!$C$8,"Error"))),"")</f>
        <v/>
      </c>
      <c r="F2122" s="8" t="str">
        <f>IF(Table1[[#This Row],[Is Data Valid]]=TRUE,EXP(0.578+0.332*((Table1[[#This Row],[Gestation (days)]]+0.5)/7)-0.00354*((Table1[[#This Row],[Gestation (days)]]+0.5)/7)^2)*Table1[[#This Row],[BW40_3705]],"")</f>
        <v/>
      </c>
      <c r="G2122" s="2" t="str">
        <f>IF(Table1[[#This Row],[Is Data Valid]]=TRUE,((Table1[[#This Row],[Birthweight (grams)]]/Table1[[#This Row],[BW_GA]])-1)/(Backend!$B$4/100*Table1[[#This Row],[BW40_3705]]),"")</f>
        <v/>
      </c>
      <c r="H2122" s="7" t="str">
        <f>IF(Table1[[#This Row],[Is Data Valid]]=TRUE,((Table1[[#This Row],[Birthweight (grams)]]*0.9/Table1[[#This Row],[BW_GA]])-1)/(Backend!$B$4/100*Table1[[#This Row],[BW40_3705]]),"")</f>
        <v/>
      </c>
      <c r="I2122" s="7" t="str">
        <f>IF(Table1[[#This Row],[Is Data Valid]]=TRUE,((Table1[[#This Row],[Birthweight (grams)]]*1.1/Table1[[#This Row],[BW_GA]])-1)/(Backend!$B$4/100*Table1[[#This Row],[BW40_3705]]),"")</f>
        <v/>
      </c>
      <c r="J2122" s="7" t="str">
        <f>IF(Table1[[#This Row],[Is Data Valid]]=TRUE,_xlfn.NORM.S.DIST(Table1[[#This Row],[Birthweight Z-Score]],TRUE)*100,"")</f>
        <v/>
      </c>
      <c r="K2122" s="7" t="str">
        <f>IF(Table1[[#This Row],[Is Data Valid]]=TRUE,_xlfn.NORM.S.DIST(Table1[[#This Row],[Birthweight Z-Score (BW-10%)]],TRUE)*100,"")</f>
        <v/>
      </c>
      <c r="L2122" s="7" t="str">
        <f>IF(Table1[[#This Row],[Is Data Valid]]=TRUE,_xlfn.NORM.S.DIST(Table1[[#This Row],[Birthweight Z-Score (BW+10%)]],TRUE)*100,"")</f>
        <v/>
      </c>
    </row>
    <row r="2123" spans="1:12" x14ac:dyDescent="0.35">
      <c r="A2123" s="3"/>
      <c r="B2123" s="2"/>
      <c r="C2123" s="2"/>
      <c r="D2123" s="2" t="b">
        <f>IF(AND(NOT(ISBLANK(Table1[[#This Row],[Fetal Sex (Male, Female or Unknown)]])),ISNUMBER(Table1[[#This Row],[Birthweight (grams)]]),ISNUMBER(Table1[[#This Row],[Gestation (days)]])),TRUE,FALSE)</f>
        <v>0</v>
      </c>
      <c r="E2123" s="2" t="str">
        <f>IF(Table1[[#This Row],[Is Data Valid]]=TRUE,IF(Table1[[#This Row],[Fetal Sex (Male, Female or Unknown)]]="Male",Backend!$C$6,IF(Table1[[#This Row],[Fetal Sex (Male, Female or Unknown)]]="Female",Backend!$C$7,IF(Table1[[#This Row],[Fetal Sex (Male, Female or Unknown)]]="Unknown",Backend!$C$8,"Error"))),"")</f>
        <v/>
      </c>
      <c r="F2123" s="8" t="str">
        <f>IF(Table1[[#This Row],[Is Data Valid]]=TRUE,EXP(0.578+0.332*((Table1[[#This Row],[Gestation (days)]]+0.5)/7)-0.00354*((Table1[[#This Row],[Gestation (days)]]+0.5)/7)^2)*Table1[[#This Row],[BW40_3705]],"")</f>
        <v/>
      </c>
      <c r="G2123" s="2" t="str">
        <f>IF(Table1[[#This Row],[Is Data Valid]]=TRUE,((Table1[[#This Row],[Birthweight (grams)]]/Table1[[#This Row],[BW_GA]])-1)/(Backend!$B$4/100*Table1[[#This Row],[BW40_3705]]),"")</f>
        <v/>
      </c>
      <c r="H2123" s="7" t="str">
        <f>IF(Table1[[#This Row],[Is Data Valid]]=TRUE,((Table1[[#This Row],[Birthweight (grams)]]*0.9/Table1[[#This Row],[BW_GA]])-1)/(Backend!$B$4/100*Table1[[#This Row],[BW40_3705]]),"")</f>
        <v/>
      </c>
      <c r="I2123" s="7" t="str">
        <f>IF(Table1[[#This Row],[Is Data Valid]]=TRUE,((Table1[[#This Row],[Birthweight (grams)]]*1.1/Table1[[#This Row],[BW_GA]])-1)/(Backend!$B$4/100*Table1[[#This Row],[BW40_3705]]),"")</f>
        <v/>
      </c>
      <c r="J2123" s="7" t="str">
        <f>IF(Table1[[#This Row],[Is Data Valid]]=TRUE,_xlfn.NORM.S.DIST(Table1[[#This Row],[Birthweight Z-Score]],TRUE)*100,"")</f>
        <v/>
      </c>
      <c r="K2123" s="7" t="str">
        <f>IF(Table1[[#This Row],[Is Data Valid]]=TRUE,_xlfn.NORM.S.DIST(Table1[[#This Row],[Birthweight Z-Score (BW-10%)]],TRUE)*100,"")</f>
        <v/>
      </c>
      <c r="L2123" s="7" t="str">
        <f>IF(Table1[[#This Row],[Is Data Valid]]=TRUE,_xlfn.NORM.S.DIST(Table1[[#This Row],[Birthweight Z-Score (BW+10%)]],TRUE)*100,"")</f>
        <v/>
      </c>
    </row>
    <row r="2124" spans="1:12" x14ac:dyDescent="0.35">
      <c r="A2124" s="3"/>
      <c r="B2124" s="2"/>
      <c r="C2124" s="2"/>
      <c r="D2124" s="2" t="b">
        <f>IF(AND(NOT(ISBLANK(Table1[[#This Row],[Fetal Sex (Male, Female or Unknown)]])),ISNUMBER(Table1[[#This Row],[Birthweight (grams)]]),ISNUMBER(Table1[[#This Row],[Gestation (days)]])),TRUE,FALSE)</f>
        <v>0</v>
      </c>
      <c r="E2124" s="2" t="str">
        <f>IF(Table1[[#This Row],[Is Data Valid]]=TRUE,IF(Table1[[#This Row],[Fetal Sex (Male, Female or Unknown)]]="Male",Backend!$C$6,IF(Table1[[#This Row],[Fetal Sex (Male, Female or Unknown)]]="Female",Backend!$C$7,IF(Table1[[#This Row],[Fetal Sex (Male, Female or Unknown)]]="Unknown",Backend!$C$8,"Error"))),"")</f>
        <v/>
      </c>
      <c r="F2124" s="8" t="str">
        <f>IF(Table1[[#This Row],[Is Data Valid]]=TRUE,EXP(0.578+0.332*((Table1[[#This Row],[Gestation (days)]]+0.5)/7)-0.00354*((Table1[[#This Row],[Gestation (days)]]+0.5)/7)^2)*Table1[[#This Row],[BW40_3705]],"")</f>
        <v/>
      </c>
      <c r="G2124" s="2" t="str">
        <f>IF(Table1[[#This Row],[Is Data Valid]]=TRUE,((Table1[[#This Row],[Birthweight (grams)]]/Table1[[#This Row],[BW_GA]])-1)/(Backend!$B$4/100*Table1[[#This Row],[BW40_3705]]),"")</f>
        <v/>
      </c>
      <c r="H2124" s="7" t="str">
        <f>IF(Table1[[#This Row],[Is Data Valid]]=TRUE,((Table1[[#This Row],[Birthweight (grams)]]*0.9/Table1[[#This Row],[BW_GA]])-1)/(Backend!$B$4/100*Table1[[#This Row],[BW40_3705]]),"")</f>
        <v/>
      </c>
      <c r="I2124" s="7" t="str">
        <f>IF(Table1[[#This Row],[Is Data Valid]]=TRUE,((Table1[[#This Row],[Birthweight (grams)]]*1.1/Table1[[#This Row],[BW_GA]])-1)/(Backend!$B$4/100*Table1[[#This Row],[BW40_3705]]),"")</f>
        <v/>
      </c>
      <c r="J2124" s="7" t="str">
        <f>IF(Table1[[#This Row],[Is Data Valid]]=TRUE,_xlfn.NORM.S.DIST(Table1[[#This Row],[Birthweight Z-Score]],TRUE)*100,"")</f>
        <v/>
      </c>
      <c r="K2124" s="7" t="str">
        <f>IF(Table1[[#This Row],[Is Data Valid]]=TRUE,_xlfn.NORM.S.DIST(Table1[[#This Row],[Birthweight Z-Score (BW-10%)]],TRUE)*100,"")</f>
        <v/>
      </c>
      <c r="L2124" s="7" t="str">
        <f>IF(Table1[[#This Row],[Is Data Valid]]=TRUE,_xlfn.NORM.S.DIST(Table1[[#This Row],[Birthweight Z-Score (BW+10%)]],TRUE)*100,"")</f>
        <v/>
      </c>
    </row>
    <row r="2125" spans="1:12" x14ac:dyDescent="0.35">
      <c r="A2125" s="3"/>
      <c r="B2125" s="2"/>
      <c r="C2125" s="2"/>
      <c r="D2125" s="2" t="b">
        <f>IF(AND(NOT(ISBLANK(Table1[[#This Row],[Fetal Sex (Male, Female or Unknown)]])),ISNUMBER(Table1[[#This Row],[Birthweight (grams)]]),ISNUMBER(Table1[[#This Row],[Gestation (days)]])),TRUE,FALSE)</f>
        <v>0</v>
      </c>
      <c r="E2125" s="2" t="str">
        <f>IF(Table1[[#This Row],[Is Data Valid]]=TRUE,IF(Table1[[#This Row],[Fetal Sex (Male, Female or Unknown)]]="Male",Backend!$C$6,IF(Table1[[#This Row],[Fetal Sex (Male, Female or Unknown)]]="Female",Backend!$C$7,IF(Table1[[#This Row],[Fetal Sex (Male, Female or Unknown)]]="Unknown",Backend!$C$8,"Error"))),"")</f>
        <v/>
      </c>
      <c r="F2125" s="8" t="str">
        <f>IF(Table1[[#This Row],[Is Data Valid]]=TRUE,EXP(0.578+0.332*((Table1[[#This Row],[Gestation (days)]]+0.5)/7)-0.00354*((Table1[[#This Row],[Gestation (days)]]+0.5)/7)^2)*Table1[[#This Row],[BW40_3705]],"")</f>
        <v/>
      </c>
      <c r="G2125" s="2" t="str">
        <f>IF(Table1[[#This Row],[Is Data Valid]]=TRUE,((Table1[[#This Row],[Birthweight (grams)]]/Table1[[#This Row],[BW_GA]])-1)/(Backend!$B$4/100*Table1[[#This Row],[BW40_3705]]),"")</f>
        <v/>
      </c>
      <c r="H2125" s="7" t="str">
        <f>IF(Table1[[#This Row],[Is Data Valid]]=TRUE,((Table1[[#This Row],[Birthweight (grams)]]*0.9/Table1[[#This Row],[BW_GA]])-1)/(Backend!$B$4/100*Table1[[#This Row],[BW40_3705]]),"")</f>
        <v/>
      </c>
      <c r="I2125" s="7" t="str">
        <f>IF(Table1[[#This Row],[Is Data Valid]]=TRUE,((Table1[[#This Row],[Birthweight (grams)]]*1.1/Table1[[#This Row],[BW_GA]])-1)/(Backend!$B$4/100*Table1[[#This Row],[BW40_3705]]),"")</f>
        <v/>
      </c>
      <c r="J2125" s="7" t="str">
        <f>IF(Table1[[#This Row],[Is Data Valid]]=TRUE,_xlfn.NORM.S.DIST(Table1[[#This Row],[Birthweight Z-Score]],TRUE)*100,"")</f>
        <v/>
      </c>
      <c r="K2125" s="7" t="str">
        <f>IF(Table1[[#This Row],[Is Data Valid]]=TRUE,_xlfn.NORM.S.DIST(Table1[[#This Row],[Birthweight Z-Score (BW-10%)]],TRUE)*100,"")</f>
        <v/>
      </c>
      <c r="L2125" s="7" t="str">
        <f>IF(Table1[[#This Row],[Is Data Valid]]=TRUE,_xlfn.NORM.S.DIST(Table1[[#This Row],[Birthweight Z-Score (BW+10%)]],TRUE)*100,"")</f>
        <v/>
      </c>
    </row>
    <row r="2126" spans="1:12" x14ac:dyDescent="0.35">
      <c r="A2126" s="3"/>
      <c r="B2126" s="2"/>
      <c r="C2126" s="2"/>
      <c r="D2126" s="2" t="b">
        <f>IF(AND(NOT(ISBLANK(Table1[[#This Row],[Fetal Sex (Male, Female or Unknown)]])),ISNUMBER(Table1[[#This Row],[Birthweight (grams)]]),ISNUMBER(Table1[[#This Row],[Gestation (days)]])),TRUE,FALSE)</f>
        <v>0</v>
      </c>
      <c r="E2126" s="2" t="str">
        <f>IF(Table1[[#This Row],[Is Data Valid]]=TRUE,IF(Table1[[#This Row],[Fetal Sex (Male, Female or Unknown)]]="Male",Backend!$C$6,IF(Table1[[#This Row],[Fetal Sex (Male, Female or Unknown)]]="Female",Backend!$C$7,IF(Table1[[#This Row],[Fetal Sex (Male, Female or Unknown)]]="Unknown",Backend!$C$8,"Error"))),"")</f>
        <v/>
      </c>
      <c r="F2126" s="8" t="str">
        <f>IF(Table1[[#This Row],[Is Data Valid]]=TRUE,EXP(0.578+0.332*((Table1[[#This Row],[Gestation (days)]]+0.5)/7)-0.00354*((Table1[[#This Row],[Gestation (days)]]+0.5)/7)^2)*Table1[[#This Row],[BW40_3705]],"")</f>
        <v/>
      </c>
      <c r="G2126" s="2" t="str">
        <f>IF(Table1[[#This Row],[Is Data Valid]]=TRUE,((Table1[[#This Row],[Birthweight (grams)]]/Table1[[#This Row],[BW_GA]])-1)/(Backend!$B$4/100*Table1[[#This Row],[BW40_3705]]),"")</f>
        <v/>
      </c>
      <c r="H2126" s="7" t="str">
        <f>IF(Table1[[#This Row],[Is Data Valid]]=TRUE,((Table1[[#This Row],[Birthweight (grams)]]*0.9/Table1[[#This Row],[BW_GA]])-1)/(Backend!$B$4/100*Table1[[#This Row],[BW40_3705]]),"")</f>
        <v/>
      </c>
      <c r="I2126" s="7" t="str">
        <f>IF(Table1[[#This Row],[Is Data Valid]]=TRUE,((Table1[[#This Row],[Birthweight (grams)]]*1.1/Table1[[#This Row],[BW_GA]])-1)/(Backend!$B$4/100*Table1[[#This Row],[BW40_3705]]),"")</f>
        <v/>
      </c>
      <c r="J2126" s="7" t="str">
        <f>IF(Table1[[#This Row],[Is Data Valid]]=TRUE,_xlfn.NORM.S.DIST(Table1[[#This Row],[Birthweight Z-Score]],TRUE)*100,"")</f>
        <v/>
      </c>
      <c r="K2126" s="7" t="str">
        <f>IF(Table1[[#This Row],[Is Data Valid]]=TRUE,_xlfn.NORM.S.DIST(Table1[[#This Row],[Birthweight Z-Score (BW-10%)]],TRUE)*100,"")</f>
        <v/>
      </c>
      <c r="L2126" s="7" t="str">
        <f>IF(Table1[[#This Row],[Is Data Valid]]=TRUE,_xlfn.NORM.S.DIST(Table1[[#This Row],[Birthweight Z-Score (BW+10%)]],TRUE)*100,"")</f>
        <v/>
      </c>
    </row>
    <row r="2127" spans="1:12" x14ac:dyDescent="0.35">
      <c r="A2127" s="3"/>
      <c r="B2127" s="2"/>
      <c r="C2127" s="2"/>
      <c r="D2127" s="2" t="b">
        <f>IF(AND(NOT(ISBLANK(Table1[[#This Row],[Fetal Sex (Male, Female or Unknown)]])),ISNUMBER(Table1[[#This Row],[Birthweight (grams)]]),ISNUMBER(Table1[[#This Row],[Gestation (days)]])),TRUE,FALSE)</f>
        <v>0</v>
      </c>
      <c r="E2127" s="2" t="str">
        <f>IF(Table1[[#This Row],[Is Data Valid]]=TRUE,IF(Table1[[#This Row],[Fetal Sex (Male, Female or Unknown)]]="Male",Backend!$C$6,IF(Table1[[#This Row],[Fetal Sex (Male, Female or Unknown)]]="Female",Backend!$C$7,IF(Table1[[#This Row],[Fetal Sex (Male, Female or Unknown)]]="Unknown",Backend!$C$8,"Error"))),"")</f>
        <v/>
      </c>
      <c r="F2127" s="8" t="str">
        <f>IF(Table1[[#This Row],[Is Data Valid]]=TRUE,EXP(0.578+0.332*((Table1[[#This Row],[Gestation (days)]]+0.5)/7)-0.00354*((Table1[[#This Row],[Gestation (days)]]+0.5)/7)^2)*Table1[[#This Row],[BW40_3705]],"")</f>
        <v/>
      </c>
      <c r="G2127" s="2" t="str">
        <f>IF(Table1[[#This Row],[Is Data Valid]]=TRUE,((Table1[[#This Row],[Birthweight (grams)]]/Table1[[#This Row],[BW_GA]])-1)/(Backend!$B$4/100*Table1[[#This Row],[BW40_3705]]),"")</f>
        <v/>
      </c>
      <c r="H2127" s="7" t="str">
        <f>IF(Table1[[#This Row],[Is Data Valid]]=TRUE,((Table1[[#This Row],[Birthweight (grams)]]*0.9/Table1[[#This Row],[BW_GA]])-1)/(Backend!$B$4/100*Table1[[#This Row],[BW40_3705]]),"")</f>
        <v/>
      </c>
      <c r="I2127" s="7" t="str">
        <f>IF(Table1[[#This Row],[Is Data Valid]]=TRUE,((Table1[[#This Row],[Birthweight (grams)]]*1.1/Table1[[#This Row],[BW_GA]])-1)/(Backend!$B$4/100*Table1[[#This Row],[BW40_3705]]),"")</f>
        <v/>
      </c>
      <c r="J2127" s="7" t="str">
        <f>IF(Table1[[#This Row],[Is Data Valid]]=TRUE,_xlfn.NORM.S.DIST(Table1[[#This Row],[Birthweight Z-Score]],TRUE)*100,"")</f>
        <v/>
      </c>
      <c r="K2127" s="7" t="str">
        <f>IF(Table1[[#This Row],[Is Data Valid]]=TRUE,_xlfn.NORM.S.DIST(Table1[[#This Row],[Birthweight Z-Score (BW-10%)]],TRUE)*100,"")</f>
        <v/>
      </c>
      <c r="L2127" s="7" t="str">
        <f>IF(Table1[[#This Row],[Is Data Valid]]=TRUE,_xlfn.NORM.S.DIST(Table1[[#This Row],[Birthweight Z-Score (BW+10%)]],TRUE)*100,"")</f>
        <v/>
      </c>
    </row>
    <row r="2128" spans="1:12" x14ac:dyDescent="0.35">
      <c r="A2128" s="3"/>
      <c r="B2128" s="2"/>
      <c r="C2128" s="2"/>
      <c r="D2128" s="2" t="b">
        <f>IF(AND(NOT(ISBLANK(Table1[[#This Row],[Fetal Sex (Male, Female or Unknown)]])),ISNUMBER(Table1[[#This Row],[Birthweight (grams)]]),ISNUMBER(Table1[[#This Row],[Gestation (days)]])),TRUE,FALSE)</f>
        <v>0</v>
      </c>
      <c r="E2128" s="2" t="str">
        <f>IF(Table1[[#This Row],[Is Data Valid]]=TRUE,IF(Table1[[#This Row],[Fetal Sex (Male, Female or Unknown)]]="Male",Backend!$C$6,IF(Table1[[#This Row],[Fetal Sex (Male, Female or Unknown)]]="Female",Backend!$C$7,IF(Table1[[#This Row],[Fetal Sex (Male, Female or Unknown)]]="Unknown",Backend!$C$8,"Error"))),"")</f>
        <v/>
      </c>
      <c r="F2128" s="8" t="str">
        <f>IF(Table1[[#This Row],[Is Data Valid]]=TRUE,EXP(0.578+0.332*((Table1[[#This Row],[Gestation (days)]]+0.5)/7)-0.00354*((Table1[[#This Row],[Gestation (days)]]+0.5)/7)^2)*Table1[[#This Row],[BW40_3705]],"")</f>
        <v/>
      </c>
      <c r="G2128" s="2" t="str">
        <f>IF(Table1[[#This Row],[Is Data Valid]]=TRUE,((Table1[[#This Row],[Birthweight (grams)]]/Table1[[#This Row],[BW_GA]])-1)/(Backend!$B$4/100*Table1[[#This Row],[BW40_3705]]),"")</f>
        <v/>
      </c>
      <c r="H2128" s="7" t="str">
        <f>IF(Table1[[#This Row],[Is Data Valid]]=TRUE,((Table1[[#This Row],[Birthweight (grams)]]*0.9/Table1[[#This Row],[BW_GA]])-1)/(Backend!$B$4/100*Table1[[#This Row],[BW40_3705]]),"")</f>
        <v/>
      </c>
      <c r="I2128" s="7" t="str">
        <f>IF(Table1[[#This Row],[Is Data Valid]]=TRUE,((Table1[[#This Row],[Birthweight (grams)]]*1.1/Table1[[#This Row],[BW_GA]])-1)/(Backend!$B$4/100*Table1[[#This Row],[BW40_3705]]),"")</f>
        <v/>
      </c>
      <c r="J2128" s="7" t="str">
        <f>IF(Table1[[#This Row],[Is Data Valid]]=TRUE,_xlfn.NORM.S.DIST(Table1[[#This Row],[Birthweight Z-Score]],TRUE)*100,"")</f>
        <v/>
      </c>
      <c r="K2128" s="7" t="str">
        <f>IF(Table1[[#This Row],[Is Data Valid]]=TRUE,_xlfn.NORM.S.DIST(Table1[[#This Row],[Birthweight Z-Score (BW-10%)]],TRUE)*100,"")</f>
        <v/>
      </c>
      <c r="L2128" s="7" t="str">
        <f>IF(Table1[[#This Row],[Is Data Valid]]=TRUE,_xlfn.NORM.S.DIST(Table1[[#This Row],[Birthweight Z-Score (BW+10%)]],TRUE)*100,"")</f>
        <v/>
      </c>
    </row>
    <row r="2129" spans="1:12" x14ac:dyDescent="0.35">
      <c r="A2129" s="3"/>
      <c r="B2129" s="2"/>
      <c r="C2129" s="2"/>
      <c r="D2129" s="2" t="b">
        <f>IF(AND(NOT(ISBLANK(Table1[[#This Row],[Fetal Sex (Male, Female or Unknown)]])),ISNUMBER(Table1[[#This Row],[Birthweight (grams)]]),ISNUMBER(Table1[[#This Row],[Gestation (days)]])),TRUE,FALSE)</f>
        <v>0</v>
      </c>
      <c r="E2129" s="2" t="str">
        <f>IF(Table1[[#This Row],[Is Data Valid]]=TRUE,IF(Table1[[#This Row],[Fetal Sex (Male, Female or Unknown)]]="Male",Backend!$C$6,IF(Table1[[#This Row],[Fetal Sex (Male, Female or Unknown)]]="Female",Backend!$C$7,IF(Table1[[#This Row],[Fetal Sex (Male, Female or Unknown)]]="Unknown",Backend!$C$8,"Error"))),"")</f>
        <v/>
      </c>
      <c r="F2129" s="8" t="str">
        <f>IF(Table1[[#This Row],[Is Data Valid]]=TRUE,EXP(0.578+0.332*((Table1[[#This Row],[Gestation (days)]]+0.5)/7)-0.00354*((Table1[[#This Row],[Gestation (days)]]+0.5)/7)^2)*Table1[[#This Row],[BW40_3705]],"")</f>
        <v/>
      </c>
      <c r="G2129" s="2" t="str">
        <f>IF(Table1[[#This Row],[Is Data Valid]]=TRUE,((Table1[[#This Row],[Birthweight (grams)]]/Table1[[#This Row],[BW_GA]])-1)/(Backend!$B$4/100*Table1[[#This Row],[BW40_3705]]),"")</f>
        <v/>
      </c>
      <c r="H2129" s="7" t="str">
        <f>IF(Table1[[#This Row],[Is Data Valid]]=TRUE,((Table1[[#This Row],[Birthweight (grams)]]*0.9/Table1[[#This Row],[BW_GA]])-1)/(Backend!$B$4/100*Table1[[#This Row],[BW40_3705]]),"")</f>
        <v/>
      </c>
      <c r="I2129" s="7" t="str">
        <f>IF(Table1[[#This Row],[Is Data Valid]]=TRUE,((Table1[[#This Row],[Birthweight (grams)]]*1.1/Table1[[#This Row],[BW_GA]])-1)/(Backend!$B$4/100*Table1[[#This Row],[BW40_3705]]),"")</f>
        <v/>
      </c>
      <c r="J2129" s="7" t="str">
        <f>IF(Table1[[#This Row],[Is Data Valid]]=TRUE,_xlfn.NORM.S.DIST(Table1[[#This Row],[Birthweight Z-Score]],TRUE)*100,"")</f>
        <v/>
      </c>
      <c r="K2129" s="7" t="str">
        <f>IF(Table1[[#This Row],[Is Data Valid]]=TRUE,_xlfn.NORM.S.DIST(Table1[[#This Row],[Birthweight Z-Score (BW-10%)]],TRUE)*100,"")</f>
        <v/>
      </c>
      <c r="L2129" s="7" t="str">
        <f>IF(Table1[[#This Row],[Is Data Valid]]=TRUE,_xlfn.NORM.S.DIST(Table1[[#This Row],[Birthweight Z-Score (BW+10%)]],TRUE)*100,"")</f>
        <v/>
      </c>
    </row>
    <row r="2130" spans="1:12" x14ac:dyDescent="0.35">
      <c r="A2130" s="3"/>
      <c r="B2130" s="2"/>
      <c r="C2130" s="2"/>
      <c r="D2130" s="2" t="b">
        <f>IF(AND(NOT(ISBLANK(Table1[[#This Row],[Fetal Sex (Male, Female or Unknown)]])),ISNUMBER(Table1[[#This Row],[Birthweight (grams)]]),ISNUMBER(Table1[[#This Row],[Gestation (days)]])),TRUE,FALSE)</f>
        <v>0</v>
      </c>
      <c r="E2130" s="2" t="str">
        <f>IF(Table1[[#This Row],[Is Data Valid]]=TRUE,IF(Table1[[#This Row],[Fetal Sex (Male, Female or Unknown)]]="Male",Backend!$C$6,IF(Table1[[#This Row],[Fetal Sex (Male, Female or Unknown)]]="Female",Backend!$C$7,IF(Table1[[#This Row],[Fetal Sex (Male, Female or Unknown)]]="Unknown",Backend!$C$8,"Error"))),"")</f>
        <v/>
      </c>
      <c r="F2130" s="8" t="str">
        <f>IF(Table1[[#This Row],[Is Data Valid]]=TRUE,EXP(0.578+0.332*((Table1[[#This Row],[Gestation (days)]]+0.5)/7)-0.00354*((Table1[[#This Row],[Gestation (days)]]+0.5)/7)^2)*Table1[[#This Row],[BW40_3705]],"")</f>
        <v/>
      </c>
      <c r="G2130" s="2" t="str">
        <f>IF(Table1[[#This Row],[Is Data Valid]]=TRUE,((Table1[[#This Row],[Birthweight (grams)]]/Table1[[#This Row],[BW_GA]])-1)/(Backend!$B$4/100*Table1[[#This Row],[BW40_3705]]),"")</f>
        <v/>
      </c>
      <c r="H2130" s="7" t="str">
        <f>IF(Table1[[#This Row],[Is Data Valid]]=TRUE,((Table1[[#This Row],[Birthweight (grams)]]*0.9/Table1[[#This Row],[BW_GA]])-1)/(Backend!$B$4/100*Table1[[#This Row],[BW40_3705]]),"")</f>
        <v/>
      </c>
      <c r="I2130" s="7" t="str">
        <f>IF(Table1[[#This Row],[Is Data Valid]]=TRUE,((Table1[[#This Row],[Birthweight (grams)]]*1.1/Table1[[#This Row],[BW_GA]])-1)/(Backend!$B$4/100*Table1[[#This Row],[BW40_3705]]),"")</f>
        <v/>
      </c>
      <c r="J2130" s="7" t="str">
        <f>IF(Table1[[#This Row],[Is Data Valid]]=TRUE,_xlfn.NORM.S.DIST(Table1[[#This Row],[Birthweight Z-Score]],TRUE)*100,"")</f>
        <v/>
      </c>
      <c r="K2130" s="7" t="str">
        <f>IF(Table1[[#This Row],[Is Data Valid]]=TRUE,_xlfn.NORM.S.DIST(Table1[[#This Row],[Birthweight Z-Score (BW-10%)]],TRUE)*100,"")</f>
        <v/>
      </c>
      <c r="L2130" s="7" t="str">
        <f>IF(Table1[[#This Row],[Is Data Valid]]=TRUE,_xlfn.NORM.S.DIST(Table1[[#This Row],[Birthweight Z-Score (BW+10%)]],TRUE)*100,"")</f>
        <v/>
      </c>
    </row>
    <row r="2131" spans="1:12" x14ac:dyDescent="0.35">
      <c r="A2131" s="3"/>
      <c r="B2131" s="2"/>
      <c r="C2131" s="2"/>
      <c r="D2131" s="2" t="b">
        <f>IF(AND(NOT(ISBLANK(Table1[[#This Row],[Fetal Sex (Male, Female or Unknown)]])),ISNUMBER(Table1[[#This Row],[Birthweight (grams)]]),ISNUMBER(Table1[[#This Row],[Gestation (days)]])),TRUE,FALSE)</f>
        <v>0</v>
      </c>
      <c r="E2131" s="2" t="str">
        <f>IF(Table1[[#This Row],[Is Data Valid]]=TRUE,IF(Table1[[#This Row],[Fetal Sex (Male, Female or Unknown)]]="Male",Backend!$C$6,IF(Table1[[#This Row],[Fetal Sex (Male, Female or Unknown)]]="Female",Backend!$C$7,IF(Table1[[#This Row],[Fetal Sex (Male, Female or Unknown)]]="Unknown",Backend!$C$8,"Error"))),"")</f>
        <v/>
      </c>
      <c r="F2131" s="8" t="str">
        <f>IF(Table1[[#This Row],[Is Data Valid]]=TRUE,EXP(0.578+0.332*((Table1[[#This Row],[Gestation (days)]]+0.5)/7)-0.00354*((Table1[[#This Row],[Gestation (days)]]+0.5)/7)^2)*Table1[[#This Row],[BW40_3705]],"")</f>
        <v/>
      </c>
      <c r="G2131" s="2" t="str">
        <f>IF(Table1[[#This Row],[Is Data Valid]]=TRUE,((Table1[[#This Row],[Birthweight (grams)]]/Table1[[#This Row],[BW_GA]])-1)/(Backend!$B$4/100*Table1[[#This Row],[BW40_3705]]),"")</f>
        <v/>
      </c>
      <c r="H2131" s="7" t="str">
        <f>IF(Table1[[#This Row],[Is Data Valid]]=TRUE,((Table1[[#This Row],[Birthweight (grams)]]*0.9/Table1[[#This Row],[BW_GA]])-1)/(Backend!$B$4/100*Table1[[#This Row],[BW40_3705]]),"")</f>
        <v/>
      </c>
      <c r="I2131" s="7" t="str">
        <f>IF(Table1[[#This Row],[Is Data Valid]]=TRUE,((Table1[[#This Row],[Birthweight (grams)]]*1.1/Table1[[#This Row],[BW_GA]])-1)/(Backend!$B$4/100*Table1[[#This Row],[BW40_3705]]),"")</f>
        <v/>
      </c>
      <c r="J2131" s="7" t="str">
        <f>IF(Table1[[#This Row],[Is Data Valid]]=TRUE,_xlfn.NORM.S.DIST(Table1[[#This Row],[Birthweight Z-Score]],TRUE)*100,"")</f>
        <v/>
      </c>
      <c r="K2131" s="7" t="str">
        <f>IF(Table1[[#This Row],[Is Data Valid]]=TRUE,_xlfn.NORM.S.DIST(Table1[[#This Row],[Birthweight Z-Score (BW-10%)]],TRUE)*100,"")</f>
        <v/>
      </c>
      <c r="L2131" s="7" t="str">
        <f>IF(Table1[[#This Row],[Is Data Valid]]=TRUE,_xlfn.NORM.S.DIST(Table1[[#This Row],[Birthweight Z-Score (BW+10%)]],TRUE)*100,"")</f>
        <v/>
      </c>
    </row>
    <row r="2132" spans="1:12" x14ac:dyDescent="0.35">
      <c r="A2132" s="3"/>
      <c r="B2132" s="2"/>
      <c r="C2132" s="2"/>
      <c r="D2132" s="2" t="b">
        <f>IF(AND(NOT(ISBLANK(Table1[[#This Row],[Fetal Sex (Male, Female or Unknown)]])),ISNUMBER(Table1[[#This Row],[Birthweight (grams)]]),ISNUMBER(Table1[[#This Row],[Gestation (days)]])),TRUE,FALSE)</f>
        <v>0</v>
      </c>
      <c r="E2132" s="2" t="str">
        <f>IF(Table1[[#This Row],[Is Data Valid]]=TRUE,IF(Table1[[#This Row],[Fetal Sex (Male, Female or Unknown)]]="Male",Backend!$C$6,IF(Table1[[#This Row],[Fetal Sex (Male, Female or Unknown)]]="Female",Backend!$C$7,IF(Table1[[#This Row],[Fetal Sex (Male, Female or Unknown)]]="Unknown",Backend!$C$8,"Error"))),"")</f>
        <v/>
      </c>
      <c r="F2132" s="8" t="str">
        <f>IF(Table1[[#This Row],[Is Data Valid]]=TRUE,EXP(0.578+0.332*((Table1[[#This Row],[Gestation (days)]]+0.5)/7)-0.00354*((Table1[[#This Row],[Gestation (days)]]+0.5)/7)^2)*Table1[[#This Row],[BW40_3705]],"")</f>
        <v/>
      </c>
      <c r="G2132" s="2" t="str">
        <f>IF(Table1[[#This Row],[Is Data Valid]]=TRUE,((Table1[[#This Row],[Birthweight (grams)]]/Table1[[#This Row],[BW_GA]])-1)/(Backend!$B$4/100*Table1[[#This Row],[BW40_3705]]),"")</f>
        <v/>
      </c>
      <c r="H2132" s="7" t="str">
        <f>IF(Table1[[#This Row],[Is Data Valid]]=TRUE,((Table1[[#This Row],[Birthweight (grams)]]*0.9/Table1[[#This Row],[BW_GA]])-1)/(Backend!$B$4/100*Table1[[#This Row],[BW40_3705]]),"")</f>
        <v/>
      </c>
      <c r="I2132" s="7" t="str">
        <f>IF(Table1[[#This Row],[Is Data Valid]]=TRUE,((Table1[[#This Row],[Birthweight (grams)]]*1.1/Table1[[#This Row],[BW_GA]])-1)/(Backend!$B$4/100*Table1[[#This Row],[BW40_3705]]),"")</f>
        <v/>
      </c>
      <c r="J2132" s="7" t="str">
        <f>IF(Table1[[#This Row],[Is Data Valid]]=TRUE,_xlfn.NORM.S.DIST(Table1[[#This Row],[Birthweight Z-Score]],TRUE)*100,"")</f>
        <v/>
      </c>
      <c r="K2132" s="7" t="str">
        <f>IF(Table1[[#This Row],[Is Data Valid]]=TRUE,_xlfn.NORM.S.DIST(Table1[[#This Row],[Birthweight Z-Score (BW-10%)]],TRUE)*100,"")</f>
        <v/>
      </c>
      <c r="L2132" s="7" t="str">
        <f>IF(Table1[[#This Row],[Is Data Valid]]=TRUE,_xlfn.NORM.S.DIST(Table1[[#This Row],[Birthweight Z-Score (BW+10%)]],TRUE)*100,"")</f>
        <v/>
      </c>
    </row>
    <row r="2133" spans="1:12" x14ac:dyDescent="0.35">
      <c r="A2133" s="3"/>
      <c r="B2133" s="2"/>
      <c r="C2133" s="2"/>
      <c r="D2133" s="2" t="b">
        <f>IF(AND(NOT(ISBLANK(Table1[[#This Row],[Fetal Sex (Male, Female or Unknown)]])),ISNUMBER(Table1[[#This Row],[Birthweight (grams)]]),ISNUMBER(Table1[[#This Row],[Gestation (days)]])),TRUE,FALSE)</f>
        <v>0</v>
      </c>
      <c r="E2133" s="2" t="str">
        <f>IF(Table1[[#This Row],[Is Data Valid]]=TRUE,IF(Table1[[#This Row],[Fetal Sex (Male, Female or Unknown)]]="Male",Backend!$C$6,IF(Table1[[#This Row],[Fetal Sex (Male, Female or Unknown)]]="Female",Backend!$C$7,IF(Table1[[#This Row],[Fetal Sex (Male, Female or Unknown)]]="Unknown",Backend!$C$8,"Error"))),"")</f>
        <v/>
      </c>
      <c r="F2133" s="8" t="str">
        <f>IF(Table1[[#This Row],[Is Data Valid]]=TRUE,EXP(0.578+0.332*((Table1[[#This Row],[Gestation (days)]]+0.5)/7)-0.00354*((Table1[[#This Row],[Gestation (days)]]+0.5)/7)^2)*Table1[[#This Row],[BW40_3705]],"")</f>
        <v/>
      </c>
      <c r="G2133" s="2" t="str">
        <f>IF(Table1[[#This Row],[Is Data Valid]]=TRUE,((Table1[[#This Row],[Birthweight (grams)]]/Table1[[#This Row],[BW_GA]])-1)/(Backend!$B$4/100*Table1[[#This Row],[BW40_3705]]),"")</f>
        <v/>
      </c>
      <c r="H2133" s="7" t="str">
        <f>IF(Table1[[#This Row],[Is Data Valid]]=TRUE,((Table1[[#This Row],[Birthweight (grams)]]*0.9/Table1[[#This Row],[BW_GA]])-1)/(Backend!$B$4/100*Table1[[#This Row],[BW40_3705]]),"")</f>
        <v/>
      </c>
      <c r="I2133" s="7" t="str">
        <f>IF(Table1[[#This Row],[Is Data Valid]]=TRUE,((Table1[[#This Row],[Birthweight (grams)]]*1.1/Table1[[#This Row],[BW_GA]])-1)/(Backend!$B$4/100*Table1[[#This Row],[BW40_3705]]),"")</f>
        <v/>
      </c>
      <c r="J2133" s="7" t="str">
        <f>IF(Table1[[#This Row],[Is Data Valid]]=TRUE,_xlfn.NORM.S.DIST(Table1[[#This Row],[Birthweight Z-Score]],TRUE)*100,"")</f>
        <v/>
      </c>
      <c r="K2133" s="7" t="str">
        <f>IF(Table1[[#This Row],[Is Data Valid]]=TRUE,_xlfn.NORM.S.DIST(Table1[[#This Row],[Birthweight Z-Score (BW-10%)]],TRUE)*100,"")</f>
        <v/>
      </c>
      <c r="L2133" s="7" t="str">
        <f>IF(Table1[[#This Row],[Is Data Valid]]=TRUE,_xlfn.NORM.S.DIST(Table1[[#This Row],[Birthweight Z-Score (BW+10%)]],TRUE)*100,"")</f>
        <v/>
      </c>
    </row>
    <row r="2134" spans="1:12" x14ac:dyDescent="0.35">
      <c r="A2134" s="3"/>
      <c r="B2134" s="2"/>
      <c r="C2134" s="2"/>
      <c r="D2134" s="2" t="b">
        <f>IF(AND(NOT(ISBLANK(Table1[[#This Row],[Fetal Sex (Male, Female or Unknown)]])),ISNUMBER(Table1[[#This Row],[Birthweight (grams)]]),ISNUMBER(Table1[[#This Row],[Gestation (days)]])),TRUE,FALSE)</f>
        <v>0</v>
      </c>
      <c r="E2134" s="2" t="str">
        <f>IF(Table1[[#This Row],[Is Data Valid]]=TRUE,IF(Table1[[#This Row],[Fetal Sex (Male, Female or Unknown)]]="Male",Backend!$C$6,IF(Table1[[#This Row],[Fetal Sex (Male, Female or Unknown)]]="Female",Backend!$C$7,IF(Table1[[#This Row],[Fetal Sex (Male, Female or Unknown)]]="Unknown",Backend!$C$8,"Error"))),"")</f>
        <v/>
      </c>
      <c r="F2134" s="8" t="str">
        <f>IF(Table1[[#This Row],[Is Data Valid]]=TRUE,EXP(0.578+0.332*((Table1[[#This Row],[Gestation (days)]]+0.5)/7)-0.00354*((Table1[[#This Row],[Gestation (days)]]+0.5)/7)^2)*Table1[[#This Row],[BW40_3705]],"")</f>
        <v/>
      </c>
      <c r="G2134" s="2" t="str">
        <f>IF(Table1[[#This Row],[Is Data Valid]]=TRUE,((Table1[[#This Row],[Birthweight (grams)]]/Table1[[#This Row],[BW_GA]])-1)/(Backend!$B$4/100*Table1[[#This Row],[BW40_3705]]),"")</f>
        <v/>
      </c>
      <c r="H2134" s="7" t="str">
        <f>IF(Table1[[#This Row],[Is Data Valid]]=TRUE,((Table1[[#This Row],[Birthweight (grams)]]*0.9/Table1[[#This Row],[BW_GA]])-1)/(Backend!$B$4/100*Table1[[#This Row],[BW40_3705]]),"")</f>
        <v/>
      </c>
      <c r="I2134" s="7" t="str">
        <f>IF(Table1[[#This Row],[Is Data Valid]]=TRUE,((Table1[[#This Row],[Birthweight (grams)]]*1.1/Table1[[#This Row],[BW_GA]])-1)/(Backend!$B$4/100*Table1[[#This Row],[BW40_3705]]),"")</f>
        <v/>
      </c>
      <c r="J2134" s="7" t="str">
        <f>IF(Table1[[#This Row],[Is Data Valid]]=TRUE,_xlfn.NORM.S.DIST(Table1[[#This Row],[Birthweight Z-Score]],TRUE)*100,"")</f>
        <v/>
      </c>
      <c r="K2134" s="7" t="str">
        <f>IF(Table1[[#This Row],[Is Data Valid]]=TRUE,_xlfn.NORM.S.DIST(Table1[[#This Row],[Birthweight Z-Score (BW-10%)]],TRUE)*100,"")</f>
        <v/>
      </c>
      <c r="L2134" s="7" t="str">
        <f>IF(Table1[[#This Row],[Is Data Valid]]=TRUE,_xlfn.NORM.S.DIST(Table1[[#This Row],[Birthweight Z-Score (BW+10%)]],TRUE)*100,"")</f>
        <v/>
      </c>
    </row>
    <row r="2135" spans="1:12" x14ac:dyDescent="0.35">
      <c r="A2135" s="3"/>
      <c r="B2135" s="2"/>
      <c r="C2135" s="2"/>
      <c r="D2135" s="2" t="b">
        <f>IF(AND(NOT(ISBLANK(Table1[[#This Row],[Fetal Sex (Male, Female or Unknown)]])),ISNUMBER(Table1[[#This Row],[Birthweight (grams)]]),ISNUMBER(Table1[[#This Row],[Gestation (days)]])),TRUE,FALSE)</f>
        <v>0</v>
      </c>
      <c r="E2135" s="2" t="str">
        <f>IF(Table1[[#This Row],[Is Data Valid]]=TRUE,IF(Table1[[#This Row],[Fetal Sex (Male, Female or Unknown)]]="Male",Backend!$C$6,IF(Table1[[#This Row],[Fetal Sex (Male, Female or Unknown)]]="Female",Backend!$C$7,IF(Table1[[#This Row],[Fetal Sex (Male, Female or Unknown)]]="Unknown",Backend!$C$8,"Error"))),"")</f>
        <v/>
      </c>
      <c r="F2135" s="8" t="str">
        <f>IF(Table1[[#This Row],[Is Data Valid]]=TRUE,EXP(0.578+0.332*((Table1[[#This Row],[Gestation (days)]]+0.5)/7)-0.00354*((Table1[[#This Row],[Gestation (days)]]+0.5)/7)^2)*Table1[[#This Row],[BW40_3705]],"")</f>
        <v/>
      </c>
      <c r="G2135" s="2" t="str">
        <f>IF(Table1[[#This Row],[Is Data Valid]]=TRUE,((Table1[[#This Row],[Birthweight (grams)]]/Table1[[#This Row],[BW_GA]])-1)/(Backend!$B$4/100*Table1[[#This Row],[BW40_3705]]),"")</f>
        <v/>
      </c>
      <c r="H2135" s="7" t="str">
        <f>IF(Table1[[#This Row],[Is Data Valid]]=TRUE,((Table1[[#This Row],[Birthweight (grams)]]*0.9/Table1[[#This Row],[BW_GA]])-1)/(Backend!$B$4/100*Table1[[#This Row],[BW40_3705]]),"")</f>
        <v/>
      </c>
      <c r="I2135" s="7" t="str">
        <f>IF(Table1[[#This Row],[Is Data Valid]]=TRUE,((Table1[[#This Row],[Birthweight (grams)]]*1.1/Table1[[#This Row],[BW_GA]])-1)/(Backend!$B$4/100*Table1[[#This Row],[BW40_3705]]),"")</f>
        <v/>
      </c>
      <c r="J2135" s="7" t="str">
        <f>IF(Table1[[#This Row],[Is Data Valid]]=TRUE,_xlfn.NORM.S.DIST(Table1[[#This Row],[Birthweight Z-Score]],TRUE)*100,"")</f>
        <v/>
      </c>
      <c r="K2135" s="7" t="str">
        <f>IF(Table1[[#This Row],[Is Data Valid]]=TRUE,_xlfn.NORM.S.DIST(Table1[[#This Row],[Birthweight Z-Score (BW-10%)]],TRUE)*100,"")</f>
        <v/>
      </c>
      <c r="L2135" s="7" t="str">
        <f>IF(Table1[[#This Row],[Is Data Valid]]=TRUE,_xlfn.NORM.S.DIST(Table1[[#This Row],[Birthweight Z-Score (BW+10%)]],TRUE)*100,"")</f>
        <v/>
      </c>
    </row>
    <row r="2136" spans="1:12" x14ac:dyDescent="0.35">
      <c r="A2136" s="3"/>
      <c r="B2136" s="2"/>
      <c r="C2136" s="2"/>
      <c r="D2136" s="2" t="b">
        <f>IF(AND(NOT(ISBLANK(Table1[[#This Row],[Fetal Sex (Male, Female or Unknown)]])),ISNUMBER(Table1[[#This Row],[Birthweight (grams)]]),ISNUMBER(Table1[[#This Row],[Gestation (days)]])),TRUE,FALSE)</f>
        <v>0</v>
      </c>
      <c r="E2136" s="2" t="str">
        <f>IF(Table1[[#This Row],[Is Data Valid]]=TRUE,IF(Table1[[#This Row],[Fetal Sex (Male, Female or Unknown)]]="Male",Backend!$C$6,IF(Table1[[#This Row],[Fetal Sex (Male, Female or Unknown)]]="Female",Backend!$C$7,IF(Table1[[#This Row],[Fetal Sex (Male, Female or Unknown)]]="Unknown",Backend!$C$8,"Error"))),"")</f>
        <v/>
      </c>
      <c r="F2136" s="8" t="str">
        <f>IF(Table1[[#This Row],[Is Data Valid]]=TRUE,EXP(0.578+0.332*((Table1[[#This Row],[Gestation (days)]]+0.5)/7)-0.00354*((Table1[[#This Row],[Gestation (days)]]+0.5)/7)^2)*Table1[[#This Row],[BW40_3705]],"")</f>
        <v/>
      </c>
      <c r="G2136" s="2" t="str">
        <f>IF(Table1[[#This Row],[Is Data Valid]]=TRUE,((Table1[[#This Row],[Birthweight (grams)]]/Table1[[#This Row],[BW_GA]])-1)/(Backend!$B$4/100*Table1[[#This Row],[BW40_3705]]),"")</f>
        <v/>
      </c>
      <c r="H2136" s="7" t="str">
        <f>IF(Table1[[#This Row],[Is Data Valid]]=TRUE,((Table1[[#This Row],[Birthweight (grams)]]*0.9/Table1[[#This Row],[BW_GA]])-1)/(Backend!$B$4/100*Table1[[#This Row],[BW40_3705]]),"")</f>
        <v/>
      </c>
      <c r="I2136" s="7" t="str">
        <f>IF(Table1[[#This Row],[Is Data Valid]]=TRUE,((Table1[[#This Row],[Birthweight (grams)]]*1.1/Table1[[#This Row],[BW_GA]])-1)/(Backend!$B$4/100*Table1[[#This Row],[BW40_3705]]),"")</f>
        <v/>
      </c>
      <c r="J2136" s="7" t="str">
        <f>IF(Table1[[#This Row],[Is Data Valid]]=TRUE,_xlfn.NORM.S.DIST(Table1[[#This Row],[Birthweight Z-Score]],TRUE)*100,"")</f>
        <v/>
      </c>
      <c r="K2136" s="7" t="str">
        <f>IF(Table1[[#This Row],[Is Data Valid]]=TRUE,_xlfn.NORM.S.DIST(Table1[[#This Row],[Birthweight Z-Score (BW-10%)]],TRUE)*100,"")</f>
        <v/>
      </c>
      <c r="L2136" s="7" t="str">
        <f>IF(Table1[[#This Row],[Is Data Valid]]=TRUE,_xlfn.NORM.S.DIST(Table1[[#This Row],[Birthweight Z-Score (BW+10%)]],TRUE)*100,"")</f>
        <v/>
      </c>
    </row>
    <row r="2137" spans="1:12" x14ac:dyDescent="0.35">
      <c r="A2137" s="3"/>
      <c r="B2137" s="2"/>
      <c r="C2137" s="2"/>
      <c r="D2137" s="2" t="b">
        <f>IF(AND(NOT(ISBLANK(Table1[[#This Row],[Fetal Sex (Male, Female or Unknown)]])),ISNUMBER(Table1[[#This Row],[Birthweight (grams)]]),ISNUMBER(Table1[[#This Row],[Gestation (days)]])),TRUE,FALSE)</f>
        <v>0</v>
      </c>
      <c r="E2137" s="2" t="str">
        <f>IF(Table1[[#This Row],[Is Data Valid]]=TRUE,IF(Table1[[#This Row],[Fetal Sex (Male, Female or Unknown)]]="Male",Backend!$C$6,IF(Table1[[#This Row],[Fetal Sex (Male, Female or Unknown)]]="Female",Backend!$C$7,IF(Table1[[#This Row],[Fetal Sex (Male, Female or Unknown)]]="Unknown",Backend!$C$8,"Error"))),"")</f>
        <v/>
      </c>
      <c r="F2137" s="8" t="str">
        <f>IF(Table1[[#This Row],[Is Data Valid]]=TRUE,EXP(0.578+0.332*((Table1[[#This Row],[Gestation (days)]]+0.5)/7)-0.00354*((Table1[[#This Row],[Gestation (days)]]+0.5)/7)^2)*Table1[[#This Row],[BW40_3705]],"")</f>
        <v/>
      </c>
      <c r="G2137" s="2" t="str">
        <f>IF(Table1[[#This Row],[Is Data Valid]]=TRUE,((Table1[[#This Row],[Birthweight (grams)]]/Table1[[#This Row],[BW_GA]])-1)/(Backend!$B$4/100*Table1[[#This Row],[BW40_3705]]),"")</f>
        <v/>
      </c>
      <c r="H2137" s="7" t="str">
        <f>IF(Table1[[#This Row],[Is Data Valid]]=TRUE,((Table1[[#This Row],[Birthweight (grams)]]*0.9/Table1[[#This Row],[BW_GA]])-1)/(Backend!$B$4/100*Table1[[#This Row],[BW40_3705]]),"")</f>
        <v/>
      </c>
      <c r="I2137" s="7" t="str">
        <f>IF(Table1[[#This Row],[Is Data Valid]]=TRUE,((Table1[[#This Row],[Birthweight (grams)]]*1.1/Table1[[#This Row],[BW_GA]])-1)/(Backend!$B$4/100*Table1[[#This Row],[BW40_3705]]),"")</f>
        <v/>
      </c>
      <c r="J2137" s="7" t="str">
        <f>IF(Table1[[#This Row],[Is Data Valid]]=TRUE,_xlfn.NORM.S.DIST(Table1[[#This Row],[Birthweight Z-Score]],TRUE)*100,"")</f>
        <v/>
      </c>
      <c r="K2137" s="7" t="str">
        <f>IF(Table1[[#This Row],[Is Data Valid]]=TRUE,_xlfn.NORM.S.DIST(Table1[[#This Row],[Birthweight Z-Score (BW-10%)]],TRUE)*100,"")</f>
        <v/>
      </c>
      <c r="L2137" s="7" t="str">
        <f>IF(Table1[[#This Row],[Is Data Valid]]=TRUE,_xlfn.NORM.S.DIST(Table1[[#This Row],[Birthweight Z-Score (BW+10%)]],TRUE)*100,"")</f>
        <v/>
      </c>
    </row>
    <row r="2138" spans="1:12" x14ac:dyDescent="0.35">
      <c r="A2138" s="3"/>
      <c r="B2138" s="2"/>
      <c r="C2138" s="2"/>
      <c r="D2138" s="2" t="b">
        <f>IF(AND(NOT(ISBLANK(Table1[[#This Row],[Fetal Sex (Male, Female or Unknown)]])),ISNUMBER(Table1[[#This Row],[Birthweight (grams)]]),ISNUMBER(Table1[[#This Row],[Gestation (days)]])),TRUE,FALSE)</f>
        <v>0</v>
      </c>
      <c r="E2138" s="2" t="str">
        <f>IF(Table1[[#This Row],[Is Data Valid]]=TRUE,IF(Table1[[#This Row],[Fetal Sex (Male, Female or Unknown)]]="Male",Backend!$C$6,IF(Table1[[#This Row],[Fetal Sex (Male, Female or Unknown)]]="Female",Backend!$C$7,IF(Table1[[#This Row],[Fetal Sex (Male, Female or Unknown)]]="Unknown",Backend!$C$8,"Error"))),"")</f>
        <v/>
      </c>
      <c r="F2138" s="8" t="str">
        <f>IF(Table1[[#This Row],[Is Data Valid]]=TRUE,EXP(0.578+0.332*((Table1[[#This Row],[Gestation (days)]]+0.5)/7)-0.00354*((Table1[[#This Row],[Gestation (days)]]+0.5)/7)^2)*Table1[[#This Row],[BW40_3705]],"")</f>
        <v/>
      </c>
      <c r="G2138" s="2" t="str">
        <f>IF(Table1[[#This Row],[Is Data Valid]]=TRUE,((Table1[[#This Row],[Birthweight (grams)]]/Table1[[#This Row],[BW_GA]])-1)/(Backend!$B$4/100*Table1[[#This Row],[BW40_3705]]),"")</f>
        <v/>
      </c>
      <c r="H2138" s="7" t="str">
        <f>IF(Table1[[#This Row],[Is Data Valid]]=TRUE,((Table1[[#This Row],[Birthweight (grams)]]*0.9/Table1[[#This Row],[BW_GA]])-1)/(Backend!$B$4/100*Table1[[#This Row],[BW40_3705]]),"")</f>
        <v/>
      </c>
      <c r="I2138" s="7" t="str">
        <f>IF(Table1[[#This Row],[Is Data Valid]]=TRUE,((Table1[[#This Row],[Birthweight (grams)]]*1.1/Table1[[#This Row],[BW_GA]])-1)/(Backend!$B$4/100*Table1[[#This Row],[BW40_3705]]),"")</f>
        <v/>
      </c>
      <c r="J2138" s="7" t="str">
        <f>IF(Table1[[#This Row],[Is Data Valid]]=TRUE,_xlfn.NORM.S.DIST(Table1[[#This Row],[Birthweight Z-Score]],TRUE)*100,"")</f>
        <v/>
      </c>
      <c r="K2138" s="7" t="str">
        <f>IF(Table1[[#This Row],[Is Data Valid]]=TRUE,_xlfn.NORM.S.DIST(Table1[[#This Row],[Birthweight Z-Score (BW-10%)]],TRUE)*100,"")</f>
        <v/>
      </c>
      <c r="L2138" s="7" t="str">
        <f>IF(Table1[[#This Row],[Is Data Valid]]=TRUE,_xlfn.NORM.S.DIST(Table1[[#This Row],[Birthweight Z-Score (BW+10%)]],TRUE)*100,"")</f>
        <v/>
      </c>
    </row>
    <row r="2139" spans="1:12" x14ac:dyDescent="0.35">
      <c r="A2139" s="3"/>
      <c r="B2139" s="2"/>
      <c r="C2139" s="2"/>
      <c r="D2139" s="2" t="b">
        <f>IF(AND(NOT(ISBLANK(Table1[[#This Row],[Fetal Sex (Male, Female or Unknown)]])),ISNUMBER(Table1[[#This Row],[Birthweight (grams)]]),ISNUMBER(Table1[[#This Row],[Gestation (days)]])),TRUE,FALSE)</f>
        <v>0</v>
      </c>
      <c r="E2139" s="2" t="str">
        <f>IF(Table1[[#This Row],[Is Data Valid]]=TRUE,IF(Table1[[#This Row],[Fetal Sex (Male, Female or Unknown)]]="Male",Backend!$C$6,IF(Table1[[#This Row],[Fetal Sex (Male, Female or Unknown)]]="Female",Backend!$C$7,IF(Table1[[#This Row],[Fetal Sex (Male, Female or Unknown)]]="Unknown",Backend!$C$8,"Error"))),"")</f>
        <v/>
      </c>
      <c r="F2139" s="8" t="str">
        <f>IF(Table1[[#This Row],[Is Data Valid]]=TRUE,EXP(0.578+0.332*((Table1[[#This Row],[Gestation (days)]]+0.5)/7)-0.00354*((Table1[[#This Row],[Gestation (days)]]+0.5)/7)^2)*Table1[[#This Row],[BW40_3705]],"")</f>
        <v/>
      </c>
      <c r="G2139" s="2" t="str">
        <f>IF(Table1[[#This Row],[Is Data Valid]]=TRUE,((Table1[[#This Row],[Birthweight (grams)]]/Table1[[#This Row],[BW_GA]])-1)/(Backend!$B$4/100*Table1[[#This Row],[BW40_3705]]),"")</f>
        <v/>
      </c>
      <c r="H2139" s="7" t="str">
        <f>IF(Table1[[#This Row],[Is Data Valid]]=TRUE,((Table1[[#This Row],[Birthweight (grams)]]*0.9/Table1[[#This Row],[BW_GA]])-1)/(Backend!$B$4/100*Table1[[#This Row],[BW40_3705]]),"")</f>
        <v/>
      </c>
      <c r="I2139" s="7" t="str">
        <f>IF(Table1[[#This Row],[Is Data Valid]]=TRUE,((Table1[[#This Row],[Birthweight (grams)]]*1.1/Table1[[#This Row],[BW_GA]])-1)/(Backend!$B$4/100*Table1[[#This Row],[BW40_3705]]),"")</f>
        <v/>
      </c>
      <c r="J2139" s="7" t="str">
        <f>IF(Table1[[#This Row],[Is Data Valid]]=TRUE,_xlfn.NORM.S.DIST(Table1[[#This Row],[Birthweight Z-Score]],TRUE)*100,"")</f>
        <v/>
      </c>
      <c r="K2139" s="7" t="str">
        <f>IF(Table1[[#This Row],[Is Data Valid]]=TRUE,_xlfn.NORM.S.DIST(Table1[[#This Row],[Birthweight Z-Score (BW-10%)]],TRUE)*100,"")</f>
        <v/>
      </c>
      <c r="L2139" s="7" t="str">
        <f>IF(Table1[[#This Row],[Is Data Valid]]=TRUE,_xlfn.NORM.S.DIST(Table1[[#This Row],[Birthweight Z-Score (BW+10%)]],TRUE)*100,"")</f>
        <v/>
      </c>
    </row>
    <row r="2140" spans="1:12" x14ac:dyDescent="0.35">
      <c r="A2140" s="3"/>
      <c r="B2140" s="2"/>
      <c r="C2140" s="2"/>
      <c r="D2140" s="2" t="b">
        <f>IF(AND(NOT(ISBLANK(Table1[[#This Row],[Fetal Sex (Male, Female or Unknown)]])),ISNUMBER(Table1[[#This Row],[Birthweight (grams)]]),ISNUMBER(Table1[[#This Row],[Gestation (days)]])),TRUE,FALSE)</f>
        <v>0</v>
      </c>
      <c r="E2140" s="2" t="str">
        <f>IF(Table1[[#This Row],[Is Data Valid]]=TRUE,IF(Table1[[#This Row],[Fetal Sex (Male, Female or Unknown)]]="Male",Backend!$C$6,IF(Table1[[#This Row],[Fetal Sex (Male, Female or Unknown)]]="Female",Backend!$C$7,IF(Table1[[#This Row],[Fetal Sex (Male, Female or Unknown)]]="Unknown",Backend!$C$8,"Error"))),"")</f>
        <v/>
      </c>
      <c r="F2140" s="8" t="str">
        <f>IF(Table1[[#This Row],[Is Data Valid]]=TRUE,EXP(0.578+0.332*((Table1[[#This Row],[Gestation (days)]]+0.5)/7)-0.00354*((Table1[[#This Row],[Gestation (days)]]+0.5)/7)^2)*Table1[[#This Row],[BW40_3705]],"")</f>
        <v/>
      </c>
      <c r="G2140" s="2" t="str">
        <f>IF(Table1[[#This Row],[Is Data Valid]]=TRUE,((Table1[[#This Row],[Birthweight (grams)]]/Table1[[#This Row],[BW_GA]])-1)/(Backend!$B$4/100*Table1[[#This Row],[BW40_3705]]),"")</f>
        <v/>
      </c>
      <c r="H2140" s="7" t="str">
        <f>IF(Table1[[#This Row],[Is Data Valid]]=TRUE,((Table1[[#This Row],[Birthweight (grams)]]*0.9/Table1[[#This Row],[BW_GA]])-1)/(Backend!$B$4/100*Table1[[#This Row],[BW40_3705]]),"")</f>
        <v/>
      </c>
      <c r="I2140" s="7" t="str">
        <f>IF(Table1[[#This Row],[Is Data Valid]]=TRUE,((Table1[[#This Row],[Birthweight (grams)]]*1.1/Table1[[#This Row],[BW_GA]])-1)/(Backend!$B$4/100*Table1[[#This Row],[BW40_3705]]),"")</f>
        <v/>
      </c>
      <c r="J2140" s="7" t="str">
        <f>IF(Table1[[#This Row],[Is Data Valid]]=TRUE,_xlfn.NORM.S.DIST(Table1[[#This Row],[Birthweight Z-Score]],TRUE)*100,"")</f>
        <v/>
      </c>
      <c r="K2140" s="7" t="str">
        <f>IF(Table1[[#This Row],[Is Data Valid]]=TRUE,_xlfn.NORM.S.DIST(Table1[[#This Row],[Birthweight Z-Score (BW-10%)]],TRUE)*100,"")</f>
        <v/>
      </c>
      <c r="L2140" s="7" t="str">
        <f>IF(Table1[[#This Row],[Is Data Valid]]=TRUE,_xlfn.NORM.S.DIST(Table1[[#This Row],[Birthweight Z-Score (BW+10%)]],TRUE)*100,"")</f>
        <v/>
      </c>
    </row>
    <row r="2141" spans="1:12" x14ac:dyDescent="0.35">
      <c r="A2141" s="3"/>
      <c r="B2141" s="2"/>
      <c r="C2141" s="2"/>
      <c r="D2141" s="2" t="b">
        <f>IF(AND(NOT(ISBLANK(Table1[[#This Row],[Fetal Sex (Male, Female or Unknown)]])),ISNUMBER(Table1[[#This Row],[Birthweight (grams)]]),ISNUMBER(Table1[[#This Row],[Gestation (days)]])),TRUE,FALSE)</f>
        <v>0</v>
      </c>
      <c r="E2141" s="2" t="str">
        <f>IF(Table1[[#This Row],[Is Data Valid]]=TRUE,IF(Table1[[#This Row],[Fetal Sex (Male, Female or Unknown)]]="Male",Backend!$C$6,IF(Table1[[#This Row],[Fetal Sex (Male, Female or Unknown)]]="Female",Backend!$C$7,IF(Table1[[#This Row],[Fetal Sex (Male, Female or Unknown)]]="Unknown",Backend!$C$8,"Error"))),"")</f>
        <v/>
      </c>
      <c r="F2141" s="8" t="str">
        <f>IF(Table1[[#This Row],[Is Data Valid]]=TRUE,EXP(0.578+0.332*((Table1[[#This Row],[Gestation (days)]]+0.5)/7)-0.00354*((Table1[[#This Row],[Gestation (days)]]+0.5)/7)^2)*Table1[[#This Row],[BW40_3705]],"")</f>
        <v/>
      </c>
      <c r="G2141" s="2" t="str">
        <f>IF(Table1[[#This Row],[Is Data Valid]]=TRUE,((Table1[[#This Row],[Birthweight (grams)]]/Table1[[#This Row],[BW_GA]])-1)/(Backend!$B$4/100*Table1[[#This Row],[BW40_3705]]),"")</f>
        <v/>
      </c>
      <c r="H2141" s="7" t="str">
        <f>IF(Table1[[#This Row],[Is Data Valid]]=TRUE,((Table1[[#This Row],[Birthweight (grams)]]*0.9/Table1[[#This Row],[BW_GA]])-1)/(Backend!$B$4/100*Table1[[#This Row],[BW40_3705]]),"")</f>
        <v/>
      </c>
      <c r="I2141" s="7" t="str">
        <f>IF(Table1[[#This Row],[Is Data Valid]]=TRUE,((Table1[[#This Row],[Birthweight (grams)]]*1.1/Table1[[#This Row],[BW_GA]])-1)/(Backend!$B$4/100*Table1[[#This Row],[BW40_3705]]),"")</f>
        <v/>
      </c>
      <c r="J2141" s="7" t="str">
        <f>IF(Table1[[#This Row],[Is Data Valid]]=TRUE,_xlfn.NORM.S.DIST(Table1[[#This Row],[Birthweight Z-Score]],TRUE)*100,"")</f>
        <v/>
      </c>
      <c r="K2141" s="7" t="str">
        <f>IF(Table1[[#This Row],[Is Data Valid]]=TRUE,_xlfn.NORM.S.DIST(Table1[[#This Row],[Birthweight Z-Score (BW-10%)]],TRUE)*100,"")</f>
        <v/>
      </c>
      <c r="L2141" s="7" t="str">
        <f>IF(Table1[[#This Row],[Is Data Valid]]=TRUE,_xlfn.NORM.S.DIST(Table1[[#This Row],[Birthweight Z-Score (BW+10%)]],TRUE)*100,"")</f>
        <v/>
      </c>
    </row>
    <row r="2142" spans="1:12" x14ac:dyDescent="0.35">
      <c r="A2142" s="3"/>
      <c r="B2142" s="2"/>
      <c r="C2142" s="2"/>
      <c r="D2142" s="2" t="b">
        <f>IF(AND(NOT(ISBLANK(Table1[[#This Row],[Fetal Sex (Male, Female or Unknown)]])),ISNUMBER(Table1[[#This Row],[Birthweight (grams)]]),ISNUMBER(Table1[[#This Row],[Gestation (days)]])),TRUE,FALSE)</f>
        <v>0</v>
      </c>
      <c r="E2142" s="2" t="str">
        <f>IF(Table1[[#This Row],[Is Data Valid]]=TRUE,IF(Table1[[#This Row],[Fetal Sex (Male, Female or Unknown)]]="Male",Backend!$C$6,IF(Table1[[#This Row],[Fetal Sex (Male, Female or Unknown)]]="Female",Backend!$C$7,IF(Table1[[#This Row],[Fetal Sex (Male, Female or Unknown)]]="Unknown",Backend!$C$8,"Error"))),"")</f>
        <v/>
      </c>
      <c r="F2142" s="8" t="str">
        <f>IF(Table1[[#This Row],[Is Data Valid]]=TRUE,EXP(0.578+0.332*((Table1[[#This Row],[Gestation (days)]]+0.5)/7)-0.00354*((Table1[[#This Row],[Gestation (days)]]+0.5)/7)^2)*Table1[[#This Row],[BW40_3705]],"")</f>
        <v/>
      </c>
      <c r="G2142" s="2" t="str">
        <f>IF(Table1[[#This Row],[Is Data Valid]]=TRUE,((Table1[[#This Row],[Birthweight (grams)]]/Table1[[#This Row],[BW_GA]])-1)/(Backend!$B$4/100*Table1[[#This Row],[BW40_3705]]),"")</f>
        <v/>
      </c>
      <c r="H2142" s="7" t="str">
        <f>IF(Table1[[#This Row],[Is Data Valid]]=TRUE,((Table1[[#This Row],[Birthweight (grams)]]*0.9/Table1[[#This Row],[BW_GA]])-1)/(Backend!$B$4/100*Table1[[#This Row],[BW40_3705]]),"")</f>
        <v/>
      </c>
      <c r="I2142" s="7" t="str">
        <f>IF(Table1[[#This Row],[Is Data Valid]]=TRUE,((Table1[[#This Row],[Birthweight (grams)]]*1.1/Table1[[#This Row],[BW_GA]])-1)/(Backend!$B$4/100*Table1[[#This Row],[BW40_3705]]),"")</f>
        <v/>
      </c>
      <c r="J2142" s="7" t="str">
        <f>IF(Table1[[#This Row],[Is Data Valid]]=TRUE,_xlfn.NORM.S.DIST(Table1[[#This Row],[Birthweight Z-Score]],TRUE)*100,"")</f>
        <v/>
      </c>
      <c r="K2142" s="7" t="str">
        <f>IF(Table1[[#This Row],[Is Data Valid]]=TRUE,_xlfn.NORM.S.DIST(Table1[[#This Row],[Birthweight Z-Score (BW-10%)]],TRUE)*100,"")</f>
        <v/>
      </c>
      <c r="L2142" s="7" t="str">
        <f>IF(Table1[[#This Row],[Is Data Valid]]=TRUE,_xlfn.NORM.S.DIST(Table1[[#This Row],[Birthweight Z-Score (BW+10%)]],TRUE)*100,"")</f>
        <v/>
      </c>
    </row>
    <row r="2143" spans="1:12" x14ac:dyDescent="0.35">
      <c r="A2143" s="3"/>
      <c r="B2143" s="2"/>
      <c r="C2143" s="2"/>
      <c r="D2143" s="2" t="b">
        <f>IF(AND(NOT(ISBLANK(Table1[[#This Row],[Fetal Sex (Male, Female or Unknown)]])),ISNUMBER(Table1[[#This Row],[Birthweight (grams)]]),ISNUMBER(Table1[[#This Row],[Gestation (days)]])),TRUE,FALSE)</f>
        <v>0</v>
      </c>
      <c r="E2143" s="2" t="str">
        <f>IF(Table1[[#This Row],[Is Data Valid]]=TRUE,IF(Table1[[#This Row],[Fetal Sex (Male, Female or Unknown)]]="Male",Backend!$C$6,IF(Table1[[#This Row],[Fetal Sex (Male, Female or Unknown)]]="Female",Backend!$C$7,IF(Table1[[#This Row],[Fetal Sex (Male, Female or Unknown)]]="Unknown",Backend!$C$8,"Error"))),"")</f>
        <v/>
      </c>
      <c r="F2143" s="8" t="str">
        <f>IF(Table1[[#This Row],[Is Data Valid]]=TRUE,EXP(0.578+0.332*((Table1[[#This Row],[Gestation (days)]]+0.5)/7)-0.00354*((Table1[[#This Row],[Gestation (days)]]+0.5)/7)^2)*Table1[[#This Row],[BW40_3705]],"")</f>
        <v/>
      </c>
      <c r="G2143" s="2" t="str">
        <f>IF(Table1[[#This Row],[Is Data Valid]]=TRUE,((Table1[[#This Row],[Birthweight (grams)]]/Table1[[#This Row],[BW_GA]])-1)/(Backend!$B$4/100*Table1[[#This Row],[BW40_3705]]),"")</f>
        <v/>
      </c>
      <c r="H2143" s="7" t="str">
        <f>IF(Table1[[#This Row],[Is Data Valid]]=TRUE,((Table1[[#This Row],[Birthweight (grams)]]*0.9/Table1[[#This Row],[BW_GA]])-1)/(Backend!$B$4/100*Table1[[#This Row],[BW40_3705]]),"")</f>
        <v/>
      </c>
      <c r="I2143" s="7" t="str">
        <f>IF(Table1[[#This Row],[Is Data Valid]]=TRUE,((Table1[[#This Row],[Birthweight (grams)]]*1.1/Table1[[#This Row],[BW_GA]])-1)/(Backend!$B$4/100*Table1[[#This Row],[BW40_3705]]),"")</f>
        <v/>
      </c>
      <c r="J2143" s="7" t="str">
        <f>IF(Table1[[#This Row],[Is Data Valid]]=TRUE,_xlfn.NORM.S.DIST(Table1[[#This Row],[Birthweight Z-Score]],TRUE)*100,"")</f>
        <v/>
      </c>
      <c r="K2143" s="7" t="str">
        <f>IF(Table1[[#This Row],[Is Data Valid]]=TRUE,_xlfn.NORM.S.DIST(Table1[[#This Row],[Birthweight Z-Score (BW-10%)]],TRUE)*100,"")</f>
        <v/>
      </c>
      <c r="L2143" s="7" t="str">
        <f>IF(Table1[[#This Row],[Is Data Valid]]=TRUE,_xlfn.NORM.S.DIST(Table1[[#This Row],[Birthweight Z-Score (BW+10%)]],TRUE)*100,"")</f>
        <v/>
      </c>
    </row>
    <row r="2144" spans="1:12" x14ac:dyDescent="0.35">
      <c r="A2144" s="3"/>
      <c r="B2144" s="2"/>
      <c r="C2144" s="2"/>
      <c r="D2144" s="2" t="b">
        <f>IF(AND(NOT(ISBLANK(Table1[[#This Row],[Fetal Sex (Male, Female or Unknown)]])),ISNUMBER(Table1[[#This Row],[Birthweight (grams)]]),ISNUMBER(Table1[[#This Row],[Gestation (days)]])),TRUE,FALSE)</f>
        <v>0</v>
      </c>
      <c r="E2144" s="2" t="str">
        <f>IF(Table1[[#This Row],[Is Data Valid]]=TRUE,IF(Table1[[#This Row],[Fetal Sex (Male, Female or Unknown)]]="Male",Backend!$C$6,IF(Table1[[#This Row],[Fetal Sex (Male, Female or Unknown)]]="Female",Backend!$C$7,IF(Table1[[#This Row],[Fetal Sex (Male, Female or Unknown)]]="Unknown",Backend!$C$8,"Error"))),"")</f>
        <v/>
      </c>
      <c r="F2144" s="8" t="str">
        <f>IF(Table1[[#This Row],[Is Data Valid]]=TRUE,EXP(0.578+0.332*((Table1[[#This Row],[Gestation (days)]]+0.5)/7)-0.00354*((Table1[[#This Row],[Gestation (days)]]+0.5)/7)^2)*Table1[[#This Row],[BW40_3705]],"")</f>
        <v/>
      </c>
      <c r="G2144" s="2" t="str">
        <f>IF(Table1[[#This Row],[Is Data Valid]]=TRUE,((Table1[[#This Row],[Birthweight (grams)]]/Table1[[#This Row],[BW_GA]])-1)/(Backend!$B$4/100*Table1[[#This Row],[BW40_3705]]),"")</f>
        <v/>
      </c>
      <c r="H2144" s="7" t="str">
        <f>IF(Table1[[#This Row],[Is Data Valid]]=TRUE,((Table1[[#This Row],[Birthweight (grams)]]*0.9/Table1[[#This Row],[BW_GA]])-1)/(Backend!$B$4/100*Table1[[#This Row],[BW40_3705]]),"")</f>
        <v/>
      </c>
      <c r="I2144" s="7" t="str">
        <f>IF(Table1[[#This Row],[Is Data Valid]]=TRUE,((Table1[[#This Row],[Birthweight (grams)]]*1.1/Table1[[#This Row],[BW_GA]])-1)/(Backend!$B$4/100*Table1[[#This Row],[BW40_3705]]),"")</f>
        <v/>
      </c>
      <c r="J2144" s="7" t="str">
        <f>IF(Table1[[#This Row],[Is Data Valid]]=TRUE,_xlfn.NORM.S.DIST(Table1[[#This Row],[Birthweight Z-Score]],TRUE)*100,"")</f>
        <v/>
      </c>
      <c r="K2144" s="7" t="str">
        <f>IF(Table1[[#This Row],[Is Data Valid]]=TRUE,_xlfn.NORM.S.DIST(Table1[[#This Row],[Birthweight Z-Score (BW-10%)]],TRUE)*100,"")</f>
        <v/>
      </c>
      <c r="L2144" s="7" t="str">
        <f>IF(Table1[[#This Row],[Is Data Valid]]=TRUE,_xlfn.NORM.S.DIST(Table1[[#This Row],[Birthweight Z-Score (BW+10%)]],TRUE)*100,"")</f>
        <v/>
      </c>
    </row>
    <row r="2145" spans="1:12" x14ac:dyDescent="0.35">
      <c r="A2145" s="3"/>
      <c r="B2145" s="2"/>
      <c r="C2145" s="2"/>
      <c r="D2145" s="2" t="b">
        <f>IF(AND(NOT(ISBLANK(Table1[[#This Row],[Fetal Sex (Male, Female or Unknown)]])),ISNUMBER(Table1[[#This Row],[Birthweight (grams)]]),ISNUMBER(Table1[[#This Row],[Gestation (days)]])),TRUE,FALSE)</f>
        <v>0</v>
      </c>
      <c r="E2145" s="2" t="str">
        <f>IF(Table1[[#This Row],[Is Data Valid]]=TRUE,IF(Table1[[#This Row],[Fetal Sex (Male, Female or Unknown)]]="Male",Backend!$C$6,IF(Table1[[#This Row],[Fetal Sex (Male, Female or Unknown)]]="Female",Backend!$C$7,IF(Table1[[#This Row],[Fetal Sex (Male, Female or Unknown)]]="Unknown",Backend!$C$8,"Error"))),"")</f>
        <v/>
      </c>
      <c r="F2145" s="8" t="str">
        <f>IF(Table1[[#This Row],[Is Data Valid]]=TRUE,EXP(0.578+0.332*((Table1[[#This Row],[Gestation (days)]]+0.5)/7)-0.00354*((Table1[[#This Row],[Gestation (days)]]+0.5)/7)^2)*Table1[[#This Row],[BW40_3705]],"")</f>
        <v/>
      </c>
      <c r="G2145" s="2" t="str">
        <f>IF(Table1[[#This Row],[Is Data Valid]]=TRUE,((Table1[[#This Row],[Birthweight (grams)]]/Table1[[#This Row],[BW_GA]])-1)/(Backend!$B$4/100*Table1[[#This Row],[BW40_3705]]),"")</f>
        <v/>
      </c>
      <c r="H2145" s="7" t="str">
        <f>IF(Table1[[#This Row],[Is Data Valid]]=TRUE,((Table1[[#This Row],[Birthweight (grams)]]*0.9/Table1[[#This Row],[BW_GA]])-1)/(Backend!$B$4/100*Table1[[#This Row],[BW40_3705]]),"")</f>
        <v/>
      </c>
      <c r="I2145" s="7" t="str">
        <f>IF(Table1[[#This Row],[Is Data Valid]]=TRUE,((Table1[[#This Row],[Birthweight (grams)]]*1.1/Table1[[#This Row],[BW_GA]])-1)/(Backend!$B$4/100*Table1[[#This Row],[BW40_3705]]),"")</f>
        <v/>
      </c>
      <c r="J2145" s="7" t="str">
        <f>IF(Table1[[#This Row],[Is Data Valid]]=TRUE,_xlfn.NORM.S.DIST(Table1[[#This Row],[Birthweight Z-Score]],TRUE)*100,"")</f>
        <v/>
      </c>
      <c r="K2145" s="7" t="str">
        <f>IF(Table1[[#This Row],[Is Data Valid]]=TRUE,_xlfn.NORM.S.DIST(Table1[[#This Row],[Birthweight Z-Score (BW-10%)]],TRUE)*100,"")</f>
        <v/>
      </c>
      <c r="L2145" s="7" t="str">
        <f>IF(Table1[[#This Row],[Is Data Valid]]=TRUE,_xlfn.NORM.S.DIST(Table1[[#This Row],[Birthweight Z-Score (BW+10%)]],TRUE)*100,"")</f>
        <v/>
      </c>
    </row>
    <row r="2146" spans="1:12" x14ac:dyDescent="0.35">
      <c r="A2146" s="3"/>
      <c r="B2146" s="2"/>
      <c r="C2146" s="2"/>
      <c r="D2146" s="2" t="b">
        <f>IF(AND(NOT(ISBLANK(Table1[[#This Row],[Fetal Sex (Male, Female or Unknown)]])),ISNUMBER(Table1[[#This Row],[Birthweight (grams)]]),ISNUMBER(Table1[[#This Row],[Gestation (days)]])),TRUE,FALSE)</f>
        <v>0</v>
      </c>
      <c r="E2146" s="2" t="str">
        <f>IF(Table1[[#This Row],[Is Data Valid]]=TRUE,IF(Table1[[#This Row],[Fetal Sex (Male, Female or Unknown)]]="Male",Backend!$C$6,IF(Table1[[#This Row],[Fetal Sex (Male, Female or Unknown)]]="Female",Backend!$C$7,IF(Table1[[#This Row],[Fetal Sex (Male, Female or Unknown)]]="Unknown",Backend!$C$8,"Error"))),"")</f>
        <v/>
      </c>
      <c r="F2146" s="8" t="str">
        <f>IF(Table1[[#This Row],[Is Data Valid]]=TRUE,EXP(0.578+0.332*((Table1[[#This Row],[Gestation (days)]]+0.5)/7)-0.00354*((Table1[[#This Row],[Gestation (days)]]+0.5)/7)^2)*Table1[[#This Row],[BW40_3705]],"")</f>
        <v/>
      </c>
      <c r="G2146" s="2" t="str">
        <f>IF(Table1[[#This Row],[Is Data Valid]]=TRUE,((Table1[[#This Row],[Birthweight (grams)]]/Table1[[#This Row],[BW_GA]])-1)/(Backend!$B$4/100*Table1[[#This Row],[BW40_3705]]),"")</f>
        <v/>
      </c>
      <c r="H2146" s="7" t="str">
        <f>IF(Table1[[#This Row],[Is Data Valid]]=TRUE,((Table1[[#This Row],[Birthweight (grams)]]*0.9/Table1[[#This Row],[BW_GA]])-1)/(Backend!$B$4/100*Table1[[#This Row],[BW40_3705]]),"")</f>
        <v/>
      </c>
      <c r="I2146" s="7" t="str">
        <f>IF(Table1[[#This Row],[Is Data Valid]]=TRUE,((Table1[[#This Row],[Birthweight (grams)]]*1.1/Table1[[#This Row],[BW_GA]])-1)/(Backend!$B$4/100*Table1[[#This Row],[BW40_3705]]),"")</f>
        <v/>
      </c>
      <c r="J2146" s="7" t="str">
        <f>IF(Table1[[#This Row],[Is Data Valid]]=TRUE,_xlfn.NORM.S.DIST(Table1[[#This Row],[Birthweight Z-Score]],TRUE)*100,"")</f>
        <v/>
      </c>
      <c r="K2146" s="7" t="str">
        <f>IF(Table1[[#This Row],[Is Data Valid]]=TRUE,_xlfn.NORM.S.DIST(Table1[[#This Row],[Birthweight Z-Score (BW-10%)]],TRUE)*100,"")</f>
        <v/>
      </c>
      <c r="L2146" s="7" t="str">
        <f>IF(Table1[[#This Row],[Is Data Valid]]=TRUE,_xlfn.NORM.S.DIST(Table1[[#This Row],[Birthweight Z-Score (BW+10%)]],TRUE)*100,"")</f>
        <v/>
      </c>
    </row>
    <row r="2147" spans="1:12" x14ac:dyDescent="0.35">
      <c r="A2147" s="3"/>
      <c r="B2147" s="2"/>
      <c r="C2147" s="2"/>
      <c r="D2147" s="2" t="b">
        <f>IF(AND(NOT(ISBLANK(Table1[[#This Row],[Fetal Sex (Male, Female or Unknown)]])),ISNUMBER(Table1[[#This Row],[Birthweight (grams)]]),ISNUMBER(Table1[[#This Row],[Gestation (days)]])),TRUE,FALSE)</f>
        <v>0</v>
      </c>
      <c r="E2147" s="2" t="str">
        <f>IF(Table1[[#This Row],[Is Data Valid]]=TRUE,IF(Table1[[#This Row],[Fetal Sex (Male, Female or Unknown)]]="Male",Backend!$C$6,IF(Table1[[#This Row],[Fetal Sex (Male, Female or Unknown)]]="Female",Backend!$C$7,IF(Table1[[#This Row],[Fetal Sex (Male, Female or Unknown)]]="Unknown",Backend!$C$8,"Error"))),"")</f>
        <v/>
      </c>
      <c r="F2147" s="8" t="str">
        <f>IF(Table1[[#This Row],[Is Data Valid]]=TRUE,EXP(0.578+0.332*((Table1[[#This Row],[Gestation (days)]]+0.5)/7)-0.00354*((Table1[[#This Row],[Gestation (days)]]+0.5)/7)^2)*Table1[[#This Row],[BW40_3705]],"")</f>
        <v/>
      </c>
      <c r="G2147" s="2" t="str">
        <f>IF(Table1[[#This Row],[Is Data Valid]]=TRUE,((Table1[[#This Row],[Birthweight (grams)]]/Table1[[#This Row],[BW_GA]])-1)/(Backend!$B$4/100*Table1[[#This Row],[BW40_3705]]),"")</f>
        <v/>
      </c>
      <c r="H2147" s="7" t="str">
        <f>IF(Table1[[#This Row],[Is Data Valid]]=TRUE,((Table1[[#This Row],[Birthweight (grams)]]*0.9/Table1[[#This Row],[BW_GA]])-1)/(Backend!$B$4/100*Table1[[#This Row],[BW40_3705]]),"")</f>
        <v/>
      </c>
      <c r="I2147" s="7" t="str">
        <f>IF(Table1[[#This Row],[Is Data Valid]]=TRUE,((Table1[[#This Row],[Birthweight (grams)]]*1.1/Table1[[#This Row],[BW_GA]])-1)/(Backend!$B$4/100*Table1[[#This Row],[BW40_3705]]),"")</f>
        <v/>
      </c>
      <c r="J2147" s="7" t="str">
        <f>IF(Table1[[#This Row],[Is Data Valid]]=TRUE,_xlfn.NORM.S.DIST(Table1[[#This Row],[Birthweight Z-Score]],TRUE)*100,"")</f>
        <v/>
      </c>
      <c r="K2147" s="7" t="str">
        <f>IF(Table1[[#This Row],[Is Data Valid]]=TRUE,_xlfn.NORM.S.DIST(Table1[[#This Row],[Birthweight Z-Score (BW-10%)]],TRUE)*100,"")</f>
        <v/>
      </c>
      <c r="L2147" s="7" t="str">
        <f>IF(Table1[[#This Row],[Is Data Valid]]=TRUE,_xlfn.NORM.S.DIST(Table1[[#This Row],[Birthweight Z-Score (BW+10%)]],TRUE)*100,"")</f>
        <v/>
      </c>
    </row>
    <row r="2148" spans="1:12" x14ac:dyDescent="0.35">
      <c r="A2148" s="3"/>
      <c r="B2148" s="2"/>
      <c r="C2148" s="2"/>
      <c r="D2148" s="2" t="b">
        <f>IF(AND(NOT(ISBLANK(Table1[[#This Row],[Fetal Sex (Male, Female or Unknown)]])),ISNUMBER(Table1[[#This Row],[Birthweight (grams)]]),ISNUMBER(Table1[[#This Row],[Gestation (days)]])),TRUE,FALSE)</f>
        <v>0</v>
      </c>
      <c r="E2148" s="2" t="str">
        <f>IF(Table1[[#This Row],[Is Data Valid]]=TRUE,IF(Table1[[#This Row],[Fetal Sex (Male, Female or Unknown)]]="Male",Backend!$C$6,IF(Table1[[#This Row],[Fetal Sex (Male, Female or Unknown)]]="Female",Backend!$C$7,IF(Table1[[#This Row],[Fetal Sex (Male, Female or Unknown)]]="Unknown",Backend!$C$8,"Error"))),"")</f>
        <v/>
      </c>
      <c r="F2148" s="8" t="str">
        <f>IF(Table1[[#This Row],[Is Data Valid]]=TRUE,EXP(0.578+0.332*((Table1[[#This Row],[Gestation (days)]]+0.5)/7)-0.00354*((Table1[[#This Row],[Gestation (days)]]+0.5)/7)^2)*Table1[[#This Row],[BW40_3705]],"")</f>
        <v/>
      </c>
      <c r="G2148" s="2" t="str">
        <f>IF(Table1[[#This Row],[Is Data Valid]]=TRUE,((Table1[[#This Row],[Birthweight (grams)]]/Table1[[#This Row],[BW_GA]])-1)/(Backend!$B$4/100*Table1[[#This Row],[BW40_3705]]),"")</f>
        <v/>
      </c>
      <c r="H2148" s="7" t="str">
        <f>IF(Table1[[#This Row],[Is Data Valid]]=TRUE,((Table1[[#This Row],[Birthweight (grams)]]*0.9/Table1[[#This Row],[BW_GA]])-1)/(Backend!$B$4/100*Table1[[#This Row],[BW40_3705]]),"")</f>
        <v/>
      </c>
      <c r="I2148" s="7" t="str">
        <f>IF(Table1[[#This Row],[Is Data Valid]]=TRUE,((Table1[[#This Row],[Birthweight (grams)]]*1.1/Table1[[#This Row],[BW_GA]])-1)/(Backend!$B$4/100*Table1[[#This Row],[BW40_3705]]),"")</f>
        <v/>
      </c>
      <c r="J2148" s="7" t="str">
        <f>IF(Table1[[#This Row],[Is Data Valid]]=TRUE,_xlfn.NORM.S.DIST(Table1[[#This Row],[Birthweight Z-Score]],TRUE)*100,"")</f>
        <v/>
      </c>
      <c r="K2148" s="7" t="str">
        <f>IF(Table1[[#This Row],[Is Data Valid]]=TRUE,_xlfn.NORM.S.DIST(Table1[[#This Row],[Birthweight Z-Score (BW-10%)]],TRUE)*100,"")</f>
        <v/>
      </c>
      <c r="L2148" s="7" t="str">
        <f>IF(Table1[[#This Row],[Is Data Valid]]=TRUE,_xlfn.NORM.S.DIST(Table1[[#This Row],[Birthweight Z-Score (BW+10%)]],TRUE)*100,"")</f>
        <v/>
      </c>
    </row>
    <row r="2149" spans="1:12" x14ac:dyDescent="0.35">
      <c r="A2149" s="3"/>
      <c r="B2149" s="2"/>
      <c r="C2149" s="2"/>
      <c r="D2149" s="2" t="b">
        <f>IF(AND(NOT(ISBLANK(Table1[[#This Row],[Fetal Sex (Male, Female or Unknown)]])),ISNUMBER(Table1[[#This Row],[Birthweight (grams)]]),ISNUMBER(Table1[[#This Row],[Gestation (days)]])),TRUE,FALSE)</f>
        <v>0</v>
      </c>
      <c r="E2149" s="2" t="str">
        <f>IF(Table1[[#This Row],[Is Data Valid]]=TRUE,IF(Table1[[#This Row],[Fetal Sex (Male, Female or Unknown)]]="Male",Backend!$C$6,IF(Table1[[#This Row],[Fetal Sex (Male, Female or Unknown)]]="Female",Backend!$C$7,IF(Table1[[#This Row],[Fetal Sex (Male, Female or Unknown)]]="Unknown",Backend!$C$8,"Error"))),"")</f>
        <v/>
      </c>
      <c r="F2149" s="8" t="str">
        <f>IF(Table1[[#This Row],[Is Data Valid]]=TRUE,EXP(0.578+0.332*((Table1[[#This Row],[Gestation (days)]]+0.5)/7)-0.00354*((Table1[[#This Row],[Gestation (days)]]+0.5)/7)^2)*Table1[[#This Row],[BW40_3705]],"")</f>
        <v/>
      </c>
      <c r="G2149" s="2" t="str">
        <f>IF(Table1[[#This Row],[Is Data Valid]]=TRUE,((Table1[[#This Row],[Birthweight (grams)]]/Table1[[#This Row],[BW_GA]])-1)/(Backend!$B$4/100*Table1[[#This Row],[BW40_3705]]),"")</f>
        <v/>
      </c>
      <c r="H2149" s="7" t="str">
        <f>IF(Table1[[#This Row],[Is Data Valid]]=TRUE,((Table1[[#This Row],[Birthweight (grams)]]*0.9/Table1[[#This Row],[BW_GA]])-1)/(Backend!$B$4/100*Table1[[#This Row],[BW40_3705]]),"")</f>
        <v/>
      </c>
      <c r="I2149" s="7" t="str">
        <f>IF(Table1[[#This Row],[Is Data Valid]]=TRUE,((Table1[[#This Row],[Birthweight (grams)]]*1.1/Table1[[#This Row],[BW_GA]])-1)/(Backend!$B$4/100*Table1[[#This Row],[BW40_3705]]),"")</f>
        <v/>
      </c>
      <c r="J2149" s="7" t="str">
        <f>IF(Table1[[#This Row],[Is Data Valid]]=TRUE,_xlfn.NORM.S.DIST(Table1[[#This Row],[Birthweight Z-Score]],TRUE)*100,"")</f>
        <v/>
      </c>
      <c r="K2149" s="7" t="str">
        <f>IF(Table1[[#This Row],[Is Data Valid]]=TRUE,_xlfn.NORM.S.DIST(Table1[[#This Row],[Birthweight Z-Score (BW-10%)]],TRUE)*100,"")</f>
        <v/>
      </c>
      <c r="L2149" s="7" t="str">
        <f>IF(Table1[[#This Row],[Is Data Valid]]=TRUE,_xlfn.NORM.S.DIST(Table1[[#This Row],[Birthweight Z-Score (BW+10%)]],TRUE)*100,"")</f>
        <v/>
      </c>
    </row>
    <row r="2150" spans="1:12" x14ac:dyDescent="0.35">
      <c r="A2150" s="3"/>
      <c r="B2150" s="2"/>
      <c r="C2150" s="2"/>
      <c r="D2150" s="2" t="b">
        <f>IF(AND(NOT(ISBLANK(Table1[[#This Row],[Fetal Sex (Male, Female or Unknown)]])),ISNUMBER(Table1[[#This Row],[Birthweight (grams)]]),ISNUMBER(Table1[[#This Row],[Gestation (days)]])),TRUE,FALSE)</f>
        <v>0</v>
      </c>
      <c r="E2150" s="2" t="str">
        <f>IF(Table1[[#This Row],[Is Data Valid]]=TRUE,IF(Table1[[#This Row],[Fetal Sex (Male, Female or Unknown)]]="Male",Backend!$C$6,IF(Table1[[#This Row],[Fetal Sex (Male, Female or Unknown)]]="Female",Backend!$C$7,IF(Table1[[#This Row],[Fetal Sex (Male, Female or Unknown)]]="Unknown",Backend!$C$8,"Error"))),"")</f>
        <v/>
      </c>
      <c r="F2150" s="8" t="str">
        <f>IF(Table1[[#This Row],[Is Data Valid]]=TRUE,EXP(0.578+0.332*((Table1[[#This Row],[Gestation (days)]]+0.5)/7)-0.00354*((Table1[[#This Row],[Gestation (days)]]+0.5)/7)^2)*Table1[[#This Row],[BW40_3705]],"")</f>
        <v/>
      </c>
      <c r="G2150" s="2" t="str">
        <f>IF(Table1[[#This Row],[Is Data Valid]]=TRUE,((Table1[[#This Row],[Birthweight (grams)]]/Table1[[#This Row],[BW_GA]])-1)/(Backend!$B$4/100*Table1[[#This Row],[BW40_3705]]),"")</f>
        <v/>
      </c>
      <c r="H2150" s="7" t="str">
        <f>IF(Table1[[#This Row],[Is Data Valid]]=TRUE,((Table1[[#This Row],[Birthweight (grams)]]*0.9/Table1[[#This Row],[BW_GA]])-1)/(Backend!$B$4/100*Table1[[#This Row],[BW40_3705]]),"")</f>
        <v/>
      </c>
      <c r="I2150" s="7" t="str">
        <f>IF(Table1[[#This Row],[Is Data Valid]]=TRUE,((Table1[[#This Row],[Birthweight (grams)]]*1.1/Table1[[#This Row],[BW_GA]])-1)/(Backend!$B$4/100*Table1[[#This Row],[BW40_3705]]),"")</f>
        <v/>
      </c>
      <c r="J2150" s="7" t="str">
        <f>IF(Table1[[#This Row],[Is Data Valid]]=TRUE,_xlfn.NORM.S.DIST(Table1[[#This Row],[Birthweight Z-Score]],TRUE)*100,"")</f>
        <v/>
      </c>
      <c r="K2150" s="7" t="str">
        <f>IF(Table1[[#This Row],[Is Data Valid]]=TRUE,_xlfn.NORM.S.DIST(Table1[[#This Row],[Birthweight Z-Score (BW-10%)]],TRUE)*100,"")</f>
        <v/>
      </c>
      <c r="L2150" s="7" t="str">
        <f>IF(Table1[[#This Row],[Is Data Valid]]=TRUE,_xlfn.NORM.S.DIST(Table1[[#This Row],[Birthweight Z-Score (BW+10%)]],TRUE)*100,"")</f>
        <v/>
      </c>
    </row>
    <row r="2151" spans="1:12" x14ac:dyDescent="0.35">
      <c r="A2151" s="3"/>
      <c r="B2151" s="2"/>
      <c r="C2151" s="2"/>
      <c r="D2151" s="2" t="b">
        <f>IF(AND(NOT(ISBLANK(Table1[[#This Row],[Fetal Sex (Male, Female or Unknown)]])),ISNUMBER(Table1[[#This Row],[Birthweight (grams)]]),ISNUMBER(Table1[[#This Row],[Gestation (days)]])),TRUE,FALSE)</f>
        <v>0</v>
      </c>
      <c r="E2151" s="2" t="str">
        <f>IF(Table1[[#This Row],[Is Data Valid]]=TRUE,IF(Table1[[#This Row],[Fetal Sex (Male, Female or Unknown)]]="Male",Backend!$C$6,IF(Table1[[#This Row],[Fetal Sex (Male, Female or Unknown)]]="Female",Backend!$C$7,IF(Table1[[#This Row],[Fetal Sex (Male, Female or Unknown)]]="Unknown",Backend!$C$8,"Error"))),"")</f>
        <v/>
      </c>
      <c r="F2151" s="8" t="str">
        <f>IF(Table1[[#This Row],[Is Data Valid]]=TRUE,EXP(0.578+0.332*((Table1[[#This Row],[Gestation (days)]]+0.5)/7)-0.00354*((Table1[[#This Row],[Gestation (days)]]+0.5)/7)^2)*Table1[[#This Row],[BW40_3705]],"")</f>
        <v/>
      </c>
      <c r="G2151" s="2" t="str">
        <f>IF(Table1[[#This Row],[Is Data Valid]]=TRUE,((Table1[[#This Row],[Birthweight (grams)]]/Table1[[#This Row],[BW_GA]])-1)/(Backend!$B$4/100*Table1[[#This Row],[BW40_3705]]),"")</f>
        <v/>
      </c>
      <c r="H2151" s="7" t="str">
        <f>IF(Table1[[#This Row],[Is Data Valid]]=TRUE,((Table1[[#This Row],[Birthweight (grams)]]*0.9/Table1[[#This Row],[BW_GA]])-1)/(Backend!$B$4/100*Table1[[#This Row],[BW40_3705]]),"")</f>
        <v/>
      </c>
      <c r="I2151" s="7" t="str">
        <f>IF(Table1[[#This Row],[Is Data Valid]]=TRUE,((Table1[[#This Row],[Birthweight (grams)]]*1.1/Table1[[#This Row],[BW_GA]])-1)/(Backend!$B$4/100*Table1[[#This Row],[BW40_3705]]),"")</f>
        <v/>
      </c>
      <c r="J2151" s="7" t="str">
        <f>IF(Table1[[#This Row],[Is Data Valid]]=TRUE,_xlfn.NORM.S.DIST(Table1[[#This Row],[Birthweight Z-Score]],TRUE)*100,"")</f>
        <v/>
      </c>
      <c r="K2151" s="7" t="str">
        <f>IF(Table1[[#This Row],[Is Data Valid]]=TRUE,_xlfn.NORM.S.DIST(Table1[[#This Row],[Birthweight Z-Score (BW-10%)]],TRUE)*100,"")</f>
        <v/>
      </c>
      <c r="L2151" s="7" t="str">
        <f>IF(Table1[[#This Row],[Is Data Valid]]=TRUE,_xlfn.NORM.S.DIST(Table1[[#This Row],[Birthweight Z-Score (BW+10%)]],TRUE)*100,"")</f>
        <v/>
      </c>
    </row>
    <row r="2152" spans="1:12" x14ac:dyDescent="0.35">
      <c r="A2152" s="3"/>
      <c r="B2152" s="2"/>
      <c r="C2152" s="2"/>
      <c r="D2152" s="2" t="b">
        <f>IF(AND(NOT(ISBLANK(Table1[[#This Row],[Fetal Sex (Male, Female or Unknown)]])),ISNUMBER(Table1[[#This Row],[Birthweight (grams)]]),ISNUMBER(Table1[[#This Row],[Gestation (days)]])),TRUE,FALSE)</f>
        <v>0</v>
      </c>
      <c r="E2152" s="2" t="str">
        <f>IF(Table1[[#This Row],[Is Data Valid]]=TRUE,IF(Table1[[#This Row],[Fetal Sex (Male, Female or Unknown)]]="Male",Backend!$C$6,IF(Table1[[#This Row],[Fetal Sex (Male, Female or Unknown)]]="Female",Backend!$C$7,IF(Table1[[#This Row],[Fetal Sex (Male, Female or Unknown)]]="Unknown",Backend!$C$8,"Error"))),"")</f>
        <v/>
      </c>
      <c r="F2152" s="8" t="str">
        <f>IF(Table1[[#This Row],[Is Data Valid]]=TRUE,EXP(0.578+0.332*((Table1[[#This Row],[Gestation (days)]]+0.5)/7)-0.00354*((Table1[[#This Row],[Gestation (days)]]+0.5)/7)^2)*Table1[[#This Row],[BW40_3705]],"")</f>
        <v/>
      </c>
      <c r="G2152" s="2" t="str">
        <f>IF(Table1[[#This Row],[Is Data Valid]]=TRUE,((Table1[[#This Row],[Birthweight (grams)]]/Table1[[#This Row],[BW_GA]])-1)/(Backend!$B$4/100*Table1[[#This Row],[BW40_3705]]),"")</f>
        <v/>
      </c>
      <c r="H2152" s="7" t="str">
        <f>IF(Table1[[#This Row],[Is Data Valid]]=TRUE,((Table1[[#This Row],[Birthweight (grams)]]*0.9/Table1[[#This Row],[BW_GA]])-1)/(Backend!$B$4/100*Table1[[#This Row],[BW40_3705]]),"")</f>
        <v/>
      </c>
      <c r="I2152" s="7" t="str">
        <f>IF(Table1[[#This Row],[Is Data Valid]]=TRUE,((Table1[[#This Row],[Birthweight (grams)]]*1.1/Table1[[#This Row],[BW_GA]])-1)/(Backend!$B$4/100*Table1[[#This Row],[BW40_3705]]),"")</f>
        <v/>
      </c>
      <c r="J2152" s="7" t="str">
        <f>IF(Table1[[#This Row],[Is Data Valid]]=TRUE,_xlfn.NORM.S.DIST(Table1[[#This Row],[Birthweight Z-Score]],TRUE)*100,"")</f>
        <v/>
      </c>
      <c r="K2152" s="7" t="str">
        <f>IF(Table1[[#This Row],[Is Data Valid]]=TRUE,_xlfn.NORM.S.DIST(Table1[[#This Row],[Birthweight Z-Score (BW-10%)]],TRUE)*100,"")</f>
        <v/>
      </c>
      <c r="L2152" s="7" t="str">
        <f>IF(Table1[[#This Row],[Is Data Valid]]=TRUE,_xlfn.NORM.S.DIST(Table1[[#This Row],[Birthweight Z-Score (BW+10%)]],TRUE)*100,"")</f>
        <v/>
      </c>
    </row>
    <row r="2153" spans="1:12" x14ac:dyDescent="0.35">
      <c r="A2153" s="3"/>
      <c r="B2153" s="2"/>
      <c r="C2153" s="2"/>
      <c r="D2153" s="2" t="b">
        <f>IF(AND(NOT(ISBLANK(Table1[[#This Row],[Fetal Sex (Male, Female or Unknown)]])),ISNUMBER(Table1[[#This Row],[Birthweight (grams)]]),ISNUMBER(Table1[[#This Row],[Gestation (days)]])),TRUE,FALSE)</f>
        <v>0</v>
      </c>
      <c r="E2153" s="2" t="str">
        <f>IF(Table1[[#This Row],[Is Data Valid]]=TRUE,IF(Table1[[#This Row],[Fetal Sex (Male, Female or Unknown)]]="Male",Backend!$C$6,IF(Table1[[#This Row],[Fetal Sex (Male, Female or Unknown)]]="Female",Backend!$C$7,IF(Table1[[#This Row],[Fetal Sex (Male, Female or Unknown)]]="Unknown",Backend!$C$8,"Error"))),"")</f>
        <v/>
      </c>
      <c r="F2153" s="8" t="str">
        <f>IF(Table1[[#This Row],[Is Data Valid]]=TRUE,EXP(0.578+0.332*((Table1[[#This Row],[Gestation (days)]]+0.5)/7)-0.00354*((Table1[[#This Row],[Gestation (days)]]+0.5)/7)^2)*Table1[[#This Row],[BW40_3705]],"")</f>
        <v/>
      </c>
      <c r="G2153" s="2" t="str">
        <f>IF(Table1[[#This Row],[Is Data Valid]]=TRUE,((Table1[[#This Row],[Birthweight (grams)]]/Table1[[#This Row],[BW_GA]])-1)/(Backend!$B$4/100*Table1[[#This Row],[BW40_3705]]),"")</f>
        <v/>
      </c>
      <c r="H2153" s="7" t="str">
        <f>IF(Table1[[#This Row],[Is Data Valid]]=TRUE,((Table1[[#This Row],[Birthweight (grams)]]*0.9/Table1[[#This Row],[BW_GA]])-1)/(Backend!$B$4/100*Table1[[#This Row],[BW40_3705]]),"")</f>
        <v/>
      </c>
      <c r="I2153" s="7" t="str">
        <f>IF(Table1[[#This Row],[Is Data Valid]]=TRUE,((Table1[[#This Row],[Birthweight (grams)]]*1.1/Table1[[#This Row],[BW_GA]])-1)/(Backend!$B$4/100*Table1[[#This Row],[BW40_3705]]),"")</f>
        <v/>
      </c>
      <c r="J2153" s="7" t="str">
        <f>IF(Table1[[#This Row],[Is Data Valid]]=TRUE,_xlfn.NORM.S.DIST(Table1[[#This Row],[Birthweight Z-Score]],TRUE)*100,"")</f>
        <v/>
      </c>
      <c r="K2153" s="7" t="str">
        <f>IF(Table1[[#This Row],[Is Data Valid]]=TRUE,_xlfn.NORM.S.DIST(Table1[[#This Row],[Birthweight Z-Score (BW-10%)]],TRUE)*100,"")</f>
        <v/>
      </c>
      <c r="L2153" s="7" t="str">
        <f>IF(Table1[[#This Row],[Is Data Valid]]=TRUE,_xlfn.NORM.S.DIST(Table1[[#This Row],[Birthweight Z-Score (BW+10%)]],TRUE)*100,"")</f>
        <v/>
      </c>
    </row>
    <row r="2154" spans="1:12" x14ac:dyDescent="0.35">
      <c r="A2154" s="3"/>
      <c r="B2154" s="2"/>
      <c r="C2154" s="2"/>
      <c r="D2154" s="2" t="b">
        <f>IF(AND(NOT(ISBLANK(Table1[[#This Row],[Fetal Sex (Male, Female or Unknown)]])),ISNUMBER(Table1[[#This Row],[Birthweight (grams)]]),ISNUMBER(Table1[[#This Row],[Gestation (days)]])),TRUE,FALSE)</f>
        <v>0</v>
      </c>
      <c r="E2154" s="2" t="str">
        <f>IF(Table1[[#This Row],[Is Data Valid]]=TRUE,IF(Table1[[#This Row],[Fetal Sex (Male, Female or Unknown)]]="Male",Backend!$C$6,IF(Table1[[#This Row],[Fetal Sex (Male, Female or Unknown)]]="Female",Backend!$C$7,IF(Table1[[#This Row],[Fetal Sex (Male, Female or Unknown)]]="Unknown",Backend!$C$8,"Error"))),"")</f>
        <v/>
      </c>
      <c r="F2154" s="8" t="str">
        <f>IF(Table1[[#This Row],[Is Data Valid]]=TRUE,EXP(0.578+0.332*((Table1[[#This Row],[Gestation (days)]]+0.5)/7)-0.00354*((Table1[[#This Row],[Gestation (days)]]+0.5)/7)^2)*Table1[[#This Row],[BW40_3705]],"")</f>
        <v/>
      </c>
      <c r="G2154" s="2" t="str">
        <f>IF(Table1[[#This Row],[Is Data Valid]]=TRUE,((Table1[[#This Row],[Birthweight (grams)]]/Table1[[#This Row],[BW_GA]])-1)/(Backend!$B$4/100*Table1[[#This Row],[BW40_3705]]),"")</f>
        <v/>
      </c>
      <c r="H2154" s="7" t="str">
        <f>IF(Table1[[#This Row],[Is Data Valid]]=TRUE,((Table1[[#This Row],[Birthweight (grams)]]*0.9/Table1[[#This Row],[BW_GA]])-1)/(Backend!$B$4/100*Table1[[#This Row],[BW40_3705]]),"")</f>
        <v/>
      </c>
      <c r="I2154" s="7" t="str">
        <f>IF(Table1[[#This Row],[Is Data Valid]]=TRUE,((Table1[[#This Row],[Birthweight (grams)]]*1.1/Table1[[#This Row],[BW_GA]])-1)/(Backend!$B$4/100*Table1[[#This Row],[BW40_3705]]),"")</f>
        <v/>
      </c>
      <c r="J2154" s="7" t="str">
        <f>IF(Table1[[#This Row],[Is Data Valid]]=TRUE,_xlfn.NORM.S.DIST(Table1[[#This Row],[Birthweight Z-Score]],TRUE)*100,"")</f>
        <v/>
      </c>
      <c r="K2154" s="7" t="str">
        <f>IF(Table1[[#This Row],[Is Data Valid]]=TRUE,_xlfn.NORM.S.DIST(Table1[[#This Row],[Birthweight Z-Score (BW-10%)]],TRUE)*100,"")</f>
        <v/>
      </c>
      <c r="L2154" s="7" t="str">
        <f>IF(Table1[[#This Row],[Is Data Valid]]=TRUE,_xlfn.NORM.S.DIST(Table1[[#This Row],[Birthweight Z-Score (BW+10%)]],TRUE)*100,"")</f>
        <v/>
      </c>
    </row>
    <row r="2155" spans="1:12" x14ac:dyDescent="0.35">
      <c r="A2155" s="3"/>
      <c r="B2155" s="2"/>
      <c r="C2155" s="2"/>
      <c r="D2155" s="2" t="b">
        <f>IF(AND(NOT(ISBLANK(Table1[[#This Row],[Fetal Sex (Male, Female or Unknown)]])),ISNUMBER(Table1[[#This Row],[Birthweight (grams)]]),ISNUMBER(Table1[[#This Row],[Gestation (days)]])),TRUE,FALSE)</f>
        <v>0</v>
      </c>
      <c r="E2155" s="2" t="str">
        <f>IF(Table1[[#This Row],[Is Data Valid]]=TRUE,IF(Table1[[#This Row],[Fetal Sex (Male, Female or Unknown)]]="Male",Backend!$C$6,IF(Table1[[#This Row],[Fetal Sex (Male, Female or Unknown)]]="Female",Backend!$C$7,IF(Table1[[#This Row],[Fetal Sex (Male, Female or Unknown)]]="Unknown",Backend!$C$8,"Error"))),"")</f>
        <v/>
      </c>
      <c r="F2155" s="8" t="str">
        <f>IF(Table1[[#This Row],[Is Data Valid]]=TRUE,EXP(0.578+0.332*((Table1[[#This Row],[Gestation (days)]]+0.5)/7)-0.00354*((Table1[[#This Row],[Gestation (days)]]+0.5)/7)^2)*Table1[[#This Row],[BW40_3705]],"")</f>
        <v/>
      </c>
      <c r="G2155" s="2" t="str">
        <f>IF(Table1[[#This Row],[Is Data Valid]]=TRUE,((Table1[[#This Row],[Birthweight (grams)]]/Table1[[#This Row],[BW_GA]])-1)/(Backend!$B$4/100*Table1[[#This Row],[BW40_3705]]),"")</f>
        <v/>
      </c>
      <c r="H2155" s="7" t="str">
        <f>IF(Table1[[#This Row],[Is Data Valid]]=TRUE,((Table1[[#This Row],[Birthweight (grams)]]*0.9/Table1[[#This Row],[BW_GA]])-1)/(Backend!$B$4/100*Table1[[#This Row],[BW40_3705]]),"")</f>
        <v/>
      </c>
      <c r="I2155" s="7" t="str">
        <f>IF(Table1[[#This Row],[Is Data Valid]]=TRUE,((Table1[[#This Row],[Birthweight (grams)]]*1.1/Table1[[#This Row],[BW_GA]])-1)/(Backend!$B$4/100*Table1[[#This Row],[BW40_3705]]),"")</f>
        <v/>
      </c>
      <c r="J2155" s="7" t="str">
        <f>IF(Table1[[#This Row],[Is Data Valid]]=TRUE,_xlfn.NORM.S.DIST(Table1[[#This Row],[Birthweight Z-Score]],TRUE)*100,"")</f>
        <v/>
      </c>
      <c r="K2155" s="7" t="str">
        <f>IF(Table1[[#This Row],[Is Data Valid]]=TRUE,_xlfn.NORM.S.DIST(Table1[[#This Row],[Birthweight Z-Score (BW-10%)]],TRUE)*100,"")</f>
        <v/>
      </c>
      <c r="L2155" s="7" t="str">
        <f>IF(Table1[[#This Row],[Is Data Valid]]=TRUE,_xlfn.NORM.S.DIST(Table1[[#This Row],[Birthweight Z-Score (BW+10%)]],TRUE)*100,"")</f>
        <v/>
      </c>
    </row>
    <row r="2156" spans="1:12" x14ac:dyDescent="0.35">
      <c r="A2156" s="3"/>
      <c r="B2156" s="2"/>
      <c r="C2156" s="2"/>
      <c r="D2156" s="2" t="b">
        <f>IF(AND(NOT(ISBLANK(Table1[[#This Row],[Fetal Sex (Male, Female or Unknown)]])),ISNUMBER(Table1[[#This Row],[Birthweight (grams)]]),ISNUMBER(Table1[[#This Row],[Gestation (days)]])),TRUE,FALSE)</f>
        <v>0</v>
      </c>
      <c r="E2156" s="2" t="str">
        <f>IF(Table1[[#This Row],[Is Data Valid]]=TRUE,IF(Table1[[#This Row],[Fetal Sex (Male, Female or Unknown)]]="Male",Backend!$C$6,IF(Table1[[#This Row],[Fetal Sex (Male, Female or Unknown)]]="Female",Backend!$C$7,IF(Table1[[#This Row],[Fetal Sex (Male, Female or Unknown)]]="Unknown",Backend!$C$8,"Error"))),"")</f>
        <v/>
      </c>
      <c r="F2156" s="8" t="str">
        <f>IF(Table1[[#This Row],[Is Data Valid]]=TRUE,EXP(0.578+0.332*((Table1[[#This Row],[Gestation (days)]]+0.5)/7)-0.00354*((Table1[[#This Row],[Gestation (days)]]+0.5)/7)^2)*Table1[[#This Row],[BW40_3705]],"")</f>
        <v/>
      </c>
      <c r="G2156" s="2" t="str">
        <f>IF(Table1[[#This Row],[Is Data Valid]]=TRUE,((Table1[[#This Row],[Birthweight (grams)]]/Table1[[#This Row],[BW_GA]])-1)/(Backend!$B$4/100*Table1[[#This Row],[BW40_3705]]),"")</f>
        <v/>
      </c>
      <c r="H2156" s="7" t="str">
        <f>IF(Table1[[#This Row],[Is Data Valid]]=TRUE,((Table1[[#This Row],[Birthweight (grams)]]*0.9/Table1[[#This Row],[BW_GA]])-1)/(Backend!$B$4/100*Table1[[#This Row],[BW40_3705]]),"")</f>
        <v/>
      </c>
      <c r="I2156" s="7" t="str">
        <f>IF(Table1[[#This Row],[Is Data Valid]]=TRUE,((Table1[[#This Row],[Birthweight (grams)]]*1.1/Table1[[#This Row],[BW_GA]])-1)/(Backend!$B$4/100*Table1[[#This Row],[BW40_3705]]),"")</f>
        <v/>
      </c>
      <c r="J2156" s="7" t="str">
        <f>IF(Table1[[#This Row],[Is Data Valid]]=TRUE,_xlfn.NORM.S.DIST(Table1[[#This Row],[Birthweight Z-Score]],TRUE)*100,"")</f>
        <v/>
      </c>
      <c r="K2156" s="7" t="str">
        <f>IF(Table1[[#This Row],[Is Data Valid]]=TRUE,_xlfn.NORM.S.DIST(Table1[[#This Row],[Birthweight Z-Score (BW-10%)]],TRUE)*100,"")</f>
        <v/>
      </c>
      <c r="L2156" s="7" t="str">
        <f>IF(Table1[[#This Row],[Is Data Valid]]=TRUE,_xlfn.NORM.S.DIST(Table1[[#This Row],[Birthweight Z-Score (BW+10%)]],TRUE)*100,"")</f>
        <v/>
      </c>
    </row>
    <row r="2157" spans="1:12" x14ac:dyDescent="0.35">
      <c r="A2157" s="3"/>
      <c r="B2157" s="2"/>
      <c r="C2157" s="2"/>
      <c r="D2157" s="2" t="b">
        <f>IF(AND(NOT(ISBLANK(Table1[[#This Row],[Fetal Sex (Male, Female or Unknown)]])),ISNUMBER(Table1[[#This Row],[Birthweight (grams)]]),ISNUMBER(Table1[[#This Row],[Gestation (days)]])),TRUE,FALSE)</f>
        <v>0</v>
      </c>
      <c r="E2157" s="2" t="str">
        <f>IF(Table1[[#This Row],[Is Data Valid]]=TRUE,IF(Table1[[#This Row],[Fetal Sex (Male, Female or Unknown)]]="Male",Backend!$C$6,IF(Table1[[#This Row],[Fetal Sex (Male, Female or Unknown)]]="Female",Backend!$C$7,IF(Table1[[#This Row],[Fetal Sex (Male, Female or Unknown)]]="Unknown",Backend!$C$8,"Error"))),"")</f>
        <v/>
      </c>
      <c r="F2157" s="8" t="str">
        <f>IF(Table1[[#This Row],[Is Data Valid]]=TRUE,EXP(0.578+0.332*((Table1[[#This Row],[Gestation (days)]]+0.5)/7)-0.00354*((Table1[[#This Row],[Gestation (days)]]+0.5)/7)^2)*Table1[[#This Row],[BW40_3705]],"")</f>
        <v/>
      </c>
      <c r="G2157" s="2" t="str">
        <f>IF(Table1[[#This Row],[Is Data Valid]]=TRUE,((Table1[[#This Row],[Birthweight (grams)]]/Table1[[#This Row],[BW_GA]])-1)/(Backend!$B$4/100*Table1[[#This Row],[BW40_3705]]),"")</f>
        <v/>
      </c>
      <c r="H2157" s="7" t="str">
        <f>IF(Table1[[#This Row],[Is Data Valid]]=TRUE,((Table1[[#This Row],[Birthweight (grams)]]*0.9/Table1[[#This Row],[BW_GA]])-1)/(Backend!$B$4/100*Table1[[#This Row],[BW40_3705]]),"")</f>
        <v/>
      </c>
      <c r="I2157" s="7" t="str">
        <f>IF(Table1[[#This Row],[Is Data Valid]]=TRUE,((Table1[[#This Row],[Birthweight (grams)]]*1.1/Table1[[#This Row],[BW_GA]])-1)/(Backend!$B$4/100*Table1[[#This Row],[BW40_3705]]),"")</f>
        <v/>
      </c>
      <c r="J2157" s="7" t="str">
        <f>IF(Table1[[#This Row],[Is Data Valid]]=TRUE,_xlfn.NORM.S.DIST(Table1[[#This Row],[Birthweight Z-Score]],TRUE)*100,"")</f>
        <v/>
      </c>
      <c r="K2157" s="7" t="str">
        <f>IF(Table1[[#This Row],[Is Data Valid]]=TRUE,_xlfn.NORM.S.DIST(Table1[[#This Row],[Birthweight Z-Score (BW-10%)]],TRUE)*100,"")</f>
        <v/>
      </c>
      <c r="L2157" s="7" t="str">
        <f>IF(Table1[[#This Row],[Is Data Valid]]=TRUE,_xlfn.NORM.S.DIST(Table1[[#This Row],[Birthweight Z-Score (BW+10%)]],TRUE)*100,"")</f>
        <v/>
      </c>
    </row>
    <row r="2158" spans="1:12" x14ac:dyDescent="0.35">
      <c r="A2158" s="3"/>
      <c r="B2158" s="2"/>
      <c r="C2158" s="2"/>
      <c r="D2158" s="2" t="b">
        <f>IF(AND(NOT(ISBLANK(Table1[[#This Row],[Fetal Sex (Male, Female or Unknown)]])),ISNUMBER(Table1[[#This Row],[Birthweight (grams)]]),ISNUMBER(Table1[[#This Row],[Gestation (days)]])),TRUE,FALSE)</f>
        <v>0</v>
      </c>
      <c r="E2158" s="2" t="str">
        <f>IF(Table1[[#This Row],[Is Data Valid]]=TRUE,IF(Table1[[#This Row],[Fetal Sex (Male, Female or Unknown)]]="Male",Backend!$C$6,IF(Table1[[#This Row],[Fetal Sex (Male, Female or Unknown)]]="Female",Backend!$C$7,IF(Table1[[#This Row],[Fetal Sex (Male, Female or Unknown)]]="Unknown",Backend!$C$8,"Error"))),"")</f>
        <v/>
      </c>
      <c r="F2158" s="8" t="str">
        <f>IF(Table1[[#This Row],[Is Data Valid]]=TRUE,EXP(0.578+0.332*((Table1[[#This Row],[Gestation (days)]]+0.5)/7)-0.00354*((Table1[[#This Row],[Gestation (days)]]+0.5)/7)^2)*Table1[[#This Row],[BW40_3705]],"")</f>
        <v/>
      </c>
      <c r="G2158" s="2" t="str">
        <f>IF(Table1[[#This Row],[Is Data Valid]]=TRUE,((Table1[[#This Row],[Birthweight (grams)]]/Table1[[#This Row],[BW_GA]])-1)/(Backend!$B$4/100*Table1[[#This Row],[BW40_3705]]),"")</f>
        <v/>
      </c>
      <c r="H2158" s="7" t="str">
        <f>IF(Table1[[#This Row],[Is Data Valid]]=TRUE,((Table1[[#This Row],[Birthweight (grams)]]*0.9/Table1[[#This Row],[BW_GA]])-1)/(Backend!$B$4/100*Table1[[#This Row],[BW40_3705]]),"")</f>
        <v/>
      </c>
      <c r="I2158" s="7" t="str">
        <f>IF(Table1[[#This Row],[Is Data Valid]]=TRUE,((Table1[[#This Row],[Birthweight (grams)]]*1.1/Table1[[#This Row],[BW_GA]])-1)/(Backend!$B$4/100*Table1[[#This Row],[BW40_3705]]),"")</f>
        <v/>
      </c>
      <c r="J2158" s="7" t="str">
        <f>IF(Table1[[#This Row],[Is Data Valid]]=TRUE,_xlfn.NORM.S.DIST(Table1[[#This Row],[Birthweight Z-Score]],TRUE)*100,"")</f>
        <v/>
      </c>
      <c r="K2158" s="7" t="str">
        <f>IF(Table1[[#This Row],[Is Data Valid]]=TRUE,_xlfn.NORM.S.DIST(Table1[[#This Row],[Birthweight Z-Score (BW-10%)]],TRUE)*100,"")</f>
        <v/>
      </c>
      <c r="L2158" s="7" t="str">
        <f>IF(Table1[[#This Row],[Is Data Valid]]=TRUE,_xlfn.NORM.S.DIST(Table1[[#This Row],[Birthweight Z-Score (BW+10%)]],TRUE)*100,"")</f>
        <v/>
      </c>
    </row>
    <row r="2159" spans="1:12" x14ac:dyDescent="0.35">
      <c r="A2159" s="3"/>
      <c r="B2159" s="2"/>
      <c r="C2159" s="2"/>
      <c r="D2159" s="2" t="b">
        <f>IF(AND(NOT(ISBLANK(Table1[[#This Row],[Fetal Sex (Male, Female or Unknown)]])),ISNUMBER(Table1[[#This Row],[Birthweight (grams)]]),ISNUMBER(Table1[[#This Row],[Gestation (days)]])),TRUE,FALSE)</f>
        <v>0</v>
      </c>
      <c r="E2159" s="2" t="str">
        <f>IF(Table1[[#This Row],[Is Data Valid]]=TRUE,IF(Table1[[#This Row],[Fetal Sex (Male, Female or Unknown)]]="Male",Backend!$C$6,IF(Table1[[#This Row],[Fetal Sex (Male, Female or Unknown)]]="Female",Backend!$C$7,IF(Table1[[#This Row],[Fetal Sex (Male, Female or Unknown)]]="Unknown",Backend!$C$8,"Error"))),"")</f>
        <v/>
      </c>
      <c r="F2159" s="8" t="str">
        <f>IF(Table1[[#This Row],[Is Data Valid]]=TRUE,EXP(0.578+0.332*((Table1[[#This Row],[Gestation (days)]]+0.5)/7)-0.00354*((Table1[[#This Row],[Gestation (days)]]+0.5)/7)^2)*Table1[[#This Row],[BW40_3705]],"")</f>
        <v/>
      </c>
      <c r="G2159" s="2" t="str">
        <f>IF(Table1[[#This Row],[Is Data Valid]]=TRUE,((Table1[[#This Row],[Birthweight (grams)]]/Table1[[#This Row],[BW_GA]])-1)/(Backend!$B$4/100*Table1[[#This Row],[BW40_3705]]),"")</f>
        <v/>
      </c>
      <c r="H2159" s="7" t="str">
        <f>IF(Table1[[#This Row],[Is Data Valid]]=TRUE,((Table1[[#This Row],[Birthweight (grams)]]*0.9/Table1[[#This Row],[BW_GA]])-1)/(Backend!$B$4/100*Table1[[#This Row],[BW40_3705]]),"")</f>
        <v/>
      </c>
      <c r="I2159" s="7" t="str">
        <f>IF(Table1[[#This Row],[Is Data Valid]]=TRUE,((Table1[[#This Row],[Birthweight (grams)]]*1.1/Table1[[#This Row],[BW_GA]])-1)/(Backend!$B$4/100*Table1[[#This Row],[BW40_3705]]),"")</f>
        <v/>
      </c>
      <c r="J2159" s="7" t="str">
        <f>IF(Table1[[#This Row],[Is Data Valid]]=TRUE,_xlfn.NORM.S.DIST(Table1[[#This Row],[Birthweight Z-Score]],TRUE)*100,"")</f>
        <v/>
      </c>
      <c r="K2159" s="7" t="str">
        <f>IF(Table1[[#This Row],[Is Data Valid]]=TRUE,_xlfn.NORM.S.DIST(Table1[[#This Row],[Birthweight Z-Score (BW-10%)]],TRUE)*100,"")</f>
        <v/>
      </c>
      <c r="L2159" s="7" t="str">
        <f>IF(Table1[[#This Row],[Is Data Valid]]=TRUE,_xlfn.NORM.S.DIST(Table1[[#This Row],[Birthweight Z-Score (BW+10%)]],TRUE)*100,"")</f>
        <v/>
      </c>
    </row>
    <row r="2160" spans="1:12" x14ac:dyDescent="0.35">
      <c r="A2160" s="3"/>
      <c r="B2160" s="2"/>
      <c r="C2160" s="2"/>
      <c r="D2160" s="2" t="b">
        <f>IF(AND(NOT(ISBLANK(Table1[[#This Row],[Fetal Sex (Male, Female or Unknown)]])),ISNUMBER(Table1[[#This Row],[Birthweight (grams)]]),ISNUMBER(Table1[[#This Row],[Gestation (days)]])),TRUE,FALSE)</f>
        <v>0</v>
      </c>
      <c r="E2160" s="2" t="str">
        <f>IF(Table1[[#This Row],[Is Data Valid]]=TRUE,IF(Table1[[#This Row],[Fetal Sex (Male, Female or Unknown)]]="Male",Backend!$C$6,IF(Table1[[#This Row],[Fetal Sex (Male, Female or Unknown)]]="Female",Backend!$C$7,IF(Table1[[#This Row],[Fetal Sex (Male, Female or Unknown)]]="Unknown",Backend!$C$8,"Error"))),"")</f>
        <v/>
      </c>
      <c r="F2160" s="8" t="str">
        <f>IF(Table1[[#This Row],[Is Data Valid]]=TRUE,EXP(0.578+0.332*((Table1[[#This Row],[Gestation (days)]]+0.5)/7)-0.00354*((Table1[[#This Row],[Gestation (days)]]+0.5)/7)^2)*Table1[[#This Row],[BW40_3705]],"")</f>
        <v/>
      </c>
      <c r="G2160" s="2" t="str">
        <f>IF(Table1[[#This Row],[Is Data Valid]]=TRUE,((Table1[[#This Row],[Birthweight (grams)]]/Table1[[#This Row],[BW_GA]])-1)/(Backend!$B$4/100*Table1[[#This Row],[BW40_3705]]),"")</f>
        <v/>
      </c>
      <c r="H2160" s="7" t="str">
        <f>IF(Table1[[#This Row],[Is Data Valid]]=TRUE,((Table1[[#This Row],[Birthweight (grams)]]*0.9/Table1[[#This Row],[BW_GA]])-1)/(Backend!$B$4/100*Table1[[#This Row],[BW40_3705]]),"")</f>
        <v/>
      </c>
      <c r="I2160" s="7" t="str">
        <f>IF(Table1[[#This Row],[Is Data Valid]]=TRUE,((Table1[[#This Row],[Birthweight (grams)]]*1.1/Table1[[#This Row],[BW_GA]])-1)/(Backend!$B$4/100*Table1[[#This Row],[BW40_3705]]),"")</f>
        <v/>
      </c>
      <c r="J2160" s="7" t="str">
        <f>IF(Table1[[#This Row],[Is Data Valid]]=TRUE,_xlfn.NORM.S.DIST(Table1[[#This Row],[Birthweight Z-Score]],TRUE)*100,"")</f>
        <v/>
      </c>
      <c r="K2160" s="7" t="str">
        <f>IF(Table1[[#This Row],[Is Data Valid]]=TRUE,_xlfn.NORM.S.DIST(Table1[[#This Row],[Birthweight Z-Score (BW-10%)]],TRUE)*100,"")</f>
        <v/>
      </c>
      <c r="L2160" s="7" t="str">
        <f>IF(Table1[[#This Row],[Is Data Valid]]=TRUE,_xlfn.NORM.S.DIST(Table1[[#This Row],[Birthweight Z-Score (BW+10%)]],TRUE)*100,"")</f>
        <v/>
      </c>
    </row>
    <row r="2161" spans="1:12" x14ac:dyDescent="0.35">
      <c r="A2161" s="3"/>
      <c r="B2161" s="2"/>
      <c r="C2161" s="2"/>
      <c r="D2161" s="2" t="b">
        <f>IF(AND(NOT(ISBLANK(Table1[[#This Row],[Fetal Sex (Male, Female or Unknown)]])),ISNUMBER(Table1[[#This Row],[Birthweight (grams)]]),ISNUMBER(Table1[[#This Row],[Gestation (days)]])),TRUE,FALSE)</f>
        <v>0</v>
      </c>
      <c r="E2161" s="2" t="str">
        <f>IF(Table1[[#This Row],[Is Data Valid]]=TRUE,IF(Table1[[#This Row],[Fetal Sex (Male, Female or Unknown)]]="Male",Backend!$C$6,IF(Table1[[#This Row],[Fetal Sex (Male, Female or Unknown)]]="Female",Backend!$C$7,IF(Table1[[#This Row],[Fetal Sex (Male, Female or Unknown)]]="Unknown",Backend!$C$8,"Error"))),"")</f>
        <v/>
      </c>
      <c r="F2161" s="8" t="str">
        <f>IF(Table1[[#This Row],[Is Data Valid]]=TRUE,EXP(0.578+0.332*((Table1[[#This Row],[Gestation (days)]]+0.5)/7)-0.00354*((Table1[[#This Row],[Gestation (days)]]+0.5)/7)^2)*Table1[[#This Row],[BW40_3705]],"")</f>
        <v/>
      </c>
      <c r="G2161" s="2" t="str">
        <f>IF(Table1[[#This Row],[Is Data Valid]]=TRUE,((Table1[[#This Row],[Birthweight (grams)]]/Table1[[#This Row],[BW_GA]])-1)/(Backend!$B$4/100*Table1[[#This Row],[BW40_3705]]),"")</f>
        <v/>
      </c>
      <c r="H2161" s="7" t="str">
        <f>IF(Table1[[#This Row],[Is Data Valid]]=TRUE,((Table1[[#This Row],[Birthweight (grams)]]*0.9/Table1[[#This Row],[BW_GA]])-1)/(Backend!$B$4/100*Table1[[#This Row],[BW40_3705]]),"")</f>
        <v/>
      </c>
      <c r="I2161" s="7" t="str">
        <f>IF(Table1[[#This Row],[Is Data Valid]]=TRUE,((Table1[[#This Row],[Birthweight (grams)]]*1.1/Table1[[#This Row],[BW_GA]])-1)/(Backend!$B$4/100*Table1[[#This Row],[BW40_3705]]),"")</f>
        <v/>
      </c>
      <c r="J2161" s="7" t="str">
        <f>IF(Table1[[#This Row],[Is Data Valid]]=TRUE,_xlfn.NORM.S.DIST(Table1[[#This Row],[Birthweight Z-Score]],TRUE)*100,"")</f>
        <v/>
      </c>
      <c r="K2161" s="7" t="str">
        <f>IF(Table1[[#This Row],[Is Data Valid]]=TRUE,_xlfn.NORM.S.DIST(Table1[[#This Row],[Birthweight Z-Score (BW-10%)]],TRUE)*100,"")</f>
        <v/>
      </c>
      <c r="L2161" s="7" t="str">
        <f>IF(Table1[[#This Row],[Is Data Valid]]=TRUE,_xlfn.NORM.S.DIST(Table1[[#This Row],[Birthweight Z-Score (BW+10%)]],TRUE)*100,"")</f>
        <v/>
      </c>
    </row>
    <row r="2162" spans="1:12" x14ac:dyDescent="0.35">
      <c r="A2162" s="3"/>
      <c r="B2162" s="2"/>
      <c r="C2162" s="2"/>
      <c r="D2162" s="2" t="b">
        <f>IF(AND(NOT(ISBLANK(Table1[[#This Row],[Fetal Sex (Male, Female or Unknown)]])),ISNUMBER(Table1[[#This Row],[Birthweight (grams)]]),ISNUMBER(Table1[[#This Row],[Gestation (days)]])),TRUE,FALSE)</f>
        <v>0</v>
      </c>
      <c r="E2162" s="2" t="str">
        <f>IF(Table1[[#This Row],[Is Data Valid]]=TRUE,IF(Table1[[#This Row],[Fetal Sex (Male, Female or Unknown)]]="Male",Backend!$C$6,IF(Table1[[#This Row],[Fetal Sex (Male, Female or Unknown)]]="Female",Backend!$C$7,IF(Table1[[#This Row],[Fetal Sex (Male, Female or Unknown)]]="Unknown",Backend!$C$8,"Error"))),"")</f>
        <v/>
      </c>
      <c r="F2162" s="8" t="str">
        <f>IF(Table1[[#This Row],[Is Data Valid]]=TRUE,EXP(0.578+0.332*((Table1[[#This Row],[Gestation (days)]]+0.5)/7)-0.00354*((Table1[[#This Row],[Gestation (days)]]+0.5)/7)^2)*Table1[[#This Row],[BW40_3705]],"")</f>
        <v/>
      </c>
      <c r="G2162" s="2" t="str">
        <f>IF(Table1[[#This Row],[Is Data Valid]]=TRUE,((Table1[[#This Row],[Birthweight (grams)]]/Table1[[#This Row],[BW_GA]])-1)/(Backend!$B$4/100*Table1[[#This Row],[BW40_3705]]),"")</f>
        <v/>
      </c>
      <c r="H2162" s="7" t="str">
        <f>IF(Table1[[#This Row],[Is Data Valid]]=TRUE,((Table1[[#This Row],[Birthweight (grams)]]*0.9/Table1[[#This Row],[BW_GA]])-1)/(Backend!$B$4/100*Table1[[#This Row],[BW40_3705]]),"")</f>
        <v/>
      </c>
      <c r="I2162" s="7" t="str">
        <f>IF(Table1[[#This Row],[Is Data Valid]]=TRUE,((Table1[[#This Row],[Birthweight (grams)]]*1.1/Table1[[#This Row],[BW_GA]])-1)/(Backend!$B$4/100*Table1[[#This Row],[BW40_3705]]),"")</f>
        <v/>
      </c>
      <c r="J2162" s="7" t="str">
        <f>IF(Table1[[#This Row],[Is Data Valid]]=TRUE,_xlfn.NORM.S.DIST(Table1[[#This Row],[Birthweight Z-Score]],TRUE)*100,"")</f>
        <v/>
      </c>
      <c r="K2162" s="7" t="str">
        <f>IF(Table1[[#This Row],[Is Data Valid]]=TRUE,_xlfn.NORM.S.DIST(Table1[[#This Row],[Birthweight Z-Score (BW-10%)]],TRUE)*100,"")</f>
        <v/>
      </c>
      <c r="L2162" s="7" t="str">
        <f>IF(Table1[[#This Row],[Is Data Valid]]=TRUE,_xlfn.NORM.S.DIST(Table1[[#This Row],[Birthweight Z-Score (BW+10%)]],TRUE)*100,"")</f>
        <v/>
      </c>
    </row>
    <row r="2163" spans="1:12" x14ac:dyDescent="0.35">
      <c r="A2163" s="3"/>
      <c r="B2163" s="2"/>
      <c r="C2163" s="2"/>
      <c r="D2163" s="2" t="b">
        <f>IF(AND(NOT(ISBLANK(Table1[[#This Row],[Fetal Sex (Male, Female or Unknown)]])),ISNUMBER(Table1[[#This Row],[Birthweight (grams)]]),ISNUMBER(Table1[[#This Row],[Gestation (days)]])),TRUE,FALSE)</f>
        <v>0</v>
      </c>
      <c r="E2163" s="2" t="str">
        <f>IF(Table1[[#This Row],[Is Data Valid]]=TRUE,IF(Table1[[#This Row],[Fetal Sex (Male, Female or Unknown)]]="Male",Backend!$C$6,IF(Table1[[#This Row],[Fetal Sex (Male, Female or Unknown)]]="Female",Backend!$C$7,IF(Table1[[#This Row],[Fetal Sex (Male, Female or Unknown)]]="Unknown",Backend!$C$8,"Error"))),"")</f>
        <v/>
      </c>
      <c r="F2163" s="8" t="str">
        <f>IF(Table1[[#This Row],[Is Data Valid]]=TRUE,EXP(0.578+0.332*((Table1[[#This Row],[Gestation (days)]]+0.5)/7)-0.00354*((Table1[[#This Row],[Gestation (days)]]+0.5)/7)^2)*Table1[[#This Row],[BW40_3705]],"")</f>
        <v/>
      </c>
      <c r="G2163" s="2" t="str">
        <f>IF(Table1[[#This Row],[Is Data Valid]]=TRUE,((Table1[[#This Row],[Birthweight (grams)]]/Table1[[#This Row],[BW_GA]])-1)/(Backend!$B$4/100*Table1[[#This Row],[BW40_3705]]),"")</f>
        <v/>
      </c>
      <c r="H2163" s="7" t="str">
        <f>IF(Table1[[#This Row],[Is Data Valid]]=TRUE,((Table1[[#This Row],[Birthweight (grams)]]*0.9/Table1[[#This Row],[BW_GA]])-1)/(Backend!$B$4/100*Table1[[#This Row],[BW40_3705]]),"")</f>
        <v/>
      </c>
      <c r="I2163" s="7" t="str">
        <f>IF(Table1[[#This Row],[Is Data Valid]]=TRUE,((Table1[[#This Row],[Birthweight (grams)]]*1.1/Table1[[#This Row],[BW_GA]])-1)/(Backend!$B$4/100*Table1[[#This Row],[BW40_3705]]),"")</f>
        <v/>
      </c>
      <c r="J2163" s="7" t="str">
        <f>IF(Table1[[#This Row],[Is Data Valid]]=TRUE,_xlfn.NORM.S.DIST(Table1[[#This Row],[Birthweight Z-Score]],TRUE)*100,"")</f>
        <v/>
      </c>
      <c r="K2163" s="7" t="str">
        <f>IF(Table1[[#This Row],[Is Data Valid]]=TRUE,_xlfn.NORM.S.DIST(Table1[[#This Row],[Birthweight Z-Score (BW-10%)]],TRUE)*100,"")</f>
        <v/>
      </c>
      <c r="L2163" s="7" t="str">
        <f>IF(Table1[[#This Row],[Is Data Valid]]=TRUE,_xlfn.NORM.S.DIST(Table1[[#This Row],[Birthweight Z-Score (BW+10%)]],TRUE)*100,"")</f>
        <v/>
      </c>
    </row>
    <row r="2164" spans="1:12" x14ac:dyDescent="0.35">
      <c r="A2164" s="3"/>
      <c r="B2164" s="2"/>
      <c r="C2164" s="2"/>
      <c r="D2164" s="2" t="b">
        <f>IF(AND(NOT(ISBLANK(Table1[[#This Row],[Fetal Sex (Male, Female or Unknown)]])),ISNUMBER(Table1[[#This Row],[Birthweight (grams)]]),ISNUMBER(Table1[[#This Row],[Gestation (days)]])),TRUE,FALSE)</f>
        <v>0</v>
      </c>
      <c r="E2164" s="2" t="str">
        <f>IF(Table1[[#This Row],[Is Data Valid]]=TRUE,IF(Table1[[#This Row],[Fetal Sex (Male, Female or Unknown)]]="Male",Backend!$C$6,IF(Table1[[#This Row],[Fetal Sex (Male, Female or Unknown)]]="Female",Backend!$C$7,IF(Table1[[#This Row],[Fetal Sex (Male, Female or Unknown)]]="Unknown",Backend!$C$8,"Error"))),"")</f>
        <v/>
      </c>
      <c r="F2164" s="8" t="str">
        <f>IF(Table1[[#This Row],[Is Data Valid]]=TRUE,EXP(0.578+0.332*((Table1[[#This Row],[Gestation (days)]]+0.5)/7)-0.00354*((Table1[[#This Row],[Gestation (days)]]+0.5)/7)^2)*Table1[[#This Row],[BW40_3705]],"")</f>
        <v/>
      </c>
      <c r="G2164" s="2" t="str">
        <f>IF(Table1[[#This Row],[Is Data Valid]]=TRUE,((Table1[[#This Row],[Birthweight (grams)]]/Table1[[#This Row],[BW_GA]])-1)/(Backend!$B$4/100*Table1[[#This Row],[BW40_3705]]),"")</f>
        <v/>
      </c>
      <c r="H2164" s="7" t="str">
        <f>IF(Table1[[#This Row],[Is Data Valid]]=TRUE,((Table1[[#This Row],[Birthweight (grams)]]*0.9/Table1[[#This Row],[BW_GA]])-1)/(Backend!$B$4/100*Table1[[#This Row],[BW40_3705]]),"")</f>
        <v/>
      </c>
      <c r="I2164" s="7" t="str">
        <f>IF(Table1[[#This Row],[Is Data Valid]]=TRUE,((Table1[[#This Row],[Birthweight (grams)]]*1.1/Table1[[#This Row],[BW_GA]])-1)/(Backend!$B$4/100*Table1[[#This Row],[BW40_3705]]),"")</f>
        <v/>
      </c>
      <c r="J2164" s="7" t="str">
        <f>IF(Table1[[#This Row],[Is Data Valid]]=TRUE,_xlfn.NORM.S.DIST(Table1[[#This Row],[Birthweight Z-Score]],TRUE)*100,"")</f>
        <v/>
      </c>
      <c r="K2164" s="7" t="str">
        <f>IF(Table1[[#This Row],[Is Data Valid]]=TRUE,_xlfn.NORM.S.DIST(Table1[[#This Row],[Birthweight Z-Score (BW-10%)]],TRUE)*100,"")</f>
        <v/>
      </c>
      <c r="L2164" s="7" t="str">
        <f>IF(Table1[[#This Row],[Is Data Valid]]=TRUE,_xlfn.NORM.S.DIST(Table1[[#This Row],[Birthweight Z-Score (BW+10%)]],TRUE)*100,"")</f>
        <v/>
      </c>
    </row>
    <row r="2165" spans="1:12" x14ac:dyDescent="0.35">
      <c r="A2165" s="3"/>
      <c r="B2165" s="2"/>
      <c r="C2165" s="2"/>
      <c r="D2165" s="2" t="b">
        <f>IF(AND(NOT(ISBLANK(Table1[[#This Row],[Fetal Sex (Male, Female or Unknown)]])),ISNUMBER(Table1[[#This Row],[Birthweight (grams)]]),ISNUMBER(Table1[[#This Row],[Gestation (days)]])),TRUE,FALSE)</f>
        <v>0</v>
      </c>
      <c r="E2165" s="2" t="str">
        <f>IF(Table1[[#This Row],[Is Data Valid]]=TRUE,IF(Table1[[#This Row],[Fetal Sex (Male, Female or Unknown)]]="Male",Backend!$C$6,IF(Table1[[#This Row],[Fetal Sex (Male, Female or Unknown)]]="Female",Backend!$C$7,IF(Table1[[#This Row],[Fetal Sex (Male, Female or Unknown)]]="Unknown",Backend!$C$8,"Error"))),"")</f>
        <v/>
      </c>
      <c r="F2165" s="8" t="str">
        <f>IF(Table1[[#This Row],[Is Data Valid]]=TRUE,EXP(0.578+0.332*((Table1[[#This Row],[Gestation (days)]]+0.5)/7)-0.00354*((Table1[[#This Row],[Gestation (days)]]+0.5)/7)^2)*Table1[[#This Row],[BW40_3705]],"")</f>
        <v/>
      </c>
      <c r="G2165" s="2" t="str">
        <f>IF(Table1[[#This Row],[Is Data Valid]]=TRUE,((Table1[[#This Row],[Birthweight (grams)]]/Table1[[#This Row],[BW_GA]])-1)/(Backend!$B$4/100*Table1[[#This Row],[BW40_3705]]),"")</f>
        <v/>
      </c>
      <c r="H2165" s="7" t="str">
        <f>IF(Table1[[#This Row],[Is Data Valid]]=TRUE,((Table1[[#This Row],[Birthweight (grams)]]*0.9/Table1[[#This Row],[BW_GA]])-1)/(Backend!$B$4/100*Table1[[#This Row],[BW40_3705]]),"")</f>
        <v/>
      </c>
      <c r="I2165" s="7" t="str">
        <f>IF(Table1[[#This Row],[Is Data Valid]]=TRUE,((Table1[[#This Row],[Birthweight (grams)]]*1.1/Table1[[#This Row],[BW_GA]])-1)/(Backend!$B$4/100*Table1[[#This Row],[BW40_3705]]),"")</f>
        <v/>
      </c>
      <c r="J2165" s="7" t="str">
        <f>IF(Table1[[#This Row],[Is Data Valid]]=TRUE,_xlfn.NORM.S.DIST(Table1[[#This Row],[Birthweight Z-Score]],TRUE)*100,"")</f>
        <v/>
      </c>
      <c r="K2165" s="7" t="str">
        <f>IF(Table1[[#This Row],[Is Data Valid]]=TRUE,_xlfn.NORM.S.DIST(Table1[[#This Row],[Birthweight Z-Score (BW-10%)]],TRUE)*100,"")</f>
        <v/>
      </c>
      <c r="L2165" s="7" t="str">
        <f>IF(Table1[[#This Row],[Is Data Valid]]=TRUE,_xlfn.NORM.S.DIST(Table1[[#This Row],[Birthweight Z-Score (BW+10%)]],TRUE)*100,"")</f>
        <v/>
      </c>
    </row>
    <row r="2166" spans="1:12" x14ac:dyDescent="0.35">
      <c r="A2166" s="3"/>
      <c r="B2166" s="2"/>
      <c r="C2166" s="2"/>
      <c r="D2166" s="2" t="b">
        <f>IF(AND(NOT(ISBLANK(Table1[[#This Row],[Fetal Sex (Male, Female or Unknown)]])),ISNUMBER(Table1[[#This Row],[Birthweight (grams)]]),ISNUMBER(Table1[[#This Row],[Gestation (days)]])),TRUE,FALSE)</f>
        <v>0</v>
      </c>
      <c r="E2166" s="2" t="str">
        <f>IF(Table1[[#This Row],[Is Data Valid]]=TRUE,IF(Table1[[#This Row],[Fetal Sex (Male, Female or Unknown)]]="Male",Backend!$C$6,IF(Table1[[#This Row],[Fetal Sex (Male, Female or Unknown)]]="Female",Backend!$C$7,IF(Table1[[#This Row],[Fetal Sex (Male, Female or Unknown)]]="Unknown",Backend!$C$8,"Error"))),"")</f>
        <v/>
      </c>
      <c r="F2166" s="8" t="str">
        <f>IF(Table1[[#This Row],[Is Data Valid]]=TRUE,EXP(0.578+0.332*((Table1[[#This Row],[Gestation (days)]]+0.5)/7)-0.00354*((Table1[[#This Row],[Gestation (days)]]+0.5)/7)^2)*Table1[[#This Row],[BW40_3705]],"")</f>
        <v/>
      </c>
      <c r="G2166" s="2" t="str">
        <f>IF(Table1[[#This Row],[Is Data Valid]]=TRUE,((Table1[[#This Row],[Birthweight (grams)]]/Table1[[#This Row],[BW_GA]])-1)/(Backend!$B$4/100*Table1[[#This Row],[BW40_3705]]),"")</f>
        <v/>
      </c>
      <c r="H2166" s="7" t="str">
        <f>IF(Table1[[#This Row],[Is Data Valid]]=TRUE,((Table1[[#This Row],[Birthweight (grams)]]*0.9/Table1[[#This Row],[BW_GA]])-1)/(Backend!$B$4/100*Table1[[#This Row],[BW40_3705]]),"")</f>
        <v/>
      </c>
      <c r="I2166" s="7" t="str">
        <f>IF(Table1[[#This Row],[Is Data Valid]]=TRUE,((Table1[[#This Row],[Birthweight (grams)]]*1.1/Table1[[#This Row],[BW_GA]])-1)/(Backend!$B$4/100*Table1[[#This Row],[BW40_3705]]),"")</f>
        <v/>
      </c>
      <c r="J2166" s="7" t="str">
        <f>IF(Table1[[#This Row],[Is Data Valid]]=TRUE,_xlfn.NORM.S.DIST(Table1[[#This Row],[Birthweight Z-Score]],TRUE)*100,"")</f>
        <v/>
      </c>
      <c r="K2166" s="7" t="str">
        <f>IF(Table1[[#This Row],[Is Data Valid]]=TRUE,_xlfn.NORM.S.DIST(Table1[[#This Row],[Birthweight Z-Score (BW-10%)]],TRUE)*100,"")</f>
        <v/>
      </c>
      <c r="L2166" s="7" t="str">
        <f>IF(Table1[[#This Row],[Is Data Valid]]=TRUE,_xlfn.NORM.S.DIST(Table1[[#This Row],[Birthweight Z-Score (BW+10%)]],TRUE)*100,"")</f>
        <v/>
      </c>
    </row>
    <row r="2167" spans="1:12" x14ac:dyDescent="0.35">
      <c r="A2167" s="3"/>
      <c r="B2167" s="2"/>
      <c r="C2167" s="2"/>
      <c r="D2167" s="2" t="b">
        <f>IF(AND(NOT(ISBLANK(Table1[[#This Row],[Fetal Sex (Male, Female or Unknown)]])),ISNUMBER(Table1[[#This Row],[Birthweight (grams)]]),ISNUMBER(Table1[[#This Row],[Gestation (days)]])),TRUE,FALSE)</f>
        <v>0</v>
      </c>
      <c r="E2167" s="2" t="str">
        <f>IF(Table1[[#This Row],[Is Data Valid]]=TRUE,IF(Table1[[#This Row],[Fetal Sex (Male, Female or Unknown)]]="Male",Backend!$C$6,IF(Table1[[#This Row],[Fetal Sex (Male, Female or Unknown)]]="Female",Backend!$C$7,IF(Table1[[#This Row],[Fetal Sex (Male, Female or Unknown)]]="Unknown",Backend!$C$8,"Error"))),"")</f>
        <v/>
      </c>
      <c r="F2167" s="8" t="str">
        <f>IF(Table1[[#This Row],[Is Data Valid]]=TRUE,EXP(0.578+0.332*((Table1[[#This Row],[Gestation (days)]]+0.5)/7)-0.00354*((Table1[[#This Row],[Gestation (days)]]+0.5)/7)^2)*Table1[[#This Row],[BW40_3705]],"")</f>
        <v/>
      </c>
      <c r="G2167" s="2" t="str">
        <f>IF(Table1[[#This Row],[Is Data Valid]]=TRUE,((Table1[[#This Row],[Birthweight (grams)]]/Table1[[#This Row],[BW_GA]])-1)/(Backend!$B$4/100*Table1[[#This Row],[BW40_3705]]),"")</f>
        <v/>
      </c>
      <c r="H2167" s="7" t="str">
        <f>IF(Table1[[#This Row],[Is Data Valid]]=TRUE,((Table1[[#This Row],[Birthweight (grams)]]*0.9/Table1[[#This Row],[BW_GA]])-1)/(Backend!$B$4/100*Table1[[#This Row],[BW40_3705]]),"")</f>
        <v/>
      </c>
      <c r="I2167" s="7" t="str">
        <f>IF(Table1[[#This Row],[Is Data Valid]]=TRUE,((Table1[[#This Row],[Birthweight (grams)]]*1.1/Table1[[#This Row],[BW_GA]])-1)/(Backend!$B$4/100*Table1[[#This Row],[BW40_3705]]),"")</f>
        <v/>
      </c>
      <c r="J2167" s="7" t="str">
        <f>IF(Table1[[#This Row],[Is Data Valid]]=TRUE,_xlfn.NORM.S.DIST(Table1[[#This Row],[Birthweight Z-Score]],TRUE)*100,"")</f>
        <v/>
      </c>
      <c r="K2167" s="7" t="str">
        <f>IF(Table1[[#This Row],[Is Data Valid]]=TRUE,_xlfn.NORM.S.DIST(Table1[[#This Row],[Birthweight Z-Score (BW-10%)]],TRUE)*100,"")</f>
        <v/>
      </c>
      <c r="L2167" s="7" t="str">
        <f>IF(Table1[[#This Row],[Is Data Valid]]=TRUE,_xlfn.NORM.S.DIST(Table1[[#This Row],[Birthweight Z-Score (BW+10%)]],TRUE)*100,"")</f>
        <v/>
      </c>
    </row>
    <row r="2168" spans="1:12" x14ac:dyDescent="0.35">
      <c r="A2168" s="3"/>
      <c r="B2168" s="2"/>
      <c r="C2168" s="2"/>
      <c r="D2168" s="2" t="b">
        <f>IF(AND(NOT(ISBLANK(Table1[[#This Row],[Fetal Sex (Male, Female or Unknown)]])),ISNUMBER(Table1[[#This Row],[Birthweight (grams)]]),ISNUMBER(Table1[[#This Row],[Gestation (days)]])),TRUE,FALSE)</f>
        <v>0</v>
      </c>
      <c r="E2168" s="2" t="str">
        <f>IF(Table1[[#This Row],[Is Data Valid]]=TRUE,IF(Table1[[#This Row],[Fetal Sex (Male, Female or Unknown)]]="Male",Backend!$C$6,IF(Table1[[#This Row],[Fetal Sex (Male, Female or Unknown)]]="Female",Backend!$C$7,IF(Table1[[#This Row],[Fetal Sex (Male, Female or Unknown)]]="Unknown",Backend!$C$8,"Error"))),"")</f>
        <v/>
      </c>
      <c r="F2168" s="8" t="str">
        <f>IF(Table1[[#This Row],[Is Data Valid]]=TRUE,EXP(0.578+0.332*((Table1[[#This Row],[Gestation (days)]]+0.5)/7)-0.00354*((Table1[[#This Row],[Gestation (days)]]+0.5)/7)^2)*Table1[[#This Row],[BW40_3705]],"")</f>
        <v/>
      </c>
      <c r="G2168" s="2" t="str">
        <f>IF(Table1[[#This Row],[Is Data Valid]]=TRUE,((Table1[[#This Row],[Birthweight (grams)]]/Table1[[#This Row],[BW_GA]])-1)/(Backend!$B$4/100*Table1[[#This Row],[BW40_3705]]),"")</f>
        <v/>
      </c>
      <c r="H2168" s="7" t="str">
        <f>IF(Table1[[#This Row],[Is Data Valid]]=TRUE,((Table1[[#This Row],[Birthweight (grams)]]*0.9/Table1[[#This Row],[BW_GA]])-1)/(Backend!$B$4/100*Table1[[#This Row],[BW40_3705]]),"")</f>
        <v/>
      </c>
      <c r="I2168" s="7" t="str">
        <f>IF(Table1[[#This Row],[Is Data Valid]]=TRUE,((Table1[[#This Row],[Birthweight (grams)]]*1.1/Table1[[#This Row],[BW_GA]])-1)/(Backend!$B$4/100*Table1[[#This Row],[BW40_3705]]),"")</f>
        <v/>
      </c>
      <c r="J2168" s="7" t="str">
        <f>IF(Table1[[#This Row],[Is Data Valid]]=TRUE,_xlfn.NORM.S.DIST(Table1[[#This Row],[Birthweight Z-Score]],TRUE)*100,"")</f>
        <v/>
      </c>
      <c r="K2168" s="7" t="str">
        <f>IF(Table1[[#This Row],[Is Data Valid]]=TRUE,_xlfn.NORM.S.DIST(Table1[[#This Row],[Birthweight Z-Score (BW-10%)]],TRUE)*100,"")</f>
        <v/>
      </c>
      <c r="L2168" s="7" t="str">
        <f>IF(Table1[[#This Row],[Is Data Valid]]=TRUE,_xlfn.NORM.S.DIST(Table1[[#This Row],[Birthweight Z-Score (BW+10%)]],TRUE)*100,"")</f>
        <v/>
      </c>
    </row>
    <row r="2169" spans="1:12" x14ac:dyDescent="0.35">
      <c r="A2169" s="3"/>
      <c r="B2169" s="2"/>
      <c r="C2169" s="2"/>
      <c r="D2169" s="2" t="b">
        <f>IF(AND(NOT(ISBLANK(Table1[[#This Row],[Fetal Sex (Male, Female or Unknown)]])),ISNUMBER(Table1[[#This Row],[Birthweight (grams)]]),ISNUMBER(Table1[[#This Row],[Gestation (days)]])),TRUE,FALSE)</f>
        <v>0</v>
      </c>
      <c r="E2169" s="2" t="str">
        <f>IF(Table1[[#This Row],[Is Data Valid]]=TRUE,IF(Table1[[#This Row],[Fetal Sex (Male, Female or Unknown)]]="Male",Backend!$C$6,IF(Table1[[#This Row],[Fetal Sex (Male, Female or Unknown)]]="Female",Backend!$C$7,IF(Table1[[#This Row],[Fetal Sex (Male, Female or Unknown)]]="Unknown",Backend!$C$8,"Error"))),"")</f>
        <v/>
      </c>
      <c r="F2169" s="8" t="str">
        <f>IF(Table1[[#This Row],[Is Data Valid]]=TRUE,EXP(0.578+0.332*((Table1[[#This Row],[Gestation (days)]]+0.5)/7)-0.00354*((Table1[[#This Row],[Gestation (days)]]+0.5)/7)^2)*Table1[[#This Row],[BW40_3705]],"")</f>
        <v/>
      </c>
      <c r="G2169" s="2" t="str">
        <f>IF(Table1[[#This Row],[Is Data Valid]]=TRUE,((Table1[[#This Row],[Birthweight (grams)]]/Table1[[#This Row],[BW_GA]])-1)/(Backend!$B$4/100*Table1[[#This Row],[BW40_3705]]),"")</f>
        <v/>
      </c>
      <c r="H2169" s="7" t="str">
        <f>IF(Table1[[#This Row],[Is Data Valid]]=TRUE,((Table1[[#This Row],[Birthweight (grams)]]*0.9/Table1[[#This Row],[BW_GA]])-1)/(Backend!$B$4/100*Table1[[#This Row],[BW40_3705]]),"")</f>
        <v/>
      </c>
      <c r="I2169" s="7" t="str">
        <f>IF(Table1[[#This Row],[Is Data Valid]]=TRUE,((Table1[[#This Row],[Birthweight (grams)]]*1.1/Table1[[#This Row],[BW_GA]])-1)/(Backend!$B$4/100*Table1[[#This Row],[BW40_3705]]),"")</f>
        <v/>
      </c>
      <c r="J2169" s="7" t="str">
        <f>IF(Table1[[#This Row],[Is Data Valid]]=TRUE,_xlfn.NORM.S.DIST(Table1[[#This Row],[Birthweight Z-Score]],TRUE)*100,"")</f>
        <v/>
      </c>
      <c r="K2169" s="7" t="str">
        <f>IF(Table1[[#This Row],[Is Data Valid]]=TRUE,_xlfn.NORM.S.DIST(Table1[[#This Row],[Birthweight Z-Score (BW-10%)]],TRUE)*100,"")</f>
        <v/>
      </c>
      <c r="L2169" s="7" t="str">
        <f>IF(Table1[[#This Row],[Is Data Valid]]=TRUE,_xlfn.NORM.S.DIST(Table1[[#This Row],[Birthweight Z-Score (BW+10%)]],TRUE)*100,"")</f>
        <v/>
      </c>
    </row>
    <row r="2170" spans="1:12" x14ac:dyDescent="0.35">
      <c r="A2170" s="3"/>
      <c r="B2170" s="2"/>
      <c r="C2170" s="2"/>
      <c r="D2170" s="2" t="b">
        <f>IF(AND(NOT(ISBLANK(Table1[[#This Row],[Fetal Sex (Male, Female or Unknown)]])),ISNUMBER(Table1[[#This Row],[Birthweight (grams)]]),ISNUMBER(Table1[[#This Row],[Gestation (days)]])),TRUE,FALSE)</f>
        <v>0</v>
      </c>
      <c r="E2170" s="2" t="str">
        <f>IF(Table1[[#This Row],[Is Data Valid]]=TRUE,IF(Table1[[#This Row],[Fetal Sex (Male, Female or Unknown)]]="Male",Backend!$C$6,IF(Table1[[#This Row],[Fetal Sex (Male, Female or Unknown)]]="Female",Backend!$C$7,IF(Table1[[#This Row],[Fetal Sex (Male, Female or Unknown)]]="Unknown",Backend!$C$8,"Error"))),"")</f>
        <v/>
      </c>
      <c r="F2170" s="8" t="str">
        <f>IF(Table1[[#This Row],[Is Data Valid]]=TRUE,EXP(0.578+0.332*((Table1[[#This Row],[Gestation (days)]]+0.5)/7)-0.00354*((Table1[[#This Row],[Gestation (days)]]+0.5)/7)^2)*Table1[[#This Row],[BW40_3705]],"")</f>
        <v/>
      </c>
      <c r="G2170" s="2" t="str">
        <f>IF(Table1[[#This Row],[Is Data Valid]]=TRUE,((Table1[[#This Row],[Birthweight (grams)]]/Table1[[#This Row],[BW_GA]])-1)/(Backend!$B$4/100*Table1[[#This Row],[BW40_3705]]),"")</f>
        <v/>
      </c>
      <c r="H2170" s="7" t="str">
        <f>IF(Table1[[#This Row],[Is Data Valid]]=TRUE,((Table1[[#This Row],[Birthweight (grams)]]*0.9/Table1[[#This Row],[BW_GA]])-1)/(Backend!$B$4/100*Table1[[#This Row],[BW40_3705]]),"")</f>
        <v/>
      </c>
      <c r="I2170" s="7" t="str">
        <f>IF(Table1[[#This Row],[Is Data Valid]]=TRUE,((Table1[[#This Row],[Birthweight (grams)]]*1.1/Table1[[#This Row],[BW_GA]])-1)/(Backend!$B$4/100*Table1[[#This Row],[BW40_3705]]),"")</f>
        <v/>
      </c>
      <c r="J2170" s="7" t="str">
        <f>IF(Table1[[#This Row],[Is Data Valid]]=TRUE,_xlfn.NORM.S.DIST(Table1[[#This Row],[Birthweight Z-Score]],TRUE)*100,"")</f>
        <v/>
      </c>
      <c r="K2170" s="7" t="str">
        <f>IF(Table1[[#This Row],[Is Data Valid]]=TRUE,_xlfn.NORM.S.DIST(Table1[[#This Row],[Birthweight Z-Score (BW-10%)]],TRUE)*100,"")</f>
        <v/>
      </c>
      <c r="L2170" s="7" t="str">
        <f>IF(Table1[[#This Row],[Is Data Valid]]=TRUE,_xlfn.NORM.S.DIST(Table1[[#This Row],[Birthweight Z-Score (BW+10%)]],TRUE)*100,"")</f>
        <v/>
      </c>
    </row>
    <row r="2171" spans="1:12" x14ac:dyDescent="0.35">
      <c r="A2171" s="3"/>
      <c r="B2171" s="2"/>
      <c r="C2171" s="2"/>
      <c r="D2171" s="2" t="b">
        <f>IF(AND(NOT(ISBLANK(Table1[[#This Row],[Fetal Sex (Male, Female or Unknown)]])),ISNUMBER(Table1[[#This Row],[Birthweight (grams)]]),ISNUMBER(Table1[[#This Row],[Gestation (days)]])),TRUE,FALSE)</f>
        <v>0</v>
      </c>
      <c r="E2171" s="2" t="str">
        <f>IF(Table1[[#This Row],[Is Data Valid]]=TRUE,IF(Table1[[#This Row],[Fetal Sex (Male, Female or Unknown)]]="Male",Backend!$C$6,IF(Table1[[#This Row],[Fetal Sex (Male, Female or Unknown)]]="Female",Backend!$C$7,IF(Table1[[#This Row],[Fetal Sex (Male, Female or Unknown)]]="Unknown",Backend!$C$8,"Error"))),"")</f>
        <v/>
      </c>
      <c r="F2171" s="8" t="str">
        <f>IF(Table1[[#This Row],[Is Data Valid]]=TRUE,EXP(0.578+0.332*((Table1[[#This Row],[Gestation (days)]]+0.5)/7)-0.00354*((Table1[[#This Row],[Gestation (days)]]+0.5)/7)^2)*Table1[[#This Row],[BW40_3705]],"")</f>
        <v/>
      </c>
      <c r="G2171" s="2" t="str">
        <f>IF(Table1[[#This Row],[Is Data Valid]]=TRUE,((Table1[[#This Row],[Birthweight (grams)]]/Table1[[#This Row],[BW_GA]])-1)/(Backend!$B$4/100*Table1[[#This Row],[BW40_3705]]),"")</f>
        <v/>
      </c>
      <c r="H2171" s="7" t="str">
        <f>IF(Table1[[#This Row],[Is Data Valid]]=TRUE,((Table1[[#This Row],[Birthweight (grams)]]*0.9/Table1[[#This Row],[BW_GA]])-1)/(Backend!$B$4/100*Table1[[#This Row],[BW40_3705]]),"")</f>
        <v/>
      </c>
      <c r="I2171" s="7" t="str">
        <f>IF(Table1[[#This Row],[Is Data Valid]]=TRUE,((Table1[[#This Row],[Birthweight (grams)]]*1.1/Table1[[#This Row],[BW_GA]])-1)/(Backend!$B$4/100*Table1[[#This Row],[BW40_3705]]),"")</f>
        <v/>
      </c>
      <c r="J2171" s="7" t="str">
        <f>IF(Table1[[#This Row],[Is Data Valid]]=TRUE,_xlfn.NORM.S.DIST(Table1[[#This Row],[Birthweight Z-Score]],TRUE)*100,"")</f>
        <v/>
      </c>
      <c r="K2171" s="7" t="str">
        <f>IF(Table1[[#This Row],[Is Data Valid]]=TRUE,_xlfn.NORM.S.DIST(Table1[[#This Row],[Birthweight Z-Score (BW-10%)]],TRUE)*100,"")</f>
        <v/>
      </c>
      <c r="L2171" s="7" t="str">
        <f>IF(Table1[[#This Row],[Is Data Valid]]=TRUE,_xlfn.NORM.S.DIST(Table1[[#This Row],[Birthweight Z-Score (BW+10%)]],TRUE)*100,"")</f>
        <v/>
      </c>
    </row>
    <row r="2172" spans="1:12" x14ac:dyDescent="0.35">
      <c r="A2172" s="3"/>
      <c r="B2172" s="2"/>
      <c r="C2172" s="2"/>
      <c r="D2172" s="2" t="b">
        <f>IF(AND(NOT(ISBLANK(Table1[[#This Row],[Fetal Sex (Male, Female or Unknown)]])),ISNUMBER(Table1[[#This Row],[Birthweight (grams)]]),ISNUMBER(Table1[[#This Row],[Gestation (days)]])),TRUE,FALSE)</f>
        <v>0</v>
      </c>
      <c r="E2172" s="2" t="str">
        <f>IF(Table1[[#This Row],[Is Data Valid]]=TRUE,IF(Table1[[#This Row],[Fetal Sex (Male, Female or Unknown)]]="Male",Backend!$C$6,IF(Table1[[#This Row],[Fetal Sex (Male, Female or Unknown)]]="Female",Backend!$C$7,IF(Table1[[#This Row],[Fetal Sex (Male, Female or Unknown)]]="Unknown",Backend!$C$8,"Error"))),"")</f>
        <v/>
      </c>
      <c r="F2172" s="8" t="str">
        <f>IF(Table1[[#This Row],[Is Data Valid]]=TRUE,EXP(0.578+0.332*((Table1[[#This Row],[Gestation (days)]]+0.5)/7)-0.00354*((Table1[[#This Row],[Gestation (days)]]+0.5)/7)^2)*Table1[[#This Row],[BW40_3705]],"")</f>
        <v/>
      </c>
      <c r="G2172" s="2" t="str">
        <f>IF(Table1[[#This Row],[Is Data Valid]]=TRUE,((Table1[[#This Row],[Birthweight (grams)]]/Table1[[#This Row],[BW_GA]])-1)/(Backend!$B$4/100*Table1[[#This Row],[BW40_3705]]),"")</f>
        <v/>
      </c>
      <c r="H2172" s="7" t="str">
        <f>IF(Table1[[#This Row],[Is Data Valid]]=TRUE,((Table1[[#This Row],[Birthweight (grams)]]*0.9/Table1[[#This Row],[BW_GA]])-1)/(Backend!$B$4/100*Table1[[#This Row],[BW40_3705]]),"")</f>
        <v/>
      </c>
      <c r="I2172" s="7" t="str">
        <f>IF(Table1[[#This Row],[Is Data Valid]]=TRUE,((Table1[[#This Row],[Birthweight (grams)]]*1.1/Table1[[#This Row],[BW_GA]])-1)/(Backend!$B$4/100*Table1[[#This Row],[BW40_3705]]),"")</f>
        <v/>
      </c>
      <c r="J2172" s="7" t="str">
        <f>IF(Table1[[#This Row],[Is Data Valid]]=TRUE,_xlfn.NORM.S.DIST(Table1[[#This Row],[Birthweight Z-Score]],TRUE)*100,"")</f>
        <v/>
      </c>
      <c r="K2172" s="7" t="str">
        <f>IF(Table1[[#This Row],[Is Data Valid]]=TRUE,_xlfn.NORM.S.DIST(Table1[[#This Row],[Birthweight Z-Score (BW-10%)]],TRUE)*100,"")</f>
        <v/>
      </c>
      <c r="L2172" s="7" t="str">
        <f>IF(Table1[[#This Row],[Is Data Valid]]=TRUE,_xlfn.NORM.S.DIST(Table1[[#This Row],[Birthweight Z-Score (BW+10%)]],TRUE)*100,"")</f>
        <v/>
      </c>
    </row>
    <row r="2173" spans="1:12" x14ac:dyDescent="0.35">
      <c r="A2173" s="3"/>
      <c r="B2173" s="2"/>
      <c r="C2173" s="2"/>
      <c r="D2173" s="2" t="b">
        <f>IF(AND(NOT(ISBLANK(Table1[[#This Row],[Fetal Sex (Male, Female or Unknown)]])),ISNUMBER(Table1[[#This Row],[Birthweight (grams)]]),ISNUMBER(Table1[[#This Row],[Gestation (days)]])),TRUE,FALSE)</f>
        <v>0</v>
      </c>
      <c r="E2173" s="2" t="str">
        <f>IF(Table1[[#This Row],[Is Data Valid]]=TRUE,IF(Table1[[#This Row],[Fetal Sex (Male, Female or Unknown)]]="Male",Backend!$C$6,IF(Table1[[#This Row],[Fetal Sex (Male, Female or Unknown)]]="Female",Backend!$C$7,IF(Table1[[#This Row],[Fetal Sex (Male, Female or Unknown)]]="Unknown",Backend!$C$8,"Error"))),"")</f>
        <v/>
      </c>
      <c r="F2173" s="8" t="str">
        <f>IF(Table1[[#This Row],[Is Data Valid]]=TRUE,EXP(0.578+0.332*((Table1[[#This Row],[Gestation (days)]]+0.5)/7)-0.00354*((Table1[[#This Row],[Gestation (days)]]+0.5)/7)^2)*Table1[[#This Row],[BW40_3705]],"")</f>
        <v/>
      </c>
      <c r="G2173" s="2" t="str">
        <f>IF(Table1[[#This Row],[Is Data Valid]]=TRUE,((Table1[[#This Row],[Birthweight (grams)]]/Table1[[#This Row],[BW_GA]])-1)/(Backend!$B$4/100*Table1[[#This Row],[BW40_3705]]),"")</f>
        <v/>
      </c>
      <c r="H2173" s="7" t="str">
        <f>IF(Table1[[#This Row],[Is Data Valid]]=TRUE,((Table1[[#This Row],[Birthweight (grams)]]*0.9/Table1[[#This Row],[BW_GA]])-1)/(Backend!$B$4/100*Table1[[#This Row],[BW40_3705]]),"")</f>
        <v/>
      </c>
      <c r="I2173" s="7" t="str">
        <f>IF(Table1[[#This Row],[Is Data Valid]]=TRUE,((Table1[[#This Row],[Birthweight (grams)]]*1.1/Table1[[#This Row],[BW_GA]])-1)/(Backend!$B$4/100*Table1[[#This Row],[BW40_3705]]),"")</f>
        <v/>
      </c>
      <c r="J2173" s="7" t="str">
        <f>IF(Table1[[#This Row],[Is Data Valid]]=TRUE,_xlfn.NORM.S.DIST(Table1[[#This Row],[Birthweight Z-Score]],TRUE)*100,"")</f>
        <v/>
      </c>
      <c r="K2173" s="7" t="str">
        <f>IF(Table1[[#This Row],[Is Data Valid]]=TRUE,_xlfn.NORM.S.DIST(Table1[[#This Row],[Birthweight Z-Score (BW-10%)]],TRUE)*100,"")</f>
        <v/>
      </c>
      <c r="L2173" s="7" t="str">
        <f>IF(Table1[[#This Row],[Is Data Valid]]=TRUE,_xlfn.NORM.S.DIST(Table1[[#This Row],[Birthweight Z-Score (BW+10%)]],TRUE)*100,"")</f>
        <v/>
      </c>
    </row>
    <row r="2174" spans="1:12" x14ac:dyDescent="0.35">
      <c r="A2174" s="3"/>
      <c r="B2174" s="2"/>
      <c r="C2174" s="2"/>
      <c r="D2174" s="2" t="b">
        <f>IF(AND(NOT(ISBLANK(Table1[[#This Row],[Fetal Sex (Male, Female or Unknown)]])),ISNUMBER(Table1[[#This Row],[Birthweight (grams)]]),ISNUMBER(Table1[[#This Row],[Gestation (days)]])),TRUE,FALSE)</f>
        <v>0</v>
      </c>
      <c r="E2174" s="2" t="str">
        <f>IF(Table1[[#This Row],[Is Data Valid]]=TRUE,IF(Table1[[#This Row],[Fetal Sex (Male, Female or Unknown)]]="Male",Backend!$C$6,IF(Table1[[#This Row],[Fetal Sex (Male, Female or Unknown)]]="Female",Backend!$C$7,IF(Table1[[#This Row],[Fetal Sex (Male, Female or Unknown)]]="Unknown",Backend!$C$8,"Error"))),"")</f>
        <v/>
      </c>
      <c r="F2174" s="8" t="str">
        <f>IF(Table1[[#This Row],[Is Data Valid]]=TRUE,EXP(0.578+0.332*((Table1[[#This Row],[Gestation (days)]]+0.5)/7)-0.00354*((Table1[[#This Row],[Gestation (days)]]+0.5)/7)^2)*Table1[[#This Row],[BW40_3705]],"")</f>
        <v/>
      </c>
      <c r="G2174" s="2" t="str">
        <f>IF(Table1[[#This Row],[Is Data Valid]]=TRUE,((Table1[[#This Row],[Birthweight (grams)]]/Table1[[#This Row],[BW_GA]])-1)/(Backend!$B$4/100*Table1[[#This Row],[BW40_3705]]),"")</f>
        <v/>
      </c>
      <c r="H2174" s="7" t="str">
        <f>IF(Table1[[#This Row],[Is Data Valid]]=TRUE,((Table1[[#This Row],[Birthweight (grams)]]*0.9/Table1[[#This Row],[BW_GA]])-1)/(Backend!$B$4/100*Table1[[#This Row],[BW40_3705]]),"")</f>
        <v/>
      </c>
      <c r="I2174" s="7" t="str">
        <f>IF(Table1[[#This Row],[Is Data Valid]]=TRUE,((Table1[[#This Row],[Birthweight (grams)]]*1.1/Table1[[#This Row],[BW_GA]])-1)/(Backend!$B$4/100*Table1[[#This Row],[BW40_3705]]),"")</f>
        <v/>
      </c>
      <c r="J2174" s="7" t="str">
        <f>IF(Table1[[#This Row],[Is Data Valid]]=TRUE,_xlfn.NORM.S.DIST(Table1[[#This Row],[Birthweight Z-Score]],TRUE)*100,"")</f>
        <v/>
      </c>
      <c r="K2174" s="7" t="str">
        <f>IF(Table1[[#This Row],[Is Data Valid]]=TRUE,_xlfn.NORM.S.DIST(Table1[[#This Row],[Birthweight Z-Score (BW-10%)]],TRUE)*100,"")</f>
        <v/>
      </c>
      <c r="L2174" s="7" t="str">
        <f>IF(Table1[[#This Row],[Is Data Valid]]=TRUE,_xlfn.NORM.S.DIST(Table1[[#This Row],[Birthweight Z-Score (BW+10%)]],TRUE)*100,"")</f>
        <v/>
      </c>
    </row>
    <row r="2175" spans="1:12" x14ac:dyDescent="0.35">
      <c r="A2175" s="3"/>
      <c r="B2175" s="2"/>
      <c r="C2175" s="2"/>
      <c r="D2175" s="2" t="b">
        <f>IF(AND(NOT(ISBLANK(Table1[[#This Row],[Fetal Sex (Male, Female or Unknown)]])),ISNUMBER(Table1[[#This Row],[Birthweight (grams)]]),ISNUMBER(Table1[[#This Row],[Gestation (days)]])),TRUE,FALSE)</f>
        <v>0</v>
      </c>
      <c r="E2175" s="2" t="str">
        <f>IF(Table1[[#This Row],[Is Data Valid]]=TRUE,IF(Table1[[#This Row],[Fetal Sex (Male, Female or Unknown)]]="Male",Backend!$C$6,IF(Table1[[#This Row],[Fetal Sex (Male, Female or Unknown)]]="Female",Backend!$C$7,IF(Table1[[#This Row],[Fetal Sex (Male, Female or Unknown)]]="Unknown",Backend!$C$8,"Error"))),"")</f>
        <v/>
      </c>
      <c r="F2175" s="8" t="str">
        <f>IF(Table1[[#This Row],[Is Data Valid]]=TRUE,EXP(0.578+0.332*((Table1[[#This Row],[Gestation (days)]]+0.5)/7)-0.00354*((Table1[[#This Row],[Gestation (days)]]+0.5)/7)^2)*Table1[[#This Row],[BW40_3705]],"")</f>
        <v/>
      </c>
      <c r="G2175" s="2" t="str">
        <f>IF(Table1[[#This Row],[Is Data Valid]]=TRUE,((Table1[[#This Row],[Birthweight (grams)]]/Table1[[#This Row],[BW_GA]])-1)/(Backend!$B$4/100*Table1[[#This Row],[BW40_3705]]),"")</f>
        <v/>
      </c>
      <c r="H2175" s="7" t="str">
        <f>IF(Table1[[#This Row],[Is Data Valid]]=TRUE,((Table1[[#This Row],[Birthweight (grams)]]*0.9/Table1[[#This Row],[BW_GA]])-1)/(Backend!$B$4/100*Table1[[#This Row],[BW40_3705]]),"")</f>
        <v/>
      </c>
      <c r="I2175" s="7" t="str">
        <f>IF(Table1[[#This Row],[Is Data Valid]]=TRUE,((Table1[[#This Row],[Birthweight (grams)]]*1.1/Table1[[#This Row],[BW_GA]])-1)/(Backend!$B$4/100*Table1[[#This Row],[BW40_3705]]),"")</f>
        <v/>
      </c>
      <c r="J2175" s="7" t="str">
        <f>IF(Table1[[#This Row],[Is Data Valid]]=TRUE,_xlfn.NORM.S.DIST(Table1[[#This Row],[Birthweight Z-Score]],TRUE)*100,"")</f>
        <v/>
      </c>
      <c r="K2175" s="7" t="str">
        <f>IF(Table1[[#This Row],[Is Data Valid]]=TRUE,_xlfn.NORM.S.DIST(Table1[[#This Row],[Birthweight Z-Score (BW-10%)]],TRUE)*100,"")</f>
        <v/>
      </c>
      <c r="L2175" s="7" t="str">
        <f>IF(Table1[[#This Row],[Is Data Valid]]=TRUE,_xlfn.NORM.S.DIST(Table1[[#This Row],[Birthweight Z-Score (BW+10%)]],TRUE)*100,"")</f>
        <v/>
      </c>
    </row>
    <row r="2176" spans="1:12" x14ac:dyDescent="0.35">
      <c r="A2176" s="3"/>
      <c r="B2176" s="2"/>
      <c r="C2176" s="2"/>
      <c r="D2176" s="2" t="b">
        <f>IF(AND(NOT(ISBLANK(Table1[[#This Row],[Fetal Sex (Male, Female or Unknown)]])),ISNUMBER(Table1[[#This Row],[Birthweight (grams)]]),ISNUMBER(Table1[[#This Row],[Gestation (days)]])),TRUE,FALSE)</f>
        <v>0</v>
      </c>
      <c r="E2176" s="2" t="str">
        <f>IF(Table1[[#This Row],[Is Data Valid]]=TRUE,IF(Table1[[#This Row],[Fetal Sex (Male, Female or Unknown)]]="Male",Backend!$C$6,IF(Table1[[#This Row],[Fetal Sex (Male, Female or Unknown)]]="Female",Backend!$C$7,IF(Table1[[#This Row],[Fetal Sex (Male, Female or Unknown)]]="Unknown",Backend!$C$8,"Error"))),"")</f>
        <v/>
      </c>
      <c r="F2176" s="8" t="str">
        <f>IF(Table1[[#This Row],[Is Data Valid]]=TRUE,EXP(0.578+0.332*((Table1[[#This Row],[Gestation (days)]]+0.5)/7)-0.00354*((Table1[[#This Row],[Gestation (days)]]+0.5)/7)^2)*Table1[[#This Row],[BW40_3705]],"")</f>
        <v/>
      </c>
      <c r="G2176" s="2" t="str">
        <f>IF(Table1[[#This Row],[Is Data Valid]]=TRUE,((Table1[[#This Row],[Birthweight (grams)]]/Table1[[#This Row],[BW_GA]])-1)/(Backend!$B$4/100*Table1[[#This Row],[BW40_3705]]),"")</f>
        <v/>
      </c>
      <c r="H2176" s="7" t="str">
        <f>IF(Table1[[#This Row],[Is Data Valid]]=TRUE,((Table1[[#This Row],[Birthweight (grams)]]*0.9/Table1[[#This Row],[BW_GA]])-1)/(Backend!$B$4/100*Table1[[#This Row],[BW40_3705]]),"")</f>
        <v/>
      </c>
      <c r="I2176" s="7" t="str">
        <f>IF(Table1[[#This Row],[Is Data Valid]]=TRUE,((Table1[[#This Row],[Birthweight (grams)]]*1.1/Table1[[#This Row],[BW_GA]])-1)/(Backend!$B$4/100*Table1[[#This Row],[BW40_3705]]),"")</f>
        <v/>
      </c>
      <c r="J2176" s="7" t="str">
        <f>IF(Table1[[#This Row],[Is Data Valid]]=TRUE,_xlfn.NORM.S.DIST(Table1[[#This Row],[Birthweight Z-Score]],TRUE)*100,"")</f>
        <v/>
      </c>
      <c r="K2176" s="7" t="str">
        <f>IF(Table1[[#This Row],[Is Data Valid]]=TRUE,_xlfn.NORM.S.DIST(Table1[[#This Row],[Birthweight Z-Score (BW-10%)]],TRUE)*100,"")</f>
        <v/>
      </c>
      <c r="L2176" s="7" t="str">
        <f>IF(Table1[[#This Row],[Is Data Valid]]=TRUE,_xlfn.NORM.S.DIST(Table1[[#This Row],[Birthweight Z-Score (BW+10%)]],TRUE)*100,"")</f>
        <v/>
      </c>
    </row>
    <row r="2177" spans="1:12" x14ac:dyDescent="0.35">
      <c r="A2177" s="3"/>
      <c r="B2177" s="2"/>
      <c r="C2177" s="2"/>
      <c r="D2177" s="2" t="b">
        <f>IF(AND(NOT(ISBLANK(Table1[[#This Row],[Fetal Sex (Male, Female or Unknown)]])),ISNUMBER(Table1[[#This Row],[Birthweight (grams)]]),ISNUMBER(Table1[[#This Row],[Gestation (days)]])),TRUE,FALSE)</f>
        <v>0</v>
      </c>
      <c r="E2177" s="2" t="str">
        <f>IF(Table1[[#This Row],[Is Data Valid]]=TRUE,IF(Table1[[#This Row],[Fetal Sex (Male, Female or Unknown)]]="Male",Backend!$C$6,IF(Table1[[#This Row],[Fetal Sex (Male, Female or Unknown)]]="Female",Backend!$C$7,IF(Table1[[#This Row],[Fetal Sex (Male, Female or Unknown)]]="Unknown",Backend!$C$8,"Error"))),"")</f>
        <v/>
      </c>
      <c r="F2177" s="8" t="str">
        <f>IF(Table1[[#This Row],[Is Data Valid]]=TRUE,EXP(0.578+0.332*((Table1[[#This Row],[Gestation (days)]]+0.5)/7)-0.00354*((Table1[[#This Row],[Gestation (days)]]+0.5)/7)^2)*Table1[[#This Row],[BW40_3705]],"")</f>
        <v/>
      </c>
      <c r="G2177" s="2" t="str">
        <f>IF(Table1[[#This Row],[Is Data Valid]]=TRUE,((Table1[[#This Row],[Birthweight (grams)]]/Table1[[#This Row],[BW_GA]])-1)/(Backend!$B$4/100*Table1[[#This Row],[BW40_3705]]),"")</f>
        <v/>
      </c>
      <c r="H2177" s="7" t="str">
        <f>IF(Table1[[#This Row],[Is Data Valid]]=TRUE,((Table1[[#This Row],[Birthweight (grams)]]*0.9/Table1[[#This Row],[BW_GA]])-1)/(Backend!$B$4/100*Table1[[#This Row],[BW40_3705]]),"")</f>
        <v/>
      </c>
      <c r="I2177" s="7" t="str">
        <f>IF(Table1[[#This Row],[Is Data Valid]]=TRUE,((Table1[[#This Row],[Birthweight (grams)]]*1.1/Table1[[#This Row],[BW_GA]])-1)/(Backend!$B$4/100*Table1[[#This Row],[BW40_3705]]),"")</f>
        <v/>
      </c>
      <c r="J2177" s="7" t="str">
        <f>IF(Table1[[#This Row],[Is Data Valid]]=TRUE,_xlfn.NORM.S.DIST(Table1[[#This Row],[Birthweight Z-Score]],TRUE)*100,"")</f>
        <v/>
      </c>
      <c r="K2177" s="7" t="str">
        <f>IF(Table1[[#This Row],[Is Data Valid]]=TRUE,_xlfn.NORM.S.DIST(Table1[[#This Row],[Birthweight Z-Score (BW-10%)]],TRUE)*100,"")</f>
        <v/>
      </c>
      <c r="L2177" s="7" t="str">
        <f>IF(Table1[[#This Row],[Is Data Valid]]=TRUE,_xlfn.NORM.S.DIST(Table1[[#This Row],[Birthweight Z-Score (BW+10%)]],TRUE)*100,"")</f>
        <v/>
      </c>
    </row>
    <row r="2178" spans="1:12" x14ac:dyDescent="0.35">
      <c r="A2178" s="3"/>
      <c r="B2178" s="2"/>
      <c r="C2178" s="2"/>
      <c r="D2178" s="2" t="b">
        <f>IF(AND(NOT(ISBLANK(Table1[[#This Row],[Fetal Sex (Male, Female or Unknown)]])),ISNUMBER(Table1[[#This Row],[Birthweight (grams)]]),ISNUMBER(Table1[[#This Row],[Gestation (days)]])),TRUE,FALSE)</f>
        <v>0</v>
      </c>
      <c r="E2178" s="2" t="str">
        <f>IF(Table1[[#This Row],[Is Data Valid]]=TRUE,IF(Table1[[#This Row],[Fetal Sex (Male, Female or Unknown)]]="Male",Backend!$C$6,IF(Table1[[#This Row],[Fetal Sex (Male, Female or Unknown)]]="Female",Backend!$C$7,IF(Table1[[#This Row],[Fetal Sex (Male, Female or Unknown)]]="Unknown",Backend!$C$8,"Error"))),"")</f>
        <v/>
      </c>
      <c r="F2178" s="8" t="str">
        <f>IF(Table1[[#This Row],[Is Data Valid]]=TRUE,EXP(0.578+0.332*((Table1[[#This Row],[Gestation (days)]]+0.5)/7)-0.00354*((Table1[[#This Row],[Gestation (days)]]+0.5)/7)^2)*Table1[[#This Row],[BW40_3705]],"")</f>
        <v/>
      </c>
      <c r="G2178" s="2" t="str">
        <f>IF(Table1[[#This Row],[Is Data Valid]]=TRUE,((Table1[[#This Row],[Birthweight (grams)]]/Table1[[#This Row],[BW_GA]])-1)/(Backend!$B$4/100*Table1[[#This Row],[BW40_3705]]),"")</f>
        <v/>
      </c>
      <c r="H2178" s="7" t="str">
        <f>IF(Table1[[#This Row],[Is Data Valid]]=TRUE,((Table1[[#This Row],[Birthweight (grams)]]*0.9/Table1[[#This Row],[BW_GA]])-1)/(Backend!$B$4/100*Table1[[#This Row],[BW40_3705]]),"")</f>
        <v/>
      </c>
      <c r="I2178" s="7" t="str">
        <f>IF(Table1[[#This Row],[Is Data Valid]]=TRUE,((Table1[[#This Row],[Birthweight (grams)]]*1.1/Table1[[#This Row],[BW_GA]])-1)/(Backend!$B$4/100*Table1[[#This Row],[BW40_3705]]),"")</f>
        <v/>
      </c>
      <c r="J2178" s="7" t="str">
        <f>IF(Table1[[#This Row],[Is Data Valid]]=TRUE,_xlfn.NORM.S.DIST(Table1[[#This Row],[Birthweight Z-Score]],TRUE)*100,"")</f>
        <v/>
      </c>
      <c r="K2178" s="7" t="str">
        <f>IF(Table1[[#This Row],[Is Data Valid]]=TRUE,_xlfn.NORM.S.DIST(Table1[[#This Row],[Birthweight Z-Score (BW-10%)]],TRUE)*100,"")</f>
        <v/>
      </c>
      <c r="L2178" s="7" t="str">
        <f>IF(Table1[[#This Row],[Is Data Valid]]=TRUE,_xlfn.NORM.S.DIST(Table1[[#This Row],[Birthweight Z-Score (BW+10%)]],TRUE)*100,"")</f>
        <v/>
      </c>
    </row>
    <row r="2179" spans="1:12" x14ac:dyDescent="0.35">
      <c r="A2179" s="3"/>
      <c r="B2179" s="2"/>
      <c r="C2179" s="2"/>
      <c r="D2179" s="2" t="b">
        <f>IF(AND(NOT(ISBLANK(Table1[[#This Row],[Fetal Sex (Male, Female or Unknown)]])),ISNUMBER(Table1[[#This Row],[Birthweight (grams)]]),ISNUMBER(Table1[[#This Row],[Gestation (days)]])),TRUE,FALSE)</f>
        <v>0</v>
      </c>
      <c r="E2179" s="2" t="str">
        <f>IF(Table1[[#This Row],[Is Data Valid]]=TRUE,IF(Table1[[#This Row],[Fetal Sex (Male, Female or Unknown)]]="Male",Backend!$C$6,IF(Table1[[#This Row],[Fetal Sex (Male, Female or Unknown)]]="Female",Backend!$C$7,IF(Table1[[#This Row],[Fetal Sex (Male, Female or Unknown)]]="Unknown",Backend!$C$8,"Error"))),"")</f>
        <v/>
      </c>
      <c r="F2179" s="8" t="str">
        <f>IF(Table1[[#This Row],[Is Data Valid]]=TRUE,EXP(0.578+0.332*((Table1[[#This Row],[Gestation (days)]]+0.5)/7)-0.00354*((Table1[[#This Row],[Gestation (days)]]+0.5)/7)^2)*Table1[[#This Row],[BW40_3705]],"")</f>
        <v/>
      </c>
      <c r="G2179" s="2" t="str">
        <f>IF(Table1[[#This Row],[Is Data Valid]]=TRUE,((Table1[[#This Row],[Birthweight (grams)]]/Table1[[#This Row],[BW_GA]])-1)/(Backend!$B$4/100*Table1[[#This Row],[BW40_3705]]),"")</f>
        <v/>
      </c>
      <c r="H2179" s="7" t="str">
        <f>IF(Table1[[#This Row],[Is Data Valid]]=TRUE,((Table1[[#This Row],[Birthweight (grams)]]*0.9/Table1[[#This Row],[BW_GA]])-1)/(Backend!$B$4/100*Table1[[#This Row],[BW40_3705]]),"")</f>
        <v/>
      </c>
      <c r="I2179" s="7" t="str">
        <f>IF(Table1[[#This Row],[Is Data Valid]]=TRUE,((Table1[[#This Row],[Birthweight (grams)]]*1.1/Table1[[#This Row],[BW_GA]])-1)/(Backend!$B$4/100*Table1[[#This Row],[BW40_3705]]),"")</f>
        <v/>
      </c>
      <c r="J2179" s="7" t="str">
        <f>IF(Table1[[#This Row],[Is Data Valid]]=TRUE,_xlfn.NORM.S.DIST(Table1[[#This Row],[Birthweight Z-Score]],TRUE)*100,"")</f>
        <v/>
      </c>
      <c r="K2179" s="7" t="str">
        <f>IF(Table1[[#This Row],[Is Data Valid]]=TRUE,_xlfn.NORM.S.DIST(Table1[[#This Row],[Birthweight Z-Score (BW-10%)]],TRUE)*100,"")</f>
        <v/>
      </c>
      <c r="L2179" s="7" t="str">
        <f>IF(Table1[[#This Row],[Is Data Valid]]=TRUE,_xlfn.NORM.S.DIST(Table1[[#This Row],[Birthweight Z-Score (BW+10%)]],TRUE)*100,"")</f>
        <v/>
      </c>
    </row>
    <row r="2180" spans="1:12" x14ac:dyDescent="0.35">
      <c r="A2180" s="3"/>
      <c r="B2180" s="2"/>
      <c r="C2180" s="2"/>
      <c r="D2180" s="2" t="b">
        <f>IF(AND(NOT(ISBLANK(Table1[[#This Row],[Fetal Sex (Male, Female or Unknown)]])),ISNUMBER(Table1[[#This Row],[Birthweight (grams)]]),ISNUMBER(Table1[[#This Row],[Gestation (days)]])),TRUE,FALSE)</f>
        <v>0</v>
      </c>
      <c r="E2180" s="2" t="str">
        <f>IF(Table1[[#This Row],[Is Data Valid]]=TRUE,IF(Table1[[#This Row],[Fetal Sex (Male, Female or Unknown)]]="Male",Backend!$C$6,IF(Table1[[#This Row],[Fetal Sex (Male, Female or Unknown)]]="Female",Backend!$C$7,IF(Table1[[#This Row],[Fetal Sex (Male, Female or Unknown)]]="Unknown",Backend!$C$8,"Error"))),"")</f>
        <v/>
      </c>
      <c r="F2180" s="8" t="str">
        <f>IF(Table1[[#This Row],[Is Data Valid]]=TRUE,EXP(0.578+0.332*((Table1[[#This Row],[Gestation (days)]]+0.5)/7)-0.00354*((Table1[[#This Row],[Gestation (days)]]+0.5)/7)^2)*Table1[[#This Row],[BW40_3705]],"")</f>
        <v/>
      </c>
      <c r="G2180" s="2" t="str">
        <f>IF(Table1[[#This Row],[Is Data Valid]]=TRUE,((Table1[[#This Row],[Birthweight (grams)]]/Table1[[#This Row],[BW_GA]])-1)/(Backend!$B$4/100*Table1[[#This Row],[BW40_3705]]),"")</f>
        <v/>
      </c>
      <c r="H2180" s="7" t="str">
        <f>IF(Table1[[#This Row],[Is Data Valid]]=TRUE,((Table1[[#This Row],[Birthweight (grams)]]*0.9/Table1[[#This Row],[BW_GA]])-1)/(Backend!$B$4/100*Table1[[#This Row],[BW40_3705]]),"")</f>
        <v/>
      </c>
      <c r="I2180" s="7" t="str">
        <f>IF(Table1[[#This Row],[Is Data Valid]]=TRUE,((Table1[[#This Row],[Birthweight (grams)]]*1.1/Table1[[#This Row],[BW_GA]])-1)/(Backend!$B$4/100*Table1[[#This Row],[BW40_3705]]),"")</f>
        <v/>
      </c>
      <c r="J2180" s="7" t="str">
        <f>IF(Table1[[#This Row],[Is Data Valid]]=TRUE,_xlfn.NORM.S.DIST(Table1[[#This Row],[Birthweight Z-Score]],TRUE)*100,"")</f>
        <v/>
      </c>
      <c r="K2180" s="7" t="str">
        <f>IF(Table1[[#This Row],[Is Data Valid]]=TRUE,_xlfn.NORM.S.DIST(Table1[[#This Row],[Birthweight Z-Score (BW-10%)]],TRUE)*100,"")</f>
        <v/>
      </c>
      <c r="L2180" s="7" t="str">
        <f>IF(Table1[[#This Row],[Is Data Valid]]=TRUE,_xlfn.NORM.S.DIST(Table1[[#This Row],[Birthweight Z-Score (BW+10%)]],TRUE)*100,"")</f>
        <v/>
      </c>
    </row>
    <row r="2181" spans="1:12" x14ac:dyDescent="0.35">
      <c r="A2181" s="3"/>
      <c r="B2181" s="2"/>
      <c r="C2181" s="2"/>
      <c r="D2181" s="2" t="b">
        <f>IF(AND(NOT(ISBLANK(Table1[[#This Row],[Fetal Sex (Male, Female or Unknown)]])),ISNUMBER(Table1[[#This Row],[Birthweight (grams)]]),ISNUMBER(Table1[[#This Row],[Gestation (days)]])),TRUE,FALSE)</f>
        <v>0</v>
      </c>
      <c r="E2181" s="2" t="str">
        <f>IF(Table1[[#This Row],[Is Data Valid]]=TRUE,IF(Table1[[#This Row],[Fetal Sex (Male, Female or Unknown)]]="Male",Backend!$C$6,IF(Table1[[#This Row],[Fetal Sex (Male, Female or Unknown)]]="Female",Backend!$C$7,IF(Table1[[#This Row],[Fetal Sex (Male, Female or Unknown)]]="Unknown",Backend!$C$8,"Error"))),"")</f>
        <v/>
      </c>
      <c r="F2181" s="8" t="str">
        <f>IF(Table1[[#This Row],[Is Data Valid]]=TRUE,EXP(0.578+0.332*((Table1[[#This Row],[Gestation (days)]]+0.5)/7)-0.00354*((Table1[[#This Row],[Gestation (days)]]+0.5)/7)^2)*Table1[[#This Row],[BW40_3705]],"")</f>
        <v/>
      </c>
      <c r="G2181" s="2" t="str">
        <f>IF(Table1[[#This Row],[Is Data Valid]]=TRUE,((Table1[[#This Row],[Birthweight (grams)]]/Table1[[#This Row],[BW_GA]])-1)/(Backend!$B$4/100*Table1[[#This Row],[BW40_3705]]),"")</f>
        <v/>
      </c>
      <c r="H2181" s="7" t="str">
        <f>IF(Table1[[#This Row],[Is Data Valid]]=TRUE,((Table1[[#This Row],[Birthweight (grams)]]*0.9/Table1[[#This Row],[BW_GA]])-1)/(Backend!$B$4/100*Table1[[#This Row],[BW40_3705]]),"")</f>
        <v/>
      </c>
      <c r="I2181" s="7" t="str">
        <f>IF(Table1[[#This Row],[Is Data Valid]]=TRUE,((Table1[[#This Row],[Birthweight (grams)]]*1.1/Table1[[#This Row],[BW_GA]])-1)/(Backend!$B$4/100*Table1[[#This Row],[BW40_3705]]),"")</f>
        <v/>
      </c>
      <c r="J2181" s="7" t="str">
        <f>IF(Table1[[#This Row],[Is Data Valid]]=TRUE,_xlfn.NORM.S.DIST(Table1[[#This Row],[Birthweight Z-Score]],TRUE)*100,"")</f>
        <v/>
      </c>
      <c r="K2181" s="7" t="str">
        <f>IF(Table1[[#This Row],[Is Data Valid]]=TRUE,_xlfn.NORM.S.DIST(Table1[[#This Row],[Birthweight Z-Score (BW-10%)]],TRUE)*100,"")</f>
        <v/>
      </c>
      <c r="L2181" s="7" t="str">
        <f>IF(Table1[[#This Row],[Is Data Valid]]=TRUE,_xlfn.NORM.S.DIST(Table1[[#This Row],[Birthweight Z-Score (BW+10%)]],TRUE)*100,"")</f>
        <v/>
      </c>
    </row>
    <row r="2182" spans="1:12" x14ac:dyDescent="0.35">
      <c r="A2182" s="3"/>
      <c r="B2182" s="2"/>
      <c r="C2182" s="2"/>
      <c r="D2182" s="2" t="b">
        <f>IF(AND(NOT(ISBLANK(Table1[[#This Row],[Fetal Sex (Male, Female or Unknown)]])),ISNUMBER(Table1[[#This Row],[Birthweight (grams)]]),ISNUMBER(Table1[[#This Row],[Gestation (days)]])),TRUE,FALSE)</f>
        <v>0</v>
      </c>
      <c r="E2182" s="2" t="str">
        <f>IF(Table1[[#This Row],[Is Data Valid]]=TRUE,IF(Table1[[#This Row],[Fetal Sex (Male, Female or Unknown)]]="Male",Backend!$C$6,IF(Table1[[#This Row],[Fetal Sex (Male, Female or Unknown)]]="Female",Backend!$C$7,IF(Table1[[#This Row],[Fetal Sex (Male, Female or Unknown)]]="Unknown",Backend!$C$8,"Error"))),"")</f>
        <v/>
      </c>
      <c r="F2182" s="8" t="str">
        <f>IF(Table1[[#This Row],[Is Data Valid]]=TRUE,EXP(0.578+0.332*((Table1[[#This Row],[Gestation (days)]]+0.5)/7)-0.00354*((Table1[[#This Row],[Gestation (days)]]+0.5)/7)^2)*Table1[[#This Row],[BW40_3705]],"")</f>
        <v/>
      </c>
      <c r="G2182" s="2" t="str">
        <f>IF(Table1[[#This Row],[Is Data Valid]]=TRUE,((Table1[[#This Row],[Birthweight (grams)]]/Table1[[#This Row],[BW_GA]])-1)/(Backend!$B$4/100*Table1[[#This Row],[BW40_3705]]),"")</f>
        <v/>
      </c>
      <c r="H2182" s="7" t="str">
        <f>IF(Table1[[#This Row],[Is Data Valid]]=TRUE,((Table1[[#This Row],[Birthweight (grams)]]*0.9/Table1[[#This Row],[BW_GA]])-1)/(Backend!$B$4/100*Table1[[#This Row],[BW40_3705]]),"")</f>
        <v/>
      </c>
      <c r="I2182" s="7" t="str">
        <f>IF(Table1[[#This Row],[Is Data Valid]]=TRUE,((Table1[[#This Row],[Birthweight (grams)]]*1.1/Table1[[#This Row],[BW_GA]])-1)/(Backend!$B$4/100*Table1[[#This Row],[BW40_3705]]),"")</f>
        <v/>
      </c>
      <c r="J2182" s="7" t="str">
        <f>IF(Table1[[#This Row],[Is Data Valid]]=TRUE,_xlfn.NORM.S.DIST(Table1[[#This Row],[Birthweight Z-Score]],TRUE)*100,"")</f>
        <v/>
      </c>
      <c r="K2182" s="7" t="str">
        <f>IF(Table1[[#This Row],[Is Data Valid]]=TRUE,_xlfn.NORM.S.DIST(Table1[[#This Row],[Birthweight Z-Score (BW-10%)]],TRUE)*100,"")</f>
        <v/>
      </c>
      <c r="L2182" s="7" t="str">
        <f>IF(Table1[[#This Row],[Is Data Valid]]=TRUE,_xlfn.NORM.S.DIST(Table1[[#This Row],[Birthweight Z-Score (BW+10%)]],TRUE)*100,"")</f>
        <v/>
      </c>
    </row>
    <row r="2183" spans="1:12" x14ac:dyDescent="0.35">
      <c r="A2183" s="3"/>
      <c r="B2183" s="2"/>
      <c r="C2183" s="2"/>
      <c r="D2183" s="2" t="b">
        <f>IF(AND(NOT(ISBLANK(Table1[[#This Row],[Fetal Sex (Male, Female or Unknown)]])),ISNUMBER(Table1[[#This Row],[Birthweight (grams)]]),ISNUMBER(Table1[[#This Row],[Gestation (days)]])),TRUE,FALSE)</f>
        <v>0</v>
      </c>
      <c r="E2183" s="2" t="str">
        <f>IF(Table1[[#This Row],[Is Data Valid]]=TRUE,IF(Table1[[#This Row],[Fetal Sex (Male, Female or Unknown)]]="Male",Backend!$C$6,IF(Table1[[#This Row],[Fetal Sex (Male, Female or Unknown)]]="Female",Backend!$C$7,IF(Table1[[#This Row],[Fetal Sex (Male, Female or Unknown)]]="Unknown",Backend!$C$8,"Error"))),"")</f>
        <v/>
      </c>
      <c r="F2183" s="8" t="str">
        <f>IF(Table1[[#This Row],[Is Data Valid]]=TRUE,EXP(0.578+0.332*((Table1[[#This Row],[Gestation (days)]]+0.5)/7)-0.00354*((Table1[[#This Row],[Gestation (days)]]+0.5)/7)^2)*Table1[[#This Row],[BW40_3705]],"")</f>
        <v/>
      </c>
      <c r="G2183" s="2" t="str">
        <f>IF(Table1[[#This Row],[Is Data Valid]]=TRUE,((Table1[[#This Row],[Birthweight (grams)]]/Table1[[#This Row],[BW_GA]])-1)/(Backend!$B$4/100*Table1[[#This Row],[BW40_3705]]),"")</f>
        <v/>
      </c>
      <c r="H2183" s="7" t="str">
        <f>IF(Table1[[#This Row],[Is Data Valid]]=TRUE,((Table1[[#This Row],[Birthweight (grams)]]*0.9/Table1[[#This Row],[BW_GA]])-1)/(Backend!$B$4/100*Table1[[#This Row],[BW40_3705]]),"")</f>
        <v/>
      </c>
      <c r="I2183" s="7" t="str">
        <f>IF(Table1[[#This Row],[Is Data Valid]]=TRUE,((Table1[[#This Row],[Birthweight (grams)]]*1.1/Table1[[#This Row],[BW_GA]])-1)/(Backend!$B$4/100*Table1[[#This Row],[BW40_3705]]),"")</f>
        <v/>
      </c>
      <c r="J2183" s="7" t="str">
        <f>IF(Table1[[#This Row],[Is Data Valid]]=TRUE,_xlfn.NORM.S.DIST(Table1[[#This Row],[Birthweight Z-Score]],TRUE)*100,"")</f>
        <v/>
      </c>
      <c r="K2183" s="7" t="str">
        <f>IF(Table1[[#This Row],[Is Data Valid]]=TRUE,_xlfn.NORM.S.DIST(Table1[[#This Row],[Birthweight Z-Score (BW-10%)]],TRUE)*100,"")</f>
        <v/>
      </c>
      <c r="L2183" s="7" t="str">
        <f>IF(Table1[[#This Row],[Is Data Valid]]=TRUE,_xlfn.NORM.S.DIST(Table1[[#This Row],[Birthweight Z-Score (BW+10%)]],TRUE)*100,"")</f>
        <v/>
      </c>
    </row>
    <row r="2184" spans="1:12" x14ac:dyDescent="0.35">
      <c r="A2184" s="3"/>
      <c r="B2184" s="2"/>
      <c r="C2184" s="2"/>
      <c r="D2184" s="2" t="b">
        <f>IF(AND(NOT(ISBLANK(Table1[[#This Row],[Fetal Sex (Male, Female or Unknown)]])),ISNUMBER(Table1[[#This Row],[Birthweight (grams)]]),ISNUMBER(Table1[[#This Row],[Gestation (days)]])),TRUE,FALSE)</f>
        <v>0</v>
      </c>
      <c r="E2184" s="2" t="str">
        <f>IF(Table1[[#This Row],[Is Data Valid]]=TRUE,IF(Table1[[#This Row],[Fetal Sex (Male, Female or Unknown)]]="Male",Backend!$C$6,IF(Table1[[#This Row],[Fetal Sex (Male, Female or Unknown)]]="Female",Backend!$C$7,IF(Table1[[#This Row],[Fetal Sex (Male, Female or Unknown)]]="Unknown",Backend!$C$8,"Error"))),"")</f>
        <v/>
      </c>
      <c r="F2184" s="8" t="str">
        <f>IF(Table1[[#This Row],[Is Data Valid]]=TRUE,EXP(0.578+0.332*((Table1[[#This Row],[Gestation (days)]]+0.5)/7)-0.00354*((Table1[[#This Row],[Gestation (days)]]+0.5)/7)^2)*Table1[[#This Row],[BW40_3705]],"")</f>
        <v/>
      </c>
      <c r="G2184" s="2" t="str">
        <f>IF(Table1[[#This Row],[Is Data Valid]]=TRUE,((Table1[[#This Row],[Birthweight (grams)]]/Table1[[#This Row],[BW_GA]])-1)/(Backend!$B$4/100*Table1[[#This Row],[BW40_3705]]),"")</f>
        <v/>
      </c>
      <c r="H2184" s="7" t="str">
        <f>IF(Table1[[#This Row],[Is Data Valid]]=TRUE,((Table1[[#This Row],[Birthweight (grams)]]*0.9/Table1[[#This Row],[BW_GA]])-1)/(Backend!$B$4/100*Table1[[#This Row],[BW40_3705]]),"")</f>
        <v/>
      </c>
      <c r="I2184" s="7" t="str">
        <f>IF(Table1[[#This Row],[Is Data Valid]]=TRUE,((Table1[[#This Row],[Birthweight (grams)]]*1.1/Table1[[#This Row],[BW_GA]])-1)/(Backend!$B$4/100*Table1[[#This Row],[BW40_3705]]),"")</f>
        <v/>
      </c>
      <c r="J2184" s="7" t="str">
        <f>IF(Table1[[#This Row],[Is Data Valid]]=TRUE,_xlfn.NORM.S.DIST(Table1[[#This Row],[Birthweight Z-Score]],TRUE)*100,"")</f>
        <v/>
      </c>
      <c r="K2184" s="7" t="str">
        <f>IF(Table1[[#This Row],[Is Data Valid]]=TRUE,_xlfn.NORM.S.DIST(Table1[[#This Row],[Birthweight Z-Score (BW-10%)]],TRUE)*100,"")</f>
        <v/>
      </c>
      <c r="L2184" s="7" t="str">
        <f>IF(Table1[[#This Row],[Is Data Valid]]=TRUE,_xlfn.NORM.S.DIST(Table1[[#This Row],[Birthweight Z-Score (BW+10%)]],TRUE)*100,"")</f>
        <v/>
      </c>
    </row>
    <row r="2185" spans="1:12" x14ac:dyDescent="0.35">
      <c r="A2185" s="3"/>
      <c r="B2185" s="2"/>
      <c r="C2185" s="2"/>
      <c r="D2185" s="2" t="b">
        <f>IF(AND(NOT(ISBLANK(Table1[[#This Row],[Fetal Sex (Male, Female or Unknown)]])),ISNUMBER(Table1[[#This Row],[Birthweight (grams)]]),ISNUMBER(Table1[[#This Row],[Gestation (days)]])),TRUE,FALSE)</f>
        <v>0</v>
      </c>
      <c r="E2185" s="2" t="str">
        <f>IF(Table1[[#This Row],[Is Data Valid]]=TRUE,IF(Table1[[#This Row],[Fetal Sex (Male, Female or Unknown)]]="Male",Backend!$C$6,IF(Table1[[#This Row],[Fetal Sex (Male, Female or Unknown)]]="Female",Backend!$C$7,IF(Table1[[#This Row],[Fetal Sex (Male, Female or Unknown)]]="Unknown",Backend!$C$8,"Error"))),"")</f>
        <v/>
      </c>
      <c r="F2185" s="8" t="str">
        <f>IF(Table1[[#This Row],[Is Data Valid]]=TRUE,EXP(0.578+0.332*((Table1[[#This Row],[Gestation (days)]]+0.5)/7)-0.00354*((Table1[[#This Row],[Gestation (days)]]+0.5)/7)^2)*Table1[[#This Row],[BW40_3705]],"")</f>
        <v/>
      </c>
      <c r="G2185" s="2" t="str">
        <f>IF(Table1[[#This Row],[Is Data Valid]]=TRUE,((Table1[[#This Row],[Birthweight (grams)]]/Table1[[#This Row],[BW_GA]])-1)/(Backend!$B$4/100*Table1[[#This Row],[BW40_3705]]),"")</f>
        <v/>
      </c>
      <c r="H2185" s="7" t="str">
        <f>IF(Table1[[#This Row],[Is Data Valid]]=TRUE,((Table1[[#This Row],[Birthweight (grams)]]*0.9/Table1[[#This Row],[BW_GA]])-1)/(Backend!$B$4/100*Table1[[#This Row],[BW40_3705]]),"")</f>
        <v/>
      </c>
      <c r="I2185" s="7" t="str">
        <f>IF(Table1[[#This Row],[Is Data Valid]]=TRUE,((Table1[[#This Row],[Birthweight (grams)]]*1.1/Table1[[#This Row],[BW_GA]])-1)/(Backend!$B$4/100*Table1[[#This Row],[BW40_3705]]),"")</f>
        <v/>
      </c>
      <c r="J2185" s="7" t="str">
        <f>IF(Table1[[#This Row],[Is Data Valid]]=TRUE,_xlfn.NORM.S.DIST(Table1[[#This Row],[Birthweight Z-Score]],TRUE)*100,"")</f>
        <v/>
      </c>
      <c r="K2185" s="7" t="str">
        <f>IF(Table1[[#This Row],[Is Data Valid]]=TRUE,_xlfn.NORM.S.DIST(Table1[[#This Row],[Birthweight Z-Score (BW-10%)]],TRUE)*100,"")</f>
        <v/>
      </c>
      <c r="L2185" s="7" t="str">
        <f>IF(Table1[[#This Row],[Is Data Valid]]=TRUE,_xlfn.NORM.S.DIST(Table1[[#This Row],[Birthweight Z-Score (BW+10%)]],TRUE)*100,"")</f>
        <v/>
      </c>
    </row>
    <row r="2186" spans="1:12" x14ac:dyDescent="0.35">
      <c r="A2186" s="3"/>
      <c r="B2186" s="2"/>
      <c r="C2186" s="2"/>
      <c r="D2186" s="2" t="b">
        <f>IF(AND(NOT(ISBLANK(Table1[[#This Row],[Fetal Sex (Male, Female or Unknown)]])),ISNUMBER(Table1[[#This Row],[Birthweight (grams)]]),ISNUMBER(Table1[[#This Row],[Gestation (days)]])),TRUE,FALSE)</f>
        <v>0</v>
      </c>
      <c r="E2186" s="2" t="str">
        <f>IF(Table1[[#This Row],[Is Data Valid]]=TRUE,IF(Table1[[#This Row],[Fetal Sex (Male, Female or Unknown)]]="Male",Backend!$C$6,IF(Table1[[#This Row],[Fetal Sex (Male, Female or Unknown)]]="Female",Backend!$C$7,IF(Table1[[#This Row],[Fetal Sex (Male, Female or Unknown)]]="Unknown",Backend!$C$8,"Error"))),"")</f>
        <v/>
      </c>
      <c r="F2186" s="8" t="str">
        <f>IF(Table1[[#This Row],[Is Data Valid]]=TRUE,EXP(0.578+0.332*((Table1[[#This Row],[Gestation (days)]]+0.5)/7)-0.00354*((Table1[[#This Row],[Gestation (days)]]+0.5)/7)^2)*Table1[[#This Row],[BW40_3705]],"")</f>
        <v/>
      </c>
      <c r="G2186" s="2" t="str">
        <f>IF(Table1[[#This Row],[Is Data Valid]]=TRUE,((Table1[[#This Row],[Birthweight (grams)]]/Table1[[#This Row],[BW_GA]])-1)/(Backend!$B$4/100*Table1[[#This Row],[BW40_3705]]),"")</f>
        <v/>
      </c>
      <c r="H2186" s="7" t="str">
        <f>IF(Table1[[#This Row],[Is Data Valid]]=TRUE,((Table1[[#This Row],[Birthweight (grams)]]*0.9/Table1[[#This Row],[BW_GA]])-1)/(Backend!$B$4/100*Table1[[#This Row],[BW40_3705]]),"")</f>
        <v/>
      </c>
      <c r="I2186" s="7" t="str">
        <f>IF(Table1[[#This Row],[Is Data Valid]]=TRUE,((Table1[[#This Row],[Birthweight (grams)]]*1.1/Table1[[#This Row],[BW_GA]])-1)/(Backend!$B$4/100*Table1[[#This Row],[BW40_3705]]),"")</f>
        <v/>
      </c>
      <c r="J2186" s="7" t="str">
        <f>IF(Table1[[#This Row],[Is Data Valid]]=TRUE,_xlfn.NORM.S.DIST(Table1[[#This Row],[Birthweight Z-Score]],TRUE)*100,"")</f>
        <v/>
      </c>
      <c r="K2186" s="7" t="str">
        <f>IF(Table1[[#This Row],[Is Data Valid]]=TRUE,_xlfn.NORM.S.DIST(Table1[[#This Row],[Birthweight Z-Score (BW-10%)]],TRUE)*100,"")</f>
        <v/>
      </c>
      <c r="L2186" s="7" t="str">
        <f>IF(Table1[[#This Row],[Is Data Valid]]=TRUE,_xlfn.NORM.S.DIST(Table1[[#This Row],[Birthweight Z-Score (BW+10%)]],TRUE)*100,"")</f>
        <v/>
      </c>
    </row>
    <row r="2187" spans="1:12" x14ac:dyDescent="0.35">
      <c r="A2187" s="3"/>
      <c r="B2187" s="2"/>
      <c r="C2187" s="2"/>
      <c r="D2187" s="2" t="b">
        <f>IF(AND(NOT(ISBLANK(Table1[[#This Row],[Fetal Sex (Male, Female or Unknown)]])),ISNUMBER(Table1[[#This Row],[Birthweight (grams)]]),ISNUMBER(Table1[[#This Row],[Gestation (days)]])),TRUE,FALSE)</f>
        <v>0</v>
      </c>
      <c r="E2187" s="2" t="str">
        <f>IF(Table1[[#This Row],[Is Data Valid]]=TRUE,IF(Table1[[#This Row],[Fetal Sex (Male, Female or Unknown)]]="Male",Backend!$C$6,IF(Table1[[#This Row],[Fetal Sex (Male, Female or Unknown)]]="Female",Backend!$C$7,IF(Table1[[#This Row],[Fetal Sex (Male, Female or Unknown)]]="Unknown",Backend!$C$8,"Error"))),"")</f>
        <v/>
      </c>
      <c r="F2187" s="8" t="str">
        <f>IF(Table1[[#This Row],[Is Data Valid]]=TRUE,EXP(0.578+0.332*((Table1[[#This Row],[Gestation (days)]]+0.5)/7)-0.00354*((Table1[[#This Row],[Gestation (days)]]+0.5)/7)^2)*Table1[[#This Row],[BW40_3705]],"")</f>
        <v/>
      </c>
      <c r="G2187" s="2" t="str">
        <f>IF(Table1[[#This Row],[Is Data Valid]]=TRUE,((Table1[[#This Row],[Birthweight (grams)]]/Table1[[#This Row],[BW_GA]])-1)/(Backend!$B$4/100*Table1[[#This Row],[BW40_3705]]),"")</f>
        <v/>
      </c>
      <c r="H2187" s="7" t="str">
        <f>IF(Table1[[#This Row],[Is Data Valid]]=TRUE,((Table1[[#This Row],[Birthweight (grams)]]*0.9/Table1[[#This Row],[BW_GA]])-1)/(Backend!$B$4/100*Table1[[#This Row],[BW40_3705]]),"")</f>
        <v/>
      </c>
      <c r="I2187" s="7" t="str">
        <f>IF(Table1[[#This Row],[Is Data Valid]]=TRUE,((Table1[[#This Row],[Birthweight (grams)]]*1.1/Table1[[#This Row],[BW_GA]])-1)/(Backend!$B$4/100*Table1[[#This Row],[BW40_3705]]),"")</f>
        <v/>
      </c>
      <c r="J2187" s="7" t="str">
        <f>IF(Table1[[#This Row],[Is Data Valid]]=TRUE,_xlfn.NORM.S.DIST(Table1[[#This Row],[Birthweight Z-Score]],TRUE)*100,"")</f>
        <v/>
      </c>
      <c r="K2187" s="7" t="str">
        <f>IF(Table1[[#This Row],[Is Data Valid]]=TRUE,_xlfn.NORM.S.DIST(Table1[[#This Row],[Birthweight Z-Score (BW-10%)]],TRUE)*100,"")</f>
        <v/>
      </c>
      <c r="L2187" s="7" t="str">
        <f>IF(Table1[[#This Row],[Is Data Valid]]=TRUE,_xlfn.NORM.S.DIST(Table1[[#This Row],[Birthweight Z-Score (BW+10%)]],TRUE)*100,"")</f>
        <v/>
      </c>
    </row>
    <row r="2188" spans="1:12" x14ac:dyDescent="0.35">
      <c r="A2188" s="3"/>
      <c r="B2188" s="2"/>
      <c r="C2188" s="2"/>
      <c r="D2188" s="2" t="b">
        <f>IF(AND(NOT(ISBLANK(Table1[[#This Row],[Fetal Sex (Male, Female or Unknown)]])),ISNUMBER(Table1[[#This Row],[Birthweight (grams)]]),ISNUMBER(Table1[[#This Row],[Gestation (days)]])),TRUE,FALSE)</f>
        <v>0</v>
      </c>
      <c r="E2188" s="2" t="str">
        <f>IF(Table1[[#This Row],[Is Data Valid]]=TRUE,IF(Table1[[#This Row],[Fetal Sex (Male, Female or Unknown)]]="Male",Backend!$C$6,IF(Table1[[#This Row],[Fetal Sex (Male, Female or Unknown)]]="Female",Backend!$C$7,IF(Table1[[#This Row],[Fetal Sex (Male, Female or Unknown)]]="Unknown",Backend!$C$8,"Error"))),"")</f>
        <v/>
      </c>
      <c r="F2188" s="8" t="str">
        <f>IF(Table1[[#This Row],[Is Data Valid]]=TRUE,EXP(0.578+0.332*((Table1[[#This Row],[Gestation (days)]]+0.5)/7)-0.00354*((Table1[[#This Row],[Gestation (days)]]+0.5)/7)^2)*Table1[[#This Row],[BW40_3705]],"")</f>
        <v/>
      </c>
      <c r="G2188" s="2" t="str">
        <f>IF(Table1[[#This Row],[Is Data Valid]]=TRUE,((Table1[[#This Row],[Birthweight (grams)]]/Table1[[#This Row],[BW_GA]])-1)/(Backend!$B$4/100*Table1[[#This Row],[BW40_3705]]),"")</f>
        <v/>
      </c>
      <c r="H2188" s="7" t="str">
        <f>IF(Table1[[#This Row],[Is Data Valid]]=TRUE,((Table1[[#This Row],[Birthweight (grams)]]*0.9/Table1[[#This Row],[BW_GA]])-1)/(Backend!$B$4/100*Table1[[#This Row],[BW40_3705]]),"")</f>
        <v/>
      </c>
      <c r="I2188" s="7" t="str">
        <f>IF(Table1[[#This Row],[Is Data Valid]]=TRUE,((Table1[[#This Row],[Birthweight (grams)]]*1.1/Table1[[#This Row],[BW_GA]])-1)/(Backend!$B$4/100*Table1[[#This Row],[BW40_3705]]),"")</f>
        <v/>
      </c>
      <c r="J2188" s="7" t="str">
        <f>IF(Table1[[#This Row],[Is Data Valid]]=TRUE,_xlfn.NORM.S.DIST(Table1[[#This Row],[Birthweight Z-Score]],TRUE)*100,"")</f>
        <v/>
      </c>
      <c r="K2188" s="7" t="str">
        <f>IF(Table1[[#This Row],[Is Data Valid]]=TRUE,_xlfn.NORM.S.DIST(Table1[[#This Row],[Birthweight Z-Score (BW-10%)]],TRUE)*100,"")</f>
        <v/>
      </c>
      <c r="L2188" s="7" t="str">
        <f>IF(Table1[[#This Row],[Is Data Valid]]=TRUE,_xlfn.NORM.S.DIST(Table1[[#This Row],[Birthweight Z-Score (BW+10%)]],TRUE)*100,"")</f>
        <v/>
      </c>
    </row>
    <row r="2189" spans="1:12" x14ac:dyDescent="0.35">
      <c r="A2189" s="3"/>
      <c r="B2189" s="2"/>
      <c r="C2189" s="2"/>
      <c r="D2189" s="2" t="b">
        <f>IF(AND(NOT(ISBLANK(Table1[[#This Row],[Fetal Sex (Male, Female or Unknown)]])),ISNUMBER(Table1[[#This Row],[Birthweight (grams)]]),ISNUMBER(Table1[[#This Row],[Gestation (days)]])),TRUE,FALSE)</f>
        <v>0</v>
      </c>
      <c r="E2189" s="2" t="str">
        <f>IF(Table1[[#This Row],[Is Data Valid]]=TRUE,IF(Table1[[#This Row],[Fetal Sex (Male, Female or Unknown)]]="Male",Backend!$C$6,IF(Table1[[#This Row],[Fetal Sex (Male, Female or Unknown)]]="Female",Backend!$C$7,IF(Table1[[#This Row],[Fetal Sex (Male, Female or Unknown)]]="Unknown",Backend!$C$8,"Error"))),"")</f>
        <v/>
      </c>
      <c r="F2189" s="8" t="str">
        <f>IF(Table1[[#This Row],[Is Data Valid]]=TRUE,EXP(0.578+0.332*((Table1[[#This Row],[Gestation (days)]]+0.5)/7)-0.00354*((Table1[[#This Row],[Gestation (days)]]+0.5)/7)^2)*Table1[[#This Row],[BW40_3705]],"")</f>
        <v/>
      </c>
      <c r="G2189" s="2" t="str">
        <f>IF(Table1[[#This Row],[Is Data Valid]]=TRUE,((Table1[[#This Row],[Birthweight (grams)]]/Table1[[#This Row],[BW_GA]])-1)/(Backend!$B$4/100*Table1[[#This Row],[BW40_3705]]),"")</f>
        <v/>
      </c>
      <c r="H2189" s="7" t="str">
        <f>IF(Table1[[#This Row],[Is Data Valid]]=TRUE,((Table1[[#This Row],[Birthweight (grams)]]*0.9/Table1[[#This Row],[BW_GA]])-1)/(Backend!$B$4/100*Table1[[#This Row],[BW40_3705]]),"")</f>
        <v/>
      </c>
      <c r="I2189" s="7" t="str">
        <f>IF(Table1[[#This Row],[Is Data Valid]]=TRUE,((Table1[[#This Row],[Birthweight (grams)]]*1.1/Table1[[#This Row],[BW_GA]])-1)/(Backend!$B$4/100*Table1[[#This Row],[BW40_3705]]),"")</f>
        <v/>
      </c>
      <c r="J2189" s="7" t="str">
        <f>IF(Table1[[#This Row],[Is Data Valid]]=TRUE,_xlfn.NORM.S.DIST(Table1[[#This Row],[Birthweight Z-Score]],TRUE)*100,"")</f>
        <v/>
      </c>
      <c r="K2189" s="7" t="str">
        <f>IF(Table1[[#This Row],[Is Data Valid]]=TRUE,_xlfn.NORM.S.DIST(Table1[[#This Row],[Birthweight Z-Score (BW-10%)]],TRUE)*100,"")</f>
        <v/>
      </c>
      <c r="L2189" s="7" t="str">
        <f>IF(Table1[[#This Row],[Is Data Valid]]=TRUE,_xlfn.NORM.S.DIST(Table1[[#This Row],[Birthweight Z-Score (BW+10%)]],TRUE)*100,"")</f>
        <v/>
      </c>
    </row>
    <row r="2190" spans="1:12" x14ac:dyDescent="0.35">
      <c r="A2190" s="3"/>
      <c r="B2190" s="2"/>
      <c r="C2190" s="2"/>
      <c r="D2190" s="2" t="b">
        <f>IF(AND(NOT(ISBLANK(Table1[[#This Row],[Fetal Sex (Male, Female or Unknown)]])),ISNUMBER(Table1[[#This Row],[Birthweight (grams)]]),ISNUMBER(Table1[[#This Row],[Gestation (days)]])),TRUE,FALSE)</f>
        <v>0</v>
      </c>
      <c r="E2190" s="2" t="str">
        <f>IF(Table1[[#This Row],[Is Data Valid]]=TRUE,IF(Table1[[#This Row],[Fetal Sex (Male, Female or Unknown)]]="Male",Backend!$C$6,IF(Table1[[#This Row],[Fetal Sex (Male, Female or Unknown)]]="Female",Backend!$C$7,IF(Table1[[#This Row],[Fetal Sex (Male, Female or Unknown)]]="Unknown",Backend!$C$8,"Error"))),"")</f>
        <v/>
      </c>
      <c r="F2190" s="8" t="str">
        <f>IF(Table1[[#This Row],[Is Data Valid]]=TRUE,EXP(0.578+0.332*((Table1[[#This Row],[Gestation (days)]]+0.5)/7)-0.00354*((Table1[[#This Row],[Gestation (days)]]+0.5)/7)^2)*Table1[[#This Row],[BW40_3705]],"")</f>
        <v/>
      </c>
      <c r="G2190" s="2" t="str">
        <f>IF(Table1[[#This Row],[Is Data Valid]]=TRUE,((Table1[[#This Row],[Birthweight (grams)]]/Table1[[#This Row],[BW_GA]])-1)/(Backend!$B$4/100*Table1[[#This Row],[BW40_3705]]),"")</f>
        <v/>
      </c>
      <c r="H2190" s="7" t="str">
        <f>IF(Table1[[#This Row],[Is Data Valid]]=TRUE,((Table1[[#This Row],[Birthweight (grams)]]*0.9/Table1[[#This Row],[BW_GA]])-1)/(Backend!$B$4/100*Table1[[#This Row],[BW40_3705]]),"")</f>
        <v/>
      </c>
      <c r="I2190" s="7" t="str">
        <f>IF(Table1[[#This Row],[Is Data Valid]]=TRUE,((Table1[[#This Row],[Birthweight (grams)]]*1.1/Table1[[#This Row],[BW_GA]])-1)/(Backend!$B$4/100*Table1[[#This Row],[BW40_3705]]),"")</f>
        <v/>
      </c>
      <c r="J2190" s="7" t="str">
        <f>IF(Table1[[#This Row],[Is Data Valid]]=TRUE,_xlfn.NORM.S.DIST(Table1[[#This Row],[Birthweight Z-Score]],TRUE)*100,"")</f>
        <v/>
      </c>
      <c r="K2190" s="7" t="str">
        <f>IF(Table1[[#This Row],[Is Data Valid]]=TRUE,_xlfn.NORM.S.DIST(Table1[[#This Row],[Birthweight Z-Score (BW-10%)]],TRUE)*100,"")</f>
        <v/>
      </c>
      <c r="L2190" s="7" t="str">
        <f>IF(Table1[[#This Row],[Is Data Valid]]=TRUE,_xlfn.NORM.S.DIST(Table1[[#This Row],[Birthweight Z-Score (BW+10%)]],TRUE)*100,"")</f>
        <v/>
      </c>
    </row>
    <row r="2191" spans="1:12" x14ac:dyDescent="0.35">
      <c r="A2191" s="3"/>
      <c r="B2191" s="2"/>
      <c r="C2191" s="2"/>
      <c r="D2191" s="2" t="b">
        <f>IF(AND(NOT(ISBLANK(Table1[[#This Row],[Fetal Sex (Male, Female or Unknown)]])),ISNUMBER(Table1[[#This Row],[Birthweight (grams)]]),ISNUMBER(Table1[[#This Row],[Gestation (days)]])),TRUE,FALSE)</f>
        <v>0</v>
      </c>
      <c r="E2191" s="2" t="str">
        <f>IF(Table1[[#This Row],[Is Data Valid]]=TRUE,IF(Table1[[#This Row],[Fetal Sex (Male, Female or Unknown)]]="Male",Backend!$C$6,IF(Table1[[#This Row],[Fetal Sex (Male, Female or Unknown)]]="Female",Backend!$C$7,IF(Table1[[#This Row],[Fetal Sex (Male, Female or Unknown)]]="Unknown",Backend!$C$8,"Error"))),"")</f>
        <v/>
      </c>
      <c r="F2191" s="8" t="str">
        <f>IF(Table1[[#This Row],[Is Data Valid]]=TRUE,EXP(0.578+0.332*((Table1[[#This Row],[Gestation (days)]]+0.5)/7)-0.00354*((Table1[[#This Row],[Gestation (days)]]+0.5)/7)^2)*Table1[[#This Row],[BW40_3705]],"")</f>
        <v/>
      </c>
      <c r="G2191" s="2" t="str">
        <f>IF(Table1[[#This Row],[Is Data Valid]]=TRUE,((Table1[[#This Row],[Birthweight (grams)]]/Table1[[#This Row],[BW_GA]])-1)/(Backend!$B$4/100*Table1[[#This Row],[BW40_3705]]),"")</f>
        <v/>
      </c>
      <c r="H2191" s="7" t="str">
        <f>IF(Table1[[#This Row],[Is Data Valid]]=TRUE,((Table1[[#This Row],[Birthweight (grams)]]*0.9/Table1[[#This Row],[BW_GA]])-1)/(Backend!$B$4/100*Table1[[#This Row],[BW40_3705]]),"")</f>
        <v/>
      </c>
      <c r="I2191" s="7" t="str">
        <f>IF(Table1[[#This Row],[Is Data Valid]]=TRUE,((Table1[[#This Row],[Birthweight (grams)]]*1.1/Table1[[#This Row],[BW_GA]])-1)/(Backend!$B$4/100*Table1[[#This Row],[BW40_3705]]),"")</f>
        <v/>
      </c>
      <c r="J2191" s="7" t="str">
        <f>IF(Table1[[#This Row],[Is Data Valid]]=TRUE,_xlfn.NORM.S.DIST(Table1[[#This Row],[Birthweight Z-Score]],TRUE)*100,"")</f>
        <v/>
      </c>
      <c r="K2191" s="7" t="str">
        <f>IF(Table1[[#This Row],[Is Data Valid]]=TRUE,_xlfn.NORM.S.DIST(Table1[[#This Row],[Birthweight Z-Score (BW-10%)]],TRUE)*100,"")</f>
        <v/>
      </c>
      <c r="L2191" s="7" t="str">
        <f>IF(Table1[[#This Row],[Is Data Valid]]=TRUE,_xlfn.NORM.S.DIST(Table1[[#This Row],[Birthweight Z-Score (BW+10%)]],TRUE)*100,"")</f>
        <v/>
      </c>
    </row>
    <row r="2192" spans="1:12" x14ac:dyDescent="0.35">
      <c r="A2192" s="3"/>
      <c r="B2192" s="2"/>
      <c r="C2192" s="2"/>
      <c r="D2192" s="2" t="b">
        <f>IF(AND(NOT(ISBLANK(Table1[[#This Row],[Fetal Sex (Male, Female or Unknown)]])),ISNUMBER(Table1[[#This Row],[Birthweight (grams)]]),ISNUMBER(Table1[[#This Row],[Gestation (days)]])),TRUE,FALSE)</f>
        <v>0</v>
      </c>
      <c r="E2192" s="2" t="str">
        <f>IF(Table1[[#This Row],[Is Data Valid]]=TRUE,IF(Table1[[#This Row],[Fetal Sex (Male, Female or Unknown)]]="Male",Backend!$C$6,IF(Table1[[#This Row],[Fetal Sex (Male, Female or Unknown)]]="Female",Backend!$C$7,IF(Table1[[#This Row],[Fetal Sex (Male, Female or Unknown)]]="Unknown",Backend!$C$8,"Error"))),"")</f>
        <v/>
      </c>
      <c r="F2192" s="8" t="str">
        <f>IF(Table1[[#This Row],[Is Data Valid]]=TRUE,EXP(0.578+0.332*((Table1[[#This Row],[Gestation (days)]]+0.5)/7)-0.00354*((Table1[[#This Row],[Gestation (days)]]+0.5)/7)^2)*Table1[[#This Row],[BW40_3705]],"")</f>
        <v/>
      </c>
      <c r="G2192" s="2" t="str">
        <f>IF(Table1[[#This Row],[Is Data Valid]]=TRUE,((Table1[[#This Row],[Birthweight (grams)]]/Table1[[#This Row],[BW_GA]])-1)/(Backend!$B$4/100*Table1[[#This Row],[BW40_3705]]),"")</f>
        <v/>
      </c>
      <c r="H2192" s="7" t="str">
        <f>IF(Table1[[#This Row],[Is Data Valid]]=TRUE,((Table1[[#This Row],[Birthweight (grams)]]*0.9/Table1[[#This Row],[BW_GA]])-1)/(Backend!$B$4/100*Table1[[#This Row],[BW40_3705]]),"")</f>
        <v/>
      </c>
      <c r="I2192" s="7" t="str">
        <f>IF(Table1[[#This Row],[Is Data Valid]]=TRUE,((Table1[[#This Row],[Birthweight (grams)]]*1.1/Table1[[#This Row],[BW_GA]])-1)/(Backend!$B$4/100*Table1[[#This Row],[BW40_3705]]),"")</f>
        <v/>
      </c>
      <c r="J2192" s="7" t="str">
        <f>IF(Table1[[#This Row],[Is Data Valid]]=TRUE,_xlfn.NORM.S.DIST(Table1[[#This Row],[Birthweight Z-Score]],TRUE)*100,"")</f>
        <v/>
      </c>
      <c r="K2192" s="7" t="str">
        <f>IF(Table1[[#This Row],[Is Data Valid]]=TRUE,_xlfn.NORM.S.DIST(Table1[[#This Row],[Birthweight Z-Score (BW-10%)]],TRUE)*100,"")</f>
        <v/>
      </c>
      <c r="L2192" s="7" t="str">
        <f>IF(Table1[[#This Row],[Is Data Valid]]=TRUE,_xlfn.NORM.S.DIST(Table1[[#This Row],[Birthweight Z-Score (BW+10%)]],TRUE)*100,"")</f>
        <v/>
      </c>
    </row>
    <row r="2193" spans="1:12" x14ac:dyDescent="0.35">
      <c r="A2193" s="3"/>
      <c r="B2193" s="2"/>
      <c r="C2193" s="2"/>
      <c r="D2193" s="2" t="b">
        <f>IF(AND(NOT(ISBLANK(Table1[[#This Row],[Fetal Sex (Male, Female or Unknown)]])),ISNUMBER(Table1[[#This Row],[Birthweight (grams)]]),ISNUMBER(Table1[[#This Row],[Gestation (days)]])),TRUE,FALSE)</f>
        <v>0</v>
      </c>
      <c r="E2193" s="2" t="str">
        <f>IF(Table1[[#This Row],[Is Data Valid]]=TRUE,IF(Table1[[#This Row],[Fetal Sex (Male, Female or Unknown)]]="Male",Backend!$C$6,IF(Table1[[#This Row],[Fetal Sex (Male, Female or Unknown)]]="Female",Backend!$C$7,IF(Table1[[#This Row],[Fetal Sex (Male, Female or Unknown)]]="Unknown",Backend!$C$8,"Error"))),"")</f>
        <v/>
      </c>
      <c r="F2193" s="8" t="str">
        <f>IF(Table1[[#This Row],[Is Data Valid]]=TRUE,EXP(0.578+0.332*((Table1[[#This Row],[Gestation (days)]]+0.5)/7)-0.00354*((Table1[[#This Row],[Gestation (days)]]+0.5)/7)^2)*Table1[[#This Row],[BW40_3705]],"")</f>
        <v/>
      </c>
      <c r="G2193" s="2" t="str">
        <f>IF(Table1[[#This Row],[Is Data Valid]]=TRUE,((Table1[[#This Row],[Birthweight (grams)]]/Table1[[#This Row],[BW_GA]])-1)/(Backend!$B$4/100*Table1[[#This Row],[BW40_3705]]),"")</f>
        <v/>
      </c>
      <c r="H2193" s="7" t="str">
        <f>IF(Table1[[#This Row],[Is Data Valid]]=TRUE,((Table1[[#This Row],[Birthweight (grams)]]*0.9/Table1[[#This Row],[BW_GA]])-1)/(Backend!$B$4/100*Table1[[#This Row],[BW40_3705]]),"")</f>
        <v/>
      </c>
      <c r="I2193" s="7" t="str">
        <f>IF(Table1[[#This Row],[Is Data Valid]]=TRUE,((Table1[[#This Row],[Birthweight (grams)]]*1.1/Table1[[#This Row],[BW_GA]])-1)/(Backend!$B$4/100*Table1[[#This Row],[BW40_3705]]),"")</f>
        <v/>
      </c>
      <c r="J2193" s="7" t="str">
        <f>IF(Table1[[#This Row],[Is Data Valid]]=TRUE,_xlfn.NORM.S.DIST(Table1[[#This Row],[Birthweight Z-Score]],TRUE)*100,"")</f>
        <v/>
      </c>
      <c r="K2193" s="7" t="str">
        <f>IF(Table1[[#This Row],[Is Data Valid]]=TRUE,_xlfn.NORM.S.DIST(Table1[[#This Row],[Birthweight Z-Score (BW-10%)]],TRUE)*100,"")</f>
        <v/>
      </c>
      <c r="L2193" s="7" t="str">
        <f>IF(Table1[[#This Row],[Is Data Valid]]=TRUE,_xlfn.NORM.S.DIST(Table1[[#This Row],[Birthweight Z-Score (BW+10%)]],TRUE)*100,"")</f>
        <v/>
      </c>
    </row>
    <row r="2194" spans="1:12" x14ac:dyDescent="0.35">
      <c r="A2194" s="3"/>
      <c r="B2194" s="2"/>
      <c r="C2194" s="2"/>
      <c r="D2194" s="2" t="b">
        <f>IF(AND(NOT(ISBLANK(Table1[[#This Row],[Fetal Sex (Male, Female or Unknown)]])),ISNUMBER(Table1[[#This Row],[Birthweight (grams)]]),ISNUMBER(Table1[[#This Row],[Gestation (days)]])),TRUE,FALSE)</f>
        <v>0</v>
      </c>
      <c r="E2194" s="2" t="str">
        <f>IF(Table1[[#This Row],[Is Data Valid]]=TRUE,IF(Table1[[#This Row],[Fetal Sex (Male, Female or Unknown)]]="Male",Backend!$C$6,IF(Table1[[#This Row],[Fetal Sex (Male, Female or Unknown)]]="Female",Backend!$C$7,IF(Table1[[#This Row],[Fetal Sex (Male, Female or Unknown)]]="Unknown",Backend!$C$8,"Error"))),"")</f>
        <v/>
      </c>
      <c r="F2194" s="8" t="str">
        <f>IF(Table1[[#This Row],[Is Data Valid]]=TRUE,EXP(0.578+0.332*((Table1[[#This Row],[Gestation (days)]]+0.5)/7)-0.00354*((Table1[[#This Row],[Gestation (days)]]+0.5)/7)^2)*Table1[[#This Row],[BW40_3705]],"")</f>
        <v/>
      </c>
      <c r="G2194" s="2" t="str">
        <f>IF(Table1[[#This Row],[Is Data Valid]]=TRUE,((Table1[[#This Row],[Birthweight (grams)]]/Table1[[#This Row],[BW_GA]])-1)/(Backend!$B$4/100*Table1[[#This Row],[BW40_3705]]),"")</f>
        <v/>
      </c>
      <c r="H2194" s="7" t="str">
        <f>IF(Table1[[#This Row],[Is Data Valid]]=TRUE,((Table1[[#This Row],[Birthweight (grams)]]*0.9/Table1[[#This Row],[BW_GA]])-1)/(Backend!$B$4/100*Table1[[#This Row],[BW40_3705]]),"")</f>
        <v/>
      </c>
      <c r="I2194" s="7" t="str">
        <f>IF(Table1[[#This Row],[Is Data Valid]]=TRUE,((Table1[[#This Row],[Birthweight (grams)]]*1.1/Table1[[#This Row],[BW_GA]])-1)/(Backend!$B$4/100*Table1[[#This Row],[BW40_3705]]),"")</f>
        <v/>
      </c>
      <c r="J2194" s="7" t="str">
        <f>IF(Table1[[#This Row],[Is Data Valid]]=TRUE,_xlfn.NORM.S.DIST(Table1[[#This Row],[Birthweight Z-Score]],TRUE)*100,"")</f>
        <v/>
      </c>
      <c r="K2194" s="7" t="str">
        <f>IF(Table1[[#This Row],[Is Data Valid]]=TRUE,_xlfn.NORM.S.DIST(Table1[[#This Row],[Birthweight Z-Score (BW-10%)]],TRUE)*100,"")</f>
        <v/>
      </c>
      <c r="L2194" s="7" t="str">
        <f>IF(Table1[[#This Row],[Is Data Valid]]=TRUE,_xlfn.NORM.S.DIST(Table1[[#This Row],[Birthweight Z-Score (BW+10%)]],TRUE)*100,"")</f>
        <v/>
      </c>
    </row>
    <row r="2195" spans="1:12" x14ac:dyDescent="0.35">
      <c r="A2195" s="3"/>
      <c r="B2195" s="2"/>
      <c r="C2195" s="2"/>
      <c r="D2195" s="2" t="b">
        <f>IF(AND(NOT(ISBLANK(Table1[[#This Row],[Fetal Sex (Male, Female or Unknown)]])),ISNUMBER(Table1[[#This Row],[Birthweight (grams)]]),ISNUMBER(Table1[[#This Row],[Gestation (days)]])),TRUE,FALSE)</f>
        <v>0</v>
      </c>
      <c r="E2195" s="2" t="str">
        <f>IF(Table1[[#This Row],[Is Data Valid]]=TRUE,IF(Table1[[#This Row],[Fetal Sex (Male, Female or Unknown)]]="Male",Backend!$C$6,IF(Table1[[#This Row],[Fetal Sex (Male, Female or Unknown)]]="Female",Backend!$C$7,IF(Table1[[#This Row],[Fetal Sex (Male, Female or Unknown)]]="Unknown",Backend!$C$8,"Error"))),"")</f>
        <v/>
      </c>
      <c r="F2195" s="8" t="str">
        <f>IF(Table1[[#This Row],[Is Data Valid]]=TRUE,EXP(0.578+0.332*((Table1[[#This Row],[Gestation (days)]]+0.5)/7)-0.00354*((Table1[[#This Row],[Gestation (days)]]+0.5)/7)^2)*Table1[[#This Row],[BW40_3705]],"")</f>
        <v/>
      </c>
      <c r="G2195" s="2" t="str">
        <f>IF(Table1[[#This Row],[Is Data Valid]]=TRUE,((Table1[[#This Row],[Birthweight (grams)]]/Table1[[#This Row],[BW_GA]])-1)/(Backend!$B$4/100*Table1[[#This Row],[BW40_3705]]),"")</f>
        <v/>
      </c>
      <c r="H2195" s="7" t="str">
        <f>IF(Table1[[#This Row],[Is Data Valid]]=TRUE,((Table1[[#This Row],[Birthweight (grams)]]*0.9/Table1[[#This Row],[BW_GA]])-1)/(Backend!$B$4/100*Table1[[#This Row],[BW40_3705]]),"")</f>
        <v/>
      </c>
      <c r="I2195" s="7" t="str">
        <f>IF(Table1[[#This Row],[Is Data Valid]]=TRUE,((Table1[[#This Row],[Birthweight (grams)]]*1.1/Table1[[#This Row],[BW_GA]])-1)/(Backend!$B$4/100*Table1[[#This Row],[BW40_3705]]),"")</f>
        <v/>
      </c>
      <c r="J2195" s="7" t="str">
        <f>IF(Table1[[#This Row],[Is Data Valid]]=TRUE,_xlfn.NORM.S.DIST(Table1[[#This Row],[Birthweight Z-Score]],TRUE)*100,"")</f>
        <v/>
      </c>
      <c r="K2195" s="7" t="str">
        <f>IF(Table1[[#This Row],[Is Data Valid]]=TRUE,_xlfn.NORM.S.DIST(Table1[[#This Row],[Birthweight Z-Score (BW-10%)]],TRUE)*100,"")</f>
        <v/>
      </c>
      <c r="L2195" s="7" t="str">
        <f>IF(Table1[[#This Row],[Is Data Valid]]=TRUE,_xlfn.NORM.S.DIST(Table1[[#This Row],[Birthweight Z-Score (BW+10%)]],TRUE)*100,"")</f>
        <v/>
      </c>
    </row>
    <row r="2196" spans="1:12" x14ac:dyDescent="0.35">
      <c r="A2196" s="3"/>
      <c r="B2196" s="2"/>
      <c r="C2196" s="2"/>
      <c r="D2196" s="2" t="b">
        <f>IF(AND(NOT(ISBLANK(Table1[[#This Row],[Fetal Sex (Male, Female or Unknown)]])),ISNUMBER(Table1[[#This Row],[Birthweight (grams)]]),ISNUMBER(Table1[[#This Row],[Gestation (days)]])),TRUE,FALSE)</f>
        <v>0</v>
      </c>
      <c r="E2196" s="2" t="str">
        <f>IF(Table1[[#This Row],[Is Data Valid]]=TRUE,IF(Table1[[#This Row],[Fetal Sex (Male, Female or Unknown)]]="Male",Backend!$C$6,IF(Table1[[#This Row],[Fetal Sex (Male, Female or Unknown)]]="Female",Backend!$C$7,IF(Table1[[#This Row],[Fetal Sex (Male, Female or Unknown)]]="Unknown",Backend!$C$8,"Error"))),"")</f>
        <v/>
      </c>
      <c r="F2196" s="8" t="str">
        <f>IF(Table1[[#This Row],[Is Data Valid]]=TRUE,EXP(0.578+0.332*((Table1[[#This Row],[Gestation (days)]]+0.5)/7)-0.00354*((Table1[[#This Row],[Gestation (days)]]+0.5)/7)^2)*Table1[[#This Row],[BW40_3705]],"")</f>
        <v/>
      </c>
      <c r="G2196" s="2" t="str">
        <f>IF(Table1[[#This Row],[Is Data Valid]]=TRUE,((Table1[[#This Row],[Birthweight (grams)]]/Table1[[#This Row],[BW_GA]])-1)/(Backend!$B$4/100*Table1[[#This Row],[BW40_3705]]),"")</f>
        <v/>
      </c>
      <c r="H2196" s="7" t="str">
        <f>IF(Table1[[#This Row],[Is Data Valid]]=TRUE,((Table1[[#This Row],[Birthweight (grams)]]*0.9/Table1[[#This Row],[BW_GA]])-1)/(Backend!$B$4/100*Table1[[#This Row],[BW40_3705]]),"")</f>
        <v/>
      </c>
      <c r="I2196" s="7" t="str">
        <f>IF(Table1[[#This Row],[Is Data Valid]]=TRUE,((Table1[[#This Row],[Birthweight (grams)]]*1.1/Table1[[#This Row],[BW_GA]])-1)/(Backend!$B$4/100*Table1[[#This Row],[BW40_3705]]),"")</f>
        <v/>
      </c>
      <c r="J2196" s="7" t="str">
        <f>IF(Table1[[#This Row],[Is Data Valid]]=TRUE,_xlfn.NORM.S.DIST(Table1[[#This Row],[Birthweight Z-Score]],TRUE)*100,"")</f>
        <v/>
      </c>
      <c r="K2196" s="7" t="str">
        <f>IF(Table1[[#This Row],[Is Data Valid]]=TRUE,_xlfn.NORM.S.DIST(Table1[[#This Row],[Birthweight Z-Score (BW-10%)]],TRUE)*100,"")</f>
        <v/>
      </c>
      <c r="L2196" s="7" t="str">
        <f>IF(Table1[[#This Row],[Is Data Valid]]=TRUE,_xlfn.NORM.S.DIST(Table1[[#This Row],[Birthweight Z-Score (BW+10%)]],TRUE)*100,"")</f>
        <v/>
      </c>
    </row>
    <row r="2197" spans="1:12" x14ac:dyDescent="0.35">
      <c r="A2197" s="3"/>
      <c r="B2197" s="2"/>
      <c r="C2197" s="2"/>
      <c r="D2197" s="2" t="b">
        <f>IF(AND(NOT(ISBLANK(Table1[[#This Row],[Fetal Sex (Male, Female or Unknown)]])),ISNUMBER(Table1[[#This Row],[Birthweight (grams)]]),ISNUMBER(Table1[[#This Row],[Gestation (days)]])),TRUE,FALSE)</f>
        <v>0</v>
      </c>
      <c r="E2197" s="2" t="str">
        <f>IF(Table1[[#This Row],[Is Data Valid]]=TRUE,IF(Table1[[#This Row],[Fetal Sex (Male, Female or Unknown)]]="Male",Backend!$C$6,IF(Table1[[#This Row],[Fetal Sex (Male, Female or Unknown)]]="Female",Backend!$C$7,IF(Table1[[#This Row],[Fetal Sex (Male, Female or Unknown)]]="Unknown",Backend!$C$8,"Error"))),"")</f>
        <v/>
      </c>
      <c r="F2197" s="8" t="str">
        <f>IF(Table1[[#This Row],[Is Data Valid]]=TRUE,EXP(0.578+0.332*((Table1[[#This Row],[Gestation (days)]]+0.5)/7)-0.00354*((Table1[[#This Row],[Gestation (days)]]+0.5)/7)^2)*Table1[[#This Row],[BW40_3705]],"")</f>
        <v/>
      </c>
      <c r="G2197" s="2" t="str">
        <f>IF(Table1[[#This Row],[Is Data Valid]]=TRUE,((Table1[[#This Row],[Birthweight (grams)]]/Table1[[#This Row],[BW_GA]])-1)/(Backend!$B$4/100*Table1[[#This Row],[BW40_3705]]),"")</f>
        <v/>
      </c>
      <c r="H2197" s="7" t="str">
        <f>IF(Table1[[#This Row],[Is Data Valid]]=TRUE,((Table1[[#This Row],[Birthweight (grams)]]*0.9/Table1[[#This Row],[BW_GA]])-1)/(Backend!$B$4/100*Table1[[#This Row],[BW40_3705]]),"")</f>
        <v/>
      </c>
      <c r="I2197" s="7" t="str">
        <f>IF(Table1[[#This Row],[Is Data Valid]]=TRUE,((Table1[[#This Row],[Birthweight (grams)]]*1.1/Table1[[#This Row],[BW_GA]])-1)/(Backend!$B$4/100*Table1[[#This Row],[BW40_3705]]),"")</f>
        <v/>
      </c>
      <c r="J2197" s="7" t="str">
        <f>IF(Table1[[#This Row],[Is Data Valid]]=TRUE,_xlfn.NORM.S.DIST(Table1[[#This Row],[Birthweight Z-Score]],TRUE)*100,"")</f>
        <v/>
      </c>
      <c r="K2197" s="7" t="str">
        <f>IF(Table1[[#This Row],[Is Data Valid]]=TRUE,_xlfn.NORM.S.DIST(Table1[[#This Row],[Birthweight Z-Score (BW-10%)]],TRUE)*100,"")</f>
        <v/>
      </c>
      <c r="L2197" s="7" t="str">
        <f>IF(Table1[[#This Row],[Is Data Valid]]=TRUE,_xlfn.NORM.S.DIST(Table1[[#This Row],[Birthweight Z-Score (BW+10%)]],TRUE)*100,"")</f>
        <v/>
      </c>
    </row>
    <row r="2198" spans="1:12" x14ac:dyDescent="0.35">
      <c r="A2198" s="3"/>
      <c r="B2198" s="2"/>
      <c r="C2198" s="2"/>
      <c r="D2198" s="2" t="b">
        <f>IF(AND(NOT(ISBLANK(Table1[[#This Row],[Fetal Sex (Male, Female or Unknown)]])),ISNUMBER(Table1[[#This Row],[Birthweight (grams)]]),ISNUMBER(Table1[[#This Row],[Gestation (days)]])),TRUE,FALSE)</f>
        <v>0</v>
      </c>
      <c r="E2198" s="2" t="str">
        <f>IF(Table1[[#This Row],[Is Data Valid]]=TRUE,IF(Table1[[#This Row],[Fetal Sex (Male, Female or Unknown)]]="Male",Backend!$C$6,IF(Table1[[#This Row],[Fetal Sex (Male, Female or Unknown)]]="Female",Backend!$C$7,IF(Table1[[#This Row],[Fetal Sex (Male, Female or Unknown)]]="Unknown",Backend!$C$8,"Error"))),"")</f>
        <v/>
      </c>
      <c r="F2198" s="8" t="str">
        <f>IF(Table1[[#This Row],[Is Data Valid]]=TRUE,EXP(0.578+0.332*((Table1[[#This Row],[Gestation (days)]]+0.5)/7)-0.00354*((Table1[[#This Row],[Gestation (days)]]+0.5)/7)^2)*Table1[[#This Row],[BW40_3705]],"")</f>
        <v/>
      </c>
      <c r="G2198" s="2" t="str">
        <f>IF(Table1[[#This Row],[Is Data Valid]]=TRUE,((Table1[[#This Row],[Birthweight (grams)]]/Table1[[#This Row],[BW_GA]])-1)/(Backend!$B$4/100*Table1[[#This Row],[BW40_3705]]),"")</f>
        <v/>
      </c>
      <c r="H2198" s="7" t="str">
        <f>IF(Table1[[#This Row],[Is Data Valid]]=TRUE,((Table1[[#This Row],[Birthweight (grams)]]*0.9/Table1[[#This Row],[BW_GA]])-1)/(Backend!$B$4/100*Table1[[#This Row],[BW40_3705]]),"")</f>
        <v/>
      </c>
      <c r="I2198" s="7" t="str">
        <f>IF(Table1[[#This Row],[Is Data Valid]]=TRUE,((Table1[[#This Row],[Birthweight (grams)]]*1.1/Table1[[#This Row],[BW_GA]])-1)/(Backend!$B$4/100*Table1[[#This Row],[BW40_3705]]),"")</f>
        <v/>
      </c>
      <c r="J2198" s="7" t="str">
        <f>IF(Table1[[#This Row],[Is Data Valid]]=TRUE,_xlfn.NORM.S.DIST(Table1[[#This Row],[Birthweight Z-Score]],TRUE)*100,"")</f>
        <v/>
      </c>
      <c r="K2198" s="7" t="str">
        <f>IF(Table1[[#This Row],[Is Data Valid]]=TRUE,_xlfn.NORM.S.DIST(Table1[[#This Row],[Birthweight Z-Score (BW-10%)]],TRUE)*100,"")</f>
        <v/>
      </c>
      <c r="L2198" s="7" t="str">
        <f>IF(Table1[[#This Row],[Is Data Valid]]=TRUE,_xlfn.NORM.S.DIST(Table1[[#This Row],[Birthweight Z-Score (BW+10%)]],TRUE)*100,"")</f>
        <v/>
      </c>
    </row>
    <row r="2199" spans="1:12" x14ac:dyDescent="0.35">
      <c r="A2199" s="3"/>
      <c r="B2199" s="2"/>
      <c r="C2199" s="2"/>
      <c r="D2199" s="2" t="b">
        <f>IF(AND(NOT(ISBLANK(Table1[[#This Row],[Fetal Sex (Male, Female or Unknown)]])),ISNUMBER(Table1[[#This Row],[Birthweight (grams)]]),ISNUMBER(Table1[[#This Row],[Gestation (days)]])),TRUE,FALSE)</f>
        <v>0</v>
      </c>
      <c r="E2199" s="2" t="str">
        <f>IF(Table1[[#This Row],[Is Data Valid]]=TRUE,IF(Table1[[#This Row],[Fetal Sex (Male, Female or Unknown)]]="Male",Backend!$C$6,IF(Table1[[#This Row],[Fetal Sex (Male, Female or Unknown)]]="Female",Backend!$C$7,IF(Table1[[#This Row],[Fetal Sex (Male, Female or Unknown)]]="Unknown",Backend!$C$8,"Error"))),"")</f>
        <v/>
      </c>
      <c r="F2199" s="8" t="str">
        <f>IF(Table1[[#This Row],[Is Data Valid]]=TRUE,EXP(0.578+0.332*((Table1[[#This Row],[Gestation (days)]]+0.5)/7)-0.00354*((Table1[[#This Row],[Gestation (days)]]+0.5)/7)^2)*Table1[[#This Row],[BW40_3705]],"")</f>
        <v/>
      </c>
      <c r="G2199" s="2" t="str">
        <f>IF(Table1[[#This Row],[Is Data Valid]]=TRUE,((Table1[[#This Row],[Birthweight (grams)]]/Table1[[#This Row],[BW_GA]])-1)/(Backend!$B$4/100*Table1[[#This Row],[BW40_3705]]),"")</f>
        <v/>
      </c>
      <c r="H2199" s="7" t="str">
        <f>IF(Table1[[#This Row],[Is Data Valid]]=TRUE,((Table1[[#This Row],[Birthweight (grams)]]*0.9/Table1[[#This Row],[BW_GA]])-1)/(Backend!$B$4/100*Table1[[#This Row],[BW40_3705]]),"")</f>
        <v/>
      </c>
      <c r="I2199" s="7" t="str">
        <f>IF(Table1[[#This Row],[Is Data Valid]]=TRUE,((Table1[[#This Row],[Birthweight (grams)]]*1.1/Table1[[#This Row],[BW_GA]])-1)/(Backend!$B$4/100*Table1[[#This Row],[BW40_3705]]),"")</f>
        <v/>
      </c>
      <c r="J2199" s="7" t="str">
        <f>IF(Table1[[#This Row],[Is Data Valid]]=TRUE,_xlfn.NORM.S.DIST(Table1[[#This Row],[Birthweight Z-Score]],TRUE)*100,"")</f>
        <v/>
      </c>
      <c r="K2199" s="7" t="str">
        <f>IF(Table1[[#This Row],[Is Data Valid]]=TRUE,_xlfn.NORM.S.DIST(Table1[[#This Row],[Birthweight Z-Score (BW-10%)]],TRUE)*100,"")</f>
        <v/>
      </c>
      <c r="L2199" s="7" t="str">
        <f>IF(Table1[[#This Row],[Is Data Valid]]=TRUE,_xlfn.NORM.S.DIST(Table1[[#This Row],[Birthweight Z-Score (BW+10%)]],TRUE)*100,"")</f>
        <v/>
      </c>
    </row>
    <row r="2200" spans="1:12" x14ac:dyDescent="0.35">
      <c r="A2200" s="3"/>
      <c r="B2200" s="2"/>
      <c r="C2200" s="2"/>
      <c r="D2200" s="2" t="b">
        <f>IF(AND(NOT(ISBLANK(Table1[[#This Row],[Fetal Sex (Male, Female or Unknown)]])),ISNUMBER(Table1[[#This Row],[Birthweight (grams)]]),ISNUMBER(Table1[[#This Row],[Gestation (days)]])),TRUE,FALSE)</f>
        <v>0</v>
      </c>
      <c r="E2200" s="2" t="str">
        <f>IF(Table1[[#This Row],[Is Data Valid]]=TRUE,IF(Table1[[#This Row],[Fetal Sex (Male, Female or Unknown)]]="Male",Backend!$C$6,IF(Table1[[#This Row],[Fetal Sex (Male, Female or Unknown)]]="Female",Backend!$C$7,IF(Table1[[#This Row],[Fetal Sex (Male, Female or Unknown)]]="Unknown",Backend!$C$8,"Error"))),"")</f>
        <v/>
      </c>
      <c r="F2200" s="8" t="str">
        <f>IF(Table1[[#This Row],[Is Data Valid]]=TRUE,EXP(0.578+0.332*((Table1[[#This Row],[Gestation (days)]]+0.5)/7)-0.00354*((Table1[[#This Row],[Gestation (days)]]+0.5)/7)^2)*Table1[[#This Row],[BW40_3705]],"")</f>
        <v/>
      </c>
      <c r="G2200" s="2" t="str">
        <f>IF(Table1[[#This Row],[Is Data Valid]]=TRUE,((Table1[[#This Row],[Birthweight (grams)]]/Table1[[#This Row],[BW_GA]])-1)/(Backend!$B$4/100*Table1[[#This Row],[BW40_3705]]),"")</f>
        <v/>
      </c>
      <c r="H2200" s="7" t="str">
        <f>IF(Table1[[#This Row],[Is Data Valid]]=TRUE,((Table1[[#This Row],[Birthweight (grams)]]*0.9/Table1[[#This Row],[BW_GA]])-1)/(Backend!$B$4/100*Table1[[#This Row],[BW40_3705]]),"")</f>
        <v/>
      </c>
      <c r="I2200" s="7" t="str">
        <f>IF(Table1[[#This Row],[Is Data Valid]]=TRUE,((Table1[[#This Row],[Birthweight (grams)]]*1.1/Table1[[#This Row],[BW_GA]])-1)/(Backend!$B$4/100*Table1[[#This Row],[BW40_3705]]),"")</f>
        <v/>
      </c>
      <c r="J2200" s="7" t="str">
        <f>IF(Table1[[#This Row],[Is Data Valid]]=TRUE,_xlfn.NORM.S.DIST(Table1[[#This Row],[Birthweight Z-Score]],TRUE)*100,"")</f>
        <v/>
      </c>
      <c r="K2200" s="7" t="str">
        <f>IF(Table1[[#This Row],[Is Data Valid]]=TRUE,_xlfn.NORM.S.DIST(Table1[[#This Row],[Birthweight Z-Score (BW-10%)]],TRUE)*100,"")</f>
        <v/>
      </c>
      <c r="L2200" s="7" t="str">
        <f>IF(Table1[[#This Row],[Is Data Valid]]=TRUE,_xlfn.NORM.S.DIST(Table1[[#This Row],[Birthweight Z-Score (BW+10%)]],TRUE)*100,"")</f>
        <v/>
      </c>
    </row>
    <row r="2201" spans="1:12" x14ac:dyDescent="0.35">
      <c r="A2201" s="3"/>
      <c r="B2201" s="2"/>
      <c r="C2201" s="2"/>
      <c r="D2201" s="2" t="b">
        <f>IF(AND(NOT(ISBLANK(Table1[[#This Row],[Fetal Sex (Male, Female or Unknown)]])),ISNUMBER(Table1[[#This Row],[Birthweight (grams)]]),ISNUMBER(Table1[[#This Row],[Gestation (days)]])),TRUE,FALSE)</f>
        <v>0</v>
      </c>
      <c r="E2201" s="2" t="str">
        <f>IF(Table1[[#This Row],[Is Data Valid]]=TRUE,IF(Table1[[#This Row],[Fetal Sex (Male, Female or Unknown)]]="Male",Backend!$C$6,IF(Table1[[#This Row],[Fetal Sex (Male, Female or Unknown)]]="Female",Backend!$C$7,IF(Table1[[#This Row],[Fetal Sex (Male, Female or Unknown)]]="Unknown",Backend!$C$8,"Error"))),"")</f>
        <v/>
      </c>
      <c r="F2201" s="8" t="str">
        <f>IF(Table1[[#This Row],[Is Data Valid]]=TRUE,EXP(0.578+0.332*((Table1[[#This Row],[Gestation (days)]]+0.5)/7)-0.00354*((Table1[[#This Row],[Gestation (days)]]+0.5)/7)^2)*Table1[[#This Row],[BW40_3705]],"")</f>
        <v/>
      </c>
      <c r="G2201" s="2" t="str">
        <f>IF(Table1[[#This Row],[Is Data Valid]]=TRUE,((Table1[[#This Row],[Birthweight (grams)]]/Table1[[#This Row],[BW_GA]])-1)/(Backend!$B$4/100*Table1[[#This Row],[BW40_3705]]),"")</f>
        <v/>
      </c>
      <c r="H2201" s="7" t="str">
        <f>IF(Table1[[#This Row],[Is Data Valid]]=TRUE,((Table1[[#This Row],[Birthweight (grams)]]*0.9/Table1[[#This Row],[BW_GA]])-1)/(Backend!$B$4/100*Table1[[#This Row],[BW40_3705]]),"")</f>
        <v/>
      </c>
      <c r="I2201" s="7" t="str">
        <f>IF(Table1[[#This Row],[Is Data Valid]]=TRUE,((Table1[[#This Row],[Birthweight (grams)]]*1.1/Table1[[#This Row],[BW_GA]])-1)/(Backend!$B$4/100*Table1[[#This Row],[BW40_3705]]),"")</f>
        <v/>
      </c>
      <c r="J2201" s="7" t="str">
        <f>IF(Table1[[#This Row],[Is Data Valid]]=TRUE,_xlfn.NORM.S.DIST(Table1[[#This Row],[Birthweight Z-Score]],TRUE)*100,"")</f>
        <v/>
      </c>
      <c r="K2201" s="7" t="str">
        <f>IF(Table1[[#This Row],[Is Data Valid]]=TRUE,_xlfn.NORM.S.DIST(Table1[[#This Row],[Birthweight Z-Score (BW-10%)]],TRUE)*100,"")</f>
        <v/>
      </c>
      <c r="L2201" s="7" t="str">
        <f>IF(Table1[[#This Row],[Is Data Valid]]=TRUE,_xlfn.NORM.S.DIST(Table1[[#This Row],[Birthweight Z-Score (BW+10%)]],TRUE)*100,"")</f>
        <v/>
      </c>
    </row>
    <row r="2202" spans="1:12" x14ac:dyDescent="0.35">
      <c r="A2202" s="3"/>
      <c r="B2202" s="2"/>
      <c r="C2202" s="2"/>
      <c r="D2202" s="2" t="b">
        <f>IF(AND(NOT(ISBLANK(Table1[[#This Row],[Fetal Sex (Male, Female or Unknown)]])),ISNUMBER(Table1[[#This Row],[Birthweight (grams)]]),ISNUMBER(Table1[[#This Row],[Gestation (days)]])),TRUE,FALSE)</f>
        <v>0</v>
      </c>
      <c r="E2202" s="2" t="str">
        <f>IF(Table1[[#This Row],[Is Data Valid]]=TRUE,IF(Table1[[#This Row],[Fetal Sex (Male, Female or Unknown)]]="Male",Backend!$C$6,IF(Table1[[#This Row],[Fetal Sex (Male, Female or Unknown)]]="Female",Backend!$C$7,IF(Table1[[#This Row],[Fetal Sex (Male, Female or Unknown)]]="Unknown",Backend!$C$8,"Error"))),"")</f>
        <v/>
      </c>
      <c r="F2202" s="8" t="str">
        <f>IF(Table1[[#This Row],[Is Data Valid]]=TRUE,EXP(0.578+0.332*((Table1[[#This Row],[Gestation (days)]]+0.5)/7)-0.00354*((Table1[[#This Row],[Gestation (days)]]+0.5)/7)^2)*Table1[[#This Row],[BW40_3705]],"")</f>
        <v/>
      </c>
      <c r="G2202" s="2" t="str">
        <f>IF(Table1[[#This Row],[Is Data Valid]]=TRUE,((Table1[[#This Row],[Birthweight (grams)]]/Table1[[#This Row],[BW_GA]])-1)/(Backend!$B$4/100*Table1[[#This Row],[BW40_3705]]),"")</f>
        <v/>
      </c>
      <c r="H2202" s="7" t="str">
        <f>IF(Table1[[#This Row],[Is Data Valid]]=TRUE,((Table1[[#This Row],[Birthweight (grams)]]*0.9/Table1[[#This Row],[BW_GA]])-1)/(Backend!$B$4/100*Table1[[#This Row],[BW40_3705]]),"")</f>
        <v/>
      </c>
      <c r="I2202" s="7" t="str">
        <f>IF(Table1[[#This Row],[Is Data Valid]]=TRUE,((Table1[[#This Row],[Birthweight (grams)]]*1.1/Table1[[#This Row],[BW_GA]])-1)/(Backend!$B$4/100*Table1[[#This Row],[BW40_3705]]),"")</f>
        <v/>
      </c>
      <c r="J2202" s="7" t="str">
        <f>IF(Table1[[#This Row],[Is Data Valid]]=TRUE,_xlfn.NORM.S.DIST(Table1[[#This Row],[Birthweight Z-Score]],TRUE)*100,"")</f>
        <v/>
      </c>
      <c r="K2202" s="7" t="str">
        <f>IF(Table1[[#This Row],[Is Data Valid]]=TRUE,_xlfn.NORM.S.DIST(Table1[[#This Row],[Birthweight Z-Score (BW-10%)]],TRUE)*100,"")</f>
        <v/>
      </c>
      <c r="L2202" s="7" t="str">
        <f>IF(Table1[[#This Row],[Is Data Valid]]=TRUE,_xlfn.NORM.S.DIST(Table1[[#This Row],[Birthweight Z-Score (BW+10%)]],TRUE)*100,"")</f>
        <v/>
      </c>
    </row>
    <row r="2203" spans="1:12" x14ac:dyDescent="0.35">
      <c r="A2203" s="3"/>
      <c r="B2203" s="2"/>
      <c r="C2203" s="2"/>
      <c r="D2203" s="2" t="b">
        <f>IF(AND(NOT(ISBLANK(Table1[[#This Row],[Fetal Sex (Male, Female or Unknown)]])),ISNUMBER(Table1[[#This Row],[Birthweight (grams)]]),ISNUMBER(Table1[[#This Row],[Gestation (days)]])),TRUE,FALSE)</f>
        <v>0</v>
      </c>
      <c r="E2203" s="2" t="str">
        <f>IF(Table1[[#This Row],[Is Data Valid]]=TRUE,IF(Table1[[#This Row],[Fetal Sex (Male, Female or Unknown)]]="Male",Backend!$C$6,IF(Table1[[#This Row],[Fetal Sex (Male, Female or Unknown)]]="Female",Backend!$C$7,IF(Table1[[#This Row],[Fetal Sex (Male, Female or Unknown)]]="Unknown",Backend!$C$8,"Error"))),"")</f>
        <v/>
      </c>
      <c r="F2203" s="8" t="str">
        <f>IF(Table1[[#This Row],[Is Data Valid]]=TRUE,EXP(0.578+0.332*((Table1[[#This Row],[Gestation (days)]]+0.5)/7)-0.00354*((Table1[[#This Row],[Gestation (days)]]+0.5)/7)^2)*Table1[[#This Row],[BW40_3705]],"")</f>
        <v/>
      </c>
      <c r="G2203" s="2" t="str">
        <f>IF(Table1[[#This Row],[Is Data Valid]]=TRUE,((Table1[[#This Row],[Birthweight (grams)]]/Table1[[#This Row],[BW_GA]])-1)/(Backend!$B$4/100*Table1[[#This Row],[BW40_3705]]),"")</f>
        <v/>
      </c>
      <c r="H2203" s="7" t="str">
        <f>IF(Table1[[#This Row],[Is Data Valid]]=TRUE,((Table1[[#This Row],[Birthweight (grams)]]*0.9/Table1[[#This Row],[BW_GA]])-1)/(Backend!$B$4/100*Table1[[#This Row],[BW40_3705]]),"")</f>
        <v/>
      </c>
      <c r="I2203" s="7" t="str">
        <f>IF(Table1[[#This Row],[Is Data Valid]]=TRUE,((Table1[[#This Row],[Birthweight (grams)]]*1.1/Table1[[#This Row],[BW_GA]])-1)/(Backend!$B$4/100*Table1[[#This Row],[BW40_3705]]),"")</f>
        <v/>
      </c>
      <c r="J2203" s="7" t="str">
        <f>IF(Table1[[#This Row],[Is Data Valid]]=TRUE,_xlfn.NORM.S.DIST(Table1[[#This Row],[Birthweight Z-Score]],TRUE)*100,"")</f>
        <v/>
      </c>
      <c r="K2203" s="7" t="str">
        <f>IF(Table1[[#This Row],[Is Data Valid]]=TRUE,_xlfn.NORM.S.DIST(Table1[[#This Row],[Birthweight Z-Score (BW-10%)]],TRUE)*100,"")</f>
        <v/>
      </c>
      <c r="L2203" s="7" t="str">
        <f>IF(Table1[[#This Row],[Is Data Valid]]=TRUE,_xlfn.NORM.S.DIST(Table1[[#This Row],[Birthweight Z-Score (BW+10%)]],TRUE)*100,"")</f>
        <v/>
      </c>
    </row>
    <row r="2204" spans="1:12" x14ac:dyDescent="0.35">
      <c r="A2204" s="3"/>
      <c r="B2204" s="2"/>
      <c r="C2204" s="2"/>
      <c r="D2204" s="2" t="b">
        <f>IF(AND(NOT(ISBLANK(Table1[[#This Row],[Fetal Sex (Male, Female or Unknown)]])),ISNUMBER(Table1[[#This Row],[Birthweight (grams)]]),ISNUMBER(Table1[[#This Row],[Gestation (days)]])),TRUE,FALSE)</f>
        <v>0</v>
      </c>
      <c r="E2204" s="2" t="str">
        <f>IF(Table1[[#This Row],[Is Data Valid]]=TRUE,IF(Table1[[#This Row],[Fetal Sex (Male, Female or Unknown)]]="Male",Backend!$C$6,IF(Table1[[#This Row],[Fetal Sex (Male, Female or Unknown)]]="Female",Backend!$C$7,IF(Table1[[#This Row],[Fetal Sex (Male, Female or Unknown)]]="Unknown",Backend!$C$8,"Error"))),"")</f>
        <v/>
      </c>
      <c r="F2204" s="8" t="str">
        <f>IF(Table1[[#This Row],[Is Data Valid]]=TRUE,EXP(0.578+0.332*((Table1[[#This Row],[Gestation (days)]]+0.5)/7)-0.00354*((Table1[[#This Row],[Gestation (days)]]+0.5)/7)^2)*Table1[[#This Row],[BW40_3705]],"")</f>
        <v/>
      </c>
      <c r="G2204" s="2" t="str">
        <f>IF(Table1[[#This Row],[Is Data Valid]]=TRUE,((Table1[[#This Row],[Birthweight (grams)]]/Table1[[#This Row],[BW_GA]])-1)/(Backend!$B$4/100*Table1[[#This Row],[BW40_3705]]),"")</f>
        <v/>
      </c>
      <c r="H2204" s="7" t="str">
        <f>IF(Table1[[#This Row],[Is Data Valid]]=TRUE,((Table1[[#This Row],[Birthweight (grams)]]*0.9/Table1[[#This Row],[BW_GA]])-1)/(Backend!$B$4/100*Table1[[#This Row],[BW40_3705]]),"")</f>
        <v/>
      </c>
      <c r="I2204" s="7" t="str">
        <f>IF(Table1[[#This Row],[Is Data Valid]]=TRUE,((Table1[[#This Row],[Birthweight (grams)]]*1.1/Table1[[#This Row],[BW_GA]])-1)/(Backend!$B$4/100*Table1[[#This Row],[BW40_3705]]),"")</f>
        <v/>
      </c>
      <c r="J2204" s="7" t="str">
        <f>IF(Table1[[#This Row],[Is Data Valid]]=TRUE,_xlfn.NORM.S.DIST(Table1[[#This Row],[Birthweight Z-Score]],TRUE)*100,"")</f>
        <v/>
      </c>
      <c r="K2204" s="7" t="str">
        <f>IF(Table1[[#This Row],[Is Data Valid]]=TRUE,_xlfn.NORM.S.DIST(Table1[[#This Row],[Birthweight Z-Score (BW-10%)]],TRUE)*100,"")</f>
        <v/>
      </c>
      <c r="L2204" s="7" t="str">
        <f>IF(Table1[[#This Row],[Is Data Valid]]=TRUE,_xlfn.NORM.S.DIST(Table1[[#This Row],[Birthweight Z-Score (BW+10%)]],TRUE)*100,"")</f>
        <v/>
      </c>
    </row>
    <row r="2205" spans="1:12" x14ac:dyDescent="0.35">
      <c r="A2205" s="3"/>
      <c r="B2205" s="2"/>
      <c r="C2205" s="2"/>
      <c r="D2205" s="2" t="b">
        <f>IF(AND(NOT(ISBLANK(Table1[[#This Row],[Fetal Sex (Male, Female or Unknown)]])),ISNUMBER(Table1[[#This Row],[Birthweight (grams)]]),ISNUMBER(Table1[[#This Row],[Gestation (days)]])),TRUE,FALSE)</f>
        <v>0</v>
      </c>
      <c r="E2205" s="2" t="str">
        <f>IF(Table1[[#This Row],[Is Data Valid]]=TRUE,IF(Table1[[#This Row],[Fetal Sex (Male, Female or Unknown)]]="Male",Backend!$C$6,IF(Table1[[#This Row],[Fetal Sex (Male, Female or Unknown)]]="Female",Backend!$C$7,IF(Table1[[#This Row],[Fetal Sex (Male, Female or Unknown)]]="Unknown",Backend!$C$8,"Error"))),"")</f>
        <v/>
      </c>
      <c r="F2205" s="8" t="str">
        <f>IF(Table1[[#This Row],[Is Data Valid]]=TRUE,EXP(0.578+0.332*((Table1[[#This Row],[Gestation (days)]]+0.5)/7)-0.00354*((Table1[[#This Row],[Gestation (days)]]+0.5)/7)^2)*Table1[[#This Row],[BW40_3705]],"")</f>
        <v/>
      </c>
      <c r="G2205" s="2" t="str">
        <f>IF(Table1[[#This Row],[Is Data Valid]]=TRUE,((Table1[[#This Row],[Birthweight (grams)]]/Table1[[#This Row],[BW_GA]])-1)/(Backend!$B$4/100*Table1[[#This Row],[BW40_3705]]),"")</f>
        <v/>
      </c>
      <c r="H2205" s="7" t="str">
        <f>IF(Table1[[#This Row],[Is Data Valid]]=TRUE,((Table1[[#This Row],[Birthweight (grams)]]*0.9/Table1[[#This Row],[BW_GA]])-1)/(Backend!$B$4/100*Table1[[#This Row],[BW40_3705]]),"")</f>
        <v/>
      </c>
      <c r="I2205" s="7" t="str">
        <f>IF(Table1[[#This Row],[Is Data Valid]]=TRUE,((Table1[[#This Row],[Birthweight (grams)]]*1.1/Table1[[#This Row],[BW_GA]])-1)/(Backend!$B$4/100*Table1[[#This Row],[BW40_3705]]),"")</f>
        <v/>
      </c>
      <c r="J2205" s="7" t="str">
        <f>IF(Table1[[#This Row],[Is Data Valid]]=TRUE,_xlfn.NORM.S.DIST(Table1[[#This Row],[Birthweight Z-Score]],TRUE)*100,"")</f>
        <v/>
      </c>
      <c r="K2205" s="7" t="str">
        <f>IF(Table1[[#This Row],[Is Data Valid]]=TRUE,_xlfn.NORM.S.DIST(Table1[[#This Row],[Birthweight Z-Score (BW-10%)]],TRUE)*100,"")</f>
        <v/>
      </c>
      <c r="L2205" s="7" t="str">
        <f>IF(Table1[[#This Row],[Is Data Valid]]=TRUE,_xlfn.NORM.S.DIST(Table1[[#This Row],[Birthweight Z-Score (BW+10%)]],TRUE)*100,"")</f>
        <v/>
      </c>
    </row>
    <row r="2206" spans="1:12" x14ac:dyDescent="0.35">
      <c r="A2206" s="3"/>
      <c r="B2206" s="2"/>
      <c r="C2206" s="2"/>
      <c r="D2206" s="2" t="b">
        <f>IF(AND(NOT(ISBLANK(Table1[[#This Row],[Fetal Sex (Male, Female or Unknown)]])),ISNUMBER(Table1[[#This Row],[Birthweight (grams)]]),ISNUMBER(Table1[[#This Row],[Gestation (days)]])),TRUE,FALSE)</f>
        <v>0</v>
      </c>
      <c r="E2206" s="2" t="str">
        <f>IF(Table1[[#This Row],[Is Data Valid]]=TRUE,IF(Table1[[#This Row],[Fetal Sex (Male, Female or Unknown)]]="Male",Backend!$C$6,IF(Table1[[#This Row],[Fetal Sex (Male, Female or Unknown)]]="Female",Backend!$C$7,IF(Table1[[#This Row],[Fetal Sex (Male, Female or Unknown)]]="Unknown",Backend!$C$8,"Error"))),"")</f>
        <v/>
      </c>
      <c r="F2206" s="8" t="str">
        <f>IF(Table1[[#This Row],[Is Data Valid]]=TRUE,EXP(0.578+0.332*((Table1[[#This Row],[Gestation (days)]]+0.5)/7)-0.00354*((Table1[[#This Row],[Gestation (days)]]+0.5)/7)^2)*Table1[[#This Row],[BW40_3705]],"")</f>
        <v/>
      </c>
      <c r="G2206" s="2" t="str">
        <f>IF(Table1[[#This Row],[Is Data Valid]]=TRUE,((Table1[[#This Row],[Birthweight (grams)]]/Table1[[#This Row],[BW_GA]])-1)/(Backend!$B$4/100*Table1[[#This Row],[BW40_3705]]),"")</f>
        <v/>
      </c>
      <c r="H2206" s="7" t="str">
        <f>IF(Table1[[#This Row],[Is Data Valid]]=TRUE,((Table1[[#This Row],[Birthweight (grams)]]*0.9/Table1[[#This Row],[BW_GA]])-1)/(Backend!$B$4/100*Table1[[#This Row],[BW40_3705]]),"")</f>
        <v/>
      </c>
      <c r="I2206" s="7" t="str">
        <f>IF(Table1[[#This Row],[Is Data Valid]]=TRUE,((Table1[[#This Row],[Birthweight (grams)]]*1.1/Table1[[#This Row],[BW_GA]])-1)/(Backend!$B$4/100*Table1[[#This Row],[BW40_3705]]),"")</f>
        <v/>
      </c>
      <c r="J2206" s="7" t="str">
        <f>IF(Table1[[#This Row],[Is Data Valid]]=TRUE,_xlfn.NORM.S.DIST(Table1[[#This Row],[Birthweight Z-Score]],TRUE)*100,"")</f>
        <v/>
      </c>
      <c r="K2206" s="7" t="str">
        <f>IF(Table1[[#This Row],[Is Data Valid]]=TRUE,_xlfn.NORM.S.DIST(Table1[[#This Row],[Birthweight Z-Score (BW-10%)]],TRUE)*100,"")</f>
        <v/>
      </c>
      <c r="L2206" s="7" t="str">
        <f>IF(Table1[[#This Row],[Is Data Valid]]=TRUE,_xlfn.NORM.S.DIST(Table1[[#This Row],[Birthweight Z-Score (BW+10%)]],TRUE)*100,"")</f>
        <v/>
      </c>
    </row>
    <row r="2207" spans="1:12" x14ac:dyDescent="0.35">
      <c r="A2207" s="3"/>
      <c r="B2207" s="2"/>
      <c r="C2207" s="2"/>
      <c r="D2207" s="2" t="b">
        <f>IF(AND(NOT(ISBLANK(Table1[[#This Row],[Fetal Sex (Male, Female or Unknown)]])),ISNUMBER(Table1[[#This Row],[Birthweight (grams)]]),ISNUMBER(Table1[[#This Row],[Gestation (days)]])),TRUE,FALSE)</f>
        <v>0</v>
      </c>
      <c r="E2207" s="2" t="str">
        <f>IF(Table1[[#This Row],[Is Data Valid]]=TRUE,IF(Table1[[#This Row],[Fetal Sex (Male, Female or Unknown)]]="Male",Backend!$C$6,IF(Table1[[#This Row],[Fetal Sex (Male, Female or Unknown)]]="Female",Backend!$C$7,IF(Table1[[#This Row],[Fetal Sex (Male, Female or Unknown)]]="Unknown",Backend!$C$8,"Error"))),"")</f>
        <v/>
      </c>
      <c r="F2207" s="8" t="str">
        <f>IF(Table1[[#This Row],[Is Data Valid]]=TRUE,EXP(0.578+0.332*((Table1[[#This Row],[Gestation (days)]]+0.5)/7)-0.00354*((Table1[[#This Row],[Gestation (days)]]+0.5)/7)^2)*Table1[[#This Row],[BW40_3705]],"")</f>
        <v/>
      </c>
      <c r="G2207" s="2" t="str">
        <f>IF(Table1[[#This Row],[Is Data Valid]]=TRUE,((Table1[[#This Row],[Birthweight (grams)]]/Table1[[#This Row],[BW_GA]])-1)/(Backend!$B$4/100*Table1[[#This Row],[BW40_3705]]),"")</f>
        <v/>
      </c>
      <c r="H2207" s="7" t="str">
        <f>IF(Table1[[#This Row],[Is Data Valid]]=TRUE,((Table1[[#This Row],[Birthweight (grams)]]*0.9/Table1[[#This Row],[BW_GA]])-1)/(Backend!$B$4/100*Table1[[#This Row],[BW40_3705]]),"")</f>
        <v/>
      </c>
      <c r="I2207" s="7" t="str">
        <f>IF(Table1[[#This Row],[Is Data Valid]]=TRUE,((Table1[[#This Row],[Birthweight (grams)]]*1.1/Table1[[#This Row],[BW_GA]])-1)/(Backend!$B$4/100*Table1[[#This Row],[BW40_3705]]),"")</f>
        <v/>
      </c>
      <c r="J2207" s="7" t="str">
        <f>IF(Table1[[#This Row],[Is Data Valid]]=TRUE,_xlfn.NORM.S.DIST(Table1[[#This Row],[Birthweight Z-Score]],TRUE)*100,"")</f>
        <v/>
      </c>
      <c r="K2207" s="7" t="str">
        <f>IF(Table1[[#This Row],[Is Data Valid]]=TRUE,_xlfn.NORM.S.DIST(Table1[[#This Row],[Birthweight Z-Score (BW-10%)]],TRUE)*100,"")</f>
        <v/>
      </c>
      <c r="L2207" s="7" t="str">
        <f>IF(Table1[[#This Row],[Is Data Valid]]=TRUE,_xlfn.NORM.S.DIST(Table1[[#This Row],[Birthweight Z-Score (BW+10%)]],TRUE)*100,"")</f>
        <v/>
      </c>
    </row>
    <row r="2208" spans="1:12" x14ac:dyDescent="0.35">
      <c r="A2208" s="3"/>
      <c r="B2208" s="2"/>
      <c r="C2208" s="2"/>
      <c r="D2208" s="2" t="b">
        <f>IF(AND(NOT(ISBLANK(Table1[[#This Row],[Fetal Sex (Male, Female or Unknown)]])),ISNUMBER(Table1[[#This Row],[Birthweight (grams)]]),ISNUMBER(Table1[[#This Row],[Gestation (days)]])),TRUE,FALSE)</f>
        <v>0</v>
      </c>
      <c r="E2208" s="2" t="str">
        <f>IF(Table1[[#This Row],[Is Data Valid]]=TRUE,IF(Table1[[#This Row],[Fetal Sex (Male, Female or Unknown)]]="Male",Backend!$C$6,IF(Table1[[#This Row],[Fetal Sex (Male, Female or Unknown)]]="Female",Backend!$C$7,IF(Table1[[#This Row],[Fetal Sex (Male, Female or Unknown)]]="Unknown",Backend!$C$8,"Error"))),"")</f>
        <v/>
      </c>
      <c r="F2208" s="8" t="str">
        <f>IF(Table1[[#This Row],[Is Data Valid]]=TRUE,EXP(0.578+0.332*((Table1[[#This Row],[Gestation (days)]]+0.5)/7)-0.00354*((Table1[[#This Row],[Gestation (days)]]+0.5)/7)^2)*Table1[[#This Row],[BW40_3705]],"")</f>
        <v/>
      </c>
      <c r="G2208" s="2" t="str">
        <f>IF(Table1[[#This Row],[Is Data Valid]]=TRUE,((Table1[[#This Row],[Birthweight (grams)]]/Table1[[#This Row],[BW_GA]])-1)/(Backend!$B$4/100*Table1[[#This Row],[BW40_3705]]),"")</f>
        <v/>
      </c>
      <c r="H2208" s="7" t="str">
        <f>IF(Table1[[#This Row],[Is Data Valid]]=TRUE,((Table1[[#This Row],[Birthweight (grams)]]*0.9/Table1[[#This Row],[BW_GA]])-1)/(Backend!$B$4/100*Table1[[#This Row],[BW40_3705]]),"")</f>
        <v/>
      </c>
      <c r="I2208" s="7" t="str">
        <f>IF(Table1[[#This Row],[Is Data Valid]]=TRUE,((Table1[[#This Row],[Birthweight (grams)]]*1.1/Table1[[#This Row],[BW_GA]])-1)/(Backend!$B$4/100*Table1[[#This Row],[BW40_3705]]),"")</f>
        <v/>
      </c>
      <c r="J2208" s="7" t="str">
        <f>IF(Table1[[#This Row],[Is Data Valid]]=TRUE,_xlfn.NORM.S.DIST(Table1[[#This Row],[Birthweight Z-Score]],TRUE)*100,"")</f>
        <v/>
      </c>
      <c r="K2208" s="7" t="str">
        <f>IF(Table1[[#This Row],[Is Data Valid]]=TRUE,_xlfn.NORM.S.DIST(Table1[[#This Row],[Birthweight Z-Score (BW-10%)]],TRUE)*100,"")</f>
        <v/>
      </c>
      <c r="L2208" s="7" t="str">
        <f>IF(Table1[[#This Row],[Is Data Valid]]=TRUE,_xlfn.NORM.S.DIST(Table1[[#This Row],[Birthweight Z-Score (BW+10%)]],TRUE)*100,"")</f>
        <v/>
      </c>
    </row>
    <row r="2209" spans="1:12" x14ac:dyDescent="0.35">
      <c r="A2209" s="3"/>
      <c r="B2209" s="2"/>
      <c r="C2209" s="2"/>
      <c r="D2209" s="2" t="b">
        <f>IF(AND(NOT(ISBLANK(Table1[[#This Row],[Fetal Sex (Male, Female or Unknown)]])),ISNUMBER(Table1[[#This Row],[Birthweight (grams)]]),ISNUMBER(Table1[[#This Row],[Gestation (days)]])),TRUE,FALSE)</f>
        <v>0</v>
      </c>
      <c r="E2209" s="2" t="str">
        <f>IF(Table1[[#This Row],[Is Data Valid]]=TRUE,IF(Table1[[#This Row],[Fetal Sex (Male, Female or Unknown)]]="Male",Backend!$C$6,IF(Table1[[#This Row],[Fetal Sex (Male, Female or Unknown)]]="Female",Backend!$C$7,IF(Table1[[#This Row],[Fetal Sex (Male, Female or Unknown)]]="Unknown",Backend!$C$8,"Error"))),"")</f>
        <v/>
      </c>
      <c r="F2209" s="8" t="str">
        <f>IF(Table1[[#This Row],[Is Data Valid]]=TRUE,EXP(0.578+0.332*((Table1[[#This Row],[Gestation (days)]]+0.5)/7)-0.00354*((Table1[[#This Row],[Gestation (days)]]+0.5)/7)^2)*Table1[[#This Row],[BW40_3705]],"")</f>
        <v/>
      </c>
      <c r="G2209" s="2" t="str">
        <f>IF(Table1[[#This Row],[Is Data Valid]]=TRUE,((Table1[[#This Row],[Birthweight (grams)]]/Table1[[#This Row],[BW_GA]])-1)/(Backend!$B$4/100*Table1[[#This Row],[BW40_3705]]),"")</f>
        <v/>
      </c>
      <c r="H2209" s="7" t="str">
        <f>IF(Table1[[#This Row],[Is Data Valid]]=TRUE,((Table1[[#This Row],[Birthweight (grams)]]*0.9/Table1[[#This Row],[BW_GA]])-1)/(Backend!$B$4/100*Table1[[#This Row],[BW40_3705]]),"")</f>
        <v/>
      </c>
      <c r="I2209" s="7" t="str">
        <f>IF(Table1[[#This Row],[Is Data Valid]]=TRUE,((Table1[[#This Row],[Birthweight (grams)]]*1.1/Table1[[#This Row],[BW_GA]])-1)/(Backend!$B$4/100*Table1[[#This Row],[BW40_3705]]),"")</f>
        <v/>
      </c>
      <c r="J2209" s="7" t="str">
        <f>IF(Table1[[#This Row],[Is Data Valid]]=TRUE,_xlfn.NORM.S.DIST(Table1[[#This Row],[Birthweight Z-Score]],TRUE)*100,"")</f>
        <v/>
      </c>
      <c r="K2209" s="7" t="str">
        <f>IF(Table1[[#This Row],[Is Data Valid]]=TRUE,_xlfn.NORM.S.DIST(Table1[[#This Row],[Birthweight Z-Score (BW-10%)]],TRUE)*100,"")</f>
        <v/>
      </c>
      <c r="L2209" s="7" t="str">
        <f>IF(Table1[[#This Row],[Is Data Valid]]=TRUE,_xlfn.NORM.S.DIST(Table1[[#This Row],[Birthweight Z-Score (BW+10%)]],TRUE)*100,"")</f>
        <v/>
      </c>
    </row>
    <row r="2210" spans="1:12" x14ac:dyDescent="0.35">
      <c r="A2210" s="3"/>
      <c r="B2210" s="2"/>
      <c r="C2210" s="2"/>
      <c r="D2210" s="2" t="b">
        <f>IF(AND(NOT(ISBLANK(Table1[[#This Row],[Fetal Sex (Male, Female or Unknown)]])),ISNUMBER(Table1[[#This Row],[Birthweight (grams)]]),ISNUMBER(Table1[[#This Row],[Gestation (days)]])),TRUE,FALSE)</f>
        <v>0</v>
      </c>
      <c r="E2210" s="2" t="str">
        <f>IF(Table1[[#This Row],[Is Data Valid]]=TRUE,IF(Table1[[#This Row],[Fetal Sex (Male, Female or Unknown)]]="Male",Backend!$C$6,IF(Table1[[#This Row],[Fetal Sex (Male, Female or Unknown)]]="Female",Backend!$C$7,IF(Table1[[#This Row],[Fetal Sex (Male, Female or Unknown)]]="Unknown",Backend!$C$8,"Error"))),"")</f>
        <v/>
      </c>
      <c r="F2210" s="8" t="str">
        <f>IF(Table1[[#This Row],[Is Data Valid]]=TRUE,EXP(0.578+0.332*((Table1[[#This Row],[Gestation (days)]]+0.5)/7)-0.00354*((Table1[[#This Row],[Gestation (days)]]+0.5)/7)^2)*Table1[[#This Row],[BW40_3705]],"")</f>
        <v/>
      </c>
      <c r="G2210" s="2" t="str">
        <f>IF(Table1[[#This Row],[Is Data Valid]]=TRUE,((Table1[[#This Row],[Birthweight (grams)]]/Table1[[#This Row],[BW_GA]])-1)/(Backend!$B$4/100*Table1[[#This Row],[BW40_3705]]),"")</f>
        <v/>
      </c>
      <c r="H2210" s="7" t="str">
        <f>IF(Table1[[#This Row],[Is Data Valid]]=TRUE,((Table1[[#This Row],[Birthweight (grams)]]*0.9/Table1[[#This Row],[BW_GA]])-1)/(Backend!$B$4/100*Table1[[#This Row],[BW40_3705]]),"")</f>
        <v/>
      </c>
      <c r="I2210" s="7" t="str">
        <f>IF(Table1[[#This Row],[Is Data Valid]]=TRUE,((Table1[[#This Row],[Birthweight (grams)]]*1.1/Table1[[#This Row],[BW_GA]])-1)/(Backend!$B$4/100*Table1[[#This Row],[BW40_3705]]),"")</f>
        <v/>
      </c>
      <c r="J2210" s="7" t="str">
        <f>IF(Table1[[#This Row],[Is Data Valid]]=TRUE,_xlfn.NORM.S.DIST(Table1[[#This Row],[Birthweight Z-Score]],TRUE)*100,"")</f>
        <v/>
      </c>
      <c r="K2210" s="7" t="str">
        <f>IF(Table1[[#This Row],[Is Data Valid]]=TRUE,_xlfn.NORM.S.DIST(Table1[[#This Row],[Birthweight Z-Score (BW-10%)]],TRUE)*100,"")</f>
        <v/>
      </c>
      <c r="L2210" s="7" t="str">
        <f>IF(Table1[[#This Row],[Is Data Valid]]=TRUE,_xlfn.NORM.S.DIST(Table1[[#This Row],[Birthweight Z-Score (BW+10%)]],TRUE)*100,"")</f>
        <v/>
      </c>
    </row>
    <row r="2211" spans="1:12" x14ac:dyDescent="0.35">
      <c r="A2211" s="3"/>
      <c r="B2211" s="2"/>
      <c r="C2211" s="2"/>
      <c r="D2211" s="2" t="b">
        <f>IF(AND(NOT(ISBLANK(Table1[[#This Row],[Fetal Sex (Male, Female or Unknown)]])),ISNUMBER(Table1[[#This Row],[Birthweight (grams)]]),ISNUMBER(Table1[[#This Row],[Gestation (days)]])),TRUE,FALSE)</f>
        <v>0</v>
      </c>
      <c r="E2211" s="2" t="str">
        <f>IF(Table1[[#This Row],[Is Data Valid]]=TRUE,IF(Table1[[#This Row],[Fetal Sex (Male, Female or Unknown)]]="Male",Backend!$C$6,IF(Table1[[#This Row],[Fetal Sex (Male, Female or Unknown)]]="Female",Backend!$C$7,IF(Table1[[#This Row],[Fetal Sex (Male, Female or Unknown)]]="Unknown",Backend!$C$8,"Error"))),"")</f>
        <v/>
      </c>
      <c r="F2211" s="8" t="str">
        <f>IF(Table1[[#This Row],[Is Data Valid]]=TRUE,EXP(0.578+0.332*((Table1[[#This Row],[Gestation (days)]]+0.5)/7)-0.00354*((Table1[[#This Row],[Gestation (days)]]+0.5)/7)^2)*Table1[[#This Row],[BW40_3705]],"")</f>
        <v/>
      </c>
      <c r="G2211" s="2" t="str">
        <f>IF(Table1[[#This Row],[Is Data Valid]]=TRUE,((Table1[[#This Row],[Birthweight (grams)]]/Table1[[#This Row],[BW_GA]])-1)/(Backend!$B$4/100*Table1[[#This Row],[BW40_3705]]),"")</f>
        <v/>
      </c>
      <c r="H2211" s="7" t="str">
        <f>IF(Table1[[#This Row],[Is Data Valid]]=TRUE,((Table1[[#This Row],[Birthweight (grams)]]*0.9/Table1[[#This Row],[BW_GA]])-1)/(Backend!$B$4/100*Table1[[#This Row],[BW40_3705]]),"")</f>
        <v/>
      </c>
      <c r="I2211" s="7" t="str">
        <f>IF(Table1[[#This Row],[Is Data Valid]]=TRUE,((Table1[[#This Row],[Birthweight (grams)]]*1.1/Table1[[#This Row],[BW_GA]])-1)/(Backend!$B$4/100*Table1[[#This Row],[BW40_3705]]),"")</f>
        <v/>
      </c>
      <c r="J2211" s="7" t="str">
        <f>IF(Table1[[#This Row],[Is Data Valid]]=TRUE,_xlfn.NORM.S.DIST(Table1[[#This Row],[Birthweight Z-Score]],TRUE)*100,"")</f>
        <v/>
      </c>
      <c r="K2211" s="7" t="str">
        <f>IF(Table1[[#This Row],[Is Data Valid]]=TRUE,_xlfn.NORM.S.DIST(Table1[[#This Row],[Birthweight Z-Score (BW-10%)]],TRUE)*100,"")</f>
        <v/>
      </c>
      <c r="L2211" s="7" t="str">
        <f>IF(Table1[[#This Row],[Is Data Valid]]=TRUE,_xlfn.NORM.S.DIST(Table1[[#This Row],[Birthweight Z-Score (BW+10%)]],TRUE)*100,"")</f>
        <v/>
      </c>
    </row>
    <row r="2212" spans="1:12" x14ac:dyDescent="0.35">
      <c r="A2212" s="3"/>
      <c r="B2212" s="2"/>
      <c r="C2212" s="2"/>
      <c r="D2212" s="2" t="b">
        <f>IF(AND(NOT(ISBLANK(Table1[[#This Row],[Fetal Sex (Male, Female or Unknown)]])),ISNUMBER(Table1[[#This Row],[Birthweight (grams)]]),ISNUMBER(Table1[[#This Row],[Gestation (days)]])),TRUE,FALSE)</f>
        <v>0</v>
      </c>
      <c r="E2212" s="2" t="str">
        <f>IF(Table1[[#This Row],[Is Data Valid]]=TRUE,IF(Table1[[#This Row],[Fetal Sex (Male, Female or Unknown)]]="Male",Backend!$C$6,IF(Table1[[#This Row],[Fetal Sex (Male, Female or Unknown)]]="Female",Backend!$C$7,IF(Table1[[#This Row],[Fetal Sex (Male, Female or Unknown)]]="Unknown",Backend!$C$8,"Error"))),"")</f>
        <v/>
      </c>
      <c r="F2212" s="8" t="str">
        <f>IF(Table1[[#This Row],[Is Data Valid]]=TRUE,EXP(0.578+0.332*((Table1[[#This Row],[Gestation (days)]]+0.5)/7)-0.00354*((Table1[[#This Row],[Gestation (days)]]+0.5)/7)^2)*Table1[[#This Row],[BW40_3705]],"")</f>
        <v/>
      </c>
      <c r="G2212" s="2" t="str">
        <f>IF(Table1[[#This Row],[Is Data Valid]]=TRUE,((Table1[[#This Row],[Birthweight (grams)]]/Table1[[#This Row],[BW_GA]])-1)/(Backend!$B$4/100*Table1[[#This Row],[BW40_3705]]),"")</f>
        <v/>
      </c>
      <c r="H2212" s="7" t="str">
        <f>IF(Table1[[#This Row],[Is Data Valid]]=TRUE,((Table1[[#This Row],[Birthweight (grams)]]*0.9/Table1[[#This Row],[BW_GA]])-1)/(Backend!$B$4/100*Table1[[#This Row],[BW40_3705]]),"")</f>
        <v/>
      </c>
      <c r="I2212" s="7" t="str">
        <f>IF(Table1[[#This Row],[Is Data Valid]]=TRUE,((Table1[[#This Row],[Birthweight (grams)]]*1.1/Table1[[#This Row],[BW_GA]])-1)/(Backend!$B$4/100*Table1[[#This Row],[BW40_3705]]),"")</f>
        <v/>
      </c>
      <c r="J2212" s="7" t="str">
        <f>IF(Table1[[#This Row],[Is Data Valid]]=TRUE,_xlfn.NORM.S.DIST(Table1[[#This Row],[Birthweight Z-Score]],TRUE)*100,"")</f>
        <v/>
      </c>
      <c r="K2212" s="7" t="str">
        <f>IF(Table1[[#This Row],[Is Data Valid]]=TRUE,_xlfn.NORM.S.DIST(Table1[[#This Row],[Birthweight Z-Score (BW-10%)]],TRUE)*100,"")</f>
        <v/>
      </c>
      <c r="L2212" s="7" t="str">
        <f>IF(Table1[[#This Row],[Is Data Valid]]=TRUE,_xlfn.NORM.S.DIST(Table1[[#This Row],[Birthweight Z-Score (BW+10%)]],TRUE)*100,"")</f>
        <v/>
      </c>
    </row>
    <row r="2213" spans="1:12" x14ac:dyDescent="0.35">
      <c r="A2213" s="3"/>
      <c r="B2213" s="2"/>
      <c r="C2213" s="2"/>
      <c r="D2213" s="2" t="b">
        <f>IF(AND(NOT(ISBLANK(Table1[[#This Row],[Fetal Sex (Male, Female or Unknown)]])),ISNUMBER(Table1[[#This Row],[Birthweight (grams)]]),ISNUMBER(Table1[[#This Row],[Gestation (days)]])),TRUE,FALSE)</f>
        <v>0</v>
      </c>
      <c r="E2213" s="2" t="str">
        <f>IF(Table1[[#This Row],[Is Data Valid]]=TRUE,IF(Table1[[#This Row],[Fetal Sex (Male, Female or Unknown)]]="Male",Backend!$C$6,IF(Table1[[#This Row],[Fetal Sex (Male, Female or Unknown)]]="Female",Backend!$C$7,IF(Table1[[#This Row],[Fetal Sex (Male, Female or Unknown)]]="Unknown",Backend!$C$8,"Error"))),"")</f>
        <v/>
      </c>
      <c r="F2213" s="8" t="str">
        <f>IF(Table1[[#This Row],[Is Data Valid]]=TRUE,EXP(0.578+0.332*((Table1[[#This Row],[Gestation (days)]]+0.5)/7)-0.00354*((Table1[[#This Row],[Gestation (days)]]+0.5)/7)^2)*Table1[[#This Row],[BW40_3705]],"")</f>
        <v/>
      </c>
      <c r="G2213" s="2" t="str">
        <f>IF(Table1[[#This Row],[Is Data Valid]]=TRUE,((Table1[[#This Row],[Birthweight (grams)]]/Table1[[#This Row],[BW_GA]])-1)/(Backend!$B$4/100*Table1[[#This Row],[BW40_3705]]),"")</f>
        <v/>
      </c>
      <c r="H2213" s="7" t="str">
        <f>IF(Table1[[#This Row],[Is Data Valid]]=TRUE,((Table1[[#This Row],[Birthweight (grams)]]*0.9/Table1[[#This Row],[BW_GA]])-1)/(Backend!$B$4/100*Table1[[#This Row],[BW40_3705]]),"")</f>
        <v/>
      </c>
      <c r="I2213" s="7" t="str">
        <f>IF(Table1[[#This Row],[Is Data Valid]]=TRUE,((Table1[[#This Row],[Birthweight (grams)]]*1.1/Table1[[#This Row],[BW_GA]])-1)/(Backend!$B$4/100*Table1[[#This Row],[BW40_3705]]),"")</f>
        <v/>
      </c>
      <c r="J2213" s="7" t="str">
        <f>IF(Table1[[#This Row],[Is Data Valid]]=TRUE,_xlfn.NORM.S.DIST(Table1[[#This Row],[Birthweight Z-Score]],TRUE)*100,"")</f>
        <v/>
      </c>
      <c r="K2213" s="7" t="str">
        <f>IF(Table1[[#This Row],[Is Data Valid]]=TRUE,_xlfn.NORM.S.DIST(Table1[[#This Row],[Birthweight Z-Score (BW-10%)]],TRUE)*100,"")</f>
        <v/>
      </c>
      <c r="L2213" s="7" t="str">
        <f>IF(Table1[[#This Row],[Is Data Valid]]=TRUE,_xlfn.NORM.S.DIST(Table1[[#This Row],[Birthweight Z-Score (BW+10%)]],TRUE)*100,"")</f>
        <v/>
      </c>
    </row>
    <row r="2214" spans="1:12" x14ac:dyDescent="0.35">
      <c r="A2214" s="3"/>
      <c r="B2214" s="2"/>
      <c r="C2214" s="2"/>
      <c r="D2214" s="2" t="b">
        <f>IF(AND(NOT(ISBLANK(Table1[[#This Row],[Fetal Sex (Male, Female or Unknown)]])),ISNUMBER(Table1[[#This Row],[Birthweight (grams)]]),ISNUMBER(Table1[[#This Row],[Gestation (days)]])),TRUE,FALSE)</f>
        <v>0</v>
      </c>
      <c r="E2214" s="2" t="str">
        <f>IF(Table1[[#This Row],[Is Data Valid]]=TRUE,IF(Table1[[#This Row],[Fetal Sex (Male, Female or Unknown)]]="Male",Backend!$C$6,IF(Table1[[#This Row],[Fetal Sex (Male, Female or Unknown)]]="Female",Backend!$C$7,IF(Table1[[#This Row],[Fetal Sex (Male, Female or Unknown)]]="Unknown",Backend!$C$8,"Error"))),"")</f>
        <v/>
      </c>
      <c r="F2214" s="8" t="str">
        <f>IF(Table1[[#This Row],[Is Data Valid]]=TRUE,EXP(0.578+0.332*((Table1[[#This Row],[Gestation (days)]]+0.5)/7)-0.00354*((Table1[[#This Row],[Gestation (days)]]+0.5)/7)^2)*Table1[[#This Row],[BW40_3705]],"")</f>
        <v/>
      </c>
      <c r="G2214" s="2" t="str">
        <f>IF(Table1[[#This Row],[Is Data Valid]]=TRUE,((Table1[[#This Row],[Birthweight (grams)]]/Table1[[#This Row],[BW_GA]])-1)/(Backend!$B$4/100*Table1[[#This Row],[BW40_3705]]),"")</f>
        <v/>
      </c>
      <c r="H2214" s="7" t="str">
        <f>IF(Table1[[#This Row],[Is Data Valid]]=TRUE,((Table1[[#This Row],[Birthweight (grams)]]*0.9/Table1[[#This Row],[BW_GA]])-1)/(Backend!$B$4/100*Table1[[#This Row],[BW40_3705]]),"")</f>
        <v/>
      </c>
      <c r="I2214" s="7" t="str">
        <f>IF(Table1[[#This Row],[Is Data Valid]]=TRUE,((Table1[[#This Row],[Birthweight (grams)]]*1.1/Table1[[#This Row],[BW_GA]])-1)/(Backend!$B$4/100*Table1[[#This Row],[BW40_3705]]),"")</f>
        <v/>
      </c>
      <c r="J2214" s="7" t="str">
        <f>IF(Table1[[#This Row],[Is Data Valid]]=TRUE,_xlfn.NORM.S.DIST(Table1[[#This Row],[Birthweight Z-Score]],TRUE)*100,"")</f>
        <v/>
      </c>
      <c r="K2214" s="7" t="str">
        <f>IF(Table1[[#This Row],[Is Data Valid]]=TRUE,_xlfn.NORM.S.DIST(Table1[[#This Row],[Birthweight Z-Score (BW-10%)]],TRUE)*100,"")</f>
        <v/>
      </c>
      <c r="L2214" s="7" t="str">
        <f>IF(Table1[[#This Row],[Is Data Valid]]=TRUE,_xlfn.NORM.S.DIST(Table1[[#This Row],[Birthweight Z-Score (BW+10%)]],TRUE)*100,"")</f>
        <v/>
      </c>
    </row>
    <row r="2215" spans="1:12" x14ac:dyDescent="0.35">
      <c r="A2215" s="3"/>
      <c r="B2215" s="2"/>
      <c r="C2215" s="2"/>
      <c r="D2215" s="2" t="b">
        <f>IF(AND(NOT(ISBLANK(Table1[[#This Row],[Fetal Sex (Male, Female or Unknown)]])),ISNUMBER(Table1[[#This Row],[Birthweight (grams)]]),ISNUMBER(Table1[[#This Row],[Gestation (days)]])),TRUE,FALSE)</f>
        <v>0</v>
      </c>
      <c r="E2215" s="2" t="str">
        <f>IF(Table1[[#This Row],[Is Data Valid]]=TRUE,IF(Table1[[#This Row],[Fetal Sex (Male, Female or Unknown)]]="Male",Backend!$C$6,IF(Table1[[#This Row],[Fetal Sex (Male, Female or Unknown)]]="Female",Backend!$C$7,IF(Table1[[#This Row],[Fetal Sex (Male, Female or Unknown)]]="Unknown",Backend!$C$8,"Error"))),"")</f>
        <v/>
      </c>
      <c r="F2215" s="8" t="str">
        <f>IF(Table1[[#This Row],[Is Data Valid]]=TRUE,EXP(0.578+0.332*((Table1[[#This Row],[Gestation (days)]]+0.5)/7)-0.00354*((Table1[[#This Row],[Gestation (days)]]+0.5)/7)^2)*Table1[[#This Row],[BW40_3705]],"")</f>
        <v/>
      </c>
      <c r="G2215" s="2" t="str">
        <f>IF(Table1[[#This Row],[Is Data Valid]]=TRUE,((Table1[[#This Row],[Birthweight (grams)]]/Table1[[#This Row],[BW_GA]])-1)/(Backend!$B$4/100*Table1[[#This Row],[BW40_3705]]),"")</f>
        <v/>
      </c>
      <c r="H2215" s="7" t="str">
        <f>IF(Table1[[#This Row],[Is Data Valid]]=TRUE,((Table1[[#This Row],[Birthweight (grams)]]*0.9/Table1[[#This Row],[BW_GA]])-1)/(Backend!$B$4/100*Table1[[#This Row],[BW40_3705]]),"")</f>
        <v/>
      </c>
      <c r="I2215" s="7" t="str">
        <f>IF(Table1[[#This Row],[Is Data Valid]]=TRUE,((Table1[[#This Row],[Birthweight (grams)]]*1.1/Table1[[#This Row],[BW_GA]])-1)/(Backend!$B$4/100*Table1[[#This Row],[BW40_3705]]),"")</f>
        <v/>
      </c>
      <c r="J2215" s="7" t="str">
        <f>IF(Table1[[#This Row],[Is Data Valid]]=TRUE,_xlfn.NORM.S.DIST(Table1[[#This Row],[Birthweight Z-Score]],TRUE)*100,"")</f>
        <v/>
      </c>
      <c r="K2215" s="7" t="str">
        <f>IF(Table1[[#This Row],[Is Data Valid]]=TRUE,_xlfn.NORM.S.DIST(Table1[[#This Row],[Birthweight Z-Score (BW-10%)]],TRUE)*100,"")</f>
        <v/>
      </c>
      <c r="L2215" s="7" t="str">
        <f>IF(Table1[[#This Row],[Is Data Valid]]=TRUE,_xlfn.NORM.S.DIST(Table1[[#This Row],[Birthweight Z-Score (BW+10%)]],TRUE)*100,"")</f>
        <v/>
      </c>
    </row>
    <row r="2216" spans="1:12" x14ac:dyDescent="0.35">
      <c r="A2216" s="3"/>
      <c r="B2216" s="2"/>
      <c r="C2216" s="2"/>
      <c r="D2216" s="2" t="b">
        <f>IF(AND(NOT(ISBLANK(Table1[[#This Row],[Fetal Sex (Male, Female or Unknown)]])),ISNUMBER(Table1[[#This Row],[Birthweight (grams)]]),ISNUMBER(Table1[[#This Row],[Gestation (days)]])),TRUE,FALSE)</f>
        <v>0</v>
      </c>
      <c r="E2216" s="2" t="str">
        <f>IF(Table1[[#This Row],[Is Data Valid]]=TRUE,IF(Table1[[#This Row],[Fetal Sex (Male, Female or Unknown)]]="Male",Backend!$C$6,IF(Table1[[#This Row],[Fetal Sex (Male, Female or Unknown)]]="Female",Backend!$C$7,IF(Table1[[#This Row],[Fetal Sex (Male, Female or Unknown)]]="Unknown",Backend!$C$8,"Error"))),"")</f>
        <v/>
      </c>
      <c r="F2216" s="8" t="str">
        <f>IF(Table1[[#This Row],[Is Data Valid]]=TRUE,EXP(0.578+0.332*((Table1[[#This Row],[Gestation (days)]]+0.5)/7)-0.00354*((Table1[[#This Row],[Gestation (days)]]+0.5)/7)^2)*Table1[[#This Row],[BW40_3705]],"")</f>
        <v/>
      </c>
      <c r="G2216" s="2" t="str">
        <f>IF(Table1[[#This Row],[Is Data Valid]]=TRUE,((Table1[[#This Row],[Birthweight (grams)]]/Table1[[#This Row],[BW_GA]])-1)/(Backend!$B$4/100*Table1[[#This Row],[BW40_3705]]),"")</f>
        <v/>
      </c>
      <c r="H2216" s="7" t="str">
        <f>IF(Table1[[#This Row],[Is Data Valid]]=TRUE,((Table1[[#This Row],[Birthweight (grams)]]*0.9/Table1[[#This Row],[BW_GA]])-1)/(Backend!$B$4/100*Table1[[#This Row],[BW40_3705]]),"")</f>
        <v/>
      </c>
      <c r="I2216" s="7" t="str">
        <f>IF(Table1[[#This Row],[Is Data Valid]]=TRUE,((Table1[[#This Row],[Birthweight (grams)]]*1.1/Table1[[#This Row],[BW_GA]])-1)/(Backend!$B$4/100*Table1[[#This Row],[BW40_3705]]),"")</f>
        <v/>
      </c>
      <c r="J2216" s="7" t="str">
        <f>IF(Table1[[#This Row],[Is Data Valid]]=TRUE,_xlfn.NORM.S.DIST(Table1[[#This Row],[Birthweight Z-Score]],TRUE)*100,"")</f>
        <v/>
      </c>
      <c r="K2216" s="7" t="str">
        <f>IF(Table1[[#This Row],[Is Data Valid]]=TRUE,_xlfn.NORM.S.DIST(Table1[[#This Row],[Birthweight Z-Score (BW-10%)]],TRUE)*100,"")</f>
        <v/>
      </c>
      <c r="L2216" s="7" t="str">
        <f>IF(Table1[[#This Row],[Is Data Valid]]=TRUE,_xlfn.NORM.S.DIST(Table1[[#This Row],[Birthweight Z-Score (BW+10%)]],TRUE)*100,"")</f>
        <v/>
      </c>
    </row>
    <row r="2217" spans="1:12" x14ac:dyDescent="0.35">
      <c r="A2217" s="3"/>
      <c r="B2217" s="2"/>
      <c r="C2217" s="2"/>
      <c r="D2217" s="2" t="b">
        <f>IF(AND(NOT(ISBLANK(Table1[[#This Row],[Fetal Sex (Male, Female or Unknown)]])),ISNUMBER(Table1[[#This Row],[Birthweight (grams)]]),ISNUMBER(Table1[[#This Row],[Gestation (days)]])),TRUE,FALSE)</f>
        <v>0</v>
      </c>
      <c r="E2217" s="2" t="str">
        <f>IF(Table1[[#This Row],[Is Data Valid]]=TRUE,IF(Table1[[#This Row],[Fetal Sex (Male, Female or Unknown)]]="Male",Backend!$C$6,IF(Table1[[#This Row],[Fetal Sex (Male, Female or Unknown)]]="Female",Backend!$C$7,IF(Table1[[#This Row],[Fetal Sex (Male, Female or Unknown)]]="Unknown",Backend!$C$8,"Error"))),"")</f>
        <v/>
      </c>
      <c r="F2217" s="8" t="str">
        <f>IF(Table1[[#This Row],[Is Data Valid]]=TRUE,EXP(0.578+0.332*((Table1[[#This Row],[Gestation (days)]]+0.5)/7)-0.00354*((Table1[[#This Row],[Gestation (days)]]+0.5)/7)^2)*Table1[[#This Row],[BW40_3705]],"")</f>
        <v/>
      </c>
      <c r="G2217" s="2" t="str">
        <f>IF(Table1[[#This Row],[Is Data Valid]]=TRUE,((Table1[[#This Row],[Birthweight (grams)]]/Table1[[#This Row],[BW_GA]])-1)/(Backend!$B$4/100*Table1[[#This Row],[BW40_3705]]),"")</f>
        <v/>
      </c>
      <c r="H2217" s="7" t="str">
        <f>IF(Table1[[#This Row],[Is Data Valid]]=TRUE,((Table1[[#This Row],[Birthweight (grams)]]*0.9/Table1[[#This Row],[BW_GA]])-1)/(Backend!$B$4/100*Table1[[#This Row],[BW40_3705]]),"")</f>
        <v/>
      </c>
      <c r="I2217" s="7" t="str">
        <f>IF(Table1[[#This Row],[Is Data Valid]]=TRUE,((Table1[[#This Row],[Birthweight (grams)]]*1.1/Table1[[#This Row],[BW_GA]])-1)/(Backend!$B$4/100*Table1[[#This Row],[BW40_3705]]),"")</f>
        <v/>
      </c>
      <c r="J2217" s="7" t="str">
        <f>IF(Table1[[#This Row],[Is Data Valid]]=TRUE,_xlfn.NORM.S.DIST(Table1[[#This Row],[Birthweight Z-Score]],TRUE)*100,"")</f>
        <v/>
      </c>
      <c r="K2217" s="7" t="str">
        <f>IF(Table1[[#This Row],[Is Data Valid]]=TRUE,_xlfn.NORM.S.DIST(Table1[[#This Row],[Birthweight Z-Score (BW-10%)]],TRUE)*100,"")</f>
        <v/>
      </c>
      <c r="L2217" s="7" t="str">
        <f>IF(Table1[[#This Row],[Is Data Valid]]=TRUE,_xlfn.NORM.S.DIST(Table1[[#This Row],[Birthweight Z-Score (BW+10%)]],TRUE)*100,"")</f>
        <v/>
      </c>
    </row>
    <row r="2218" spans="1:12" x14ac:dyDescent="0.35">
      <c r="A2218" s="3"/>
      <c r="B2218" s="2"/>
      <c r="C2218" s="2"/>
      <c r="D2218" s="2" t="b">
        <f>IF(AND(NOT(ISBLANK(Table1[[#This Row],[Fetal Sex (Male, Female or Unknown)]])),ISNUMBER(Table1[[#This Row],[Birthweight (grams)]]),ISNUMBER(Table1[[#This Row],[Gestation (days)]])),TRUE,FALSE)</f>
        <v>0</v>
      </c>
      <c r="E2218" s="2" t="str">
        <f>IF(Table1[[#This Row],[Is Data Valid]]=TRUE,IF(Table1[[#This Row],[Fetal Sex (Male, Female or Unknown)]]="Male",Backend!$C$6,IF(Table1[[#This Row],[Fetal Sex (Male, Female or Unknown)]]="Female",Backend!$C$7,IF(Table1[[#This Row],[Fetal Sex (Male, Female or Unknown)]]="Unknown",Backend!$C$8,"Error"))),"")</f>
        <v/>
      </c>
      <c r="F2218" s="8" t="str">
        <f>IF(Table1[[#This Row],[Is Data Valid]]=TRUE,EXP(0.578+0.332*((Table1[[#This Row],[Gestation (days)]]+0.5)/7)-0.00354*((Table1[[#This Row],[Gestation (days)]]+0.5)/7)^2)*Table1[[#This Row],[BW40_3705]],"")</f>
        <v/>
      </c>
      <c r="G2218" s="2" t="str">
        <f>IF(Table1[[#This Row],[Is Data Valid]]=TRUE,((Table1[[#This Row],[Birthweight (grams)]]/Table1[[#This Row],[BW_GA]])-1)/(Backend!$B$4/100*Table1[[#This Row],[BW40_3705]]),"")</f>
        <v/>
      </c>
      <c r="H2218" s="7" t="str">
        <f>IF(Table1[[#This Row],[Is Data Valid]]=TRUE,((Table1[[#This Row],[Birthweight (grams)]]*0.9/Table1[[#This Row],[BW_GA]])-1)/(Backend!$B$4/100*Table1[[#This Row],[BW40_3705]]),"")</f>
        <v/>
      </c>
      <c r="I2218" s="7" t="str">
        <f>IF(Table1[[#This Row],[Is Data Valid]]=TRUE,((Table1[[#This Row],[Birthweight (grams)]]*1.1/Table1[[#This Row],[BW_GA]])-1)/(Backend!$B$4/100*Table1[[#This Row],[BW40_3705]]),"")</f>
        <v/>
      </c>
      <c r="J2218" s="7" t="str">
        <f>IF(Table1[[#This Row],[Is Data Valid]]=TRUE,_xlfn.NORM.S.DIST(Table1[[#This Row],[Birthweight Z-Score]],TRUE)*100,"")</f>
        <v/>
      </c>
      <c r="K2218" s="7" t="str">
        <f>IF(Table1[[#This Row],[Is Data Valid]]=TRUE,_xlfn.NORM.S.DIST(Table1[[#This Row],[Birthweight Z-Score (BW-10%)]],TRUE)*100,"")</f>
        <v/>
      </c>
      <c r="L2218" s="7" t="str">
        <f>IF(Table1[[#This Row],[Is Data Valid]]=TRUE,_xlfn.NORM.S.DIST(Table1[[#This Row],[Birthweight Z-Score (BW+10%)]],TRUE)*100,"")</f>
        <v/>
      </c>
    </row>
    <row r="2219" spans="1:12" x14ac:dyDescent="0.35">
      <c r="A2219" s="3"/>
      <c r="B2219" s="2"/>
      <c r="C2219" s="2"/>
      <c r="D2219" s="2" t="b">
        <f>IF(AND(NOT(ISBLANK(Table1[[#This Row],[Fetal Sex (Male, Female or Unknown)]])),ISNUMBER(Table1[[#This Row],[Birthweight (grams)]]),ISNUMBER(Table1[[#This Row],[Gestation (days)]])),TRUE,FALSE)</f>
        <v>0</v>
      </c>
      <c r="E2219" s="2" t="str">
        <f>IF(Table1[[#This Row],[Is Data Valid]]=TRUE,IF(Table1[[#This Row],[Fetal Sex (Male, Female or Unknown)]]="Male",Backend!$C$6,IF(Table1[[#This Row],[Fetal Sex (Male, Female or Unknown)]]="Female",Backend!$C$7,IF(Table1[[#This Row],[Fetal Sex (Male, Female or Unknown)]]="Unknown",Backend!$C$8,"Error"))),"")</f>
        <v/>
      </c>
      <c r="F2219" s="8" t="str">
        <f>IF(Table1[[#This Row],[Is Data Valid]]=TRUE,EXP(0.578+0.332*((Table1[[#This Row],[Gestation (days)]]+0.5)/7)-0.00354*((Table1[[#This Row],[Gestation (days)]]+0.5)/7)^2)*Table1[[#This Row],[BW40_3705]],"")</f>
        <v/>
      </c>
      <c r="G2219" s="2" t="str">
        <f>IF(Table1[[#This Row],[Is Data Valid]]=TRUE,((Table1[[#This Row],[Birthweight (grams)]]/Table1[[#This Row],[BW_GA]])-1)/(Backend!$B$4/100*Table1[[#This Row],[BW40_3705]]),"")</f>
        <v/>
      </c>
      <c r="H2219" s="7" t="str">
        <f>IF(Table1[[#This Row],[Is Data Valid]]=TRUE,((Table1[[#This Row],[Birthweight (grams)]]*0.9/Table1[[#This Row],[BW_GA]])-1)/(Backend!$B$4/100*Table1[[#This Row],[BW40_3705]]),"")</f>
        <v/>
      </c>
      <c r="I2219" s="7" t="str">
        <f>IF(Table1[[#This Row],[Is Data Valid]]=TRUE,((Table1[[#This Row],[Birthweight (grams)]]*1.1/Table1[[#This Row],[BW_GA]])-1)/(Backend!$B$4/100*Table1[[#This Row],[BW40_3705]]),"")</f>
        <v/>
      </c>
      <c r="J2219" s="7" t="str">
        <f>IF(Table1[[#This Row],[Is Data Valid]]=TRUE,_xlfn.NORM.S.DIST(Table1[[#This Row],[Birthweight Z-Score]],TRUE)*100,"")</f>
        <v/>
      </c>
      <c r="K2219" s="7" t="str">
        <f>IF(Table1[[#This Row],[Is Data Valid]]=TRUE,_xlfn.NORM.S.DIST(Table1[[#This Row],[Birthweight Z-Score (BW-10%)]],TRUE)*100,"")</f>
        <v/>
      </c>
      <c r="L2219" s="7" t="str">
        <f>IF(Table1[[#This Row],[Is Data Valid]]=TRUE,_xlfn.NORM.S.DIST(Table1[[#This Row],[Birthweight Z-Score (BW+10%)]],TRUE)*100,"")</f>
        <v/>
      </c>
    </row>
    <row r="2220" spans="1:12" x14ac:dyDescent="0.35">
      <c r="A2220" s="3"/>
      <c r="B2220" s="2"/>
      <c r="C2220" s="2"/>
      <c r="D2220" s="2" t="b">
        <f>IF(AND(NOT(ISBLANK(Table1[[#This Row],[Fetal Sex (Male, Female or Unknown)]])),ISNUMBER(Table1[[#This Row],[Birthweight (grams)]]),ISNUMBER(Table1[[#This Row],[Gestation (days)]])),TRUE,FALSE)</f>
        <v>0</v>
      </c>
      <c r="E2220" s="2" t="str">
        <f>IF(Table1[[#This Row],[Is Data Valid]]=TRUE,IF(Table1[[#This Row],[Fetal Sex (Male, Female or Unknown)]]="Male",Backend!$C$6,IF(Table1[[#This Row],[Fetal Sex (Male, Female or Unknown)]]="Female",Backend!$C$7,IF(Table1[[#This Row],[Fetal Sex (Male, Female or Unknown)]]="Unknown",Backend!$C$8,"Error"))),"")</f>
        <v/>
      </c>
      <c r="F2220" s="8" t="str">
        <f>IF(Table1[[#This Row],[Is Data Valid]]=TRUE,EXP(0.578+0.332*((Table1[[#This Row],[Gestation (days)]]+0.5)/7)-0.00354*((Table1[[#This Row],[Gestation (days)]]+0.5)/7)^2)*Table1[[#This Row],[BW40_3705]],"")</f>
        <v/>
      </c>
      <c r="G2220" s="2" t="str">
        <f>IF(Table1[[#This Row],[Is Data Valid]]=TRUE,((Table1[[#This Row],[Birthweight (grams)]]/Table1[[#This Row],[BW_GA]])-1)/(Backend!$B$4/100*Table1[[#This Row],[BW40_3705]]),"")</f>
        <v/>
      </c>
      <c r="H2220" s="7" t="str">
        <f>IF(Table1[[#This Row],[Is Data Valid]]=TRUE,((Table1[[#This Row],[Birthweight (grams)]]*0.9/Table1[[#This Row],[BW_GA]])-1)/(Backend!$B$4/100*Table1[[#This Row],[BW40_3705]]),"")</f>
        <v/>
      </c>
      <c r="I2220" s="7" t="str">
        <f>IF(Table1[[#This Row],[Is Data Valid]]=TRUE,((Table1[[#This Row],[Birthweight (grams)]]*1.1/Table1[[#This Row],[BW_GA]])-1)/(Backend!$B$4/100*Table1[[#This Row],[BW40_3705]]),"")</f>
        <v/>
      </c>
      <c r="J2220" s="7" t="str">
        <f>IF(Table1[[#This Row],[Is Data Valid]]=TRUE,_xlfn.NORM.S.DIST(Table1[[#This Row],[Birthweight Z-Score]],TRUE)*100,"")</f>
        <v/>
      </c>
      <c r="K2220" s="7" t="str">
        <f>IF(Table1[[#This Row],[Is Data Valid]]=TRUE,_xlfn.NORM.S.DIST(Table1[[#This Row],[Birthweight Z-Score (BW-10%)]],TRUE)*100,"")</f>
        <v/>
      </c>
      <c r="L2220" s="7" t="str">
        <f>IF(Table1[[#This Row],[Is Data Valid]]=TRUE,_xlfn.NORM.S.DIST(Table1[[#This Row],[Birthweight Z-Score (BW+10%)]],TRUE)*100,"")</f>
        <v/>
      </c>
    </row>
    <row r="2221" spans="1:12" x14ac:dyDescent="0.35">
      <c r="A2221" s="3"/>
      <c r="B2221" s="2"/>
      <c r="C2221" s="2"/>
      <c r="D2221" s="2" t="b">
        <f>IF(AND(NOT(ISBLANK(Table1[[#This Row],[Fetal Sex (Male, Female or Unknown)]])),ISNUMBER(Table1[[#This Row],[Birthweight (grams)]]),ISNUMBER(Table1[[#This Row],[Gestation (days)]])),TRUE,FALSE)</f>
        <v>0</v>
      </c>
      <c r="E2221" s="2" t="str">
        <f>IF(Table1[[#This Row],[Is Data Valid]]=TRUE,IF(Table1[[#This Row],[Fetal Sex (Male, Female or Unknown)]]="Male",Backend!$C$6,IF(Table1[[#This Row],[Fetal Sex (Male, Female or Unknown)]]="Female",Backend!$C$7,IF(Table1[[#This Row],[Fetal Sex (Male, Female or Unknown)]]="Unknown",Backend!$C$8,"Error"))),"")</f>
        <v/>
      </c>
      <c r="F2221" s="8" t="str">
        <f>IF(Table1[[#This Row],[Is Data Valid]]=TRUE,EXP(0.578+0.332*((Table1[[#This Row],[Gestation (days)]]+0.5)/7)-0.00354*((Table1[[#This Row],[Gestation (days)]]+0.5)/7)^2)*Table1[[#This Row],[BW40_3705]],"")</f>
        <v/>
      </c>
      <c r="G2221" s="2" t="str">
        <f>IF(Table1[[#This Row],[Is Data Valid]]=TRUE,((Table1[[#This Row],[Birthweight (grams)]]/Table1[[#This Row],[BW_GA]])-1)/(Backend!$B$4/100*Table1[[#This Row],[BW40_3705]]),"")</f>
        <v/>
      </c>
      <c r="H2221" s="7" t="str">
        <f>IF(Table1[[#This Row],[Is Data Valid]]=TRUE,((Table1[[#This Row],[Birthweight (grams)]]*0.9/Table1[[#This Row],[BW_GA]])-1)/(Backend!$B$4/100*Table1[[#This Row],[BW40_3705]]),"")</f>
        <v/>
      </c>
      <c r="I2221" s="7" t="str">
        <f>IF(Table1[[#This Row],[Is Data Valid]]=TRUE,((Table1[[#This Row],[Birthweight (grams)]]*1.1/Table1[[#This Row],[BW_GA]])-1)/(Backend!$B$4/100*Table1[[#This Row],[BW40_3705]]),"")</f>
        <v/>
      </c>
      <c r="J2221" s="7" t="str">
        <f>IF(Table1[[#This Row],[Is Data Valid]]=TRUE,_xlfn.NORM.S.DIST(Table1[[#This Row],[Birthweight Z-Score]],TRUE)*100,"")</f>
        <v/>
      </c>
      <c r="K2221" s="7" t="str">
        <f>IF(Table1[[#This Row],[Is Data Valid]]=TRUE,_xlfn.NORM.S.DIST(Table1[[#This Row],[Birthweight Z-Score (BW-10%)]],TRUE)*100,"")</f>
        <v/>
      </c>
      <c r="L2221" s="7" t="str">
        <f>IF(Table1[[#This Row],[Is Data Valid]]=TRUE,_xlfn.NORM.S.DIST(Table1[[#This Row],[Birthweight Z-Score (BW+10%)]],TRUE)*100,"")</f>
        <v/>
      </c>
    </row>
    <row r="2222" spans="1:12" x14ac:dyDescent="0.35">
      <c r="A2222" s="3"/>
      <c r="B2222" s="2"/>
      <c r="C2222" s="2"/>
      <c r="D2222" s="2" t="b">
        <f>IF(AND(NOT(ISBLANK(Table1[[#This Row],[Fetal Sex (Male, Female or Unknown)]])),ISNUMBER(Table1[[#This Row],[Birthweight (grams)]]),ISNUMBER(Table1[[#This Row],[Gestation (days)]])),TRUE,FALSE)</f>
        <v>0</v>
      </c>
      <c r="E2222" s="2" t="str">
        <f>IF(Table1[[#This Row],[Is Data Valid]]=TRUE,IF(Table1[[#This Row],[Fetal Sex (Male, Female or Unknown)]]="Male",Backend!$C$6,IF(Table1[[#This Row],[Fetal Sex (Male, Female or Unknown)]]="Female",Backend!$C$7,IF(Table1[[#This Row],[Fetal Sex (Male, Female or Unknown)]]="Unknown",Backend!$C$8,"Error"))),"")</f>
        <v/>
      </c>
      <c r="F2222" s="8" t="str">
        <f>IF(Table1[[#This Row],[Is Data Valid]]=TRUE,EXP(0.578+0.332*((Table1[[#This Row],[Gestation (days)]]+0.5)/7)-0.00354*((Table1[[#This Row],[Gestation (days)]]+0.5)/7)^2)*Table1[[#This Row],[BW40_3705]],"")</f>
        <v/>
      </c>
      <c r="G2222" s="2" t="str">
        <f>IF(Table1[[#This Row],[Is Data Valid]]=TRUE,((Table1[[#This Row],[Birthweight (grams)]]/Table1[[#This Row],[BW_GA]])-1)/(Backend!$B$4/100*Table1[[#This Row],[BW40_3705]]),"")</f>
        <v/>
      </c>
      <c r="H2222" s="7" t="str">
        <f>IF(Table1[[#This Row],[Is Data Valid]]=TRUE,((Table1[[#This Row],[Birthweight (grams)]]*0.9/Table1[[#This Row],[BW_GA]])-1)/(Backend!$B$4/100*Table1[[#This Row],[BW40_3705]]),"")</f>
        <v/>
      </c>
      <c r="I2222" s="7" t="str">
        <f>IF(Table1[[#This Row],[Is Data Valid]]=TRUE,((Table1[[#This Row],[Birthweight (grams)]]*1.1/Table1[[#This Row],[BW_GA]])-1)/(Backend!$B$4/100*Table1[[#This Row],[BW40_3705]]),"")</f>
        <v/>
      </c>
      <c r="J2222" s="7" t="str">
        <f>IF(Table1[[#This Row],[Is Data Valid]]=TRUE,_xlfn.NORM.S.DIST(Table1[[#This Row],[Birthweight Z-Score]],TRUE)*100,"")</f>
        <v/>
      </c>
      <c r="K2222" s="7" t="str">
        <f>IF(Table1[[#This Row],[Is Data Valid]]=TRUE,_xlfn.NORM.S.DIST(Table1[[#This Row],[Birthweight Z-Score (BW-10%)]],TRUE)*100,"")</f>
        <v/>
      </c>
      <c r="L2222" s="7" t="str">
        <f>IF(Table1[[#This Row],[Is Data Valid]]=TRUE,_xlfn.NORM.S.DIST(Table1[[#This Row],[Birthweight Z-Score (BW+10%)]],TRUE)*100,"")</f>
        <v/>
      </c>
    </row>
    <row r="2223" spans="1:12" x14ac:dyDescent="0.35">
      <c r="A2223" s="3"/>
      <c r="B2223" s="2"/>
      <c r="C2223" s="2"/>
      <c r="D2223" s="2" t="b">
        <f>IF(AND(NOT(ISBLANK(Table1[[#This Row],[Fetal Sex (Male, Female or Unknown)]])),ISNUMBER(Table1[[#This Row],[Birthweight (grams)]]),ISNUMBER(Table1[[#This Row],[Gestation (days)]])),TRUE,FALSE)</f>
        <v>0</v>
      </c>
      <c r="E2223" s="2" t="str">
        <f>IF(Table1[[#This Row],[Is Data Valid]]=TRUE,IF(Table1[[#This Row],[Fetal Sex (Male, Female or Unknown)]]="Male",Backend!$C$6,IF(Table1[[#This Row],[Fetal Sex (Male, Female or Unknown)]]="Female",Backend!$C$7,IF(Table1[[#This Row],[Fetal Sex (Male, Female or Unknown)]]="Unknown",Backend!$C$8,"Error"))),"")</f>
        <v/>
      </c>
      <c r="F2223" s="8" t="str">
        <f>IF(Table1[[#This Row],[Is Data Valid]]=TRUE,EXP(0.578+0.332*((Table1[[#This Row],[Gestation (days)]]+0.5)/7)-0.00354*((Table1[[#This Row],[Gestation (days)]]+0.5)/7)^2)*Table1[[#This Row],[BW40_3705]],"")</f>
        <v/>
      </c>
      <c r="G2223" s="2" t="str">
        <f>IF(Table1[[#This Row],[Is Data Valid]]=TRUE,((Table1[[#This Row],[Birthweight (grams)]]/Table1[[#This Row],[BW_GA]])-1)/(Backend!$B$4/100*Table1[[#This Row],[BW40_3705]]),"")</f>
        <v/>
      </c>
      <c r="H2223" s="7" t="str">
        <f>IF(Table1[[#This Row],[Is Data Valid]]=TRUE,((Table1[[#This Row],[Birthweight (grams)]]*0.9/Table1[[#This Row],[BW_GA]])-1)/(Backend!$B$4/100*Table1[[#This Row],[BW40_3705]]),"")</f>
        <v/>
      </c>
      <c r="I2223" s="7" t="str">
        <f>IF(Table1[[#This Row],[Is Data Valid]]=TRUE,((Table1[[#This Row],[Birthweight (grams)]]*1.1/Table1[[#This Row],[BW_GA]])-1)/(Backend!$B$4/100*Table1[[#This Row],[BW40_3705]]),"")</f>
        <v/>
      </c>
      <c r="J2223" s="7" t="str">
        <f>IF(Table1[[#This Row],[Is Data Valid]]=TRUE,_xlfn.NORM.S.DIST(Table1[[#This Row],[Birthweight Z-Score]],TRUE)*100,"")</f>
        <v/>
      </c>
      <c r="K2223" s="7" t="str">
        <f>IF(Table1[[#This Row],[Is Data Valid]]=TRUE,_xlfn.NORM.S.DIST(Table1[[#This Row],[Birthweight Z-Score (BW-10%)]],TRUE)*100,"")</f>
        <v/>
      </c>
      <c r="L2223" s="7" t="str">
        <f>IF(Table1[[#This Row],[Is Data Valid]]=TRUE,_xlfn.NORM.S.DIST(Table1[[#This Row],[Birthweight Z-Score (BW+10%)]],TRUE)*100,"")</f>
        <v/>
      </c>
    </row>
    <row r="2224" spans="1:12" x14ac:dyDescent="0.35">
      <c r="A2224" s="3"/>
      <c r="B2224" s="2"/>
      <c r="C2224" s="2"/>
      <c r="D2224" s="2" t="b">
        <f>IF(AND(NOT(ISBLANK(Table1[[#This Row],[Fetal Sex (Male, Female or Unknown)]])),ISNUMBER(Table1[[#This Row],[Birthweight (grams)]]),ISNUMBER(Table1[[#This Row],[Gestation (days)]])),TRUE,FALSE)</f>
        <v>0</v>
      </c>
      <c r="E2224" s="2" t="str">
        <f>IF(Table1[[#This Row],[Is Data Valid]]=TRUE,IF(Table1[[#This Row],[Fetal Sex (Male, Female or Unknown)]]="Male",Backend!$C$6,IF(Table1[[#This Row],[Fetal Sex (Male, Female or Unknown)]]="Female",Backend!$C$7,IF(Table1[[#This Row],[Fetal Sex (Male, Female or Unknown)]]="Unknown",Backend!$C$8,"Error"))),"")</f>
        <v/>
      </c>
      <c r="F2224" s="8" t="str">
        <f>IF(Table1[[#This Row],[Is Data Valid]]=TRUE,EXP(0.578+0.332*((Table1[[#This Row],[Gestation (days)]]+0.5)/7)-0.00354*((Table1[[#This Row],[Gestation (days)]]+0.5)/7)^2)*Table1[[#This Row],[BW40_3705]],"")</f>
        <v/>
      </c>
      <c r="G2224" s="2" t="str">
        <f>IF(Table1[[#This Row],[Is Data Valid]]=TRUE,((Table1[[#This Row],[Birthweight (grams)]]/Table1[[#This Row],[BW_GA]])-1)/(Backend!$B$4/100*Table1[[#This Row],[BW40_3705]]),"")</f>
        <v/>
      </c>
      <c r="H2224" s="7" t="str">
        <f>IF(Table1[[#This Row],[Is Data Valid]]=TRUE,((Table1[[#This Row],[Birthweight (grams)]]*0.9/Table1[[#This Row],[BW_GA]])-1)/(Backend!$B$4/100*Table1[[#This Row],[BW40_3705]]),"")</f>
        <v/>
      </c>
      <c r="I2224" s="7" t="str">
        <f>IF(Table1[[#This Row],[Is Data Valid]]=TRUE,((Table1[[#This Row],[Birthweight (grams)]]*1.1/Table1[[#This Row],[BW_GA]])-1)/(Backend!$B$4/100*Table1[[#This Row],[BW40_3705]]),"")</f>
        <v/>
      </c>
      <c r="J2224" s="7" t="str">
        <f>IF(Table1[[#This Row],[Is Data Valid]]=TRUE,_xlfn.NORM.S.DIST(Table1[[#This Row],[Birthweight Z-Score]],TRUE)*100,"")</f>
        <v/>
      </c>
      <c r="K2224" s="7" t="str">
        <f>IF(Table1[[#This Row],[Is Data Valid]]=TRUE,_xlfn.NORM.S.DIST(Table1[[#This Row],[Birthweight Z-Score (BW-10%)]],TRUE)*100,"")</f>
        <v/>
      </c>
      <c r="L2224" s="7" t="str">
        <f>IF(Table1[[#This Row],[Is Data Valid]]=TRUE,_xlfn.NORM.S.DIST(Table1[[#This Row],[Birthweight Z-Score (BW+10%)]],TRUE)*100,"")</f>
        <v/>
      </c>
    </row>
    <row r="2225" spans="1:12" x14ac:dyDescent="0.35">
      <c r="A2225" s="3"/>
      <c r="B2225" s="2"/>
      <c r="C2225" s="2"/>
      <c r="D2225" s="2" t="b">
        <f>IF(AND(NOT(ISBLANK(Table1[[#This Row],[Fetal Sex (Male, Female or Unknown)]])),ISNUMBER(Table1[[#This Row],[Birthweight (grams)]]),ISNUMBER(Table1[[#This Row],[Gestation (days)]])),TRUE,FALSE)</f>
        <v>0</v>
      </c>
      <c r="E2225" s="2" t="str">
        <f>IF(Table1[[#This Row],[Is Data Valid]]=TRUE,IF(Table1[[#This Row],[Fetal Sex (Male, Female or Unknown)]]="Male",Backend!$C$6,IF(Table1[[#This Row],[Fetal Sex (Male, Female or Unknown)]]="Female",Backend!$C$7,IF(Table1[[#This Row],[Fetal Sex (Male, Female or Unknown)]]="Unknown",Backend!$C$8,"Error"))),"")</f>
        <v/>
      </c>
      <c r="F2225" s="8" t="str">
        <f>IF(Table1[[#This Row],[Is Data Valid]]=TRUE,EXP(0.578+0.332*((Table1[[#This Row],[Gestation (days)]]+0.5)/7)-0.00354*((Table1[[#This Row],[Gestation (days)]]+0.5)/7)^2)*Table1[[#This Row],[BW40_3705]],"")</f>
        <v/>
      </c>
      <c r="G2225" s="2" t="str">
        <f>IF(Table1[[#This Row],[Is Data Valid]]=TRUE,((Table1[[#This Row],[Birthweight (grams)]]/Table1[[#This Row],[BW_GA]])-1)/(Backend!$B$4/100*Table1[[#This Row],[BW40_3705]]),"")</f>
        <v/>
      </c>
      <c r="H2225" s="7" t="str">
        <f>IF(Table1[[#This Row],[Is Data Valid]]=TRUE,((Table1[[#This Row],[Birthweight (grams)]]*0.9/Table1[[#This Row],[BW_GA]])-1)/(Backend!$B$4/100*Table1[[#This Row],[BW40_3705]]),"")</f>
        <v/>
      </c>
      <c r="I2225" s="7" t="str">
        <f>IF(Table1[[#This Row],[Is Data Valid]]=TRUE,((Table1[[#This Row],[Birthweight (grams)]]*1.1/Table1[[#This Row],[BW_GA]])-1)/(Backend!$B$4/100*Table1[[#This Row],[BW40_3705]]),"")</f>
        <v/>
      </c>
      <c r="J2225" s="7" t="str">
        <f>IF(Table1[[#This Row],[Is Data Valid]]=TRUE,_xlfn.NORM.S.DIST(Table1[[#This Row],[Birthweight Z-Score]],TRUE)*100,"")</f>
        <v/>
      </c>
      <c r="K2225" s="7" t="str">
        <f>IF(Table1[[#This Row],[Is Data Valid]]=TRUE,_xlfn.NORM.S.DIST(Table1[[#This Row],[Birthweight Z-Score (BW-10%)]],TRUE)*100,"")</f>
        <v/>
      </c>
      <c r="L2225" s="7" t="str">
        <f>IF(Table1[[#This Row],[Is Data Valid]]=TRUE,_xlfn.NORM.S.DIST(Table1[[#This Row],[Birthweight Z-Score (BW+10%)]],TRUE)*100,"")</f>
        <v/>
      </c>
    </row>
    <row r="2226" spans="1:12" x14ac:dyDescent="0.35">
      <c r="A2226" s="3"/>
      <c r="B2226" s="2"/>
      <c r="C2226" s="2"/>
      <c r="D2226" s="2" t="b">
        <f>IF(AND(NOT(ISBLANK(Table1[[#This Row],[Fetal Sex (Male, Female or Unknown)]])),ISNUMBER(Table1[[#This Row],[Birthweight (grams)]]),ISNUMBER(Table1[[#This Row],[Gestation (days)]])),TRUE,FALSE)</f>
        <v>0</v>
      </c>
      <c r="E2226" s="2" t="str">
        <f>IF(Table1[[#This Row],[Is Data Valid]]=TRUE,IF(Table1[[#This Row],[Fetal Sex (Male, Female or Unknown)]]="Male",Backend!$C$6,IF(Table1[[#This Row],[Fetal Sex (Male, Female or Unknown)]]="Female",Backend!$C$7,IF(Table1[[#This Row],[Fetal Sex (Male, Female or Unknown)]]="Unknown",Backend!$C$8,"Error"))),"")</f>
        <v/>
      </c>
      <c r="F2226" s="8" t="str">
        <f>IF(Table1[[#This Row],[Is Data Valid]]=TRUE,EXP(0.578+0.332*((Table1[[#This Row],[Gestation (days)]]+0.5)/7)-0.00354*((Table1[[#This Row],[Gestation (days)]]+0.5)/7)^2)*Table1[[#This Row],[BW40_3705]],"")</f>
        <v/>
      </c>
      <c r="G2226" s="2" t="str">
        <f>IF(Table1[[#This Row],[Is Data Valid]]=TRUE,((Table1[[#This Row],[Birthweight (grams)]]/Table1[[#This Row],[BW_GA]])-1)/(Backend!$B$4/100*Table1[[#This Row],[BW40_3705]]),"")</f>
        <v/>
      </c>
      <c r="H2226" s="7" t="str">
        <f>IF(Table1[[#This Row],[Is Data Valid]]=TRUE,((Table1[[#This Row],[Birthweight (grams)]]*0.9/Table1[[#This Row],[BW_GA]])-1)/(Backend!$B$4/100*Table1[[#This Row],[BW40_3705]]),"")</f>
        <v/>
      </c>
      <c r="I2226" s="7" t="str">
        <f>IF(Table1[[#This Row],[Is Data Valid]]=TRUE,((Table1[[#This Row],[Birthweight (grams)]]*1.1/Table1[[#This Row],[BW_GA]])-1)/(Backend!$B$4/100*Table1[[#This Row],[BW40_3705]]),"")</f>
        <v/>
      </c>
      <c r="J2226" s="7" t="str">
        <f>IF(Table1[[#This Row],[Is Data Valid]]=TRUE,_xlfn.NORM.S.DIST(Table1[[#This Row],[Birthweight Z-Score]],TRUE)*100,"")</f>
        <v/>
      </c>
      <c r="K2226" s="7" t="str">
        <f>IF(Table1[[#This Row],[Is Data Valid]]=TRUE,_xlfn.NORM.S.DIST(Table1[[#This Row],[Birthweight Z-Score (BW-10%)]],TRUE)*100,"")</f>
        <v/>
      </c>
      <c r="L2226" s="7" t="str">
        <f>IF(Table1[[#This Row],[Is Data Valid]]=TRUE,_xlfn.NORM.S.DIST(Table1[[#This Row],[Birthweight Z-Score (BW+10%)]],TRUE)*100,"")</f>
        <v/>
      </c>
    </row>
    <row r="2227" spans="1:12" x14ac:dyDescent="0.35">
      <c r="A2227" s="3"/>
      <c r="B2227" s="2"/>
      <c r="C2227" s="2"/>
      <c r="D2227" s="2" t="b">
        <f>IF(AND(NOT(ISBLANK(Table1[[#This Row],[Fetal Sex (Male, Female or Unknown)]])),ISNUMBER(Table1[[#This Row],[Birthweight (grams)]]),ISNUMBER(Table1[[#This Row],[Gestation (days)]])),TRUE,FALSE)</f>
        <v>0</v>
      </c>
      <c r="E2227" s="2" t="str">
        <f>IF(Table1[[#This Row],[Is Data Valid]]=TRUE,IF(Table1[[#This Row],[Fetal Sex (Male, Female or Unknown)]]="Male",Backend!$C$6,IF(Table1[[#This Row],[Fetal Sex (Male, Female or Unknown)]]="Female",Backend!$C$7,IF(Table1[[#This Row],[Fetal Sex (Male, Female or Unknown)]]="Unknown",Backend!$C$8,"Error"))),"")</f>
        <v/>
      </c>
      <c r="F2227" s="8" t="str">
        <f>IF(Table1[[#This Row],[Is Data Valid]]=TRUE,EXP(0.578+0.332*((Table1[[#This Row],[Gestation (days)]]+0.5)/7)-0.00354*((Table1[[#This Row],[Gestation (days)]]+0.5)/7)^2)*Table1[[#This Row],[BW40_3705]],"")</f>
        <v/>
      </c>
      <c r="G2227" s="2" t="str">
        <f>IF(Table1[[#This Row],[Is Data Valid]]=TRUE,((Table1[[#This Row],[Birthweight (grams)]]/Table1[[#This Row],[BW_GA]])-1)/(Backend!$B$4/100*Table1[[#This Row],[BW40_3705]]),"")</f>
        <v/>
      </c>
      <c r="H2227" s="7" t="str">
        <f>IF(Table1[[#This Row],[Is Data Valid]]=TRUE,((Table1[[#This Row],[Birthweight (grams)]]*0.9/Table1[[#This Row],[BW_GA]])-1)/(Backend!$B$4/100*Table1[[#This Row],[BW40_3705]]),"")</f>
        <v/>
      </c>
      <c r="I2227" s="7" t="str">
        <f>IF(Table1[[#This Row],[Is Data Valid]]=TRUE,((Table1[[#This Row],[Birthweight (grams)]]*1.1/Table1[[#This Row],[BW_GA]])-1)/(Backend!$B$4/100*Table1[[#This Row],[BW40_3705]]),"")</f>
        <v/>
      </c>
      <c r="J2227" s="7" t="str">
        <f>IF(Table1[[#This Row],[Is Data Valid]]=TRUE,_xlfn.NORM.S.DIST(Table1[[#This Row],[Birthweight Z-Score]],TRUE)*100,"")</f>
        <v/>
      </c>
      <c r="K2227" s="7" t="str">
        <f>IF(Table1[[#This Row],[Is Data Valid]]=TRUE,_xlfn.NORM.S.DIST(Table1[[#This Row],[Birthweight Z-Score (BW-10%)]],TRUE)*100,"")</f>
        <v/>
      </c>
      <c r="L2227" s="7" t="str">
        <f>IF(Table1[[#This Row],[Is Data Valid]]=TRUE,_xlfn.NORM.S.DIST(Table1[[#This Row],[Birthweight Z-Score (BW+10%)]],TRUE)*100,"")</f>
        <v/>
      </c>
    </row>
    <row r="2228" spans="1:12" x14ac:dyDescent="0.35">
      <c r="A2228" s="3"/>
      <c r="B2228" s="2"/>
      <c r="C2228" s="2"/>
      <c r="D2228" s="2" t="b">
        <f>IF(AND(NOT(ISBLANK(Table1[[#This Row],[Fetal Sex (Male, Female or Unknown)]])),ISNUMBER(Table1[[#This Row],[Birthweight (grams)]]),ISNUMBER(Table1[[#This Row],[Gestation (days)]])),TRUE,FALSE)</f>
        <v>0</v>
      </c>
      <c r="E2228" s="2" t="str">
        <f>IF(Table1[[#This Row],[Is Data Valid]]=TRUE,IF(Table1[[#This Row],[Fetal Sex (Male, Female or Unknown)]]="Male",Backend!$C$6,IF(Table1[[#This Row],[Fetal Sex (Male, Female or Unknown)]]="Female",Backend!$C$7,IF(Table1[[#This Row],[Fetal Sex (Male, Female or Unknown)]]="Unknown",Backend!$C$8,"Error"))),"")</f>
        <v/>
      </c>
      <c r="F2228" s="8" t="str">
        <f>IF(Table1[[#This Row],[Is Data Valid]]=TRUE,EXP(0.578+0.332*((Table1[[#This Row],[Gestation (days)]]+0.5)/7)-0.00354*((Table1[[#This Row],[Gestation (days)]]+0.5)/7)^2)*Table1[[#This Row],[BW40_3705]],"")</f>
        <v/>
      </c>
      <c r="G2228" s="2" t="str">
        <f>IF(Table1[[#This Row],[Is Data Valid]]=TRUE,((Table1[[#This Row],[Birthweight (grams)]]/Table1[[#This Row],[BW_GA]])-1)/(Backend!$B$4/100*Table1[[#This Row],[BW40_3705]]),"")</f>
        <v/>
      </c>
      <c r="H2228" s="7" t="str">
        <f>IF(Table1[[#This Row],[Is Data Valid]]=TRUE,((Table1[[#This Row],[Birthweight (grams)]]*0.9/Table1[[#This Row],[BW_GA]])-1)/(Backend!$B$4/100*Table1[[#This Row],[BW40_3705]]),"")</f>
        <v/>
      </c>
      <c r="I2228" s="7" t="str">
        <f>IF(Table1[[#This Row],[Is Data Valid]]=TRUE,((Table1[[#This Row],[Birthweight (grams)]]*1.1/Table1[[#This Row],[BW_GA]])-1)/(Backend!$B$4/100*Table1[[#This Row],[BW40_3705]]),"")</f>
        <v/>
      </c>
      <c r="J2228" s="7" t="str">
        <f>IF(Table1[[#This Row],[Is Data Valid]]=TRUE,_xlfn.NORM.S.DIST(Table1[[#This Row],[Birthweight Z-Score]],TRUE)*100,"")</f>
        <v/>
      </c>
      <c r="K2228" s="7" t="str">
        <f>IF(Table1[[#This Row],[Is Data Valid]]=TRUE,_xlfn.NORM.S.DIST(Table1[[#This Row],[Birthweight Z-Score (BW-10%)]],TRUE)*100,"")</f>
        <v/>
      </c>
      <c r="L2228" s="7" t="str">
        <f>IF(Table1[[#This Row],[Is Data Valid]]=TRUE,_xlfn.NORM.S.DIST(Table1[[#This Row],[Birthweight Z-Score (BW+10%)]],TRUE)*100,"")</f>
        <v/>
      </c>
    </row>
    <row r="2229" spans="1:12" x14ac:dyDescent="0.35">
      <c r="A2229" s="3"/>
      <c r="B2229" s="2"/>
      <c r="C2229" s="2"/>
      <c r="D2229" s="2" t="b">
        <f>IF(AND(NOT(ISBLANK(Table1[[#This Row],[Fetal Sex (Male, Female or Unknown)]])),ISNUMBER(Table1[[#This Row],[Birthweight (grams)]]),ISNUMBER(Table1[[#This Row],[Gestation (days)]])),TRUE,FALSE)</f>
        <v>0</v>
      </c>
      <c r="E2229" s="2" t="str">
        <f>IF(Table1[[#This Row],[Is Data Valid]]=TRUE,IF(Table1[[#This Row],[Fetal Sex (Male, Female or Unknown)]]="Male",Backend!$C$6,IF(Table1[[#This Row],[Fetal Sex (Male, Female or Unknown)]]="Female",Backend!$C$7,IF(Table1[[#This Row],[Fetal Sex (Male, Female or Unknown)]]="Unknown",Backend!$C$8,"Error"))),"")</f>
        <v/>
      </c>
      <c r="F2229" s="8" t="str">
        <f>IF(Table1[[#This Row],[Is Data Valid]]=TRUE,EXP(0.578+0.332*((Table1[[#This Row],[Gestation (days)]]+0.5)/7)-0.00354*((Table1[[#This Row],[Gestation (days)]]+0.5)/7)^2)*Table1[[#This Row],[BW40_3705]],"")</f>
        <v/>
      </c>
      <c r="G2229" s="2" t="str">
        <f>IF(Table1[[#This Row],[Is Data Valid]]=TRUE,((Table1[[#This Row],[Birthweight (grams)]]/Table1[[#This Row],[BW_GA]])-1)/(Backend!$B$4/100*Table1[[#This Row],[BW40_3705]]),"")</f>
        <v/>
      </c>
      <c r="H2229" s="7" t="str">
        <f>IF(Table1[[#This Row],[Is Data Valid]]=TRUE,((Table1[[#This Row],[Birthweight (grams)]]*0.9/Table1[[#This Row],[BW_GA]])-1)/(Backend!$B$4/100*Table1[[#This Row],[BW40_3705]]),"")</f>
        <v/>
      </c>
      <c r="I2229" s="7" t="str">
        <f>IF(Table1[[#This Row],[Is Data Valid]]=TRUE,((Table1[[#This Row],[Birthweight (grams)]]*1.1/Table1[[#This Row],[BW_GA]])-1)/(Backend!$B$4/100*Table1[[#This Row],[BW40_3705]]),"")</f>
        <v/>
      </c>
      <c r="J2229" s="7" t="str">
        <f>IF(Table1[[#This Row],[Is Data Valid]]=TRUE,_xlfn.NORM.S.DIST(Table1[[#This Row],[Birthweight Z-Score]],TRUE)*100,"")</f>
        <v/>
      </c>
      <c r="K2229" s="7" t="str">
        <f>IF(Table1[[#This Row],[Is Data Valid]]=TRUE,_xlfn.NORM.S.DIST(Table1[[#This Row],[Birthweight Z-Score (BW-10%)]],TRUE)*100,"")</f>
        <v/>
      </c>
      <c r="L2229" s="7" t="str">
        <f>IF(Table1[[#This Row],[Is Data Valid]]=TRUE,_xlfn.NORM.S.DIST(Table1[[#This Row],[Birthweight Z-Score (BW+10%)]],TRUE)*100,"")</f>
        <v/>
      </c>
    </row>
    <row r="2230" spans="1:12" x14ac:dyDescent="0.35">
      <c r="A2230" s="3"/>
      <c r="B2230" s="2"/>
      <c r="C2230" s="2"/>
      <c r="D2230" s="2" t="b">
        <f>IF(AND(NOT(ISBLANK(Table1[[#This Row],[Fetal Sex (Male, Female or Unknown)]])),ISNUMBER(Table1[[#This Row],[Birthweight (grams)]]),ISNUMBER(Table1[[#This Row],[Gestation (days)]])),TRUE,FALSE)</f>
        <v>0</v>
      </c>
      <c r="E2230" s="2" t="str">
        <f>IF(Table1[[#This Row],[Is Data Valid]]=TRUE,IF(Table1[[#This Row],[Fetal Sex (Male, Female or Unknown)]]="Male",Backend!$C$6,IF(Table1[[#This Row],[Fetal Sex (Male, Female or Unknown)]]="Female",Backend!$C$7,IF(Table1[[#This Row],[Fetal Sex (Male, Female or Unknown)]]="Unknown",Backend!$C$8,"Error"))),"")</f>
        <v/>
      </c>
      <c r="F2230" s="8" t="str">
        <f>IF(Table1[[#This Row],[Is Data Valid]]=TRUE,EXP(0.578+0.332*((Table1[[#This Row],[Gestation (days)]]+0.5)/7)-0.00354*((Table1[[#This Row],[Gestation (days)]]+0.5)/7)^2)*Table1[[#This Row],[BW40_3705]],"")</f>
        <v/>
      </c>
      <c r="G2230" s="2" t="str">
        <f>IF(Table1[[#This Row],[Is Data Valid]]=TRUE,((Table1[[#This Row],[Birthweight (grams)]]/Table1[[#This Row],[BW_GA]])-1)/(Backend!$B$4/100*Table1[[#This Row],[BW40_3705]]),"")</f>
        <v/>
      </c>
      <c r="H2230" s="7" t="str">
        <f>IF(Table1[[#This Row],[Is Data Valid]]=TRUE,((Table1[[#This Row],[Birthweight (grams)]]*0.9/Table1[[#This Row],[BW_GA]])-1)/(Backend!$B$4/100*Table1[[#This Row],[BW40_3705]]),"")</f>
        <v/>
      </c>
      <c r="I2230" s="7" t="str">
        <f>IF(Table1[[#This Row],[Is Data Valid]]=TRUE,((Table1[[#This Row],[Birthweight (grams)]]*1.1/Table1[[#This Row],[BW_GA]])-1)/(Backend!$B$4/100*Table1[[#This Row],[BW40_3705]]),"")</f>
        <v/>
      </c>
      <c r="J2230" s="7" t="str">
        <f>IF(Table1[[#This Row],[Is Data Valid]]=TRUE,_xlfn.NORM.S.DIST(Table1[[#This Row],[Birthweight Z-Score]],TRUE)*100,"")</f>
        <v/>
      </c>
      <c r="K2230" s="7" t="str">
        <f>IF(Table1[[#This Row],[Is Data Valid]]=TRUE,_xlfn.NORM.S.DIST(Table1[[#This Row],[Birthweight Z-Score (BW-10%)]],TRUE)*100,"")</f>
        <v/>
      </c>
      <c r="L2230" s="7" t="str">
        <f>IF(Table1[[#This Row],[Is Data Valid]]=TRUE,_xlfn.NORM.S.DIST(Table1[[#This Row],[Birthweight Z-Score (BW+10%)]],TRUE)*100,"")</f>
        <v/>
      </c>
    </row>
    <row r="2231" spans="1:12" x14ac:dyDescent="0.35">
      <c r="A2231" s="3"/>
      <c r="B2231" s="2"/>
      <c r="C2231" s="2"/>
      <c r="D2231" s="2" t="b">
        <f>IF(AND(NOT(ISBLANK(Table1[[#This Row],[Fetal Sex (Male, Female or Unknown)]])),ISNUMBER(Table1[[#This Row],[Birthweight (grams)]]),ISNUMBER(Table1[[#This Row],[Gestation (days)]])),TRUE,FALSE)</f>
        <v>0</v>
      </c>
      <c r="E2231" s="2" t="str">
        <f>IF(Table1[[#This Row],[Is Data Valid]]=TRUE,IF(Table1[[#This Row],[Fetal Sex (Male, Female or Unknown)]]="Male",Backend!$C$6,IF(Table1[[#This Row],[Fetal Sex (Male, Female or Unknown)]]="Female",Backend!$C$7,IF(Table1[[#This Row],[Fetal Sex (Male, Female or Unknown)]]="Unknown",Backend!$C$8,"Error"))),"")</f>
        <v/>
      </c>
      <c r="F2231" s="8" t="str">
        <f>IF(Table1[[#This Row],[Is Data Valid]]=TRUE,EXP(0.578+0.332*((Table1[[#This Row],[Gestation (days)]]+0.5)/7)-0.00354*((Table1[[#This Row],[Gestation (days)]]+0.5)/7)^2)*Table1[[#This Row],[BW40_3705]],"")</f>
        <v/>
      </c>
      <c r="G2231" s="2" t="str">
        <f>IF(Table1[[#This Row],[Is Data Valid]]=TRUE,((Table1[[#This Row],[Birthweight (grams)]]/Table1[[#This Row],[BW_GA]])-1)/(Backend!$B$4/100*Table1[[#This Row],[BW40_3705]]),"")</f>
        <v/>
      </c>
      <c r="H2231" s="7" t="str">
        <f>IF(Table1[[#This Row],[Is Data Valid]]=TRUE,((Table1[[#This Row],[Birthweight (grams)]]*0.9/Table1[[#This Row],[BW_GA]])-1)/(Backend!$B$4/100*Table1[[#This Row],[BW40_3705]]),"")</f>
        <v/>
      </c>
      <c r="I2231" s="7" t="str">
        <f>IF(Table1[[#This Row],[Is Data Valid]]=TRUE,((Table1[[#This Row],[Birthweight (grams)]]*1.1/Table1[[#This Row],[BW_GA]])-1)/(Backend!$B$4/100*Table1[[#This Row],[BW40_3705]]),"")</f>
        <v/>
      </c>
      <c r="J2231" s="7" t="str">
        <f>IF(Table1[[#This Row],[Is Data Valid]]=TRUE,_xlfn.NORM.S.DIST(Table1[[#This Row],[Birthweight Z-Score]],TRUE)*100,"")</f>
        <v/>
      </c>
      <c r="K2231" s="7" t="str">
        <f>IF(Table1[[#This Row],[Is Data Valid]]=TRUE,_xlfn.NORM.S.DIST(Table1[[#This Row],[Birthweight Z-Score (BW-10%)]],TRUE)*100,"")</f>
        <v/>
      </c>
      <c r="L2231" s="7" t="str">
        <f>IF(Table1[[#This Row],[Is Data Valid]]=TRUE,_xlfn.NORM.S.DIST(Table1[[#This Row],[Birthweight Z-Score (BW+10%)]],TRUE)*100,"")</f>
        <v/>
      </c>
    </row>
    <row r="2232" spans="1:12" x14ac:dyDescent="0.35">
      <c r="A2232" s="3"/>
      <c r="B2232" s="2"/>
      <c r="C2232" s="2"/>
      <c r="D2232" s="2" t="b">
        <f>IF(AND(NOT(ISBLANK(Table1[[#This Row],[Fetal Sex (Male, Female or Unknown)]])),ISNUMBER(Table1[[#This Row],[Birthweight (grams)]]),ISNUMBER(Table1[[#This Row],[Gestation (days)]])),TRUE,FALSE)</f>
        <v>0</v>
      </c>
      <c r="E2232" s="2" t="str">
        <f>IF(Table1[[#This Row],[Is Data Valid]]=TRUE,IF(Table1[[#This Row],[Fetal Sex (Male, Female or Unknown)]]="Male",Backend!$C$6,IF(Table1[[#This Row],[Fetal Sex (Male, Female or Unknown)]]="Female",Backend!$C$7,IF(Table1[[#This Row],[Fetal Sex (Male, Female or Unknown)]]="Unknown",Backend!$C$8,"Error"))),"")</f>
        <v/>
      </c>
      <c r="F2232" s="8" t="str">
        <f>IF(Table1[[#This Row],[Is Data Valid]]=TRUE,EXP(0.578+0.332*((Table1[[#This Row],[Gestation (days)]]+0.5)/7)-0.00354*((Table1[[#This Row],[Gestation (days)]]+0.5)/7)^2)*Table1[[#This Row],[BW40_3705]],"")</f>
        <v/>
      </c>
      <c r="G2232" s="2" t="str">
        <f>IF(Table1[[#This Row],[Is Data Valid]]=TRUE,((Table1[[#This Row],[Birthweight (grams)]]/Table1[[#This Row],[BW_GA]])-1)/(Backend!$B$4/100*Table1[[#This Row],[BW40_3705]]),"")</f>
        <v/>
      </c>
      <c r="H2232" s="7" t="str">
        <f>IF(Table1[[#This Row],[Is Data Valid]]=TRUE,((Table1[[#This Row],[Birthweight (grams)]]*0.9/Table1[[#This Row],[BW_GA]])-1)/(Backend!$B$4/100*Table1[[#This Row],[BW40_3705]]),"")</f>
        <v/>
      </c>
      <c r="I2232" s="7" t="str">
        <f>IF(Table1[[#This Row],[Is Data Valid]]=TRUE,((Table1[[#This Row],[Birthweight (grams)]]*1.1/Table1[[#This Row],[BW_GA]])-1)/(Backend!$B$4/100*Table1[[#This Row],[BW40_3705]]),"")</f>
        <v/>
      </c>
      <c r="J2232" s="7" t="str">
        <f>IF(Table1[[#This Row],[Is Data Valid]]=TRUE,_xlfn.NORM.S.DIST(Table1[[#This Row],[Birthweight Z-Score]],TRUE)*100,"")</f>
        <v/>
      </c>
      <c r="K2232" s="7" t="str">
        <f>IF(Table1[[#This Row],[Is Data Valid]]=TRUE,_xlfn.NORM.S.DIST(Table1[[#This Row],[Birthweight Z-Score (BW-10%)]],TRUE)*100,"")</f>
        <v/>
      </c>
      <c r="L2232" s="7" t="str">
        <f>IF(Table1[[#This Row],[Is Data Valid]]=TRUE,_xlfn.NORM.S.DIST(Table1[[#This Row],[Birthweight Z-Score (BW+10%)]],TRUE)*100,"")</f>
        <v/>
      </c>
    </row>
    <row r="2233" spans="1:12" x14ac:dyDescent="0.35">
      <c r="A2233" s="3"/>
      <c r="B2233" s="2"/>
      <c r="C2233" s="2"/>
      <c r="D2233" s="2" t="b">
        <f>IF(AND(NOT(ISBLANK(Table1[[#This Row],[Fetal Sex (Male, Female or Unknown)]])),ISNUMBER(Table1[[#This Row],[Birthweight (grams)]]),ISNUMBER(Table1[[#This Row],[Gestation (days)]])),TRUE,FALSE)</f>
        <v>0</v>
      </c>
      <c r="E2233" s="2" t="str">
        <f>IF(Table1[[#This Row],[Is Data Valid]]=TRUE,IF(Table1[[#This Row],[Fetal Sex (Male, Female or Unknown)]]="Male",Backend!$C$6,IF(Table1[[#This Row],[Fetal Sex (Male, Female or Unknown)]]="Female",Backend!$C$7,IF(Table1[[#This Row],[Fetal Sex (Male, Female or Unknown)]]="Unknown",Backend!$C$8,"Error"))),"")</f>
        <v/>
      </c>
      <c r="F2233" s="8" t="str">
        <f>IF(Table1[[#This Row],[Is Data Valid]]=TRUE,EXP(0.578+0.332*((Table1[[#This Row],[Gestation (days)]]+0.5)/7)-0.00354*((Table1[[#This Row],[Gestation (days)]]+0.5)/7)^2)*Table1[[#This Row],[BW40_3705]],"")</f>
        <v/>
      </c>
      <c r="G2233" s="2" t="str">
        <f>IF(Table1[[#This Row],[Is Data Valid]]=TRUE,((Table1[[#This Row],[Birthweight (grams)]]/Table1[[#This Row],[BW_GA]])-1)/(Backend!$B$4/100*Table1[[#This Row],[BW40_3705]]),"")</f>
        <v/>
      </c>
      <c r="H2233" s="7" t="str">
        <f>IF(Table1[[#This Row],[Is Data Valid]]=TRUE,((Table1[[#This Row],[Birthweight (grams)]]*0.9/Table1[[#This Row],[BW_GA]])-1)/(Backend!$B$4/100*Table1[[#This Row],[BW40_3705]]),"")</f>
        <v/>
      </c>
      <c r="I2233" s="7" t="str">
        <f>IF(Table1[[#This Row],[Is Data Valid]]=TRUE,((Table1[[#This Row],[Birthweight (grams)]]*1.1/Table1[[#This Row],[BW_GA]])-1)/(Backend!$B$4/100*Table1[[#This Row],[BW40_3705]]),"")</f>
        <v/>
      </c>
      <c r="J2233" s="7" t="str">
        <f>IF(Table1[[#This Row],[Is Data Valid]]=TRUE,_xlfn.NORM.S.DIST(Table1[[#This Row],[Birthweight Z-Score]],TRUE)*100,"")</f>
        <v/>
      </c>
      <c r="K2233" s="7" t="str">
        <f>IF(Table1[[#This Row],[Is Data Valid]]=TRUE,_xlfn.NORM.S.DIST(Table1[[#This Row],[Birthweight Z-Score (BW-10%)]],TRUE)*100,"")</f>
        <v/>
      </c>
      <c r="L2233" s="7" t="str">
        <f>IF(Table1[[#This Row],[Is Data Valid]]=TRUE,_xlfn.NORM.S.DIST(Table1[[#This Row],[Birthweight Z-Score (BW+10%)]],TRUE)*100,"")</f>
        <v/>
      </c>
    </row>
    <row r="2234" spans="1:12" x14ac:dyDescent="0.35">
      <c r="A2234" s="3"/>
      <c r="B2234" s="2"/>
      <c r="C2234" s="2"/>
      <c r="D2234" s="2" t="b">
        <f>IF(AND(NOT(ISBLANK(Table1[[#This Row],[Fetal Sex (Male, Female or Unknown)]])),ISNUMBER(Table1[[#This Row],[Birthweight (grams)]]),ISNUMBER(Table1[[#This Row],[Gestation (days)]])),TRUE,FALSE)</f>
        <v>0</v>
      </c>
      <c r="E2234" s="2" t="str">
        <f>IF(Table1[[#This Row],[Is Data Valid]]=TRUE,IF(Table1[[#This Row],[Fetal Sex (Male, Female or Unknown)]]="Male",Backend!$C$6,IF(Table1[[#This Row],[Fetal Sex (Male, Female or Unknown)]]="Female",Backend!$C$7,IF(Table1[[#This Row],[Fetal Sex (Male, Female or Unknown)]]="Unknown",Backend!$C$8,"Error"))),"")</f>
        <v/>
      </c>
      <c r="F2234" s="8" t="str">
        <f>IF(Table1[[#This Row],[Is Data Valid]]=TRUE,EXP(0.578+0.332*((Table1[[#This Row],[Gestation (days)]]+0.5)/7)-0.00354*((Table1[[#This Row],[Gestation (days)]]+0.5)/7)^2)*Table1[[#This Row],[BW40_3705]],"")</f>
        <v/>
      </c>
      <c r="G2234" s="2" t="str">
        <f>IF(Table1[[#This Row],[Is Data Valid]]=TRUE,((Table1[[#This Row],[Birthweight (grams)]]/Table1[[#This Row],[BW_GA]])-1)/(Backend!$B$4/100*Table1[[#This Row],[BW40_3705]]),"")</f>
        <v/>
      </c>
      <c r="H2234" s="7" t="str">
        <f>IF(Table1[[#This Row],[Is Data Valid]]=TRUE,((Table1[[#This Row],[Birthweight (grams)]]*0.9/Table1[[#This Row],[BW_GA]])-1)/(Backend!$B$4/100*Table1[[#This Row],[BW40_3705]]),"")</f>
        <v/>
      </c>
      <c r="I2234" s="7" t="str">
        <f>IF(Table1[[#This Row],[Is Data Valid]]=TRUE,((Table1[[#This Row],[Birthweight (grams)]]*1.1/Table1[[#This Row],[BW_GA]])-1)/(Backend!$B$4/100*Table1[[#This Row],[BW40_3705]]),"")</f>
        <v/>
      </c>
      <c r="J2234" s="7" t="str">
        <f>IF(Table1[[#This Row],[Is Data Valid]]=TRUE,_xlfn.NORM.S.DIST(Table1[[#This Row],[Birthweight Z-Score]],TRUE)*100,"")</f>
        <v/>
      </c>
      <c r="K2234" s="7" t="str">
        <f>IF(Table1[[#This Row],[Is Data Valid]]=TRUE,_xlfn.NORM.S.DIST(Table1[[#This Row],[Birthweight Z-Score (BW-10%)]],TRUE)*100,"")</f>
        <v/>
      </c>
      <c r="L2234" s="7" t="str">
        <f>IF(Table1[[#This Row],[Is Data Valid]]=TRUE,_xlfn.NORM.S.DIST(Table1[[#This Row],[Birthweight Z-Score (BW+10%)]],TRUE)*100,"")</f>
        <v/>
      </c>
    </row>
    <row r="2235" spans="1:12" x14ac:dyDescent="0.35">
      <c r="A2235" s="3"/>
      <c r="B2235" s="2"/>
      <c r="C2235" s="2"/>
      <c r="D2235" s="2" t="b">
        <f>IF(AND(NOT(ISBLANK(Table1[[#This Row],[Fetal Sex (Male, Female or Unknown)]])),ISNUMBER(Table1[[#This Row],[Birthweight (grams)]]),ISNUMBER(Table1[[#This Row],[Gestation (days)]])),TRUE,FALSE)</f>
        <v>0</v>
      </c>
      <c r="E2235" s="2" t="str">
        <f>IF(Table1[[#This Row],[Is Data Valid]]=TRUE,IF(Table1[[#This Row],[Fetal Sex (Male, Female or Unknown)]]="Male",Backend!$C$6,IF(Table1[[#This Row],[Fetal Sex (Male, Female or Unknown)]]="Female",Backend!$C$7,IF(Table1[[#This Row],[Fetal Sex (Male, Female or Unknown)]]="Unknown",Backend!$C$8,"Error"))),"")</f>
        <v/>
      </c>
      <c r="F2235" s="8" t="str">
        <f>IF(Table1[[#This Row],[Is Data Valid]]=TRUE,EXP(0.578+0.332*((Table1[[#This Row],[Gestation (days)]]+0.5)/7)-0.00354*((Table1[[#This Row],[Gestation (days)]]+0.5)/7)^2)*Table1[[#This Row],[BW40_3705]],"")</f>
        <v/>
      </c>
      <c r="G2235" s="2" t="str">
        <f>IF(Table1[[#This Row],[Is Data Valid]]=TRUE,((Table1[[#This Row],[Birthweight (grams)]]/Table1[[#This Row],[BW_GA]])-1)/(Backend!$B$4/100*Table1[[#This Row],[BW40_3705]]),"")</f>
        <v/>
      </c>
      <c r="H2235" s="7" t="str">
        <f>IF(Table1[[#This Row],[Is Data Valid]]=TRUE,((Table1[[#This Row],[Birthweight (grams)]]*0.9/Table1[[#This Row],[BW_GA]])-1)/(Backend!$B$4/100*Table1[[#This Row],[BW40_3705]]),"")</f>
        <v/>
      </c>
      <c r="I2235" s="7" t="str">
        <f>IF(Table1[[#This Row],[Is Data Valid]]=TRUE,((Table1[[#This Row],[Birthweight (grams)]]*1.1/Table1[[#This Row],[BW_GA]])-1)/(Backend!$B$4/100*Table1[[#This Row],[BW40_3705]]),"")</f>
        <v/>
      </c>
      <c r="J2235" s="7" t="str">
        <f>IF(Table1[[#This Row],[Is Data Valid]]=TRUE,_xlfn.NORM.S.DIST(Table1[[#This Row],[Birthweight Z-Score]],TRUE)*100,"")</f>
        <v/>
      </c>
      <c r="K2235" s="7" t="str">
        <f>IF(Table1[[#This Row],[Is Data Valid]]=TRUE,_xlfn.NORM.S.DIST(Table1[[#This Row],[Birthweight Z-Score (BW-10%)]],TRUE)*100,"")</f>
        <v/>
      </c>
      <c r="L2235" s="7" t="str">
        <f>IF(Table1[[#This Row],[Is Data Valid]]=TRUE,_xlfn.NORM.S.DIST(Table1[[#This Row],[Birthweight Z-Score (BW+10%)]],TRUE)*100,"")</f>
        <v/>
      </c>
    </row>
    <row r="2236" spans="1:12" x14ac:dyDescent="0.35">
      <c r="A2236" s="3"/>
      <c r="B2236" s="2"/>
      <c r="C2236" s="2"/>
      <c r="D2236" s="2" t="b">
        <f>IF(AND(NOT(ISBLANK(Table1[[#This Row],[Fetal Sex (Male, Female or Unknown)]])),ISNUMBER(Table1[[#This Row],[Birthweight (grams)]]),ISNUMBER(Table1[[#This Row],[Gestation (days)]])),TRUE,FALSE)</f>
        <v>0</v>
      </c>
      <c r="E2236" s="2" t="str">
        <f>IF(Table1[[#This Row],[Is Data Valid]]=TRUE,IF(Table1[[#This Row],[Fetal Sex (Male, Female or Unknown)]]="Male",Backend!$C$6,IF(Table1[[#This Row],[Fetal Sex (Male, Female or Unknown)]]="Female",Backend!$C$7,IF(Table1[[#This Row],[Fetal Sex (Male, Female or Unknown)]]="Unknown",Backend!$C$8,"Error"))),"")</f>
        <v/>
      </c>
      <c r="F2236" s="8" t="str">
        <f>IF(Table1[[#This Row],[Is Data Valid]]=TRUE,EXP(0.578+0.332*((Table1[[#This Row],[Gestation (days)]]+0.5)/7)-0.00354*((Table1[[#This Row],[Gestation (days)]]+0.5)/7)^2)*Table1[[#This Row],[BW40_3705]],"")</f>
        <v/>
      </c>
      <c r="G2236" s="2" t="str">
        <f>IF(Table1[[#This Row],[Is Data Valid]]=TRUE,((Table1[[#This Row],[Birthweight (grams)]]/Table1[[#This Row],[BW_GA]])-1)/(Backend!$B$4/100*Table1[[#This Row],[BW40_3705]]),"")</f>
        <v/>
      </c>
      <c r="H2236" s="7" t="str">
        <f>IF(Table1[[#This Row],[Is Data Valid]]=TRUE,((Table1[[#This Row],[Birthweight (grams)]]*0.9/Table1[[#This Row],[BW_GA]])-1)/(Backend!$B$4/100*Table1[[#This Row],[BW40_3705]]),"")</f>
        <v/>
      </c>
      <c r="I2236" s="7" t="str">
        <f>IF(Table1[[#This Row],[Is Data Valid]]=TRUE,((Table1[[#This Row],[Birthweight (grams)]]*1.1/Table1[[#This Row],[BW_GA]])-1)/(Backend!$B$4/100*Table1[[#This Row],[BW40_3705]]),"")</f>
        <v/>
      </c>
      <c r="J2236" s="7" t="str">
        <f>IF(Table1[[#This Row],[Is Data Valid]]=TRUE,_xlfn.NORM.S.DIST(Table1[[#This Row],[Birthweight Z-Score]],TRUE)*100,"")</f>
        <v/>
      </c>
      <c r="K2236" s="7" t="str">
        <f>IF(Table1[[#This Row],[Is Data Valid]]=TRUE,_xlfn.NORM.S.DIST(Table1[[#This Row],[Birthweight Z-Score (BW-10%)]],TRUE)*100,"")</f>
        <v/>
      </c>
      <c r="L2236" s="7" t="str">
        <f>IF(Table1[[#This Row],[Is Data Valid]]=TRUE,_xlfn.NORM.S.DIST(Table1[[#This Row],[Birthweight Z-Score (BW+10%)]],TRUE)*100,"")</f>
        <v/>
      </c>
    </row>
    <row r="2237" spans="1:12" x14ac:dyDescent="0.35">
      <c r="A2237" s="3"/>
      <c r="B2237" s="2"/>
      <c r="C2237" s="2"/>
      <c r="D2237" s="2" t="b">
        <f>IF(AND(NOT(ISBLANK(Table1[[#This Row],[Fetal Sex (Male, Female or Unknown)]])),ISNUMBER(Table1[[#This Row],[Birthweight (grams)]]),ISNUMBER(Table1[[#This Row],[Gestation (days)]])),TRUE,FALSE)</f>
        <v>0</v>
      </c>
      <c r="E2237" s="2" t="str">
        <f>IF(Table1[[#This Row],[Is Data Valid]]=TRUE,IF(Table1[[#This Row],[Fetal Sex (Male, Female or Unknown)]]="Male",Backend!$C$6,IF(Table1[[#This Row],[Fetal Sex (Male, Female or Unknown)]]="Female",Backend!$C$7,IF(Table1[[#This Row],[Fetal Sex (Male, Female or Unknown)]]="Unknown",Backend!$C$8,"Error"))),"")</f>
        <v/>
      </c>
      <c r="F2237" s="8" t="str">
        <f>IF(Table1[[#This Row],[Is Data Valid]]=TRUE,EXP(0.578+0.332*((Table1[[#This Row],[Gestation (days)]]+0.5)/7)-0.00354*((Table1[[#This Row],[Gestation (days)]]+0.5)/7)^2)*Table1[[#This Row],[BW40_3705]],"")</f>
        <v/>
      </c>
      <c r="G2237" s="2" t="str">
        <f>IF(Table1[[#This Row],[Is Data Valid]]=TRUE,((Table1[[#This Row],[Birthweight (grams)]]/Table1[[#This Row],[BW_GA]])-1)/(Backend!$B$4/100*Table1[[#This Row],[BW40_3705]]),"")</f>
        <v/>
      </c>
      <c r="H2237" s="7" t="str">
        <f>IF(Table1[[#This Row],[Is Data Valid]]=TRUE,((Table1[[#This Row],[Birthweight (grams)]]*0.9/Table1[[#This Row],[BW_GA]])-1)/(Backend!$B$4/100*Table1[[#This Row],[BW40_3705]]),"")</f>
        <v/>
      </c>
      <c r="I2237" s="7" t="str">
        <f>IF(Table1[[#This Row],[Is Data Valid]]=TRUE,((Table1[[#This Row],[Birthweight (grams)]]*1.1/Table1[[#This Row],[BW_GA]])-1)/(Backend!$B$4/100*Table1[[#This Row],[BW40_3705]]),"")</f>
        <v/>
      </c>
      <c r="J2237" s="7" t="str">
        <f>IF(Table1[[#This Row],[Is Data Valid]]=TRUE,_xlfn.NORM.S.DIST(Table1[[#This Row],[Birthweight Z-Score]],TRUE)*100,"")</f>
        <v/>
      </c>
      <c r="K2237" s="7" t="str">
        <f>IF(Table1[[#This Row],[Is Data Valid]]=TRUE,_xlfn.NORM.S.DIST(Table1[[#This Row],[Birthweight Z-Score (BW-10%)]],TRUE)*100,"")</f>
        <v/>
      </c>
      <c r="L2237" s="7" t="str">
        <f>IF(Table1[[#This Row],[Is Data Valid]]=TRUE,_xlfn.NORM.S.DIST(Table1[[#This Row],[Birthweight Z-Score (BW+10%)]],TRUE)*100,"")</f>
        <v/>
      </c>
    </row>
    <row r="2238" spans="1:12" x14ac:dyDescent="0.35">
      <c r="A2238" s="3"/>
      <c r="B2238" s="2"/>
      <c r="C2238" s="2"/>
      <c r="D2238" s="2" t="b">
        <f>IF(AND(NOT(ISBLANK(Table1[[#This Row],[Fetal Sex (Male, Female or Unknown)]])),ISNUMBER(Table1[[#This Row],[Birthweight (grams)]]),ISNUMBER(Table1[[#This Row],[Gestation (days)]])),TRUE,FALSE)</f>
        <v>0</v>
      </c>
      <c r="E2238" s="2" t="str">
        <f>IF(Table1[[#This Row],[Is Data Valid]]=TRUE,IF(Table1[[#This Row],[Fetal Sex (Male, Female or Unknown)]]="Male",Backend!$C$6,IF(Table1[[#This Row],[Fetal Sex (Male, Female or Unknown)]]="Female",Backend!$C$7,IF(Table1[[#This Row],[Fetal Sex (Male, Female or Unknown)]]="Unknown",Backend!$C$8,"Error"))),"")</f>
        <v/>
      </c>
      <c r="F2238" s="8" t="str">
        <f>IF(Table1[[#This Row],[Is Data Valid]]=TRUE,EXP(0.578+0.332*((Table1[[#This Row],[Gestation (days)]]+0.5)/7)-0.00354*((Table1[[#This Row],[Gestation (days)]]+0.5)/7)^2)*Table1[[#This Row],[BW40_3705]],"")</f>
        <v/>
      </c>
      <c r="G2238" s="2" t="str">
        <f>IF(Table1[[#This Row],[Is Data Valid]]=TRUE,((Table1[[#This Row],[Birthweight (grams)]]/Table1[[#This Row],[BW_GA]])-1)/(Backend!$B$4/100*Table1[[#This Row],[BW40_3705]]),"")</f>
        <v/>
      </c>
      <c r="H2238" s="7" t="str">
        <f>IF(Table1[[#This Row],[Is Data Valid]]=TRUE,((Table1[[#This Row],[Birthweight (grams)]]*0.9/Table1[[#This Row],[BW_GA]])-1)/(Backend!$B$4/100*Table1[[#This Row],[BW40_3705]]),"")</f>
        <v/>
      </c>
      <c r="I2238" s="7" t="str">
        <f>IF(Table1[[#This Row],[Is Data Valid]]=TRUE,((Table1[[#This Row],[Birthweight (grams)]]*1.1/Table1[[#This Row],[BW_GA]])-1)/(Backend!$B$4/100*Table1[[#This Row],[BW40_3705]]),"")</f>
        <v/>
      </c>
      <c r="J2238" s="7" t="str">
        <f>IF(Table1[[#This Row],[Is Data Valid]]=TRUE,_xlfn.NORM.S.DIST(Table1[[#This Row],[Birthweight Z-Score]],TRUE)*100,"")</f>
        <v/>
      </c>
      <c r="K2238" s="7" t="str">
        <f>IF(Table1[[#This Row],[Is Data Valid]]=TRUE,_xlfn.NORM.S.DIST(Table1[[#This Row],[Birthweight Z-Score (BW-10%)]],TRUE)*100,"")</f>
        <v/>
      </c>
      <c r="L2238" s="7" t="str">
        <f>IF(Table1[[#This Row],[Is Data Valid]]=TRUE,_xlfn.NORM.S.DIST(Table1[[#This Row],[Birthweight Z-Score (BW+10%)]],TRUE)*100,"")</f>
        <v/>
      </c>
    </row>
    <row r="2239" spans="1:12" x14ac:dyDescent="0.35">
      <c r="A2239" s="3"/>
      <c r="B2239" s="2"/>
      <c r="C2239" s="2"/>
      <c r="D2239" s="2" t="b">
        <f>IF(AND(NOT(ISBLANK(Table1[[#This Row],[Fetal Sex (Male, Female or Unknown)]])),ISNUMBER(Table1[[#This Row],[Birthweight (grams)]]),ISNUMBER(Table1[[#This Row],[Gestation (days)]])),TRUE,FALSE)</f>
        <v>0</v>
      </c>
      <c r="E2239" s="2" t="str">
        <f>IF(Table1[[#This Row],[Is Data Valid]]=TRUE,IF(Table1[[#This Row],[Fetal Sex (Male, Female or Unknown)]]="Male",Backend!$C$6,IF(Table1[[#This Row],[Fetal Sex (Male, Female or Unknown)]]="Female",Backend!$C$7,IF(Table1[[#This Row],[Fetal Sex (Male, Female or Unknown)]]="Unknown",Backend!$C$8,"Error"))),"")</f>
        <v/>
      </c>
      <c r="F2239" s="8" t="str">
        <f>IF(Table1[[#This Row],[Is Data Valid]]=TRUE,EXP(0.578+0.332*((Table1[[#This Row],[Gestation (days)]]+0.5)/7)-0.00354*((Table1[[#This Row],[Gestation (days)]]+0.5)/7)^2)*Table1[[#This Row],[BW40_3705]],"")</f>
        <v/>
      </c>
      <c r="G2239" s="2" t="str">
        <f>IF(Table1[[#This Row],[Is Data Valid]]=TRUE,((Table1[[#This Row],[Birthweight (grams)]]/Table1[[#This Row],[BW_GA]])-1)/(Backend!$B$4/100*Table1[[#This Row],[BW40_3705]]),"")</f>
        <v/>
      </c>
      <c r="H2239" s="7" t="str">
        <f>IF(Table1[[#This Row],[Is Data Valid]]=TRUE,((Table1[[#This Row],[Birthweight (grams)]]*0.9/Table1[[#This Row],[BW_GA]])-1)/(Backend!$B$4/100*Table1[[#This Row],[BW40_3705]]),"")</f>
        <v/>
      </c>
      <c r="I2239" s="7" t="str">
        <f>IF(Table1[[#This Row],[Is Data Valid]]=TRUE,((Table1[[#This Row],[Birthweight (grams)]]*1.1/Table1[[#This Row],[BW_GA]])-1)/(Backend!$B$4/100*Table1[[#This Row],[BW40_3705]]),"")</f>
        <v/>
      </c>
      <c r="J2239" s="7" t="str">
        <f>IF(Table1[[#This Row],[Is Data Valid]]=TRUE,_xlfn.NORM.S.DIST(Table1[[#This Row],[Birthweight Z-Score]],TRUE)*100,"")</f>
        <v/>
      </c>
      <c r="K2239" s="7" t="str">
        <f>IF(Table1[[#This Row],[Is Data Valid]]=TRUE,_xlfn.NORM.S.DIST(Table1[[#This Row],[Birthweight Z-Score (BW-10%)]],TRUE)*100,"")</f>
        <v/>
      </c>
      <c r="L2239" s="7" t="str">
        <f>IF(Table1[[#This Row],[Is Data Valid]]=TRUE,_xlfn.NORM.S.DIST(Table1[[#This Row],[Birthweight Z-Score (BW+10%)]],TRUE)*100,"")</f>
        <v/>
      </c>
    </row>
    <row r="2240" spans="1:12" x14ac:dyDescent="0.35">
      <c r="A2240" s="3"/>
      <c r="B2240" s="2"/>
      <c r="C2240" s="2"/>
      <c r="D2240" s="2" t="b">
        <f>IF(AND(NOT(ISBLANK(Table1[[#This Row],[Fetal Sex (Male, Female or Unknown)]])),ISNUMBER(Table1[[#This Row],[Birthweight (grams)]]),ISNUMBER(Table1[[#This Row],[Gestation (days)]])),TRUE,FALSE)</f>
        <v>0</v>
      </c>
      <c r="E2240" s="2" t="str">
        <f>IF(Table1[[#This Row],[Is Data Valid]]=TRUE,IF(Table1[[#This Row],[Fetal Sex (Male, Female or Unknown)]]="Male",Backend!$C$6,IF(Table1[[#This Row],[Fetal Sex (Male, Female or Unknown)]]="Female",Backend!$C$7,IF(Table1[[#This Row],[Fetal Sex (Male, Female or Unknown)]]="Unknown",Backend!$C$8,"Error"))),"")</f>
        <v/>
      </c>
      <c r="F2240" s="8" t="str">
        <f>IF(Table1[[#This Row],[Is Data Valid]]=TRUE,EXP(0.578+0.332*((Table1[[#This Row],[Gestation (days)]]+0.5)/7)-0.00354*((Table1[[#This Row],[Gestation (days)]]+0.5)/7)^2)*Table1[[#This Row],[BW40_3705]],"")</f>
        <v/>
      </c>
      <c r="G2240" s="2" t="str">
        <f>IF(Table1[[#This Row],[Is Data Valid]]=TRUE,((Table1[[#This Row],[Birthweight (grams)]]/Table1[[#This Row],[BW_GA]])-1)/(Backend!$B$4/100*Table1[[#This Row],[BW40_3705]]),"")</f>
        <v/>
      </c>
      <c r="H2240" s="7" t="str">
        <f>IF(Table1[[#This Row],[Is Data Valid]]=TRUE,((Table1[[#This Row],[Birthweight (grams)]]*0.9/Table1[[#This Row],[BW_GA]])-1)/(Backend!$B$4/100*Table1[[#This Row],[BW40_3705]]),"")</f>
        <v/>
      </c>
      <c r="I2240" s="7" t="str">
        <f>IF(Table1[[#This Row],[Is Data Valid]]=TRUE,((Table1[[#This Row],[Birthweight (grams)]]*1.1/Table1[[#This Row],[BW_GA]])-1)/(Backend!$B$4/100*Table1[[#This Row],[BW40_3705]]),"")</f>
        <v/>
      </c>
      <c r="J2240" s="7" t="str">
        <f>IF(Table1[[#This Row],[Is Data Valid]]=TRUE,_xlfn.NORM.S.DIST(Table1[[#This Row],[Birthweight Z-Score]],TRUE)*100,"")</f>
        <v/>
      </c>
      <c r="K2240" s="7" t="str">
        <f>IF(Table1[[#This Row],[Is Data Valid]]=TRUE,_xlfn.NORM.S.DIST(Table1[[#This Row],[Birthweight Z-Score (BW-10%)]],TRUE)*100,"")</f>
        <v/>
      </c>
      <c r="L2240" s="7" t="str">
        <f>IF(Table1[[#This Row],[Is Data Valid]]=TRUE,_xlfn.NORM.S.DIST(Table1[[#This Row],[Birthweight Z-Score (BW+10%)]],TRUE)*100,"")</f>
        <v/>
      </c>
    </row>
    <row r="2241" spans="1:12" x14ac:dyDescent="0.35">
      <c r="A2241" s="3"/>
      <c r="B2241" s="2"/>
      <c r="C2241" s="2"/>
      <c r="D2241" s="2" t="b">
        <f>IF(AND(NOT(ISBLANK(Table1[[#This Row],[Fetal Sex (Male, Female or Unknown)]])),ISNUMBER(Table1[[#This Row],[Birthweight (grams)]]),ISNUMBER(Table1[[#This Row],[Gestation (days)]])),TRUE,FALSE)</f>
        <v>0</v>
      </c>
      <c r="E2241" s="2" t="str">
        <f>IF(Table1[[#This Row],[Is Data Valid]]=TRUE,IF(Table1[[#This Row],[Fetal Sex (Male, Female or Unknown)]]="Male",Backend!$C$6,IF(Table1[[#This Row],[Fetal Sex (Male, Female or Unknown)]]="Female",Backend!$C$7,IF(Table1[[#This Row],[Fetal Sex (Male, Female or Unknown)]]="Unknown",Backend!$C$8,"Error"))),"")</f>
        <v/>
      </c>
      <c r="F2241" s="8" t="str">
        <f>IF(Table1[[#This Row],[Is Data Valid]]=TRUE,EXP(0.578+0.332*((Table1[[#This Row],[Gestation (days)]]+0.5)/7)-0.00354*((Table1[[#This Row],[Gestation (days)]]+0.5)/7)^2)*Table1[[#This Row],[BW40_3705]],"")</f>
        <v/>
      </c>
      <c r="G2241" s="2" t="str">
        <f>IF(Table1[[#This Row],[Is Data Valid]]=TRUE,((Table1[[#This Row],[Birthweight (grams)]]/Table1[[#This Row],[BW_GA]])-1)/(Backend!$B$4/100*Table1[[#This Row],[BW40_3705]]),"")</f>
        <v/>
      </c>
      <c r="H2241" s="7" t="str">
        <f>IF(Table1[[#This Row],[Is Data Valid]]=TRUE,((Table1[[#This Row],[Birthweight (grams)]]*0.9/Table1[[#This Row],[BW_GA]])-1)/(Backend!$B$4/100*Table1[[#This Row],[BW40_3705]]),"")</f>
        <v/>
      </c>
      <c r="I2241" s="7" t="str">
        <f>IF(Table1[[#This Row],[Is Data Valid]]=TRUE,((Table1[[#This Row],[Birthweight (grams)]]*1.1/Table1[[#This Row],[BW_GA]])-1)/(Backend!$B$4/100*Table1[[#This Row],[BW40_3705]]),"")</f>
        <v/>
      </c>
      <c r="J2241" s="7" t="str">
        <f>IF(Table1[[#This Row],[Is Data Valid]]=TRUE,_xlfn.NORM.S.DIST(Table1[[#This Row],[Birthweight Z-Score]],TRUE)*100,"")</f>
        <v/>
      </c>
      <c r="K2241" s="7" t="str">
        <f>IF(Table1[[#This Row],[Is Data Valid]]=TRUE,_xlfn.NORM.S.DIST(Table1[[#This Row],[Birthweight Z-Score (BW-10%)]],TRUE)*100,"")</f>
        <v/>
      </c>
      <c r="L2241" s="7" t="str">
        <f>IF(Table1[[#This Row],[Is Data Valid]]=TRUE,_xlfn.NORM.S.DIST(Table1[[#This Row],[Birthweight Z-Score (BW+10%)]],TRUE)*100,"")</f>
        <v/>
      </c>
    </row>
    <row r="2242" spans="1:12" x14ac:dyDescent="0.35">
      <c r="A2242" s="3"/>
      <c r="B2242" s="2"/>
      <c r="C2242" s="2"/>
      <c r="D2242" s="2" t="b">
        <f>IF(AND(NOT(ISBLANK(Table1[[#This Row],[Fetal Sex (Male, Female or Unknown)]])),ISNUMBER(Table1[[#This Row],[Birthweight (grams)]]),ISNUMBER(Table1[[#This Row],[Gestation (days)]])),TRUE,FALSE)</f>
        <v>0</v>
      </c>
      <c r="E2242" s="2" t="str">
        <f>IF(Table1[[#This Row],[Is Data Valid]]=TRUE,IF(Table1[[#This Row],[Fetal Sex (Male, Female or Unknown)]]="Male",Backend!$C$6,IF(Table1[[#This Row],[Fetal Sex (Male, Female or Unknown)]]="Female",Backend!$C$7,IF(Table1[[#This Row],[Fetal Sex (Male, Female or Unknown)]]="Unknown",Backend!$C$8,"Error"))),"")</f>
        <v/>
      </c>
      <c r="F2242" s="8" t="str">
        <f>IF(Table1[[#This Row],[Is Data Valid]]=TRUE,EXP(0.578+0.332*((Table1[[#This Row],[Gestation (days)]]+0.5)/7)-0.00354*((Table1[[#This Row],[Gestation (days)]]+0.5)/7)^2)*Table1[[#This Row],[BW40_3705]],"")</f>
        <v/>
      </c>
      <c r="G2242" s="2" t="str">
        <f>IF(Table1[[#This Row],[Is Data Valid]]=TRUE,((Table1[[#This Row],[Birthweight (grams)]]/Table1[[#This Row],[BW_GA]])-1)/(Backend!$B$4/100*Table1[[#This Row],[BW40_3705]]),"")</f>
        <v/>
      </c>
      <c r="H2242" s="7" t="str">
        <f>IF(Table1[[#This Row],[Is Data Valid]]=TRUE,((Table1[[#This Row],[Birthweight (grams)]]*0.9/Table1[[#This Row],[BW_GA]])-1)/(Backend!$B$4/100*Table1[[#This Row],[BW40_3705]]),"")</f>
        <v/>
      </c>
      <c r="I2242" s="7" t="str">
        <f>IF(Table1[[#This Row],[Is Data Valid]]=TRUE,((Table1[[#This Row],[Birthweight (grams)]]*1.1/Table1[[#This Row],[BW_GA]])-1)/(Backend!$B$4/100*Table1[[#This Row],[BW40_3705]]),"")</f>
        <v/>
      </c>
      <c r="J2242" s="7" t="str">
        <f>IF(Table1[[#This Row],[Is Data Valid]]=TRUE,_xlfn.NORM.S.DIST(Table1[[#This Row],[Birthweight Z-Score]],TRUE)*100,"")</f>
        <v/>
      </c>
      <c r="K2242" s="7" t="str">
        <f>IF(Table1[[#This Row],[Is Data Valid]]=TRUE,_xlfn.NORM.S.DIST(Table1[[#This Row],[Birthweight Z-Score (BW-10%)]],TRUE)*100,"")</f>
        <v/>
      </c>
      <c r="L2242" s="7" t="str">
        <f>IF(Table1[[#This Row],[Is Data Valid]]=TRUE,_xlfn.NORM.S.DIST(Table1[[#This Row],[Birthweight Z-Score (BW+10%)]],TRUE)*100,"")</f>
        <v/>
      </c>
    </row>
    <row r="2243" spans="1:12" x14ac:dyDescent="0.35">
      <c r="A2243" s="3"/>
      <c r="B2243" s="2"/>
      <c r="C2243" s="2"/>
      <c r="D2243" s="2" t="b">
        <f>IF(AND(NOT(ISBLANK(Table1[[#This Row],[Fetal Sex (Male, Female or Unknown)]])),ISNUMBER(Table1[[#This Row],[Birthweight (grams)]]),ISNUMBER(Table1[[#This Row],[Gestation (days)]])),TRUE,FALSE)</f>
        <v>0</v>
      </c>
      <c r="E2243" s="2" t="str">
        <f>IF(Table1[[#This Row],[Is Data Valid]]=TRUE,IF(Table1[[#This Row],[Fetal Sex (Male, Female or Unknown)]]="Male",Backend!$C$6,IF(Table1[[#This Row],[Fetal Sex (Male, Female or Unknown)]]="Female",Backend!$C$7,IF(Table1[[#This Row],[Fetal Sex (Male, Female or Unknown)]]="Unknown",Backend!$C$8,"Error"))),"")</f>
        <v/>
      </c>
      <c r="F2243" s="8" t="str">
        <f>IF(Table1[[#This Row],[Is Data Valid]]=TRUE,EXP(0.578+0.332*((Table1[[#This Row],[Gestation (days)]]+0.5)/7)-0.00354*((Table1[[#This Row],[Gestation (days)]]+0.5)/7)^2)*Table1[[#This Row],[BW40_3705]],"")</f>
        <v/>
      </c>
      <c r="G2243" s="2" t="str">
        <f>IF(Table1[[#This Row],[Is Data Valid]]=TRUE,((Table1[[#This Row],[Birthweight (grams)]]/Table1[[#This Row],[BW_GA]])-1)/(Backend!$B$4/100*Table1[[#This Row],[BW40_3705]]),"")</f>
        <v/>
      </c>
      <c r="H2243" s="7" t="str">
        <f>IF(Table1[[#This Row],[Is Data Valid]]=TRUE,((Table1[[#This Row],[Birthweight (grams)]]*0.9/Table1[[#This Row],[BW_GA]])-1)/(Backend!$B$4/100*Table1[[#This Row],[BW40_3705]]),"")</f>
        <v/>
      </c>
      <c r="I2243" s="7" t="str">
        <f>IF(Table1[[#This Row],[Is Data Valid]]=TRUE,((Table1[[#This Row],[Birthweight (grams)]]*1.1/Table1[[#This Row],[BW_GA]])-1)/(Backend!$B$4/100*Table1[[#This Row],[BW40_3705]]),"")</f>
        <v/>
      </c>
      <c r="J2243" s="7" t="str">
        <f>IF(Table1[[#This Row],[Is Data Valid]]=TRUE,_xlfn.NORM.S.DIST(Table1[[#This Row],[Birthweight Z-Score]],TRUE)*100,"")</f>
        <v/>
      </c>
      <c r="K2243" s="7" t="str">
        <f>IF(Table1[[#This Row],[Is Data Valid]]=TRUE,_xlfn.NORM.S.DIST(Table1[[#This Row],[Birthweight Z-Score (BW-10%)]],TRUE)*100,"")</f>
        <v/>
      </c>
      <c r="L2243" s="7" t="str">
        <f>IF(Table1[[#This Row],[Is Data Valid]]=TRUE,_xlfn.NORM.S.DIST(Table1[[#This Row],[Birthweight Z-Score (BW+10%)]],TRUE)*100,"")</f>
        <v/>
      </c>
    </row>
    <row r="2244" spans="1:12" x14ac:dyDescent="0.35">
      <c r="A2244" s="3"/>
      <c r="B2244" s="2"/>
      <c r="C2244" s="2"/>
      <c r="D2244" s="2" t="b">
        <f>IF(AND(NOT(ISBLANK(Table1[[#This Row],[Fetal Sex (Male, Female or Unknown)]])),ISNUMBER(Table1[[#This Row],[Birthweight (grams)]]),ISNUMBER(Table1[[#This Row],[Gestation (days)]])),TRUE,FALSE)</f>
        <v>0</v>
      </c>
      <c r="E2244" s="2" t="str">
        <f>IF(Table1[[#This Row],[Is Data Valid]]=TRUE,IF(Table1[[#This Row],[Fetal Sex (Male, Female or Unknown)]]="Male",Backend!$C$6,IF(Table1[[#This Row],[Fetal Sex (Male, Female or Unknown)]]="Female",Backend!$C$7,IF(Table1[[#This Row],[Fetal Sex (Male, Female or Unknown)]]="Unknown",Backend!$C$8,"Error"))),"")</f>
        <v/>
      </c>
      <c r="F2244" s="8" t="str">
        <f>IF(Table1[[#This Row],[Is Data Valid]]=TRUE,EXP(0.578+0.332*((Table1[[#This Row],[Gestation (days)]]+0.5)/7)-0.00354*((Table1[[#This Row],[Gestation (days)]]+0.5)/7)^2)*Table1[[#This Row],[BW40_3705]],"")</f>
        <v/>
      </c>
      <c r="G2244" s="2" t="str">
        <f>IF(Table1[[#This Row],[Is Data Valid]]=TRUE,((Table1[[#This Row],[Birthweight (grams)]]/Table1[[#This Row],[BW_GA]])-1)/(Backend!$B$4/100*Table1[[#This Row],[BW40_3705]]),"")</f>
        <v/>
      </c>
      <c r="H2244" s="7" t="str">
        <f>IF(Table1[[#This Row],[Is Data Valid]]=TRUE,((Table1[[#This Row],[Birthweight (grams)]]*0.9/Table1[[#This Row],[BW_GA]])-1)/(Backend!$B$4/100*Table1[[#This Row],[BW40_3705]]),"")</f>
        <v/>
      </c>
      <c r="I2244" s="7" t="str">
        <f>IF(Table1[[#This Row],[Is Data Valid]]=TRUE,((Table1[[#This Row],[Birthweight (grams)]]*1.1/Table1[[#This Row],[BW_GA]])-1)/(Backend!$B$4/100*Table1[[#This Row],[BW40_3705]]),"")</f>
        <v/>
      </c>
      <c r="J2244" s="7" t="str">
        <f>IF(Table1[[#This Row],[Is Data Valid]]=TRUE,_xlfn.NORM.S.DIST(Table1[[#This Row],[Birthweight Z-Score]],TRUE)*100,"")</f>
        <v/>
      </c>
      <c r="K2244" s="7" t="str">
        <f>IF(Table1[[#This Row],[Is Data Valid]]=TRUE,_xlfn.NORM.S.DIST(Table1[[#This Row],[Birthweight Z-Score (BW-10%)]],TRUE)*100,"")</f>
        <v/>
      </c>
      <c r="L2244" s="7" t="str">
        <f>IF(Table1[[#This Row],[Is Data Valid]]=TRUE,_xlfn.NORM.S.DIST(Table1[[#This Row],[Birthweight Z-Score (BW+10%)]],TRUE)*100,"")</f>
        <v/>
      </c>
    </row>
    <row r="2245" spans="1:12" x14ac:dyDescent="0.35">
      <c r="A2245" s="3"/>
      <c r="B2245" s="2"/>
      <c r="C2245" s="2"/>
      <c r="D2245" s="2" t="b">
        <f>IF(AND(NOT(ISBLANK(Table1[[#This Row],[Fetal Sex (Male, Female or Unknown)]])),ISNUMBER(Table1[[#This Row],[Birthweight (grams)]]),ISNUMBER(Table1[[#This Row],[Gestation (days)]])),TRUE,FALSE)</f>
        <v>0</v>
      </c>
      <c r="E2245" s="2" t="str">
        <f>IF(Table1[[#This Row],[Is Data Valid]]=TRUE,IF(Table1[[#This Row],[Fetal Sex (Male, Female or Unknown)]]="Male",Backend!$C$6,IF(Table1[[#This Row],[Fetal Sex (Male, Female or Unknown)]]="Female",Backend!$C$7,IF(Table1[[#This Row],[Fetal Sex (Male, Female or Unknown)]]="Unknown",Backend!$C$8,"Error"))),"")</f>
        <v/>
      </c>
      <c r="F2245" s="8" t="str">
        <f>IF(Table1[[#This Row],[Is Data Valid]]=TRUE,EXP(0.578+0.332*((Table1[[#This Row],[Gestation (days)]]+0.5)/7)-0.00354*((Table1[[#This Row],[Gestation (days)]]+0.5)/7)^2)*Table1[[#This Row],[BW40_3705]],"")</f>
        <v/>
      </c>
      <c r="G2245" s="2" t="str">
        <f>IF(Table1[[#This Row],[Is Data Valid]]=TRUE,((Table1[[#This Row],[Birthweight (grams)]]/Table1[[#This Row],[BW_GA]])-1)/(Backend!$B$4/100*Table1[[#This Row],[BW40_3705]]),"")</f>
        <v/>
      </c>
      <c r="H2245" s="7" t="str">
        <f>IF(Table1[[#This Row],[Is Data Valid]]=TRUE,((Table1[[#This Row],[Birthweight (grams)]]*0.9/Table1[[#This Row],[BW_GA]])-1)/(Backend!$B$4/100*Table1[[#This Row],[BW40_3705]]),"")</f>
        <v/>
      </c>
      <c r="I2245" s="7" t="str">
        <f>IF(Table1[[#This Row],[Is Data Valid]]=TRUE,((Table1[[#This Row],[Birthweight (grams)]]*1.1/Table1[[#This Row],[BW_GA]])-1)/(Backend!$B$4/100*Table1[[#This Row],[BW40_3705]]),"")</f>
        <v/>
      </c>
      <c r="J2245" s="7" t="str">
        <f>IF(Table1[[#This Row],[Is Data Valid]]=TRUE,_xlfn.NORM.S.DIST(Table1[[#This Row],[Birthweight Z-Score]],TRUE)*100,"")</f>
        <v/>
      </c>
      <c r="K2245" s="7" t="str">
        <f>IF(Table1[[#This Row],[Is Data Valid]]=TRUE,_xlfn.NORM.S.DIST(Table1[[#This Row],[Birthweight Z-Score (BW-10%)]],TRUE)*100,"")</f>
        <v/>
      </c>
      <c r="L2245" s="7" t="str">
        <f>IF(Table1[[#This Row],[Is Data Valid]]=TRUE,_xlfn.NORM.S.DIST(Table1[[#This Row],[Birthweight Z-Score (BW+10%)]],TRUE)*100,"")</f>
        <v/>
      </c>
    </row>
    <row r="2246" spans="1:12" x14ac:dyDescent="0.35">
      <c r="A2246" s="3"/>
      <c r="B2246" s="2"/>
      <c r="C2246" s="2"/>
      <c r="D2246" s="2" t="b">
        <f>IF(AND(NOT(ISBLANK(Table1[[#This Row],[Fetal Sex (Male, Female or Unknown)]])),ISNUMBER(Table1[[#This Row],[Birthweight (grams)]]),ISNUMBER(Table1[[#This Row],[Gestation (days)]])),TRUE,FALSE)</f>
        <v>0</v>
      </c>
      <c r="E2246" s="2" t="str">
        <f>IF(Table1[[#This Row],[Is Data Valid]]=TRUE,IF(Table1[[#This Row],[Fetal Sex (Male, Female or Unknown)]]="Male",Backend!$C$6,IF(Table1[[#This Row],[Fetal Sex (Male, Female or Unknown)]]="Female",Backend!$C$7,IF(Table1[[#This Row],[Fetal Sex (Male, Female or Unknown)]]="Unknown",Backend!$C$8,"Error"))),"")</f>
        <v/>
      </c>
      <c r="F2246" s="8" t="str">
        <f>IF(Table1[[#This Row],[Is Data Valid]]=TRUE,EXP(0.578+0.332*((Table1[[#This Row],[Gestation (days)]]+0.5)/7)-0.00354*((Table1[[#This Row],[Gestation (days)]]+0.5)/7)^2)*Table1[[#This Row],[BW40_3705]],"")</f>
        <v/>
      </c>
      <c r="G2246" s="2" t="str">
        <f>IF(Table1[[#This Row],[Is Data Valid]]=TRUE,((Table1[[#This Row],[Birthweight (grams)]]/Table1[[#This Row],[BW_GA]])-1)/(Backend!$B$4/100*Table1[[#This Row],[BW40_3705]]),"")</f>
        <v/>
      </c>
      <c r="H2246" s="7" t="str">
        <f>IF(Table1[[#This Row],[Is Data Valid]]=TRUE,((Table1[[#This Row],[Birthweight (grams)]]*0.9/Table1[[#This Row],[BW_GA]])-1)/(Backend!$B$4/100*Table1[[#This Row],[BW40_3705]]),"")</f>
        <v/>
      </c>
      <c r="I2246" s="7" t="str">
        <f>IF(Table1[[#This Row],[Is Data Valid]]=TRUE,((Table1[[#This Row],[Birthweight (grams)]]*1.1/Table1[[#This Row],[BW_GA]])-1)/(Backend!$B$4/100*Table1[[#This Row],[BW40_3705]]),"")</f>
        <v/>
      </c>
      <c r="J2246" s="7" t="str">
        <f>IF(Table1[[#This Row],[Is Data Valid]]=TRUE,_xlfn.NORM.S.DIST(Table1[[#This Row],[Birthweight Z-Score]],TRUE)*100,"")</f>
        <v/>
      </c>
      <c r="K2246" s="7" t="str">
        <f>IF(Table1[[#This Row],[Is Data Valid]]=TRUE,_xlfn.NORM.S.DIST(Table1[[#This Row],[Birthweight Z-Score (BW-10%)]],TRUE)*100,"")</f>
        <v/>
      </c>
      <c r="L2246" s="7" t="str">
        <f>IF(Table1[[#This Row],[Is Data Valid]]=TRUE,_xlfn.NORM.S.DIST(Table1[[#This Row],[Birthweight Z-Score (BW+10%)]],TRUE)*100,"")</f>
        <v/>
      </c>
    </row>
    <row r="2247" spans="1:12" x14ac:dyDescent="0.35">
      <c r="A2247" s="3"/>
      <c r="B2247" s="2"/>
      <c r="C2247" s="2"/>
      <c r="D2247" s="2" t="b">
        <f>IF(AND(NOT(ISBLANK(Table1[[#This Row],[Fetal Sex (Male, Female or Unknown)]])),ISNUMBER(Table1[[#This Row],[Birthweight (grams)]]),ISNUMBER(Table1[[#This Row],[Gestation (days)]])),TRUE,FALSE)</f>
        <v>0</v>
      </c>
      <c r="E2247" s="2" t="str">
        <f>IF(Table1[[#This Row],[Is Data Valid]]=TRUE,IF(Table1[[#This Row],[Fetal Sex (Male, Female or Unknown)]]="Male",Backend!$C$6,IF(Table1[[#This Row],[Fetal Sex (Male, Female or Unknown)]]="Female",Backend!$C$7,IF(Table1[[#This Row],[Fetal Sex (Male, Female or Unknown)]]="Unknown",Backend!$C$8,"Error"))),"")</f>
        <v/>
      </c>
      <c r="F2247" s="8" t="str">
        <f>IF(Table1[[#This Row],[Is Data Valid]]=TRUE,EXP(0.578+0.332*((Table1[[#This Row],[Gestation (days)]]+0.5)/7)-0.00354*((Table1[[#This Row],[Gestation (days)]]+0.5)/7)^2)*Table1[[#This Row],[BW40_3705]],"")</f>
        <v/>
      </c>
      <c r="G2247" s="2" t="str">
        <f>IF(Table1[[#This Row],[Is Data Valid]]=TRUE,((Table1[[#This Row],[Birthweight (grams)]]/Table1[[#This Row],[BW_GA]])-1)/(Backend!$B$4/100*Table1[[#This Row],[BW40_3705]]),"")</f>
        <v/>
      </c>
      <c r="H2247" s="7" t="str">
        <f>IF(Table1[[#This Row],[Is Data Valid]]=TRUE,((Table1[[#This Row],[Birthweight (grams)]]*0.9/Table1[[#This Row],[BW_GA]])-1)/(Backend!$B$4/100*Table1[[#This Row],[BW40_3705]]),"")</f>
        <v/>
      </c>
      <c r="I2247" s="7" t="str">
        <f>IF(Table1[[#This Row],[Is Data Valid]]=TRUE,((Table1[[#This Row],[Birthweight (grams)]]*1.1/Table1[[#This Row],[BW_GA]])-1)/(Backend!$B$4/100*Table1[[#This Row],[BW40_3705]]),"")</f>
        <v/>
      </c>
      <c r="J2247" s="7" t="str">
        <f>IF(Table1[[#This Row],[Is Data Valid]]=TRUE,_xlfn.NORM.S.DIST(Table1[[#This Row],[Birthweight Z-Score]],TRUE)*100,"")</f>
        <v/>
      </c>
      <c r="K2247" s="7" t="str">
        <f>IF(Table1[[#This Row],[Is Data Valid]]=TRUE,_xlfn.NORM.S.DIST(Table1[[#This Row],[Birthweight Z-Score (BW-10%)]],TRUE)*100,"")</f>
        <v/>
      </c>
      <c r="L2247" s="7" t="str">
        <f>IF(Table1[[#This Row],[Is Data Valid]]=TRUE,_xlfn.NORM.S.DIST(Table1[[#This Row],[Birthweight Z-Score (BW+10%)]],TRUE)*100,"")</f>
        <v/>
      </c>
    </row>
    <row r="2248" spans="1:12" x14ac:dyDescent="0.35">
      <c r="A2248" s="3"/>
      <c r="B2248" s="2"/>
      <c r="C2248" s="2"/>
      <c r="D2248" s="2" t="b">
        <f>IF(AND(NOT(ISBLANK(Table1[[#This Row],[Fetal Sex (Male, Female or Unknown)]])),ISNUMBER(Table1[[#This Row],[Birthweight (grams)]]),ISNUMBER(Table1[[#This Row],[Gestation (days)]])),TRUE,FALSE)</f>
        <v>0</v>
      </c>
      <c r="E2248" s="2" t="str">
        <f>IF(Table1[[#This Row],[Is Data Valid]]=TRUE,IF(Table1[[#This Row],[Fetal Sex (Male, Female or Unknown)]]="Male",Backend!$C$6,IF(Table1[[#This Row],[Fetal Sex (Male, Female or Unknown)]]="Female",Backend!$C$7,IF(Table1[[#This Row],[Fetal Sex (Male, Female or Unknown)]]="Unknown",Backend!$C$8,"Error"))),"")</f>
        <v/>
      </c>
      <c r="F2248" s="8" t="str">
        <f>IF(Table1[[#This Row],[Is Data Valid]]=TRUE,EXP(0.578+0.332*((Table1[[#This Row],[Gestation (days)]]+0.5)/7)-0.00354*((Table1[[#This Row],[Gestation (days)]]+0.5)/7)^2)*Table1[[#This Row],[BW40_3705]],"")</f>
        <v/>
      </c>
      <c r="G2248" s="2" t="str">
        <f>IF(Table1[[#This Row],[Is Data Valid]]=TRUE,((Table1[[#This Row],[Birthweight (grams)]]/Table1[[#This Row],[BW_GA]])-1)/(Backend!$B$4/100*Table1[[#This Row],[BW40_3705]]),"")</f>
        <v/>
      </c>
      <c r="H2248" s="7" t="str">
        <f>IF(Table1[[#This Row],[Is Data Valid]]=TRUE,((Table1[[#This Row],[Birthweight (grams)]]*0.9/Table1[[#This Row],[BW_GA]])-1)/(Backend!$B$4/100*Table1[[#This Row],[BW40_3705]]),"")</f>
        <v/>
      </c>
      <c r="I2248" s="7" t="str">
        <f>IF(Table1[[#This Row],[Is Data Valid]]=TRUE,((Table1[[#This Row],[Birthweight (grams)]]*1.1/Table1[[#This Row],[BW_GA]])-1)/(Backend!$B$4/100*Table1[[#This Row],[BW40_3705]]),"")</f>
        <v/>
      </c>
      <c r="J2248" s="7" t="str">
        <f>IF(Table1[[#This Row],[Is Data Valid]]=TRUE,_xlfn.NORM.S.DIST(Table1[[#This Row],[Birthweight Z-Score]],TRUE)*100,"")</f>
        <v/>
      </c>
      <c r="K2248" s="7" t="str">
        <f>IF(Table1[[#This Row],[Is Data Valid]]=TRUE,_xlfn.NORM.S.DIST(Table1[[#This Row],[Birthweight Z-Score (BW-10%)]],TRUE)*100,"")</f>
        <v/>
      </c>
      <c r="L2248" s="7" t="str">
        <f>IF(Table1[[#This Row],[Is Data Valid]]=TRUE,_xlfn.NORM.S.DIST(Table1[[#This Row],[Birthweight Z-Score (BW+10%)]],TRUE)*100,"")</f>
        <v/>
      </c>
    </row>
    <row r="2249" spans="1:12" x14ac:dyDescent="0.35">
      <c r="A2249" s="3"/>
      <c r="B2249" s="2"/>
      <c r="C2249" s="2"/>
      <c r="D2249" s="2" t="b">
        <f>IF(AND(NOT(ISBLANK(Table1[[#This Row],[Fetal Sex (Male, Female or Unknown)]])),ISNUMBER(Table1[[#This Row],[Birthweight (grams)]]),ISNUMBER(Table1[[#This Row],[Gestation (days)]])),TRUE,FALSE)</f>
        <v>0</v>
      </c>
      <c r="E2249" s="2" t="str">
        <f>IF(Table1[[#This Row],[Is Data Valid]]=TRUE,IF(Table1[[#This Row],[Fetal Sex (Male, Female or Unknown)]]="Male",Backend!$C$6,IF(Table1[[#This Row],[Fetal Sex (Male, Female or Unknown)]]="Female",Backend!$C$7,IF(Table1[[#This Row],[Fetal Sex (Male, Female or Unknown)]]="Unknown",Backend!$C$8,"Error"))),"")</f>
        <v/>
      </c>
      <c r="F2249" s="8" t="str">
        <f>IF(Table1[[#This Row],[Is Data Valid]]=TRUE,EXP(0.578+0.332*((Table1[[#This Row],[Gestation (days)]]+0.5)/7)-0.00354*((Table1[[#This Row],[Gestation (days)]]+0.5)/7)^2)*Table1[[#This Row],[BW40_3705]],"")</f>
        <v/>
      </c>
      <c r="G2249" s="2" t="str">
        <f>IF(Table1[[#This Row],[Is Data Valid]]=TRUE,((Table1[[#This Row],[Birthweight (grams)]]/Table1[[#This Row],[BW_GA]])-1)/(Backend!$B$4/100*Table1[[#This Row],[BW40_3705]]),"")</f>
        <v/>
      </c>
      <c r="H2249" s="7" t="str">
        <f>IF(Table1[[#This Row],[Is Data Valid]]=TRUE,((Table1[[#This Row],[Birthweight (grams)]]*0.9/Table1[[#This Row],[BW_GA]])-1)/(Backend!$B$4/100*Table1[[#This Row],[BW40_3705]]),"")</f>
        <v/>
      </c>
      <c r="I2249" s="7" t="str">
        <f>IF(Table1[[#This Row],[Is Data Valid]]=TRUE,((Table1[[#This Row],[Birthweight (grams)]]*1.1/Table1[[#This Row],[BW_GA]])-1)/(Backend!$B$4/100*Table1[[#This Row],[BW40_3705]]),"")</f>
        <v/>
      </c>
      <c r="J2249" s="7" t="str">
        <f>IF(Table1[[#This Row],[Is Data Valid]]=TRUE,_xlfn.NORM.S.DIST(Table1[[#This Row],[Birthweight Z-Score]],TRUE)*100,"")</f>
        <v/>
      </c>
      <c r="K2249" s="7" t="str">
        <f>IF(Table1[[#This Row],[Is Data Valid]]=TRUE,_xlfn.NORM.S.DIST(Table1[[#This Row],[Birthweight Z-Score (BW-10%)]],TRUE)*100,"")</f>
        <v/>
      </c>
      <c r="L2249" s="7" t="str">
        <f>IF(Table1[[#This Row],[Is Data Valid]]=TRUE,_xlfn.NORM.S.DIST(Table1[[#This Row],[Birthweight Z-Score (BW+10%)]],TRUE)*100,"")</f>
        <v/>
      </c>
    </row>
    <row r="2250" spans="1:12" x14ac:dyDescent="0.35">
      <c r="A2250" s="3"/>
      <c r="B2250" s="2"/>
      <c r="C2250" s="2"/>
      <c r="D2250" s="2" t="b">
        <f>IF(AND(NOT(ISBLANK(Table1[[#This Row],[Fetal Sex (Male, Female or Unknown)]])),ISNUMBER(Table1[[#This Row],[Birthweight (grams)]]),ISNUMBER(Table1[[#This Row],[Gestation (days)]])),TRUE,FALSE)</f>
        <v>0</v>
      </c>
      <c r="E2250" s="2" t="str">
        <f>IF(Table1[[#This Row],[Is Data Valid]]=TRUE,IF(Table1[[#This Row],[Fetal Sex (Male, Female or Unknown)]]="Male",Backend!$C$6,IF(Table1[[#This Row],[Fetal Sex (Male, Female or Unknown)]]="Female",Backend!$C$7,IF(Table1[[#This Row],[Fetal Sex (Male, Female or Unknown)]]="Unknown",Backend!$C$8,"Error"))),"")</f>
        <v/>
      </c>
      <c r="F2250" s="8" t="str">
        <f>IF(Table1[[#This Row],[Is Data Valid]]=TRUE,EXP(0.578+0.332*((Table1[[#This Row],[Gestation (days)]]+0.5)/7)-0.00354*((Table1[[#This Row],[Gestation (days)]]+0.5)/7)^2)*Table1[[#This Row],[BW40_3705]],"")</f>
        <v/>
      </c>
      <c r="G2250" s="2" t="str">
        <f>IF(Table1[[#This Row],[Is Data Valid]]=TRUE,((Table1[[#This Row],[Birthweight (grams)]]/Table1[[#This Row],[BW_GA]])-1)/(Backend!$B$4/100*Table1[[#This Row],[BW40_3705]]),"")</f>
        <v/>
      </c>
      <c r="H2250" s="7" t="str">
        <f>IF(Table1[[#This Row],[Is Data Valid]]=TRUE,((Table1[[#This Row],[Birthweight (grams)]]*0.9/Table1[[#This Row],[BW_GA]])-1)/(Backend!$B$4/100*Table1[[#This Row],[BW40_3705]]),"")</f>
        <v/>
      </c>
      <c r="I2250" s="7" t="str">
        <f>IF(Table1[[#This Row],[Is Data Valid]]=TRUE,((Table1[[#This Row],[Birthweight (grams)]]*1.1/Table1[[#This Row],[BW_GA]])-1)/(Backend!$B$4/100*Table1[[#This Row],[BW40_3705]]),"")</f>
        <v/>
      </c>
      <c r="J2250" s="7" t="str">
        <f>IF(Table1[[#This Row],[Is Data Valid]]=TRUE,_xlfn.NORM.S.DIST(Table1[[#This Row],[Birthweight Z-Score]],TRUE)*100,"")</f>
        <v/>
      </c>
      <c r="K2250" s="7" t="str">
        <f>IF(Table1[[#This Row],[Is Data Valid]]=TRUE,_xlfn.NORM.S.DIST(Table1[[#This Row],[Birthweight Z-Score (BW-10%)]],TRUE)*100,"")</f>
        <v/>
      </c>
      <c r="L2250" s="7" t="str">
        <f>IF(Table1[[#This Row],[Is Data Valid]]=TRUE,_xlfn.NORM.S.DIST(Table1[[#This Row],[Birthweight Z-Score (BW+10%)]],TRUE)*100,"")</f>
        <v/>
      </c>
    </row>
    <row r="2251" spans="1:12" x14ac:dyDescent="0.35">
      <c r="A2251" s="3"/>
      <c r="B2251" s="2"/>
      <c r="C2251" s="2"/>
      <c r="D2251" s="2" t="b">
        <f>IF(AND(NOT(ISBLANK(Table1[[#This Row],[Fetal Sex (Male, Female or Unknown)]])),ISNUMBER(Table1[[#This Row],[Birthweight (grams)]]),ISNUMBER(Table1[[#This Row],[Gestation (days)]])),TRUE,FALSE)</f>
        <v>0</v>
      </c>
      <c r="E2251" s="2" t="str">
        <f>IF(Table1[[#This Row],[Is Data Valid]]=TRUE,IF(Table1[[#This Row],[Fetal Sex (Male, Female or Unknown)]]="Male",Backend!$C$6,IF(Table1[[#This Row],[Fetal Sex (Male, Female or Unknown)]]="Female",Backend!$C$7,IF(Table1[[#This Row],[Fetal Sex (Male, Female or Unknown)]]="Unknown",Backend!$C$8,"Error"))),"")</f>
        <v/>
      </c>
      <c r="F2251" s="8" t="str">
        <f>IF(Table1[[#This Row],[Is Data Valid]]=TRUE,EXP(0.578+0.332*((Table1[[#This Row],[Gestation (days)]]+0.5)/7)-0.00354*((Table1[[#This Row],[Gestation (days)]]+0.5)/7)^2)*Table1[[#This Row],[BW40_3705]],"")</f>
        <v/>
      </c>
      <c r="G2251" s="2" t="str">
        <f>IF(Table1[[#This Row],[Is Data Valid]]=TRUE,((Table1[[#This Row],[Birthweight (grams)]]/Table1[[#This Row],[BW_GA]])-1)/(Backend!$B$4/100*Table1[[#This Row],[BW40_3705]]),"")</f>
        <v/>
      </c>
      <c r="H2251" s="7" t="str">
        <f>IF(Table1[[#This Row],[Is Data Valid]]=TRUE,((Table1[[#This Row],[Birthweight (grams)]]*0.9/Table1[[#This Row],[BW_GA]])-1)/(Backend!$B$4/100*Table1[[#This Row],[BW40_3705]]),"")</f>
        <v/>
      </c>
      <c r="I2251" s="7" t="str">
        <f>IF(Table1[[#This Row],[Is Data Valid]]=TRUE,((Table1[[#This Row],[Birthweight (grams)]]*1.1/Table1[[#This Row],[BW_GA]])-1)/(Backend!$B$4/100*Table1[[#This Row],[BW40_3705]]),"")</f>
        <v/>
      </c>
      <c r="J2251" s="7" t="str">
        <f>IF(Table1[[#This Row],[Is Data Valid]]=TRUE,_xlfn.NORM.S.DIST(Table1[[#This Row],[Birthweight Z-Score]],TRUE)*100,"")</f>
        <v/>
      </c>
      <c r="K2251" s="7" t="str">
        <f>IF(Table1[[#This Row],[Is Data Valid]]=TRUE,_xlfn.NORM.S.DIST(Table1[[#This Row],[Birthweight Z-Score (BW-10%)]],TRUE)*100,"")</f>
        <v/>
      </c>
      <c r="L2251" s="7" t="str">
        <f>IF(Table1[[#This Row],[Is Data Valid]]=TRUE,_xlfn.NORM.S.DIST(Table1[[#This Row],[Birthweight Z-Score (BW+10%)]],TRUE)*100,"")</f>
        <v/>
      </c>
    </row>
    <row r="2252" spans="1:12" x14ac:dyDescent="0.35">
      <c r="A2252" s="3"/>
      <c r="B2252" s="2"/>
      <c r="C2252" s="2"/>
      <c r="D2252" s="2" t="b">
        <f>IF(AND(NOT(ISBLANK(Table1[[#This Row],[Fetal Sex (Male, Female or Unknown)]])),ISNUMBER(Table1[[#This Row],[Birthweight (grams)]]),ISNUMBER(Table1[[#This Row],[Gestation (days)]])),TRUE,FALSE)</f>
        <v>0</v>
      </c>
      <c r="E2252" s="2" t="str">
        <f>IF(Table1[[#This Row],[Is Data Valid]]=TRUE,IF(Table1[[#This Row],[Fetal Sex (Male, Female or Unknown)]]="Male",Backend!$C$6,IF(Table1[[#This Row],[Fetal Sex (Male, Female or Unknown)]]="Female",Backend!$C$7,IF(Table1[[#This Row],[Fetal Sex (Male, Female or Unknown)]]="Unknown",Backend!$C$8,"Error"))),"")</f>
        <v/>
      </c>
      <c r="F2252" s="8" t="str">
        <f>IF(Table1[[#This Row],[Is Data Valid]]=TRUE,EXP(0.578+0.332*((Table1[[#This Row],[Gestation (days)]]+0.5)/7)-0.00354*((Table1[[#This Row],[Gestation (days)]]+0.5)/7)^2)*Table1[[#This Row],[BW40_3705]],"")</f>
        <v/>
      </c>
      <c r="G2252" s="2" t="str">
        <f>IF(Table1[[#This Row],[Is Data Valid]]=TRUE,((Table1[[#This Row],[Birthweight (grams)]]/Table1[[#This Row],[BW_GA]])-1)/(Backend!$B$4/100*Table1[[#This Row],[BW40_3705]]),"")</f>
        <v/>
      </c>
      <c r="H2252" s="7" t="str">
        <f>IF(Table1[[#This Row],[Is Data Valid]]=TRUE,((Table1[[#This Row],[Birthweight (grams)]]*0.9/Table1[[#This Row],[BW_GA]])-1)/(Backend!$B$4/100*Table1[[#This Row],[BW40_3705]]),"")</f>
        <v/>
      </c>
      <c r="I2252" s="7" t="str">
        <f>IF(Table1[[#This Row],[Is Data Valid]]=TRUE,((Table1[[#This Row],[Birthweight (grams)]]*1.1/Table1[[#This Row],[BW_GA]])-1)/(Backend!$B$4/100*Table1[[#This Row],[BW40_3705]]),"")</f>
        <v/>
      </c>
      <c r="J2252" s="7" t="str">
        <f>IF(Table1[[#This Row],[Is Data Valid]]=TRUE,_xlfn.NORM.S.DIST(Table1[[#This Row],[Birthweight Z-Score]],TRUE)*100,"")</f>
        <v/>
      </c>
      <c r="K2252" s="7" t="str">
        <f>IF(Table1[[#This Row],[Is Data Valid]]=TRUE,_xlfn.NORM.S.DIST(Table1[[#This Row],[Birthweight Z-Score (BW-10%)]],TRUE)*100,"")</f>
        <v/>
      </c>
      <c r="L2252" s="7" t="str">
        <f>IF(Table1[[#This Row],[Is Data Valid]]=TRUE,_xlfn.NORM.S.DIST(Table1[[#This Row],[Birthweight Z-Score (BW+10%)]],TRUE)*100,"")</f>
        <v/>
      </c>
    </row>
    <row r="2253" spans="1:12" x14ac:dyDescent="0.35">
      <c r="A2253" s="3"/>
      <c r="B2253" s="2"/>
      <c r="C2253" s="2"/>
      <c r="D2253" s="2" t="b">
        <f>IF(AND(NOT(ISBLANK(Table1[[#This Row],[Fetal Sex (Male, Female or Unknown)]])),ISNUMBER(Table1[[#This Row],[Birthweight (grams)]]),ISNUMBER(Table1[[#This Row],[Gestation (days)]])),TRUE,FALSE)</f>
        <v>0</v>
      </c>
      <c r="E2253" s="2" t="str">
        <f>IF(Table1[[#This Row],[Is Data Valid]]=TRUE,IF(Table1[[#This Row],[Fetal Sex (Male, Female or Unknown)]]="Male",Backend!$C$6,IF(Table1[[#This Row],[Fetal Sex (Male, Female or Unknown)]]="Female",Backend!$C$7,IF(Table1[[#This Row],[Fetal Sex (Male, Female or Unknown)]]="Unknown",Backend!$C$8,"Error"))),"")</f>
        <v/>
      </c>
      <c r="F2253" s="8" t="str">
        <f>IF(Table1[[#This Row],[Is Data Valid]]=TRUE,EXP(0.578+0.332*((Table1[[#This Row],[Gestation (days)]]+0.5)/7)-0.00354*((Table1[[#This Row],[Gestation (days)]]+0.5)/7)^2)*Table1[[#This Row],[BW40_3705]],"")</f>
        <v/>
      </c>
      <c r="G2253" s="2" t="str">
        <f>IF(Table1[[#This Row],[Is Data Valid]]=TRUE,((Table1[[#This Row],[Birthweight (grams)]]/Table1[[#This Row],[BW_GA]])-1)/(Backend!$B$4/100*Table1[[#This Row],[BW40_3705]]),"")</f>
        <v/>
      </c>
      <c r="H2253" s="7" t="str">
        <f>IF(Table1[[#This Row],[Is Data Valid]]=TRUE,((Table1[[#This Row],[Birthweight (grams)]]*0.9/Table1[[#This Row],[BW_GA]])-1)/(Backend!$B$4/100*Table1[[#This Row],[BW40_3705]]),"")</f>
        <v/>
      </c>
      <c r="I2253" s="7" t="str">
        <f>IF(Table1[[#This Row],[Is Data Valid]]=TRUE,((Table1[[#This Row],[Birthweight (grams)]]*1.1/Table1[[#This Row],[BW_GA]])-1)/(Backend!$B$4/100*Table1[[#This Row],[BW40_3705]]),"")</f>
        <v/>
      </c>
      <c r="J2253" s="7" t="str">
        <f>IF(Table1[[#This Row],[Is Data Valid]]=TRUE,_xlfn.NORM.S.DIST(Table1[[#This Row],[Birthweight Z-Score]],TRUE)*100,"")</f>
        <v/>
      </c>
      <c r="K2253" s="7" t="str">
        <f>IF(Table1[[#This Row],[Is Data Valid]]=TRUE,_xlfn.NORM.S.DIST(Table1[[#This Row],[Birthweight Z-Score (BW-10%)]],TRUE)*100,"")</f>
        <v/>
      </c>
      <c r="L2253" s="7" t="str">
        <f>IF(Table1[[#This Row],[Is Data Valid]]=TRUE,_xlfn.NORM.S.DIST(Table1[[#This Row],[Birthweight Z-Score (BW+10%)]],TRUE)*100,"")</f>
        <v/>
      </c>
    </row>
    <row r="2254" spans="1:12" x14ac:dyDescent="0.35">
      <c r="A2254" s="3"/>
      <c r="B2254" s="2"/>
      <c r="C2254" s="2"/>
      <c r="D2254" s="2" t="b">
        <f>IF(AND(NOT(ISBLANK(Table1[[#This Row],[Fetal Sex (Male, Female or Unknown)]])),ISNUMBER(Table1[[#This Row],[Birthweight (grams)]]),ISNUMBER(Table1[[#This Row],[Gestation (days)]])),TRUE,FALSE)</f>
        <v>0</v>
      </c>
      <c r="E2254" s="2" t="str">
        <f>IF(Table1[[#This Row],[Is Data Valid]]=TRUE,IF(Table1[[#This Row],[Fetal Sex (Male, Female or Unknown)]]="Male",Backend!$C$6,IF(Table1[[#This Row],[Fetal Sex (Male, Female or Unknown)]]="Female",Backend!$C$7,IF(Table1[[#This Row],[Fetal Sex (Male, Female or Unknown)]]="Unknown",Backend!$C$8,"Error"))),"")</f>
        <v/>
      </c>
      <c r="F2254" s="8" t="str">
        <f>IF(Table1[[#This Row],[Is Data Valid]]=TRUE,EXP(0.578+0.332*((Table1[[#This Row],[Gestation (days)]]+0.5)/7)-0.00354*((Table1[[#This Row],[Gestation (days)]]+0.5)/7)^2)*Table1[[#This Row],[BW40_3705]],"")</f>
        <v/>
      </c>
      <c r="G2254" s="2" t="str">
        <f>IF(Table1[[#This Row],[Is Data Valid]]=TRUE,((Table1[[#This Row],[Birthweight (grams)]]/Table1[[#This Row],[BW_GA]])-1)/(Backend!$B$4/100*Table1[[#This Row],[BW40_3705]]),"")</f>
        <v/>
      </c>
      <c r="H2254" s="7" t="str">
        <f>IF(Table1[[#This Row],[Is Data Valid]]=TRUE,((Table1[[#This Row],[Birthweight (grams)]]*0.9/Table1[[#This Row],[BW_GA]])-1)/(Backend!$B$4/100*Table1[[#This Row],[BW40_3705]]),"")</f>
        <v/>
      </c>
      <c r="I2254" s="7" t="str">
        <f>IF(Table1[[#This Row],[Is Data Valid]]=TRUE,((Table1[[#This Row],[Birthweight (grams)]]*1.1/Table1[[#This Row],[BW_GA]])-1)/(Backend!$B$4/100*Table1[[#This Row],[BW40_3705]]),"")</f>
        <v/>
      </c>
      <c r="J2254" s="7" t="str">
        <f>IF(Table1[[#This Row],[Is Data Valid]]=TRUE,_xlfn.NORM.S.DIST(Table1[[#This Row],[Birthweight Z-Score]],TRUE)*100,"")</f>
        <v/>
      </c>
      <c r="K2254" s="7" t="str">
        <f>IF(Table1[[#This Row],[Is Data Valid]]=TRUE,_xlfn.NORM.S.DIST(Table1[[#This Row],[Birthweight Z-Score (BW-10%)]],TRUE)*100,"")</f>
        <v/>
      </c>
      <c r="L2254" s="7" t="str">
        <f>IF(Table1[[#This Row],[Is Data Valid]]=TRUE,_xlfn.NORM.S.DIST(Table1[[#This Row],[Birthweight Z-Score (BW+10%)]],TRUE)*100,"")</f>
        <v/>
      </c>
    </row>
    <row r="2255" spans="1:12" x14ac:dyDescent="0.35">
      <c r="A2255" s="3"/>
      <c r="B2255" s="2"/>
      <c r="C2255" s="2"/>
      <c r="D2255" s="2" t="b">
        <f>IF(AND(NOT(ISBLANK(Table1[[#This Row],[Fetal Sex (Male, Female or Unknown)]])),ISNUMBER(Table1[[#This Row],[Birthweight (grams)]]),ISNUMBER(Table1[[#This Row],[Gestation (days)]])),TRUE,FALSE)</f>
        <v>0</v>
      </c>
      <c r="E2255" s="2" t="str">
        <f>IF(Table1[[#This Row],[Is Data Valid]]=TRUE,IF(Table1[[#This Row],[Fetal Sex (Male, Female or Unknown)]]="Male",Backend!$C$6,IF(Table1[[#This Row],[Fetal Sex (Male, Female or Unknown)]]="Female",Backend!$C$7,IF(Table1[[#This Row],[Fetal Sex (Male, Female or Unknown)]]="Unknown",Backend!$C$8,"Error"))),"")</f>
        <v/>
      </c>
      <c r="F2255" s="8" t="str">
        <f>IF(Table1[[#This Row],[Is Data Valid]]=TRUE,EXP(0.578+0.332*((Table1[[#This Row],[Gestation (days)]]+0.5)/7)-0.00354*((Table1[[#This Row],[Gestation (days)]]+0.5)/7)^2)*Table1[[#This Row],[BW40_3705]],"")</f>
        <v/>
      </c>
      <c r="G2255" s="2" t="str">
        <f>IF(Table1[[#This Row],[Is Data Valid]]=TRUE,((Table1[[#This Row],[Birthweight (grams)]]/Table1[[#This Row],[BW_GA]])-1)/(Backend!$B$4/100*Table1[[#This Row],[BW40_3705]]),"")</f>
        <v/>
      </c>
      <c r="H2255" s="7" t="str">
        <f>IF(Table1[[#This Row],[Is Data Valid]]=TRUE,((Table1[[#This Row],[Birthweight (grams)]]*0.9/Table1[[#This Row],[BW_GA]])-1)/(Backend!$B$4/100*Table1[[#This Row],[BW40_3705]]),"")</f>
        <v/>
      </c>
      <c r="I2255" s="7" t="str">
        <f>IF(Table1[[#This Row],[Is Data Valid]]=TRUE,((Table1[[#This Row],[Birthweight (grams)]]*1.1/Table1[[#This Row],[BW_GA]])-1)/(Backend!$B$4/100*Table1[[#This Row],[BW40_3705]]),"")</f>
        <v/>
      </c>
      <c r="J2255" s="7" t="str">
        <f>IF(Table1[[#This Row],[Is Data Valid]]=TRUE,_xlfn.NORM.S.DIST(Table1[[#This Row],[Birthweight Z-Score]],TRUE)*100,"")</f>
        <v/>
      </c>
      <c r="K2255" s="7" t="str">
        <f>IF(Table1[[#This Row],[Is Data Valid]]=TRUE,_xlfn.NORM.S.DIST(Table1[[#This Row],[Birthweight Z-Score (BW-10%)]],TRUE)*100,"")</f>
        <v/>
      </c>
      <c r="L2255" s="7" t="str">
        <f>IF(Table1[[#This Row],[Is Data Valid]]=TRUE,_xlfn.NORM.S.DIST(Table1[[#This Row],[Birthweight Z-Score (BW+10%)]],TRUE)*100,"")</f>
        <v/>
      </c>
    </row>
    <row r="2256" spans="1:12" x14ac:dyDescent="0.35">
      <c r="A2256" s="3"/>
      <c r="B2256" s="2"/>
      <c r="C2256" s="2"/>
      <c r="D2256" s="2" t="b">
        <f>IF(AND(NOT(ISBLANK(Table1[[#This Row],[Fetal Sex (Male, Female or Unknown)]])),ISNUMBER(Table1[[#This Row],[Birthweight (grams)]]),ISNUMBER(Table1[[#This Row],[Gestation (days)]])),TRUE,FALSE)</f>
        <v>0</v>
      </c>
      <c r="E2256" s="2" t="str">
        <f>IF(Table1[[#This Row],[Is Data Valid]]=TRUE,IF(Table1[[#This Row],[Fetal Sex (Male, Female or Unknown)]]="Male",Backend!$C$6,IF(Table1[[#This Row],[Fetal Sex (Male, Female or Unknown)]]="Female",Backend!$C$7,IF(Table1[[#This Row],[Fetal Sex (Male, Female or Unknown)]]="Unknown",Backend!$C$8,"Error"))),"")</f>
        <v/>
      </c>
      <c r="F2256" s="8" t="str">
        <f>IF(Table1[[#This Row],[Is Data Valid]]=TRUE,EXP(0.578+0.332*((Table1[[#This Row],[Gestation (days)]]+0.5)/7)-0.00354*((Table1[[#This Row],[Gestation (days)]]+0.5)/7)^2)*Table1[[#This Row],[BW40_3705]],"")</f>
        <v/>
      </c>
      <c r="G2256" s="2" t="str">
        <f>IF(Table1[[#This Row],[Is Data Valid]]=TRUE,((Table1[[#This Row],[Birthweight (grams)]]/Table1[[#This Row],[BW_GA]])-1)/(Backend!$B$4/100*Table1[[#This Row],[BW40_3705]]),"")</f>
        <v/>
      </c>
      <c r="H2256" s="7" t="str">
        <f>IF(Table1[[#This Row],[Is Data Valid]]=TRUE,((Table1[[#This Row],[Birthweight (grams)]]*0.9/Table1[[#This Row],[BW_GA]])-1)/(Backend!$B$4/100*Table1[[#This Row],[BW40_3705]]),"")</f>
        <v/>
      </c>
      <c r="I2256" s="7" t="str">
        <f>IF(Table1[[#This Row],[Is Data Valid]]=TRUE,((Table1[[#This Row],[Birthweight (grams)]]*1.1/Table1[[#This Row],[BW_GA]])-1)/(Backend!$B$4/100*Table1[[#This Row],[BW40_3705]]),"")</f>
        <v/>
      </c>
      <c r="J2256" s="7" t="str">
        <f>IF(Table1[[#This Row],[Is Data Valid]]=TRUE,_xlfn.NORM.S.DIST(Table1[[#This Row],[Birthweight Z-Score]],TRUE)*100,"")</f>
        <v/>
      </c>
      <c r="K2256" s="7" t="str">
        <f>IF(Table1[[#This Row],[Is Data Valid]]=TRUE,_xlfn.NORM.S.DIST(Table1[[#This Row],[Birthweight Z-Score (BW-10%)]],TRUE)*100,"")</f>
        <v/>
      </c>
      <c r="L2256" s="7" t="str">
        <f>IF(Table1[[#This Row],[Is Data Valid]]=TRUE,_xlfn.NORM.S.DIST(Table1[[#This Row],[Birthweight Z-Score (BW+10%)]],TRUE)*100,"")</f>
        <v/>
      </c>
    </row>
    <row r="2257" spans="1:12" x14ac:dyDescent="0.35">
      <c r="A2257" s="3"/>
      <c r="B2257" s="2"/>
      <c r="C2257" s="2"/>
      <c r="D2257" s="2" t="b">
        <f>IF(AND(NOT(ISBLANK(Table1[[#This Row],[Fetal Sex (Male, Female or Unknown)]])),ISNUMBER(Table1[[#This Row],[Birthweight (grams)]]),ISNUMBER(Table1[[#This Row],[Gestation (days)]])),TRUE,FALSE)</f>
        <v>0</v>
      </c>
      <c r="E2257" s="2" t="str">
        <f>IF(Table1[[#This Row],[Is Data Valid]]=TRUE,IF(Table1[[#This Row],[Fetal Sex (Male, Female or Unknown)]]="Male",Backend!$C$6,IF(Table1[[#This Row],[Fetal Sex (Male, Female or Unknown)]]="Female",Backend!$C$7,IF(Table1[[#This Row],[Fetal Sex (Male, Female or Unknown)]]="Unknown",Backend!$C$8,"Error"))),"")</f>
        <v/>
      </c>
      <c r="F2257" s="8" t="str">
        <f>IF(Table1[[#This Row],[Is Data Valid]]=TRUE,EXP(0.578+0.332*((Table1[[#This Row],[Gestation (days)]]+0.5)/7)-0.00354*((Table1[[#This Row],[Gestation (days)]]+0.5)/7)^2)*Table1[[#This Row],[BW40_3705]],"")</f>
        <v/>
      </c>
      <c r="G2257" s="2" t="str">
        <f>IF(Table1[[#This Row],[Is Data Valid]]=TRUE,((Table1[[#This Row],[Birthweight (grams)]]/Table1[[#This Row],[BW_GA]])-1)/(Backend!$B$4/100*Table1[[#This Row],[BW40_3705]]),"")</f>
        <v/>
      </c>
      <c r="H2257" s="7" t="str">
        <f>IF(Table1[[#This Row],[Is Data Valid]]=TRUE,((Table1[[#This Row],[Birthweight (grams)]]*0.9/Table1[[#This Row],[BW_GA]])-1)/(Backend!$B$4/100*Table1[[#This Row],[BW40_3705]]),"")</f>
        <v/>
      </c>
      <c r="I2257" s="7" t="str">
        <f>IF(Table1[[#This Row],[Is Data Valid]]=TRUE,((Table1[[#This Row],[Birthweight (grams)]]*1.1/Table1[[#This Row],[BW_GA]])-1)/(Backend!$B$4/100*Table1[[#This Row],[BW40_3705]]),"")</f>
        <v/>
      </c>
      <c r="J2257" s="7" t="str">
        <f>IF(Table1[[#This Row],[Is Data Valid]]=TRUE,_xlfn.NORM.S.DIST(Table1[[#This Row],[Birthweight Z-Score]],TRUE)*100,"")</f>
        <v/>
      </c>
      <c r="K2257" s="7" t="str">
        <f>IF(Table1[[#This Row],[Is Data Valid]]=TRUE,_xlfn.NORM.S.DIST(Table1[[#This Row],[Birthweight Z-Score (BW-10%)]],TRUE)*100,"")</f>
        <v/>
      </c>
      <c r="L2257" s="7" t="str">
        <f>IF(Table1[[#This Row],[Is Data Valid]]=TRUE,_xlfn.NORM.S.DIST(Table1[[#This Row],[Birthweight Z-Score (BW+10%)]],TRUE)*100,"")</f>
        <v/>
      </c>
    </row>
    <row r="2258" spans="1:12" x14ac:dyDescent="0.35">
      <c r="A2258" s="3"/>
      <c r="B2258" s="2"/>
      <c r="C2258" s="2"/>
      <c r="D2258" s="2" t="b">
        <f>IF(AND(NOT(ISBLANK(Table1[[#This Row],[Fetal Sex (Male, Female or Unknown)]])),ISNUMBER(Table1[[#This Row],[Birthweight (grams)]]),ISNUMBER(Table1[[#This Row],[Gestation (days)]])),TRUE,FALSE)</f>
        <v>0</v>
      </c>
      <c r="E2258" s="2" t="str">
        <f>IF(Table1[[#This Row],[Is Data Valid]]=TRUE,IF(Table1[[#This Row],[Fetal Sex (Male, Female or Unknown)]]="Male",Backend!$C$6,IF(Table1[[#This Row],[Fetal Sex (Male, Female or Unknown)]]="Female",Backend!$C$7,IF(Table1[[#This Row],[Fetal Sex (Male, Female or Unknown)]]="Unknown",Backend!$C$8,"Error"))),"")</f>
        <v/>
      </c>
      <c r="F2258" s="8" t="str">
        <f>IF(Table1[[#This Row],[Is Data Valid]]=TRUE,EXP(0.578+0.332*((Table1[[#This Row],[Gestation (days)]]+0.5)/7)-0.00354*((Table1[[#This Row],[Gestation (days)]]+0.5)/7)^2)*Table1[[#This Row],[BW40_3705]],"")</f>
        <v/>
      </c>
      <c r="G2258" s="2" t="str">
        <f>IF(Table1[[#This Row],[Is Data Valid]]=TRUE,((Table1[[#This Row],[Birthweight (grams)]]/Table1[[#This Row],[BW_GA]])-1)/(Backend!$B$4/100*Table1[[#This Row],[BW40_3705]]),"")</f>
        <v/>
      </c>
      <c r="H2258" s="7" t="str">
        <f>IF(Table1[[#This Row],[Is Data Valid]]=TRUE,((Table1[[#This Row],[Birthweight (grams)]]*0.9/Table1[[#This Row],[BW_GA]])-1)/(Backend!$B$4/100*Table1[[#This Row],[BW40_3705]]),"")</f>
        <v/>
      </c>
      <c r="I2258" s="7" t="str">
        <f>IF(Table1[[#This Row],[Is Data Valid]]=TRUE,((Table1[[#This Row],[Birthweight (grams)]]*1.1/Table1[[#This Row],[BW_GA]])-1)/(Backend!$B$4/100*Table1[[#This Row],[BW40_3705]]),"")</f>
        <v/>
      </c>
      <c r="J2258" s="7" t="str">
        <f>IF(Table1[[#This Row],[Is Data Valid]]=TRUE,_xlfn.NORM.S.DIST(Table1[[#This Row],[Birthweight Z-Score]],TRUE)*100,"")</f>
        <v/>
      </c>
      <c r="K2258" s="7" t="str">
        <f>IF(Table1[[#This Row],[Is Data Valid]]=TRUE,_xlfn.NORM.S.DIST(Table1[[#This Row],[Birthweight Z-Score (BW-10%)]],TRUE)*100,"")</f>
        <v/>
      </c>
      <c r="L2258" s="7" t="str">
        <f>IF(Table1[[#This Row],[Is Data Valid]]=TRUE,_xlfn.NORM.S.DIST(Table1[[#This Row],[Birthweight Z-Score (BW+10%)]],TRUE)*100,"")</f>
        <v/>
      </c>
    </row>
    <row r="2259" spans="1:12" x14ac:dyDescent="0.35">
      <c r="A2259" s="3"/>
      <c r="B2259" s="2"/>
      <c r="C2259" s="2"/>
      <c r="D2259" s="2" t="b">
        <f>IF(AND(NOT(ISBLANK(Table1[[#This Row],[Fetal Sex (Male, Female or Unknown)]])),ISNUMBER(Table1[[#This Row],[Birthweight (grams)]]),ISNUMBER(Table1[[#This Row],[Gestation (days)]])),TRUE,FALSE)</f>
        <v>0</v>
      </c>
      <c r="E2259" s="2" t="str">
        <f>IF(Table1[[#This Row],[Is Data Valid]]=TRUE,IF(Table1[[#This Row],[Fetal Sex (Male, Female or Unknown)]]="Male",Backend!$C$6,IF(Table1[[#This Row],[Fetal Sex (Male, Female or Unknown)]]="Female",Backend!$C$7,IF(Table1[[#This Row],[Fetal Sex (Male, Female or Unknown)]]="Unknown",Backend!$C$8,"Error"))),"")</f>
        <v/>
      </c>
      <c r="F2259" s="8" t="str">
        <f>IF(Table1[[#This Row],[Is Data Valid]]=TRUE,EXP(0.578+0.332*((Table1[[#This Row],[Gestation (days)]]+0.5)/7)-0.00354*((Table1[[#This Row],[Gestation (days)]]+0.5)/7)^2)*Table1[[#This Row],[BW40_3705]],"")</f>
        <v/>
      </c>
      <c r="G2259" s="2" t="str">
        <f>IF(Table1[[#This Row],[Is Data Valid]]=TRUE,((Table1[[#This Row],[Birthweight (grams)]]/Table1[[#This Row],[BW_GA]])-1)/(Backend!$B$4/100*Table1[[#This Row],[BW40_3705]]),"")</f>
        <v/>
      </c>
      <c r="H2259" s="7" t="str">
        <f>IF(Table1[[#This Row],[Is Data Valid]]=TRUE,((Table1[[#This Row],[Birthweight (grams)]]*0.9/Table1[[#This Row],[BW_GA]])-1)/(Backend!$B$4/100*Table1[[#This Row],[BW40_3705]]),"")</f>
        <v/>
      </c>
      <c r="I2259" s="7" t="str">
        <f>IF(Table1[[#This Row],[Is Data Valid]]=TRUE,((Table1[[#This Row],[Birthweight (grams)]]*1.1/Table1[[#This Row],[BW_GA]])-1)/(Backend!$B$4/100*Table1[[#This Row],[BW40_3705]]),"")</f>
        <v/>
      </c>
      <c r="J2259" s="7" t="str">
        <f>IF(Table1[[#This Row],[Is Data Valid]]=TRUE,_xlfn.NORM.S.DIST(Table1[[#This Row],[Birthweight Z-Score]],TRUE)*100,"")</f>
        <v/>
      </c>
      <c r="K2259" s="7" t="str">
        <f>IF(Table1[[#This Row],[Is Data Valid]]=TRUE,_xlfn.NORM.S.DIST(Table1[[#This Row],[Birthweight Z-Score (BW-10%)]],TRUE)*100,"")</f>
        <v/>
      </c>
      <c r="L2259" s="7" t="str">
        <f>IF(Table1[[#This Row],[Is Data Valid]]=TRUE,_xlfn.NORM.S.DIST(Table1[[#This Row],[Birthweight Z-Score (BW+10%)]],TRUE)*100,"")</f>
        <v/>
      </c>
    </row>
    <row r="2260" spans="1:12" x14ac:dyDescent="0.35">
      <c r="A2260" s="3"/>
      <c r="B2260" s="2"/>
      <c r="C2260" s="2"/>
      <c r="D2260" s="2" t="b">
        <f>IF(AND(NOT(ISBLANK(Table1[[#This Row],[Fetal Sex (Male, Female or Unknown)]])),ISNUMBER(Table1[[#This Row],[Birthweight (grams)]]),ISNUMBER(Table1[[#This Row],[Gestation (days)]])),TRUE,FALSE)</f>
        <v>0</v>
      </c>
      <c r="E2260" s="2" t="str">
        <f>IF(Table1[[#This Row],[Is Data Valid]]=TRUE,IF(Table1[[#This Row],[Fetal Sex (Male, Female or Unknown)]]="Male",Backend!$C$6,IF(Table1[[#This Row],[Fetal Sex (Male, Female or Unknown)]]="Female",Backend!$C$7,IF(Table1[[#This Row],[Fetal Sex (Male, Female or Unknown)]]="Unknown",Backend!$C$8,"Error"))),"")</f>
        <v/>
      </c>
      <c r="F2260" s="8" t="str">
        <f>IF(Table1[[#This Row],[Is Data Valid]]=TRUE,EXP(0.578+0.332*((Table1[[#This Row],[Gestation (days)]]+0.5)/7)-0.00354*((Table1[[#This Row],[Gestation (days)]]+0.5)/7)^2)*Table1[[#This Row],[BW40_3705]],"")</f>
        <v/>
      </c>
      <c r="G2260" s="2" t="str">
        <f>IF(Table1[[#This Row],[Is Data Valid]]=TRUE,((Table1[[#This Row],[Birthweight (grams)]]/Table1[[#This Row],[BW_GA]])-1)/(Backend!$B$4/100*Table1[[#This Row],[BW40_3705]]),"")</f>
        <v/>
      </c>
      <c r="H2260" s="7" t="str">
        <f>IF(Table1[[#This Row],[Is Data Valid]]=TRUE,((Table1[[#This Row],[Birthweight (grams)]]*0.9/Table1[[#This Row],[BW_GA]])-1)/(Backend!$B$4/100*Table1[[#This Row],[BW40_3705]]),"")</f>
        <v/>
      </c>
      <c r="I2260" s="7" t="str">
        <f>IF(Table1[[#This Row],[Is Data Valid]]=TRUE,((Table1[[#This Row],[Birthweight (grams)]]*1.1/Table1[[#This Row],[BW_GA]])-1)/(Backend!$B$4/100*Table1[[#This Row],[BW40_3705]]),"")</f>
        <v/>
      </c>
      <c r="J2260" s="7" t="str">
        <f>IF(Table1[[#This Row],[Is Data Valid]]=TRUE,_xlfn.NORM.S.DIST(Table1[[#This Row],[Birthweight Z-Score]],TRUE)*100,"")</f>
        <v/>
      </c>
      <c r="K2260" s="7" t="str">
        <f>IF(Table1[[#This Row],[Is Data Valid]]=TRUE,_xlfn.NORM.S.DIST(Table1[[#This Row],[Birthweight Z-Score (BW-10%)]],TRUE)*100,"")</f>
        <v/>
      </c>
      <c r="L2260" s="7" t="str">
        <f>IF(Table1[[#This Row],[Is Data Valid]]=TRUE,_xlfn.NORM.S.DIST(Table1[[#This Row],[Birthweight Z-Score (BW+10%)]],TRUE)*100,"")</f>
        <v/>
      </c>
    </row>
    <row r="2261" spans="1:12" x14ac:dyDescent="0.35">
      <c r="A2261" s="3"/>
      <c r="B2261" s="2"/>
      <c r="C2261" s="2"/>
      <c r="D2261" s="2" t="b">
        <f>IF(AND(NOT(ISBLANK(Table1[[#This Row],[Fetal Sex (Male, Female or Unknown)]])),ISNUMBER(Table1[[#This Row],[Birthweight (grams)]]),ISNUMBER(Table1[[#This Row],[Gestation (days)]])),TRUE,FALSE)</f>
        <v>0</v>
      </c>
      <c r="E2261" s="2" t="str">
        <f>IF(Table1[[#This Row],[Is Data Valid]]=TRUE,IF(Table1[[#This Row],[Fetal Sex (Male, Female or Unknown)]]="Male",Backend!$C$6,IF(Table1[[#This Row],[Fetal Sex (Male, Female or Unknown)]]="Female",Backend!$C$7,IF(Table1[[#This Row],[Fetal Sex (Male, Female or Unknown)]]="Unknown",Backend!$C$8,"Error"))),"")</f>
        <v/>
      </c>
      <c r="F2261" s="8" t="str">
        <f>IF(Table1[[#This Row],[Is Data Valid]]=TRUE,EXP(0.578+0.332*((Table1[[#This Row],[Gestation (days)]]+0.5)/7)-0.00354*((Table1[[#This Row],[Gestation (days)]]+0.5)/7)^2)*Table1[[#This Row],[BW40_3705]],"")</f>
        <v/>
      </c>
      <c r="G2261" s="2" t="str">
        <f>IF(Table1[[#This Row],[Is Data Valid]]=TRUE,((Table1[[#This Row],[Birthweight (grams)]]/Table1[[#This Row],[BW_GA]])-1)/(Backend!$B$4/100*Table1[[#This Row],[BW40_3705]]),"")</f>
        <v/>
      </c>
      <c r="H2261" s="7" t="str">
        <f>IF(Table1[[#This Row],[Is Data Valid]]=TRUE,((Table1[[#This Row],[Birthweight (grams)]]*0.9/Table1[[#This Row],[BW_GA]])-1)/(Backend!$B$4/100*Table1[[#This Row],[BW40_3705]]),"")</f>
        <v/>
      </c>
      <c r="I2261" s="7" t="str">
        <f>IF(Table1[[#This Row],[Is Data Valid]]=TRUE,((Table1[[#This Row],[Birthweight (grams)]]*1.1/Table1[[#This Row],[BW_GA]])-1)/(Backend!$B$4/100*Table1[[#This Row],[BW40_3705]]),"")</f>
        <v/>
      </c>
      <c r="J2261" s="7" t="str">
        <f>IF(Table1[[#This Row],[Is Data Valid]]=TRUE,_xlfn.NORM.S.DIST(Table1[[#This Row],[Birthweight Z-Score]],TRUE)*100,"")</f>
        <v/>
      </c>
      <c r="K2261" s="7" t="str">
        <f>IF(Table1[[#This Row],[Is Data Valid]]=TRUE,_xlfn.NORM.S.DIST(Table1[[#This Row],[Birthweight Z-Score (BW-10%)]],TRUE)*100,"")</f>
        <v/>
      </c>
      <c r="L2261" s="7" t="str">
        <f>IF(Table1[[#This Row],[Is Data Valid]]=TRUE,_xlfn.NORM.S.DIST(Table1[[#This Row],[Birthweight Z-Score (BW+10%)]],TRUE)*100,"")</f>
        <v/>
      </c>
    </row>
    <row r="2262" spans="1:12" x14ac:dyDescent="0.35">
      <c r="A2262" s="3"/>
      <c r="B2262" s="2"/>
      <c r="C2262" s="2"/>
      <c r="D2262" s="2" t="b">
        <f>IF(AND(NOT(ISBLANK(Table1[[#This Row],[Fetal Sex (Male, Female or Unknown)]])),ISNUMBER(Table1[[#This Row],[Birthweight (grams)]]),ISNUMBER(Table1[[#This Row],[Gestation (days)]])),TRUE,FALSE)</f>
        <v>0</v>
      </c>
      <c r="E2262" s="2" t="str">
        <f>IF(Table1[[#This Row],[Is Data Valid]]=TRUE,IF(Table1[[#This Row],[Fetal Sex (Male, Female or Unknown)]]="Male",Backend!$C$6,IF(Table1[[#This Row],[Fetal Sex (Male, Female or Unknown)]]="Female",Backend!$C$7,IF(Table1[[#This Row],[Fetal Sex (Male, Female or Unknown)]]="Unknown",Backend!$C$8,"Error"))),"")</f>
        <v/>
      </c>
      <c r="F2262" s="8" t="str">
        <f>IF(Table1[[#This Row],[Is Data Valid]]=TRUE,EXP(0.578+0.332*((Table1[[#This Row],[Gestation (days)]]+0.5)/7)-0.00354*((Table1[[#This Row],[Gestation (days)]]+0.5)/7)^2)*Table1[[#This Row],[BW40_3705]],"")</f>
        <v/>
      </c>
      <c r="G2262" s="2" t="str">
        <f>IF(Table1[[#This Row],[Is Data Valid]]=TRUE,((Table1[[#This Row],[Birthweight (grams)]]/Table1[[#This Row],[BW_GA]])-1)/(Backend!$B$4/100*Table1[[#This Row],[BW40_3705]]),"")</f>
        <v/>
      </c>
      <c r="H2262" s="7" t="str">
        <f>IF(Table1[[#This Row],[Is Data Valid]]=TRUE,((Table1[[#This Row],[Birthweight (grams)]]*0.9/Table1[[#This Row],[BW_GA]])-1)/(Backend!$B$4/100*Table1[[#This Row],[BW40_3705]]),"")</f>
        <v/>
      </c>
      <c r="I2262" s="7" t="str">
        <f>IF(Table1[[#This Row],[Is Data Valid]]=TRUE,((Table1[[#This Row],[Birthweight (grams)]]*1.1/Table1[[#This Row],[BW_GA]])-1)/(Backend!$B$4/100*Table1[[#This Row],[BW40_3705]]),"")</f>
        <v/>
      </c>
      <c r="J2262" s="7" t="str">
        <f>IF(Table1[[#This Row],[Is Data Valid]]=TRUE,_xlfn.NORM.S.DIST(Table1[[#This Row],[Birthweight Z-Score]],TRUE)*100,"")</f>
        <v/>
      </c>
      <c r="K2262" s="7" t="str">
        <f>IF(Table1[[#This Row],[Is Data Valid]]=TRUE,_xlfn.NORM.S.DIST(Table1[[#This Row],[Birthweight Z-Score (BW-10%)]],TRUE)*100,"")</f>
        <v/>
      </c>
      <c r="L2262" s="7" t="str">
        <f>IF(Table1[[#This Row],[Is Data Valid]]=TRUE,_xlfn.NORM.S.DIST(Table1[[#This Row],[Birthweight Z-Score (BW+10%)]],TRUE)*100,"")</f>
        <v/>
      </c>
    </row>
    <row r="2263" spans="1:12" x14ac:dyDescent="0.35">
      <c r="A2263" s="3"/>
      <c r="B2263" s="2"/>
      <c r="C2263" s="2"/>
      <c r="D2263" s="2" t="b">
        <f>IF(AND(NOT(ISBLANK(Table1[[#This Row],[Fetal Sex (Male, Female or Unknown)]])),ISNUMBER(Table1[[#This Row],[Birthweight (grams)]]),ISNUMBER(Table1[[#This Row],[Gestation (days)]])),TRUE,FALSE)</f>
        <v>0</v>
      </c>
      <c r="E2263" s="2" t="str">
        <f>IF(Table1[[#This Row],[Is Data Valid]]=TRUE,IF(Table1[[#This Row],[Fetal Sex (Male, Female or Unknown)]]="Male",Backend!$C$6,IF(Table1[[#This Row],[Fetal Sex (Male, Female or Unknown)]]="Female",Backend!$C$7,IF(Table1[[#This Row],[Fetal Sex (Male, Female or Unknown)]]="Unknown",Backend!$C$8,"Error"))),"")</f>
        <v/>
      </c>
      <c r="F2263" s="8" t="str">
        <f>IF(Table1[[#This Row],[Is Data Valid]]=TRUE,EXP(0.578+0.332*((Table1[[#This Row],[Gestation (days)]]+0.5)/7)-0.00354*((Table1[[#This Row],[Gestation (days)]]+0.5)/7)^2)*Table1[[#This Row],[BW40_3705]],"")</f>
        <v/>
      </c>
      <c r="G2263" s="2" t="str">
        <f>IF(Table1[[#This Row],[Is Data Valid]]=TRUE,((Table1[[#This Row],[Birthweight (grams)]]/Table1[[#This Row],[BW_GA]])-1)/(Backend!$B$4/100*Table1[[#This Row],[BW40_3705]]),"")</f>
        <v/>
      </c>
      <c r="H2263" s="7" t="str">
        <f>IF(Table1[[#This Row],[Is Data Valid]]=TRUE,((Table1[[#This Row],[Birthweight (grams)]]*0.9/Table1[[#This Row],[BW_GA]])-1)/(Backend!$B$4/100*Table1[[#This Row],[BW40_3705]]),"")</f>
        <v/>
      </c>
      <c r="I2263" s="7" t="str">
        <f>IF(Table1[[#This Row],[Is Data Valid]]=TRUE,((Table1[[#This Row],[Birthweight (grams)]]*1.1/Table1[[#This Row],[BW_GA]])-1)/(Backend!$B$4/100*Table1[[#This Row],[BW40_3705]]),"")</f>
        <v/>
      </c>
      <c r="J2263" s="7" t="str">
        <f>IF(Table1[[#This Row],[Is Data Valid]]=TRUE,_xlfn.NORM.S.DIST(Table1[[#This Row],[Birthweight Z-Score]],TRUE)*100,"")</f>
        <v/>
      </c>
      <c r="K2263" s="7" t="str">
        <f>IF(Table1[[#This Row],[Is Data Valid]]=TRUE,_xlfn.NORM.S.DIST(Table1[[#This Row],[Birthweight Z-Score (BW-10%)]],TRUE)*100,"")</f>
        <v/>
      </c>
      <c r="L2263" s="7" t="str">
        <f>IF(Table1[[#This Row],[Is Data Valid]]=TRUE,_xlfn.NORM.S.DIST(Table1[[#This Row],[Birthweight Z-Score (BW+10%)]],TRUE)*100,"")</f>
        <v/>
      </c>
    </row>
    <row r="2264" spans="1:12" x14ac:dyDescent="0.35">
      <c r="A2264" s="3"/>
      <c r="B2264" s="2"/>
      <c r="C2264" s="2"/>
      <c r="D2264" s="2" t="b">
        <f>IF(AND(NOT(ISBLANK(Table1[[#This Row],[Fetal Sex (Male, Female or Unknown)]])),ISNUMBER(Table1[[#This Row],[Birthweight (grams)]]),ISNUMBER(Table1[[#This Row],[Gestation (days)]])),TRUE,FALSE)</f>
        <v>0</v>
      </c>
      <c r="E2264" s="2" t="str">
        <f>IF(Table1[[#This Row],[Is Data Valid]]=TRUE,IF(Table1[[#This Row],[Fetal Sex (Male, Female or Unknown)]]="Male",Backend!$C$6,IF(Table1[[#This Row],[Fetal Sex (Male, Female or Unknown)]]="Female",Backend!$C$7,IF(Table1[[#This Row],[Fetal Sex (Male, Female or Unknown)]]="Unknown",Backend!$C$8,"Error"))),"")</f>
        <v/>
      </c>
      <c r="F2264" s="8" t="str">
        <f>IF(Table1[[#This Row],[Is Data Valid]]=TRUE,EXP(0.578+0.332*((Table1[[#This Row],[Gestation (days)]]+0.5)/7)-0.00354*((Table1[[#This Row],[Gestation (days)]]+0.5)/7)^2)*Table1[[#This Row],[BW40_3705]],"")</f>
        <v/>
      </c>
      <c r="G2264" s="2" t="str">
        <f>IF(Table1[[#This Row],[Is Data Valid]]=TRUE,((Table1[[#This Row],[Birthweight (grams)]]/Table1[[#This Row],[BW_GA]])-1)/(Backend!$B$4/100*Table1[[#This Row],[BW40_3705]]),"")</f>
        <v/>
      </c>
      <c r="H2264" s="7" t="str">
        <f>IF(Table1[[#This Row],[Is Data Valid]]=TRUE,((Table1[[#This Row],[Birthweight (grams)]]*0.9/Table1[[#This Row],[BW_GA]])-1)/(Backend!$B$4/100*Table1[[#This Row],[BW40_3705]]),"")</f>
        <v/>
      </c>
      <c r="I2264" s="7" t="str">
        <f>IF(Table1[[#This Row],[Is Data Valid]]=TRUE,((Table1[[#This Row],[Birthweight (grams)]]*1.1/Table1[[#This Row],[BW_GA]])-1)/(Backend!$B$4/100*Table1[[#This Row],[BW40_3705]]),"")</f>
        <v/>
      </c>
      <c r="J2264" s="7" t="str">
        <f>IF(Table1[[#This Row],[Is Data Valid]]=TRUE,_xlfn.NORM.S.DIST(Table1[[#This Row],[Birthweight Z-Score]],TRUE)*100,"")</f>
        <v/>
      </c>
      <c r="K2264" s="7" t="str">
        <f>IF(Table1[[#This Row],[Is Data Valid]]=TRUE,_xlfn.NORM.S.DIST(Table1[[#This Row],[Birthweight Z-Score (BW-10%)]],TRUE)*100,"")</f>
        <v/>
      </c>
      <c r="L2264" s="7" t="str">
        <f>IF(Table1[[#This Row],[Is Data Valid]]=TRUE,_xlfn.NORM.S.DIST(Table1[[#This Row],[Birthweight Z-Score (BW+10%)]],TRUE)*100,"")</f>
        <v/>
      </c>
    </row>
    <row r="2265" spans="1:12" x14ac:dyDescent="0.35">
      <c r="A2265" s="3"/>
      <c r="B2265" s="2"/>
      <c r="C2265" s="2"/>
      <c r="D2265" s="2" t="b">
        <f>IF(AND(NOT(ISBLANK(Table1[[#This Row],[Fetal Sex (Male, Female or Unknown)]])),ISNUMBER(Table1[[#This Row],[Birthweight (grams)]]),ISNUMBER(Table1[[#This Row],[Gestation (days)]])),TRUE,FALSE)</f>
        <v>0</v>
      </c>
      <c r="E2265" s="2" t="str">
        <f>IF(Table1[[#This Row],[Is Data Valid]]=TRUE,IF(Table1[[#This Row],[Fetal Sex (Male, Female or Unknown)]]="Male",Backend!$C$6,IF(Table1[[#This Row],[Fetal Sex (Male, Female or Unknown)]]="Female",Backend!$C$7,IF(Table1[[#This Row],[Fetal Sex (Male, Female or Unknown)]]="Unknown",Backend!$C$8,"Error"))),"")</f>
        <v/>
      </c>
      <c r="F2265" s="8" t="str">
        <f>IF(Table1[[#This Row],[Is Data Valid]]=TRUE,EXP(0.578+0.332*((Table1[[#This Row],[Gestation (days)]]+0.5)/7)-0.00354*((Table1[[#This Row],[Gestation (days)]]+0.5)/7)^2)*Table1[[#This Row],[BW40_3705]],"")</f>
        <v/>
      </c>
      <c r="G2265" s="2" t="str">
        <f>IF(Table1[[#This Row],[Is Data Valid]]=TRUE,((Table1[[#This Row],[Birthweight (grams)]]/Table1[[#This Row],[BW_GA]])-1)/(Backend!$B$4/100*Table1[[#This Row],[BW40_3705]]),"")</f>
        <v/>
      </c>
      <c r="H2265" s="7" t="str">
        <f>IF(Table1[[#This Row],[Is Data Valid]]=TRUE,((Table1[[#This Row],[Birthweight (grams)]]*0.9/Table1[[#This Row],[BW_GA]])-1)/(Backend!$B$4/100*Table1[[#This Row],[BW40_3705]]),"")</f>
        <v/>
      </c>
      <c r="I2265" s="7" t="str">
        <f>IF(Table1[[#This Row],[Is Data Valid]]=TRUE,((Table1[[#This Row],[Birthweight (grams)]]*1.1/Table1[[#This Row],[BW_GA]])-1)/(Backend!$B$4/100*Table1[[#This Row],[BW40_3705]]),"")</f>
        <v/>
      </c>
      <c r="J2265" s="7" t="str">
        <f>IF(Table1[[#This Row],[Is Data Valid]]=TRUE,_xlfn.NORM.S.DIST(Table1[[#This Row],[Birthweight Z-Score]],TRUE)*100,"")</f>
        <v/>
      </c>
      <c r="K2265" s="7" t="str">
        <f>IF(Table1[[#This Row],[Is Data Valid]]=TRUE,_xlfn.NORM.S.DIST(Table1[[#This Row],[Birthweight Z-Score (BW-10%)]],TRUE)*100,"")</f>
        <v/>
      </c>
      <c r="L2265" s="7" t="str">
        <f>IF(Table1[[#This Row],[Is Data Valid]]=TRUE,_xlfn.NORM.S.DIST(Table1[[#This Row],[Birthweight Z-Score (BW+10%)]],TRUE)*100,"")</f>
        <v/>
      </c>
    </row>
    <row r="2266" spans="1:12" x14ac:dyDescent="0.35">
      <c r="A2266" s="3"/>
      <c r="B2266" s="2"/>
      <c r="C2266" s="2"/>
      <c r="D2266" s="2" t="b">
        <f>IF(AND(NOT(ISBLANK(Table1[[#This Row],[Fetal Sex (Male, Female or Unknown)]])),ISNUMBER(Table1[[#This Row],[Birthweight (grams)]]),ISNUMBER(Table1[[#This Row],[Gestation (days)]])),TRUE,FALSE)</f>
        <v>0</v>
      </c>
      <c r="E2266" s="2" t="str">
        <f>IF(Table1[[#This Row],[Is Data Valid]]=TRUE,IF(Table1[[#This Row],[Fetal Sex (Male, Female or Unknown)]]="Male",Backend!$C$6,IF(Table1[[#This Row],[Fetal Sex (Male, Female or Unknown)]]="Female",Backend!$C$7,IF(Table1[[#This Row],[Fetal Sex (Male, Female or Unknown)]]="Unknown",Backend!$C$8,"Error"))),"")</f>
        <v/>
      </c>
      <c r="F2266" s="8" t="str">
        <f>IF(Table1[[#This Row],[Is Data Valid]]=TRUE,EXP(0.578+0.332*((Table1[[#This Row],[Gestation (days)]]+0.5)/7)-0.00354*((Table1[[#This Row],[Gestation (days)]]+0.5)/7)^2)*Table1[[#This Row],[BW40_3705]],"")</f>
        <v/>
      </c>
      <c r="G2266" s="2" t="str">
        <f>IF(Table1[[#This Row],[Is Data Valid]]=TRUE,((Table1[[#This Row],[Birthweight (grams)]]/Table1[[#This Row],[BW_GA]])-1)/(Backend!$B$4/100*Table1[[#This Row],[BW40_3705]]),"")</f>
        <v/>
      </c>
      <c r="H2266" s="7" t="str">
        <f>IF(Table1[[#This Row],[Is Data Valid]]=TRUE,((Table1[[#This Row],[Birthweight (grams)]]*0.9/Table1[[#This Row],[BW_GA]])-1)/(Backend!$B$4/100*Table1[[#This Row],[BW40_3705]]),"")</f>
        <v/>
      </c>
      <c r="I2266" s="7" t="str">
        <f>IF(Table1[[#This Row],[Is Data Valid]]=TRUE,((Table1[[#This Row],[Birthweight (grams)]]*1.1/Table1[[#This Row],[BW_GA]])-1)/(Backend!$B$4/100*Table1[[#This Row],[BW40_3705]]),"")</f>
        <v/>
      </c>
      <c r="J2266" s="7" t="str">
        <f>IF(Table1[[#This Row],[Is Data Valid]]=TRUE,_xlfn.NORM.S.DIST(Table1[[#This Row],[Birthweight Z-Score]],TRUE)*100,"")</f>
        <v/>
      </c>
      <c r="K2266" s="7" t="str">
        <f>IF(Table1[[#This Row],[Is Data Valid]]=TRUE,_xlfn.NORM.S.DIST(Table1[[#This Row],[Birthweight Z-Score (BW-10%)]],TRUE)*100,"")</f>
        <v/>
      </c>
      <c r="L2266" s="7" t="str">
        <f>IF(Table1[[#This Row],[Is Data Valid]]=TRUE,_xlfn.NORM.S.DIST(Table1[[#This Row],[Birthweight Z-Score (BW+10%)]],TRUE)*100,"")</f>
        <v/>
      </c>
    </row>
    <row r="2267" spans="1:12" x14ac:dyDescent="0.35">
      <c r="A2267" s="3"/>
      <c r="B2267" s="2"/>
      <c r="C2267" s="2"/>
      <c r="D2267" s="2" t="b">
        <f>IF(AND(NOT(ISBLANK(Table1[[#This Row],[Fetal Sex (Male, Female or Unknown)]])),ISNUMBER(Table1[[#This Row],[Birthweight (grams)]]),ISNUMBER(Table1[[#This Row],[Gestation (days)]])),TRUE,FALSE)</f>
        <v>0</v>
      </c>
      <c r="E2267" s="2" t="str">
        <f>IF(Table1[[#This Row],[Is Data Valid]]=TRUE,IF(Table1[[#This Row],[Fetal Sex (Male, Female or Unknown)]]="Male",Backend!$C$6,IF(Table1[[#This Row],[Fetal Sex (Male, Female or Unknown)]]="Female",Backend!$C$7,IF(Table1[[#This Row],[Fetal Sex (Male, Female or Unknown)]]="Unknown",Backend!$C$8,"Error"))),"")</f>
        <v/>
      </c>
      <c r="F2267" s="8" t="str">
        <f>IF(Table1[[#This Row],[Is Data Valid]]=TRUE,EXP(0.578+0.332*((Table1[[#This Row],[Gestation (days)]]+0.5)/7)-0.00354*((Table1[[#This Row],[Gestation (days)]]+0.5)/7)^2)*Table1[[#This Row],[BW40_3705]],"")</f>
        <v/>
      </c>
      <c r="G2267" s="2" t="str">
        <f>IF(Table1[[#This Row],[Is Data Valid]]=TRUE,((Table1[[#This Row],[Birthweight (grams)]]/Table1[[#This Row],[BW_GA]])-1)/(Backend!$B$4/100*Table1[[#This Row],[BW40_3705]]),"")</f>
        <v/>
      </c>
      <c r="H2267" s="7" t="str">
        <f>IF(Table1[[#This Row],[Is Data Valid]]=TRUE,((Table1[[#This Row],[Birthweight (grams)]]*0.9/Table1[[#This Row],[BW_GA]])-1)/(Backend!$B$4/100*Table1[[#This Row],[BW40_3705]]),"")</f>
        <v/>
      </c>
      <c r="I2267" s="7" t="str">
        <f>IF(Table1[[#This Row],[Is Data Valid]]=TRUE,((Table1[[#This Row],[Birthweight (grams)]]*1.1/Table1[[#This Row],[BW_GA]])-1)/(Backend!$B$4/100*Table1[[#This Row],[BW40_3705]]),"")</f>
        <v/>
      </c>
      <c r="J2267" s="7" t="str">
        <f>IF(Table1[[#This Row],[Is Data Valid]]=TRUE,_xlfn.NORM.S.DIST(Table1[[#This Row],[Birthweight Z-Score]],TRUE)*100,"")</f>
        <v/>
      </c>
      <c r="K2267" s="7" t="str">
        <f>IF(Table1[[#This Row],[Is Data Valid]]=TRUE,_xlfn.NORM.S.DIST(Table1[[#This Row],[Birthweight Z-Score (BW-10%)]],TRUE)*100,"")</f>
        <v/>
      </c>
      <c r="L2267" s="7" t="str">
        <f>IF(Table1[[#This Row],[Is Data Valid]]=TRUE,_xlfn.NORM.S.DIST(Table1[[#This Row],[Birthweight Z-Score (BW+10%)]],TRUE)*100,"")</f>
        <v/>
      </c>
    </row>
    <row r="2268" spans="1:12" x14ac:dyDescent="0.35">
      <c r="A2268" s="3"/>
      <c r="B2268" s="2"/>
      <c r="C2268" s="2"/>
      <c r="D2268" s="2" t="b">
        <f>IF(AND(NOT(ISBLANK(Table1[[#This Row],[Fetal Sex (Male, Female or Unknown)]])),ISNUMBER(Table1[[#This Row],[Birthweight (grams)]]),ISNUMBER(Table1[[#This Row],[Gestation (days)]])),TRUE,FALSE)</f>
        <v>0</v>
      </c>
      <c r="E2268" s="2" t="str">
        <f>IF(Table1[[#This Row],[Is Data Valid]]=TRUE,IF(Table1[[#This Row],[Fetal Sex (Male, Female or Unknown)]]="Male",Backend!$C$6,IF(Table1[[#This Row],[Fetal Sex (Male, Female or Unknown)]]="Female",Backend!$C$7,IF(Table1[[#This Row],[Fetal Sex (Male, Female or Unknown)]]="Unknown",Backend!$C$8,"Error"))),"")</f>
        <v/>
      </c>
      <c r="F2268" s="8" t="str">
        <f>IF(Table1[[#This Row],[Is Data Valid]]=TRUE,EXP(0.578+0.332*((Table1[[#This Row],[Gestation (days)]]+0.5)/7)-0.00354*((Table1[[#This Row],[Gestation (days)]]+0.5)/7)^2)*Table1[[#This Row],[BW40_3705]],"")</f>
        <v/>
      </c>
      <c r="G2268" s="2" t="str">
        <f>IF(Table1[[#This Row],[Is Data Valid]]=TRUE,((Table1[[#This Row],[Birthweight (grams)]]/Table1[[#This Row],[BW_GA]])-1)/(Backend!$B$4/100*Table1[[#This Row],[BW40_3705]]),"")</f>
        <v/>
      </c>
      <c r="H2268" s="7" t="str">
        <f>IF(Table1[[#This Row],[Is Data Valid]]=TRUE,((Table1[[#This Row],[Birthweight (grams)]]*0.9/Table1[[#This Row],[BW_GA]])-1)/(Backend!$B$4/100*Table1[[#This Row],[BW40_3705]]),"")</f>
        <v/>
      </c>
      <c r="I2268" s="7" t="str">
        <f>IF(Table1[[#This Row],[Is Data Valid]]=TRUE,((Table1[[#This Row],[Birthweight (grams)]]*1.1/Table1[[#This Row],[BW_GA]])-1)/(Backend!$B$4/100*Table1[[#This Row],[BW40_3705]]),"")</f>
        <v/>
      </c>
      <c r="J2268" s="7" t="str">
        <f>IF(Table1[[#This Row],[Is Data Valid]]=TRUE,_xlfn.NORM.S.DIST(Table1[[#This Row],[Birthweight Z-Score]],TRUE)*100,"")</f>
        <v/>
      </c>
      <c r="K2268" s="7" t="str">
        <f>IF(Table1[[#This Row],[Is Data Valid]]=TRUE,_xlfn.NORM.S.DIST(Table1[[#This Row],[Birthweight Z-Score (BW-10%)]],TRUE)*100,"")</f>
        <v/>
      </c>
      <c r="L2268" s="7" t="str">
        <f>IF(Table1[[#This Row],[Is Data Valid]]=TRUE,_xlfn.NORM.S.DIST(Table1[[#This Row],[Birthweight Z-Score (BW+10%)]],TRUE)*100,"")</f>
        <v/>
      </c>
    </row>
    <row r="2269" spans="1:12" x14ac:dyDescent="0.35">
      <c r="A2269" s="3"/>
      <c r="B2269" s="2"/>
      <c r="C2269" s="2"/>
      <c r="D2269" s="2" t="b">
        <f>IF(AND(NOT(ISBLANK(Table1[[#This Row],[Fetal Sex (Male, Female or Unknown)]])),ISNUMBER(Table1[[#This Row],[Birthweight (grams)]]),ISNUMBER(Table1[[#This Row],[Gestation (days)]])),TRUE,FALSE)</f>
        <v>0</v>
      </c>
      <c r="E2269" s="2" t="str">
        <f>IF(Table1[[#This Row],[Is Data Valid]]=TRUE,IF(Table1[[#This Row],[Fetal Sex (Male, Female or Unknown)]]="Male",Backend!$C$6,IF(Table1[[#This Row],[Fetal Sex (Male, Female or Unknown)]]="Female",Backend!$C$7,IF(Table1[[#This Row],[Fetal Sex (Male, Female or Unknown)]]="Unknown",Backend!$C$8,"Error"))),"")</f>
        <v/>
      </c>
      <c r="F2269" s="8" t="str">
        <f>IF(Table1[[#This Row],[Is Data Valid]]=TRUE,EXP(0.578+0.332*((Table1[[#This Row],[Gestation (days)]]+0.5)/7)-0.00354*((Table1[[#This Row],[Gestation (days)]]+0.5)/7)^2)*Table1[[#This Row],[BW40_3705]],"")</f>
        <v/>
      </c>
      <c r="G2269" s="2" t="str">
        <f>IF(Table1[[#This Row],[Is Data Valid]]=TRUE,((Table1[[#This Row],[Birthweight (grams)]]/Table1[[#This Row],[BW_GA]])-1)/(Backend!$B$4/100*Table1[[#This Row],[BW40_3705]]),"")</f>
        <v/>
      </c>
      <c r="H2269" s="7" t="str">
        <f>IF(Table1[[#This Row],[Is Data Valid]]=TRUE,((Table1[[#This Row],[Birthweight (grams)]]*0.9/Table1[[#This Row],[BW_GA]])-1)/(Backend!$B$4/100*Table1[[#This Row],[BW40_3705]]),"")</f>
        <v/>
      </c>
      <c r="I2269" s="7" t="str">
        <f>IF(Table1[[#This Row],[Is Data Valid]]=TRUE,((Table1[[#This Row],[Birthweight (grams)]]*1.1/Table1[[#This Row],[BW_GA]])-1)/(Backend!$B$4/100*Table1[[#This Row],[BW40_3705]]),"")</f>
        <v/>
      </c>
      <c r="J2269" s="7" t="str">
        <f>IF(Table1[[#This Row],[Is Data Valid]]=TRUE,_xlfn.NORM.S.DIST(Table1[[#This Row],[Birthweight Z-Score]],TRUE)*100,"")</f>
        <v/>
      </c>
      <c r="K2269" s="7" t="str">
        <f>IF(Table1[[#This Row],[Is Data Valid]]=TRUE,_xlfn.NORM.S.DIST(Table1[[#This Row],[Birthweight Z-Score (BW-10%)]],TRUE)*100,"")</f>
        <v/>
      </c>
      <c r="L2269" s="7" t="str">
        <f>IF(Table1[[#This Row],[Is Data Valid]]=TRUE,_xlfn.NORM.S.DIST(Table1[[#This Row],[Birthweight Z-Score (BW+10%)]],TRUE)*100,"")</f>
        <v/>
      </c>
    </row>
    <row r="2270" spans="1:12" x14ac:dyDescent="0.35">
      <c r="A2270" s="3"/>
      <c r="B2270" s="2"/>
      <c r="C2270" s="2"/>
      <c r="D2270" s="2" t="b">
        <f>IF(AND(NOT(ISBLANK(Table1[[#This Row],[Fetal Sex (Male, Female or Unknown)]])),ISNUMBER(Table1[[#This Row],[Birthweight (grams)]]),ISNUMBER(Table1[[#This Row],[Gestation (days)]])),TRUE,FALSE)</f>
        <v>0</v>
      </c>
      <c r="E2270" s="2" t="str">
        <f>IF(Table1[[#This Row],[Is Data Valid]]=TRUE,IF(Table1[[#This Row],[Fetal Sex (Male, Female or Unknown)]]="Male",Backend!$C$6,IF(Table1[[#This Row],[Fetal Sex (Male, Female or Unknown)]]="Female",Backend!$C$7,IF(Table1[[#This Row],[Fetal Sex (Male, Female or Unknown)]]="Unknown",Backend!$C$8,"Error"))),"")</f>
        <v/>
      </c>
      <c r="F2270" s="8" t="str">
        <f>IF(Table1[[#This Row],[Is Data Valid]]=TRUE,EXP(0.578+0.332*((Table1[[#This Row],[Gestation (days)]]+0.5)/7)-0.00354*((Table1[[#This Row],[Gestation (days)]]+0.5)/7)^2)*Table1[[#This Row],[BW40_3705]],"")</f>
        <v/>
      </c>
      <c r="G2270" s="2" t="str">
        <f>IF(Table1[[#This Row],[Is Data Valid]]=TRUE,((Table1[[#This Row],[Birthweight (grams)]]/Table1[[#This Row],[BW_GA]])-1)/(Backend!$B$4/100*Table1[[#This Row],[BW40_3705]]),"")</f>
        <v/>
      </c>
      <c r="H2270" s="7" t="str">
        <f>IF(Table1[[#This Row],[Is Data Valid]]=TRUE,((Table1[[#This Row],[Birthweight (grams)]]*0.9/Table1[[#This Row],[BW_GA]])-1)/(Backend!$B$4/100*Table1[[#This Row],[BW40_3705]]),"")</f>
        <v/>
      </c>
      <c r="I2270" s="7" t="str">
        <f>IF(Table1[[#This Row],[Is Data Valid]]=TRUE,((Table1[[#This Row],[Birthweight (grams)]]*1.1/Table1[[#This Row],[BW_GA]])-1)/(Backend!$B$4/100*Table1[[#This Row],[BW40_3705]]),"")</f>
        <v/>
      </c>
      <c r="J2270" s="7" t="str">
        <f>IF(Table1[[#This Row],[Is Data Valid]]=TRUE,_xlfn.NORM.S.DIST(Table1[[#This Row],[Birthweight Z-Score]],TRUE)*100,"")</f>
        <v/>
      </c>
      <c r="K2270" s="7" t="str">
        <f>IF(Table1[[#This Row],[Is Data Valid]]=TRUE,_xlfn.NORM.S.DIST(Table1[[#This Row],[Birthweight Z-Score (BW-10%)]],TRUE)*100,"")</f>
        <v/>
      </c>
      <c r="L2270" s="7" t="str">
        <f>IF(Table1[[#This Row],[Is Data Valid]]=TRUE,_xlfn.NORM.S.DIST(Table1[[#This Row],[Birthweight Z-Score (BW+10%)]],TRUE)*100,"")</f>
        <v/>
      </c>
    </row>
    <row r="2271" spans="1:12" x14ac:dyDescent="0.35">
      <c r="A2271" s="3"/>
      <c r="B2271" s="2"/>
      <c r="C2271" s="2"/>
      <c r="D2271" s="2" t="b">
        <f>IF(AND(NOT(ISBLANK(Table1[[#This Row],[Fetal Sex (Male, Female or Unknown)]])),ISNUMBER(Table1[[#This Row],[Birthweight (grams)]]),ISNUMBER(Table1[[#This Row],[Gestation (days)]])),TRUE,FALSE)</f>
        <v>0</v>
      </c>
      <c r="E2271" s="2" t="str">
        <f>IF(Table1[[#This Row],[Is Data Valid]]=TRUE,IF(Table1[[#This Row],[Fetal Sex (Male, Female or Unknown)]]="Male",Backend!$C$6,IF(Table1[[#This Row],[Fetal Sex (Male, Female or Unknown)]]="Female",Backend!$C$7,IF(Table1[[#This Row],[Fetal Sex (Male, Female or Unknown)]]="Unknown",Backend!$C$8,"Error"))),"")</f>
        <v/>
      </c>
      <c r="F2271" s="8" t="str">
        <f>IF(Table1[[#This Row],[Is Data Valid]]=TRUE,EXP(0.578+0.332*((Table1[[#This Row],[Gestation (days)]]+0.5)/7)-0.00354*((Table1[[#This Row],[Gestation (days)]]+0.5)/7)^2)*Table1[[#This Row],[BW40_3705]],"")</f>
        <v/>
      </c>
      <c r="G2271" s="2" t="str">
        <f>IF(Table1[[#This Row],[Is Data Valid]]=TRUE,((Table1[[#This Row],[Birthweight (grams)]]/Table1[[#This Row],[BW_GA]])-1)/(Backend!$B$4/100*Table1[[#This Row],[BW40_3705]]),"")</f>
        <v/>
      </c>
      <c r="H2271" s="7" t="str">
        <f>IF(Table1[[#This Row],[Is Data Valid]]=TRUE,((Table1[[#This Row],[Birthweight (grams)]]*0.9/Table1[[#This Row],[BW_GA]])-1)/(Backend!$B$4/100*Table1[[#This Row],[BW40_3705]]),"")</f>
        <v/>
      </c>
      <c r="I2271" s="7" t="str">
        <f>IF(Table1[[#This Row],[Is Data Valid]]=TRUE,((Table1[[#This Row],[Birthweight (grams)]]*1.1/Table1[[#This Row],[BW_GA]])-1)/(Backend!$B$4/100*Table1[[#This Row],[BW40_3705]]),"")</f>
        <v/>
      </c>
      <c r="J2271" s="7" t="str">
        <f>IF(Table1[[#This Row],[Is Data Valid]]=TRUE,_xlfn.NORM.S.DIST(Table1[[#This Row],[Birthweight Z-Score]],TRUE)*100,"")</f>
        <v/>
      </c>
      <c r="K2271" s="7" t="str">
        <f>IF(Table1[[#This Row],[Is Data Valid]]=TRUE,_xlfn.NORM.S.DIST(Table1[[#This Row],[Birthweight Z-Score (BW-10%)]],TRUE)*100,"")</f>
        <v/>
      </c>
      <c r="L2271" s="7" t="str">
        <f>IF(Table1[[#This Row],[Is Data Valid]]=TRUE,_xlfn.NORM.S.DIST(Table1[[#This Row],[Birthweight Z-Score (BW+10%)]],TRUE)*100,"")</f>
        <v/>
      </c>
    </row>
    <row r="2272" spans="1:12" x14ac:dyDescent="0.35">
      <c r="A2272" s="3"/>
      <c r="B2272" s="2"/>
      <c r="C2272" s="2"/>
      <c r="D2272" s="2" t="b">
        <f>IF(AND(NOT(ISBLANK(Table1[[#This Row],[Fetal Sex (Male, Female or Unknown)]])),ISNUMBER(Table1[[#This Row],[Birthweight (grams)]]),ISNUMBER(Table1[[#This Row],[Gestation (days)]])),TRUE,FALSE)</f>
        <v>0</v>
      </c>
      <c r="E2272" s="2" t="str">
        <f>IF(Table1[[#This Row],[Is Data Valid]]=TRUE,IF(Table1[[#This Row],[Fetal Sex (Male, Female or Unknown)]]="Male",Backend!$C$6,IF(Table1[[#This Row],[Fetal Sex (Male, Female or Unknown)]]="Female",Backend!$C$7,IF(Table1[[#This Row],[Fetal Sex (Male, Female or Unknown)]]="Unknown",Backend!$C$8,"Error"))),"")</f>
        <v/>
      </c>
      <c r="F2272" s="8" t="str">
        <f>IF(Table1[[#This Row],[Is Data Valid]]=TRUE,EXP(0.578+0.332*((Table1[[#This Row],[Gestation (days)]]+0.5)/7)-0.00354*((Table1[[#This Row],[Gestation (days)]]+0.5)/7)^2)*Table1[[#This Row],[BW40_3705]],"")</f>
        <v/>
      </c>
      <c r="G2272" s="2" t="str">
        <f>IF(Table1[[#This Row],[Is Data Valid]]=TRUE,((Table1[[#This Row],[Birthweight (grams)]]/Table1[[#This Row],[BW_GA]])-1)/(Backend!$B$4/100*Table1[[#This Row],[BW40_3705]]),"")</f>
        <v/>
      </c>
      <c r="H2272" s="7" t="str">
        <f>IF(Table1[[#This Row],[Is Data Valid]]=TRUE,((Table1[[#This Row],[Birthweight (grams)]]*0.9/Table1[[#This Row],[BW_GA]])-1)/(Backend!$B$4/100*Table1[[#This Row],[BW40_3705]]),"")</f>
        <v/>
      </c>
      <c r="I2272" s="7" t="str">
        <f>IF(Table1[[#This Row],[Is Data Valid]]=TRUE,((Table1[[#This Row],[Birthweight (grams)]]*1.1/Table1[[#This Row],[BW_GA]])-1)/(Backend!$B$4/100*Table1[[#This Row],[BW40_3705]]),"")</f>
        <v/>
      </c>
      <c r="J2272" s="7" t="str">
        <f>IF(Table1[[#This Row],[Is Data Valid]]=TRUE,_xlfn.NORM.S.DIST(Table1[[#This Row],[Birthweight Z-Score]],TRUE)*100,"")</f>
        <v/>
      </c>
      <c r="K2272" s="7" t="str">
        <f>IF(Table1[[#This Row],[Is Data Valid]]=TRUE,_xlfn.NORM.S.DIST(Table1[[#This Row],[Birthweight Z-Score (BW-10%)]],TRUE)*100,"")</f>
        <v/>
      </c>
      <c r="L2272" s="7" t="str">
        <f>IF(Table1[[#This Row],[Is Data Valid]]=TRUE,_xlfn.NORM.S.DIST(Table1[[#This Row],[Birthweight Z-Score (BW+10%)]],TRUE)*100,"")</f>
        <v/>
      </c>
    </row>
    <row r="2273" spans="1:12" x14ac:dyDescent="0.35">
      <c r="A2273" s="3"/>
      <c r="B2273" s="2"/>
      <c r="C2273" s="2"/>
      <c r="D2273" s="2" t="b">
        <f>IF(AND(NOT(ISBLANK(Table1[[#This Row],[Fetal Sex (Male, Female or Unknown)]])),ISNUMBER(Table1[[#This Row],[Birthweight (grams)]]),ISNUMBER(Table1[[#This Row],[Gestation (days)]])),TRUE,FALSE)</f>
        <v>0</v>
      </c>
      <c r="E2273" s="2" t="str">
        <f>IF(Table1[[#This Row],[Is Data Valid]]=TRUE,IF(Table1[[#This Row],[Fetal Sex (Male, Female or Unknown)]]="Male",Backend!$C$6,IF(Table1[[#This Row],[Fetal Sex (Male, Female or Unknown)]]="Female",Backend!$C$7,IF(Table1[[#This Row],[Fetal Sex (Male, Female or Unknown)]]="Unknown",Backend!$C$8,"Error"))),"")</f>
        <v/>
      </c>
      <c r="F2273" s="8" t="str">
        <f>IF(Table1[[#This Row],[Is Data Valid]]=TRUE,EXP(0.578+0.332*((Table1[[#This Row],[Gestation (days)]]+0.5)/7)-0.00354*((Table1[[#This Row],[Gestation (days)]]+0.5)/7)^2)*Table1[[#This Row],[BW40_3705]],"")</f>
        <v/>
      </c>
      <c r="G2273" s="2" t="str">
        <f>IF(Table1[[#This Row],[Is Data Valid]]=TRUE,((Table1[[#This Row],[Birthweight (grams)]]/Table1[[#This Row],[BW_GA]])-1)/(Backend!$B$4/100*Table1[[#This Row],[BW40_3705]]),"")</f>
        <v/>
      </c>
      <c r="H2273" s="7" t="str">
        <f>IF(Table1[[#This Row],[Is Data Valid]]=TRUE,((Table1[[#This Row],[Birthweight (grams)]]*0.9/Table1[[#This Row],[BW_GA]])-1)/(Backend!$B$4/100*Table1[[#This Row],[BW40_3705]]),"")</f>
        <v/>
      </c>
      <c r="I2273" s="7" t="str">
        <f>IF(Table1[[#This Row],[Is Data Valid]]=TRUE,((Table1[[#This Row],[Birthweight (grams)]]*1.1/Table1[[#This Row],[BW_GA]])-1)/(Backend!$B$4/100*Table1[[#This Row],[BW40_3705]]),"")</f>
        <v/>
      </c>
      <c r="J2273" s="7" t="str">
        <f>IF(Table1[[#This Row],[Is Data Valid]]=TRUE,_xlfn.NORM.S.DIST(Table1[[#This Row],[Birthweight Z-Score]],TRUE)*100,"")</f>
        <v/>
      </c>
      <c r="K2273" s="7" t="str">
        <f>IF(Table1[[#This Row],[Is Data Valid]]=TRUE,_xlfn.NORM.S.DIST(Table1[[#This Row],[Birthweight Z-Score (BW-10%)]],TRUE)*100,"")</f>
        <v/>
      </c>
      <c r="L2273" s="7" t="str">
        <f>IF(Table1[[#This Row],[Is Data Valid]]=TRUE,_xlfn.NORM.S.DIST(Table1[[#This Row],[Birthweight Z-Score (BW+10%)]],TRUE)*100,"")</f>
        <v/>
      </c>
    </row>
    <row r="2274" spans="1:12" x14ac:dyDescent="0.35">
      <c r="A2274" s="3"/>
      <c r="B2274" s="2"/>
      <c r="C2274" s="2"/>
      <c r="D2274" s="2" t="b">
        <f>IF(AND(NOT(ISBLANK(Table1[[#This Row],[Fetal Sex (Male, Female or Unknown)]])),ISNUMBER(Table1[[#This Row],[Birthweight (grams)]]),ISNUMBER(Table1[[#This Row],[Gestation (days)]])),TRUE,FALSE)</f>
        <v>0</v>
      </c>
      <c r="E2274" s="2" t="str">
        <f>IF(Table1[[#This Row],[Is Data Valid]]=TRUE,IF(Table1[[#This Row],[Fetal Sex (Male, Female or Unknown)]]="Male",Backend!$C$6,IF(Table1[[#This Row],[Fetal Sex (Male, Female or Unknown)]]="Female",Backend!$C$7,IF(Table1[[#This Row],[Fetal Sex (Male, Female or Unknown)]]="Unknown",Backend!$C$8,"Error"))),"")</f>
        <v/>
      </c>
      <c r="F2274" s="8" t="str">
        <f>IF(Table1[[#This Row],[Is Data Valid]]=TRUE,EXP(0.578+0.332*((Table1[[#This Row],[Gestation (days)]]+0.5)/7)-0.00354*((Table1[[#This Row],[Gestation (days)]]+0.5)/7)^2)*Table1[[#This Row],[BW40_3705]],"")</f>
        <v/>
      </c>
      <c r="G2274" s="2" t="str">
        <f>IF(Table1[[#This Row],[Is Data Valid]]=TRUE,((Table1[[#This Row],[Birthweight (grams)]]/Table1[[#This Row],[BW_GA]])-1)/(Backend!$B$4/100*Table1[[#This Row],[BW40_3705]]),"")</f>
        <v/>
      </c>
      <c r="H2274" s="7" t="str">
        <f>IF(Table1[[#This Row],[Is Data Valid]]=TRUE,((Table1[[#This Row],[Birthweight (grams)]]*0.9/Table1[[#This Row],[BW_GA]])-1)/(Backend!$B$4/100*Table1[[#This Row],[BW40_3705]]),"")</f>
        <v/>
      </c>
      <c r="I2274" s="7" t="str">
        <f>IF(Table1[[#This Row],[Is Data Valid]]=TRUE,((Table1[[#This Row],[Birthweight (grams)]]*1.1/Table1[[#This Row],[BW_GA]])-1)/(Backend!$B$4/100*Table1[[#This Row],[BW40_3705]]),"")</f>
        <v/>
      </c>
      <c r="J2274" s="7" t="str">
        <f>IF(Table1[[#This Row],[Is Data Valid]]=TRUE,_xlfn.NORM.S.DIST(Table1[[#This Row],[Birthweight Z-Score]],TRUE)*100,"")</f>
        <v/>
      </c>
      <c r="K2274" s="7" t="str">
        <f>IF(Table1[[#This Row],[Is Data Valid]]=TRUE,_xlfn.NORM.S.DIST(Table1[[#This Row],[Birthweight Z-Score (BW-10%)]],TRUE)*100,"")</f>
        <v/>
      </c>
      <c r="L2274" s="7" t="str">
        <f>IF(Table1[[#This Row],[Is Data Valid]]=TRUE,_xlfn.NORM.S.DIST(Table1[[#This Row],[Birthweight Z-Score (BW+10%)]],TRUE)*100,"")</f>
        <v/>
      </c>
    </row>
    <row r="2275" spans="1:12" x14ac:dyDescent="0.35">
      <c r="A2275" s="3"/>
      <c r="B2275" s="2"/>
      <c r="C2275" s="2"/>
      <c r="D2275" s="2" t="b">
        <f>IF(AND(NOT(ISBLANK(Table1[[#This Row],[Fetal Sex (Male, Female or Unknown)]])),ISNUMBER(Table1[[#This Row],[Birthweight (grams)]]),ISNUMBER(Table1[[#This Row],[Gestation (days)]])),TRUE,FALSE)</f>
        <v>0</v>
      </c>
      <c r="E2275" s="2" t="str">
        <f>IF(Table1[[#This Row],[Is Data Valid]]=TRUE,IF(Table1[[#This Row],[Fetal Sex (Male, Female or Unknown)]]="Male",Backend!$C$6,IF(Table1[[#This Row],[Fetal Sex (Male, Female or Unknown)]]="Female",Backend!$C$7,IF(Table1[[#This Row],[Fetal Sex (Male, Female or Unknown)]]="Unknown",Backend!$C$8,"Error"))),"")</f>
        <v/>
      </c>
      <c r="F2275" s="8" t="str">
        <f>IF(Table1[[#This Row],[Is Data Valid]]=TRUE,EXP(0.578+0.332*((Table1[[#This Row],[Gestation (days)]]+0.5)/7)-0.00354*((Table1[[#This Row],[Gestation (days)]]+0.5)/7)^2)*Table1[[#This Row],[BW40_3705]],"")</f>
        <v/>
      </c>
      <c r="G2275" s="2" t="str">
        <f>IF(Table1[[#This Row],[Is Data Valid]]=TRUE,((Table1[[#This Row],[Birthweight (grams)]]/Table1[[#This Row],[BW_GA]])-1)/(Backend!$B$4/100*Table1[[#This Row],[BW40_3705]]),"")</f>
        <v/>
      </c>
      <c r="H2275" s="7" t="str">
        <f>IF(Table1[[#This Row],[Is Data Valid]]=TRUE,((Table1[[#This Row],[Birthweight (grams)]]*0.9/Table1[[#This Row],[BW_GA]])-1)/(Backend!$B$4/100*Table1[[#This Row],[BW40_3705]]),"")</f>
        <v/>
      </c>
      <c r="I2275" s="7" t="str">
        <f>IF(Table1[[#This Row],[Is Data Valid]]=TRUE,((Table1[[#This Row],[Birthweight (grams)]]*1.1/Table1[[#This Row],[BW_GA]])-1)/(Backend!$B$4/100*Table1[[#This Row],[BW40_3705]]),"")</f>
        <v/>
      </c>
      <c r="J2275" s="7" t="str">
        <f>IF(Table1[[#This Row],[Is Data Valid]]=TRUE,_xlfn.NORM.S.DIST(Table1[[#This Row],[Birthweight Z-Score]],TRUE)*100,"")</f>
        <v/>
      </c>
      <c r="K2275" s="7" t="str">
        <f>IF(Table1[[#This Row],[Is Data Valid]]=TRUE,_xlfn.NORM.S.DIST(Table1[[#This Row],[Birthweight Z-Score (BW-10%)]],TRUE)*100,"")</f>
        <v/>
      </c>
      <c r="L2275" s="7" t="str">
        <f>IF(Table1[[#This Row],[Is Data Valid]]=TRUE,_xlfn.NORM.S.DIST(Table1[[#This Row],[Birthweight Z-Score (BW+10%)]],TRUE)*100,"")</f>
        <v/>
      </c>
    </row>
    <row r="2276" spans="1:12" x14ac:dyDescent="0.35">
      <c r="A2276" s="3"/>
      <c r="B2276" s="2"/>
      <c r="C2276" s="2"/>
      <c r="D2276" s="2" t="b">
        <f>IF(AND(NOT(ISBLANK(Table1[[#This Row],[Fetal Sex (Male, Female or Unknown)]])),ISNUMBER(Table1[[#This Row],[Birthweight (grams)]]),ISNUMBER(Table1[[#This Row],[Gestation (days)]])),TRUE,FALSE)</f>
        <v>0</v>
      </c>
      <c r="E2276" s="2" t="str">
        <f>IF(Table1[[#This Row],[Is Data Valid]]=TRUE,IF(Table1[[#This Row],[Fetal Sex (Male, Female or Unknown)]]="Male",Backend!$C$6,IF(Table1[[#This Row],[Fetal Sex (Male, Female or Unknown)]]="Female",Backend!$C$7,IF(Table1[[#This Row],[Fetal Sex (Male, Female or Unknown)]]="Unknown",Backend!$C$8,"Error"))),"")</f>
        <v/>
      </c>
      <c r="F2276" s="8" t="str">
        <f>IF(Table1[[#This Row],[Is Data Valid]]=TRUE,EXP(0.578+0.332*((Table1[[#This Row],[Gestation (days)]]+0.5)/7)-0.00354*((Table1[[#This Row],[Gestation (days)]]+0.5)/7)^2)*Table1[[#This Row],[BW40_3705]],"")</f>
        <v/>
      </c>
      <c r="G2276" s="2" t="str">
        <f>IF(Table1[[#This Row],[Is Data Valid]]=TRUE,((Table1[[#This Row],[Birthweight (grams)]]/Table1[[#This Row],[BW_GA]])-1)/(Backend!$B$4/100*Table1[[#This Row],[BW40_3705]]),"")</f>
        <v/>
      </c>
      <c r="H2276" s="7" t="str">
        <f>IF(Table1[[#This Row],[Is Data Valid]]=TRUE,((Table1[[#This Row],[Birthweight (grams)]]*0.9/Table1[[#This Row],[BW_GA]])-1)/(Backend!$B$4/100*Table1[[#This Row],[BW40_3705]]),"")</f>
        <v/>
      </c>
      <c r="I2276" s="7" t="str">
        <f>IF(Table1[[#This Row],[Is Data Valid]]=TRUE,((Table1[[#This Row],[Birthweight (grams)]]*1.1/Table1[[#This Row],[BW_GA]])-1)/(Backend!$B$4/100*Table1[[#This Row],[BW40_3705]]),"")</f>
        <v/>
      </c>
      <c r="J2276" s="7" t="str">
        <f>IF(Table1[[#This Row],[Is Data Valid]]=TRUE,_xlfn.NORM.S.DIST(Table1[[#This Row],[Birthweight Z-Score]],TRUE)*100,"")</f>
        <v/>
      </c>
      <c r="K2276" s="7" t="str">
        <f>IF(Table1[[#This Row],[Is Data Valid]]=TRUE,_xlfn.NORM.S.DIST(Table1[[#This Row],[Birthweight Z-Score (BW-10%)]],TRUE)*100,"")</f>
        <v/>
      </c>
      <c r="L2276" s="7" t="str">
        <f>IF(Table1[[#This Row],[Is Data Valid]]=TRUE,_xlfn.NORM.S.DIST(Table1[[#This Row],[Birthweight Z-Score (BW+10%)]],TRUE)*100,"")</f>
        <v/>
      </c>
    </row>
    <row r="2277" spans="1:12" x14ac:dyDescent="0.35">
      <c r="A2277" s="3"/>
      <c r="B2277" s="2"/>
      <c r="C2277" s="2"/>
      <c r="D2277" s="2" t="b">
        <f>IF(AND(NOT(ISBLANK(Table1[[#This Row],[Fetal Sex (Male, Female or Unknown)]])),ISNUMBER(Table1[[#This Row],[Birthweight (grams)]]),ISNUMBER(Table1[[#This Row],[Gestation (days)]])),TRUE,FALSE)</f>
        <v>0</v>
      </c>
      <c r="E2277" s="2" t="str">
        <f>IF(Table1[[#This Row],[Is Data Valid]]=TRUE,IF(Table1[[#This Row],[Fetal Sex (Male, Female or Unknown)]]="Male",Backend!$C$6,IF(Table1[[#This Row],[Fetal Sex (Male, Female or Unknown)]]="Female",Backend!$C$7,IF(Table1[[#This Row],[Fetal Sex (Male, Female or Unknown)]]="Unknown",Backend!$C$8,"Error"))),"")</f>
        <v/>
      </c>
      <c r="F2277" s="8" t="str">
        <f>IF(Table1[[#This Row],[Is Data Valid]]=TRUE,EXP(0.578+0.332*((Table1[[#This Row],[Gestation (days)]]+0.5)/7)-0.00354*((Table1[[#This Row],[Gestation (days)]]+0.5)/7)^2)*Table1[[#This Row],[BW40_3705]],"")</f>
        <v/>
      </c>
      <c r="G2277" s="2" t="str">
        <f>IF(Table1[[#This Row],[Is Data Valid]]=TRUE,((Table1[[#This Row],[Birthweight (grams)]]/Table1[[#This Row],[BW_GA]])-1)/(Backend!$B$4/100*Table1[[#This Row],[BW40_3705]]),"")</f>
        <v/>
      </c>
      <c r="H2277" s="7" t="str">
        <f>IF(Table1[[#This Row],[Is Data Valid]]=TRUE,((Table1[[#This Row],[Birthweight (grams)]]*0.9/Table1[[#This Row],[BW_GA]])-1)/(Backend!$B$4/100*Table1[[#This Row],[BW40_3705]]),"")</f>
        <v/>
      </c>
      <c r="I2277" s="7" t="str">
        <f>IF(Table1[[#This Row],[Is Data Valid]]=TRUE,((Table1[[#This Row],[Birthweight (grams)]]*1.1/Table1[[#This Row],[BW_GA]])-1)/(Backend!$B$4/100*Table1[[#This Row],[BW40_3705]]),"")</f>
        <v/>
      </c>
      <c r="J2277" s="7" t="str">
        <f>IF(Table1[[#This Row],[Is Data Valid]]=TRUE,_xlfn.NORM.S.DIST(Table1[[#This Row],[Birthweight Z-Score]],TRUE)*100,"")</f>
        <v/>
      </c>
      <c r="K2277" s="7" t="str">
        <f>IF(Table1[[#This Row],[Is Data Valid]]=TRUE,_xlfn.NORM.S.DIST(Table1[[#This Row],[Birthweight Z-Score (BW-10%)]],TRUE)*100,"")</f>
        <v/>
      </c>
      <c r="L2277" s="7" t="str">
        <f>IF(Table1[[#This Row],[Is Data Valid]]=TRUE,_xlfn.NORM.S.DIST(Table1[[#This Row],[Birthweight Z-Score (BW+10%)]],TRUE)*100,"")</f>
        <v/>
      </c>
    </row>
    <row r="2278" spans="1:12" x14ac:dyDescent="0.35">
      <c r="A2278" s="3"/>
      <c r="B2278" s="2"/>
      <c r="C2278" s="2"/>
      <c r="D2278" s="2" t="b">
        <f>IF(AND(NOT(ISBLANK(Table1[[#This Row],[Fetal Sex (Male, Female or Unknown)]])),ISNUMBER(Table1[[#This Row],[Birthweight (grams)]]),ISNUMBER(Table1[[#This Row],[Gestation (days)]])),TRUE,FALSE)</f>
        <v>0</v>
      </c>
      <c r="E2278" s="2" t="str">
        <f>IF(Table1[[#This Row],[Is Data Valid]]=TRUE,IF(Table1[[#This Row],[Fetal Sex (Male, Female or Unknown)]]="Male",Backend!$C$6,IF(Table1[[#This Row],[Fetal Sex (Male, Female or Unknown)]]="Female",Backend!$C$7,IF(Table1[[#This Row],[Fetal Sex (Male, Female or Unknown)]]="Unknown",Backend!$C$8,"Error"))),"")</f>
        <v/>
      </c>
      <c r="F2278" s="8" t="str">
        <f>IF(Table1[[#This Row],[Is Data Valid]]=TRUE,EXP(0.578+0.332*((Table1[[#This Row],[Gestation (days)]]+0.5)/7)-0.00354*((Table1[[#This Row],[Gestation (days)]]+0.5)/7)^2)*Table1[[#This Row],[BW40_3705]],"")</f>
        <v/>
      </c>
      <c r="G2278" s="2" t="str">
        <f>IF(Table1[[#This Row],[Is Data Valid]]=TRUE,((Table1[[#This Row],[Birthweight (grams)]]/Table1[[#This Row],[BW_GA]])-1)/(Backend!$B$4/100*Table1[[#This Row],[BW40_3705]]),"")</f>
        <v/>
      </c>
      <c r="H2278" s="7" t="str">
        <f>IF(Table1[[#This Row],[Is Data Valid]]=TRUE,((Table1[[#This Row],[Birthweight (grams)]]*0.9/Table1[[#This Row],[BW_GA]])-1)/(Backend!$B$4/100*Table1[[#This Row],[BW40_3705]]),"")</f>
        <v/>
      </c>
      <c r="I2278" s="7" t="str">
        <f>IF(Table1[[#This Row],[Is Data Valid]]=TRUE,((Table1[[#This Row],[Birthweight (grams)]]*1.1/Table1[[#This Row],[BW_GA]])-1)/(Backend!$B$4/100*Table1[[#This Row],[BW40_3705]]),"")</f>
        <v/>
      </c>
      <c r="J2278" s="7" t="str">
        <f>IF(Table1[[#This Row],[Is Data Valid]]=TRUE,_xlfn.NORM.S.DIST(Table1[[#This Row],[Birthweight Z-Score]],TRUE)*100,"")</f>
        <v/>
      </c>
      <c r="K2278" s="7" t="str">
        <f>IF(Table1[[#This Row],[Is Data Valid]]=TRUE,_xlfn.NORM.S.DIST(Table1[[#This Row],[Birthweight Z-Score (BW-10%)]],TRUE)*100,"")</f>
        <v/>
      </c>
      <c r="L2278" s="7" t="str">
        <f>IF(Table1[[#This Row],[Is Data Valid]]=TRUE,_xlfn.NORM.S.DIST(Table1[[#This Row],[Birthweight Z-Score (BW+10%)]],TRUE)*100,"")</f>
        <v/>
      </c>
    </row>
    <row r="2279" spans="1:12" x14ac:dyDescent="0.35">
      <c r="A2279" s="3"/>
      <c r="B2279" s="2"/>
      <c r="C2279" s="2"/>
      <c r="D2279" s="2" t="b">
        <f>IF(AND(NOT(ISBLANK(Table1[[#This Row],[Fetal Sex (Male, Female or Unknown)]])),ISNUMBER(Table1[[#This Row],[Birthweight (grams)]]),ISNUMBER(Table1[[#This Row],[Gestation (days)]])),TRUE,FALSE)</f>
        <v>0</v>
      </c>
      <c r="E2279" s="2" t="str">
        <f>IF(Table1[[#This Row],[Is Data Valid]]=TRUE,IF(Table1[[#This Row],[Fetal Sex (Male, Female or Unknown)]]="Male",Backend!$C$6,IF(Table1[[#This Row],[Fetal Sex (Male, Female or Unknown)]]="Female",Backend!$C$7,IF(Table1[[#This Row],[Fetal Sex (Male, Female or Unknown)]]="Unknown",Backend!$C$8,"Error"))),"")</f>
        <v/>
      </c>
      <c r="F2279" s="8" t="str">
        <f>IF(Table1[[#This Row],[Is Data Valid]]=TRUE,EXP(0.578+0.332*((Table1[[#This Row],[Gestation (days)]]+0.5)/7)-0.00354*((Table1[[#This Row],[Gestation (days)]]+0.5)/7)^2)*Table1[[#This Row],[BW40_3705]],"")</f>
        <v/>
      </c>
      <c r="G2279" s="2" t="str">
        <f>IF(Table1[[#This Row],[Is Data Valid]]=TRUE,((Table1[[#This Row],[Birthweight (grams)]]/Table1[[#This Row],[BW_GA]])-1)/(Backend!$B$4/100*Table1[[#This Row],[BW40_3705]]),"")</f>
        <v/>
      </c>
      <c r="H2279" s="7" t="str">
        <f>IF(Table1[[#This Row],[Is Data Valid]]=TRUE,((Table1[[#This Row],[Birthweight (grams)]]*0.9/Table1[[#This Row],[BW_GA]])-1)/(Backend!$B$4/100*Table1[[#This Row],[BW40_3705]]),"")</f>
        <v/>
      </c>
      <c r="I2279" s="7" t="str">
        <f>IF(Table1[[#This Row],[Is Data Valid]]=TRUE,((Table1[[#This Row],[Birthweight (grams)]]*1.1/Table1[[#This Row],[BW_GA]])-1)/(Backend!$B$4/100*Table1[[#This Row],[BW40_3705]]),"")</f>
        <v/>
      </c>
      <c r="J2279" s="7" t="str">
        <f>IF(Table1[[#This Row],[Is Data Valid]]=TRUE,_xlfn.NORM.S.DIST(Table1[[#This Row],[Birthweight Z-Score]],TRUE)*100,"")</f>
        <v/>
      </c>
      <c r="K2279" s="7" t="str">
        <f>IF(Table1[[#This Row],[Is Data Valid]]=TRUE,_xlfn.NORM.S.DIST(Table1[[#This Row],[Birthweight Z-Score (BW-10%)]],TRUE)*100,"")</f>
        <v/>
      </c>
      <c r="L2279" s="7" t="str">
        <f>IF(Table1[[#This Row],[Is Data Valid]]=TRUE,_xlfn.NORM.S.DIST(Table1[[#This Row],[Birthweight Z-Score (BW+10%)]],TRUE)*100,"")</f>
        <v/>
      </c>
    </row>
    <row r="2280" spans="1:12" x14ac:dyDescent="0.35">
      <c r="A2280" s="3"/>
      <c r="B2280" s="2"/>
      <c r="C2280" s="2"/>
      <c r="D2280" s="2" t="b">
        <f>IF(AND(NOT(ISBLANK(Table1[[#This Row],[Fetal Sex (Male, Female or Unknown)]])),ISNUMBER(Table1[[#This Row],[Birthweight (grams)]]),ISNUMBER(Table1[[#This Row],[Gestation (days)]])),TRUE,FALSE)</f>
        <v>0</v>
      </c>
      <c r="E2280" s="2" t="str">
        <f>IF(Table1[[#This Row],[Is Data Valid]]=TRUE,IF(Table1[[#This Row],[Fetal Sex (Male, Female or Unknown)]]="Male",Backend!$C$6,IF(Table1[[#This Row],[Fetal Sex (Male, Female or Unknown)]]="Female",Backend!$C$7,IF(Table1[[#This Row],[Fetal Sex (Male, Female or Unknown)]]="Unknown",Backend!$C$8,"Error"))),"")</f>
        <v/>
      </c>
      <c r="F2280" s="8" t="str">
        <f>IF(Table1[[#This Row],[Is Data Valid]]=TRUE,EXP(0.578+0.332*((Table1[[#This Row],[Gestation (days)]]+0.5)/7)-0.00354*((Table1[[#This Row],[Gestation (days)]]+0.5)/7)^2)*Table1[[#This Row],[BW40_3705]],"")</f>
        <v/>
      </c>
      <c r="G2280" s="2" t="str">
        <f>IF(Table1[[#This Row],[Is Data Valid]]=TRUE,((Table1[[#This Row],[Birthweight (grams)]]/Table1[[#This Row],[BW_GA]])-1)/(Backend!$B$4/100*Table1[[#This Row],[BW40_3705]]),"")</f>
        <v/>
      </c>
      <c r="H2280" s="7" t="str">
        <f>IF(Table1[[#This Row],[Is Data Valid]]=TRUE,((Table1[[#This Row],[Birthweight (grams)]]*0.9/Table1[[#This Row],[BW_GA]])-1)/(Backend!$B$4/100*Table1[[#This Row],[BW40_3705]]),"")</f>
        <v/>
      </c>
      <c r="I2280" s="7" t="str">
        <f>IF(Table1[[#This Row],[Is Data Valid]]=TRUE,((Table1[[#This Row],[Birthweight (grams)]]*1.1/Table1[[#This Row],[BW_GA]])-1)/(Backend!$B$4/100*Table1[[#This Row],[BW40_3705]]),"")</f>
        <v/>
      </c>
      <c r="J2280" s="7" t="str">
        <f>IF(Table1[[#This Row],[Is Data Valid]]=TRUE,_xlfn.NORM.S.DIST(Table1[[#This Row],[Birthweight Z-Score]],TRUE)*100,"")</f>
        <v/>
      </c>
      <c r="K2280" s="7" t="str">
        <f>IF(Table1[[#This Row],[Is Data Valid]]=TRUE,_xlfn.NORM.S.DIST(Table1[[#This Row],[Birthweight Z-Score (BW-10%)]],TRUE)*100,"")</f>
        <v/>
      </c>
      <c r="L2280" s="7" t="str">
        <f>IF(Table1[[#This Row],[Is Data Valid]]=TRUE,_xlfn.NORM.S.DIST(Table1[[#This Row],[Birthweight Z-Score (BW+10%)]],TRUE)*100,"")</f>
        <v/>
      </c>
    </row>
    <row r="2281" spans="1:12" x14ac:dyDescent="0.35">
      <c r="A2281" s="3"/>
      <c r="B2281" s="2"/>
      <c r="C2281" s="2"/>
      <c r="D2281" s="2" t="b">
        <f>IF(AND(NOT(ISBLANK(Table1[[#This Row],[Fetal Sex (Male, Female or Unknown)]])),ISNUMBER(Table1[[#This Row],[Birthweight (grams)]]),ISNUMBER(Table1[[#This Row],[Gestation (days)]])),TRUE,FALSE)</f>
        <v>0</v>
      </c>
      <c r="E2281" s="2" t="str">
        <f>IF(Table1[[#This Row],[Is Data Valid]]=TRUE,IF(Table1[[#This Row],[Fetal Sex (Male, Female or Unknown)]]="Male",Backend!$C$6,IF(Table1[[#This Row],[Fetal Sex (Male, Female or Unknown)]]="Female",Backend!$C$7,IF(Table1[[#This Row],[Fetal Sex (Male, Female or Unknown)]]="Unknown",Backend!$C$8,"Error"))),"")</f>
        <v/>
      </c>
      <c r="F2281" s="8" t="str">
        <f>IF(Table1[[#This Row],[Is Data Valid]]=TRUE,EXP(0.578+0.332*((Table1[[#This Row],[Gestation (days)]]+0.5)/7)-0.00354*((Table1[[#This Row],[Gestation (days)]]+0.5)/7)^2)*Table1[[#This Row],[BW40_3705]],"")</f>
        <v/>
      </c>
      <c r="G2281" s="2" t="str">
        <f>IF(Table1[[#This Row],[Is Data Valid]]=TRUE,((Table1[[#This Row],[Birthweight (grams)]]/Table1[[#This Row],[BW_GA]])-1)/(Backend!$B$4/100*Table1[[#This Row],[BW40_3705]]),"")</f>
        <v/>
      </c>
      <c r="H2281" s="7" t="str">
        <f>IF(Table1[[#This Row],[Is Data Valid]]=TRUE,((Table1[[#This Row],[Birthweight (grams)]]*0.9/Table1[[#This Row],[BW_GA]])-1)/(Backend!$B$4/100*Table1[[#This Row],[BW40_3705]]),"")</f>
        <v/>
      </c>
      <c r="I2281" s="7" t="str">
        <f>IF(Table1[[#This Row],[Is Data Valid]]=TRUE,((Table1[[#This Row],[Birthweight (grams)]]*1.1/Table1[[#This Row],[BW_GA]])-1)/(Backend!$B$4/100*Table1[[#This Row],[BW40_3705]]),"")</f>
        <v/>
      </c>
      <c r="J2281" s="7" t="str">
        <f>IF(Table1[[#This Row],[Is Data Valid]]=TRUE,_xlfn.NORM.S.DIST(Table1[[#This Row],[Birthweight Z-Score]],TRUE)*100,"")</f>
        <v/>
      </c>
      <c r="K2281" s="7" t="str">
        <f>IF(Table1[[#This Row],[Is Data Valid]]=TRUE,_xlfn.NORM.S.DIST(Table1[[#This Row],[Birthweight Z-Score (BW-10%)]],TRUE)*100,"")</f>
        <v/>
      </c>
      <c r="L2281" s="7" t="str">
        <f>IF(Table1[[#This Row],[Is Data Valid]]=TRUE,_xlfn.NORM.S.DIST(Table1[[#This Row],[Birthweight Z-Score (BW+10%)]],TRUE)*100,"")</f>
        <v/>
      </c>
    </row>
    <row r="2282" spans="1:12" x14ac:dyDescent="0.35">
      <c r="A2282" s="3"/>
      <c r="B2282" s="2"/>
      <c r="C2282" s="2"/>
      <c r="D2282" s="2" t="b">
        <f>IF(AND(NOT(ISBLANK(Table1[[#This Row],[Fetal Sex (Male, Female or Unknown)]])),ISNUMBER(Table1[[#This Row],[Birthweight (grams)]]),ISNUMBER(Table1[[#This Row],[Gestation (days)]])),TRUE,FALSE)</f>
        <v>0</v>
      </c>
      <c r="E2282" s="2" t="str">
        <f>IF(Table1[[#This Row],[Is Data Valid]]=TRUE,IF(Table1[[#This Row],[Fetal Sex (Male, Female or Unknown)]]="Male",Backend!$C$6,IF(Table1[[#This Row],[Fetal Sex (Male, Female or Unknown)]]="Female",Backend!$C$7,IF(Table1[[#This Row],[Fetal Sex (Male, Female or Unknown)]]="Unknown",Backend!$C$8,"Error"))),"")</f>
        <v/>
      </c>
      <c r="F2282" s="8" t="str">
        <f>IF(Table1[[#This Row],[Is Data Valid]]=TRUE,EXP(0.578+0.332*((Table1[[#This Row],[Gestation (days)]]+0.5)/7)-0.00354*((Table1[[#This Row],[Gestation (days)]]+0.5)/7)^2)*Table1[[#This Row],[BW40_3705]],"")</f>
        <v/>
      </c>
      <c r="G2282" s="2" t="str">
        <f>IF(Table1[[#This Row],[Is Data Valid]]=TRUE,((Table1[[#This Row],[Birthweight (grams)]]/Table1[[#This Row],[BW_GA]])-1)/(Backend!$B$4/100*Table1[[#This Row],[BW40_3705]]),"")</f>
        <v/>
      </c>
      <c r="H2282" s="7" t="str">
        <f>IF(Table1[[#This Row],[Is Data Valid]]=TRUE,((Table1[[#This Row],[Birthweight (grams)]]*0.9/Table1[[#This Row],[BW_GA]])-1)/(Backend!$B$4/100*Table1[[#This Row],[BW40_3705]]),"")</f>
        <v/>
      </c>
      <c r="I2282" s="7" t="str">
        <f>IF(Table1[[#This Row],[Is Data Valid]]=TRUE,((Table1[[#This Row],[Birthweight (grams)]]*1.1/Table1[[#This Row],[BW_GA]])-1)/(Backend!$B$4/100*Table1[[#This Row],[BW40_3705]]),"")</f>
        <v/>
      </c>
      <c r="J2282" s="7" t="str">
        <f>IF(Table1[[#This Row],[Is Data Valid]]=TRUE,_xlfn.NORM.S.DIST(Table1[[#This Row],[Birthweight Z-Score]],TRUE)*100,"")</f>
        <v/>
      </c>
      <c r="K2282" s="7" t="str">
        <f>IF(Table1[[#This Row],[Is Data Valid]]=TRUE,_xlfn.NORM.S.DIST(Table1[[#This Row],[Birthweight Z-Score (BW-10%)]],TRUE)*100,"")</f>
        <v/>
      </c>
      <c r="L2282" s="7" t="str">
        <f>IF(Table1[[#This Row],[Is Data Valid]]=TRUE,_xlfn.NORM.S.DIST(Table1[[#This Row],[Birthweight Z-Score (BW+10%)]],TRUE)*100,"")</f>
        <v/>
      </c>
    </row>
    <row r="2283" spans="1:12" x14ac:dyDescent="0.35">
      <c r="A2283" s="3"/>
      <c r="B2283" s="2"/>
      <c r="C2283" s="2"/>
      <c r="D2283" s="2" t="b">
        <f>IF(AND(NOT(ISBLANK(Table1[[#This Row],[Fetal Sex (Male, Female or Unknown)]])),ISNUMBER(Table1[[#This Row],[Birthweight (grams)]]),ISNUMBER(Table1[[#This Row],[Gestation (days)]])),TRUE,FALSE)</f>
        <v>0</v>
      </c>
      <c r="E2283" s="2" t="str">
        <f>IF(Table1[[#This Row],[Is Data Valid]]=TRUE,IF(Table1[[#This Row],[Fetal Sex (Male, Female or Unknown)]]="Male",Backend!$C$6,IF(Table1[[#This Row],[Fetal Sex (Male, Female or Unknown)]]="Female",Backend!$C$7,IF(Table1[[#This Row],[Fetal Sex (Male, Female or Unknown)]]="Unknown",Backend!$C$8,"Error"))),"")</f>
        <v/>
      </c>
      <c r="F2283" s="8" t="str">
        <f>IF(Table1[[#This Row],[Is Data Valid]]=TRUE,EXP(0.578+0.332*((Table1[[#This Row],[Gestation (days)]]+0.5)/7)-0.00354*((Table1[[#This Row],[Gestation (days)]]+0.5)/7)^2)*Table1[[#This Row],[BW40_3705]],"")</f>
        <v/>
      </c>
      <c r="G2283" s="2" t="str">
        <f>IF(Table1[[#This Row],[Is Data Valid]]=TRUE,((Table1[[#This Row],[Birthweight (grams)]]/Table1[[#This Row],[BW_GA]])-1)/(Backend!$B$4/100*Table1[[#This Row],[BW40_3705]]),"")</f>
        <v/>
      </c>
      <c r="H2283" s="7" t="str">
        <f>IF(Table1[[#This Row],[Is Data Valid]]=TRUE,((Table1[[#This Row],[Birthweight (grams)]]*0.9/Table1[[#This Row],[BW_GA]])-1)/(Backend!$B$4/100*Table1[[#This Row],[BW40_3705]]),"")</f>
        <v/>
      </c>
      <c r="I2283" s="7" t="str">
        <f>IF(Table1[[#This Row],[Is Data Valid]]=TRUE,((Table1[[#This Row],[Birthweight (grams)]]*1.1/Table1[[#This Row],[BW_GA]])-1)/(Backend!$B$4/100*Table1[[#This Row],[BW40_3705]]),"")</f>
        <v/>
      </c>
      <c r="J2283" s="7" t="str">
        <f>IF(Table1[[#This Row],[Is Data Valid]]=TRUE,_xlfn.NORM.S.DIST(Table1[[#This Row],[Birthweight Z-Score]],TRUE)*100,"")</f>
        <v/>
      </c>
      <c r="K2283" s="7" t="str">
        <f>IF(Table1[[#This Row],[Is Data Valid]]=TRUE,_xlfn.NORM.S.DIST(Table1[[#This Row],[Birthweight Z-Score (BW-10%)]],TRUE)*100,"")</f>
        <v/>
      </c>
      <c r="L2283" s="7" t="str">
        <f>IF(Table1[[#This Row],[Is Data Valid]]=TRUE,_xlfn.NORM.S.DIST(Table1[[#This Row],[Birthweight Z-Score (BW+10%)]],TRUE)*100,"")</f>
        <v/>
      </c>
    </row>
    <row r="2284" spans="1:12" x14ac:dyDescent="0.35">
      <c r="A2284" s="3"/>
      <c r="B2284" s="2"/>
      <c r="C2284" s="2"/>
      <c r="D2284" s="2" t="b">
        <f>IF(AND(NOT(ISBLANK(Table1[[#This Row],[Fetal Sex (Male, Female or Unknown)]])),ISNUMBER(Table1[[#This Row],[Birthweight (grams)]]),ISNUMBER(Table1[[#This Row],[Gestation (days)]])),TRUE,FALSE)</f>
        <v>0</v>
      </c>
      <c r="E2284" s="2" t="str">
        <f>IF(Table1[[#This Row],[Is Data Valid]]=TRUE,IF(Table1[[#This Row],[Fetal Sex (Male, Female or Unknown)]]="Male",Backend!$C$6,IF(Table1[[#This Row],[Fetal Sex (Male, Female or Unknown)]]="Female",Backend!$C$7,IF(Table1[[#This Row],[Fetal Sex (Male, Female or Unknown)]]="Unknown",Backend!$C$8,"Error"))),"")</f>
        <v/>
      </c>
      <c r="F2284" s="8" t="str">
        <f>IF(Table1[[#This Row],[Is Data Valid]]=TRUE,EXP(0.578+0.332*((Table1[[#This Row],[Gestation (days)]]+0.5)/7)-0.00354*((Table1[[#This Row],[Gestation (days)]]+0.5)/7)^2)*Table1[[#This Row],[BW40_3705]],"")</f>
        <v/>
      </c>
      <c r="G2284" s="2" t="str">
        <f>IF(Table1[[#This Row],[Is Data Valid]]=TRUE,((Table1[[#This Row],[Birthweight (grams)]]/Table1[[#This Row],[BW_GA]])-1)/(Backend!$B$4/100*Table1[[#This Row],[BW40_3705]]),"")</f>
        <v/>
      </c>
      <c r="H2284" s="7" t="str">
        <f>IF(Table1[[#This Row],[Is Data Valid]]=TRUE,((Table1[[#This Row],[Birthweight (grams)]]*0.9/Table1[[#This Row],[BW_GA]])-1)/(Backend!$B$4/100*Table1[[#This Row],[BW40_3705]]),"")</f>
        <v/>
      </c>
      <c r="I2284" s="7" t="str">
        <f>IF(Table1[[#This Row],[Is Data Valid]]=TRUE,((Table1[[#This Row],[Birthweight (grams)]]*1.1/Table1[[#This Row],[BW_GA]])-1)/(Backend!$B$4/100*Table1[[#This Row],[BW40_3705]]),"")</f>
        <v/>
      </c>
      <c r="J2284" s="7" t="str">
        <f>IF(Table1[[#This Row],[Is Data Valid]]=TRUE,_xlfn.NORM.S.DIST(Table1[[#This Row],[Birthweight Z-Score]],TRUE)*100,"")</f>
        <v/>
      </c>
      <c r="K2284" s="7" t="str">
        <f>IF(Table1[[#This Row],[Is Data Valid]]=TRUE,_xlfn.NORM.S.DIST(Table1[[#This Row],[Birthweight Z-Score (BW-10%)]],TRUE)*100,"")</f>
        <v/>
      </c>
      <c r="L2284" s="7" t="str">
        <f>IF(Table1[[#This Row],[Is Data Valid]]=TRUE,_xlfn.NORM.S.DIST(Table1[[#This Row],[Birthweight Z-Score (BW+10%)]],TRUE)*100,"")</f>
        <v/>
      </c>
    </row>
    <row r="2285" spans="1:12" x14ac:dyDescent="0.35">
      <c r="A2285" s="3"/>
      <c r="B2285" s="2"/>
      <c r="C2285" s="2"/>
      <c r="D2285" s="2" t="b">
        <f>IF(AND(NOT(ISBLANK(Table1[[#This Row],[Fetal Sex (Male, Female or Unknown)]])),ISNUMBER(Table1[[#This Row],[Birthweight (grams)]]),ISNUMBER(Table1[[#This Row],[Gestation (days)]])),TRUE,FALSE)</f>
        <v>0</v>
      </c>
      <c r="E2285" s="2" t="str">
        <f>IF(Table1[[#This Row],[Is Data Valid]]=TRUE,IF(Table1[[#This Row],[Fetal Sex (Male, Female or Unknown)]]="Male",Backend!$C$6,IF(Table1[[#This Row],[Fetal Sex (Male, Female or Unknown)]]="Female",Backend!$C$7,IF(Table1[[#This Row],[Fetal Sex (Male, Female or Unknown)]]="Unknown",Backend!$C$8,"Error"))),"")</f>
        <v/>
      </c>
      <c r="F2285" s="8" t="str">
        <f>IF(Table1[[#This Row],[Is Data Valid]]=TRUE,EXP(0.578+0.332*((Table1[[#This Row],[Gestation (days)]]+0.5)/7)-0.00354*((Table1[[#This Row],[Gestation (days)]]+0.5)/7)^2)*Table1[[#This Row],[BW40_3705]],"")</f>
        <v/>
      </c>
      <c r="G2285" s="2" t="str">
        <f>IF(Table1[[#This Row],[Is Data Valid]]=TRUE,((Table1[[#This Row],[Birthweight (grams)]]/Table1[[#This Row],[BW_GA]])-1)/(Backend!$B$4/100*Table1[[#This Row],[BW40_3705]]),"")</f>
        <v/>
      </c>
      <c r="H2285" s="7" t="str">
        <f>IF(Table1[[#This Row],[Is Data Valid]]=TRUE,((Table1[[#This Row],[Birthweight (grams)]]*0.9/Table1[[#This Row],[BW_GA]])-1)/(Backend!$B$4/100*Table1[[#This Row],[BW40_3705]]),"")</f>
        <v/>
      </c>
      <c r="I2285" s="7" t="str">
        <f>IF(Table1[[#This Row],[Is Data Valid]]=TRUE,((Table1[[#This Row],[Birthweight (grams)]]*1.1/Table1[[#This Row],[BW_GA]])-1)/(Backend!$B$4/100*Table1[[#This Row],[BW40_3705]]),"")</f>
        <v/>
      </c>
      <c r="J2285" s="7" t="str">
        <f>IF(Table1[[#This Row],[Is Data Valid]]=TRUE,_xlfn.NORM.S.DIST(Table1[[#This Row],[Birthweight Z-Score]],TRUE)*100,"")</f>
        <v/>
      </c>
      <c r="K2285" s="7" t="str">
        <f>IF(Table1[[#This Row],[Is Data Valid]]=TRUE,_xlfn.NORM.S.DIST(Table1[[#This Row],[Birthweight Z-Score (BW-10%)]],TRUE)*100,"")</f>
        <v/>
      </c>
      <c r="L2285" s="7" t="str">
        <f>IF(Table1[[#This Row],[Is Data Valid]]=TRUE,_xlfn.NORM.S.DIST(Table1[[#This Row],[Birthweight Z-Score (BW+10%)]],TRUE)*100,"")</f>
        <v/>
      </c>
    </row>
    <row r="2286" spans="1:12" x14ac:dyDescent="0.35">
      <c r="A2286" s="3"/>
      <c r="B2286" s="2"/>
      <c r="C2286" s="2"/>
      <c r="D2286" s="2" t="b">
        <f>IF(AND(NOT(ISBLANK(Table1[[#This Row],[Fetal Sex (Male, Female or Unknown)]])),ISNUMBER(Table1[[#This Row],[Birthweight (grams)]]),ISNUMBER(Table1[[#This Row],[Gestation (days)]])),TRUE,FALSE)</f>
        <v>0</v>
      </c>
      <c r="E2286" s="2" t="str">
        <f>IF(Table1[[#This Row],[Is Data Valid]]=TRUE,IF(Table1[[#This Row],[Fetal Sex (Male, Female or Unknown)]]="Male",Backend!$C$6,IF(Table1[[#This Row],[Fetal Sex (Male, Female or Unknown)]]="Female",Backend!$C$7,IF(Table1[[#This Row],[Fetal Sex (Male, Female or Unknown)]]="Unknown",Backend!$C$8,"Error"))),"")</f>
        <v/>
      </c>
      <c r="F2286" s="8" t="str">
        <f>IF(Table1[[#This Row],[Is Data Valid]]=TRUE,EXP(0.578+0.332*((Table1[[#This Row],[Gestation (days)]]+0.5)/7)-0.00354*((Table1[[#This Row],[Gestation (days)]]+0.5)/7)^2)*Table1[[#This Row],[BW40_3705]],"")</f>
        <v/>
      </c>
      <c r="G2286" s="2" t="str">
        <f>IF(Table1[[#This Row],[Is Data Valid]]=TRUE,((Table1[[#This Row],[Birthweight (grams)]]/Table1[[#This Row],[BW_GA]])-1)/(Backend!$B$4/100*Table1[[#This Row],[BW40_3705]]),"")</f>
        <v/>
      </c>
      <c r="H2286" s="7" t="str">
        <f>IF(Table1[[#This Row],[Is Data Valid]]=TRUE,((Table1[[#This Row],[Birthweight (grams)]]*0.9/Table1[[#This Row],[BW_GA]])-1)/(Backend!$B$4/100*Table1[[#This Row],[BW40_3705]]),"")</f>
        <v/>
      </c>
      <c r="I2286" s="7" t="str">
        <f>IF(Table1[[#This Row],[Is Data Valid]]=TRUE,((Table1[[#This Row],[Birthweight (grams)]]*1.1/Table1[[#This Row],[BW_GA]])-1)/(Backend!$B$4/100*Table1[[#This Row],[BW40_3705]]),"")</f>
        <v/>
      </c>
      <c r="J2286" s="7" t="str">
        <f>IF(Table1[[#This Row],[Is Data Valid]]=TRUE,_xlfn.NORM.S.DIST(Table1[[#This Row],[Birthweight Z-Score]],TRUE)*100,"")</f>
        <v/>
      </c>
      <c r="K2286" s="7" t="str">
        <f>IF(Table1[[#This Row],[Is Data Valid]]=TRUE,_xlfn.NORM.S.DIST(Table1[[#This Row],[Birthweight Z-Score (BW-10%)]],TRUE)*100,"")</f>
        <v/>
      </c>
      <c r="L2286" s="7" t="str">
        <f>IF(Table1[[#This Row],[Is Data Valid]]=TRUE,_xlfn.NORM.S.DIST(Table1[[#This Row],[Birthweight Z-Score (BW+10%)]],TRUE)*100,"")</f>
        <v/>
      </c>
    </row>
    <row r="2287" spans="1:12" x14ac:dyDescent="0.35">
      <c r="A2287" s="3"/>
      <c r="B2287" s="2"/>
      <c r="C2287" s="2"/>
      <c r="D2287" s="2" t="b">
        <f>IF(AND(NOT(ISBLANK(Table1[[#This Row],[Fetal Sex (Male, Female or Unknown)]])),ISNUMBER(Table1[[#This Row],[Birthweight (grams)]]),ISNUMBER(Table1[[#This Row],[Gestation (days)]])),TRUE,FALSE)</f>
        <v>0</v>
      </c>
      <c r="E2287" s="2" t="str">
        <f>IF(Table1[[#This Row],[Is Data Valid]]=TRUE,IF(Table1[[#This Row],[Fetal Sex (Male, Female or Unknown)]]="Male",Backend!$C$6,IF(Table1[[#This Row],[Fetal Sex (Male, Female or Unknown)]]="Female",Backend!$C$7,IF(Table1[[#This Row],[Fetal Sex (Male, Female or Unknown)]]="Unknown",Backend!$C$8,"Error"))),"")</f>
        <v/>
      </c>
      <c r="F2287" s="8" t="str">
        <f>IF(Table1[[#This Row],[Is Data Valid]]=TRUE,EXP(0.578+0.332*((Table1[[#This Row],[Gestation (days)]]+0.5)/7)-0.00354*((Table1[[#This Row],[Gestation (days)]]+0.5)/7)^2)*Table1[[#This Row],[BW40_3705]],"")</f>
        <v/>
      </c>
      <c r="G2287" s="2" t="str">
        <f>IF(Table1[[#This Row],[Is Data Valid]]=TRUE,((Table1[[#This Row],[Birthweight (grams)]]/Table1[[#This Row],[BW_GA]])-1)/(Backend!$B$4/100*Table1[[#This Row],[BW40_3705]]),"")</f>
        <v/>
      </c>
      <c r="H2287" s="7" t="str">
        <f>IF(Table1[[#This Row],[Is Data Valid]]=TRUE,((Table1[[#This Row],[Birthweight (grams)]]*0.9/Table1[[#This Row],[BW_GA]])-1)/(Backend!$B$4/100*Table1[[#This Row],[BW40_3705]]),"")</f>
        <v/>
      </c>
      <c r="I2287" s="7" t="str">
        <f>IF(Table1[[#This Row],[Is Data Valid]]=TRUE,((Table1[[#This Row],[Birthweight (grams)]]*1.1/Table1[[#This Row],[BW_GA]])-1)/(Backend!$B$4/100*Table1[[#This Row],[BW40_3705]]),"")</f>
        <v/>
      </c>
      <c r="J2287" s="7" t="str">
        <f>IF(Table1[[#This Row],[Is Data Valid]]=TRUE,_xlfn.NORM.S.DIST(Table1[[#This Row],[Birthweight Z-Score]],TRUE)*100,"")</f>
        <v/>
      </c>
      <c r="K2287" s="7" t="str">
        <f>IF(Table1[[#This Row],[Is Data Valid]]=TRUE,_xlfn.NORM.S.DIST(Table1[[#This Row],[Birthweight Z-Score (BW-10%)]],TRUE)*100,"")</f>
        <v/>
      </c>
      <c r="L2287" s="7" t="str">
        <f>IF(Table1[[#This Row],[Is Data Valid]]=TRUE,_xlfn.NORM.S.DIST(Table1[[#This Row],[Birthweight Z-Score (BW+10%)]],TRUE)*100,"")</f>
        <v/>
      </c>
    </row>
    <row r="2288" spans="1:12" x14ac:dyDescent="0.35">
      <c r="A2288" s="3"/>
      <c r="B2288" s="2"/>
      <c r="C2288" s="2"/>
      <c r="D2288" s="2" t="b">
        <f>IF(AND(NOT(ISBLANK(Table1[[#This Row],[Fetal Sex (Male, Female or Unknown)]])),ISNUMBER(Table1[[#This Row],[Birthweight (grams)]]),ISNUMBER(Table1[[#This Row],[Gestation (days)]])),TRUE,FALSE)</f>
        <v>0</v>
      </c>
      <c r="E2288" s="2" t="str">
        <f>IF(Table1[[#This Row],[Is Data Valid]]=TRUE,IF(Table1[[#This Row],[Fetal Sex (Male, Female or Unknown)]]="Male",Backend!$C$6,IF(Table1[[#This Row],[Fetal Sex (Male, Female or Unknown)]]="Female",Backend!$C$7,IF(Table1[[#This Row],[Fetal Sex (Male, Female or Unknown)]]="Unknown",Backend!$C$8,"Error"))),"")</f>
        <v/>
      </c>
      <c r="F2288" s="8" t="str">
        <f>IF(Table1[[#This Row],[Is Data Valid]]=TRUE,EXP(0.578+0.332*((Table1[[#This Row],[Gestation (days)]]+0.5)/7)-0.00354*((Table1[[#This Row],[Gestation (days)]]+0.5)/7)^2)*Table1[[#This Row],[BW40_3705]],"")</f>
        <v/>
      </c>
      <c r="G2288" s="2" t="str">
        <f>IF(Table1[[#This Row],[Is Data Valid]]=TRUE,((Table1[[#This Row],[Birthweight (grams)]]/Table1[[#This Row],[BW_GA]])-1)/(Backend!$B$4/100*Table1[[#This Row],[BW40_3705]]),"")</f>
        <v/>
      </c>
      <c r="H2288" s="7" t="str">
        <f>IF(Table1[[#This Row],[Is Data Valid]]=TRUE,((Table1[[#This Row],[Birthweight (grams)]]*0.9/Table1[[#This Row],[BW_GA]])-1)/(Backend!$B$4/100*Table1[[#This Row],[BW40_3705]]),"")</f>
        <v/>
      </c>
      <c r="I2288" s="7" t="str">
        <f>IF(Table1[[#This Row],[Is Data Valid]]=TRUE,((Table1[[#This Row],[Birthweight (grams)]]*1.1/Table1[[#This Row],[BW_GA]])-1)/(Backend!$B$4/100*Table1[[#This Row],[BW40_3705]]),"")</f>
        <v/>
      </c>
      <c r="J2288" s="7" t="str">
        <f>IF(Table1[[#This Row],[Is Data Valid]]=TRUE,_xlfn.NORM.S.DIST(Table1[[#This Row],[Birthweight Z-Score]],TRUE)*100,"")</f>
        <v/>
      </c>
      <c r="K2288" s="7" t="str">
        <f>IF(Table1[[#This Row],[Is Data Valid]]=TRUE,_xlfn.NORM.S.DIST(Table1[[#This Row],[Birthweight Z-Score (BW-10%)]],TRUE)*100,"")</f>
        <v/>
      </c>
      <c r="L2288" s="7" t="str">
        <f>IF(Table1[[#This Row],[Is Data Valid]]=TRUE,_xlfn.NORM.S.DIST(Table1[[#This Row],[Birthweight Z-Score (BW+10%)]],TRUE)*100,"")</f>
        <v/>
      </c>
    </row>
    <row r="2289" spans="1:12" x14ac:dyDescent="0.35">
      <c r="A2289" s="3"/>
      <c r="B2289" s="2"/>
      <c r="C2289" s="2"/>
      <c r="D2289" s="2" t="b">
        <f>IF(AND(NOT(ISBLANK(Table1[[#This Row],[Fetal Sex (Male, Female or Unknown)]])),ISNUMBER(Table1[[#This Row],[Birthweight (grams)]]),ISNUMBER(Table1[[#This Row],[Gestation (days)]])),TRUE,FALSE)</f>
        <v>0</v>
      </c>
      <c r="E2289" s="2" t="str">
        <f>IF(Table1[[#This Row],[Is Data Valid]]=TRUE,IF(Table1[[#This Row],[Fetal Sex (Male, Female or Unknown)]]="Male",Backend!$C$6,IF(Table1[[#This Row],[Fetal Sex (Male, Female or Unknown)]]="Female",Backend!$C$7,IF(Table1[[#This Row],[Fetal Sex (Male, Female or Unknown)]]="Unknown",Backend!$C$8,"Error"))),"")</f>
        <v/>
      </c>
      <c r="F2289" s="8" t="str">
        <f>IF(Table1[[#This Row],[Is Data Valid]]=TRUE,EXP(0.578+0.332*((Table1[[#This Row],[Gestation (days)]]+0.5)/7)-0.00354*((Table1[[#This Row],[Gestation (days)]]+0.5)/7)^2)*Table1[[#This Row],[BW40_3705]],"")</f>
        <v/>
      </c>
      <c r="G2289" s="2" t="str">
        <f>IF(Table1[[#This Row],[Is Data Valid]]=TRUE,((Table1[[#This Row],[Birthweight (grams)]]/Table1[[#This Row],[BW_GA]])-1)/(Backend!$B$4/100*Table1[[#This Row],[BW40_3705]]),"")</f>
        <v/>
      </c>
      <c r="H2289" s="7" t="str">
        <f>IF(Table1[[#This Row],[Is Data Valid]]=TRUE,((Table1[[#This Row],[Birthweight (grams)]]*0.9/Table1[[#This Row],[BW_GA]])-1)/(Backend!$B$4/100*Table1[[#This Row],[BW40_3705]]),"")</f>
        <v/>
      </c>
      <c r="I2289" s="7" t="str">
        <f>IF(Table1[[#This Row],[Is Data Valid]]=TRUE,((Table1[[#This Row],[Birthweight (grams)]]*1.1/Table1[[#This Row],[BW_GA]])-1)/(Backend!$B$4/100*Table1[[#This Row],[BW40_3705]]),"")</f>
        <v/>
      </c>
      <c r="J2289" s="7" t="str">
        <f>IF(Table1[[#This Row],[Is Data Valid]]=TRUE,_xlfn.NORM.S.DIST(Table1[[#This Row],[Birthweight Z-Score]],TRUE)*100,"")</f>
        <v/>
      </c>
      <c r="K2289" s="7" t="str">
        <f>IF(Table1[[#This Row],[Is Data Valid]]=TRUE,_xlfn.NORM.S.DIST(Table1[[#This Row],[Birthweight Z-Score (BW-10%)]],TRUE)*100,"")</f>
        <v/>
      </c>
      <c r="L2289" s="7" t="str">
        <f>IF(Table1[[#This Row],[Is Data Valid]]=TRUE,_xlfn.NORM.S.DIST(Table1[[#This Row],[Birthweight Z-Score (BW+10%)]],TRUE)*100,"")</f>
        <v/>
      </c>
    </row>
    <row r="2290" spans="1:12" x14ac:dyDescent="0.35">
      <c r="A2290" s="3"/>
      <c r="B2290" s="2"/>
      <c r="C2290" s="2"/>
      <c r="D2290" s="2" t="b">
        <f>IF(AND(NOT(ISBLANK(Table1[[#This Row],[Fetal Sex (Male, Female or Unknown)]])),ISNUMBER(Table1[[#This Row],[Birthweight (grams)]]),ISNUMBER(Table1[[#This Row],[Gestation (days)]])),TRUE,FALSE)</f>
        <v>0</v>
      </c>
      <c r="E2290" s="2" t="str">
        <f>IF(Table1[[#This Row],[Is Data Valid]]=TRUE,IF(Table1[[#This Row],[Fetal Sex (Male, Female or Unknown)]]="Male",Backend!$C$6,IF(Table1[[#This Row],[Fetal Sex (Male, Female or Unknown)]]="Female",Backend!$C$7,IF(Table1[[#This Row],[Fetal Sex (Male, Female or Unknown)]]="Unknown",Backend!$C$8,"Error"))),"")</f>
        <v/>
      </c>
      <c r="F2290" s="8" t="str">
        <f>IF(Table1[[#This Row],[Is Data Valid]]=TRUE,EXP(0.578+0.332*((Table1[[#This Row],[Gestation (days)]]+0.5)/7)-0.00354*((Table1[[#This Row],[Gestation (days)]]+0.5)/7)^2)*Table1[[#This Row],[BW40_3705]],"")</f>
        <v/>
      </c>
      <c r="G2290" s="2" t="str">
        <f>IF(Table1[[#This Row],[Is Data Valid]]=TRUE,((Table1[[#This Row],[Birthweight (grams)]]/Table1[[#This Row],[BW_GA]])-1)/(Backend!$B$4/100*Table1[[#This Row],[BW40_3705]]),"")</f>
        <v/>
      </c>
      <c r="H2290" s="7" t="str">
        <f>IF(Table1[[#This Row],[Is Data Valid]]=TRUE,((Table1[[#This Row],[Birthweight (grams)]]*0.9/Table1[[#This Row],[BW_GA]])-1)/(Backend!$B$4/100*Table1[[#This Row],[BW40_3705]]),"")</f>
        <v/>
      </c>
      <c r="I2290" s="7" t="str">
        <f>IF(Table1[[#This Row],[Is Data Valid]]=TRUE,((Table1[[#This Row],[Birthweight (grams)]]*1.1/Table1[[#This Row],[BW_GA]])-1)/(Backend!$B$4/100*Table1[[#This Row],[BW40_3705]]),"")</f>
        <v/>
      </c>
      <c r="J2290" s="7" t="str">
        <f>IF(Table1[[#This Row],[Is Data Valid]]=TRUE,_xlfn.NORM.S.DIST(Table1[[#This Row],[Birthweight Z-Score]],TRUE)*100,"")</f>
        <v/>
      </c>
      <c r="K2290" s="7" t="str">
        <f>IF(Table1[[#This Row],[Is Data Valid]]=TRUE,_xlfn.NORM.S.DIST(Table1[[#This Row],[Birthweight Z-Score (BW-10%)]],TRUE)*100,"")</f>
        <v/>
      </c>
      <c r="L2290" s="7" t="str">
        <f>IF(Table1[[#This Row],[Is Data Valid]]=TRUE,_xlfn.NORM.S.DIST(Table1[[#This Row],[Birthweight Z-Score (BW+10%)]],TRUE)*100,"")</f>
        <v/>
      </c>
    </row>
    <row r="2291" spans="1:12" x14ac:dyDescent="0.35">
      <c r="A2291" s="3"/>
      <c r="B2291" s="2"/>
      <c r="C2291" s="2"/>
      <c r="D2291" s="2" t="b">
        <f>IF(AND(NOT(ISBLANK(Table1[[#This Row],[Fetal Sex (Male, Female or Unknown)]])),ISNUMBER(Table1[[#This Row],[Birthweight (grams)]]),ISNUMBER(Table1[[#This Row],[Gestation (days)]])),TRUE,FALSE)</f>
        <v>0</v>
      </c>
      <c r="E2291" s="2" t="str">
        <f>IF(Table1[[#This Row],[Is Data Valid]]=TRUE,IF(Table1[[#This Row],[Fetal Sex (Male, Female or Unknown)]]="Male",Backend!$C$6,IF(Table1[[#This Row],[Fetal Sex (Male, Female or Unknown)]]="Female",Backend!$C$7,IF(Table1[[#This Row],[Fetal Sex (Male, Female or Unknown)]]="Unknown",Backend!$C$8,"Error"))),"")</f>
        <v/>
      </c>
      <c r="F2291" s="8" t="str">
        <f>IF(Table1[[#This Row],[Is Data Valid]]=TRUE,EXP(0.578+0.332*((Table1[[#This Row],[Gestation (days)]]+0.5)/7)-0.00354*((Table1[[#This Row],[Gestation (days)]]+0.5)/7)^2)*Table1[[#This Row],[BW40_3705]],"")</f>
        <v/>
      </c>
      <c r="G2291" s="2" t="str">
        <f>IF(Table1[[#This Row],[Is Data Valid]]=TRUE,((Table1[[#This Row],[Birthweight (grams)]]/Table1[[#This Row],[BW_GA]])-1)/(Backend!$B$4/100*Table1[[#This Row],[BW40_3705]]),"")</f>
        <v/>
      </c>
      <c r="H2291" s="7" t="str">
        <f>IF(Table1[[#This Row],[Is Data Valid]]=TRUE,((Table1[[#This Row],[Birthweight (grams)]]*0.9/Table1[[#This Row],[BW_GA]])-1)/(Backend!$B$4/100*Table1[[#This Row],[BW40_3705]]),"")</f>
        <v/>
      </c>
      <c r="I2291" s="7" t="str">
        <f>IF(Table1[[#This Row],[Is Data Valid]]=TRUE,((Table1[[#This Row],[Birthweight (grams)]]*1.1/Table1[[#This Row],[BW_GA]])-1)/(Backend!$B$4/100*Table1[[#This Row],[BW40_3705]]),"")</f>
        <v/>
      </c>
      <c r="J2291" s="7" t="str">
        <f>IF(Table1[[#This Row],[Is Data Valid]]=TRUE,_xlfn.NORM.S.DIST(Table1[[#This Row],[Birthweight Z-Score]],TRUE)*100,"")</f>
        <v/>
      </c>
      <c r="K2291" s="7" t="str">
        <f>IF(Table1[[#This Row],[Is Data Valid]]=TRUE,_xlfn.NORM.S.DIST(Table1[[#This Row],[Birthweight Z-Score (BW-10%)]],TRUE)*100,"")</f>
        <v/>
      </c>
      <c r="L2291" s="7" t="str">
        <f>IF(Table1[[#This Row],[Is Data Valid]]=TRUE,_xlfn.NORM.S.DIST(Table1[[#This Row],[Birthweight Z-Score (BW+10%)]],TRUE)*100,"")</f>
        <v/>
      </c>
    </row>
    <row r="2292" spans="1:12" x14ac:dyDescent="0.35">
      <c r="A2292" s="3"/>
      <c r="B2292" s="2"/>
      <c r="C2292" s="2"/>
      <c r="D2292" s="2" t="b">
        <f>IF(AND(NOT(ISBLANK(Table1[[#This Row],[Fetal Sex (Male, Female or Unknown)]])),ISNUMBER(Table1[[#This Row],[Birthweight (grams)]]),ISNUMBER(Table1[[#This Row],[Gestation (days)]])),TRUE,FALSE)</f>
        <v>0</v>
      </c>
      <c r="E2292" s="2" t="str">
        <f>IF(Table1[[#This Row],[Is Data Valid]]=TRUE,IF(Table1[[#This Row],[Fetal Sex (Male, Female or Unknown)]]="Male",Backend!$C$6,IF(Table1[[#This Row],[Fetal Sex (Male, Female or Unknown)]]="Female",Backend!$C$7,IF(Table1[[#This Row],[Fetal Sex (Male, Female or Unknown)]]="Unknown",Backend!$C$8,"Error"))),"")</f>
        <v/>
      </c>
      <c r="F2292" s="8" t="str">
        <f>IF(Table1[[#This Row],[Is Data Valid]]=TRUE,EXP(0.578+0.332*((Table1[[#This Row],[Gestation (days)]]+0.5)/7)-0.00354*((Table1[[#This Row],[Gestation (days)]]+0.5)/7)^2)*Table1[[#This Row],[BW40_3705]],"")</f>
        <v/>
      </c>
      <c r="G2292" s="2" t="str">
        <f>IF(Table1[[#This Row],[Is Data Valid]]=TRUE,((Table1[[#This Row],[Birthweight (grams)]]/Table1[[#This Row],[BW_GA]])-1)/(Backend!$B$4/100*Table1[[#This Row],[BW40_3705]]),"")</f>
        <v/>
      </c>
      <c r="H2292" s="7" t="str">
        <f>IF(Table1[[#This Row],[Is Data Valid]]=TRUE,((Table1[[#This Row],[Birthweight (grams)]]*0.9/Table1[[#This Row],[BW_GA]])-1)/(Backend!$B$4/100*Table1[[#This Row],[BW40_3705]]),"")</f>
        <v/>
      </c>
      <c r="I2292" s="7" t="str">
        <f>IF(Table1[[#This Row],[Is Data Valid]]=TRUE,((Table1[[#This Row],[Birthweight (grams)]]*1.1/Table1[[#This Row],[BW_GA]])-1)/(Backend!$B$4/100*Table1[[#This Row],[BW40_3705]]),"")</f>
        <v/>
      </c>
      <c r="J2292" s="7" t="str">
        <f>IF(Table1[[#This Row],[Is Data Valid]]=TRUE,_xlfn.NORM.S.DIST(Table1[[#This Row],[Birthweight Z-Score]],TRUE)*100,"")</f>
        <v/>
      </c>
      <c r="K2292" s="7" t="str">
        <f>IF(Table1[[#This Row],[Is Data Valid]]=TRUE,_xlfn.NORM.S.DIST(Table1[[#This Row],[Birthweight Z-Score (BW-10%)]],TRUE)*100,"")</f>
        <v/>
      </c>
      <c r="L2292" s="7" t="str">
        <f>IF(Table1[[#This Row],[Is Data Valid]]=TRUE,_xlfn.NORM.S.DIST(Table1[[#This Row],[Birthweight Z-Score (BW+10%)]],TRUE)*100,"")</f>
        <v/>
      </c>
    </row>
    <row r="2293" spans="1:12" x14ac:dyDescent="0.35">
      <c r="A2293" s="3"/>
      <c r="B2293" s="2"/>
      <c r="C2293" s="2"/>
      <c r="D2293" s="2" t="b">
        <f>IF(AND(NOT(ISBLANK(Table1[[#This Row],[Fetal Sex (Male, Female or Unknown)]])),ISNUMBER(Table1[[#This Row],[Birthweight (grams)]]),ISNUMBER(Table1[[#This Row],[Gestation (days)]])),TRUE,FALSE)</f>
        <v>0</v>
      </c>
      <c r="E2293" s="2" t="str">
        <f>IF(Table1[[#This Row],[Is Data Valid]]=TRUE,IF(Table1[[#This Row],[Fetal Sex (Male, Female or Unknown)]]="Male",Backend!$C$6,IF(Table1[[#This Row],[Fetal Sex (Male, Female or Unknown)]]="Female",Backend!$C$7,IF(Table1[[#This Row],[Fetal Sex (Male, Female or Unknown)]]="Unknown",Backend!$C$8,"Error"))),"")</f>
        <v/>
      </c>
      <c r="F2293" s="8" t="str">
        <f>IF(Table1[[#This Row],[Is Data Valid]]=TRUE,EXP(0.578+0.332*((Table1[[#This Row],[Gestation (days)]]+0.5)/7)-0.00354*((Table1[[#This Row],[Gestation (days)]]+0.5)/7)^2)*Table1[[#This Row],[BW40_3705]],"")</f>
        <v/>
      </c>
      <c r="G2293" s="2" t="str">
        <f>IF(Table1[[#This Row],[Is Data Valid]]=TRUE,((Table1[[#This Row],[Birthweight (grams)]]/Table1[[#This Row],[BW_GA]])-1)/(Backend!$B$4/100*Table1[[#This Row],[BW40_3705]]),"")</f>
        <v/>
      </c>
      <c r="H2293" s="7" t="str">
        <f>IF(Table1[[#This Row],[Is Data Valid]]=TRUE,((Table1[[#This Row],[Birthweight (grams)]]*0.9/Table1[[#This Row],[BW_GA]])-1)/(Backend!$B$4/100*Table1[[#This Row],[BW40_3705]]),"")</f>
        <v/>
      </c>
      <c r="I2293" s="7" t="str">
        <f>IF(Table1[[#This Row],[Is Data Valid]]=TRUE,((Table1[[#This Row],[Birthweight (grams)]]*1.1/Table1[[#This Row],[BW_GA]])-1)/(Backend!$B$4/100*Table1[[#This Row],[BW40_3705]]),"")</f>
        <v/>
      </c>
      <c r="J2293" s="7" t="str">
        <f>IF(Table1[[#This Row],[Is Data Valid]]=TRUE,_xlfn.NORM.S.DIST(Table1[[#This Row],[Birthweight Z-Score]],TRUE)*100,"")</f>
        <v/>
      </c>
      <c r="K2293" s="7" t="str">
        <f>IF(Table1[[#This Row],[Is Data Valid]]=TRUE,_xlfn.NORM.S.DIST(Table1[[#This Row],[Birthweight Z-Score (BW-10%)]],TRUE)*100,"")</f>
        <v/>
      </c>
      <c r="L2293" s="7" t="str">
        <f>IF(Table1[[#This Row],[Is Data Valid]]=TRUE,_xlfn.NORM.S.DIST(Table1[[#This Row],[Birthweight Z-Score (BW+10%)]],TRUE)*100,"")</f>
        <v/>
      </c>
    </row>
    <row r="2294" spans="1:12" x14ac:dyDescent="0.35">
      <c r="A2294" s="3"/>
      <c r="B2294" s="2"/>
      <c r="C2294" s="2"/>
      <c r="D2294" s="2" t="b">
        <f>IF(AND(NOT(ISBLANK(Table1[[#This Row],[Fetal Sex (Male, Female or Unknown)]])),ISNUMBER(Table1[[#This Row],[Birthweight (grams)]]),ISNUMBER(Table1[[#This Row],[Gestation (days)]])),TRUE,FALSE)</f>
        <v>0</v>
      </c>
      <c r="E2294" s="2" t="str">
        <f>IF(Table1[[#This Row],[Is Data Valid]]=TRUE,IF(Table1[[#This Row],[Fetal Sex (Male, Female or Unknown)]]="Male",Backend!$C$6,IF(Table1[[#This Row],[Fetal Sex (Male, Female or Unknown)]]="Female",Backend!$C$7,IF(Table1[[#This Row],[Fetal Sex (Male, Female or Unknown)]]="Unknown",Backend!$C$8,"Error"))),"")</f>
        <v/>
      </c>
      <c r="F2294" s="8" t="str">
        <f>IF(Table1[[#This Row],[Is Data Valid]]=TRUE,EXP(0.578+0.332*((Table1[[#This Row],[Gestation (days)]]+0.5)/7)-0.00354*((Table1[[#This Row],[Gestation (days)]]+0.5)/7)^2)*Table1[[#This Row],[BW40_3705]],"")</f>
        <v/>
      </c>
      <c r="G2294" s="2" t="str">
        <f>IF(Table1[[#This Row],[Is Data Valid]]=TRUE,((Table1[[#This Row],[Birthweight (grams)]]/Table1[[#This Row],[BW_GA]])-1)/(Backend!$B$4/100*Table1[[#This Row],[BW40_3705]]),"")</f>
        <v/>
      </c>
      <c r="H2294" s="7" t="str">
        <f>IF(Table1[[#This Row],[Is Data Valid]]=TRUE,((Table1[[#This Row],[Birthweight (grams)]]*0.9/Table1[[#This Row],[BW_GA]])-1)/(Backend!$B$4/100*Table1[[#This Row],[BW40_3705]]),"")</f>
        <v/>
      </c>
      <c r="I2294" s="7" t="str">
        <f>IF(Table1[[#This Row],[Is Data Valid]]=TRUE,((Table1[[#This Row],[Birthweight (grams)]]*1.1/Table1[[#This Row],[BW_GA]])-1)/(Backend!$B$4/100*Table1[[#This Row],[BW40_3705]]),"")</f>
        <v/>
      </c>
      <c r="J2294" s="7" t="str">
        <f>IF(Table1[[#This Row],[Is Data Valid]]=TRUE,_xlfn.NORM.S.DIST(Table1[[#This Row],[Birthweight Z-Score]],TRUE)*100,"")</f>
        <v/>
      </c>
      <c r="K2294" s="7" t="str">
        <f>IF(Table1[[#This Row],[Is Data Valid]]=TRUE,_xlfn.NORM.S.DIST(Table1[[#This Row],[Birthweight Z-Score (BW-10%)]],TRUE)*100,"")</f>
        <v/>
      </c>
      <c r="L2294" s="7" t="str">
        <f>IF(Table1[[#This Row],[Is Data Valid]]=TRUE,_xlfn.NORM.S.DIST(Table1[[#This Row],[Birthweight Z-Score (BW+10%)]],TRUE)*100,"")</f>
        <v/>
      </c>
    </row>
    <row r="2295" spans="1:12" x14ac:dyDescent="0.35">
      <c r="A2295" s="3"/>
      <c r="B2295" s="2"/>
      <c r="C2295" s="2"/>
      <c r="D2295" s="2" t="b">
        <f>IF(AND(NOT(ISBLANK(Table1[[#This Row],[Fetal Sex (Male, Female or Unknown)]])),ISNUMBER(Table1[[#This Row],[Birthweight (grams)]]),ISNUMBER(Table1[[#This Row],[Gestation (days)]])),TRUE,FALSE)</f>
        <v>0</v>
      </c>
      <c r="E2295" s="2" t="str">
        <f>IF(Table1[[#This Row],[Is Data Valid]]=TRUE,IF(Table1[[#This Row],[Fetal Sex (Male, Female or Unknown)]]="Male",Backend!$C$6,IF(Table1[[#This Row],[Fetal Sex (Male, Female or Unknown)]]="Female",Backend!$C$7,IF(Table1[[#This Row],[Fetal Sex (Male, Female or Unknown)]]="Unknown",Backend!$C$8,"Error"))),"")</f>
        <v/>
      </c>
      <c r="F2295" s="8" t="str">
        <f>IF(Table1[[#This Row],[Is Data Valid]]=TRUE,EXP(0.578+0.332*((Table1[[#This Row],[Gestation (days)]]+0.5)/7)-0.00354*((Table1[[#This Row],[Gestation (days)]]+0.5)/7)^2)*Table1[[#This Row],[BW40_3705]],"")</f>
        <v/>
      </c>
      <c r="G2295" s="2" t="str">
        <f>IF(Table1[[#This Row],[Is Data Valid]]=TRUE,((Table1[[#This Row],[Birthweight (grams)]]/Table1[[#This Row],[BW_GA]])-1)/(Backend!$B$4/100*Table1[[#This Row],[BW40_3705]]),"")</f>
        <v/>
      </c>
      <c r="H2295" s="7" t="str">
        <f>IF(Table1[[#This Row],[Is Data Valid]]=TRUE,((Table1[[#This Row],[Birthweight (grams)]]*0.9/Table1[[#This Row],[BW_GA]])-1)/(Backend!$B$4/100*Table1[[#This Row],[BW40_3705]]),"")</f>
        <v/>
      </c>
      <c r="I2295" s="7" t="str">
        <f>IF(Table1[[#This Row],[Is Data Valid]]=TRUE,((Table1[[#This Row],[Birthweight (grams)]]*1.1/Table1[[#This Row],[BW_GA]])-1)/(Backend!$B$4/100*Table1[[#This Row],[BW40_3705]]),"")</f>
        <v/>
      </c>
      <c r="J2295" s="7" t="str">
        <f>IF(Table1[[#This Row],[Is Data Valid]]=TRUE,_xlfn.NORM.S.DIST(Table1[[#This Row],[Birthweight Z-Score]],TRUE)*100,"")</f>
        <v/>
      </c>
      <c r="K2295" s="7" t="str">
        <f>IF(Table1[[#This Row],[Is Data Valid]]=TRUE,_xlfn.NORM.S.DIST(Table1[[#This Row],[Birthweight Z-Score (BW-10%)]],TRUE)*100,"")</f>
        <v/>
      </c>
      <c r="L2295" s="7" t="str">
        <f>IF(Table1[[#This Row],[Is Data Valid]]=TRUE,_xlfn.NORM.S.DIST(Table1[[#This Row],[Birthweight Z-Score (BW+10%)]],TRUE)*100,"")</f>
        <v/>
      </c>
    </row>
    <row r="2296" spans="1:12" x14ac:dyDescent="0.35">
      <c r="A2296" s="3"/>
      <c r="B2296" s="2"/>
      <c r="C2296" s="2"/>
      <c r="D2296" s="2" t="b">
        <f>IF(AND(NOT(ISBLANK(Table1[[#This Row],[Fetal Sex (Male, Female or Unknown)]])),ISNUMBER(Table1[[#This Row],[Birthweight (grams)]]),ISNUMBER(Table1[[#This Row],[Gestation (days)]])),TRUE,FALSE)</f>
        <v>0</v>
      </c>
      <c r="E2296" s="2" t="str">
        <f>IF(Table1[[#This Row],[Is Data Valid]]=TRUE,IF(Table1[[#This Row],[Fetal Sex (Male, Female or Unknown)]]="Male",Backend!$C$6,IF(Table1[[#This Row],[Fetal Sex (Male, Female or Unknown)]]="Female",Backend!$C$7,IF(Table1[[#This Row],[Fetal Sex (Male, Female or Unknown)]]="Unknown",Backend!$C$8,"Error"))),"")</f>
        <v/>
      </c>
      <c r="F2296" s="8" t="str">
        <f>IF(Table1[[#This Row],[Is Data Valid]]=TRUE,EXP(0.578+0.332*((Table1[[#This Row],[Gestation (days)]]+0.5)/7)-0.00354*((Table1[[#This Row],[Gestation (days)]]+0.5)/7)^2)*Table1[[#This Row],[BW40_3705]],"")</f>
        <v/>
      </c>
      <c r="G2296" s="2" t="str">
        <f>IF(Table1[[#This Row],[Is Data Valid]]=TRUE,((Table1[[#This Row],[Birthweight (grams)]]/Table1[[#This Row],[BW_GA]])-1)/(Backend!$B$4/100*Table1[[#This Row],[BW40_3705]]),"")</f>
        <v/>
      </c>
      <c r="H2296" s="7" t="str">
        <f>IF(Table1[[#This Row],[Is Data Valid]]=TRUE,((Table1[[#This Row],[Birthweight (grams)]]*0.9/Table1[[#This Row],[BW_GA]])-1)/(Backend!$B$4/100*Table1[[#This Row],[BW40_3705]]),"")</f>
        <v/>
      </c>
      <c r="I2296" s="7" t="str">
        <f>IF(Table1[[#This Row],[Is Data Valid]]=TRUE,((Table1[[#This Row],[Birthweight (grams)]]*1.1/Table1[[#This Row],[BW_GA]])-1)/(Backend!$B$4/100*Table1[[#This Row],[BW40_3705]]),"")</f>
        <v/>
      </c>
      <c r="J2296" s="7" t="str">
        <f>IF(Table1[[#This Row],[Is Data Valid]]=TRUE,_xlfn.NORM.S.DIST(Table1[[#This Row],[Birthweight Z-Score]],TRUE)*100,"")</f>
        <v/>
      </c>
      <c r="K2296" s="7" t="str">
        <f>IF(Table1[[#This Row],[Is Data Valid]]=TRUE,_xlfn.NORM.S.DIST(Table1[[#This Row],[Birthweight Z-Score (BW-10%)]],TRUE)*100,"")</f>
        <v/>
      </c>
      <c r="L2296" s="7" t="str">
        <f>IF(Table1[[#This Row],[Is Data Valid]]=TRUE,_xlfn.NORM.S.DIST(Table1[[#This Row],[Birthweight Z-Score (BW+10%)]],TRUE)*100,"")</f>
        <v/>
      </c>
    </row>
    <row r="2297" spans="1:12" x14ac:dyDescent="0.35">
      <c r="A2297" s="3"/>
      <c r="B2297" s="2"/>
      <c r="C2297" s="2"/>
      <c r="D2297" s="2" t="b">
        <f>IF(AND(NOT(ISBLANK(Table1[[#This Row],[Fetal Sex (Male, Female or Unknown)]])),ISNUMBER(Table1[[#This Row],[Birthweight (grams)]]),ISNUMBER(Table1[[#This Row],[Gestation (days)]])),TRUE,FALSE)</f>
        <v>0</v>
      </c>
      <c r="E2297" s="2" t="str">
        <f>IF(Table1[[#This Row],[Is Data Valid]]=TRUE,IF(Table1[[#This Row],[Fetal Sex (Male, Female or Unknown)]]="Male",Backend!$C$6,IF(Table1[[#This Row],[Fetal Sex (Male, Female or Unknown)]]="Female",Backend!$C$7,IF(Table1[[#This Row],[Fetal Sex (Male, Female or Unknown)]]="Unknown",Backend!$C$8,"Error"))),"")</f>
        <v/>
      </c>
      <c r="F2297" s="8" t="str">
        <f>IF(Table1[[#This Row],[Is Data Valid]]=TRUE,EXP(0.578+0.332*((Table1[[#This Row],[Gestation (days)]]+0.5)/7)-0.00354*((Table1[[#This Row],[Gestation (days)]]+0.5)/7)^2)*Table1[[#This Row],[BW40_3705]],"")</f>
        <v/>
      </c>
      <c r="G2297" s="2" t="str">
        <f>IF(Table1[[#This Row],[Is Data Valid]]=TRUE,((Table1[[#This Row],[Birthweight (grams)]]/Table1[[#This Row],[BW_GA]])-1)/(Backend!$B$4/100*Table1[[#This Row],[BW40_3705]]),"")</f>
        <v/>
      </c>
      <c r="H2297" s="7" t="str">
        <f>IF(Table1[[#This Row],[Is Data Valid]]=TRUE,((Table1[[#This Row],[Birthweight (grams)]]*0.9/Table1[[#This Row],[BW_GA]])-1)/(Backend!$B$4/100*Table1[[#This Row],[BW40_3705]]),"")</f>
        <v/>
      </c>
      <c r="I2297" s="7" t="str">
        <f>IF(Table1[[#This Row],[Is Data Valid]]=TRUE,((Table1[[#This Row],[Birthweight (grams)]]*1.1/Table1[[#This Row],[BW_GA]])-1)/(Backend!$B$4/100*Table1[[#This Row],[BW40_3705]]),"")</f>
        <v/>
      </c>
      <c r="J2297" s="7" t="str">
        <f>IF(Table1[[#This Row],[Is Data Valid]]=TRUE,_xlfn.NORM.S.DIST(Table1[[#This Row],[Birthweight Z-Score]],TRUE)*100,"")</f>
        <v/>
      </c>
      <c r="K2297" s="7" t="str">
        <f>IF(Table1[[#This Row],[Is Data Valid]]=TRUE,_xlfn.NORM.S.DIST(Table1[[#This Row],[Birthweight Z-Score (BW-10%)]],TRUE)*100,"")</f>
        <v/>
      </c>
      <c r="L2297" s="7" t="str">
        <f>IF(Table1[[#This Row],[Is Data Valid]]=TRUE,_xlfn.NORM.S.DIST(Table1[[#This Row],[Birthweight Z-Score (BW+10%)]],TRUE)*100,"")</f>
        <v/>
      </c>
    </row>
    <row r="2298" spans="1:12" x14ac:dyDescent="0.35">
      <c r="A2298" s="3"/>
      <c r="B2298" s="2"/>
      <c r="C2298" s="2"/>
      <c r="D2298" s="2" t="b">
        <f>IF(AND(NOT(ISBLANK(Table1[[#This Row],[Fetal Sex (Male, Female or Unknown)]])),ISNUMBER(Table1[[#This Row],[Birthweight (grams)]]),ISNUMBER(Table1[[#This Row],[Gestation (days)]])),TRUE,FALSE)</f>
        <v>0</v>
      </c>
      <c r="E2298" s="2" t="str">
        <f>IF(Table1[[#This Row],[Is Data Valid]]=TRUE,IF(Table1[[#This Row],[Fetal Sex (Male, Female or Unknown)]]="Male",Backend!$C$6,IF(Table1[[#This Row],[Fetal Sex (Male, Female or Unknown)]]="Female",Backend!$C$7,IF(Table1[[#This Row],[Fetal Sex (Male, Female or Unknown)]]="Unknown",Backend!$C$8,"Error"))),"")</f>
        <v/>
      </c>
      <c r="F2298" s="8" t="str">
        <f>IF(Table1[[#This Row],[Is Data Valid]]=TRUE,EXP(0.578+0.332*((Table1[[#This Row],[Gestation (days)]]+0.5)/7)-0.00354*((Table1[[#This Row],[Gestation (days)]]+0.5)/7)^2)*Table1[[#This Row],[BW40_3705]],"")</f>
        <v/>
      </c>
      <c r="G2298" s="2" t="str">
        <f>IF(Table1[[#This Row],[Is Data Valid]]=TRUE,((Table1[[#This Row],[Birthweight (grams)]]/Table1[[#This Row],[BW_GA]])-1)/(Backend!$B$4/100*Table1[[#This Row],[BW40_3705]]),"")</f>
        <v/>
      </c>
      <c r="H2298" s="7" t="str">
        <f>IF(Table1[[#This Row],[Is Data Valid]]=TRUE,((Table1[[#This Row],[Birthweight (grams)]]*0.9/Table1[[#This Row],[BW_GA]])-1)/(Backend!$B$4/100*Table1[[#This Row],[BW40_3705]]),"")</f>
        <v/>
      </c>
      <c r="I2298" s="7" t="str">
        <f>IF(Table1[[#This Row],[Is Data Valid]]=TRUE,((Table1[[#This Row],[Birthweight (grams)]]*1.1/Table1[[#This Row],[BW_GA]])-1)/(Backend!$B$4/100*Table1[[#This Row],[BW40_3705]]),"")</f>
        <v/>
      </c>
      <c r="J2298" s="7" t="str">
        <f>IF(Table1[[#This Row],[Is Data Valid]]=TRUE,_xlfn.NORM.S.DIST(Table1[[#This Row],[Birthweight Z-Score]],TRUE)*100,"")</f>
        <v/>
      </c>
      <c r="K2298" s="7" t="str">
        <f>IF(Table1[[#This Row],[Is Data Valid]]=TRUE,_xlfn.NORM.S.DIST(Table1[[#This Row],[Birthweight Z-Score (BW-10%)]],TRUE)*100,"")</f>
        <v/>
      </c>
      <c r="L2298" s="7" t="str">
        <f>IF(Table1[[#This Row],[Is Data Valid]]=TRUE,_xlfn.NORM.S.DIST(Table1[[#This Row],[Birthweight Z-Score (BW+10%)]],TRUE)*100,"")</f>
        <v/>
      </c>
    </row>
    <row r="2299" spans="1:12" x14ac:dyDescent="0.35">
      <c r="A2299" s="3"/>
      <c r="B2299" s="2"/>
      <c r="C2299" s="2"/>
      <c r="D2299" s="2" t="b">
        <f>IF(AND(NOT(ISBLANK(Table1[[#This Row],[Fetal Sex (Male, Female or Unknown)]])),ISNUMBER(Table1[[#This Row],[Birthweight (grams)]]),ISNUMBER(Table1[[#This Row],[Gestation (days)]])),TRUE,FALSE)</f>
        <v>0</v>
      </c>
      <c r="E2299" s="2" t="str">
        <f>IF(Table1[[#This Row],[Is Data Valid]]=TRUE,IF(Table1[[#This Row],[Fetal Sex (Male, Female or Unknown)]]="Male",Backend!$C$6,IF(Table1[[#This Row],[Fetal Sex (Male, Female or Unknown)]]="Female",Backend!$C$7,IF(Table1[[#This Row],[Fetal Sex (Male, Female or Unknown)]]="Unknown",Backend!$C$8,"Error"))),"")</f>
        <v/>
      </c>
      <c r="F2299" s="8" t="str">
        <f>IF(Table1[[#This Row],[Is Data Valid]]=TRUE,EXP(0.578+0.332*((Table1[[#This Row],[Gestation (days)]]+0.5)/7)-0.00354*((Table1[[#This Row],[Gestation (days)]]+0.5)/7)^2)*Table1[[#This Row],[BW40_3705]],"")</f>
        <v/>
      </c>
      <c r="G2299" s="2" t="str">
        <f>IF(Table1[[#This Row],[Is Data Valid]]=TRUE,((Table1[[#This Row],[Birthweight (grams)]]/Table1[[#This Row],[BW_GA]])-1)/(Backend!$B$4/100*Table1[[#This Row],[BW40_3705]]),"")</f>
        <v/>
      </c>
      <c r="H2299" s="7" t="str">
        <f>IF(Table1[[#This Row],[Is Data Valid]]=TRUE,((Table1[[#This Row],[Birthweight (grams)]]*0.9/Table1[[#This Row],[BW_GA]])-1)/(Backend!$B$4/100*Table1[[#This Row],[BW40_3705]]),"")</f>
        <v/>
      </c>
      <c r="I2299" s="7" t="str">
        <f>IF(Table1[[#This Row],[Is Data Valid]]=TRUE,((Table1[[#This Row],[Birthweight (grams)]]*1.1/Table1[[#This Row],[BW_GA]])-1)/(Backend!$B$4/100*Table1[[#This Row],[BW40_3705]]),"")</f>
        <v/>
      </c>
      <c r="J2299" s="7" t="str">
        <f>IF(Table1[[#This Row],[Is Data Valid]]=TRUE,_xlfn.NORM.S.DIST(Table1[[#This Row],[Birthweight Z-Score]],TRUE)*100,"")</f>
        <v/>
      </c>
      <c r="K2299" s="7" t="str">
        <f>IF(Table1[[#This Row],[Is Data Valid]]=TRUE,_xlfn.NORM.S.DIST(Table1[[#This Row],[Birthweight Z-Score (BW-10%)]],TRUE)*100,"")</f>
        <v/>
      </c>
      <c r="L2299" s="7" t="str">
        <f>IF(Table1[[#This Row],[Is Data Valid]]=TRUE,_xlfn.NORM.S.DIST(Table1[[#This Row],[Birthweight Z-Score (BW+10%)]],TRUE)*100,"")</f>
        <v/>
      </c>
    </row>
    <row r="2300" spans="1:12" x14ac:dyDescent="0.35">
      <c r="A2300" s="3"/>
      <c r="B2300" s="2"/>
      <c r="C2300" s="2"/>
      <c r="D2300" s="2" t="b">
        <f>IF(AND(NOT(ISBLANK(Table1[[#This Row],[Fetal Sex (Male, Female or Unknown)]])),ISNUMBER(Table1[[#This Row],[Birthweight (grams)]]),ISNUMBER(Table1[[#This Row],[Gestation (days)]])),TRUE,FALSE)</f>
        <v>0</v>
      </c>
      <c r="E2300" s="2" t="str">
        <f>IF(Table1[[#This Row],[Is Data Valid]]=TRUE,IF(Table1[[#This Row],[Fetal Sex (Male, Female or Unknown)]]="Male",Backend!$C$6,IF(Table1[[#This Row],[Fetal Sex (Male, Female or Unknown)]]="Female",Backend!$C$7,IF(Table1[[#This Row],[Fetal Sex (Male, Female or Unknown)]]="Unknown",Backend!$C$8,"Error"))),"")</f>
        <v/>
      </c>
      <c r="F2300" s="8" t="str">
        <f>IF(Table1[[#This Row],[Is Data Valid]]=TRUE,EXP(0.578+0.332*((Table1[[#This Row],[Gestation (days)]]+0.5)/7)-0.00354*((Table1[[#This Row],[Gestation (days)]]+0.5)/7)^2)*Table1[[#This Row],[BW40_3705]],"")</f>
        <v/>
      </c>
      <c r="G2300" s="2" t="str">
        <f>IF(Table1[[#This Row],[Is Data Valid]]=TRUE,((Table1[[#This Row],[Birthweight (grams)]]/Table1[[#This Row],[BW_GA]])-1)/(Backend!$B$4/100*Table1[[#This Row],[BW40_3705]]),"")</f>
        <v/>
      </c>
      <c r="H2300" s="7" t="str">
        <f>IF(Table1[[#This Row],[Is Data Valid]]=TRUE,((Table1[[#This Row],[Birthweight (grams)]]*0.9/Table1[[#This Row],[BW_GA]])-1)/(Backend!$B$4/100*Table1[[#This Row],[BW40_3705]]),"")</f>
        <v/>
      </c>
      <c r="I2300" s="7" t="str">
        <f>IF(Table1[[#This Row],[Is Data Valid]]=TRUE,((Table1[[#This Row],[Birthweight (grams)]]*1.1/Table1[[#This Row],[BW_GA]])-1)/(Backend!$B$4/100*Table1[[#This Row],[BW40_3705]]),"")</f>
        <v/>
      </c>
      <c r="J2300" s="7" t="str">
        <f>IF(Table1[[#This Row],[Is Data Valid]]=TRUE,_xlfn.NORM.S.DIST(Table1[[#This Row],[Birthweight Z-Score]],TRUE)*100,"")</f>
        <v/>
      </c>
      <c r="K2300" s="7" t="str">
        <f>IF(Table1[[#This Row],[Is Data Valid]]=TRUE,_xlfn.NORM.S.DIST(Table1[[#This Row],[Birthweight Z-Score (BW-10%)]],TRUE)*100,"")</f>
        <v/>
      </c>
      <c r="L2300" s="7" t="str">
        <f>IF(Table1[[#This Row],[Is Data Valid]]=TRUE,_xlfn.NORM.S.DIST(Table1[[#This Row],[Birthweight Z-Score (BW+10%)]],TRUE)*100,"")</f>
        <v/>
      </c>
    </row>
    <row r="2301" spans="1:12" x14ac:dyDescent="0.35">
      <c r="A2301" s="3"/>
      <c r="B2301" s="2"/>
      <c r="C2301" s="2"/>
      <c r="D2301" s="2" t="b">
        <f>IF(AND(NOT(ISBLANK(Table1[[#This Row],[Fetal Sex (Male, Female or Unknown)]])),ISNUMBER(Table1[[#This Row],[Birthweight (grams)]]),ISNUMBER(Table1[[#This Row],[Gestation (days)]])),TRUE,FALSE)</f>
        <v>0</v>
      </c>
      <c r="E2301" s="2" t="str">
        <f>IF(Table1[[#This Row],[Is Data Valid]]=TRUE,IF(Table1[[#This Row],[Fetal Sex (Male, Female or Unknown)]]="Male",Backend!$C$6,IF(Table1[[#This Row],[Fetal Sex (Male, Female or Unknown)]]="Female",Backend!$C$7,IF(Table1[[#This Row],[Fetal Sex (Male, Female or Unknown)]]="Unknown",Backend!$C$8,"Error"))),"")</f>
        <v/>
      </c>
      <c r="F2301" s="8" t="str">
        <f>IF(Table1[[#This Row],[Is Data Valid]]=TRUE,EXP(0.578+0.332*((Table1[[#This Row],[Gestation (days)]]+0.5)/7)-0.00354*((Table1[[#This Row],[Gestation (days)]]+0.5)/7)^2)*Table1[[#This Row],[BW40_3705]],"")</f>
        <v/>
      </c>
      <c r="G2301" s="2" t="str">
        <f>IF(Table1[[#This Row],[Is Data Valid]]=TRUE,((Table1[[#This Row],[Birthweight (grams)]]/Table1[[#This Row],[BW_GA]])-1)/(Backend!$B$4/100*Table1[[#This Row],[BW40_3705]]),"")</f>
        <v/>
      </c>
      <c r="H2301" s="7" t="str">
        <f>IF(Table1[[#This Row],[Is Data Valid]]=TRUE,((Table1[[#This Row],[Birthweight (grams)]]*0.9/Table1[[#This Row],[BW_GA]])-1)/(Backend!$B$4/100*Table1[[#This Row],[BW40_3705]]),"")</f>
        <v/>
      </c>
      <c r="I2301" s="7" t="str">
        <f>IF(Table1[[#This Row],[Is Data Valid]]=TRUE,((Table1[[#This Row],[Birthweight (grams)]]*1.1/Table1[[#This Row],[BW_GA]])-1)/(Backend!$B$4/100*Table1[[#This Row],[BW40_3705]]),"")</f>
        <v/>
      </c>
      <c r="J2301" s="7" t="str">
        <f>IF(Table1[[#This Row],[Is Data Valid]]=TRUE,_xlfn.NORM.S.DIST(Table1[[#This Row],[Birthweight Z-Score]],TRUE)*100,"")</f>
        <v/>
      </c>
      <c r="K2301" s="7" t="str">
        <f>IF(Table1[[#This Row],[Is Data Valid]]=TRUE,_xlfn.NORM.S.DIST(Table1[[#This Row],[Birthweight Z-Score (BW-10%)]],TRUE)*100,"")</f>
        <v/>
      </c>
      <c r="L2301" s="7" t="str">
        <f>IF(Table1[[#This Row],[Is Data Valid]]=TRUE,_xlfn.NORM.S.DIST(Table1[[#This Row],[Birthweight Z-Score (BW+10%)]],TRUE)*100,"")</f>
        <v/>
      </c>
    </row>
    <row r="2302" spans="1:12" x14ac:dyDescent="0.35">
      <c r="A2302" s="3"/>
      <c r="B2302" s="2"/>
      <c r="C2302" s="2"/>
      <c r="D2302" s="2" t="b">
        <f>IF(AND(NOT(ISBLANK(Table1[[#This Row],[Fetal Sex (Male, Female or Unknown)]])),ISNUMBER(Table1[[#This Row],[Birthweight (grams)]]),ISNUMBER(Table1[[#This Row],[Gestation (days)]])),TRUE,FALSE)</f>
        <v>0</v>
      </c>
      <c r="E2302" s="2" t="str">
        <f>IF(Table1[[#This Row],[Is Data Valid]]=TRUE,IF(Table1[[#This Row],[Fetal Sex (Male, Female or Unknown)]]="Male",Backend!$C$6,IF(Table1[[#This Row],[Fetal Sex (Male, Female or Unknown)]]="Female",Backend!$C$7,IF(Table1[[#This Row],[Fetal Sex (Male, Female or Unknown)]]="Unknown",Backend!$C$8,"Error"))),"")</f>
        <v/>
      </c>
      <c r="F2302" s="8" t="str">
        <f>IF(Table1[[#This Row],[Is Data Valid]]=TRUE,EXP(0.578+0.332*((Table1[[#This Row],[Gestation (days)]]+0.5)/7)-0.00354*((Table1[[#This Row],[Gestation (days)]]+0.5)/7)^2)*Table1[[#This Row],[BW40_3705]],"")</f>
        <v/>
      </c>
      <c r="G2302" s="2" t="str">
        <f>IF(Table1[[#This Row],[Is Data Valid]]=TRUE,((Table1[[#This Row],[Birthweight (grams)]]/Table1[[#This Row],[BW_GA]])-1)/(Backend!$B$4/100*Table1[[#This Row],[BW40_3705]]),"")</f>
        <v/>
      </c>
      <c r="H2302" s="7" t="str">
        <f>IF(Table1[[#This Row],[Is Data Valid]]=TRUE,((Table1[[#This Row],[Birthweight (grams)]]*0.9/Table1[[#This Row],[BW_GA]])-1)/(Backend!$B$4/100*Table1[[#This Row],[BW40_3705]]),"")</f>
        <v/>
      </c>
      <c r="I2302" s="7" t="str">
        <f>IF(Table1[[#This Row],[Is Data Valid]]=TRUE,((Table1[[#This Row],[Birthweight (grams)]]*1.1/Table1[[#This Row],[BW_GA]])-1)/(Backend!$B$4/100*Table1[[#This Row],[BW40_3705]]),"")</f>
        <v/>
      </c>
      <c r="J2302" s="7" t="str">
        <f>IF(Table1[[#This Row],[Is Data Valid]]=TRUE,_xlfn.NORM.S.DIST(Table1[[#This Row],[Birthweight Z-Score]],TRUE)*100,"")</f>
        <v/>
      </c>
      <c r="K2302" s="7" t="str">
        <f>IF(Table1[[#This Row],[Is Data Valid]]=TRUE,_xlfn.NORM.S.DIST(Table1[[#This Row],[Birthweight Z-Score (BW-10%)]],TRUE)*100,"")</f>
        <v/>
      </c>
      <c r="L2302" s="7" t="str">
        <f>IF(Table1[[#This Row],[Is Data Valid]]=TRUE,_xlfn.NORM.S.DIST(Table1[[#This Row],[Birthweight Z-Score (BW+10%)]],TRUE)*100,"")</f>
        <v/>
      </c>
    </row>
    <row r="2303" spans="1:12" x14ac:dyDescent="0.35">
      <c r="A2303" s="3"/>
      <c r="B2303" s="2"/>
      <c r="C2303" s="2"/>
      <c r="D2303" s="2" t="b">
        <f>IF(AND(NOT(ISBLANK(Table1[[#This Row],[Fetal Sex (Male, Female or Unknown)]])),ISNUMBER(Table1[[#This Row],[Birthweight (grams)]]),ISNUMBER(Table1[[#This Row],[Gestation (days)]])),TRUE,FALSE)</f>
        <v>0</v>
      </c>
      <c r="E2303" s="2" t="str">
        <f>IF(Table1[[#This Row],[Is Data Valid]]=TRUE,IF(Table1[[#This Row],[Fetal Sex (Male, Female or Unknown)]]="Male",Backend!$C$6,IF(Table1[[#This Row],[Fetal Sex (Male, Female or Unknown)]]="Female",Backend!$C$7,IF(Table1[[#This Row],[Fetal Sex (Male, Female or Unknown)]]="Unknown",Backend!$C$8,"Error"))),"")</f>
        <v/>
      </c>
      <c r="F2303" s="8" t="str">
        <f>IF(Table1[[#This Row],[Is Data Valid]]=TRUE,EXP(0.578+0.332*((Table1[[#This Row],[Gestation (days)]]+0.5)/7)-0.00354*((Table1[[#This Row],[Gestation (days)]]+0.5)/7)^2)*Table1[[#This Row],[BW40_3705]],"")</f>
        <v/>
      </c>
      <c r="G2303" s="2" t="str">
        <f>IF(Table1[[#This Row],[Is Data Valid]]=TRUE,((Table1[[#This Row],[Birthweight (grams)]]/Table1[[#This Row],[BW_GA]])-1)/(Backend!$B$4/100*Table1[[#This Row],[BW40_3705]]),"")</f>
        <v/>
      </c>
      <c r="H2303" s="7" t="str">
        <f>IF(Table1[[#This Row],[Is Data Valid]]=TRUE,((Table1[[#This Row],[Birthweight (grams)]]*0.9/Table1[[#This Row],[BW_GA]])-1)/(Backend!$B$4/100*Table1[[#This Row],[BW40_3705]]),"")</f>
        <v/>
      </c>
      <c r="I2303" s="7" t="str">
        <f>IF(Table1[[#This Row],[Is Data Valid]]=TRUE,((Table1[[#This Row],[Birthweight (grams)]]*1.1/Table1[[#This Row],[BW_GA]])-1)/(Backend!$B$4/100*Table1[[#This Row],[BW40_3705]]),"")</f>
        <v/>
      </c>
      <c r="J2303" s="7" t="str">
        <f>IF(Table1[[#This Row],[Is Data Valid]]=TRUE,_xlfn.NORM.S.DIST(Table1[[#This Row],[Birthweight Z-Score]],TRUE)*100,"")</f>
        <v/>
      </c>
      <c r="K2303" s="7" t="str">
        <f>IF(Table1[[#This Row],[Is Data Valid]]=TRUE,_xlfn.NORM.S.DIST(Table1[[#This Row],[Birthweight Z-Score (BW-10%)]],TRUE)*100,"")</f>
        <v/>
      </c>
      <c r="L2303" s="7" t="str">
        <f>IF(Table1[[#This Row],[Is Data Valid]]=TRUE,_xlfn.NORM.S.DIST(Table1[[#This Row],[Birthweight Z-Score (BW+10%)]],TRUE)*100,"")</f>
        <v/>
      </c>
    </row>
    <row r="2304" spans="1:12" x14ac:dyDescent="0.35">
      <c r="A2304" s="3"/>
      <c r="B2304" s="2"/>
      <c r="C2304" s="2"/>
      <c r="D2304" s="2" t="b">
        <f>IF(AND(NOT(ISBLANK(Table1[[#This Row],[Fetal Sex (Male, Female or Unknown)]])),ISNUMBER(Table1[[#This Row],[Birthweight (grams)]]),ISNUMBER(Table1[[#This Row],[Gestation (days)]])),TRUE,FALSE)</f>
        <v>0</v>
      </c>
      <c r="E2304" s="2" t="str">
        <f>IF(Table1[[#This Row],[Is Data Valid]]=TRUE,IF(Table1[[#This Row],[Fetal Sex (Male, Female or Unknown)]]="Male",Backend!$C$6,IF(Table1[[#This Row],[Fetal Sex (Male, Female or Unknown)]]="Female",Backend!$C$7,IF(Table1[[#This Row],[Fetal Sex (Male, Female or Unknown)]]="Unknown",Backend!$C$8,"Error"))),"")</f>
        <v/>
      </c>
      <c r="F2304" s="8" t="str">
        <f>IF(Table1[[#This Row],[Is Data Valid]]=TRUE,EXP(0.578+0.332*((Table1[[#This Row],[Gestation (days)]]+0.5)/7)-0.00354*((Table1[[#This Row],[Gestation (days)]]+0.5)/7)^2)*Table1[[#This Row],[BW40_3705]],"")</f>
        <v/>
      </c>
      <c r="G2304" s="2" t="str">
        <f>IF(Table1[[#This Row],[Is Data Valid]]=TRUE,((Table1[[#This Row],[Birthweight (grams)]]/Table1[[#This Row],[BW_GA]])-1)/(Backend!$B$4/100*Table1[[#This Row],[BW40_3705]]),"")</f>
        <v/>
      </c>
      <c r="H2304" s="7" t="str">
        <f>IF(Table1[[#This Row],[Is Data Valid]]=TRUE,((Table1[[#This Row],[Birthweight (grams)]]*0.9/Table1[[#This Row],[BW_GA]])-1)/(Backend!$B$4/100*Table1[[#This Row],[BW40_3705]]),"")</f>
        <v/>
      </c>
      <c r="I2304" s="7" t="str">
        <f>IF(Table1[[#This Row],[Is Data Valid]]=TRUE,((Table1[[#This Row],[Birthweight (grams)]]*1.1/Table1[[#This Row],[BW_GA]])-1)/(Backend!$B$4/100*Table1[[#This Row],[BW40_3705]]),"")</f>
        <v/>
      </c>
      <c r="J2304" s="7" t="str">
        <f>IF(Table1[[#This Row],[Is Data Valid]]=TRUE,_xlfn.NORM.S.DIST(Table1[[#This Row],[Birthweight Z-Score]],TRUE)*100,"")</f>
        <v/>
      </c>
      <c r="K2304" s="7" t="str">
        <f>IF(Table1[[#This Row],[Is Data Valid]]=TRUE,_xlfn.NORM.S.DIST(Table1[[#This Row],[Birthweight Z-Score (BW-10%)]],TRUE)*100,"")</f>
        <v/>
      </c>
      <c r="L2304" s="7" t="str">
        <f>IF(Table1[[#This Row],[Is Data Valid]]=TRUE,_xlfn.NORM.S.DIST(Table1[[#This Row],[Birthweight Z-Score (BW+10%)]],TRUE)*100,"")</f>
        <v/>
      </c>
    </row>
    <row r="2305" spans="1:12" x14ac:dyDescent="0.35">
      <c r="A2305" s="3"/>
      <c r="B2305" s="2"/>
      <c r="C2305" s="2"/>
      <c r="D2305" s="2" t="b">
        <f>IF(AND(NOT(ISBLANK(Table1[[#This Row],[Fetal Sex (Male, Female or Unknown)]])),ISNUMBER(Table1[[#This Row],[Birthweight (grams)]]),ISNUMBER(Table1[[#This Row],[Gestation (days)]])),TRUE,FALSE)</f>
        <v>0</v>
      </c>
      <c r="E2305" s="2" t="str">
        <f>IF(Table1[[#This Row],[Is Data Valid]]=TRUE,IF(Table1[[#This Row],[Fetal Sex (Male, Female or Unknown)]]="Male",Backend!$C$6,IF(Table1[[#This Row],[Fetal Sex (Male, Female or Unknown)]]="Female",Backend!$C$7,IF(Table1[[#This Row],[Fetal Sex (Male, Female or Unknown)]]="Unknown",Backend!$C$8,"Error"))),"")</f>
        <v/>
      </c>
      <c r="F2305" s="8" t="str">
        <f>IF(Table1[[#This Row],[Is Data Valid]]=TRUE,EXP(0.578+0.332*((Table1[[#This Row],[Gestation (days)]]+0.5)/7)-0.00354*((Table1[[#This Row],[Gestation (days)]]+0.5)/7)^2)*Table1[[#This Row],[BW40_3705]],"")</f>
        <v/>
      </c>
      <c r="G2305" s="2" t="str">
        <f>IF(Table1[[#This Row],[Is Data Valid]]=TRUE,((Table1[[#This Row],[Birthweight (grams)]]/Table1[[#This Row],[BW_GA]])-1)/(Backend!$B$4/100*Table1[[#This Row],[BW40_3705]]),"")</f>
        <v/>
      </c>
      <c r="H2305" s="7" t="str">
        <f>IF(Table1[[#This Row],[Is Data Valid]]=TRUE,((Table1[[#This Row],[Birthweight (grams)]]*0.9/Table1[[#This Row],[BW_GA]])-1)/(Backend!$B$4/100*Table1[[#This Row],[BW40_3705]]),"")</f>
        <v/>
      </c>
      <c r="I2305" s="7" t="str">
        <f>IF(Table1[[#This Row],[Is Data Valid]]=TRUE,((Table1[[#This Row],[Birthweight (grams)]]*1.1/Table1[[#This Row],[BW_GA]])-1)/(Backend!$B$4/100*Table1[[#This Row],[BW40_3705]]),"")</f>
        <v/>
      </c>
      <c r="J2305" s="7" t="str">
        <f>IF(Table1[[#This Row],[Is Data Valid]]=TRUE,_xlfn.NORM.S.DIST(Table1[[#This Row],[Birthweight Z-Score]],TRUE)*100,"")</f>
        <v/>
      </c>
      <c r="K2305" s="7" t="str">
        <f>IF(Table1[[#This Row],[Is Data Valid]]=TRUE,_xlfn.NORM.S.DIST(Table1[[#This Row],[Birthweight Z-Score (BW-10%)]],TRUE)*100,"")</f>
        <v/>
      </c>
      <c r="L2305" s="7" t="str">
        <f>IF(Table1[[#This Row],[Is Data Valid]]=TRUE,_xlfn.NORM.S.DIST(Table1[[#This Row],[Birthweight Z-Score (BW+10%)]],TRUE)*100,"")</f>
        <v/>
      </c>
    </row>
    <row r="2306" spans="1:12" x14ac:dyDescent="0.35">
      <c r="A2306" s="3"/>
      <c r="B2306" s="2"/>
      <c r="C2306" s="2"/>
      <c r="D2306" s="2" t="b">
        <f>IF(AND(NOT(ISBLANK(Table1[[#This Row],[Fetal Sex (Male, Female or Unknown)]])),ISNUMBER(Table1[[#This Row],[Birthweight (grams)]]),ISNUMBER(Table1[[#This Row],[Gestation (days)]])),TRUE,FALSE)</f>
        <v>0</v>
      </c>
      <c r="E2306" s="2" t="str">
        <f>IF(Table1[[#This Row],[Is Data Valid]]=TRUE,IF(Table1[[#This Row],[Fetal Sex (Male, Female or Unknown)]]="Male",Backend!$C$6,IF(Table1[[#This Row],[Fetal Sex (Male, Female or Unknown)]]="Female",Backend!$C$7,IF(Table1[[#This Row],[Fetal Sex (Male, Female or Unknown)]]="Unknown",Backend!$C$8,"Error"))),"")</f>
        <v/>
      </c>
      <c r="F2306" s="8" t="str">
        <f>IF(Table1[[#This Row],[Is Data Valid]]=TRUE,EXP(0.578+0.332*((Table1[[#This Row],[Gestation (days)]]+0.5)/7)-0.00354*((Table1[[#This Row],[Gestation (days)]]+0.5)/7)^2)*Table1[[#This Row],[BW40_3705]],"")</f>
        <v/>
      </c>
      <c r="G2306" s="2" t="str">
        <f>IF(Table1[[#This Row],[Is Data Valid]]=TRUE,((Table1[[#This Row],[Birthweight (grams)]]/Table1[[#This Row],[BW_GA]])-1)/(Backend!$B$4/100*Table1[[#This Row],[BW40_3705]]),"")</f>
        <v/>
      </c>
      <c r="H2306" s="7" t="str">
        <f>IF(Table1[[#This Row],[Is Data Valid]]=TRUE,((Table1[[#This Row],[Birthweight (grams)]]*0.9/Table1[[#This Row],[BW_GA]])-1)/(Backend!$B$4/100*Table1[[#This Row],[BW40_3705]]),"")</f>
        <v/>
      </c>
      <c r="I2306" s="7" t="str">
        <f>IF(Table1[[#This Row],[Is Data Valid]]=TRUE,((Table1[[#This Row],[Birthweight (grams)]]*1.1/Table1[[#This Row],[BW_GA]])-1)/(Backend!$B$4/100*Table1[[#This Row],[BW40_3705]]),"")</f>
        <v/>
      </c>
      <c r="J2306" s="7" t="str">
        <f>IF(Table1[[#This Row],[Is Data Valid]]=TRUE,_xlfn.NORM.S.DIST(Table1[[#This Row],[Birthweight Z-Score]],TRUE)*100,"")</f>
        <v/>
      </c>
      <c r="K2306" s="7" t="str">
        <f>IF(Table1[[#This Row],[Is Data Valid]]=TRUE,_xlfn.NORM.S.DIST(Table1[[#This Row],[Birthweight Z-Score (BW-10%)]],TRUE)*100,"")</f>
        <v/>
      </c>
      <c r="L2306" s="7" t="str">
        <f>IF(Table1[[#This Row],[Is Data Valid]]=TRUE,_xlfn.NORM.S.DIST(Table1[[#This Row],[Birthweight Z-Score (BW+10%)]],TRUE)*100,"")</f>
        <v/>
      </c>
    </row>
    <row r="2307" spans="1:12" x14ac:dyDescent="0.35">
      <c r="A2307" s="3"/>
      <c r="B2307" s="2"/>
      <c r="C2307" s="2"/>
      <c r="D2307" s="2" t="b">
        <f>IF(AND(NOT(ISBLANK(Table1[[#This Row],[Fetal Sex (Male, Female or Unknown)]])),ISNUMBER(Table1[[#This Row],[Birthweight (grams)]]),ISNUMBER(Table1[[#This Row],[Gestation (days)]])),TRUE,FALSE)</f>
        <v>0</v>
      </c>
      <c r="E2307" s="2" t="str">
        <f>IF(Table1[[#This Row],[Is Data Valid]]=TRUE,IF(Table1[[#This Row],[Fetal Sex (Male, Female or Unknown)]]="Male",Backend!$C$6,IF(Table1[[#This Row],[Fetal Sex (Male, Female or Unknown)]]="Female",Backend!$C$7,IF(Table1[[#This Row],[Fetal Sex (Male, Female or Unknown)]]="Unknown",Backend!$C$8,"Error"))),"")</f>
        <v/>
      </c>
      <c r="F2307" s="8" t="str">
        <f>IF(Table1[[#This Row],[Is Data Valid]]=TRUE,EXP(0.578+0.332*((Table1[[#This Row],[Gestation (days)]]+0.5)/7)-0.00354*((Table1[[#This Row],[Gestation (days)]]+0.5)/7)^2)*Table1[[#This Row],[BW40_3705]],"")</f>
        <v/>
      </c>
      <c r="G2307" s="2" t="str">
        <f>IF(Table1[[#This Row],[Is Data Valid]]=TRUE,((Table1[[#This Row],[Birthweight (grams)]]/Table1[[#This Row],[BW_GA]])-1)/(Backend!$B$4/100*Table1[[#This Row],[BW40_3705]]),"")</f>
        <v/>
      </c>
      <c r="H2307" s="7" t="str">
        <f>IF(Table1[[#This Row],[Is Data Valid]]=TRUE,((Table1[[#This Row],[Birthweight (grams)]]*0.9/Table1[[#This Row],[BW_GA]])-1)/(Backend!$B$4/100*Table1[[#This Row],[BW40_3705]]),"")</f>
        <v/>
      </c>
      <c r="I2307" s="7" t="str">
        <f>IF(Table1[[#This Row],[Is Data Valid]]=TRUE,((Table1[[#This Row],[Birthweight (grams)]]*1.1/Table1[[#This Row],[BW_GA]])-1)/(Backend!$B$4/100*Table1[[#This Row],[BW40_3705]]),"")</f>
        <v/>
      </c>
      <c r="J2307" s="7" t="str">
        <f>IF(Table1[[#This Row],[Is Data Valid]]=TRUE,_xlfn.NORM.S.DIST(Table1[[#This Row],[Birthweight Z-Score]],TRUE)*100,"")</f>
        <v/>
      </c>
      <c r="K2307" s="7" t="str">
        <f>IF(Table1[[#This Row],[Is Data Valid]]=TRUE,_xlfn.NORM.S.DIST(Table1[[#This Row],[Birthweight Z-Score (BW-10%)]],TRUE)*100,"")</f>
        <v/>
      </c>
      <c r="L2307" s="7" t="str">
        <f>IF(Table1[[#This Row],[Is Data Valid]]=TRUE,_xlfn.NORM.S.DIST(Table1[[#This Row],[Birthweight Z-Score (BW+10%)]],TRUE)*100,"")</f>
        <v/>
      </c>
    </row>
    <row r="2308" spans="1:12" x14ac:dyDescent="0.35">
      <c r="A2308" s="3"/>
      <c r="B2308" s="2"/>
      <c r="C2308" s="2"/>
      <c r="D2308" s="2" t="b">
        <f>IF(AND(NOT(ISBLANK(Table1[[#This Row],[Fetal Sex (Male, Female or Unknown)]])),ISNUMBER(Table1[[#This Row],[Birthweight (grams)]]),ISNUMBER(Table1[[#This Row],[Gestation (days)]])),TRUE,FALSE)</f>
        <v>0</v>
      </c>
      <c r="E2308" s="2" t="str">
        <f>IF(Table1[[#This Row],[Is Data Valid]]=TRUE,IF(Table1[[#This Row],[Fetal Sex (Male, Female or Unknown)]]="Male",Backend!$C$6,IF(Table1[[#This Row],[Fetal Sex (Male, Female or Unknown)]]="Female",Backend!$C$7,IF(Table1[[#This Row],[Fetal Sex (Male, Female or Unknown)]]="Unknown",Backend!$C$8,"Error"))),"")</f>
        <v/>
      </c>
      <c r="F2308" s="8" t="str">
        <f>IF(Table1[[#This Row],[Is Data Valid]]=TRUE,EXP(0.578+0.332*((Table1[[#This Row],[Gestation (days)]]+0.5)/7)-0.00354*((Table1[[#This Row],[Gestation (days)]]+0.5)/7)^2)*Table1[[#This Row],[BW40_3705]],"")</f>
        <v/>
      </c>
      <c r="G2308" s="2" t="str">
        <f>IF(Table1[[#This Row],[Is Data Valid]]=TRUE,((Table1[[#This Row],[Birthweight (grams)]]/Table1[[#This Row],[BW_GA]])-1)/(Backend!$B$4/100*Table1[[#This Row],[BW40_3705]]),"")</f>
        <v/>
      </c>
      <c r="H2308" s="7" t="str">
        <f>IF(Table1[[#This Row],[Is Data Valid]]=TRUE,((Table1[[#This Row],[Birthweight (grams)]]*0.9/Table1[[#This Row],[BW_GA]])-1)/(Backend!$B$4/100*Table1[[#This Row],[BW40_3705]]),"")</f>
        <v/>
      </c>
      <c r="I2308" s="7" t="str">
        <f>IF(Table1[[#This Row],[Is Data Valid]]=TRUE,((Table1[[#This Row],[Birthweight (grams)]]*1.1/Table1[[#This Row],[BW_GA]])-1)/(Backend!$B$4/100*Table1[[#This Row],[BW40_3705]]),"")</f>
        <v/>
      </c>
      <c r="J2308" s="7" t="str">
        <f>IF(Table1[[#This Row],[Is Data Valid]]=TRUE,_xlfn.NORM.S.DIST(Table1[[#This Row],[Birthweight Z-Score]],TRUE)*100,"")</f>
        <v/>
      </c>
      <c r="K2308" s="7" t="str">
        <f>IF(Table1[[#This Row],[Is Data Valid]]=TRUE,_xlfn.NORM.S.DIST(Table1[[#This Row],[Birthweight Z-Score (BW-10%)]],TRUE)*100,"")</f>
        <v/>
      </c>
      <c r="L2308" s="7" t="str">
        <f>IF(Table1[[#This Row],[Is Data Valid]]=TRUE,_xlfn.NORM.S.DIST(Table1[[#This Row],[Birthweight Z-Score (BW+10%)]],TRUE)*100,"")</f>
        <v/>
      </c>
    </row>
    <row r="2309" spans="1:12" x14ac:dyDescent="0.35">
      <c r="A2309" s="3"/>
      <c r="B2309" s="2"/>
      <c r="C2309" s="2"/>
      <c r="D2309" s="2" t="b">
        <f>IF(AND(NOT(ISBLANK(Table1[[#This Row],[Fetal Sex (Male, Female or Unknown)]])),ISNUMBER(Table1[[#This Row],[Birthweight (grams)]]),ISNUMBER(Table1[[#This Row],[Gestation (days)]])),TRUE,FALSE)</f>
        <v>0</v>
      </c>
      <c r="E2309" s="2" t="str">
        <f>IF(Table1[[#This Row],[Is Data Valid]]=TRUE,IF(Table1[[#This Row],[Fetal Sex (Male, Female or Unknown)]]="Male",Backend!$C$6,IF(Table1[[#This Row],[Fetal Sex (Male, Female or Unknown)]]="Female",Backend!$C$7,IF(Table1[[#This Row],[Fetal Sex (Male, Female or Unknown)]]="Unknown",Backend!$C$8,"Error"))),"")</f>
        <v/>
      </c>
      <c r="F2309" s="8" t="str">
        <f>IF(Table1[[#This Row],[Is Data Valid]]=TRUE,EXP(0.578+0.332*((Table1[[#This Row],[Gestation (days)]]+0.5)/7)-0.00354*((Table1[[#This Row],[Gestation (days)]]+0.5)/7)^2)*Table1[[#This Row],[BW40_3705]],"")</f>
        <v/>
      </c>
      <c r="G2309" s="2" t="str">
        <f>IF(Table1[[#This Row],[Is Data Valid]]=TRUE,((Table1[[#This Row],[Birthweight (grams)]]/Table1[[#This Row],[BW_GA]])-1)/(Backend!$B$4/100*Table1[[#This Row],[BW40_3705]]),"")</f>
        <v/>
      </c>
      <c r="H2309" s="7" t="str">
        <f>IF(Table1[[#This Row],[Is Data Valid]]=TRUE,((Table1[[#This Row],[Birthweight (grams)]]*0.9/Table1[[#This Row],[BW_GA]])-1)/(Backend!$B$4/100*Table1[[#This Row],[BW40_3705]]),"")</f>
        <v/>
      </c>
      <c r="I2309" s="7" t="str">
        <f>IF(Table1[[#This Row],[Is Data Valid]]=TRUE,((Table1[[#This Row],[Birthweight (grams)]]*1.1/Table1[[#This Row],[BW_GA]])-1)/(Backend!$B$4/100*Table1[[#This Row],[BW40_3705]]),"")</f>
        <v/>
      </c>
      <c r="J2309" s="7" t="str">
        <f>IF(Table1[[#This Row],[Is Data Valid]]=TRUE,_xlfn.NORM.S.DIST(Table1[[#This Row],[Birthweight Z-Score]],TRUE)*100,"")</f>
        <v/>
      </c>
      <c r="K2309" s="7" t="str">
        <f>IF(Table1[[#This Row],[Is Data Valid]]=TRUE,_xlfn.NORM.S.DIST(Table1[[#This Row],[Birthweight Z-Score (BW-10%)]],TRUE)*100,"")</f>
        <v/>
      </c>
      <c r="L2309" s="7" t="str">
        <f>IF(Table1[[#This Row],[Is Data Valid]]=TRUE,_xlfn.NORM.S.DIST(Table1[[#This Row],[Birthweight Z-Score (BW+10%)]],TRUE)*100,"")</f>
        <v/>
      </c>
    </row>
    <row r="2310" spans="1:12" x14ac:dyDescent="0.35">
      <c r="A2310" s="3"/>
      <c r="B2310" s="2"/>
      <c r="C2310" s="2"/>
      <c r="D2310" s="2" t="b">
        <f>IF(AND(NOT(ISBLANK(Table1[[#This Row],[Fetal Sex (Male, Female or Unknown)]])),ISNUMBER(Table1[[#This Row],[Birthweight (grams)]]),ISNUMBER(Table1[[#This Row],[Gestation (days)]])),TRUE,FALSE)</f>
        <v>0</v>
      </c>
      <c r="E2310" s="2" t="str">
        <f>IF(Table1[[#This Row],[Is Data Valid]]=TRUE,IF(Table1[[#This Row],[Fetal Sex (Male, Female or Unknown)]]="Male",Backend!$C$6,IF(Table1[[#This Row],[Fetal Sex (Male, Female or Unknown)]]="Female",Backend!$C$7,IF(Table1[[#This Row],[Fetal Sex (Male, Female or Unknown)]]="Unknown",Backend!$C$8,"Error"))),"")</f>
        <v/>
      </c>
      <c r="F2310" s="8" t="str">
        <f>IF(Table1[[#This Row],[Is Data Valid]]=TRUE,EXP(0.578+0.332*((Table1[[#This Row],[Gestation (days)]]+0.5)/7)-0.00354*((Table1[[#This Row],[Gestation (days)]]+0.5)/7)^2)*Table1[[#This Row],[BW40_3705]],"")</f>
        <v/>
      </c>
      <c r="G2310" s="2" t="str">
        <f>IF(Table1[[#This Row],[Is Data Valid]]=TRUE,((Table1[[#This Row],[Birthweight (grams)]]/Table1[[#This Row],[BW_GA]])-1)/(Backend!$B$4/100*Table1[[#This Row],[BW40_3705]]),"")</f>
        <v/>
      </c>
      <c r="H2310" s="7" t="str">
        <f>IF(Table1[[#This Row],[Is Data Valid]]=TRUE,((Table1[[#This Row],[Birthweight (grams)]]*0.9/Table1[[#This Row],[BW_GA]])-1)/(Backend!$B$4/100*Table1[[#This Row],[BW40_3705]]),"")</f>
        <v/>
      </c>
      <c r="I2310" s="7" t="str">
        <f>IF(Table1[[#This Row],[Is Data Valid]]=TRUE,((Table1[[#This Row],[Birthweight (grams)]]*1.1/Table1[[#This Row],[BW_GA]])-1)/(Backend!$B$4/100*Table1[[#This Row],[BW40_3705]]),"")</f>
        <v/>
      </c>
      <c r="J2310" s="7" t="str">
        <f>IF(Table1[[#This Row],[Is Data Valid]]=TRUE,_xlfn.NORM.S.DIST(Table1[[#This Row],[Birthweight Z-Score]],TRUE)*100,"")</f>
        <v/>
      </c>
      <c r="K2310" s="7" t="str">
        <f>IF(Table1[[#This Row],[Is Data Valid]]=TRUE,_xlfn.NORM.S.DIST(Table1[[#This Row],[Birthweight Z-Score (BW-10%)]],TRUE)*100,"")</f>
        <v/>
      </c>
      <c r="L2310" s="7" t="str">
        <f>IF(Table1[[#This Row],[Is Data Valid]]=TRUE,_xlfn.NORM.S.DIST(Table1[[#This Row],[Birthweight Z-Score (BW+10%)]],TRUE)*100,"")</f>
        <v/>
      </c>
    </row>
    <row r="2311" spans="1:12" x14ac:dyDescent="0.35">
      <c r="A2311" s="3"/>
      <c r="B2311" s="2"/>
      <c r="C2311" s="2"/>
      <c r="D2311" s="2" t="b">
        <f>IF(AND(NOT(ISBLANK(Table1[[#This Row],[Fetal Sex (Male, Female or Unknown)]])),ISNUMBER(Table1[[#This Row],[Birthweight (grams)]]),ISNUMBER(Table1[[#This Row],[Gestation (days)]])),TRUE,FALSE)</f>
        <v>0</v>
      </c>
      <c r="E2311" s="2" t="str">
        <f>IF(Table1[[#This Row],[Is Data Valid]]=TRUE,IF(Table1[[#This Row],[Fetal Sex (Male, Female or Unknown)]]="Male",Backend!$C$6,IF(Table1[[#This Row],[Fetal Sex (Male, Female or Unknown)]]="Female",Backend!$C$7,IF(Table1[[#This Row],[Fetal Sex (Male, Female or Unknown)]]="Unknown",Backend!$C$8,"Error"))),"")</f>
        <v/>
      </c>
      <c r="F2311" s="8" t="str">
        <f>IF(Table1[[#This Row],[Is Data Valid]]=TRUE,EXP(0.578+0.332*((Table1[[#This Row],[Gestation (days)]]+0.5)/7)-0.00354*((Table1[[#This Row],[Gestation (days)]]+0.5)/7)^2)*Table1[[#This Row],[BW40_3705]],"")</f>
        <v/>
      </c>
      <c r="G2311" s="2" t="str">
        <f>IF(Table1[[#This Row],[Is Data Valid]]=TRUE,((Table1[[#This Row],[Birthweight (grams)]]/Table1[[#This Row],[BW_GA]])-1)/(Backend!$B$4/100*Table1[[#This Row],[BW40_3705]]),"")</f>
        <v/>
      </c>
      <c r="H2311" s="7" t="str">
        <f>IF(Table1[[#This Row],[Is Data Valid]]=TRUE,((Table1[[#This Row],[Birthweight (grams)]]*0.9/Table1[[#This Row],[BW_GA]])-1)/(Backend!$B$4/100*Table1[[#This Row],[BW40_3705]]),"")</f>
        <v/>
      </c>
      <c r="I2311" s="7" t="str">
        <f>IF(Table1[[#This Row],[Is Data Valid]]=TRUE,((Table1[[#This Row],[Birthweight (grams)]]*1.1/Table1[[#This Row],[BW_GA]])-1)/(Backend!$B$4/100*Table1[[#This Row],[BW40_3705]]),"")</f>
        <v/>
      </c>
      <c r="J2311" s="7" t="str">
        <f>IF(Table1[[#This Row],[Is Data Valid]]=TRUE,_xlfn.NORM.S.DIST(Table1[[#This Row],[Birthweight Z-Score]],TRUE)*100,"")</f>
        <v/>
      </c>
      <c r="K2311" s="7" t="str">
        <f>IF(Table1[[#This Row],[Is Data Valid]]=TRUE,_xlfn.NORM.S.DIST(Table1[[#This Row],[Birthweight Z-Score (BW-10%)]],TRUE)*100,"")</f>
        <v/>
      </c>
      <c r="L2311" s="7" t="str">
        <f>IF(Table1[[#This Row],[Is Data Valid]]=TRUE,_xlfn.NORM.S.DIST(Table1[[#This Row],[Birthweight Z-Score (BW+10%)]],TRUE)*100,"")</f>
        <v/>
      </c>
    </row>
    <row r="2312" spans="1:12" x14ac:dyDescent="0.35">
      <c r="A2312" s="3"/>
      <c r="B2312" s="2"/>
      <c r="C2312" s="2"/>
      <c r="D2312" s="2" t="b">
        <f>IF(AND(NOT(ISBLANK(Table1[[#This Row],[Fetal Sex (Male, Female or Unknown)]])),ISNUMBER(Table1[[#This Row],[Birthweight (grams)]]),ISNUMBER(Table1[[#This Row],[Gestation (days)]])),TRUE,FALSE)</f>
        <v>0</v>
      </c>
      <c r="E2312" s="2" t="str">
        <f>IF(Table1[[#This Row],[Is Data Valid]]=TRUE,IF(Table1[[#This Row],[Fetal Sex (Male, Female or Unknown)]]="Male",Backend!$C$6,IF(Table1[[#This Row],[Fetal Sex (Male, Female or Unknown)]]="Female",Backend!$C$7,IF(Table1[[#This Row],[Fetal Sex (Male, Female or Unknown)]]="Unknown",Backend!$C$8,"Error"))),"")</f>
        <v/>
      </c>
      <c r="F2312" s="8" t="str">
        <f>IF(Table1[[#This Row],[Is Data Valid]]=TRUE,EXP(0.578+0.332*((Table1[[#This Row],[Gestation (days)]]+0.5)/7)-0.00354*((Table1[[#This Row],[Gestation (days)]]+0.5)/7)^2)*Table1[[#This Row],[BW40_3705]],"")</f>
        <v/>
      </c>
      <c r="G2312" s="2" t="str">
        <f>IF(Table1[[#This Row],[Is Data Valid]]=TRUE,((Table1[[#This Row],[Birthweight (grams)]]/Table1[[#This Row],[BW_GA]])-1)/(Backend!$B$4/100*Table1[[#This Row],[BW40_3705]]),"")</f>
        <v/>
      </c>
      <c r="H2312" s="7" t="str">
        <f>IF(Table1[[#This Row],[Is Data Valid]]=TRUE,((Table1[[#This Row],[Birthweight (grams)]]*0.9/Table1[[#This Row],[BW_GA]])-1)/(Backend!$B$4/100*Table1[[#This Row],[BW40_3705]]),"")</f>
        <v/>
      </c>
      <c r="I2312" s="7" t="str">
        <f>IF(Table1[[#This Row],[Is Data Valid]]=TRUE,((Table1[[#This Row],[Birthweight (grams)]]*1.1/Table1[[#This Row],[BW_GA]])-1)/(Backend!$B$4/100*Table1[[#This Row],[BW40_3705]]),"")</f>
        <v/>
      </c>
      <c r="J2312" s="7" t="str">
        <f>IF(Table1[[#This Row],[Is Data Valid]]=TRUE,_xlfn.NORM.S.DIST(Table1[[#This Row],[Birthweight Z-Score]],TRUE)*100,"")</f>
        <v/>
      </c>
      <c r="K2312" s="7" t="str">
        <f>IF(Table1[[#This Row],[Is Data Valid]]=TRUE,_xlfn.NORM.S.DIST(Table1[[#This Row],[Birthweight Z-Score (BW-10%)]],TRUE)*100,"")</f>
        <v/>
      </c>
      <c r="L2312" s="7" t="str">
        <f>IF(Table1[[#This Row],[Is Data Valid]]=TRUE,_xlfn.NORM.S.DIST(Table1[[#This Row],[Birthweight Z-Score (BW+10%)]],TRUE)*100,"")</f>
        <v/>
      </c>
    </row>
    <row r="2313" spans="1:12" x14ac:dyDescent="0.35">
      <c r="A2313" s="3"/>
      <c r="B2313" s="2"/>
      <c r="C2313" s="2"/>
      <c r="D2313" s="2" t="b">
        <f>IF(AND(NOT(ISBLANK(Table1[[#This Row],[Fetal Sex (Male, Female or Unknown)]])),ISNUMBER(Table1[[#This Row],[Birthweight (grams)]]),ISNUMBER(Table1[[#This Row],[Gestation (days)]])),TRUE,FALSE)</f>
        <v>0</v>
      </c>
      <c r="E2313" s="2" t="str">
        <f>IF(Table1[[#This Row],[Is Data Valid]]=TRUE,IF(Table1[[#This Row],[Fetal Sex (Male, Female or Unknown)]]="Male",Backend!$C$6,IF(Table1[[#This Row],[Fetal Sex (Male, Female or Unknown)]]="Female",Backend!$C$7,IF(Table1[[#This Row],[Fetal Sex (Male, Female or Unknown)]]="Unknown",Backend!$C$8,"Error"))),"")</f>
        <v/>
      </c>
      <c r="F2313" s="8" t="str">
        <f>IF(Table1[[#This Row],[Is Data Valid]]=TRUE,EXP(0.578+0.332*((Table1[[#This Row],[Gestation (days)]]+0.5)/7)-0.00354*((Table1[[#This Row],[Gestation (days)]]+0.5)/7)^2)*Table1[[#This Row],[BW40_3705]],"")</f>
        <v/>
      </c>
      <c r="G2313" s="2" t="str">
        <f>IF(Table1[[#This Row],[Is Data Valid]]=TRUE,((Table1[[#This Row],[Birthweight (grams)]]/Table1[[#This Row],[BW_GA]])-1)/(Backend!$B$4/100*Table1[[#This Row],[BW40_3705]]),"")</f>
        <v/>
      </c>
      <c r="H2313" s="7" t="str">
        <f>IF(Table1[[#This Row],[Is Data Valid]]=TRUE,((Table1[[#This Row],[Birthweight (grams)]]*0.9/Table1[[#This Row],[BW_GA]])-1)/(Backend!$B$4/100*Table1[[#This Row],[BW40_3705]]),"")</f>
        <v/>
      </c>
      <c r="I2313" s="7" t="str">
        <f>IF(Table1[[#This Row],[Is Data Valid]]=TRUE,((Table1[[#This Row],[Birthweight (grams)]]*1.1/Table1[[#This Row],[BW_GA]])-1)/(Backend!$B$4/100*Table1[[#This Row],[BW40_3705]]),"")</f>
        <v/>
      </c>
      <c r="J2313" s="7" t="str">
        <f>IF(Table1[[#This Row],[Is Data Valid]]=TRUE,_xlfn.NORM.S.DIST(Table1[[#This Row],[Birthweight Z-Score]],TRUE)*100,"")</f>
        <v/>
      </c>
      <c r="K2313" s="7" t="str">
        <f>IF(Table1[[#This Row],[Is Data Valid]]=TRUE,_xlfn.NORM.S.DIST(Table1[[#This Row],[Birthweight Z-Score (BW-10%)]],TRUE)*100,"")</f>
        <v/>
      </c>
      <c r="L2313" s="7" t="str">
        <f>IF(Table1[[#This Row],[Is Data Valid]]=TRUE,_xlfn.NORM.S.DIST(Table1[[#This Row],[Birthweight Z-Score (BW+10%)]],TRUE)*100,"")</f>
        <v/>
      </c>
    </row>
    <row r="2314" spans="1:12" x14ac:dyDescent="0.35">
      <c r="A2314" s="3"/>
      <c r="B2314" s="2"/>
      <c r="C2314" s="2"/>
      <c r="D2314" s="2" t="b">
        <f>IF(AND(NOT(ISBLANK(Table1[[#This Row],[Fetal Sex (Male, Female or Unknown)]])),ISNUMBER(Table1[[#This Row],[Birthweight (grams)]]),ISNUMBER(Table1[[#This Row],[Gestation (days)]])),TRUE,FALSE)</f>
        <v>0</v>
      </c>
      <c r="E2314" s="2" t="str">
        <f>IF(Table1[[#This Row],[Is Data Valid]]=TRUE,IF(Table1[[#This Row],[Fetal Sex (Male, Female or Unknown)]]="Male",Backend!$C$6,IF(Table1[[#This Row],[Fetal Sex (Male, Female or Unknown)]]="Female",Backend!$C$7,IF(Table1[[#This Row],[Fetal Sex (Male, Female or Unknown)]]="Unknown",Backend!$C$8,"Error"))),"")</f>
        <v/>
      </c>
      <c r="F2314" s="8" t="str">
        <f>IF(Table1[[#This Row],[Is Data Valid]]=TRUE,EXP(0.578+0.332*((Table1[[#This Row],[Gestation (days)]]+0.5)/7)-0.00354*((Table1[[#This Row],[Gestation (days)]]+0.5)/7)^2)*Table1[[#This Row],[BW40_3705]],"")</f>
        <v/>
      </c>
      <c r="G2314" s="2" t="str">
        <f>IF(Table1[[#This Row],[Is Data Valid]]=TRUE,((Table1[[#This Row],[Birthweight (grams)]]/Table1[[#This Row],[BW_GA]])-1)/(Backend!$B$4/100*Table1[[#This Row],[BW40_3705]]),"")</f>
        <v/>
      </c>
      <c r="H2314" s="7" t="str">
        <f>IF(Table1[[#This Row],[Is Data Valid]]=TRUE,((Table1[[#This Row],[Birthweight (grams)]]*0.9/Table1[[#This Row],[BW_GA]])-1)/(Backend!$B$4/100*Table1[[#This Row],[BW40_3705]]),"")</f>
        <v/>
      </c>
      <c r="I2314" s="7" t="str">
        <f>IF(Table1[[#This Row],[Is Data Valid]]=TRUE,((Table1[[#This Row],[Birthweight (grams)]]*1.1/Table1[[#This Row],[BW_GA]])-1)/(Backend!$B$4/100*Table1[[#This Row],[BW40_3705]]),"")</f>
        <v/>
      </c>
      <c r="J2314" s="7" t="str">
        <f>IF(Table1[[#This Row],[Is Data Valid]]=TRUE,_xlfn.NORM.S.DIST(Table1[[#This Row],[Birthweight Z-Score]],TRUE)*100,"")</f>
        <v/>
      </c>
      <c r="K2314" s="7" t="str">
        <f>IF(Table1[[#This Row],[Is Data Valid]]=TRUE,_xlfn.NORM.S.DIST(Table1[[#This Row],[Birthweight Z-Score (BW-10%)]],TRUE)*100,"")</f>
        <v/>
      </c>
      <c r="L2314" s="7" t="str">
        <f>IF(Table1[[#This Row],[Is Data Valid]]=TRUE,_xlfn.NORM.S.DIST(Table1[[#This Row],[Birthweight Z-Score (BW+10%)]],TRUE)*100,"")</f>
        <v/>
      </c>
    </row>
    <row r="2315" spans="1:12" x14ac:dyDescent="0.35">
      <c r="A2315" s="3"/>
      <c r="B2315" s="2"/>
      <c r="C2315" s="2"/>
      <c r="D2315" s="2" t="b">
        <f>IF(AND(NOT(ISBLANK(Table1[[#This Row],[Fetal Sex (Male, Female or Unknown)]])),ISNUMBER(Table1[[#This Row],[Birthweight (grams)]]),ISNUMBER(Table1[[#This Row],[Gestation (days)]])),TRUE,FALSE)</f>
        <v>0</v>
      </c>
      <c r="E2315" s="2" t="str">
        <f>IF(Table1[[#This Row],[Is Data Valid]]=TRUE,IF(Table1[[#This Row],[Fetal Sex (Male, Female or Unknown)]]="Male",Backend!$C$6,IF(Table1[[#This Row],[Fetal Sex (Male, Female or Unknown)]]="Female",Backend!$C$7,IF(Table1[[#This Row],[Fetal Sex (Male, Female or Unknown)]]="Unknown",Backend!$C$8,"Error"))),"")</f>
        <v/>
      </c>
      <c r="F2315" s="8" t="str">
        <f>IF(Table1[[#This Row],[Is Data Valid]]=TRUE,EXP(0.578+0.332*((Table1[[#This Row],[Gestation (days)]]+0.5)/7)-0.00354*((Table1[[#This Row],[Gestation (days)]]+0.5)/7)^2)*Table1[[#This Row],[BW40_3705]],"")</f>
        <v/>
      </c>
      <c r="G2315" s="2" t="str">
        <f>IF(Table1[[#This Row],[Is Data Valid]]=TRUE,((Table1[[#This Row],[Birthweight (grams)]]/Table1[[#This Row],[BW_GA]])-1)/(Backend!$B$4/100*Table1[[#This Row],[BW40_3705]]),"")</f>
        <v/>
      </c>
      <c r="H2315" s="7" t="str">
        <f>IF(Table1[[#This Row],[Is Data Valid]]=TRUE,((Table1[[#This Row],[Birthweight (grams)]]*0.9/Table1[[#This Row],[BW_GA]])-1)/(Backend!$B$4/100*Table1[[#This Row],[BW40_3705]]),"")</f>
        <v/>
      </c>
      <c r="I2315" s="7" t="str">
        <f>IF(Table1[[#This Row],[Is Data Valid]]=TRUE,((Table1[[#This Row],[Birthweight (grams)]]*1.1/Table1[[#This Row],[BW_GA]])-1)/(Backend!$B$4/100*Table1[[#This Row],[BW40_3705]]),"")</f>
        <v/>
      </c>
      <c r="J2315" s="7" t="str">
        <f>IF(Table1[[#This Row],[Is Data Valid]]=TRUE,_xlfn.NORM.S.DIST(Table1[[#This Row],[Birthweight Z-Score]],TRUE)*100,"")</f>
        <v/>
      </c>
      <c r="K2315" s="7" t="str">
        <f>IF(Table1[[#This Row],[Is Data Valid]]=TRUE,_xlfn.NORM.S.DIST(Table1[[#This Row],[Birthweight Z-Score (BW-10%)]],TRUE)*100,"")</f>
        <v/>
      </c>
      <c r="L2315" s="7" t="str">
        <f>IF(Table1[[#This Row],[Is Data Valid]]=TRUE,_xlfn.NORM.S.DIST(Table1[[#This Row],[Birthweight Z-Score (BW+10%)]],TRUE)*100,"")</f>
        <v/>
      </c>
    </row>
    <row r="2316" spans="1:12" x14ac:dyDescent="0.35">
      <c r="A2316" s="3"/>
      <c r="B2316" s="2"/>
      <c r="C2316" s="2"/>
      <c r="D2316" s="2" t="b">
        <f>IF(AND(NOT(ISBLANK(Table1[[#This Row],[Fetal Sex (Male, Female or Unknown)]])),ISNUMBER(Table1[[#This Row],[Birthweight (grams)]]),ISNUMBER(Table1[[#This Row],[Gestation (days)]])),TRUE,FALSE)</f>
        <v>0</v>
      </c>
      <c r="E2316" s="2" t="str">
        <f>IF(Table1[[#This Row],[Is Data Valid]]=TRUE,IF(Table1[[#This Row],[Fetal Sex (Male, Female or Unknown)]]="Male",Backend!$C$6,IF(Table1[[#This Row],[Fetal Sex (Male, Female or Unknown)]]="Female",Backend!$C$7,IF(Table1[[#This Row],[Fetal Sex (Male, Female or Unknown)]]="Unknown",Backend!$C$8,"Error"))),"")</f>
        <v/>
      </c>
      <c r="F2316" s="8" t="str">
        <f>IF(Table1[[#This Row],[Is Data Valid]]=TRUE,EXP(0.578+0.332*((Table1[[#This Row],[Gestation (days)]]+0.5)/7)-0.00354*((Table1[[#This Row],[Gestation (days)]]+0.5)/7)^2)*Table1[[#This Row],[BW40_3705]],"")</f>
        <v/>
      </c>
      <c r="G2316" s="2" t="str">
        <f>IF(Table1[[#This Row],[Is Data Valid]]=TRUE,((Table1[[#This Row],[Birthweight (grams)]]/Table1[[#This Row],[BW_GA]])-1)/(Backend!$B$4/100*Table1[[#This Row],[BW40_3705]]),"")</f>
        <v/>
      </c>
      <c r="H2316" s="7" t="str">
        <f>IF(Table1[[#This Row],[Is Data Valid]]=TRUE,((Table1[[#This Row],[Birthweight (grams)]]*0.9/Table1[[#This Row],[BW_GA]])-1)/(Backend!$B$4/100*Table1[[#This Row],[BW40_3705]]),"")</f>
        <v/>
      </c>
      <c r="I2316" s="7" t="str">
        <f>IF(Table1[[#This Row],[Is Data Valid]]=TRUE,((Table1[[#This Row],[Birthweight (grams)]]*1.1/Table1[[#This Row],[BW_GA]])-1)/(Backend!$B$4/100*Table1[[#This Row],[BW40_3705]]),"")</f>
        <v/>
      </c>
      <c r="J2316" s="7" t="str">
        <f>IF(Table1[[#This Row],[Is Data Valid]]=TRUE,_xlfn.NORM.S.DIST(Table1[[#This Row],[Birthweight Z-Score]],TRUE)*100,"")</f>
        <v/>
      </c>
      <c r="K2316" s="7" t="str">
        <f>IF(Table1[[#This Row],[Is Data Valid]]=TRUE,_xlfn.NORM.S.DIST(Table1[[#This Row],[Birthweight Z-Score (BW-10%)]],TRUE)*100,"")</f>
        <v/>
      </c>
      <c r="L2316" s="7" t="str">
        <f>IF(Table1[[#This Row],[Is Data Valid]]=TRUE,_xlfn.NORM.S.DIST(Table1[[#This Row],[Birthweight Z-Score (BW+10%)]],TRUE)*100,"")</f>
        <v/>
      </c>
    </row>
    <row r="2317" spans="1:12" x14ac:dyDescent="0.35">
      <c r="A2317" s="3"/>
      <c r="B2317" s="2"/>
      <c r="C2317" s="2"/>
      <c r="D2317" s="2" t="b">
        <f>IF(AND(NOT(ISBLANK(Table1[[#This Row],[Fetal Sex (Male, Female or Unknown)]])),ISNUMBER(Table1[[#This Row],[Birthweight (grams)]]),ISNUMBER(Table1[[#This Row],[Gestation (days)]])),TRUE,FALSE)</f>
        <v>0</v>
      </c>
      <c r="E2317" s="2" t="str">
        <f>IF(Table1[[#This Row],[Is Data Valid]]=TRUE,IF(Table1[[#This Row],[Fetal Sex (Male, Female or Unknown)]]="Male",Backend!$C$6,IF(Table1[[#This Row],[Fetal Sex (Male, Female or Unknown)]]="Female",Backend!$C$7,IF(Table1[[#This Row],[Fetal Sex (Male, Female or Unknown)]]="Unknown",Backend!$C$8,"Error"))),"")</f>
        <v/>
      </c>
      <c r="F2317" s="8" t="str">
        <f>IF(Table1[[#This Row],[Is Data Valid]]=TRUE,EXP(0.578+0.332*((Table1[[#This Row],[Gestation (days)]]+0.5)/7)-0.00354*((Table1[[#This Row],[Gestation (days)]]+0.5)/7)^2)*Table1[[#This Row],[BW40_3705]],"")</f>
        <v/>
      </c>
      <c r="G2317" s="2" t="str">
        <f>IF(Table1[[#This Row],[Is Data Valid]]=TRUE,((Table1[[#This Row],[Birthweight (grams)]]/Table1[[#This Row],[BW_GA]])-1)/(Backend!$B$4/100*Table1[[#This Row],[BW40_3705]]),"")</f>
        <v/>
      </c>
      <c r="H2317" s="7" t="str">
        <f>IF(Table1[[#This Row],[Is Data Valid]]=TRUE,((Table1[[#This Row],[Birthweight (grams)]]*0.9/Table1[[#This Row],[BW_GA]])-1)/(Backend!$B$4/100*Table1[[#This Row],[BW40_3705]]),"")</f>
        <v/>
      </c>
      <c r="I2317" s="7" t="str">
        <f>IF(Table1[[#This Row],[Is Data Valid]]=TRUE,((Table1[[#This Row],[Birthweight (grams)]]*1.1/Table1[[#This Row],[BW_GA]])-1)/(Backend!$B$4/100*Table1[[#This Row],[BW40_3705]]),"")</f>
        <v/>
      </c>
      <c r="J2317" s="7" t="str">
        <f>IF(Table1[[#This Row],[Is Data Valid]]=TRUE,_xlfn.NORM.S.DIST(Table1[[#This Row],[Birthweight Z-Score]],TRUE)*100,"")</f>
        <v/>
      </c>
      <c r="K2317" s="7" t="str">
        <f>IF(Table1[[#This Row],[Is Data Valid]]=TRUE,_xlfn.NORM.S.DIST(Table1[[#This Row],[Birthweight Z-Score (BW-10%)]],TRUE)*100,"")</f>
        <v/>
      </c>
      <c r="L2317" s="7" t="str">
        <f>IF(Table1[[#This Row],[Is Data Valid]]=TRUE,_xlfn.NORM.S.DIST(Table1[[#This Row],[Birthweight Z-Score (BW+10%)]],TRUE)*100,"")</f>
        <v/>
      </c>
    </row>
    <row r="2318" spans="1:12" x14ac:dyDescent="0.35">
      <c r="A2318" s="3"/>
      <c r="B2318" s="2"/>
      <c r="C2318" s="2"/>
      <c r="D2318" s="2" t="b">
        <f>IF(AND(NOT(ISBLANK(Table1[[#This Row],[Fetal Sex (Male, Female or Unknown)]])),ISNUMBER(Table1[[#This Row],[Birthweight (grams)]]),ISNUMBER(Table1[[#This Row],[Gestation (days)]])),TRUE,FALSE)</f>
        <v>0</v>
      </c>
      <c r="E2318" s="2" t="str">
        <f>IF(Table1[[#This Row],[Is Data Valid]]=TRUE,IF(Table1[[#This Row],[Fetal Sex (Male, Female or Unknown)]]="Male",Backend!$C$6,IF(Table1[[#This Row],[Fetal Sex (Male, Female or Unknown)]]="Female",Backend!$C$7,IF(Table1[[#This Row],[Fetal Sex (Male, Female or Unknown)]]="Unknown",Backend!$C$8,"Error"))),"")</f>
        <v/>
      </c>
      <c r="F2318" s="8" t="str">
        <f>IF(Table1[[#This Row],[Is Data Valid]]=TRUE,EXP(0.578+0.332*((Table1[[#This Row],[Gestation (days)]]+0.5)/7)-0.00354*((Table1[[#This Row],[Gestation (days)]]+0.5)/7)^2)*Table1[[#This Row],[BW40_3705]],"")</f>
        <v/>
      </c>
      <c r="G2318" s="2" t="str">
        <f>IF(Table1[[#This Row],[Is Data Valid]]=TRUE,((Table1[[#This Row],[Birthweight (grams)]]/Table1[[#This Row],[BW_GA]])-1)/(Backend!$B$4/100*Table1[[#This Row],[BW40_3705]]),"")</f>
        <v/>
      </c>
      <c r="H2318" s="7" t="str">
        <f>IF(Table1[[#This Row],[Is Data Valid]]=TRUE,((Table1[[#This Row],[Birthweight (grams)]]*0.9/Table1[[#This Row],[BW_GA]])-1)/(Backend!$B$4/100*Table1[[#This Row],[BW40_3705]]),"")</f>
        <v/>
      </c>
      <c r="I2318" s="7" t="str">
        <f>IF(Table1[[#This Row],[Is Data Valid]]=TRUE,((Table1[[#This Row],[Birthweight (grams)]]*1.1/Table1[[#This Row],[BW_GA]])-1)/(Backend!$B$4/100*Table1[[#This Row],[BW40_3705]]),"")</f>
        <v/>
      </c>
      <c r="J2318" s="7" t="str">
        <f>IF(Table1[[#This Row],[Is Data Valid]]=TRUE,_xlfn.NORM.S.DIST(Table1[[#This Row],[Birthweight Z-Score]],TRUE)*100,"")</f>
        <v/>
      </c>
      <c r="K2318" s="7" t="str">
        <f>IF(Table1[[#This Row],[Is Data Valid]]=TRUE,_xlfn.NORM.S.DIST(Table1[[#This Row],[Birthweight Z-Score (BW-10%)]],TRUE)*100,"")</f>
        <v/>
      </c>
      <c r="L2318" s="7" t="str">
        <f>IF(Table1[[#This Row],[Is Data Valid]]=TRUE,_xlfn.NORM.S.DIST(Table1[[#This Row],[Birthweight Z-Score (BW+10%)]],TRUE)*100,"")</f>
        <v/>
      </c>
    </row>
    <row r="2319" spans="1:12" x14ac:dyDescent="0.35">
      <c r="A2319" s="3"/>
      <c r="B2319" s="2"/>
      <c r="C2319" s="2"/>
      <c r="D2319" s="2" t="b">
        <f>IF(AND(NOT(ISBLANK(Table1[[#This Row],[Fetal Sex (Male, Female or Unknown)]])),ISNUMBER(Table1[[#This Row],[Birthweight (grams)]]),ISNUMBER(Table1[[#This Row],[Gestation (days)]])),TRUE,FALSE)</f>
        <v>0</v>
      </c>
      <c r="E2319" s="2" t="str">
        <f>IF(Table1[[#This Row],[Is Data Valid]]=TRUE,IF(Table1[[#This Row],[Fetal Sex (Male, Female or Unknown)]]="Male",Backend!$C$6,IF(Table1[[#This Row],[Fetal Sex (Male, Female or Unknown)]]="Female",Backend!$C$7,IF(Table1[[#This Row],[Fetal Sex (Male, Female or Unknown)]]="Unknown",Backend!$C$8,"Error"))),"")</f>
        <v/>
      </c>
      <c r="F2319" s="8" t="str">
        <f>IF(Table1[[#This Row],[Is Data Valid]]=TRUE,EXP(0.578+0.332*((Table1[[#This Row],[Gestation (days)]]+0.5)/7)-0.00354*((Table1[[#This Row],[Gestation (days)]]+0.5)/7)^2)*Table1[[#This Row],[BW40_3705]],"")</f>
        <v/>
      </c>
      <c r="G2319" s="2" t="str">
        <f>IF(Table1[[#This Row],[Is Data Valid]]=TRUE,((Table1[[#This Row],[Birthweight (grams)]]/Table1[[#This Row],[BW_GA]])-1)/(Backend!$B$4/100*Table1[[#This Row],[BW40_3705]]),"")</f>
        <v/>
      </c>
      <c r="H2319" s="7" t="str">
        <f>IF(Table1[[#This Row],[Is Data Valid]]=TRUE,((Table1[[#This Row],[Birthweight (grams)]]*0.9/Table1[[#This Row],[BW_GA]])-1)/(Backend!$B$4/100*Table1[[#This Row],[BW40_3705]]),"")</f>
        <v/>
      </c>
      <c r="I2319" s="7" t="str">
        <f>IF(Table1[[#This Row],[Is Data Valid]]=TRUE,((Table1[[#This Row],[Birthweight (grams)]]*1.1/Table1[[#This Row],[BW_GA]])-1)/(Backend!$B$4/100*Table1[[#This Row],[BW40_3705]]),"")</f>
        <v/>
      </c>
      <c r="J2319" s="7" t="str">
        <f>IF(Table1[[#This Row],[Is Data Valid]]=TRUE,_xlfn.NORM.S.DIST(Table1[[#This Row],[Birthweight Z-Score]],TRUE)*100,"")</f>
        <v/>
      </c>
      <c r="K2319" s="7" t="str">
        <f>IF(Table1[[#This Row],[Is Data Valid]]=TRUE,_xlfn.NORM.S.DIST(Table1[[#This Row],[Birthweight Z-Score (BW-10%)]],TRUE)*100,"")</f>
        <v/>
      </c>
      <c r="L2319" s="7" t="str">
        <f>IF(Table1[[#This Row],[Is Data Valid]]=TRUE,_xlfn.NORM.S.DIST(Table1[[#This Row],[Birthweight Z-Score (BW+10%)]],TRUE)*100,"")</f>
        <v/>
      </c>
    </row>
    <row r="2320" spans="1:12" x14ac:dyDescent="0.35">
      <c r="A2320" s="3"/>
      <c r="B2320" s="2"/>
      <c r="C2320" s="2"/>
      <c r="D2320" s="2" t="b">
        <f>IF(AND(NOT(ISBLANK(Table1[[#This Row],[Fetal Sex (Male, Female or Unknown)]])),ISNUMBER(Table1[[#This Row],[Birthweight (grams)]]),ISNUMBER(Table1[[#This Row],[Gestation (days)]])),TRUE,FALSE)</f>
        <v>0</v>
      </c>
      <c r="E2320" s="2" t="str">
        <f>IF(Table1[[#This Row],[Is Data Valid]]=TRUE,IF(Table1[[#This Row],[Fetal Sex (Male, Female or Unknown)]]="Male",Backend!$C$6,IF(Table1[[#This Row],[Fetal Sex (Male, Female or Unknown)]]="Female",Backend!$C$7,IF(Table1[[#This Row],[Fetal Sex (Male, Female or Unknown)]]="Unknown",Backend!$C$8,"Error"))),"")</f>
        <v/>
      </c>
      <c r="F2320" s="8" t="str">
        <f>IF(Table1[[#This Row],[Is Data Valid]]=TRUE,EXP(0.578+0.332*((Table1[[#This Row],[Gestation (days)]]+0.5)/7)-0.00354*((Table1[[#This Row],[Gestation (days)]]+0.5)/7)^2)*Table1[[#This Row],[BW40_3705]],"")</f>
        <v/>
      </c>
      <c r="G2320" s="2" t="str">
        <f>IF(Table1[[#This Row],[Is Data Valid]]=TRUE,((Table1[[#This Row],[Birthweight (grams)]]/Table1[[#This Row],[BW_GA]])-1)/(Backend!$B$4/100*Table1[[#This Row],[BW40_3705]]),"")</f>
        <v/>
      </c>
      <c r="H2320" s="7" t="str">
        <f>IF(Table1[[#This Row],[Is Data Valid]]=TRUE,((Table1[[#This Row],[Birthweight (grams)]]*0.9/Table1[[#This Row],[BW_GA]])-1)/(Backend!$B$4/100*Table1[[#This Row],[BW40_3705]]),"")</f>
        <v/>
      </c>
      <c r="I2320" s="7" t="str">
        <f>IF(Table1[[#This Row],[Is Data Valid]]=TRUE,((Table1[[#This Row],[Birthweight (grams)]]*1.1/Table1[[#This Row],[BW_GA]])-1)/(Backend!$B$4/100*Table1[[#This Row],[BW40_3705]]),"")</f>
        <v/>
      </c>
      <c r="J2320" s="7" t="str">
        <f>IF(Table1[[#This Row],[Is Data Valid]]=TRUE,_xlfn.NORM.S.DIST(Table1[[#This Row],[Birthweight Z-Score]],TRUE)*100,"")</f>
        <v/>
      </c>
      <c r="K2320" s="7" t="str">
        <f>IF(Table1[[#This Row],[Is Data Valid]]=TRUE,_xlfn.NORM.S.DIST(Table1[[#This Row],[Birthweight Z-Score (BW-10%)]],TRUE)*100,"")</f>
        <v/>
      </c>
      <c r="L2320" s="7" t="str">
        <f>IF(Table1[[#This Row],[Is Data Valid]]=TRUE,_xlfn.NORM.S.DIST(Table1[[#This Row],[Birthweight Z-Score (BW+10%)]],TRUE)*100,"")</f>
        <v/>
      </c>
    </row>
    <row r="2321" spans="1:12" x14ac:dyDescent="0.35">
      <c r="A2321" s="3"/>
      <c r="B2321" s="2"/>
      <c r="C2321" s="2"/>
      <c r="D2321" s="2" t="b">
        <f>IF(AND(NOT(ISBLANK(Table1[[#This Row],[Fetal Sex (Male, Female or Unknown)]])),ISNUMBER(Table1[[#This Row],[Birthweight (grams)]]),ISNUMBER(Table1[[#This Row],[Gestation (days)]])),TRUE,FALSE)</f>
        <v>0</v>
      </c>
      <c r="E2321" s="2" t="str">
        <f>IF(Table1[[#This Row],[Is Data Valid]]=TRUE,IF(Table1[[#This Row],[Fetal Sex (Male, Female or Unknown)]]="Male",Backend!$C$6,IF(Table1[[#This Row],[Fetal Sex (Male, Female or Unknown)]]="Female",Backend!$C$7,IF(Table1[[#This Row],[Fetal Sex (Male, Female or Unknown)]]="Unknown",Backend!$C$8,"Error"))),"")</f>
        <v/>
      </c>
      <c r="F2321" s="8" t="str">
        <f>IF(Table1[[#This Row],[Is Data Valid]]=TRUE,EXP(0.578+0.332*((Table1[[#This Row],[Gestation (days)]]+0.5)/7)-0.00354*((Table1[[#This Row],[Gestation (days)]]+0.5)/7)^2)*Table1[[#This Row],[BW40_3705]],"")</f>
        <v/>
      </c>
      <c r="G2321" s="2" t="str">
        <f>IF(Table1[[#This Row],[Is Data Valid]]=TRUE,((Table1[[#This Row],[Birthweight (grams)]]/Table1[[#This Row],[BW_GA]])-1)/(Backend!$B$4/100*Table1[[#This Row],[BW40_3705]]),"")</f>
        <v/>
      </c>
      <c r="H2321" s="7" t="str">
        <f>IF(Table1[[#This Row],[Is Data Valid]]=TRUE,((Table1[[#This Row],[Birthweight (grams)]]*0.9/Table1[[#This Row],[BW_GA]])-1)/(Backend!$B$4/100*Table1[[#This Row],[BW40_3705]]),"")</f>
        <v/>
      </c>
      <c r="I2321" s="7" t="str">
        <f>IF(Table1[[#This Row],[Is Data Valid]]=TRUE,((Table1[[#This Row],[Birthweight (grams)]]*1.1/Table1[[#This Row],[BW_GA]])-1)/(Backend!$B$4/100*Table1[[#This Row],[BW40_3705]]),"")</f>
        <v/>
      </c>
      <c r="J2321" s="7" t="str">
        <f>IF(Table1[[#This Row],[Is Data Valid]]=TRUE,_xlfn.NORM.S.DIST(Table1[[#This Row],[Birthweight Z-Score]],TRUE)*100,"")</f>
        <v/>
      </c>
      <c r="K2321" s="7" t="str">
        <f>IF(Table1[[#This Row],[Is Data Valid]]=TRUE,_xlfn.NORM.S.DIST(Table1[[#This Row],[Birthweight Z-Score (BW-10%)]],TRUE)*100,"")</f>
        <v/>
      </c>
      <c r="L2321" s="7" t="str">
        <f>IF(Table1[[#This Row],[Is Data Valid]]=TRUE,_xlfn.NORM.S.DIST(Table1[[#This Row],[Birthweight Z-Score (BW+10%)]],TRUE)*100,"")</f>
        <v/>
      </c>
    </row>
    <row r="2322" spans="1:12" x14ac:dyDescent="0.35">
      <c r="A2322" s="3"/>
      <c r="B2322" s="2"/>
      <c r="C2322" s="2"/>
      <c r="D2322" s="2" t="b">
        <f>IF(AND(NOT(ISBLANK(Table1[[#This Row],[Fetal Sex (Male, Female or Unknown)]])),ISNUMBER(Table1[[#This Row],[Birthweight (grams)]]),ISNUMBER(Table1[[#This Row],[Gestation (days)]])),TRUE,FALSE)</f>
        <v>0</v>
      </c>
      <c r="E2322" s="2" t="str">
        <f>IF(Table1[[#This Row],[Is Data Valid]]=TRUE,IF(Table1[[#This Row],[Fetal Sex (Male, Female or Unknown)]]="Male",Backend!$C$6,IF(Table1[[#This Row],[Fetal Sex (Male, Female or Unknown)]]="Female",Backend!$C$7,IF(Table1[[#This Row],[Fetal Sex (Male, Female or Unknown)]]="Unknown",Backend!$C$8,"Error"))),"")</f>
        <v/>
      </c>
      <c r="F2322" s="8" t="str">
        <f>IF(Table1[[#This Row],[Is Data Valid]]=TRUE,EXP(0.578+0.332*((Table1[[#This Row],[Gestation (days)]]+0.5)/7)-0.00354*((Table1[[#This Row],[Gestation (days)]]+0.5)/7)^2)*Table1[[#This Row],[BW40_3705]],"")</f>
        <v/>
      </c>
      <c r="G2322" s="2" t="str">
        <f>IF(Table1[[#This Row],[Is Data Valid]]=TRUE,((Table1[[#This Row],[Birthweight (grams)]]/Table1[[#This Row],[BW_GA]])-1)/(Backend!$B$4/100*Table1[[#This Row],[BW40_3705]]),"")</f>
        <v/>
      </c>
      <c r="H2322" s="7" t="str">
        <f>IF(Table1[[#This Row],[Is Data Valid]]=TRUE,((Table1[[#This Row],[Birthweight (grams)]]*0.9/Table1[[#This Row],[BW_GA]])-1)/(Backend!$B$4/100*Table1[[#This Row],[BW40_3705]]),"")</f>
        <v/>
      </c>
      <c r="I2322" s="7" t="str">
        <f>IF(Table1[[#This Row],[Is Data Valid]]=TRUE,((Table1[[#This Row],[Birthweight (grams)]]*1.1/Table1[[#This Row],[BW_GA]])-1)/(Backend!$B$4/100*Table1[[#This Row],[BW40_3705]]),"")</f>
        <v/>
      </c>
      <c r="J2322" s="7" t="str">
        <f>IF(Table1[[#This Row],[Is Data Valid]]=TRUE,_xlfn.NORM.S.DIST(Table1[[#This Row],[Birthweight Z-Score]],TRUE)*100,"")</f>
        <v/>
      </c>
      <c r="K2322" s="7" t="str">
        <f>IF(Table1[[#This Row],[Is Data Valid]]=TRUE,_xlfn.NORM.S.DIST(Table1[[#This Row],[Birthweight Z-Score (BW-10%)]],TRUE)*100,"")</f>
        <v/>
      </c>
      <c r="L2322" s="7" t="str">
        <f>IF(Table1[[#This Row],[Is Data Valid]]=TRUE,_xlfn.NORM.S.DIST(Table1[[#This Row],[Birthweight Z-Score (BW+10%)]],TRUE)*100,"")</f>
        <v/>
      </c>
    </row>
    <row r="2323" spans="1:12" x14ac:dyDescent="0.35">
      <c r="A2323" s="3"/>
      <c r="B2323" s="2"/>
      <c r="C2323" s="2"/>
      <c r="D2323" s="2" t="b">
        <f>IF(AND(NOT(ISBLANK(Table1[[#This Row],[Fetal Sex (Male, Female or Unknown)]])),ISNUMBER(Table1[[#This Row],[Birthweight (grams)]]),ISNUMBER(Table1[[#This Row],[Gestation (days)]])),TRUE,FALSE)</f>
        <v>0</v>
      </c>
      <c r="E2323" s="2" t="str">
        <f>IF(Table1[[#This Row],[Is Data Valid]]=TRUE,IF(Table1[[#This Row],[Fetal Sex (Male, Female or Unknown)]]="Male",Backend!$C$6,IF(Table1[[#This Row],[Fetal Sex (Male, Female or Unknown)]]="Female",Backend!$C$7,IF(Table1[[#This Row],[Fetal Sex (Male, Female or Unknown)]]="Unknown",Backend!$C$8,"Error"))),"")</f>
        <v/>
      </c>
      <c r="F2323" s="8" t="str">
        <f>IF(Table1[[#This Row],[Is Data Valid]]=TRUE,EXP(0.578+0.332*((Table1[[#This Row],[Gestation (days)]]+0.5)/7)-0.00354*((Table1[[#This Row],[Gestation (days)]]+0.5)/7)^2)*Table1[[#This Row],[BW40_3705]],"")</f>
        <v/>
      </c>
      <c r="G2323" s="2" t="str">
        <f>IF(Table1[[#This Row],[Is Data Valid]]=TRUE,((Table1[[#This Row],[Birthweight (grams)]]/Table1[[#This Row],[BW_GA]])-1)/(Backend!$B$4/100*Table1[[#This Row],[BW40_3705]]),"")</f>
        <v/>
      </c>
      <c r="H2323" s="7" t="str">
        <f>IF(Table1[[#This Row],[Is Data Valid]]=TRUE,((Table1[[#This Row],[Birthweight (grams)]]*0.9/Table1[[#This Row],[BW_GA]])-1)/(Backend!$B$4/100*Table1[[#This Row],[BW40_3705]]),"")</f>
        <v/>
      </c>
      <c r="I2323" s="7" t="str">
        <f>IF(Table1[[#This Row],[Is Data Valid]]=TRUE,((Table1[[#This Row],[Birthweight (grams)]]*1.1/Table1[[#This Row],[BW_GA]])-1)/(Backend!$B$4/100*Table1[[#This Row],[BW40_3705]]),"")</f>
        <v/>
      </c>
      <c r="J2323" s="7" t="str">
        <f>IF(Table1[[#This Row],[Is Data Valid]]=TRUE,_xlfn.NORM.S.DIST(Table1[[#This Row],[Birthweight Z-Score]],TRUE)*100,"")</f>
        <v/>
      </c>
      <c r="K2323" s="7" t="str">
        <f>IF(Table1[[#This Row],[Is Data Valid]]=TRUE,_xlfn.NORM.S.DIST(Table1[[#This Row],[Birthweight Z-Score (BW-10%)]],TRUE)*100,"")</f>
        <v/>
      </c>
      <c r="L2323" s="7" t="str">
        <f>IF(Table1[[#This Row],[Is Data Valid]]=TRUE,_xlfn.NORM.S.DIST(Table1[[#This Row],[Birthweight Z-Score (BW+10%)]],TRUE)*100,"")</f>
        <v/>
      </c>
    </row>
    <row r="2324" spans="1:12" x14ac:dyDescent="0.35">
      <c r="A2324" s="3"/>
      <c r="B2324" s="2"/>
      <c r="C2324" s="2"/>
      <c r="D2324" s="2" t="b">
        <f>IF(AND(NOT(ISBLANK(Table1[[#This Row],[Fetal Sex (Male, Female or Unknown)]])),ISNUMBER(Table1[[#This Row],[Birthweight (grams)]]),ISNUMBER(Table1[[#This Row],[Gestation (days)]])),TRUE,FALSE)</f>
        <v>0</v>
      </c>
      <c r="E2324" s="2" t="str">
        <f>IF(Table1[[#This Row],[Is Data Valid]]=TRUE,IF(Table1[[#This Row],[Fetal Sex (Male, Female or Unknown)]]="Male",Backend!$C$6,IF(Table1[[#This Row],[Fetal Sex (Male, Female or Unknown)]]="Female",Backend!$C$7,IF(Table1[[#This Row],[Fetal Sex (Male, Female or Unknown)]]="Unknown",Backend!$C$8,"Error"))),"")</f>
        <v/>
      </c>
      <c r="F2324" s="8" t="str">
        <f>IF(Table1[[#This Row],[Is Data Valid]]=TRUE,EXP(0.578+0.332*((Table1[[#This Row],[Gestation (days)]]+0.5)/7)-0.00354*((Table1[[#This Row],[Gestation (days)]]+0.5)/7)^2)*Table1[[#This Row],[BW40_3705]],"")</f>
        <v/>
      </c>
      <c r="G2324" s="2" t="str">
        <f>IF(Table1[[#This Row],[Is Data Valid]]=TRUE,((Table1[[#This Row],[Birthweight (grams)]]/Table1[[#This Row],[BW_GA]])-1)/(Backend!$B$4/100*Table1[[#This Row],[BW40_3705]]),"")</f>
        <v/>
      </c>
      <c r="H2324" s="7" t="str">
        <f>IF(Table1[[#This Row],[Is Data Valid]]=TRUE,((Table1[[#This Row],[Birthweight (grams)]]*0.9/Table1[[#This Row],[BW_GA]])-1)/(Backend!$B$4/100*Table1[[#This Row],[BW40_3705]]),"")</f>
        <v/>
      </c>
      <c r="I2324" s="7" t="str">
        <f>IF(Table1[[#This Row],[Is Data Valid]]=TRUE,((Table1[[#This Row],[Birthweight (grams)]]*1.1/Table1[[#This Row],[BW_GA]])-1)/(Backend!$B$4/100*Table1[[#This Row],[BW40_3705]]),"")</f>
        <v/>
      </c>
      <c r="J2324" s="7" t="str">
        <f>IF(Table1[[#This Row],[Is Data Valid]]=TRUE,_xlfn.NORM.S.DIST(Table1[[#This Row],[Birthweight Z-Score]],TRUE)*100,"")</f>
        <v/>
      </c>
      <c r="K2324" s="7" t="str">
        <f>IF(Table1[[#This Row],[Is Data Valid]]=TRUE,_xlfn.NORM.S.DIST(Table1[[#This Row],[Birthweight Z-Score (BW-10%)]],TRUE)*100,"")</f>
        <v/>
      </c>
      <c r="L2324" s="7" t="str">
        <f>IF(Table1[[#This Row],[Is Data Valid]]=TRUE,_xlfn.NORM.S.DIST(Table1[[#This Row],[Birthweight Z-Score (BW+10%)]],TRUE)*100,"")</f>
        <v/>
      </c>
    </row>
    <row r="2325" spans="1:12" x14ac:dyDescent="0.35">
      <c r="A2325" s="3"/>
      <c r="B2325" s="2"/>
      <c r="C2325" s="2"/>
      <c r="D2325" s="2" t="b">
        <f>IF(AND(NOT(ISBLANK(Table1[[#This Row],[Fetal Sex (Male, Female or Unknown)]])),ISNUMBER(Table1[[#This Row],[Birthweight (grams)]]),ISNUMBER(Table1[[#This Row],[Gestation (days)]])),TRUE,FALSE)</f>
        <v>0</v>
      </c>
      <c r="E2325" s="2" t="str">
        <f>IF(Table1[[#This Row],[Is Data Valid]]=TRUE,IF(Table1[[#This Row],[Fetal Sex (Male, Female or Unknown)]]="Male",Backend!$C$6,IF(Table1[[#This Row],[Fetal Sex (Male, Female or Unknown)]]="Female",Backend!$C$7,IF(Table1[[#This Row],[Fetal Sex (Male, Female or Unknown)]]="Unknown",Backend!$C$8,"Error"))),"")</f>
        <v/>
      </c>
      <c r="F2325" s="8" t="str">
        <f>IF(Table1[[#This Row],[Is Data Valid]]=TRUE,EXP(0.578+0.332*((Table1[[#This Row],[Gestation (days)]]+0.5)/7)-0.00354*((Table1[[#This Row],[Gestation (days)]]+0.5)/7)^2)*Table1[[#This Row],[BW40_3705]],"")</f>
        <v/>
      </c>
      <c r="G2325" s="2" t="str">
        <f>IF(Table1[[#This Row],[Is Data Valid]]=TRUE,((Table1[[#This Row],[Birthweight (grams)]]/Table1[[#This Row],[BW_GA]])-1)/(Backend!$B$4/100*Table1[[#This Row],[BW40_3705]]),"")</f>
        <v/>
      </c>
      <c r="H2325" s="7" t="str">
        <f>IF(Table1[[#This Row],[Is Data Valid]]=TRUE,((Table1[[#This Row],[Birthweight (grams)]]*0.9/Table1[[#This Row],[BW_GA]])-1)/(Backend!$B$4/100*Table1[[#This Row],[BW40_3705]]),"")</f>
        <v/>
      </c>
      <c r="I2325" s="7" t="str">
        <f>IF(Table1[[#This Row],[Is Data Valid]]=TRUE,((Table1[[#This Row],[Birthweight (grams)]]*1.1/Table1[[#This Row],[BW_GA]])-1)/(Backend!$B$4/100*Table1[[#This Row],[BW40_3705]]),"")</f>
        <v/>
      </c>
      <c r="J2325" s="7" t="str">
        <f>IF(Table1[[#This Row],[Is Data Valid]]=TRUE,_xlfn.NORM.S.DIST(Table1[[#This Row],[Birthweight Z-Score]],TRUE)*100,"")</f>
        <v/>
      </c>
      <c r="K2325" s="7" t="str">
        <f>IF(Table1[[#This Row],[Is Data Valid]]=TRUE,_xlfn.NORM.S.DIST(Table1[[#This Row],[Birthweight Z-Score (BW-10%)]],TRUE)*100,"")</f>
        <v/>
      </c>
      <c r="L2325" s="7" t="str">
        <f>IF(Table1[[#This Row],[Is Data Valid]]=TRUE,_xlfn.NORM.S.DIST(Table1[[#This Row],[Birthweight Z-Score (BW+10%)]],TRUE)*100,"")</f>
        <v/>
      </c>
    </row>
    <row r="2326" spans="1:12" x14ac:dyDescent="0.35">
      <c r="A2326" s="3"/>
      <c r="B2326" s="2"/>
      <c r="C2326" s="2"/>
      <c r="D2326" s="2" t="b">
        <f>IF(AND(NOT(ISBLANK(Table1[[#This Row],[Fetal Sex (Male, Female or Unknown)]])),ISNUMBER(Table1[[#This Row],[Birthweight (grams)]]),ISNUMBER(Table1[[#This Row],[Gestation (days)]])),TRUE,FALSE)</f>
        <v>0</v>
      </c>
      <c r="E2326" s="2" t="str">
        <f>IF(Table1[[#This Row],[Is Data Valid]]=TRUE,IF(Table1[[#This Row],[Fetal Sex (Male, Female or Unknown)]]="Male",Backend!$C$6,IF(Table1[[#This Row],[Fetal Sex (Male, Female or Unknown)]]="Female",Backend!$C$7,IF(Table1[[#This Row],[Fetal Sex (Male, Female or Unknown)]]="Unknown",Backend!$C$8,"Error"))),"")</f>
        <v/>
      </c>
      <c r="F2326" s="8" t="str">
        <f>IF(Table1[[#This Row],[Is Data Valid]]=TRUE,EXP(0.578+0.332*((Table1[[#This Row],[Gestation (days)]]+0.5)/7)-0.00354*((Table1[[#This Row],[Gestation (days)]]+0.5)/7)^2)*Table1[[#This Row],[BW40_3705]],"")</f>
        <v/>
      </c>
      <c r="G2326" s="2" t="str">
        <f>IF(Table1[[#This Row],[Is Data Valid]]=TRUE,((Table1[[#This Row],[Birthweight (grams)]]/Table1[[#This Row],[BW_GA]])-1)/(Backend!$B$4/100*Table1[[#This Row],[BW40_3705]]),"")</f>
        <v/>
      </c>
      <c r="H2326" s="7" t="str">
        <f>IF(Table1[[#This Row],[Is Data Valid]]=TRUE,((Table1[[#This Row],[Birthweight (grams)]]*0.9/Table1[[#This Row],[BW_GA]])-1)/(Backend!$B$4/100*Table1[[#This Row],[BW40_3705]]),"")</f>
        <v/>
      </c>
      <c r="I2326" s="7" t="str">
        <f>IF(Table1[[#This Row],[Is Data Valid]]=TRUE,((Table1[[#This Row],[Birthweight (grams)]]*1.1/Table1[[#This Row],[BW_GA]])-1)/(Backend!$B$4/100*Table1[[#This Row],[BW40_3705]]),"")</f>
        <v/>
      </c>
      <c r="J2326" s="7" t="str">
        <f>IF(Table1[[#This Row],[Is Data Valid]]=TRUE,_xlfn.NORM.S.DIST(Table1[[#This Row],[Birthweight Z-Score]],TRUE)*100,"")</f>
        <v/>
      </c>
      <c r="K2326" s="7" t="str">
        <f>IF(Table1[[#This Row],[Is Data Valid]]=TRUE,_xlfn.NORM.S.DIST(Table1[[#This Row],[Birthweight Z-Score (BW-10%)]],TRUE)*100,"")</f>
        <v/>
      </c>
      <c r="L2326" s="7" t="str">
        <f>IF(Table1[[#This Row],[Is Data Valid]]=TRUE,_xlfn.NORM.S.DIST(Table1[[#This Row],[Birthweight Z-Score (BW+10%)]],TRUE)*100,"")</f>
        <v/>
      </c>
    </row>
    <row r="2327" spans="1:12" x14ac:dyDescent="0.35">
      <c r="A2327" s="3"/>
      <c r="B2327" s="2"/>
      <c r="C2327" s="2"/>
      <c r="D2327" s="2" t="b">
        <f>IF(AND(NOT(ISBLANK(Table1[[#This Row],[Fetal Sex (Male, Female or Unknown)]])),ISNUMBER(Table1[[#This Row],[Birthweight (grams)]]),ISNUMBER(Table1[[#This Row],[Gestation (days)]])),TRUE,FALSE)</f>
        <v>0</v>
      </c>
      <c r="E2327" s="2" t="str">
        <f>IF(Table1[[#This Row],[Is Data Valid]]=TRUE,IF(Table1[[#This Row],[Fetal Sex (Male, Female or Unknown)]]="Male",Backend!$C$6,IF(Table1[[#This Row],[Fetal Sex (Male, Female or Unknown)]]="Female",Backend!$C$7,IF(Table1[[#This Row],[Fetal Sex (Male, Female or Unknown)]]="Unknown",Backend!$C$8,"Error"))),"")</f>
        <v/>
      </c>
      <c r="F2327" s="8" t="str">
        <f>IF(Table1[[#This Row],[Is Data Valid]]=TRUE,EXP(0.578+0.332*((Table1[[#This Row],[Gestation (days)]]+0.5)/7)-0.00354*((Table1[[#This Row],[Gestation (days)]]+0.5)/7)^2)*Table1[[#This Row],[BW40_3705]],"")</f>
        <v/>
      </c>
      <c r="G2327" s="2" t="str">
        <f>IF(Table1[[#This Row],[Is Data Valid]]=TRUE,((Table1[[#This Row],[Birthweight (grams)]]/Table1[[#This Row],[BW_GA]])-1)/(Backend!$B$4/100*Table1[[#This Row],[BW40_3705]]),"")</f>
        <v/>
      </c>
      <c r="H2327" s="7" t="str">
        <f>IF(Table1[[#This Row],[Is Data Valid]]=TRUE,((Table1[[#This Row],[Birthweight (grams)]]*0.9/Table1[[#This Row],[BW_GA]])-1)/(Backend!$B$4/100*Table1[[#This Row],[BW40_3705]]),"")</f>
        <v/>
      </c>
      <c r="I2327" s="7" t="str">
        <f>IF(Table1[[#This Row],[Is Data Valid]]=TRUE,((Table1[[#This Row],[Birthweight (grams)]]*1.1/Table1[[#This Row],[BW_GA]])-1)/(Backend!$B$4/100*Table1[[#This Row],[BW40_3705]]),"")</f>
        <v/>
      </c>
      <c r="J2327" s="7" t="str">
        <f>IF(Table1[[#This Row],[Is Data Valid]]=TRUE,_xlfn.NORM.S.DIST(Table1[[#This Row],[Birthweight Z-Score]],TRUE)*100,"")</f>
        <v/>
      </c>
      <c r="K2327" s="7" t="str">
        <f>IF(Table1[[#This Row],[Is Data Valid]]=TRUE,_xlfn.NORM.S.DIST(Table1[[#This Row],[Birthweight Z-Score (BW-10%)]],TRUE)*100,"")</f>
        <v/>
      </c>
      <c r="L2327" s="7" t="str">
        <f>IF(Table1[[#This Row],[Is Data Valid]]=TRUE,_xlfn.NORM.S.DIST(Table1[[#This Row],[Birthweight Z-Score (BW+10%)]],TRUE)*100,"")</f>
        <v/>
      </c>
    </row>
    <row r="2328" spans="1:12" x14ac:dyDescent="0.35">
      <c r="A2328" s="3"/>
      <c r="B2328" s="2"/>
      <c r="C2328" s="2"/>
      <c r="D2328" s="2" t="b">
        <f>IF(AND(NOT(ISBLANK(Table1[[#This Row],[Fetal Sex (Male, Female or Unknown)]])),ISNUMBER(Table1[[#This Row],[Birthweight (grams)]]),ISNUMBER(Table1[[#This Row],[Gestation (days)]])),TRUE,FALSE)</f>
        <v>0</v>
      </c>
      <c r="E2328" s="2" t="str">
        <f>IF(Table1[[#This Row],[Is Data Valid]]=TRUE,IF(Table1[[#This Row],[Fetal Sex (Male, Female or Unknown)]]="Male",Backend!$C$6,IF(Table1[[#This Row],[Fetal Sex (Male, Female or Unknown)]]="Female",Backend!$C$7,IF(Table1[[#This Row],[Fetal Sex (Male, Female or Unknown)]]="Unknown",Backend!$C$8,"Error"))),"")</f>
        <v/>
      </c>
      <c r="F2328" s="8" t="str">
        <f>IF(Table1[[#This Row],[Is Data Valid]]=TRUE,EXP(0.578+0.332*((Table1[[#This Row],[Gestation (days)]]+0.5)/7)-0.00354*((Table1[[#This Row],[Gestation (days)]]+0.5)/7)^2)*Table1[[#This Row],[BW40_3705]],"")</f>
        <v/>
      </c>
      <c r="G2328" s="2" t="str">
        <f>IF(Table1[[#This Row],[Is Data Valid]]=TRUE,((Table1[[#This Row],[Birthweight (grams)]]/Table1[[#This Row],[BW_GA]])-1)/(Backend!$B$4/100*Table1[[#This Row],[BW40_3705]]),"")</f>
        <v/>
      </c>
      <c r="H2328" s="7" t="str">
        <f>IF(Table1[[#This Row],[Is Data Valid]]=TRUE,((Table1[[#This Row],[Birthweight (grams)]]*0.9/Table1[[#This Row],[BW_GA]])-1)/(Backend!$B$4/100*Table1[[#This Row],[BW40_3705]]),"")</f>
        <v/>
      </c>
      <c r="I2328" s="7" t="str">
        <f>IF(Table1[[#This Row],[Is Data Valid]]=TRUE,((Table1[[#This Row],[Birthweight (grams)]]*1.1/Table1[[#This Row],[BW_GA]])-1)/(Backend!$B$4/100*Table1[[#This Row],[BW40_3705]]),"")</f>
        <v/>
      </c>
      <c r="J2328" s="7" t="str">
        <f>IF(Table1[[#This Row],[Is Data Valid]]=TRUE,_xlfn.NORM.S.DIST(Table1[[#This Row],[Birthweight Z-Score]],TRUE)*100,"")</f>
        <v/>
      </c>
      <c r="K2328" s="7" t="str">
        <f>IF(Table1[[#This Row],[Is Data Valid]]=TRUE,_xlfn.NORM.S.DIST(Table1[[#This Row],[Birthweight Z-Score (BW-10%)]],TRUE)*100,"")</f>
        <v/>
      </c>
      <c r="L2328" s="7" t="str">
        <f>IF(Table1[[#This Row],[Is Data Valid]]=TRUE,_xlfn.NORM.S.DIST(Table1[[#This Row],[Birthweight Z-Score (BW+10%)]],TRUE)*100,"")</f>
        <v/>
      </c>
    </row>
    <row r="2329" spans="1:12" x14ac:dyDescent="0.35">
      <c r="A2329" s="3"/>
      <c r="B2329" s="2"/>
      <c r="C2329" s="2"/>
      <c r="D2329" s="2" t="b">
        <f>IF(AND(NOT(ISBLANK(Table1[[#This Row],[Fetal Sex (Male, Female or Unknown)]])),ISNUMBER(Table1[[#This Row],[Birthweight (grams)]]),ISNUMBER(Table1[[#This Row],[Gestation (days)]])),TRUE,FALSE)</f>
        <v>0</v>
      </c>
      <c r="E2329" s="2" t="str">
        <f>IF(Table1[[#This Row],[Is Data Valid]]=TRUE,IF(Table1[[#This Row],[Fetal Sex (Male, Female or Unknown)]]="Male",Backend!$C$6,IF(Table1[[#This Row],[Fetal Sex (Male, Female or Unknown)]]="Female",Backend!$C$7,IF(Table1[[#This Row],[Fetal Sex (Male, Female or Unknown)]]="Unknown",Backend!$C$8,"Error"))),"")</f>
        <v/>
      </c>
      <c r="F2329" s="8" t="str">
        <f>IF(Table1[[#This Row],[Is Data Valid]]=TRUE,EXP(0.578+0.332*((Table1[[#This Row],[Gestation (days)]]+0.5)/7)-0.00354*((Table1[[#This Row],[Gestation (days)]]+0.5)/7)^2)*Table1[[#This Row],[BW40_3705]],"")</f>
        <v/>
      </c>
      <c r="G2329" s="2" t="str">
        <f>IF(Table1[[#This Row],[Is Data Valid]]=TRUE,((Table1[[#This Row],[Birthweight (grams)]]/Table1[[#This Row],[BW_GA]])-1)/(Backend!$B$4/100*Table1[[#This Row],[BW40_3705]]),"")</f>
        <v/>
      </c>
      <c r="H2329" s="7" t="str">
        <f>IF(Table1[[#This Row],[Is Data Valid]]=TRUE,((Table1[[#This Row],[Birthweight (grams)]]*0.9/Table1[[#This Row],[BW_GA]])-1)/(Backend!$B$4/100*Table1[[#This Row],[BW40_3705]]),"")</f>
        <v/>
      </c>
      <c r="I2329" s="7" t="str">
        <f>IF(Table1[[#This Row],[Is Data Valid]]=TRUE,((Table1[[#This Row],[Birthweight (grams)]]*1.1/Table1[[#This Row],[BW_GA]])-1)/(Backend!$B$4/100*Table1[[#This Row],[BW40_3705]]),"")</f>
        <v/>
      </c>
      <c r="J2329" s="7" t="str">
        <f>IF(Table1[[#This Row],[Is Data Valid]]=TRUE,_xlfn.NORM.S.DIST(Table1[[#This Row],[Birthweight Z-Score]],TRUE)*100,"")</f>
        <v/>
      </c>
      <c r="K2329" s="7" t="str">
        <f>IF(Table1[[#This Row],[Is Data Valid]]=TRUE,_xlfn.NORM.S.DIST(Table1[[#This Row],[Birthweight Z-Score (BW-10%)]],TRUE)*100,"")</f>
        <v/>
      </c>
      <c r="L2329" s="7" t="str">
        <f>IF(Table1[[#This Row],[Is Data Valid]]=TRUE,_xlfn.NORM.S.DIST(Table1[[#This Row],[Birthweight Z-Score (BW+10%)]],TRUE)*100,"")</f>
        <v/>
      </c>
    </row>
    <row r="2330" spans="1:12" x14ac:dyDescent="0.35">
      <c r="A2330" s="3"/>
      <c r="B2330" s="2"/>
      <c r="C2330" s="2"/>
      <c r="D2330" s="2" t="b">
        <f>IF(AND(NOT(ISBLANK(Table1[[#This Row],[Fetal Sex (Male, Female or Unknown)]])),ISNUMBER(Table1[[#This Row],[Birthweight (grams)]]),ISNUMBER(Table1[[#This Row],[Gestation (days)]])),TRUE,FALSE)</f>
        <v>0</v>
      </c>
      <c r="E2330" s="2" t="str">
        <f>IF(Table1[[#This Row],[Is Data Valid]]=TRUE,IF(Table1[[#This Row],[Fetal Sex (Male, Female or Unknown)]]="Male",Backend!$C$6,IF(Table1[[#This Row],[Fetal Sex (Male, Female or Unknown)]]="Female",Backend!$C$7,IF(Table1[[#This Row],[Fetal Sex (Male, Female or Unknown)]]="Unknown",Backend!$C$8,"Error"))),"")</f>
        <v/>
      </c>
      <c r="F2330" s="8" t="str">
        <f>IF(Table1[[#This Row],[Is Data Valid]]=TRUE,EXP(0.578+0.332*((Table1[[#This Row],[Gestation (days)]]+0.5)/7)-0.00354*((Table1[[#This Row],[Gestation (days)]]+0.5)/7)^2)*Table1[[#This Row],[BW40_3705]],"")</f>
        <v/>
      </c>
      <c r="G2330" s="2" t="str">
        <f>IF(Table1[[#This Row],[Is Data Valid]]=TRUE,((Table1[[#This Row],[Birthweight (grams)]]/Table1[[#This Row],[BW_GA]])-1)/(Backend!$B$4/100*Table1[[#This Row],[BW40_3705]]),"")</f>
        <v/>
      </c>
      <c r="H2330" s="7" t="str">
        <f>IF(Table1[[#This Row],[Is Data Valid]]=TRUE,((Table1[[#This Row],[Birthweight (grams)]]*0.9/Table1[[#This Row],[BW_GA]])-1)/(Backend!$B$4/100*Table1[[#This Row],[BW40_3705]]),"")</f>
        <v/>
      </c>
      <c r="I2330" s="7" t="str">
        <f>IF(Table1[[#This Row],[Is Data Valid]]=TRUE,((Table1[[#This Row],[Birthweight (grams)]]*1.1/Table1[[#This Row],[BW_GA]])-1)/(Backend!$B$4/100*Table1[[#This Row],[BW40_3705]]),"")</f>
        <v/>
      </c>
      <c r="J2330" s="7" t="str">
        <f>IF(Table1[[#This Row],[Is Data Valid]]=TRUE,_xlfn.NORM.S.DIST(Table1[[#This Row],[Birthweight Z-Score]],TRUE)*100,"")</f>
        <v/>
      </c>
      <c r="K2330" s="7" t="str">
        <f>IF(Table1[[#This Row],[Is Data Valid]]=TRUE,_xlfn.NORM.S.DIST(Table1[[#This Row],[Birthweight Z-Score (BW-10%)]],TRUE)*100,"")</f>
        <v/>
      </c>
      <c r="L2330" s="7" t="str">
        <f>IF(Table1[[#This Row],[Is Data Valid]]=TRUE,_xlfn.NORM.S.DIST(Table1[[#This Row],[Birthweight Z-Score (BW+10%)]],TRUE)*100,"")</f>
        <v/>
      </c>
    </row>
    <row r="2331" spans="1:12" x14ac:dyDescent="0.35">
      <c r="A2331" s="3"/>
      <c r="B2331" s="2"/>
      <c r="C2331" s="2"/>
      <c r="D2331" s="2" t="b">
        <f>IF(AND(NOT(ISBLANK(Table1[[#This Row],[Fetal Sex (Male, Female or Unknown)]])),ISNUMBER(Table1[[#This Row],[Birthweight (grams)]]),ISNUMBER(Table1[[#This Row],[Gestation (days)]])),TRUE,FALSE)</f>
        <v>0</v>
      </c>
      <c r="E2331" s="2" t="str">
        <f>IF(Table1[[#This Row],[Is Data Valid]]=TRUE,IF(Table1[[#This Row],[Fetal Sex (Male, Female or Unknown)]]="Male",Backend!$C$6,IF(Table1[[#This Row],[Fetal Sex (Male, Female or Unknown)]]="Female",Backend!$C$7,IF(Table1[[#This Row],[Fetal Sex (Male, Female or Unknown)]]="Unknown",Backend!$C$8,"Error"))),"")</f>
        <v/>
      </c>
      <c r="F2331" s="8" t="str">
        <f>IF(Table1[[#This Row],[Is Data Valid]]=TRUE,EXP(0.578+0.332*((Table1[[#This Row],[Gestation (days)]]+0.5)/7)-0.00354*((Table1[[#This Row],[Gestation (days)]]+0.5)/7)^2)*Table1[[#This Row],[BW40_3705]],"")</f>
        <v/>
      </c>
      <c r="G2331" s="2" t="str">
        <f>IF(Table1[[#This Row],[Is Data Valid]]=TRUE,((Table1[[#This Row],[Birthweight (grams)]]/Table1[[#This Row],[BW_GA]])-1)/(Backend!$B$4/100*Table1[[#This Row],[BW40_3705]]),"")</f>
        <v/>
      </c>
      <c r="H2331" s="7" t="str">
        <f>IF(Table1[[#This Row],[Is Data Valid]]=TRUE,((Table1[[#This Row],[Birthweight (grams)]]*0.9/Table1[[#This Row],[BW_GA]])-1)/(Backend!$B$4/100*Table1[[#This Row],[BW40_3705]]),"")</f>
        <v/>
      </c>
      <c r="I2331" s="7" t="str">
        <f>IF(Table1[[#This Row],[Is Data Valid]]=TRUE,((Table1[[#This Row],[Birthweight (grams)]]*1.1/Table1[[#This Row],[BW_GA]])-1)/(Backend!$B$4/100*Table1[[#This Row],[BW40_3705]]),"")</f>
        <v/>
      </c>
      <c r="J2331" s="7" t="str">
        <f>IF(Table1[[#This Row],[Is Data Valid]]=TRUE,_xlfn.NORM.S.DIST(Table1[[#This Row],[Birthweight Z-Score]],TRUE)*100,"")</f>
        <v/>
      </c>
      <c r="K2331" s="7" t="str">
        <f>IF(Table1[[#This Row],[Is Data Valid]]=TRUE,_xlfn.NORM.S.DIST(Table1[[#This Row],[Birthweight Z-Score (BW-10%)]],TRUE)*100,"")</f>
        <v/>
      </c>
      <c r="L2331" s="7" t="str">
        <f>IF(Table1[[#This Row],[Is Data Valid]]=TRUE,_xlfn.NORM.S.DIST(Table1[[#This Row],[Birthweight Z-Score (BW+10%)]],TRUE)*100,"")</f>
        <v/>
      </c>
    </row>
    <row r="2332" spans="1:12" x14ac:dyDescent="0.35">
      <c r="A2332" s="3"/>
      <c r="B2332" s="2"/>
      <c r="C2332" s="2"/>
      <c r="D2332" s="2" t="b">
        <f>IF(AND(NOT(ISBLANK(Table1[[#This Row],[Fetal Sex (Male, Female or Unknown)]])),ISNUMBER(Table1[[#This Row],[Birthweight (grams)]]),ISNUMBER(Table1[[#This Row],[Gestation (days)]])),TRUE,FALSE)</f>
        <v>0</v>
      </c>
      <c r="E2332" s="2" t="str">
        <f>IF(Table1[[#This Row],[Is Data Valid]]=TRUE,IF(Table1[[#This Row],[Fetal Sex (Male, Female or Unknown)]]="Male",Backend!$C$6,IF(Table1[[#This Row],[Fetal Sex (Male, Female or Unknown)]]="Female",Backend!$C$7,IF(Table1[[#This Row],[Fetal Sex (Male, Female or Unknown)]]="Unknown",Backend!$C$8,"Error"))),"")</f>
        <v/>
      </c>
      <c r="F2332" s="8" t="str">
        <f>IF(Table1[[#This Row],[Is Data Valid]]=TRUE,EXP(0.578+0.332*((Table1[[#This Row],[Gestation (days)]]+0.5)/7)-0.00354*((Table1[[#This Row],[Gestation (days)]]+0.5)/7)^2)*Table1[[#This Row],[BW40_3705]],"")</f>
        <v/>
      </c>
      <c r="G2332" s="2" t="str">
        <f>IF(Table1[[#This Row],[Is Data Valid]]=TRUE,((Table1[[#This Row],[Birthweight (grams)]]/Table1[[#This Row],[BW_GA]])-1)/(Backend!$B$4/100*Table1[[#This Row],[BW40_3705]]),"")</f>
        <v/>
      </c>
      <c r="H2332" s="7" t="str">
        <f>IF(Table1[[#This Row],[Is Data Valid]]=TRUE,((Table1[[#This Row],[Birthweight (grams)]]*0.9/Table1[[#This Row],[BW_GA]])-1)/(Backend!$B$4/100*Table1[[#This Row],[BW40_3705]]),"")</f>
        <v/>
      </c>
      <c r="I2332" s="7" t="str">
        <f>IF(Table1[[#This Row],[Is Data Valid]]=TRUE,((Table1[[#This Row],[Birthweight (grams)]]*1.1/Table1[[#This Row],[BW_GA]])-1)/(Backend!$B$4/100*Table1[[#This Row],[BW40_3705]]),"")</f>
        <v/>
      </c>
      <c r="J2332" s="7" t="str">
        <f>IF(Table1[[#This Row],[Is Data Valid]]=TRUE,_xlfn.NORM.S.DIST(Table1[[#This Row],[Birthweight Z-Score]],TRUE)*100,"")</f>
        <v/>
      </c>
      <c r="K2332" s="7" t="str">
        <f>IF(Table1[[#This Row],[Is Data Valid]]=TRUE,_xlfn.NORM.S.DIST(Table1[[#This Row],[Birthweight Z-Score (BW-10%)]],TRUE)*100,"")</f>
        <v/>
      </c>
      <c r="L2332" s="7" t="str">
        <f>IF(Table1[[#This Row],[Is Data Valid]]=TRUE,_xlfn.NORM.S.DIST(Table1[[#This Row],[Birthweight Z-Score (BW+10%)]],TRUE)*100,"")</f>
        <v/>
      </c>
    </row>
    <row r="2333" spans="1:12" x14ac:dyDescent="0.35">
      <c r="A2333" s="3"/>
      <c r="B2333" s="2"/>
      <c r="C2333" s="2"/>
      <c r="D2333" s="2" t="b">
        <f>IF(AND(NOT(ISBLANK(Table1[[#This Row],[Fetal Sex (Male, Female or Unknown)]])),ISNUMBER(Table1[[#This Row],[Birthweight (grams)]]),ISNUMBER(Table1[[#This Row],[Gestation (days)]])),TRUE,FALSE)</f>
        <v>0</v>
      </c>
      <c r="E2333" s="2" t="str">
        <f>IF(Table1[[#This Row],[Is Data Valid]]=TRUE,IF(Table1[[#This Row],[Fetal Sex (Male, Female or Unknown)]]="Male",Backend!$C$6,IF(Table1[[#This Row],[Fetal Sex (Male, Female or Unknown)]]="Female",Backend!$C$7,IF(Table1[[#This Row],[Fetal Sex (Male, Female or Unknown)]]="Unknown",Backend!$C$8,"Error"))),"")</f>
        <v/>
      </c>
      <c r="F2333" s="8" t="str">
        <f>IF(Table1[[#This Row],[Is Data Valid]]=TRUE,EXP(0.578+0.332*((Table1[[#This Row],[Gestation (days)]]+0.5)/7)-0.00354*((Table1[[#This Row],[Gestation (days)]]+0.5)/7)^2)*Table1[[#This Row],[BW40_3705]],"")</f>
        <v/>
      </c>
      <c r="G2333" s="2" t="str">
        <f>IF(Table1[[#This Row],[Is Data Valid]]=TRUE,((Table1[[#This Row],[Birthweight (grams)]]/Table1[[#This Row],[BW_GA]])-1)/(Backend!$B$4/100*Table1[[#This Row],[BW40_3705]]),"")</f>
        <v/>
      </c>
      <c r="H2333" s="7" t="str">
        <f>IF(Table1[[#This Row],[Is Data Valid]]=TRUE,((Table1[[#This Row],[Birthweight (grams)]]*0.9/Table1[[#This Row],[BW_GA]])-1)/(Backend!$B$4/100*Table1[[#This Row],[BW40_3705]]),"")</f>
        <v/>
      </c>
      <c r="I2333" s="7" t="str">
        <f>IF(Table1[[#This Row],[Is Data Valid]]=TRUE,((Table1[[#This Row],[Birthweight (grams)]]*1.1/Table1[[#This Row],[BW_GA]])-1)/(Backend!$B$4/100*Table1[[#This Row],[BW40_3705]]),"")</f>
        <v/>
      </c>
      <c r="J2333" s="7" t="str">
        <f>IF(Table1[[#This Row],[Is Data Valid]]=TRUE,_xlfn.NORM.S.DIST(Table1[[#This Row],[Birthweight Z-Score]],TRUE)*100,"")</f>
        <v/>
      </c>
      <c r="K2333" s="7" t="str">
        <f>IF(Table1[[#This Row],[Is Data Valid]]=TRUE,_xlfn.NORM.S.DIST(Table1[[#This Row],[Birthweight Z-Score (BW-10%)]],TRUE)*100,"")</f>
        <v/>
      </c>
      <c r="L2333" s="7" t="str">
        <f>IF(Table1[[#This Row],[Is Data Valid]]=TRUE,_xlfn.NORM.S.DIST(Table1[[#This Row],[Birthweight Z-Score (BW+10%)]],TRUE)*100,"")</f>
        <v/>
      </c>
    </row>
    <row r="2334" spans="1:12" x14ac:dyDescent="0.35">
      <c r="A2334" s="3"/>
      <c r="B2334" s="2"/>
      <c r="C2334" s="2"/>
      <c r="D2334" s="2" t="b">
        <f>IF(AND(NOT(ISBLANK(Table1[[#This Row],[Fetal Sex (Male, Female or Unknown)]])),ISNUMBER(Table1[[#This Row],[Birthweight (grams)]]),ISNUMBER(Table1[[#This Row],[Gestation (days)]])),TRUE,FALSE)</f>
        <v>0</v>
      </c>
      <c r="E2334" s="2" t="str">
        <f>IF(Table1[[#This Row],[Is Data Valid]]=TRUE,IF(Table1[[#This Row],[Fetal Sex (Male, Female or Unknown)]]="Male",Backend!$C$6,IF(Table1[[#This Row],[Fetal Sex (Male, Female or Unknown)]]="Female",Backend!$C$7,IF(Table1[[#This Row],[Fetal Sex (Male, Female or Unknown)]]="Unknown",Backend!$C$8,"Error"))),"")</f>
        <v/>
      </c>
      <c r="F2334" s="8" t="str">
        <f>IF(Table1[[#This Row],[Is Data Valid]]=TRUE,EXP(0.578+0.332*((Table1[[#This Row],[Gestation (days)]]+0.5)/7)-0.00354*((Table1[[#This Row],[Gestation (days)]]+0.5)/7)^2)*Table1[[#This Row],[BW40_3705]],"")</f>
        <v/>
      </c>
      <c r="G2334" s="2" t="str">
        <f>IF(Table1[[#This Row],[Is Data Valid]]=TRUE,((Table1[[#This Row],[Birthweight (grams)]]/Table1[[#This Row],[BW_GA]])-1)/(Backend!$B$4/100*Table1[[#This Row],[BW40_3705]]),"")</f>
        <v/>
      </c>
      <c r="H2334" s="7" t="str">
        <f>IF(Table1[[#This Row],[Is Data Valid]]=TRUE,((Table1[[#This Row],[Birthweight (grams)]]*0.9/Table1[[#This Row],[BW_GA]])-1)/(Backend!$B$4/100*Table1[[#This Row],[BW40_3705]]),"")</f>
        <v/>
      </c>
      <c r="I2334" s="7" t="str">
        <f>IF(Table1[[#This Row],[Is Data Valid]]=TRUE,((Table1[[#This Row],[Birthweight (grams)]]*1.1/Table1[[#This Row],[BW_GA]])-1)/(Backend!$B$4/100*Table1[[#This Row],[BW40_3705]]),"")</f>
        <v/>
      </c>
      <c r="J2334" s="7" t="str">
        <f>IF(Table1[[#This Row],[Is Data Valid]]=TRUE,_xlfn.NORM.S.DIST(Table1[[#This Row],[Birthweight Z-Score]],TRUE)*100,"")</f>
        <v/>
      </c>
      <c r="K2334" s="7" t="str">
        <f>IF(Table1[[#This Row],[Is Data Valid]]=TRUE,_xlfn.NORM.S.DIST(Table1[[#This Row],[Birthweight Z-Score (BW-10%)]],TRUE)*100,"")</f>
        <v/>
      </c>
      <c r="L2334" s="7" t="str">
        <f>IF(Table1[[#This Row],[Is Data Valid]]=TRUE,_xlfn.NORM.S.DIST(Table1[[#This Row],[Birthweight Z-Score (BW+10%)]],TRUE)*100,"")</f>
        <v/>
      </c>
    </row>
    <row r="2335" spans="1:12" x14ac:dyDescent="0.35">
      <c r="A2335" s="3"/>
      <c r="B2335" s="2"/>
      <c r="C2335" s="2"/>
      <c r="D2335" s="2" t="b">
        <f>IF(AND(NOT(ISBLANK(Table1[[#This Row],[Fetal Sex (Male, Female or Unknown)]])),ISNUMBER(Table1[[#This Row],[Birthweight (grams)]]),ISNUMBER(Table1[[#This Row],[Gestation (days)]])),TRUE,FALSE)</f>
        <v>0</v>
      </c>
      <c r="E2335" s="2" t="str">
        <f>IF(Table1[[#This Row],[Is Data Valid]]=TRUE,IF(Table1[[#This Row],[Fetal Sex (Male, Female or Unknown)]]="Male",Backend!$C$6,IF(Table1[[#This Row],[Fetal Sex (Male, Female or Unknown)]]="Female",Backend!$C$7,IF(Table1[[#This Row],[Fetal Sex (Male, Female or Unknown)]]="Unknown",Backend!$C$8,"Error"))),"")</f>
        <v/>
      </c>
      <c r="F2335" s="8" t="str">
        <f>IF(Table1[[#This Row],[Is Data Valid]]=TRUE,EXP(0.578+0.332*((Table1[[#This Row],[Gestation (days)]]+0.5)/7)-0.00354*((Table1[[#This Row],[Gestation (days)]]+0.5)/7)^2)*Table1[[#This Row],[BW40_3705]],"")</f>
        <v/>
      </c>
      <c r="G2335" s="2" t="str">
        <f>IF(Table1[[#This Row],[Is Data Valid]]=TRUE,((Table1[[#This Row],[Birthweight (grams)]]/Table1[[#This Row],[BW_GA]])-1)/(Backend!$B$4/100*Table1[[#This Row],[BW40_3705]]),"")</f>
        <v/>
      </c>
      <c r="H2335" s="7" t="str">
        <f>IF(Table1[[#This Row],[Is Data Valid]]=TRUE,((Table1[[#This Row],[Birthweight (grams)]]*0.9/Table1[[#This Row],[BW_GA]])-1)/(Backend!$B$4/100*Table1[[#This Row],[BW40_3705]]),"")</f>
        <v/>
      </c>
      <c r="I2335" s="7" t="str">
        <f>IF(Table1[[#This Row],[Is Data Valid]]=TRUE,((Table1[[#This Row],[Birthweight (grams)]]*1.1/Table1[[#This Row],[BW_GA]])-1)/(Backend!$B$4/100*Table1[[#This Row],[BW40_3705]]),"")</f>
        <v/>
      </c>
      <c r="J2335" s="7" t="str">
        <f>IF(Table1[[#This Row],[Is Data Valid]]=TRUE,_xlfn.NORM.S.DIST(Table1[[#This Row],[Birthweight Z-Score]],TRUE)*100,"")</f>
        <v/>
      </c>
      <c r="K2335" s="7" t="str">
        <f>IF(Table1[[#This Row],[Is Data Valid]]=TRUE,_xlfn.NORM.S.DIST(Table1[[#This Row],[Birthweight Z-Score (BW-10%)]],TRUE)*100,"")</f>
        <v/>
      </c>
      <c r="L2335" s="7" t="str">
        <f>IF(Table1[[#This Row],[Is Data Valid]]=TRUE,_xlfn.NORM.S.DIST(Table1[[#This Row],[Birthweight Z-Score (BW+10%)]],TRUE)*100,"")</f>
        <v/>
      </c>
    </row>
    <row r="2336" spans="1:12" x14ac:dyDescent="0.35">
      <c r="A2336" s="3"/>
      <c r="B2336" s="2"/>
      <c r="C2336" s="2"/>
      <c r="D2336" s="2" t="b">
        <f>IF(AND(NOT(ISBLANK(Table1[[#This Row],[Fetal Sex (Male, Female or Unknown)]])),ISNUMBER(Table1[[#This Row],[Birthweight (grams)]]),ISNUMBER(Table1[[#This Row],[Gestation (days)]])),TRUE,FALSE)</f>
        <v>0</v>
      </c>
      <c r="E2336" s="2" t="str">
        <f>IF(Table1[[#This Row],[Is Data Valid]]=TRUE,IF(Table1[[#This Row],[Fetal Sex (Male, Female or Unknown)]]="Male",Backend!$C$6,IF(Table1[[#This Row],[Fetal Sex (Male, Female or Unknown)]]="Female",Backend!$C$7,IF(Table1[[#This Row],[Fetal Sex (Male, Female or Unknown)]]="Unknown",Backend!$C$8,"Error"))),"")</f>
        <v/>
      </c>
      <c r="F2336" s="8" t="str">
        <f>IF(Table1[[#This Row],[Is Data Valid]]=TRUE,EXP(0.578+0.332*((Table1[[#This Row],[Gestation (days)]]+0.5)/7)-0.00354*((Table1[[#This Row],[Gestation (days)]]+0.5)/7)^2)*Table1[[#This Row],[BW40_3705]],"")</f>
        <v/>
      </c>
      <c r="G2336" s="2" t="str">
        <f>IF(Table1[[#This Row],[Is Data Valid]]=TRUE,((Table1[[#This Row],[Birthweight (grams)]]/Table1[[#This Row],[BW_GA]])-1)/(Backend!$B$4/100*Table1[[#This Row],[BW40_3705]]),"")</f>
        <v/>
      </c>
      <c r="H2336" s="7" t="str">
        <f>IF(Table1[[#This Row],[Is Data Valid]]=TRUE,((Table1[[#This Row],[Birthweight (grams)]]*0.9/Table1[[#This Row],[BW_GA]])-1)/(Backend!$B$4/100*Table1[[#This Row],[BW40_3705]]),"")</f>
        <v/>
      </c>
      <c r="I2336" s="7" t="str">
        <f>IF(Table1[[#This Row],[Is Data Valid]]=TRUE,((Table1[[#This Row],[Birthweight (grams)]]*1.1/Table1[[#This Row],[BW_GA]])-1)/(Backend!$B$4/100*Table1[[#This Row],[BW40_3705]]),"")</f>
        <v/>
      </c>
      <c r="J2336" s="7" t="str">
        <f>IF(Table1[[#This Row],[Is Data Valid]]=TRUE,_xlfn.NORM.S.DIST(Table1[[#This Row],[Birthweight Z-Score]],TRUE)*100,"")</f>
        <v/>
      </c>
      <c r="K2336" s="7" t="str">
        <f>IF(Table1[[#This Row],[Is Data Valid]]=TRUE,_xlfn.NORM.S.DIST(Table1[[#This Row],[Birthweight Z-Score (BW-10%)]],TRUE)*100,"")</f>
        <v/>
      </c>
      <c r="L2336" s="7" t="str">
        <f>IF(Table1[[#This Row],[Is Data Valid]]=TRUE,_xlfn.NORM.S.DIST(Table1[[#This Row],[Birthweight Z-Score (BW+10%)]],TRUE)*100,"")</f>
        <v/>
      </c>
    </row>
    <row r="2337" spans="1:12" x14ac:dyDescent="0.35">
      <c r="A2337" s="3"/>
      <c r="B2337" s="2"/>
      <c r="C2337" s="2"/>
      <c r="D2337" s="2" t="b">
        <f>IF(AND(NOT(ISBLANK(Table1[[#This Row],[Fetal Sex (Male, Female or Unknown)]])),ISNUMBER(Table1[[#This Row],[Birthweight (grams)]]),ISNUMBER(Table1[[#This Row],[Gestation (days)]])),TRUE,FALSE)</f>
        <v>0</v>
      </c>
      <c r="E2337" s="2" t="str">
        <f>IF(Table1[[#This Row],[Is Data Valid]]=TRUE,IF(Table1[[#This Row],[Fetal Sex (Male, Female or Unknown)]]="Male",Backend!$C$6,IF(Table1[[#This Row],[Fetal Sex (Male, Female or Unknown)]]="Female",Backend!$C$7,IF(Table1[[#This Row],[Fetal Sex (Male, Female or Unknown)]]="Unknown",Backend!$C$8,"Error"))),"")</f>
        <v/>
      </c>
      <c r="F2337" s="8" t="str">
        <f>IF(Table1[[#This Row],[Is Data Valid]]=TRUE,EXP(0.578+0.332*((Table1[[#This Row],[Gestation (days)]]+0.5)/7)-0.00354*((Table1[[#This Row],[Gestation (days)]]+0.5)/7)^2)*Table1[[#This Row],[BW40_3705]],"")</f>
        <v/>
      </c>
      <c r="G2337" s="2" t="str">
        <f>IF(Table1[[#This Row],[Is Data Valid]]=TRUE,((Table1[[#This Row],[Birthweight (grams)]]/Table1[[#This Row],[BW_GA]])-1)/(Backend!$B$4/100*Table1[[#This Row],[BW40_3705]]),"")</f>
        <v/>
      </c>
      <c r="H2337" s="7" t="str">
        <f>IF(Table1[[#This Row],[Is Data Valid]]=TRUE,((Table1[[#This Row],[Birthweight (grams)]]*0.9/Table1[[#This Row],[BW_GA]])-1)/(Backend!$B$4/100*Table1[[#This Row],[BW40_3705]]),"")</f>
        <v/>
      </c>
      <c r="I2337" s="7" t="str">
        <f>IF(Table1[[#This Row],[Is Data Valid]]=TRUE,((Table1[[#This Row],[Birthweight (grams)]]*1.1/Table1[[#This Row],[BW_GA]])-1)/(Backend!$B$4/100*Table1[[#This Row],[BW40_3705]]),"")</f>
        <v/>
      </c>
      <c r="J2337" s="7" t="str">
        <f>IF(Table1[[#This Row],[Is Data Valid]]=TRUE,_xlfn.NORM.S.DIST(Table1[[#This Row],[Birthweight Z-Score]],TRUE)*100,"")</f>
        <v/>
      </c>
      <c r="K2337" s="7" t="str">
        <f>IF(Table1[[#This Row],[Is Data Valid]]=TRUE,_xlfn.NORM.S.DIST(Table1[[#This Row],[Birthweight Z-Score (BW-10%)]],TRUE)*100,"")</f>
        <v/>
      </c>
      <c r="L2337" s="7" t="str">
        <f>IF(Table1[[#This Row],[Is Data Valid]]=TRUE,_xlfn.NORM.S.DIST(Table1[[#This Row],[Birthweight Z-Score (BW+10%)]],TRUE)*100,"")</f>
        <v/>
      </c>
    </row>
    <row r="2338" spans="1:12" x14ac:dyDescent="0.35">
      <c r="A2338" s="3"/>
      <c r="B2338" s="2"/>
      <c r="C2338" s="2"/>
      <c r="D2338" s="2" t="b">
        <f>IF(AND(NOT(ISBLANK(Table1[[#This Row],[Fetal Sex (Male, Female or Unknown)]])),ISNUMBER(Table1[[#This Row],[Birthweight (grams)]]),ISNUMBER(Table1[[#This Row],[Gestation (days)]])),TRUE,FALSE)</f>
        <v>0</v>
      </c>
      <c r="E2338" s="2" t="str">
        <f>IF(Table1[[#This Row],[Is Data Valid]]=TRUE,IF(Table1[[#This Row],[Fetal Sex (Male, Female or Unknown)]]="Male",Backend!$C$6,IF(Table1[[#This Row],[Fetal Sex (Male, Female or Unknown)]]="Female",Backend!$C$7,IF(Table1[[#This Row],[Fetal Sex (Male, Female or Unknown)]]="Unknown",Backend!$C$8,"Error"))),"")</f>
        <v/>
      </c>
      <c r="F2338" s="8" t="str">
        <f>IF(Table1[[#This Row],[Is Data Valid]]=TRUE,EXP(0.578+0.332*((Table1[[#This Row],[Gestation (days)]]+0.5)/7)-0.00354*((Table1[[#This Row],[Gestation (days)]]+0.5)/7)^2)*Table1[[#This Row],[BW40_3705]],"")</f>
        <v/>
      </c>
      <c r="G2338" s="2" t="str">
        <f>IF(Table1[[#This Row],[Is Data Valid]]=TRUE,((Table1[[#This Row],[Birthweight (grams)]]/Table1[[#This Row],[BW_GA]])-1)/(Backend!$B$4/100*Table1[[#This Row],[BW40_3705]]),"")</f>
        <v/>
      </c>
      <c r="H2338" s="7" t="str">
        <f>IF(Table1[[#This Row],[Is Data Valid]]=TRUE,((Table1[[#This Row],[Birthweight (grams)]]*0.9/Table1[[#This Row],[BW_GA]])-1)/(Backend!$B$4/100*Table1[[#This Row],[BW40_3705]]),"")</f>
        <v/>
      </c>
      <c r="I2338" s="7" t="str">
        <f>IF(Table1[[#This Row],[Is Data Valid]]=TRUE,((Table1[[#This Row],[Birthweight (grams)]]*1.1/Table1[[#This Row],[BW_GA]])-1)/(Backend!$B$4/100*Table1[[#This Row],[BW40_3705]]),"")</f>
        <v/>
      </c>
      <c r="J2338" s="7" t="str">
        <f>IF(Table1[[#This Row],[Is Data Valid]]=TRUE,_xlfn.NORM.S.DIST(Table1[[#This Row],[Birthweight Z-Score]],TRUE)*100,"")</f>
        <v/>
      </c>
      <c r="K2338" s="7" t="str">
        <f>IF(Table1[[#This Row],[Is Data Valid]]=TRUE,_xlfn.NORM.S.DIST(Table1[[#This Row],[Birthweight Z-Score (BW-10%)]],TRUE)*100,"")</f>
        <v/>
      </c>
      <c r="L2338" s="7" t="str">
        <f>IF(Table1[[#This Row],[Is Data Valid]]=TRUE,_xlfn.NORM.S.DIST(Table1[[#This Row],[Birthweight Z-Score (BW+10%)]],TRUE)*100,"")</f>
        <v/>
      </c>
    </row>
    <row r="2339" spans="1:12" x14ac:dyDescent="0.35">
      <c r="A2339" s="3"/>
      <c r="B2339" s="2"/>
      <c r="C2339" s="2"/>
      <c r="D2339" s="2" t="b">
        <f>IF(AND(NOT(ISBLANK(Table1[[#This Row],[Fetal Sex (Male, Female or Unknown)]])),ISNUMBER(Table1[[#This Row],[Birthweight (grams)]]),ISNUMBER(Table1[[#This Row],[Gestation (days)]])),TRUE,FALSE)</f>
        <v>0</v>
      </c>
      <c r="E2339" s="2" t="str">
        <f>IF(Table1[[#This Row],[Is Data Valid]]=TRUE,IF(Table1[[#This Row],[Fetal Sex (Male, Female or Unknown)]]="Male",Backend!$C$6,IF(Table1[[#This Row],[Fetal Sex (Male, Female or Unknown)]]="Female",Backend!$C$7,IF(Table1[[#This Row],[Fetal Sex (Male, Female or Unknown)]]="Unknown",Backend!$C$8,"Error"))),"")</f>
        <v/>
      </c>
      <c r="F2339" s="8" t="str">
        <f>IF(Table1[[#This Row],[Is Data Valid]]=TRUE,EXP(0.578+0.332*((Table1[[#This Row],[Gestation (days)]]+0.5)/7)-0.00354*((Table1[[#This Row],[Gestation (days)]]+0.5)/7)^2)*Table1[[#This Row],[BW40_3705]],"")</f>
        <v/>
      </c>
      <c r="G2339" s="2" t="str">
        <f>IF(Table1[[#This Row],[Is Data Valid]]=TRUE,((Table1[[#This Row],[Birthweight (grams)]]/Table1[[#This Row],[BW_GA]])-1)/(Backend!$B$4/100*Table1[[#This Row],[BW40_3705]]),"")</f>
        <v/>
      </c>
      <c r="H2339" s="7" t="str">
        <f>IF(Table1[[#This Row],[Is Data Valid]]=TRUE,((Table1[[#This Row],[Birthweight (grams)]]*0.9/Table1[[#This Row],[BW_GA]])-1)/(Backend!$B$4/100*Table1[[#This Row],[BW40_3705]]),"")</f>
        <v/>
      </c>
      <c r="I2339" s="7" t="str">
        <f>IF(Table1[[#This Row],[Is Data Valid]]=TRUE,((Table1[[#This Row],[Birthweight (grams)]]*1.1/Table1[[#This Row],[BW_GA]])-1)/(Backend!$B$4/100*Table1[[#This Row],[BW40_3705]]),"")</f>
        <v/>
      </c>
      <c r="J2339" s="7" t="str">
        <f>IF(Table1[[#This Row],[Is Data Valid]]=TRUE,_xlfn.NORM.S.DIST(Table1[[#This Row],[Birthweight Z-Score]],TRUE)*100,"")</f>
        <v/>
      </c>
      <c r="K2339" s="7" t="str">
        <f>IF(Table1[[#This Row],[Is Data Valid]]=TRUE,_xlfn.NORM.S.DIST(Table1[[#This Row],[Birthweight Z-Score (BW-10%)]],TRUE)*100,"")</f>
        <v/>
      </c>
      <c r="L2339" s="7" t="str">
        <f>IF(Table1[[#This Row],[Is Data Valid]]=TRUE,_xlfn.NORM.S.DIST(Table1[[#This Row],[Birthweight Z-Score (BW+10%)]],TRUE)*100,"")</f>
        <v/>
      </c>
    </row>
    <row r="2340" spans="1:12" x14ac:dyDescent="0.35">
      <c r="A2340" s="3"/>
      <c r="B2340" s="2"/>
      <c r="C2340" s="2"/>
      <c r="D2340" s="2" t="b">
        <f>IF(AND(NOT(ISBLANK(Table1[[#This Row],[Fetal Sex (Male, Female or Unknown)]])),ISNUMBER(Table1[[#This Row],[Birthweight (grams)]]),ISNUMBER(Table1[[#This Row],[Gestation (days)]])),TRUE,FALSE)</f>
        <v>0</v>
      </c>
      <c r="E2340" s="2" t="str">
        <f>IF(Table1[[#This Row],[Is Data Valid]]=TRUE,IF(Table1[[#This Row],[Fetal Sex (Male, Female or Unknown)]]="Male",Backend!$C$6,IF(Table1[[#This Row],[Fetal Sex (Male, Female or Unknown)]]="Female",Backend!$C$7,IF(Table1[[#This Row],[Fetal Sex (Male, Female or Unknown)]]="Unknown",Backend!$C$8,"Error"))),"")</f>
        <v/>
      </c>
      <c r="F2340" s="8" t="str">
        <f>IF(Table1[[#This Row],[Is Data Valid]]=TRUE,EXP(0.578+0.332*((Table1[[#This Row],[Gestation (days)]]+0.5)/7)-0.00354*((Table1[[#This Row],[Gestation (days)]]+0.5)/7)^2)*Table1[[#This Row],[BW40_3705]],"")</f>
        <v/>
      </c>
      <c r="G2340" s="2" t="str">
        <f>IF(Table1[[#This Row],[Is Data Valid]]=TRUE,((Table1[[#This Row],[Birthweight (grams)]]/Table1[[#This Row],[BW_GA]])-1)/(Backend!$B$4/100*Table1[[#This Row],[BW40_3705]]),"")</f>
        <v/>
      </c>
      <c r="H2340" s="7" t="str">
        <f>IF(Table1[[#This Row],[Is Data Valid]]=TRUE,((Table1[[#This Row],[Birthweight (grams)]]*0.9/Table1[[#This Row],[BW_GA]])-1)/(Backend!$B$4/100*Table1[[#This Row],[BW40_3705]]),"")</f>
        <v/>
      </c>
      <c r="I2340" s="7" t="str">
        <f>IF(Table1[[#This Row],[Is Data Valid]]=TRUE,((Table1[[#This Row],[Birthweight (grams)]]*1.1/Table1[[#This Row],[BW_GA]])-1)/(Backend!$B$4/100*Table1[[#This Row],[BW40_3705]]),"")</f>
        <v/>
      </c>
      <c r="J2340" s="7" t="str">
        <f>IF(Table1[[#This Row],[Is Data Valid]]=TRUE,_xlfn.NORM.S.DIST(Table1[[#This Row],[Birthweight Z-Score]],TRUE)*100,"")</f>
        <v/>
      </c>
      <c r="K2340" s="7" t="str">
        <f>IF(Table1[[#This Row],[Is Data Valid]]=TRUE,_xlfn.NORM.S.DIST(Table1[[#This Row],[Birthweight Z-Score (BW-10%)]],TRUE)*100,"")</f>
        <v/>
      </c>
      <c r="L2340" s="7" t="str">
        <f>IF(Table1[[#This Row],[Is Data Valid]]=TRUE,_xlfn.NORM.S.DIST(Table1[[#This Row],[Birthweight Z-Score (BW+10%)]],TRUE)*100,"")</f>
        <v/>
      </c>
    </row>
    <row r="2341" spans="1:12" x14ac:dyDescent="0.35">
      <c r="A2341" s="3"/>
      <c r="B2341" s="2"/>
      <c r="C2341" s="2"/>
      <c r="D2341" s="2" t="b">
        <f>IF(AND(NOT(ISBLANK(Table1[[#This Row],[Fetal Sex (Male, Female or Unknown)]])),ISNUMBER(Table1[[#This Row],[Birthweight (grams)]]),ISNUMBER(Table1[[#This Row],[Gestation (days)]])),TRUE,FALSE)</f>
        <v>0</v>
      </c>
      <c r="E2341" s="2" t="str">
        <f>IF(Table1[[#This Row],[Is Data Valid]]=TRUE,IF(Table1[[#This Row],[Fetal Sex (Male, Female or Unknown)]]="Male",Backend!$C$6,IF(Table1[[#This Row],[Fetal Sex (Male, Female or Unknown)]]="Female",Backend!$C$7,IF(Table1[[#This Row],[Fetal Sex (Male, Female or Unknown)]]="Unknown",Backend!$C$8,"Error"))),"")</f>
        <v/>
      </c>
      <c r="F2341" s="8" t="str">
        <f>IF(Table1[[#This Row],[Is Data Valid]]=TRUE,EXP(0.578+0.332*((Table1[[#This Row],[Gestation (days)]]+0.5)/7)-0.00354*((Table1[[#This Row],[Gestation (days)]]+0.5)/7)^2)*Table1[[#This Row],[BW40_3705]],"")</f>
        <v/>
      </c>
      <c r="G2341" s="2" t="str">
        <f>IF(Table1[[#This Row],[Is Data Valid]]=TRUE,((Table1[[#This Row],[Birthweight (grams)]]/Table1[[#This Row],[BW_GA]])-1)/(Backend!$B$4/100*Table1[[#This Row],[BW40_3705]]),"")</f>
        <v/>
      </c>
      <c r="H2341" s="7" t="str">
        <f>IF(Table1[[#This Row],[Is Data Valid]]=TRUE,((Table1[[#This Row],[Birthweight (grams)]]*0.9/Table1[[#This Row],[BW_GA]])-1)/(Backend!$B$4/100*Table1[[#This Row],[BW40_3705]]),"")</f>
        <v/>
      </c>
      <c r="I2341" s="7" t="str">
        <f>IF(Table1[[#This Row],[Is Data Valid]]=TRUE,((Table1[[#This Row],[Birthweight (grams)]]*1.1/Table1[[#This Row],[BW_GA]])-1)/(Backend!$B$4/100*Table1[[#This Row],[BW40_3705]]),"")</f>
        <v/>
      </c>
      <c r="J2341" s="7" t="str">
        <f>IF(Table1[[#This Row],[Is Data Valid]]=TRUE,_xlfn.NORM.S.DIST(Table1[[#This Row],[Birthweight Z-Score]],TRUE)*100,"")</f>
        <v/>
      </c>
      <c r="K2341" s="7" t="str">
        <f>IF(Table1[[#This Row],[Is Data Valid]]=TRUE,_xlfn.NORM.S.DIST(Table1[[#This Row],[Birthweight Z-Score (BW-10%)]],TRUE)*100,"")</f>
        <v/>
      </c>
      <c r="L2341" s="7" t="str">
        <f>IF(Table1[[#This Row],[Is Data Valid]]=TRUE,_xlfn.NORM.S.DIST(Table1[[#This Row],[Birthweight Z-Score (BW+10%)]],TRUE)*100,"")</f>
        <v/>
      </c>
    </row>
    <row r="2342" spans="1:12" x14ac:dyDescent="0.35">
      <c r="A2342" s="3"/>
      <c r="B2342" s="2"/>
      <c r="C2342" s="2"/>
      <c r="D2342" s="2" t="b">
        <f>IF(AND(NOT(ISBLANK(Table1[[#This Row],[Fetal Sex (Male, Female or Unknown)]])),ISNUMBER(Table1[[#This Row],[Birthweight (grams)]]),ISNUMBER(Table1[[#This Row],[Gestation (days)]])),TRUE,FALSE)</f>
        <v>0</v>
      </c>
      <c r="E2342" s="2" t="str">
        <f>IF(Table1[[#This Row],[Is Data Valid]]=TRUE,IF(Table1[[#This Row],[Fetal Sex (Male, Female or Unknown)]]="Male",Backend!$C$6,IF(Table1[[#This Row],[Fetal Sex (Male, Female or Unknown)]]="Female",Backend!$C$7,IF(Table1[[#This Row],[Fetal Sex (Male, Female or Unknown)]]="Unknown",Backend!$C$8,"Error"))),"")</f>
        <v/>
      </c>
      <c r="F2342" s="8" t="str">
        <f>IF(Table1[[#This Row],[Is Data Valid]]=TRUE,EXP(0.578+0.332*((Table1[[#This Row],[Gestation (days)]]+0.5)/7)-0.00354*((Table1[[#This Row],[Gestation (days)]]+0.5)/7)^2)*Table1[[#This Row],[BW40_3705]],"")</f>
        <v/>
      </c>
      <c r="G2342" s="2" t="str">
        <f>IF(Table1[[#This Row],[Is Data Valid]]=TRUE,((Table1[[#This Row],[Birthweight (grams)]]/Table1[[#This Row],[BW_GA]])-1)/(Backend!$B$4/100*Table1[[#This Row],[BW40_3705]]),"")</f>
        <v/>
      </c>
      <c r="H2342" s="7" t="str">
        <f>IF(Table1[[#This Row],[Is Data Valid]]=TRUE,((Table1[[#This Row],[Birthweight (grams)]]*0.9/Table1[[#This Row],[BW_GA]])-1)/(Backend!$B$4/100*Table1[[#This Row],[BW40_3705]]),"")</f>
        <v/>
      </c>
      <c r="I2342" s="7" t="str">
        <f>IF(Table1[[#This Row],[Is Data Valid]]=TRUE,((Table1[[#This Row],[Birthweight (grams)]]*1.1/Table1[[#This Row],[BW_GA]])-1)/(Backend!$B$4/100*Table1[[#This Row],[BW40_3705]]),"")</f>
        <v/>
      </c>
      <c r="J2342" s="7" t="str">
        <f>IF(Table1[[#This Row],[Is Data Valid]]=TRUE,_xlfn.NORM.S.DIST(Table1[[#This Row],[Birthweight Z-Score]],TRUE)*100,"")</f>
        <v/>
      </c>
      <c r="K2342" s="7" t="str">
        <f>IF(Table1[[#This Row],[Is Data Valid]]=TRUE,_xlfn.NORM.S.DIST(Table1[[#This Row],[Birthweight Z-Score (BW-10%)]],TRUE)*100,"")</f>
        <v/>
      </c>
      <c r="L2342" s="7" t="str">
        <f>IF(Table1[[#This Row],[Is Data Valid]]=TRUE,_xlfn.NORM.S.DIST(Table1[[#This Row],[Birthweight Z-Score (BW+10%)]],TRUE)*100,"")</f>
        <v/>
      </c>
    </row>
    <row r="2343" spans="1:12" x14ac:dyDescent="0.35">
      <c r="A2343" s="3"/>
      <c r="B2343" s="2"/>
      <c r="C2343" s="2"/>
      <c r="D2343" s="2" t="b">
        <f>IF(AND(NOT(ISBLANK(Table1[[#This Row],[Fetal Sex (Male, Female or Unknown)]])),ISNUMBER(Table1[[#This Row],[Birthweight (grams)]]),ISNUMBER(Table1[[#This Row],[Gestation (days)]])),TRUE,FALSE)</f>
        <v>0</v>
      </c>
      <c r="E2343" s="2" t="str">
        <f>IF(Table1[[#This Row],[Is Data Valid]]=TRUE,IF(Table1[[#This Row],[Fetal Sex (Male, Female or Unknown)]]="Male",Backend!$C$6,IF(Table1[[#This Row],[Fetal Sex (Male, Female or Unknown)]]="Female",Backend!$C$7,IF(Table1[[#This Row],[Fetal Sex (Male, Female or Unknown)]]="Unknown",Backend!$C$8,"Error"))),"")</f>
        <v/>
      </c>
      <c r="F2343" s="8" t="str">
        <f>IF(Table1[[#This Row],[Is Data Valid]]=TRUE,EXP(0.578+0.332*((Table1[[#This Row],[Gestation (days)]]+0.5)/7)-0.00354*((Table1[[#This Row],[Gestation (days)]]+0.5)/7)^2)*Table1[[#This Row],[BW40_3705]],"")</f>
        <v/>
      </c>
      <c r="G2343" s="2" t="str">
        <f>IF(Table1[[#This Row],[Is Data Valid]]=TRUE,((Table1[[#This Row],[Birthweight (grams)]]/Table1[[#This Row],[BW_GA]])-1)/(Backend!$B$4/100*Table1[[#This Row],[BW40_3705]]),"")</f>
        <v/>
      </c>
      <c r="H2343" s="7" t="str">
        <f>IF(Table1[[#This Row],[Is Data Valid]]=TRUE,((Table1[[#This Row],[Birthweight (grams)]]*0.9/Table1[[#This Row],[BW_GA]])-1)/(Backend!$B$4/100*Table1[[#This Row],[BW40_3705]]),"")</f>
        <v/>
      </c>
      <c r="I2343" s="7" t="str">
        <f>IF(Table1[[#This Row],[Is Data Valid]]=TRUE,((Table1[[#This Row],[Birthweight (grams)]]*1.1/Table1[[#This Row],[BW_GA]])-1)/(Backend!$B$4/100*Table1[[#This Row],[BW40_3705]]),"")</f>
        <v/>
      </c>
      <c r="J2343" s="7" t="str">
        <f>IF(Table1[[#This Row],[Is Data Valid]]=TRUE,_xlfn.NORM.S.DIST(Table1[[#This Row],[Birthweight Z-Score]],TRUE)*100,"")</f>
        <v/>
      </c>
      <c r="K2343" s="7" t="str">
        <f>IF(Table1[[#This Row],[Is Data Valid]]=TRUE,_xlfn.NORM.S.DIST(Table1[[#This Row],[Birthweight Z-Score (BW-10%)]],TRUE)*100,"")</f>
        <v/>
      </c>
      <c r="L2343" s="7" t="str">
        <f>IF(Table1[[#This Row],[Is Data Valid]]=TRUE,_xlfn.NORM.S.DIST(Table1[[#This Row],[Birthweight Z-Score (BW+10%)]],TRUE)*100,"")</f>
        <v/>
      </c>
    </row>
    <row r="2344" spans="1:12" x14ac:dyDescent="0.35">
      <c r="A2344" s="3"/>
      <c r="B2344" s="2"/>
      <c r="C2344" s="2"/>
      <c r="D2344" s="2" t="b">
        <f>IF(AND(NOT(ISBLANK(Table1[[#This Row],[Fetal Sex (Male, Female or Unknown)]])),ISNUMBER(Table1[[#This Row],[Birthweight (grams)]]),ISNUMBER(Table1[[#This Row],[Gestation (days)]])),TRUE,FALSE)</f>
        <v>0</v>
      </c>
      <c r="E2344" s="2" t="str">
        <f>IF(Table1[[#This Row],[Is Data Valid]]=TRUE,IF(Table1[[#This Row],[Fetal Sex (Male, Female or Unknown)]]="Male",Backend!$C$6,IF(Table1[[#This Row],[Fetal Sex (Male, Female or Unknown)]]="Female",Backend!$C$7,IF(Table1[[#This Row],[Fetal Sex (Male, Female or Unknown)]]="Unknown",Backend!$C$8,"Error"))),"")</f>
        <v/>
      </c>
      <c r="F2344" s="8" t="str">
        <f>IF(Table1[[#This Row],[Is Data Valid]]=TRUE,EXP(0.578+0.332*((Table1[[#This Row],[Gestation (days)]]+0.5)/7)-0.00354*((Table1[[#This Row],[Gestation (days)]]+0.5)/7)^2)*Table1[[#This Row],[BW40_3705]],"")</f>
        <v/>
      </c>
      <c r="G2344" s="2" t="str">
        <f>IF(Table1[[#This Row],[Is Data Valid]]=TRUE,((Table1[[#This Row],[Birthweight (grams)]]/Table1[[#This Row],[BW_GA]])-1)/(Backend!$B$4/100*Table1[[#This Row],[BW40_3705]]),"")</f>
        <v/>
      </c>
      <c r="H2344" s="7" t="str">
        <f>IF(Table1[[#This Row],[Is Data Valid]]=TRUE,((Table1[[#This Row],[Birthweight (grams)]]*0.9/Table1[[#This Row],[BW_GA]])-1)/(Backend!$B$4/100*Table1[[#This Row],[BW40_3705]]),"")</f>
        <v/>
      </c>
      <c r="I2344" s="7" t="str">
        <f>IF(Table1[[#This Row],[Is Data Valid]]=TRUE,((Table1[[#This Row],[Birthweight (grams)]]*1.1/Table1[[#This Row],[BW_GA]])-1)/(Backend!$B$4/100*Table1[[#This Row],[BW40_3705]]),"")</f>
        <v/>
      </c>
      <c r="J2344" s="7" t="str">
        <f>IF(Table1[[#This Row],[Is Data Valid]]=TRUE,_xlfn.NORM.S.DIST(Table1[[#This Row],[Birthweight Z-Score]],TRUE)*100,"")</f>
        <v/>
      </c>
      <c r="K2344" s="7" t="str">
        <f>IF(Table1[[#This Row],[Is Data Valid]]=TRUE,_xlfn.NORM.S.DIST(Table1[[#This Row],[Birthweight Z-Score (BW-10%)]],TRUE)*100,"")</f>
        <v/>
      </c>
      <c r="L2344" s="7" t="str">
        <f>IF(Table1[[#This Row],[Is Data Valid]]=TRUE,_xlfn.NORM.S.DIST(Table1[[#This Row],[Birthweight Z-Score (BW+10%)]],TRUE)*100,"")</f>
        <v/>
      </c>
    </row>
    <row r="2345" spans="1:12" x14ac:dyDescent="0.35">
      <c r="A2345" s="3"/>
      <c r="B2345" s="2"/>
      <c r="C2345" s="2"/>
      <c r="D2345" s="2" t="b">
        <f>IF(AND(NOT(ISBLANK(Table1[[#This Row],[Fetal Sex (Male, Female or Unknown)]])),ISNUMBER(Table1[[#This Row],[Birthweight (grams)]]),ISNUMBER(Table1[[#This Row],[Gestation (days)]])),TRUE,FALSE)</f>
        <v>0</v>
      </c>
      <c r="E2345" s="2" t="str">
        <f>IF(Table1[[#This Row],[Is Data Valid]]=TRUE,IF(Table1[[#This Row],[Fetal Sex (Male, Female or Unknown)]]="Male",Backend!$C$6,IF(Table1[[#This Row],[Fetal Sex (Male, Female or Unknown)]]="Female",Backend!$C$7,IF(Table1[[#This Row],[Fetal Sex (Male, Female or Unknown)]]="Unknown",Backend!$C$8,"Error"))),"")</f>
        <v/>
      </c>
      <c r="F2345" s="8" t="str">
        <f>IF(Table1[[#This Row],[Is Data Valid]]=TRUE,EXP(0.578+0.332*((Table1[[#This Row],[Gestation (days)]]+0.5)/7)-0.00354*((Table1[[#This Row],[Gestation (days)]]+0.5)/7)^2)*Table1[[#This Row],[BW40_3705]],"")</f>
        <v/>
      </c>
      <c r="G2345" s="2" t="str">
        <f>IF(Table1[[#This Row],[Is Data Valid]]=TRUE,((Table1[[#This Row],[Birthweight (grams)]]/Table1[[#This Row],[BW_GA]])-1)/(Backend!$B$4/100*Table1[[#This Row],[BW40_3705]]),"")</f>
        <v/>
      </c>
      <c r="H2345" s="7" t="str">
        <f>IF(Table1[[#This Row],[Is Data Valid]]=TRUE,((Table1[[#This Row],[Birthweight (grams)]]*0.9/Table1[[#This Row],[BW_GA]])-1)/(Backend!$B$4/100*Table1[[#This Row],[BW40_3705]]),"")</f>
        <v/>
      </c>
      <c r="I2345" s="7" t="str">
        <f>IF(Table1[[#This Row],[Is Data Valid]]=TRUE,((Table1[[#This Row],[Birthweight (grams)]]*1.1/Table1[[#This Row],[BW_GA]])-1)/(Backend!$B$4/100*Table1[[#This Row],[BW40_3705]]),"")</f>
        <v/>
      </c>
      <c r="J2345" s="7" t="str">
        <f>IF(Table1[[#This Row],[Is Data Valid]]=TRUE,_xlfn.NORM.S.DIST(Table1[[#This Row],[Birthweight Z-Score]],TRUE)*100,"")</f>
        <v/>
      </c>
      <c r="K2345" s="7" t="str">
        <f>IF(Table1[[#This Row],[Is Data Valid]]=TRUE,_xlfn.NORM.S.DIST(Table1[[#This Row],[Birthweight Z-Score (BW-10%)]],TRUE)*100,"")</f>
        <v/>
      </c>
      <c r="L2345" s="7" t="str">
        <f>IF(Table1[[#This Row],[Is Data Valid]]=TRUE,_xlfn.NORM.S.DIST(Table1[[#This Row],[Birthweight Z-Score (BW+10%)]],TRUE)*100,"")</f>
        <v/>
      </c>
    </row>
    <row r="2346" spans="1:12" x14ac:dyDescent="0.35">
      <c r="A2346" s="3"/>
      <c r="B2346" s="2"/>
      <c r="C2346" s="2"/>
      <c r="D2346" s="2" t="b">
        <f>IF(AND(NOT(ISBLANK(Table1[[#This Row],[Fetal Sex (Male, Female or Unknown)]])),ISNUMBER(Table1[[#This Row],[Birthweight (grams)]]),ISNUMBER(Table1[[#This Row],[Gestation (days)]])),TRUE,FALSE)</f>
        <v>0</v>
      </c>
      <c r="E2346" s="2" t="str">
        <f>IF(Table1[[#This Row],[Is Data Valid]]=TRUE,IF(Table1[[#This Row],[Fetal Sex (Male, Female or Unknown)]]="Male",Backend!$C$6,IF(Table1[[#This Row],[Fetal Sex (Male, Female or Unknown)]]="Female",Backend!$C$7,IF(Table1[[#This Row],[Fetal Sex (Male, Female or Unknown)]]="Unknown",Backend!$C$8,"Error"))),"")</f>
        <v/>
      </c>
      <c r="F2346" s="8" t="str">
        <f>IF(Table1[[#This Row],[Is Data Valid]]=TRUE,EXP(0.578+0.332*((Table1[[#This Row],[Gestation (days)]]+0.5)/7)-0.00354*((Table1[[#This Row],[Gestation (days)]]+0.5)/7)^2)*Table1[[#This Row],[BW40_3705]],"")</f>
        <v/>
      </c>
      <c r="G2346" s="2" t="str">
        <f>IF(Table1[[#This Row],[Is Data Valid]]=TRUE,((Table1[[#This Row],[Birthweight (grams)]]/Table1[[#This Row],[BW_GA]])-1)/(Backend!$B$4/100*Table1[[#This Row],[BW40_3705]]),"")</f>
        <v/>
      </c>
      <c r="H2346" s="7" t="str">
        <f>IF(Table1[[#This Row],[Is Data Valid]]=TRUE,((Table1[[#This Row],[Birthweight (grams)]]*0.9/Table1[[#This Row],[BW_GA]])-1)/(Backend!$B$4/100*Table1[[#This Row],[BW40_3705]]),"")</f>
        <v/>
      </c>
      <c r="I2346" s="7" t="str">
        <f>IF(Table1[[#This Row],[Is Data Valid]]=TRUE,((Table1[[#This Row],[Birthweight (grams)]]*1.1/Table1[[#This Row],[BW_GA]])-1)/(Backend!$B$4/100*Table1[[#This Row],[BW40_3705]]),"")</f>
        <v/>
      </c>
      <c r="J2346" s="7" t="str">
        <f>IF(Table1[[#This Row],[Is Data Valid]]=TRUE,_xlfn.NORM.S.DIST(Table1[[#This Row],[Birthweight Z-Score]],TRUE)*100,"")</f>
        <v/>
      </c>
      <c r="K2346" s="7" t="str">
        <f>IF(Table1[[#This Row],[Is Data Valid]]=TRUE,_xlfn.NORM.S.DIST(Table1[[#This Row],[Birthweight Z-Score (BW-10%)]],TRUE)*100,"")</f>
        <v/>
      </c>
      <c r="L2346" s="7" t="str">
        <f>IF(Table1[[#This Row],[Is Data Valid]]=TRUE,_xlfn.NORM.S.DIST(Table1[[#This Row],[Birthweight Z-Score (BW+10%)]],TRUE)*100,"")</f>
        <v/>
      </c>
    </row>
    <row r="2347" spans="1:12" x14ac:dyDescent="0.35">
      <c r="A2347" s="3"/>
      <c r="B2347" s="2"/>
      <c r="C2347" s="2"/>
      <c r="D2347" s="2" t="b">
        <f>IF(AND(NOT(ISBLANK(Table1[[#This Row],[Fetal Sex (Male, Female or Unknown)]])),ISNUMBER(Table1[[#This Row],[Birthweight (grams)]]),ISNUMBER(Table1[[#This Row],[Gestation (days)]])),TRUE,FALSE)</f>
        <v>0</v>
      </c>
      <c r="E2347" s="2" t="str">
        <f>IF(Table1[[#This Row],[Is Data Valid]]=TRUE,IF(Table1[[#This Row],[Fetal Sex (Male, Female or Unknown)]]="Male",Backend!$C$6,IF(Table1[[#This Row],[Fetal Sex (Male, Female or Unknown)]]="Female",Backend!$C$7,IF(Table1[[#This Row],[Fetal Sex (Male, Female or Unknown)]]="Unknown",Backend!$C$8,"Error"))),"")</f>
        <v/>
      </c>
      <c r="F2347" s="8" t="str">
        <f>IF(Table1[[#This Row],[Is Data Valid]]=TRUE,EXP(0.578+0.332*((Table1[[#This Row],[Gestation (days)]]+0.5)/7)-0.00354*((Table1[[#This Row],[Gestation (days)]]+0.5)/7)^2)*Table1[[#This Row],[BW40_3705]],"")</f>
        <v/>
      </c>
      <c r="G2347" s="2" t="str">
        <f>IF(Table1[[#This Row],[Is Data Valid]]=TRUE,((Table1[[#This Row],[Birthweight (grams)]]/Table1[[#This Row],[BW_GA]])-1)/(Backend!$B$4/100*Table1[[#This Row],[BW40_3705]]),"")</f>
        <v/>
      </c>
      <c r="H2347" s="7" t="str">
        <f>IF(Table1[[#This Row],[Is Data Valid]]=TRUE,((Table1[[#This Row],[Birthweight (grams)]]*0.9/Table1[[#This Row],[BW_GA]])-1)/(Backend!$B$4/100*Table1[[#This Row],[BW40_3705]]),"")</f>
        <v/>
      </c>
      <c r="I2347" s="7" t="str">
        <f>IF(Table1[[#This Row],[Is Data Valid]]=TRUE,((Table1[[#This Row],[Birthweight (grams)]]*1.1/Table1[[#This Row],[BW_GA]])-1)/(Backend!$B$4/100*Table1[[#This Row],[BW40_3705]]),"")</f>
        <v/>
      </c>
      <c r="J2347" s="7" t="str">
        <f>IF(Table1[[#This Row],[Is Data Valid]]=TRUE,_xlfn.NORM.S.DIST(Table1[[#This Row],[Birthweight Z-Score]],TRUE)*100,"")</f>
        <v/>
      </c>
      <c r="K2347" s="7" t="str">
        <f>IF(Table1[[#This Row],[Is Data Valid]]=TRUE,_xlfn.NORM.S.DIST(Table1[[#This Row],[Birthweight Z-Score (BW-10%)]],TRUE)*100,"")</f>
        <v/>
      </c>
      <c r="L2347" s="7" t="str">
        <f>IF(Table1[[#This Row],[Is Data Valid]]=TRUE,_xlfn.NORM.S.DIST(Table1[[#This Row],[Birthweight Z-Score (BW+10%)]],TRUE)*100,"")</f>
        <v/>
      </c>
    </row>
    <row r="2348" spans="1:12" x14ac:dyDescent="0.35">
      <c r="A2348" s="3"/>
      <c r="B2348" s="2"/>
      <c r="C2348" s="2"/>
      <c r="D2348" s="2" t="b">
        <f>IF(AND(NOT(ISBLANK(Table1[[#This Row],[Fetal Sex (Male, Female or Unknown)]])),ISNUMBER(Table1[[#This Row],[Birthweight (grams)]]),ISNUMBER(Table1[[#This Row],[Gestation (days)]])),TRUE,FALSE)</f>
        <v>0</v>
      </c>
      <c r="E2348" s="2" t="str">
        <f>IF(Table1[[#This Row],[Is Data Valid]]=TRUE,IF(Table1[[#This Row],[Fetal Sex (Male, Female or Unknown)]]="Male",Backend!$C$6,IF(Table1[[#This Row],[Fetal Sex (Male, Female or Unknown)]]="Female",Backend!$C$7,IF(Table1[[#This Row],[Fetal Sex (Male, Female or Unknown)]]="Unknown",Backend!$C$8,"Error"))),"")</f>
        <v/>
      </c>
      <c r="F2348" s="8" t="str">
        <f>IF(Table1[[#This Row],[Is Data Valid]]=TRUE,EXP(0.578+0.332*((Table1[[#This Row],[Gestation (days)]]+0.5)/7)-0.00354*((Table1[[#This Row],[Gestation (days)]]+0.5)/7)^2)*Table1[[#This Row],[BW40_3705]],"")</f>
        <v/>
      </c>
      <c r="G2348" s="2" t="str">
        <f>IF(Table1[[#This Row],[Is Data Valid]]=TRUE,((Table1[[#This Row],[Birthweight (grams)]]/Table1[[#This Row],[BW_GA]])-1)/(Backend!$B$4/100*Table1[[#This Row],[BW40_3705]]),"")</f>
        <v/>
      </c>
      <c r="H2348" s="7" t="str">
        <f>IF(Table1[[#This Row],[Is Data Valid]]=TRUE,((Table1[[#This Row],[Birthweight (grams)]]*0.9/Table1[[#This Row],[BW_GA]])-1)/(Backend!$B$4/100*Table1[[#This Row],[BW40_3705]]),"")</f>
        <v/>
      </c>
      <c r="I2348" s="7" t="str">
        <f>IF(Table1[[#This Row],[Is Data Valid]]=TRUE,((Table1[[#This Row],[Birthweight (grams)]]*1.1/Table1[[#This Row],[BW_GA]])-1)/(Backend!$B$4/100*Table1[[#This Row],[BW40_3705]]),"")</f>
        <v/>
      </c>
      <c r="J2348" s="7" t="str">
        <f>IF(Table1[[#This Row],[Is Data Valid]]=TRUE,_xlfn.NORM.S.DIST(Table1[[#This Row],[Birthweight Z-Score]],TRUE)*100,"")</f>
        <v/>
      </c>
      <c r="K2348" s="7" t="str">
        <f>IF(Table1[[#This Row],[Is Data Valid]]=TRUE,_xlfn.NORM.S.DIST(Table1[[#This Row],[Birthweight Z-Score (BW-10%)]],TRUE)*100,"")</f>
        <v/>
      </c>
      <c r="L2348" s="7" t="str">
        <f>IF(Table1[[#This Row],[Is Data Valid]]=TRUE,_xlfn.NORM.S.DIST(Table1[[#This Row],[Birthweight Z-Score (BW+10%)]],TRUE)*100,"")</f>
        <v/>
      </c>
    </row>
    <row r="2349" spans="1:12" x14ac:dyDescent="0.35">
      <c r="A2349" s="3"/>
      <c r="B2349" s="2"/>
      <c r="C2349" s="2"/>
      <c r="D2349" s="2" t="b">
        <f>IF(AND(NOT(ISBLANK(Table1[[#This Row],[Fetal Sex (Male, Female or Unknown)]])),ISNUMBER(Table1[[#This Row],[Birthweight (grams)]]),ISNUMBER(Table1[[#This Row],[Gestation (days)]])),TRUE,FALSE)</f>
        <v>0</v>
      </c>
      <c r="E2349" s="2" t="str">
        <f>IF(Table1[[#This Row],[Is Data Valid]]=TRUE,IF(Table1[[#This Row],[Fetal Sex (Male, Female or Unknown)]]="Male",Backend!$C$6,IF(Table1[[#This Row],[Fetal Sex (Male, Female or Unknown)]]="Female",Backend!$C$7,IF(Table1[[#This Row],[Fetal Sex (Male, Female or Unknown)]]="Unknown",Backend!$C$8,"Error"))),"")</f>
        <v/>
      </c>
      <c r="F2349" s="8" t="str">
        <f>IF(Table1[[#This Row],[Is Data Valid]]=TRUE,EXP(0.578+0.332*((Table1[[#This Row],[Gestation (days)]]+0.5)/7)-0.00354*((Table1[[#This Row],[Gestation (days)]]+0.5)/7)^2)*Table1[[#This Row],[BW40_3705]],"")</f>
        <v/>
      </c>
      <c r="G2349" s="2" t="str">
        <f>IF(Table1[[#This Row],[Is Data Valid]]=TRUE,((Table1[[#This Row],[Birthweight (grams)]]/Table1[[#This Row],[BW_GA]])-1)/(Backend!$B$4/100*Table1[[#This Row],[BW40_3705]]),"")</f>
        <v/>
      </c>
      <c r="H2349" s="7" t="str">
        <f>IF(Table1[[#This Row],[Is Data Valid]]=TRUE,((Table1[[#This Row],[Birthweight (grams)]]*0.9/Table1[[#This Row],[BW_GA]])-1)/(Backend!$B$4/100*Table1[[#This Row],[BW40_3705]]),"")</f>
        <v/>
      </c>
      <c r="I2349" s="7" t="str">
        <f>IF(Table1[[#This Row],[Is Data Valid]]=TRUE,((Table1[[#This Row],[Birthweight (grams)]]*1.1/Table1[[#This Row],[BW_GA]])-1)/(Backend!$B$4/100*Table1[[#This Row],[BW40_3705]]),"")</f>
        <v/>
      </c>
      <c r="J2349" s="7" t="str">
        <f>IF(Table1[[#This Row],[Is Data Valid]]=TRUE,_xlfn.NORM.S.DIST(Table1[[#This Row],[Birthweight Z-Score]],TRUE)*100,"")</f>
        <v/>
      </c>
      <c r="K2349" s="7" t="str">
        <f>IF(Table1[[#This Row],[Is Data Valid]]=TRUE,_xlfn.NORM.S.DIST(Table1[[#This Row],[Birthweight Z-Score (BW-10%)]],TRUE)*100,"")</f>
        <v/>
      </c>
      <c r="L2349" s="7" t="str">
        <f>IF(Table1[[#This Row],[Is Data Valid]]=TRUE,_xlfn.NORM.S.DIST(Table1[[#This Row],[Birthweight Z-Score (BW+10%)]],TRUE)*100,"")</f>
        <v/>
      </c>
    </row>
    <row r="2350" spans="1:12" x14ac:dyDescent="0.35">
      <c r="A2350" s="3"/>
      <c r="B2350" s="2"/>
      <c r="C2350" s="2"/>
      <c r="D2350" s="2" t="b">
        <f>IF(AND(NOT(ISBLANK(Table1[[#This Row],[Fetal Sex (Male, Female or Unknown)]])),ISNUMBER(Table1[[#This Row],[Birthweight (grams)]]),ISNUMBER(Table1[[#This Row],[Gestation (days)]])),TRUE,FALSE)</f>
        <v>0</v>
      </c>
      <c r="E2350" s="2" t="str">
        <f>IF(Table1[[#This Row],[Is Data Valid]]=TRUE,IF(Table1[[#This Row],[Fetal Sex (Male, Female or Unknown)]]="Male",Backend!$C$6,IF(Table1[[#This Row],[Fetal Sex (Male, Female or Unknown)]]="Female",Backend!$C$7,IF(Table1[[#This Row],[Fetal Sex (Male, Female or Unknown)]]="Unknown",Backend!$C$8,"Error"))),"")</f>
        <v/>
      </c>
      <c r="F2350" s="8" t="str">
        <f>IF(Table1[[#This Row],[Is Data Valid]]=TRUE,EXP(0.578+0.332*((Table1[[#This Row],[Gestation (days)]]+0.5)/7)-0.00354*((Table1[[#This Row],[Gestation (days)]]+0.5)/7)^2)*Table1[[#This Row],[BW40_3705]],"")</f>
        <v/>
      </c>
      <c r="G2350" s="2" t="str">
        <f>IF(Table1[[#This Row],[Is Data Valid]]=TRUE,((Table1[[#This Row],[Birthweight (grams)]]/Table1[[#This Row],[BW_GA]])-1)/(Backend!$B$4/100*Table1[[#This Row],[BW40_3705]]),"")</f>
        <v/>
      </c>
      <c r="H2350" s="7" t="str">
        <f>IF(Table1[[#This Row],[Is Data Valid]]=TRUE,((Table1[[#This Row],[Birthweight (grams)]]*0.9/Table1[[#This Row],[BW_GA]])-1)/(Backend!$B$4/100*Table1[[#This Row],[BW40_3705]]),"")</f>
        <v/>
      </c>
      <c r="I2350" s="7" t="str">
        <f>IF(Table1[[#This Row],[Is Data Valid]]=TRUE,((Table1[[#This Row],[Birthweight (grams)]]*1.1/Table1[[#This Row],[BW_GA]])-1)/(Backend!$B$4/100*Table1[[#This Row],[BW40_3705]]),"")</f>
        <v/>
      </c>
      <c r="J2350" s="7" t="str">
        <f>IF(Table1[[#This Row],[Is Data Valid]]=TRUE,_xlfn.NORM.S.DIST(Table1[[#This Row],[Birthweight Z-Score]],TRUE)*100,"")</f>
        <v/>
      </c>
      <c r="K2350" s="7" t="str">
        <f>IF(Table1[[#This Row],[Is Data Valid]]=TRUE,_xlfn.NORM.S.DIST(Table1[[#This Row],[Birthweight Z-Score (BW-10%)]],TRUE)*100,"")</f>
        <v/>
      </c>
      <c r="L2350" s="7" t="str">
        <f>IF(Table1[[#This Row],[Is Data Valid]]=TRUE,_xlfn.NORM.S.DIST(Table1[[#This Row],[Birthweight Z-Score (BW+10%)]],TRUE)*100,"")</f>
        <v/>
      </c>
    </row>
    <row r="2351" spans="1:12" x14ac:dyDescent="0.35">
      <c r="A2351" s="3"/>
      <c r="B2351" s="2"/>
      <c r="C2351" s="2"/>
      <c r="D2351" s="2" t="b">
        <f>IF(AND(NOT(ISBLANK(Table1[[#This Row],[Fetal Sex (Male, Female or Unknown)]])),ISNUMBER(Table1[[#This Row],[Birthweight (grams)]]),ISNUMBER(Table1[[#This Row],[Gestation (days)]])),TRUE,FALSE)</f>
        <v>0</v>
      </c>
      <c r="E2351" s="2" t="str">
        <f>IF(Table1[[#This Row],[Is Data Valid]]=TRUE,IF(Table1[[#This Row],[Fetal Sex (Male, Female or Unknown)]]="Male",Backend!$C$6,IF(Table1[[#This Row],[Fetal Sex (Male, Female or Unknown)]]="Female",Backend!$C$7,IF(Table1[[#This Row],[Fetal Sex (Male, Female or Unknown)]]="Unknown",Backend!$C$8,"Error"))),"")</f>
        <v/>
      </c>
      <c r="F2351" s="8" t="str">
        <f>IF(Table1[[#This Row],[Is Data Valid]]=TRUE,EXP(0.578+0.332*((Table1[[#This Row],[Gestation (days)]]+0.5)/7)-0.00354*((Table1[[#This Row],[Gestation (days)]]+0.5)/7)^2)*Table1[[#This Row],[BW40_3705]],"")</f>
        <v/>
      </c>
      <c r="G2351" s="2" t="str">
        <f>IF(Table1[[#This Row],[Is Data Valid]]=TRUE,((Table1[[#This Row],[Birthweight (grams)]]/Table1[[#This Row],[BW_GA]])-1)/(Backend!$B$4/100*Table1[[#This Row],[BW40_3705]]),"")</f>
        <v/>
      </c>
      <c r="H2351" s="7" t="str">
        <f>IF(Table1[[#This Row],[Is Data Valid]]=TRUE,((Table1[[#This Row],[Birthweight (grams)]]*0.9/Table1[[#This Row],[BW_GA]])-1)/(Backend!$B$4/100*Table1[[#This Row],[BW40_3705]]),"")</f>
        <v/>
      </c>
      <c r="I2351" s="7" t="str">
        <f>IF(Table1[[#This Row],[Is Data Valid]]=TRUE,((Table1[[#This Row],[Birthweight (grams)]]*1.1/Table1[[#This Row],[BW_GA]])-1)/(Backend!$B$4/100*Table1[[#This Row],[BW40_3705]]),"")</f>
        <v/>
      </c>
      <c r="J2351" s="7" t="str">
        <f>IF(Table1[[#This Row],[Is Data Valid]]=TRUE,_xlfn.NORM.S.DIST(Table1[[#This Row],[Birthweight Z-Score]],TRUE)*100,"")</f>
        <v/>
      </c>
      <c r="K2351" s="7" t="str">
        <f>IF(Table1[[#This Row],[Is Data Valid]]=TRUE,_xlfn.NORM.S.DIST(Table1[[#This Row],[Birthweight Z-Score (BW-10%)]],TRUE)*100,"")</f>
        <v/>
      </c>
      <c r="L2351" s="7" t="str">
        <f>IF(Table1[[#This Row],[Is Data Valid]]=TRUE,_xlfn.NORM.S.DIST(Table1[[#This Row],[Birthweight Z-Score (BW+10%)]],TRUE)*100,"")</f>
        <v/>
      </c>
    </row>
    <row r="2352" spans="1:12" x14ac:dyDescent="0.35">
      <c r="A2352" s="3"/>
      <c r="B2352" s="2"/>
      <c r="C2352" s="2"/>
      <c r="D2352" s="2" t="b">
        <f>IF(AND(NOT(ISBLANK(Table1[[#This Row],[Fetal Sex (Male, Female or Unknown)]])),ISNUMBER(Table1[[#This Row],[Birthweight (grams)]]),ISNUMBER(Table1[[#This Row],[Gestation (days)]])),TRUE,FALSE)</f>
        <v>0</v>
      </c>
      <c r="E2352" s="2" t="str">
        <f>IF(Table1[[#This Row],[Is Data Valid]]=TRUE,IF(Table1[[#This Row],[Fetal Sex (Male, Female or Unknown)]]="Male",Backend!$C$6,IF(Table1[[#This Row],[Fetal Sex (Male, Female or Unknown)]]="Female",Backend!$C$7,IF(Table1[[#This Row],[Fetal Sex (Male, Female or Unknown)]]="Unknown",Backend!$C$8,"Error"))),"")</f>
        <v/>
      </c>
      <c r="F2352" s="8" t="str">
        <f>IF(Table1[[#This Row],[Is Data Valid]]=TRUE,EXP(0.578+0.332*((Table1[[#This Row],[Gestation (days)]]+0.5)/7)-0.00354*((Table1[[#This Row],[Gestation (days)]]+0.5)/7)^2)*Table1[[#This Row],[BW40_3705]],"")</f>
        <v/>
      </c>
      <c r="G2352" s="2" t="str">
        <f>IF(Table1[[#This Row],[Is Data Valid]]=TRUE,((Table1[[#This Row],[Birthweight (grams)]]/Table1[[#This Row],[BW_GA]])-1)/(Backend!$B$4/100*Table1[[#This Row],[BW40_3705]]),"")</f>
        <v/>
      </c>
      <c r="H2352" s="7" t="str">
        <f>IF(Table1[[#This Row],[Is Data Valid]]=TRUE,((Table1[[#This Row],[Birthweight (grams)]]*0.9/Table1[[#This Row],[BW_GA]])-1)/(Backend!$B$4/100*Table1[[#This Row],[BW40_3705]]),"")</f>
        <v/>
      </c>
      <c r="I2352" s="7" t="str">
        <f>IF(Table1[[#This Row],[Is Data Valid]]=TRUE,((Table1[[#This Row],[Birthweight (grams)]]*1.1/Table1[[#This Row],[BW_GA]])-1)/(Backend!$B$4/100*Table1[[#This Row],[BW40_3705]]),"")</f>
        <v/>
      </c>
      <c r="J2352" s="7" t="str">
        <f>IF(Table1[[#This Row],[Is Data Valid]]=TRUE,_xlfn.NORM.S.DIST(Table1[[#This Row],[Birthweight Z-Score]],TRUE)*100,"")</f>
        <v/>
      </c>
      <c r="K2352" s="7" t="str">
        <f>IF(Table1[[#This Row],[Is Data Valid]]=TRUE,_xlfn.NORM.S.DIST(Table1[[#This Row],[Birthweight Z-Score (BW-10%)]],TRUE)*100,"")</f>
        <v/>
      </c>
      <c r="L2352" s="7" t="str">
        <f>IF(Table1[[#This Row],[Is Data Valid]]=TRUE,_xlfn.NORM.S.DIST(Table1[[#This Row],[Birthweight Z-Score (BW+10%)]],TRUE)*100,"")</f>
        <v/>
      </c>
    </row>
    <row r="2353" spans="1:12" x14ac:dyDescent="0.35">
      <c r="A2353" s="3"/>
      <c r="B2353" s="2"/>
      <c r="C2353" s="2"/>
      <c r="D2353" s="2" t="b">
        <f>IF(AND(NOT(ISBLANK(Table1[[#This Row],[Fetal Sex (Male, Female or Unknown)]])),ISNUMBER(Table1[[#This Row],[Birthweight (grams)]]),ISNUMBER(Table1[[#This Row],[Gestation (days)]])),TRUE,FALSE)</f>
        <v>0</v>
      </c>
      <c r="E2353" s="2" t="str">
        <f>IF(Table1[[#This Row],[Is Data Valid]]=TRUE,IF(Table1[[#This Row],[Fetal Sex (Male, Female or Unknown)]]="Male",Backend!$C$6,IF(Table1[[#This Row],[Fetal Sex (Male, Female or Unknown)]]="Female",Backend!$C$7,IF(Table1[[#This Row],[Fetal Sex (Male, Female or Unknown)]]="Unknown",Backend!$C$8,"Error"))),"")</f>
        <v/>
      </c>
      <c r="F2353" s="8" t="str">
        <f>IF(Table1[[#This Row],[Is Data Valid]]=TRUE,EXP(0.578+0.332*((Table1[[#This Row],[Gestation (days)]]+0.5)/7)-0.00354*((Table1[[#This Row],[Gestation (days)]]+0.5)/7)^2)*Table1[[#This Row],[BW40_3705]],"")</f>
        <v/>
      </c>
      <c r="G2353" s="2" t="str">
        <f>IF(Table1[[#This Row],[Is Data Valid]]=TRUE,((Table1[[#This Row],[Birthweight (grams)]]/Table1[[#This Row],[BW_GA]])-1)/(Backend!$B$4/100*Table1[[#This Row],[BW40_3705]]),"")</f>
        <v/>
      </c>
      <c r="H2353" s="7" t="str">
        <f>IF(Table1[[#This Row],[Is Data Valid]]=TRUE,((Table1[[#This Row],[Birthweight (grams)]]*0.9/Table1[[#This Row],[BW_GA]])-1)/(Backend!$B$4/100*Table1[[#This Row],[BW40_3705]]),"")</f>
        <v/>
      </c>
      <c r="I2353" s="7" t="str">
        <f>IF(Table1[[#This Row],[Is Data Valid]]=TRUE,((Table1[[#This Row],[Birthweight (grams)]]*1.1/Table1[[#This Row],[BW_GA]])-1)/(Backend!$B$4/100*Table1[[#This Row],[BW40_3705]]),"")</f>
        <v/>
      </c>
      <c r="J2353" s="7" t="str">
        <f>IF(Table1[[#This Row],[Is Data Valid]]=TRUE,_xlfn.NORM.S.DIST(Table1[[#This Row],[Birthweight Z-Score]],TRUE)*100,"")</f>
        <v/>
      </c>
      <c r="K2353" s="7" t="str">
        <f>IF(Table1[[#This Row],[Is Data Valid]]=TRUE,_xlfn.NORM.S.DIST(Table1[[#This Row],[Birthweight Z-Score (BW-10%)]],TRUE)*100,"")</f>
        <v/>
      </c>
      <c r="L2353" s="7" t="str">
        <f>IF(Table1[[#This Row],[Is Data Valid]]=TRUE,_xlfn.NORM.S.DIST(Table1[[#This Row],[Birthweight Z-Score (BW+10%)]],TRUE)*100,"")</f>
        <v/>
      </c>
    </row>
    <row r="2354" spans="1:12" x14ac:dyDescent="0.35">
      <c r="A2354" s="3"/>
      <c r="B2354" s="2"/>
      <c r="C2354" s="2"/>
      <c r="D2354" s="2" t="b">
        <f>IF(AND(NOT(ISBLANK(Table1[[#This Row],[Fetal Sex (Male, Female or Unknown)]])),ISNUMBER(Table1[[#This Row],[Birthweight (grams)]]),ISNUMBER(Table1[[#This Row],[Gestation (days)]])),TRUE,FALSE)</f>
        <v>0</v>
      </c>
      <c r="E2354" s="2" t="str">
        <f>IF(Table1[[#This Row],[Is Data Valid]]=TRUE,IF(Table1[[#This Row],[Fetal Sex (Male, Female or Unknown)]]="Male",Backend!$C$6,IF(Table1[[#This Row],[Fetal Sex (Male, Female or Unknown)]]="Female",Backend!$C$7,IF(Table1[[#This Row],[Fetal Sex (Male, Female or Unknown)]]="Unknown",Backend!$C$8,"Error"))),"")</f>
        <v/>
      </c>
      <c r="F2354" s="8" t="str">
        <f>IF(Table1[[#This Row],[Is Data Valid]]=TRUE,EXP(0.578+0.332*((Table1[[#This Row],[Gestation (days)]]+0.5)/7)-0.00354*((Table1[[#This Row],[Gestation (days)]]+0.5)/7)^2)*Table1[[#This Row],[BW40_3705]],"")</f>
        <v/>
      </c>
      <c r="G2354" s="2" t="str">
        <f>IF(Table1[[#This Row],[Is Data Valid]]=TRUE,((Table1[[#This Row],[Birthweight (grams)]]/Table1[[#This Row],[BW_GA]])-1)/(Backend!$B$4/100*Table1[[#This Row],[BW40_3705]]),"")</f>
        <v/>
      </c>
      <c r="H2354" s="7" t="str">
        <f>IF(Table1[[#This Row],[Is Data Valid]]=TRUE,((Table1[[#This Row],[Birthweight (grams)]]*0.9/Table1[[#This Row],[BW_GA]])-1)/(Backend!$B$4/100*Table1[[#This Row],[BW40_3705]]),"")</f>
        <v/>
      </c>
      <c r="I2354" s="7" t="str">
        <f>IF(Table1[[#This Row],[Is Data Valid]]=TRUE,((Table1[[#This Row],[Birthweight (grams)]]*1.1/Table1[[#This Row],[BW_GA]])-1)/(Backend!$B$4/100*Table1[[#This Row],[BW40_3705]]),"")</f>
        <v/>
      </c>
      <c r="J2354" s="7" t="str">
        <f>IF(Table1[[#This Row],[Is Data Valid]]=TRUE,_xlfn.NORM.S.DIST(Table1[[#This Row],[Birthweight Z-Score]],TRUE)*100,"")</f>
        <v/>
      </c>
      <c r="K2354" s="7" t="str">
        <f>IF(Table1[[#This Row],[Is Data Valid]]=TRUE,_xlfn.NORM.S.DIST(Table1[[#This Row],[Birthweight Z-Score (BW-10%)]],TRUE)*100,"")</f>
        <v/>
      </c>
      <c r="L2354" s="7" t="str">
        <f>IF(Table1[[#This Row],[Is Data Valid]]=TRUE,_xlfn.NORM.S.DIST(Table1[[#This Row],[Birthweight Z-Score (BW+10%)]],TRUE)*100,"")</f>
        <v/>
      </c>
    </row>
    <row r="2355" spans="1:12" x14ac:dyDescent="0.35">
      <c r="A2355" s="3"/>
      <c r="B2355" s="2"/>
      <c r="C2355" s="2"/>
      <c r="D2355" s="2" t="b">
        <f>IF(AND(NOT(ISBLANK(Table1[[#This Row],[Fetal Sex (Male, Female or Unknown)]])),ISNUMBER(Table1[[#This Row],[Birthweight (grams)]]),ISNUMBER(Table1[[#This Row],[Gestation (days)]])),TRUE,FALSE)</f>
        <v>0</v>
      </c>
      <c r="E2355" s="2" t="str">
        <f>IF(Table1[[#This Row],[Is Data Valid]]=TRUE,IF(Table1[[#This Row],[Fetal Sex (Male, Female or Unknown)]]="Male",Backend!$C$6,IF(Table1[[#This Row],[Fetal Sex (Male, Female or Unknown)]]="Female",Backend!$C$7,IF(Table1[[#This Row],[Fetal Sex (Male, Female or Unknown)]]="Unknown",Backend!$C$8,"Error"))),"")</f>
        <v/>
      </c>
      <c r="F2355" s="8" t="str">
        <f>IF(Table1[[#This Row],[Is Data Valid]]=TRUE,EXP(0.578+0.332*((Table1[[#This Row],[Gestation (days)]]+0.5)/7)-0.00354*((Table1[[#This Row],[Gestation (days)]]+0.5)/7)^2)*Table1[[#This Row],[BW40_3705]],"")</f>
        <v/>
      </c>
      <c r="G2355" s="2" t="str">
        <f>IF(Table1[[#This Row],[Is Data Valid]]=TRUE,((Table1[[#This Row],[Birthweight (grams)]]/Table1[[#This Row],[BW_GA]])-1)/(Backend!$B$4/100*Table1[[#This Row],[BW40_3705]]),"")</f>
        <v/>
      </c>
      <c r="H2355" s="7" t="str">
        <f>IF(Table1[[#This Row],[Is Data Valid]]=TRUE,((Table1[[#This Row],[Birthweight (grams)]]*0.9/Table1[[#This Row],[BW_GA]])-1)/(Backend!$B$4/100*Table1[[#This Row],[BW40_3705]]),"")</f>
        <v/>
      </c>
      <c r="I2355" s="7" t="str">
        <f>IF(Table1[[#This Row],[Is Data Valid]]=TRUE,((Table1[[#This Row],[Birthweight (grams)]]*1.1/Table1[[#This Row],[BW_GA]])-1)/(Backend!$B$4/100*Table1[[#This Row],[BW40_3705]]),"")</f>
        <v/>
      </c>
      <c r="J2355" s="7" t="str">
        <f>IF(Table1[[#This Row],[Is Data Valid]]=TRUE,_xlfn.NORM.S.DIST(Table1[[#This Row],[Birthweight Z-Score]],TRUE)*100,"")</f>
        <v/>
      </c>
      <c r="K2355" s="7" t="str">
        <f>IF(Table1[[#This Row],[Is Data Valid]]=TRUE,_xlfn.NORM.S.DIST(Table1[[#This Row],[Birthweight Z-Score (BW-10%)]],TRUE)*100,"")</f>
        <v/>
      </c>
      <c r="L2355" s="7" t="str">
        <f>IF(Table1[[#This Row],[Is Data Valid]]=TRUE,_xlfn.NORM.S.DIST(Table1[[#This Row],[Birthweight Z-Score (BW+10%)]],TRUE)*100,"")</f>
        <v/>
      </c>
    </row>
    <row r="2356" spans="1:12" x14ac:dyDescent="0.35">
      <c r="A2356" s="3"/>
      <c r="B2356" s="2"/>
      <c r="C2356" s="2"/>
      <c r="D2356" s="2" t="b">
        <f>IF(AND(NOT(ISBLANK(Table1[[#This Row],[Fetal Sex (Male, Female or Unknown)]])),ISNUMBER(Table1[[#This Row],[Birthweight (grams)]]),ISNUMBER(Table1[[#This Row],[Gestation (days)]])),TRUE,FALSE)</f>
        <v>0</v>
      </c>
      <c r="E2356" s="2" t="str">
        <f>IF(Table1[[#This Row],[Is Data Valid]]=TRUE,IF(Table1[[#This Row],[Fetal Sex (Male, Female or Unknown)]]="Male",Backend!$C$6,IF(Table1[[#This Row],[Fetal Sex (Male, Female or Unknown)]]="Female",Backend!$C$7,IF(Table1[[#This Row],[Fetal Sex (Male, Female or Unknown)]]="Unknown",Backend!$C$8,"Error"))),"")</f>
        <v/>
      </c>
      <c r="F2356" s="8" t="str">
        <f>IF(Table1[[#This Row],[Is Data Valid]]=TRUE,EXP(0.578+0.332*((Table1[[#This Row],[Gestation (days)]]+0.5)/7)-0.00354*((Table1[[#This Row],[Gestation (days)]]+0.5)/7)^2)*Table1[[#This Row],[BW40_3705]],"")</f>
        <v/>
      </c>
      <c r="G2356" s="2" t="str">
        <f>IF(Table1[[#This Row],[Is Data Valid]]=TRUE,((Table1[[#This Row],[Birthweight (grams)]]/Table1[[#This Row],[BW_GA]])-1)/(Backend!$B$4/100*Table1[[#This Row],[BW40_3705]]),"")</f>
        <v/>
      </c>
      <c r="H2356" s="7" t="str">
        <f>IF(Table1[[#This Row],[Is Data Valid]]=TRUE,((Table1[[#This Row],[Birthweight (grams)]]*0.9/Table1[[#This Row],[BW_GA]])-1)/(Backend!$B$4/100*Table1[[#This Row],[BW40_3705]]),"")</f>
        <v/>
      </c>
      <c r="I2356" s="7" t="str">
        <f>IF(Table1[[#This Row],[Is Data Valid]]=TRUE,((Table1[[#This Row],[Birthweight (grams)]]*1.1/Table1[[#This Row],[BW_GA]])-1)/(Backend!$B$4/100*Table1[[#This Row],[BW40_3705]]),"")</f>
        <v/>
      </c>
      <c r="J2356" s="7" t="str">
        <f>IF(Table1[[#This Row],[Is Data Valid]]=TRUE,_xlfn.NORM.S.DIST(Table1[[#This Row],[Birthweight Z-Score]],TRUE)*100,"")</f>
        <v/>
      </c>
      <c r="K2356" s="7" t="str">
        <f>IF(Table1[[#This Row],[Is Data Valid]]=TRUE,_xlfn.NORM.S.DIST(Table1[[#This Row],[Birthweight Z-Score (BW-10%)]],TRUE)*100,"")</f>
        <v/>
      </c>
      <c r="L2356" s="7" t="str">
        <f>IF(Table1[[#This Row],[Is Data Valid]]=TRUE,_xlfn.NORM.S.DIST(Table1[[#This Row],[Birthweight Z-Score (BW+10%)]],TRUE)*100,"")</f>
        <v/>
      </c>
    </row>
    <row r="2357" spans="1:12" x14ac:dyDescent="0.35">
      <c r="A2357" s="3"/>
      <c r="B2357" s="2"/>
      <c r="C2357" s="2"/>
      <c r="D2357" s="2" t="b">
        <f>IF(AND(NOT(ISBLANK(Table1[[#This Row],[Fetal Sex (Male, Female or Unknown)]])),ISNUMBER(Table1[[#This Row],[Birthweight (grams)]]),ISNUMBER(Table1[[#This Row],[Gestation (days)]])),TRUE,FALSE)</f>
        <v>0</v>
      </c>
      <c r="E2357" s="2" t="str">
        <f>IF(Table1[[#This Row],[Is Data Valid]]=TRUE,IF(Table1[[#This Row],[Fetal Sex (Male, Female or Unknown)]]="Male",Backend!$C$6,IF(Table1[[#This Row],[Fetal Sex (Male, Female or Unknown)]]="Female",Backend!$C$7,IF(Table1[[#This Row],[Fetal Sex (Male, Female or Unknown)]]="Unknown",Backend!$C$8,"Error"))),"")</f>
        <v/>
      </c>
      <c r="F2357" s="8" t="str">
        <f>IF(Table1[[#This Row],[Is Data Valid]]=TRUE,EXP(0.578+0.332*((Table1[[#This Row],[Gestation (days)]]+0.5)/7)-0.00354*((Table1[[#This Row],[Gestation (days)]]+0.5)/7)^2)*Table1[[#This Row],[BW40_3705]],"")</f>
        <v/>
      </c>
      <c r="G2357" s="2" t="str">
        <f>IF(Table1[[#This Row],[Is Data Valid]]=TRUE,((Table1[[#This Row],[Birthweight (grams)]]/Table1[[#This Row],[BW_GA]])-1)/(Backend!$B$4/100*Table1[[#This Row],[BW40_3705]]),"")</f>
        <v/>
      </c>
      <c r="H2357" s="7" t="str">
        <f>IF(Table1[[#This Row],[Is Data Valid]]=TRUE,((Table1[[#This Row],[Birthweight (grams)]]*0.9/Table1[[#This Row],[BW_GA]])-1)/(Backend!$B$4/100*Table1[[#This Row],[BW40_3705]]),"")</f>
        <v/>
      </c>
      <c r="I2357" s="7" t="str">
        <f>IF(Table1[[#This Row],[Is Data Valid]]=TRUE,((Table1[[#This Row],[Birthweight (grams)]]*1.1/Table1[[#This Row],[BW_GA]])-1)/(Backend!$B$4/100*Table1[[#This Row],[BW40_3705]]),"")</f>
        <v/>
      </c>
      <c r="J2357" s="7" t="str">
        <f>IF(Table1[[#This Row],[Is Data Valid]]=TRUE,_xlfn.NORM.S.DIST(Table1[[#This Row],[Birthweight Z-Score]],TRUE)*100,"")</f>
        <v/>
      </c>
      <c r="K2357" s="7" t="str">
        <f>IF(Table1[[#This Row],[Is Data Valid]]=TRUE,_xlfn.NORM.S.DIST(Table1[[#This Row],[Birthweight Z-Score (BW-10%)]],TRUE)*100,"")</f>
        <v/>
      </c>
      <c r="L2357" s="7" t="str">
        <f>IF(Table1[[#This Row],[Is Data Valid]]=TRUE,_xlfn.NORM.S.DIST(Table1[[#This Row],[Birthweight Z-Score (BW+10%)]],TRUE)*100,"")</f>
        <v/>
      </c>
    </row>
    <row r="2358" spans="1:12" x14ac:dyDescent="0.35">
      <c r="A2358" s="3"/>
      <c r="B2358" s="2"/>
      <c r="C2358" s="2"/>
      <c r="D2358" s="2" t="b">
        <f>IF(AND(NOT(ISBLANK(Table1[[#This Row],[Fetal Sex (Male, Female or Unknown)]])),ISNUMBER(Table1[[#This Row],[Birthweight (grams)]]),ISNUMBER(Table1[[#This Row],[Gestation (days)]])),TRUE,FALSE)</f>
        <v>0</v>
      </c>
      <c r="E2358" s="2" t="str">
        <f>IF(Table1[[#This Row],[Is Data Valid]]=TRUE,IF(Table1[[#This Row],[Fetal Sex (Male, Female or Unknown)]]="Male",Backend!$C$6,IF(Table1[[#This Row],[Fetal Sex (Male, Female or Unknown)]]="Female",Backend!$C$7,IF(Table1[[#This Row],[Fetal Sex (Male, Female or Unknown)]]="Unknown",Backend!$C$8,"Error"))),"")</f>
        <v/>
      </c>
      <c r="F2358" s="8" t="str">
        <f>IF(Table1[[#This Row],[Is Data Valid]]=TRUE,EXP(0.578+0.332*((Table1[[#This Row],[Gestation (days)]]+0.5)/7)-0.00354*((Table1[[#This Row],[Gestation (days)]]+0.5)/7)^2)*Table1[[#This Row],[BW40_3705]],"")</f>
        <v/>
      </c>
      <c r="G2358" s="2" t="str">
        <f>IF(Table1[[#This Row],[Is Data Valid]]=TRUE,((Table1[[#This Row],[Birthweight (grams)]]/Table1[[#This Row],[BW_GA]])-1)/(Backend!$B$4/100*Table1[[#This Row],[BW40_3705]]),"")</f>
        <v/>
      </c>
      <c r="H2358" s="7" t="str">
        <f>IF(Table1[[#This Row],[Is Data Valid]]=TRUE,((Table1[[#This Row],[Birthweight (grams)]]*0.9/Table1[[#This Row],[BW_GA]])-1)/(Backend!$B$4/100*Table1[[#This Row],[BW40_3705]]),"")</f>
        <v/>
      </c>
      <c r="I2358" s="7" t="str">
        <f>IF(Table1[[#This Row],[Is Data Valid]]=TRUE,((Table1[[#This Row],[Birthweight (grams)]]*1.1/Table1[[#This Row],[BW_GA]])-1)/(Backend!$B$4/100*Table1[[#This Row],[BW40_3705]]),"")</f>
        <v/>
      </c>
      <c r="J2358" s="7" t="str">
        <f>IF(Table1[[#This Row],[Is Data Valid]]=TRUE,_xlfn.NORM.S.DIST(Table1[[#This Row],[Birthweight Z-Score]],TRUE)*100,"")</f>
        <v/>
      </c>
      <c r="K2358" s="7" t="str">
        <f>IF(Table1[[#This Row],[Is Data Valid]]=TRUE,_xlfn.NORM.S.DIST(Table1[[#This Row],[Birthweight Z-Score (BW-10%)]],TRUE)*100,"")</f>
        <v/>
      </c>
      <c r="L2358" s="7" t="str">
        <f>IF(Table1[[#This Row],[Is Data Valid]]=TRUE,_xlfn.NORM.S.DIST(Table1[[#This Row],[Birthweight Z-Score (BW+10%)]],TRUE)*100,"")</f>
        <v/>
      </c>
    </row>
    <row r="2359" spans="1:12" x14ac:dyDescent="0.35">
      <c r="A2359" s="3"/>
      <c r="B2359" s="2"/>
      <c r="C2359" s="2"/>
      <c r="D2359" s="2" t="b">
        <f>IF(AND(NOT(ISBLANK(Table1[[#This Row],[Fetal Sex (Male, Female or Unknown)]])),ISNUMBER(Table1[[#This Row],[Birthweight (grams)]]),ISNUMBER(Table1[[#This Row],[Gestation (days)]])),TRUE,FALSE)</f>
        <v>0</v>
      </c>
      <c r="E2359" s="2" t="str">
        <f>IF(Table1[[#This Row],[Is Data Valid]]=TRUE,IF(Table1[[#This Row],[Fetal Sex (Male, Female or Unknown)]]="Male",Backend!$C$6,IF(Table1[[#This Row],[Fetal Sex (Male, Female or Unknown)]]="Female",Backend!$C$7,IF(Table1[[#This Row],[Fetal Sex (Male, Female or Unknown)]]="Unknown",Backend!$C$8,"Error"))),"")</f>
        <v/>
      </c>
      <c r="F2359" s="8" t="str">
        <f>IF(Table1[[#This Row],[Is Data Valid]]=TRUE,EXP(0.578+0.332*((Table1[[#This Row],[Gestation (days)]]+0.5)/7)-0.00354*((Table1[[#This Row],[Gestation (days)]]+0.5)/7)^2)*Table1[[#This Row],[BW40_3705]],"")</f>
        <v/>
      </c>
      <c r="G2359" s="2" t="str">
        <f>IF(Table1[[#This Row],[Is Data Valid]]=TRUE,((Table1[[#This Row],[Birthweight (grams)]]/Table1[[#This Row],[BW_GA]])-1)/(Backend!$B$4/100*Table1[[#This Row],[BW40_3705]]),"")</f>
        <v/>
      </c>
      <c r="H2359" s="7" t="str">
        <f>IF(Table1[[#This Row],[Is Data Valid]]=TRUE,((Table1[[#This Row],[Birthweight (grams)]]*0.9/Table1[[#This Row],[BW_GA]])-1)/(Backend!$B$4/100*Table1[[#This Row],[BW40_3705]]),"")</f>
        <v/>
      </c>
      <c r="I2359" s="7" t="str">
        <f>IF(Table1[[#This Row],[Is Data Valid]]=TRUE,((Table1[[#This Row],[Birthweight (grams)]]*1.1/Table1[[#This Row],[BW_GA]])-1)/(Backend!$B$4/100*Table1[[#This Row],[BW40_3705]]),"")</f>
        <v/>
      </c>
      <c r="J2359" s="7" t="str">
        <f>IF(Table1[[#This Row],[Is Data Valid]]=TRUE,_xlfn.NORM.S.DIST(Table1[[#This Row],[Birthweight Z-Score]],TRUE)*100,"")</f>
        <v/>
      </c>
      <c r="K2359" s="7" t="str">
        <f>IF(Table1[[#This Row],[Is Data Valid]]=TRUE,_xlfn.NORM.S.DIST(Table1[[#This Row],[Birthweight Z-Score (BW-10%)]],TRUE)*100,"")</f>
        <v/>
      </c>
      <c r="L2359" s="7" t="str">
        <f>IF(Table1[[#This Row],[Is Data Valid]]=TRUE,_xlfn.NORM.S.DIST(Table1[[#This Row],[Birthweight Z-Score (BW+10%)]],TRUE)*100,"")</f>
        <v/>
      </c>
    </row>
    <row r="2360" spans="1:12" x14ac:dyDescent="0.35">
      <c r="A2360" s="3"/>
      <c r="B2360" s="2"/>
      <c r="C2360" s="2"/>
      <c r="D2360" s="2" t="b">
        <f>IF(AND(NOT(ISBLANK(Table1[[#This Row],[Fetal Sex (Male, Female or Unknown)]])),ISNUMBER(Table1[[#This Row],[Birthweight (grams)]]),ISNUMBER(Table1[[#This Row],[Gestation (days)]])),TRUE,FALSE)</f>
        <v>0</v>
      </c>
      <c r="E2360" s="2" t="str">
        <f>IF(Table1[[#This Row],[Is Data Valid]]=TRUE,IF(Table1[[#This Row],[Fetal Sex (Male, Female or Unknown)]]="Male",Backend!$C$6,IF(Table1[[#This Row],[Fetal Sex (Male, Female or Unknown)]]="Female",Backend!$C$7,IF(Table1[[#This Row],[Fetal Sex (Male, Female or Unknown)]]="Unknown",Backend!$C$8,"Error"))),"")</f>
        <v/>
      </c>
      <c r="F2360" s="8" t="str">
        <f>IF(Table1[[#This Row],[Is Data Valid]]=TRUE,EXP(0.578+0.332*((Table1[[#This Row],[Gestation (days)]]+0.5)/7)-0.00354*((Table1[[#This Row],[Gestation (days)]]+0.5)/7)^2)*Table1[[#This Row],[BW40_3705]],"")</f>
        <v/>
      </c>
      <c r="G2360" s="2" t="str">
        <f>IF(Table1[[#This Row],[Is Data Valid]]=TRUE,((Table1[[#This Row],[Birthweight (grams)]]/Table1[[#This Row],[BW_GA]])-1)/(Backend!$B$4/100*Table1[[#This Row],[BW40_3705]]),"")</f>
        <v/>
      </c>
      <c r="H2360" s="7" t="str">
        <f>IF(Table1[[#This Row],[Is Data Valid]]=TRUE,((Table1[[#This Row],[Birthweight (grams)]]*0.9/Table1[[#This Row],[BW_GA]])-1)/(Backend!$B$4/100*Table1[[#This Row],[BW40_3705]]),"")</f>
        <v/>
      </c>
      <c r="I2360" s="7" t="str">
        <f>IF(Table1[[#This Row],[Is Data Valid]]=TRUE,((Table1[[#This Row],[Birthweight (grams)]]*1.1/Table1[[#This Row],[BW_GA]])-1)/(Backend!$B$4/100*Table1[[#This Row],[BW40_3705]]),"")</f>
        <v/>
      </c>
      <c r="J2360" s="7" t="str">
        <f>IF(Table1[[#This Row],[Is Data Valid]]=TRUE,_xlfn.NORM.S.DIST(Table1[[#This Row],[Birthweight Z-Score]],TRUE)*100,"")</f>
        <v/>
      </c>
      <c r="K2360" s="7" t="str">
        <f>IF(Table1[[#This Row],[Is Data Valid]]=TRUE,_xlfn.NORM.S.DIST(Table1[[#This Row],[Birthweight Z-Score (BW-10%)]],TRUE)*100,"")</f>
        <v/>
      </c>
      <c r="L2360" s="7" t="str">
        <f>IF(Table1[[#This Row],[Is Data Valid]]=TRUE,_xlfn.NORM.S.DIST(Table1[[#This Row],[Birthweight Z-Score (BW+10%)]],TRUE)*100,"")</f>
        <v/>
      </c>
    </row>
    <row r="2361" spans="1:12" x14ac:dyDescent="0.35">
      <c r="A2361" s="3"/>
      <c r="B2361" s="2"/>
      <c r="C2361" s="2"/>
      <c r="D2361" s="2" t="b">
        <f>IF(AND(NOT(ISBLANK(Table1[[#This Row],[Fetal Sex (Male, Female or Unknown)]])),ISNUMBER(Table1[[#This Row],[Birthweight (grams)]]),ISNUMBER(Table1[[#This Row],[Gestation (days)]])),TRUE,FALSE)</f>
        <v>0</v>
      </c>
      <c r="E2361" s="2" t="str">
        <f>IF(Table1[[#This Row],[Is Data Valid]]=TRUE,IF(Table1[[#This Row],[Fetal Sex (Male, Female or Unknown)]]="Male",Backend!$C$6,IF(Table1[[#This Row],[Fetal Sex (Male, Female or Unknown)]]="Female",Backend!$C$7,IF(Table1[[#This Row],[Fetal Sex (Male, Female or Unknown)]]="Unknown",Backend!$C$8,"Error"))),"")</f>
        <v/>
      </c>
      <c r="F2361" s="8" t="str">
        <f>IF(Table1[[#This Row],[Is Data Valid]]=TRUE,EXP(0.578+0.332*((Table1[[#This Row],[Gestation (days)]]+0.5)/7)-0.00354*((Table1[[#This Row],[Gestation (days)]]+0.5)/7)^2)*Table1[[#This Row],[BW40_3705]],"")</f>
        <v/>
      </c>
      <c r="G2361" s="2" t="str">
        <f>IF(Table1[[#This Row],[Is Data Valid]]=TRUE,((Table1[[#This Row],[Birthweight (grams)]]/Table1[[#This Row],[BW_GA]])-1)/(Backend!$B$4/100*Table1[[#This Row],[BW40_3705]]),"")</f>
        <v/>
      </c>
      <c r="H2361" s="7" t="str">
        <f>IF(Table1[[#This Row],[Is Data Valid]]=TRUE,((Table1[[#This Row],[Birthweight (grams)]]*0.9/Table1[[#This Row],[BW_GA]])-1)/(Backend!$B$4/100*Table1[[#This Row],[BW40_3705]]),"")</f>
        <v/>
      </c>
      <c r="I2361" s="7" t="str">
        <f>IF(Table1[[#This Row],[Is Data Valid]]=TRUE,((Table1[[#This Row],[Birthweight (grams)]]*1.1/Table1[[#This Row],[BW_GA]])-1)/(Backend!$B$4/100*Table1[[#This Row],[BW40_3705]]),"")</f>
        <v/>
      </c>
      <c r="J2361" s="7" t="str">
        <f>IF(Table1[[#This Row],[Is Data Valid]]=TRUE,_xlfn.NORM.S.DIST(Table1[[#This Row],[Birthweight Z-Score]],TRUE)*100,"")</f>
        <v/>
      </c>
      <c r="K2361" s="7" t="str">
        <f>IF(Table1[[#This Row],[Is Data Valid]]=TRUE,_xlfn.NORM.S.DIST(Table1[[#This Row],[Birthweight Z-Score (BW-10%)]],TRUE)*100,"")</f>
        <v/>
      </c>
      <c r="L2361" s="7" t="str">
        <f>IF(Table1[[#This Row],[Is Data Valid]]=TRUE,_xlfn.NORM.S.DIST(Table1[[#This Row],[Birthweight Z-Score (BW+10%)]],TRUE)*100,"")</f>
        <v/>
      </c>
    </row>
    <row r="2362" spans="1:12" x14ac:dyDescent="0.35">
      <c r="A2362" s="3"/>
      <c r="B2362" s="2"/>
      <c r="C2362" s="2"/>
      <c r="D2362" s="2" t="b">
        <f>IF(AND(NOT(ISBLANK(Table1[[#This Row],[Fetal Sex (Male, Female or Unknown)]])),ISNUMBER(Table1[[#This Row],[Birthweight (grams)]]),ISNUMBER(Table1[[#This Row],[Gestation (days)]])),TRUE,FALSE)</f>
        <v>0</v>
      </c>
      <c r="E2362" s="2" t="str">
        <f>IF(Table1[[#This Row],[Is Data Valid]]=TRUE,IF(Table1[[#This Row],[Fetal Sex (Male, Female or Unknown)]]="Male",Backend!$C$6,IF(Table1[[#This Row],[Fetal Sex (Male, Female or Unknown)]]="Female",Backend!$C$7,IF(Table1[[#This Row],[Fetal Sex (Male, Female or Unknown)]]="Unknown",Backend!$C$8,"Error"))),"")</f>
        <v/>
      </c>
      <c r="F2362" s="8" t="str">
        <f>IF(Table1[[#This Row],[Is Data Valid]]=TRUE,EXP(0.578+0.332*((Table1[[#This Row],[Gestation (days)]]+0.5)/7)-0.00354*((Table1[[#This Row],[Gestation (days)]]+0.5)/7)^2)*Table1[[#This Row],[BW40_3705]],"")</f>
        <v/>
      </c>
      <c r="G2362" s="2" t="str">
        <f>IF(Table1[[#This Row],[Is Data Valid]]=TRUE,((Table1[[#This Row],[Birthweight (grams)]]/Table1[[#This Row],[BW_GA]])-1)/(Backend!$B$4/100*Table1[[#This Row],[BW40_3705]]),"")</f>
        <v/>
      </c>
      <c r="H2362" s="7" t="str">
        <f>IF(Table1[[#This Row],[Is Data Valid]]=TRUE,((Table1[[#This Row],[Birthweight (grams)]]*0.9/Table1[[#This Row],[BW_GA]])-1)/(Backend!$B$4/100*Table1[[#This Row],[BW40_3705]]),"")</f>
        <v/>
      </c>
      <c r="I2362" s="7" t="str">
        <f>IF(Table1[[#This Row],[Is Data Valid]]=TRUE,((Table1[[#This Row],[Birthweight (grams)]]*1.1/Table1[[#This Row],[BW_GA]])-1)/(Backend!$B$4/100*Table1[[#This Row],[BW40_3705]]),"")</f>
        <v/>
      </c>
      <c r="J2362" s="7" t="str">
        <f>IF(Table1[[#This Row],[Is Data Valid]]=TRUE,_xlfn.NORM.S.DIST(Table1[[#This Row],[Birthweight Z-Score]],TRUE)*100,"")</f>
        <v/>
      </c>
      <c r="K2362" s="7" t="str">
        <f>IF(Table1[[#This Row],[Is Data Valid]]=TRUE,_xlfn.NORM.S.DIST(Table1[[#This Row],[Birthweight Z-Score (BW-10%)]],TRUE)*100,"")</f>
        <v/>
      </c>
      <c r="L2362" s="7" t="str">
        <f>IF(Table1[[#This Row],[Is Data Valid]]=TRUE,_xlfn.NORM.S.DIST(Table1[[#This Row],[Birthweight Z-Score (BW+10%)]],TRUE)*100,"")</f>
        <v/>
      </c>
    </row>
    <row r="2363" spans="1:12" x14ac:dyDescent="0.35">
      <c r="A2363" s="3"/>
      <c r="B2363" s="2"/>
      <c r="C2363" s="2"/>
      <c r="D2363" s="2" t="b">
        <f>IF(AND(NOT(ISBLANK(Table1[[#This Row],[Fetal Sex (Male, Female or Unknown)]])),ISNUMBER(Table1[[#This Row],[Birthweight (grams)]]),ISNUMBER(Table1[[#This Row],[Gestation (days)]])),TRUE,FALSE)</f>
        <v>0</v>
      </c>
      <c r="E2363" s="2" t="str">
        <f>IF(Table1[[#This Row],[Is Data Valid]]=TRUE,IF(Table1[[#This Row],[Fetal Sex (Male, Female or Unknown)]]="Male",Backend!$C$6,IF(Table1[[#This Row],[Fetal Sex (Male, Female or Unknown)]]="Female",Backend!$C$7,IF(Table1[[#This Row],[Fetal Sex (Male, Female or Unknown)]]="Unknown",Backend!$C$8,"Error"))),"")</f>
        <v/>
      </c>
      <c r="F2363" s="8" t="str">
        <f>IF(Table1[[#This Row],[Is Data Valid]]=TRUE,EXP(0.578+0.332*((Table1[[#This Row],[Gestation (days)]]+0.5)/7)-0.00354*((Table1[[#This Row],[Gestation (days)]]+0.5)/7)^2)*Table1[[#This Row],[BW40_3705]],"")</f>
        <v/>
      </c>
      <c r="G2363" s="2" t="str">
        <f>IF(Table1[[#This Row],[Is Data Valid]]=TRUE,((Table1[[#This Row],[Birthweight (grams)]]/Table1[[#This Row],[BW_GA]])-1)/(Backend!$B$4/100*Table1[[#This Row],[BW40_3705]]),"")</f>
        <v/>
      </c>
      <c r="H2363" s="7" t="str">
        <f>IF(Table1[[#This Row],[Is Data Valid]]=TRUE,((Table1[[#This Row],[Birthweight (grams)]]*0.9/Table1[[#This Row],[BW_GA]])-1)/(Backend!$B$4/100*Table1[[#This Row],[BW40_3705]]),"")</f>
        <v/>
      </c>
      <c r="I2363" s="7" t="str">
        <f>IF(Table1[[#This Row],[Is Data Valid]]=TRUE,((Table1[[#This Row],[Birthweight (grams)]]*1.1/Table1[[#This Row],[BW_GA]])-1)/(Backend!$B$4/100*Table1[[#This Row],[BW40_3705]]),"")</f>
        <v/>
      </c>
      <c r="J2363" s="7" t="str">
        <f>IF(Table1[[#This Row],[Is Data Valid]]=TRUE,_xlfn.NORM.S.DIST(Table1[[#This Row],[Birthweight Z-Score]],TRUE)*100,"")</f>
        <v/>
      </c>
      <c r="K2363" s="7" t="str">
        <f>IF(Table1[[#This Row],[Is Data Valid]]=TRUE,_xlfn.NORM.S.DIST(Table1[[#This Row],[Birthweight Z-Score (BW-10%)]],TRUE)*100,"")</f>
        <v/>
      </c>
      <c r="L2363" s="7" t="str">
        <f>IF(Table1[[#This Row],[Is Data Valid]]=TRUE,_xlfn.NORM.S.DIST(Table1[[#This Row],[Birthweight Z-Score (BW+10%)]],TRUE)*100,"")</f>
        <v/>
      </c>
    </row>
    <row r="2364" spans="1:12" x14ac:dyDescent="0.35">
      <c r="A2364" s="3"/>
      <c r="B2364" s="2"/>
      <c r="C2364" s="2"/>
      <c r="D2364" s="2" t="b">
        <f>IF(AND(NOT(ISBLANK(Table1[[#This Row],[Fetal Sex (Male, Female or Unknown)]])),ISNUMBER(Table1[[#This Row],[Birthweight (grams)]]),ISNUMBER(Table1[[#This Row],[Gestation (days)]])),TRUE,FALSE)</f>
        <v>0</v>
      </c>
      <c r="E2364" s="2" t="str">
        <f>IF(Table1[[#This Row],[Is Data Valid]]=TRUE,IF(Table1[[#This Row],[Fetal Sex (Male, Female or Unknown)]]="Male",Backend!$C$6,IF(Table1[[#This Row],[Fetal Sex (Male, Female or Unknown)]]="Female",Backend!$C$7,IF(Table1[[#This Row],[Fetal Sex (Male, Female or Unknown)]]="Unknown",Backend!$C$8,"Error"))),"")</f>
        <v/>
      </c>
      <c r="F2364" s="8" t="str">
        <f>IF(Table1[[#This Row],[Is Data Valid]]=TRUE,EXP(0.578+0.332*((Table1[[#This Row],[Gestation (days)]]+0.5)/7)-0.00354*((Table1[[#This Row],[Gestation (days)]]+0.5)/7)^2)*Table1[[#This Row],[BW40_3705]],"")</f>
        <v/>
      </c>
      <c r="G2364" s="2" t="str">
        <f>IF(Table1[[#This Row],[Is Data Valid]]=TRUE,((Table1[[#This Row],[Birthweight (grams)]]/Table1[[#This Row],[BW_GA]])-1)/(Backend!$B$4/100*Table1[[#This Row],[BW40_3705]]),"")</f>
        <v/>
      </c>
      <c r="H2364" s="7" t="str">
        <f>IF(Table1[[#This Row],[Is Data Valid]]=TRUE,((Table1[[#This Row],[Birthweight (grams)]]*0.9/Table1[[#This Row],[BW_GA]])-1)/(Backend!$B$4/100*Table1[[#This Row],[BW40_3705]]),"")</f>
        <v/>
      </c>
      <c r="I2364" s="7" t="str">
        <f>IF(Table1[[#This Row],[Is Data Valid]]=TRUE,((Table1[[#This Row],[Birthweight (grams)]]*1.1/Table1[[#This Row],[BW_GA]])-1)/(Backend!$B$4/100*Table1[[#This Row],[BW40_3705]]),"")</f>
        <v/>
      </c>
      <c r="J2364" s="7" t="str">
        <f>IF(Table1[[#This Row],[Is Data Valid]]=TRUE,_xlfn.NORM.S.DIST(Table1[[#This Row],[Birthweight Z-Score]],TRUE)*100,"")</f>
        <v/>
      </c>
      <c r="K2364" s="7" t="str">
        <f>IF(Table1[[#This Row],[Is Data Valid]]=TRUE,_xlfn.NORM.S.DIST(Table1[[#This Row],[Birthweight Z-Score (BW-10%)]],TRUE)*100,"")</f>
        <v/>
      </c>
      <c r="L2364" s="7" t="str">
        <f>IF(Table1[[#This Row],[Is Data Valid]]=TRUE,_xlfn.NORM.S.DIST(Table1[[#This Row],[Birthweight Z-Score (BW+10%)]],TRUE)*100,"")</f>
        <v/>
      </c>
    </row>
    <row r="2365" spans="1:12" x14ac:dyDescent="0.35">
      <c r="A2365" s="3"/>
      <c r="B2365" s="2"/>
      <c r="C2365" s="2"/>
      <c r="D2365" s="2" t="b">
        <f>IF(AND(NOT(ISBLANK(Table1[[#This Row],[Fetal Sex (Male, Female or Unknown)]])),ISNUMBER(Table1[[#This Row],[Birthweight (grams)]]),ISNUMBER(Table1[[#This Row],[Gestation (days)]])),TRUE,FALSE)</f>
        <v>0</v>
      </c>
      <c r="E2365" s="2" t="str">
        <f>IF(Table1[[#This Row],[Is Data Valid]]=TRUE,IF(Table1[[#This Row],[Fetal Sex (Male, Female or Unknown)]]="Male",Backend!$C$6,IF(Table1[[#This Row],[Fetal Sex (Male, Female or Unknown)]]="Female",Backend!$C$7,IF(Table1[[#This Row],[Fetal Sex (Male, Female or Unknown)]]="Unknown",Backend!$C$8,"Error"))),"")</f>
        <v/>
      </c>
      <c r="F2365" s="8" t="str">
        <f>IF(Table1[[#This Row],[Is Data Valid]]=TRUE,EXP(0.578+0.332*((Table1[[#This Row],[Gestation (days)]]+0.5)/7)-0.00354*((Table1[[#This Row],[Gestation (days)]]+0.5)/7)^2)*Table1[[#This Row],[BW40_3705]],"")</f>
        <v/>
      </c>
      <c r="G2365" s="2" t="str">
        <f>IF(Table1[[#This Row],[Is Data Valid]]=TRUE,((Table1[[#This Row],[Birthweight (grams)]]/Table1[[#This Row],[BW_GA]])-1)/(Backend!$B$4/100*Table1[[#This Row],[BW40_3705]]),"")</f>
        <v/>
      </c>
      <c r="H2365" s="7" t="str">
        <f>IF(Table1[[#This Row],[Is Data Valid]]=TRUE,((Table1[[#This Row],[Birthweight (grams)]]*0.9/Table1[[#This Row],[BW_GA]])-1)/(Backend!$B$4/100*Table1[[#This Row],[BW40_3705]]),"")</f>
        <v/>
      </c>
      <c r="I2365" s="7" t="str">
        <f>IF(Table1[[#This Row],[Is Data Valid]]=TRUE,((Table1[[#This Row],[Birthweight (grams)]]*1.1/Table1[[#This Row],[BW_GA]])-1)/(Backend!$B$4/100*Table1[[#This Row],[BW40_3705]]),"")</f>
        <v/>
      </c>
      <c r="J2365" s="7" t="str">
        <f>IF(Table1[[#This Row],[Is Data Valid]]=TRUE,_xlfn.NORM.S.DIST(Table1[[#This Row],[Birthweight Z-Score]],TRUE)*100,"")</f>
        <v/>
      </c>
      <c r="K2365" s="7" t="str">
        <f>IF(Table1[[#This Row],[Is Data Valid]]=TRUE,_xlfn.NORM.S.DIST(Table1[[#This Row],[Birthweight Z-Score (BW-10%)]],TRUE)*100,"")</f>
        <v/>
      </c>
      <c r="L2365" s="7" t="str">
        <f>IF(Table1[[#This Row],[Is Data Valid]]=TRUE,_xlfn.NORM.S.DIST(Table1[[#This Row],[Birthweight Z-Score (BW+10%)]],TRUE)*100,"")</f>
        <v/>
      </c>
    </row>
    <row r="2366" spans="1:12" x14ac:dyDescent="0.35">
      <c r="A2366" s="3"/>
      <c r="B2366" s="2"/>
      <c r="C2366" s="2"/>
      <c r="D2366" s="2" t="b">
        <f>IF(AND(NOT(ISBLANK(Table1[[#This Row],[Fetal Sex (Male, Female or Unknown)]])),ISNUMBER(Table1[[#This Row],[Birthweight (grams)]]),ISNUMBER(Table1[[#This Row],[Gestation (days)]])),TRUE,FALSE)</f>
        <v>0</v>
      </c>
      <c r="E2366" s="2" t="str">
        <f>IF(Table1[[#This Row],[Is Data Valid]]=TRUE,IF(Table1[[#This Row],[Fetal Sex (Male, Female or Unknown)]]="Male",Backend!$C$6,IF(Table1[[#This Row],[Fetal Sex (Male, Female or Unknown)]]="Female",Backend!$C$7,IF(Table1[[#This Row],[Fetal Sex (Male, Female or Unknown)]]="Unknown",Backend!$C$8,"Error"))),"")</f>
        <v/>
      </c>
      <c r="F2366" s="8" t="str">
        <f>IF(Table1[[#This Row],[Is Data Valid]]=TRUE,EXP(0.578+0.332*((Table1[[#This Row],[Gestation (days)]]+0.5)/7)-0.00354*((Table1[[#This Row],[Gestation (days)]]+0.5)/7)^2)*Table1[[#This Row],[BW40_3705]],"")</f>
        <v/>
      </c>
      <c r="G2366" s="2" t="str">
        <f>IF(Table1[[#This Row],[Is Data Valid]]=TRUE,((Table1[[#This Row],[Birthweight (grams)]]/Table1[[#This Row],[BW_GA]])-1)/(Backend!$B$4/100*Table1[[#This Row],[BW40_3705]]),"")</f>
        <v/>
      </c>
      <c r="H2366" s="7" t="str">
        <f>IF(Table1[[#This Row],[Is Data Valid]]=TRUE,((Table1[[#This Row],[Birthweight (grams)]]*0.9/Table1[[#This Row],[BW_GA]])-1)/(Backend!$B$4/100*Table1[[#This Row],[BW40_3705]]),"")</f>
        <v/>
      </c>
      <c r="I2366" s="7" t="str">
        <f>IF(Table1[[#This Row],[Is Data Valid]]=TRUE,((Table1[[#This Row],[Birthweight (grams)]]*1.1/Table1[[#This Row],[BW_GA]])-1)/(Backend!$B$4/100*Table1[[#This Row],[BW40_3705]]),"")</f>
        <v/>
      </c>
      <c r="J2366" s="7" t="str">
        <f>IF(Table1[[#This Row],[Is Data Valid]]=TRUE,_xlfn.NORM.S.DIST(Table1[[#This Row],[Birthweight Z-Score]],TRUE)*100,"")</f>
        <v/>
      </c>
      <c r="K2366" s="7" t="str">
        <f>IF(Table1[[#This Row],[Is Data Valid]]=TRUE,_xlfn.NORM.S.DIST(Table1[[#This Row],[Birthweight Z-Score (BW-10%)]],TRUE)*100,"")</f>
        <v/>
      </c>
      <c r="L2366" s="7" t="str">
        <f>IF(Table1[[#This Row],[Is Data Valid]]=TRUE,_xlfn.NORM.S.DIST(Table1[[#This Row],[Birthweight Z-Score (BW+10%)]],TRUE)*100,"")</f>
        <v/>
      </c>
    </row>
    <row r="2367" spans="1:12" x14ac:dyDescent="0.35">
      <c r="A2367" s="3"/>
      <c r="B2367" s="2"/>
      <c r="C2367" s="2"/>
      <c r="D2367" s="2" t="b">
        <f>IF(AND(NOT(ISBLANK(Table1[[#This Row],[Fetal Sex (Male, Female or Unknown)]])),ISNUMBER(Table1[[#This Row],[Birthweight (grams)]]),ISNUMBER(Table1[[#This Row],[Gestation (days)]])),TRUE,FALSE)</f>
        <v>0</v>
      </c>
      <c r="E2367" s="2" t="str">
        <f>IF(Table1[[#This Row],[Is Data Valid]]=TRUE,IF(Table1[[#This Row],[Fetal Sex (Male, Female or Unknown)]]="Male",Backend!$C$6,IF(Table1[[#This Row],[Fetal Sex (Male, Female or Unknown)]]="Female",Backend!$C$7,IF(Table1[[#This Row],[Fetal Sex (Male, Female or Unknown)]]="Unknown",Backend!$C$8,"Error"))),"")</f>
        <v/>
      </c>
      <c r="F2367" s="8" t="str">
        <f>IF(Table1[[#This Row],[Is Data Valid]]=TRUE,EXP(0.578+0.332*((Table1[[#This Row],[Gestation (days)]]+0.5)/7)-0.00354*((Table1[[#This Row],[Gestation (days)]]+0.5)/7)^2)*Table1[[#This Row],[BW40_3705]],"")</f>
        <v/>
      </c>
      <c r="G2367" s="2" t="str">
        <f>IF(Table1[[#This Row],[Is Data Valid]]=TRUE,((Table1[[#This Row],[Birthweight (grams)]]/Table1[[#This Row],[BW_GA]])-1)/(Backend!$B$4/100*Table1[[#This Row],[BW40_3705]]),"")</f>
        <v/>
      </c>
      <c r="H2367" s="7" t="str">
        <f>IF(Table1[[#This Row],[Is Data Valid]]=TRUE,((Table1[[#This Row],[Birthweight (grams)]]*0.9/Table1[[#This Row],[BW_GA]])-1)/(Backend!$B$4/100*Table1[[#This Row],[BW40_3705]]),"")</f>
        <v/>
      </c>
      <c r="I2367" s="7" t="str">
        <f>IF(Table1[[#This Row],[Is Data Valid]]=TRUE,((Table1[[#This Row],[Birthweight (grams)]]*1.1/Table1[[#This Row],[BW_GA]])-1)/(Backend!$B$4/100*Table1[[#This Row],[BW40_3705]]),"")</f>
        <v/>
      </c>
      <c r="J2367" s="7" t="str">
        <f>IF(Table1[[#This Row],[Is Data Valid]]=TRUE,_xlfn.NORM.S.DIST(Table1[[#This Row],[Birthweight Z-Score]],TRUE)*100,"")</f>
        <v/>
      </c>
      <c r="K2367" s="7" t="str">
        <f>IF(Table1[[#This Row],[Is Data Valid]]=TRUE,_xlfn.NORM.S.DIST(Table1[[#This Row],[Birthweight Z-Score (BW-10%)]],TRUE)*100,"")</f>
        <v/>
      </c>
      <c r="L2367" s="7" t="str">
        <f>IF(Table1[[#This Row],[Is Data Valid]]=TRUE,_xlfn.NORM.S.DIST(Table1[[#This Row],[Birthweight Z-Score (BW+10%)]],TRUE)*100,"")</f>
        <v/>
      </c>
    </row>
    <row r="2368" spans="1:12" x14ac:dyDescent="0.35">
      <c r="A2368" s="3"/>
      <c r="B2368" s="2"/>
      <c r="C2368" s="2"/>
      <c r="D2368" s="2" t="b">
        <f>IF(AND(NOT(ISBLANK(Table1[[#This Row],[Fetal Sex (Male, Female or Unknown)]])),ISNUMBER(Table1[[#This Row],[Birthweight (grams)]]),ISNUMBER(Table1[[#This Row],[Gestation (days)]])),TRUE,FALSE)</f>
        <v>0</v>
      </c>
      <c r="E2368" s="2" t="str">
        <f>IF(Table1[[#This Row],[Is Data Valid]]=TRUE,IF(Table1[[#This Row],[Fetal Sex (Male, Female or Unknown)]]="Male",Backend!$C$6,IF(Table1[[#This Row],[Fetal Sex (Male, Female or Unknown)]]="Female",Backend!$C$7,IF(Table1[[#This Row],[Fetal Sex (Male, Female or Unknown)]]="Unknown",Backend!$C$8,"Error"))),"")</f>
        <v/>
      </c>
      <c r="F2368" s="8" t="str">
        <f>IF(Table1[[#This Row],[Is Data Valid]]=TRUE,EXP(0.578+0.332*((Table1[[#This Row],[Gestation (days)]]+0.5)/7)-0.00354*((Table1[[#This Row],[Gestation (days)]]+0.5)/7)^2)*Table1[[#This Row],[BW40_3705]],"")</f>
        <v/>
      </c>
      <c r="G2368" s="2" t="str">
        <f>IF(Table1[[#This Row],[Is Data Valid]]=TRUE,((Table1[[#This Row],[Birthweight (grams)]]/Table1[[#This Row],[BW_GA]])-1)/(Backend!$B$4/100*Table1[[#This Row],[BW40_3705]]),"")</f>
        <v/>
      </c>
      <c r="H2368" s="7" t="str">
        <f>IF(Table1[[#This Row],[Is Data Valid]]=TRUE,((Table1[[#This Row],[Birthweight (grams)]]*0.9/Table1[[#This Row],[BW_GA]])-1)/(Backend!$B$4/100*Table1[[#This Row],[BW40_3705]]),"")</f>
        <v/>
      </c>
      <c r="I2368" s="7" t="str">
        <f>IF(Table1[[#This Row],[Is Data Valid]]=TRUE,((Table1[[#This Row],[Birthweight (grams)]]*1.1/Table1[[#This Row],[BW_GA]])-1)/(Backend!$B$4/100*Table1[[#This Row],[BW40_3705]]),"")</f>
        <v/>
      </c>
      <c r="J2368" s="7" t="str">
        <f>IF(Table1[[#This Row],[Is Data Valid]]=TRUE,_xlfn.NORM.S.DIST(Table1[[#This Row],[Birthweight Z-Score]],TRUE)*100,"")</f>
        <v/>
      </c>
      <c r="K2368" s="7" t="str">
        <f>IF(Table1[[#This Row],[Is Data Valid]]=TRUE,_xlfn.NORM.S.DIST(Table1[[#This Row],[Birthweight Z-Score (BW-10%)]],TRUE)*100,"")</f>
        <v/>
      </c>
      <c r="L2368" s="7" t="str">
        <f>IF(Table1[[#This Row],[Is Data Valid]]=TRUE,_xlfn.NORM.S.DIST(Table1[[#This Row],[Birthweight Z-Score (BW+10%)]],TRUE)*100,"")</f>
        <v/>
      </c>
    </row>
    <row r="2369" spans="1:12" x14ac:dyDescent="0.35">
      <c r="A2369" s="3"/>
      <c r="B2369" s="2"/>
      <c r="C2369" s="2"/>
      <c r="D2369" s="2" t="b">
        <f>IF(AND(NOT(ISBLANK(Table1[[#This Row],[Fetal Sex (Male, Female or Unknown)]])),ISNUMBER(Table1[[#This Row],[Birthweight (grams)]]),ISNUMBER(Table1[[#This Row],[Gestation (days)]])),TRUE,FALSE)</f>
        <v>0</v>
      </c>
      <c r="E2369" s="2" t="str">
        <f>IF(Table1[[#This Row],[Is Data Valid]]=TRUE,IF(Table1[[#This Row],[Fetal Sex (Male, Female or Unknown)]]="Male",Backend!$C$6,IF(Table1[[#This Row],[Fetal Sex (Male, Female or Unknown)]]="Female",Backend!$C$7,IF(Table1[[#This Row],[Fetal Sex (Male, Female or Unknown)]]="Unknown",Backend!$C$8,"Error"))),"")</f>
        <v/>
      </c>
      <c r="F2369" s="8" t="str">
        <f>IF(Table1[[#This Row],[Is Data Valid]]=TRUE,EXP(0.578+0.332*((Table1[[#This Row],[Gestation (days)]]+0.5)/7)-0.00354*((Table1[[#This Row],[Gestation (days)]]+0.5)/7)^2)*Table1[[#This Row],[BW40_3705]],"")</f>
        <v/>
      </c>
      <c r="G2369" s="2" t="str">
        <f>IF(Table1[[#This Row],[Is Data Valid]]=TRUE,((Table1[[#This Row],[Birthweight (grams)]]/Table1[[#This Row],[BW_GA]])-1)/(Backend!$B$4/100*Table1[[#This Row],[BW40_3705]]),"")</f>
        <v/>
      </c>
      <c r="H2369" s="7" t="str">
        <f>IF(Table1[[#This Row],[Is Data Valid]]=TRUE,((Table1[[#This Row],[Birthweight (grams)]]*0.9/Table1[[#This Row],[BW_GA]])-1)/(Backend!$B$4/100*Table1[[#This Row],[BW40_3705]]),"")</f>
        <v/>
      </c>
      <c r="I2369" s="7" t="str">
        <f>IF(Table1[[#This Row],[Is Data Valid]]=TRUE,((Table1[[#This Row],[Birthweight (grams)]]*1.1/Table1[[#This Row],[BW_GA]])-1)/(Backend!$B$4/100*Table1[[#This Row],[BW40_3705]]),"")</f>
        <v/>
      </c>
      <c r="J2369" s="7" t="str">
        <f>IF(Table1[[#This Row],[Is Data Valid]]=TRUE,_xlfn.NORM.S.DIST(Table1[[#This Row],[Birthweight Z-Score]],TRUE)*100,"")</f>
        <v/>
      </c>
      <c r="K2369" s="7" t="str">
        <f>IF(Table1[[#This Row],[Is Data Valid]]=TRUE,_xlfn.NORM.S.DIST(Table1[[#This Row],[Birthweight Z-Score (BW-10%)]],TRUE)*100,"")</f>
        <v/>
      </c>
      <c r="L2369" s="7" t="str">
        <f>IF(Table1[[#This Row],[Is Data Valid]]=TRUE,_xlfn.NORM.S.DIST(Table1[[#This Row],[Birthweight Z-Score (BW+10%)]],TRUE)*100,"")</f>
        <v/>
      </c>
    </row>
    <row r="2370" spans="1:12" x14ac:dyDescent="0.35">
      <c r="A2370" s="3"/>
      <c r="B2370" s="2"/>
      <c r="C2370" s="2"/>
      <c r="D2370" s="2" t="b">
        <f>IF(AND(NOT(ISBLANK(Table1[[#This Row],[Fetal Sex (Male, Female or Unknown)]])),ISNUMBER(Table1[[#This Row],[Birthweight (grams)]]),ISNUMBER(Table1[[#This Row],[Gestation (days)]])),TRUE,FALSE)</f>
        <v>0</v>
      </c>
      <c r="E2370" s="2" t="str">
        <f>IF(Table1[[#This Row],[Is Data Valid]]=TRUE,IF(Table1[[#This Row],[Fetal Sex (Male, Female or Unknown)]]="Male",Backend!$C$6,IF(Table1[[#This Row],[Fetal Sex (Male, Female or Unknown)]]="Female",Backend!$C$7,IF(Table1[[#This Row],[Fetal Sex (Male, Female or Unknown)]]="Unknown",Backend!$C$8,"Error"))),"")</f>
        <v/>
      </c>
      <c r="F2370" s="8" t="str">
        <f>IF(Table1[[#This Row],[Is Data Valid]]=TRUE,EXP(0.578+0.332*((Table1[[#This Row],[Gestation (days)]]+0.5)/7)-0.00354*((Table1[[#This Row],[Gestation (days)]]+0.5)/7)^2)*Table1[[#This Row],[BW40_3705]],"")</f>
        <v/>
      </c>
      <c r="G2370" s="2" t="str">
        <f>IF(Table1[[#This Row],[Is Data Valid]]=TRUE,((Table1[[#This Row],[Birthweight (grams)]]/Table1[[#This Row],[BW_GA]])-1)/(Backend!$B$4/100*Table1[[#This Row],[BW40_3705]]),"")</f>
        <v/>
      </c>
      <c r="H2370" s="7" t="str">
        <f>IF(Table1[[#This Row],[Is Data Valid]]=TRUE,((Table1[[#This Row],[Birthweight (grams)]]*0.9/Table1[[#This Row],[BW_GA]])-1)/(Backend!$B$4/100*Table1[[#This Row],[BW40_3705]]),"")</f>
        <v/>
      </c>
      <c r="I2370" s="7" t="str">
        <f>IF(Table1[[#This Row],[Is Data Valid]]=TRUE,((Table1[[#This Row],[Birthweight (grams)]]*1.1/Table1[[#This Row],[BW_GA]])-1)/(Backend!$B$4/100*Table1[[#This Row],[BW40_3705]]),"")</f>
        <v/>
      </c>
      <c r="J2370" s="7" t="str">
        <f>IF(Table1[[#This Row],[Is Data Valid]]=TRUE,_xlfn.NORM.S.DIST(Table1[[#This Row],[Birthweight Z-Score]],TRUE)*100,"")</f>
        <v/>
      </c>
      <c r="K2370" s="7" t="str">
        <f>IF(Table1[[#This Row],[Is Data Valid]]=TRUE,_xlfn.NORM.S.DIST(Table1[[#This Row],[Birthweight Z-Score (BW-10%)]],TRUE)*100,"")</f>
        <v/>
      </c>
      <c r="L2370" s="7" t="str">
        <f>IF(Table1[[#This Row],[Is Data Valid]]=TRUE,_xlfn.NORM.S.DIST(Table1[[#This Row],[Birthweight Z-Score (BW+10%)]],TRUE)*100,"")</f>
        <v/>
      </c>
    </row>
    <row r="2371" spans="1:12" x14ac:dyDescent="0.35">
      <c r="A2371" s="3"/>
      <c r="B2371" s="2"/>
      <c r="C2371" s="2"/>
      <c r="D2371" s="2" t="b">
        <f>IF(AND(NOT(ISBLANK(Table1[[#This Row],[Fetal Sex (Male, Female or Unknown)]])),ISNUMBER(Table1[[#This Row],[Birthweight (grams)]]),ISNUMBER(Table1[[#This Row],[Gestation (days)]])),TRUE,FALSE)</f>
        <v>0</v>
      </c>
      <c r="E2371" s="2" t="str">
        <f>IF(Table1[[#This Row],[Is Data Valid]]=TRUE,IF(Table1[[#This Row],[Fetal Sex (Male, Female or Unknown)]]="Male",Backend!$C$6,IF(Table1[[#This Row],[Fetal Sex (Male, Female or Unknown)]]="Female",Backend!$C$7,IF(Table1[[#This Row],[Fetal Sex (Male, Female or Unknown)]]="Unknown",Backend!$C$8,"Error"))),"")</f>
        <v/>
      </c>
      <c r="F2371" s="8" t="str">
        <f>IF(Table1[[#This Row],[Is Data Valid]]=TRUE,EXP(0.578+0.332*((Table1[[#This Row],[Gestation (days)]]+0.5)/7)-0.00354*((Table1[[#This Row],[Gestation (days)]]+0.5)/7)^2)*Table1[[#This Row],[BW40_3705]],"")</f>
        <v/>
      </c>
      <c r="G2371" s="2" t="str">
        <f>IF(Table1[[#This Row],[Is Data Valid]]=TRUE,((Table1[[#This Row],[Birthweight (grams)]]/Table1[[#This Row],[BW_GA]])-1)/(Backend!$B$4/100*Table1[[#This Row],[BW40_3705]]),"")</f>
        <v/>
      </c>
      <c r="H2371" s="7" t="str">
        <f>IF(Table1[[#This Row],[Is Data Valid]]=TRUE,((Table1[[#This Row],[Birthweight (grams)]]*0.9/Table1[[#This Row],[BW_GA]])-1)/(Backend!$B$4/100*Table1[[#This Row],[BW40_3705]]),"")</f>
        <v/>
      </c>
      <c r="I2371" s="7" t="str">
        <f>IF(Table1[[#This Row],[Is Data Valid]]=TRUE,((Table1[[#This Row],[Birthweight (grams)]]*1.1/Table1[[#This Row],[BW_GA]])-1)/(Backend!$B$4/100*Table1[[#This Row],[BW40_3705]]),"")</f>
        <v/>
      </c>
      <c r="J2371" s="7" t="str">
        <f>IF(Table1[[#This Row],[Is Data Valid]]=TRUE,_xlfn.NORM.S.DIST(Table1[[#This Row],[Birthweight Z-Score]],TRUE)*100,"")</f>
        <v/>
      </c>
      <c r="K2371" s="7" t="str">
        <f>IF(Table1[[#This Row],[Is Data Valid]]=TRUE,_xlfn.NORM.S.DIST(Table1[[#This Row],[Birthweight Z-Score (BW-10%)]],TRUE)*100,"")</f>
        <v/>
      </c>
      <c r="L2371" s="7" t="str">
        <f>IF(Table1[[#This Row],[Is Data Valid]]=TRUE,_xlfn.NORM.S.DIST(Table1[[#This Row],[Birthweight Z-Score (BW+10%)]],TRUE)*100,"")</f>
        <v/>
      </c>
    </row>
    <row r="2372" spans="1:12" x14ac:dyDescent="0.35">
      <c r="A2372" s="3"/>
      <c r="B2372" s="2"/>
      <c r="C2372" s="2"/>
      <c r="D2372" s="2" t="b">
        <f>IF(AND(NOT(ISBLANK(Table1[[#This Row],[Fetal Sex (Male, Female or Unknown)]])),ISNUMBER(Table1[[#This Row],[Birthweight (grams)]]),ISNUMBER(Table1[[#This Row],[Gestation (days)]])),TRUE,FALSE)</f>
        <v>0</v>
      </c>
      <c r="E2372" s="2" t="str">
        <f>IF(Table1[[#This Row],[Is Data Valid]]=TRUE,IF(Table1[[#This Row],[Fetal Sex (Male, Female or Unknown)]]="Male",Backend!$C$6,IF(Table1[[#This Row],[Fetal Sex (Male, Female or Unknown)]]="Female",Backend!$C$7,IF(Table1[[#This Row],[Fetal Sex (Male, Female or Unknown)]]="Unknown",Backend!$C$8,"Error"))),"")</f>
        <v/>
      </c>
      <c r="F2372" s="8" t="str">
        <f>IF(Table1[[#This Row],[Is Data Valid]]=TRUE,EXP(0.578+0.332*((Table1[[#This Row],[Gestation (days)]]+0.5)/7)-0.00354*((Table1[[#This Row],[Gestation (days)]]+0.5)/7)^2)*Table1[[#This Row],[BW40_3705]],"")</f>
        <v/>
      </c>
      <c r="G2372" s="2" t="str">
        <f>IF(Table1[[#This Row],[Is Data Valid]]=TRUE,((Table1[[#This Row],[Birthweight (grams)]]/Table1[[#This Row],[BW_GA]])-1)/(Backend!$B$4/100*Table1[[#This Row],[BW40_3705]]),"")</f>
        <v/>
      </c>
      <c r="H2372" s="7" t="str">
        <f>IF(Table1[[#This Row],[Is Data Valid]]=TRUE,((Table1[[#This Row],[Birthweight (grams)]]*0.9/Table1[[#This Row],[BW_GA]])-1)/(Backend!$B$4/100*Table1[[#This Row],[BW40_3705]]),"")</f>
        <v/>
      </c>
      <c r="I2372" s="7" t="str">
        <f>IF(Table1[[#This Row],[Is Data Valid]]=TRUE,((Table1[[#This Row],[Birthweight (grams)]]*1.1/Table1[[#This Row],[BW_GA]])-1)/(Backend!$B$4/100*Table1[[#This Row],[BW40_3705]]),"")</f>
        <v/>
      </c>
      <c r="J2372" s="7" t="str">
        <f>IF(Table1[[#This Row],[Is Data Valid]]=TRUE,_xlfn.NORM.S.DIST(Table1[[#This Row],[Birthweight Z-Score]],TRUE)*100,"")</f>
        <v/>
      </c>
      <c r="K2372" s="7" t="str">
        <f>IF(Table1[[#This Row],[Is Data Valid]]=TRUE,_xlfn.NORM.S.DIST(Table1[[#This Row],[Birthweight Z-Score (BW-10%)]],TRUE)*100,"")</f>
        <v/>
      </c>
      <c r="L2372" s="7" t="str">
        <f>IF(Table1[[#This Row],[Is Data Valid]]=TRUE,_xlfn.NORM.S.DIST(Table1[[#This Row],[Birthweight Z-Score (BW+10%)]],TRUE)*100,"")</f>
        <v/>
      </c>
    </row>
    <row r="2373" spans="1:12" x14ac:dyDescent="0.35">
      <c r="A2373" s="3"/>
      <c r="B2373" s="2"/>
      <c r="C2373" s="2"/>
      <c r="D2373" s="2" t="b">
        <f>IF(AND(NOT(ISBLANK(Table1[[#This Row],[Fetal Sex (Male, Female or Unknown)]])),ISNUMBER(Table1[[#This Row],[Birthweight (grams)]]),ISNUMBER(Table1[[#This Row],[Gestation (days)]])),TRUE,FALSE)</f>
        <v>0</v>
      </c>
      <c r="E2373" s="2" t="str">
        <f>IF(Table1[[#This Row],[Is Data Valid]]=TRUE,IF(Table1[[#This Row],[Fetal Sex (Male, Female or Unknown)]]="Male",Backend!$C$6,IF(Table1[[#This Row],[Fetal Sex (Male, Female or Unknown)]]="Female",Backend!$C$7,IF(Table1[[#This Row],[Fetal Sex (Male, Female or Unknown)]]="Unknown",Backend!$C$8,"Error"))),"")</f>
        <v/>
      </c>
      <c r="F2373" s="8" t="str">
        <f>IF(Table1[[#This Row],[Is Data Valid]]=TRUE,EXP(0.578+0.332*((Table1[[#This Row],[Gestation (days)]]+0.5)/7)-0.00354*((Table1[[#This Row],[Gestation (days)]]+0.5)/7)^2)*Table1[[#This Row],[BW40_3705]],"")</f>
        <v/>
      </c>
      <c r="G2373" s="2" t="str">
        <f>IF(Table1[[#This Row],[Is Data Valid]]=TRUE,((Table1[[#This Row],[Birthweight (grams)]]/Table1[[#This Row],[BW_GA]])-1)/(Backend!$B$4/100*Table1[[#This Row],[BW40_3705]]),"")</f>
        <v/>
      </c>
      <c r="H2373" s="7" t="str">
        <f>IF(Table1[[#This Row],[Is Data Valid]]=TRUE,((Table1[[#This Row],[Birthweight (grams)]]*0.9/Table1[[#This Row],[BW_GA]])-1)/(Backend!$B$4/100*Table1[[#This Row],[BW40_3705]]),"")</f>
        <v/>
      </c>
      <c r="I2373" s="7" t="str">
        <f>IF(Table1[[#This Row],[Is Data Valid]]=TRUE,((Table1[[#This Row],[Birthweight (grams)]]*1.1/Table1[[#This Row],[BW_GA]])-1)/(Backend!$B$4/100*Table1[[#This Row],[BW40_3705]]),"")</f>
        <v/>
      </c>
      <c r="J2373" s="7" t="str">
        <f>IF(Table1[[#This Row],[Is Data Valid]]=TRUE,_xlfn.NORM.S.DIST(Table1[[#This Row],[Birthweight Z-Score]],TRUE)*100,"")</f>
        <v/>
      </c>
      <c r="K2373" s="7" t="str">
        <f>IF(Table1[[#This Row],[Is Data Valid]]=TRUE,_xlfn.NORM.S.DIST(Table1[[#This Row],[Birthweight Z-Score (BW-10%)]],TRUE)*100,"")</f>
        <v/>
      </c>
      <c r="L2373" s="7" t="str">
        <f>IF(Table1[[#This Row],[Is Data Valid]]=TRUE,_xlfn.NORM.S.DIST(Table1[[#This Row],[Birthweight Z-Score (BW+10%)]],TRUE)*100,"")</f>
        <v/>
      </c>
    </row>
    <row r="2374" spans="1:12" x14ac:dyDescent="0.35">
      <c r="A2374" s="3"/>
      <c r="B2374" s="2"/>
      <c r="C2374" s="2"/>
      <c r="D2374" s="2" t="b">
        <f>IF(AND(NOT(ISBLANK(Table1[[#This Row],[Fetal Sex (Male, Female or Unknown)]])),ISNUMBER(Table1[[#This Row],[Birthweight (grams)]]),ISNUMBER(Table1[[#This Row],[Gestation (days)]])),TRUE,FALSE)</f>
        <v>0</v>
      </c>
      <c r="E2374" s="2" t="str">
        <f>IF(Table1[[#This Row],[Is Data Valid]]=TRUE,IF(Table1[[#This Row],[Fetal Sex (Male, Female or Unknown)]]="Male",Backend!$C$6,IF(Table1[[#This Row],[Fetal Sex (Male, Female or Unknown)]]="Female",Backend!$C$7,IF(Table1[[#This Row],[Fetal Sex (Male, Female or Unknown)]]="Unknown",Backend!$C$8,"Error"))),"")</f>
        <v/>
      </c>
      <c r="F2374" s="8" t="str">
        <f>IF(Table1[[#This Row],[Is Data Valid]]=TRUE,EXP(0.578+0.332*((Table1[[#This Row],[Gestation (days)]]+0.5)/7)-0.00354*((Table1[[#This Row],[Gestation (days)]]+0.5)/7)^2)*Table1[[#This Row],[BW40_3705]],"")</f>
        <v/>
      </c>
      <c r="G2374" s="2" t="str">
        <f>IF(Table1[[#This Row],[Is Data Valid]]=TRUE,((Table1[[#This Row],[Birthweight (grams)]]/Table1[[#This Row],[BW_GA]])-1)/(Backend!$B$4/100*Table1[[#This Row],[BW40_3705]]),"")</f>
        <v/>
      </c>
      <c r="H2374" s="7" t="str">
        <f>IF(Table1[[#This Row],[Is Data Valid]]=TRUE,((Table1[[#This Row],[Birthweight (grams)]]*0.9/Table1[[#This Row],[BW_GA]])-1)/(Backend!$B$4/100*Table1[[#This Row],[BW40_3705]]),"")</f>
        <v/>
      </c>
      <c r="I2374" s="7" t="str">
        <f>IF(Table1[[#This Row],[Is Data Valid]]=TRUE,((Table1[[#This Row],[Birthweight (grams)]]*1.1/Table1[[#This Row],[BW_GA]])-1)/(Backend!$B$4/100*Table1[[#This Row],[BW40_3705]]),"")</f>
        <v/>
      </c>
      <c r="J2374" s="7" t="str">
        <f>IF(Table1[[#This Row],[Is Data Valid]]=TRUE,_xlfn.NORM.S.DIST(Table1[[#This Row],[Birthweight Z-Score]],TRUE)*100,"")</f>
        <v/>
      </c>
      <c r="K2374" s="7" t="str">
        <f>IF(Table1[[#This Row],[Is Data Valid]]=TRUE,_xlfn.NORM.S.DIST(Table1[[#This Row],[Birthweight Z-Score (BW-10%)]],TRUE)*100,"")</f>
        <v/>
      </c>
      <c r="L2374" s="7" t="str">
        <f>IF(Table1[[#This Row],[Is Data Valid]]=TRUE,_xlfn.NORM.S.DIST(Table1[[#This Row],[Birthweight Z-Score (BW+10%)]],TRUE)*100,"")</f>
        <v/>
      </c>
    </row>
    <row r="2375" spans="1:12" x14ac:dyDescent="0.35">
      <c r="A2375" s="3"/>
      <c r="B2375" s="2"/>
      <c r="C2375" s="2"/>
      <c r="D2375" s="2" t="b">
        <f>IF(AND(NOT(ISBLANK(Table1[[#This Row],[Fetal Sex (Male, Female or Unknown)]])),ISNUMBER(Table1[[#This Row],[Birthweight (grams)]]),ISNUMBER(Table1[[#This Row],[Gestation (days)]])),TRUE,FALSE)</f>
        <v>0</v>
      </c>
      <c r="E2375" s="2" t="str">
        <f>IF(Table1[[#This Row],[Is Data Valid]]=TRUE,IF(Table1[[#This Row],[Fetal Sex (Male, Female or Unknown)]]="Male",Backend!$C$6,IF(Table1[[#This Row],[Fetal Sex (Male, Female or Unknown)]]="Female",Backend!$C$7,IF(Table1[[#This Row],[Fetal Sex (Male, Female or Unknown)]]="Unknown",Backend!$C$8,"Error"))),"")</f>
        <v/>
      </c>
      <c r="F2375" s="8" t="str">
        <f>IF(Table1[[#This Row],[Is Data Valid]]=TRUE,EXP(0.578+0.332*((Table1[[#This Row],[Gestation (days)]]+0.5)/7)-0.00354*((Table1[[#This Row],[Gestation (days)]]+0.5)/7)^2)*Table1[[#This Row],[BW40_3705]],"")</f>
        <v/>
      </c>
      <c r="G2375" s="2" t="str">
        <f>IF(Table1[[#This Row],[Is Data Valid]]=TRUE,((Table1[[#This Row],[Birthweight (grams)]]/Table1[[#This Row],[BW_GA]])-1)/(Backend!$B$4/100*Table1[[#This Row],[BW40_3705]]),"")</f>
        <v/>
      </c>
      <c r="H2375" s="7" t="str">
        <f>IF(Table1[[#This Row],[Is Data Valid]]=TRUE,((Table1[[#This Row],[Birthweight (grams)]]*0.9/Table1[[#This Row],[BW_GA]])-1)/(Backend!$B$4/100*Table1[[#This Row],[BW40_3705]]),"")</f>
        <v/>
      </c>
      <c r="I2375" s="7" t="str">
        <f>IF(Table1[[#This Row],[Is Data Valid]]=TRUE,((Table1[[#This Row],[Birthweight (grams)]]*1.1/Table1[[#This Row],[BW_GA]])-1)/(Backend!$B$4/100*Table1[[#This Row],[BW40_3705]]),"")</f>
        <v/>
      </c>
      <c r="J2375" s="7" t="str">
        <f>IF(Table1[[#This Row],[Is Data Valid]]=TRUE,_xlfn.NORM.S.DIST(Table1[[#This Row],[Birthweight Z-Score]],TRUE)*100,"")</f>
        <v/>
      </c>
      <c r="K2375" s="7" t="str">
        <f>IF(Table1[[#This Row],[Is Data Valid]]=TRUE,_xlfn.NORM.S.DIST(Table1[[#This Row],[Birthweight Z-Score (BW-10%)]],TRUE)*100,"")</f>
        <v/>
      </c>
      <c r="L2375" s="7" t="str">
        <f>IF(Table1[[#This Row],[Is Data Valid]]=TRUE,_xlfn.NORM.S.DIST(Table1[[#This Row],[Birthweight Z-Score (BW+10%)]],TRUE)*100,"")</f>
        <v/>
      </c>
    </row>
    <row r="2376" spans="1:12" x14ac:dyDescent="0.35">
      <c r="A2376" s="3"/>
      <c r="B2376" s="2"/>
      <c r="C2376" s="2"/>
      <c r="D2376" s="2" t="b">
        <f>IF(AND(NOT(ISBLANK(Table1[[#This Row],[Fetal Sex (Male, Female or Unknown)]])),ISNUMBER(Table1[[#This Row],[Birthweight (grams)]]),ISNUMBER(Table1[[#This Row],[Gestation (days)]])),TRUE,FALSE)</f>
        <v>0</v>
      </c>
      <c r="E2376" s="2" t="str">
        <f>IF(Table1[[#This Row],[Is Data Valid]]=TRUE,IF(Table1[[#This Row],[Fetal Sex (Male, Female or Unknown)]]="Male",Backend!$C$6,IF(Table1[[#This Row],[Fetal Sex (Male, Female or Unknown)]]="Female",Backend!$C$7,IF(Table1[[#This Row],[Fetal Sex (Male, Female or Unknown)]]="Unknown",Backend!$C$8,"Error"))),"")</f>
        <v/>
      </c>
      <c r="F2376" s="8" t="str">
        <f>IF(Table1[[#This Row],[Is Data Valid]]=TRUE,EXP(0.578+0.332*((Table1[[#This Row],[Gestation (days)]]+0.5)/7)-0.00354*((Table1[[#This Row],[Gestation (days)]]+0.5)/7)^2)*Table1[[#This Row],[BW40_3705]],"")</f>
        <v/>
      </c>
      <c r="G2376" s="2" t="str">
        <f>IF(Table1[[#This Row],[Is Data Valid]]=TRUE,((Table1[[#This Row],[Birthweight (grams)]]/Table1[[#This Row],[BW_GA]])-1)/(Backend!$B$4/100*Table1[[#This Row],[BW40_3705]]),"")</f>
        <v/>
      </c>
      <c r="H2376" s="7" t="str">
        <f>IF(Table1[[#This Row],[Is Data Valid]]=TRUE,((Table1[[#This Row],[Birthweight (grams)]]*0.9/Table1[[#This Row],[BW_GA]])-1)/(Backend!$B$4/100*Table1[[#This Row],[BW40_3705]]),"")</f>
        <v/>
      </c>
      <c r="I2376" s="7" t="str">
        <f>IF(Table1[[#This Row],[Is Data Valid]]=TRUE,((Table1[[#This Row],[Birthweight (grams)]]*1.1/Table1[[#This Row],[BW_GA]])-1)/(Backend!$B$4/100*Table1[[#This Row],[BW40_3705]]),"")</f>
        <v/>
      </c>
      <c r="J2376" s="7" t="str">
        <f>IF(Table1[[#This Row],[Is Data Valid]]=TRUE,_xlfn.NORM.S.DIST(Table1[[#This Row],[Birthweight Z-Score]],TRUE)*100,"")</f>
        <v/>
      </c>
      <c r="K2376" s="7" t="str">
        <f>IF(Table1[[#This Row],[Is Data Valid]]=TRUE,_xlfn.NORM.S.DIST(Table1[[#This Row],[Birthweight Z-Score (BW-10%)]],TRUE)*100,"")</f>
        <v/>
      </c>
      <c r="L2376" s="7" t="str">
        <f>IF(Table1[[#This Row],[Is Data Valid]]=TRUE,_xlfn.NORM.S.DIST(Table1[[#This Row],[Birthweight Z-Score (BW+10%)]],TRUE)*100,"")</f>
        <v/>
      </c>
    </row>
    <row r="2377" spans="1:12" x14ac:dyDescent="0.35">
      <c r="A2377" s="3"/>
      <c r="B2377" s="2"/>
      <c r="C2377" s="2"/>
      <c r="D2377" s="2" t="b">
        <f>IF(AND(NOT(ISBLANK(Table1[[#This Row],[Fetal Sex (Male, Female or Unknown)]])),ISNUMBER(Table1[[#This Row],[Birthweight (grams)]]),ISNUMBER(Table1[[#This Row],[Gestation (days)]])),TRUE,FALSE)</f>
        <v>0</v>
      </c>
      <c r="E2377" s="2" t="str">
        <f>IF(Table1[[#This Row],[Is Data Valid]]=TRUE,IF(Table1[[#This Row],[Fetal Sex (Male, Female or Unknown)]]="Male",Backend!$C$6,IF(Table1[[#This Row],[Fetal Sex (Male, Female or Unknown)]]="Female",Backend!$C$7,IF(Table1[[#This Row],[Fetal Sex (Male, Female or Unknown)]]="Unknown",Backend!$C$8,"Error"))),"")</f>
        <v/>
      </c>
      <c r="F2377" s="8" t="str">
        <f>IF(Table1[[#This Row],[Is Data Valid]]=TRUE,EXP(0.578+0.332*((Table1[[#This Row],[Gestation (days)]]+0.5)/7)-0.00354*((Table1[[#This Row],[Gestation (days)]]+0.5)/7)^2)*Table1[[#This Row],[BW40_3705]],"")</f>
        <v/>
      </c>
      <c r="G2377" s="2" t="str">
        <f>IF(Table1[[#This Row],[Is Data Valid]]=TRUE,((Table1[[#This Row],[Birthweight (grams)]]/Table1[[#This Row],[BW_GA]])-1)/(Backend!$B$4/100*Table1[[#This Row],[BW40_3705]]),"")</f>
        <v/>
      </c>
      <c r="H2377" s="7" t="str">
        <f>IF(Table1[[#This Row],[Is Data Valid]]=TRUE,((Table1[[#This Row],[Birthweight (grams)]]*0.9/Table1[[#This Row],[BW_GA]])-1)/(Backend!$B$4/100*Table1[[#This Row],[BW40_3705]]),"")</f>
        <v/>
      </c>
      <c r="I2377" s="7" t="str">
        <f>IF(Table1[[#This Row],[Is Data Valid]]=TRUE,((Table1[[#This Row],[Birthweight (grams)]]*1.1/Table1[[#This Row],[BW_GA]])-1)/(Backend!$B$4/100*Table1[[#This Row],[BW40_3705]]),"")</f>
        <v/>
      </c>
      <c r="J2377" s="7" t="str">
        <f>IF(Table1[[#This Row],[Is Data Valid]]=TRUE,_xlfn.NORM.S.DIST(Table1[[#This Row],[Birthweight Z-Score]],TRUE)*100,"")</f>
        <v/>
      </c>
      <c r="K2377" s="7" t="str">
        <f>IF(Table1[[#This Row],[Is Data Valid]]=TRUE,_xlfn.NORM.S.DIST(Table1[[#This Row],[Birthweight Z-Score (BW-10%)]],TRUE)*100,"")</f>
        <v/>
      </c>
      <c r="L2377" s="7" t="str">
        <f>IF(Table1[[#This Row],[Is Data Valid]]=TRUE,_xlfn.NORM.S.DIST(Table1[[#This Row],[Birthweight Z-Score (BW+10%)]],TRUE)*100,"")</f>
        <v/>
      </c>
    </row>
    <row r="2378" spans="1:12" x14ac:dyDescent="0.35">
      <c r="A2378" s="3"/>
      <c r="B2378" s="2"/>
      <c r="C2378" s="2"/>
      <c r="D2378" s="2" t="b">
        <f>IF(AND(NOT(ISBLANK(Table1[[#This Row],[Fetal Sex (Male, Female or Unknown)]])),ISNUMBER(Table1[[#This Row],[Birthweight (grams)]]),ISNUMBER(Table1[[#This Row],[Gestation (days)]])),TRUE,FALSE)</f>
        <v>0</v>
      </c>
      <c r="E2378" s="2" t="str">
        <f>IF(Table1[[#This Row],[Is Data Valid]]=TRUE,IF(Table1[[#This Row],[Fetal Sex (Male, Female or Unknown)]]="Male",Backend!$C$6,IF(Table1[[#This Row],[Fetal Sex (Male, Female or Unknown)]]="Female",Backend!$C$7,IF(Table1[[#This Row],[Fetal Sex (Male, Female or Unknown)]]="Unknown",Backend!$C$8,"Error"))),"")</f>
        <v/>
      </c>
      <c r="F2378" s="8" t="str">
        <f>IF(Table1[[#This Row],[Is Data Valid]]=TRUE,EXP(0.578+0.332*((Table1[[#This Row],[Gestation (days)]]+0.5)/7)-0.00354*((Table1[[#This Row],[Gestation (days)]]+0.5)/7)^2)*Table1[[#This Row],[BW40_3705]],"")</f>
        <v/>
      </c>
      <c r="G2378" s="2" t="str">
        <f>IF(Table1[[#This Row],[Is Data Valid]]=TRUE,((Table1[[#This Row],[Birthweight (grams)]]/Table1[[#This Row],[BW_GA]])-1)/(Backend!$B$4/100*Table1[[#This Row],[BW40_3705]]),"")</f>
        <v/>
      </c>
      <c r="H2378" s="7" t="str">
        <f>IF(Table1[[#This Row],[Is Data Valid]]=TRUE,((Table1[[#This Row],[Birthweight (grams)]]*0.9/Table1[[#This Row],[BW_GA]])-1)/(Backend!$B$4/100*Table1[[#This Row],[BW40_3705]]),"")</f>
        <v/>
      </c>
      <c r="I2378" s="7" t="str">
        <f>IF(Table1[[#This Row],[Is Data Valid]]=TRUE,((Table1[[#This Row],[Birthweight (grams)]]*1.1/Table1[[#This Row],[BW_GA]])-1)/(Backend!$B$4/100*Table1[[#This Row],[BW40_3705]]),"")</f>
        <v/>
      </c>
      <c r="J2378" s="7" t="str">
        <f>IF(Table1[[#This Row],[Is Data Valid]]=TRUE,_xlfn.NORM.S.DIST(Table1[[#This Row],[Birthweight Z-Score]],TRUE)*100,"")</f>
        <v/>
      </c>
      <c r="K2378" s="7" t="str">
        <f>IF(Table1[[#This Row],[Is Data Valid]]=TRUE,_xlfn.NORM.S.DIST(Table1[[#This Row],[Birthweight Z-Score (BW-10%)]],TRUE)*100,"")</f>
        <v/>
      </c>
      <c r="L2378" s="7" t="str">
        <f>IF(Table1[[#This Row],[Is Data Valid]]=TRUE,_xlfn.NORM.S.DIST(Table1[[#This Row],[Birthweight Z-Score (BW+10%)]],TRUE)*100,"")</f>
        <v/>
      </c>
    </row>
    <row r="2379" spans="1:12" x14ac:dyDescent="0.35">
      <c r="A2379" s="3"/>
      <c r="B2379" s="2"/>
      <c r="C2379" s="2"/>
      <c r="D2379" s="2" t="b">
        <f>IF(AND(NOT(ISBLANK(Table1[[#This Row],[Fetal Sex (Male, Female or Unknown)]])),ISNUMBER(Table1[[#This Row],[Birthweight (grams)]]),ISNUMBER(Table1[[#This Row],[Gestation (days)]])),TRUE,FALSE)</f>
        <v>0</v>
      </c>
      <c r="E2379" s="2" t="str">
        <f>IF(Table1[[#This Row],[Is Data Valid]]=TRUE,IF(Table1[[#This Row],[Fetal Sex (Male, Female or Unknown)]]="Male",Backend!$C$6,IF(Table1[[#This Row],[Fetal Sex (Male, Female or Unknown)]]="Female",Backend!$C$7,IF(Table1[[#This Row],[Fetal Sex (Male, Female or Unknown)]]="Unknown",Backend!$C$8,"Error"))),"")</f>
        <v/>
      </c>
      <c r="F2379" s="8" t="str">
        <f>IF(Table1[[#This Row],[Is Data Valid]]=TRUE,EXP(0.578+0.332*((Table1[[#This Row],[Gestation (days)]]+0.5)/7)-0.00354*((Table1[[#This Row],[Gestation (days)]]+0.5)/7)^2)*Table1[[#This Row],[BW40_3705]],"")</f>
        <v/>
      </c>
      <c r="G2379" s="2" t="str">
        <f>IF(Table1[[#This Row],[Is Data Valid]]=TRUE,((Table1[[#This Row],[Birthweight (grams)]]/Table1[[#This Row],[BW_GA]])-1)/(Backend!$B$4/100*Table1[[#This Row],[BW40_3705]]),"")</f>
        <v/>
      </c>
      <c r="H2379" s="7" t="str">
        <f>IF(Table1[[#This Row],[Is Data Valid]]=TRUE,((Table1[[#This Row],[Birthweight (grams)]]*0.9/Table1[[#This Row],[BW_GA]])-1)/(Backend!$B$4/100*Table1[[#This Row],[BW40_3705]]),"")</f>
        <v/>
      </c>
      <c r="I2379" s="7" t="str">
        <f>IF(Table1[[#This Row],[Is Data Valid]]=TRUE,((Table1[[#This Row],[Birthweight (grams)]]*1.1/Table1[[#This Row],[BW_GA]])-1)/(Backend!$B$4/100*Table1[[#This Row],[BW40_3705]]),"")</f>
        <v/>
      </c>
      <c r="J2379" s="7" t="str">
        <f>IF(Table1[[#This Row],[Is Data Valid]]=TRUE,_xlfn.NORM.S.DIST(Table1[[#This Row],[Birthweight Z-Score]],TRUE)*100,"")</f>
        <v/>
      </c>
      <c r="K2379" s="7" t="str">
        <f>IF(Table1[[#This Row],[Is Data Valid]]=TRUE,_xlfn.NORM.S.DIST(Table1[[#This Row],[Birthweight Z-Score (BW-10%)]],TRUE)*100,"")</f>
        <v/>
      </c>
      <c r="L2379" s="7" t="str">
        <f>IF(Table1[[#This Row],[Is Data Valid]]=TRUE,_xlfn.NORM.S.DIST(Table1[[#This Row],[Birthweight Z-Score (BW+10%)]],TRUE)*100,"")</f>
        <v/>
      </c>
    </row>
    <row r="2380" spans="1:12" x14ac:dyDescent="0.35">
      <c r="A2380" s="3"/>
      <c r="B2380" s="2"/>
      <c r="C2380" s="2"/>
      <c r="D2380" s="2" t="b">
        <f>IF(AND(NOT(ISBLANK(Table1[[#This Row],[Fetal Sex (Male, Female or Unknown)]])),ISNUMBER(Table1[[#This Row],[Birthweight (grams)]]),ISNUMBER(Table1[[#This Row],[Gestation (days)]])),TRUE,FALSE)</f>
        <v>0</v>
      </c>
      <c r="E2380" s="2" t="str">
        <f>IF(Table1[[#This Row],[Is Data Valid]]=TRUE,IF(Table1[[#This Row],[Fetal Sex (Male, Female or Unknown)]]="Male",Backend!$C$6,IF(Table1[[#This Row],[Fetal Sex (Male, Female or Unknown)]]="Female",Backend!$C$7,IF(Table1[[#This Row],[Fetal Sex (Male, Female or Unknown)]]="Unknown",Backend!$C$8,"Error"))),"")</f>
        <v/>
      </c>
      <c r="F2380" s="8" t="str">
        <f>IF(Table1[[#This Row],[Is Data Valid]]=TRUE,EXP(0.578+0.332*((Table1[[#This Row],[Gestation (days)]]+0.5)/7)-0.00354*((Table1[[#This Row],[Gestation (days)]]+0.5)/7)^2)*Table1[[#This Row],[BW40_3705]],"")</f>
        <v/>
      </c>
      <c r="G2380" s="2" t="str">
        <f>IF(Table1[[#This Row],[Is Data Valid]]=TRUE,((Table1[[#This Row],[Birthweight (grams)]]/Table1[[#This Row],[BW_GA]])-1)/(Backend!$B$4/100*Table1[[#This Row],[BW40_3705]]),"")</f>
        <v/>
      </c>
      <c r="H2380" s="7" t="str">
        <f>IF(Table1[[#This Row],[Is Data Valid]]=TRUE,((Table1[[#This Row],[Birthweight (grams)]]*0.9/Table1[[#This Row],[BW_GA]])-1)/(Backend!$B$4/100*Table1[[#This Row],[BW40_3705]]),"")</f>
        <v/>
      </c>
      <c r="I2380" s="7" t="str">
        <f>IF(Table1[[#This Row],[Is Data Valid]]=TRUE,((Table1[[#This Row],[Birthweight (grams)]]*1.1/Table1[[#This Row],[BW_GA]])-1)/(Backend!$B$4/100*Table1[[#This Row],[BW40_3705]]),"")</f>
        <v/>
      </c>
      <c r="J2380" s="7" t="str">
        <f>IF(Table1[[#This Row],[Is Data Valid]]=TRUE,_xlfn.NORM.S.DIST(Table1[[#This Row],[Birthweight Z-Score]],TRUE)*100,"")</f>
        <v/>
      </c>
      <c r="K2380" s="7" t="str">
        <f>IF(Table1[[#This Row],[Is Data Valid]]=TRUE,_xlfn.NORM.S.DIST(Table1[[#This Row],[Birthweight Z-Score (BW-10%)]],TRUE)*100,"")</f>
        <v/>
      </c>
      <c r="L2380" s="7" t="str">
        <f>IF(Table1[[#This Row],[Is Data Valid]]=TRUE,_xlfn.NORM.S.DIST(Table1[[#This Row],[Birthweight Z-Score (BW+10%)]],TRUE)*100,"")</f>
        <v/>
      </c>
    </row>
    <row r="2381" spans="1:12" x14ac:dyDescent="0.35">
      <c r="A2381" s="3"/>
      <c r="B2381" s="2"/>
      <c r="C2381" s="2"/>
      <c r="D2381" s="2" t="b">
        <f>IF(AND(NOT(ISBLANK(Table1[[#This Row],[Fetal Sex (Male, Female or Unknown)]])),ISNUMBER(Table1[[#This Row],[Birthweight (grams)]]),ISNUMBER(Table1[[#This Row],[Gestation (days)]])),TRUE,FALSE)</f>
        <v>0</v>
      </c>
      <c r="E2381" s="2" t="str">
        <f>IF(Table1[[#This Row],[Is Data Valid]]=TRUE,IF(Table1[[#This Row],[Fetal Sex (Male, Female or Unknown)]]="Male",Backend!$C$6,IF(Table1[[#This Row],[Fetal Sex (Male, Female or Unknown)]]="Female",Backend!$C$7,IF(Table1[[#This Row],[Fetal Sex (Male, Female or Unknown)]]="Unknown",Backend!$C$8,"Error"))),"")</f>
        <v/>
      </c>
      <c r="F2381" s="8" t="str">
        <f>IF(Table1[[#This Row],[Is Data Valid]]=TRUE,EXP(0.578+0.332*((Table1[[#This Row],[Gestation (days)]]+0.5)/7)-0.00354*((Table1[[#This Row],[Gestation (days)]]+0.5)/7)^2)*Table1[[#This Row],[BW40_3705]],"")</f>
        <v/>
      </c>
      <c r="G2381" s="2" t="str">
        <f>IF(Table1[[#This Row],[Is Data Valid]]=TRUE,((Table1[[#This Row],[Birthweight (grams)]]/Table1[[#This Row],[BW_GA]])-1)/(Backend!$B$4/100*Table1[[#This Row],[BW40_3705]]),"")</f>
        <v/>
      </c>
      <c r="H2381" s="7" t="str">
        <f>IF(Table1[[#This Row],[Is Data Valid]]=TRUE,((Table1[[#This Row],[Birthweight (grams)]]*0.9/Table1[[#This Row],[BW_GA]])-1)/(Backend!$B$4/100*Table1[[#This Row],[BW40_3705]]),"")</f>
        <v/>
      </c>
      <c r="I2381" s="7" t="str">
        <f>IF(Table1[[#This Row],[Is Data Valid]]=TRUE,((Table1[[#This Row],[Birthweight (grams)]]*1.1/Table1[[#This Row],[BW_GA]])-1)/(Backend!$B$4/100*Table1[[#This Row],[BW40_3705]]),"")</f>
        <v/>
      </c>
      <c r="J2381" s="7" t="str">
        <f>IF(Table1[[#This Row],[Is Data Valid]]=TRUE,_xlfn.NORM.S.DIST(Table1[[#This Row],[Birthweight Z-Score]],TRUE)*100,"")</f>
        <v/>
      </c>
      <c r="K2381" s="7" t="str">
        <f>IF(Table1[[#This Row],[Is Data Valid]]=TRUE,_xlfn.NORM.S.DIST(Table1[[#This Row],[Birthweight Z-Score (BW-10%)]],TRUE)*100,"")</f>
        <v/>
      </c>
      <c r="L2381" s="7" t="str">
        <f>IF(Table1[[#This Row],[Is Data Valid]]=TRUE,_xlfn.NORM.S.DIST(Table1[[#This Row],[Birthweight Z-Score (BW+10%)]],TRUE)*100,"")</f>
        <v/>
      </c>
    </row>
    <row r="2382" spans="1:12" x14ac:dyDescent="0.35">
      <c r="A2382" s="3"/>
      <c r="B2382" s="2"/>
      <c r="C2382" s="2"/>
      <c r="D2382" s="2" t="b">
        <f>IF(AND(NOT(ISBLANK(Table1[[#This Row],[Fetal Sex (Male, Female or Unknown)]])),ISNUMBER(Table1[[#This Row],[Birthweight (grams)]]),ISNUMBER(Table1[[#This Row],[Gestation (days)]])),TRUE,FALSE)</f>
        <v>0</v>
      </c>
      <c r="E2382" s="2" t="str">
        <f>IF(Table1[[#This Row],[Is Data Valid]]=TRUE,IF(Table1[[#This Row],[Fetal Sex (Male, Female or Unknown)]]="Male",Backend!$C$6,IF(Table1[[#This Row],[Fetal Sex (Male, Female or Unknown)]]="Female",Backend!$C$7,IF(Table1[[#This Row],[Fetal Sex (Male, Female or Unknown)]]="Unknown",Backend!$C$8,"Error"))),"")</f>
        <v/>
      </c>
      <c r="F2382" s="8" t="str">
        <f>IF(Table1[[#This Row],[Is Data Valid]]=TRUE,EXP(0.578+0.332*((Table1[[#This Row],[Gestation (days)]]+0.5)/7)-0.00354*((Table1[[#This Row],[Gestation (days)]]+0.5)/7)^2)*Table1[[#This Row],[BW40_3705]],"")</f>
        <v/>
      </c>
      <c r="G2382" s="2" t="str">
        <f>IF(Table1[[#This Row],[Is Data Valid]]=TRUE,((Table1[[#This Row],[Birthweight (grams)]]/Table1[[#This Row],[BW_GA]])-1)/(Backend!$B$4/100*Table1[[#This Row],[BW40_3705]]),"")</f>
        <v/>
      </c>
      <c r="H2382" s="7" t="str">
        <f>IF(Table1[[#This Row],[Is Data Valid]]=TRUE,((Table1[[#This Row],[Birthweight (grams)]]*0.9/Table1[[#This Row],[BW_GA]])-1)/(Backend!$B$4/100*Table1[[#This Row],[BW40_3705]]),"")</f>
        <v/>
      </c>
      <c r="I2382" s="7" t="str">
        <f>IF(Table1[[#This Row],[Is Data Valid]]=TRUE,((Table1[[#This Row],[Birthweight (grams)]]*1.1/Table1[[#This Row],[BW_GA]])-1)/(Backend!$B$4/100*Table1[[#This Row],[BW40_3705]]),"")</f>
        <v/>
      </c>
      <c r="J2382" s="7" t="str">
        <f>IF(Table1[[#This Row],[Is Data Valid]]=TRUE,_xlfn.NORM.S.DIST(Table1[[#This Row],[Birthweight Z-Score]],TRUE)*100,"")</f>
        <v/>
      </c>
      <c r="K2382" s="7" t="str">
        <f>IF(Table1[[#This Row],[Is Data Valid]]=TRUE,_xlfn.NORM.S.DIST(Table1[[#This Row],[Birthweight Z-Score (BW-10%)]],TRUE)*100,"")</f>
        <v/>
      </c>
      <c r="L2382" s="7" t="str">
        <f>IF(Table1[[#This Row],[Is Data Valid]]=TRUE,_xlfn.NORM.S.DIST(Table1[[#This Row],[Birthweight Z-Score (BW+10%)]],TRUE)*100,"")</f>
        <v/>
      </c>
    </row>
    <row r="2383" spans="1:12" x14ac:dyDescent="0.35">
      <c r="A2383" s="3"/>
      <c r="B2383" s="2"/>
      <c r="C2383" s="2"/>
      <c r="D2383" s="2" t="b">
        <f>IF(AND(NOT(ISBLANK(Table1[[#This Row],[Fetal Sex (Male, Female or Unknown)]])),ISNUMBER(Table1[[#This Row],[Birthweight (grams)]]),ISNUMBER(Table1[[#This Row],[Gestation (days)]])),TRUE,FALSE)</f>
        <v>0</v>
      </c>
      <c r="E2383" s="2" t="str">
        <f>IF(Table1[[#This Row],[Is Data Valid]]=TRUE,IF(Table1[[#This Row],[Fetal Sex (Male, Female or Unknown)]]="Male",Backend!$C$6,IF(Table1[[#This Row],[Fetal Sex (Male, Female or Unknown)]]="Female",Backend!$C$7,IF(Table1[[#This Row],[Fetal Sex (Male, Female or Unknown)]]="Unknown",Backend!$C$8,"Error"))),"")</f>
        <v/>
      </c>
      <c r="F2383" s="8" t="str">
        <f>IF(Table1[[#This Row],[Is Data Valid]]=TRUE,EXP(0.578+0.332*((Table1[[#This Row],[Gestation (days)]]+0.5)/7)-0.00354*((Table1[[#This Row],[Gestation (days)]]+0.5)/7)^2)*Table1[[#This Row],[BW40_3705]],"")</f>
        <v/>
      </c>
      <c r="G2383" s="2" t="str">
        <f>IF(Table1[[#This Row],[Is Data Valid]]=TRUE,((Table1[[#This Row],[Birthweight (grams)]]/Table1[[#This Row],[BW_GA]])-1)/(Backend!$B$4/100*Table1[[#This Row],[BW40_3705]]),"")</f>
        <v/>
      </c>
      <c r="H2383" s="7" t="str">
        <f>IF(Table1[[#This Row],[Is Data Valid]]=TRUE,((Table1[[#This Row],[Birthweight (grams)]]*0.9/Table1[[#This Row],[BW_GA]])-1)/(Backend!$B$4/100*Table1[[#This Row],[BW40_3705]]),"")</f>
        <v/>
      </c>
      <c r="I2383" s="7" t="str">
        <f>IF(Table1[[#This Row],[Is Data Valid]]=TRUE,((Table1[[#This Row],[Birthweight (grams)]]*1.1/Table1[[#This Row],[BW_GA]])-1)/(Backend!$B$4/100*Table1[[#This Row],[BW40_3705]]),"")</f>
        <v/>
      </c>
      <c r="J2383" s="7" t="str">
        <f>IF(Table1[[#This Row],[Is Data Valid]]=TRUE,_xlfn.NORM.S.DIST(Table1[[#This Row],[Birthweight Z-Score]],TRUE)*100,"")</f>
        <v/>
      </c>
      <c r="K2383" s="7" t="str">
        <f>IF(Table1[[#This Row],[Is Data Valid]]=TRUE,_xlfn.NORM.S.DIST(Table1[[#This Row],[Birthweight Z-Score (BW-10%)]],TRUE)*100,"")</f>
        <v/>
      </c>
      <c r="L2383" s="7" t="str">
        <f>IF(Table1[[#This Row],[Is Data Valid]]=TRUE,_xlfn.NORM.S.DIST(Table1[[#This Row],[Birthweight Z-Score (BW+10%)]],TRUE)*100,"")</f>
        <v/>
      </c>
    </row>
    <row r="2384" spans="1:12" x14ac:dyDescent="0.35">
      <c r="A2384" s="3"/>
      <c r="B2384" s="2"/>
      <c r="C2384" s="2"/>
      <c r="D2384" s="2" t="b">
        <f>IF(AND(NOT(ISBLANK(Table1[[#This Row],[Fetal Sex (Male, Female or Unknown)]])),ISNUMBER(Table1[[#This Row],[Birthweight (grams)]]),ISNUMBER(Table1[[#This Row],[Gestation (days)]])),TRUE,FALSE)</f>
        <v>0</v>
      </c>
      <c r="E2384" s="2" t="str">
        <f>IF(Table1[[#This Row],[Is Data Valid]]=TRUE,IF(Table1[[#This Row],[Fetal Sex (Male, Female or Unknown)]]="Male",Backend!$C$6,IF(Table1[[#This Row],[Fetal Sex (Male, Female or Unknown)]]="Female",Backend!$C$7,IF(Table1[[#This Row],[Fetal Sex (Male, Female or Unknown)]]="Unknown",Backend!$C$8,"Error"))),"")</f>
        <v/>
      </c>
      <c r="F2384" s="8" t="str">
        <f>IF(Table1[[#This Row],[Is Data Valid]]=TRUE,EXP(0.578+0.332*((Table1[[#This Row],[Gestation (days)]]+0.5)/7)-0.00354*((Table1[[#This Row],[Gestation (days)]]+0.5)/7)^2)*Table1[[#This Row],[BW40_3705]],"")</f>
        <v/>
      </c>
      <c r="G2384" s="2" t="str">
        <f>IF(Table1[[#This Row],[Is Data Valid]]=TRUE,((Table1[[#This Row],[Birthweight (grams)]]/Table1[[#This Row],[BW_GA]])-1)/(Backend!$B$4/100*Table1[[#This Row],[BW40_3705]]),"")</f>
        <v/>
      </c>
      <c r="H2384" s="7" t="str">
        <f>IF(Table1[[#This Row],[Is Data Valid]]=TRUE,((Table1[[#This Row],[Birthweight (grams)]]*0.9/Table1[[#This Row],[BW_GA]])-1)/(Backend!$B$4/100*Table1[[#This Row],[BW40_3705]]),"")</f>
        <v/>
      </c>
      <c r="I2384" s="7" t="str">
        <f>IF(Table1[[#This Row],[Is Data Valid]]=TRUE,((Table1[[#This Row],[Birthweight (grams)]]*1.1/Table1[[#This Row],[BW_GA]])-1)/(Backend!$B$4/100*Table1[[#This Row],[BW40_3705]]),"")</f>
        <v/>
      </c>
      <c r="J2384" s="7" t="str">
        <f>IF(Table1[[#This Row],[Is Data Valid]]=TRUE,_xlfn.NORM.S.DIST(Table1[[#This Row],[Birthweight Z-Score]],TRUE)*100,"")</f>
        <v/>
      </c>
      <c r="K2384" s="7" t="str">
        <f>IF(Table1[[#This Row],[Is Data Valid]]=TRUE,_xlfn.NORM.S.DIST(Table1[[#This Row],[Birthweight Z-Score (BW-10%)]],TRUE)*100,"")</f>
        <v/>
      </c>
      <c r="L2384" s="7" t="str">
        <f>IF(Table1[[#This Row],[Is Data Valid]]=TRUE,_xlfn.NORM.S.DIST(Table1[[#This Row],[Birthweight Z-Score (BW+10%)]],TRUE)*100,"")</f>
        <v/>
      </c>
    </row>
    <row r="2385" spans="1:12" x14ac:dyDescent="0.35">
      <c r="A2385" s="3"/>
      <c r="B2385" s="2"/>
      <c r="C2385" s="2"/>
      <c r="D2385" s="2" t="b">
        <f>IF(AND(NOT(ISBLANK(Table1[[#This Row],[Fetal Sex (Male, Female or Unknown)]])),ISNUMBER(Table1[[#This Row],[Birthweight (grams)]]),ISNUMBER(Table1[[#This Row],[Gestation (days)]])),TRUE,FALSE)</f>
        <v>0</v>
      </c>
      <c r="E2385" s="2" t="str">
        <f>IF(Table1[[#This Row],[Is Data Valid]]=TRUE,IF(Table1[[#This Row],[Fetal Sex (Male, Female or Unknown)]]="Male",Backend!$C$6,IF(Table1[[#This Row],[Fetal Sex (Male, Female or Unknown)]]="Female",Backend!$C$7,IF(Table1[[#This Row],[Fetal Sex (Male, Female or Unknown)]]="Unknown",Backend!$C$8,"Error"))),"")</f>
        <v/>
      </c>
      <c r="F2385" s="8" t="str">
        <f>IF(Table1[[#This Row],[Is Data Valid]]=TRUE,EXP(0.578+0.332*((Table1[[#This Row],[Gestation (days)]]+0.5)/7)-0.00354*((Table1[[#This Row],[Gestation (days)]]+0.5)/7)^2)*Table1[[#This Row],[BW40_3705]],"")</f>
        <v/>
      </c>
      <c r="G2385" s="2" t="str">
        <f>IF(Table1[[#This Row],[Is Data Valid]]=TRUE,((Table1[[#This Row],[Birthweight (grams)]]/Table1[[#This Row],[BW_GA]])-1)/(Backend!$B$4/100*Table1[[#This Row],[BW40_3705]]),"")</f>
        <v/>
      </c>
      <c r="H2385" s="7" t="str">
        <f>IF(Table1[[#This Row],[Is Data Valid]]=TRUE,((Table1[[#This Row],[Birthweight (grams)]]*0.9/Table1[[#This Row],[BW_GA]])-1)/(Backend!$B$4/100*Table1[[#This Row],[BW40_3705]]),"")</f>
        <v/>
      </c>
      <c r="I2385" s="7" t="str">
        <f>IF(Table1[[#This Row],[Is Data Valid]]=TRUE,((Table1[[#This Row],[Birthweight (grams)]]*1.1/Table1[[#This Row],[BW_GA]])-1)/(Backend!$B$4/100*Table1[[#This Row],[BW40_3705]]),"")</f>
        <v/>
      </c>
      <c r="J2385" s="7" t="str">
        <f>IF(Table1[[#This Row],[Is Data Valid]]=TRUE,_xlfn.NORM.S.DIST(Table1[[#This Row],[Birthweight Z-Score]],TRUE)*100,"")</f>
        <v/>
      </c>
      <c r="K2385" s="7" t="str">
        <f>IF(Table1[[#This Row],[Is Data Valid]]=TRUE,_xlfn.NORM.S.DIST(Table1[[#This Row],[Birthweight Z-Score (BW-10%)]],TRUE)*100,"")</f>
        <v/>
      </c>
      <c r="L2385" s="7" t="str">
        <f>IF(Table1[[#This Row],[Is Data Valid]]=TRUE,_xlfn.NORM.S.DIST(Table1[[#This Row],[Birthweight Z-Score (BW+10%)]],TRUE)*100,"")</f>
        <v/>
      </c>
    </row>
    <row r="2386" spans="1:12" x14ac:dyDescent="0.35">
      <c r="A2386" s="3"/>
      <c r="B2386" s="2"/>
      <c r="C2386" s="2"/>
      <c r="D2386" s="2" t="b">
        <f>IF(AND(NOT(ISBLANK(Table1[[#This Row],[Fetal Sex (Male, Female or Unknown)]])),ISNUMBER(Table1[[#This Row],[Birthweight (grams)]]),ISNUMBER(Table1[[#This Row],[Gestation (days)]])),TRUE,FALSE)</f>
        <v>0</v>
      </c>
      <c r="E2386" s="2" t="str">
        <f>IF(Table1[[#This Row],[Is Data Valid]]=TRUE,IF(Table1[[#This Row],[Fetal Sex (Male, Female or Unknown)]]="Male",Backend!$C$6,IF(Table1[[#This Row],[Fetal Sex (Male, Female or Unknown)]]="Female",Backend!$C$7,IF(Table1[[#This Row],[Fetal Sex (Male, Female or Unknown)]]="Unknown",Backend!$C$8,"Error"))),"")</f>
        <v/>
      </c>
      <c r="F2386" s="8" t="str">
        <f>IF(Table1[[#This Row],[Is Data Valid]]=TRUE,EXP(0.578+0.332*((Table1[[#This Row],[Gestation (days)]]+0.5)/7)-0.00354*((Table1[[#This Row],[Gestation (days)]]+0.5)/7)^2)*Table1[[#This Row],[BW40_3705]],"")</f>
        <v/>
      </c>
      <c r="G2386" s="2" t="str">
        <f>IF(Table1[[#This Row],[Is Data Valid]]=TRUE,((Table1[[#This Row],[Birthweight (grams)]]/Table1[[#This Row],[BW_GA]])-1)/(Backend!$B$4/100*Table1[[#This Row],[BW40_3705]]),"")</f>
        <v/>
      </c>
      <c r="H2386" s="7" t="str">
        <f>IF(Table1[[#This Row],[Is Data Valid]]=TRUE,((Table1[[#This Row],[Birthweight (grams)]]*0.9/Table1[[#This Row],[BW_GA]])-1)/(Backend!$B$4/100*Table1[[#This Row],[BW40_3705]]),"")</f>
        <v/>
      </c>
      <c r="I2386" s="7" t="str">
        <f>IF(Table1[[#This Row],[Is Data Valid]]=TRUE,((Table1[[#This Row],[Birthweight (grams)]]*1.1/Table1[[#This Row],[BW_GA]])-1)/(Backend!$B$4/100*Table1[[#This Row],[BW40_3705]]),"")</f>
        <v/>
      </c>
      <c r="J2386" s="7" t="str">
        <f>IF(Table1[[#This Row],[Is Data Valid]]=TRUE,_xlfn.NORM.S.DIST(Table1[[#This Row],[Birthweight Z-Score]],TRUE)*100,"")</f>
        <v/>
      </c>
      <c r="K2386" s="7" t="str">
        <f>IF(Table1[[#This Row],[Is Data Valid]]=TRUE,_xlfn.NORM.S.DIST(Table1[[#This Row],[Birthweight Z-Score (BW-10%)]],TRUE)*100,"")</f>
        <v/>
      </c>
      <c r="L2386" s="7" t="str">
        <f>IF(Table1[[#This Row],[Is Data Valid]]=TRUE,_xlfn.NORM.S.DIST(Table1[[#This Row],[Birthweight Z-Score (BW+10%)]],TRUE)*100,"")</f>
        <v/>
      </c>
    </row>
    <row r="2387" spans="1:12" x14ac:dyDescent="0.35">
      <c r="A2387" s="3"/>
      <c r="B2387" s="2"/>
      <c r="C2387" s="2"/>
      <c r="D2387" s="2" t="b">
        <f>IF(AND(NOT(ISBLANK(Table1[[#This Row],[Fetal Sex (Male, Female or Unknown)]])),ISNUMBER(Table1[[#This Row],[Birthweight (grams)]]),ISNUMBER(Table1[[#This Row],[Gestation (days)]])),TRUE,FALSE)</f>
        <v>0</v>
      </c>
      <c r="E2387" s="2" t="str">
        <f>IF(Table1[[#This Row],[Is Data Valid]]=TRUE,IF(Table1[[#This Row],[Fetal Sex (Male, Female or Unknown)]]="Male",Backend!$C$6,IF(Table1[[#This Row],[Fetal Sex (Male, Female or Unknown)]]="Female",Backend!$C$7,IF(Table1[[#This Row],[Fetal Sex (Male, Female or Unknown)]]="Unknown",Backend!$C$8,"Error"))),"")</f>
        <v/>
      </c>
      <c r="F2387" s="8" t="str">
        <f>IF(Table1[[#This Row],[Is Data Valid]]=TRUE,EXP(0.578+0.332*((Table1[[#This Row],[Gestation (days)]]+0.5)/7)-0.00354*((Table1[[#This Row],[Gestation (days)]]+0.5)/7)^2)*Table1[[#This Row],[BW40_3705]],"")</f>
        <v/>
      </c>
      <c r="G2387" s="2" t="str">
        <f>IF(Table1[[#This Row],[Is Data Valid]]=TRUE,((Table1[[#This Row],[Birthweight (grams)]]/Table1[[#This Row],[BW_GA]])-1)/(Backend!$B$4/100*Table1[[#This Row],[BW40_3705]]),"")</f>
        <v/>
      </c>
      <c r="H2387" s="7" t="str">
        <f>IF(Table1[[#This Row],[Is Data Valid]]=TRUE,((Table1[[#This Row],[Birthweight (grams)]]*0.9/Table1[[#This Row],[BW_GA]])-1)/(Backend!$B$4/100*Table1[[#This Row],[BW40_3705]]),"")</f>
        <v/>
      </c>
      <c r="I2387" s="7" t="str">
        <f>IF(Table1[[#This Row],[Is Data Valid]]=TRUE,((Table1[[#This Row],[Birthweight (grams)]]*1.1/Table1[[#This Row],[BW_GA]])-1)/(Backend!$B$4/100*Table1[[#This Row],[BW40_3705]]),"")</f>
        <v/>
      </c>
      <c r="J2387" s="7" t="str">
        <f>IF(Table1[[#This Row],[Is Data Valid]]=TRUE,_xlfn.NORM.S.DIST(Table1[[#This Row],[Birthweight Z-Score]],TRUE)*100,"")</f>
        <v/>
      </c>
      <c r="K2387" s="7" t="str">
        <f>IF(Table1[[#This Row],[Is Data Valid]]=TRUE,_xlfn.NORM.S.DIST(Table1[[#This Row],[Birthweight Z-Score (BW-10%)]],TRUE)*100,"")</f>
        <v/>
      </c>
      <c r="L2387" s="7" t="str">
        <f>IF(Table1[[#This Row],[Is Data Valid]]=TRUE,_xlfn.NORM.S.DIST(Table1[[#This Row],[Birthweight Z-Score (BW+10%)]],TRUE)*100,"")</f>
        <v/>
      </c>
    </row>
    <row r="2388" spans="1:12" x14ac:dyDescent="0.35">
      <c r="A2388" s="3"/>
      <c r="B2388" s="2"/>
      <c r="C2388" s="2"/>
      <c r="D2388" s="2" t="b">
        <f>IF(AND(NOT(ISBLANK(Table1[[#This Row],[Fetal Sex (Male, Female or Unknown)]])),ISNUMBER(Table1[[#This Row],[Birthweight (grams)]]),ISNUMBER(Table1[[#This Row],[Gestation (days)]])),TRUE,FALSE)</f>
        <v>0</v>
      </c>
      <c r="E2388" s="2" t="str">
        <f>IF(Table1[[#This Row],[Is Data Valid]]=TRUE,IF(Table1[[#This Row],[Fetal Sex (Male, Female or Unknown)]]="Male",Backend!$C$6,IF(Table1[[#This Row],[Fetal Sex (Male, Female or Unknown)]]="Female",Backend!$C$7,IF(Table1[[#This Row],[Fetal Sex (Male, Female or Unknown)]]="Unknown",Backend!$C$8,"Error"))),"")</f>
        <v/>
      </c>
      <c r="F2388" s="8" t="str">
        <f>IF(Table1[[#This Row],[Is Data Valid]]=TRUE,EXP(0.578+0.332*((Table1[[#This Row],[Gestation (days)]]+0.5)/7)-0.00354*((Table1[[#This Row],[Gestation (days)]]+0.5)/7)^2)*Table1[[#This Row],[BW40_3705]],"")</f>
        <v/>
      </c>
      <c r="G2388" s="2" t="str">
        <f>IF(Table1[[#This Row],[Is Data Valid]]=TRUE,((Table1[[#This Row],[Birthweight (grams)]]/Table1[[#This Row],[BW_GA]])-1)/(Backend!$B$4/100*Table1[[#This Row],[BW40_3705]]),"")</f>
        <v/>
      </c>
      <c r="H2388" s="7" t="str">
        <f>IF(Table1[[#This Row],[Is Data Valid]]=TRUE,((Table1[[#This Row],[Birthweight (grams)]]*0.9/Table1[[#This Row],[BW_GA]])-1)/(Backend!$B$4/100*Table1[[#This Row],[BW40_3705]]),"")</f>
        <v/>
      </c>
      <c r="I2388" s="7" t="str">
        <f>IF(Table1[[#This Row],[Is Data Valid]]=TRUE,((Table1[[#This Row],[Birthweight (grams)]]*1.1/Table1[[#This Row],[BW_GA]])-1)/(Backend!$B$4/100*Table1[[#This Row],[BW40_3705]]),"")</f>
        <v/>
      </c>
      <c r="J2388" s="7" t="str">
        <f>IF(Table1[[#This Row],[Is Data Valid]]=TRUE,_xlfn.NORM.S.DIST(Table1[[#This Row],[Birthweight Z-Score]],TRUE)*100,"")</f>
        <v/>
      </c>
      <c r="K2388" s="7" t="str">
        <f>IF(Table1[[#This Row],[Is Data Valid]]=TRUE,_xlfn.NORM.S.DIST(Table1[[#This Row],[Birthweight Z-Score (BW-10%)]],TRUE)*100,"")</f>
        <v/>
      </c>
      <c r="L2388" s="7" t="str">
        <f>IF(Table1[[#This Row],[Is Data Valid]]=TRUE,_xlfn.NORM.S.DIST(Table1[[#This Row],[Birthweight Z-Score (BW+10%)]],TRUE)*100,"")</f>
        <v/>
      </c>
    </row>
    <row r="2389" spans="1:12" x14ac:dyDescent="0.35">
      <c r="A2389" s="3"/>
      <c r="B2389" s="2"/>
      <c r="C2389" s="2"/>
      <c r="D2389" s="2" t="b">
        <f>IF(AND(NOT(ISBLANK(Table1[[#This Row],[Fetal Sex (Male, Female or Unknown)]])),ISNUMBER(Table1[[#This Row],[Birthweight (grams)]]),ISNUMBER(Table1[[#This Row],[Gestation (days)]])),TRUE,FALSE)</f>
        <v>0</v>
      </c>
      <c r="E2389" s="2" t="str">
        <f>IF(Table1[[#This Row],[Is Data Valid]]=TRUE,IF(Table1[[#This Row],[Fetal Sex (Male, Female or Unknown)]]="Male",Backend!$C$6,IF(Table1[[#This Row],[Fetal Sex (Male, Female or Unknown)]]="Female",Backend!$C$7,IF(Table1[[#This Row],[Fetal Sex (Male, Female or Unknown)]]="Unknown",Backend!$C$8,"Error"))),"")</f>
        <v/>
      </c>
      <c r="F2389" s="8" t="str">
        <f>IF(Table1[[#This Row],[Is Data Valid]]=TRUE,EXP(0.578+0.332*((Table1[[#This Row],[Gestation (days)]]+0.5)/7)-0.00354*((Table1[[#This Row],[Gestation (days)]]+0.5)/7)^2)*Table1[[#This Row],[BW40_3705]],"")</f>
        <v/>
      </c>
      <c r="G2389" s="2" t="str">
        <f>IF(Table1[[#This Row],[Is Data Valid]]=TRUE,((Table1[[#This Row],[Birthweight (grams)]]/Table1[[#This Row],[BW_GA]])-1)/(Backend!$B$4/100*Table1[[#This Row],[BW40_3705]]),"")</f>
        <v/>
      </c>
      <c r="H2389" s="7" t="str">
        <f>IF(Table1[[#This Row],[Is Data Valid]]=TRUE,((Table1[[#This Row],[Birthweight (grams)]]*0.9/Table1[[#This Row],[BW_GA]])-1)/(Backend!$B$4/100*Table1[[#This Row],[BW40_3705]]),"")</f>
        <v/>
      </c>
      <c r="I2389" s="7" t="str">
        <f>IF(Table1[[#This Row],[Is Data Valid]]=TRUE,((Table1[[#This Row],[Birthweight (grams)]]*1.1/Table1[[#This Row],[BW_GA]])-1)/(Backend!$B$4/100*Table1[[#This Row],[BW40_3705]]),"")</f>
        <v/>
      </c>
      <c r="J2389" s="7" t="str">
        <f>IF(Table1[[#This Row],[Is Data Valid]]=TRUE,_xlfn.NORM.S.DIST(Table1[[#This Row],[Birthweight Z-Score]],TRUE)*100,"")</f>
        <v/>
      </c>
      <c r="K2389" s="7" t="str">
        <f>IF(Table1[[#This Row],[Is Data Valid]]=TRUE,_xlfn.NORM.S.DIST(Table1[[#This Row],[Birthweight Z-Score (BW-10%)]],TRUE)*100,"")</f>
        <v/>
      </c>
      <c r="L2389" s="7" t="str">
        <f>IF(Table1[[#This Row],[Is Data Valid]]=TRUE,_xlfn.NORM.S.DIST(Table1[[#This Row],[Birthweight Z-Score (BW+10%)]],TRUE)*100,"")</f>
        <v/>
      </c>
    </row>
    <row r="2390" spans="1:12" x14ac:dyDescent="0.35">
      <c r="A2390" s="3"/>
      <c r="B2390" s="2"/>
      <c r="C2390" s="2"/>
      <c r="D2390" s="2" t="b">
        <f>IF(AND(NOT(ISBLANK(Table1[[#This Row],[Fetal Sex (Male, Female or Unknown)]])),ISNUMBER(Table1[[#This Row],[Birthweight (grams)]]),ISNUMBER(Table1[[#This Row],[Gestation (days)]])),TRUE,FALSE)</f>
        <v>0</v>
      </c>
      <c r="E2390" s="2" t="str">
        <f>IF(Table1[[#This Row],[Is Data Valid]]=TRUE,IF(Table1[[#This Row],[Fetal Sex (Male, Female or Unknown)]]="Male",Backend!$C$6,IF(Table1[[#This Row],[Fetal Sex (Male, Female or Unknown)]]="Female",Backend!$C$7,IF(Table1[[#This Row],[Fetal Sex (Male, Female or Unknown)]]="Unknown",Backend!$C$8,"Error"))),"")</f>
        <v/>
      </c>
      <c r="F2390" s="8" t="str">
        <f>IF(Table1[[#This Row],[Is Data Valid]]=TRUE,EXP(0.578+0.332*((Table1[[#This Row],[Gestation (days)]]+0.5)/7)-0.00354*((Table1[[#This Row],[Gestation (days)]]+0.5)/7)^2)*Table1[[#This Row],[BW40_3705]],"")</f>
        <v/>
      </c>
      <c r="G2390" s="2" t="str">
        <f>IF(Table1[[#This Row],[Is Data Valid]]=TRUE,((Table1[[#This Row],[Birthweight (grams)]]/Table1[[#This Row],[BW_GA]])-1)/(Backend!$B$4/100*Table1[[#This Row],[BW40_3705]]),"")</f>
        <v/>
      </c>
      <c r="H2390" s="7" t="str">
        <f>IF(Table1[[#This Row],[Is Data Valid]]=TRUE,((Table1[[#This Row],[Birthweight (grams)]]*0.9/Table1[[#This Row],[BW_GA]])-1)/(Backend!$B$4/100*Table1[[#This Row],[BW40_3705]]),"")</f>
        <v/>
      </c>
      <c r="I2390" s="7" t="str">
        <f>IF(Table1[[#This Row],[Is Data Valid]]=TRUE,((Table1[[#This Row],[Birthweight (grams)]]*1.1/Table1[[#This Row],[BW_GA]])-1)/(Backend!$B$4/100*Table1[[#This Row],[BW40_3705]]),"")</f>
        <v/>
      </c>
      <c r="J2390" s="7" t="str">
        <f>IF(Table1[[#This Row],[Is Data Valid]]=TRUE,_xlfn.NORM.S.DIST(Table1[[#This Row],[Birthweight Z-Score]],TRUE)*100,"")</f>
        <v/>
      </c>
      <c r="K2390" s="7" t="str">
        <f>IF(Table1[[#This Row],[Is Data Valid]]=TRUE,_xlfn.NORM.S.DIST(Table1[[#This Row],[Birthweight Z-Score (BW-10%)]],TRUE)*100,"")</f>
        <v/>
      </c>
      <c r="L2390" s="7" t="str">
        <f>IF(Table1[[#This Row],[Is Data Valid]]=TRUE,_xlfn.NORM.S.DIST(Table1[[#This Row],[Birthweight Z-Score (BW+10%)]],TRUE)*100,"")</f>
        <v/>
      </c>
    </row>
    <row r="2391" spans="1:12" x14ac:dyDescent="0.35">
      <c r="A2391" s="3"/>
      <c r="B2391" s="2"/>
      <c r="C2391" s="2"/>
      <c r="D2391" s="2" t="b">
        <f>IF(AND(NOT(ISBLANK(Table1[[#This Row],[Fetal Sex (Male, Female or Unknown)]])),ISNUMBER(Table1[[#This Row],[Birthweight (grams)]]),ISNUMBER(Table1[[#This Row],[Gestation (days)]])),TRUE,FALSE)</f>
        <v>0</v>
      </c>
      <c r="E2391" s="2" t="str">
        <f>IF(Table1[[#This Row],[Is Data Valid]]=TRUE,IF(Table1[[#This Row],[Fetal Sex (Male, Female or Unknown)]]="Male",Backend!$C$6,IF(Table1[[#This Row],[Fetal Sex (Male, Female or Unknown)]]="Female",Backend!$C$7,IF(Table1[[#This Row],[Fetal Sex (Male, Female or Unknown)]]="Unknown",Backend!$C$8,"Error"))),"")</f>
        <v/>
      </c>
      <c r="F2391" s="8" t="str">
        <f>IF(Table1[[#This Row],[Is Data Valid]]=TRUE,EXP(0.578+0.332*((Table1[[#This Row],[Gestation (days)]]+0.5)/7)-0.00354*((Table1[[#This Row],[Gestation (days)]]+0.5)/7)^2)*Table1[[#This Row],[BW40_3705]],"")</f>
        <v/>
      </c>
      <c r="G2391" s="2" t="str">
        <f>IF(Table1[[#This Row],[Is Data Valid]]=TRUE,((Table1[[#This Row],[Birthweight (grams)]]/Table1[[#This Row],[BW_GA]])-1)/(Backend!$B$4/100*Table1[[#This Row],[BW40_3705]]),"")</f>
        <v/>
      </c>
      <c r="H2391" s="7" t="str">
        <f>IF(Table1[[#This Row],[Is Data Valid]]=TRUE,((Table1[[#This Row],[Birthweight (grams)]]*0.9/Table1[[#This Row],[BW_GA]])-1)/(Backend!$B$4/100*Table1[[#This Row],[BW40_3705]]),"")</f>
        <v/>
      </c>
      <c r="I2391" s="7" t="str">
        <f>IF(Table1[[#This Row],[Is Data Valid]]=TRUE,((Table1[[#This Row],[Birthweight (grams)]]*1.1/Table1[[#This Row],[BW_GA]])-1)/(Backend!$B$4/100*Table1[[#This Row],[BW40_3705]]),"")</f>
        <v/>
      </c>
      <c r="J2391" s="7" t="str">
        <f>IF(Table1[[#This Row],[Is Data Valid]]=TRUE,_xlfn.NORM.S.DIST(Table1[[#This Row],[Birthweight Z-Score]],TRUE)*100,"")</f>
        <v/>
      </c>
      <c r="K2391" s="7" t="str">
        <f>IF(Table1[[#This Row],[Is Data Valid]]=TRUE,_xlfn.NORM.S.DIST(Table1[[#This Row],[Birthweight Z-Score (BW-10%)]],TRUE)*100,"")</f>
        <v/>
      </c>
      <c r="L2391" s="7" t="str">
        <f>IF(Table1[[#This Row],[Is Data Valid]]=TRUE,_xlfn.NORM.S.DIST(Table1[[#This Row],[Birthweight Z-Score (BW+10%)]],TRUE)*100,"")</f>
        <v/>
      </c>
    </row>
    <row r="2392" spans="1:12" x14ac:dyDescent="0.35">
      <c r="A2392" s="3"/>
      <c r="B2392" s="2"/>
      <c r="C2392" s="2"/>
      <c r="D2392" s="2" t="b">
        <f>IF(AND(NOT(ISBLANK(Table1[[#This Row],[Fetal Sex (Male, Female or Unknown)]])),ISNUMBER(Table1[[#This Row],[Birthweight (grams)]]),ISNUMBER(Table1[[#This Row],[Gestation (days)]])),TRUE,FALSE)</f>
        <v>0</v>
      </c>
      <c r="E2392" s="2" t="str">
        <f>IF(Table1[[#This Row],[Is Data Valid]]=TRUE,IF(Table1[[#This Row],[Fetal Sex (Male, Female or Unknown)]]="Male",Backend!$C$6,IF(Table1[[#This Row],[Fetal Sex (Male, Female or Unknown)]]="Female",Backend!$C$7,IF(Table1[[#This Row],[Fetal Sex (Male, Female or Unknown)]]="Unknown",Backend!$C$8,"Error"))),"")</f>
        <v/>
      </c>
      <c r="F2392" s="8" t="str">
        <f>IF(Table1[[#This Row],[Is Data Valid]]=TRUE,EXP(0.578+0.332*((Table1[[#This Row],[Gestation (days)]]+0.5)/7)-0.00354*((Table1[[#This Row],[Gestation (days)]]+0.5)/7)^2)*Table1[[#This Row],[BW40_3705]],"")</f>
        <v/>
      </c>
      <c r="G2392" s="2" t="str">
        <f>IF(Table1[[#This Row],[Is Data Valid]]=TRUE,((Table1[[#This Row],[Birthweight (grams)]]/Table1[[#This Row],[BW_GA]])-1)/(Backend!$B$4/100*Table1[[#This Row],[BW40_3705]]),"")</f>
        <v/>
      </c>
      <c r="H2392" s="7" t="str">
        <f>IF(Table1[[#This Row],[Is Data Valid]]=TRUE,((Table1[[#This Row],[Birthweight (grams)]]*0.9/Table1[[#This Row],[BW_GA]])-1)/(Backend!$B$4/100*Table1[[#This Row],[BW40_3705]]),"")</f>
        <v/>
      </c>
      <c r="I2392" s="7" t="str">
        <f>IF(Table1[[#This Row],[Is Data Valid]]=TRUE,((Table1[[#This Row],[Birthweight (grams)]]*1.1/Table1[[#This Row],[BW_GA]])-1)/(Backend!$B$4/100*Table1[[#This Row],[BW40_3705]]),"")</f>
        <v/>
      </c>
      <c r="J2392" s="7" t="str">
        <f>IF(Table1[[#This Row],[Is Data Valid]]=TRUE,_xlfn.NORM.S.DIST(Table1[[#This Row],[Birthweight Z-Score]],TRUE)*100,"")</f>
        <v/>
      </c>
      <c r="K2392" s="7" t="str">
        <f>IF(Table1[[#This Row],[Is Data Valid]]=TRUE,_xlfn.NORM.S.DIST(Table1[[#This Row],[Birthweight Z-Score (BW-10%)]],TRUE)*100,"")</f>
        <v/>
      </c>
      <c r="L2392" s="7" t="str">
        <f>IF(Table1[[#This Row],[Is Data Valid]]=TRUE,_xlfn.NORM.S.DIST(Table1[[#This Row],[Birthweight Z-Score (BW+10%)]],TRUE)*100,"")</f>
        <v/>
      </c>
    </row>
    <row r="2393" spans="1:12" x14ac:dyDescent="0.35">
      <c r="A2393" s="3"/>
      <c r="B2393" s="2"/>
      <c r="C2393" s="2"/>
      <c r="D2393" s="2" t="b">
        <f>IF(AND(NOT(ISBLANK(Table1[[#This Row],[Fetal Sex (Male, Female or Unknown)]])),ISNUMBER(Table1[[#This Row],[Birthweight (grams)]]),ISNUMBER(Table1[[#This Row],[Gestation (days)]])),TRUE,FALSE)</f>
        <v>0</v>
      </c>
      <c r="E2393" s="2" t="str">
        <f>IF(Table1[[#This Row],[Is Data Valid]]=TRUE,IF(Table1[[#This Row],[Fetal Sex (Male, Female or Unknown)]]="Male",Backend!$C$6,IF(Table1[[#This Row],[Fetal Sex (Male, Female or Unknown)]]="Female",Backend!$C$7,IF(Table1[[#This Row],[Fetal Sex (Male, Female or Unknown)]]="Unknown",Backend!$C$8,"Error"))),"")</f>
        <v/>
      </c>
      <c r="F2393" s="8" t="str">
        <f>IF(Table1[[#This Row],[Is Data Valid]]=TRUE,EXP(0.578+0.332*((Table1[[#This Row],[Gestation (days)]]+0.5)/7)-0.00354*((Table1[[#This Row],[Gestation (days)]]+0.5)/7)^2)*Table1[[#This Row],[BW40_3705]],"")</f>
        <v/>
      </c>
      <c r="G2393" s="2" t="str">
        <f>IF(Table1[[#This Row],[Is Data Valid]]=TRUE,((Table1[[#This Row],[Birthweight (grams)]]/Table1[[#This Row],[BW_GA]])-1)/(Backend!$B$4/100*Table1[[#This Row],[BW40_3705]]),"")</f>
        <v/>
      </c>
      <c r="H2393" s="7" t="str">
        <f>IF(Table1[[#This Row],[Is Data Valid]]=TRUE,((Table1[[#This Row],[Birthweight (grams)]]*0.9/Table1[[#This Row],[BW_GA]])-1)/(Backend!$B$4/100*Table1[[#This Row],[BW40_3705]]),"")</f>
        <v/>
      </c>
      <c r="I2393" s="7" t="str">
        <f>IF(Table1[[#This Row],[Is Data Valid]]=TRUE,((Table1[[#This Row],[Birthweight (grams)]]*1.1/Table1[[#This Row],[BW_GA]])-1)/(Backend!$B$4/100*Table1[[#This Row],[BW40_3705]]),"")</f>
        <v/>
      </c>
      <c r="J2393" s="7" t="str">
        <f>IF(Table1[[#This Row],[Is Data Valid]]=TRUE,_xlfn.NORM.S.DIST(Table1[[#This Row],[Birthweight Z-Score]],TRUE)*100,"")</f>
        <v/>
      </c>
      <c r="K2393" s="7" t="str">
        <f>IF(Table1[[#This Row],[Is Data Valid]]=TRUE,_xlfn.NORM.S.DIST(Table1[[#This Row],[Birthweight Z-Score (BW-10%)]],TRUE)*100,"")</f>
        <v/>
      </c>
      <c r="L2393" s="7" t="str">
        <f>IF(Table1[[#This Row],[Is Data Valid]]=TRUE,_xlfn.NORM.S.DIST(Table1[[#This Row],[Birthweight Z-Score (BW+10%)]],TRUE)*100,"")</f>
        <v/>
      </c>
    </row>
    <row r="2394" spans="1:12" x14ac:dyDescent="0.35">
      <c r="A2394" s="3"/>
      <c r="B2394" s="2"/>
      <c r="C2394" s="2"/>
      <c r="D2394" s="2" t="b">
        <f>IF(AND(NOT(ISBLANK(Table1[[#This Row],[Fetal Sex (Male, Female or Unknown)]])),ISNUMBER(Table1[[#This Row],[Birthweight (grams)]]),ISNUMBER(Table1[[#This Row],[Gestation (days)]])),TRUE,FALSE)</f>
        <v>0</v>
      </c>
      <c r="E2394" s="2" t="str">
        <f>IF(Table1[[#This Row],[Is Data Valid]]=TRUE,IF(Table1[[#This Row],[Fetal Sex (Male, Female or Unknown)]]="Male",Backend!$C$6,IF(Table1[[#This Row],[Fetal Sex (Male, Female or Unknown)]]="Female",Backend!$C$7,IF(Table1[[#This Row],[Fetal Sex (Male, Female or Unknown)]]="Unknown",Backend!$C$8,"Error"))),"")</f>
        <v/>
      </c>
      <c r="F2394" s="8" t="str">
        <f>IF(Table1[[#This Row],[Is Data Valid]]=TRUE,EXP(0.578+0.332*((Table1[[#This Row],[Gestation (days)]]+0.5)/7)-0.00354*((Table1[[#This Row],[Gestation (days)]]+0.5)/7)^2)*Table1[[#This Row],[BW40_3705]],"")</f>
        <v/>
      </c>
      <c r="G2394" s="2" t="str">
        <f>IF(Table1[[#This Row],[Is Data Valid]]=TRUE,((Table1[[#This Row],[Birthweight (grams)]]/Table1[[#This Row],[BW_GA]])-1)/(Backend!$B$4/100*Table1[[#This Row],[BW40_3705]]),"")</f>
        <v/>
      </c>
      <c r="H2394" s="7" t="str">
        <f>IF(Table1[[#This Row],[Is Data Valid]]=TRUE,((Table1[[#This Row],[Birthweight (grams)]]*0.9/Table1[[#This Row],[BW_GA]])-1)/(Backend!$B$4/100*Table1[[#This Row],[BW40_3705]]),"")</f>
        <v/>
      </c>
      <c r="I2394" s="7" t="str">
        <f>IF(Table1[[#This Row],[Is Data Valid]]=TRUE,((Table1[[#This Row],[Birthweight (grams)]]*1.1/Table1[[#This Row],[BW_GA]])-1)/(Backend!$B$4/100*Table1[[#This Row],[BW40_3705]]),"")</f>
        <v/>
      </c>
      <c r="J2394" s="7" t="str">
        <f>IF(Table1[[#This Row],[Is Data Valid]]=TRUE,_xlfn.NORM.S.DIST(Table1[[#This Row],[Birthweight Z-Score]],TRUE)*100,"")</f>
        <v/>
      </c>
      <c r="K2394" s="7" t="str">
        <f>IF(Table1[[#This Row],[Is Data Valid]]=TRUE,_xlfn.NORM.S.DIST(Table1[[#This Row],[Birthweight Z-Score (BW-10%)]],TRUE)*100,"")</f>
        <v/>
      </c>
      <c r="L2394" s="7" t="str">
        <f>IF(Table1[[#This Row],[Is Data Valid]]=TRUE,_xlfn.NORM.S.DIST(Table1[[#This Row],[Birthweight Z-Score (BW+10%)]],TRUE)*100,"")</f>
        <v/>
      </c>
    </row>
    <row r="2395" spans="1:12" x14ac:dyDescent="0.35">
      <c r="A2395" s="3"/>
      <c r="B2395" s="2"/>
      <c r="C2395" s="2"/>
      <c r="D2395" s="2" t="b">
        <f>IF(AND(NOT(ISBLANK(Table1[[#This Row],[Fetal Sex (Male, Female or Unknown)]])),ISNUMBER(Table1[[#This Row],[Birthweight (grams)]]),ISNUMBER(Table1[[#This Row],[Gestation (days)]])),TRUE,FALSE)</f>
        <v>0</v>
      </c>
      <c r="E2395" s="2" t="str">
        <f>IF(Table1[[#This Row],[Is Data Valid]]=TRUE,IF(Table1[[#This Row],[Fetal Sex (Male, Female or Unknown)]]="Male",Backend!$C$6,IF(Table1[[#This Row],[Fetal Sex (Male, Female or Unknown)]]="Female",Backend!$C$7,IF(Table1[[#This Row],[Fetal Sex (Male, Female or Unknown)]]="Unknown",Backend!$C$8,"Error"))),"")</f>
        <v/>
      </c>
      <c r="F2395" s="8" t="str">
        <f>IF(Table1[[#This Row],[Is Data Valid]]=TRUE,EXP(0.578+0.332*((Table1[[#This Row],[Gestation (days)]]+0.5)/7)-0.00354*((Table1[[#This Row],[Gestation (days)]]+0.5)/7)^2)*Table1[[#This Row],[BW40_3705]],"")</f>
        <v/>
      </c>
      <c r="G2395" s="2" t="str">
        <f>IF(Table1[[#This Row],[Is Data Valid]]=TRUE,((Table1[[#This Row],[Birthweight (grams)]]/Table1[[#This Row],[BW_GA]])-1)/(Backend!$B$4/100*Table1[[#This Row],[BW40_3705]]),"")</f>
        <v/>
      </c>
      <c r="H2395" s="7" t="str">
        <f>IF(Table1[[#This Row],[Is Data Valid]]=TRUE,((Table1[[#This Row],[Birthweight (grams)]]*0.9/Table1[[#This Row],[BW_GA]])-1)/(Backend!$B$4/100*Table1[[#This Row],[BW40_3705]]),"")</f>
        <v/>
      </c>
      <c r="I2395" s="7" t="str">
        <f>IF(Table1[[#This Row],[Is Data Valid]]=TRUE,((Table1[[#This Row],[Birthweight (grams)]]*1.1/Table1[[#This Row],[BW_GA]])-1)/(Backend!$B$4/100*Table1[[#This Row],[BW40_3705]]),"")</f>
        <v/>
      </c>
      <c r="J2395" s="7" t="str">
        <f>IF(Table1[[#This Row],[Is Data Valid]]=TRUE,_xlfn.NORM.S.DIST(Table1[[#This Row],[Birthweight Z-Score]],TRUE)*100,"")</f>
        <v/>
      </c>
      <c r="K2395" s="7" t="str">
        <f>IF(Table1[[#This Row],[Is Data Valid]]=TRUE,_xlfn.NORM.S.DIST(Table1[[#This Row],[Birthweight Z-Score (BW-10%)]],TRUE)*100,"")</f>
        <v/>
      </c>
      <c r="L2395" s="7" t="str">
        <f>IF(Table1[[#This Row],[Is Data Valid]]=TRUE,_xlfn.NORM.S.DIST(Table1[[#This Row],[Birthweight Z-Score (BW+10%)]],TRUE)*100,"")</f>
        <v/>
      </c>
    </row>
    <row r="2396" spans="1:12" x14ac:dyDescent="0.35">
      <c r="A2396" s="3"/>
      <c r="B2396" s="2"/>
      <c r="C2396" s="2"/>
      <c r="D2396" s="2" t="b">
        <f>IF(AND(NOT(ISBLANK(Table1[[#This Row],[Fetal Sex (Male, Female or Unknown)]])),ISNUMBER(Table1[[#This Row],[Birthweight (grams)]]),ISNUMBER(Table1[[#This Row],[Gestation (days)]])),TRUE,FALSE)</f>
        <v>0</v>
      </c>
      <c r="E2396" s="2" t="str">
        <f>IF(Table1[[#This Row],[Is Data Valid]]=TRUE,IF(Table1[[#This Row],[Fetal Sex (Male, Female or Unknown)]]="Male",Backend!$C$6,IF(Table1[[#This Row],[Fetal Sex (Male, Female or Unknown)]]="Female",Backend!$C$7,IF(Table1[[#This Row],[Fetal Sex (Male, Female or Unknown)]]="Unknown",Backend!$C$8,"Error"))),"")</f>
        <v/>
      </c>
      <c r="F2396" s="8" t="str">
        <f>IF(Table1[[#This Row],[Is Data Valid]]=TRUE,EXP(0.578+0.332*((Table1[[#This Row],[Gestation (days)]]+0.5)/7)-0.00354*((Table1[[#This Row],[Gestation (days)]]+0.5)/7)^2)*Table1[[#This Row],[BW40_3705]],"")</f>
        <v/>
      </c>
      <c r="G2396" s="2" t="str">
        <f>IF(Table1[[#This Row],[Is Data Valid]]=TRUE,((Table1[[#This Row],[Birthweight (grams)]]/Table1[[#This Row],[BW_GA]])-1)/(Backend!$B$4/100*Table1[[#This Row],[BW40_3705]]),"")</f>
        <v/>
      </c>
      <c r="H2396" s="7" t="str">
        <f>IF(Table1[[#This Row],[Is Data Valid]]=TRUE,((Table1[[#This Row],[Birthweight (grams)]]*0.9/Table1[[#This Row],[BW_GA]])-1)/(Backend!$B$4/100*Table1[[#This Row],[BW40_3705]]),"")</f>
        <v/>
      </c>
      <c r="I2396" s="7" t="str">
        <f>IF(Table1[[#This Row],[Is Data Valid]]=TRUE,((Table1[[#This Row],[Birthweight (grams)]]*1.1/Table1[[#This Row],[BW_GA]])-1)/(Backend!$B$4/100*Table1[[#This Row],[BW40_3705]]),"")</f>
        <v/>
      </c>
      <c r="J2396" s="7" t="str">
        <f>IF(Table1[[#This Row],[Is Data Valid]]=TRUE,_xlfn.NORM.S.DIST(Table1[[#This Row],[Birthweight Z-Score]],TRUE)*100,"")</f>
        <v/>
      </c>
      <c r="K2396" s="7" t="str">
        <f>IF(Table1[[#This Row],[Is Data Valid]]=TRUE,_xlfn.NORM.S.DIST(Table1[[#This Row],[Birthweight Z-Score (BW-10%)]],TRUE)*100,"")</f>
        <v/>
      </c>
      <c r="L2396" s="7" t="str">
        <f>IF(Table1[[#This Row],[Is Data Valid]]=TRUE,_xlfn.NORM.S.DIST(Table1[[#This Row],[Birthweight Z-Score (BW+10%)]],TRUE)*100,"")</f>
        <v/>
      </c>
    </row>
    <row r="2397" spans="1:12" x14ac:dyDescent="0.35">
      <c r="A2397" s="3"/>
      <c r="B2397" s="2"/>
      <c r="C2397" s="2"/>
      <c r="D2397" s="2" t="b">
        <f>IF(AND(NOT(ISBLANK(Table1[[#This Row],[Fetal Sex (Male, Female or Unknown)]])),ISNUMBER(Table1[[#This Row],[Birthweight (grams)]]),ISNUMBER(Table1[[#This Row],[Gestation (days)]])),TRUE,FALSE)</f>
        <v>0</v>
      </c>
      <c r="E2397" s="2" t="str">
        <f>IF(Table1[[#This Row],[Is Data Valid]]=TRUE,IF(Table1[[#This Row],[Fetal Sex (Male, Female or Unknown)]]="Male",Backend!$C$6,IF(Table1[[#This Row],[Fetal Sex (Male, Female or Unknown)]]="Female",Backend!$C$7,IF(Table1[[#This Row],[Fetal Sex (Male, Female or Unknown)]]="Unknown",Backend!$C$8,"Error"))),"")</f>
        <v/>
      </c>
      <c r="F2397" s="8" t="str">
        <f>IF(Table1[[#This Row],[Is Data Valid]]=TRUE,EXP(0.578+0.332*((Table1[[#This Row],[Gestation (days)]]+0.5)/7)-0.00354*((Table1[[#This Row],[Gestation (days)]]+0.5)/7)^2)*Table1[[#This Row],[BW40_3705]],"")</f>
        <v/>
      </c>
      <c r="G2397" s="2" t="str">
        <f>IF(Table1[[#This Row],[Is Data Valid]]=TRUE,((Table1[[#This Row],[Birthweight (grams)]]/Table1[[#This Row],[BW_GA]])-1)/(Backend!$B$4/100*Table1[[#This Row],[BW40_3705]]),"")</f>
        <v/>
      </c>
      <c r="H2397" s="7" t="str">
        <f>IF(Table1[[#This Row],[Is Data Valid]]=TRUE,((Table1[[#This Row],[Birthweight (grams)]]*0.9/Table1[[#This Row],[BW_GA]])-1)/(Backend!$B$4/100*Table1[[#This Row],[BW40_3705]]),"")</f>
        <v/>
      </c>
      <c r="I2397" s="7" t="str">
        <f>IF(Table1[[#This Row],[Is Data Valid]]=TRUE,((Table1[[#This Row],[Birthweight (grams)]]*1.1/Table1[[#This Row],[BW_GA]])-1)/(Backend!$B$4/100*Table1[[#This Row],[BW40_3705]]),"")</f>
        <v/>
      </c>
      <c r="J2397" s="7" t="str">
        <f>IF(Table1[[#This Row],[Is Data Valid]]=TRUE,_xlfn.NORM.S.DIST(Table1[[#This Row],[Birthweight Z-Score]],TRUE)*100,"")</f>
        <v/>
      </c>
      <c r="K2397" s="7" t="str">
        <f>IF(Table1[[#This Row],[Is Data Valid]]=TRUE,_xlfn.NORM.S.DIST(Table1[[#This Row],[Birthweight Z-Score (BW-10%)]],TRUE)*100,"")</f>
        <v/>
      </c>
      <c r="L2397" s="7" t="str">
        <f>IF(Table1[[#This Row],[Is Data Valid]]=TRUE,_xlfn.NORM.S.DIST(Table1[[#This Row],[Birthweight Z-Score (BW+10%)]],TRUE)*100,"")</f>
        <v/>
      </c>
    </row>
    <row r="2398" spans="1:12" x14ac:dyDescent="0.35">
      <c r="A2398" s="3"/>
      <c r="B2398" s="2"/>
      <c r="C2398" s="2"/>
      <c r="D2398" s="2" t="b">
        <f>IF(AND(NOT(ISBLANK(Table1[[#This Row],[Fetal Sex (Male, Female or Unknown)]])),ISNUMBER(Table1[[#This Row],[Birthweight (grams)]]),ISNUMBER(Table1[[#This Row],[Gestation (days)]])),TRUE,FALSE)</f>
        <v>0</v>
      </c>
      <c r="E2398" s="2" t="str">
        <f>IF(Table1[[#This Row],[Is Data Valid]]=TRUE,IF(Table1[[#This Row],[Fetal Sex (Male, Female or Unknown)]]="Male",Backend!$C$6,IF(Table1[[#This Row],[Fetal Sex (Male, Female or Unknown)]]="Female",Backend!$C$7,IF(Table1[[#This Row],[Fetal Sex (Male, Female or Unknown)]]="Unknown",Backend!$C$8,"Error"))),"")</f>
        <v/>
      </c>
      <c r="F2398" s="8" t="str">
        <f>IF(Table1[[#This Row],[Is Data Valid]]=TRUE,EXP(0.578+0.332*((Table1[[#This Row],[Gestation (days)]]+0.5)/7)-0.00354*((Table1[[#This Row],[Gestation (days)]]+0.5)/7)^2)*Table1[[#This Row],[BW40_3705]],"")</f>
        <v/>
      </c>
      <c r="G2398" s="2" t="str">
        <f>IF(Table1[[#This Row],[Is Data Valid]]=TRUE,((Table1[[#This Row],[Birthweight (grams)]]/Table1[[#This Row],[BW_GA]])-1)/(Backend!$B$4/100*Table1[[#This Row],[BW40_3705]]),"")</f>
        <v/>
      </c>
      <c r="H2398" s="7" t="str">
        <f>IF(Table1[[#This Row],[Is Data Valid]]=TRUE,((Table1[[#This Row],[Birthweight (grams)]]*0.9/Table1[[#This Row],[BW_GA]])-1)/(Backend!$B$4/100*Table1[[#This Row],[BW40_3705]]),"")</f>
        <v/>
      </c>
      <c r="I2398" s="7" t="str">
        <f>IF(Table1[[#This Row],[Is Data Valid]]=TRUE,((Table1[[#This Row],[Birthweight (grams)]]*1.1/Table1[[#This Row],[BW_GA]])-1)/(Backend!$B$4/100*Table1[[#This Row],[BW40_3705]]),"")</f>
        <v/>
      </c>
      <c r="J2398" s="7" t="str">
        <f>IF(Table1[[#This Row],[Is Data Valid]]=TRUE,_xlfn.NORM.S.DIST(Table1[[#This Row],[Birthweight Z-Score]],TRUE)*100,"")</f>
        <v/>
      </c>
      <c r="K2398" s="7" t="str">
        <f>IF(Table1[[#This Row],[Is Data Valid]]=TRUE,_xlfn.NORM.S.DIST(Table1[[#This Row],[Birthweight Z-Score (BW-10%)]],TRUE)*100,"")</f>
        <v/>
      </c>
      <c r="L2398" s="7" t="str">
        <f>IF(Table1[[#This Row],[Is Data Valid]]=TRUE,_xlfn.NORM.S.DIST(Table1[[#This Row],[Birthweight Z-Score (BW+10%)]],TRUE)*100,"")</f>
        <v/>
      </c>
    </row>
    <row r="2399" spans="1:12" x14ac:dyDescent="0.35">
      <c r="A2399" s="3"/>
      <c r="B2399" s="2"/>
      <c r="C2399" s="2"/>
      <c r="D2399" s="2" t="b">
        <f>IF(AND(NOT(ISBLANK(Table1[[#This Row],[Fetal Sex (Male, Female or Unknown)]])),ISNUMBER(Table1[[#This Row],[Birthweight (grams)]]),ISNUMBER(Table1[[#This Row],[Gestation (days)]])),TRUE,FALSE)</f>
        <v>0</v>
      </c>
      <c r="E2399" s="2" t="str">
        <f>IF(Table1[[#This Row],[Is Data Valid]]=TRUE,IF(Table1[[#This Row],[Fetal Sex (Male, Female or Unknown)]]="Male",Backend!$C$6,IF(Table1[[#This Row],[Fetal Sex (Male, Female or Unknown)]]="Female",Backend!$C$7,IF(Table1[[#This Row],[Fetal Sex (Male, Female or Unknown)]]="Unknown",Backend!$C$8,"Error"))),"")</f>
        <v/>
      </c>
      <c r="F2399" s="8" t="str">
        <f>IF(Table1[[#This Row],[Is Data Valid]]=TRUE,EXP(0.578+0.332*((Table1[[#This Row],[Gestation (days)]]+0.5)/7)-0.00354*((Table1[[#This Row],[Gestation (days)]]+0.5)/7)^2)*Table1[[#This Row],[BW40_3705]],"")</f>
        <v/>
      </c>
      <c r="G2399" s="2" t="str">
        <f>IF(Table1[[#This Row],[Is Data Valid]]=TRUE,((Table1[[#This Row],[Birthweight (grams)]]/Table1[[#This Row],[BW_GA]])-1)/(Backend!$B$4/100*Table1[[#This Row],[BW40_3705]]),"")</f>
        <v/>
      </c>
      <c r="H2399" s="7" t="str">
        <f>IF(Table1[[#This Row],[Is Data Valid]]=TRUE,((Table1[[#This Row],[Birthweight (grams)]]*0.9/Table1[[#This Row],[BW_GA]])-1)/(Backend!$B$4/100*Table1[[#This Row],[BW40_3705]]),"")</f>
        <v/>
      </c>
      <c r="I2399" s="7" t="str">
        <f>IF(Table1[[#This Row],[Is Data Valid]]=TRUE,((Table1[[#This Row],[Birthweight (grams)]]*1.1/Table1[[#This Row],[BW_GA]])-1)/(Backend!$B$4/100*Table1[[#This Row],[BW40_3705]]),"")</f>
        <v/>
      </c>
      <c r="J2399" s="7" t="str">
        <f>IF(Table1[[#This Row],[Is Data Valid]]=TRUE,_xlfn.NORM.S.DIST(Table1[[#This Row],[Birthweight Z-Score]],TRUE)*100,"")</f>
        <v/>
      </c>
      <c r="K2399" s="7" t="str">
        <f>IF(Table1[[#This Row],[Is Data Valid]]=TRUE,_xlfn.NORM.S.DIST(Table1[[#This Row],[Birthweight Z-Score (BW-10%)]],TRUE)*100,"")</f>
        <v/>
      </c>
      <c r="L2399" s="7" t="str">
        <f>IF(Table1[[#This Row],[Is Data Valid]]=TRUE,_xlfn.NORM.S.DIST(Table1[[#This Row],[Birthweight Z-Score (BW+10%)]],TRUE)*100,"")</f>
        <v/>
      </c>
    </row>
    <row r="2400" spans="1:12" x14ac:dyDescent="0.35">
      <c r="A2400" s="3"/>
      <c r="B2400" s="2"/>
      <c r="C2400" s="2"/>
      <c r="D2400" s="2" t="b">
        <f>IF(AND(NOT(ISBLANK(Table1[[#This Row],[Fetal Sex (Male, Female or Unknown)]])),ISNUMBER(Table1[[#This Row],[Birthweight (grams)]]),ISNUMBER(Table1[[#This Row],[Gestation (days)]])),TRUE,FALSE)</f>
        <v>0</v>
      </c>
      <c r="E2400" s="2" t="str">
        <f>IF(Table1[[#This Row],[Is Data Valid]]=TRUE,IF(Table1[[#This Row],[Fetal Sex (Male, Female or Unknown)]]="Male",Backend!$C$6,IF(Table1[[#This Row],[Fetal Sex (Male, Female or Unknown)]]="Female",Backend!$C$7,IF(Table1[[#This Row],[Fetal Sex (Male, Female or Unknown)]]="Unknown",Backend!$C$8,"Error"))),"")</f>
        <v/>
      </c>
      <c r="F2400" s="8" t="str">
        <f>IF(Table1[[#This Row],[Is Data Valid]]=TRUE,EXP(0.578+0.332*((Table1[[#This Row],[Gestation (days)]]+0.5)/7)-0.00354*((Table1[[#This Row],[Gestation (days)]]+0.5)/7)^2)*Table1[[#This Row],[BW40_3705]],"")</f>
        <v/>
      </c>
      <c r="G2400" s="2" t="str">
        <f>IF(Table1[[#This Row],[Is Data Valid]]=TRUE,((Table1[[#This Row],[Birthweight (grams)]]/Table1[[#This Row],[BW_GA]])-1)/(Backend!$B$4/100*Table1[[#This Row],[BW40_3705]]),"")</f>
        <v/>
      </c>
      <c r="H2400" s="7" t="str">
        <f>IF(Table1[[#This Row],[Is Data Valid]]=TRUE,((Table1[[#This Row],[Birthweight (grams)]]*0.9/Table1[[#This Row],[BW_GA]])-1)/(Backend!$B$4/100*Table1[[#This Row],[BW40_3705]]),"")</f>
        <v/>
      </c>
      <c r="I2400" s="7" t="str">
        <f>IF(Table1[[#This Row],[Is Data Valid]]=TRUE,((Table1[[#This Row],[Birthweight (grams)]]*1.1/Table1[[#This Row],[BW_GA]])-1)/(Backend!$B$4/100*Table1[[#This Row],[BW40_3705]]),"")</f>
        <v/>
      </c>
      <c r="J2400" s="7" t="str">
        <f>IF(Table1[[#This Row],[Is Data Valid]]=TRUE,_xlfn.NORM.S.DIST(Table1[[#This Row],[Birthweight Z-Score]],TRUE)*100,"")</f>
        <v/>
      </c>
      <c r="K2400" s="7" t="str">
        <f>IF(Table1[[#This Row],[Is Data Valid]]=TRUE,_xlfn.NORM.S.DIST(Table1[[#This Row],[Birthweight Z-Score (BW-10%)]],TRUE)*100,"")</f>
        <v/>
      </c>
      <c r="L2400" s="7" t="str">
        <f>IF(Table1[[#This Row],[Is Data Valid]]=TRUE,_xlfn.NORM.S.DIST(Table1[[#This Row],[Birthweight Z-Score (BW+10%)]],TRUE)*100,"")</f>
        <v/>
      </c>
    </row>
    <row r="2401" spans="1:12" x14ac:dyDescent="0.35">
      <c r="A2401" s="3"/>
      <c r="B2401" s="2"/>
      <c r="C2401" s="2"/>
      <c r="D2401" s="2" t="b">
        <f>IF(AND(NOT(ISBLANK(Table1[[#This Row],[Fetal Sex (Male, Female or Unknown)]])),ISNUMBER(Table1[[#This Row],[Birthweight (grams)]]),ISNUMBER(Table1[[#This Row],[Gestation (days)]])),TRUE,FALSE)</f>
        <v>0</v>
      </c>
      <c r="E2401" s="2" t="str">
        <f>IF(Table1[[#This Row],[Is Data Valid]]=TRUE,IF(Table1[[#This Row],[Fetal Sex (Male, Female or Unknown)]]="Male",Backend!$C$6,IF(Table1[[#This Row],[Fetal Sex (Male, Female or Unknown)]]="Female",Backend!$C$7,IF(Table1[[#This Row],[Fetal Sex (Male, Female or Unknown)]]="Unknown",Backend!$C$8,"Error"))),"")</f>
        <v/>
      </c>
      <c r="F2401" s="8" t="str">
        <f>IF(Table1[[#This Row],[Is Data Valid]]=TRUE,EXP(0.578+0.332*((Table1[[#This Row],[Gestation (days)]]+0.5)/7)-0.00354*((Table1[[#This Row],[Gestation (days)]]+0.5)/7)^2)*Table1[[#This Row],[BW40_3705]],"")</f>
        <v/>
      </c>
      <c r="G2401" s="2" t="str">
        <f>IF(Table1[[#This Row],[Is Data Valid]]=TRUE,((Table1[[#This Row],[Birthweight (grams)]]/Table1[[#This Row],[BW_GA]])-1)/(Backend!$B$4/100*Table1[[#This Row],[BW40_3705]]),"")</f>
        <v/>
      </c>
      <c r="H2401" s="7" t="str">
        <f>IF(Table1[[#This Row],[Is Data Valid]]=TRUE,((Table1[[#This Row],[Birthweight (grams)]]*0.9/Table1[[#This Row],[BW_GA]])-1)/(Backend!$B$4/100*Table1[[#This Row],[BW40_3705]]),"")</f>
        <v/>
      </c>
      <c r="I2401" s="7" t="str">
        <f>IF(Table1[[#This Row],[Is Data Valid]]=TRUE,((Table1[[#This Row],[Birthweight (grams)]]*1.1/Table1[[#This Row],[BW_GA]])-1)/(Backend!$B$4/100*Table1[[#This Row],[BW40_3705]]),"")</f>
        <v/>
      </c>
      <c r="J2401" s="7" t="str">
        <f>IF(Table1[[#This Row],[Is Data Valid]]=TRUE,_xlfn.NORM.S.DIST(Table1[[#This Row],[Birthweight Z-Score]],TRUE)*100,"")</f>
        <v/>
      </c>
      <c r="K2401" s="7" t="str">
        <f>IF(Table1[[#This Row],[Is Data Valid]]=TRUE,_xlfn.NORM.S.DIST(Table1[[#This Row],[Birthweight Z-Score (BW-10%)]],TRUE)*100,"")</f>
        <v/>
      </c>
      <c r="L2401" s="7" t="str">
        <f>IF(Table1[[#This Row],[Is Data Valid]]=TRUE,_xlfn.NORM.S.DIST(Table1[[#This Row],[Birthweight Z-Score (BW+10%)]],TRUE)*100,"")</f>
        <v/>
      </c>
    </row>
    <row r="2402" spans="1:12" x14ac:dyDescent="0.35">
      <c r="A2402" s="3"/>
      <c r="B2402" s="2"/>
      <c r="C2402" s="2"/>
      <c r="D2402" s="2" t="b">
        <f>IF(AND(NOT(ISBLANK(Table1[[#This Row],[Fetal Sex (Male, Female or Unknown)]])),ISNUMBER(Table1[[#This Row],[Birthweight (grams)]]),ISNUMBER(Table1[[#This Row],[Gestation (days)]])),TRUE,FALSE)</f>
        <v>0</v>
      </c>
      <c r="E2402" s="2" t="str">
        <f>IF(Table1[[#This Row],[Is Data Valid]]=TRUE,IF(Table1[[#This Row],[Fetal Sex (Male, Female or Unknown)]]="Male",Backend!$C$6,IF(Table1[[#This Row],[Fetal Sex (Male, Female or Unknown)]]="Female",Backend!$C$7,IF(Table1[[#This Row],[Fetal Sex (Male, Female or Unknown)]]="Unknown",Backend!$C$8,"Error"))),"")</f>
        <v/>
      </c>
      <c r="F2402" s="8" t="str">
        <f>IF(Table1[[#This Row],[Is Data Valid]]=TRUE,EXP(0.578+0.332*((Table1[[#This Row],[Gestation (days)]]+0.5)/7)-0.00354*((Table1[[#This Row],[Gestation (days)]]+0.5)/7)^2)*Table1[[#This Row],[BW40_3705]],"")</f>
        <v/>
      </c>
      <c r="G2402" s="2" t="str">
        <f>IF(Table1[[#This Row],[Is Data Valid]]=TRUE,((Table1[[#This Row],[Birthweight (grams)]]/Table1[[#This Row],[BW_GA]])-1)/(Backend!$B$4/100*Table1[[#This Row],[BW40_3705]]),"")</f>
        <v/>
      </c>
      <c r="H2402" s="7" t="str">
        <f>IF(Table1[[#This Row],[Is Data Valid]]=TRUE,((Table1[[#This Row],[Birthweight (grams)]]*0.9/Table1[[#This Row],[BW_GA]])-1)/(Backend!$B$4/100*Table1[[#This Row],[BW40_3705]]),"")</f>
        <v/>
      </c>
      <c r="I2402" s="7" t="str">
        <f>IF(Table1[[#This Row],[Is Data Valid]]=TRUE,((Table1[[#This Row],[Birthweight (grams)]]*1.1/Table1[[#This Row],[BW_GA]])-1)/(Backend!$B$4/100*Table1[[#This Row],[BW40_3705]]),"")</f>
        <v/>
      </c>
      <c r="J2402" s="7" t="str">
        <f>IF(Table1[[#This Row],[Is Data Valid]]=TRUE,_xlfn.NORM.S.DIST(Table1[[#This Row],[Birthweight Z-Score]],TRUE)*100,"")</f>
        <v/>
      </c>
      <c r="K2402" s="7" t="str">
        <f>IF(Table1[[#This Row],[Is Data Valid]]=TRUE,_xlfn.NORM.S.DIST(Table1[[#This Row],[Birthweight Z-Score (BW-10%)]],TRUE)*100,"")</f>
        <v/>
      </c>
      <c r="L2402" s="7" t="str">
        <f>IF(Table1[[#This Row],[Is Data Valid]]=TRUE,_xlfn.NORM.S.DIST(Table1[[#This Row],[Birthweight Z-Score (BW+10%)]],TRUE)*100,"")</f>
        <v/>
      </c>
    </row>
    <row r="2403" spans="1:12" x14ac:dyDescent="0.35">
      <c r="A2403" s="3"/>
      <c r="B2403" s="2"/>
      <c r="C2403" s="2"/>
      <c r="D2403" s="2" t="b">
        <f>IF(AND(NOT(ISBLANK(Table1[[#This Row],[Fetal Sex (Male, Female or Unknown)]])),ISNUMBER(Table1[[#This Row],[Birthweight (grams)]]),ISNUMBER(Table1[[#This Row],[Gestation (days)]])),TRUE,FALSE)</f>
        <v>0</v>
      </c>
      <c r="E2403" s="2" t="str">
        <f>IF(Table1[[#This Row],[Is Data Valid]]=TRUE,IF(Table1[[#This Row],[Fetal Sex (Male, Female or Unknown)]]="Male",Backend!$C$6,IF(Table1[[#This Row],[Fetal Sex (Male, Female or Unknown)]]="Female",Backend!$C$7,IF(Table1[[#This Row],[Fetal Sex (Male, Female or Unknown)]]="Unknown",Backend!$C$8,"Error"))),"")</f>
        <v/>
      </c>
      <c r="F2403" s="8" t="str">
        <f>IF(Table1[[#This Row],[Is Data Valid]]=TRUE,EXP(0.578+0.332*((Table1[[#This Row],[Gestation (days)]]+0.5)/7)-0.00354*((Table1[[#This Row],[Gestation (days)]]+0.5)/7)^2)*Table1[[#This Row],[BW40_3705]],"")</f>
        <v/>
      </c>
      <c r="G2403" s="2" t="str">
        <f>IF(Table1[[#This Row],[Is Data Valid]]=TRUE,((Table1[[#This Row],[Birthweight (grams)]]/Table1[[#This Row],[BW_GA]])-1)/(Backend!$B$4/100*Table1[[#This Row],[BW40_3705]]),"")</f>
        <v/>
      </c>
      <c r="H2403" s="7" t="str">
        <f>IF(Table1[[#This Row],[Is Data Valid]]=TRUE,((Table1[[#This Row],[Birthweight (grams)]]*0.9/Table1[[#This Row],[BW_GA]])-1)/(Backend!$B$4/100*Table1[[#This Row],[BW40_3705]]),"")</f>
        <v/>
      </c>
      <c r="I2403" s="7" t="str">
        <f>IF(Table1[[#This Row],[Is Data Valid]]=TRUE,((Table1[[#This Row],[Birthweight (grams)]]*1.1/Table1[[#This Row],[BW_GA]])-1)/(Backend!$B$4/100*Table1[[#This Row],[BW40_3705]]),"")</f>
        <v/>
      </c>
      <c r="J2403" s="7" t="str">
        <f>IF(Table1[[#This Row],[Is Data Valid]]=TRUE,_xlfn.NORM.S.DIST(Table1[[#This Row],[Birthweight Z-Score]],TRUE)*100,"")</f>
        <v/>
      </c>
      <c r="K2403" s="7" t="str">
        <f>IF(Table1[[#This Row],[Is Data Valid]]=TRUE,_xlfn.NORM.S.DIST(Table1[[#This Row],[Birthweight Z-Score (BW-10%)]],TRUE)*100,"")</f>
        <v/>
      </c>
      <c r="L2403" s="7" t="str">
        <f>IF(Table1[[#This Row],[Is Data Valid]]=TRUE,_xlfn.NORM.S.DIST(Table1[[#This Row],[Birthweight Z-Score (BW+10%)]],TRUE)*100,"")</f>
        <v/>
      </c>
    </row>
    <row r="2404" spans="1:12" x14ac:dyDescent="0.35">
      <c r="A2404" s="3"/>
      <c r="B2404" s="2"/>
      <c r="C2404" s="2"/>
      <c r="D2404" s="2" t="b">
        <f>IF(AND(NOT(ISBLANK(Table1[[#This Row],[Fetal Sex (Male, Female or Unknown)]])),ISNUMBER(Table1[[#This Row],[Birthweight (grams)]]),ISNUMBER(Table1[[#This Row],[Gestation (days)]])),TRUE,FALSE)</f>
        <v>0</v>
      </c>
      <c r="E2404" s="2" t="str">
        <f>IF(Table1[[#This Row],[Is Data Valid]]=TRUE,IF(Table1[[#This Row],[Fetal Sex (Male, Female or Unknown)]]="Male",Backend!$C$6,IF(Table1[[#This Row],[Fetal Sex (Male, Female or Unknown)]]="Female",Backend!$C$7,IF(Table1[[#This Row],[Fetal Sex (Male, Female or Unknown)]]="Unknown",Backend!$C$8,"Error"))),"")</f>
        <v/>
      </c>
      <c r="F2404" s="8" t="str">
        <f>IF(Table1[[#This Row],[Is Data Valid]]=TRUE,EXP(0.578+0.332*((Table1[[#This Row],[Gestation (days)]]+0.5)/7)-0.00354*((Table1[[#This Row],[Gestation (days)]]+0.5)/7)^2)*Table1[[#This Row],[BW40_3705]],"")</f>
        <v/>
      </c>
      <c r="G2404" s="2" t="str">
        <f>IF(Table1[[#This Row],[Is Data Valid]]=TRUE,((Table1[[#This Row],[Birthweight (grams)]]/Table1[[#This Row],[BW_GA]])-1)/(Backend!$B$4/100*Table1[[#This Row],[BW40_3705]]),"")</f>
        <v/>
      </c>
      <c r="H2404" s="7" t="str">
        <f>IF(Table1[[#This Row],[Is Data Valid]]=TRUE,((Table1[[#This Row],[Birthweight (grams)]]*0.9/Table1[[#This Row],[BW_GA]])-1)/(Backend!$B$4/100*Table1[[#This Row],[BW40_3705]]),"")</f>
        <v/>
      </c>
      <c r="I2404" s="7" t="str">
        <f>IF(Table1[[#This Row],[Is Data Valid]]=TRUE,((Table1[[#This Row],[Birthweight (grams)]]*1.1/Table1[[#This Row],[BW_GA]])-1)/(Backend!$B$4/100*Table1[[#This Row],[BW40_3705]]),"")</f>
        <v/>
      </c>
      <c r="J2404" s="7" t="str">
        <f>IF(Table1[[#This Row],[Is Data Valid]]=TRUE,_xlfn.NORM.S.DIST(Table1[[#This Row],[Birthweight Z-Score]],TRUE)*100,"")</f>
        <v/>
      </c>
      <c r="K2404" s="7" t="str">
        <f>IF(Table1[[#This Row],[Is Data Valid]]=TRUE,_xlfn.NORM.S.DIST(Table1[[#This Row],[Birthweight Z-Score (BW-10%)]],TRUE)*100,"")</f>
        <v/>
      </c>
      <c r="L2404" s="7" t="str">
        <f>IF(Table1[[#This Row],[Is Data Valid]]=TRUE,_xlfn.NORM.S.DIST(Table1[[#This Row],[Birthweight Z-Score (BW+10%)]],TRUE)*100,"")</f>
        <v/>
      </c>
    </row>
    <row r="2405" spans="1:12" x14ac:dyDescent="0.35">
      <c r="A2405" s="3"/>
      <c r="B2405" s="2"/>
      <c r="C2405" s="2"/>
      <c r="D2405" s="2" t="b">
        <f>IF(AND(NOT(ISBLANK(Table1[[#This Row],[Fetal Sex (Male, Female or Unknown)]])),ISNUMBER(Table1[[#This Row],[Birthweight (grams)]]),ISNUMBER(Table1[[#This Row],[Gestation (days)]])),TRUE,FALSE)</f>
        <v>0</v>
      </c>
      <c r="E2405" s="2" t="str">
        <f>IF(Table1[[#This Row],[Is Data Valid]]=TRUE,IF(Table1[[#This Row],[Fetal Sex (Male, Female or Unknown)]]="Male",Backend!$C$6,IF(Table1[[#This Row],[Fetal Sex (Male, Female or Unknown)]]="Female",Backend!$C$7,IF(Table1[[#This Row],[Fetal Sex (Male, Female or Unknown)]]="Unknown",Backend!$C$8,"Error"))),"")</f>
        <v/>
      </c>
      <c r="F2405" s="8" t="str">
        <f>IF(Table1[[#This Row],[Is Data Valid]]=TRUE,EXP(0.578+0.332*((Table1[[#This Row],[Gestation (days)]]+0.5)/7)-0.00354*((Table1[[#This Row],[Gestation (days)]]+0.5)/7)^2)*Table1[[#This Row],[BW40_3705]],"")</f>
        <v/>
      </c>
      <c r="G2405" s="2" t="str">
        <f>IF(Table1[[#This Row],[Is Data Valid]]=TRUE,((Table1[[#This Row],[Birthweight (grams)]]/Table1[[#This Row],[BW_GA]])-1)/(Backend!$B$4/100*Table1[[#This Row],[BW40_3705]]),"")</f>
        <v/>
      </c>
      <c r="H2405" s="7" t="str">
        <f>IF(Table1[[#This Row],[Is Data Valid]]=TRUE,((Table1[[#This Row],[Birthweight (grams)]]*0.9/Table1[[#This Row],[BW_GA]])-1)/(Backend!$B$4/100*Table1[[#This Row],[BW40_3705]]),"")</f>
        <v/>
      </c>
      <c r="I2405" s="7" t="str">
        <f>IF(Table1[[#This Row],[Is Data Valid]]=TRUE,((Table1[[#This Row],[Birthweight (grams)]]*1.1/Table1[[#This Row],[BW_GA]])-1)/(Backend!$B$4/100*Table1[[#This Row],[BW40_3705]]),"")</f>
        <v/>
      </c>
      <c r="J2405" s="7" t="str">
        <f>IF(Table1[[#This Row],[Is Data Valid]]=TRUE,_xlfn.NORM.S.DIST(Table1[[#This Row],[Birthweight Z-Score]],TRUE)*100,"")</f>
        <v/>
      </c>
      <c r="K2405" s="7" t="str">
        <f>IF(Table1[[#This Row],[Is Data Valid]]=TRUE,_xlfn.NORM.S.DIST(Table1[[#This Row],[Birthweight Z-Score (BW-10%)]],TRUE)*100,"")</f>
        <v/>
      </c>
      <c r="L2405" s="7" t="str">
        <f>IF(Table1[[#This Row],[Is Data Valid]]=TRUE,_xlfn.NORM.S.DIST(Table1[[#This Row],[Birthweight Z-Score (BW+10%)]],TRUE)*100,"")</f>
        <v/>
      </c>
    </row>
    <row r="2406" spans="1:12" x14ac:dyDescent="0.35">
      <c r="A2406" s="3"/>
      <c r="B2406" s="2"/>
      <c r="C2406" s="2"/>
      <c r="D2406" s="2" t="b">
        <f>IF(AND(NOT(ISBLANK(Table1[[#This Row],[Fetal Sex (Male, Female or Unknown)]])),ISNUMBER(Table1[[#This Row],[Birthweight (grams)]]),ISNUMBER(Table1[[#This Row],[Gestation (days)]])),TRUE,FALSE)</f>
        <v>0</v>
      </c>
      <c r="E2406" s="2" t="str">
        <f>IF(Table1[[#This Row],[Is Data Valid]]=TRUE,IF(Table1[[#This Row],[Fetal Sex (Male, Female or Unknown)]]="Male",Backend!$C$6,IF(Table1[[#This Row],[Fetal Sex (Male, Female or Unknown)]]="Female",Backend!$C$7,IF(Table1[[#This Row],[Fetal Sex (Male, Female or Unknown)]]="Unknown",Backend!$C$8,"Error"))),"")</f>
        <v/>
      </c>
      <c r="F2406" s="8" t="str">
        <f>IF(Table1[[#This Row],[Is Data Valid]]=TRUE,EXP(0.578+0.332*((Table1[[#This Row],[Gestation (days)]]+0.5)/7)-0.00354*((Table1[[#This Row],[Gestation (days)]]+0.5)/7)^2)*Table1[[#This Row],[BW40_3705]],"")</f>
        <v/>
      </c>
      <c r="G2406" s="2" t="str">
        <f>IF(Table1[[#This Row],[Is Data Valid]]=TRUE,((Table1[[#This Row],[Birthweight (grams)]]/Table1[[#This Row],[BW_GA]])-1)/(Backend!$B$4/100*Table1[[#This Row],[BW40_3705]]),"")</f>
        <v/>
      </c>
      <c r="H2406" s="7" t="str">
        <f>IF(Table1[[#This Row],[Is Data Valid]]=TRUE,((Table1[[#This Row],[Birthweight (grams)]]*0.9/Table1[[#This Row],[BW_GA]])-1)/(Backend!$B$4/100*Table1[[#This Row],[BW40_3705]]),"")</f>
        <v/>
      </c>
      <c r="I2406" s="7" t="str">
        <f>IF(Table1[[#This Row],[Is Data Valid]]=TRUE,((Table1[[#This Row],[Birthweight (grams)]]*1.1/Table1[[#This Row],[BW_GA]])-1)/(Backend!$B$4/100*Table1[[#This Row],[BW40_3705]]),"")</f>
        <v/>
      </c>
      <c r="J2406" s="7" t="str">
        <f>IF(Table1[[#This Row],[Is Data Valid]]=TRUE,_xlfn.NORM.S.DIST(Table1[[#This Row],[Birthweight Z-Score]],TRUE)*100,"")</f>
        <v/>
      </c>
      <c r="K2406" s="7" t="str">
        <f>IF(Table1[[#This Row],[Is Data Valid]]=TRUE,_xlfn.NORM.S.DIST(Table1[[#This Row],[Birthweight Z-Score (BW-10%)]],TRUE)*100,"")</f>
        <v/>
      </c>
      <c r="L2406" s="7" t="str">
        <f>IF(Table1[[#This Row],[Is Data Valid]]=TRUE,_xlfn.NORM.S.DIST(Table1[[#This Row],[Birthweight Z-Score (BW+10%)]],TRUE)*100,"")</f>
        <v/>
      </c>
    </row>
    <row r="2407" spans="1:12" x14ac:dyDescent="0.35">
      <c r="A2407" s="3"/>
      <c r="B2407" s="2"/>
      <c r="C2407" s="2"/>
      <c r="D2407" s="2" t="b">
        <f>IF(AND(NOT(ISBLANK(Table1[[#This Row],[Fetal Sex (Male, Female or Unknown)]])),ISNUMBER(Table1[[#This Row],[Birthweight (grams)]]),ISNUMBER(Table1[[#This Row],[Gestation (days)]])),TRUE,FALSE)</f>
        <v>0</v>
      </c>
      <c r="E2407" s="2" t="str">
        <f>IF(Table1[[#This Row],[Is Data Valid]]=TRUE,IF(Table1[[#This Row],[Fetal Sex (Male, Female or Unknown)]]="Male",Backend!$C$6,IF(Table1[[#This Row],[Fetal Sex (Male, Female or Unknown)]]="Female",Backend!$C$7,IF(Table1[[#This Row],[Fetal Sex (Male, Female or Unknown)]]="Unknown",Backend!$C$8,"Error"))),"")</f>
        <v/>
      </c>
      <c r="F2407" s="8" t="str">
        <f>IF(Table1[[#This Row],[Is Data Valid]]=TRUE,EXP(0.578+0.332*((Table1[[#This Row],[Gestation (days)]]+0.5)/7)-0.00354*((Table1[[#This Row],[Gestation (days)]]+0.5)/7)^2)*Table1[[#This Row],[BW40_3705]],"")</f>
        <v/>
      </c>
      <c r="G2407" s="2" t="str">
        <f>IF(Table1[[#This Row],[Is Data Valid]]=TRUE,((Table1[[#This Row],[Birthweight (grams)]]/Table1[[#This Row],[BW_GA]])-1)/(Backend!$B$4/100*Table1[[#This Row],[BW40_3705]]),"")</f>
        <v/>
      </c>
      <c r="H2407" s="7" t="str">
        <f>IF(Table1[[#This Row],[Is Data Valid]]=TRUE,((Table1[[#This Row],[Birthweight (grams)]]*0.9/Table1[[#This Row],[BW_GA]])-1)/(Backend!$B$4/100*Table1[[#This Row],[BW40_3705]]),"")</f>
        <v/>
      </c>
      <c r="I2407" s="7" t="str">
        <f>IF(Table1[[#This Row],[Is Data Valid]]=TRUE,((Table1[[#This Row],[Birthweight (grams)]]*1.1/Table1[[#This Row],[BW_GA]])-1)/(Backend!$B$4/100*Table1[[#This Row],[BW40_3705]]),"")</f>
        <v/>
      </c>
      <c r="J2407" s="7" t="str">
        <f>IF(Table1[[#This Row],[Is Data Valid]]=TRUE,_xlfn.NORM.S.DIST(Table1[[#This Row],[Birthweight Z-Score]],TRUE)*100,"")</f>
        <v/>
      </c>
      <c r="K2407" s="7" t="str">
        <f>IF(Table1[[#This Row],[Is Data Valid]]=TRUE,_xlfn.NORM.S.DIST(Table1[[#This Row],[Birthweight Z-Score (BW-10%)]],TRUE)*100,"")</f>
        <v/>
      </c>
      <c r="L2407" s="7" t="str">
        <f>IF(Table1[[#This Row],[Is Data Valid]]=TRUE,_xlfn.NORM.S.DIST(Table1[[#This Row],[Birthweight Z-Score (BW+10%)]],TRUE)*100,"")</f>
        <v/>
      </c>
    </row>
    <row r="2408" spans="1:12" x14ac:dyDescent="0.35">
      <c r="A2408" s="3"/>
      <c r="B2408" s="2"/>
      <c r="C2408" s="2"/>
      <c r="D2408" s="2" t="b">
        <f>IF(AND(NOT(ISBLANK(Table1[[#This Row],[Fetal Sex (Male, Female or Unknown)]])),ISNUMBER(Table1[[#This Row],[Birthweight (grams)]]),ISNUMBER(Table1[[#This Row],[Gestation (days)]])),TRUE,FALSE)</f>
        <v>0</v>
      </c>
      <c r="E2408" s="2" t="str">
        <f>IF(Table1[[#This Row],[Is Data Valid]]=TRUE,IF(Table1[[#This Row],[Fetal Sex (Male, Female or Unknown)]]="Male",Backend!$C$6,IF(Table1[[#This Row],[Fetal Sex (Male, Female or Unknown)]]="Female",Backend!$C$7,IF(Table1[[#This Row],[Fetal Sex (Male, Female or Unknown)]]="Unknown",Backend!$C$8,"Error"))),"")</f>
        <v/>
      </c>
      <c r="F2408" s="8" t="str">
        <f>IF(Table1[[#This Row],[Is Data Valid]]=TRUE,EXP(0.578+0.332*((Table1[[#This Row],[Gestation (days)]]+0.5)/7)-0.00354*((Table1[[#This Row],[Gestation (days)]]+0.5)/7)^2)*Table1[[#This Row],[BW40_3705]],"")</f>
        <v/>
      </c>
      <c r="G2408" s="2" t="str">
        <f>IF(Table1[[#This Row],[Is Data Valid]]=TRUE,((Table1[[#This Row],[Birthweight (grams)]]/Table1[[#This Row],[BW_GA]])-1)/(Backend!$B$4/100*Table1[[#This Row],[BW40_3705]]),"")</f>
        <v/>
      </c>
      <c r="H2408" s="7" t="str">
        <f>IF(Table1[[#This Row],[Is Data Valid]]=TRUE,((Table1[[#This Row],[Birthweight (grams)]]*0.9/Table1[[#This Row],[BW_GA]])-1)/(Backend!$B$4/100*Table1[[#This Row],[BW40_3705]]),"")</f>
        <v/>
      </c>
      <c r="I2408" s="7" t="str">
        <f>IF(Table1[[#This Row],[Is Data Valid]]=TRUE,((Table1[[#This Row],[Birthweight (grams)]]*1.1/Table1[[#This Row],[BW_GA]])-1)/(Backend!$B$4/100*Table1[[#This Row],[BW40_3705]]),"")</f>
        <v/>
      </c>
      <c r="J2408" s="7" t="str">
        <f>IF(Table1[[#This Row],[Is Data Valid]]=TRUE,_xlfn.NORM.S.DIST(Table1[[#This Row],[Birthweight Z-Score]],TRUE)*100,"")</f>
        <v/>
      </c>
      <c r="K2408" s="7" t="str">
        <f>IF(Table1[[#This Row],[Is Data Valid]]=TRUE,_xlfn.NORM.S.DIST(Table1[[#This Row],[Birthweight Z-Score (BW-10%)]],TRUE)*100,"")</f>
        <v/>
      </c>
      <c r="L2408" s="7" t="str">
        <f>IF(Table1[[#This Row],[Is Data Valid]]=TRUE,_xlfn.NORM.S.DIST(Table1[[#This Row],[Birthweight Z-Score (BW+10%)]],TRUE)*100,"")</f>
        <v/>
      </c>
    </row>
    <row r="2409" spans="1:12" x14ac:dyDescent="0.35">
      <c r="A2409" s="3"/>
      <c r="B2409" s="2"/>
      <c r="C2409" s="2"/>
      <c r="D2409" s="2" t="b">
        <f>IF(AND(NOT(ISBLANK(Table1[[#This Row],[Fetal Sex (Male, Female or Unknown)]])),ISNUMBER(Table1[[#This Row],[Birthweight (grams)]]),ISNUMBER(Table1[[#This Row],[Gestation (days)]])),TRUE,FALSE)</f>
        <v>0</v>
      </c>
      <c r="E2409" s="2" t="str">
        <f>IF(Table1[[#This Row],[Is Data Valid]]=TRUE,IF(Table1[[#This Row],[Fetal Sex (Male, Female or Unknown)]]="Male",Backend!$C$6,IF(Table1[[#This Row],[Fetal Sex (Male, Female or Unknown)]]="Female",Backend!$C$7,IF(Table1[[#This Row],[Fetal Sex (Male, Female or Unknown)]]="Unknown",Backend!$C$8,"Error"))),"")</f>
        <v/>
      </c>
      <c r="F2409" s="8" t="str">
        <f>IF(Table1[[#This Row],[Is Data Valid]]=TRUE,EXP(0.578+0.332*((Table1[[#This Row],[Gestation (days)]]+0.5)/7)-0.00354*((Table1[[#This Row],[Gestation (days)]]+0.5)/7)^2)*Table1[[#This Row],[BW40_3705]],"")</f>
        <v/>
      </c>
      <c r="G2409" s="2" t="str">
        <f>IF(Table1[[#This Row],[Is Data Valid]]=TRUE,((Table1[[#This Row],[Birthweight (grams)]]/Table1[[#This Row],[BW_GA]])-1)/(Backend!$B$4/100*Table1[[#This Row],[BW40_3705]]),"")</f>
        <v/>
      </c>
      <c r="H2409" s="7" t="str">
        <f>IF(Table1[[#This Row],[Is Data Valid]]=TRUE,((Table1[[#This Row],[Birthweight (grams)]]*0.9/Table1[[#This Row],[BW_GA]])-1)/(Backend!$B$4/100*Table1[[#This Row],[BW40_3705]]),"")</f>
        <v/>
      </c>
      <c r="I2409" s="7" t="str">
        <f>IF(Table1[[#This Row],[Is Data Valid]]=TRUE,((Table1[[#This Row],[Birthweight (grams)]]*1.1/Table1[[#This Row],[BW_GA]])-1)/(Backend!$B$4/100*Table1[[#This Row],[BW40_3705]]),"")</f>
        <v/>
      </c>
      <c r="J2409" s="7" t="str">
        <f>IF(Table1[[#This Row],[Is Data Valid]]=TRUE,_xlfn.NORM.S.DIST(Table1[[#This Row],[Birthweight Z-Score]],TRUE)*100,"")</f>
        <v/>
      </c>
      <c r="K2409" s="7" t="str">
        <f>IF(Table1[[#This Row],[Is Data Valid]]=TRUE,_xlfn.NORM.S.DIST(Table1[[#This Row],[Birthweight Z-Score (BW-10%)]],TRUE)*100,"")</f>
        <v/>
      </c>
      <c r="L2409" s="7" t="str">
        <f>IF(Table1[[#This Row],[Is Data Valid]]=TRUE,_xlfn.NORM.S.DIST(Table1[[#This Row],[Birthweight Z-Score (BW+10%)]],TRUE)*100,"")</f>
        <v/>
      </c>
    </row>
    <row r="2410" spans="1:12" x14ac:dyDescent="0.35">
      <c r="A2410" s="3"/>
      <c r="B2410" s="2"/>
      <c r="C2410" s="2"/>
      <c r="D2410" s="2" t="b">
        <f>IF(AND(NOT(ISBLANK(Table1[[#This Row],[Fetal Sex (Male, Female or Unknown)]])),ISNUMBER(Table1[[#This Row],[Birthweight (grams)]]),ISNUMBER(Table1[[#This Row],[Gestation (days)]])),TRUE,FALSE)</f>
        <v>0</v>
      </c>
      <c r="E2410" s="2" t="str">
        <f>IF(Table1[[#This Row],[Is Data Valid]]=TRUE,IF(Table1[[#This Row],[Fetal Sex (Male, Female or Unknown)]]="Male",Backend!$C$6,IF(Table1[[#This Row],[Fetal Sex (Male, Female or Unknown)]]="Female",Backend!$C$7,IF(Table1[[#This Row],[Fetal Sex (Male, Female or Unknown)]]="Unknown",Backend!$C$8,"Error"))),"")</f>
        <v/>
      </c>
      <c r="F2410" s="8" t="str">
        <f>IF(Table1[[#This Row],[Is Data Valid]]=TRUE,EXP(0.578+0.332*((Table1[[#This Row],[Gestation (days)]]+0.5)/7)-0.00354*((Table1[[#This Row],[Gestation (days)]]+0.5)/7)^2)*Table1[[#This Row],[BW40_3705]],"")</f>
        <v/>
      </c>
      <c r="G2410" s="2" t="str">
        <f>IF(Table1[[#This Row],[Is Data Valid]]=TRUE,((Table1[[#This Row],[Birthweight (grams)]]/Table1[[#This Row],[BW_GA]])-1)/(Backend!$B$4/100*Table1[[#This Row],[BW40_3705]]),"")</f>
        <v/>
      </c>
      <c r="H2410" s="7" t="str">
        <f>IF(Table1[[#This Row],[Is Data Valid]]=TRUE,((Table1[[#This Row],[Birthweight (grams)]]*0.9/Table1[[#This Row],[BW_GA]])-1)/(Backend!$B$4/100*Table1[[#This Row],[BW40_3705]]),"")</f>
        <v/>
      </c>
      <c r="I2410" s="7" t="str">
        <f>IF(Table1[[#This Row],[Is Data Valid]]=TRUE,((Table1[[#This Row],[Birthweight (grams)]]*1.1/Table1[[#This Row],[BW_GA]])-1)/(Backend!$B$4/100*Table1[[#This Row],[BW40_3705]]),"")</f>
        <v/>
      </c>
      <c r="J2410" s="7" t="str">
        <f>IF(Table1[[#This Row],[Is Data Valid]]=TRUE,_xlfn.NORM.S.DIST(Table1[[#This Row],[Birthweight Z-Score]],TRUE)*100,"")</f>
        <v/>
      </c>
      <c r="K2410" s="7" t="str">
        <f>IF(Table1[[#This Row],[Is Data Valid]]=TRUE,_xlfn.NORM.S.DIST(Table1[[#This Row],[Birthweight Z-Score (BW-10%)]],TRUE)*100,"")</f>
        <v/>
      </c>
      <c r="L2410" s="7" t="str">
        <f>IF(Table1[[#This Row],[Is Data Valid]]=TRUE,_xlfn.NORM.S.DIST(Table1[[#This Row],[Birthweight Z-Score (BW+10%)]],TRUE)*100,"")</f>
        <v/>
      </c>
    </row>
    <row r="2411" spans="1:12" x14ac:dyDescent="0.35">
      <c r="A2411" s="3"/>
      <c r="B2411" s="2"/>
      <c r="C2411" s="2"/>
      <c r="D2411" s="2" t="b">
        <f>IF(AND(NOT(ISBLANK(Table1[[#This Row],[Fetal Sex (Male, Female or Unknown)]])),ISNUMBER(Table1[[#This Row],[Birthweight (grams)]]),ISNUMBER(Table1[[#This Row],[Gestation (days)]])),TRUE,FALSE)</f>
        <v>0</v>
      </c>
      <c r="E2411" s="2" t="str">
        <f>IF(Table1[[#This Row],[Is Data Valid]]=TRUE,IF(Table1[[#This Row],[Fetal Sex (Male, Female or Unknown)]]="Male",Backend!$C$6,IF(Table1[[#This Row],[Fetal Sex (Male, Female or Unknown)]]="Female",Backend!$C$7,IF(Table1[[#This Row],[Fetal Sex (Male, Female or Unknown)]]="Unknown",Backend!$C$8,"Error"))),"")</f>
        <v/>
      </c>
      <c r="F2411" s="8" t="str">
        <f>IF(Table1[[#This Row],[Is Data Valid]]=TRUE,EXP(0.578+0.332*((Table1[[#This Row],[Gestation (days)]]+0.5)/7)-0.00354*((Table1[[#This Row],[Gestation (days)]]+0.5)/7)^2)*Table1[[#This Row],[BW40_3705]],"")</f>
        <v/>
      </c>
      <c r="G2411" s="2" t="str">
        <f>IF(Table1[[#This Row],[Is Data Valid]]=TRUE,((Table1[[#This Row],[Birthweight (grams)]]/Table1[[#This Row],[BW_GA]])-1)/(Backend!$B$4/100*Table1[[#This Row],[BW40_3705]]),"")</f>
        <v/>
      </c>
      <c r="H2411" s="7" t="str">
        <f>IF(Table1[[#This Row],[Is Data Valid]]=TRUE,((Table1[[#This Row],[Birthweight (grams)]]*0.9/Table1[[#This Row],[BW_GA]])-1)/(Backend!$B$4/100*Table1[[#This Row],[BW40_3705]]),"")</f>
        <v/>
      </c>
      <c r="I2411" s="7" t="str">
        <f>IF(Table1[[#This Row],[Is Data Valid]]=TRUE,((Table1[[#This Row],[Birthweight (grams)]]*1.1/Table1[[#This Row],[BW_GA]])-1)/(Backend!$B$4/100*Table1[[#This Row],[BW40_3705]]),"")</f>
        <v/>
      </c>
      <c r="J2411" s="7" t="str">
        <f>IF(Table1[[#This Row],[Is Data Valid]]=TRUE,_xlfn.NORM.S.DIST(Table1[[#This Row],[Birthweight Z-Score]],TRUE)*100,"")</f>
        <v/>
      </c>
      <c r="K2411" s="7" t="str">
        <f>IF(Table1[[#This Row],[Is Data Valid]]=TRUE,_xlfn.NORM.S.DIST(Table1[[#This Row],[Birthweight Z-Score (BW-10%)]],TRUE)*100,"")</f>
        <v/>
      </c>
      <c r="L2411" s="7" t="str">
        <f>IF(Table1[[#This Row],[Is Data Valid]]=TRUE,_xlfn.NORM.S.DIST(Table1[[#This Row],[Birthweight Z-Score (BW+10%)]],TRUE)*100,"")</f>
        <v/>
      </c>
    </row>
    <row r="2412" spans="1:12" x14ac:dyDescent="0.35">
      <c r="A2412" s="3"/>
      <c r="B2412" s="2"/>
      <c r="C2412" s="2"/>
      <c r="D2412" s="2" t="b">
        <f>IF(AND(NOT(ISBLANK(Table1[[#This Row],[Fetal Sex (Male, Female or Unknown)]])),ISNUMBER(Table1[[#This Row],[Birthweight (grams)]]),ISNUMBER(Table1[[#This Row],[Gestation (days)]])),TRUE,FALSE)</f>
        <v>0</v>
      </c>
      <c r="E2412" s="2" t="str">
        <f>IF(Table1[[#This Row],[Is Data Valid]]=TRUE,IF(Table1[[#This Row],[Fetal Sex (Male, Female or Unknown)]]="Male",Backend!$C$6,IF(Table1[[#This Row],[Fetal Sex (Male, Female or Unknown)]]="Female",Backend!$C$7,IF(Table1[[#This Row],[Fetal Sex (Male, Female or Unknown)]]="Unknown",Backend!$C$8,"Error"))),"")</f>
        <v/>
      </c>
      <c r="F2412" s="8" t="str">
        <f>IF(Table1[[#This Row],[Is Data Valid]]=TRUE,EXP(0.578+0.332*((Table1[[#This Row],[Gestation (days)]]+0.5)/7)-0.00354*((Table1[[#This Row],[Gestation (days)]]+0.5)/7)^2)*Table1[[#This Row],[BW40_3705]],"")</f>
        <v/>
      </c>
      <c r="G2412" s="2" t="str">
        <f>IF(Table1[[#This Row],[Is Data Valid]]=TRUE,((Table1[[#This Row],[Birthweight (grams)]]/Table1[[#This Row],[BW_GA]])-1)/(Backend!$B$4/100*Table1[[#This Row],[BW40_3705]]),"")</f>
        <v/>
      </c>
      <c r="H2412" s="7" t="str">
        <f>IF(Table1[[#This Row],[Is Data Valid]]=TRUE,((Table1[[#This Row],[Birthweight (grams)]]*0.9/Table1[[#This Row],[BW_GA]])-1)/(Backend!$B$4/100*Table1[[#This Row],[BW40_3705]]),"")</f>
        <v/>
      </c>
      <c r="I2412" s="7" t="str">
        <f>IF(Table1[[#This Row],[Is Data Valid]]=TRUE,((Table1[[#This Row],[Birthweight (grams)]]*1.1/Table1[[#This Row],[BW_GA]])-1)/(Backend!$B$4/100*Table1[[#This Row],[BW40_3705]]),"")</f>
        <v/>
      </c>
      <c r="J2412" s="7" t="str">
        <f>IF(Table1[[#This Row],[Is Data Valid]]=TRUE,_xlfn.NORM.S.DIST(Table1[[#This Row],[Birthweight Z-Score]],TRUE)*100,"")</f>
        <v/>
      </c>
      <c r="K2412" s="7" t="str">
        <f>IF(Table1[[#This Row],[Is Data Valid]]=TRUE,_xlfn.NORM.S.DIST(Table1[[#This Row],[Birthweight Z-Score (BW-10%)]],TRUE)*100,"")</f>
        <v/>
      </c>
      <c r="L2412" s="7" t="str">
        <f>IF(Table1[[#This Row],[Is Data Valid]]=TRUE,_xlfn.NORM.S.DIST(Table1[[#This Row],[Birthweight Z-Score (BW+10%)]],TRUE)*100,"")</f>
        <v/>
      </c>
    </row>
    <row r="2413" spans="1:12" x14ac:dyDescent="0.35">
      <c r="A2413" s="3"/>
      <c r="B2413" s="2"/>
      <c r="C2413" s="2"/>
      <c r="D2413" s="2" t="b">
        <f>IF(AND(NOT(ISBLANK(Table1[[#This Row],[Fetal Sex (Male, Female or Unknown)]])),ISNUMBER(Table1[[#This Row],[Birthweight (grams)]]),ISNUMBER(Table1[[#This Row],[Gestation (days)]])),TRUE,FALSE)</f>
        <v>0</v>
      </c>
      <c r="E2413" s="2" t="str">
        <f>IF(Table1[[#This Row],[Is Data Valid]]=TRUE,IF(Table1[[#This Row],[Fetal Sex (Male, Female or Unknown)]]="Male",Backend!$C$6,IF(Table1[[#This Row],[Fetal Sex (Male, Female or Unknown)]]="Female",Backend!$C$7,IF(Table1[[#This Row],[Fetal Sex (Male, Female or Unknown)]]="Unknown",Backend!$C$8,"Error"))),"")</f>
        <v/>
      </c>
      <c r="F2413" s="8" t="str">
        <f>IF(Table1[[#This Row],[Is Data Valid]]=TRUE,EXP(0.578+0.332*((Table1[[#This Row],[Gestation (days)]]+0.5)/7)-0.00354*((Table1[[#This Row],[Gestation (days)]]+0.5)/7)^2)*Table1[[#This Row],[BW40_3705]],"")</f>
        <v/>
      </c>
      <c r="G2413" s="2" t="str">
        <f>IF(Table1[[#This Row],[Is Data Valid]]=TRUE,((Table1[[#This Row],[Birthweight (grams)]]/Table1[[#This Row],[BW_GA]])-1)/(Backend!$B$4/100*Table1[[#This Row],[BW40_3705]]),"")</f>
        <v/>
      </c>
      <c r="H2413" s="7" t="str">
        <f>IF(Table1[[#This Row],[Is Data Valid]]=TRUE,((Table1[[#This Row],[Birthweight (grams)]]*0.9/Table1[[#This Row],[BW_GA]])-1)/(Backend!$B$4/100*Table1[[#This Row],[BW40_3705]]),"")</f>
        <v/>
      </c>
      <c r="I2413" s="7" t="str">
        <f>IF(Table1[[#This Row],[Is Data Valid]]=TRUE,((Table1[[#This Row],[Birthweight (grams)]]*1.1/Table1[[#This Row],[BW_GA]])-1)/(Backend!$B$4/100*Table1[[#This Row],[BW40_3705]]),"")</f>
        <v/>
      </c>
      <c r="J2413" s="7" t="str">
        <f>IF(Table1[[#This Row],[Is Data Valid]]=TRUE,_xlfn.NORM.S.DIST(Table1[[#This Row],[Birthweight Z-Score]],TRUE)*100,"")</f>
        <v/>
      </c>
      <c r="K2413" s="7" t="str">
        <f>IF(Table1[[#This Row],[Is Data Valid]]=TRUE,_xlfn.NORM.S.DIST(Table1[[#This Row],[Birthweight Z-Score (BW-10%)]],TRUE)*100,"")</f>
        <v/>
      </c>
      <c r="L2413" s="7" t="str">
        <f>IF(Table1[[#This Row],[Is Data Valid]]=TRUE,_xlfn.NORM.S.DIST(Table1[[#This Row],[Birthweight Z-Score (BW+10%)]],TRUE)*100,"")</f>
        <v/>
      </c>
    </row>
    <row r="2414" spans="1:12" x14ac:dyDescent="0.35">
      <c r="A2414" s="3"/>
      <c r="B2414" s="2"/>
      <c r="C2414" s="2"/>
      <c r="D2414" s="2" t="b">
        <f>IF(AND(NOT(ISBLANK(Table1[[#This Row],[Fetal Sex (Male, Female or Unknown)]])),ISNUMBER(Table1[[#This Row],[Birthweight (grams)]]),ISNUMBER(Table1[[#This Row],[Gestation (days)]])),TRUE,FALSE)</f>
        <v>0</v>
      </c>
      <c r="E2414" s="2" t="str">
        <f>IF(Table1[[#This Row],[Is Data Valid]]=TRUE,IF(Table1[[#This Row],[Fetal Sex (Male, Female or Unknown)]]="Male",Backend!$C$6,IF(Table1[[#This Row],[Fetal Sex (Male, Female or Unknown)]]="Female",Backend!$C$7,IF(Table1[[#This Row],[Fetal Sex (Male, Female or Unknown)]]="Unknown",Backend!$C$8,"Error"))),"")</f>
        <v/>
      </c>
      <c r="F2414" s="8" t="str">
        <f>IF(Table1[[#This Row],[Is Data Valid]]=TRUE,EXP(0.578+0.332*((Table1[[#This Row],[Gestation (days)]]+0.5)/7)-0.00354*((Table1[[#This Row],[Gestation (days)]]+0.5)/7)^2)*Table1[[#This Row],[BW40_3705]],"")</f>
        <v/>
      </c>
      <c r="G2414" s="2" t="str">
        <f>IF(Table1[[#This Row],[Is Data Valid]]=TRUE,((Table1[[#This Row],[Birthweight (grams)]]/Table1[[#This Row],[BW_GA]])-1)/(Backend!$B$4/100*Table1[[#This Row],[BW40_3705]]),"")</f>
        <v/>
      </c>
      <c r="H2414" s="7" t="str">
        <f>IF(Table1[[#This Row],[Is Data Valid]]=TRUE,((Table1[[#This Row],[Birthweight (grams)]]*0.9/Table1[[#This Row],[BW_GA]])-1)/(Backend!$B$4/100*Table1[[#This Row],[BW40_3705]]),"")</f>
        <v/>
      </c>
      <c r="I2414" s="7" t="str">
        <f>IF(Table1[[#This Row],[Is Data Valid]]=TRUE,((Table1[[#This Row],[Birthweight (grams)]]*1.1/Table1[[#This Row],[BW_GA]])-1)/(Backend!$B$4/100*Table1[[#This Row],[BW40_3705]]),"")</f>
        <v/>
      </c>
      <c r="J2414" s="7" t="str">
        <f>IF(Table1[[#This Row],[Is Data Valid]]=TRUE,_xlfn.NORM.S.DIST(Table1[[#This Row],[Birthweight Z-Score]],TRUE)*100,"")</f>
        <v/>
      </c>
      <c r="K2414" s="7" t="str">
        <f>IF(Table1[[#This Row],[Is Data Valid]]=TRUE,_xlfn.NORM.S.DIST(Table1[[#This Row],[Birthweight Z-Score (BW-10%)]],TRUE)*100,"")</f>
        <v/>
      </c>
      <c r="L2414" s="7" t="str">
        <f>IF(Table1[[#This Row],[Is Data Valid]]=TRUE,_xlfn.NORM.S.DIST(Table1[[#This Row],[Birthweight Z-Score (BW+10%)]],TRUE)*100,"")</f>
        <v/>
      </c>
    </row>
    <row r="2415" spans="1:12" x14ac:dyDescent="0.35">
      <c r="A2415" s="3"/>
      <c r="B2415" s="2"/>
      <c r="C2415" s="2"/>
      <c r="D2415" s="2" t="b">
        <f>IF(AND(NOT(ISBLANK(Table1[[#This Row],[Fetal Sex (Male, Female or Unknown)]])),ISNUMBER(Table1[[#This Row],[Birthweight (grams)]]),ISNUMBER(Table1[[#This Row],[Gestation (days)]])),TRUE,FALSE)</f>
        <v>0</v>
      </c>
      <c r="E2415" s="2" t="str">
        <f>IF(Table1[[#This Row],[Is Data Valid]]=TRUE,IF(Table1[[#This Row],[Fetal Sex (Male, Female or Unknown)]]="Male",Backend!$C$6,IF(Table1[[#This Row],[Fetal Sex (Male, Female or Unknown)]]="Female",Backend!$C$7,IF(Table1[[#This Row],[Fetal Sex (Male, Female or Unknown)]]="Unknown",Backend!$C$8,"Error"))),"")</f>
        <v/>
      </c>
      <c r="F2415" s="8" t="str">
        <f>IF(Table1[[#This Row],[Is Data Valid]]=TRUE,EXP(0.578+0.332*((Table1[[#This Row],[Gestation (days)]]+0.5)/7)-0.00354*((Table1[[#This Row],[Gestation (days)]]+0.5)/7)^2)*Table1[[#This Row],[BW40_3705]],"")</f>
        <v/>
      </c>
      <c r="G2415" s="2" t="str">
        <f>IF(Table1[[#This Row],[Is Data Valid]]=TRUE,((Table1[[#This Row],[Birthweight (grams)]]/Table1[[#This Row],[BW_GA]])-1)/(Backend!$B$4/100*Table1[[#This Row],[BW40_3705]]),"")</f>
        <v/>
      </c>
      <c r="H2415" s="7" t="str">
        <f>IF(Table1[[#This Row],[Is Data Valid]]=TRUE,((Table1[[#This Row],[Birthweight (grams)]]*0.9/Table1[[#This Row],[BW_GA]])-1)/(Backend!$B$4/100*Table1[[#This Row],[BW40_3705]]),"")</f>
        <v/>
      </c>
      <c r="I2415" s="7" t="str">
        <f>IF(Table1[[#This Row],[Is Data Valid]]=TRUE,((Table1[[#This Row],[Birthweight (grams)]]*1.1/Table1[[#This Row],[BW_GA]])-1)/(Backend!$B$4/100*Table1[[#This Row],[BW40_3705]]),"")</f>
        <v/>
      </c>
      <c r="J2415" s="7" t="str">
        <f>IF(Table1[[#This Row],[Is Data Valid]]=TRUE,_xlfn.NORM.S.DIST(Table1[[#This Row],[Birthweight Z-Score]],TRUE)*100,"")</f>
        <v/>
      </c>
      <c r="K2415" s="7" t="str">
        <f>IF(Table1[[#This Row],[Is Data Valid]]=TRUE,_xlfn.NORM.S.DIST(Table1[[#This Row],[Birthweight Z-Score (BW-10%)]],TRUE)*100,"")</f>
        <v/>
      </c>
      <c r="L2415" s="7" t="str">
        <f>IF(Table1[[#This Row],[Is Data Valid]]=TRUE,_xlfn.NORM.S.DIST(Table1[[#This Row],[Birthweight Z-Score (BW+10%)]],TRUE)*100,"")</f>
        <v/>
      </c>
    </row>
    <row r="2416" spans="1:12" x14ac:dyDescent="0.35">
      <c r="A2416" s="3"/>
      <c r="B2416" s="2"/>
      <c r="C2416" s="2"/>
      <c r="D2416" s="2" t="b">
        <f>IF(AND(NOT(ISBLANK(Table1[[#This Row],[Fetal Sex (Male, Female or Unknown)]])),ISNUMBER(Table1[[#This Row],[Birthweight (grams)]]),ISNUMBER(Table1[[#This Row],[Gestation (days)]])),TRUE,FALSE)</f>
        <v>0</v>
      </c>
      <c r="E2416" s="2" t="str">
        <f>IF(Table1[[#This Row],[Is Data Valid]]=TRUE,IF(Table1[[#This Row],[Fetal Sex (Male, Female or Unknown)]]="Male",Backend!$C$6,IF(Table1[[#This Row],[Fetal Sex (Male, Female or Unknown)]]="Female",Backend!$C$7,IF(Table1[[#This Row],[Fetal Sex (Male, Female or Unknown)]]="Unknown",Backend!$C$8,"Error"))),"")</f>
        <v/>
      </c>
      <c r="F2416" s="8" t="str">
        <f>IF(Table1[[#This Row],[Is Data Valid]]=TRUE,EXP(0.578+0.332*((Table1[[#This Row],[Gestation (days)]]+0.5)/7)-0.00354*((Table1[[#This Row],[Gestation (days)]]+0.5)/7)^2)*Table1[[#This Row],[BW40_3705]],"")</f>
        <v/>
      </c>
      <c r="G2416" s="2" t="str">
        <f>IF(Table1[[#This Row],[Is Data Valid]]=TRUE,((Table1[[#This Row],[Birthweight (grams)]]/Table1[[#This Row],[BW_GA]])-1)/(Backend!$B$4/100*Table1[[#This Row],[BW40_3705]]),"")</f>
        <v/>
      </c>
      <c r="H2416" s="7" t="str">
        <f>IF(Table1[[#This Row],[Is Data Valid]]=TRUE,((Table1[[#This Row],[Birthweight (grams)]]*0.9/Table1[[#This Row],[BW_GA]])-1)/(Backend!$B$4/100*Table1[[#This Row],[BW40_3705]]),"")</f>
        <v/>
      </c>
      <c r="I2416" s="7" t="str">
        <f>IF(Table1[[#This Row],[Is Data Valid]]=TRUE,((Table1[[#This Row],[Birthweight (grams)]]*1.1/Table1[[#This Row],[BW_GA]])-1)/(Backend!$B$4/100*Table1[[#This Row],[BW40_3705]]),"")</f>
        <v/>
      </c>
      <c r="J2416" s="7" t="str">
        <f>IF(Table1[[#This Row],[Is Data Valid]]=TRUE,_xlfn.NORM.S.DIST(Table1[[#This Row],[Birthweight Z-Score]],TRUE)*100,"")</f>
        <v/>
      </c>
      <c r="K2416" s="7" t="str">
        <f>IF(Table1[[#This Row],[Is Data Valid]]=TRUE,_xlfn.NORM.S.DIST(Table1[[#This Row],[Birthweight Z-Score (BW-10%)]],TRUE)*100,"")</f>
        <v/>
      </c>
      <c r="L2416" s="7" t="str">
        <f>IF(Table1[[#This Row],[Is Data Valid]]=TRUE,_xlfn.NORM.S.DIST(Table1[[#This Row],[Birthweight Z-Score (BW+10%)]],TRUE)*100,"")</f>
        <v/>
      </c>
    </row>
    <row r="2417" spans="1:12" x14ac:dyDescent="0.35">
      <c r="A2417" s="3"/>
      <c r="B2417" s="2"/>
      <c r="C2417" s="2"/>
      <c r="D2417" s="2" t="b">
        <f>IF(AND(NOT(ISBLANK(Table1[[#This Row],[Fetal Sex (Male, Female or Unknown)]])),ISNUMBER(Table1[[#This Row],[Birthweight (grams)]]),ISNUMBER(Table1[[#This Row],[Gestation (days)]])),TRUE,FALSE)</f>
        <v>0</v>
      </c>
      <c r="E2417" s="2" t="str">
        <f>IF(Table1[[#This Row],[Is Data Valid]]=TRUE,IF(Table1[[#This Row],[Fetal Sex (Male, Female or Unknown)]]="Male",Backend!$C$6,IF(Table1[[#This Row],[Fetal Sex (Male, Female or Unknown)]]="Female",Backend!$C$7,IF(Table1[[#This Row],[Fetal Sex (Male, Female or Unknown)]]="Unknown",Backend!$C$8,"Error"))),"")</f>
        <v/>
      </c>
      <c r="F2417" s="8" t="str">
        <f>IF(Table1[[#This Row],[Is Data Valid]]=TRUE,EXP(0.578+0.332*((Table1[[#This Row],[Gestation (days)]]+0.5)/7)-0.00354*((Table1[[#This Row],[Gestation (days)]]+0.5)/7)^2)*Table1[[#This Row],[BW40_3705]],"")</f>
        <v/>
      </c>
      <c r="G2417" s="2" t="str">
        <f>IF(Table1[[#This Row],[Is Data Valid]]=TRUE,((Table1[[#This Row],[Birthweight (grams)]]/Table1[[#This Row],[BW_GA]])-1)/(Backend!$B$4/100*Table1[[#This Row],[BW40_3705]]),"")</f>
        <v/>
      </c>
      <c r="H2417" s="7" t="str">
        <f>IF(Table1[[#This Row],[Is Data Valid]]=TRUE,((Table1[[#This Row],[Birthweight (grams)]]*0.9/Table1[[#This Row],[BW_GA]])-1)/(Backend!$B$4/100*Table1[[#This Row],[BW40_3705]]),"")</f>
        <v/>
      </c>
      <c r="I2417" s="7" t="str">
        <f>IF(Table1[[#This Row],[Is Data Valid]]=TRUE,((Table1[[#This Row],[Birthweight (grams)]]*1.1/Table1[[#This Row],[BW_GA]])-1)/(Backend!$B$4/100*Table1[[#This Row],[BW40_3705]]),"")</f>
        <v/>
      </c>
      <c r="J2417" s="7" t="str">
        <f>IF(Table1[[#This Row],[Is Data Valid]]=TRUE,_xlfn.NORM.S.DIST(Table1[[#This Row],[Birthweight Z-Score]],TRUE)*100,"")</f>
        <v/>
      </c>
      <c r="K2417" s="7" t="str">
        <f>IF(Table1[[#This Row],[Is Data Valid]]=TRUE,_xlfn.NORM.S.DIST(Table1[[#This Row],[Birthweight Z-Score (BW-10%)]],TRUE)*100,"")</f>
        <v/>
      </c>
      <c r="L2417" s="7" t="str">
        <f>IF(Table1[[#This Row],[Is Data Valid]]=TRUE,_xlfn.NORM.S.DIST(Table1[[#This Row],[Birthweight Z-Score (BW+10%)]],TRUE)*100,"")</f>
        <v/>
      </c>
    </row>
    <row r="2418" spans="1:12" x14ac:dyDescent="0.35">
      <c r="A2418" s="3"/>
      <c r="B2418" s="2"/>
      <c r="C2418" s="2"/>
      <c r="D2418" s="2" t="b">
        <f>IF(AND(NOT(ISBLANK(Table1[[#This Row],[Fetal Sex (Male, Female or Unknown)]])),ISNUMBER(Table1[[#This Row],[Birthweight (grams)]]),ISNUMBER(Table1[[#This Row],[Gestation (days)]])),TRUE,FALSE)</f>
        <v>0</v>
      </c>
      <c r="E2418" s="2" t="str">
        <f>IF(Table1[[#This Row],[Is Data Valid]]=TRUE,IF(Table1[[#This Row],[Fetal Sex (Male, Female or Unknown)]]="Male",Backend!$C$6,IF(Table1[[#This Row],[Fetal Sex (Male, Female or Unknown)]]="Female",Backend!$C$7,IF(Table1[[#This Row],[Fetal Sex (Male, Female or Unknown)]]="Unknown",Backend!$C$8,"Error"))),"")</f>
        <v/>
      </c>
      <c r="F2418" s="8" t="str">
        <f>IF(Table1[[#This Row],[Is Data Valid]]=TRUE,EXP(0.578+0.332*((Table1[[#This Row],[Gestation (days)]]+0.5)/7)-0.00354*((Table1[[#This Row],[Gestation (days)]]+0.5)/7)^2)*Table1[[#This Row],[BW40_3705]],"")</f>
        <v/>
      </c>
      <c r="G2418" s="2" t="str">
        <f>IF(Table1[[#This Row],[Is Data Valid]]=TRUE,((Table1[[#This Row],[Birthweight (grams)]]/Table1[[#This Row],[BW_GA]])-1)/(Backend!$B$4/100*Table1[[#This Row],[BW40_3705]]),"")</f>
        <v/>
      </c>
      <c r="H2418" s="7" t="str">
        <f>IF(Table1[[#This Row],[Is Data Valid]]=TRUE,((Table1[[#This Row],[Birthweight (grams)]]*0.9/Table1[[#This Row],[BW_GA]])-1)/(Backend!$B$4/100*Table1[[#This Row],[BW40_3705]]),"")</f>
        <v/>
      </c>
      <c r="I2418" s="7" t="str">
        <f>IF(Table1[[#This Row],[Is Data Valid]]=TRUE,((Table1[[#This Row],[Birthweight (grams)]]*1.1/Table1[[#This Row],[BW_GA]])-1)/(Backend!$B$4/100*Table1[[#This Row],[BW40_3705]]),"")</f>
        <v/>
      </c>
      <c r="J2418" s="7" t="str">
        <f>IF(Table1[[#This Row],[Is Data Valid]]=TRUE,_xlfn.NORM.S.DIST(Table1[[#This Row],[Birthweight Z-Score]],TRUE)*100,"")</f>
        <v/>
      </c>
      <c r="K2418" s="7" t="str">
        <f>IF(Table1[[#This Row],[Is Data Valid]]=TRUE,_xlfn.NORM.S.DIST(Table1[[#This Row],[Birthweight Z-Score (BW-10%)]],TRUE)*100,"")</f>
        <v/>
      </c>
      <c r="L2418" s="7" t="str">
        <f>IF(Table1[[#This Row],[Is Data Valid]]=TRUE,_xlfn.NORM.S.DIST(Table1[[#This Row],[Birthweight Z-Score (BW+10%)]],TRUE)*100,"")</f>
        <v/>
      </c>
    </row>
    <row r="2419" spans="1:12" x14ac:dyDescent="0.35">
      <c r="A2419" s="3"/>
      <c r="B2419" s="2"/>
      <c r="C2419" s="2"/>
      <c r="D2419" s="2" t="b">
        <f>IF(AND(NOT(ISBLANK(Table1[[#This Row],[Fetal Sex (Male, Female or Unknown)]])),ISNUMBER(Table1[[#This Row],[Birthweight (grams)]]),ISNUMBER(Table1[[#This Row],[Gestation (days)]])),TRUE,FALSE)</f>
        <v>0</v>
      </c>
      <c r="E2419" s="2" t="str">
        <f>IF(Table1[[#This Row],[Is Data Valid]]=TRUE,IF(Table1[[#This Row],[Fetal Sex (Male, Female or Unknown)]]="Male",Backend!$C$6,IF(Table1[[#This Row],[Fetal Sex (Male, Female or Unknown)]]="Female",Backend!$C$7,IF(Table1[[#This Row],[Fetal Sex (Male, Female or Unknown)]]="Unknown",Backend!$C$8,"Error"))),"")</f>
        <v/>
      </c>
      <c r="F2419" s="8" t="str">
        <f>IF(Table1[[#This Row],[Is Data Valid]]=TRUE,EXP(0.578+0.332*((Table1[[#This Row],[Gestation (days)]]+0.5)/7)-0.00354*((Table1[[#This Row],[Gestation (days)]]+0.5)/7)^2)*Table1[[#This Row],[BW40_3705]],"")</f>
        <v/>
      </c>
      <c r="G2419" s="2" t="str">
        <f>IF(Table1[[#This Row],[Is Data Valid]]=TRUE,((Table1[[#This Row],[Birthweight (grams)]]/Table1[[#This Row],[BW_GA]])-1)/(Backend!$B$4/100*Table1[[#This Row],[BW40_3705]]),"")</f>
        <v/>
      </c>
      <c r="H2419" s="7" t="str">
        <f>IF(Table1[[#This Row],[Is Data Valid]]=TRUE,((Table1[[#This Row],[Birthweight (grams)]]*0.9/Table1[[#This Row],[BW_GA]])-1)/(Backend!$B$4/100*Table1[[#This Row],[BW40_3705]]),"")</f>
        <v/>
      </c>
      <c r="I2419" s="7" t="str">
        <f>IF(Table1[[#This Row],[Is Data Valid]]=TRUE,((Table1[[#This Row],[Birthweight (grams)]]*1.1/Table1[[#This Row],[BW_GA]])-1)/(Backend!$B$4/100*Table1[[#This Row],[BW40_3705]]),"")</f>
        <v/>
      </c>
      <c r="J2419" s="7" t="str">
        <f>IF(Table1[[#This Row],[Is Data Valid]]=TRUE,_xlfn.NORM.S.DIST(Table1[[#This Row],[Birthweight Z-Score]],TRUE)*100,"")</f>
        <v/>
      </c>
      <c r="K2419" s="7" t="str">
        <f>IF(Table1[[#This Row],[Is Data Valid]]=TRUE,_xlfn.NORM.S.DIST(Table1[[#This Row],[Birthweight Z-Score (BW-10%)]],TRUE)*100,"")</f>
        <v/>
      </c>
      <c r="L2419" s="7" t="str">
        <f>IF(Table1[[#This Row],[Is Data Valid]]=TRUE,_xlfn.NORM.S.DIST(Table1[[#This Row],[Birthweight Z-Score (BW+10%)]],TRUE)*100,"")</f>
        <v/>
      </c>
    </row>
    <row r="2420" spans="1:12" x14ac:dyDescent="0.35">
      <c r="A2420" s="3"/>
      <c r="B2420" s="2"/>
      <c r="C2420" s="2"/>
      <c r="D2420" s="2" t="b">
        <f>IF(AND(NOT(ISBLANK(Table1[[#This Row],[Fetal Sex (Male, Female or Unknown)]])),ISNUMBER(Table1[[#This Row],[Birthweight (grams)]]),ISNUMBER(Table1[[#This Row],[Gestation (days)]])),TRUE,FALSE)</f>
        <v>0</v>
      </c>
      <c r="E2420" s="2" t="str">
        <f>IF(Table1[[#This Row],[Is Data Valid]]=TRUE,IF(Table1[[#This Row],[Fetal Sex (Male, Female or Unknown)]]="Male",Backend!$C$6,IF(Table1[[#This Row],[Fetal Sex (Male, Female or Unknown)]]="Female",Backend!$C$7,IF(Table1[[#This Row],[Fetal Sex (Male, Female or Unknown)]]="Unknown",Backend!$C$8,"Error"))),"")</f>
        <v/>
      </c>
      <c r="F2420" s="8" t="str">
        <f>IF(Table1[[#This Row],[Is Data Valid]]=TRUE,EXP(0.578+0.332*((Table1[[#This Row],[Gestation (days)]]+0.5)/7)-0.00354*((Table1[[#This Row],[Gestation (days)]]+0.5)/7)^2)*Table1[[#This Row],[BW40_3705]],"")</f>
        <v/>
      </c>
      <c r="G2420" s="2" t="str">
        <f>IF(Table1[[#This Row],[Is Data Valid]]=TRUE,((Table1[[#This Row],[Birthweight (grams)]]/Table1[[#This Row],[BW_GA]])-1)/(Backend!$B$4/100*Table1[[#This Row],[BW40_3705]]),"")</f>
        <v/>
      </c>
      <c r="H2420" s="7" t="str">
        <f>IF(Table1[[#This Row],[Is Data Valid]]=TRUE,((Table1[[#This Row],[Birthweight (grams)]]*0.9/Table1[[#This Row],[BW_GA]])-1)/(Backend!$B$4/100*Table1[[#This Row],[BW40_3705]]),"")</f>
        <v/>
      </c>
      <c r="I2420" s="7" t="str">
        <f>IF(Table1[[#This Row],[Is Data Valid]]=TRUE,((Table1[[#This Row],[Birthweight (grams)]]*1.1/Table1[[#This Row],[BW_GA]])-1)/(Backend!$B$4/100*Table1[[#This Row],[BW40_3705]]),"")</f>
        <v/>
      </c>
      <c r="J2420" s="7" t="str">
        <f>IF(Table1[[#This Row],[Is Data Valid]]=TRUE,_xlfn.NORM.S.DIST(Table1[[#This Row],[Birthweight Z-Score]],TRUE)*100,"")</f>
        <v/>
      </c>
      <c r="K2420" s="7" t="str">
        <f>IF(Table1[[#This Row],[Is Data Valid]]=TRUE,_xlfn.NORM.S.DIST(Table1[[#This Row],[Birthweight Z-Score (BW-10%)]],TRUE)*100,"")</f>
        <v/>
      </c>
      <c r="L2420" s="7" t="str">
        <f>IF(Table1[[#This Row],[Is Data Valid]]=TRUE,_xlfn.NORM.S.DIST(Table1[[#This Row],[Birthweight Z-Score (BW+10%)]],TRUE)*100,"")</f>
        <v/>
      </c>
    </row>
    <row r="2421" spans="1:12" x14ac:dyDescent="0.35">
      <c r="A2421" s="3"/>
      <c r="B2421" s="2"/>
      <c r="C2421" s="2"/>
      <c r="D2421" s="2" t="b">
        <f>IF(AND(NOT(ISBLANK(Table1[[#This Row],[Fetal Sex (Male, Female or Unknown)]])),ISNUMBER(Table1[[#This Row],[Birthweight (grams)]]),ISNUMBER(Table1[[#This Row],[Gestation (days)]])),TRUE,FALSE)</f>
        <v>0</v>
      </c>
      <c r="E2421" s="2" t="str">
        <f>IF(Table1[[#This Row],[Is Data Valid]]=TRUE,IF(Table1[[#This Row],[Fetal Sex (Male, Female or Unknown)]]="Male",Backend!$C$6,IF(Table1[[#This Row],[Fetal Sex (Male, Female or Unknown)]]="Female",Backend!$C$7,IF(Table1[[#This Row],[Fetal Sex (Male, Female or Unknown)]]="Unknown",Backend!$C$8,"Error"))),"")</f>
        <v/>
      </c>
      <c r="F2421" s="8" t="str">
        <f>IF(Table1[[#This Row],[Is Data Valid]]=TRUE,EXP(0.578+0.332*((Table1[[#This Row],[Gestation (days)]]+0.5)/7)-0.00354*((Table1[[#This Row],[Gestation (days)]]+0.5)/7)^2)*Table1[[#This Row],[BW40_3705]],"")</f>
        <v/>
      </c>
      <c r="G2421" s="2" t="str">
        <f>IF(Table1[[#This Row],[Is Data Valid]]=TRUE,((Table1[[#This Row],[Birthweight (grams)]]/Table1[[#This Row],[BW_GA]])-1)/(Backend!$B$4/100*Table1[[#This Row],[BW40_3705]]),"")</f>
        <v/>
      </c>
      <c r="H2421" s="7" t="str">
        <f>IF(Table1[[#This Row],[Is Data Valid]]=TRUE,((Table1[[#This Row],[Birthweight (grams)]]*0.9/Table1[[#This Row],[BW_GA]])-1)/(Backend!$B$4/100*Table1[[#This Row],[BW40_3705]]),"")</f>
        <v/>
      </c>
      <c r="I2421" s="7" t="str">
        <f>IF(Table1[[#This Row],[Is Data Valid]]=TRUE,((Table1[[#This Row],[Birthweight (grams)]]*1.1/Table1[[#This Row],[BW_GA]])-1)/(Backend!$B$4/100*Table1[[#This Row],[BW40_3705]]),"")</f>
        <v/>
      </c>
      <c r="J2421" s="7" t="str">
        <f>IF(Table1[[#This Row],[Is Data Valid]]=TRUE,_xlfn.NORM.S.DIST(Table1[[#This Row],[Birthweight Z-Score]],TRUE)*100,"")</f>
        <v/>
      </c>
      <c r="K2421" s="7" t="str">
        <f>IF(Table1[[#This Row],[Is Data Valid]]=TRUE,_xlfn.NORM.S.DIST(Table1[[#This Row],[Birthweight Z-Score (BW-10%)]],TRUE)*100,"")</f>
        <v/>
      </c>
      <c r="L2421" s="7" t="str">
        <f>IF(Table1[[#This Row],[Is Data Valid]]=TRUE,_xlfn.NORM.S.DIST(Table1[[#This Row],[Birthweight Z-Score (BW+10%)]],TRUE)*100,"")</f>
        <v/>
      </c>
    </row>
    <row r="2422" spans="1:12" x14ac:dyDescent="0.35">
      <c r="A2422" s="3"/>
      <c r="B2422" s="2"/>
      <c r="C2422" s="2"/>
      <c r="D2422" s="2" t="b">
        <f>IF(AND(NOT(ISBLANK(Table1[[#This Row],[Fetal Sex (Male, Female or Unknown)]])),ISNUMBER(Table1[[#This Row],[Birthweight (grams)]]),ISNUMBER(Table1[[#This Row],[Gestation (days)]])),TRUE,FALSE)</f>
        <v>0</v>
      </c>
      <c r="E2422" s="2" t="str">
        <f>IF(Table1[[#This Row],[Is Data Valid]]=TRUE,IF(Table1[[#This Row],[Fetal Sex (Male, Female or Unknown)]]="Male",Backend!$C$6,IF(Table1[[#This Row],[Fetal Sex (Male, Female or Unknown)]]="Female",Backend!$C$7,IF(Table1[[#This Row],[Fetal Sex (Male, Female or Unknown)]]="Unknown",Backend!$C$8,"Error"))),"")</f>
        <v/>
      </c>
      <c r="F2422" s="8" t="str">
        <f>IF(Table1[[#This Row],[Is Data Valid]]=TRUE,EXP(0.578+0.332*((Table1[[#This Row],[Gestation (days)]]+0.5)/7)-0.00354*((Table1[[#This Row],[Gestation (days)]]+0.5)/7)^2)*Table1[[#This Row],[BW40_3705]],"")</f>
        <v/>
      </c>
      <c r="G2422" s="2" t="str">
        <f>IF(Table1[[#This Row],[Is Data Valid]]=TRUE,((Table1[[#This Row],[Birthweight (grams)]]/Table1[[#This Row],[BW_GA]])-1)/(Backend!$B$4/100*Table1[[#This Row],[BW40_3705]]),"")</f>
        <v/>
      </c>
      <c r="H2422" s="7" t="str">
        <f>IF(Table1[[#This Row],[Is Data Valid]]=TRUE,((Table1[[#This Row],[Birthweight (grams)]]*0.9/Table1[[#This Row],[BW_GA]])-1)/(Backend!$B$4/100*Table1[[#This Row],[BW40_3705]]),"")</f>
        <v/>
      </c>
      <c r="I2422" s="7" t="str">
        <f>IF(Table1[[#This Row],[Is Data Valid]]=TRUE,((Table1[[#This Row],[Birthweight (grams)]]*1.1/Table1[[#This Row],[BW_GA]])-1)/(Backend!$B$4/100*Table1[[#This Row],[BW40_3705]]),"")</f>
        <v/>
      </c>
      <c r="J2422" s="7" t="str">
        <f>IF(Table1[[#This Row],[Is Data Valid]]=TRUE,_xlfn.NORM.S.DIST(Table1[[#This Row],[Birthweight Z-Score]],TRUE)*100,"")</f>
        <v/>
      </c>
      <c r="K2422" s="7" t="str">
        <f>IF(Table1[[#This Row],[Is Data Valid]]=TRUE,_xlfn.NORM.S.DIST(Table1[[#This Row],[Birthweight Z-Score (BW-10%)]],TRUE)*100,"")</f>
        <v/>
      </c>
      <c r="L2422" s="7" t="str">
        <f>IF(Table1[[#This Row],[Is Data Valid]]=TRUE,_xlfn.NORM.S.DIST(Table1[[#This Row],[Birthweight Z-Score (BW+10%)]],TRUE)*100,"")</f>
        <v/>
      </c>
    </row>
    <row r="2423" spans="1:12" x14ac:dyDescent="0.35">
      <c r="A2423" s="3"/>
      <c r="B2423" s="2"/>
      <c r="C2423" s="2"/>
      <c r="D2423" s="2" t="b">
        <f>IF(AND(NOT(ISBLANK(Table1[[#This Row],[Fetal Sex (Male, Female or Unknown)]])),ISNUMBER(Table1[[#This Row],[Birthweight (grams)]]),ISNUMBER(Table1[[#This Row],[Gestation (days)]])),TRUE,FALSE)</f>
        <v>0</v>
      </c>
      <c r="E2423" s="2" t="str">
        <f>IF(Table1[[#This Row],[Is Data Valid]]=TRUE,IF(Table1[[#This Row],[Fetal Sex (Male, Female or Unknown)]]="Male",Backend!$C$6,IF(Table1[[#This Row],[Fetal Sex (Male, Female or Unknown)]]="Female",Backend!$C$7,IF(Table1[[#This Row],[Fetal Sex (Male, Female or Unknown)]]="Unknown",Backend!$C$8,"Error"))),"")</f>
        <v/>
      </c>
      <c r="F2423" s="8" t="str">
        <f>IF(Table1[[#This Row],[Is Data Valid]]=TRUE,EXP(0.578+0.332*((Table1[[#This Row],[Gestation (days)]]+0.5)/7)-0.00354*((Table1[[#This Row],[Gestation (days)]]+0.5)/7)^2)*Table1[[#This Row],[BW40_3705]],"")</f>
        <v/>
      </c>
      <c r="G2423" s="2" t="str">
        <f>IF(Table1[[#This Row],[Is Data Valid]]=TRUE,((Table1[[#This Row],[Birthweight (grams)]]/Table1[[#This Row],[BW_GA]])-1)/(Backend!$B$4/100*Table1[[#This Row],[BW40_3705]]),"")</f>
        <v/>
      </c>
      <c r="H2423" s="7" t="str">
        <f>IF(Table1[[#This Row],[Is Data Valid]]=TRUE,((Table1[[#This Row],[Birthweight (grams)]]*0.9/Table1[[#This Row],[BW_GA]])-1)/(Backend!$B$4/100*Table1[[#This Row],[BW40_3705]]),"")</f>
        <v/>
      </c>
      <c r="I2423" s="7" t="str">
        <f>IF(Table1[[#This Row],[Is Data Valid]]=TRUE,((Table1[[#This Row],[Birthweight (grams)]]*1.1/Table1[[#This Row],[BW_GA]])-1)/(Backend!$B$4/100*Table1[[#This Row],[BW40_3705]]),"")</f>
        <v/>
      </c>
      <c r="J2423" s="7" t="str">
        <f>IF(Table1[[#This Row],[Is Data Valid]]=TRUE,_xlfn.NORM.S.DIST(Table1[[#This Row],[Birthweight Z-Score]],TRUE)*100,"")</f>
        <v/>
      </c>
      <c r="K2423" s="7" t="str">
        <f>IF(Table1[[#This Row],[Is Data Valid]]=TRUE,_xlfn.NORM.S.DIST(Table1[[#This Row],[Birthweight Z-Score (BW-10%)]],TRUE)*100,"")</f>
        <v/>
      </c>
      <c r="L2423" s="7" t="str">
        <f>IF(Table1[[#This Row],[Is Data Valid]]=TRUE,_xlfn.NORM.S.DIST(Table1[[#This Row],[Birthweight Z-Score (BW+10%)]],TRUE)*100,"")</f>
        <v/>
      </c>
    </row>
    <row r="2424" spans="1:12" x14ac:dyDescent="0.35">
      <c r="A2424" s="3"/>
      <c r="B2424" s="2"/>
      <c r="C2424" s="2"/>
      <c r="D2424" s="2" t="b">
        <f>IF(AND(NOT(ISBLANK(Table1[[#This Row],[Fetal Sex (Male, Female or Unknown)]])),ISNUMBER(Table1[[#This Row],[Birthweight (grams)]]),ISNUMBER(Table1[[#This Row],[Gestation (days)]])),TRUE,FALSE)</f>
        <v>0</v>
      </c>
      <c r="E2424" s="2" t="str">
        <f>IF(Table1[[#This Row],[Is Data Valid]]=TRUE,IF(Table1[[#This Row],[Fetal Sex (Male, Female or Unknown)]]="Male",Backend!$C$6,IF(Table1[[#This Row],[Fetal Sex (Male, Female or Unknown)]]="Female",Backend!$C$7,IF(Table1[[#This Row],[Fetal Sex (Male, Female or Unknown)]]="Unknown",Backend!$C$8,"Error"))),"")</f>
        <v/>
      </c>
      <c r="F2424" s="8" t="str">
        <f>IF(Table1[[#This Row],[Is Data Valid]]=TRUE,EXP(0.578+0.332*((Table1[[#This Row],[Gestation (days)]]+0.5)/7)-0.00354*((Table1[[#This Row],[Gestation (days)]]+0.5)/7)^2)*Table1[[#This Row],[BW40_3705]],"")</f>
        <v/>
      </c>
      <c r="G2424" s="2" t="str">
        <f>IF(Table1[[#This Row],[Is Data Valid]]=TRUE,((Table1[[#This Row],[Birthweight (grams)]]/Table1[[#This Row],[BW_GA]])-1)/(Backend!$B$4/100*Table1[[#This Row],[BW40_3705]]),"")</f>
        <v/>
      </c>
      <c r="H2424" s="7" t="str">
        <f>IF(Table1[[#This Row],[Is Data Valid]]=TRUE,((Table1[[#This Row],[Birthweight (grams)]]*0.9/Table1[[#This Row],[BW_GA]])-1)/(Backend!$B$4/100*Table1[[#This Row],[BW40_3705]]),"")</f>
        <v/>
      </c>
      <c r="I2424" s="7" t="str">
        <f>IF(Table1[[#This Row],[Is Data Valid]]=TRUE,((Table1[[#This Row],[Birthweight (grams)]]*1.1/Table1[[#This Row],[BW_GA]])-1)/(Backend!$B$4/100*Table1[[#This Row],[BW40_3705]]),"")</f>
        <v/>
      </c>
      <c r="J2424" s="7" t="str">
        <f>IF(Table1[[#This Row],[Is Data Valid]]=TRUE,_xlfn.NORM.S.DIST(Table1[[#This Row],[Birthweight Z-Score]],TRUE)*100,"")</f>
        <v/>
      </c>
      <c r="K2424" s="7" t="str">
        <f>IF(Table1[[#This Row],[Is Data Valid]]=TRUE,_xlfn.NORM.S.DIST(Table1[[#This Row],[Birthweight Z-Score (BW-10%)]],TRUE)*100,"")</f>
        <v/>
      </c>
      <c r="L2424" s="7" t="str">
        <f>IF(Table1[[#This Row],[Is Data Valid]]=TRUE,_xlfn.NORM.S.DIST(Table1[[#This Row],[Birthweight Z-Score (BW+10%)]],TRUE)*100,"")</f>
        <v/>
      </c>
    </row>
    <row r="2425" spans="1:12" x14ac:dyDescent="0.35">
      <c r="A2425" s="3"/>
      <c r="B2425" s="2"/>
      <c r="C2425" s="2"/>
      <c r="D2425" s="2" t="b">
        <f>IF(AND(NOT(ISBLANK(Table1[[#This Row],[Fetal Sex (Male, Female or Unknown)]])),ISNUMBER(Table1[[#This Row],[Birthweight (grams)]]),ISNUMBER(Table1[[#This Row],[Gestation (days)]])),TRUE,FALSE)</f>
        <v>0</v>
      </c>
      <c r="E2425" s="2" t="str">
        <f>IF(Table1[[#This Row],[Is Data Valid]]=TRUE,IF(Table1[[#This Row],[Fetal Sex (Male, Female or Unknown)]]="Male",Backend!$C$6,IF(Table1[[#This Row],[Fetal Sex (Male, Female or Unknown)]]="Female",Backend!$C$7,IF(Table1[[#This Row],[Fetal Sex (Male, Female or Unknown)]]="Unknown",Backend!$C$8,"Error"))),"")</f>
        <v/>
      </c>
      <c r="F2425" s="8" t="str">
        <f>IF(Table1[[#This Row],[Is Data Valid]]=TRUE,EXP(0.578+0.332*((Table1[[#This Row],[Gestation (days)]]+0.5)/7)-0.00354*((Table1[[#This Row],[Gestation (days)]]+0.5)/7)^2)*Table1[[#This Row],[BW40_3705]],"")</f>
        <v/>
      </c>
      <c r="G2425" s="2" t="str">
        <f>IF(Table1[[#This Row],[Is Data Valid]]=TRUE,((Table1[[#This Row],[Birthweight (grams)]]/Table1[[#This Row],[BW_GA]])-1)/(Backend!$B$4/100*Table1[[#This Row],[BW40_3705]]),"")</f>
        <v/>
      </c>
      <c r="H2425" s="7" t="str">
        <f>IF(Table1[[#This Row],[Is Data Valid]]=TRUE,((Table1[[#This Row],[Birthweight (grams)]]*0.9/Table1[[#This Row],[BW_GA]])-1)/(Backend!$B$4/100*Table1[[#This Row],[BW40_3705]]),"")</f>
        <v/>
      </c>
      <c r="I2425" s="7" t="str">
        <f>IF(Table1[[#This Row],[Is Data Valid]]=TRUE,((Table1[[#This Row],[Birthweight (grams)]]*1.1/Table1[[#This Row],[BW_GA]])-1)/(Backend!$B$4/100*Table1[[#This Row],[BW40_3705]]),"")</f>
        <v/>
      </c>
      <c r="J2425" s="7" t="str">
        <f>IF(Table1[[#This Row],[Is Data Valid]]=TRUE,_xlfn.NORM.S.DIST(Table1[[#This Row],[Birthweight Z-Score]],TRUE)*100,"")</f>
        <v/>
      </c>
      <c r="K2425" s="7" t="str">
        <f>IF(Table1[[#This Row],[Is Data Valid]]=TRUE,_xlfn.NORM.S.DIST(Table1[[#This Row],[Birthweight Z-Score (BW-10%)]],TRUE)*100,"")</f>
        <v/>
      </c>
      <c r="L2425" s="7" t="str">
        <f>IF(Table1[[#This Row],[Is Data Valid]]=TRUE,_xlfn.NORM.S.DIST(Table1[[#This Row],[Birthweight Z-Score (BW+10%)]],TRUE)*100,"")</f>
        <v/>
      </c>
    </row>
    <row r="2426" spans="1:12" x14ac:dyDescent="0.35">
      <c r="A2426" s="3"/>
      <c r="B2426" s="2"/>
      <c r="C2426" s="2"/>
      <c r="D2426" s="2" t="b">
        <f>IF(AND(NOT(ISBLANK(Table1[[#This Row],[Fetal Sex (Male, Female or Unknown)]])),ISNUMBER(Table1[[#This Row],[Birthweight (grams)]]),ISNUMBER(Table1[[#This Row],[Gestation (days)]])),TRUE,FALSE)</f>
        <v>0</v>
      </c>
      <c r="E2426" s="2" t="str">
        <f>IF(Table1[[#This Row],[Is Data Valid]]=TRUE,IF(Table1[[#This Row],[Fetal Sex (Male, Female or Unknown)]]="Male",Backend!$C$6,IF(Table1[[#This Row],[Fetal Sex (Male, Female or Unknown)]]="Female",Backend!$C$7,IF(Table1[[#This Row],[Fetal Sex (Male, Female or Unknown)]]="Unknown",Backend!$C$8,"Error"))),"")</f>
        <v/>
      </c>
      <c r="F2426" s="8" t="str">
        <f>IF(Table1[[#This Row],[Is Data Valid]]=TRUE,EXP(0.578+0.332*((Table1[[#This Row],[Gestation (days)]]+0.5)/7)-0.00354*((Table1[[#This Row],[Gestation (days)]]+0.5)/7)^2)*Table1[[#This Row],[BW40_3705]],"")</f>
        <v/>
      </c>
      <c r="G2426" s="2" t="str">
        <f>IF(Table1[[#This Row],[Is Data Valid]]=TRUE,((Table1[[#This Row],[Birthweight (grams)]]/Table1[[#This Row],[BW_GA]])-1)/(Backend!$B$4/100*Table1[[#This Row],[BW40_3705]]),"")</f>
        <v/>
      </c>
      <c r="H2426" s="7" t="str">
        <f>IF(Table1[[#This Row],[Is Data Valid]]=TRUE,((Table1[[#This Row],[Birthweight (grams)]]*0.9/Table1[[#This Row],[BW_GA]])-1)/(Backend!$B$4/100*Table1[[#This Row],[BW40_3705]]),"")</f>
        <v/>
      </c>
      <c r="I2426" s="7" t="str">
        <f>IF(Table1[[#This Row],[Is Data Valid]]=TRUE,((Table1[[#This Row],[Birthweight (grams)]]*1.1/Table1[[#This Row],[BW_GA]])-1)/(Backend!$B$4/100*Table1[[#This Row],[BW40_3705]]),"")</f>
        <v/>
      </c>
      <c r="J2426" s="7" t="str">
        <f>IF(Table1[[#This Row],[Is Data Valid]]=TRUE,_xlfn.NORM.S.DIST(Table1[[#This Row],[Birthweight Z-Score]],TRUE)*100,"")</f>
        <v/>
      </c>
      <c r="K2426" s="7" t="str">
        <f>IF(Table1[[#This Row],[Is Data Valid]]=TRUE,_xlfn.NORM.S.DIST(Table1[[#This Row],[Birthweight Z-Score (BW-10%)]],TRUE)*100,"")</f>
        <v/>
      </c>
      <c r="L2426" s="7" t="str">
        <f>IF(Table1[[#This Row],[Is Data Valid]]=TRUE,_xlfn.NORM.S.DIST(Table1[[#This Row],[Birthweight Z-Score (BW+10%)]],TRUE)*100,"")</f>
        <v/>
      </c>
    </row>
    <row r="2427" spans="1:12" x14ac:dyDescent="0.35">
      <c r="A2427" s="3"/>
      <c r="B2427" s="2"/>
      <c r="C2427" s="2"/>
      <c r="D2427" s="2" t="b">
        <f>IF(AND(NOT(ISBLANK(Table1[[#This Row],[Fetal Sex (Male, Female or Unknown)]])),ISNUMBER(Table1[[#This Row],[Birthweight (grams)]]),ISNUMBER(Table1[[#This Row],[Gestation (days)]])),TRUE,FALSE)</f>
        <v>0</v>
      </c>
      <c r="E2427" s="2" t="str">
        <f>IF(Table1[[#This Row],[Is Data Valid]]=TRUE,IF(Table1[[#This Row],[Fetal Sex (Male, Female or Unknown)]]="Male",Backend!$C$6,IF(Table1[[#This Row],[Fetal Sex (Male, Female or Unknown)]]="Female",Backend!$C$7,IF(Table1[[#This Row],[Fetal Sex (Male, Female or Unknown)]]="Unknown",Backend!$C$8,"Error"))),"")</f>
        <v/>
      </c>
      <c r="F2427" s="8" t="str">
        <f>IF(Table1[[#This Row],[Is Data Valid]]=TRUE,EXP(0.578+0.332*((Table1[[#This Row],[Gestation (days)]]+0.5)/7)-0.00354*((Table1[[#This Row],[Gestation (days)]]+0.5)/7)^2)*Table1[[#This Row],[BW40_3705]],"")</f>
        <v/>
      </c>
      <c r="G2427" s="2" t="str">
        <f>IF(Table1[[#This Row],[Is Data Valid]]=TRUE,((Table1[[#This Row],[Birthweight (grams)]]/Table1[[#This Row],[BW_GA]])-1)/(Backend!$B$4/100*Table1[[#This Row],[BW40_3705]]),"")</f>
        <v/>
      </c>
      <c r="H2427" s="7" t="str">
        <f>IF(Table1[[#This Row],[Is Data Valid]]=TRUE,((Table1[[#This Row],[Birthweight (grams)]]*0.9/Table1[[#This Row],[BW_GA]])-1)/(Backend!$B$4/100*Table1[[#This Row],[BW40_3705]]),"")</f>
        <v/>
      </c>
      <c r="I2427" s="7" t="str">
        <f>IF(Table1[[#This Row],[Is Data Valid]]=TRUE,((Table1[[#This Row],[Birthweight (grams)]]*1.1/Table1[[#This Row],[BW_GA]])-1)/(Backend!$B$4/100*Table1[[#This Row],[BW40_3705]]),"")</f>
        <v/>
      </c>
      <c r="J2427" s="7" t="str">
        <f>IF(Table1[[#This Row],[Is Data Valid]]=TRUE,_xlfn.NORM.S.DIST(Table1[[#This Row],[Birthweight Z-Score]],TRUE)*100,"")</f>
        <v/>
      </c>
      <c r="K2427" s="7" t="str">
        <f>IF(Table1[[#This Row],[Is Data Valid]]=TRUE,_xlfn.NORM.S.DIST(Table1[[#This Row],[Birthweight Z-Score (BW-10%)]],TRUE)*100,"")</f>
        <v/>
      </c>
      <c r="L2427" s="7" t="str">
        <f>IF(Table1[[#This Row],[Is Data Valid]]=TRUE,_xlfn.NORM.S.DIST(Table1[[#This Row],[Birthweight Z-Score (BW+10%)]],TRUE)*100,"")</f>
        <v/>
      </c>
    </row>
    <row r="2428" spans="1:12" x14ac:dyDescent="0.35">
      <c r="A2428" s="3"/>
      <c r="B2428" s="2"/>
      <c r="C2428" s="2"/>
      <c r="D2428" s="2" t="b">
        <f>IF(AND(NOT(ISBLANK(Table1[[#This Row],[Fetal Sex (Male, Female or Unknown)]])),ISNUMBER(Table1[[#This Row],[Birthweight (grams)]]),ISNUMBER(Table1[[#This Row],[Gestation (days)]])),TRUE,FALSE)</f>
        <v>0</v>
      </c>
      <c r="E2428" s="2" t="str">
        <f>IF(Table1[[#This Row],[Is Data Valid]]=TRUE,IF(Table1[[#This Row],[Fetal Sex (Male, Female or Unknown)]]="Male",Backend!$C$6,IF(Table1[[#This Row],[Fetal Sex (Male, Female or Unknown)]]="Female",Backend!$C$7,IF(Table1[[#This Row],[Fetal Sex (Male, Female or Unknown)]]="Unknown",Backend!$C$8,"Error"))),"")</f>
        <v/>
      </c>
      <c r="F2428" s="8" t="str">
        <f>IF(Table1[[#This Row],[Is Data Valid]]=TRUE,EXP(0.578+0.332*((Table1[[#This Row],[Gestation (days)]]+0.5)/7)-0.00354*((Table1[[#This Row],[Gestation (days)]]+0.5)/7)^2)*Table1[[#This Row],[BW40_3705]],"")</f>
        <v/>
      </c>
      <c r="G2428" s="2" t="str">
        <f>IF(Table1[[#This Row],[Is Data Valid]]=TRUE,((Table1[[#This Row],[Birthweight (grams)]]/Table1[[#This Row],[BW_GA]])-1)/(Backend!$B$4/100*Table1[[#This Row],[BW40_3705]]),"")</f>
        <v/>
      </c>
      <c r="H2428" s="7" t="str">
        <f>IF(Table1[[#This Row],[Is Data Valid]]=TRUE,((Table1[[#This Row],[Birthweight (grams)]]*0.9/Table1[[#This Row],[BW_GA]])-1)/(Backend!$B$4/100*Table1[[#This Row],[BW40_3705]]),"")</f>
        <v/>
      </c>
      <c r="I2428" s="7" t="str">
        <f>IF(Table1[[#This Row],[Is Data Valid]]=TRUE,((Table1[[#This Row],[Birthweight (grams)]]*1.1/Table1[[#This Row],[BW_GA]])-1)/(Backend!$B$4/100*Table1[[#This Row],[BW40_3705]]),"")</f>
        <v/>
      </c>
      <c r="J2428" s="7" t="str">
        <f>IF(Table1[[#This Row],[Is Data Valid]]=TRUE,_xlfn.NORM.S.DIST(Table1[[#This Row],[Birthweight Z-Score]],TRUE)*100,"")</f>
        <v/>
      </c>
      <c r="K2428" s="7" t="str">
        <f>IF(Table1[[#This Row],[Is Data Valid]]=TRUE,_xlfn.NORM.S.DIST(Table1[[#This Row],[Birthweight Z-Score (BW-10%)]],TRUE)*100,"")</f>
        <v/>
      </c>
      <c r="L2428" s="7" t="str">
        <f>IF(Table1[[#This Row],[Is Data Valid]]=TRUE,_xlfn.NORM.S.DIST(Table1[[#This Row],[Birthweight Z-Score (BW+10%)]],TRUE)*100,"")</f>
        <v/>
      </c>
    </row>
    <row r="2429" spans="1:12" x14ac:dyDescent="0.35">
      <c r="A2429" s="3"/>
      <c r="B2429" s="2"/>
      <c r="C2429" s="2"/>
      <c r="D2429" s="2" t="b">
        <f>IF(AND(NOT(ISBLANK(Table1[[#This Row],[Fetal Sex (Male, Female or Unknown)]])),ISNUMBER(Table1[[#This Row],[Birthweight (grams)]]),ISNUMBER(Table1[[#This Row],[Gestation (days)]])),TRUE,FALSE)</f>
        <v>0</v>
      </c>
      <c r="E2429" s="2" t="str">
        <f>IF(Table1[[#This Row],[Is Data Valid]]=TRUE,IF(Table1[[#This Row],[Fetal Sex (Male, Female or Unknown)]]="Male",Backend!$C$6,IF(Table1[[#This Row],[Fetal Sex (Male, Female or Unknown)]]="Female",Backend!$C$7,IF(Table1[[#This Row],[Fetal Sex (Male, Female or Unknown)]]="Unknown",Backend!$C$8,"Error"))),"")</f>
        <v/>
      </c>
      <c r="F2429" s="8" t="str">
        <f>IF(Table1[[#This Row],[Is Data Valid]]=TRUE,EXP(0.578+0.332*((Table1[[#This Row],[Gestation (days)]]+0.5)/7)-0.00354*((Table1[[#This Row],[Gestation (days)]]+0.5)/7)^2)*Table1[[#This Row],[BW40_3705]],"")</f>
        <v/>
      </c>
      <c r="G2429" s="2" t="str">
        <f>IF(Table1[[#This Row],[Is Data Valid]]=TRUE,((Table1[[#This Row],[Birthweight (grams)]]/Table1[[#This Row],[BW_GA]])-1)/(Backend!$B$4/100*Table1[[#This Row],[BW40_3705]]),"")</f>
        <v/>
      </c>
      <c r="H2429" s="7" t="str">
        <f>IF(Table1[[#This Row],[Is Data Valid]]=TRUE,((Table1[[#This Row],[Birthweight (grams)]]*0.9/Table1[[#This Row],[BW_GA]])-1)/(Backend!$B$4/100*Table1[[#This Row],[BW40_3705]]),"")</f>
        <v/>
      </c>
      <c r="I2429" s="7" t="str">
        <f>IF(Table1[[#This Row],[Is Data Valid]]=TRUE,((Table1[[#This Row],[Birthweight (grams)]]*1.1/Table1[[#This Row],[BW_GA]])-1)/(Backend!$B$4/100*Table1[[#This Row],[BW40_3705]]),"")</f>
        <v/>
      </c>
      <c r="J2429" s="7" t="str">
        <f>IF(Table1[[#This Row],[Is Data Valid]]=TRUE,_xlfn.NORM.S.DIST(Table1[[#This Row],[Birthweight Z-Score]],TRUE)*100,"")</f>
        <v/>
      </c>
      <c r="K2429" s="7" t="str">
        <f>IF(Table1[[#This Row],[Is Data Valid]]=TRUE,_xlfn.NORM.S.DIST(Table1[[#This Row],[Birthweight Z-Score (BW-10%)]],TRUE)*100,"")</f>
        <v/>
      </c>
      <c r="L2429" s="7" t="str">
        <f>IF(Table1[[#This Row],[Is Data Valid]]=TRUE,_xlfn.NORM.S.DIST(Table1[[#This Row],[Birthweight Z-Score (BW+10%)]],TRUE)*100,"")</f>
        <v/>
      </c>
    </row>
    <row r="2430" spans="1:12" x14ac:dyDescent="0.35">
      <c r="A2430" s="3"/>
      <c r="B2430" s="2"/>
      <c r="C2430" s="2"/>
      <c r="D2430" s="2" t="b">
        <f>IF(AND(NOT(ISBLANK(Table1[[#This Row],[Fetal Sex (Male, Female or Unknown)]])),ISNUMBER(Table1[[#This Row],[Birthweight (grams)]]),ISNUMBER(Table1[[#This Row],[Gestation (days)]])),TRUE,FALSE)</f>
        <v>0</v>
      </c>
      <c r="E2430" s="2" t="str">
        <f>IF(Table1[[#This Row],[Is Data Valid]]=TRUE,IF(Table1[[#This Row],[Fetal Sex (Male, Female or Unknown)]]="Male",Backend!$C$6,IF(Table1[[#This Row],[Fetal Sex (Male, Female or Unknown)]]="Female",Backend!$C$7,IF(Table1[[#This Row],[Fetal Sex (Male, Female or Unknown)]]="Unknown",Backend!$C$8,"Error"))),"")</f>
        <v/>
      </c>
      <c r="F2430" s="8" t="str">
        <f>IF(Table1[[#This Row],[Is Data Valid]]=TRUE,EXP(0.578+0.332*((Table1[[#This Row],[Gestation (days)]]+0.5)/7)-0.00354*((Table1[[#This Row],[Gestation (days)]]+0.5)/7)^2)*Table1[[#This Row],[BW40_3705]],"")</f>
        <v/>
      </c>
      <c r="G2430" s="2" t="str">
        <f>IF(Table1[[#This Row],[Is Data Valid]]=TRUE,((Table1[[#This Row],[Birthweight (grams)]]/Table1[[#This Row],[BW_GA]])-1)/(Backend!$B$4/100*Table1[[#This Row],[BW40_3705]]),"")</f>
        <v/>
      </c>
      <c r="H2430" s="7" t="str">
        <f>IF(Table1[[#This Row],[Is Data Valid]]=TRUE,((Table1[[#This Row],[Birthweight (grams)]]*0.9/Table1[[#This Row],[BW_GA]])-1)/(Backend!$B$4/100*Table1[[#This Row],[BW40_3705]]),"")</f>
        <v/>
      </c>
      <c r="I2430" s="7" t="str">
        <f>IF(Table1[[#This Row],[Is Data Valid]]=TRUE,((Table1[[#This Row],[Birthweight (grams)]]*1.1/Table1[[#This Row],[BW_GA]])-1)/(Backend!$B$4/100*Table1[[#This Row],[BW40_3705]]),"")</f>
        <v/>
      </c>
      <c r="J2430" s="7" t="str">
        <f>IF(Table1[[#This Row],[Is Data Valid]]=TRUE,_xlfn.NORM.S.DIST(Table1[[#This Row],[Birthweight Z-Score]],TRUE)*100,"")</f>
        <v/>
      </c>
      <c r="K2430" s="7" t="str">
        <f>IF(Table1[[#This Row],[Is Data Valid]]=TRUE,_xlfn.NORM.S.DIST(Table1[[#This Row],[Birthweight Z-Score (BW-10%)]],TRUE)*100,"")</f>
        <v/>
      </c>
      <c r="L2430" s="7" t="str">
        <f>IF(Table1[[#This Row],[Is Data Valid]]=TRUE,_xlfn.NORM.S.DIST(Table1[[#This Row],[Birthweight Z-Score (BW+10%)]],TRUE)*100,"")</f>
        <v/>
      </c>
    </row>
    <row r="2431" spans="1:12" x14ac:dyDescent="0.35">
      <c r="A2431" s="3"/>
      <c r="B2431" s="2"/>
      <c r="C2431" s="2"/>
      <c r="D2431" s="2" t="b">
        <f>IF(AND(NOT(ISBLANK(Table1[[#This Row],[Fetal Sex (Male, Female or Unknown)]])),ISNUMBER(Table1[[#This Row],[Birthweight (grams)]]),ISNUMBER(Table1[[#This Row],[Gestation (days)]])),TRUE,FALSE)</f>
        <v>0</v>
      </c>
      <c r="E2431" s="2" t="str">
        <f>IF(Table1[[#This Row],[Is Data Valid]]=TRUE,IF(Table1[[#This Row],[Fetal Sex (Male, Female or Unknown)]]="Male",Backend!$C$6,IF(Table1[[#This Row],[Fetal Sex (Male, Female or Unknown)]]="Female",Backend!$C$7,IF(Table1[[#This Row],[Fetal Sex (Male, Female or Unknown)]]="Unknown",Backend!$C$8,"Error"))),"")</f>
        <v/>
      </c>
      <c r="F2431" s="8" t="str">
        <f>IF(Table1[[#This Row],[Is Data Valid]]=TRUE,EXP(0.578+0.332*((Table1[[#This Row],[Gestation (days)]]+0.5)/7)-0.00354*((Table1[[#This Row],[Gestation (days)]]+0.5)/7)^2)*Table1[[#This Row],[BW40_3705]],"")</f>
        <v/>
      </c>
      <c r="G2431" s="2" t="str">
        <f>IF(Table1[[#This Row],[Is Data Valid]]=TRUE,((Table1[[#This Row],[Birthweight (grams)]]/Table1[[#This Row],[BW_GA]])-1)/(Backend!$B$4/100*Table1[[#This Row],[BW40_3705]]),"")</f>
        <v/>
      </c>
      <c r="H2431" s="7" t="str">
        <f>IF(Table1[[#This Row],[Is Data Valid]]=TRUE,((Table1[[#This Row],[Birthweight (grams)]]*0.9/Table1[[#This Row],[BW_GA]])-1)/(Backend!$B$4/100*Table1[[#This Row],[BW40_3705]]),"")</f>
        <v/>
      </c>
      <c r="I2431" s="7" t="str">
        <f>IF(Table1[[#This Row],[Is Data Valid]]=TRUE,((Table1[[#This Row],[Birthweight (grams)]]*1.1/Table1[[#This Row],[BW_GA]])-1)/(Backend!$B$4/100*Table1[[#This Row],[BW40_3705]]),"")</f>
        <v/>
      </c>
      <c r="J2431" s="7" t="str">
        <f>IF(Table1[[#This Row],[Is Data Valid]]=TRUE,_xlfn.NORM.S.DIST(Table1[[#This Row],[Birthweight Z-Score]],TRUE)*100,"")</f>
        <v/>
      </c>
      <c r="K2431" s="7" t="str">
        <f>IF(Table1[[#This Row],[Is Data Valid]]=TRUE,_xlfn.NORM.S.DIST(Table1[[#This Row],[Birthweight Z-Score (BW-10%)]],TRUE)*100,"")</f>
        <v/>
      </c>
      <c r="L2431" s="7" t="str">
        <f>IF(Table1[[#This Row],[Is Data Valid]]=TRUE,_xlfn.NORM.S.DIST(Table1[[#This Row],[Birthweight Z-Score (BW+10%)]],TRUE)*100,"")</f>
        <v/>
      </c>
    </row>
    <row r="2432" spans="1:12" x14ac:dyDescent="0.35">
      <c r="A2432" s="3"/>
      <c r="B2432" s="2"/>
      <c r="C2432" s="2"/>
      <c r="D2432" s="2" t="b">
        <f>IF(AND(NOT(ISBLANK(Table1[[#This Row],[Fetal Sex (Male, Female or Unknown)]])),ISNUMBER(Table1[[#This Row],[Birthweight (grams)]]),ISNUMBER(Table1[[#This Row],[Gestation (days)]])),TRUE,FALSE)</f>
        <v>0</v>
      </c>
      <c r="E2432" s="2" t="str">
        <f>IF(Table1[[#This Row],[Is Data Valid]]=TRUE,IF(Table1[[#This Row],[Fetal Sex (Male, Female or Unknown)]]="Male",Backend!$C$6,IF(Table1[[#This Row],[Fetal Sex (Male, Female or Unknown)]]="Female",Backend!$C$7,IF(Table1[[#This Row],[Fetal Sex (Male, Female or Unknown)]]="Unknown",Backend!$C$8,"Error"))),"")</f>
        <v/>
      </c>
      <c r="F2432" s="8" t="str">
        <f>IF(Table1[[#This Row],[Is Data Valid]]=TRUE,EXP(0.578+0.332*((Table1[[#This Row],[Gestation (days)]]+0.5)/7)-0.00354*((Table1[[#This Row],[Gestation (days)]]+0.5)/7)^2)*Table1[[#This Row],[BW40_3705]],"")</f>
        <v/>
      </c>
      <c r="G2432" s="2" t="str">
        <f>IF(Table1[[#This Row],[Is Data Valid]]=TRUE,((Table1[[#This Row],[Birthweight (grams)]]/Table1[[#This Row],[BW_GA]])-1)/(Backend!$B$4/100*Table1[[#This Row],[BW40_3705]]),"")</f>
        <v/>
      </c>
      <c r="H2432" s="7" t="str">
        <f>IF(Table1[[#This Row],[Is Data Valid]]=TRUE,((Table1[[#This Row],[Birthweight (grams)]]*0.9/Table1[[#This Row],[BW_GA]])-1)/(Backend!$B$4/100*Table1[[#This Row],[BW40_3705]]),"")</f>
        <v/>
      </c>
      <c r="I2432" s="7" t="str">
        <f>IF(Table1[[#This Row],[Is Data Valid]]=TRUE,((Table1[[#This Row],[Birthweight (grams)]]*1.1/Table1[[#This Row],[BW_GA]])-1)/(Backend!$B$4/100*Table1[[#This Row],[BW40_3705]]),"")</f>
        <v/>
      </c>
      <c r="J2432" s="7" t="str">
        <f>IF(Table1[[#This Row],[Is Data Valid]]=TRUE,_xlfn.NORM.S.DIST(Table1[[#This Row],[Birthweight Z-Score]],TRUE)*100,"")</f>
        <v/>
      </c>
      <c r="K2432" s="7" t="str">
        <f>IF(Table1[[#This Row],[Is Data Valid]]=TRUE,_xlfn.NORM.S.DIST(Table1[[#This Row],[Birthweight Z-Score (BW-10%)]],TRUE)*100,"")</f>
        <v/>
      </c>
      <c r="L2432" s="7" t="str">
        <f>IF(Table1[[#This Row],[Is Data Valid]]=TRUE,_xlfn.NORM.S.DIST(Table1[[#This Row],[Birthweight Z-Score (BW+10%)]],TRUE)*100,"")</f>
        <v/>
      </c>
    </row>
    <row r="2433" spans="1:12" x14ac:dyDescent="0.35">
      <c r="A2433" s="3"/>
      <c r="B2433" s="2"/>
      <c r="C2433" s="2"/>
      <c r="D2433" s="2" t="b">
        <f>IF(AND(NOT(ISBLANK(Table1[[#This Row],[Fetal Sex (Male, Female or Unknown)]])),ISNUMBER(Table1[[#This Row],[Birthweight (grams)]]),ISNUMBER(Table1[[#This Row],[Gestation (days)]])),TRUE,FALSE)</f>
        <v>0</v>
      </c>
      <c r="E2433" s="2" t="str">
        <f>IF(Table1[[#This Row],[Is Data Valid]]=TRUE,IF(Table1[[#This Row],[Fetal Sex (Male, Female or Unknown)]]="Male",Backend!$C$6,IF(Table1[[#This Row],[Fetal Sex (Male, Female or Unknown)]]="Female",Backend!$C$7,IF(Table1[[#This Row],[Fetal Sex (Male, Female or Unknown)]]="Unknown",Backend!$C$8,"Error"))),"")</f>
        <v/>
      </c>
      <c r="F2433" s="8" t="str">
        <f>IF(Table1[[#This Row],[Is Data Valid]]=TRUE,EXP(0.578+0.332*((Table1[[#This Row],[Gestation (days)]]+0.5)/7)-0.00354*((Table1[[#This Row],[Gestation (days)]]+0.5)/7)^2)*Table1[[#This Row],[BW40_3705]],"")</f>
        <v/>
      </c>
      <c r="G2433" s="2" t="str">
        <f>IF(Table1[[#This Row],[Is Data Valid]]=TRUE,((Table1[[#This Row],[Birthweight (grams)]]/Table1[[#This Row],[BW_GA]])-1)/(Backend!$B$4/100*Table1[[#This Row],[BW40_3705]]),"")</f>
        <v/>
      </c>
      <c r="H2433" s="7" t="str">
        <f>IF(Table1[[#This Row],[Is Data Valid]]=TRUE,((Table1[[#This Row],[Birthweight (grams)]]*0.9/Table1[[#This Row],[BW_GA]])-1)/(Backend!$B$4/100*Table1[[#This Row],[BW40_3705]]),"")</f>
        <v/>
      </c>
      <c r="I2433" s="7" t="str">
        <f>IF(Table1[[#This Row],[Is Data Valid]]=TRUE,((Table1[[#This Row],[Birthweight (grams)]]*1.1/Table1[[#This Row],[BW_GA]])-1)/(Backend!$B$4/100*Table1[[#This Row],[BW40_3705]]),"")</f>
        <v/>
      </c>
      <c r="J2433" s="7" t="str">
        <f>IF(Table1[[#This Row],[Is Data Valid]]=TRUE,_xlfn.NORM.S.DIST(Table1[[#This Row],[Birthweight Z-Score]],TRUE)*100,"")</f>
        <v/>
      </c>
      <c r="K2433" s="7" t="str">
        <f>IF(Table1[[#This Row],[Is Data Valid]]=TRUE,_xlfn.NORM.S.DIST(Table1[[#This Row],[Birthweight Z-Score (BW-10%)]],TRUE)*100,"")</f>
        <v/>
      </c>
      <c r="L2433" s="7" t="str">
        <f>IF(Table1[[#This Row],[Is Data Valid]]=TRUE,_xlfn.NORM.S.DIST(Table1[[#This Row],[Birthweight Z-Score (BW+10%)]],TRUE)*100,"")</f>
        <v/>
      </c>
    </row>
    <row r="2434" spans="1:12" x14ac:dyDescent="0.35">
      <c r="A2434" s="3"/>
      <c r="B2434" s="2"/>
      <c r="C2434" s="2"/>
      <c r="D2434" s="2" t="b">
        <f>IF(AND(NOT(ISBLANK(Table1[[#This Row],[Fetal Sex (Male, Female or Unknown)]])),ISNUMBER(Table1[[#This Row],[Birthweight (grams)]]),ISNUMBER(Table1[[#This Row],[Gestation (days)]])),TRUE,FALSE)</f>
        <v>0</v>
      </c>
      <c r="E2434" s="2" t="str">
        <f>IF(Table1[[#This Row],[Is Data Valid]]=TRUE,IF(Table1[[#This Row],[Fetal Sex (Male, Female or Unknown)]]="Male",Backend!$C$6,IF(Table1[[#This Row],[Fetal Sex (Male, Female or Unknown)]]="Female",Backend!$C$7,IF(Table1[[#This Row],[Fetal Sex (Male, Female or Unknown)]]="Unknown",Backend!$C$8,"Error"))),"")</f>
        <v/>
      </c>
      <c r="F2434" s="8" t="str">
        <f>IF(Table1[[#This Row],[Is Data Valid]]=TRUE,EXP(0.578+0.332*((Table1[[#This Row],[Gestation (days)]]+0.5)/7)-0.00354*((Table1[[#This Row],[Gestation (days)]]+0.5)/7)^2)*Table1[[#This Row],[BW40_3705]],"")</f>
        <v/>
      </c>
      <c r="G2434" s="2" t="str">
        <f>IF(Table1[[#This Row],[Is Data Valid]]=TRUE,((Table1[[#This Row],[Birthweight (grams)]]/Table1[[#This Row],[BW_GA]])-1)/(Backend!$B$4/100*Table1[[#This Row],[BW40_3705]]),"")</f>
        <v/>
      </c>
      <c r="H2434" s="7" t="str">
        <f>IF(Table1[[#This Row],[Is Data Valid]]=TRUE,((Table1[[#This Row],[Birthweight (grams)]]*0.9/Table1[[#This Row],[BW_GA]])-1)/(Backend!$B$4/100*Table1[[#This Row],[BW40_3705]]),"")</f>
        <v/>
      </c>
      <c r="I2434" s="7" t="str">
        <f>IF(Table1[[#This Row],[Is Data Valid]]=TRUE,((Table1[[#This Row],[Birthweight (grams)]]*1.1/Table1[[#This Row],[BW_GA]])-1)/(Backend!$B$4/100*Table1[[#This Row],[BW40_3705]]),"")</f>
        <v/>
      </c>
      <c r="J2434" s="7" t="str">
        <f>IF(Table1[[#This Row],[Is Data Valid]]=TRUE,_xlfn.NORM.S.DIST(Table1[[#This Row],[Birthweight Z-Score]],TRUE)*100,"")</f>
        <v/>
      </c>
      <c r="K2434" s="7" t="str">
        <f>IF(Table1[[#This Row],[Is Data Valid]]=TRUE,_xlfn.NORM.S.DIST(Table1[[#This Row],[Birthweight Z-Score (BW-10%)]],TRUE)*100,"")</f>
        <v/>
      </c>
      <c r="L2434" s="7" t="str">
        <f>IF(Table1[[#This Row],[Is Data Valid]]=TRUE,_xlfn.NORM.S.DIST(Table1[[#This Row],[Birthweight Z-Score (BW+10%)]],TRUE)*100,"")</f>
        <v/>
      </c>
    </row>
    <row r="2435" spans="1:12" x14ac:dyDescent="0.35">
      <c r="A2435" s="3"/>
      <c r="B2435" s="2"/>
      <c r="C2435" s="2"/>
      <c r="D2435" s="2" t="b">
        <f>IF(AND(NOT(ISBLANK(Table1[[#This Row],[Fetal Sex (Male, Female or Unknown)]])),ISNUMBER(Table1[[#This Row],[Birthweight (grams)]]),ISNUMBER(Table1[[#This Row],[Gestation (days)]])),TRUE,FALSE)</f>
        <v>0</v>
      </c>
      <c r="E2435" s="2" t="str">
        <f>IF(Table1[[#This Row],[Is Data Valid]]=TRUE,IF(Table1[[#This Row],[Fetal Sex (Male, Female or Unknown)]]="Male",Backend!$C$6,IF(Table1[[#This Row],[Fetal Sex (Male, Female or Unknown)]]="Female",Backend!$C$7,IF(Table1[[#This Row],[Fetal Sex (Male, Female or Unknown)]]="Unknown",Backend!$C$8,"Error"))),"")</f>
        <v/>
      </c>
      <c r="F2435" s="8" t="str">
        <f>IF(Table1[[#This Row],[Is Data Valid]]=TRUE,EXP(0.578+0.332*((Table1[[#This Row],[Gestation (days)]]+0.5)/7)-0.00354*((Table1[[#This Row],[Gestation (days)]]+0.5)/7)^2)*Table1[[#This Row],[BW40_3705]],"")</f>
        <v/>
      </c>
      <c r="G2435" s="2" t="str">
        <f>IF(Table1[[#This Row],[Is Data Valid]]=TRUE,((Table1[[#This Row],[Birthweight (grams)]]/Table1[[#This Row],[BW_GA]])-1)/(Backend!$B$4/100*Table1[[#This Row],[BW40_3705]]),"")</f>
        <v/>
      </c>
      <c r="H2435" s="7" t="str">
        <f>IF(Table1[[#This Row],[Is Data Valid]]=TRUE,((Table1[[#This Row],[Birthweight (grams)]]*0.9/Table1[[#This Row],[BW_GA]])-1)/(Backend!$B$4/100*Table1[[#This Row],[BW40_3705]]),"")</f>
        <v/>
      </c>
      <c r="I2435" s="7" t="str">
        <f>IF(Table1[[#This Row],[Is Data Valid]]=TRUE,((Table1[[#This Row],[Birthweight (grams)]]*1.1/Table1[[#This Row],[BW_GA]])-1)/(Backend!$B$4/100*Table1[[#This Row],[BW40_3705]]),"")</f>
        <v/>
      </c>
      <c r="J2435" s="7" t="str">
        <f>IF(Table1[[#This Row],[Is Data Valid]]=TRUE,_xlfn.NORM.S.DIST(Table1[[#This Row],[Birthweight Z-Score]],TRUE)*100,"")</f>
        <v/>
      </c>
      <c r="K2435" s="7" t="str">
        <f>IF(Table1[[#This Row],[Is Data Valid]]=TRUE,_xlfn.NORM.S.DIST(Table1[[#This Row],[Birthweight Z-Score (BW-10%)]],TRUE)*100,"")</f>
        <v/>
      </c>
      <c r="L2435" s="7" t="str">
        <f>IF(Table1[[#This Row],[Is Data Valid]]=TRUE,_xlfn.NORM.S.DIST(Table1[[#This Row],[Birthweight Z-Score (BW+10%)]],TRUE)*100,"")</f>
        <v/>
      </c>
    </row>
    <row r="2436" spans="1:12" x14ac:dyDescent="0.35">
      <c r="A2436" s="3"/>
      <c r="B2436" s="2"/>
      <c r="C2436" s="2"/>
      <c r="D2436" s="2" t="b">
        <f>IF(AND(NOT(ISBLANK(Table1[[#This Row],[Fetal Sex (Male, Female or Unknown)]])),ISNUMBER(Table1[[#This Row],[Birthweight (grams)]]),ISNUMBER(Table1[[#This Row],[Gestation (days)]])),TRUE,FALSE)</f>
        <v>0</v>
      </c>
      <c r="E2436" s="2" t="str">
        <f>IF(Table1[[#This Row],[Is Data Valid]]=TRUE,IF(Table1[[#This Row],[Fetal Sex (Male, Female or Unknown)]]="Male",Backend!$C$6,IF(Table1[[#This Row],[Fetal Sex (Male, Female or Unknown)]]="Female",Backend!$C$7,IF(Table1[[#This Row],[Fetal Sex (Male, Female or Unknown)]]="Unknown",Backend!$C$8,"Error"))),"")</f>
        <v/>
      </c>
      <c r="F2436" s="8" t="str">
        <f>IF(Table1[[#This Row],[Is Data Valid]]=TRUE,EXP(0.578+0.332*((Table1[[#This Row],[Gestation (days)]]+0.5)/7)-0.00354*((Table1[[#This Row],[Gestation (days)]]+0.5)/7)^2)*Table1[[#This Row],[BW40_3705]],"")</f>
        <v/>
      </c>
      <c r="G2436" s="2" t="str">
        <f>IF(Table1[[#This Row],[Is Data Valid]]=TRUE,((Table1[[#This Row],[Birthweight (grams)]]/Table1[[#This Row],[BW_GA]])-1)/(Backend!$B$4/100*Table1[[#This Row],[BW40_3705]]),"")</f>
        <v/>
      </c>
      <c r="H2436" s="7" t="str">
        <f>IF(Table1[[#This Row],[Is Data Valid]]=TRUE,((Table1[[#This Row],[Birthweight (grams)]]*0.9/Table1[[#This Row],[BW_GA]])-1)/(Backend!$B$4/100*Table1[[#This Row],[BW40_3705]]),"")</f>
        <v/>
      </c>
      <c r="I2436" s="7" t="str">
        <f>IF(Table1[[#This Row],[Is Data Valid]]=TRUE,((Table1[[#This Row],[Birthweight (grams)]]*1.1/Table1[[#This Row],[BW_GA]])-1)/(Backend!$B$4/100*Table1[[#This Row],[BW40_3705]]),"")</f>
        <v/>
      </c>
      <c r="J2436" s="7" t="str">
        <f>IF(Table1[[#This Row],[Is Data Valid]]=TRUE,_xlfn.NORM.S.DIST(Table1[[#This Row],[Birthweight Z-Score]],TRUE)*100,"")</f>
        <v/>
      </c>
      <c r="K2436" s="7" t="str">
        <f>IF(Table1[[#This Row],[Is Data Valid]]=TRUE,_xlfn.NORM.S.DIST(Table1[[#This Row],[Birthweight Z-Score (BW-10%)]],TRUE)*100,"")</f>
        <v/>
      </c>
      <c r="L2436" s="7" t="str">
        <f>IF(Table1[[#This Row],[Is Data Valid]]=TRUE,_xlfn.NORM.S.DIST(Table1[[#This Row],[Birthweight Z-Score (BW+10%)]],TRUE)*100,"")</f>
        <v/>
      </c>
    </row>
    <row r="2437" spans="1:12" x14ac:dyDescent="0.35">
      <c r="A2437" s="3"/>
      <c r="B2437" s="2"/>
      <c r="C2437" s="2"/>
      <c r="D2437" s="2" t="b">
        <f>IF(AND(NOT(ISBLANK(Table1[[#This Row],[Fetal Sex (Male, Female or Unknown)]])),ISNUMBER(Table1[[#This Row],[Birthweight (grams)]]),ISNUMBER(Table1[[#This Row],[Gestation (days)]])),TRUE,FALSE)</f>
        <v>0</v>
      </c>
      <c r="E2437" s="2" t="str">
        <f>IF(Table1[[#This Row],[Is Data Valid]]=TRUE,IF(Table1[[#This Row],[Fetal Sex (Male, Female or Unknown)]]="Male",Backend!$C$6,IF(Table1[[#This Row],[Fetal Sex (Male, Female or Unknown)]]="Female",Backend!$C$7,IF(Table1[[#This Row],[Fetal Sex (Male, Female or Unknown)]]="Unknown",Backend!$C$8,"Error"))),"")</f>
        <v/>
      </c>
      <c r="F2437" s="8" t="str">
        <f>IF(Table1[[#This Row],[Is Data Valid]]=TRUE,EXP(0.578+0.332*((Table1[[#This Row],[Gestation (days)]]+0.5)/7)-0.00354*((Table1[[#This Row],[Gestation (days)]]+0.5)/7)^2)*Table1[[#This Row],[BW40_3705]],"")</f>
        <v/>
      </c>
      <c r="G2437" s="2" t="str">
        <f>IF(Table1[[#This Row],[Is Data Valid]]=TRUE,((Table1[[#This Row],[Birthweight (grams)]]/Table1[[#This Row],[BW_GA]])-1)/(Backend!$B$4/100*Table1[[#This Row],[BW40_3705]]),"")</f>
        <v/>
      </c>
      <c r="H2437" s="7" t="str">
        <f>IF(Table1[[#This Row],[Is Data Valid]]=TRUE,((Table1[[#This Row],[Birthweight (grams)]]*0.9/Table1[[#This Row],[BW_GA]])-1)/(Backend!$B$4/100*Table1[[#This Row],[BW40_3705]]),"")</f>
        <v/>
      </c>
      <c r="I2437" s="7" t="str">
        <f>IF(Table1[[#This Row],[Is Data Valid]]=TRUE,((Table1[[#This Row],[Birthweight (grams)]]*1.1/Table1[[#This Row],[BW_GA]])-1)/(Backend!$B$4/100*Table1[[#This Row],[BW40_3705]]),"")</f>
        <v/>
      </c>
      <c r="J2437" s="7" t="str">
        <f>IF(Table1[[#This Row],[Is Data Valid]]=TRUE,_xlfn.NORM.S.DIST(Table1[[#This Row],[Birthweight Z-Score]],TRUE)*100,"")</f>
        <v/>
      </c>
      <c r="K2437" s="7" t="str">
        <f>IF(Table1[[#This Row],[Is Data Valid]]=TRUE,_xlfn.NORM.S.DIST(Table1[[#This Row],[Birthweight Z-Score (BW-10%)]],TRUE)*100,"")</f>
        <v/>
      </c>
      <c r="L2437" s="7" t="str">
        <f>IF(Table1[[#This Row],[Is Data Valid]]=TRUE,_xlfn.NORM.S.DIST(Table1[[#This Row],[Birthweight Z-Score (BW+10%)]],TRUE)*100,"")</f>
        <v/>
      </c>
    </row>
    <row r="2438" spans="1:12" x14ac:dyDescent="0.35">
      <c r="A2438" s="3"/>
      <c r="B2438" s="2"/>
      <c r="C2438" s="2"/>
      <c r="D2438" s="2" t="b">
        <f>IF(AND(NOT(ISBLANK(Table1[[#This Row],[Fetal Sex (Male, Female or Unknown)]])),ISNUMBER(Table1[[#This Row],[Birthweight (grams)]]),ISNUMBER(Table1[[#This Row],[Gestation (days)]])),TRUE,FALSE)</f>
        <v>0</v>
      </c>
      <c r="E2438" s="2" t="str">
        <f>IF(Table1[[#This Row],[Is Data Valid]]=TRUE,IF(Table1[[#This Row],[Fetal Sex (Male, Female or Unknown)]]="Male",Backend!$C$6,IF(Table1[[#This Row],[Fetal Sex (Male, Female or Unknown)]]="Female",Backend!$C$7,IF(Table1[[#This Row],[Fetal Sex (Male, Female or Unknown)]]="Unknown",Backend!$C$8,"Error"))),"")</f>
        <v/>
      </c>
      <c r="F2438" s="8" t="str">
        <f>IF(Table1[[#This Row],[Is Data Valid]]=TRUE,EXP(0.578+0.332*((Table1[[#This Row],[Gestation (days)]]+0.5)/7)-0.00354*((Table1[[#This Row],[Gestation (days)]]+0.5)/7)^2)*Table1[[#This Row],[BW40_3705]],"")</f>
        <v/>
      </c>
      <c r="G2438" s="2" t="str">
        <f>IF(Table1[[#This Row],[Is Data Valid]]=TRUE,((Table1[[#This Row],[Birthweight (grams)]]/Table1[[#This Row],[BW_GA]])-1)/(Backend!$B$4/100*Table1[[#This Row],[BW40_3705]]),"")</f>
        <v/>
      </c>
      <c r="H2438" s="7" t="str">
        <f>IF(Table1[[#This Row],[Is Data Valid]]=TRUE,((Table1[[#This Row],[Birthweight (grams)]]*0.9/Table1[[#This Row],[BW_GA]])-1)/(Backend!$B$4/100*Table1[[#This Row],[BW40_3705]]),"")</f>
        <v/>
      </c>
      <c r="I2438" s="7" t="str">
        <f>IF(Table1[[#This Row],[Is Data Valid]]=TRUE,((Table1[[#This Row],[Birthweight (grams)]]*1.1/Table1[[#This Row],[BW_GA]])-1)/(Backend!$B$4/100*Table1[[#This Row],[BW40_3705]]),"")</f>
        <v/>
      </c>
      <c r="J2438" s="7" t="str">
        <f>IF(Table1[[#This Row],[Is Data Valid]]=TRUE,_xlfn.NORM.S.DIST(Table1[[#This Row],[Birthweight Z-Score]],TRUE)*100,"")</f>
        <v/>
      </c>
      <c r="K2438" s="7" t="str">
        <f>IF(Table1[[#This Row],[Is Data Valid]]=TRUE,_xlfn.NORM.S.DIST(Table1[[#This Row],[Birthweight Z-Score (BW-10%)]],TRUE)*100,"")</f>
        <v/>
      </c>
      <c r="L2438" s="7" t="str">
        <f>IF(Table1[[#This Row],[Is Data Valid]]=TRUE,_xlfn.NORM.S.DIST(Table1[[#This Row],[Birthweight Z-Score (BW+10%)]],TRUE)*100,"")</f>
        <v/>
      </c>
    </row>
    <row r="2439" spans="1:12" x14ac:dyDescent="0.35">
      <c r="A2439" s="3"/>
      <c r="B2439" s="2"/>
      <c r="C2439" s="2"/>
      <c r="D2439" s="2" t="b">
        <f>IF(AND(NOT(ISBLANK(Table1[[#This Row],[Fetal Sex (Male, Female or Unknown)]])),ISNUMBER(Table1[[#This Row],[Birthweight (grams)]]),ISNUMBER(Table1[[#This Row],[Gestation (days)]])),TRUE,FALSE)</f>
        <v>0</v>
      </c>
      <c r="E2439" s="2" t="str">
        <f>IF(Table1[[#This Row],[Is Data Valid]]=TRUE,IF(Table1[[#This Row],[Fetal Sex (Male, Female or Unknown)]]="Male",Backend!$C$6,IF(Table1[[#This Row],[Fetal Sex (Male, Female or Unknown)]]="Female",Backend!$C$7,IF(Table1[[#This Row],[Fetal Sex (Male, Female or Unknown)]]="Unknown",Backend!$C$8,"Error"))),"")</f>
        <v/>
      </c>
      <c r="F2439" s="8" t="str">
        <f>IF(Table1[[#This Row],[Is Data Valid]]=TRUE,EXP(0.578+0.332*((Table1[[#This Row],[Gestation (days)]]+0.5)/7)-0.00354*((Table1[[#This Row],[Gestation (days)]]+0.5)/7)^2)*Table1[[#This Row],[BW40_3705]],"")</f>
        <v/>
      </c>
      <c r="G2439" s="2" t="str">
        <f>IF(Table1[[#This Row],[Is Data Valid]]=TRUE,((Table1[[#This Row],[Birthweight (grams)]]/Table1[[#This Row],[BW_GA]])-1)/(Backend!$B$4/100*Table1[[#This Row],[BW40_3705]]),"")</f>
        <v/>
      </c>
      <c r="H2439" s="7" t="str">
        <f>IF(Table1[[#This Row],[Is Data Valid]]=TRUE,((Table1[[#This Row],[Birthweight (grams)]]*0.9/Table1[[#This Row],[BW_GA]])-1)/(Backend!$B$4/100*Table1[[#This Row],[BW40_3705]]),"")</f>
        <v/>
      </c>
      <c r="I2439" s="7" t="str">
        <f>IF(Table1[[#This Row],[Is Data Valid]]=TRUE,((Table1[[#This Row],[Birthweight (grams)]]*1.1/Table1[[#This Row],[BW_GA]])-1)/(Backend!$B$4/100*Table1[[#This Row],[BW40_3705]]),"")</f>
        <v/>
      </c>
      <c r="J2439" s="7" t="str">
        <f>IF(Table1[[#This Row],[Is Data Valid]]=TRUE,_xlfn.NORM.S.DIST(Table1[[#This Row],[Birthweight Z-Score]],TRUE)*100,"")</f>
        <v/>
      </c>
      <c r="K2439" s="7" t="str">
        <f>IF(Table1[[#This Row],[Is Data Valid]]=TRUE,_xlfn.NORM.S.DIST(Table1[[#This Row],[Birthweight Z-Score (BW-10%)]],TRUE)*100,"")</f>
        <v/>
      </c>
      <c r="L2439" s="7" t="str">
        <f>IF(Table1[[#This Row],[Is Data Valid]]=TRUE,_xlfn.NORM.S.DIST(Table1[[#This Row],[Birthweight Z-Score (BW+10%)]],TRUE)*100,"")</f>
        <v/>
      </c>
    </row>
    <row r="2440" spans="1:12" x14ac:dyDescent="0.35">
      <c r="A2440" s="3"/>
      <c r="B2440" s="2"/>
      <c r="C2440" s="2"/>
      <c r="D2440" s="2" t="b">
        <f>IF(AND(NOT(ISBLANK(Table1[[#This Row],[Fetal Sex (Male, Female or Unknown)]])),ISNUMBER(Table1[[#This Row],[Birthweight (grams)]]),ISNUMBER(Table1[[#This Row],[Gestation (days)]])),TRUE,FALSE)</f>
        <v>0</v>
      </c>
      <c r="E2440" s="2" t="str">
        <f>IF(Table1[[#This Row],[Is Data Valid]]=TRUE,IF(Table1[[#This Row],[Fetal Sex (Male, Female or Unknown)]]="Male",Backend!$C$6,IF(Table1[[#This Row],[Fetal Sex (Male, Female or Unknown)]]="Female",Backend!$C$7,IF(Table1[[#This Row],[Fetal Sex (Male, Female or Unknown)]]="Unknown",Backend!$C$8,"Error"))),"")</f>
        <v/>
      </c>
      <c r="F2440" s="8" t="str">
        <f>IF(Table1[[#This Row],[Is Data Valid]]=TRUE,EXP(0.578+0.332*((Table1[[#This Row],[Gestation (days)]]+0.5)/7)-0.00354*((Table1[[#This Row],[Gestation (days)]]+0.5)/7)^2)*Table1[[#This Row],[BW40_3705]],"")</f>
        <v/>
      </c>
      <c r="G2440" s="2" t="str">
        <f>IF(Table1[[#This Row],[Is Data Valid]]=TRUE,((Table1[[#This Row],[Birthweight (grams)]]/Table1[[#This Row],[BW_GA]])-1)/(Backend!$B$4/100*Table1[[#This Row],[BW40_3705]]),"")</f>
        <v/>
      </c>
      <c r="H2440" s="7" t="str">
        <f>IF(Table1[[#This Row],[Is Data Valid]]=TRUE,((Table1[[#This Row],[Birthweight (grams)]]*0.9/Table1[[#This Row],[BW_GA]])-1)/(Backend!$B$4/100*Table1[[#This Row],[BW40_3705]]),"")</f>
        <v/>
      </c>
      <c r="I2440" s="7" t="str">
        <f>IF(Table1[[#This Row],[Is Data Valid]]=TRUE,((Table1[[#This Row],[Birthweight (grams)]]*1.1/Table1[[#This Row],[BW_GA]])-1)/(Backend!$B$4/100*Table1[[#This Row],[BW40_3705]]),"")</f>
        <v/>
      </c>
      <c r="J2440" s="7" t="str">
        <f>IF(Table1[[#This Row],[Is Data Valid]]=TRUE,_xlfn.NORM.S.DIST(Table1[[#This Row],[Birthweight Z-Score]],TRUE)*100,"")</f>
        <v/>
      </c>
      <c r="K2440" s="7" t="str">
        <f>IF(Table1[[#This Row],[Is Data Valid]]=TRUE,_xlfn.NORM.S.DIST(Table1[[#This Row],[Birthweight Z-Score (BW-10%)]],TRUE)*100,"")</f>
        <v/>
      </c>
      <c r="L2440" s="7" t="str">
        <f>IF(Table1[[#This Row],[Is Data Valid]]=TRUE,_xlfn.NORM.S.DIST(Table1[[#This Row],[Birthweight Z-Score (BW+10%)]],TRUE)*100,"")</f>
        <v/>
      </c>
    </row>
    <row r="2441" spans="1:12" x14ac:dyDescent="0.35">
      <c r="A2441" s="3"/>
      <c r="B2441" s="2"/>
      <c r="C2441" s="2"/>
      <c r="D2441" s="2" t="b">
        <f>IF(AND(NOT(ISBLANK(Table1[[#This Row],[Fetal Sex (Male, Female or Unknown)]])),ISNUMBER(Table1[[#This Row],[Birthweight (grams)]]),ISNUMBER(Table1[[#This Row],[Gestation (days)]])),TRUE,FALSE)</f>
        <v>0</v>
      </c>
      <c r="E2441" s="2" t="str">
        <f>IF(Table1[[#This Row],[Is Data Valid]]=TRUE,IF(Table1[[#This Row],[Fetal Sex (Male, Female or Unknown)]]="Male",Backend!$C$6,IF(Table1[[#This Row],[Fetal Sex (Male, Female or Unknown)]]="Female",Backend!$C$7,IF(Table1[[#This Row],[Fetal Sex (Male, Female or Unknown)]]="Unknown",Backend!$C$8,"Error"))),"")</f>
        <v/>
      </c>
      <c r="F2441" s="8" t="str">
        <f>IF(Table1[[#This Row],[Is Data Valid]]=TRUE,EXP(0.578+0.332*((Table1[[#This Row],[Gestation (days)]]+0.5)/7)-0.00354*((Table1[[#This Row],[Gestation (days)]]+0.5)/7)^2)*Table1[[#This Row],[BW40_3705]],"")</f>
        <v/>
      </c>
      <c r="G2441" s="2" t="str">
        <f>IF(Table1[[#This Row],[Is Data Valid]]=TRUE,((Table1[[#This Row],[Birthweight (grams)]]/Table1[[#This Row],[BW_GA]])-1)/(Backend!$B$4/100*Table1[[#This Row],[BW40_3705]]),"")</f>
        <v/>
      </c>
      <c r="H2441" s="7" t="str">
        <f>IF(Table1[[#This Row],[Is Data Valid]]=TRUE,((Table1[[#This Row],[Birthweight (grams)]]*0.9/Table1[[#This Row],[BW_GA]])-1)/(Backend!$B$4/100*Table1[[#This Row],[BW40_3705]]),"")</f>
        <v/>
      </c>
      <c r="I2441" s="7" t="str">
        <f>IF(Table1[[#This Row],[Is Data Valid]]=TRUE,((Table1[[#This Row],[Birthweight (grams)]]*1.1/Table1[[#This Row],[BW_GA]])-1)/(Backend!$B$4/100*Table1[[#This Row],[BW40_3705]]),"")</f>
        <v/>
      </c>
      <c r="J2441" s="7" t="str">
        <f>IF(Table1[[#This Row],[Is Data Valid]]=TRUE,_xlfn.NORM.S.DIST(Table1[[#This Row],[Birthweight Z-Score]],TRUE)*100,"")</f>
        <v/>
      </c>
      <c r="K2441" s="7" t="str">
        <f>IF(Table1[[#This Row],[Is Data Valid]]=TRUE,_xlfn.NORM.S.DIST(Table1[[#This Row],[Birthweight Z-Score (BW-10%)]],TRUE)*100,"")</f>
        <v/>
      </c>
      <c r="L2441" s="7" t="str">
        <f>IF(Table1[[#This Row],[Is Data Valid]]=TRUE,_xlfn.NORM.S.DIST(Table1[[#This Row],[Birthweight Z-Score (BW+10%)]],TRUE)*100,"")</f>
        <v/>
      </c>
    </row>
    <row r="2442" spans="1:12" x14ac:dyDescent="0.35">
      <c r="A2442" s="3"/>
      <c r="B2442" s="2"/>
      <c r="C2442" s="2"/>
      <c r="D2442" s="2" t="b">
        <f>IF(AND(NOT(ISBLANK(Table1[[#This Row],[Fetal Sex (Male, Female or Unknown)]])),ISNUMBER(Table1[[#This Row],[Birthweight (grams)]]),ISNUMBER(Table1[[#This Row],[Gestation (days)]])),TRUE,FALSE)</f>
        <v>0</v>
      </c>
      <c r="E2442" s="2" t="str">
        <f>IF(Table1[[#This Row],[Is Data Valid]]=TRUE,IF(Table1[[#This Row],[Fetal Sex (Male, Female or Unknown)]]="Male",Backend!$C$6,IF(Table1[[#This Row],[Fetal Sex (Male, Female or Unknown)]]="Female",Backend!$C$7,IF(Table1[[#This Row],[Fetal Sex (Male, Female or Unknown)]]="Unknown",Backend!$C$8,"Error"))),"")</f>
        <v/>
      </c>
      <c r="F2442" s="8" t="str">
        <f>IF(Table1[[#This Row],[Is Data Valid]]=TRUE,EXP(0.578+0.332*((Table1[[#This Row],[Gestation (days)]]+0.5)/7)-0.00354*((Table1[[#This Row],[Gestation (days)]]+0.5)/7)^2)*Table1[[#This Row],[BW40_3705]],"")</f>
        <v/>
      </c>
      <c r="G2442" s="2" t="str">
        <f>IF(Table1[[#This Row],[Is Data Valid]]=TRUE,((Table1[[#This Row],[Birthweight (grams)]]/Table1[[#This Row],[BW_GA]])-1)/(Backend!$B$4/100*Table1[[#This Row],[BW40_3705]]),"")</f>
        <v/>
      </c>
      <c r="H2442" s="7" t="str">
        <f>IF(Table1[[#This Row],[Is Data Valid]]=TRUE,((Table1[[#This Row],[Birthweight (grams)]]*0.9/Table1[[#This Row],[BW_GA]])-1)/(Backend!$B$4/100*Table1[[#This Row],[BW40_3705]]),"")</f>
        <v/>
      </c>
      <c r="I2442" s="7" t="str">
        <f>IF(Table1[[#This Row],[Is Data Valid]]=TRUE,((Table1[[#This Row],[Birthweight (grams)]]*1.1/Table1[[#This Row],[BW_GA]])-1)/(Backend!$B$4/100*Table1[[#This Row],[BW40_3705]]),"")</f>
        <v/>
      </c>
      <c r="J2442" s="7" t="str">
        <f>IF(Table1[[#This Row],[Is Data Valid]]=TRUE,_xlfn.NORM.S.DIST(Table1[[#This Row],[Birthweight Z-Score]],TRUE)*100,"")</f>
        <v/>
      </c>
      <c r="K2442" s="7" t="str">
        <f>IF(Table1[[#This Row],[Is Data Valid]]=TRUE,_xlfn.NORM.S.DIST(Table1[[#This Row],[Birthweight Z-Score (BW-10%)]],TRUE)*100,"")</f>
        <v/>
      </c>
      <c r="L2442" s="7" t="str">
        <f>IF(Table1[[#This Row],[Is Data Valid]]=TRUE,_xlfn.NORM.S.DIST(Table1[[#This Row],[Birthweight Z-Score (BW+10%)]],TRUE)*100,"")</f>
        <v/>
      </c>
    </row>
    <row r="2443" spans="1:12" x14ac:dyDescent="0.35">
      <c r="A2443" s="3"/>
      <c r="B2443" s="2"/>
      <c r="C2443" s="2"/>
      <c r="D2443" s="2" t="b">
        <f>IF(AND(NOT(ISBLANK(Table1[[#This Row],[Fetal Sex (Male, Female or Unknown)]])),ISNUMBER(Table1[[#This Row],[Birthweight (grams)]]),ISNUMBER(Table1[[#This Row],[Gestation (days)]])),TRUE,FALSE)</f>
        <v>0</v>
      </c>
      <c r="E2443" s="2" t="str">
        <f>IF(Table1[[#This Row],[Is Data Valid]]=TRUE,IF(Table1[[#This Row],[Fetal Sex (Male, Female or Unknown)]]="Male",Backend!$C$6,IF(Table1[[#This Row],[Fetal Sex (Male, Female or Unknown)]]="Female",Backend!$C$7,IF(Table1[[#This Row],[Fetal Sex (Male, Female or Unknown)]]="Unknown",Backend!$C$8,"Error"))),"")</f>
        <v/>
      </c>
      <c r="F2443" s="8" t="str">
        <f>IF(Table1[[#This Row],[Is Data Valid]]=TRUE,EXP(0.578+0.332*((Table1[[#This Row],[Gestation (days)]]+0.5)/7)-0.00354*((Table1[[#This Row],[Gestation (days)]]+0.5)/7)^2)*Table1[[#This Row],[BW40_3705]],"")</f>
        <v/>
      </c>
      <c r="G2443" s="2" t="str">
        <f>IF(Table1[[#This Row],[Is Data Valid]]=TRUE,((Table1[[#This Row],[Birthweight (grams)]]/Table1[[#This Row],[BW_GA]])-1)/(Backend!$B$4/100*Table1[[#This Row],[BW40_3705]]),"")</f>
        <v/>
      </c>
      <c r="H2443" s="7" t="str">
        <f>IF(Table1[[#This Row],[Is Data Valid]]=TRUE,((Table1[[#This Row],[Birthweight (grams)]]*0.9/Table1[[#This Row],[BW_GA]])-1)/(Backend!$B$4/100*Table1[[#This Row],[BW40_3705]]),"")</f>
        <v/>
      </c>
      <c r="I2443" s="7" t="str">
        <f>IF(Table1[[#This Row],[Is Data Valid]]=TRUE,((Table1[[#This Row],[Birthweight (grams)]]*1.1/Table1[[#This Row],[BW_GA]])-1)/(Backend!$B$4/100*Table1[[#This Row],[BW40_3705]]),"")</f>
        <v/>
      </c>
      <c r="J2443" s="7" t="str">
        <f>IF(Table1[[#This Row],[Is Data Valid]]=TRUE,_xlfn.NORM.S.DIST(Table1[[#This Row],[Birthweight Z-Score]],TRUE)*100,"")</f>
        <v/>
      </c>
      <c r="K2443" s="7" t="str">
        <f>IF(Table1[[#This Row],[Is Data Valid]]=TRUE,_xlfn.NORM.S.DIST(Table1[[#This Row],[Birthweight Z-Score (BW-10%)]],TRUE)*100,"")</f>
        <v/>
      </c>
      <c r="L2443" s="7" t="str">
        <f>IF(Table1[[#This Row],[Is Data Valid]]=TRUE,_xlfn.NORM.S.DIST(Table1[[#This Row],[Birthweight Z-Score (BW+10%)]],TRUE)*100,"")</f>
        <v/>
      </c>
    </row>
    <row r="2444" spans="1:12" x14ac:dyDescent="0.35">
      <c r="A2444" s="3"/>
      <c r="B2444" s="2"/>
      <c r="C2444" s="2"/>
      <c r="D2444" s="2" t="b">
        <f>IF(AND(NOT(ISBLANK(Table1[[#This Row],[Fetal Sex (Male, Female or Unknown)]])),ISNUMBER(Table1[[#This Row],[Birthweight (grams)]]),ISNUMBER(Table1[[#This Row],[Gestation (days)]])),TRUE,FALSE)</f>
        <v>0</v>
      </c>
      <c r="E2444" s="2" t="str">
        <f>IF(Table1[[#This Row],[Is Data Valid]]=TRUE,IF(Table1[[#This Row],[Fetal Sex (Male, Female or Unknown)]]="Male",Backend!$C$6,IF(Table1[[#This Row],[Fetal Sex (Male, Female or Unknown)]]="Female",Backend!$C$7,IF(Table1[[#This Row],[Fetal Sex (Male, Female or Unknown)]]="Unknown",Backend!$C$8,"Error"))),"")</f>
        <v/>
      </c>
      <c r="F2444" s="8" t="str">
        <f>IF(Table1[[#This Row],[Is Data Valid]]=TRUE,EXP(0.578+0.332*((Table1[[#This Row],[Gestation (days)]]+0.5)/7)-0.00354*((Table1[[#This Row],[Gestation (days)]]+0.5)/7)^2)*Table1[[#This Row],[BW40_3705]],"")</f>
        <v/>
      </c>
      <c r="G2444" s="2" t="str">
        <f>IF(Table1[[#This Row],[Is Data Valid]]=TRUE,((Table1[[#This Row],[Birthweight (grams)]]/Table1[[#This Row],[BW_GA]])-1)/(Backend!$B$4/100*Table1[[#This Row],[BW40_3705]]),"")</f>
        <v/>
      </c>
      <c r="H2444" s="7" t="str">
        <f>IF(Table1[[#This Row],[Is Data Valid]]=TRUE,((Table1[[#This Row],[Birthweight (grams)]]*0.9/Table1[[#This Row],[BW_GA]])-1)/(Backend!$B$4/100*Table1[[#This Row],[BW40_3705]]),"")</f>
        <v/>
      </c>
      <c r="I2444" s="7" t="str">
        <f>IF(Table1[[#This Row],[Is Data Valid]]=TRUE,((Table1[[#This Row],[Birthweight (grams)]]*1.1/Table1[[#This Row],[BW_GA]])-1)/(Backend!$B$4/100*Table1[[#This Row],[BW40_3705]]),"")</f>
        <v/>
      </c>
      <c r="J2444" s="7" t="str">
        <f>IF(Table1[[#This Row],[Is Data Valid]]=TRUE,_xlfn.NORM.S.DIST(Table1[[#This Row],[Birthweight Z-Score]],TRUE)*100,"")</f>
        <v/>
      </c>
      <c r="K2444" s="7" t="str">
        <f>IF(Table1[[#This Row],[Is Data Valid]]=TRUE,_xlfn.NORM.S.DIST(Table1[[#This Row],[Birthweight Z-Score (BW-10%)]],TRUE)*100,"")</f>
        <v/>
      </c>
      <c r="L2444" s="7" t="str">
        <f>IF(Table1[[#This Row],[Is Data Valid]]=TRUE,_xlfn.NORM.S.DIST(Table1[[#This Row],[Birthweight Z-Score (BW+10%)]],TRUE)*100,"")</f>
        <v/>
      </c>
    </row>
    <row r="2445" spans="1:12" x14ac:dyDescent="0.35">
      <c r="A2445" s="3"/>
      <c r="B2445" s="2"/>
      <c r="C2445" s="2"/>
      <c r="D2445" s="2" t="b">
        <f>IF(AND(NOT(ISBLANK(Table1[[#This Row],[Fetal Sex (Male, Female or Unknown)]])),ISNUMBER(Table1[[#This Row],[Birthweight (grams)]]),ISNUMBER(Table1[[#This Row],[Gestation (days)]])),TRUE,FALSE)</f>
        <v>0</v>
      </c>
      <c r="E2445" s="2" t="str">
        <f>IF(Table1[[#This Row],[Is Data Valid]]=TRUE,IF(Table1[[#This Row],[Fetal Sex (Male, Female or Unknown)]]="Male",Backend!$C$6,IF(Table1[[#This Row],[Fetal Sex (Male, Female or Unknown)]]="Female",Backend!$C$7,IF(Table1[[#This Row],[Fetal Sex (Male, Female or Unknown)]]="Unknown",Backend!$C$8,"Error"))),"")</f>
        <v/>
      </c>
      <c r="F2445" s="8" t="str">
        <f>IF(Table1[[#This Row],[Is Data Valid]]=TRUE,EXP(0.578+0.332*((Table1[[#This Row],[Gestation (days)]]+0.5)/7)-0.00354*((Table1[[#This Row],[Gestation (days)]]+0.5)/7)^2)*Table1[[#This Row],[BW40_3705]],"")</f>
        <v/>
      </c>
      <c r="G2445" s="2" t="str">
        <f>IF(Table1[[#This Row],[Is Data Valid]]=TRUE,((Table1[[#This Row],[Birthweight (grams)]]/Table1[[#This Row],[BW_GA]])-1)/(Backend!$B$4/100*Table1[[#This Row],[BW40_3705]]),"")</f>
        <v/>
      </c>
      <c r="H2445" s="7" t="str">
        <f>IF(Table1[[#This Row],[Is Data Valid]]=TRUE,((Table1[[#This Row],[Birthweight (grams)]]*0.9/Table1[[#This Row],[BW_GA]])-1)/(Backend!$B$4/100*Table1[[#This Row],[BW40_3705]]),"")</f>
        <v/>
      </c>
      <c r="I2445" s="7" t="str">
        <f>IF(Table1[[#This Row],[Is Data Valid]]=TRUE,((Table1[[#This Row],[Birthweight (grams)]]*1.1/Table1[[#This Row],[BW_GA]])-1)/(Backend!$B$4/100*Table1[[#This Row],[BW40_3705]]),"")</f>
        <v/>
      </c>
      <c r="J2445" s="7" t="str">
        <f>IF(Table1[[#This Row],[Is Data Valid]]=TRUE,_xlfn.NORM.S.DIST(Table1[[#This Row],[Birthweight Z-Score]],TRUE)*100,"")</f>
        <v/>
      </c>
      <c r="K2445" s="7" t="str">
        <f>IF(Table1[[#This Row],[Is Data Valid]]=TRUE,_xlfn.NORM.S.DIST(Table1[[#This Row],[Birthweight Z-Score (BW-10%)]],TRUE)*100,"")</f>
        <v/>
      </c>
      <c r="L2445" s="7" t="str">
        <f>IF(Table1[[#This Row],[Is Data Valid]]=TRUE,_xlfn.NORM.S.DIST(Table1[[#This Row],[Birthweight Z-Score (BW+10%)]],TRUE)*100,"")</f>
        <v/>
      </c>
    </row>
    <row r="2446" spans="1:12" x14ac:dyDescent="0.35">
      <c r="A2446" s="3"/>
      <c r="B2446" s="2"/>
      <c r="C2446" s="2"/>
      <c r="D2446" s="2" t="b">
        <f>IF(AND(NOT(ISBLANK(Table1[[#This Row],[Fetal Sex (Male, Female or Unknown)]])),ISNUMBER(Table1[[#This Row],[Birthweight (grams)]]),ISNUMBER(Table1[[#This Row],[Gestation (days)]])),TRUE,FALSE)</f>
        <v>0</v>
      </c>
      <c r="E2446" s="2" t="str">
        <f>IF(Table1[[#This Row],[Is Data Valid]]=TRUE,IF(Table1[[#This Row],[Fetal Sex (Male, Female or Unknown)]]="Male",Backend!$C$6,IF(Table1[[#This Row],[Fetal Sex (Male, Female or Unknown)]]="Female",Backend!$C$7,IF(Table1[[#This Row],[Fetal Sex (Male, Female or Unknown)]]="Unknown",Backend!$C$8,"Error"))),"")</f>
        <v/>
      </c>
      <c r="F2446" s="8" t="str">
        <f>IF(Table1[[#This Row],[Is Data Valid]]=TRUE,EXP(0.578+0.332*((Table1[[#This Row],[Gestation (days)]]+0.5)/7)-0.00354*((Table1[[#This Row],[Gestation (days)]]+0.5)/7)^2)*Table1[[#This Row],[BW40_3705]],"")</f>
        <v/>
      </c>
      <c r="G2446" s="2" t="str">
        <f>IF(Table1[[#This Row],[Is Data Valid]]=TRUE,((Table1[[#This Row],[Birthweight (grams)]]/Table1[[#This Row],[BW_GA]])-1)/(Backend!$B$4/100*Table1[[#This Row],[BW40_3705]]),"")</f>
        <v/>
      </c>
      <c r="H2446" s="7" t="str">
        <f>IF(Table1[[#This Row],[Is Data Valid]]=TRUE,((Table1[[#This Row],[Birthweight (grams)]]*0.9/Table1[[#This Row],[BW_GA]])-1)/(Backend!$B$4/100*Table1[[#This Row],[BW40_3705]]),"")</f>
        <v/>
      </c>
      <c r="I2446" s="7" t="str">
        <f>IF(Table1[[#This Row],[Is Data Valid]]=TRUE,((Table1[[#This Row],[Birthweight (grams)]]*1.1/Table1[[#This Row],[BW_GA]])-1)/(Backend!$B$4/100*Table1[[#This Row],[BW40_3705]]),"")</f>
        <v/>
      </c>
      <c r="J2446" s="7" t="str">
        <f>IF(Table1[[#This Row],[Is Data Valid]]=TRUE,_xlfn.NORM.S.DIST(Table1[[#This Row],[Birthweight Z-Score]],TRUE)*100,"")</f>
        <v/>
      </c>
      <c r="K2446" s="7" t="str">
        <f>IF(Table1[[#This Row],[Is Data Valid]]=TRUE,_xlfn.NORM.S.DIST(Table1[[#This Row],[Birthweight Z-Score (BW-10%)]],TRUE)*100,"")</f>
        <v/>
      </c>
      <c r="L2446" s="7" t="str">
        <f>IF(Table1[[#This Row],[Is Data Valid]]=TRUE,_xlfn.NORM.S.DIST(Table1[[#This Row],[Birthweight Z-Score (BW+10%)]],TRUE)*100,"")</f>
        <v/>
      </c>
    </row>
    <row r="2447" spans="1:12" x14ac:dyDescent="0.35">
      <c r="A2447" s="3"/>
      <c r="B2447" s="2"/>
      <c r="C2447" s="2"/>
      <c r="D2447" s="2" t="b">
        <f>IF(AND(NOT(ISBLANK(Table1[[#This Row],[Fetal Sex (Male, Female or Unknown)]])),ISNUMBER(Table1[[#This Row],[Birthweight (grams)]]),ISNUMBER(Table1[[#This Row],[Gestation (days)]])),TRUE,FALSE)</f>
        <v>0</v>
      </c>
      <c r="E2447" s="2" t="str">
        <f>IF(Table1[[#This Row],[Is Data Valid]]=TRUE,IF(Table1[[#This Row],[Fetal Sex (Male, Female or Unknown)]]="Male",Backend!$C$6,IF(Table1[[#This Row],[Fetal Sex (Male, Female or Unknown)]]="Female",Backend!$C$7,IF(Table1[[#This Row],[Fetal Sex (Male, Female or Unknown)]]="Unknown",Backend!$C$8,"Error"))),"")</f>
        <v/>
      </c>
      <c r="F2447" s="8" t="str">
        <f>IF(Table1[[#This Row],[Is Data Valid]]=TRUE,EXP(0.578+0.332*((Table1[[#This Row],[Gestation (days)]]+0.5)/7)-0.00354*((Table1[[#This Row],[Gestation (days)]]+0.5)/7)^2)*Table1[[#This Row],[BW40_3705]],"")</f>
        <v/>
      </c>
      <c r="G2447" s="2" t="str">
        <f>IF(Table1[[#This Row],[Is Data Valid]]=TRUE,((Table1[[#This Row],[Birthweight (grams)]]/Table1[[#This Row],[BW_GA]])-1)/(Backend!$B$4/100*Table1[[#This Row],[BW40_3705]]),"")</f>
        <v/>
      </c>
      <c r="H2447" s="7" t="str">
        <f>IF(Table1[[#This Row],[Is Data Valid]]=TRUE,((Table1[[#This Row],[Birthweight (grams)]]*0.9/Table1[[#This Row],[BW_GA]])-1)/(Backend!$B$4/100*Table1[[#This Row],[BW40_3705]]),"")</f>
        <v/>
      </c>
      <c r="I2447" s="7" t="str">
        <f>IF(Table1[[#This Row],[Is Data Valid]]=TRUE,((Table1[[#This Row],[Birthweight (grams)]]*1.1/Table1[[#This Row],[BW_GA]])-1)/(Backend!$B$4/100*Table1[[#This Row],[BW40_3705]]),"")</f>
        <v/>
      </c>
      <c r="J2447" s="7" t="str">
        <f>IF(Table1[[#This Row],[Is Data Valid]]=TRUE,_xlfn.NORM.S.DIST(Table1[[#This Row],[Birthweight Z-Score]],TRUE)*100,"")</f>
        <v/>
      </c>
      <c r="K2447" s="7" t="str">
        <f>IF(Table1[[#This Row],[Is Data Valid]]=TRUE,_xlfn.NORM.S.DIST(Table1[[#This Row],[Birthweight Z-Score (BW-10%)]],TRUE)*100,"")</f>
        <v/>
      </c>
      <c r="L2447" s="7" t="str">
        <f>IF(Table1[[#This Row],[Is Data Valid]]=TRUE,_xlfn.NORM.S.DIST(Table1[[#This Row],[Birthweight Z-Score (BW+10%)]],TRUE)*100,"")</f>
        <v/>
      </c>
    </row>
    <row r="2448" spans="1:12" x14ac:dyDescent="0.35">
      <c r="A2448" s="3"/>
      <c r="B2448" s="2"/>
      <c r="C2448" s="2"/>
      <c r="D2448" s="2" t="b">
        <f>IF(AND(NOT(ISBLANK(Table1[[#This Row],[Fetal Sex (Male, Female or Unknown)]])),ISNUMBER(Table1[[#This Row],[Birthweight (grams)]]),ISNUMBER(Table1[[#This Row],[Gestation (days)]])),TRUE,FALSE)</f>
        <v>0</v>
      </c>
      <c r="E2448" s="2" t="str">
        <f>IF(Table1[[#This Row],[Is Data Valid]]=TRUE,IF(Table1[[#This Row],[Fetal Sex (Male, Female or Unknown)]]="Male",Backend!$C$6,IF(Table1[[#This Row],[Fetal Sex (Male, Female or Unknown)]]="Female",Backend!$C$7,IF(Table1[[#This Row],[Fetal Sex (Male, Female or Unknown)]]="Unknown",Backend!$C$8,"Error"))),"")</f>
        <v/>
      </c>
      <c r="F2448" s="8" t="str">
        <f>IF(Table1[[#This Row],[Is Data Valid]]=TRUE,EXP(0.578+0.332*((Table1[[#This Row],[Gestation (days)]]+0.5)/7)-0.00354*((Table1[[#This Row],[Gestation (days)]]+0.5)/7)^2)*Table1[[#This Row],[BW40_3705]],"")</f>
        <v/>
      </c>
      <c r="G2448" s="2" t="str">
        <f>IF(Table1[[#This Row],[Is Data Valid]]=TRUE,((Table1[[#This Row],[Birthweight (grams)]]/Table1[[#This Row],[BW_GA]])-1)/(Backend!$B$4/100*Table1[[#This Row],[BW40_3705]]),"")</f>
        <v/>
      </c>
      <c r="H2448" s="7" t="str">
        <f>IF(Table1[[#This Row],[Is Data Valid]]=TRUE,((Table1[[#This Row],[Birthweight (grams)]]*0.9/Table1[[#This Row],[BW_GA]])-1)/(Backend!$B$4/100*Table1[[#This Row],[BW40_3705]]),"")</f>
        <v/>
      </c>
      <c r="I2448" s="7" t="str">
        <f>IF(Table1[[#This Row],[Is Data Valid]]=TRUE,((Table1[[#This Row],[Birthweight (grams)]]*1.1/Table1[[#This Row],[BW_GA]])-1)/(Backend!$B$4/100*Table1[[#This Row],[BW40_3705]]),"")</f>
        <v/>
      </c>
      <c r="J2448" s="7" t="str">
        <f>IF(Table1[[#This Row],[Is Data Valid]]=TRUE,_xlfn.NORM.S.DIST(Table1[[#This Row],[Birthweight Z-Score]],TRUE)*100,"")</f>
        <v/>
      </c>
      <c r="K2448" s="7" t="str">
        <f>IF(Table1[[#This Row],[Is Data Valid]]=TRUE,_xlfn.NORM.S.DIST(Table1[[#This Row],[Birthweight Z-Score (BW-10%)]],TRUE)*100,"")</f>
        <v/>
      </c>
      <c r="L2448" s="7" t="str">
        <f>IF(Table1[[#This Row],[Is Data Valid]]=TRUE,_xlfn.NORM.S.DIST(Table1[[#This Row],[Birthweight Z-Score (BW+10%)]],TRUE)*100,"")</f>
        <v/>
      </c>
    </row>
    <row r="2449" spans="1:12" x14ac:dyDescent="0.35">
      <c r="A2449" s="3"/>
      <c r="B2449" s="2"/>
      <c r="C2449" s="2"/>
      <c r="D2449" s="2" t="b">
        <f>IF(AND(NOT(ISBLANK(Table1[[#This Row],[Fetal Sex (Male, Female or Unknown)]])),ISNUMBER(Table1[[#This Row],[Birthweight (grams)]]),ISNUMBER(Table1[[#This Row],[Gestation (days)]])),TRUE,FALSE)</f>
        <v>0</v>
      </c>
      <c r="E2449" s="2" t="str">
        <f>IF(Table1[[#This Row],[Is Data Valid]]=TRUE,IF(Table1[[#This Row],[Fetal Sex (Male, Female or Unknown)]]="Male",Backend!$C$6,IF(Table1[[#This Row],[Fetal Sex (Male, Female or Unknown)]]="Female",Backend!$C$7,IF(Table1[[#This Row],[Fetal Sex (Male, Female or Unknown)]]="Unknown",Backend!$C$8,"Error"))),"")</f>
        <v/>
      </c>
      <c r="F2449" s="8" t="str">
        <f>IF(Table1[[#This Row],[Is Data Valid]]=TRUE,EXP(0.578+0.332*((Table1[[#This Row],[Gestation (days)]]+0.5)/7)-0.00354*((Table1[[#This Row],[Gestation (days)]]+0.5)/7)^2)*Table1[[#This Row],[BW40_3705]],"")</f>
        <v/>
      </c>
      <c r="G2449" s="2" t="str">
        <f>IF(Table1[[#This Row],[Is Data Valid]]=TRUE,((Table1[[#This Row],[Birthweight (grams)]]/Table1[[#This Row],[BW_GA]])-1)/(Backend!$B$4/100*Table1[[#This Row],[BW40_3705]]),"")</f>
        <v/>
      </c>
      <c r="H2449" s="7" t="str">
        <f>IF(Table1[[#This Row],[Is Data Valid]]=TRUE,((Table1[[#This Row],[Birthweight (grams)]]*0.9/Table1[[#This Row],[BW_GA]])-1)/(Backend!$B$4/100*Table1[[#This Row],[BW40_3705]]),"")</f>
        <v/>
      </c>
      <c r="I2449" s="7" t="str">
        <f>IF(Table1[[#This Row],[Is Data Valid]]=TRUE,((Table1[[#This Row],[Birthweight (grams)]]*1.1/Table1[[#This Row],[BW_GA]])-1)/(Backend!$B$4/100*Table1[[#This Row],[BW40_3705]]),"")</f>
        <v/>
      </c>
      <c r="J2449" s="7" t="str">
        <f>IF(Table1[[#This Row],[Is Data Valid]]=TRUE,_xlfn.NORM.S.DIST(Table1[[#This Row],[Birthweight Z-Score]],TRUE)*100,"")</f>
        <v/>
      </c>
      <c r="K2449" s="7" t="str">
        <f>IF(Table1[[#This Row],[Is Data Valid]]=TRUE,_xlfn.NORM.S.DIST(Table1[[#This Row],[Birthweight Z-Score (BW-10%)]],TRUE)*100,"")</f>
        <v/>
      </c>
      <c r="L2449" s="7" t="str">
        <f>IF(Table1[[#This Row],[Is Data Valid]]=TRUE,_xlfn.NORM.S.DIST(Table1[[#This Row],[Birthweight Z-Score (BW+10%)]],TRUE)*100,"")</f>
        <v/>
      </c>
    </row>
    <row r="2450" spans="1:12" x14ac:dyDescent="0.35">
      <c r="A2450" s="3"/>
      <c r="B2450" s="2"/>
      <c r="C2450" s="2"/>
      <c r="D2450" s="2" t="b">
        <f>IF(AND(NOT(ISBLANK(Table1[[#This Row],[Fetal Sex (Male, Female or Unknown)]])),ISNUMBER(Table1[[#This Row],[Birthweight (grams)]]),ISNUMBER(Table1[[#This Row],[Gestation (days)]])),TRUE,FALSE)</f>
        <v>0</v>
      </c>
      <c r="E2450" s="2" t="str">
        <f>IF(Table1[[#This Row],[Is Data Valid]]=TRUE,IF(Table1[[#This Row],[Fetal Sex (Male, Female or Unknown)]]="Male",Backend!$C$6,IF(Table1[[#This Row],[Fetal Sex (Male, Female or Unknown)]]="Female",Backend!$C$7,IF(Table1[[#This Row],[Fetal Sex (Male, Female or Unknown)]]="Unknown",Backend!$C$8,"Error"))),"")</f>
        <v/>
      </c>
      <c r="F2450" s="8" t="str">
        <f>IF(Table1[[#This Row],[Is Data Valid]]=TRUE,EXP(0.578+0.332*((Table1[[#This Row],[Gestation (days)]]+0.5)/7)-0.00354*((Table1[[#This Row],[Gestation (days)]]+0.5)/7)^2)*Table1[[#This Row],[BW40_3705]],"")</f>
        <v/>
      </c>
      <c r="G2450" s="2" t="str">
        <f>IF(Table1[[#This Row],[Is Data Valid]]=TRUE,((Table1[[#This Row],[Birthweight (grams)]]/Table1[[#This Row],[BW_GA]])-1)/(Backend!$B$4/100*Table1[[#This Row],[BW40_3705]]),"")</f>
        <v/>
      </c>
      <c r="H2450" s="7" t="str">
        <f>IF(Table1[[#This Row],[Is Data Valid]]=TRUE,((Table1[[#This Row],[Birthweight (grams)]]*0.9/Table1[[#This Row],[BW_GA]])-1)/(Backend!$B$4/100*Table1[[#This Row],[BW40_3705]]),"")</f>
        <v/>
      </c>
      <c r="I2450" s="7" t="str">
        <f>IF(Table1[[#This Row],[Is Data Valid]]=TRUE,((Table1[[#This Row],[Birthweight (grams)]]*1.1/Table1[[#This Row],[BW_GA]])-1)/(Backend!$B$4/100*Table1[[#This Row],[BW40_3705]]),"")</f>
        <v/>
      </c>
      <c r="J2450" s="7" t="str">
        <f>IF(Table1[[#This Row],[Is Data Valid]]=TRUE,_xlfn.NORM.S.DIST(Table1[[#This Row],[Birthweight Z-Score]],TRUE)*100,"")</f>
        <v/>
      </c>
      <c r="K2450" s="7" t="str">
        <f>IF(Table1[[#This Row],[Is Data Valid]]=TRUE,_xlfn.NORM.S.DIST(Table1[[#This Row],[Birthweight Z-Score (BW-10%)]],TRUE)*100,"")</f>
        <v/>
      </c>
      <c r="L2450" s="7" t="str">
        <f>IF(Table1[[#This Row],[Is Data Valid]]=TRUE,_xlfn.NORM.S.DIST(Table1[[#This Row],[Birthweight Z-Score (BW+10%)]],TRUE)*100,"")</f>
        <v/>
      </c>
    </row>
    <row r="2451" spans="1:12" x14ac:dyDescent="0.35">
      <c r="A2451" s="3"/>
      <c r="B2451" s="2"/>
      <c r="C2451" s="2"/>
      <c r="D2451" s="2" t="b">
        <f>IF(AND(NOT(ISBLANK(Table1[[#This Row],[Fetal Sex (Male, Female or Unknown)]])),ISNUMBER(Table1[[#This Row],[Birthweight (grams)]]),ISNUMBER(Table1[[#This Row],[Gestation (days)]])),TRUE,FALSE)</f>
        <v>0</v>
      </c>
      <c r="E2451" s="2" t="str">
        <f>IF(Table1[[#This Row],[Is Data Valid]]=TRUE,IF(Table1[[#This Row],[Fetal Sex (Male, Female or Unknown)]]="Male",Backend!$C$6,IF(Table1[[#This Row],[Fetal Sex (Male, Female or Unknown)]]="Female",Backend!$C$7,IF(Table1[[#This Row],[Fetal Sex (Male, Female or Unknown)]]="Unknown",Backend!$C$8,"Error"))),"")</f>
        <v/>
      </c>
      <c r="F2451" s="8" t="str">
        <f>IF(Table1[[#This Row],[Is Data Valid]]=TRUE,EXP(0.578+0.332*((Table1[[#This Row],[Gestation (days)]]+0.5)/7)-0.00354*((Table1[[#This Row],[Gestation (days)]]+0.5)/7)^2)*Table1[[#This Row],[BW40_3705]],"")</f>
        <v/>
      </c>
      <c r="G2451" s="2" t="str">
        <f>IF(Table1[[#This Row],[Is Data Valid]]=TRUE,((Table1[[#This Row],[Birthweight (grams)]]/Table1[[#This Row],[BW_GA]])-1)/(Backend!$B$4/100*Table1[[#This Row],[BW40_3705]]),"")</f>
        <v/>
      </c>
      <c r="H2451" s="7" t="str">
        <f>IF(Table1[[#This Row],[Is Data Valid]]=TRUE,((Table1[[#This Row],[Birthweight (grams)]]*0.9/Table1[[#This Row],[BW_GA]])-1)/(Backend!$B$4/100*Table1[[#This Row],[BW40_3705]]),"")</f>
        <v/>
      </c>
      <c r="I2451" s="7" t="str">
        <f>IF(Table1[[#This Row],[Is Data Valid]]=TRUE,((Table1[[#This Row],[Birthweight (grams)]]*1.1/Table1[[#This Row],[BW_GA]])-1)/(Backend!$B$4/100*Table1[[#This Row],[BW40_3705]]),"")</f>
        <v/>
      </c>
      <c r="J2451" s="7" t="str">
        <f>IF(Table1[[#This Row],[Is Data Valid]]=TRUE,_xlfn.NORM.S.DIST(Table1[[#This Row],[Birthweight Z-Score]],TRUE)*100,"")</f>
        <v/>
      </c>
      <c r="K2451" s="7" t="str">
        <f>IF(Table1[[#This Row],[Is Data Valid]]=TRUE,_xlfn.NORM.S.DIST(Table1[[#This Row],[Birthweight Z-Score (BW-10%)]],TRUE)*100,"")</f>
        <v/>
      </c>
      <c r="L2451" s="7" t="str">
        <f>IF(Table1[[#This Row],[Is Data Valid]]=TRUE,_xlfn.NORM.S.DIST(Table1[[#This Row],[Birthweight Z-Score (BW+10%)]],TRUE)*100,"")</f>
        <v/>
      </c>
    </row>
    <row r="2452" spans="1:12" x14ac:dyDescent="0.35">
      <c r="A2452" s="3"/>
      <c r="B2452" s="2"/>
      <c r="C2452" s="2"/>
      <c r="D2452" s="2" t="b">
        <f>IF(AND(NOT(ISBLANK(Table1[[#This Row],[Fetal Sex (Male, Female or Unknown)]])),ISNUMBER(Table1[[#This Row],[Birthweight (grams)]]),ISNUMBER(Table1[[#This Row],[Gestation (days)]])),TRUE,FALSE)</f>
        <v>0</v>
      </c>
      <c r="E2452" s="2" t="str">
        <f>IF(Table1[[#This Row],[Is Data Valid]]=TRUE,IF(Table1[[#This Row],[Fetal Sex (Male, Female or Unknown)]]="Male",Backend!$C$6,IF(Table1[[#This Row],[Fetal Sex (Male, Female or Unknown)]]="Female",Backend!$C$7,IF(Table1[[#This Row],[Fetal Sex (Male, Female or Unknown)]]="Unknown",Backend!$C$8,"Error"))),"")</f>
        <v/>
      </c>
      <c r="F2452" s="8" t="str">
        <f>IF(Table1[[#This Row],[Is Data Valid]]=TRUE,EXP(0.578+0.332*((Table1[[#This Row],[Gestation (days)]]+0.5)/7)-0.00354*((Table1[[#This Row],[Gestation (days)]]+0.5)/7)^2)*Table1[[#This Row],[BW40_3705]],"")</f>
        <v/>
      </c>
      <c r="G2452" s="2" t="str">
        <f>IF(Table1[[#This Row],[Is Data Valid]]=TRUE,((Table1[[#This Row],[Birthweight (grams)]]/Table1[[#This Row],[BW_GA]])-1)/(Backend!$B$4/100*Table1[[#This Row],[BW40_3705]]),"")</f>
        <v/>
      </c>
      <c r="H2452" s="7" t="str">
        <f>IF(Table1[[#This Row],[Is Data Valid]]=TRUE,((Table1[[#This Row],[Birthweight (grams)]]*0.9/Table1[[#This Row],[BW_GA]])-1)/(Backend!$B$4/100*Table1[[#This Row],[BW40_3705]]),"")</f>
        <v/>
      </c>
      <c r="I2452" s="7" t="str">
        <f>IF(Table1[[#This Row],[Is Data Valid]]=TRUE,((Table1[[#This Row],[Birthweight (grams)]]*1.1/Table1[[#This Row],[BW_GA]])-1)/(Backend!$B$4/100*Table1[[#This Row],[BW40_3705]]),"")</f>
        <v/>
      </c>
      <c r="J2452" s="7" t="str">
        <f>IF(Table1[[#This Row],[Is Data Valid]]=TRUE,_xlfn.NORM.S.DIST(Table1[[#This Row],[Birthweight Z-Score]],TRUE)*100,"")</f>
        <v/>
      </c>
      <c r="K2452" s="7" t="str">
        <f>IF(Table1[[#This Row],[Is Data Valid]]=TRUE,_xlfn.NORM.S.DIST(Table1[[#This Row],[Birthweight Z-Score (BW-10%)]],TRUE)*100,"")</f>
        <v/>
      </c>
      <c r="L2452" s="7" t="str">
        <f>IF(Table1[[#This Row],[Is Data Valid]]=TRUE,_xlfn.NORM.S.DIST(Table1[[#This Row],[Birthweight Z-Score (BW+10%)]],TRUE)*100,"")</f>
        <v/>
      </c>
    </row>
    <row r="2453" spans="1:12" x14ac:dyDescent="0.35">
      <c r="A2453" s="3"/>
      <c r="B2453" s="2"/>
      <c r="C2453" s="2"/>
      <c r="D2453" s="2" t="b">
        <f>IF(AND(NOT(ISBLANK(Table1[[#This Row],[Fetal Sex (Male, Female or Unknown)]])),ISNUMBER(Table1[[#This Row],[Birthweight (grams)]]),ISNUMBER(Table1[[#This Row],[Gestation (days)]])),TRUE,FALSE)</f>
        <v>0</v>
      </c>
      <c r="E2453" s="2" t="str">
        <f>IF(Table1[[#This Row],[Is Data Valid]]=TRUE,IF(Table1[[#This Row],[Fetal Sex (Male, Female or Unknown)]]="Male",Backend!$C$6,IF(Table1[[#This Row],[Fetal Sex (Male, Female or Unknown)]]="Female",Backend!$C$7,IF(Table1[[#This Row],[Fetal Sex (Male, Female or Unknown)]]="Unknown",Backend!$C$8,"Error"))),"")</f>
        <v/>
      </c>
      <c r="F2453" s="8" t="str">
        <f>IF(Table1[[#This Row],[Is Data Valid]]=TRUE,EXP(0.578+0.332*((Table1[[#This Row],[Gestation (days)]]+0.5)/7)-0.00354*((Table1[[#This Row],[Gestation (days)]]+0.5)/7)^2)*Table1[[#This Row],[BW40_3705]],"")</f>
        <v/>
      </c>
      <c r="G2453" s="2" t="str">
        <f>IF(Table1[[#This Row],[Is Data Valid]]=TRUE,((Table1[[#This Row],[Birthweight (grams)]]/Table1[[#This Row],[BW_GA]])-1)/(Backend!$B$4/100*Table1[[#This Row],[BW40_3705]]),"")</f>
        <v/>
      </c>
      <c r="H2453" s="7" t="str">
        <f>IF(Table1[[#This Row],[Is Data Valid]]=TRUE,((Table1[[#This Row],[Birthweight (grams)]]*0.9/Table1[[#This Row],[BW_GA]])-1)/(Backend!$B$4/100*Table1[[#This Row],[BW40_3705]]),"")</f>
        <v/>
      </c>
      <c r="I2453" s="7" t="str">
        <f>IF(Table1[[#This Row],[Is Data Valid]]=TRUE,((Table1[[#This Row],[Birthweight (grams)]]*1.1/Table1[[#This Row],[BW_GA]])-1)/(Backend!$B$4/100*Table1[[#This Row],[BW40_3705]]),"")</f>
        <v/>
      </c>
      <c r="J2453" s="7" t="str">
        <f>IF(Table1[[#This Row],[Is Data Valid]]=TRUE,_xlfn.NORM.S.DIST(Table1[[#This Row],[Birthweight Z-Score]],TRUE)*100,"")</f>
        <v/>
      </c>
      <c r="K2453" s="7" t="str">
        <f>IF(Table1[[#This Row],[Is Data Valid]]=TRUE,_xlfn.NORM.S.DIST(Table1[[#This Row],[Birthweight Z-Score (BW-10%)]],TRUE)*100,"")</f>
        <v/>
      </c>
      <c r="L2453" s="7" t="str">
        <f>IF(Table1[[#This Row],[Is Data Valid]]=TRUE,_xlfn.NORM.S.DIST(Table1[[#This Row],[Birthweight Z-Score (BW+10%)]],TRUE)*100,"")</f>
        <v/>
      </c>
    </row>
    <row r="2454" spans="1:12" x14ac:dyDescent="0.35">
      <c r="A2454" s="3"/>
      <c r="B2454" s="2"/>
      <c r="C2454" s="2"/>
      <c r="D2454" s="2" t="b">
        <f>IF(AND(NOT(ISBLANK(Table1[[#This Row],[Fetal Sex (Male, Female or Unknown)]])),ISNUMBER(Table1[[#This Row],[Birthweight (grams)]]),ISNUMBER(Table1[[#This Row],[Gestation (days)]])),TRUE,FALSE)</f>
        <v>0</v>
      </c>
      <c r="E2454" s="2" t="str">
        <f>IF(Table1[[#This Row],[Is Data Valid]]=TRUE,IF(Table1[[#This Row],[Fetal Sex (Male, Female or Unknown)]]="Male",Backend!$C$6,IF(Table1[[#This Row],[Fetal Sex (Male, Female or Unknown)]]="Female",Backend!$C$7,IF(Table1[[#This Row],[Fetal Sex (Male, Female or Unknown)]]="Unknown",Backend!$C$8,"Error"))),"")</f>
        <v/>
      </c>
      <c r="F2454" s="8" t="str">
        <f>IF(Table1[[#This Row],[Is Data Valid]]=TRUE,EXP(0.578+0.332*((Table1[[#This Row],[Gestation (days)]]+0.5)/7)-0.00354*((Table1[[#This Row],[Gestation (days)]]+0.5)/7)^2)*Table1[[#This Row],[BW40_3705]],"")</f>
        <v/>
      </c>
      <c r="G2454" s="2" t="str">
        <f>IF(Table1[[#This Row],[Is Data Valid]]=TRUE,((Table1[[#This Row],[Birthweight (grams)]]/Table1[[#This Row],[BW_GA]])-1)/(Backend!$B$4/100*Table1[[#This Row],[BW40_3705]]),"")</f>
        <v/>
      </c>
      <c r="H2454" s="7" t="str">
        <f>IF(Table1[[#This Row],[Is Data Valid]]=TRUE,((Table1[[#This Row],[Birthweight (grams)]]*0.9/Table1[[#This Row],[BW_GA]])-1)/(Backend!$B$4/100*Table1[[#This Row],[BW40_3705]]),"")</f>
        <v/>
      </c>
      <c r="I2454" s="7" t="str">
        <f>IF(Table1[[#This Row],[Is Data Valid]]=TRUE,((Table1[[#This Row],[Birthweight (grams)]]*1.1/Table1[[#This Row],[BW_GA]])-1)/(Backend!$B$4/100*Table1[[#This Row],[BW40_3705]]),"")</f>
        <v/>
      </c>
      <c r="J2454" s="7" t="str">
        <f>IF(Table1[[#This Row],[Is Data Valid]]=TRUE,_xlfn.NORM.S.DIST(Table1[[#This Row],[Birthweight Z-Score]],TRUE)*100,"")</f>
        <v/>
      </c>
      <c r="K2454" s="7" t="str">
        <f>IF(Table1[[#This Row],[Is Data Valid]]=TRUE,_xlfn.NORM.S.DIST(Table1[[#This Row],[Birthweight Z-Score (BW-10%)]],TRUE)*100,"")</f>
        <v/>
      </c>
      <c r="L2454" s="7" t="str">
        <f>IF(Table1[[#This Row],[Is Data Valid]]=TRUE,_xlfn.NORM.S.DIST(Table1[[#This Row],[Birthweight Z-Score (BW+10%)]],TRUE)*100,"")</f>
        <v/>
      </c>
    </row>
    <row r="2455" spans="1:12" x14ac:dyDescent="0.35">
      <c r="A2455" s="3"/>
      <c r="B2455" s="2"/>
      <c r="C2455" s="2"/>
      <c r="D2455" s="2" t="b">
        <f>IF(AND(NOT(ISBLANK(Table1[[#This Row],[Fetal Sex (Male, Female or Unknown)]])),ISNUMBER(Table1[[#This Row],[Birthweight (grams)]]),ISNUMBER(Table1[[#This Row],[Gestation (days)]])),TRUE,FALSE)</f>
        <v>0</v>
      </c>
      <c r="E2455" s="2" t="str">
        <f>IF(Table1[[#This Row],[Is Data Valid]]=TRUE,IF(Table1[[#This Row],[Fetal Sex (Male, Female or Unknown)]]="Male",Backend!$C$6,IF(Table1[[#This Row],[Fetal Sex (Male, Female or Unknown)]]="Female",Backend!$C$7,IF(Table1[[#This Row],[Fetal Sex (Male, Female or Unknown)]]="Unknown",Backend!$C$8,"Error"))),"")</f>
        <v/>
      </c>
      <c r="F2455" s="8" t="str">
        <f>IF(Table1[[#This Row],[Is Data Valid]]=TRUE,EXP(0.578+0.332*((Table1[[#This Row],[Gestation (days)]]+0.5)/7)-0.00354*((Table1[[#This Row],[Gestation (days)]]+0.5)/7)^2)*Table1[[#This Row],[BW40_3705]],"")</f>
        <v/>
      </c>
      <c r="G2455" s="2" t="str">
        <f>IF(Table1[[#This Row],[Is Data Valid]]=TRUE,((Table1[[#This Row],[Birthweight (grams)]]/Table1[[#This Row],[BW_GA]])-1)/(Backend!$B$4/100*Table1[[#This Row],[BW40_3705]]),"")</f>
        <v/>
      </c>
      <c r="H2455" s="7" t="str">
        <f>IF(Table1[[#This Row],[Is Data Valid]]=TRUE,((Table1[[#This Row],[Birthweight (grams)]]*0.9/Table1[[#This Row],[BW_GA]])-1)/(Backend!$B$4/100*Table1[[#This Row],[BW40_3705]]),"")</f>
        <v/>
      </c>
      <c r="I2455" s="7" t="str">
        <f>IF(Table1[[#This Row],[Is Data Valid]]=TRUE,((Table1[[#This Row],[Birthweight (grams)]]*1.1/Table1[[#This Row],[BW_GA]])-1)/(Backend!$B$4/100*Table1[[#This Row],[BW40_3705]]),"")</f>
        <v/>
      </c>
      <c r="J2455" s="7" t="str">
        <f>IF(Table1[[#This Row],[Is Data Valid]]=TRUE,_xlfn.NORM.S.DIST(Table1[[#This Row],[Birthweight Z-Score]],TRUE)*100,"")</f>
        <v/>
      </c>
      <c r="K2455" s="7" t="str">
        <f>IF(Table1[[#This Row],[Is Data Valid]]=TRUE,_xlfn.NORM.S.DIST(Table1[[#This Row],[Birthweight Z-Score (BW-10%)]],TRUE)*100,"")</f>
        <v/>
      </c>
      <c r="L2455" s="7" t="str">
        <f>IF(Table1[[#This Row],[Is Data Valid]]=TRUE,_xlfn.NORM.S.DIST(Table1[[#This Row],[Birthweight Z-Score (BW+10%)]],TRUE)*100,"")</f>
        <v/>
      </c>
    </row>
    <row r="2456" spans="1:12" x14ac:dyDescent="0.35">
      <c r="A2456" s="3"/>
      <c r="B2456" s="2"/>
      <c r="C2456" s="2"/>
      <c r="D2456" s="2" t="b">
        <f>IF(AND(NOT(ISBLANK(Table1[[#This Row],[Fetal Sex (Male, Female or Unknown)]])),ISNUMBER(Table1[[#This Row],[Birthweight (grams)]]),ISNUMBER(Table1[[#This Row],[Gestation (days)]])),TRUE,FALSE)</f>
        <v>0</v>
      </c>
      <c r="E2456" s="2" t="str">
        <f>IF(Table1[[#This Row],[Is Data Valid]]=TRUE,IF(Table1[[#This Row],[Fetal Sex (Male, Female or Unknown)]]="Male",Backend!$C$6,IF(Table1[[#This Row],[Fetal Sex (Male, Female or Unknown)]]="Female",Backend!$C$7,IF(Table1[[#This Row],[Fetal Sex (Male, Female or Unknown)]]="Unknown",Backend!$C$8,"Error"))),"")</f>
        <v/>
      </c>
      <c r="F2456" s="8" t="str">
        <f>IF(Table1[[#This Row],[Is Data Valid]]=TRUE,EXP(0.578+0.332*((Table1[[#This Row],[Gestation (days)]]+0.5)/7)-0.00354*((Table1[[#This Row],[Gestation (days)]]+0.5)/7)^2)*Table1[[#This Row],[BW40_3705]],"")</f>
        <v/>
      </c>
      <c r="G2456" s="2" t="str">
        <f>IF(Table1[[#This Row],[Is Data Valid]]=TRUE,((Table1[[#This Row],[Birthweight (grams)]]/Table1[[#This Row],[BW_GA]])-1)/(Backend!$B$4/100*Table1[[#This Row],[BW40_3705]]),"")</f>
        <v/>
      </c>
      <c r="H2456" s="7" t="str">
        <f>IF(Table1[[#This Row],[Is Data Valid]]=TRUE,((Table1[[#This Row],[Birthweight (grams)]]*0.9/Table1[[#This Row],[BW_GA]])-1)/(Backend!$B$4/100*Table1[[#This Row],[BW40_3705]]),"")</f>
        <v/>
      </c>
      <c r="I2456" s="7" t="str">
        <f>IF(Table1[[#This Row],[Is Data Valid]]=TRUE,((Table1[[#This Row],[Birthweight (grams)]]*1.1/Table1[[#This Row],[BW_GA]])-1)/(Backend!$B$4/100*Table1[[#This Row],[BW40_3705]]),"")</f>
        <v/>
      </c>
      <c r="J2456" s="7" t="str">
        <f>IF(Table1[[#This Row],[Is Data Valid]]=TRUE,_xlfn.NORM.S.DIST(Table1[[#This Row],[Birthweight Z-Score]],TRUE)*100,"")</f>
        <v/>
      </c>
      <c r="K2456" s="7" t="str">
        <f>IF(Table1[[#This Row],[Is Data Valid]]=TRUE,_xlfn.NORM.S.DIST(Table1[[#This Row],[Birthweight Z-Score (BW-10%)]],TRUE)*100,"")</f>
        <v/>
      </c>
      <c r="L2456" s="7" t="str">
        <f>IF(Table1[[#This Row],[Is Data Valid]]=TRUE,_xlfn.NORM.S.DIST(Table1[[#This Row],[Birthweight Z-Score (BW+10%)]],TRUE)*100,"")</f>
        <v/>
      </c>
    </row>
    <row r="2457" spans="1:12" x14ac:dyDescent="0.35">
      <c r="A2457" s="3"/>
      <c r="B2457" s="2"/>
      <c r="C2457" s="2"/>
      <c r="D2457" s="2" t="b">
        <f>IF(AND(NOT(ISBLANK(Table1[[#This Row],[Fetal Sex (Male, Female or Unknown)]])),ISNUMBER(Table1[[#This Row],[Birthweight (grams)]]),ISNUMBER(Table1[[#This Row],[Gestation (days)]])),TRUE,FALSE)</f>
        <v>0</v>
      </c>
      <c r="E2457" s="2" t="str">
        <f>IF(Table1[[#This Row],[Is Data Valid]]=TRUE,IF(Table1[[#This Row],[Fetal Sex (Male, Female or Unknown)]]="Male",Backend!$C$6,IF(Table1[[#This Row],[Fetal Sex (Male, Female or Unknown)]]="Female",Backend!$C$7,IF(Table1[[#This Row],[Fetal Sex (Male, Female or Unknown)]]="Unknown",Backend!$C$8,"Error"))),"")</f>
        <v/>
      </c>
      <c r="F2457" s="8" t="str">
        <f>IF(Table1[[#This Row],[Is Data Valid]]=TRUE,EXP(0.578+0.332*((Table1[[#This Row],[Gestation (days)]]+0.5)/7)-0.00354*((Table1[[#This Row],[Gestation (days)]]+0.5)/7)^2)*Table1[[#This Row],[BW40_3705]],"")</f>
        <v/>
      </c>
      <c r="G2457" s="2" t="str">
        <f>IF(Table1[[#This Row],[Is Data Valid]]=TRUE,((Table1[[#This Row],[Birthweight (grams)]]/Table1[[#This Row],[BW_GA]])-1)/(Backend!$B$4/100*Table1[[#This Row],[BW40_3705]]),"")</f>
        <v/>
      </c>
      <c r="H2457" s="7" t="str">
        <f>IF(Table1[[#This Row],[Is Data Valid]]=TRUE,((Table1[[#This Row],[Birthweight (grams)]]*0.9/Table1[[#This Row],[BW_GA]])-1)/(Backend!$B$4/100*Table1[[#This Row],[BW40_3705]]),"")</f>
        <v/>
      </c>
      <c r="I2457" s="7" t="str">
        <f>IF(Table1[[#This Row],[Is Data Valid]]=TRUE,((Table1[[#This Row],[Birthweight (grams)]]*1.1/Table1[[#This Row],[BW_GA]])-1)/(Backend!$B$4/100*Table1[[#This Row],[BW40_3705]]),"")</f>
        <v/>
      </c>
      <c r="J2457" s="7" t="str">
        <f>IF(Table1[[#This Row],[Is Data Valid]]=TRUE,_xlfn.NORM.S.DIST(Table1[[#This Row],[Birthweight Z-Score]],TRUE)*100,"")</f>
        <v/>
      </c>
      <c r="K2457" s="7" t="str">
        <f>IF(Table1[[#This Row],[Is Data Valid]]=TRUE,_xlfn.NORM.S.DIST(Table1[[#This Row],[Birthweight Z-Score (BW-10%)]],TRUE)*100,"")</f>
        <v/>
      </c>
      <c r="L2457" s="7" t="str">
        <f>IF(Table1[[#This Row],[Is Data Valid]]=TRUE,_xlfn.NORM.S.DIST(Table1[[#This Row],[Birthweight Z-Score (BW+10%)]],TRUE)*100,"")</f>
        <v/>
      </c>
    </row>
    <row r="2458" spans="1:12" x14ac:dyDescent="0.35">
      <c r="A2458" s="3"/>
      <c r="B2458" s="2"/>
      <c r="C2458" s="2"/>
      <c r="D2458" s="2" t="b">
        <f>IF(AND(NOT(ISBLANK(Table1[[#This Row],[Fetal Sex (Male, Female or Unknown)]])),ISNUMBER(Table1[[#This Row],[Birthweight (grams)]]),ISNUMBER(Table1[[#This Row],[Gestation (days)]])),TRUE,FALSE)</f>
        <v>0</v>
      </c>
      <c r="E2458" s="2" t="str">
        <f>IF(Table1[[#This Row],[Is Data Valid]]=TRUE,IF(Table1[[#This Row],[Fetal Sex (Male, Female or Unknown)]]="Male",Backend!$C$6,IF(Table1[[#This Row],[Fetal Sex (Male, Female or Unknown)]]="Female",Backend!$C$7,IF(Table1[[#This Row],[Fetal Sex (Male, Female or Unknown)]]="Unknown",Backend!$C$8,"Error"))),"")</f>
        <v/>
      </c>
      <c r="F2458" s="8" t="str">
        <f>IF(Table1[[#This Row],[Is Data Valid]]=TRUE,EXP(0.578+0.332*((Table1[[#This Row],[Gestation (days)]]+0.5)/7)-0.00354*((Table1[[#This Row],[Gestation (days)]]+0.5)/7)^2)*Table1[[#This Row],[BW40_3705]],"")</f>
        <v/>
      </c>
      <c r="G2458" s="2" t="str">
        <f>IF(Table1[[#This Row],[Is Data Valid]]=TRUE,((Table1[[#This Row],[Birthweight (grams)]]/Table1[[#This Row],[BW_GA]])-1)/(Backend!$B$4/100*Table1[[#This Row],[BW40_3705]]),"")</f>
        <v/>
      </c>
      <c r="H2458" s="7" t="str">
        <f>IF(Table1[[#This Row],[Is Data Valid]]=TRUE,((Table1[[#This Row],[Birthweight (grams)]]*0.9/Table1[[#This Row],[BW_GA]])-1)/(Backend!$B$4/100*Table1[[#This Row],[BW40_3705]]),"")</f>
        <v/>
      </c>
      <c r="I2458" s="7" t="str">
        <f>IF(Table1[[#This Row],[Is Data Valid]]=TRUE,((Table1[[#This Row],[Birthweight (grams)]]*1.1/Table1[[#This Row],[BW_GA]])-1)/(Backend!$B$4/100*Table1[[#This Row],[BW40_3705]]),"")</f>
        <v/>
      </c>
      <c r="J2458" s="7" t="str">
        <f>IF(Table1[[#This Row],[Is Data Valid]]=TRUE,_xlfn.NORM.S.DIST(Table1[[#This Row],[Birthweight Z-Score]],TRUE)*100,"")</f>
        <v/>
      </c>
      <c r="K2458" s="7" t="str">
        <f>IF(Table1[[#This Row],[Is Data Valid]]=TRUE,_xlfn.NORM.S.DIST(Table1[[#This Row],[Birthweight Z-Score (BW-10%)]],TRUE)*100,"")</f>
        <v/>
      </c>
      <c r="L2458" s="7" t="str">
        <f>IF(Table1[[#This Row],[Is Data Valid]]=TRUE,_xlfn.NORM.S.DIST(Table1[[#This Row],[Birthweight Z-Score (BW+10%)]],TRUE)*100,"")</f>
        <v/>
      </c>
    </row>
    <row r="2459" spans="1:12" x14ac:dyDescent="0.35">
      <c r="A2459" s="3"/>
      <c r="B2459" s="2"/>
      <c r="C2459" s="2"/>
      <c r="D2459" s="2" t="b">
        <f>IF(AND(NOT(ISBLANK(Table1[[#This Row],[Fetal Sex (Male, Female or Unknown)]])),ISNUMBER(Table1[[#This Row],[Birthweight (grams)]]),ISNUMBER(Table1[[#This Row],[Gestation (days)]])),TRUE,FALSE)</f>
        <v>0</v>
      </c>
      <c r="E2459" s="2" t="str">
        <f>IF(Table1[[#This Row],[Is Data Valid]]=TRUE,IF(Table1[[#This Row],[Fetal Sex (Male, Female or Unknown)]]="Male",Backend!$C$6,IF(Table1[[#This Row],[Fetal Sex (Male, Female or Unknown)]]="Female",Backend!$C$7,IF(Table1[[#This Row],[Fetal Sex (Male, Female or Unknown)]]="Unknown",Backend!$C$8,"Error"))),"")</f>
        <v/>
      </c>
      <c r="F2459" s="8" t="str">
        <f>IF(Table1[[#This Row],[Is Data Valid]]=TRUE,EXP(0.578+0.332*((Table1[[#This Row],[Gestation (days)]]+0.5)/7)-0.00354*((Table1[[#This Row],[Gestation (days)]]+0.5)/7)^2)*Table1[[#This Row],[BW40_3705]],"")</f>
        <v/>
      </c>
      <c r="G2459" s="2" t="str">
        <f>IF(Table1[[#This Row],[Is Data Valid]]=TRUE,((Table1[[#This Row],[Birthweight (grams)]]/Table1[[#This Row],[BW_GA]])-1)/(Backend!$B$4/100*Table1[[#This Row],[BW40_3705]]),"")</f>
        <v/>
      </c>
      <c r="H2459" s="7" t="str">
        <f>IF(Table1[[#This Row],[Is Data Valid]]=TRUE,((Table1[[#This Row],[Birthweight (grams)]]*0.9/Table1[[#This Row],[BW_GA]])-1)/(Backend!$B$4/100*Table1[[#This Row],[BW40_3705]]),"")</f>
        <v/>
      </c>
      <c r="I2459" s="7" t="str">
        <f>IF(Table1[[#This Row],[Is Data Valid]]=TRUE,((Table1[[#This Row],[Birthweight (grams)]]*1.1/Table1[[#This Row],[BW_GA]])-1)/(Backend!$B$4/100*Table1[[#This Row],[BW40_3705]]),"")</f>
        <v/>
      </c>
      <c r="J2459" s="7" t="str">
        <f>IF(Table1[[#This Row],[Is Data Valid]]=TRUE,_xlfn.NORM.S.DIST(Table1[[#This Row],[Birthweight Z-Score]],TRUE)*100,"")</f>
        <v/>
      </c>
      <c r="K2459" s="7" t="str">
        <f>IF(Table1[[#This Row],[Is Data Valid]]=TRUE,_xlfn.NORM.S.DIST(Table1[[#This Row],[Birthweight Z-Score (BW-10%)]],TRUE)*100,"")</f>
        <v/>
      </c>
      <c r="L2459" s="7" t="str">
        <f>IF(Table1[[#This Row],[Is Data Valid]]=TRUE,_xlfn.NORM.S.DIST(Table1[[#This Row],[Birthweight Z-Score (BW+10%)]],TRUE)*100,"")</f>
        <v/>
      </c>
    </row>
    <row r="2460" spans="1:12" x14ac:dyDescent="0.35">
      <c r="A2460" s="3"/>
      <c r="B2460" s="2"/>
      <c r="C2460" s="2"/>
      <c r="D2460" s="2" t="b">
        <f>IF(AND(NOT(ISBLANK(Table1[[#This Row],[Fetal Sex (Male, Female or Unknown)]])),ISNUMBER(Table1[[#This Row],[Birthweight (grams)]]),ISNUMBER(Table1[[#This Row],[Gestation (days)]])),TRUE,FALSE)</f>
        <v>0</v>
      </c>
      <c r="E2460" s="2" t="str">
        <f>IF(Table1[[#This Row],[Is Data Valid]]=TRUE,IF(Table1[[#This Row],[Fetal Sex (Male, Female or Unknown)]]="Male",Backend!$C$6,IF(Table1[[#This Row],[Fetal Sex (Male, Female or Unknown)]]="Female",Backend!$C$7,IF(Table1[[#This Row],[Fetal Sex (Male, Female or Unknown)]]="Unknown",Backend!$C$8,"Error"))),"")</f>
        <v/>
      </c>
      <c r="F2460" s="8" t="str">
        <f>IF(Table1[[#This Row],[Is Data Valid]]=TRUE,EXP(0.578+0.332*((Table1[[#This Row],[Gestation (days)]]+0.5)/7)-0.00354*((Table1[[#This Row],[Gestation (days)]]+0.5)/7)^2)*Table1[[#This Row],[BW40_3705]],"")</f>
        <v/>
      </c>
      <c r="G2460" s="2" t="str">
        <f>IF(Table1[[#This Row],[Is Data Valid]]=TRUE,((Table1[[#This Row],[Birthweight (grams)]]/Table1[[#This Row],[BW_GA]])-1)/(Backend!$B$4/100*Table1[[#This Row],[BW40_3705]]),"")</f>
        <v/>
      </c>
      <c r="H2460" s="7" t="str">
        <f>IF(Table1[[#This Row],[Is Data Valid]]=TRUE,((Table1[[#This Row],[Birthweight (grams)]]*0.9/Table1[[#This Row],[BW_GA]])-1)/(Backend!$B$4/100*Table1[[#This Row],[BW40_3705]]),"")</f>
        <v/>
      </c>
      <c r="I2460" s="7" t="str">
        <f>IF(Table1[[#This Row],[Is Data Valid]]=TRUE,((Table1[[#This Row],[Birthweight (grams)]]*1.1/Table1[[#This Row],[BW_GA]])-1)/(Backend!$B$4/100*Table1[[#This Row],[BW40_3705]]),"")</f>
        <v/>
      </c>
      <c r="J2460" s="7" t="str">
        <f>IF(Table1[[#This Row],[Is Data Valid]]=TRUE,_xlfn.NORM.S.DIST(Table1[[#This Row],[Birthweight Z-Score]],TRUE)*100,"")</f>
        <v/>
      </c>
      <c r="K2460" s="7" t="str">
        <f>IF(Table1[[#This Row],[Is Data Valid]]=TRUE,_xlfn.NORM.S.DIST(Table1[[#This Row],[Birthweight Z-Score (BW-10%)]],TRUE)*100,"")</f>
        <v/>
      </c>
      <c r="L2460" s="7" t="str">
        <f>IF(Table1[[#This Row],[Is Data Valid]]=TRUE,_xlfn.NORM.S.DIST(Table1[[#This Row],[Birthweight Z-Score (BW+10%)]],TRUE)*100,"")</f>
        <v/>
      </c>
    </row>
    <row r="2461" spans="1:12" x14ac:dyDescent="0.35">
      <c r="A2461" s="3"/>
      <c r="B2461" s="2"/>
      <c r="C2461" s="2"/>
      <c r="D2461" s="2" t="b">
        <f>IF(AND(NOT(ISBLANK(Table1[[#This Row],[Fetal Sex (Male, Female or Unknown)]])),ISNUMBER(Table1[[#This Row],[Birthweight (grams)]]),ISNUMBER(Table1[[#This Row],[Gestation (days)]])),TRUE,FALSE)</f>
        <v>0</v>
      </c>
      <c r="E2461" s="2" t="str">
        <f>IF(Table1[[#This Row],[Is Data Valid]]=TRUE,IF(Table1[[#This Row],[Fetal Sex (Male, Female or Unknown)]]="Male",Backend!$C$6,IF(Table1[[#This Row],[Fetal Sex (Male, Female or Unknown)]]="Female",Backend!$C$7,IF(Table1[[#This Row],[Fetal Sex (Male, Female or Unknown)]]="Unknown",Backend!$C$8,"Error"))),"")</f>
        <v/>
      </c>
      <c r="F2461" s="8" t="str">
        <f>IF(Table1[[#This Row],[Is Data Valid]]=TRUE,EXP(0.578+0.332*((Table1[[#This Row],[Gestation (days)]]+0.5)/7)-0.00354*((Table1[[#This Row],[Gestation (days)]]+0.5)/7)^2)*Table1[[#This Row],[BW40_3705]],"")</f>
        <v/>
      </c>
      <c r="G2461" s="2" t="str">
        <f>IF(Table1[[#This Row],[Is Data Valid]]=TRUE,((Table1[[#This Row],[Birthweight (grams)]]/Table1[[#This Row],[BW_GA]])-1)/(Backend!$B$4/100*Table1[[#This Row],[BW40_3705]]),"")</f>
        <v/>
      </c>
      <c r="H2461" s="7" t="str">
        <f>IF(Table1[[#This Row],[Is Data Valid]]=TRUE,((Table1[[#This Row],[Birthweight (grams)]]*0.9/Table1[[#This Row],[BW_GA]])-1)/(Backend!$B$4/100*Table1[[#This Row],[BW40_3705]]),"")</f>
        <v/>
      </c>
      <c r="I2461" s="7" t="str">
        <f>IF(Table1[[#This Row],[Is Data Valid]]=TRUE,((Table1[[#This Row],[Birthweight (grams)]]*1.1/Table1[[#This Row],[BW_GA]])-1)/(Backend!$B$4/100*Table1[[#This Row],[BW40_3705]]),"")</f>
        <v/>
      </c>
      <c r="J2461" s="7" t="str">
        <f>IF(Table1[[#This Row],[Is Data Valid]]=TRUE,_xlfn.NORM.S.DIST(Table1[[#This Row],[Birthweight Z-Score]],TRUE)*100,"")</f>
        <v/>
      </c>
      <c r="K2461" s="7" t="str">
        <f>IF(Table1[[#This Row],[Is Data Valid]]=TRUE,_xlfn.NORM.S.DIST(Table1[[#This Row],[Birthweight Z-Score (BW-10%)]],TRUE)*100,"")</f>
        <v/>
      </c>
      <c r="L2461" s="7" t="str">
        <f>IF(Table1[[#This Row],[Is Data Valid]]=TRUE,_xlfn.NORM.S.DIST(Table1[[#This Row],[Birthweight Z-Score (BW+10%)]],TRUE)*100,"")</f>
        <v/>
      </c>
    </row>
    <row r="2462" spans="1:12" x14ac:dyDescent="0.35">
      <c r="A2462" s="3"/>
      <c r="B2462" s="2"/>
      <c r="C2462" s="2"/>
      <c r="D2462" s="2" t="b">
        <f>IF(AND(NOT(ISBLANK(Table1[[#This Row],[Fetal Sex (Male, Female or Unknown)]])),ISNUMBER(Table1[[#This Row],[Birthweight (grams)]]),ISNUMBER(Table1[[#This Row],[Gestation (days)]])),TRUE,FALSE)</f>
        <v>0</v>
      </c>
      <c r="E2462" s="2" t="str">
        <f>IF(Table1[[#This Row],[Is Data Valid]]=TRUE,IF(Table1[[#This Row],[Fetal Sex (Male, Female or Unknown)]]="Male",Backend!$C$6,IF(Table1[[#This Row],[Fetal Sex (Male, Female or Unknown)]]="Female",Backend!$C$7,IF(Table1[[#This Row],[Fetal Sex (Male, Female or Unknown)]]="Unknown",Backend!$C$8,"Error"))),"")</f>
        <v/>
      </c>
      <c r="F2462" s="8" t="str">
        <f>IF(Table1[[#This Row],[Is Data Valid]]=TRUE,EXP(0.578+0.332*((Table1[[#This Row],[Gestation (days)]]+0.5)/7)-0.00354*((Table1[[#This Row],[Gestation (days)]]+0.5)/7)^2)*Table1[[#This Row],[BW40_3705]],"")</f>
        <v/>
      </c>
      <c r="G2462" s="2" t="str">
        <f>IF(Table1[[#This Row],[Is Data Valid]]=TRUE,((Table1[[#This Row],[Birthweight (grams)]]/Table1[[#This Row],[BW_GA]])-1)/(Backend!$B$4/100*Table1[[#This Row],[BW40_3705]]),"")</f>
        <v/>
      </c>
      <c r="H2462" s="7" t="str">
        <f>IF(Table1[[#This Row],[Is Data Valid]]=TRUE,((Table1[[#This Row],[Birthweight (grams)]]*0.9/Table1[[#This Row],[BW_GA]])-1)/(Backend!$B$4/100*Table1[[#This Row],[BW40_3705]]),"")</f>
        <v/>
      </c>
      <c r="I2462" s="7" t="str">
        <f>IF(Table1[[#This Row],[Is Data Valid]]=TRUE,((Table1[[#This Row],[Birthweight (grams)]]*1.1/Table1[[#This Row],[BW_GA]])-1)/(Backend!$B$4/100*Table1[[#This Row],[BW40_3705]]),"")</f>
        <v/>
      </c>
      <c r="J2462" s="7" t="str">
        <f>IF(Table1[[#This Row],[Is Data Valid]]=TRUE,_xlfn.NORM.S.DIST(Table1[[#This Row],[Birthweight Z-Score]],TRUE)*100,"")</f>
        <v/>
      </c>
      <c r="K2462" s="7" t="str">
        <f>IF(Table1[[#This Row],[Is Data Valid]]=TRUE,_xlfn.NORM.S.DIST(Table1[[#This Row],[Birthweight Z-Score (BW-10%)]],TRUE)*100,"")</f>
        <v/>
      </c>
      <c r="L2462" s="7" t="str">
        <f>IF(Table1[[#This Row],[Is Data Valid]]=TRUE,_xlfn.NORM.S.DIST(Table1[[#This Row],[Birthweight Z-Score (BW+10%)]],TRUE)*100,"")</f>
        <v/>
      </c>
    </row>
    <row r="2463" spans="1:12" x14ac:dyDescent="0.35">
      <c r="A2463" s="3"/>
      <c r="B2463" s="2"/>
      <c r="C2463" s="2"/>
      <c r="D2463" s="2" t="b">
        <f>IF(AND(NOT(ISBLANK(Table1[[#This Row],[Fetal Sex (Male, Female or Unknown)]])),ISNUMBER(Table1[[#This Row],[Birthweight (grams)]]),ISNUMBER(Table1[[#This Row],[Gestation (days)]])),TRUE,FALSE)</f>
        <v>0</v>
      </c>
      <c r="E2463" s="2" t="str">
        <f>IF(Table1[[#This Row],[Is Data Valid]]=TRUE,IF(Table1[[#This Row],[Fetal Sex (Male, Female or Unknown)]]="Male",Backend!$C$6,IF(Table1[[#This Row],[Fetal Sex (Male, Female or Unknown)]]="Female",Backend!$C$7,IF(Table1[[#This Row],[Fetal Sex (Male, Female or Unknown)]]="Unknown",Backend!$C$8,"Error"))),"")</f>
        <v/>
      </c>
      <c r="F2463" s="8" t="str">
        <f>IF(Table1[[#This Row],[Is Data Valid]]=TRUE,EXP(0.578+0.332*((Table1[[#This Row],[Gestation (days)]]+0.5)/7)-0.00354*((Table1[[#This Row],[Gestation (days)]]+0.5)/7)^2)*Table1[[#This Row],[BW40_3705]],"")</f>
        <v/>
      </c>
      <c r="G2463" s="2" t="str">
        <f>IF(Table1[[#This Row],[Is Data Valid]]=TRUE,((Table1[[#This Row],[Birthweight (grams)]]/Table1[[#This Row],[BW_GA]])-1)/(Backend!$B$4/100*Table1[[#This Row],[BW40_3705]]),"")</f>
        <v/>
      </c>
      <c r="H2463" s="7" t="str">
        <f>IF(Table1[[#This Row],[Is Data Valid]]=TRUE,((Table1[[#This Row],[Birthweight (grams)]]*0.9/Table1[[#This Row],[BW_GA]])-1)/(Backend!$B$4/100*Table1[[#This Row],[BW40_3705]]),"")</f>
        <v/>
      </c>
      <c r="I2463" s="7" t="str">
        <f>IF(Table1[[#This Row],[Is Data Valid]]=TRUE,((Table1[[#This Row],[Birthweight (grams)]]*1.1/Table1[[#This Row],[BW_GA]])-1)/(Backend!$B$4/100*Table1[[#This Row],[BW40_3705]]),"")</f>
        <v/>
      </c>
      <c r="J2463" s="7" t="str">
        <f>IF(Table1[[#This Row],[Is Data Valid]]=TRUE,_xlfn.NORM.S.DIST(Table1[[#This Row],[Birthweight Z-Score]],TRUE)*100,"")</f>
        <v/>
      </c>
      <c r="K2463" s="7" t="str">
        <f>IF(Table1[[#This Row],[Is Data Valid]]=TRUE,_xlfn.NORM.S.DIST(Table1[[#This Row],[Birthweight Z-Score (BW-10%)]],TRUE)*100,"")</f>
        <v/>
      </c>
      <c r="L2463" s="7" t="str">
        <f>IF(Table1[[#This Row],[Is Data Valid]]=TRUE,_xlfn.NORM.S.DIST(Table1[[#This Row],[Birthweight Z-Score (BW+10%)]],TRUE)*100,"")</f>
        <v/>
      </c>
    </row>
    <row r="2464" spans="1:12" x14ac:dyDescent="0.35">
      <c r="A2464" s="3"/>
      <c r="B2464" s="2"/>
      <c r="C2464" s="2"/>
      <c r="D2464" s="2" t="b">
        <f>IF(AND(NOT(ISBLANK(Table1[[#This Row],[Fetal Sex (Male, Female or Unknown)]])),ISNUMBER(Table1[[#This Row],[Birthweight (grams)]]),ISNUMBER(Table1[[#This Row],[Gestation (days)]])),TRUE,FALSE)</f>
        <v>0</v>
      </c>
      <c r="E2464" s="2" t="str">
        <f>IF(Table1[[#This Row],[Is Data Valid]]=TRUE,IF(Table1[[#This Row],[Fetal Sex (Male, Female or Unknown)]]="Male",Backend!$C$6,IF(Table1[[#This Row],[Fetal Sex (Male, Female or Unknown)]]="Female",Backend!$C$7,IF(Table1[[#This Row],[Fetal Sex (Male, Female or Unknown)]]="Unknown",Backend!$C$8,"Error"))),"")</f>
        <v/>
      </c>
      <c r="F2464" s="8" t="str">
        <f>IF(Table1[[#This Row],[Is Data Valid]]=TRUE,EXP(0.578+0.332*((Table1[[#This Row],[Gestation (days)]]+0.5)/7)-0.00354*((Table1[[#This Row],[Gestation (days)]]+0.5)/7)^2)*Table1[[#This Row],[BW40_3705]],"")</f>
        <v/>
      </c>
      <c r="G2464" s="2" t="str">
        <f>IF(Table1[[#This Row],[Is Data Valid]]=TRUE,((Table1[[#This Row],[Birthweight (grams)]]/Table1[[#This Row],[BW_GA]])-1)/(Backend!$B$4/100*Table1[[#This Row],[BW40_3705]]),"")</f>
        <v/>
      </c>
      <c r="H2464" s="7" t="str">
        <f>IF(Table1[[#This Row],[Is Data Valid]]=TRUE,((Table1[[#This Row],[Birthweight (grams)]]*0.9/Table1[[#This Row],[BW_GA]])-1)/(Backend!$B$4/100*Table1[[#This Row],[BW40_3705]]),"")</f>
        <v/>
      </c>
      <c r="I2464" s="7" t="str">
        <f>IF(Table1[[#This Row],[Is Data Valid]]=TRUE,((Table1[[#This Row],[Birthweight (grams)]]*1.1/Table1[[#This Row],[BW_GA]])-1)/(Backend!$B$4/100*Table1[[#This Row],[BW40_3705]]),"")</f>
        <v/>
      </c>
      <c r="J2464" s="7" t="str">
        <f>IF(Table1[[#This Row],[Is Data Valid]]=TRUE,_xlfn.NORM.S.DIST(Table1[[#This Row],[Birthweight Z-Score]],TRUE)*100,"")</f>
        <v/>
      </c>
      <c r="K2464" s="7" t="str">
        <f>IF(Table1[[#This Row],[Is Data Valid]]=TRUE,_xlfn.NORM.S.DIST(Table1[[#This Row],[Birthweight Z-Score (BW-10%)]],TRUE)*100,"")</f>
        <v/>
      </c>
      <c r="L2464" s="7" t="str">
        <f>IF(Table1[[#This Row],[Is Data Valid]]=TRUE,_xlfn.NORM.S.DIST(Table1[[#This Row],[Birthweight Z-Score (BW+10%)]],TRUE)*100,"")</f>
        <v/>
      </c>
    </row>
    <row r="2465" spans="1:12" x14ac:dyDescent="0.35">
      <c r="A2465" s="3"/>
      <c r="B2465" s="2"/>
      <c r="C2465" s="2"/>
      <c r="D2465" s="2" t="b">
        <f>IF(AND(NOT(ISBLANK(Table1[[#This Row],[Fetal Sex (Male, Female or Unknown)]])),ISNUMBER(Table1[[#This Row],[Birthweight (grams)]]),ISNUMBER(Table1[[#This Row],[Gestation (days)]])),TRUE,FALSE)</f>
        <v>0</v>
      </c>
      <c r="E2465" s="2" t="str">
        <f>IF(Table1[[#This Row],[Is Data Valid]]=TRUE,IF(Table1[[#This Row],[Fetal Sex (Male, Female or Unknown)]]="Male",Backend!$C$6,IF(Table1[[#This Row],[Fetal Sex (Male, Female or Unknown)]]="Female",Backend!$C$7,IF(Table1[[#This Row],[Fetal Sex (Male, Female or Unknown)]]="Unknown",Backend!$C$8,"Error"))),"")</f>
        <v/>
      </c>
      <c r="F2465" s="8" t="str">
        <f>IF(Table1[[#This Row],[Is Data Valid]]=TRUE,EXP(0.578+0.332*((Table1[[#This Row],[Gestation (days)]]+0.5)/7)-0.00354*((Table1[[#This Row],[Gestation (days)]]+0.5)/7)^2)*Table1[[#This Row],[BW40_3705]],"")</f>
        <v/>
      </c>
      <c r="G2465" s="2" t="str">
        <f>IF(Table1[[#This Row],[Is Data Valid]]=TRUE,((Table1[[#This Row],[Birthweight (grams)]]/Table1[[#This Row],[BW_GA]])-1)/(Backend!$B$4/100*Table1[[#This Row],[BW40_3705]]),"")</f>
        <v/>
      </c>
      <c r="H2465" s="7" t="str">
        <f>IF(Table1[[#This Row],[Is Data Valid]]=TRUE,((Table1[[#This Row],[Birthweight (grams)]]*0.9/Table1[[#This Row],[BW_GA]])-1)/(Backend!$B$4/100*Table1[[#This Row],[BW40_3705]]),"")</f>
        <v/>
      </c>
      <c r="I2465" s="7" t="str">
        <f>IF(Table1[[#This Row],[Is Data Valid]]=TRUE,((Table1[[#This Row],[Birthweight (grams)]]*1.1/Table1[[#This Row],[BW_GA]])-1)/(Backend!$B$4/100*Table1[[#This Row],[BW40_3705]]),"")</f>
        <v/>
      </c>
      <c r="J2465" s="7" t="str">
        <f>IF(Table1[[#This Row],[Is Data Valid]]=TRUE,_xlfn.NORM.S.DIST(Table1[[#This Row],[Birthweight Z-Score]],TRUE)*100,"")</f>
        <v/>
      </c>
      <c r="K2465" s="7" t="str">
        <f>IF(Table1[[#This Row],[Is Data Valid]]=TRUE,_xlfn.NORM.S.DIST(Table1[[#This Row],[Birthweight Z-Score (BW-10%)]],TRUE)*100,"")</f>
        <v/>
      </c>
      <c r="L2465" s="7" t="str">
        <f>IF(Table1[[#This Row],[Is Data Valid]]=TRUE,_xlfn.NORM.S.DIST(Table1[[#This Row],[Birthweight Z-Score (BW+10%)]],TRUE)*100,"")</f>
        <v/>
      </c>
    </row>
    <row r="2466" spans="1:12" x14ac:dyDescent="0.35">
      <c r="A2466" s="3"/>
      <c r="B2466" s="2"/>
      <c r="C2466" s="2"/>
      <c r="D2466" s="2" t="b">
        <f>IF(AND(NOT(ISBLANK(Table1[[#This Row],[Fetal Sex (Male, Female or Unknown)]])),ISNUMBER(Table1[[#This Row],[Birthweight (grams)]]),ISNUMBER(Table1[[#This Row],[Gestation (days)]])),TRUE,FALSE)</f>
        <v>0</v>
      </c>
      <c r="E2466" s="2" t="str">
        <f>IF(Table1[[#This Row],[Is Data Valid]]=TRUE,IF(Table1[[#This Row],[Fetal Sex (Male, Female or Unknown)]]="Male",Backend!$C$6,IF(Table1[[#This Row],[Fetal Sex (Male, Female or Unknown)]]="Female",Backend!$C$7,IF(Table1[[#This Row],[Fetal Sex (Male, Female or Unknown)]]="Unknown",Backend!$C$8,"Error"))),"")</f>
        <v/>
      </c>
      <c r="F2466" s="8" t="str">
        <f>IF(Table1[[#This Row],[Is Data Valid]]=TRUE,EXP(0.578+0.332*((Table1[[#This Row],[Gestation (days)]]+0.5)/7)-0.00354*((Table1[[#This Row],[Gestation (days)]]+0.5)/7)^2)*Table1[[#This Row],[BW40_3705]],"")</f>
        <v/>
      </c>
      <c r="G2466" s="2" t="str">
        <f>IF(Table1[[#This Row],[Is Data Valid]]=TRUE,((Table1[[#This Row],[Birthweight (grams)]]/Table1[[#This Row],[BW_GA]])-1)/(Backend!$B$4/100*Table1[[#This Row],[BW40_3705]]),"")</f>
        <v/>
      </c>
      <c r="H2466" s="7" t="str">
        <f>IF(Table1[[#This Row],[Is Data Valid]]=TRUE,((Table1[[#This Row],[Birthweight (grams)]]*0.9/Table1[[#This Row],[BW_GA]])-1)/(Backend!$B$4/100*Table1[[#This Row],[BW40_3705]]),"")</f>
        <v/>
      </c>
      <c r="I2466" s="7" t="str">
        <f>IF(Table1[[#This Row],[Is Data Valid]]=TRUE,((Table1[[#This Row],[Birthweight (grams)]]*1.1/Table1[[#This Row],[BW_GA]])-1)/(Backend!$B$4/100*Table1[[#This Row],[BW40_3705]]),"")</f>
        <v/>
      </c>
      <c r="J2466" s="7" t="str">
        <f>IF(Table1[[#This Row],[Is Data Valid]]=TRUE,_xlfn.NORM.S.DIST(Table1[[#This Row],[Birthweight Z-Score]],TRUE)*100,"")</f>
        <v/>
      </c>
      <c r="K2466" s="7" t="str">
        <f>IF(Table1[[#This Row],[Is Data Valid]]=TRUE,_xlfn.NORM.S.DIST(Table1[[#This Row],[Birthweight Z-Score (BW-10%)]],TRUE)*100,"")</f>
        <v/>
      </c>
      <c r="L2466" s="7" t="str">
        <f>IF(Table1[[#This Row],[Is Data Valid]]=TRUE,_xlfn.NORM.S.DIST(Table1[[#This Row],[Birthweight Z-Score (BW+10%)]],TRUE)*100,"")</f>
        <v/>
      </c>
    </row>
    <row r="2467" spans="1:12" x14ac:dyDescent="0.35">
      <c r="A2467" s="3"/>
      <c r="B2467" s="2"/>
      <c r="C2467" s="2"/>
      <c r="D2467" s="2" t="b">
        <f>IF(AND(NOT(ISBLANK(Table1[[#This Row],[Fetal Sex (Male, Female or Unknown)]])),ISNUMBER(Table1[[#This Row],[Birthweight (grams)]]),ISNUMBER(Table1[[#This Row],[Gestation (days)]])),TRUE,FALSE)</f>
        <v>0</v>
      </c>
      <c r="E2467" s="2" t="str">
        <f>IF(Table1[[#This Row],[Is Data Valid]]=TRUE,IF(Table1[[#This Row],[Fetal Sex (Male, Female or Unknown)]]="Male",Backend!$C$6,IF(Table1[[#This Row],[Fetal Sex (Male, Female or Unknown)]]="Female",Backend!$C$7,IF(Table1[[#This Row],[Fetal Sex (Male, Female or Unknown)]]="Unknown",Backend!$C$8,"Error"))),"")</f>
        <v/>
      </c>
      <c r="F2467" s="8" t="str">
        <f>IF(Table1[[#This Row],[Is Data Valid]]=TRUE,EXP(0.578+0.332*((Table1[[#This Row],[Gestation (days)]]+0.5)/7)-0.00354*((Table1[[#This Row],[Gestation (days)]]+0.5)/7)^2)*Table1[[#This Row],[BW40_3705]],"")</f>
        <v/>
      </c>
      <c r="G2467" s="2" t="str">
        <f>IF(Table1[[#This Row],[Is Data Valid]]=TRUE,((Table1[[#This Row],[Birthweight (grams)]]/Table1[[#This Row],[BW_GA]])-1)/(Backend!$B$4/100*Table1[[#This Row],[BW40_3705]]),"")</f>
        <v/>
      </c>
      <c r="H2467" s="7" t="str">
        <f>IF(Table1[[#This Row],[Is Data Valid]]=TRUE,((Table1[[#This Row],[Birthweight (grams)]]*0.9/Table1[[#This Row],[BW_GA]])-1)/(Backend!$B$4/100*Table1[[#This Row],[BW40_3705]]),"")</f>
        <v/>
      </c>
      <c r="I2467" s="7" t="str">
        <f>IF(Table1[[#This Row],[Is Data Valid]]=TRUE,((Table1[[#This Row],[Birthweight (grams)]]*1.1/Table1[[#This Row],[BW_GA]])-1)/(Backend!$B$4/100*Table1[[#This Row],[BW40_3705]]),"")</f>
        <v/>
      </c>
      <c r="J2467" s="7" t="str">
        <f>IF(Table1[[#This Row],[Is Data Valid]]=TRUE,_xlfn.NORM.S.DIST(Table1[[#This Row],[Birthweight Z-Score]],TRUE)*100,"")</f>
        <v/>
      </c>
      <c r="K2467" s="7" t="str">
        <f>IF(Table1[[#This Row],[Is Data Valid]]=TRUE,_xlfn.NORM.S.DIST(Table1[[#This Row],[Birthweight Z-Score (BW-10%)]],TRUE)*100,"")</f>
        <v/>
      </c>
      <c r="L2467" s="7" t="str">
        <f>IF(Table1[[#This Row],[Is Data Valid]]=TRUE,_xlfn.NORM.S.DIST(Table1[[#This Row],[Birthweight Z-Score (BW+10%)]],TRUE)*100,"")</f>
        <v/>
      </c>
    </row>
    <row r="2468" spans="1:12" x14ac:dyDescent="0.35">
      <c r="A2468" s="3"/>
      <c r="B2468" s="2"/>
      <c r="C2468" s="2"/>
      <c r="D2468" s="2" t="b">
        <f>IF(AND(NOT(ISBLANK(Table1[[#This Row],[Fetal Sex (Male, Female or Unknown)]])),ISNUMBER(Table1[[#This Row],[Birthweight (grams)]]),ISNUMBER(Table1[[#This Row],[Gestation (days)]])),TRUE,FALSE)</f>
        <v>0</v>
      </c>
      <c r="E2468" s="2" t="str">
        <f>IF(Table1[[#This Row],[Is Data Valid]]=TRUE,IF(Table1[[#This Row],[Fetal Sex (Male, Female or Unknown)]]="Male",Backend!$C$6,IF(Table1[[#This Row],[Fetal Sex (Male, Female or Unknown)]]="Female",Backend!$C$7,IF(Table1[[#This Row],[Fetal Sex (Male, Female or Unknown)]]="Unknown",Backend!$C$8,"Error"))),"")</f>
        <v/>
      </c>
      <c r="F2468" s="8" t="str">
        <f>IF(Table1[[#This Row],[Is Data Valid]]=TRUE,EXP(0.578+0.332*((Table1[[#This Row],[Gestation (days)]]+0.5)/7)-0.00354*((Table1[[#This Row],[Gestation (days)]]+0.5)/7)^2)*Table1[[#This Row],[BW40_3705]],"")</f>
        <v/>
      </c>
      <c r="G2468" s="2" t="str">
        <f>IF(Table1[[#This Row],[Is Data Valid]]=TRUE,((Table1[[#This Row],[Birthweight (grams)]]/Table1[[#This Row],[BW_GA]])-1)/(Backend!$B$4/100*Table1[[#This Row],[BW40_3705]]),"")</f>
        <v/>
      </c>
      <c r="H2468" s="7" t="str">
        <f>IF(Table1[[#This Row],[Is Data Valid]]=TRUE,((Table1[[#This Row],[Birthweight (grams)]]*0.9/Table1[[#This Row],[BW_GA]])-1)/(Backend!$B$4/100*Table1[[#This Row],[BW40_3705]]),"")</f>
        <v/>
      </c>
      <c r="I2468" s="7" t="str">
        <f>IF(Table1[[#This Row],[Is Data Valid]]=TRUE,((Table1[[#This Row],[Birthweight (grams)]]*1.1/Table1[[#This Row],[BW_GA]])-1)/(Backend!$B$4/100*Table1[[#This Row],[BW40_3705]]),"")</f>
        <v/>
      </c>
      <c r="J2468" s="7" t="str">
        <f>IF(Table1[[#This Row],[Is Data Valid]]=TRUE,_xlfn.NORM.S.DIST(Table1[[#This Row],[Birthweight Z-Score]],TRUE)*100,"")</f>
        <v/>
      </c>
      <c r="K2468" s="7" t="str">
        <f>IF(Table1[[#This Row],[Is Data Valid]]=TRUE,_xlfn.NORM.S.DIST(Table1[[#This Row],[Birthweight Z-Score (BW-10%)]],TRUE)*100,"")</f>
        <v/>
      </c>
      <c r="L2468" s="7" t="str">
        <f>IF(Table1[[#This Row],[Is Data Valid]]=TRUE,_xlfn.NORM.S.DIST(Table1[[#This Row],[Birthweight Z-Score (BW+10%)]],TRUE)*100,"")</f>
        <v/>
      </c>
    </row>
    <row r="2469" spans="1:12" x14ac:dyDescent="0.35">
      <c r="A2469" s="3"/>
      <c r="B2469" s="2"/>
      <c r="C2469" s="2"/>
      <c r="D2469" s="2" t="b">
        <f>IF(AND(NOT(ISBLANK(Table1[[#This Row],[Fetal Sex (Male, Female or Unknown)]])),ISNUMBER(Table1[[#This Row],[Birthweight (grams)]]),ISNUMBER(Table1[[#This Row],[Gestation (days)]])),TRUE,FALSE)</f>
        <v>0</v>
      </c>
      <c r="E2469" s="2" t="str">
        <f>IF(Table1[[#This Row],[Is Data Valid]]=TRUE,IF(Table1[[#This Row],[Fetal Sex (Male, Female or Unknown)]]="Male",Backend!$C$6,IF(Table1[[#This Row],[Fetal Sex (Male, Female or Unknown)]]="Female",Backend!$C$7,IF(Table1[[#This Row],[Fetal Sex (Male, Female or Unknown)]]="Unknown",Backend!$C$8,"Error"))),"")</f>
        <v/>
      </c>
      <c r="F2469" s="8" t="str">
        <f>IF(Table1[[#This Row],[Is Data Valid]]=TRUE,EXP(0.578+0.332*((Table1[[#This Row],[Gestation (days)]]+0.5)/7)-0.00354*((Table1[[#This Row],[Gestation (days)]]+0.5)/7)^2)*Table1[[#This Row],[BW40_3705]],"")</f>
        <v/>
      </c>
      <c r="G2469" s="2" t="str">
        <f>IF(Table1[[#This Row],[Is Data Valid]]=TRUE,((Table1[[#This Row],[Birthweight (grams)]]/Table1[[#This Row],[BW_GA]])-1)/(Backend!$B$4/100*Table1[[#This Row],[BW40_3705]]),"")</f>
        <v/>
      </c>
      <c r="H2469" s="7" t="str">
        <f>IF(Table1[[#This Row],[Is Data Valid]]=TRUE,((Table1[[#This Row],[Birthweight (grams)]]*0.9/Table1[[#This Row],[BW_GA]])-1)/(Backend!$B$4/100*Table1[[#This Row],[BW40_3705]]),"")</f>
        <v/>
      </c>
      <c r="I2469" s="7" t="str">
        <f>IF(Table1[[#This Row],[Is Data Valid]]=TRUE,((Table1[[#This Row],[Birthweight (grams)]]*1.1/Table1[[#This Row],[BW_GA]])-1)/(Backend!$B$4/100*Table1[[#This Row],[BW40_3705]]),"")</f>
        <v/>
      </c>
      <c r="J2469" s="7" t="str">
        <f>IF(Table1[[#This Row],[Is Data Valid]]=TRUE,_xlfn.NORM.S.DIST(Table1[[#This Row],[Birthweight Z-Score]],TRUE)*100,"")</f>
        <v/>
      </c>
      <c r="K2469" s="7" t="str">
        <f>IF(Table1[[#This Row],[Is Data Valid]]=TRUE,_xlfn.NORM.S.DIST(Table1[[#This Row],[Birthweight Z-Score (BW-10%)]],TRUE)*100,"")</f>
        <v/>
      </c>
      <c r="L2469" s="7" t="str">
        <f>IF(Table1[[#This Row],[Is Data Valid]]=TRUE,_xlfn.NORM.S.DIST(Table1[[#This Row],[Birthweight Z-Score (BW+10%)]],TRUE)*100,"")</f>
        <v/>
      </c>
    </row>
    <row r="2470" spans="1:12" x14ac:dyDescent="0.35">
      <c r="A2470" s="3"/>
      <c r="B2470" s="2"/>
      <c r="C2470" s="2"/>
      <c r="D2470" s="2" t="b">
        <f>IF(AND(NOT(ISBLANK(Table1[[#This Row],[Fetal Sex (Male, Female or Unknown)]])),ISNUMBER(Table1[[#This Row],[Birthweight (grams)]]),ISNUMBER(Table1[[#This Row],[Gestation (days)]])),TRUE,FALSE)</f>
        <v>0</v>
      </c>
      <c r="E2470" s="2" t="str">
        <f>IF(Table1[[#This Row],[Is Data Valid]]=TRUE,IF(Table1[[#This Row],[Fetal Sex (Male, Female or Unknown)]]="Male",Backend!$C$6,IF(Table1[[#This Row],[Fetal Sex (Male, Female or Unknown)]]="Female",Backend!$C$7,IF(Table1[[#This Row],[Fetal Sex (Male, Female or Unknown)]]="Unknown",Backend!$C$8,"Error"))),"")</f>
        <v/>
      </c>
      <c r="F2470" s="8" t="str">
        <f>IF(Table1[[#This Row],[Is Data Valid]]=TRUE,EXP(0.578+0.332*((Table1[[#This Row],[Gestation (days)]]+0.5)/7)-0.00354*((Table1[[#This Row],[Gestation (days)]]+0.5)/7)^2)*Table1[[#This Row],[BW40_3705]],"")</f>
        <v/>
      </c>
      <c r="G2470" s="2" t="str">
        <f>IF(Table1[[#This Row],[Is Data Valid]]=TRUE,((Table1[[#This Row],[Birthweight (grams)]]/Table1[[#This Row],[BW_GA]])-1)/(Backend!$B$4/100*Table1[[#This Row],[BW40_3705]]),"")</f>
        <v/>
      </c>
      <c r="H2470" s="7" t="str">
        <f>IF(Table1[[#This Row],[Is Data Valid]]=TRUE,((Table1[[#This Row],[Birthweight (grams)]]*0.9/Table1[[#This Row],[BW_GA]])-1)/(Backend!$B$4/100*Table1[[#This Row],[BW40_3705]]),"")</f>
        <v/>
      </c>
      <c r="I2470" s="7" t="str">
        <f>IF(Table1[[#This Row],[Is Data Valid]]=TRUE,((Table1[[#This Row],[Birthweight (grams)]]*1.1/Table1[[#This Row],[BW_GA]])-1)/(Backend!$B$4/100*Table1[[#This Row],[BW40_3705]]),"")</f>
        <v/>
      </c>
      <c r="J2470" s="7" t="str">
        <f>IF(Table1[[#This Row],[Is Data Valid]]=TRUE,_xlfn.NORM.S.DIST(Table1[[#This Row],[Birthweight Z-Score]],TRUE)*100,"")</f>
        <v/>
      </c>
      <c r="K2470" s="7" t="str">
        <f>IF(Table1[[#This Row],[Is Data Valid]]=TRUE,_xlfn.NORM.S.DIST(Table1[[#This Row],[Birthweight Z-Score (BW-10%)]],TRUE)*100,"")</f>
        <v/>
      </c>
      <c r="L2470" s="7" t="str">
        <f>IF(Table1[[#This Row],[Is Data Valid]]=TRUE,_xlfn.NORM.S.DIST(Table1[[#This Row],[Birthweight Z-Score (BW+10%)]],TRUE)*100,"")</f>
        <v/>
      </c>
    </row>
    <row r="2471" spans="1:12" x14ac:dyDescent="0.35">
      <c r="A2471" s="3"/>
      <c r="B2471" s="2"/>
      <c r="C2471" s="2"/>
      <c r="D2471" s="2" t="b">
        <f>IF(AND(NOT(ISBLANK(Table1[[#This Row],[Fetal Sex (Male, Female or Unknown)]])),ISNUMBER(Table1[[#This Row],[Birthweight (grams)]]),ISNUMBER(Table1[[#This Row],[Gestation (days)]])),TRUE,FALSE)</f>
        <v>0</v>
      </c>
      <c r="E2471" s="2" t="str">
        <f>IF(Table1[[#This Row],[Is Data Valid]]=TRUE,IF(Table1[[#This Row],[Fetal Sex (Male, Female or Unknown)]]="Male",Backend!$C$6,IF(Table1[[#This Row],[Fetal Sex (Male, Female or Unknown)]]="Female",Backend!$C$7,IF(Table1[[#This Row],[Fetal Sex (Male, Female or Unknown)]]="Unknown",Backend!$C$8,"Error"))),"")</f>
        <v/>
      </c>
      <c r="F2471" s="8" t="str">
        <f>IF(Table1[[#This Row],[Is Data Valid]]=TRUE,EXP(0.578+0.332*((Table1[[#This Row],[Gestation (days)]]+0.5)/7)-0.00354*((Table1[[#This Row],[Gestation (days)]]+0.5)/7)^2)*Table1[[#This Row],[BW40_3705]],"")</f>
        <v/>
      </c>
      <c r="G2471" s="2" t="str">
        <f>IF(Table1[[#This Row],[Is Data Valid]]=TRUE,((Table1[[#This Row],[Birthweight (grams)]]/Table1[[#This Row],[BW_GA]])-1)/(Backend!$B$4/100*Table1[[#This Row],[BW40_3705]]),"")</f>
        <v/>
      </c>
      <c r="H2471" s="7" t="str">
        <f>IF(Table1[[#This Row],[Is Data Valid]]=TRUE,((Table1[[#This Row],[Birthweight (grams)]]*0.9/Table1[[#This Row],[BW_GA]])-1)/(Backend!$B$4/100*Table1[[#This Row],[BW40_3705]]),"")</f>
        <v/>
      </c>
      <c r="I2471" s="7" t="str">
        <f>IF(Table1[[#This Row],[Is Data Valid]]=TRUE,((Table1[[#This Row],[Birthweight (grams)]]*1.1/Table1[[#This Row],[BW_GA]])-1)/(Backend!$B$4/100*Table1[[#This Row],[BW40_3705]]),"")</f>
        <v/>
      </c>
      <c r="J2471" s="7" t="str">
        <f>IF(Table1[[#This Row],[Is Data Valid]]=TRUE,_xlfn.NORM.S.DIST(Table1[[#This Row],[Birthweight Z-Score]],TRUE)*100,"")</f>
        <v/>
      </c>
      <c r="K2471" s="7" t="str">
        <f>IF(Table1[[#This Row],[Is Data Valid]]=TRUE,_xlfn.NORM.S.DIST(Table1[[#This Row],[Birthweight Z-Score (BW-10%)]],TRUE)*100,"")</f>
        <v/>
      </c>
      <c r="L2471" s="7" t="str">
        <f>IF(Table1[[#This Row],[Is Data Valid]]=TRUE,_xlfn.NORM.S.DIST(Table1[[#This Row],[Birthweight Z-Score (BW+10%)]],TRUE)*100,"")</f>
        <v/>
      </c>
    </row>
    <row r="2472" spans="1:12" x14ac:dyDescent="0.35">
      <c r="A2472" s="3"/>
      <c r="B2472" s="2"/>
      <c r="C2472" s="2"/>
      <c r="D2472" s="2" t="b">
        <f>IF(AND(NOT(ISBLANK(Table1[[#This Row],[Fetal Sex (Male, Female or Unknown)]])),ISNUMBER(Table1[[#This Row],[Birthweight (grams)]]),ISNUMBER(Table1[[#This Row],[Gestation (days)]])),TRUE,FALSE)</f>
        <v>0</v>
      </c>
      <c r="E2472" s="2" t="str">
        <f>IF(Table1[[#This Row],[Is Data Valid]]=TRUE,IF(Table1[[#This Row],[Fetal Sex (Male, Female or Unknown)]]="Male",Backend!$C$6,IF(Table1[[#This Row],[Fetal Sex (Male, Female or Unknown)]]="Female",Backend!$C$7,IF(Table1[[#This Row],[Fetal Sex (Male, Female or Unknown)]]="Unknown",Backend!$C$8,"Error"))),"")</f>
        <v/>
      </c>
      <c r="F2472" s="8" t="str">
        <f>IF(Table1[[#This Row],[Is Data Valid]]=TRUE,EXP(0.578+0.332*((Table1[[#This Row],[Gestation (days)]]+0.5)/7)-0.00354*((Table1[[#This Row],[Gestation (days)]]+0.5)/7)^2)*Table1[[#This Row],[BW40_3705]],"")</f>
        <v/>
      </c>
      <c r="G2472" s="2" t="str">
        <f>IF(Table1[[#This Row],[Is Data Valid]]=TRUE,((Table1[[#This Row],[Birthweight (grams)]]/Table1[[#This Row],[BW_GA]])-1)/(Backend!$B$4/100*Table1[[#This Row],[BW40_3705]]),"")</f>
        <v/>
      </c>
      <c r="H2472" s="7" t="str">
        <f>IF(Table1[[#This Row],[Is Data Valid]]=TRUE,((Table1[[#This Row],[Birthweight (grams)]]*0.9/Table1[[#This Row],[BW_GA]])-1)/(Backend!$B$4/100*Table1[[#This Row],[BW40_3705]]),"")</f>
        <v/>
      </c>
      <c r="I2472" s="7" t="str">
        <f>IF(Table1[[#This Row],[Is Data Valid]]=TRUE,((Table1[[#This Row],[Birthweight (grams)]]*1.1/Table1[[#This Row],[BW_GA]])-1)/(Backend!$B$4/100*Table1[[#This Row],[BW40_3705]]),"")</f>
        <v/>
      </c>
      <c r="J2472" s="7" t="str">
        <f>IF(Table1[[#This Row],[Is Data Valid]]=TRUE,_xlfn.NORM.S.DIST(Table1[[#This Row],[Birthweight Z-Score]],TRUE)*100,"")</f>
        <v/>
      </c>
      <c r="K2472" s="7" t="str">
        <f>IF(Table1[[#This Row],[Is Data Valid]]=TRUE,_xlfn.NORM.S.DIST(Table1[[#This Row],[Birthweight Z-Score (BW-10%)]],TRUE)*100,"")</f>
        <v/>
      </c>
      <c r="L2472" s="7" t="str">
        <f>IF(Table1[[#This Row],[Is Data Valid]]=TRUE,_xlfn.NORM.S.DIST(Table1[[#This Row],[Birthweight Z-Score (BW+10%)]],TRUE)*100,"")</f>
        <v/>
      </c>
    </row>
    <row r="2473" spans="1:12" x14ac:dyDescent="0.35">
      <c r="A2473" s="3"/>
      <c r="B2473" s="2"/>
      <c r="C2473" s="2"/>
      <c r="D2473" s="2" t="b">
        <f>IF(AND(NOT(ISBLANK(Table1[[#This Row],[Fetal Sex (Male, Female or Unknown)]])),ISNUMBER(Table1[[#This Row],[Birthweight (grams)]]),ISNUMBER(Table1[[#This Row],[Gestation (days)]])),TRUE,FALSE)</f>
        <v>0</v>
      </c>
      <c r="E2473" s="2" t="str">
        <f>IF(Table1[[#This Row],[Is Data Valid]]=TRUE,IF(Table1[[#This Row],[Fetal Sex (Male, Female or Unknown)]]="Male",Backend!$C$6,IF(Table1[[#This Row],[Fetal Sex (Male, Female or Unknown)]]="Female",Backend!$C$7,IF(Table1[[#This Row],[Fetal Sex (Male, Female or Unknown)]]="Unknown",Backend!$C$8,"Error"))),"")</f>
        <v/>
      </c>
      <c r="F2473" s="8" t="str">
        <f>IF(Table1[[#This Row],[Is Data Valid]]=TRUE,EXP(0.578+0.332*((Table1[[#This Row],[Gestation (days)]]+0.5)/7)-0.00354*((Table1[[#This Row],[Gestation (days)]]+0.5)/7)^2)*Table1[[#This Row],[BW40_3705]],"")</f>
        <v/>
      </c>
      <c r="G2473" s="2" t="str">
        <f>IF(Table1[[#This Row],[Is Data Valid]]=TRUE,((Table1[[#This Row],[Birthweight (grams)]]/Table1[[#This Row],[BW_GA]])-1)/(Backend!$B$4/100*Table1[[#This Row],[BW40_3705]]),"")</f>
        <v/>
      </c>
      <c r="H2473" s="7" t="str">
        <f>IF(Table1[[#This Row],[Is Data Valid]]=TRUE,((Table1[[#This Row],[Birthweight (grams)]]*0.9/Table1[[#This Row],[BW_GA]])-1)/(Backend!$B$4/100*Table1[[#This Row],[BW40_3705]]),"")</f>
        <v/>
      </c>
      <c r="I2473" s="7" t="str">
        <f>IF(Table1[[#This Row],[Is Data Valid]]=TRUE,((Table1[[#This Row],[Birthweight (grams)]]*1.1/Table1[[#This Row],[BW_GA]])-1)/(Backend!$B$4/100*Table1[[#This Row],[BW40_3705]]),"")</f>
        <v/>
      </c>
      <c r="J2473" s="7" t="str">
        <f>IF(Table1[[#This Row],[Is Data Valid]]=TRUE,_xlfn.NORM.S.DIST(Table1[[#This Row],[Birthweight Z-Score]],TRUE)*100,"")</f>
        <v/>
      </c>
      <c r="K2473" s="7" t="str">
        <f>IF(Table1[[#This Row],[Is Data Valid]]=TRUE,_xlfn.NORM.S.DIST(Table1[[#This Row],[Birthweight Z-Score (BW-10%)]],TRUE)*100,"")</f>
        <v/>
      </c>
      <c r="L2473" s="7" t="str">
        <f>IF(Table1[[#This Row],[Is Data Valid]]=TRUE,_xlfn.NORM.S.DIST(Table1[[#This Row],[Birthweight Z-Score (BW+10%)]],TRUE)*100,"")</f>
        <v/>
      </c>
    </row>
    <row r="2474" spans="1:12" x14ac:dyDescent="0.35">
      <c r="A2474" s="3"/>
      <c r="B2474" s="2"/>
      <c r="C2474" s="2"/>
      <c r="D2474" s="2" t="b">
        <f>IF(AND(NOT(ISBLANK(Table1[[#This Row],[Fetal Sex (Male, Female or Unknown)]])),ISNUMBER(Table1[[#This Row],[Birthweight (grams)]]),ISNUMBER(Table1[[#This Row],[Gestation (days)]])),TRUE,FALSE)</f>
        <v>0</v>
      </c>
      <c r="E2474" s="2" t="str">
        <f>IF(Table1[[#This Row],[Is Data Valid]]=TRUE,IF(Table1[[#This Row],[Fetal Sex (Male, Female or Unknown)]]="Male",Backend!$C$6,IF(Table1[[#This Row],[Fetal Sex (Male, Female or Unknown)]]="Female",Backend!$C$7,IF(Table1[[#This Row],[Fetal Sex (Male, Female or Unknown)]]="Unknown",Backend!$C$8,"Error"))),"")</f>
        <v/>
      </c>
      <c r="F2474" s="8" t="str">
        <f>IF(Table1[[#This Row],[Is Data Valid]]=TRUE,EXP(0.578+0.332*((Table1[[#This Row],[Gestation (days)]]+0.5)/7)-0.00354*((Table1[[#This Row],[Gestation (days)]]+0.5)/7)^2)*Table1[[#This Row],[BW40_3705]],"")</f>
        <v/>
      </c>
      <c r="G2474" s="2" t="str">
        <f>IF(Table1[[#This Row],[Is Data Valid]]=TRUE,((Table1[[#This Row],[Birthweight (grams)]]/Table1[[#This Row],[BW_GA]])-1)/(Backend!$B$4/100*Table1[[#This Row],[BW40_3705]]),"")</f>
        <v/>
      </c>
      <c r="H2474" s="7" t="str">
        <f>IF(Table1[[#This Row],[Is Data Valid]]=TRUE,((Table1[[#This Row],[Birthweight (grams)]]*0.9/Table1[[#This Row],[BW_GA]])-1)/(Backend!$B$4/100*Table1[[#This Row],[BW40_3705]]),"")</f>
        <v/>
      </c>
      <c r="I2474" s="7" t="str">
        <f>IF(Table1[[#This Row],[Is Data Valid]]=TRUE,((Table1[[#This Row],[Birthweight (grams)]]*1.1/Table1[[#This Row],[BW_GA]])-1)/(Backend!$B$4/100*Table1[[#This Row],[BW40_3705]]),"")</f>
        <v/>
      </c>
      <c r="J2474" s="7" t="str">
        <f>IF(Table1[[#This Row],[Is Data Valid]]=TRUE,_xlfn.NORM.S.DIST(Table1[[#This Row],[Birthweight Z-Score]],TRUE)*100,"")</f>
        <v/>
      </c>
      <c r="K2474" s="7" t="str">
        <f>IF(Table1[[#This Row],[Is Data Valid]]=TRUE,_xlfn.NORM.S.DIST(Table1[[#This Row],[Birthweight Z-Score (BW-10%)]],TRUE)*100,"")</f>
        <v/>
      </c>
      <c r="L2474" s="7" t="str">
        <f>IF(Table1[[#This Row],[Is Data Valid]]=TRUE,_xlfn.NORM.S.DIST(Table1[[#This Row],[Birthweight Z-Score (BW+10%)]],TRUE)*100,"")</f>
        <v/>
      </c>
    </row>
    <row r="2475" spans="1:12" x14ac:dyDescent="0.35">
      <c r="A2475" s="3"/>
      <c r="B2475" s="2"/>
      <c r="C2475" s="2"/>
      <c r="D2475" s="2" t="b">
        <f>IF(AND(NOT(ISBLANK(Table1[[#This Row],[Fetal Sex (Male, Female or Unknown)]])),ISNUMBER(Table1[[#This Row],[Birthweight (grams)]]),ISNUMBER(Table1[[#This Row],[Gestation (days)]])),TRUE,FALSE)</f>
        <v>0</v>
      </c>
      <c r="E2475" s="2" t="str">
        <f>IF(Table1[[#This Row],[Is Data Valid]]=TRUE,IF(Table1[[#This Row],[Fetal Sex (Male, Female or Unknown)]]="Male",Backend!$C$6,IF(Table1[[#This Row],[Fetal Sex (Male, Female or Unknown)]]="Female",Backend!$C$7,IF(Table1[[#This Row],[Fetal Sex (Male, Female or Unknown)]]="Unknown",Backend!$C$8,"Error"))),"")</f>
        <v/>
      </c>
      <c r="F2475" s="8" t="str">
        <f>IF(Table1[[#This Row],[Is Data Valid]]=TRUE,EXP(0.578+0.332*((Table1[[#This Row],[Gestation (days)]]+0.5)/7)-0.00354*((Table1[[#This Row],[Gestation (days)]]+0.5)/7)^2)*Table1[[#This Row],[BW40_3705]],"")</f>
        <v/>
      </c>
      <c r="G2475" s="2" t="str">
        <f>IF(Table1[[#This Row],[Is Data Valid]]=TRUE,((Table1[[#This Row],[Birthweight (grams)]]/Table1[[#This Row],[BW_GA]])-1)/(Backend!$B$4/100*Table1[[#This Row],[BW40_3705]]),"")</f>
        <v/>
      </c>
      <c r="H2475" s="7" t="str">
        <f>IF(Table1[[#This Row],[Is Data Valid]]=TRUE,((Table1[[#This Row],[Birthweight (grams)]]*0.9/Table1[[#This Row],[BW_GA]])-1)/(Backend!$B$4/100*Table1[[#This Row],[BW40_3705]]),"")</f>
        <v/>
      </c>
      <c r="I2475" s="7" t="str">
        <f>IF(Table1[[#This Row],[Is Data Valid]]=TRUE,((Table1[[#This Row],[Birthweight (grams)]]*1.1/Table1[[#This Row],[BW_GA]])-1)/(Backend!$B$4/100*Table1[[#This Row],[BW40_3705]]),"")</f>
        <v/>
      </c>
      <c r="J2475" s="7" t="str">
        <f>IF(Table1[[#This Row],[Is Data Valid]]=TRUE,_xlfn.NORM.S.DIST(Table1[[#This Row],[Birthweight Z-Score]],TRUE)*100,"")</f>
        <v/>
      </c>
      <c r="K2475" s="7" t="str">
        <f>IF(Table1[[#This Row],[Is Data Valid]]=TRUE,_xlfn.NORM.S.DIST(Table1[[#This Row],[Birthweight Z-Score (BW-10%)]],TRUE)*100,"")</f>
        <v/>
      </c>
      <c r="L2475" s="7" t="str">
        <f>IF(Table1[[#This Row],[Is Data Valid]]=TRUE,_xlfn.NORM.S.DIST(Table1[[#This Row],[Birthweight Z-Score (BW+10%)]],TRUE)*100,"")</f>
        <v/>
      </c>
    </row>
    <row r="2476" spans="1:12" x14ac:dyDescent="0.35">
      <c r="A2476" s="3"/>
      <c r="B2476" s="2"/>
      <c r="C2476" s="2"/>
      <c r="D2476" s="2" t="b">
        <f>IF(AND(NOT(ISBLANK(Table1[[#This Row],[Fetal Sex (Male, Female or Unknown)]])),ISNUMBER(Table1[[#This Row],[Birthweight (grams)]]),ISNUMBER(Table1[[#This Row],[Gestation (days)]])),TRUE,FALSE)</f>
        <v>0</v>
      </c>
      <c r="E2476" s="2" t="str">
        <f>IF(Table1[[#This Row],[Is Data Valid]]=TRUE,IF(Table1[[#This Row],[Fetal Sex (Male, Female or Unknown)]]="Male",Backend!$C$6,IF(Table1[[#This Row],[Fetal Sex (Male, Female or Unknown)]]="Female",Backend!$C$7,IF(Table1[[#This Row],[Fetal Sex (Male, Female or Unknown)]]="Unknown",Backend!$C$8,"Error"))),"")</f>
        <v/>
      </c>
      <c r="F2476" s="8" t="str">
        <f>IF(Table1[[#This Row],[Is Data Valid]]=TRUE,EXP(0.578+0.332*((Table1[[#This Row],[Gestation (days)]]+0.5)/7)-0.00354*((Table1[[#This Row],[Gestation (days)]]+0.5)/7)^2)*Table1[[#This Row],[BW40_3705]],"")</f>
        <v/>
      </c>
      <c r="G2476" s="2" t="str">
        <f>IF(Table1[[#This Row],[Is Data Valid]]=TRUE,((Table1[[#This Row],[Birthweight (grams)]]/Table1[[#This Row],[BW_GA]])-1)/(Backend!$B$4/100*Table1[[#This Row],[BW40_3705]]),"")</f>
        <v/>
      </c>
      <c r="H2476" s="7" t="str">
        <f>IF(Table1[[#This Row],[Is Data Valid]]=TRUE,((Table1[[#This Row],[Birthweight (grams)]]*0.9/Table1[[#This Row],[BW_GA]])-1)/(Backend!$B$4/100*Table1[[#This Row],[BW40_3705]]),"")</f>
        <v/>
      </c>
      <c r="I2476" s="7" t="str">
        <f>IF(Table1[[#This Row],[Is Data Valid]]=TRUE,((Table1[[#This Row],[Birthweight (grams)]]*1.1/Table1[[#This Row],[BW_GA]])-1)/(Backend!$B$4/100*Table1[[#This Row],[BW40_3705]]),"")</f>
        <v/>
      </c>
      <c r="J2476" s="7" t="str">
        <f>IF(Table1[[#This Row],[Is Data Valid]]=TRUE,_xlfn.NORM.S.DIST(Table1[[#This Row],[Birthweight Z-Score]],TRUE)*100,"")</f>
        <v/>
      </c>
      <c r="K2476" s="7" t="str">
        <f>IF(Table1[[#This Row],[Is Data Valid]]=TRUE,_xlfn.NORM.S.DIST(Table1[[#This Row],[Birthweight Z-Score (BW-10%)]],TRUE)*100,"")</f>
        <v/>
      </c>
      <c r="L2476" s="7" t="str">
        <f>IF(Table1[[#This Row],[Is Data Valid]]=TRUE,_xlfn.NORM.S.DIST(Table1[[#This Row],[Birthweight Z-Score (BW+10%)]],TRUE)*100,"")</f>
        <v/>
      </c>
    </row>
    <row r="2477" spans="1:12" x14ac:dyDescent="0.35">
      <c r="A2477" s="3"/>
      <c r="B2477" s="2"/>
      <c r="C2477" s="2"/>
      <c r="D2477" s="2" t="b">
        <f>IF(AND(NOT(ISBLANK(Table1[[#This Row],[Fetal Sex (Male, Female or Unknown)]])),ISNUMBER(Table1[[#This Row],[Birthweight (grams)]]),ISNUMBER(Table1[[#This Row],[Gestation (days)]])),TRUE,FALSE)</f>
        <v>0</v>
      </c>
      <c r="E2477" s="2" t="str">
        <f>IF(Table1[[#This Row],[Is Data Valid]]=TRUE,IF(Table1[[#This Row],[Fetal Sex (Male, Female or Unknown)]]="Male",Backend!$C$6,IF(Table1[[#This Row],[Fetal Sex (Male, Female or Unknown)]]="Female",Backend!$C$7,IF(Table1[[#This Row],[Fetal Sex (Male, Female or Unknown)]]="Unknown",Backend!$C$8,"Error"))),"")</f>
        <v/>
      </c>
      <c r="F2477" s="8" t="str">
        <f>IF(Table1[[#This Row],[Is Data Valid]]=TRUE,EXP(0.578+0.332*((Table1[[#This Row],[Gestation (days)]]+0.5)/7)-0.00354*((Table1[[#This Row],[Gestation (days)]]+0.5)/7)^2)*Table1[[#This Row],[BW40_3705]],"")</f>
        <v/>
      </c>
      <c r="G2477" s="2" t="str">
        <f>IF(Table1[[#This Row],[Is Data Valid]]=TRUE,((Table1[[#This Row],[Birthweight (grams)]]/Table1[[#This Row],[BW_GA]])-1)/(Backend!$B$4/100*Table1[[#This Row],[BW40_3705]]),"")</f>
        <v/>
      </c>
      <c r="H2477" s="7" t="str">
        <f>IF(Table1[[#This Row],[Is Data Valid]]=TRUE,((Table1[[#This Row],[Birthweight (grams)]]*0.9/Table1[[#This Row],[BW_GA]])-1)/(Backend!$B$4/100*Table1[[#This Row],[BW40_3705]]),"")</f>
        <v/>
      </c>
      <c r="I2477" s="7" t="str">
        <f>IF(Table1[[#This Row],[Is Data Valid]]=TRUE,((Table1[[#This Row],[Birthweight (grams)]]*1.1/Table1[[#This Row],[BW_GA]])-1)/(Backend!$B$4/100*Table1[[#This Row],[BW40_3705]]),"")</f>
        <v/>
      </c>
      <c r="J2477" s="7" t="str">
        <f>IF(Table1[[#This Row],[Is Data Valid]]=TRUE,_xlfn.NORM.S.DIST(Table1[[#This Row],[Birthweight Z-Score]],TRUE)*100,"")</f>
        <v/>
      </c>
      <c r="K2477" s="7" t="str">
        <f>IF(Table1[[#This Row],[Is Data Valid]]=TRUE,_xlfn.NORM.S.DIST(Table1[[#This Row],[Birthweight Z-Score (BW-10%)]],TRUE)*100,"")</f>
        <v/>
      </c>
      <c r="L2477" s="7" t="str">
        <f>IF(Table1[[#This Row],[Is Data Valid]]=TRUE,_xlfn.NORM.S.DIST(Table1[[#This Row],[Birthweight Z-Score (BW+10%)]],TRUE)*100,"")</f>
        <v/>
      </c>
    </row>
    <row r="2478" spans="1:12" x14ac:dyDescent="0.35">
      <c r="A2478" s="3"/>
      <c r="B2478" s="2"/>
      <c r="C2478" s="2"/>
      <c r="D2478" s="2" t="b">
        <f>IF(AND(NOT(ISBLANK(Table1[[#This Row],[Fetal Sex (Male, Female or Unknown)]])),ISNUMBER(Table1[[#This Row],[Birthweight (grams)]]),ISNUMBER(Table1[[#This Row],[Gestation (days)]])),TRUE,FALSE)</f>
        <v>0</v>
      </c>
      <c r="E2478" s="2" t="str">
        <f>IF(Table1[[#This Row],[Is Data Valid]]=TRUE,IF(Table1[[#This Row],[Fetal Sex (Male, Female or Unknown)]]="Male",Backend!$C$6,IF(Table1[[#This Row],[Fetal Sex (Male, Female or Unknown)]]="Female",Backend!$C$7,IF(Table1[[#This Row],[Fetal Sex (Male, Female or Unknown)]]="Unknown",Backend!$C$8,"Error"))),"")</f>
        <v/>
      </c>
      <c r="F2478" s="8" t="str">
        <f>IF(Table1[[#This Row],[Is Data Valid]]=TRUE,EXP(0.578+0.332*((Table1[[#This Row],[Gestation (days)]]+0.5)/7)-0.00354*((Table1[[#This Row],[Gestation (days)]]+0.5)/7)^2)*Table1[[#This Row],[BW40_3705]],"")</f>
        <v/>
      </c>
      <c r="G2478" s="2" t="str">
        <f>IF(Table1[[#This Row],[Is Data Valid]]=TRUE,((Table1[[#This Row],[Birthweight (grams)]]/Table1[[#This Row],[BW_GA]])-1)/(Backend!$B$4/100*Table1[[#This Row],[BW40_3705]]),"")</f>
        <v/>
      </c>
      <c r="H2478" s="7" t="str">
        <f>IF(Table1[[#This Row],[Is Data Valid]]=TRUE,((Table1[[#This Row],[Birthweight (grams)]]*0.9/Table1[[#This Row],[BW_GA]])-1)/(Backend!$B$4/100*Table1[[#This Row],[BW40_3705]]),"")</f>
        <v/>
      </c>
      <c r="I2478" s="7" t="str">
        <f>IF(Table1[[#This Row],[Is Data Valid]]=TRUE,((Table1[[#This Row],[Birthweight (grams)]]*1.1/Table1[[#This Row],[BW_GA]])-1)/(Backend!$B$4/100*Table1[[#This Row],[BW40_3705]]),"")</f>
        <v/>
      </c>
      <c r="J2478" s="7" t="str">
        <f>IF(Table1[[#This Row],[Is Data Valid]]=TRUE,_xlfn.NORM.S.DIST(Table1[[#This Row],[Birthweight Z-Score]],TRUE)*100,"")</f>
        <v/>
      </c>
      <c r="K2478" s="7" t="str">
        <f>IF(Table1[[#This Row],[Is Data Valid]]=TRUE,_xlfn.NORM.S.DIST(Table1[[#This Row],[Birthweight Z-Score (BW-10%)]],TRUE)*100,"")</f>
        <v/>
      </c>
      <c r="L2478" s="7" t="str">
        <f>IF(Table1[[#This Row],[Is Data Valid]]=TRUE,_xlfn.NORM.S.DIST(Table1[[#This Row],[Birthweight Z-Score (BW+10%)]],TRUE)*100,"")</f>
        <v/>
      </c>
    </row>
    <row r="2479" spans="1:12" x14ac:dyDescent="0.35">
      <c r="A2479" s="3"/>
      <c r="B2479" s="2"/>
      <c r="C2479" s="2"/>
      <c r="D2479" s="2" t="b">
        <f>IF(AND(NOT(ISBLANK(Table1[[#This Row],[Fetal Sex (Male, Female or Unknown)]])),ISNUMBER(Table1[[#This Row],[Birthweight (grams)]]),ISNUMBER(Table1[[#This Row],[Gestation (days)]])),TRUE,FALSE)</f>
        <v>0</v>
      </c>
      <c r="E2479" s="2" t="str">
        <f>IF(Table1[[#This Row],[Is Data Valid]]=TRUE,IF(Table1[[#This Row],[Fetal Sex (Male, Female or Unknown)]]="Male",Backend!$C$6,IF(Table1[[#This Row],[Fetal Sex (Male, Female or Unknown)]]="Female",Backend!$C$7,IF(Table1[[#This Row],[Fetal Sex (Male, Female or Unknown)]]="Unknown",Backend!$C$8,"Error"))),"")</f>
        <v/>
      </c>
      <c r="F2479" s="8" t="str">
        <f>IF(Table1[[#This Row],[Is Data Valid]]=TRUE,EXP(0.578+0.332*((Table1[[#This Row],[Gestation (days)]]+0.5)/7)-0.00354*((Table1[[#This Row],[Gestation (days)]]+0.5)/7)^2)*Table1[[#This Row],[BW40_3705]],"")</f>
        <v/>
      </c>
      <c r="G2479" s="2" t="str">
        <f>IF(Table1[[#This Row],[Is Data Valid]]=TRUE,((Table1[[#This Row],[Birthweight (grams)]]/Table1[[#This Row],[BW_GA]])-1)/(Backend!$B$4/100*Table1[[#This Row],[BW40_3705]]),"")</f>
        <v/>
      </c>
      <c r="H2479" s="7" t="str">
        <f>IF(Table1[[#This Row],[Is Data Valid]]=TRUE,((Table1[[#This Row],[Birthweight (grams)]]*0.9/Table1[[#This Row],[BW_GA]])-1)/(Backend!$B$4/100*Table1[[#This Row],[BW40_3705]]),"")</f>
        <v/>
      </c>
      <c r="I2479" s="7" t="str">
        <f>IF(Table1[[#This Row],[Is Data Valid]]=TRUE,((Table1[[#This Row],[Birthweight (grams)]]*1.1/Table1[[#This Row],[BW_GA]])-1)/(Backend!$B$4/100*Table1[[#This Row],[BW40_3705]]),"")</f>
        <v/>
      </c>
      <c r="J2479" s="7" t="str">
        <f>IF(Table1[[#This Row],[Is Data Valid]]=TRUE,_xlfn.NORM.S.DIST(Table1[[#This Row],[Birthweight Z-Score]],TRUE)*100,"")</f>
        <v/>
      </c>
      <c r="K2479" s="7" t="str">
        <f>IF(Table1[[#This Row],[Is Data Valid]]=TRUE,_xlfn.NORM.S.DIST(Table1[[#This Row],[Birthweight Z-Score (BW-10%)]],TRUE)*100,"")</f>
        <v/>
      </c>
      <c r="L2479" s="7" t="str">
        <f>IF(Table1[[#This Row],[Is Data Valid]]=TRUE,_xlfn.NORM.S.DIST(Table1[[#This Row],[Birthweight Z-Score (BW+10%)]],TRUE)*100,"")</f>
        <v/>
      </c>
    </row>
    <row r="2480" spans="1:12" x14ac:dyDescent="0.35">
      <c r="A2480" s="3"/>
      <c r="B2480" s="2"/>
      <c r="C2480" s="2"/>
      <c r="D2480" s="2" t="b">
        <f>IF(AND(NOT(ISBLANK(Table1[[#This Row],[Fetal Sex (Male, Female or Unknown)]])),ISNUMBER(Table1[[#This Row],[Birthweight (grams)]]),ISNUMBER(Table1[[#This Row],[Gestation (days)]])),TRUE,FALSE)</f>
        <v>0</v>
      </c>
      <c r="E2480" s="2" t="str">
        <f>IF(Table1[[#This Row],[Is Data Valid]]=TRUE,IF(Table1[[#This Row],[Fetal Sex (Male, Female or Unknown)]]="Male",Backend!$C$6,IF(Table1[[#This Row],[Fetal Sex (Male, Female or Unknown)]]="Female",Backend!$C$7,IF(Table1[[#This Row],[Fetal Sex (Male, Female or Unknown)]]="Unknown",Backend!$C$8,"Error"))),"")</f>
        <v/>
      </c>
      <c r="F2480" s="8" t="str">
        <f>IF(Table1[[#This Row],[Is Data Valid]]=TRUE,EXP(0.578+0.332*((Table1[[#This Row],[Gestation (days)]]+0.5)/7)-0.00354*((Table1[[#This Row],[Gestation (days)]]+0.5)/7)^2)*Table1[[#This Row],[BW40_3705]],"")</f>
        <v/>
      </c>
      <c r="G2480" s="2" t="str">
        <f>IF(Table1[[#This Row],[Is Data Valid]]=TRUE,((Table1[[#This Row],[Birthweight (grams)]]/Table1[[#This Row],[BW_GA]])-1)/(Backend!$B$4/100*Table1[[#This Row],[BW40_3705]]),"")</f>
        <v/>
      </c>
      <c r="H2480" s="7" t="str">
        <f>IF(Table1[[#This Row],[Is Data Valid]]=TRUE,((Table1[[#This Row],[Birthweight (grams)]]*0.9/Table1[[#This Row],[BW_GA]])-1)/(Backend!$B$4/100*Table1[[#This Row],[BW40_3705]]),"")</f>
        <v/>
      </c>
      <c r="I2480" s="7" t="str">
        <f>IF(Table1[[#This Row],[Is Data Valid]]=TRUE,((Table1[[#This Row],[Birthweight (grams)]]*1.1/Table1[[#This Row],[BW_GA]])-1)/(Backend!$B$4/100*Table1[[#This Row],[BW40_3705]]),"")</f>
        <v/>
      </c>
      <c r="J2480" s="7" t="str">
        <f>IF(Table1[[#This Row],[Is Data Valid]]=TRUE,_xlfn.NORM.S.DIST(Table1[[#This Row],[Birthweight Z-Score]],TRUE)*100,"")</f>
        <v/>
      </c>
      <c r="K2480" s="7" t="str">
        <f>IF(Table1[[#This Row],[Is Data Valid]]=TRUE,_xlfn.NORM.S.DIST(Table1[[#This Row],[Birthweight Z-Score (BW-10%)]],TRUE)*100,"")</f>
        <v/>
      </c>
      <c r="L2480" s="7" t="str">
        <f>IF(Table1[[#This Row],[Is Data Valid]]=TRUE,_xlfn.NORM.S.DIST(Table1[[#This Row],[Birthweight Z-Score (BW+10%)]],TRUE)*100,"")</f>
        <v/>
      </c>
    </row>
    <row r="2481" spans="1:12" x14ac:dyDescent="0.35">
      <c r="A2481" s="3"/>
      <c r="B2481" s="2"/>
      <c r="C2481" s="2"/>
      <c r="D2481" s="2" t="b">
        <f>IF(AND(NOT(ISBLANK(Table1[[#This Row],[Fetal Sex (Male, Female or Unknown)]])),ISNUMBER(Table1[[#This Row],[Birthweight (grams)]]),ISNUMBER(Table1[[#This Row],[Gestation (days)]])),TRUE,FALSE)</f>
        <v>0</v>
      </c>
      <c r="E2481" s="2" t="str">
        <f>IF(Table1[[#This Row],[Is Data Valid]]=TRUE,IF(Table1[[#This Row],[Fetal Sex (Male, Female or Unknown)]]="Male",Backend!$C$6,IF(Table1[[#This Row],[Fetal Sex (Male, Female or Unknown)]]="Female",Backend!$C$7,IF(Table1[[#This Row],[Fetal Sex (Male, Female or Unknown)]]="Unknown",Backend!$C$8,"Error"))),"")</f>
        <v/>
      </c>
      <c r="F2481" s="8" t="str">
        <f>IF(Table1[[#This Row],[Is Data Valid]]=TRUE,EXP(0.578+0.332*((Table1[[#This Row],[Gestation (days)]]+0.5)/7)-0.00354*((Table1[[#This Row],[Gestation (days)]]+0.5)/7)^2)*Table1[[#This Row],[BW40_3705]],"")</f>
        <v/>
      </c>
      <c r="G2481" s="2" t="str">
        <f>IF(Table1[[#This Row],[Is Data Valid]]=TRUE,((Table1[[#This Row],[Birthweight (grams)]]/Table1[[#This Row],[BW_GA]])-1)/(Backend!$B$4/100*Table1[[#This Row],[BW40_3705]]),"")</f>
        <v/>
      </c>
      <c r="H2481" s="7" t="str">
        <f>IF(Table1[[#This Row],[Is Data Valid]]=TRUE,((Table1[[#This Row],[Birthweight (grams)]]*0.9/Table1[[#This Row],[BW_GA]])-1)/(Backend!$B$4/100*Table1[[#This Row],[BW40_3705]]),"")</f>
        <v/>
      </c>
      <c r="I2481" s="7" t="str">
        <f>IF(Table1[[#This Row],[Is Data Valid]]=TRUE,((Table1[[#This Row],[Birthweight (grams)]]*1.1/Table1[[#This Row],[BW_GA]])-1)/(Backend!$B$4/100*Table1[[#This Row],[BW40_3705]]),"")</f>
        <v/>
      </c>
      <c r="J2481" s="7" t="str">
        <f>IF(Table1[[#This Row],[Is Data Valid]]=TRUE,_xlfn.NORM.S.DIST(Table1[[#This Row],[Birthweight Z-Score]],TRUE)*100,"")</f>
        <v/>
      </c>
      <c r="K2481" s="7" t="str">
        <f>IF(Table1[[#This Row],[Is Data Valid]]=TRUE,_xlfn.NORM.S.DIST(Table1[[#This Row],[Birthweight Z-Score (BW-10%)]],TRUE)*100,"")</f>
        <v/>
      </c>
      <c r="L2481" s="7" t="str">
        <f>IF(Table1[[#This Row],[Is Data Valid]]=TRUE,_xlfn.NORM.S.DIST(Table1[[#This Row],[Birthweight Z-Score (BW+10%)]],TRUE)*100,"")</f>
        <v/>
      </c>
    </row>
    <row r="2482" spans="1:12" x14ac:dyDescent="0.35">
      <c r="A2482" s="3"/>
      <c r="B2482" s="2"/>
      <c r="C2482" s="2"/>
      <c r="D2482" s="2" t="b">
        <f>IF(AND(NOT(ISBLANK(Table1[[#This Row],[Fetal Sex (Male, Female or Unknown)]])),ISNUMBER(Table1[[#This Row],[Birthweight (grams)]]),ISNUMBER(Table1[[#This Row],[Gestation (days)]])),TRUE,FALSE)</f>
        <v>0</v>
      </c>
      <c r="E2482" s="2" t="str">
        <f>IF(Table1[[#This Row],[Is Data Valid]]=TRUE,IF(Table1[[#This Row],[Fetal Sex (Male, Female or Unknown)]]="Male",Backend!$C$6,IF(Table1[[#This Row],[Fetal Sex (Male, Female or Unknown)]]="Female",Backend!$C$7,IF(Table1[[#This Row],[Fetal Sex (Male, Female or Unknown)]]="Unknown",Backend!$C$8,"Error"))),"")</f>
        <v/>
      </c>
      <c r="F2482" s="8" t="str">
        <f>IF(Table1[[#This Row],[Is Data Valid]]=TRUE,EXP(0.578+0.332*((Table1[[#This Row],[Gestation (days)]]+0.5)/7)-0.00354*((Table1[[#This Row],[Gestation (days)]]+0.5)/7)^2)*Table1[[#This Row],[BW40_3705]],"")</f>
        <v/>
      </c>
      <c r="G2482" s="2" t="str">
        <f>IF(Table1[[#This Row],[Is Data Valid]]=TRUE,((Table1[[#This Row],[Birthweight (grams)]]/Table1[[#This Row],[BW_GA]])-1)/(Backend!$B$4/100*Table1[[#This Row],[BW40_3705]]),"")</f>
        <v/>
      </c>
      <c r="H2482" s="7" t="str">
        <f>IF(Table1[[#This Row],[Is Data Valid]]=TRUE,((Table1[[#This Row],[Birthweight (grams)]]*0.9/Table1[[#This Row],[BW_GA]])-1)/(Backend!$B$4/100*Table1[[#This Row],[BW40_3705]]),"")</f>
        <v/>
      </c>
      <c r="I2482" s="7" t="str">
        <f>IF(Table1[[#This Row],[Is Data Valid]]=TRUE,((Table1[[#This Row],[Birthweight (grams)]]*1.1/Table1[[#This Row],[BW_GA]])-1)/(Backend!$B$4/100*Table1[[#This Row],[BW40_3705]]),"")</f>
        <v/>
      </c>
      <c r="J2482" s="7" t="str">
        <f>IF(Table1[[#This Row],[Is Data Valid]]=TRUE,_xlfn.NORM.S.DIST(Table1[[#This Row],[Birthweight Z-Score]],TRUE)*100,"")</f>
        <v/>
      </c>
      <c r="K2482" s="7" t="str">
        <f>IF(Table1[[#This Row],[Is Data Valid]]=TRUE,_xlfn.NORM.S.DIST(Table1[[#This Row],[Birthweight Z-Score (BW-10%)]],TRUE)*100,"")</f>
        <v/>
      </c>
      <c r="L2482" s="7" t="str">
        <f>IF(Table1[[#This Row],[Is Data Valid]]=TRUE,_xlfn.NORM.S.DIST(Table1[[#This Row],[Birthweight Z-Score (BW+10%)]],TRUE)*100,"")</f>
        <v/>
      </c>
    </row>
    <row r="2483" spans="1:12" x14ac:dyDescent="0.35">
      <c r="A2483" s="3"/>
      <c r="B2483" s="2"/>
      <c r="C2483" s="2"/>
      <c r="D2483" s="2" t="b">
        <f>IF(AND(NOT(ISBLANK(Table1[[#This Row],[Fetal Sex (Male, Female or Unknown)]])),ISNUMBER(Table1[[#This Row],[Birthweight (grams)]]),ISNUMBER(Table1[[#This Row],[Gestation (days)]])),TRUE,FALSE)</f>
        <v>0</v>
      </c>
      <c r="E2483" s="2" t="str">
        <f>IF(Table1[[#This Row],[Is Data Valid]]=TRUE,IF(Table1[[#This Row],[Fetal Sex (Male, Female or Unknown)]]="Male",Backend!$C$6,IF(Table1[[#This Row],[Fetal Sex (Male, Female or Unknown)]]="Female",Backend!$C$7,IF(Table1[[#This Row],[Fetal Sex (Male, Female or Unknown)]]="Unknown",Backend!$C$8,"Error"))),"")</f>
        <v/>
      </c>
      <c r="F2483" s="8" t="str">
        <f>IF(Table1[[#This Row],[Is Data Valid]]=TRUE,EXP(0.578+0.332*((Table1[[#This Row],[Gestation (days)]]+0.5)/7)-0.00354*((Table1[[#This Row],[Gestation (days)]]+0.5)/7)^2)*Table1[[#This Row],[BW40_3705]],"")</f>
        <v/>
      </c>
      <c r="G2483" s="2" t="str">
        <f>IF(Table1[[#This Row],[Is Data Valid]]=TRUE,((Table1[[#This Row],[Birthweight (grams)]]/Table1[[#This Row],[BW_GA]])-1)/(Backend!$B$4/100*Table1[[#This Row],[BW40_3705]]),"")</f>
        <v/>
      </c>
      <c r="H2483" s="7" t="str">
        <f>IF(Table1[[#This Row],[Is Data Valid]]=TRUE,((Table1[[#This Row],[Birthweight (grams)]]*0.9/Table1[[#This Row],[BW_GA]])-1)/(Backend!$B$4/100*Table1[[#This Row],[BW40_3705]]),"")</f>
        <v/>
      </c>
      <c r="I2483" s="7" t="str">
        <f>IF(Table1[[#This Row],[Is Data Valid]]=TRUE,((Table1[[#This Row],[Birthweight (grams)]]*1.1/Table1[[#This Row],[BW_GA]])-1)/(Backend!$B$4/100*Table1[[#This Row],[BW40_3705]]),"")</f>
        <v/>
      </c>
      <c r="J2483" s="7" t="str">
        <f>IF(Table1[[#This Row],[Is Data Valid]]=TRUE,_xlfn.NORM.S.DIST(Table1[[#This Row],[Birthweight Z-Score]],TRUE)*100,"")</f>
        <v/>
      </c>
      <c r="K2483" s="7" t="str">
        <f>IF(Table1[[#This Row],[Is Data Valid]]=TRUE,_xlfn.NORM.S.DIST(Table1[[#This Row],[Birthweight Z-Score (BW-10%)]],TRUE)*100,"")</f>
        <v/>
      </c>
      <c r="L2483" s="7" t="str">
        <f>IF(Table1[[#This Row],[Is Data Valid]]=TRUE,_xlfn.NORM.S.DIST(Table1[[#This Row],[Birthweight Z-Score (BW+10%)]],TRUE)*100,"")</f>
        <v/>
      </c>
    </row>
    <row r="2484" spans="1:12" x14ac:dyDescent="0.35">
      <c r="A2484" s="3"/>
      <c r="B2484" s="2"/>
      <c r="C2484" s="2"/>
      <c r="D2484" s="2" t="b">
        <f>IF(AND(NOT(ISBLANK(Table1[[#This Row],[Fetal Sex (Male, Female or Unknown)]])),ISNUMBER(Table1[[#This Row],[Birthweight (grams)]]),ISNUMBER(Table1[[#This Row],[Gestation (days)]])),TRUE,FALSE)</f>
        <v>0</v>
      </c>
      <c r="E2484" s="2" t="str">
        <f>IF(Table1[[#This Row],[Is Data Valid]]=TRUE,IF(Table1[[#This Row],[Fetal Sex (Male, Female or Unknown)]]="Male",Backend!$C$6,IF(Table1[[#This Row],[Fetal Sex (Male, Female or Unknown)]]="Female",Backend!$C$7,IF(Table1[[#This Row],[Fetal Sex (Male, Female or Unknown)]]="Unknown",Backend!$C$8,"Error"))),"")</f>
        <v/>
      </c>
      <c r="F2484" s="8" t="str">
        <f>IF(Table1[[#This Row],[Is Data Valid]]=TRUE,EXP(0.578+0.332*((Table1[[#This Row],[Gestation (days)]]+0.5)/7)-0.00354*((Table1[[#This Row],[Gestation (days)]]+0.5)/7)^2)*Table1[[#This Row],[BW40_3705]],"")</f>
        <v/>
      </c>
      <c r="G2484" s="2" t="str">
        <f>IF(Table1[[#This Row],[Is Data Valid]]=TRUE,((Table1[[#This Row],[Birthweight (grams)]]/Table1[[#This Row],[BW_GA]])-1)/(Backend!$B$4/100*Table1[[#This Row],[BW40_3705]]),"")</f>
        <v/>
      </c>
      <c r="H2484" s="7" t="str">
        <f>IF(Table1[[#This Row],[Is Data Valid]]=TRUE,((Table1[[#This Row],[Birthweight (grams)]]*0.9/Table1[[#This Row],[BW_GA]])-1)/(Backend!$B$4/100*Table1[[#This Row],[BW40_3705]]),"")</f>
        <v/>
      </c>
      <c r="I2484" s="7" t="str">
        <f>IF(Table1[[#This Row],[Is Data Valid]]=TRUE,((Table1[[#This Row],[Birthweight (grams)]]*1.1/Table1[[#This Row],[BW_GA]])-1)/(Backend!$B$4/100*Table1[[#This Row],[BW40_3705]]),"")</f>
        <v/>
      </c>
      <c r="J2484" s="7" t="str">
        <f>IF(Table1[[#This Row],[Is Data Valid]]=TRUE,_xlfn.NORM.S.DIST(Table1[[#This Row],[Birthweight Z-Score]],TRUE)*100,"")</f>
        <v/>
      </c>
      <c r="K2484" s="7" t="str">
        <f>IF(Table1[[#This Row],[Is Data Valid]]=TRUE,_xlfn.NORM.S.DIST(Table1[[#This Row],[Birthweight Z-Score (BW-10%)]],TRUE)*100,"")</f>
        <v/>
      </c>
      <c r="L2484" s="7" t="str">
        <f>IF(Table1[[#This Row],[Is Data Valid]]=TRUE,_xlfn.NORM.S.DIST(Table1[[#This Row],[Birthweight Z-Score (BW+10%)]],TRUE)*100,"")</f>
        <v/>
      </c>
    </row>
    <row r="2485" spans="1:12" x14ac:dyDescent="0.35">
      <c r="A2485" s="3"/>
      <c r="B2485" s="2"/>
      <c r="C2485" s="2"/>
      <c r="D2485" s="2" t="b">
        <f>IF(AND(NOT(ISBLANK(Table1[[#This Row],[Fetal Sex (Male, Female or Unknown)]])),ISNUMBER(Table1[[#This Row],[Birthweight (grams)]]),ISNUMBER(Table1[[#This Row],[Gestation (days)]])),TRUE,FALSE)</f>
        <v>0</v>
      </c>
      <c r="E2485" s="2" t="str">
        <f>IF(Table1[[#This Row],[Is Data Valid]]=TRUE,IF(Table1[[#This Row],[Fetal Sex (Male, Female or Unknown)]]="Male",Backend!$C$6,IF(Table1[[#This Row],[Fetal Sex (Male, Female or Unknown)]]="Female",Backend!$C$7,IF(Table1[[#This Row],[Fetal Sex (Male, Female or Unknown)]]="Unknown",Backend!$C$8,"Error"))),"")</f>
        <v/>
      </c>
      <c r="F2485" s="8" t="str">
        <f>IF(Table1[[#This Row],[Is Data Valid]]=TRUE,EXP(0.578+0.332*((Table1[[#This Row],[Gestation (days)]]+0.5)/7)-0.00354*((Table1[[#This Row],[Gestation (days)]]+0.5)/7)^2)*Table1[[#This Row],[BW40_3705]],"")</f>
        <v/>
      </c>
      <c r="G2485" s="2" t="str">
        <f>IF(Table1[[#This Row],[Is Data Valid]]=TRUE,((Table1[[#This Row],[Birthweight (grams)]]/Table1[[#This Row],[BW_GA]])-1)/(Backend!$B$4/100*Table1[[#This Row],[BW40_3705]]),"")</f>
        <v/>
      </c>
      <c r="H2485" s="7" t="str">
        <f>IF(Table1[[#This Row],[Is Data Valid]]=TRUE,((Table1[[#This Row],[Birthweight (grams)]]*0.9/Table1[[#This Row],[BW_GA]])-1)/(Backend!$B$4/100*Table1[[#This Row],[BW40_3705]]),"")</f>
        <v/>
      </c>
      <c r="I2485" s="7" t="str">
        <f>IF(Table1[[#This Row],[Is Data Valid]]=TRUE,((Table1[[#This Row],[Birthweight (grams)]]*1.1/Table1[[#This Row],[BW_GA]])-1)/(Backend!$B$4/100*Table1[[#This Row],[BW40_3705]]),"")</f>
        <v/>
      </c>
      <c r="J2485" s="7" t="str">
        <f>IF(Table1[[#This Row],[Is Data Valid]]=TRUE,_xlfn.NORM.S.DIST(Table1[[#This Row],[Birthweight Z-Score]],TRUE)*100,"")</f>
        <v/>
      </c>
      <c r="K2485" s="7" t="str">
        <f>IF(Table1[[#This Row],[Is Data Valid]]=TRUE,_xlfn.NORM.S.DIST(Table1[[#This Row],[Birthweight Z-Score (BW-10%)]],TRUE)*100,"")</f>
        <v/>
      </c>
      <c r="L2485" s="7" t="str">
        <f>IF(Table1[[#This Row],[Is Data Valid]]=TRUE,_xlfn.NORM.S.DIST(Table1[[#This Row],[Birthweight Z-Score (BW+10%)]],TRUE)*100,"")</f>
        <v/>
      </c>
    </row>
    <row r="2486" spans="1:12" x14ac:dyDescent="0.35">
      <c r="A2486" s="3"/>
      <c r="B2486" s="2"/>
      <c r="C2486" s="2"/>
      <c r="D2486" s="2" t="b">
        <f>IF(AND(NOT(ISBLANK(Table1[[#This Row],[Fetal Sex (Male, Female or Unknown)]])),ISNUMBER(Table1[[#This Row],[Birthweight (grams)]]),ISNUMBER(Table1[[#This Row],[Gestation (days)]])),TRUE,FALSE)</f>
        <v>0</v>
      </c>
      <c r="E2486" s="2" t="str">
        <f>IF(Table1[[#This Row],[Is Data Valid]]=TRUE,IF(Table1[[#This Row],[Fetal Sex (Male, Female or Unknown)]]="Male",Backend!$C$6,IF(Table1[[#This Row],[Fetal Sex (Male, Female or Unknown)]]="Female",Backend!$C$7,IF(Table1[[#This Row],[Fetal Sex (Male, Female or Unknown)]]="Unknown",Backend!$C$8,"Error"))),"")</f>
        <v/>
      </c>
      <c r="F2486" s="8" t="str">
        <f>IF(Table1[[#This Row],[Is Data Valid]]=TRUE,EXP(0.578+0.332*((Table1[[#This Row],[Gestation (days)]]+0.5)/7)-0.00354*((Table1[[#This Row],[Gestation (days)]]+0.5)/7)^2)*Table1[[#This Row],[BW40_3705]],"")</f>
        <v/>
      </c>
      <c r="G2486" s="2" t="str">
        <f>IF(Table1[[#This Row],[Is Data Valid]]=TRUE,((Table1[[#This Row],[Birthweight (grams)]]/Table1[[#This Row],[BW_GA]])-1)/(Backend!$B$4/100*Table1[[#This Row],[BW40_3705]]),"")</f>
        <v/>
      </c>
      <c r="H2486" s="7" t="str">
        <f>IF(Table1[[#This Row],[Is Data Valid]]=TRUE,((Table1[[#This Row],[Birthweight (grams)]]*0.9/Table1[[#This Row],[BW_GA]])-1)/(Backend!$B$4/100*Table1[[#This Row],[BW40_3705]]),"")</f>
        <v/>
      </c>
      <c r="I2486" s="7" t="str">
        <f>IF(Table1[[#This Row],[Is Data Valid]]=TRUE,((Table1[[#This Row],[Birthweight (grams)]]*1.1/Table1[[#This Row],[BW_GA]])-1)/(Backend!$B$4/100*Table1[[#This Row],[BW40_3705]]),"")</f>
        <v/>
      </c>
      <c r="J2486" s="7" t="str">
        <f>IF(Table1[[#This Row],[Is Data Valid]]=TRUE,_xlfn.NORM.S.DIST(Table1[[#This Row],[Birthweight Z-Score]],TRUE)*100,"")</f>
        <v/>
      </c>
      <c r="K2486" s="7" t="str">
        <f>IF(Table1[[#This Row],[Is Data Valid]]=TRUE,_xlfn.NORM.S.DIST(Table1[[#This Row],[Birthweight Z-Score (BW-10%)]],TRUE)*100,"")</f>
        <v/>
      </c>
      <c r="L2486" s="7" t="str">
        <f>IF(Table1[[#This Row],[Is Data Valid]]=TRUE,_xlfn.NORM.S.DIST(Table1[[#This Row],[Birthweight Z-Score (BW+10%)]],TRUE)*100,"")</f>
        <v/>
      </c>
    </row>
    <row r="2487" spans="1:12" x14ac:dyDescent="0.35">
      <c r="A2487" s="3"/>
      <c r="B2487" s="2"/>
      <c r="C2487" s="2"/>
      <c r="D2487" s="2" t="b">
        <f>IF(AND(NOT(ISBLANK(Table1[[#This Row],[Fetal Sex (Male, Female or Unknown)]])),ISNUMBER(Table1[[#This Row],[Birthweight (grams)]]),ISNUMBER(Table1[[#This Row],[Gestation (days)]])),TRUE,FALSE)</f>
        <v>0</v>
      </c>
      <c r="E2487" s="2" t="str">
        <f>IF(Table1[[#This Row],[Is Data Valid]]=TRUE,IF(Table1[[#This Row],[Fetal Sex (Male, Female or Unknown)]]="Male",Backend!$C$6,IF(Table1[[#This Row],[Fetal Sex (Male, Female or Unknown)]]="Female",Backend!$C$7,IF(Table1[[#This Row],[Fetal Sex (Male, Female or Unknown)]]="Unknown",Backend!$C$8,"Error"))),"")</f>
        <v/>
      </c>
      <c r="F2487" s="8" t="str">
        <f>IF(Table1[[#This Row],[Is Data Valid]]=TRUE,EXP(0.578+0.332*((Table1[[#This Row],[Gestation (days)]]+0.5)/7)-0.00354*((Table1[[#This Row],[Gestation (days)]]+0.5)/7)^2)*Table1[[#This Row],[BW40_3705]],"")</f>
        <v/>
      </c>
      <c r="G2487" s="2" t="str">
        <f>IF(Table1[[#This Row],[Is Data Valid]]=TRUE,((Table1[[#This Row],[Birthweight (grams)]]/Table1[[#This Row],[BW_GA]])-1)/(Backend!$B$4/100*Table1[[#This Row],[BW40_3705]]),"")</f>
        <v/>
      </c>
      <c r="H2487" s="7" t="str">
        <f>IF(Table1[[#This Row],[Is Data Valid]]=TRUE,((Table1[[#This Row],[Birthweight (grams)]]*0.9/Table1[[#This Row],[BW_GA]])-1)/(Backend!$B$4/100*Table1[[#This Row],[BW40_3705]]),"")</f>
        <v/>
      </c>
      <c r="I2487" s="7" t="str">
        <f>IF(Table1[[#This Row],[Is Data Valid]]=TRUE,((Table1[[#This Row],[Birthweight (grams)]]*1.1/Table1[[#This Row],[BW_GA]])-1)/(Backend!$B$4/100*Table1[[#This Row],[BW40_3705]]),"")</f>
        <v/>
      </c>
      <c r="J2487" s="7" t="str">
        <f>IF(Table1[[#This Row],[Is Data Valid]]=TRUE,_xlfn.NORM.S.DIST(Table1[[#This Row],[Birthweight Z-Score]],TRUE)*100,"")</f>
        <v/>
      </c>
      <c r="K2487" s="7" t="str">
        <f>IF(Table1[[#This Row],[Is Data Valid]]=TRUE,_xlfn.NORM.S.DIST(Table1[[#This Row],[Birthweight Z-Score (BW-10%)]],TRUE)*100,"")</f>
        <v/>
      </c>
      <c r="L2487" s="7" t="str">
        <f>IF(Table1[[#This Row],[Is Data Valid]]=TRUE,_xlfn.NORM.S.DIST(Table1[[#This Row],[Birthweight Z-Score (BW+10%)]],TRUE)*100,"")</f>
        <v/>
      </c>
    </row>
    <row r="2488" spans="1:12" x14ac:dyDescent="0.35">
      <c r="A2488" s="3"/>
      <c r="B2488" s="2"/>
      <c r="C2488" s="2"/>
      <c r="D2488" s="2" t="b">
        <f>IF(AND(NOT(ISBLANK(Table1[[#This Row],[Fetal Sex (Male, Female or Unknown)]])),ISNUMBER(Table1[[#This Row],[Birthweight (grams)]]),ISNUMBER(Table1[[#This Row],[Gestation (days)]])),TRUE,FALSE)</f>
        <v>0</v>
      </c>
      <c r="E2488" s="2" t="str">
        <f>IF(Table1[[#This Row],[Is Data Valid]]=TRUE,IF(Table1[[#This Row],[Fetal Sex (Male, Female or Unknown)]]="Male",Backend!$C$6,IF(Table1[[#This Row],[Fetal Sex (Male, Female or Unknown)]]="Female",Backend!$C$7,IF(Table1[[#This Row],[Fetal Sex (Male, Female or Unknown)]]="Unknown",Backend!$C$8,"Error"))),"")</f>
        <v/>
      </c>
      <c r="F2488" s="8" t="str">
        <f>IF(Table1[[#This Row],[Is Data Valid]]=TRUE,EXP(0.578+0.332*((Table1[[#This Row],[Gestation (days)]]+0.5)/7)-0.00354*((Table1[[#This Row],[Gestation (days)]]+0.5)/7)^2)*Table1[[#This Row],[BW40_3705]],"")</f>
        <v/>
      </c>
      <c r="G2488" s="2" t="str">
        <f>IF(Table1[[#This Row],[Is Data Valid]]=TRUE,((Table1[[#This Row],[Birthweight (grams)]]/Table1[[#This Row],[BW_GA]])-1)/(Backend!$B$4/100*Table1[[#This Row],[BW40_3705]]),"")</f>
        <v/>
      </c>
      <c r="H2488" s="7" t="str">
        <f>IF(Table1[[#This Row],[Is Data Valid]]=TRUE,((Table1[[#This Row],[Birthweight (grams)]]*0.9/Table1[[#This Row],[BW_GA]])-1)/(Backend!$B$4/100*Table1[[#This Row],[BW40_3705]]),"")</f>
        <v/>
      </c>
      <c r="I2488" s="7" t="str">
        <f>IF(Table1[[#This Row],[Is Data Valid]]=TRUE,((Table1[[#This Row],[Birthweight (grams)]]*1.1/Table1[[#This Row],[BW_GA]])-1)/(Backend!$B$4/100*Table1[[#This Row],[BW40_3705]]),"")</f>
        <v/>
      </c>
      <c r="J2488" s="7" t="str">
        <f>IF(Table1[[#This Row],[Is Data Valid]]=TRUE,_xlfn.NORM.S.DIST(Table1[[#This Row],[Birthweight Z-Score]],TRUE)*100,"")</f>
        <v/>
      </c>
      <c r="K2488" s="7" t="str">
        <f>IF(Table1[[#This Row],[Is Data Valid]]=TRUE,_xlfn.NORM.S.DIST(Table1[[#This Row],[Birthweight Z-Score (BW-10%)]],TRUE)*100,"")</f>
        <v/>
      </c>
      <c r="L2488" s="7" t="str">
        <f>IF(Table1[[#This Row],[Is Data Valid]]=TRUE,_xlfn.NORM.S.DIST(Table1[[#This Row],[Birthweight Z-Score (BW+10%)]],TRUE)*100,"")</f>
        <v/>
      </c>
    </row>
    <row r="2489" spans="1:12" x14ac:dyDescent="0.35">
      <c r="A2489" s="3"/>
      <c r="B2489" s="2"/>
      <c r="C2489" s="2"/>
      <c r="D2489" s="2" t="b">
        <f>IF(AND(NOT(ISBLANK(Table1[[#This Row],[Fetal Sex (Male, Female or Unknown)]])),ISNUMBER(Table1[[#This Row],[Birthweight (grams)]]),ISNUMBER(Table1[[#This Row],[Gestation (days)]])),TRUE,FALSE)</f>
        <v>0</v>
      </c>
      <c r="E2489" s="2" t="str">
        <f>IF(Table1[[#This Row],[Is Data Valid]]=TRUE,IF(Table1[[#This Row],[Fetal Sex (Male, Female or Unknown)]]="Male",Backend!$C$6,IF(Table1[[#This Row],[Fetal Sex (Male, Female or Unknown)]]="Female",Backend!$C$7,IF(Table1[[#This Row],[Fetal Sex (Male, Female or Unknown)]]="Unknown",Backend!$C$8,"Error"))),"")</f>
        <v/>
      </c>
      <c r="F2489" s="8" t="str">
        <f>IF(Table1[[#This Row],[Is Data Valid]]=TRUE,EXP(0.578+0.332*((Table1[[#This Row],[Gestation (days)]]+0.5)/7)-0.00354*((Table1[[#This Row],[Gestation (days)]]+0.5)/7)^2)*Table1[[#This Row],[BW40_3705]],"")</f>
        <v/>
      </c>
      <c r="G2489" s="2" t="str">
        <f>IF(Table1[[#This Row],[Is Data Valid]]=TRUE,((Table1[[#This Row],[Birthweight (grams)]]/Table1[[#This Row],[BW_GA]])-1)/(Backend!$B$4/100*Table1[[#This Row],[BW40_3705]]),"")</f>
        <v/>
      </c>
      <c r="H2489" s="7" t="str">
        <f>IF(Table1[[#This Row],[Is Data Valid]]=TRUE,((Table1[[#This Row],[Birthweight (grams)]]*0.9/Table1[[#This Row],[BW_GA]])-1)/(Backend!$B$4/100*Table1[[#This Row],[BW40_3705]]),"")</f>
        <v/>
      </c>
      <c r="I2489" s="7" t="str">
        <f>IF(Table1[[#This Row],[Is Data Valid]]=TRUE,((Table1[[#This Row],[Birthweight (grams)]]*1.1/Table1[[#This Row],[BW_GA]])-1)/(Backend!$B$4/100*Table1[[#This Row],[BW40_3705]]),"")</f>
        <v/>
      </c>
      <c r="J2489" s="7" t="str">
        <f>IF(Table1[[#This Row],[Is Data Valid]]=TRUE,_xlfn.NORM.S.DIST(Table1[[#This Row],[Birthweight Z-Score]],TRUE)*100,"")</f>
        <v/>
      </c>
      <c r="K2489" s="7" t="str">
        <f>IF(Table1[[#This Row],[Is Data Valid]]=TRUE,_xlfn.NORM.S.DIST(Table1[[#This Row],[Birthweight Z-Score (BW-10%)]],TRUE)*100,"")</f>
        <v/>
      </c>
      <c r="L2489" s="7" t="str">
        <f>IF(Table1[[#This Row],[Is Data Valid]]=TRUE,_xlfn.NORM.S.DIST(Table1[[#This Row],[Birthweight Z-Score (BW+10%)]],TRUE)*100,"")</f>
        <v/>
      </c>
    </row>
    <row r="2490" spans="1:12" x14ac:dyDescent="0.35">
      <c r="A2490" s="3"/>
      <c r="B2490" s="2"/>
      <c r="C2490" s="2"/>
      <c r="D2490" s="2" t="b">
        <f>IF(AND(NOT(ISBLANK(Table1[[#This Row],[Fetal Sex (Male, Female or Unknown)]])),ISNUMBER(Table1[[#This Row],[Birthweight (grams)]]),ISNUMBER(Table1[[#This Row],[Gestation (days)]])),TRUE,FALSE)</f>
        <v>0</v>
      </c>
      <c r="E2490" s="2" t="str">
        <f>IF(Table1[[#This Row],[Is Data Valid]]=TRUE,IF(Table1[[#This Row],[Fetal Sex (Male, Female or Unknown)]]="Male",Backend!$C$6,IF(Table1[[#This Row],[Fetal Sex (Male, Female or Unknown)]]="Female",Backend!$C$7,IF(Table1[[#This Row],[Fetal Sex (Male, Female or Unknown)]]="Unknown",Backend!$C$8,"Error"))),"")</f>
        <v/>
      </c>
      <c r="F2490" s="8" t="str">
        <f>IF(Table1[[#This Row],[Is Data Valid]]=TRUE,EXP(0.578+0.332*((Table1[[#This Row],[Gestation (days)]]+0.5)/7)-0.00354*((Table1[[#This Row],[Gestation (days)]]+0.5)/7)^2)*Table1[[#This Row],[BW40_3705]],"")</f>
        <v/>
      </c>
      <c r="G2490" s="2" t="str">
        <f>IF(Table1[[#This Row],[Is Data Valid]]=TRUE,((Table1[[#This Row],[Birthweight (grams)]]/Table1[[#This Row],[BW_GA]])-1)/(Backend!$B$4/100*Table1[[#This Row],[BW40_3705]]),"")</f>
        <v/>
      </c>
      <c r="H2490" s="7" t="str">
        <f>IF(Table1[[#This Row],[Is Data Valid]]=TRUE,((Table1[[#This Row],[Birthweight (grams)]]*0.9/Table1[[#This Row],[BW_GA]])-1)/(Backend!$B$4/100*Table1[[#This Row],[BW40_3705]]),"")</f>
        <v/>
      </c>
      <c r="I2490" s="7" t="str">
        <f>IF(Table1[[#This Row],[Is Data Valid]]=TRUE,((Table1[[#This Row],[Birthweight (grams)]]*1.1/Table1[[#This Row],[BW_GA]])-1)/(Backend!$B$4/100*Table1[[#This Row],[BW40_3705]]),"")</f>
        <v/>
      </c>
      <c r="J2490" s="7" t="str">
        <f>IF(Table1[[#This Row],[Is Data Valid]]=TRUE,_xlfn.NORM.S.DIST(Table1[[#This Row],[Birthweight Z-Score]],TRUE)*100,"")</f>
        <v/>
      </c>
      <c r="K2490" s="7" t="str">
        <f>IF(Table1[[#This Row],[Is Data Valid]]=TRUE,_xlfn.NORM.S.DIST(Table1[[#This Row],[Birthweight Z-Score (BW-10%)]],TRUE)*100,"")</f>
        <v/>
      </c>
      <c r="L2490" s="7" t="str">
        <f>IF(Table1[[#This Row],[Is Data Valid]]=TRUE,_xlfn.NORM.S.DIST(Table1[[#This Row],[Birthweight Z-Score (BW+10%)]],TRUE)*100,"")</f>
        <v/>
      </c>
    </row>
    <row r="2491" spans="1:12" x14ac:dyDescent="0.35">
      <c r="A2491" s="3"/>
      <c r="B2491" s="2"/>
      <c r="C2491" s="2"/>
      <c r="D2491" s="2" t="b">
        <f>IF(AND(NOT(ISBLANK(Table1[[#This Row],[Fetal Sex (Male, Female or Unknown)]])),ISNUMBER(Table1[[#This Row],[Birthweight (grams)]]),ISNUMBER(Table1[[#This Row],[Gestation (days)]])),TRUE,FALSE)</f>
        <v>0</v>
      </c>
      <c r="E2491" s="2" t="str">
        <f>IF(Table1[[#This Row],[Is Data Valid]]=TRUE,IF(Table1[[#This Row],[Fetal Sex (Male, Female or Unknown)]]="Male",Backend!$C$6,IF(Table1[[#This Row],[Fetal Sex (Male, Female or Unknown)]]="Female",Backend!$C$7,IF(Table1[[#This Row],[Fetal Sex (Male, Female or Unknown)]]="Unknown",Backend!$C$8,"Error"))),"")</f>
        <v/>
      </c>
      <c r="F2491" s="8" t="str">
        <f>IF(Table1[[#This Row],[Is Data Valid]]=TRUE,EXP(0.578+0.332*((Table1[[#This Row],[Gestation (days)]]+0.5)/7)-0.00354*((Table1[[#This Row],[Gestation (days)]]+0.5)/7)^2)*Table1[[#This Row],[BW40_3705]],"")</f>
        <v/>
      </c>
      <c r="G2491" s="2" t="str">
        <f>IF(Table1[[#This Row],[Is Data Valid]]=TRUE,((Table1[[#This Row],[Birthweight (grams)]]/Table1[[#This Row],[BW_GA]])-1)/(Backend!$B$4/100*Table1[[#This Row],[BW40_3705]]),"")</f>
        <v/>
      </c>
      <c r="H2491" s="7" t="str">
        <f>IF(Table1[[#This Row],[Is Data Valid]]=TRUE,((Table1[[#This Row],[Birthweight (grams)]]*0.9/Table1[[#This Row],[BW_GA]])-1)/(Backend!$B$4/100*Table1[[#This Row],[BW40_3705]]),"")</f>
        <v/>
      </c>
      <c r="I2491" s="7" t="str">
        <f>IF(Table1[[#This Row],[Is Data Valid]]=TRUE,((Table1[[#This Row],[Birthweight (grams)]]*1.1/Table1[[#This Row],[BW_GA]])-1)/(Backend!$B$4/100*Table1[[#This Row],[BW40_3705]]),"")</f>
        <v/>
      </c>
      <c r="J2491" s="7" t="str">
        <f>IF(Table1[[#This Row],[Is Data Valid]]=TRUE,_xlfn.NORM.S.DIST(Table1[[#This Row],[Birthweight Z-Score]],TRUE)*100,"")</f>
        <v/>
      </c>
      <c r="K2491" s="7" t="str">
        <f>IF(Table1[[#This Row],[Is Data Valid]]=TRUE,_xlfn.NORM.S.DIST(Table1[[#This Row],[Birthweight Z-Score (BW-10%)]],TRUE)*100,"")</f>
        <v/>
      </c>
      <c r="L2491" s="7" t="str">
        <f>IF(Table1[[#This Row],[Is Data Valid]]=TRUE,_xlfn.NORM.S.DIST(Table1[[#This Row],[Birthweight Z-Score (BW+10%)]],TRUE)*100,"")</f>
        <v/>
      </c>
    </row>
    <row r="2492" spans="1:12" x14ac:dyDescent="0.35">
      <c r="A2492" s="3"/>
      <c r="B2492" s="2"/>
      <c r="C2492" s="2"/>
      <c r="D2492" s="2" t="b">
        <f>IF(AND(NOT(ISBLANK(Table1[[#This Row],[Fetal Sex (Male, Female or Unknown)]])),ISNUMBER(Table1[[#This Row],[Birthweight (grams)]]),ISNUMBER(Table1[[#This Row],[Gestation (days)]])),TRUE,FALSE)</f>
        <v>0</v>
      </c>
      <c r="E2492" s="2" t="str">
        <f>IF(Table1[[#This Row],[Is Data Valid]]=TRUE,IF(Table1[[#This Row],[Fetal Sex (Male, Female or Unknown)]]="Male",Backend!$C$6,IF(Table1[[#This Row],[Fetal Sex (Male, Female or Unknown)]]="Female",Backend!$C$7,IF(Table1[[#This Row],[Fetal Sex (Male, Female or Unknown)]]="Unknown",Backend!$C$8,"Error"))),"")</f>
        <v/>
      </c>
      <c r="F2492" s="8" t="str">
        <f>IF(Table1[[#This Row],[Is Data Valid]]=TRUE,EXP(0.578+0.332*((Table1[[#This Row],[Gestation (days)]]+0.5)/7)-0.00354*((Table1[[#This Row],[Gestation (days)]]+0.5)/7)^2)*Table1[[#This Row],[BW40_3705]],"")</f>
        <v/>
      </c>
      <c r="G2492" s="2" t="str">
        <f>IF(Table1[[#This Row],[Is Data Valid]]=TRUE,((Table1[[#This Row],[Birthweight (grams)]]/Table1[[#This Row],[BW_GA]])-1)/(Backend!$B$4/100*Table1[[#This Row],[BW40_3705]]),"")</f>
        <v/>
      </c>
      <c r="H2492" s="7" t="str">
        <f>IF(Table1[[#This Row],[Is Data Valid]]=TRUE,((Table1[[#This Row],[Birthweight (grams)]]*0.9/Table1[[#This Row],[BW_GA]])-1)/(Backend!$B$4/100*Table1[[#This Row],[BW40_3705]]),"")</f>
        <v/>
      </c>
      <c r="I2492" s="7" t="str">
        <f>IF(Table1[[#This Row],[Is Data Valid]]=TRUE,((Table1[[#This Row],[Birthweight (grams)]]*1.1/Table1[[#This Row],[BW_GA]])-1)/(Backend!$B$4/100*Table1[[#This Row],[BW40_3705]]),"")</f>
        <v/>
      </c>
      <c r="J2492" s="7" t="str">
        <f>IF(Table1[[#This Row],[Is Data Valid]]=TRUE,_xlfn.NORM.S.DIST(Table1[[#This Row],[Birthweight Z-Score]],TRUE)*100,"")</f>
        <v/>
      </c>
      <c r="K2492" s="7" t="str">
        <f>IF(Table1[[#This Row],[Is Data Valid]]=TRUE,_xlfn.NORM.S.DIST(Table1[[#This Row],[Birthweight Z-Score (BW-10%)]],TRUE)*100,"")</f>
        <v/>
      </c>
      <c r="L2492" s="7" t="str">
        <f>IF(Table1[[#This Row],[Is Data Valid]]=TRUE,_xlfn.NORM.S.DIST(Table1[[#This Row],[Birthweight Z-Score (BW+10%)]],TRUE)*100,"")</f>
        <v/>
      </c>
    </row>
    <row r="2493" spans="1:12" x14ac:dyDescent="0.35">
      <c r="A2493" s="3"/>
      <c r="B2493" s="2"/>
      <c r="C2493" s="2"/>
      <c r="D2493" s="2" t="b">
        <f>IF(AND(NOT(ISBLANK(Table1[[#This Row],[Fetal Sex (Male, Female or Unknown)]])),ISNUMBER(Table1[[#This Row],[Birthweight (grams)]]),ISNUMBER(Table1[[#This Row],[Gestation (days)]])),TRUE,FALSE)</f>
        <v>0</v>
      </c>
      <c r="E2493" s="2" t="str">
        <f>IF(Table1[[#This Row],[Is Data Valid]]=TRUE,IF(Table1[[#This Row],[Fetal Sex (Male, Female or Unknown)]]="Male",Backend!$C$6,IF(Table1[[#This Row],[Fetal Sex (Male, Female or Unknown)]]="Female",Backend!$C$7,IF(Table1[[#This Row],[Fetal Sex (Male, Female or Unknown)]]="Unknown",Backend!$C$8,"Error"))),"")</f>
        <v/>
      </c>
      <c r="F2493" s="8" t="str">
        <f>IF(Table1[[#This Row],[Is Data Valid]]=TRUE,EXP(0.578+0.332*((Table1[[#This Row],[Gestation (days)]]+0.5)/7)-0.00354*((Table1[[#This Row],[Gestation (days)]]+0.5)/7)^2)*Table1[[#This Row],[BW40_3705]],"")</f>
        <v/>
      </c>
      <c r="G2493" s="2" t="str">
        <f>IF(Table1[[#This Row],[Is Data Valid]]=TRUE,((Table1[[#This Row],[Birthweight (grams)]]/Table1[[#This Row],[BW_GA]])-1)/(Backend!$B$4/100*Table1[[#This Row],[BW40_3705]]),"")</f>
        <v/>
      </c>
      <c r="H2493" s="7" t="str">
        <f>IF(Table1[[#This Row],[Is Data Valid]]=TRUE,((Table1[[#This Row],[Birthweight (grams)]]*0.9/Table1[[#This Row],[BW_GA]])-1)/(Backend!$B$4/100*Table1[[#This Row],[BW40_3705]]),"")</f>
        <v/>
      </c>
      <c r="I2493" s="7" t="str">
        <f>IF(Table1[[#This Row],[Is Data Valid]]=TRUE,((Table1[[#This Row],[Birthweight (grams)]]*1.1/Table1[[#This Row],[BW_GA]])-1)/(Backend!$B$4/100*Table1[[#This Row],[BW40_3705]]),"")</f>
        <v/>
      </c>
      <c r="J2493" s="7" t="str">
        <f>IF(Table1[[#This Row],[Is Data Valid]]=TRUE,_xlfn.NORM.S.DIST(Table1[[#This Row],[Birthweight Z-Score]],TRUE)*100,"")</f>
        <v/>
      </c>
      <c r="K2493" s="7" t="str">
        <f>IF(Table1[[#This Row],[Is Data Valid]]=TRUE,_xlfn.NORM.S.DIST(Table1[[#This Row],[Birthweight Z-Score (BW-10%)]],TRUE)*100,"")</f>
        <v/>
      </c>
      <c r="L2493" s="7" t="str">
        <f>IF(Table1[[#This Row],[Is Data Valid]]=TRUE,_xlfn.NORM.S.DIST(Table1[[#This Row],[Birthweight Z-Score (BW+10%)]],TRUE)*100,"")</f>
        <v/>
      </c>
    </row>
    <row r="2494" spans="1:12" x14ac:dyDescent="0.35">
      <c r="A2494" s="3"/>
      <c r="B2494" s="2"/>
      <c r="C2494" s="2"/>
      <c r="D2494" s="2" t="b">
        <f>IF(AND(NOT(ISBLANK(Table1[[#This Row],[Fetal Sex (Male, Female or Unknown)]])),ISNUMBER(Table1[[#This Row],[Birthweight (grams)]]),ISNUMBER(Table1[[#This Row],[Gestation (days)]])),TRUE,FALSE)</f>
        <v>0</v>
      </c>
      <c r="E2494" s="2" t="str">
        <f>IF(Table1[[#This Row],[Is Data Valid]]=TRUE,IF(Table1[[#This Row],[Fetal Sex (Male, Female or Unknown)]]="Male",Backend!$C$6,IF(Table1[[#This Row],[Fetal Sex (Male, Female or Unknown)]]="Female",Backend!$C$7,IF(Table1[[#This Row],[Fetal Sex (Male, Female or Unknown)]]="Unknown",Backend!$C$8,"Error"))),"")</f>
        <v/>
      </c>
      <c r="F2494" s="8" t="str">
        <f>IF(Table1[[#This Row],[Is Data Valid]]=TRUE,EXP(0.578+0.332*((Table1[[#This Row],[Gestation (days)]]+0.5)/7)-0.00354*((Table1[[#This Row],[Gestation (days)]]+0.5)/7)^2)*Table1[[#This Row],[BW40_3705]],"")</f>
        <v/>
      </c>
      <c r="G2494" s="2" t="str">
        <f>IF(Table1[[#This Row],[Is Data Valid]]=TRUE,((Table1[[#This Row],[Birthweight (grams)]]/Table1[[#This Row],[BW_GA]])-1)/(Backend!$B$4/100*Table1[[#This Row],[BW40_3705]]),"")</f>
        <v/>
      </c>
      <c r="H2494" s="7" t="str">
        <f>IF(Table1[[#This Row],[Is Data Valid]]=TRUE,((Table1[[#This Row],[Birthweight (grams)]]*0.9/Table1[[#This Row],[BW_GA]])-1)/(Backend!$B$4/100*Table1[[#This Row],[BW40_3705]]),"")</f>
        <v/>
      </c>
      <c r="I2494" s="7" t="str">
        <f>IF(Table1[[#This Row],[Is Data Valid]]=TRUE,((Table1[[#This Row],[Birthweight (grams)]]*1.1/Table1[[#This Row],[BW_GA]])-1)/(Backend!$B$4/100*Table1[[#This Row],[BW40_3705]]),"")</f>
        <v/>
      </c>
      <c r="J2494" s="7" t="str">
        <f>IF(Table1[[#This Row],[Is Data Valid]]=TRUE,_xlfn.NORM.S.DIST(Table1[[#This Row],[Birthweight Z-Score]],TRUE)*100,"")</f>
        <v/>
      </c>
      <c r="K2494" s="7" t="str">
        <f>IF(Table1[[#This Row],[Is Data Valid]]=TRUE,_xlfn.NORM.S.DIST(Table1[[#This Row],[Birthweight Z-Score (BW-10%)]],TRUE)*100,"")</f>
        <v/>
      </c>
      <c r="L2494" s="7" t="str">
        <f>IF(Table1[[#This Row],[Is Data Valid]]=TRUE,_xlfn.NORM.S.DIST(Table1[[#This Row],[Birthweight Z-Score (BW+10%)]],TRUE)*100,"")</f>
        <v/>
      </c>
    </row>
    <row r="2495" spans="1:12" x14ac:dyDescent="0.35">
      <c r="A2495" s="3"/>
      <c r="B2495" s="2"/>
      <c r="C2495" s="2"/>
      <c r="D2495" s="2" t="b">
        <f>IF(AND(NOT(ISBLANK(Table1[[#This Row],[Fetal Sex (Male, Female or Unknown)]])),ISNUMBER(Table1[[#This Row],[Birthweight (grams)]]),ISNUMBER(Table1[[#This Row],[Gestation (days)]])),TRUE,FALSE)</f>
        <v>0</v>
      </c>
      <c r="E2495" s="2" t="str">
        <f>IF(Table1[[#This Row],[Is Data Valid]]=TRUE,IF(Table1[[#This Row],[Fetal Sex (Male, Female or Unknown)]]="Male",Backend!$C$6,IF(Table1[[#This Row],[Fetal Sex (Male, Female or Unknown)]]="Female",Backend!$C$7,IF(Table1[[#This Row],[Fetal Sex (Male, Female or Unknown)]]="Unknown",Backend!$C$8,"Error"))),"")</f>
        <v/>
      </c>
      <c r="F2495" s="8" t="str">
        <f>IF(Table1[[#This Row],[Is Data Valid]]=TRUE,EXP(0.578+0.332*((Table1[[#This Row],[Gestation (days)]]+0.5)/7)-0.00354*((Table1[[#This Row],[Gestation (days)]]+0.5)/7)^2)*Table1[[#This Row],[BW40_3705]],"")</f>
        <v/>
      </c>
      <c r="G2495" s="2" t="str">
        <f>IF(Table1[[#This Row],[Is Data Valid]]=TRUE,((Table1[[#This Row],[Birthweight (grams)]]/Table1[[#This Row],[BW_GA]])-1)/(Backend!$B$4/100*Table1[[#This Row],[BW40_3705]]),"")</f>
        <v/>
      </c>
      <c r="H2495" s="7" t="str">
        <f>IF(Table1[[#This Row],[Is Data Valid]]=TRUE,((Table1[[#This Row],[Birthweight (grams)]]*0.9/Table1[[#This Row],[BW_GA]])-1)/(Backend!$B$4/100*Table1[[#This Row],[BW40_3705]]),"")</f>
        <v/>
      </c>
      <c r="I2495" s="7" t="str">
        <f>IF(Table1[[#This Row],[Is Data Valid]]=TRUE,((Table1[[#This Row],[Birthweight (grams)]]*1.1/Table1[[#This Row],[BW_GA]])-1)/(Backend!$B$4/100*Table1[[#This Row],[BW40_3705]]),"")</f>
        <v/>
      </c>
      <c r="J2495" s="7" t="str">
        <f>IF(Table1[[#This Row],[Is Data Valid]]=TRUE,_xlfn.NORM.S.DIST(Table1[[#This Row],[Birthweight Z-Score]],TRUE)*100,"")</f>
        <v/>
      </c>
      <c r="K2495" s="7" t="str">
        <f>IF(Table1[[#This Row],[Is Data Valid]]=TRUE,_xlfn.NORM.S.DIST(Table1[[#This Row],[Birthweight Z-Score (BW-10%)]],TRUE)*100,"")</f>
        <v/>
      </c>
      <c r="L2495" s="7" t="str">
        <f>IF(Table1[[#This Row],[Is Data Valid]]=TRUE,_xlfn.NORM.S.DIST(Table1[[#This Row],[Birthweight Z-Score (BW+10%)]],TRUE)*100,"")</f>
        <v/>
      </c>
    </row>
    <row r="2496" spans="1:12" x14ac:dyDescent="0.35">
      <c r="A2496" s="3"/>
      <c r="B2496" s="2"/>
      <c r="C2496" s="2"/>
      <c r="D2496" s="2" t="b">
        <f>IF(AND(NOT(ISBLANK(Table1[[#This Row],[Fetal Sex (Male, Female or Unknown)]])),ISNUMBER(Table1[[#This Row],[Birthweight (grams)]]),ISNUMBER(Table1[[#This Row],[Gestation (days)]])),TRUE,FALSE)</f>
        <v>0</v>
      </c>
      <c r="E2496" s="2" t="str">
        <f>IF(Table1[[#This Row],[Is Data Valid]]=TRUE,IF(Table1[[#This Row],[Fetal Sex (Male, Female or Unknown)]]="Male",Backend!$C$6,IF(Table1[[#This Row],[Fetal Sex (Male, Female or Unknown)]]="Female",Backend!$C$7,IF(Table1[[#This Row],[Fetal Sex (Male, Female or Unknown)]]="Unknown",Backend!$C$8,"Error"))),"")</f>
        <v/>
      </c>
      <c r="F2496" s="8" t="str">
        <f>IF(Table1[[#This Row],[Is Data Valid]]=TRUE,EXP(0.578+0.332*((Table1[[#This Row],[Gestation (days)]]+0.5)/7)-0.00354*((Table1[[#This Row],[Gestation (days)]]+0.5)/7)^2)*Table1[[#This Row],[BW40_3705]],"")</f>
        <v/>
      </c>
      <c r="G2496" s="2" t="str">
        <f>IF(Table1[[#This Row],[Is Data Valid]]=TRUE,((Table1[[#This Row],[Birthweight (grams)]]/Table1[[#This Row],[BW_GA]])-1)/(Backend!$B$4/100*Table1[[#This Row],[BW40_3705]]),"")</f>
        <v/>
      </c>
      <c r="H2496" s="7" t="str">
        <f>IF(Table1[[#This Row],[Is Data Valid]]=TRUE,((Table1[[#This Row],[Birthweight (grams)]]*0.9/Table1[[#This Row],[BW_GA]])-1)/(Backend!$B$4/100*Table1[[#This Row],[BW40_3705]]),"")</f>
        <v/>
      </c>
      <c r="I2496" s="7" t="str">
        <f>IF(Table1[[#This Row],[Is Data Valid]]=TRUE,((Table1[[#This Row],[Birthweight (grams)]]*1.1/Table1[[#This Row],[BW_GA]])-1)/(Backend!$B$4/100*Table1[[#This Row],[BW40_3705]]),"")</f>
        <v/>
      </c>
      <c r="J2496" s="7" t="str">
        <f>IF(Table1[[#This Row],[Is Data Valid]]=TRUE,_xlfn.NORM.S.DIST(Table1[[#This Row],[Birthweight Z-Score]],TRUE)*100,"")</f>
        <v/>
      </c>
      <c r="K2496" s="7" t="str">
        <f>IF(Table1[[#This Row],[Is Data Valid]]=TRUE,_xlfn.NORM.S.DIST(Table1[[#This Row],[Birthweight Z-Score (BW-10%)]],TRUE)*100,"")</f>
        <v/>
      </c>
      <c r="L2496" s="7" t="str">
        <f>IF(Table1[[#This Row],[Is Data Valid]]=TRUE,_xlfn.NORM.S.DIST(Table1[[#This Row],[Birthweight Z-Score (BW+10%)]],TRUE)*100,"")</f>
        <v/>
      </c>
    </row>
    <row r="2497" spans="1:12" x14ac:dyDescent="0.35">
      <c r="A2497" s="3"/>
      <c r="B2497" s="2"/>
      <c r="C2497" s="2"/>
      <c r="D2497" s="2" t="b">
        <f>IF(AND(NOT(ISBLANK(Table1[[#This Row],[Fetal Sex (Male, Female or Unknown)]])),ISNUMBER(Table1[[#This Row],[Birthweight (grams)]]),ISNUMBER(Table1[[#This Row],[Gestation (days)]])),TRUE,FALSE)</f>
        <v>0</v>
      </c>
      <c r="E2497" s="2" t="str">
        <f>IF(Table1[[#This Row],[Is Data Valid]]=TRUE,IF(Table1[[#This Row],[Fetal Sex (Male, Female or Unknown)]]="Male",Backend!$C$6,IF(Table1[[#This Row],[Fetal Sex (Male, Female or Unknown)]]="Female",Backend!$C$7,IF(Table1[[#This Row],[Fetal Sex (Male, Female or Unknown)]]="Unknown",Backend!$C$8,"Error"))),"")</f>
        <v/>
      </c>
      <c r="F2497" s="8" t="str">
        <f>IF(Table1[[#This Row],[Is Data Valid]]=TRUE,EXP(0.578+0.332*((Table1[[#This Row],[Gestation (days)]]+0.5)/7)-0.00354*((Table1[[#This Row],[Gestation (days)]]+0.5)/7)^2)*Table1[[#This Row],[BW40_3705]],"")</f>
        <v/>
      </c>
      <c r="G2497" s="2" t="str">
        <f>IF(Table1[[#This Row],[Is Data Valid]]=TRUE,((Table1[[#This Row],[Birthweight (grams)]]/Table1[[#This Row],[BW_GA]])-1)/(Backend!$B$4/100*Table1[[#This Row],[BW40_3705]]),"")</f>
        <v/>
      </c>
      <c r="H2497" s="7" t="str">
        <f>IF(Table1[[#This Row],[Is Data Valid]]=TRUE,((Table1[[#This Row],[Birthweight (grams)]]*0.9/Table1[[#This Row],[BW_GA]])-1)/(Backend!$B$4/100*Table1[[#This Row],[BW40_3705]]),"")</f>
        <v/>
      </c>
      <c r="I2497" s="7" t="str">
        <f>IF(Table1[[#This Row],[Is Data Valid]]=TRUE,((Table1[[#This Row],[Birthweight (grams)]]*1.1/Table1[[#This Row],[BW_GA]])-1)/(Backend!$B$4/100*Table1[[#This Row],[BW40_3705]]),"")</f>
        <v/>
      </c>
      <c r="J2497" s="7" t="str">
        <f>IF(Table1[[#This Row],[Is Data Valid]]=TRUE,_xlfn.NORM.S.DIST(Table1[[#This Row],[Birthweight Z-Score]],TRUE)*100,"")</f>
        <v/>
      </c>
      <c r="K2497" s="7" t="str">
        <f>IF(Table1[[#This Row],[Is Data Valid]]=TRUE,_xlfn.NORM.S.DIST(Table1[[#This Row],[Birthweight Z-Score (BW-10%)]],TRUE)*100,"")</f>
        <v/>
      </c>
      <c r="L2497" s="7" t="str">
        <f>IF(Table1[[#This Row],[Is Data Valid]]=TRUE,_xlfn.NORM.S.DIST(Table1[[#This Row],[Birthweight Z-Score (BW+10%)]],TRUE)*100,"")</f>
        <v/>
      </c>
    </row>
    <row r="2498" spans="1:12" x14ac:dyDescent="0.35">
      <c r="A2498" s="3"/>
      <c r="B2498" s="2"/>
      <c r="C2498" s="2"/>
      <c r="D2498" s="2" t="b">
        <f>IF(AND(NOT(ISBLANK(Table1[[#This Row],[Fetal Sex (Male, Female or Unknown)]])),ISNUMBER(Table1[[#This Row],[Birthweight (grams)]]),ISNUMBER(Table1[[#This Row],[Gestation (days)]])),TRUE,FALSE)</f>
        <v>0</v>
      </c>
      <c r="E2498" s="2" t="str">
        <f>IF(Table1[[#This Row],[Is Data Valid]]=TRUE,IF(Table1[[#This Row],[Fetal Sex (Male, Female or Unknown)]]="Male",Backend!$C$6,IF(Table1[[#This Row],[Fetal Sex (Male, Female or Unknown)]]="Female",Backend!$C$7,IF(Table1[[#This Row],[Fetal Sex (Male, Female or Unknown)]]="Unknown",Backend!$C$8,"Error"))),"")</f>
        <v/>
      </c>
      <c r="F2498" s="8" t="str">
        <f>IF(Table1[[#This Row],[Is Data Valid]]=TRUE,EXP(0.578+0.332*((Table1[[#This Row],[Gestation (days)]]+0.5)/7)-0.00354*((Table1[[#This Row],[Gestation (days)]]+0.5)/7)^2)*Table1[[#This Row],[BW40_3705]],"")</f>
        <v/>
      </c>
      <c r="G2498" s="2" t="str">
        <f>IF(Table1[[#This Row],[Is Data Valid]]=TRUE,((Table1[[#This Row],[Birthweight (grams)]]/Table1[[#This Row],[BW_GA]])-1)/(Backend!$B$4/100*Table1[[#This Row],[BW40_3705]]),"")</f>
        <v/>
      </c>
      <c r="H2498" s="7" t="str">
        <f>IF(Table1[[#This Row],[Is Data Valid]]=TRUE,((Table1[[#This Row],[Birthweight (grams)]]*0.9/Table1[[#This Row],[BW_GA]])-1)/(Backend!$B$4/100*Table1[[#This Row],[BW40_3705]]),"")</f>
        <v/>
      </c>
      <c r="I2498" s="7" t="str">
        <f>IF(Table1[[#This Row],[Is Data Valid]]=TRUE,((Table1[[#This Row],[Birthweight (grams)]]*1.1/Table1[[#This Row],[BW_GA]])-1)/(Backend!$B$4/100*Table1[[#This Row],[BW40_3705]]),"")</f>
        <v/>
      </c>
      <c r="J2498" s="7" t="str">
        <f>IF(Table1[[#This Row],[Is Data Valid]]=TRUE,_xlfn.NORM.S.DIST(Table1[[#This Row],[Birthweight Z-Score]],TRUE)*100,"")</f>
        <v/>
      </c>
      <c r="K2498" s="7" t="str">
        <f>IF(Table1[[#This Row],[Is Data Valid]]=TRUE,_xlfn.NORM.S.DIST(Table1[[#This Row],[Birthweight Z-Score (BW-10%)]],TRUE)*100,"")</f>
        <v/>
      </c>
      <c r="L2498" s="7" t="str">
        <f>IF(Table1[[#This Row],[Is Data Valid]]=TRUE,_xlfn.NORM.S.DIST(Table1[[#This Row],[Birthweight Z-Score (BW+10%)]],TRUE)*100,"")</f>
        <v/>
      </c>
    </row>
    <row r="2499" spans="1:12" x14ac:dyDescent="0.35">
      <c r="A2499" s="3"/>
      <c r="B2499" s="2"/>
      <c r="C2499" s="2"/>
      <c r="D2499" s="2" t="b">
        <f>IF(AND(NOT(ISBLANK(Table1[[#This Row],[Fetal Sex (Male, Female or Unknown)]])),ISNUMBER(Table1[[#This Row],[Birthweight (grams)]]),ISNUMBER(Table1[[#This Row],[Gestation (days)]])),TRUE,FALSE)</f>
        <v>0</v>
      </c>
      <c r="E2499" s="2" t="str">
        <f>IF(Table1[[#This Row],[Is Data Valid]]=TRUE,IF(Table1[[#This Row],[Fetal Sex (Male, Female or Unknown)]]="Male",Backend!$C$6,IF(Table1[[#This Row],[Fetal Sex (Male, Female or Unknown)]]="Female",Backend!$C$7,IF(Table1[[#This Row],[Fetal Sex (Male, Female or Unknown)]]="Unknown",Backend!$C$8,"Error"))),"")</f>
        <v/>
      </c>
      <c r="F2499" s="8" t="str">
        <f>IF(Table1[[#This Row],[Is Data Valid]]=TRUE,EXP(0.578+0.332*((Table1[[#This Row],[Gestation (days)]]+0.5)/7)-0.00354*((Table1[[#This Row],[Gestation (days)]]+0.5)/7)^2)*Table1[[#This Row],[BW40_3705]],"")</f>
        <v/>
      </c>
      <c r="G2499" s="2" t="str">
        <f>IF(Table1[[#This Row],[Is Data Valid]]=TRUE,((Table1[[#This Row],[Birthweight (grams)]]/Table1[[#This Row],[BW_GA]])-1)/(Backend!$B$4/100*Table1[[#This Row],[BW40_3705]]),"")</f>
        <v/>
      </c>
      <c r="H2499" s="7" t="str">
        <f>IF(Table1[[#This Row],[Is Data Valid]]=TRUE,((Table1[[#This Row],[Birthweight (grams)]]*0.9/Table1[[#This Row],[BW_GA]])-1)/(Backend!$B$4/100*Table1[[#This Row],[BW40_3705]]),"")</f>
        <v/>
      </c>
      <c r="I2499" s="7" t="str">
        <f>IF(Table1[[#This Row],[Is Data Valid]]=TRUE,((Table1[[#This Row],[Birthweight (grams)]]*1.1/Table1[[#This Row],[BW_GA]])-1)/(Backend!$B$4/100*Table1[[#This Row],[BW40_3705]]),"")</f>
        <v/>
      </c>
      <c r="J2499" s="7" t="str">
        <f>IF(Table1[[#This Row],[Is Data Valid]]=TRUE,_xlfn.NORM.S.DIST(Table1[[#This Row],[Birthweight Z-Score]],TRUE)*100,"")</f>
        <v/>
      </c>
      <c r="K2499" s="7" t="str">
        <f>IF(Table1[[#This Row],[Is Data Valid]]=TRUE,_xlfn.NORM.S.DIST(Table1[[#This Row],[Birthweight Z-Score (BW-10%)]],TRUE)*100,"")</f>
        <v/>
      </c>
      <c r="L2499" s="7" t="str">
        <f>IF(Table1[[#This Row],[Is Data Valid]]=TRUE,_xlfn.NORM.S.DIST(Table1[[#This Row],[Birthweight Z-Score (BW+10%)]],TRUE)*100,"")</f>
        <v/>
      </c>
    </row>
    <row r="2500" spans="1:12" x14ac:dyDescent="0.35">
      <c r="A2500" s="3"/>
      <c r="B2500" s="2"/>
      <c r="C2500" s="2"/>
      <c r="D2500" s="2" t="b">
        <f>IF(AND(NOT(ISBLANK(Table1[[#This Row],[Fetal Sex (Male, Female or Unknown)]])),ISNUMBER(Table1[[#This Row],[Birthweight (grams)]]),ISNUMBER(Table1[[#This Row],[Gestation (days)]])),TRUE,FALSE)</f>
        <v>0</v>
      </c>
      <c r="E2500" s="2" t="str">
        <f>IF(Table1[[#This Row],[Is Data Valid]]=TRUE,IF(Table1[[#This Row],[Fetal Sex (Male, Female or Unknown)]]="Male",Backend!$C$6,IF(Table1[[#This Row],[Fetal Sex (Male, Female or Unknown)]]="Female",Backend!$C$7,IF(Table1[[#This Row],[Fetal Sex (Male, Female or Unknown)]]="Unknown",Backend!$C$8,"Error"))),"")</f>
        <v/>
      </c>
      <c r="F2500" s="8" t="str">
        <f>IF(Table1[[#This Row],[Is Data Valid]]=TRUE,EXP(0.578+0.332*((Table1[[#This Row],[Gestation (days)]]+0.5)/7)-0.00354*((Table1[[#This Row],[Gestation (days)]]+0.5)/7)^2)*Table1[[#This Row],[BW40_3705]],"")</f>
        <v/>
      </c>
      <c r="G2500" s="2" t="str">
        <f>IF(Table1[[#This Row],[Is Data Valid]]=TRUE,((Table1[[#This Row],[Birthweight (grams)]]/Table1[[#This Row],[BW_GA]])-1)/(Backend!$B$4/100*Table1[[#This Row],[BW40_3705]]),"")</f>
        <v/>
      </c>
      <c r="H2500" s="7" t="str">
        <f>IF(Table1[[#This Row],[Is Data Valid]]=TRUE,((Table1[[#This Row],[Birthweight (grams)]]*0.9/Table1[[#This Row],[BW_GA]])-1)/(Backend!$B$4/100*Table1[[#This Row],[BW40_3705]]),"")</f>
        <v/>
      </c>
      <c r="I2500" s="7" t="str">
        <f>IF(Table1[[#This Row],[Is Data Valid]]=TRUE,((Table1[[#This Row],[Birthweight (grams)]]*1.1/Table1[[#This Row],[BW_GA]])-1)/(Backend!$B$4/100*Table1[[#This Row],[BW40_3705]]),"")</f>
        <v/>
      </c>
      <c r="J2500" s="7" t="str">
        <f>IF(Table1[[#This Row],[Is Data Valid]]=TRUE,_xlfn.NORM.S.DIST(Table1[[#This Row],[Birthweight Z-Score]],TRUE)*100,"")</f>
        <v/>
      </c>
      <c r="K2500" s="7" t="str">
        <f>IF(Table1[[#This Row],[Is Data Valid]]=TRUE,_xlfn.NORM.S.DIST(Table1[[#This Row],[Birthweight Z-Score (BW-10%)]],TRUE)*100,"")</f>
        <v/>
      </c>
      <c r="L2500" s="7" t="str">
        <f>IF(Table1[[#This Row],[Is Data Valid]]=TRUE,_xlfn.NORM.S.DIST(Table1[[#This Row],[Birthweight Z-Score (BW+10%)]],TRUE)*100,"")</f>
        <v/>
      </c>
    </row>
    <row r="2501" spans="1:12" x14ac:dyDescent="0.35">
      <c r="A2501" s="3"/>
      <c r="B2501" s="2"/>
      <c r="C2501" s="2"/>
      <c r="D2501" s="2" t="b">
        <f>IF(AND(NOT(ISBLANK(Table1[[#This Row],[Fetal Sex (Male, Female or Unknown)]])),ISNUMBER(Table1[[#This Row],[Birthweight (grams)]]),ISNUMBER(Table1[[#This Row],[Gestation (days)]])),TRUE,FALSE)</f>
        <v>0</v>
      </c>
      <c r="E2501" s="2" t="str">
        <f>IF(Table1[[#This Row],[Is Data Valid]]=TRUE,IF(Table1[[#This Row],[Fetal Sex (Male, Female or Unknown)]]="Male",Backend!$C$6,IF(Table1[[#This Row],[Fetal Sex (Male, Female or Unknown)]]="Female",Backend!$C$7,IF(Table1[[#This Row],[Fetal Sex (Male, Female or Unknown)]]="Unknown",Backend!$C$8,"Error"))),"")</f>
        <v/>
      </c>
      <c r="F2501" s="8" t="str">
        <f>IF(Table1[[#This Row],[Is Data Valid]]=TRUE,EXP(0.578+0.332*((Table1[[#This Row],[Gestation (days)]]+0.5)/7)-0.00354*((Table1[[#This Row],[Gestation (days)]]+0.5)/7)^2)*Table1[[#This Row],[BW40_3705]],"")</f>
        <v/>
      </c>
      <c r="G2501" s="2" t="str">
        <f>IF(Table1[[#This Row],[Is Data Valid]]=TRUE,((Table1[[#This Row],[Birthweight (grams)]]/Table1[[#This Row],[BW_GA]])-1)/(Backend!$B$4/100*Table1[[#This Row],[BW40_3705]]),"")</f>
        <v/>
      </c>
      <c r="H2501" s="7" t="str">
        <f>IF(Table1[[#This Row],[Is Data Valid]]=TRUE,((Table1[[#This Row],[Birthweight (grams)]]*0.9/Table1[[#This Row],[BW_GA]])-1)/(Backend!$B$4/100*Table1[[#This Row],[BW40_3705]]),"")</f>
        <v/>
      </c>
      <c r="I2501" s="7" t="str">
        <f>IF(Table1[[#This Row],[Is Data Valid]]=TRUE,((Table1[[#This Row],[Birthweight (grams)]]*1.1/Table1[[#This Row],[BW_GA]])-1)/(Backend!$B$4/100*Table1[[#This Row],[BW40_3705]]),"")</f>
        <v/>
      </c>
      <c r="J2501" s="7" t="str">
        <f>IF(Table1[[#This Row],[Is Data Valid]]=TRUE,_xlfn.NORM.S.DIST(Table1[[#This Row],[Birthweight Z-Score]],TRUE)*100,"")</f>
        <v/>
      </c>
      <c r="K2501" s="7" t="str">
        <f>IF(Table1[[#This Row],[Is Data Valid]]=TRUE,_xlfn.NORM.S.DIST(Table1[[#This Row],[Birthweight Z-Score (BW-10%)]],TRUE)*100,"")</f>
        <v/>
      </c>
      <c r="L2501" s="7" t="str">
        <f>IF(Table1[[#This Row],[Is Data Valid]]=TRUE,_xlfn.NORM.S.DIST(Table1[[#This Row],[Birthweight Z-Score (BW+10%)]],TRUE)*100,"")</f>
        <v/>
      </c>
    </row>
    <row r="2502" spans="1:12" x14ac:dyDescent="0.35">
      <c r="A2502" s="3"/>
      <c r="B2502" s="2"/>
      <c r="C2502" s="2"/>
      <c r="D2502" s="2" t="b">
        <f>IF(AND(NOT(ISBLANK(Table1[[#This Row],[Fetal Sex (Male, Female or Unknown)]])),ISNUMBER(Table1[[#This Row],[Birthweight (grams)]]),ISNUMBER(Table1[[#This Row],[Gestation (days)]])),TRUE,FALSE)</f>
        <v>0</v>
      </c>
      <c r="E2502" s="2" t="str">
        <f>IF(Table1[[#This Row],[Is Data Valid]]=TRUE,IF(Table1[[#This Row],[Fetal Sex (Male, Female or Unknown)]]="Male",Backend!$C$6,IF(Table1[[#This Row],[Fetal Sex (Male, Female or Unknown)]]="Female",Backend!$C$7,IF(Table1[[#This Row],[Fetal Sex (Male, Female or Unknown)]]="Unknown",Backend!$C$8,"Error"))),"")</f>
        <v/>
      </c>
      <c r="F2502" s="8" t="str">
        <f>IF(Table1[[#This Row],[Is Data Valid]]=TRUE,EXP(0.578+0.332*((Table1[[#This Row],[Gestation (days)]]+0.5)/7)-0.00354*((Table1[[#This Row],[Gestation (days)]]+0.5)/7)^2)*Table1[[#This Row],[BW40_3705]],"")</f>
        <v/>
      </c>
      <c r="G2502" s="2" t="str">
        <f>IF(Table1[[#This Row],[Is Data Valid]]=TRUE,((Table1[[#This Row],[Birthweight (grams)]]/Table1[[#This Row],[BW_GA]])-1)/(Backend!$B$4/100*Table1[[#This Row],[BW40_3705]]),"")</f>
        <v/>
      </c>
      <c r="H2502" s="7" t="str">
        <f>IF(Table1[[#This Row],[Is Data Valid]]=TRUE,((Table1[[#This Row],[Birthweight (grams)]]*0.9/Table1[[#This Row],[BW_GA]])-1)/(Backend!$B$4/100*Table1[[#This Row],[BW40_3705]]),"")</f>
        <v/>
      </c>
      <c r="I2502" s="7" t="str">
        <f>IF(Table1[[#This Row],[Is Data Valid]]=TRUE,((Table1[[#This Row],[Birthweight (grams)]]*1.1/Table1[[#This Row],[BW_GA]])-1)/(Backend!$B$4/100*Table1[[#This Row],[BW40_3705]]),"")</f>
        <v/>
      </c>
      <c r="J2502" s="7" t="str">
        <f>IF(Table1[[#This Row],[Is Data Valid]]=TRUE,_xlfn.NORM.S.DIST(Table1[[#This Row],[Birthweight Z-Score]],TRUE)*100,"")</f>
        <v/>
      </c>
      <c r="K2502" s="7" t="str">
        <f>IF(Table1[[#This Row],[Is Data Valid]]=TRUE,_xlfn.NORM.S.DIST(Table1[[#This Row],[Birthweight Z-Score (BW-10%)]],TRUE)*100,"")</f>
        <v/>
      </c>
      <c r="L2502" s="7" t="str">
        <f>IF(Table1[[#This Row],[Is Data Valid]]=TRUE,_xlfn.NORM.S.DIST(Table1[[#This Row],[Birthweight Z-Score (BW+10%)]],TRUE)*100,"")</f>
        <v/>
      </c>
    </row>
    <row r="2503" spans="1:12" x14ac:dyDescent="0.35">
      <c r="A2503" s="3"/>
      <c r="B2503" s="2"/>
      <c r="C2503" s="2"/>
      <c r="D2503" s="2" t="b">
        <f>IF(AND(NOT(ISBLANK(Table1[[#This Row],[Fetal Sex (Male, Female or Unknown)]])),ISNUMBER(Table1[[#This Row],[Birthweight (grams)]]),ISNUMBER(Table1[[#This Row],[Gestation (days)]])),TRUE,FALSE)</f>
        <v>0</v>
      </c>
      <c r="E2503" s="2" t="str">
        <f>IF(Table1[[#This Row],[Is Data Valid]]=TRUE,IF(Table1[[#This Row],[Fetal Sex (Male, Female or Unknown)]]="Male",Backend!$C$6,IF(Table1[[#This Row],[Fetal Sex (Male, Female or Unknown)]]="Female",Backend!$C$7,IF(Table1[[#This Row],[Fetal Sex (Male, Female or Unknown)]]="Unknown",Backend!$C$8,"Error"))),"")</f>
        <v/>
      </c>
      <c r="F2503" s="8" t="str">
        <f>IF(Table1[[#This Row],[Is Data Valid]]=TRUE,EXP(0.578+0.332*((Table1[[#This Row],[Gestation (days)]]+0.5)/7)-0.00354*((Table1[[#This Row],[Gestation (days)]]+0.5)/7)^2)*Table1[[#This Row],[BW40_3705]],"")</f>
        <v/>
      </c>
      <c r="G2503" s="2" t="str">
        <f>IF(Table1[[#This Row],[Is Data Valid]]=TRUE,((Table1[[#This Row],[Birthweight (grams)]]/Table1[[#This Row],[BW_GA]])-1)/(Backend!$B$4/100*Table1[[#This Row],[BW40_3705]]),"")</f>
        <v/>
      </c>
      <c r="H2503" s="7" t="str">
        <f>IF(Table1[[#This Row],[Is Data Valid]]=TRUE,((Table1[[#This Row],[Birthweight (grams)]]*0.9/Table1[[#This Row],[BW_GA]])-1)/(Backend!$B$4/100*Table1[[#This Row],[BW40_3705]]),"")</f>
        <v/>
      </c>
      <c r="I2503" s="7" t="str">
        <f>IF(Table1[[#This Row],[Is Data Valid]]=TRUE,((Table1[[#This Row],[Birthweight (grams)]]*1.1/Table1[[#This Row],[BW_GA]])-1)/(Backend!$B$4/100*Table1[[#This Row],[BW40_3705]]),"")</f>
        <v/>
      </c>
      <c r="J2503" s="7" t="str">
        <f>IF(Table1[[#This Row],[Is Data Valid]]=TRUE,_xlfn.NORM.S.DIST(Table1[[#This Row],[Birthweight Z-Score]],TRUE)*100,"")</f>
        <v/>
      </c>
      <c r="K2503" s="7" t="str">
        <f>IF(Table1[[#This Row],[Is Data Valid]]=TRUE,_xlfn.NORM.S.DIST(Table1[[#This Row],[Birthweight Z-Score (BW-10%)]],TRUE)*100,"")</f>
        <v/>
      </c>
      <c r="L2503" s="7" t="str">
        <f>IF(Table1[[#This Row],[Is Data Valid]]=TRUE,_xlfn.NORM.S.DIST(Table1[[#This Row],[Birthweight Z-Score (BW+10%)]],TRUE)*100,"")</f>
        <v/>
      </c>
    </row>
    <row r="2504" spans="1:12" x14ac:dyDescent="0.35">
      <c r="A2504" s="3"/>
      <c r="B2504" s="2"/>
      <c r="C2504" s="2"/>
      <c r="D2504" s="2" t="b">
        <f>IF(AND(NOT(ISBLANK(Table1[[#This Row],[Fetal Sex (Male, Female or Unknown)]])),ISNUMBER(Table1[[#This Row],[Birthweight (grams)]]),ISNUMBER(Table1[[#This Row],[Gestation (days)]])),TRUE,FALSE)</f>
        <v>0</v>
      </c>
      <c r="E2504" s="2" t="str">
        <f>IF(Table1[[#This Row],[Is Data Valid]]=TRUE,IF(Table1[[#This Row],[Fetal Sex (Male, Female or Unknown)]]="Male",Backend!$C$6,IF(Table1[[#This Row],[Fetal Sex (Male, Female or Unknown)]]="Female",Backend!$C$7,IF(Table1[[#This Row],[Fetal Sex (Male, Female or Unknown)]]="Unknown",Backend!$C$8,"Error"))),"")</f>
        <v/>
      </c>
      <c r="F2504" s="8" t="str">
        <f>IF(Table1[[#This Row],[Is Data Valid]]=TRUE,EXP(0.578+0.332*((Table1[[#This Row],[Gestation (days)]]+0.5)/7)-0.00354*((Table1[[#This Row],[Gestation (days)]]+0.5)/7)^2)*Table1[[#This Row],[BW40_3705]],"")</f>
        <v/>
      </c>
      <c r="G2504" s="2" t="str">
        <f>IF(Table1[[#This Row],[Is Data Valid]]=TRUE,((Table1[[#This Row],[Birthweight (grams)]]/Table1[[#This Row],[BW_GA]])-1)/(Backend!$B$4/100*Table1[[#This Row],[BW40_3705]]),"")</f>
        <v/>
      </c>
      <c r="H2504" s="7" t="str">
        <f>IF(Table1[[#This Row],[Is Data Valid]]=TRUE,((Table1[[#This Row],[Birthweight (grams)]]*0.9/Table1[[#This Row],[BW_GA]])-1)/(Backend!$B$4/100*Table1[[#This Row],[BW40_3705]]),"")</f>
        <v/>
      </c>
      <c r="I2504" s="7" t="str">
        <f>IF(Table1[[#This Row],[Is Data Valid]]=TRUE,((Table1[[#This Row],[Birthweight (grams)]]*1.1/Table1[[#This Row],[BW_GA]])-1)/(Backend!$B$4/100*Table1[[#This Row],[BW40_3705]]),"")</f>
        <v/>
      </c>
      <c r="J2504" s="7" t="str">
        <f>IF(Table1[[#This Row],[Is Data Valid]]=TRUE,_xlfn.NORM.S.DIST(Table1[[#This Row],[Birthweight Z-Score]],TRUE)*100,"")</f>
        <v/>
      </c>
      <c r="K2504" s="7" t="str">
        <f>IF(Table1[[#This Row],[Is Data Valid]]=TRUE,_xlfn.NORM.S.DIST(Table1[[#This Row],[Birthweight Z-Score (BW-10%)]],TRUE)*100,"")</f>
        <v/>
      </c>
      <c r="L2504" s="7" t="str">
        <f>IF(Table1[[#This Row],[Is Data Valid]]=TRUE,_xlfn.NORM.S.DIST(Table1[[#This Row],[Birthweight Z-Score (BW+10%)]],TRUE)*100,"")</f>
        <v/>
      </c>
    </row>
    <row r="2505" spans="1:12" x14ac:dyDescent="0.35">
      <c r="A2505" s="3"/>
      <c r="B2505" s="2"/>
      <c r="C2505" s="2"/>
      <c r="D2505" s="2" t="b">
        <f>IF(AND(NOT(ISBLANK(Table1[[#This Row],[Fetal Sex (Male, Female or Unknown)]])),ISNUMBER(Table1[[#This Row],[Birthweight (grams)]]),ISNUMBER(Table1[[#This Row],[Gestation (days)]])),TRUE,FALSE)</f>
        <v>0</v>
      </c>
      <c r="E2505" s="2" t="str">
        <f>IF(Table1[[#This Row],[Is Data Valid]]=TRUE,IF(Table1[[#This Row],[Fetal Sex (Male, Female or Unknown)]]="Male",Backend!$C$6,IF(Table1[[#This Row],[Fetal Sex (Male, Female or Unknown)]]="Female",Backend!$C$7,IF(Table1[[#This Row],[Fetal Sex (Male, Female or Unknown)]]="Unknown",Backend!$C$8,"Error"))),"")</f>
        <v/>
      </c>
      <c r="F2505" s="8" t="str">
        <f>IF(Table1[[#This Row],[Is Data Valid]]=TRUE,EXP(0.578+0.332*((Table1[[#This Row],[Gestation (days)]]+0.5)/7)-0.00354*((Table1[[#This Row],[Gestation (days)]]+0.5)/7)^2)*Table1[[#This Row],[BW40_3705]],"")</f>
        <v/>
      </c>
      <c r="G2505" s="2" t="str">
        <f>IF(Table1[[#This Row],[Is Data Valid]]=TRUE,((Table1[[#This Row],[Birthweight (grams)]]/Table1[[#This Row],[BW_GA]])-1)/(Backend!$B$4/100*Table1[[#This Row],[BW40_3705]]),"")</f>
        <v/>
      </c>
      <c r="H2505" s="7" t="str">
        <f>IF(Table1[[#This Row],[Is Data Valid]]=TRUE,((Table1[[#This Row],[Birthweight (grams)]]*0.9/Table1[[#This Row],[BW_GA]])-1)/(Backend!$B$4/100*Table1[[#This Row],[BW40_3705]]),"")</f>
        <v/>
      </c>
      <c r="I2505" s="7" t="str">
        <f>IF(Table1[[#This Row],[Is Data Valid]]=TRUE,((Table1[[#This Row],[Birthweight (grams)]]*1.1/Table1[[#This Row],[BW_GA]])-1)/(Backend!$B$4/100*Table1[[#This Row],[BW40_3705]]),"")</f>
        <v/>
      </c>
      <c r="J2505" s="7" t="str">
        <f>IF(Table1[[#This Row],[Is Data Valid]]=TRUE,_xlfn.NORM.S.DIST(Table1[[#This Row],[Birthweight Z-Score]],TRUE)*100,"")</f>
        <v/>
      </c>
      <c r="K2505" s="7" t="str">
        <f>IF(Table1[[#This Row],[Is Data Valid]]=TRUE,_xlfn.NORM.S.DIST(Table1[[#This Row],[Birthweight Z-Score (BW-10%)]],TRUE)*100,"")</f>
        <v/>
      </c>
      <c r="L2505" s="7" t="str">
        <f>IF(Table1[[#This Row],[Is Data Valid]]=TRUE,_xlfn.NORM.S.DIST(Table1[[#This Row],[Birthweight Z-Score (BW+10%)]],TRUE)*100,"")</f>
        <v/>
      </c>
    </row>
    <row r="2506" spans="1:12" x14ac:dyDescent="0.35">
      <c r="A2506" s="3"/>
      <c r="B2506" s="2"/>
      <c r="C2506" s="2"/>
      <c r="D2506" s="2" t="b">
        <f>IF(AND(NOT(ISBLANK(Table1[[#This Row],[Fetal Sex (Male, Female or Unknown)]])),ISNUMBER(Table1[[#This Row],[Birthweight (grams)]]),ISNUMBER(Table1[[#This Row],[Gestation (days)]])),TRUE,FALSE)</f>
        <v>0</v>
      </c>
      <c r="E2506" s="2" t="str">
        <f>IF(Table1[[#This Row],[Is Data Valid]]=TRUE,IF(Table1[[#This Row],[Fetal Sex (Male, Female or Unknown)]]="Male",Backend!$C$6,IF(Table1[[#This Row],[Fetal Sex (Male, Female or Unknown)]]="Female",Backend!$C$7,IF(Table1[[#This Row],[Fetal Sex (Male, Female or Unknown)]]="Unknown",Backend!$C$8,"Error"))),"")</f>
        <v/>
      </c>
      <c r="F2506" s="8" t="str">
        <f>IF(Table1[[#This Row],[Is Data Valid]]=TRUE,EXP(0.578+0.332*((Table1[[#This Row],[Gestation (days)]]+0.5)/7)-0.00354*((Table1[[#This Row],[Gestation (days)]]+0.5)/7)^2)*Table1[[#This Row],[BW40_3705]],"")</f>
        <v/>
      </c>
      <c r="G2506" s="2" t="str">
        <f>IF(Table1[[#This Row],[Is Data Valid]]=TRUE,((Table1[[#This Row],[Birthweight (grams)]]/Table1[[#This Row],[BW_GA]])-1)/(Backend!$B$4/100*Table1[[#This Row],[BW40_3705]]),"")</f>
        <v/>
      </c>
      <c r="H2506" s="7" t="str">
        <f>IF(Table1[[#This Row],[Is Data Valid]]=TRUE,((Table1[[#This Row],[Birthweight (grams)]]*0.9/Table1[[#This Row],[BW_GA]])-1)/(Backend!$B$4/100*Table1[[#This Row],[BW40_3705]]),"")</f>
        <v/>
      </c>
      <c r="I2506" s="7" t="str">
        <f>IF(Table1[[#This Row],[Is Data Valid]]=TRUE,((Table1[[#This Row],[Birthweight (grams)]]*1.1/Table1[[#This Row],[BW_GA]])-1)/(Backend!$B$4/100*Table1[[#This Row],[BW40_3705]]),"")</f>
        <v/>
      </c>
      <c r="J2506" s="7" t="str">
        <f>IF(Table1[[#This Row],[Is Data Valid]]=TRUE,_xlfn.NORM.S.DIST(Table1[[#This Row],[Birthweight Z-Score]],TRUE)*100,"")</f>
        <v/>
      </c>
      <c r="K2506" s="7" t="str">
        <f>IF(Table1[[#This Row],[Is Data Valid]]=TRUE,_xlfn.NORM.S.DIST(Table1[[#This Row],[Birthweight Z-Score (BW-10%)]],TRUE)*100,"")</f>
        <v/>
      </c>
      <c r="L2506" s="7" t="str">
        <f>IF(Table1[[#This Row],[Is Data Valid]]=TRUE,_xlfn.NORM.S.DIST(Table1[[#This Row],[Birthweight Z-Score (BW+10%)]],TRUE)*100,"")</f>
        <v/>
      </c>
    </row>
    <row r="2507" spans="1:12" x14ac:dyDescent="0.35">
      <c r="A2507" s="3"/>
      <c r="B2507" s="2"/>
      <c r="C2507" s="2"/>
      <c r="D2507" s="2" t="b">
        <f>IF(AND(NOT(ISBLANK(Table1[[#This Row],[Fetal Sex (Male, Female or Unknown)]])),ISNUMBER(Table1[[#This Row],[Birthweight (grams)]]),ISNUMBER(Table1[[#This Row],[Gestation (days)]])),TRUE,FALSE)</f>
        <v>0</v>
      </c>
      <c r="E2507" s="2" t="str">
        <f>IF(Table1[[#This Row],[Is Data Valid]]=TRUE,IF(Table1[[#This Row],[Fetal Sex (Male, Female or Unknown)]]="Male",Backend!$C$6,IF(Table1[[#This Row],[Fetal Sex (Male, Female or Unknown)]]="Female",Backend!$C$7,IF(Table1[[#This Row],[Fetal Sex (Male, Female or Unknown)]]="Unknown",Backend!$C$8,"Error"))),"")</f>
        <v/>
      </c>
      <c r="F2507" s="8" t="str">
        <f>IF(Table1[[#This Row],[Is Data Valid]]=TRUE,EXP(0.578+0.332*((Table1[[#This Row],[Gestation (days)]]+0.5)/7)-0.00354*((Table1[[#This Row],[Gestation (days)]]+0.5)/7)^2)*Table1[[#This Row],[BW40_3705]],"")</f>
        <v/>
      </c>
      <c r="G2507" s="2" t="str">
        <f>IF(Table1[[#This Row],[Is Data Valid]]=TRUE,((Table1[[#This Row],[Birthweight (grams)]]/Table1[[#This Row],[BW_GA]])-1)/(Backend!$B$4/100*Table1[[#This Row],[BW40_3705]]),"")</f>
        <v/>
      </c>
      <c r="H2507" s="7" t="str">
        <f>IF(Table1[[#This Row],[Is Data Valid]]=TRUE,((Table1[[#This Row],[Birthweight (grams)]]*0.9/Table1[[#This Row],[BW_GA]])-1)/(Backend!$B$4/100*Table1[[#This Row],[BW40_3705]]),"")</f>
        <v/>
      </c>
      <c r="I2507" s="7" t="str">
        <f>IF(Table1[[#This Row],[Is Data Valid]]=TRUE,((Table1[[#This Row],[Birthweight (grams)]]*1.1/Table1[[#This Row],[BW_GA]])-1)/(Backend!$B$4/100*Table1[[#This Row],[BW40_3705]]),"")</f>
        <v/>
      </c>
      <c r="J2507" s="7" t="str">
        <f>IF(Table1[[#This Row],[Is Data Valid]]=TRUE,_xlfn.NORM.S.DIST(Table1[[#This Row],[Birthweight Z-Score]],TRUE)*100,"")</f>
        <v/>
      </c>
      <c r="K2507" s="7" t="str">
        <f>IF(Table1[[#This Row],[Is Data Valid]]=TRUE,_xlfn.NORM.S.DIST(Table1[[#This Row],[Birthweight Z-Score (BW-10%)]],TRUE)*100,"")</f>
        <v/>
      </c>
      <c r="L2507" s="7" t="str">
        <f>IF(Table1[[#This Row],[Is Data Valid]]=TRUE,_xlfn.NORM.S.DIST(Table1[[#This Row],[Birthweight Z-Score (BW+10%)]],TRUE)*100,"")</f>
        <v/>
      </c>
    </row>
    <row r="2508" spans="1:12" x14ac:dyDescent="0.35">
      <c r="A2508" s="3"/>
      <c r="B2508" s="2"/>
      <c r="C2508" s="2"/>
      <c r="D2508" s="2" t="b">
        <f>IF(AND(NOT(ISBLANK(Table1[[#This Row],[Fetal Sex (Male, Female or Unknown)]])),ISNUMBER(Table1[[#This Row],[Birthweight (grams)]]),ISNUMBER(Table1[[#This Row],[Gestation (days)]])),TRUE,FALSE)</f>
        <v>0</v>
      </c>
      <c r="E2508" s="2" t="str">
        <f>IF(Table1[[#This Row],[Is Data Valid]]=TRUE,IF(Table1[[#This Row],[Fetal Sex (Male, Female or Unknown)]]="Male",Backend!$C$6,IF(Table1[[#This Row],[Fetal Sex (Male, Female or Unknown)]]="Female",Backend!$C$7,IF(Table1[[#This Row],[Fetal Sex (Male, Female or Unknown)]]="Unknown",Backend!$C$8,"Error"))),"")</f>
        <v/>
      </c>
      <c r="F2508" s="8" t="str">
        <f>IF(Table1[[#This Row],[Is Data Valid]]=TRUE,EXP(0.578+0.332*((Table1[[#This Row],[Gestation (days)]]+0.5)/7)-0.00354*((Table1[[#This Row],[Gestation (days)]]+0.5)/7)^2)*Table1[[#This Row],[BW40_3705]],"")</f>
        <v/>
      </c>
      <c r="G2508" s="2" t="str">
        <f>IF(Table1[[#This Row],[Is Data Valid]]=TRUE,((Table1[[#This Row],[Birthweight (grams)]]/Table1[[#This Row],[BW_GA]])-1)/(Backend!$B$4/100*Table1[[#This Row],[BW40_3705]]),"")</f>
        <v/>
      </c>
      <c r="H2508" s="7" t="str">
        <f>IF(Table1[[#This Row],[Is Data Valid]]=TRUE,((Table1[[#This Row],[Birthweight (grams)]]*0.9/Table1[[#This Row],[BW_GA]])-1)/(Backend!$B$4/100*Table1[[#This Row],[BW40_3705]]),"")</f>
        <v/>
      </c>
      <c r="I2508" s="7" t="str">
        <f>IF(Table1[[#This Row],[Is Data Valid]]=TRUE,((Table1[[#This Row],[Birthweight (grams)]]*1.1/Table1[[#This Row],[BW_GA]])-1)/(Backend!$B$4/100*Table1[[#This Row],[BW40_3705]]),"")</f>
        <v/>
      </c>
      <c r="J2508" s="7" t="str">
        <f>IF(Table1[[#This Row],[Is Data Valid]]=TRUE,_xlfn.NORM.S.DIST(Table1[[#This Row],[Birthweight Z-Score]],TRUE)*100,"")</f>
        <v/>
      </c>
      <c r="K2508" s="7" t="str">
        <f>IF(Table1[[#This Row],[Is Data Valid]]=TRUE,_xlfn.NORM.S.DIST(Table1[[#This Row],[Birthweight Z-Score (BW-10%)]],TRUE)*100,"")</f>
        <v/>
      </c>
      <c r="L2508" s="7" t="str">
        <f>IF(Table1[[#This Row],[Is Data Valid]]=TRUE,_xlfn.NORM.S.DIST(Table1[[#This Row],[Birthweight Z-Score (BW+10%)]],TRUE)*100,"")</f>
        <v/>
      </c>
    </row>
    <row r="2509" spans="1:12" x14ac:dyDescent="0.35">
      <c r="A2509" s="3"/>
      <c r="B2509" s="2"/>
      <c r="C2509" s="2"/>
      <c r="D2509" s="2" t="b">
        <f>IF(AND(NOT(ISBLANK(Table1[[#This Row],[Fetal Sex (Male, Female or Unknown)]])),ISNUMBER(Table1[[#This Row],[Birthweight (grams)]]),ISNUMBER(Table1[[#This Row],[Gestation (days)]])),TRUE,FALSE)</f>
        <v>0</v>
      </c>
      <c r="E2509" s="2" t="str">
        <f>IF(Table1[[#This Row],[Is Data Valid]]=TRUE,IF(Table1[[#This Row],[Fetal Sex (Male, Female or Unknown)]]="Male",Backend!$C$6,IF(Table1[[#This Row],[Fetal Sex (Male, Female or Unknown)]]="Female",Backend!$C$7,IF(Table1[[#This Row],[Fetal Sex (Male, Female or Unknown)]]="Unknown",Backend!$C$8,"Error"))),"")</f>
        <v/>
      </c>
      <c r="F2509" s="8" t="str">
        <f>IF(Table1[[#This Row],[Is Data Valid]]=TRUE,EXP(0.578+0.332*((Table1[[#This Row],[Gestation (days)]]+0.5)/7)-0.00354*((Table1[[#This Row],[Gestation (days)]]+0.5)/7)^2)*Table1[[#This Row],[BW40_3705]],"")</f>
        <v/>
      </c>
      <c r="G2509" s="2" t="str">
        <f>IF(Table1[[#This Row],[Is Data Valid]]=TRUE,((Table1[[#This Row],[Birthweight (grams)]]/Table1[[#This Row],[BW_GA]])-1)/(Backend!$B$4/100*Table1[[#This Row],[BW40_3705]]),"")</f>
        <v/>
      </c>
      <c r="H2509" s="7" t="str">
        <f>IF(Table1[[#This Row],[Is Data Valid]]=TRUE,((Table1[[#This Row],[Birthweight (grams)]]*0.9/Table1[[#This Row],[BW_GA]])-1)/(Backend!$B$4/100*Table1[[#This Row],[BW40_3705]]),"")</f>
        <v/>
      </c>
      <c r="I2509" s="7" t="str">
        <f>IF(Table1[[#This Row],[Is Data Valid]]=TRUE,((Table1[[#This Row],[Birthweight (grams)]]*1.1/Table1[[#This Row],[BW_GA]])-1)/(Backend!$B$4/100*Table1[[#This Row],[BW40_3705]]),"")</f>
        <v/>
      </c>
      <c r="J2509" s="7" t="str">
        <f>IF(Table1[[#This Row],[Is Data Valid]]=TRUE,_xlfn.NORM.S.DIST(Table1[[#This Row],[Birthweight Z-Score]],TRUE)*100,"")</f>
        <v/>
      </c>
      <c r="K2509" s="7" t="str">
        <f>IF(Table1[[#This Row],[Is Data Valid]]=TRUE,_xlfn.NORM.S.DIST(Table1[[#This Row],[Birthweight Z-Score (BW-10%)]],TRUE)*100,"")</f>
        <v/>
      </c>
      <c r="L2509" s="7" t="str">
        <f>IF(Table1[[#This Row],[Is Data Valid]]=TRUE,_xlfn.NORM.S.DIST(Table1[[#This Row],[Birthweight Z-Score (BW+10%)]],TRUE)*100,"")</f>
        <v/>
      </c>
    </row>
    <row r="2510" spans="1:12" x14ac:dyDescent="0.35">
      <c r="A2510" s="3"/>
      <c r="B2510" s="2"/>
      <c r="C2510" s="2"/>
      <c r="D2510" s="2" t="b">
        <f>IF(AND(NOT(ISBLANK(Table1[[#This Row],[Fetal Sex (Male, Female or Unknown)]])),ISNUMBER(Table1[[#This Row],[Birthweight (grams)]]),ISNUMBER(Table1[[#This Row],[Gestation (days)]])),TRUE,FALSE)</f>
        <v>0</v>
      </c>
      <c r="E2510" s="2" t="str">
        <f>IF(Table1[[#This Row],[Is Data Valid]]=TRUE,IF(Table1[[#This Row],[Fetal Sex (Male, Female or Unknown)]]="Male",Backend!$C$6,IF(Table1[[#This Row],[Fetal Sex (Male, Female or Unknown)]]="Female",Backend!$C$7,IF(Table1[[#This Row],[Fetal Sex (Male, Female or Unknown)]]="Unknown",Backend!$C$8,"Error"))),"")</f>
        <v/>
      </c>
      <c r="F2510" s="8" t="str">
        <f>IF(Table1[[#This Row],[Is Data Valid]]=TRUE,EXP(0.578+0.332*((Table1[[#This Row],[Gestation (days)]]+0.5)/7)-0.00354*((Table1[[#This Row],[Gestation (days)]]+0.5)/7)^2)*Table1[[#This Row],[BW40_3705]],"")</f>
        <v/>
      </c>
      <c r="G2510" s="2" t="str">
        <f>IF(Table1[[#This Row],[Is Data Valid]]=TRUE,((Table1[[#This Row],[Birthweight (grams)]]/Table1[[#This Row],[BW_GA]])-1)/(Backend!$B$4/100*Table1[[#This Row],[BW40_3705]]),"")</f>
        <v/>
      </c>
      <c r="H2510" s="7" t="str">
        <f>IF(Table1[[#This Row],[Is Data Valid]]=TRUE,((Table1[[#This Row],[Birthweight (grams)]]*0.9/Table1[[#This Row],[BW_GA]])-1)/(Backend!$B$4/100*Table1[[#This Row],[BW40_3705]]),"")</f>
        <v/>
      </c>
      <c r="I2510" s="7" t="str">
        <f>IF(Table1[[#This Row],[Is Data Valid]]=TRUE,((Table1[[#This Row],[Birthweight (grams)]]*1.1/Table1[[#This Row],[BW_GA]])-1)/(Backend!$B$4/100*Table1[[#This Row],[BW40_3705]]),"")</f>
        <v/>
      </c>
      <c r="J2510" s="7" t="str">
        <f>IF(Table1[[#This Row],[Is Data Valid]]=TRUE,_xlfn.NORM.S.DIST(Table1[[#This Row],[Birthweight Z-Score]],TRUE)*100,"")</f>
        <v/>
      </c>
      <c r="K2510" s="7" t="str">
        <f>IF(Table1[[#This Row],[Is Data Valid]]=TRUE,_xlfn.NORM.S.DIST(Table1[[#This Row],[Birthweight Z-Score (BW-10%)]],TRUE)*100,"")</f>
        <v/>
      </c>
      <c r="L2510" s="7" t="str">
        <f>IF(Table1[[#This Row],[Is Data Valid]]=TRUE,_xlfn.NORM.S.DIST(Table1[[#This Row],[Birthweight Z-Score (BW+10%)]],TRUE)*100,"")</f>
        <v/>
      </c>
    </row>
    <row r="2511" spans="1:12" x14ac:dyDescent="0.35">
      <c r="A2511" s="3"/>
      <c r="B2511" s="2"/>
      <c r="C2511" s="2"/>
      <c r="D2511" s="2" t="b">
        <f>IF(AND(NOT(ISBLANK(Table1[[#This Row],[Fetal Sex (Male, Female or Unknown)]])),ISNUMBER(Table1[[#This Row],[Birthweight (grams)]]),ISNUMBER(Table1[[#This Row],[Gestation (days)]])),TRUE,FALSE)</f>
        <v>0</v>
      </c>
      <c r="E2511" s="2" t="str">
        <f>IF(Table1[[#This Row],[Is Data Valid]]=TRUE,IF(Table1[[#This Row],[Fetal Sex (Male, Female or Unknown)]]="Male",Backend!$C$6,IF(Table1[[#This Row],[Fetal Sex (Male, Female or Unknown)]]="Female",Backend!$C$7,IF(Table1[[#This Row],[Fetal Sex (Male, Female or Unknown)]]="Unknown",Backend!$C$8,"Error"))),"")</f>
        <v/>
      </c>
      <c r="F2511" s="8" t="str">
        <f>IF(Table1[[#This Row],[Is Data Valid]]=TRUE,EXP(0.578+0.332*((Table1[[#This Row],[Gestation (days)]]+0.5)/7)-0.00354*((Table1[[#This Row],[Gestation (days)]]+0.5)/7)^2)*Table1[[#This Row],[BW40_3705]],"")</f>
        <v/>
      </c>
      <c r="G2511" s="2" t="str">
        <f>IF(Table1[[#This Row],[Is Data Valid]]=TRUE,((Table1[[#This Row],[Birthweight (grams)]]/Table1[[#This Row],[BW_GA]])-1)/(Backend!$B$4/100*Table1[[#This Row],[BW40_3705]]),"")</f>
        <v/>
      </c>
      <c r="H2511" s="7" t="str">
        <f>IF(Table1[[#This Row],[Is Data Valid]]=TRUE,((Table1[[#This Row],[Birthweight (grams)]]*0.9/Table1[[#This Row],[BW_GA]])-1)/(Backend!$B$4/100*Table1[[#This Row],[BW40_3705]]),"")</f>
        <v/>
      </c>
      <c r="I2511" s="7" t="str">
        <f>IF(Table1[[#This Row],[Is Data Valid]]=TRUE,((Table1[[#This Row],[Birthweight (grams)]]*1.1/Table1[[#This Row],[BW_GA]])-1)/(Backend!$B$4/100*Table1[[#This Row],[BW40_3705]]),"")</f>
        <v/>
      </c>
      <c r="J2511" s="7" t="str">
        <f>IF(Table1[[#This Row],[Is Data Valid]]=TRUE,_xlfn.NORM.S.DIST(Table1[[#This Row],[Birthweight Z-Score]],TRUE)*100,"")</f>
        <v/>
      </c>
      <c r="K2511" s="7" t="str">
        <f>IF(Table1[[#This Row],[Is Data Valid]]=TRUE,_xlfn.NORM.S.DIST(Table1[[#This Row],[Birthweight Z-Score (BW-10%)]],TRUE)*100,"")</f>
        <v/>
      </c>
      <c r="L2511" s="7" t="str">
        <f>IF(Table1[[#This Row],[Is Data Valid]]=TRUE,_xlfn.NORM.S.DIST(Table1[[#This Row],[Birthweight Z-Score (BW+10%)]],TRUE)*100,"")</f>
        <v/>
      </c>
    </row>
    <row r="2512" spans="1:12" x14ac:dyDescent="0.35">
      <c r="A2512" s="3"/>
      <c r="B2512" s="2"/>
      <c r="C2512" s="2"/>
      <c r="D2512" s="2" t="b">
        <f>IF(AND(NOT(ISBLANK(Table1[[#This Row],[Fetal Sex (Male, Female or Unknown)]])),ISNUMBER(Table1[[#This Row],[Birthweight (grams)]]),ISNUMBER(Table1[[#This Row],[Gestation (days)]])),TRUE,FALSE)</f>
        <v>0</v>
      </c>
      <c r="E2512" s="2" t="str">
        <f>IF(Table1[[#This Row],[Is Data Valid]]=TRUE,IF(Table1[[#This Row],[Fetal Sex (Male, Female or Unknown)]]="Male",Backend!$C$6,IF(Table1[[#This Row],[Fetal Sex (Male, Female or Unknown)]]="Female",Backend!$C$7,IF(Table1[[#This Row],[Fetal Sex (Male, Female or Unknown)]]="Unknown",Backend!$C$8,"Error"))),"")</f>
        <v/>
      </c>
      <c r="F2512" s="8" t="str">
        <f>IF(Table1[[#This Row],[Is Data Valid]]=TRUE,EXP(0.578+0.332*((Table1[[#This Row],[Gestation (days)]]+0.5)/7)-0.00354*((Table1[[#This Row],[Gestation (days)]]+0.5)/7)^2)*Table1[[#This Row],[BW40_3705]],"")</f>
        <v/>
      </c>
      <c r="G2512" s="2" t="str">
        <f>IF(Table1[[#This Row],[Is Data Valid]]=TRUE,((Table1[[#This Row],[Birthweight (grams)]]/Table1[[#This Row],[BW_GA]])-1)/(Backend!$B$4/100*Table1[[#This Row],[BW40_3705]]),"")</f>
        <v/>
      </c>
      <c r="H2512" s="7" t="str">
        <f>IF(Table1[[#This Row],[Is Data Valid]]=TRUE,((Table1[[#This Row],[Birthweight (grams)]]*0.9/Table1[[#This Row],[BW_GA]])-1)/(Backend!$B$4/100*Table1[[#This Row],[BW40_3705]]),"")</f>
        <v/>
      </c>
      <c r="I2512" s="7" t="str">
        <f>IF(Table1[[#This Row],[Is Data Valid]]=TRUE,((Table1[[#This Row],[Birthweight (grams)]]*1.1/Table1[[#This Row],[BW_GA]])-1)/(Backend!$B$4/100*Table1[[#This Row],[BW40_3705]]),"")</f>
        <v/>
      </c>
      <c r="J2512" s="7" t="str">
        <f>IF(Table1[[#This Row],[Is Data Valid]]=TRUE,_xlfn.NORM.S.DIST(Table1[[#This Row],[Birthweight Z-Score]],TRUE)*100,"")</f>
        <v/>
      </c>
      <c r="K2512" s="7" t="str">
        <f>IF(Table1[[#This Row],[Is Data Valid]]=TRUE,_xlfn.NORM.S.DIST(Table1[[#This Row],[Birthweight Z-Score (BW-10%)]],TRUE)*100,"")</f>
        <v/>
      </c>
      <c r="L2512" s="7" t="str">
        <f>IF(Table1[[#This Row],[Is Data Valid]]=TRUE,_xlfn.NORM.S.DIST(Table1[[#This Row],[Birthweight Z-Score (BW+10%)]],TRUE)*100,"")</f>
        <v/>
      </c>
    </row>
    <row r="2513" spans="1:12" x14ac:dyDescent="0.35">
      <c r="A2513" s="3"/>
      <c r="B2513" s="2"/>
      <c r="C2513" s="2"/>
      <c r="D2513" s="2" t="b">
        <f>IF(AND(NOT(ISBLANK(Table1[[#This Row],[Fetal Sex (Male, Female or Unknown)]])),ISNUMBER(Table1[[#This Row],[Birthweight (grams)]]),ISNUMBER(Table1[[#This Row],[Gestation (days)]])),TRUE,FALSE)</f>
        <v>0</v>
      </c>
      <c r="E2513" s="2" t="str">
        <f>IF(Table1[[#This Row],[Is Data Valid]]=TRUE,IF(Table1[[#This Row],[Fetal Sex (Male, Female or Unknown)]]="Male",Backend!$C$6,IF(Table1[[#This Row],[Fetal Sex (Male, Female or Unknown)]]="Female",Backend!$C$7,IF(Table1[[#This Row],[Fetal Sex (Male, Female or Unknown)]]="Unknown",Backend!$C$8,"Error"))),"")</f>
        <v/>
      </c>
      <c r="F2513" s="8" t="str">
        <f>IF(Table1[[#This Row],[Is Data Valid]]=TRUE,EXP(0.578+0.332*((Table1[[#This Row],[Gestation (days)]]+0.5)/7)-0.00354*((Table1[[#This Row],[Gestation (days)]]+0.5)/7)^2)*Table1[[#This Row],[BW40_3705]],"")</f>
        <v/>
      </c>
      <c r="G2513" s="2" t="str">
        <f>IF(Table1[[#This Row],[Is Data Valid]]=TRUE,((Table1[[#This Row],[Birthweight (grams)]]/Table1[[#This Row],[BW_GA]])-1)/(Backend!$B$4/100*Table1[[#This Row],[BW40_3705]]),"")</f>
        <v/>
      </c>
      <c r="H2513" s="7" t="str">
        <f>IF(Table1[[#This Row],[Is Data Valid]]=TRUE,((Table1[[#This Row],[Birthweight (grams)]]*0.9/Table1[[#This Row],[BW_GA]])-1)/(Backend!$B$4/100*Table1[[#This Row],[BW40_3705]]),"")</f>
        <v/>
      </c>
      <c r="I2513" s="7" t="str">
        <f>IF(Table1[[#This Row],[Is Data Valid]]=TRUE,((Table1[[#This Row],[Birthweight (grams)]]*1.1/Table1[[#This Row],[BW_GA]])-1)/(Backend!$B$4/100*Table1[[#This Row],[BW40_3705]]),"")</f>
        <v/>
      </c>
      <c r="J2513" s="7" t="str">
        <f>IF(Table1[[#This Row],[Is Data Valid]]=TRUE,_xlfn.NORM.S.DIST(Table1[[#This Row],[Birthweight Z-Score]],TRUE)*100,"")</f>
        <v/>
      </c>
      <c r="K2513" s="7" t="str">
        <f>IF(Table1[[#This Row],[Is Data Valid]]=TRUE,_xlfn.NORM.S.DIST(Table1[[#This Row],[Birthweight Z-Score (BW-10%)]],TRUE)*100,"")</f>
        <v/>
      </c>
      <c r="L2513" s="7" t="str">
        <f>IF(Table1[[#This Row],[Is Data Valid]]=TRUE,_xlfn.NORM.S.DIST(Table1[[#This Row],[Birthweight Z-Score (BW+10%)]],TRUE)*100,"")</f>
        <v/>
      </c>
    </row>
    <row r="2514" spans="1:12" x14ac:dyDescent="0.35">
      <c r="A2514" s="3"/>
      <c r="B2514" s="2"/>
      <c r="C2514" s="2"/>
      <c r="D2514" s="2" t="b">
        <f>IF(AND(NOT(ISBLANK(Table1[[#This Row],[Fetal Sex (Male, Female or Unknown)]])),ISNUMBER(Table1[[#This Row],[Birthweight (grams)]]),ISNUMBER(Table1[[#This Row],[Gestation (days)]])),TRUE,FALSE)</f>
        <v>0</v>
      </c>
      <c r="E2514" s="2" t="str">
        <f>IF(Table1[[#This Row],[Is Data Valid]]=TRUE,IF(Table1[[#This Row],[Fetal Sex (Male, Female or Unknown)]]="Male",Backend!$C$6,IF(Table1[[#This Row],[Fetal Sex (Male, Female or Unknown)]]="Female",Backend!$C$7,IF(Table1[[#This Row],[Fetal Sex (Male, Female or Unknown)]]="Unknown",Backend!$C$8,"Error"))),"")</f>
        <v/>
      </c>
      <c r="F2514" s="8" t="str">
        <f>IF(Table1[[#This Row],[Is Data Valid]]=TRUE,EXP(0.578+0.332*((Table1[[#This Row],[Gestation (days)]]+0.5)/7)-0.00354*((Table1[[#This Row],[Gestation (days)]]+0.5)/7)^2)*Table1[[#This Row],[BW40_3705]],"")</f>
        <v/>
      </c>
      <c r="G2514" s="2" t="str">
        <f>IF(Table1[[#This Row],[Is Data Valid]]=TRUE,((Table1[[#This Row],[Birthweight (grams)]]/Table1[[#This Row],[BW_GA]])-1)/(Backend!$B$4/100*Table1[[#This Row],[BW40_3705]]),"")</f>
        <v/>
      </c>
      <c r="H2514" s="7" t="str">
        <f>IF(Table1[[#This Row],[Is Data Valid]]=TRUE,((Table1[[#This Row],[Birthweight (grams)]]*0.9/Table1[[#This Row],[BW_GA]])-1)/(Backend!$B$4/100*Table1[[#This Row],[BW40_3705]]),"")</f>
        <v/>
      </c>
      <c r="I2514" s="7" t="str">
        <f>IF(Table1[[#This Row],[Is Data Valid]]=TRUE,((Table1[[#This Row],[Birthweight (grams)]]*1.1/Table1[[#This Row],[BW_GA]])-1)/(Backend!$B$4/100*Table1[[#This Row],[BW40_3705]]),"")</f>
        <v/>
      </c>
      <c r="J2514" s="7" t="str">
        <f>IF(Table1[[#This Row],[Is Data Valid]]=TRUE,_xlfn.NORM.S.DIST(Table1[[#This Row],[Birthweight Z-Score]],TRUE)*100,"")</f>
        <v/>
      </c>
      <c r="K2514" s="7" t="str">
        <f>IF(Table1[[#This Row],[Is Data Valid]]=TRUE,_xlfn.NORM.S.DIST(Table1[[#This Row],[Birthweight Z-Score (BW-10%)]],TRUE)*100,"")</f>
        <v/>
      </c>
      <c r="L2514" s="7" t="str">
        <f>IF(Table1[[#This Row],[Is Data Valid]]=TRUE,_xlfn.NORM.S.DIST(Table1[[#This Row],[Birthweight Z-Score (BW+10%)]],TRUE)*100,"")</f>
        <v/>
      </c>
    </row>
    <row r="2515" spans="1:12" x14ac:dyDescent="0.35">
      <c r="A2515" s="3"/>
      <c r="B2515" s="2"/>
      <c r="C2515" s="2"/>
      <c r="D2515" s="2" t="b">
        <f>IF(AND(NOT(ISBLANK(Table1[[#This Row],[Fetal Sex (Male, Female or Unknown)]])),ISNUMBER(Table1[[#This Row],[Birthweight (grams)]]),ISNUMBER(Table1[[#This Row],[Gestation (days)]])),TRUE,FALSE)</f>
        <v>0</v>
      </c>
      <c r="E2515" s="2" t="str">
        <f>IF(Table1[[#This Row],[Is Data Valid]]=TRUE,IF(Table1[[#This Row],[Fetal Sex (Male, Female or Unknown)]]="Male",Backend!$C$6,IF(Table1[[#This Row],[Fetal Sex (Male, Female or Unknown)]]="Female",Backend!$C$7,IF(Table1[[#This Row],[Fetal Sex (Male, Female or Unknown)]]="Unknown",Backend!$C$8,"Error"))),"")</f>
        <v/>
      </c>
      <c r="F2515" s="8" t="str">
        <f>IF(Table1[[#This Row],[Is Data Valid]]=TRUE,EXP(0.578+0.332*((Table1[[#This Row],[Gestation (days)]]+0.5)/7)-0.00354*((Table1[[#This Row],[Gestation (days)]]+0.5)/7)^2)*Table1[[#This Row],[BW40_3705]],"")</f>
        <v/>
      </c>
      <c r="G2515" s="2" t="str">
        <f>IF(Table1[[#This Row],[Is Data Valid]]=TRUE,((Table1[[#This Row],[Birthweight (grams)]]/Table1[[#This Row],[BW_GA]])-1)/(Backend!$B$4/100*Table1[[#This Row],[BW40_3705]]),"")</f>
        <v/>
      </c>
      <c r="H2515" s="7" t="str">
        <f>IF(Table1[[#This Row],[Is Data Valid]]=TRUE,((Table1[[#This Row],[Birthweight (grams)]]*0.9/Table1[[#This Row],[BW_GA]])-1)/(Backend!$B$4/100*Table1[[#This Row],[BW40_3705]]),"")</f>
        <v/>
      </c>
      <c r="I2515" s="7" t="str">
        <f>IF(Table1[[#This Row],[Is Data Valid]]=TRUE,((Table1[[#This Row],[Birthweight (grams)]]*1.1/Table1[[#This Row],[BW_GA]])-1)/(Backend!$B$4/100*Table1[[#This Row],[BW40_3705]]),"")</f>
        <v/>
      </c>
      <c r="J2515" s="7" t="str">
        <f>IF(Table1[[#This Row],[Is Data Valid]]=TRUE,_xlfn.NORM.S.DIST(Table1[[#This Row],[Birthweight Z-Score]],TRUE)*100,"")</f>
        <v/>
      </c>
      <c r="K2515" s="7" t="str">
        <f>IF(Table1[[#This Row],[Is Data Valid]]=TRUE,_xlfn.NORM.S.DIST(Table1[[#This Row],[Birthweight Z-Score (BW-10%)]],TRUE)*100,"")</f>
        <v/>
      </c>
      <c r="L2515" s="7" t="str">
        <f>IF(Table1[[#This Row],[Is Data Valid]]=TRUE,_xlfn.NORM.S.DIST(Table1[[#This Row],[Birthweight Z-Score (BW+10%)]],TRUE)*100,"")</f>
        <v/>
      </c>
    </row>
    <row r="2516" spans="1:12" x14ac:dyDescent="0.35">
      <c r="A2516" s="3"/>
      <c r="B2516" s="2"/>
      <c r="C2516" s="2"/>
      <c r="D2516" s="2" t="b">
        <f>IF(AND(NOT(ISBLANK(Table1[[#This Row],[Fetal Sex (Male, Female or Unknown)]])),ISNUMBER(Table1[[#This Row],[Birthweight (grams)]]),ISNUMBER(Table1[[#This Row],[Gestation (days)]])),TRUE,FALSE)</f>
        <v>0</v>
      </c>
      <c r="E2516" s="2" t="str">
        <f>IF(Table1[[#This Row],[Is Data Valid]]=TRUE,IF(Table1[[#This Row],[Fetal Sex (Male, Female or Unknown)]]="Male",Backend!$C$6,IF(Table1[[#This Row],[Fetal Sex (Male, Female or Unknown)]]="Female",Backend!$C$7,IF(Table1[[#This Row],[Fetal Sex (Male, Female or Unknown)]]="Unknown",Backend!$C$8,"Error"))),"")</f>
        <v/>
      </c>
      <c r="F2516" s="8" t="str">
        <f>IF(Table1[[#This Row],[Is Data Valid]]=TRUE,EXP(0.578+0.332*((Table1[[#This Row],[Gestation (days)]]+0.5)/7)-0.00354*((Table1[[#This Row],[Gestation (days)]]+0.5)/7)^2)*Table1[[#This Row],[BW40_3705]],"")</f>
        <v/>
      </c>
      <c r="G2516" s="2" t="str">
        <f>IF(Table1[[#This Row],[Is Data Valid]]=TRUE,((Table1[[#This Row],[Birthweight (grams)]]/Table1[[#This Row],[BW_GA]])-1)/(Backend!$B$4/100*Table1[[#This Row],[BW40_3705]]),"")</f>
        <v/>
      </c>
      <c r="H2516" s="7" t="str">
        <f>IF(Table1[[#This Row],[Is Data Valid]]=TRUE,((Table1[[#This Row],[Birthweight (grams)]]*0.9/Table1[[#This Row],[BW_GA]])-1)/(Backend!$B$4/100*Table1[[#This Row],[BW40_3705]]),"")</f>
        <v/>
      </c>
      <c r="I2516" s="7" t="str">
        <f>IF(Table1[[#This Row],[Is Data Valid]]=TRUE,((Table1[[#This Row],[Birthweight (grams)]]*1.1/Table1[[#This Row],[BW_GA]])-1)/(Backend!$B$4/100*Table1[[#This Row],[BW40_3705]]),"")</f>
        <v/>
      </c>
      <c r="J2516" s="7" t="str">
        <f>IF(Table1[[#This Row],[Is Data Valid]]=TRUE,_xlfn.NORM.S.DIST(Table1[[#This Row],[Birthweight Z-Score]],TRUE)*100,"")</f>
        <v/>
      </c>
      <c r="K2516" s="7" t="str">
        <f>IF(Table1[[#This Row],[Is Data Valid]]=TRUE,_xlfn.NORM.S.DIST(Table1[[#This Row],[Birthweight Z-Score (BW-10%)]],TRUE)*100,"")</f>
        <v/>
      </c>
      <c r="L2516" s="7" t="str">
        <f>IF(Table1[[#This Row],[Is Data Valid]]=TRUE,_xlfn.NORM.S.DIST(Table1[[#This Row],[Birthweight Z-Score (BW+10%)]],TRUE)*100,"")</f>
        <v/>
      </c>
    </row>
    <row r="2517" spans="1:12" x14ac:dyDescent="0.35">
      <c r="A2517" s="3"/>
      <c r="B2517" s="2"/>
      <c r="C2517" s="2"/>
      <c r="D2517" s="2" t="b">
        <f>IF(AND(NOT(ISBLANK(Table1[[#This Row],[Fetal Sex (Male, Female or Unknown)]])),ISNUMBER(Table1[[#This Row],[Birthweight (grams)]]),ISNUMBER(Table1[[#This Row],[Gestation (days)]])),TRUE,FALSE)</f>
        <v>0</v>
      </c>
      <c r="E2517" s="2" t="str">
        <f>IF(Table1[[#This Row],[Is Data Valid]]=TRUE,IF(Table1[[#This Row],[Fetal Sex (Male, Female or Unknown)]]="Male",Backend!$C$6,IF(Table1[[#This Row],[Fetal Sex (Male, Female or Unknown)]]="Female",Backend!$C$7,IF(Table1[[#This Row],[Fetal Sex (Male, Female or Unknown)]]="Unknown",Backend!$C$8,"Error"))),"")</f>
        <v/>
      </c>
      <c r="F2517" s="8" t="str">
        <f>IF(Table1[[#This Row],[Is Data Valid]]=TRUE,EXP(0.578+0.332*((Table1[[#This Row],[Gestation (days)]]+0.5)/7)-0.00354*((Table1[[#This Row],[Gestation (days)]]+0.5)/7)^2)*Table1[[#This Row],[BW40_3705]],"")</f>
        <v/>
      </c>
      <c r="G2517" s="2" t="str">
        <f>IF(Table1[[#This Row],[Is Data Valid]]=TRUE,((Table1[[#This Row],[Birthweight (grams)]]/Table1[[#This Row],[BW_GA]])-1)/(Backend!$B$4/100*Table1[[#This Row],[BW40_3705]]),"")</f>
        <v/>
      </c>
      <c r="H2517" s="7" t="str">
        <f>IF(Table1[[#This Row],[Is Data Valid]]=TRUE,((Table1[[#This Row],[Birthweight (grams)]]*0.9/Table1[[#This Row],[BW_GA]])-1)/(Backend!$B$4/100*Table1[[#This Row],[BW40_3705]]),"")</f>
        <v/>
      </c>
      <c r="I2517" s="7" t="str">
        <f>IF(Table1[[#This Row],[Is Data Valid]]=TRUE,((Table1[[#This Row],[Birthweight (grams)]]*1.1/Table1[[#This Row],[BW_GA]])-1)/(Backend!$B$4/100*Table1[[#This Row],[BW40_3705]]),"")</f>
        <v/>
      </c>
      <c r="J2517" s="7" t="str">
        <f>IF(Table1[[#This Row],[Is Data Valid]]=TRUE,_xlfn.NORM.S.DIST(Table1[[#This Row],[Birthweight Z-Score]],TRUE)*100,"")</f>
        <v/>
      </c>
      <c r="K2517" s="7" t="str">
        <f>IF(Table1[[#This Row],[Is Data Valid]]=TRUE,_xlfn.NORM.S.DIST(Table1[[#This Row],[Birthweight Z-Score (BW-10%)]],TRUE)*100,"")</f>
        <v/>
      </c>
      <c r="L2517" s="7" t="str">
        <f>IF(Table1[[#This Row],[Is Data Valid]]=TRUE,_xlfn.NORM.S.DIST(Table1[[#This Row],[Birthweight Z-Score (BW+10%)]],TRUE)*100,"")</f>
        <v/>
      </c>
    </row>
    <row r="2518" spans="1:12" x14ac:dyDescent="0.35">
      <c r="A2518" s="3"/>
      <c r="B2518" s="2"/>
      <c r="C2518" s="2"/>
      <c r="D2518" s="2" t="b">
        <f>IF(AND(NOT(ISBLANK(Table1[[#This Row],[Fetal Sex (Male, Female or Unknown)]])),ISNUMBER(Table1[[#This Row],[Birthweight (grams)]]),ISNUMBER(Table1[[#This Row],[Gestation (days)]])),TRUE,FALSE)</f>
        <v>0</v>
      </c>
      <c r="E2518" s="2" t="str">
        <f>IF(Table1[[#This Row],[Is Data Valid]]=TRUE,IF(Table1[[#This Row],[Fetal Sex (Male, Female or Unknown)]]="Male",Backend!$C$6,IF(Table1[[#This Row],[Fetal Sex (Male, Female or Unknown)]]="Female",Backend!$C$7,IF(Table1[[#This Row],[Fetal Sex (Male, Female or Unknown)]]="Unknown",Backend!$C$8,"Error"))),"")</f>
        <v/>
      </c>
      <c r="F2518" s="8" t="str">
        <f>IF(Table1[[#This Row],[Is Data Valid]]=TRUE,EXP(0.578+0.332*((Table1[[#This Row],[Gestation (days)]]+0.5)/7)-0.00354*((Table1[[#This Row],[Gestation (days)]]+0.5)/7)^2)*Table1[[#This Row],[BW40_3705]],"")</f>
        <v/>
      </c>
      <c r="G2518" s="2" t="str">
        <f>IF(Table1[[#This Row],[Is Data Valid]]=TRUE,((Table1[[#This Row],[Birthweight (grams)]]/Table1[[#This Row],[BW_GA]])-1)/(Backend!$B$4/100*Table1[[#This Row],[BW40_3705]]),"")</f>
        <v/>
      </c>
      <c r="H2518" s="7" t="str">
        <f>IF(Table1[[#This Row],[Is Data Valid]]=TRUE,((Table1[[#This Row],[Birthweight (grams)]]*0.9/Table1[[#This Row],[BW_GA]])-1)/(Backend!$B$4/100*Table1[[#This Row],[BW40_3705]]),"")</f>
        <v/>
      </c>
      <c r="I2518" s="7" t="str">
        <f>IF(Table1[[#This Row],[Is Data Valid]]=TRUE,((Table1[[#This Row],[Birthweight (grams)]]*1.1/Table1[[#This Row],[BW_GA]])-1)/(Backend!$B$4/100*Table1[[#This Row],[BW40_3705]]),"")</f>
        <v/>
      </c>
      <c r="J2518" s="7" t="str">
        <f>IF(Table1[[#This Row],[Is Data Valid]]=TRUE,_xlfn.NORM.S.DIST(Table1[[#This Row],[Birthweight Z-Score]],TRUE)*100,"")</f>
        <v/>
      </c>
      <c r="K2518" s="7" t="str">
        <f>IF(Table1[[#This Row],[Is Data Valid]]=TRUE,_xlfn.NORM.S.DIST(Table1[[#This Row],[Birthweight Z-Score (BW-10%)]],TRUE)*100,"")</f>
        <v/>
      </c>
      <c r="L2518" s="7" t="str">
        <f>IF(Table1[[#This Row],[Is Data Valid]]=TRUE,_xlfn.NORM.S.DIST(Table1[[#This Row],[Birthweight Z-Score (BW+10%)]],TRUE)*100,"")</f>
        <v/>
      </c>
    </row>
    <row r="2519" spans="1:12" x14ac:dyDescent="0.35">
      <c r="A2519" s="3"/>
      <c r="B2519" s="2"/>
      <c r="C2519" s="2"/>
      <c r="D2519" s="2" t="b">
        <f>IF(AND(NOT(ISBLANK(Table1[[#This Row],[Fetal Sex (Male, Female or Unknown)]])),ISNUMBER(Table1[[#This Row],[Birthweight (grams)]]),ISNUMBER(Table1[[#This Row],[Gestation (days)]])),TRUE,FALSE)</f>
        <v>0</v>
      </c>
      <c r="E2519" s="2" t="str">
        <f>IF(Table1[[#This Row],[Is Data Valid]]=TRUE,IF(Table1[[#This Row],[Fetal Sex (Male, Female or Unknown)]]="Male",Backend!$C$6,IF(Table1[[#This Row],[Fetal Sex (Male, Female or Unknown)]]="Female",Backend!$C$7,IF(Table1[[#This Row],[Fetal Sex (Male, Female or Unknown)]]="Unknown",Backend!$C$8,"Error"))),"")</f>
        <v/>
      </c>
      <c r="F2519" s="8" t="str">
        <f>IF(Table1[[#This Row],[Is Data Valid]]=TRUE,EXP(0.578+0.332*((Table1[[#This Row],[Gestation (days)]]+0.5)/7)-0.00354*((Table1[[#This Row],[Gestation (days)]]+0.5)/7)^2)*Table1[[#This Row],[BW40_3705]],"")</f>
        <v/>
      </c>
      <c r="G2519" s="2" t="str">
        <f>IF(Table1[[#This Row],[Is Data Valid]]=TRUE,((Table1[[#This Row],[Birthweight (grams)]]/Table1[[#This Row],[BW_GA]])-1)/(Backend!$B$4/100*Table1[[#This Row],[BW40_3705]]),"")</f>
        <v/>
      </c>
      <c r="H2519" s="7" t="str">
        <f>IF(Table1[[#This Row],[Is Data Valid]]=TRUE,((Table1[[#This Row],[Birthweight (grams)]]*0.9/Table1[[#This Row],[BW_GA]])-1)/(Backend!$B$4/100*Table1[[#This Row],[BW40_3705]]),"")</f>
        <v/>
      </c>
      <c r="I2519" s="7" t="str">
        <f>IF(Table1[[#This Row],[Is Data Valid]]=TRUE,((Table1[[#This Row],[Birthweight (grams)]]*1.1/Table1[[#This Row],[BW_GA]])-1)/(Backend!$B$4/100*Table1[[#This Row],[BW40_3705]]),"")</f>
        <v/>
      </c>
      <c r="J2519" s="7" t="str">
        <f>IF(Table1[[#This Row],[Is Data Valid]]=TRUE,_xlfn.NORM.S.DIST(Table1[[#This Row],[Birthweight Z-Score]],TRUE)*100,"")</f>
        <v/>
      </c>
      <c r="K2519" s="7" t="str">
        <f>IF(Table1[[#This Row],[Is Data Valid]]=TRUE,_xlfn.NORM.S.DIST(Table1[[#This Row],[Birthweight Z-Score (BW-10%)]],TRUE)*100,"")</f>
        <v/>
      </c>
      <c r="L2519" s="7" t="str">
        <f>IF(Table1[[#This Row],[Is Data Valid]]=TRUE,_xlfn.NORM.S.DIST(Table1[[#This Row],[Birthweight Z-Score (BW+10%)]],TRUE)*100,"")</f>
        <v/>
      </c>
    </row>
    <row r="2520" spans="1:12" x14ac:dyDescent="0.35">
      <c r="A2520" s="3"/>
      <c r="B2520" s="2"/>
      <c r="C2520" s="2"/>
      <c r="D2520" s="2" t="b">
        <f>IF(AND(NOT(ISBLANK(Table1[[#This Row],[Fetal Sex (Male, Female or Unknown)]])),ISNUMBER(Table1[[#This Row],[Birthweight (grams)]]),ISNUMBER(Table1[[#This Row],[Gestation (days)]])),TRUE,FALSE)</f>
        <v>0</v>
      </c>
      <c r="E2520" s="2" t="str">
        <f>IF(Table1[[#This Row],[Is Data Valid]]=TRUE,IF(Table1[[#This Row],[Fetal Sex (Male, Female or Unknown)]]="Male",Backend!$C$6,IF(Table1[[#This Row],[Fetal Sex (Male, Female or Unknown)]]="Female",Backend!$C$7,IF(Table1[[#This Row],[Fetal Sex (Male, Female or Unknown)]]="Unknown",Backend!$C$8,"Error"))),"")</f>
        <v/>
      </c>
      <c r="F2520" s="8" t="str">
        <f>IF(Table1[[#This Row],[Is Data Valid]]=TRUE,EXP(0.578+0.332*((Table1[[#This Row],[Gestation (days)]]+0.5)/7)-0.00354*((Table1[[#This Row],[Gestation (days)]]+0.5)/7)^2)*Table1[[#This Row],[BW40_3705]],"")</f>
        <v/>
      </c>
      <c r="G2520" s="2" t="str">
        <f>IF(Table1[[#This Row],[Is Data Valid]]=TRUE,((Table1[[#This Row],[Birthweight (grams)]]/Table1[[#This Row],[BW_GA]])-1)/(Backend!$B$4/100*Table1[[#This Row],[BW40_3705]]),"")</f>
        <v/>
      </c>
      <c r="H2520" s="7" t="str">
        <f>IF(Table1[[#This Row],[Is Data Valid]]=TRUE,((Table1[[#This Row],[Birthweight (grams)]]*0.9/Table1[[#This Row],[BW_GA]])-1)/(Backend!$B$4/100*Table1[[#This Row],[BW40_3705]]),"")</f>
        <v/>
      </c>
      <c r="I2520" s="7" t="str">
        <f>IF(Table1[[#This Row],[Is Data Valid]]=TRUE,((Table1[[#This Row],[Birthweight (grams)]]*1.1/Table1[[#This Row],[BW_GA]])-1)/(Backend!$B$4/100*Table1[[#This Row],[BW40_3705]]),"")</f>
        <v/>
      </c>
      <c r="J2520" s="7" t="str">
        <f>IF(Table1[[#This Row],[Is Data Valid]]=TRUE,_xlfn.NORM.S.DIST(Table1[[#This Row],[Birthweight Z-Score]],TRUE)*100,"")</f>
        <v/>
      </c>
      <c r="K2520" s="7" t="str">
        <f>IF(Table1[[#This Row],[Is Data Valid]]=TRUE,_xlfn.NORM.S.DIST(Table1[[#This Row],[Birthweight Z-Score (BW-10%)]],TRUE)*100,"")</f>
        <v/>
      </c>
      <c r="L2520" s="7" t="str">
        <f>IF(Table1[[#This Row],[Is Data Valid]]=TRUE,_xlfn.NORM.S.DIST(Table1[[#This Row],[Birthweight Z-Score (BW+10%)]],TRUE)*100,"")</f>
        <v/>
      </c>
    </row>
    <row r="2521" spans="1:12" x14ac:dyDescent="0.35">
      <c r="A2521" s="3"/>
      <c r="B2521" s="2"/>
      <c r="C2521" s="2"/>
      <c r="D2521" s="2" t="b">
        <f>IF(AND(NOT(ISBLANK(Table1[[#This Row],[Fetal Sex (Male, Female or Unknown)]])),ISNUMBER(Table1[[#This Row],[Birthweight (grams)]]),ISNUMBER(Table1[[#This Row],[Gestation (days)]])),TRUE,FALSE)</f>
        <v>0</v>
      </c>
      <c r="E2521" s="2" t="str">
        <f>IF(Table1[[#This Row],[Is Data Valid]]=TRUE,IF(Table1[[#This Row],[Fetal Sex (Male, Female or Unknown)]]="Male",Backend!$C$6,IF(Table1[[#This Row],[Fetal Sex (Male, Female or Unknown)]]="Female",Backend!$C$7,IF(Table1[[#This Row],[Fetal Sex (Male, Female or Unknown)]]="Unknown",Backend!$C$8,"Error"))),"")</f>
        <v/>
      </c>
      <c r="F2521" s="8" t="str">
        <f>IF(Table1[[#This Row],[Is Data Valid]]=TRUE,EXP(0.578+0.332*((Table1[[#This Row],[Gestation (days)]]+0.5)/7)-0.00354*((Table1[[#This Row],[Gestation (days)]]+0.5)/7)^2)*Table1[[#This Row],[BW40_3705]],"")</f>
        <v/>
      </c>
      <c r="G2521" s="2" t="str">
        <f>IF(Table1[[#This Row],[Is Data Valid]]=TRUE,((Table1[[#This Row],[Birthweight (grams)]]/Table1[[#This Row],[BW_GA]])-1)/(Backend!$B$4/100*Table1[[#This Row],[BW40_3705]]),"")</f>
        <v/>
      </c>
      <c r="H2521" s="7" t="str">
        <f>IF(Table1[[#This Row],[Is Data Valid]]=TRUE,((Table1[[#This Row],[Birthweight (grams)]]*0.9/Table1[[#This Row],[BW_GA]])-1)/(Backend!$B$4/100*Table1[[#This Row],[BW40_3705]]),"")</f>
        <v/>
      </c>
      <c r="I2521" s="7" t="str">
        <f>IF(Table1[[#This Row],[Is Data Valid]]=TRUE,((Table1[[#This Row],[Birthweight (grams)]]*1.1/Table1[[#This Row],[BW_GA]])-1)/(Backend!$B$4/100*Table1[[#This Row],[BW40_3705]]),"")</f>
        <v/>
      </c>
      <c r="J2521" s="7" t="str">
        <f>IF(Table1[[#This Row],[Is Data Valid]]=TRUE,_xlfn.NORM.S.DIST(Table1[[#This Row],[Birthweight Z-Score]],TRUE)*100,"")</f>
        <v/>
      </c>
      <c r="K2521" s="7" t="str">
        <f>IF(Table1[[#This Row],[Is Data Valid]]=TRUE,_xlfn.NORM.S.DIST(Table1[[#This Row],[Birthweight Z-Score (BW-10%)]],TRUE)*100,"")</f>
        <v/>
      </c>
      <c r="L2521" s="7" t="str">
        <f>IF(Table1[[#This Row],[Is Data Valid]]=TRUE,_xlfn.NORM.S.DIST(Table1[[#This Row],[Birthweight Z-Score (BW+10%)]],TRUE)*100,"")</f>
        <v/>
      </c>
    </row>
    <row r="2522" spans="1:12" x14ac:dyDescent="0.35">
      <c r="A2522" s="3"/>
      <c r="B2522" s="2"/>
      <c r="C2522" s="2"/>
      <c r="D2522" s="2" t="b">
        <f>IF(AND(NOT(ISBLANK(Table1[[#This Row],[Fetal Sex (Male, Female or Unknown)]])),ISNUMBER(Table1[[#This Row],[Birthweight (grams)]]),ISNUMBER(Table1[[#This Row],[Gestation (days)]])),TRUE,FALSE)</f>
        <v>0</v>
      </c>
      <c r="E2522" s="2" t="str">
        <f>IF(Table1[[#This Row],[Is Data Valid]]=TRUE,IF(Table1[[#This Row],[Fetal Sex (Male, Female or Unknown)]]="Male",Backend!$C$6,IF(Table1[[#This Row],[Fetal Sex (Male, Female or Unknown)]]="Female",Backend!$C$7,IF(Table1[[#This Row],[Fetal Sex (Male, Female or Unknown)]]="Unknown",Backend!$C$8,"Error"))),"")</f>
        <v/>
      </c>
      <c r="F2522" s="8" t="str">
        <f>IF(Table1[[#This Row],[Is Data Valid]]=TRUE,EXP(0.578+0.332*((Table1[[#This Row],[Gestation (days)]]+0.5)/7)-0.00354*((Table1[[#This Row],[Gestation (days)]]+0.5)/7)^2)*Table1[[#This Row],[BW40_3705]],"")</f>
        <v/>
      </c>
      <c r="G2522" s="2" t="str">
        <f>IF(Table1[[#This Row],[Is Data Valid]]=TRUE,((Table1[[#This Row],[Birthweight (grams)]]/Table1[[#This Row],[BW_GA]])-1)/(Backend!$B$4/100*Table1[[#This Row],[BW40_3705]]),"")</f>
        <v/>
      </c>
      <c r="H2522" s="7" t="str">
        <f>IF(Table1[[#This Row],[Is Data Valid]]=TRUE,((Table1[[#This Row],[Birthweight (grams)]]*0.9/Table1[[#This Row],[BW_GA]])-1)/(Backend!$B$4/100*Table1[[#This Row],[BW40_3705]]),"")</f>
        <v/>
      </c>
      <c r="I2522" s="7" t="str">
        <f>IF(Table1[[#This Row],[Is Data Valid]]=TRUE,((Table1[[#This Row],[Birthweight (grams)]]*1.1/Table1[[#This Row],[BW_GA]])-1)/(Backend!$B$4/100*Table1[[#This Row],[BW40_3705]]),"")</f>
        <v/>
      </c>
      <c r="J2522" s="7" t="str">
        <f>IF(Table1[[#This Row],[Is Data Valid]]=TRUE,_xlfn.NORM.S.DIST(Table1[[#This Row],[Birthweight Z-Score]],TRUE)*100,"")</f>
        <v/>
      </c>
      <c r="K2522" s="7" t="str">
        <f>IF(Table1[[#This Row],[Is Data Valid]]=TRUE,_xlfn.NORM.S.DIST(Table1[[#This Row],[Birthweight Z-Score (BW-10%)]],TRUE)*100,"")</f>
        <v/>
      </c>
      <c r="L2522" s="7" t="str">
        <f>IF(Table1[[#This Row],[Is Data Valid]]=TRUE,_xlfn.NORM.S.DIST(Table1[[#This Row],[Birthweight Z-Score (BW+10%)]],TRUE)*100,"")</f>
        <v/>
      </c>
    </row>
    <row r="2523" spans="1:12" x14ac:dyDescent="0.35">
      <c r="A2523" s="3"/>
      <c r="B2523" s="2"/>
      <c r="C2523" s="2"/>
      <c r="D2523" s="2" t="b">
        <f>IF(AND(NOT(ISBLANK(Table1[[#This Row],[Fetal Sex (Male, Female or Unknown)]])),ISNUMBER(Table1[[#This Row],[Birthweight (grams)]]),ISNUMBER(Table1[[#This Row],[Gestation (days)]])),TRUE,FALSE)</f>
        <v>0</v>
      </c>
      <c r="E2523" s="2" t="str">
        <f>IF(Table1[[#This Row],[Is Data Valid]]=TRUE,IF(Table1[[#This Row],[Fetal Sex (Male, Female or Unknown)]]="Male",Backend!$C$6,IF(Table1[[#This Row],[Fetal Sex (Male, Female or Unknown)]]="Female",Backend!$C$7,IF(Table1[[#This Row],[Fetal Sex (Male, Female or Unknown)]]="Unknown",Backend!$C$8,"Error"))),"")</f>
        <v/>
      </c>
      <c r="F2523" s="8" t="str">
        <f>IF(Table1[[#This Row],[Is Data Valid]]=TRUE,EXP(0.578+0.332*((Table1[[#This Row],[Gestation (days)]]+0.5)/7)-0.00354*((Table1[[#This Row],[Gestation (days)]]+0.5)/7)^2)*Table1[[#This Row],[BW40_3705]],"")</f>
        <v/>
      </c>
      <c r="G2523" s="2" t="str">
        <f>IF(Table1[[#This Row],[Is Data Valid]]=TRUE,((Table1[[#This Row],[Birthweight (grams)]]/Table1[[#This Row],[BW_GA]])-1)/(Backend!$B$4/100*Table1[[#This Row],[BW40_3705]]),"")</f>
        <v/>
      </c>
      <c r="H2523" s="7" t="str">
        <f>IF(Table1[[#This Row],[Is Data Valid]]=TRUE,((Table1[[#This Row],[Birthweight (grams)]]*0.9/Table1[[#This Row],[BW_GA]])-1)/(Backend!$B$4/100*Table1[[#This Row],[BW40_3705]]),"")</f>
        <v/>
      </c>
      <c r="I2523" s="7" t="str">
        <f>IF(Table1[[#This Row],[Is Data Valid]]=TRUE,((Table1[[#This Row],[Birthweight (grams)]]*1.1/Table1[[#This Row],[BW_GA]])-1)/(Backend!$B$4/100*Table1[[#This Row],[BW40_3705]]),"")</f>
        <v/>
      </c>
      <c r="J2523" s="7" t="str">
        <f>IF(Table1[[#This Row],[Is Data Valid]]=TRUE,_xlfn.NORM.S.DIST(Table1[[#This Row],[Birthweight Z-Score]],TRUE)*100,"")</f>
        <v/>
      </c>
      <c r="K2523" s="7" t="str">
        <f>IF(Table1[[#This Row],[Is Data Valid]]=TRUE,_xlfn.NORM.S.DIST(Table1[[#This Row],[Birthweight Z-Score (BW-10%)]],TRUE)*100,"")</f>
        <v/>
      </c>
      <c r="L2523" s="7" t="str">
        <f>IF(Table1[[#This Row],[Is Data Valid]]=TRUE,_xlfn.NORM.S.DIST(Table1[[#This Row],[Birthweight Z-Score (BW+10%)]],TRUE)*100,"")</f>
        <v/>
      </c>
    </row>
    <row r="2524" spans="1:12" x14ac:dyDescent="0.35">
      <c r="A2524" s="3"/>
      <c r="B2524" s="2"/>
      <c r="C2524" s="2"/>
      <c r="D2524" s="2" t="b">
        <f>IF(AND(NOT(ISBLANK(Table1[[#This Row],[Fetal Sex (Male, Female or Unknown)]])),ISNUMBER(Table1[[#This Row],[Birthweight (grams)]]),ISNUMBER(Table1[[#This Row],[Gestation (days)]])),TRUE,FALSE)</f>
        <v>0</v>
      </c>
      <c r="E2524" s="2" t="str">
        <f>IF(Table1[[#This Row],[Is Data Valid]]=TRUE,IF(Table1[[#This Row],[Fetal Sex (Male, Female or Unknown)]]="Male",Backend!$C$6,IF(Table1[[#This Row],[Fetal Sex (Male, Female or Unknown)]]="Female",Backend!$C$7,IF(Table1[[#This Row],[Fetal Sex (Male, Female or Unknown)]]="Unknown",Backend!$C$8,"Error"))),"")</f>
        <v/>
      </c>
      <c r="F2524" s="8" t="str">
        <f>IF(Table1[[#This Row],[Is Data Valid]]=TRUE,EXP(0.578+0.332*((Table1[[#This Row],[Gestation (days)]]+0.5)/7)-0.00354*((Table1[[#This Row],[Gestation (days)]]+0.5)/7)^2)*Table1[[#This Row],[BW40_3705]],"")</f>
        <v/>
      </c>
      <c r="G2524" s="2" t="str">
        <f>IF(Table1[[#This Row],[Is Data Valid]]=TRUE,((Table1[[#This Row],[Birthweight (grams)]]/Table1[[#This Row],[BW_GA]])-1)/(Backend!$B$4/100*Table1[[#This Row],[BW40_3705]]),"")</f>
        <v/>
      </c>
      <c r="H2524" s="7" t="str">
        <f>IF(Table1[[#This Row],[Is Data Valid]]=TRUE,((Table1[[#This Row],[Birthweight (grams)]]*0.9/Table1[[#This Row],[BW_GA]])-1)/(Backend!$B$4/100*Table1[[#This Row],[BW40_3705]]),"")</f>
        <v/>
      </c>
      <c r="I2524" s="7" t="str">
        <f>IF(Table1[[#This Row],[Is Data Valid]]=TRUE,((Table1[[#This Row],[Birthweight (grams)]]*1.1/Table1[[#This Row],[BW_GA]])-1)/(Backend!$B$4/100*Table1[[#This Row],[BW40_3705]]),"")</f>
        <v/>
      </c>
      <c r="J2524" s="7" t="str">
        <f>IF(Table1[[#This Row],[Is Data Valid]]=TRUE,_xlfn.NORM.S.DIST(Table1[[#This Row],[Birthweight Z-Score]],TRUE)*100,"")</f>
        <v/>
      </c>
      <c r="K2524" s="7" t="str">
        <f>IF(Table1[[#This Row],[Is Data Valid]]=TRUE,_xlfn.NORM.S.DIST(Table1[[#This Row],[Birthweight Z-Score (BW-10%)]],TRUE)*100,"")</f>
        <v/>
      </c>
      <c r="L2524" s="7" t="str">
        <f>IF(Table1[[#This Row],[Is Data Valid]]=TRUE,_xlfn.NORM.S.DIST(Table1[[#This Row],[Birthweight Z-Score (BW+10%)]],TRUE)*100,"")</f>
        <v/>
      </c>
    </row>
    <row r="2525" spans="1:12" x14ac:dyDescent="0.35">
      <c r="A2525" s="3"/>
      <c r="B2525" s="2"/>
      <c r="C2525" s="2"/>
      <c r="D2525" s="2" t="b">
        <f>IF(AND(NOT(ISBLANK(Table1[[#This Row],[Fetal Sex (Male, Female or Unknown)]])),ISNUMBER(Table1[[#This Row],[Birthweight (grams)]]),ISNUMBER(Table1[[#This Row],[Gestation (days)]])),TRUE,FALSE)</f>
        <v>0</v>
      </c>
      <c r="E2525" s="2" t="str">
        <f>IF(Table1[[#This Row],[Is Data Valid]]=TRUE,IF(Table1[[#This Row],[Fetal Sex (Male, Female or Unknown)]]="Male",Backend!$C$6,IF(Table1[[#This Row],[Fetal Sex (Male, Female or Unknown)]]="Female",Backend!$C$7,IF(Table1[[#This Row],[Fetal Sex (Male, Female or Unknown)]]="Unknown",Backend!$C$8,"Error"))),"")</f>
        <v/>
      </c>
      <c r="F2525" s="8" t="str">
        <f>IF(Table1[[#This Row],[Is Data Valid]]=TRUE,EXP(0.578+0.332*((Table1[[#This Row],[Gestation (days)]]+0.5)/7)-0.00354*((Table1[[#This Row],[Gestation (days)]]+0.5)/7)^2)*Table1[[#This Row],[BW40_3705]],"")</f>
        <v/>
      </c>
      <c r="G2525" s="2" t="str">
        <f>IF(Table1[[#This Row],[Is Data Valid]]=TRUE,((Table1[[#This Row],[Birthweight (grams)]]/Table1[[#This Row],[BW_GA]])-1)/(Backend!$B$4/100*Table1[[#This Row],[BW40_3705]]),"")</f>
        <v/>
      </c>
      <c r="H2525" s="7" t="str">
        <f>IF(Table1[[#This Row],[Is Data Valid]]=TRUE,((Table1[[#This Row],[Birthweight (grams)]]*0.9/Table1[[#This Row],[BW_GA]])-1)/(Backend!$B$4/100*Table1[[#This Row],[BW40_3705]]),"")</f>
        <v/>
      </c>
      <c r="I2525" s="7" t="str">
        <f>IF(Table1[[#This Row],[Is Data Valid]]=TRUE,((Table1[[#This Row],[Birthweight (grams)]]*1.1/Table1[[#This Row],[BW_GA]])-1)/(Backend!$B$4/100*Table1[[#This Row],[BW40_3705]]),"")</f>
        <v/>
      </c>
      <c r="J2525" s="7" t="str">
        <f>IF(Table1[[#This Row],[Is Data Valid]]=TRUE,_xlfn.NORM.S.DIST(Table1[[#This Row],[Birthweight Z-Score]],TRUE)*100,"")</f>
        <v/>
      </c>
      <c r="K2525" s="7" t="str">
        <f>IF(Table1[[#This Row],[Is Data Valid]]=TRUE,_xlfn.NORM.S.DIST(Table1[[#This Row],[Birthweight Z-Score (BW-10%)]],TRUE)*100,"")</f>
        <v/>
      </c>
      <c r="L2525" s="7" t="str">
        <f>IF(Table1[[#This Row],[Is Data Valid]]=TRUE,_xlfn.NORM.S.DIST(Table1[[#This Row],[Birthweight Z-Score (BW+10%)]],TRUE)*100,"")</f>
        <v/>
      </c>
    </row>
    <row r="2526" spans="1:12" x14ac:dyDescent="0.35">
      <c r="A2526" s="3"/>
      <c r="B2526" s="2"/>
      <c r="C2526" s="2"/>
      <c r="D2526" s="2" t="b">
        <f>IF(AND(NOT(ISBLANK(Table1[[#This Row],[Fetal Sex (Male, Female or Unknown)]])),ISNUMBER(Table1[[#This Row],[Birthweight (grams)]]),ISNUMBER(Table1[[#This Row],[Gestation (days)]])),TRUE,FALSE)</f>
        <v>0</v>
      </c>
      <c r="E2526" s="2" t="str">
        <f>IF(Table1[[#This Row],[Is Data Valid]]=TRUE,IF(Table1[[#This Row],[Fetal Sex (Male, Female or Unknown)]]="Male",Backend!$C$6,IF(Table1[[#This Row],[Fetal Sex (Male, Female or Unknown)]]="Female",Backend!$C$7,IF(Table1[[#This Row],[Fetal Sex (Male, Female or Unknown)]]="Unknown",Backend!$C$8,"Error"))),"")</f>
        <v/>
      </c>
      <c r="F2526" s="8" t="str">
        <f>IF(Table1[[#This Row],[Is Data Valid]]=TRUE,EXP(0.578+0.332*((Table1[[#This Row],[Gestation (days)]]+0.5)/7)-0.00354*((Table1[[#This Row],[Gestation (days)]]+0.5)/7)^2)*Table1[[#This Row],[BW40_3705]],"")</f>
        <v/>
      </c>
      <c r="G2526" s="2" t="str">
        <f>IF(Table1[[#This Row],[Is Data Valid]]=TRUE,((Table1[[#This Row],[Birthweight (grams)]]/Table1[[#This Row],[BW_GA]])-1)/(Backend!$B$4/100*Table1[[#This Row],[BW40_3705]]),"")</f>
        <v/>
      </c>
      <c r="H2526" s="7" t="str">
        <f>IF(Table1[[#This Row],[Is Data Valid]]=TRUE,((Table1[[#This Row],[Birthweight (grams)]]*0.9/Table1[[#This Row],[BW_GA]])-1)/(Backend!$B$4/100*Table1[[#This Row],[BW40_3705]]),"")</f>
        <v/>
      </c>
      <c r="I2526" s="7" t="str">
        <f>IF(Table1[[#This Row],[Is Data Valid]]=TRUE,((Table1[[#This Row],[Birthweight (grams)]]*1.1/Table1[[#This Row],[BW_GA]])-1)/(Backend!$B$4/100*Table1[[#This Row],[BW40_3705]]),"")</f>
        <v/>
      </c>
      <c r="J2526" s="7" t="str">
        <f>IF(Table1[[#This Row],[Is Data Valid]]=TRUE,_xlfn.NORM.S.DIST(Table1[[#This Row],[Birthweight Z-Score]],TRUE)*100,"")</f>
        <v/>
      </c>
      <c r="K2526" s="7" t="str">
        <f>IF(Table1[[#This Row],[Is Data Valid]]=TRUE,_xlfn.NORM.S.DIST(Table1[[#This Row],[Birthweight Z-Score (BW-10%)]],TRUE)*100,"")</f>
        <v/>
      </c>
      <c r="L2526" s="7" t="str">
        <f>IF(Table1[[#This Row],[Is Data Valid]]=TRUE,_xlfn.NORM.S.DIST(Table1[[#This Row],[Birthweight Z-Score (BW+10%)]],TRUE)*100,"")</f>
        <v/>
      </c>
    </row>
    <row r="2527" spans="1:12" x14ac:dyDescent="0.35">
      <c r="A2527" s="3"/>
      <c r="B2527" s="2"/>
      <c r="C2527" s="2"/>
      <c r="D2527" s="2" t="b">
        <f>IF(AND(NOT(ISBLANK(Table1[[#This Row],[Fetal Sex (Male, Female or Unknown)]])),ISNUMBER(Table1[[#This Row],[Birthweight (grams)]]),ISNUMBER(Table1[[#This Row],[Gestation (days)]])),TRUE,FALSE)</f>
        <v>0</v>
      </c>
      <c r="E2527" s="2" t="str">
        <f>IF(Table1[[#This Row],[Is Data Valid]]=TRUE,IF(Table1[[#This Row],[Fetal Sex (Male, Female or Unknown)]]="Male",Backend!$C$6,IF(Table1[[#This Row],[Fetal Sex (Male, Female or Unknown)]]="Female",Backend!$C$7,IF(Table1[[#This Row],[Fetal Sex (Male, Female or Unknown)]]="Unknown",Backend!$C$8,"Error"))),"")</f>
        <v/>
      </c>
      <c r="F2527" s="8" t="str">
        <f>IF(Table1[[#This Row],[Is Data Valid]]=TRUE,EXP(0.578+0.332*((Table1[[#This Row],[Gestation (days)]]+0.5)/7)-0.00354*((Table1[[#This Row],[Gestation (days)]]+0.5)/7)^2)*Table1[[#This Row],[BW40_3705]],"")</f>
        <v/>
      </c>
      <c r="G2527" s="2" t="str">
        <f>IF(Table1[[#This Row],[Is Data Valid]]=TRUE,((Table1[[#This Row],[Birthweight (grams)]]/Table1[[#This Row],[BW_GA]])-1)/(Backend!$B$4/100*Table1[[#This Row],[BW40_3705]]),"")</f>
        <v/>
      </c>
      <c r="H2527" s="7" t="str">
        <f>IF(Table1[[#This Row],[Is Data Valid]]=TRUE,((Table1[[#This Row],[Birthweight (grams)]]*0.9/Table1[[#This Row],[BW_GA]])-1)/(Backend!$B$4/100*Table1[[#This Row],[BW40_3705]]),"")</f>
        <v/>
      </c>
      <c r="I2527" s="7" t="str">
        <f>IF(Table1[[#This Row],[Is Data Valid]]=TRUE,((Table1[[#This Row],[Birthweight (grams)]]*1.1/Table1[[#This Row],[BW_GA]])-1)/(Backend!$B$4/100*Table1[[#This Row],[BW40_3705]]),"")</f>
        <v/>
      </c>
      <c r="J2527" s="7" t="str">
        <f>IF(Table1[[#This Row],[Is Data Valid]]=TRUE,_xlfn.NORM.S.DIST(Table1[[#This Row],[Birthweight Z-Score]],TRUE)*100,"")</f>
        <v/>
      </c>
      <c r="K2527" s="7" t="str">
        <f>IF(Table1[[#This Row],[Is Data Valid]]=TRUE,_xlfn.NORM.S.DIST(Table1[[#This Row],[Birthweight Z-Score (BW-10%)]],TRUE)*100,"")</f>
        <v/>
      </c>
      <c r="L2527" s="7" t="str">
        <f>IF(Table1[[#This Row],[Is Data Valid]]=TRUE,_xlfn.NORM.S.DIST(Table1[[#This Row],[Birthweight Z-Score (BW+10%)]],TRUE)*100,"")</f>
        <v/>
      </c>
    </row>
    <row r="2528" spans="1:12" x14ac:dyDescent="0.35">
      <c r="A2528" s="3"/>
      <c r="B2528" s="2"/>
      <c r="C2528" s="2"/>
      <c r="D2528" s="2" t="b">
        <f>IF(AND(NOT(ISBLANK(Table1[[#This Row],[Fetal Sex (Male, Female or Unknown)]])),ISNUMBER(Table1[[#This Row],[Birthweight (grams)]]),ISNUMBER(Table1[[#This Row],[Gestation (days)]])),TRUE,FALSE)</f>
        <v>0</v>
      </c>
      <c r="E2528" s="2" t="str">
        <f>IF(Table1[[#This Row],[Is Data Valid]]=TRUE,IF(Table1[[#This Row],[Fetal Sex (Male, Female or Unknown)]]="Male",Backend!$C$6,IF(Table1[[#This Row],[Fetal Sex (Male, Female or Unknown)]]="Female",Backend!$C$7,IF(Table1[[#This Row],[Fetal Sex (Male, Female or Unknown)]]="Unknown",Backend!$C$8,"Error"))),"")</f>
        <v/>
      </c>
      <c r="F2528" s="8" t="str">
        <f>IF(Table1[[#This Row],[Is Data Valid]]=TRUE,EXP(0.578+0.332*((Table1[[#This Row],[Gestation (days)]]+0.5)/7)-0.00354*((Table1[[#This Row],[Gestation (days)]]+0.5)/7)^2)*Table1[[#This Row],[BW40_3705]],"")</f>
        <v/>
      </c>
      <c r="G2528" s="2" t="str">
        <f>IF(Table1[[#This Row],[Is Data Valid]]=TRUE,((Table1[[#This Row],[Birthweight (grams)]]/Table1[[#This Row],[BW_GA]])-1)/(Backend!$B$4/100*Table1[[#This Row],[BW40_3705]]),"")</f>
        <v/>
      </c>
      <c r="H2528" s="7" t="str">
        <f>IF(Table1[[#This Row],[Is Data Valid]]=TRUE,((Table1[[#This Row],[Birthweight (grams)]]*0.9/Table1[[#This Row],[BW_GA]])-1)/(Backend!$B$4/100*Table1[[#This Row],[BW40_3705]]),"")</f>
        <v/>
      </c>
      <c r="I2528" s="7" t="str">
        <f>IF(Table1[[#This Row],[Is Data Valid]]=TRUE,((Table1[[#This Row],[Birthweight (grams)]]*1.1/Table1[[#This Row],[BW_GA]])-1)/(Backend!$B$4/100*Table1[[#This Row],[BW40_3705]]),"")</f>
        <v/>
      </c>
      <c r="J2528" s="7" t="str">
        <f>IF(Table1[[#This Row],[Is Data Valid]]=TRUE,_xlfn.NORM.S.DIST(Table1[[#This Row],[Birthweight Z-Score]],TRUE)*100,"")</f>
        <v/>
      </c>
      <c r="K2528" s="7" t="str">
        <f>IF(Table1[[#This Row],[Is Data Valid]]=TRUE,_xlfn.NORM.S.DIST(Table1[[#This Row],[Birthweight Z-Score (BW-10%)]],TRUE)*100,"")</f>
        <v/>
      </c>
      <c r="L2528" s="7" t="str">
        <f>IF(Table1[[#This Row],[Is Data Valid]]=TRUE,_xlfn.NORM.S.DIST(Table1[[#This Row],[Birthweight Z-Score (BW+10%)]],TRUE)*100,"")</f>
        <v/>
      </c>
    </row>
    <row r="2529" spans="1:12" x14ac:dyDescent="0.35">
      <c r="A2529" s="3"/>
      <c r="B2529" s="2"/>
      <c r="C2529" s="2"/>
      <c r="D2529" s="2" t="b">
        <f>IF(AND(NOT(ISBLANK(Table1[[#This Row],[Fetal Sex (Male, Female or Unknown)]])),ISNUMBER(Table1[[#This Row],[Birthweight (grams)]]),ISNUMBER(Table1[[#This Row],[Gestation (days)]])),TRUE,FALSE)</f>
        <v>0</v>
      </c>
      <c r="E2529" s="2" t="str">
        <f>IF(Table1[[#This Row],[Is Data Valid]]=TRUE,IF(Table1[[#This Row],[Fetal Sex (Male, Female or Unknown)]]="Male",Backend!$C$6,IF(Table1[[#This Row],[Fetal Sex (Male, Female or Unknown)]]="Female",Backend!$C$7,IF(Table1[[#This Row],[Fetal Sex (Male, Female or Unknown)]]="Unknown",Backend!$C$8,"Error"))),"")</f>
        <v/>
      </c>
      <c r="F2529" s="8" t="str">
        <f>IF(Table1[[#This Row],[Is Data Valid]]=TRUE,EXP(0.578+0.332*((Table1[[#This Row],[Gestation (days)]]+0.5)/7)-0.00354*((Table1[[#This Row],[Gestation (days)]]+0.5)/7)^2)*Table1[[#This Row],[BW40_3705]],"")</f>
        <v/>
      </c>
      <c r="G2529" s="2" t="str">
        <f>IF(Table1[[#This Row],[Is Data Valid]]=TRUE,((Table1[[#This Row],[Birthweight (grams)]]/Table1[[#This Row],[BW_GA]])-1)/(Backend!$B$4/100*Table1[[#This Row],[BW40_3705]]),"")</f>
        <v/>
      </c>
      <c r="H2529" s="7" t="str">
        <f>IF(Table1[[#This Row],[Is Data Valid]]=TRUE,((Table1[[#This Row],[Birthweight (grams)]]*0.9/Table1[[#This Row],[BW_GA]])-1)/(Backend!$B$4/100*Table1[[#This Row],[BW40_3705]]),"")</f>
        <v/>
      </c>
      <c r="I2529" s="7" t="str">
        <f>IF(Table1[[#This Row],[Is Data Valid]]=TRUE,((Table1[[#This Row],[Birthweight (grams)]]*1.1/Table1[[#This Row],[BW_GA]])-1)/(Backend!$B$4/100*Table1[[#This Row],[BW40_3705]]),"")</f>
        <v/>
      </c>
      <c r="J2529" s="7" t="str">
        <f>IF(Table1[[#This Row],[Is Data Valid]]=TRUE,_xlfn.NORM.S.DIST(Table1[[#This Row],[Birthweight Z-Score]],TRUE)*100,"")</f>
        <v/>
      </c>
      <c r="K2529" s="7" t="str">
        <f>IF(Table1[[#This Row],[Is Data Valid]]=TRUE,_xlfn.NORM.S.DIST(Table1[[#This Row],[Birthweight Z-Score (BW-10%)]],TRUE)*100,"")</f>
        <v/>
      </c>
      <c r="L2529" s="7" t="str">
        <f>IF(Table1[[#This Row],[Is Data Valid]]=TRUE,_xlfn.NORM.S.DIST(Table1[[#This Row],[Birthweight Z-Score (BW+10%)]],TRUE)*100,"")</f>
        <v/>
      </c>
    </row>
    <row r="2530" spans="1:12" x14ac:dyDescent="0.35">
      <c r="A2530" s="3"/>
      <c r="B2530" s="2"/>
      <c r="C2530" s="2"/>
      <c r="D2530" s="2" t="b">
        <f>IF(AND(NOT(ISBLANK(Table1[[#This Row],[Fetal Sex (Male, Female or Unknown)]])),ISNUMBER(Table1[[#This Row],[Birthweight (grams)]]),ISNUMBER(Table1[[#This Row],[Gestation (days)]])),TRUE,FALSE)</f>
        <v>0</v>
      </c>
      <c r="E2530" s="2" t="str">
        <f>IF(Table1[[#This Row],[Is Data Valid]]=TRUE,IF(Table1[[#This Row],[Fetal Sex (Male, Female or Unknown)]]="Male",Backend!$C$6,IF(Table1[[#This Row],[Fetal Sex (Male, Female or Unknown)]]="Female",Backend!$C$7,IF(Table1[[#This Row],[Fetal Sex (Male, Female or Unknown)]]="Unknown",Backend!$C$8,"Error"))),"")</f>
        <v/>
      </c>
      <c r="F2530" s="8" t="str">
        <f>IF(Table1[[#This Row],[Is Data Valid]]=TRUE,EXP(0.578+0.332*((Table1[[#This Row],[Gestation (days)]]+0.5)/7)-0.00354*((Table1[[#This Row],[Gestation (days)]]+0.5)/7)^2)*Table1[[#This Row],[BW40_3705]],"")</f>
        <v/>
      </c>
      <c r="G2530" s="2" t="str">
        <f>IF(Table1[[#This Row],[Is Data Valid]]=TRUE,((Table1[[#This Row],[Birthweight (grams)]]/Table1[[#This Row],[BW_GA]])-1)/(Backend!$B$4/100*Table1[[#This Row],[BW40_3705]]),"")</f>
        <v/>
      </c>
      <c r="H2530" s="7" t="str">
        <f>IF(Table1[[#This Row],[Is Data Valid]]=TRUE,((Table1[[#This Row],[Birthweight (grams)]]*0.9/Table1[[#This Row],[BW_GA]])-1)/(Backend!$B$4/100*Table1[[#This Row],[BW40_3705]]),"")</f>
        <v/>
      </c>
      <c r="I2530" s="7" t="str">
        <f>IF(Table1[[#This Row],[Is Data Valid]]=TRUE,((Table1[[#This Row],[Birthweight (grams)]]*1.1/Table1[[#This Row],[BW_GA]])-1)/(Backend!$B$4/100*Table1[[#This Row],[BW40_3705]]),"")</f>
        <v/>
      </c>
      <c r="J2530" s="7" t="str">
        <f>IF(Table1[[#This Row],[Is Data Valid]]=TRUE,_xlfn.NORM.S.DIST(Table1[[#This Row],[Birthweight Z-Score]],TRUE)*100,"")</f>
        <v/>
      </c>
      <c r="K2530" s="7" t="str">
        <f>IF(Table1[[#This Row],[Is Data Valid]]=TRUE,_xlfn.NORM.S.DIST(Table1[[#This Row],[Birthweight Z-Score (BW-10%)]],TRUE)*100,"")</f>
        <v/>
      </c>
      <c r="L2530" s="7" t="str">
        <f>IF(Table1[[#This Row],[Is Data Valid]]=TRUE,_xlfn.NORM.S.DIST(Table1[[#This Row],[Birthweight Z-Score (BW+10%)]],TRUE)*100,"")</f>
        <v/>
      </c>
    </row>
    <row r="2531" spans="1:12" x14ac:dyDescent="0.35">
      <c r="A2531" s="3"/>
      <c r="B2531" s="2"/>
      <c r="C2531" s="2"/>
      <c r="D2531" s="2" t="b">
        <f>IF(AND(NOT(ISBLANK(Table1[[#This Row],[Fetal Sex (Male, Female or Unknown)]])),ISNUMBER(Table1[[#This Row],[Birthweight (grams)]]),ISNUMBER(Table1[[#This Row],[Gestation (days)]])),TRUE,FALSE)</f>
        <v>0</v>
      </c>
      <c r="E2531" s="2" t="str">
        <f>IF(Table1[[#This Row],[Is Data Valid]]=TRUE,IF(Table1[[#This Row],[Fetal Sex (Male, Female or Unknown)]]="Male",Backend!$C$6,IF(Table1[[#This Row],[Fetal Sex (Male, Female or Unknown)]]="Female",Backend!$C$7,IF(Table1[[#This Row],[Fetal Sex (Male, Female or Unknown)]]="Unknown",Backend!$C$8,"Error"))),"")</f>
        <v/>
      </c>
      <c r="F2531" s="8" t="str">
        <f>IF(Table1[[#This Row],[Is Data Valid]]=TRUE,EXP(0.578+0.332*((Table1[[#This Row],[Gestation (days)]]+0.5)/7)-0.00354*((Table1[[#This Row],[Gestation (days)]]+0.5)/7)^2)*Table1[[#This Row],[BW40_3705]],"")</f>
        <v/>
      </c>
      <c r="G2531" s="2" t="str">
        <f>IF(Table1[[#This Row],[Is Data Valid]]=TRUE,((Table1[[#This Row],[Birthweight (grams)]]/Table1[[#This Row],[BW_GA]])-1)/(Backend!$B$4/100*Table1[[#This Row],[BW40_3705]]),"")</f>
        <v/>
      </c>
      <c r="H2531" s="7" t="str">
        <f>IF(Table1[[#This Row],[Is Data Valid]]=TRUE,((Table1[[#This Row],[Birthweight (grams)]]*0.9/Table1[[#This Row],[BW_GA]])-1)/(Backend!$B$4/100*Table1[[#This Row],[BW40_3705]]),"")</f>
        <v/>
      </c>
      <c r="I2531" s="7" t="str">
        <f>IF(Table1[[#This Row],[Is Data Valid]]=TRUE,((Table1[[#This Row],[Birthweight (grams)]]*1.1/Table1[[#This Row],[BW_GA]])-1)/(Backend!$B$4/100*Table1[[#This Row],[BW40_3705]]),"")</f>
        <v/>
      </c>
      <c r="J2531" s="7" t="str">
        <f>IF(Table1[[#This Row],[Is Data Valid]]=TRUE,_xlfn.NORM.S.DIST(Table1[[#This Row],[Birthweight Z-Score]],TRUE)*100,"")</f>
        <v/>
      </c>
      <c r="K2531" s="7" t="str">
        <f>IF(Table1[[#This Row],[Is Data Valid]]=TRUE,_xlfn.NORM.S.DIST(Table1[[#This Row],[Birthweight Z-Score (BW-10%)]],TRUE)*100,"")</f>
        <v/>
      </c>
      <c r="L2531" s="7" t="str">
        <f>IF(Table1[[#This Row],[Is Data Valid]]=TRUE,_xlfn.NORM.S.DIST(Table1[[#This Row],[Birthweight Z-Score (BW+10%)]],TRUE)*100,"")</f>
        <v/>
      </c>
    </row>
    <row r="2532" spans="1:12" x14ac:dyDescent="0.35">
      <c r="A2532" s="3"/>
      <c r="B2532" s="2"/>
      <c r="C2532" s="2"/>
      <c r="D2532" s="2" t="b">
        <f>IF(AND(NOT(ISBLANK(Table1[[#This Row],[Fetal Sex (Male, Female or Unknown)]])),ISNUMBER(Table1[[#This Row],[Birthweight (grams)]]),ISNUMBER(Table1[[#This Row],[Gestation (days)]])),TRUE,FALSE)</f>
        <v>0</v>
      </c>
      <c r="E2532" s="2" t="str">
        <f>IF(Table1[[#This Row],[Is Data Valid]]=TRUE,IF(Table1[[#This Row],[Fetal Sex (Male, Female or Unknown)]]="Male",Backend!$C$6,IF(Table1[[#This Row],[Fetal Sex (Male, Female or Unknown)]]="Female",Backend!$C$7,IF(Table1[[#This Row],[Fetal Sex (Male, Female or Unknown)]]="Unknown",Backend!$C$8,"Error"))),"")</f>
        <v/>
      </c>
      <c r="F2532" s="8" t="str">
        <f>IF(Table1[[#This Row],[Is Data Valid]]=TRUE,EXP(0.578+0.332*((Table1[[#This Row],[Gestation (days)]]+0.5)/7)-0.00354*((Table1[[#This Row],[Gestation (days)]]+0.5)/7)^2)*Table1[[#This Row],[BW40_3705]],"")</f>
        <v/>
      </c>
      <c r="G2532" s="2" t="str">
        <f>IF(Table1[[#This Row],[Is Data Valid]]=TRUE,((Table1[[#This Row],[Birthweight (grams)]]/Table1[[#This Row],[BW_GA]])-1)/(Backend!$B$4/100*Table1[[#This Row],[BW40_3705]]),"")</f>
        <v/>
      </c>
      <c r="H2532" s="7" t="str">
        <f>IF(Table1[[#This Row],[Is Data Valid]]=TRUE,((Table1[[#This Row],[Birthweight (grams)]]*0.9/Table1[[#This Row],[BW_GA]])-1)/(Backend!$B$4/100*Table1[[#This Row],[BW40_3705]]),"")</f>
        <v/>
      </c>
      <c r="I2532" s="7" t="str">
        <f>IF(Table1[[#This Row],[Is Data Valid]]=TRUE,((Table1[[#This Row],[Birthweight (grams)]]*1.1/Table1[[#This Row],[BW_GA]])-1)/(Backend!$B$4/100*Table1[[#This Row],[BW40_3705]]),"")</f>
        <v/>
      </c>
      <c r="J2532" s="7" t="str">
        <f>IF(Table1[[#This Row],[Is Data Valid]]=TRUE,_xlfn.NORM.S.DIST(Table1[[#This Row],[Birthweight Z-Score]],TRUE)*100,"")</f>
        <v/>
      </c>
      <c r="K2532" s="7" t="str">
        <f>IF(Table1[[#This Row],[Is Data Valid]]=TRUE,_xlfn.NORM.S.DIST(Table1[[#This Row],[Birthweight Z-Score (BW-10%)]],TRUE)*100,"")</f>
        <v/>
      </c>
      <c r="L2532" s="7" t="str">
        <f>IF(Table1[[#This Row],[Is Data Valid]]=TRUE,_xlfn.NORM.S.DIST(Table1[[#This Row],[Birthweight Z-Score (BW+10%)]],TRUE)*100,"")</f>
        <v/>
      </c>
    </row>
    <row r="2533" spans="1:12" x14ac:dyDescent="0.35">
      <c r="A2533" s="3"/>
      <c r="B2533" s="2"/>
      <c r="C2533" s="2"/>
      <c r="D2533" s="2" t="b">
        <f>IF(AND(NOT(ISBLANK(Table1[[#This Row],[Fetal Sex (Male, Female or Unknown)]])),ISNUMBER(Table1[[#This Row],[Birthweight (grams)]]),ISNUMBER(Table1[[#This Row],[Gestation (days)]])),TRUE,FALSE)</f>
        <v>0</v>
      </c>
      <c r="E2533" s="2" t="str">
        <f>IF(Table1[[#This Row],[Is Data Valid]]=TRUE,IF(Table1[[#This Row],[Fetal Sex (Male, Female or Unknown)]]="Male",Backend!$C$6,IF(Table1[[#This Row],[Fetal Sex (Male, Female or Unknown)]]="Female",Backend!$C$7,IF(Table1[[#This Row],[Fetal Sex (Male, Female or Unknown)]]="Unknown",Backend!$C$8,"Error"))),"")</f>
        <v/>
      </c>
      <c r="F2533" s="8" t="str">
        <f>IF(Table1[[#This Row],[Is Data Valid]]=TRUE,EXP(0.578+0.332*((Table1[[#This Row],[Gestation (days)]]+0.5)/7)-0.00354*((Table1[[#This Row],[Gestation (days)]]+0.5)/7)^2)*Table1[[#This Row],[BW40_3705]],"")</f>
        <v/>
      </c>
      <c r="G2533" s="2" t="str">
        <f>IF(Table1[[#This Row],[Is Data Valid]]=TRUE,((Table1[[#This Row],[Birthweight (grams)]]/Table1[[#This Row],[BW_GA]])-1)/(Backend!$B$4/100*Table1[[#This Row],[BW40_3705]]),"")</f>
        <v/>
      </c>
      <c r="H2533" s="7" t="str">
        <f>IF(Table1[[#This Row],[Is Data Valid]]=TRUE,((Table1[[#This Row],[Birthweight (grams)]]*0.9/Table1[[#This Row],[BW_GA]])-1)/(Backend!$B$4/100*Table1[[#This Row],[BW40_3705]]),"")</f>
        <v/>
      </c>
      <c r="I2533" s="7" t="str">
        <f>IF(Table1[[#This Row],[Is Data Valid]]=TRUE,((Table1[[#This Row],[Birthweight (grams)]]*1.1/Table1[[#This Row],[BW_GA]])-1)/(Backend!$B$4/100*Table1[[#This Row],[BW40_3705]]),"")</f>
        <v/>
      </c>
      <c r="J2533" s="7" t="str">
        <f>IF(Table1[[#This Row],[Is Data Valid]]=TRUE,_xlfn.NORM.S.DIST(Table1[[#This Row],[Birthweight Z-Score]],TRUE)*100,"")</f>
        <v/>
      </c>
      <c r="K2533" s="7" t="str">
        <f>IF(Table1[[#This Row],[Is Data Valid]]=TRUE,_xlfn.NORM.S.DIST(Table1[[#This Row],[Birthweight Z-Score (BW-10%)]],TRUE)*100,"")</f>
        <v/>
      </c>
      <c r="L2533" s="7" t="str">
        <f>IF(Table1[[#This Row],[Is Data Valid]]=TRUE,_xlfn.NORM.S.DIST(Table1[[#This Row],[Birthweight Z-Score (BW+10%)]],TRUE)*100,"")</f>
        <v/>
      </c>
    </row>
    <row r="2534" spans="1:12" x14ac:dyDescent="0.35">
      <c r="A2534" s="3"/>
      <c r="B2534" s="2"/>
      <c r="C2534" s="2"/>
      <c r="D2534" s="2" t="b">
        <f>IF(AND(NOT(ISBLANK(Table1[[#This Row],[Fetal Sex (Male, Female or Unknown)]])),ISNUMBER(Table1[[#This Row],[Birthweight (grams)]]),ISNUMBER(Table1[[#This Row],[Gestation (days)]])),TRUE,FALSE)</f>
        <v>0</v>
      </c>
      <c r="E2534" s="2" t="str">
        <f>IF(Table1[[#This Row],[Is Data Valid]]=TRUE,IF(Table1[[#This Row],[Fetal Sex (Male, Female or Unknown)]]="Male",Backend!$C$6,IF(Table1[[#This Row],[Fetal Sex (Male, Female or Unknown)]]="Female",Backend!$C$7,IF(Table1[[#This Row],[Fetal Sex (Male, Female or Unknown)]]="Unknown",Backend!$C$8,"Error"))),"")</f>
        <v/>
      </c>
      <c r="F2534" s="8" t="str">
        <f>IF(Table1[[#This Row],[Is Data Valid]]=TRUE,EXP(0.578+0.332*((Table1[[#This Row],[Gestation (days)]]+0.5)/7)-0.00354*((Table1[[#This Row],[Gestation (days)]]+0.5)/7)^2)*Table1[[#This Row],[BW40_3705]],"")</f>
        <v/>
      </c>
      <c r="G2534" s="2" t="str">
        <f>IF(Table1[[#This Row],[Is Data Valid]]=TRUE,((Table1[[#This Row],[Birthweight (grams)]]/Table1[[#This Row],[BW_GA]])-1)/(Backend!$B$4/100*Table1[[#This Row],[BW40_3705]]),"")</f>
        <v/>
      </c>
      <c r="H2534" s="7" t="str">
        <f>IF(Table1[[#This Row],[Is Data Valid]]=TRUE,((Table1[[#This Row],[Birthweight (grams)]]*0.9/Table1[[#This Row],[BW_GA]])-1)/(Backend!$B$4/100*Table1[[#This Row],[BW40_3705]]),"")</f>
        <v/>
      </c>
      <c r="I2534" s="7" t="str">
        <f>IF(Table1[[#This Row],[Is Data Valid]]=TRUE,((Table1[[#This Row],[Birthweight (grams)]]*1.1/Table1[[#This Row],[BW_GA]])-1)/(Backend!$B$4/100*Table1[[#This Row],[BW40_3705]]),"")</f>
        <v/>
      </c>
      <c r="J2534" s="7" t="str">
        <f>IF(Table1[[#This Row],[Is Data Valid]]=TRUE,_xlfn.NORM.S.DIST(Table1[[#This Row],[Birthweight Z-Score]],TRUE)*100,"")</f>
        <v/>
      </c>
      <c r="K2534" s="7" t="str">
        <f>IF(Table1[[#This Row],[Is Data Valid]]=TRUE,_xlfn.NORM.S.DIST(Table1[[#This Row],[Birthweight Z-Score (BW-10%)]],TRUE)*100,"")</f>
        <v/>
      </c>
      <c r="L2534" s="7" t="str">
        <f>IF(Table1[[#This Row],[Is Data Valid]]=TRUE,_xlfn.NORM.S.DIST(Table1[[#This Row],[Birthweight Z-Score (BW+10%)]],TRUE)*100,"")</f>
        <v/>
      </c>
    </row>
    <row r="2535" spans="1:12" x14ac:dyDescent="0.35">
      <c r="A2535" s="3"/>
      <c r="B2535" s="2"/>
      <c r="C2535" s="2"/>
      <c r="D2535" s="2" t="b">
        <f>IF(AND(NOT(ISBLANK(Table1[[#This Row],[Fetal Sex (Male, Female or Unknown)]])),ISNUMBER(Table1[[#This Row],[Birthweight (grams)]]),ISNUMBER(Table1[[#This Row],[Gestation (days)]])),TRUE,FALSE)</f>
        <v>0</v>
      </c>
      <c r="E2535" s="2" t="str">
        <f>IF(Table1[[#This Row],[Is Data Valid]]=TRUE,IF(Table1[[#This Row],[Fetal Sex (Male, Female or Unknown)]]="Male",Backend!$C$6,IF(Table1[[#This Row],[Fetal Sex (Male, Female or Unknown)]]="Female",Backend!$C$7,IF(Table1[[#This Row],[Fetal Sex (Male, Female or Unknown)]]="Unknown",Backend!$C$8,"Error"))),"")</f>
        <v/>
      </c>
      <c r="F2535" s="8" t="str">
        <f>IF(Table1[[#This Row],[Is Data Valid]]=TRUE,EXP(0.578+0.332*((Table1[[#This Row],[Gestation (days)]]+0.5)/7)-0.00354*((Table1[[#This Row],[Gestation (days)]]+0.5)/7)^2)*Table1[[#This Row],[BW40_3705]],"")</f>
        <v/>
      </c>
      <c r="G2535" s="2" t="str">
        <f>IF(Table1[[#This Row],[Is Data Valid]]=TRUE,((Table1[[#This Row],[Birthweight (grams)]]/Table1[[#This Row],[BW_GA]])-1)/(Backend!$B$4/100*Table1[[#This Row],[BW40_3705]]),"")</f>
        <v/>
      </c>
      <c r="H2535" s="7" t="str">
        <f>IF(Table1[[#This Row],[Is Data Valid]]=TRUE,((Table1[[#This Row],[Birthweight (grams)]]*0.9/Table1[[#This Row],[BW_GA]])-1)/(Backend!$B$4/100*Table1[[#This Row],[BW40_3705]]),"")</f>
        <v/>
      </c>
      <c r="I2535" s="7" t="str">
        <f>IF(Table1[[#This Row],[Is Data Valid]]=TRUE,((Table1[[#This Row],[Birthweight (grams)]]*1.1/Table1[[#This Row],[BW_GA]])-1)/(Backend!$B$4/100*Table1[[#This Row],[BW40_3705]]),"")</f>
        <v/>
      </c>
      <c r="J2535" s="7" t="str">
        <f>IF(Table1[[#This Row],[Is Data Valid]]=TRUE,_xlfn.NORM.S.DIST(Table1[[#This Row],[Birthweight Z-Score]],TRUE)*100,"")</f>
        <v/>
      </c>
      <c r="K2535" s="7" t="str">
        <f>IF(Table1[[#This Row],[Is Data Valid]]=TRUE,_xlfn.NORM.S.DIST(Table1[[#This Row],[Birthweight Z-Score (BW-10%)]],TRUE)*100,"")</f>
        <v/>
      </c>
      <c r="L2535" s="7" t="str">
        <f>IF(Table1[[#This Row],[Is Data Valid]]=TRUE,_xlfn.NORM.S.DIST(Table1[[#This Row],[Birthweight Z-Score (BW+10%)]],TRUE)*100,"")</f>
        <v/>
      </c>
    </row>
    <row r="2536" spans="1:12" x14ac:dyDescent="0.35">
      <c r="A2536" s="3"/>
      <c r="B2536" s="2"/>
      <c r="C2536" s="2"/>
      <c r="D2536" s="2" t="b">
        <f>IF(AND(NOT(ISBLANK(Table1[[#This Row],[Fetal Sex (Male, Female or Unknown)]])),ISNUMBER(Table1[[#This Row],[Birthweight (grams)]]),ISNUMBER(Table1[[#This Row],[Gestation (days)]])),TRUE,FALSE)</f>
        <v>0</v>
      </c>
      <c r="E2536" s="2" t="str">
        <f>IF(Table1[[#This Row],[Is Data Valid]]=TRUE,IF(Table1[[#This Row],[Fetal Sex (Male, Female or Unknown)]]="Male",Backend!$C$6,IF(Table1[[#This Row],[Fetal Sex (Male, Female or Unknown)]]="Female",Backend!$C$7,IF(Table1[[#This Row],[Fetal Sex (Male, Female or Unknown)]]="Unknown",Backend!$C$8,"Error"))),"")</f>
        <v/>
      </c>
      <c r="F2536" s="8" t="str">
        <f>IF(Table1[[#This Row],[Is Data Valid]]=TRUE,EXP(0.578+0.332*((Table1[[#This Row],[Gestation (days)]]+0.5)/7)-0.00354*((Table1[[#This Row],[Gestation (days)]]+0.5)/7)^2)*Table1[[#This Row],[BW40_3705]],"")</f>
        <v/>
      </c>
      <c r="G2536" s="2" t="str">
        <f>IF(Table1[[#This Row],[Is Data Valid]]=TRUE,((Table1[[#This Row],[Birthweight (grams)]]/Table1[[#This Row],[BW_GA]])-1)/(Backend!$B$4/100*Table1[[#This Row],[BW40_3705]]),"")</f>
        <v/>
      </c>
      <c r="H2536" s="7" t="str">
        <f>IF(Table1[[#This Row],[Is Data Valid]]=TRUE,((Table1[[#This Row],[Birthweight (grams)]]*0.9/Table1[[#This Row],[BW_GA]])-1)/(Backend!$B$4/100*Table1[[#This Row],[BW40_3705]]),"")</f>
        <v/>
      </c>
      <c r="I2536" s="7" t="str">
        <f>IF(Table1[[#This Row],[Is Data Valid]]=TRUE,((Table1[[#This Row],[Birthweight (grams)]]*1.1/Table1[[#This Row],[BW_GA]])-1)/(Backend!$B$4/100*Table1[[#This Row],[BW40_3705]]),"")</f>
        <v/>
      </c>
      <c r="J2536" s="7" t="str">
        <f>IF(Table1[[#This Row],[Is Data Valid]]=TRUE,_xlfn.NORM.S.DIST(Table1[[#This Row],[Birthweight Z-Score]],TRUE)*100,"")</f>
        <v/>
      </c>
      <c r="K2536" s="7" t="str">
        <f>IF(Table1[[#This Row],[Is Data Valid]]=TRUE,_xlfn.NORM.S.DIST(Table1[[#This Row],[Birthweight Z-Score (BW-10%)]],TRUE)*100,"")</f>
        <v/>
      </c>
      <c r="L2536" s="7" t="str">
        <f>IF(Table1[[#This Row],[Is Data Valid]]=TRUE,_xlfn.NORM.S.DIST(Table1[[#This Row],[Birthweight Z-Score (BW+10%)]],TRUE)*100,"")</f>
        <v/>
      </c>
    </row>
    <row r="2537" spans="1:12" x14ac:dyDescent="0.35">
      <c r="A2537" s="3"/>
      <c r="B2537" s="2"/>
      <c r="C2537" s="2"/>
      <c r="D2537" s="2" t="b">
        <f>IF(AND(NOT(ISBLANK(Table1[[#This Row],[Fetal Sex (Male, Female or Unknown)]])),ISNUMBER(Table1[[#This Row],[Birthweight (grams)]]),ISNUMBER(Table1[[#This Row],[Gestation (days)]])),TRUE,FALSE)</f>
        <v>0</v>
      </c>
      <c r="E2537" s="2" t="str">
        <f>IF(Table1[[#This Row],[Is Data Valid]]=TRUE,IF(Table1[[#This Row],[Fetal Sex (Male, Female or Unknown)]]="Male",Backend!$C$6,IF(Table1[[#This Row],[Fetal Sex (Male, Female or Unknown)]]="Female",Backend!$C$7,IF(Table1[[#This Row],[Fetal Sex (Male, Female or Unknown)]]="Unknown",Backend!$C$8,"Error"))),"")</f>
        <v/>
      </c>
      <c r="F2537" s="8" t="str">
        <f>IF(Table1[[#This Row],[Is Data Valid]]=TRUE,EXP(0.578+0.332*((Table1[[#This Row],[Gestation (days)]]+0.5)/7)-0.00354*((Table1[[#This Row],[Gestation (days)]]+0.5)/7)^2)*Table1[[#This Row],[BW40_3705]],"")</f>
        <v/>
      </c>
      <c r="G2537" s="2" t="str">
        <f>IF(Table1[[#This Row],[Is Data Valid]]=TRUE,((Table1[[#This Row],[Birthweight (grams)]]/Table1[[#This Row],[BW_GA]])-1)/(Backend!$B$4/100*Table1[[#This Row],[BW40_3705]]),"")</f>
        <v/>
      </c>
      <c r="H2537" s="7" t="str">
        <f>IF(Table1[[#This Row],[Is Data Valid]]=TRUE,((Table1[[#This Row],[Birthweight (grams)]]*0.9/Table1[[#This Row],[BW_GA]])-1)/(Backend!$B$4/100*Table1[[#This Row],[BW40_3705]]),"")</f>
        <v/>
      </c>
      <c r="I2537" s="7" t="str">
        <f>IF(Table1[[#This Row],[Is Data Valid]]=TRUE,((Table1[[#This Row],[Birthweight (grams)]]*1.1/Table1[[#This Row],[BW_GA]])-1)/(Backend!$B$4/100*Table1[[#This Row],[BW40_3705]]),"")</f>
        <v/>
      </c>
      <c r="J2537" s="7" t="str">
        <f>IF(Table1[[#This Row],[Is Data Valid]]=TRUE,_xlfn.NORM.S.DIST(Table1[[#This Row],[Birthweight Z-Score]],TRUE)*100,"")</f>
        <v/>
      </c>
      <c r="K2537" s="7" t="str">
        <f>IF(Table1[[#This Row],[Is Data Valid]]=TRUE,_xlfn.NORM.S.DIST(Table1[[#This Row],[Birthweight Z-Score (BW-10%)]],TRUE)*100,"")</f>
        <v/>
      </c>
      <c r="L2537" s="7" t="str">
        <f>IF(Table1[[#This Row],[Is Data Valid]]=TRUE,_xlfn.NORM.S.DIST(Table1[[#This Row],[Birthweight Z-Score (BW+10%)]],TRUE)*100,"")</f>
        <v/>
      </c>
    </row>
    <row r="2538" spans="1:12" x14ac:dyDescent="0.35">
      <c r="A2538" s="3"/>
      <c r="B2538" s="2"/>
      <c r="C2538" s="2"/>
      <c r="D2538" s="2" t="b">
        <f>IF(AND(NOT(ISBLANK(Table1[[#This Row],[Fetal Sex (Male, Female or Unknown)]])),ISNUMBER(Table1[[#This Row],[Birthweight (grams)]]),ISNUMBER(Table1[[#This Row],[Gestation (days)]])),TRUE,FALSE)</f>
        <v>0</v>
      </c>
      <c r="E2538" s="2" t="str">
        <f>IF(Table1[[#This Row],[Is Data Valid]]=TRUE,IF(Table1[[#This Row],[Fetal Sex (Male, Female or Unknown)]]="Male",Backend!$C$6,IF(Table1[[#This Row],[Fetal Sex (Male, Female or Unknown)]]="Female",Backend!$C$7,IF(Table1[[#This Row],[Fetal Sex (Male, Female or Unknown)]]="Unknown",Backend!$C$8,"Error"))),"")</f>
        <v/>
      </c>
      <c r="F2538" s="8" t="str">
        <f>IF(Table1[[#This Row],[Is Data Valid]]=TRUE,EXP(0.578+0.332*((Table1[[#This Row],[Gestation (days)]]+0.5)/7)-0.00354*((Table1[[#This Row],[Gestation (days)]]+0.5)/7)^2)*Table1[[#This Row],[BW40_3705]],"")</f>
        <v/>
      </c>
      <c r="G2538" s="2" t="str">
        <f>IF(Table1[[#This Row],[Is Data Valid]]=TRUE,((Table1[[#This Row],[Birthweight (grams)]]/Table1[[#This Row],[BW_GA]])-1)/(Backend!$B$4/100*Table1[[#This Row],[BW40_3705]]),"")</f>
        <v/>
      </c>
      <c r="H2538" s="7" t="str">
        <f>IF(Table1[[#This Row],[Is Data Valid]]=TRUE,((Table1[[#This Row],[Birthweight (grams)]]*0.9/Table1[[#This Row],[BW_GA]])-1)/(Backend!$B$4/100*Table1[[#This Row],[BW40_3705]]),"")</f>
        <v/>
      </c>
      <c r="I2538" s="7" t="str">
        <f>IF(Table1[[#This Row],[Is Data Valid]]=TRUE,((Table1[[#This Row],[Birthweight (grams)]]*1.1/Table1[[#This Row],[BW_GA]])-1)/(Backend!$B$4/100*Table1[[#This Row],[BW40_3705]]),"")</f>
        <v/>
      </c>
      <c r="J2538" s="7" t="str">
        <f>IF(Table1[[#This Row],[Is Data Valid]]=TRUE,_xlfn.NORM.S.DIST(Table1[[#This Row],[Birthweight Z-Score]],TRUE)*100,"")</f>
        <v/>
      </c>
      <c r="K2538" s="7" t="str">
        <f>IF(Table1[[#This Row],[Is Data Valid]]=TRUE,_xlfn.NORM.S.DIST(Table1[[#This Row],[Birthweight Z-Score (BW-10%)]],TRUE)*100,"")</f>
        <v/>
      </c>
      <c r="L2538" s="7" t="str">
        <f>IF(Table1[[#This Row],[Is Data Valid]]=TRUE,_xlfn.NORM.S.DIST(Table1[[#This Row],[Birthweight Z-Score (BW+10%)]],TRUE)*100,"")</f>
        <v/>
      </c>
    </row>
    <row r="2539" spans="1:12" x14ac:dyDescent="0.35">
      <c r="A2539" s="3"/>
      <c r="B2539" s="2"/>
      <c r="C2539" s="2"/>
      <c r="D2539" s="2" t="b">
        <f>IF(AND(NOT(ISBLANK(Table1[[#This Row],[Fetal Sex (Male, Female or Unknown)]])),ISNUMBER(Table1[[#This Row],[Birthweight (grams)]]),ISNUMBER(Table1[[#This Row],[Gestation (days)]])),TRUE,FALSE)</f>
        <v>0</v>
      </c>
      <c r="E2539" s="2" t="str">
        <f>IF(Table1[[#This Row],[Is Data Valid]]=TRUE,IF(Table1[[#This Row],[Fetal Sex (Male, Female or Unknown)]]="Male",Backend!$C$6,IF(Table1[[#This Row],[Fetal Sex (Male, Female or Unknown)]]="Female",Backend!$C$7,IF(Table1[[#This Row],[Fetal Sex (Male, Female or Unknown)]]="Unknown",Backend!$C$8,"Error"))),"")</f>
        <v/>
      </c>
      <c r="F2539" s="8" t="str">
        <f>IF(Table1[[#This Row],[Is Data Valid]]=TRUE,EXP(0.578+0.332*((Table1[[#This Row],[Gestation (days)]]+0.5)/7)-0.00354*((Table1[[#This Row],[Gestation (days)]]+0.5)/7)^2)*Table1[[#This Row],[BW40_3705]],"")</f>
        <v/>
      </c>
      <c r="G2539" s="2" t="str">
        <f>IF(Table1[[#This Row],[Is Data Valid]]=TRUE,((Table1[[#This Row],[Birthweight (grams)]]/Table1[[#This Row],[BW_GA]])-1)/(Backend!$B$4/100*Table1[[#This Row],[BW40_3705]]),"")</f>
        <v/>
      </c>
      <c r="H2539" s="7" t="str">
        <f>IF(Table1[[#This Row],[Is Data Valid]]=TRUE,((Table1[[#This Row],[Birthweight (grams)]]*0.9/Table1[[#This Row],[BW_GA]])-1)/(Backend!$B$4/100*Table1[[#This Row],[BW40_3705]]),"")</f>
        <v/>
      </c>
      <c r="I2539" s="7" t="str">
        <f>IF(Table1[[#This Row],[Is Data Valid]]=TRUE,((Table1[[#This Row],[Birthweight (grams)]]*1.1/Table1[[#This Row],[BW_GA]])-1)/(Backend!$B$4/100*Table1[[#This Row],[BW40_3705]]),"")</f>
        <v/>
      </c>
      <c r="J2539" s="7" t="str">
        <f>IF(Table1[[#This Row],[Is Data Valid]]=TRUE,_xlfn.NORM.S.DIST(Table1[[#This Row],[Birthweight Z-Score]],TRUE)*100,"")</f>
        <v/>
      </c>
      <c r="K2539" s="7" t="str">
        <f>IF(Table1[[#This Row],[Is Data Valid]]=TRUE,_xlfn.NORM.S.DIST(Table1[[#This Row],[Birthweight Z-Score (BW-10%)]],TRUE)*100,"")</f>
        <v/>
      </c>
      <c r="L2539" s="7" t="str">
        <f>IF(Table1[[#This Row],[Is Data Valid]]=TRUE,_xlfn.NORM.S.DIST(Table1[[#This Row],[Birthweight Z-Score (BW+10%)]],TRUE)*100,"")</f>
        <v/>
      </c>
    </row>
    <row r="2540" spans="1:12" x14ac:dyDescent="0.35">
      <c r="A2540" s="3"/>
      <c r="B2540" s="2"/>
      <c r="C2540" s="2"/>
      <c r="D2540" s="2" t="b">
        <f>IF(AND(NOT(ISBLANK(Table1[[#This Row],[Fetal Sex (Male, Female or Unknown)]])),ISNUMBER(Table1[[#This Row],[Birthweight (grams)]]),ISNUMBER(Table1[[#This Row],[Gestation (days)]])),TRUE,FALSE)</f>
        <v>0</v>
      </c>
      <c r="E2540" s="2" t="str">
        <f>IF(Table1[[#This Row],[Is Data Valid]]=TRUE,IF(Table1[[#This Row],[Fetal Sex (Male, Female or Unknown)]]="Male",Backend!$C$6,IF(Table1[[#This Row],[Fetal Sex (Male, Female or Unknown)]]="Female",Backend!$C$7,IF(Table1[[#This Row],[Fetal Sex (Male, Female or Unknown)]]="Unknown",Backend!$C$8,"Error"))),"")</f>
        <v/>
      </c>
      <c r="F2540" s="8" t="str">
        <f>IF(Table1[[#This Row],[Is Data Valid]]=TRUE,EXP(0.578+0.332*((Table1[[#This Row],[Gestation (days)]]+0.5)/7)-0.00354*((Table1[[#This Row],[Gestation (days)]]+0.5)/7)^2)*Table1[[#This Row],[BW40_3705]],"")</f>
        <v/>
      </c>
      <c r="G2540" s="2" t="str">
        <f>IF(Table1[[#This Row],[Is Data Valid]]=TRUE,((Table1[[#This Row],[Birthweight (grams)]]/Table1[[#This Row],[BW_GA]])-1)/(Backend!$B$4/100*Table1[[#This Row],[BW40_3705]]),"")</f>
        <v/>
      </c>
      <c r="H2540" s="7" t="str">
        <f>IF(Table1[[#This Row],[Is Data Valid]]=TRUE,((Table1[[#This Row],[Birthweight (grams)]]*0.9/Table1[[#This Row],[BW_GA]])-1)/(Backend!$B$4/100*Table1[[#This Row],[BW40_3705]]),"")</f>
        <v/>
      </c>
      <c r="I2540" s="7" t="str">
        <f>IF(Table1[[#This Row],[Is Data Valid]]=TRUE,((Table1[[#This Row],[Birthweight (grams)]]*1.1/Table1[[#This Row],[BW_GA]])-1)/(Backend!$B$4/100*Table1[[#This Row],[BW40_3705]]),"")</f>
        <v/>
      </c>
      <c r="J2540" s="7" t="str">
        <f>IF(Table1[[#This Row],[Is Data Valid]]=TRUE,_xlfn.NORM.S.DIST(Table1[[#This Row],[Birthweight Z-Score]],TRUE)*100,"")</f>
        <v/>
      </c>
      <c r="K2540" s="7" t="str">
        <f>IF(Table1[[#This Row],[Is Data Valid]]=TRUE,_xlfn.NORM.S.DIST(Table1[[#This Row],[Birthweight Z-Score (BW-10%)]],TRUE)*100,"")</f>
        <v/>
      </c>
      <c r="L2540" s="7" t="str">
        <f>IF(Table1[[#This Row],[Is Data Valid]]=TRUE,_xlfn.NORM.S.DIST(Table1[[#This Row],[Birthweight Z-Score (BW+10%)]],TRUE)*100,"")</f>
        <v/>
      </c>
    </row>
    <row r="2541" spans="1:12" x14ac:dyDescent="0.35">
      <c r="A2541" s="3"/>
      <c r="B2541" s="2"/>
      <c r="C2541" s="2"/>
      <c r="D2541" s="2" t="b">
        <f>IF(AND(NOT(ISBLANK(Table1[[#This Row],[Fetal Sex (Male, Female or Unknown)]])),ISNUMBER(Table1[[#This Row],[Birthweight (grams)]]),ISNUMBER(Table1[[#This Row],[Gestation (days)]])),TRUE,FALSE)</f>
        <v>0</v>
      </c>
      <c r="E2541" s="2" t="str">
        <f>IF(Table1[[#This Row],[Is Data Valid]]=TRUE,IF(Table1[[#This Row],[Fetal Sex (Male, Female or Unknown)]]="Male",Backend!$C$6,IF(Table1[[#This Row],[Fetal Sex (Male, Female or Unknown)]]="Female",Backend!$C$7,IF(Table1[[#This Row],[Fetal Sex (Male, Female or Unknown)]]="Unknown",Backend!$C$8,"Error"))),"")</f>
        <v/>
      </c>
      <c r="F2541" s="8" t="str">
        <f>IF(Table1[[#This Row],[Is Data Valid]]=TRUE,EXP(0.578+0.332*((Table1[[#This Row],[Gestation (days)]]+0.5)/7)-0.00354*((Table1[[#This Row],[Gestation (days)]]+0.5)/7)^2)*Table1[[#This Row],[BW40_3705]],"")</f>
        <v/>
      </c>
      <c r="G2541" s="2" t="str">
        <f>IF(Table1[[#This Row],[Is Data Valid]]=TRUE,((Table1[[#This Row],[Birthweight (grams)]]/Table1[[#This Row],[BW_GA]])-1)/(Backend!$B$4/100*Table1[[#This Row],[BW40_3705]]),"")</f>
        <v/>
      </c>
      <c r="H2541" s="7" t="str">
        <f>IF(Table1[[#This Row],[Is Data Valid]]=TRUE,((Table1[[#This Row],[Birthweight (grams)]]*0.9/Table1[[#This Row],[BW_GA]])-1)/(Backend!$B$4/100*Table1[[#This Row],[BW40_3705]]),"")</f>
        <v/>
      </c>
      <c r="I2541" s="7" t="str">
        <f>IF(Table1[[#This Row],[Is Data Valid]]=TRUE,((Table1[[#This Row],[Birthweight (grams)]]*1.1/Table1[[#This Row],[BW_GA]])-1)/(Backend!$B$4/100*Table1[[#This Row],[BW40_3705]]),"")</f>
        <v/>
      </c>
      <c r="J2541" s="7" t="str">
        <f>IF(Table1[[#This Row],[Is Data Valid]]=TRUE,_xlfn.NORM.S.DIST(Table1[[#This Row],[Birthweight Z-Score]],TRUE)*100,"")</f>
        <v/>
      </c>
      <c r="K2541" s="7" t="str">
        <f>IF(Table1[[#This Row],[Is Data Valid]]=TRUE,_xlfn.NORM.S.DIST(Table1[[#This Row],[Birthweight Z-Score (BW-10%)]],TRUE)*100,"")</f>
        <v/>
      </c>
      <c r="L2541" s="7" t="str">
        <f>IF(Table1[[#This Row],[Is Data Valid]]=TRUE,_xlfn.NORM.S.DIST(Table1[[#This Row],[Birthweight Z-Score (BW+10%)]],TRUE)*100,"")</f>
        <v/>
      </c>
    </row>
    <row r="2542" spans="1:12" x14ac:dyDescent="0.35">
      <c r="A2542" s="3"/>
      <c r="B2542" s="2"/>
      <c r="C2542" s="2"/>
      <c r="D2542" s="2" t="b">
        <f>IF(AND(NOT(ISBLANK(Table1[[#This Row],[Fetal Sex (Male, Female or Unknown)]])),ISNUMBER(Table1[[#This Row],[Birthweight (grams)]]),ISNUMBER(Table1[[#This Row],[Gestation (days)]])),TRUE,FALSE)</f>
        <v>0</v>
      </c>
      <c r="E2542" s="2" t="str">
        <f>IF(Table1[[#This Row],[Is Data Valid]]=TRUE,IF(Table1[[#This Row],[Fetal Sex (Male, Female or Unknown)]]="Male",Backend!$C$6,IF(Table1[[#This Row],[Fetal Sex (Male, Female or Unknown)]]="Female",Backend!$C$7,IF(Table1[[#This Row],[Fetal Sex (Male, Female or Unknown)]]="Unknown",Backend!$C$8,"Error"))),"")</f>
        <v/>
      </c>
      <c r="F2542" s="8" t="str">
        <f>IF(Table1[[#This Row],[Is Data Valid]]=TRUE,EXP(0.578+0.332*((Table1[[#This Row],[Gestation (days)]]+0.5)/7)-0.00354*((Table1[[#This Row],[Gestation (days)]]+0.5)/7)^2)*Table1[[#This Row],[BW40_3705]],"")</f>
        <v/>
      </c>
      <c r="G2542" s="2" t="str">
        <f>IF(Table1[[#This Row],[Is Data Valid]]=TRUE,((Table1[[#This Row],[Birthweight (grams)]]/Table1[[#This Row],[BW_GA]])-1)/(Backend!$B$4/100*Table1[[#This Row],[BW40_3705]]),"")</f>
        <v/>
      </c>
      <c r="H2542" s="7" t="str">
        <f>IF(Table1[[#This Row],[Is Data Valid]]=TRUE,((Table1[[#This Row],[Birthweight (grams)]]*0.9/Table1[[#This Row],[BW_GA]])-1)/(Backend!$B$4/100*Table1[[#This Row],[BW40_3705]]),"")</f>
        <v/>
      </c>
      <c r="I2542" s="7" t="str">
        <f>IF(Table1[[#This Row],[Is Data Valid]]=TRUE,((Table1[[#This Row],[Birthweight (grams)]]*1.1/Table1[[#This Row],[BW_GA]])-1)/(Backend!$B$4/100*Table1[[#This Row],[BW40_3705]]),"")</f>
        <v/>
      </c>
      <c r="J2542" s="7" t="str">
        <f>IF(Table1[[#This Row],[Is Data Valid]]=TRUE,_xlfn.NORM.S.DIST(Table1[[#This Row],[Birthweight Z-Score]],TRUE)*100,"")</f>
        <v/>
      </c>
      <c r="K2542" s="7" t="str">
        <f>IF(Table1[[#This Row],[Is Data Valid]]=TRUE,_xlfn.NORM.S.DIST(Table1[[#This Row],[Birthweight Z-Score (BW-10%)]],TRUE)*100,"")</f>
        <v/>
      </c>
      <c r="L2542" s="7" t="str">
        <f>IF(Table1[[#This Row],[Is Data Valid]]=TRUE,_xlfn.NORM.S.DIST(Table1[[#This Row],[Birthweight Z-Score (BW+10%)]],TRUE)*100,"")</f>
        <v/>
      </c>
    </row>
    <row r="2543" spans="1:12" x14ac:dyDescent="0.35">
      <c r="A2543" s="3"/>
      <c r="B2543" s="2"/>
      <c r="C2543" s="2"/>
      <c r="D2543" s="2" t="b">
        <f>IF(AND(NOT(ISBLANK(Table1[[#This Row],[Fetal Sex (Male, Female or Unknown)]])),ISNUMBER(Table1[[#This Row],[Birthweight (grams)]]),ISNUMBER(Table1[[#This Row],[Gestation (days)]])),TRUE,FALSE)</f>
        <v>0</v>
      </c>
      <c r="E2543" s="2" t="str">
        <f>IF(Table1[[#This Row],[Is Data Valid]]=TRUE,IF(Table1[[#This Row],[Fetal Sex (Male, Female or Unknown)]]="Male",Backend!$C$6,IF(Table1[[#This Row],[Fetal Sex (Male, Female or Unknown)]]="Female",Backend!$C$7,IF(Table1[[#This Row],[Fetal Sex (Male, Female or Unknown)]]="Unknown",Backend!$C$8,"Error"))),"")</f>
        <v/>
      </c>
      <c r="F2543" s="8" t="str">
        <f>IF(Table1[[#This Row],[Is Data Valid]]=TRUE,EXP(0.578+0.332*((Table1[[#This Row],[Gestation (days)]]+0.5)/7)-0.00354*((Table1[[#This Row],[Gestation (days)]]+0.5)/7)^2)*Table1[[#This Row],[BW40_3705]],"")</f>
        <v/>
      </c>
      <c r="G2543" s="2" t="str">
        <f>IF(Table1[[#This Row],[Is Data Valid]]=TRUE,((Table1[[#This Row],[Birthweight (grams)]]/Table1[[#This Row],[BW_GA]])-1)/(Backend!$B$4/100*Table1[[#This Row],[BW40_3705]]),"")</f>
        <v/>
      </c>
      <c r="H2543" s="7" t="str">
        <f>IF(Table1[[#This Row],[Is Data Valid]]=TRUE,((Table1[[#This Row],[Birthweight (grams)]]*0.9/Table1[[#This Row],[BW_GA]])-1)/(Backend!$B$4/100*Table1[[#This Row],[BW40_3705]]),"")</f>
        <v/>
      </c>
      <c r="I2543" s="7" t="str">
        <f>IF(Table1[[#This Row],[Is Data Valid]]=TRUE,((Table1[[#This Row],[Birthweight (grams)]]*1.1/Table1[[#This Row],[BW_GA]])-1)/(Backend!$B$4/100*Table1[[#This Row],[BW40_3705]]),"")</f>
        <v/>
      </c>
      <c r="J2543" s="7" t="str">
        <f>IF(Table1[[#This Row],[Is Data Valid]]=TRUE,_xlfn.NORM.S.DIST(Table1[[#This Row],[Birthweight Z-Score]],TRUE)*100,"")</f>
        <v/>
      </c>
      <c r="K2543" s="7" t="str">
        <f>IF(Table1[[#This Row],[Is Data Valid]]=TRUE,_xlfn.NORM.S.DIST(Table1[[#This Row],[Birthweight Z-Score (BW-10%)]],TRUE)*100,"")</f>
        <v/>
      </c>
      <c r="L2543" s="7" t="str">
        <f>IF(Table1[[#This Row],[Is Data Valid]]=TRUE,_xlfn.NORM.S.DIST(Table1[[#This Row],[Birthweight Z-Score (BW+10%)]],TRUE)*100,"")</f>
        <v/>
      </c>
    </row>
    <row r="2544" spans="1:12" x14ac:dyDescent="0.35">
      <c r="A2544" s="3"/>
      <c r="B2544" s="2"/>
      <c r="C2544" s="2"/>
      <c r="D2544" s="2" t="b">
        <f>IF(AND(NOT(ISBLANK(Table1[[#This Row],[Fetal Sex (Male, Female or Unknown)]])),ISNUMBER(Table1[[#This Row],[Birthweight (grams)]]),ISNUMBER(Table1[[#This Row],[Gestation (days)]])),TRUE,FALSE)</f>
        <v>0</v>
      </c>
      <c r="E2544" s="2" t="str">
        <f>IF(Table1[[#This Row],[Is Data Valid]]=TRUE,IF(Table1[[#This Row],[Fetal Sex (Male, Female or Unknown)]]="Male",Backend!$C$6,IF(Table1[[#This Row],[Fetal Sex (Male, Female or Unknown)]]="Female",Backend!$C$7,IF(Table1[[#This Row],[Fetal Sex (Male, Female or Unknown)]]="Unknown",Backend!$C$8,"Error"))),"")</f>
        <v/>
      </c>
      <c r="F2544" s="8" t="str">
        <f>IF(Table1[[#This Row],[Is Data Valid]]=TRUE,EXP(0.578+0.332*((Table1[[#This Row],[Gestation (days)]]+0.5)/7)-0.00354*((Table1[[#This Row],[Gestation (days)]]+0.5)/7)^2)*Table1[[#This Row],[BW40_3705]],"")</f>
        <v/>
      </c>
      <c r="G2544" s="2" t="str">
        <f>IF(Table1[[#This Row],[Is Data Valid]]=TRUE,((Table1[[#This Row],[Birthweight (grams)]]/Table1[[#This Row],[BW_GA]])-1)/(Backend!$B$4/100*Table1[[#This Row],[BW40_3705]]),"")</f>
        <v/>
      </c>
      <c r="H2544" s="7" t="str">
        <f>IF(Table1[[#This Row],[Is Data Valid]]=TRUE,((Table1[[#This Row],[Birthweight (grams)]]*0.9/Table1[[#This Row],[BW_GA]])-1)/(Backend!$B$4/100*Table1[[#This Row],[BW40_3705]]),"")</f>
        <v/>
      </c>
      <c r="I2544" s="7" t="str">
        <f>IF(Table1[[#This Row],[Is Data Valid]]=TRUE,((Table1[[#This Row],[Birthweight (grams)]]*1.1/Table1[[#This Row],[BW_GA]])-1)/(Backend!$B$4/100*Table1[[#This Row],[BW40_3705]]),"")</f>
        <v/>
      </c>
      <c r="J2544" s="7" t="str">
        <f>IF(Table1[[#This Row],[Is Data Valid]]=TRUE,_xlfn.NORM.S.DIST(Table1[[#This Row],[Birthweight Z-Score]],TRUE)*100,"")</f>
        <v/>
      </c>
      <c r="K2544" s="7" t="str">
        <f>IF(Table1[[#This Row],[Is Data Valid]]=TRUE,_xlfn.NORM.S.DIST(Table1[[#This Row],[Birthweight Z-Score (BW-10%)]],TRUE)*100,"")</f>
        <v/>
      </c>
      <c r="L2544" s="7" t="str">
        <f>IF(Table1[[#This Row],[Is Data Valid]]=TRUE,_xlfn.NORM.S.DIST(Table1[[#This Row],[Birthweight Z-Score (BW+10%)]],TRUE)*100,"")</f>
        <v/>
      </c>
    </row>
    <row r="2545" spans="1:12" x14ac:dyDescent="0.35">
      <c r="A2545" s="3"/>
      <c r="B2545" s="2"/>
      <c r="C2545" s="2"/>
      <c r="D2545" s="2" t="b">
        <f>IF(AND(NOT(ISBLANK(Table1[[#This Row],[Fetal Sex (Male, Female or Unknown)]])),ISNUMBER(Table1[[#This Row],[Birthweight (grams)]]),ISNUMBER(Table1[[#This Row],[Gestation (days)]])),TRUE,FALSE)</f>
        <v>0</v>
      </c>
      <c r="E2545" s="2" t="str">
        <f>IF(Table1[[#This Row],[Is Data Valid]]=TRUE,IF(Table1[[#This Row],[Fetal Sex (Male, Female or Unknown)]]="Male",Backend!$C$6,IF(Table1[[#This Row],[Fetal Sex (Male, Female or Unknown)]]="Female",Backend!$C$7,IF(Table1[[#This Row],[Fetal Sex (Male, Female or Unknown)]]="Unknown",Backend!$C$8,"Error"))),"")</f>
        <v/>
      </c>
      <c r="F2545" s="8" t="str">
        <f>IF(Table1[[#This Row],[Is Data Valid]]=TRUE,EXP(0.578+0.332*((Table1[[#This Row],[Gestation (days)]]+0.5)/7)-0.00354*((Table1[[#This Row],[Gestation (days)]]+0.5)/7)^2)*Table1[[#This Row],[BW40_3705]],"")</f>
        <v/>
      </c>
      <c r="G2545" s="2" t="str">
        <f>IF(Table1[[#This Row],[Is Data Valid]]=TRUE,((Table1[[#This Row],[Birthweight (grams)]]/Table1[[#This Row],[BW_GA]])-1)/(Backend!$B$4/100*Table1[[#This Row],[BW40_3705]]),"")</f>
        <v/>
      </c>
      <c r="H2545" s="7" t="str">
        <f>IF(Table1[[#This Row],[Is Data Valid]]=TRUE,((Table1[[#This Row],[Birthweight (grams)]]*0.9/Table1[[#This Row],[BW_GA]])-1)/(Backend!$B$4/100*Table1[[#This Row],[BW40_3705]]),"")</f>
        <v/>
      </c>
      <c r="I2545" s="7" t="str">
        <f>IF(Table1[[#This Row],[Is Data Valid]]=TRUE,((Table1[[#This Row],[Birthweight (grams)]]*1.1/Table1[[#This Row],[BW_GA]])-1)/(Backend!$B$4/100*Table1[[#This Row],[BW40_3705]]),"")</f>
        <v/>
      </c>
      <c r="J2545" s="7" t="str">
        <f>IF(Table1[[#This Row],[Is Data Valid]]=TRUE,_xlfn.NORM.S.DIST(Table1[[#This Row],[Birthweight Z-Score]],TRUE)*100,"")</f>
        <v/>
      </c>
      <c r="K2545" s="7" t="str">
        <f>IF(Table1[[#This Row],[Is Data Valid]]=TRUE,_xlfn.NORM.S.DIST(Table1[[#This Row],[Birthweight Z-Score (BW-10%)]],TRUE)*100,"")</f>
        <v/>
      </c>
      <c r="L2545" s="7" t="str">
        <f>IF(Table1[[#This Row],[Is Data Valid]]=TRUE,_xlfn.NORM.S.DIST(Table1[[#This Row],[Birthweight Z-Score (BW+10%)]],TRUE)*100,"")</f>
        <v/>
      </c>
    </row>
    <row r="2546" spans="1:12" x14ac:dyDescent="0.35">
      <c r="A2546" s="3"/>
      <c r="B2546" s="2"/>
      <c r="C2546" s="2"/>
      <c r="D2546" s="2" t="b">
        <f>IF(AND(NOT(ISBLANK(Table1[[#This Row],[Fetal Sex (Male, Female or Unknown)]])),ISNUMBER(Table1[[#This Row],[Birthweight (grams)]]),ISNUMBER(Table1[[#This Row],[Gestation (days)]])),TRUE,FALSE)</f>
        <v>0</v>
      </c>
      <c r="E2546" s="2" t="str">
        <f>IF(Table1[[#This Row],[Is Data Valid]]=TRUE,IF(Table1[[#This Row],[Fetal Sex (Male, Female or Unknown)]]="Male",Backend!$C$6,IF(Table1[[#This Row],[Fetal Sex (Male, Female or Unknown)]]="Female",Backend!$C$7,IF(Table1[[#This Row],[Fetal Sex (Male, Female or Unknown)]]="Unknown",Backend!$C$8,"Error"))),"")</f>
        <v/>
      </c>
      <c r="F2546" s="8" t="str">
        <f>IF(Table1[[#This Row],[Is Data Valid]]=TRUE,EXP(0.578+0.332*((Table1[[#This Row],[Gestation (days)]]+0.5)/7)-0.00354*((Table1[[#This Row],[Gestation (days)]]+0.5)/7)^2)*Table1[[#This Row],[BW40_3705]],"")</f>
        <v/>
      </c>
      <c r="G2546" s="2" t="str">
        <f>IF(Table1[[#This Row],[Is Data Valid]]=TRUE,((Table1[[#This Row],[Birthweight (grams)]]/Table1[[#This Row],[BW_GA]])-1)/(Backend!$B$4/100*Table1[[#This Row],[BW40_3705]]),"")</f>
        <v/>
      </c>
      <c r="H2546" s="7" t="str">
        <f>IF(Table1[[#This Row],[Is Data Valid]]=TRUE,((Table1[[#This Row],[Birthweight (grams)]]*0.9/Table1[[#This Row],[BW_GA]])-1)/(Backend!$B$4/100*Table1[[#This Row],[BW40_3705]]),"")</f>
        <v/>
      </c>
      <c r="I2546" s="7" t="str">
        <f>IF(Table1[[#This Row],[Is Data Valid]]=TRUE,((Table1[[#This Row],[Birthweight (grams)]]*1.1/Table1[[#This Row],[BW_GA]])-1)/(Backend!$B$4/100*Table1[[#This Row],[BW40_3705]]),"")</f>
        <v/>
      </c>
      <c r="J2546" s="7" t="str">
        <f>IF(Table1[[#This Row],[Is Data Valid]]=TRUE,_xlfn.NORM.S.DIST(Table1[[#This Row],[Birthweight Z-Score]],TRUE)*100,"")</f>
        <v/>
      </c>
      <c r="K2546" s="7" t="str">
        <f>IF(Table1[[#This Row],[Is Data Valid]]=TRUE,_xlfn.NORM.S.DIST(Table1[[#This Row],[Birthweight Z-Score (BW-10%)]],TRUE)*100,"")</f>
        <v/>
      </c>
      <c r="L2546" s="7" t="str">
        <f>IF(Table1[[#This Row],[Is Data Valid]]=TRUE,_xlfn.NORM.S.DIST(Table1[[#This Row],[Birthweight Z-Score (BW+10%)]],TRUE)*100,"")</f>
        <v/>
      </c>
    </row>
    <row r="2547" spans="1:12" x14ac:dyDescent="0.35">
      <c r="A2547" s="3"/>
      <c r="B2547" s="2"/>
      <c r="C2547" s="2"/>
      <c r="D2547" s="2" t="b">
        <f>IF(AND(NOT(ISBLANK(Table1[[#This Row],[Fetal Sex (Male, Female or Unknown)]])),ISNUMBER(Table1[[#This Row],[Birthweight (grams)]]),ISNUMBER(Table1[[#This Row],[Gestation (days)]])),TRUE,FALSE)</f>
        <v>0</v>
      </c>
      <c r="E2547" s="2" t="str">
        <f>IF(Table1[[#This Row],[Is Data Valid]]=TRUE,IF(Table1[[#This Row],[Fetal Sex (Male, Female or Unknown)]]="Male",Backend!$C$6,IF(Table1[[#This Row],[Fetal Sex (Male, Female or Unknown)]]="Female",Backend!$C$7,IF(Table1[[#This Row],[Fetal Sex (Male, Female or Unknown)]]="Unknown",Backend!$C$8,"Error"))),"")</f>
        <v/>
      </c>
      <c r="F2547" s="8" t="str">
        <f>IF(Table1[[#This Row],[Is Data Valid]]=TRUE,EXP(0.578+0.332*((Table1[[#This Row],[Gestation (days)]]+0.5)/7)-0.00354*((Table1[[#This Row],[Gestation (days)]]+0.5)/7)^2)*Table1[[#This Row],[BW40_3705]],"")</f>
        <v/>
      </c>
      <c r="G2547" s="2" t="str">
        <f>IF(Table1[[#This Row],[Is Data Valid]]=TRUE,((Table1[[#This Row],[Birthweight (grams)]]/Table1[[#This Row],[BW_GA]])-1)/(Backend!$B$4/100*Table1[[#This Row],[BW40_3705]]),"")</f>
        <v/>
      </c>
      <c r="H2547" s="7" t="str">
        <f>IF(Table1[[#This Row],[Is Data Valid]]=TRUE,((Table1[[#This Row],[Birthweight (grams)]]*0.9/Table1[[#This Row],[BW_GA]])-1)/(Backend!$B$4/100*Table1[[#This Row],[BW40_3705]]),"")</f>
        <v/>
      </c>
      <c r="I2547" s="7" t="str">
        <f>IF(Table1[[#This Row],[Is Data Valid]]=TRUE,((Table1[[#This Row],[Birthweight (grams)]]*1.1/Table1[[#This Row],[BW_GA]])-1)/(Backend!$B$4/100*Table1[[#This Row],[BW40_3705]]),"")</f>
        <v/>
      </c>
      <c r="J2547" s="7" t="str">
        <f>IF(Table1[[#This Row],[Is Data Valid]]=TRUE,_xlfn.NORM.S.DIST(Table1[[#This Row],[Birthweight Z-Score]],TRUE)*100,"")</f>
        <v/>
      </c>
      <c r="K2547" s="7" t="str">
        <f>IF(Table1[[#This Row],[Is Data Valid]]=TRUE,_xlfn.NORM.S.DIST(Table1[[#This Row],[Birthweight Z-Score (BW-10%)]],TRUE)*100,"")</f>
        <v/>
      </c>
      <c r="L2547" s="7" t="str">
        <f>IF(Table1[[#This Row],[Is Data Valid]]=TRUE,_xlfn.NORM.S.DIST(Table1[[#This Row],[Birthweight Z-Score (BW+10%)]],TRUE)*100,"")</f>
        <v/>
      </c>
    </row>
    <row r="2548" spans="1:12" x14ac:dyDescent="0.35">
      <c r="A2548" s="3"/>
      <c r="B2548" s="2"/>
      <c r="C2548" s="2"/>
      <c r="D2548" s="2" t="b">
        <f>IF(AND(NOT(ISBLANK(Table1[[#This Row],[Fetal Sex (Male, Female or Unknown)]])),ISNUMBER(Table1[[#This Row],[Birthweight (grams)]]),ISNUMBER(Table1[[#This Row],[Gestation (days)]])),TRUE,FALSE)</f>
        <v>0</v>
      </c>
      <c r="E2548" s="2" t="str">
        <f>IF(Table1[[#This Row],[Is Data Valid]]=TRUE,IF(Table1[[#This Row],[Fetal Sex (Male, Female or Unknown)]]="Male",Backend!$C$6,IF(Table1[[#This Row],[Fetal Sex (Male, Female or Unknown)]]="Female",Backend!$C$7,IF(Table1[[#This Row],[Fetal Sex (Male, Female or Unknown)]]="Unknown",Backend!$C$8,"Error"))),"")</f>
        <v/>
      </c>
      <c r="F2548" s="8" t="str">
        <f>IF(Table1[[#This Row],[Is Data Valid]]=TRUE,EXP(0.578+0.332*((Table1[[#This Row],[Gestation (days)]]+0.5)/7)-0.00354*((Table1[[#This Row],[Gestation (days)]]+0.5)/7)^2)*Table1[[#This Row],[BW40_3705]],"")</f>
        <v/>
      </c>
      <c r="G2548" s="2" t="str">
        <f>IF(Table1[[#This Row],[Is Data Valid]]=TRUE,((Table1[[#This Row],[Birthweight (grams)]]/Table1[[#This Row],[BW_GA]])-1)/(Backend!$B$4/100*Table1[[#This Row],[BW40_3705]]),"")</f>
        <v/>
      </c>
      <c r="H2548" s="7" t="str">
        <f>IF(Table1[[#This Row],[Is Data Valid]]=TRUE,((Table1[[#This Row],[Birthweight (grams)]]*0.9/Table1[[#This Row],[BW_GA]])-1)/(Backend!$B$4/100*Table1[[#This Row],[BW40_3705]]),"")</f>
        <v/>
      </c>
      <c r="I2548" s="7" t="str">
        <f>IF(Table1[[#This Row],[Is Data Valid]]=TRUE,((Table1[[#This Row],[Birthweight (grams)]]*1.1/Table1[[#This Row],[BW_GA]])-1)/(Backend!$B$4/100*Table1[[#This Row],[BW40_3705]]),"")</f>
        <v/>
      </c>
      <c r="J2548" s="7" t="str">
        <f>IF(Table1[[#This Row],[Is Data Valid]]=TRUE,_xlfn.NORM.S.DIST(Table1[[#This Row],[Birthweight Z-Score]],TRUE)*100,"")</f>
        <v/>
      </c>
      <c r="K2548" s="7" t="str">
        <f>IF(Table1[[#This Row],[Is Data Valid]]=TRUE,_xlfn.NORM.S.DIST(Table1[[#This Row],[Birthweight Z-Score (BW-10%)]],TRUE)*100,"")</f>
        <v/>
      </c>
      <c r="L2548" s="7" t="str">
        <f>IF(Table1[[#This Row],[Is Data Valid]]=TRUE,_xlfn.NORM.S.DIST(Table1[[#This Row],[Birthweight Z-Score (BW+10%)]],TRUE)*100,"")</f>
        <v/>
      </c>
    </row>
    <row r="2549" spans="1:12" x14ac:dyDescent="0.35">
      <c r="A2549" s="3"/>
      <c r="B2549" s="2"/>
      <c r="C2549" s="2"/>
      <c r="D2549" s="2" t="b">
        <f>IF(AND(NOT(ISBLANK(Table1[[#This Row],[Fetal Sex (Male, Female or Unknown)]])),ISNUMBER(Table1[[#This Row],[Birthweight (grams)]]),ISNUMBER(Table1[[#This Row],[Gestation (days)]])),TRUE,FALSE)</f>
        <v>0</v>
      </c>
      <c r="E2549" s="2" t="str">
        <f>IF(Table1[[#This Row],[Is Data Valid]]=TRUE,IF(Table1[[#This Row],[Fetal Sex (Male, Female or Unknown)]]="Male",Backend!$C$6,IF(Table1[[#This Row],[Fetal Sex (Male, Female or Unknown)]]="Female",Backend!$C$7,IF(Table1[[#This Row],[Fetal Sex (Male, Female or Unknown)]]="Unknown",Backend!$C$8,"Error"))),"")</f>
        <v/>
      </c>
      <c r="F2549" s="8" t="str">
        <f>IF(Table1[[#This Row],[Is Data Valid]]=TRUE,EXP(0.578+0.332*((Table1[[#This Row],[Gestation (days)]]+0.5)/7)-0.00354*((Table1[[#This Row],[Gestation (days)]]+0.5)/7)^2)*Table1[[#This Row],[BW40_3705]],"")</f>
        <v/>
      </c>
      <c r="G2549" s="2" t="str">
        <f>IF(Table1[[#This Row],[Is Data Valid]]=TRUE,((Table1[[#This Row],[Birthweight (grams)]]/Table1[[#This Row],[BW_GA]])-1)/(Backend!$B$4/100*Table1[[#This Row],[BW40_3705]]),"")</f>
        <v/>
      </c>
      <c r="H2549" s="7" t="str">
        <f>IF(Table1[[#This Row],[Is Data Valid]]=TRUE,((Table1[[#This Row],[Birthweight (grams)]]*0.9/Table1[[#This Row],[BW_GA]])-1)/(Backend!$B$4/100*Table1[[#This Row],[BW40_3705]]),"")</f>
        <v/>
      </c>
      <c r="I2549" s="7" t="str">
        <f>IF(Table1[[#This Row],[Is Data Valid]]=TRUE,((Table1[[#This Row],[Birthweight (grams)]]*1.1/Table1[[#This Row],[BW_GA]])-1)/(Backend!$B$4/100*Table1[[#This Row],[BW40_3705]]),"")</f>
        <v/>
      </c>
      <c r="J2549" s="7" t="str">
        <f>IF(Table1[[#This Row],[Is Data Valid]]=TRUE,_xlfn.NORM.S.DIST(Table1[[#This Row],[Birthweight Z-Score]],TRUE)*100,"")</f>
        <v/>
      </c>
      <c r="K2549" s="7" t="str">
        <f>IF(Table1[[#This Row],[Is Data Valid]]=TRUE,_xlfn.NORM.S.DIST(Table1[[#This Row],[Birthweight Z-Score (BW-10%)]],TRUE)*100,"")</f>
        <v/>
      </c>
      <c r="L2549" s="7" t="str">
        <f>IF(Table1[[#This Row],[Is Data Valid]]=TRUE,_xlfn.NORM.S.DIST(Table1[[#This Row],[Birthweight Z-Score (BW+10%)]],TRUE)*100,"")</f>
        <v/>
      </c>
    </row>
    <row r="2550" spans="1:12" x14ac:dyDescent="0.35">
      <c r="A2550" s="3"/>
      <c r="B2550" s="2"/>
      <c r="C2550" s="2"/>
      <c r="D2550" s="2" t="b">
        <f>IF(AND(NOT(ISBLANK(Table1[[#This Row],[Fetal Sex (Male, Female or Unknown)]])),ISNUMBER(Table1[[#This Row],[Birthweight (grams)]]),ISNUMBER(Table1[[#This Row],[Gestation (days)]])),TRUE,FALSE)</f>
        <v>0</v>
      </c>
      <c r="E2550" s="2" t="str">
        <f>IF(Table1[[#This Row],[Is Data Valid]]=TRUE,IF(Table1[[#This Row],[Fetal Sex (Male, Female or Unknown)]]="Male",Backend!$C$6,IF(Table1[[#This Row],[Fetal Sex (Male, Female or Unknown)]]="Female",Backend!$C$7,IF(Table1[[#This Row],[Fetal Sex (Male, Female or Unknown)]]="Unknown",Backend!$C$8,"Error"))),"")</f>
        <v/>
      </c>
      <c r="F2550" s="8" t="str">
        <f>IF(Table1[[#This Row],[Is Data Valid]]=TRUE,EXP(0.578+0.332*((Table1[[#This Row],[Gestation (days)]]+0.5)/7)-0.00354*((Table1[[#This Row],[Gestation (days)]]+0.5)/7)^2)*Table1[[#This Row],[BW40_3705]],"")</f>
        <v/>
      </c>
      <c r="G2550" s="2" t="str">
        <f>IF(Table1[[#This Row],[Is Data Valid]]=TRUE,((Table1[[#This Row],[Birthweight (grams)]]/Table1[[#This Row],[BW_GA]])-1)/(Backend!$B$4/100*Table1[[#This Row],[BW40_3705]]),"")</f>
        <v/>
      </c>
      <c r="H2550" s="7" t="str">
        <f>IF(Table1[[#This Row],[Is Data Valid]]=TRUE,((Table1[[#This Row],[Birthweight (grams)]]*0.9/Table1[[#This Row],[BW_GA]])-1)/(Backend!$B$4/100*Table1[[#This Row],[BW40_3705]]),"")</f>
        <v/>
      </c>
      <c r="I2550" s="7" t="str">
        <f>IF(Table1[[#This Row],[Is Data Valid]]=TRUE,((Table1[[#This Row],[Birthweight (grams)]]*1.1/Table1[[#This Row],[BW_GA]])-1)/(Backend!$B$4/100*Table1[[#This Row],[BW40_3705]]),"")</f>
        <v/>
      </c>
      <c r="J2550" s="7" t="str">
        <f>IF(Table1[[#This Row],[Is Data Valid]]=TRUE,_xlfn.NORM.S.DIST(Table1[[#This Row],[Birthweight Z-Score]],TRUE)*100,"")</f>
        <v/>
      </c>
      <c r="K2550" s="7" t="str">
        <f>IF(Table1[[#This Row],[Is Data Valid]]=TRUE,_xlfn.NORM.S.DIST(Table1[[#This Row],[Birthweight Z-Score (BW-10%)]],TRUE)*100,"")</f>
        <v/>
      </c>
      <c r="L2550" s="7" t="str">
        <f>IF(Table1[[#This Row],[Is Data Valid]]=TRUE,_xlfn.NORM.S.DIST(Table1[[#This Row],[Birthweight Z-Score (BW+10%)]],TRUE)*100,"")</f>
        <v/>
      </c>
    </row>
    <row r="2551" spans="1:12" x14ac:dyDescent="0.35">
      <c r="A2551" s="3"/>
      <c r="B2551" s="2"/>
      <c r="C2551" s="2"/>
      <c r="D2551" s="2" t="b">
        <f>IF(AND(NOT(ISBLANK(Table1[[#This Row],[Fetal Sex (Male, Female or Unknown)]])),ISNUMBER(Table1[[#This Row],[Birthweight (grams)]]),ISNUMBER(Table1[[#This Row],[Gestation (days)]])),TRUE,FALSE)</f>
        <v>0</v>
      </c>
      <c r="E2551" s="2" t="str">
        <f>IF(Table1[[#This Row],[Is Data Valid]]=TRUE,IF(Table1[[#This Row],[Fetal Sex (Male, Female or Unknown)]]="Male",Backend!$C$6,IF(Table1[[#This Row],[Fetal Sex (Male, Female or Unknown)]]="Female",Backend!$C$7,IF(Table1[[#This Row],[Fetal Sex (Male, Female or Unknown)]]="Unknown",Backend!$C$8,"Error"))),"")</f>
        <v/>
      </c>
      <c r="F2551" s="8" t="str">
        <f>IF(Table1[[#This Row],[Is Data Valid]]=TRUE,EXP(0.578+0.332*((Table1[[#This Row],[Gestation (days)]]+0.5)/7)-0.00354*((Table1[[#This Row],[Gestation (days)]]+0.5)/7)^2)*Table1[[#This Row],[BW40_3705]],"")</f>
        <v/>
      </c>
      <c r="G2551" s="2" t="str">
        <f>IF(Table1[[#This Row],[Is Data Valid]]=TRUE,((Table1[[#This Row],[Birthweight (grams)]]/Table1[[#This Row],[BW_GA]])-1)/(Backend!$B$4/100*Table1[[#This Row],[BW40_3705]]),"")</f>
        <v/>
      </c>
      <c r="H2551" s="7" t="str">
        <f>IF(Table1[[#This Row],[Is Data Valid]]=TRUE,((Table1[[#This Row],[Birthweight (grams)]]*0.9/Table1[[#This Row],[BW_GA]])-1)/(Backend!$B$4/100*Table1[[#This Row],[BW40_3705]]),"")</f>
        <v/>
      </c>
      <c r="I2551" s="7" t="str">
        <f>IF(Table1[[#This Row],[Is Data Valid]]=TRUE,((Table1[[#This Row],[Birthweight (grams)]]*1.1/Table1[[#This Row],[BW_GA]])-1)/(Backend!$B$4/100*Table1[[#This Row],[BW40_3705]]),"")</f>
        <v/>
      </c>
      <c r="J2551" s="7" t="str">
        <f>IF(Table1[[#This Row],[Is Data Valid]]=TRUE,_xlfn.NORM.S.DIST(Table1[[#This Row],[Birthweight Z-Score]],TRUE)*100,"")</f>
        <v/>
      </c>
      <c r="K2551" s="7" t="str">
        <f>IF(Table1[[#This Row],[Is Data Valid]]=TRUE,_xlfn.NORM.S.DIST(Table1[[#This Row],[Birthweight Z-Score (BW-10%)]],TRUE)*100,"")</f>
        <v/>
      </c>
      <c r="L2551" s="7" t="str">
        <f>IF(Table1[[#This Row],[Is Data Valid]]=TRUE,_xlfn.NORM.S.DIST(Table1[[#This Row],[Birthweight Z-Score (BW+10%)]],TRUE)*100,"")</f>
        <v/>
      </c>
    </row>
    <row r="2552" spans="1:12" x14ac:dyDescent="0.35">
      <c r="A2552" s="3"/>
      <c r="B2552" s="2"/>
      <c r="C2552" s="2"/>
      <c r="D2552" s="2" t="b">
        <f>IF(AND(NOT(ISBLANK(Table1[[#This Row],[Fetal Sex (Male, Female or Unknown)]])),ISNUMBER(Table1[[#This Row],[Birthweight (grams)]]),ISNUMBER(Table1[[#This Row],[Gestation (days)]])),TRUE,FALSE)</f>
        <v>0</v>
      </c>
      <c r="E2552" s="2" t="str">
        <f>IF(Table1[[#This Row],[Is Data Valid]]=TRUE,IF(Table1[[#This Row],[Fetal Sex (Male, Female or Unknown)]]="Male",Backend!$C$6,IF(Table1[[#This Row],[Fetal Sex (Male, Female or Unknown)]]="Female",Backend!$C$7,IF(Table1[[#This Row],[Fetal Sex (Male, Female or Unknown)]]="Unknown",Backend!$C$8,"Error"))),"")</f>
        <v/>
      </c>
      <c r="F2552" s="8" t="str">
        <f>IF(Table1[[#This Row],[Is Data Valid]]=TRUE,EXP(0.578+0.332*((Table1[[#This Row],[Gestation (days)]]+0.5)/7)-0.00354*((Table1[[#This Row],[Gestation (days)]]+0.5)/7)^2)*Table1[[#This Row],[BW40_3705]],"")</f>
        <v/>
      </c>
      <c r="G2552" s="2" t="str">
        <f>IF(Table1[[#This Row],[Is Data Valid]]=TRUE,((Table1[[#This Row],[Birthweight (grams)]]/Table1[[#This Row],[BW_GA]])-1)/(Backend!$B$4/100*Table1[[#This Row],[BW40_3705]]),"")</f>
        <v/>
      </c>
      <c r="H2552" s="7" t="str">
        <f>IF(Table1[[#This Row],[Is Data Valid]]=TRUE,((Table1[[#This Row],[Birthweight (grams)]]*0.9/Table1[[#This Row],[BW_GA]])-1)/(Backend!$B$4/100*Table1[[#This Row],[BW40_3705]]),"")</f>
        <v/>
      </c>
      <c r="I2552" s="7" t="str">
        <f>IF(Table1[[#This Row],[Is Data Valid]]=TRUE,((Table1[[#This Row],[Birthweight (grams)]]*1.1/Table1[[#This Row],[BW_GA]])-1)/(Backend!$B$4/100*Table1[[#This Row],[BW40_3705]]),"")</f>
        <v/>
      </c>
      <c r="J2552" s="7" t="str">
        <f>IF(Table1[[#This Row],[Is Data Valid]]=TRUE,_xlfn.NORM.S.DIST(Table1[[#This Row],[Birthweight Z-Score]],TRUE)*100,"")</f>
        <v/>
      </c>
      <c r="K2552" s="7" t="str">
        <f>IF(Table1[[#This Row],[Is Data Valid]]=TRUE,_xlfn.NORM.S.DIST(Table1[[#This Row],[Birthweight Z-Score (BW-10%)]],TRUE)*100,"")</f>
        <v/>
      </c>
      <c r="L2552" s="7" t="str">
        <f>IF(Table1[[#This Row],[Is Data Valid]]=TRUE,_xlfn.NORM.S.DIST(Table1[[#This Row],[Birthweight Z-Score (BW+10%)]],TRUE)*100,"")</f>
        <v/>
      </c>
    </row>
    <row r="2553" spans="1:12" x14ac:dyDescent="0.35">
      <c r="A2553" s="3"/>
      <c r="B2553" s="2"/>
      <c r="C2553" s="2"/>
      <c r="D2553" s="2" t="b">
        <f>IF(AND(NOT(ISBLANK(Table1[[#This Row],[Fetal Sex (Male, Female or Unknown)]])),ISNUMBER(Table1[[#This Row],[Birthweight (grams)]]),ISNUMBER(Table1[[#This Row],[Gestation (days)]])),TRUE,FALSE)</f>
        <v>0</v>
      </c>
      <c r="E2553" s="2" t="str">
        <f>IF(Table1[[#This Row],[Is Data Valid]]=TRUE,IF(Table1[[#This Row],[Fetal Sex (Male, Female or Unknown)]]="Male",Backend!$C$6,IF(Table1[[#This Row],[Fetal Sex (Male, Female or Unknown)]]="Female",Backend!$C$7,IF(Table1[[#This Row],[Fetal Sex (Male, Female or Unknown)]]="Unknown",Backend!$C$8,"Error"))),"")</f>
        <v/>
      </c>
      <c r="F2553" s="8" t="str">
        <f>IF(Table1[[#This Row],[Is Data Valid]]=TRUE,EXP(0.578+0.332*((Table1[[#This Row],[Gestation (days)]]+0.5)/7)-0.00354*((Table1[[#This Row],[Gestation (days)]]+0.5)/7)^2)*Table1[[#This Row],[BW40_3705]],"")</f>
        <v/>
      </c>
      <c r="G2553" s="2" t="str">
        <f>IF(Table1[[#This Row],[Is Data Valid]]=TRUE,((Table1[[#This Row],[Birthweight (grams)]]/Table1[[#This Row],[BW_GA]])-1)/(Backend!$B$4/100*Table1[[#This Row],[BW40_3705]]),"")</f>
        <v/>
      </c>
      <c r="H2553" s="7" t="str">
        <f>IF(Table1[[#This Row],[Is Data Valid]]=TRUE,((Table1[[#This Row],[Birthweight (grams)]]*0.9/Table1[[#This Row],[BW_GA]])-1)/(Backend!$B$4/100*Table1[[#This Row],[BW40_3705]]),"")</f>
        <v/>
      </c>
      <c r="I2553" s="7" t="str">
        <f>IF(Table1[[#This Row],[Is Data Valid]]=TRUE,((Table1[[#This Row],[Birthweight (grams)]]*1.1/Table1[[#This Row],[BW_GA]])-1)/(Backend!$B$4/100*Table1[[#This Row],[BW40_3705]]),"")</f>
        <v/>
      </c>
      <c r="J2553" s="7" t="str">
        <f>IF(Table1[[#This Row],[Is Data Valid]]=TRUE,_xlfn.NORM.S.DIST(Table1[[#This Row],[Birthweight Z-Score]],TRUE)*100,"")</f>
        <v/>
      </c>
      <c r="K2553" s="7" t="str">
        <f>IF(Table1[[#This Row],[Is Data Valid]]=TRUE,_xlfn.NORM.S.DIST(Table1[[#This Row],[Birthweight Z-Score (BW-10%)]],TRUE)*100,"")</f>
        <v/>
      </c>
      <c r="L2553" s="7" t="str">
        <f>IF(Table1[[#This Row],[Is Data Valid]]=TRUE,_xlfn.NORM.S.DIST(Table1[[#This Row],[Birthweight Z-Score (BW+10%)]],TRUE)*100,"")</f>
        <v/>
      </c>
    </row>
    <row r="2554" spans="1:12" x14ac:dyDescent="0.35">
      <c r="A2554" s="3"/>
      <c r="B2554" s="2"/>
      <c r="C2554" s="2"/>
      <c r="D2554" s="2" t="b">
        <f>IF(AND(NOT(ISBLANK(Table1[[#This Row],[Fetal Sex (Male, Female or Unknown)]])),ISNUMBER(Table1[[#This Row],[Birthweight (grams)]]),ISNUMBER(Table1[[#This Row],[Gestation (days)]])),TRUE,FALSE)</f>
        <v>0</v>
      </c>
      <c r="E2554" s="2" t="str">
        <f>IF(Table1[[#This Row],[Is Data Valid]]=TRUE,IF(Table1[[#This Row],[Fetal Sex (Male, Female or Unknown)]]="Male",Backend!$C$6,IF(Table1[[#This Row],[Fetal Sex (Male, Female or Unknown)]]="Female",Backend!$C$7,IF(Table1[[#This Row],[Fetal Sex (Male, Female or Unknown)]]="Unknown",Backend!$C$8,"Error"))),"")</f>
        <v/>
      </c>
      <c r="F2554" s="8" t="str">
        <f>IF(Table1[[#This Row],[Is Data Valid]]=TRUE,EXP(0.578+0.332*((Table1[[#This Row],[Gestation (days)]]+0.5)/7)-0.00354*((Table1[[#This Row],[Gestation (days)]]+0.5)/7)^2)*Table1[[#This Row],[BW40_3705]],"")</f>
        <v/>
      </c>
      <c r="G2554" s="2" t="str">
        <f>IF(Table1[[#This Row],[Is Data Valid]]=TRUE,((Table1[[#This Row],[Birthweight (grams)]]/Table1[[#This Row],[BW_GA]])-1)/(Backend!$B$4/100*Table1[[#This Row],[BW40_3705]]),"")</f>
        <v/>
      </c>
      <c r="H2554" s="7" t="str">
        <f>IF(Table1[[#This Row],[Is Data Valid]]=TRUE,((Table1[[#This Row],[Birthweight (grams)]]*0.9/Table1[[#This Row],[BW_GA]])-1)/(Backend!$B$4/100*Table1[[#This Row],[BW40_3705]]),"")</f>
        <v/>
      </c>
      <c r="I2554" s="7" t="str">
        <f>IF(Table1[[#This Row],[Is Data Valid]]=TRUE,((Table1[[#This Row],[Birthweight (grams)]]*1.1/Table1[[#This Row],[BW_GA]])-1)/(Backend!$B$4/100*Table1[[#This Row],[BW40_3705]]),"")</f>
        <v/>
      </c>
      <c r="J2554" s="7" t="str">
        <f>IF(Table1[[#This Row],[Is Data Valid]]=TRUE,_xlfn.NORM.S.DIST(Table1[[#This Row],[Birthweight Z-Score]],TRUE)*100,"")</f>
        <v/>
      </c>
      <c r="K2554" s="7" t="str">
        <f>IF(Table1[[#This Row],[Is Data Valid]]=TRUE,_xlfn.NORM.S.DIST(Table1[[#This Row],[Birthweight Z-Score (BW-10%)]],TRUE)*100,"")</f>
        <v/>
      </c>
      <c r="L2554" s="7" t="str">
        <f>IF(Table1[[#This Row],[Is Data Valid]]=TRUE,_xlfn.NORM.S.DIST(Table1[[#This Row],[Birthweight Z-Score (BW+10%)]],TRUE)*100,"")</f>
        <v/>
      </c>
    </row>
    <row r="2555" spans="1:12" x14ac:dyDescent="0.35">
      <c r="A2555" s="3"/>
      <c r="B2555" s="2"/>
      <c r="C2555" s="2"/>
      <c r="D2555" s="2" t="b">
        <f>IF(AND(NOT(ISBLANK(Table1[[#This Row],[Fetal Sex (Male, Female or Unknown)]])),ISNUMBER(Table1[[#This Row],[Birthweight (grams)]]),ISNUMBER(Table1[[#This Row],[Gestation (days)]])),TRUE,FALSE)</f>
        <v>0</v>
      </c>
      <c r="E2555" s="2" t="str">
        <f>IF(Table1[[#This Row],[Is Data Valid]]=TRUE,IF(Table1[[#This Row],[Fetal Sex (Male, Female or Unknown)]]="Male",Backend!$C$6,IF(Table1[[#This Row],[Fetal Sex (Male, Female or Unknown)]]="Female",Backend!$C$7,IF(Table1[[#This Row],[Fetal Sex (Male, Female or Unknown)]]="Unknown",Backend!$C$8,"Error"))),"")</f>
        <v/>
      </c>
      <c r="F2555" s="8" t="str">
        <f>IF(Table1[[#This Row],[Is Data Valid]]=TRUE,EXP(0.578+0.332*((Table1[[#This Row],[Gestation (days)]]+0.5)/7)-0.00354*((Table1[[#This Row],[Gestation (days)]]+0.5)/7)^2)*Table1[[#This Row],[BW40_3705]],"")</f>
        <v/>
      </c>
      <c r="G2555" s="2" t="str">
        <f>IF(Table1[[#This Row],[Is Data Valid]]=TRUE,((Table1[[#This Row],[Birthweight (grams)]]/Table1[[#This Row],[BW_GA]])-1)/(Backend!$B$4/100*Table1[[#This Row],[BW40_3705]]),"")</f>
        <v/>
      </c>
      <c r="H2555" s="7" t="str">
        <f>IF(Table1[[#This Row],[Is Data Valid]]=TRUE,((Table1[[#This Row],[Birthweight (grams)]]*0.9/Table1[[#This Row],[BW_GA]])-1)/(Backend!$B$4/100*Table1[[#This Row],[BW40_3705]]),"")</f>
        <v/>
      </c>
      <c r="I2555" s="7" t="str">
        <f>IF(Table1[[#This Row],[Is Data Valid]]=TRUE,((Table1[[#This Row],[Birthweight (grams)]]*1.1/Table1[[#This Row],[BW_GA]])-1)/(Backend!$B$4/100*Table1[[#This Row],[BW40_3705]]),"")</f>
        <v/>
      </c>
      <c r="J2555" s="7" t="str">
        <f>IF(Table1[[#This Row],[Is Data Valid]]=TRUE,_xlfn.NORM.S.DIST(Table1[[#This Row],[Birthweight Z-Score]],TRUE)*100,"")</f>
        <v/>
      </c>
      <c r="K2555" s="7" t="str">
        <f>IF(Table1[[#This Row],[Is Data Valid]]=TRUE,_xlfn.NORM.S.DIST(Table1[[#This Row],[Birthweight Z-Score (BW-10%)]],TRUE)*100,"")</f>
        <v/>
      </c>
      <c r="L2555" s="7" t="str">
        <f>IF(Table1[[#This Row],[Is Data Valid]]=TRUE,_xlfn.NORM.S.DIST(Table1[[#This Row],[Birthweight Z-Score (BW+10%)]],TRUE)*100,"")</f>
        <v/>
      </c>
    </row>
    <row r="2556" spans="1:12" x14ac:dyDescent="0.35">
      <c r="A2556" s="3"/>
      <c r="B2556" s="2"/>
      <c r="C2556" s="2"/>
      <c r="D2556" s="2" t="b">
        <f>IF(AND(NOT(ISBLANK(Table1[[#This Row],[Fetal Sex (Male, Female or Unknown)]])),ISNUMBER(Table1[[#This Row],[Birthweight (grams)]]),ISNUMBER(Table1[[#This Row],[Gestation (days)]])),TRUE,FALSE)</f>
        <v>0</v>
      </c>
      <c r="E2556" s="2" t="str">
        <f>IF(Table1[[#This Row],[Is Data Valid]]=TRUE,IF(Table1[[#This Row],[Fetal Sex (Male, Female or Unknown)]]="Male",Backend!$C$6,IF(Table1[[#This Row],[Fetal Sex (Male, Female or Unknown)]]="Female",Backend!$C$7,IF(Table1[[#This Row],[Fetal Sex (Male, Female or Unknown)]]="Unknown",Backend!$C$8,"Error"))),"")</f>
        <v/>
      </c>
      <c r="F2556" s="8" t="str">
        <f>IF(Table1[[#This Row],[Is Data Valid]]=TRUE,EXP(0.578+0.332*((Table1[[#This Row],[Gestation (days)]]+0.5)/7)-0.00354*((Table1[[#This Row],[Gestation (days)]]+0.5)/7)^2)*Table1[[#This Row],[BW40_3705]],"")</f>
        <v/>
      </c>
      <c r="G2556" s="2" t="str">
        <f>IF(Table1[[#This Row],[Is Data Valid]]=TRUE,((Table1[[#This Row],[Birthweight (grams)]]/Table1[[#This Row],[BW_GA]])-1)/(Backend!$B$4/100*Table1[[#This Row],[BW40_3705]]),"")</f>
        <v/>
      </c>
      <c r="H2556" s="7" t="str">
        <f>IF(Table1[[#This Row],[Is Data Valid]]=TRUE,((Table1[[#This Row],[Birthweight (grams)]]*0.9/Table1[[#This Row],[BW_GA]])-1)/(Backend!$B$4/100*Table1[[#This Row],[BW40_3705]]),"")</f>
        <v/>
      </c>
      <c r="I2556" s="7" t="str">
        <f>IF(Table1[[#This Row],[Is Data Valid]]=TRUE,((Table1[[#This Row],[Birthweight (grams)]]*1.1/Table1[[#This Row],[BW_GA]])-1)/(Backend!$B$4/100*Table1[[#This Row],[BW40_3705]]),"")</f>
        <v/>
      </c>
      <c r="J2556" s="7" t="str">
        <f>IF(Table1[[#This Row],[Is Data Valid]]=TRUE,_xlfn.NORM.S.DIST(Table1[[#This Row],[Birthweight Z-Score]],TRUE)*100,"")</f>
        <v/>
      </c>
      <c r="K2556" s="7" t="str">
        <f>IF(Table1[[#This Row],[Is Data Valid]]=TRUE,_xlfn.NORM.S.DIST(Table1[[#This Row],[Birthweight Z-Score (BW-10%)]],TRUE)*100,"")</f>
        <v/>
      </c>
      <c r="L2556" s="7" t="str">
        <f>IF(Table1[[#This Row],[Is Data Valid]]=TRUE,_xlfn.NORM.S.DIST(Table1[[#This Row],[Birthweight Z-Score (BW+10%)]],TRUE)*100,"")</f>
        <v/>
      </c>
    </row>
    <row r="2557" spans="1:12" x14ac:dyDescent="0.35">
      <c r="A2557" s="3"/>
      <c r="B2557" s="2"/>
      <c r="C2557" s="2"/>
      <c r="D2557" s="2" t="b">
        <f>IF(AND(NOT(ISBLANK(Table1[[#This Row],[Fetal Sex (Male, Female or Unknown)]])),ISNUMBER(Table1[[#This Row],[Birthweight (grams)]]),ISNUMBER(Table1[[#This Row],[Gestation (days)]])),TRUE,FALSE)</f>
        <v>0</v>
      </c>
      <c r="E2557" s="2" t="str">
        <f>IF(Table1[[#This Row],[Is Data Valid]]=TRUE,IF(Table1[[#This Row],[Fetal Sex (Male, Female or Unknown)]]="Male",Backend!$C$6,IF(Table1[[#This Row],[Fetal Sex (Male, Female or Unknown)]]="Female",Backend!$C$7,IF(Table1[[#This Row],[Fetal Sex (Male, Female or Unknown)]]="Unknown",Backend!$C$8,"Error"))),"")</f>
        <v/>
      </c>
      <c r="F2557" s="8" t="str">
        <f>IF(Table1[[#This Row],[Is Data Valid]]=TRUE,EXP(0.578+0.332*((Table1[[#This Row],[Gestation (days)]]+0.5)/7)-0.00354*((Table1[[#This Row],[Gestation (days)]]+0.5)/7)^2)*Table1[[#This Row],[BW40_3705]],"")</f>
        <v/>
      </c>
      <c r="G2557" s="2" t="str">
        <f>IF(Table1[[#This Row],[Is Data Valid]]=TRUE,((Table1[[#This Row],[Birthweight (grams)]]/Table1[[#This Row],[BW_GA]])-1)/(Backend!$B$4/100*Table1[[#This Row],[BW40_3705]]),"")</f>
        <v/>
      </c>
      <c r="H2557" s="7" t="str">
        <f>IF(Table1[[#This Row],[Is Data Valid]]=TRUE,((Table1[[#This Row],[Birthweight (grams)]]*0.9/Table1[[#This Row],[BW_GA]])-1)/(Backend!$B$4/100*Table1[[#This Row],[BW40_3705]]),"")</f>
        <v/>
      </c>
      <c r="I2557" s="7" t="str">
        <f>IF(Table1[[#This Row],[Is Data Valid]]=TRUE,((Table1[[#This Row],[Birthweight (grams)]]*1.1/Table1[[#This Row],[BW_GA]])-1)/(Backend!$B$4/100*Table1[[#This Row],[BW40_3705]]),"")</f>
        <v/>
      </c>
      <c r="J2557" s="7" t="str">
        <f>IF(Table1[[#This Row],[Is Data Valid]]=TRUE,_xlfn.NORM.S.DIST(Table1[[#This Row],[Birthweight Z-Score]],TRUE)*100,"")</f>
        <v/>
      </c>
      <c r="K2557" s="7" t="str">
        <f>IF(Table1[[#This Row],[Is Data Valid]]=TRUE,_xlfn.NORM.S.DIST(Table1[[#This Row],[Birthweight Z-Score (BW-10%)]],TRUE)*100,"")</f>
        <v/>
      </c>
      <c r="L2557" s="7" t="str">
        <f>IF(Table1[[#This Row],[Is Data Valid]]=TRUE,_xlfn.NORM.S.DIST(Table1[[#This Row],[Birthweight Z-Score (BW+10%)]],TRUE)*100,"")</f>
        <v/>
      </c>
    </row>
    <row r="2558" spans="1:12" x14ac:dyDescent="0.35">
      <c r="A2558" s="3"/>
      <c r="B2558" s="2"/>
      <c r="C2558" s="2"/>
      <c r="D2558" s="2" t="b">
        <f>IF(AND(NOT(ISBLANK(Table1[[#This Row],[Fetal Sex (Male, Female or Unknown)]])),ISNUMBER(Table1[[#This Row],[Birthweight (grams)]]),ISNUMBER(Table1[[#This Row],[Gestation (days)]])),TRUE,FALSE)</f>
        <v>0</v>
      </c>
      <c r="E2558" s="2" t="str">
        <f>IF(Table1[[#This Row],[Is Data Valid]]=TRUE,IF(Table1[[#This Row],[Fetal Sex (Male, Female or Unknown)]]="Male",Backend!$C$6,IF(Table1[[#This Row],[Fetal Sex (Male, Female or Unknown)]]="Female",Backend!$C$7,IF(Table1[[#This Row],[Fetal Sex (Male, Female or Unknown)]]="Unknown",Backend!$C$8,"Error"))),"")</f>
        <v/>
      </c>
      <c r="F2558" s="8" t="str">
        <f>IF(Table1[[#This Row],[Is Data Valid]]=TRUE,EXP(0.578+0.332*((Table1[[#This Row],[Gestation (days)]]+0.5)/7)-0.00354*((Table1[[#This Row],[Gestation (days)]]+0.5)/7)^2)*Table1[[#This Row],[BW40_3705]],"")</f>
        <v/>
      </c>
      <c r="G2558" s="2" t="str">
        <f>IF(Table1[[#This Row],[Is Data Valid]]=TRUE,((Table1[[#This Row],[Birthweight (grams)]]/Table1[[#This Row],[BW_GA]])-1)/(Backend!$B$4/100*Table1[[#This Row],[BW40_3705]]),"")</f>
        <v/>
      </c>
      <c r="H2558" s="7" t="str">
        <f>IF(Table1[[#This Row],[Is Data Valid]]=TRUE,((Table1[[#This Row],[Birthweight (grams)]]*0.9/Table1[[#This Row],[BW_GA]])-1)/(Backend!$B$4/100*Table1[[#This Row],[BW40_3705]]),"")</f>
        <v/>
      </c>
      <c r="I2558" s="7" t="str">
        <f>IF(Table1[[#This Row],[Is Data Valid]]=TRUE,((Table1[[#This Row],[Birthweight (grams)]]*1.1/Table1[[#This Row],[BW_GA]])-1)/(Backend!$B$4/100*Table1[[#This Row],[BW40_3705]]),"")</f>
        <v/>
      </c>
      <c r="J2558" s="7" t="str">
        <f>IF(Table1[[#This Row],[Is Data Valid]]=TRUE,_xlfn.NORM.S.DIST(Table1[[#This Row],[Birthweight Z-Score]],TRUE)*100,"")</f>
        <v/>
      </c>
      <c r="K2558" s="7" t="str">
        <f>IF(Table1[[#This Row],[Is Data Valid]]=TRUE,_xlfn.NORM.S.DIST(Table1[[#This Row],[Birthweight Z-Score (BW-10%)]],TRUE)*100,"")</f>
        <v/>
      </c>
      <c r="L2558" s="7" t="str">
        <f>IF(Table1[[#This Row],[Is Data Valid]]=TRUE,_xlfn.NORM.S.DIST(Table1[[#This Row],[Birthweight Z-Score (BW+10%)]],TRUE)*100,"")</f>
        <v/>
      </c>
    </row>
    <row r="2559" spans="1:12" x14ac:dyDescent="0.35">
      <c r="A2559" s="3"/>
      <c r="B2559" s="2"/>
      <c r="C2559" s="2"/>
      <c r="D2559" s="2" t="b">
        <f>IF(AND(NOT(ISBLANK(Table1[[#This Row],[Fetal Sex (Male, Female or Unknown)]])),ISNUMBER(Table1[[#This Row],[Birthweight (grams)]]),ISNUMBER(Table1[[#This Row],[Gestation (days)]])),TRUE,FALSE)</f>
        <v>0</v>
      </c>
      <c r="E2559" s="2" t="str">
        <f>IF(Table1[[#This Row],[Is Data Valid]]=TRUE,IF(Table1[[#This Row],[Fetal Sex (Male, Female or Unknown)]]="Male",Backend!$C$6,IF(Table1[[#This Row],[Fetal Sex (Male, Female or Unknown)]]="Female",Backend!$C$7,IF(Table1[[#This Row],[Fetal Sex (Male, Female or Unknown)]]="Unknown",Backend!$C$8,"Error"))),"")</f>
        <v/>
      </c>
      <c r="F2559" s="8" t="str">
        <f>IF(Table1[[#This Row],[Is Data Valid]]=TRUE,EXP(0.578+0.332*((Table1[[#This Row],[Gestation (days)]]+0.5)/7)-0.00354*((Table1[[#This Row],[Gestation (days)]]+0.5)/7)^2)*Table1[[#This Row],[BW40_3705]],"")</f>
        <v/>
      </c>
      <c r="G2559" s="2" t="str">
        <f>IF(Table1[[#This Row],[Is Data Valid]]=TRUE,((Table1[[#This Row],[Birthweight (grams)]]/Table1[[#This Row],[BW_GA]])-1)/(Backend!$B$4/100*Table1[[#This Row],[BW40_3705]]),"")</f>
        <v/>
      </c>
      <c r="H2559" s="7" t="str">
        <f>IF(Table1[[#This Row],[Is Data Valid]]=TRUE,((Table1[[#This Row],[Birthweight (grams)]]*0.9/Table1[[#This Row],[BW_GA]])-1)/(Backend!$B$4/100*Table1[[#This Row],[BW40_3705]]),"")</f>
        <v/>
      </c>
      <c r="I2559" s="7" t="str">
        <f>IF(Table1[[#This Row],[Is Data Valid]]=TRUE,((Table1[[#This Row],[Birthweight (grams)]]*1.1/Table1[[#This Row],[BW_GA]])-1)/(Backend!$B$4/100*Table1[[#This Row],[BW40_3705]]),"")</f>
        <v/>
      </c>
      <c r="J2559" s="7" t="str">
        <f>IF(Table1[[#This Row],[Is Data Valid]]=TRUE,_xlfn.NORM.S.DIST(Table1[[#This Row],[Birthweight Z-Score]],TRUE)*100,"")</f>
        <v/>
      </c>
      <c r="K2559" s="7" t="str">
        <f>IF(Table1[[#This Row],[Is Data Valid]]=TRUE,_xlfn.NORM.S.DIST(Table1[[#This Row],[Birthweight Z-Score (BW-10%)]],TRUE)*100,"")</f>
        <v/>
      </c>
      <c r="L2559" s="7" t="str">
        <f>IF(Table1[[#This Row],[Is Data Valid]]=TRUE,_xlfn.NORM.S.DIST(Table1[[#This Row],[Birthweight Z-Score (BW+10%)]],TRUE)*100,"")</f>
        <v/>
      </c>
    </row>
    <row r="2560" spans="1:12" x14ac:dyDescent="0.35">
      <c r="A2560" s="3"/>
      <c r="B2560" s="2"/>
      <c r="C2560" s="2"/>
      <c r="D2560" s="2" t="b">
        <f>IF(AND(NOT(ISBLANK(Table1[[#This Row],[Fetal Sex (Male, Female or Unknown)]])),ISNUMBER(Table1[[#This Row],[Birthweight (grams)]]),ISNUMBER(Table1[[#This Row],[Gestation (days)]])),TRUE,FALSE)</f>
        <v>0</v>
      </c>
      <c r="E2560" s="2" t="str">
        <f>IF(Table1[[#This Row],[Is Data Valid]]=TRUE,IF(Table1[[#This Row],[Fetal Sex (Male, Female or Unknown)]]="Male",Backend!$C$6,IF(Table1[[#This Row],[Fetal Sex (Male, Female or Unknown)]]="Female",Backend!$C$7,IF(Table1[[#This Row],[Fetal Sex (Male, Female or Unknown)]]="Unknown",Backend!$C$8,"Error"))),"")</f>
        <v/>
      </c>
      <c r="F2560" s="8" t="str">
        <f>IF(Table1[[#This Row],[Is Data Valid]]=TRUE,EXP(0.578+0.332*((Table1[[#This Row],[Gestation (days)]]+0.5)/7)-0.00354*((Table1[[#This Row],[Gestation (days)]]+0.5)/7)^2)*Table1[[#This Row],[BW40_3705]],"")</f>
        <v/>
      </c>
      <c r="G2560" s="2" t="str">
        <f>IF(Table1[[#This Row],[Is Data Valid]]=TRUE,((Table1[[#This Row],[Birthweight (grams)]]/Table1[[#This Row],[BW_GA]])-1)/(Backend!$B$4/100*Table1[[#This Row],[BW40_3705]]),"")</f>
        <v/>
      </c>
      <c r="H2560" s="7" t="str">
        <f>IF(Table1[[#This Row],[Is Data Valid]]=TRUE,((Table1[[#This Row],[Birthweight (grams)]]*0.9/Table1[[#This Row],[BW_GA]])-1)/(Backend!$B$4/100*Table1[[#This Row],[BW40_3705]]),"")</f>
        <v/>
      </c>
      <c r="I2560" s="7" t="str">
        <f>IF(Table1[[#This Row],[Is Data Valid]]=TRUE,((Table1[[#This Row],[Birthweight (grams)]]*1.1/Table1[[#This Row],[BW_GA]])-1)/(Backend!$B$4/100*Table1[[#This Row],[BW40_3705]]),"")</f>
        <v/>
      </c>
      <c r="J2560" s="7" t="str">
        <f>IF(Table1[[#This Row],[Is Data Valid]]=TRUE,_xlfn.NORM.S.DIST(Table1[[#This Row],[Birthweight Z-Score]],TRUE)*100,"")</f>
        <v/>
      </c>
      <c r="K2560" s="7" t="str">
        <f>IF(Table1[[#This Row],[Is Data Valid]]=TRUE,_xlfn.NORM.S.DIST(Table1[[#This Row],[Birthweight Z-Score (BW-10%)]],TRUE)*100,"")</f>
        <v/>
      </c>
      <c r="L2560" s="7" t="str">
        <f>IF(Table1[[#This Row],[Is Data Valid]]=TRUE,_xlfn.NORM.S.DIST(Table1[[#This Row],[Birthweight Z-Score (BW+10%)]],TRUE)*100,"")</f>
        <v/>
      </c>
    </row>
    <row r="2561" spans="1:12" x14ac:dyDescent="0.35">
      <c r="A2561" s="3"/>
      <c r="B2561" s="2"/>
      <c r="C2561" s="2"/>
      <c r="D2561" s="2" t="b">
        <f>IF(AND(NOT(ISBLANK(Table1[[#This Row],[Fetal Sex (Male, Female or Unknown)]])),ISNUMBER(Table1[[#This Row],[Birthweight (grams)]]),ISNUMBER(Table1[[#This Row],[Gestation (days)]])),TRUE,FALSE)</f>
        <v>0</v>
      </c>
      <c r="E2561" s="2" t="str">
        <f>IF(Table1[[#This Row],[Is Data Valid]]=TRUE,IF(Table1[[#This Row],[Fetal Sex (Male, Female or Unknown)]]="Male",Backend!$C$6,IF(Table1[[#This Row],[Fetal Sex (Male, Female or Unknown)]]="Female",Backend!$C$7,IF(Table1[[#This Row],[Fetal Sex (Male, Female or Unknown)]]="Unknown",Backend!$C$8,"Error"))),"")</f>
        <v/>
      </c>
      <c r="F2561" s="8" t="str">
        <f>IF(Table1[[#This Row],[Is Data Valid]]=TRUE,EXP(0.578+0.332*((Table1[[#This Row],[Gestation (days)]]+0.5)/7)-0.00354*((Table1[[#This Row],[Gestation (days)]]+0.5)/7)^2)*Table1[[#This Row],[BW40_3705]],"")</f>
        <v/>
      </c>
      <c r="G2561" s="2" t="str">
        <f>IF(Table1[[#This Row],[Is Data Valid]]=TRUE,((Table1[[#This Row],[Birthweight (grams)]]/Table1[[#This Row],[BW_GA]])-1)/(Backend!$B$4/100*Table1[[#This Row],[BW40_3705]]),"")</f>
        <v/>
      </c>
      <c r="H2561" s="7" t="str">
        <f>IF(Table1[[#This Row],[Is Data Valid]]=TRUE,((Table1[[#This Row],[Birthweight (grams)]]*0.9/Table1[[#This Row],[BW_GA]])-1)/(Backend!$B$4/100*Table1[[#This Row],[BW40_3705]]),"")</f>
        <v/>
      </c>
      <c r="I2561" s="7" t="str">
        <f>IF(Table1[[#This Row],[Is Data Valid]]=TRUE,((Table1[[#This Row],[Birthweight (grams)]]*1.1/Table1[[#This Row],[BW_GA]])-1)/(Backend!$B$4/100*Table1[[#This Row],[BW40_3705]]),"")</f>
        <v/>
      </c>
      <c r="J2561" s="7" t="str">
        <f>IF(Table1[[#This Row],[Is Data Valid]]=TRUE,_xlfn.NORM.S.DIST(Table1[[#This Row],[Birthweight Z-Score]],TRUE)*100,"")</f>
        <v/>
      </c>
      <c r="K2561" s="7" t="str">
        <f>IF(Table1[[#This Row],[Is Data Valid]]=TRUE,_xlfn.NORM.S.DIST(Table1[[#This Row],[Birthweight Z-Score (BW-10%)]],TRUE)*100,"")</f>
        <v/>
      </c>
      <c r="L2561" s="7" t="str">
        <f>IF(Table1[[#This Row],[Is Data Valid]]=TRUE,_xlfn.NORM.S.DIST(Table1[[#This Row],[Birthweight Z-Score (BW+10%)]],TRUE)*100,"")</f>
        <v/>
      </c>
    </row>
    <row r="2562" spans="1:12" x14ac:dyDescent="0.35">
      <c r="A2562" s="3"/>
      <c r="B2562" s="2"/>
      <c r="C2562" s="2"/>
      <c r="D2562" s="2" t="b">
        <f>IF(AND(NOT(ISBLANK(Table1[[#This Row],[Fetal Sex (Male, Female or Unknown)]])),ISNUMBER(Table1[[#This Row],[Birthweight (grams)]]),ISNUMBER(Table1[[#This Row],[Gestation (days)]])),TRUE,FALSE)</f>
        <v>0</v>
      </c>
      <c r="E2562" s="2" t="str">
        <f>IF(Table1[[#This Row],[Is Data Valid]]=TRUE,IF(Table1[[#This Row],[Fetal Sex (Male, Female or Unknown)]]="Male",Backend!$C$6,IF(Table1[[#This Row],[Fetal Sex (Male, Female or Unknown)]]="Female",Backend!$C$7,IF(Table1[[#This Row],[Fetal Sex (Male, Female or Unknown)]]="Unknown",Backend!$C$8,"Error"))),"")</f>
        <v/>
      </c>
      <c r="F2562" s="8" t="str">
        <f>IF(Table1[[#This Row],[Is Data Valid]]=TRUE,EXP(0.578+0.332*((Table1[[#This Row],[Gestation (days)]]+0.5)/7)-0.00354*((Table1[[#This Row],[Gestation (days)]]+0.5)/7)^2)*Table1[[#This Row],[BW40_3705]],"")</f>
        <v/>
      </c>
      <c r="G2562" s="2" t="str">
        <f>IF(Table1[[#This Row],[Is Data Valid]]=TRUE,((Table1[[#This Row],[Birthweight (grams)]]/Table1[[#This Row],[BW_GA]])-1)/(Backend!$B$4/100*Table1[[#This Row],[BW40_3705]]),"")</f>
        <v/>
      </c>
      <c r="H2562" s="7" t="str">
        <f>IF(Table1[[#This Row],[Is Data Valid]]=TRUE,((Table1[[#This Row],[Birthweight (grams)]]*0.9/Table1[[#This Row],[BW_GA]])-1)/(Backend!$B$4/100*Table1[[#This Row],[BW40_3705]]),"")</f>
        <v/>
      </c>
      <c r="I2562" s="7" t="str">
        <f>IF(Table1[[#This Row],[Is Data Valid]]=TRUE,((Table1[[#This Row],[Birthweight (grams)]]*1.1/Table1[[#This Row],[BW_GA]])-1)/(Backend!$B$4/100*Table1[[#This Row],[BW40_3705]]),"")</f>
        <v/>
      </c>
      <c r="J2562" s="7" t="str">
        <f>IF(Table1[[#This Row],[Is Data Valid]]=TRUE,_xlfn.NORM.S.DIST(Table1[[#This Row],[Birthweight Z-Score]],TRUE)*100,"")</f>
        <v/>
      </c>
      <c r="K2562" s="7" t="str">
        <f>IF(Table1[[#This Row],[Is Data Valid]]=TRUE,_xlfn.NORM.S.DIST(Table1[[#This Row],[Birthweight Z-Score (BW-10%)]],TRUE)*100,"")</f>
        <v/>
      </c>
      <c r="L2562" s="7" t="str">
        <f>IF(Table1[[#This Row],[Is Data Valid]]=TRUE,_xlfn.NORM.S.DIST(Table1[[#This Row],[Birthweight Z-Score (BW+10%)]],TRUE)*100,"")</f>
        <v/>
      </c>
    </row>
    <row r="2563" spans="1:12" x14ac:dyDescent="0.35">
      <c r="A2563" s="3"/>
      <c r="B2563" s="2"/>
      <c r="C2563" s="2"/>
      <c r="D2563" s="2" t="b">
        <f>IF(AND(NOT(ISBLANK(Table1[[#This Row],[Fetal Sex (Male, Female or Unknown)]])),ISNUMBER(Table1[[#This Row],[Birthweight (grams)]]),ISNUMBER(Table1[[#This Row],[Gestation (days)]])),TRUE,FALSE)</f>
        <v>0</v>
      </c>
      <c r="E2563" s="2" t="str">
        <f>IF(Table1[[#This Row],[Is Data Valid]]=TRUE,IF(Table1[[#This Row],[Fetal Sex (Male, Female or Unknown)]]="Male",Backend!$C$6,IF(Table1[[#This Row],[Fetal Sex (Male, Female or Unknown)]]="Female",Backend!$C$7,IF(Table1[[#This Row],[Fetal Sex (Male, Female or Unknown)]]="Unknown",Backend!$C$8,"Error"))),"")</f>
        <v/>
      </c>
      <c r="F2563" s="8" t="str">
        <f>IF(Table1[[#This Row],[Is Data Valid]]=TRUE,EXP(0.578+0.332*((Table1[[#This Row],[Gestation (days)]]+0.5)/7)-0.00354*((Table1[[#This Row],[Gestation (days)]]+0.5)/7)^2)*Table1[[#This Row],[BW40_3705]],"")</f>
        <v/>
      </c>
      <c r="G2563" s="2" t="str">
        <f>IF(Table1[[#This Row],[Is Data Valid]]=TRUE,((Table1[[#This Row],[Birthweight (grams)]]/Table1[[#This Row],[BW_GA]])-1)/(Backend!$B$4/100*Table1[[#This Row],[BW40_3705]]),"")</f>
        <v/>
      </c>
      <c r="H2563" s="7" t="str">
        <f>IF(Table1[[#This Row],[Is Data Valid]]=TRUE,((Table1[[#This Row],[Birthweight (grams)]]*0.9/Table1[[#This Row],[BW_GA]])-1)/(Backend!$B$4/100*Table1[[#This Row],[BW40_3705]]),"")</f>
        <v/>
      </c>
      <c r="I2563" s="7" t="str">
        <f>IF(Table1[[#This Row],[Is Data Valid]]=TRUE,((Table1[[#This Row],[Birthweight (grams)]]*1.1/Table1[[#This Row],[BW_GA]])-1)/(Backend!$B$4/100*Table1[[#This Row],[BW40_3705]]),"")</f>
        <v/>
      </c>
      <c r="J2563" s="7" t="str">
        <f>IF(Table1[[#This Row],[Is Data Valid]]=TRUE,_xlfn.NORM.S.DIST(Table1[[#This Row],[Birthweight Z-Score]],TRUE)*100,"")</f>
        <v/>
      </c>
      <c r="K2563" s="7" t="str">
        <f>IF(Table1[[#This Row],[Is Data Valid]]=TRUE,_xlfn.NORM.S.DIST(Table1[[#This Row],[Birthweight Z-Score (BW-10%)]],TRUE)*100,"")</f>
        <v/>
      </c>
      <c r="L2563" s="7" t="str">
        <f>IF(Table1[[#This Row],[Is Data Valid]]=TRUE,_xlfn.NORM.S.DIST(Table1[[#This Row],[Birthweight Z-Score (BW+10%)]],TRUE)*100,"")</f>
        <v/>
      </c>
    </row>
    <row r="2564" spans="1:12" x14ac:dyDescent="0.35">
      <c r="A2564" s="3"/>
      <c r="B2564" s="2"/>
      <c r="C2564" s="2"/>
      <c r="D2564" s="2" t="b">
        <f>IF(AND(NOT(ISBLANK(Table1[[#This Row],[Fetal Sex (Male, Female or Unknown)]])),ISNUMBER(Table1[[#This Row],[Birthweight (grams)]]),ISNUMBER(Table1[[#This Row],[Gestation (days)]])),TRUE,FALSE)</f>
        <v>0</v>
      </c>
      <c r="E2564" s="2" t="str">
        <f>IF(Table1[[#This Row],[Is Data Valid]]=TRUE,IF(Table1[[#This Row],[Fetal Sex (Male, Female or Unknown)]]="Male",Backend!$C$6,IF(Table1[[#This Row],[Fetal Sex (Male, Female or Unknown)]]="Female",Backend!$C$7,IF(Table1[[#This Row],[Fetal Sex (Male, Female or Unknown)]]="Unknown",Backend!$C$8,"Error"))),"")</f>
        <v/>
      </c>
      <c r="F2564" s="8" t="str">
        <f>IF(Table1[[#This Row],[Is Data Valid]]=TRUE,EXP(0.578+0.332*((Table1[[#This Row],[Gestation (days)]]+0.5)/7)-0.00354*((Table1[[#This Row],[Gestation (days)]]+0.5)/7)^2)*Table1[[#This Row],[BW40_3705]],"")</f>
        <v/>
      </c>
      <c r="G2564" s="2" t="str">
        <f>IF(Table1[[#This Row],[Is Data Valid]]=TRUE,((Table1[[#This Row],[Birthweight (grams)]]/Table1[[#This Row],[BW_GA]])-1)/(Backend!$B$4/100*Table1[[#This Row],[BW40_3705]]),"")</f>
        <v/>
      </c>
      <c r="H2564" s="7" t="str">
        <f>IF(Table1[[#This Row],[Is Data Valid]]=TRUE,((Table1[[#This Row],[Birthweight (grams)]]*0.9/Table1[[#This Row],[BW_GA]])-1)/(Backend!$B$4/100*Table1[[#This Row],[BW40_3705]]),"")</f>
        <v/>
      </c>
      <c r="I2564" s="7" t="str">
        <f>IF(Table1[[#This Row],[Is Data Valid]]=TRUE,((Table1[[#This Row],[Birthweight (grams)]]*1.1/Table1[[#This Row],[BW_GA]])-1)/(Backend!$B$4/100*Table1[[#This Row],[BW40_3705]]),"")</f>
        <v/>
      </c>
      <c r="J2564" s="7" t="str">
        <f>IF(Table1[[#This Row],[Is Data Valid]]=TRUE,_xlfn.NORM.S.DIST(Table1[[#This Row],[Birthweight Z-Score]],TRUE)*100,"")</f>
        <v/>
      </c>
      <c r="K2564" s="7" t="str">
        <f>IF(Table1[[#This Row],[Is Data Valid]]=TRUE,_xlfn.NORM.S.DIST(Table1[[#This Row],[Birthweight Z-Score (BW-10%)]],TRUE)*100,"")</f>
        <v/>
      </c>
      <c r="L2564" s="7" t="str">
        <f>IF(Table1[[#This Row],[Is Data Valid]]=TRUE,_xlfn.NORM.S.DIST(Table1[[#This Row],[Birthweight Z-Score (BW+10%)]],TRUE)*100,"")</f>
        <v/>
      </c>
    </row>
    <row r="2565" spans="1:12" x14ac:dyDescent="0.35">
      <c r="A2565" s="3"/>
      <c r="B2565" s="2"/>
      <c r="C2565" s="2"/>
      <c r="D2565" s="2" t="b">
        <f>IF(AND(NOT(ISBLANK(Table1[[#This Row],[Fetal Sex (Male, Female or Unknown)]])),ISNUMBER(Table1[[#This Row],[Birthweight (grams)]]),ISNUMBER(Table1[[#This Row],[Gestation (days)]])),TRUE,FALSE)</f>
        <v>0</v>
      </c>
      <c r="E2565" s="2" t="str">
        <f>IF(Table1[[#This Row],[Is Data Valid]]=TRUE,IF(Table1[[#This Row],[Fetal Sex (Male, Female or Unknown)]]="Male",Backend!$C$6,IF(Table1[[#This Row],[Fetal Sex (Male, Female or Unknown)]]="Female",Backend!$C$7,IF(Table1[[#This Row],[Fetal Sex (Male, Female or Unknown)]]="Unknown",Backend!$C$8,"Error"))),"")</f>
        <v/>
      </c>
      <c r="F2565" s="8" t="str">
        <f>IF(Table1[[#This Row],[Is Data Valid]]=TRUE,EXP(0.578+0.332*((Table1[[#This Row],[Gestation (days)]]+0.5)/7)-0.00354*((Table1[[#This Row],[Gestation (days)]]+0.5)/7)^2)*Table1[[#This Row],[BW40_3705]],"")</f>
        <v/>
      </c>
      <c r="G2565" s="2" t="str">
        <f>IF(Table1[[#This Row],[Is Data Valid]]=TRUE,((Table1[[#This Row],[Birthweight (grams)]]/Table1[[#This Row],[BW_GA]])-1)/(Backend!$B$4/100*Table1[[#This Row],[BW40_3705]]),"")</f>
        <v/>
      </c>
      <c r="H2565" s="7" t="str">
        <f>IF(Table1[[#This Row],[Is Data Valid]]=TRUE,((Table1[[#This Row],[Birthweight (grams)]]*0.9/Table1[[#This Row],[BW_GA]])-1)/(Backend!$B$4/100*Table1[[#This Row],[BW40_3705]]),"")</f>
        <v/>
      </c>
      <c r="I2565" s="7" t="str">
        <f>IF(Table1[[#This Row],[Is Data Valid]]=TRUE,((Table1[[#This Row],[Birthweight (grams)]]*1.1/Table1[[#This Row],[BW_GA]])-1)/(Backend!$B$4/100*Table1[[#This Row],[BW40_3705]]),"")</f>
        <v/>
      </c>
      <c r="J2565" s="7" t="str">
        <f>IF(Table1[[#This Row],[Is Data Valid]]=TRUE,_xlfn.NORM.S.DIST(Table1[[#This Row],[Birthweight Z-Score]],TRUE)*100,"")</f>
        <v/>
      </c>
      <c r="K2565" s="7" t="str">
        <f>IF(Table1[[#This Row],[Is Data Valid]]=TRUE,_xlfn.NORM.S.DIST(Table1[[#This Row],[Birthweight Z-Score (BW-10%)]],TRUE)*100,"")</f>
        <v/>
      </c>
      <c r="L2565" s="7" t="str">
        <f>IF(Table1[[#This Row],[Is Data Valid]]=TRUE,_xlfn.NORM.S.DIST(Table1[[#This Row],[Birthweight Z-Score (BW+10%)]],TRUE)*100,"")</f>
        <v/>
      </c>
    </row>
    <row r="2566" spans="1:12" x14ac:dyDescent="0.35">
      <c r="A2566" s="3"/>
      <c r="B2566" s="2"/>
      <c r="C2566" s="2"/>
      <c r="D2566" s="2" t="b">
        <f>IF(AND(NOT(ISBLANK(Table1[[#This Row],[Fetal Sex (Male, Female or Unknown)]])),ISNUMBER(Table1[[#This Row],[Birthweight (grams)]]),ISNUMBER(Table1[[#This Row],[Gestation (days)]])),TRUE,FALSE)</f>
        <v>0</v>
      </c>
      <c r="E2566" s="2" t="str">
        <f>IF(Table1[[#This Row],[Is Data Valid]]=TRUE,IF(Table1[[#This Row],[Fetal Sex (Male, Female or Unknown)]]="Male",Backend!$C$6,IF(Table1[[#This Row],[Fetal Sex (Male, Female or Unknown)]]="Female",Backend!$C$7,IF(Table1[[#This Row],[Fetal Sex (Male, Female or Unknown)]]="Unknown",Backend!$C$8,"Error"))),"")</f>
        <v/>
      </c>
      <c r="F2566" s="8" t="str">
        <f>IF(Table1[[#This Row],[Is Data Valid]]=TRUE,EXP(0.578+0.332*((Table1[[#This Row],[Gestation (days)]]+0.5)/7)-0.00354*((Table1[[#This Row],[Gestation (days)]]+0.5)/7)^2)*Table1[[#This Row],[BW40_3705]],"")</f>
        <v/>
      </c>
      <c r="G2566" s="2" t="str">
        <f>IF(Table1[[#This Row],[Is Data Valid]]=TRUE,((Table1[[#This Row],[Birthweight (grams)]]/Table1[[#This Row],[BW_GA]])-1)/(Backend!$B$4/100*Table1[[#This Row],[BW40_3705]]),"")</f>
        <v/>
      </c>
      <c r="H2566" s="7" t="str">
        <f>IF(Table1[[#This Row],[Is Data Valid]]=TRUE,((Table1[[#This Row],[Birthweight (grams)]]*0.9/Table1[[#This Row],[BW_GA]])-1)/(Backend!$B$4/100*Table1[[#This Row],[BW40_3705]]),"")</f>
        <v/>
      </c>
      <c r="I2566" s="7" t="str">
        <f>IF(Table1[[#This Row],[Is Data Valid]]=TRUE,((Table1[[#This Row],[Birthweight (grams)]]*1.1/Table1[[#This Row],[BW_GA]])-1)/(Backend!$B$4/100*Table1[[#This Row],[BW40_3705]]),"")</f>
        <v/>
      </c>
      <c r="J2566" s="7" t="str">
        <f>IF(Table1[[#This Row],[Is Data Valid]]=TRUE,_xlfn.NORM.S.DIST(Table1[[#This Row],[Birthweight Z-Score]],TRUE)*100,"")</f>
        <v/>
      </c>
      <c r="K2566" s="7" t="str">
        <f>IF(Table1[[#This Row],[Is Data Valid]]=TRUE,_xlfn.NORM.S.DIST(Table1[[#This Row],[Birthweight Z-Score (BW-10%)]],TRUE)*100,"")</f>
        <v/>
      </c>
      <c r="L2566" s="7" t="str">
        <f>IF(Table1[[#This Row],[Is Data Valid]]=TRUE,_xlfn.NORM.S.DIST(Table1[[#This Row],[Birthweight Z-Score (BW+10%)]],TRUE)*100,"")</f>
        <v/>
      </c>
    </row>
    <row r="2567" spans="1:12" x14ac:dyDescent="0.35">
      <c r="A2567" s="3"/>
      <c r="B2567" s="2"/>
      <c r="C2567" s="2"/>
      <c r="D2567" s="2" t="b">
        <f>IF(AND(NOT(ISBLANK(Table1[[#This Row],[Fetal Sex (Male, Female or Unknown)]])),ISNUMBER(Table1[[#This Row],[Birthweight (grams)]]),ISNUMBER(Table1[[#This Row],[Gestation (days)]])),TRUE,FALSE)</f>
        <v>0</v>
      </c>
      <c r="E2567" s="2" t="str">
        <f>IF(Table1[[#This Row],[Is Data Valid]]=TRUE,IF(Table1[[#This Row],[Fetal Sex (Male, Female or Unknown)]]="Male",Backend!$C$6,IF(Table1[[#This Row],[Fetal Sex (Male, Female or Unknown)]]="Female",Backend!$C$7,IF(Table1[[#This Row],[Fetal Sex (Male, Female or Unknown)]]="Unknown",Backend!$C$8,"Error"))),"")</f>
        <v/>
      </c>
      <c r="F2567" s="8" t="str">
        <f>IF(Table1[[#This Row],[Is Data Valid]]=TRUE,EXP(0.578+0.332*((Table1[[#This Row],[Gestation (days)]]+0.5)/7)-0.00354*((Table1[[#This Row],[Gestation (days)]]+0.5)/7)^2)*Table1[[#This Row],[BW40_3705]],"")</f>
        <v/>
      </c>
      <c r="G2567" s="2" t="str">
        <f>IF(Table1[[#This Row],[Is Data Valid]]=TRUE,((Table1[[#This Row],[Birthweight (grams)]]/Table1[[#This Row],[BW_GA]])-1)/(Backend!$B$4/100*Table1[[#This Row],[BW40_3705]]),"")</f>
        <v/>
      </c>
      <c r="H2567" s="7" t="str">
        <f>IF(Table1[[#This Row],[Is Data Valid]]=TRUE,((Table1[[#This Row],[Birthweight (grams)]]*0.9/Table1[[#This Row],[BW_GA]])-1)/(Backend!$B$4/100*Table1[[#This Row],[BW40_3705]]),"")</f>
        <v/>
      </c>
      <c r="I2567" s="7" t="str">
        <f>IF(Table1[[#This Row],[Is Data Valid]]=TRUE,((Table1[[#This Row],[Birthweight (grams)]]*1.1/Table1[[#This Row],[BW_GA]])-1)/(Backend!$B$4/100*Table1[[#This Row],[BW40_3705]]),"")</f>
        <v/>
      </c>
      <c r="J2567" s="7" t="str">
        <f>IF(Table1[[#This Row],[Is Data Valid]]=TRUE,_xlfn.NORM.S.DIST(Table1[[#This Row],[Birthweight Z-Score]],TRUE)*100,"")</f>
        <v/>
      </c>
      <c r="K2567" s="7" t="str">
        <f>IF(Table1[[#This Row],[Is Data Valid]]=TRUE,_xlfn.NORM.S.DIST(Table1[[#This Row],[Birthweight Z-Score (BW-10%)]],TRUE)*100,"")</f>
        <v/>
      </c>
      <c r="L2567" s="7" t="str">
        <f>IF(Table1[[#This Row],[Is Data Valid]]=TRUE,_xlfn.NORM.S.DIST(Table1[[#This Row],[Birthweight Z-Score (BW+10%)]],TRUE)*100,"")</f>
        <v/>
      </c>
    </row>
    <row r="2568" spans="1:12" x14ac:dyDescent="0.35">
      <c r="A2568" s="3"/>
      <c r="B2568" s="2"/>
      <c r="C2568" s="2"/>
      <c r="D2568" s="2" t="b">
        <f>IF(AND(NOT(ISBLANK(Table1[[#This Row],[Fetal Sex (Male, Female or Unknown)]])),ISNUMBER(Table1[[#This Row],[Birthweight (grams)]]),ISNUMBER(Table1[[#This Row],[Gestation (days)]])),TRUE,FALSE)</f>
        <v>0</v>
      </c>
      <c r="E2568" s="2" t="str">
        <f>IF(Table1[[#This Row],[Is Data Valid]]=TRUE,IF(Table1[[#This Row],[Fetal Sex (Male, Female or Unknown)]]="Male",Backend!$C$6,IF(Table1[[#This Row],[Fetal Sex (Male, Female or Unknown)]]="Female",Backend!$C$7,IF(Table1[[#This Row],[Fetal Sex (Male, Female or Unknown)]]="Unknown",Backend!$C$8,"Error"))),"")</f>
        <v/>
      </c>
      <c r="F2568" s="8" t="str">
        <f>IF(Table1[[#This Row],[Is Data Valid]]=TRUE,EXP(0.578+0.332*((Table1[[#This Row],[Gestation (days)]]+0.5)/7)-0.00354*((Table1[[#This Row],[Gestation (days)]]+0.5)/7)^2)*Table1[[#This Row],[BW40_3705]],"")</f>
        <v/>
      </c>
      <c r="G2568" s="2" t="str">
        <f>IF(Table1[[#This Row],[Is Data Valid]]=TRUE,((Table1[[#This Row],[Birthweight (grams)]]/Table1[[#This Row],[BW_GA]])-1)/(Backend!$B$4/100*Table1[[#This Row],[BW40_3705]]),"")</f>
        <v/>
      </c>
      <c r="H2568" s="7" t="str">
        <f>IF(Table1[[#This Row],[Is Data Valid]]=TRUE,((Table1[[#This Row],[Birthweight (grams)]]*0.9/Table1[[#This Row],[BW_GA]])-1)/(Backend!$B$4/100*Table1[[#This Row],[BW40_3705]]),"")</f>
        <v/>
      </c>
      <c r="I2568" s="7" t="str">
        <f>IF(Table1[[#This Row],[Is Data Valid]]=TRUE,((Table1[[#This Row],[Birthweight (grams)]]*1.1/Table1[[#This Row],[BW_GA]])-1)/(Backend!$B$4/100*Table1[[#This Row],[BW40_3705]]),"")</f>
        <v/>
      </c>
      <c r="J2568" s="7" t="str">
        <f>IF(Table1[[#This Row],[Is Data Valid]]=TRUE,_xlfn.NORM.S.DIST(Table1[[#This Row],[Birthweight Z-Score]],TRUE)*100,"")</f>
        <v/>
      </c>
      <c r="K2568" s="7" t="str">
        <f>IF(Table1[[#This Row],[Is Data Valid]]=TRUE,_xlfn.NORM.S.DIST(Table1[[#This Row],[Birthweight Z-Score (BW-10%)]],TRUE)*100,"")</f>
        <v/>
      </c>
      <c r="L2568" s="7" t="str">
        <f>IF(Table1[[#This Row],[Is Data Valid]]=TRUE,_xlfn.NORM.S.DIST(Table1[[#This Row],[Birthweight Z-Score (BW+10%)]],TRUE)*100,"")</f>
        <v/>
      </c>
    </row>
    <row r="2569" spans="1:12" x14ac:dyDescent="0.35">
      <c r="A2569" s="3"/>
      <c r="B2569" s="2"/>
      <c r="C2569" s="2"/>
      <c r="D2569" s="2" t="b">
        <f>IF(AND(NOT(ISBLANK(Table1[[#This Row],[Fetal Sex (Male, Female or Unknown)]])),ISNUMBER(Table1[[#This Row],[Birthweight (grams)]]),ISNUMBER(Table1[[#This Row],[Gestation (days)]])),TRUE,FALSE)</f>
        <v>0</v>
      </c>
      <c r="E2569" s="2" t="str">
        <f>IF(Table1[[#This Row],[Is Data Valid]]=TRUE,IF(Table1[[#This Row],[Fetal Sex (Male, Female or Unknown)]]="Male",Backend!$C$6,IF(Table1[[#This Row],[Fetal Sex (Male, Female or Unknown)]]="Female",Backend!$C$7,IF(Table1[[#This Row],[Fetal Sex (Male, Female or Unknown)]]="Unknown",Backend!$C$8,"Error"))),"")</f>
        <v/>
      </c>
      <c r="F2569" s="8" t="str">
        <f>IF(Table1[[#This Row],[Is Data Valid]]=TRUE,EXP(0.578+0.332*((Table1[[#This Row],[Gestation (days)]]+0.5)/7)-0.00354*((Table1[[#This Row],[Gestation (days)]]+0.5)/7)^2)*Table1[[#This Row],[BW40_3705]],"")</f>
        <v/>
      </c>
      <c r="G2569" s="2" t="str">
        <f>IF(Table1[[#This Row],[Is Data Valid]]=TRUE,((Table1[[#This Row],[Birthweight (grams)]]/Table1[[#This Row],[BW_GA]])-1)/(Backend!$B$4/100*Table1[[#This Row],[BW40_3705]]),"")</f>
        <v/>
      </c>
      <c r="H2569" s="7" t="str">
        <f>IF(Table1[[#This Row],[Is Data Valid]]=TRUE,((Table1[[#This Row],[Birthweight (grams)]]*0.9/Table1[[#This Row],[BW_GA]])-1)/(Backend!$B$4/100*Table1[[#This Row],[BW40_3705]]),"")</f>
        <v/>
      </c>
      <c r="I2569" s="7" t="str">
        <f>IF(Table1[[#This Row],[Is Data Valid]]=TRUE,((Table1[[#This Row],[Birthweight (grams)]]*1.1/Table1[[#This Row],[BW_GA]])-1)/(Backend!$B$4/100*Table1[[#This Row],[BW40_3705]]),"")</f>
        <v/>
      </c>
      <c r="J2569" s="7" t="str">
        <f>IF(Table1[[#This Row],[Is Data Valid]]=TRUE,_xlfn.NORM.S.DIST(Table1[[#This Row],[Birthweight Z-Score]],TRUE)*100,"")</f>
        <v/>
      </c>
      <c r="K2569" s="7" t="str">
        <f>IF(Table1[[#This Row],[Is Data Valid]]=TRUE,_xlfn.NORM.S.DIST(Table1[[#This Row],[Birthweight Z-Score (BW-10%)]],TRUE)*100,"")</f>
        <v/>
      </c>
      <c r="L2569" s="7" t="str">
        <f>IF(Table1[[#This Row],[Is Data Valid]]=TRUE,_xlfn.NORM.S.DIST(Table1[[#This Row],[Birthweight Z-Score (BW+10%)]],TRUE)*100,"")</f>
        <v/>
      </c>
    </row>
    <row r="2570" spans="1:12" x14ac:dyDescent="0.35">
      <c r="A2570" s="3"/>
      <c r="B2570" s="2"/>
      <c r="C2570" s="2"/>
      <c r="D2570" s="2" t="b">
        <f>IF(AND(NOT(ISBLANK(Table1[[#This Row],[Fetal Sex (Male, Female or Unknown)]])),ISNUMBER(Table1[[#This Row],[Birthweight (grams)]]),ISNUMBER(Table1[[#This Row],[Gestation (days)]])),TRUE,FALSE)</f>
        <v>0</v>
      </c>
      <c r="E2570" s="2" t="str">
        <f>IF(Table1[[#This Row],[Is Data Valid]]=TRUE,IF(Table1[[#This Row],[Fetal Sex (Male, Female or Unknown)]]="Male",Backend!$C$6,IF(Table1[[#This Row],[Fetal Sex (Male, Female or Unknown)]]="Female",Backend!$C$7,IF(Table1[[#This Row],[Fetal Sex (Male, Female or Unknown)]]="Unknown",Backend!$C$8,"Error"))),"")</f>
        <v/>
      </c>
      <c r="F2570" s="8" t="str">
        <f>IF(Table1[[#This Row],[Is Data Valid]]=TRUE,EXP(0.578+0.332*((Table1[[#This Row],[Gestation (days)]]+0.5)/7)-0.00354*((Table1[[#This Row],[Gestation (days)]]+0.5)/7)^2)*Table1[[#This Row],[BW40_3705]],"")</f>
        <v/>
      </c>
      <c r="G2570" s="2" t="str">
        <f>IF(Table1[[#This Row],[Is Data Valid]]=TRUE,((Table1[[#This Row],[Birthweight (grams)]]/Table1[[#This Row],[BW_GA]])-1)/(Backend!$B$4/100*Table1[[#This Row],[BW40_3705]]),"")</f>
        <v/>
      </c>
      <c r="H2570" s="7" t="str">
        <f>IF(Table1[[#This Row],[Is Data Valid]]=TRUE,((Table1[[#This Row],[Birthweight (grams)]]*0.9/Table1[[#This Row],[BW_GA]])-1)/(Backend!$B$4/100*Table1[[#This Row],[BW40_3705]]),"")</f>
        <v/>
      </c>
      <c r="I2570" s="7" t="str">
        <f>IF(Table1[[#This Row],[Is Data Valid]]=TRUE,((Table1[[#This Row],[Birthweight (grams)]]*1.1/Table1[[#This Row],[BW_GA]])-1)/(Backend!$B$4/100*Table1[[#This Row],[BW40_3705]]),"")</f>
        <v/>
      </c>
      <c r="J2570" s="7" t="str">
        <f>IF(Table1[[#This Row],[Is Data Valid]]=TRUE,_xlfn.NORM.S.DIST(Table1[[#This Row],[Birthweight Z-Score]],TRUE)*100,"")</f>
        <v/>
      </c>
      <c r="K2570" s="7" t="str">
        <f>IF(Table1[[#This Row],[Is Data Valid]]=TRUE,_xlfn.NORM.S.DIST(Table1[[#This Row],[Birthweight Z-Score (BW-10%)]],TRUE)*100,"")</f>
        <v/>
      </c>
      <c r="L2570" s="7" t="str">
        <f>IF(Table1[[#This Row],[Is Data Valid]]=TRUE,_xlfn.NORM.S.DIST(Table1[[#This Row],[Birthweight Z-Score (BW+10%)]],TRUE)*100,"")</f>
        <v/>
      </c>
    </row>
    <row r="2571" spans="1:12" x14ac:dyDescent="0.35">
      <c r="A2571" s="3"/>
      <c r="B2571" s="2"/>
      <c r="C2571" s="2"/>
      <c r="D2571" s="2" t="b">
        <f>IF(AND(NOT(ISBLANK(Table1[[#This Row],[Fetal Sex (Male, Female or Unknown)]])),ISNUMBER(Table1[[#This Row],[Birthweight (grams)]]),ISNUMBER(Table1[[#This Row],[Gestation (days)]])),TRUE,FALSE)</f>
        <v>0</v>
      </c>
      <c r="E2571" s="2" t="str">
        <f>IF(Table1[[#This Row],[Is Data Valid]]=TRUE,IF(Table1[[#This Row],[Fetal Sex (Male, Female or Unknown)]]="Male",Backend!$C$6,IF(Table1[[#This Row],[Fetal Sex (Male, Female or Unknown)]]="Female",Backend!$C$7,IF(Table1[[#This Row],[Fetal Sex (Male, Female or Unknown)]]="Unknown",Backend!$C$8,"Error"))),"")</f>
        <v/>
      </c>
      <c r="F2571" s="8" t="str">
        <f>IF(Table1[[#This Row],[Is Data Valid]]=TRUE,EXP(0.578+0.332*((Table1[[#This Row],[Gestation (days)]]+0.5)/7)-0.00354*((Table1[[#This Row],[Gestation (days)]]+0.5)/7)^2)*Table1[[#This Row],[BW40_3705]],"")</f>
        <v/>
      </c>
      <c r="G2571" s="2" t="str">
        <f>IF(Table1[[#This Row],[Is Data Valid]]=TRUE,((Table1[[#This Row],[Birthweight (grams)]]/Table1[[#This Row],[BW_GA]])-1)/(Backend!$B$4/100*Table1[[#This Row],[BW40_3705]]),"")</f>
        <v/>
      </c>
      <c r="H2571" s="7" t="str">
        <f>IF(Table1[[#This Row],[Is Data Valid]]=TRUE,((Table1[[#This Row],[Birthweight (grams)]]*0.9/Table1[[#This Row],[BW_GA]])-1)/(Backend!$B$4/100*Table1[[#This Row],[BW40_3705]]),"")</f>
        <v/>
      </c>
      <c r="I2571" s="7" t="str">
        <f>IF(Table1[[#This Row],[Is Data Valid]]=TRUE,((Table1[[#This Row],[Birthweight (grams)]]*1.1/Table1[[#This Row],[BW_GA]])-1)/(Backend!$B$4/100*Table1[[#This Row],[BW40_3705]]),"")</f>
        <v/>
      </c>
      <c r="J2571" s="7" t="str">
        <f>IF(Table1[[#This Row],[Is Data Valid]]=TRUE,_xlfn.NORM.S.DIST(Table1[[#This Row],[Birthweight Z-Score]],TRUE)*100,"")</f>
        <v/>
      </c>
      <c r="K2571" s="7" t="str">
        <f>IF(Table1[[#This Row],[Is Data Valid]]=TRUE,_xlfn.NORM.S.DIST(Table1[[#This Row],[Birthweight Z-Score (BW-10%)]],TRUE)*100,"")</f>
        <v/>
      </c>
      <c r="L2571" s="7" t="str">
        <f>IF(Table1[[#This Row],[Is Data Valid]]=TRUE,_xlfn.NORM.S.DIST(Table1[[#This Row],[Birthweight Z-Score (BW+10%)]],TRUE)*100,"")</f>
        <v/>
      </c>
    </row>
    <row r="2572" spans="1:12" x14ac:dyDescent="0.35">
      <c r="A2572" s="3"/>
      <c r="B2572" s="2"/>
      <c r="C2572" s="2"/>
      <c r="D2572" s="2" t="b">
        <f>IF(AND(NOT(ISBLANK(Table1[[#This Row],[Fetal Sex (Male, Female or Unknown)]])),ISNUMBER(Table1[[#This Row],[Birthweight (grams)]]),ISNUMBER(Table1[[#This Row],[Gestation (days)]])),TRUE,FALSE)</f>
        <v>0</v>
      </c>
      <c r="E2572" s="2" t="str">
        <f>IF(Table1[[#This Row],[Is Data Valid]]=TRUE,IF(Table1[[#This Row],[Fetal Sex (Male, Female or Unknown)]]="Male",Backend!$C$6,IF(Table1[[#This Row],[Fetal Sex (Male, Female or Unknown)]]="Female",Backend!$C$7,IF(Table1[[#This Row],[Fetal Sex (Male, Female or Unknown)]]="Unknown",Backend!$C$8,"Error"))),"")</f>
        <v/>
      </c>
      <c r="F2572" s="8" t="str">
        <f>IF(Table1[[#This Row],[Is Data Valid]]=TRUE,EXP(0.578+0.332*((Table1[[#This Row],[Gestation (days)]]+0.5)/7)-0.00354*((Table1[[#This Row],[Gestation (days)]]+0.5)/7)^2)*Table1[[#This Row],[BW40_3705]],"")</f>
        <v/>
      </c>
      <c r="G2572" s="2" t="str">
        <f>IF(Table1[[#This Row],[Is Data Valid]]=TRUE,((Table1[[#This Row],[Birthweight (grams)]]/Table1[[#This Row],[BW_GA]])-1)/(Backend!$B$4/100*Table1[[#This Row],[BW40_3705]]),"")</f>
        <v/>
      </c>
      <c r="H2572" s="7" t="str">
        <f>IF(Table1[[#This Row],[Is Data Valid]]=TRUE,((Table1[[#This Row],[Birthweight (grams)]]*0.9/Table1[[#This Row],[BW_GA]])-1)/(Backend!$B$4/100*Table1[[#This Row],[BW40_3705]]),"")</f>
        <v/>
      </c>
      <c r="I2572" s="7" t="str">
        <f>IF(Table1[[#This Row],[Is Data Valid]]=TRUE,((Table1[[#This Row],[Birthweight (grams)]]*1.1/Table1[[#This Row],[BW_GA]])-1)/(Backend!$B$4/100*Table1[[#This Row],[BW40_3705]]),"")</f>
        <v/>
      </c>
      <c r="J2572" s="7" t="str">
        <f>IF(Table1[[#This Row],[Is Data Valid]]=TRUE,_xlfn.NORM.S.DIST(Table1[[#This Row],[Birthweight Z-Score]],TRUE)*100,"")</f>
        <v/>
      </c>
      <c r="K2572" s="7" t="str">
        <f>IF(Table1[[#This Row],[Is Data Valid]]=TRUE,_xlfn.NORM.S.DIST(Table1[[#This Row],[Birthweight Z-Score (BW-10%)]],TRUE)*100,"")</f>
        <v/>
      </c>
      <c r="L2572" s="7" t="str">
        <f>IF(Table1[[#This Row],[Is Data Valid]]=TRUE,_xlfn.NORM.S.DIST(Table1[[#This Row],[Birthweight Z-Score (BW+10%)]],TRUE)*100,"")</f>
        <v/>
      </c>
    </row>
    <row r="2573" spans="1:12" x14ac:dyDescent="0.35">
      <c r="A2573" s="3"/>
      <c r="B2573" s="2"/>
      <c r="C2573" s="2"/>
      <c r="D2573" s="2" t="b">
        <f>IF(AND(NOT(ISBLANK(Table1[[#This Row],[Fetal Sex (Male, Female or Unknown)]])),ISNUMBER(Table1[[#This Row],[Birthweight (grams)]]),ISNUMBER(Table1[[#This Row],[Gestation (days)]])),TRUE,FALSE)</f>
        <v>0</v>
      </c>
      <c r="E2573" s="2" t="str">
        <f>IF(Table1[[#This Row],[Is Data Valid]]=TRUE,IF(Table1[[#This Row],[Fetal Sex (Male, Female or Unknown)]]="Male",Backend!$C$6,IF(Table1[[#This Row],[Fetal Sex (Male, Female or Unknown)]]="Female",Backend!$C$7,IF(Table1[[#This Row],[Fetal Sex (Male, Female or Unknown)]]="Unknown",Backend!$C$8,"Error"))),"")</f>
        <v/>
      </c>
      <c r="F2573" s="8" t="str">
        <f>IF(Table1[[#This Row],[Is Data Valid]]=TRUE,EXP(0.578+0.332*((Table1[[#This Row],[Gestation (days)]]+0.5)/7)-0.00354*((Table1[[#This Row],[Gestation (days)]]+0.5)/7)^2)*Table1[[#This Row],[BW40_3705]],"")</f>
        <v/>
      </c>
      <c r="G2573" s="2" t="str">
        <f>IF(Table1[[#This Row],[Is Data Valid]]=TRUE,((Table1[[#This Row],[Birthweight (grams)]]/Table1[[#This Row],[BW_GA]])-1)/(Backend!$B$4/100*Table1[[#This Row],[BW40_3705]]),"")</f>
        <v/>
      </c>
      <c r="H2573" s="7" t="str">
        <f>IF(Table1[[#This Row],[Is Data Valid]]=TRUE,((Table1[[#This Row],[Birthweight (grams)]]*0.9/Table1[[#This Row],[BW_GA]])-1)/(Backend!$B$4/100*Table1[[#This Row],[BW40_3705]]),"")</f>
        <v/>
      </c>
      <c r="I2573" s="7" t="str">
        <f>IF(Table1[[#This Row],[Is Data Valid]]=TRUE,((Table1[[#This Row],[Birthweight (grams)]]*1.1/Table1[[#This Row],[BW_GA]])-1)/(Backend!$B$4/100*Table1[[#This Row],[BW40_3705]]),"")</f>
        <v/>
      </c>
      <c r="J2573" s="7" t="str">
        <f>IF(Table1[[#This Row],[Is Data Valid]]=TRUE,_xlfn.NORM.S.DIST(Table1[[#This Row],[Birthweight Z-Score]],TRUE)*100,"")</f>
        <v/>
      </c>
      <c r="K2573" s="7" t="str">
        <f>IF(Table1[[#This Row],[Is Data Valid]]=TRUE,_xlfn.NORM.S.DIST(Table1[[#This Row],[Birthweight Z-Score (BW-10%)]],TRUE)*100,"")</f>
        <v/>
      </c>
      <c r="L2573" s="7" t="str">
        <f>IF(Table1[[#This Row],[Is Data Valid]]=TRUE,_xlfn.NORM.S.DIST(Table1[[#This Row],[Birthweight Z-Score (BW+10%)]],TRUE)*100,"")</f>
        <v/>
      </c>
    </row>
    <row r="2574" spans="1:12" x14ac:dyDescent="0.35">
      <c r="A2574" s="3"/>
      <c r="B2574" s="2"/>
      <c r="C2574" s="2"/>
      <c r="D2574" s="2" t="b">
        <f>IF(AND(NOT(ISBLANK(Table1[[#This Row],[Fetal Sex (Male, Female or Unknown)]])),ISNUMBER(Table1[[#This Row],[Birthweight (grams)]]),ISNUMBER(Table1[[#This Row],[Gestation (days)]])),TRUE,FALSE)</f>
        <v>0</v>
      </c>
      <c r="E2574" s="2" t="str">
        <f>IF(Table1[[#This Row],[Is Data Valid]]=TRUE,IF(Table1[[#This Row],[Fetal Sex (Male, Female or Unknown)]]="Male",Backend!$C$6,IF(Table1[[#This Row],[Fetal Sex (Male, Female or Unknown)]]="Female",Backend!$C$7,IF(Table1[[#This Row],[Fetal Sex (Male, Female or Unknown)]]="Unknown",Backend!$C$8,"Error"))),"")</f>
        <v/>
      </c>
      <c r="F2574" s="8" t="str">
        <f>IF(Table1[[#This Row],[Is Data Valid]]=TRUE,EXP(0.578+0.332*((Table1[[#This Row],[Gestation (days)]]+0.5)/7)-0.00354*((Table1[[#This Row],[Gestation (days)]]+0.5)/7)^2)*Table1[[#This Row],[BW40_3705]],"")</f>
        <v/>
      </c>
      <c r="G2574" s="2" t="str">
        <f>IF(Table1[[#This Row],[Is Data Valid]]=TRUE,((Table1[[#This Row],[Birthweight (grams)]]/Table1[[#This Row],[BW_GA]])-1)/(Backend!$B$4/100*Table1[[#This Row],[BW40_3705]]),"")</f>
        <v/>
      </c>
      <c r="H2574" s="7" t="str">
        <f>IF(Table1[[#This Row],[Is Data Valid]]=TRUE,((Table1[[#This Row],[Birthweight (grams)]]*0.9/Table1[[#This Row],[BW_GA]])-1)/(Backend!$B$4/100*Table1[[#This Row],[BW40_3705]]),"")</f>
        <v/>
      </c>
      <c r="I2574" s="7" t="str">
        <f>IF(Table1[[#This Row],[Is Data Valid]]=TRUE,((Table1[[#This Row],[Birthweight (grams)]]*1.1/Table1[[#This Row],[BW_GA]])-1)/(Backend!$B$4/100*Table1[[#This Row],[BW40_3705]]),"")</f>
        <v/>
      </c>
      <c r="J2574" s="7" t="str">
        <f>IF(Table1[[#This Row],[Is Data Valid]]=TRUE,_xlfn.NORM.S.DIST(Table1[[#This Row],[Birthweight Z-Score]],TRUE)*100,"")</f>
        <v/>
      </c>
      <c r="K2574" s="7" t="str">
        <f>IF(Table1[[#This Row],[Is Data Valid]]=TRUE,_xlfn.NORM.S.DIST(Table1[[#This Row],[Birthweight Z-Score (BW-10%)]],TRUE)*100,"")</f>
        <v/>
      </c>
      <c r="L2574" s="7" t="str">
        <f>IF(Table1[[#This Row],[Is Data Valid]]=TRUE,_xlfn.NORM.S.DIST(Table1[[#This Row],[Birthweight Z-Score (BW+10%)]],TRUE)*100,"")</f>
        <v/>
      </c>
    </row>
    <row r="2575" spans="1:12" x14ac:dyDescent="0.35">
      <c r="A2575" s="3"/>
      <c r="B2575" s="2"/>
      <c r="C2575" s="2"/>
      <c r="D2575" s="2" t="b">
        <f>IF(AND(NOT(ISBLANK(Table1[[#This Row],[Fetal Sex (Male, Female or Unknown)]])),ISNUMBER(Table1[[#This Row],[Birthweight (grams)]]),ISNUMBER(Table1[[#This Row],[Gestation (days)]])),TRUE,FALSE)</f>
        <v>0</v>
      </c>
      <c r="E2575" s="2" t="str">
        <f>IF(Table1[[#This Row],[Is Data Valid]]=TRUE,IF(Table1[[#This Row],[Fetal Sex (Male, Female or Unknown)]]="Male",Backend!$C$6,IF(Table1[[#This Row],[Fetal Sex (Male, Female or Unknown)]]="Female",Backend!$C$7,IF(Table1[[#This Row],[Fetal Sex (Male, Female or Unknown)]]="Unknown",Backend!$C$8,"Error"))),"")</f>
        <v/>
      </c>
      <c r="F2575" s="8" t="str">
        <f>IF(Table1[[#This Row],[Is Data Valid]]=TRUE,EXP(0.578+0.332*((Table1[[#This Row],[Gestation (days)]]+0.5)/7)-0.00354*((Table1[[#This Row],[Gestation (days)]]+0.5)/7)^2)*Table1[[#This Row],[BW40_3705]],"")</f>
        <v/>
      </c>
      <c r="G2575" s="2" t="str">
        <f>IF(Table1[[#This Row],[Is Data Valid]]=TRUE,((Table1[[#This Row],[Birthweight (grams)]]/Table1[[#This Row],[BW_GA]])-1)/(Backend!$B$4/100*Table1[[#This Row],[BW40_3705]]),"")</f>
        <v/>
      </c>
      <c r="H2575" s="7" t="str">
        <f>IF(Table1[[#This Row],[Is Data Valid]]=TRUE,((Table1[[#This Row],[Birthweight (grams)]]*0.9/Table1[[#This Row],[BW_GA]])-1)/(Backend!$B$4/100*Table1[[#This Row],[BW40_3705]]),"")</f>
        <v/>
      </c>
      <c r="I2575" s="7" t="str">
        <f>IF(Table1[[#This Row],[Is Data Valid]]=TRUE,((Table1[[#This Row],[Birthweight (grams)]]*1.1/Table1[[#This Row],[BW_GA]])-1)/(Backend!$B$4/100*Table1[[#This Row],[BW40_3705]]),"")</f>
        <v/>
      </c>
      <c r="J2575" s="7" t="str">
        <f>IF(Table1[[#This Row],[Is Data Valid]]=TRUE,_xlfn.NORM.S.DIST(Table1[[#This Row],[Birthweight Z-Score]],TRUE)*100,"")</f>
        <v/>
      </c>
      <c r="K2575" s="7" t="str">
        <f>IF(Table1[[#This Row],[Is Data Valid]]=TRUE,_xlfn.NORM.S.DIST(Table1[[#This Row],[Birthweight Z-Score (BW-10%)]],TRUE)*100,"")</f>
        <v/>
      </c>
      <c r="L2575" s="7" t="str">
        <f>IF(Table1[[#This Row],[Is Data Valid]]=TRUE,_xlfn.NORM.S.DIST(Table1[[#This Row],[Birthweight Z-Score (BW+10%)]],TRUE)*100,"")</f>
        <v/>
      </c>
    </row>
    <row r="2576" spans="1:12" x14ac:dyDescent="0.35">
      <c r="A2576" s="3"/>
      <c r="B2576" s="2"/>
      <c r="C2576" s="2"/>
      <c r="D2576" s="2" t="b">
        <f>IF(AND(NOT(ISBLANK(Table1[[#This Row],[Fetal Sex (Male, Female or Unknown)]])),ISNUMBER(Table1[[#This Row],[Birthweight (grams)]]),ISNUMBER(Table1[[#This Row],[Gestation (days)]])),TRUE,FALSE)</f>
        <v>0</v>
      </c>
      <c r="E2576" s="2" t="str">
        <f>IF(Table1[[#This Row],[Is Data Valid]]=TRUE,IF(Table1[[#This Row],[Fetal Sex (Male, Female or Unknown)]]="Male",Backend!$C$6,IF(Table1[[#This Row],[Fetal Sex (Male, Female or Unknown)]]="Female",Backend!$C$7,IF(Table1[[#This Row],[Fetal Sex (Male, Female or Unknown)]]="Unknown",Backend!$C$8,"Error"))),"")</f>
        <v/>
      </c>
      <c r="F2576" s="8" t="str">
        <f>IF(Table1[[#This Row],[Is Data Valid]]=TRUE,EXP(0.578+0.332*((Table1[[#This Row],[Gestation (days)]]+0.5)/7)-0.00354*((Table1[[#This Row],[Gestation (days)]]+0.5)/7)^2)*Table1[[#This Row],[BW40_3705]],"")</f>
        <v/>
      </c>
      <c r="G2576" s="2" t="str">
        <f>IF(Table1[[#This Row],[Is Data Valid]]=TRUE,((Table1[[#This Row],[Birthweight (grams)]]/Table1[[#This Row],[BW_GA]])-1)/(Backend!$B$4/100*Table1[[#This Row],[BW40_3705]]),"")</f>
        <v/>
      </c>
      <c r="H2576" s="7" t="str">
        <f>IF(Table1[[#This Row],[Is Data Valid]]=TRUE,((Table1[[#This Row],[Birthweight (grams)]]*0.9/Table1[[#This Row],[BW_GA]])-1)/(Backend!$B$4/100*Table1[[#This Row],[BW40_3705]]),"")</f>
        <v/>
      </c>
      <c r="I2576" s="7" t="str">
        <f>IF(Table1[[#This Row],[Is Data Valid]]=TRUE,((Table1[[#This Row],[Birthweight (grams)]]*1.1/Table1[[#This Row],[BW_GA]])-1)/(Backend!$B$4/100*Table1[[#This Row],[BW40_3705]]),"")</f>
        <v/>
      </c>
      <c r="J2576" s="7" t="str">
        <f>IF(Table1[[#This Row],[Is Data Valid]]=TRUE,_xlfn.NORM.S.DIST(Table1[[#This Row],[Birthweight Z-Score]],TRUE)*100,"")</f>
        <v/>
      </c>
      <c r="K2576" s="7" t="str">
        <f>IF(Table1[[#This Row],[Is Data Valid]]=TRUE,_xlfn.NORM.S.DIST(Table1[[#This Row],[Birthweight Z-Score (BW-10%)]],TRUE)*100,"")</f>
        <v/>
      </c>
      <c r="L2576" s="7" t="str">
        <f>IF(Table1[[#This Row],[Is Data Valid]]=TRUE,_xlfn.NORM.S.DIST(Table1[[#This Row],[Birthweight Z-Score (BW+10%)]],TRUE)*100,"")</f>
        <v/>
      </c>
    </row>
    <row r="2577" spans="1:12" x14ac:dyDescent="0.35">
      <c r="A2577" s="3"/>
      <c r="B2577" s="2"/>
      <c r="C2577" s="2"/>
      <c r="D2577" s="2" t="b">
        <f>IF(AND(NOT(ISBLANK(Table1[[#This Row],[Fetal Sex (Male, Female or Unknown)]])),ISNUMBER(Table1[[#This Row],[Birthweight (grams)]]),ISNUMBER(Table1[[#This Row],[Gestation (days)]])),TRUE,FALSE)</f>
        <v>0</v>
      </c>
      <c r="E2577" s="2" t="str">
        <f>IF(Table1[[#This Row],[Is Data Valid]]=TRUE,IF(Table1[[#This Row],[Fetal Sex (Male, Female or Unknown)]]="Male",Backend!$C$6,IF(Table1[[#This Row],[Fetal Sex (Male, Female or Unknown)]]="Female",Backend!$C$7,IF(Table1[[#This Row],[Fetal Sex (Male, Female or Unknown)]]="Unknown",Backend!$C$8,"Error"))),"")</f>
        <v/>
      </c>
      <c r="F2577" s="8" t="str">
        <f>IF(Table1[[#This Row],[Is Data Valid]]=TRUE,EXP(0.578+0.332*((Table1[[#This Row],[Gestation (days)]]+0.5)/7)-0.00354*((Table1[[#This Row],[Gestation (days)]]+0.5)/7)^2)*Table1[[#This Row],[BW40_3705]],"")</f>
        <v/>
      </c>
      <c r="G2577" s="2" t="str">
        <f>IF(Table1[[#This Row],[Is Data Valid]]=TRUE,((Table1[[#This Row],[Birthweight (grams)]]/Table1[[#This Row],[BW_GA]])-1)/(Backend!$B$4/100*Table1[[#This Row],[BW40_3705]]),"")</f>
        <v/>
      </c>
      <c r="H2577" s="7" t="str">
        <f>IF(Table1[[#This Row],[Is Data Valid]]=TRUE,((Table1[[#This Row],[Birthweight (grams)]]*0.9/Table1[[#This Row],[BW_GA]])-1)/(Backend!$B$4/100*Table1[[#This Row],[BW40_3705]]),"")</f>
        <v/>
      </c>
      <c r="I2577" s="7" t="str">
        <f>IF(Table1[[#This Row],[Is Data Valid]]=TRUE,((Table1[[#This Row],[Birthweight (grams)]]*1.1/Table1[[#This Row],[BW_GA]])-1)/(Backend!$B$4/100*Table1[[#This Row],[BW40_3705]]),"")</f>
        <v/>
      </c>
      <c r="J2577" s="7" t="str">
        <f>IF(Table1[[#This Row],[Is Data Valid]]=TRUE,_xlfn.NORM.S.DIST(Table1[[#This Row],[Birthweight Z-Score]],TRUE)*100,"")</f>
        <v/>
      </c>
      <c r="K2577" s="7" t="str">
        <f>IF(Table1[[#This Row],[Is Data Valid]]=TRUE,_xlfn.NORM.S.DIST(Table1[[#This Row],[Birthweight Z-Score (BW-10%)]],TRUE)*100,"")</f>
        <v/>
      </c>
      <c r="L2577" s="7" t="str">
        <f>IF(Table1[[#This Row],[Is Data Valid]]=TRUE,_xlfn.NORM.S.DIST(Table1[[#This Row],[Birthweight Z-Score (BW+10%)]],TRUE)*100,"")</f>
        <v/>
      </c>
    </row>
    <row r="2578" spans="1:12" x14ac:dyDescent="0.35">
      <c r="A2578" s="3"/>
      <c r="B2578" s="2"/>
      <c r="C2578" s="2"/>
      <c r="D2578" s="2" t="b">
        <f>IF(AND(NOT(ISBLANK(Table1[[#This Row],[Fetal Sex (Male, Female or Unknown)]])),ISNUMBER(Table1[[#This Row],[Birthweight (grams)]]),ISNUMBER(Table1[[#This Row],[Gestation (days)]])),TRUE,FALSE)</f>
        <v>0</v>
      </c>
      <c r="E2578" s="2" t="str">
        <f>IF(Table1[[#This Row],[Is Data Valid]]=TRUE,IF(Table1[[#This Row],[Fetal Sex (Male, Female or Unknown)]]="Male",Backend!$C$6,IF(Table1[[#This Row],[Fetal Sex (Male, Female or Unknown)]]="Female",Backend!$C$7,IF(Table1[[#This Row],[Fetal Sex (Male, Female or Unknown)]]="Unknown",Backend!$C$8,"Error"))),"")</f>
        <v/>
      </c>
      <c r="F2578" s="8" t="str">
        <f>IF(Table1[[#This Row],[Is Data Valid]]=TRUE,EXP(0.578+0.332*((Table1[[#This Row],[Gestation (days)]]+0.5)/7)-0.00354*((Table1[[#This Row],[Gestation (days)]]+0.5)/7)^2)*Table1[[#This Row],[BW40_3705]],"")</f>
        <v/>
      </c>
      <c r="G2578" s="2" t="str">
        <f>IF(Table1[[#This Row],[Is Data Valid]]=TRUE,((Table1[[#This Row],[Birthweight (grams)]]/Table1[[#This Row],[BW_GA]])-1)/(Backend!$B$4/100*Table1[[#This Row],[BW40_3705]]),"")</f>
        <v/>
      </c>
      <c r="H2578" s="7" t="str">
        <f>IF(Table1[[#This Row],[Is Data Valid]]=TRUE,((Table1[[#This Row],[Birthweight (grams)]]*0.9/Table1[[#This Row],[BW_GA]])-1)/(Backend!$B$4/100*Table1[[#This Row],[BW40_3705]]),"")</f>
        <v/>
      </c>
      <c r="I2578" s="7" t="str">
        <f>IF(Table1[[#This Row],[Is Data Valid]]=TRUE,((Table1[[#This Row],[Birthweight (grams)]]*1.1/Table1[[#This Row],[BW_GA]])-1)/(Backend!$B$4/100*Table1[[#This Row],[BW40_3705]]),"")</f>
        <v/>
      </c>
      <c r="J2578" s="7" t="str">
        <f>IF(Table1[[#This Row],[Is Data Valid]]=TRUE,_xlfn.NORM.S.DIST(Table1[[#This Row],[Birthweight Z-Score]],TRUE)*100,"")</f>
        <v/>
      </c>
      <c r="K2578" s="7" t="str">
        <f>IF(Table1[[#This Row],[Is Data Valid]]=TRUE,_xlfn.NORM.S.DIST(Table1[[#This Row],[Birthweight Z-Score (BW-10%)]],TRUE)*100,"")</f>
        <v/>
      </c>
      <c r="L2578" s="7" t="str">
        <f>IF(Table1[[#This Row],[Is Data Valid]]=TRUE,_xlfn.NORM.S.DIST(Table1[[#This Row],[Birthweight Z-Score (BW+10%)]],TRUE)*100,"")</f>
        <v/>
      </c>
    </row>
    <row r="2579" spans="1:12" x14ac:dyDescent="0.35">
      <c r="A2579" s="3"/>
      <c r="B2579" s="2"/>
      <c r="C2579" s="2"/>
      <c r="D2579" s="2" t="b">
        <f>IF(AND(NOT(ISBLANK(Table1[[#This Row],[Fetal Sex (Male, Female or Unknown)]])),ISNUMBER(Table1[[#This Row],[Birthweight (grams)]]),ISNUMBER(Table1[[#This Row],[Gestation (days)]])),TRUE,FALSE)</f>
        <v>0</v>
      </c>
      <c r="E2579" s="2" t="str">
        <f>IF(Table1[[#This Row],[Is Data Valid]]=TRUE,IF(Table1[[#This Row],[Fetal Sex (Male, Female or Unknown)]]="Male",Backend!$C$6,IF(Table1[[#This Row],[Fetal Sex (Male, Female or Unknown)]]="Female",Backend!$C$7,IF(Table1[[#This Row],[Fetal Sex (Male, Female or Unknown)]]="Unknown",Backend!$C$8,"Error"))),"")</f>
        <v/>
      </c>
      <c r="F2579" s="8" t="str">
        <f>IF(Table1[[#This Row],[Is Data Valid]]=TRUE,EXP(0.578+0.332*((Table1[[#This Row],[Gestation (days)]]+0.5)/7)-0.00354*((Table1[[#This Row],[Gestation (days)]]+0.5)/7)^2)*Table1[[#This Row],[BW40_3705]],"")</f>
        <v/>
      </c>
      <c r="G2579" s="2" t="str">
        <f>IF(Table1[[#This Row],[Is Data Valid]]=TRUE,((Table1[[#This Row],[Birthweight (grams)]]/Table1[[#This Row],[BW_GA]])-1)/(Backend!$B$4/100*Table1[[#This Row],[BW40_3705]]),"")</f>
        <v/>
      </c>
      <c r="H2579" s="7" t="str">
        <f>IF(Table1[[#This Row],[Is Data Valid]]=TRUE,((Table1[[#This Row],[Birthweight (grams)]]*0.9/Table1[[#This Row],[BW_GA]])-1)/(Backend!$B$4/100*Table1[[#This Row],[BW40_3705]]),"")</f>
        <v/>
      </c>
      <c r="I2579" s="7" t="str">
        <f>IF(Table1[[#This Row],[Is Data Valid]]=TRUE,((Table1[[#This Row],[Birthweight (grams)]]*1.1/Table1[[#This Row],[BW_GA]])-1)/(Backend!$B$4/100*Table1[[#This Row],[BW40_3705]]),"")</f>
        <v/>
      </c>
      <c r="J2579" s="7" t="str">
        <f>IF(Table1[[#This Row],[Is Data Valid]]=TRUE,_xlfn.NORM.S.DIST(Table1[[#This Row],[Birthweight Z-Score]],TRUE)*100,"")</f>
        <v/>
      </c>
      <c r="K2579" s="7" t="str">
        <f>IF(Table1[[#This Row],[Is Data Valid]]=TRUE,_xlfn.NORM.S.DIST(Table1[[#This Row],[Birthweight Z-Score (BW-10%)]],TRUE)*100,"")</f>
        <v/>
      </c>
      <c r="L2579" s="7" t="str">
        <f>IF(Table1[[#This Row],[Is Data Valid]]=TRUE,_xlfn.NORM.S.DIST(Table1[[#This Row],[Birthweight Z-Score (BW+10%)]],TRUE)*100,"")</f>
        <v/>
      </c>
    </row>
    <row r="2580" spans="1:12" x14ac:dyDescent="0.35">
      <c r="A2580" s="3"/>
      <c r="B2580" s="2"/>
      <c r="C2580" s="2"/>
      <c r="D2580" s="2" t="b">
        <f>IF(AND(NOT(ISBLANK(Table1[[#This Row],[Fetal Sex (Male, Female or Unknown)]])),ISNUMBER(Table1[[#This Row],[Birthweight (grams)]]),ISNUMBER(Table1[[#This Row],[Gestation (days)]])),TRUE,FALSE)</f>
        <v>0</v>
      </c>
      <c r="E2580" s="2" t="str">
        <f>IF(Table1[[#This Row],[Is Data Valid]]=TRUE,IF(Table1[[#This Row],[Fetal Sex (Male, Female or Unknown)]]="Male",Backend!$C$6,IF(Table1[[#This Row],[Fetal Sex (Male, Female or Unknown)]]="Female",Backend!$C$7,IF(Table1[[#This Row],[Fetal Sex (Male, Female or Unknown)]]="Unknown",Backend!$C$8,"Error"))),"")</f>
        <v/>
      </c>
      <c r="F2580" s="8" t="str">
        <f>IF(Table1[[#This Row],[Is Data Valid]]=TRUE,EXP(0.578+0.332*((Table1[[#This Row],[Gestation (days)]]+0.5)/7)-0.00354*((Table1[[#This Row],[Gestation (days)]]+0.5)/7)^2)*Table1[[#This Row],[BW40_3705]],"")</f>
        <v/>
      </c>
      <c r="G2580" s="2" t="str">
        <f>IF(Table1[[#This Row],[Is Data Valid]]=TRUE,((Table1[[#This Row],[Birthweight (grams)]]/Table1[[#This Row],[BW_GA]])-1)/(Backend!$B$4/100*Table1[[#This Row],[BW40_3705]]),"")</f>
        <v/>
      </c>
      <c r="H2580" s="7" t="str">
        <f>IF(Table1[[#This Row],[Is Data Valid]]=TRUE,((Table1[[#This Row],[Birthweight (grams)]]*0.9/Table1[[#This Row],[BW_GA]])-1)/(Backend!$B$4/100*Table1[[#This Row],[BW40_3705]]),"")</f>
        <v/>
      </c>
      <c r="I2580" s="7" t="str">
        <f>IF(Table1[[#This Row],[Is Data Valid]]=TRUE,((Table1[[#This Row],[Birthweight (grams)]]*1.1/Table1[[#This Row],[BW_GA]])-1)/(Backend!$B$4/100*Table1[[#This Row],[BW40_3705]]),"")</f>
        <v/>
      </c>
      <c r="J2580" s="7" t="str">
        <f>IF(Table1[[#This Row],[Is Data Valid]]=TRUE,_xlfn.NORM.S.DIST(Table1[[#This Row],[Birthweight Z-Score]],TRUE)*100,"")</f>
        <v/>
      </c>
      <c r="K2580" s="7" t="str">
        <f>IF(Table1[[#This Row],[Is Data Valid]]=TRUE,_xlfn.NORM.S.DIST(Table1[[#This Row],[Birthweight Z-Score (BW-10%)]],TRUE)*100,"")</f>
        <v/>
      </c>
      <c r="L2580" s="7" t="str">
        <f>IF(Table1[[#This Row],[Is Data Valid]]=TRUE,_xlfn.NORM.S.DIST(Table1[[#This Row],[Birthweight Z-Score (BW+10%)]],TRUE)*100,"")</f>
        <v/>
      </c>
    </row>
    <row r="2581" spans="1:12" x14ac:dyDescent="0.35">
      <c r="A2581" s="3"/>
      <c r="B2581" s="2"/>
      <c r="C2581" s="2"/>
      <c r="D2581" s="2" t="b">
        <f>IF(AND(NOT(ISBLANK(Table1[[#This Row],[Fetal Sex (Male, Female or Unknown)]])),ISNUMBER(Table1[[#This Row],[Birthweight (grams)]]),ISNUMBER(Table1[[#This Row],[Gestation (days)]])),TRUE,FALSE)</f>
        <v>0</v>
      </c>
      <c r="E2581" s="2" t="str">
        <f>IF(Table1[[#This Row],[Is Data Valid]]=TRUE,IF(Table1[[#This Row],[Fetal Sex (Male, Female or Unknown)]]="Male",Backend!$C$6,IF(Table1[[#This Row],[Fetal Sex (Male, Female or Unknown)]]="Female",Backend!$C$7,IF(Table1[[#This Row],[Fetal Sex (Male, Female or Unknown)]]="Unknown",Backend!$C$8,"Error"))),"")</f>
        <v/>
      </c>
      <c r="F2581" s="8" t="str">
        <f>IF(Table1[[#This Row],[Is Data Valid]]=TRUE,EXP(0.578+0.332*((Table1[[#This Row],[Gestation (days)]]+0.5)/7)-0.00354*((Table1[[#This Row],[Gestation (days)]]+0.5)/7)^2)*Table1[[#This Row],[BW40_3705]],"")</f>
        <v/>
      </c>
      <c r="G2581" s="2" t="str">
        <f>IF(Table1[[#This Row],[Is Data Valid]]=TRUE,((Table1[[#This Row],[Birthweight (grams)]]/Table1[[#This Row],[BW_GA]])-1)/(Backend!$B$4/100*Table1[[#This Row],[BW40_3705]]),"")</f>
        <v/>
      </c>
      <c r="H2581" s="7" t="str">
        <f>IF(Table1[[#This Row],[Is Data Valid]]=TRUE,((Table1[[#This Row],[Birthweight (grams)]]*0.9/Table1[[#This Row],[BW_GA]])-1)/(Backend!$B$4/100*Table1[[#This Row],[BW40_3705]]),"")</f>
        <v/>
      </c>
      <c r="I2581" s="7" t="str">
        <f>IF(Table1[[#This Row],[Is Data Valid]]=TRUE,((Table1[[#This Row],[Birthweight (grams)]]*1.1/Table1[[#This Row],[BW_GA]])-1)/(Backend!$B$4/100*Table1[[#This Row],[BW40_3705]]),"")</f>
        <v/>
      </c>
      <c r="J2581" s="7" t="str">
        <f>IF(Table1[[#This Row],[Is Data Valid]]=TRUE,_xlfn.NORM.S.DIST(Table1[[#This Row],[Birthweight Z-Score]],TRUE)*100,"")</f>
        <v/>
      </c>
      <c r="K2581" s="7" t="str">
        <f>IF(Table1[[#This Row],[Is Data Valid]]=TRUE,_xlfn.NORM.S.DIST(Table1[[#This Row],[Birthweight Z-Score (BW-10%)]],TRUE)*100,"")</f>
        <v/>
      </c>
      <c r="L2581" s="7" t="str">
        <f>IF(Table1[[#This Row],[Is Data Valid]]=TRUE,_xlfn.NORM.S.DIST(Table1[[#This Row],[Birthweight Z-Score (BW+10%)]],TRUE)*100,"")</f>
        <v/>
      </c>
    </row>
    <row r="2582" spans="1:12" x14ac:dyDescent="0.35">
      <c r="A2582" s="3"/>
      <c r="B2582" s="2"/>
      <c r="C2582" s="2"/>
      <c r="D2582" s="2" t="b">
        <f>IF(AND(NOT(ISBLANK(Table1[[#This Row],[Fetal Sex (Male, Female or Unknown)]])),ISNUMBER(Table1[[#This Row],[Birthweight (grams)]]),ISNUMBER(Table1[[#This Row],[Gestation (days)]])),TRUE,FALSE)</f>
        <v>0</v>
      </c>
      <c r="E2582" s="2" t="str">
        <f>IF(Table1[[#This Row],[Is Data Valid]]=TRUE,IF(Table1[[#This Row],[Fetal Sex (Male, Female or Unknown)]]="Male",Backend!$C$6,IF(Table1[[#This Row],[Fetal Sex (Male, Female or Unknown)]]="Female",Backend!$C$7,IF(Table1[[#This Row],[Fetal Sex (Male, Female or Unknown)]]="Unknown",Backend!$C$8,"Error"))),"")</f>
        <v/>
      </c>
      <c r="F2582" s="8" t="str">
        <f>IF(Table1[[#This Row],[Is Data Valid]]=TRUE,EXP(0.578+0.332*((Table1[[#This Row],[Gestation (days)]]+0.5)/7)-0.00354*((Table1[[#This Row],[Gestation (days)]]+0.5)/7)^2)*Table1[[#This Row],[BW40_3705]],"")</f>
        <v/>
      </c>
      <c r="G2582" s="2" t="str">
        <f>IF(Table1[[#This Row],[Is Data Valid]]=TRUE,((Table1[[#This Row],[Birthweight (grams)]]/Table1[[#This Row],[BW_GA]])-1)/(Backend!$B$4/100*Table1[[#This Row],[BW40_3705]]),"")</f>
        <v/>
      </c>
      <c r="H2582" s="7" t="str">
        <f>IF(Table1[[#This Row],[Is Data Valid]]=TRUE,((Table1[[#This Row],[Birthweight (grams)]]*0.9/Table1[[#This Row],[BW_GA]])-1)/(Backend!$B$4/100*Table1[[#This Row],[BW40_3705]]),"")</f>
        <v/>
      </c>
      <c r="I2582" s="7" t="str">
        <f>IF(Table1[[#This Row],[Is Data Valid]]=TRUE,((Table1[[#This Row],[Birthweight (grams)]]*1.1/Table1[[#This Row],[BW_GA]])-1)/(Backend!$B$4/100*Table1[[#This Row],[BW40_3705]]),"")</f>
        <v/>
      </c>
      <c r="J2582" s="7" t="str">
        <f>IF(Table1[[#This Row],[Is Data Valid]]=TRUE,_xlfn.NORM.S.DIST(Table1[[#This Row],[Birthweight Z-Score]],TRUE)*100,"")</f>
        <v/>
      </c>
      <c r="K2582" s="7" t="str">
        <f>IF(Table1[[#This Row],[Is Data Valid]]=TRUE,_xlfn.NORM.S.DIST(Table1[[#This Row],[Birthweight Z-Score (BW-10%)]],TRUE)*100,"")</f>
        <v/>
      </c>
      <c r="L2582" s="7" t="str">
        <f>IF(Table1[[#This Row],[Is Data Valid]]=TRUE,_xlfn.NORM.S.DIST(Table1[[#This Row],[Birthweight Z-Score (BW+10%)]],TRUE)*100,"")</f>
        <v/>
      </c>
    </row>
    <row r="2583" spans="1:12" x14ac:dyDescent="0.35">
      <c r="A2583" s="3"/>
      <c r="B2583" s="2"/>
      <c r="C2583" s="2"/>
      <c r="D2583" s="2" t="b">
        <f>IF(AND(NOT(ISBLANK(Table1[[#This Row],[Fetal Sex (Male, Female or Unknown)]])),ISNUMBER(Table1[[#This Row],[Birthweight (grams)]]),ISNUMBER(Table1[[#This Row],[Gestation (days)]])),TRUE,FALSE)</f>
        <v>0</v>
      </c>
      <c r="E2583" s="2" t="str">
        <f>IF(Table1[[#This Row],[Is Data Valid]]=TRUE,IF(Table1[[#This Row],[Fetal Sex (Male, Female or Unknown)]]="Male",Backend!$C$6,IF(Table1[[#This Row],[Fetal Sex (Male, Female or Unknown)]]="Female",Backend!$C$7,IF(Table1[[#This Row],[Fetal Sex (Male, Female or Unknown)]]="Unknown",Backend!$C$8,"Error"))),"")</f>
        <v/>
      </c>
      <c r="F2583" s="8" t="str">
        <f>IF(Table1[[#This Row],[Is Data Valid]]=TRUE,EXP(0.578+0.332*((Table1[[#This Row],[Gestation (days)]]+0.5)/7)-0.00354*((Table1[[#This Row],[Gestation (days)]]+0.5)/7)^2)*Table1[[#This Row],[BW40_3705]],"")</f>
        <v/>
      </c>
      <c r="G2583" s="2" t="str">
        <f>IF(Table1[[#This Row],[Is Data Valid]]=TRUE,((Table1[[#This Row],[Birthweight (grams)]]/Table1[[#This Row],[BW_GA]])-1)/(Backend!$B$4/100*Table1[[#This Row],[BW40_3705]]),"")</f>
        <v/>
      </c>
      <c r="H2583" s="7" t="str">
        <f>IF(Table1[[#This Row],[Is Data Valid]]=TRUE,((Table1[[#This Row],[Birthweight (grams)]]*0.9/Table1[[#This Row],[BW_GA]])-1)/(Backend!$B$4/100*Table1[[#This Row],[BW40_3705]]),"")</f>
        <v/>
      </c>
      <c r="I2583" s="7" t="str">
        <f>IF(Table1[[#This Row],[Is Data Valid]]=TRUE,((Table1[[#This Row],[Birthweight (grams)]]*1.1/Table1[[#This Row],[BW_GA]])-1)/(Backend!$B$4/100*Table1[[#This Row],[BW40_3705]]),"")</f>
        <v/>
      </c>
      <c r="J2583" s="7" t="str">
        <f>IF(Table1[[#This Row],[Is Data Valid]]=TRUE,_xlfn.NORM.S.DIST(Table1[[#This Row],[Birthweight Z-Score]],TRUE)*100,"")</f>
        <v/>
      </c>
      <c r="K2583" s="7" t="str">
        <f>IF(Table1[[#This Row],[Is Data Valid]]=TRUE,_xlfn.NORM.S.DIST(Table1[[#This Row],[Birthweight Z-Score (BW-10%)]],TRUE)*100,"")</f>
        <v/>
      </c>
      <c r="L2583" s="7" t="str">
        <f>IF(Table1[[#This Row],[Is Data Valid]]=TRUE,_xlfn.NORM.S.DIST(Table1[[#This Row],[Birthweight Z-Score (BW+10%)]],TRUE)*100,"")</f>
        <v/>
      </c>
    </row>
    <row r="2584" spans="1:12" x14ac:dyDescent="0.35">
      <c r="A2584" s="3"/>
      <c r="B2584" s="2"/>
      <c r="C2584" s="2"/>
      <c r="D2584" s="2" t="b">
        <f>IF(AND(NOT(ISBLANK(Table1[[#This Row],[Fetal Sex (Male, Female or Unknown)]])),ISNUMBER(Table1[[#This Row],[Birthweight (grams)]]),ISNUMBER(Table1[[#This Row],[Gestation (days)]])),TRUE,FALSE)</f>
        <v>0</v>
      </c>
      <c r="E2584" s="2" t="str">
        <f>IF(Table1[[#This Row],[Is Data Valid]]=TRUE,IF(Table1[[#This Row],[Fetal Sex (Male, Female or Unknown)]]="Male",Backend!$C$6,IF(Table1[[#This Row],[Fetal Sex (Male, Female or Unknown)]]="Female",Backend!$C$7,IF(Table1[[#This Row],[Fetal Sex (Male, Female or Unknown)]]="Unknown",Backend!$C$8,"Error"))),"")</f>
        <v/>
      </c>
      <c r="F2584" s="8" t="str">
        <f>IF(Table1[[#This Row],[Is Data Valid]]=TRUE,EXP(0.578+0.332*((Table1[[#This Row],[Gestation (days)]]+0.5)/7)-0.00354*((Table1[[#This Row],[Gestation (days)]]+0.5)/7)^2)*Table1[[#This Row],[BW40_3705]],"")</f>
        <v/>
      </c>
      <c r="G2584" s="2" t="str">
        <f>IF(Table1[[#This Row],[Is Data Valid]]=TRUE,((Table1[[#This Row],[Birthweight (grams)]]/Table1[[#This Row],[BW_GA]])-1)/(Backend!$B$4/100*Table1[[#This Row],[BW40_3705]]),"")</f>
        <v/>
      </c>
      <c r="H2584" s="7" t="str">
        <f>IF(Table1[[#This Row],[Is Data Valid]]=TRUE,((Table1[[#This Row],[Birthweight (grams)]]*0.9/Table1[[#This Row],[BW_GA]])-1)/(Backend!$B$4/100*Table1[[#This Row],[BW40_3705]]),"")</f>
        <v/>
      </c>
      <c r="I2584" s="7" t="str">
        <f>IF(Table1[[#This Row],[Is Data Valid]]=TRUE,((Table1[[#This Row],[Birthweight (grams)]]*1.1/Table1[[#This Row],[BW_GA]])-1)/(Backend!$B$4/100*Table1[[#This Row],[BW40_3705]]),"")</f>
        <v/>
      </c>
      <c r="J2584" s="7" t="str">
        <f>IF(Table1[[#This Row],[Is Data Valid]]=TRUE,_xlfn.NORM.S.DIST(Table1[[#This Row],[Birthweight Z-Score]],TRUE)*100,"")</f>
        <v/>
      </c>
      <c r="K2584" s="7" t="str">
        <f>IF(Table1[[#This Row],[Is Data Valid]]=TRUE,_xlfn.NORM.S.DIST(Table1[[#This Row],[Birthweight Z-Score (BW-10%)]],TRUE)*100,"")</f>
        <v/>
      </c>
      <c r="L2584" s="7" t="str">
        <f>IF(Table1[[#This Row],[Is Data Valid]]=TRUE,_xlfn.NORM.S.DIST(Table1[[#This Row],[Birthweight Z-Score (BW+10%)]],TRUE)*100,"")</f>
        <v/>
      </c>
    </row>
    <row r="2585" spans="1:12" x14ac:dyDescent="0.35">
      <c r="A2585" s="3"/>
      <c r="B2585" s="2"/>
      <c r="C2585" s="2"/>
      <c r="D2585" s="2" t="b">
        <f>IF(AND(NOT(ISBLANK(Table1[[#This Row],[Fetal Sex (Male, Female or Unknown)]])),ISNUMBER(Table1[[#This Row],[Birthweight (grams)]]),ISNUMBER(Table1[[#This Row],[Gestation (days)]])),TRUE,FALSE)</f>
        <v>0</v>
      </c>
      <c r="E2585" s="2" t="str">
        <f>IF(Table1[[#This Row],[Is Data Valid]]=TRUE,IF(Table1[[#This Row],[Fetal Sex (Male, Female or Unknown)]]="Male",Backend!$C$6,IF(Table1[[#This Row],[Fetal Sex (Male, Female or Unknown)]]="Female",Backend!$C$7,IF(Table1[[#This Row],[Fetal Sex (Male, Female or Unknown)]]="Unknown",Backend!$C$8,"Error"))),"")</f>
        <v/>
      </c>
      <c r="F2585" s="8" t="str">
        <f>IF(Table1[[#This Row],[Is Data Valid]]=TRUE,EXP(0.578+0.332*((Table1[[#This Row],[Gestation (days)]]+0.5)/7)-0.00354*((Table1[[#This Row],[Gestation (days)]]+0.5)/7)^2)*Table1[[#This Row],[BW40_3705]],"")</f>
        <v/>
      </c>
      <c r="G2585" s="2" t="str">
        <f>IF(Table1[[#This Row],[Is Data Valid]]=TRUE,((Table1[[#This Row],[Birthweight (grams)]]/Table1[[#This Row],[BW_GA]])-1)/(Backend!$B$4/100*Table1[[#This Row],[BW40_3705]]),"")</f>
        <v/>
      </c>
      <c r="H2585" s="7" t="str">
        <f>IF(Table1[[#This Row],[Is Data Valid]]=TRUE,((Table1[[#This Row],[Birthweight (grams)]]*0.9/Table1[[#This Row],[BW_GA]])-1)/(Backend!$B$4/100*Table1[[#This Row],[BW40_3705]]),"")</f>
        <v/>
      </c>
      <c r="I2585" s="7" t="str">
        <f>IF(Table1[[#This Row],[Is Data Valid]]=TRUE,((Table1[[#This Row],[Birthweight (grams)]]*1.1/Table1[[#This Row],[BW_GA]])-1)/(Backend!$B$4/100*Table1[[#This Row],[BW40_3705]]),"")</f>
        <v/>
      </c>
      <c r="J2585" s="7" t="str">
        <f>IF(Table1[[#This Row],[Is Data Valid]]=TRUE,_xlfn.NORM.S.DIST(Table1[[#This Row],[Birthweight Z-Score]],TRUE)*100,"")</f>
        <v/>
      </c>
      <c r="K2585" s="7" t="str">
        <f>IF(Table1[[#This Row],[Is Data Valid]]=TRUE,_xlfn.NORM.S.DIST(Table1[[#This Row],[Birthweight Z-Score (BW-10%)]],TRUE)*100,"")</f>
        <v/>
      </c>
      <c r="L2585" s="7" t="str">
        <f>IF(Table1[[#This Row],[Is Data Valid]]=TRUE,_xlfn.NORM.S.DIST(Table1[[#This Row],[Birthweight Z-Score (BW+10%)]],TRUE)*100,"")</f>
        <v/>
      </c>
    </row>
    <row r="2586" spans="1:12" x14ac:dyDescent="0.35">
      <c r="A2586" s="3"/>
      <c r="B2586" s="2"/>
      <c r="C2586" s="2"/>
      <c r="D2586" s="2" t="b">
        <f>IF(AND(NOT(ISBLANK(Table1[[#This Row],[Fetal Sex (Male, Female or Unknown)]])),ISNUMBER(Table1[[#This Row],[Birthweight (grams)]]),ISNUMBER(Table1[[#This Row],[Gestation (days)]])),TRUE,FALSE)</f>
        <v>0</v>
      </c>
      <c r="E2586" s="2" t="str">
        <f>IF(Table1[[#This Row],[Is Data Valid]]=TRUE,IF(Table1[[#This Row],[Fetal Sex (Male, Female or Unknown)]]="Male",Backend!$C$6,IF(Table1[[#This Row],[Fetal Sex (Male, Female or Unknown)]]="Female",Backend!$C$7,IF(Table1[[#This Row],[Fetal Sex (Male, Female or Unknown)]]="Unknown",Backend!$C$8,"Error"))),"")</f>
        <v/>
      </c>
      <c r="F2586" s="8" t="str">
        <f>IF(Table1[[#This Row],[Is Data Valid]]=TRUE,EXP(0.578+0.332*((Table1[[#This Row],[Gestation (days)]]+0.5)/7)-0.00354*((Table1[[#This Row],[Gestation (days)]]+0.5)/7)^2)*Table1[[#This Row],[BW40_3705]],"")</f>
        <v/>
      </c>
      <c r="G2586" s="2" t="str">
        <f>IF(Table1[[#This Row],[Is Data Valid]]=TRUE,((Table1[[#This Row],[Birthweight (grams)]]/Table1[[#This Row],[BW_GA]])-1)/(Backend!$B$4/100*Table1[[#This Row],[BW40_3705]]),"")</f>
        <v/>
      </c>
      <c r="H2586" s="7" t="str">
        <f>IF(Table1[[#This Row],[Is Data Valid]]=TRUE,((Table1[[#This Row],[Birthweight (grams)]]*0.9/Table1[[#This Row],[BW_GA]])-1)/(Backend!$B$4/100*Table1[[#This Row],[BW40_3705]]),"")</f>
        <v/>
      </c>
      <c r="I2586" s="7" t="str">
        <f>IF(Table1[[#This Row],[Is Data Valid]]=TRUE,((Table1[[#This Row],[Birthweight (grams)]]*1.1/Table1[[#This Row],[BW_GA]])-1)/(Backend!$B$4/100*Table1[[#This Row],[BW40_3705]]),"")</f>
        <v/>
      </c>
      <c r="J2586" s="7" t="str">
        <f>IF(Table1[[#This Row],[Is Data Valid]]=TRUE,_xlfn.NORM.S.DIST(Table1[[#This Row],[Birthweight Z-Score]],TRUE)*100,"")</f>
        <v/>
      </c>
      <c r="K2586" s="7" t="str">
        <f>IF(Table1[[#This Row],[Is Data Valid]]=TRUE,_xlfn.NORM.S.DIST(Table1[[#This Row],[Birthweight Z-Score (BW-10%)]],TRUE)*100,"")</f>
        <v/>
      </c>
      <c r="L2586" s="7" t="str">
        <f>IF(Table1[[#This Row],[Is Data Valid]]=TRUE,_xlfn.NORM.S.DIST(Table1[[#This Row],[Birthweight Z-Score (BW+10%)]],TRUE)*100,"")</f>
        <v/>
      </c>
    </row>
    <row r="2587" spans="1:12" x14ac:dyDescent="0.35">
      <c r="A2587" s="3"/>
      <c r="B2587" s="2"/>
      <c r="C2587" s="2"/>
      <c r="D2587" s="2" t="b">
        <f>IF(AND(NOT(ISBLANK(Table1[[#This Row],[Fetal Sex (Male, Female or Unknown)]])),ISNUMBER(Table1[[#This Row],[Birthweight (grams)]]),ISNUMBER(Table1[[#This Row],[Gestation (days)]])),TRUE,FALSE)</f>
        <v>0</v>
      </c>
      <c r="E2587" s="2" t="str">
        <f>IF(Table1[[#This Row],[Is Data Valid]]=TRUE,IF(Table1[[#This Row],[Fetal Sex (Male, Female or Unknown)]]="Male",Backend!$C$6,IF(Table1[[#This Row],[Fetal Sex (Male, Female or Unknown)]]="Female",Backend!$C$7,IF(Table1[[#This Row],[Fetal Sex (Male, Female or Unknown)]]="Unknown",Backend!$C$8,"Error"))),"")</f>
        <v/>
      </c>
      <c r="F2587" s="8" t="str">
        <f>IF(Table1[[#This Row],[Is Data Valid]]=TRUE,EXP(0.578+0.332*((Table1[[#This Row],[Gestation (days)]]+0.5)/7)-0.00354*((Table1[[#This Row],[Gestation (days)]]+0.5)/7)^2)*Table1[[#This Row],[BW40_3705]],"")</f>
        <v/>
      </c>
      <c r="G2587" s="2" t="str">
        <f>IF(Table1[[#This Row],[Is Data Valid]]=TRUE,((Table1[[#This Row],[Birthweight (grams)]]/Table1[[#This Row],[BW_GA]])-1)/(Backend!$B$4/100*Table1[[#This Row],[BW40_3705]]),"")</f>
        <v/>
      </c>
      <c r="H2587" s="7" t="str">
        <f>IF(Table1[[#This Row],[Is Data Valid]]=TRUE,((Table1[[#This Row],[Birthweight (grams)]]*0.9/Table1[[#This Row],[BW_GA]])-1)/(Backend!$B$4/100*Table1[[#This Row],[BW40_3705]]),"")</f>
        <v/>
      </c>
      <c r="I2587" s="7" t="str">
        <f>IF(Table1[[#This Row],[Is Data Valid]]=TRUE,((Table1[[#This Row],[Birthweight (grams)]]*1.1/Table1[[#This Row],[BW_GA]])-1)/(Backend!$B$4/100*Table1[[#This Row],[BW40_3705]]),"")</f>
        <v/>
      </c>
      <c r="J2587" s="7" t="str">
        <f>IF(Table1[[#This Row],[Is Data Valid]]=TRUE,_xlfn.NORM.S.DIST(Table1[[#This Row],[Birthweight Z-Score]],TRUE)*100,"")</f>
        <v/>
      </c>
      <c r="K2587" s="7" t="str">
        <f>IF(Table1[[#This Row],[Is Data Valid]]=TRUE,_xlfn.NORM.S.DIST(Table1[[#This Row],[Birthweight Z-Score (BW-10%)]],TRUE)*100,"")</f>
        <v/>
      </c>
      <c r="L2587" s="7" t="str">
        <f>IF(Table1[[#This Row],[Is Data Valid]]=TRUE,_xlfn.NORM.S.DIST(Table1[[#This Row],[Birthweight Z-Score (BW+10%)]],TRUE)*100,"")</f>
        <v/>
      </c>
    </row>
    <row r="2588" spans="1:12" x14ac:dyDescent="0.35">
      <c r="A2588" s="3"/>
      <c r="B2588" s="2"/>
      <c r="C2588" s="2"/>
      <c r="D2588" s="2" t="b">
        <f>IF(AND(NOT(ISBLANK(Table1[[#This Row],[Fetal Sex (Male, Female or Unknown)]])),ISNUMBER(Table1[[#This Row],[Birthweight (grams)]]),ISNUMBER(Table1[[#This Row],[Gestation (days)]])),TRUE,FALSE)</f>
        <v>0</v>
      </c>
      <c r="E2588" s="2" t="str">
        <f>IF(Table1[[#This Row],[Is Data Valid]]=TRUE,IF(Table1[[#This Row],[Fetal Sex (Male, Female or Unknown)]]="Male",Backend!$C$6,IF(Table1[[#This Row],[Fetal Sex (Male, Female or Unknown)]]="Female",Backend!$C$7,IF(Table1[[#This Row],[Fetal Sex (Male, Female or Unknown)]]="Unknown",Backend!$C$8,"Error"))),"")</f>
        <v/>
      </c>
      <c r="F2588" s="8" t="str">
        <f>IF(Table1[[#This Row],[Is Data Valid]]=TRUE,EXP(0.578+0.332*((Table1[[#This Row],[Gestation (days)]]+0.5)/7)-0.00354*((Table1[[#This Row],[Gestation (days)]]+0.5)/7)^2)*Table1[[#This Row],[BW40_3705]],"")</f>
        <v/>
      </c>
      <c r="G2588" s="2" t="str">
        <f>IF(Table1[[#This Row],[Is Data Valid]]=TRUE,((Table1[[#This Row],[Birthweight (grams)]]/Table1[[#This Row],[BW_GA]])-1)/(Backend!$B$4/100*Table1[[#This Row],[BW40_3705]]),"")</f>
        <v/>
      </c>
      <c r="H2588" s="7" t="str">
        <f>IF(Table1[[#This Row],[Is Data Valid]]=TRUE,((Table1[[#This Row],[Birthweight (grams)]]*0.9/Table1[[#This Row],[BW_GA]])-1)/(Backend!$B$4/100*Table1[[#This Row],[BW40_3705]]),"")</f>
        <v/>
      </c>
      <c r="I2588" s="7" t="str">
        <f>IF(Table1[[#This Row],[Is Data Valid]]=TRUE,((Table1[[#This Row],[Birthweight (grams)]]*1.1/Table1[[#This Row],[BW_GA]])-1)/(Backend!$B$4/100*Table1[[#This Row],[BW40_3705]]),"")</f>
        <v/>
      </c>
      <c r="J2588" s="7" t="str">
        <f>IF(Table1[[#This Row],[Is Data Valid]]=TRUE,_xlfn.NORM.S.DIST(Table1[[#This Row],[Birthweight Z-Score]],TRUE)*100,"")</f>
        <v/>
      </c>
      <c r="K2588" s="7" t="str">
        <f>IF(Table1[[#This Row],[Is Data Valid]]=TRUE,_xlfn.NORM.S.DIST(Table1[[#This Row],[Birthweight Z-Score (BW-10%)]],TRUE)*100,"")</f>
        <v/>
      </c>
      <c r="L2588" s="7" t="str">
        <f>IF(Table1[[#This Row],[Is Data Valid]]=TRUE,_xlfn.NORM.S.DIST(Table1[[#This Row],[Birthweight Z-Score (BW+10%)]],TRUE)*100,"")</f>
        <v/>
      </c>
    </row>
    <row r="2589" spans="1:12" x14ac:dyDescent="0.35">
      <c r="A2589" s="3"/>
      <c r="B2589" s="2"/>
      <c r="C2589" s="2"/>
      <c r="D2589" s="2" t="b">
        <f>IF(AND(NOT(ISBLANK(Table1[[#This Row],[Fetal Sex (Male, Female or Unknown)]])),ISNUMBER(Table1[[#This Row],[Birthweight (grams)]]),ISNUMBER(Table1[[#This Row],[Gestation (days)]])),TRUE,FALSE)</f>
        <v>0</v>
      </c>
      <c r="E2589" s="2" t="str">
        <f>IF(Table1[[#This Row],[Is Data Valid]]=TRUE,IF(Table1[[#This Row],[Fetal Sex (Male, Female or Unknown)]]="Male",Backend!$C$6,IF(Table1[[#This Row],[Fetal Sex (Male, Female or Unknown)]]="Female",Backend!$C$7,IF(Table1[[#This Row],[Fetal Sex (Male, Female or Unknown)]]="Unknown",Backend!$C$8,"Error"))),"")</f>
        <v/>
      </c>
      <c r="F2589" s="8" t="str">
        <f>IF(Table1[[#This Row],[Is Data Valid]]=TRUE,EXP(0.578+0.332*((Table1[[#This Row],[Gestation (days)]]+0.5)/7)-0.00354*((Table1[[#This Row],[Gestation (days)]]+0.5)/7)^2)*Table1[[#This Row],[BW40_3705]],"")</f>
        <v/>
      </c>
      <c r="G2589" s="2" t="str">
        <f>IF(Table1[[#This Row],[Is Data Valid]]=TRUE,((Table1[[#This Row],[Birthweight (grams)]]/Table1[[#This Row],[BW_GA]])-1)/(Backend!$B$4/100*Table1[[#This Row],[BW40_3705]]),"")</f>
        <v/>
      </c>
      <c r="H2589" s="7" t="str">
        <f>IF(Table1[[#This Row],[Is Data Valid]]=TRUE,((Table1[[#This Row],[Birthweight (grams)]]*0.9/Table1[[#This Row],[BW_GA]])-1)/(Backend!$B$4/100*Table1[[#This Row],[BW40_3705]]),"")</f>
        <v/>
      </c>
      <c r="I2589" s="7" t="str">
        <f>IF(Table1[[#This Row],[Is Data Valid]]=TRUE,((Table1[[#This Row],[Birthweight (grams)]]*1.1/Table1[[#This Row],[BW_GA]])-1)/(Backend!$B$4/100*Table1[[#This Row],[BW40_3705]]),"")</f>
        <v/>
      </c>
      <c r="J2589" s="7" t="str">
        <f>IF(Table1[[#This Row],[Is Data Valid]]=TRUE,_xlfn.NORM.S.DIST(Table1[[#This Row],[Birthweight Z-Score]],TRUE)*100,"")</f>
        <v/>
      </c>
      <c r="K2589" s="7" t="str">
        <f>IF(Table1[[#This Row],[Is Data Valid]]=TRUE,_xlfn.NORM.S.DIST(Table1[[#This Row],[Birthweight Z-Score (BW-10%)]],TRUE)*100,"")</f>
        <v/>
      </c>
      <c r="L2589" s="7" t="str">
        <f>IF(Table1[[#This Row],[Is Data Valid]]=TRUE,_xlfn.NORM.S.DIST(Table1[[#This Row],[Birthweight Z-Score (BW+10%)]],TRUE)*100,"")</f>
        <v/>
      </c>
    </row>
    <row r="2590" spans="1:12" x14ac:dyDescent="0.35">
      <c r="A2590" s="3"/>
      <c r="B2590" s="2"/>
      <c r="C2590" s="2"/>
      <c r="D2590" s="2" t="b">
        <f>IF(AND(NOT(ISBLANK(Table1[[#This Row],[Fetal Sex (Male, Female or Unknown)]])),ISNUMBER(Table1[[#This Row],[Birthweight (grams)]]),ISNUMBER(Table1[[#This Row],[Gestation (days)]])),TRUE,FALSE)</f>
        <v>0</v>
      </c>
      <c r="E2590" s="2" t="str">
        <f>IF(Table1[[#This Row],[Is Data Valid]]=TRUE,IF(Table1[[#This Row],[Fetal Sex (Male, Female or Unknown)]]="Male",Backend!$C$6,IF(Table1[[#This Row],[Fetal Sex (Male, Female or Unknown)]]="Female",Backend!$C$7,IF(Table1[[#This Row],[Fetal Sex (Male, Female or Unknown)]]="Unknown",Backend!$C$8,"Error"))),"")</f>
        <v/>
      </c>
      <c r="F2590" s="8" t="str">
        <f>IF(Table1[[#This Row],[Is Data Valid]]=TRUE,EXP(0.578+0.332*((Table1[[#This Row],[Gestation (days)]]+0.5)/7)-0.00354*((Table1[[#This Row],[Gestation (days)]]+0.5)/7)^2)*Table1[[#This Row],[BW40_3705]],"")</f>
        <v/>
      </c>
      <c r="G2590" s="2" t="str">
        <f>IF(Table1[[#This Row],[Is Data Valid]]=TRUE,((Table1[[#This Row],[Birthweight (grams)]]/Table1[[#This Row],[BW_GA]])-1)/(Backend!$B$4/100*Table1[[#This Row],[BW40_3705]]),"")</f>
        <v/>
      </c>
      <c r="H2590" s="7" t="str">
        <f>IF(Table1[[#This Row],[Is Data Valid]]=TRUE,((Table1[[#This Row],[Birthweight (grams)]]*0.9/Table1[[#This Row],[BW_GA]])-1)/(Backend!$B$4/100*Table1[[#This Row],[BW40_3705]]),"")</f>
        <v/>
      </c>
      <c r="I2590" s="7" t="str">
        <f>IF(Table1[[#This Row],[Is Data Valid]]=TRUE,((Table1[[#This Row],[Birthweight (grams)]]*1.1/Table1[[#This Row],[BW_GA]])-1)/(Backend!$B$4/100*Table1[[#This Row],[BW40_3705]]),"")</f>
        <v/>
      </c>
      <c r="J2590" s="7" t="str">
        <f>IF(Table1[[#This Row],[Is Data Valid]]=TRUE,_xlfn.NORM.S.DIST(Table1[[#This Row],[Birthweight Z-Score]],TRUE)*100,"")</f>
        <v/>
      </c>
      <c r="K2590" s="7" t="str">
        <f>IF(Table1[[#This Row],[Is Data Valid]]=TRUE,_xlfn.NORM.S.DIST(Table1[[#This Row],[Birthweight Z-Score (BW-10%)]],TRUE)*100,"")</f>
        <v/>
      </c>
      <c r="L2590" s="7" t="str">
        <f>IF(Table1[[#This Row],[Is Data Valid]]=TRUE,_xlfn.NORM.S.DIST(Table1[[#This Row],[Birthweight Z-Score (BW+10%)]],TRUE)*100,"")</f>
        <v/>
      </c>
    </row>
    <row r="2591" spans="1:12" x14ac:dyDescent="0.35">
      <c r="A2591" s="3"/>
      <c r="B2591" s="2"/>
      <c r="C2591" s="2"/>
      <c r="D2591" s="2" t="b">
        <f>IF(AND(NOT(ISBLANK(Table1[[#This Row],[Fetal Sex (Male, Female or Unknown)]])),ISNUMBER(Table1[[#This Row],[Birthweight (grams)]]),ISNUMBER(Table1[[#This Row],[Gestation (days)]])),TRUE,FALSE)</f>
        <v>0</v>
      </c>
      <c r="E2591" s="2" t="str">
        <f>IF(Table1[[#This Row],[Is Data Valid]]=TRUE,IF(Table1[[#This Row],[Fetal Sex (Male, Female or Unknown)]]="Male",Backend!$C$6,IF(Table1[[#This Row],[Fetal Sex (Male, Female or Unknown)]]="Female",Backend!$C$7,IF(Table1[[#This Row],[Fetal Sex (Male, Female or Unknown)]]="Unknown",Backend!$C$8,"Error"))),"")</f>
        <v/>
      </c>
      <c r="F2591" s="8" t="str">
        <f>IF(Table1[[#This Row],[Is Data Valid]]=TRUE,EXP(0.578+0.332*((Table1[[#This Row],[Gestation (days)]]+0.5)/7)-0.00354*((Table1[[#This Row],[Gestation (days)]]+0.5)/7)^2)*Table1[[#This Row],[BW40_3705]],"")</f>
        <v/>
      </c>
      <c r="G2591" s="2" t="str">
        <f>IF(Table1[[#This Row],[Is Data Valid]]=TRUE,((Table1[[#This Row],[Birthweight (grams)]]/Table1[[#This Row],[BW_GA]])-1)/(Backend!$B$4/100*Table1[[#This Row],[BW40_3705]]),"")</f>
        <v/>
      </c>
      <c r="H2591" s="7" t="str">
        <f>IF(Table1[[#This Row],[Is Data Valid]]=TRUE,((Table1[[#This Row],[Birthweight (grams)]]*0.9/Table1[[#This Row],[BW_GA]])-1)/(Backend!$B$4/100*Table1[[#This Row],[BW40_3705]]),"")</f>
        <v/>
      </c>
      <c r="I2591" s="7" t="str">
        <f>IF(Table1[[#This Row],[Is Data Valid]]=TRUE,((Table1[[#This Row],[Birthweight (grams)]]*1.1/Table1[[#This Row],[BW_GA]])-1)/(Backend!$B$4/100*Table1[[#This Row],[BW40_3705]]),"")</f>
        <v/>
      </c>
      <c r="J2591" s="7" t="str">
        <f>IF(Table1[[#This Row],[Is Data Valid]]=TRUE,_xlfn.NORM.S.DIST(Table1[[#This Row],[Birthweight Z-Score]],TRUE)*100,"")</f>
        <v/>
      </c>
      <c r="K2591" s="7" t="str">
        <f>IF(Table1[[#This Row],[Is Data Valid]]=TRUE,_xlfn.NORM.S.DIST(Table1[[#This Row],[Birthweight Z-Score (BW-10%)]],TRUE)*100,"")</f>
        <v/>
      </c>
      <c r="L2591" s="7" t="str">
        <f>IF(Table1[[#This Row],[Is Data Valid]]=TRUE,_xlfn.NORM.S.DIST(Table1[[#This Row],[Birthweight Z-Score (BW+10%)]],TRUE)*100,"")</f>
        <v/>
      </c>
    </row>
    <row r="2592" spans="1:12" x14ac:dyDescent="0.35">
      <c r="A2592" s="3"/>
      <c r="B2592" s="2"/>
      <c r="C2592" s="2"/>
      <c r="D2592" s="2" t="b">
        <f>IF(AND(NOT(ISBLANK(Table1[[#This Row],[Fetal Sex (Male, Female or Unknown)]])),ISNUMBER(Table1[[#This Row],[Birthweight (grams)]]),ISNUMBER(Table1[[#This Row],[Gestation (days)]])),TRUE,FALSE)</f>
        <v>0</v>
      </c>
      <c r="E2592" s="2" t="str">
        <f>IF(Table1[[#This Row],[Is Data Valid]]=TRUE,IF(Table1[[#This Row],[Fetal Sex (Male, Female or Unknown)]]="Male",Backend!$C$6,IF(Table1[[#This Row],[Fetal Sex (Male, Female or Unknown)]]="Female",Backend!$C$7,IF(Table1[[#This Row],[Fetal Sex (Male, Female or Unknown)]]="Unknown",Backend!$C$8,"Error"))),"")</f>
        <v/>
      </c>
      <c r="F2592" s="8" t="str">
        <f>IF(Table1[[#This Row],[Is Data Valid]]=TRUE,EXP(0.578+0.332*((Table1[[#This Row],[Gestation (days)]]+0.5)/7)-0.00354*((Table1[[#This Row],[Gestation (days)]]+0.5)/7)^2)*Table1[[#This Row],[BW40_3705]],"")</f>
        <v/>
      </c>
      <c r="G2592" s="2" t="str">
        <f>IF(Table1[[#This Row],[Is Data Valid]]=TRUE,((Table1[[#This Row],[Birthweight (grams)]]/Table1[[#This Row],[BW_GA]])-1)/(Backend!$B$4/100*Table1[[#This Row],[BW40_3705]]),"")</f>
        <v/>
      </c>
      <c r="H2592" s="7" t="str">
        <f>IF(Table1[[#This Row],[Is Data Valid]]=TRUE,((Table1[[#This Row],[Birthweight (grams)]]*0.9/Table1[[#This Row],[BW_GA]])-1)/(Backend!$B$4/100*Table1[[#This Row],[BW40_3705]]),"")</f>
        <v/>
      </c>
      <c r="I2592" s="7" t="str">
        <f>IF(Table1[[#This Row],[Is Data Valid]]=TRUE,((Table1[[#This Row],[Birthweight (grams)]]*1.1/Table1[[#This Row],[BW_GA]])-1)/(Backend!$B$4/100*Table1[[#This Row],[BW40_3705]]),"")</f>
        <v/>
      </c>
      <c r="J2592" s="7" t="str">
        <f>IF(Table1[[#This Row],[Is Data Valid]]=TRUE,_xlfn.NORM.S.DIST(Table1[[#This Row],[Birthweight Z-Score]],TRUE)*100,"")</f>
        <v/>
      </c>
      <c r="K2592" s="7" t="str">
        <f>IF(Table1[[#This Row],[Is Data Valid]]=TRUE,_xlfn.NORM.S.DIST(Table1[[#This Row],[Birthweight Z-Score (BW-10%)]],TRUE)*100,"")</f>
        <v/>
      </c>
      <c r="L2592" s="7" t="str">
        <f>IF(Table1[[#This Row],[Is Data Valid]]=TRUE,_xlfn.NORM.S.DIST(Table1[[#This Row],[Birthweight Z-Score (BW+10%)]],TRUE)*100,"")</f>
        <v/>
      </c>
    </row>
    <row r="2593" spans="1:12" x14ac:dyDescent="0.35">
      <c r="A2593" s="3"/>
      <c r="B2593" s="2"/>
      <c r="C2593" s="2"/>
      <c r="D2593" s="2" t="b">
        <f>IF(AND(NOT(ISBLANK(Table1[[#This Row],[Fetal Sex (Male, Female or Unknown)]])),ISNUMBER(Table1[[#This Row],[Birthweight (grams)]]),ISNUMBER(Table1[[#This Row],[Gestation (days)]])),TRUE,FALSE)</f>
        <v>0</v>
      </c>
      <c r="E2593" s="2" t="str">
        <f>IF(Table1[[#This Row],[Is Data Valid]]=TRUE,IF(Table1[[#This Row],[Fetal Sex (Male, Female or Unknown)]]="Male",Backend!$C$6,IF(Table1[[#This Row],[Fetal Sex (Male, Female or Unknown)]]="Female",Backend!$C$7,IF(Table1[[#This Row],[Fetal Sex (Male, Female or Unknown)]]="Unknown",Backend!$C$8,"Error"))),"")</f>
        <v/>
      </c>
      <c r="F2593" s="8" t="str">
        <f>IF(Table1[[#This Row],[Is Data Valid]]=TRUE,EXP(0.578+0.332*((Table1[[#This Row],[Gestation (days)]]+0.5)/7)-0.00354*((Table1[[#This Row],[Gestation (days)]]+0.5)/7)^2)*Table1[[#This Row],[BW40_3705]],"")</f>
        <v/>
      </c>
      <c r="G2593" s="2" t="str">
        <f>IF(Table1[[#This Row],[Is Data Valid]]=TRUE,((Table1[[#This Row],[Birthweight (grams)]]/Table1[[#This Row],[BW_GA]])-1)/(Backend!$B$4/100*Table1[[#This Row],[BW40_3705]]),"")</f>
        <v/>
      </c>
      <c r="H2593" s="7" t="str">
        <f>IF(Table1[[#This Row],[Is Data Valid]]=TRUE,((Table1[[#This Row],[Birthweight (grams)]]*0.9/Table1[[#This Row],[BW_GA]])-1)/(Backend!$B$4/100*Table1[[#This Row],[BW40_3705]]),"")</f>
        <v/>
      </c>
      <c r="I2593" s="7" t="str">
        <f>IF(Table1[[#This Row],[Is Data Valid]]=TRUE,((Table1[[#This Row],[Birthweight (grams)]]*1.1/Table1[[#This Row],[BW_GA]])-1)/(Backend!$B$4/100*Table1[[#This Row],[BW40_3705]]),"")</f>
        <v/>
      </c>
      <c r="J2593" s="7" t="str">
        <f>IF(Table1[[#This Row],[Is Data Valid]]=TRUE,_xlfn.NORM.S.DIST(Table1[[#This Row],[Birthweight Z-Score]],TRUE)*100,"")</f>
        <v/>
      </c>
      <c r="K2593" s="7" t="str">
        <f>IF(Table1[[#This Row],[Is Data Valid]]=TRUE,_xlfn.NORM.S.DIST(Table1[[#This Row],[Birthweight Z-Score (BW-10%)]],TRUE)*100,"")</f>
        <v/>
      </c>
      <c r="L2593" s="7" t="str">
        <f>IF(Table1[[#This Row],[Is Data Valid]]=TRUE,_xlfn.NORM.S.DIST(Table1[[#This Row],[Birthweight Z-Score (BW+10%)]],TRUE)*100,"")</f>
        <v/>
      </c>
    </row>
    <row r="2594" spans="1:12" x14ac:dyDescent="0.35">
      <c r="A2594" s="3"/>
      <c r="B2594" s="2"/>
      <c r="C2594" s="2"/>
      <c r="D2594" s="2" t="b">
        <f>IF(AND(NOT(ISBLANK(Table1[[#This Row],[Fetal Sex (Male, Female or Unknown)]])),ISNUMBER(Table1[[#This Row],[Birthweight (grams)]]),ISNUMBER(Table1[[#This Row],[Gestation (days)]])),TRUE,FALSE)</f>
        <v>0</v>
      </c>
      <c r="E2594" s="2" t="str">
        <f>IF(Table1[[#This Row],[Is Data Valid]]=TRUE,IF(Table1[[#This Row],[Fetal Sex (Male, Female or Unknown)]]="Male",Backend!$C$6,IF(Table1[[#This Row],[Fetal Sex (Male, Female or Unknown)]]="Female",Backend!$C$7,IF(Table1[[#This Row],[Fetal Sex (Male, Female or Unknown)]]="Unknown",Backend!$C$8,"Error"))),"")</f>
        <v/>
      </c>
      <c r="F2594" s="8" t="str">
        <f>IF(Table1[[#This Row],[Is Data Valid]]=TRUE,EXP(0.578+0.332*((Table1[[#This Row],[Gestation (days)]]+0.5)/7)-0.00354*((Table1[[#This Row],[Gestation (days)]]+0.5)/7)^2)*Table1[[#This Row],[BW40_3705]],"")</f>
        <v/>
      </c>
      <c r="G2594" s="2" t="str">
        <f>IF(Table1[[#This Row],[Is Data Valid]]=TRUE,((Table1[[#This Row],[Birthweight (grams)]]/Table1[[#This Row],[BW_GA]])-1)/(Backend!$B$4/100*Table1[[#This Row],[BW40_3705]]),"")</f>
        <v/>
      </c>
      <c r="H2594" s="7" t="str">
        <f>IF(Table1[[#This Row],[Is Data Valid]]=TRUE,((Table1[[#This Row],[Birthweight (grams)]]*0.9/Table1[[#This Row],[BW_GA]])-1)/(Backend!$B$4/100*Table1[[#This Row],[BW40_3705]]),"")</f>
        <v/>
      </c>
      <c r="I2594" s="7" t="str">
        <f>IF(Table1[[#This Row],[Is Data Valid]]=TRUE,((Table1[[#This Row],[Birthweight (grams)]]*1.1/Table1[[#This Row],[BW_GA]])-1)/(Backend!$B$4/100*Table1[[#This Row],[BW40_3705]]),"")</f>
        <v/>
      </c>
      <c r="J2594" s="7" t="str">
        <f>IF(Table1[[#This Row],[Is Data Valid]]=TRUE,_xlfn.NORM.S.DIST(Table1[[#This Row],[Birthweight Z-Score]],TRUE)*100,"")</f>
        <v/>
      </c>
      <c r="K2594" s="7" t="str">
        <f>IF(Table1[[#This Row],[Is Data Valid]]=TRUE,_xlfn.NORM.S.DIST(Table1[[#This Row],[Birthweight Z-Score (BW-10%)]],TRUE)*100,"")</f>
        <v/>
      </c>
      <c r="L2594" s="7" t="str">
        <f>IF(Table1[[#This Row],[Is Data Valid]]=TRUE,_xlfn.NORM.S.DIST(Table1[[#This Row],[Birthweight Z-Score (BW+10%)]],TRUE)*100,"")</f>
        <v/>
      </c>
    </row>
    <row r="2595" spans="1:12" x14ac:dyDescent="0.35">
      <c r="A2595" s="3"/>
      <c r="B2595" s="2"/>
      <c r="C2595" s="2"/>
      <c r="D2595" s="2" t="b">
        <f>IF(AND(NOT(ISBLANK(Table1[[#This Row],[Fetal Sex (Male, Female or Unknown)]])),ISNUMBER(Table1[[#This Row],[Birthweight (grams)]]),ISNUMBER(Table1[[#This Row],[Gestation (days)]])),TRUE,FALSE)</f>
        <v>0</v>
      </c>
      <c r="E2595" s="2" t="str">
        <f>IF(Table1[[#This Row],[Is Data Valid]]=TRUE,IF(Table1[[#This Row],[Fetal Sex (Male, Female or Unknown)]]="Male",Backend!$C$6,IF(Table1[[#This Row],[Fetal Sex (Male, Female or Unknown)]]="Female",Backend!$C$7,IF(Table1[[#This Row],[Fetal Sex (Male, Female or Unknown)]]="Unknown",Backend!$C$8,"Error"))),"")</f>
        <v/>
      </c>
      <c r="F2595" s="8" t="str">
        <f>IF(Table1[[#This Row],[Is Data Valid]]=TRUE,EXP(0.578+0.332*((Table1[[#This Row],[Gestation (days)]]+0.5)/7)-0.00354*((Table1[[#This Row],[Gestation (days)]]+0.5)/7)^2)*Table1[[#This Row],[BW40_3705]],"")</f>
        <v/>
      </c>
      <c r="G2595" s="2" t="str">
        <f>IF(Table1[[#This Row],[Is Data Valid]]=TRUE,((Table1[[#This Row],[Birthweight (grams)]]/Table1[[#This Row],[BW_GA]])-1)/(Backend!$B$4/100*Table1[[#This Row],[BW40_3705]]),"")</f>
        <v/>
      </c>
      <c r="H2595" s="7" t="str">
        <f>IF(Table1[[#This Row],[Is Data Valid]]=TRUE,((Table1[[#This Row],[Birthweight (grams)]]*0.9/Table1[[#This Row],[BW_GA]])-1)/(Backend!$B$4/100*Table1[[#This Row],[BW40_3705]]),"")</f>
        <v/>
      </c>
      <c r="I2595" s="7" t="str">
        <f>IF(Table1[[#This Row],[Is Data Valid]]=TRUE,((Table1[[#This Row],[Birthweight (grams)]]*1.1/Table1[[#This Row],[BW_GA]])-1)/(Backend!$B$4/100*Table1[[#This Row],[BW40_3705]]),"")</f>
        <v/>
      </c>
      <c r="J2595" s="7" t="str">
        <f>IF(Table1[[#This Row],[Is Data Valid]]=TRUE,_xlfn.NORM.S.DIST(Table1[[#This Row],[Birthweight Z-Score]],TRUE)*100,"")</f>
        <v/>
      </c>
      <c r="K2595" s="7" t="str">
        <f>IF(Table1[[#This Row],[Is Data Valid]]=TRUE,_xlfn.NORM.S.DIST(Table1[[#This Row],[Birthweight Z-Score (BW-10%)]],TRUE)*100,"")</f>
        <v/>
      </c>
      <c r="L2595" s="7" t="str">
        <f>IF(Table1[[#This Row],[Is Data Valid]]=TRUE,_xlfn.NORM.S.DIST(Table1[[#This Row],[Birthweight Z-Score (BW+10%)]],TRUE)*100,"")</f>
        <v/>
      </c>
    </row>
    <row r="2596" spans="1:12" x14ac:dyDescent="0.35">
      <c r="A2596" s="3"/>
      <c r="B2596" s="2"/>
      <c r="C2596" s="2"/>
      <c r="D2596" s="2" t="b">
        <f>IF(AND(NOT(ISBLANK(Table1[[#This Row],[Fetal Sex (Male, Female or Unknown)]])),ISNUMBER(Table1[[#This Row],[Birthweight (grams)]]),ISNUMBER(Table1[[#This Row],[Gestation (days)]])),TRUE,FALSE)</f>
        <v>0</v>
      </c>
      <c r="E2596" s="2" t="str">
        <f>IF(Table1[[#This Row],[Is Data Valid]]=TRUE,IF(Table1[[#This Row],[Fetal Sex (Male, Female or Unknown)]]="Male",Backend!$C$6,IF(Table1[[#This Row],[Fetal Sex (Male, Female or Unknown)]]="Female",Backend!$C$7,IF(Table1[[#This Row],[Fetal Sex (Male, Female or Unknown)]]="Unknown",Backend!$C$8,"Error"))),"")</f>
        <v/>
      </c>
      <c r="F2596" s="8" t="str">
        <f>IF(Table1[[#This Row],[Is Data Valid]]=TRUE,EXP(0.578+0.332*((Table1[[#This Row],[Gestation (days)]]+0.5)/7)-0.00354*((Table1[[#This Row],[Gestation (days)]]+0.5)/7)^2)*Table1[[#This Row],[BW40_3705]],"")</f>
        <v/>
      </c>
      <c r="G2596" s="2" t="str">
        <f>IF(Table1[[#This Row],[Is Data Valid]]=TRUE,((Table1[[#This Row],[Birthweight (grams)]]/Table1[[#This Row],[BW_GA]])-1)/(Backend!$B$4/100*Table1[[#This Row],[BW40_3705]]),"")</f>
        <v/>
      </c>
      <c r="H2596" s="7" t="str">
        <f>IF(Table1[[#This Row],[Is Data Valid]]=TRUE,((Table1[[#This Row],[Birthweight (grams)]]*0.9/Table1[[#This Row],[BW_GA]])-1)/(Backend!$B$4/100*Table1[[#This Row],[BW40_3705]]),"")</f>
        <v/>
      </c>
      <c r="I2596" s="7" t="str">
        <f>IF(Table1[[#This Row],[Is Data Valid]]=TRUE,((Table1[[#This Row],[Birthweight (grams)]]*1.1/Table1[[#This Row],[BW_GA]])-1)/(Backend!$B$4/100*Table1[[#This Row],[BW40_3705]]),"")</f>
        <v/>
      </c>
      <c r="J2596" s="7" t="str">
        <f>IF(Table1[[#This Row],[Is Data Valid]]=TRUE,_xlfn.NORM.S.DIST(Table1[[#This Row],[Birthweight Z-Score]],TRUE)*100,"")</f>
        <v/>
      </c>
      <c r="K2596" s="7" t="str">
        <f>IF(Table1[[#This Row],[Is Data Valid]]=TRUE,_xlfn.NORM.S.DIST(Table1[[#This Row],[Birthweight Z-Score (BW-10%)]],TRUE)*100,"")</f>
        <v/>
      </c>
      <c r="L2596" s="7" t="str">
        <f>IF(Table1[[#This Row],[Is Data Valid]]=TRUE,_xlfn.NORM.S.DIST(Table1[[#This Row],[Birthweight Z-Score (BW+10%)]],TRUE)*100,"")</f>
        <v/>
      </c>
    </row>
    <row r="2597" spans="1:12" x14ac:dyDescent="0.35">
      <c r="A2597" s="3"/>
      <c r="B2597" s="2"/>
      <c r="C2597" s="2"/>
      <c r="D2597" s="2" t="b">
        <f>IF(AND(NOT(ISBLANK(Table1[[#This Row],[Fetal Sex (Male, Female or Unknown)]])),ISNUMBER(Table1[[#This Row],[Birthweight (grams)]]),ISNUMBER(Table1[[#This Row],[Gestation (days)]])),TRUE,FALSE)</f>
        <v>0</v>
      </c>
      <c r="E2597" s="2" t="str">
        <f>IF(Table1[[#This Row],[Is Data Valid]]=TRUE,IF(Table1[[#This Row],[Fetal Sex (Male, Female or Unknown)]]="Male",Backend!$C$6,IF(Table1[[#This Row],[Fetal Sex (Male, Female or Unknown)]]="Female",Backend!$C$7,IF(Table1[[#This Row],[Fetal Sex (Male, Female or Unknown)]]="Unknown",Backend!$C$8,"Error"))),"")</f>
        <v/>
      </c>
      <c r="F2597" s="8" t="str">
        <f>IF(Table1[[#This Row],[Is Data Valid]]=TRUE,EXP(0.578+0.332*((Table1[[#This Row],[Gestation (days)]]+0.5)/7)-0.00354*((Table1[[#This Row],[Gestation (days)]]+0.5)/7)^2)*Table1[[#This Row],[BW40_3705]],"")</f>
        <v/>
      </c>
      <c r="G2597" s="2" t="str">
        <f>IF(Table1[[#This Row],[Is Data Valid]]=TRUE,((Table1[[#This Row],[Birthweight (grams)]]/Table1[[#This Row],[BW_GA]])-1)/(Backend!$B$4/100*Table1[[#This Row],[BW40_3705]]),"")</f>
        <v/>
      </c>
      <c r="H2597" s="7" t="str">
        <f>IF(Table1[[#This Row],[Is Data Valid]]=TRUE,((Table1[[#This Row],[Birthweight (grams)]]*0.9/Table1[[#This Row],[BW_GA]])-1)/(Backend!$B$4/100*Table1[[#This Row],[BW40_3705]]),"")</f>
        <v/>
      </c>
      <c r="I2597" s="7" t="str">
        <f>IF(Table1[[#This Row],[Is Data Valid]]=TRUE,((Table1[[#This Row],[Birthweight (grams)]]*1.1/Table1[[#This Row],[BW_GA]])-1)/(Backend!$B$4/100*Table1[[#This Row],[BW40_3705]]),"")</f>
        <v/>
      </c>
      <c r="J2597" s="7" t="str">
        <f>IF(Table1[[#This Row],[Is Data Valid]]=TRUE,_xlfn.NORM.S.DIST(Table1[[#This Row],[Birthweight Z-Score]],TRUE)*100,"")</f>
        <v/>
      </c>
      <c r="K2597" s="7" t="str">
        <f>IF(Table1[[#This Row],[Is Data Valid]]=TRUE,_xlfn.NORM.S.DIST(Table1[[#This Row],[Birthweight Z-Score (BW-10%)]],TRUE)*100,"")</f>
        <v/>
      </c>
      <c r="L2597" s="7" t="str">
        <f>IF(Table1[[#This Row],[Is Data Valid]]=TRUE,_xlfn.NORM.S.DIST(Table1[[#This Row],[Birthweight Z-Score (BW+10%)]],TRUE)*100,"")</f>
        <v/>
      </c>
    </row>
    <row r="2598" spans="1:12" x14ac:dyDescent="0.35">
      <c r="A2598" s="3"/>
      <c r="B2598" s="2"/>
      <c r="C2598" s="2"/>
      <c r="D2598" s="2" t="b">
        <f>IF(AND(NOT(ISBLANK(Table1[[#This Row],[Fetal Sex (Male, Female or Unknown)]])),ISNUMBER(Table1[[#This Row],[Birthweight (grams)]]),ISNUMBER(Table1[[#This Row],[Gestation (days)]])),TRUE,FALSE)</f>
        <v>0</v>
      </c>
      <c r="E2598" s="2" t="str">
        <f>IF(Table1[[#This Row],[Is Data Valid]]=TRUE,IF(Table1[[#This Row],[Fetal Sex (Male, Female or Unknown)]]="Male",Backend!$C$6,IF(Table1[[#This Row],[Fetal Sex (Male, Female or Unknown)]]="Female",Backend!$C$7,IF(Table1[[#This Row],[Fetal Sex (Male, Female or Unknown)]]="Unknown",Backend!$C$8,"Error"))),"")</f>
        <v/>
      </c>
      <c r="F2598" s="8" t="str">
        <f>IF(Table1[[#This Row],[Is Data Valid]]=TRUE,EXP(0.578+0.332*((Table1[[#This Row],[Gestation (days)]]+0.5)/7)-0.00354*((Table1[[#This Row],[Gestation (days)]]+0.5)/7)^2)*Table1[[#This Row],[BW40_3705]],"")</f>
        <v/>
      </c>
      <c r="G2598" s="2" t="str">
        <f>IF(Table1[[#This Row],[Is Data Valid]]=TRUE,((Table1[[#This Row],[Birthweight (grams)]]/Table1[[#This Row],[BW_GA]])-1)/(Backend!$B$4/100*Table1[[#This Row],[BW40_3705]]),"")</f>
        <v/>
      </c>
      <c r="H2598" s="7" t="str">
        <f>IF(Table1[[#This Row],[Is Data Valid]]=TRUE,((Table1[[#This Row],[Birthweight (grams)]]*0.9/Table1[[#This Row],[BW_GA]])-1)/(Backend!$B$4/100*Table1[[#This Row],[BW40_3705]]),"")</f>
        <v/>
      </c>
      <c r="I2598" s="7" t="str">
        <f>IF(Table1[[#This Row],[Is Data Valid]]=TRUE,((Table1[[#This Row],[Birthweight (grams)]]*1.1/Table1[[#This Row],[BW_GA]])-1)/(Backend!$B$4/100*Table1[[#This Row],[BW40_3705]]),"")</f>
        <v/>
      </c>
      <c r="J2598" s="7" t="str">
        <f>IF(Table1[[#This Row],[Is Data Valid]]=TRUE,_xlfn.NORM.S.DIST(Table1[[#This Row],[Birthweight Z-Score]],TRUE)*100,"")</f>
        <v/>
      </c>
      <c r="K2598" s="7" t="str">
        <f>IF(Table1[[#This Row],[Is Data Valid]]=TRUE,_xlfn.NORM.S.DIST(Table1[[#This Row],[Birthweight Z-Score (BW-10%)]],TRUE)*100,"")</f>
        <v/>
      </c>
      <c r="L2598" s="7" t="str">
        <f>IF(Table1[[#This Row],[Is Data Valid]]=TRUE,_xlfn.NORM.S.DIST(Table1[[#This Row],[Birthweight Z-Score (BW+10%)]],TRUE)*100,"")</f>
        <v/>
      </c>
    </row>
    <row r="2599" spans="1:12" x14ac:dyDescent="0.35">
      <c r="A2599" s="3"/>
      <c r="B2599" s="2"/>
      <c r="C2599" s="2"/>
      <c r="D2599" s="2" t="b">
        <f>IF(AND(NOT(ISBLANK(Table1[[#This Row],[Fetal Sex (Male, Female or Unknown)]])),ISNUMBER(Table1[[#This Row],[Birthweight (grams)]]),ISNUMBER(Table1[[#This Row],[Gestation (days)]])),TRUE,FALSE)</f>
        <v>0</v>
      </c>
      <c r="E2599" s="2" t="str">
        <f>IF(Table1[[#This Row],[Is Data Valid]]=TRUE,IF(Table1[[#This Row],[Fetal Sex (Male, Female or Unknown)]]="Male",Backend!$C$6,IF(Table1[[#This Row],[Fetal Sex (Male, Female or Unknown)]]="Female",Backend!$C$7,IF(Table1[[#This Row],[Fetal Sex (Male, Female or Unknown)]]="Unknown",Backend!$C$8,"Error"))),"")</f>
        <v/>
      </c>
      <c r="F2599" s="8" t="str">
        <f>IF(Table1[[#This Row],[Is Data Valid]]=TRUE,EXP(0.578+0.332*((Table1[[#This Row],[Gestation (days)]]+0.5)/7)-0.00354*((Table1[[#This Row],[Gestation (days)]]+0.5)/7)^2)*Table1[[#This Row],[BW40_3705]],"")</f>
        <v/>
      </c>
      <c r="G2599" s="2" t="str">
        <f>IF(Table1[[#This Row],[Is Data Valid]]=TRUE,((Table1[[#This Row],[Birthweight (grams)]]/Table1[[#This Row],[BW_GA]])-1)/(Backend!$B$4/100*Table1[[#This Row],[BW40_3705]]),"")</f>
        <v/>
      </c>
      <c r="H2599" s="7" t="str">
        <f>IF(Table1[[#This Row],[Is Data Valid]]=TRUE,((Table1[[#This Row],[Birthweight (grams)]]*0.9/Table1[[#This Row],[BW_GA]])-1)/(Backend!$B$4/100*Table1[[#This Row],[BW40_3705]]),"")</f>
        <v/>
      </c>
      <c r="I2599" s="7" t="str">
        <f>IF(Table1[[#This Row],[Is Data Valid]]=TRUE,((Table1[[#This Row],[Birthweight (grams)]]*1.1/Table1[[#This Row],[BW_GA]])-1)/(Backend!$B$4/100*Table1[[#This Row],[BW40_3705]]),"")</f>
        <v/>
      </c>
      <c r="J2599" s="7" t="str">
        <f>IF(Table1[[#This Row],[Is Data Valid]]=TRUE,_xlfn.NORM.S.DIST(Table1[[#This Row],[Birthweight Z-Score]],TRUE)*100,"")</f>
        <v/>
      </c>
      <c r="K2599" s="7" t="str">
        <f>IF(Table1[[#This Row],[Is Data Valid]]=TRUE,_xlfn.NORM.S.DIST(Table1[[#This Row],[Birthweight Z-Score (BW-10%)]],TRUE)*100,"")</f>
        <v/>
      </c>
      <c r="L2599" s="7" t="str">
        <f>IF(Table1[[#This Row],[Is Data Valid]]=TRUE,_xlfn.NORM.S.DIST(Table1[[#This Row],[Birthweight Z-Score (BW+10%)]],TRUE)*100,"")</f>
        <v/>
      </c>
    </row>
    <row r="2600" spans="1:12" x14ac:dyDescent="0.35">
      <c r="A2600" s="3"/>
      <c r="B2600" s="2"/>
      <c r="C2600" s="2"/>
      <c r="D2600" s="2" t="b">
        <f>IF(AND(NOT(ISBLANK(Table1[[#This Row],[Fetal Sex (Male, Female or Unknown)]])),ISNUMBER(Table1[[#This Row],[Birthweight (grams)]]),ISNUMBER(Table1[[#This Row],[Gestation (days)]])),TRUE,FALSE)</f>
        <v>0</v>
      </c>
      <c r="E2600" s="2" t="str">
        <f>IF(Table1[[#This Row],[Is Data Valid]]=TRUE,IF(Table1[[#This Row],[Fetal Sex (Male, Female or Unknown)]]="Male",Backend!$C$6,IF(Table1[[#This Row],[Fetal Sex (Male, Female or Unknown)]]="Female",Backend!$C$7,IF(Table1[[#This Row],[Fetal Sex (Male, Female or Unknown)]]="Unknown",Backend!$C$8,"Error"))),"")</f>
        <v/>
      </c>
      <c r="F2600" s="8" t="str">
        <f>IF(Table1[[#This Row],[Is Data Valid]]=TRUE,EXP(0.578+0.332*((Table1[[#This Row],[Gestation (days)]]+0.5)/7)-0.00354*((Table1[[#This Row],[Gestation (days)]]+0.5)/7)^2)*Table1[[#This Row],[BW40_3705]],"")</f>
        <v/>
      </c>
      <c r="G2600" s="2" t="str">
        <f>IF(Table1[[#This Row],[Is Data Valid]]=TRUE,((Table1[[#This Row],[Birthweight (grams)]]/Table1[[#This Row],[BW_GA]])-1)/(Backend!$B$4/100*Table1[[#This Row],[BW40_3705]]),"")</f>
        <v/>
      </c>
      <c r="H2600" s="7" t="str">
        <f>IF(Table1[[#This Row],[Is Data Valid]]=TRUE,((Table1[[#This Row],[Birthweight (grams)]]*0.9/Table1[[#This Row],[BW_GA]])-1)/(Backend!$B$4/100*Table1[[#This Row],[BW40_3705]]),"")</f>
        <v/>
      </c>
      <c r="I2600" s="7" t="str">
        <f>IF(Table1[[#This Row],[Is Data Valid]]=TRUE,((Table1[[#This Row],[Birthweight (grams)]]*1.1/Table1[[#This Row],[BW_GA]])-1)/(Backend!$B$4/100*Table1[[#This Row],[BW40_3705]]),"")</f>
        <v/>
      </c>
      <c r="J2600" s="7" t="str">
        <f>IF(Table1[[#This Row],[Is Data Valid]]=TRUE,_xlfn.NORM.S.DIST(Table1[[#This Row],[Birthweight Z-Score]],TRUE)*100,"")</f>
        <v/>
      </c>
      <c r="K2600" s="7" t="str">
        <f>IF(Table1[[#This Row],[Is Data Valid]]=TRUE,_xlfn.NORM.S.DIST(Table1[[#This Row],[Birthweight Z-Score (BW-10%)]],TRUE)*100,"")</f>
        <v/>
      </c>
      <c r="L2600" s="7" t="str">
        <f>IF(Table1[[#This Row],[Is Data Valid]]=TRUE,_xlfn.NORM.S.DIST(Table1[[#This Row],[Birthweight Z-Score (BW+10%)]],TRUE)*100,"")</f>
        <v/>
      </c>
    </row>
    <row r="2601" spans="1:12" x14ac:dyDescent="0.35">
      <c r="A2601" s="3"/>
      <c r="B2601" s="2"/>
      <c r="C2601" s="2"/>
      <c r="D2601" s="2" t="b">
        <f>IF(AND(NOT(ISBLANK(Table1[[#This Row],[Fetal Sex (Male, Female or Unknown)]])),ISNUMBER(Table1[[#This Row],[Birthweight (grams)]]),ISNUMBER(Table1[[#This Row],[Gestation (days)]])),TRUE,FALSE)</f>
        <v>0</v>
      </c>
      <c r="E2601" s="2" t="str">
        <f>IF(Table1[[#This Row],[Is Data Valid]]=TRUE,IF(Table1[[#This Row],[Fetal Sex (Male, Female or Unknown)]]="Male",Backend!$C$6,IF(Table1[[#This Row],[Fetal Sex (Male, Female or Unknown)]]="Female",Backend!$C$7,IF(Table1[[#This Row],[Fetal Sex (Male, Female or Unknown)]]="Unknown",Backend!$C$8,"Error"))),"")</f>
        <v/>
      </c>
      <c r="F2601" s="8" t="str">
        <f>IF(Table1[[#This Row],[Is Data Valid]]=TRUE,EXP(0.578+0.332*((Table1[[#This Row],[Gestation (days)]]+0.5)/7)-0.00354*((Table1[[#This Row],[Gestation (days)]]+0.5)/7)^2)*Table1[[#This Row],[BW40_3705]],"")</f>
        <v/>
      </c>
      <c r="G2601" s="2" t="str">
        <f>IF(Table1[[#This Row],[Is Data Valid]]=TRUE,((Table1[[#This Row],[Birthweight (grams)]]/Table1[[#This Row],[BW_GA]])-1)/(Backend!$B$4/100*Table1[[#This Row],[BW40_3705]]),"")</f>
        <v/>
      </c>
      <c r="H2601" s="7" t="str">
        <f>IF(Table1[[#This Row],[Is Data Valid]]=TRUE,((Table1[[#This Row],[Birthweight (grams)]]*0.9/Table1[[#This Row],[BW_GA]])-1)/(Backend!$B$4/100*Table1[[#This Row],[BW40_3705]]),"")</f>
        <v/>
      </c>
      <c r="I2601" s="7" t="str">
        <f>IF(Table1[[#This Row],[Is Data Valid]]=TRUE,((Table1[[#This Row],[Birthweight (grams)]]*1.1/Table1[[#This Row],[BW_GA]])-1)/(Backend!$B$4/100*Table1[[#This Row],[BW40_3705]]),"")</f>
        <v/>
      </c>
      <c r="J2601" s="7" t="str">
        <f>IF(Table1[[#This Row],[Is Data Valid]]=TRUE,_xlfn.NORM.S.DIST(Table1[[#This Row],[Birthweight Z-Score]],TRUE)*100,"")</f>
        <v/>
      </c>
      <c r="K2601" s="7" t="str">
        <f>IF(Table1[[#This Row],[Is Data Valid]]=TRUE,_xlfn.NORM.S.DIST(Table1[[#This Row],[Birthweight Z-Score (BW-10%)]],TRUE)*100,"")</f>
        <v/>
      </c>
      <c r="L2601" s="7" t="str">
        <f>IF(Table1[[#This Row],[Is Data Valid]]=TRUE,_xlfn.NORM.S.DIST(Table1[[#This Row],[Birthweight Z-Score (BW+10%)]],TRUE)*100,"")</f>
        <v/>
      </c>
    </row>
    <row r="2602" spans="1:12" x14ac:dyDescent="0.35">
      <c r="A2602" s="3"/>
      <c r="B2602" s="2"/>
      <c r="C2602" s="2"/>
      <c r="D2602" s="2" t="b">
        <f>IF(AND(NOT(ISBLANK(Table1[[#This Row],[Fetal Sex (Male, Female or Unknown)]])),ISNUMBER(Table1[[#This Row],[Birthweight (grams)]]),ISNUMBER(Table1[[#This Row],[Gestation (days)]])),TRUE,FALSE)</f>
        <v>0</v>
      </c>
      <c r="E2602" s="2" t="str">
        <f>IF(Table1[[#This Row],[Is Data Valid]]=TRUE,IF(Table1[[#This Row],[Fetal Sex (Male, Female or Unknown)]]="Male",Backend!$C$6,IF(Table1[[#This Row],[Fetal Sex (Male, Female or Unknown)]]="Female",Backend!$C$7,IF(Table1[[#This Row],[Fetal Sex (Male, Female or Unknown)]]="Unknown",Backend!$C$8,"Error"))),"")</f>
        <v/>
      </c>
      <c r="F2602" s="8" t="str">
        <f>IF(Table1[[#This Row],[Is Data Valid]]=TRUE,EXP(0.578+0.332*((Table1[[#This Row],[Gestation (days)]]+0.5)/7)-0.00354*((Table1[[#This Row],[Gestation (days)]]+0.5)/7)^2)*Table1[[#This Row],[BW40_3705]],"")</f>
        <v/>
      </c>
      <c r="G2602" s="2" t="str">
        <f>IF(Table1[[#This Row],[Is Data Valid]]=TRUE,((Table1[[#This Row],[Birthweight (grams)]]/Table1[[#This Row],[BW_GA]])-1)/(Backend!$B$4/100*Table1[[#This Row],[BW40_3705]]),"")</f>
        <v/>
      </c>
      <c r="H2602" s="7" t="str">
        <f>IF(Table1[[#This Row],[Is Data Valid]]=TRUE,((Table1[[#This Row],[Birthweight (grams)]]*0.9/Table1[[#This Row],[BW_GA]])-1)/(Backend!$B$4/100*Table1[[#This Row],[BW40_3705]]),"")</f>
        <v/>
      </c>
      <c r="I2602" s="7" t="str">
        <f>IF(Table1[[#This Row],[Is Data Valid]]=TRUE,((Table1[[#This Row],[Birthweight (grams)]]*1.1/Table1[[#This Row],[BW_GA]])-1)/(Backend!$B$4/100*Table1[[#This Row],[BW40_3705]]),"")</f>
        <v/>
      </c>
      <c r="J2602" s="7" t="str">
        <f>IF(Table1[[#This Row],[Is Data Valid]]=TRUE,_xlfn.NORM.S.DIST(Table1[[#This Row],[Birthweight Z-Score]],TRUE)*100,"")</f>
        <v/>
      </c>
      <c r="K2602" s="7" t="str">
        <f>IF(Table1[[#This Row],[Is Data Valid]]=TRUE,_xlfn.NORM.S.DIST(Table1[[#This Row],[Birthweight Z-Score (BW-10%)]],TRUE)*100,"")</f>
        <v/>
      </c>
      <c r="L2602" s="7" t="str">
        <f>IF(Table1[[#This Row],[Is Data Valid]]=TRUE,_xlfn.NORM.S.DIST(Table1[[#This Row],[Birthweight Z-Score (BW+10%)]],TRUE)*100,"")</f>
        <v/>
      </c>
    </row>
    <row r="2603" spans="1:12" x14ac:dyDescent="0.35">
      <c r="A2603" s="3"/>
      <c r="B2603" s="2"/>
      <c r="C2603" s="2"/>
      <c r="D2603" s="2" t="b">
        <f>IF(AND(NOT(ISBLANK(Table1[[#This Row],[Fetal Sex (Male, Female or Unknown)]])),ISNUMBER(Table1[[#This Row],[Birthweight (grams)]]),ISNUMBER(Table1[[#This Row],[Gestation (days)]])),TRUE,FALSE)</f>
        <v>0</v>
      </c>
      <c r="E2603" s="2" t="str">
        <f>IF(Table1[[#This Row],[Is Data Valid]]=TRUE,IF(Table1[[#This Row],[Fetal Sex (Male, Female or Unknown)]]="Male",Backend!$C$6,IF(Table1[[#This Row],[Fetal Sex (Male, Female or Unknown)]]="Female",Backend!$C$7,IF(Table1[[#This Row],[Fetal Sex (Male, Female or Unknown)]]="Unknown",Backend!$C$8,"Error"))),"")</f>
        <v/>
      </c>
      <c r="F2603" s="8" t="str">
        <f>IF(Table1[[#This Row],[Is Data Valid]]=TRUE,EXP(0.578+0.332*((Table1[[#This Row],[Gestation (days)]]+0.5)/7)-0.00354*((Table1[[#This Row],[Gestation (days)]]+0.5)/7)^2)*Table1[[#This Row],[BW40_3705]],"")</f>
        <v/>
      </c>
      <c r="G2603" s="2" t="str">
        <f>IF(Table1[[#This Row],[Is Data Valid]]=TRUE,((Table1[[#This Row],[Birthweight (grams)]]/Table1[[#This Row],[BW_GA]])-1)/(Backend!$B$4/100*Table1[[#This Row],[BW40_3705]]),"")</f>
        <v/>
      </c>
      <c r="H2603" s="7" t="str">
        <f>IF(Table1[[#This Row],[Is Data Valid]]=TRUE,((Table1[[#This Row],[Birthweight (grams)]]*0.9/Table1[[#This Row],[BW_GA]])-1)/(Backend!$B$4/100*Table1[[#This Row],[BW40_3705]]),"")</f>
        <v/>
      </c>
      <c r="I2603" s="7" t="str">
        <f>IF(Table1[[#This Row],[Is Data Valid]]=TRUE,((Table1[[#This Row],[Birthweight (grams)]]*1.1/Table1[[#This Row],[BW_GA]])-1)/(Backend!$B$4/100*Table1[[#This Row],[BW40_3705]]),"")</f>
        <v/>
      </c>
      <c r="J2603" s="7" t="str">
        <f>IF(Table1[[#This Row],[Is Data Valid]]=TRUE,_xlfn.NORM.S.DIST(Table1[[#This Row],[Birthweight Z-Score]],TRUE)*100,"")</f>
        <v/>
      </c>
      <c r="K2603" s="7" t="str">
        <f>IF(Table1[[#This Row],[Is Data Valid]]=TRUE,_xlfn.NORM.S.DIST(Table1[[#This Row],[Birthweight Z-Score (BW-10%)]],TRUE)*100,"")</f>
        <v/>
      </c>
      <c r="L2603" s="7" t="str">
        <f>IF(Table1[[#This Row],[Is Data Valid]]=TRUE,_xlfn.NORM.S.DIST(Table1[[#This Row],[Birthweight Z-Score (BW+10%)]],TRUE)*100,"")</f>
        <v/>
      </c>
    </row>
    <row r="2604" spans="1:12" x14ac:dyDescent="0.35">
      <c r="A2604" s="3"/>
      <c r="B2604" s="2"/>
      <c r="C2604" s="2"/>
      <c r="D2604" s="2" t="b">
        <f>IF(AND(NOT(ISBLANK(Table1[[#This Row],[Fetal Sex (Male, Female or Unknown)]])),ISNUMBER(Table1[[#This Row],[Birthweight (grams)]]),ISNUMBER(Table1[[#This Row],[Gestation (days)]])),TRUE,FALSE)</f>
        <v>0</v>
      </c>
      <c r="E2604" s="2" t="str">
        <f>IF(Table1[[#This Row],[Is Data Valid]]=TRUE,IF(Table1[[#This Row],[Fetal Sex (Male, Female or Unknown)]]="Male",Backend!$C$6,IF(Table1[[#This Row],[Fetal Sex (Male, Female or Unknown)]]="Female",Backend!$C$7,IF(Table1[[#This Row],[Fetal Sex (Male, Female or Unknown)]]="Unknown",Backend!$C$8,"Error"))),"")</f>
        <v/>
      </c>
      <c r="F2604" s="8" t="str">
        <f>IF(Table1[[#This Row],[Is Data Valid]]=TRUE,EXP(0.578+0.332*((Table1[[#This Row],[Gestation (days)]]+0.5)/7)-0.00354*((Table1[[#This Row],[Gestation (days)]]+0.5)/7)^2)*Table1[[#This Row],[BW40_3705]],"")</f>
        <v/>
      </c>
      <c r="G2604" s="2" t="str">
        <f>IF(Table1[[#This Row],[Is Data Valid]]=TRUE,((Table1[[#This Row],[Birthweight (grams)]]/Table1[[#This Row],[BW_GA]])-1)/(Backend!$B$4/100*Table1[[#This Row],[BW40_3705]]),"")</f>
        <v/>
      </c>
      <c r="H2604" s="7" t="str">
        <f>IF(Table1[[#This Row],[Is Data Valid]]=TRUE,((Table1[[#This Row],[Birthweight (grams)]]*0.9/Table1[[#This Row],[BW_GA]])-1)/(Backend!$B$4/100*Table1[[#This Row],[BW40_3705]]),"")</f>
        <v/>
      </c>
      <c r="I2604" s="7" t="str">
        <f>IF(Table1[[#This Row],[Is Data Valid]]=TRUE,((Table1[[#This Row],[Birthweight (grams)]]*1.1/Table1[[#This Row],[BW_GA]])-1)/(Backend!$B$4/100*Table1[[#This Row],[BW40_3705]]),"")</f>
        <v/>
      </c>
      <c r="J2604" s="7" t="str">
        <f>IF(Table1[[#This Row],[Is Data Valid]]=TRUE,_xlfn.NORM.S.DIST(Table1[[#This Row],[Birthweight Z-Score]],TRUE)*100,"")</f>
        <v/>
      </c>
      <c r="K2604" s="7" t="str">
        <f>IF(Table1[[#This Row],[Is Data Valid]]=TRUE,_xlfn.NORM.S.DIST(Table1[[#This Row],[Birthweight Z-Score (BW-10%)]],TRUE)*100,"")</f>
        <v/>
      </c>
      <c r="L2604" s="7" t="str">
        <f>IF(Table1[[#This Row],[Is Data Valid]]=TRUE,_xlfn.NORM.S.DIST(Table1[[#This Row],[Birthweight Z-Score (BW+10%)]],TRUE)*100,"")</f>
        <v/>
      </c>
    </row>
    <row r="2605" spans="1:12" x14ac:dyDescent="0.35">
      <c r="A2605" s="3"/>
      <c r="B2605" s="2"/>
      <c r="C2605" s="2"/>
      <c r="D2605" s="2" t="b">
        <f>IF(AND(NOT(ISBLANK(Table1[[#This Row],[Fetal Sex (Male, Female or Unknown)]])),ISNUMBER(Table1[[#This Row],[Birthweight (grams)]]),ISNUMBER(Table1[[#This Row],[Gestation (days)]])),TRUE,FALSE)</f>
        <v>0</v>
      </c>
      <c r="E2605" s="2" t="str">
        <f>IF(Table1[[#This Row],[Is Data Valid]]=TRUE,IF(Table1[[#This Row],[Fetal Sex (Male, Female or Unknown)]]="Male",Backend!$C$6,IF(Table1[[#This Row],[Fetal Sex (Male, Female or Unknown)]]="Female",Backend!$C$7,IF(Table1[[#This Row],[Fetal Sex (Male, Female or Unknown)]]="Unknown",Backend!$C$8,"Error"))),"")</f>
        <v/>
      </c>
      <c r="F2605" s="8" t="str">
        <f>IF(Table1[[#This Row],[Is Data Valid]]=TRUE,EXP(0.578+0.332*((Table1[[#This Row],[Gestation (days)]]+0.5)/7)-0.00354*((Table1[[#This Row],[Gestation (days)]]+0.5)/7)^2)*Table1[[#This Row],[BW40_3705]],"")</f>
        <v/>
      </c>
      <c r="G2605" s="2" t="str">
        <f>IF(Table1[[#This Row],[Is Data Valid]]=TRUE,((Table1[[#This Row],[Birthweight (grams)]]/Table1[[#This Row],[BW_GA]])-1)/(Backend!$B$4/100*Table1[[#This Row],[BW40_3705]]),"")</f>
        <v/>
      </c>
      <c r="H2605" s="7" t="str">
        <f>IF(Table1[[#This Row],[Is Data Valid]]=TRUE,((Table1[[#This Row],[Birthweight (grams)]]*0.9/Table1[[#This Row],[BW_GA]])-1)/(Backend!$B$4/100*Table1[[#This Row],[BW40_3705]]),"")</f>
        <v/>
      </c>
      <c r="I2605" s="7" t="str">
        <f>IF(Table1[[#This Row],[Is Data Valid]]=TRUE,((Table1[[#This Row],[Birthweight (grams)]]*1.1/Table1[[#This Row],[BW_GA]])-1)/(Backend!$B$4/100*Table1[[#This Row],[BW40_3705]]),"")</f>
        <v/>
      </c>
      <c r="J2605" s="7" t="str">
        <f>IF(Table1[[#This Row],[Is Data Valid]]=TRUE,_xlfn.NORM.S.DIST(Table1[[#This Row],[Birthweight Z-Score]],TRUE)*100,"")</f>
        <v/>
      </c>
      <c r="K2605" s="7" t="str">
        <f>IF(Table1[[#This Row],[Is Data Valid]]=TRUE,_xlfn.NORM.S.DIST(Table1[[#This Row],[Birthweight Z-Score (BW-10%)]],TRUE)*100,"")</f>
        <v/>
      </c>
      <c r="L2605" s="7" t="str">
        <f>IF(Table1[[#This Row],[Is Data Valid]]=TRUE,_xlfn.NORM.S.DIST(Table1[[#This Row],[Birthweight Z-Score (BW+10%)]],TRUE)*100,"")</f>
        <v/>
      </c>
    </row>
    <row r="2606" spans="1:12" x14ac:dyDescent="0.35">
      <c r="A2606" s="3"/>
      <c r="B2606" s="2"/>
      <c r="C2606" s="2"/>
      <c r="D2606" s="2" t="b">
        <f>IF(AND(NOT(ISBLANK(Table1[[#This Row],[Fetal Sex (Male, Female or Unknown)]])),ISNUMBER(Table1[[#This Row],[Birthweight (grams)]]),ISNUMBER(Table1[[#This Row],[Gestation (days)]])),TRUE,FALSE)</f>
        <v>0</v>
      </c>
      <c r="E2606" s="2" t="str">
        <f>IF(Table1[[#This Row],[Is Data Valid]]=TRUE,IF(Table1[[#This Row],[Fetal Sex (Male, Female or Unknown)]]="Male",Backend!$C$6,IF(Table1[[#This Row],[Fetal Sex (Male, Female or Unknown)]]="Female",Backend!$C$7,IF(Table1[[#This Row],[Fetal Sex (Male, Female or Unknown)]]="Unknown",Backend!$C$8,"Error"))),"")</f>
        <v/>
      </c>
      <c r="F2606" s="8" t="str">
        <f>IF(Table1[[#This Row],[Is Data Valid]]=TRUE,EXP(0.578+0.332*((Table1[[#This Row],[Gestation (days)]]+0.5)/7)-0.00354*((Table1[[#This Row],[Gestation (days)]]+0.5)/7)^2)*Table1[[#This Row],[BW40_3705]],"")</f>
        <v/>
      </c>
      <c r="G2606" s="2" t="str">
        <f>IF(Table1[[#This Row],[Is Data Valid]]=TRUE,((Table1[[#This Row],[Birthweight (grams)]]/Table1[[#This Row],[BW_GA]])-1)/(Backend!$B$4/100*Table1[[#This Row],[BW40_3705]]),"")</f>
        <v/>
      </c>
      <c r="H2606" s="7" t="str">
        <f>IF(Table1[[#This Row],[Is Data Valid]]=TRUE,((Table1[[#This Row],[Birthweight (grams)]]*0.9/Table1[[#This Row],[BW_GA]])-1)/(Backend!$B$4/100*Table1[[#This Row],[BW40_3705]]),"")</f>
        <v/>
      </c>
      <c r="I2606" s="7" t="str">
        <f>IF(Table1[[#This Row],[Is Data Valid]]=TRUE,((Table1[[#This Row],[Birthweight (grams)]]*1.1/Table1[[#This Row],[BW_GA]])-1)/(Backend!$B$4/100*Table1[[#This Row],[BW40_3705]]),"")</f>
        <v/>
      </c>
      <c r="J2606" s="7" t="str">
        <f>IF(Table1[[#This Row],[Is Data Valid]]=TRUE,_xlfn.NORM.S.DIST(Table1[[#This Row],[Birthweight Z-Score]],TRUE)*100,"")</f>
        <v/>
      </c>
      <c r="K2606" s="7" t="str">
        <f>IF(Table1[[#This Row],[Is Data Valid]]=TRUE,_xlfn.NORM.S.DIST(Table1[[#This Row],[Birthweight Z-Score (BW-10%)]],TRUE)*100,"")</f>
        <v/>
      </c>
      <c r="L2606" s="7" t="str">
        <f>IF(Table1[[#This Row],[Is Data Valid]]=TRUE,_xlfn.NORM.S.DIST(Table1[[#This Row],[Birthweight Z-Score (BW+10%)]],TRUE)*100,"")</f>
        <v/>
      </c>
    </row>
    <row r="2607" spans="1:12" x14ac:dyDescent="0.35">
      <c r="A2607" s="3"/>
      <c r="B2607" s="2"/>
      <c r="C2607" s="2"/>
      <c r="D2607" s="2" t="b">
        <f>IF(AND(NOT(ISBLANK(Table1[[#This Row],[Fetal Sex (Male, Female or Unknown)]])),ISNUMBER(Table1[[#This Row],[Birthweight (grams)]]),ISNUMBER(Table1[[#This Row],[Gestation (days)]])),TRUE,FALSE)</f>
        <v>0</v>
      </c>
      <c r="E2607" s="2" t="str">
        <f>IF(Table1[[#This Row],[Is Data Valid]]=TRUE,IF(Table1[[#This Row],[Fetal Sex (Male, Female or Unknown)]]="Male",Backend!$C$6,IF(Table1[[#This Row],[Fetal Sex (Male, Female or Unknown)]]="Female",Backend!$C$7,IF(Table1[[#This Row],[Fetal Sex (Male, Female or Unknown)]]="Unknown",Backend!$C$8,"Error"))),"")</f>
        <v/>
      </c>
      <c r="F2607" s="8" t="str">
        <f>IF(Table1[[#This Row],[Is Data Valid]]=TRUE,EXP(0.578+0.332*((Table1[[#This Row],[Gestation (days)]]+0.5)/7)-0.00354*((Table1[[#This Row],[Gestation (days)]]+0.5)/7)^2)*Table1[[#This Row],[BW40_3705]],"")</f>
        <v/>
      </c>
      <c r="G2607" s="2" t="str">
        <f>IF(Table1[[#This Row],[Is Data Valid]]=TRUE,((Table1[[#This Row],[Birthweight (grams)]]/Table1[[#This Row],[BW_GA]])-1)/(Backend!$B$4/100*Table1[[#This Row],[BW40_3705]]),"")</f>
        <v/>
      </c>
      <c r="H2607" s="7" t="str">
        <f>IF(Table1[[#This Row],[Is Data Valid]]=TRUE,((Table1[[#This Row],[Birthweight (grams)]]*0.9/Table1[[#This Row],[BW_GA]])-1)/(Backend!$B$4/100*Table1[[#This Row],[BW40_3705]]),"")</f>
        <v/>
      </c>
      <c r="I2607" s="7" t="str">
        <f>IF(Table1[[#This Row],[Is Data Valid]]=TRUE,((Table1[[#This Row],[Birthweight (grams)]]*1.1/Table1[[#This Row],[BW_GA]])-1)/(Backend!$B$4/100*Table1[[#This Row],[BW40_3705]]),"")</f>
        <v/>
      </c>
      <c r="J2607" s="7" t="str">
        <f>IF(Table1[[#This Row],[Is Data Valid]]=TRUE,_xlfn.NORM.S.DIST(Table1[[#This Row],[Birthweight Z-Score]],TRUE)*100,"")</f>
        <v/>
      </c>
      <c r="K2607" s="7" t="str">
        <f>IF(Table1[[#This Row],[Is Data Valid]]=TRUE,_xlfn.NORM.S.DIST(Table1[[#This Row],[Birthweight Z-Score (BW-10%)]],TRUE)*100,"")</f>
        <v/>
      </c>
      <c r="L2607" s="7" t="str">
        <f>IF(Table1[[#This Row],[Is Data Valid]]=TRUE,_xlfn.NORM.S.DIST(Table1[[#This Row],[Birthweight Z-Score (BW+10%)]],TRUE)*100,"")</f>
        <v/>
      </c>
    </row>
    <row r="2608" spans="1:12" x14ac:dyDescent="0.35">
      <c r="A2608" s="3"/>
      <c r="B2608" s="2"/>
      <c r="C2608" s="2"/>
      <c r="D2608" s="2" t="b">
        <f>IF(AND(NOT(ISBLANK(Table1[[#This Row],[Fetal Sex (Male, Female or Unknown)]])),ISNUMBER(Table1[[#This Row],[Birthweight (grams)]]),ISNUMBER(Table1[[#This Row],[Gestation (days)]])),TRUE,FALSE)</f>
        <v>0</v>
      </c>
      <c r="E2608" s="2" t="str">
        <f>IF(Table1[[#This Row],[Is Data Valid]]=TRUE,IF(Table1[[#This Row],[Fetal Sex (Male, Female or Unknown)]]="Male",Backend!$C$6,IF(Table1[[#This Row],[Fetal Sex (Male, Female or Unknown)]]="Female",Backend!$C$7,IF(Table1[[#This Row],[Fetal Sex (Male, Female or Unknown)]]="Unknown",Backend!$C$8,"Error"))),"")</f>
        <v/>
      </c>
      <c r="F2608" s="8" t="str">
        <f>IF(Table1[[#This Row],[Is Data Valid]]=TRUE,EXP(0.578+0.332*((Table1[[#This Row],[Gestation (days)]]+0.5)/7)-0.00354*((Table1[[#This Row],[Gestation (days)]]+0.5)/7)^2)*Table1[[#This Row],[BW40_3705]],"")</f>
        <v/>
      </c>
      <c r="G2608" s="2" t="str">
        <f>IF(Table1[[#This Row],[Is Data Valid]]=TRUE,((Table1[[#This Row],[Birthweight (grams)]]/Table1[[#This Row],[BW_GA]])-1)/(Backend!$B$4/100*Table1[[#This Row],[BW40_3705]]),"")</f>
        <v/>
      </c>
      <c r="H2608" s="7" t="str">
        <f>IF(Table1[[#This Row],[Is Data Valid]]=TRUE,((Table1[[#This Row],[Birthweight (grams)]]*0.9/Table1[[#This Row],[BW_GA]])-1)/(Backend!$B$4/100*Table1[[#This Row],[BW40_3705]]),"")</f>
        <v/>
      </c>
      <c r="I2608" s="7" t="str">
        <f>IF(Table1[[#This Row],[Is Data Valid]]=TRUE,((Table1[[#This Row],[Birthweight (grams)]]*1.1/Table1[[#This Row],[BW_GA]])-1)/(Backend!$B$4/100*Table1[[#This Row],[BW40_3705]]),"")</f>
        <v/>
      </c>
      <c r="J2608" s="7" t="str">
        <f>IF(Table1[[#This Row],[Is Data Valid]]=TRUE,_xlfn.NORM.S.DIST(Table1[[#This Row],[Birthweight Z-Score]],TRUE)*100,"")</f>
        <v/>
      </c>
      <c r="K2608" s="7" t="str">
        <f>IF(Table1[[#This Row],[Is Data Valid]]=TRUE,_xlfn.NORM.S.DIST(Table1[[#This Row],[Birthweight Z-Score (BW-10%)]],TRUE)*100,"")</f>
        <v/>
      </c>
      <c r="L2608" s="7" t="str">
        <f>IF(Table1[[#This Row],[Is Data Valid]]=TRUE,_xlfn.NORM.S.DIST(Table1[[#This Row],[Birthweight Z-Score (BW+10%)]],TRUE)*100,"")</f>
        <v/>
      </c>
    </row>
    <row r="2609" spans="1:12" x14ac:dyDescent="0.35">
      <c r="A2609" s="3"/>
      <c r="B2609" s="2"/>
      <c r="C2609" s="2"/>
      <c r="D2609" s="2" t="b">
        <f>IF(AND(NOT(ISBLANK(Table1[[#This Row],[Fetal Sex (Male, Female or Unknown)]])),ISNUMBER(Table1[[#This Row],[Birthweight (grams)]]),ISNUMBER(Table1[[#This Row],[Gestation (days)]])),TRUE,FALSE)</f>
        <v>0</v>
      </c>
      <c r="E2609" s="2" t="str">
        <f>IF(Table1[[#This Row],[Is Data Valid]]=TRUE,IF(Table1[[#This Row],[Fetal Sex (Male, Female or Unknown)]]="Male",Backend!$C$6,IF(Table1[[#This Row],[Fetal Sex (Male, Female or Unknown)]]="Female",Backend!$C$7,IF(Table1[[#This Row],[Fetal Sex (Male, Female or Unknown)]]="Unknown",Backend!$C$8,"Error"))),"")</f>
        <v/>
      </c>
      <c r="F2609" s="8" t="str">
        <f>IF(Table1[[#This Row],[Is Data Valid]]=TRUE,EXP(0.578+0.332*((Table1[[#This Row],[Gestation (days)]]+0.5)/7)-0.00354*((Table1[[#This Row],[Gestation (days)]]+0.5)/7)^2)*Table1[[#This Row],[BW40_3705]],"")</f>
        <v/>
      </c>
      <c r="G2609" s="2" t="str">
        <f>IF(Table1[[#This Row],[Is Data Valid]]=TRUE,((Table1[[#This Row],[Birthweight (grams)]]/Table1[[#This Row],[BW_GA]])-1)/(Backend!$B$4/100*Table1[[#This Row],[BW40_3705]]),"")</f>
        <v/>
      </c>
      <c r="H2609" s="7" t="str">
        <f>IF(Table1[[#This Row],[Is Data Valid]]=TRUE,((Table1[[#This Row],[Birthweight (grams)]]*0.9/Table1[[#This Row],[BW_GA]])-1)/(Backend!$B$4/100*Table1[[#This Row],[BW40_3705]]),"")</f>
        <v/>
      </c>
      <c r="I2609" s="7" t="str">
        <f>IF(Table1[[#This Row],[Is Data Valid]]=TRUE,((Table1[[#This Row],[Birthweight (grams)]]*1.1/Table1[[#This Row],[BW_GA]])-1)/(Backend!$B$4/100*Table1[[#This Row],[BW40_3705]]),"")</f>
        <v/>
      </c>
      <c r="J2609" s="7" t="str">
        <f>IF(Table1[[#This Row],[Is Data Valid]]=TRUE,_xlfn.NORM.S.DIST(Table1[[#This Row],[Birthweight Z-Score]],TRUE)*100,"")</f>
        <v/>
      </c>
      <c r="K2609" s="7" t="str">
        <f>IF(Table1[[#This Row],[Is Data Valid]]=TRUE,_xlfn.NORM.S.DIST(Table1[[#This Row],[Birthweight Z-Score (BW-10%)]],TRUE)*100,"")</f>
        <v/>
      </c>
      <c r="L2609" s="7" t="str">
        <f>IF(Table1[[#This Row],[Is Data Valid]]=TRUE,_xlfn.NORM.S.DIST(Table1[[#This Row],[Birthweight Z-Score (BW+10%)]],TRUE)*100,"")</f>
        <v/>
      </c>
    </row>
    <row r="2610" spans="1:12" x14ac:dyDescent="0.35">
      <c r="A2610" s="3"/>
      <c r="B2610" s="2"/>
      <c r="C2610" s="2"/>
      <c r="D2610" s="2" t="b">
        <f>IF(AND(NOT(ISBLANK(Table1[[#This Row],[Fetal Sex (Male, Female or Unknown)]])),ISNUMBER(Table1[[#This Row],[Birthweight (grams)]]),ISNUMBER(Table1[[#This Row],[Gestation (days)]])),TRUE,FALSE)</f>
        <v>0</v>
      </c>
      <c r="E2610" s="2" t="str">
        <f>IF(Table1[[#This Row],[Is Data Valid]]=TRUE,IF(Table1[[#This Row],[Fetal Sex (Male, Female or Unknown)]]="Male",Backend!$C$6,IF(Table1[[#This Row],[Fetal Sex (Male, Female or Unknown)]]="Female",Backend!$C$7,IF(Table1[[#This Row],[Fetal Sex (Male, Female or Unknown)]]="Unknown",Backend!$C$8,"Error"))),"")</f>
        <v/>
      </c>
      <c r="F2610" s="8" t="str">
        <f>IF(Table1[[#This Row],[Is Data Valid]]=TRUE,EXP(0.578+0.332*((Table1[[#This Row],[Gestation (days)]]+0.5)/7)-0.00354*((Table1[[#This Row],[Gestation (days)]]+0.5)/7)^2)*Table1[[#This Row],[BW40_3705]],"")</f>
        <v/>
      </c>
      <c r="G2610" s="2" t="str">
        <f>IF(Table1[[#This Row],[Is Data Valid]]=TRUE,((Table1[[#This Row],[Birthweight (grams)]]/Table1[[#This Row],[BW_GA]])-1)/(Backend!$B$4/100*Table1[[#This Row],[BW40_3705]]),"")</f>
        <v/>
      </c>
      <c r="H2610" s="7" t="str">
        <f>IF(Table1[[#This Row],[Is Data Valid]]=TRUE,((Table1[[#This Row],[Birthweight (grams)]]*0.9/Table1[[#This Row],[BW_GA]])-1)/(Backend!$B$4/100*Table1[[#This Row],[BW40_3705]]),"")</f>
        <v/>
      </c>
      <c r="I2610" s="7" t="str">
        <f>IF(Table1[[#This Row],[Is Data Valid]]=TRUE,((Table1[[#This Row],[Birthweight (grams)]]*1.1/Table1[[#This Row],[BW_GA]])-1)/(Backend!$B$4/100*Table1[[#This Row],[BW40_3705]]),"")</f>
        <v/>
      </c>
      <c r="J2610" s="7" t="str">
        <f>IF(Table1[[#This Row],[Is Data Valid]]=TRUE,_xlfn.NORM.S.DIST(Table1[[#This Row],[Birthweight Z-Score]],TRUE)*100,"")</f>
        <v/>
      </c>
      <c r="K2610" s="7" t="str">
        <f>IF(Table1[[#This Row],[Is Data Valid]]=TRUE,_xlfn.NORM.S.DIST(Table1[[#This Row],[Birthweight Z-Score (BW-10%)]],TRUE)*100,"")</f>
        <v/>
      </c>
      <c r="L2610" s="7" t="str">
        <f>IF(Table1[[#This Row],[Is Data Valid]]=TRUE,_xlfn.NORM.S.DIST(Table1[[#This Row],[Birthweight Z-Score (BW+10%)]],TRUE)*100,"")</f>
        <v/>
      </c>
    </row>
    <row r="2611" spans="1:12" x14ac:dyDescent="0.35">
      <c r="A2611" s="3"/>
      <c r="B2611" s="2"/>
      <c r="C2611" s="2"/>
      <c r="D2611" s="2" t="b">
        <f>IF(AND(NOT(ISBLANK(Table1[[#This Row],[Fetal Sex (Male, Female or Unknown)]])),ISNUMBER(Table1[[#This Row],[Birthweight (grams)]]),ISNUMBER(Table1[[#This Row],[Gestation (days)]])),TRUE,FALSE)</f>
        <v>0</v>
      </c>
      <c r="E2611" s="2" t="str">
        <f>IF(Table1[[#This Row],[Is Data Valid]]=TRUE,IF(Table1[[#This Row],[Fetal Sex (Male, Female or Unknown)]]="Male",Backend!$C$6,IF(Table1[[#This Row],[Fetal Sex (Male, Female or Unknown)]]="Female",Backend!$C$7,IF(Table1[[#This Row],[Fetal Sex (Male, Female or Unknown)]]="Unknown",Backend!$C$8,"Error"))),"")</f>
        <v/>
      </c>
      <c r="F2611" s="8" t="str">
        <f>IF(Table1[[#This Row],[Is Data Valid]]=TRUE,EXP(0.578+0.332*((Table1[[#This Row],[Gestation (days)]]+0.5)/7)-0.00354*((Table1[[#This Row],[Gestation (days)]]+0.5)/7)^2)*Table1[[#This Row],[BW40_3705]],"")</f>
        <v/>
      </c>
      <c r="G2611" s="2" t="str">
        <f>IF(Table1[[#This Row],[Is Data Valid]]=TRUE,((Table1[[#This Row],[Birthweight (grams)]]/Table1[[#This Row],[BW_GA]])-1)/(Backend!$B$4/100*Table1[[#This Row],[BW40_3705]]),"")</f>
        <v/>
      </c>
      <c r="H2611" s="7" t="str">
        <f>IF(Table1[[#This Row],[Is Data Valid]]=TRUE,((Table1[[#This Row],[Birthweight (grams)]]*0.9/Table1[[#This Row],[BW_GA]])-1)/(Backend!$B$4/100*Table1[[#This Row],[BW40_3705]]),"")</f>
        <v/>
      </c>
      <c r="I2611" s="7" t="str">
        <f>IF(Table1[[#This Row],[Is Data Valid]]=TRUE,((Table1[[#This Row],[Birthweight (grams)]]*1.1/Table1[[#This Row],[BW_GA]])-1)/(Backend!$B$4/100*Table1[[#This Row],[BW40_3705]]),"")</f>
        <v/>
      </c>
      <c r="J2611" s="7" t="str">
        <f>IF(Table1[[#This Row],[Is Data Valid]]=TRUE,_xlfn.NORM.S.DIST(Table1[[#This Row],[Birthweight Z-Score]],TRUE)*100,"")</f>
        <v/>
      </c>
      <c r="K2611" s="7" t="str">
        <f>IF(Table1[[#This Row],[Is Data Valid]]=TRUE,_xlfn.NORM.S.DIST(Table1[[#This Row],[Birthweight Z-Score (BW-10%)]],TRUE)*100,"")</f>
        <v/>
      </c>
      <c r="L2611" s="7" t="str">
        <f>IF(Table1[[#This Row],[Is Data Valid]]=TRUE,_xlfn.NORM.S.DIST(Table1[[#This Row],[Birthweight Z-Score (BW+10%)]],TRUE)*100,"")</f>
        <v/>
      </c>
    </row>
    <row r="2612" spans="1:12" x14ac:dyDescent="0.35">
      <c r="A2612" s="3"/>
      <c r="B2612" s="2"/>
      <c r="C2612" s="2"/>
      <c r="D2612" s="2" t="b">
        <f>IF(AND(NOT(ISBLANK(Table1[[#This Row],[Fetal Sex (Male, Female or Unknown)]])),ISNUMBER(Table1[[#This Row],[Birthweight (grams)]]),ISNUMBER(Table1[[#This Row],[Gestation (days)]])),TRUE,FALSE)</f>
        <v>0</v>
      </c>
      <c r="E2612" s="2" t="str">
        <f>IF(Table1[[#This Row],[Is Data Valid]]=TRUE,IF(Table1[[#This Row],[Fetal Sex (Male, Female or Unknown)]]="Male",Backend!$C$6,IF(Table1[[#This Row],[Fetal Sex (Male, Female or Unknown)]]="Female",Backend!$C$7,IF(Table1[[#This Row],[Fetal Sex (Male, Female or Unknown)]]="Unknown",Backend!$C$8,"Error"))),"")</f>
        <v/>
      </c>
      <c r="F2612" s="8" t="str">
        <f>IF(Table1[[#This Row],[Is Data Valid]]=TRUE,EXP(0.578+0.332*((Table1[[#This Row],[Gestation (days)]]+0.5)/7)-0.00354*((Table1[[#This Row],[Gestation (days)]]+0.5)/7)^2)*Table1[[#This Row],[BW40_3705]],"")</f>
        <v/>
      </c>
      <c r="G2612" s="2" t="str">
        <f>IF(Table1[[#This Row],[Is Data Valid]]=TRUE,((Table1[[#This Row],[Birthweight (grams)]]/Table1[[#This Row],[BW_GA]])-1)/(Backend!$B$4/100*Table1[[#This Row],[BW40_3705]]),"")</f>
        <v/>
      </c>
      <c r="H2612" s="7" t="str">
        <f>IF(Table1[[#This Row],[Is Data Valid]]=TRUE,((Table1[[#This Row],[Birthweight (grams)]]*0.9/Table1[[#This Row],[BW_GA]])-1)/(Backend!$B$4/100*Table1[[#This Row],[BW40_3705]]),"")</f>
        <v/>
      </c>
      <c r="I2612" s="7" t="str">
        <f>IF(Table1[[#This Row],[Is Data Valid]]=TRUE,((Table1[[#This Row],[Birthweight (grams)]]*1.1/Table1[[#This Row],[BW_GA]])-1)/(Backend!$B$4/100*Table1[[#This Row],[BW40_3705]]),"")</f>
        <v/>
      </c>
      <c r="J2612" s="7" t="str">
        <f>IF(Table1[[#This Row],[Is Data Valid]]=TRUE,_xlfn.NORM.S.DIST(Table1[[#This Row],[Birthweight Z-Score]],TRUE)*100,"")</f>
        <v/>
      </c>
      <c r="K2612" s="7" t="str">
        <f>IF(Table1[[#This Row],[Is Data Valid]]=TRUE,_xlfn.NORM.S.DIST(Table1[[#This Row],[Birthweight Z-Score (BW-10%)]],TRUE)*100,"")</f>
        <v/>
      </c>
      <c r="L2612" s="7" t="str">
        <f>IF(Table1[[#This Row],[Is Data Valid]]=TRUE,_xlfn.NORM.S.DIST(Table1[[#This Row],[Birthweight Z-Score (BW+10%)]],TRUE)*100,"")</f>
        <v/>
      </c>
    </row>
    <row r="2613" spans="1:12" x14ac:dyDescent="0.35">
      <c r="A2613" s="3"/>
      <c r="B2613" s="2"/>
      <c r="C2613" s="2"/>
      <c r="D2613" s="2" t="b">
        <f>IF(AND(NOT(ISBLANK(Table1[[#This Row],[Fetal Sex (Male, Female or Unknown)]])),ISNUMBER(Table1[[#This Row],[Birthweight (grams)]]),ISNUMBER(Table1[[#This Row],[Gestation (days)]])),TRUE,FALSE)</f>
        <v>0</v>
      </c>
      <c r="E2613" s="2" t="str">
        <f>IF(Table1[[#This Row],[Is Data Valid]]=TRUE,IF(Table1[[#This Row],[Fetal Sex (Male, Female or Unknown)]]="Male",Backend!$C$6,IF(Table1[[#This Row],[Fetal Sex (Male, Female or Unknown)]]="Female",Backend!$C$7,IF(Table1[[#This Row],[Fetal Sex (Male, Female or Unknown)]]="Unknown",Backend!$C$8,"Error"))),"")</f>
        <v/>
      </c>
      <c r="F2613" s="8" t="str">
        <f>IF(Table1[[#This Row],[Is Data Valid]]=TRUE,EXP(0.578+0.332*((Table1[[#This Row],[Gestation (days)]]+0.5)/7)-0.00354*((Table1[[#This Row],[Gestation (days)]]+0.5)/7)^2)*Table1[[#This Row],[BW40_3705]],"")</f>
        <v/>
      </c>
      <c r="G2613" s="2" t="str">
        <f>IF(Table1[[#This Row],[Is Data Valid]]=TRUE,((Table1[[#This Row],[Birthweight (grams)]]/Table1[[#This Row],[BW_GA]])-1)/(Backend!$B$4/100*Table1[[#This Row],[BW40_3705]]),"")</f>
        <v/>
      </c>
      <c r="H2613" s="7" t="str">
        <f>IF(Table1[[#This Row],[Is Data Valid]]=TRUE,((Table1[[#This Row],[Birthweight (grams)]]*0.9/Table1[[#This Row],[BW_GA]])-1)/(Backend!$B$4/100*Table1[[#This Row],[BW40_3705]]),"")</f>
        <v/>
      </c>
      <c r="I2613" s="7" t="str">
        <f>IF(Table1[[#This Row],[Is Data Valid]]=TRUE,((Table1[[#This Row],[Birthweight (grams)]]*1.1/Table1[[#This Row],[BW_GA]])-1)/(Backend!$B$4/100*Table1[[#This Row],[BW40_3705]]),"")</f>
        <v/>
      </c>
      <c r="J2613" s="7" t="str">
        <f>IF(Table1[[#This Row],[Is Data Valid]]=TRUE,_xlfn.NORM.S.DIST(Table1[[#This Row],[Birthweight Z-Score]],TRUE)*100,"")</f>
        <v/>
      </c>
      <c r="K2613" s="7" t="str">
        <f>IF(Table1[[#This Row],[Is Data Valid]]=TRUE,_xlfn.NORM.S.DIST(Table1[[#This Row],[Birthweight Z-Score (BW-10%)]],TRUE)*100,"")</f>
        <v/>
      </c>
      <c r="L2613" s="7" t="str">
        <f>IF(Table1[[#This Row],[Is Data Valid]]=TRUE,_xlfn.NORM.S.DIST(Table1[[#This Row],[Birthweight Z-Score (BW+10%)]],TRUE)*100,"")</f>
        <v/>
      </c>
    </row>
    <row r="2614" spans="1:12" x14ac:dyDescent="0.35">
      <c r="A2614" s="3"/>
      <c r="B2614" s="2"/>
      <c r="C2614" s="2"/>
      <c r="D2614" s="2" t="b">
        <f>IF(AND(NOT(ISBLANK(Table1[[#This Row],[Fetal Sex (Male, Female or Unknown)]])),ISNUMBER(Table1[[#This Row],[Birthweight (grams)]]),ISNUMBER(Table1[[#This Row],[Gestation (days)]])),TRUE,FALSE)</f>
        <v>0</v>
      </c>
      <c r="E2614" s="2" t="str">
        <f>IF(Table1[[#This Row],[Is Data Valid]]=TRUE,IF(Table1[[#This Row],[Fetal Sex (Male, Female or Unknown)]]="Male",Backend!$C$6,IF(Table1[[#This Row],[Fetal Sex (Male, Female or Unknown)]]="Female",Backend!$C$7,IF(Table1[[#This Row],[Fetal Sex (Male, Female or Unknown)]]="Unknown",Backend!$C$8,"Error"))),"")</f>
        <v/>
      </c>
      <c r="F2614" s="8" t="str">
        <f>IF(Table1[[#This Row],[Is Data Valid]]=TRUE,EXP(0.578+0.332*((Table1[[#This Row],[Gestation (days)]]+0.5)/7)-0.00354*((Table1[[#This Row],[Gestation (days)]]+0.5)/7)^2)*Table1[[#This Row],[BW40_3705]],"")</f>
        <v/>
      </c>
      <c r="G2614" s="2" t="str">
        <f>IF(Table1[[#This Row],[Is Data Valid]]=TRUE,((Table1[[#This Row],[Birthweight (grams)]]/Table1[[#This Row],[BW_GA]])-1)/(Backend!$B$4/100*Table1[[#This Row],[BW40_3705]]),"")</f>
        <v/>
      </c>
      <c r="H2614" s="7" t="str">
        <f>IF(Table1[[#This Row],[Is Data Valid]]=TRUE,((Table1[[#This Row],[Birthweight (grams)]]*0.9/Table1[[#This Row],[BW_GA]])-1)/(Backend!$B$4/100*Table1[[#This Row],[BW40_3705]]),"")</f>
        <v/>
      </c>
      <c r="I2614" s="7" t="str">
        <f>IF(Table1[[#This Row],[Is Data Valid]]=TRUE,((Table1[[#This Row],[Birthweight (grams)]]*1.1/Table1[[#This Row],[BW_GA]])-1)/(Backend!$B$4/100*Table1[[#This Row],[BW40_3705]]),"")</f>
        <v/>
      </c>
      <c r="J2614" s="7" t="str">
        <f>IF(Table1[[#This Row],[Is Data Valid]]=TRUE,_xlfn.NORM.S.DIST(Table1[[#This Row],[Birthweight Z-Score]],TRUE)*100,"")</f>
        <v/>
      </c>
      <c r="K2614" s="7" t="str">
        <f>IF(Table1[[#This Row],[Is Data Valid]]=TRUE,_xlfn.NORM.S.DIST(Table1[[#This Row],[Birthweight Z-Score (BW-10%)]],TRUE)*100,"")</f>
        <v/>
      </c>
      <c r="L2614" s="7" t="str">
        <f>IF(Table1[[#This Row],[Is Data Valid]]=TRUE,_xlfn.NORM.S.DIST(Table1[[#This Row],[Birthweight Z-Score (BW+10%)]],TRUE)*100,"")</f>
        <v/>
      </c>
    </row>
    <row r="2615" spans="1:12" x14ac:dyDescent="0.35">
      <c r="A2615" s="3"/>
      <c r="B2615" s="2"/>
      <c r="C2615" s="2"/>
      <c r="D2615" s="2" t="b">
        <f>IF(AND(NOT(ISBLANK(Table1[[#This Row],[Fetal Sex (Male, Female or Unknown)]])),ISNUMBER(Table1[[#This Row],[Birthweight (grams)]]),ISNUMBER(Table1[[#This Row],[Gestation (days)]])),TRUE,FALSE)</f>
        <v>0</v>
      </c>
      <c r="E2615" s="2" t="str">
        <f>IF(Table1[[#This Row],[Is Data Valid]]=TRUE,IF(Table1[[#This Row],[Fetal Sex (Male, Female or Unknown)]]="Male",Backend!$C$6,IF(Table1[[#This Row],[Fetal Sex (Male, Female or Unknown)]]="Female",Backend!$C$7,IF(Table1[[#This Row],[Fetal Sex (Male, Female or Unknown)]]="Unknown",Backend!$C$8,"Error"))),"")</f>
        <v/>
      </c>
      <c r="F2615" s="8" t="str">
        <f>IF(Table1[[#This Row],[Is Data Valid]]=TRUE,EXP(0.578+0.332*((Table1[[#This Row],[Gestation (days)]]+0.5)/7)-0.00354*((Table1[[#This Row],[Gestation (days)]]+0.5)/7)^2)*Table1[[#This Row],[BW40_3705]],"")</f>
        <v/>
      </c>
      <c r="G2615" s="2" t="str">
        <f>IF(Table1[[#This Row],[Is Data Valid]]=TRUE,((Table1[[#This Row],[Birthweight (grams)]]/Table1[[#This Row],[BW_GA]])-1)/(Backend!$B$4/100*Table1[[#This Row],[BW40_3705]]),"")</f>
        <v/>
      </c>
      <c r="H2615" s="7" t="str">
        <f>IF(Table1[[#This Row],[Is Data Valid]]=TRUE,((Table1[[#This Row],[Birthweight (grams)]]*0.9/Table1[[#This Row],[BW_GA]])-1)/(Backend!$B$4/100*Table1[[#This Row],[BW40_3705]]),"")</f>
        <v/>
      </c>
      <c r="I2615" s="7" t="str">
        <f>IF(Table1[[#This Row],[Is Data Valid]]=TRUE,((Table1[[#This Row],[Birthweight (grams)]]*1.1/Table1[[#This Row],[BW_GA]])-1)/(Backend!$B$4/100*Table1[[#This Row],[BW40_3705]]),"")</f>
        <v/>
      </c>
      <c r="J2615" s="7" t="str">
        <f>IF(Table1[[#This Row],[Is Data Valid]]=TRUE,_xlfn.NORM.S.DIST(Table1[[#This Row],[Birthweight Z-Score]],TRUE)*100,"")</f>
        <v/>
      </c>
      <c r="K2615" s="7" t="str">
        <f>IF(Table1[[#This Row],[Is Data Valid]]=TRUE,_xlfn.NORM.S.DIST(Table1[[#This Row],[Birthweight Z-Score (BW-10%)]],TRUE)*100,"")</f>
        <v/>
      </c>
      <c r="L2615" s="7" t="str">
        <f>IF(Table1[[#This Row],[Is Data Valid]]=TRUE,_xlfn.NORM.S.DIST(Table1[[#This Row],[Birthweight Z-Score (BW+10%)]],TRUE)*100,"")</f>
        <v/>
      </c>
    </row>
    <row r="2616" spans="1:12" x14ac:dyDescent="0.35">
      <c r="A2616" s="3"/>
      <c r="B2616" s="2"/>
      <c r="C2616" s="2"/>
      <c r="D2616" s="2" t="b">
        <f>IF(AND(NOT(ISBLANK(Table1[[#This Row],[Fetal Sex (Male, Female or Unknown)]])),ISNUMBER(Table1[[#This Row],[Birthweight (grams)]]),ISNUMBER(Table1[[#This Row],[Gestation (days)]])),TRUE,FALSE)</f>
        <v>0</v>
      </c>
      <c r="E2616" s="2" t="str">
        <f>IF(Table1[[#This Row],[Is Data Valid]]=TRUE,IF(Table1[[#This Row],[Fetal Sex (Male, Female or Unknown)]]="Male",Backend!$C$6,IF(Table1[[#This Row],[Fetal Sex (Male, Female or Unknown)]]="Female",Backend!$C$7,IF(Table1[[#This Row],[Fetal Sex (Male, Female or Unknown)]]="Unknown",Backend!$C$8,"Error"))),"")</f>
        <v/>
      </c>
      <c r="F2616" s="8" t="str">
        <f>IF(Table1[[#This Row],[Is Data Valid]]=TRUE,EXP(0.578+0.332*((Table1[[#This Row],[Gestation (days)]]+0.5)/7)-0.00354*((Table1[[#This Row],[Gestation (days)]]+0.5)/7)^2)*Table1[[#This Row],[BW40_3705]],"")</f>
        <v/>
      </c>
      <c r="G2616" s="2" t="str">
        <f>IF(Table1[[#This Row],[Is Data Valid]]=TRUE,((Table1[[#This Row],[Birthweight (grams)]]/Table1[[#This Row],[BW_GA]])-1)/(Backend!$B$4/100*Table1[[#This Row],[BW40_3705]]),"")</f>
        <v/>
      </c>
      <c r="H2616" s="7" t="str">
        <f>IF(Table1[[#This Row],[Is Data Valid]]=TRUE,((Table1[[#This Row],[Birthweight (grams)]]*0.9/Table1[[#This Row],[BW_GA]])-1)/(Backend!$B$4/100*Table1[[#This Row],[BW40_3705]]),"")</f>
        <v/>
      </c>
      <c r="I2616" s="7" t="str">
        <f>IF(Table1[[#This Row],[Is Data Valid]]=TRUE,((Table1[[#This Row],[Birthweight (grams)]]*1.1/Table1[[#This Row],[BW_GA]])-1)/(Backend!$B$4/100*Table1[[#This Row],[BW40_3705]]),"")</f>
        <v/>
      </c>
      <c r="J2616" s="7" t="str">
        <f>IF(Table1[[#This Row],[Is Data Valid]]=TRUE,_xlfn.NORM.S.DIST(Table1[[#This Row],[Birthweight Z-Score]],TRUE)*100,"")</f>
        <v/>
      </c>
      <c r="K2616" s="7" t="str">
        <f>IF(Table1[[#This Row],[Is Data Valid]]=TRUE,_xlfn.NORM.S.DIST(Table1[[#This Row],[Birthweight Z-Score (BW-10%)]],TRUE)*100,"")</f>
        <v/>
      </c>
      <c r="L2616" s="7" t="str">
        <f>IF(Table1[[#This Row],[Is Data Valid]]=TRUE,_xlfn.NORM.S.DIST(Table1[[#This Row],[Birthweight Z-Score (BW+10%)]],TRUE)*100,"")</f>
        <v/>
      </c>
    </row>
    <row r="2617" spans="1:12" x14ac:dyDescent="0.35">
      <c r="A2617" s="3"/>
      <c r="B2617" s="2"/>
      <c r="C2617" s="2"/>
      <c r="D2617" s="2" t="b">
        <f>IF(AND(NOT(ISBLANK(Table1[[#This Row],[Fetal Sex (Male, Female or Unknown)]])),ISNUMBER(Table1[[#This Row],[Birthweight (grams)]]),ISNUMBER(Table1[[#This Row],[Gestation (days)]])),TRUE,FALSE)</f>
        <v>0</v>
      </c>
      <c r="E2617" s="2" t="str">
        <f>IF(Table1[[#This Row],[Is Data Valid]]=TRUE,IF(Table1[[#This Row],[Fetal Sex (Male, Female or Unknown)]]="Male",Backend!$C$6,IF(Table1[[#This Row],[Fetal Sex (Male, Female or Unknown)]]="Female",Backend!$C$7,IF(Table1[[#This Row],[Fetal Sex (Male, Female or Unknown)]]="Unknown",Backend!$C$8,"Error"))),"")</f>
        <v/>
      </c>
      <c r="F2617" s="8" t="str">
        <f>IF(Table1[[#This Row],[Is Data Valid]]=TRUE,EXP(0.578+0.332*((Table1[[#This Row],[Gestation (days)]]+0.5)/7)-0.00354*((Table1[[#This Row],[Gestation (days)]]+0.5)/7)^2)*Table1[[#This Row],[BW40_3705]],"")</f>
        <v/>
      </c>
      <c r="G2617" s="2" t="str">
        <f>IF(Table1[[#This Row],[Is Data Valid]]=TRUE,((Table1[[#This Row],[Birthweight (grams)]]/Table1[[#This Row],[BW_GA]])-1)/(Backend!$B$4/100*Table1[[#This Row],[BW40_3705]]),"")</f>
        <v/>
      </c>
      <c r="H2617" s="7" t="str">
        <f>IF(Table1[[#This Row],[Is Data Valid]]=TRUE,((Table1[[#This Row],[Birthweight (grams)]]*0.9/Table1[[#This Row],[BW_GA]])-1)/(Backend!$B$4/100*Table1[[#This Row],[BW40_3705]]),"")</f>
        <v/>
      </c>
      <c r="I2617" s="7" t="str">
        <f>IF(Table1[[#This Row],[Is Data Valid]]=TRUE,((Table1[[#This Row],[Birthweight (grams)]]*1.1/Table1[[#This Row],[BW_GA]])-1)/(Backend!$B$4/100*Table1[[#This Row],[BW40_3705]]),"")</f>
        <v/>
      </c>
      <c r="J2617" s="7" t="str">
        <f>IF(Table1[[#This Row],[Is Data Valid]]=TRUE,_xlfn.NORM.S.DIST(Table1[[#This Row],[Birthweight Z-Score]],TRUE)*100,"")</f>
        <v/>
      </c>
      <c r="K2617" s="7" t="str">
        <f>IF(Table1[[#This Row],[Is Data Valid]]=TRUE,_xlfn.NORM.S.DIST(Table1[[#This Row],[Birthweight Z-Score (BW-10%)]],TRUE)*100,"")</f>
        <v/>
      </c>
      <c r="L2617" s="7" t="str">
        <f>IF(Table1[[#This Row],[Is Data Valid]]=TRUE,_xlfn.NORM.S.DIST(Table1[[#This Row],[Birthweight Z-Score (BW+10%)]],TRUE)*100,"")</f>
        <v/>
      </c>
    </row>
    <row r="2618" spans="1:12" x14ac:dyDescent="0.35">
      <c r="A2618" s="3"/>
      <c r="B2618" s="2"/>
      <c r="C2618" s="2"/>
      <c r="D2618" s="2" t="b">
        <f>IF(AND(NOT(ISBLANK(Table1[[#This Row],[Fetal Sex (Male, Female or Unknown)]])),ISNUMBER(Table1[[#This Row],[Birthweight (grams)]]),ISNUMBER(Table1[[#This Row],[Gestation (days)]])),TRUE,FALSE)</f>
        <v>0</v>
      </c>
      <c r="E2618" s="2" t="str">
        <f>IF(Table1[[#This Row],[Is Data Valid]]=TRUE,IF(Table1[[#This Row],[Fetal Sex (Male, Female or Unknown)]]="Male",Backend!$C$6,IF(Table1[[#This Row],[Fetal Sex (Male, Female or Unknown)]]="Female",Backend!$C$7,IF(Table1[[#This Row],[Fetal Sex (Male, Female or Unknown)]]="Unknown",Backend!$C$8,"Error"))),"")</f>
        <v/>
      </c>
      <c r="F2618" s="8" t="str">
        <f>IF(Table1[[#This Row],[Is Data Valid]]=TRUE,EXP(0.578+0.332*((Table1[[#This Row],[Gestation (days)]]+0.5)/7)-0.00354*((Table1[[#This Row],[Gestation (days)]]+0.5)/7)^2)*Table1[[#This Row],[BW40_3705]],"")</f>
        <v/>
      </c>
      <c r="G2618" s="2" t="str">
        <f>IF(Table1[[#This Row],[Is Data Valid]]=TRUE,((Table1[[#This Row],[Birthweight (grams)]]/Table1[[#This Row],[BW_GA]])-1)/(Backend!$B$4/100*Table1[[#This Row],[BW40_3705]]),"")</f>
        <v/>
      </c>
      <c r="H2618" s="7" t="str">
        <f>IF(Table1[[#This Row],[Is Data Valid]]=TRUE,((Table1[[#This Row],[Birthweight (grams)]]*0.9/Table1[[#This Row],[BW_GA]])-1)/(Backend!$B$4/100*Table1[[#This Row],[BW40_3705]]),"")</f>
        <v/>
      </c>
      <c r="I2618" s="7" t="str">
        <f>IF(Table1[[#This Row],[Is Data Valid]]=TRUE,((Table1[[#This Row],[Birthweight (grams)]]*1.1/Table1[[#This Row],[BW_GA]])-1)/(Backend!$B$4/100*Table1[[#This Row],[BW40_3705]]),"")</f>
        <v/>
      </c>
      <c r="J2618" s="7" t="str">
        <f>IF(Table1[[#This Row],[Is Data Valid]]=TRUE,_xlfn.NORM.S.DIST(Table1[[#This Row],[Birthweight Z-Score]],TRUE)*100,"")</f>
        <v/>
      </c>
      <c r="K2618" s="7" t="str">
        <f>IF(Table1[[#This Row],[Is Data Valid]]=TRUE,_xlfn.NORM.S.DIST(Table1[[#This Row],[Birthweight Z-Score (BW-10%)]],TRUE)*100,"")</f>
        <v/>
      </c>
      <c r="L2618" s="7" t="str">
        <f>IF(Table1[[#This Row],[Is Data Valid]]=TRUE,_xlfn.NORM.S.DIST(Table1[[#This Row],[Birthweight Z-Score (BW+10%)]],TRUE)*100,"")</f>
        <v/>
      </c>
    </row>
    <row r="2619" spans="1:12" x14ac:dyDescent="0.35">
      <c r="A2619" s="3"/>
      <c r="B2619" s="2"/>
      <c r="C2619" s="2"/>
      <c r="D2619" s="2" t="b">
        <f>IF(AND(NOT(ISBLANK(Table1[[#This Row],[Fetal Sex (Male, Female or Unknown)]])),ISNUMBER(Table1[[#This Row],[Birthweight (grams)]]),ISNUMBER(Table1[[#This Row],[Gestation (days)]])),TRUE,FALSE)</f>
        <v>0</v>
      </c>
      <c r="E2619" s="2" t="str">
        <f>IF(Table1[[#This Row],[Is Data Valid]]=TRUE,IF(Table1[[#This Row],[Fetal Sex (Male, Female or Unknown)]]="Male",Backend!$C$6,IF(Table1[[#This Row],[Fetal Sex (Male, Female or Unknown)]]="Female",Backend!$C$7,IF(Table1[[#This Row],[Fetal Sex (Male, Female or Unknown)]]="Unknown",Backend!$C$8,"Error"))),"")</f>
        <v/>
      </c>
      <c r="F2619" s="8" t="str">
        <f>IF(Table1[[#This Row],[Is Data Valid]]=TRUE,EXP(0.578+0.332*((Table1[[#This Row],[Gestation (days)]]+0.5)/7)-0.00354*((Table1[[#This Row],[Gestation (days)]]+0.5)/7)^2)*Table1[[#This Row],[BW40_3705]],"")</f>
        <v/>
      </c>
      <c r="G2619" s="2" t="str">
        <f>IF(Table1[[#This Row],[Is Data Valid]]=TRUE,((Table1[[#This Row],[Birthweight (grams)]]/Table1[[#This Row],[BW_GA]])-1)/(Backend!$B$4/100*Table1[[#This Row],[BW40_3705]]),"")</f>
        <v/>
      </c>
      <c r="H2619" s="7" t="str">
        <f>IF(Table1[[#This Row],[Is Data Valid]]=TRUE,((Table1[[#This Row],[Birthweight (grams)]]*0.9/Table1[[#This Row],[BW_GA]])-1)/(Backend!$B$4/100*Table1[[#This Row],[BW40_3705]]),"")</f>
        <v/>
      </c>
      <c r="I2619" s="7" t="str">
        <f>IF(Table1[[#This Row],[Is Data Valid]]=TRUE,((Table1[[#This Row],[Birthweight (grams)]]*1.1/Table1[[#This Row],[BW_GA]])-1)/(Backend!$B$4/100*Table1[[#This Row],[BW40_3705]]),"")</f>
        <v/>
      </c>
      <c r="J2619" s="7" t="str">
        <f>IF(Table1[[#This Row],[Is Data Valid]]=TRUE,_xlfn.NORM.S.DIST(Table1[[#This Row],[Birthweight Z-Score]],TRUE)*100,"")</f>
        <v/>
      </c>
      <c r="K2619" s="7" t="str">
        <f>IF(Table1[[#This Row],[Is Data Valid]]=TRUE,_xlfn.NORM.S.DIST(Table1[[#This Row],[Birthweight Z-Score (BW-10%)]],TRUE)*100,"")</f>
        <v/>
      </c>
      <c r="L2619" s="7" t="str">
        <f>IF(Table1[[#This Row],[Is Data Valid]]=TRUE,_xlfn.NORM.S.DIST(Table1[[#This Row],[Birthweight Z-Score (BW+10%)]],TRUE)*100,"")</f>
        <v/>
      </c>
    </row>
    <row r="2620" spans="1:12" x14ac:dyDescent="0.35">
      <c r="A2620" s="3"/>
      <c r="B2620" s="2"/>
      <c r="C2620" s="2"/>
      <c r="D2620" s="2" t="b">
        <f>IF(AND(NOT(ISBLANK(Table1[[#This Row],[Fetal Sex (Male, Female or Unknown)]])),ISNUMBER(Table1[[#This Row],[Birthweight (grams)]]),ISNUMBER(Table1[[#This Row],[Gestation (days)]])),TRUE,FALSE)</f>
        <v>0</v>
      </c>
      <c r="E2620" s="2" t="str">
        <f>IF(Table1[[#This Row],[Is Data Valid]]=TRUE,IF(Table1[[#This Row],[Fetal Sex (Male, Female or Unknown)]]="Male",Backend!$C$6,IF(Table1[[#This Row],[Fetal Sex (Male, Female or Unknown)]]="Female",Backend!$C$7,IF(Table1[[#This Row],[Fetal Sex (Male, Female or Unknown)]]="Unknown",Backend!$C$8,"Error"))),"")</f>
        <v/>
      </c>
      <c r="F2620" s="8" t="str">
        <f>IF(Table1[[#This Row],[Is Data Valid]]=TRUE,EXP(0.578+0.332*((Table1[[#This Row],[Gestation (days)]]+0.5)/7)-0.00354*((Table1[[#This Row],[Gestation (days)]]+0.5)/7)^2)*Table1[[#This Row],[BW40_3705]],"")</f>
        <v/>
      </c>
      <c r="G2620" s="2" t="str">
        <f>IF(Table1[[#This Row],[Is Data Valid]]=TRUE,((Table1[[#This Row],[Birthweight (grams)]]/Table1[[#This Row],[BW_GA]])-1)/(Backend!$B$4/100*Table1[[#This Row],[BW40_3705]]),"")</f>
        <v/>
      </c>
      <c r="H2620" s="7" t="str">
        <f>IF(Table1[[#This Row],[Is Data Valid]]=TRUE,((Table1[[#This Row],[Birthweight (grams)]]*0.9/Table1[[#This Row],[BW_GA]])-1)/(Backend!$B$4/100*Table1[[#This Row],[BW40_3705]]),"")</f>
        <v/>
      </c>
      <c r="I2620" s="7" t="str">
        <f>IF(Table1[[#This Row],[Is Data Valid]]=TRUE,((Table1[[#This Row],[Birthweight (grams)]]*1.1/Table1[[#This Row],[BW_GA]])-1)/(Backend!$B$4/100*Table1[[#This Row],[BW40_3705]]),"")</f>
        <v/>
      </c>
      <c r="J2620" s="7" t="str">
        <f>IF(Table1[[#This Row],[Is Data Valid]]=TRUE,_xlfn.NORM.S.DIST(Table1[[#This Row],[Birthweight Z-Score]],TRUE)*100,"")</f>
        <v/>
      </c>
      <c r="K2620" s="7" t="str">
        <f>IF(Table1[[#This Row],[Is Data Valid]]=TRUE,_xlfn.NORM.S.DIST(Table1[[#This Row],[Birthweight Z-Score (BW-10%)]],TRUE)*100,"")</f>
        <v/>
      </c>
      <c r="L2620" s="7" t="str">
        <f>IF(Table1[[#This Row],[Is Data Valid]]=TRUE,_xlfn.NORM.S.DIST(Table1[[#This Row],[Birthweight Z-Score (BW+10%)]],TRUE)*100,"")</f>
        <v/>
      </c>
    </row>
    <row r="2621" spans="1:12" x14ac:dyDescent="0.35">
      <c r="A2621" s="3"/>
      <c r="B2621" s="2"/>
      <c r="C2621" s="2"/>
      <c r="D2621" s="2" t="b">
        <f>IF(AND(NOT(ISBLANK(Table1[[#This Row],[Fetal Sex (Male, Female or Unknown)]])),ISNUMBER(Table1[[#This Row],[Birthweight (grams)]]),ISNUMBER(Table1[[#This Row],[Gestation (days)]])),TRUE,FALSE)</f>
        <v>0</v>
      </c>
      <c r="E2621" s="2" t="str">
        <f>IF(Table1[[#This Row],[Is Data Valid]]=TRUE,IF(Table1[[#This Row],[Fetal Sex (Male, Female or Unknown)]]="Male",Backend!$C$6,IF(Table1[[#This Row],[Fetal Sex (Male, Female or Unknown)]]="Female",Backend!$C$7,IF(Table1[[#This Row],[Fetal Sex (Male, Female or Unknown)]]="Unknown",Backend!$C$8,"Error"))),"")</f>
        <v/>
      </c>
      <c r="F2621" s="8" t="str">
        <f>IF(Table1[[#This Row],[Is Data Valid]]=TRUE,EXP(0.578+0.332*((Table1[[#This Row],[Gestation (days)]]+0.5)/7)-0.00354*((Table1[[#This Row],[Gestation (days)]]+0.5)/7)^2)*Table1[[#This Row],[BW40_3705]],"")</f>
        <v/>
      </c>
      <c r="G2621" s="2" t="str">
        <f>IF(Table1[[#This Row],[Is Data Valid]]=TRUE,((Table1[[#This Row],[Birthweight (grams)]]/Table1[[#This Row],[BW_GA]])-1)/(Backend!$B$4/100*Table1[[#This Row],[BW40_3705]]),"")</f>
        <v/>
      </c>
      <c r="H2621" s="7" t="str">
        <f>IF(Table1[[#This Row],[Is Data Valid]]=TRUE,((Table1[[#This Row],[Birthweight (grams)]]*0.9/Table1[[#This Row],[BW_GA]])-1)/(Backend!$B$4/100*Table1[[#This Row],[BW40_3705]]),"")</f>
        <v/>
      </c>
      <c r="I2621" s="7" t="str">
        <f>IF(Table1[[#This Row],[Is Data Valid]]=TRUE,((Table1[[#This Row],[Birthweight (grams)]]*1.1/Table1[[#This Row],[BW_GA]])-1)/(Backend!$B$4/100*Table1[[#This Row],[BW40_3705]]),"")</f>
        <v/>
      </c>
      <c r="J2621" s="7" t="str">
        <f>IF(Table1[[#This Row],[Is Data Valid]]=TRUE,_xlfn.NORM.S.DIST(Table1[[#This Row],[Birthweight Z-Score]],TRUE)*100,"")</f>
        <v/>
      </c>
      <c r="K2621" s="7" t="str">
        <f>IF(Table1[[#This Row],[Is Data Valid]]=TRUE,_xlfn.NORM.S.DIST(Table1[[#This Row],[Birthweight Z-Score (BW-10%)]],TRUE)*100,"")</f>
        <v/>
      </c>
      <c r="L2621" s="7" t="str">
        <f>IF(Table1[[#This Row],[Is Data Valid]]=TRUE,_xlfn.NORM.S.DIST(Table1[[#This Row],[Birthweight Z-Score (BW+10%)]],TRUE)*100,"")</f>
        <v/>
      </c>
    </row>
    <row r="2622" spans="1:12" x14ac:dyDescent="0.35">
      <c r="A2622" s="3"/>
      <c r="B2622" s="2"/>
      <c r="C2622" s="2"/>
      <c r="D2622" s="2" t="b">
        <f>IF(AND(NOT(ISBLANK(Table1[[#This Row],[Fetal Sex (Male, Female or Unknown)]])),ISNUMBER(Table1[[#This Row],[Birthweight (grams)]]),ISNUMBER(Table1[[#This Row],[Gestation (days)]])),TRUE,FALSE)</f>
        <v>0</v>
      </c>
      <c r="E2622" s="2" t="str">
        <f>IF(Table1[[#This Row],[Is Data Valid]]=TRUE,IF(Table1[[#This Row],[Fetal Sex (Male, Female or Unknown)]]="Male",Backend!$C$6,IF(Table1[[#This Row],[Fetal Sex (Male, Female or Unknown)]]="Female",Backend!$C$7,IF(Table1[[#This Row],[Fetal Sex (Male, Female or Unknown)]]="Unknown",Backend!$C$8,"Error"))),"")</f>
        <v/>
      </c>
      <c r="F2622" s="8" t="str">
        <f>IF(Table1[[#This Row],[Is Data Valid]]=TRUE,EXP(0.578+0.332*((Table1[[#This Row],[Gestation (days)]]+0.5)/7)-0.00354*((Table1[[#This Row],[Gestation (days)]]+0.5)/7)^2)*Table1[[#This Row],[BW40_3705]],"")</f>
        <v/>
      </c>
      <c r="G2622" s="2" t="str">
        <f>IF(Table1[[#This Row],[Is Data Valid]]=TRUE,((Table1[[#This Row],[Birthweight (grams)]]/Table1[[#This Row],[BW_GA]])-1)/(Backend!$B$4/100*Table1[[#This Row],[BW40_3705]]),"")</f>
        <v/>
      </c>
      <c r="H2622" s="7" t="str">
        <f>IF(Table1[[#This Row],[Is Data Valid]]=TRUE,((Table1[[#This Row],[Birthweight (grams)]]*0.9/Table1[[#This Row],[BW_GA]])-1)/(Backend!$B$4/100*Table1[[#This Row],[BW40_3705]]),"")</f>
        <v/>
      </c>
      <c r="I2622" s="7" t="str">
        <f>IF(Table1[[#This Row],[Is Data Valid]]=TRUE,((Table1[[#This Row],[Birthweight (grams)]]*1.1/Table1[[#This Row],[BW_GA]])-1)/(Backend!$B$4/100*Table1[[#This Row],[BW40_3705]]),"")</f>
        <v/>
      </c>
      <c r="J2622" s="7" t="str">
        <f>IF(Table1[[#This Row],[Is Data Valid]]=TRUE,_xlfn.NORM.S.DIST(Table1[[#This Row],[Birthweight Z-Score]],TRUE)*100,"")</f>
        <v/>
      </c>
      <c r="K2622" s="7" t="str">
        <f>IF(Table1[[#This Row],[Is Data Valid]]=TRUE,_xlfn.NORM.S.DIST(Table1[[#This Row],[Birthweight Z-Score (BW-10%)]],TRUE)*100,"")</f>
        <v/>
      </c>
      <c r="L2622" s="7" t="str">
        <f>IF(Table1[[#This Row],[Is Data Valid]]=TRUE,_xlfn.NORM.S.DIST(Table1[[#This Row],[Birthweight Z-Score (BW+10%)]],TRUE)*100,"")</f>
        <v/>
      </c>
    </row>
    <row r="2623" spans="1:12" x14ac:dyDescent="0.35">
      <c r="A2623" s="3"/>
      <c r="B2623" s="2"/>
      <c r="C2623" s="2"/>
      <c r="D2623" s="2" t="b">
        <f>IF(AND(NOT(ISBLANK(Table1[[#This Row],[Fetal Sex (Male, Female or Unknown)]])),ISNUMBER(Table1[[#This Row],[Birthweight (grams)]]),ISNUMBER(Table1[[#This Row],[Gestation (days)]])),TRUE,FALSE)</f>
        <v>0</v>
      </c>
      <c r="E2623" s="2" t="str">
        <f>IF(Table1[[#This Row],[Is Data Valid]]=TRUE,IF(Table1[[#This Row],[Fetal Sex (Male, Female or Unknown)]]="Male",Backend!$C$6,IF(Table1[[#This Row],[Fetal Sex (Male, Female or Unknown)]]="Female",Backend!$C$7,IF(Table1[[#This Row],[Fetal Sex (Male, Female or Unknown)]]="Unknown",Backend!$C$8,"Error"))),"")</f>
        <v/>
      </c>
      <c r="F2623" s="8" t="str">
        <f>IF(Table1[[#This Row],[Is Data Valid]]=TRUE,EXP(0.578+0.332*((Table1[[#This Row],[Gestation (days)]]+0.5)/7)-0.00354*((Table1[[#This Row],[Gestation (days)]]+0.5)/7)^2)*Table1[[#This Row],[BW40_3705]],"")</f>
        <v/>
      </c>
      <c r="G2623" s="2" t="str">
        <f>IF(Table1[[#This Row],[Is Data Valid]]=TRUE,((Table1[[#This Row],[Birthweight (grams)]]/Table1[[#This Row],[BW_GA]])-1)/(Backend!$B$4/100*Table1[[#This Row],[BW40_3705]]),"")</f>
        <v/>
      </c>
      <c r="H2623" s="7" t="str">
        <f>IF(Table1[[#This Row],[Is Data Valid]]=TRUE,((Table1[[#This Row],[Birthweight (grams)]]*0.9/Table1[[#This Row],[BW_GA]])-1)/(Backend!$B$4/100*Table1[[#This Row],[BW40_3705]]),"")</f>
        <v/>
      </c>
      <c r="I2623" s="7" t="str">
        <f>IF(Table1[[#This Row],[Is Data Valid]]=TRUE,((Table1[[#This Row],[Birthweight (grams)]]*1.1/Table1[[#This Row],[BW_GA]])-1)/(Backend!$B$4/100*Table1[[#This Row],[BW40_3705]]),"")</f>
        <v/>
      </c>
      <c r="J2623" s="7" t="str">
        <f>IF(Table1[[#This Row],[Is Data Valid]]=TRUE,_xlfn.NORM.S.DIST(Table1[[#This Row],[Birthweight Z-Score]],TRUE)*100,"")</f>
        <v/>
      </c>
      <c r="K2623" s="7" t="str">
        <f>IF(Table1[[#This Row],[Is Data Valid]]=TRUE,_xlfn.NORM.S.DIST(Table1[[#This Row],[Birthweight Z-Score (BW-10%)]],TRUE)*100,"")</f>
        <v/>
      </c>
      <c r="L2623" s="7" t="str">
        <f>IF(Table1[[#This Row],[Is Data Valid]]=TRUE,_xlfn.NORM.S.DIST(Table1[[#This Row],[Birthweight Z-Score (BW+10%)]],TRUE)*100,"")</f>
        <v/>
      </c>
    </row>
    <row r="2624" spans="1:12" x14ac:dyDescent="0.35">
      <c r="A2624" s="3"/>
      <c r="B2624" s="2"/>
      <c r="C2624" s="2"/>
      <c r="D2624" s="2" t="b">
        <f>IF(AND(NOT(ISBLANK(Table1[[#This Row],[Fetal Sex (Male, Female or Unknown)]])),ISNUMBER(Table1[[#This Row],[Birthweight (grams)]]),ISNUMBER(Table1[[#This Row],[Gestation (days)]])),TRUE,FALSE)</f>
        <v>0</v>
      </c>
      <c r="E2624" s="2" t="str">
        <f>IF(Table1[[#This Row],[Is Data Valid]]=TRUE,IF(Table1[[#This Row],[Fetal Sex (Male, Female or Unknown)]]="Male",Backend!$C$6,IF(Table1[[#This Row],[Fetal Sex (Male, Female or Unknown)]]="Female",Backend!$C$7,IF(Table1[[#This Row],[Fetal Sex (Male, Female or Unknown)]]="Unknown",Backend!$C$8,"Error"))),"")</f>
        <v/>
      </c>
      <c r="F2624" s="8" t="str">
        <f>IF(Table1[[#This Row],[Is Data Valid]]=TRUE,EXP(0.578+0.332*((Table1[[#This Row],[Gestation (days)]]+0.5)/7)-0.00354*((Table1[[#This Row],[Gestation (days)]]+0.5)/7)^2)*Table1[[#This Row],[BW40_3705]],"")</f>
        <v/>
      </c>
      <c r="G2624" s="2" t="str">
        <f>IF(Table1[[#This Row],[Is Data Valid]]=TRUE,((Table1[[#This Row],[Birthweight (grams)]]/Table1[[#This Row],[BW_GA]])-1)/(Backend!$B$4/100*Table1[[#This Row],[BW40_3705]]),"")</f>
        <v/>
      </c>
      <c r="H2624" s="7" t="str">
        <f>IF(Table1[[#This Row],[Is Data Valid]]=TRUE,((Table1[[#This Row],[Birthweight (grams)]]*0.9/Table1[[#This Row],[BW_GA]])-1)/(Backend!$B$4/100*Table1[[#This Row],[BW40_3705]]),"")</f>
        <v/>
      </c>
      <c r="I2624" s="7" t="str">
        <f>IF(Table1[[#This Row],[Is Data Valid]]=TRUE,((Table1[[#This Row],[Birthweight (grams)]]*1.1/Table1[[#This Row],[BW_GA]])-1)/(Backend!$B$4/100*Table1[[#This Row],[BW40_3705]]),"")</f>
        <v/>
      </c>
      <c r="J2624" s="7" t="str">
        <f>IF(Table1[[#This Row],[Is Data Valid]]=TRUE,_xlfn.NORM.S.DIST(Table1[[#This Row],[Birthweight Z-Score]],TRUE)*100,"")</f>
        <v/>
      </c>
      <c r="K2624" s="7" t="str">
        <f>IF(Table1[[#This Row],[Is Data Valid]]=TRUE,_xlfn.NORM.S.DIST(Table1[[#This Row],[Birthweight Z-Score (BW-10%)]],TRUE)*100,"")</f>
        <v/>
      </c>
      <c r="L2624" s="7" t="str">
        <f>IF(Table1[[#This Row],[Is Data Valid]]=TRUE,_xlfn.NORM.S.DIST(Table1[[#This Row],[Birthweight Z-Score (BW+10%)]],TRUE)*100,"")</f>
        <v/>
      </c>
    </row>
    <row r="2625" spans="1:12" x14ac:dyDescent="0.35">
      <c r="A2625" s="3"/>
      <c r="B2625" s="2"/>
      <c r="C2625" s="2"/>
      <c r="D2625" s="2" t="b">
        <f>IF(AND(NOT(ISBLANK(Table1[[#This Row],[Fetal Sex (Male, Female or Unknown)]])),ISNUMBER(Table1[[#This Row],[Birthweight (grams)]]),ISNUMBER(Table1[[#This Row],[Gestation (days)]])),TRUE,FALSE)</f>
        <v>0</v>
      </c>
      <c r="E2625" s="2" t="str">
        <f>IF(Table1[[#This Row],[Is Data Valid]]=TRUE,IF(Table1[[#This Row],[Fetal Sex (Male, Female or Unknown)]]="Male",Backend!$C$6,IF(Table1[[#This Row],[Fetal Sex (Male, Female or Unknown)]]="Female",Backend!$C$7,IF(Table1[[#This Row],[Fetal Sex (Male, Female or Unknown)]]="Unknown",Backend!$C$8,"Error"))),"")</f>
        <v/>
      </c>
      <c r="F2625" s="8" t="str">
        <f>IF(Table1[[#This Row],[Is Data Valid]]=TRUE,EXP(0.578+0.332*((Table1[[#This Row],[Gestation (days)]]+0.5)/7)-0.00354*((Table1[[#This Row],[Gestation (days)]]+0.5)/7)^2)*Table1[[#This Row],[BW40_3705]],"")</f>
        <v/>
      </c>
      <c r="G2625" s="2" t="str">
        <f>IF(Table1[[#This Row],[Is Data Valid]]=TRUE,((Table1[[#This Row],[Birthweight (grams)]]/Table1[[#This Row],[BW_GA]])-1)/(Backend!$B$4/100*Table1[[#This Row],[BW40_3705]]),"")</f>
        <v/>
      </c>
      <c r="H2625" s="7" t="str">
        <f>IF(Table1[[#This Row],[Is Data Valid]]=TRUE,((Table1[[#This Row],[Birthweight (grams)]]*0.9/Table1[[#This Row],[BW_GA]])-1)/(Backend!$B$4/100*Table1[[#This Row],[BW40_3705]]),"")</f>
        <v/>
      </c>
      <c r="I2625" s="7" t="str">
        <f>IF(Table1[[#This Row],[Is Data Valid]]=TRUE,((Table1[[#This Row],[Birthweight (grams)]]*1.1/Table1[[#This Row],[BW_GA]])-1)/(Backend!$B$4/100*Table1[[#This Row],[BW40_3705]]),"")</f>
        <v/>
      </c>
      <c r="J2625" s="7" t="str">
        <f>IF(Table1[[#This Row],[Is Data Valid]]=TRUE,_xlfn.NORM.S.DIST(Table1[[#This Row],[Birthweight Z-Score]],TRUE)*100,"")</f>
        <v/>
      </c>
      <c r="K2625" s="7" t="str">
        <f>IF(Table1[[#This Row],[Is Data Valid]]=TRUE,_xlfn.NORM.S.DIST(Table1[[#This Row],[Birthweight Z-Score (BW-10%)]],TRUE)*100,"")</f>
        <v/>
      </c>
      <c r="L2625" s="7" t="str">
        <f>IF(Table1[[#This Row],[Is Data Valid]]=TRUE,_xlfn.NORM.S.DIST(Table1[[#This Row],[Birthweight Z-Score (BW+10%)]],TRUE)*100,"")</f>
        <v/>
      </c>
    </row>
    <row r="2626" spans="1:12" x14ac:dyDescent="0.35">
      <c r="A2626" s="3"/>
      <c r="B2626" s="2"/>
      <c r="C2626" s="2"/>
      <c r="D2626" s="2" t="b">
        <f>IF(AND(NOT(ISBLANK(Table1[[#This Row],[Fetal Sex (Male, Female or Unknown)]])),ISNUMBER(Table1[[#This Row],[Birthweight (grams)]]),ISNUMBER(Table1[[#This Row],[Gestation (days)]])),TRUE,FALSE)</f>
        <v>0</v>
      </c>
      <c r="E2626" s="2" t="str">
        <f>IF(Table1[[#This Row],[Is Data Valid]]=TRUE,IF(Table1[[#This Row],[Fetal Sex (Male, Female or Unknown)]]="Male",Backend!$C$6,IF(Table1[[#This Row],[Fetal Sex (Male, Female or Unknown)]]="Female",Backend!$C$7,IF(Table1[[#This Row],[Fetal Sex (Male, Female or Unknown)]]="Unknown",Backend!$C$8,"Error"))),"")</f>
        <v/>
      </c>
      <c r="F2626" s="8" t="str">
        <f>IF(Table1[[#This Row],[Is Data Valid]]=TRUE,EXP(0.578+0.332*((Table1[[#This Row],[Gestation (days)]]+0.5)/7)-0.00354*((Table1[[#This Row],[Gestation (days)]]+0.5)/7)^2)*Table1[[#This Row],[BW40_3705]],"")</f>
        <v/>
      </c>
      <c r="G2626" s="2" t="str">
        <f>IF(Table1[[#This Row],[Is Data Valid]]=TRUE,((Table1[[#This Row],[Birthweight (grams)]]/Table1[[#This Row],[BW_GA]])-1)/(Backend!$B$4/100*Table1[[#This Row],[BW40_3705]]),"")</f>
        <v/>
      </c>
      <c r="H2626" s="7" t="str">
        <f>IF(Table1[[#This Row],[Is Data Valid]]=TRUE,((Table1[[#This Row],[Birthweight (grams)]]*0.9/Table1[[#This Row],[BW_GA]])-1)/(Backend!$B$4/100*Table1[[#This Row],[BW40_3705]]),"")</f>
        <v/>
      </c>
      <c r="I2626" s="7" t="str">
        <f>IF(Table1[[#This Row],[Is Data Valid]]=TRUE,((Table1[[#This Row],[Birthweight (grams)]]*1.1/Table1[[#This Row],[BW_GA]])-1)/(Backend!$B$4/100*Table1[[#This Row],[BW40_3705]]),"")</f>
        <v/>
      </c>
      <c r="J2626" s="7" t="str">
        <f>IF(Table1[[#This Row],[Is Data Valid]]=TRUE,_xlfn.NORM.S.DIST(Table1[[#This Row],[Birthweight Z-Score]],TRUE)*100,"")</f>
        <v/>
      </c>
      <c r="K2626" s="7" t="str">
        <f>IF(Table1[[#This Row],[Is Data Valid]]=TRUE,_xlfn.NORM.S.DIST(Table1[[#This Row],[Birthweight Z-Score (BW-10%)]],TRUE)*100,"")</f>
        <v/>
      </c>
      <c r="L2626" s="7" t="str">
        <f>IF(Table1[[#This Row],[Is Data Valid]]=TRUE,_xlfn.NORM.S.DIST(Table1[[#This Row],[Birthweight Z-Score (BW+10%)]],TRUE)*100,"")</f>
        <v/>
      </c>
    </row>
    <row r="2627" spans="1:12" x14ac:dyDescent="0.35">
      <c r="A2627" s="3"/>
      <c r="B2627" s="2"/>
      <c r="C2627" s="2"/>
      <c r="D2627" s="2" t="b">
        <f>IF(AND(NOT(ISBLANK(Table1[[#This Row],[Fetal Sex (Male, Female or Unknown)]])),ISNUMBER(Table1[[#This Row],[Birthweight (grams)]]),ISNUMBER(Table1[[#This Row],[Gestation (days)]])),TRUE,FALSE)</f>
        <v>0</v>
      </c>
      <c r="E2627" s="2" t="str">
        <f>IF(Table1[[#This Row],[Is Data Valid]]=TRUE,IF(Table1[[#This Row],[Fetal Sex (Male, Female or Unknown)]]="Male",Backend!$C$6,IF(Table1[[#This Row],[Fetal Sex (Male, Female or Unknown)]]="Female",Backend!$C$7,IF(Table1[[#This Row],[Fetal Sex (Male, Female or Unknown)]]="Unknown",Backend!$C$8,"Error"))),"")</f>
        <v/>
      </c>
      <c r="F2627" s="8" t="str">
        <f>IF(Table1[[#This Row],[Is Data Valid]]=TRUE,EXP(0.578+0.332*((Table1[[#This Row],[Gestation (days)]]+0.5)/7)-0.00354*((Table1[[#This Row],[Gestation (days)]]+0.5)/7)^2)*Table1[[#This Row],[BW40_3705]],"")</f>
        <v/>
      </c>
      <c r="G2627" s="2" t="str">
        <f>IF(Table1[[#This Row],[Is Data Valid]]=TRUE,((Table1[[#This Row],[Birthweight (grams)]]/Table1[[#This Row],[BW_GA]])-1)/(Backend!$B$4/100*Table1[[#This Row],[BW40_3705]]),"")</f>
        <v/>
      </c>
      <c r="H2627" s="7" t="str">
        <f>IF(Table1[[#This Row],[Is Data Valid]]=TRUE,((Table1[[#This Row],[Birthweight (grams)]]*0.9/Table1[[#This Row],[BW_GA]])-1)/(Backend!$B$4/100*Table1[[#This Row],[BW40_3705]]),"")</f>
        <v/>
      </c>
      <c r="I2627" s="7" t="str">
        <f>IF(Table1[[#This Row],[Is Data Valid]]=TRUE,((Table1[[#This Row],[Birthweight (grams)]]*1.1/Table1[[#This Row],[BW_GA]])-1)/(Backend!$B$4/100*Table1[[#This Row],[BW40_3705]]),"")</f>
        <v/>
      </c>
      <c r="J2627" s="7" t="str">
        <f>IF(Table1[[#This Row],[Is Data Valid]]=TRUE,_xlfn.NORM.S.DIST(Table1[[#This Row],[Birthweight Z-Score]],TRUE)*100,"")</f>
        <v/>
      </c>
      <c r="K2627" s="7" t="str">
        <f>IF(Table1[[#This Row],[Is Data Valid]]=TRUE,_xlfn.NORM.S.DIST(Table1[[#This Row],[Birthweight Z-Score (BW-10%)]],TRUE)*100,"")</f>
        <v/>
      </c>
      <c r="L2627" s="7" t="str">
        <f>IF(Table1[[#This Row],[Is Data Valid]]=TRUE,_xlfn.NORM.S.DIST(Table1[[#This Row],[Birthweight Z-Score (BW+10%)]],TRUE)*100,"")</f>
        <v/>
      </c>
    </row>
    <row r="2628" spans="1:12" x14ac:dyDescent="0.35">
      <c r="A2628" s="3"/>
      <c r="B2628" s="2"/>
      <c r="C2628" s="2"/>
      <c r="D2628" s="2" t="b">
        <f>IF(AND(NOT(ISBLANK(Table1[[#This Row],[Fetal Sex (Male, Female or Unknown)]])),ISNUMBER(Table1[[#This Row],[Birthweight (grams)]]),ISNUMBER(Table1[[#This Row],[Gestation (days)]])),TRUE,FALSE)</f>
        <v>0</v>
      </c>
      <c r="E2628" s="2" t="str">
        <f>IF(Table1[[#This Row],[Is Data Valid]]=TRUE,IF(Table1[[#This Row],[Fetal Sex (Male, Female or Unknown)]]="Male",Backend!$C$6,IF(Table1[[#This Row],[Fetal Sex (Male, Female or Unknown)]]="Female",Backend!$C$7,IF(Table1[[#This Row],[Fetal Sex (Male, Female or Unknown)]]="Unknown",Backend!$C$8,"Error"))),"")</f>
        <v/>
      </c>
      <c r="F2628" s="8" t="str">
        <f>IF(Table1[[#This Row],[Is Data Valid]]=TRUE,EXP(0.578+0.332*((Table1[[#This Row],[Gestation (days)]]+0.5)/7)-0.00354*((Table1[[#This Row],[Gestation (days)]]+0.5)/7)^2)*Table1[[#This Row],[BW40_3705]],"")</f>
        <v/>
      </c>
      <c r="G2628" s="2" t="str">
        <f>IF(Table1[[#This Row],[Is Data Valid]]=TRUE,((Table1[[#This Row],[Birthweight (grams)]]/Table1[[#This Row],[BW_GA]])-1)/(Backend!$B$4/100*Table1[[#This Row],[BW40_3705]]),"")</f>
        <v/>
      </c>
      <c r="H2628" s="7" t="str">
        <f>IF(Table1[[#This Row],[Is Data Valid]]=TRUE,((Table1[[#This Row],[Birthweight (grams)]]*0.9/Table1[[#This Row],[BW_GA]])-1)/(Backend!$B$4/100*Table1[[#This Row],[BW40_3705]]),"")</f>
        <v/>
      </c>
      <c r="I2628" s="7" t="str">
        <f>IF(Table1[[#This Row],[Is Data Valid]]=TRUE,((Table1[[#This Row],[Birthweight (grams)]]*1.1/Table1[[#This Row],[BW_GA]])-1)/(Backend!$B$4/100*Table1[[#This Row],[BW40_3705]]),"")</f>
        <v/>
      </c>
      <c r="J2628" s="7" t="str">
        <f>IF(Table1[[#This Row],[Is Data Valid]]=TRUE,_xlfn.NORM.S.DIST(Table1[[#This Row],[Birthweight Z-Score]],TRUE)*100,"")</f>
        <v/>
      </c>
      <c r="K2628" s="7" t="str">
        <f>IF(Table1[[#This Row],[Is Data Valid]]=TRUE,_xlfn.NORM.S.DIST(Table1[[#This Row],[Birthweight Z-Score (BW-10%)]],TRUE)*100,"")</f>
        <v/>
      </c>
      <c r="L2628" s="7" t="str">
        <f>IF(Table1[[#This Row],[Is Data Valid]]=TRUE,_xlfn.NORM.S.DIST(Table1[[#This Row],[Birthweight Z-Score (BW+10%)]],TRUE)*100,"")</f>
        <v/>
      </c>
    </row>
    <row r="2629" spans="1:12" x14ac:dyDescent="0.35">
      <c r="A2629" s="3"/>
      <c r="B2629" s="2"/>
      <c r="C2629" s="2"/>
      <c r="D2629" s="2" t="b">
        <f>IF(AND(NOT(ISBLANK(Table1[[#This Row],[Fetal Sex (Male, Female or Unknown)]])),ISNUMBER(Table1[[#This Row],[Birthweight (grams)]]),ISNUMBER(Table1[[#This Row],[Gestation (days)]])),TRUE,FALSE)</f>
        <v>0</v>
      </c>
      <c r="E2629" s="2" t="str">
        <f>IF(Table1[[#This Row],[Is Data Valid]]=TRUE,IF(Table1[[#This Row],[Fetal Sex (Male, Female or Unknown)]]="Male",Backend!$C$6,IF(Table1[[#This Row],[Fetal Sex (Male, Female or Unknown)]]="Female",Backend!$C$7,IF(Table1[[#This Row],[Fetal Sex (Male, Female or Unknown)]]="Unknown",Backend!$C$8,"Error"))),"")</f>
        <v/>
      </c>
      <c r="F2629" s="8" t="str">
        <f>IF(Table1[[#This Row],[Is Data Valid]]=TRUE,EXP(0.578+0.332*((Table1[[#This Row],[Gestation (days)]]+0.5)/7)-0.00354*((Table1[[#This Row],[Gestation (days)]]+0.5)/7)^2)*Table1[[#This Row],[BW40_3705]],"")</f>
        <v/>
      </c>
      <c r="G2629" s="2" t="str">
        <f>IF(Table1[[#This Row],[Is Data Valid]]=TRUE,((Table1[[#This Row],[Birthweight (grams)]]/Table1[[#This Row],[BW_GA]])-1)/(Backend!$B$4/100*Table1[[#This Row],[BW40_3705]]),"")</f>
        <v/>
      </c>
      <c r="H2629" s="7" t="str">
        <f>IF(Table1[[#This Row],[Is Data Valid]]=TRUE,((Table1[[#This Row],[Birthweight (grams)]]*0.9/Table1[[#This Row],[BW_GA]])-1)/(Backend!$B$4/100*Table1[[#This Row],[BW40_3705]]),"")</f>
        <v/>
      </c>
      <c r="I2629" s="7" t="str">
        <f>IF(Table1[[#This Row],[Is Data Valid]]=TRUE,((Table1[[#This Row],[Birthweight (grams)]]*1.1/Table1[[#This Row],[BW_GA]])-1)/(Backend!$B$4/100*Table1[[#This Row],[BW40_3705]]),"")</f>
        <v/>
      </c>
      <c r="J2629" s="7" t="str">
        <f>IF(Table1[[#This Row],[Is Data Valid]]=TRUE,_xlfn.NORM.S.DIST(Table1[[#This Row],[Birthweight Z-Score]],TRUE)*100,"")</f>
        <v/>
      </c>
      <c r="K2629" s="7" t="str">
        <f>IF(Table1[[#This Row],[Is Data Valid]]=TRUE,_xlfn.NORM.S.DIST(Table1[[#This Row],[Birthweight Z-Score (BW-10%)]],TRUE)*100,"")</f>
        <v/>
      </c>
      <c r="L2629" s="7" t="str">
        <f>IF(Table1[[#This Row],[Is Data Valid]]=TRUE,_xlfn.NORM.S.DIST(Table1[[#This Row],[Birthweight Z-Score (BW+10%)]],TRUE)*100,"")</f>
        <v/>
      </c>
    </row>
    <row r="2630" spans="1:12" x14ac:dyDescent="0.35">
      <c r="A2630" s="3"/>
      <c r="B2630" s="2"/>
      <c r="C2630" s="2"/>
      <c r="D2630" s="2" t="b">
        <f>IF(AND(NOT(ISBLANK(Table1[[#This Row],[Fetal Sex (Male, Female or Unknown)]])),ISNUMBER(Table1[[#This Row],[Birthweight (grams)]]),ISNUMBER(Table1[[#This Row],[Gestation (days)]])),TRUE,FALSE)</f>
        <v>0</v>
      </c>
      <c r="E2630" s="2" t="str">
        <f>IF(Table1[[#This Row],[Is Data Valid]]=TRUE,IF(Table1[[#This Row],[Fetal Sex (Male, Female or Unknown)]]="Male",Backend!$C$6,IF(Table1[[#This Row],[Fetal Sex (Male, Female or Unknown)]]="Female",Backend!$C$7,IF(Table1[[#This Row],[Fetal Sex (Male, Female or Unknown)]]="Unknown",Backend!$C$8,"Error"))),"")</f>
        <v/>
      </c>
      <c r="F2630" s="8" t="str">
        <f>IF(Table1[[#This Row],[Is Data Valid]]=TRUE,EXP(0.578+0.332*((Table1[[#This Row],[Gestation (days)]]+0.5)/7)-0.00354*((Table1[[#This Row],[Gestation (days)]]+0.5)/7)^2)*Table1[[#This Row],[BW40_3705]],"")</f>
        <v/>
      </c>
      <c r="G2630" s="2" t="str">
        <f>IF(Table1[[#This Row],[Is Data Valid]]=TRUE,((Table1[[#This Row],[Birthweight (grams)]]/Table1[[#This Row],[BW_GA]])-1)/(Backend!$B$4/100*Table1[[#This Row],[BW40_3705]]),"")</f>
        <v/>
      </c>
      <c r="H2630" s="7" t="str">
        <f>IF(Table1[[#This Row],[Is Data Valid]]=TRUE,((Table1[[#This Row],[Birthweight (grams)]]*0.9/Table1[[#This Row],[BW_GA]])-1)/(Backend!$B$4/100*Table1[[#This Row],[BW40_3705]]),"")</f>
        <v/>
      </c>
      <c r="I2630" s="7" t="str">
        <f>IF(Table1[[#This Row],[Is Data Valid]]=TRUE,((Table1[[#This Row],[Birthweight (grams)]]*1.1/Table1[[#This Row],[BW_GA]])-1)/(Backend!$B$4/100*Table1[[#This Row],[BW40_3705]]),"")</f>
        <v/>
      </c>
      <c r="J2630" s="7" t="str">
        <f>IF(Table1[[#This Row],[Is Data Valid]]=TRUE,_xlfn.NORM.S.DIST(Table1[[#This Row],[Birthweight Z-Score]],TRUE)*100,"")</f>
        <v/>
      </c>
      <c r="K2630" s="7" t="str">
        <f>IF(Table1[[#This Row],[Is Data Valid]]=TRUE,_xlfn.NORM.S.DIST(Table1[[#This Row],[Birthweight Z-Score (BW-10%)]],TRUE)*100,"")</f>
        <v/>
      </c>
      <c r="L2630" s="7" t="str">
        <f>IF(Table1[[#This Row],[Is Data Valid]]=TRUE,_xlfn.NORM.S.DIST(Table1[[#This Row],[Birthweight Z-Score (BW+10%)]],TRUE)*100,"")</f>
        <v/>
      </c>
    </row>
    <row r="2631" spans="1:12" x14ac:dyDescent="0.35">
      <c r="A2631" s="3"/>
      <c r="B2631" s="2"/>
      <c r="C2631" s="2"/>
      <c r="D2631" s="2" t="b">
        <f>IF(AND(NOT(ISBLANK(Table1[[#This Row],[Fetal Sex (Male, Female or Unknown)]])),ISNUMBER(Table1[[#This Row],[Birthweight (grams)]]),ISNUMBER(Table1[[#This Row],[Gestation (days)]])),TRUE,FALSE)</f>
        <v>0</v>
      </c>
      <c r="E2631" s="2" t="str">
        <f>IF(Table1[[#This Row],[Is Data Valid]]=TRUE,IF(Table1[[#This Row],[Fetal Sex (Male, Female or Unknown)]]="Male",Backend!$C$6,IF(Table1[[#This Row],[Fetal Sex (Male, Female or Unknown)]]="Female",Backend!$C$7,IF(Table1[[#This Row],[Fetal Sex (Male, Female or Unknown)]]="Unknown",Backend!$C$8,"Error"))),"")</f>
        <v/>
      </c>
      <c r="F2631" s="8" t="str">
        <f>IF(Table1[[#This Row],[Is Data Valid]]=TRUE,EXP(0.578+0.332*((Table1[[#This Row],[Gestation (days)]]+0.5)/7)-0.00354*((Table1[[#This Row],[Gestation (days)]]+0.5)/7)^2)*Table1[[#This Row],[BW40_3705]],"")</f>
        <v/>
      </c>
      <c r="G2631" s="2" t="str">
        <f>IF(Table1[[#This Row],[Is Data Valid]]=TRUE,((Table1[[#This Row],[Birthweight (grams)]]/Table1[[#This Row],[BW_GA]])-1)/(Backend!$B$4/100*Table1[[#This Row],[BW40_3705]]),"")</f>
        <v/>
      </c>
      <c r="H2631" s="7" t="str">
        <f>IF(Table1[[#This Row],[Is Data Valid]]=TRUE,((Table1[[#This Row],[Birthweight (grams)]]*0.9/Table1[[#This Row],[BW_GA]])-1)/(Backend!$B$4/100*Table1[[#This Row],[BW40_3705]]),"")</f>
        <v/>
      </c>
      <c r="I2631" s="7" t="str">
        <f>IF(Table1[[#This Row],[Is Data Valid]]=TRUE,((Table1[[#This Row],[Birthweight (grams)]]*1.1/Table1[[#This Row],[BW_GA]])-1)/(Backend!$B$4/100*Table1[[#This Row],[BW40_3705]]),"")</f>
        <v/>
      </c>
      <c r="J2631" s="7" t="str">
        <f>IF(Table1[[#This Row],[Is Data Valid]]=TRUE,_xlfn.NORM.S.DIST(Table1[[#This Row],[Birthweight Z-Score]],TRUE)*100,"")</f>
        <v/>
      </c>
      <c r="K2631" s="7" t="str">
        <f>IF(Table1[[#This Row],[Is Data Valid]]=TRUE,_xlfn.NORM.S.DIST(Table1[[#This Row],[Birthweight Z-Score (BW-10%)]],TRUE)*100,"")</f>
        <v/>
      </c>
      <c r="L2631" s="7" t="str">
        <f>IF(Table1[[#This Row],[Is Data Valid]]=TRUE,_xlfn.NORM.S.DIST(Table1[[#This Row],[Birthweight Z-Score (BW+10%)]],TRUE)*100,"")</f>
        <v/>
      </c>
    </row>
    <row r="2632" spans="1:12" x14ac:dyDescent="0.35">
      <c r="A2632" s="3"/>
      <c r="B2632" s="2"/>
      <c r="C2632" s="2"/>
      <c r="D2632" s="2" t="b">
        <f>IF(AND(NOT(ISBLANK(Table1[[#This Row],[Fetal Sex (Male, Female or Unknown)]])),ISNUMBER(Table1[[#This Row],[Birthweight (grams)]]),ISNUMBER(Table1[[#This Row],[Gestation (days)]])),TRUE,FALSE)</f>
        <v>0</v>
      </c>
      <c r="E2632" s="2" t="str">
        <f>IF(Table1[[#This Row],[Is Data Valid]]=TRUE,IF(Table1[[#This Row],[Fetal Sex (Male, Female or Unknown)]]="Male",Backend!$C$6,IF(Table1[[#This Row],[Fetal Sex (Male, Female or Unknown)]]="Female",Backend!$C$7,IF(Table1[[#This Row],[Fetal Sex (Male, Female or Unknown)]]="Unknown",Backend!$C$8,"Error"))),"")</f>
        <v/>
      </c>
      <c r="F2632" s="8" t="str">
        <f>IF(Table1[[#This Row],[Is Data Valid]]=TRUE,EXP(0.578+0.332*((Table1[[#This Row],[Gestation (days)]]+0.5)/7)-0.00354*((Table1[[#This Row],[Gestation (days)]]+0.5)/7)^2)*Table1[[#This Row],[BW40_3705]],"")</f>
        <v/>
      </c>
      <c r="G2632" s="2" t="str">
        <f>IF(Table1[[#This Row],[Is Data Valid]]=TRUE,((Table1[[#This Row],[Birthweight (grams)]]/Table1[[#This Row],[BW_GA]])-1)/(Backend!$B$4/100*Table1[[#This Row],[BW40_3705]]),"")</f>
        <v/>
      </c>
      <c r="H2632" s="7" t="str">
        <f>IF(Table1[[#This Row],[Is Data Valid]]=TRUE,((Table1[[#This Row],[Birthweight (grams)]]*0.9/Table1[[#This Row],[BW_GA]])-1)/(Backend!$B$4/100*Table1[[#This Row],[BW40_3705]]),"")</f>
        <v/>
      </c>
      <c r="I2632" s="7" t="str">
        <f>IF(Table1[[#This Row],[Is Data Valid]]=TRUE,((Table1[[#This Row],[Birthweight (grams)]]*1.1/Table1[[#This Row],[BW_GA]])-1)/(Backend!$B$4/100*Table1[[#This Row],[BW40_3705]]),"")</f>
        <v/>
      </c>
      <c r="J2632" s="7" t="str">
        <f>IF(Table1[[#This Row],[Is Data Valid]]=TRUE,_xlfn.NORM.S.DIST(Table1[[#This Row],[Birthweight Z-Score]],TRUE)*100,"")</f>
        <v/>
      </c>
      <c r="K2632" s="7" t="str">
        <f>IF(Table1[[#This Row],[Is Data Valid]]=TRUE,_xlfn.NORM.S.DIST(Table1[[#This Row],[Birthweight Z-Score (BW-10%)]],TRUE)*100,"")</f>
        <v/>
      </c>
      <c r="L2632" s="7" t="str">
        <f>IF(Table1[[#This Row],[Is Data Valid]]=TRUE,_xlfn.NORM.S.DIST(Table1[[#This Row],[Birthweight Z-Score (BW+10%)]],TRUE)*100,"")</f>
        <v/>
      </c>
    </row>
    <row r="2633" spans="1:12" x14ac:dyDescent="0.35">
      <c r="A2633" s="3"/>
      <c r="B2633" s="2"/>
      <c r="C2633" s="2"/>
      <c r="D2633" s="2" t="b">
        <f>IF(AND(NOT(ISBLANK(Table1[[#This Row],[Fetal Sex (Male, Female or Unknown)]])),ISNUMBER(Table1[[#This Row],[Birthweight (grams)]]),ISNUMBER(Table1[[#This Row],[Gestation (days)]])),TRUE,FALSE)</f>
        <v>0</v>
      </c>
      <c r="E2633" s="2" t="str">
        <f>IF(Table1[[#This Row],[Is Data Valid]]=TRUE,IF(Table1[[#This Row],[Fetal Sex (Male, Female or Unknown)]]="Male",Backend!$C$6,IF(Table1[[#This Row],[Fetal Sex (Male, Female or Unknown)]]="Female",Backend!$C$7,IF(Table1[[#This Row],[Fetal Sex (Male, Female or Unknown)]]="Unknown",Backend!$C$8,"Error"))),"")</f>
        <v/>
      </c>
      <c r="F2633" s="8" t="str">
        <f>IF(Table1[[#This Row],[Is Data Valid]]=TRUE,EXP(0.578+0.332*((Table1[[#This Row],[Gestation (days)]]+0.5)/7)-0.00354*((Table1[[#This Row],[Gestation (days)]]+0.5)/7)^2)*Table1[[#This Row],[BW40_3705]],"")</f>
        <v/>
      </c>
      <c r="G2633" s="2" t="str">
        <f>IF(Table1[[#This Row],[Is Data Valid]]=TRUE,((Table1[[#This Row],[Birthweight (grams)]]/Table1[[#This Row],[BW_GA]])-1)/(Backend!$B$4/100*Table1[[#This Row],[BW40_3705]]),"")</f>
        <v/>
      </c>
      <c r="H2633" s="7" t="str">
        <f>IF(Table1[[#This Row],[Is Data Valid]]=TRUE,((Table1[[#This Row],[Birthweight (grams)]]*0.9/Table1[[#This Row],[BW_GA]])-1)/(Backend!$B$4/100*Table1[[#This Row],[BW40_3705]]),"")</f>
        <v/>
      </c>
      <c r="I2633" s="7" t="str">
        <f>IF(Table1[[#This Row],[Is Data Valid]]=TRUE,((Table1[[#This Row],[Birthweight (grams)]]*1.1/Table1[[#This Row],[BW_GA]])-1)/(Backend!$B$4/100*Table1[[#This Row],[BW40_3705]]),"")</f>
        <v/>
      </c>
      <c r="J2633" s="7" t="str">
        <f>IF(Table1[[#This Row],[Is Data Valid]]=TRUE,_xlfn.NORM.S.DIST(Table1[[#This Row],[Birthweight Z-Score]],TRUE)*100,"")</f>
        <v/>
      </c>
      <c r="K2633" s="7" t="str">
        <f>IF(Table1[[#This Row],[Is Data Valid]]=TRUE,_xlfn.NORM.S.DIST(Table1[[#This Row],[Birthweight Z-Score (BW-10%)]],TRUE)*100,"")</f>
        <v/>
      </c>
      <c r="L2633" s="7" t="str">
        <f>IF(Table1[[#This Row],[Is Data Valid]]=TRUE,_xlfn.NORM.S.DIST(Table1[[#This Row],[Birthweight Z-Score (BW+10%)]],TRUE)*100,"")</f>
        <v/>
      </c>
    </row>
    <row r="2634" spans="1:12" x14ac:dyDescent="0.35">
      <c r="A2634" s="3"/>
      <c r="B2634" s="2"/>
      <c r="C2634" s="2"/>
      <c r="D2634" s="2" t="b">
        <f>IF(AND(NOT(ISBLANK(Table1[[#This Row],[Fetal Sex (Male, Female or Unknown)]])),ISNUMBER(Table1[[#This Row],[Birthweight (grams)]]),ISNUMBER(Table1[[#This Row],[Gestation (days)]])),TRUE,FALSE)</f>
        <v>0</v>
      </c>
      <c r="E2634" s="2" t="str">
        <f>IF(Table1[[#This Row],[Is Data Valid]]=TRUE,IF(Table1[[#This Row],[Fetal Sex (Male, Female or Unknown)]]="Male",Backend!$C$6,IF(Table1[[#This Row],[Fetal Sex (Male, Female or Unknown)]]="Female",Backend!$C$7,IF(Table1[[#This Row],[Fetal Sex (Male, Female or Unknown)]]="Unknown",Backend!$C$8,"Error"))),"")</f>
        <v/>
      </c>
      <c r="F2634" s="8" t="str">
        <f>IF(Table1[[#This Row],[Is Data Valid]]=TRUE,EXP(0.578+0.332*((Table1[[#This Row],[Gestation (days)]]+0.5)/7)-0.00354*((Table1[[#This Row],[Gestation (days)]]+0.5)/7)^2)*Table1[[#This Row],[BW40_3705]],"")</f>
        <v/>
      </c>
      <c r="G2634" s="2" t="str">
        <f>IF(Table1[[#This Row],[Is Data Valid]]=TRUE,((Table1[[#This Row],[Birthweight (grams)]]/Table1[[#This Row],[BW_GA]])-1)/(Backend!$B$4/100*Table1[[#This Row],[BW40_3705]]),"")</f>
        <v/>
      </c>
      <c r="H2634" s="7" t="str">
        <f>IF(Table1[[#This Row],[Is Data Valid]]=TRUE,((Table1[[#This Row],[Birthweight (grams)]]*0.9/Table1[[#This Row],[BW_GA]])-1)/(Backend!$B$4/100*Table1[[#This Row],[BW40_3705]]),"")</f>
        <v/>
      </c>
      <c r="I2634" s="7" t="str">
        <f>IF(Table1[[#This Row],[Is Data Valid]]=TRUE,((Table1[[#This Row],[Birthweight (grams)]]*1.1/Table1[[#This Row],[BW_GA]])-1)/(Backend!$B$4/100*Table1[[#This Row],[BW40_3705]]),"")</f>
        <v/>
      </c>
      <c r="J2634" s="7" t="str">
        <f>IF(Table1[[#This Row],[Is Data Valid]]=TRUE,_xlfn.NORM.S.DIST(Table1[[#This Row],[Birthweight Z-Score]],TRUE)*100,"")</f>
        <v/>
      </c>
      <c r="K2634" s="7" t="str">
        <f>IF(Table1[[#This Row],[Is Data Valid]]=TRUE,_xlfn.NORM.S.DIST(Table1[[#This Row],[Birthweight Z-Score (BW-10%)]],TRUE)*100,"")</f>
        <v/>
      </c>
      <c r="L2634" s="7" t="str">
        <f>IF(Table1[[#This Row],[Is Data Valid]]=TRUE,_xlfn.NORM.S.DIST(Table1[[#This Row],[Birthweight Z-Score (BW+10%)]],TRUE)*100,"")</f>
        <v/>
      </c>
    </row>
    <row r="2635" spans="1:12" x14ac:dyDescent="0.35">
      <c r="A2635" s="3"/>
      <c r="B2635" s="2"/>
      <c r="C2635" s="2"/>
      <c r="D2635" s="2" t="b">
        <f>IF(AND(NOT(ISBLANK(Table1[[#This Row],[Fetal Sex (Male, Female or Unknown)]])),ISNUMBER(Table1[[#This Row],[Birthweight (grams)]]),ISNUMBER(Table1[[#This Row],[Gestation (days)]])),TRUE,FALSE)</f>
        <v>0</v>
      </c>
      <c r="E2635" s="2" t="str">
        <f>IF(Table1[[#This Row],[Is Data Valid]]=TRUE,IF(Table1[[#This Row],[Fetal Sex (Male, Female or Unknown)]]="Male",Backend!$C$6,IF(Table1[[#This Row],[Fetal Sex (Male, Female or Unknown)]]="Female",Backend!$C$7,IF(Table1[[#This Row],[Fetal Sex (Male, Female or Unknown)]]="Unknown",Backend!$C$8,"Error"))),"")</f>
        <v/>
      </c>
      <c r="F2635" s="8" t="str">
        <f>IF(Table1[[#This Row],[Is Data Valid]]=TRUE,EXP(0.578+0.332*((Table1[[#This Row],[Gestation (days)]]+0.5)/7)-0.00354*((Table1[[#This Row],[Gestation (days)]]+0.5)/7)^2)*Table1[[#This Row],[BW40_3705]],"")</f>
        <v/>
      </c>
      <c r="G2635" s="2" t="str">
        <f>IF(Table1[[#This Row],[Is Data Valid]]=TRUE,((Table1[[#This Row],[Birthweight (grams)]]/Table1[[#This Row],[BW_GA]])-1)/(Backend!$B$4/100*Table1[[#This Row],[BW40_3705]]),"")</f>
        <v/>
      </c>
      <c r="H2635" s="7" t="str">
        <f>IF(Table1[[#This Row],[Is Data Valid]]=TRUE,((Table1[[#This Row],[Birthweight (grams)]]*0.9/Table1[[#This Row],[BW_GA]])-1)/(Backend!$B$4/100*Table1[[#This Row],[BW40_3705]]),"")</f>
        <v/>
      </c>
      <c r="I2635" s="7" t="str">
        <f>IF(Table1[[#This Row],[Is Data Valid]]=TRUE,((Table1[[#This Row],[Birthweight (grams)]]*1.1/Table1[[#This Row],[BW_GA]])-1)/(Backend!$B$4/100*Table1[[#This Row],[BW40_3705]]),"")</f>
        <v/>
      </c>
      <c r="J2635" s="7" t="str">
        <f>IF(Table1[[#This Row],[Is Data Valid]]=TRUE,_xlfn.NORM.S.DIST(Table1[[#This Row],[Birthweight Z-Score]],TRUE)*100,"")</f>
        <v/>
      </c>
      <c r="K2635" s="7" t="str">
        <f>IF(Table1[[#This Row],[Is Data Valid]]=TRUE,_xlfn.NORM.S.DIST(Table1[[#This Row],[Birthweight Z-Score (BW-10%)]],TRUE)*100,"")</f>
        <v/>
      </c>
      <c r="L2635" s="7" t="str">
        <f>IF(Table1[[#This Row],[Is Data Valid]]=TRUE,_xlfn.NORM.S.DIST(Table1[[#This Row],[Birthweight Z-Score (BW+10%)]],TRUE)*100,"")</f>
        <v/>
      </c>
    </row>
    <row r="2636" spans="1:12" x14ac:dyDescent="0.35">
      <c r="A2636" s="3"/>
      <c r="B2636" s="2"/>
      <c r="C2636" s="2"/>
      <c r="D2636" s="2" t="b">
        <f>IF(AND(NOT(ISBLANK(Table1[[#This Row],[Fetal Sex (Male, Female or Unknown)]])),ISNUMBER(Table1[[#This Row],[Birthweight (grams)]]),ISNUMBER(Table1[[#This Row],[Gestation (days)]])),TRUE,FALSE)</f>
        <v>0</v>
      </c>
      <c r="E2636" s="2" t="str">
        <f>IF(Table1[[#This Row],[Is Data Valid]]=TRUE,IF(Table1[[#This Row],[Fetal Sex (Male, Female or Unknown)]]="Male",Backend!$C$6,IF(Table1[[#This Row],[Fetal Sex (Male, Female or Unknown)]]="Female",Backend!$C$7,IF(Table1[[#This Row],[Fetal Sex (Male, Female or Unknown)]]="Unknown",Backend!$C$8,"Error"))),"")</f>
        <v/>
      </c>
      <c r="F2636" s="8" t="str">
        <f>IF(Table1[[#This Row],[Is Data Valid]]=TRUE,EXP(0.578+0.332*((Table1[[#This Row],[Gestation (days)]]+0.5)/7)-0.00354*((Table1[[#This Row],[Gestation (days)]]+0.5)/7)^2)*Table1[[#This Row],[BW40_3705]],"")</f>
        <v/>
      </c>
      <c r="G2636" s="2" t="str">
        <f>IF(Table1[[#This Row],[Is Data Valid]]=TRUE,((Table1[[#This Row],[Birthweight (grams)]]/Table1[[#This Row],[BW_GA]])-1)/(Backend!$B$4/100*Table1[[#This Row],[BW40_3705]]),"")</f>
        <v/>
      </c>
      <c r="H2636" s="7" t="str">
        <f>IF(Table1[[#This Row],[Is Data Valid]]=TRUE,((Table1[[#This Row],[Birthweight (grams)]]*0.9/Table1[[#This Row],[BW_GA]])-1)/(Backend!$B$4/100*Table1[[#This Row],[BW40_3705]]),"")</f>
        <v/>
      </c>
      <c r="I2636" s="7" t="str">
        <f>IF(Table1[[#This Row],[Is Data Valid]]=TRUE,((Table1[[#This Row],[Birthweight (grams)]]*1.1/Table1[[#This Row],[BW_GA]])-1)/(Backend!$B$4/100*Table1[[#This Row],[BW40_3705]]),"")</f>
        <v/>
      </c>
      <c r="J2636" s="7" t="str">
        <f>IF(Table1[[#This Row],[Is Data Valid]]=TRUE,_xlfn.NORM.S.DIST(Table1[[#This Row],[Birthweight Z-Score]],TRUE)*100,"")</f>
        <v/>
      </c>
      <c r="K2636" s="7" t="str">
        <f>IF(Table1[[#This Row],[Is Data Valid]]=TRUE,_xlfn.NORM.S.DIST(Table1[[#This Row],[Birthweight Z-Score (BW-10%)]],TRUE)*100,"")</f>
        <v/>
      </c>
      <c r="L2636" s="7" t="str">
        <f>IF(Table1[[#This Row],[Is Data Valid]]=TRUE,_xlfn.NORM.S.DIST(Table1[[#This Row],[Birthweight Z-Score (BW+10%)]],TRUE)*100,"")</f>
        <v/>
      </c>
    </row>
    <row r="2637" spans="1:12" x14ac:dyDescent="0.35">
      <c r="A2637" s="3"/>
      <c r="B2637" s="2"/>
      <c r="C2637" s="2"/>
      <c r="D2637" s="2" t="b">
        <f>IF(AND(NOT(ISBLANK(Table1[[#This Row],[Fetal Sex (Male, Female or Unknown)]])),ISNUMBER(Table1[[#This Row],[Birthweight (grams)]]),ISNUMBER(Table1[[#This Row],[Gestation (days)]])),TRUE,FALSE)</f>
        <v>0</v>
      </c>
      <c r="E2637" s="2" t="str">
        <f>IF(Table1[[#This Row],[Is Data Valid]]=TRUE,IF(Table1[[#This Row],[Fetal Sex (Male, Female or Unknown)]]="Male",Backend!$C$6,IF(Table1[[#This Row],[Fetal Sex (Male, Female or Unknown)]]="Female",Backend!$C$7,IF(Table1[[#This Row],[Fetal Sex (Male, Female or Unknown)]]="Unknown",Backend!$C$8,"Error"))),"")</f>
        <v/>
      </c>
      <c r="F2637" s="8" t="str">
        <f>IF(Table1[[#This Row],[Is Data Valid]]=TRUE,EXP(0.578+0.332*((Table1[[#This Row],[Gestation (days)]]+0.5)/7)-0.00354*((Table1[[#This Row],[Gestation (days)]]+0.5)/7)^2)*Table1[[#This Row],[BW40_3705]],"")</f>
        <v/>
      </c>
      <c r="G2637" s="2" t="str">
        <f>IF(Table1[[#This Row],[Is Data Valid]]=TRUE,((Table1[[#This Row],[Birthweight (grams)]]/Table1[[#This Row],[BW_GA]])-1)/(Backend!$B$4/100*Table1[[#This Row],[BW40_3705]]),"")</f>
        <v/>
      </c>
      <c r="H2637" s="7" t="str">
        <f>IF(Table1[[#This Row],[Is Data Valid]]=TRUE,((Table1[[#This Row],[Birthweight (grams)]]*0.9/Table1[[#This Row],[BW_GA]])-1)/(Backend!$B$4/100*Table1[[#This Row],[BW40_3705]]),"")</f>
        <v/>
      </c>
      <c r="I2637" s="7" t="str">
        <f>IF(Table1[[#This Row],[Is Data Valid]]=TRUE,((Table1[[#This Row],[Birthweight (grams)]]*1.1/Table1[[#This Row],[BW_GA]])-1)/(Backend!$B$4/100*Table1[[#This Row],[BW40_3705]]),"")</f>
        <v/>
      </c>
      <c r="J2637" s="7" t="str">
        <f>IF(Table1[[#This Row],[Is Data Valid]]=TRUE,_xlfn.NORM.S.DIST(Table1[[#This Row],[Birthweight Z-Score]],TRUE)*100,"")</f>
        <v/>
      </c>
      <c r="K2637" s="7" t="str">
        <f>IF(Table1[[#This Row],[Is Data Valid]]=TRUE,_xlfn.NORM.S.DIST(Table1[[#This Row],[Birthweight Z-Score (BW-10%)]],TRUE)*100,"")</f>
        <v/>
      </c>
      <c r="L2637" s="7" t="str">
        <f>IF(Table1[[#This Row],[Is Data Valid]]=TRUE,_xlfn.NORM.S.DIST(Table1[[#This Row],[Birthweight Z-Score (BW+10%)]],TRUE)*100,"")</f>
        <v/>
      </c>
    </row>
    <row r="2638" spans="1:12" x14ac:dyDescent="0.35">
      <c r="A2638" s="3"/>
      <c r="B2638" s="2"/>
      <c r="C2638" s="2"/>
      <c r="D2638" s="2" t="b">
        <f>IF(AND(NOT(ISBLANK(Table1[[#This Row],[Fetal Sex (Male, Female or Unknown)]])),ISNUMBER(Table1[[#This Row],[Birthweight (grams)]]),ISNUMBER(Table1[[#This Row],[Gestation (days)]])),TRUE,FALSE)</f>
        <v>0</v>
      </c>
      <c r="E2638" s="2" t="str">
        <f>IF(Table1[[#This Row],[Is Data Valid]]=TRUE,IF(Table1[[#This Row],[Fetal Sex (Male, Female or Unknown)]]="Male",Backend!$C$6,IF(Table1[[#This Row],[Fetal Sex (Male, Female or Unknown)]]="Female",Backend!$C$7,IF(Table1[[#This Row],[Fetal Sex (Male, Female or Unknown)]]="Unknown",Backend!$C$8,"Error"))),"")</f>
        <v/>
      </c>
      <c r="F2638" s="8" t="str">
        <f>IF(Table1[[#This Row],[Is Data Valid]]=TRUE,EXP(0.578+0.332*((Table1[[#This Row],[Gestation (days)]]+0.5)/7)-0.00354*((Table1[[#This Row],[Gestation (days)]]+0.5)/7)^2)*Table1[[#This Row],[BW40_3705]],"")</f>
        <v/>
      </c>
      <c r="G2638" s="2" t="str">
        <f>IF(Table1[[#This Row],[Is Data Valid]]=TRUE,((Table1[[#This Row],[Birthweight (grams)]]/Table1[[#This Row],[BW_GA]])-1)/(Backend!$B$4/100*Table1[[#This Row],[BW40_3705]]),"")</f>
        <v/>
      </c>
      <c r="H2638" s="7" t="str">
        <f>IF(Table1[[#This Row],[Is Data Valid]]=TRUE,((Table1[[#This Row],[Birthweight (grams)]]*0.9/Table1[[#This Row],[BW_GA]])-1)/(Backend!$B$4/100*Table1[[#This Row],[BW40_3705]]),"")</f>
        <v/>
      </c>
      <c r="I2638" s="7" t="str">
        <f>IF(Table1[[#This Row],[Is Data Valid]]=TRUE,((Table1[[#This Row],[Birthweight (grams)]]*1.1/Table1[[#This Row],[BW_GA]])-1)/(Backend!$B$4/100*Table1[[#This Row],[BW40_3705]]),"")</f>
        <v/>
      </c>
      <c r="J2638" s="7" t="str">
        <f>IF(Table1[[#This Row],[Is Data Valid]]=TRUE,_xlfn.NORM.S.DIST(Table1[[#This Row],[Birthweight Z-Score]],TRUE)*100,"")</f>
        <v/>
      </c>
      <c r="K2638" s="7" t="str">
        <f>IF(Table1[[#This Row],[Is Data Valid]]=TRUE,_xlfn.NORM.S.DIST(Table1[[#This Row],[Birthweight Z-Score (BW-10%)]],TRUE)*100,"")</f>
        <v/>
      </c>
      <c r="L2638" s="7" t="str">
        <f>IF(Table1[[#This Row],[Is Data Valid]]=TRUE,_xlfn.NORM.S.DIST(Table1[[#This Row],[Birthweight Z-Score (BW+10%)]],TRUE)*100,"")</f>
        <v/>
      </c>
    </row>
    <row r="2639" spans="1:12" x14ac:dyDescent="0.35">
      <c r="A2639" s="3"/>
      <c r="B2639" s="2"/>
      <c r="C2639" s="2"/>
      <c r="D2639" s="2" t="b">
        <f>IF(AND(NOT(ISBLANK(Table1[[#This Row],[Fetal Sex (Male, Female or Unknown)]])),ISNUMBER(Table1[[#This Row],[Birthweight (grams)]]),ISNUMBER(Table1[[#This Row],[Gestation (days)]])),TRUE,FALSE)</f>
        <v>0</v>
      </c>
      <c r="E2639" s="2" t="str">
        <f>IF(Table1[[#This Row],[Is Data Valid]]=TRUE,IF(Table1[[#This Row],[Fetal Sex (Male, Female or Unknown)]]="Male",Backend!$C$6,IF(Table1[[#This Row],[Fetal Sex (Male, Female or Unknown)]]="Female",Backend!$C$7,IF(Table1[[#This Row],[Fetal Sex (Male, Female or Unknown)]]="Unknown",Backend!$C$8,"Error"))),"")</f>
        <v/>
      </c>
      <c r="F2639" s="8" t="str">
        <f>IF(Table1[[#This Row],[Is Data Valid]]=TRUE,EXP(0.578+0.332*((Table1[[#This Row],[Gestation (days)]]+0.5)/7)-0.00354*((Table1[[#This Row],[Gestation (days)]]+0.5)/7)^2)*Table1[[#This Row],[BW40_3705]],"")</f>
        <v/>
      </c>
      <c r="G2639" s="2" t="str">
        <f>IF(Table1[[#This Row],[Is Data Valid]]=TRUE,((Table1[[#This Row],[Birthweight (grams)]]/Table1[[#This Row],[BW_GA]])-1)/(Backend!$B$4/100*Table1[[#This Row],[BW40_3705]]),"")</f>
        <v/>
      </c>
      <c r="H2639" s="7" t="str">
        <f>IF(Table1[[#This Row],[Is Data Valid]]=TRUE,((Table1[[#This Row],[Birthweight (grams)]]*0.9/Table1[[#This Row],[BW_GA]])-1)/(Backend!$B$4/100*Table1[[#This Row],[BW40_3705]]),"")</f>
        <v/>
      </c>
      <c r="I2639" s="7" t="str">
        <f>IF(Table1[[#This Row],[Is Data Valid]]=TRUE,((Table1[[#This Row],[Birthweight (grams)]]*1.1/Table1[[#This Row],[BW_GA]])-1)/(Backend!$B$4/100*Table1[[#This Row],[BW40_3705]]),"")</f>
        <v/>
      </c>
      <c r="J2639" s="7" t="str">
        <f>IF(Table1[[#This Row],[Is Data Valid]]=TRUE,_xlfn.NORM.S.DIST(Table1[[#This Row],[Birthweight Z-Score]],TRUE)*100,"")</f>
        <v/>
      </c>
      <c r="K2639" s="7" t="str">
        <f>IF(Table1[[#This Row],[Is Data Valid]]=TRUE,_xlfn.NORM.S.DIST(Table1[[#This Row],[Birthweight Z-Score (BW-10%)]],TRUE)*100,"")</f>
        <v/>
      </c>
      <c r="L2639" s="7" t="str">
        <f>IF(Table1[[#This Row],[Is Data Valid]]=TRUE,_xlfn.NORM.S.DIST(Table1[[#This Row],[Birthweight Z-Score (BW+10%)]],TRUE)*100,"")</f>
        <v/>
      </c>
    </row>
    <row r="2640" spans="1:12" x14ac:dyDescent="0.35">
      <c r="A2640" s="3"/>
      <c r="B2640" s="2"/>
      <c r="C2640" s="2"/>
      <c r="D2640" s="2" t="b">
        <f>IF(AND(NOT(ISBLANK(Table1[[#This Row],[Fetal Sex (Male, Female or Unknown)]])),ISNUMBER(Table1[[#This Row],[Birthweight (grams)]]),ISNUMBER(Table1[[#This Row],[Gestation (days)]])),TRUE,FALSE)</f>
        <v>0</v>
      </c>
      <c r="E2640" s="2" t="str">
        <f>IF(Table1[[#This Row],[Is Data Valid]]=TRUE,IF(Table1[[#This Row],[Fetal Sex (Male, Female or Unknown)]]="Male",Backend!$C$6,IF(Table1[[#This Row],[Fetal Sex (Male, Female or Unknown)]]="Female",Backend!$C$7,IF(Table1[[#This Row],[Fetal Sex (Male, Female or Unknown)]]="Unknown",Backend!$C$8,"Error"))),"")</f>
        <v/>
      </c>
      <c r="F2640" s="8" t="str">
        <f>IF(Table1[[#This Row],[Is Data Valid]]=TRUE,EXP(0.578+0.332*((Table1[[#This Row],[Gestation (days)]]+0.5)/7)-0.00354*((Table1[[#This Row],[Gestation (days)]]+0.5)/7)^2)*Table1[[#This Row],[BW40_3705]],"")</f>
        <v/>
      </c>
      <c r="G2640" s="2" t="str">
        <f>IF(Table1[[#This Row],[Is Data Valid]]=TRUE,((Table1[[#This Row],[Birthweight (grams)]]/Table1[[#This Row],[BW_GA]])-1)/(Backend!$B$4/100*Table1[[#This Row],[BW40_3705]]),"")</f>
        <v/>
      </c>
      <c r="H2640" s="7" t="str">
        <f>IF(Table1[[#This Row],[Is Data Valid]]=TRUE,((Table1[[#This Row],[Birthweight (grams)]]*0.9/Table1[[#This Row],[BW_GA]])-1)/(Backend!$B$4/100*Table1[[#This Row],[BW40_3705]]),"")</f>
        <v/>
      </c>
      <c r="I2640" s="7" t="str">
        <f>IF(Table1[[#This Row],[Is Data Valid]]=TRUE,((Table1[[#This Row],[Birthweight (grams)]]*1.1/Table1[[#This Row],[BW_GA]])-1)/(Backend!$B$4/100*Table1[[#This Row],[BW40_3705]]),"")</f>
        <v/>
      </c>
      <c r="J2640" s="7" t="str">
        <f>IF(Table1[[#This Row],[Is Data Valid]]=TRUE,_xlfn.NORM.S.DIST(Table1[[#This Row],[Birthweight Z-Score]],TRUE)*100,"")</f>
        <v/>
      </c>
      <c r="K2640" s="7" t="str">
        <f>IF(Table1[[#This Row],[Is Data Valid]]=TRUE,_xlfn.NORM.S.DIST(Table1[[#This Row],[Birthweight Z-Score (BW-10%)]],TRUE)*100,"")</f>
        <v/>
      </c>
      <c r="L2640" s="7" t="str">
        <f>IF(Table1[[#This Row],[Is Data Valid]]=TRUE,_xlfn.NORM.S.DIST(Table1[[#This Row],[Birthweight Z-Score (BW+10%)]],TRUE)*100,"")</f>
        <v/>
      </c>
    </row>
    <row r="2641" spans="1:12" x14ac:dyDescent="0.35">
      <c r="A2641" s="3"/>
      <c r="B2641" s="2"/>
      <c r="C2641" s="2"/>
      <c r="D2641" s="2" t="b">
        <f>IF(AND(NOT(ISBLANK(Table1[[#This Row],[Fetal Sex (Male, Female or Unknown)]])),ISNUMBER(Table1[[#This Row],[Birthweight (grams)]]),ISNUMBER(Table1[[#This Row],[Gestation (days)]])),TRUE,FALSE)</f>
        <v>0</v>
      </c>
      <c r="E2641" s="2" t="str">
        <f>IF(Table1[[#This Row],[Is Data Valid]]=TRUE,IF(Table1[[#This Row],[Fetal Sex (Male, Female or Unknown)]]="Male",Backend!$C$6,IF(Table1[[#This Row],[Fetal Sex (Male, Female or Unknown)]]="Female",Backend!$C$7,IF(Table1[[#This Row],[Fetal Sex (Male, Female or Unknown)]]="Unknown",Backend!$C$8,"Error"))),"")</f>
        <v/>
      </c>
      <c r="F2641" s="8" t="str">
        <f>IF(Table1[[#This Row],[Is Data Valid]]=TRUE,EXP(0.578+0.332*((Table1[[#This Row],[Gestation (days)]]+0.5)/7)-0.00354*((Table1[[#This Row],[Gestation (days)]]+0.5)/7)^2)*Table1[[#This Row],[BW40_3705]],"")</f>
        <v/>
      </c>
      <c r="G2641" s="2" t="str">
        <f>IF(Table1[[#This Row],[Is Data Valid]]=TRUE,((Table1[[#This Row],[Birthweight (grams)]]/Table1[[#This Row],[BW_GA]])-1)/(Backend!$B$4/100*Table1[[#This Row],[BW40_3705]]),"")</f>
        <v/>
      </c>
      <c r="H2641" s="7" t="str">
        <f>IF(Table1[[#This Row],[Is Data Valid]]=TRUE,((Table1[[#This Row],[Birthweight (grams)]]*0.9/Table1[[#This Row],[BW_GA]])-1)/(Backend!$B$4/100*Table1[[#This Row],[BW40_3705]]),"")</f>
        <v/>
      </c>
      <c r="I2641" s="7" t="str">
        <f>IF(Table1[[#This Row],[Is Data Valid]]=TRUE,((Table1[[#This Row],[Birthweight (grams)]]*1.1/Table1[[#This Row],[BW_GA]])-1)/(Backend!$B$4/100*Table1[[#This Row],[BW40_3705]]),"")</f>
        <v/>
      </c>
      <c r="J2641" s="7" t="str">
        <f>IF(Table1[[#This Row],[Is Data Valid]]=TRUE,_xlfn.NORM.S.DIST(Table1[[#This Row],[Birthweight Z-Score]],TRUE)*100,"")</f>
        <v/>
      </c>
      <c r="K2641" s="7" t="str">
        <f>IF(Table1[[#This Row],[Is Data Valid]]=TRUE,_xlfn.NORM.S.DIST(Table1[[#This Row],[Birthweight Z-Score (BW-10%)]],TRUE)*100,"")</f>
        <v/>
      </c>
      <c r="L2641" s="7" t="str">
        <f>IF(Table1[[#This Row],[Is Data Valid]]=TRUE,_xlfn.NORM.S.DIST(Table1[[#This Row],[Birthweight Z-Score (BW+10%)]],TRUE)*100,"")</f>
        <v/>
      </c>
    </row>
    <row r="2642" spans="1:12" x14ac:dyDescent="0.35">
      <c r="A2642" s="3"/>
      <c r="B2642" s="2"/>
      <c r="C2642" s="2"/>
      <c r="D2642" s="2" t="b">
        <f>IF(AND(NOT(ISBLANK(Table1[[#This Row],[Fetal Sex (Male, Female or Unknown)]])),ISNUMBER(Table1[[#This Row],[Birthweight (grams)]]),ISNUMBER(Table1[[#This Row],[Gestation (days)]])),TRUE,FALSE)</f>
        <v>0</v>
      </c>
      <c r="E2642" s="2" t="str">
        <f>IF(Table1[[#This Row],[Is Data Valid]]=TRUE,IF(Table1[[#This Row],[Fetal Sex (Male, Female or Unknown)]]="Male",Backend!$C$6,IF(Table1[[#This Row],[Fetal Sex (Male, Female or Unknown)]]="Female",Backend!$C$7,IF(Table1[[#This Row],[Fetal Sex (Male, Female or Unknown)]]="Unknown",Backend!$C$8,"Error"))),"")</f>
        <v/>
      </c>
      <c r="F2642" s="8" t="str">
        <f>IF(Table1[[#This Row],[Is Data Valid]]=TRUE,EXP(0.578+0.332*((Table1[[#This Row],[Gestation (days)]]+0.5)/7)-0.00354*((Table1[[#This Row],[Gestation (days)]]+0.5)/7)^2)*Table1[[#This Row],[BW40_3705]],"")</f>
        <v/>
      </c>
      <c r="G2642" s="2" t="str">
        <f>IF(Table1[[#This Row],[Is Data Valid]]=TRUE,((Table1[[#This Row],[Birthweight (grams)]]/Table1[[#This Row],[BW_GA]])-1)/(Backend!$B$4/100*Table1[[#This Row],[BW40_3705]]),"")</f>
        <v/>
      </c>
      <c r="H2642" s="7" t="str">
        <f>IF(Table1[[#This Row],[Is Data Valid]]=TRUE,((Table1[[#This Row],[Birthweight (grams)]]*0.9/Table1[[#This Row],[BW_GA]])-1)/(Backend!$B$4/100*Table1[[#This Row],[BW40_3705]]),"")</f>
        <v/>
      </c>
      <c r="I2642" s="7" t="str">
        <f>IF(Table1[[#This Row],[Is Data Valid]]=TRUE,((Table1[[#This Row],[Birthweight (grams)]]*1.1/Table1[[#This Row],[BW_GA]])-1)/(Backend!$B$4/100*Table1[[#This Row],[BW40_3705]]),"")</f>
        <v/>
      </c>
      <c r="J2642" s="7" t="str">
        <f>IF(Table1[[#This Row],[Is Data Valid]]=TRUE,_xlfn.NORM.S.DIST(Table1[[#This Row],[Birthweight Z-Score]],TRUE)*100,"")</f>
        <v/>
      </c>
      <c r="K2642" s="7" t="str">
        <f>IF(Table1[[#This Row],[Is Data Valid]]=TRUE,_xlfn.NORM.S.DIST(Table1[[#This Row],[Birthweight Z-Score (BW-10%)]],TRUE)*100,"")</f>
        <v/>
      </c>
      <c r="L2642" s="7" t="str">
        <f>IF(Table1[[#This Row],[Is Data Valid]]=TRUE,_xlfn.NORM.S.DIST(Table1[[#This Row],[Birthweight Z-Score (BW+10%)]],TRUE)*100,"")</f>
        <v/>
      </c>
    </row>
    <row r="2643" spans="1:12" x14ac:dyDescent="0.35">
      <c r="A2643" s="3"/>
      <c r="B2643" s="2"/>
      <c r="C2643" s="2"/>
      <c r="D2643" s="2" t="b">
        <f>IF(AND(NOT(ISBLANK(Table1[[#This Row],[Fetal Sex (Male, Female or Unknown)]])),ISNUMBER(Table1[[#This Row],[Birthweight (grams)]]),ISNUMBER(Table1[[#This Row],[Gestation (days)]])),TRUE,FALSE)</f>
        <v>0</v>
      </c>
      <c r="E2643" s="2" t="str">
        <f>IF(Table1[[#This Row],[Is Data Valid]]=TRUE,IF(Table1[[#This Row],[Fetal Sex (Male, Female or Unknown)]]="Male",Backend!$C$6,IF(Table1[[#This Row],[Fetal Sex (Male, Female or Unknown)]]="Female",Backend!$C$7,IF(Table1[[#This Row],[Fetal Sex (Male, Female or Unknown)]]="Unknown",Backend!$C$8,"Error"))),"")</f>
        <v/>
      </c>
      <c r="F2643" s="8" t="str">
        <f>IF(Table1[[#This Row],[Is Data Valid]]=TRUE,EXP(0.578+0.332*((Table1[[#This Row],[Gestation (days)]]+0.5)/7)-0.00354*((Table1[[#This Row],[Gestation (days)]]+0.5)/7)^2)*Table1[[#This Row],[BW40_3705]],"")</f>
        <v/>
      </c>
      <c r="G2643" s="2" t="str">
        <f>IF(Table1[[#This Row],[Is Data Valid]]=TRUE,((Table1[[#This Row],[Birthweight (grams)]]/Table1[[#This Row],[BW_GA]])-1)/(Backend!$B$4/100*Table1[[#This Row],[BW40_3705]]),"")</f>
        <v/>
      </c>
      <c r="H2643" s="7" t="str">
        <f>IF(Table1[[#This Row],[Is Data Valid]]=TRUE,((Table1[[#This Row],[Birthweight (grams)]]*0.9/Table1[[#This Row],[BW_GA]])-1)/(Backend!$B$4/100*Table1[[#This Row],[BW40_3705]]),"")</f>
        <v/>
      </c>
      <c r="I2643" s="7" t="str">
        <f>IF(Table1[[#This Row],[Is Data Valid]]=TRUE,((Table1[[#This Row],[Birthweight (grams)]]*1.1/Table1[[#This Row],[BW_GA]])-1)/(Backend!$B$4/100*Table1[[#This Row],[BW40_3705]]),"")</f>
        <v/>
      </c>
      <c r="J2643" s="7" t="str">
        <f>IF(Table1[[#This Row],[Is Data Valid]]=TRUE,_xlfn.NORM.S.DIST(Table1[[#This Row],[Birthweight Z-Score]],TRUE)*100,"")</f>
        <v/>
      </c>
      <c r="K2643" s="7" t="str">
        <f>IF(Table1[[#This Row],[Is Data Valid]]=TRUE,_xlfn.NORM.S.DIST(Table1[[#This Row],[Birthweight Z-Score (BW-10%)]],TRUE)*100,"")</f>
        <v/>
      </c>
      <c r="L2643" s="7" t="str">
        <f>IF(Table1[[#This Row],[Is Data Valid]]=TRUE,_xlfn.NORM.S.DIST(Table1[[#This Row],[Birthweight Z-Score (BW+10%)]],TRUE)*100,"")</f>
        <v/>
      </c>
    </row>
    <row r="2644" spans="1:12" x14ac:dyDescent="0.35">
      <c r="A2644" s="3"/>
      <c r="B2644" s="2"/>
      <c r="C2644" s="2"/>
      <c r="D2644" s="2" t="b">
        <f>IF(AND(NOT(ISBLANK(Table1[[#This Row],[Fetal Sex (Male, Female or Unknown)]])),ISNUMBER(Table1[[#This Row],[Birthweight (grams)]]),ISNUMBER(Table1[[#This Row],[Gestation (days)]])),TRUE,FALSE)</f>
        <v>0</v>
      </c>
      <c r="E2644" s="2" t="str">
        <f>IF(Table1[[#This Row],[Is Data Valid]]=TRUE,IF(Table1[[#This Row],[Fetal Sex (Male, Female or Unknown)]]="Male",Backend!$C$6,IF(Table1[[#This Row],[Fetal Sex (Male, Female or Unknown)]]="Female",Backend!$C$7,IF(Table1[[#This Row],[Fetal Sex (Male, Female or Unknown)]]="Unknown",Backend!$C$8,"Error"))),"")</f>
        <v/>
      </c>
      <c r="F2644" s="8" t="str">
        <f>IF(Table1[[#This Row],[Is Data Valid]]=TRUE,EXP(0.578+0.332*((Table1[[#This Row],[Gestation (days)]]+0.5)/7)-0.00354*((Table1[[#This Row],[Gestation (days)]]+0.5)/7)^2)*Table1[[#This Row],[BW40_3705]],"")</f>
        <v/>
      </c>
      <c r="G2644" s="2" t="str">
        <f>IF(Table1[[#This Row],[Is Data Valid]]=TRUE,((Table1[[#This Row],[Birthweight (grams)]]/Table1[[#This Row],[BW_GA]])-1)/(Backend!$B$4/100*Table1[[#This Row],[BW40_3705]]),"")</f>
        <v/>
      </c>
      <c r="H2644" s="7" t="str">
        <f>IF(Table1[[#This Row],[Is Data Valid]]=TRUE,((Table1[[#This Row],[Birthweight (grams)]]*0.9/Table1[[#This Row],[BW_GA]])-1)/(Backend!$B$4/100*Table1[[#This Row],[BW40_3705]]),"")</f>
        <v/>
      </c>
      <c r="I2644" s="7" t="str">
        <f>IF(Table1[[#This Row],[Is Data Valid]]=TRUE,((Table1[[#This Row],[Birthweight (grams)]]*1.1/Table1[[#This Row],[BW_GA]])-1)/(Backend!$B$4/100*Table1[[#This Row],[BW40_3705]]),"")</f>
        <v/>
      </c>
      <c r="J2644" s="7" t="str">
        <f>IF(Table1[[#This Row],[Is Data Valid]]=TRUE,_xlfn.NORM.S.DIST(Table1[[#This Row],[Birthweight Z-Score]],TRUE)*100,"")</f>
        <v/>
      </c>
      <c r="K2644" s="7" t="str">
        <f>IF(Table1[[#This Row],[Is Data Valid]]=TRUE,_xlfn.NORM.S.DIST(Table1[[#This Row],[Birthweight Z-Score (BW-10%)]],TRUE)*100,"")</f>
        <v/>
      </c>
      <c r="L2644" s="7" t="str">
        <f>IF(Table1[[#This Row],[Is Data Valid]]=TRUE,_xlfn.NORM.S.DIST(Table1[[#This Row],[Birthweight Z-Score (BW+10%)]],TRUE)*100,"")</f>
        <v/>
      </c>
    </row>
    <row r="2645" spans="1:12" x14ac:dyDescent="0.35">
      <c r="A2645" s="3"/>
      <c r="B2645" s="2"/>
      <c r="C2645" s="2"/>
      <c r="D2645" s="2" t="b">
        <f>IF(AND(NOT(ISBLANK(Table1[[#This Row],[Fetal Sex (Male, Female or Unknown)]])),ISNUMBER(Table1[[#This Row],[Birthweight (grams)]]),ISNUMBER(Table1[[#This Row],[Gestation (days)]])),TRUE,FALSE)</f>
        <v>0</v>
      </c>
      <c r="E2645" s="2" t="str">
        <f>IF(Table1[[#This Row],[Is Data Valid]]=TRUE,IF(Table1[[#This Row],[Fetal Sex (Male, Female or Unknown)]]="Male",Backend!$C$6,IF(Table1[[#This Row],[Fetal Sex (Male, Female or Unknown)]]="Female",Backend!$C$7,IF(Table1[[#This Row],[Fetal Sex (Male, Female or Unknown)]]="Unknown",Backend!$C$8,"Error"))),"")</f>
        <v/>
      </c>
      <c r="F2645" s="8" t="str">
        <f>IF(Table1[[#This Row],[Is Data Valid]]=TRUE,EXP(0.578+0.332*((Table1[[#This Row],[Gestation (days)]]+0.5)/7)-0.00354*((Table1[[#This Row],[Gestation (days)]]+0.5)/7)^2)*Table1[[#This Row],[BW40_3705]],"")</f>
        <v/>
      </c>
      <c r="G2645" s="2" t="str">
        <f>IF(Table1[[#This Row],[Is Data Valid]]=TRUE,((Table1[[#This Row],[Birthweight (grams)]]/Table1[[#This Row],[BW_GA]])-1)/(Backend!$B$4/100*Table1[[#This Row],[BW40_3705]]),"")</f>
        <v/>
      </c>
      <c r="H2645" s="7" t="str">
        <f>IF(Table1[[#This Row],[Is Data Valid]]=TRUE,((Table1[[#This Row],[Birthweight (grams)]]*0.9/Table1[[#This Row],[BW_GA]])-1)/(Backend!$B$4/100*Table1[[#This Row],[BW40_3705]]),"")</f>
        <v/>
      </c>
      <c r="I2645" s="7" t="str">
        <f>IF(Table1[[#This Row],[Is Data Valid]]=TRUE,((Table1[[#This Row],[Birthweight (grams)]]*1.1/Table1[[#This Row],[BW_GA]])-1)/(Backend!$B$4/100*Table1[[#This Row],[BW40_3705]]),"")</f>
        <v/>
      </c>
      <c r="J2645" s="7" t="str">
        <f>IF(Table1[[#This Row],[Is Data Valid]]=TRUE,_xlfn.NORM.S.DIST(Table1[[#This Row],[Birthweight Z-Score]],TRUE)*100,"")</f>
        <v/>
      </c>
      <c r="K2645" s="7" t="str">
        <f>IF(Table1[[#This Row],[Is Data Valid]]=TRUE,_xlfn.NORM.S.DIST(Table1[[#This Row],[Birthweight Z-Score (BW-10%)]],TRUE)*100,"")</f>
        <v/>
      </c>
      <c r="L2645" s="7" t="str">
        <f>IF(Table1[[#This Row],[Is Data Valid]]=TRUE,_xlfn.NORM.S.DIST(Table1[[#This Row],[Birthweight Z-Score (BW+10%)]],TRUE)*100,"")</f>
        <v/>
      </c>
    </row>
    <row r="2646" spans="1:12" x14ac:dyDescent="0.35">
      <c r="A2646" s="3"/>
      <c r="B2646" s="2"/>
      <c r="C2646" s="2"/>
      <c r="D2646" s="2" t="b">
        <f>IF(AND(NOT(ISBLANK(Table1[[#This Row],[Fetal Sex (Male, Female or Unknown)]])),ISNUMBER(Table1[[#This Row],[Birthweight (grams)]]),ISNUMBER(Table1[[#This Row],[Gestation (days)]])),TRUE,FALSE)</f>
        <v>0</v>
      </c>
      <c r="E2646" s="2" t="str">
        <f>IF(Table1[[#This Row],[Is Data Valid]]=TRUE,IF(Table1[[#This Row],[Fetal Sex (Male, Female or Unknown)]]="Male",Backend!$C$6,IF(Table1[[#This Row],[Fetal Sex (Male, Female or Unknown)]]="Female",Backend!$C$7,IF(Table1[[#This Row],[Fetal Sex (Male, Female or Unknown)]]="Unknown",Backend!$C$8,"Error"))),"")</f>
        <v/>
      </c>
      <c r="F2646" s="8" t="str">
        <f>IF(Table1[[#This Row],[Is Data Valid]]=TRUE,EXP(0.578+0.332*((Table1[[#This Row],[Gestation (days)]]+0.5)/7)-0.00354*((Table1[[#This Row],[Gestation (days)]]+0.5)/7)^2)*Table1[[#This Row],[BW40_3705]],"")</f>
        <v/>
      </c>
      <c r="G2646" s="2" t="str">
        <f>IF(Table1[[#This Row],[Is Data Valid]]=TRUE,((Table1[[#This Row],[Birthweight (grams)]]/Table1[[#This Row],[BW_GA]])-1)/(Backend!$B$4/100*Table1[[#This Row],[BW40_3705]]),"")</f>
        <v/>
      </c>
      <c r="H2646" s="7" t="str">
        <f>IF(Table1[[#This Row],[Is Data Valid]]=TRUE,((Table1[[#This Row],[Birthweight (grams)]]*0.9/Table1[[#This Row],[BW_GA]])-1)/(Backend!$B$4/100*Table1[[#This Row],[BW40_3705]]),"")</f>
        <v/>
      </c>
      <c r="I2646" s="7" t="str">
        <f>IF(Table1[[#This Row],[Is Data Valid]]=TRUE,((Table1[[#This Row],[Birthweight (grams)]]*1.1/Table1[[#This Row],[BW_GA]])-1)/(Backend!$B$4/100*Table1[[#This Row],[BW40_3705]]),"")</f>
        <v/>
      </c>
      <c r="J2646" s="7" t="str">
        <f>IF(Table1[[#This Row],[Is Data Valid]]=TRUE,_xlfn.NORM.S.DIST(Table1[[#This Row],[Birthweight Z-Score]],TRUE)*100,"")</f>
        <v/>
      </c>
      <c r="K2646" s="7" t="str">
        <f>IF(Table1[[#This Row],[Is Data Valid]]=TRUE,_xlfn.NORM.S.DIST(Table1[[#This Row],[Birthweight Z-Score (BW-10%)]],TRUE)*100,"")</f>
        <v/>
      </c>
      <c r="L2646" s="7" t="str">
        <f>IF(Table1[[#This Row],[Is Data Valid]]=TRUE,_xlfn.NORM.S.DIST(Table1[[#This Row],[Birthweight Z-Score (BW+10%)]],TRUE)*100,"")</f>
        <v/>
      </c>
    </row>
    <row r="2647" spans="1:12" x14ac:dyDescent="0.35">
      <c r="A2647" s="3"/>
      <c r="B2647" s="2"/>
      <c r="C2647" s="2"/>
      <c r="D2647" s="2" t="b">
        <f>IF(AND(NOT(ISBLANK(Table1[[#This Row],[Fetal Sex (Male, Female or Unknown)]])),ISNUMBER(Table1[[#This Row],[Birthweight (grams)]]),ISNUMBER(Table1[[#This Row],[Gestation (days)]])),TRUE,FALSE)</f>
        <v>0</v>
      </c>
      <c r="E2647" s="2" t="str">
        <f>IF(Table1[[#This Row],[Is Data Valid]]=TRUE,IF(Table1[[#This Row],[Fetal Sex (Male, Female or Unknown)]]="Male",Backend!$C$6,IF(Table1[[#This Row],[Fetal Sex (Male, Female or Unknown)]]="Female",Backend!$C$7,IF(Table1[[#This Row],[Fetal Sex (Male, Female or Unknown)]]="Unknown",Backend!$C$8,"Error"))),"")</f>
        <v/>
      </c>
      <c r="F2647" s="8" t="str">
        <f>IF(Table1[[#This Row],[Is Data Valid]]=TRUE,EXP(0.578+0.332*((Table1[[#This Row],[Gestation (days)]]+0.5)/7)-0.00354*((Table1[[#This Row],[Gestation (days)]]+0.5)/7)^2)*Table1[[#This Row],[BW40_3705]],"")</f>
        <v/>
      </c>
      <c r="G2647" s="2" t="str">
        <f>IF(Table1[[#This Row],[Is Data Valid]]=TRUE,((Table1[[#This Row],[Birthweight (grams)]]/Table1[[#This Row],[BW_GA]])-1)/(Backend!$B$4/100*Table1[[#This Row],[BW40_3705]]),"")</f>
        <v/>
      </c>
      <c r="H2647" s="7" t="str">
        <f>IF(Table1[[#This Row],[Is Data Valid]]=TRUE,((Table1[[#This Row],[Birthweight (grams)]]*0.9/Table1[[#This Row],[BW_GA]])-1)/(Backend!$B$4/100*Table1[[#This Row],[BW40_3705]]),"")</f>
        <v/>
      </c>
      <c r="I2647" s="7" t="str">
        <f>IF(Table1[[#This Row],[Is Data Valid]]=TRUE,((Table1[[#This Row],[Birthweight (grams)]]*1.1/Table1[[#This Row],[BW_GA]])-1)/(Backend!$B$4/100*Table1[[#This Row],[BW40_3705]]),"")</f>
        <v/>
      </c>
      <c r="J2647" s="7" t="str">
        <f>IF(Table1[[#This Row],[Is Data Valid]]=TRUE,_xlfn.NORM.S.DIST(Table1[[#This Row],[Birthweight Z-Score]],TRUE)*100,"")</f>
        <v/>
      </c>
      <c r="K2647" s="7" t="str">
        <f>IF(Table1[[#This Row],[Is Data Valid]]=TRUE,_xlfn.NORM.S.DIST(Table1[[#This Row],[Birthweight Z-Score (BW-10%)]],TRUE)*100,"")</f>
        <v/>
      </c>
      <c r="L2647" s="7" t="str">
        <f>IF(Table1[[#This Row],[Is Data Valid]]=TRUE,_xlfn.NORM.S.DIST(Table1[[#This Row],[Birthweight Z-Score (BW+10%)]],TRUE)*100,"")</f>
        <v/>
      </c>
    </row>
    <row r="2648" spans="1:12" x14ac:dyDescent="0.35">
      <c r="A2648" s="3"/>
      <c r="B2648" s="2"/>
      <c r="C2648" s="2"/>
      <c r="D2648" s="2" t="b">
        <f>IF(AND(NOT(ISBLANK(Table1[[#This Row],[Fetal Sex (Male, Female or Unknown)]])),ISNUMBER(Table1[[#This Row],[Birthweight (grams)]]),ISNUMBER(Table1[[#This Row],[Gestation (days)]])),TRUE,FALSE)</f>
        <v>0</v>
      </c>
      <c r="E2648" s="2" t="str">
        <f>IF(Table1[[#This Row],[Is Data Valid]]=TRUE,IF(Table1[[#This Row],[Fetal Sex (Male, Female or Unknown)]]="Male",Backend!$C$6,IF(Table1[[#This Row],[Fetal Sex (Male, Female or Unknown)]]="Female",Backend!$C$7,IF(Table1[[#This Row],[Fetal Sex (Male, Female or Unknown)]]="Unknown",Backend!$C$8,"Error"))),"")</f>
        <v/>
      </c>
      <c r="F2648" s="8" t="str">
        <f>IF(Table1[[#This Row],[Is Data Valid]]=TRUE,EXP(0.578+0.332*((Table1[[#This Row],[Gestation (days)]]+0.5)/7)-0.00354*((Table1[[#This Row],[Gestation (days)]]+0.5)/7)^2)*Table1[[#This Row],[BW40_3705]],"")</f>
        <v/>
      </c>
      <c r="G2648" s="2" t="str">
        <f>IF(Table1[[#This Row],[Is Data Valid]]=TRUE,((Table1[[#This Row],[Birthweight (grams)]]/Table1[[#This Row],[BW_GA]])-1)/(Backend!$B$4/100*Table1[[#This Row],[BW40_3705]]),"")</f>
        <v/>
      </c>
      <c r="H2648" s="7" t="str">
        <f>IF(Table1[[#This Row],[Is Data Valid]]=TRUE,((Table1[[#This Row],[Birthweight (grams)]]*0.9/Table1[[#This Row],[BW_GA]])-1)/(Backend!$B$4/100*Table1[[#This Row],[BW40_3705]]),"")</f>
        <v/>
      </c>
      <c r="I2648" s="7" t="str">
        <f>IF(Table1[[#This Row],[Is Data Valid]]=TRUE,((Table1[[#This Row],[Birthweight (grams)]]*1.1/Table1[[#This Row],[BW_GA]])-1)/(Backend!$B$4/100*Table1[[#This Row],[BW40_3705]]),"")</f>
        <v/>
      </c>
      <c r="J2648" s="7" t="str">
        <f>IF(Table1[[#This Row],[Is Data Valid]]=TRUE,_xlfn.NORM.S.DIST(Table1[[#This Row],[Birthweight Z-Score]],TRUE)*100,"")</f>
        <v/>
      </c>
      <c r="K2648" s="7" t="str">
        <f>IF(Table1[[#This Row],[Is Data Valid]]=TRUE,_xlfn.NORM.S.DIST(Table1[[#This Row],[Birthweight Z-Score (BW-10%)]],TRUE)*100,"")</f>
        <v/>
      </c>
      <c r="L2648" s="7" t="str">
        <f>IF(Table1[[#This Row],[Is Data Valid]]=TRUE,_xlfn.NORM.S.DIST(Table1[[#This Row],[Birthweight Z-Score (BW+10%)]],TRUE)*100,"")</f>
        <v/>
      </c>
    </row>
    <row r="2649" spans="1:12" x14ac:dyDescent="0.35">
      <c r="A2649" s="3"/>
      <c r="B2649" s="2"/>
      <c r="C2649" s="2"/>
      <c r="D2649" s="2" t="b">
        <f>IF(AND(NOT(ISBLANK(Table1[[#This Row],[Fetal Sex (Male, Female or Unknown)]])),ISNUMBER(Table1[[#This Row],[Birthweight (grams)]]),ISNUMBER(Table1[[#This Row],[Gestation (days)]])),TRUE,FALSE)</f>
        <v>0</v>
      </c>
      <c r="E2649" s="2" t="str">
        <f>IF(Table1[[#This Row],[Is Data Valid]]=TRUE,IF(Table1[[#This Row],[Fetal Sex (Male, Female or Unknown)]]="Male",Backend!$C$6,IF(Table1[[#This Row],[Fetal Sex (Male, Female or Unknown)]]="Female",Backend!$C$7,IF(Table1[[#This Row],[Fetal Sex (Male, Female or Unknown)]]="Unknown",Backend!$C$8,"Error"))),"")</f>
        <v/>
      </c>
      <c r="F2649" s="8" t="str">
        <f>IF(Table1[[#This Row],[Is Data Valid]]=TRUE,EXP(0.578+0.332*((Table1[[#This Row],[Gestation (days)]]+0.5)/7)-0.00354*((Table1[[#This Row],[Gestation (days)]]+0.5)/7)^2)*Table1[[#This Row],[BW40_3705]],"")</f>
        <v/>
      </c>
      <c r="G2649" s="2" t="str">
        <f>IF(Table1[[#This Row],[Is Data Valid]]=TRUE,((Table1[[#This Row],[Birthweight (grams)]]/Table1[[#This Row],[BW_GA]])-1)/(Backend!$B$4/100*Table1[[#This Row],[BW40_3705]]),"")</f>
        <v/>
      </c>
      <c r="H2649" s="7" t="str">
        <f>IF(Table1[[#This Row],[Is Data Valid]]=TRUE,((Table1[[#This Row],[Birthweight (grams)]]*0.9/Table1[[#This Row],[BW_GA]])-1)/(Backend!$B$4/100*Table1[[#This Row],[BW40_3705]]),"")</f>
        <v/>
      </c>
      <c r="I2649" s="7" t="str">
        <f>IF(Table1[[#This Row],[Is Data Valid]]=TRUE,((Table1[[#This Row],[Birthweight (grams)]]*1.1/Table1[[#This Row],[BW_GA]])-1)/(Backend!$B$4/100*Table1[[#This Row],[BW40_3705]]),"")</f>
        <v/>
      </c>
      <c r="J2649" s="7" t="str">
        <f>IF(Table1[[#This Row],[Is Data Valid]]=TRUE,_xlfn.NORM.S.DIST(Table1[[#This Row],[Birthweight Z-Score]],TRUE)*100,"")</f>
        <v/>
      </c>
      <c r="K2649" s="7" t="str">
        <f>IF(Table1[[#This Row],[Is Data Valid]]=TRUE,_xlfn.NORM.S.DIST(Table1[[#This Row],[Birthweight Z-Score (BW-10%)]],TRUE)*100,"")</f>
        <v/>
      </c>
      <c r="L2649" s="7" t="str">
        <f>IF(Table1[[#This Row],[Is Data Valid]]=TRUE,_xlfn.NORM.S.DIST(Table1[[#This Row],[Birthweight Z-Score (BW+10%)]],TRUE)*100,"")</f>
        <v/>
      </c>
    </row>
    <row r="2650" spans="1:12" x14ac:dyDescent="0.35">
      <c r="A2650" s="3"/>
      <c r="B2650" s="2"/>
      <c r="C2650" s="2"/>
      <c r="D2650" s="2" t="b">
        <f>IF(AND(NOT(ISBLANK(Table1[[#This Row],[Fetal Sex (Male, Female or Unknown)]])),ISNUMBER(Table1[[#This Row],[Birthweight (grams)]]),ISNUMBER(Table1[[#This Row],[Gestation (days)]])),TRUE,FALSE)</f>
        <v>0</v>
      </c>
      <c r="E2650" s="2" t="str">
        <f>IF(Table1[[#This Row],[Is Data Valid]]=TRUE,IF(Table1[[#This Row],[Fetal Sex (Male, Female or Unknown)]]="Male",Backend!$C$6,IF(Table1[[#This Row],[Fetal Sex (Male, Female or Unknown)]]="Female",Backend!$C$7,IF(Table1[[#This Row],[Fetal Sex (Male, Female or Unknown)]]="Unknown",Backend!$C$8,"Error"))),"")</f>
        <v/>
      </c>
      <c r="F2650" s="8" t="str">
        <f>IF(Table1[[#This Row],[Is Data Valid]]=TRUE,EXP(0.578+0.332*((Table1[[#This Row],[Gestation (days)]]+0.5)/7)-0.00354*((Table1[[#This Row],[Gestation (days)]]+0.5)/7)^2)*Table1[[#This Row],[BW40_3705]],"")</f>
        <v/>
      </c>
      <c r="G2650" s="2" t="str">
        <f>IF(Table1[[#This Row],[Is Data Valid]]=TRUE,((Table1[[#This Row],[Birthweight (grams)]]/Table1[[#This Row],[BW_GA]])-1)/(Backend!$B$4/100*Table1[[#This Row],[BW40_3705]]),"")</f>
        <v/>
      </c>
      <c r="H2650" s="7" t="str">
        <f>IF(Table1[[#This Row],[Is Data Valid]]=TRUE,((Table1[[#This Row],[Birthweight (grams)]]*0.9/Table1[[#This Row],[BW_GA]])-1)/(Backend!$B$4/100*Table1[[#This Row],[BW40_3705]]),"")</f>
        <v/>
      </c>
      <c r="I2650" s="7" t="str">
        <f>IF(Table1[[#This Row],[Is Data Valid]]=TRUE,((Table1[[#This Row],[Birthweight (grams)]]*1.1/Table1[[#This Row],[BW_GA]])-1)/(Backend!$B$4/100*Table1[[#This Row],[BW40_3705]]),"")</f>
        <v/>
      </c>
      <c r="J2650" s="7" t="str">
        <f>IF(Table1[[#This Row],[Is Data Valid]]=TRUE,_xlfn.NORM.S.DIST(Table1[[#This Row],[Birthweight Z-Score]],TRUE)*100,"")</f>
        <v/>
      </c>
      <c r="K2650" s="7" t="str">
        <f>IF(Table1[[#This Row],[Is Data Valid]]=TRUE,_xlfn.NORM.S.DIST(Table1[[#This Row],[Birthweight Z-Score (BW-10%)]],TRUE)*100,"")</f>
        <v/>
      </c>
      <c r="L2650" s="7" t="str">
        <f>IF(Table1[[#This Row],[Is Data Valid]]=TRUE,_xlfn.NORM.S.DIST(Table1[[#This Row],[Birthweight Z-Score (BW+10%)]],TRUE)*100,"")</f>
        <v/>
      </c>
    </row>
    <row r="2651" spans="1:12" x14ac:dyDescent="0.35">
      <c r="A2651" s="3"/>
      <c r="B2651" s="2"/>
      <c r="C2651" s="2"/>
      <c r="D2651" s="2" t="b">
        <f>IF(AND(NOT(ISBLANK(Table1[[#This Row],[Fetal Sex (Male, Female or Unknown)]])),ISNUMBER(Table1[[#This Row],[Birthweight (grams)]]),ISNUMBER(Table1[[#This Row],[Gestation (days)]])),TRUE,FALSE)</f>
        <v>0</v>
      </c>
      <c r="E2651" s="2" t="str">
        <f>IF(Table1[[#This Row],[Is Data Valid]]=TRUE,IF(Table1[[#This Row],[Fetal Sex (Male, Female or Unknown)]]="Male",Backend!$C$6,IF(Table1[[#This Row],[Fetal Sex (Male, Female or Unknown)]]="Female",Backend!$C$7,IF(Table1[[#This Row],[Fetal Sex (Male, Female or Unknown)]]="Unknown",Backend!$C$8,"Error"))),"")</f>
        <v/>
      </c>
      <c r="F2651" s="8" t="str">
        <f>IF(Table1[[#This Row],[Is Data Valid]]=TRUE,EXP(0.578+0.332*((Table1[[#This Row],[Gestation (days)]]+0.5)/7)-0.00354*((Table1[[#This Row],[Gestation (days)]]+0.5)/7)^2)*Table1[[#This Row],[BW40_3705]],"")</f>
        <v/>
      </c>
      <c r="G2651" s="2" t="str">
        <f>IF(Table1[[#This Row],[Is Data Valid]]=TRUE,((Table1[[#This Row],[Birthweight (grams)]]/Table1[[#This Row],[BW_GA]])-1)/(Backend!$B$4/100*Table1[[#This Row],[BW40_3705]]),"")</f>
        <v/>
      </c>
      <c r="H2651" s="7" t="str">
        <f>IF(Table1[[#This Row],[Is Data Valid]]=TRUE,((Table1[[#This Row],[Birthweight (grams)]]*0.9/Table1[[#This Row],[BW_GA]])-1)/(Backend!$B$4/100*Table1[[#This Row],[BW40_3705]]),"")</f>
        <v/>
      </c>
      <c r="I2651" s="7" t="str">
        <f>IF(Table1[[#This Row],[Is Data Valid]]=TRUE,((Table1[[#This Row],[Birthweight (grams)]]*1.1/Table1[[#This Row],[BW_GA]])-1)/(Backend!$B$4/100*Table1[[#This Row],[BW40_3705]]),"")</f>
        <v/>
      </c>
      <c r="J2651" s="7" t="str">
        <f>IF(Table1[[#This Row],[Is Data Valid]]=TRUE,_xlfn.NORM.S.DIST(Table1[[#This Row],[Birthweight Z-Score]],TRUE)*100,"")</f>
        <v/>
      </c>
      <c r="K2651" s="7" t="str">
        <f>IF(Table1[[#This Row],[Is Data Valid]]=TRUE,_xlfn.NORM.S.DIST(Table1[[#This Row],[Birthweight Z-Score (BW-10%)]],TRUE)*100,"")</f>
        <v/>
      </c>
      <c r="L2651" s="7" t="str">
        <f>IF(Table1[[#This Row],[Is Data Valid]]=TRUE,_xlfn.NORM.S.DIST(Table1[[#This Row],[Birthweight Z-Score (BW+10%)]],TRUE)*100,"")</f>
        <v/>
      </c>
    </row>
    <row r="2652" spans="1:12" x14ac:dyDescent="0.35">
      <c r="A2652" s="3"/>
      <c r="B2652" s="2"/>
      <c r="C2652" s="2"/>
      <c r="D2652" s="2" t="b">
        <f>IF(AND(NOT(ISBLANK(Table1[[#This Row],[Fetal Sex (Male, Female or Unknown)]])),ISNUMBER(Table1[[#This Row],[Birthweight (grams)]]),ISNUMBER(Table1[[#This Row],[Gestation (days)]])),TRUE,FALSE)</f>
        <v>0</v>
      </c>
      <c r="E2652" s="2" t="str">
        <f>IF(Table1[[#This Row],[Is Data Valid]]=TRUE,IF(Table1[[#This Row],[Fetal Sex (Male, Female or Unknown)]]="Male",Backend!$C$6,IF(Table1[[#This Row],[Fetal Sex (Male, Female or Unknown)]]="Female",Backend!$C$7,IF(Table1[[#This Row],[Fetal Sex (Male, Female or Unknown)]]="Unknown",Backend!$C$8,"Error"))),"")</f>
        <v/>
      </c>
      <c r="F2652" s="8" t="str">
        <f>IF(Table1[[#This Row],[Is Data Valid]]=TRUE,EXP(0.578+0.332*((Table1[[#This Row],[Gestation (days)]]+0.5)/7)-0.00354*((Table1[[#This Row],[Gestation (days)]]+0.5)/7)^2)*Table1[[#This Row],[BW40_3705]],"")</f>
        <v/>
      </c>
      <c r="G2652" s="2" t="str">
        <f>IF(Table1[[#This Row],[Is Data Valid]]=TRUE,((Table1[[#This Row],[Birthweight (grams)]]/Table1[[#This Row],[BW_GA]])-1)/(Backend!$B$4/100*Table1[[#This Row],[BW40_3705]]),"")</f>
        <v/>
      </c>
      <c r="H2652" s="7" t="str">
        <f>IF(Table1[[#This Row],[Is Data Valid]]=TRUE,((Table1[[#This Row],[Birthweight (grams)]]*0.9/Table1[[#This Row],[BW_GA]])-1)/(Backend!$B$4/100*Table1[[#This Row],[BW40_3705]]),"")</f>
        <v/>
      </c>
      <c r="I2652" s="7" t="str">
        <f>IF(Table1[[#This Row],[Is Data Valid]]=TRUE,((Table1[[#This Row],[Birthweight (grams)]]*1.1/Table1[[#This Row],[BW_GA]])-1)/(Backend!$B$4/100*Table1[[#This Row],[BW40_3705]]),"")</f>
        <v/>
      </c>
      <c r="J2652" s="7" t="str">
        <f>IF(Table1[[#This Row],[Is Data Valid]]=TRUE,_xlfn.NORM.S.DIST(Table1[[#This Row],[Birthweight Z-Score]],TRUE)*100,"")</f>
        <v/>
      </c>
      <c r="K2652" s="7" t="str">
        <f>IF(Table1[[#This Row],[Is Data Valid]]=TRUE,_xlfn.NORM.S.DIST(Table1[[#This Row],[Birthweight Z-Score (BW-10%)]],TRUE)*100,"")</f>
        <v/>
      </c>
      <c r="L2652" s="7" t="str">
        <f>IF(Table1[[#This Row],[Is Data Valid]]=TRUE,_xlfn.NORM.S.DIST(Table1[[#This Row],[Birthweight Z-Score (BW+10%)]],TRUE)*100,"")</f>
        <v/>
      </c>
    </row>
    <row r="2653" spans="1:12" x14ac:dyDescent="0.35">
      <c r="A2653" s="3"/>
      <c r="B2653" s="2"/>
      <c r="C2653" s="2"/>
      <c r="D2653" s="2" t="b">
        <f>IF(AND(NOT(ISBLANK(Table1[[#This Row],[Fetal Sex (Male, Female or Unknown)]])),ISNUMBER(Table1[[#This Row],[Birthweight (grams)]]),ISNUMBER(Table1[[#This Row],[Gestation (days)]])),TRUE,FALSE)</f>
        <v>0</v>
      </c>
      <c r="E2653" s="2" t="str">
        <f>IF(Table1[[#This Row],[Is Data Valid]]=TRUE,IF(Table1[[#This Row],[Fetal Sex (Male, Female or Unknown)]]="Male",Backend!$C$6,IF(Table1[[#This Row],[Fetal Sex (Male, Female or Unknown)]]="Female",Backend!$C$7,IF(Table1[[#This Row],[Fetal Sex (Male, Female or Unknown)]]="Unknown",Backend!$C$8,"Error"))),"")</f>
        <v/>
      </c>
      <c r="F2653" s="8" t="str">
        <f>IF(Table1[[#This Row],[Is Data Valid]]=TRUE,EXP(0.578+0.332*((Table1[[#This Row],[Gestation (days)]]+0.5)/7)-0.00354*((Table1[[#This Row],[Gestation (days)]]+0.5)/7)^2)*Table1[[#This Row],[BW40_3705]],"")</f>
        <v/>
      </c>
      <c r="G2653" s="2" t="str">
        <f>IF(Table1[[#This Row],[Is Data Valid]]=TRUE,((Table1[[#This Row],[Birthweight (grams)]]/Table1[[#This Row],[BW_GA]])-1)/(Backend!$B$4/100*Table1[[#This Row],[BW40_3705]]),"")</f>
        <v/>
      </c>
      <c r="H2653" s="7" t="str">
        <f>IF(Table1[[#This Row],[Is Data Valid]]=TRUE,((Table1[[#This Row],[Birthweight (grams)]]*0.9/Table1[[#This Row],[BW_GA]])-1)/(Backend!$B$4/100*Table1[[#This Row],[BW40_3705]]),"")</f>
        <v/>
      </c>
      <c r="I2653" s="7" t="str">
        <f>IF(Table1[[#This Row],[Is Data Valid]]=TRUE,((Table1[[#This Row],[Birthweight (grams)]]*1.1/Table1[[#This Row],[BW_GA]])-1)/(Backend!$B$4/100*Table1[[#This Row],[BW40_3705]]),"")</f>
        <v/>
      </c>
      <c r="J2653" s="7" t="str">
        <f>IF(Table1[[#This Row],[Is Data Valid]]=TRUE,_xlfn.NORM.S.DIST(Table1[[#This Row],[Birthweight Z-Score]],TRUE)*100,"")</f>
        <v/>
      </c>
      <c r="K2653" s="7" t="str">
        <f>IF(Table1[[#This Row],[Is Data Valid]]=TRUE,_xlfn.NORM.S.DIST(Table1[[#This Row],[Birthweight Z-Score (BW-10%)]],TRUE)*100,"")</f>
        <v/>
      </c>
      <c r="L2653" s="7" t="str">
        <f>IF(Table1[[#This Row],[Is Data Valid]]=TRUE,_xlfn.NORM.S.DIST(Table1[[#This Row],[Birthweight Z-Score (BW+10%)]],TRUE)*100,"")</f>
        <v/>
      </c>
    </row>
    <row r="2654" spans="1:12" x14ac:dyDescent="0.35">
      <c r="A2654" s="3"/>
      <c r="B2654" s="2"/>
      <c r="C2654" s="2"/>
      <c r="D2654" s="2" t="b">
        <f>IF(AND(NOT(ISBLANK(Table1[[#This Row],[Fetal Sex (Male, Female or Unknown)]])),ISNUMBER(Table1[[#This Row],[Birthweight (grams)]]),ISNUMBER(Table1[[#This Row],[Gestation (days)]])),TRUE,FALSE)</f>
        <v>0</v>
      </c>
      <c r="E2654" s="2" t="str">
        <f>IF(Table1[[#This Row],[Is Data Valid]]=TRUE,IF(Table1[[#This Row],[Fetal Sex (Male, Female or Unknown)]]="Male",Backend!$C$6,IF(Table1[[#This Row],[Fetal Sex (Male, Female or Unknown)]]="Female",Backend!$C$7,IF(Table1[[#This Row],[Fetal Sex (Male, Female or Unknown)]]="Unknown",Backend!$C$8,"Error"))),"")</f>
        <v/>
      </c>
      <c r="F2654" s="8" t="str">
        <f>IF(Table1[[#This Row],[Is Data Valid]]=TRUE,EXP(0.578+0.332*((Table1[[#This Row],[Gestation (days)]]+0.5)/7)-0.00354*((Table1[[#This Row],[Gestation (days)]]+0.5)/7)^2)*Table1[[#This Row],[BW40_3705]],"")</f>
        <v/>
      </c>
      <c r="G2654" s="2" t="str">
        <f>IF(Table1[[#This Row],[Is Data Valid]]=TRUE,((Table1[[#This Row],[Birthweight (grams)]]/Table1[[#This Row],[BW_GA]])-1)/(Backend!$B$4/100*Table1[[#This Row],[BW40_3705]]),"")</f>
        <v/>
      </c>
      <c r="H2654" s="7" t="str">
        <f>IF(Table1[[#This Row],[Is Data Valid]]=TRUE,((Table1[[#This Row],[Birthweight (grams)]]*0.9/Table1[[#This Row],[BW_GA]])-1)/(Backend!$B$4/100*Table1[[#This Row],[BW40_3705]]),"")</f>
        <v/>
      </c>
      <c r="I2654" s="7" t="str">
        <f>IF(Table1[[#This Row],[Is Data Valid]]=TRUE,((Table1[[#This Row],[Birthweight (grams)]]*1.1/Table1[[#This Row],[BW_GA]])-1)/(Backend!$B$4/100*Table1[[#This Row],[BW40_3705]]),"")</f>
        <v/>
      </c>
      <c r="J2654" s="7" t="str">
        <f>IF(Table1[[#This Row],[Is Data Valid]]=TRUE,_xlfn.NORM.S.DIST(Table1[[#This Row],[Birthweight Z-Score]],TRUE)*100,"")</f>
        <v/>
      </c>
      <c r="K2654" s="7" t="str">
        <f>IF(Table1[[#This Row],[Is Data Valid]]=TRUE,_xlfn.NORM.S.DIST(Table1[[#This Row],[Birthweight Z-Score (BW-10%)]],TRUE)*100,"")</f>
        <v/>
      </c>
      <c r="L2654" s="7" t="str">
        <f>IF(Table1[[#This Row],[Is Data Valid]]=TRUE,_xlfn.NORM.S.DIST(Table1[[#This Row],[Birthweight Z-Score (BW+10%)]],TRUE)*100,"")</f>
        <v/>
      </c>
    </row>
    <row r="2655" spans="1:12" x14ac:dyDescent="0.35">
      <c r="A2655" s="3"/>
      <c r="B2655" s="2"/>
      <c r="C2655" s="2"/>
      <c r="D2655" s="2" t="b">
        <f>IF(AND(NOT(ISBLANK(Table1[[#This Row],[Fetal Sex (Male, Female or Unknown)]])),ISNUMBER(Table1[[#This Row],[Birthweight (grams)]]),ISNUMBER(Table1[[#This Row],[Gestation (days)]])),TRUE,FALSE)</f>
        <v>0</v>
      </c>
      <c r="E2655" s="2" t="str">
        <f>IF(Table1[[#This Row],[Is Data Valid]]=TRUE,IF(Table1[[#This Row],[Fetal Sex (Male, Female or Unknown)]]="Male",Backend!$C$6,IF(Table1[[#This Row],[Fetal Sex (Male, Female or Unknown)]]="Female",Backend!$C$7,IF(Table1[[#This Row],[Fetal Sex (Male, Female or Unknown)]]="Unknown",Backend!$C$8,"Error"))),"")</f>
        <v/>
      </c>
      <c r="F2655" s="8" t="str">
        <f>IF(Table1[[#This Row],[Is Data Valid]]=TRUE,EXP(0.578+0.332*((Table1[[#This Row],[Gestation (days)]]+0.5)/7)-0.00354*((Table1[[#This Row],[Gestation (days)]]+0.5)/7)^2)*Table1[[#This Row],[BW40_3705]],"")</f>
        <v/>
      </c>
      <c r="G2655" s="2" t="str">
        <f>IF(Table1[[#This Row],[Is Data Valid]]=TRUE,((Table1[[#This Row],[Birthweight (grams)]]/Table1[[#This Row],[BW_GA]])-1)/(Backend!$B$4/100*Table1[[#This Row],[BW40_3705]]),"")</f>
        <v/>
      </c>
      <c r="H2655" s="7" t="str">
        <f>IF(Table1[[#This Row],[Is Data Valid]]=TRUE,((Table1[[#This Row],[Birthweight (grams)]]*0.9/Table1[[#This Row],[BW_GA]])-1)/(Backend!$B$4/100*Table1[[#This Row],[BW40_3705]]),"")</f>
        <v/>
      </c>
      <c r="I2655" s="7" t="str">
        <f>IF(Table1[[#This Row],[Is Data Valid]]=TRUE,((Table1[[#This Row],[Birthweight (grams)]]*1.1/Table1[[#This Row],[BW_GA]])-1)/(Backend!$B$4/100*Table1[[#This Row],[BW40_3705]]),"")</f>
        <v/>
      </c>
      <c r="J2655" s="7" t="str">
        <f>IF(Table1[[#This Row],[Is Data Valid]]=TRUE,_xlfn.NORM.S.DIST(Table1[[#This Row],[Birthweight Z-Score]],TRUE)*100,"")</f>
        <v/>
      </c>
      <c r="K2655" s="7" t="str">
        <f>IF(Table1[[#This Row],[Is Data Valid]]=TRUE,_xlfn.NORM.S.DIST(Table1[[#This Row],[Birthweight Z-Score (BW-10%)]],TRUE)*100,"")</f>
        <v/>
      </c>
      <c r="L2655" s="7" t="str">
        <f>IF(Table1[[#This Row],[Is Data Valid]]=TRUE,_xlfn.NORM.S.DIST(Table1[[#This Row],[Birthweight Z-Score (BW+10%)]],TRUE)*100,"")</f>
        <v/>
      </c>
    </row>
    <row r="2656" spans="1:12" x14ac:dyDescent="0.35">
      <c r="A2656" s="3"/>
      <c r="B2656" s="2"/>
      <c r="C2656" s="2"/>
      <c r="D2656" s="2" t="b">
        <f>IF(AND(NOT(ISBLANK(Table1[[#This Row],[Fetal Sex (Male, Female or Unknown)]])),ISNUMBER(Table1[[#This Row],[Birthweight (grams)]]),ISNUMBER(Table1[[#This Row],[Gestation (days)]])),TRUE,FALSE)</f>
        <v>0</v>
      </c>
      <c r="E2656" s="2" t="str">
        <f>IF(Table1[[#This Row],[Is Data Valid]]=TRUE,IF(Table1[[#This Row],[Fetal Sex (Male, Female or Unknown)]]="Male",Backend!$C$6,IF(Table1[[#This Row],[Fetal Sex (Male, Female or Unknown)]]="Female",Backend!$C$7,IF(Table1[[#This Row],[Fetal Sex (Male, Female or Unknown)]]="Unknown",Backend!$C$8,"Error"))),"")</f>
        <v/>
      </c>
      <c r="F2656" s="8" t="str">
        <f>IF(Table1[[#This Row],[Is Data Valid]]=TRUE,EXP(0.578+0.332*((Table1[[#This Row],[Gestation (days)]]+0.5)/7)-0.00354*((Table1[[#This Row],[Gestation (days)]]+0.5)/7)^2)*Table1[[#This Row],[BW40_3705]],"")</f>
        <v/>
      </c>
      <c r="G2656" s="2" t="str">
        <f>IF(Table1[[#This Row],[Is Data Valid]]=TRUE,((Table1[[#This Row],[Birthweight (grams)]]/Table1[[#This Row],[BW_GA]])-1)/(Backend!$B$4/100*Table1[[#This Row],[BW40_3705]]),"")</f>
        <v/>
      </c>
      <c r="H2656" s="7" t="str">
        <f>IF(Table1[[#This Row],[Is Data Valid]]=TRUE,((Table1[[#This Row],[Birthweight (grams)]]*0.9/Table1[[#This Row],[BW_GA]])-1)/(Backend!$B$4/100*Table1[[#This Row],[BW40_3705]]),"")</f>
        <v/>
      </c>
      <c r="I2656" s="7" t="str">
        <f>IF(Table1[[#This Row],[Is Data Valid]]=TRUE,((Table1[[#This Row],[Birthweight (grams)]]*1.1/Table1[[#This Row],[BW_GA]])-1)/(Backend!$B$4/100*Table1[[#This Row],[BW40_3705]]),"")</f>
        <v/>
      </c>
      <c r="J2656" s="7" t="str">
        <f>IF(Table1[[#This Row],[Is Data Valid]]=TRUE,_xlfn.NORM.S.DIST(Table1[[#This Row],[Birthweight Z-Score]],TRUE)*100,"")</f>
        <v/>
      </c>
      <c r="K2656" s="7" t="str">
        <f>IF(Table1[[#This Row],[Is Data Valid]]=TRUE,_xlfn.NORM.S.DIST(Table1[[#This Row],[Birthweight Z-Score (BW-10%)]],TRUE)*100,"")</f>
        <v/>
      </c>
      <c r="L2656" s="7" t="str">
        <f>IF(Table1[[#This Row],[Is Data Valid]]=TRUE,_xlfn.NORM.S.DIST(Table1[[#This Row],[Birthweight Z-Score (BW+10%)]],TRUE)*100,"")</f>
        <v/>
      </c>
    </row>
    <row r="2657" spans="1:12" x14ac:dyDescent="0.35">
      <c r="A2657" s="3"/>
      <c r="B2657" s="2"/>
      <c r="C2657" s="2"/>
      <c r="D2657" s="2" t="b">
        <f>IF(AND(NOT(ISBLANK(Table1[[#This Row],[Fetal Sex (Male, Female or Unknown)]])),ISNUMBER(Table1[[#This Row],[Birthweight (grams)]]),ISNUMBER(Table1[[#This Row],[Gestation (days)]])),TRUE,FALSE)</f>
        <v>0</v>
      </c>
      <c r="E2657" s="2" t="str">
        <f>IF(Table1[[#This Row],[Is Data Valid]]=TRUE,IF(Table1[[#This Row],[Fetal Sex (Male, Female or Unknown)]]="Male",Backend!$C$6,IF(Table1[[#This Row],[Fetal Sex (Male, Female or Unknown)]]="Female",Backend!$C$7,IF(Table1[[#This Row],[Fetal Sex (Male, Female or Unknown)]]="Unknown",Backend!$C$8,"Error"))),"")</f>
        <v/>
      </c>
      <c r="F2657" s="8" t="str">
        <f>IF(Table1[[#This Row],[Is Data Valid]]=TRUE,EXP(0.578+0.332*((Table1[[#This Row],[Gestation (days)]]+0.5)/7)-0.00354*((Table1[[#This Row],[Gestation (days)]]+0.5)/7)^2)*Table1[[#This Row],[BW40_3705]],"")</f>
        <v/>
      </c>
      <c r="G2657" s="2" t="str">
        <f>IF(Table1[[#This Row],[Is Data Valid]]=TRUE,((Table1[[#This Row],[Birthweight (grams)]]/Table1[[#This Row],[BW_GA]])-1)/(Backend!$B$4/100*Table1[[#This Row],[BW40_3705]]),"")</f>
        <v/>
      </c>
      <c r="H2657" s="7" t="str">
        <f>IF(Table1[[#This Row],[Is Data Valid]]=TRUE,((Table1[[#This Row],[Birthweight (grams)]]*0.9/Table1[[#This Row],[BW_GA]])-1)/(Backend!$B$4/100*Table1[[#This Row],[BW40_3705]]),"")</f>
        <v/>
      </c>
      <c r="I2657" s="7" t="str">
        <f>IF(Table1[[#This Row],[Is Data Valid]]=TRUE,((Table1[[#This Row],[Birthweight (grams)]]*1.1/Table1[[#This Row],[BW_GA]])-1)/(Backend!$B$4/100*Table1[[#This Row],[BW40_3705]]),"")</f>
        <v/>
      </c>
      <c r="J2657" s="7" t="str">
        <f>IF(Table1[[#This Row],[Is Data Valid]]=TRUE,_xlfn.NORM.S.DIST(Table1[[#This Row],[Birthweight Z-Score]],TRUE)*100,"")</f>
        <v/>
      </c>
      <c r="K2657" s="7" t="str">
        <f>IF(Table1[[#This Row],[Is Data Valid]]=TRUE,_xlfn.NORM.S.DIST(Table1[[#This Row],[Birthweight Z-Score (BW-10%)]],TRUE)*100,"")</f>
        <v/>
      </c>
      <c r="L2657" s="7" t="str">
        <f>IF(Table1[[#This Row],[Is Data Valid]]=TRUE,_xlfn.NORM.S.DIST(Table1[[#This Row],[Birthweight Z-Score (BW+10%)]],TRUE)*100,"")</f>
        <v/>
      </c>
    </row>
    <row r="2658" spans="1:12" x14ac:dyDescent="0.35">
      <c r="A2658" s="3"/>
      <c r="B2658" s="2"/>
      <c r="C2658" s="2"/>
      <c r="D2658" s="2" t="b">
        <f>IF(AND(NOT(ISBLANK(Table1[[#This Row],[Fetal Sex (Male, Female or Unknown)]])),ISNUMBER(Table1[[#This Row],[Birthweight (grams)]]),ISNUMBER(Table1[[#This Row],[Gestation (days)]])),TRUE,FALSE)</f>
        <v>0</v>
      </c>
      <c r="E2658" s="2" t="str">
        <f>IF(Table1[[#This Row],[Is Data Valid]]=TRUE,IF(Table1[[#This Row],[Fetal Sex (Male, Female or Unknown)]]="Male",Backend!$C$6,IF(Table1[[#This Row],[Fetal Sex (Male, Female or Unknown)]]="Female",Backend!$C$7,IF(Table1[[#This Row],[Fetal Sex (Male, Female or Unknown)]]="Unknown",Backend!$C$8,"Error"))),"")</f>
        <v/>
      </c>
      <c r="F2658" s="8" t="str">
        <f>IF(Table1[[#This Row],[Is Data Valid]]=TRUE,EXP(0.578+0.332*((Table1[[#This Row],[Gestation (days)]]+0.5)/7)-0.00354*((Table1[[#This Row],[Gestation (days)]]+0.5)/7)^2)*Table1[[#This Row],[BW40_3705]],"")</f>
        <v/>
      </c>
      <c r="G2658" s="2" t="str">
        <f>IF(Table1[[#This Row],[Is Data Valid]]=TRUE,((Table1[[#This Row],[Birthweight (grams)]]/Table1[[#This Row],[BW_GA]])-1)/(Backend!$B$4/100*Table1[[#This Row],[BW40_3705]]),"")</f>
        <v/>
      </c>
      <c r="H2658" s="7" t="str">
        <f>IF(Table1[[#This Row],[Is Data Valid]]=TRUE,((Table1[[#This Row],[Birthweight (grams)]]*0.9/Table1[[#This Row],[BW_GA]])-1)/(Backend!$B$4/100*Table1[[#This Row],[BW40_3705]]),"")</f>
        <v/>
      </c>
      <c r="I2658" s="7" t="str">
        <f>IF(Table1[[#This Row],[Is Data Valid]]=TRUE,((Table1[[#This Row],[Birthweight (grams)]]*1.1/Table1[[#This Row],[BW_GA]])-1)/(Backend!$B$4/100*Table1[[#This Row],[BW40_3705]]),"")</f>
        <v/>
      </c>
      <c r="J2658" s="7" t="str">
        <f>IF(Table1[[#This Row],[Is Data Valid]]=TRUE,_xlfn.NORM.S.DIST(Table1[[#This Row],[Birthweight Z-Score]],TRUE)*100,"")</f>
        <v/>
      </c>
      <c r="K2658" s="7" t="str">
        <f>IF(Table1[[#This Row],[Is Data Valid]]=TRUE,_xlfn.NORM.S.DIST(Table1[[#This Row],[Birthweight Z-Score (BW-10%)]],TRUE)*100,"")</f>
        <v/>
      </c>
      <c r="L2658" s="7" t="str">
        <f>IF(Table1[[#This Row],[Is Data Valid]]=TRUE,_xlfn.NORM.S.DIST(Table1[[#This Row],[Birthweight Z-Score (BW+10%)]],TRUE)*100,"")</f>
        <v/>
      </c>
    </row>
    <row r="2659" spans="1:12" x14ac:dyDescent="0.35">
      <c r="A2659" s="3"/>
      <c r="B2659" s="2"/>
      <c r="C2659" s="2"/>
      <c r="D2659" s="2" t="b">
        <f>IF(AND(NOT(ISBLANK(Table1[[#This Row],[Fetal Sex (Male, Female or Unknown)]])),ISNUMBER(Table1[[#This Row],[Birthweight (grams)]]),ISNUMBER(Table1[[#This Row],[Gestation (days)]])),TRUE,FALSE)</f>
        <v>0</v>
      </c>
      <c r="E2659" s="2" t="str">
        <f>IF(Table1[[#This Row],[Is Data Valid]]=TRUE,IF(Table1[[#This Row],[Fetal Sex (Male, Female or Unknown)]]="Male",Backend!$C$6,IF(Table1[[#This Row],[Fetal Sex (Male, Female or Unknown)]]="Female",Backend!$C$7,IF(Table1[[#This Row],[Fetal Sex (Male, Female or Unknown)]]="Unknown",Backend!$C$8,"Error"))),"")</f>
        <v/>
      </c>
      <c r="F2659" s="8" t="str">
        <f>IF(Table1[[#This Row],[Is Data Valid]]=TRUE,EXP(0.578+0.332*((Table1[[#This Row],[Gestation (days)]]+0.5)/7)-0.00354*((Table1[[#This Row],[Gestation (days)]]+0.5)/7)^2)*Table1[[#This Row],[BW40_3705]],"")</f>
        <v/>
      </c>
      <c r="G2659" s="2" t="str">
        <f>IF(Table1[[#This Row],[Is Data Valid]]=TRUE,((Table1[[#This Row],[Birthweight (grams)]]/Table1[[#This Row],[BW_GA]])-1)/(Backend!$B$4/100*Table1[[#This Row],[BW40_3705]]),"")</f>
        <v/>
      </c>
      <c r="H2659" s="7" t="str">
        <f>IF(Table1[[#This Row],[Is Data Valid]]=TRUE,((Table1[[#This Row],[Birthweight (grams)]]*0.9/Table1[[#This Row],[BW_GA]])-1)/(Backend!$B$4/100*Table1[[#This Row],[BW40_3705]]),"")</f>
        <v/>
      </c>
      <c r="I2659" s="7" t="str">
        <f>IF(Table1[[#This Row],[Is Data Valid]]=TRUE,((Table1[[#This Row],[Birthweight (grams)]]*1.1/Table1[[#This Row],[BW_GA]])-1)/(Backend!$B$4/100*Table1[[#This Row],[BW40_3705]]),"")</f>
        <v/>
      </c>
      <c r="J2659" s="7" t="str">
        <f>IF(Table1[[#This Row],[Is Data Valid]]=TRUE,_xlfn.NORM.S.DIST(Table1[[#This Row],[Birthweight Z-Score]],TRUE)*100,"")</f>
        <v/>
      </c>
      <c r="K2659" s="7" t="str">
        <f>IF(Table1[[#This Row],[Is Data Valid]]=TRUE,_xlfn.NORM.S.DIST(Table1[[#This Row],[Birthweight Z-Score (BW-10%)]],TRUE)*100,"")</f>
        <v/>
      </c>
      <c r="L2659" s="7" t="str">
        <f>IF(Table1[[#This Row],[Is Data Valid]]=TRUE,_xlfn.NORM.S.DIST(Table1[[#This Row],[Birthweight Z-Score (BW+10%)]],TRUE)*100,"")</f>
        <v/>
      </c>
    </row>
    <row r="2660" spans="1:12" x14ac:dyDescent="0.35">
      <c r="A2660" s="3"/>
      <c r="B2660" s="2"/>
      <c r="C2660" s="2"/>
      <c r="D2660" s="2" t="b">
        <f>IF(AND(NOT(ISBLANK(Table1[[#This Row],[Fetal Sex (Male, Female or Unknown)]])),ISNUMBER(Table1[[#This Row],[Birthweight (grams)]]),ISNUMBER(Table1[[#This Row],[Gestation (days)]])),TRUE,FALSE)</f>
        <v>0</v>
      </c>
      <c r="E2660" s="2" t="str">
        <f>IF(Table1[[#This Row],[Is Data Valid]]=TRUE,IF(Table1[[#This Row],[Fetal Sex (Male, Female or Unknown)]]="Male",Backend!$C$6,IF(Table1[[#This Row],[Fetal Sex (Male, Female or Unknown)]]="Female",Backend!$C$7,IF(Table1[[#This Row],[Fetal Sex (Male, Female or Unknown)]]="Unknown",Backend!$C$8,"Error"))),"")</f>
        <v/>
      </c>
      <c r="F2660" s="8" t="str">
        <f>IF(Table1[[#This Row],[Is Data Valid]]=TRUE,EXP(0.578+0.332*((Table1[[#This Row],[Gestation (days)]]+0.5)/7)-0.00354*((Table1[[#This Row],[Gestation (days)]]+0.5)/7)^2)*Table1[[#This Row],[BW40_3705]],"")</f>
        <v/>
      </c>
      <c r="G2660" s="2" t="str">
        <f>IF(Table1[[#This Row],[Is Data Valid]]=TRUE,((Table1[[#This Row],[Birthweight (grams)]]/Table1[[#This Row],[BW_GA]])-1)/(Backend!$B$4/100*Table1[[#This Row],[BW40_3705]]),"")</f>
        <v/>
      </c>
      <c r="H2660" s="7" t="str">
        <f>IF(Table1[[#This Row],[Is Data Valid]]=TRUE,((Table1[[#This Row],[Birthweight (grams)]]*0.9/Table1[[#This Row],[BW_GA]])-1)/(Backend!$B$4/100*Table1[[#This Row],[BW40_3705]]),"")</f>
        <v/>
      </c>
      <c r="I2660" s="7" t="str">
        <f>IF(Table1[[#This Row],[Is Data Valid]]=TRUE,((Table1[[#This Row],[Birthweight (grams)]]*1.1/Table1[[#This Row],[BW_GA]])-1)/(Backend!$B$4/100*Table1[[#This Row],[BW40_3705]]),"")</f>
        <v/>
      </c>
      <c r="J2660" s="7" t="str">
        <f>IF(Table1[[#This Row],[Is Data Valid]]=TRUE,_xlfn.NORM.S.DIST(Table1[[#This Row],[Birthweight Z-Score]],TRUE)*100,"")</f>
        <v/>
      </c>
      <c r="K2660" s="7" t="str">
        <f>IF(Table1[[#This Row],[Is Data Valid]]=TRUE,_xlfn.NORM.S.DIST(Table1[[#This Row],[Birthweight Z-Score (BW-10%)]],TRUE)*100,"")</f>
        <v/>
      </c>
      <c r="L2660" s="7" t="str">
        <f>IF(Table1[[#This Row],[Is Data Valid]]=TRUE,_xlfn.NORM.S.DIST(Table1[[#This Row],[Birthweight Z-Score (BW+10%)]],TRUE)*100,"")</f>
        <v/>
      </c>
    </row>
    <row r="2661" spans="1:12" x14ac:dyDescent="0.35">
      <c r="A2661" s="3"/>
      <c r="B2661" s="2"/>
      <c r="C2661" s="2"/>
      <c r="D2661" s="2" t="b">
        <f>IF(AND(NOT(ISBLANK(Table1[[#This Row],[Fetal Sex (Male, Female or Unknown)]])),ISNUMBER(Table1[[#This Row],[Birthweight (grams)]]),ISNUMBER(Table1[[#This Row],[Gestation (days)]])),TRUE,FALSE)</f>
        <v>0</v>
      </c>
      <c r="E2661" s="2" t="str">
        <f>IF(Table1[[#This Row],[Is Data Valid]]=TRUE,IF(Table1[[#This Row],[Fetal Sex (Male, Female or Unknown)]]="Male",Backend!$C$6,IF(Table1[[#This Row],[Fetal Sex (Male, Female or Unknown)]]="Female",Backend!$C$7,IF(Table1[[#This Row],[Fetal Sex (Male, Female or Unknown)]]="Unknown",Backend!$C$8,"Error"))),"")</f>
        <v/>
      </c>
      <c r="F2661" s="8" t="str">
        <f>IF(Table1[[#This Row],[Is Data Valid]]=TRUE,EXP(0.578+0.332*((Table1[[#This Row],[Gestation (days)]]+0.5)/7)-0.00354*((Table1[[#This Row],[Gestation (days)]]+0.5)/7)^2)*Table1[[#This Row],[BW40_3705]],"")</f>
        <v/>
      </c>
      <c r="G2661" s="2" t="str">
        <f>IF(Table1[[#This Row],[Is Data Valid]]=TRUE,((Table1[[#This Row],[Birthweight (grams)]]/Table1[[#This Row],[BW_GA]])-1)/(Backend!$B$4/100*Table1[[#This Row],[BW40_3705]]),"")</f>
        <v/>
      </c>
      <c r="H2661" s="7" t="str">
        <f>IF(Table1[[#This Row],[Is Data Valid]]=TRUE,((Table1[[#This Row],[Birthweight (grams)]]*0.9/Table1[[#This Row],[BW_GA]])-1)/(Backend!$B$4/100*Table1[[#This Row],[BW40_3705]]),"")</f>
        <v/>
      </c>
      <c r="I2661" s="7" t="str">
        <f>IF(Table1[[#This Row],[Is Data Valid]]=TRUE,((Table1[[#This Row],[Birthweight (grams)]]*1.1/Table1[[#This Row],[BW_GA]])-1)/(Backend!$B$4/100*Table1[[#This Row],[BW40_3705]]),"")</f>
        <v/>
      </c>
      <c r="J2661" s="7" t="str">
        <f>IF(Table1[[#This Row],[Is Data Valid]]=TRUE,_xlfn.NORM.S.DIST(Table1[[#This Row],[Birthweight Z-Score]],TRUE)*100,"")</f>
        <v/>
      </c>
      <c r="K2661" s="7" t="str">
        <f>IF(Table1[[#This Row],[Is Data Valid]]=TRUE,_xlfn.NORM.S.DIST(Table1[[#This Row],[Birthweight Z-Score (BW-10%)]],TRUE)*100,"")</f>
        <v/>
      </c>
      <c r="L2661" s="7" t="str">
        <f>IF(Table1[[#This Row],[Is Data Valid]]=TRUE,_xlfn.NORM.S.DIST(Table1[[#This Row],[Birthweight Z-Score (BW+10%)]],TRUE)*100,"")</f>
        <v/>
      </c>
    </row>
    <row r="2662" spans="1:12" x14ac:dyDescent="0.35">
      <c r="A2662" s="3"/>
      <c r="B2662" s="2"/>
      <c r="C2662" s="2"/>
      <c r="D2662" s="2" t="b">
        <f>IF(AND(NOT(ISBLANK(Table1[[#This Row],[Fetal Sex (Male, Female or Unknown)]])),ISNUMBER(Table1[[#This Row],[Birthweight (grams)]]),ISNUMBER(Table1[[#This Row],[Gestation (days)]])),TRUE,FALSE)</f>
        <v>0</v>
      </c>
      <c r="E2662" s="2" t="str">
        <f>IF(Table1[[#This Row],[Is Data Valid]]=TRUE,IF(Table1[[#This Row],[Fetal Sex (Male, Female or Unknown)]]="Male",Backend!$C$6,IF(Table1[[#This Row],[Fetal Sex (Male, Female or Unknown)]]="Female",Backend!$C$7,IF(Table1[[#This Row],[Fetal Sex (Male, Female or Unknown)]]="Unknown",Backend!$C$8,"Error"))),"")</f>
        <v/>
      </c>
      <c r="F2662" s="8" t="str">
        <f>IF(Table1[[#This Row],[Is Data Valid]]=TRUE,EXP(0.578+0.332*((Table1[[#This Row],[Gestation (days)]]+0.5)/7)-0.00354*((Table1[[#This Row],[Gestation (days)]]+0.5)/7)^2)*Table1[[#This Row],[BW40_3705]],"")</f>
        <v/>
      </c>
      <c r="G2662" s="2" t="str">
        <f>IF(Table1[[#This Row],[Is Data Valid]]=TRUE,((Table1[[#This Row],[Birthweight (grams)]]/Table1[[#This Row],[BW_GA]])-1)/(Backend!$B$4/100*Table1[[#This Row],[BW40_3705]]),"")</f>
        <v/>
      </c>
      <c r="H2662" s="7" t="str">
        <f>IF(Table1[[#This Row],[Is Data Valid]]=TRUE,((Table1[[#This Row],[Birthweight (grams)]]*0.9/Table1[[#This Row],[BW_GA]])-1)/(Backend!$B$4/100*Table1[[#This Row],[BW40_3705]]),"")</f>
        <v/>
      </c>
      <c r="I2662" s="7" t="str">
        <f>IF(Table1[[#This Row],[Is Data Valid]]=TRUE,((Table1[[#This Row],[Birthweight (grams)]]*1.1/Table1[[#This Row],[BW_GA]])-1)/(Backend!$B$4/100*Table1[[#This Row],[BW40_3705]]),"")</f>
        <v/>
      </c>
      <c r="J2662" s="7" t="str">
        <f>IF(Table1[[#This Row],[Is Data Valid]]=TRUE,_xlfn.NORM.S.DIST(Table1[[#This Row],[Birthweight Z-Score]],TRUE)*100,"")</f>
        <v/>
      </c>
      <c r="K2662" s="7" t="str">
        <f>IF(Table1[[#This Row],[Is Data Valid]]=TRUE,_xlfn.NORM.S.DIST(Table1[[#This Row],[Birthweight Z-Score (BW-10%)]],TRUE)*100,"")</f>
        <v/>
      </c>
      <c r="L2662" s="7" t="str">
        <f>IF(Table1[[#This Row],[Is Data Valid]]=TRUE,_xlfn.NORM.S.DIST(Table1[[#This Row],[Birthweight Z-Score (BW+10%)]],TRUE)*100,"")</f>
        <v/>
      </c>
    </row>
    <row r="2663" spans="1:12" x14ac:dyDescent="0.35">
      <c r="A2663" s="3"/>
      <c r="B2663" s="2"/>
      <c r="C2663" s="2"/>
      <c r="D2663" s="2" t="b">
        <f>IF(AND(NOT(ISBLANK(Table1[[#This Row],[Fetal Sex (Male, Female or Unknown)]])),ISNUMBER(Table1[[#This Row],[Birthweight (grams)]]),ISNUMBER(Table1[[#This Row],[Gestation (days)]])),TRUE,FALSE)</f>
        <v>0</v>
      </c>
      <c r="E2663" s="2" t="str">
        <f>IF(Table1[[#This Row],[Is Data Valid]]=TRUE,IF(Table1[[#This Row],[Fetal Sex (Male, Female or Unknown)]]="Male",Backend!$C$6,IF(Table1[[#This Row],[Fetal Sex (Male, Female or Unknown)]]="Female",Backend!$C$7,IF(Table1[[#This Row],[Fetal Sex (Male, Female or Unknown)]]="Unknown",Backend!$C$8,"Error"))),"")</f>
        <v/>
      </c>
      <c r="F2663" s="8" t="str">
        <f>IF(Table1[[#This Row],[Is Data Valid]]=TRUE,EXP(0.578+0.332*((Table1[[#This Row],[Gestation (days)]]+0.5)/7)-0.00354*((Table1[[#This Row],[Gestation (days)]]+0.5)/7)^2)*Table1[[#This Row],[BW40_3705]],"")</f>
        <v/>
      </c>
      <c r="G2663" s="2" t="str">
        <f>IF(Table1[[#This Row],[Is Data Valid]]=TRUE,((Table1[[#This Row],[Birthweight (grams)]]/Table1[[#This Row],[BW_GA]])-1)/(Backend!$B$4/100*Table1[[#This Row],[BW40_3705]]),"")</f>
        <v/>
      </c>
      <c r="H2663" s="7" t="str">
        <f>IF(Table1[[#This Row],[Is Data Valid]]=TRUE,((Table1[[#This Row],[Birthweight (grams)]]*0.9/Table1[[#This Row],[BW_GA]])-1)/(Backend!$B$4/100*Table1[[#This Row],[BW40_3705]]),"")</f>
        <v/>
      </c>
      <c r="I2663" s="7" t="str">
        <f>IF(Table1[[#This Row],[Is Data Valid]]=TRUE,((Table1[[#This Row],[Birthweight (grams)]]*1.1/Table1[[#This Row],[BW_GA]])-1)/(Backend!$B$4/100*Table1[[#This Row],[BW40_3705]]),"")</f>
        <v/>
      </c>
      <c r="J2663" s="7" t="str">
        <f>IF(Table1[[#This Row],[Is Data Valid]]=TRUE,_xlfn.NORM.S.DIST(Table1[[#This Row],[Birthweight Z-Score]],TRUE)*100,"")</f>
        <v/>
      </c>
      <c r="K2663" s="7" t="str">
        <f>IF(Table1[[#This Row],[Is Data Valid]]=TRUE,_xlfn.NORM.S.DIST(Table1[[#This Row],[Birthweight Z-Score (BW-10%)]],TRUE)*100,"")</f>
        <v/>
      </c>
      <c r="L2663" s="7" t="str">
        <f>IF(Table1[[#This Row],[Is Data Valid]]=TRUE,_xlfn.NORM.S.DIST(Table1[[#This Row],[Birthweight Z-Score (BW+10%)]],TRUE)*100,"")</f>
        <v/>
      </c>
    </row>
    <row r="2664" spans="1:12" x14ac:dyDescent="0.35">
      <c r="A2664" s="3"/>
      <c r="B2664" s="2"/>
      <c r="C2664" s="2"/>
      <c r="D2664" s="2" t="b">
        <f>IF(AND(NOT(ISBLANK(Table1[[#This Row],[Fetal Sex (Male, Female or Unknown)]])),ISNUMBER(Table1[[#This Row],[Birthweight (grams)]]),ISNUMBER(Table1[[#This Row],[Gestation (days)]])),TRUE,FALSE)</f>
        <v>0</v>
      </c>
      <c r="E2664" s="2" t="str">
        <f>IF(Table1[[#This Row],[Is Data Valid]]=TRUE,IF(Table1[[#This Row],[Fetal Sex (Male, Female or Unknown)]]="Male",Backend!$C$6,IF(Table1[[#This Row],[Fetal Sex (Male, Female or Unknown)]]="Female",Backend!$C$7,IF(Table1[[#This Row],[Fetal Sex (Male, Female or Unknown)]]="Unknown",Backend!$C$8,"Error"))),"")</f>
        <v/>
      </c>
      <c r="F2664" s="8" t="str">
        <f>IF(Table1[[#This Row],[Is Data Valid]]=TRUE,EXP(0.578+0.332*((Table1[[#This Row],[Gestation (days)]]+0.5)/7)-0.00354*((Table1[[#This Row],[Gestation (days)]]+0.5)/7)^2)*Table1[[#This Row],[BW40_3705]],"")</f>
        <v/>
      </c>
      <c r="G2664" s="2" t="str">
        <f>IF(Table1[[#This Row],[Is Data Valid]]=TRUE,((Table1[[#This Row],[Birthweight (grams)]]/Table1[[#This Row],[BW_GA]])-1)/(Backend!$B$4/100*Table1[[#This Row],[BW40_3705]]),"")</f>
        <v/>
      </c>
      <c r="H2664" s="7" t="str">
        <f>IF(Table1[[#This Row],[Is Data Valid]]=TRUE,((Table1[[#This Row],[Birthweight (grams)]]*0.9/Table1[[#This Row],[BW_GA]])-1)/(Backend!$B$4/100*Table1[[#This Row],[BW40_3705]]),"")</f>
        <v/>
      </c>
      <c r="I2664" s="7" t="str">
        <f>IF(Table1[[#This Row],[Is Data Valid]]=TRUE,((Table1[[#This Row],[Birthweight (grams)]]*1.1/Table1[[#This Row],[BW_GA]])-1)/(Backend!$B$4/100*Table1[[#This Row],[BW40_3705]]),"")</f>
        <v/>
      </c>
      <c r="J2664" s="7" t="str">
        <f>IF(Table1[[#This Row],[Is Data Valid]]=TRUE,_xlfn.NORM.S.DIST(Table1[[#This Row],[Birthweight Z-Score]],TRUE)*100,"")</f>
        <v/>
      </c>
      <c r="K2664" s="7" t="str">
        <f>IF(Table1[[#This Row],[Is Data Valid]]=TRUE,_xlfn.NORM.S.DIST(Table1[[#This Row],[Birthweight Z-Score (BW-10%)]],TRUE)*100,"")</f>
        <v/>
      </c>
      <c r="L2664" s="7" t="str">
        <f>IF(Table1[[#This Row],[Is Data Valid]]=TRUE,_xlfn.NORM.S.DIST(Table1[[#This Row],[Birthweight Z-Score (BW+10%)]],TRUE)*100,"")</f>
        <v/>
      </c>
    </row>
    <row r="2665" spans="1:12" x14ac:dyDescent="0.35">
      <c r="A2665" s="3"/>
      <c r="B2665" s="2"/>
      <c r="C2665" s="2"/>
      <c r="D2665" s="2" t="b">
        <f>IF(AND(NOT(ISBLANK(Table1[[#This Row],[Fetal Sex (Male, Female or Unknown)]])),ISNUMBER(Table1[[#This Row],[Birthweight (grams)]]),ISNUMBER(Table1[[#This Row],[Gestation (days)]])),TRUE,FALSE)</f>
        <v>0</v>
      </c>
      <c r="E2665" s="2" t="str">
        <f>IF(Table1[[#This Row],[Is Data Valid]]=TRUE,IF(Table1[[#This Row],[Fetal Sex (Male, Female or Unknown)]]="Male",Backend!$C$6,IF(Table1[[#This Row],[Fetal Sex (Male, Female or Unknown)]]="Female",Backend!$C$7,IF(Table1[[#This Row],[Fetal Sex (Male, Female or Unknown)]]="Unknown",Backend!$C$8,"Error"))),"")</f>
        <v/>
      </c>
      <c r="F2665" s="8" t="str">
        <f>IF(Table1[[#This Row],[Is Data Valid]]=TRUE,EXP(0.578+0.332*((Table1[[#This Row],[Gestation (days)]]+0.5)/7)-0.00354*((Table1[[#This Row],[Gestation (days)]]+0.5)/7)^2)*Table1[[#This Row],[BW40_3705]],"")</f>
        <v/>
      </c>
      <c r="G2665" s="2" t="str">
        <f>IF(Table1[[#This Row],[Is Data Valid]]=TRUE,((Table1[[#This Row],[Birthweight (grams)]]/Table1[[#This Row],[BW_GA]])-1)/(Backend!$B$4/100*Table1[[#This Row],[BW40_3705]]),"")</f>
        <v/>
      </c>
      <c r="H2665" s="7" t="str">
        <f>IF(Table1[[#This Row],[Is Data Valid]]=TRUE,((Table1[[#This Row],[Birthweight (grams)]]*0.9/Table1[[#This Row],[BW_GA]])-1)/(Backend!$B$4/100*Table1[[#This Row],[BW40_3705]]),"")</f>
        <v/>
      </c>
      <c r="I2665" s="7" t="str">
        <f>IF(Table1[[#This Row],[Is Data Valid]]=TRUE,((Table1[[#This Row],[Birthweight (grams)]]*1.1/Table1[[#This Row],[BW_GA]])-1)/(Backend!$B$4/100*Table1[[#This Row],[BW40_3705]]),"")</f>
        <v/>
      </c>
      <c r="J2665" s="7" t="str">
        <f>IF(Table1[[#This Row],[Is Data Valid]]=TRUE,_xlfn.NORM.S.DIST(Table1[[#This Row],[Birthweight Z-Score]],TRUE)*100,"")</f>
        <v/>
      </c>
      <c r="K2665" s="7" t="str">
        <f>IF(Table1[[#This Row],[Is Data Valid]]=TRUE,_xlfn.NORM.S.DIST(Table1[[#This Row],[Birthweight Z-Score (BW-10%)]],TRUE)*100,"")</f>
        <v/>
      </c>
      <c r="L2665" s="7" t="str">
        <f>IF(Table1[[#This Row],[Is Data Valid]]=TRUE,_xlfn.NORM.S.DIST(Table1[[#This Row],[Birthweight Z-Score (BW+10%)]],TRUE)*100,"")</f>
        <v/>
      </c>
    </row>
    <row r="2666" spans="1:12" x14ac:dyDescent="0.35">
      <c r="A2666" s="3"/>
      <c r="B2666" s="2"/>
      <c r="C2666" s="2"/>
      <c r="D2666" s="2" t="b">
        <f>IF(AND(NOT(ISBLANK(Table1[[#This Row],[Fetal Sex (Male, Female or Unknown)]])),ISNUMBER(Table1[[#This Row],[Birthweight (grams)]]),ISNUMBER(Table1[[#This Row],[Gestation (days)]])),TRUE,FALSE)</f>
        <v>0</v>
      </c>
      <c r="E2666" s="2" t="str">
        <f>IF(Table1[[#This Row],[Is Data Valid]]=TRUE,IF(Table1[[#This Row],[Fetal Sex (Male, Female or Unknown)]]="Male",Backend!$C$6,IF(Table1[[#This Row],[Fetal Sex (Male, Female or Unknown)]]="Female",Backend!$C$7,IF(Table1[[#This Row],[Fetal Sex (Male, Female or Unknown)]]="Unknown",Backend!$C$8,"Error"))),"")</f>
        <v/>
      </c>
      <c r="F2666" s="8" t="str">
        <f>IF(Table1[[#This Row],[Is Data Valid]]=TRUE,EXP(0.578+0.332*((Table1[[#This Row],[Gestation (days)]]+0.5)/7)-0.00354*((Table1[[#This Row],[Gestation (days)]]+0.5)/7)^2)*Table1[[#This Row],[BW40_3705]],"")</f>
        <v/>
      </c>
      <c r="G2666" s="2" t="str">
        <f>IF(Table1[[#This Row],[Is Data Valid]]=TRUE,((Table1[[#This Row],[Birthweight (grams)]]/Table1[[#This Row],[BW_GA]])-1)/(Backend!$B$4/100*Table1[[#This Row],[BW40_3705]]),"")</f>
        <v/>
      </c>
      <c r="H2666" s="7" t="str">
        <f>IF(Table1[[#This Row],[Is Data Valid]]=TRUE,((Table1[[#This Row],[Birthweight (grams)]]*0.9/Table1[[#This Row],[BW_GA]])-1)/(Backend!$B$4/100*Table1[[#This Row],[BW40_3705]]),"")</f>
        <v/>
      </c>
      <c r="I2666" s="7" t="str">
        <f>IF(Table1[[#This Row],[Is Data Valid]]=TRUE,((Table1[[#This Row],[Birthweight (grams)]]*1.1/Table1[[#This Row],[BW_GA]])-1)/(Backend!$B$4/100*Table1[[#This Row],[BW40_3705]]),"")</f>
        <v/>
      </c>
      <c r="J2666" s="7" t="str">
        <f>IF(Table1[[#This Row],[Is Data Valid]]=TRUE,_xlfn.NORM.S.DIST(Table1[[#This Row],[Birthweight Z-Score]],TRUE)*100,"")</f>
        <v/>
      </c>
      <c r="K2666" s="7" t="str">
        <f>IF(Table1[[#This Row],[Is Data Valid]]=TRUE,_xlfn.NORM.S.DIST(Table1[[#This Row],[Birthweight Z-Score (BW-10%)]],TRUE)*100,"")</f>
        <v/>
      </c>
      <c r="L2666" s="7" t="str">
        <f>IF(Table1[[#This Row],[Is Data Valid]]=TRUE,_xlfn.NORM.S.DIST(Table1[[#This Row],[Birthweight Z-Score (BW+10%)]],TRUE)*100,"")</f>
        <v/>
      </c>
    </row>
    <row r="2667" spans="1:12" x14ac:dyDescent="0.35">
      <c r="A2667" s="3"/>
      <c r="B2667" s="2"/>
      <c r="C2667" s="2"/>
      <c r="D2667" s="2" t="b">
        <f>IF(AND(NOT(ISBLANK(Table1[[#This Row],[Fetal Sex (Male, Female or Unknown)]])),ISNUMBER(Table1[[#This Row],[Birthweight (grams)]]),ISNUMBER(Table1[[#This Row],[Gestation (days)]])),TRUE,FALSE)</f>
        <v>0</v>
      </c>
      <c r="E2667" s="2" t="str">
        <f>IF(Table1[[#This Row],[Is Data Valid]]=TRUE,IF(Table1[[#This Row],[Fetal Sex (Male, Female or Unknown)]]="Male",Backend!$C$6,IF(Table1[[#This Row],[Fetal Sex (Male, Female or Unknown)]]="Female",Backend!$C$7,IF(Table1[[#This Row],[Fetal Sex (Male, Female or Unknown)]]="Unknown",Backend!$C$8,"Error"))),"")</f>
        <v/>
      </c>
      <c r="F2667" s="8" t="str">
        <f>IF(Table1[[#This Row],[Is Data Valid]]=TRUE,EXP(0.578+0.332*((Table1[[#This Row],[Gestation (days)]]+0.5)/7)-0.00354*((Table1[[#This Row],[Gestation (days)]]+0.5)/7)^2)*Table1[[#This Row],[BW40_3705]],"")</f>
        <v/>
      </c>
      <c r="G2667" s="2" t="str">
        <f>IF(Table1[[#This Row],[Is Data Valid]]=TRUE,((Table1[[#This Row],[Birthweight (grams)]]/Table1[[#This Row],[BW_GA]])-1)/(Backend!$B$4/100*Table1[[#This Row],[BW40_3705]]),"")</f>
        <v/>
      </c>
      <c r="H2667" s="7" t="str">
        <f>IF(Table1[[#This Row],[Is Data Valid]]=TRUE,((Table1[[#This Row],[Birthweight (grams)]]*0.9/Table1[[#This Row],[BW_GA]])-1)/(Backend!$B$4/100*Table1[[#This Row],[BW40_3705]]),"")</f>
        <v/>
      </c>
      <c r="I2667" s="7" t="str">
        <f>IF(Table1[[#This Row],[Is Data Valid]]=TRUE,((Table1[[#This Row],[Birthweight (grams)]]*1.1/Table1[[#This Row],[BW_GA]])-1)/(Backend!$B$4/100*Table1[[#This Row],[BW40_3705]]),"")</f>
        <v/>
      </c>
      <c r="J2667" s="7" t="str">
        <f>IF(Table1[[#This Row],[Is Data Valid]]=TRUE,_xlfn.NORM.S.DIST(Table1[[#This Row],[Birthweight Z-Score]],TRUE)*100,"")</f>
        <v/>
      </c>
      <c r="K2667" s="7" t="str">
        <f>IF(Table1[[#This Row],[Is Data Valid]]=TRUE,_xlfn.NORM.S.DIST(Table1[[#This Row],[Birthweight Z-Score (BW-10%)]],TRUE)*100,"")</f>
        <v/>
      </c>
      <c r="L2667" s="7" t="str">
        <f>IF(Table1[[#This Row],[Is Data Valid]]=TRUE,_xlfn.NORM.S.DIST(Table1[[#This Row],[Birthweight Z-Score (BW+10%)]],TRUE)*100,"")</f>
        <v/>
      </c>
    </row>
    <row r="2668" spans="1:12" x14ac:dyDescent="0.35">
      <c r="A2668" s="3"/>
      <c r="B2668" s="2"/>
      <c r="C2668" s="2"/>
      <c r="D2668" s="2" t="b">
        <f>IF(AND(NOT(ISBLANK(Table1[[#This Row],[Fetal Sex (Male, Female or Unknown)]])),ISNUMBER(Table1[[#This Row],[Birthweight (grams)]]),ISNUMBER(Table1[[#This Row],[Gestation (days)]])),TRUE,FALSE)</f>
        <v>0</v>
      </c>
      <c r="E2668" s="2" t="str">
        <f>IF(Table1[[#This Row],[Is Data Valid]]=TRUE,IF(Table1[[#This Row],[Fetal Sex (Male, Female or Unknown)]]="Male",Backend!$C$6,IF(Table1[[#This Row],[Fetal Sex (Male, Female or Unknown)]]="Female",Backend!$C$7,IF(Table1[[#This Row],[Fetal Sex (Male, Female or Unknown)]]="Unknown",Backend!$C$8,"Error"))),"")</f>
        <v/>
      </c>
      <c r="F2668" s="8" t="str">
        <f>IF(Table1[[#This Row],[Is Data Valid]]=TRUE,EXP(0.578+0.332*((Table1[[#This Row],[Gestation (days)]]+0.5)/7)-0.00354*((Table1[[#This Row],[Gestation (days)]]+0.5)/7)^2)*Table1[[#This Row],[BW40_3705]],"")</f>
        <v/>
      </c>
      <c r="G2668" s="2" t="str">
        <f>IF(Table1[[#This Row],[Is Data Valid]]=TRUE,((Table1[[#This Row],[Birthweight (grams)]]/Table1[[#This Row],[BW_GA]])-1)/(Backend!$B$4/100*Table1[[#This Row],[BW40_3705]]),"")</f>
        <v/>
      </c>
      <c r="H2668" s="7" t="str">
        <f>IF(Table1[[#This Row],[Is Data Valid]]=TRUE,((Table1[[#This Row],[Birthweight (grams)]]*0.9/Table1[[#This Row],[BW_GA]])-1)/(Backend!$B$4/100*Table1[[#This Row],[BW40_3705]]),"")</f>
        <v/>
      </c>
      <c r="I2668" s="7" t="str">
        <f>IF(Table1[[#This Row],[Is Data Valid]]=TRUE,((Table1[[#This Row],[Birthweight (grams)]]*1.1/Table1[[#This Row],[BW_GA]])-1)/(Backend!$B$4/100*Table1[[#This Row],[BW40_3705]]),"")</f>
        <v/>
      </c>
      <c r="J2668" s="7" t="str">
        <f>IF(Table1[[#This Row],[Is Data Valid]]=TRUE,_xlfn.NORM.S.DIST(Table1[[#This Row],[Birthweight Z-Score]],TRUE)*100,"")</f>
        <v/>
      </c>
      <c r="K2668" s="7" t="str">
        <f>IF(Table1[[#This Row],[Is Data Valid]]=TRUE,_xlfn.NORM.S.DIST(Table1[[#This Row],[Birthweight Z-Score (BW-10%)]],TRUE)*100,"")</f>
        <v/>
      </c>
      <c r="L2668" s="7" t="str">
        <f>IF(Table1[[#This Row],[Is Data Valid]]=TRUE,_xlfn.NORM.S.DIST(Table1[[#This Row],[Birthweight Z-Score (BW+10%)]],TRUE)*100,"")</f>
        <v/>
      </c>
    </row>
    <row r="2669" spans="1:12" x14ac:dyDescent="0.35">
      <c r="A2669" s="3"/>
      <c r="B2669" s="2"/>
      <c r="C2669" s="2"/>
      <c r="D2669" s="2" t="b">
        <f>IF(AND(NOT(ISBLANK(Table1[[#This Row],[Fetal Sex (Male, Female or Unknown)]])),ISNUMBER(Table1[[#This Row],[Birthweight (grams)]]),ISNUMBER(Table1[[#This Row],[Gestation (days)]])),TRUE,FALSE)</f>
        <v>0</v>
      </c>
      <c r="E2669" s="2" t="str">
        <f>IF(Table1[[#This Row],[Is Data Valid]]=TRUE,IF(Table1[[#This Row],[Fetal Sex (Male, Female or Unknown)]]="Male",Backend!$C$6,IF(Table1[[#This Row],[Fetal Sex (Male, Female or Unknown)]]="Female",Backend!$C$7,IF(Table1[[#This Row],[Fetal Sex (Male, Female or Unknown)]]="Unknown",Backend!$C$8,"Error"))),"")</f>
        <v/>
      </c>
      <c r="F2669" s="8" t="str">
        <f>IF(Table1[[#This Row],[Is Data Valid]]=TRUE,EXP(0.578+0.332*((Table1[[#This Row],[Gestation (days)]]+0.5)/7)-0.00354*((Table1[[#This Row],[Gestation (days)]]+0.5)/7)^2)*Table1[[#This Row],[BW40_3705]],"")</f>
        <v/>
      </c>
      <c r="G2669" s="2" t="str">
        <f>IF(Table1[[#This Row],[Is Data Valid]]=TRUE,((Table1[[#This Row],[Birthweight (grams)]]/Table1[[#This Row],[BW_GA]])-1)/(Backend!$B$4/100*Table1[[#This Row],[BW40_3705]]),"")</f>
        <v/>
      </c>
      <c r="H2669" s="7" t="str">
        <f>IF(Table1[[#This Row],[Is Data Valid]]=TRUE,((Table1[[#This Row],[Birthweight (grams)]]*0.9/Table1[[#This Row],[BW_GA]])-1)/(Backend!$B$4/100*Table1[[#This Row],[BW40_3705]]),"")</f>
        <v/>
      </c>
      <c r="I2669" s="7" t="str">
        <f>IF(Table1[[#This Row],[Is Data Valid]]=TRUE,((Table1[[#This Row],[Birthweight (grams)]]*1.1/Table1[[#This Row],[BW_GA]])-1)/(Backend!$B$4/100*Table1[[#This Row],[BW40_3705]]),"")</f>
        <v/>
      </c>
      <c r="J2669" s="7" t="str">
        <f>IF(Table1[[#This Row],[Is Data Valid]]=TRUE,_xlfn.NORM.S.DIST(Table1[[#This Row],[Birthweight Z-Score]],TRUE)*100,"")</f>
        <v/>
      </c>
      <c r="K2669" s="7" t="str">
        <f>IF(Table1[[#This Row],[Is Data Valid]]=TRUE,_xlfn.NORM.S.DIST(Table1[[#This Row],[Birthweight Z-Score (BW-10%)]],TRUE)*100,"")</f>
        <v/>
      </c>
      <c r="L2669" s="7" t="str">
        <f>IF(Table1[[#This Row],[Is Data Valid]]=TRUE,_xlfn.NORM.S.DIST(Table1[[#This Row],[Birthweight Z-Score (BW+10%)]],TRUE)*100,"")</f>
        <v/>
      </c>
    </row>
    <row r="2670" spans="1:12" x14ac:dyDescent="0.35">
      <c r="A2670" s="3"/>
      <c r="B2670" s="2"/>
      <c r="C2670" s="2"/>
      <c r="D2670" s="2" t="b">
        <f>IF(AND(NOT(ISBLANK(Table1[[#This Row],[Fetal Sex (Male, Female or Unknown)]])),ISNUMBER(Table1[[#This Row],[Birthweight (grams)]]),ISNUMBER(Table1[[#This Row],[Gestation (days)]])),TRUE,FALSE)</f>
        <v>0</v>
      </c>
      <c r="E2670" s="2" t="str">
        <f>IF(Table1[[#This Row],[Is Data Valid]]=TRUE,IF(Table1[[#This Row],[Fetal Sex (Male, Female or Unknown)]]="Male",Backend!$C$6,IF(Table1[[#This Row],[Fetal Sex (Male, Female or Unknown)]]="Female",Backend!$C$7,IF(Table1[[#This Row],[Fetal Sex (Male, Female or Unknown)]]="Unknown",Backend!$C$8,"Error"))),"")</f>
        <v/>
      </c>
      <c r="F2670" s="8" t="str">
        <f>IF(Table1[[#This Row],[Is Data Valid]]=TRUE,EXP(0.578+0.332*((Table1[[#This Row],[Gestation (days)]]+0.5)/7)-0.00354*((Table1[[#This Row],[Gestation (days)]]+0.5)/7)^2)*Table1[[#This Row],[BW40_3705]],"")</f>
        <v/>
      </c>
      <c r="G2670" s="2" t="str">
        <f>IF(Table1[[#This Row],[Is Data Valid]]=TRUE,((Table1[[#This Row],[Birthweight (grams)]]/Table1[[#This Row],[BW_GA]])-1)/(Backend!$B$4/100*Table1[[#This Row],[BW40_3705]]),"")</f>
        <v/>
      </c>
      <c r="H2670" s="7" t="str">
        <f>IF(Table1[[#This Row],[Is Data Valid]]=TRUE,((Table1[[#This Row],[Birthweight (grams)]]*0.9/Table1[[#This Row],[BW_GA]])-1)/(Backend!$B$4/100*Table1[[#This Row],[BW40_3705]]),"")</f>
        <v/>
      </c>
      <c r="I2670" s="7" t="str">
        <f>IF(Table1[[#This Row],[Is Data Valid]]=TRUE,((Table1[[#This Row],[Birthweight (grams)]]*1.1/Table1[[#This Row],[BW_GA]])-1)/(Backend!$B$4/100*Table1[[#This Row],[BW40_3705]]),"")</f>
        <v/>
      </c>
      <c r="J2670" s="7" t="str">
        <f>IF(Table1[[#This Row],[Is Data Valid]]=TRUE,_xlfn.NORM.S.DIST(Table1[[#This Row],[Birthweight Z-Score]],TRUE)*100,"")</f>
        <v/>
      </c>
      <c r="K2670" s="7" t="str">
        <f>IF(Table1[[#This Row],[Is Data Valid]]=TRUE,_xlfn.NORM.S.DIST(Table1[[#This Row],[Birthweight Z-Score (BW-10%)]],TRUE)*100,"")</f>
        <v/>
      </c>
      <c r="L2670" s="7" t="str">
        <f>IF(Table1[[#This Row],[Is Data Valid]]=TRUE,_xlfn.NORM.S.DIST(Table1[[#This Row],[Birthweight Z-Score (BW+10%)]],TRUE)*100,"")</f>
        <v/>
      </c>
    </row>
    <row r="2671" spans="1:12" x14ac:dyDescent="0.35">
      <c r="A2671" s="3"/>
      <c r="B2671" s="2"/>
      <c r="C2671" s="2"/>
      <c r="D2671" s="2" t="b">
        <f>IF(AND(NOT(ISBLANK(Table1[[#This Row],[Fetal Sex (Male, Female or Unknown)]])),ISNUMBER(Table1[[#This Row],[Birthweight (grams)]]),ISNUMBER(Table1[[#This Row],[Gestation (days)]])),TRUE,FALSE)</f>
        <v>0</v>
      </c>
      <c r="E2671" s="2" t="str">
        <f>IF(Table1[[#This Row],[Is Data Valid]]=TRUE,IF(Table1[[#This Row],[Fetal Sex (Male, Female or Unknown)]]="Male",Backend!$C$6,IF(Table1[[#This Row],[Fetal Sex (Male, Female or Unknown)]]="Female",Backend!$C$7,IF(Table1[[#This Row],[Fetal Sex (Male, Female or Unknown)]]="Unknown",Backend!$C$8,"Error"))),"")</f>
        <v/>
      </c>
      <c r="F2671" s="8" t="str">
        <f>IF(Table1[[#This Row],[Is Data Valid]]=TRUE,EXP(0.578+0.332*((Table1[[#This Row],[Gestation (days)]]+0.5)/7)-0.00354*((Table1[[#This Row],[Gestation (days)]]+0.5)/7)^2)*Table1[[#This Row],[BW40_3705]],"")</f>
        <v/>
      </c>
      <c r="G2671" s="2" t="str">
        <f>IF(Table1[[#This Row],[Is Data Valid]]=TRUE,((Table1[[#This Row],[Birthweight (grams)]]/Table1[[#This Row],[BW_GA]])-1)/(Backend!$B$4/100*Table1[[#This Row],[BW40_3705]]),"")</f>
        <v/>
      </c>
      <c r="H2671" s="7" t="str">
        <f>IF(Table1[[#This Row],[Is Data Valid]]=TRUE,((Table1[[#This Row],[Birthweight (grams)]]*0.9/Table1[[#This Row],[BW_GA]])-1)/(Backend!$B$4/100*Table1[[#This Row],[BW40_3705]]),"")</f>
        <v/>
      </c>
      <c r="I2671" s="7" t="str">
        <f>IF(Table1[[#This Row],[Is Data Valid]]=TRUE,((Table1[[#This Row],[Birthweight (grams)]]*1.1/Table1[[#This Row],[BW_GA]])-1)/(Backend!$B$4/100*Table1[[#This Row],[BW40_3705]]),"")</f>
        <v/>
      </c>
      <c r="J2671" s="7" t="str">
        <f>IF(Table1[[#This Row],[Is Data Valid]]=TRUE,_xlfn.NORM.S.DIST(Table1[[#This Row],[Birthweight Z-Score]],TRUE)*100,"")</f>
        <v/>
      </c>
      <c r="K2671" s="7" t="str">
        <f>IF(Table1[[#This Row],[Is Data Valid]]=TRUE,_xlfn.NORM.S.DIST(Table1[[#This Row],[Birthweight Z-Score (BW-10%)]],TRUE)*100,"")</f>
        <v/>
      </c>
      <c r="L2671" s="7" t="str">
        <f>IF(Table1[[#This Row],[Is Data Valid]]=TRUE,_xlfn.NORM.S.DIST(Table1[[#This Row],[Birthweight Z-Score (BW+10%)]],TRUE)*100,"")</f>
        <v/>
      </c>
    </row>
    <row r="2672" spans="1:12" x14ac:dyDescent="0.35">
      <c r="A2672" s="3"/>
      <c r="B2672" s="2"/>
      <c r="C2672" s="2"/>
      <c r="D2672" s="2" t="b">
        <f>IF(AND(NOT(ISBLANK(Table1[[#This Row],[Fetal Sex (Male, Female or Unknown)]])),ISNUMBER(Table1[[#This Row],[Birthweight (grams)]]),ISNUMBER(Table1[[#This Row],[Gestation (days)]])),TRUE,FALSE)</f>
        <v>0</v>
      </c>
      <c r="E2672" s="2" t="str">
        <f>IF(Table1[[#This Row],[Is Data Valid]]=TRUE,IF(Table1[[#This Row],[Fetal Sex (Male, Female or Unknown)]]="Male",Backend!$C$6,IF(Table1[[#This Row],[Fetal Sex (Male, Female or Unknown)]]="Female",Backend!$C$7,IF(Table1[[#This Row],[Fetal Sex (Male, Female or Unknown)]]="Unknown",Backend!$C$8,"Error"))),"")</f>
        <v/>
      </c>
      <c r="F2672" s="8" t="str">
        <f>IF(Table1[[#This Row],[Is Data Valid]]=TRUE,EXP(0.578+0.332*((Table1[[#This Row],[Gestation (days)]]+0.5)/7)-0.00354*((Table1[[#This Row],[Gestation (days)]]+0.5)/7)^2)*Table1[[#This Row],[BW40_3705]],"")</f>
        <v/>
      </c>
      <c r="G2672" s="2" t="str">
        <f>IF(Table1[[#This Row],[Is Data Valid]]=TRUE,((Table1[[#This Row],[Birthweight (grams)]]/Table1[[#This Row],[BW_GA]])-1)/(Backend!$B$4/100*Table1[[#This Row],[BW40_3705]]),"")</f>
        <v/>
      </c>
      <c r="H2672" s="7" t="str">
        <f>IF(Table1[[#This Row],[Is Data Valid]]=TRUE,((Table1[[#This Row],[Birthweight (grams)]]*0.9/Table1[[#This Row],[BW_GA]])-1)/(Backend!$B$4/100*Table1[[#This Row],[BW40_3705]]),"")</f>
        <v/>
      </c>
      <c r="I2672" s="7" t="str">
        <f>IF(Table1[[#This Row],[Is Data Valid]]=TRUE,((Table1[[#This Row],[Birthweight (grams)]]*1.1/Table1[[#This Row],[BW_GA]])-1)/(Backend!$B$4/100*Table1[[#This Row],[BW40_3705]]),"")</f>
        <v/>
      </c>
      <c r="J2672" s="7" t="str">
        <f>IF(Table1[[#This Row],[Is Data Valid]]=TRUE,_xlfn.NORM.S.DIST(Table1[[#This Row],[Birthweight Z-Score]],TRUE)*100,"")</f>
        <v/>
      </c>
      <c r="K2672" s="7" t="str">
        <f>IF(Table1[[#This Row],[Is Data Valid]]=TRUE,_xlfn.NORM.S.DIST(Table1[[#This Row],[Birthweight Z-Score (BW-10%)]],TRUE)*100,"")</f>
        <v/>
      </c>
      <c r="L2672" s="7" t="str">
        <f>IF(Table1[[#This Row],[Is Data Valid]]=TRUE,_xlfn.NORM.S.DIST(Table1[[#This Row],[Birthweight Z-Score (BW+10%)]],TRUE)*100,"")</f>
        <v/>
      </c>
    </row>
    <row r="2673" spans="1:12" x14ac:dyDescent="0.35">
      <c r="A2673" s="3"/>
      <c r="B2673" s="2"/>
      <c r="C2673" s="2"/>
      <c r="D2673" s="2" t="b">
        <f>IF(AND(NOT(ISBLANK(Table1[[#This Row],[Fetal Sex (Male, Female or Unknown)]])),ISNUMBER(Table1[[#This Row],[Birthweight (grams)]]),ISNUMBER(Table1[[#This Row],[Gestation (days)]])),TRUE,FALSE)</f>
        <v>0</v>
      </c>
      <c r="E2673" s="2" t="str">
        <f>IF(Table1[[#This Row],[Is Data Valid]]=TRUE,IF(Table1[[#This Row],[Fetal Sex (Male, Female or Unknown)]]="Male",Backend!$C$6,IF(Table1[[#This Row],[Fetal Sex (Male, Female or Unknown)]]="Female",Backend!$C$7,IF(Table1[[#This Row],[Fetal Sex (Male, Female or Unknown)]]="Unknown",Backend!$C$8,"Error"))),"")</f>
        <v/>
      </c>
      <c r="F2673" s="8" t="str">
        <f>IF(Table1[[#This Row],[Is Data Valid]]=TRUE,EXP(0.578+0.332*((Table1[[#This Row],[Gestation (days)]]+0.5)/7)-0.00354*((Table1[[#This Row],[Gestation (days)]]+0.5)/7)^2)*Table1[[#This Row],[BW40_3705]],"")</f>
        <v/>
      </c>
      <c r="G2673" s="2" t="str">
        <f>IF(Table1[[#This Row],[Is Data Valid]]=TRUE,((Table1[[#This Row],[Birthweight (grams)]]/Table1[[#This Row],[BW_GA]])-1)/(Backend!$B$4/100*Table1[[#This Row],[BW40_3705]]),"")</f>
        <v/>
      </c>
      <c r="H2673" s="7" t="str">
        <f>IF(Table1[[#This Row],[Is Data Valid]]=TRUE,((Table1[[#This Row],[Birthweight (grams)]]*0.9/Table1[[#This Row],[BW_GA]])-1)/(Backend!$B$4/100*Table1[[#This Row],[BW40_3705]]),"")</f>
        <v/>
      </c>
      <c r="I2673" s="7" t="str">
        <f>IF(Table1[[#This Row],[Is Data Valid]]=TRUE,((Table1[[#This Row],[Birthweight (grams)]]*1.1/Table1[[#This Row],[BW_GA]])-1)/(Backend!$B$4/100*Table1[[#This Row],[BW40_3705]]),"")</f>
        <v/>
      </c>
      <c r="J2673" s="7" t="str">
        <f>IF(Table1[[#This Row],[Is Data Valid]]=TRUE,_xlfn.NORM.S.DIST(Table1[[#This Row],[Birthweight Z-Score]],TRUE)*100,"")</f>
        <v/>
      </c>
      <c r="K2673" s="7" t="str">
        <f>IF(Table1[[#This Row],[Is Data Valid]]=TRUE,_xlfn.NORM.S.DIST(Table1[[#This Row],[Birthweight Z-Score (BW-10%)]],TRUE)*100,"")</f>
        <v/>
      </c>
      <c r="L2673" s="7" t="str">
        <f>IF(Table1[[#This Row],[Is Data Valid]]=TRUE,_xlfn.NORM.S.DIST(Table1[[#This Row],[Birthweight Z-Score (BW+10%)]],TRUE)*100,"")</f>
        <v/>
      </c>
    </row>
    <row r="2674" spans="1:12" x14ac:dyDescent="0.35">
      <c r="A2674" s="3"/>
      <c r="B2674" s="2"/>
      <c r="C2674" s="2"/>
      <c r="D2674" s="2" t="b">
        <f>IF(AND(NOT(ISBLANK(Table1[[#This Row],[Fetal Sex (Male, Female or Unknown)]])),ISNUMBER(Table1[[#This Row],[Birthweight (grams)]]),ISNUMBER(Table1[[#This Row],[Gestation (days)]])),TRUE,FALSE)</f>
        <v>0</v>
      </c>
      <c r="E2674" s="2" t="str">
        <f>IF(Table1[[#This Row],[Is Data Valid]]=TRUE,IF(Table1[[#This Row],[Fetal Sex (Male, Female or Unknown)]]="Male",Backend!$C$6,IF(Table1[[#This Row],[Fetal Sex (Male, Female or Unknown)]]="Female",Backend!$C$7,IF(Table1[[#This Row],[Fetal Sex (Male, Female or Unknown)]]="Unknown",Backend!$C$8,"Error"))),"")</f>
        <v/>
      </c>
      <c r="F2674" s="8" t="str">
        <f>IF(Table1[[#This Row],[Is Data Valid]]=TRUE,EXP(0.578+0.332*((Table1[[#This Row],[Gestation (days)]]+0.5)/7)-0.00354*((Table1[[#This Row],[Gestation (days)]]+0.5)/7)^2)*Table1[[#This Row],[BW40_3705]],"")</f>
        <v/>
      </c>
      <c r="G2674" s="2" t="str">
        <f>IF(Table1[[#This Row],[Is Data Valid]]=TRUE,((Table1[[#This Row],[Birthweight (grams)]]/Table1[[#This Row],[BW_GA]])-1)/(Backend!$B$4/100*Table1[[#This Row],[BW40_3705]]),"")</f>
        <v/>
      </c>
      <c r="H2674" s="7" t="str">
        <f>IF(Table1[[#This Row],[Is Data Valid]]=TRUE,((Table1[[#This Row],[Birthweight (grams)]]*0.9/Table1[[#This Row],[BW_GA]])-1)/(Backend!$B$4/100*Table1[[#This Row],[BW40_3705]]),"")</f>
        <v/>
      </c>
      <c r="I2674" s="7" t="str">
        <f>IF(Table1[[#This Row],[Is Data Valid]]=TRUE,((Table1[[#This Row],[Birthweight (grams)]]*1.1/Table1[[#This Row],[BW_GA]])-1)/(Backend!$B$4/100*Table1[[#This Row],[BW40_3705]]),"")</f>
        <v/>
      </c>
      <c r="J2674" s="7" t="str">
        <f>IF(Table1[[#This Row],[Is Data Valid]]=TRUE,_xlfn.NORM.S.DIST(Table1[[#This Row],[Birthweight Z-Score]],TRUE)*100,"")</f>
        <v/>
      </c>
      <c r="K2674" s="7" t="str">
        <f>IF(Table1[[#This Row],[Is Data Valid]]=TRUE,_xlfn.NORM.S.DIST(Table1[[#This Row],[Birthweight Z-Score (BW-10%)]],TRUE)*100,"")</f>
        <v/>
      </c>
      <c r="L2674" s="7" t="str">
        <f>IF(Table1[[#This Row],[Is Data Valid]]=TRUE,_xlfn.NORM.S.DIST(Table1[[#This Row],[Birthweight Z-Score (BW+10%)]],TRUE)*100,"")</f>
        <v/>
      </c>
    </row>
    <row r="2675" spans="1:12" x14ac:dyDescent="0.35">
      <c r="A2675" s="3"/>
      <c r="B2675" s="2"/>
      <c r="C2675" s="2"/>
      <c r="D2675" s="2" t="b">
        <f>IF(AND(NOT(ISBLANK(Table1[[#This Row],[Fetal Sex (Male, Female or Unknown)]])),ISNUMBER(Table1[[#This Row],[Birthweight (grams)]]),ISNUMBER(Table1[[#This Row],[Gestation (days)]])),TRUE,FALSE)</f>
        <v>0</v>
      </c>
      <c r="E2675" s="2" t="str">
        <f>IF(Table1[[#This Row],[Is Data Valid]]=TRUE,IF(Table1[[#This Row],[Fetal Sex (Male, Female or Unknown)]]="Male",Backend!$C$6,IF(Table1[[#This Row],[Fetal Sex (Male, Female or Unknown)]]="Female",Backend!$C$7,IF(Table1[[#This Row],[Fetal Sex (Male, Female or Unknown)]]="Unknown",Backend!$C$8,"Error"))),"")</f>
        <v/>
      </c>
      <c r="F2675" s="8" t="str">
        <f>IF(Table1[[#This Row],[Is Data Valid]]=TRUE,EXP(0.578+0.332*((Table1[[#This Row],[Gestation (days)]]+0.5)/7)-0.00354*((Table1[[#This Row],[Gestation (days)]]+0.5)/7)^2)*Table1[[#This Row],[BW40_3705]],"")</f>
        <v/>
      </c>
      <c r="G2675" s="2" t="str">
        <f>IF(Table1[[#This Row],[Is Data Valid]]=TRUE,((Table1[[#This Row],[Birthweight (grams)]]/Table1[[#This Row],[BW_GA]])-1)/(Backend!$B$4/100*Table1[[#This Row],[BW40_3705]]),"")</f>
        <v/>
      </c>
      <c r="H2675" s="7" t="str">
        <f>IF(Table1[[#This Row],[Is Data Valid]]=TRUE,((Table1[[#This Row],[Birthweight (grams)]]*0.9/Table1[[#This Row],[BW_GA]])-1)/(Backend!$B$4/100*Table1[[#This Row],[BW40_3705]]),"")</f>
        <v/>
      </c>
      <c r="I2675" s="7" t="str">
        <f>IF(Table1[[#This Row],[Is Data Valid]]=TRUE,((Table1[[#This Row],[Birthweight (grams)]]*1.1/Table1[[#This Row],[BW_GA]])-1)/(Backend!$B$4/100*Table1[[#This Row],[BW40_3705]]),"")</f>
        <v/>
      </c>
      <c r="J2675" s="7" t="str">
        <f>IF(Table1[[#This Row],[Is Data Valid]]=TRUE,_xlfn.NORM.S.DIST(Table1[[#This Row],[Birthweight Z-Score]],TRUE)*100,"")</f>
        <v/>
      </c>
      <c r="K2675" s="7" t="str">
        <f>IF(Table1[[#This Row],[Is Data Valid]]=TRUE,_xlfn.NORM.S.DIST(Table1[[#This Row],[Birthweight Z-Score (BW-10%)]],TRUE)*100,"")</f>
        <v/>
      </c>
      <c r="L2675" s="7" t="str">
        <f>IF(Table1[[#This Row],[Is Data Valid]]=TRUE,_xlfn.NORM.S.DIST(Table1[[#This Row],[Birthweight Z-Score (BW+10%)]],TRUE)*100,"")</f>
        <v/>
      </c>
    </row>
    <row r="2676" spans="1:12" x14ac:dyDescent="0.35">
      <c r="A2676" s="3"/>
      <c r="B2676" s="2"/>
      <c r="C2676" s="2"/>
      <c r="D2676" s="2" t="b">
        <f>IF(AND(NOT(ISBLANK(Table1[[#This Row],[Fetal Sex (Male, Female or Unknown)]])),ISNUMBER(Table1[[#This Row],[Birthweight (grams)]]),ISNUMBER(Table1[[#This Row],[Gestation (days)]])),TRUE,FALSE)</f>
        <v>0</v>
      </c>
      <c r="E2676" s="2" t="str">
        <f>IF(Table1[[#This Row],[Is Data Valid]]=TRUE,IF(Table1[[#This Row],[Fetal Sex (Male, Female or Unknown)]]="Male",Backend!$C$6,IF(Table1[[#This Row],[Fetal Sex (Male, Female or Unknown)]]="Female",Backend!$C$7,IF(Table1[[#This Row],[Fetal Sex (Male, Female or Unknown)]]="Unknown",Backend!$C$8,"Error"))),"")</f>
        <v/>
      </c>
      <c r="F2676" s="8" t="str">
        <f>IF(Table1[[#This Row],[Is Data Valid]]=TRUE,EXP(0.578+0.332*((Table1[[#This Row],[Gestation (days)]]+0.5)/7)-0.00354*((Table1[[#This Row],[Gestation (days)]]+0.5)/7)^2)*Table1[[#This Row],[BW40_3705]],"")</f>
        <v/>
      </c>
      <c r="G2676" s="2" t="str">
        <f>IF(Table1[[#This Row],[Is Data Valid]]=TRUE,((Table1[[#This Row],[Birthweight (grams)]]/Table1[[#This Row],[BW_GA]])-1)/(Backend!$B$4/100*Table1[[#This Row],[BW40_3705]]),"")</f>
        <v/>
      </c>
      <c r="H2676" s="7" t="str">
        <f>IF(Table1[[#This Row],[Is Data Valid]]=TRUE,((Table1[[#This Row],[Birthweight (grams)]]*0.9/Table1[[#This Row],[BW_GA]])-1)/(Backend!$B$4/100*Table1[[#This Row],[BW40_3705]]),"")</f>
        <v/>
      </c>
      <c r="I2676" s="7" t="str">
        <f>IF(Table1[[#This Row],[Is Data Valid]]=TRUE,((Table1[[#This Row],[Birthweight (grams)]]*1.1/Table1[[#This Row],[BW_GA]])-1)/(Backend!$B$4/100*Table1[[#This Row],[BW40_3705]]),"")</f>
        <v/>
      </c>
      <c r="J2676" s="7" t="str">
        <f>IF(Table1[[#This Row],[Is Data Valid]]=TRUE,_xlfn.NORM.S.DIST(Table1[[#This Row],[Birthweight Z-Score]],TRUE)*100,"")</f>
        <v/>
      </c>
      <c r="K2676" s="7" t="str">
        <f>IF(Table1[[#This Row],[Is Data Valid]]=TRUE,_xlfn.NORM.S.DIST(Table1[[#This Row],[Birthweight Z-Score (BW-10%)]],TRUE)*100,"")</f>
        <v/>
      </c>
      <c r="L2676" s="7" t="str">
        <f>IF(Table1[[#This Row],[Is Data Valid]]=TRUE,_xlfn.NORM.S.DIST(Table1[[#This Row],[Birthweight Z-Score (BW+10%)]],TRUE)*100,"")</f>
        <v/>
      </c>
    </row>
    <row r="2677" spans="1:12" x14ac:dyDescent="0.35">
      <c r="A2677" s="3"/>
      <c r="B2677" s="2"/>
      <c r="C2677" s="2"/>
      <c r="D2677" s="2" t="b">
        <f>IF(AND(NOT(ISBLANK(Table1[[#This Row],[Fetal Sex (Male, Female or Unknown)]])),ISNUMBER(Table1[[#This Row],[Birthweight (grams)]]),ISNUMBER(Table1[[#This Row],[Gestation (days)]])),TRUE,FALSE)</f>
        <v>0</v>
      </c>
      <c r="E2677" s="2" t="str">
        <f>IF(Table1[[#This Row],[Is Data Valid]]=TRUE,IF(Table1[[#This Row],[Fetal Sex (Male, Female or Unknown)]]="Male",Backend!$C$6,IF(Table1[[#This Row],[Fetal Sex (Male, Female or Unknown)]]="Female",Backend!$C$7,IF(Table1[[#This Row],[Fetal Sex (Male, Female or Unknown)]]="Unknown",Backend!$C$8,"Error"))),"")</f>
        <v/>
      </c>
      <c r="F2677" s="8" t="str">
        <f>IF(Table1[[#This Row],[Is Data Valid]]=TRUE,EXP(0.578+0.332*((Table1[[#This Row],[Gestation (days)]]+0.5)/7)-0.00354*((Table1[[#This Row],[Gestation (days)]]+0.5)/7)^2)*Table1[[#This Row],[BW40_3705]],"")</f>
        <v/>
      </c>
      <c r="G2677" s="2" t="str">
        <f>IF(Table1[[#This Row],[Is Data Valid]]=TRUE,((Table1[[#This Row],[Birthweight (grams)]]/Table1[[#This Row],[BW_GA]])-1)/(Backend!$B$4/100*Table1[[#This Row],[BW40_3705]]),"")</f>
        <v/>
      </c>
      <c r="H2677" s="7" t="str">
        <f>IF(Table1[[#This Row],[Is Data Valid]]=TRUE,((Table1[[#This Row],[Birthweight (grams)]]*0.9/Table1[[#This Row],[BW_GA]])-1)/(Backend!$B$4/100*Table1[[#This Row],[BW40_3705]]),"")</f>
        <v/>
      </c>
      <c r="I2677" s="7" t="str">
        <f>IF(Table1[[#This Row],[Is Data Valid]]=TRUE,((Table1[[#This Row],[Birthweight (grams)]]*1.1/Table1[[#This Row],[BW_GA]])-1)/(Backend!$B$4/100*Table1[[#This Row],[BW40_3705]]),"")</f>
        <v/>
      </c>
      <c r="J2677" s="7" t="str">
        <f>IF(Table1[[#This Row],[Is Data Valid]]=TRUE,_xlfn.NORM.S.DIST(Table1[[#This Row],[Birthweight Z-Score]],TRUE)*100,"")</f>
        <v/>
      </c>
      <c r="K2677" s="7" t="str">
        <f>IF(Table1[[#This Row],[Is Data Valid]]=TRUE,_xlfn.NORM.S.DIST(Table1[[#This Row],[Birthweight Z-Score (BW-10%)]],TRUE)*100,"")</f>
        <v/>
      </c>
      <c r="L2677" s="7" t="str">
        <f>IF(Table1[[#This Row],[Is Data Valid]]=TRUE,_xlfn.NORM.S.DIST(Table1[[#This Row],[Birthweight Z-Score (BW+10%)]],TRUE)*100,"")</f>
        <v/>
      </c>
    </row>
    <row r="2678" spans="1:12" x14ac:dyDescent="0.35">
      <c r="A2678" s="3"/>
      <c r="B2678" s="2"/>
      <c r="C2678" s="2"/>
      <c r="D2678" s="2" t="b">
        <f>IF(AND(NOT(ISBLANK(Table1[[#This Row],[Fetal Sex (Male, Female or Unknown)]])),ISNUMBER(Table1[[#This Row],[Birthweight (grams)]]),ISNUMBER(Table1[[#This Row],[Gestation (days)]])),TRUE,FALSE)</f>
        <v>0</v>
      </c>
      <c r="E2678" s="2" t="str">
        <f>IF(Table1[[#This Row],[Is Data Valid]]=TRUE,IF(Table1[[#This Row],[Fetal Sex (Male, Female or Unknown)]]="Male",Backend!$C$6,IF(Table1[[#This Row],[Fetal Sex (Male, Female or Unknown)]]="Female",Backend!$C$7,IF(Table1[[#This Row],[Fetal Sex (Male, Female or Unknown)]]="Unknown",Backend!$C$8,"Error"))),"")</f>
        <v/>
      </c>
      <c r="F2678" s="8" t="str">
        <f>IF(Table1[[#This Row],[Is Data Valid]]=TRUE,EXP(0.578+0.332*((Table1[[#This Row],[Gestation (days)]]+0.5)/7)-0.00354*((Table1[[#This Row],[Gestation (days)]]+0.5)/7)^2)*Table1[[#This Row],[BW40_3705]],"")</f>
        <v/>
      </c>
      <c r="G2678" s="2" t="str">
        <f>IF(Table1[[#This Row],[Is Data Valid]]=TRUE,((Table1[[#This Row],[Birthweight (grams)]]/Table1[[#This Row],[BW_GA]])-1)/(Backend!$B$4/100*Table1[[#This Row],[BW40_3705]]),"")</f>
        <v/>
      </c>
      <c r="H2678" s="7" t="str">
        <f>IF(Table1[[#This Row],[Is Data Valid]]=TRUE,((Table1[[#This Row],[Birthweight (grams)]]*0.9/Table1[[#This Row],[BW_GA]])-1)/(Backend!$B$4/100*Table1[[#This Row],[BW40_3705]]),"")</f>
        <v/>
      </c>
      <c r="I2678" s="7" t="str">
        <f>IF(Table1[[#This Row],[Is Data Valid]]=TRUE,((Table1[[#This Row],[Birthweight (grams)]]*1.1/Table1[[#This Row],[BW_GA]])-1)/(Backend!$B$4/100*Table1[[#This Row],[BW40_3705]]),"")</f>
        <v/>
      </c>
      <c r="J2678" s="7" t="str">
        <f>IF(Table1[[#This Row],[Is Data Valid]]=TRUE,_xlfn.NORM.S.DIST(Table1[[#This Row],[Birthweight Z-Score]],TRUE)*100,"")</f>
        <v/>
      </c>
      <c r="K2678" s="7" t="str">
        <f>IF(Table1[[#This Row],[Is Data Valid]]=TRUE,_xlfn.NORM.S.DIST(Table1[[#This Row],[Birthweight Z-Score (BW-10%)]],TRUE)*100,"")</f>
        <v/>
      </c>
      <c r="L2678" s="7" t="str">
        <f>IF(Table1[[#This Row],[Is Data Valid]]=TRUE,_xlfn.NORM.S.DIST(Table1[[#This Row],[Birthweight Z-Score (BW+10%)]],TRUE)*100,"")</f>
        <v/>
      </c>
    </row>
    <row r="2679" spans="1:12" x14ac:dyDescent="0.35">
      <c r="A2679" s="3"/>
      <c r="B2679" s="2"/>
      <c r="C2679" s="2"/>
      <c r="D2679" s="2" t="b">
        <f>IF(AND(NOT(ISBLANK(Table1[[#This Row],[Fetal Sex (Male, Female or Unknown)]])),ISNUMBER(Table1[[#This Row],[Birthweight (grams)]]),ISNUMBER(Table1[[#This Row],[Gestation (days)]])),TRUE,FALSE)</f>
        <v>0</v>
      </c>
      <c r="E2679" s="2" t="str">
        <f>IF(Table1[[#This Row],[Is Data Valid]]=TRUE,IF(Table1[[#This Row],[Fetal Sex (Male, Female or Unknown)]]="Male",Backend!$C$6,IF(Table1[[#This Row],[Fetal Sex (Male, Female or Unknown)]]="Female",Backend!$C$7,IF(Table1[[#This Row],[Fetal Sex (Male, Female or Unknown)]]="Unknown",Backend!$C$8,"Error"))),"")</f>
        <v/>
      </c>
      <c r="F2679" s="8" t="str">
        <f>IF(Table1[[#This Row],[Is Data Valid]]=TRUE,EXP(0.578+0.332*((Table1[[#This Row],[Gestation (days)]]+0.5)/7)-0.00354*((Table1[[#This Row],[Gestation (days)]]+0.5)/7)^2)*Table1[[#This Row],[BW40_3705]],"")</f>
        <v/>
      </c>
      <c r="G2679" s="2" t="str">
        <f>IF(Table1[[#This Row],[Is Data Valid]]=TRUE,((Table1[[#This Row],[Birthweight (grams)]]/Table1[[#This Row],[BW_GA]])-1)/(Backend!$B$4/100*Table1[[#This Row],[BW40_3705]]),"")</f>
        <v/>
      </c>
      <c r="H2679" s="7" t="str">
        <f>IF(Table1[[#This Row],[Is Data Valid]]=TRUE,((Table1[[#This Row],[Birthweight (grams)]]*0.9/Table1[[#This Row],[BW_GA]])-1)/(Backend!$B$4/100*Table1[[#This Row],[BW40_3705]]),"")</f>
        <v/>
      </c>
      <c r="I2679" s="7" t="str">
        <f>IF(Table1[[#This Row],[Is Data Valid]]=TRUE,((Table1[[#This Row],[Birthweight (grams)]]*1.1/Table1[[#This Row],[BW_GA]])-1)/(Backend!$B$4/100*Table1[[#This Row],[BW40_3705]]),"")</f>
        <v/>
      </c>
      <c r="J2679" s="7" t="str">
        <f>IF(Table1[[#This Row],[Is Data Valid]]=TRUE,_xlfn.NORM.S.DIST(Table1[[#This Row],[Birthweight Z-Score]],TRUE)*100,"")</f>
        <v/>
      </c>
      <c r="K2679" s="7" t="str">
        <f>IF(Table1[[#This Row],[Is Data Valid]]=TRUE,_xlfn.NORM.S.DIST(Table1[[#This Row],[Birthweight Z-Score (BW-10%)]],TRUE)*100,"")</f>
        <v/>
      </c>
      <c r="L2679" s="7" t="str">
        <f>IF(Table1[[#This Row],[Is Data Valid]]=TRUE,_xlfn.NORM.S.DIST(Table1[[#This Row],[Birthweight Z-Score (BW+10%)]],TRUE)*100,"")</f>
        <v/>
      </c>
    </row>
    <row r="2680" spans="1:12" x14ac:dyDescent="0.35">
      <c r="A2680" s="3"/>
      <c r="B2680" s="2"/>
      <c r="C2680" s="2"/>
      <c r="D2680" s="2" t="b">
        <f>IF(AND(NOT(ISBLANK(Table1[[#This Row],[Fetal Sex (Male, Female or Unknown)]])),ISNUMBER(Table1[[#This Row],[Birthweight (grams)]]),ISNUMBER(Table1[[#This Row],[Gestation (days)]])),TRUE,FALSE)</f>
        <v>0</v>
      </c>
      <c r="E2680" s="2" t="str">
        <f>IF(Table1[[#This Row],[Is Data Valid]]=TRUE,IF(Table1[[#This Row],[Fetal Sex (Male, Female or Unknown)]]="Male",Backend!$C$6,IF(Table1[[#This Row],[Fetal Sex (Male, Female or Unknown)]]="Female",Backend!$C$7,IF(Table1[[#This Row],[Fetal Sex (Male, Female or Unknown)]]="Unknown",Backend!$C$8,"Error"))),"")</f>
        <v/>
      </c>
      <c r="F2680" s="8" t="str">
        <f>IF(Table1[[#This Row],[Is Data Valid]]=TRUE,EXP(0.578+0.332*((Table1[[#This Row],[Gestation (days)]]+0.5)/7)-0.00354*((Table1[[#This Row],[Gestation (days)]]+0.5)/7)^2)*Table1[[#This Row],[BW40_3705]],"")</f>
        <v/>
      </c>
      <c r="G2680" s="2" t="str">
        <f>IF(Table1[[#This Row],[Is Data Valid]]=TRUE,((Table1[[#This Row],[Birthweight (grams)]]/Table1[[#This Row],[BW_GA]])-1)/(Backend!$B$4/100*Table1[[#This Row],[BW40_3705]]),"")</f>
        <v/>
      </c>
      <c r="H2680" s="7" t="str">
        <f>IF(Table1[[#This Row],[Is Data Valid]]=TRUE,((Table1[[#This Row],[Birthweight (grams)]]*0.9/Table1[[#This Row],[BW_GA]])-1)/(Backend!$B$4/100*Table1[[#This Row],[BW40_3705]]),"")</f>
        <v/>
      </c>
      <c r="I2680" s="7" t="str">
        <f>IF(Table1[[#This Row],[Is Data Valid]]=TRUE,((Table1[[#This Row],[Birthweight (grams)]]*1.1/Table1[[#This Row],[BW_GA]])-1)/(Backend!$B$4/100*Table1[[#This Row],[BW40_3705]]),"")</f>
        <v/>
      </c>
      <c r="J2680" s="7" t="str">
        <f>IF(Table1[[#This Row],[Is Data Valid]]=TRUE,_xlfn.NORM.S.DIST(Table1[[#This Row],[Birthweight Z-Score]],TRUE)*100,"")</f>
        <v/>
      </c>
      <c r="K2680" s="7" t="str">
        <f>IF(Table1[[#This Row],[Is Data Valid]]=TRUE,_xlfn.NORM.S.DIST(Table1[[#This Row],[Birthweight Z-Score (BW-10%)]],TRUE)*100,"")</f>
        <v/>
      </c>
      <c r="L2680" s="7" t="str">
        <f>IF(Table1[[#This Row],[Is Data Valid]]=TRUE,_xlfn.NORM.S.DIST(Table1[[#This Row],[Birthweight Z-Score (BW+10%)]],TRUE)*100,"")</f>
        <v/>
      </c>
    </row>
    <row r="2681" spans="1:12" x14ac:dyDescent="0.35">
      <c r="A2681" s="3"/>
      <c r="B2681" s="2"/>
      <c r="C2681" s="2"/>
      <c r="D2681" s="2" t="b">
        <f>IF(AND(NOT(ISBLANK(Table1[[#This Row],[Fetal Sex (Male, Female or Unknown)]])),ISNUMBER(Table1[[#This Row],[Birthweight (grams)]]),ISNUMBER(Table1[[#This Row],[Gestation (days)]])),TRUE,FALSE)</f>
        <v>0</v>
      </c>
      <c r="E2681" s="2" t="str">
        <f>IF(Table1[[#This Row],[Is Data Valid]]=TRUE,IF(Table1[[#This Row],[Fetal Sex (Male, Female or Unknown)]]="Male",Backend!$C$6,IF(Table1[[#This Row],[Fetal Sex (Male, Female or Unknown)]]="Female",Backend!$C$7,IF(Table1[[#This Row],[Fetal Sex (Male, Female or Unknown)]]="Unknown",Backend!$C$8,"Error"))),"")</f>
        <v/>
      </c>
      <c r="F2681" s="8" t="str">
        <f>IF(Table1[[#This Row],[Is Data Valid]]=TRUE,EXP(0.578+0.332*((Table1[[#This Row],[Gestation (days)]]+0.5)/7)-0.00354*((Table1[[#This Row],[Gestation (days)]]+0.5)/7)^2)*Table1[[#This Row],[BW40_3705]],"")</f>
        <v/>
      </c>
      <c r="G2681" s="2" t="str">
        <f>IF(Table1[[#This Row],[Is Data Valid]]=TRUE,((Table1[[#This Row],[Birthweight (grams)]]/Table1[[#This Row],[BW_GA]])-1)/(Backend!$B$4/100*Table1[[#This Row],[BW40_3705]]),"")</f>
        <v/>
      </c>
      <c r="H2681" s="7" t="str">
        <f>IF(Table1[[#This Row],[Is Data Valid]]=TRUE,((Table1[[#This Row],[Birthweight (grams)]]*0.9/Table1[[#This Row],[BW_GA]])-1)/(Backend!$B$4/100*Table1[[#This Row],[BW40_3705]]),"")</f>
        <v/>
      </c>
      <c r="I2681" s="7" t="str">
        <f>IF(Table1[[#This Row],[Is Data Valid]]=TRUE,((Table1[[#This Row],[Birthweight (grams)]]*1.1/Table1[[#This Row],[BW_GA]])-1)/(Backend!$B$4/100*Table1[[#This Row],[BW40_3705]]),"")</f>
        <v/>
      </c>
      <c r="J2681" s="7" t="str">
        <f>IF(Table1[[#This Row],[Is Data Valid]]=TRUE,_xlfn.NORM.S.DIST(Table1[[#This Row],[Birthweight Z-Score]],TRUE)*100,"")</f>
        <v/>
      </c>
      <c r="K2681" s="7" t="str">
        <f>IF(Table1[[#This Row],[Is Data Valid]]=TRUE,_xlfn.NORM.S.DIST(Table1[[#This Row],[Birthweight Z-Score (BW-10%)]],TRUE)*100,"")</f>
        <v/>
      </c>
      <c r="L2681" s="7" t="str">
        <f>IF(Table1[[#This Row],[Is Data Valid]]=TRUE,_xlfn.NORM.S.DIST(Table1[[#This Row],[Birthweight Z-Score (BW+10%)]],TRUE)*100,"")</f>
        <v/>
      </c>
    </row>
    <row r="2682" spans="1:12" x14ac:dyDescent="0.35">
      <c r="A2682" s="3"/>
      <c r="B2682" s="2"/>
      <c r="C2682" s="2"/>
      <c r="D2682" s="2" t="b">
        <f>IF(AND(NOT(ISBLANK(Table1[[#This Row],[Fetal Sex (Male, Female or Unknown)]])),ISNUMBER(Table1[[#This Row],[Birthweight (grams)]]),ISNUMBER(Table1[[#This Row],[Gestation (days)]])),TRUE,FALSE)</f>
        <v>0</v>
      </c>
      <c r="E2682" s="2" t="str">
        <f>IF(Table1[[#This Row],[Is Data Valid]]=TRUE,IF(Table1[[#This Row],[Fetal Sex (Male, Female or Unknown)]]="Male",Backend!$C$6,IF(Table1[[#This Row],[Fetal Sex (Male, Female or Unknown)]]="Female",Backend!$C$7,IF(Table1[[#This Row],[Fetal Sex (Male, Female or Unknown)]]="Unknown",Backend!$C$8,"Error"))),"")</f>
        <v/>
      </c>
      <c r="F2682" s="8" t="str">
        <f>IF(Table1[[#This Row],[Is Data Valid]]=TRUE,EXP(0.578+0.332*((Table1[[#This Row],[Gestation (days)]]+0.5)/7)-0.00354*((Table1[[#This Row],[Gestation (days)]]+0.5)/7)^2)*Table1[[#This Row],[BW40_3705]],"")</f>
        <v/>
      </c>
      <c r="G2682" s="2" t="str">
        <f>IF(Table1[[#This Row],[Is Data Valid]]=TRUE,((Table1[[#This Row],[Birthweight (grams)]]/Table1[[#This Row],[BW_GA]])-1)/(Backend!$B$4/100*Table1[[#This Row],[BW40_3705]]),"")</f>
        <v/>
      </c>
      <c r="H2682" s="7" t="str">
        <f>IF(Table1[[#This Row],[Is Data Valid]]=TRUE,((Table1[[#This Row],[Birthweight (grams)]]*0.9/Table1[[#This Row],[BW_GA]])-1)/(Backend!$B$4/100*Table1[[#This Row],[BW40_3705]]),"")</f>
        <v/>
      </c>
      <c r="I2682" s="7" t="str">
        <f>IF(Table1[[#This Row],[Is Data Valid]]=TRUE,((Table1[[#This Row],[Birthweight (grams)]]*1.1/Table1[[#This Row],[BW_GA]])-1)/(Backend!$B$4/100*Table1[[#This Row],[BW40_3705]]),"")</f>
        <v/>
      </c>
      <c r="J2682" s="7" t="str">
        <f>IF(Table1[[#This Row],[Is Data Valid]]=TRUE,_xlfn.NORM.S.DIST(Table1[[#This Row],[Birthweight Z-Score]],TRUE)*100,"")</f>
        <v/>
      </c>
      <c r="K2682" s="7" t="str">
        <f>IF(Table1[[#This Row],[Is Data Valid]]=TRUE,_xlfn.NORM.S.DIST(Table1[[#This Row],[Birthweight Z-Score (BW-10%)]],TRUE)*100,"")</f>
        <v/>
      </c>
      <c r="L2682" s="7" t="str">
        <f>IF(Table1[[#This Row],[Is Data Valid]]=TRUE,_xlfn.NORM.S.DIST(Table1[[#This Row],[Birthweight Z-Score (BW+10%)]],TRUE)*100,"")</f>
        <v/>
      </c>
    </row>
    <row r="2683" spans="1:12" x14ac:dyDescent="0.35">
      <c r="A2683" s="3"/>
      <c r="B2683" s="2"/>
      <c r="C2683" s="2"/>
      <c r="D2683" s="2" t="b">
        <f>IF(AND(NOT(ISBLANK(Table1[[#This Row],[Fetal Sex (Male, Female or Unknown)]])),ISNUMBER(Table1[[#This Row],[Birthweight (grams)]]),ISNUMBER(Table1[[#This Row],[Gestation (days)]])),TRUE,FALSE)</f>
        <v>0</v>
      </c>
      <c r="E2683" s="2" t="str">
        <f>IF(Table1[[#This Row],[Is Data Valid]]=TRUE,IF(Table1[[#This Row],[Fetal Sex (Male, Female or Unknown)]]="Male",Backend!$C$6,IF(Table1[[#This Row],[Fetal Sex (Male, Female or Unknown)]]="Female",Backend!$C$7,IF(Table1[[#This Row],[Fetal Sex (Male, Female or Unknown)]]="Unknown",Backend!$C$8,"Error"))),"")</f>
        <v/>
      </c>
      <c r="F2683" s="8" t="str">
        <f>IF(Table1[[#This Row],[Is Data Valid]]=TRUE,EXP(0.578+0.332*((Table1[[#This Row],[Gestation (days)]]+0.5)/7)-0.00354*((Table1[[#This Row],[Gestation (days)]]+0.5)/7)^2)*Table1[[#This Row],[BW40_3705]],"")</f>
        <v/>
      </c>
      <c r="G2683" s="2" t="str">
        <f>IF(Table1[[#This Row],[Is Data Valid]]=TRUE,((Table1[[#This Row],[Birthweight (grams)]]/Table1[[#This Row],[BW_GA]])-1)/(Backend!$B$4/100*Table1[[#This Row],[BW40_3705]]),"")</f>
        <v/>
      </c>
      <c r="H2683" s="7" t="str">
        <f>IF(Table1[[#This Row],[Is Data Valid]]=TRUE,((Table1[[#This Row],[Birthweight (grams)]]*0.9/Table1[[#This Row],[BW_GA]])-1)/(Backend!$B$4/100*Table1[[#This Row],[BW40_3705]]),"")</f>
        <v/>
      </c>
      <c r="I2683" s="7" t="str">
        <f>IF(Table1[[#This Row],[Is Data Valid]]=TRUE,((Table1[[#This Row],[Birthweight (grams)]]*1.1/Table1[[#This Row],[BW_GA]])-1)/(Backend!$B$4/100*Table1[[#This Row],[BW40_3705]]),"")</f>
        <v/>
      </c>
      <c r="J2683" s="7" t="str">
        <f>IF(Table1[[#This Row],[Is Data Valid]]=TRUE,_xlfn.NORM.S.DIST(Table1[[#This Row],[Birthweight Z-Score]],TRUE)*100,"")</f>
        <v/>
      </c>
      <c r="K2683" s="7" t="str">
        <f>IF(Table1[[#This Row],[Is Data Valid]]=TRUE,_xlfn.NORM.S.DIST(Table1[[#This Row],[Birthweight Z-Score (BW-10%)]],TRUE)*100,"")</f>
        <v/>
      </c>
      <c r="L2683" s="7" t="str">
        <f>IF(Table1[[#This Row],[Is Data Valid]]=TRUE,_xlfn.NORM.S.DIST(Table1[[#This Row],[Birthweight Z-Score (BW+10%)]],TRUE)*100,"")</f>
        <v/>
      </c>
    </row>
    <row r="2684" spans="1:12" x14ac:dyDescent="0.35">
      <c r="A2684" s="3"/>
      <c r="B2684" s="2"/>
      <c r="C2684" s="2"/>
      <c r="D2684" s="2" t="b">
        <f>IF(AND(NOT(ISBLANK(Table1[[#This Row],[Fetal Sex (Male, Female or Unknown)]])),ISNUMBER(Table1[[#This Row],[Birthweight (grams)]]),ISNUMBER(Table1[[#This Row],[Gestation (days)]])),TRUE,FALSE)</f>
        <v>0</v>
      </c>
      <c r="E2684" s="2" t="str">
        <f>IF(Table1[[#This Row],[Is Data Valid]]=TRUE,IF(Table1[[#This Row],[Fetal Sex (Male, Female or Unknown)]]="Male",Backend!$C$6,IF(Table1[[#This Row],[Fetal Sex (Male, Female or Unknown)]]="Female",Backend!$C$7,IF(Table1[[#This Row],[Fetal Sex (Male, Female or Unknown)]]="Unknown",Backend!$C$8,"Error"))),"")</f>
        <v/>
      </c>
      <c r="F2684" s="8" t="str">
        <f>IF(Table1[[#This Row],[Is Data Valid]]=TRUE,EXP(0.578+0.332*((Table1[[#This Row],[Gestation (days)]]+0.5)/7)-0.00354*((Table1[[#This Row],[Gestation (days)]]+0.5)/7)^2)*Table1[[#This Row],[BW40_3705]],"")</f>
        <v/>
      </c>
      <c r="G2684" s="2" t="str">
        <f>IF(Table1[[#This Row],[Is Data Valid]]=TRUE,((Table1[[#This Row],[Birthweight (grams)]]/Table1[[#This Row],[BW_GA]])-1)/(Backend!$B$4/100*Table1[[#This Row],[BW40_3705]]),"")</f>
        <v/>
      </c>
      <c r="H2684" s="7" t="str">
        <f>IF(Table1[[#This Row],[Is Data Valid]]=TRUE,((Table1[[#This Row],[Birthweight (grams)]]*0.9/Table1[[#This Row],[BW_GA]])-1)/(Backend!$B$4/100*Table1[[#This Row],[BW40_3705]]),"")</f>
        <v/>
      </c>
      <c r="I2684" s="7" t="str">
        <f>IF(Table1[[#This Row],[Is Data Valid]]=TRUE,((Table1[[#This Row],[Birthweight (grams)]]*1.1/Table1[[#This Row],[BW_GA]])-1)/(Backend!$B$4/100*Table1[[#This Row],[BW40_3705]]),"")</f>
        <v/>
      </c>
      <c r="J2684" s="7" t="str">
        <f>IF(Table1[[#This Row],[Is Data Valid]]=TRUE,_xlfn.NORM.S.DIST(Table1[[#This Row],[Birthweight Z-Score]],TRUE)*100,"")</f>
        <v/>
      </c>
      <c r="K2684" s="7" t="str">
        <f>IF(Table1[[#This Row],[Is Data Valid]]=TRUE,_xlfn.NORM.S.DIST(Table1[[#This Row],[Birthweight Z-Score (BW-10%)]],TRUE)*100,"")</f>
        <v/>
      </c>
      <c r="L2684" s="7" t="str">
        <f>IF(Table1[[#This Row],[Is Data Valid]]=TRUE,_xlfn.NORM.S.DIST(Table1[[#This Row],[Birthweight Z-Score (BW+10%)]],TRUE)*100,"")</f>
        <v/>
      </c>
    </row>
    <row r="2685" spans="1:12" x14ac:dyDescent="0.35">
      <c r="A2685" s="3"/>
      <c r="B2685" s="2"/>
      <c r="C2685" s="2"/>
      <c r="D2685" s="2" t="b">
        <f>IF(AND(NOT(ISBLANK(Table1[[#This Row],[Fetal Sex (Male, Female or Unknown)]])),ISNUMBER(Table1[[#This Row],[Birthweight (grams)]]),ISNUMBER(Table1[[#This Row],[Gestation (days)]])),TRUE,FALSE)</f>
        <v>0</v>
      </c>
      <c r="E2685" s="2" t="str">
        <f>IF(Table1[[#This Row],[Is Data Valid]]=TRUE,IF(Table1[[#This Row],[Fetal Sex (Male, Female or Unknown)]]="Male",Backend!$C$6,IF(Table1[[#This Row],[Fetal Sex (Male, Female or Unknown)]]="Female",Backend!$C$7,IF(Table1[[#This Row],[Fetal Sex (Male, Female or Unknown)]]="Unknown",Backend!$C$8,"Error"))),"")</f>
        <v/>
      </c>
      <c r="F2685" s="8" t="str">
        <f>IF(Table1[[#This Row],[Is Data Valid]]=TRUE,EXP(0.578+0.332*((Table1[[#This Row],[Gestation (days)]]+0.5)/7)-0.00354*((Table1[[#This Row],[Gestation (days)]]+0.5)/7)^2)*Table1[[#This Row],[BW40_3705]],"")</f>
        <v/>
      </c>
      <c r="G2685" s="2" t="str">
        <f>IF(Table1[[#This Row],[Is Data Valid]]=TRUE,((Table1[[#This Row],[Birthweight (grams)]]/Table1[[#This Row],[BW_GA]])-1)/(Backend!$B$4/100*Table1[[#This Row],[BW40_3705]]),"")</f>
        <v/>
      </c>
      <c r="H2685" s="7" t="str">
        <f>IF(Table1[[#This Row],[Is Data Valid]]=TRUE,((Table1[[#This Row],[Birthweight (grams)]]*0.9/Table1[[#This Row],[BW_GA]])-1)/(Backend!$B$4/100*Table1[[#This Row],[BW40_3705]]),"")</f>
        <v/>
      </c>
      <c r="I2685" s="7" t="str">
        <f>IF(Table1[[#This Row],[Is Data Valid]]=TRUE,((Table1[[#This Row],[Birthweight (grams)]]*1.1/Table1[[#This Row],[BW_GA]])-1)/(Backend!$B$4/100*Table1[[#This Row],[BW40_3705]]),"")</f>
        <v/>
      </c>
      <c r="J2685" s="7" t="str">
        <f>IF(Table1[[#This Row],[Is Data Valid]]=TRUE,_xlfn.NORM.S.DIST(Table1[[#This Row],[Birthweight Z-Score]],TRUE)*100,"")</f>
        <v/>
      </c>
      <c r="K2685" s="7" t="str">
        <f>IF(Table1[[#This Row],[Is Data Valid]]=TRUE,_xlfn.NORM.S.DIST(Table1[[#This Row],[Birthweight Z-Score (BW-10%)]],TRUE)*100,"")</f>
        <v/>
      </c>
      <c r="L2685" s="7" t="str">
        <f>IF(Table1[[#This Row],[Is Data Valid]]=TRUE,_xlfn.NORM.S.DIST(Table1[[#This Row],[Birthweight Z-Score (BW+10%)]],TRUE)*100,"")</f>
        <v/>
      </c>
    </row>
    <row r="2686" spans="1:12" x14ac:dyDescent="0.35">
      <c r="A2686" s="3"/>
      <c r="B2686" s="2"/>
      <c r="C2686" s="2"/>
      <c r="D2686" s="2" t="b">
        <f>IF(AND(NOT(ISBLANK(Table1[[#This Row],[Fetal Sex (Male, Female or Unknown)]])),ISNUMBER(Table1[[#This Row],[Birthweight (grams)]]),ISNUMBER(Table1[[#This Row],[Gestation (days)]])),TRUE,FALSE)</f>
        <v>0</v>
      </c>
      <c r="E2686" s="2" t="str">
        <f>IF(Table1[[#This Row],[Is Data Valid]]=TRUE,IF(Table1[[#This Row],[Fetal Sex (Male, Female or Unknown)]]="Male",Backend!$C$6,IF(Table1[[#This Row],[Fetal Sex (Male, Female or Unknown)]]="Female",Backend!$C$7,IF(Table1[[#This Row],[Fetal Sex (Male, Female or Unknown)]]="Unknown",Backend!$C$8,"Error"))),"")</f>
        <v/>
      </c>
      <c r="F2686" s="8" t="str">
        <f>IF(Table1[[#This Row],[Is Data Valid]]=TRUE,EXP(0.578+0.332*((Table1[[#This Row],[Gestation (days)]]+0.5)/7)-0.00354*((Table1[[#This Row],[Gestation (days)]]+0.5)/7)^2)*Table1[[#This Row],[BW40_3705]],"")</f>
        <v/>
      </c>
      <c r="G2686" s="2" t="str">
        <f>IF(Table1[[#This Row],[Is Data Valid]]=TRUE,((Table1[[#This Row],[Birthweight (grams)]]/Table1[[#This Row],[BW_GA]])-1)/(Backend!$B$4/100*Table1[[#This Row],[BW40_3705]]),"")</f>
        <v/>
      </c>
      <c r="H2686" s="7" t="str">
        <f>IF(Table1[[#This Row],[Is Data Valid]]=TRUE,((Table1[[#This Row],[Birthweight (grams)]]*0.9/Table1[[#This Row],[BW_GA]])-1)/(Backend!$B$4/100*Table1[[#This Row],[BW40_3705]]),"")</f>
        <v/>
      </c>
      <c r="I2686" s="7" t="str">
        <f>IF(Table1[[#This Row],[Is Data Valid]]=TRUE,((Table1[[#This Row],[Birthweight (grams)]]*1.1/Table1[[#This Row],[BW_GA]])-1)/(Backend!$B$4/100*Table1[[#This Row],[BW40_3705]]),"")</f>
        <v/>
      </c>
      <c r="J2686" s="7" t="str">
        <f>IF(Table1[[#This Row],[Is Data Valid]]=TRUE,_xlfn.NORM.S.DIST(Table1[[#This Row],[Birthweight Z-Score]],TRUE)*100,"")</f>
        <v/>
      </c>
      <c r="K2686" s="7" t="str">
        <f>IF(Table1[[#This Row],[Is Data Valid]]=TRUE,_xlfn.NORM.S.DIST(Table1[[#This Row],[Birthweight Z-Score (BW-10%)]],TRUE)*100,"")</f>
        <v/>
      </c>
      <c r="L2686" s="7" t="str">
        <f>IF(Table1[[#This Row],[Is Data Valid]]=TRUE,_xlfn.NORM.S.DIST(Table1[[#This Row],[Birthweight Z-Score (BW+10%)]],TRUE)*100,"")</f>
        <v/>
      </c>
    </row>
    <row r="2687" spans="1:12" x14ac:dyDescent="0.35">
      <c r="A2687" s="3"/>
      <c r="B2687" s="2"/>
      <c r="C2687" s="2"/>
      <c r="D2687" s="2" t="b">
        <f>IF(AND(NOT(ISBLANK(Table1[[#This Row],[Fetal Sex (Male, Female or Unknown)]])),ISNUMBER(Table1[[#This Row],[Birthweight (grams)]]),ISNUMBER(Table1[[#This Row],[Gestation (days)]])),TRUE,FALSE)</f>
        <v>0</v>
      </c>
      <c r="E2687" s="2" t="str">
        <f>IF(Table1[[#This Row],[Is Data Valid]]=TRUE,IF(Table1[[#This Row],[Fetal Sex (Male, Female or Unknown)]]="Male",Backend!$C$6,IF(Table1[[#This Row],[Fetal Sex (Male, Female or Unknown)]]="Female",Backend!$C$7,IF(Table1[[#This Row],[Fetal Sex (Male, Female or Unknown)]]="Unknown",Backend!$C$8,"Error"))),"")</f>
        <v/>
      </c>
      <c r="F2687" s="8" t="str">
        <f>IF(Table1[[#This Row],[Is Data Valid]]=TRUE,EXP(0.578+0.332*((Table1[[#This Row],[Gestation (days)]]+0.5)/7)-0.00354*((Table1[[#This Row],[Gestation (days)]]+0.5)/7)^2)*Table1[[#This Row],[BW40_3705]],"")</f>
        <v/>
      </c>
      <c r="G2687" s="2" t="str">
        <f>IF(Table1[[#This Row],[Is Data Valid]]=TRUE,((Table1[[#This Row],[Birthweight (grams)]]/Table1[[#This Row],[BW_GA]])-1)/(Backend!$B$4/100*Table1[[#This Row],[BW40_3705]]),"")</f>
        <v/>
      </c>
      <c r="H2687" s="7" t="str">
        <f>IF(Table1[[#This Row],[Is Data Valid]]=TRUE,((Table1[[#This Row],[Birthweight (grams)]]*0.9/Table1[[#This Row],[BW_GA]])-1)/(Backend!$B$4/100*Table1[[#This Row],[BW40_3705]]),"")</f>
        <v/>
      </c>
      <c r="I2687" s="7" t="str">
        <f>IF(Table1[[#This Row],[Is Data Valid]]=TRUE,((Table1[[#This Row],[Birthweight (grams)]]*1.1/Table1[[#This Row],[BW_GA]])-1)/(Backend!$B$4/100*Table1[[#This Row],[BW40_3705]]),"")</f>
        <v/>
      </c>
      <c r="J2687" s="7" t="str">
        <f>IF(Table1[[#This Row],[Is Data Valid]]=TRUE,_xlfn.NORM.S.DIST(Table1[[#This Row],[Birthweight Z-Score]],TRUE)*100,"")</f>
        <v/>
      </c>
      <c r="K2687" s="7" t="str">
        <f>IF(Table1[[#This Row],[Is Data Valid]]=TRUE,_xlfn.NORM.S.DIST(Table1[[#This Row],[Birthweight Z-Score (BW-10%)]],TRUE)*100,"")</f>
        <v/>
      </c>
      <c r="L2687" s="7" t="str">
        <f>IF(Table1[[#This Row],[Is Data Valid]]=TRUE,_xlfn.NORM.S.DIST(Table1[[#This Row],[Birthweight Z-Score (BW+10%)]],TRUE)*100,"")</f>
        <v/>
      </c>
    </row>
    <row r="2688" spans="1:12" x14ac:dyDescent="0.35">
      <c r="A2688" s="3"/>
      <c r="B2688" s="2"/>
      <c r="C2688" s="2"/>
      <c r="D2688" s="2" t="b">
        <f>IF(AND(NOT(ISBLANK(Table1[[#This Row],[Fetal Sex (Male, Female or Unknown)]])),ISNUMBER(Table1[[#This Row],[Birthweight (grams)]]),ISNUMBER(Table1[[#This Row],[Gestation (days)]])),TRUE,FALSE)</f>
        <v>0</v>
      </c>
      <c r="E2688" s="2" t="str">
        <f>IF(Table1[[#This Row],[Is Data Valid]]=TRUE,IF(Table1[[#This Row],[Fetal Sex (Male, Female or Unknown)]]="Male",Backend!$C$6,IF(Table1[[#This Row],[Fetal Sex (Male, Female or Unknown)]]="Female",Backend!$C$7,IF(Table1[[#This Row],[Fetal Sex (Male, Female or Unknown)]]="Unknown",Backend!$C$8,"Error"))),"")</f>
        <v/>
      </c>
      <c r="F2688" s="8" t="str">
        <f>IF(Table1[[#This Row],[Is Data Valid]]=TRUE,EXP(0.578+0.332*((Table1[[#This Row],[Gestation (days)]]+0.5)/7)-0.00354*((Table1[[#This Row],[Gestation (days)]]+0.5)/7)^2)*Table1[[#This Row],[BW40_3705]],"")</f>
        <v/>
      </c>
      <c r="G2688" s="2" t="str">
        <f>IF(Table1[[#This Row],[Is Data Valid]]=TRUE,((Table1[[#This Row],[Birthweight (grams)]]/Table1[[#This Row],[BW_GA]])-1)/(Backend!$B$4/100*Table1[[#This Row],[BW40_3705]]),"")</f>
        <v/>
      </c>
      <c r="H2688" s="7" t="str">
        <f>IF(Table1[[#This Row],[Is Data Valid]]=TRUE,((Table1[[#This Row],[Birthweight (grams)]]*0.9/Table1[[#This Row],[BW_GA]])-1)/(Backend!$B$4/100*Table1[[#This Row],[BW40_3705]]),"")</f>
        <v/>
      </c>
      <c r="I2688" s="7" t="str">
        <f>IF(Table1[[#This Row],[Is Data Valid]]=TRUE,((Table1[[#This Row],[Birthweight (grams)]]*1.1/Table1[[#This Row],[BW_GA]])-1)/(Backend!$B$4/100*Table1[[#This Row],[BW40_3705]]),"")</f>
        <v/>
      </c>
      <c r="J2688" s="7" t="str">
        <f>IF(Table1[[#This Row],[Is Data Valid]]=TRUE,_xlfn.NORM.S.DIST(Table1[[#This Row],[Birthweight Z-Score]],TRUE)*100,"")</f>
        <v/>
      </c>
      <c r="K2688" s="7" t="str">
        <f>IF(Table1[[#This Row],[Is Data Valid]]=TRUE,_xlfn.NORM.S.DIST(Table1[[#This Row],[Birthweight Z-Score (BW-10%)]],TRUE)*100,"")</f>
        <v/>
      </c>
      <c r="L2688" s="7" t="str">
        <f>IF(Table1[[#This Row],[Is Data Valid]]=TRUE,_xlfn.NORM.S.DIST(Table1[[#This Row],[Birthweight Z-Score (BW+10%)]],TRUE)*100,"")</f>
        <v/>
      </c>
    </row>
    <row r="2689" spans="1:12" x14ac:dyDescent="0.35">
      <c r="A2689" s="3"/>
      <c r="B2689" s="2"/>
      <c r="C2689" s="2"/>
      <c r="D2689" s="2" t="b">
        <f>IF(AND(NOT(ISBLANK(Table1[[#This Row],[Fetal Sex (Male, Female or Unknown)]])),ISNUMBER(Table1[[#This Row],[Birthweight (grams)]]),ISNUMBER(Table1[[#This Row],[Gestation (days)]])),TRUE,FALSE)</f>
        <v>0</v>
      </c>
      <c r="E2689" s="2" t="str">
        <f>IF(Table1[[#This Row],[Is Data Valid]]=TRUE,IF(Table1[[#This Row],[Fetal Sex (Male, Female or Unknown)]]="Male",Backend!$C$6,IF(Table1[[#This Row],[Fetal Sex (Male, Female or Unknown)]]="Female",Backend!$C$7,IF(Table1[[#This Row],[Fetal Sex (Male, Female or Unknown)]]="Unknown",Backend!$C$8,"Error"))),"")</f>
        <v/>
      </c>
      <c r="F2689" s="8" t="str">
        <f>IF(Table1[[#This Row],[Is Data Valid]]=TRUE,EXP(0.578+0.332*((Table1[[#This Row],[Gestation (days)]]+0.5)/7)-0.00354*((Table1[[#This Row],[Gestation (days)]]+0.5)/7)^2)*Table1[[#This Row],[BW40_3705]],"")</f>
        <v/>
      </c>
      <c r="G2689" s="2" t="str">
        <f>IF(Table1[[#This Row],[Is Data Valid]]=TRUE,((Table1[[#This Row],[Birthweight (grams)]]/Table1[[#This Row],[BW_GA]])-1)/(Backend!$B$4/100*Table1[[#This Row],[BW40_3705]]),"")</f>
        <v/>
      </c>
      <c r="H2689" s="7" t="str">
        <f>IF(Table1[[#This Row],[Is Data Valid]]=TRUE,((Table1[[#This Row],[Birthweight (grams)]]*0.9/Table1[[#This Row],[BW_GA]])-1)/(Backend!$B$4/100*Table1[[#This Row],[BW40_3705]]),"")</f>
        <v/>
      </c>
      <c r="I2689" s="7" t="str">
        <f>IF(Table1[[#This Row],[Is Data Valid]]=TRUE,((Table1[[#This Row],[Birthweight (grams)]]*1.1/Table1[[#This Row],[BW_GA]])-1)/(Backend!$B$4/100*Table1[[#This Row],[BW40_3705]]),"")</f>
        <v/>
      </c>
      <c r="J2689" s="7" t="str">
        <f>IF(Table1[[#This Row],[Is Data Valid]]=TRUE,_xlfn.NORM.S.DIST(Table1[[#This Row],[Birthweight Z-Score]],TRUE)*100,"")</f>
        <v/>
      </c>
      <c r="K2689" s="7" t="str">
        <f>IF(Table1[[#This Row],[Is Data Valid]]=TRUE,_xlfn.NORM.S.DIST(Table1[[#This Row],[Birthweight Z-Score (BW-10%)]],TRUE)*100,"")</f>
        <v/>
      </c>
      <c r="L2689" s="7" t="str">
        <f>IF(Table1[[#This Row],[Is Data Valid]]=TRUE,_xlfn.NORM.S.DIST(Table1[[#This Row],[Birthweight Z-Score (BW+10%)]],TRUE)*100,"")</f>
        <v/>
      </c>
    </row>
    <row r="2690" spans="1:12" x14ac:dyDescent="0.35">
      <c r="A2690" s="3"/>
      <c r="B2690" s="2"/>
      <c r="C2690" s="2"/>
      <c r="D2690" s="2" t="b">
        <f>IF(AND(NOT(ISBLANK(Table1[[#This Row],[Fetal Sex (Male, Female or Unknown)]])),ISNUMBER(Table1[[#This Row],[Birthweight (grams)]]),ISNUMBER(Table1[[#This Row],[Gestation (days)]])),TRUE,FALSE)</f>
        <v>0</v>
      </c>
      <c r="E2690" s="2" t="str">
        <f>IF(Table1[[#This Row],[Is Data Valid]]=TRUE,IF(Table1[[#This Row],[Fetal Sex (Male, Female or Unknown)]]="Male",Backend!$C$6,IF(Table1[[#This Row],[Fetal Sex (Male, Female or Unknown)]]="Female",Backend!$C$7,IF(Table1[[#This Row],[Fetal Sex (Male, Female or Unknown)]]="Unknown",Backend!$C$8,"Error"))),"")</f>
        <v/>
      </c>
      <c r="F2690" s="8" t="str">
        <f>IF(Table1[[#This Row],[Is Data Valid]]=TRUE,EXP(0.578+0.332*((Table1[[#This Row],[Gestation (days)]]+0.5)/7)-0.00354*((Table1[[#This Row],[Gestation (days)]]+0.5)/7)^2)*Table1[[#This Row],[BW40_3705]],"")</f>
        <v/>
      </c>
      <c r="G2690" s="2" t="str">
        <f>IF(Table1[[#This Row],[Is Data Valid]]=TRUE,((Table1[[#This Row],[Birthweight (grams)]]/Table1[[#This Row],[BW_GA]])-1)/(Backend!$B$4/100*Table1[[#This Row],[BW40_3705]]),"")</f>
        <v/>
      </c>
      <c r="H2690" s="7" t="str">
        <f>IF(Table1[[#This Row],[Is Data Valid]]=TRUE,((Table1[[#This Row],[Birthweight (grams)]]*0.9/Table1[[#This Row],[BW_GA]])-1)/(Backend!$B$4/100*Table1[[#This Row],[BW40_3705]]),"")</f>
        <v/>
      </c>
      <c r="I2690" s="7" t="str">
        <f>IF(Table1[[#This Row],[Is Data Valid]]=TRUE,((Table1[[#This Row],[Birthweight (grams)]]*1.1/Table1[[#This Row],[BW_GA]])-1)/(Backend!$B$4/100*Table1[[#This Row],[BW40_3705]]),"")</f>
        <v/>
      </c>
      <c r="J2690" s="7" t="str">
        <f>IF(Table1[[#This Row],[Is Data Valid]]=TRUE,_xlfn.NORM.S.DIST(Table1[[#This Row],[Birthweight Z-Score]],TRUE)*100,"")</f>
        <v/>
      </c>
      <c r="K2690" s="7" t="str">
        <f>IF(Table1[[#This Row],[Is Data Valid]]=TRUE,_xlfn.NORM.S.DIST(Table1[[#This Row],[Birthweight Z-Score (BW-10%)]],TRUE)*100,"")</f>
        <v/>
      </c>
      <c r="L2690" s="7" t="str">
        <f>IF(Table1[[#This Row],[Is Data Valid]]=TRUE,_xlfn.NORM.S.DIST(Table1[[#This Row],[Birthweight Z-Score (BW+10%)]],TRUE)*100,"")</f>
        <v/>
      </c>
    </row>
    <row r="2691" spans="1:12" x14ac:dyDescent="0.35">
      <c r="A2691" s="3"/>
      <c r="B2691" s="2"/>
      <c r="C2691" s="2"/>
      <c r="D2691" s="2" t="b">
        <f>IF(AND(NOT(ISBLANK(Table1[[#This Row],[Fetal Sex (Male, Female or Unknown)]])),ISNUMBER(Table1[[#This Row],[Birthweight (grams)]]),ISNUMBER(Table1[[#This Row],[Gestation (days)]])),TRUE,FALSE)</f>
        <v>0</v>
      </c>
      <c r="E2691" s="2" t="str">
        <f>IF(Table1[[#This Row],[Is Data Valid]]=TRUE,IF(Table1[[#This Row],[Fetal Sex (Male, Female or Unknown)]]="Male",Backend!$C$6,IF(Table1[[#This Row],[Fetal Sex (Male, Female or Unknown)]]="Female",Backend!$C$7,IF(Table1[[#This Row],[Fetal Sex (Male, Female or Unknown)]]="Unknown",Backend!$C$8,"Error"))),"")</f>
        <v/>
      </c>
      <c r="F2691" s="8" t="str">
        <f>IF(Table1[[#This Row],[Is Data Valid]]=TRUE,EXP(0.578+0.332*((Table1[[#This Row],[Gestation (days)]]+0.5)/7)-0.00354*((Table1[[#This Row],[Gestation (days)]]+0.5)/7)^2)*Table1[[#This Row],[BW40_3705]],"")</f>
        <v/>
      </c>
      <c r="G2691" s="2" t="str">
        <f>IF(Table1[[#This Row],[Is Data Valid]]=TRUE,((Table1[[#This Row],[Birthweight (grams)]]/Table1[[#This Row],[BW_GA]])-1)/(Backend!$B$4/100*Table1[[#This Row],[BW40_3705]]),"")</f>
        <v/>
      </c>
      <c r="H2691" s="7" t="str">
        <f>IF(Table1[[#This Row],[Is Data Valid]]=TRUE,((Table1[[#This Row],[Birthweight (grams)]]*0.9/Table1[[#This Row],[BW_GA]])-1)/(Backend!$B$4/100*Table1[[#This Row],[BW40_3705]]),"")</f>
        <v/>
      </c>
      <c r="I2691" s="7" t="str">
        <f>IF(Table1[[#This Row],[Is Data Valid]]=TRUE,((Table1[[#This Row],[Birthweight (grams)]]*1.1/Table1[[#This Row],[BW_GA]])-1)/(Backend!$B$4/100*Table1[[#This Row],[BW40_3705]]),"")</f>
        <v/>
      </c>
      <c r="J2691" s="7" t="str">
        <f>IF(Table1[[#This Row],[Is Data Valid]]=TRUE,_xlfn.NORM.S.DIST(Table1[[#This Row],[Birthweight Z-Score]],TRUE)*100,"")</f>
        <v/>
      </c>
      <c r="K2691" s="7" t="str">
        <f>IF(Table1[[#This Row],[Is Data Valid]]=TRUE,_xlfn.NORM.S.DIST(Table1[[#This Row],[Birthweight Z-Score (BW-10%)]],TRUE)*100,"")</f>
        <v/>
      </c>
      <c r="L2691" s="7" t="str">
        <f>IF(Table1[[#This Row],[Is Data Valid]]=TRUE,_xlfn.NORM.S.DIST(Table1[[#This Row],[Birthweight Z-Score (BW+10%)]],TRUE)*100,"")</f>
        <v/>
      </c>
    </row>
    <row r="2692" spans="1:12" x14ac:dyDescent="0.35">
      <c r="A2692" s="3"/>
      <c r="B2692" s="2"/>
      <c r="C2692" s="2"/>
      <c r="D2692" s="2" t="b">
        <f>IF(AND(NOT(ISBLANK(Table1[[#This Row],[Fetal Sex (Male, Female or Unknown)]])),ISNUMBER(Table1[[#This Row],[Birthweight (grams)]]),ISNUMBER(Table1[[#This Row],[Gestation (days)]])),TRUE,FALSE)</f>
        <v>0</v>
      </c>
      <c r="E2692" s="2" t="str">
        <f>IF(Table1[[#This Row],[Is Data Valid]]=TRUE,IF(Table1[[#This Row],[Fetal Sex (Male, Female or Unknown)]]="Male",Backend!$C$6,IF(Table1[[#This Row],[Fetal Sex (Male, Female or Unknown)]]="Female",Backend!$C$7,IF(Table1[[#This Row],[Fetal Sex (Male, Female or Unknown)]]="Unknown",Backend!$C$8,"Error"))),"")</f>
        <v/>
      </c>
      <c r="F2692" s="8" t="str">
        <f>IF(Table1[[#This Row],[Is Data Valid]]=TRUE,EXP(0.578+0.332*((Table1[[#This Row],[Gestation (days)]]+0.5)/7)-0.00354*((Table1[[#This Row],[Gestation (days)]]+0.5)/7)^2)*Table1[[#This Row],[BW40_3705]],"")</f>
        <v/>
      </c>
      <c r="G2692" s="2" t="str">
        <f>IF(Table1[[#This Row],[Is Data Valid]]=TRUE,((Table1[[#This Row],[Birthweight (grams)]]/Table1[[#This Row],[BW_GA]])-1)/(Backend!$B$4/100*Table1[[#This Row],[BW40_3705]]),"")</f>
        <v/>
      </c>
      <c r="H2692" s="7" t="str">
        <f>IF(Table1[[#This Row],[Is Data Valid]]=TRUE,((Table1[[#This Row],[Birthweight (grams)]]*0.9/Table1[[#This Row],[BW_GA]])-1)/(Backend!$B$4/100*Table1[[#This Row],[BW40_3705]]),"")</f>
        <v/>
      </c>
      <c r="I2692" s="7" t="str">
        <f>IF(Table1[[#This Row],[Is Data Valid]]=TRUE,((Table1[[#This Row],[Birthweight (grams)]]*1.1/Table1[[#This Row],[BW_GA]])-1)/(Backend!$B$4/100*Table1[[#This Row],[BW40_3705]]),"")</f>
        <v/>
      </c>
      <c r="J2692" s="7" t="str">
        <f>IF(Table1[[#This Row],[Is Data Valid]]=TRUE,_xlfn.NORM.S.DIST(Table1[[#This Row],[Birthweight Z-Score]],TRUE)*100,"")</f>
        <v/>
      </c>
      <c r="K2692" s="7" t="str">
        <f>IF(Table1[[#This Row],[Is Data Valid]]=TRUE,_xlfn.NORM.S.DIST(Table1[[#This Row],[Birthweight Z-Score (BW-10%)]],TRUE)*100,"")</f>
        <v/>
      </c>
      <c r="L2692" s="7" t="str">
        <f>IF(Table1[[#This Row],[Is Data Valid]]=TRUE,_xlfn.NORM.S.DIST(Table1[[#This Row],[Birthweight Z-Score (BW+10%)]],TRUE)*100,"")</f>
        <v/>
      </c>
    </row>
    <row r="2693" spans="1:12" x14ac:dyDescent="0.35">
      <c r="A2693" s="3"/>
      <c r="B2693" s="2"/>
      <c r="C2693" s="2"/>
      <c r="D2693" s="2" t="b">
        <f>IF(AND(NOT(ISBLANK(Table1[[#This Row],[Fetal Sex (Male, Female or Unknown)]])),ISNUMBER(Table1[[#This Row],[Birthweight (grams)]]),ISNUMBER(Table1[[#This Row],[Gestation (days)]])),TRUE,FALSE)</f>
        <v>0</v>
      </c>
      <c r="E2693" s="2" t="str">
        <f>IF(Table1[[#This Row],[Is Data Valid]]=TRUE,IF(Table1[[#This Row],[Fetal Sex (Male, Female or Unknown)]]="Male",Backend!$C$6,IF(Table1[[#This Row],[Fetal Sex (Male, Female or Unknown)]]="Female",Backend!$C$7,IF(Table1[[#This Row],[Fetal Sex (Male, Female or Unknown)]]="Unknown",Backend!$C$8,"Error"))),"")</f>
        <v/>
      </c>
      <c r="F2693" s="8" t="str">
        <f>IF(Table1[[#This Row],[Is Data Valid]]=TRUE,EXP(0.578+0.332*((Table1[[#This Row],[Gestation (days)]]+0.5)/7)-0.00354*((Table1[[#This Row],[Gestation (days)]]+0.5)/7)^2)*Table1[[#This Row],[BW40_3705]],"")</f>
        <v/>
      </c>
      <c r="G2693" s="2" t="str">
        <f>IF(Table1[[#This Row],[Is Data Valid]]=TRUE,((Table1[[#This Row],[Birthweight (grams)]]/Table1[[#This Row],[BW_GA]])-1)/(Backend!$B$4/100*Table1[[#This Row],[BW40_3705]]),"")</f>
        <v/>
      </c>
      <c r="H2693" s="7" t="str">
        <f>IF(Table1[[#This Row],[Is Data Valid]]=TRUE,((Table1[[#This Row],[Birthweight (grams)]]*0.9/Table1[[#This Row],[BW_GA]])-1)/(Backend!$B$4/100*Table1[[#This Row],[BW40_3705]]),"")</f>
        <v/>
      </c>
      <c r="I2693" s="7" t="str">
        <f>IF(Table1[[#This Row],[Is Data Valid]]=TRUE,((Table1[[#This Row],[Birthweight (grams)]]*1.1/Table1[[#This Row],[BW_GA]])-1)/(Backend!$B$4/100*Table1[[#This Row],[BW40_3705]]),"")</f>
        <v/>
      </c>
      <c r="J2693" s="7" t="str">
        <f>IF(Table1[[#This Row],[Is Data Valid]]=TRUE,_xlfn.NORM.S.DIST(Table1[[#This Row],[Birthweight Z-Score]],TRUE)*100,"")</f>
        <v/>
      </c>
      <c r="K2693" s="7" t="str">
        <f>IF(Table1[[#This Row],[Is Data Valid]]=TRUE,_xlfn.NORM.S.DIST(Table1[[#This Row],[Birthweight Z-Score (BW-10%)]],TRUE)*100,"")</f>
        <v/>
      </c>
      <c r="L2693" s="7" t="str">
        <f>IF(Table1[[#This Row],[Is Data Valid]]=TRUE,_xlfn.NORM.S.DIST(Table1[[#This Row],[Birthweight Z-Score (BW+10%)]],TRUE)*100,"")</f>
        <v/>
      </c>
    </row>
    <row r="2694" spans="1:12" x14ac:dyDescent="0.35">
      <c r="A2694" s="3"/>
      <c r="B2694" s="2"/>
      <c r="C2694" s="2"/>
      <c r="D2694" s="2" t="b">
        <f>IF(AND(NOT(ISBLANK(Table1[[#This Row],[Fetal Sex (Male, Female or Unknown)]])),ISNUMBER(Table1[[#This Row],[Birthweight (grams)]]),ISNUMBER(Table1[[#This Row],[Gestation (days)]])),TRUE,FALSE)</f>
        <v>0</v>
      </c>
      <c r="E2694" s="2" t="str">
        <f>IF(Table1[[#This Row],[Is Data Valid]]=TRUE,IF(Table1[[#This Row],[Fetal Sex (Male, Female or Unknown)]]="Male",Backend!$C$6,IF(Table1[[#This Row],[Fetal Sex (Male, Female or Unknown)]]="Female",Backend!$C$7,IF(Table1[[#This Row],[Fetal Sex (Male, Female or Unknown)]]="Unknown",Backend!$C$8,"Error"))),"")</f>
        <v/>
      </c>
      <c r="F2694" s="8" t="str">
        <f>IF(Table1[[#This Row],[Is Data Valid]]=TRUE,EXP(0.578+0.332*((Table1[[#This Row],[Gestation (days)]]+0.5)/7)-0.00354*((Table1[[#This Row],[Gestation (days)]]+0.5)/7)^2)*Table1[[#This Row],[BW40_3705]],"")</f>
        <v/>
      </c>
      <c r="G2694" s="2" t="str">
        <f>IF(Table1[[#This Row],[Is Data Valid]]=TRUE,((Table1[[#This Row],[Birthweight (grams)]]/Table1[[#This Row],[BW_GA]])-1)/(Backend!$B$4/100*Table1[[#This Row],[BW40_3705]]),"")</f>
        <v/>
      </c>
      <c r="H2694" s="7" t="str">
        <f>IF(Table1[[#This Row],[Is Data Valid]]=TRUE,((Table1[[#This Row],[Birthweight (grams)]]*0.9/Table1[[#This Row],[BW_GA]])-1)/(Backend!$B$4/100*Table1[[#This Row],[BW40_3705]]),"")</f>
        <v/>
      </c>
      <c r="I2694" s="7" t="str">
        <f>IF(Table1[[#This Row],[Is Data Valid]]=TRUE,((Table1[[#This Row],[Birthweight (grams)]]*1.1/Table1[[#This Row],[BW_GA]])-1)/(Backend!$B$4/100*Table1[[#This Row],[BW40_3705]]),"")</f>
        <v/>
      </c>
      <c r="J2694" s="7" t="str">
        <f>IF(Table1[[#This Row],[Is Data Valid]]=TRUE,_xlfn.NORM.S.DIST(Table1[[#This Row],[Birthweight Z-Score]],TRUE)*100,"")</f>
        <v/>
      </c>
      <c r="K2694" s="7" t="str">
        <f>IF(Table1[[#This Row],[Is Data Valid]]=TRUE,_xlfn.NORM.S.DIST(Table1[[#This Row],[Birthweight Z-Score (BW-10%)]],TRUE)*100,"")</f>
        <v/>
      </c>
      <c r="L2694" s="7" t="str">
        <f>IF(Table1[[#This Row],[Is Data Valid]]=TRUE,_xlfn.NORM.S.DIST(Table1[[#This Row],[Birthweight Z-Score (BW+10%)]],TRUE)*100,"")</f>
        <v/>
      </c>
    </row>
    <row r="2695" spans="1:12" x14ac:dyDescent="0.35">
      <c r="A2695" s="3"/>
      <c r="B2695" s="2"/>
      <c r="C2695" s="2"/>
      <c r="D2695" s="2" t="b">
        <f>IF(AND(NOT(ISBLANK(Table1[[#This Row],[Fetal Sex (Male, Female or Unknown)]])),ISNUMBER(Table1[[#This Row],[Birthweight (grams)]]),ISNUMBER(Table1[[#This Row],[Gestation (days)]])),TRUE,FALSE)</f>
        <v>0</v>
      </c>
      <c r="E2695" s="2" t="str">
        <f>IF(Table1[[#This Row],[Is Data Valid]]=TRUE,IF(Table1[[#This Row],[Fetal Sex (Male, Female or Unknown)]]="Male",Backend!$C$6,IF(Table1[[#This Row],[Fetal Sex (Male, Female or Unknown)]]="Female",Backend!$C$7,IF(Table1[[#This Row],[Fetal Sex (Male, Female or Unknown)]]="Unknown",Backend!$C$8,"Error"))),"")</f>
        <v/>
      </c>
      <c r="F2695" s="8" t="str">
        <f>IF(Table1[[#This Row],[Is Data Valid]]=TRUE,EXP(0.578+0.332*((Table1[[#This Row],[Gestation (days)]]+0.5)/7)-0.00354*((Table1[[#This Row],[Gestation (days)]]+0.5)/7)^2)*Table1[[#This Row],[BW40_3705]],"")</f>
        <v/>
      </c>
      <c r="G2695" s="2" t="str">
        <f>IF(Table1[[#This Row],[Is Data Valid]]=TRUE,((Table1[[#This Row],[Birthweight (grams)]]/Table1[[#This Row],[BW_GA]])-1)/(Backend!$B$4/100*Table1[[#This Row],[BW40_3705]]),"")</f>
        <v/>
      </c>
      <c r="H2695" s="7" t="str">
        <f>IF(Table1[[#This Row],[Is Data Valid]]=TRUE,((Table1[[#This Row],[Birthweight (grams)]]*0.9/Table1[[#This Row],[BW_GA]])-1)/(Backend!$B$4/100*Table1[[#This Row],[BW40_3705]]),"")</f>
        <v/>
      </c>
      <c r="I2695" s="7" t="str">
        <f>IF(Table1[[#This Row],[Is Data Valid]]=TRUE,((Table1[[#This Row],[Birthweight (grams)]]*1.1/Table1[[#This Row],[BW_GA]])-1)/(Backend!$B$4/100*Table1[[#This Row],[BW40_3705]]),"")</f>
        <v/>
      </c>
      <c r="J2695" s="7" t="str">
        <f>IF(Table1[[#This Row],[Is Data Valid]]=TRUE,_xlfn.NORM.S.DIST(Table1[[#This Row],[Birthweight Z-Score]],TRUE)*100,"")</f>
        <v/>
      </c>
      <c r="K2695" s="7" t="str">
        <f>IF(Table1[[#This Row],[Is Data Valid]]=TRUE,_xlfn.NORM.S.DIST(Table1[[#This Row],[Birthweight Z-Score (BW-10%)]],TRUE)*100,"")</f>
        <v/>
      </c>
      <c r="L2695" s="7" t="str">
        <f>IF(Table1[[#This Row],[Is Data Valid]]=TRUE,_xlfn.NORM.S.DIST(Table1[[#This Row],[Birthweight Z-Score (BW+10%)]],TRUE)*100,"")</f>
        <v/>
      </c>
    </row>
    <row r="2696" spans="1:12" x14ac:dyDescent="0.35">
      <c r="A2696" s="3"/>
      <c r="B2696" s="2"/>
      <c r="C2696" s="2"/>
      <c r="D2696" s="2" t="b">
        <f>IF(AND(NOT(ISBLANK(Table1[[#This Row],[Fetal Sex (Male, Female or Unknown)]])),ISNUMBER(Table1[[#This Row],[Birthweight (grams)]]),ISNUMBER(Table1[[#This Row],[Gestation (days)]])),TRUE,FALSE)</f>
        <v>0</v>
      </c>
      <c r="E2696" s="2" t="str">
        <f>IF(Table1[[#This Row],[Is Data Valid]]=TRUE,IF(Table1[[#This Row],[Fetal Sex (Male, Female or Unknown)]]="Male",Backend!$C$6,IF(Table1[[#This Row],[Fetal Sex (Male, Female or Unknown)]]="Female",Backend!$C$7,IF(Table1[[#This Row],[Fetal Sex (Male, Female or Unknown)]]="Unknown",Backend!$C$8,"Error"))),"")</f>
        <v/>
      </c>
      <c r="F2696" s="8" t="str">
        <f>IF(Table1[[#This Row],[Is Data Valid]]=TRUE,EXP(0.578+0.332*((Table1[[#This Row],[Gestation (days)]]+0.5)/7)-0.00354*((Table1[[#This Row],[Gestation (days)]]+0.5)/7)^2)*Table1[[#This Row],[BW40_3705]],"")</f>
        <v/>
      </c>
      <c r="G2696" s="2" t="str">
        <f>IF(Table1[[#This Row],[Is Data Valid]]=TRUE,((Table1[[#This Row],[Birthweight (grams)]]/Table1[[#This Row],[BW_GA]])-1)/(Backend!$B$4/100*Table1[[#This Row],[BW40_3705]]),"")</f>
        <v/>
      </c>
      <c r="H2696" s="7" t="str">
        <f>IF(Table1[[#This Row],[Is Data Valid]]=TRUE,((Table1[[#This Row],[Birthweight (grams)]]*0.9/Table1[[#This Row],[BW_GA]])-1)/(Backend!$B$4/100*Table1[[#This Row],[BW40_3705]]),"")</f>
        <v/>
      </c>
      <c r="I2696" s="7" t="str">
        <f>IF(Table1[[#This Row],[Is Data Valid]]=TRUE,((Table1[[#This Row],[Birthweight (grams)]]*1.1/Table1[[#This Row],[BW_GA]])-1)/(Backend!$B$4/100*Table1[[#This Row],[BW40_3705]]),"")</f>
        <v/>
      </c>
      <c r="J2696" s="7" t="str">
        <f>IF(Table1[[#This Row],[Is Data Valid]]=TRUE,_xlfn.NORM.S.DIST(Table1[[#This Row],[Birthweight Z-Score]],TRUE)*100,"")</f>
        <v/>
      </c>
      <c r="K2696" s="7" t="str">
        <f>IF(Table1[[#This Row],[Is Data Valid]]=TRUE,_xlfn.NORM.S.DIST(Table1[[#This Row],[Birthweight Z-Score (BW-10%)]],TRUE)*100,"")</f>
        <v/>
      </c>
      <c r="L2696" s="7" t="str">
        <f>IF(Table1[[#This Row],[Is Data Valid]]=TRUE,_xlfn.NORM.S.DIST(Table1[[#This Row],[Birthweight Z-Score (BW+10%)]],TRUE)*100,"")</f>
        <v/>
      </c>
    </row>
    <row r="2697" spans="1:12" x14ac:dyDescent="0.35">
      <c r="A2697" s="3"/>
      <c r="B2697" s="2"/>
      <c r="C2697" s="2"/>
      <c r="D2697" s="2" t="b">
        <f>IF(AND(NOT(ISBLANK(Table1[[#This Row],[Fetal Sex (Male, Female or Unknown)]])),ISNUMBER(Table1[[#This Row],[Birthweight (grams)]]),ISNUMBER(Table1[[#This Row],[Gestation (days)]])),TRUE,FALSE)</f>
        <v>0</v>
      </c>
      <c r="E2697" s="2" t="str">
        <f>IF(Table1[[#This Row],[Is Data Valid]]=TRUE,IF(Table1[[#This Row],[Fetal Sex (Male, Female or Unknown)]]="Male",Backend!$C$6,IF(Table1[[#This Row],[Fetal Sex (Male, Female or Unknown)]]="Female",Backend!$C$7,IF(Table1[[#This Row],[Fetal Sex (Male, Female or Unknown)]]="Unknown",Backend!$C$8,"Error"))),"")</f>
        <v/>
      </c>
      <c r="F2697" s="8" t="str">
        <f>IF(Table1[[#This Row],[Is Data Valid]]=TRUE,EXP(0.578+0.332*((Table1[[#This Row],[Gestation (days)]]+0.5)/7)-0.00354*((Table1[[#This Row],[Gestation (days)]]+0.5)/7)^2)*Table1[[#This Row],[BW40_3705]],"")</f>
        <v/>
      </c>
      <c r="G2697" s="2" t="str">
        <f>IF(Table1[[#This Row],[Is Data Valid]]=TRUE,((Table1[[#This Row],[Birthweight (grams)]]/Table1[[#This Row],[BW_GA]])-1)/(Backend!$B$4/100*Table1[[#This Row],[BW40_3705]]),"")</f>
        <v/>
      </c>
      <c r="H2697" s="7" t="str">
        <f>IF(Table1[[#This Row],[Is Data Valid]]=TRUE,((Table1[[#This Row],[Birthweight (grams)]]*0.9/Table1[[#This Row],[BW_GA]])-1)/(Backend!$B$4/100*Table1[[#This Row],[BW40_3705]]),"")</f>
        <v/>
      </c>
      <c r="I2697" s="7" t="str">
        <f>IF(Table1[[#This Row],[Is Data Valid]]=TRUE,((Table1[[#This Row],[Birthweight (grams)]]*1.1/Table1[[#This Row],[BW_GA]])-1)/(Backend!$B$4/100*Table1[[#This Row],[BW40_3705]]),"")</f>
        <v/>
      </c>
      <c r="J2697" s="7" t="str">
        <f>IF(Table1[[#This Row],[Is Data Valid]]=TRUE,_xlfn.NORM.S.DIST(Table1[[#This Row],[Birthweight Z-Score]],TRUE)*100,"")</f>
        <v/>
      </c>
      <c r="K2697" s="7" t="str">
        <f>IF(Table1[[#This Row],[Is Data Valid]]=TRUE,_xlfn.NORM.S.DIST(Table1[[#This Row],[Birthweight Z-Score (BW-10%)]],TRUE)*100,"")</f>
        <v/>
      </c>
      <c r="L2697" s="7" t="str">
        <f>IF(Table1[[#This Row],[Is Data Valid]]=TRUE,_xlfn.NORM.S.DIST(Table1[[#This Row],[Birthweight Z-Score (BW+10%)]],TRUE)*100,"")</f>
        <v/>
      </c>
    </row>
    <row r="2698" spans="1:12" x14ac:dyDescent="0.35">
      <c r="A2698" s="3"/>
      <c r="B2698" s="2"/>
      <c r="C2698" s="2"/>
      <c r="D2698" s="2" t="b">
        <f>IF(AND(NOT(ISBLANK(Table1[[#This Row],[Fetal Sex (Male, Female or Unknown)]])),ISNUMBER(Table1[[#This Row],[Birthweight (grams)]]),ISNUMBER(Table1[[#This Row],[Gestation (days)]])),TRUE,FALSE)</f>
        <v>0</v>
      </c>
      <c r="E2698" s="2" t="str">
        <f>IF(Table1[[#This Row],[Is Data Valid]]=TRUE,IF(Table1[[#This Row],[Fetal Sex (Male, Female or Unknown)]]="Male",Backend!$C$6,IF(Table1[[#This Row],[Fetal Sex (Male, Female or Unknown)]]="Female",Backend!$C$7,IF(Table1[[#This Row],[Fetal Sex (Male, Female or Unknown)]]="Unknown",Backend!$C$8,"Error"))),"")</f>
        <v/>
      </c>
      <c r="F2698" s="8" t="str">
        <f>IF(Table1[[#This Row],[Is Data Valid]]=TRUE,EXP(0.578+0.332*((Table1[[#This Row],[Gestation (days)]]+0.5)/7)-0.00354*((Table1[[#This Row],[Gestation (days)]]+0.5)/7)^2)*Table1[[#This Row],[BW40_3705]],"")</f>
        <v/>
      </c>
      <c r="G2698" s="2" t="str">
        <f>IF(Table1[[#This Row],[Is Data Valid]]=TRUE,((Table1[[#This Row],[Birthweight (grams)]]/Table1[[#This Row],[BW_GA]])-1)/(Backend!$B$4/100*Table1[[#This Row],[BW40_3705]]),"")</f>
        <v/>
      </c>
      <c r="H2698" s="7" t="str">
        <f>IF(Table1[[#This Row],[Is Data Valid]]=TRUE,((Table1[[#This Row],[Birthweight (grams)]]*0.9/Table1[[#This Row],[BW_GA]])-1)/(Backend!$B$4/100*Table1[[#This Row],[BW40_3705]]),"")</f>
        <v/>
      </c>
      <c r="I2698" s="7" t="str">
        <f>IF(Table1[[#This Row],[Is Data Valid]]=TRUE,((Table1[[#This Row],[Birthweight (grams)]]*1.1/Table1[[#This Row],[BW_GA]])-1)/(Backend!$B$4/100*Table1[[#This Row],[BW40_3705]]),"")</f>
        <v/>
      </c>
      <c r="J2698" s="7" t="str">
        <f>IF(Table1[[#This Row],[Is Data Valid]]=TRUE,_xlfn.NORM.S.DIST(Table1[[#This Row],[Birthweight Z-Score]],TRUE)*100,"")</f>
        <v/>
      </c>
      <c r="K2698" s="7" t="str">
        <f>IF(Table1[[#This Row],[Is Data Valid]]=TRUE,_xlfn.NORM.S.DIST(Table1[[#This Row],[Birthweight Z-Score (BW-10%)]],TRUE)*100,"")</f>
        <v/>
      </c>
      <c r="L2698" s="7" t="str">
        <f>IF(Table1[[#This Row],[Is Data Valid]]=TRUE,_xlfn.NORM.S.DIST(Table1[[#This Row],[Birthweight Z-Score (BW+10%)]],TRUE)*100,"")</f>
        <v/>
      </c>
    </row>
    <row r="2699" spans="1:12" x14ac:dyDescent="0.35">
      <c r="A2699" s="3"/>
      <c r="B2699" s="2"/>
      <c r="C2699" s="2"/>
      <c r="D2699" s="2" t="b">
        <f>IF(AND(NOT(ISBLANK(Table1[[#This Row],[Fetal Sex (Male, Female or Unknown)]])),ISNUMBER(Table1[[#This Row],[Birthweight (grams)]]),ISNUMBER(Table1[[#This Row],[Gestation (days)]])),TRUE,FALSE)</f>
        <v>0</v>
      </c>
      <c r="E2699" s="2" t="str">
        <f>IF(Table1[[#This Row],[Is Data Valid]]=TRUE,IF(Table1[[#This Row],[Fetal Sex (Male, Female or Unknown)]]="Male",Backend!$C$6,IF(Table1[[#This Row],[Fetal Sex (Male, Female or Unknown)]]="Female",Backend!$C$7,IF(Table1[[#This Row],[Fetal Sex (Male, Female or Unknown)]]="Unknown",Backend!$C$8,"Error"))),"")</f>
        <v/>
      </c>
      <c r="F2699" s="8" t="str">
        <f>IF(Table1[[#This Row],[Is Data Valid]]=TRUE,EXP(0.578+0.332*((Table1[[#This Row],[Gestation (days)]]+0.5)/7)-0.00354*((Table1[[#This Row],[Gestation (days)]]+0.5)/7)^2)*Table1[[#This Row],[BW40_3705]],"")</f>
        <v/>
      </c>
      <c r="G2699" s="2" t="str">
        <f>IF(Table1[[#This Row],[Is Data Valid]]=TRUE,((Table1[[#This Row],[Birthweight (grams)]]/Table1[[#This Row],[BW_GA]])-1)/(Backend!$B$4/100*Table1[[#This Row],[BW40_3705]]),"")</f>
        <v/>
      </c>
      <c r="H2699" s="7" t="str">
        <f>IF(Table1[[#This Row],[Is Data Valid]]=TRUE,((Table1[[#This Row],[Birthweight (grams)]]*0.9/Table1[[#This Row],[BW_GA]])-1)/(Backend!$B$4/100*Table1[[#This Row],[BW40_3705]]),"")</f>
        <v/>
      </c>
      <c r="I2699" s="7" t="str">
        <f>IF(Table1[[#This Row],[Is Data Valid]]=TRUE,((Table1[[#This Row],[Birthweight (grams)]]*1.1/Table1[[#This Row],[BW_GA]])-1)/(Backend!$B$4/100*Table1[[#This Row],[BW40_3705]]),"")</f>
        <v/>
      </c>
      <c r="J2699" s="7" t="str">
        <f>IF(Table1[[#This Row],[Is Data Valid]]=TRUE,_xlfn.NORM.S.DIST(Table1[[#This Row],[Birthweight Z-Score]],TRUE)*100,"")</f>
        <v/>
      </c>
      <c r="K2699" s="7" t="str">
        <f>IF(Table1[[#This Row],[Is Data Valid]]=TRUE,_xlfn.NORM.S.DIST(Table1[[#This Row],[Birthweight Z-Score (BW-10%)]],TRUE)*100,"")</f>
        <v/>
      </c>
      <c r="L2699" s="7" t="str">
        <f>IF(Table1[[#This Row],[Is Data Valid]]=TRUE,_xlfn.NORM.S.DIST(Table1[[#This Row],[Birthweight Z-Score (BW+10%)]],TRUE)*100,"")</f>
        <v/>
      </c>
    </row>
    <row r="2700" spans="1:12" x14ac:dyDescent="0.35">
      <c r="A2700" s="3"/>
      <c r="B2700" s="2"/>
      <c r="C2700" s="2"/>
      <c r="D2700" s="2" t="b">
        <f>IF(AND(NOT(ISBLANK(Table1[[#This Row],[Fetal Sex (Male, Female or Unknown)]])),ISNUMBER(Table1[[#This Row],[Birthweight (grams)]]),ISNUMBER(Table1[[#This Row],[Gestation (days)]])),TRUE,FALSE)</f>
        <v>0</v>
      </c>
      <c r="E2700" s="2" t="str">
        <f>IF(Table1[[#This Row],[Is Data Valid]]=TRUE,IF(Table1[[#This Row],[Fetal Sex (Male, Female or Unknown)]]="Male",Backend!$C$6,IF(Table1[[#This Row],[Fetal Sex (Male, Female or Unknown)]]="Female",Backend!$C$7,IF(Table1[[#This Row],[Fetal Sex (Male, Female or Unknown)]]="Unknown",Backend!$C$8,"Error"))),"")</f>
        <v/>
      </c>
      <c r="F2700" s="8" t="str">
        <f>IF(Table1[[#This Row],[Is Data Valid]]=TRUE,EXP(0.578+0.332*((Table1[[#This Row],[Gestation (days)]]+0.5)/7)-0.00354*((Table1[[#This Row],[Gestation (days)]]+0.5)/7)^2)*Table1[[#This Row],[BW40_3705]],"")</f>
        <v/>
      </c>
      <c r="G2700" s="2" t="str">
        <f>IF(Table1[[#This Row],[Is Data Valid]]=TRUE,((Table1[[#This Row],[Birthweight (grams)]]/Table1[[#This Row],[BW_GA]])-1)/(Backend!$B$4/100*Table1[[#This Row],[BW40_3705]]),"")</f>
        <v/>
      </c>
      <c r="H2700" s="7" t="str">
        <f>IF(Table1[[#This Row],[Is Data Valid]]=TRUE,((Table1[[#This Row],[Birthweight (grams)]]*0.9/Table1[[#This Row],[BW_GA]])-1)/(Backend!$B$4/100*Table1[[#This Row],[BW40_3705]]),"")</f>
        <v/>
      </c>
      <c r="I2700" s="7" t="str">
        <f>IF(Table1[[#This Row],[Is Data Valid]]=TRUE,((Table1[[#This Row],[Birthweight (grams)]]*1.1/Table1[[#This Row],[BW_GA]])-1)/(Backend!$B$4/100*Table1[[#This Row],[BW40_3705]]),"")</f>
        <v/>
      </c>
      <c r="J2700" s="7" t="str">
        <f>IF(Table1[[#This Row],[Is Data Valid]]=TRUE,_xlfn.NORM.S.DIST(Table1[[#This Row],[Birthweight Z-Score]],TRUE)*100,"")</f>
        <v/>
      </c>
      <c r="K2700" s="7" t="str">
        <f>IF(Table1[[#This Row],[Is Data Valid]]=TRUE,_xlfn.NORM.S.DIST(Table1[[#This Row],[Birthweight Z-Score (BW-10%)]],TRUE)*100,"")</f>
        <v/>
      </c>
      <c r="L2700" s="7" t="str">
        <f>IF(Table1[[#This Row],[Is Data Valid]]=TRUE,_xlfn.NORM.S.DIST(Table1[[#This Row],[Birthweight Z-Score (BW+10%)]],TRUE)*100,"")</f>
        <v/>
      </c>
    </row>
    <row r="2701" spans="1:12" x14ac:dyDescent="0.35">
      <c r="A2701" s="3"/>
      <c r="B2701" s="2"/>
      <c r="C2701" s="2"/>
      <c r="D2701" s="2" t="b">
        <f>IF(AND(NOT(ISBLANK(Table1[[#This Row],[Fetal Sex (Male, Female or Unknown)]])),ISNUMBER(Table1[[#This Row],[Birthweight (grams)]]),ISNUMBER(Table1[[#This Row],[Gestation (days)]])),TRUE,FALSE)</f>
        <v>0</v>
      </c>
      <c r="E2701" s="2" t="str">
        <f>IF(Table1[[#This Row],[Is Data Valid]]=TRUE,IF(Table1[[#This Row],[Fetal Sex (Male, Female or Unknown)]]="Male",Backend!$C$6,IF(Table1[[#This Row],[Fetal Sex (Male, Female or Unknown)]]="Female",Backend!$C$7,IF(Table1[[#This Row],[Fetal Sex (Male, Female or Unknown)]]="Unknown",Backend!$C$8,"Error"))),"")</f>
        <v/>
      </c>
      <c r="F2701" s="8" t="str">
        <f>IF(Table1[[#This Row],[Is Data Valid]]=TRUE,EXP(0.578+0.332*((Table1[[#This Row],[Gestation (days)]]+0.5)/7)-0.00354*((Table1[[#This Row],[Gestation (days)]]+0.5)/7)^2)*Table1[[#This Row],[BW40_3705]],"")</f>
        <v/>
      </c>
      <c r="G2701" s="2" t="str">
        <f>IF(Table1[[#This Row],[Is Data Valid]]=TRUE,((Table1[[#This Row],[Birthweight (grams)]]/Table1[[#This Row],[BW_GA]])-1)/(Backend!$B$4/100*Table1[[#This Row],[BW40_3705]]),"")</f>
        <v/>
      </c>
      <c r="H2701" s="7" t="str">
        <f>IF(Table1[[#This Row],[Is Data Valid]]=TRUE,((Table1[[#This Row],[Birthweight (grams)]]*0.9/Table1[[#This Row],[BW_GA]])-1)/(Backend!$B$4/100*Table1[[#This Row],[BW40_3705]]),"")</f>
        <v/>
      </c>
      <c r="I2701" s="7" t="str">
        <f>IF(Table1[[#This Row],[Is Data Valid]]=TRUE,((Table1[[#This Row],[Birthweight (grams)]]*1.1/Table1[[#This Row],[BW_GA]])-1)/(Backend!$B$4/100*Table1[[#This Row],[BW40_3705]]),"")</f>
        <v/>
      </c>
      <c r="J2701" s="7" t="str">
        <f>IF(Table1[[#This Row],[Is Data Valid]]=TRUE,_xlfn.NORM.S.DIST(Table1[[#This Row],[Birthweight Z-Score]],TRUE)*100,"")</f>
        <v/>
      </c>
      <c r="K2701" s="7" t="str">
        <f>IF(Table1[[#This Row],[Is Data Valid]]=TRUE,_xlfn.NORM.S.DIST(Table1[[#This Row],[Birthweight Z-Score (BW-10%)]],TRUE)*100,"")</f>
        <v/>
      </c>
      <c r="L2701" s="7" t="str">
        <f>IF(Table1[[#This Row],[Is Data Valid]]=TRUE,_xlfn.NORM.S.DIST(Table1[[#This Row],[Birthweight Z-Score (BW+10%)]],TRUE)*100,"")</f>
        <v/>
      </c>
    </row>
    <row r="2702" spans="1:12" x14ac:dyDescent="0.35">
      <c r="A2702" s="3"/>
      <c r="B2702" s="2"/>
      <c r="C2702" s="2"/>
      <c r="D2702" s="2" t="b">
        <f>IF(AND(NOT(ISBLANK(Table1[[#This Row],[Fetal Sex (Male, Female or Unknown)]])),ISNUMBER(Table1[[#This Row],[Birthweight (grams)]]),ISNUMBER(Table1[[#This Row],[Gestation (days)]])),TRUE,FALSE)</f>
        <v>0</v>
      </c>
      <c r="E2702" s="2" t="str">
        <f>IF(Table1[[#This Row],[Is Data Valid]]=TRUE,IF(Table1[[#This Row],[Fetal Sex (Male, Female or Unknown)]]="Male",Backend!$C$6,IF(Table1[[#This Row],[Fetal Sex (Male, Female or Unknown)]]="Female",Backend!$C$7,IF(Table1[[#This Row],[Fetal Sex (Male, Female or Unknown)]]="Unknown",Backend!$C$8,"Error"))),"")</f>
        <v/>
      </c>
      <c r="F2702" s="8" t="str">
        <f>IF(Table1[[#This Row],[Is Data Valid]]=TRUE,EXP(0.578+0.332*((Table1[[#This Row],[Gestation (days)]]+0.5)/7)-0.00354*((Table1[[#This Row],[Gestation (days)]]+0.5)/7)^2)*Table1[[#This Row],[BW40_3705]],"")</f>
        <v/>
      </c>
      <c r="G2702" s="2" t="str">
        <f>IF(Table1[[#This Row],[Is Data Valid]]=TRUE,((Table1[[#This Row],[Birthweight (grams)]]/Table1[[#This Row],[BW_GA]])-1)/(Backend!$B$4/100*Table1[[#This Row],[BW40_3705]]),"")</f>
        <v/>
      </c>
      <c r="H2702" s="7" t="str">
        <f>IF(Table1[[#This Row],[Is Data Valid]]=TRUE,((Table1[[#This Row],[Birthweight (grams)]]*0.9/Table1[[#This Row],[BW_GA]])-1)/(Backend!$B$4/100*Table1[[#This Row],[BW40_3705]]),"")</f>
        <v/>
      </c>
      <c r="I2702" s="7" t="str">
        <f>IF(Table1[[#This Row],[Is Data Valid]]=TRUE,((Table1[[#This Row],[Birthweight (grams)]]*1.1/Table1[[#This Row],[BW_GA]])-1)/(Backend!$B$4/100*Table1[[#This Row],[BW40_3705]]),"")</f>
        <v/>
      </c>
      <c r="J2702" s="7" t="str">
        <f>IF(Table1[[#This Row],[Is Data Valid]]=TRUE,_xlfn.NORM.S.DIST(Table1[[#This Row],[Birthweight Z-Score]],TRUE)*100,"")</f>
        <v/>
      </c>
      <c r="K2702" s="7" t="str">
        <f>IF(Table1[[#This Row],[Is Data Valid]]=TRUE,_xlfn.NORM.S.DIST(Table1[[#This Row],[Birthweight Z-Score (BW-10%)]],TRUE)*100,"")</f>
        <v/>
      </c>
      <c r="L2702" s="7" t="str">
        <f>IF(Table1[[#This Row],[Is Data Valid]]=TRUE,_xlfn.NORM.S.DIST(Table1[[#This Row],[Birthweight Z-Score (BW+10%)]],TRUE)*100,"")</f>
        <v/>
      </c>
    </row>
    <row r="2703" spans="1:12" x14ac:dyDescent="0.35">
      <c r="A2703" s="3"/>
      <c r="B2703" s="2"/>
      <c r="C2703" s="2"/>
      <c r="D2703" s="2" t="b">
        <f>IF(AND(NOT(ISBLANK(Table1[[#This Row],[Fetal Sex (Male, Female or Unknown)]])),ISNUMBER(Table1[[#This Row],[Birthweight (grams)]]),ISNUMBER(Table1[[#This Row],[Gestation (days)]])),TRUE,FALSE)</f>
        <v>0</v>
      </c>
      <c r="E2703" s="2" t="str">
        <f>IF(Table1[[#This Row],[Is Data Valid]]=TRUE,IF(Table1[[#This Row],[Fetal Sex (Male, Female or Unknown)]]="Male",Backend!$C$6,IF(Table1[[#This Row],[Fetal Sex (Male, Female or Unknown)]]="Female",Backend!$C$7,IF(Table1[[#This Row],[Fetal Sex (Male, Female or Unknown)]]="Unknown",Backend!$C$8,"Error"))),"")</f>
        <v/>
      </c>
      <c r="F2703" s="8" t="str">
        <f>IF(Table1[[#This Row],[Is Data Valid]]=TRUE,EXP(0.578+0.332*((Table1[[#This Row],[Gestation (days)]]+0.5)/7)-0.00354*((Table1[[#This Row],[Gestation (days)]]+0.5)/7)^2)*Table1[[#This Row],[BW40_3705]],"")</f>
        <v/>
      </c>
      <c r="G2703" s="2" t="str">
        <f>IF(Table1[[#This Row],[Is Data Valid]]=TRUE,((Table1[[#This Row],[Birthweight (grams)]]/Table1[[#This Row],[BW_GA]])-1)/(Backend!$B$4/100*Table1[[#This Row],[BW40_3705]]),"")</f>
        <v/>
      </c>
      <c r="H2703" s="7" t="str">
        <f>IF(Table1[[#This Row],[Is Data Valid]]=TRUE,((Table1[[#This Row],[Birthweight (grams)]]*0.9/Table1[[#This Row],[BW_GA]])-1)/(Backend!$B$4/100*Table1[[#This Row],[BW40_3705]]),"")</f>
        <v/>
      </c>
      <c r="I2703" s="7" t="str">
        <f>IF(Table1[[#This Row],[Is Data Valid]]=TRUE,((Table1[[#This Row],[Birthweight (grams)]]*1.1/Table1[[#This Row],[BW_GA]])-1)/(Backend!$B$4/100*Table1[[#This Row],[BW40_3705]]),"")</f>
        <v/>
      </c>
      <c r="J2703" s="7" t="str">
        <f>IF(Table1[[#This Row],[Is Data Valid]]=TRUE,_xlfn.NORM.S.DIST(Table1[[#This Row],[Birthweight Z-Score]],TRUE)*100,"")</f>
        <v/>
      </c>
      <c r="K2703" s="7" t="str">
        <f>IF(Table1[[#This Row],[Is Data Valid]]=TRUE,_xlfn.NORM.S.DIST(Table1[[#This Row],[Birthweight Z-Score (BW-10%)]],TRUE)*100,"")</f>
        <v/>
      </c>
      <c r="L2703" s="7" t="str">
        <f>IF(Table1[[#This Row],[Is Data Valid]]=TRUE,_xlfn.NORM.S.DIST(Table1[[#This Row],[Birthweight Z-Score (BW+10%)]],TRUE)*100,"")</f>
        <v/>
      </c>
    </row>
    <row r="2704" spans="1:12" x14ac:dyDescent="0.35">
      <c r="A2704" s="3"/>
      <c r="B2704" s="2"/>
      <c r="C2704" s="2"/>
      <c r="D2704" s="2" t="b">
        <f>IF(AND(NOT(ISBLANK(Table1[[#This Row],[Fetal Sex (Male, Female or Unknown)]])),ISNUMBER(Table1[[#This Row],[Birthweight (grams)]]),ISNUMBER(Table1[[#This Row],[Gestation (days)]])),TRUE,FALSE)</f>
        <v>0</v>
      </c>
      <c r="E2704" s="2" t="str">
        <f>IF(Table1[[#This Row],[Is Data Valid]]=TRUE,IF(Table1[[#This Row],[Fetal Sex (Male, Female or Unknown)]]="Male",Backend!$C$6,IF(Table1[[#This Row],[Fetal Sex (Male, Female or Unknown)]]="Female",Backend!$C$7,IF(Table1[[#This Row],[Fetal Sex (Male, Female or Unknown)]]="Unknown",Backend!$C$8,"Error"))),"")</f>
        <v/>
      </c>
      <c r="F2704" s="8" t="str">
        <f>IF(Table1[[#This Row],[Is Data Valid]]=TRUE,EXP(0.578+0.332*((Table1[[#This Row],[Gestation (days)]]+0.5)/7)-0.00354*((Table1[[#This Row],[Gestation (days)]]+0.5)/7)^2)*Table1[[#This Row],[BW40_3705]],"")</f>
        <v/>
      </c>
      <c r="G2704" s="2" t="str">
        <f>IF(Table1[[#This Row],[Is Data Valid]]=TRUE,((Table1[[#This Row],[Birthweight (grams)]]/Table1[[#This Row],[BW_GA]])-1)/(Backend!$B$4/100*Table1[[#This Row],[BW40_3705]]),"")</f>
        <v/>
      </c>
      <c r="H2704" s="7" t="str">
        <f>IF(Table1[[#This Row],[Is Data Valid]]=TRUE,((Table1[[#This Row],[Birthweight (grams)]]*0.9/Table1[[#This Row],[BW_GA]])-1)/(Backend!$B$4/100*Table1[[#This Row],[BW40_3705]]),"")</f>
        <v/>
      </c>
      <c r="I2704" s="7" t="str">
        <f>IF(Table1[[#This Row],[Is Data Valid]]=TRUE,((Table1[[#This Row],[Birthweight (grams)]]*1.1/Table1[[#This Row],[BW_GA]])-1)/(Backend!$B$4/100*Table1[[#This Row],[BW40_3705]]),"")</f>
        <v/>
      </c>
      <c r="J2704" s="7" t="str">
        <f>IF(Table1[[#This Row],[Is Data Valid]]=TRUE,_xlfn.NORM.S.DIST(Table1[[#This Row],[Birthweight Z-Score]],TRUE)*100,"")</f>
        <v/>
      </c>
      <c r="K2704" s="7" t="str">
        <f>IF(Table1[[#This Row],[Is Data Valid]]=TRUE,_xlfn.NORM.S.DIST(Table1[[#This Row],[Birthweight Z-Score (BW-10%)]],TRUE)*100,"")</f>
        <v/>
      </c>
      <c r="L2704" s="7" t="str">
        <f>IF(Table1[[#This Row],[Is Data Valid]]=TRUE,_xlfn.NORM.S.DIST(Table1[[#This Row],[Birthweight Z-Score (BW+10%)]],TRUE)*100,"")</f>
        <v/>
      </c>
    </row>
    <row r="2705" spans="1:12" x14ac:dyDescent="0.35">
      <c r="A2705" s="3"/>
      <c r="B2705" s="2"/>
      <c r="C2705" s="2"/>
      <c r="D2705" s="2" t="b">
        <f>IF(AND(NOT(ISBLANK(Table1[[#This Row],[Fetal Sex (Male, Female or Unknown)]])),ISNUMBER(Table1[[#This Row],[Birthweight (grams)]]),ISNUMBER(Table1[[#This Row],[Gestation (days)]])),TRUE,FALSE)</f>
        <v>0</v>
      </c>
      <c r="E2705" s="2" t="str">
        <f>IF(Table1[[#This Row],[Is Data Valid]]=TRUE,IF(Table1[[#This Row],[Fetal Sex (Male, Female or Unknown)]]="Male",Backend!$C$6,IF(Table1[[#This Row],[Fetal Sex (Male, Female or Unknown)]]="Female",Backend!$C$7,IF(Table1[[#This Row],[Fetal Sex (Male, Female or Unknown)]]="Unknown",Backend!$C$8,"Error"))),"")</f>
        <v/>
      </c>
      <c r="F2705" s="8" t="str">
        <f>IF(Table1[[#This Row],[Is Data Valid]]=TRUE,EXP(0.578+0.332*((Table1[[#This Row],[Gestation (days)]]+0.5)/7)-0.00354*((Table1[[#This Row],[Gestation (days)]]+0.5)/7)^2)*Table1[[#This Row],[BW40_3705]],"")</f>
        <v/>
      </c>
      <c r="G2705" s="2" t="str">
        <f>IF(Table1[[#This Row],[Is Data Valid]]=TRUE,((Table1[[#This Row],[Birthweight (grams)]]/Table1[[#This Row],[BW_GA]])-1)/(Backend!$B$4/100*Table1[[#This Row],[BW40_3705]]),"")</f>
        <v/>
      </c>
      <c r="H2705" s="7" t="str">
        <f>IF(Table1[[#This Row],[Is Data Valid]]=TRUE,((Table1[[#This Row],[Birthweight (grams)]]*0.9/Table1[[#This Row],[BW_GA]])-1)/(Backend!$B$4/100*Table1[[#This Row],[BW40_3705]]),"")</f>
        <v/>
      </c>
      <c r="I2705" s="7" t="str">
        <f>IF(Table1[[#This Row],[Is Data Valid]]=TRUE,((Table1[[#This Row],[Birthweight (grams)]]*1.1/Table1[[#This Row],[BW_GA]])-1)/(Backend!$B$4/100*Table1[[#This Row],[BW40_3705]]),"")</f>
        <v/>
      </c>
      <c r="J2705" s="7" t="str">
        <f>IF(Table1[[#This Row],[Is Data Valid]]=TRUE,_xlfn.NORM.S.DIST(Table1[[#This Row],[Birthweight Z-Score]],TRUE)*100,"")</f>
        <v/>
      </c>
      <c r="K2705" s="7" t="str">
        <f>IF(Table1[[#This Row],[Is Data Valid]]=TRUE,_xlfn.NORM.S.DIST(Table1[[#This Row],[Birthweight Z-Score (BW-10%)]],TRUE)*100,"")</f>
        <v/>
      </c>
      <c r="L2705" s="7" t="str">
        <f>IF(Table1[[#This Row],[Is Data Valid]]=TRUE,_xlfn.NORM.S.DIST(Table1[[#This Row],[Birthweight Z-Score (BW+10%)]],TRUE)*100,"")</f>
        <v/>
      </c>
    </row>
    <row r="2706" spans="1:12" x14ac:dyDescent="0.35">
      <c r="A2706" s="3"/>
      <c r="B2706" s="2"/>
      <c r="C2706" s="2"/>
      <c r="D2706" s="2" t="b">
        <f>IF(AND(NOT(ISBLANK(Table1[[#This Row],[Fetal Sex (Male, Female or Unknown)]])),ISNUMBER(Table1[[#This Row],[Birthweight (grams)]]),ISNUMBER(Table1[[#This Row],[Gestation (days)]])),TRUE,FALSE)</f>
        <v>0</v>
      </c>
      <c r="E2706" s="2" t="str">
        <f>IF(Table1[[#This Row],[Is Data Valid]]=TRUE,IF(Table1[[#This Row],[Fetal Sex (Male, Female or Unknown)]]="Male",Backend!$C$6,IF(Table1[[#This Row],[Fetal Sex (Male, Female or Unknown)]]="Female",Backend!$C$7,IF(Table1[[#This Row],[Fetal Sex (Male, Female or Unknown)]]="Unknown",Backend!$C$8,"Error"))),"")</f>
        <v/>
      </c>
      <c r="F2706" s="8" t="str">
        <f>IF(Table1[[#This Row],[Is Data Valid]]=TRUE,EXP(0.578+0.332*((Table1[[#This Row],[Gestation (days)]]+0.5)/7)-0.00354*((Table1[[#This Row],[Gestation (days)]]+0.5)/7)^2)*Table1[[#This Row],[BW40_3705]],"")</f>
        <v/>
      </c>
      <c r="G2706" s="2" t="str">
        <f>IF(Table1[[#This Row],[Is Data Valid]]=TRUE,((Table1[[#This Row],[Birthweight (grams)]]/Table1[[#This Row],[BW_GA]])-1)/(Backend!$B$4/100*Table1[[#This Row],[BW40_3705]]),"")</f>
        <v/>
      </c>
      <c r="H2706" s="7" t="str">
        <f>IF(Table1[[#This Row],[Is Data Valid]]=TRUE,((Table1[[#This Row],[Birthweight (grams)]]*0.9/Table1[[#This Row],[BW_GA]])-1)/(Backend!$B$4/100*Table1[[#This Row],[BW40_3705]]),"")</f>
        <v/>
      </c>
      <c r="I2706" s="7" t="str">
        <f>IF(Table1[[#This Row],[Is Data Valid]]=TRUE,((Table1[[#This Row],[Birthweight (grams)]]*1.1/Table1[[#This Row],[BW_GA]])-1)/(Backend!$B$4/100*Table1[[#This Row],[BW40_3705]]),"")</f>
        <v/>
      </c>
      <c r="J2706" s="7" t="str">
        <f>IF(Table1[[#This Row],[Is Data Valid]]=TRUE,_xlfn.NORM.S.DIST(Table1[[#This Row],[Birthweight Z-Score]],TRUE)*100,"")</f>
        <v/>
      </c>
      <c r="K2706" s="7" t="str">
        <f>IF(Table1[[#This Row],[Is Data Valid]]=TRUE,_xlfn.NORM.S.DIST(Table1[[#This Row],[Birthweight Z-Score (BW-10%)]],TRUE)*100,"")</f>
        <v/>
      </c>
      <c r="L2706" s="7" t="str">
        <f>IF(Table1[[#This Row],[Is Data Valid]]=TRUE,_xlfn.NORM.S.DIST(Table1[[#This Row],[Birthweight Z-Score (BW+10%)]],TRUE)*100,"")</f>
        <v/>
      </c>
    </row>
    <row r="2707" spans="1:12" x14ac:dyDescent="0.35">
      <c r="A2707" s="3"/>
      <c r="B2707" s="2"/>
      <c r="C2707" s="2"/>
      <c r="D2707" s="2" t="b">
        <f>IF(AND(NOT(ISBLANK(Table1[[#This Row],[Fetal Sex (Male, Female or Unknown)]])),ISNUMBER(Table1[[#This Row],[Birthweight (grams)]]),ISNUMBER(Table1[[#This Row],[Gestation (days)]])),TRUE,FALSE)</f>
        <v>0</v>
      </c>
      <c r="E2707" s="2" t="str">
        <f>IF(Table1[[#This Row],[Is Data Valid]]=TRUE,IF(Table1[[#This Row],[Fetal Sex (Male, Female or Unknown)]]="Male",Backend!$C$6,IF(Table1[[#This Row],[Fetal Sex (Male, Female or Unknown)]]="Female",Backend!$C$7,IF(Table1[[#This Row],[Fetal Sex (Male, Female or Unknown)]]="Unknown",Backend!$C$8,"Error"))),"")</f>
        <v/>
      </c>
      <c r="F2707" s="8" t="str">
        <f>IF(Table1[[#This Row],[Is Data Valid]]=TRUE,EXP(0.578+0.332*((Table1[[#This Row],[Gestation (days)]]+0.5)/7)-0.00354*((Table1[[#This Row],[Gestation (days)]]+0.5)/7)^2)*Table1[[#This Row],[BW40_3705]],"")</f>
        <v/>
      </c>
      <c r="G2707" s="2" t="str">
        <f>IF(Table1[[#This Row],[Is Data Valid]]=TRUE,((Table1[[#This Row],[Birthweight (grams)]]/Table1[[#This Row],[BW_GA]])-1)/(Backend!$B$4/100*Table1[[#This Row],[BW40_3705]]),"")</f>
        <v/>
      </c>
      <c r="H2707" s="7" t="str">
        <f>IF(Table1[[#This Row],[Is Data Valid]]=TRUE,((Table1[[#This Row],[Birthweight (grams)]]*0.9/Table1[[#This Row],[BW_GA]])-1)/(Backend!$B$4/100*Table1[[#This Row],[BW40_3705]]),"")</f>
        <v/>
      </c>
      <c r="I2707" s="7" t="str">
        <f>IF(Table1[[#This Row],[Is Data Valid]]=TRUE,((Table1[[#This Row],[Birthweight (grams)]]*1.1/Table1[[#This Row],[BW_GA]])-1)/(Backend!$B$4/100*Table1[[#This Row],[BW40_3705]]),"")</f>
        <v/>
      </c>
      <c r="J2707" s="7" t="str">
        <f>IF(Table1[[#This Row],[Is Data Valid]]=TRUE,_xlfn.NORM.S.DIST(Table1[[#This Row],[Birthweight Z-Score]],TRUE)*100,"")</f>
        <v/>
      </c>
      <c r="K2707" s="7" t="str">
        <f>IF(Table1[[#This Row],[Is Data Valid]]=TRUE,_xlfn.NORM.S.DIST(Table1[[#This Row],[Birthweight Z-Score (BW-10%)]],TRUE)*100,"")</f>
        <v/>
      </c>
      <c r="L2707" s="7" t="str">
        <f>IF(Table1[[#This Row],[Is Data Valid]]=TRUE,_xlfn.NORM.S.DIST(Table1[[#This Row],[Birthweight Z-Score (BW+10%)]],TRUE)*100,"")</f>
        <v/>
      </c>
    </row>
    <row r="2708" spans="1:12" x14ac:dyDescent="0.35">
      <c r="A2708" s="3"/>
      <c r="B2708" s="2"/>
      <c r="C2708" s="2"/>
      <c r="D2708" s="2" t="b">
        <f>IF(AND(NOT(ISBLANK(Table1[[#This Row],[Fetal Sex (Male, Female or Unknown)]])),ISNUMBER(Table1[[#This Row],[Birthweight (grams)]]),ISNUMBER(Table1[[#This Row],[Gestation (days)]])),TRUE,FALSE)</f>
        <v>0</v>
      </c>
      <c r="E2708" s="2" t="str">
        <f>IF(Table1[[#This Row],[Is Data Valid]]=TRUE,IF(Table1[[#This Row],[Fetal Sex (Male, Female or Unknown)]]="Male",Backend!$C$6,IF(Table1[[#This Row],[Fetal Sex (Male, Female or Unknown)]]="Female",Backend!$C$7,IF(Table1[[#This Row],[Fetal Sex (Male, Female or Unknown)]]="Unknown",Backend!$C$8,"Error"))),"")</f>
        <v/>
      </c>
      <c r="F2708" s="8" t="str">
        <f>IF(Table1[[#This Row],[Is Data Valid]]=TRUE,EXP(0.578+0.332*((Table1[[#This Row],[Gestation (days)]]+0.5)/7)-0.00354*((Table1[[#This Row],[Gestation (days)]]+0.5)/7)^2)*Table1[[#This Row],[BW40_3705]],"")</f>
        <v/>
      </c>
      <c r="G2708" s="2" t="str">
        <f>IF(Table1[[#This Row],[Is Data Valid]]=TRUE,((Table1[[#This Row],[Birthweight (grams)]]/Table1[[#This Row],[BW_GA]])-1)/(Backend!$B$4/100*Table1[[#This Row],[BW40_3705]]),"")</f>
        <v/>
      </c>
      <c r="H2708" s="7" t="str">
        <f>IF(Table1[[#This Row],[Is Data Valid]]=TRUE,((Table1[[#This Row],[Birthweight (grams)]]*0.9/Table1[[#This Row],[BW_GA]])-1)/(Backend!$B$4/100*Table1[[#This Row],[BW40_3705]]),"")</f>
        <v/>
      </c>
      <c r="I2708" s="7" t="str">
        <f>IF(Table1[[#This Row],[Is Data Valid]]=TRUE,((Table1[[#This Row],[Birthweight (grams)]]*1.1/Table1[[#This Row],[BW_GA]])-1)/(Backend!$B$4/100*Table1[[#This Row],[BW40_3705]]),"")</f>
        <v/>
      </c>
      <c r="J2708" s="7" t="str">
        <f>IF(Table1[[#This Row],[Is Data Valid]]=TRUE,_xlfn.NORM.S.DIST(Table1[[#This Row],[Birthweight Z-Score]],TRUE)*100,"")</f>
        <v/>
      </c>
      <c r="K2708" s="7" t="str">
        <f>IF(Table1[[#This Row],[Is Data Valid]]=TRUE,_xlfn.NORM.S.DIST(Table1[[#This Row],[Birthweight Z-Score (BW-10%)]],TRUE)*100,"")</f>
        <v/>
      </c>
      <c r="L2708" s="7" t="str">
        <f>IF(Table1[[#This Row],[Is Data Valid]]=TRUE,_xlfn.NORM.S.DIST(Table1[[#This Row],[Birthweight Z-Score (BW+10%)]],TRUE)*100,"")</f>
        <v/>
      </c>
    </row>
    <row r="2709" spans="1:12" x14ac:dyDescent="0.35">
      <c r="A2709" s="3"/>
      <c r="B2709" s="2"/>
      <c r="C2709" s="2"/>
      <c r="D2709" s="2" t="b">
        <f>IF(AND(NOT(ISBLANK(Table1[[#This Row],[Fetal Sex (Male, Female or Unknown)]])),ISNUMBER(Table1[[#This Row],[Birthweight (grams)]]),ISNUMBER(Table1[[#This Row],[Gestation (days)]])),TRUE,FALSE)</f>
        <v>0</v>
      </c>
      <c r="E2709" s="2" t="str">
        <f>IF(Table1[[#This Row],[Is Data Valid]]=TRUE,IF(Table1[[#This Row],[Fetal Sex (Male, Female or Unknown)]]="Male",Backend!$C$6,IF(Table1[[#This Row],[Fetal Sex (Male, Female or Unknown)]]="Female",Backend!$C$7,IF(Table1[[#This Row],[Fetal Sex (Male, Female or Unknown)]]="Unknown",Backend!$C$8,"Error"))),"")</f>
        <v/>
      </c>
      <c r="F2709" s="8" t="str">
        <f>IF(Table1[[#This Row],[Is Data Valid]]=TRUE,EXP(0.578+0.332*((Table1[[#This Row],[Gestation (days)]]+0.5)/7)-0.00354*((Table1[[#This Row],[Gestation (days)]]+0.5)/7)^2)*Table1[[#This Row],[BW40_3705]],"")</f>
        <v/>
      </c>
      <c r="G2709" s="2" t="str">
        <f>IF(Table1[[#This Row],[Is Data Valid]]=TRUE,((Table1[[#This Row],[Birthweight (grams)]]/Table1[[#This Row],[BW_GA]])-1)/(Backend!$B$4/100*Table1[[#This Row],[BW40_3705]]),"")</f>
        <v/>
      </c>
      <c r="H2709" s="7" t="str">
        <f>IF(Table1[[#This Row],[Is Data Valid]]=TRUE,((Table1[[#This Row],[Birthweight (grams)]]*0.9/Table1[[#This Row],[BW_GA]])-1)/(Backend!$B$4/100*Table1[[#This Row],[BW40_3705]]),"")</f>
        <v/>
      </c>
      <c r="I2709" s="7" t="str">
        <f>IF(Table1[[#This Row],[Is Data Valid]]=TRUE,((Table1[[#This Row],[Birthweight (grams)]]*1.1/Table1[[#This Row],[BW_GA]])-1)/(Backend!$B$4/100*Table1[[#This Row],[BW40_3705]]),"")</f>
        <v/>
      </c>
      <c r="J2709" s="7" t="str">
        <f>IF(Table1[[#This Row],[Is Data Valid]]=TRUE,_xlfn.NORM.S.DIST(Table1[[#This Row],[Birthweight Z-Score]],TRUE)*100,"")</f>
        <v/>
      </c>
      <c r="K2709" s="7" t="str">
        <f>IF(Table1[[#This Row],[Is Data Valid]]=TRUE,_xlfn.NORM.S.DIST(Table1[[#This Row],[Birthweight Z-Score (BW-10%)]],TRUE)*100,"")</f>
        <v/>
      </c>
      <c r="L2709" s="7" t="str">
        <f>IF(Table1[[#This Row],[Is Data Valid]]=TRUE,_xlfn.NORM.S.DIST(Table1[[#This Row],[Birthweight Z-Score (BW+10%)]],TRUE)*100,"")</f>
        <v/>
      </c>
    </row>
    <row r="2710" spans="1:12" x14ac:dyDescent="0.35">
      <c r="A2710" s="3"/>
      <c r="B2710" s="2"/>
      <c r="C2710" s="2"/>
      <c r="D2710" s="2" t="b">
        <f>IF(AND(NOT(ISBLANK(Table1[[#This Row],[Fetal Sex (Male, Female or Unknown)]])),ISNUMBER(Table1[[#This Row],[Birthweight (grams)]]),ISNUMBER(Table1[[#This Row],[Gestation (days)]])),TRUE,FALSE)</f>
        <v>0</v>
      </c>
      <c r="E2710" s="2" t="str">
        <f>IF(Table1[[#This Row],[Is Data Valid]]=TRUE,IF(Table1[[#This Row],[Fetal Sex (Male, Female or Unknown)]]="Male",Backend!$C$6,IF(Table1[[#This Row],[Fetal Sex (Male, Female or Unknown)]]="Female",Backend!$C$7,IF(Table1[[#This Row],[Fetal Sex (Male, Female or Unknown)]]="Unknown",Backend!$C$8,"Error"))),"")</f>
        <v/>
      </c>
      <c r="F2710" s="8" t="str">
        <f>IF(Table1[[#This Row],[Is Data Valid]]=TRUE,EXP(0.578+0.332*((Table1[[#This Row],[Gestation (days)]]+0.5)/7)-0.00354*((Table1[[#This Row],[Gestation (days)]]+0.5)/7)^2)*Table1[[#This Row],[BW40_3705]],"")</f>
        <v/>
      </c>
      <c r="G2710" s="2" t="str">
        <f>IF(Table1[[#This Row],[Is Data Valid]]=TRUE,((Table1[[#This Row],[Birthweight (grams)]]/Table1[[#This Row],[BW_GA]])-1)/(Backend!$B$4/100*Table1[[#This Row],[BW40_3705]]),"")</f>
        <v/>
      </c>
      <c r="H2710" s="7" t="str">
        <f>IF(Table1[[#This Row],[Is Data Valid]]=TRUE,((Table1[[#This Row],[Birthweight (grams)]]*0.9/Table1[[#This Row],[BW_GA]])-1)/(Backend!$B$4/100*Table1[[#This Row],[BW40_3705]]),"")</f>
        <v/>
      </c>
      <c r="I2710" s="7" t="str">
        <f>IF(Table1[[#This Row],[Is Data Valid]]=TRUE,((Table1[[#This Row],[Birthweight (grams)]]*1.1/Table1[[#This Row],[BW_GA]])-1)/(Backend!$B$4/100*Table1[[#This Row],[BW40_3705]]),"")</f>
        <v/>
      </c>
      <c r="J2710" s="7" t="str">
        <f>IF(Table1[[#This Row],[Is Data Valid]]=TRUE,_xlfn.NORM.S.DIST(Table1[[#This Row],[Birthweight Z-Score]],TRUE)*100,"")</f>
        <v/>
      </c>
      <c r="K2710" s="7" t="str">
        <f>IF(Table1[[#This Row],[Is Data Valid]]=TRUE,_xlfn.NORM.S.DIST(Table1[[#This Row],[Birthweight Z-Score (BW-10%)]],TRUE)*100,"")</f>
        <v/>
      </c>
      <c r="L2710" s="7" t="str">
        <f>IF(Table1[[#This Row],[Is Data Valid]]=TRUE,_xlfn.NORM.S.DIST(Table1[[#This Row],[Birthweight Z-Score (BW+10%)]],TRUE)*100,"")</f>
        <v/>
      </c>
    </row>
    <row r="2711" spans="1:12" x14ac:dyDescent="0.35">
      <c r="A2711" s="3"/>
      <c r="B2711" s="2"/>
      <c r="C2711" s="2"/>
      <c r="D2711" s="2" t="b">
        <f>IF(AND(NOT(ISBLANK(Table1[[#This Row],[Fetal Sex (Male, Female or Unknown)]])),ISNUMBER(Table1[[#This Row],[Birthweight (grams)]]),ISNUMBER(Table1[[#This Row],[Gestation (days)]])),TRUE,FALSE)</f>
        <v>0</v>
      </c>
      <c r="E2711" s="2" t="str">
        <f>IF(Table1[[#This Row],[Is Data Valid]]=TRUE,IF(Table1[[#This Row],[Fetal Sex (Male, Female or Unknown)]]="Male",Backend!$C$6,IF(Table1[[#This Row],[Fetal Sex (Male, Female or Unknown)]]="Female",Backend!$C$7,IF(Table1[[#This Row],[Fetal Sex (Male, Female or Unknown)]]="Unknown",Backend!$C$8,"Error"))),"")</f>
        <v/>
      </c>
      <c r="F2711" s="8" t="str">
        <f>IF(Table1[[#This Row],[Is Data Valid]]=TRUE,EXP(0.578+0.332*((Table1[[#This Row],[Gestation (days)]]+0.5)/7)-0.00354*((Table1[[#This Row],[Gestation (days)]]+0.5)/7)^2)*Table1[[#This Row],[BW40_3705]],"")</f>
        <v/>
      </c>
      <c r="G2711" s="2" t="str">
        <f>IF(Table1[[#This Row],[Is Data Valid]]=TRUE,((Table1[[#This Row],[Birthweight (grams)]]/Table1[[#This Row],[BW_GA]])-1)/(Backend!$B$4/100*Table1[[#This Row],[BW40_3705]]),"")</f>
        <v/>
      </c>
      <c r="H2711" s="7" t="str">
        <f>IF(Table1[[#This Row],[Is Data Valid]]=TRUE,((Table1[[#This Row],[Birthweight (grams)]]*0.9/Table1[[#This Row],[BW_GA]])-1)/(Backend!$B$4/100*Table1[[#This Row],[BW40_3705]]),"")</f>
        <v/>
      </c>
      <c r="I2711" s="7" t="str">
        <f>IF(Table1[[#This Row],[Is Data Valid]]=TRUE,((Table1[[#This Row],[Birthweight (grams)]]*1.1/Table1[[#This Row],[BW_GA]])-1)/(Backend!$B$4/100*Table1[[#This Row],[BW40_3705]]),"")</f>
        <v/>
      </c>
      <c r="J2711" s="7" t="str">
        <f>IF(Table1[[#This Row],[Is Data Valid]]=TRUE,_xlfn.NORM.S.DIST(Table1[[#This Row],[Birthweight Z-Score]],TRUE)*100,"")</f>
        <v/>
      </c>
      <c r="K2711" s="7" t="str">
        <f>IF(Table1[[#This Row],[Is Data Valid]]=TRUE,_xlfn.NORM.S.DIST(Table1[[#This Row],[Birthweight Z-Score (BW-10%)]],TRUE)*100,"")</f>
        <v/>
      </c>
      <c r="L2711" s="7" t="str">
        <f>IF(Table1[[#This Row],[Is Data Valid]]=TRUE,_xlfn.NORM.S.DIST(Table1[[#This Row],[Birthweight Z-Score (BW+10%)]],TRUE)*100,"")</f>
        <v/>
      </c>
    </row>
    <row r="2712" spans="1:12" x14ac:dyDescent="0.35">
      <c r="A2712" s="3"/>
      <c r="B2712" s="2"/>
      <c r="C2712" s="2"/>
      <c r="D2712" s="2" t="b">
        <f>IF(AND(NOT(ISBLANK(Table1[[#This Row],[Fetal Sex (Male, Female or Unknown)]])),ISNUMBER(Table1[[#This Row],[Birthweight (grams)]]),ISNUMBER(Table1[[#This Row],[Gestation (days)]])),TRUE,FALSE)</f>
        <v>0</v>
      </c>
      <c r="E2712" s="2" t="str">
        <f>IF(Table1[[#This Row],[Is Data Valid]]=TRUE,IF(Table1[[#This Row],[Fetal Sex (Male, Female or Unknown)]]="Male",Backend!$C$6,IF(Table1[[#This Row],[Fetal Sex (Male, Female or Unknown)]]="Female",Backend!$C$7,IF(Table1[[#This Row],[Fetal Sex (Male, Female or Unknown)]]="Unknown",Backend!$C$8,"Error"))),"")</f>
        <v/>
      </c>
      <c r="F2712" s="8" t="str">
        <f>IF(Table1[[#This Row],[Is Data Valid]]=TRUE,EXP(0.578+0.332*((Table1[[#This Row],[Gestation (days)]]+0.5)/7)-0.00354*((Table1[[#This Row],[Gestation (days)]]+0.5)/7)^2)*Table1[[#This Row],[BW40_3705]],"")</f>
        <v/>
      </c>
      <c r="G2712" s="2" t="str">
        <f>IF(Table1[[#This Row],[Is Data Valid]]=TRUE,((Table1[[#This Row],[Birthweight (grams)]]/Table1[[#This Row],[BW_GA]])-1)/(Backend!$B$4/100*Table1[[#This Row],[BW40_3705]]),"")</f>
        <v/>
      </c>
      <c r="H2712" s="7" t="str">
        <f>IF(Table1[[#This Row],[Is Data Valid]]=TRUE,((Table1[[#This Row],[Birthweight (grams)]]*0.9/Table1[[#This Row],[BW_GA]])-1)/(Backend!$B$4/100*Table1[[#This Row],[BW40_3705]]),"")</f>
        <v/>
      </c>
      <c r="I2712" s="7" t="str">
        <f>IF(Table1[[#This Row],[Is Data Valid]]=TRUE,((Table1[[#This Row],[Birthweight (grams)]]*1.1/Table1[[#This Row],[BW_GA]])-1)/(Backend!$B$4/100*Table1[[#This Row],[BW40_3705]]),"")</f>
        <v/>
      </c>
      <c r="J2712" s="7" t="str">
        <f>IF(Table1[[#This Row],[Is Data Valid]]=TRUE,_xlfn.NORM.S.DIST(Table1[[#This Row],[Birthweight Z-Score]],TRUE)*100,"")</f>
        <v/>
      </c>
      <c r="K2712" s="7" t="str">
        <f>IF(Table1[[#This Row],[Is Data Valid]]=TRUE,_xlfn.NORM.S.DIST(Table1[[#This Row],[Birthweight Z-Score (BW-10%)]],TRUE)*100,"")</f>
        <v/>
      </c>
      <c r="L2712" s="7" t="str">
        <f>IF(Table1[[#This Row],[Is Data Valid]]=TRUE,_xlfn.NORM.S.DIST(Table1[[#This Row],[Birthweight Z-Score (BW+10%)]],TRUE)*100,"")</f>
        <v/>
      </c>
    </row>
    <row r="2713" spans="1:12" x14ac:dyDescent="0.35">
      <c r="A2713" s="3"/>
      <c r="B2713" s="2"/>
      <c r="C2713" s="2"/>
      <c r="D2713" s="2" t="b">
        <f>IF(AND(NOT(ISBLANK(Table1[[#This Row],[Fetal Sex (Male, Female or Unknown)]])),ISNUMBER(Table1[[#This Row],[Birthweight (grams)]]),ISNUMBER(Table1[[#This Row],[Gestation (days)]])),TRUE,FALSE)</f>
        <v>0</v>
      </c>
      <c r="E2713" s="2" t="str">
        <f>IF(Table1[[#This Row],[Is Data Valid]]=TRUE,IF(Table1[[#This Row],[Fetal Sex (Male, Female or Unknown)]]="Male",Backend!$C$6,IF(Table1[[#This Row],[Fetal Sex (Male, Female or Unknown)]]="Female",Backend!$C$7,IF(Table1[[#This Row],[Fetal Sex (Male, Female or Unknown)]]="Unknown",Backend!$C$8,"Error"))),"")</f>
        <v/>
      </c>
      <c r="F2713" s="8" t="str">
        <f>IF(Table1[[#This Row],[Is Data Valid]]=TRUE,EXP(0.578+0.332*((Table1[[#This Row],[Gestation (days)]]+0.5)/7)-0.00354*((Table1[[#This Row],[Gestation (days)]]+0.5)/7)^2)*Table1[[#This Row],[BW40_3705]],"")</f>
        <v/>
      </c>
      <c r="G2713" s="2" t="str">
        <f>IF(Table1[[#This Row],[Is Data Valid]]=TRUE,((Table1[[#This Row],[Birthweight (grams)]]/Table1[[#This Row],[BW_GA]])-1)/(Backend!$B$4/100*Table1[[#This Row],[BW40_3705]]),"")</f>
        <v/>
      </c>
      <c r="H2713" s="7" t="str">
        <f>IF(Table1[[#This Row],[Is Data Valid]]=TRUE,((Table1[[#This Row],[Birthweight (grams)]]*0.9/Table1[[#This Row],[BW_GA]])-1)/(Backend!$B$4/100*Table1[[#This Row],[BW40_3705]]),"")</f>
        <v/>
      </c>
      <c r="I2713" s="7" t="str">
        <f>IF(Table1[[#This Row],[Is Data Valid]]=TRUE,((Table1[[#This Row],[Birthweight (grams)]]*1.1/Table1[[#This Row],[BW_GA]])-1)/(Backend!$B$4/100*Table1[[#This Row],[BW40_3705]]),"")</f>
        <v/>
      </c>
      <c r="J2713" s="7" t="str">
        <f>IF(Table1[[#This Row],[Is Data Valid]]=TRUE,_xlfn.NORM.S.DIST(Table1[[#This Row],[Birthweight Z-Score]],TRUE)*100,"")</f>
        <v/>
      </c>
      <c r="K2713" s="7" t="str">
        <f>IF(Table1[[#This Row],[Is Data Valid]]=TRUE,_xlfn.NORM.S.DIST(Table1[[#This Row],[Birthweight Z-Score (BW-10%)]],TRUE)*100,"")</f>
        <v/>
      </c>
      <c r="L2713" s="7" t="str">
        <f>IF(Table1[[#This Row],[Is Data Valid]]=TRUE,_xlfn.NORM.S.DIST(Table1[[#This Row],[Birthweight Z-Score (BW+10%)]],TRUE)*100,"")</f>
        <v/>
      </c>
    </row>
    <row r="2714" spans="1:12" x14ac:dyDescent="0.35">
      <c r="A2714" s="3"/>
      <c r="B2714" s="2"/>
      <c r="C2714" s="2"/>
      <c r="D2714" s="2" t="b">
        <f>IF(AND(NOT(ISBLANK(Table1[[#This Row],[Fetal Sex (Male, Female or Unknown)]])),ISNUMBER(Table1[[#This Row],[Birthweight (grams)]]),ISNUMBER(Table1[[#This Row],[Gestation (days)]])),TRUE,FALSE)</f>
        <v>0</v>
      </c>
      <c r="E2714" s="2" t="str">
        <f>IF(Table1[[#This Row],[Is Data Valid]]=TRUE,IF(Table1[[#This Row],[Fetal Sex (Male, Female or Unknown)]]="Male",Backend!$C$6,IF(Table1[[#This Row],[Fetal Sex (Male, Female or Unknown)]]="Female",Backend!$C$7,IF(Table1[[#This Row],[Fetal Sex (Male, Female or Unknown)]]="Unknown",Backend!$C$8,"Error"))),"")</f>
        <v/>
      </c>
      <c r="F2714" s="8" t="str">
        <f>IF(Table1[[#This Row],[Is Data Valid]]=TRUE,EXP(0.578+0.332*((Table1[[#This Row],[Gestation (days)]]+0.5)/7)-0.00354*((Table1[[#This Row],[Gestation (days)]]+0.5)/7)^2)*Table1[[#This Row],[BW40_3705]],"")</f>
        <v/>
      </c>
      <c r="G2714" s="2" t="str">
        <f>IF(Table1[[#This Row],[Is Data Valid]]=TRUE,((Table1[[#This Row],[Birthweight (grams)]]/Table1[[#This Row],[BW_GA]])-1)/(Backend!$B$4/100*Table1[[#This Row],[BW40_3705]]),"")</f>
        <v/>
      </c>
      <c r="H2714" s="7" t="str">
        <f>IF(Table1[[#This Row],[Is Data Valid]]=TRUE,((Table1[[#This Row],[Birthweight (grams)]]*0.9/Table1[[#This Row],[BW_GA]])-1)/(Backend!$B$4/100*Table1[[#This Row],[BW40_3705]]),"")</f>
        <v/>
      </c>
      <c r="I2714" s="7" t="str">
        <f>IF(Table1[[#This Row],[Is Data Valid]]=TRUE,((Table1[[#This Row],[Birthweight (grams)]]*1.1/Table1[[#This Row],[BW_GA]])-1)/(Backend!$B$4/100*Table1[[#This Row],[BW40_3705]]),"")</f>
        <v/>
      </c>
      <c r="J2714" s="7" t="str">
        <f>IF(Table1[[#This Row],[Is Data Valid]]=TRUE,_xlfn.NORM.S.DIST(Table1[[#This Row],[Birthweight Z-Score]],TRUE)*100,"")</f>
        <v/>
      </c>
      <c r="K2714" s="7" t="str">
        <f>IF(Table1[[#This Row],[Is Data Valid]]=TRUE,_xlfn.NORM.S.DIST(Table1[[#This Row],[Birthweight Z-Score (BW-10%)]],TRUE)*100,"")</f>
        <v/>
      </c>
      <c r="L2714" s="7" t="str">
        <f>IF(Table1[[#This Row],[Is Data Valid]]=TRUE,_xlfn.NORM.S.DIST(Table1[[#This Row],[Birthweight Z-Score (BW+10%)]],TRUE)*100,"")</f>
        <v/>
      </c>
    </row>
    <row r="2715" spans="1:12" x14ac:dyDescent="0.35">
      <c r="A2715" s="3"/>
      <c r="B2715" s="2"/>
      <c r="C2715" s="2"/>
      <c r="D2715" s="2" t="b">
        <f>IF(AND(NOT(ISBLANK(Table1[[#This Row],[Fetal Sex (Male, Female or Unknown)]])),ISNUMBER(Table1[[#This Row],[Birthweight (grams)]]),ISNUMBER(Table1[[#This Row],[Gestation (days)]])),TRUE,FALSE)</f>
        <v>0</v>
      </c>
      <c r="E2715" s="2" t="str">
        <f>IF(Table1[[#This Row],[Is Data Valid]]=TRUE,IF(Table1[[#This Row],[Fetal Sex (Male, Female or Unknown)]]="Male",Backend!$C$6,IF(Table1[[#This Row],[Fetal Sex (Male, Female or Unknown)]]="Female",Backend!$C$7,IF(Table1[[#This Row],[Fetal Sex (Male, Female or Unknown)]]="Unknown",Backend!$C$8,"Error"))),"")</f>
        <v/>
      </c>
      <c r="F2715" s="8" t="str">
        <f>IF(Table1[[#This Row],[Is Data Valid]]=TRUE,EXP(0.578+0.332*((Table1[[#This Row],[Gestation (days)]]+0.5)/7)-0.00354*((Table1[[#This Row],[Gestation (days)]]+0.5)/7)^2)*Table1[[#This Row],[BW40_3705]],"")</f>
        <v/>
      </c>
      <c r="G2715" s="2" t="str">
        <f>IF(Table1[[#This Row],[Is Data Valid]]=TRUE,((Table1[[#This Row],[Birthweight (grams)]]/Table1[[#This Row],[BW_GA]])-1)/(Backend!$B$4/100*Table1[[#This Row],[BW40_3705]]),"")</f>
        <v/>
      </c>
      <c r="H2715" s="7" t="str">
        <f>IF(Table1[[#This Row],[Is Data Valid]]=TRUE,((Table1[[#This Row],[Birthweight (grams)]]*0.9/Table1[[#This Row],[BW_GA]])-1)/(Backend!$B$4/100*Table1[[#This Row],[BW40_3705]]),"")</f>
        <v/>
      </c>
      <c r="I2715" s="7" t="str">
        <f>IF(Table1[[#This Row],[Is Data Valid]]=TRUE,((Table1[[#This Row],[Birthweight (grams)]]*1.1/Table1[[#This Row],[BW_GA]])-1)/(Backend!$B$4/100*Table1[[#This Row],[BW40_3705]]),"")</f>
        <v/>
      </c>
      <c r="J2715" s="7" t="str">
        <f>IF(Table1[[#This Row],[Is Data Valid]]=TRUE,_xlfn.NORM.S.DIST(Table1[[#This Row],[Birthweight Z-Score]],TRUE)*100,"")</f>
        <v/>
      </c>
      <c r="K2715" s="7" t="str">
        <f>IF(Table1[[#This Row],[Is Data Valid]]=TRUE,_xlfn.NORM.S.DIST(Table1[[#This Row],[Birthweight Z-Score (BW-10%)]],TRUE)*100,"")</f>
        <v/>
      </c>
      <c r="L2715" s="7" t="str">
        <f>IF(Table1[[#This Row],[Is Data Valid]]=TRUE,_xlfn.NORM.S.DIST(Table1[[#This Row],[Birthweight Z-Score (BW+10%)]],TRUE)*100,"")</f>
        <v/>
      </c>
    </row>
    <row r="2716" spans="1:12" x14ac:dyDescent="0.35">
      <c r="A2716" s="3"/>
      <c r="B2716" s="2"/>
      <c r="C2716" s="2"/>
      <c r="D2716" s="2" t="b">
        <f>IF(AND(NOT(ISBLANK(Table1[[#This Row],[Fetal Sex (Male, Female or Unknown)]])),ISNUMBER(Table1[[#This Row],[Birthweight (grams)]]),ISNUMBER(Table1[[#This Row],[Gestation (days)]])),TRUE,FALSE)</f>
        <v>0</v>
      </c>
      <c r="E2716" s="2" t="str">
        <f>IF(Table1[[#This Row],[Is Data Valid]]=TRUE,IF(Table1[[#This Row],[Fetal Sex (Male, Female or Unknown)]]="Male",Backend!$C$6,IF(Table1[[#This Row],[Fetal Sex (Male, Female or Unknown)]]="Female",Backend!$C$7,IF(Table1[[#This Row],[Fetal Sex (Male, Female or Unknown)]]="Unknown",Backend!$C$8,"Error"))),"")</f>
        <v/>
      </c>
      <c r="F2716" s="8" t="str">
        <f>IF(Table1[[#This Row],[Is Data Valid]]=TRUE,EXP(0.578+0.332*((Table1[[#This Row],[Gestation (days)]]+0.5)/7)-0.00354*((Table1[[#This Row],[Gestation (days)]]+0.5)/7)^2)*Table1[[#This Row],[BW40_3705]],"")</f>
        <v/>
      </c>
      <c r="G2716" s="2" t="str">
        <f>IF(Table1[[#This Row],[Is Data Valid]]=TRUE,((Table1[[#This Row],[Birthweight (grams)]]/Table1[[#This Row],[BW_GA]])-1)/(Backend!$B$4/100*Table1[[#This Row],[BW40_3705]]),"")</f>
        <v/>
      </c>
      <c r="H2716" s="7" t="str">
        <f>IF(Table1[[#This Row],[Is Data Valid]]=TRUE,((Table1[[#This Row],[Birthweight (grams)]]*0.9/Table1[[#This Row],[BW_GA]])-1)/(Backend!$B$4/100*Table1[[#This Row],[BW40_3705]]),"")</f>
        <v/>
      </c>
      <c r="I2716" s="7" t="str">
        <f>IF(Table1[[#This Row],[Is Data Valid]]=TRUE,((Table1[[#This Row],[Birthweight (grams)]]*1.1/Table1[[#This Row],[BW_GA]])-1)/(Backend!$B$4/100*Table1[[#This Row],[BW40_3705]]),"")</f>
        <v/>
      </c>
      <c r="J2716" s="7" t="str">
        <f>IF(Table1[[#This Row],[Is Data Valid]]=TRUE,_xlfn.NORM.S.DIST(Table1[[#This Row],[Birthweight Z-Score]],TRUE)*100,"")</f>
        <v/>
      </c>
      <c r="K2716" s="7" t="str">
        <f>IF(Table1[[#This Row],[Is Data Valid]]=TRUE,_xlfn.NORM.S.DIST(Table1[[#This Row],[Birthweight Z-Score (BW-10%)]],TRUE)*100,"")</f>
        <v/>
      </c>
      <c r="L2716" s="7" t="str">
        <f>IF(Table1[[#This Row],[Is Data Valid]]=TRUE,_xlfn.NORM.S.DIST(Table1[[#This Row],[Birthweight Z-Score (BW+10%)]],TRUE)*100,"")</f>
        <v/>
      </c>
    </row>
    <row r="2717" spans="1:12" x14ac:dyDescent="0.35">
      <c r="A2717" s="3"/>
      <c r="B2717" s="2"/>
      <c r="C2717" s="2"/>
      <c r="D2717" s="2" t="b">
        <f>IF(AND(NOT(ISBLANK(Table1[[#This Row],[Fetal Sex (Male, Female or Unknown)]])),ISNUMBER(Table1[[#This Row],[Birthweight (grams)]]),ISNUMBER(Table1[[#This Row],[Gestation (days)]])),TRUE,FALSE)</f>
        <v>0</v>
      </c>
      <c r="E2717" s="2" t="str">
        <f>IF(Table1[[#This Row],[Is Data Valid]]=TRUE,IF(Table1[[#This Row],[Fetal Sex (Male, Female or Unknown)]]="Male",Backend!$C$6,IF(Table1[[#This Row],[Fetal Sex (Male, Female or Unknown)]]="Female",Backend!$C$7,IF(Table1[[#This Row],[Fetal Sex (Male, Female or Unknown)]]="Unknown",Backend!$C$8,"Error"))),"")</f>
        <v/>
      </c>
      <c r="F2717" s="8" t="str">
        <f>IF(Table1[[#This Row],[Is Data Valid]]=TRUE,EXP(0.578+0.332*((Table1[[#This Row],[Gestation (days)]]+0.5)/7)-0.00354*((Table1[[#This Row],[Gestation (days)]]+0.5)/7)^2)*Table1[[#This Row],[BW40_3705]],"")</f>
        <v/>
      </c>
      <c r="G2717" s="2" t="str">
        <f>IF(Table1[[#This Row],[Is Data Valid]]=TRUE,((Table1[[#This Row],[Birthweight (grams)]]/Table1[[#This Row],[BW_GA]])-1)/(Backend!$B$4/100*Table1[[#This Row],[BW40_3705]]),"")</f>
        <v/>
      </c>
      <c r="H2717" s="7" t="str">
        <f>IF(Table1[[#This Row],[Is Data Valid]]=TRUE,((Table1[[#This Row],[Birthweight (grams)]]*0.9/Table1[[#This Row],[BW_GA]])-1)/(Backend!$B$4/100*Table1[[#This Row],[BW40_3705]]),"")</f>
        <v/>
      </c>
      <c r="I2717" s="7" t="str">
        <f>IF(Table1[[#This Row],[Is Data Valid]]=TRUE,((Table1[[#This Row],[Birthweight (grams)]]*1.1/Table1[[#This Row],[BW_GA]])-1)/(Backend!$B$4/100*Table1[[#This Row],[BW40_3705]]),"")</f>
        <v/>
      </c>
      <c r="J2717" s="7" t="str">
        <f>IF(Table1[[#This Row],[Is Data Valid]]=TRUE,_xlfn.NORM.S.DIST(Table1[[#This Row],[Birthweight Z-Score]],TRUE)*100,"")</f>
        <v/>
      </c>
      <c r="K2717" s="7" t="str">
        <f>IF(Table1[[#This Row],[Is Data Valid]]=TRUE,_xlfn.NORM.S.DIST(Table1[[#This Row],[Birthweight Z-Score (BW-10%)]],TRUE)*100,"")</f>
        <v/>
      </c>
      <c r="L2717" s="7" t="str">
        <f>IF(Table1[[#This Row],[Is Data Valid]]=TRUE,_xlfn.NORM.S.DIST(Table1[[#This Row],[Birthweight Z-Score (BW+10%)]],TRUE)*100,"")</f>
        <v/>
      </c>
    </row>
    <row r="2718" spans="1:12" x14ac:dyDescent="0.35">
      <c r="A2718" s="3"/>
      <c r="B2718" s="2"/>
      <c r="C2718" s="2"/>
      <c r="D2718" s="2" t="b">
        <f>IF(AND(NOT(ISBLANK(Table1[[#This Row],[Fetal Sex (Male, Female or Unknown)]])),ISNUMBER(Table1[[#This Row],[Birthweight (grams)]]),ISNUMBER(Table1[[#This Row],[Gestation (days)]])),TRUE,FALSE)</f>
        <v>0</v>
      </c>
      <c r="E2718" s="2" t="str">
        <f>IF(Table1[[#This Row],[Is Data Valid]]=TRUE,IF(Table1[[#This Row],[Fetal Sex (Male, Female or Unknown)]]="Male",Backend!$C$6,IF(Table1[[#This Row],[Fetal Sex (Male, Female or Unknown)]]="Female",Backend!$C$7,IF(Table1[[#This Row],[Fetal Sex (Male, Female or Unknown)]]="Unknown",Backend!$C$8,"Error"))),"")</f>
        <v/>
      </c>
      <c r="F2718" s="8" t="str">
        <f>IF(Table1[[#This Row],[Is Data Valid]]=TRUE,EXP(0.578+0.332*((Table1[[#This Row],[Gestation (days)]]+0.5)/7)-0.00354*((Table1[[#This Row],[Gestation (days)]]+0.5)/7)^2)*Table1[[#This Row],[BW40_3705]],"")</f>
        <v/>
      </c>
      <c r="G2718" s="2" t="str">
        <f>IF(Table1[[#This Row],[Is Data Valid]]=TRUE,((Table1[[#This Row],[Birthweight (grams)]]/Table1[[#This Row],[BW_GA]])-1)/(Backend!$B$4/100*Table1[[#This Row],[BW40_3705]]),"")</f>
        <v/>
      </c>
      <c r="H2718" s="7" t="str">
        <f>IF(Table1[[#This Row],[Is Data Valid]]=TRUE,((Table1[[#This Row],[Birthweight (grams)]]*0.9/Table1[[#This Row],[BW_GA]])-1)/(Backend!$B$4/100*Table1[[#This Row],[BW40_3705]]),"")</f>
        <v/>
      </c>
      <c r="I2718" s="7" t="str">
        <f>IF(Table1[[#This Row],[Is Data Valid]]=TRUE,((Table1[[#This Row],[Birthweight (grams)]]*1.1/Table1[[#This Row],[BW_GA]])-1)/(Backend!$B$4/100*Table1[[#This Row],[BW40_3705]]),"")</f>
        <v/>
      </c>
      <c r="J2718" s="7" t="str">
        <f>IF(Table1[[#This Row],[Is Data Valid]]=TRUE,_xlfn.NORM.S.DIST(Table1[[#This Row],[Birthweight Z-Score]],TRUE)*100,"")</f>
        <v/>
      </c>
      <c r="K2718" s="7" t="str">
        <f>IF(Table1[[#This Row],[Is Data Valid]]=TRUE,_xlfn.NORM.S.DIST(Table1[[#This Row],[Birthweight Z-Score (BW-10%)]],TRUE)*100,"")</f>
        <v/>
      </c>
      <c r="L2718" s="7" t="str">
        <f>IF(Table1[[#This Row],[Is Data Valid]]=TRUE,_xlfn.NORM.S.DIST(Table1[[#This Row],[Birthweight Z-Score (BW+10%)]],TRUE)*100,"")</f>
        <v/>
      </c>
    </row>
    <row r="2719" spans="1:12" x14ac:dyDescent="0.35">
      <c r="A2719" s="3"/>
      <c r="B2719" s="2"/>
      <c r="C2719" s="2"/>
      <c r="D2719" s="2" t="b">
        <f>IF(AND(NOT(ISBLANK(Table1[[#This Row],[Fetal Sex (Male, Female or Unknown)]])),ISNUMBER(Table1[[#This Row],[Birthweight (grams)]]),ISNUMBER(Table1[[#This Row],[Gestation (days)]])),TRUE,FALSE)</f>
        <v>0</v>
      </c>
      <c r="E2719" s="2" t="str">
        <f>IF(Table1[[#This Row],[Is Data Valid]]=TRUE,IF(Table1[[#This Row],[Fetal Sex (Male, Female or Unknown)]]="Male",Backend!$C$6,IF(Table1[[#This Row],[Fetal Sex (Male, Female or Unknown)]]="Female",Backend!$C$7,IF(Table1[[#This Row],[Fetal Sex (Male, Female or Unknown)]]="Unknown",Backend!$C$8,"Error"))),"")</f>
        <v/>
      </c>
      <c r="F2719" s="8" t="str">
        <f>IF(Table1[[#This Row],[Is Data Valid]]=TRUE,EXP(0.578+0.332*((Table1[[#This Row],[Gestation (days)]]+0.5)/7)-0.00354*((Table1[[#This Row],[Gestation (days)]]+0.5)/7)^2)*Table1[[#This Row],[BW40_3705]],"")</f>
        <v/>
      </c>
      <c r="G2719" s="2" t="str">
        <f>IF(Table1[[#This Row],[Is Data Valid]]=TRUE,((Table1[[#This Row],[Birthweight (grams)]]/Table1[[#This Row],[BW_GA]])-1)/(Backend!$B$4/100*Table1[[#This Row],[BW40_3705]]),"")</f>
        <v/>
      </c>
      <c r="H2719" s="7" t="str">
        <f>IF(Table1[[#This Row],[Is Data Valid]]=TRUE,((Table1[[#This Row],[Birthweight (grams)]]*0.9/Table1[[#This Row],[BW_GA]])-1)/(Backend!$B$4/100*Table1[[#This Row],[BW40_3705]]),"")</f>
        <v/>
      </c>
      <c r="I2719" s="7" t="str">
        <f>IF(Table1[[#This Row],[Is Data Valid]]=TRUE,((Table1[[#This Row],[Birthweight (grams)]]*1.1/Table1[[#This Row],[BW_GA]])-1)/(Backend!$B$4/100*Table1[[#This Row],[BW40_3705]]),"")</f>
        <v/>
      </c>
      <c r="J2719" s="7" t="str">
        <f>IF(Table1[[#This Row],[Is Data Valid]]=TRUE,_xlfn.NORM.S.DIST(Table1[[#This Row],[Birthweight Z-Score]],TRUE)*100,"")</f>
        <v/>
      </c>
      <c r="K2719" s="7" t="str">
        <f>IF(Table1[[#This Row],[Is Data Valid]]=TRUE,_xlfn.NORM.S.DIST(Table1[[#This Row],[Birthweight Z-Score (BW-10%)]],TRUE)*100,"")</f>
        <v/>
      </c>
      <c r="L2719" s="7" t="str">
        <f>IF(Table1[[#This Row],[Is Data Valid]]=TRUE,_xlfn.NORM.S.DIST(Table1[[#This Row],[Birthweight Z-Score (BW+10%)]],TRUE)*100,"")</f>
        <v/>
      </c>
    </row>
    <row r="2720" spans="1:12" x14ac:dyDescent="0.35">
      <c r="A2720" s="3"/>
      <c r="B2720" s="2"/>
      <c r="C2720" s="2"/>
      <c r="D2720" s="2" t="b">
        <f>IF(AND(NOT(ISBLANK(Table1[[#This Row],[Fetal Sex (Male, Female or Unknown)]])),ISNUMBER(Table1[[#This Row],[Birthweight (grams)]]),ISNUMBER(Table1[[#This Row],[Gestation (days)]])),TRUE,FALSE)</f>
        <v>0</v>
      </c>
      <c r="E2720" s="2" t="str">
        <f>IF(Table1[[#This Row],[Is Data Valid]]=TRUE,IF(Table1[[#This Row],[Fetal Sex (Male, Female or Unknown)]]="Male",Backend!$C$6,IF(Table1[[#This Row],[Fetal Sex (Male, Female or Unknown)]]="Female",Backend!$C$7,IF(Table1[[#This Row],[Fetal Sex (Male, Female or Unknown)]]="Unknown",Backend!$C$8,"Error"))),"")</f>
        <v/>
      </c>
      <c r="F2720" s="8" t="str">
        <f>IF(Table1[[#This Row],[Is Data Valid]]=TRUE,EXP(0.578+0.332*((Table1[[#This Row],[Gestation (days)]]+0.5)/7)-0.00354*((Table1[[#This Row],[Gestation (days)]]+0.5)/7)^2)*Table1[[#This Row],[BW40_3705]],"")</f>
        <v/>
      </c>
      <c r="G2720" s="2" t="str">
        <f>IF(Table1[[#This Row],[Is Data Valid]]=TRUE,((Table1[[#This Row],[Birthweight (grams)]]/Table1[[#This Row],[BW_GA]])-1)/(Backend!$B$4/100*Table1[[#This Row],[BW40_3705]]),"")</f>
        <v/>
      </c>
      <c r="H2720" s="7" t="str">
        <f>IF(Table1[[#This Row],[Is Data Valid]]=TRUE,((Table1[[#This Row],[Birthweight (grams)]]*0.9/Table1[[#This Row],[BW_GA]])-1)/(Backend!$B$4/100*Table1[[#This Row],[BW40_3705]]),"")</f>
        <v/>
      </c>
      <c r="I2720" s="7" t="str">
        <f>IF(Table1[[#This Row],[Is Data Valid]]=TRUE,((Table1[[#This Row],[Birthweight (grams)]]*1.1/Table1[[#This Row],[BW_GA]])-1)/(Backend!$B$4/100*Table1[[#This Row],[BW40_3705]]),"")</f>
        <v/>
      </c>
      <c r="J2720" s="7" t="str">
        <f>IF(Table1[[#This Row],[Is Data Valid]]=TRUE,_xlfn.NORM.S.DIST(Table1[[#This Row],[Birthweight Z-Score]],TRUE)*100,"")</f>
        <v/>
      </c>
      <c r="K2720" s="7" t="str">
        <f>IF(Table1[[#This Row],[Is Data Valid]]=TRUE,_xlfn.NORM.S.DIST(Table1[[#This Row],[Birthweight Z-Score (BW-10%)]],TRUE)*100,"")</f>
        <v/>
      </c>
      <c r="L2720" s="7" t="str">
        <f>IF(Table1[[#This Row],[Is Data Valid]]=TRUE,_xlfn.NORM.S.DIST(Table1[[#This Row],[Birthweight Z-Score (BW+10%)]],TRUE)*100,"")</f>
        <v/>
      </c>
    </row>
    <row r="2721" spans="1:12" x14ac:dyDescent="0.35">
      <c r="A2721" s="3"/>
      <c r="B2721" s="2"/>
      <c r="C2721" s="2"/>
      <c r="D2721" s="2" t="b">
        <f>IF(AND(NOT(ISBLANK(Table1[[#This Row],[Fetal Sex (Male, Female or Unknown)]])),ISNUMBER(Table1[[#This Row],[Birthweight (grams)]]),ISNUMBER(Table1[[#This Row],[Gestation (days)]])),TRUE,FALSE)</f>
        <v>0</v>
      </c>
      <c r="E2721" s="2" t="str">
        <f>IF(Table1[[#This Row],[Is Data Valid]]=TRUE,IF(Table1[[#This Row],[Fetal Sex (Male, Female or Unknown)]]="Male",Backend!$C$6,IF(Table1[[#This Row],[Fetal Sex (Male, Female or Unknown)]]="Female",Backend!$C$7,IF(Table1[[#This Row],[Fetal Sex (Male, Female or Unknown)]]="Unknown",Backend!$C$8,"Error"))),"")</f>
        <v/>
      </c>
      <c r="F2721" s="8" t="str">
        <f>IF(Table1[[#This Row],[Is Data Valid]]=TRUE,EXP(0.578+0.332*((Table1[[#This Row],[Gestation (days)]]+0.5)/7)-0.00354*((Table1[[#This Row],[Gestation (days)]]+0.5)/7)^2)*Table1[[#This Row],[BW40_3705]],"")</f>
        <v/>
      </c>
      <c r="G2721" s="2" t="str">
        <f>IF(Table1[[#This Row],[Is Data Valid]]=TRUE,((Table1[[#This Row],[Birthweight (grams)]]/Table1[[#This Row],[BW_GA]])-1)/(Backend!$B$4/100*Table1[[#This Row],[BW40_3705]]),"")</f>
        <v/>
      </c>
      <c r="H2721" s="7" t="str">
        <f>IF(Table1[[#This Row],[Is Data Valid]]=TRUE,((Table1[[#This Row],[Birthweight (grams)]]*0.9/Table1[[#This Row],[BW_GA]])-1)/(Backend!$B$4/100*Table1[[#This Row],[BW40_3705]]),"")</f>
        <v/>
      </c>
      <c r="I2721" s="7" t="str">
        <f>IF(Table1[[#This Row],[Is Data Valid]]=TRUE,((Table1[[#This Row],[Birthweight (grams)]]*1.1/Table1[[#This Row],[BW_GA]])-1)/(Backend!$B$4/100*Table1[[#This Row],[BW40_3705]]),"")</f>
        <v/>
      </c>
      <c r="J2721" s="7" t="str">
        <f>IF(Table1[[#This Row],[Is Data Valid]]=TRUE,_xlfn.NORM.S.DIST(Table1[[#This Row],[Birthweight Z-Score]],TRUE)*100,"")</f>
        <v/>
      </c>
      <c r="K2721" s="7" t="str">
        <f>IF(Table1[[#This Row],[Is Data Valid]]=TRUE,_xlfn.NORM.S.DIST(Table1[[#This Row],[Birthweight Z-Score (BW-10%)]],TRUE)*100,"")</f>
        <v/>
      </c>
      <c r="L2721" s="7" t="str">
        <f>IF(Table1[[#This Row],[Is Data Valid]]=TRUE,_xlfn.NORM.S.DIST(Table1[[#This Row],[Birthweight Z-Score (BW+10%)]],TRUE)*100,"")</f>
        <v/>
      </c>
    </row>
    <row r="2722" spans="1:12" x14ac:dyDescent="0.35">
      <c r="A2722" s="3"/>
      <c r="B2722" s="2"/>
      <c r="C2722" s="2"/>
      <c r="D2722" s="2" t="b">
        <f>IF(AND(NOT(ISBLANK(Table1[[#This Row],[Fetal Sex (Male, Female or Unknown)]])),ISNUMBER(Table1[[#This Row],[Birthweight (grams)]]),ISNUMBER(Table1[[#This Row],[Gestation (days)]])),TRUE,FALSE)</f>
        <v>0</v>
      </c>
      <c r="E2722" s="2" t="str">
        <f>IF(Table1[[#This Row],[Is Data Valid]]=TRUE,IF(Table1[[#This Row],[Fetal Sex (Male, Female or Unknown)]]="Male",Backend!$C$6,IF(Table1[[#This Row],[Fetal Sex (Male, Female or Unknown)]]="Female",Backend!$C$7,IF(Table1[[#This Row],[Fetal Sex (Male, Female or Unknown)]]="Unknown",Backend!$C$8,"Error"))),"")</f>
        <v/>
      </c>
      <c r="F2722" s="8" t="str">
        <f>IF(Table1[[#This Row],[Is Data Valid]]=TRUE,EXP(0.578+0.332*((Table1[[#This Row],[Gestation (days)]]+0.5)/7)-0.00354*((Table1[[#This Row],[Gestation (days)]]+0.5)/7)^2)*Table1[[#This Row],[BW40_3705]],"")</f>
        <v/>
      </c>
      <c r="G2722" s="2" t="str">
        <f>IF(Table1[[#This Row],[Is Data Valid]]=TRUE,((Table1[[#This Row],[Birthweight (grams)]]/Table1[[#This Row],[BW_GA]])-1)/(Backend!$B$4/100*Table1[[#This Row],[BW40_3705]]),"")</f>
        <v/>
      </c>
      <c r="H2722" s="7" t="str">
        <f>IF(Table1[[#This Row],[Is Data Valid]]=TRUE,((Table1[[#This Row],[Birthweight (grams)]]*0.9/Table1[[#This Row],[BW_GA]])-1)/(Backend!$B$4/100*Table1[[#This Row],[BW40_3705]]),"")</f>
        <v/>
      </c>
      <c r="I2722" s="7" t="str">
        <f>IF(Table1[[#This Row],[Is Data Valid]]=TRUE,((Table1[[#This Row],[Birthweight (grams)]]*1.1/Table1[[#This Row],[BW_GA]])-1)/(Backend!$B$4/100*Table1[[#This Row],[BW40_3705]]),"")</f>
        <v/>
      </c>
      <c r="J2722" s="7" t="str">
        <f>IF(Table1[[#This Row],[Is Data Valid]]=TRUE,_xlfn.NORM.S.DIST(Table1[[#This Row],[Birthweight Z-Score]],TRUE)*100,"")</f>
        <v/>
      </c>
      <c r="K2722" s="7" t="str">
        <f>IF(Table1[[#This Row],[Is Data Valid]]=TRUE,_xlfn.NORM.S.DIST(Table1[[#This Row],[Birthweight Z-Score (BW-10%)]],TRUE)*100,"")</f>
        <v/>
      </c>
      <c r="L2722" s="7" t="str">
        <f>IF(Table1[[#This Row],[Is Data Valid]]=TRUE,_xlfn.NORM.S.DIST(Table1[[#This Row],[Birthweight Z-Score (BW+10%)]],TRUE)*100,"")</f>
        <v/>
      </c>
    </row>
    <row r="2723" spans="1:12" x14ac:dyDescent="0.35">
      <c r="A2723" s="3"/>
      <c r="B2723" s="2"/>
      <c r="C2723" s="2"/>
      <c r="D2723" s="2" t="b">
        <f>IF(AND(NOT(ISBLANK(Table1[[#This Row],[Fetal Sex (Male, Female or Unknown)]])),ISNUMBER(Table1[[#This Row],[Birthweight (grams)]]),ISNUMBER(Table1[[#This Row],[Gestation (days)]])),TRUE,FALSE)</f>
        <v>0</v>
      </c>
      <c r="E2723" s="2" t="str">
        <f>IF(Table1[[#This Row],[Is Data Valid]]=TRUE,IF(Table1[[#This Row],[Fetal Sex (Male, Female or Unknown)]]="Male",Backend!$C$6,IF(Table1[[#This Row],[Fetal Sex (Male, Female or Unknown)]]="Female",Backend!$C$7,IF(Table1[[#This Row],[Fetal Sex (Male, Female or Unknown)]]="Unknown",Backend!$C$8,"Error"))),"")</f>
        <v/>
      </c>
      <c r="F2723" s="8" t="str">
        <f>IF(Table1[[#This Row],[Is Data Valid]]=TRUE,EXP(0.578+0.332*((Table1[[#This Row],[Gestation (days)]]+0.5)/7)-0.00354*((Table1[[#This Row],[Gestation (days)]]+0.5)/7)^2)*Table1[[#This Row],[BW40_3705]],"")</f>
        <v/>
      </c>
      <c r="G2723" s="2" t="str">
        <f>IF(Table1[[#This Row],[Is Data Valid]]=TRUE,((Table1[[#This Row],[Birthweight (grams)]]/Table1[[#This Row],[BW_GA]])-1)/(Backend!$B$4/100*Table1[[#This Row],[BW40_3705]]),"")</f>
        <v/>
      </c>
      <c r="H2723" s="7" t="str">
        <f>IF(Table1[[#This Row],[Is Data Valid]]=TRUE,((Table1[[#This Row],[Birthweight (grams)]]*0.9/Table1[[#This Row],[BW_GA]])-1)/(Backend!$B$4/100*Table1[[#This Row],[BW40_3705]]),"")</f>
        <v/>
      </c>
      <c r="I2723" s="7" t="str">
        <f>IF(Table1[[#This Row],[Is Data Valid]]=TRUE,((Table1[[#This Row],[Birthweight (grams)]]*1.1/Table1[[#This Row],[BW_GA]])-1)/(Backend!$B$4/100*Table1[[#This Row],[BW40_3705]]),"")</f>
        <v/>
      </c>
      <c r="J2723" s="7" t="str">
        <f>IF(Table1[[#This Row],[Is Data Valid]]=TRUE,_xlfn.NORM.S.DIST(Table1[[#This Row],[Birthweight Z-Score]],TRUE)*100,"")</f>
        <v/>
      </c>
      <c r="K2723" s="7" t="str">
        <f>IF(Table1[[#This Row],[Is Data Valid]]=TRUE,_xlfn.NORM.S.DIST(Table1[[#This Row],[Birthweight Z-Score (BW-10%)]],TRUE)*100,"")</f>
        <v/>
      </c>
      <c r="L2723" s="7" t="str">
        <f>IF(Table1[[#This Row],[Is Data Valid]]=TRUE,_xlfn.NORM.S.DIST(Table1[[#This Row],[Birthweight Z-Score (BW+10%)]],TRUE)*100,"")</f>
        <v/>
      </c>
    </row>
    <row r="2724" spans="1:12" x14ac:dyDescent="0.35">
      <c r="A2724" s="3"/>
      <c r="B2724" s="2"/>
      <c r="C2724" s="2"/>
      <c r="D2724" s="2" t="b">
        <f>IF(AND(NOT(ISBLANK(Table1[[#This Row],[Fetal Sex (Male, Female or Unknown)]])),ISNUMBER(Table1[[#This Row],[Birthweight (grams)]]),ISNUMBER(Table1[[#This Row],[Gestation (days)]])),TRUE,FALSE)</f>
        <v>0</v>
      </c>
      <c r="E2724" s="2" t="str">
        <f>IF(Table1[[#This Row],[Is Data Valid]]=TRUE,IF(Table1[[#This Row],[Fetal Sex (Male, Female or Unknown)]]="Male",Backend!$C$6,IF(Table1[[#This Row],[Fetal Sex (Male, Female or Unknown)]]="Female",Backend!$C$7,IF(Table1[[#This Row],[Fetal Sex (Male, Female or Unknown)]]="Unknown",Backend!$C$8,"Error"))),"")</f>
        <v/>
      </c>
      <c r="F2724" s="8" t="str">
        <f>IF(Table1[[#This Row],[Is Data Valid]]=TRUE,EXP(0.578+0.332*((Table1[[#This Row],[Gestation (days)]]+0.5)/7)-0.00354*((Table1[[#This Row],[Gestation (days)]]+0.5)/7)^2)*Table1[[#This Row],[BW40_3705]],"")</f>
        <v/>
      </c>
      <c r="G2724" s="2" t="str">
        <f>IF(Table1[[#This Row],[Is Data Valid]]=TRUE,((Table1[[#This Row],[Birthweight (grams)]]/Table1[[#This Row],[BW_GA]])-1)/(Backend!$B$4/100*Table1[[#This Row],[BW40_3705]]),"")</f>
        <v/>
      </c>
      <c r="H2724" s="7" t="str">
        <f>IF(Table1[[#This Row],[Is Data Valid]]=TRUE,((Table1[[#This Row],[Birthweight (grams)]]*0.9/Table1[[#This Row],[BW_GA]])-1)/(Backend!$B$4/100*Table1[[#This Row],[BW40_3705]]),"")</f>
        <v/>
      </c>
      <c r="I2724" s="7" t="str">
        <f>IF(Table1[[#This Row],[Is Data Valid]]=TRUE,((Table1[[#This Row],[Birthweight (grams)]]*1.1/Table1[[#This Row],[BW_GA]])-1)/(Backend!$B$4/100*Table1[[#This Row],[BW40_3705]]),"")</f>
        <v/>
      </c>
      <c r="J2724" s="7" t="str">
        <f>IF(Table1[[#This Row],[Is Data Valid]]=TRUE,_xlfn.NORM.S.DIST(Table1[[#This Row],[Birthweight Z-Score]],TRUE)*100,"")</f>
        <v/>
      </c>
      <c r="K2724" s="7" t="str">
        <f>IF(Table1[[#This Row],[Is Data Valid]]=TRUE,_xlfn.NORM.S.DIST(Table1[[#This Row],[Birthweight Z-Score (BW-10%)]],TRUE)*100,"")</f>
        <v/>
      </c>
      <c r="L2724" s="7" t="str">
        <f>IF(Table1[[#This Row],[Is Data Valid]]=TRUE,_xlfn.NORM.S.DIST(Table1[[#This Row],[Birthweight Z-Score (BW+10%)]],TRUE)*100,"")</f>
        <v/>
      </c>
    </row>
    <row r="2725" spans="1:12" x14ac:dyDescent="0.35">
      <c r="A2725" s="3"/>
      <c r="B2725" s="2"/>
      <c r="C2725" s="2"/>
      <c r="D2725" s="2" t="b">
        <f>IF(AND(NOT(ISBLANK(Table1[[#This Row],[Fetal Sex (Male, Female or Unknown)]])),ISNUMBER(Table1[[#This Row],[Birthweight (grams)]]),ISNUMBER(Table1[[#This Row],[Gestation (days)]])),TRUE,FALSE)</f>
        <v>0</v>
      </c>
      <c r="E2725" s="2" t="str">
        <f>IF(Table1[[#This Row],[Is Data Valid]]=TRUE,IF(Table1[[#This Row],[Fetal Sex (Male, Female or Unknown)]]="Male",Backend!$C$6,IF(Table1[[#This Row],[Fetal Sex (Male, Female or Unknown)]]="Female",Backend!$C$7,IF(Table1[[#This Row],[Fetal Sex (Male, Female or Unknown)]]="Unknown",Backend!$C$8,"Error"))),"")</f>
        <v/>
      </c>
      <c r="F2725" s="8" t="str">
        <f>IF(Table1[[#This Row],[Is Data Valid]]=TRUE,EXP(0.578+0.332*((Table1[[#This Row],[Gestation (days)]]+0.5)/7)-0.00354*((Table1[[#This Row],[Gestation (days)]]+0.5)/7)^2)*Table1[[#This Row],[BW40_3705]],"")</f>
        <v/>
      </c>
      <c r="G2725" s="2" t="str">
        <f>IF(Table1[[#This Row],[Is Data Valid]]=TRUE,((Table1[[#This Row],[Birthweight (grams)]]/Table1[[#This Row],[BW_GA]])-1)/(Backend!$B$4/100*Table1[[#This Row],[BW40_3705]]),"")</f>
        <v/>
      </c>
      <c r="H2725" s="7" t="str">
        <f>IF(Table1[[#This Row],[Is Data Valid]]=TRUE,((Table1[[#This Row],[Birthweight (grams)]]*0.9/Table1[[#This Row],[BW_GA]])-1)/(Backend!$B$4/100*Table1[[#This Row],[BW40_3705]]),"")</f>
        <v/>
      </c>
      <c r="I2725" s="7" t="str">
        <f>IF(Table1[[#This Row],[Is Data Valid]]=TRUE,((Table1[[#This Row],[Birthweight (grams)]]*1.1/Table1[[#This Row],[BW_GA]])-1)/(Backend!$B$4/100*Table1[[#This Row],[BW40_3705]]),"")</f>
        <v/>
      </c>
      <c r="J2725" s="7" t="str">
        <f>IF(Table1[[#This Row],[Is Data Valid]]=TRUE,_xlfn.NORM.S.DIST(Table1[[#This Row],[Birthweight Z-Score]],TRUE)*100,"")</f>
        <v/>
      </c>
      <c r="K2725" s="7" t="str">
        <f>IF(Table1[[#This Row],[Is Data Valid]]=TRUE,_xlfn.NORM.S.DIST(Table1[[#This Row],[Birthweight Z-Score (BW-10%)]],TRUE)*100,"")</f>
        <v/>
      </c>
      <c r="L2725" s="7" t="str">
        <f>IF(Table1[[#This Row],[Is Data Valid]]=TRUE,_xlfn.NORM.S.DIST(Table1[[#This Row],[Birthweight Z-Score (BW+10%)]],TRUE)*100,"")</f>
        <v/>
      </c>
    </row>
    <row r="2726" spans="1:12" x14ac:dyDescent="0.35">
      <c r="A2726" s="3"/>
      <c r="B2726" s="2"/>
      <c r="C2726" s="2"/>
      <c r="D2726" s="2" t="b">
        <f>IF(AND(NOT(ISBLANK(Table1[[#This Row],[Fetal Sex (Male, Female or Unknown)]])),ISNUMBER(Table1[[#This Row],[Birthweight (grams)]]),ISNUMBER(Table1[[#This Row],[Gestation (days)]])),TRUE,FALSE)</f>
        <v>0</v>
      </c>
      <c r="E2726" s="2" t="str">
        <f>IF(Table1[[#This Row],[Is Data Valid]]=TRUE,IF(Table1[[#This Row],[Fetal Sex (Male, Female or Unknown)]]="Male",Backend!$C$6,IF(Table1[[#This Row],[Fetal Sex (Male, Female or Unknown)]]="Female",Backend!$C$7,IF(Table1[[#This Row],[Fetal Sex (Male, Female or Unknown)]]="Unknown",Backend!$C$8,"Error"))),"")</f>
        <v/>
      </c>
      <c r="F2726" s="8" t="str">
        <f>IF(Table1[[#This Row],[Is Data Valid]]=TRUE,EXP(0.578+0.332*((Table1[[#This Row],[Gestation (days)]]+0.5)/7)-0.00354*((Table1[[#This Row],[Gestation (days)]]+0.5)/7)^2)*Table1[[#This Row],[BW40_3705]],"")</f>
        <v/>
      </c>
      <c r="G2726" s="2" t="str">
        <f>IF(Table1[[#This Row],[Is Data Valid]]=TRUE,((Table1[[#This Row],[Birthweight (grams)]]/Table1[[#This Row],[BW_GA]])-1)/(Backend!$B$4/100*Table1[[#This Row],[BW40_3705]]),"")</f>
        <v/>
      </c>
      <c r="H2726" s="7" t="str">
        <f>IF(Table1[[#This Row],[Is Data Valid]]=TRUE,((Table1[[#This Row],[Birthweight (grams)]]*0.9/Table1[[#This Row],[BW_GA]])-1)/(Backend!$B$4/100*Table1[[#This Row],[BW40_3705]]),"")</f>
        <v/>
      </c>
      <c r="I2726" s="7" t="str">
        <f>IF(Table1[[#This Row],[Is Data Valid]]=TRUE,((Table1[[#This Row],[Birthweight (grams)]]*1.1/Table1[[#This Row],[BW_GA]])-1)/(Backend!$B$4/100*Table1[[#This Row],[BW40_3705]]),"")</f>
        <v/>
      </c>
      <c r="J2726" s="7" t="str">
        <f>IF(Table1[[#This Row],[Is Data Valid]]=TRUE,_xlfn.NORM.S.DIST(Table1[[#This Row],[Birthweight Z-Score]],TRUE)*100,"")</f>
        <v/>
      </c>
      <c r="K2726" s="7" t="str">
        <f>IF(Table1[[#This Row],[Is Data Valid]]=TRUE,_xlfn.NORM.S.DIST(Table1[[#This Row],[Birthweight Z-Score (BW-10%)]],TRUE)*100,"")</f>
        <v/>
      </c>
      <c r="L2726" s="7" t="str">
        <f>IF(Table1[[#This Row],[Is Data Valid]]=TRUE,_xlfn.NORM.S.DIST(Table1[[#This Row],[Birthweight Z-Score (BW+10%)]],TRUE)*100,"")</f>
        <v/>
      </c>
    </row>
    <row r="2727" spans="1:12" x14ac:dyDescent="0.35">
      <c r="A2727" s="3"/>
      <c r="B2727" s="2"/>
      <c r="C2727" s="2"/>
      <c r="D2727" s="2" t="b">
        <f>IF(AND(NOT(ISBLANK(Table1[[#This Row],[Fetal Sex (Male, Female or Unknown)]])),ISNUMBER(Table1[[#This Row],[Birthweight (grams)]]),ISNUMBER(Table1[[#This Row],[Gestation (days)]])),TRUE,FALSE)</f>
        <v>0</v>
      </c>
      <c r="E2727" s="2" t="str">
        <f>IF(Table1[[#This Row],[Is Data Valid]]=TRUE,IF(Table1[[#This Row],[Fetal Sex (Male, Female or Unknown)]]="Male",Backend!$C$6,IF(Table1[[#This Row],[Fetal Sex (Male, Female or Unknown)]]="Female",Backend!$C$7,IF(Table1[[#This Row],[Fetal Sex (Male, Female or Unknown)]]="Unknown",Backend!$C$8,"Error"))),"")</f>
        <v/>
      </c>
      <c r="F2727" s="8" t="str">
        <f>IF(Table1[[#This Row],[Is Data Valid]]=TRUE,EXP(0.578+0.332*((Table1[[#This Row],[Gestation (days)]]+0.5)/7)-0.00354*((Table1[[#This Row],[Gestation (days)]]+0.5)/7)^2)*Table1[[#This Row],[BW40_3705]],"")</f>
        <v/>
      </c>
      <c r="G2727" s="2" t="str">
        <f>IF(Table1[[#This Row],[Is Data Valid]]=TRUE,((Table1[[#This Row],[Birthweight (grams)]]/Table1[[#This Row],[BW_GA]])-1)/(Backend!$B$4/100*Table1[[#This Row],[BW40_3705]]),"")</f>
        <v/>
      </c>
      <c r="H2727" s="7" t="str">
        <f>IF(Table1[[#This Row],[Is Data Valid]]=TRUE,((Table1[[#This Row],[Birthweight (grams)]]*0.9/Table1[[#This Row],[BW_GA]])-1)/(Backend!$B$4/100*Table1[[#This Row],[BW40_3705]]),"")</f>
        <v/>
      </c>
      <c r="I2727" s="7" t="str">
        <f>IF(Table1[[#This Row],[Is Data Valid]]=TRUE,((Table1[[#This Row],[Birthweight (grams)]]*1.1/Table1[[#This Row],[BW_GA]])-1)/(Backend!$B$4/100*Table1[[#This Row],[BW40_3705]]),"")</f>
        <v/>
      </c>
      <c r="J2727" s="7" t="str">
        <f>IF(Table1[[#This Row],[Is Data Valid]]=TRUE,_xlfn.NORM.S.DIST(Table1[[#This Row],[Birthweight Z-Score]],TRUE)*100,"")</f>
        <v/>
      </c>
      <c r="K2727" s="7" t="str">
        <f>IF(Table1[[#This Row],[Is Data Valid]]=TRUE,_xlfn.NORM.S.DIST(Table1[[#This Row],[Birthweight Z-Score (BW-10%)]],TRUE)*100,"")</f>
        <v/>
      </c>
      <c r="L2727" s="7" t="str">
        <f>IF(Table1[[#This Row],[Is Data Valid]]=TRUE,_xlfn.NORM.S.DIST(Table1[[#This Row],[Birthweight Z-Score (BW+10%)]],TRUE)*100,"")</f>
        <v/>
      </c>
    </row>
    <row r="2728" spans="1:12" x14ac:dyDescent="0.35">
      <c r="A2728" s="3"/>
      <c r="B2728" s="2"/>
      <c r="C2728" s="2"/>
      <c r="D2728" s="2" t="b">
        <f>IF(AND(NOT(ISBLANK(Table1[[#This Row],[Fetal Sex (Male, Female or Unknown)]])),ISNUMBER(Table1[[#This Row],[Birthweight (grams)]]),ISNUMBER(Table1[[#This Row],[Gestation (days)]])),TRUE,FALSE)</f>
        <v>0</v>
      </c>
      <c r="E2728" s="2" t="str">
        <f>IF(Table1[[#This Row],[Is Data Valid]]=TRUE,IF(Table1[[#This Row],[Fetal Sex (Male, Female or Unknown)]]="Male",Backend!$C$6,IF(Table1[[#This Row],[Fetal Sex (Male, Female or Unknown)]]="Female",Backend!$C$7,IF(Table1[[#This Row],[Fetal Sex (Male, Female or Unknown)]]="Unknown",Backend!$C$8,"Error"))),"")</f>
        <v/>
      </c>
      <c r="F2728" s="8" t="str">
        <f>IF(Table1[[#This Row],[Is Data Valid]]=TRUE,EXP(0.578+0.332*((Table1[[#This Row],[Gestation (days)]]+0.5)/7)-0.00354*((Table1[[#This Row],[Gestation (days)]]+0.5)/7)^2)*Table1[[#This Row],[BW40_3705]],"")</f>
        <v/>
      </c>
      <c r="G2728" s="2" t="str">
        <f>IF(Table1[[#This Row],[Is Data Valid]]=TRUE,((Table1[[#This Row],[Birthweight (grams)]]/Table1[[#This Row],[BW_GA]])-1)/(Backend!$B$4/100*Table1[[#This Row],[BW40_3705]]),"")</f>
        <v/>
      </c>
      <c r="H2728" s="7" t="str">
        <f>IF(Table1[[#This Row],[Is Data Valid]]=TRUE,((Table1[[#This Row],[Birthweight (grams)]]*0.9/Table1[[#This Row],[BW_GA]])-1)/(Backend!$B$4/100*Table1[[#This Row],[BW40_3705]]),"")</f>
        <v/>
      </c>
      <c r="I2728" s="7" t="str">
        <f>IF(Table1[[#This Row],[Is Data Valid]]=TRUE,((Table1[[#This Row],[Birthweight (grams)]]*1.1/Table1[[#This Row],[BW_GA]])-1)/(Backend!$B$4/100*Table1[[#This Row],[BW40_3705]]),"")</f>
        <v/>
      </c>
      <c r="J2728" s="7" t="str">
        <f>IF(Table1[[#This Row],[Is Data Valid]]=TRUE,_xlfn.NORM.S.DIST(Table1[[#This Row],[Birthweight Z-Score]],TRUE)*100,"")</f>
        <v/>
      </c>
      <c r="K2728" s="7" t="str">
        <f>IF(Table1[[#This Row],[Is Data Valid]]=TRUE,_xlfn.NORM.S.DIST(Table1[[#This Row],[Birthweight Z-Score (BW-10%)]],TRUE)*100,"")</f>
        <v/>
      </c>
      <c r="L2728" s="7" t="str">
        <f>IF(Table1[[#This Row],[Is Data Valid]]=TRUE,_xlfn.NORM.S.DIST(Table1[[#This Row],[Birthweight Z-Score (BW+10%)]],TRUE)*100,"")</f>
        <v/>
      </c>
    </row>
    <row r="2729" spans="1:12" x14ac:dyDescent="0.35">
      <c r="A2729" s="3"/>
      <c r="B2729" s="2"/>
      <c r="C2729" s="2"/>
      <c r="D2729" s="2" t="b">
        <f>IF(AND(NOT(ISBLANK(Table1[[#This Row],[Fetal Sex (Male, Female or Unknown)]])),ISNUMBER(Table1[[#This Row],[Birthweight (grams)]]),ISNUMBER(Table1[[#This Row],[Gestation (days)]])),TRUE,FALSE)</f>
        <v>0</v>
      </c>
      <c r="E2729" s="2" t="str">
        <f>IF(Table1[[#This Row],[Is Data Valid]]=TRUE,IF(Table1[[#This Row],[Fetal Sex (Male, Female or Unknown)]]="Male",Backend!$C$6,IF(Table1[[#This Row],[Fetal Sex (Male, Female or Unknown)]]="Female",Backend!$C$7,IF(Table1[[#This Row],[Fetal Sex (Male, Female or Unknown)]]="Unknown",Backend!$C$8,"Error"))),"")</f>
        <v/>
      </c>
      <c r="F2729" s="8" t="str">
        <f>IF(Table1[[#This Row],[Is Data Valid]]=TRUE,EXP(0.578+0.332*((Table1[[#This Row],[Gestation (days)]]+0.5)/7)-0.00354*((Table1[[#This Row],[Gestation (days)]]+0.5)/7)^2)*Table1[[#This Row],[BW40_3705]],"")</f>
        <v/>
      </c>
      <c r="G2729" s="2" t="str">
        <f>IF(Table1[[#This Row],[Is Data Valid]]=TRUE,((Table1[[#This Row],[Birthweight (grams)]]/Table1[[#This Row],[BW_GA]])-1)/(Backend!$B$4/100*Table1[[#This Row],[BW40_3705]]),"")</f>
        <v/>
      </c>
      <c r="H2729" s="7" t="str">
        <f>IF(Table1[[#This Row],[Is Data Valid]]=TRUE,((Table1[[#This Row],[Birthweight (grams)]]*0.9/Table1[[#This Row],[BW_GA]])-1)/(Backend!$B$4/100*Table1[[#This Row],[BW40_3705]]),"")</f>
        <v/>
      </c>
      <c r="I2729" s="7" t="str">
        <f>IF(Table1[[#This Row],[Is Data Valid]]=TRUE,((Table1[[#This Row],[Birthweight (grams)]]*1.1/Table1[[#This Row],[BW_GA]])-1)/(Backend!$B$4/100*Table1[[#This Row],[BW40_3705]]),"")</f>
        <v/>
      </c>
      <c r="J2729" s="7" t="str">
        <f>IF(Table1[[#This Row],[Is Data Valid]]=TRUE,_xlfn.NORM.S.DIST(Table1[[#This Row],[Birthweight Z-Score]],TRUE)*100,"")</f>
        <v/>
      </c>
      <c r="K2729" s="7" t="str">
        <f>IF(Table1[[#This Row],[Is Data Valid]]=TRUE,_xlfn.NORM.S.DIST(Table1[[#This Row],[Birthweight Z-Score (BW-10%)]],TRUE)*100,"")</f>
        <v/>
      </c>
      <c r="L2729" s="7" t="str">
        <f>IF(Table1[[#This Row],[Is Data Valid]]=TRUE,_xlfn.NORM.S.DIST(Table1[[#This Row],[Birthweight Z-Score (BW+10%)]],TRUE)*100,"")</f>
        <v/>
      </c>
    </row>
    <row r="2730" spans="1:12" x14ac:dyDescent="0.35">
      <c r="A2730" s="3"/>
      <c r="B2730" s="2"/>
      <c r="C2730" s="2"/>
      <c r="D2730" s="2" t="b">
        <f>IF(AND(NOT(ISBLANK(Table1[[#This Row],[Fetal Sex (Male, Female or Unknown)]])),ISNUMBER(Table1[[#This Row],[Birthweight (grams)]]),ISNUMBER(Table1[[#This Row],[Gestation (days)]])),TRUE,FALSE)</f>
        <v>0</v>
      </c>
      <c r="E2730" s="2" t="str">
        <f>IF(Table1[[#This Row],[Is Data Valid]]=TRUE,IF(Table1[[#This Row],[Fetal Sex (Male, Female or Unknown)]]="Male",Backend!$C$6,IF(Table1[[#This Row],[Fetal Sex (Male, Female or Unknown)]]="Female",Backend!$C$7,IF(Table1[[#This Row],[Fetal Sex (Male, Female or Unknown)]]="Unknown",Backend!$C$8,"Error"))),"")</f>
        <v/>
      </c>
      <c r="F2730" s="8" t="str">
        <f>IF(Table1[[#This Row],[Is Data Valid]]=TRUE,EXP(0.578+0.332*((Table1[[#This Row],[Gestation (days)]]+0.5)/7)-0.00354*((Table1[[#This Row],[Gestation (days)]]+0.5)/7)^2)*Table1[[#This Row],[BW40_3705]],"")</f>
        <v/>
      </c>
      <c r="G2730" s="2" t="str">
        <f>IF(Table1[[#This Row],[Is Data Valid]]=TRUE,((Table1[[#This Row],[Birthweight (grams)]]/Table1[[#This Row],[BW_GA]])-1)/(Backend!$B$4/100*Table1[[#This Row],[BW40_3705]]),"")</f>
        <v/>
      </c>
      <c r="H2730" s="7" t="str">
        <f>IF(Table1[[#This Row],[Is Data Valid]]=TRUE,((Table1[[#This Row],[Birthweight (grams)]]*0.9/Table1[[#This Row],[BW_GA]])-1)/(Backend!$B$4/100*Table1[[#This Row],[BW40_3705]]),"")</f>
        <v/>
      </c>
      <c r="I2730" s="7" t="str">
        <f>IF(Table1[[#This Row],[Is Data Valid]]=TRUE,((Table1[[#This Row],[Birthweight (grams)]]*1.1/Table1[[#This Row],[BW_GA]])-1)/(Backend!$B$4/100*Table1[[#This Row],[BW40_3705]]),"")</f>
        <v/>
      </c>
      <c r="J2730" s="7" t="str">
        <f>IF(Table1[[#This Row],[Is Data Valid]]=TRUE,_xlfn.NORM.S.DIST(Table1[[#This Row],[Birthweight Z-Score]],TRUE)*100,"")</f>
        <v/>
      </c>
      <c r="K2730" s="7" t="str">
        <f>IF(Table1[[#This Row],[Is Data Valid]]=TRUE,_xlfn.NORM.S.DIST(Table1[[#This Row],[Birthweight Z-Score (BW-10%)]],TRUE)*100,"")</f>
        <v/>
      </c>
      <c r="L2730" s="7" t="str">
        <f>IF(Table1[[#This Row],[Is Data Valid]]=TRUE,_xlfn.NORM.S.DIST(Table1[[#This Row],[Birthweight Z-Score (BW+10%)]],TRUE)*100,"")</f>
        <v/>
      </c>
    </row>
    <row r="2731" spans="1:12" x14ac:dyDescent="0.35">
      <c r="A2731" s="3"/>
      <c r="B2731" s="2"/>
      <c r="C2731" s="2"/>
      <c r="D2731" s="2" t="b">
        <f>IF(AND(NOT(ISBLANK(Table1[[#This Row],[Fetal Sex (Male, Female or Unknown)]])),ISNUMBER(Table1[[#This Row],[Birthweight (grams)]]),ISNUMBER(Table1[[#This Row],[Gestation (days)]])),TRUE,FALSE)</f>
        <v>0</v>
      </c>
      <c r="E2731" s="2" t="str">
        <f>IF(Table1[[#This Row],[Is Data Valid]]=TRUE,IF(Table1[[#This Row],[Fetal Sex (Male, Female or Unknown)]]="Male",Backend!$C$6,IF(Table1[[#This Row],[Fetal Sex (Male, Female or Unknown)]]="Female",Backend!$C$7,IF(Table1[[#This Row],[Fetal Sex (Male, Female or Unknown)]]="Unknown",Backend!$C$8,"Error"))),"")</f>
        <v/>
      </c>
      <c r="F2731" s="8" t="str">
        <f>IF(Table1[[#This Row],[Is Data Valid]]=TRUE,EXP(0.578+0.332*((Table1[[#This Row],[Gestation (days)]]+0.5)/7)-0.00354*((Table1[[#This Row],[Gestation (days)]]+0.5)/7)^2)*Table1[[#This Row],[BW40_3705]],"")</f>
        <v/>
      </c>
      <c r="G2731" s="2" t="str">
        <f>IF(Table1[[#This Row],[Is Data Valid]]=TRUE,((Table1[[#This Row],[Birthweight (grams)]]/Table1[[#This Row],[BW_GA]])-1)/(Backend!$B$4/100*Table1[[#This Row],[BW40_3705]]),"")</f>
        <v/>
      </c>
      <c r="H2731" s="7" t="str">
        <f>IF(Table1[[#This Row],[Is Data Valid]]=TRUE,((Table1[[#This Row],[Birthweight (grams)]]*0.9/Table1[[#This Row],[BW_GA]])-1)/(Backend!$B$4/100*Table1[[#This Row],[BW40_3705]]),"")</f>
        <v/>
      </c>
      <c r="I2731" s="7" t="str">
        <f>IF(Table1[[#This Row],[Is Data Valid]]=TRUE,((Table1[[#This Row],[Birthweight (grams)]]*1.1/Table1[[#This Row],[BW_GA]])-1)/(Backend!$B$4/100*Table1[[#This Row],[BW40_3705]]),"")</f>
        <v/>
      </c>
      <c r="J2731" s="7" t="str">
        <f>IF(Table1[[#This Row],[Is Data Valid]]=TRUE,_xlfn.NORM.S.DIST(Table1[[#This Row],[Birthweight Z-Score]],TRUE)*100,"")</f>
        <v/>
      </c>
      <c r="K2731" s="7" t="str">
        <f>IF(Table1[[#This Row],[Is Data Valid]]=TRUE,_xlfn.NORM.S.DIST(Table1[[#This Row],[Birthweight Z-Score (BW-10%)]],TRUE)*100,"")</f>
        <v/>
      </c>
      <c r="L2731" s="7" t="str">
        <f>IF(Table1[[#This Row],[Is Data Valid]]=TRUE,_xlfn.NORM.S.DIST(Table1[[#This Row],[Birthweight Z-Score (BW+10%)]],TRUE)*100,"")</f>
        <v/>
      </c>
    </row>
    <row r="2732" spans="1:12" x14ac:dyDescent="0.35">
      <c r="A2732" s="3"/>
      <c r="B2732" s="2"/>
      <c r="C2732" s="2"/>
      <c r="D2732" s="2" t="b">
        <f>IF(AND(NOT(ISBLANK(Table1[[#This Row],[Fetal Sex (Male, Female or Unknown)]])),ISNUMBER(Table1[[#This Row],[Birthweight (grams)]]),ISNUMBER(Table1[[#This Row],[Gestation (days)]])),TRUE,FALSE)</f>
        <v>0</v>
      </c>
      <c r="E2732" s="2" t="str">
        <f>IF(Table1[[#This Row],[Is Data Valid]]=TRUE,IF(Table1[[#This Row],[Fetal Sex (Male, Female or Unknown)]]="Male",Backend!$C$6,IF(Table1[[#This Row],[Fetal Sex (Male, Female or Unknown)]]="Female",Backend!$C$7,IF(Table1[[#This Row],[Fetal Sex (Male, Female or Unknown)]]="Unknown",Backend!$C$8,"Error"))),"")</f>
        <v/>
      </c>
      <c r="F2732" s="8" t="str">
        <f>IF(Table1[[#This Row],[Is Data Valid]]=TRUE,EXP(0.578+0.332*((Table1[[#This Row],[Gestation (days)]]+0.5)/7)-0.00354*((Table1[[#This Row],[Gestation (days)]]+0.5)/7)^2)*Table1[[#This Row],[BW40_3705]],"")</f>
        <v/>
      </c>
      <c r="G2732" s="2" t="str">
        <f>IF(Table1[[#This Row],[Is Data Valid]]=TRUE,((Table1[[#This Row],[Birthweight (grams)]]/Table1[[#This Row],[BW_GA]])-1)/(Backend!$B$4/100*Table1[[#This Row],[BW40_3705]]),"")</f>
        <v/>
      </c>
      <c r="H2732" s="7" t="str">
        <f>IF(Table1[[#This Row],[Is Data Valid]]=TRUE,((Table1[[#This Row],[Birthweight (grams)]]*0.9/Table1[[#This Row],[BW_GA]])-1)/(Backend!$B$4/100*Table1[[#This Row],[BW40_3705]]),"")</f>
        <v/>
      </c>
      <c r="I2732" s="7" t="str">
        <f>IF(Table1[[#This Row],[Is Data Valid]]=TRUE,((Table1[[#This Row],[Birthweight (grams)]]*1.1/Table1[[#This Row],[BW_GA]])-1)/(Backend!$B$4/100*Table1[[#This Row],[BW40_3705]]),"")</f>
        <v/>
      </c>
      <c r="J2732" s="7" t="str">
        <f>IF(Table1[[#This Row],[Is Data Valid]]=TRUE,_xlfn.NORM.S.DIST(Table1[[#This Row],[Birthweight Z-Score]],TRUE)*100,"")</f>
        <v/>
      </c>
      <c r="K2732" s="7" t="str">
        <f>IF(Table1[[#This Row],[Is Data Valid]]=TRUE,_xlfn.NORM.S.DIST(Table1[[#This Row],[Birthweight Z-Score (BW-10%)]],TRUE)*100,"")</f>
        <v/>
      </c>
      <c r="L2732" s="7" t="str">
        <f>IF(Table1[[#This Row],[Is Data Valid]]=TRUE,_xlfn.NORM.S.DIST(Table1[[#This Row],[Birthweight Z-Score (BW+10%)]],TRUE)*100,"")</f>
        <v/>
      </c>
    </row>
    <row r="2733" spans="1:12" x14ac:dyDescent="0.35">
      <c r="A2733" s="3"/>
      <c r="B2733" s="2"/>
      <c r="C2733" s="2"/>
      <c r="D2733" s="2" t="b">
        <f>IF(AND(NOT(ISBLANK(Table1[[#This Row],[Fetal Sex (Male, Female or Unknown)]])),ISNUMBER(Table1[[#This Row],[Birthweight (grams)]]),ISNUMBER(Table1[[#This Row],[Gestation (days)]])),TRUE,FALSE)</f>
        <v>0</v>
      </c>
      <c r="E2733" s="2" t="str">
        <f>IF(Table1[[#This Row],[Is Data Valid]]=TRUE,IF(Table1[[#This Row],[Fetal Sex (Male, Female or Unknown)]]="Male",Backend!$C$6,IF(Table1[[#This Row],[Fetal Sex (Male, Female or Unknown)]]="Female",Backend!$C$7,IF(Table1[[#This Row],[Fetal Sex (Male, Female or Unknown)]]="Unknown",Backend!$C$8,"Error"))),"")</f>
        <v/>
      </c>
      <c r="F2733" s="8" t="str">
        <f>IF(Table1[[#This Row],[Is Data Valid]]=TRUE,EXP(0.578+0.332*((Table1[[#This Row],[Gestation (days)]]+0.5)/7)-0.00354*((Table1[[#This Row],[Gestation (days)]]+0.5)/7)^2)*Table1[[#This Row],[BW40_3705]],"")</f>
        <v/>
      </c>
      <c r="G2733" s="2" t="str">
        <f>IF(Table1[[#This Row],[Is Data Valid]]=TRUE,((Table1[[#This Row],[Birthweight (grams)]]/Table1[[#This Row],[BW_GA]])-1)/(Backend!$B$4/100*Table1[[#This Row],[BW40_3705]]),"")</f>
        <v/>
      </c>
      <c r="H2733" s="7" t="str">
        <f>IF(Table1[[#This Row],[Is Data Valid]]=TRUE,((Table1[[#This Row],[Birthweight (grams)]]*0.9/Table1[[#This Row],[BW_GA]])-1)/(Backend!$B$4/100*Table1[[#This Row],[BW40_3705]]),"")</f>
        <v/>
      </c>
      <c r="I2733" s="7" t="str">
        <f>IF(Table1[[#This Row],[Is Data Valid]]=TRUE,((Table1[[#This Row],[Birthweight (grams)]]*1.1/Table1[[#This Row],[BW_GA]])-1)/(Backend!$B$4/100*Table1[[#This Row],[BW40_3705]]),"")</f>
        <v/>
      </c>
      <c r="J2733" s="7" t="str">
        <f>IF(Table1[[#This Row],[Is Data Valid]]=TRUE,_xlfn.NORM.S.DIST(Table1[[#This Row],[Birthweight Z-Score]],TRUE)*100,"")</f>
        <v/>
      </c>
      <c r="K2733" s="7" t="str">
        <f>IF(Table1[[#This Row],[Is Data Valid]]=TRUE,_xlfn.NORM.S.DIST(Table1[[#This Row],[Birthweight Z-Score (BW-10%)]],TRUE)*100,"")</f>
        <v/>
      </c>
      <c r="L2733" s="7" t="str">
        <f>IF(Table1[[#This Row],[Is Data Valid]]=TRUE,_xlfn.NORM.S.DIST(Table1[[#This Row],[Birthweight Z-Score (BW+10%)]],TRUE)*100,"")</f>
        <v/>
      </c>
    </row>
    <row r="2734" spans="1:12" x14ac:dyDescent="0.35">
      <c r="A2734" s="3"/>
      <c r="B2734" s="2"/>
      <c r="C2734" s="2"/>
      <c r="D2734" s="2" t="b">
        <f>IF(AND(NOT(ISBLANK(Table1[[#This Row],[Fetal Sex (Male, Female or Unknown)]])),ISNUMBER(Table1[[#This Row],[Birthweight (grams)]]),ISNUMBER(Table1[[#This Row],[Gestation (days)]])),TRUE,FALSE)</f>
        <v>0</v>
      </c>
      <c r="E2734" s="2" t="str">
        <f>IF(Table1[[#This Row],[Is Data Valid]]=TRUE,IF(Table1[[#This Row],[Fetal Sex (Male, Female or Unknown)]]="Male",Backend!$C$6,IF(Table1[[#This Row],[Fetal Sex (Male, Female or Unknown)]]="Female",Backend!$C$7,IF(Table1[[#This Row],[Fetal Sex (Male, Female or Unknown)]]="Unknown",Backend!$C$8,"Error"))),"")</f>
        <v/>
      </c>
      <c r="F2734" s="8" t="str">
        <f>IF(Table1[[#This Row],[Is Data Valid]]=TRUE,EXP(0.578+0.332*((Table1[[#This Row],[Gestation (days)]]+0.5)/7)-0.00354*((Table1[[#This Row],[Gestation (days)]]+0.5)/7)^2)*Table1[[#This Row],[BW40_3705]],"")</f>
        <v/>
      </c>
      <c r="G2734" s="2" t="str">
        <f>IF(Table1[[#This Row],[Is Data Valid]]=TRUE,((Table1[[#This Row],[Birthweight (grams)]]/Table1[[#This Row],[BW_GA]])-1)/(Backend!$B$4/100*Table1[[#This Row],[BW40_3705]]),"")</f>
        <v/>
      </c>
      <c r="H2734" s="7" t="str">
        <f>IF(Table1[[#This Row],[Is Data Valid]]=TRUE,((Table1[[#This Row],[Birthweight (grams)]]*0.9/Table1[[#This Row],[BW_GA]])-1)/(Backend!$B$4/100*Table1[[#This Row],[BW40_3705]]),"")</f>
        <v/>
      </c>
      <c r="I2734" s="7" t="str">
        <f>IF(Table1[[#This Row],[Is Data Valid]]=TRUE,((Table1[[#This Row],[Birthweight (grams)]]*1.1/Table1[[#This Row],[BW_GA]])-1)/(Backend!$B$4/100*Table1[[#This Row],[BW40_3705]]),"")</f>
        <v/>
      </c>
      <c r="J2734" s="7" t="str">
        <f>IF(Table1[[#This Row],[Is Data Valid]]=TRUE,_xlfn.NORM.S.DIST(Table1[[#This Row],[Birthweight Z-Score]],TRUE)*100,"")</f>
        <v/>
      </c>
      <c r="K2734" s="7" t="str">
        <f>IF(Table1[[#This Row],[Is Data Valid]]=TRUE,_xlfn.NORM.S.DIST(Table1[[#This Row],[Birthweight Z-Score (BW-10%)]],TRUE)*100,"")</f>
        <v/>
      </c>
      <c r="L2734" s="7" t="str">
        <f>IF(Table1[[#This Row],[Is Data Valid]]=TRUE,_xlfn.NORM.S.DIST(Table1[[#This Row],[Birthweight Z-Score (BW+10%)]],TRUE)*100,"")</f>
        <v/>
      </c>
    </row>
    <row r="2735" spans="1:12" x14ac:dyDescent="0.35">
      <c r="A2735" s="3"/>
      <c r="B2735" s="2"/>
      <c r="C2735" s="2"/>
      <c r="D2735" s="2" t="b">
        <f>IF(AND(NOT(ISBLANK(Table1[[#This Row],[Fetal Sex (Male, Female or Unknown)]])),ISNUMBER(Table1[[#This Row],[Birthweight (grams)]]),ISNUMBER(Table1[[#This Row],[Gestation (days)]])),TRUE,FALSE)</f>
        <v>0</v>
      </c>
      <c r="E2735" s="2" t="str">
        <f>IF(Table1[[#This Row],[Is Data Valid]]=TRUE,IF(Table1[[#This Row],[Fetal Sex (Male, Female or Unknown)]]="Male",Backend!$C$6,IF(Table1[[#This Row],[Fetal Sex (Male, Female or Unknown)]]="Female",Backend!$C$7,IF(Table1[[#This Row],[Fetal Sex (Male, Female or Unknown)]]="Unknown",Backend!$C$8,"Error"))),"")</f>
        <v/>
      </c>
      <c r="F2735" s="8" t="str">
        <f>IF(Table1[[#This Row],[Is Data Valid]]=TRUE,EXP(0.578+0.332*((Table1[[#This Row],[Gestation (days)]]+0.5)/7)-0.00354*((Table1[[#This Row],[Gestation (days)]]+0.5)/7)^2)*Table1[[#This Row],[BW40_3705]],"")</f>
        <v/>
      </c>
      <c r="G2735" s="2" t="str">
        <f>IF(Table1[[#This Row],[Is Data Valid]]=TRUE,((Table1[[#This Row],[Birthweight (grams)]]/Table1[[#This Row],[BW_GA]])-1)/(Backend!$B$4/100*Table1[[#This Row],[BW40_3705]]),"")</f>
        <v/>
      </c>
      <c r="H2735" s="7" t="str">
        <f>IF(Table1[[#This Row],[Is Data Valid]]=TRUE,((Table1[[#This Row],[Birthweight (grams)]]*0.9/Table1[[#This Row],[BW_GA]])-1)/(Backend!$B$4/100*Table1[[#This Row],[BW40_3705]]),"")</f>
        <v/>
      </c>
      <c r="I2735" s="7" t="str">
        <f>IF(Table1[[#This Row],[Is Data Valid]]=TRUE,((Table1[[#This Row],[Birthweight (grams)]]*1.1/Table1[[#This Row],[BW_GA]])-1)/(Backend!$B$4/100*Table1[[#This Row],[BW40_3705]]),"")</f>
        <v/>
      </c>
      <c r="J2735" s="7" t="str">
        <f>IF(Table1[[#This Row],[Is Data Valid]]=TRUE,_xlfn.NORM.S.DIST(Table1[[#This Row],[Birthweight Z-Score]],TRUE)*100,"")</f>
        <v/>
      </c>
      <c r="K2735" s="7" t="str">
        <f>IF(Table1[[#This Row],[Is Data Valid]]=TRUE,_xlfn.NORM.S.DIST(Table1[[#This Row],[Birthweight Z-Score (BW-10%)]],TRUE)*100,"")</f>
        <v/>
      </c>
      <c r="L2735" s="7" t="str">
        <f>IF(Table1[[#This Row],[Is Data Valid]]=TRUE,_xlfn.NORM.S.DIST(Table1[[#This Row],[Birthweight Z-Score (BW+10%)]],TRUE)*100,"")</f>
        <v/>
      </c>
    </row>
    <row r="2736" spans="1:12" x14ac:dyDescent="0.35">
      <c r="A2736" s="3"/>
      <c r="B2736" s="2"/>
      <c r="C2736" s="2"/>
      <c r="D2736" s="2" t="b">
        <f>IF(AND(NOT(ISBLANK(Table1[[#This Row],[Fetal Sex (Male, Female or Unknown)]])),ISNUMBER(Table1[[#This Row],[Birthweight (grams)]]),ISNUMBER(Table1[[#This Row],[Gestation (days)]])),TRUE,FALSE)</f>
        <v>0</v>
      </c>
      <c r="E2736" s="2" t="str">
        <f>IF(Table1[[#This Row],[Is Data Valid]]=TRUE,IF(Table1[[#This Row],[Fetal Sex (Male, Female or Unknown)]]="Male",Backend!$C$6,IF(Table1[[#This Row],[Fetal Sex (Male, Female or Unknown)]]="Female",Backend!$C$7,IF(Table1[[#This Row],[Fetal Sex (Male, Female or Unknown)]]="Unknown",Backend!$C$8,"Error"))),"")</f>
        <v/>
      </c>
      <c r="F2736" s="8" t="str">
        <f>IF(Table1[[#This Row],[Is Data Valid]]=TRUE,EXP(0.578+0.332*((Table1[[#This Row],[Gestation (days)]]+0.5)/7)-0.00354*((Table1[[#This Row],[Gestation (days)]]+0.5)/7)^2)*Table1[[#This Row],[BW40_3705]],"")</f>
        <v/>
      </c>
      <c r="G2736" s="2" t="str">
        <f>IF(Table1[[#This Row],[Is Data Valid]]=TRUE,((Table1[[#This Row],[Birthweight (grams)]]/Table1[[#This Row],[BW_GA]])-1)/(Backend!$B$4/100*Table1[[#This Row],[BW40_3705]]),"")</f>
        <v/>
      </c>
      <c r="H2736" s="7" t="str">
        <f>IF(Table1[[#This Row],[Is Data Valid]]=TRUE,((Table1[[#This Row],[Birthweight (grams)]]*0.9/Table1[[#This Row],[BW_GA]])-1)/(Backend!$B$4/100*Table1[[#This Row],[BW40_3705]]),"")</f>
        <v/>
      </c>
      <c r="I2736" s="7" t="str">
        <f>IF(Table1[[#This Row],[Is Data Valid]]=TRUE,((Table1[[#This Row],[Birthweight (grams)]]*1.1/Table1[[#This Row],[BW_GA]])-1)/(Backend!$B$4/100*Table1[[#This Row],[BW40_3705]]),"")</f>
        <v/>
      </c>
      <c r="J2736" s="7" t="str">
        <f>IF(Table1[[#This Row],[Is Data Valid]]=TRUE,_xlfn.NORM.S.DIST(Table1[[#This Row],[Birthweight Z-Score]],TRUE)*100,"")</f>
        <v/>
      </c>
      <c r="K2736" s="7" t="str">
        <f>IF(Table1[[#This Row],[Is Data Valid]]=TRUE,_xlfn.NORM.S.DIST(Table1[[#This Row],[Birthweight Z-Score (BW-10%)]],TRUE)*100,"")</f>
        <v/>
      </c>
      <c r="L2736" s="7" t="str">
        <f>IF(Table1[[#This Row],[Is Data Valid]]=TRUE,_xlfn.NORM.S.DIST(Table1[[#This Row],[Birthweight Z-Score (BW+10%)]],TRUE)*100,"")</f>
        <v/>
      </c>
    </row>
    <row r="2737" spans="1:12" x14ac:dyDescent="0.35">
      <c r="A2737" s="3"/>
      <c r="B2737" s="2"/>
      <c r="C2737" s="2"/>
      <c r="D2737" s="2" t="b">
        <f>IF(AND(NOT(ISBLANK(Table1[[#This Row],[Fetal Sex (Male, Female or Unknown)]])),ISNUMBER(Table1[[#This Row],[Birthweight (grams)]]),ISNUMBER(Table1[[#This Row],[Gestation (days)]])),TRUE,FALSE)</f>
        <v>0</v>
      </c>
      <c r="E2737" s="2" t="str">
        <f>IF(Table1[[#This Row],[Is Data Valid]]=TRUE,IF(Table1[[#This Row],[Fetal Sex (Male, Female or Unknown)]]="Male",Backend!$C$6,IF(Table1[[#This Row],[Fetal Sex (Male, Female or Unknown)]]="Female",Backend!$C$7,IF(Table1[[#This Row],[Fetal Sex (Male, Female or Unknown)]]="Unknown",Backend!$C$8,"Error"))),"")</f>
        <v/>
      </c>
      <c r="F2737" s="8" t="str">
        <f>IF(Table1[[#This Row],[Is Data Valid]]=TRUE,EXP(0.578+0.332*((Table1[[#This Row],[Gestation (days)]]+0.5)/7)-0.00354*((Table1[[#This Row],[Gestation (days)]]+0.5)/7)^2)*Table1[[#This Row],[BW40_3705]],"")</f>
        <v/>
      </c>
      <c r="G2737" s="2" t="str">
        <f>IF(Table1[[#This Row],[Is Data Valid]]=TRUE,((Table1[[#This Row],[Birthweight (grams)]]/Table1[[#This Row],[BW_GA]])-1)/(Backend!$B$4/100*Table1[[#This Row],[BW40_3705]]),"")</f>
        <v/>
      </c>
      <c r="H2737" s="7" t="str">
        <f>IF(Table1[[#This Row],[Is Data Valid]]=TRUE,((Table1[[#This Row],[Birthweight (grams)]]*0.9/Table1[[#This Row],[BW_GA]])-1)/(Backend!$B$4/100*Table1[[#This Row],[BW40_3705]]),"")</f>
        <v/>
      </c>
      <c r="I2737" s="7" t="str">
        <f>IF(Table1[[#This Row],[Is Data Valid]]=TRUE,((Table1[[#This Row],[Birthweight (grams)]]*1.1/Table1[[#This Row],[BW_GA]])-1)/(Backend!$B$4/100*Table1[[#This Row],[BW40_3705]]),"")</f>
        <v/>
      </c>
      <c r="J2737" s="7" t="str">
        <f>IF(Table1[[#This Row],[Is Data Valid]]=TRUE,_xlfn.NORM.S.DIST(Table1[[#This Row],[Birthweight Z-Score]],TRUE)*100,"")</f>
        <v/>
      </c>
      <c r="K2737" s="7" t="str">
        <f>IF(Table1[[#This Row],[Is Data Valid]]=TRUE,_xlfn.NORM.S.DIST(Table1[[#This Row],[Birthweight Z-Score (BW-10%)]],TRUE)*100,"")</f>
        <v/>
      </c>
      <c r="L2737" s="7" t="str">
        <f>IF(Table1[[#This Row],[Is Data Valid]]=TRUE,_xlfn.NORM.S.DIST(Table1[[#This Row],[Birthweight Z-Score (BW+10%)]],TRUE)*100,"")</f>
        <v/>
      </c>
    </row>
    <row r="2738" spans="1:12" x14ac:dyDescent="0.35">
      <c r="A2738" s="3"/>
      <c r="B2738" s="2"/>
      <c r="C2738" s="2"/>
      <c r="D2738" s="2" t="b">
        <f>IF(AND(NOT(ISBLANK(Table1[[#This Row],[Fetal Sex (Male, Female or Unknown)]])),ISNUMBER(Table1[[#This Row],[Birthweight (grams)]]),ISNUMBER(Table1[[#This Row],[Gestation (days)]])),TRUE,FALSE)</f>
        <v>0</v>
      </c>
      <c r="E2738" s="2" t="str">
        <f>IF(Table1[[#This Row],[Is Data Valid]]=TRUE,IF(Table1[[#This Row],[Fetal Sex (Male, Female or Unknown)]]="Male",Backend!$C$6,IF(Table1[[#This Row],[Fetal Sex (Male, Female or Unknown)]]="Female",Backend!$C$7,IF(Table1[[#This Row],[Fetal Sex (Male, Female or Unknown)]]="Unknown",Backend!$C$8,"Error"))),"")</f>
        <v/>
      </c>
      <c r="F2738" s="8" t="str">
        <f>IF(Table1[[#This Row],[Is Data Valid]]=TRUE,EXP(0.578+0.332*((Table1[[#This Row],[Gestation (days)]]+0.5)/7)-0.00354*((Table1[[#This Row],[Gestation (days)]]+0.5)/7)^2)*Table1[[#This Row],[BW40_3705]],"")</f>
        <v/>
      </c>
      <c r="G2738" s="2" t="str">
        <f>IF(Table1[[#This Row],[Is Data Valid]]=TRUE,((Table1[[#This Row],[Birthweight (grams)]]/Table1[[#This Row],[BW_GA]])-1)/(Backend!$B$4/100*Table1[[#This Row],[BW40_3705]]),"")</f>
        <v/>
      </c>
      <c r="H2738" s="7" t="str">
        <f>IF(Table1[[#This Row],[Is Data Valid]]=TRUE,((Table1[[#This Row],[Birthweight (grams)]]*0.9/Table1[[#This Row],[BW_GA]])-1)/(Backend!$B$4/100*Table1[[#This Row],[BW40_3705]]),"")</f>
        <v/>
      </c>
      <c r="I2738" s="7" t="str">
        <f>IF(Table1[[#This Row],[Is Data Valid]]=TRUE,((Table1[[#This Row],[Birthweight (grams)]]*1.1/Table1[[#This Row],[BW_GA]])-1)/(Backend!$B$4/100*Table1[[#This Row],[BW40_3705]]),"")</f>
        <v/>
      </c>
      <c r="J2738" s="7" t="str">
        <f>IF(Table1[[#This Row],[Is Data Valid]]=TRUE,_xlfn.NORM.S.DIST(Table1[[#This Row],[Birthweight Z-Score]],TRUE)*100,"")</f>
        <v/>
      </c>
      <c r="K2738" s="7" t="str">
        <f>IF(Table1[[#This Row],[Is Data Valid]]=TRUE,_xlfn.NORM.S.DIST(Table1[[#This Row],[Birthweight Z-Score (BW-10%)]],TRUE)*100,"")</f>
        <v/>
      </c>
      <c r="L2738" s="7" t="str">
        <f>IF(Table1[[#This Row],[Is Data Valid]]=TRUE,_xlfn.NORM.S.DIST(Table1[[#This Row],[Birthweight Z-Score (BW+10%)]],TRUE)*100,"")</f>
        <v/>
      </c>
    </row>
    <row r="2739" spans="1:12" x14ac:dyDescent="0.35">
      <c r="A2739" s="3"/>
      <c r="B2739" s="2"/>
      <c r="C2739" s="2"/>
      <c r="D2739" s="2" t="b">
        <f>IF(AND(NOT(ISBLANK(Table1[[#This Row],[Fetal Sex (Male, Female or Unknown)]])),ISNUMBER(Table1[[#This Row],[Birthweight (grams)]]),ISNUMBER(Table1[[#This Row],[Gestation (days)]])),TRUE,FALSE)</f>
        <v>0</v>
      </c>
      <c r="E2739" s="2" t="str">
        <f>IF(Table1[[#This Row],[Is Data Valid]]=TRUE,IF(Table1[[#This Row],[Fetal Sex (Male, Female or Unknown)]]="Male",Backend!$C$6,IF(Table1[[#This Row],[Fetal Sex (Male, Female or Unknown)]]="Female",Backend!$C$7,IF(Table1[[#This Row],[Fetal Sex (Male, Female or Unknown)]]="Unknown",Backend!$C$8,"Error"))),"")</f>
        <v/>
      </c>
      <c r="F2739" s="8" t="str">
        <f>IF(Table1[[#This Row],[Is Data Valid]]=TRUE,EXP(0.578+0.332*((Table1[[#This Row],[Gestation (days)]]+0.5)/7)-0.00354*((Table1[[#This Row],[Gestation (days)]]+0.5)/7)^2)*Table1[[#This Row],[BW40_3705]],"")</f>
        <v/>
      </c>
      <c r="G2739" s="2" t="str">
        <f>IF(Table1[[#This Row],[Is Data Valid]]=TRUE,((Table1[[#This Row],[Birthweight (grams)]]/Table1[[#This Row],[BW_GA]])-1)/(Backend!$B$4/100*Table1[[#This Row],[BW40_3705]]),"")</f>
        <v/>
      </c>
      <c r="H2739" s="7" t="str">
        <f>IF(Table1[[#This Row],[Is Data Valid]]=TRUE,((Table1[[#This Row],[Birthweight (grams)]]*0.9/Table1[[#This Row],[BW_GA]])-1)/(Backend!$B$4/100*Table1[[#This Row],[BW40_3705]]),"")</f>
        <v/>
      </c>
      <c r="I2739" s="7" t="str">
        <f>IF(Table1[[#This Row],[Is Data Valid]]=TRUE,((Table1[[#This Row],[Birthweight (grams)]]*1.1/Table1[[#This Row],[BW_GA]])-1)/(Backend!$B$4/100*Table1[[#This Row],[BW40_3705]]),"")</f>
        <v/>
      </c>
      <c r="J2739" s="7" t="str">
        <f>IF(Table1[[#This Row],[Is Data Valid]]=TRUE,_xlfn.NORM.S.DIST(Table1[[#This Row],[Birthweight Z-Score]],TRUE)*100,"")</f>
        <v/>
      </c>
      <c r="K2739" s="7" t="str">
        <f>IF(Table1[[#This Row],[Is Data Valid]]=TRUE,_xlfn.NORM.S.DIST(Table1[[#This Row],[Birthweight Z-Score (BW-10%)]],TRUE)*100,"")</f>
        <v/>
      </c>
      <c r="L2739" s="7" t="str">
        <f>IF(Table1[[#This Row],[Is Data Valid]]=TRUE,_xlfn.NORM.S.DIST(Table1[[#This Row],[Birthweight Z-Score (BW+10%)]],TRUE)*100,"")</f>
        <v/>
      </c>
    </row>
    <row r="2740" spans="1:12" x14ac:dyDescent="0.35">
      <c r="A2740" s="3"/>
      <c r="B2740" s="2"/>
      <c r="C2740" s="2"/>
      <c r="D2740" s="2" t="b">
        <f>IF(AND(NOT(ISBLANK(Table1[[#This Row],[Fetal Sex (Male, Female or Unknown)]])),ISNUMBER(Table1[[#This Row],[Birthweight (grams)]]),ISNUMBER(Table1[[#This Row],[Gestation (days)]])),TRUE,FALSE)</f>
        <v>0</v>
      </c>
      <c r="E2740" s="2" t="str">
        <f>IF(Table1[[#This Row],[Is Data Valid]]=TRUE,IF(Table1[[#This Row],[Fetal Sex (Male, Female or Unknown)]]="Male",Backend!$C$6,IF(Table1[[#This Row],[Fetal Sex (Male, Female or Unknown)]]="Female",Backend!$C$7,IF(Table1[[#This Row],[Fetal Sex (Male, Female or Unknown)]]="Unknown",Backend!$C$8,"Error"))),"")</f>
        <v/>
      </c>
      <c r="F2740" s="8" t="str">
        <f>IF(Table1[[#This Row],[Is Data Valid]]=TRUE,EXP(0.578+0.332*((Table1[[#This Row],[Gestation (days)]]+0.5)/7)-0.00354*((Table1[[#This Row],[Gestation (days)]]+0.5)/7)^2)*Table1[[#This Row],[BW40_3705]],"")</f>
        <v/>
      </c>
      <c r="G2740" s="2" t="str">
        <f>IF(Table1[[#This Row],[Is Data Valid]]=TRUE,((Table1[[#This Row],[Birthweight (grams)]]/Table1[[#This Row],[BW_GA]])-1)/(Backend!$B$4/100*Table1[[#This Row],[BW40_3705]]),"")</f>
        <v/>
      </c>
      <c r="H2740" s="7" t="str">
        <f>IF(Table1[[#This Row],[Is Data Valid]]=TRUE,((Table1[[#This Row],[Birthweight (grams)]]*0.9/Table1[[#This Row],[BW_GA]])-1)/(Backend!$B$4/100*Table1[[#This Row],[BW40_3705]]),"")</f>
        <v/>
      </c>
      <c r="I2740" s="7" t="str">
        <f>IF(Table1[[#This Row],[Is Data Valid]]=TRUE,((Table1[[#This Row],[Birthweight (grams)]]*1.1/Table1[[#This Row],[BW_GA]])-1)/(Backend!$B$4/100*Table1[[#This Row],[BW40_3705]]),"")</f>
        <v/>
      </c>
      <c r="J2740" s="7" t="str">
        <f>IF(Table1[[#This Row],[Is Data Valid]]=TRUE,_xlfn.NORM.S.DIST(Table1[[#This Row],[Birthweight Z-Score]],TRUE)*100,"")</f>
        <v/>
      </c>
      <c r="K2740" s="7" t="str">
        <f>IF(Table1[[#This Row],[Is Data Valid]]=TRUE,_xlfn.NORM.S.DIST(Table1[[#This Row],[Birthweight Z-Score (BW-10%)]],TRUE)*100,"")</f>
        <v/>
      </c>
      <c r="L2740" s="7" t="str">
        <f>IF(Table1[[#This Row],[Is Data Valid]]=TRUE,_xlfn.NORM.S.DIST(Table1[[#This Row],[Birthweight Z-Score (BW+10%)]],TRUE)*100,"")</f>
        <v/>
      </c>
    </row>
    <row r="2741" spans="1:12" x14ac:dyDescent="0.35">
      <c r="A2741" s="3"/>
      <c r="B2741" s="2"/>
      <c r="C2741" s="2"/>
      <c r="D2741" s="2" t="b">
        <f>IF(AND(NOT(ISBLANK(Table1[[#This Row],[Fetal Sex (Male, Female or Unknown)]])),ISNUMBER(Table1[[#This Row],[Birthweight (grams)]]),ISNUMBER(Table1[[#This Row],[Gestation (days)]])),TRUE,FALSE)</f>
        <v>0</v>
      </c>
      <c r="E2741" s="2" t="str">
        <f>IF(Table1[[#This Row],[Is Data Valid]]=TRUE,IF(Table1[[#This Row],[Fetal Sex (Male, Female or Unknown)]]="Male",Backend!$C$6,IF(Table1[[#This Row],[Fetal Sex (Male, Female or Unknown)]]="Female",Backend!$C$7,IF(Table1[[#This Row],[Fetal Sex (Male, Female or Unknown)]]="Unknown",Backend!$C$8,"Error"))),"")</f>
        <v/>
      </c>
      <c r="F2741" s="8" t="str">
        <f>IF(Table1[[#This Row],[Is Data Valid]]=TRUE,EXP(0.578+0.332*((Table1[[#This Row],[Gestation (days)]]+0.5)/7)-0.00354*((Table1[[#This Row],[Gestation (days)]]+0.5)/7)^2)*Table1[[#This Row],[BW40_3705]],"")</f>
        <v/>
      </c>
      <c r="G2741" s="2" t="str">
        <f>IF(Table1[[#This Row],[Is Data Valid]]=TRUE,((Table1[[#This Row],[Birthweight (grams)]]/Table1[[#This Row],[BW_GA]])-1)/(Backend!$B$4/100*Table1[[#This Row],[BW40_3705]]),"")</f>
        <v/>
      </c>
      <c r="H2741" s="7" t="str">
        <f>IF(Table1[[#This Row],[Is Data Valid]]=TRUE,((Table1[[#This Row],[Birthweight (grams)]]*0.9/Table1[[#This Row],[BW_GA]])-1)/(Backend!$B$4/100*Table1[[#This Row],[BW40_3705]]),"")</f>
        <v/>
      </c>
      <c r="I2741" s="7" t="str">
        <f>IF(Table1[[#This Row],[Is Data Valid]]=TRUE,((Table1[[#This Row],[Birthweight (grams)]]*1.1/Table1[[#This Row],[BW_GA]])-1)/(Backend!$B$4/100*Table1[[#This Row],[BW40_3705]]),"")</f>
        <v/>
      </c>
      <c r="J2741" s="7" t="str">
        <f>IF(Table1[[#This Row],[Is Data Valid]]=TRUE,_xlfn.NORM.S.DIST(Table1[[#This Row],[Birthweight Z-Score]],TRUE)*100,"")</f>
        <v/>
      </c>
      <c r="K2741" s="7" t="str">
        <f>IF(Table1[[#This Row],[Is Data Valid]]=TRUE,_xlfn.NORM.S.DIST(Table1[[#This Row],[Birthweight Z-Score (BW-10%)]],TRUE)*100,"")</f>
        <v/>
      </c>
      <c r="L2741" s="7" t="str">
        <f>IF(Table1[[#This Row],[Is Data Valid]]=TRUE,_xlfn.NORM.S.DIST(Table1[[#This Row],[Birthweight Z-Score (BW+10%)]],TRUE)*100,"")</f>
        <v/>
      </c>
    </row>
    <row r="2742" spans="1:12" x14ac:dyDescent="0.35">
      <c r="A2742" s="3"/>
      <c r="B2742" s="2"/>
      <c r="C2742" s="2"/>
      <c r="D2742" s="2" t="b">
        <f>IF(AND(NOT(ISBLANK(Table1[[#This Row],[Fetal Sex (Male, Female or Unknown)]])),ISNUMBER(Table1[[#This Row],[Birthweight (grams)]]),ISNUMBER(Table1[[#This Row],[Gestation (days)]])),TRUE,FALSE)</f>
        <v>0</v>
      </c>
      <c r="E2742" s="2" t="str">
        <f>IF(Table1[[#This Row],[Is Data Valid]]=TRUE,IF(Table1[[#This Row],[Fetal Sex (Male, Female or Unknown)]]="Male",Backend!$C$6,IF(Table1[[#This Row],[Fetal Sex (Male, Female or Unknown)]]="Female",Backend!$C$7,IF(Table1[[#This Row],[Fetal Sex (Male, Female or Unknown)]]="Unknown",Backend!$C$8,"Error"))),"")</f>
        <v/>
      </c>
      <c r="F2742" s="8" t="str">
        <f>IF(Table1[[#This Row],[Is Data Valid]]=TRUE,EXP(0.578+0.332*((Table1[[#This Row],[Gestation (days)]]+0.5)/7)-0.00354*((Table1[[#This Row],[Gestation (days)]]+0.5)/7)^2)*Table1[[#This Row],[BW40_3705]],"")</f>
        <v/>
      </c>
      <c r="G2742" s="2" t="str">
        <f>IF(Table1[[#This Row],[Is Data Valid]]=TRUE,((Table1[[#This Row],[Birthweight (grams)]]/Table1[[#This Row],[BW_GA]])-1)/(Backend!$B$4/100*Table1[[#This Row],[BW40_3705]]),"")</f>
        <v/>
      </c>
      <c r="H2742" s="7" t="str">
        <f>IF(Table1[[#This Row],[Is Data Valid]]=TRUE,((Table1[[#This Row],[Birthweight (grams)]]*0.9/Table1[[#This Row],[BW_GA]])-1)/(Backend!$B$4/100*Table1[[#This Row],[BW40_3705]]),"")</f>
        <v/>
      </c>
      <c r="I2742" s="7" t="str">
        <f>IF(Table1[[#This Row],[Is Data Valid]]=TRUE,((Table1[[#This Row],[Birthweight (grams)]]*1.1/Table1[[#This Row],[BW_GA]])-1)/(Backend!$B$4/100*Table1[[#This Row],[BW40_3705]]),"")</f>
        <v/>
      </c>
      <c r="J2742" s="7" t="str">
        <f>IF(Table1[[#This Row],[Is Data Valid]]=TRUE,_xlfn.NORM.S.DIST(Table1[[#This Row],[Birthweight Z-Score]],TRUE)*100,"")</f>
        <v/>
      </c>
      <c r="K2742" s="7" t="str">
        <f>IF(Table1[[#This Row],[Is Data Valid]]=TRUE,_xlfn.NORM.S.DIST(Table1[[#This Row],[Birthweight Z-Score (BW-10%)]],TRUE)*100,"")</f>
        <v/>
      </c>
      <c r="L2742" s="7" t="str">
        <f>IF(Table1[[#This Row],[Is Data Valid]]=TRUE,_xlfn.NORM.S.DIST(Table1[[#This Row],[Birthweight Z-Score (BW+10%)]],TRUE)*100,"")</f>
        <v/>
      </c>
    </row>
    <row r="2743" spans="1:12" x14ac:dyDescent="0.35">
      <c r="A2743" s="3"/>
      <c r="B2743" s="2"/>
      <c r="C2743" s="2"/>
      <c r="D2743" s="2" t="b">
        <f>IF(AND(NOT(ISBLANK(Table1[[#This Row],[Fetal Sex (Male, Female or Unknown)]])),ISNUMBER(Table1[[#This Row],[Birthweight (grams)]]),ISNUMBER(Table1[[#This Row],[Gestation (days)]])),TRUE,FALSE)</f>
        <v>0</v>
      </c>
      <c r="E2743" s="2" t="str">
        <f>IF(Table1[[#This Row],[Is Data Valid]]=TRUE,IF(Table1[[#This Row],[Fetal Sex (Male, Female or Unknown)]]="Male",Backend!$C$6,IF(Table1[[#This Row],[Fetal Sex (Male, Female or Unknown)]]="Female",Backend!$C$7,IF(Table1[[#This Row],[Fetal Sex (Male, Female or Unknown)]]="Unknown",Backend!$C$8,"Error"))),"")</f>
        <v/>
      </c>
      <c r="F2743" s="8" t="str">
        <f>IF(Table1[[#This Row],[Is Data Valid]]=TRUE,EXP(0.578+0.332*((Table1[[#This Row],[Gestation (days)]]+0.5)/7)-0.00354*((Table1[[#This Row],[Gestation (days)]]+0.5)/7)^2)*Table1[[#This Row],[BW40_3705]],"")</f>
        <v/>
      </c>
      <c r="G2743" s="2" t="str">
        <f>IF(Table1[[#This Row],[Is Data Valid]]=TRUE,((Table1[[#This Row],[Birthweight (grams)]]/Table1[[#This Row],[BW_GA]])-1)/(Backend!$B$4/100*Table1[[#This Row],[BW40_3705]]),"")</f>
        <v/>
      </c>
      <c r="H2743" s="7" t="str">
        <f>IF(Table1[[#This Row],[Is Data Valid]]=TRUE,((Table1[[#This Row],[Birthweight (grams)]]*0.9/Table1[[#This Row],[BW_GA]])-1)/(Backend!$B$4/100*Table1[[#This Row],[BW40_3705]]),"")</f>
        <v/>
      </c>
      <c r="I2743" s="7" t="str">
        <f>IF(Table1[[#This Row],[Is Data Valid]]=TRUE,((Table1[[#This Row],[Birthweight (grams)]]*1.1/Table1[[#This Row],[BW_GA]])-1)/(Backend!$B$4/100*Table1[[#This Row],[BW40_3705]]),"")</f>
        <v/>
      </c>
      <c r="J2743" s="7" t="str">
        <f>IF(Table1[[#This Row],[Is Data Valid]]=TRUE,_xlfn.NORM.S.DIST(Table1[[#This Row],[Birthweight Z-Score]],TRUE)*100,"")</f>
        <v/>
      </c>
      <c r="K2743" s="7" t="str">
        <f>IF(Table1[[#This Row],[Is Data Valid]]=TRUE,_xlfn.NORM.S.DIST(Table1[[#This Row],[Birthweight Z-Score (BW-10%)]],TRUE)*100,"")</f>
        <v/>
      </c>
      <c r="L2743" s="7" t="str">
        <f>IF(Table1[[#This Row],[Is Data Valid]]=TRUE,_xlfn.NORM.S.DIST(Table1[[#This Row],[Birthweight Z-Score (BW+10%)]],TRUE)*100,"")</f>
        <v/>
      </c>
    </row>
    <row r="2744" spans="1:12" x14ac:dyDescent="0.35">
      <c r="A2744" s="3"/>
      <c r="B2744" s="2"/>
      <c r="C2744" s="2"/>
      <c r="D2744" s="2" t="b">
        <f>IF(AND(NOT(ISBLANK(Table1[[#This Row],[Fetal Sex (Male, Female or Unknown)]])),ISNUMBER(Table1[[#This Row],[Birthweight (grams)]]),ISNUMBER(Table1[[#This Row],[Gestation (days)]])),TRUE,FALSE)</f>
        <v>0</v>
      </c>
      <c r="E2744" s="2" t="str">
        <f>IF(Table1[[#This Row],[Is Data Valid]]=TRUE,IF(Table1[[#This Row],[Fetal Sex (Male, Female or Unknown)]]="Male",Backend!$C$6,IF(Table1[[#This Row],[Fetal Sex (Male, Female or Unknown)]]="Female",Backend!$C$7,IF(Table1[[#This Row],[Fetal Sex (Male, Female or Unknown)]]="Unknown",Backend!$C$8,"Error"))),"")</f>
        <v/>
      </c>
      <c r="F2744" s="8" t="str">
        <f>IF(Table1[[#This Row],[Is Data Valid]]=TRUE,EXP(0.578+0.332*((Table1[[#This Row],[Gestation (days)]]+0.5)/7)-0.00354*((Table1[[#This Row],[Gestation (days)]]+0.5)/7)^2)*Table1[[#This Row],[BW40_3705]],"")</f>
        <v/>
      </c>
      <c r="G2744" s="2" t="str">
        <f>IF(Table1[[#This Row],[Is Data Valid]]=TRUE,((Table1[[#This Row],[Birthweight (grams)]]/Table1[[#This Row],[BW_GA]])-1)/(Backend!$B$4/100*Table1[[#This Row],[BW40_3705]]),"")</f>
        <v/>
      </c>
      <c r="H2744" s="7" t="str">
        <f>IF(Table1[[#This Row],[Is Data Valid]]=TRUE,((Table1[[#This Row],[Birthweight (grams)]]*0.9/Table1[[#This Row],[BW_GA]])-1)/(Backend!$B$4/100*Table1[[#This Row],[BW40_3705]]),"")</f>
        <v/>
      </c>
      <c r="I2744" s="7" t="str">
        <f>IF(Table1[[#This Row],[Is Data Valid]]=TRUE,((Table1[[#This Row],[Birthweight (grams)]]*1.1/Table1[[#This Row],[BW_GA]])-1)/(Backend!$B$4/100*Table1[[#This Row],[BW40_3705]]),"")</f>
        <v/>
      </c>
      <c r="J2744" s="7" t="str">
        <f>IF(Table1[[#This Row],[Is Data Valid]]=TRUE,_xlfn.NORM.S.DIST(Table1[[#This Row],[Birthweight Z-Score]],TRUE)*100,"")</f>
        <v/>
      </c>
      <c r="K2744" s="7" t="str">
        <f>IF(Table1[[#This Row],[Is Data Valid]]=TRUE,_xlfn.NORM.S.DIST(Table1[[#This Row],[Birthweight Z-Score (BW-10%)]],TRUE)*100,"")</f>
        <v/>
      </c>
      <c r="L2744" s="7" t="str">
        <f>IF(Table1[[#This Row],[Is Data Valid]]=TRUE,_xlfn.NORM.S.DIST(Table1[[#This Row],[Birthweight Z-Score (BW+10%)]],TRUE)*100,"")</f>
        <v/>
      </c>
    </row>
    <row r="2745" spans="1:12" x14ac:dyDescent="0.35">
      <c r="A2745" s="3"/>
      <c r="B2745" s="2"/>
      <c r="C2745" s="2"/>
      <c r="D2745" s="2" t="b">
        <f>IF(AND(NOT(ISBLANK(Table1[[#This Row],[Fetal Sex (Male, Female or Unknown)]])),ISNUMBER(Table1[[#This Row],[Birthweight (grams)]]),ISNUMBER(Table1[[#This Row],[Gestation (days)]])),TRUE,FALSE)</f>
        <v>0</v>
      </c>
      <c r="E2745" s="2" t="str">
        <f>IF(Table1[[#This Row],[Is Data Valid]]=TRUE,IF(Table1[[#This Row],[Fetal Sex (Male, Female or Unknown)]]="Male",Backend!$C$6,IF(Table1[[#This Row],[Fetal Sex (Male, Female or Unknown)]]="Female",Backend!$C$7,IF(Table1[[#This Row],[Fetal Sex (Male, Female or Unknown)]]="Unknown",Backend!$C$8,"Error"))),"")</f>
        <v/>
      </c>
      <c r="F2745" s="8" t="str">
        <f>IF(Table1[[#This Row],[Is Data Valid]]=TRUE,EXP(0.578+0.332*((Table1[[#This Row],[Gestation (days)]]+0.5)/7)-0.00354*((Table1[[#This Row],[Gestation (days)]]+0.5)/7)^2)*Table1[[#This Row],[BW40_3705]],"")</f>
        <v/>
      </c>
      <c r="G2745" s="2" t="str">
        <f>IF(Table1[[#This Row],[Is Data Valid]]=TRUE,((Table1[[#This Row],[Birthweight (grams)]]/Table1[[#This Row],[BW_GA]])-1)/(Backend!$B$4/100*Table1[[#This Row],[BW40_3705]]),"")</f>
        <v/>
      </c>
      <c r="H2745" s="7" t="str">
        <f>IF(Table1[[#This Row],[Is Data Valid]]=TRUE,((Table1[[#This Row],[Birthweight (grams)]]*0.9/Table1[[#This Row],[BW_GA]])-1)/(Backend!$B$4/100*Table1[[#This Row],[BW40_3705]]),"")</f>
        <v/>
      </c>
      <c r="I2745" s="7" t="str">
        <f>IF(Table1[[#This Row],[Is Data Valid]]=TRUE,((Table1[[#This Row],[Birthweight (grams)]]*1.1/Table1[[#This Row],[BW_GA]])-1)/(Backend!$B$4/100*Table1[[#This Row],[BW40_3705]]),"")</f>
        <v/>
      </c>
      <c r="J2745" s="7" t="str">
        <f>IF(Table1[[#This Row],[Is Data Valid]]=TRUE,_xlfn.NORM.S.DIST(Table1[[#This Row],[Birthweight Z-Score]],TRUE)*100,"")</f>
        <v/>
      </c>
      <c r="K2745" s="7" t="str">
        <f>IF(Table1[[#This Row],[Is Data Valid]]=TRUE,_xlfn.NORM.S.DIST(Table1[[#This Row],[Birthweight Z-Score (BW-10%)]],TRUE)*100,"")</f>
        <v/>
      </c>
      <c r="L2745" s="7" t="str">
        <f>IF(Table1[[#This Row],[Is Data Valid]]=TRUE,_xlfn.NORM.S.DIST(Table1[[#This Row],[Birthweight Z-Score (BW+10%)]],TRUE)*100,"")</f>
        <v/>
      </c>
    </row>
    <row r="2746" spans="1:12" x14ac:dyDescent="0.35">
      <c r="A2746" s="3"/>
      <c r="B2746" s="2"/>
      <c r="C2746" s="2"/>
      <c r="D2746" s="2" t="b">
        <f>IF(AND(NOT(ISBLANK(Table1[[#This Row],[Fetal Sex (Male, Female or Unknown)]])),ISNUMBER(Table1[[#This Row],[Birthweight (grams)]]),ISNUMBER(Table1[[#This Row],[Gestation (days)]])),TRUE,FALSE)</f>
        <v>0</v>
      </c>
      <c r="E2746" s="2" t="str">
        <f>IF(Table1[[#This Row],[Is Data Valid]]=TRUE,IF(Table1[[#This Row],[Fetal Sex (Male, Female or Unknown)]]="Male",Backend!$C$6,IF(Table1[[#This Row],[Fetal Sex (Male, Female or Unknown)]]="Female",Backend!$C$7,IF(Table1[[#This Row],[Fetal Sex (Male, Female or Unknown)]]="Unknown",Backend!$C$8,"Error"))),"")</f>
        <v/>
      </c>
      <c r="F2746" s="8" t="str">
        <f>IF(Table1[[#This Row],[Is Data Valid]]=TRUE,EXP(0.578+0.332*((Table1[[#This Row],[Gestation (days)]]+0.5)/7)-0.00354*((Table1[[#This Row],[Gestation (days)]]+0.5)/7)^2)*Table1[[#This Row],[BW40_3705]],"")</f>
        <v/>
      </c>
      <c r="G2746" s="2" t="str">
        <f>IF(Table1[[#This Row],[Is Data Valid]]=TRUE,((Table1[[#This Row],[Birthweight (grams)]]/Table1[[#This Row],[BW_GA]])-1)/(Backend!$B$4/100*Table1[[#This Row],[BW40_3705]]),"")</f>
        <v/>
      </c>
      <c r="H2746" s="7" t="str">
        <f>IF(Table1[[#This Row],[Is Data Valid]]=TRUE,((Table1[[#This Row],[Birthweight (grams)]]*0.9/Table1[[#This Row],[BW_GA]])-1)/(Backend!$B$4/100*Table1[[#This Row],[BW40_3705]]),"")</f>
        <v/>
      </c>
      <c r="I2746" s="7" t="str">
        <f>IF(Table1[[#This Row],[Is Data Valid]]=TRUE,((Table1[[#This Row],[Birthweight (grams)]]*1.1/Table1[[#This Row],[BW_GA]])-1)/(Backend!$B$4/100*Table1[[#This Row],[BW40_3705]]),"")</f>
        <v/>
      </c>
      <c r="J2746" s="7" t="str">
        <f>IF(Table1[[#This Row],[Is Data Valid]]=TRUE,_xlfn.NORM.S.DIST(Table1[[#This Row],[Birthweight Z-Score]],TRUE)*100,"")</f>
        <v/>
      </c>
      <c r="K2746" s="7" t="str">
        <f>IF(Table1[[#This Row],[Is Data Valid]]=TRUE,_xlfn.NORM.S.DIST(Table1[[#This Row],[Birthweight Z-Score (BW-10%)]],TRUE)*100,"")</f>
        <v/>
      </c>
      <c r="L2746" s="7" t="str">
        <f>IF(Table1[[#This Row],[Is Data Valid]]=TRUE,_xlfn.NORM.S.DIST(Table1[[#This Row],[Birthweight Z-Score (BW+10%)]],TRUE)*100,"")</f>
        <v/>
      </c>
    </row>
    <row r="2747" spans="1:12" x14ac:dyDescent="0.35">
      <c r="A2747" s="3"/>
      <c r="B2747" s="2"/>
      <c r="C2747" s="2"/>
      <c r="D2747" s="2" t="b">
        <f>IF(AND(NOT(ISBLANK(Table1[[#This Row],[Fetal Sex (Male, Female or Unknown)]])),ISNUMBER(Table1[[#This Row],[Birthweight (grams)]]),ISNUMBER(Table1[[#This Row],[Gestation (days)]])),TRUE,FALSE)</f>
        <v>0</v>
      </c>
      <c r="E2747" s="2" t="str">
        <f>IF(Table1[[#This Row],[Is Data Valid]]=TRUE,IF(Table1[[#This Row],[Fetal Sex (Male, Female or Unknown)]]="Male",Backend!$C$6,IF(Table1[[#This Row],[Fetal Sex (Male, Female or Unknown)]]="Female",Backend!$C$7,IF(Table1[[#This Row],[Fetal Sex (Male, Female or Unknown)]]="Unknown",Backend!$C$8,"Error"))),"")</f>
        <v/>
      </c>
      <c r="F2747" s="8" t="str">
        <f>IF(Table1[[#This Row],[Is Data Valid]]=TRUE,EXP(0.578+0.332*((Table1[[#This Row],[Gestation (days)]]+0.5)/7)-0.00354*((Table1[[#This Row],[Gestation (days)]]+0.5)/7)^2)*Table1[[#This Row],[BW40_3705]],"")</f>
        <v/>
      </c>
      <c r="G2747" s="2" t="str">
        <f>IF(Table1[[#This Row],[Is Data Valid]]=TRUE,((Table1[[#This Row],[Birthweight (grams)]]/Table1[[#This Row],[BW_GA]])-1)/(Backend!$B$4/100*Table1[[#This Row],[BW40_3705]]),"")</f>
        <v/>
      </c>
      <c r="H2747" s="7" t="str">
        <f>IF(Table1[[#This Row],[Is Data Valid]]=TRUE,((Table1[[#This Row],[Birthweight (grams)]]*0.9/Table1[[#This Row],[BW_GA]])-1)/(Backend!$B$4/100*Table1[[#This Row],[BW40_3705]]),"")</f>
        <v/>
      </c>
      <c r="I2747" s="7" t="str">
        <f>IF(Table1[[#This Row],[Is Data Valid]]=TRUE,((Table1[[#This Row],[Birthweight (grams)]]*1.1/Table1[[#This Row],[BW_GA]])-1)/(Backend!$B$4/100*Table1[[#This Row],[BW40_3705]]),"")</f>
        <v/>
      </c>
      <c r="J2747" s="7" t="str">
        <f>IF(Table1[[#This Row],[Is Data Valid]]=TRUE,_xlfn.NORM.S.DIST(Table1[[#This Row],[Birthweight Z-Score]],TRUE)*100,"")</f>
        <v/>
      </c>
      <c r="K2747" s="7" t="str">
        <f>IF(Table1[[#This Row],[Is Data Valid]]=TRUE,_xlfn.NORM.S.DIST(Table1[[#This Row],[Birthweight Z-Score (BW-10%)]],TRUE)*100,"")</f>
        <v/>
      </c>
      <c r="L2747" s="7" t="str">
        <f>IF(Table1[[#This Row],[Is Data Valid]]=TRUE,_xlfn.NORM.S.DIST(Table1[[#This Row],[Birthweight Z-Score (BW+10%)]],TRUE)*100,"")</f>
        <v/>
      </c>
    </row>
    <row r="2748" spans="1:12" x14ac:dyDescent="0.35">
      <c r="A2748" s="3"/>
      <c r="B2748" s="2"/>
      <c r="C2748" s="2"/>
      <c r="D2748" s="2" t="b">
        <f>IF(AND(NOT(ISBLANK(Table1[[#This Row],[Fetal Sex (Male, Female or Unknown)]])),ISNUMBER(Table1[[#This Row],[Birthweight (grams)]]),ISNUMBER(Table1[[#This Row],[Gestation (days)]])),TRUE,FALSE)</f>
        <v>0</v>
      </c>
      <c r="E2748" s="2" t="str">
        <f>IF(Table1[[#This Row],[Is Data Valid]]=TRUE,IF(Table1[[#This Row],[Fetal Sex (Male, Female or Unknown)]]="Male",Backend!$C$6,IF(Table1[[#This Row],[Fetal Sex (Male, Female or Unknown)]]="Female",Backend!$C$7,IF(Table1[[#This Row],[Fetal Sex (Male, Female or Unknown)]]="Unknown",Backend!$C$8,"Error"))),"")</f>
        <v/>
      </c>
      <c r="F2748" s="8" t="str">
        <f>IF(Table1[[#This Row],[Is Data Valid]]=TRUE,EXP(0.578+0.332*((Table1[[#This Row],[Gestation (days)]]+0.5)/7)-0.00354*((Table1[[#This Row],[Gestation (days)]]+0.5)/7)^2)*Table1[[#This Row],[BW40_3705]],"")</f>
        <v/>
      </c>
      <c r="G2748" s="2" t="str">
        <f>IF(Table1[[#This Row],[Is Data Valid]]=TRUE,((Table1[[#This Row],[Birthweight (grams)]]/Table1[[#This Row],[BW_GA]])-1)/(Backend!$B$4/100*Table1[[#This Row],[BW40_3705]]),"")</f>
        <v/>
      </c>
      <c r="H2748" s="7" t="str">
        <f>IF(Table1[[#This Row],[Is Data Valid]]=TRUE,((Table1[[#This Row],[Birthweight (grams)]]*0.9/Table1[[#This Row],[BW_GA]])-1)/(Backend!$B$4/100*Table1[[#This Row],[BW40_3705]]),"")</f>
        <v/>
      </c>
      <c r="I2748" s="7" t="str">
        <f>IF(Table1[[#This Row],[Is Data Valid]]=TRUE,((Table1[[#This Row],[Birthweight (grams)]]*1.1/Table1[[#This Row],[BW_GA]])-1)/(Backend!$B$4/100*Table1[[#This Row],[BW40_3705]]),"")</f>
        <v/>
      </c>
      <c r="J2748" s="7" t="str">
        <f>IF(Table1[[#This Row],[Is Data Valid]]=TRUE,_xlfn.NORM.S.DIST(Table1[[#This Row],[Birthweight Z-Score]],TRUE)*100,"")</f>
        <v/>
      </c>
      <c r="K2748" s="7" t="str">
        <f>IF(Table1[[#This Row],[Is Data Valid]]=TRUE,_xlfn.NORM.S.DIST(Table1[[#This Row],[Birthweight Z-Score (BW-10%)]],TRUE)*100,"")</f>
        <v/>
      </c>
      <c r="L2748" s="7" t="str">
        <f>IF(Table1[[#This Row],[Is Data Valid]]=TRUE,_xlfn.NORM.S.DIST(Table1[[#This Row],[Birthweight Z-Score (BW+10%)]],TRUE)*100,"")</f>
        <v/>
      </c>
    </row>
    <row r="2749" spans="1:12" x14ac:dyDescent="0.35">
      <c r="A2749" s="3"/>
      <c r="B2749" s="2"/>
      <c r="C2749" s="2"/>
      <c r="D2749" s="2" t="b">
        <f>IF(AND(NOT(ISBLANK(Table1[[#This Row],[Fetal Sex (Male, Female or Unknown)]])),ISNUMBER(Table1[[#This Row],[Birthweight (grams)]]),ISNUMBER(Table1[[#This Row],[Gestation (days)]])),TRUE,FALSE)</f>
        <v>0</v>
      </c>
      <c r="E2749" s="2" t="str">
        <f>IF(Table1[[#This Row],[Is Data Valid]]=TRUE,IF(Table1[[#This Row],[Fetal Sex (Male, Female or Unknown)]]="Male",Backend!$C$6,IF(Table1[[#This Row],[Fetal Sex (Male, Female or Unknown)]]="Female",Backend!$C$7,IF(Table1[[#This Row],[Fetal Sex (Male, Female or Unknown)]]="Unknown",Backend!$C$8,"Error"))),"")</f>
        <v/>
      </c>
      <c r="F2749" s="8" t="str">
        <f>IF(Table1[[#This Row],[Is Data Valid]]=TRUE,EXP(0.578+0.332*((Table1[[#This Row],[Gestation (days)]]+0.5)/7)-0.00354*((Table1[[#This Row],[Gestation (days)]]+0.5)/7)^2)*Table1[[#This Row],[BW40_3705]],"")</f>
        <v/>
      </c>
      <c r="G2749" s="2" t="str">
        <f>IF(Table1[[#This Row],[Is Data Valid]]=TRUE,((Table1[[#This Row],[Birthweight (grams)]]/Table1[[#This Row],[BW_GA]])-1)/(Backend!$B$4/100*Table1[[#This Row],[BW40_3705]]),"")</f>
        <v/>
      </c>
      <c r="H2749" s="7" t="str">
        <f>IF(Table1[[#This Row],[Is Data Valid]]=TRUE,((Table1[[#This Row],[Birthweight (grams)]]*0.9/Table1[[#This Row],[BW_GA]])-1)/(Backend!$B$4/100*Table1[[#This Row],[BW40_3705]]),"")</f>
        <v/>
      </c>
      <c r="I2749" s="7" t="str">
        <f>IF(Table1[[#This Row],[Is Data Valid]]=TRUE,((Table1[[#This Row],[Birthweight (grams)]]*1.1/Table1[[#This Row],[BW_GA]])-1)/(Backend!$B$4/100*Table1[[#This Row],[BW40_3705]]),"")</f>
        <v/>
      </c>
      <c r="J2749" s="7" t="str">
        <f>IF(Table1[[#This Row],[Is Data Valid]]=TRUE,_xlfn.NORM.S.DIST(Table1[[#This Row],[Birthweight Z-Score]],TRUE)*100,"")</f>
        <v/>
      </c>
      <c r="K2749" s="7" t="str">
        <f>IF(Table1[[#This Row],[Is Data Valid]]=TRUE,_xlfn.NORM.S.DIST(Table1[[#This Row],[Birthweight Z-Score (BW-10%)]],TRUE)*100,"")</f>
        <v/>
      </c>
      <c r="L2749" s="7" t="str">
        <f>IF(Table1[[#This Row],[Is Data Valid]]=TRUE,_xlfn.NORM.S.DIST(Table1[[#This Row],[Birthweight Z-Score (BW+10%)]],TRUE)*100,"")</f>
        <v/>
      </c>
    </row>
    <row r="2750" spans="1:12" x14ac:dyDescent="0.35">
      <c r="A2750" s="3"/>
      <c r="B2750" s="2"/>
      <c r="C2750" s="2"/>
      <c r="D2750" s="2" t="b">
        <f>IF(AND(NOT(ISBLANK(Table1[[#This Row],[Fetal Sex (Male, Female or Unknown)]])),ISNUMBER(Table1[[#This Row],[Birthweight (grams)]]),ISNUMBER(Table1[[#This Row],[Gestation (days)]])),TRUE,FALSE)</f>
        <v>0</v>
      </c>
      <c r="E2750" s="2" t="str">
        <f>IF(Table1[[#This Row],[Is Data Valid]]=TRUE,IF(Table1[[#This Row],[Fetal Sex (Male, Female or Unknown)]]="Male",Backend!$C$6,IF(Table1[[#This Row],[Fetal Sex (Male, Female or Unknown)]]="Female",Backend!$C$7,IF(Table1[[#This Row],[Fetal Sex (Male, Female or Unknown)]]="Unknown",Backend!$C$8,"Error"))),"")</f>
        <v/>
      </c>
      <c r="F2750" s="8" t="str">
        <f>IF(Table1[[#This Row],[Is Data Valid]]=TRUE,EXP(0.578+0.332*((Table1[[#This Row],[Gestation (days)]]+0.5)/7)-0.00354*((Table1[[#This Row],[Gestation (days)]]+0.5)/7)^2)*Table1[[#This Row],[BW40_3705]],"")</f>
        <v/>
      </c>
      <c r="G2750" s="2" t="str">
        <f>IF(Table1[[#This Row],[Is Data Valid]]=TRUE,((Table1[[#This Row],[Birthweight (grams)]]/Table1[[#This Row],[BW_GA]])-1)/(Backend!$B$4/100*Table1[[#This Row],[BW40_3705]]),"")</f>
        <v/>
      </c>
      <c r="H2750" s="7" t="str">
        <f>IF(Table1[[#This Row],[Is Data Valid]]=TRUE,((Table1[[#This Row],[Birthweight (grams)]]*0.9/Table1[[#This Row],[BW_GA]])-1)/(Backend!$B$4/100*Table1[[#This Row],[BW40_3705]]),"")</f>
        <v/>
      </c>
      <c r="I2750" s="7" t="str">
        <f>IF(Table1[[#This Row],[Is Data Valid]]=TRUE,((Table1[[#This Row],[Birthweight (grams)]]*1.1/Table1[[#This Row],[BW_GA]])-1)/(Backend!$B$4/100*Table1[[#This Row],[BW40_3705]]),"")</f>
        <v/>
      </c>
      <c r="J2750" s="7" t="str">
        <f>IF(Table1[[#This Row],[Is Data Valid]]=TRUE,_xlfn.NORM.S.DIST(Table1[[#This Row],[Birthweight Z-Score]],TRUE)*100,"")</f>
        <v/>
      </c>
      <c r="K2750" s="7" t="str">
        <f>IF(Table1[[#This Row],[Is Data Valid]]=TRUE,_xlfn.NORM.S.DIST(Table1[[#This Row],[Birthweight Z-Score (BW-10%)]],TRUE)*100,"")</f>
        <v/>
      </c>
      <c r="L2750" s="7" t="str">
        <f>IF(Table1[[#This Row],[Is Data Valid]]=TRUE,_xlfn.NORM.S.DIST(Table1[[#This Row],[Birthweight Z-Score (BW+10%)]],TRUE)*100,"")</f>
        <v/>
      </c>
    </row>
    <row r="2751" spans="1:12" x14ac:dyDescent="0.35">
      <c r="A2751" s="3"/>
      <c r="B2751" s="2"/>
      <c r="C2751" s="2"/>
      <c r="D2751" s="2" t="b">
        <f>IF(AND(NOT(ISBLANK(Table1[[#This Row],[Fetal Sex (Male, Female or Unknown)]])),ISNUMBER(Table1[[#This Row],[Birthweight (grams)]]),ISNUMBER(Table1[[#This Row],[Gestation (days)]])),TRUE,FALSE)</f>
        <v>0</v>
      </c>
      <c r="E2751" s="2" t="str">
        <f>IF(Table1[[#This Row],[Is Data Valid]]=TRUE,IF(Table1[[#This Row],[Fetal Sex (Male, Female or Unknown)]]="Male",Backend!$C$6,IF(Table1[[#This Row],[Fetal Sex (Male, Female or Unknown)]]="Female",Backend!$C$7,IF(Table1[[#This Row],[Fetal Sex (Male, Female or Unknown)]]="Unknown",Backend!$C$8,"Error"))),"")</f>
        <v/>
      </c>
      <c r="F2751" s="8" t="str">
        <f>IF(Table1[[#This Row],[Is Data Valid]]=TRUE,EXP(0.578+0.332*((Table1[[#This Row],[Gestation (days)]]+0.5)/7)-0.00354*((Table1[[#This Row],[Gestation (days)]]+0.5)/7)^2)*Table1[[#This Row],[BW40_3705]],"")</f>
        <v/>
      </c>
      <c r="G2751" s="2" t="str">
        <f>IF(Table1[[#This Row],[Is Data Valid]]=TRUE,((Table1[[#This Row],[Birthweight (grams)]]/Table1[[#This Row],[BW_GA]])-1)/(Backend!$B$4/100*Table1[[#This Row],[BW40_3705]]),"")</f>
        <v/>
      </c>
      <c r="H2751" s="7" t="str">
        <f>IF(Table1[[#This Row],[Is Data Valid]]=TRUE,((Table1[[#This Row],[Birthweight (grams)]]*0.9/Table1[[#This Row],[BW_GA]])-1)/(Backend!$B$4/100*Table1[[#This Row],[BW40_3705]]),"")</f>
        <v/>
      </c>
      <c r="I2751" s="7" t="str">
        <f>IF(Table1[[#This Row],[Is Data Valid]]=TRUE,((Table1[[#This Row],[Birthweight (grams)]]*1.1/Table1[[#This Row],[BW_GA]])-1)/(Backend!$B$4/100*Table1[[#This Row],[BW40_3705]]),"")</f>
        <v/>
      </c>
      <c r="J2751" s="7" t="str">
        <f>IF(Table1[[#This Row],[Is Data Valid]]=TRUE,_xlfn.NORM.S.DIST(Table1[[#This Row],[Birthweight Z-Score]],TRUE)*100,"")</f>
        <v/>
      </c>
      <c r="K2751" s="7" t="str">
        <f>IF(Table1[[#This Row],[Is Data Valid]]=TRUE,_xlfn.NORM.S.DIST(Table1[[#This Row],[Birthweight Z-Score (BW-10%)]],TRUE)*100,"")</f>
        <v/>
      </c>
      <c r="L2751" s="7" t="str">
        <f>IF(Table1[[#This Row],[Is Data Valid]]=TRUE,_xlfn.NORM.S.DIST(Table1[[#This Row],[Birthweight Z-Score (BW+10%)]],TRUE)*100,"")</f>
        <v/>
      </c>
    </row>
    <row r="2752" spans="1:12" x14ac:dyDescent="0.35">
      <c r="A2752" s="3"/>
      <c r="B2752" s="2"/>
      <c r="C2752" s="2"/>
      <c r="D2752" s="2" t="b">
        <f>IF(AND(NOT(ISBLANK(Table1[[#This Row],[Fetal Sex (Male, Female or Unknown)]])),ISNUMBER(Table1[[#This Row],[Birthweight (grams)]]),ISNUMBER(Table1[[#This Row],[Gestation (days)]])),TRUE,FALSE)</f>
        <v>0</v>
      </c>
      <c r="E2752" s="2" t="str">
        <f>IF(Table1[[#This Row],[Is Data Valid]]=TRUE,IF(Table1[[#This Row],[Fetal Sex (Male, Female or Unknown)]]="Male",Backend!$C$6,IF(Table1[[#This Row],[Fetal Sex (Male, Female or Unknown)]]="Female",Backend!$C$7,IF(Table1[[#This Row],[Fetal Sex (Male, Female or Unknown)]]="Unknown",Backend!$C$8,"Error"))),"")</f>
        <v/>
      </c>
      <c r="F2752" s="8" t="str">
        <f>IF(Table1[[#This Row],[Is Data Valid]]=TRUE,EXP(0.578+0.332*((Table1[[#This Row],[Gestation (days)]]+0.5)/7)-0.00354*((Table1[[#This Row],[Gestation (days)]]+0.5)/7)^2)*Table1[[#This Row],[BW40_3705]],"")</f>
        <v/>
      </c>
      <c r="G2752" s="2" t="str">
        <f>IF(Table1[[#This Row],[Is Data Valid]]=TRUE,((Table1[[#This Row],[Birthweight (grams)]]/Table1[[#This Row],[BW_GA]])-1)/(Backend!$B$4/100*Table1[[#This Row],[BW40_3705]]),"")</f>
        <v/>
      </c>
      <c r="H2752" s="7" t="str">
        <f>IF(Table1[[#This Row],[Is Data Valid]]=TRUE,((Table1[[#This Row],[Birthweight (grams)]]*0.9/Table1[[#This Row],[BW_GA]])-1)/(Backend!$B$4/100*Table1[[#This Row],[BW40_3705]]),"")</f>
        <v/>
      </c>
      <c r="I2752" s="7" t="str">
        <f>IF(Table1[[#This Row],[Is Data Valid]]=TRUE,((Table1[[#This Row],[Birthweight (grams)]]*1.1/Table1[[#This Row],[BW_GA]])-1)/(Backend!$B$4/100*Table1[[#This Row],[BW40_3705]]),"")</f>
        <v/>
      </c>
      <c r="J2752" s="7" t="str">
        <f>IF(Table1[[#This Row],[Is Data Valid]]=TRUE,_xlfn.NORM.S.DIST(Table1[[#This Row],[Birthweight Z-Score]],TRUE)*100,"")</f>
        <v/>
      </c>
      <c r="K2752" s="7" t="str">
        <f>IF(Table1[[#This Row],[Is Data Valid]]=TRUE,_xlfn.NORM.S.DIST(Table1[[#This Row],[Birthweight Z-Score (BW-10%)]],TRUE)*100,"")</f>
        <v/>
      </c>
      <c r="L2752" s="7" t="str">
        <f>IF(Table1[[#This Row],[Is Data Valid]]=TRUE,_xlfn.NORM.S.DIST(Table1[[#This Row],[Birthweight Z-Score (BW+10%)]],TRUE)*100,"")</f>
        <v/>
      </c>
    </row>
    <row r="2753" spans="1:12" x14ac:dyDescent="0.35">
      <c r="A2753" s="3"/>
      <c r="B2753" s="2"/>
      <c r="C2753" s="2"/>
      <c r="D2753" s="2" t="b">
        <f>IF(AND(NOT(ISBLANK(Table1[[#This Row],[Fetal Sex (Male, Female or Unknown)]])),ISNUMBER(Table1[[#This Row],[Birthweight (grams)]]),ISNUMBER(Table1[[#This Row],[Gestation (days)]])),TRUE,FALSE)</f>
        <v>0</v>
      </c>
      <c r="E2753" s="2" t="str">
        <f>IF(Table1[[#This Row],[Is Data Valid]]=TRUE,IF(Table1[[#This Row],[Fetal Sex (Male, Female or Unknown)]]="Male",Backend!$C$6,IF(Table1[[#This Row],[Fetal Sex (Male, Female or Unknown)]]="Female",Backend!$C$7,IF(Table1[[#This Row],[Fetal Sex (Male, Female or Unknown)]]="Unknown",Backend!$C$8,"Error"))),"")</f>
        <v/>
      </c>
      <c r="F2753" s="8" t="str">
        <f>IF(Table1[[#This Row],[Is Data Valid]]=TRUE,EXP(0.578+0.332*((Table1[[#This Row],[Gestation (days)]]+0.5)/7)-0.00354*((Table1[[#This Row],[Gestation (days)]]+0.5)/7)^2)*Table1[[#This Row],[BW40_3705]],"")</f>
        <v/>
      </c>
      <c r="G2753" s="2" t="str">
        <f>IF(Table1[[#This Row],[Is Data Valid]]=TRUE,((Table1[[#This Row],[Birthweight (grams)]]/Table1[[#This Row],[BW_GA]])-1)/(Backend!$B$4/100*Table1[[#This Row],[BW40_3705]]),"")</f>
        <v/>
      </c>
      <c r="H2753" s="7" t="str">
        <f>IF(Table1[[#This Row],[Is Data Valid]]=TRUE,((Table1[[#This Row],[Birthweight (grams)]]*0.9/Table1[[#This Row],[BW_GA]])-1)/(Backend!$B$4/100*Table1[[#This Row],[BW40_3705]]),"")</f>
        <v/>
      </c>
      <c r="I2753" s="7" t="str">
        <f>IF(Table1[[#This Row],[Is Data Valid]]=TRUE,((Table1[[#This Row],[Birthweight (grams)]]*1.1/Table1[[#This Row],[BW_GA]])-1)/(Backend!$B$4/100*Table1[[#This Row],[BW40_3705]]),"")</f>
        <v/>
      </c>
      <c r="J2753" s="7" t="str">
        <f>IF(Table1[[#This Row],[Is Data Valid]]=TRUE,_xlfn.NORM.S.DIST(Table1[[#This Row],[Birthweight Z-Score]],TRUE)*100,"")</f>
        <v/>
      </c>
      <c r="K2753" s="7" t="str">
        <f>IF(Table1[[#This Row],[Is Data Valid]]=TRUE,_xlfn.NORM.S.DIST(Table1[[#This Row],[Birthweight Z-Score (BW-10%)]],TRUE)*100,"")</f>
        <v/>
      </c>
      <c r="L2753" s="7" t="str">
        <f>IF(Table1[[#This Row],[Is Data Valid]]=TRUE,_xlfn.NORM.S.DIST(Table1[[#This Row],[Birthweight Z-Score (BW+10%)]],TRUE)*100,"")</f>
        <v/>
      </c>
    </row>
    <row r="2754" spans="1:12" x14ac:dyDescent="0.35">
      <c r="A2754" s="3"/>
      <c r="B2754" s="2"/>
      <c r="C2754" s="2"/>
      <c r="D2754" s="2" t="b">
        <f>IF(AND(NOT(ISBLANK(Table1[[#This Row],[Fetal Sex (Male, Female or Unknown)]])),ISNUMBER(Table1[[#This Row],[Birthweight (grams)]]),ISNUMBER(Table1[[#This Row],[Gestation (days)]])),TRUE,FALSE)</f>
        <v>0</v>
      </c>
      <c r="E2754" s="2" t="str">
        <f>IF(Table1[[#This Row],[Is Data Valid]]=TRUE,IF(Table1[[#This Row],[Fetal Sex (Male, Female or Unknown)]]="Male",Backend!$C$6,IF(Table1[[#This Row],[Fetal Sex (Male, Female or Unknown)]]="Female",Backend!$C$7,IF(Table1[[#This Row],[Fetal Sex (Male, Female or Unknown)]]="Unknown",Backend!$C$8,"Error"))),"")</f>
        <v/>
      </c>
      <c r="F2754" s="8" t="str">
        <f>IF(Table1[[#This Row],[Is Data Valid]]=TRUE,EXP(0.578+0.332*((Table1[[#This Row],[Gestation (days)]]+0.5)/7)-0.00354*((Table1[[#This Row],[Gestation (days)]]+0.5)/7)^2)*Table1[[#This Row],[BW40_3705]],"")</f>
        <v/>
      </c>
      <c r="G2754" s="2" t="str">
        <f>IF(Table1[[#This Row],[Is Data Valid]]=TRUE,((Table1[[#This Row],[Birthweight (grams)]]/Table1[[#This Row],[BW_GA]])-1)/(Backend!$B$4/100*Table1[[#This Row],[BW40_3705]]),"")</f>
        <v/>
      </c>
      <c r="H2754" s="7" t="str">
        <f>IF(Table1[[#This Row],[Is Data Valid]]=TRUE,((Table1[[#This Row],[Birthweight (grams)]]*0.9/Table1[[#This Row],[BW_GA]])-1)/(Backend!$B$4/100*Table1[[#This Row],[BW40_3705]]),"")</f>
        <v/>
      </c>
      <c r="I2754" s="7" t="str">
        <f>IF(Table1[[#This Row],[Is Data Valid]]=TRUE,((Table1[[#This Row],[Birthweight (grams)]]*1.1/Table1[[#This Row],[BW_GA]])-1)/(Backend!$B$4/100*Table1[[#This Row],[BW40_3705]]),"")</f>
        <v/>
      </c>
      <c r="J2754" s="7" t="str">
        <f>IF(Table1[[#This Row],[Is Data Valid]]=TRUE,_xlfn.NORM.S.DIST(Table1[[#This Row],[Birthweight Z-Score]],TRUE)*100,"")</f>
        <v/>
      </c>
      <c r="K2754" s="7" t="str">
        <f>IF(Table1[[#This Row],[Is Data Valid]]=TRUE,_xlfn.NORM.S.DIST(Table1[[#This Row],[Birthweight Z-Score (BW-10%)]],TRUE)*100,"")</f>
        <v/>
      </c>
      <c r="L2754" s="7" t="str">
        <f>IF(Table1[[#This Row],[Is Data Valid]]=TRUE,_xlfn.NORM.S.DIST(Table1[[#This Row],[Birthweight Z-Score (BW+10%)]],TRUE)*100,"")</f>
        <v/>
      </c>
    </row>
    <row r="2755" spans="1:12" x14ac:dyDescent="0.35">
      <c r="A2755" s="3"/>
      <c r="B2755" s="2"/>
      <c r="C2755" s="2"/>
      <c r="D2755" s="2" t="b">
        <f>IF(AND(NOT(ISBLANK(Table1[[#This Row],[Fetal Sex (Male, Female or Unknown)]])),ISNUMBER(Table1[[#This Row],[Birthweight (grams)]]),ISNUMBER(Table1[[#This Row],[Gestation (days)]])),TRUE,FALSE)</f>
        <v>0</v>
      </c>
      <c r="E2755" s="2" t="str">
        <f>IF(Table1[[#This Row],[Is Data Valid]]=TRUE,IF(Table1[[#This Row],[Fetal Sex (Male, Female or Unknown)]]="Male",Backend!$C$6,IF(Table1[[#This Row],[Fetal Sex (Male, Female or Unknown)]]="Female",Backend!$C$7,IF(Table1[[#This Row],[Fetal Sex (Male, Female or Unknown)]]="Unknown",Backend!$C$8,"Error"))),"")</f>
        <v/>
      </c>
      <c r="F2755" s="8" t="str">
        <f>IF(Table1[[#This Row],[Is Data Valid]]=TRUE,EXP(0.578+0.332*((Table1[[#This Row],[Gestation (days)]]+0.5)/7)-0.00354*((Table1[[#This Row],[Gestation (days)]]+0.5)/7)^2)*Table1[[#This Row],[BW40_3705]],"")</f>
        <v/>
      </c>
      <c r="G2755" s="2" t="str">
        <f>IF(Table1[[#This Row],[Is Data Valid]]=TRUE,((Table1[[#This Row],[Birthweight (grams)]]/Table1[[#This Row],[BW_GA]])-1)/(Backend!$B$4/100*Table1[[#This Row],[BW40_3705]]),"")</f>
        <v/>
      </c>
      <c r="H2755" s="7" t="str">
        <f>IF(Table1[[#This Row],[Is Data Valid]]=TRUE,((Table1[[#This Row],[Birthweight (grams)]]*0.9/Table1[[#This Row],[BW_GA]])-1)/(Backend!$B$4/100*Table1[[#This Row],[BW40_3705]]),"")</f>
        <v/>
      </c>
      <c r="I2755" s="7" t="str">
        <f>IF(Table1[[#This Row],[Is Data Valid]]=TRUE,((Table1[[#This Row],[Birthweight (grams)]]*1.1/Table1[[#This Row],[BW_GA]])-1)/(Backend!$B$4/100*Table1[[#This Row],[BW40_3705]]),"")</f>
        <v/>
      </c>
      <c r="J2755" s="7" t="str">
        <f>IF(Table1[[#This Row],[Is Data Valid]]=TRUE,_xlfn.NORM.S.DIST(Table1[[#This Row],[Birthweight Z-Score]],TRUE)*100,"")</f>
        <v/>
      </c>
      <c r="K2755" s="7" t="str">
        <f>IF(Table1[[#This Row],[Is Data Valid]]=TRUE,_xlfn.NORM.S.DIST(Table1[[#This Row],[Birthweight Z-Score (BW-10%)]],TRUE)*100,"")</f>
        <v/>
      </c>
      <c r="L2755" s="7" t="str">
        <f>IF(Table1[[#This Row],[Is Data Valid]]=TRUE,_xlfn.NORM.S.DIST(Table1[[#This Row],[Birthweight Z-Score (BW+10%)]],TRUE)*100,"")</f>
        <v/>
      </c>
    </row>
    <row r="2756" spans="1:12" x14ac:dyDescent="0.35">
      <c r="A2756" s="3"/>
      <c r="B2756" s="2"/>
      <c r="C2756" s="2"/>
      <c r="D2756" s="2" t="b">
        <f>IF(AND(NOT(ISBLANK(Table1[[#This Row],[Fetal Sex (Male, Female or Unknown)]])),ISNUMBER(Table1[[#This Row],[Birthweight (grams)]]),ISNUMBER(Table1[[#This Row],[Gestation (days)]])),TRUE,FALSE)</f>
        <v>0</v>
      </c>
      <c r="E2756" s="2" t="str">
        <f>IF(Table1[[#This Row],[Is Data Valid]]=TRUE,IF(Table1[[#This Row],[Fetal Sex (Male, Female or Unknown)]]="Male",Backend!$C$6,IF(Table1[[#This Row],[Fetal Sex (Male, Female or Unknown)]]="Female",Backend!$C$7,IF(Table1[[#This Row],[Fetal Sex (Male, Female or Unknown)]]="Unknown",Backend!$C$8,"Error"))),"")</f>
        <v/>
      </c>
      <c r="F2756" s="8" t="str">
        <f>IF(Table1[[#This Row],[Is Data Valid]]=TRUE,EXP(0.578+0.332*((Table1[[#This Row],[Gestation (days)]]+0.5)/7)-0.00354*((Table1[[#This Row],[Gestation (days)]]+0.5)/7)^2)*Table1[[#This Row],[BW40_3705]],"")</f>
        <v/>
      </c>
      <c r="G2756" s="2" t="str">
        <f>IF(Table1[[#This Row],[Is Data Valid]]=TRUE,((Table1[[#This Row],[Birthweight (grams)]]/Table1[[#This Row],[BW_GA]])-1)/(Backend!$B$4/100*Table1[[#This Row],[BW40_3705]]),"")</f>
        <v/>
      </c>
      <c r="H2756" s="7" t="str">
        <f>IF(Table1[[#This Row],[Is Data Valid]]=TRUE,((Table1[[#This Row],[Birthweight (grams)]]*0.9/Table1[[#This Row],[BW_GA]])-1)/(Backend!$B$4/100*Table1[[#This Row],[BW40_3705]]),"")</f>
        <v/>
      </c>
      <c r="I2756" s="7" t="str">
        <f>IF(Table1[[#This Row],[Is Data Valid]]=TRUE,((Table1[[#This Row],[Birthweight (grams)]]*1.1/Table1[[#This Row],[BW_GA]])-1)/(Backend!$B$4/100*Table1[[#This Row],[BW40_3705]]),"")</f>
        <v/>
      </c>
      <c r="J2756" s="7" t="str">
        <f>IF(Table1[[#This Row],[Is Data Valid]]=TRUE,_xlfn.NORM.S.DIST(Table1[[#This Row],[Birthweight Z-Score]],TRUE)*100,"")</f>
        <v/>
      </c>
      <c r="K2756" s="7" t="str">
        <f>IF(Table1[[#This Row],[Is Data Valid]]=TRUE,_xlfn.NORM.S.DIST(Table1[[#This Row],[Birthweight Z-Score (BW-10%)]],TRUE)*100,"")</f>
        <v/>
      </c>
      <c r="L2756" s="7" t="str">
        <f>IF(Table1[[#This Row],[Is Data Valid]]=TRUE,_xlfn.NORM.S.DIST(Table1[[#This Row],[Birthweight Z-Score (BW+10%)]],TRUE)*100,"")</f>
        <v/>
      </c>
    </row>
    <row r="2757" spans="1:12" x14ac:dyDescent="0.35">
      <c r="A2757" s="3"/>
      <c r="B2757" s="2"/>
      <c r="C2757" s="2"/>
      <c r="D2757" s="2" t="b">
        <f>IF(AND(NOT(ISBLANK(Table1[[#This Row],[Fetal Sex (Male, Female or Unknown)]])),ISNUMBER(Table1[[#This Row],[Birthweight (grams)]]),ISNUMBER(Table1[[#This Row],[Gestation (days)]])),TRUE,FALSE)</f>
        <v>0</v>
      </c>
      <c r="E2757" s="2" t="str">
        <f>IF(Table1[[#This Row],[Is Data Valid]]=TRUE,IF(Table1[[#This Row],[Fetal Sex (Male, Female or Unknown)]]="Male",Backend!$C$6,IF(Table1[[#This Row],[Fetal Sex (Male, Female or Unknown)]]="Female",Backend!$C$7,IF(Table1[[#This Row],[Fetal Sex (Male, Female or Unknown)]]="Unknown",Backend!$C$8,"Error"))),"")</f>
        <v/>
      </c>
      <c r="F2757" s="8" t="str">
        <f>IF(Table1[[#This Row],[Is Data Valid]]=TRUE,EXP(0.578+0.332*((Table1[[#This Row],[Gestation (days)]]+0.5)/7)-0.00354*((Table1[[#This Row],[Gestation (days)]]+0.5)/7)^2)*Table1[[#This Row],[BW40_3705]],"")</f>
        <v/>
      </c>
      <c r="G2757" s="2" t="str">
        <f>IF(Table1[[#This Row],[Is Data Valid]]=TRUE,((Table1[[#This Row],[Birthweight (grams)]]/Table1[[#This Row],[BW_GA]])-1)/(Backend!$B$4/100*Table1[[#This Row],[BW40_3705]]),"")</f>
        <v/>
      </c>
      <c r="H2757" s="7" t="str">
        <f>IF(Table1[[#This Row],[Is Data Valid]]=TRUE,((Table1[[#This Row],[Birthweight (grams)]]*0.9/Table1[[#This Row],[BW_GA]])-1)/(Backend!$B$4/100*Table1[[#This Row],[BW40_3705]]),"")</f>
        <v/>
      </c>
      <c r="I2757" s="7" t="str">
        <f>IF(Table1[[#This Row],[Is Data Valid]]=TRUE,((Table1[[#This Row],[Birthweight (grams)]]*1.1/Table1[[#This Row],[BW_GA]])-1)/(Backend!$B$4/100*Table1[[#This Row],[BW40_3705]]),"")</f>
        <v/>
      </c>
      <c r="J2757" s="7" t="str">
        <f>IF(Table1[[#This Row],[Is Data Valid]]=TRUE,_xlfn.NORM.S.DIST(Table1[[#This Row],[Birthweight Z-Score]],TRUE)*100,"")</f>
        <v/>
      </c>
      <c r="K2757" s="7" t="str">
        <f>IF(Table1[[#This Row],[Is Data Valid]]=TRUE,_xlfn.NORM.S.DIST(Table1[[#This Row],[Birthweight Z-Score (BW-10%)]],TRUE)*100,"")</f>
        <v/>
      </c>
      <c r="L2757" s="7" t="str">
        <f>IF(Table1[[#This Row],[Is Data Valid]]=TRUE,_xlfn.NORM.S.DIST(Table1[[#This Row],[Birthweight Z-Score (BW+10%)]],TRUE)*100,"")</f>
        <v/>
      </c>
    </row>
    <row r="2758" spans="1:12" x14ac:dyDescent="0.35">
      <c r="A2758" s="3"/>
      <c r="B2758" s="2"/>
      <c r="C2758" s="2"/>
      <c r="D2758" s="2" t="b">
        <f>IF(AND(NOT(ISBLANK(Table1[[#This Row],[Fetal Sex (Male, Female or Unknown)]])),ISNUMBER(Table1[[#This Row],[Birthweight (grams)]]),ISNUMBER(Table1[[#This Row],[Gestation (days)]])),TRUE,FALSE)</f>
        <v>0</v>
      </c>
      <c r="E2758" s="2" t="str">
        <f>IF(Table1[[#This Row],[Is Data Valid]]=TRUE,IF(Table1[[#This Row],[Fetal Sex (Male, Female or Unknown)]]="Male",Backend!$C$6,IF(Table1[[#This Row],[Fetal Sex (Male, Female or Unknown)]]="Female",Backend!$C$7,IF(Table1[[#This Row],[Fetal Sex (Male, Female or Unknown)]]="Unknown",Backend!$C$8,"Error"))),"")</f>
        <v/>
      </c>
      <c r="F2758" s="8" t="str">
        <f>IF(Table1[[#This Row],[Is Data Valid]]=TRUE,EXP(0.578+0.332*((Table1[[#This Row],[Gestation (days)]]+0.5)/7)-0.00354*((Table1[[#This Row],[Gestation (days)]]+0.5)/7)^2)*Table1[[#This Row],[BW40_3705]],"")</f>
        <v/>
      </c>
      <c r="G2758" s="2" t="str">
        <f>IF(Table1[[#This Row],[Is Data Valid]]=TRUE,((Table1[[#This Row],[Birthweight (grams)]]/Table1[[#This Row],[BW_GA]])-1)/(Backend!$B$4/100*Table1[[#This Row],[BW40_3705]]),"")</f>
        <v/>
      </c>
      <c r="H2758" s="7" t="str">
        <f>IF(Table1[[#This Row],[Is Data Valid]]=TRUE,((Table1[[#This Row],[Birthweight (grams)]]*0.9/Table1[[#This Row],[BW_GA]])-1)/(Backend!$B$4/100*Table1[[#This Row],[BW40_3705]]),"")</f>
        <v/>
      </c>
      <c r="I2758" s="7" t="str">
        <f>IF(Table1[[#This Row],[Is Data Valid]]=TRUE,((Table1[[#This Row],[Birthweight (grams)]]*1.1/Table1[[#This Row],[BW_GA]])-1)/(Backend!$B$4/100*Table1[[#This Row],[BW40_3705]]),"")</f>
        <v/>
      </c>
      <c r="J2758" s="7" t="str">
        <f>IF(Table1[[#This Row],[Is Data Valid]]=TRUE,_xlfn.NORM.S.DIST(Table1[[#This Row],[Birthweight Z-Score]],TRUE)*100,"")</f>
        <v/>
      </c>
      <c r="K2758" s="7" t="str">
        <f>IF(Table1[[#This Row],[Is Data Valid]]=TRUE,_xlfn.NORM.S.DIST(Table1[[#This Row],[Birthweight Z-Score (BW-10%)]],TRUE)*100,"")</f>
        <v/>
      </c>
      <c r="L2758" s="7" t="str">
        <f>IF(Table1[[#This Row],[Is Data Valid]]=TRUE,_xlfn.NORM.S.DIST(Table1[[#This Row],[Birthweight Z-Score (BW+10%)]],TRUE)*100,"")</f>
        <v/>
      </c>
    </row>
    <row r="2759" spans="1:12" x14ac:dyDescent="0.35">
      <c r="A2759" s="3"/>
      <c r="B2759" s="2"/>
      <c r="C2759" s="2"/>
      <c r="D2759" s="2" t="b">
        <f>IF(AND(NOT(ISBLANK(Table1[[#This Row],[Fetal Sex (Male, Female or Unknown)]])),ISNUMBER(Table1[[#This Row],[Birthweight (grams)]]),ISNUMBER(Table1[[#This Row],[Gestation (days)]])),TRUE,FALSE)</f>
        <v>0</v>
      </c>
      <c r="E2759" s="2" t="str">
        <f>IF(Table1[[#This Row],[Is Data Valid]]=TRUE,IF(Table1[[#This Row],[Fetal Sex (Male, Female or Unknown)]]="Male",Backend!$C$6,IF(Table1[[#This Row],[Fetal Sex (Male, Female or Unknown)]]="Female",Backend!$C$7,IF(Table1[[#This Row],[Fetal Sex (Male, Female or Unknown)]]="Unknown",Backend!$C$8,"Error"))),"")</f>
        <v/>
      </c>
      <c r="F2759" s="8" t="str">
        <f>IF(Table1[[#This Row],[Is Data Valid]]=TRUE,EXP(0.578+0.332*((Table1[[#This Row],[Gestation (days)]]+0.5)/7)-0.00354*((Table1[[#This Row],[Gestation (days)]]+0.5)/7)^2)*Table1[[#This Row],[BW40_3705]],"")</f>
        <v/>
      </c>
      <c r="G2759" s="2" t="str">
        <f>IF(Table1[[#This Row],[Is Data Valid]]=TRUE,((Table1[[#This Row],[Birthweight (grams)]]/Table1[[#This Row],[BW_GA]])-1)/(Backend!$B$4/100*Table1[[#This Row],[BW40_3705]]),"")</f>
        <v/>
      </c>
      <c r="H2759" s="7" t="str">
        <f>IF(Table1[[#This Row],[Is Data Valid]]=TRUE,((Table1[[#This Row],[Birthweight (grams)]]*0.9/Table1[[#This Row],[BW_GA]])-1)/(Backend!$B$4/100*Table1[[#This Row],[BW40_3705]]),"")</f>
        <v/>
      </c>
      <c r="I2759" s="7" t="str">
        <f>IF(Table1[[#This Row],[Is Data Valid]]=TRUE,((Table1[[#This Row],[Birthweight (grams)]]*1.1/Table1[[#This Row],[BW_GA]])-1)/(Backend!$B$4/100*Table1[[#This Row],[BW40_3705]]),"")</f>
        <v/>
      </c>
      <c r="J2759" s="7" t="str">
        <f>IF(Table1[[#This Row],[Is Data Valid]]=TRUE,_xlfn.NORM.S.DIST(Table1[[#This Row],[Birthweight Z-Score]],TRUE)*100,"")</f>
        <v/>
      </c>
      <c r="K2759" s="7" t="str">
        <f>IF(Table1[[#This Row],[Is Data Valid]]=TRUE,_xlfn.NORM.S.DIST(Table1[[#This Row],[Birthweight Z-Score (BW-10%)]],TRUE)*100,"")</f>
        <v/>
      </c>
      <c r="L2759" s="7" t="str">
        <f>IF(Table1[[#This Row],[Is Data Valid]]=TRUE,_xlfn.NORM.S.DIST(Table1[[#This Row],[Birthweight Z-Score (BW+10%)]],TRUE)*100,"")</f>
        <v/>
      </c>
    </row>
    <row r="2760" spans="1:12" x14ac:dyDescent="0.35">
      <c r="A2760" s="3"/>
      <c r="B2760" s="2"/>
      <c r="C2760" s="2"/>
      <c r="D2760" s="2" t="b">
        <f>IF(AND(NOT(ISBLANK(Table1[[#This Row],[Fetal Sex (Male, Female or Unknown)]])),ISNUMBER(Table1[[#This Row],[Birthweight (grams)]]),ISNUMBER(Table1[[#This Row],[Gestation (days)]])),TRUE,FALSE)</f>
        <v>0</v>
      </c>
      <c r="E2760" s="2" t="str">
        <f>IF(Table1[[#This Row],[Is Data Valid]]=TRUE,IF(Table1[[#This Row],[Fetal Sex (Male, Female or Unknown)]]="Male",Backend!$C$6,IF(Table1[[#This Row],[Fetal Sex (Male, Female or Unknown)]]="Female",Backend!$C$7,IF(Table1[[#This Row],[Fetal Sex (Male, Female or Unknown)]]="Unknown",Backend!$C$8,"Error"))),"")</f>
        <v/>
      </c>
      <c r="F2760" s="8" t="str">
        <f>IF(Table1[[#This Row],[Is Data Valid]]=TRUE,EXP(0.578+0.332*((Table1[[#This Row],[Gestation (days)]]+0.5)/7)-0.00354*((Table1[[#This Row],[Gestation (days)]]+0.5)/7)^2)*Table1[[#This Row],[BW40_3705]],"")</f>
        <v/>
      </c>
      <c r="G2760" s="2" t="str">
        <f>IF(Table1[[#This Row],[Is Data Valid]]=TRUE,((Table1[[#This Row],[Birthweight (grams)]]/Table1[[#This Row],[BW_GA]])-1)/(Backend!$B$4/100*Table1[[#This Row],[BW40_3705]]),"")</f>
        <v/>
      </c>
      <c r="H2760" s="7" t="str">
        <f>IF(Table1[[#This Row],[Is Data Valid]]=TRUE,((Table1[[#This Row],[Birthweight (grams)]]*0.9/Table1[[#This Row],[BW_GA]])-1)/(Backend!$B$4/100*Table1[[#This Row],[BW40_3705]]),"")</f>
        <v/>
      </c>
      <c r="I2760" s="7" t="str">
        <f>IF(Table1[[#This Row],[Is Data Valid]]=TRUE,((Table1[[#This Row],[Birthweight (grams)]]*1.1/Table1[[#This Row],[BW_GA]])-1)/(Backend!$B$4/100*Table1[[#This Row],[BW40_3705]]),"")</f>
        <v/>
      </c>
      <c r="J2760" s="7" t="str">
        <f>IF(Table1[[#This Row],[Is Data Valid]]=TRUE,_xlfn.NORM.S.DIST(Table1[[#This Row],[Birthweight Z-Score]],TRUE)*100,"")</f>
        <v/>
      </c>
      <c r="K2760" s="7" t="str">
        <f>IF(Table1[[#This Row],[Is Data Valid]]=TRUE,_xlfn.NORM.S.DIST(Table1[[#This Row],[Birthweight Z-Score (BW-10%)]],TRUE)*100,"")</f>
        <v/>
      </c>
      <c r="L2760" s="7" t="str">
        <f>IF(Table1[[#This Row],[Is Data Valid]]=TRUE,_xlfn.NORM.S.DIST(Table1[[#This Row],[Birthweight Z-Score (BW+10%)]],TRUE)*100,"")</f>
        <v/>
      </c>
    </row>
    <row r="2761" spans="1:12" x14ac:dyDescent="0.35">
      <c r="A2761" s="3"/>
      <c r="B2761" s="2"/>
      <c r="C2761" s="2"/>
      <c r="D2761" s="2" t="b">
        <f>IF(AND(NOT(ISBLANK(Table1[[#This Row],[Fetal Sex (Male, Female or Unknown)]])),ISNUMBER(Table1[[#This Row],[Birthweight (grams)]]),ISNUMBER(Table1[[#This Row],[Gestation (days)]])),TRUE,FALSE)</f>
        <v>0</v>
      </c>
      <c r="E2761" s="2" t="str">
        <f>IF(Table1[[#This Row],[Is Data Valid]]=TRUE,IF(Table1[[#This Row],[Fetal Sex (Male, Female or Unknown)]]="Male",Backend!$C$6,IF(Table1[[#This Row],[Fetal Sex (Male, Female or Unknown)]]="Female",Backend!$C$7,IF(Table1[[#This Row],[Fetal Sex (Male, Female or Unknown)]]="Unknown",Backend!$C$8,"Error"))),"")</f>
        <v/>
      </c>
      <c r="F2761" s="8" t="str">
        <f>IF(Table1[[#This Row],[Is Data Valid]]=TRUE,EXP(0.578+0.332*((Table1[[#This Row],[Gestation (days)]]+0.5)/7)-0.00354*((Table1[[#This Row],[Gestation (days)]]+0.5)/7)^2)*Table1[[#This Row],[BW40_3705]],"")</f>
        <v/>
      </c>
      <c r="G2761" s="2" t="str">
        <f>IF(Table1[[#This Row],[Is Data Valid]]=TRUE,((Table1[[#This Row],[Birthweight (grams)]]/Table1[[#This Row],[BW_GA]])-1)/(Backend!$B$4/100*Table1[[#This Row],[BW40_3705]]),"")</f>
        <v/>
      </c>
      <c r="H2761" s="7" t="str">
        <f>IF(Table1[[#This Row],[Is Data Valid]]=TRUE,((Table1[[#This Row],[Birthweight (grams)]]*0.9/Table1[[#This Row],[BW_GA]])-1)/(Backend!$B$4/100*Table1[[#This Row],[BW40_3705]]),"")</f>
        <v/>
      </c>
      <c r="I2761" s="7" t="str">
        <f>IF(Table1[[#This Row],[Is Data Valid]]=TRUE,((Table1[[#This Row],[Birthweight (grams)]]*1.1/Table1[[#This Row],[BW_GA]])-1)/(Backend!$B$4/100*Table1[[#This Row],[BW40_3705]]),"")</f>
        <v/>
      </c>
      <c r="J2761" s="7" t="str">
        <f>IF(Table1[[#This Row],[Is Data Valid]]=TRUE,_xlfn.NORM.S.DIST(Table1[[#This Row],[Birthweight Z-Score]],TRUE)*100,"")</f>
        <v/>
      </c>
      <c r="K2761" s="7" t="str">
        <f>IF(Table1[[#This Row],[Is Data Valid]]=TRUE,_xlfn.NORM.S.DIST(Table1[[#This Row],[Birthweight Z-Score (BW-10%)]],TRUE)*100,"")</f>
        <v/>
      </c>
      <c r="L2761" s="7" t="str">
        <f>IF(Table1[[#This Row],[Is Data Valid]]=TRUE,_xlfn.NORM.S.DIST(Table1[[#This Row],[Birthweight Z-Score (BW+10%)]],TRUE)*100,"")</f>
        <v/>
      </c>
    </row>
    <row r="2762" spans="1:12" x14ac:dyDescent="0.35">
      <c r="A2762" s="3"/>
      <c r="B2762" s="2"/>
      <c r="C2762" s="2"/>
      <c r="D2762" s="2" t="b">
        <f>IF(AND(NOT(ISBLANK(Table1[[#This Row],[Fetal Sex (Male, Female or Unknown)]])),ISNUMBER(Table1[[#This Row],[Birthweight (grams)]]),ISNUMBER(Table1[[#This Row],[Gestation (days)]])),TRUE,FALSE)</f>
        <v>0</v>
      </c>
      <c r="E2762" s="2" t="str">
        <f>IF(Table1[[#This Row],[Is Data Valid]]=TRUE,IF(Table1[[#This Row],[Fetal Sex (Male, Female or Unknown)]]="Male",Backend!$C$6,IF(Table1[[#This Row],[Fetal Sex (Male, Female or Unknown)]]="Female",Backend!$C$7,IF(Table1[[#This Row],[Fetal Sex (Male, Female or Unknown)]]="Unknown",Backend!$C$8,"Error"))),"")</f>
        <v/>
      </c>
      <c r="F2762" s="8" t="str">
        <f>IF(Table1[[#This Row],[Is Data Valid]]=TRUE,EXP(0.578+0.332*((Table1[[#This Row],[Gestation (days)]]+0.5)/7)-0.00354*((Table1[[#This Row],[Gestation (days)]]+0.5)/7)^2)*Table1[[#This Row],[BW40_3705]],"")</f>
        <v/>
      </c>
      <c r="G2762" s="2" t="str">
        <f>IF(Table1[[#This Row],[Is Data Valid]]=TRUE,((Table1[[#This Row],[Birthweight (grams)]]/Table1[[#This Row],[BW_GA]])-1)/(Backend!$B$4/100*Table1[[#This Row],[BW40_3705]]),"")</f>
        <v/>
      </c>
      <c r="H2762" s="7" t="str">
        <f>IF(Table1[[#This Row],[Is Data Valid]]=TRUE,((Table1[[#This Row],[Birthweight (grams)]]*0.9/Table1[[#This Row],[BW_GA]])-1)/(Backend!$B$4/100*Table1[[#This Row],[BW40_3705]]),"")</f>
        <v/>
      </c>
      <c r="I2762" s="7" t="str">
        <f>IF(Table1[[#This Row],[Is Data Valid]]=TRUE,((Table1[[#This Row],[Birthweight (grams)]]*1.1/Table1[[#This Row],[BW_GA]])-1)/(Backend!$B$4/100*Table1[[#This Row],[BW40_3705]]),"")</f>
        <v/>
      </c>
      <c r="J2762" s="7" t="str">
        <f>IF(Table1[[#This Row],[Is Data Valid]]=TRUE,_xlfn.NORM.S.DIST(Table1[[#This Row],[Birthweight Z-Score]],TRUE)*100,"")</f>
        <v/>
      </c>
      <c r="K2762" s="7" t="str">
        <f>IF(Table1[[#This Row],[Is Data Valid]]=TRUE,_xlfn.NORM.S.DIST(Table1[[#This Row],[Birthweight Z-Score (BW-10%)]],TRUE)*100,"")</f>
        <v/>
      </c>
      <c r="L2762" s="7" t="str">
        <f>IF(Table1[[#This Row],[Is Data Valid]]=TRUE,_xlfn.NORM.S.DIST(Table1[[#This Row],[Birthweight Z-Score (BW+10%)]],TRUE)*100,"")</f>
        <v/>
      </c>
    </row>
    <row r="2763" spans="1:12" x14ac:dyDescent="0.35">
      <c r="A2763" s="3"/>
      <c r="B2763" s="2"/>
      <c r="C2763" s="2"/>
      <c r="D2763" s="2" t="b">
        <f>IF(AND(NOT(ISBLANK(Table1[[#This Row],[Fetal Sex (Male, Female or Unknown)]])),ISNUMBER(Table1[[#This Row],[Birthweight (grams)]]),ISNUMBER(Table1[[#This Row],[Gestation (days)]])),TRUE,FALSE)</f>
        <v>0</v>
      </c>
      <c r="E2763" s="2" t="str">
        <f>IF(Table1[[#This Row],[Is Data Valid]]=TRUE,IF(Table1[[#This Row],[Fetal Sex (Male, Female or Unknown)]]="Male",Backend!$C$6,IF(Table1[[#This Row],[Fetal Sex (Male, Female or Unknown)]]="Female",Backend!$C$7,IF(Table1[[#This Row],[Fetal Sex (Male, Female or Unknown)]]="Unknown",Backend!$C$8,"Error"))),"")</f>
        <v/>
      </c>
      <c r="F2763" s="8" t="str">
        <f>IF(Table1[[#This Row],[Is Data Valid]]=TRUE,EXP(0.578+0.332*((Table1[[#This Row],[Gestation (days)]]+0.5)/7)-0.00354*((Table1[[#This Row],[Gestation (days)]]+0.5)/7)^2)*Table1[[#This Row],[BW40_3705]],"")</f>
        <v/>
      </c>
      <c r="G2763" s="2" t="str">
        <f>IF(Table1[[#This Row],[Is Data Valid]]=TRUE,((Table1[[#This Row],[Birthweight (grams)]]/Table1[[#This Row],[BW_GA]])-1)/(Backend!$B$4/100*Table1[[#This Row],[BW40_3705]]),"")</f>
        <v/>
      </c>
      <c r="H2763" s="7" t="str">
        <f>IF(Table1[[#This Row],[Is Data Valid]]=TRUE,((Table1[[#This Row],[Birthweight (grams)]]*0.9/Table1[[#This Row],[BW_GA]])-1)/(Backend!$B$4/100*Table1[[#This Row],[BW40_3705]]),"")</f>
        <v/>
      </c>
      <c r="I2763" s="7" t="str">
        <f>IF(Table1[[#This Row],[Is Data Valid]]=TRUE,((Table1[[#This Row],[Birthweight (grams)]]*1.1/Table1[[#This Row],[BW_GA]])-1)/(Backend!$B$4/100*Table1[[#This Row],[BW40_3705]]),"")</f>
        <v/>
      </c>
      <c r="J2763" s="7" t="str">
        <f>IF(Table1[[#This Row],[Is Data Valid]]=TRUE,_xlfn.NORM.S.DIST(Table1[[#This Row],[Birthweight Z-Score]],TRUE)*100,"")</f>
        <v/>
      </c>
      <c r="K2763" s="7" t="str">
        <f>IF(Table1[[#This Row],[Is Data Valid]]=TRUE,_xlfn.NORM.S.DIST(Table1[[#This Row],[Birthweight Z-Score (BW-10%)]],TRUE)*100,"")</f>
        <v/>
      </c>
      <c r="L2763" s="7" t="str">
        <f>IF(Table1[[#This Row],[Is Data Valid]]=TRUE,_xlfn.NORM.S.DIST(Table1[[#This Row],[Birthweight Z-Score (BW+10%)]],TRUE)*100,"")</f>
        <v/>
      </c>
    </row>
    <row r="2764" spans="1:12" x14ac:dyDescent="0.35">
      <c r="A2764" s="3"/>
      <c r="B2764" s="2"/>
      <c r="C2764" s="2"/>
      <c r="D2764" s="2" t="b">
        <f>IF(AND(NOT(ISBLANK(Table1[[#This Row],[Fetal Sex (Male, Female or Unknown)]])),ISNUMBER(Table1[[#This Row],[Birthweight (grams)]]),ISNUMBER(Table1[[#This Row],[Gestation (days)]])),TRUE,FALSE)</f>
        <v>0</v>
      </c>
      <c r="E2764" s="2" t="str">
        <f>IF(Table1[[#This Row],[Is Data Valid]]=TRUE,IF(Table1[[#This Row],[Fetal Sex (Male, Female or Unknown)]]="Male",Backend!$C$6,IF(Table1[[#This Row],[Fetal Sex (Male, Female or Unknown)]]="Female",Backend!$C$7,IF(Table1[[#This Row],[Fetal Sex (Male, Female or Unknown)]]="Unknown",Backend!$C$8,"Error"))),"")</f>
        <v/>
      </c>
      <c r="F2764" s="8" t="str">
        <f>IF(Table1[[#This Row],[Is Data Valid]]=TRUE,EXP(0.578+0.332*((Table1[[#This Row],[Gestation (days)]]+0.5)/7)-0.00354*((Table1[[#This Row],[Gestation (days)]]+0.5)/7)^2)*Table1[[#This Row],[BW40_3705]],"")</f>
        <v/>
      </c>
      <c r="G2764" s="2" t="str">
        <f>IF(Table1[[#This Row],[Is Data Valid]]=TRUE,((Table1[[#This Row],[Birthweight (grams)]]/Table1[[#This Row],[BW_GA]])-1)/(Backend!$B$4/100*Table1[[#This Row],[BW40_3705]]),"")</f>
        <v/>
      </c>
      <c r="H2764" s="7" t="str">
        <f>IF(Table1[[#This Row],[Is Data Valid]]=TRUE,((Table1[[#This Row],[Birthweight (grams)]]*0.9/Table1[[#This Row],[BW_GA]])-1)/(Backend!$B$4/100*Table1[[#This Row],[BW40_3705]]),"")</f>
        <v/>
      </c>
      <c r="I2764" s="7" t="str">
        <f>IF(Table1[[#This Row],[Is Data Valid]]=TRUE,((Table1[[#This Row],[Birthweight (grams)]]*1.1/Table1[[#This Row],[BW_GA]])-1)/(Backend!$B$4/100*Table1[[#This Row],[BW40_3705]]),"")</f>
        <v/>
      </c>
      <c r="J2764" s="7" t="str">
        <f>IF(Table1[[#This Row],[Is Data Valid]]=TRUE,_xlfn.NORM.S.DIST(Table1[[#This Row],[Birthweight Z-Score]],TRUE)*100,"")</f>
        <v/>
      </c>
      <c r="K2764" s="7" t="str">
        <f>IF(Table1[[#This Row],[Is Data Valid]]=TRUE,_xlfn.NORM.S.DIST(Table1[[#This Row],[Birthweight Z-Score (BW-10%)]],TRUE)*100,"")</f>
        <v/>
      </c>
      <c r="L2764" s="7" t="str">
        <f>IF(Table1[[#This Row],[Is Data Valid]]=TRUE,_xlfn.NORM.S.DIST(Table1[[#This Row],[Birthweight Z-Score (BW+10%)]],TRUE)*100,"")</f>
        <v/>
      </c>
    </row>
    <row r="2765" spans="1:12" x14ac:dyDescent="0.35">
      <c r="A2765" s="3"/>
      <c r="B2765" s="2"/>
      <c r="C2765" s="2"/>
      <c r="D2765" s="2" t="b">
        <f>IF(AND(NOT(ISBLANK(Table1[[#This Row],[Fetal Sex (Male, Female or Unknown)]])),ISNUMBER(Table1[[#This Row],[Birthweight (grams)]]),ISNUMBER(Table1[[#This Row],[Gestation (days)]])),TRUE,FALSE)</f>
        <v>0</v>
      </c>
      <c r="E2765" s="2" t="str">
        <f>IF(Table1[[#This Row],[Is Data Valid]]=TRUE,IF(Table1[[#This Row],[Fetal Sex (Male, Female or Unknown)]]="Male",Backend!$C$6,IF(Table1[[#This Row],[Fetal Sex (Male, Female or Unknown)]]="Female",Backend!$C$7,IF(Table1[[#This Row],[Fetal Sex (Male, Female or Unknown)]]="Unknown",Backend!$C$8,"Error"))),"")</f>
        <v/>
      </c>
      <c r="F2765" s="8" t="str">
        <f>IF(Table1[[#This Row],[Is Data Valid]]=TRUE,EXP(0.578+0.332*((Table1[[#This Row],[Gestation (days)]]+0.5)/7)-0.00354*((Table1[[#This Row],[Gestation (days)]]+0.5)/7)^2)*Table1[[#This Row],[BW40_3705]],"")</f>
        <v/>
      </c>
      <c r="G2765" s="2" t="str">
        <f>IF(Table1[[#This Row],[Is Data Valid]]=TRUE,((Table1[[#This Row],[Birthweight (grams)]]/Table1[[#This Row],[BW_GA]])-1)/(Backend!$B$4/100*Table1[[#This Row],[BW40_3705]]),"")</f>
        <v/>
      </c>
      <c r="H2765" s="7" t="str">
        <f>IF(Table1[[#This Row],[Is Data Valid]]=TRUE,((Table1[[#This Row],[Birthweight (grams)]]*0.9/Table1[[#This Row],[BW_GA]])-1)/(Backend!$B$4/100*Table1[[#This Row],[BW40_3705]]),"")</f>
        <v/>
      </c>
      <c r="I2765" s="7" t="str">
        <f>IF(Table1[[#This Row],[Is Data Valid]]=TRUE,((Table1[[#This Row],[Birthweight (grams)]]*1.1/Table1[[#This Row],[BW_GA]])-1)/(Backend!$B$4/100*Table1[[#This Row],[BW40_3705]]),"")</f>
        <v/>
      </c>
      <c r="J2765" s="7" t="str">
        <f>IF(Table1[[#This Row],[Is Data Valid]]=TRUE,_xlfn.NORM.S.DIST(Table1[[#This Row],[Birthweight Z-Score]],TRUE)*100,"")</f>
        <v/>
      </c>
      <c r="K2765" s="7" t="str">
        <f>IF(Table1[[#This Row],[Is Data Valid]]=TRUE,_xlfn.NORM.S.DIST(Table1[[#This Row],[Birthweight Z-Score (BW-10%)]],TRUE)*100,"")</f>
        <v/>
      </c>
      <c r="L2765" s="7" t="str">
        <f>IF(Table1[[#This Row],[Is Data Valid]]=TRUE,_xlfn.NORM.S.DIST(Table1[[#This Row],[Birthweight Z-Score (BW+10%)]],TRUE)*100,"")</f>
        <v/>
      </c>
    </row>
    <row r="2766" spans="1:12" x14ac:dyDescent="0.35">
      <c r="A2766" s="3"/>
      <c r="B2766" s="2"/>
      <c r="C2766" s="2"/>
      <c r="D2766" s="2" t="b">
        <f>IF(AND(NOT(ISBLANK(Table1[[#This Row],[Fetal Sex (Male, Female or Unknown)]])),ISNUMBER(Table1[[#This Row],[Birthweight (grams)]]),ISNUMBER(Table1[[#This Row],[Gestation (days)]])),TRUE,FALSE)</f>
        <v>0</v>
      </c>
      <c r="E2766" s="2" t="str">
        <f>IF(Table1[[#This Row],[Is Data Valid]]=TRUE,IF(Table1[[#This Row],[Fetal Sex (Male, Female or Unknown)]]="Male",Backend!$C$6,IF(Table1[[#This Row],[Fetal Sex (Male, Female or Unknown)]]="Female",Backend!$C$7,IF(Table1[[#This Row],[Fetal Sex (Male, Female or Unknown)]]="Unknown",Backend!$C$8,"Error"))),"")</f>
        <v/>
      </c>
      <c r="F2766" s="8" t="str">
        <f>IF(Table1[[#This Row],[Is Data Valid]]=TRUE,EXP(0.578+0.332*((Table1[[#This Row],[Gestation (days)]]+0.5)/7)-0.00354*((Table1[[#This Row],[Gestation (days)]]+0.5)/7)^2)*Table1[[#This Row],[BW40_3705]],"")</f>
        <v/>
      </c>
      <c r="G2766" s="2" t="str">
        <f>IF(Table1[[#This Row],[Is Data Valid]]=TRUE,((Table1[[#This Row],[Birthweight (grams)]]/Table1[[#This Row],[BW_GA]])-1)/(Backend!$B$4/100*Table1[[#This Row],[BW40_3705]]),"")</f>
        <v/>
      </c>
      <c r="H2766" s="7" t="str">
        <f>IF(Table1[[#This Row],[Is Data Valid]]=TRUE,((Table1[[#This Row],[Birthweight (grams)]]*0.9/Table1[[#This Row],[BW_GA]])-1)/(Backend!$B$4/100*Table1[[#This Row],[BW40_3705]]),"")</f>
        <v/>
      </c>
      <c r="I2766" s="7" t="str">
        <f>IF(Table1[[#This Row],[Is Data Valid]]=TRUE,((Table1[[#This Row],[Birthweight (grams)]]*1.1/Table1[[#This Row],[BW_GA]])-1)/(Backend!$B$4/100*Table1[[#This Row],[BW40_3705]]),"")</f>
        <v/>
      </c>
      <c r="J2766" s="7" t="str">
        <f>IF(Table1[[#This Row],[Is Data Valid]]=TRUE,_xlfn.NORM.S.DIST(Table1[[#This Row],[Birthweight Z-Score]],TRUE)*100,"")</f>
        <v/>
      </c>
      <c r="K2766" s="7" t="str">
        <f>IF(Table1[[#This Row],[Is Data Valid]]=TRUE,_xlfn.NORM.S.DIST(Table1[[#This Row],[Birthweight Z-Score (BW-10%)]],TRUE)*100,"")</f>
        <v/>
      </c>
      <c r="L2766" s="7" t="str">
        <f>IF(Table1[[#This Row],[Is Data Valid]]=TRUE,_xlfn.NORM.S.DIST(Table1[[#This Row],[Birthweight Z-Score (BW+10%)]],TRUE)*100,"")</f>
        <v/>
      </c>
    </row>
    <row r="2767" spans="1:12" x14ac:dyDescent="0.35">
      <c r="A2767" s="3"/>
      <c r="B2767" s="2"/>
      <c r="C2767" s="2"/>
      <c r="D2767" s="2" t="b">
        <f>IF(AND(NOT(ISBLANK(Table1[[#This Row],[Fetal Sex (Male, Female or Unknown)]])),ISNUMBER(Table1[[#This Row],[Birthweight (grams)]]),ISNUMBER(Table1[[#This Row],[Gestation (days)]])),TRUE,FALSE)</f>
        <v>0</v>
      </c>
      <c r="E2767" s="2" t="str">
        <f>IF(Table1[[#This Row],[Is Data Valid]]=TRUE,IF(Table1[[#This Row],[Fetal Sex (Male, Female or Unknown)]]="Male",Backend!$C$6,IF(Table1[[#This Row],[Fetal Sex (Male, Female or Unknown)]]="Female",Backend!$C$7,IF(Table1[[#This Row],[Fetal Sex (Male, Female or Unknown)]]="Unknown",Backend!$C$8,"Error"))),"")</f>
        <v/>
      </c>
      <c r="F2767" s="8" t="str">
        <f>IF(Table1[[#This Row],[Is Data Valid]]=TRUE,EXP(0.578+0.332*((Table1[[#This Row],[Gestation (days)]]+0.5)/7)-0.00354*((Table1[[#This Row],[Gestation (days)]]+0.5)/7)^2)*Table1[[#This Row],[BW40_3705]],"")</f>
        <v/>
      </c>
      <c r="G2767" s="2" t="str">
        <f>IF(Table1[[#This Row],[Is Data Valid]]=TRUE,((Table1[[#This Row],[Birthweight (grams)]]/Table1[[#This Row],[BW_GA]])-1)/(Backend!$B$4/100*Table1[[#This Row],[BW40_3705]]),"")</f>
        <v/>
      </c>
      <c r="H2767" s="7" t="str">
        <f>IF(Table1[[#This Row],[Is Data Valid]]=TRUE,((Table1[[#This Row],[Birthweight (grams)]]*0.9/Table1[[#This Row],[BW_GA]])-1)/(Backend!$B$4/100*Table1[[#This Row],[BW40_3705]]),"")</f>
        <v/>
      </c>
      <c r="I2767" s="7" t="str">
        <f>IF(Table1[[#This Row],[Is Data Valid]]=TRUE,((Table1[[#This Row],[Birthweight (grams)]]*1.1/Table1[[#This Row],[BW_GA]])-1)/(Backend!$B$4/100*Table1[[#This Row],[BW40_3705]]),"")</f>
        <v/>
      </c>
      <c r="J2767" s="7" t="str">
        <f>IF(Table1[[#This Row],[Is Data Valid]]=TRUE,_xlfn.NORM.S.DIST(Table1[[#This Row],[Birthweight Z-Score]],TRUE)*100,"")</f>
        <v/>
      </c>
      <c r="K2767" s="7" t="str">
        <f>IF(Table1[[#This Row],[Is Data Valid]]=TRUE,_xlfn.NORM.S.DIST(Table1[[#This Row],[Birthweight Z-Score (BW-10%)]],TRUE)*100,"")</f>
        <v/>
      </c>
      <c r="L2767" s="7" t="str">
        <f>IF(Table1[[#This Row],[Is Data Valid]]=TRUE,_xlfn.NORM.S.DIST(Table1[[#This Row],[Birthweight Z-Score (BW+10%)]],TRUE)*100,"")</f>
        <v/>
      </c>
    </row>
    <row r="2768" spans="1:12" x14ac:dyDescent="0.35">
      <c r="A2768" s="3"/>
      <c r="B2768" s="2"/>
      <c r="C2768" s="2"/>
      <c r="D2768" s="2" t="b">
        <f>IF(AND(NOT(ISBLANK(Table1[[#This Row],[Fetal Sex (Male, Female or Unknown)]])),ISNUMBER(Table1[[#This Row],[Birthweight (grams)]]),ISNUMBER(Table1[[#This Row],[Gestation (days)]])),TRUE,FALSE)</f>
        <v>0</v>
      </c>
      <c r="E2768" s="2" t="str">
        <f>IF(Table1[[#This Row],[Is Data Valid]]=TRUE,IF(Table1[[#This Row],[Fetal Sex (Male, Female or Unknown)]]="Male",Backend!$C$6,IF(Table1[[#This Row],[Fetal Sex (Male, Female or Unknown)]]="Female",Backend!$C$7,IF(Table1[[#This Row],[Fetal Sex (Male, Female or Unknown)]]="Unknown",Backend!$C$8,"Error"))),"")</f>
        <v/>
      </c>
      <c r="F2768" s="8" t="str">
        <f>IF(Table1[[#This Row],[Is Data Valid]]=TRUE,EXP(0.578+0.332*((Table1[[#This Row],[Gestation (days)]]+0.5)/7)-0.00354*((Table1[[#This Row],[Gestation (days)]]+0.5)/7)^2)*Table1[[#This Row],[BW40_3705]],"")</f>
        <v/>
      </c>
      <c r="G2768" s="2" t="str">
        <f>IF(Table1[[#This Row],[Is Data Valid]]=TRUE,((Table1[[#This Row],[Birthweight (grams)]]/Table1[[#This Row],[BW_GA]])-1)/(Backend!$B$4/100*Table1[[#This Row],[BW40_3705]]),"")</f>
        <v/>
      </c>
      <c r="H2768" s="7" t="str">
        <f>IF(Table1[[#This Row],[Is Data Valid]]=TRUE,((Table1[[#This Row],[Birthweight (grams)]]*0.9/Table1[[#This Row],[BW_GA]])-1)/(Backend!$B$4/100*Table1[[#This Row],[BW40_3705]]),"")</f>
        <v/>
      </c>
      <c r="I2768" s="7" t="str">
        <f>IF(Table1[[#This Row],[Is Data Valid]]=TRUE,((Table1[[#This Row],[Birthweight (grams)]]*1.1/Table1[[#This Row],[BW_GA]])-1)/(Backend!$B$4/100*Table1[[#This Row],[BW40_3705]]),"")</f>
        <v/>
      </c>
      <c r="J2768" s="7" t="str">
        <f>IF(Table1[[#This Row],[Is Data Valid]]=TRUE,_xlfn.NORM.S.DIST(Table1[[#This Row],[Birthweight Z-Score]],TRUE)*100,"")</f>
        <v/>
      </c>
      <c r="K2768" s="7" t="str">
        <f>IF(Table1[[#This Row],[Is Data Valid]]=TRUE,_xlfn.NORM.S.DIST(Table1[[#This Row],[Birthweight Z-Score (BW-10%)]],TRUE)*100,"")</f>
        <v/>
      </c>
      <c r="L2768" s="7" t="str">
        <f>IF(Table1[[#This Row],[Is Data Valid]]=TRUE,_xlfn.NORM.S.DIST(Table1[[#This Row],[Birthweight Z-Score (BW+10%)]],TRUE)*100,"")</f>
        <v/>
      </c>
    </row>
    <row r="2769" spans="1:12" x14ac:dyDescent="0.35">
      <c r="A2769" s="3"/>
      <c r="B2769" s="2"/>
      <c r="C2769" s="2"/>
      <c r="D2769" s="2" t="b">
        <f>IF(AND(NOT(ISBLANK(Table1[[#This Row],[Fetal Sex (Male, Female or Unknown)]])),ISNUMBER(Table1[[#This Row],[Birthweight (grams)]]),ISNUMBER(Table1[[#This Row],[Gestation (days)]])),TRUE,FALSE)</f>
        <v>0</v>
      </c>
      <c r="E2769" s="2" t="str">
        <f>IF(Table1[[#This Row],[Is Data Valid]]=TRUE,IF(Table1[[#This Row],[Fetal Sex (Male, Female or Unknown)]]="Male",Backend!$C$6,IF(Table1[[#This Row],[Fetal Sex (Male, Female or Unknown)]]="Female",Backend!$C$7,IF(Table1[[#This Row],[Fetal Sex (Male, Female or Unknown)]]="Unknown",Backend!$C$8,"Error"))),"")</f>
        <v/>
      </c>
      <c r="F2769" s="8" t="str">
        <f>IF(Table1[[#This Row],[Is Data Valid]]=TRUE,EXP(0.578+0.332*((Table1[[#This Row],[Gestation (days)]]+0.5)/7)-0.00354*((Table1[[#This Row],[Gestation (days)]]+0.5)/7)^2)*Table1[[#This Row],[BW40_3705]],"")</f>
        <v/>
      </c>
      <c r="G2769" s="2" t="str">
        <f>IF(Table1[[#This Row],[Is Data Valid]]=TRUE,((Table1[[#This Row],[Birthweight (grams)]]/Table1[[#This Row],[BW_GA]])-1)/(Backend!$B$4/100*Table1[[#This Row],[BW40_3705]]),"")</f>
        <v/>
      </c>
      <c r="H2769" s="7" t="str">
        <f>IF(Table1[[#This Row],[Is Data Valid]]=TRUE,((Table1[[#This Row],[Birthweight (grams)]]*0.9/Table1[[#This Row],[BW_GA]])-1)/(Backend!$B$4/100*Table1[[#This Row],[BW40_3705]]),"")</f>
        <v/>
      </c>
      <c r="I2769" s="7" t="str">
        <f>IF(Table1[[#This Row],[Is Data Valid]]=TRUE,((Table1[[#This Row],[Birthweight (grams)]]*1.1/Table1[[#This Row],[BW_GA]])-1)/(Backend!$B$4/100*Table1[[#This Row],[BW40_3705]]),"")</f>
        <v/>
      </c>
      <c r="J2769" s="7" t="str">
        <f>IF(Table1[[#This Row],[Is Data Valid]]=TRUE,_xlfn.NORM.S.DIST(Table1[[#This Row],[Birthweight Z-Score]],TRUE)*100,"")</f>
        <v/>
      </c>
      <c r="K2769" s="7" t="str">
        <f>IF(Table1[[#This Row],[Is Data Valid]]=TRUE,_xlfn.NORM.S.DIST(Table1[[#This Row],[Birthweight Z-Score (BW-10%)]],TRUE)*100,"")</f>
        <v/>
      </c>
      <c r="L2769" s="7" t="str">
        <f>IF(Table1[[#This Row],[Is Data Valid]]=TRUE,_xlfn.NORM.S.DIST(Table1[[#This Row],[Birthweight Z-Score (BW+10%)]],TRUE)*100,"")</f>
        <v/>
      </c>
    </row>
    <row r="2770" spans="1:12" x14ac:dyDescent="0.35">
      <c r="A2770" s="3"/>
      <c r="B2770" s="2"/>
      <c r="C2770" s="2"/>
      <c r="D2770" s="2" t="b">
        <f>IF(AND(NOT(ISBLANK(Table1[[#This Row],[Fetal Sex (Male, Female or Unknown)]])),ISNUMBER(Table1[[#This Row],[Birthweight (grams)]]),ISNUMBER(Table1[[#This Row],[Gestation (days)]])),TRUE,FALSE)</f>
        <v>0</v>
      </c>
      <c r="E2770" s="2" t="str">
        <f>IF(Table1[[#This Row],[Is Data Valid]]=TRUE,IF(Table1[[#This Row],[Fetal Sex (Male, Female or Unknown)]]="Male",Backend!$C$6,IF(Table1[[#This Row],[Fetal Sex (Male, Female or Unknown)]]="Female",Backend!$C$7,IF(Table1[[#This Row],[Fetal Sex (Male, Female or Unknown)]]="Unknown",Backend!$C$8,"Error"))),"")</f>
        <v/>
      </c>
      <c r="F2770" s="8" t="str">
        <f>IF(Table1[[#This Row],[Is Data Valid]]=TRUE,EXP(0.578+0.332*((Table1[[#This Row],[Gestation (days)]]+0.5)/7)-0.00354*((Table1[[#This Row],[Gestation (days)]]+0.5)/7)^2)*Table1[[#This Row],[BW40_3705]],"")</f>
        <v/>
      </c>
      <c r="G2770" s="2" t="str">
        <f>IF(Table1[[#This Row],[Is Data Valid]]=TRUE,((Table1[[#This Row],[Birthweight (grams)]]/Table1[[#This Row],[BW_GA]])-1)/(Backend!$B$4/100*Table1[[#This Row],[BW40_3705]]),"")</f>
        <v/>
      </c>
      <c r="H2770" s="7" t="str">
        <f>IF(Table1[[#This Row],[Is Data Valid]]=TRUE,((Table1[[#This Row],[Birthweight (grams)]]*0.9/Table1[[#This Row],[BW_GA]])-1)/(Backend!$B$4/100*Table1[[#This Row],[BW40_3705]]),"")</f>
        <v/>
      </c>
      <c r="I2770" s="7" t="str">
        <f>IF(Table1[[#This Row],[Is Data Valid]]=TRUE,((Table1[[#This Row],[Birthweight (grams)]]*1.1/Table1[[#This Row],[BW_GA]])-1)/(Backend!$B$4/100*Table1[[#This Row],[BW40_3705]]),"")</f>
        <v/>
      </c>
      <c r="J2770" s="7" t="str">
        <f>IF(Table1[[#This Row],[Is Data Valid]]=TRUE,_xlfn.NORM.S.DIST(Table1[[#This Row],[Birthweight Z-Score]],TRUE)*100,"")</f>
        <v/>
      </c>
      <c r="K2770" s="7" t="str">
        <f>IF(Table1[[#This Row],[Is Data Valid]]=TRUE,_xlfn.NORM.S.DIST(Table1[[#This Row],[Birthweight Z-Score (BW-10%)]],TRUE)*100,"")</f>
        <v/>
      </c>
      <c r="L2770" s="7" t="str">
        <f>IF(Table1[[#This Row],[Is Data Valid]]=TRUE,_xlfn.NORM.S.DIST(Table1[[#This Row],[Birthweight Z-Score (BW+10%)]],TRUE)*100,"")</f>
        <v/>
      </c>
    </row>
    <row r="2771" spans="1:12" x14ac:dyDescent="0.35">
      <c r="A2771" s="3"/>
      <c r="B2771" s="2"/>
      <c r="C2771" s="2"/>
      <c r="D2771" s="2" t="b">
        <f>IF(AND(NOT(ISBLANK(Table1[[#This Row],[Fetal Sex (Male, Female or Unknown)]])),ISNUMBER(Table1[[#This Row],[Birthweight (grams)]]),ISNUMBER(Table1[[#This Row],[Gestation (days)]])),TRUE,FALSE)</f>
        <v>0</v>
      </c>
      <c r="E2771" s="2" t="str">
        <f>IF(Table1[[#This Row],[Is Data Valid]]=TRUE,IF(Table1[[#This Row],[Fetal Sex (Male, Female or Unknown)]]="Male",Backend!$C$6,IF(Table1[[#This Row],[Fetal Sex (Male, Female or Unknown)]]="Female",Backend!$C$7,IF(Table1[[#This Row],[Fetal Sex (Male, Female or Unknown)]]="Unknown",Backend!$C$8,"Error"))),"")</f>
        <v/>
      </c>
      <c r="F2771" s="8" t="str">
        <f>IF(Table1[[#This Row],[Is Data Valid]]=TRUE,EXP(0.578+0.332*((Table1[[#This Row],[Gestation (days)]]+0.5)/7)-0.00354*((Table1[[#This Row],[Gestation (days)]]+0.5)/7)^2)*Table1[[#This Row],[BW40_3705]],"")</f>
        <v/>
      </c>
      <c r="G2771" s="2" t="str">
        <f>IF(Table1[[#This Row],[Is Data Valid]]=TRUE,((Table1[[#This Row],[Birthweight (grams)]]/Table1[[#This Row],[BW_GA]])-1)/(Backend!$B$4/100*Table1[[#This Row],[BW40_3705]]),"")</f>
        <v/>
      </c>
      <c r="H2771" s="7" t="str">
        <f>IF(Table1[[#This Row],[Is Data Valid]]=TRUE,((Table1[[#This Row],[Birthweight (grams)]]*0.9/Table1[[#This Row],[BW_GA]])-1)/(Backend!$B$4/100*Table1[[#This Row],[BW40_3705]]),"")</f>
        <v/>
      </c>
      <c r="I2771" s="7" t="str">
        <f>IF(Table1[[#This Row],[Is Data Valid]]=TRUE,((Table1[[#This Row],[Birthweight (grams)]]*1.1/Table1[[#This Row],[BW_GA]])-1)/(Backend!$B$4/100*Table1[[#This Row],[BW40_3705]]),"")</f>
        <v/>
      </c>
      <c r="J2771" s="7" t="str">
        <f>IF(Table1[[#This Row],[Is Data Valid]]=TRUE,_xlfn.NORM.S.DIST(Table1[[#This Row],[Birthweight Z-Score]],TRUE)*100,"")</f>
        <v/>
      </c>
      <c r="K2771" s="7" t="str">
        <f>IF(Table1[[#This Row],[Is Data Valid]]=TRUE,_xlfn.NORM.S.DIST(Table1[[#This Row],[Birthweight Z-Score (BW-10%)]],TRUE)*100,"")</f>
        <v/>
      </c>
      <c r="L2771" s="7" t="str">
        <f>IF(Table1[[#This Row],[Is Data Valid]]=TRUE,_xlfn.NORM.S.DIST(Table1[[#This Row],[Birthweight Z-Score (BW+10%)]],TRUE)*100,"")</f>
        <v/>
      </c>
    </row>
    <row r="2772" spans="1:12" x14ac:dyDescent="0.35">
      <c r="A2772" s="3"/>
      <c r="B2772" s="2"/>
      <c r="C2772" s="2"/>
      <c r="D2772" s="2" t="b">
        <f>IF(AND(NOT(ISBLANK(Table1[[#This Row],[Fetal Sex (Male, Female or Unknown)]])),ISNUMBER(Table1[[#This Row],[Birthweight (grams)]]),ISNUMBER(Table1[[#This Row],[Gestation (days)]])),TRUE,FALSE)</f>
        <v>0</v>
      </c>
      <c r="E2772" s="2" t="str">
        <f>IF(Table1[[#This Row],[Is Data Valid]]=TRUE,IF(Table1[[#This Row],[Fetal Sex (Male, Female or Unknown)]]="Male",Backend!$C$6,IF(Table1[[#This Row],[Fetal Sex (Male, Female or Unknown)]]="Female",Backend!$C$7,IF(Table1[[#This Row],[Fetal Sex (Male, Female or Unknown)]]="Unknown",Backend!$C$8,"Error"))),"")</f>
        <v/>
      </c>
      <c r="F2772" s="8" t="str">
        <f>IF(Table1[[#This Row],[Is Data Valid]]=TRUE,EXP(0.578+0.332*((Table1[[#This Row],[Gestation (days)]]+0.5)/7)-0.00354*((Table1[[#This Row],[Gestation (days)]]+0.5)/7)^2)*Table1[[#This Row],[BW40_3705]],"")</f>
        <v/>
      </c>
      <c r="G2772" s="2" t="str">
        <f>IF(Table1[[#This Row],[Is Data Valid]]=TRUE,((Table1[[#This Row],[Birthweight (grams)]]/Table1[[#This Row],[BW_GA]])-1)/(Backend!$B$4/100*Table1[[#This Row],[BW40_3705]]),"")</f>
        <v/>
      </c>
      <c r="H2772" s="7" t="str">
        <f>IF(Table1[[#This Row],[Is Data Valid]]=TRUE,((Table1[[#This Row],[Birthweight (grams)]]*0.9/Table1[[#This Row],[BW_GA]])-1)/(Backend!$B$4/100*Table1[[#This Row],[BW40_3705]]),"")</f>
        <v/>
      </c>
      <c r="I2772" s="7" t="str">
        <f>IF(Table1[[#This Row],[Is Data Valid]]=TRUE,((Table1[[#This Row],[Birthweight (grams)]]*1.1/Table1[[#This Row],[BW_GA]])-1)/(Backend!$B$4/100*Table1[[#This Row],[BW40_3705]]),"")</f>
        <v/>
      </c>
      <c r="J2772" s="7" t="str">
        <f>IF(Table1[[#This Row],[Is Data Valid]]=TRUE,_xlfn.NORM.S.DIST(Table1[[#This Row],[Birthweight Z-Score]],TRUE)*100,"")</f>
        <v/>
      </c>
      <c r="K2772" s="7" t="str">
        <f>IF(Table1[[#This Row],[Is Data Valid]]=TRUE,_xlfn.NORM.S.DIST(Table1[[#This Row],[Birthweight Z-Score (BW-10%)]],TRUE)*100,"")</f>
        <v/>
      </c>
      <c r="L2772" s="7" t="str">
        <f>IF(Table1[[#This Row],[Is Data Valid]]=TRUE,_xlfn.NORM.S.DIST(Table1[[#This Row],[Birthweight Z-Score (BW+10%)]],TRUE)*100,"")</f>
        <v/>
      </c>
    </row>
    <row r="2773" spans="1:12" x14ac:dyDescent="0.35">
      <c r="A2773" s="3"/>
      <c r="B2773" s="2"/>
      <c r="C2773" s="2"/>
      <c r="D2773" s="2" t="b">
        <f>IF(AND(NOT(ISBLANK(Table1[[#This Row],[Fetal Sex (Male, Female or Unknown)]])),ISNUMBER(Table1[[#This Row],[Birthweight (grams)]]),ISNUMBER(Table1[[#This Row],[Gestation (days)]])),TRUE,FALSE)</f>
        <v>0</v>
      </c>
      <c r="E2773" s="2" t="str">
        <f>IF(Table1[[#This Row],[Is Data Valid]]=TRUE,IF(Table1[[#This Row],[Fetal Sex (Male, Female or Unknown)]]="Male",Backend!$C$6,IF(Table1[[#This Row],[Fetal Sex (Male, Female or Unknown)]]="Female",Backend!$C$7,IF(Table1[[#This Row],[Fetal Sex (Male, Female or Unknown)]]="Unknown",Backend!$C$8,"Error"))),"")</f>
        <v/>
      </c>
      <c r="F2773" s="8" t="str">
        <f>IF(Table1[[#This Row],[Is Data Valid]]=TRUE,EXP(0.578+0.332*((Table1[[#This Row],[Gestation (days)]]+0.5)/7)-0.00354*((Table1[[#This Row],[Gestation (days)]]+0.5)/7)^2)*Table1[[#This Row],[BW40_3705]],"")</f>
        <v/>
      </c>
      <c r="G2773" s="2" t="str">
        <f>IF(Table1[[#This Row],[Is Data Valid]]=TRUE,((Table1[[#This Row],[Birthweight (grams)]]/Table1[[#This Row],[BW_GA]])-1)/(Backend!$B$4/100*Table1[[#This Row],[BW40_3705]]),"")</f>
        <v/>
      </c>
      <c r="H2773" s="7" t="str">
        <f>IF(Table1[[#This Row],[Is Data Valid]]=TRUE,((Table1[[#This Row],[Birthweight (grams)]]*0.9/Table1[[#This Row],[BW_GA]])-1)/(Backend!$B$4/100*Table1[[#This Row],[BW40_3705]]),"")</f>
        <v/>
      </c>
      <c r="I2773" s="7" t="str">
        <f>IF(Table1[[#This Row],[Is Data Valid]]=TRUE,((Table1[[#This Row],[Birthweight (grams)]]*1.1/Table1[[#This Row],[BW_GA]])-1)/(Backend!$B$4/100*Table1[[#This Row],[BW40_3705]]),"")</f>
        <v/>
      </c>
      <c r="J2773" s="7" t="str">
        <f>IF(Table1[[#This Row],[Is Data Valid]]=TRUE,_xlfn.NORM.S.DIST(Table1[[#This Row],[Birthweight Z-Score]],TRUE)*100,"")</f>
        <v/>
      </c>
      <c r="K2773" s="7" t="str">
        <f>IF(Table1[[#This Row],[Is Data Valid]]=TRUE,_xlfn.NORM.S.DIST(Table1[[#This Row],[Birthweight Z-Score (BW-10%)]],TRUE)*100,"")</f>
        <v/>
      </c>
      <c r="L2773" s="7" t="str">
        <f>IF(Table1[[#This Row],[Is Data Valid]]=TRUE,_xlfn.NORM.S.DIST(Table1[[#This Row],[Birthweight Z-Score (BW+10%)]],TRUE)*100,"")</f>
        <v/>
      </c>
    </row>
    <row r="2774" spans="1:12" x14ac:dyDescent="0.35">
      <c r="A2774" s="3"/>
      <c r="B2774" s="2"/>
      <c r="C2774" s="2"/>
      <c r="D2774" s="2" t="b">
        <f>IF(AND(NOT(ISBLANK(Table1[[#This Row],[Fetal Sex (Male, Female or Unknown)]])),ISNUMBER(Table1[[#This Row],[Birthweight (grams)]]),ISNUMBER(Table1[[#This Row],[Gestation (days)]])),TRUE,FALSE)</f>
        <v>0</v>
      </c>
      <c r="E2774" s="2" t="str">
        <f>IF(Table1[[#This Row],[Is Data Valid]]=TRUE,IF(Table1[[#This Row],[Fetal Sex (Male, Female or Unknown)]]="Male",Backend!$C$6,IF(Table1[[#This Row],[Fetal Sex (Male, Female or Unknown)]]="Female",Backend!$C$7,IF(Table1[[#This Row],[Fetal Sex (Male, Female or Unknown)]]="Unknown",Backend!$C$8,"Error"))),"")</f>
        <v/>
      </c>
      <c r="F2774" s="8" t="str">
        <f>IF(Table1[[#This Row],[Is Data Valid]]=TRUE,EXP(0.578+0.332*((Table1[[#This Row],[Gestation (days)]]+0.5)/7)-0.00354*((Table1[[#This Row],[Gestation (days)]]+0.5)/7)^2)*Table1[[#This Row],[BW40_3705]],"")</f>
        <v/>
      </c>
      <c r="G2774" s="2" t="str">
        <f>IF(Table1[[#This Row],[Is Data Valid]]=TRUE,((Table1[[#This Row],[Birthweight (grams)]]/Table1[[#This Row],[BW_GA]])-1)/(Backend!$B$4/100*Table1[[#This Row],[BW40_3705]]),"")</f>
        <v/>
      </c>
      <c r="H2774" s="7" t="str">
        <f>IF(Table1[[#This Row],[Is Data Valid]]=TRUE,((Table1[[#This Row],[Birthweight (grams)]]*0.9/Table1[[#This Row],[BW_GA]])-1)/(Backend!$B$4/100*Table1[[#This Row],[BW40_3705]]),"")</f>
        <v/>
      </c>
      <c r="I2774" s="7" t="str">
        <f>IF(Table1[[#This Row],[Is Data Valid]]=TRUE,((Table1[[#This Row],[Birthweight (grams)]]*1.1/Table1[[#This Row],[BW_GA]])-1)/(Backend!$B$4/100*Table1[[#This Row],[BW40_3705]]),"")</f>
        <v/>
      </c>
      <c r="J2774" s="7" t="str">
        <f>IF(Table1[[#This Row],[Is Data Valid]]=TRUE,_xlfn.NORM.S.DIST(Table1[[#This Row],[Birthweight Z-Score]],TRUE)*100,"")</f>
        <v/>
      </c>
      <c r="K2774" s="7" t="str">
        <f>IF(Table1[[#This Row],[Is Data Valid]]=TRUE,_xlfn.NORM.S.DIST(Table1[[#This Row],[Birthweight Z-Score (BW-10%)]],TRUE)*100,"")</f>
        <v/>
      </c>
      <c r="L2774" s="7" t="str">
        <f>IF(Table1[[#This Row],[Is Data Valid]]=TRUE,_xlfn.NORM.S.DIST(Table1[[#This Row],[Birthweight Z-Score (BW+10%)]],TRUE)*100,"")</f>
        <v/>
      </c>
    </row>
    <row r="2775" spans="1:12" x14ac:dyDescent="0.35">
      <c r="A2775" s="3"/>
      <c r="B2775" s="2"/>
      <c r="C2775" s="2"/>
      <c r="D2775" s="2" t="b">
        <f>IF(AND(NOT(ISBLANK(Table1[[#This Row],[Fetal Sex (Male, Female or Unknown)]])),ISNUMBER(Table1[[#This Row],[Birthweight (grams)]]),ISNUMBER(Table1[[#This Row],[Gestation (days)]])),TRUE,FALSE)</f>
        <v>0</v>
      </c>
      <c r="E2775" s="2" t="str">
        <f>IF(Table1[[#This Row],[Is Data Valid]]=TRUE,IF(Table1[[#This Row],[Fetal Sex (Male, Female or Unknown)]]="Male",Backend!$C$6,IF(Table1[[#This Row],[Fetal Sex (Male, Female or Unknown)]]="Female",Backend!$C$7,IF(Table1[[#This Row],[Fetal Sex (Male, Female or Unknown)]]="Unknown",Backend!$C$8,"Error"))),"")</f>
        <v/>
      </c>
      <c r="F2775" s="8" t="str">
        <f>IF(Table1[[#This Row],[Is Data Valid]]=TRUE,EXP(0.578+0.332*((Table1[[#This Row],[Gestation (days)]]+0.5)/7)-0.00354*((Table1[[#This Row],[Gestation (days)]]+0.5)/7)^2)*Table1[[#This Row],[BW40_3705]],"")</f>
        <v/>
      </c>
      <c r="G2775" s="2" t="str">
        <f>IF(Table1[[#This Row],[Is Data Valid]]=TRUE,((Table1[[#This Row],[Birthweight (grams)]]/Table1[[#This Row],[BW_GA]])-1)/(Backend!$B$4/100*Table1[[#This Row],[BW40_3705]]),"")</f>
        <v/>
      </c>
      <c r="H2775" s="7" t="str">
        <f>IF(Table1[[#This Row],[Is Data Valid]]=TRUE,((Table1[[#This Row],[Birthweight (grams)]]*0.9/Table1[[#This Row],[BW_GA]])-1)/(Backend!$B$4/100*Table1[[#This Row],[BW40_3705]]),"")</f>
        <v/>
      </c>
      <c r="I2775" s="7" t="str">
        <f>IF(Table1[[#This Row],[Is Data Valid]]=TRUE,((Table1[[#This Row],[Birthweight (grams)]]*1.1/Table1[[#This Row],[BW_GA]])-1)/(Backend!$B$4/100*Table1[[#This Row],[BW40_3705]]),"")</f>
        <v/>
      </c>
      <c r="J2775" s="7" t="str">
        <f>IF(Table1[[#This Row],[Is Data Valid]]=TRUE,_xlfn.NORM.S.DIST(Table1[[#This Row],[Birthweight Z-Score]],TRUE)*100,"")</f>
        <v/>
      </c>
      <c r="K2775" s="7" t="str">
        <f>IF(Table1[[#This Row],[Is Data Valid]]=TRUE,_xlfn.NORM.S.DIST(Table1[[#This Row],[Birthweight Z-Score (BW-10%)]],TRUE)*100,"")</f>
        <v/>
      </c>
      <c r="L2775" s="7" t="str">
        <f>IF(Table1[[#This Row],[Is Data Valid]]=TRUE,_xlfn.NORM.S.DIST(Table1[[#This Row],[Birthweight Z-Score (BW+10%)]],TRUE)*100,"")</f>
        <v/>
      </c>
    </row>
    <row r="2776" spans="1:12" x14ac:dyDescent="0.35">
      <c r="A2776" s="3"/>
      <c r="B2776" s="2"/>
      <c r="C2776" s="2"/>
      <c r="D2776" s="2" t="b">
        <f>IF(AND(NOT(ISBLANK(Table1[[#This Row],[Fetal Sex (Male, Female or Unknown)]])),ISNUMBER(Table1[[#This Row],[Birthweight (grams)]]),ISNUMBER(Table1[[#This Row],[Gestation (days)]])),TRUE,FALSE)</f>
        <v>0</v>
      </c>
      <c r="E2776" s="2" t="str">
        <f>IF(Table1[[#This Row],[Is Data Valid]]=TRUE,IF(Table1[[#This Row],[Fetal Sex (Male, Female or Unknown)]]="Male",Backend!$C$6,IF(Table1[[#This Row],[Fetal Sex (Male, Female or Unknown)]]="Female",Backend!$C$7,IF(Table1[[#This Row],[Fetal Sex (Male, Female or Unknown)]]="Unknown",Backend!$C$8,"Error"))),"")</f>
        <v/>
      </c>
      <c r="F2776" s="8" t="str">
        <f>IF(Table1[[#This Row],[Is Data Valid]]=TRUE,EXP(0.578+0.332*((Table1[[#This Row],[Gestation (days)]]+0.5)/7)-0.00354*((Table1[[#This Row],[Gestation (days)]]+0.5)/7)^2)*Table1[[#This Row],[BW40_3705]],"")</f>
        <v/>
      </c>
      <c r="G2776" s="2" t="str">
        <f>IF(Table1[[#This Row],[Is Data Valid]]=TRUE,((Table1[[#This Row],[Birthweight (grams)]]/Table1[[#This Row],[BW_GA]])-1)/(Backend!$B$4/100*Table1[[#This Row],[BW40_3705]]),"")</f>
        <v/>
      </c>
      <c r="H2776" s="7" t="str">
        <f>IF(Table1[[#This Row],[Is Data Valid]]=TRUE,((Table1[[#This Row],[Birthweight (grams)]]*0.9/Table1[[#This Row],[BW_GA]])-1)/(Backend!$B$4/100*Table1[[#This Row],[BW40_3705]]),"")</f>
        <v/>
      </c>
      <c r="I2776" s="7" t="str">
        <f>IF(Table1[[#This Row],[Is Data Valid]]=TRUE,((Table1[[#This Row],[Birthweight (grams)]]*1.1/Table1[[#This Row],[BW_GA]])-1)/(Backend!$B$4/100*Table1[[#This Row],[BW40_3705]]),"")</f>
        <v/>
      </c>
      <c r="J2776" s="7" t="str">
        <f>IF(Table1[[#This Row],[Is Data Valid]]=TRUE,_xlfn.NORM.S.DIST(Table1[[#This Row],[Birthweight Z-Score]],TRUE)*100,"")</f>
        <v/>
      </c>
      <c r="K2776" s="7" t="str">
        <f>IF(Table1[[#This Row],[Is Data Valid]]=TRUE,_xlfn.NORM.S.DIST(Table1[[#This Row],[Birthweight Z-Score (BW-10%)]],TRUE)*100,"")</f>
        <v/>
      </c>
      <c r="L2776" s="7" t="str">
        <f>IF(Table1[[#This Row],[Is Data Valid]]=TRUE,_xlfn.NORM.S.DIST(Table1[[#This Row],[Birthweight Z-Score (BW+10%)]],TRUE)*100,"")</f>
        <v/>
      </c>
    </row>
    <row r="2777" spans="1:12" x14ac:dyDescent="0.35">
      <c r="A2777" s="3"/>
      <c r="B2777" s="2"/>
      <c r="C2777" s="2"/>
      <c r="D2777" s="2" t="b">
        <f>IF(AND(NOT(ISBLANK(Table1[[#This Row],[Fetal Sex (Male, Female or Unknown)]])),ISNUMBER(Table1[[#This Row],[Birthweight (grams)]]),ISNUMBER(Table1[[#This Row],[Gestation (days)]])),TRUE,FALSE)</f>
        <v>0</v>
      </c>
      <c r="E2777" s="2" t="str">
        <f>IF(Table1[[#This Row],[Is Data Valid]]=TRUE,IF(Table1[[#This Row],[Fetal Sex (Male, Female or Unknown)]]="Male",Backend!$C$6,IF(Table1[[#This Row],[Fetal Sex (Male, Female or Unknown)]]="Female",Backend!$C$7,IF(Table1[[#This Row],[Fetal Sex (Male, Female or Unknown)]]="Unknown",Backend!$C$8,"Error"))),"")</f>
        <v/>
      </c>
      <c r="F2777" s="8" t="str">
        <f>IF(Table1[[#This Row],[Is Data Valid]]=TRUE,EXP(0.578+0.332*((Table1[[#This Row],[Gestation (days)]]+0.5)/7)-0.00354*((Table1[[#This Row],[Gestation (days)]]+0.5)/7)^2)*Table1[[#This Row],[BW40_3705]],"")</f>
        <v/>
      </c>
      <c r="G2777" s="2" t="str">
        <f>IF(Table1[[#This Row],[Is Data Valid]]=TRUE,((Table1[[#This Row],[Birthweight (grams)]]/Table1[[#This Row],[BW_GA]])-1)/(Backend!$B$4/100*Table1[[#This Row],[BW40_3705]]),"")</f>
        <v/>
      </c>
      <c r="H2777" s="7" t="str">
        <f>IF(Table1[[#This Row],[Is Data Valid]]=TRUE,((Table1[[#This Row],[Birthweight (grams)]]*0.9/Table1[[#This Row],[BW_GA]])-1)/(Backend!$B$4/100*Table1[[#This Row],[BW40_3705]]),"")</f>
        <v/>
      </c>
      <c r="I2777" s="7" t="str">
        <f>IF(Table1[[#This Row],[Is Data Valid]]=TRUE,((Table1[[#This Row],[Birthweight (grams)]]*1.1/Table1[[#This Row],[BW_GA]])-1)/(Backend!$B$4/100*Table1[[#This Row],[BW40_3705]]),"")</f>
        <v/>
      </c>
      <c r="J2777" s="7" t="str">
        <f>IF(Table1[[#This Row],[Is Data Valid]]=TRUE,_xlfn.NORM.S.DIST(Table1[[#This Row],[Birthweight Z-Score]],TRUE)*100,"")</f>
        <v/>
      </c>
      <c r="K2777" s="7" t="str">
        <f>IF(Table1[[#This Row],[Is Data Valid]]=TRUE,_xlfn.NORM.S.DIST(Table1[[#This Row],[Birthweight Z-Score (BW-10%)]],TRUE)*100,"")</f>
        <v/>
      </c>
      <c r="L2777" s="7" t="str">
        <f>IF(Table1[[#This Row],[Is Data Valid]]=TRUE,_xlfn.NORM.S.DIST(Table1[[#This Row],[Birthweight Z-Score (BW+10%)]],TRUE)*100,"")</f>
        <v/>
      </c>
    </row>
    <row r="2778" spans="1:12" x14ac:dyDescent="0.35">
      <c r="A2778" s="3"/>
      <c r="B2778" s="2"/>
      <c r="C2778" s="2"/>
      <c r="D2778" s="2" t="b">
        <f>IF(AND(NOT(ISBLANK(Table1[[#This Row],[Fetal Sex (Male, Female or Unknown)]])),ISNUMBER(Table1[[#This Row],[Birthweight (grams)]]),ISNUMBER(Table1[[#This Row],[Gestation (days)]])),TRUE,FALSE)</f>
        <v>0</v>
      </c>
      <c r="E2778" s="2" t="str">
        <f>IF(Table1[[#This Row],[Is Data Valid]]=TRUE,IF(Table1[[#This Row],[Fetal Sex (Male, Female or Unknown)]]="Male",Backend!$C$6,IF(Table1[[#This Row],[Fetal Sex (Male, Female or Unknown)]]="Female",Backend!$C$7,IF(Table1[[#This Row],[Fetal Sex (Male, Female or Unknown)]]="Unknown",Backend!$C$8,"Error"))),"")</f>
        <v/>
      </c>
      <c r="F2778" s="8" t="str">
        <f>IF(Table1[[#This Row],[Is Data Valid]]=TRUE,EXP(0.578+0.332*((Table1[[#This Row],[Gestation (days)]]+0.5)/7)-0.00354*((Table1[[#This Row],[Gestation (days)]]+0.5)/7)^2)*Table1[[#This Row],[BW40_3705]],"")</f>
        <v/>
      </c>
      <c r="G2778" s="2" t="str">
        <f>IF(Table1[[#This Row],[Is Data Valid]]=TRUE,((Table1[[#This Row],[Birthweight (grams)]]/Table1[[#This Row],[BW_GA]])-1)/(Backend!$B$4/100*Table1[[#This Row],[BW40_3705]]),"")</f>
        <v/>
      </c>
      <c r="H2778" s="7" t="str">
        <f>IF(Table1[[#This Row],[Is Data Valid]]=TRUE,((Table1[[#This Row],[Birthweight (grams)]]*0.9/Table1[[#This Row],[BW_GA]])-1)/(Backend!$B$4/100*Table1[[#This Row],[BW40_3705]]),"")</f>
        <v/>
      </c>
      <c r="I2778" s="7" t="str">
        <f>IF(Table1[[#This Row],[Is Data Valid]]=TRUE,((Table1[[#This Row],[Birthweight (grams)]]*1.1/Table1[[#This Row],[BW_GA]])-1)/(Backend!$B$4/100*Table1[[#This Row],[BW40_3705]]),"")</f>
        <v/>
      </c>
      <c r="J2778" s="7" t="str">
        <f>IF(Table1[[#This Row],[Is Data Valid]]=TRUE,_xlfn.NORM.S.DIST(Table1[[#This Row],[Birthweight Z-Score]],TRUE)*100,"")</f>
        <v/>
      </c>
      <c r="K2778" s="7" t="str">
        <f>IF(Table1[[#This Row],[Is Data Valid]]=TRUE,_xlfn.NORM.S.DIST(Table1[[#This Row],[Birthweight Z-Score (BW-10%)]],TRUE)*100,"")</f>
        <v/>
      </c>
      <c r="L2778" s="7" t="str">
        <f>IF(Table1[[#This Row],[Is Data Valid]]=TRUE,_xlfn.NORM.S.DIST(Table1[[#This Row],[Birthweight Z-Score (BW+10%)]],TRUE)*100,"")</f>
        <v/>
      </c>
    </row>
    <row r="2779" spans="1:12" x14ac:dyDescent="0.35">
      <c r="A2779" s="3"/>
      <c r="B2779" s="2"/>
      <c r="C2779" s="2"/>
      <c r="D2779" s="2" t="b">
        <f>IF(AND(NOT(ISBLANK(Table1[[#This Row],[Fetal Sex (Male, Female or Unknown)]])),ISNUMBER(Table1[[#This Row],[Birthweight (grams)]]),ISNUMBER(Table1[[#This Row],[Gestation (days)]])),TRUE,FALSE)</f>
        <v>0</v>
      </c>
      <c r="E2779" s="2" t="str">
        <f>IF(Table1[[#This Row],[Is Data Valid]]=TRUE,IF(Table1[[#This Row],[Fetal Sex (Male, Female or Unknown)]]="Male",Backend!$C$6,IF(Table1[[#This Row],[Fetal Sex (Male, Female or Unknown)]]="Female",Backend!$C$7,IF(Table1[[#This Row],[Fetal Sex (Male, Female or Unknown)]]="Unknown",Backend!$C$8,"Error"))),"")</f>
        <v/>
      </c>
      <c r="F2779" s="8" t="str">
        <f>IF(Table1[[#This Row],[Is Data Valid]]=TRUE,EXP(0.578+0.332*((Table1[[#This Row],[Gestation (days)]]+0.5)/7)-0.00354*((Table1[[#This Row],[Gestation (days)]]+0.5)/7)^2)*Table1[[#This Row],[BW40_3705]],"")</f>
        <v/>
      </c>
      <c r="G2779" s="2" t="str">
        <f>IF(Table1[[#This Row],[Is Data Valid]]=TRUE,((Table1[[#This Row],[Birthweight (grams)]]/Table1[[#This Row],[BW_GA]])-1)/(Backend!$B$4/100*Table1[[#This Row],[BW40_3705]]),"")</f>
        <v/>
      </c>
      <c r="H2779" s="7" t="str">
        <f>IF(Table1[[#This Row],[Is Data Valid]]=TRUE,((Table1[[#This Row],[Birthweight (grams)]]*0.9/Table1[[#This Row],[BW_GA]])-1)/(Backend!$B$4/100*Table1[[#This Row],[BW40_3705]]),"")</f>
        <v/>
      </c>
      <c r="I2779" s="7" t="str">
        <f>IF(Table1[[#This Row],[Is Data Valid]]=TRUE,((Table1[[#This Row],[Birthweight (grams)]]*1.1/Table1[[#This Row],[BW_GA]])-1)/(Backend!$B$4/100*Table1[[#This Row],[BW40_3705]]),"")</f>
        <v/>
      </c>
      <c r="J2779" s="7" t="str">
        <f>IF(Table1[[#This Row],[Is Data Valid]]=TRUE,_xlfn.NORM.S.DIST(Table1[[#This Row],[Birthweight Z-Score]],TRUE)*100,"")</f>
        <v/>
      </c>
      <c r="K2779" s="7" t="str">
        <f>IF(Table1[[#This Row],[Is Data Valid]]=TRUE,_xlfn.NORM.S.DIST(Table1[[#This Row],[Birthweight Z-Score (BW-10%)]],TRUE)*100,"")</f>
        <v/>
      </c>
      <c r="L2779" s="7" t="str">
        <f>IF(Table1[[#This Row],[Is Data Valid]]=TRUE,_xlfn.NORM.S.DIST(Table1[[#This Row],[Birthweight Z-Score (BW+10%)]],TRUE)*100,"")</f>
        <v/>
      </c>
    </row>
    <row r="2780" spans="1:12" x14ac:dyDescent="0.35">
      <c r="A2780" s="3"/>
      <c r="B2780" s="2"/>
      <c r="C2780" s="2"/>
      <c r="D2780" s="2" t="b">
        <f>IF(AND(NOT(ISBLANK(Table1[[#This Row],[Fetal Sex (Male, Female or Unknown)]])),ISNUMBER(Table1[[#This Row],[Birthweight (grams)]]),ISNUMBER(Table1[[#This Row],[Gestation (days)]])),TRUE,FALSE)</f>
        <v>0</v>
      </c>
      <c r="E2780" s="2" t="str">
        <f>IF(Table1[[#This Row],[Is Data Valid]]=TRUE,IF(Table1[[#This Row],[Fetal Sex (Male, Female or Unknown)]]="Male",Backend!$C$6,IF(Table1[[#This Row],[Fetal Sex (Male, Female or Unknown)]]="Female",Backend!$C$7,IF(Table1[[#This Row],[Fetal Sex (Male, Female or Unknown)]]="Unknown",Backend!$C$8,"Error"))),"")</f>
        <v/>
      </c>
      <c r="F2780" s="8" t="str">
        <f>IF(Table1[[#This Row],[Is Data Valid]]=TRUE,EXP(0.578+0.332*((Table1[[#This Row],[Gestation (days)]]+0.5)/7)-0.00354*((Table1[[#This Row],[Gestation (days)]]+0.5)/7)^2)*Table1[[#This Row],[BW40_3705]],"")</f>
        <v/>
      </c>
      <c r="G2780" s="2" t="str">
        <f>IF(Table1[[#This Row],[Is Data Valid]]=TRUE,((Table1[[#This Row],[Birthweight (grams)]]/Table1[[#This Row],[BW_GA]])-1)/(Backend!$B$4/100*Table1[[#This Row],[BW40_3705]]),"")</f>
        <v/>
      </c>
      <c r="H2780" s="7" t="str">
        <f>IF(Table1[[#This Row],[Is Data Valid]]=TRUE,((Table1[[#This Row],[Birthweight (grams)]]*0.9/Table1[[#This Row],[BW_GA]])-1)/(Backend!$B$4/100*Table1[[#This Row],[BW40_3705]]),"")</f>
        <v/>
      </c>
      <c r="I2780" s="7" t="str">
        <f>IF(Table1[[#This Row],[Is Data Valid]]=TRUE,((Table1[[#This Row],[Birthweight (grams)]]*1.1/Table1[[#This Row],[BW_GA]])-1)/(Backend!$B$4/100*Table1[[#This Row],[BW40_3705]]),"")</f>
        <v/>
      </c>
      <c r="J2780" s="7" t="str">
        <f>IF(Table1[[#This Row],[Is Data Valid]]=TRUE,_xlfn.NORM.S.DIST(Table1[[#This Row],[Birthweight Z-Score]],TRUE)*100,"")</f>
        <v/>
      </c>
      <c r="K2780" s="7" t="str">
        <f>IF(Table1[[#This Row],[Is Data Valid]]=TRUE,_xlfn.NORM.S.DIST(Table1[[#This Row],[Birthweight Z-Score (BW-10%)]],TRUE)*100,"")</f>
        <v/>
      </c>
      <c r="L2780" s="7" t="str">
        <f>IF(Table1[[#This Row],[Is Data Valid]]=TRUE,_xlfn.NORM.S.DIST(Table1[[#This Row],[Birthweight Z-Score (BW+10%)]],TRUE)*100,"")</f>
        <v/>
      </c>
    </row>
    <row r="2781" spans="1:12" x14ac:dyDescent="0.35">
      <c r="A2781" s="3"/>
      <c r="B2781" s="2"/>
      <c r="C2781" s="2"/>
      <c r="D2781" s="2" t="b">
        <f>IF(AND(NOT(ISBLANK(Table1[[#This Row],[Fetal Sex (Male, Female or Unknown)]])),ISNUMBER(Table1[[#This Row],[Birthweight (grams)]]),ISNUMBER(Table1[[#This Row],[Gestation (days)]])),TRUE,FALSE)</f>
        <v>0</v>
      </c>
      <c r="E2781" s="2" t="str">
        <f>IF(Table1[[#This Row],[Is Data Valid]]=TRUE,IF(Table1[[#This Row],[Fetal Sex (Male, Female or Unknown)]]="Male",Backend!$C$6,IF(Table1[[#This Row],[Fetal Sex (Male, Female or Unknown)]]="Female",Backend!$C$7,IF(Table1[[#This Row],[Fetal Sex (Male, Female or Unknown)]]="Unknown",Backend!$C$8,"Error"))),"")</f>
        <v/>
      </c>
      <c r="F2781" s="8" t="str">
        <f>IF(Table1[[#This Row],[Is Data Valid]]=TRUE,EXP(0.578+0.332*((Table1[[#This Row],[Gestation (days)]]+0.5)/7)-0.00354*((Table1[[#This Row],[Gestation (days)]]+0.5)/7)^2)*Table1[[#This Row],[BW40_3705]],"")</f>
        <v/>
      </c>
      <c r="G2781" s="2" t="str">
        <f>IF(Table1[[#This Row],[Is Data Valid]]=TRUE,((Table1[[#This Row],[Birthweight (grams)]]/Table1[[#This Row],[BW_GA]])-1)/(Backend!$B$4/100*Table1[[#This Row],[BW40_3705]]),"")</f>
        <v/>
      </c>
      <c r="H2781" s="7" t="str">
        <f>IF(Table1[[#This Row],[Is Data Valid]]=TRUE,((Table1[[#This Row],[Birthweight (grams)]]*0.9/Table1[[#This Row],[BW_GA]])-1)/(Backend!$B$4/100*Table1[[#This Row],[BW40_3705]]),"")</f>
        <v/>
      </c>
      <c r="I2781" s="7" t="str">
        <f>IF(Table1[[#This Row],[Is Data Valid]]=TRUE,((Table1[[#This Row],[Birthweight (grams)]]*1.1/Table1[[#This Row],[BW_GA]])-1)/(Backend!$B$4/100*Table1[[#This Row],[BW40_3705]]),"")</f>
        <v/>
      </c>
      <c r="J2781" s="7" t="str">
        <f>IF(Table1[[#This Row],[Is Data Valid]]=TRUE,_xlfn.NORM.S.DIST(Table1[[#This Row],[Birthweight Z-Score]],TRUE)*100,"")</f>
        <v/>
      </c>
      <c r="K2781" s="7" t="str">
        <f>IF(Table1[[#This Row],[Is Data Valid]]=TRUE,_xlfn.NORM.S.DIST(Table1[[#This Row],[Birthweight Z-Score (BW-10%)]],TRUE)*100,"")</f>
        <v/>
      </c>
      <c r="L2781" s="7" t="str">
        <f>IF(Table1[[#This Row],[Is Data Valid]]=TRUE,_xlfn.NORM.S.DIST(Table1[[#This Row],[Birthweight Z-Score (BW+10%)]],TRUE)*100,"")</f>
        <v/>
      </c>
    </row>
    <row r="2782" spans="1:12" x14ac:dyDescent="0.35">
      <c r="A2782" s="3"/>
      <c r="B2782" s="2"/>
      <c r="C2782" s="2"/>
      <c r="D2782" s="2" t="b">
        <f>IF(AND(NOT(ISBLANK(Table1[[#This Row],[Fetal Sex (Male, Female or Unknown)]])),ISNUMBER(Table1[[#This Row],[Birthweight (grams)]]),ISNUMBER(Table1[[#This Row],[Gestation (days)]])),TRUE,FALSE)</f>
        <v>0</v>
      </c>
      <c r="E2782" s="2" t="str">
        <f>IF(Table1[[#This Row],[Is Data Valid]]=TRUE,IF(Table1[[#This Row],[Fetal Sex (Male, Female or Unknown)]]="Male",Backend!$C$6,IF(Table1[[#This Row],[Fetal Sex (Male, Female or Unknown)]]="Female",Backend!$C$7,IF(Table1[[#This Row],[Fetal Sex (Male, Female or Unknown)]]="Unknown",Backend!$C$8,"Error"))),"")</f>
        <v/>
      </c>
      <c r="F2782" s="8" t="str">
        <f>IF(Table1[[#This Row],[Is Data Valid]]=TRUE,EXP(0.578+0.332*((Table1[[#This Row],[Gestation (days)]]+0.5)/7)-0.00354*((Table1[[#This Row],[Gestation (days)]]+0.5)/7)^2)*Table1[[#This Row],[BW40_3705]],"")</f>
        <v/>
      </c>
      <c r="G2782" s="2" t="str">
        <f>IF(Table1[[#This Row],[Is Data Valid]]=TRUE,((Table1[[#This Row],[Birthweight (grams)]]/Table1[[#This Row],[BW_GA]])-1)/(Backend!$B$4/100*Table1[[#This Row],[BW40_3705]]),"")</f>
        <v/>
      </c>
      <c r="H2782" s="7" t="str">
        <f>IF(Table1[[#This Row],[Is Data Valid]]=TRUE,((Table1[[#This Row],[Birthweight (grams)]]*0.9/Table1[[#This Row],[BW_GA]])-1)/(Backend!$B$4/100*Table1[[#This Row],[BW40_3705]]),"")</f>
        <v/>
      </c>
      <c r="I2782" s="7" t="str">
        <f>IF(Table1[[#This Row],[Is Data Valid]]=TRUE,((Table1[[#This Row],[Birthweight (grams)]]*1.1/Table1[[#This Row],[BW_GA]])-1)/(Backend!$B$4/100*Table1[[#This Row],[BW40_3705]]),"")</f>
        <v/>
      </c>
      <c r="J2782" s="7" t="str">
        <f>IF(Table1[[#This Row],[Is Data Valid]]=TRUE,_xlfn.NORM.S.DIST(Table1[[#This Row],[Birthweight Z-Score]],TRUE)*100,"")</f>
        <v/>
      </c>
      <c r="K2782" s="7" t="str">
        <f>IF(Table1[[#This Row],[Is Data Valid]]=TRUE,_xlfn.NORM.S.DIST(Table1[[#This Row],[Birthweight Z-Score (BW-10%)]],TRUE)*100,"")</f>
        <v/>
      </c>
      <c r="L2782" s="7" t="str">
        <f>IF(Table1[[#This Row],[Is Data Valid]]=TRUE,_xlfn.NORM.S.DIST(Table1[[#This Row],[Birthweight Z-Score (BW+10%)]],TRUE)*100,"")</f>
        <v/>
      </c>
    </row>
    <row r="2783" spans="1:12" x14ac:dyDescent="0.35">
      <c r="A2783" s="3"/>
      <c r="B2783" s="2"/>
      <c r="C2783" s="2"/>
      <c r="D2783" s="2" t="b">
        <f>IF(AND(NOT(ISBLANK(Table1[[#This Row],[Fetal Sex (Male, Female or Unknown)]])),ISNUMBER(Table1[[#This Row],[Birthweight (grams)]]),ISNUMBER(Table1[[#This Row],[Gestation (days)]])),TRUE,FALSE)</f>
        <v>0</v>
      </c>
      <c r="E2783" s="2" t="str">
        <f>IF(Table1[[#This Row],[Is Data Valid]]=TRUE,IF(Table1[[#This Row],[Fetal Sex (Male, Female or Unknown)]]="Male",Backend!$C$6,IF(Table1[[#This Row],[Fetal Sex (Male, Female or Unknown)]]="Female",Backend!$C$7,IF(Table1[[#This Row],[Fetal Sex (Male, Female or Unknown)]]="Unknown",Backend!$C$8,"Error"))),"")</f>
        <v/>
      </c>
      <c r="F2783" s="8" t="str">
        <f>IF(Table1[[#This Row],[Is Data Valid]]=TRUE,EXP(0.578+0.332*((Table1[[#This Row],[Gestation (days)]]+0.5)/7)-0.00354*((Table1[[#This Row],[Gestation (days)]]+0.5)/7)^2)*Table1[[#This Row],[BW40_3705]],"")</f>
        <v/>
      </c>
      <c r="G2783" s="2" t="str">
        <f>IF(Table1[[#This Row],[Is Data Valid]]=TRUE,((Table1[[#This Row],[Birthweight (grams)]]/Table1[[#This Row],[BW_GA]])-1)/(Backend!$B$4/100*Table1[[#This Row],[BW40_3705]]),"")</f>
        <v/>
      </c>
      <c r="H2783" s="7" t="str">
        <f>IF(Table1[[#This Row],[Is Data Valid]]=TRUE,((Table1[[#This Row],[Birthweight (grams)]]*0.9/Table1[[#This Row],[BW_GA]])-1)/(Backend!$B$4/100*Table1[[#This Row],[BW40_3705]]),"")</f>
        <v/>
      </c>
      <c r="I2783" s="7" t="str">
        <f>IF(Table1[[#This Row],[Is Data Valid]]=TRUE,((Table1[[#This Row],[Birthweight (grams)]]*1.1/Table1[[#This Row],[BW_GA]])-1)/(Backend!$B$4/100*Table1[[#This Row],[BW40_3705]]),"")</f>
        <v/>
      </c>
      <c r="J2783" s="7" t="str">
        <f>IF(Table1[[#This Row],[Is Data Valid]]=TRUE,_xlfn.NORM.S.DIST(Table1[[#This Row],[Birthweight Z-Score]],TRUE)*100,"")</f>
        <v/>
      </c>
      <c r="K2783" s="7" t="str">
        <f>IF(Table1[[#This Row],[Is Data Valid]]=TRUE,_xlfn.NORM.S.DIST(Table1[[#This Row],[Birthweight Z-Score (BW-10%)]],TRUE)*100,"")</f>
        <v/>
      </c>
      <c r="L2783" s="7" t="str">
        <f>IF(Table1[[#This Row],[Is Data Valid]]=TRUE,_xlfn.NORM.S.DIST(Table1[[#This Row],[Birthweight Z-Score (BW+10%)]],TRUE)*100,"")</f>
        <v/>
      </c>
    </row>
    <row r="2784" spans="1:12" x14ac:dyDescent="0.35">
      <c r="A2784" s="3"/>
      <c r="B2784" s="2"/>
      <c r="C2784" s="2"/>
      <c r="D2784" s="2" t="b">
        <f>IF(AND(NOT(ISBLANK(Table1[[#This Row],[Fetal Sex (Male, Female or Unknown)]])),ISNUMBER(Table1[[#This Row],[Birthweight (grams)]]),ISNUMBER(Table1[[#This Row],[Gestation (days)]])),TRUE,FALSE)</f>
        <v>0</v>
      </c>
      <c r="E2784" s="2" t="str">
        <f>IF(Table1[[#This Row],[Is Data Valid]]=TRUE,IF(Table1[[#This Row],[Fetal Sex (Male, Female or Unknown)]]="Male",Backend!$C$6,IF(Table1[[#This Row],[Fetal Sex (Male, Female or Unknown)]]="Female",Backend!$C$7,IF(Table1[[#This Row],[Fetal Sex (Male, Female or Unknown)]]="Unknown",Backend!$C$8,"Error"))),"")</f>
        <v/>
      </c>
      <c r="F2784" s="8" t="str">
        <f>IF(Table1[[#This Row],[Is Data Valid]]=TRUE,EXP(0.578+0.332*((Table1[[#This Row],[Gestation (days)]]+0.5)/7)-0.00354*((Table1[[#This Row],[Gestation (days)]]+0.5)/7)^2)*Table1[[#This Row],[BW40_3705]],"")</f>
        <v/>
      </c>
      <c r="G2784" s="2" t="str">
        <f>IF(Table1[[#This Row],[Is Data Valid]]=TRUE,((Table1[[#This Row],[Birthweight (grams)]]/Table1[[#This Row],[BW_GA]])-1)/(Backend!$B$4/100*Table1[[#This Row],[BW40_3705]]),"")</f>
        <v/>
      </c>
      <c r="H2784" s="7" t="str">
        <f>IF(Table1[[#This Row],[Is Data Valid]]=TRUE,((Table1[[#This Row],[Birthweight (grams)]]*0.9/Table1[[#This Row],[BW_GA]])-1)/(Backend!$B$4/100*Table1[[#This Row],[BW40_3705]]),"")</f>
        <v/>
      </c>
      <c r="I2784" s="7" t="str">
        <f>IF(Table1[[#This Row],[Is Data Valid]]=TRUE,((Table1[[#This Row],[Birthweight (grams)]]*1.1/Table1[[#This Row],[BW_GA]])-1)/(Backend!$B$4/100*Table1[[#This Row],[BW40_3705]]),"")</f>
        <v/>
      </c>
      <c r="J2784" s="7" t="str">
        <f>IF(Table1[[#This Row],[Is Data Valid]]=TRUE,_xlfn.NORM.S.DIST(Table1[[#This Row],[Birthweight Z-Score]],TRUE)*100,"")</f>
        <v/>
      </c>
      <c r="K2784" s="7" t="str">
        <f>IF(Table1[[#This Row],[Is Data Valid]]=TRUE,_xlfn.NORM.S.DIST(Table1[[#This Row],[Birthweight Z-Score (BW-10%)]],TRUE)*100,"")</f>
        <v/>
      </c>
      <c r="L2784" s="7" t="str">
        <f>IF(Table1[[#This Row],[Is Data Valid]]=TRUE,_xlfn.NORM.S.DIST(Table1[[#This Row],[Birthweight Z-Score (BW+10%)]],TRUE)*100,"")</f>
        <v/>
      </c>
    </row>
    <row r="2785" spans="1:12" x14ac:dyDescent="0.35">
      <c r="A2785" s="3"/>
      <c r="B2785" s="2"/>
      <c r="C2785" s="2"/>
      <c r="D2785" s="2" t="b">
        <f>IF(AND(NOT(ISBLANK(Table1[[#This Row],[Fetal Sex (Male, Female or Unknown)]])),ISNUMBER(Table1[[#This Row],[Birthweight (grams)]]),ISNUMBER(Table1[[#This Row],[Gestation (days)]])),TRUE,FALSE)</f>
        <v>0</v>
      </c>
      <c r="E2785" s="2" t="str">
        <f>IF(Table1[[#This Row],[Is Data Valid]]=TRUE,IF(Table1[[#This Row],[Fetal Sex (Male, Female or Unknown)]]="Male",Backend!$C$6,IF(Table1[[#This Row],[Fetal Sex (Male, Female or Unknown)]]="Female",Backend!$C$7,IF(Table1[[#This Row],[Fetal Sex (Male, Female or Unknown)]]="Unknown",Backend!$C$8,"Error"))),"")</f>
        <v/>
      </c>
      <c r="F2785" s="8" t="str">
        <f>IF(Table1[[#This Row],[Is Data Valid]]=TRUE,EXP(0.578+0.332*((Table1[[#This Row],[Gestation (days)]]+0.5)/7)-0.00354*((Table1[[#This Row],[Gestation (days)]]+0.5)/7)^2)*Table1[[#This Row],[BW40_3705]],"")</f>
        <v/>
      </c>
      <c r="G2785" s="2" t="str">
        <f>IF(Table1[[#This Row],[Is Data Valid]]=TRUE,((Table1[[#This Row],[Birthweight (grams)]]/Table1[[#This Row],[BW_GA]])-1)/(Backend!$B$4/100*Table1[[#This Row],[BW40_3705]]),"")</f>
        <v/>
      </c>
      <c r="H2785" s="7" t="str">
        <f>IF(Table1[[#This Row],[Is Data Valid]]=TRUE,((Table1[[#This Row],[Birthweight (grams)]]*0.9/Table1[[#This Row],[BW_GA]])-1)/(Backend!$B$4/100*Table1[[#This Row],[BW40_3705]]),"")</f>
        <v/>
      </c>
      <c r="I2785" s="7" t="str">
        <f>IF(Table1[[#This Row],[Is Data Valid]]=TRUE,((Table1[[#This Row],[Birthweight (grams)]]*1.1/Table1[[#This Row],[BW_GA]])-1)/(Backend!$B$4/100*Table1[[#This Row],[BW40_3705]]),"")</f>
        <v/>
      </c>
      <c r="J2785" s="7" t="str">
        <f>IF(Table1[[#This Row],[Is Data Valid]]=TRUE,_xlfn.NORM.S.DIST(Table1[[#This Row],[Birthweight Z-Score]],TRUE)*100,"")</f>
        <v/>
      </c>
      <c r="K2785" s="7" t="str">
        <f>IF(Table1[[#This Row],[Is Data Valid]]=TRUE,_xlfn.NORM.S.DIST(Table1[[#This Row],[Birthweight Z-Score (BW-10%)]],TRUE)*100,"")</f>
        <v/>
      </c>
      <c r="L2785" s="7" t="str">
        <f>IF(Table1[[#This Row],[Is Data Valid]]=TRUE,_xlfn.NORM.S.DIST(Table1[[#This Row],[Birthweight Z-Score (BW+10%)]],TRUE)*100,"")</f>
        <v/>
      </c>
    </row>
    <row r="2786" spans="1:12" x14ac:dyDescent="0.35">
      <c r="A2786" s="3"/>
      <c r="B2786" s="2"/>
      <c r="C2786" s="2"/>
      <c r="D2786" s="2" t="b">
        <f>IF(AND(NOT(ISBLANK(Table1[[#This Row],[Fetal Sex (Male, Female or Unknown)]])),ISNUMBER(Table1[[#This Row],[Birthweight (grams)]]),ISNUMBER(Table1[[#This Row],[Gestation (days)]])),TRUE,FALSE)</f>
        <v>0</v>
      </c>
      <c r="E2786" s="2" t="str">
        <f>IF(Table1[[#This Row],[Is Data Valid]]=TRUE,IF(Table1[[#This Row],[Fetal Sex (Male, Female or Unknown)]]="Male",Backend!$C$6,IF(Table1[[#This Row],[Fetal Sex (Male, Female or Unknown)]]="Female",Backend!$C$7,IF(Table1[[#This Row],[Fetal Sex (Male, Female or Unknown)]]="Unknown",Backend!$C$8,"Error"))),"")</f>
        <v/>
      </c>
      <c r="F2786" s="8" t="str">
        <f>IF(Table1[[#This Row],[Is Data Valid]]=TRUE,EXP(0.578+0.332*((Table1[[#This Row],[Gestation (days)]]+0.5)/7)-0.00354*((Table1[[#This Row],[Gestation (days)]]+0.5)/7)^2)*Table1[[#This Row],[BW40_3705]],"")</f>
        <v/>
      </c>
      <c r="G2786" s="2" t="str">
        <f>IF(Table1[[#This Row],[Is Data Valid]]=TRUE,((Table1[[#This Row],[Birthweight (grams)]]/Table1[[#This Row],[BW_GA]])-1)/(Backend!$B$4/100*Table1[[#This Row],[BW40_3705]]),"")</f>
        <v/>
      </c>
      <c r="H2786" s="7" t="str">
        <f>IF(Table1[[#This Row],[Is Data Valid]]=TRUE,((Table1[[#This Row],[Birthweight (grams)]]*0.9/Table1[[#This Row],[BW_GA]])-1)/(Backend!$B$4/100*Table1[[#This Row],[BW40_3705]]),"")</f>
        <v/>
      </c>
      <c r="I2786" s="7" t="str">
        <f>IF(Table1[[#This Row],[Is Data Valid]]=TRUE,((Table1[[#This Row],[Birthweight (grams)]]*1.1/Table1[[#This Row],[BW_GA]])-1)/(Backend!$B$4/100*Table1[[#This Row],[BW40_3705]]),"")</f>
        <v/>
      </c>
      <c r="J2786" s="7" t="str">
        <f>IF(Table1[[#This Row],[Is Data Valid]]=TRUE,_xlfn.NORM.S.DIST(Table1[[#This Row],[Birthweight Z-Score]],TRUE)*100,"")</f>
        <v/>
      </c>
      <c r="K2786" s="7" t="str">
        <f>IF(Table1[[#This Row],[Is Data Valid]]=TRUE,_xlfn.NORM.S.DIST(Table1[[#This Row],[Birthweight Z-Score (BW-10%)]],TRUE)*100,"")</f>
        <v/>
      </c>
      <c r="L2786" s="7" t="str">
        <f>IF(Table1[[#This Row],[Is Data Valid]]=TRUE,_xlfn.NORM.S.DIST(Table1[[#This Row],[Birthweight Z-Score (BW+10%)]],TRUE)*100,"")</f>
        <v/>
      </c>
    </row>
    <row r="2787" spans="1:12" x14ac:dyDescent="0.35">
      <c r="A2787" s="3"/>
      <c r="B2787" s="2"/>
      <c r="C2787" s="2"/>
      <c r="D2787" s="2" t="b">
        <f>IF(AND(NOT(ISBLANK(Table1[[#This Row],[Fetal Sex (Male, Female or Unknown)]])),ISNUMBER(Table1[[#This Row],[Birthweight (grams)]]),ISNUMBER(Table1[[#This Row],[Gestation (days)]])),TRUE,FALSE)</f>
        <v>0</v>
      </c>
      <c r="E2787" s="2" t="str">
        <f>IF(Table1[[#This Row],[Is Data Valid]]=TRUE,IF(Table1[[#This Row],[Fetal Sex (Male, Female or Unknown)]]="Male",Backend!$C$6,IF(Table1[[#This Row],[Fetal Sex (Male, Female or Unknown)]]="Female",Backend!$C$7,IF(Table1[[#This Row],[Fetal Sex (Male, Female or Unknown)]]="Unknown",Backend!$C$8,"Error"))),"")</f>
        <v/>
      </c>
      <c r="F2787" s="8" t="str">
        <f>IF(Table1[[#This Row],[Is Data Valid]]=TRUE,EXP(0.578+0.332*((Table1[[#This Row],[Gestation (days)]]+0.5)/7)-0.00354*((Table1[[#This Row],[Gestation (days)]]+0.5)/7)^2)*Table1[[#This Row],[BW40_3705]],"")</f>
        <v/>
      </c>
      <c r="G2787" s="2" t="str">
        <f>IF(Table1[[#This Row],[Is Data Valid]]=TRUE,((Table1[[#This Row],[Birthweight (grams)]]/Table1[[#This Row],[BW_GA]])-1)/(Backend!$B$4/100*Table1[[#This Row],[BW40_3705]]),"")</f>
        <v/>
      </c>
      <c r="H2787" s="7" t="str">
        <f>IF(Table1[[#This Row],[Is Data Valid]]=TRUE,((Table1[[#This Row],[Birthweight (grams)]]*0.9/Table1[[#This Row],[BW_GA]])-1)/(Backend!$B$4/100*Table1[[#This Row],[BW40_3705]]),"")</f>
        <v/>
      </c>
      <c r="I2787" s="7" t="str">
        <f>IF(Table1[[#This Row],[Is Data Valid]]=TRUE,((Table1[[#This Row],[Birthweight (grams)]]*1.1/Table1[[#This Row],[BW_GA]])-1)/(Backend!$B$4/100*Table1[[#This Row],[BW40_3705]]),"")</f>
        <v/>
      </c>
      <c r="J2787" s="7" t="str">
        <f>IF(Table1[[#This Row],[Is Data Valid]]=TRUE,_xlfn.NORM.S.DIST(Table1[[#This Row],[Birthweight Z-Score]],TRUE)*100,"")</f>
        <v/>
      </c>
      <c r="K2787" s="7" t="str">
        <f>IF(Table1[[#This Row],[Is Data Valid]]=TRUE,_xlfn.NORM.S.DIST(Table1[[#This Row],[Birthweight Z-Score (BW-10%)]],TRUE)*100,"")</f>
        <v/>
      </c>
      <c r="L2787" s="7" t="str">
        <f>IF(Table1[[#This Row],[Is Data Valid]]=TRUE,_xlfn.NORM.S.DIST(Table1[[#This Row],[Birthweight Z-Score (BW+10%)]],TRUE)*100,"")</f>
        <v/>
      </c>
    </row>
    <row r="2788" spans="1:12" x14ac:dyDescent="0.35">
      <c r="A2788" s="3"/>
      <c r="B2788" s="2"/>
      <c r="C2788" s="2"/>
      <c r="D2788" s="2" t="b">
        <f>IF(AND(NOT(ISBLANK(Table1[[#This Row],[Fetal Sex (Male, Female or Unknown)]])),ISNUMBER(Table1[[#This Row],[Birthweight (grams)]]),ISNUMBER(Table1[[#This Row],[Gestation (days)]])),TRUE,FALSE)</f>
        <v>0</v>
      </c>
      <c r="E2788" s="2" t="str">
        <f>IF(Table1[[#This Row],[Is Data Valid]]=TRUE,IF(Table1[[#This Row],[Fetal Sex (Male, Female or Unknown)]]="Male",Backend!$C$6,IF(Table1[[#This Row],[Fetal Sex (Male, Female or Unknown)]]="Female",Backend!$C$7,IF(Table1[[#This Row],[Fetal Sex (Male, Female or Unknown)]]="Unknown",Backend!$C$8,"Error"))),"")</f>
        <v/>
      </c>
      <c r="F2788" s="8" t="str">
        <f>IF(Table1[[#This Row],[Is Data Valid]]=TRUE,EXP(0.578+0.332*((Table1[[#This Row],[Gestation (days)]]+0.5)/7)-0.00354*((Table1[[#This Row],[Gestation (days)]]+0.5)/7)^2)*Table1[[#This Row],[BW40_3705]],"")</f>
        <v/>
      </c>
      <c r="G2788" s="2" t="str">
        <f>IF(Table1[[#This Row],[Is Data Valid]]=TRUE,((Table1[[#This Row],[Birthweight (grams)]]/Table1[[#This Row],[BW_GA]])-1)/(Backend!$B$4/100*Table1[[#This Row],[BW40_3705]]),"")</f>
        <v/>
      </c>
      <c r="H2788" s="7" t="str">
        <f>IF(Table1[[#This Row],[Is Data Valid]]=TRUE,((Table1[[#This Row],[Birthweight (grams)]]*0.9/Table1[[#This Row],[BW_GA]])-1)/(Backend!$B$4/100*Table1[[#This Row],[BW40_3705]]),"")</f>
        <v/>
      </c>
      <c r="I2788" s="7" t="str">
        <f>IF(Table1[[#This Row],[Is Data Valid]]=TRUE,((Table1[[#This Row],[Birthweight (grams)]]*1.1/Table1[[#This Row],[BW_GA]])-1)/(Backend!$B$4/100*Table1[[#This Row],[BW40_3705]]),"")</f>
        <v/>
      </c>
      <c r="J2788" s="7" t="str">
        <f>IF(Table1[[#This Row],[Is Data Valid]]=TRUE,_xlfn.NORM.S.DIST(Table1[[#This Row],[Birthweight Z-Score]],TRUE)*100,"")</f>
        <v/>
      </c>
      <c r="K2788" s="7" t="str">
        <f>IF(Table1[[#This Row],[Is Data Valid]]=TRUE,_xlfn.NORM.S.DIST(Table1[[#This Row],[Birthweight Z-Score (BW-10%)]],TRUE)*100,"")</f>
        <v/>
      </c>
      <c r="L2788" s="7" t="str">
        <f>IF(Table1[[#This Row],[Is Data Valid]]=TRUE,_xlfn.NORM.S.DIST(Table1[[#This Row],[Birthweight Z-Score (BW+10%)]],TRUE)*100,"")</f>
        <v/>
      </c>
    </row>
    <row r="2789" spans="1:12" x14ac:dyDescent="0.35">
      <c r="A2789" s="3"/>
      <c r="B2789" s="2"/>
      <c r="C2789" s="2"/>
      <c r="D2789" s="2" t="b">
        <f>IF(AND(NOT(ISBLANK(Table1[[#This Row],[Fetal Sex (Male, Female or Unknown)]])),ISNUMBER(Table1[[#This Row],[Birthweight (grams)]]),ISNUMBER(Table1[[#This Row],[Gestation (days)]])),TRUE,FALSE)</f>
        <v>0</v>
      </c>
      <c r="E2789" s="2" t="str">
        <f>IF(Table1[[#This Row],[Is Data Valid]]=TRUE,IF(Table1[[#This Row],[Fetal Sex (Male, Female or Unknown)]]="Male",Backend!$C$6,IF(Table1[[#This Row],[Fetal Sex (Male, Female or Unknown)]]="Female",Backend!$C$7,IF(Table1[[#This Row],[Fetal Sex (Male, Female or Unknown)]]="Unknown",Backend!$C$8,"Error"))),"")</f>
        <v/>
      </c>
      <c r="F2789" s="8" t="str">
        <f>IF(Table1[[#This Row],[Is Data Valid]]=TRUE,EXP(0.578+0.332*((Table1[[#This Row],[Gestation (days)]]+0.5)/7)-0.00354*((Table1[[#This Row],[Gestation (days)]]+0.5)/7)^2)*Table1[[#This Row],[BW40_3705]],"")</f>
        <v/>
      </c>
      <c r="G2789" s="2" t="str">
        <f>IF(Table1[[#This Row],[Is Data Valid]]=TRUE,((Table1[[#This Row],[Birthweight (grams)]]/Table1[[#This Row],[BW_GA]])-1)/(Backend!$B$4/100*Table1[[#This Row],[BW40_3705]]),"")</f>
        <v/>
      </c>
      <c r="H2789" s="7" t="str">
        <f>IF(Table1[[#This Row],[Is Data Valid]]=TRUE,((Table1[[#This Row],[Birthweight (grams)]]*0.9/Table1[[#This Row],[BW_GA]])-1)/(Backend!$B$4/100*Table1[[#This Row],[BW40_3705]]),"")</f>
        <v/>
      </c>
      <c r="I2789" s="7" t="str">
        <f>IF(Table1[[#This Row],[Is Data Valid]]=TRUE,((Table1[[#This Row],[Birthweight (grams)]]*1.1/Table1[[#This Row],[BW_GA]])-1)/(Backend!$B$4/100*Table1[[#This Row],[BW40_3705]]),"")</f>
        <v/>
      </c>
      <c r="J2789" s="7" t="str">
        <f>IF(Table1[[#This Row],[Is Data Valid]]=TRUE,_xlfn.NORM.S.DIST(Table1[[#This Row],[Birthweight Z-Score]],TRUE)*100,"")</f>
        <v/>
      </c>
      <c r="K2789" s="7" t="str">
        <f>IF(Table1[[#This Row],[Is Data Valid]]=TRUE,_xlfn.NORM.S.DIST(Table1[[#This Row],[Birthweight Z-Score (BW-10%)]],TRUE)*100,"")</f>
        <v/>
      </c>
      <c r="L2789" s="7" t="str">
        <f>IF(Table1[[#This Row],[Is Data Valid]]=TRUE,_xlfn.NORM.S.DIST(Table1[[#This Row],[Birthweight Z-Score (BW+10%)]],TRUE)*100,"")</f>
        <v/>
      </c>
    </row>
    <row r="2790" spans="1:12" x14ac:dyDescent="0.35">
      <c r="A2790" s="3"/>
      <c r="B2790" s="2"/>
      <c r="C2790" s="2"/>
      <c r="D2790" s="2" t="b">
        <f>IF(AND(NOT(ISBLANK(Table1[[#This Row],[Fetal Sex (Male, Female or Unknown)]])),ISNUMBER(Table1[[#This Row],[Birthweight (grams)]]),ISNUMBER(Table1[[#This Row],[Gestation (days)]])),TRUE,FALSE)</f>
        <v>0</v>
      </c>
      <c r="E2790" s="2" t="str">
        <f>IF(Table1[[#This Row],[Is Data Valid]]=TRUE,IF(Table1[[#This Row],[Fetal Sex (Male, Female or Unknown)]]="Male",Backend!$C$6,IF(Table1[[#This Row],[Fetal Sex (Male, Female or Unknown)]]="Female",Backend!$C$7,IF(Table1[[#This Row],[Fetal Sex (Male, Female or Unknown)]]="Unknown",Backend!$C$8,"Error"))),"")</f>
        <v/>
      </c>
      <c r="F2790" s="8" t="str">
        <f>IF(Table1[[#This Row],[Is Data Valid]]=TRUE,EXP(0.578+0.332*((Table1[[#This Row],[Gestation (days)]]+0.5)/7)-0.00354*((Table1[[#This Row],[Gestation (days)]]+0.5)/7)^2)*Table1[[#This Row],[BW40_3705]],"")</f>
        <v/>
      </c>
      <c r="G2790" s="2" t="str">
        <f>IF(Table1[[#This Row],[Is Data Valid]]=TRUE,((Table1[[#This Row],[Birthweight (grams)]]/Table1[[#This Row],[BW_GA]])-1)/(Backend!$B$4/100*Table1[[#This Row],[BW40_3705]]),"")</f>
        <v/>
      </c>
      <c r="H2790" s="7" t="str">
        <f>IF(Table1[[#This Row],[Is Data Valid]]=TRUE,((Table1[[#This Row],[Birthweight (grams)]]*0.9/Table1[[#This Row],[BW_GA]])-1)/(Backend!$B$4/100*Table1[[#This Row],[BW40_3705]]),"")</f>
        <v/>
      </c>
      <c r="I2790" s="7" t="str">
        <f>IF(Table1[[#This Row],[Is Data Valid]]=TRUE,((Table1[[#This Row],[Birthweight (grams)]]*1.1/Table1[[#This Row],[BW_GA]])-1)/(Backend!$B$4/100*Table1[[#This Row],[BW40_3705]]),"")</f>
        <v/>
      </c>
      <c r="J2790" s="7" t="str">
        <f>IF(Table1[[#This Row],[Is Data Valid]]=TRUE,_xlfn.NORM.S.DIST(Table1[[#This Row],[Birthweight Z-Score]],TRUE)*100,"")</f>
        <v/>
      </c>
      <c r="K2790" s="7" t="str">
        <f>IF(Table1[[#This Row],[Is Data Valid]]=TRUE,_xlfn.NORM.S.DIST(Table1[[#This Row],[Birthweight Z-Score (BW-10%)]],TRUE)*100,"")</f>
        <v/>
      </c>
      <c r="L2790" s="7" t="str">
        <f>IF(Table1[[#This Row],[Is Data Valid]]=TRUE,_xlfn.NORM.S.DIST(Table1[[#This Row],[Birthweight Z-Score (BW+10%)]],TRUE)*100,"")</f>
        <v/>
      </c>
    </row>
    <row r="2791" spans="1:12" x14ac:dyDescent="0.35">
      <c r="A2791" s="3"/>
      <c r="B2791" s="2"/>
      <c r="C2791" s="2"/>
      <c r="D2791" s="2" t="b">
        <f>IF(AND(NOT(ISBLANK(Table1[[#This Row],[Fetal Sex (Male, Female or Unknown)]])),ISNUMBER(Table1[[#This Row],[Birthweight (grams)]]),ISNUMBER(Table1[[#This Row],[Gestation (days)]])),TRUE,FALSE)</f>
        <v>0</v>
      </c>
      <c r="E2791" s="2" t="str">
        <f>IF(Table1[[#This Row],[Is Data Valid]]=TRUE,IF(Table1[[#This Row],[Fetal Sex (Male, Female or Unknown)]]="Male",Backend!$C$6,IF(Table1[[#This Row],[Fetal Sex (Male, Female or Unknown)]]="Female",Backend!$C$7,IF(Table1[[#This Row],[Fetal Sex (Male, Female or Unknown)]]="Unknown",Backend!$C$8,"Error"))),"")</f>
        <v/>
      </c>
      <c r="F2791" s="8" t="str">
        <f>IF(Table1[[#This Row],[Is Data Valid]]=TRUE,EXP(0.578+0.332*((Table1[[#This Row],[Gestation (days)]]+0.5)/7)-0.00354*((Table1[[#This Row],[Gestation (days)]]+0.5)/7)^2)*Table1[[#This Row],[BW40_3705]],"")</f>
        <v/>
      </c>
      <c r="G2791" s="2" t="str">
        <f>IF(Table1[[#This Row],[Is Data Valid]]=TRUE,((Table1[[#This Row],[Birthweight (grams)]]/Table1[[#This Row],[BW_GA]])-1)/(Backend!$B$4/100*Table1[[#This Row],[BW40_3705]]),"")</f>
        <v/>
      </c>
      <c r="H2791" s="7" t="str">
        <f>IF(Table1[[#This Row],[Is Data Valid]]=TRUE,((Table1[[#This Row],[Birthweight (grams)]]*0.9/Table1[[#This Row],[BW_GA]])-1)/(Backend!$B$4/100*Table1[[#This Row],[BW40_3705]]),"")</f>
        <v/>
      </c>
      <c r="I2791" s="7" t="str">
        <f>IF(Table1[[#This Row],[Is Data Valid]]=TRUE,((Table1[[#This Row],[Birthweight (grams)]]*1.1/Table1[[#This Row],[BW_GA]])-1)/(Backend!$B$4/100*Table1[[#This Row],[BW40_3705]]),"")</f>
        <v/>
      </c>
      <c r="J2791" s="7" t="str">
        <f>IF(Table1[[#This Row],[Is Data Valid]]=TRUE,_xlfn.NORM.S.DIST(Table1[[#This Row],[Birthweight Z-Score]],TRUE)*100,"")</f>
        <v/>
      </c>
      <c r="K2791" s="7" t="str">
        <f>IF(Table1[[#This Row],[Is Data Valid]]=TRUE,_xlfn.NORM.S.DIST(Table1[[#This Row],[Birthweight Z-Score (BW-10%)]],TRUE)*100,"")</f>
        <v/>
      </c>
      <c r="L2791" s="7" t="str">
        <f>IF(Table1[[#This Row],[Is Data Valid]]=TRUE,_xlfn.NORM.S.DIST(Table1[[#This Row],[Birthweight Z-Score (BW+10%)]],TRUE)*100,"")</f>
        <v/>
      </c>
    </row>
    <row r="2792" spans="1:12" x14ac:dyDescent="0.35">
      <c r="A2792" s="3"/>
      <c r="B2792" s="2"/>
      <c r="C2792" s="2"/>
      <c r="D2792" s="2" t="b">
        <f>IF(AND(NOT(ISBLANK(Table1[[#This Row],[Fetal Sex (Male, Female or Unknown)]])),ISNUMBER(Table1[[#This Row],[Birthweight (grams)]]),ISNUMBER(Table1[[#This Row],[Gestation (days)]])),TRUE,FALSE)</f>
        <v>0</v>
      </c>
      <c r="E2792" s="2" t="str">
        <f>IF(Table1[[#This Row],[Is Data Valid]]=TRUE,IF(Table1[[#This Row],[Fetal Sex (Male, Female or Unknown)]]="Male",Backend!$C$6,IF(Table1[[#This Row],[Fetal Sex (Male, Female or Unknown)]]="Female",Backend!$C$7,IF(Table1[[#This Row],[Fetal Sex (Male, Female or Unknown)]]="Unknown",Backend!$C$8,"Error"))),"")</f>
        <v/>
      </c>
      <c r="F2792" s="8" t="str">
        <f>IF(Table1[[#This Row],[Is Data Valid]]=TRUE,EXP(0.578+0.332*((Table1[[#This Row],[Gestation (days)]]+0.5)/7)-0.00354*((Table1[[#This Row],[Gestation (days)]]+0.5)/7)^2)*Table1[[#This Row],[BW40_3705]],"")</f>
        <v/>
      </c>
      <c r="G2792" s="2" t="str">
        <f>IF(Table1[[#This Row],[Is Data Valid]]=TRUE,((Table1[[#This Row],[Birthweight (grams)]]/Table1[[#This Row],[BW_GA]])-1)/(Backend!$B$4/100*Table1[[#This Row],[BW40_3705]]),"")</f>
        <v/>
      </c>
      <c r="H2792" s="7" t="str">
        <f>IF(Table1[[#This Row],[Is Data Valid]]=TRUE,((Table1[[#This Row],[Birthweight (grams)]]*0.9/Table1[[#This Row],[BW_GA]])-1)/(Backend!$B$4/100*Table1[[#This Row],[BW40_3705]]),"")</f>
        <v/>
      </c>
      <c r="I2792" s="7" t="str">
        <f>IF(Table1[[#This Row],[Is Data Valid]]=TRUE,((Table1[[#This Row],[Birthweight (grams)]]*1.1/Table1[[#This Row],[BW_GA]])-1)/(Backend!$B$4/100*Table1[[#This Row],[BW40_3705]]),"")</f>
        <v/>
      </c>
      <c r="J2792" s="7" t="str">
        <f>IF(Table1[[#This Row],[Is Data Valid]]=TRUE,_xlfn.NORM.S.DIST(Table1[[#This Row],[Birthweight Z-Score]],TRUE)*100,"")</f>
        <v/>
      </c>
      <c r="K2792" s="7" t="str">
        <f>IF(Table1[[#This Row],[Is Data Valid]]=TRUE,_xlfn.NORM.S.DIST(Table1[[#This Row],[Birthweight Z-Score (BW-10%)]],TRUE)*100,"")</f>
        <v/>
      </c>
      <c r="L2792" s="7" t="str">
        <f>IF(Table1[[#This Row],[Is Data Valid]]=TRUE,_xlfn.NORM.S.DIST(Table1[[#This Row],[Birthweight Z-Score (BW+10%)]],TRUE)*100,"")</f>
        <v/>
      </c>
    </row>
    <row r="2793" spans="1:12" x14ac:dyDescent="0.35">
      <c r="A2793" s="3"/>
      <c r="B2793" s="2"/>
      <c r="C2793" s="2"/>
      <c r="D2793" s="2" t="b">
        <f>IF(AND(NOT(ISBLANK(Table1[[#This Row],[Fetal Sex (Male, Female or Unknown)]])),ISNUMBER(Table1[[#This Row],[Birthweight (grams)]]),ISNUMBER(Table1[[#This Row],[Gestation (days)]])),TRUE,FALSE)</f>
        <v>0</v>
      </c>
      <c r="E2793" s="2" t="str">
        <f>IF(Table1[[#This Row],[Is Data Valid]]=TRUE,IF(Table1[[#This Row],[Fetal Sex (Male, Female or Unknown)]]="Male",Backend!$C$6,IF(Table1[[#This Row],[Fetal Sex (Male, Female or Unknown)]]="Female",Backend!$C$7,IF(Table1[[#This Row],[Fetal Sex (Male, Female or Unknown)]]="Unknown",Backend!$C$8,"Error"))),"")</f>
        <v/>
      </c>
      <c r="F2793" s="8" t="str">
        <f>IF(Table1[[#This Row],[Is Data Valid]]=TRUE,EXP(0.578+0.332*((Table1[[#This Row],[Gestation (days)]]+0.5)/7)-0.00354*((Table1[[#This Row],[Gestation (days)]]+0.5)/7)^2)*Table1[[#This Row],[BW40_3705]],"")</f>
        <v/>
      </c>
      <c r="G2793" s="2" t="str">
        <f>IF(Table1[[#This Row],[Is Data Valid]]=TRUE,((Table1[[#This Row],[Birthweight (grams)]]/Table1[[#This Row],[BW_GA]])-1)/(Backend!$B$4/100*Table1[[#This Row],[BW40_3705]]),"")</f>
        <v/>
      </c>
      <c r="H2793" s="7" t="str">
        <f>IF(Table1[[#This Row],[Is Data Valid]]=TRUE,((Table1[[#This Row],[Birthweight (grams)]]*0.9/Table1[[#This Row],[BW_GA]])-1)/(Backend!$B$4/100*Table1[[#This Row],[BW40_3705]]),"")</f>
        <v/>
      </c>
      <c r="I2793" s="7" t="str">
        <f>IF(Table1[[#This Row],[Is Data Valid]]=TRUE,((Table1[[#This Row],[Birthweight (grams)]]*1.1/Table1[[#This Row],[BW_GA]])-1)/(Backend!$B$4/100*Table1[[#This Row],[BW40_3705]]),"")</f>
        <v/>
      </c>
      <c r="J2793" s="7" t="str">
        <f>IF(Table1[[#This Row],[Is Data Valid]]=TRUE,_xlfn.NORM.S.DIST(Table1[[#This Row],[Birthweight Z-Score]],TRUE)*100,"")</f>
        <v/>
      </c>
      <c r="K2793" s="7" t="str">
        <f>IF(Table1[[#This Row],[Is Data Valid]]=TRUE,_xlfn.NORM.S.DIST(Table1[[#This Row],[Birthweight Z-Score (BW-10%)]],TRUE)*100,"")</f>
        <v/>
      </c>
      <c r="L2793" s="7" t="str">
        <f>IF(Table1[[#This Row],[Is Data Valid]]=TRUE,_xlfn.NORM.S.DIST(Table1[[#This Row],[Birthweight Z-Score (BW+10%)]],TRUE)*100,"")</f>
        <v/>
      </c>
    </row>
    <row r="2794" spans="1:12" x14ac:dyDescent="0.35">
      <c r="A2794" s="3"/>
      <c r="B2794" s="2"/>
      <c r="C2794" s="2"/>
      <c r="D2794" s="2" t="b">
        <f>IF(AND(NOT(ISBLANK(Table1[[#This Row],[Fetal Sex (Male, Female or Unknown)]])),ISNUMBER(Table1[[#This Row],[Birthweight (grams)]]),ISNUMBER(Table1[[#This Row],[Gestation (days)]])),TRUE,FALSE)</f>
        <v>0</v>
      </c>
      <c r="E2794" s="2" t="str">
        <f>IF(Table1[[#This Row],[Is Data Valid]]=TRUE,IF(Table1[[#This Row],[Fetal Sex (Male, Female or Unknown)]]="Male",Backend!$C$6,IF(Table1[[#This Row],[Fetal Sex (Male, Female or Unknown)]]="Female",Backend!$C$7,IF(Table1[[#This Row],[Fetal Sex (Male, Female or Unknown)]]="Unknown",Backend!$C$8,"Error"))),"")</f>
        <v/>
      </c>
      <c r="F2794" s="8" t="str">
        <f>IF(Table1[[#This Row],[Is Data Valid]]=TRUE,EXP(0.578+0.332*((Table1[[#This Row],[Gestation (days)]]+0.5)/7)-0.00354*((Table1[[#This Row],[Gestation (days)]]+0.5)/7)^2)*Table1[[#This Row],[BW40_3705]],"")</f>
        <v/>
      </c>
      <c r="G2794" s="2" t="str">
        <f>IF(Table1[[#This Row],[Is Data Valid]]=TRUE,((Table1[[#This Row],[Birthweight (grams)]]/Table1[[#This Row],[BW_GA]])-1)/(Backend!$B$4/100*Table1[[#This Row],[BW40_3705]]),"")</f>
        <v/>
      </c>
      <c r="H2794" s="7" t="str">
        <f>IF(Table1[[#This Row],[Is Data Valid]]=TRUE,((Table1[[#This Row],[Birthweight (grams)]]*0.9/Table1[[#This Row],[BW_GA]])-1)/(Backend!$B$4/100*Table1[[#This Row],[BW40_3705]]),"")</f>
        <v/>
      </c>
      <c r="I2794" s="7" t="str">
        <f>IF(Table1[[#This Row],[Is Data Valid]]=TRUE,((Table1[[#This Row],[Birthweight (grams)]]*1.1/Table1[[#This Row],[BW_GA]])-1)/(Backend!$B$4/100*Table1[[#This Row],[BW40_3705]]),"")</f>
        <v/>
      </c>
      <c r="J2794" s="7" t="str">
        <f>IF(Table1[[#This Row],[Is Data Valid]]=TRUE,_xlfn.NORM.S.DIST(Table1[[#This Row],[Birthweight Z-Score]],TRUE)*100,"")</f>
        <v/>
      </c>
      <c r="K2794" s="7" t="str">
        <f>IF(Table1[[#This Row],[Is Data Valid]]=TRUE,_xlfn.NORM.S.DIST(Table1[[#This Row],[Birthweight Z-Score (BW-10%)]],TRUE)*100,"")</f>
        <v/>
      </c>
      <c r="L2794" s="7" t="str">
        <f>IF(Table1[[#This Row],[Is Data Valid]]=TRUE,_xlfn.NORM.S.DIST(Table1[[#This Row],[Birthweight Z-Score (BW+10%)]],TRUE)*100,"")</f>
        <v/>
      </c>
    </row>
    <row r="2795" spans="1:12" x14ac:dyDescent="0.35">
      <c r="A2795" s="3"/>
      <c r="B2795" s="2"/>
      <c r="C2795" s="2"/>
      <c r="D2795" s="2" t="b">
        <f>IF(AND(NOT(ISBLANK(Table1[[#This Row],[Fetal Sex (Male, Female or Unknown)]])),ISNUMBER(Table1[[#This Row],[Birthweight (grams)]]),ISNUMBER(Table1[[#This Row],[Gestation (days)]])),TRUE,FALSE)</f>
        <v>0</v>
      </c>
      <c r="E2795" s="2" t="str">
        <f>IF(Table1[[#This Row],[Is Data Valid]]=TRUE,IF(Table1[[#This Row],[Fetal Sex (Male, Female or Unknown)]]="Male",Backend!$C$6,IF(Table1[[#This Row],[Fetal Sex (Male, Female or Unknown)]]="Female",Backend!$C$7,IF(Table1[[#This Row],[Fetal Sex (Male, Female or Unknown)]]="Unknown",Backend!$C$8,"Error"))),"")</f>
        <v/>
      </c>
      <c r="F2795" s="8" t="str">
        <f>IF(Table1[[#This Row],[Is Data Valid]]=TRUE,EXP(0.578+0.332*((Table1[[#This Row],[Gestation (days)]]+0.5)/7)-0.00354*((Table1[[#This Row],[Gestation (days)]]+0.5)/7)^2)*Table1[[#This Row],[BW40_3705]],"")</f>
        <v/>
      </c>
      <c r="G2795" s="2" t="str">
        <f>IF(Table1[[#This Row],[Is Data Valid]]=TRUE,((Table1[[#This Row],[Birthweight (grams)]]/Table1[[#This Row],[BW_GA]])-1)/(Backend!$B$4/100*Table1[[#This Row],[BW40_3705]]),"")</f>
        <v/>
      </c>
      <c r="H2795" s="7" t="str">
        <f>IF(Table1[[#This Row],[Is Data Valid]]=TRUE,((Table1[[#This Row],[Birthweight (grams)]]*0.9/Table1[[#This Row],[BW_GA]])-1)/(Backend!$B$4/100*Table1[[#This Row],[BW40_3705]]),"")</f>
        <v/>
      </c>
      <c r="I2795" s="7" t="str">
        <f>IF(Table1[[#This Row],[Is Data Valid]]=TRUE,((Table1[[#This Row],[Birthweight (grams)]]*1.1/Table1[[#This Row],[BW_GA]])-1)/(Backend!$B$4/100*Table1[[#This Row],[BW40_3705]]),"")</f>
        <v/>
      </c>
      <c r="J2795" s="7" t="str">
        <f>IF(Table1[[#This Row],[Is Data Valid]]=TRUE,_xlfn.NORM.S.DIST(Table1[[#This Row],[Birthweight Z-Score]],TRUE)*100,"")</f>
        <v/>
      </c>
      <c r="K2795" s="7" t="str">
        <f>IF(Table1[[#This Row],[Is Data Valid]]=TRUE,_xlfn.NORM.S.DIST(Table1[[#This Row],[Birthweight Z-Score (BW-10%)]],TRUE)*100,"")</f>
        <v/>
      </c>
      <c r="L2795" s="7" t="str">
        <f>IF(Table1[[#This Row],[Is Data Valid]]=TRUE,_xlfn.NORM.S.DIST(Table1[[#This Row],[Birthweight Z-Score (BW+10%)]],TRUE)*100,"")</f>
        <v/>
      </c>
    </row>
    <row r="2796" spans="1:12" x14ac:dyDescent="0.35">
      <c r="A2796" s="3"/>
      <c r="B2796" s="2"/>
      <c r="C2796" s="2"/>
      <c r="D2796" s="2" t="b">
        <f>IF(AND(NOT(ISBLANK(Table1[[#This Row],[Fetal Sex (Male, Female or Unknown)]])),ISNUMBER(Table1[[#This Row],[Birthweight (grams)]]),ISNUMBER(Table1[[#This Row],[Gestation (days)]])),TRUE,FALSE)</f>
        <v>0</v>
      </c>
      <c r="E2796" s="2" t="str">
        <f>IF(Table1[[#This Row],[Is Data Valid]]=TRUE,IF(Table1[[#This Row],[Fetal Sex (Male, Female or Unknown)]]="Male",Backend!$C$6,IF(Table1[[#This Row],[Fetal Sex (Male, Female or Unknown)]]="Female",Backend!$C$7,IF(Table1[[#This Row],[Fetal Sex (Male, Female or Unknown)]]="Unknown",Backend!$C$8,"Error"))),"")</f>
        <v/>
      </c>
      <c r="F2796" s="8" t="str">
        <f>IF(Table1[[#This Row],[Is Data Valid]]=TRUE,EXP(0.578+0.332*((Table1[[#This Row],[Gestation (days)]]+0.5)/7)-0.00354*((Table1[[#This Row],[Gestation (days)]]+0.5)/7)^2)*Table1[[#This Row],[BW40_3705]],"")</f>
        <v/>
      </c>
      <c r="G2796" s="2" t="str">
        <f>IF(Table1[[#This Row],[Is Data Valid]]=TRUE,((Table1[[#This Row],[Birthweight (grams)]]/Table1[[#This Row],[BW_GA]])-1)/(Backend!$B$4/100*Table1[[#This Row],[BW40_3705]]),"")</f>
        <v/>
      </c>
      <c r="H2796" s="7" t="str">
        <f>IF(Table1[[#This Row],[Is Data Valid]]=TRUE,((Table1[[#This Row],[Birthweight (grams)]]*0.9/Table1[[#This Row],[BW_GA]])-1)/(Backend!$B$4/100*Table1[[#This Row],[BW40_3705]]),"")</f>
        <v/>
      </c>
      <c r="I2796" s="7" t="str">
        <f>IF(Table1[[#This Row],[Is Data Valid]]=TRUE,((Table1[[#This Row],[Birthweight (grams)]]*1.1/Table1[[#This Row],[BW_GA]])-1)/(Backend!$B$4/100*Table1[[#This Row],[BW40_3705]]),"")</f>
        <v/>
      </c>
      <c r="J2796" s="7" t="str">
        <f>IF(Table1[[#This Row],[Is Data Valid]]=TRUE,_xlfn.NORM.S.DIST(Table1[[#This Row],[Birthweight Z-Score]],TRUE)*100,"")</f>
        <v/>
      </c>
      <c r="K2796" s="7" t="str">
        <f>IF(Table1[[#This Row],[Is Data Valid]]=TRUE,_xlfn.NORM.S.DIST(Table1[[#This Row],[Birthweight Z-Score (BW-10%)]],TRUE)*100,"")</f>
        <v/>
      </c>
      <c r="L2796" s="7" t="str">
        <f>IF(Table1[[#This Row],[Is Data Valid]]=TRUE,_xlfn.NORM.S.DIST(Table1[[#This Row],[Birthweight Z-Score (BW+10%)]],TRUE)*100,"")</f>
        <v/>
      </c>
    </row>
    <row r="2797" spans="1:12" x14ac:dyDescent="0.35">
      <c r="A2797" s="3"/>
      <c r="B2797" s="2"/>
      <c r="C2797" s="2"/>
      <c r="D2797" s="2" t="b">
        <f>IF(AND(NOT(ISBLANK(Table1[[#This Row],[Fetal Sex (Male, Female or Unknown)]])),ISNUMBER(Table1[[#This Row],[Birthweight (grams)]]),ISNUMBER(Table1[[#This Row],[Gestation (days)]])),TRUE,FALSE)</f>
        <v>0</v>
      </c>
      <c r="E2797" s="2" t="str">
        <f>IF(Table1[[#This Row],[Is Data Valid]]=TRUE,IF(Table1[[#This Row],[Fetal Sex (Male, Female or Unknown)]]="Male",Backend!$C$6,IF(Table1[[#This Row],[Fetal Sex (Male, Female or Unknown)]]="Female",Backend!$C$7,IF(Table1[[#This Row],[Fetal Sex (Male, Female or Unknown)]]="Unknown",Backend!$C$8,"Error"))),"")</f>
        <v/>
      </c>
      <c r="F2797" s="8" t="str">
        <f>IF(Table1[[#This Row],[Is Data Valid]]=TRUE,EXP(0.578+0.332*((Table1[[#This Row],[Gestation (days)]]+0.5)/7)-0.00354*((Table1[[#This Row],[Gestation (days)]]+0.5)/7)^2)*Table1[[#This Row],[BW40_3705]],"")</f>
        <v/>
      </c>
      <c r="G2797" s="2" t="str">
        <f>IF(Table1[[#This Row],[Is Data Valid]]=TRUE,((Table1[[#This Row],[Birthweight (grams)]]/Table1[[#This Row],[BW_GA]])-1)/(Backend!$B$4/100*Table1[[#This Row],[BW40_3705]]),"")</f>
        <v/>
      </c>
      <c r="H2797" s="7" t="str">
        <f>IF(Table1[[#This Row],[Is Data Valid]]=TRUE,((Table1[[#This Row],[Birthweight (grams)]]*0.9/Table1[[#This Row],[BW_GA]])-1)/(Backend!$B$4/100*Table1[[#This Row],[BW40_3705]]),"")</f>
        <v/>
      </c>
      <c r="I2797" s="7" t="str">
        <f>IF(Table1[[#This Row],[Is Data Valid]]=TRUE,((Table1[[#This Row],[Birthweight (grams)]]*1.1/Table1[[#This Row],[BW_GA]])-1)/(Backend!$B$4/100*Table1[[#This Row],[BW40_3705]]),"")</f>
        <v/>
      </c>
      <c r="J2797" s="7" t="str">
        <f>IF(Table1[[#This Row],[Is Data Valid]]=TRUE,_xlfn.NORM.S.DIST(Table1[[#This Row],[Birthweight Z-Score]],TRUE)*100,"")</f>
        <v/>
      </c>
      <c r="K2797" s="7" t="str">
        <f>IF(Table1[[#This Row],[Is Data Valid]]=TRUE,_xlfn.NORM.S.DIST(Table1[[#This Row],[Birthweight Z-Score (BW-10%)]],TRUE)*100,"")</f>
        <v/>
      </c>
      <c r="L2797" s="7" t="str">
        <f>IF(Table1[[#This Row],[Is Data Valid]]=TRUE,_xlfn.NORM.S.DIST(Table1[[#This Row],[Birthweight Z-Score (BW+10%)]],TRUE)*100,"")</f>
        <v/>
      </c>
    </row>
    <row r="2798" spans="1:12" x14ac:dyDescent="0.35">
      <c r="A2798" s="3"/>
      <c r="B2798" s="2"/>
      <c r="C2798" s="2"/>
      <c r="D2798" s="2" t="b">
        <f>IF(AND(NOT(ISBLANK(Table1[[#This Row],[Fetal Sex (Male, Female or Unknown)]])),ISNUMBER(Table1[[#This Row],[Birthweight (grams)]]),ISNUMBER(Table1[[#This Row],[Gestation (days)]])),TRUE,FALSE)</f>
        <v>0</v>
      </c>
      <c r="E2798" s="2" t="str">
        <f>IF(Table1[[#This Row],[Is Data Valid]]=TRUE,IF(Table1[[#This Row],[Fetal Sex (Male, Female or Unknown)]]="Male",Backend!$C$6,IF(Table1[[#This Row],[Fetal Sex (Male, Female or Unknown)]]="Female",Backend!$C$7,IF(Table1[[#This Row],[Fetal Sex (Male, Female or Unknown)]]="Unknown",Backend!$C$8,"Error"))),"")</f>
        <v/>
      </c>
      <c r="F2798" s="8" t="str">
        <f>IF(Table1[[#This Row],[Is Data Valid]]=TRUE,EXP(0.578+0.332*((Table1[[#This Row],[Gestation (days)]]+0.5)/7)-0.00354*((Table1[[#This Row],[Gestation (days)]]+0.5)/7)^2)*Table1[[#This Row],[BW40_3705]],"")</f>
        <v/>
      </c>
      <c r="G2798" s="2" t="str">
        <f>IF(Table1[[#This Row],[Is Data Valid]]=TRUE,((Table1[[#This Row],[Birthweight (grams)]]/Table1[[#This Row],[BW_GA]])-1)/(Backend!$B$4/100*Table1[[#This Row],[BW40_3705]]),"")</f>
        <v/>
      </c>
      <c r="H2798" s="7" t="str">
        <f>IF(Table1[[#This Row],[Is Data Valid]]=TRUE,((Table1[[#This Row],[Birthweight (grams)]]*0.9/Table1[[#This Row],[BW_GA]])-1)/(Backend!$B$4/100*Table1[[#This Row],[BW40_3705]]),"")</f>
        <v/>
      </c>
      <c r="I2798" s="7" t="str">
        <f>IF(Table1[[#This Row],[Is Data Valid]]=TRUE,((Table1[[#This Row],[Birthweight (grams)]]*1.1/Table1[[#This Row],[BW_GA]])-1)/(Backend!$B$4/100*Table1[[#This Row],[BW40_3705]]),"")</f>
        <v/>
      </c>
      <c r="J2798" s="7" t="str">
        <f>IF(Table1[[#This Row],[Is Data Valid]]=TRUE,_xlfn.NORM.S.DIST(Table1[[#This Row],[Birthweight Z-Score]],TRUE)*100,"")</f>
        <v/>
      </c>
      <c r="K2798" s="7" t="str">
        <f>IF(Table1[[#This Row],[Is Data Valid]]=TRUE,_xlfn.NORM.S.DIST(Table1[[#This Row],[Birthweight Z-Score (BW-10%)]],TRUE)*100,"")</f>
        <v/>
      </c>
      <c r="L2798" s="7" t="str">
        <f>IF(Table1[[#This Row],[Is Data Valid]]=TRUE,_xlfn.NORM.S.DIST(Table1[[#This Row],[Birthweight Z-Score (BW+10%)]],TRUE)*100,"")</f>
        <v/>
      </c>
    </row>
    <row r="2799" spans="1:12" x14ac:dyDescent="0.35">
      <c r="A2799" s="3"/>
      <c r="B2799" s="2"/>
      <c r="C2799" s="2"/>
      <c r="D2799" s="2" t="b">
        <f>IF(AND(NOT(ISBLANK(Table1[[#This Row],[Fetal Sex (Male, Female or Unknown)]])),ISNUMBER(Table1[[#This Row],[Birthweight (grams)]]),ISNUMBER(Table1[[#This Row],[Gestation (days)]])),TRUE,FALSE)</f>
        <v>0</v>
      </c>
      <c r="E2799" s="2" t="str">
        <f>IF(Table1[[#This Row],[Is Data Valid]]=TRUE,IF(Table1[[#This Row],[Fetal Sex (Male, Female or Unknown)]]="Male",Backend!$C$6,IF(Table1[[#This Row],[Fetal Sex (Male, Female or Unknown)]]="Female",Backend!$C$7,IF(Table1[[#This Row],[Fetal Sex (Male, Female or Unknown)]]="Unknown",Backend!$C$8,"Error"))),"")</f>
        <v/>
      </c>
      <c r="F2799" s="8" t="str">
        <f>IF(Table1[[#This Row],[Is Data Valid]]=TRUE,EXP(0.578+0.332*((Table1[[#This Row],[Gestation (days)]]+0.5)/7)-0.00354*((Table1[[#This Row],[Gestation (days)]]+0.5)/7)^2)*Table1[[#This Row],[BW40_3705]],"")</f>
        <v/>
      </c>
      <c r="G2799" s="2" t="str">
        <f>IF(Table1[[#This Row],[Is Data Valid]]=TRUE,((Table1[[#This Row],[Birthweight (grams)]]/Table1[[#This Row],[BW_GA]])-1)/(Backend!$B$4/100*Table1[[#This Row],[BW40_3705]]),"")</f>
        <v/>
      </c>
      <c r="H2799" s="7" t="str">
        <f>IF(Table1[[#This Row],[Is Data Valid]]=TRUE,((Table1[[#This Row],[Birthweight (grams)]]*0.9/Table1[[#This Row],[BW_GA]])-1)/(Backend!$B$4/100*Table1[[#This Row],[BW40_3705]]),"")</f>
        <v/>
      </c>
      <c r="I2799" s="7" t="str">
        <f>IF(Table1[[#This Row],[Is Data Valid]]=TRUE,((Table1[[#This Row],[Birthweight (grams)]]*1.1/Table1[[#This Row],[BW_GA]])-1)/(Backend!$B$4/100*Table1[[#This Row],[BW40_3705]]),"")</f>
        <v/>
      </c>
      <c r="J2799" s="7" t="str">
        <f>IF(Table1[[#This Row],[Is Data Valid]]=TRUE,_xlfn.NORM.S.DIST(Table1[[#This Row],[Birthweight Z-Score]],TRUE)*100,"")</f>
        <v/>
      </c>
      <c r="K2799" s="7" t="str">
        <f>IF(Table1[[#This Row],[Is Data Valid]]=TRUE,_xlfn.NORM.S.DIST(Table1[[#This Row],[Birthweight Z-Score (BW-10%)]],TRUE)*100,"")</f>
        <v/>
      </c>
      <c r="L2799" s="7" t="str">
        <f>IF(Table1[[#This Row],[Is Data Valid]]=TRUE,_xlfn.NORM.S.DIST(Table1[[#This Row],[Birthweight Z-Score (BW+10%)]],TRUE)*100,"")</f>
        <v/>
      </c>
    </row>
    <row r="2800" spans="1:12" x14ac:dyDescent="0.35">
      <c r="A2800" s="3"/>
      <c r="B2800" s="2"/>
      <c r="C2800" s="2"/>
      <c r="D2800" s="2" t="b">
        <f>IF(AND(NOT(ISBLANK(Table1[[#This Row],[Fetal Sex (Male, Female or Unknown)]])),ISNUMBER(Table1[[#This Row],[Birthweight (grams)]]),ISNUMBER(Table1[[#This Row],[Gestation (days)]])),TRUE,FALSE)</f>
        <v>0</v>
      </c>
      <c r="E2800" s="2" t="str">
        <f>IF(Table1[[#This Row],[Is Data Valid]]=TRUE,IF(Table1[[#This Row],[Fetal Sex (Male, Female or Unknown)]]="Male",Backend!$C$6,IF(Table1[[#This Row],[Fetal Sex (Male, Female or Unknown)]]="Female",Backend!$C$7,IF(Table1[[#This Row],[Fetal Sex (Male, Female or Unknown)]]="Unknown",Backend!$C$8,"Error"))),"")</f>
        <v/>
      </c>
      <c r="F2800" s="8" t="str">
        <f>IF(Table1[[#This Row],[Is Data Valid]]=TRUE,EXP(0.578+0.332*((Table1[[#This Row],[Gestation (days)]]+0.5)/7)-0.00354*((Table1[[#This Row],[Gestation (days)]]+0.5)/7)^2)*Table1[[#This Row],[BW40_3705]],"")</f>
        <v/>
      </c>
      <c r="G2800" s="2" t="str">
        <f>IF(Table1[[#This Row],[Is Data Valid]]=TRUE,((Table1[[#This Row],[Birthweight (grams)]]/Table1[[#This Row],[BW_GA]])-1)/(Backend!$B$4/100*Table1[[#This Row],[BW40_3705]]),"")</f>
        <v/>
      </c>
      <c r="H2800" s="7" t="str">
        <f>IF(Table1[[#This Row],[Is Data Valid]]=TRUE,((Table1[[#This Row],[Birthweight (grams)]]*0.9/Table1[[#This Row],[BW_GA]])-1)/(Backend!$B$4/100*Table1[[#This Row],[BW40_3705]]),"")</f>
        <v/>
      </c>
      <c r="I2800" s="7" t="str">
        <f>IF(Table1[[#This Row],[Is Data Valid]]=TRUE,((Table1[[#This Row],[Birthweight (grams)]]*1.1/Table1[[#This Row],[BW_GA]])-1)/(Backend!$B$4/100*Table1[[#This Row],[BW40_3705]]),"")</f>
        <v/>
      </c>
      <c r="J2800" s="7" t="str">
        <f>IF(Table1[[#This Row],[Is Data Valid]]=TRUE,_xlfn.NORM.S.DIST(Table1[[#This Row],[Birthweight Z-Score]],TRUE)*100,"")</f>
        <v/>
      </c>
      <c r="K2800" s="7" t="str">
        <f>IF(Table1[[#This Row],[Is Data Valid]]=TRUE,_xlfn.NORM.S.DIST(Table1[[#This Row],[Birthweight Z-Score (BW-10%)]],TRUE)*100,"")</f>
        <v/>
      </c>
      <c r="L2800" s="7" t="str">
        <f>IF(Table1[[#This Row],[Is Data Valid]]=TRUE,_xlfn.NORM.S.DIST(Table1[[#This Row],[Birthweight Z-Score (BW+10%)]],TRUE)*100,"")</f>
        <v/>
      </c>
    </row>
    <row r="2801" spans="1:12" x14ac:dyDescent="0.35">
      <c r="A2801" s="3"/>
      <c r="B2801" s="2"/>
      <c r="C2801" s="2"/>
      <c r="D2801" s="2" t="b">
        <f>IF(AND(NOT(ISBLANK(Table1[[#This Row],[Fetal Sex (Male, Female or Unknown)]])),ISNUMBER(Table1[[#This Row],[Birthweight (grams)]]),ISNUMBER(Table1[[#This Row],[Gestation (days)]])),TRUE,FALSE)</f>
        <v>0</v>
      </c>
      <c r="E2801" s="2" t="str">
        <f>IF(Table1[[#This Row],[Is Data Valid]]=TRUE,IF(Table1[[#This Row],[Fetal Sex (Male, Female or Unknown)]]="Male",Backend!$C$6,IF(Table1[[#This Row],[Fetal Sex (Male, Female or Unknown)]]="Female",Backend!$C$7,IF(Table1[[#This Row],[Fetal Sex (Male, Female or Unknown)]]="Unknown",Backend!$C$8,"Error"))),"")</f>
        <v/>
      </c>
      <c r="F2801" s="8" t="str">
        <f>IF(Table1[[#This Row],[Is Data Valid]]=TRUE,EXP(0.578+0.332*((Table1[[#This Row],[Gestation (days)]]+0.5)/7)-0.00354*((Table1[[#This Row],[Gestation (days)]]+0.5)/7)^2)*Table1[[#This Row],[BW40_3705]],"")</f>
        <v/>
      </c>
      <c r="G2801" s="2" t="str">
        <f>IF(Table1[[#This Row],[Is Data Valid]]=TRUE,((Table1[[#This Row],[Birthweight (grams)]]/Table1[[#This Row],[BW_GA]])-1)/(Backend!$B$4/100*Table1[[#This Row],[BW40_3705]]),"")</f>
        <v/>
      </c>
      <c r="H2801" s="7" t="str">
        <f>IF(Table1[[#This Row],[Is Data Valid]]=TRUE,((Table1[[#This Row],[Birthweight (grams)]]*0.9/Table1[[#This Row],[BW_GA]])-1)/(Backend!$B$4/100*Table1[[#This Row],[BW40_3705]]),"")</f>
        <v/>
      </c>
      <c r="I2801" s="7" t="str">
        <f>IF(Table1[[#This Row],[Is Data Valid]]=TRUE,((Table1[[#This Row],[Birthweight (grams)]]*1.1/Table1[[#This Row],[BW_GA]])-1)/(Backend!$B$4/100*Table1[[#This Row],[BW40_3705]]),"")</f>
        <v/>
      </c>
      <c r="J2801" s="7" t="str">
        <f>IF(Table1[[#This Row],[Is Data Valid]]=TRUE,_xlfn.NORM.S.DIST(Table1[[#This Row],[Birthweight Z-Score]],TRUE)*100,"")</f>
        <v/>
      </c>
      <c r="K2801" s="7" t="str">
        <f>IF(Table1[[#This Row],[Is Data Valid]]=TRUE,_xlfn.NORM.S.DIST(Table1[[#This Row],[Birthweight Z-Score (BW-10%)]],TRUE)*100,"")</f>
        <v/>
      </c>
      <c r="L2801" s="7" t="str">
        <f>IF(Table1[[#This Row],[Is Data Valid]]=TRUE,_xlfn.NORM.S.DIST(Table1[[#This Row],[Birthweight Z-Score (BW+10%)]],TRUE)*100,"")</f>
        <v/>
      </c>
    </row>
    <row r="2802" spans="1:12" x14ac:dyDescent="0.35">
      <c r="A2802" s="3"/>
      <c r="B2802" s="2"/>
      <c r="C2802" s="2"/>
      <c r="D2802" s="2" t="b">
        <f>IF(AND(NOT(ISBLANK(Table1[[#This Row],[Fetal Sex (Male, Female or Unknown)]])),ISNUMBER(Table1[[#This Row],[Birthweight (grams)]]),ISNUMBER(Table1[[#This Row],[Gestation (days)]])),TRUE,FALSE)</f>
        <v>0</v>
      </c>
      <c r="E2802" s="2" t="str">
        <f>IF(Table1[[#This Row],[Is Data Valid]]=TRUE,IF(Table1[[#This Row],[Fetal Sex (Male, Female or Unknown)]]="Male",Backend!$C$6,IF(Table1[[#This Row],[Fetal Sex (Male, Female or Unknown)]]="Female",Backend!$C$7,IF(Table1[[#This Row],[Fetal Sex (Male, Female or Unknown)]]="Unknown",Backend!$C$8,"Error"))),"")</f>
        <v/>
      </c>
      <c r="F2802" s="8" t="str">
        <f>IF(Table1[[#This Row],[Is Data Valid]]=TRUE,EXP(0.578+0.332*((Table1[[#This Row],[Gestation (days)]]+0.5)/7)-0.00354*((Table1[[#This Row],[Gestation (days)]]+0.5)/7)^2)*Table1[[#This Row],[BW40_3705]],"")</f>
        <v/>
      </c>
      <c r="G2802" s="2" t="str">
        <f>IF(Table1[[#This Row],[Is Data Valid]]=TRUE,((Table1[[#This Row],[Birthweight (grams)]]/Table1[[#This Row],[BW_GA]])-1)/(Backend!$B$4/100*Table1[[#This Row],[BW40_3705]]),"")</f>
        <v/>
      </c>
      <c r="H2802" s="7" t="str">
        <f>IF(Table1[[#This Row],[Is Data Valid]]=TRUE,((Table1[[#This Row],[Birthweight (grams)]]*0.9/Table1[[#This Row],[BW_GA]])-1)/(Backend!$B$4/100*Table1[[#This Row],[BW40_3705]]),"")</f>
        <v/>
      </c>
      <c r="I2802" s="7" t="str">
        <f>IF(Table1[[#This Row],[Is Data Valid]]=TRUE,((Table1[[#This Row],[Birthweight (grams)]]*1.1/Table1[[#This Row],[BW_GA]])-1)/(Backend!$B$4/100*Table1[[#This Row],[BW40_3705]]),"")</f>
        <v/>
      </c>
      <c r="J2802" s="7" t="str">
        <f>IF(Table1[[#This Row],[Is Data Valid]]=TRUE,_xlfn.NORM.S.DIST(Table1[[#This Row],[Birthweight Z-Score]],TRUE)*100,"")</f>
        <v/>
      </c>
      <c r="K2802" s="7" t="str">
        <f>IF(Table1[[#This Row],[Is Data Valid]]=TRUE,_xlfn.NORM.S.DIST(Table1[[#This Row],[Birthweight Z-Score (BW-10%)]],TRUE)*100,"")</f>
        <v/>
      </c>
      <c r="L2802" s="7" t="str">
        <f>IF(Table1[[#This Row],[Is Data Valid]]=TRUE,_xlfn.NORM.S.DIST(Table1[[#This Row],[Birthweight Z-Score (BW+10%)]],TRUE)*100,"")</f>
        <v/>
      </c>
    </row>
    <row r="2803" spans="1:12" x14ac:dyDescent="0.35">
      <c r="A2803" s="3"/>
      <c r="B2803" s="2"/>
      <c r="C2803" s="2"/>
      <c r="D2803" s="2" t="b">
        <f>IF(AND(NOT(ISBLANK(Table1[[#This Row],[Fetal Sex (Male, Female or Unknown)]])),ISNUMBER(Table1[[#This Row],[Birthweight (grams)]]),ISNUMBER(Table1[[#This Row],[Gestation (days)]])),TRUE,FALSE)</f>
        <v>0</v>
      </c>
      <c r="E2803" s="2" t="str">
        <f>IF(Table1[[#This Row],[Is Data Valid]]=TRUE,IF(Table1[[#This Row],[Fetal Sex (Male, Female or Unknown)]]="Male",Backend!$C$6,IF(Table1[[#This Row],[Fetal Sex (Male, Female or Unknown)]]="Female",Backend!$C$7,IF(Table1[[#This Row],[Fetal Sex (Male, Female or Unknown)]]="Unknown",Backend!$C$8,"Error"))),"")</f>
        <v/>
      </c>
      <c r="F2803" s="8" t="str">
        <f>IF(Table1[[#This Row],[Is Data Valid]]=TRUE,EXP(0.578+0.332*((Table1[[#This Row],[Gestation (days)]]+0.5)/7)-0.00354*((Table1[[#This Row],[Gestation (days)]]+0.5)/7)^2)*Table1[[#This Row],[BW40_3705]],"")</f>
        <v/>
      </c>
      <c r="G2803" s="2" t="str">
        <f>IF(Table1[[#This Row],[Is Data Valid]]=TRUE,((Table1[[#This Row],[Birthweight (grams)]]/Table1[[#This Row],[BW_GA]])-1)/(Backend!$B$4/100*Table1[[#This Row],[BW40_3705]]),"")</f>
        <v/>
      </c>
      <c r="H2803" s="7" t="str">
        <f>IF(Table1[[#This Row],[Is Data Valid]]=TRUE,((Table1[[#This Row],[Birthweight (grams)]]*0.9/Table1[[#This Row],[BW_GA]])-1)/(Backend!$B$4/100*Table1[[#This Row],[BW40_3705]]),"")</f>
        <v/>
      </c>
      <c r="I2803" s="7" t="str">
        <f>IF(Table1[[#This Row],[Is Data Valid]]=TRUE,((Table1[[#This Row],[Birthweight (grams)]]*1.1/Table1[[#This Row],[BW_GA]])-1)/(Backend!$B$4/100*Table1[[#This Row],[BW40_3705]]),"")</f>
        <v/>
      </c>
      <c r="J2803" s="7" t="str">
        <f>IF(Table1[[#This Row],[Is Data Valid]]=TRUE,_xlfn.NORM.S.DIST(Table1[[#This Row],[Birthweight Z-Score]],TRUE)*100,"")</f>
        <v/>
      </c>
      <c r="K2803" s="7" t="str">
        <f>IF(Table1[[#This Row],[Is Data Valid]]=TRUE,_xlfn.NORM.S.DIST(Table1[[#This Row],[Birthweight Z-Score (BW-10%)]],TRUE)*100,"")</f>
        <v/>
      </c>
      <c r="L2803" s="7" t="str">
        <f>IF(Table1[[#This Row],[Is Data Valid]]=TRUE,_xlfn.NORM.S.DIST(Table1[[#This Row],[Birthweight Z-Score (BW+10%)]],TRUE)*100,"")</f>
        <v/>
      </c>
    </row>
    <row r="2804" spans="1:12" x14ac:dyDescent="0.35">
      <c r="A2804" s="3"/>
      <c r="B2804" s="2"/>
      <c r="C2804" s="2"/>
      <c r="D2804" s="2" t="b">
        <f>IF(AND(NOT(ISBLANK(Table1[[#This Row],[Fetal Sex (Male, Female or Unknown)]])),ISNUMBER(Table1[[#This Row],[Birthweight (grams)]]),ISNUMBER(Table1[[#This Row],[Gestation (days)]])),TRUE,FALSE)</f>
        <v>0</v>
      </c>
      <c r="E2804" s="2" t="str">
        <f>IF(Table1[[#This Row],[Is Data Valid]]=TRUE,IF(Table1[[#This Row],[Fetal Sex (Male, Female or Unknown)]]="Male",Backend!$C$6,IF(Table1[[#This Row],[Fetal Sex (Male, Female or Unknown)]]="Female",Backend!$C$7,IF(Table1[[#This Row],[Fetal Sex (Male, Female or Unknown)]]="Unknown",Backend!$C$8,"Error"))),"")</f>
        <v/>
      </c>
      <c r="F2804" s="8" t="str">
        <f>IF(Table1[[#This Row],[Is Data Valid]]=TRUE,EXP(0.578+0.332*((Table1[[#This Row],[Gestation (days)]]+0.5)/7)-0.00354*((Table1[[#This Row],[Gestation (days)]]+0.5)/7)^2)*Table1[[#This Row],[BW40_3705]],"")</f>
        <v/>
      </c>
      <c r="G2804" s="2" t="str">
        <f>IF(Table1[[#This Row],[Is Data Valid]]=TRUE,((Table1[[#This Row],[Birthweight (grams)]]/Table1[[#This Row],[BW_GA]])-1)/(Backend!$B$4/100*Table1[[#This Row],[BW40_3705]]),"")</f>
        <v/>
      </c>
      <c r="H2804" s="7" t="str">
        <f>IF(Table1[[#This Row],[Is Data Valid]]=TRUE,((Table1[[#This Row],[Birthweight (grams)]]*0.9/Table1[[#This Row],[BW_GA]])-1)/(Backend!$B$4/100*Table1[[#This Row],[BW40_3705]]),"")</f>
        <v/>
      </c>
      <c r="I2804" s="7" t="str">
        <f>IF(Table1[[#This Row],[Is Data Valid]]=TRUE,((Table1[[#This Row],[Birthweight (grams)]]*1.1/Table1[[#This Row],[BW_GA]])-1)/(Backend!$B$4/100*Table1[[#This Row],[BW40_3705]]),"")</f>
        <v/>
      </c>
      <c r="J2804" s="7" t="str">
        <f>IF(Table1[[#This Row],[Is Data Valid]]=TRUE,_xlfn.NORM.S.DIST(Table1[[#This Row],[Birthweight Z-Score]],TRUE)*100,"")</f>
        <v/>
      </c>
      <c r="K2804" s="7" t="str">
        <f>IF(Table1[[#This Row],[Is Data Valid]]=TRUE,_xlfn.NORM.S.DIST(Table1[[#This Row],[Birthweight Z-Score (BW-10%)]],TRUE)*100,"")</f>
        <v/>
      </c>
      <c r="L2804" s="7" t="str">
        <f>IF(Table1[[#This Row],[Is Data Valid]]=TRUE,_xlfn.NORM.S.DIST(Table1[[#This Row],[Birthweight Z-Score (BW+10%)]],TRUE)*100,"")</f>
        <v/>
      </c>
    </row>
    <row r="2805" spans="1:12" x14ac:dyDescent="0.35">
      <c r="A2805" s="3"/>
      <c r="B2805" s="2"/>
      <c r="C2805" s="2"/>
      <c r="D2805" s="2" t="b">
        <f>IF(AND(NOT(ISBLANK(Table1[[#This Row],[Fetal Sex (Male, Female or Unknown)]])),ISNUMBER(Table1[[#This Row],[Birthweight (grams)]]),ISNUMBER(Table1[[#This Row],[Gestation (days)]])),TRUE,FALSE)</f>
        <v>0</v>
      </c>
      <c r="E2805" s="2" t="str">
        <f>IF(Table1[[#This Row],[Is Data Valid]]=TRUE,IF(Table1[[#This Row],[Fetal Sex (Male, Female or Unknown)]]="Male",Backend!$C$6,IF(Table1[[#This Row],[Fetal Sex (Male, Female or Unknown)]]="Female",Backend!$C$7,IF(Table1[[#This Row],[Fetal Sex (Male, Female or Unknown)]]="Unknown",Backend!$C$8,"Error"))),"")</f>
        <v/>
      </c>
      <c r="F2805" s="8" t="str">
        <f>IF(Table1[[#This Row],[Is Data Valid]]=TRUE,EXP(0.578+0.332*((Table1[[#This Row],[Gestation (days)]]+0.5)/7)-0.00354*((Table1[[#This Row],[Gestation (days)]]+0.5)/7)^2)*Table1[[#This Row],[BW40_3705]],"")</f>
        <v/>
      </c>
      <c r="G2805" s="2" t="str">
        <f>IF(Table1[[#This Row],[Is Data Valid]]=TRUE,((Table1[[#This Row],[Birthweight (grams)]]/Table1[[#This Row],[BW_GA]])-1)/(Backend!$B$4/100*Table1[[#This Row],[BW40_3705]]),"")</f>
        <v/>
      </c>
      <c r="H2805" s="7" t="str">
        <f>IF(Table1[[#This Row],[Is Data Valid]]=TRUE,((Table1[[#This Row],[Birthweight (grams)]]*0.9/Table1[[#This Row],[BW_GA]])-1)/(Backend!$B$4/100*Table1[[#This Row],[BW40_3705]]),"")</f>
        <v/>
      </c>
      <c r="I2805" s="7" t="str">
        <f>IF(Table1[[#This Row],[Is Data Valid]]=TRUE,((Table1[[#This Row],[Birthweight (grams)]]*1.1/Table1[[#This Row],[BW_GA]])-1)/(Backend!$B$4/100*Table1[[#This Row],[BW40_3705]]),"")</f>
        <v/>
      </c>
      <c r="J2805" s="7" t="str">
        <f>IF(Table1[[#This Row],[Is Data Valid]]=TRUE,_xlfn.NORM.S.DIST(Table1[[#This Row],[Birthweight Z-Score]],TRUE)*100,"")</f>
        <v/>
      </c>
      <c r="K2805" s="7" t="str">
        <f>IF(Table1[[#This Row],[Is Data Valid]]=TRUE,_xlfn.NORM.S.DIST(Table1[[#This Row],[Birthweight Z-Score (BW-10%)]],TRUE)*100,"")</f>
        <v/>
      </c>
      <c r="L2805" s="7" t="str">
        <f>IF(Table1[[#This Row],[Is Data Valid]]=TRUE,_xlfn.NORM.S.DIST(Table1[[#This Row],[Birthweight Z-Score (BW+10%)]],TRUE)*100,"")</f>
        <v/>
      </c>
    </row>
    <row r="2806" spans="1:12" x14ac:dyDescent="0.35">
      <c r="A2806" s="3"/>
      <c r="B2806" s="2"/>
      <c r="C2806" s="2"/>
      <c r="D2806" s="2" t="b">
        <f>IF(AND(NOT(ISBLANK(Table1[[#This Row],[Fetal Sex (Male, Female or Unknown)]])),ISNUMBER(Table1[[#This Row],[Birthweight (grams)]]),ISNUMBER(Table1[[#This Row],[Gestation (days)]])),TRUE,FALSE)</f>
        <v>0</v>
      </c>
      <c r="E2806" s="2" t="str">
        <f>IF(Table1[[#This Row],[Is Data Valid]]=TRUE,IF(Table1[[#This Row],[Fetal Sex (Male, Female or Unknown)]]="Male",Backend!$C$6,IF(Table1[[#This Row],[Fetal Sex (Male, Female or Unknown)]]="Female",Backend!$C$7,IF(Table1[[#This Row],[Fetal Sex (Male, Female or Unknown)]]="Unknown",Backend!$C$8,"Error"))),"")</f>
        <v/>
      </c>
      <c r="F2806" s="8" t="str">
        <f>IF(Table1[[#This Row],[Is Data Valid]]=TRUE,EXP(0.578+0.332*((Table1[[#This Row],[Gestation (days)]]+0.5)/7)-0.00354*((Table1[[#This Row],[Gestation (days)]]+0.5)/7)^2)*Table1[[#This Row],[BW40_3705]],"")</f>
        <v/>
      </c>
      <c r="G2806" s="2" t="str">
        <f>IF(Table1[[#This Row],[Is Data Valid]]=TRUE,((Table1[[#This Row],[Birthweight (grams)]]/Table1[[#This Row],[BW_GA]])-1)/(Backend!$B$4/100*Table1[[#This Row],[BW40_3705]]),"")</f>
        <v/>
      </c>
      <c r="H2806" s="7" t="str">
        <f>IF(Table1[[#This Row],[Is Data Valid]]=TRUE,((Table1[[#This Row],[Birthweight (grams)]]*0.9/Table1[[#This Row],[BW_GA]])-1)/(Backend!$B$4/100*Table1[[#This Row],[BW40_3705]]),"")</f>
        <v/>
      </c>
      <c r="I2806" s="7" t="str">
        <f>IF(Table1[[#This Row],[Is Data Valid]]=TRUE,((Table1[[#This Row],[Birthweight (grams)]]*1.1/Table1[[#This Row],[BW_GA]])-1)/(Backend!$B$4/100*Table1[[#This Row],[BW40_3705]]),"")</f>
        <v/>
      </c>
      <c r="J2806" s="7" t="str">
        <f>IF(Table1[[#This Row],[Is Data Valid]]=TRUE,_xlfn.NORM.S.DIST(Table1[[#This Row],[Birthweight Z-Score]],TRUE)*100,"")</f>
        <v/>
      </c>
      <c r="K2806" s="7" t="str">
        <f>IF(Table1[[#This Row],[Is Data Valid]]=TRUE,_xlfn.NORM.S.DIST(Table1[[#This Row],[Birthweight Z-Score (BW-10%)]],TRUE)*100,"")</f>
        <v/>
      </c>
      <c r="L2806" s="7" t="str">
        <f>IF(Table1[[#This Row],[Is Data Valid]]=TRUE,_xlfn.NORM.S.DIST(Table1[[#This Row],[Birthweight Z-Score (BW+10%)]],TRUE)*100,"")</f>
        <v/>
      </c>
    </row>
    <row r="2807" spans="1:12" x14ac:dyDescent="0.35">
      <c r="A2807" s="3"/>
      <c r="B2807" s="2"/>
      <c r="C2807" s="2"/>
      <c r="D2807" s="2" t="b">
        <f>IF(AND(NOT(ISBLANK(Table1[[#This Row],[Fetal Sex (Male, Female or Unknown)]])),ISNUMBER(Table1[[#This Row],[Birthweight (grams)]]),ISNUMBER(Table1[[#This Row],[Gestation (days)]])),TRUE,FALSE)</f>
        <v>0</v>
      </c>
      <c r="E2807" s="2" t="str">
        <f>IF(Table1[[#This Row],[Is Data Valid]]=TRUE,IF(Table1[[#This Row],[Fetal Sex (Male, Female or Unknown)]]="Male",Backend!$C$6,IF(Table1[[#This Row],[Fetal Sex (Male, Female or Unknown)]]="Female",Backend!$C$7,IF(Table1[[#This Row],[Fetal Sex (Male, Female or Unknown)]]="Unknown",Backend!$C$8,"Error"))),"")</f>
        <v/>
      </c>
      <c r="F2807" s="8" t="str">
        <f>IF(Table1[[#This Row],[Is Data Valid]]=TRUE,EXP(0.578+0.332*((Table1[[#This Row],[Gestation (days)]]+0.5)/7)-0.00354*((Table1[[#This Row],[Gestation (days)]]+0.5)/7)^2)*Table1[[#This Row],[BW40_3705]],"")</f>
        <v/>
      </c>
      <c r="G2807" s="2" t="str">
        <f>IF(Table1[[#This Row],[Is Data Valid]]=TRUE,((Table1[[#This Row],[Birthweight (grams)]]/Table1[[#This Row],[BW_GA]])-1)/(Backend!$B$4/100*Table1[[#This Row],[BW40_3705]]),"")</f>
        <v/>
      </c>
      <c r="H2807" s="7" t="str">
        <f>IF(Table1[[#This Row],[Is Data Valid]]=TRUE,((Table1[[#This Row],[Birthweight (grams)]]*0.9/Table1[[#This Row],[BW_GA]])-1)/(Backend!$B$4/100*Table1[[#This Row],[BW40_3705]]),"")</f>
        <v/>
      </c>
      <c r="I2807" s="7" t="str">
        <f>IF(Table1[[#This Row],[Is Data Valid]]=TRUE,((Table1[[#This Row],[Birthweight (grams)]]*1.1/Table1[[#This Row],[BW_GA]])-1)/(Backend!$B$4/100*Table1[[#This Row],[BW40_3705]]),"")</f>
        <v/>
      </c>
      <c r="J2807" s="7" t="str">
        <f>IF(Table1[[#This Row],[Is Data Valid]]=TRUE,_xlfn.NORM.S.DIST(Table1[[#This Row],[Birthweight Z-Score]],TRUE)*100,"")</f>
        <v/>
      </c>
      <c r="K2807" s="7" t="str">
        <f>IF(Table1[[#This Row],[Is Data Valid]]=TRUE,_xlfn.NORM.S.DIST(Table1[[#This Row],[Birthweight Z-Score (BW-10%)]],TRUE)*100,"")</f>
        <v/>
      </c>
      <c r="L2807" s="7" t="str">
        <f>IF(Table1[[#This Row],[Is Data Valid]]=TRUE,_xlfn.NORM.S.DIST(Table1[[#This Row],[Birthweight Z-Score (BW+10%)]],TRUE)*100,"")</f>
        <v/>
      </c>
    </row>
    <row r="2808" spans="1:12" x14ac:dyDescent="0.35">
      <c r="A2808" s="3"/>
      <c r="B2808" s="2"/>
      <c r="C2808" s="2"/>
      <c r="D2808" s="2" t="b">
        <f>IF(AND(NOT(ISBLANK(Table1[[#This Row],[Fetal Sex (Male, Female or Unknown)]])),ISNUMBER(Table1[[#This Row],[Birthweight (grams)]]),ISNUMBER(Table1[[#This Row],[Gestation (days)]])),TRUE,FALSE)</f>
        <v>0</v>
      </c>
      <c r="E2808" s="2" t="str">
        <f>IF(Table1[[#This Row],[Is Data Valid]]=TRUE,IF(Table1[[#This Row],[Fetal Sex (Male, Female or Unknown)]]="Male",Backend!$C$6,IF(Table1[[#This Row],[Fetal Sex (Male, Female or Unknown)]]="Female",Backend!$C$7,IF(Table1[[#This Row],[Fetal Sex (Male, Female or Unknown)]]="Unknown",Backend!$C$8,"Error"))),"")</f>
        <v/>
      </c>
      <c r="F2808" s="8" t="str">
        <f>IF(Table1[[#This Row],[Is Data Valid]]=TRUE,EXP(0.578+0.332*((Table1[[#This Row],[Gestation (days)]]+0.5)/7)-0.00354*((Table1[[#This Row],[Gestation (days)]]+0.5)/7)^2)*Table1[[#This Row],[BW40_3705]],"")</f>
        <v/>
      </c>
      <c r="G2808" s="2" t="str">
        <f>IF(Table1[[#This Row],[Is Data Valid]]=TRUE,((Table1[[#This Row],[Birthweight (grams)]]/Table1[[#This Row],[BW_GA]])-1)/(Backend!$B$4/100*Table1[[#This Row],[BW40_3705]]),"")</f>
        <v/>
      </c>
      <c r="H2808" s="7" t="str">
        <f>IF(Table1[[#This Row],[Is Data Valid]]=TRUE,((Table1[[#This Row],[Birthweight (grams)]]*0.9/Table1[[#This Row],[BW_GA]])-1)/(Backend!$B$4/100*Table1[[#This Row],[BW40_3705]]),"")</f>
        <v/>
      </c>
      <c r="I2808" s="7" t="str">
        <f>IF(Table1[[#This Row],[Is Data Valid]]=TRUE,((Table1[[#This Row],[Birthweight (grams)]]*1.1/Table1[[#This Row],[BW_GA]])-1)/(Backend!$B$4/100*Table1[[#This Row],[BW40_3705]]),"")</f>
        <v/>
      </c>
      <c r="J2808" s="7" t="str">
        <f>IF(Table1[[#This Row],[Is Data Valid]]=TRUE,_xlfn.NORM.S.DIST(Table1[[#This Row],[Birthweight Z-Score]],TRUE)*100,"")</f>
        <v/>
      </c>
      <c r="K2808" s="7" t="str">
        <f>IF(Table1[[#This Row],[Is Data Valid]]=TRUE,_xlfn.NORM.S.DIST(Table1[[#This Row],[Birthweight Z-Score (BW-10%)]],TRUE)*100,"")</f>
        <v/>
      </c>
      <c r="L2808" s="7" t="str">
        <f>IF(Table1[[#This Row],[Is Data Valid]]=TRUE,_xlfn.NORM.S.DIST(Table1[[#This Row],[Birthweight Z-Score (BW+10%)]],TRUE)*100,"")</f>
        <v/>
      </c>
    </row>
    <row r="2809" spans="1:12" x14ac:dyDescent="0.35">
      <c r="A2809" s="3"/>
      <c r="B2809" s="2"/>
      <c r="C2809" s="2"/>
      <c r="D2809" s="2" t="b">
        <f>IF(AND(NOT(ISBLANK(Table1[[#This Row],[Fetal Sex (Male, Female or Unknown)]])),ISNUMBER(Table1[[#This Row],[Birthweight (grams)]]),ISNUMBER(Table1[[#This Row],[Gestation (days)]])),TRUE,FALSE)</f>
        <v>0</v>
      </c>
      <c r="E2809" s="2" t="str">
        <f>IF(Table1[[#This Row],[Is Data Valid]]=TRUE,IF(Table1[[#This Row],[Fetal Sex (Male, Female or Unknown)]]="Male",Backend!$C$6,IF(Table1[[#This Row],[Fetal Sex (Male, Female or Unknown)]]="Female",Backend!$C$7,IF(Table1[[#This Row],[Fetal Sex (Male, Female or Unknown)]]="Unknown",Backend!$C$8,"Error"))),"")</f>
        <v/>
      </c>
      <c r="F2809" s="8" t="str">
        <f>IF(Table1[[#This Row],[Is Data Valid]]=TRUE,EXP(0.578+0.332*((Table1[[#This Row],[Gestation (days)]]+0.5)/7)-0.00354*((Table1[[#This Row],[Gestation (days)]]+0.5)/7)^2)*Table1[[#This Row],[BW40_3705]],"")</f>
        <v/>
      </c>
      <c r="G2809" s="2" t="str">
        <f>IF(Table1[[#This Row],[Is Data Valid]]=TRUE,((Table1[[#This Row],[Birthweight (grams)]]/Table1[[#This Row],[BW_GA]])-1)/(Backend!$B$4/100*Table1[[#This Row],[BW40_3705]]),"")</f>
        <v/>
      </c>
      <c r="H2809" s="7" t="str">
        <f>IF(Table1[[#This Row],[Is Data Valid]]=TRUE,((Table1[[#This Row],[Birthweight (grams)]]*0.9/Table1[[#This Row],[BW_GA]])-1)/(Backend!$B$4/100*Table1[[#This Row],[BW40_3705]]),"")</f>
        <v/>
      </c>
      <c r="I2809" s="7" t="str">
        <f>IF(Table1[[#This Row],[Is Data Valid]]=TRUE,((Table1[[#This Row],[Birthweight (grams)]]*1.1/Table1[[#This Row],[BW_GA]])-1)/(Backend!$B$4/100*Table1[[#This Row],[BW40_3705]]),"")</f>
        <v/>
      </c>
      <c r="J2809" s="7" t="str">
        <f>IF(Table1[[#This Row],[Is Data Valid]]=TRUE,_xlfn.NORM.S.DIST(Table1[[#This Row],[Birthweight Z-Score]],TRUE)*100,"")</f>
        <v/>
      </c>
      <c r="K2809" s="7" t="str">
        <f>IF(Table1[[#This Row],[Is Data Valid]]=TRUE,_xlfn.NORM.S.DIST(Table1[[#This Row],[Birthweight Z-Score (BW-10%)]],TRUE)*100,"")</f>
        <v/>
      </c>
      <c r="L2809" s="7" t="str">
        <f>IF(Table1[[#This Row],[Is Data Valid]]=TRUE,_xlfn.NORM.S.DIST(Table1[[#This Row],[Birthweight Z-Score (BW+10%)]],TRUE)*100,"")</f>
        <v/>
      </c>
    </row>
    <row r="2810" spans="1:12" x14ac:dyDescent="0.35">
      <c r="A2810" s="3"/>
      <c r="B2810" s="2"/>
      <c r="C2810" s="2"/>
      <c r="D2810" s="2" t="b">
        <f>IF(AND(NOT(ISBLANK(Table1[[#This Row],[Fetal Sex (Male, Female or Unknown)]])),ISNUMBER(Table1[[#This Row],[Birthweight (grams)]]),ISNUMBER(Table1[[#This Row],[Gestation (days)]])),TRUE,FALSE)</f>
        <v>0</v>
      </c>
      <c r="E2810" s="2" t="str">
        <f>IF(Table1[[#This Row],[Is Data Valid]]=TRUE,IF(Table1[[#This Row],[Fetal Sex (Male, Female or Unknown)]]="Male",Backend!$C$6,IF(Table1[[#This Row],[Fetal Sex (Male, Female or Unknown)]]="Female",Backend!$C$7,IF(Table1[[#This Row],[Fetal Sex (Male, Female or Unknown)]]="Unknown",Backend!$C$8,"Error"))),"")</f>
        <v/>
      </c>
      <c r="F2810" s="8" t="str">
        <f>IF(Table1[[#This Row],[Is Data Valid]]=TRUE,EXP(0.578+0.332*((Table1[[#This Row],[Gestation (days)]]+0.5)/7)-0.00354*((Table1[[#This Row],[Gestation (days)]]+0.5)/7)^2)*Table1[[#This Row],[BW40_3705]],"")</f>
        <v/>
      </c>
      <c r="G2810" s="2" t="str">
        <f>IF(Table1[[#This Row],[Is Data Valid]]=TRUE,((Table1[[#This Row],[Birthweight (grams)]]/Table1[[#This Row],[BW_GA]])-1)/(Backend!$B$4/100*Table1[[#This Row],[BW40_3705]]),"")</f>
        <v/>
      </c>
      <c r="H2810" s="7" t="str">
        <f>IF(Table1[[#This Row],[Is Data Valid]]=TRUE,((Table1[[#This Row],[Birthweight (grams)]]*0.9/Table1[[#This Row],[BW_GA]])-1)/(Backend!$B$4/100*Table1[[#This Row],[BW40_3705]]),"")</f>
        <v/>
      </c>
      <c r="I2810" s="7" t="str">
        <f>IF(Table1[[#This Row],[Is Data Valid]]=TRUE,((Table1[[#This Row],[Birthweight (grams)]]*1.1/Table1[[#This Row],[BW_GA]])-1)/(Backend!$B$4/100*Table1[[#This Row],[BW40_3705]]),"")</f>
        <v/>
      </c>
      <c r="J2810" s="7" t="str">
        <f>IF(Table1[[#This Row],[Is Data Valid]]=TRUE,_xlfn.NORM.S.DIST(Table1[[#This Row],[Birthweight Z-Score]],TRUE)*100,"")</f>
        <v/>
      </c>
      <c r="K2810" s="7" t="str">
        <f>IF(Table1[[#This Row],[Is Data Valid]]=TRUE,_xlfn.NORM.S.DIST(Table1[[#This Row],[Birthweight Z-Score (BW-10%)]],TRUE)*100,"")</f>
        <v/>
      </c>
      <c r="L2810" s="7" t="str">
        <f>IF(Table1[[#This Row],[Is Data Valid]]=TRUE,_xlfn.NORM.S.DIST(Table1[[#This Row],[Birthweight Z-Score (BW+10%)]],TRUE)*100,"")</f>
        <v/>
      </c>
    </row>
    <row r="2811" spans="1:12" x14ac:dyDescent="0.35">
      <c r="A2811" s="3"/>
      <c r="B2811" s="2"/>
      <c r="C2811" s="2"/>
      <c r="D2811" s="2" t="b">
        <f>IF(AND(NOT(ISBLANK(Table1[[#This Row],[Fetal Sex (Male, Female or Unknown)]])),ISNUMBER(Table1[[#This Row],[Birthweight (grams)]]),ISNUMBER(Table1[[#This Row],[Gestation (days)]])),TRUE,FALSE)</f>
        <v>0</v>
      </c>
      <c r="E2811" s="2" t="str">
        <f>IF(Table1[[#This Row],[Is Data Valid]]=TRUE,IF(Table1[[#This Row],[Fetal Sex (Male, Female or Unknown)]]="Male",Backend!$C$6,IF(Table1[[#This Row],[Fetal Sex (Male, Female or Unknown)]]="Female",Backend!$C$7,IF(Table1[[#This Row],[Fetal Sex (Male, Female or Unknown)]]="Unknown",Backend!$C$8,"Error"))),"")</f>
        <v/>
      </c>
      <c r="F2811" s="8" t="str">
        <f>IF(Table1[[#This Row],[Is Data Valid]]=TRUE,EXP(0.578+0.332*((Table1[[#This Row],[Gestation (days)]]+0.5)/7)-0.00354*((Table1[[#This Row],[Gestation (days)]]+0.5)/7)^2)*Table1[[#This Row],[BW40_3705]],"")</f>
        <v/>
      </c>
      <c r="G2811" s="2" t="str">
        <f>IF(Table1[[#This Row],[Is Data Valid]]=TRUE,((Table1[[#This Row],[Birthweight (grams)]]/Table1[[#This Row],[BW_GA]])-1)/(Backend!$B$4/100*Table1[[#This Row],[BW40_3705]]),"")</f>
        <v/>
      </c>
      <c r="H2811" s="7" t="str">
        <f>IF(Table1[[#This Row],[Is Data Valid]]=TRUE,((Table1[[#This Row],[Birthweight (grams)]]*0.9/Table1[[#This Row],[BW_GA]])-1)/(Backend!$B$4/100*Table1[[#This Row],[BW40_3705]]),"")</f>
        <v/>
      </c>
      <c r="I2811" s="7" t="str">
        <f>IF(Table1[[#This Row],[Is Data Valid]]=TRUE,((Table1[[#This Row],[Birthweight (grams)]]*1.1/Table1[[#This Row],[BW_GA]])-1)/(Backend!$B$4/100*Table1[[#This Row],[BW40_3705]]),"")</f>
        <v/>
      </c>
      <c r="J2811" s="7" t="str">
        <f>IF(Table1[[#This Row],[Is Data Valid]]=TRUE,_xlfn.NORM.S.DIST(Table1[[#This Row],[Birthweight Z-Score]],TRUE)*100,"")</f>
        <v/>
      </c>
      <c r="K2811" s="7" t="str">
        <f>IF(Table1[[#This Row],[Is Data Valid]]=TRUE,_xlfn.NORM.S.DIST(Table1[[#This Row],[Birthweight Z-Score (BW-10%)]],TRUE)*100,"")</f>
        <v/>
      </c>
      <c r="L2811" s="7" t="str">
        <f>IF(Table1[[#This Row],[Is Data Valid]]=TRUE,_xlfn.NORM.S.DIST(Table1[[#This Row],[Birthweight Z-Score (BW+10%)]],TRUE)*100,"")</f>
        <v/>
      </c>
    </row>
    <row r="2812" spans="1:12" x14ac:dyDescent="0.35">
      <c r="A2812" s="3"/>
      <c r="B2812" s="2"/>
      <c r="C2812" s="2"/>
      <c r="D2812" s="2" t="b">
        <f>IF(AND(NOT(ISBLANK(Table1[[#This Row],[Fetal Sex (Male, Female or Unknown)]])),ISNUMBER(Table1[[#This Row],[Birthweight (grams)]]),ISNUMBER(Table1[[#This Row],[Gestation (days)]])),TRUE,FALSE)</f>
        <v>0</v>
      </c>
      <c r="E2812" s="2" t="str">
        <f>IF(Table1[[#This Row],[Is Data Valid]]=TRUE,IF(Table1[[#This Row],[Fetal Sex (Male, Female or Unknown)]]="Male",Backend!$C$6,IF(Table1[[#This Row],[Fetal Sex (Male, Female or Unknown)]]="Female",Backend!$C$7,IF(Table1[[#This Row],[Fetal Sex (Male, Female or Unknown)]]="Unknown",Backend!$C$8,"Error"))),"")</f>
        <v/>
      </c>
      <c r="F2812" s="8" t="str">
        <f>IF(Table1[[#This Row],[Is Data Valid]]=TRUE,EXP(0.578+0.332*((Table1[[#This Row],[Gestation (days)]]+0.5)/7)-0.00354*((Table1[[#This Row],[Gestation (days)]]+0.5)/7)^2)*Table1[[#This Row],[BW40_3705]],"")</f>
        <v/>
      </c>
      <c r="G2812" s="2" t="str">
        <f>IF(Table1[[#This Row],[Is Data Valid]]=TRUE,((Table1[[#This Row],[Birthweight (grams)]]/Table1[[#This Row],[BW_GA]])-1)/(Backend!$B$4/100*Table1[[#This Row],[BW40_3705]]),"")</f>
        <v/>
      </c>
      <c r="H2812" s="7" t="str">
        <f>IF(Table1[[#This Row],[Is Data Valid]]=TRUE,((Table1[[#This Row],[Birthweight (grams)]]*0.9/Table1[[#This Row],[BW_GA]])-1)/(Backend!$B$4/100*Table1[[#This Row],[BW40_3705]]),"")</f>
        <v/>
      </c>
      <c r="I2812" s="7" t="str">
        <f>IF(Table1[[#This Row],[Is Data Valid]]=TRUE,((Table1[[#This Row],[Birthweight (grams)]]*1.1/Table1[[#This Row],[BW_GA]])-1)/(Backend!$B$4/100*Table1[[#This Row],[BW40_3705]]),"")</f>
        <v/>
      </c>
      <c r="J2812" s="7" t="str">
        <f>IF(Table1[[#This Row],[Is Data Valid]]=TRUE,_xlfn.NORM.S.DIST(Table1[[#This Row],[Birthweight Z-Score]],TRUE)*100,"")</f>
        <v/>
      </c>
      <c r="K2812" s="7" t="str">
        <f>IF(Table1[[#This Row],[Is Data Valid]]=TRUE,_xlfn.NORM.S.DIST(Table1[[#This Row],[Birthweight Z-Score (BW-10%)]],TRUE)*100,"")</f>
        <v/>
      </c>
      <c r="L2812" s="7" t="str">
        <f>IF(Table1[[#This Row],[Is Data Valid]]=TRUE,_xlfn.NORM.S.DIST(Table1[[#This Row],[Birthweight Z-Score (BW+10%)]],TRUE)*100,"")</f>
        <v/>
      </c>
    </row>
    <row r="2813" spans="1:12" x14ac:dyDescent="0.35">
      <c r="A2813" s="3"/>
      <c r="B2813" s="2"/>
      <c r="C2813" s="2"/>
      <c r="D2813" s="2" t="b">
        <f>IF(AND(NOT(ISBLANK(Table1[[#This Row],[Fetal Sex (Male, Female or Unknown)]])),ISNUMBER(Table1[[#This Row],[Birthweight (grams)]]),ISNUMBER(Table1[[#This Row],[Gestation (days)]])),TRUE,FALSE)</f>
        <v>0</v>
      </c>
      <c r="E2813" s="2" t="str">
        <f>IF(Table1[[#This Row],[Is Data Valid]]=TRUE,IF(Table1[[#This Row],[Fetal Sex (Male, Female or Unknown)]]="Male",Backend!$C$6,IF(Table1[[#This Row],[Fetal Sex (Male, Female or Unknown)]]="Female",Backend!$C$7,IF(Table1[[#This Row],[Fetal Sex (Male, Female or Unknown)]]="Unknown",Backend!$C$8,"Error"))),"")</f>
        <v/>
      </c>
      <c r="F2813" s="8" t="str">
        <f>IF(Table1[[#This Row],[Is Data Valid]]=TRUE,EXP(0.578+0.332*((Table1[[#This Row],[Gestation (days)]]+0.5)/7)-0.00354*((Table1[[#This Row],[Gestation (days)]]+0.5)/7)^2)*Table1[[#This Row],[BW40_3705]],"")</f>
        <v/>
      </c>
      <c r="G2813" s="2" t="str">
        <f>IF(Table1[[#This Row],[Is Data Valid]]=TRUE,((Table1[[#This Row],[Birthweight (grams)]]/Table1[[#This Row],[BW_GA]])-1)/(Backend!$B$4/100*Table1[[#This Row],[BW40_3705]]),"")</f>
        <v/>
      </c>
      <c r="H2813" s="7" t="str">
        <f>IF(Table1[[#This Row],[Is Data Valid]]=TRUE,((Table1[[#This Row],[Birthweight (grams)]]*0.9/Table1[[#This Row],[BW_GA]])-1)/(Backend!$B$4/100*Table1[[#This Row],[BW40_3705]]),"")</f>
        <v/>
      </c>
      <c r="I2813" s="7" t="str">
        <f>IF(Table1[[#This Row],[Is Data Valid]]=TRUE,((Table1[[#This Row],[Birthweight (grams)]]*1.1/Table1[[#This Row],[BW_GA]])-1)/(Backend!$B$4/100*Table1[[#This Row],[BW40_3705]]),"")</f>
        <v/>
      </c>
      <c r="J2813" s="7" t="str">
        <f>IF(Table1[[#This Row],[Is Data Valid]]=TRUE,_xlfn.NORM.S.DIST(Table1[[#This Row],[Birthweight Z-Score]],TRUE)*100,"")</f>
        <v/>
      </c>
      <c r="K2813" s="7" t="str">
        <f>IF(Table1[[#This Row],[Is Data Valid]]=TRUE,_xlfn.NORM.S.DIST(Table1[[#This Row],[Birthweight Z-Score (BW-10%)]],TRUE)*100,"")</f>
        <v/>
      </c>
      <c r="L2813" s="7" t="str">
        <f>IF(Table1[[#This Row],[Is Data Valid]]=TRUE,_xlfn.NORM.S.DIST(Table1[[#This Row],[Birthweight Z-Score (BW+10%)]],TRUE)*100,"")</f>
        <v/>
      </c>
    </row>
    <row r="2814" spans="1:12" x14ac:dyDescent="0.35">
      <c r="A2814" s="3"/>
      <c r="B2814" s="2"/>
      <c r="C2814" s="2"/>
      <c r="D2814" s="2" t="b">
        <f>IF(AND(NOT(ISBLANK(Table1[[#This Row],[Fetal Sex (Male, Female or Unknown)]])),ISNUMBER(Table1[[#This Row],[Birthweight (grams)]]),ISNUMBER(Table1[[#This Row],[Gestation (days)]])),TRUE,FALSE)</f>
        <v>0</v>
      </c>
      <c r="E2814" s="2" t="str">
        <f>IF(Table1[[#This Row],[Is Data Valid]]=TRUE,IF(Table1[[#This Row],[Fetal Sex (Male, Female or Unknown)]]="Male",Backend!$C$6,IF(Table1[[#This Row],[Fetal Sex (Male, Female or Unknown)]]="Female",Backend!$C$7,IF(Table1[[#This Row],[Fetal Sex (Male, Female or Unknown)]]="Unknown",Backend!$C$8,"Error"))),"")</f>
        <v/>
      </c>
      <c r="F2814" s="8" t="str">
        <f>IF(Table1[[#This Row],[Is Data Valid]]=TRUE,EXP(0.578+0.332*((Table1[[#This Row],[Gestation (days)]]+0.5)/7)-0.00354*((Table1[[#This Row],[Gestation (days)]]+0.5)/7)^2)*Table1[[#This Row],[BW40_3705]],"")</f>
        <v/>
      </c>
      <c r="G2814" s="2" t="str">
        <f>IF(Table1[[#This Row],[Is Data Valid]]=TRUE,((Table1[[#This Row],[Birthweight (grams)]]/Table1[[#This Row],[BW_GA]])-1)/(Backend!$B$4/100*Table1[[#This Row],[BW40_3705]]),"")</f>
        <v/>
      </c>
      <c r="H2814" s="7" t="str">
        <f>IF(Table1[[#This Row],[Is Data Valid]]=TRUE,((Table1[[#This Row],[Birthweight (grams)]]*0.9/Table1[[#This Row],[BW_GA]])-1)/(Backend!$B$4/100*Table1[[#This Row],[BW40_3705]]),"")</f>
        <v/>
      </c>
      <c r="I2814" s="7" t="str">
        <f>IF(Table1[[#This Row],[Is Data Valid]]=TRUE,((Table1[[#This Row],[Birthweight (grams)]]*1.1/Table1[[#This Row],[BW_GA]])-1)/(Backend!$B$4/100*Table1[[#This Row],[BW40_3705]]),"")</f>
        <v/>
      </c>
      <c r="J2814" s="7" t="str">
        <f>IF(Table1[[#This Row],[Is Data Valid]]=TRUE,_xlfn.NORM.S.DIST(Table1[[#This Row],[Birthweight Z-Score]],TRUE)*100,"")</f>
        <v/>
      </c>
      <c r="K2814" s="7" t="str">
        <f>IF(Table1[[#This Row],[Is Data Valid]]=TRUE,_xlfn.NORM.S.DIST(Table1[[#This Row],[Birthweight Z-Score (BW-10%)]],TRUE)*100,"")</f>
        <v/>
      </c>
      <c r="L2814" s="7" t="str">
        <f>IF(Table1[[#This Row],[Is Data Valid]]=TRUE,_xlfn.NORM.S.DIST(Table1[[#This Row],[Birthweight Z-Score (BW+10%)]],TRUE)*100,"")</f>
        <v/>
      </c>
    </row>
    <row r="2815" spans="1:12" x14ac:dyDescent="0.35">
      <c r="A2815" s="3"/>
      <c r="B2815" s="2"/>
      <c r="C2815" s="2"/>
      <c r="D2815" s="2" t="b">
        <f>IF(AND(NOT(ISBLANK(Table1[[#This Row],[Fetal Sex (Male, Female or Unknown)]])),ISNUMBER(Table1[[#This Row],[Birthweight (grams)]]),ISNUMBER(Table1[[#This Row],[Gestation (days)]])),TRUE,FALSE)</f>
        <v>0</v>
      </c>
      <c r="E2815" s="2" t="str">
        <f>IF(Table1[[#This Row],[Is Data Valid]]=TRUE,IF(Table1[[#This Row],[Fetal Sex (Male, Female or Unknown)]]="Male",Backend!$C$6,IF(Table1[[#This Row],[Fetal Sex (Male, Female or Unknown)]]="Female",Backend!$C$7,IF(Table1[[#This Row],[Fetal Sex (Male, Female or Unknown)]]="Unknown",Backend!$C$8,"Error"))),"")</f>
        <v/>
      </c>
      <c r="F2815" s="8" t="str">
        <f>IF(Table1[[#This Row],[Is Data Valid]]=TRUE,EXP(0.578+0.332*((Table1[[#This Row],[Gestation (days)]]+0.5)/7)-0.00354*((Table1[[#This Row],[Gestation (days)]]+0.5)/7)^2)*Table1[[#This Row],[BW40_3705]],"")</f>
        <v/>
      </c>
      <c r="G2815" s="2" t="str">
        <f>IF(Table1[[#This Row],[Is Data Valid]]=TRUE,((Table1[[#This Row],[Birthweight (grams)]]/Table1[[#This Row],[BW_GA]])-1)/(Backend!$B$4/100*Table1[[#This Row],[BW40_3705]]),"")</f>
        <v/>
      </c>
      <c r="H2815" s="7" t="str">
        <f>IF(Table1[[#This Row],[Is Data Valid]]=TRUE,((Table1[[#This Row],[Birthweight (grams)]]*0.9/Table1[[#This Row],[BW_GA]])-1)/(Backend!$B$4/100*Table1[[#This Row],[BW40_3705]]),"")</f>
        <v/>
      </c>
      <c r="I2815" s="7" t="str">
        <f>IF(Table1[[#This Row],[Is Data Valid]]=TRUE,((Table1[[#This Row],[Birthweight (grams)]]*1.1/Table1[[#This Row],[BW_GA]])-1)/(Backend!$B$4/100*Table1[[#This Row],[BW40_3705]]),"")</f>
        <v/>
      </c>
      <c r="J2815" s="7" t="str">
        <f>IF(Table1[[#This Row],[Is Data Valid]]=TRUE,_xlfn.NORM.S.DIST(Table1[[#This Row],[Birthweight Z-Score]],TRUE)*100,"")</f>
        <v/>
      </c>
      <c r="K2815" s="7" t="str">
        <f>IF(Table1[[#This Row],[Is Data Valid]]=TRUE,_xlfn.NORM.S.DIST(Table1[[#This Row],[Birthweight Z-Score (BW-10%)]],TRUE)*100,"")</f>
        <v/>
      </c>
      <c r="L2815" s="7" t="str">
        <f>IF(Table1[[#This Row],[Is Data Valid]]=TRUE,_xlfn.NORM.S.DIST(Table1[[#This Row],[Birthweight Z-Score (BW+10%)]],TRUE)*100,"")</f>
        <v/>
      </c>
    </row>
    <row r="2816" spans="1:12" x14ac:dyDescent="0.35">
      <c r="A2816" s="3"/>
      <c r="B2816" s="2"/>
      <c r="C2816" s="2"/>
      <c r="D2816" s="2" t="b">
        <f>IF(AND(NOT(ISBLANK(Table1[[#This Row],[Fetal Sex (Male, Female or Unknown)]])),ISNUMBER(Table1[[#This Row],[Birthweight (grams)]]),ISNUMBER(Table1[[#This Row],[Gestation (days)]])),TRUE,FALSE)</f>
        <v>0</v>
      </c>
      <c r="E2816" s="2" t="str">
        <f>IF(Table1[[#This Row],[Is Data Valid]]=TRUE,IF(Table1[[#This Row],[Fetal Sex (Male, Female or Unknown)]]="Male",Backend!$C$6,IF(Table1[[#This Row],[Fetal Sex (Male, Female or Unknown)]]="Female",Backend!$C$7,IF(Table1[[#This Row],[Fetal Sex (Male, Female or Unknown)]]="Unknown",Backend!$C$8,"Error"))),"")</f>
        <v/>
      </c>
      <c r="F2816" s="8" t="str">
        <f>IF(Table1[[#This Row],[Is Data Valid]]=TRUE,EXP(0.578+0.332*((Table1[[#This Row],[Gestation (days)]]+0.5)/7)-0.00354*((Table1[[#This Row],[Gestation (days)]]+0.5)/7)^2)*Table1[[#This Row],[BW40_3705]],"")</f>
        <v/>
      </c>
      <c r="G2816" s="2" t="str">
        <f>IF(Table1[[#This Row],[Is Data Valid]]=TRUE,((Table1[[#This Row],[Birthweight (grams)]]/Table1[[#This Row],[BW_GA]])-1)/(Backend!$B$4/100*Table1[[#This Row],[BW40_3705]]),"")</f>
        <v/>
      </c>
      <c r="H2816" s="7" t="str">
        <f>IF(Table1[[#This Row],[Is Data Valid]]=TRUE,((Table1[[#This Row],[Birthweight (grams)]]*0.9/Table1[[#This Row],[BW_GA]])-1)/(Backend!$B$4/100*Table1[[#This Row],[BW40_3705]]),"")</f>
        <v/>
      </c>
      <c r="I2816" s="7" t="str">
        <f>IF(Table1[[#This Row],[Is Data Valid]]=TRUE,((Table1[[#This Row],[Birthweight (grams)]]*1.1/Table1[[#This Row],[BW_GA]])-1)/(Backend!$B$4/100*Table1[[#This Row],[BW40_3705]]),"")</f>
        <v/>
      </c>
      <c r="J2816" s="7" t="str">
        <f>IF(Table1[[#This Row],[Is Data Valid]]=TRUE,_xlfn.NORM.S.DIST(Table1[[#This Row],[Birthweight Z-Score]],TRUE)*100,"")</f>
        <v/>
      </c>
      <c r="K2816" s="7" t="str">
        <f>IF(Table1[[#This Row],[Is Data Valid]]=TRUE,_xlfn.NORM.S.DIST(Table1[[#This Row],[Birthweight Z-Score (BW-10%)]],TRUE)*100,"")</f>
        <v/>
      </c>
      <c r="L2816" s="7" t="str">
        <f>IF(Table1[[#This Row],[Is Data Valid]]=TRUE,_xlfn.NORM.S.DIST(Table1[[#This Row],[Birthweight Z-Score (BW+10%)]],TRUE)*100,"")</f>
        <v/>
      </c>
    </row>
    <row r="2817" spans="1:12" x14ac:dyDescent="0.35">
      <c r="A2817" s="3"/>
      <c r="B2817" s="2"/>
      <c r="C2817" s="2"/>
      <c r="D2817" s="2" t="b">
        <f>IF(AND(NOT(ISBLANK(Table1[[#This Row],[Fetal Sex (Male, Female or Unknown)]])),ISNUMBER(Table1[[#This Row],[Birthweight (grams)]]),ISNUMBER(Table1[[#This Row],[Gestation (days)]])),TRUE,FALSE)</f>
        <v>0</v>
      </c>
      <c r="E2817" s="2" t="str">
        <f>IF(Table1[[#This Row],[Is Data Valid]]=TRUE,IF(Table1[[#This Row],[Fetal Sex (Male, Female or Unknown)]]="Male",Backend!$C$6,IF(Table1[[#This Row],[Fetal Sex (Male, Female or Unknown)]]="Female",Backend!$C$7,IF(Table1[[#This Row],[Fetal Sex (Male, Female or Unknown)]]="Unknown",Backend!$C$8,"Error"))),"")</f>
        <v/>
      </c>
      <c r="F2817" s="8" t="str">
        <f>IF(Table1[[#This Row],[Is Data Valid]]=TRUE,EXP(0.578+0.332*((Table1[[#This Row],[Gestation (days)]]+0.5)/7)-0.00354*((Table1[[#This Row],[Gestation (days)]]+0.5)/7)^2)*Table1[[#This Row],[BW40_3705]],"")</f>
        <v/>
      </c>
      <c r="G2817" s="2" t="str">
        <f>IF(Table1[[#This Row],[Is Data Valid]]=TRUE,((Table1[[#This Row],[Birthweight (grams)]]/Table1[[#This Row],[BW_GA]])-1)/(Backend!$B$4/100*Table1[[#This Row],[BW40_3705]]),"")</f>
        <v/>
      </c>
      <c r="H2817" s="7" t="str">
        <f>IF(Table1[[#This Row],[Is Data Valid]]=TRUE,((Table1[[#This Row],[Birthweight (grams)]]*0.9/Table1[[#This Row],[BW_GA]])-1)/(Backend!$B$4/100*Table1[[#This Row],[BW40_3705]]),"")</f>
        <v/>
      </c>
      <c r="I2817" s="7" t="str">
        <f>IF(Table1[[#This Row],[Is Data Valid]]=TRUE,((Table1[[#This Row],[Birthweight (grams)]]*1.1/Table1[[#This Row],[BW_GA]])-1)/(Backend!$B$4/100*Table1[[#This Row],[BW40_3705]]),"")</f>
        <v/>
      </c>
      <c r="J2817" s="7" t="str">
        <f>IF(Table1[[#This Row],[Is Data Valid]]=TRUE,_xlfn.NORM.S.DIST(Table1[[#This Row],[Birthweight Z-Score]],TRUE)*100,"")</f>
        <v/>
      </c>
      <c r="K2817" s="7" t="str">
        <f>IF(Table1[[#This Row],[Is Data Valid]]=TRUE,_xlfn.NORM.S.DIST(Table1[[#This Row],[Birthweight Z-Score (BW-10%)]],TRUE)*100,"")</f>
        <v/>
      </c>
      <c r="L2817" s="7" t="str">
        <f>IF(Table1[[#This Row],[Is Data Valid]]=TRUE,_xlfn.NORM.S.DIST(Table1[[#This Row],[Birthweight Z-Score (BW+10%)]],TRUE)*100,"")</f>
        <v/>
      </c>
    </row>
    <row r="2818" spans="1:12" x14ac:dyDescent="0.35">
      <c r="A2818" s="3"/>
      <c r="B2818" s="2"/>
      <c r="C2818" s="2"/>
      <c r="D2818" s="2" t="b">
        <f>IF(AND(NOT(ISBLANK(Table1[[#This Row],[Fetal Sex (Male, Female or Unknown)]])),ISNUMBER(Table1[[#This Row],[Birthweight (grams)]]),ISNUMBER(Table1[[#This Row],[Gestation (days)]])),TRUE,FALSE)</f>
        <v>0</v>
      </c>
      <c r="E2818" s="2" t="str">
        <f>IF(Table1[[#This Row],[Is Data Valid]]=TRUE,IF(Table1[[#This Row],[Fetal Sex (Male, Female or Unknown)]]="Male",Backend!$C$6,IF(Table1[[#This Row],[Fetal Sex (Male, Female or Unknown)]]="Female",Backend!$C$7,IF(Table1[[#This Row],[Fetal Sex (Male, Female or Unknown)]]="Unknown",Backend!$C$8,"Error"))),"")</f>
        <v/>
      </c>
      <c r="F2818" s="8" t="str">
        <f>IF(Table1[[#This Row],[Is Data Valid]]=TRUE,EXP(0.578+0.332*((Table1[[#This Row],[Gestation (days)]]+0.5)/7)-0.00354*((Table1[[#This Row],[Gestation (days)]]+0.5)/7)^2)*Table1[[#This Row],[BW40_3705]],"")</f>
        <v/>
      </c>
      <c r="G2818" s="2" t="str">
        <f>IF(Table1[[#This Row],[Is Data Valid]]=TRUE,((Table1[[#This Row],[Birthweight (grams)]]/Table1[[#This Row],[BW_GA]])-1)/(Backend!$B$4/100*Table1[[#This Row],[BW40_3705]]),"")</f>
        <v/>
      </c>
      <c r="H2818" s="7" t="str">
        <f>IF(Table1[[#This Row],[Is Data Valid]]=TRUE,((Table1[[#This Row],[Birthweight (grams)]]*0.9/Table1[[#This Row],[BW_GA]])-1)/(Backend!$B$4/100*Table1[[#This Row],[BW40_3705]]),"")</f>
        <v/>
      </c>
      <c r="I2818" s="7" t="str">
        <f>IF(Table1[[#This Row],[Is Data Valid]]=TRUE,((Table1[[#This Row],[Birthweight (grams)]]*1.1/Table1[[#This Row],[BW_GA]])-1)/(Backend!$B$4/100*Table1[[#This Row],[BW40_3705]]),"")</f>
        <v/>
      </c>
      <c r="J2818" s="7" t="str">
        <f>IF(Table1[[#This Row],[Is Data Valid]]=TRUE,_xlfn.NORM.S.DIST(Table1[[#This Row],[Birthweight Z-Score]],TRUE)*100,"")</f>
        <v/>
      </c>
      <c r="K2818" s="7" t="str">
        <f>IF(Table1[[#This Row],[Is Data Valid]]=TRUE,_xlfn.NORM.S.DIST(Table1[[#This Row],[Birthweight Z-Score (BW-10%)]],TRUE)*100,"")</f>
        <v/>
      </c>
      <c r="L2818" s="7" t="str">
        <f>IF(Table1[[#This Row],[Is Data Valid]]=TRUE,_xlfn.NORM.S.DIST(Table1[[#This Row],[Birthweight Z-Score (BW+10%)]],TRUE)*100,"")</f>
        <v/>
      </c>
    </row>
    <row r="2819" spans="1:12" x14ac:dyDescent="0.35">
      <c r="A2819" s="3"/>
      <c r="B2819" s="2"/>
      <c r="C2819" s="2"/>
      <c r="D2819" s="2" t="b">
        <f>IF(AND(NOT(ISBLANK(Table1[[#This Row],[Fetal Sex (Male, Female or Unknown)]])),ISNUMBER(Table1[[#This Row],[Birthweight (grams)]]),ISNUMBER(Table1[[#This Row],[Gestation (days)]])),TRUE,FALSE)</f>
        <v>0</v>
      </c>
      <c r="E2819" s="2" t="str">
        <f>IF(Table1[[#This Row],[Is Data Valid]]=TRUE,IF(Table1[[#This Row],[Fetal Sex (Male, Female or Unknown)]]="Male",Backend!$C$6,IF(Table1[[#This Row],[Fetal Sex (Male, Female or Unknown)]]="Female",Backend!$C$7,IF(Table1[[#This Row],[Fetal Sex (Male, Female or Unknown)]]="Unknown",Backend!$C$8,"Error"))),"")</f>
        <v/>
      </c>
      <c r="F2819" s="8" t="str">
        <f>IF(Table1[[#This Row],[Is Data Valid]]=TRUE,EXP(0.578+0.332*((Table1[[#This Row],[Gestation (days)]]+0.5)/7)-0.00354*((Table1[[#This Row],[Gestation (days)]]+0.5)/7)^2)*Table1[[#This Row],[BW40_3705]],"")</f>
        <v/>
      </c>
      <c r="G2819" s="2" t="str">
        <f>IF(Table1[[#This Row],[Is Data Valid]]=TRUE,((Table1[[#This Row],[Birthweight (grams)]]/Table1[[#This Row],[BW_GA]])-1)/(Backend!$B$4/100*Table1[[#This Row],[BW40_3705]]),"")</f>
        <v/>
      </c>
      <c r="H2819" s="7" t="str">
        <f>IF(Table1[[#This Row],[Is Data Valid]]=TRUE,((Table1[[#This Row],[Birthweight (grams)]]*0.9/Table1[[#This Row],[BW_GA]])-1)/(Backend!$B$4/100*Table1[[#This Row],[BW40_3705]]),"")</f>
        <v/>
      </c>
      <c r="I2819" s="7" t="str">
        <f>IF(Table1[[#This Row],[Is Data Valid]]=TRUE,((Table1[[#This Row],[Birthweight (grams)]]*1.1/Table1[[#This Row],[BW_GA]])-1)/(Backend!$B$4/100*Table1[[#This Row],[BW40_3705]]),"")</f>
        <v/>
      </c>
      <c r="J2819" s="7" t="str">
        <f>IF(Table1[[#This Row],[Is Data Valid]]=TRUE,_xlfn.NORM.S.DIST(Table1[[#This Row],[Birthweight Z-Score]],TRUE)*100,"")</f>
        <v/>
      </c>
      <c r="K2819" s="7" t="str">
        <f>IF(Table1[[#This Row],[Is Data Valid]]=TRUE,_xlfn.NORM.S.DIST(Table1[[#This Row],[Birthweight Z-Score (BW-10%)]],TRUE)*100,"")</f>
        <v/>
      </c>
      <c r="L2819" s="7" t="str">
        <f>IF(Table1[[#This Row],[Is Data Valid]]=TRUE,_xlfn.NORM.S.DIST(Table1[[#This Row],[Birthweight Z-Score (BW+10%)]],TRUE)*100,"")</f>
        <v/>
      </c>
    </row>
    <row r="2820" spans="1:12" x14ac:dyDescent="0.35">
      <c r="A2820" s="3"/>
      <c r="B2820" s="2"/>
      <c r="C2820" s="2"/>
      <c r="D2820" s="2" t="b">
        <f>IF(AND(NOT(ISBLANK(Table1[[#This Row],[Fetal Sex (Male, Female or Unknown)]])),ISNUMBER(Table1[[#This Row],[Birthweight (grams)]]),ISNUMBER(Table1[[#This Row],[Gestation (days)]])),TRUE,FALSE)</f>
        <v>0</v>
      </c>
      <c r="E2820" s="2" t="str">
        <f>IF(Table1[[#This Row],[Is Data Valid]]=TRUE,IF(Table1[[#This Row],[Fetal Sex (Male, Female or Unknown)]]="Male",Backend!$C$6,IF(Table1[[#This Row],[Fetal Sex (Male, Female or Unknown)]]="Female",Backend!$C$7,IF(Table1[[#This Row],[Fetal Sex (Male, Female or Unknown)]]="Unknown",Backend!$C$8,"Error"))),"")</f>
        <v/>
      </c>
      <c r="F2820" s="8" t="str">
        <f>IF(Table1[[#This Row],[Is Data Valid]]=TRUE,EXP(0.578+0.332*((Table1[[#This Row],[Gestation (days)]]+0.5)/7)-0.00354*((Table1[[#This Row],[Gestation (days)]]+0.5)/7)^2)*Table1[[#This Row],[BW40_3705]],"")</f>
        <v/>
      </c>
      <c r="G2820" s="2" t="str">
        <f>IF(Table1[[#This Row],[Is Data Valid]]=TRUE,((Table1[[#This Row],[Birthweight (grams)]]/Table1[[#This Row],[BW_GA]])-1)/(Backend!$B$4/100*Table1[[#This Row],[BW40_3705]]),"")</f>
        <v/>
      </c>
      <c r="H2820" s="7" t="str">
        <f>IF(Table1[[#This Row],[Is Data Valid]]=TRUE,((Table1[[#This Row],[Birthweight (grams)]]*0.9/Table1[[#This Row],[BW_GA]])-1)/(Backend!$B$4/100*Table1[[#This Row],[BW40_3705]]),"")</f>
        <v/>
      </c>
      <c r="I2820" s="7" t="str">
        <f>IF(Table1[[#This Row],[Is Data Valid]]=TRUE,((Table1[[#This Row],[Birthweight (grams)]]*1.1/Table1[[#This Row],[BW_GA]])-1)/(Backend!$B$4/100*Table1[[#This Row],[BW40_3705]]),"")</f>
        <v/>
      </c>
      <c r="J2820" s="7" t="str">
        <f>IF(Table1[[#This Row],[Is Data Valid]]=TRUE,_xlfn.NORM.S.DIST(Table1[[#This Row],[Birthweight Z-Score]],TRUE)*100,"")</f>
        <v/>
      </c>
      <c r="K2820" s="7" t="str">
        <f>IF(Table1[[#This Row],[Is Data Valid]]=TRUE,_xlfn.NORM.S.DIST(Table1[[#This Row],[Birthweight Z-Score (BW-10%)]],TRUE)*100,"")</f>
        <v/>
      </c>
      <c r="L2820" s="7" t="str">
        <f>IF(Table1[[#This Row],[Is Data Valid]]=TRUE,_xlfn.NORM.S.DIST(Table1[[#This Row],[Birthweight Z-Score (BW+10%)]],TRUE)*100,"")</f>
        <v/>
      </c>
    </row>
    <row r="2821" spans="1:12" x14ac:dyDescent="0.35">
      <c r="A2821" s="3"/>
      <c r="B2821" s="2"/>
      <c r="C2821" s="2"/>
      <c r="D2821" s="2" t="b">
        <f>IF(AND(NOT(ISBLANK(Table1[[#This Row],[Fetal Sex (Male, Female or Unknown)]])),ISNUMBER(Table1[[#This Row],[Birthweight (grams)]]),ISNUMBER(Table1[[#This Row],[Gestation (days)]])),TRUE,FALSE)</f>
        <v>0</v>
      </c>
      <c r="E2821" s="2" t="str">
        <f>IF(Table1[[#This Row],[Is Data Valid]]=TRUE,IF(Table1[[#This Row],[Fetal Sex (Male, Female or Unknown)]]="Male",Backend!$C$6,IF(Table1[[#This Row],[Fetal Sex (Male, Female or Unknown)]]="Female",Backend!$C$7,IF(Table1[[#This Row],[Fetal Sex (Male, Female or Unknown)]]="Unknown",Backend!$C$8,"Error"))),"")</f>
        <v/>
      </c>
      <c r="F2821" s="8" t="str">
        <f>IF(Table1[[#This Row],[Is Data Valid]]=TRUE,EXP(0.578+0.332*((Table1[[#This Row],[Gestation (days)]]+0.5)/7)-0.00354*((Table1[[#This Row],[Gestation (days)]]+0.5)/7)^2)*Table1[[#This Row],[BW40_3705]],"")</f>
        <v/>
      </c>
      <c r="G2821" s="2" t="str">
        <f>IF(Table1[[#This Row],[Is Data Valid]]=TRUE,((Table1[[#This Row],[Birthweight (grams)]]/Table1[[#This Row],[BW_GA]])-1)/(Backend!$B$4/100*Table1[[#This Row],[BW40_3705]]),"")</f>
        <v/>
      </c>
      <c r="H2821" s="7" t="str">
        <f>IF(Table1[[#This Row],[Is Data Valid]]=TRUE,((Table1[[#This Row],[Birthweight (grams)]]*0.9/Table1[[#This Row],[BW_GA]])-1)/(Backend!$B$4/100*Table1[[#This Row],[BW40_3705]]),"")</f>
        <v/>
      </c>
      <c r="I2821" s="7" t="str">
        <f>IF(Table1[[#This Row],[Is Data Valid]]=TRUE,((Table1[[#This Row],[Birthweight (grams)]]*1.1/Table1[[#This Row],[BW_GA]])-1)/(Backend!$B$4/100*Table1[[#This Row],[BW40_3705]]),"")</f>
        <v/>
      </c>
      <c r="J2821" s="7" t="str">
        <f>IF(Table1[[#This Row],[Is Data Valid]]=TRUE,_xlfn.NORM.S.DIST(Table1[[#This Row],[Birthweight Z-Score]],TRUE)*100,"")</f>
        <v/>
      </c>
      <c r="K2821" s="7" t="str">
        <f>IF(Table1[[#This Row],[Is Data Valid]]=TRUE,_xlfn.NORM.S.DIST(Table1[[#This Row],[Birthweight Z-Score (BW-10%)]],TRUE)*100,"")</f>
        <v/>
      </c>
      <c r="L2821" s="7" t="str">
        <f>IF(Table1[[#This Row],[Is Data Valid]]=TRUE,_xlfn.NORM.S.DIST(Table1[[#This Row],[Birthweight Z-Score (BW+10%)]],TRUE)*100,"")</f>
        <v/>
      </c>
    </row>
    <row r="2822" spans="1:12" x14ac:dyDescent="0.35">
      <c r="A2822" s="3"/>
      <c r="B2822" s="2"/>
      <c r="C2822" s="2"/>
      <c r="D2822" s="2" t="b">
        <f>IF(AND(NOT(ISBLANK(Table1[[#This Row],[Fetal Sex (Male, Female or Unknown)]])),ISNUMBER(Table1[[#This Row],[Birthweight (grams)]]),ISNUMBER(Table1[[#This Row],[Gestation (days)]])),TRUE,FALSE)</f>
        <v>0</v>
      </c>
      <c r="E2822" s="2" t="str">
        <f>IF(Table1[[#This Row],[Is Data Valid]]=TRUE,IF(Table1[[#This Row],[Fetal Sex (Male, Female or Unknown)]]="Male",Backend!$C$6,IF(Table1[[#This Row],[Fetal Sex (Male, Female or Unknown)]]="Female",Backend!$C$7,IF(Table1[[#This Row],[Fetal Sex (Male, Female or Unknown)]]="Unknown",Backend!$C$8,"Error"))),"")</f>
        <v/>
      </c>
      <c r="F2822" s="8" t="str">
        <f>IF(Table1[[#This Row],[Is Data Valid]]=TRUE,EXP(0.578+0.332*((Table1[[#This Row],[Gestation (days)]]+0.5)/7)-0.00354*((Table1[[#This Row],[Gestation (days)]]+0.5)/7)^2)*Table1[[#This Row],[BW40_3705]],"")</f>
        <v/>
      </c>
      <c r="G2822" s="2" t="str">
        <f>IF(Table1[[#This Row],[Is Data Valid]]=TRUE,((Table1[[#This Row],[Birthweight (grams)]]/Table1[[#This Row],[BW_GA]])-1)/(Backend!$B$4/100*Table1[[#This Row],[BW40_3705]]),"")</f>
        <v/>
      </c>
      <c r="H2822" s="7" t="str">
        <f>IF(Table1[[#This Row],[Is Data Valid]]=TRUE,((Table1[[#This Row],[Birthweight (grams)]]*0.9/Table1[[#This Row],[BW_GA]])-1)/(Backend!$B$4/100*Table1[[#This Row],[BW40_3705]]),"")</f>
        <v/>
      </c>
      <c r="I2822" s="7" t="str">
        <f>IF(Table1[[#This Row],[Is Data Valid]]=TRUE,((Table1[[#This Row],[Birthweight (grams)]]*1.1/Table1[[#This Row],[BW_GA]])-1)/(Backend!$B$4/100*Table1[[#This Row],[BW40_3705]]),"")</f>
        <v/>
      </c>
      <c r="J2822" s="7" t="str">
        <f>IF(Table1[[#This Row],[Is Data Valid]]=TRUE,_xlfn.NORM.S.DIST(Table1[[#This Row],[Birthweight Z-Score]],TRUE)*100,"")</f>
        <v/>
      </c>
      <c r="K2822" s="7" t="str">
        <f>IF(Table1[[#This Row],[Is Data Valid]]=TRUE,_xlfn.NORM.S.DIST(Table1[[#This Row],[Birthweight Z-Score (BW-10%)]],TRUE)*100,"")</f>
        <v/>
      </c>
      <c r="L2822" s="7" t="str">
        <f>IF(Table1[[#This Row],[Is Data Valid]]=TRUE,_xlfn.NORM.S.DIST(Table1[[#This Row],[Birthweight Z-Score (BW+10%)]],TRUE)*100,"")</f>
        <v/>
      </c>
    </row>
    <row r="2823" spans="1:12" x14ac:dyDescent="0.35">
      <c r="A2823" s="3"/>
      <c r="B2823" s="2"/>
      <c r="C2823" s="2"/>
      <c r="D2823" s="2" t="b">
        <f>IF(AND(NOT(ISBLANK(Table1[[#This Row],[Fetal Sex (Male, Female or Unknown)]])),ISNUMBER(Table1[[#This Row],[Birthweight (grams)]]),ISNUMBER(Table1[[#This Row],[Gestation (days)]])),TRUE,FALSE)</f>
        <v>0</v>
      </c>
      <c r="E2823" s="2" t="str">
        <f>IF(Table1[[#This Row],[Is Data Valid]]=TRUE,IF(Table1[[#This Row],[Fetal Sex (Male, Female or Unknown)]]="Male",Backend!$C$6,IF(Table1[[#This Row],[Fetal Sex (Male, Female or Unknown)]]="Female",Backend!$C$7,IF(Table1[[#This Row],[Fetal Sex (Male, Female or Unknown)]]="Unknown",Backend!$C$8,"Error"))),"")</f>
        <v/>
      </c>
      <c r="F2823" s="8" t="str">
        <f>IF(Table1[[#This Row],[Is Data Valid]]=TRUE,EXP(0.578+0.332*((Table1[[#This Row],[Gestation (days)]]+0.5)/7)-0.00354*((Table1[[#This Row],[Gestation (days)]]+0.5)/7)^2)*Table1[[#This Row],[BW40_3705]],"")</f>
        <v/>
      </c>
      <c r="G2823" s="2" t="str">
        <f>IF(Table1[[#This Row],[Is Data Valid]]=TRUE,((Table1[[#This Row],[Birthweight (grams)]]/Table1[[#This Row],[BW_GA]])-1)/(Backend!$B$4/100*Table1[[#This Row],[BW40_3705]]),"")</f>
        <v/>
      </c>
      <c r="H2823" s="7" t="str">
        <f>IF(Table1[[#This Row],[Is Data Valid]]=TRUE,((Table1[[#This Row],[Birthweight (grams)]]*0.9/Table1[[#This Row],[BW_GA]])-1)/(Backend!$B$4/100*Table1[[#This Row],[BW40_3705]]),"")</f>
        <v/>
      </c>
      <c r="I2823" s="7" t="str">
        <f>IF(Table1[[#This Row],[Is Data Valid]]=TRUE,((Table1[[#This Row],[Birthweight (grams)]]*1.1/Table1[[#This Row],[BW_GA]])-1)/(Backend!$B$4/100*Table1[[#This Row],[BW40_3705]]),"")</f>
        <v/>
      </c>
      <c r="J2823" s="7" t="str">
        <f>IF(Table1[[#This Row],[Is Data Valid]]=TRUE,_xlfn.NORM.S.DIST(Table1[[#This Row],[Birthweight Z-Score]],TRUE)*100,"")</f>
        <v/>
      </c>
      <c r="K2823" s="7" t="str">
        <f>IF(Table1[[#This Row],[Is Data Valid]]=TRUE,_xlfn.NORM.S.DIST(Table1[[#This Row],[Birthweight Z-Score (BW-10%)]],TRUE)*100,"")</f>
        <v/>
      </c>
      <c r="L2823" s="7" t="str">
        <f>IF(Table1[[#This Row],[Is Data Valid]]=TRUE,_xlfn.NORM.S.DIST(Table1[[#This Row],[Birthweight Z-Score (BW+10%)]],TRUE)*100,"")</f>
        <v/>
      </c>
    </row>
    <row r="2824" spans="1:12" x14ac:dyDescent="0.35">
      <c r="A2824" s="3"/>
      <c r="B2824" s="2"/>
      <c r="C2824" s="2"/>
      <c r="D2824" s="2" t="b">
        <f>IF(AND(NOT(ISBLANK(Table1[[#This Row],[Fetal Sex (Male, Female or Unknown)]])),ISNUMBER(Table1[[#This Row],[Birthweight (grams)]]),ISNUMBER(Table1[[#This Row],[Gestation (days)]])),TRUE,FALSE)</f>
        <v>0</v>
      </c>
      <c r="E2824" s="2" t="str">
        <f>IF(Table1[[#This Row],[Is Data Valid]]=TRUE,IF(Table1[[#This Row],[Fetal Sex (Male, Female or Unknown)]]="Male",Backend!$C$6,IF(Table1[[#This Row],[Fetal Sex (Male, Female or Unknown)]]="Female",Backend!$C$7,IF(Table1[[#This Row],[Fetal Sex (Male, Female or Unknown)]]="Unknown",Backend!$C$8,"Error"))),"")</f>
        <v/>
      </c>
      <c r="F2824" s="8" t="str">
        <f>IF(Table1[[#This Row],[Is Data Valid]]=TRUE,EXP(0.578+0.332*((Table1[[#This Row],[Gestation (days)]]+0.5)/7)-0.00354*((Table1[[#This Row],[Gestation (days)]]+0.5)/7)^2)*Table1[[#This Row],[BW40_3705]],"")</f>
        <v/>
      </c>
      <c r="G2824" s="2" t="str">
        <f>IF(Table1[[#This Row],[Is Data Valid]]=TRUE,((Table1[[#This Row],[Birthweight (grams)]]/Table1[[#This Row],[BW_GA]])-1)/(Backend!$B$4/100*Table1[[#This Row],[BW40_3705]]),"")</f>
        <v/>
      </c>
      <c r="H2824" s="7" t="str">
        <f>IF(Table1[[#This Row],[Is Data Valid]]=TRUE,((Table1[[#This Row],[Birthweight (grams)]]*0.9/Table1[[#This Row],[BW_GA]])-1)/(Backend!$B$4/100*Table1[[#This Row],[BW40_3705]]),"")</f>
        <v/>
      </c>
      <c r="I2824" s="7" t="str">
        <f>IF(Table1[[#This Row],[Is Data Valid]]=TRUE,((Table1[[#This Row],[Birthweight (grams)]]*1.1/Table1[[#This Row],[BW_GA]])-1)/(Backend!$B$4/100*Table1[[#This Row],[BW40_3705]]),"")</f>
        <v/>
      </c>
      <c r="J2824" s="7" t="str">
        <f>IF(Table1[[#This Row],[Is Data Valid]]=TRUE,_xlfn.NORM.S.DIST(Table1[[#This Row],[Birthweight Z-Score]],TRUE)*100,"")</f>
        <v/>
      </c>
      <c r="K2824" s="7" t="str">
        <f>IF(Table1[[#This Row],[Is Data Valid]]=TRUE,_xlfn.NORM.S.DIST(Table1[[#This Row],[Birthweight Z-Score (BW-10%)]],TRUE)*100,"")</f>
        <v/>
      </c>
      <c r="L2824" s="7" t="str">
        <f>IF(Table1[[#This Row],[Is Data Valid]]=TRUE,_xlfn.NORM.S.DIST(Table1[[#This Row],[Birthweight Z-Score (BW+10%)]],TRUE)*100,"")</f>
        <v/>
      </c>
    </row>
    <row r="2825" spans="1:12" x14ac:dyDescent="0.35">
      <c r="A2825" s="3"/>
      <c r="B2825" s="2"/>
      <c r="C2825" s="2"/>
      <c r="D2825" s="2" t="b">
        <f>IF(AND(NOT(ISBLANK(Table1[[#This Row],[Fetal Sex (Male, Female or Unknown)]])),ISNUMBER(Table1[[#This Row],[Birthweight (grams)]]),ISNUMBER(Table1[[#This Row],[Gestation (days)]])),TRUE,FALSE)</f>
        <v>0</v>
      </c>
      <c r="E2825" s="2" t="str">
        <f>IF(Table1[[#This Row],[Is Data Valid]]=TRUE,IF(Table1[[#This Row],[Fetal Sex (Male, Female or Unknown)]]="Male",Backend!$C$6,IF(Table1[[#This Row],[Fetal Sex (Male, Female or Unknown)]]="Female",Backend!$C$7,IF(Table1[[#This Row],[Fetal Sex (Male, Female or Unknown)]]="Unknown",Backend!$C$8,"Error"))),"")</f>
        <v/>
      </c>
      <c r="F2825" s="8" t="str">
        <f>IF(Table1[[#This Row],[Is Data Valid]]=TRUE,EXP(0.578+0.332*((Table1[[#This Row],[Gestation (days)]]+0.5)/7)-0.00354*((Table1[[#This Row],[Gestation (days)]]+0.5)/7)^2)*Table1[[#This Row],[BW40_3705]],"")</f>
        <v/>
      </c>
      <c r="G2825" s="2" t="str">
        <f>IF(Table1[[#This Row],[Is Data Valid]]=TRUE,((Table1[[#This Row],[Birthweight (grams)]]/Table1[[#This Row],[BW_GA]])-1)/(Backend!$B$4/100*Table1[[#This Row],[BW40_3705]]),"")</f>
        <v/>
      </c>
      <c r="H2825" s="7" t="str">
        <f>IF(Table1[[#This Row],[Is Data Valid]]=TRUE,((Table1[[#This Row],[Birthweight (grams)]]*0.9/Table1[[#This Row],[BW_GA]])-1)/(Backend!$B$4/100*Table1[[#This Row],[BW40_3705]]),"")</f>
        <v/>
      </c>
      <c r="I2825" s="7" t="str">
        <f>IF(Table1[[#This Row],[Is Data Valid]]=TRUE,((Table1[[#This Row],[Birthweight (grams)]]*1.1/Table1[[#This Row],[BW_GA]])-1)/(Backend!$B$4/100*Table1[[#This Row],[BW40_3705]]),"")</f>
        <v/>
      </c>
      <c r="J2825" s="7" t="str">
        <f>IF(Table1[[#This Row],[Is Data Valid]]=TRUE,_xlfn.NORM.S.DIST(Table1[[#This Row],[Birthweight Z-Score]],TRUE)*100,"")</f>
        <v/>
      </c>
      <c r="K2825" s="7" t="str">
        <f>IF(Table1[[#This Row],[Is Data Valid]]=TRUE,_xlfn.NORM.S.DIST(Table1[[#This Row],[Birthweight Z-Score (BW-10%)]],TRUE)*100,"")</f>
        <v/>
      </c>
      <c r="L2825" s="7" t="str">
        <f>IF(Table1[[#This Row],[Is Data Valid]]=TRUE,_xlfn.NORM.S.DIST(Table1[[#This Row],[Birthweight Z-Score (BW+10%)]],TRUE)*100,"")</f>
        <v/>
      </c>
    </row>
    <row r="2826" spans="1:12" x14ac:dyDescent="0.35">
      <c r="A2826" s="3"/>
      <c r="B2826" s="2"/>
      <c r="C2826" s="2"/>
      <c r="D2826" s="2" t="b">
        <f>IF(AND(NOT(ISBLANK(Table1[[#This Row],[Fetal Sex (Male, Female or Unknown)]])),ISNUMBER(Table1[[#This Row],[Birthweight (grams)]]),ISNUMBER(Table1[[#This Row],[Gestation (days)]])),TRUE,FALSE)</f>
        <v>0</v>
      </c>
      <c r="E2826" s="2" t="str">
        <f>IF(Table1[[#This Row],[Is Data Valid]]=TRUE,IF(Table1[[#This Row],[Fetal Sex (Male, Female or Unknown)]]="Male",Backend!$C$6,IF(Table1[[#This Row],[Fetal Sex (Male, Female or Unknown)]]="Female",Backend!$C$7,IF(Table1[[#This Row],[Fetal Sex (Male, Female or Unknown)]]="Unknown",Backend!$C$8,"Error"))),"")</f>
        <v/>
      </c>
      <c r="F2826" s="8" t="str">
        <f>IF(Table1[[#This Row],[Is Data Valid]]=TRUE,EXP(0.578+0.332*((Table1[[#This Row],[Gestation (days)]]+0.5)/7)-0.00354*((Table1[[#This Row],[Gestation (days)]]+0.5)/7)^2)*Table1[[#This Row],[BW40_3705]],"")</f>
        <v/>
      </c>
      <c r="G2826" s="2" t="str">
        <f>IF(Table1[[#This Row],[Is Data Valid]]=TRUE,((Table1[[#This Row],[Birthweight (grams)]]/Table1[[#This Row],[BW_GA]])-1)/(Backend!$B$4/100*Table1[[#This Row],[BW40_3705]]),"")</f>
        <v/>
      </c>
      <c r="H2826" s="7" t="str">
        <f>IF(Table1[[#This Row],[Is Data Valid]]=TRUE,((Table1[[#This Row],[Birthweight (grams)]]*0.9/Table1[[#This Row],[BW_GA]])-1)/(Backend!$B$4/100*Table1[[#This Row],[BW40_3705]]),"")</f>
        <v/>
      </c>
      <c r="I2826" s="7" t="str">
        <f>IF(Table1[[#This Row],[Is Data Valid]]=TRUE,((Table1[[#This Row],[Birthweight (grams)]]*1.1/Table1[[#This Row],[BW_GA]])-1)/(Backend!$B$4/100*Table1[[#This Row],[BW40_3705]]),"")</f>
        <v/>
      </c>
      <c r="J2826" s="7" t="str">
        <f>IF(Table1[[#This Row],[Is Data Valid]]=TRUE,_xlfn.NORM.S.DIST(Table1[[#This Row],[Birthweight Z-Score]],TRUE)*100,"")</f>
        <v/>
      </c>
      <c r="K2826" s="7" t="str">
        <f>IF(Table1[[#This Row],[Is Data Valid]]=TRUE,_xlfn.NORM.S.DIST(Table1[[#This Row],[Birthweight Z-Score (BW-10%)]],TRUE)*100,"")</f>
        <v/>
      </c>
      <c r="L2826" s="7" t="str">
        <f>IF(Table1[[#This Row],[Is Data Valid]]=TRUE,_xlfn.NORM.S.DIST(Table1[[#This Row],[Birthweight Z-Score (BW+10%)]],TRUE)*100,"")</f>
        <v/>
      </c>
    </row>
    <row r="2827" spans="1:12" x14ac:dyDescent="0.35">
      <c r="A2827" s="3"/>
      <c r="B2827" s="2"/>
      <c r="C2827" s="2"/>
      <c r="D2827" s="2" t="b">
        <f>IF(AND(NOT(ISBLANK(Table1[[#This Row],[Fetal Sex (Male, Female or Unknown)]])),ISNUMBER(Table1[[#This Row],[Birthweight (grams)]]),ISNUMBER(Table1[[#This Row],[Gestation (days)]])),TRUE,FALSE)</f>
        <v>0</v>
      </c>
      <c r="E2827" s="2" t="str">
        <f>IF(Table1[[#This Row],[Is Data Valid]]=TRUE,IF(Table1[[#This Row],[Fetal Sex (Male, Female or Unknown)]]="Male",Backend!$C$6,IF(Table1[[#This Row],[Fetal Sex (Male, Female or Unknown)]]="Female",Backend!$C$7,IF(Table1[[#This Row],[Fetal Sex (Male, Female or Unknown)]]="Unknown",Backend!$C$8,"Error"))),"")</f>
        <v/>
      </c>
      <c r="F2827" s="8" t="str">
        <f>IF(Table1[[#This Row],[Is Data Valid]]=TRUE,EXP(0.578+0.332*((Table1[[#This Row],[Gestation (days)]]+0.5)/7)-0.00354*((Table1[[#This Row],[Gestation (days)]]+0.5)/7)^2)*Table1[[#This Row],[BW40_3705]],"")</f>
        <v/>
      </c>
      <c r="G2827" s="2" t="str">
        <f>IF(Table1[[#This Row],[Is Data Valid]]=TRUE,((Table1[[#This Row],[Birthweight (grams)]]/Table1[[#This Row],[BW_GA]])-1)/(Backend!$B$4/100*Table1[[#This Row],[BW40_3705]]),"")</f>
        <v/>
      </c>
      <c r="H2827" s="7" t="str">
        <f>IF(Table1[[#This Row],[Is Data Valid]]=TRUE,((Table1[[#This Row],[Birthweight (grams)]]*0.9/Table1[[#This Row],[BW_GA]])-1)/(Backend!$B$4/100*Table1[[#This Row],[BW40_3705]]),"")</f>
        <v/>
      </c>
      <c r="I2827" s="7" t="str">
        <f>IF(Table1[[#This Row],[Is Data Valid]]=TRUE,((Table1[[#This Row],[Birthweight (grams)]]*1.1/Table1[[#This Row],[BW_GA]])-1)/(Backend!$B$4/100*Table1[[#This Row],[BW40_3705]]),"")</f>
        <v/>
      </c>
      <c r="J2827" s="7" t="str">
        <f>IF(Table1[[#This Row],[Is Data Valid]]=TRUE,_xlfn.NORM.S.DIST(Table1[[#This Row],[Birthweight Z-Score]],TRUE)*100,"")</f>
        <v/>
      </c>
      <c r="K2827" s="7" t="str">
        <f>IF(Table1[[#This Row],[Is Data Valid]]=TRUE,_xlfn.NORM.S.DIST(Table1[[#This Row],[Birthweight Z-Score (BW-10%)]],TRUE)*100,"")</f>
        <v/>
      </c>
      <c r="L2827" s="7" t="str">
        <f>IF(Table1[[#This Row],[Is Data Valid]]=TRUE,_xlfn.NORM.S.DIST(Table1[[#This Row],[Birthweight Z-Score (BW+10%)]],TRUE)*100,"")</f>
        <v/>
      </c>
    </row>
    <row r="2828" spans="1:12" x14ac:dyDescent="0.35">
      <c r="A2828" s="3"/>
      <c r="B2828" s="2"/>
      <c r="C2828" s="2"/>
      <c r="D2828" s="2" t="b">
        <f>IF(AND(NOT(ISBLANK(Table1[[#This Row],[Fetal Sex (Male, Female or Unknown)]])),ISNUMBER(Table1[[#This Row],[Birthweight (grams)]]),ISNUMBER(Table1[[#This Row],[Gestation (days)]])),TRUE,FALSE)</f>
        <v>0</v>
      </c>
      <c r="E2828" s="2" t="str">
        <f>IF(Table1[[#This Row],[Is Data Valid]]=TRUE,IF(Table1[[#This Row],[Fetal Sex (Male, Female or Unknown)]]="Male",Backend!$C$6,IF(Table1[[#This Row],[Fetal Sex (Male, Female or Unknown)]]="Female",Backend!$C$7,IF(Table1[[#This Row],[Fetal Sex (Male, Female or Unknown)]]="Unknown",Backend!$C$8,"Error"))),"")</f>
        <v/>
      </c>
      <c r="F2828" s="8" t="str">
        <f>IF(Table1[[#This Row],[Is Data Valid]]=TRUE,EXP(0.578+0.332*((Table1[[#This Row],[Gestation (days)]]+0.5)/7)-0.00354*((Table1[[#This Row],[Gestation (days)]]+0.5)/7)^2)*Table1[[#This Row],[BW40_3705]],"")</f>
        <v/>
      </c>
      <c r="G2828" s="2" t="str">
        <f>IF(Table1[[#This Row],[Is Data Valid]]=TRUE,((Table1[[#This Row],[Birthweight (grams)]]/Table1[[#This Row],[BW_GA]])-1)/(Backend!$B$4/100*Table1[[#This Row],[BW40_3705]]),"")</f>
        <v/>
      </c>
      <c r="H2828" s="7" t="str">
        <f>IF(Table1[[#This Row],[Is Data Valid]]=TRUE,((Table1[[#This Row],[Birthweight (grams)]]*0.9/Table1[[#This Row],[BW_GA]])-1)/(Backend!$B$4/100*Table1[[#This Row],[BW40_3705]]),"")</f>
        <v/>
      </c>
      <c r="I2828" s="7" t="str">
        <f>IF(Table1[[#This Row],[Is Data Valid]]=TRUE,((Table1[[#This Row],[Birthweight (grams)]]*1.1/Table1[[#This Row],[BW_GA]])-1)/(Backend!$B$4/100*Table1[[#This Row],[BW40_3705]]),"")</f>
        <v/>
      </c>
      <c r="J2828" s="7" t="str">
        <f>IF(Table1[[#This Row],[Is Data Valid]]=TRUE,_xlfn.NORM.S.DIST(Table1[[#This Row],[Birthweight Z-Score]],TRUE)*100,"")</f>
        <v/>
      </c>
      <c r="K2828" s="7" t="str">
        <f>IF(Table1[[#This Row],[Is Data Valid]]=TRUE,_xlfn.NORM.S.DIST(Table1[[#This Row],[Birthweight Z-Score (BW-10%)]],TRUE)*100,"")</f>
        <v/>
      </c>
      <c r="L2828" s="7" t="str">
        <f>IF(Table1[[#This Row],[Is Data Valid]]=TRUE,_xlfn.NORM.S.DIST(Table1[[#This Row],[Birthweight Z-Score (BW+10%)]],TRUE)*100,"")</f>
        <v/>
      </c>
    </row>
    <row r="2829" spans="1:12" x14ac:dyDescent="0.35">
      <c r="A2829" s="3"/>
      <c r="B2829" s="2"/>
      <c r="C2829" s="2"/>
      <c r="D2829" s="2" t="b">
        <f>IF(AND(NOT(ISBLANK(Table1[[#This Row],[Fetal Sex (Male, Female or Unknown)]])),ISNUMBER(Table1[[#This Row],[Birthweight (grams)]]),ISNUMBER(Table1[[#This Row],[Gestation (days)]])),TRUE,FALSE)</f>
        <v>0</v>
      </c>
      <c r="E2829" s="2" t="str">
        <f>IF(Table1[[#This Row],[Is Data Valid]]=TRUE,IF(Table1[[#This Row],[Fetal Sex (Male, Female or Unknown)]]="Male",Backend!$C$6,IF(Table1[[#This Row],[Fetal Sex (Male, Female or Unknown)]]="Female",Backend!$C$7,IF(Table1[[#This Row],[Fetal Sex (Male, Female or Unknown)]]="Unknown",Backend!$C$8,"Error"))),"")</f>
        <v/>
      </c>
      <c r="F2829" s="8" t="str">
        <f>IF(Table1[[#This Row],[Is Data Valid]]=TRUE,EXP(0.578+0.332*((Table1[[#This Row],[Gestation (days)]]+0.5)/7)-0.00354*((Table1[[#This Row],[Gestation (days)]]+0.5)/7)^2)*Table1[[#This Row],[BW40_3705]],"")</f>
        <v/>
      </c>
      <c r="G2829" s="2" t="str">
        <f>IF(Table1[[#This Row],[Is Data Valid]]=TRUE,((Table1[[#This Row],[Birthweight (grams)]]/Table1[[#This Row],[BW_GA]])-1)/(Backend!$B$4/100*Table1[[#This Row],[BW40_3705]]),"")</f>
        <v/>
      </c>
      <c r="H2829" s="7" t="str">
        <f>IF(Table1[[#This Row],[Is Data Valid]]=TRUE,((Table1[[#This Row],[Birthweight (grams)]]*0.9/Table1[[#This Row],[BW_GA]])-1)/(Backend!$B$4/100*Table1[[#This Row],[BW40_3705]]),"")</f>
        <v/>
      </c>
      <c r="I2829" s="7" t="str">
        <f>IF(Table1[[#This Row],[Is Data Valid]]=TRUE,((Table1[[#This Row],[Birthweight (grams)]]*1.1/Table1[[#This Row],[BW_GA]])-1)/(Backend!$B$4/100*Table1[[#This Row],[BW40_3705]]),"")</f>
        <v/>
      </c>
      <c r="J2829" s="7" t="str">
        <f>IF(Table1[[#This Row],[Is Data Valid]]=TRUE,_xlfn.NORM.S.DIST(Table1[[#This Row],[Birthweight Z-Score]],TRUE)*100,"")</f>
        <v/>
      </c>
      <c r="K2829" s="7" t="str">
        <f>IF(Table1[[#This Row],[Is Data Valid]]=TRUE,_xlfn.NORM.S.DIST(Table1[[#This Row],[Birthweight Z-Score (BW-10%)]],TRUE)*100,"")</f>
        <v/>
      </c>
      <c r="L2829" s="7" t="str">
        <f>IF(Table1[[#This Row],[Is Data Valid]]=TRUE,_xlfn.NORM.S.DIST(Table1[[#This Row],[Birthweight Z-Score (BW+10%)]],TRUE)*100,"")</f>
        <v/>
      </c>
    </row>
    <row r="2830" spans="1:12" x14ac:dyDescent="0.35">
      <c r="A2830" s="3"/>
      <c r="B2830" s="2"/>
      <c r="C2830" s="2"/>
      <c r="D2830" s="2" t="b">
        <f>IF(AND(NOT(ISBLANK(Table1[[#This Row],[Fetal Sex (Male, Female or Unknown)]])),ISNUMBER(Table1[[#This Row],[Birthweight (grams)]]),ISNUMBER(Table1[[#This Row],[Gestation (days)]])),TRUE,FALSE)</f>
        <v>0</v>
      </c>
      <c r="E2830" s="2" t="str">
        <f>IF(Table1[[#This Row],[Is Data Valid]]=TRUE,IF(Table1[[#This Row],[Fetal Sex (Male, Female or Unknown)]]="Male",Backend!$C$6,IF(Table1[[#This Row],[Fetal Sex (Male, Female or Unknown)]]="Female",Backend!$C$7,IF(Table1[[#This Row],[Fetal Sex (Male, Female or Unknown)]]="Unknown",Backend!$C$8,"Error"))),"")</f>
        <v/>
      </c>
      <c r="F2830" s="8" t="str">
        <f>IF(Table1[[#This Row],[Is Data Valid]]=TRUE,EXP(0.578+0.332*((Table1[[#This Row],[Gestation (days)]]+0.5)/7)-0.00354*((Table1[[#This Row],[Gestation (days)]]+0.5)/7)^2)*Table1[[#This Row],[BW40_3705]],"")</f>
        <v/>
      </c>
      <c r="G2830" s="2" t="str">
        <f>IF(Table1[[#This Row],[Is Data Valid]]=TRUE,((Table1[[#This Row],[Birthweight (grams)]]/Table1[[#This Row],[BW_GA]])-1)/(Backend!$B$4/100*Table1[[#This Row],[BW40_3705]]),"")</f>
        <v/>
      </c>
      <c r="H2830" s="7" t="str">
        <f>IF(Table1[[#This Row],[Is Data Valid]]=TRUE,((Table1[[#This Row],[Birthweight (grams)]]*0.9/Table1[[#This Row],[BW_GA]])-1)/(Backend!$B$4/100*Table1[[#This Row],[BW40_3705]]),"")</f>
        <v/>
      </c>
      <c r="I2830" s="7" t="str">
        <f>IF(Table1[[#This Row],[Is Data Valid]]=TRUE,((Table1[[#This Row],[Birthweight (grams)]]*1.1/Table1[[#This Row],[BW_GA]])-1)/(Backend!$B$4/100*Table1[[#This Row],[BW40_3705]]),"")</f>
        <v/>
      </c>
      <c r="J2830" s="7" t="str">
        <f>IF(Table1[[#This Row],[Is Data Valid]]=TRUE,_xlfn.NORM.S.DIST(Table1[[#This Row],[Birthweight Z-Score]],TRUE)*100,"")</f>
        <v/>
      </c>
      <c r="K2830" s="7" t="str">
        <f>IF(Table1[[#This Row],[Is Data Valid]]=TRUE,_xlfn.NORM.S.DIST(Table1[[#This Row],[Birthweight Z-Score (BW-10%)]],TRUE)*100,"")</f>
        <v/>
      </c>
      <c r="L2830" s="7" t="str">
        <f>IF(Table1[[#This Row],[Is Data Valid]]=TRUE,_xlfn.NORM.S.DIST(Table1[[#This Row],[Birthweight Z-Score (BW+10%)]],TRUE)*100,"")</f>
        <v/>
      </c>
    </row>
    <row r="2831" spans="1:12" x14ac:dyDescent="0.35">
      <c r="A2831" s="3"/>
      <c r="B2831" s="2"/>
      <c r="C2831" s="2"/>
      <c r="D2831" s="2" t="b">
        <f>IF(AND(NOT(ISBLANK(Table1[[#This Row],[Fetal Sex (Male, Female or Unknown)]])),ISNUMBER(Table1[[#This Row],[Birthweight (grams)]]),ISNUMBER(Table1[[#This Row],[Gestation (days)]])),TRUE,FALSE)</f>
        <v>0</v>
      </c>
      <c r="E2831" s="2" t="str">
        <f>IF(Table1[[#This Row],[Is Data Valid]]=TRUE,IF(Table1[[#This Row],[Fetal Sex (Male, Female or Unknown)]]="Male",Backend!$C$6,IF(Table1[[#This Row],[Fetal Sex (Male, Female or Unknown)]]="Female",Backend!$C$7,IF(Table1[[#This Row],[Fetal Sex (Male, Female or Unknown)]]="Unknown",Backend!$C$8,"Error"))),"")</f>
        <v/>
      </c>
      <c r="F2831" s="8" t="str">
        <f>IF(Table1[[#This Row],[Is Data Valid]]=TRUE,EXP(0.578+0.332*((Table1[[#This Row],[Gestation (days)]]+0.5)/7)-0.00354*((Table1[[#This Row],[Gestation (days)]]+0.5)/7)^2)*Table1[[#This Row],[BW40_3705]],"")</f>
        <v/>
      </c>
      <c r="G2831" s="2" t="str">
        <f>IF(Table1[[#This Row],[Is Data Valid]]=TRUE,((Table1[[#This Row],[Birthweight (grams)]]/Table1[[#This Row],[BW_GA]])-1)/(Backend!$B$4/100*Table1[[#This Row],[BW40_3705]]),"")</f>
        <v/>
      </c>
      <c r="H2831" s="7" t="str">
        <f>IF(Table1[[#This Row],[Is Data Valid]]=TRUE,((Table1[[#This Row],[Birthweight (grams)]]*0.9/Table1[[#This Row],[BW_GA]])-1)/(Backend!$B$4/100*Table1[[#This Row],[BW40_3705]]),"")</f>
        <v/>
      </c>
      <c r="I2831" s="7" t="str">
        <f>IF(Table1[[#This Row],[Is Data Valid]]=TRUE,((Table1[[#This Row],[Birthweight (grams)]]*1.1/Table1[[#This Row],[BW_GA]])-1)/(Backend!$B$4/100*Table1[[#This Row],[BW40_3705]]),"")</f>
        <v/>
      </c>
      <c r="J2831" s="7" t="str">
        <f>IF(Table1[[#This Row],[Is Data Valid]]=TRUE,_xlfn.NORM.S.DIST(Table1[[#This Row],[Birthweight Z-Score]],TRUE)*100,"")</f>
        <v/>
      </c>
      <c r="K2831" s="7" t="str">
        <f>IF(Table1[[#This Row],[Is Data Valid]]=TRUE,_xlfn.NORM.S.DIST(Table1[[#This Row],[Birthweight Z-Score (BW-10%)]],TRUE)*100,"")</f>
        <v/>
      </c>
      <c r="L2831" s="7" t="str">
        <f>IF(Table1[[#This Row],[Is Data Valid]]=TRUE,_xlfn.NORM.S.DIST(Table1[[#This Row],[Birthweight Z-Score (BW+10%)]],TRUE)*100,"")</f>
        <v/>
      </c>
    </row>
    <row r="2832" spans="1:12" x14ac:dyDescent="0.35">
      <c r="A2832" s="3"/>
      <c r="B2832" s="2"/>
      <c r="C2832" s="2"/>
      <c r="D2832" s="2" t="b">
        <f>IF(AND(NOT(ISBLANK(Table1[[#This Row],[Fetal Sex (Male, Female or Unknown)]])),ISNUMBER(Table1[[#This Row],[Birthweight (grams)]]),ISNUMBER(Table1[[#This Row],[Gestation (days)]])),TRUE,FALSE)</f>
        <v>0</v>
      </c>
      <c r="E2832" s="2" t="str">
        <f>IF(Table1[[#This Row],[Is Data Valid]]=TRUE,IF(Table1[[#This Row],[Fetal Sex (Male, Female or Unknown)]]="Male",Backend!$C$6,IF(Table1[[#This Row],[Fetal Sex (Male, Female or Unknown)]]="Female",Backend!$C$7,IF(Table1[[#This Row],[Fetal Sex (Male, Female or Unknown)]]="Unknown",Backend!$C$8,"Error"))),"")</f>
        <v/>
      </c>
      <c r="F2832" s="8" t="str">
        <f>IF(Table1[[#This Row],[Is Data Valid]]=TRUE,EXP(0.578+0.332*((Table1[[#This Row],[Gestation (days)]]+0.5)/7)-0.00354*((Table1[[#This Row],[Gestation (days)]]+0.5)/7)^2)*Table1[[#This Row],[BW40_3705]],"")</f>
        <v/>
      </c>
      <c r="G2832" s="2" t="str">
        <f>IF(Table1[[#This Row],[Is Data Valid]]=TRUE,((Table1[[#This Row],[Birthweight (grams)]]/Table1[[#This Row],[BW_GA]])-1)/(Backend!$B$4/100*Table1[[#This Row],[BW40_3705]]),"")</f>
        <v/>
      </c>
      <c r="H2832" s="7" t="str">
        <f>IF(Table1[[#This Row],[Is Data Valid]]=TRUE,((Table1[[#This Row],[Birthweight (grams)]]*0.9/Table1[[#This Row],[BW_GA]])-1)/(Backend!$B$4/100*Table1[[#This Row],[BW40_3705]]),"")</f>
        <v/>
      </c>
      <c r="I2832" s="7" t="str">
        <f>IF(Table1[[#This Row],[Is Data Valid]]=TRUE,((Table1[[#This Row],[Birthweight (grams)]]*1.1/Table1[[#This Row],[BW_GA]])-1)/(Backend!$B$4/100*Table1[[#This Row],[BW40_3705]]),"")</f>
        <v/>
      </c>
      <c r="J2832" s="7" t="str">
        <f>IF(Table1[[#This Row],[Is Data Valid]]=TRUE,_xlfn.NORM.S.DIST(Table1[[#This Row],[Birthweight Z-Score]],TRUE)*100,"")</f>
        <v/>
      </c>
      <c r="K2832" s="7" t="str">
        <f>IF(Table1[[#This Row],[Is Data Valid]]=TRUE,_xlfn.NORM.S.DIST(Table1[[#This Row],[Birthweight Z-Score (BW-10%)]],TRUE)*100,"")</f>
        <v/>
      </c>
      <c r="L2832" s="7" t="str">
        <f>IF(Table1[[#This Row],[Is Data Valid]]=TRUE,_xlfn.NORM.S.DIST(Table1[[#This Row],[Birthweight Z-Score (BW+10%)]],TRUE)*100,"")</f>
        <v/>
      </c>
    </row>
    <row r="2833" spans="1:12" x14ac:dyDescent="0.35">
      <c r="A2833" s="3"/>
      <c r="B2833" s="2"/>
      <c r="C2833" s="2"/>
      <c r="D2833" s="2" t="b">
        <f>IF(AND(NOT(ISBLANK(Table1[[#This Row],[Fetal Sex (Male, Female or Unknown)]])),ISNUMBER(Table1[[#This Row],[Birthweight (grams)]]),ISNUMBER(Table1[[#This Row],[Gestation (days)]])),TRUE,FALSE)</f>
        <v>0</v>
      </c>
      <c r="E2833" s="2" t="str">
        <f>IF(Table1[[#This Row],[Is Data Valid]]=TRUE,IF(Table1[[#This Row],[Fetal Sex (Male, Female or Unknown)]]="Male",Backend!$C$6,IF(Table1[[#This Row],[Fetal Sex (Male, Female or Unknown)]]="Female",Backend!$C$7,IF(Table1[[#This Row],[Fetal Sex (Male, Female or Unknown)]]="Unknown",Backend!$C$8,"Error"))),"")</f>
        <v/>
      </c>
      <c r="F2833" s="8" t="str">
        <f>IF(Table1[[#This Row],[Is Data Valid]]=TRUE,EXP(0.578+0.332*((Table1[[#This Row],[Gestation (days)]]+0.5)/7)-0.00354*((Table1[[#This Row],[Gestation (days)]]+0.5)/7)^2)*Table1[[#This Row],[BW40_3705]],"")</f>
        <v/>
      </c>
      <c r="G2833" s="2" t="str">
        <f>IF(Table1[[#This Row],[Is Data Valid]]=TRUE,((Table1[[#This Row],[Birthweight (grams)]]/Table1[[#This Row],[BW_GA]])-1)/(Backend!$B$4/100*Table1[[#This Row],[BW40_3705]]),"")</f>
        <v/>
      </c>
      <c r="H2833" s="7" t="str">
        <f>IF(Table1[[#This Row],[Is Data Valid]]=TRUE,((Table1[[#This Row],[Birthweight (grams)]]*0.9/Table1[[#This Row],[BW_GA]])-1)/(Backend!$B$4/100*Table1[[#This Row],[BW40_3705]]),"")</f>
        <v/>
      </c>
      <c r="I2833" s="7" t="str">
        <f>IF(Table1[[#This Row],[Is Data Valid]]=TRUE,((Table1[[#This Row],[Birthweight (grams)]]*1.1/Table1[[#This Row],[BW_GA]])-1)/(Backend!$B$4/100*Table1[[#This Row],[BW40_3705]]),"")</f>
        <v/>
      </c>
      <c r="J2833" s="7" t="str">
        <f>IF(Table1[[#This Row],[Is Data Valid]]=TRUE,_xlfn.NORM.S.DIST(Table1[[#This Row],[Birthweight Z-Score]],TRUE)*100,"")</f>
        <v/>
      </c>
      <c r="K2833" s="7" t="str">
        <f>IF(Table1[[#This Row],[Is Data Valid]]=TRUE,_xlfn.NORM.S.DIST(Table1[[#This Row],[Birthweight Z-Score (BW-10%)]],TRUE)*100,"")</f>
        <v/>
      </c>
      <c r="L2833" s="7" t="str">
        <f>IF(Table1[[#This Row],[Is Data Valid]]=TRUE,_xlfn.NORM.S.DIST(Table1[[#This Row],[Birthweight Z-Score (BW+10%)]],TRUE)*100,"")</f>
        <v/>
      </c>
    </row>
    <row r="2834" spans="1:12" x14ac:dyDescent="0.35">
      <c r="A2834" s="3"/>
      <c r="B2834" s="2"/>
      <c r="C2834" s="2"/>
      <c r="D2834" s="2" t="b">
        <f>IF(AND(NOT(ISBLANK(Table1[[#This Row],[Fetal Sex (Male, Female or Unknown)]])),ISNUMBER(Table1[[#This Row],[Birthweight (grams)]]),ISNUMBER(Table1[[#This Row],[Gestation (days)]])),TRUE,FALSE)</f>
        <v>0</v>
      </c>
      <c r="E2834" s="2" t="str">
        <f>IF(Table1[[#This Row],[Is Data Valid]]=TRUE,IF(Table1[[#This Row],[Fetal Sex (Male, Female or Unknown)]]="Male",Backend!$C$6,IF(Table1[[#This Row],[Fetal Sex (Male, Female or Unknown)]]="Female",Backend!$C$7,IF(Table1[[#This Row],[Fetal Sex (Male, Female or Unknown)]]="Unknown",Backend!$C$8,"Error"))),"")</f>
        <v/>
      </c>
      <c r="F2834" s="8" t="str">
        <f>IF(Table1[[#This Row],[Is Data Valid]]=TRUE,EXP(0.578+0.332*((Table1[[#This Row],[Gestation (days)]]+0.5)/7)-0.00354*((Table1[[#This Row],[Gestation (days)]]+0.5)/7)^2)*Table1[[#This Row],[BW40_3705]],"")</f>
        <v/>
      </c>
      <c r="G2834" s="2" t="str">
        <f>IF(Table1[[#This Row],[Is Data Valid]]=TRUE,((Table1[[#This Row],[Birthweight (grams)]]/Table1[[#This Row],[BW_GA]])-1)/(Backend!$B$4/100*Table1[[#This Row],[BW40_3705]]),"")</f>
        <v/>
      </c>
      <c r="H2834" s="7" t="str">
        <f>IF(Table1[[#This Row],[Is Data Valid]]=TRUE,((Table1[[#This Row],[Birthweight (grams)]]*0.9/Table1[[#This Row],[BW_GA]])-1)/(Backend!$B$4/100*Table1[[#This Row],[BW40_3705]]),"")</f>
        <v/>
      </c>
      <c r="I2834" s="7" t="str">
        <f>IF(Table1[[#This Row],[Is Data Valid]]=TRUE,((Table1[[#This Row],[Birthweight (grams)]]*1.1/Table1[[#This Row],[BW_GA]])-1)/(Backend!$B$4/100*Table1[[#This Row],[BW40_3705]]),"")</f>
        <v/>
      </c>
      <c r="J2834" s="7" t="str">
        <f>IF(Table1[[#This Row],[Is Data Valid]]=TRUE,_xlfn.NORM.S.DIST(Table1[[#This Row],[Birthweight Z-Score]],TRUE)*100,"")</f>
        <v/>
      </c>
      <c r="K2834" s="7" t="str">
        <f>IF(Table1[[#This Row],[Is Data Valid]]=TRUE,_xlfn.NORM.S.DIST(Table1[[#This Row],[Birthweight Z-Score (BW-10%)]],TRUE)*100,"")</f>
        <v/>
      </c>
      <c r="L2834" s="7" t="str">
        <f>IF(Table1[[#This Row],[Is Data Valid]]=TRUE,_xlfn.NORM.S.DIST(Table1[[#This Row],[Birthweight Z-Score (BW+10%)]],TRUE)*100,"")</f>
        <v/>
      </c>
    </row>
    <row r="2835" spans="1:12" x14ac:dyDescent="0.35">
      <c r="A2835" s="3"/>
      <c r="B2835" s="2"/>
      <c r="C2835" s="2"/>
      <c r="D2835" s="2" t="b">
        <f>IF(AND(NOT(ISBLANK(Table1[[#This Row],[Fetal Sex (Male, Female or Unknown)]])),ISNUMBER(Table1[[#This Row],[Birthweight (grams)]]),ISNUMBER(Table1[[#This Row],[Gestation (days)]])),TRUE,FALSE)</f>
        <v>0</v>
      </c>
      <c r="E2835" s="2" t="str">
        <f>IF(Table1[[#This Row],[Is Data Valid]]=TRUE,IF(Table1[[#This Row],[Fetal Sex (Male, Female or Unknown)]]="Male",Backend!$C$6,IF(Table1[[#This Row],[Fetal Sex (Male, Female or Unknown)]]="Female",Backend!$C$7,IF(Table1[[#This Row],[Fetal Sex (Male, Female or Unknown)]]="Unknown",Backend!$C$8,"Error"))),"")</f>
        <v/>
      </c>
      <c r="F2835" s="8" t="str">
        <f>IF(Table1[[#This Row],[Is Data Valid]]=TRUE,EXP(0.578+0.332*((Table1[[#This Row],[Gestation (days)]]+0.5)/7)-0.00354*((Table1[[#This Row],[Gestation (days)]]+0.5)/7)^2)*Table1[[#This Row],[BW40_3705]],"")</f>
        <v/>
      </c>
      <c r="G2835" s="2" t="str">
        <f>IF(Table1[[#This Row],[Is Data Valid]]=TRUE,((Table1[[#This Row],[Birthweight (grams)]]/Table1[[#This Row],[BW_GA]])-1)/(Backend!$B$4/100*Table1[[#This Row],[BW40_3705]]),"")</f>
        <v/>
      </c>
      <c r="H2835" s="7" t="str">
        <f>IF(Table1[[#This Row],[Is Data Valid]]=TRUE,((Table1[[#This Row],[Birthweight (grams)]]*0.9/Table1[[#This Row],[BW_GA]])-1)/(Backend!$B$4/100*Table1[[#This Row],[BW40_3705]]),"")</f>
        <v/>
      </c>
      <c r="I2835" s="7" t="str">
        <f>IF(Table1[[#This Row],[Is Data Valid]]=TRUE,((Table1[[#This Row],[Birthweight (grams)]]*1.1/Table1[[#This Row],[BW_GA]])-1)/(Backend!$B$4/100*Table1[[#This Row],[BW40_3705]]),"")</f>
        <v/>
      </c>
      <c r="J2835" s="7" t="str">
        <f>IF(Table1[[#This Row],[Is Data Valid]]=TRUE,_xlfn.NORM.S.DIST(Table1[[#This Row],[Birthweight Z-Score]],TRUE)*100,"")</f>
        <v/>
      </c>
      <c r="K2835" s="7" t="str">
        <f>IF(Table1[[#This Row],[Is Data Valid]]=TRUE,_xlfn.NORM.S.DIST(Table1[[#This Row],[Birthweight Z-Score (BW-10%)]],TRUE)*100,"")</f>
        <v/>
      </c>
      <c r="L2835" s="7" t="str">
        <f>IF(Table1[[#This Row],[Is Data Valid]]=TRUE,_xlfn.NORM.S.DIST(Table1[[#This Row],[Birthweight Z-Score (BW+10%)]],TRUE)*100,"")</f>
        <v/>
      </c>
    </row>
    <row r="2836" spans="1:12" x14ac:dyDescent="0.35">
      <c r="A2836" s="3"/>
      <c r="B2836" s="2"/>
      <c r="C2836" s="2"/>
      <c r="D2836" s="2" t="b">
        <f>IF(AND(NOT(ISBLANK(Table1[[#This Row],[Fetal Sex (Male, Female or Unknown)]])),ISNUMBER(Table1[[#This Row],[Birthweight (grams)]]),ISNUMBER(Table1[[#This Row],[Gestation (days)]])),TRUE,FALSE)</f>
        <v>0</v>
      </c>
      <c r="E2836" s="2" t="str">
        <f>IF(Table1[[#This Row],[Is Data Valid]]=TRUE,IF(Table1[[#This Row],[Fetal Sex (Male, Female or Unknown)]]="Male",Backend!$C$6,IF(Table1[[#This Row],[Fetal Sex (Male, Female or Unknown)]]="Female",Backend!$C$7,IF(Table1[[#This Row],[Fetal Sex (Male, Female or Unknown)]]="Unknown",Backend!$C$8,"Error"))),"")</f>
        <v/>
      </c>
      <c r="F2836" s="8" t="str">
        <f>IF(Table1[[#This Row],[Is Data Valid]]=TRUE,EXP(0.578+0.332*((Table1[[#This Row],[Gestation (days)]]+0.5)/7)-0.00354*((Table1[[#This Row],[Gestation (days)]]+0.5)/7)^2)*Table1[[#This Row],[BW40_3705]],"")</f>
        <v/>
      </c>
      <c r="G2836" s="2" t="str">
        <f>IF(Table1[[#This Row],[Is Data Valid]]=TRUE,((Table1[[#This Row],[Birthweight (grams)]]/Table1[[#This Row],[BW_GA]])-1)/(Backend!$B$4/100*Table1[[#This Row],[BW40_3705]]),"")</f>
        <v/>
      </c>
      <c r="H2836" s="7" t="str">
        <f>IF(Table1[[#This Row],[Is Data Valid]]=TRUE,((Table1[[#This Row],[Birthweight (grams)]]*0.9/Table1[[#This Row],[BW_GA]])-1)/(Backend!$B$4/100*Table1[[#This Row],[BW40_3705]]),"")</f>
        <v/>
      </c>
      <c r="I2836" s="7" t="str">
        <f>IF(Table1[[#This Row],[Is Data Valid]]=TRUE,((Table1[[#This Row],[Birthweight (grams)]]*1.1/Table1[[#This Row],[BW_GA]])-1)/(Backend!$B$4/100*Table1[[#This Row],[BW40_3705]]),"")</f>
        <v/>
      </c>
      <c r="J2836" s="7" t="str">
        <f>IF(Table1[[#This Row],[Is Data Valid]]=TRUE,_xlfn.NORM.S.DIST(Table1[[#This Row],[Birthweight Z-Score]],TRUE)*100,"")</f>
        <v/>
      </c>
      <c r="K2836" s="7" t="str">
        <f>IF(Table1[[#This Row],[Is Data Valid]]=TRUE,_xlfn.NORM.S.DIST(Table1[[#This Row],[Birthweight Z-Score (BW-10%)]],TRUE)*100,"")</f>
        <v/>
      </c>
      <c r="L2836" s="7" t="str">
        <f>IF(Table1[[#This Row],[Is Data Valid]]=TRUE,_xlfn.NORM.S.DIST(Table1[[#This Row],[Birthweight Z-Score (BW+10%)]],TRUE)*100,"")</f>
        <v/>
      </c>
    </row>
    <row r="2837" spans="1:12" x14ac:dyDescent="0.35">
      <c r="A2837" s="3"/>
      <c r="B2837" s="2"/>
      <c r="C2837" s="2"/>
      <c r="D2837" s="2" t="b">
        <f>IF(AND(NOT(ISBLANK(Table1[[#This Row],[Fetal Sex (Male, Female or Unknown)]])),ISNUMBER(Table1[[#This Row],[Birthweight (grams)]]),ISNUMBER(Table1[[#This Row],[Gestation (days)]])),TRUE,FALSE)</f>
        <v>0</v>
      </c>
      <c r="E2837" s="2" t="str">
        <f>IF(Table1[[#This Row],[Is Data Valid]]=TRUE,IF(Table1[[#This Row],[Fetal Sex (Male, Female or Unknown)]]="Male",Backend!$C$6,IF(Table1[[#This Row],[Fetal Sex (Male, Female or Unknown)]]="Female",Backend!$C$7,IF(Table1[[#This Row],[Fetal Sex (Male, Female or Unknown)]]="Unknown",Backend!$C$8,"Error"))),"")</f>
        <v/>
      </c>
      <c r="F2837" s="8" t="str">
        <f>IF(Table1[[#This Row],[Is Data Valid]]=TRUE,EXP(0.578+0.332*((Table1[[#This Row],[Gestation (days)]]+0.5)/7)-0.00354*((Table1[[#This Row],[Gestation (days)]]+0.5)/7)^2)*Table1[[#This Row],[BW40_3705]],"")</f>
        <v/>
      </c>
      <c r="G2837" s="2" t="str">
        <f>IF(Table1[[#This Row],[Is Data Valid]]=TRUE,((Table1[[#This Row],[Birthweight (grams)]]/Table1[[#This Row],[BW_GA]])-1)/(Backend!$B$4/100*Table1[[#This Row],[BW40_3705]]),"")</f>
        <v/>
      </c>
      <c r="H2837" s="7" t="str">
        <f>IF(Table1[[#This Row],[Is Data Valid]]=TRUE,((Table1[[#This Row],[Birthweight (grams)]]*0.9/Table1[[#This Row],[BW_GA]])-1)/(Backend!$B$4/100*Table1[[#This Row],[BW40_3705]]),"")</f>
        <v/>
      </c>
      <c r="I2837" s="7" t="str">
        <f>IF(Table1[[#This Row],[Is Data Valid]]=TRUE,((Table1[[#This Row],[Birthweight (grams)]]*1.1/Table1[[#This Row],[BW_GA]])-1)/(Backend!$B$4/100*Table1[[#This Row],[BW40_3705]]),"")</f>
        <v/>
      </c>
      <c r="J2837" s="7" t="str">
        <f>IF(Table1[[#This Row],[Is Data Valid]]=TRUE,_xlfn.NORM.S.DIST(Table1[[#This Row],[Birthweight Z-Score]],TRUE)*100,"")</f>
        <v/>
      </c>
      <c r="K2837" s="7" t="str">
        <f>IF(Table1[[#This Row],[Is Data Valid]]=TRUE,_xlfn.NORM.S.DIST(Table1[[#This Row],[Birthweight Z-Score (BW-10%)]],TRUE)*100,"")</f>
        <v/>
      </c>
      <c r="L2837" s="7" t="str">
        <f>IF(Table1[[#This Row],[Is Data Valid]]=TRUE,_xlfn.NORM.S.DIST(Table1[[#This Row],[Birthweight Z-Score (BW+10%)]],TRUE)*100,"")</f>
        <v/>
      </c>
    </row>
    <row r="2838" spans="1:12" x14ac:dyDescent="0.35">
      <c r="A2838" s="3"/>
      <c r="B2838" s="2"/>
      <c r="C2838" s="2"/>
      <c r="D2838" s="2" t="b">
        <f>IF(AND(NOT(ISBLANK(Table1[[#This Row],[Fetal Sex (Male, Female or Unknown)]])),ISNUMBER(Table1[[#This Row],[Birthweight (grams)]]),ISNUMBER(Table1[[#This Row],[Gestation (days)]])),TRUE,FALSE)</f>
        <v>0</v>
      </c>
      <c r="E2838" s="2" t="str">
        <f>IF(Table1[[#This Row],[Is Data Valid]]=TRUE,IF(Table1[[#This Row],[Fetal Sex (Male, Female or Unknown)]]="Male",Backend!$C$6,IF(Table1[[#This Row],[Fetal Sex (Male, Female or Unknown)]]="Female",Backend!$C$7,IF(Table1[[#This Row],[Fetal Sex (Male, Female or Unknown)]]="Unknown",Backend!$C$8,"Error"))),"")</f>
        <v/>
      </c>
      <c r="F2838" s="8" t="str">
        <f>IF(Table1[[#This Row],[Is Data Valid]]=TRUE,EXP(0.578+0.332*((Table1[[#This Row],[Gestation (days)]]+0.5)/7)-0.00354*((Table1[[#This Row],[Gestation (days)]]+0.5)/7)^2)*Table1[[#This Row],[BW40_3705]],"")</f>
        <v/>
      </c>
      <c r="G2838" s="2" t="str">
        <f>IF(Table1[[#This Row],[Is Data Valid]]=TRUE,((Table1[[#This Row],[Birthweight (grams)]]/Table1[[#This Row],[BW_GA]])-1)/(Backend!$B$4/100*Table1[[#This Row],[BW40_3705]]),"")</f>
        <v/>
      </c>
      <c r="H2838" s="7" t="str">
        <f>IF(Table1[[#This Row],[Is Data Valid]]=TRUE,((Table1[[#This Row],[Birthweight (grams)]]*0.9/Table1[[#This Row],[BW_GA]])-1)/(Backend!$B$4/100*Table1[[#This Row],[BW40_3705]]),"")</f>
        <v/>
      </c>
      <c r="I2838" s="7" t="str">
        <f>IF(Table1[[#This Row],[Is Data Valid]]=TRUE,((Table1[[#This Row],[Birthweight (grams)]]*1.1/Table1[[#This Row],[BW_GA]])-1)/(Backend!$B$4/100*Table1[[#This Row],[BW40_3705]]),"")</f>
        <v/>
      </c>
      <c r="J2838" s="7" t="str">
        <f>IF(Table1[[#This Row],[Is Data Valid]]=TRUE,_xlfn.NORM.S.DIST(Table1[[#This Row],[Birthweight Z-Score]],TRUE)*100,"")</f>
        <v/>
      </c>
      <c r="K2838" s="7" t="str">
        <f>IF(Table1[[#This Row],[Is Data Valid]]=TRUE,_xlfn.NORM.S.DIST(Table1[[#This Row],[Birthweight Z-Score (BW-10%)]],TRUE)*100,"")</f>
        <v/>
      </c>
      <c r="L2838" s="7" t="str">
        <f>IF(Table1[[#This Row],[Is Data Valid]]=TRUE,_xlfn.NORM.S.DIST(Table1[[#This Row],[Birthweight Z-Score (BW+10%)]],TRUE)*100,"")</f>
        <v/>
      </c>
    </row>
    <row r="2839" spans="1:12" x14ac:dyDescent="0.35">
      <c r="A2839" s="3"/>
      <c r="B2839" s="2"/>
      <c r="C2839" s="2"/>
      <c r="D2839" s="2" t="b">
        <f>IF(AND(NOT(ISBLANK(Table1[[#This Row],[Fetal Sex (Male, Female or Unknown)]])),ISNUMBER(Table1[[#This Row],[Birthweight (grams)]]),ISNUMBER(Table1[[#This Row],[Gestation (days)]])),TRUE,FALSE)</f>
        <v>0</v>
      </c>
      <c r="E2839" s="2" t="str">
        <f>IF(Table1[[#This Row],[Is Data Valid]]=TRUE,IF(Table1[[#This Row],[Fetal Sex (Male, Female or Unknown)]]="Male",Backend!$C$6,IF(Table1[[#This Row],[Fetal Sex (Male, Female or Unknown)]]="Female",Backend!$C$7,IF(Table1[[#This Row],[Fetal Sex (Male, Female or Unknown)]]="Unknown",Backend!$C$8,"Error"))),"")</f>
        <v/>
      </c>
      <c r="F2839" s="8" t="str">
        <f>IF(Table1[[#This Row],[Is Data Valid]]=TRUE,EXP(0.578+0.332*((Table1[[#This Row],[Gestation (days)]]+0.5)/7)-0.00354*((Table1[[#This Row],[Gestation (days)]]+0.5)/7)^2)*Table1[[#This Row],[BW40_3705]],"")</f>
        <v/>
      </c>
      <c r="G2839" s="2" t="str">
        <f>IF(Table1[[#This Row],[Is Data Valid]]=TRUE,((Table1[[#This Row],[Birthweight (grams)]]/Table1[[#This Row],[BW_GA]])-1)/(Backend!$B$4/100*Table1[[#This Row],[BW40_3705]]),"")</f>
        <v/>
      </c>
      <c r="H2839" s="7" t="str">
        <f>IF(Table1[[#This Row],[Is Data Valid]]=TRUE,((Table1[[#This Row],[Birthweight (grams)]]*0.9/Table1[[#This Row],[BW_GA]])-1)/(Backend!$B$4/100*Table1[[#This Row],[BW40_3705]]),"")</f>
        <v/>
      </c>
      <c r="I2839" s="7" t="str">
        <f>IF(Table1[[#This Row],[Is Data Valid]]=TRUE,((Table1[[#This Row],[Birthweight (grams)]]*1.1/Table1[[#This Row],[BW_GA]])-1)/(Backend!$B$4/100*Table1[[#This Row],[BW40_3705]]),"")</f>
        <v/>
      </c>
      <c r="J2839" s="7" t="str">
        <f>IF(Table1[[#This Row],[Is Data Valid]]=TRUE,_xlfn.NORM.S.DIST(Table1[[#This Row],[Birthweight Z-Score]],TRUE)*100,"")</f>
        <v/>
      </c>
      <c r="K2839" s="7" t="str">
        <f>IF(Table1[[#This Row],[Is Data Valid]]=TRUE,_xlfn.NORM.S.DIST(Table1[[#This Row],[Birthweight Z-Score (BW-10%)]],TRUE)*100,"")</f>
        <v/>
      </c>
      <c r="L2839" s="7" t="str">
        <f>IF(Table1[[#This Row],[Is Data Valid]]=TRUE,_xlfn.NORM.S.DIST(Table1[[#This Row],[Birthweight Z-Score (BW+10%)]],TRUE)*100,"")</f>
        <v/>
      </c>
    </row>
    <row r="2840" spans="1:12" x14ac:dyDescent="0.35">
      <c r="A2840" s="3"/>
      <c r="B2840" s="2"/>
      <c r="C2840" s="2"/>
      <c r="D2840" s="2" t="b">
        <f>IF(AND(NOT(ISBLANK(Table1[[#This Row],[Fetal Sex (Male, Female or Unknown)]])),ISNUMBER(Table1[[#This Row],[Birthweight (grams)]]),ISNUMBER(Table1[[#This Row],[Gestation (days)]])),TRUE,FALSE)</f>
        <v>0</v>
      </c>
      <c r="E2840" s="2" t="str">
        <f>IF(Table1[[#This Row],[Is Data Valid]]=TRUE,IF(Table1[[#This Row],[Fetal Sex (Male, Female or Unknown)]]="Male",Backend!$C$6,IF(Table1[[#This Row],[Fetal Sex (Male, Female or Unknown)]]="Female",Backend!$C$7,IF(Table1[[#This Row],[Fetal Sex (Male, Female or Unknown)]]="Unknown",Backend!$C$8,"Error"))),"")</f>
        <v/>
      </c>
      <c r="F2840" s="8" t="str">
        <f>IF(Table1[[#This Row],[Is Data Valid]]=TRUE,EXP(0.578+0.332*((Table1[[#This Row],[Gestation (days)]]+0.5)/7)-0.00354*((Table1[[#This Row],[Gestation (days)]]+0.5)/7)^2)*Table1[[#This Row],[BW40_3705]],"")</f>
        <v/>
      </c>
      <c r="G2840" s="2" t="str">
        <f>IF(Table1[[#This Row],[Is Data Valid]]=TRUE,((Table1[[#This Row],[Birthweight (grams)]]/Table1[[#This Row],[BW_GA]])-1)/(Backend!$B$4/100*Table1[[#This Row],[BW40_3705]]),"")</f>
        <v/>
      </c>
      <c r="H2840" s="7" t="str">
        <f>IF(Table1[[#This Row],[Is Data Valid]]=TRUE,((Table1[[#This Row],[Birthweight (grams)]]*0.9/Table1[[#This Row],[BW_GA]])-1)/(Backend!$B$4/100*Table1[[#This Row],[BW40_3705]]),"")</f>
        <v/>
      </c>
      <c r="I2840" s="7" t="str">
        <f>IF(Table1[[#This Row],[Is Data Valid]]=TRUE,((Table1[[#This Row],[Birthweight (grams)]]*1.1/Table1[[#This Row],[BW_GA]])-1)/(Backend!$B$4/100*Table1[[#This Row],[BW40_3705]]),"")</f>
        <v/>
      </c>
      <c r="J2840" s="7" t="str">
        <f>IF(Table1[[#This Row],[Is Data Valid]]=TRUE,_xlfn.NORM.S.DIST(Table1[[#This Row],[Birthweight Z-Score]],TRUE)*100,"")</f>
        <v/>
      </c>
      <c r="K2840" s="7" t="str">
        <f>IF(Table1[[#This Row],[Is Data Valid]]=TRUE,_xlfn.NORM.S.DIST(Table1[[#This Row],[Birthweight Z-Score (BW-10%)]],TRUE)*100,"")</f>
        <v/>
      </c>
      <c r="L2840" s="7" t="str">
        <f>IF(Table1[[#This Row],[Is Data Valid]]=TRUE,_xlfn.NORM.S.DIST(Table1[[#This Row],[Birthweight Z-Score (BW+10%)]],TRUE)*100,"")</f>
        <v/>
      </c>
    </row>
    <row r="2841" spans="1:12" x14ac:dyDescent="0.35">
      <c r="A2841" s="3"/>
      <c r="B2841" s="2"/>
      <c r="C2841" s="2"/>
      <c r="D2841" s="2" t="b">
        <f>IF(AND(NOT(ISBLANK(Table1[[#This Row],[Fetal Sex (Male, Female or Unknown)]])),ISNUMBER(Table1[[#This Row],[Birthweight (grams)]]),ISNUMBER(Table1[[#This Row],[Gestation (days)]])),TRUE,FALSE)</f>
        <v>0</v>
      </c>
      <c r="E2841" s="2" t="str">
        <f>IF(Table1[[#This Row],[Is Data Valid]]=TRUE,IF(Table1[[#This Row],[Fetal Sex (Male, Female or Unknown)]]="Male",Backend!$C$6,IF(Table1[[#This Row],[Fetal Sex (Male, Female or Unknown)]]="Female",Backend!$C$7,IF(Table1[[#This Row],[Fetal Sex (Male, Female or Unknown)]]="Unknown",Backend!$C$8,"Error"))),"")</f>
        <v/>
      </c>
      <c r="F2841" s="8" t="str">
        <f>IF(Table1[[#This Row],[Is Data Valid]]=TRUE,EXP(0.578+0.332*((Table1[[#This Row],[Gestation (days)]]+0.5)/7)-0.00354*((Table1[[#This Row],[Gestation (days)]]+0.5)/7)^2)*Table1[[#This Row],[BW40_3705]],"")</f>
        <v/>
      </c>
      <c r="G2841" s="2" t="str">
        <f>IF(Table1[[#This Row],[Is Data Valid]]=TRUE,((Table1[[#This Row],[Birthweight (grams)]]/Table1[[#This Row],[BW_GA]])-1)/(Backend!$B$4/100*Table1[[#This Row],[BW40_3705]]),"")</f>
        <v/>
      </c>
      <c r="H2841" s="7" t="str">
        <f>IF(Table1[[#This Row],[Is Data Valid]]=TRUE,((Table1[[#This Row],[Birthweight (grams)]]*0.9/Table1[[#This Row],[BW_GA]])-1)/(Backend!$B$4/100*Table1[[#This Row],[BW40_3705]]),"")</f>
        <v/>
      </c>
      <c r="I2841" s="7" t="str">
        <f>IF(Table1[[#This Row],[Is Data Valid]]=TRUE,((Table1[[#This Row],[Birthweight (grams)]]*1.1/Table1[[#This Row],[BW_GA]])-1)/(Backend!$B$4/100*Table1[[#This Row],[BW40_3705]]),"")</f>
        <v/>
      </c>
      <c r="J2841" s="7" t="str">
        <f>IF(Table1[[#This Row],[Is Data Valid]]=TRUE,_xlfn.NORM.S.DIST(Table1[[#This Row],[Birthweight Z-Score]],TRUE)*100,"")</f>
        <v/>
      </c>
      <c r="K2841" s="7" t="str">
        <f>IF(Table1[[#This Row],[Is Data Valid]]=TRUE,_xlfn.NORM.S.DIST(Table1[[#This Row],[Birthweight Z-Score (BW-10%)]],TRUE)*100,"")</f>
        <v/>
      </c>
      <c r="L2841" s="7" t="str">
        <f>IF(Table1[[#This Row],[Is Data Valid]]=TRUE,_xlfn.NORM.S.DIST(Table1[[#This Row],[Birthweight Z-Score (BW+10%)]],TRUE)*100,"")</f>
        <v/>
      </c>
    </row>
    <row r="2842" spans="1:12" x14ac:dyDescent="0.35">
      <c r="A2842" s="3"/>
      <c r="B2842" s="2"/>
      <c r="C2842" s="2"/>
      <c r="D2842" s="2" t="b">
        <f>IF(AND(NOT(ISBLANK(Table1[[#This Row],[Fetal Sex (Male, Female or Unknown)]])),ISNUMBER(Table1[[#This Row],[Birthweight (grams)]]),ISNUMBER(Table1[[#This Row],[Gestation (days)]])),TRUE,FALSE)</f>
        <v>0</v>
      </c>
      <c r="E2842" s="2" t="str">
        <f>IF(Table1[[#This Row],[Is Data Valid]]=TRUE,IF(Table1[[#This Row],[Fetal Sex (Male, Female or Unknown)]]="Male",Backend!$C$6,IF(Table1[[#This Row],[Fetal Sex (Male, Female or Unknown)]]="Female",Backend!$C$7,IF(Table1[[#This Row],[Fetal Sex (Male, Female or Unknown)]]="Unknown",Backend!$C$8,"Error"))),"")</f>
        <v/>
      </c>
      <c r="F2842" s="8" t="str">
        <f>IF(Table1[[#This Row],[Is Data Valid]]=TRUE,EXP(0.578+0.332*((Table1[[#This Row],[Gestation (days)]]+0.5)/7)-0.00354*((Table1[[#This Row],[Gestation (days)]]+0.5)/7)^2)*Table1[[#This Row],[BW40_3705]],"")</f>
        <v/>
      </c>
      <c r="G2842" s="2" t="str">
        <f>IF(Table1[[#This Row],[Is Data Valid]]=TRUE,((Table1[[#This Row],[Birthweight (grams)]]/Table1[[#This Row],[BW_GA]])-1)/(Backend!$B$4/100*Table1[[#This Row],[BW40_3705]]),"")</f>
        <v/>
      </c>
      <c r="H2842" s="7" t="str">
        <f>IF(Table1[[#This Row],[Is Data Valid]]=TRUE,((Table1[[#This Row],[Birthweight (grams)]]*0.9/Table1[[#This Row],[BW_GA]])-1)/(Backend!$B$4/100*Table1[[#This Row],[BW40_3705]]),"")</f>
        <v/>
      </c>
      <c r="I2842" s="7" t="str">
        <f>IF(Table1[[#This Row],[Is Data Valid]]=TRUE,((Table1[[#This Row],[Birthweight (grams)]]*1.1/Table1[[#This Row],[BW_GA]])-1)/(Backend!$B$4/100*Table1[[#This Row],[BW40_3705]]),"")</f>
        <v/>
      </c>
      <c r="J2842" s="7" t="str">
        <f>IF(Table1[[#This Row],[Is Data Valid]]=TRUE,_xlfn.NORM.S.DIST(Table1[[#This Row],[Birthweight Z-Score]],TRUE)*100,"")</f>
        <v/>
      </c>
      <c r="K2842" s="7" t="str">
        <f>IF(Table1[[#This Row],[Is Data Valid]]=TRUE,_xlfn.NORM.S.DIST(Table1[[#This Row],[Birthweight Z-Score (BW-10%)]],TRUE)*100,"")</f>
        <v/>
      </c>
      <c r="L2842" s="7" t="str">
        <f>IF(Table1[[#This Row],[Is Data Valid]]=TRUE,_xlfn.NORM.S.DIST(Table1[[#This Row],[Birthweight Z-Score (BW+10%)]],TRUE)*100,"")</f>
        <v/>
      </c>
    </row>
    <row r="2843" spans="1:12" x14ac:dyDescent="0.35">
      <c r="A2843" s="3"/>
      <c r="B2843" s="2"/>
      <c r="C2843" s="2"/>
      <c r="D2843" s="2" t="b">
        <f>IF(AND(NOT(ISBLANK(Table1[[#This Row],[Fetal Sex (Male, Female or Unknown)]])),ISNUMBER(Table1[[#This Row],[Birthweight (grams)]]),ISNUMBER(Table1[[#This Row],[Gestation (days)]])),TRUE,FALSE)</f>
        <v>0</v>
      </c>
      <c r="E2843" s="2" t="str">
        <f>IF(Table1[[#This Row],[Is Data Valid]]=TRUE,IF(Table1[[#This Row],[Fetal Sex (Male, Female or Unknown)]]="Male",Backend!$C$6,IF(Table1[[#This Row],[Fetal Sex (Male, Female or Unknown)]]="Female",Backend!$C$7,IF(Table1[[#This Row],[Fetal Sex (Male, Female or Unknown)]]="Unknown",Backend!$C$8,"Error"))),"")</f>
        <v/>
      </c>
      <c r="F2843" s="8" t="str">
        <f>IF(Table1[[#This Row],[Is Data Valid]]=TRUE,EXP(0.578+0.332*((Table1[[#This Row],[Gestation (days)]]+0.5)/7)-0.00354*((Table1[[#This Row],[Gestation (days)]]+0.5)/7)^2)*Table1[[#This Row],[BW40_3705]],"")</f>
        <v/>
      </c>
      <c r="G2843" s="2" t="str">
        <f>IF(Table1[[#This Row],[Is Data Valid]]=TRUE,((Table1[[#This Row],[Birthweight (grams)]]/Table1[[#This Row],[BW_GA]])-1)/(Backend!$B$4/100*Table1[[#This Row],[BW40_3705]]),"")</f>
        <v/>
      </c>
      <c r="H2843" s="7" t="str">
        <f>IF(Table1[[#This Row],[Is Data Valid]]=TRUE,((Table1[[#This Row],[Birthweight (grams)]]*0.9/Table1[[#This Row],[BW_GA]])-1)/(Backend!$B$4/100*Table1[[#This Row],[BW40_3705]]),"")</f>
        <v/>
      </c>
      <c r="I2843" s="7" t="str">
        <f>IF(Table1[[#This Row],[Is Data Valid]]=TRUE,((Table1[[#This Row],[Birthweight (grams)]]*1.1/Table1[[#This Row],[BW_GA]])-1)/(Backend!$B$4/100*Table1[[#This Row],[BW40_3705]]),"")</f>
        <v/>
      </c>
      <c r="J2843" s="7" t="str">
        <f>IF(Table1[[#This Row],[Is Data Valid]]=TRUE,_xlfn.NORM.S.DIST(Table1[[#This Row],[Birthweight Z-Score]],TRUE)*100,"")</f>
        <v/>
      </c>
      <c r="K2843" s="7" t="str">
        <f>IF(Table1[[#This Row],[Is Data Valid]]=TRUE,_xlfn.NORM.S.DIST(Table1[[#This Row],[Birthweight Z-Score (BW-10%)]],TRUE)*100,"")</f>
        <v/>
      </c>
      <c r="L2843" s="7" t="str">
        <f>IF(Table1[[#This Row],[Is Data Valid]]=TRUE,_xlfn.NORM.S.DIST(Table1[[#This Row],[Birthweight Z-Score (BW+10%)]],TRUE)*100,"")</f>
        <v/>
      </c>
    </row>
    <row r="2844" spans="1:12" x14ac:dyDescent="0.35">
      <c r="A2844" s="3"/>
      <c r="B2844" s="2"/>
      <c r="C2844" s="2"/>
      <c r="D2844" s="2" t="b">
        <f>IF(AND(NOT(ISBLANK(Table1[[#This Row],[Fetal Sex (Male, Female or Unknown)]])),ISNUMBER(Table1[[#This Row],[Birthweight (grams)]]),ISNUMBER(Table1[[#This Row],[Gestation (days)]])),TRUE,FALSE)</f>
        <v>0</v>
      </c>
      <c r="E2844" s="2" t="str">
        <f>IF(Table1[[#This Row],[Is Data Valid]]=TRUE,IF(Table1[[#This Row],[Fetal Sex (Male, Female or Unknown)]]="Male",Backend!$C$6,IF(Table1[[#This Row],[Fetal Sex (Male, Female or Unknown)]]="Female",Backend!$C$7,IF(Table1[[#This Row],[Fetal Sex (Male, Female or Unknown)]]="Unknown",Backend!$C$8,"Error"))),"")</f>
        <v/>
      </c>
      <c r="F2844" s="8" t="str">
        <f>IF(Table1[[#This Row],[Is Data Valid]]=TRUE,EXP(0.578+0.332*((Table1[[#This Row],[Gestation (days)]]+0.5)/7)-0.00354*((Table1[[#This Row],[Gestation (days)]]+0.5)/7)^2)*Table1[[#This Row],[BW40_3705]],"")</f>
        <v/>
      </c>
      <c r="G2844" s="2" t="str">
        <f>IF(Table1[[#This Row],[Is Data Valid]]=TRUE,((Table1[[#This Row],[Birthweight (grams)]]/Table1[[#This Row],[BW_GA]])-1)/(Backend!$B$4/100*Table1[[#This Row],[BW40_3705]]),"")</f>
        <v/>
      </c>
      <c r="H2844" s="7" t="str">
        <f>IF(Table1[[#This Row],[Is Data Valid]]=TRUE,((Table1[[#This Row],[Birthweight (grams)]]*0.9/Table1[[#This Row],[BW_GA]])-1)/(Backend!$B$4/100*Table1[[#This Row],[BW40_3705]]),"")</f>
        <v/>
      </c>
      <c r="I2844" s="7" t="str">
        <f>IF(Table1[[#This Row],[Is Data Valid]]=TRUE,((Table1[[#This Row],[Birthweight (grams)]]*1.1/Table1[[#This Row],[BW_GA]])-1)/(Backend!$B$4/100*Table1[[#This Row],[BW40_3705]]),"")</f>
        <v/>
      </c>
      <c r="J2844" s="7" t="str">
        <f>IF(Table1[[#This Row],[Is Data Valid]]=TRUE,_xlfn.NORM.S.DIST(Table1[[#This Row],[Birthweight Z-Score]],TRUE)*100,"")</f>
        <v/>
      </c>
      <c r="K2844" s="7" t="str">
        <f>IF(Table1[[#This Row],[Is Data Valid]]=TRUE,_xlfn.NORM.S.DIST(Table1[[#This Row],[Birthweight Z-Score (BW-10%)]],TRUE)*100,"")</f>
        <v/>
      </c>
      <c r="L2844" s="7" t="str">
        <f>IF(Table1[[#This Row],[Is Data Valid]]=TRUE,_xlfn.NORM.S.DIST(Table1[[#This Row],[Birthweight Z-Score (BW+10%)]],TRUE)*100,"")</f>
        <v/>
      </c>
    </row>
    <row r="2845" spans="1:12" x14ac:dyDescent="0.35">
      <c r="A2845" s="3"/>
      <c r="B2845" s="2"/>
      <c r="C2845" s="2"/>
      <c r="D2845" s="2" t="b">
        <f>IF(AND(NOT(ISBLANK(Table1[[#This Row],[Fetal Sex (Male, Female or Unknown)]])),ISNUMBER(Table1[[#This Row],[Birthweight (grams)]]),ISNUMBER(Table1[[#This Row],[Gestation (days)]])),TRUE,FALSE)</f>
        <v>0</v>
      </c>
      <c r="E2845" s="2" t="str">
        <f>IF(Table1[[#This Row],[Is Data Valid]]=TRUE,IF(Table1[[#This Row],[Fetal Sex (Male, Female or Unknown)]]="Male",Backend!$C$6,IF(Table1[[#This Row],[Fetal Sex (Male, Female or Unknown)]]="Female",Backend!$C$7,IF(Table1[[#This Row],[Fetal Sex (Male, Female or Unknown)]]="Unknown",Backend!$C$8,"Error"))),"")</f>
        <v/>
      </c>
      <c r="F2845" s="8" t="str">
        <f>IF(Table1[[#This Row],[Is Data Valid]]=TRUE,EXP(0.578+0.332*((Table1[[#This Row],[Gestation (days)]]+0.5)/7)-0.00354*((Table1[[#This Row],[Gestation (days)]]+0.5)/7)^2)*Table1[[#This Row],[BW40_3705]],"")</f>
        <v/>
      </c>
      <c r="G2845" s="2" t="str">
        <f>IF(Table1[[#This Row],[Is Data Valid]]=TRUE,((Table1[[#This Row],[Birthweight (grams)]]/Table1[[#This Row],[BW_GA]])-1)/(Backend!$B$4/100*Table1[[#This Row],[BW40_3705]]),"")</f>
        <v/>
      </c>
      <c r="H2845" s="7" t="str">
        <f>IF(Table1[[#This Row],[Is Data Valid]]=TRUE,((Table1[[#This Row],[Birthweight (grams)]]*0.9/Table1[[#This Row],[BW_GA]])-1)/(Backend!$B$4/100*Table1[[#This Row],[BW40_3705]]),"")</f>
        <v/>
      </c>
      <c r="I2845" s="7" t="str">
        <f>IF(Table1[[#This Row],[Is Data Valid]]=TRUE,((Table1[[#This Row],[Birthweight (grams)]]*1.1/Table1[[#This Row],[BW_GA]])-1)/(Backend!$B$4/100*Table1[[#This Row],[BW40_3705]]),"")</f>
        <v/>
      </c>
      <c r="J2845" s="7" t="str">
        <f>IF(Table1[[#This Row],[Is Data Valid]]=TRUE,_xlfn.NORM.S.DIST(Table1[[#This Row],[Birthweight Z-Score]],TRUE)*100,"")</f>
        <v/>
      </c>
      <c r="K2845" s="7" t="str">
        <f>IF(Table1[[#This Row],[Is Data Valid]]=TRUE,_xlfn.NORM.S.DIST(Table1[[#This Row],[Birthweight Z-Score (BW-10%)]],TRUE)*100,"")</f>
        <v/>
      </c>
      <c r="L2845" s="7" t="str">
        <f>IF(Table1[[#This Row],[Is Data Valid]]=TRUE,_xlfn.NORM.S.DIST(Table1[[#This Row],[Birthweight Z-Score (BW+10%)]],TRUE)*100,"")</f>
        <v/>
      </c>
    </row>
    <row r="2846" spans="1:12" x14ac:dyDescent="0.35">
      <c r="A2846" s="3"/>
      <c r="B2846" s="2"/>
      <c r="C2846" s="2"/>
      <c r="D2846" s="2" t="b">
        <f>IF(AND(NOT(ISBLANK(Table1[[#This Row],[Fetal Sex (Male, Female or Unknown)]])),ISNUMBER(Table1[[#This Row],[Birthweight (grams)]]),ISNUMBER(Table1[[#This Row],[Gestation (days)]])),TRUE,FALSE)</f>
        <v>0</v>
      </c>
      <c r="E2846" s="2" t="str">
        <f>IF(Table1[[#This Row],[Is Data Valid]]=TRUE,IF(Table1[[#This Row],[Fetal Sex (Male, Female or Unknown)]]="Male",Backend!$C$6,IF(Table1[[#This Row],[Fetal Sex (Male, Female or Unknown)]]="Female",Backend!$C$7,IF(Table1[[#This Row],[Fetal Sex (Male, Female or Unknown)]]="Unknown",Backend!$C$8,"Error"))),"")</f>
        <v/>
      </c>
      <c r="F2846" s="8" t="str">
        <f>IF(Table1[[#This Row],[Is Data Valid]]=TRUE,EXP(0.578+0.332*((Table1[[#This Row],[Gestation (days)]]+0.5)/7)-0.00354*((Table1[[#This Row],[Gestation (days)]]+0.5)/7)^2)*Table1[[#This Row],[BW40_3705]],"")</f>
        <v/>
      </c>
      <c r="G2846" s="2" t="str">
        <f>IF(Table1[[#This Row],[Is Data Valid]]=TRUE,((Table1[[#This Row],[Birthweight (grams)]]/Table1[[#This Row],[BW_GA]])-1)/(Backend!$B$4/100*Table1[[#This Row],[BW40_3705]]),"")</f>
        <v/>
      </c>
      <c r="H2846" s="7" t="str">
        <f>IF(Table1[[#This Row],[Is Data Valid]]=TRUE,((Table1[[#This Row],[Birthweight (grams)]]*0.9/Table1[[#This Row],[BW_GA]])-1)/(Backend!$B$4/100*Table1[[#This Row],[BW40_3705]]),"")</f>
        <v/>
      </c>
      <c r="I2846" s="7" t="str">
        <f>IF(Table1[[#This Row],[Is Data Valid]]=TRUE,((Table1[[#This Row],[Birthweight (grams)]]*1.1/Table1[[#This Row],[BW_GA]])-1)/(Backend!$B$4/100*Table1[[#This Row],[BW40_3705]]),"")</f>
        <v/>
      </c>
      <c r="J2846" s="7" t="str">
        <f>IF(Table1[[#This Row],[Is Data Valid]]=TRUE,_xlfn.NORM.S.DIST(Table1[[#This Row],[Birthweight Z-Score]],TRUE)*100,"")</f>
        <v/>
      </c>
      <c r="K2846" s="7" t="str">
        <f>IF(Table1[[#This Row],[Is Data Valid]]=TRUE,_xlfn.NORM.S.DIST(Table1[[#This Row],[Birthweight Z-Score (BW-10%)]],TRUE)*100,"")</f>
        <v/>
      </c>
      <c r="L2846" s="7" t="str">
        <f>IF(Table1[[#This Row],[Is Data Valid]]=TRUE,_xlfn.NORM.S.DIST(Table1[[#This Row],[Birthweight Z-Score (BW+10%)]],TRUE)*100,"")</f>
        <v/>
      </c>
    </row>
    <row r="2847" spans="1:12" x14ac:dyDescent="0.35">
      <c r="A2847" s="3"/>
      <c r="B2847" s="2"/>
      <c r="C2847" s="2"/>
      <c r="D2847" s="2" t="b">
        <f>IF(AND(NOT(ISBLANK(Table1[[#This Row],[Fetal Sex (Male, Female or Unknown)]])),ISNUMBER(Table1[[#This Row],[Birthweight (grams)]]),ISNUMBER(Table1[[#This Row],[Gestation (days)]])),TRUE,FALSE)</f>
        <v>0</v>
      </c>
      <c r="E2847" s="2" t="str">
        <f>IF(Table1[[#This Row],[Is Data Valid]]=TRUE,IF(Table1[[#This Row],[Fetal Sex (Male, Female or Unknown)]]="Male",Backend!$C$6,IF(Table1[[#This Row],[Fetal Sex (Male, Female or Unknown)]]="Female",Backend!$C$7,IF(Table1[[#This Row],[Fetal Sex (Male, Female or Unknown)]]="Unknown",Backend!$C$8,"Error"))),"")</f>
        <v/>
      </c>
      <c r="F2847" s="8" t="str">
        <f>IF(Table1[[#This Row],[Is Data Valid]]=TRUE,EXP(0.578+0.332*((Table1[[#This Row],[Gestation (days)]]+0.5)/7)-0.00354*((Table1[[#This Row],[Gestation (days)]]+0.5)/7)^2)*Table1[[#This Row],[BW40_3705]],"")</f>
        <v/>
      </c>
      <c r="G2847" s="2" t="str">
        <f>IF(Table1[[#This Row],[Is Data Valid]]=TRUE,((Table1[[#This Row],[Birthweight (grams)]]/Table1[[#This Row],[BW_GA]])-1)/(Backend!$B$4/100*Table1[[#This Row],[BW40_3705]]),"")</f>
        <v/>
      </c>
      <c r="H2847" s="7" t="str">
        <f>IF(Table1[[#This Row],[Is Data Valid]]=TRUE,((Table1[[#This Row],[Birthweight (grams)]]*0.9/Table1[[#This Row],[BW_GA]])-1)/(Backend!$B$4/100*Table1[[#This Row],[BW40_3705]]),"")</f>
        <v/>
      </c>
      <c r="I2847" s="7" t="str">
        <f>IF(Table1[[#This Row],[Is Data Valid]]=TRUE,((Table1[[#This Row],[Birthweight (grams)]]*1.1/Table1[[#This Row],[BW_GA]])-1)/(Backend!$B$4/100*Table1[[#This Row],[BW40_3705]]),"")</f>
        <v/>
      </c>
      <c r="J2847" s="7" t="str">
        <f>IF(Table1[[#This Row],[Is Data Valid]]=TRUE,_xlfn.NORM.S.DIST(Table1[[#This Row],[Birthweight Z-Score]],TRUE)*100,"")</f>
        <v/>
      </c>
      <c r="K2847" s="7" t="str">
        <f>IF(Table1[[#This Row],[Is Data Valid]]=TRUE,_xlfn.NORM.S.DIST(Table1[[#This Row],[Birthweight Z-Score (BW-10%)]],TRUE)*100,"")</f>
        <v/>
      </c>
      <c r="L2847" s="7" t="str">
        <f>IF(Table1[[#This Row],[Is Data Valid]]=TRUE,_xlfn.NORM.S.DIST(Table1[[#This Row],[Birthweight Z-Score (BW+10%)]],TRUE)*100,"")</f>
        <v/>
      </c>
    </row>
    <row r="2848" spans="1:12" x14ac:dyDescent="0.35">
      <c r="A2848" s="3"/>
      <c r="B2848" s="2"/>
      <c r="C2848" s="2"/>
      <c r="D2848" s="2" t="b">
        <f>IF(AND(NOT(ISBLANK(Table1[[#This Row],[Fetal Sex (Male, Female or Unknown)]])),ISNUMBER(Table1[[#This Row],[Birthweight (grams)]]),ISNUMBER(Table1[[#This Row],[Gestation (days)]])),TRUE,FALSE)</f>
        <v>0</v>
      </c>
      <c r="E2848" s="2" t="str">
        <f>IF(Table1[[#This Row],[Is Data Valid]]=TRUE,IF(Table1[[#This Row],[Fetal Sex (Male, Female or Unknown)]]="Male",Backend!$C$6,IF(Table1[[#This Row],[Fetal Sex (Male, Female or Unknown)]]="Female",Backend!$C$7,IF(Table1[[#This Row],[Fetal Sex (Male, Female or Unknown)]]="Unknown",Backend!$C$8,"Error"))),"")</f>
        <v/>
      </c>
      <c r="F2848" s="8" t="str">
        <f>IF(Table1[[#This Row],[Is Data Valid]]=TRUE,EXP(0.578+0.332*((Table1[[#This Row],[Gestation (days)]]+0.5)/7)-0.00354*((Table1[[#This Row],[Gestation (days)]]+0.5)/7)^2)*Table1[[#This Row],[BW40_3705]],"")</f>
        <v/>
      </c>
      <c r="G2848" s="2" t="str">
        <f>IF(Table1[[#This Row],[Is Data Valid]]=TRUE,((Table1[[#This Row],[Birthweight (grams)]]/Table1[[#This Row],[BW_GA]])-1)/(Backend!$B$4/100*Table1[[#This Row],[BW40_3705]]),"")</f>
        <v/>
      </c>
      <c r="H2848" s="7" t="str">
        <f>IF(Table1[[#This Row],[Is Data Valid]]=TRUE,((Table1[[#This Row],[Birthweight (grams)]]*0.9/Table1[[#This Row],[BW_GA]])-1)/(Backend!$B$4/100*Table1[[#This Row],[BW40_3705]]),"")</f>
        <v/>
      </c>
      <c r="I2848" s="7" t="str">
        <f>IF(Table1[[#This Row],[Is Data Valid]]=TRUE,((Table1[[#This Row],[Birthweight (grams)]]*1.1/Table1[[#This Row],[BW_GA]])-1)/(Backend!$B$4/100*Table1[[#This Row],[BW40_3705]]),"")</f>
        <v/>
      </c>
      <c r="J2848" s="7" t="str">
        <f>IF(Table1[[#This Row],[Is Data Valid]]=TRUE,_xlfn.NORM.S.DIST(Table1[[#This Row],[Birthweight Z-Score]],TRUE)*100,"")</f>
        <v/>
      </c>
      <c r="K2848" s="7" t="str">
        <f>IF(Table1[[#This Row],[Is Data Valid]]=TRUE,_xlfn.NORM.S.DIST(Table1[[#This Row],[Birthweight Z-Score (BW-10%)]],TRUE)*100,"")</f>
        <v/>
      </c>
      <c r="L2848" s="7" t="str">
        <f>IF(Table1[[#This Row],[Is Data Valid]]=TRUE,_xlfn.NORM.S.DIST(Table1[[#This Row],[Birthweight Z-Score (BW+10%)]],TRUE)*100,"")</f>
        <v/>
      </c>
    </row>
    <row r="2849" spans="1:12" x14ac:dyDescent="0.35">
      <c r="A2849" s="3"/>
      <c r="B2849" s="2"/>
      <c r="C2849" s="2"/>
      <c r="D2849" s="2" t="b">
        <f>IF(AND(NOT(ISBLANK(Table1[[#This Row],[Fetal Sex (Male, Female or Unknown)]])),ISNUMBER(Table1[[#This Row],[Birthweight (grams)]]),ISNUMBER(Table1[[#This Row],[Gestation (days)]])),TRUE,FALSE)</f>
        <v>0</v>
      </c>
      <c r="E2849" s="2" t="str">
        <f>IF(Table1[[#This Row],[Is Data Valid]]=TRUE,IF(Table1[[#This Row],[Fetal Sex (Male, Female or Unknown)]]="Male",Backend!$C$6,IF(Table1[[#This Row],[Fetal Sex (Male, Female or Unknown)]]="Female",Backend!$C$7,IF(Table1[[#This Row],[Fetal Sex (Male, Female or Unknown)]]="Unknown",Backend!$C$8,"Error"))),"")</f>
        <v/>
      </c>
      <c r="F2849" s="8" t="str">
        <f>IF(Table1[[#This Row],[Is Data Valid]]=TRUE,EXP(0.578+0.332*((Table1[[#This Row],[Gestation (days)]]+0.5)/7)-0.00354*((Table1[[#This Row],[Gestation (days)]]+0.5)/7)^2)*Table1[[#This Row],[BW40_3705]],"")</f>
        <v/>
      </c>
      <c r="G2849" s="2" t="str">
        <f>IF(Table1[[#This Row],[Is Data Valid]]=TRUE,((Table1[[#This Row],[Birthweight (grams)]]/Table1[[#This Row],[BW_GA]])-1)/(Backend!$B$4/100*Table1[[#This Row],[BW40_3705]]),"")</f>
        <v/>
      </c>
      <c r="H2849" s="7" t="str">
        <f>IF(Table1[[#This Row],[Is Data Valid]]=TRUE,((Table1[[#This Row],[Birthweight (grams)]]*0.9/Table1[[#This Row],[BW_GA]])-1)/(Backend!$B$4/100*Table1[[#This Row],[BW40_3705]]),"")</f>
        <v/>
      </c>
      <c r="I2849" s="7" t="str">
        <f>IF(Table1[[#This Row],[Is Data Valid]]=TRUE,((Table1[[#This Row],[Birthweight (grams)]]*1.1/Table1[[#This Row],[BW_GA]])-1)/(Backend!$B$4/100*Table1[[#This Row],[BW40_3705]]),"")</f>
        <v/>
      </c>
      <c r="J2849" s="7" t="str">
        <f>IF(Table1[[#This Row],[Is Data Valid]]=TRUE,_xlfn.NORM.S.DIST(Table1[[#This Row],[Birthweight Z-Score]],TRUE)*100,"")</f>
        <v/>
      </c>
      <c r="K2849" s="7" t="str">
        <f>IF(Table1[[#This Row],[Is Data Valid]]=TRUE,_xlfn.NORM.S.DIST(Table1[[#This Row],[Birthweight Z-Score (BW-10%)]],TRUE)*100,"")</f>
        <v/>
      </c>
      <c r="L2849" s="7" t="str">
        <f>IF(Table1[[#This Row],[Is Data Valid]]=TRUE,_xlfn.NORM.S.DIST(Table1[[#This Row],[Birthweight Z-Score (BW+10%)]],TRUE)*100,"")</f>
        <v/>
      </c>
    </row>
    <row r="2850" spans="1:12" x14ac:dyDescent="0.35">
      <c r="A2850" s="3"/>
      <c r="B2850" s="2"/>
      <c r="C2850" s="2"/>
      <c r="D2850" s="2" t="b">
        <f>IF(AND(NOT(ISBLANK(Table1[[#This Row],[Fetal Sex (Male, Female or Unknown)]])),ISNUMBER(Table1[[#This Row],[Birthweight (grams)]]),ISNUMBER(Table1[[#This Row],[Gestation (days)]])),TRUE,FALSE)</f>
        <v>0</v>
      </c>
      <c r="E2850" s="2" t="str">
        <f>IF(Table1[[#This Row],[Is Data Valid]]=TRUE,IF(Table1[[#This Row],[Fetal Sex (Male, Female or Unknown)]]="Male",Backend!$C$6,IF(Table1[[#This Row],[Fetal Sex (Male, Female or Unknown)]]="Female",Backend!$C$7,IF(Table1[[#This Row],[Fetal Sex (Male, Female or Unknown)]]="Unknown",Backend!$C$8,"Error"))),"")</f>
        <v/>
      </c>
      <c r="F2850" s="8" t="str">
        <f>IF(Table1[[#This Row],[Is Data Valid]]=TRUE,EXP(0.578+0.332*((Table1[[#This Row],[Gestation (days)]]+0.5)/7)-0.00354*((Table1[[#This Row],[Gestation (days)]]+0.5)/7)^2)*Table1[[#This Row],[BW40_3705]],"")</f>
        <v/>
      </c>
      <c r="G2850" s="2" t="str">
        <f>IF(Table1[[#This Row],[Is Data Valid]]=TRUE,((Table1[[#This Row],[Birthweight (grams)]]/Table1[[#This Row],[BW_GA]])-1)/(Backend!$B$4/100*Table1[[#This Row],[BW40_3705]]),"")</f>
        <v/>
      </c>
      <c r="H2850" s="7" t="str">
        <f>IF(Table1[[#This Row],[Is Data Valid]]=TRUE,((Table1[[#This Row],[Birthweight (grams)]]*0.9/Table1[[#This Row],[BW_GA]])-1)/(Backend!$B$4/100*Table1[[#This Row],[BW40_3705]]),"")</f>
        <v/>
      </c>
      <c r="I2850" s="7" t="str">
        <f>IF(Table1[[#This Row],[Is Data Valid]]=TRUE,((Table1[[#This Row],[Birthweight (grams)]]*1.1/Table1[[#This Row],[BW_GA]])-1)/(Backend!$B$4/100*Table1[[#This Row],[BW40_3705]]),"")</f>
        <v/>
      </c>
      <c r="J2850" s="7" t="str">
        <f>IF(Table1[[#This Row],[Is Data Valid]]=TRUE,_xlfn.NORM.S.DIST(Table1[[#This Row],[Birthweight Z-Score]],TRUE)*100,"")</f>
        <v/>
      </c>
      <c r="K2850" s="7" t="str">
        <f>IF(Table1[[#This Row],[Is Data Valid]]=TRUE,_xlfn.NORM.S.DIST(Table1[[#This Row],[Birthweight Z-Score (BW-10%)]],TRUE)*100,"")</f>
        <v/>
      </c>
      <c r="L2850" s="7" t="str">
        <f>IF(Table1[[#This Row],[Is Data Valid]]=TRUE,_xlfn.NORM.S.DIST(Table1[[#This Row],[Birthweight Z-Score (BW+10%)]],TRUE)*100,"")</f>
        <v/>
      </c>
    </row>
    <row r="2851" spans="1:12" x14ac:dyDescent="0.35">
      <c r="A2851" s="3"/>
      <c r="B2851" s="2"/>
      <c r="C2851" s="2"/>
      <c r="D2851" s="2" t="b">
        <f>IF(AND(NOT(ISBLANK(Table1[[#This Row],[Fetal Sex (Male, Female or Unknown)]])),ISNUMBER(Table1[[#This Row],[Birthweight (grams)]]),ISNUMBER(Table1[[#This Row],[Gestation (days)]])),TRUE,FALSE)</f>
        <v>0</v>
      </c>
      <c r="E2851" s="2" t="str">
        <f>IF(Table1[[#This Row],[Is Data Valid]]=TRUE,IF(Table1[[#This Row],[Fetal Sex (Male, Female or Unknown)]]="Male",Backend!$C$6,IF(Table1[[#This Row],[Fetal Sex (Male, Female or Unknown)]]="Female",Backend!$C$7,IF(Table1[[#This Row],[Fetal Sex (Male, Female or Unknown)]]="Unknown",Backend!$C$8,"Error"))),"")</f>
        <v/>
      </c>
      <c r="F2851" s="8" t="str">
        <f>IF(Table1[[#This Row],[Is Data Valid]]=TRUE,EXP(0.578+0.332*((Table1[[#This Row],[Gestation (days)]]+0.5)/7)-0.00354*((Table1[[#This Row],[Gestation (days)]]+0.5)/7)^2)*Table1[[#This Row],[BW40_3705]],"")</f>
        <v/>
      </c>
      <c r="G2851" s="2" t="str">
        <f>IF(Table1[[#This Row],[Is Data Valid]]=TRUE,((Table1[[#This Row],[Birthweight (grams)]]/Table1[[#This Row],[BW_GA]])-1)/(Backend!$B$4/100*Table1[[#This Row],[BW40_3705]]),"")</f>
        <v/>
      </c>
      <c r="H2851" s="7" t="str">
        <f>IF(Table1[[#This Row],[Is Data Valid]]=TRUE,((Table1[[#This Row],[Birthweight (grams)]]*0.9/Table1[[#This Row],[BW_GA]])-1)/(Backend!$B$4/100*Table1[[#This Row],[BW40_3705]]),"")</f>
        <v/>
      </c>
      <c r="I2851" s="7" t="str">
        <f>IF(Table1[[#This Row],[Is Data Valid]]=TRUE,((Table1[[#This Row],[Birthweight (grams)]]*1.1/Table1[[#This Row],[BW_GA]])-1)/(Backend!$B$4/100*Table1[[#This Row],[BW40_3705]]),"")</f>
        <v/>
      </c>
      <c r="J2851" s="7" t="str">
        <f>IF(Table1[[#This Row],[Is Data Valid]]=TRUE,_xlfn.NORM.S.DIST(Table1[[#This Row],[Birthweight Z-Score]],TRUE)*100,"")</f>
        <v/>
      </c>
      <c r="K2851" s="7" t="str">
        <f>IF(Table1[[#This Row],[Is Data Valid]]=TRUE,_xlfn.NORM.S.DIST(Table1[[#This Row],[Birthweight Z-Score (BW-10%)]],TRUE)*100,"")</f>
        <v/>
      </c>
      <c r="L2851" s="7" t="str">
        <f>IF(Table1[[#This Row],[Is Data Valid]]=TRUE,_xlfn.NORM.S.DIST(Table1[[#This Row],[Birthweight Z-Score (BW+10%)]],TRUE)*100,"")</f>
        <v/>
      </c>
    </row>
    <row r="2852" spans="1:12" x14ac:dyDescent="0.35">
      <c r="A2852" s="3"/>
      <c r="B2852" s="2"/>
      <c r="C2852" s="2"/>
      <c r="D2852" s="2" t="b">
        <f>IF(AND(NOT(ISBLANK(Table1[[#This Row],[Fetal Sex (Male, Female or Unknown)]])),ISNUMBER(Table1[[#This Row],[Birthweight (grams)]]),ISNUMBER(Table1[[#This Row],[Gestation (days)]])),TRUE,FALSE)</f>
        <v>0</v>
      </c>
      <c r="E2852" s="2" t="str">
        <f>IF(Table1[[#This Row],[Is Data Valid]]=TRUE,IF(Table1[[#This Row],[Fetal Sex (Male, Female or Unknown)]]="Male",Backend!$C$6,IF(Table1[[#This Row],[Fetal Sex (Male, Female or Unknown)]]="Female",Backend!$C$7,IF(Table1[[#This Row],[Fetal Sex (Male, Female or Unknown)]]="Unknown",Backend!$C$8,"Error"))),"")</f>
        <v/>
      </c>
      <c r="F2852" s="8" t="str">
        <f>IF(Table1[[#This Row],[Is Data Valid]]=TRUE,EXP(0.578+0.332*((Table1[[#This Row],[Gestation (days)]]+0.5)/7)-0.00354*((Table1[[#This Row],[Gestation (days)]]+0.5)/7)^2)*Table1[[#This Row],[BW40_3705]],"")</f>
        <v/>
      </c>
      <c r="G2852" s="2" t="str">
        <f>IF(Table1[[#This Row],[Is Data Valid]]=TRUE,((Table1[[#This Row],[Birthweight (grams)]]/Table1[[#This Row],[BW_GA]])-1)/(Backend!$B$4/100*Table1[[#This Row],[BW40_3705]]),"")</f>
        <v/>
      </c>
      <c r="H2852" s="7" t="str">
        <f>IF(Table1[[#This Row],[Is Data Valid]]=TRUE,((Table1[[#This Row],[Birthweight (grams)]]*0.9/Table1[[#This Row],[BW_GA]])-1)/(Backend!$B$4/100*Table1[[#This Row],[BW40_3705]]),"")</f>
        <v/>
      </c>
      <c r="I2852" s="7" t="str">
        <f>IF(Table1[[#This Row],[Is Data Valid]]=TRUE,((Table1[[#This Row],[Birthweight (grams)]]*1.1/Table1[[#This Row],[BW_GA]])-1)/(Backend!$B$4/100*Table1[[#This Row],[BW40_3705]]),"")</f>
        <v/>
      </c>
      <c r="J2852" s="7" t="str">
        <f>IF(Table1[[#This Row],[Is Data Valid]]=TRUE,_xlfn.NORM.S.DIST(Table1[[#This Row],[Birthweight Z-Score]],TRUE)*100,"")</f>
        <v/>
      </c>
      <c r="K2852" s="7" t="str">
        <f>IF(Table1[[#This Row],[Is Data Valid]]=TRUE,_xlfn.NORM.S.DIST(Table1[[#This Row],[Birthweight Z-Score (BW-10%)]],TRUE)*100,"")</f>
        <v/>
      </c>
      <c r="L2852" s="7" t="str">
        <f>IF(Table1[[#This Row],[Is Data Valid]]=TRUE,_xlfn.NORM.S.DIST(Table1[[#This Row],[Birthweight Z-Score (BW+10%)]],TRUE)*100,"")</f>
        <v/>
      </c>
    </row>
    <row r="2853" spans="1:12" x14ac:dyDescent="0.35">
      <c r="A2853" s="3"/>
      <c r="B2853" s="2"/>
      <c r="C2853" s="2"/>
      <c r="D2853" s="2" t="b">
        <f>IF(AND(NOT(ISBLANK(Table1[[#This Row],[Fetal Sex (Male, Female or Unknown)]])),ISNUMBER(Table1[[#This Row],[Birthweight (grams)]]),ISNUMBER(Table1[[#This Row],[Gestation (days)]])),TRUE,FALSE)</f>
        <v>0</v>
      </c>
      <c r="E2853" s="2" t="str">
        <f>IF(Table1[[#This Row],[Is Data Valid]]=TRUE,IF(Table1[[#This Row],[Fetal Sex (Male, Female or Unknown)]]="Male",Backend!$C$6,IF(Table1[[#This Row],[Fetal Sex (Male, Female or Unknown)]]="Female",Backend!$C$7,IF(Table1[[#This Row],[Fetal Sex (Male, Female or Unknown)]]="Unknown",Backend!$C$8,"Error"))),"")</f>
        <v/>
      </c>
      <c r="F2853" s="8" t="str">
        <f>IF(Table1[[#This Row],[Is Data Valid]]=TRUE,EXP(0.578+0.332*((Table1[[#This Row],[Gestation (days)]]+0.5)/7)-0.00354*((Table1[[#This Row],[Gestation (days)]]+0.5)/7)^2)*Table1[[#This Row],[BW40_3705]],"")</f>
        <v/>
      </c>
      <c r="G2853" s="2" t="str">
        <f>IF(Table1[[#This Row],[Is Data Valid]]=TRUE,((Table1[[#This Row],[Birthweight (grams)]]/Table1[[#This Row],[BW_GA]])-1)/(Backend!$B$4/100*Table1[[#This Row],[BW40_3705]]),"")</f>
        <v/>
      </c>
      <c r="H2853" s="7" t="str">
        <f>IF(Table1[[#This Row],[Is Data Valid]]=TRUE,((Table1[[#This Row],[Birthweight (grams)]]*0.9/Table1[[#This Row],[BW_GA]])-1)/(Backend!$B$4/100*Table1[[#This Row],[BW40_3705]]),"")</f>
        <v/>
      </c>
      <c r="I2853" s="7" t="str">
        <f>IF(Table1[[#This Row],[Is Data Valid]]=TRUE,((Table1[[#This Row],[Birthweight (grams)]]*1.1/Table1[[#This Row],[BW_GA]])-1)/(Backend!$B$4/100*Table1[[#This Row],[BW40_3705]]),"")</f>
        <v/>
      </c>
      <c r="J2853" s="7" t="str">
        <f>IF(Table1[[#This Row],[Is Data Valid]]=TRUE,_xlfn.NORM.S.DIST(Table1[[#This Row],[Birthweight Z-Score]],TRUE)*100,"")</f>
        <v/>
      </c>
      <c r="K2853" s="7" t="str">
        <f>IF(Table1[[#This Row],[Is Data Valid]]=TRUE,_xlfn.NORM.S.DIST(Table1[[#This Row],[Birthweight Z-Score (BW-10%)]],TRUE)*100,"")</f>
        <v/>
      </c>
      <c r="L2853" s="7" t="str">
        <f>IF(Table1[[#This Row],[Is Data Valid]]=TRUE,_xlfn.NORM.S.DIST(Table1[[#This Row],[Birthweight Z-Score (BW+10%)]],TRUE)*100,"")</f>
        <v/>
      </c>
    </row>
    <row r="2854" spans="1:12" x14ac:dyDescent="0.35">
      <c r="A2854" s="3"/>
      <c r="B2854" s="2"/>
      <c r="C2854" s="2"/>
      <c r="D2854" s="2" t="b">
        <f>IF(AND(NOT(ISBLANK(Table1[[#This Row],[Fetal Sex (Male, Female or Unknown)]])),ISNUMBER(Table1[[#This Row],[Birthweight (grams)]]),ISNUMBER(Table1[[#This Row],[Gestation (days)]])),TRUE,FALSE)</f>
        <v>0</v>
      </c>
      <c r="E2854" s="2" t="str">
        <f>IF(Table1[[#This Row],[Is Data Valid]]=TRUE,IF(Table1[[#This Row],[Fetal Sex (Male, Female or Unknown)]]="Male",Backend!$C$6,IF(Table1[[#This Row],[Fetal Sex (Male, Female or Unknown)]]="Female",Backend!$C$7,IF(Table1[[#This Row],[Fetal Sex (Male, Female or Unknown)]]="Unknown",Backend!$C$8,"Error"))),"")</f>
        <v/>
      </c>
      <c r="F2854" s="8" t="str">
        <f>IF(Table1[[#This Row],[Is Data Valid]]=TRUE,EXP(0.578+0.332*((Table1[[#This Row],[Gestation (days)]]+0.5)/7)-0.00354*((Table1[[#This Row],[Gestation (days)]]+0.5)/7)^2)*Table1[[#This Row],[BW40_3705]],"")</f>
        <v/>
      </c>
      <c r="G2854" s="2" t="str">
        <f>IF(Table1[[#This Row],[Is Data Valid]]=TRUE,((Table1[[#This Row],[Birthweight (grams)]]/Table1[[#This Row],[BW_GA]])-1)/(Backend!$B$4/100*Table1[[#This Row],[BW40_3705]]),"")</f>
        <v/>
      </c>
      <c r="H2854" s="7" t="str">
        <f>IF(Table1[[#This Row],[Is Data Valid]]=TRUE,((Table1[[#This Row],[Birthweight (grams)]]*0.9/Table1[[#This Row],[BW_GA]])-1)/(Backend!$B$4/100*Table1[[#This Row],[BW40_3705]]),"")</f>
        <v/>
      </c>
      <c r="I2854" s="7" t="str">
        <f>IF(Table1[[#This Row],[Is Data Valid]]=TRUE,((Table1[[#This Row],[Birthweight (grams)]]*1.1/Table1[[#This Row],[BW_GA]])-1)/(Backend!$B$4/100*Table1[[#This Row],[BW40_3705]]),"")</f>
        <v/>
      </c>
      <c r="J2854" s="7" t="str">
        <f>IF(Table1[[#This Row],[Is Data Valid]]=TRUE,_xlfn.NORM.S.DIST(Table1[[#This Row],[Birthweight Z-Score]],TRUE)*100,"")</f>
        <v/>
      </c>
      <c r="K2854" s="7" t="str">
        <f>IF(Table1[[#This Row],[Is Data Valid]]=TRUE,_xlfn.NORM.S.DIST(Table1[[#This Row],[Birthweight Z-Score (BW-10%)]],TRUE)*100,"")</f>
        <v/>
      </c>
      <c r="L2854" s="7" t="str">
        <f>IF(Table1[[#This Row],[Is Data Valid]]=TRUE,_xlfn.NORM.S.DIST(Table1[[#This Row],[Birthweight Z-Score (BW+10%)]],TRUE)*100,"")</f>
        <v/>
      </c>
    </row>
    <row r="2855" spans="1:12" x14ac:dyDescent="0.35">
      <c r="A2855" s="3"/>
      <c r="B2855" s="2"/>
      <c r="C2855" s="2"/>
      <c r="D2855" s="2" t="b">
        <f>IF(AND(NOT(ISBLANK(Table1[[#This Row],[Fetal Sex (Male, Female or Unknown)]])),ISNUMBER(Table1[[#This Row],[Birthweight (grams)]]),ISNUMBER(Table1[[#This Row],[Gestation (days)]])),TRUE,FALSE)</f>
        <v>0</v>
      </c>
      <c r="E2855" s="2" t="str">
        <f>IF(Table1[[#This Row],[Is Data Valid]]=TRUE,IF(Table1[[#This Row],[Fetal Sex (Male, Female or Unknown)]]="Male",Backend!$C$6,IF(Table1[[#This Row],[Fetal Sex (Male, Female or Unknown)]]="Female",Backend!$C$7,IF(Table1[[#This Row],[Fetal Sex (Male, Female or Unknown)]]="Unknown",Backend!$C$8,"Error"))),"")</f>
        <v/>
      </c>
      <c r="F2855" s="8" t="str">
        <f>IF(Table1[[#This Row],[Is Data Valid]]=TRUE,EXP(0.578+0.332*((Table1[[#This Row],[Gestation (days)]]+0.5)/7)-0.00354*((Table1[[#This Row],[Gestation (days)]]+0.5)/7)^2)*Table1[[#This Row],[BW40_3705]],"")</f>
        <v/>
      </c>
      <c r="G2855" s="2" t="str">
        <f>IF(Table1[[#This Row],[Is Data Valid]]=TRUE,((Table1[[#This Row],[Birthweight (grams)]]/Table1[[#This Row],[BW_GA]])-1)/(Backend!$B$4/100*Table1[[#This Row],[BW40_3705]]),"")</f>
        <v/>
      </c>
      <c r="H2855" s="7" t="str">
        <f>IF(Table1[[#This Row],[Is Data Valid]]=TRUE,((Table1[[#This Row],[Birthweight (grams)]]*0.9/Table1[[#This Row],[BW_GA]])-1)/(Backend!$B$4/100*Table1[[#This Row],[BW40_3705]]),"")</f>
        <v/>
      </c>
      <c r="I2855" s="7" t="str">
        <f>IF(Table1[[#This Row],[Is Data Valid]]=TRUE,((Table1[[#This Row],[Birthweight (grams)]]*1.1/Table1[[#This Row],[BW_GA]])-1)/(Backend!$B$4/100*Table1[[#This Row],[BW40_3705]]),"")</f>
        <v/>
      </c>
      <c r="J2855" s="7" t="str">
        <f>IF(Table1[[#This Row],[Is Data Valid]]=TRUE,_xlfn.NORM.S.DIST(Table1[[#This Row],[Birthweight Z-Score]],TRUE)*100,"")</f>
        <v/>
      </c>
      <c r="K2855" s="7" t="str">
        <f>IF(Table1[[#This Row],[Is Data Valid]]=TRUE,_xlfn.NORM.S.DIST(Table1[[#This Row],[Birthweight Z-Score (BW-10%)]],TRUE)*100,"")</f>
        <v/>
      </c>
      <c r="L2855" s="7" t="str">
        <f>IF(Table1[[#This Row],[Is Data Valid]]=TRUE,_xlfn.NORM.S.DIST(Table1[[#This Row],[Birthweight Z-Score (BW+10%)]],TRUE)*100,"")</f>
        <v/>
      </c>
    </row>
    <row r="2856" spans="1:12" x14ac:dyDescent="0.35">
      <c r="A2856" s="3"/>
      <c r="B2856" s="2"/>
      <c r="C2856" s="2"/>
      <c r="D2856" s="2" t="b">
        <f>IF(AND(NOT(ISBLANK(Table1[[#This Row],[Fetal Sex (Male, Female or Unknown)]])),ISNUMBER(Table1[[#This Row],[Birthweight (grams)]]),ISNUMBER(Table1[[#This Row],[Gestation (days)]])),TRUE,FALSE)</f>
        <v>0</v>
      </c>
      <c r="E2856" s="2" t="str">
        <f>IF(Table1[[#This Row],[Is Data Valid]]=TRUE,IF(Table1[[#This Row],[Fetal Sex (Male, Female or Unknown)]]="Male",Backend!$C$6,IF(Table1[[#This Row],[Fetal Sex (Male, Female or Unknown)]]="Female",Backend!$C$7,IF(Table1[[#This Row],[Fetal Sex (Male, Female or Unknown)]]="Unknown",Backend!$C$8,"Error"))),"")</f>
        <v/>
      </c>
      <c r="F2856" s="8" t="str">
        <f>IF(Table1[[#This Row],[Is Data Valid]]=TRUE,EXP(0.578+0.332*((Table1[[#This Row],[Gestation (days)]]+0.5)/7)-0.00354*((Table1[[#This Row],[Gestation (days)]]+0.5)/7)^2)*Table1[[#This Row],[BW40_3705]],"")</f>
        <v/>
      </c>
      <c r="G2856" s="2" t="str">
        <f>IF(Table1[[#This Row],[Is Data Valid]]=TRUE,((Table1[[#This Row],[Birthweight (grams)]]/Table1[[#This Row],[BW_GA]])-1)/(Backend!$B$4/100*Table1[[#This Row],[BW40_3705]]),"")</f>
        <v/>
      </c>
      <c r="H2856" s="7" t="str">
        <f>IF(Table1[[#This Row],[Is Data Valid]]=TRUE,((Table1[[#This Row],[Birthweight (grams)]]*0.9/Table1[[#This Row],[BW_GA]])-1)/(Backend!$B$4/100*Table1[[#This Row],[BW40_3705]]),"")</f>
        <v/>
      </c>
      <c r="I2856" s="7" t="str">
        <f>IF(Table1[[#This Row],[Is Data Valid]]=TRUE,((Table1[[#This Row],[Birthweight (grams)]]*1.1/Table1[[#This Row],[BW_GA]])-1)/(Backend!$B$4/100*Table1[[#This Row],[BW40_3705]]),"")</f>
        <v/>
      </c>
      <c r="J2856" s="7" t="str">
        <f>IF(Table1[[#This Row],[Is Data Valid]]=TRUE,_xlfn.NORM.S.DIST(Table1[[#This Row],[Birthweight Z-Score]],TRUE)*100,"")</f>
        <v/>
      </c>
      <c r="K2856" s="7" t="str">
        <f>IF(Table1[[#This Row],[Is Data Valid]]=TRUE,_xlfn.NORM.S.DIST(Table1[[#This Row],[Birthweight Z-Score (BW-10%)]],TRUE)*100,"")</f>
        <v/>
      </c>
      <c r="L2856" s="7" t="str">
        <f>IF(Table1[[#This Row],[Is Data Valid]]=TRUE,_xlfn.NORM.S.DIST(Table1[[#This Row],[Birthweight Z-Score (BW+10%)]],TRUE)*100,"")</f>
        <v/>
      </c>
    </row>
    <row r="2857" spans="1:12" x14ac:dyDescent="0.35">
      <c r="A2857" s="3"/>
      <c r="B2857" s="2"/>
      <c r="C2857" s="2"/>
      <c r="D2857" s="2" t="b">
        <f>IF(AND(NOT(ISBLANK(Table1[[#This Row],[Fetal Sex (Male, Female or Unknown)]])),ISNUMBER(Table1[[#This Row],[Birthweight (grams)]]),ISNUMBER(Table1[[#This Row],[Gestation (days)]])),TRUE,FALSE)</f>
        <v>0</v>
      </c>
      <c r="E2857" s="2" t="str">
        <f>IF(Table1[[#This Row],[Is Data Valid]]=TRUE,IF(Table1[[#This Row],[Fetal Sex (Male, Female or Unknown)]]="Male",Backend!$C$6,IF(Table1[[#This Row],[Fetal Sex (Male, Female or Unknown)]]="Female",Backend!$C$7,IF(Table1[[#This Row],[Fetal Sex (Male, Female or Unknown)]]="Unknown",Backend!$C$8,"Error"))),"")</f>
        <v/>
      </c>
      <c r="F2857" s="8" t="str">
        <f>IF(Table1[[#This Row],[Is Data Valid]]=TRUE,EXP(0.578+0.332*((Table1[[#This Row],[Gestation (days)]]+0.5)/7)-0.00354*((Table1[[#This Row],[Gestation (days)]]+0.5)/7)^2)*Table1[[#This Row],[BW40_3705]],"")</f>
        <v/>
      </c>
      <c r="G2857" s="2" t="str">
        <f>IF(Table1[[#This Row],[Is Data Valid]]=TRUE,((Table1[[#This Row],[Birthweight (grams)]]/Table1[[#This Row],[BW_GA]])-1)/(Backend!$B$4/100*Table1[[#This Row],[BW40_3705]]),"")</f>
        <v/>
      </c>
      <c r="H2857" s="7" t="str">
        <f>IF(Table1[[#This Row],[Is Data Valid]]=TRUE,((Table1[[#This Row],[Birthweight (grams)]]*0.9/Table1[[#This Row],[BW_GA]])-1)/(Backend!$B$4/100*Table1[[#This Row],[BW40_3705]]),"")</f>
        <v/>
      </c>
      <c r="I2857" s="7" t="str">
        <f>IF(Table1[[#This Row],[Is Data Valid]]=TRUE,((Table1[[#This Row],[Birthweight (grams)]]*1.1/Table1[[#This Row],[BW_GA]])-1)/(Backend!$B$4/100*Table1[[#This Row],[BW40_3705]]),"")</f>
        <v/>
      </c>
      <c r="J2857" s="7" t="str">
        <f>IF(Table1[[#This Row],[Is Data Valid]]=TRUE,_xlfn.NORM.S.DIST(Table1[[#This Row],[Birthweight Z-Score]],TRUE)*100,"")</f>
        <v/>
      </c>
      <c r="K2857" s="7" t="str">
        <f>IF(Table1[[#This Row],[Is Data Valid]]=TRUE,_xlfn.NORM.S.DIST(Table1[[#This Row],[Birthweight Z-Score (BW-10%)]],TRUE)*100,"")</f>
        <v/>
      </c>
      <c r="L2857" s="7" t="str">
        <f>IF(Table1[[#This Row],[Is Data Valid]]=TRUE,_xlfn.NORM.S.DIST(Table1[[#This Row],[Birthweight Z-Score (BW+10%)]],TRUE)*100,"")</f>
        <v/>
      </c>
    </row>
    <row r="2858" spans="1:12" x14ac:dyDescent="0.35">
      <c r="A2858" s="3"/>
      <c r="B2858" s="2"/>
      <c r="C2858" s="2"/>
      <c r="D2858" s="2" t="b">
        <f>IF(AND(NOT(ISBLANK(Table1[[#This Row],[Fetal Sex (Male, Female or Unknown)]])),ISNUMBER(Table1[[#This Row],[Birthweight (grams)]]),ISNUMBER(Table1[[#This Row],[Gestation (days)]])),TRUE,FALSE)</f>
        <v>0</v>
      </c>
      <c r="E2858" s="2" t="str">
        <f>IF(Table1[[#This Row],[Is Data Valid]]=TRUE,IF(Table1[[#This Row],[Fetal Sex (Male, Female or Unknown)]]="Male",Backend!$C$6,IF(Table1[[#This Row],[Fetal Sex (Male, Female or Unknown)]]="Female",Backend!$C$7,IF(Table1[[#This Row],[Fetal Sex (Male, Female or Unknown)]]="Unknown",Backend!$C$8,"Error"))),"")</f>
        <v/>
      </c>
      <c r="F2858" s="8" t="str">
        <f>IF(Table1[[#This Row],[Is Data Valid]]=TRUE,EXP(0.578+0.332*((Table1[[#This Row],[Gestation (days)]]+0.5)/7)-0.00354*((Table1[[#This Row],[Gestation (days)]]+0.5)/7)^2)*Table1[[#This Row],[BW40_3705]],"")</f>
        <v/>
      </c>
      <c r="G2858" s="2" t="str">
        <f>IF(Table1[[#This Row],[Is Data Valid]]=TRUE,((Table1[[#This Row],[Birthweight (grams)]]/Table1[[#This Row],[BW_GA]])-1)/(Backend!$B$4/100*Table1[[#This Row],[BW40_3705]]),"")</f>
        <v/>
      </c>
      <c r="H2858" s="7" t="str">
        <f>IF(Table1[[#This Row],[Is Data Valid]]=TRUE,((Table1[[#This Row],[Birthweight (grams)]]*0.9/Table1[[#This Row],[BW_GA]])-1)/(Backend!$B$4/100*Table1[[#This Row],[BW40_3705]]),"")</f>
        <v/>
      </c>
      <c r="I2858" s="7" t="str">
        <f>IF(Table1[[#This Row],[Is Data Valid]]=TRUE,((Table1[[#This Row],[Birthweight (grams)]]*1.1/Table1[[#This Row],[BW_GA]])-1)/(Backend!$B$4/100*Table1[[#This Row],[BW40_3705]]),"")</f>
        <v/>
      </c>
      <c r="J2858" s="7" t="str">
        <f>IF(Table1[[#This Row],[Is Data Valid]]=TRUE,_xlfn.NORM.S.DIST(Table1[[#This Row],[Birthweight Z-Score]],TRUE)*100,"")</f>
        <v/>
      </c>
      <c r="K2858" s="7" t="str">
        <f>IF(Table1[[#This Row],[Is Data Valid]]=TRUE,_xlfn.NORM.S.DIST(Table1[[#This Row],[Birthweight Z-Score (BW-10%)]],TRUE)*100,"")</f>
        <v/>
      </c>
      <c r="L2858" s="7" t="str">
        <f>IF(Table1[[#This Row],[Is Data Valid]]=TRUE,_xlfn.NORM.S.DIST(Table1[[#This Row],[Birthweight Z-Score (BW+10%)]],TRUE)*100,"")</f>
        <v/>
      </c>
    </row>
    <row r="2859" spans="1:12" x14ac:dyDescent="0.35">
      <c r="A2859" s="3"/>
      <c r="B2859" s="2"/>
      <c r="C2859" s="2"/>
      <c r="D2859" s="2" t="b">
        <f>IF(AND(NOT(ISBLANK(Table1[[#This Row],[Fetal Sex (Male, Female or Unknown)]])),ISNUMBER(Table1[[#This Row],[Birthweight (grams)]]),ISNUMBER(Table1[[#This Row],[Gestation (days)]])),TRUE,FALSE)</f>
        <v>0</v>
      </c>
      <c r="E2859" s="2" t="str">
        <f>IF(Table1[[#This Row],[Is Data Valid]]=TRUE,IF(Table1[[#This Row],[Fetal Sex (Male, Female or Unknown)]]="Male",Backend!$C$6,IF(Table1[[#This Row],[Fetal Sex (Male, Female or Unknown)]]="Female",Backend!$C$7,IF(Table1[[#This Row],[Fetal Sex (Male, Female or Unknown)]]="Unknown",Backend!$C$8,"Error"))),"")</f>
        <v/>
      </c>
      <c r="F2859" s="8" t="str">
        <f>IF(Table1[[#This Row],[Is Data Valid]]=TRUE,EXP(0.578+0.332*((Table1[[#This Row],[Gestation (days)]]+0.5)/7)-0.00354*((Table1[[#This Row],[Gestation (days)]]+0.5)/7)^2)*Table1[[#This Row],[BW40_3705]],"")</f>
        <v/>
      </c>
      <c r="G2859" s="2" t="str">
        <f>IF(Table1[[#This Row],[Is Data Valid]]=TRUE,((Table1[[#This Row],[Birthweight (grams)]]/Table1[[#This Row],[BW_GA]])-1)/(Backend!$B$4/100*Table1[[#This Row],[BW40_3705]]),"")</f>
        <v/>
      </c>
      <c r="H2859" s="7" t="str">
        <f>IF(Table1[[#This Row],[Is Data Valid]]=TRUE,((Table1[[#This Row],[Birthweight (grams)]]*0.9/Table1[[#This Row],[BW_GA]])-1)/(Backend!$B$4/100*Table1[[#This Row],[BW40_3705]]),"")</f>
        <v/>
      </c>
      <c r="I2859" s="7" t="str">
        <f>IF(Table1[[#This Row],[Is Data Valid]]=TRUE,((Table1[[#This Row],[Birthweight (grams)]]*1.1/Table1[[#This Row],[BW_GA]])-1)/(Backend!$B$4/100*Table1[[#This Row],[BW40_3705]]),"")</f>
        <v/>
      </c>
      <c r="J2859" s="7" t="str">
        <f>IF(Table1[[#This Row],[Is Data Valid]]=TRUE,_xlfn.NORM.S.DIST(Table1[[#This Row],[Birthweight Z-Score]],TRUE)*100,"")</f>
        <v/>
      </c>
      <c r="K2859" s="7" t="str">
        <f>IF(Table1[[#This Row],[Is Data Valid]]=TRUE,_xlfn.NORM.S.DIST(Table1[[#This Row],[Birthweight Z-Score (BW-10%)]],TRUE)*100,"")</f>
        <v/>
      </c>
      <c r="L2859" s="7" t="str">
        <f>IF(Table1[[#This Row],[Is Data Valid]]=TRUE,_xlfn.NORM.S.DIST(Table1[[#This Row],[Birthweight Z-Score (BW+10%)]],TRUE)*100,"")</f>
        <v/>
      </c>
    </row>
    <row r="2860" spans="1:12" x14ac:dyDescent="0.35">
      <c r="A2860" s="3"/>
      <c r="B2860" s="2"/>
      <c r="C2860" s="2"/>
      <c r="D2860" s="2" t="b">
        <f>IF(AND(NOT(ISBLANK(Table1[[#This Row],[Fetal Sex (Male, Female or Unknown)]])),ISNUMBER(Table1[[#This Row],[Birthweight (grams)]]),ISNUMBER(Table1[[#This Row],[Gestation (days)]])),TRUE,FALSE)</f>
        <v>0</v>
      </c>
      <c r="E2860" s="2" t="str">
        <f>IF(Table1[[#This Row],[Is Data Valid]]=TRUE,IF(Table1[[#This Row],[Fetal Sex (Male, Female or Unknown)]]="Male",Backend!$C$6,IF(Table1[[#This Row],[Fetal Sex (Male, Female or Unknown)]]="Female",Backend!$C$7,IF(Table1[[#This Row],[Fetal Sex (Male, Female or Unknown)]]="Unknown",Backend!$C$8,"Error"))),"")</f>
        <v/>
      </c>
      <c r="F2860" s="8" t="str">
        <f>IF(Table1[[#This Row],[Is Data Valid]]=TRUE,EXP(0.578+0.332*((Table1[[#This Row],[Gestation (days)]]+0.5)/7)-0.00354*((Table1[[#This Row],[Gestation (days)]]+0.5)/7)^2)*Table1[[#This Row],[BW40_3705]],"")</f>
        <v/>
      </c>
      <c r="G2860" s="2" t="str">
        <f>IF(Table1[[#This Row],[Is Data Valid]]=TRUE,((Table1[[#This Row],[Birthweight (grams)]]/Table1[[#This Row],[BW_GA]])-1)/(Backend!$B$4/100*Table1[[#This Row],[BW40_3705]]),"")</f>
        <v/>
      </c>
      <c r="H2860" s="7" t="str">
        <f>IF(Table1[[#This Row],[Is Data Valid]]=TRUE,((Table1[[#This Row],[Birthweight (grams)]]*0.9/Table1[[#This Row],[BW_GA]])-1)/(Backend!$B$4/100*Table1[[#This Row],[BW40_3705]]),"")</f>
        <v/>
      </c>
      <c r="I2860" s="7" t="str">
        <f>IF(Table1[[#This Row],[Is Data Valid]]=TRUE,((Table1[[#This Row],[Birthweight (grams)]]*1.1/Table1[[#This Row],[BW_GA]])-1)/(Backend!$B$4/100*Table1[[#This Row],[BW40_3705]]),"")</f>
        <v/>
      </c>
      <c r="J2860" s="7" t="str">
        <f>IF(Table1[[#This Row],[Is Data Valid]]=TRUE,_xlfn.NORM.S.DIST(Table1[[#This Row],[Birthweight Z-Score]],TRUE)*100,"")</f>
        <v/>
      </c>
      <c r="K2860" s="7" t="str">
        <f>IF(Table1[[#This Row],[Is Data Valid]]=TRUE,_xlfn.NORM.S.DIST(Table1[[#This Row],[Birthweight Z-Score (BW-10%)]],TRUE)*100,"")</f>
        <v/>
      </c>
      <c r="L2860" s="7" t="str">
        <f>IF(Table1[[#This Row],[Is Data Valid]]=TRUE,_xlfn.NORM.S.DIST(Table1[[#This Row],[Birthweight Z-Score (BW+10%)]],TRUE)*100,"")</f>
        <v/>
      </c>
    </row>
    <row r="2861" spans="1:12" x14ac:dyDescent="0.35">
      <c r="A2861" s="3"/>
      <c r="B2861" s="2"/>
      <c r="C2861" s="2"/>
      <c r="D2861" s="2" t="b">
        <f>IF(AND(NOT(ISBLANK(Table1[[#This Row],[Fetal Sex (Male, Female or Unknown)]])),ISNUMBER(Table1[[#This Row],[Birthweight (grams)]]),ISNUMBER(Table1[[#This Row],[Gestation (days)]])),TRUE,FALSE)</f>
        <v>0</v>
      </c>
      <c r="E2861" s="2" t="str">
        <f>IF(Table1[[#This Row],[Is Data Valid]]=TRUE,IF(Table1[[#This Row],[Fetal Sex (Male, Female or Unknown)]]="Male",Backend!$C$6,IF(Table1[[#This Row],[Fetal Sex (Male, Female or Unknown)]]="Female",Backend!$C$7,IF(Table1[[#This Row],[Fetal Sex (Male, Female or Unknown)]]="Unknown",Backend!$C$8,"Error"))),"")</f>
        <v/>
      </c>
      <c r="F2861" s="8" t="str">
        <f>IF(Table1[[#This Row],[Is Data Valid]]=TRUE,EXP(0.578+0.332*((Table1[[#This Row],[Gestation (days)]]+0.5)/7)-0.00354*((Table1[[#This Row],[Gestation (days)]]+0.5)/7)^2)*Table1[[#This Row],[BW40_3705]],"")</f>
        <v/>
      </c>
      <c r="G2861" s="2" t="str">
        <f>IF(Table1[[#This Row],[Is Data Valid]]=TRUE,((Table1[[#This Row],[Birthweight (grams)]]/Table1[[#This Row],[BW_GA]])-1)/(Backend!$B$4/100*Table1[[#This Row],[BW40_3705]]),"")</f>
        <v/>
      </c>
      <c r="H2861" s="7" t="str">
        <f>IF(Table1[[#This Row],[Is Data Valid]]=TRUE,((Table1[[#This Row],[Birthweight (grams)]]*0.9/Table1[[#This Row],[BW_GA]])-1)/(Backend!$B$4/100*Table1[[#This Row],[BW40_3705]]),"")</f>
        <v/>
      </c>
      <c r="I2861" s="7" t="str">
        <f>IF(Table1[[#This Row],[Is Data Valid]]=TRUE,((Table1[[#This Row],[Birthweight (grams)]]*1.1/Table1[[#This Row],[BW_GA]])-1)/(Backend!$B$4/100*Table1[[#This Row],[BW40_3705]]),"")</f>
        <v/>
      </c>
      <c r="J2861" s="7" t="str">
        <f>IF(Table1[[#This Row],[Is Data Valid]]=TRUE,_xlfn.NORM.S.DIST(Table1[[#This Row],[Birthweight Z-Score]],TRUE)*100,"")</f>
        <v/>
      </c>
      <c r="K2861" s="7" t="str">
        <f>IF(Table1[[#This Row],[Is Data Valid]]=TRUE,_xlfn.NORM.S.DIST(Table1[[#This Row],[Birthweight Z-Score (BW-10%)]],TRUE)*100,"")</f>
        <v/>
      </c>
      <c r="L2861" s="7" t="str">
        <f>IF(Table1[[#This Row],[Is Data Valid]]=TRUE,_xlfn.NORM.S.DIST(Table1[[#This Row],[Birthweight Z-Score (BW+10%)]],TRUE)*100,"")</f>
        <v/>
      </c>
    </row>
    <row r="2862" spans="1:12" x14ac:dyDescent="0.35">
      <c r="A2862" s="3"/>
      <c r="B2862" s="2"/>
      <c r="C2862" s="2"/>
      <c r="D2862" s="2" t="b">
        <f>IF(AND(NOT(ISBLANK(Table1[[#This Row],[Fetal Sex (Male, Female or Unknown)]])),ISNUMBER(Table1[[#This Row],[Birthweight (grams)]]),ISNUMBER(Table1[[#This Row],[Gestation (days)]])),TRUE,FALSE)</f>
        <v>0</v>
      </c>
      <c r="E2862" s="2" t="str">
        <f>IF(Table1[[#This Row],[Is Data Valid]]=TRUE,IF(Table1[[#This Row],[Fetal Sex (Male, Female or Unknown)]]="Male",Backend!$C$6,IF(Table1[[#This Row],[Fetal Sex (Male, Female or Unknown)]]="Female",Backend!$C$7,IF(Table1[[#This Row],[Fetal Sex (Male, Female or Unknown)]]="Unknown",Backend!$C$8,"Error"))),"")</f>
        <v/>
      </c>
      <c r="F2862" s="8" t="str">
        <f>IF(Table1[[#This Row],[Is Data Valid]]=TRUE,EXP(0.578+0.332*((Table1[[#This Row],[Gestation (days)]]+0.5)/7)-0.00354*((Table1[[#This Row],[Gestation (days)]]+0.5)/7)^2)*Table1[[#This Row],[BW40_3705]],"")</f>
        <v/>
      </c>
      <c r="G2862" s="2" t="str">
        <f>IF(Table1[[#This Row],[Is Data Valid]]=TRUE,((Table1[[#This Row],[Birthweight (grams)]]/Table1[[#This Row],[BW_GA]])-1)/(Backend!$B$4/100*Table1[[#This Row],[BW40_3705]]),"")</f>
        <v/>
      </c>
      <c r="H2862" s="7" t="str">
        <f>IF(Table1[[#This Row],[Is Data Valid]]=TRUE,((Table1[[#This Row],[Birthweight (grams)]]*0.9/Table1[[#This Row],[BW_GA]])-1)/(Backend!$B$4/100*Table1[[#This Row],[BW40_3705]]),"")</f>
        <v/>
      </c>
      <c r="I2862" s="7" t="str">
        <f>IF(Table1[[#This Row],[Is Data Valid]]=TRUE,((Table1[[#This Row],[Birthweight (grams)]]*1.1/Table1[[#This Row],[BW_GA]])-1)/(Backend!$B$4/100*Table1[[#This Row],[BW40_3705]]),"")</f>
        <v/>
      </c>
      <c r="J2862" s="7" t="str">
        <f>IF(Table1[[#This Row],[Is Data Valid]]=TRUE,_xlfn.NORM.S.DIST(Table1[[#This Row],[Birthweight Z-Score]],TRUE)*100,"")</f>
        <v/>
      </c>
      <c r="K2862" s="7" t="str">
        <f>IF(Table1[[#This Row],[Is Data Valid]]=TRUE,_xlfn.NORM.S.DIST(Table1[[#This Row],[Birthweight Z-Score (BW-10%)]],TRUE)*100,"")</f>
        <v/>
      </c>
      <c r="L2862" s="7" t="str">
        <f>IF(Table1[[#This Row],[Is Data Valid]]=TRUE,_xlfn.NORM.S.DIST(Table1[[#This Row],[Birthweight Z-Score (BW+10%)]],TRUE)*100,"")</f>
        <v/>
      </c>
    </row>
    <row r="2863" spans="1:12" x14ac:dyDescent="0.35">
      <c r="A2863" s="3"/>
      <c r="B2863" s="2"/>
      <c r="C2863" s="2"/>
      <c r="D2863" s="2" t="b">
        <f>IF(AND(NOT(ISBLANK(Table1[[#This Row],[Fetal Sex (Male, Female or Unknown)]])),ISNUMBER(Table1[[#This Row],[Birthweight (grams)]]),ISNUMBER(Table1[[#This Row],[Gestation (days)]])),TRUE,FALSE)</f>
        <v>0</v>
      </c>
      <c r="E2863" s="2" t="str">
        <f>IF(Table1[[#This Row],[Is Data Valid]]=TRUE,IF(Table1[[#This Row],[Fetal Sex (Male, Female or Unknown)]]="Male",Backend!$C$6,IF(Table1[[#This Row],[Fetal Sex (Male, Female or Unknown)]]="Female",Backend!$C$7,IF(Table1[[#This Row],[Fetal Sex (Male, Female or Unknown)]]="Unknown",Backend!$C$8,"Error"))),"")</f>
        <v/>
      </c>
      <c r="F2863" s="8" t="str">
        <f>IF(Table1[[#This Row],[Is Data Valid]]=TRUE,EXP(0.578+0.332*((Table1[[#This Row],[Gestation (days)]]+0.5)/7)-0.00354*((Table1[[#This Row],[Gestation (days)]]+0.5)/7)^2)*Table1[[#This Row],[BW40_3705]],"")</f>
        <v/>
      </c>
      <c r="G2863" s="2" t="str">
        <f>IF(Table1[[#This Row],[Is Data Valid]]=TRUE,((Table1[[#This Row],[Birthweight (grams)]]/Table1[[#This Row],[BW_GA]])-1)/(Backend!$B$4/100*Table1[[#This Row],[BW40_3705]]),"")</f>
        <v/>
      </c>
      <c r="H2863" s="7" t="str">
        <f>IF(Table1[[#This Row],[Is Data Valid]]=TRUE,((Table1[[#This Row],[Birthweight (grams)]]*0.9/Table1[[#This Row],[BW_GA]])-1)/(Backend!$B$4/100*Table1[[#This Row],[BW40_3705]]),"")</f>
        <v/>
      </c>
      <c r="I2863" s="7" t="str">
        <f>IF(Table1[[#This Row],[Is Data Valid]]=TRUE,((Table1[[#This Row],[Birthweight (grams)]]*1.1/Table1[[#This Row],[BW_GA]])-1)/(Backend!$B$4/100*Table1[[#This Row],[BW40_3705]]),"")</f>
        <v/>
      </c>
      <c r="J2863" s="7" t="str">
        <f>IF(Table1[[#This Row],[Is Data Valid]]=TRUE,_xlfn.NORM.S.DIST(Table1[[#This Row],[Birthweight Z-Score]],TRUE)*100,"")</f>
        <v/>
      </c>
      <c r="K2863" s="7" t="str">
        <f>IF(Table1[[#This Row],[Is Data Valid]]=TRUE,_xlfn.NORM.S.DIST(Table1[[#This Row],[Birthweight Z-Score (BW-10%)]],TRUE)*100,"")</f>
        <v/>
      </c>
      <c r="L2863" s="7" t="str">
        <f>IF(Table1[[#This Row],[Is Data Valid]]=TRUE,_xlfn.NORM.S.DIST(Table1[[#This Row],[Birthweight Z-Score (BW+10%)]],TRUE)*100,"")</f>
        <v/>
      </c>
    </row>
    <row r="2864" spans="1:12" x14ac:dyDescent="0.35">
      <c r="A2864" s="3"/>
      <c r="B2864" s="2"/>
      <c r="C2864" s="2"/>
      <c r="D2864" s="2" t="b">
        <f>IF(AND(NOT(ISBLANK(Table1[[#This Row],[Fetal Sex (Male, Female or Unknown)]])),ISNUMBER(Table1[[#This Row],[Birthweight (grams)]]),ISNUMBER(Table1[[#This Row],[Gestation (days)]])),TRUE,FALSE)</f>
        <v>0</v>
      </c>
      <c r="E2864" s="2" t="str">
        <f>IF(Table1[[#This Row],[Is Data Valid]]=TRUE,IF(Table1[[#This Row],[Fetal Sex (Male, Female or Unknown)]]="Male",Backend!$C$6,IF(Table1[[#This Row],[Fetal Sex (Male, Female or Unknown)]]="Female",Backend!$C$7,IF(Table1[[#This Row],[Fetal Sex (Male, Female or Unknown)]]="Unknown",Backend!$C$8,"Error"))),"")</f>
        <v/>
      </c>
      <c r="F2864" s="8" t="str">
        <f>IF(Table1[[#This Row],[Is Data Valid]]=TRUE,EXP(0.578+0.332*((Table1[[#This Row],[Gestation (days)]]+0.5)/7)-0.00354*((Table1[[#This Row],[Gestation (days)]]+0.5)/7)^2)*Table1[[#This Row],[BW40_3705]],"")</f>
        <v/>
      </c>
      <c r="G2864" s="2" t="str">
        <f>IF(Table1[[#This Row],[Is Data Valid]]=TRUE,((Table1[[#This Row],[Birthweight (grams)]]/Table1[[#This Row],[BW_GA]])-1)/(Backend!$B$4/100*Table1[[#This Row],[BW40_3705]]),"")</f>
        <v/>
      </c>
      <c r="H2864" s="7" t="str">
        <f>IF(Table1[[#This Row],[Is Data Valid]]=TRUE,((Table1[[#This Row],[Birthweight (grams)]]*0.9/Table1[[#This Row],[BW_GA]])-1)/(Backend!$B$4/100*Table1[[#This Row],[BW40_3705]]),"")</f>
        <v/>
      </c>
      <c r="I2864" s="7" t="str">
        <f>IF(Table1[[#This Row],[Is Data Valid]]=TRUE,((Table1[[#This Row],[Birthweight (grams)]]*1.1/Table1[[#This Row],[BW_GA]])-1)/(Backend!$B$4/100*Table1[[#This Row],[BW40_3705]]),"")</f>
        <v/>
      </c>
      <c r="J2864" s="7" t="str">
        <f>IF(Table1[[#This Row],[Is Data Valid]]=TRUE,_xlfn.NORM.S.DIST(Table1[[#This Row],[Birthweight Z-Score]],TRUE)*100,"")</f>
        <v/>
      </c>
      <c r="K2864" s="7" t="str">
        <f>IF(Table1[[#This Row],[Is Data Valid]]=TRUE,_xlfn.NORM.S.DIST(Table1[[#This Row],[Birthweight Z-Score (BW-10%)]],TRUE)*100,"")</f>
        <v/>
      </c>
      <c r="L2864" s="7" t="str">
        <f>IF(Table1[[#This Row],[Is Data Valid]]=TRUE,_xlfn.NORM.S.DIST(Table1[[#This Row],[Birthweight Z-Score (BW+10%)]],TRUE)*100,"")</f>
        <v/>
      </c>
    </row>
    <row r="2865" spans="1:12" x14ac:dyDescent="0.35">
      <c r="A2865" s="3"/>
      <c r="B2865" s="2"/>
      <c r="C2865" s="2"/>
      <c r="D2865" s="2" t="b">
        <f>IF(AND(NOT(ISBLANK(Table1[[#This Row],[Fetal Sex (Male, Female or Unknown)]])),ISNUMBER(Table1[[#This Row],[Birthweight (grams)]]),ISNUMBER(Table1[[#This Row],[Gestation (days)]])),TRUE,FALSE)</f>
        <v>0</v>
      </c>
      <c r="E2865" s="2" t="str">
        <f>IF(Table1[[#This Row],[Is Data Valid]]=TRUE,IF(Table1[[#This Row],[Fetal Sex (Male, Female or Unknown)]]="Male",Backend!$C$6,IF(Table1[[#This Row],[Fetal Sex (Male, Female or Unknown)]]="Female",Backend!$C$7,IF(Table1[[#This Row],[Fetal Sex (Male, Female or Unknown)]]="Unknown",Backend!$C$8,"Error"))),"")</f>
        <v/>
      </c>
      <c r="F2865" s="8" t="str">
        <f>IF(Table1[[#This Row],[Is Data Valid]]=TRUE,EXP(0.578+0.332*((Table1[[#This Row],[Gestation (days)]]+0.5)/7)-0.00354*((Table1[[#This Row],[Gestation (days)]]+0.5)/7)^2)*Table1[[#This Row],[BW40_3705]],"")</f>
        <v/>
      </c>
      <c r="G2865" s="2" t="str">
        <f>IF(Table1[[#This Row],[Is Data Valid]]=TRUE,((Table1[[#This Row],[Birthweight (grams)]]/Table1[[#This Row],[BW_GA]])-1)/(Backend!$B$4/100*Table1[[#This Row],[BW40_3705]]),"")</f>
        <v/>
      </c>
      <c r="H2865" s="7" t="str">
        <f>IF(Table1[[#This Row],[Is Data Valid]]=TRUE,((Table1[[#This Row],[Birthweight (grams)]]*0.9/Table1[[#This Row],[BW_GA]])-1)/(Backend!$B$4/100*Table1[[#This Row],[BW40_3705]]),"")</f>
        <v/>
      </c>
      <c r="I2865" s="7" t="str">
        <f>IF(Table1[[#This Row],[Is Data Valid]]=TRUE,((Table1[[#This Row],[Birthweight (grams)]]*1.1/Table1[[#This Row],[BW_GA]])-1)/(Backend!$B$4/100*Table1[[#This Row],[BW40_3705]]),"")</f>
        <v/>
      </c>
      <c r="J2865" s="7" t="str">
        <f>IF(Table1[[#This Row],[Is Data Valid]]=TRUE,_xlfn.NORM.S.DIST(Table1[[#This Row],[Birthweight Z-Score]],TRUE)*100,"")</f>
        <v/>
      </c>
      <c r="K2865" s="7" t="str">
        <f>IF(Table1[[#This Row],[Is Data Valid]]=TRUE,_xlfn.NORM.S.DIST(Table1[[#This Row],[Birthweight Z-Score (BW-10%)]],TRUE)*100,"")</f>
        <v/>
      </c>
      <c r="L2865" s="7" t="str">
        <f>IF(Table1[[#This Row],[Is Data Valid]]=TRUE,_xlfn.NORM.S.DIST(Table1[[#This Row],[Birthweight Z-Score (BW+10%)]],TRUE)*100,"")</f>
        <v/>
      </c>
    </row>
    <row r="2866" spans="1:12" x14ac:dyDescent="0.35">
      <c r="A2866" s="3"/>
      <c r="B2866" s="2"/>
      <c r="C2866" s="2"/>
      <c r="D2866" s="2" t="b">
        <f>IF(AND(NOT(ISBLANK(Table1[[#This Row],[Fetal Sex (Male, Female or Unknown)]])),ISNUMBER(Table1[[#This Row],[Birthweight (grams)]]),ISNUMBER(Table1[[#This Row],[Gestation (days)]])),TRUE,FALSE)</f>
        <v>0</v>
      </c>
      <c r="E2866" s="2" t="str">
        <f>IF(Table1[[#This Row],[Is Data Valid]]=TRUE,IF(Table1[[#This Row],[Fetal Sex (Male, Female or Unknown)]]="Male",Backend!$C$6,IF(Table1[[#This Row],[Fetal Sex (Male, Female or Unknown)]]="Female",Backend!$C$7,IF(Table1[[#This Row],[Fetal Sex (Male, Female or Unknown)]]="Unknown",Backend!$C$8,"Error"))),"")</f>
        <v/>
      </c>
      <c r="F2866" s="8" t="str">
        <f>IF(Table1[[#This Row],[Is Data Valid]]=TRUE,EXP(0.578+0.332*((Table1[[#This Row],[Gestation (days)]]+0.5)/7)-0.00354*((Table1[[#This Row],[Gestation (days)]]+0.5)/7)^2)*Table1[[#This Row],[BW40_3705]],"")</f>
        <v/>
      </c>
      <c r="G2866" s="2" t="str">
        <f>IF(Table1[[#This Row],[Is Data Valid]]=TRUE,((Table1[[#This Row],[Birthweight (grams)]]/Table1[[#This Row],[BW_GA]])-1)/(Backend!$B$4/100*Table1[[#This Row],[BW40_3705]]),"")</f>
        <v/>
      </c>
      <c r="H2866" s="7" t="str">
        <f>IF(Table1[[#This Row],[Is Data Valid]]=TRUE,((Table1[[#This Row],[Birthweight (grams)]]*0.9/Table1[[#This Row],[BW_GA]])-1)/(Backend!$B$4/100*Table1[[#This Row],[BW40_3705]]),"")</f>
        <v/>
      </c>
      <c r="I2866" s="7" t="str">
        <f>IF(Table1[[#This Row],[Is Data Valid]]=TRUE,((Table1[[#This Row],[Birthweight (grams)]]*1.1/Table1[[#This Row],[BW_GA]])-1)/(Backend!$B$4/100*Table1[[#This Row],[BW40_3705]]),"")</f>
        <v/>
      </c>
      <c r="J2866" s="7" t="str">
        <f>IF(Table1[[#This Row],[Is Data Valid]]=TRUE,_xlfn.NORM.S.DIST(Table1[[#This Row],[Birthweight Z-Score]],TRUE)*100,"")</f>
        <v/>
      </c>
      <c r="K2866" s="7" t="str">
        <f>IF(Table1[[#This Row],[Is Data Valid]]=TRUE,_xlfn.NORM.S.DIST(Table1[[#This Row],[Birthweight Z-Score (BW-10%)]],TRUE)*100,"")</f>
        <v/>
      </c>
      <c r="L2866" s="7" t="str">
        <f>IF(Table1[[#This Row],[Is Data Valid]]=TRUE,_xlfn.NORM.S.DIST(Table1[[#This Row],[Birthweight Z-Score (BW+10%)]],TRUE)*100,"")</f>
        <v/>
      </c>
    </row>
    <row r="2867" spans="1:12" x14ac:dyDescent="0.35">
      <c r="A2867" s="3"/>
      <c r="B2867" s="2"/>
      <c r="C2867" s="2"/>
      <c r="D2867" s="2" t="b">
        <f>IF(AND(NOT(ISBLANK(Table1[[#This Row],[Fetal Sex (Male, Female or Unknown)]])),ISNUMBER(Table1[[#This Row],[Birthweight (grams)]]),ISNUMBER(Table1[[#This Row],[Gestation (days)]])),TRUE,FALSE)</f>
        <v>0</v>
      </c>
      <c r="E2867" s="2" t="str">
        <f>IF(Table1[[#This Row],[Is Data Valid]]=TRUE,IF(Table1[[#This Row],[Fetal Sex (Male, Female or Unknown)]]="Male",Backend!$C$6,IF(Table1[[#This Row],[Fetal Sex (Male, Female or Unknown)]]="Female",Backend!$C$7,IF(Table1[[#This Row],[Fetal Sex (Male, Female or Unknown)]]="Unknown",Backend!$C$8,"Error"))),"")</f>
        <v/>
      </c>
      <c r="F2867" s="8" t="str">
        <f>IF(Table1[[#This Row],[Is Data Valid]]=TRUE,EXP(0.578+0.332*((Table1[[#This Row],[Gestation (days)]]+0.5)/7)-0.00354*((Table1[[#This Row],[Gestation (days)]]+0.5)/7)^2)*Table1[[#This Row],[BW40_3705]],"")</f>
        <v/>
      </c>
      <c r="G2867" s="2" t="str">
        <f>IF(Table1[[#This Row],[Is Data Valid]]=TRUE,((Table1[[#This Row],[Birthweight (grams)]]/Table1[[#This Row],[BW_GA]])-1)/(Backend!$B$4/100*Table1[[#This Row],[BW40_3705]]),"")</f>
        <v/>
      </c>
      <c r="H2867" s="7" t="str">
        <f>IF(Table1[[#This Row],[Is Data Valid]]=TRUE,((Table1[[#This Row],[Birthweight (grams)]]*0.9/Table1[[#This Row],[BW_GA]])-1)/(Backend!$B$4/100*Table1[[#This Row],[BW40_3705]]),"")</f>
        <v/>
      </c>
      <c r="I2867" s="7" t="str">
        <f>IF(Table1[[#This Row],[Is Data Valid]]=TRUE,((Table1[[#This Row],[Birthweight (grams)]]*1.1/Table1[[#This Row],[BW_GA]])-1)/(Backend!$B$4/100*Table1[[#This Row],[BW40_3705]]),"")</f>
        <v/>
      </c>
      <c r="J2867" s="7" t="str">
        <f>IF(Table1[[#This Row],[Is Data Valid]]=TRUE,_xlfn.NORM.S.DIST(Table1[[#This Row],[Birthweight Z-Score]],TRUE)*100,"")</f>
        <v/>
      </c>
      <c r="K2867" s="7" t="str">
        <f>IF(Table1[[#This Row],[Is Data Valid]]=TRUE,_xlfn.NORM.S.DIST(Table1[[#This Row],[Birthweight Z-Score (BW-10%)]],TRUE)*100,"")</f>
        <v/>
      </c>
      <c r="L2867" s="7" t="str">
        <f>IF(Table1[[#This Row],[Is Data Valid]]=TRUE,_xlfn.NORM.S.DIST(Table1[[#This Row],[Birthweight Z-Score (BW+10%)]],TRUE)*100,"")</f>
        <v/>
      </c>
    </row>
    <row r="2868" spans="1:12" x14ac:dyDescent="0.35">
      <c r="A2868" s="3"/>
      <c r="B2868" s="2"/>
      <c r="C2868" s="2"/>
      <c r="D2868" s="2" t="b">
        <f>IF(AND(NOT(ISBLANK(Table1[[#This Row],[Fetal Sex (Male, Female or Unknown)]])),ISNUMBER(Table1[[#This Row],[Birthweight (grams)]]),ISNUMBER(Table1[[#This Row],[Gestation (days)]])),TRUE,FALSE)</f>
        <v>0</v>
      </c>
      <c r="E2868" s="2" t="str">
        <f>IF(Table1[[#This Row],[Is Data Valid]]=TRUE,IF(Table1[[#This Row],[Fetal Sex (Male, Female or Unknown)]]="Male",Backend!$C$6,IF(Table1[[#This Row],[Fetal Sex (Male, Female or Unknown)]]="Female",Backend!$C$7,IF(Table1[[#This Row],[Fetal Sex (Male, Female or Unknown)]]="Unknown",Backend!$C$8,"Error"))),"")</f>
        <v/>
      </c>
      <c r="F2868" s="8" t="str">
        <f>IF(Table1[[#This Row],[Is Data Valid]]=TRUE,EXP(0.578+0.332*((Table1[[#This Row],[Gestation (days)]]+0.5)/7)-0.00354*((Table1[[#This Row],[Gestation (days)]]+0.5)/7)^2)*Table1[[#This Row],[BW40_3705]],"")</f>
        <v/>
      </c>
      <c r="G2868" s="2" t="str">
        <f>IF(Table1[[#This Row],[Is Data Valid]]=TRUE,((Table1[[#This Row],[Birthweight (grams)]]/Table1[[#This Row],[BW_GA]])-1)/(Backend!$B$4/100*Table1[[#This Row],[BW40_3705]]),"")</f>
        <v/>
      </c>
      <c r="H2868" s="7" t="str">
        <f>IF(Table1[[#This Row],[Is Data Valid]]=TRUE,((Table1[[#This Row],[Birthweight (grams)]]*0.9/Table1[[#This Row],[BW_GA]])-1)/(Backend!$B$4/100*Table1[[#This Row],[BW40_3705]]),"")</f>
        <v/>
      </c>
      <c r="I2868" s="7" t="str">
        <f>IF(Table1[[#This Row],[Is Data Valid]]=TRUE,((Table1[[#This Row],[Birthweight (grams)]]*1.1/Table1[[#This Row],[BW_GA]])-1)/(Backend!$B$4/100*Table1[[#This Row],[BW40_3705]]),"")</f>
        <v/>
      </c>
      <c r="J2868" s="7" t="str">
        <f>IF(Table1[[#This Row],[Is Data Valid]]=TRUE,_xlfn.NORM.S.DIST(Table1[[#This Row],[Birthweight Z-Score]],TRUE)*100,"")</f>
        <v/>
      </c>
      <c r="K2868" s="7" t="str">
        <f>IF(Table1[[#This Row],[Is Data Valid]]=TRUE,_xlfn.NORM.S.DIST(Table1[[#This Row],[Birthweight Z-Score (BW-10%)]],TRUE)*100,"")</f>
        <v/>
      </c>
      <c r="L2868" s="7" t="str">
        <f>IF(Table1[[#This Row],[Is Data Valid]]=TRUE,_xlfn.NORM.S.DIST(Table1[[#This Row],[Birthweight Z-Score (BW+10%)]],TRUE)*100,"")</f>
        <v/>
      </c>
    </row>
    <row r="2869" spans="1:12" x14ac:dyDescent="0.35">
      <c r="A2869" s="3"/>
      <c r="B2869" s="2"/>
      <c r="C2869" s="2"/>
      <c r="D2869" s="2" t="b">
        <f>IF(AND(NOT(ISBLANK(Table1[[#This Row],[Fetal Sex (Male, Female or Unknown)]])),ISNUMBER(Table1[[#This Row],[Birthweight (grams)]]),ISNUMBER(Table1[[#This Row],[Gestation (days)]])),TRUE,FALSE)</f>
        <v>0</v>
      </c>
      <c r="E2869" s="2" t="str">
        <f>IF(Table1[[#This Row],[Is Data Valid]]=TRUE,IF(Table1[[#This Row],[Fetal Sex (Male, Female or Unknown)]]="Male",Backend!$C$6,IF(Table1[[#This Row],[Fetal Sex (Male, Female or Unknown)]]="Female",Backend!$C$7,IF(Table1[[#This Row],[Fetal Sex (Male, Female or Unknown)]]="Unknown",Backend!$C$8,"Error"))),"")</f>
        <v/>
      </c>
      <c r="F2869" s="8" t="str">
        <f>IF(Table1[[#This Row],[Is Data Valid]]=TRUE,EXP(0.578+0.332*((Table1[[#This Row],[Gestation (days)]]+0.5)/7)-0.00354*((Table1[[#This Row],[Gestation (days)]]+0.5)/7)^2)*Table1[[#This Row],[BW40_3705]],"")</f>
        <v/>
      </c>
      <c r="G2869" s="2" t="str">
        <f>IF(Table1[[#This Row],[Is Data Valid]]=TRUE,((Table1[[#This Row],[Birthweight (grams)]]/Table1[[#This Row],[BW_GA]])-1)/(Backend!$B$4/100*Table1[[#This Row],[BW40_3705]]),"")</f>
        <v/>
      </c>
      <c r="H2869" s="7" t="str">
        <f>IF(Table1[[#This Row],[Is Data Valid]]=TRUE,((Table1[[#This Row],[Birthweight (grams)]]*0.9/Table1[[#This Row],[BW_GA]])-1)/(Backend!$B$4/100*Table1[[#This Row],[BW40_3705]]),"")</f>
        <v/>
      </c>
      <c r="I2869" s="7" t="str">
        <f>IF(Table1[[#This Row],[Is Data Valid]]=TRUE,((Table1[[#This Row],[Birthweight (grams)]]*1.1/Table1[[#This Row],[BW_GA]])-1)/(Backend!$B$4/100*Table1[[#This Row],[BW40_3705]]),"")</f>
        <v/>
      </c>
      <c r="J2869" s="7" t="str">
        <f>IF(Table1[[#This Row],[Is Data Valid]]=TRUE,_xlfn.NORM.S.DIST(Table1[[#This Row],[Birthweight Z-Score]],TRUE)*100,"")</f>
        <v/>
      </c>
      <c r="K2869" s="7" t="str">
        <f>IF(Table1[[#This Row],[Is Data Valid]]=TRUE,_xlfn.NORM.S.DIST(Table1[[#This Row],[Birthweight Z-Score (BW-10%)]],TRUE)*100,"")</f>
        <v/>
      </c>
      <c r="L2869" s="7" t="str">
        <f>IF(Table1[[#This Row],[Is Data Valid]]=TRUE,_xlfn.NORM.S.DIST(Table1[[#This Row],[Birthweight Z-Score (BW+10%)]],TRUE)*100,"")</f>
        <v/>
      </c>
    </row>
    <row r="2870" spans="1:12" x14ac:dyDescent="0.35">
      <c r="A2870" s="3"/>
      <c r="B2870" s="2"/>
      <c r="C2870" s="2"/>
      <c r="D2870" s="2" t="b">
        <f>IF(AND(NOT(ISBLANK(Table1[[#This Row],[Fetal Sex (Male, Female or Unknown)]])),ISNUMBER(Table1[[#This Row],[Birthweight (grams)]]),ISNUMBER(Table1[[#This Row],[Gestation (days)]])),TRUE,FALSE)</f>
        <v>0</v>
      </c>
      <c r="E2870" s="2" t="str">
        <f>IF(Table1[[#This Row],[Is Data Valid]]=TRUE,IF(Table1[[#This Row],[Fetal Sex (Male, Female or Unknown)]]="Male",Backend!$C$6,IF(Table1[[#This Row],[Fetal Sex (Male, Female or Unknown)]]="Female",Backend!$C$7,IF(Table1[[#This Row],[Fetal Sex (Male, Female or Unknown)]]="Unknown",Backend!$C$8,"Error"))),"")</f>
        <v/>
      </c>
      <c r="F2870" s="8" t="str">
        <f>IF(Table1[[#This Row],[Is Data Valid]]=TRUE,EXP(0.578+0.332*((Table1[[#This Row],[Gestation (days)]]+0.5)/7)-0.00354*((Table1[[#This Row],[Gestation (days)]]+0.5)/7)^2)*Table1[[#This Row],[BW40_3705]],"")</f>
        <v/>
      </c>
      <c r="G2870" s="2" t="str">
        <f>IF(Table1[[#This Row],[Is Data Valid]]=TRUE,((Table1[[#This Row],[Birthweight (grams)]]/Table1[[#This Row],[BW_GA]])-1)/(Backend!$B$4/100*Table1[[#This Row],[BW40_3705]]),"")</f>
        <v/>
      </c>
      <c r="H2870" s="7" t="str">
        <f>IF(Table1[[#This Row],[Is Data Valid]]=TRUE,((Table1[[#This Row],[Birthweight (grams)]]*0.9/Table1[[#This Row],[BW_GA]])-1)/(Backend!$B$4/100*Table1[[#This Row],[BW40_3705]]),"")</f>
        <v/>
      </c>
      <c r="I2870" s="7" t="str">
        <f>IF(Table1[[#This Row],[Is Data Valid]]=TRUE,((Table1[[#This Row],[Birthweight (grams)]]*1.1/Table1[[#This Row],[BW_GA]])-1)/(Backend!$B$4/100*Table1[[#This Row],[BW40_3705]]),"")</f>
        <v/>
      </c>
      <c r="J2870" s="7" t="str">
        <f>IF(Table1[[#This Row],[Is Data Valid]]=TRUE,_xlfn.NORM.S.DIST(Table1[[#This Row],[Birthweight Z-Score]],TRUE)*100,"")</f>
        <v/>
      </c>
      <c r="K2870" s="7" t="str">
        <f>IF(Table1[[#This Row],[Is Data Valid]]=TRUE,_xlfn.NORM.S.DIST(Table1[[#This Row],[Birthweight Z-Score (BW-10%)]],TRUE)*100,"")</f>
        <v/>
      </c>
      <c r="L2870" s="7" t="str">
        <f>IF(Table1[[#This Row],[Is Data Valid]]=TRUE,_xlfn.NORM.S.DIST(Table1[[#This Row],[Birthweight Z-Score (BW+10%)]],TRUE)*100,"")</f>
        <v/>
      </c>
    </row>
    <row r="2871" spans="1:12" x14ac:dyDescent="0.35">
      <c r="A2871" s="3"/>
      <c r="B2871" s="2"/>
      <c r="C2871" s="2"/>
      <c r="D2871" s="2" t="b">
        <f>IF(AND(NOT(ISBLANK(Table1[[#This Row],[Fetal Sex (Male, Female or Unknown)]])),ISNUMBER(Table1[[#This Row],[Birthweight (grams)]]),ISNUMBER(Table1[[#This Row],[Gestation (days)]])),TRUE,FALSE)</f>
        <v>0</v>
      </c>
      <c r="E2871" s="2" t="str">
        <f>IF(Table1[[#This Row],[Is Data Valid]]=TRUE,IF(Table1[[#This Row],[Fetal Sex (Male, Female or Unknown)]]="Male",Backend!$C$6,IF(Table1[[#This Row],[Fetal Sex (Male, Female or Unknown)]]="Female",Backend!$C$7,IF(Table1[[#This Row],[Fetal Sex (Male, Female or Unknown)]]="Unknown",Backend!$C$8,"Error"))),"")</f>
        <v/>
      </c>
      <c r="F2871" s="8" t="str">
        <f>IF(Table1[[#This Row],[Is Data Valid]]=TRUE,EXP(0.578+0.332*((Table1[[#This Row],[Gestation (days)]]+0.5)/7)-0.00354*((Table1[[#This Row],[Gestation (days)]]+0.5)/7)^2)*Table1[[#This Row],[BW40_3705]],"")</f>
        <v/>
      </c>
      <c r="G2871" s="2" t="str">
        <f>IF(Table1[[#This Row],[Is Data Valid]]=TRUE,((Table1[[#This Row],[Birthweight (grams)]]/Table1[[#This Row],[BW_GA]])-1)/(Backend!$B$4/100*Table1[[#This Row],[BW40_3705]]),"")</f>
        <v/>
      </c>
      <c r="H2871" s="7" t="str">
        <f>IF(Table1[[#This Row],[Is Data Valid]]=TRUE,((Table1[[#This Row],[Birthweight (grams)]]*0.9/Table1[[#This Row],[BW_GA]])-1)/(Backend!$B$4/100*Table1[[#This Row],[BW40_3705]]),"")</f>
        <v/>
      </c>
      <c r="I2871" s="7" t="str">
        <f>IF(Table1[[#This Row],[Is Data Valid]]=TRUE,((Table1[[#This Row],[Birthweight (grams)]]*1.1/Table1[[#This Row],[BW_GA]])-1)/(Backend!$B$4/100*Table1[[#This Row],[BW40_3705]]),"")</f>
        <v/>
      </c>
      <c r="J2871" s="7" t="str">
        <f>IF(Table1[[#This Row],[Is Data Valid]]=TRUE,_xlfn.NORM.S.DIST(Table1[[#This Row],[Birthweight Z-Score]],TRUE)*100,"")</f>
        <v/>
      </c>
      <c r="K2871" s="7" t="str">
        <f>IF(Table1[[#This Row],[Is Data Valid]]=TRUE,_xlfn.NORM.S.DIST(Table1[[#This Row],[Birthweight Z-Score (BW-10%)]],TRUE)*100,"")</f>
        <v/>
      </c>
      <c r="L2871" s="7" t="str">
        <f>IF(Table1[[#This Row],[Is Data Valid]]=TRUE,_xlfn.NORM.S.DIST(Table1[[#This Row],[Birthweight Z-Score (BW+10%)]],TRUE)*100,"")</f>
        <v/>
      </c>
    </row>
    <row r="2872" spans="1:12" x14ac:dyDescent="0.35">
      <c r="A2872" s="3"/>
      <c r="B2872" s="2"/>
      <c r="C2872" s="2"/>
      <c r="D2872" s="2" t="b">
        <f>IF(AND(NOT(ISBLANK(Table1[[#This Row],[Fetal Sex (Male, Female or Unknown)]])),ISNUMBER(Table1[[#This Row],[Birthweight (grams)]]),ISNUMBER(Table1[[#This Row],[Gestation (days)]])),TRUE,FALSE)</f>
        <v>0</v>
      </c>
      <c r="E2872" s="2" t="str">
        <f>IF(Table1[[#This Row],[Is Data Valid]]=TRUE,IF(Table1[[#This Row],[Fetal Sex (Male, Female or Unknown)]]="Male",Backend!$C$6,IF(Table1[[#This Row],[Fetal Sex (Male, Female or Unknown)]]="Female",Backend!$C$7,IF(Table1[[#This Row],[Fetal Sex (Male, Female or Unknown)]]="Unknown",Backend!$C$8,"Error"))),"")</f>
        <v/>
      </c>
      <c r="F2872" s="8" t="str">
        <f>IF(Table1[[#This Row],[Is Data Valid]]=TRUE,EXP(0.578+0.332*((Table1[[#This Row],[Gestation (days)]]+0.5)/7)-0.00354*((Table1[[#This Row],[Gestation (days)]]+0.5)/7)^2)*Table1[[#This Row],[BW40_3705]],"")</f>
        <v/>
      </c>
      <c r="G2872" s="2" t="str">
        <f>IF(Table1[[#This Row],[Is Data Valid]]=TRUE,((Table1[[#This Row],[Birthweight (grams)]]/Table1[[#This Row],[BW_GA]])-1)/(Backend!$B$4/100*Table1[[#This Row],[BW40_3705]]),"")</f>
        <v/>
      </c>
      <c r="H2872" s="7" t="str">
        <f>IF(Table1[[#This Row],[Is Data Valid]]=TRUE,((Table1[[#This Row],[Birthweight (grams)]]*0.9/Table1[[#This Row],[BW_GA]])-1)/(Backend!$B$4/100*Table1[[#This Row],[BW40_3705]]),"")</f>
        <v/>
      </c>
      <c r="I2872" s="7" t="str">
        <f>IF(Table1[[#This Row],[Is Data Valid]]=TRUE,((Table1[[#This Row],[Birthweight (grams)]]*1.1/Table1[[#This Row],[BW_GA]])-1)/(Backend!$B$4/100*Table1[[#This Row],[BW40_3705]]),"")</f>
        <v/>
      </c>
      <c r="J2872" s="7" t="str">
        <f>IF(Table1[[#This Row],[Is Data Valid]]=TRUE,_xlfn.NORM.S.DIST(Table1[[#This Row],[Birthweight Z-Score]],TRUE)*100,"")</f>
        <v/>
      </c>
      <c r="K2872" s="7" t="str">
        <f>IF(Table1[[#This Row],[Is Data Valid]]=TRUE,_xlfn.NORM.S.DIST(Table1[[#This Row],[Birthweight Z-Score (BW-10%)]],TRUE)*100,"")</f>
        <v/>
      </c>
      <c r="L2872" s="7" t="str">
        <f>IF(Table1[[#This Row],[Is Data Valid]]=TRUE,_xlfn.NORM.S.DIST(Table1[[#This Row],[Birthweight Z-Score (BW+10%)]],TRUE)*100,"")</f>
        <v/>
      </c>
    </row>
    <row r="2873" spans="1:12" x14ac:dyDescent="0.35">
      <c r="A2873" s="3"/>
      <c r="B2873" s="2"/>
      <c r="C2873" s="2"/>
      <c r="D2873" s="2" t="b">
        <f>IF(AND(NOT(ISBLANK(Table1[[#This Row],[Fetal Sex (Male, Female or Unknown)]])),ISNUMBER(Table1[[#This Row],[Birthweight (grams)]]),ISNUMBER(Table1[[#This Row],[Gestation (days)]])),TRUE,FALSE)</f>
        <v>0</v>
      </c>
      <c r="E2873" s="2" t="str">
        <f>IF(Table1[[#This Row],[Is Data Valid]]=TRUE,IF(Table1[[#This Row],[Fetal Sex (Male, Female or Unknown)]]="Male",Backend!$C$6,IF(Table1[[#This Row],[Fetal Sex (Male, Female or Unknown)]]="Female",Backend!$C$7,IF(Table1[[#This Row],[Fetal Sex (Male, Female or Unknown)]]="Unknown",Backend!$C$8,"Error"))),"")</f>
        <v/>
      </c>
      <c r="F2873" s="8" t="str">
        <f>IF(Table1[[#This Row],[Is Data Valid]]=TRUE,EXP(0.578+0.332*((Table1[[#This Row],[Gestation (days)]]+0.5)/7)-0.00354*((Table1[[#This Row],[Gestation (days)]]+0.5)/7)^2)*Table1[[#This Row],[BW40_3705]],"")</f>
        <v/>
      </c>
      <c r="G2873" s="2" t="str">
        <f>IF(Table1[[#This Row],[Is Data Valid]]=TRUE,((Table1[[#This Row],[Birthweight (grams)]]/Table1[[#This Row],[BW_GA]])-1)/(Backend!$B$4/100*Table1[[#This Row],[BW40_3705]]),"")</f>
        <v/>
      </c>
      <c r="H2873" s="7" t="str">
        <f>IF(Table1[[#This Row],[Is Data Valid]]=TRUE,((Table1[[#This Row],[Birthweight (grams)]]*0.9/Table1[[#This Row],[BW_GA]])-1)/(Backend!$B$4/100*Table1[[#This Row],[BW40_3705]]),"")</f>
        <v/>
      </c>
      <c r="I2873" s="7" t="str">
        <f>IF(Table1[[#This Row],[Is Data Valid]]=TRUE,((Table1[[#This Row],[Birthweight (grams)]]*1.1/Table1[[#This Row],[BW_GA]])-1)/(Backend!$B$4/100*Table1[[#This Row],[BW40_3705]]),"")</f>
        <v/>
      </c>
      <c r="J2873" s="7" t="str">
        <f>IF(Table1[[#This Row],[Is Data Valid]]=TRUE,_xlfn.NORM.S.DIST(Table1[[#This Row],[Birthweight Z-Score]],TRUE)*100,"")</f>
        <v/>
      </c>
      <c r="K2873" s="7" t="str">
        <f>IF(Table1[[#This Row],[Is Data Valid]]=TRUE,_xlfn.NORM.S.DIST(Table1[[#This Row],[Birthweight Z-Score (BW-10%)]],TRUE)*100,"")</f>
        <v/>
      </c>
      <c r="L2873" s="7" t="str">
        <f>IF(Table1[[#This Row],[Is Data Valid]]=TRUE,_xlfn.NORM.S.DIST(Table1[[#This Row],[Birthweight Z-Score (BW+10%)]],TRUE)*100,"")</f>
        <v/>
      </c>
    </row>
    <row r="2874" spans="1:12" x14ac:dyDescent="0.35">
      <c r="A2874" s="3"/>
      <c r="B2874" s="2"/>
      <c r="C2874" s="2"/>
      <c r="D2874" s="2" t="b">
        <f>IF(AND(NOT(ISBLANK(Table1[[#This Row],[Fetal Sex (Male, Female or Unknown)]])),ISNUMBER(Table1[[#This Row],[Birthweight (grams)]]),ISNUMBER(Table1[[#This Row],[Gestation (days)]])),TRUE,FALSE)</f>
        <v>0</v>
      </c>
      <c r="E2874" s="2" t="str">
        <f>IF(Table1[[#This Row],[Is Data Valid]]=TRUE,IF(Table1[[#This Row],[Fetal Sex (Male, Female or Unknown)]]="Male",Backend!$C$6,IF(Table1[[#This Row],[Fetal Sex (Male, Female or Unknown)]]="Female",Backend!$C$7,IF(Table1[[#This Row],[Fetal Sex (Male, Female or Unknown)]]="Unknown",Backend!$C$8,"Error"))),"")</f>
        <v/>
      </c>
      <c r="F2874" s="8" t="str">
        <f>IF(Table1[[#This Row],[Is Data Valid]]=TRUE,EXP(0.578+0.332*((Table1[[#This Row],[Gestation (days)]]+0.5)/7)-0.00354*((Table1[[#This Row],[Gestation (days)]]+0.5)/7)^2)*Table1[[#This Row],[BW40_3705]],"")</f>
        <v/>
      </c>
      <c r="G2874" s="2" t="str">
        <f>IF(Table1[[#This Row],[Is Data Valid]]=TRUE,((Table1[[#This Row],[Birthweight (grams)]]/Table1[[#This Row],[BW_GA]])-1)/(Backend!$B$4/100*Table1[[#This Row],[BW40_3705]]),"")</f>
        <v/>
      </c>
      <c r="H2874" s="7" t="str">
        <f>IF(Table1[[#This Row],[Is Data Valid]]=TRUE,((Table1[[#This Row],[Birthweight (grams)]]*0.9/Table1[[#This Row],[BW_GA]])-1)/(Backend!$B$4/100*Table1[[#This Row],[BW40_3705]]),"")</f>
        <v/>
      </c>
      <c r="I2874" s="7" t="str">
        <f>IF(Table1[[#This Row],[Is Data Valid]]=TRUE,((Table1[[#This Row],[Birthweight (grams)]]*1.1/Table1[[#This Row],[BW_GA]])-1)/(Backend!$B$4/100*Table1[[#This Row],[BW40_3705]]),"")</f>
        <v/>
      </c>
      <c r="J2874" s="7" t="str">
        <f>IF(Table1[[#This Row],[Is Data Valid]]=TRUE,_xlfn.NORM.S.DIST(Table1[[#This Row],[Birthweight Z-Score]],TRUE)*100,"")</f>
        <v/>
      </c>
      <c r="K2874" s="7" t="str">
        <f>IF(Table1[[#This Row],[Is Data Valid]]=TRUE,_xlfn.NORM.S.DIST(Table1[[#This Row],[Birthweight Z-Score (BW-10%)]],TRUE)*100,"")</f>
        <v/>
      </c>
      <c r="L2874" s="7" t="str">
        <f>IF(Table1[[#This Row],[Is Data Valid]]=TRUE,_xlfn.NORM.S.DIST(Table1[[#This Row],[Birthweight Z-Score (BW+10%)]],TRUE)*100,"")</f>
        <v/>
      </c>
    </row>
    <row r="2875" spans="1:12" x14ac:dyDescent="0.35">
      <c r="A2875" s="3"/>
      <c r="B2875" s="2"/>
      <c r="C2875" s="2"/>
      <c r="D2875" s="2" t="b">
        <f>IF(AND(NOT(ISBLANK(Table1[[#This Row],[Fetal Sex (Male, Female or Unknown)]])),ISNUMBER(Table1[[#This Row],[Birthweight (grams)]]),ISNUMBER(Table1[[#This Row],[Gestation (days)]])),TRUE,FALSE)</f>
        <v>0</v>
      </c>
      <c r="E2875" s="2" t="str">
        <f>IF(Table1[[#This Row],[Is Data Valid]]=TRUE,IF(Table1[[#This Row],[Fetal Sex (Male, Female or Unknown)]]="Male",Backend!$C$6,IF(Table1[[#This Row],[Fetal Sex (Male, Female or Unknown)]]="Female",Backend!$C$7,IF(Table1[[#This Row],[Fetal Sex (Male, Female or Unknown)]]="Unknown",Backend!$C$8,"Error"))),"")</f>
        <v/>
      </c>
      <c r="F2875" s="8" t="str">
        <f>IF(Table1[[#This Row],[Is Data Valid]]=TRUE,EXP(0.578+0.332*((Table1[[#This Row],[Gestation (days)]]+0.5)/7)-0.00354*((Table1[[#This Row],[Gestation (days)]]+0.5)/7)^2)*Table1[[#This Row],[BW40_3705]],"")</f>
        <v/>
      </c>
      <c r="G2875" s="2" t="str">
        <f>IF(Table1[[#This Row],[Is Data Valid]]=TRUE,((Table1[[#This Row],[Birthweight (grams)]]/Table1[[#This Row],[BW_GA]])-1)/(Backend!$B$4/100*Table1[[#This Row],[BW40_3705]]),"")</f>
        <v/>
      </c>
      <c r="H2875" s="7" t="str">
        <f>IF(Table1[[#This Row],[Is Data Valid]]=TRUE,((Table1[[#This Row],[Birthweight (grams)]]*0.9/Table1[[#This Row],[BW_GA]])-1)/(Backend!$B$4/100*Table1[[#This Row],[BW40_3705]]),"")</f>
        <v/>
      </c>
      <c r="I2875" s="7" t="str">
        <f>IF(Table1[[#This Row],[Is Data Valid]]=TRUE,((Table1[[#This Row],[Birthweight (grams)]]*1.1/Table1[[#This Row],[BW_GA]])-1)/(Backend!$B$4/100*Table1[[#This Row],[BW40_3705]]),"")</f>
        <v/>
      </c>
      <c r="J2875" s="7" t="str">
        <f>IF(Table1[[#This Row],[Is Data Valid]]=TRUE,_xlfn.NORM.S.DIST(Table1[[#This Row],[Birthweight Z-Score]],TRUE)*100,"")</f>
        <v/>
      </c>
      <c r="K2875" s="7" t="str">
        <f>IF(Table1[[#This Row],[Is Data Valid]]=TRUE,_xlfn.NORM.S.DIST(Table1[[#This Row],[Birthweight Z-Score (BW-10%)]],TRUE)*100,"")</f>
        <v/>
      </c>
      <c r="L2875" s="7" t="str">
        <f>IF(Table1[[#This Row],[Is Data Valid]]=TRUE,_xlfn.NORM.S.DIST(Table1[[#This Row],[Birthweight Z-Score (BW+10%)]],TRUE)*100,"")</f>
        <v/>
      </c>
    </row>
    <row r="2876" spans="1:12" x14ac:dyDescent="0.35">
      <c r="A2876" s="3"/>
      <c r="B2876" s="2"/>
      <c r="C2876" s="2"/>
      <c r="D2876" s="2" t="b">
        <f>IF(AND(NOT(ISBLANK(Table1[[#This Row],[Fetal Sex (Male, Female or Unknown)]])),ISNUMBER(Table1[[#This Row],[Birthweight (grams)]]),ISNUMBER(Table1[[#This Row],[Gestation (days)]])),TRUE,FALSE)</f>
        <v>0</v>
      </c>
      <c r="E2876" s="2" t="str">
        <f>IF(Table1[[#This Row],[Is Data Valid]]=TRUE,IF(Table1[[#This Row],[Fetal Sex (Male, Female or Unknown)]]="Male",Backend!$C$6,IF(Table1[[#This Row],[Fetal Sex (Male, Female or Unknown)]]="Female",Backend!$C$7,IF(Table1[[#This Row],[Fetal Sex (Male, Female or Unknown)]]="Unknown",Backend!$C$8,"Error"))),"")</f>
        <v/>
      </c>
      <c r="F2876" s="8" t="str">
        <f>IF(Table1[[#This Row],[Is Data Valid]]=TRUE,EXP(0.578+0.332*((Table1[[#This Row],[Gestation (days)]]+0.5)/7)-0.00354*((Table1[[#This Row],[Gestation (days)]]+0.5)/7)^2)*Table1[[#This Row],[BW40_3705]],"")</f>
        <v/>
      </c>
      <c r="G2876" s="2" t="str">
        <f>IF(Table1[[#This Row],[Is Data Valid]]=TRUE,((Table1[[#This Row],[Birthweight (grams)]]/Table1[[#This Row],[BW_GA]])-1)/(Backend!$B$4/100*Table1[[#This Row],[BW40_3705]]),"")</f>
        <v/>
      </c>
      <c r="H2876" s="7" t="str">
        <f>IF(Table1[[#This Row],[Is Data Valid]]=TRUE,((Table1[[#This Row],[Birthweight (grams)]]*0.9/Table1[[#This Row],[BW_GA]])-1)/(Backend!$B$4/100*Table1[[#This Row],[BW40_3705]]),"")</f>
        <v/>
      </c>
      <c r="I2876" s="7" t="str">
        <f>IF(Table1[[#This Row],[Is Data Valid]]=TRUE,((Table1[[#This Row],[Birthweight (grams)]]*1.1/Table1[[#This Row],[BW_GA]])-1)/(Backend!$B$4/100*Table1[[#This Row],[BW40_3705]]),"")</f>
        <v/>
      </c>
      <c r="J2876" s="7" t="str">
        <f>IF(Table1[[#This Row],[Is Data Valid]]=TRUE,_xlfn.NORM.S.DIST(Table1[[#This Row],[Birthweight Z-Score]],TRUE)*100,"")</f>
        <v/>
      </c>
      <c r="K2876" s="7" t="str">
        <f>IF(Table1[[#This Row],[Is Data Valid]]=TRUE,_xlfn.NORM.S.DIST(Table1[[#This Row],[Birthweight Z-Score (BW-10%)]],TRUE)*100,"")</f>
        <v/>
      </c>
      <c r="L2876" s="7" t="str">
        <f>IF(Table1[[#This Row],[Is Data Valid]]=TRUE,_xlfn.NORM.S.DIST(Table1[[#This Row],[Birthweight Z-Score (BW+10%)]],TRUE)*100,"")</f>
        <v/>
      </c>
    </row>
    <row r="2877" spans="1:12" x14ac:dyDescent="0.35">
      <c r="A2877" s="3"/>
      <c r="B2877" s="2"/>
      <c r="C2877" s="2"/>
      <c r="D2877" s="2" t="b">
        <f>IF(AND(NOT(ISBLANK(Table1[[#This Row],[Fetal Sex (Male, Female or Unknown)]])),ISNUMBER(Table1[[#This Row],[Birthweight (grams)]]),ISNUMBER(Table1[[#This Row],[Gestation (days)]])),TRUE,FALSE)</f>
        <v>0</v>
      </c>
      <c r="E2877" s="2" t="str">
        <f>IF(Table1[[#This Row],[Is Data Valid]]=TRUE,IF(Table1[[#This Row],[Fetal Sex (Male, Female or Unknown)]]="Male",Backend!$C$6,IF(Table1[[#This Row],[Fetal Sex (Male, Female or Unknown)]]="Female",Backend!$C$7,IF(Table1[[#This Row],[Fetal Sex (Male, Female or Unknown)]]="Unknown",Backend!$C$8,"Error"))),"")</f>
        <v/>
      </c>
      <c r="F2877" s="8" t="str">
        <f>IF(Table1[[#This Row],[Is Data Valid]]=TRUE,EXP(0.578+0.332*((Table1[[#This Row],[Gestation (days)]]+0.5)/7)-0.00354*((Table1[[#This Row],[Gestation (days)]]+0.5)/7)^2)*Table1[[#This Row],[BW40_3705]],"")</f>
        <v/>
      </c>
      <c r="G2877" s="2" t="str">
        <f>IF(Table1[[#This Row],[Is Data Valid]]=TRUE,((Table1[[#This Row],[Birthweight (grams)]]/Table1[[#This Row],[BW_GA]])-1)/(Backend!$B$4/100*Table1[[#This Row],[BW40_3705]]),"")</f>
        <v/>
      </c>
      <c r="H2877" s="7" t="str">
        <f>IF(Table1[[#This Row],[Is Data Valid]]=TRUE,((Table1[[#This Row],[Birthweight (grams)]]*0.9/Table1[[#This Row],[BW_GA]])-1)/(Backend!$B$4/100*Table1[[#This Row],[BW40_3705]]),"")</f>
        <v/>
      </c>
      <c r="I2877" s="7" t="str">
        <f>IF(Table1[[#This Row],[Is Data Valid]]=TRUE,((Table1[[#This Row],[Birthweight (grams)]]*1.1/Table1[[#This Row],[BW_GA]])-1)/(Backend!$B$4/100*Table1[[#This Row],[BW40_3705]]),"")</f>
        <v/>
      </c>
      <c r="J2877" s="7" t="str">
        <f>IF(Table1[[#This Row],[Is Data Valid]]=TRUE,_xlfn.NORM.S.DIST(Table1[[#This Row],[Birthweight Z-Score]],TRUE)*100,"")</f>
        <v/>
      </c>
      <c r="K2877" s="7" t="str">
        <f>IF(Table1[[#This Row],[Is Data Valid]]=TRUE,_xlfn.NORM.S.DIST(Table1[[#This Row],[Birthweight Z-Score (BW-10%)]],TRUE)*100,"")</f>
        <v/>
      </c>
      <c r="L2877" s="7" t="str">
        <f>IF(Table1[[#This Row],[Is Data Valid]]=TRUE,_xlfn.NORM.S.DIST(Table1[[#This Row],[Birthweight Z-Score (BW+10%)]],TRUE)*100,"")</f>
        <v/>
      </c>
    </row>
    <row r="2878" spans="1:12" x14ac:dyDescent="0.35">
      <c r="A2878" s="3"/>
      <c r="B2878" s="2"/>
      <c r="C2878" s="2"/>
      <c r="D2878" s="2" t="b">
        <f>IF(AND(NOT(ISBLANK(Table1[[#This Row],[Fetal Sex (Male, Female or Unknown)]])),ISNUMBER(Table1[[#This Row],[Birthweight (grams)]]),ISNUMBER(Table1[[#This Row],[Gestation (days)]])),TRUE,FALSE)</f>
        <v>0</v>
      </c>
      <c r="E2878" s="2" t="str">
        <f>IF(Table1[[#This Row],[Is Data Valid]]=TRUE,IF(Table1[[#This Row],[Fetal Sex (Male, Female or Unknown)]]="Male",Backend!$C$6,IF(Table1[[#This Row],[Fetal Sex (Male, Female or Unknown)]]="Female",Backend!$C$7,IF(Table1[[#This Row],[Fetal Sex (Male, Female or Unknown)]]="Unknown",Backend!$C$8,"Error"))),"")</f>
        <v/>
      </c>
      <c r="F2878" s="8" t="str">
        <f>IF(Table1[[#This Row],[Is Data Valid]]=TRUE,EXP(0.578+0.332*((Table1[[#This Row],[Gestation (days)]]+0.5)/7)-0.00354*((Table1[[#This Row],[Gestation (days)]]+0.5)/7)^2)*Table1[[#This Row],[BW40_3705]],"")</f>
        <v/>
      </c>
      <c r="G2878" s="2" t="str">
        <f>IF(Table1[[#This Row],[Is Data Valid]]=TRUE,((Table1[[#This Row],[Birthweight (grams)]]/Table1[[#This Row],[BW_GA]])-1)/(Backend!$B$4/100*Table1[[#This Row],[BW40_3705]]),"")</f>
        <v/>
      </c>
      <c r="H2878" s="7" t="str">
        <f>IF(Table1[[#This Row],[Is Data Valid]]=TRUE,((Table1[[#This Row],[Birthweight (grams)]]*0.9/Table1[[#This Row],[BW_GA]])-1)/(Backend!$B$4/100*Table1[[#This Row],[BW40_3705]]),"")</f>
        <v/>
      </c>
      <c r="I2878" s="7" t="str">
        <f>IF(Table1[[#This Row],[Is Data Valid]]=TRUE,((Table1[[#This Row],[Birthweight (grams)]]*1.1/Table1[[#This Row],[BW_GA]])-1)/(Backend!$B$4/100*Table1[[#This Row],[BW40_3705]]),"")</f>
        <v/>
      </c>
      <c r="J2878" s="7" t="str">
        <f>IF(Table1[[#This Row],[Is Data Valid]]=TRUE,_xlfn.NORM.S.DIST(Table1[[#This Row],[Birthweight Z-Score]],TRUE)*100,"")</f>
        <v/>
      </c>
      <c r="K2878" s="7" t="str">
        <f>IF(Table1[[#This Row],[Is Data Valid]]=TRUE,_xlfn.NORM.S.DIST(Table1[[#This Row],[Birthweight Z-Score (BW-10%)]],TRUE)*100,"")</f>
        <v/>
      </c>
      <c r="L2878" s="7" t="str">
        <f>IF(Table1[[#This Row],[Is Data Valid]]=TRUE,_xlfn.NORM.S.DIST(Table1[[#This Row],[Birthweight Z-Score (BW+10%)]],TRUE)*100,"")</f>
        <v/>
      </c>
    </row>
    <row r="2879" spans="1:12" x14ac:dyDescent="0.35">
      <c r="A2879" s="3"/>
      <c r="B2879" s="2"/>
      <c r="C2879" s="2"/>
      <c r="D2879" s="2" t="b">
        <f>IF(AND(NOT(ISBLANK(Table1[[#This Row],[Fetal Sex (Male, Female or Unknown)]])),ISNUMBER(Table1[[#This Row],[Birthweight (grams)]]),ISNUMBER(Table1[[#This Row],[Gestation (days)]])),TRUE,FALSE)</f>
        <v>0</v>
      </c>
      <c r="E2879" s="2" t="str">
        <f>IF(Table1[[#This Row],[Is Data Valid]]=TRUE,IF(Table1[[#This Row],[Fetal Sex (Male, Female or Unknown)]]="Male",Backend!$C$6,IF(Table1[[#This Row],[Fetal Sex (Male, Female or Unknown)]]="Female",Backend!$C$7,IF(Table1[[#This Row],[Fetal Sex (Male, Female or Unknown)]]="Unknown",Backend!$C$8,"Error"))),"")</f>
        <v/>
      </c>
      <c r="F2879" s="8" t="str">
        <f>IF(Table1[[#This Row],[Is Data Valid]]=TRUE,EXP(0.578+0.332*((Table1[[#This Row],[Gestation (days)]]+0.5)/7)-0.00354*((Table1[[#This Row],[Gestation (days)]]+0.5)/7)^2)*Table1[[#This Row],[BW40_3705]],"")</f>
        <v/>
      </c>
      <c r="G2879" s="2" t="str">
        <f>IF(Table1[[#This Row],[Is Data Valid]]=TRUE,((Table1[[#This Row],[Birthweight (grams)]]/Table1[[#This Row],[BW_GA]])-1)/(Backend!$B$4/100*Table1[[#This Row],[BW40_3705]]),"")</f>
        <v/>
      </c>
      <c r="H2879" s="7" t="str">
        <f>IF(Table1[[#This Row],[Is Data Valid]]=TRUE,((Table1[[#This Row],[Birthweight (grams)]]*0.9/Table1[[#This Row],[BW_GA]])-1)/(Backend!$B$4/100*Table1[[#This Row],[BW40_3705]]),"")</f>
        <v/>
      </c>
      <c r="I2879" s="7" t="str">
        <f>IF(Table1[[#This Row],[Is Data Valid]]=TRUE,((Table1[[#This Row],[Birthweight (grams)]]*1.1/Table1[[#This Row],[BW_GA]])-1)/(Backend!$B$4/100*Table1[[#This Row],[BW40_3705]]),"")</f>
        <v/>
      </c>
      <c r="J2879" s="7" t="str">
        <f>IF(Table1[[#This Row],[Is Data Valid]]=TRUE,_xlfn.NORM.S.DIST(Table1[[#This Row],[Birthweight Z-Score]],TRUE)*100,"")</f>
        <v/>
      </c>
      <c r="K2879" s="7" t="str">
        <f>IF(Table1[[#This Row],[Is Data Valid]]=TRUE,_xlfn.NORM.S.DIST(Table1[[#This Row],[Birthweight Z-Score (BW-10%)]],TRUE)*100,"")</f>
        <v/>
      </c>
      <c r="L2879" s="7" t="str">
        <f>IF(Table1[[#This Row],[Is Data Valid]]=TRUE,_xlfn.NORM.S.DIST(Table1[[#This Row],[Birthweight Z-Score (BW+10%)]],TRUE)*100,"")</f>
        <v/>
      </c>
    </row>
    <row r="2880" spans="1:12" x14ac:dyDescent="0.35">
      <c r="A2880" s="3"/>
      <c r="B2880" s="2"/>
      <c r="C2880" s="2"/>
      <c r="D2880" s="2" t="b">
        <f>IF(AND(NOT(ISBLANK(Table1[[#This Row],[Fetal Sex (Male, Female or Unknown)]])),ISNUMBER(Table1[[#This Row],[Birthweight (grams)]]),ISNUMBER(Table1[[#This Row],[Gestation (days)]])),TRUE,FALSE)</f>
        <v>0</v>
      </c>
      <c r="E2880" s="2" t="str">
        <f>IF(Table1[[#This Row],[Is Data Valid]]=TRUE,IF(Table1[[#This Row],[Fetal Sex (Male, Female or Unknown)]]="Male",Backend!$C$6,IF(Table1[[#This Row],[Fetal Sex (Male, Female or Unknown)]]="Female",Backend!$C$7,IF(Table1[[#This Row],[Fetal Sex (Male, Female or Unknown)]]="Unknown",Backend!$C$8,"Error"))),"")</f>
        <v/>
      </c>
      <c r="F2880" s="8" t="str">
        <f>IF(Table1[[#This Row],[Is Data Valid]]=TRUE,EXP(0.578+0.332*((Table1[[#This Row],[Gestation (days)]]+0.5)/7)-0.00354*((Table1[[#This Row],[Gestation (days)]]+0.5)/7)^2)*Table1[[#This Row],[BW40_3705]],"")</f>
        <v/>
      </c>
      <c r="G2880" s="2" t="str">
        <f>IF(Table1[[#This Row],[Is Data Valid]]=TRUE,((Table1[[#This Row],[Birthweight (grams)]]/Table1[[#This Row],[BW_GA]])-1)/(Backend!$B$4/100*Table1[[#This Row],[BW40_3705]]),"")</f>
        <v/>
      </c>
      <c r="H2880" s="7" t="str">
        <f>IF(Table1[[#This Row],[Is Data Valid]]=TRUE,((Table1[[#This Row],[Birthweight (grams)]]*0.9/Table1[[#This Row],[BW_GA]])-1)/(Backend!$B$4/100*Table1[[#This Row],[BW40_3705]]),"")</f>
        <v/>
      </c>
      <c r="I2880" s="7" t="str">
        <f>IF(Table1[[#This Row],[Is Data Valid]]=TRUE,((Table1[[#This Row],[Birthweight (grams)]]*1.1/Table1[[#This Row],[BW_GA]])-1)/(Backend!$B$4/100*Table1[[#This Row],[BW40_3705]]),"")</f>
        <v/>
      </c>
      <c r="J2880" s="7" t="str">
        <f>IF(Table1[[#This Row],[Is Data Valid]]=TRUE,_xlfn.NORM.S.DIST(Table1[[#This Row],[Birthweight Z-Score]],TRUE)*100,"")</f>
        <v/>
      </c>
      <c r="K2880" s="7" t="str">
        <f>IF(Table1[[#This Row],[Is Data Valid]]=TRUE,_xlfn.NORM.S.DIST(Table1[[#This Row],[Birthweight Z-Score (BW-10%)]],TRUE)*100,"")</f>
        <v/>
      </c>
      <c r="L2880" s="7" t="str">
        <f>IF(Table1[[#This Row],[Is Data Valid]]=TRUE,_xlfn.NORM.S.DIST(Table1[[#This Row],[Birthweight Z-Score (BW+10%)]],TRUE)*100,"")</f>
        <v/>
      </c>
    </row>
    <row r="2881" spans="1:12" x14ac:dyDescent="0.35">
      <c r="A2881" s="3"/>
      <c r="B2881" s="2"/>
      <c r="C2881" s="2"/>
      <c r="D2881" s="2" t="b">
        <f>IF(AND(NOT(ISBLANK(Table1[[#This Row],[Fetal Sex (Male, Female or Unknown)]])),ISNUMBER(Table1[[#This Row],[Birthweight (grams)]]),ISNUMBER(Table1[[#This Row],[Gestation (days)]])),TRUE,FALSE)</f>
        <v>0</v>
      </c>
      <c r="E2881" s="2" t="str">
        <f>IF(Table1[[#This Row],[Is Data Valid]]=TRUE,IF(Table1[[#This Row],[Fetal Sex (Male, Female or Unknown)]]="Male",Backend!$C$6,IF(Table1[[#This Row],[Fetal Sex (Male, Female or Unknown)]]="Female",Backend!$C$7,IF(Table1[[#This Row],[Fetal Sex (Male, Female or Unknown)]]="Unknown",Backend!$C$8,"Error"))),"")</f>
        <v/>
      </c>
      <c r="F2881" s="8" t="str">
        <f>IF(Table1[[#This Row],[Is Data Valid]]=TRUE,EXP(0.578+0.332*((Table1[[#This Row],[Gestation (days)]]+0.5)/7)-0.00354*((Table1[[#This Row],[Gestation (days)]]+0.5)/7)^2)*Table1[[#This Row],[BW40_3705]],"")</f>
        <v/>
      </c>
      <c r="G2881" s="2" t="str">
        <f>IF(Table1[[#This Row],[Is Data Valid]]=TRUE,((Table1[[#This Row],[Birthweight (grams)]]/Table1[[#This Row],[BW_GA]])-1)/(Backend!$B$4/100*Table1[[#This Row],[BW40_3705]]),"")</f>
        <v/>
      </c>
      <c r="H2881" s="7" t="str">
        <f>IF(Table1[[#This Row],[Is Data Valid]]=TRUE,((Table1[[#This Row],[Birthweight (grams)]]*0.9/Table1[[#This Row],[BW_GA]])-1)/(Backend!$B$4/100*Table1[[#This Row],[BW40_3705]]),"")</f>
        <v/>
      </c>
      <c r="I2881" s="7" t="str">
        <f>IF(Table1[[#This Row],[Is Data Valid]]=TRUE,((Table1[[#This Row],[Birthweight (grams)]]*1.1/Table1[[#This Row],[BW_GA]])-1)/(Backend!$B$4/100*Table1[[#This Row],[BW40_3705]]),"")</f>
        <v/>
      </c>
      <c r="J2881" s="7" t="str">
        <f>IF(Table1[[#This Row],[Is Data Valid]]=TRUE,_xlfn.NORM.S.DIST(Table1[[#This Row],[Birthweight Z-Score]],TRUE)*100,"")</f>
        <v/>
      </c>
      <c r="K2881" s="7" t="str">
        <f>IF(Table1[[#This Row],[Is Data Valid]]=TRUE,_xlfn.NORM.S.DIST(Table1[[#This Row],[Birthweight Z-Score (BW-10%)]],TRUE)*100,"")</f>
        <v/>
      </c>
      <c r="L2881" s="7" t="str">
        <f>IF(Table1[[#This Row],[Is Data Valid]]=TRUE,_xlfn.NORM.S.DIST(Table1[[#This Row],[Birthweight Z-Score (BW+10%)]],TRUE)*100,"")</f>
        <v/>
      </c>
    </row>
    <row r="2882" spans="1:12" x14ac:dyDescent="0.35">
      <c r="A2882" s="3"/>
      <c r="B2882" s="2"/>
      <c r="C2882" s="2"/>
      <c r="D2882" s="2" t="b">
        <f>IF(AND(NOT(ISBLANK(Table1[[#This Row],[Fetal Sex (Male, Female or Unknown)]])),ISNUMBER(Table1[[#This Row],[Birthweight (grams)]]),ISNUMBER(Table1[[#This Row],[Gestation (days)]])),TRUE,FALSE)</f>
        <v>0</v>
      </c>
      <c r="E2882" s="2" t="str">
        <f>IF(Table1[[#This Row],[Is Data Valid]]=TRUE,IF(Table1[[#This Row],[Fetal Sex (Male, Female or Unknown)]]="Male",Backend!$C$6,IF(Table1[[#This Row],[Fetal Sex (Male, Female or Unknown)]]="Female",Backend!$C$7,IF(Table1[[#This Row],[Fetal Sex (Male, Female or Unknown)]]="Unknown",Backend!$C$8,"Error"))),"")</f>
        <v/>
      </c>
      <c r="F2882" s="8" t="str">
        <f>IF(Table1[[#This Row],[Is Data Valid]]=TRUE,EXP(0.578+0.332*((Table1[[#This Row],[Gestation (days)]]+0.5)/7)-0.00354*((Table1[[#This Row],[Gestation (days)]]+0.5)/7)^2)*Table1[[#This Row],[BW40_3705]],"")</f>
        <v/>
      </c>
      <c r="G2882" s="2" t="str">
        <f>IF(Table1[[#This Row],[Is Data Valid]]=TRUE,((Table1[[#This Row],[Birthweight (grams)]]/Table1[[#This Row],[BW_GA]])-1)/(Backend!$B$4/100*Table1[[#This Row],[BW40_3705]]),"")</f>
        <v/>
      </c>
      <c r="H2882" s="7" t="str">
        <f>IF(Table1[[#This Row],[Is Data Valid]]=TRUE,((Table1[[#This Row],[Birthweight (grams)]]*0.9/Table1[[#This Row],[BW_GA]])-1)/(Backend!$B$4/100*Table1[[#This Row],[BW40_3705]]),"")</f>
        <v/>
      </c>
      <c r="I2882" s="7" t="str">
        <f>IF(Table1[[#This Row],[Is Data Valid]]=TRUE,((Table1[[#This Row],[Birthweight (grams)]]*1.1/Table1[[#This Row],[BW_GA]])-1)/(Backend!$B$4/100*Table1[[#This Row],[BW40_3705]]),"")</f>
        <v/>
      </c>
      <c r="J2882" s="7" t="str">
        <f>IF(Table1[[#This Row],[Is Data Valid]]=TRUE,_xlfn.NORM.S.DIST(Table1[[#This Row],[Birthweight Z-Score]],TRUE)*100,"")</f>
        <v/>
      </c>
      <c r="K2882" s="7" t="str">
        <f>IF(Table1[[#This Row],[Is Data Valid]]=TRUE,_xlfn.NORM.S.DIST(Table1[[#This Row],[Birthweight Z-Score (BW-10%)]],TRUE)*100,"")</f>
        <v/>
      </c>
      <c r="L2882" s="7" t="str">
        <f>IF(Table1[[#This Row],[Is Data Valid]]=TRUE,_xlfn.NORM.S.DIST(Table1[[#This Row],[Birthweight Z-Score (BW+10%)]],TRUE)*100,"")</f>
        <v/>
      </c>
    </row>
    <row r="2883" spans="1:12" x14ac:dyDescent="0.35">
      <c r="A2883" s="3"/>
      <c r="B2883" s="2"/>
      <c r="C2883" s="2"/>
      <c r="D2883" s="2" t="b">
        <f>IF(AND(NOT(ISBLANK(Table1[[#This Row],[Fetal Sex (Male, Female or Unknown)]])),ISNUMBER(Table1[[#This Row],[Birthweight (grams)]]),ISNUMBER(Table1[[#This Row],[Gestation (days)]])),TRUE,FALSE)</f>
        <v>0</v>
      </c>
      <c r="E2883" s="2" t="str">
        <f>IF(Table1[[#This Row],[Is Data Valid]]=TRUE,IF(Table1[[#This Row],[Fetal Sex (Male, Female or Unknown)]]="Male",Backend!$C$6,IF(Table1[[#This Row],[Fetal Sex (Male, Female or Unknown)]]="Female",Backend!$C$7,IF(Table1[[#This Row],[Fetal Sex (Male, Female or Unknown)]]="Unknown",Backend!$C$8,"Error"))),"")</f>
        <v/>
      </c>
      <c r="F2883" s="8" t="str">
        <f>IF(Table1[[#This Row],[Is Data Valid]]=TRUE,EXP(0.578+0.332*((Table1[[#This Row],[Gestation (days)]]+0.5)/7)-0.00354*((Table1[[#This Row],[Gestation (days)]]+0.5)/7)^2)*Table1[[#This Row],[BW40_3705]],"")</f>
        <v/>
      </c>
      <c r="G2883" s="2" t="str">
        <f>IF(Table1[[#This Row],[Is Data Valid]]=TRUE,((Table1[[#This Row],[Birthweight (grams)]]/Table1[[#This Row],[BW_GA]])-1)/(Backend!$B$4/100*Table1[[#This Row],[BW40_3705]]),"")</f>
        <v/>
      </c>
      <c r="H2883" s="7" t="str">
        <f>IF(Table1[[#This Row],[Is Data Valid]]=TRUE,((Table1[[#This Row],[Birthweight (grams)]]*0.9/Table1[[#This Row],[BW_GA]])-1)/(Backend!$B$4/100*Table1[[#This Row],[BW40_3705]]),"")</f>
        <v/>
      </c>
      <c r="I2883" s="7" t="str">
        <f>IF(Table1[[#This Row],[Is Data Valid]]=TRUE,((Table1[[#This Row],[Birthweight (grams)]]*1.1/Table1[[#This Row],[BW_GA]])-1)/(Backend!$B$4/100*Table1[[#This Row],[BW40_3705]]),"")</f>
        <v/>
      </c>
      <c r="J2883" s="7" t="str">
        <f>IF(Table1[[#This Row],[Is Data Valid]]=TRUE,_xlfn.NORM.S.DIST(Table1[[#This Row],[Birthweight Z-Score]],TRUE)*100,"")</f>
        <v/>
      </c>
      <c r="K2883" s="7" t="str">
        <f>IF(Table1[[#This Row],[Is Data Valid]]=TRUE,_xlfn.NORM.S.DIST(Table1[[#This Row],[Birthweight Z-Score (BW-10%)]],TRUE)*100,"")</f>
        <v/>
      </c>
      <c r="L2883" s="7" t="str">
        <f>IF(Table1[[#This Row],[Is Data Valid]]=TRUE,_xlfn.NORM.S.DIST(Table1[[#This Row],[Birthweight Z-Score (BW+10%)]],TRUE)*100,"")</f>
        <v/>
      </c>
    </row>
    <row r="2884" spans="1:12" x14ac:dyDescent="0.35">
      <c r="A2884" s="3"/>
      <c r="B2884" s="2"/>
      <c r="C2884" s="2"/>
      <c r="D2884" s="2" t="b">
        <f>IF(AND(NOT(ISBLANK(Table1[[#This Row],[Fetal Sex (Male, Female or Unknown)]])),ISNUMBER(Table1[[#This Row],[Birthweight (grams)]]),ISNUMBER(Table1[[#This Row],[Gestation (days)]])),TRUE,FALSE)</f>
        <v>0</v>
      </c>
      <c r="E2884" s="2" t="str">
        <f>IF(Table1[[#This Row],[Is Data Valid]]=TRUE,IF(Table1[[#This Row],[Fetal Sex (Male, Female or Unknown)]]="Male",Backend!$C$6,IF(Table1[[#This Row],[Fetal Sex (Male, Female or Unknown)]]="Female",Backend!$C$7,IF(Table1[[#This Row],[Fetal Sex (Male, Female or Unknown)]]="Unknown",Backend!$C$8,"Error"))),"")</f>
        <v/>
      </c>
      <c r="F2884" s="8" t="str">
        <f>IF(Table1[[#This Row],[Is Data Valid]]=TRUE,EXP(0.578+0.332*((Table1[[#This Row],[Gestation (days)]]+0.5)/7)-0.00354*((Table1[[#This Row],[Gestation (days)]]+0.5)/7)^2)*Table1[[#This Row],[BW40_3705]],"")</f>
        <v/>
      </c>
      <c r="G2884" s="2" t="str">
        <f>IF(Table1[[#This Row],[Is Data Valid]]=TRUE,((Table1[[#This Row],[Birthweight (grams)]]/Table1[[#This Row],[BW_GA]])-1)/(Backend!$B$4/100*Table1[[#This Row],[BW40_3705]]),"")</f>
        <v/>
      </c>
      <c r="H2884" s="7" t="str">
        <f>IF(Table1[[#This Row],[Is Data Valid]]=TRUE,((Table1[[#This Row],[Birthweight (grams)]]*0.9/Table1[[#This Row],[BW_GA]])-1)/(Backend!$B$4/100*Table1[[#This Row],[BW40_3705]]),"")</f>
        <v/>
      </c>
      <c r="I2884" s="7" t="str">
        <f>IF(Table1[[#This Row],[Is Data Valid]]=TRUE,((Table1[[#This Row],[Birthweight (grams)]]*1.1/Table1[[#This Row],[BW_GA]])-1)/(Backend!$B$4/100*Table1[[#This Row],[BW40_3705]]),"")</f>
        <v/>
      </c>
      <c r="J2884" s="7" t="str">
        <f>IF(Table1[[#This Row],[Is Data Valid]]=TRUE,_xlfn.NORM.S.DIST(Table1[[#This Row],[Birthweight Z-Score]],TRUE)*100,"")</f>
        <v/>
      </c>
      <c r="K2884" s="7" t="str">
        <f>IF(Table1[[#This Row],[Is Data Valid]]=TRUE,_xlfn.NORM.S.DIST(Table1[[#This Row],[Birthweight Z-Score (BW-10%)]],TRUE)*100,"")</f>
        <v/>
      </c>
      <c r="L2884" s="7" t="str">
        <f>IF(Table1[[#This Row],[Is Data Valid]]=TRUE,_xlfn.NORM.S.DIST(Table1[[#This Row],[Birthweight Z-Score (BW+10%)]],TRUE)*100,"")</f>
        <v/>
      </c>
    </row>
    <row r="2885" spans="1:12" x14ac:dyDescent="0.35">
      <c r="A2885" s="3"/>
      <c r="B2885" s="2"/>
      <c r="C2885" s="2"/>
      <c r="D2885" s="2" t="b">
        <f>IF(AND(NOT(ISBLANK(Table1[[#This Row],[Fetal Sex (Male, Female or Unknown)]])),ISNUMBER(Table1[[#This Row],[Birthweight (grams)]]),ISNUMBER(Table1[[#This Row],[Gestation (days)]])),TRUE,FALSE)</f>
        <v>0</v>
      </c>
      <c r="E2885" s="2" t="str">
        <f>IF(Table1[[#This Row],[Is Data Valid]]=TRUE,IF(Table1[[#This Row],[Fetal Sex (Male, Female or Unknown)]]="Male",Backend!$C$6,IF(Table1[[#This Row],[Fetal Sex (Male, Female or Unknown)]]="Female",Backend!$C$7,IF(Table1[[#This Row],[Fetal Sex (Male, Female or Unknown)]]="Unknown",Backend!$C$8,"Error"))),"")</f>
        <v/>
      </c>
      <c r="F2885" s="8" t="str">
        <f>IF(Table1[[#This Row],[Is Data Valid]]=TRUE,EXP(0.578+0.332*((Table1[[#This Row],[Gestation (days)]]+0.5)/7)-0.00354*((Table1[[#This Row],[Gestation (days)]]+0.5)/7)^2)*Table1[[#This Row],[BW40_3705]],"")</f>
        <v/>
      </c>
      <c r="G2885" s="2" t="str">
        <f>IF(Table1[[#This Row],[Is Data Valid]]=TRUE,((Table1[[#This Row],[Birthweight (grams)]]/Table1[[#This Row],[BW_GA]])-1)/(Backend!$B$4/100*Table1[[#This Row],[BW40_3705]]),"")</f>
        <v/>
      </c>
      <c r="H2885" s="7" t="str">
        <f>IF(Table1[[#This Row],[Is Data Valid]]=TRUE,((Table1[[#This Row],[Birthweight (grams)]]*0.9/Table1[[#This Row],[BW_GA]])-1)/(Backend!$B$4/100*Table1[[#This Row],[BW40_3705]]),"")</f>
        <v/>
      </c>
      <c r="I2885" s="7" t="str">
        <f>IF(Table1[[#This Row],[Is Data Valid]]=TRUE,((Table1[[#This Row],[Birthweight (grams)]]*1.1/Table1[[#This Row],[BW_GA]])-1)/(Backend!$B$4/100*Table1[[#This Row],[BW40_3705]]),"")</f>
        <v/>
      </c>
      <c r="J2885" s="7" t="str">
        <f>IF(Table1[[#This Row],[Is Data Valid]]=TRUE,_xlfn.NORM.S.DIST(Table1[[#This Row],[Birthweight Z-Score]],TRUE)*100,"")</f>
        <v/>
      </c>
      <c r="K2885" s="7" t="str">
        <f>IF(Table1[[#This Row],[Is Data Valid]]=TRUE,_xlfn.NORM.S.DIST(Table1[[#This Row],[Birthweight Z-Score (BW-10%)]],TRUE)*100,"")</f>
        <v/>
      </c>
      <c r="L2885" s="7" t="str">
        <f>IF(Table1[[#This Row],[Is Data Valid]]=TRUE,_xlfn.NORM.S.DIST(Table1[[#This Row],[Birthweight Z-Score (BW+10%)]],TRUE)*100,"")</f>
        <v/>
      </c>
    </row>
    <row r="2886" spans="1:12" x14ac:dyDescent="0.35">
      <c r="A2886" s="3"/>
      <c r="B2886" s="2"/>
      <c r="C2886" s="2"/>
      <c r="D2886" s="2" t="b">
        <f>IF(AND(NOT(ISBLANK(Table1[[#This Row],[Fetal Sex (Male, Female or Unknown)]])),ISNUMBER(Table1[[#This Row],[Birthweight (grams)]]),ISNUMBER(Table1[[#This Row],[Gestation (days)]])),TRUE,FALSE)</f>
        <v>0</v>
      </c>
      <c r="E2886" s="2" t="str">
        <f>IF(Table1[[#This Row],[Is Data Valid]]=TRUE,IF(Table1[[#This Row],[Fetal Sex (Male, Female or Unknown)]]="Male",Backend!$C$6,IF(Table1[[#This Row],[Fetal Sex (Male, Female or Unknown)]]="Female",Backend!$C$7,IF(Table1[[#This Row],[Fetal Sex (Male, Female or Unknown)]]="Unknown",Backend!$C$8,"Error"))),"")</f>
        <v/>
      </c>
      <c r="F2886" s="8" t="str">
        <f>IF(Table1[[#This Row],[Is Data Valid]]=TRUE,EXP(0.578+0.332*((Table1[[#This Row],[Gestation (days)]]+0.5)/7)-0.00354*((Table1[[#This Row],[Gestation (days)]]+0.5)/7)^2)*Table1[[#This Row],[BW40_3705]],"")</f>
        <v/>
      </c>
      <c r="G2886" s="2" t="str">
        <f>IF(Table1[[#This Row],[Is Data Valid]]=TRUE,((Table1[[#This Row],[Birthweight (grams)]]/Table1[[#This Row],[BW_GA]])-1)/(Backend!$B$4/100*Table1[[#This Row],[BW40_3705]]),"")</f>
        <v/>
      </c>
      <c r="H2886" s="7" t="str">
        <f>IF(Table1[[#This Row],[Is Data Valid]]=TRUE,((Table1[[#This Row],[Birthweight (grams)]]*0.9/Table1[[#This Row],[BW_GA]])-1)/(Backend!$B$4/100*Table1[[#This Row],[BW40_3705]]),"")</f>
        <v/>
      </c>
      <c r="I2886" s="7" t="str">
        <f>IF(Table1[[#This Row],[Is Data Valid]]=TRUE,((Table1[[#This Row],[Birthweight (grams)]]*1.1/Table1[[#This Row],[BW_GA]])-1)/(Backend!$B$4/100*Table1[[#This Row],[BW40_3705]]),"")</f>
        <v/>
      </c>
      <c r="J2886" s="7" t="str">
        <f>IF(Table1[[#This Row],[Is Data Valid]]=TRUE,_xlfn.NORM.S.DIST(Table1[[#This Row],[Birthweight Z-Score]],TRUE)*100,"")</f>
        <v/>
      </c>
      <c r="K2886" s="7" t="str">
        <f>IF(Table1[[#This Row],[Is Data Valid]]=TRUE,_xlfn.NORM.S.DIST(Table1[[#This Row],[Birthweight Z-Score (BW-10%)]],TRUE)*100,"")</f>
        <v/>
      </c>
      <c r="L2886" s="7" t="str">
        <f>IF(Table1[[#This Row],[Is Data Valid]]=TRUE,_xlfn.NORM.S.DIST(Table1[[#This Row],[Birthweight Z-Score (BW+10%)]],TRUE)*100,"")</f>
        <v/>
      </c>
    </row>
    <row r="2887" spans="1:12" x14ac:dyDescent="0.35">
      <c r="A2887" s="3"/>
      <c r="B2887" s="2"/>
      <c r="C2887" s="2"/>
      <c r="D2887" s="2" t="b">
        <f>IF(AND(NOT(ISBLANK(Table1[[#This Row],[Fetal Sex (Male, Female or Unknown)]])),ISNUMBER(Table1[[#This Row],[Birthweight (grams)]]),ISNUMBER(Table1[[#This Row],[Gestation (days)]])),TRUE,FALSE)</f>
        <v>0</v>
      </c>
      <c r="E2887" s="2" t="str">
        <f>IF(Table1[[#This Row],[Is Data Valid]]=TRUE,IF(Table1[[#This Row],[Fetal Sex (Male, Female or Unknown)]]="Male",Backend!$C$6,IF(Table1[[#This Row],[Fetal Sex (Male, Female or Unknown)]]="Female",Backend!$C$7,IF(Table1[[#This Row],[Fetal Sex (Male, Female or Unknown)]]="Unknown",Backend!$C$8,"Error"))),"")</f>
        <v/>
      </c>
      <c r="F2887" s="8" t="str">
        <f>IF(Table1[[#This Row],[Is Data Valid]]=TRUE,EXP(0.578+0.332*((Table1[[#This Row],[Gestation (days)]]+0.5)/7)-0.00354*((Table1[[#This Row],[Gestation (days)]]+0.5)/7)^2)*Table1[[#This Row],[BW40_3705]],"")</f>
        <v/>
      </c>
      <c r="G2887" s="2" t="str">
        <f>IF(Table1[[#This Row],[Is Data Valid]]=TRUE,((Table1[[#This Row],[Birthweight (grams)]]/Table1[[#This Row],[BW_GA]])-1)/(Backend!$B$4/100*Table1[[#This Row],[BW40_3705]]),"")</f>
        <v/>
      </c>
      <c r="H2887" s="7" t="str">
        <f>IF(Table1[[#This Row],[Is Data Valid]]=TRUE,((Table1[[#This Row],[Birthweight (grams)]]*0.9/Table1[[#This Row],[BW_GA]])-1)/(Backend!$B$4/100*Table1[[#This Row],[BW40_3705]]),"")</f>
        <v/>
      </c>
      <c r="I2887" s="7" t="str">
        <f>IF(Table1[[#This Row],[Is Data Valid]]=TRUE,((Table1[[#This Row],[Birthweight (grams)]]*1.1/Table1[[#This Row],[BW_GA]])-1)/(Backend!$B$4/100*Table1[[#This Row],[BW40_3705]]),"")</f>
        <v/>
      </c>
      <c r="J2887" s="7" t="str">
        <f>IF(Table1[[#This Row],[Is Data Valid]]=TRUE,_xlfn.NORM.S.DIST(Table1[[#This Row],[Birthweight Z-Score]],TRUE)*100,"")</f>
        <v/>
      </c>
      <c r="K2887" s="7" t="str">
        <f>IF(Table1[[#This Row],[Is Data Valid]]=TRUE,_xlfn.NORM.S.DIST(Table1[[#This Row],[Birthweight Z-Score (BW-10%)]],TRUE)*100,"")</f>
        <v/>
      </c>
      <c r="L2887" s="7" t="str">
        <f>IF(Table1[[#This Row],[Is Data Valid]]=TRUE,_xlfn.NORM.S.DIST(Table1[[#This Row],[Birthweight Z-Score (BW+10%)]],TRUE)*100,"")</f>
        <v/>
      </c>
    </row>
    <row r="2888" spans="1:12" x14ac:dyDescent="0.35">
      <c r="A2888" s="3"/>
      <c r="B2888" s="2"/>
      <c r="C2888" s="2"/>
      <c r="D2888" s="2" t="b">
        <f>IF(AND(NOT(ISBLANK(Table1[[#This Row],[Fetal Sex (Male, Female or Unknown)]])),ISNUMBER(Table1[[#This Row],[Birthweight (grams)]]),ISNUMBER(Table1[[#This Row],[Gestation (days)]])),TRUE,FALSE)</f>
        <v>0</v>
      </c>
      <c r="E2888" s="2" t="str">
        <f>IF(Table1[[#This Row],[Is Data Valid]]=TRUE,IF(Table1[[#This Row],[Fetal Sex (Male, Female or Unknown)]]="Male",Backend!$C$6,IF(Table1[[#This Row],[Fetal Sex (Male, Female or Unknown)]]="Female",Backend!$C$7,IF(Table1[[#This Row],[Fetal Sex (Male, Female or Unknown)]]="Unknown",Backend!$C$8,"Error"))),"")</f>
        <v/>
      </c>
      <c r="F2888" s="8" t="str">
        <f>IF(Table1[[#This Row],[Is Data Valid]]=TRUE,EXP(0.578+0.332*((Table1[[#This Row],[Gestation (days)]]+0.5)/7)-0.00354*((Table1[[#This Row],[Gestation (days)]]+0.5)/7)^2)*Table1[[#This Row],[BW40_3705]],"")</f>
        <v/>
      </c>
      <c r="G2888" s="2" t="str">
        <f>IF(Table1[[#This Row],[Is Data Valid]]=TRUE,((Table1[[#This Row],[Birthweight (grams)]]/Table1[[#This Row],[BW_GA]])-1)/(Backend!$B$4/100*Table1[[#This Row],[BW40_3705]]),"")</f>
        <v/>
      </c>
      <c r="H2888" s="7" t="str">
        <f>IF(Table1[[#This Row],[Is Data Valid]]=TRUE,((Table1[[#This Row],[Birthweight (grams)]]*0.9/Table1[[#This Row],[BW_GA]])-1)/(Backend!$B$4/100*Table1[[#This Row],[BW40_3705]]),"")</f>
        <v/>
      </c>
      <c r="I2888" s="7" t="str">
        <f>IF(Table1[[#This Row],[Is Data Valid]]=TRUE,((Table1[[#This Row],[Birthweight (grams)]]*1.1/Table1[[#This Row],[BW_GA]])-1)/(Backend!$B$4/100*Table1[[#This Row],[BW40_3705]]),"")</f>
        <v/>
      </c>
      <c r="J2888" s="7" t="str">
        <f>IF(Table1[[#This Row],[Is Data Valid]]=TRUE,_xlfn.NORM.S.DIST(Table1[[#This Row],[Birthweight Z-Score]],TRUE)*100,"")</f>
        <v/>
      </c>
      <c r="K2888" s="7" t="str">
        <f>IF(Table1[[#This Row],[Is Data Valid]]=TRUE,_xlfn.NORM.S.DIST(Table1[[#This Row],[Birthweight Z-Score (BW-10%)]],TRUE)*100,"")</f>
        <v/>
      </c>
      <c r="L2888" s="7" t="str">
        <f>IF(Table1[[#This Row],[Is Data Valid]]=TRUE,_xlfn.NORM.S.DIST(Table1[[#This Row],[Birthweight Z-Score (BW+10%)]],TRUE)*100,"")</f>
        <v/>
      </c>
    </row>
    <row r="2889" spans="1:12" x14ac:dyDescent="0.35">
      <c r="A2889" s="3"/>
      <c r="B2889" s="2"/>
      <c r="C2889" s="2"/>
      <c r="D2889" s="2" t="b">
        <f>IF(AND(NOT(ISBLANK(Table1[[#This Row],[Fetal Sex (Male, Female or Unknown)]])),ISNUMBER(Table1[[#This Row],[Birthweight (grams)]]),ISNUMBER(Table1[[#This Row],[Gestation (days)]])),TRUE,FALSE)</f>
        <v>0</v>
      </c>
      <c r="E2889" s="2" t="str">
        <f>IF(Table1[[#This Row],[Is Data Valid]]=TRUE,IF(Table1[[#This Row],[Fetal Sex (Male, Female or Unknown)]]="Male",Backend!$C$6,IF(Table1[[#This Row],[Fetal Sex (Male, Female or Unknown)]]="Female",Backend!$C$7,IF(Table1[[#This Row],[Fetal Sex (Male, Female or Unknown)]]="Unknown",Backend!$C$8,"Error"))),"")</f>
        <v/>
      </c>
      <c r="F2889" s="8" t="str">
        <f>IF(Table1[[#This Row],[Is Data Valid]]=TRUE,EXP(0.578+0.332*((Table1[[#This Row],[Gestation (days)]]+0.5)/7)-0.00354*((Table1[[#This Row],[Gestation (days)]]+0.5)/7)^2)*Table1[[#This Row],[BW40_3705]],"")</f>
        <v/>
      </c>
      <c r="G2889" s="2" t="str">
        <f>IF(Table1[[#This Row],[Is Data Valid]]=TRUE,((Table1[[#This Row],[Birthweight (grams)]]/Table1[[#This Row],[BW_GA]])-1)/(Backend!$B$4/100*Table1[[#This Row],[BW40_3705]]),"")</f>
        <v/>
      </c>
      <c r="H2889" s="7" t="str">
        <f>IF(Table1[[#This Row],[Is Data Valid]]=TRUE,((Table1[[#This Row],[Birthweight (grams)]]*0.9/Table1[[#This Row],[BW_GA]])-1)/(Backend!$B$4/100*Table1[[#This Row],[BW40_3705]]),"")</f>
        <v/>
      </c>
      <c r="I2889" s="7" t="str">
        <f>IF(Table1[[#This Row],[Is Data Valid]]=TRUE,((Table1[[#This Row],[Birthweight (grams)]]*1.1/Table1[[#This Row],[BW_GA]])-1)/(Backend!$B$4/100*Table1[[#This Row],[BW40_3705]]),"")</f>
        <v/>
      </c>
      <c r="J2889" s="7" t="str">
        <f>IF(Table1[[#This Row],[Is Data Valid]]=TRUE,_xlfn.NORM.S.DIST(Table1[[#This Row],[Birthweight Z-Score]],TRUE)*100,"")</f>
        <v/>
      </c>
      <c r="K2889" s="7" t="str">
        <f>IF(Table1[[#This Row],[Is Data Valid]]=TRUE,_xlfn.NORM.S.DIST(Table1[[#This Row],[Birthweight Z-Score (BW-10%)]],TRUE)*100,"")</f>
        <v/>
      </c>
      <c r="L2889" s="7" t="str">
        <f>IF(Table1[[#This Row],[Is Data Valid]]=TRUE,_xlfn.NORM.S.DIST(Table1[[#This Row],[Birthweight Z-Score (BW+10%)]],TRUE)*100,"")</f>
        <v/>
      </c>
    </row>
    <row r="2890" spans="1:12" x14ac:dyDescent="0.35">
      <c r="A2890" s="3"/>
      <c r="B2890" s="2"/>
      <c r="C2890" s="2"/>
      <c r="D2890" s="2" t="b">
        <f>IF(AND(NOT(ISBLANK(Table1[[#This Row],[Fetal Sex (Male, Female or Unknown)]])),ISNUMBER(Table1[[#This Row],[Birthweight (grams)]]),ISNUMBER(Table1[[#This Row],[Gestation (days)]])),TRUE,FALSE)</f>
        <v>0</v>
      </c>
      <c r="E2890" s="2" t="str">
        <f>IF(Table1[[#This Row],[Is Data Valid]]=TRUE,IF(Table1[[#This Row],[Fetal Sex (Male, Female or Unknown)]]="Male",Backend!$C$6,IF(Table1[[#This Row],[Fetal Sex (Male, Female or Unknown)]]="Female",Backend!$C$7,IF(Table1[[#This Row],[Fetal Sex (Male, Female or Unknown)]]="Unknown",Backend!$C$8,"Error"))),"")</f>
        <v/>
      </c>
      <c r="F2890" s="8" t="str">
        <f>IF(Table1[[#This Row],[Is Data Valid]]=TRUE,EXP(0.578+0.332*((Table1[[#This Row],[Gestation (days)]]+0.5)/7)-0.00354*((Table1[[#This Row],[Gestation (days)]]+0.5)/7)^2)*Table1[[#This Row],[BW40_3705]],"")</f>
        <v/>
      </c>
      <c r="G2890" s="2" t="str">
        <f>IF(Table1[[#This Row],[Is Data Valid]]=TRUE,((Table1[[#This Row],[Birthweight (grams)]]/Table1[[#This Row],[BW_GA]])-1)/(Backend!$B$4/100*Table1[[#This Row],[BW40_3705]]),"")</f>
        <v/>
      </c>
      <c r="H2890" s="7" t="str">
        <f>IF(Table1[[#This Row],[Is Data Valid]]=TRUE,((Table1[[#This Row],[Birthweight (grams)]]*0.9/Table1[[#This Row],[BW_GA]])-1)/(Backend!$B$4/100*Table1[[#This Row],[BW40_3705]]),"")</f>
        <v/>
      </c>
      <c r="I2890" s="7" t="str">
        <f>IF(Table1[[#This Row],[Is Data Valid]]=TRUE,((Table1[[#This Row],[Birthweight (grams)]]*1.1/Table1[[#This Row],[BW_GA]])-1)/(Backend!$B$4/100*Table1[[#This Row],[BW40_3705]]),"")</f>
        <v/>
      </c>
      <c r="J2890" s="7" t="str">
        <f>IF(Table1[[#This Row],[Is Data Valid]]=TRUE,_xlfn.NORM.S.DIST(Table1[[#This Row],[Birthweight Z-Score]],TRUE)*100,"")</f>
        <v/>
      </c>
      <c r="K2890" s="7" t="str">
        <f>IF(Table1[[#This Row],[Is Data Valid]]=TRUE,_xlfn.NORM.S.DIST(Table1[[#This Row],[Birthweight Z-Score (BW-10%)]],TRUE)*100,"")</f>
        <v/>
      </c>
      <c r="L2890" s="7" t="str">
        <f>IF(Table1[[#This Row],[Is Data Valid]]=TRUE,_xlfn.NORM.S.DIST(Table1[[#This Row],[Birthweight Z-Score (BW+10%)]],TRUE)*100,"")</f>
        <v/>
      </c>
    </row>
    <row r="2891" spans="1:12" x14ac:dyDescent="0.35">
      <c r="A2891" s="3"/>
      <c r="B2891" s="2"/>
      <c r="C2891" s="2"/>
      <c r="D2891" s="2" t="b">
        <f>IF(AND(NOT(ISBLANK(Table1[[#This Row],[Fetal Sex (Male, Female or Unknown)]])),ISNUMBER(Table1[[#This Row],[Birthweight (grams)]]),ISNUMBER(Table1[[#This Row],[Gestation (days)]])),TRUE,FALSE)</f>
        <v>0</v>
      </c>
      <c r="E2891" s="2" t="str">
        <f>IF(Table1[[#This Row],[Is Data Valid]]=TRUE,IF(Table1[[#This Row],[Fetal Sex (Male, Female or Unknown)]]="Male",Backend!$C$6,IF(Table1[[#This Row],[Fetal Sex (Male, Female or Unknown)]]="Female",Backend!$C$7,IF(Table1[[#This Row],[Fetal Sex (Male, Female or Unknown)]]="Unknown",Backend!$C$8,"Error"))),"")</f>
        <v/>
      </c>
      <c r="F2891" s="8" t="str">
        <f>IF(Table1[[#This Row],[Is Data Valid]]=TRUE,EXP(0.578+0.332*((Table1[[#This Row],[Gestation (days)]]+0.5)/7)-0.00354*((Table1[[#This Row],[Gestation (days)]]+0.5)/7)^2)*Table1[[#This Row],[BW40_3705]],"")</f>
        <v/>
      </c>
      <c r="G2891" s="2" t="str">
        <f>IF(Table1[[#This Row],[Is Data Valid]]=TRUE,((Table1[[#This Row],[Birthweight (grams)]]/Table1[[#This Row],[BW_GA]])-1)/(Backend!$B$4/100*Table1[[#This Row],[BW40_3705]]),"")</f>
        <v/>
      </c>
      <c r="H2891" s="7" t="str">
        <f>IF(Table1[[#This Row],[Is Data Valid]]=TRUE,((Table1[[#This Row],[Birthweight (grams)]]*0.9/Table1[[#This Row],[BW_GA]])-1)/(Backend!$B$4/100*Table1[[#This Row],[BW40_3705]]),"")</f>
        <v/>
      </c>
      <c r="I2891" s="7" t="str">
        <f>IF(Table1[[#This Row],[Is Data Valid]]=TRUE,((Table1[[#This Row],[Birthweight (grams)]]*1.1/Table1[[#This Row],[BW_GA]])-1)/(Backend!$B$4/100*Table1[[#This Row],[BW40_3705]]),"")</f>
        <v/>
      </c>
      <c r="J2891" s="7" t="str">
        <f>IF(Table1[[#This Row],[Is Data Valid]]=TRUE,_xlfn.NORM.S.DIST(Table1[[#This Row],[Birthweight Z-Score]],TRUE)*100,"")</f>
        <v/>
      </c>
      <c r="K2891" s="7" t="str">
        <f>IF(Table1[[#This Row],[Is Data Valid]]=TRUE,_xlfn.NORM.S.DIST(Table1[[#This Row],[Birthweight Z-Score (BW-10%)]],TRUE)*100,"")</f>
        <v/>
      </c>
      <c r="L2891" s="7" t="str">
        <f>IF(Table1[[#This Row],[Is Data Valid]]=TRUE,_xlfn.NORM.S.DIST(Table1[[#This Row],[Birthweight Z-Score (BW+10%)]],TRUE)*100,"")</f>
        <v/>
      </c>
    </row>
    <row r="2892" spans="1:12" x14ac:dyDescent="0.35">
      <c r="A2892" s="3"/>
      <c r="B2892" s="2"/>
      <c r="C2892" s="2"/>
      <c r="D2892" s="2" t="b">
        <f>IF(AND(NOT(ISBLANK(Table1[[#This Row],[Fetal Sex (Male, Female or Unknown)]])),ISNUMBER(Table1[[#This Row],[Birthweight (grams)]]),ISNUMBER(Table1[[#This Row],[Gestation (days)]])),TRUE,FALSE)</f>
        <v>0</v>
      </c>
      <c r="E2892" s="2" t="str">
        <f>IF(Table1[[#This Row],[Is Data Valid]]=TRUE,IF(Table1[[#This Row],[Fetal Sex (Male, Female or Unknown)]]="Male",Backend!$C$6,IF(Table1[[#This Row],[Fetal Sex (Male, Female or Unknown)]]="Female",Backend!$C$7,IF(Table1[[#This Row],[Fetal Sex (Male, Female or Unknown)]]="Unknown",Backend!$C$8,"Error"))),"")</f>
        <v/>
      </c>
      <c r="F2892" s="8" t="str">
        <f>IF(Table1[[#This Row],[Is Data Valid]]=TRUE,EXP(0.578+0.332*((Table1[[#This Row],[Gestation (days)]]+0.5)/7)-0.00354*((Table1[[#This Row],[Gestation (days)]]+0.5)/7)^2)*Table1[[#This Row],[BW40_3705]],"")</f>
        <v/>
      </c>
      <c r="G2892" s="2" t="str">
        <f>IF(Table1[[#This Row],[Is Data Valid]]=TRUE,((Table1[[#This Row],[Birthweight (grams)]]/Table1[[#This Row],[BW_GA]])-1)/(Backend!$B$4/100*Table1[[#This Row],[BW40_3705]]),"")</f>
        <v/>
      </c>
      <c r="H2892" s="7" t="str">
        <f>IF(Table1[[#This Row],[Is Data Valid]]=TRUE,((Table1[[#This Row],[Birthweight (grams)]]*0.9/Table1[[#This Row],[BW_GA]])-1)/(Backend!$B$4/100*Table1[[#This Row],[BW40_3705]]),"")</f>
        <v/>
      </c>
      <c r="I2892" s="7" t="str">
        <f>IF(Table1[[#This Row],[Is Data Valid]]=TRUE,((Table1[[#This Row],[Birthweight (grams)]]*1.1/Table1[[#This Row],[BW_GA]])-1)/(Backend!$B$4/100*Table1[[#This Row],[BW40_3705]]),"")</f>
        <v/>
      </c>
      <c r="J2892" s="7" t="str">
        <f>IF(Table1[[#This Row],[Is Data Valid]]=TRUE,_xlfn.NORM.S.DIST(Table1[[#This Row],[Birthweight Z-Score]],TRUE)*100,"")</f>
        <v/>
      </c>
      <c r="K2892" s="7" t="str">
        <f>IF(Table1[[#This Row],[Is Data Valid]]=TRUE,_xlfn.NORM.S.DIST(Table1[[#This Row],[Birthweight Z-Score (BW-10%)]],TRUE)*100,"")</f>
        <v/>
      </c>
      <c r="L2892" s="7" t="str">
        <f>IF(Table1[[#This Row],[Is Data Valid]]=TRUE,_xlfn.NORM.S.DIST(Table1[[#This Row],[Birthweight Z-Score (BW+10%)]],TRUE)*100,"")</f>
        <v/>
      </c>
    </row>
    <row r="2893" spans="1:12" x14ac:dyDescent="0.35">
      <c r="A2893" s="3"/>
      <c r="B2893" s="2"/>
      <c r="C2893" s="2"/>
      <c r="D2893" s="2" t="b">
        <f>IF(AND(NOT(ISBLANK(Table1[[#This Row],[Fetal Sex (Male, Female or Unknown)]])),ISNUMBER(Table1[[#This Row],[Birthweight (grams)]]),ISNUMBER(Table1[[#This Row],[Gestation (days)]])),TRUE,FALSE)</f>
        <v>0</v>
      </c>
      <c r="E2893" s="2" t="str">
        <f>IF(Table1[[#This Row],[Is Data Valid]]=TRUE,IF(Table1[[#This Row],[Fetal Sex (Male, Female or Unknown)]]="Male",Backend!$C$6,IF(Table1[[#This Row],[Fetal Sex (Male, Female or Unknown)]]="Female",Backend!$C$7,IF(Table1[[#This Row],[Fetal Sex (Male, Female or Unknown)]]="Unknown",Backend!$C$8,"Error"))),"")</f>
        <v/>
      </c>
      <c r="F2893" s="8" t="str">
        <f>IF(Table1[[#This Row],[Is Data Valid]]=TRUE,EXP(0.578+0.332*((Table1[[#This Row],[Gestation (days)]]+0.5)/7)-0.00354*((Table1[[#This Row],[Gestation (days)]]+0.5)/7)^2)*Table1[[#This Row],[BW40_3705]],"")</f>
        <v/>
      </c>
      <c r="G2893" s="2" t="str">
        <f>IF(Table1[[#This Row],[Is Data Valid]]=TRUE,((Table1[[#This Row],[Birthweight (grams)]]/Table1[[#This Row],[BW_GA]])-1)/(Backend!$B$4/100*Table1[[#This Row],[BW40_3705]]),"")</f>
        <v/>
      </c>
      <c r="H2893" s="7" t="str">
        <f>IF(Table1[[#This Row],[Is Data Valid]]=TRUE,((Table1[[#This Row],[Birthweight (grams)]]*0.9/Table1[[#This Row],[BW_GA]])-1)/(Backend!$B$4/100*Table1[[#This Row],[BW40_3705]]),"")</f>
        <v/>
      </c>
      <c r="I2893" s="7" t="str">
        <f>IF(Table1[[#This Row],[Is Data Valid]]=TRUE,((Table1[[#This Row],[Birthweight (grams)]]*1.1/Table1[[#This Row],[BW_GA]])-1)/(Backend!$B$4/100*Table1[[#This Row],[BW40_3705]]),"")</f>
        <v/>
      </c>
      <c r="J2893" s="7" t="str">
        <f>IF(Table1[[#This Row],[Is Data Valid]]=TRUE,_xlfn.NORM.S.DIST(Table1[[#This Row],[Birthweight Z-Score]],TRUE)*100,"")</f>
        <v/>
      </c>
      <c r="K2893" s="7" t="str">
        <f>IF(Table1[[#This Row],[Is Data Valid]]=TRUE,_xlfn.NORM.S.DIST(Table1[[#This Row],[Birthweight Z-Score (BW-10%)]],TRUE)*100,"")</f>
        <v/>
      </c>
      <c r="L2893" s="7" t="str">
        <f>IF(Table1[[#This Row],[Is Data Valid]]=TRUE,_xlfn.NORM.S.DIST(Table1[[#This Row],[Birthweight Z-Score (BW+10%)]],TRUE)*100,"")</f>
        <v/>
      </c>
    </row>
    <row r="2894" spans="1:12" x14ac:dyDescent="0.35">
      <c r="A2894" s="3"/>
      <c r="B2894" s="2"/>
      <c r="C2894" s="2"/>
      <c r="D2894" s="2" t="b">
        <f>IF(AND(NOT(ISBLANK(Table1[[#This Row],[Fetal Sex (Male, Female or Unknown)]])),ISNUMBER(Table1[[#This Row],[Birthweight (grams)]]),ISNUMBER(Table1[[#This Row],[Gestation (days)]])),TRUE,FALSE)</f>
        <v>0</v>
      </c>
      <c r="E2894" s="2" t="str">
        <f>IF(Table1[[#This Row],[Is Data Valid]]=TRUE,IF(Table1[[#This Row],[Fetal Sex (Male, Female or Unknown)]]="Male",Backend!$C$6,IF(Table1[[#This Row],[Fetal Sex (Male, Female or Unknown)]]="Female",Backend!$C$7,IF(Table1[[#This Row],[Fetal Sex (Male, Female or Unknown)]]="Unknown",Backend!$C$8,"Error"))),"")</f>
        <v/>
      </c>
      <c r="F2894" s="8" t="str">
        <f>IF(Table1[[#This Row],[Is Data Valid]]=TRUE,EXP(0.578+0.332*((Table1[[#This Row],[Gestation (days)]]+0.5)/7)-0.00354*((Table1[[#This Row],[Gestation (days)]]+0.5)/7)^2)*Table1[[#This Row],[BW40_3705]],"")</f>
        <v/>
      </c>
      <c r="G2894" s="2" t="str">
        <f>IF(Table1[[#This Row],[Is Data Valid]]=TRUE,((Table1[[#This Row],[Birthweight (grams)]]/Table1[[#This Row],[BW_GA]])-1)/(Backend!$B$4/100*Table1[[#This Row],[BW40_3705]]),"")</f>
        <v/>
      </c>
      <c r="H2894" s="7" t="str">
        <f>IF(Table1[[#This Row],[Is Data Valid]]=TRUE,((Table1[[#This Row],[Birthweight (grams)]]*0.9/Table1[[#This Row],[BW_GA]])-1)/(Backend!$B$4/100*Table1[[#This Row],[BW40_3705]]),"")</f>
        <v/>
      </c>
      <c r="I2894" s="7" t="str">
        <f>IF(Table1[[#This Row],[Is Data Valid]]=TRUE,((Table1[[#This Row],[Birthweight (grams)]]*1.1/Table1[[#This Row],[BW_GA]])-1)/(Backend!$B$4/100*Table1[[#This Row],[BW40_3705]]),"")</f>
        <v/>
      </c>
      <c r="J2894" s="7" t="str">
        <f>IF(Table1[[#This Row],[Is Data Valid]]=TRUE,_xlfn.NORM.S.DIST(Table1[[#This Row],[Birthweight Z-Score]],TRUE)*100,"")</f>
        <v/>
      </c>
      <c r="K2894" s="7" t="str">
        <f>IF(Table1[[#This Row],[Is Data Valid]]=TRUE,_xlfn.NORM.S.DIST(Table1[[#This Row],[Birthweight Z-Score (BW-10%)]],TRUE)*100,"")</f>
        <v/>
      </c>
      <c r="L2894" s="7" t="str">
        <f>IF(Table1[[#This Row],[Is Data Valid]]=TRUE,_xlfn.NORM.S.DIST(Table1[[#This Row],[Birthweight Z-Score (BW+10%)]],TRUE)*100,"")</f>
        <v/>
      </c>
    </row>
    <row r="2895" spans="1:12" x14ac:dyDescent="0.35">
      <c r="A2895" s="3"/>
      <c r="B2895" s="2"/>
      <c r="C2895" s="2"/>
      <c r="D2895" s="2" t="b">
        <f>IF(AND(NOT(ISBLANK(Table1[[#This Row],[Fetal Sex (Male, Female or Unknown)]])),ISNUMBER(Table1[[#This Row],[Birthweight (grams)]]),ISNUMBER(Table1[[#This Row],[Gestation (days)]])),TRUE,FALSE)</f>
        <v>0</v>
      </c>
      <c r="E2895" s="2" t="str">
        <f>IF(Table1[[#This Row],[Is Data Valid]]=TRUE,IF(Table1[[#This Row],[Fetal Sex (Male, Female or Unknown)]]="Male",Backend!$C$6,IF(Table1[[#This Row],[Fetal Sex (Male, Female or Unknown)]]="Female",Backend!$C$7,IF(Table1[[#This Row],[Fetal Sex (Male, Female or Unknown)]]="Unknown",Backend!$C$8,"Error"))),"")</f>
        <v/>
      </c>
      <c r="F2895" s="8" t="str">
        <f>IF(Table1[[#This Row],[Is Data Valid]]=TRUE,EXP(0.578+0.332*((Table1[[#This Row],[Gestation (days)]]+0.5)/7)-0.00354*((Table1[[#This Row],[Gestation (days)]]+0.5)/7)^2)*Table1[[#This Row],[BW40_3705]],"")</f>
        <v/>
      </c>
      <c r="G2895" s="2" t="str">
        <f>IF(Table1[[#This Row],[Is Data Valid]]=TRUE,((Table1[[#This Row],[Birthweight (grams)]]/Table1[[#This Row],[BW_GA]])-1)/(Backend!$B$4/100*Table1[[#This Row],[BW40_3705]]),"")</f>
        <v/>
      </c>
      <c r="H2895" s="7" t="str">
        <f>IF(Table1[[#This Row],[Is Data Valid]]=TRUE,((Table1[[#This Row],[Birthweight (grams)]]*0.9/Table1[[#This Row],[BW_GA]])-1)/(Backend!$B$4/100*Table1[[#This Row],[BW40_3705]]),"")</f>
        <v/>
      </c>
      <c r="I2895" s="7" t="str">
        <f>IF(Table1[[#This Row],[Is Data Valid]]=TRUE,((Table1[[#This Row],[Birthweight (grams)]]*1.1/Table1[[#This Row],[BW_GA]])-1)/(Backend!$B$4/100*Table1[[#This Row],[BW40_3705]]),"")</f>
        <v/>
      </c>
      <c r="J2895" s="7" t="str">
        <f>IF(Table1[[#This Row],[Is Data Valid]]=TRUE,_xlfn.NORM.S.DIST(Table1[[#This Row],[Birthweight Z-Score]],TRUE)*100,"")</f>
        <v/>
      </c>
      <c r="K2895" s="7" t="str">
        <f>IF(Table1[[#This Row],[Is Data Valid]]=TRUE,_xlfn.NORM.S.DIST(Table1[[#This Row],[Birthweight Z-Score (BW-10%)]],TRUE)*100,"")</f>
        <v/>
      </c>
      <c r="L2895" s="7" t="str">
        <f>IF(Table1[[#This Row],[Is Data Valid]]=TRUE,_xlfn.NORM.S.DIST(Table1[[#This Row],[Birthweight Z-Score (BW+10%)]],TRUE)*100,"")</f>
        <v/>
      </c>
    </row>
    <row r="2896" spans="1:12" x14ac:dyDescent="0.35">
      <c r="A2896" s="3"/>
      <c r="B2896" s="2"/>
      <c r="C2896" s="2"/>
      <c r="D2896" s="2" t="b">
        <f>IF(AND(NOT(ISBLANK(Table1[[#This Row],[Fetal Sex (Male, Female or Unknown)]])),ISNUMBER(Table1[[#This Row],[Birthweight (grams)]]),ISNUMBER(Table1[[#This Row],[Gestation (days)]])),TRUE,FALSE)</f>
        <v>0</v>
      </c>
      <c r="E2896" s="2" t="str">
        <f>IF(Table1[[#This Row],[Is Data Valid]]=TRUE,IF(Table1[[#This Row],[Fetal Sex (Male, Female or Unknown)]]="Male",Backend!$C$6,IF(Table1[[#This Row],[Fetal Sex (Male, Female or Unknown)]]="Female",Backend!$C$7,IF(Table1[[#This Row],[Fetal Sex (Male, Female or Unknown)]]="Unknown",Backend!$C$8,"Error"))),"")</f>
        <v/>
      </c>
      <c r="F2896" s="8" t="str">
        <f>IF(Table1[[#This Row],[Is Data Valid]]=TRUE,EXP(0.578+0.332*((Table1[[#This Row],[Gestation (days)]]+0.5)/7)-0.00354*((Table1[[#This Row],[Gestation (days)]]+0.5)/7)^2)*Table1[[#This Row],[BW40_3705]],"")</f>
        <v/>
      </c>
      <c r="G2896" s="2" t="str">
        <f>IF(Table1[[#This Row],[Is Data Valid]]=TRUE,((Table1[[#This Row],[Birthweight (grams)]]/Table1[[#This Row],[BW_GA]])-1)/(Backend!$B$4/100*Table1[[#This Row],[BW40_3705]]),"")</f>
        <v/>
      </c>
      <c r="H2896" s="7" t="str">
        <f>IF(Table1[[#This Row],[Is Data Valid]]=TRUE,((Table1[[#This Row],[Birthweight (grams)]]*0.9/Table1[[#This Row],[BW_GA]])-1)/(Backend!$B$4/100*Table1[[#This Row],[BW40_3705]]),"")</f>
        <v/>
      </c>
      <c r="I2896" s="7" t="str">
        <f>IF(Table1[[#This Row],[Is Data Valid]]=TRUE,((Table1[[#This Row],[Birthweight (grams)]]*1.1/Table1[[#This Row],[BW_GA]])-1)/(Backend!$B$4/100*Table1[[#This Row],[BW40_3705]]),"")</f>
        <v/>
      </c>
      <c r="J2896" s="7" t="str">
        <f>IF(Table1[[#This Row],[Is Data Valid]]=TRUE,_xlfn.NORM.S.DIST(Table1[[#This Row],[Birthweight Z-Score]],TRUE)*100,"")</f>
        <v/>
      </c>
      <c r="K2896" s="7" t="str">
        <f>IF(Table1[[#This Row],[Is Data Valid]]=TRUE,_xlfn.NORM.S.DIST(Table1[[#This Row],[Birthweight Z-Score (BW-10%)]],TRUE)*100,"")</f>
        <v/>
      </c>
      <c r="L2896" s="7" t="str">
        <f>IF(Table1[[#This Row],[Is Data Valid]]=TRUE,_xlfn.NORM.S.DIST(Table1[[#This Row],[Birthweight Z-Score (BW+10%)]],TRUE)*100,"")</f>
        <v/>
      </c>
    </row>
    <row r="2897" spans="1:12" x14ac:dyDescent="0.35">
      <c r="A2897" s="3"/>
      <c r="B2897" s="2"/>
      <c r="C2897" s="2"/>
      <c r="D2897" s="2" t="b">
        <f>IF(AND(NOT(ISBLANK(Table1[[#This Row],[Fetal Sex (Male, Female or Unknown)]])),ISNUMBER(Table1[[#This Row],[Birthweight (grams)]]),ISNUMBER(Table1[[#This Row],[Gestation (days)]])),TRUE,FALSE)</f>
        <v>0</v>
      </c>
      <c r="E2897" s="2" t="str">
        <f>IF(Table1[[#This Row],[Is Data Valid]]=TRUE,IF(Table1[[#This Row],[Fetal Sex (Male, Female or Unknown)]]="Male",Backend!$C$6,IF(Table1[[#This Row],[Fetal Sex (Male, Female or Unknown)]]="Female",Backend!$C$7,IF(Table1[[#This Row],[Fetal Sex (Male, Female or Unknown)]]="Unknown",Backend!$C$8,"Error"))),"")</f>
        <v/>
      </c>
      <c r="F2897" s="8" t="str">
        <f>IF(Table1[[#This Row],[Is Data Valid]]=TRUE,EXP(0.578+0.332*((Table1[[#This Row],[Gestation (days)]]+0.5)/7)-0.00354*((Table1[[#This Row],[Gestation (days)]]+0.5)/7)^2)*Table1[[#This Row],[BW40_3705]],"")</f>
        <v/>
      </c>
      <c r="G2897" s="2" t="str">
        <f>IF(Table1[[#This Row],[Is Data Valid]]=TRUE,((Table1[[#This Row],[Birthweight (grams)]]/Table1[[#This Row],[BW_GA]])-1)/(Backend!$B$4/100*Table1[[#This Row],[BW40_3705]]),"")</f>
        <v/>
      </c>
      <c r="H2897" s="7" t="str">
        <f>IF(Table1[[#This Row],[Is Data Valid]]=TRUE,((Table1[[#This Row],[Birthweight (grams)]]*0.9/Table1[[#This Row],[BW_GA]])-1)/(Backend!$B$4/100*Table1[[#This Row],[BW40_3705]]),"")</f>
        <v/>
      </c>
      <c r="I2897" s="7" t="str">
        <f>IF(Table1[[#This Row],[Is Data Valid]]=TRUE,((Table1[[#This Row],[Birthweight (grams)]]*1.1/Table1[[#This Row],[BW_GA]])-1)/(Backend!$B$4/100*Table1[[#This Row],[BW40_3705]]),"")</f>
        <v/>
      </c>
      <c r="J2897" s="7" t="str">
        <f>IF(Table1[[#This Row],[Is Data Valid]]=TRUE,_xlfn.NORM.S.DIST(Table1[[#This Row],[Birthweight Z-Score]],TRUE)*100,"")</f>
        <v/>
      </c>
      <c r="K2897" s="7" t="str">
        <f>IF(Table1[[#This Row],[Is Data Valid]]=TRUE,_xlfn.NORM.S.DIST(Table1[[#This Row],[Birthweight Z-Score (BW-10%)]],TRUE)*100,"")</f>
        <v/>
      </c>
      <c r="L2897" s="7" t="str">
        <f>IF(Table1[[#This Row],[Is Data Valid]]=TRUE,_xlfn.NORM.S.DIST(Table1[[#This Row],[Birthweight Z-Score (BW+10%)]],TRUE)*100,"")</f>
        <v/>
      </c>
    </row>
    <row r="2898" spans="1:12" x14ac:dyDescent="0.35">
      <c r="A2898" s="3"/>
      <c r="B2898" s="2"/>
      <c r="C2898" s="2"/>
      <c r="D2898" s="2" t="b">
        <f>IF(AND(NOT(ISBLANK(Table1[[#This Row],[Fetal Sex (Male, Female or Unknown)]])),ISNUMBER(Table1[[#This Row],[Birthweight (grams)]]),ISNUMBER(Table1[[#This Row],[Gestation (days)]])),TRUE,FALSE)</f>
        <v>0</v>
      </c>
      <c r="E2898" s="2" t="str">
        <f>IF(Table1[[#This Row],[Is Data Valid]]=TRUE,IF(Table1[[#This Row],[Fetal Sex (Male, Female or Unknown)]]="Male",Backend!$C$6,IF(Table1[[#This Row],[Fetal Sex (Male, Female or Unknown)]]="Female",Backend!$C$7,IF(Table1[[#This Row],[Fetal Sex (Male, Female or Unknown)]]="Unknown",Backend!$C$8,"Error"))),"")</f>
        <v/>
      </c>
      <c r="F2898" s="8" t="str">
        <f>IF(Table1[[#This Row],[Is Data Valid]]=TRUE,EXP(0.578+0.332*((Table1[[#This Row],[Gestation (days)]]+0.5)/7)-0.00354*((Table1[[#This Row],[Gestation (days)]]+0.5)/7)^2)*Table1[[#This Row],[BW40_3705]],"")</f>
        <v/>
      </c>
      <c r="G2898" s="2" t="str">
        <f>IF(Table1[[#This Row],[Is Data Valid]]=TRUE,((Table1[[#This Row],[Birthweight (grams)]]/Table1[[#This Row],[BW_GA]])-1)/(Backend!$B$4/100*Table1[[#This Row],[BW40_3705]]),"")</f>
        <v/>
      </c>
      <c r="H2898" s="7" t="str">
        <f>IF(Table1[[#This Row],[Is Data Valid]]=TRUE,((Table1[[#This Row],[Birthweight (grams)]]*0.9/Table1[[#This Row],[BW_GA]])-1)/(Backend!$B$4/100*Table1[[#This Row],[BW40_3705]]),"")</f>
        <v/>
      </c>
      <c r="I2898" s="7" t="str">
        <f>IF(Table1[[#This Row],[Is Data Valid]]=TRUE,((Table1[[#This Row],[Birthweight (grams)]]*1.1/Table1[[#This Row],[BW_GA]])-1)/(Backend!$B$4/100*Table1[[#This Row],[BW40_3705]]),"")</f>
        <v/>
      </c>
      <c r="J2898" s="7" t="str">
        <f>IF(Table1[[#This Row],[Is Data Valid]]=TRUE,_xlfn.NORM.S.DIST(Table1[[#This Row],[Birthweight Z-Score]],TRUE)*100,"")</f>
        <v/>
      </c>
      <c r="K2898" s="7" t="str">
        <f>IF(Table1[[#This Row],[Is Data Valid]]=TRUE,_xlfn.NORM.S.DIST(Table1[[#This Row],[Birthweight Z-Score (BW-10%)]],TRUE)*100,"")</f>
        <v/>
      </c>
      <c r="L2898" s="7" t="str">
        <f>IF(Table1[[#This Row],[Is Data Valid]]=TRUE,_xlfn.NORM.S.DIST(Table1[[#This Row],[Birthweight Z-Score (BW+10%)]],TRUE)*100,"")</f>
        <v/>
      </c>
    </row>
    <row r="2899" spans="1:12" x14ac:dyDescent="0.35">
      <c r="A2899" s="3"/>
      <c r="B2899" s="2"/>
      <c r="C2899" s="2"/>
      <c r="D2899" s="2" t="b">
        <f>IF(AND(NOT(ISBLANK(Table1[[#This Row],[Fetal Sex (Male, Female or Unknown)]])),ISNUMBER(Table1[[#This Row],[Birthweight (grams)]]),ISNUMBER(Table1[[#This Row],[Gestation (days)]])),TRUE,FALSE)</f>
        <v>0</v>
      </c>
      <c r="E2899" s="2" t="str">
        <f>IF(Table1[[#This Row],[Is Data Valid]]=TRUE,IF(Table1[[#This Row],[Fetal Sex (Male, Female or Unknown)]]="Male",Backend!$C$6,IF(Table1[[#This Row],[Fetal Sex (Male, Female or Unknown)]]="Female",Backend!$C$7,IF(Table1[[#This Row],[Fetal Sex (Male, Female or Unknown)]]="Unknown",Backend!$C$8,"Error"))),"")</f>
        <v/>
      </c>
      <c r="F2899" s="8" t="str">
        <f>IF(Table1[[#This Row],[Is Data Valid]]=TRUE,EXP(0.578+0.332*((Table1[[#This Row],[Gestation (days)]]+0.5)/7)-0.00354*((Table1[[#This Row],[Gestation (days)]]+0.5)/7)^2)*Table1[[#This Row],[BW40_3705]],"")</f>
        <v/>
      </c>
      <c r="G2899" s="2" t="str">
        <f>IF(Table1[[#This Row],[Is Data Valid]]=TRUE,((Table1[[#This Row],[Birthweight (grams)]]/Table1[[#This Row],[BW_GA]])-1)/(Backend!$B$4/100*Table1[[#This Row],[BW40_3705]]),"")</f>
        <v/>
      </c>
      <c r="H2899" s="7" t="str">
        <f>IF(Table1[[#This Row],[Is Data Valid]]=TRUE,((Table1[[#This Row],[Birthweight (grams)]]*0.9/Table1[[#This Row],[BW_GA]])-1)/(Backend!$B$4/100*Table1[[#This Row],[BW40_3705]]),"")</f>
        <v/>
      </c>
      <c r="I2899" s="7" t="str">
        <f>IF(Table1[[#This Row],[Is Data Valid]]=TRUE,((Table1[[#This Row],[Birthweight (grams)]]*1.1/Table1[[#This Row],[BW_GA]])-1)/(Backend!$B$4/100*Table1[[#This Row],[BW40_3705]]),"")</f>
        <v/>
      </c>
      <c r="J2899" s="7" t="str">
        <f>IF(Table1[[#This Row],[Is Data Valid]]=TRUE,_xlfn.NORM.S.DIST(Table1[[#This Row],[Birthweight Z-Score]],TRUE)*100,"")</f>
        <v/>
      </c>
      <c r="K2899" s="7" t="str">
        <f>IF(Table1[[#This Row],[Is Data Valid]]=TRUE,_xlfn.NORM.S.DIST(Table1[[#This Row],[Birthweight Z-Score (BW-10%)]],TRUE)*100,"")</f>
        <v/>
      </c>
      <c r="L2899" s="7" t="str">
        <f>IF(Table1[[#This Row],[Is Data Valid]]=TRUE,_xlfn.NORM.S.DIST(Table1[[#This Row],[Birthweight Z-Score (BW+10%)]],TRUE)*100,"")</f>
        <v/>
      </c>
    </row>
    <row r="2900" spans="1:12" x14ac:dyDescent="0.35">
      <c r="A2900" s="3"/>
      <c r="B2900" s="2"/>
      <c r="C2900" s="2"/>
      <c r="D2900" s="2" t="b">
        <f>IF(AND(NOT(ISBLANK(Table1[[#This Row],[Fetal Sex (Male, Female or Unknown)]])),ISNUMBER(Table1[[#This Row],[Birthweight (grams)]]),ISNUMBER(Table1[[#This Row],[Gestation (days)]])),TRUE,FALSE)</f>
        <v>0</v>
      </c>
      <c r="E2900" s="2" t="str">
        <f>IF(Table1[[#This Row],[Is Data Valid]]=TRUE,IF(Table1[[#This Row],[Fetal Sex (Male, Female or Unknown)]]="Male",Backend!$C$6,IF(Table1[[#This Row],[Fetal Sex (Male, Female or Unknown)]]="Female",Backend!$C$7,IF(Table1[[#This Row],[Fetal Sex (Male, Female or Unknown)]]="Unknown",Backend!$C$8,"Error"))),"")</f>
        <v/>
      </c>
      <c r="F2900" s="8" t="str">
        <f>IF(Table1[[#This Row],[Is Data Valid]]=TRUE,EXP(0.578+0.332*((Table1[[#This Row],[Gestation (days)]]+0.5)/7)-0.00354*((Table1[[#This Row],[Gestation (days)]]+0.5)/7)^2)*Table1[[#This Row],[BW40_3705]],"")</f>
        <v/>
      </c>
      <c r="G2900" s="2" t="str">
        <f>IF(Table1[[#This Row],[Is Data Valid]]=TRUE,((Table1[[#This Row],[Birthweight (grams)]]/Table1[[#This Row],[BW_GA]])-1)/(Backend!$B$4/100*Table1[[#This Row],[BW40_3705]]),"")</f>
        <v/>
      </c>
      <c r="H2900" s="7" t="str">
        <f>IF(Table1[[#This Row],[Is Data Valid]]=TRUE,((Table1[[#This Row],[Birthweight (grams)]]*0.9/Table1[[#This Row],[BW_GA]])-1)/(Backend!$B$4/100*Table1[[#This Row],[BW40_3705]]),"")</f>
        <v/>
      </c>
      <c r="I2900" s="7" t="str">
        <f>IF(Table1[[#This Row],[Is Data Valid]]=TRUE,((Table1[[#This Row],[Birthweight (grams)]]*1.1/Table1[[#This Row],[BW_GA]])-1)/(Backend!$B$4/100*Table1[[#This Row],[BW40_3705]]),"")</f>
        <v/>
      </c>
      <c r="J2900" s="7" t="str">
        <f>IF(Table1[[#This Row],[Is Data Valid]]=TRUE,_xlfn.NORM.S.DIST(Table1[[#This Row],[Birthweight Z-Score]],TRUE)*100,"")</f>
        <v/>
      </c>
      <c r="K2900" s="7" t="str">
        <f>IF(Table1[[#This Row],[Is Data Valid]]=TRUE,_xlfn.NORM.S.DIST(Table1[[#This Row],[Birthweight Z-Score (BW-10%)]],TRUE)*100,"")</f>
        <v/>
      </c>
      <c r="L2900" s="7" t="str">
        <f>IF(Table1[[#This Row],[Is Data Valid]]=TRUE,_xlfn.NORM.S.DIST(Table1[[#This Row],[Birthweight Z-Score (BW+10%)]],TRUE)*100,"")</f>
        <v/>
      </c>
    </row>
    <row r="2901" spans="1:12" x14ac:dyDescent="0.35">
      <c r="A2901" s="3"/>
      <c r="B2901" s="2"/>
      <c r="C2901" s="2"/>
      <c r="D2901" s="2" t="b">
        <f>IF(AND(NOT(ISBLANK(Table1[[#This Row],[Fetal Sex (Male, Female or Unknown)]])),ISNUMBER(Table1[[#This Row],[Birthweight (grams)]]),ISNUMBER(Table1[[#This Row],[Gestation (days)]])),TRUE,FALSE)</f>
        <v>0</v>
      </c>
      <c r="E2901" s="2" t="str">
        <f>IF(Table1[[#This Row],[Is Data Valid]]=TRUE,IF(Table1[[#This Row],[Fetal Sex (Male, Female or Unknown)]]="Male",Backend!$C$6,IF(Table1[[#This Row],[Fetal Sex (Male, Female or Unknown)]]="Female",Backend!$C$7,IF(Table1[[#This Row],[Fetal Sex (Male, Female or Unknown)]]="Unknown",Backend!$C$8,"Error"))),"")</f>
        <v/>
      </c>
      <c r="F2901" s="8" t="str">
        <f>IF(Table1[[#This Row],[Is Data Valid]]=TRUE,EXP(0.578+0.332*((Table1[[#This Row],[Gestation (days)]]+0.5)/7)-0.00354*((Table1[[#This Row],[Gestation (days)]]+0.5)/7)^2)*Table1[[#This Row],[BW40_3705]],"")</f>
        <v/>
      </c>
      <c r="G2901" s="2" t="str">
        <f>IF(Table1[[#This Row],[Is Data Valid]]=TRUE,((Table1[[#This Row],[Birthweight (grams)]]/Table1[[#This Row],[BW_GA]])-1)/(Backend!$B$4/100*Table1[[#This Row],[BW40_3705]]),"")</f>
        <v/>
      </c>
      <c r="H2901" s="7" t="str">
        <f>IF(Table1[[#This Row],[Is Data Valid]]=TRUE,((Table1[[#This Row],[Birthweight (grams)]]*0.9/Table1[[#This Row],[BW_GA]])-1)/(Backend!$B$4/100*Table1[[#This Row],[BW40_3705]]),"")</f>
        <v/>
      </c>
      <c r="I2901" s="7" t="str">
        <f>IF(Table1[[#This Row],[Is Data Valid]]=TRUE,((Table1[[#This Row],[Birthweight (grams)]]*1.1/Table1[[#This Row],[BW_GA]])-1)/(Backend!$B$4/100*Table1[[#This Row],[BW40_3705]]),"")</f>
        <v/>
      </c>
      <c r="J2901" s="7" t="str">
        <f>IF(Table1[[#This Row],[Is Data Valid]]=TRUE,_xlfn.NORM.S.DIST(Table1[[#This Row],[Birthweight Z-Score]],TRUE)*100,"")</f>
        <v/>
      </c>
      <c r="K2901" s="7" t="str">
        <f>IF(Table1[[#This Row],[Is Data Valid]]=TRUE,_xlfn.NORM.S.DIST(Table1[[#This Row],[Birthweight Z-Score (BW-10%)]],TRUE)*100,"")</f>
        <v/>
      </c>
      <c r="L2901" s="7" t="str">
        <f>IF(Table1[[#This Row],[Is Data Valid]]=TRUE,_xlfn.NORM.S.DIST(Table1[[#This Row],[Birthweight Z-Score (BW+10%)]],TRUE)*100,"")</f>
        <v/>
      </c>
    </row>
    <row r="2902" spans="1:12" x14ac:dyDescent="0.35">
      <c r="A2902" s="3"/>
      <c r="B2902" s="2"/>
      <c r="C2902" s="2"/>
      <c r="D2902" s="2" t="b">
        <f>IF(AND(NOT(ISBLANK(Table1[[#This Row],[Fetal Sex (Male, Female or Unknown)]])),ISNUMBER(Table1[[#This Row],[Birthweight (grams)]]),ISNUMBER(Table1[[#This Row],[Gestation (days)]])),TRUE,FALSE)</f>
        <v>0</v>
      </c>
      <c r="E2902" s="2" t="str">
        <f>IF(Table1[[#This Row],[Is Data Valid]]=TRUE,IF(Table1[[#This Row],[Fetal Sex (Male, Female or Unknown)]]="Male",Backend!$C$6,IF(Table1[[#This Row],[Fetal Sex (Male, Female or Unknown)]]="Female",Backend!$C$7,IF(Table1[[#This Row],[Fetal Sex (Male, Female or Unknown)]]="Unknown",Backend!$C$8,"Error"))),"")</f>
        <v/>
      </c>
      <c r="F2902" s="8" t="str">
        <f>IF(Table1[[#This Row],[Is Data Valid]]=TRUE,EXP(0.578+0.332*((Table1[[#This Row],[Gestation (days)]]+0.5)/7)-0.00354*((Table1[[#This Row],[Gestation (days)]]+0.5)/7)^2)*Table1[[#This Row],[BW40_3705]],"")</f>
        <v/>
      </c>
      <c r="G2902" s="2" t="str">
        <f>IF(Table1[[#This Row],[Is Data Valid]]=TRUE,((Table1[[#This Row],[Birthweight (grams)]]/Table1[[#This Row],[BW_GA]])-1)/(Backend!$B$4/100*Table1[[#This Row],[BW40_3705]]),"")</f>
        <v/>
      </c>
      <c r="H2902" s="7" t="str">
        <f>IF(Table1[[#This Row],[Is Data Valid]]=TRUE,((Table1[[#This Row],[Birthweight (grams)]]*0.9/Table1[[#This Row],[BW_GA]])-1)/(Backend!$B$4/100*Table1[[#This Row],[BW40_3705]]),"")</f>
        <v/>
      </c>
      <c r="I2902" s="7" t="str">
        <f>IF(Table1[[#This Row],[Is Data Valid]]=TRUE,((Table1[[#This Row],[Birthweight (grams)]]*1.1/Table1[[#This Row],[BW_GA]])-1)/(Backend!$B$4/100*Table1[[#This Row],[BW40_3705]]),"")</f>
        <v/>
      </c>
      <c r="J2902" s="7" t="str">
        <f>IF(Table1[[#This Row],[Is Data Valid]]=TRUE,_xlfn.NORM.S.DIST(Table1[[#This Row],[Birthweight Z-Score]],TRUE)*100,"")</f>
        <v/>
      </c>
      <c r="K2902" s="7" t="str">
        <f>IF(Table1[[#This Row],[Is Data Valid]]=TRUE,_xlfn.NORM.S.DIST(Table1[[#This Row],[Birthweight Z-Score (BW-10%)]],TRUE)*100,"")</f>
        <v/>
      </c>
      <c r="L2902" s="7" t="str">
        <f>IF(Table1[[#This Row],[Is Data Valid]]=TRUE,_xlfn.NORM.S.DIST(Table1[[#This Row],[Birthweight Z-Score (BW+10%)]],TRUE)*100,"")</f>
        <v/>
      </c>
    </row>
    <row r="2903" spans="1:12" x14ac:dyDescent="0.35">
      <c r="A2903" s="3"/>
      <c r="B2903" s="2"/>
      <c r="C2903" s="2"/>
      <c r="D2903" s="2" t="b">
        <f>IF(AND(NOT(ISBLANK(Table1[[#This Row],[Fetal Sex (Male, Female or Unknown)]])),ISNUMBER(Table1[[#This Row],[Birthweight (grams)]]),ISNUMBER(Table1[[#This Row],[Gestation (days)]])),TRUE,FALSE)</f>
        <v>0</v>
      </c>
      <c r="E2903" s="2" t="str">
        <f>IF(Table1[[#This Row],[Is Data Valid]]=TRUE,IF(Table1[[#This Row],[Fetal Sex (Male, Female or Unknown)]]="Male",Backend!$C$6,IF(Table1[[#This Row],[Fetal Sex (Male, Female or Unknown)]]="Female",Backend!$C$7,IF(Table1[[#This Row],[Fetal Sex (Male, Female or Unknown)]]="Unknown",Backend!$C$8,"Error"))),"")</f>
        <v/>
      </c>
      <c r="F2903" s="8" t="str">
        <f>IF(Table1[[#This Row],[Is Data Valid]]=TRUE,EXP(0.578+0.332*((Table1[[#This Row],[Gestation (days)]]+0.5)/7)-0.00354*((Table1[[#This Row],[Gestation (days)]]+0.5)/7)^2)*Table1[[#This Row],[BW40_3705]],"")</f>
        <v/>
      </c>
      <c r="G2903" s="2" t="str">
        <f>IF(Table1[[#This Row],[Is Data Valid]]=TRUE,((Table1[[#This Row],[Birthweight (grams)]]/Table1[[#This Row],[BW_GA]])-1)/(Backend!$B$4/100*Table1[[#This Row],[BW40_3705]]),"")</f>
        <v/>
      </c>
      <c r="H2903" s="7" t="str">
        <f>IF(Table1[[#This Row],[Is Data Valid]]=TRUE,((Table1[[#This Row],[Birthweight (grams)]]*0.9/Table1[[#This Row],[BW_GA]])-1)/(Backend!$B$4/100*Table1[[#This Row],[BW40_3705]]),"")</f>
        <v/>
      </c>
      <c r="I2903" s="7" t="str">
        <f>IF(Table1[[#This Row],[Is Data Valid]]=TRUE,((Table1[[#This Row],[Birthweight (grams)]]*1.1/Table1[[#This Row],[BW_GA]])-1)/(Backend!$B$4/100*Table1[[#This Row],[BW40_3705]]),"")</f>
        <v/>
      </c>
      <c r="J2903" s="7" t="str">
        <f>IF(Table1[[#This Row],[Is Data Valid]]=TRUE,_xlfn.NORM.S.DIST(Table1[[#This Row],[Birthweight Z-Score]],TRUE)*100,"")</f>
        <v/>
      </c>
      <c r="K2903" s="7" t="str">
        <f>IF(Table1[[#This Row],[Is Data Valid]]=TRUE,_xlfn.NORM.S.DIST(Table1[[#This Row],[Birthweight Z-Score (BW-10%)]],TRUE)*100,"")</f>
        <v/>
      </c>
      <c r="L2903" s="7" t="str">
        <f>IF(Table1[[#This Row],[Is Data Valid]]=TRUE,_xlfn.NORM.S.DIST(Table1[[#This Row],[Birthweight Z-Score (BW+10%)]],TRUE)*100,"")</f>
        <v/>
      </c>
    </row>
    <row r="2904" spans="1:12" x14ac:dyDescent="0.35">
      <c r="A2904" s="3"/>
      <c r="B2904" s="2"/>
      <c r="C2904" s="2"/>
      <c r="D2904" s="2" t="b">
        <f>IF(AND(NOT(ISBLANK(Table1[[#This Row],[Fetal Sex (Male, Female or Unknown)]])),ISNUMBER(Table1[[#This Row],[Birthweight (grams)]]),ISNUMBER(Table1[[#This Row],[Gestation (days)]])),TRUE,FALSE)</f>
        <v>0</v>
      </c>
      <c r="E2904" s="2" t="str">
        <f>IF(Table1[[#This Row],[Is Data Valid]]=TRUE,IF(Table1[[#This Row],[Fetal Sex (Male, Female or Unknown)]]="Male",Backend!$C$6,IF(Table1[[#This Row],[Fetal Sex (Male, Female or Unknown)]]="Female",Backend!$C$7,IF(Table1[[#This Row],[Fetal Sex (Male, Female or Unknown)]]="Unknown",Backend!$C$8,"Error"))),"")</f>
        <v/>
      </c>
      <c r="F2904" s="8" t="str">
        <f>IF(Table1[[#This Row],[Is Data Valid]]=TRUE,EXP(0.578+0.332*((Table1[[#This Row],[Gestation (days)]]+0.5)/7)-0.00354*((Table1[[#This Row],[Gestation (days)]]+0.5)/7)^2)*Table1[[#This Row],[BW40_3705]],"")</f>
        <v/>
      </c>
      <c r="G2904" s="2" t="str">
        <f>IF(Table1[[#This Row],[Is Data Valid]]=TRUE,((Table1[[#This Row],[Birthweight (grams)]]/Table1[[#This Row],[BW_GA]])-1)/(Backend!$B$4/100*Table1[[#This Row],[BW40_3705]]),"")</f>
        <v/>
      </c>
      <c r="H2904" s="7" t="str">
        <f>IF(Table1[[#This Row],[Is Data Valid]]=TRUE,((Table1[[#This Row],[Birthweight (grams)]]*0.9/Table1[[#This Row],[BW_GA]])-1)/(Backend!$B$4/100*Table1[[#This Row],[BW40_3705]]),"")</f>
        <v/>
      </c>
      <c r="I2904" s="7" t="str">
        <f>IF(Table1[[#This Row],[Is Data Valid]]=TRUE,((Table1[[#This Row],[Birthweight (grams)]]*1.1/Table1[[#This Row],[BW_GA]])-1)/(Backend!$B$4/100*Table1[[#This Row],[BW40_3705]]),"")</f>
        <v/>
      </c>
      <c r="J2904" s="7" t="str">
        <f>IF(Table1[[#This Row],[Is Data Valid]]=TRUE,_xlfn.NORM.S.DIST(Table1[[#This Row],[Birthweight Z-Score]],TRUE)*100,"")</f>
        <v/>
      </c>
      <c r="K2904" s="7" t="str">
        <f>IF(Table1[[#This Row],[Is Data Valid]]=TRUE,_xlfn.NORM.S.DIST(Table1[[#This Row],[Birthweight Z-Score (BW-10%)]],TRUE)*100,"")</f>
        <v/>
      </c>
      <c r="L2904" s="7" t="str">
        <f>IF(Table1[[#This Row],[Is Data Valid]]=TRUE,_xlfn.NORM.S.DIST(Table1[[#This Row],[Birthweight Z-Score (BW+10%)]],TRUE)*100,"")</f>
        <v/>
      </c>
    </row>
    <row r="2905" spans="1:12" x14ac:dyDescent="0.35">
      <c r="A2905" s="3"/>
      <c r="B2905" s="2"/>
      <c r="C2905" s="2"/>
      <c r="D2905" s="2" t="b">
        <f>IF(AND(NOT(ISBLANK(Table1[[#This Row],[Fetal Sex (Male, Female or Unknown)]])),ISNUMBER(Table1[[#This Row],[Birthweight (grams)]]),ISNUMBER(Table1[[#This Row],[Gestation (days)]])),TRUE,FALSE)</f>
        <v>0</v>
      </c>
      <c r="E2905" s="2" t="str">
        <f>IF(Table1[[#This Row],[Is Data Valid]]=TRUE,IF(Table1[[#This Row],[Fetal Sex (Male, Female or Unknown)]]="Male",Backend!$C$6,IF(Table1[[#This Row],[Fetal Sex (Male, Female or Unknown)]]="Female",Backend!$C$7,IF(Table1[[#This Row],[Fetal Sex (Male, Female or Unknown)]]="Unknown",Backend!$C$8,"Error"))),"")</f>
        <v/>
      </c>
      <c r="F2905" s="8" t="str">
        <f>IF(Table1[[#This Row],[Is Data Valid]]=TRUE,EXP(0.578+0.332*((Table1[[#This Row],[Gestation (days)]]+0.5)/7)-0.00354*((Table1[[#This Row],[Gestation (days)]]+0.5)/7)^2)*Table1[[#This Row],[BW40_3705]],"")</f>
        <v/>
      </c>
      <c r="G2905" s="2" t="str">
        <f>IF(Table1[[#This Row],[Is Data Valid]]=TRUE,((Table1[[#This Row],[Birthweight (grams)]]/Table1[[#This Row],[BW_GA]])-1)/(Backend!$B$4/100*Table1[[#This Row],[BW40_3705]]),"")</f>
        <v/>
      </c>
      <c r="H2905" s="7" t="str">
        <f>IF(Table1[[#This Row],[Is Data Valid]]=TRUE,((Table1[[#This Row],[Birthweight (grams)]]*0.9/Table1[[#This Row],[BW_GA]])-1)/(Backend!$B$4/100*Table1[[#This Row],[BW40_3705]]),"")</f>
        <v/>
      </c>
      <c r="I2905" s="7" t="str">
        <f>IF(Table1[[#This Row],[Is Data Valid]]=TRUE,((Table1[[#This Row],[Birthweight (grams)]]*1.1/Table1[[#This Row],[BW_GA]])-1)/(Backend!$B$4/100*Table1[[#This Row],[BW40_3705]]),"")</f>
        <v/>
      </c>
      <c r="J2905" s="7" t="str">
        <f>IF(Table1[[#This Row],[Is Data Valid]]=TRUE,_xlfn.NORM.S.DIST(Table1[[#This Row],[Birthweight Z-Score]],TRUE)*100,"")</f>
        <v/>
      </c>
      <c r="K2905" s="7" t="str">
        <f>IF(Table1[[#This Row],[Is Data Valid]]=TRUE,_xlfn.NORM.S.DIST(Table1[[#This Row],[Birthweight Z-Score (BW-10%)]],TRUE)*100,"")</f>
        <v/>
      </c>
      <c r="L2905" s="7" t="str">
        <f>IF(Table1[[#This Row],[Is Data Valid]]=TRUE,_xlfn.NORM.S.DIST(Table1[[#This Row],[Birthweight Z-Score (BW+10%)]],TRUE)*100,"")</f>
        <v/>
      </c>
    </row>
    <row r="2906" spans="1:12" x14ac:dyDescent="0.35">
      <c r="A2906" s="3"/>
      <c r="B2906" s="2"/>
      <c r="C2906" s="2"/>
      <c r="D2906" s="2" t="b">
        <f>IF(AND(NOT(ISBLANK(Table1[[#This Row],[Fetal Sex (Male, Female or Unknown)]])),ISNUMBER(Table1[[#This Row],[Birthweight (grams)]]),ISNUMBER(Table1[[#This Row],[Gestation (days)]])),TRUE,FALSE)</f>
        <v>0</v>
      </c>
      <c r="E2906" s="2" t="str">
        <f>IF(Table1[[#This Row],[Is Data Valid]]=TRUE,IF(Table1[[#This Row],[Fetal Sex (Male, Female or Unknown)]]="Male",Backend!$C$6,IF(Table1[[#This Row],[Fetal Sex (Male, Female or Unknown)]]="Female",Backend!$C$7,IF(Table1[[#This Row],[Fetal Sex (Male, Female or Unknown)]]="Unknown",Backend!$C$8,"Error"))),"")</f>
        <v/>
      </c>
      <c r="F2906" s="8" t="str">
        <f>IF(Table1[[#This Row],[Is Data Valid]]=TRUE,EXP(0.578+0.332*((Table1[[#This Row],[Gestation (days)]]+0.5)/7)-0.00354*((Table1[[#This Row],[Gestation (days)]]+0.5)/7)^2)*Table1[[#This Row],[BW40_3705]],"")</f>
        <v/>
      </c>
      <c r="G2906" s="2" t="str">
        <f>IF(Table1[[#This Row],[Is Data Valid]]=TRUE,((Table1[[#This Row],[Birthweight (grams)]]/Table1[[#This Row],[BW_GA]])-1)/(Backend!$B$4/100*Table1[[#This Row],[BW40_3705]]),"")</f>
        <v/>
      </c>
      <c r="H2906" s="7" t="str">
        <f>IF(Table1[[#This Row],[Is Data Valid]]=TRUE,((Table1[[#This Row],[Birthweight (grams)]]*0.9/Table1[[#This Row],[BW_GA]])-1)/(Backend!$B$4/100*Table1[[#This Row],[BW40_3705]]),"")</f>
        <v/>
      </c>
      <c r="I2906" s="7" t="str">
        <f>IF(Table1[[#This Row],[Is Data Valid]]=TRUE,((Table1[[#This Row],[Birthweight (grams)]]*1.1/Table1[[#This Row],[BW_GA]])-1)/(Backend!$B$4/100*Table1[[#This Row],[BW40_3705]]),"")</f>
        <v/>
      </c>
      <c r="J2906" s="7" t="str">
        <f>IF(Table1[[#This Row],[Is Data Valid]]=TRUE,_xlfn.NORM.S.DIST(Table1[[#This Row],[Birthweight Z-Score]],TRUE)*100,"")</f>
        <v/>
      </c>
      <c r="K2906" s="7" t="str">
        <f>IF(Table1[[#This Row],[Is Data Valid]]=TRUE,_xlfn.NORM.S.DIST(Table1[[#This Row],[Birthweight Z-Score (BW-10%)]],TRUE)*100,"")</f>
        <v/>
      </c>
      <c r="L2906" s="7" t="str">
        <f>IF(Table1[[#This Row],[Is Data Valid]]=TRUE,_xlfn.NORM.S.DIST(Table1[[#This Row],[Birthweight Z-Score (BW+10%)]],TRUE)*100,"")</f>
        <v/>
      </c>
    </row>
    <row r="2907" spans="1:12" x14ac:dyDescent="0.35">
      <c r="A2907" s="3"/>
      <c r="B2907" s="2"/>
      <c r="C2907" s="2"/>
      <c r="D2907" s="2" t="b">
        <f>IF(AND(NOT(ISBLANK(Table1[[#This Row],[Fetal Sex (Male, Female or Unknown)]])),ISNUMBER(Table1[[#This Row],[Birthweight (grams)]]),ISNUMBER(Table1[[#This Row],[Gestation (days)]])),TRUE,FALSE)</f>
        <v>0</v>
      </c>
      <c r="E2907" s="2" t="str">
        <f>IF(Table1[[#This Row],[Is Data Valid]]=TRUE,IF(Table1[[#This Row],[Fetal Sex (Male, Female or Unknown)]]="Male",Backend!$C$6,IF(Table1[[#This Row],[Fetal Sex (Male, Female or Unknown)]]="Female",Backend!$C$7,IF(Table1[[#This Row],[Fetal Sex (Male, Female or Unknown)]]="Unknown",Backend!$C$8,"Error"))),"")</f>
        <v/>
      </c>
      <c r="F2907" s="8" t="str">
        <f>IF(Table1[[#This Row],[Is Data Valid]]=TRUE,EXP(0.578+0.332*((Table1[[#This Row],[Gestation (days)]]+0.5)/7)-0.00354*((Table1[[#This Row],[Gestation (days)]]+0.5)/7)^2)*Table1[[#This Row],[BW40_3705]],"")</f>
        <v/>
      </c>
      <c r="G2907" s="2" t="str">
        <f>IF(Table1[[#This Row],[Is Data Valid]]=TRUE,((Table1[[#This Row],[Birthweight (grams)]]/Table1[[#This Row],[BW_GA]])-1)/(Backend!$B$4/100*Table1[[#This Row],[BW40_3705]]),"")</f>
        <v/>
      </c>
      <c r="H2907" s="7" t="str">
        <f>IF(Table1[[#This Row],[Is Data Valid]]=TRUE,((Table1[[#This Row],[Birthweight (grams)]]*0.9/Table1[[#This Row],[BW_GA]])-1)/(Backend!$B$4/100*Table1[[#This Row],[BW40_3705]]),"")</f>
        <v/>
      </c>
      <c r="I2907" s="7" t="str">
        <f>IF(Table1[[#This Row],[Is Data Valid]]=TRUE,((Table1[[#This Row],[Birthweight (grams)]]*1.1/Table1[[#This Row],[BW_GA]])-1)/(Backend!$B$4/100*Table1[[#This Row],[BW40_3705]]),"")</f>
        <v/>
      </c>
      <c r="J2907" s="7" t="str">
        <f>IF(Table1[[#This Row],[Is Data Valid]]=TRUE,_xlfn.NORM.S.DIST(Table1[[#This Row],[Birthweight Z-Score]],TRUE)*100,"")</f>
        <v/>
      </c>
      <c r="K2907" s="7" t="str">
        <f>IF(Table1[[#This Row],[Is Data Valid]]=TRUE,_xlfn.NORM.S.DIST(Table1[[#This Row],[Birthweight Z-Score (BW-10%)]],TRUE)*100,"")</f>
        <v/>
      </c>
      <c r="L2907" s="7" t="str">
        <f>IF(Table1[[#This Row],[Is Data Valid]]=TRUE,_xlfn.NORM.S.DIST(Table1[[#This Row],[Birthweight Z-Score (BW+10%)]],TRUE)*100,"")</f>
        <v/>
      </c>
    </row>
    <row r="2908" spans="1:12" x14ac:dyDescent="0.35">
      <c r="A2908" s="3"/>
      <c r="B2908" s="2"/>
      <c r="C2908" s="2"/>
      <c r="D2908" s="2" t="b">
        <f>IF(AND(NOT(ISBLANK(Table1[[#This Row],[Fetal Sex (Male, Female or Unknown)]])),ISNUMBER(Table1[[#This Row],[Birthweight (grams)]]),ISNUMBER(Table1[[#This Row],[Gestation (days)]])),TRUE,FALSE)</f>
        <v>0</v>
      </c>
      <c r="E2908" s="2" t="str">
        <f>IF(Table1[[#This Row],[Is Data Valid]]=TRUE,IF(Table1[[#This Row],[Fetal Sex (Male, Female or Unknown)]]="Male",Backend!$C$6,IF(Table1[[#This Row],[Fetal Sex (Male, Female or Unknown)]]="Female",Backend!$C$7,IF(Table1[[#This Row],[Fetal Sex (Male, Female or Unknown)]]="Unknown",Backend!$C$8,"Error"))),"")</f>
        <v/>
      </c>
      <c r="F2908" s="8" t="str">
        <f>IF(Table1[[#This Row],[Is Data Valid]]=TRUE,EXP(0.578+0.332*((Table1[[#This Row],[Gestation (days)]]+0.5)/7)-0.00354*((Table1[[#This Row],[Gestation (days)]]+0.5)/7)^2)*Table1[[#This Row],[BW40_3705]],"")</f>
        <v/>
      </c>
      <c r="G2908" s="2" t="str">
        <f>IF(Table1[[#This Row],[Is Data Valid]]=TRUE,((Table1[[#This Row],[Birthweight (grams)]]/Table1[[#This Row],[BW_GA]])-1)/(Backend!$B$4/100*Table1[[#This Row],[BW40_3705]]),"")</f>
        <v/>
      </c>
      <c r="H2908" s="7" t="str">
        <f>IF(Table1[[#This Row],[Is Data Valid]]=TRUE,((Table1[[#This Row],[Birthweight (grams)]]*0.9/Table1[[#This Row],[BW_GA]])-1)/(Backend!$B$4/100*Table1[[#This Row],[BW40_3705]]),"")</f>
        <v/>
      </c>
      <c r="I2908" s="7" t="str">
        <f>IF(Table1[[#This Row],[Is Data Valid]]=TRUE,((Table1[[#This Row],[Birthweight (grams)]]*1.1/Table1[[#This Row],[BW_GA]])-1)/(Backend!$B$4/100*Table1[[#This Row],[BW40_3705]]),"")</f>
        <v/>
      </c>
      <c r="J2908" s="7" t="str">
        <f>IF(Table1[[#This Row],[Is Data Valid]]=TRUE,_xlfn.NORM.S.DIST(Table1[[#This Row],[Birthweight Z-Score]],TRUE)*100,"")</f>
        <v/>
      </c>
      <c r="K2908" s="7" t="str">
        <f>IF(Table1[[#This Row],[Is Data Valid]]=TRUE,_xlfn.NORM.S.DIST(Table1[[#This Row],[Birthweight Z-Score (BW-10%)]],TRUE)*100,"")</f>
        <v/>
      </c>
      <c r="L2908" s="7" t="str">
        <f>IF(Table1[[#This Row],[Is Data Valid]]=TRUE,_xlfn.NORM.S.DIST(Table1[[#This Row],[Birthweight Z-Score (BW+10%)]],TRUE)*100,"")</f>
        <v/>
      </c>
    </row>
    <row r="2909" spans="1:12" x14ac:dyDescent="0.35">
      <c r="A2909" s="3"/>
      <c r="B2909" s="2"/>
      <c r="C2909" s="2"/>
      <c r="D2909" s="2" t="b">
        <f>IF(AND(NOT(ISBLANK(Table1[[#This Row],[Fetal Sex (Male, Female or Unknown)]])),ISNUMBER(Table1[[#This Row],[Birthweight (grams)]]),ISNUMBER(Table1[[#This Row],[Gestation (days)]])),TRUE,FALSE)</f>
        <v>0</v>
      </c>
      <c r="E2909" s="2" t="str">
        <f>IF(Table1[[#This Row],[Is Data Valid]]=TRUE,IF(Table1[[#This Row],[Fetal Sex (Male, Female or Unknown)]]="Male",Backend!$C$6,IF(Table1[[#This Row],[Fetal Sex (Male, Female or Unknown)]]="Female",Backend!$C$7,IF(Table1[[#This Row],[Fetal Sex (Male, Female or Unknown)]]="Unknown",Backend!$C$8,"Error"))),"")</f>
        <v/>
      </c>
      <c r="F2909" s="8" t="str">
        <f>IF(Table1[[#This Row],[Is Data Valid]]=TRUE,EXP(0.578+0.332*((Table1[[#This Row],[Gestation (days)]]+0.5)/7)-0.00354*((Table1[[#This Row],[Gestation (days)]]+0.5)/7)^2)*Table1[[#This Row],[BW40_3705]],"")</f>
        <v/>
      </c>
      <c r="G2909" s="2" t="str">
        <f>IF(Table1[[#This Row],[Is Data Valid]]=TRUE,((Table1[[#This Row],[Birthweight (grams)]]/Table1[[#This Row],[BW_GA]])-1)/(Backend!$B$4/100*Table1[[#This Row],[BW40_3705]]),"")</f>
        <v/>
      </c>
      <c r="H2909" s="7" t="str">
        <f>IF(Table1[[#This Row],[Is Data Valid]]=TRUE,((Table1[[#This Row],[Birthweight (grams)]]*0.9/Table1[[#This Row],[BW_GA]])-1)/(Backend!$B$4/100*Table1[[#This Row],[BW40_3705]]),"")</f>
        <v/>
      </c>
      <c r="I2909" s="7" t="str">
        <f>IF(Table1[[#This Row],[Is Data Valid]]=TRUE,((Table1[[#This Row],[Birthweight (grams)]]*1.1/Table1[[#This Row],[BW_GA]])-1)/(Backend!$B$4/100*Table1[[#This Row],[BW40_3705]]),"")</f>
        <v/>
      </c>
      <c r="J2909" s="7" t="str">
        <f>IF(Table1[[#This Row],[Is Data Valid]]=TRUE,_xlfn.NORM.S.DIST(Table1[[#This Row],[Birthweight Z-Score]],TRUE)*100,"")</f>
        <v/>
      </c>
      <c r="K2909" s="7" t="str">
        <f>IF(Table1[[#This Row],[Is Data Valid]]=TRUE,_xlfn.NORM.S.DIST(Table1[[#This Row],[Birthweight Z-Score (BW-10%)]],TRUE)*100,"")</f>
        <v/>
      </c>
      <c r="L2909" s="7" t="str">
        <f>IF(Table1[[#This Row],[Is Data Valid]]=TRUE,_xlfn.NORM.S.DIST(Table1[[#This Row],[Birthweight Z-Score (BW+10%)]],TRUE)*100,"")</f>
        <v/>
      </c>
    </row>
    <row r="2910" spans="1:12" x14ac:dyDescent="0.35">
      <c r="A2910" s="3"/>
      <c r="B2910" s="2"/>
      <c r="C2910" s="2"/>
      <c r="D2910" s="2" t="b">
        <f>IF(AND(NOT(ISBLANK(Table1[[#This Row],[Fetal Sex (Male, Female or Unknown)]])),ISNUMBER(Table1[[#This Row],[Birthweight (grams)]]),ISNUMBER(Table1[[#This Row],[Gestation (days)]])),TRUE,FALSE)</f>
        <v>0</v>
      </c>
      <c r="E2910" s="2" t="str">
        <f>IF(Table1[[#This Row],[Is Data Valid]]=TRUE,IF(Table1[[#This Row],[Fetal Sex (Male, Female or Unknown)]]="Male",Backend!$C$6,IF(Table1[[#This Row],[Fetal Sex (Male, Female or Unknown)]]="Female",Backend!$C$7,IF(Table1[[#This Row],[Fetal Sex (Male, Female or Unknown)]]="Unknown",Backend!$C$8,"Error"))),"")</f>
        <v/>
      </c>
      <c r="F2910" s="8" t="str">
        <f>IF(Table1[[#This Row],[Is Data Valid]]=TRUE,EXP(0.578+0.332*((Table1[[#This Row],[Gestation (days)]]+0.5)/7)-0.00354*((Table1[[#This Row],[Gestation (days)]]+0.5)/7)^2)*Table1[[#This Row],[BW40_3705]],"")</f>
        <v/>
      </c>
      <c r="G2910" s="2" t="str">
        <f>IF(Table1[[#This Row],[Is Data Valid]]=TRUE,((Table1[[#This Row],[Birthweight (grams)]]/Table1[[#This Row],[BW_GA]])-1)/(Backend!$B$4/100*Table1[[#This Row],[BW40_3705]]),"")</f>
        <v/>
      </c>
      <c r="H2910" s="7" t="str">
        <f>IF(Table1[[#This Row],[Is Data Valid]]=TRUE,((Table1[[#This Row],[Birthweight (grams)]]*0.9/Table1[[#This Row],[BW_GA]])-1)/(Backend!$B$4/100*Table1[[#This Row],[BW40_3705]]),"")</f>
        <v/>
      </c>
      <c r="I2910" s="7" t="str">
        <f>IF(Table1[[#This Row],[Is Data Valid]]=TRUE,((Table1[[#This Row],[Birthweight (grams)]]*1.1/Table1[[#This Row],[BW_GA]])-1)/(Backend!$B$4/100*Table1[[#This Row],[BW40_3705]]),"")</f>
        <v/>
      </c>
      <c r="J2910" s="7" t="str">
        <f>IF(Table1[[#This Row],[Is Data Valid]]=TRUE,_xlfn.NORM.S.DIST(Table1[[#This Row],[Birthweight Z-Score]],TRUE)*100,"")</f>
        <v/>
      </c>
      <c r="K2910" s="7" t="str">
        <f>IF(Table1[[#This Row],[Is Data Valid]]=TRUE,_xlfn.NORM.S.DIST(Table1[[#This Row],[Birthweight Z-Score (BW-10%)]],TRUE)*100,"")</f>
        <v/>
      </c>
      <c r="L2910" s="7" t="str">
        <f>IF(Table1[[#This Row],[Is Data Valid]]=TRUE,_xlfn.NORM.S.DIST(Table1[[#This Row],[Birthweight Z-Score (BW+10%)]],TRUE)*100,"")</f>
        <v/>
      </c>
    </row>
    <row r="2911" spans="1:12" x14ac:dyDescent="0.35">
      <c r="A2911" s="3"/>
      <c r="B2911" s="2"/>
      <c r="C2911" s="2"/>
      <c r="D2911" s="2" t="b">
        <f>IF(AND(NOT(ISBLANK(Table1[[#This Row],[Fetal Sex (Male, Female or Unknown)]])),ISNUMBER(Table1[[#This Row],[Birthweight (grams)]]),ISNUMBER(Table1[[#This Row],[Gestation (days)]])),TRUE,FALSE)</f>
        <v>0</v>
      </c>
      <c r="E2911" s="2" t="str">
        <f>IF(Table1[[#This Row],[Is Data Valid]]=TRUE,IF(Table1[[#This Row],[Fetal Sex (Male, Female or Unknown)]]="Male",Backend!$C$6,IF(Table1[[#This Row],[Fetal Sex (Male, Female or Unknown)]]="Female",Backend!$C$7,IF(Table1[[#This Row],[Fetal Sex (Male, Female or Unknown)]]="Unknown",Backend!$C$8,"Error"))),"")</f>
        <v/>
      </c>
      <c r="F2911" s="8" t="str">
        <f>IF(Table1[[#This Row],[Is Data Valid]]=TRUE,EXP(0.578+0.332*((Table1[[#This Row],[Gestation (days)]]+0.5)/7)-0.00354*((Table1[[#This Row],[Gestation (days)]]+0.5)/7)^2)*Table1[[#This Row],[BW40_3705]],"")</f>
        <v/>
      </c>
      <c r="G2911" s="2" t="str">
        <f>IF(Table1[[#This Row],[Is Data Valid]]=TRUE,((Table1[[#This Row],[Birthweight (grams)]]/Table1[[#This Row],[BW_GA]])-1)/(Backend!$B$4/100*Table1[[#This Row],[BW40_3705]]),"")</f>
        <v/>
      </c>
      <c r="H2911" s="7" t="str">
        <f>IF(Table1[[#This Row],[Is Data Valid]]=TRUE,((Table1[[#This Row],[Birthweight (grams)]]*0.9/Table1[[#This Row],[BW_GA]])-1)/(Backend!$B$4/100*Table1[[#This Row],[BW40_3705]]),"")</f>
        <v/>
      </c>
      <c r="I2911" s="7" t="str">
        <f>IF(Table1[[#This Row],[Is Data Valid]]=TRUE,((Table1[[#This Row],[Birthweight (grams)]]*1.1/Table1[[#This Row],[BW_GA]])-1)/(Backend!$B$4/100*Table1[[#This Row],[BW40_3705]]),"")</f>
        <v/>
      </c>
      <c r="J2911" s="7" t="str">
        <f>IF(Table1[[#This Row],[Is Data Valid]]=TRUE,_xlfn.NORM.S.DIST(Table1[[#This Row],[Birthweight Z-Score]],TRUE)*100,"")</f>
        <v/>
      </c>
      <c r="K2911" s="7" t="str">
        <f>IF(Table1[[#This Row],[Is Data Valid]]=TRUE,_xlfn.NORM.S.DIST(Table1[[#This Row],[Birthweight Z-Score (BW-10%)]],TRUE)*100,"")</f>
        <v/>
      </c>
      <c r="L2911" s="7" t="str">
        <f>IF(Table1[[#This Row],[Is Data Valid]]=TRUE,_xlfn.NORM.S.DIST(Table1[[#This Row],[Birthweight Z-Score (BW+10%)]],TRUE)*100,"")</f>
        <v/>
      </c>
    </row>
    <row r="2912" spans="1:12" x14ac:dyDescent="0.35">
      <c r="A2912" s="3"/>
      <c r="B2912" s="2"/>
      <c r="C2912" s="2"/>
      <c r="D2912" s="2" t="b">
        <f>IF(AND(NOT(ISBLANK(Table1[[#This Row],[Fetal Sex (Male, Female or Unknown)]])),ISNUMBER(Table1[[#This Row],[Birthweight (grams)]]),ISNUMBER(Table1[[#This Row],[Gestation (days)]])),TRUE,FALSE)</f>
        <v>0</v>
      </c>
      <c r="E2912" s="2" t="str">
        <f>IF(Table1[[#This Row],[Is Data Valid]]=TRUE,IF(Table1[[#This Row],[Fetal Sex (Male, Female or Unknown)]]="Male",Backend!$C$6,IF(Table1[[#This Row],[Fetal Sex (Male, Female or Unknown)]]="Female",Backend!$C$7,IF(Table1[[#This Row],[Fetal Sex (Male, Female or Unknown)]]="Unknown",Backend!$C$8,"Error"))),"")</f>
        <v/>
      </c>
      <c r="F2912" s="8" t="str">
        <f>IF(Table1[[#This Row],[Is Data Valid]]=TRUE,EXP(0.578+0.332*((Table1[[#This Row],[Gestation (days)]]+0.5)/7)-0.00354*((Table1[[#This Row],[Gestation (days)]]+0.5)/7)^2)*Table1[[#This Row],[BW40_3705]],"")</f>
        <v/>
      </c>
      <c r="G2912" s="2" t="str">
        <f>IF(Table1[[#This Row],[Is Data Valid]]=TRUE,((Table1[[#This Row],[Birthweight (grams)]]/Table1[[#This Row],[BW_GA]])-1)/(Backend!$B$4/100*Table1[[#This Row],[BW40_3705]]),"")</f>
        <v/>
      </c>
      <c r="H2912" s="7" t="str">
        <f>IF(Table1[[#This Row],[Is Data Valid]]=TRUE,((Table1[[#This Row],[Birthweight (grams)]]*0.9/Table1[[#This Row],[BW_GA]])-1)/(Backend!$B$4/100*Table1[[#This Row],[BW40_3705]]),"")</f>
        <v/>
      </c>
      <c r="I2912" s="7" t="str">
        <f>IF(Table1[[#This Row],[Is Data Valid]]=TRUE,((Table1[[#This Row],[Birthweight (grams)]]*1.1/Table1[[#This Row],[BW_GA]])-1)/(Backend!$B$4/100*Table1[[#This Row],[BW40_3705]]),"")</f>
        <v/>
      </c>
      <c r="J2912" s="7" t="str">
        <f>IF(Table1[[#This Row],[Is Data Valid]]=TRUE,_xlfn.NORM.S.DIST(Table1[[#This Row],[Birthweight Z-Score]],TRUE)*100,"")</f>
        <v/>
      </c>
      <c r="K2912" s="7" t="str">
        <f>IF(Table1[[#This Row],[Is Data Valid]]=TRUE,_xlfn.NORM.S.DIST(Table1[[#This Row],[Birthweight Z-Score (BW-10%)]],TRUE)*100,"")</f>
        <v/>
      </c>
      <c r="L2912" s="7" t="str">
        <f>IF(Table1[[#This Row],[Is Data Valid]]=TRUE,_xlfn.NORM.S.DIST(Table1[[#This Row],[Birthweight Z-Score (BW+10%)]],TRUE)*100,"")</f>
        <v/>
      </c>
    </row>
    <row r="2913" spans="1:12" x14ac:dyDescent="0.35">
      <c r="A2913" s="3"/>
      <c r="B2913" s="2"/>
      <c r="C2913" s="2"/>
      <c r="D2913" s="2" t="b">
        <f>IF(AND(NOT(ISBLANK(Table1[[#This Row],[Fetal Sex (Male, Female or Unknown)]])),ISNUMBER(Table1[[#This Row],[Birthweight (grams)]]),ISNUMBER(Table1[[#This Row],[Gestation (days)]])),TRUE,FALSE)</f>
        <v>0</v>
      </c>
      <c r="E2913" s="2" t="str">
        <f>IF(Table1[[#This Row],[Is Data Valid]]=TRUE,IF(Table1[[#This Row],[Fetal Sex (Male, Female or Unknown)]]="Male",Backend!$C$6,IF(Table1[[#This Row],[Fetal Sex (Male, Female or Unknown)]]="Female",Backend!$C$7,IF(Table1[[#This Row],[Fetal Sex (Male, Female or Unknown)]]="Unknown",Backend!$C$8,"Error"))),"")</f>
        <v/>
      </c>
      <c r="F2913" s="8" t="str">
        <f>IF(Table1[[#This Row],[Is Data Valid]]=TRUE,EXP(0.578+0.332*((Table1[[#This Row],[Gestation (days)]]+0.5)/7)-0.00354*((Table1[[#This Row],[Gestation (days)]]+0.5)/7)^2)*Table1[[#This Row],[BW40_3705]],"")</f>
        <v/>
      </c>
      <c r="G2913" s="2" t="str">
        <f>IF(Table1[[#This Row],[Is Data Valid]]=TRUE,((Table1[[#This Row],[Birthweight (grams)]]/Table1[[#This Row],[BW_GA]])-1)/(Backend!$B$4/100*Table1[[#This Row],[BW40_3705]]),"")</f>
        <v/>
      </c>
      <c r="H2913" s="7" t="str">
        <f>IF(Table1[[#This Row],[Is Data Valid]]=TRUE,((Table1[[#This Row],[Birthweight (grams)]]*0.9/Table1[[#This Row],[BW_GA]])-1)/(Backend!$B$4/100*Table1[[#This Row],[BW40_3705]]),"")</f>
        <v/>
      </c>
      <c r="I2913" s="7" t="str">
        <f>IF(Table1[[#This Row],[Is Data Valid]]=TRUE,((Table1[[#This Row],[Birthweight (grams)]]*1.1/Table1[[#This Row],[BW_GA]])-1)/(Backend!$B$4/100*Table1[[#This Row],[BW40_3705]]),"")</f>
        <v/>
      </c>
      <c r="J2913" s="7" t="str">
        <f>IF(Table1[[#This Row],[Is Data Valid]]=TRUE,_xlfn.NORM.S.DIST(Table1[[#This Row],[Birthweight Z-Score]],TRUE)*100,"")</f>
        <v/>
      </c>
      <c r="K2913" s="7" t="str">
        <f>IF(Table1[[#This Row],[Is Data Valid]]=TRUE,_xlfn.NORM.S.DIST(Table1[[#This Row],[Birthweight Z-Score (BW-10%)]],TRUE)*100,"")</f>
        <v/>
      </c>
      <c r="L2913" s="7" t="str">
        <f>IF(Table1[[#This Row],[Is Data Valid]]=TRUE,_xlfn.NORM.S.DIST(Table1[[#This Row],[Birthweight Z-Score (BW+10%)]],TRUE)*100,"")</f>
        <v/>
      </c>
    </row>
    <row r="2914" spans="1:12" x14ac:dyDescent="0.35">
      <c r="A2914" s="3"/>
      <c r="B2914" s="2"/>
      <c r="C2914" s="2"/>
      <c r="D2914" s="2" t="b">
        <f>IF(AND(NOT(ISBLANK(Table1[[#This Row],[Fetal Sex (Male, Female or Unknown)]])),ISNUMBER(Table1[[#This Row],[Birthweight (grams)]]),ISNUMBER(Table1[[#This Row],[Gestation (days)]])),TRUE,FALSE)</f>
        <v>0</v>
      </c>
      <c r="E2914" s="2" t="str">
        <f>IF(Table1[[#This Row],[Is Data Valid]]=TRUE,IF(Table1[[#This Row],[Fetal Sex (Male, Female or Unknown)]]="Male",Backend!$C$6,IF(Table1[[#This Row],[Fetal Sex (Male, Female or Unknown)]]="Female",Backend!$C$7,IF(Table1[[#This Row],[Fetal Sex (Male, Female or Unknown)]]="Unknown",Backend!$C$8,"Error"))),"")</f>
        <v/>
      </c>
      <c r="F2914" s="8" t="str">
        <f>IF(Table1[[#This Row],[Is Data Valid]]=TRUE,EXP(0.578+0.332*((Table1[[#This Row],[Gestation (days)]]+0.5)/7)-0.00354*((Table1[[#This Row],[Gestation (days)]]+0.5)/7)^2)*Table1[[#This Row],[BW40_3705]],"")</f>
        <v/>
      </c>
      <c r="G2914" s="2" t="str">
        <f>IF(Table1[[#This Row],[Is Data Valid]]=TRUE,((Table1[[#This Row],[Birthweight (grams)]]/Table1[[#This Row],[BW_GA]])-1)/(Backend!$B$4/100*Table1[[#This Row],[BW40_3705]]),"")</f>
        <v/>
      </c>
      <c r="H2914" s="7" t="str">
        <f>IF(Table1[[#This Row],[Is Data Valid]]=TRUE,((Table1[[#This Row],[Birthweight (grams)]]*0.9/Table1[[#This Row],[BW_GA]])-1)/(Backend!$B$4/100*Table1[[#This Row],[BW40_3705]]),"")</f>
        <v/>
      </c>
      <c r="I2914" s="7" t="str">
        <f>IF(Table1[[#This Row],[Is Data Valid]]=TRUE,((Table1[[#This Row],[Birthweight (grams)]]*1.1/Table1[[#This Row],[BW_GA]])-1)/(Backend!$B$4/100*Table1[[#This Row],[BW40_3705]]),"")</f>
        <v/>
      </c>
      <c r="J2914" s="7" t="str">
        <f>IF(Table1[[#This Row],[Is Data Valid]]=TRUE,_xlfn.NORM.S.DIST(Table1[[#This Row],[Birthweight Z-Score]],TRUE)*100,"")</f>
        <v/>
      </c>
      <c r="K2914" s="7" t="str">
        <f>IF(Table1[[#This Row],[Is Data Valid]]=TRUE,_xlfn.NORM.S.DIST(Table1[[#This Row],[Birthweight Z-Score (BW-10%)]],TRUE)*100,"")</f>
        <v/>
      </c>
      <c r="L2914" s="7" t="str">
        <f>IF(Table1[[#This Row],[Is Data Valid]]=TRUE,_xlfn.NORM.S.DIST(Table1[[#This Row],[Birthweight Z-Score (BW+10%)]],TRUE)*100,"")</f>
        <v/>
      </c>
    </row>
    <row r="2915" spans="1:12" x14ac:dyDescent="0.35">
      <c r="A2915" s="3"/>
      <c r="B2915" s="2"/>
      <c r="C2915" s="2"/>
      <c r="D2915" s="2" t="b">
        <f>IF(AND(NOT(ISBLANK(Table1[[#This Row],[Fetal Sex (Male, Female or Unknown)]])),ISNUMBER(Table1[[#This Row],[Birthweight (grams)]]),ISNUMBER(Table1[[#This Row],[Gestation (days)]])),TRUE,FALSE)</f>
        <v>0</v>
      </c>
      <c r="E2915" s="2" t="str">
        <f>IF(Table1[[#This Row],[Is Data Valid]]=TRUE,IF(Table1[[#This Row],[Fetal Sex (Male, Female or Unknown)]]="Male",Backend!$C$6,IF(Table1[[#This Row],[Fetal Sex (Male, Female or Unknown)]]="Female",Backend!$C$7,IF(Table1[[#This Row],[Fetal Sex (Male, Female or Unknown)]]="Unknown",Backend!$C$8,"Error"))),"")</f>
        <v/>
      </c>
      <c r="F2915" s="8" t="str">
        <f>IF(Table1[[#This Row],[Is Data Valid]]=TRUE,EXP(0.578+0.332*((Table1[[#This Row],[Gestation (days)]]+0.5)/7)-0.00354*((Table1[[#This Row],[Gestation (days)]]+0.5)/7)^2)*Table1[[#This Row],[BW40_3705]],"")</f>
        <v/>
      </c>
      <c r="G2915" s="2" t="str">
        <f>IF(Table1[[#This Row],[Is Data Valid]]=TRUE,((Table1[[#This Row],[Birthweight (grams)]]/Table1[[#This Row],[BW_GA]])-1)/(Backend!$B$4/100*Table1[[#This Row],[BW40_3705]]),"")</f>
        <v/>
      </c>
      <c r="H2915" s="7" t="str">
        <f>IF(Table1[[#This Row],[Is Data Valid]]=TRUE,((Table1[[#This Row],[Birthweight (grams)]]*0.9/Table1[[#This Row],[BW_GA]])-1)/(Backend!$B$4/100*Table1[[#This Row],[BW40_3705]]),"")</f>
        <v/>
      </c>
      <c r="I2915" s="7" t="str">
        <f>IF(Table1[[#This Row],[Is Data Valid]]=TRUE,((Table1[[#This Row],[Birthweight (grams)]]*1.1/Table1[[#This Row],[BW_GA]])-1)/(Backend!$B$4/100*Table1[[#This Row],[BW40_3705]]),"")</f>
        <v/>
      </c>
      <c r="J2915" s="7" t="str">
        <f>IF(Table1[[#This Row],[Is Data Valid]]=TRUE,_xlfn.NORM.S.DIST(Table1[[#This Row],[Birthweight Z-Score]],TRUE)*100,"")</f>
        <v/>
      </c>
      <c r="K2915" s="7" t="str">
        <f>IF(Table1[[#This Row],[Is Data Valid]]=TRUE,_xlfn.NORM.S.DIST(Table1[[#This Row],[Birthweight Z-Score (BW-10%)]],TRUE)*100,"")</f>
        <v/>
      </c>
      <c r="L2915" s="7" t="str">
        <f>IF(Table1[[#This Row],[Is Data Valid]]=TRUE,_xlfn.NORM.S.DIST(Table1[[#This Row],[Birthweight Z-Score (BW+10%)]],TRUE)*100,"")</f>
        <v/>
      </c>
    </row>
    <row r="2916" spans="1:12" x14ac:dyDescent="0.35">
      <c r="A2916" s="3"/>
      <c r="B2916" s="2"/>
      <c r="C2916" s="2"/>
      <c r="D2916" s="2" t="b">
        <f>IF(AND(NOT(ISBLANK(Table1[[#This Row],[Fetal Sex (Male, Female or Unknown)]])),ISNUMBER(Table1[[#This Row],[Birthweight (grams)]]),ISNUMBER(Table1[[#This Row],[Gestation (days)]])),TRUE,FALSE)</f>
        <v>0</v>
      </c>
      <c r="E2916" s="2" t="str">
        <f>IF(Table1[[#This Row],[Is Data Valid]]=TRUE,IF(Table1[[#This Row],[Fetal Sex (Male, Female or Unknown)]]="Male",Backend!$C$6,IF(Table1[[#This Row],[Fetal Sex (Male, Female or Unknown)]]="Female",Backend!$C$7,IF(Table1[[#This Row],[Fetal Sex (Male, Female or Unknown)]]="Unknown",Backend!$C$8,"Error"))),"")</f>
        <v/>
      </c>
      <c r="F2916" s="8" t="str">
        <f>IF(Table1[[#This Row],[Is Data Valid]]=TRUE,EXP(0.578+0.332*((Table1[[#This Row],[Gestation (days)]]+0.5)/7)-0.00354*((Table1[[#This Row],[Gestation (days)]]+0.5)/7)^2)*Table1[[#This Row],[BW40_3705]],"")</f>
        <v/>
      </c>
      <c r="G2916" s="2" t="str">
        <f>IF(Table1[[#This Row],[Is Data Valid]]=TRUE,((Table1[[#This Row],[Birthweight (grams)]]/Table1[[#This Row],[BW_GA]])-1)/(Backend!$B$4/100*Table1[[#This Row],[BW40_3705]]),"")</f>
        <v/>
      </c>
      <c r="H2916" s="7" t="str">
        <f>IF(Table1[[#This Row],[Is Data Valid]]=TRUE,((Table1[[#This Row],[Birthweight (grams)]]*0.9/Table1[[#This Row],[BW_GA]])-1)/(Backend!$B$4/100*Table1[[#This Row],[BW40_3705]]),"")</f>
        <v/>
      </c>
      <c r="I2916" s="7" t="str">
        <f>IF(Table1[[#This Row],[Is Data Valid]]=TRUE,((Table1[[#This Row],[Birthweight (grams)]]*1.1/Table1[[#This Row],[BW_GA]])-1)/(Backend!$B$4/100*Table1[[#This Row],[BW40_3705]]),"")</f>
        <v/>
      </c>
      <c r="J2916" s="7" t="str">
        <f>IF(Table1[[#This Row],[Is Data Valid]]=TRUE,_xlfn.NORM.S.DIST(Table1[[#This Row],[Birthweight Z-Score]],TRUE)*100,"")</f>
        <v/>
      </c>
      <c r="K2916" s="7" t="str">
        <f>IF(Table1[[#This Row],[Is Data Valid]]=TRUE,_xlfn.NORM.S.DIST(Table1[[#This Row],[Birthweight Z-Score (BW-10%)]],TRUE)*100,"")</f>
        <v/>
      </c>
      <c r="L2916" s="7" t="str">
        <f>IF(Table1[[#This Row],[Is Data Valid]]=TRUE,_xlfn.NORM.S.DIST(Table1[[#This Row],[Birthweight Z-Score (BW+10%)]],TRUE)*100,"")</f>
        <v/>
      </c>
    </row>
    <row r="2917" spans="1:12" x14ac:dyDescent="0.35">
      <c r="A2917" s="3"/>
      <c r="B2917" s="2"/>
      <c r="C2917" s="2"/>
      <c r="D2917" s="2" t="b">
        <f>IF(AND(NOT(ISBLANK(Table1[[#This Row],[Fetal Sex (Male, Female or Unknown)]])),ISNUMBER(Table1[[#This Row],[Birthweight (grams)]]),ISNUMBER(Table1[[#This Row],[Gestation (days)]])),TRUE,FALSE)</f>
        <v>0</v>
      </c>
      <c r="E2917" s="2" t="str">
        <f>IF(Table1[[#This Row],[Is Data Valid]]=TRUE,IF(Table1[[#This Row],[Fetal Sex (Male, Female or Unknown)]]="Male",Backend!$C$6,IF(Table1[[#This Row],[Fetal Sex (Male, Female or Unknown)]]="Female",Backend!$C$7,IF(Table1[[#This Row],[Fetal Sex (Male, Female or Unknown)]]="Unknown",Backend!$C$8,"Error"))),"")</f>
        <v/>
      </c>
      <c r="F2917" s="8" t="str">
        <f>IF(Table1[[#This Row],[Is Data Valid]]=TRUE,EXP(0.578+0.332*((Table1[[#This Row],[Gestation (days)]]+0.5)/7)-0.00354*((Table1[[#This Row],[Gestation (days)]]+0.5)/7)^2)*Table1[[#This Row],[BW40_3705]],"")</f>
        <v/>
      </c>
      <c r="G2917" s="2" t="str">
        <f>IF(Table1[[#This Row],[Is Data Valid]]=TRUE,((Table1[[#This Row],[Birthweight (grams)]]/Table1[[#This Row],[BW_GA]])-1)/(Backend!$B$4/100*Table1[[#This Row],[BW40_3705]]),"")</f>
        <v/>
      </c>
      <c r="H2917" s="7" t="str">
        <f>IF(Table1[[#This Row],[Is Data Valid]]=TRUE,((Table1[[#This Row],[Birthweight (grams)]]*0.9/Table1[[#This Row],[BW_GA]])-1)/(Backend!$B$4/100*Table1[[#This Row],[BW40_3705]]),"")</f>
        <v/>
      </c>
      <c r="I2917" s="7" t="str">
        <f>IF(Table1[[#This Row],[Is Data Valid]]=TRUE,((Table1[[#This Row],[Birthweight (grams)]]*1.1/Table1[[#This Row],[BW_GA]])-1)/(Backend!$B$4/100*Table1[[#This Row],[BW40_3705]]),"")</f>
        <v/>
      </c>
      <c r="J2917" s="7" t="str">
        <f>IF(Table1[[#This Row],[Is Data Valid]]=TRUE,_xlfn.NORM.S.DIST(Table1[[#This Row],[Birthweight Z-Score]],TRUE)*100,"")</f>
        <v/>
      </c>
      <c r="K2917" s="7" t="str">
        <f>IF(Table1[[#This Row],[Is Data Valid]]=TRUE,_xlfn.NORM.S.DIST(Table1[[#This Row],[Birthweight Z-Score (BW-10%)]],TRUE)*100,"")</f>
        <v/>
      </c>
      <c r="L2917" s="7" t="str">
        <f>IF(Table1[[#This Row],[Is Data Valid]]=TRUE,_xlfn.NORM.S.DIST(Table1[[#This Row],[Birthweight Z-Score (BW+10%)]],TRUE)*100,"")</f>
        <v/>
      </c>
    </row>
    <row r="2918" spans="1:12" x14ac:dyDescent="0.35">
      <c r="A2918" s="3"/>
      <c r="B2918" s="2"/>
      <c r="C2918" s="2"/>
      <c r="D2918" s="2" t="b">
        <f>IF(AND(NOT(ISBLANK(Table1[[#This Row],[Fetal Sex (Male, Female or Unknown)]])),ISNUMBER(Table1[[#This Row],[Birthweight (grams)]]),ISNUMBER(Table1[[#This Row],[Gestation (days)]])),TRUE,FALSE)</f>
        <v>0</v>
      </c>
      <c r="E2918" s="2" t="str">
        <f>IF(Table1[[#This Row],[Is Data Valid]]=TRUE,IF(Table1[[#This Row],[Fetal Sex (Male, Female or Unknown)]]="Male",Backend!$C$6,IF(Table1[[#This Row],[Fetal Sex (Male, Female or Unknown)]]="Female",Backend!$C$7,IF(Table1[[#This Row],[Fetal Sex (Male, Female or Unknown)]]="Unknown",Backend!$C$8,"Error"))),"")</f>
        <v/>
      </c>
      <c r="F2918" s="8" t="str">
        <f>IF(Table1[[#This Row],[Is Data Valid]]=TRUE,EXP(0.578+0.332*((Table1[[#This Row],[Gestation (days)]]+0.5)/7)-0.00354*((Table1[[#This Row],[Gestation (days)]]+0.5)/7)^2)*Table1[[#This Row],[BW40_3705]],"")</f>
        <v/>
      </c>
      <c r="G2918" s="2" t="str">
        <f>IF(Table1[[#This Row],[Is Data Valid]]=TRUE,((Table1[[#This Row],[Birthweight (grams)]]/Table1[[#This Row],[BW_GA]])-1)/(Backend!$B$4/100*Table1[[#This Row],[BW40_3705]]),"")</f>
        <v/>
      </c>
      <c r="H2918" s="7" t="str">
        <f>IF(Table1[[#This Row],[Is Data Valid]]=TRUE,((Table1[[#This Row],[Birthweight (grams)]]*0.9/Table1[[#This Row],[BW_GA]])-1)/(Backend!$B$4/100*Table1[[#This Row],[BW40_3705]]),"")</f>
        <v/>
      </c>
      <c r="I2918" s="7" t="str">
        <f>IF(Table1[[#This Row],[Is Data Valid]]=TRUE,((Table1[[#This Row],[Birthweight (grams)]]*1.1/Table1[[#This Row],[BW_GA]])-1)/(Backend!$B$4/100*Table1[[#This Row],[BW40_3705]]),"")</f>
        <v/>
      </c>
      <c r="J2918" s="7" t="str">
        <f>IF(Table1[[#This Row],[Is Data Valid]]=TRUE,_xlfn.NORM.S.DIST(Table1[[#This Row],[Birthweight Z-Score]],TRUE)*100,"")</f>
        <v/>
      </c>
      <c r="K2918" s="7" t="str">
        <f>IF(Table1[[#This Row],[Is Data Valid]]=TRUE,_xlfn.NORM.S.DIST(Table1[[#This Row],[Birthweight Z-Score (BW-10%)]],TRUE)*100,"")</f>
        <v/>
      </c>
      <c r="L2918" s="7" t="str">
        <f>IF(Table1[[#This Row],[Is Data Valid]]=TRUE,_xlfn.NORM.S.DIST(Table1[[#This Row],[Birthweight Z-Score (BW+10%)]],TRUE)*100,"")</f>
        <v/>
      </c>
    </row>
    <row r="2919" spans="1:12" x14ac:dyDescent="0.35">
      <c r="A2919" s="3"/>
      <c r="B2919" s="2"/>
      <c r="C2919" s="2"/>
      <c r="D2919" s="2" t="b">
        <f>IF(AND(NOT(ISBLANK(Table1[[#This Row],[Fetal Sex (Male, Female or Unknown)]])),ISNUMBER(Table1[[#This Row],[Birthweight (grams)]]),ISNUMBER(Table1[[#This Row],[Gestation (days)]])),TRUE,FALSE)</f>
        <v>0</v>
      </c>
      <c r="E2919" s="2" t="str">
        <f>IF(Table1[[#This Row],[Is Data Valid]]=TRUE,IF(Table1[[#This Row],[Fetal Sex (Male, Female or Unknown)]]="Male",Backend!$C$6,IF(Table1[[#This Row],[Fetal Sex (Male, Female or Unknown)]]="Female",Backend!$C$7,IF(Table1[[#This Row],[Fetal Sex (Male, Female or Unknown)]]="Unknown",Backend!$C$8,"Error"))),"")</f>
        <v/>
      </c>
      <c r="F2919" s="8" t="str">
        <f>IF(Table1[[#This Row],[Is Data Valid]]=TRUE,EXP(0.578+0.332*((Table1[[#This Row],[Gestation (days)]]+0.5)/7)-0.00354*((Table1[[#This Row],[Gestation (days)]]+0.5)/7)^2)*Table1[[#This Row],[BW40_3705]],"")</f>
        <v/>
      </c>
      <c r="G2919" s="2" t="str">
        <f>IF(Table1[[#This Row],[Is Data Valid]]=TRUE,((Table1[[#This Row],[Birthweight (grams)]]/Table1[[#This Row],[BW_GA]])-1)/(Backend!$B$4/100*Table1[[#This Row],[BW40_3705]]),"")</f>
        <v/>
      </c>
      <c r="H2919" s="7" t="str">
        <f>IF(Table1[[#This Row],[Is Data Valid]]=TRUE,((Table1[[#This Row],[Birthweight (grams)]]*0.9/Table1[[#This Row],[BW_GA]])-1)/(Backend!$B$4/100*Table1[[#This Row],[BW40_3705]]),"")</f>
        <v/>
      </c>
      <c r="I2919" s="7" t="str">
        <f>IF(Table1[[#This Row],[Is Data Valid]]=TRUE,((Table1[[#This Row],[Birthweight (grams)]]*1.1/Table1[[#This Row],[BW_GA]])-1)/(Backend!$B$4/100*Table1[[#This Row],[BW40_3705]]),"")</f>
        <v/>
      </c>
      <c r="J2919" s="7" t="str">
        <f>IF(Table1[[#This Row],[Is Data Valid]]=TRUE,_xlfn.NORM.S.DIST(Table1[[#This Row],[Birthweight Z-Score]],TRUE)*100,"")</f>
        <v/>
      </c>
      <c r="K2919" s="7" t="str">
        <f>IF(Table1[[#This Row],[Is Data Valid]]=TRUE,_xlfn.NORM.S.DIST(Table1[[#This Row],[Birthweight Z-Score (BW-10%)]],TRUE)*100,"")</f>
        <v/>
      </c>
      <c r="L2919" s="7" t="str">
        <f>IF(Table1[[#This Row],[Is Data Valid]]=TRUE,_xlfn.NORM.S.DIST(Table1[[#This Row],[Birthweight Z-Score (BW+10%)]],TRUE)*100,"")</f>
        <v/>
      </c>
    </row>
    <row r="2920" spans="1:12" x14ac:dyDescent="0.35">
      <c r="A2920" s="3"/>
      <c r="B2920" s="2"/>
      <c r="C2920" s="2"/>
      <c r="D2920" s="2" t="b">
        <f>IF(AND(NOT(ISBLANK(Table1[[#This Row],[Fetal Sex (Male, Female or Unknown)]])),ISNUMBER(Table1[[#This Row],[Birthweight (grams)]]),ISNUMBER(Table1[[#This Row],[Gestation (days)]])),TRUE,FALSE)</f>
        <v>0</v>
      </c>
      <c r="E2920" s="2" t="str">
        <f>IF(Table1[[#This Row],[Is Data Valid]]=TRUE,IF(Table1[[#This Row],[Fetal Sex (Male, Female or Unknown)]]="Male",Backend!$C$6,IF(Table1[[#This Row],[Fetal Sex (Male, Female or Unknown)]]="Female",Backend!$C$7,IF(Table1[[#This Row],[Fetal Sex (Male, Female or Unknown)]]="Unknown",Backend!$C$8,"Error"))),"")</f>
        <v/>
      </c>
      <c r="F2920" s="8" t="str">
        <f>IF(Table1[[#This Row],[Is Data Valid]]=TRUE,EXP(0.578+0.332*((Table1[[#This Row],[Gestation (days)]]+0.5)/7)-0.00354*((Table1[[#This Row],[Gestation (days)]]+0.5)/7)^2)*Table1[[#This Row],[BW40_3705]],"")</f>
        <v/>
      </c>
      <c r="G2920" s="2" t="str">
        <f>IF(Table1[[#This Row],[Is Data Valid]]=TRUE,((Table1[[#This Row],[Birthweight (grams)]]/Table1[[#This Row],[BW_GA]])-1)/(Backend!$B$4/100*Table1[[#This Row],[BW40_3705]]),"")</f>
        <v/>
      </c>
      <c r="H2920" s="7" t="str">
        <f>IF(Table1[[#This Row],[Is Data Valid]]=TRUE,((Table1[[#This Row],[Birthweight (grams)]]*0.9/Table1[[#This Row],[BW_GA]])-1)/(Backend!$B$4/100*Table1[[#This Row],[BW40_3705]]),"")</f>
        <v/>
      </c>
      <c r="I2920" s="7" t="str">
        <f>IF(Table1[[#This Row],[Is Data Valid]]=TRUE,((Table1[[#This Row],[Birthweight (grams)]]*1.1/Table1[[#This Row],[BW_GA]])-1)/(Backend!$B$4/100*Table1[[#This Row],[BW40_3705]]),"")</f>
        <v/>
      </c>
      <c r="J2920" s="7" t="str">
        <f>IF(Table1[[#This Row],[Is Data Valid]]=TRUE,_xlfn.NORM.S.DIST(Table1[[#This Row],[Birthweight Z-Score]],TRUE)*100,"")</f>
        <v/>
      </c>
      <c r="K2920" s="7" t="str">
        <f>IF(Table1[[#This Row],[Is Data Valid]]=TRUE,_xlfn.NORM.S.DIST(Table1[[#This Row],[Birthweight Z-Score (BW-10%)]],TRUE)*100,"")</f>
        <v/>
      </c>
      <c r="L2920" s="7" t="str">
        <f>IF(Table1[[#This Row],[Is Data Valid]]=TRUE,_xlfn.NORM.S.DIST(Table1[[#This Row],[Birthweight Z-Score (BW+10%)]],TRUE)*100,"")</f>
        <v/>
      </c>
    </row>
    <row r="2921" spans="1:12" x14ac:dyDescent="0.35">
      <c r="A2921" s="3"/>
      <c r="B2921" s="2"/>
      <c r="C2921" s="2"/>
      <c r="D2921" s="2" t="b">
        <f>IF(AND(NOT(ISBLANK(Table1[[#This Row],[Fetal Sex (Male, Female or Unknown)]])),ISNUMBER(Table1[[#This Row],[Birthweight (grams)]]),ISNUMBER(Table1[[#This Row],[Gestation (days)]])),TRUE,FALSE)</f>
        <v>0</v>
      </c>
      <c r="E2921" s="2" t="str">
        <f>IF(Table1[[#This Row],[Is Data Valid]]=TRUE,IF(Table1[[#This Row],[Fetal Sex (Male, Female or Unknown)]]="Male",Backend!$C$6,IF(Table1[[#This Row],[Fetal Sex (Male, Female or Unknown)]]="Female",Backend!$C$7,IF(Table1[[#This Row],[Fetal Sex (Male, Female or Unknown)]]="Unknown",Backend!$C$8,"Error"))),"")</f>
        <v/>
      </c>
      <c r="F2921" s="8" t="str">
        <f>IF(Table1[[#This Row],[Is Data Valid]]=TRUE,EXP(0.578+0.332*((Table1[[#This Row],[Gestation (days)]]+0.5)/7)-0.00354*((Table1[[#This Row],[Gestation (days)]]+0.5)/7)^2)*Table1[[#This Row],[BW40_3705]],"")</f>
        <v/>
      </c>
      <c r="G2921" s="2" t="str">
        <f>IF(Table1[[#This Row],[Is Data Valid]]=TRUE,((Table1[[#This Row],[Birthweight (grams)]]/Table1[[#This Row],[BW_GA]])-1)/(Backend!$B$4/100*Table1[[#This Row],[BW40_3705]]),"")</f>
        <v/>
      </c>
      <c r="H2921" s="7" t="str">
        <f>IF(Table1[[#This Row],[Is Data Valid]]=TRUE,((Table1[[#This Row],[Birthweight (grams)]]*0.9/Table1[[#This Row],[BW_GA]])-1)/(Backend!$B$4/100*Table1[[#This Row],[BW40_3705]]),"")</f>
        <v/>
      </c>
      <c r="I2921" s="7" t="str">
        <f>IF(Table1[[#This Row],[Is Data Valid]]=TRUE,((Table1[[#This Row],[Birthweight (grams)]]*1.1/Table1[[#This Row],[BW_GA]])-1)/(Backend!$B$4/100*Table1[[#This Row],[BW40_3705]]),"")</f>
        <v/>
      </c>
      <c r="J2921" s="7" t="str">
        <f>IF(Table1[[#This Row],[Is Data Valid]]=TRUE,_xlfn.NORM.S.DIST(Table1[[#This Row],[Birthweight Z-Score]],TRUE)*100,"")</f>
        <v/>
      </c>
      <c r="K2921" s="7" t="str">
        <f>IF(Table1[[#This Row],[Is Data Valid]]=TRUE,_xlfn.NORM.S.DIST(Table1[[#This Row],[Birthweight Z-Score (BW-10%)]],TRUE)*100,"")</f>
        <v/>
      </c>
      <c r="L2921" s="7" t="str">
        <f>IF(Table1[[#This Row],[Is Data Valid]]=TRUE,_xlfn.NORM.S.DIST(Table1[[#This Row],[Birthweight Z-Score (BW+10%)]],TRUE)*100,"")</f>
        <v/>
      </c>
    </row>
    <row r="2922" spans="1:12" x14ac:dyDescent="0.35">
      <c r="A2922" s="3"/>
      <c r="B2922" s="2"/>
      <c r="C2922" s="2"/>
      <c r="D2922" s="2" t="b">
        <f>IF(AND(NOT(ISBLANK(Table1[[#This Row],[Fetal Sex (Male, Female or Unknown)]])),ISNUMBER(Table1[[#This Row],[Birthweight (grams)]]),ISNUMBER(Table1[[#This Row],[Gestation (days)]])),TRUE,FALSE)</f>
        <v>0</v>
      </c>
      <c r="E2922" s="2" t="str">
        <f>IF(Table1[[#This Row],[Is Data Valid]]=TRUE,IF(Table1[[#This Row],[Fetal Sex (Male, Female or Unknown)]]="Male",Backend!$C$6,IF(Table1[[#This Row],[Fetal Sex (Male, Female or Unknown)]]="Female",Backend!$C$7,IF(Table1[[#This Row],[Fetal Sex (Male, Female or Unknown)]]="Unknown",Backend!$C$8,"Error"))),"")</f>
        <v/>
      </c>
      <c r="F2922" s="8" t="str">
        <f>IF(Table1[[#This Row],[Is Data Valid]]=TRUE,EXP(0.578+0.332*((Table1[[#This Row],[Gestation (days)]]+0.5)/7)-0.00354*((Table1[[#This Row],[Gestation (days)]]+0.5)/7)^2)*Table1[[#This Row],[BW40_3705]],"")</f>
        <v/>
      </c>
      <c r="G2922" s="2" t="str">
        <f>IF(Table1[[#This Row],[Is Data Valid]]=TRUE,((Table1[[#This Row],[Birthweight (grams)]]/Table1[[#This Row],[BW_GA]])-1)/(Backend!$B$4/100*Table1[[#This Row],[BW40_3705]]),"")</f>
        <v/>
      </c>
      <c r="H2922" s="7" t="str">
        <f>IF(Table1[[#This Row],[Is Data Valid]]=TRUE,((Table1[[#This Row],[Birthweight (grams)]]*0.9/Table1[[#This Row],[BW_GA]])-1)/(Backend!$B$4/100*Table1[[#This Row],[BW40_3705]]),"")</f>
        <v/>
      </c>
      <c r="I2922" s="7" t="str">
        <f>IF(Table1[[#This Row],[Is Data Valid]]=TRUE,((Table1[[#This Row],[Birthweight (grams)]]*1.1/Table1[[#This Row],[BW_GA]])-1)/(Backend!$B$4/100*Table1[[#This Row],[BW40_3705]]),"")</f>
        <v/>
      </c>
      <c r="J2922" s="7" t="str">
        <f>IF(Table1[[#This Row],[Is Data Valid]]=TRUE,_xlfn.NORM.S.DIST(Table1[[#This Row],[Birthweight Z-Score]],TRUE)*100,"")</f>
        <v/>
      </c>
      <c r="K2922" s="7" t="str">
        <f>IF(Table1[[#This Row],[Is Data Valid]]=TRUE,_xlfn.NORM.S.DIST(Table1[[#This Row],[Birthweight Z-Score (BW-10%)]],TRUE)*100,"")</f>
        <v/>
      </c>
      <c r="L2922" s="7" t="str">
        <f>IF(Table1[[#This Row],[Is Data Valid]]=TRUE,_xlfn.NORM.S.DIST(Table1[[#This Row],[Birthweight Z-Score (BW+10%)]],TRUE)*100,"")</f>
        <v/>
      </c>
    </row>
    <row r="2923" spans="1:12" x14ac:dyDescent="0.35">
      <c r="A2923" s="3"/>
      <c r="B2923" s="2"/>
      <c r="C2923" s="2"/>
      <c r="D2923" s="2" t="b">
        <f>IF(AND(NOT(ISBLANK(Table1[[#This Row],[Fetal Sex (Male, Female or Unknown)]])),ISNUMBER(Table1[[#This Row],[Birthweight (grams)]]),ISNUMBER(Table1[[#This Row],[Gestation (days)]])),TRUE,FALSE)</f>
        <v>0</v>
      </c>
      <c r="E2923" s="2" t="str">
        <f>IF(Table1[[#This Row],[Is Data Valid]]=TRUE,IF(Table1[[#This Row],[Fetal Sex (Male, Female or Unknown)]]="Male",Backend!$C$6,IF(Table1[[#This Row],[Fetal Sex (Male, Female or Unknown)]]="Female",Backend!$C$7,IF(Table1[[#This Row],[Fetal Sex (Male, Female or Unknown)]]="Unknown",Backend!$C$8,"Error"))),"")</f>
        <v/>
      </c>
      <c r="F2923" s="8" t="str">
        <f>IF(Table1[[#This Row],[Is Data Valid]]=TRUE,EXP(0.578+0.332*((Table1[[#This Row],[Gestation (days)]]+0.5)/7)-0.00354*((Table1[[#This Row],[Gestation (days)]]+0.5)/7)^2)*Table1[[#This Row],[BW40_3705]],"")</f>
        <v/>
      </c>
      <c r="G2923" s="2" t="str">
        <f>IF(Table1[[#This Row],[Is Data Valid]]=TRUE,((Table1[[#This Row],[Birthweight (grams)]]/Table1[[#This Row],[BW_GA]])-1)/(Backend!$B$4/100*Table1[[#This Row],[BW40_3705]]),"")</f>
        <v/>
      </c>
      <c r="H2923" s="7" t="str">
        <f>IF(Table1[[#This Row],[Is Data Valid]]=TRUE,((Table1[[#This Row],[Birthweight (grams)]]*0.9/Table1[[#This Row],[BW_GA]])-1)/(Backend!$B$4/100*Table1[[#This Row],[BW40_3705]]),"")</f>
        <v/>
      </c>
      <c r="I2923" s="7" t="str">
        <f>IF(Table1[[#This Row],[Is Data Valid]]=TRUE,((Table1[[#This Row],[Birthweight (grams)]]*1.1/Table1[[#This Row],[BW_GA]])-1)/(Backend!$B$4/100*Table1[[#This Row],[BW40_3705]]),"")</f>
        <v/>
      </c>
      <c r="J2923" s="7" t="str">
        <f>IF(Table1[[#This Row],[Is Data Valid]]=TRUE,_xlfn.NORM.S.DIST(Table1[[#This Row],[Birthweight Z-Score]],TRUE)*100,"")</f>
        <v/>
      </c>
      <c r="K2923" s="7" t="str">
        <f>IF(Table1[[#This Row],[Is Data Valid]]=TRUE,_xlfn.NORM.S.DIST(Table1[[#This Row],[Birthweight Z-Score (BW-10%)]],TRUE)*100,"")</f>
        <v/>
      </c>
      <c r="L2923" s="7" t="str">
        <f>IF(Table1[[#This Row],[Is Data Valid]]=TRUE,_xlfn.NORM.S.DIST(Table1[[#This Row],[Birthweight Z-Score (BW+10%)]],TRUE)*100,"")</f>
        <v/>
      </c>
    </row>
    <row r="2924" spans="1:12" x14ac:dyDescent="0.35">
      <c r="A2924" s="3"/>
      <c r="B2924" s="2"/>
      <c r="C2924" s="2"/>
      <c r="D2924" s="2" t="b">
        <f>IF(AND(NOT(ISBLANK(Table1[[#This Row],[Fetal Sex (Male, Female or Unknown)]])),ISNUMBER(Table1[[#This Row],[Birthweight (grams)]]),ISNUMBER(Table1[[#This Row],[Gestation (days)]])),TRUE,FALSE)</f>
        <v>0</v>
      </c>
      <c r="E2924" s="2" t="str">
        <f>IF(Table1[[#This Row],[Is Data Valid]]=TRUE,IF(Table1[[#This Row],[Fetal Sex (Male, Female or Unknown)]]="Male",Backend!$C$6,IF(Table1[[#This Row],[Fetal Sex (Male, Female or Unknown)]]="Female",Backend!$C$7,IF(Table1[[#This Row],[Fetal Sex (Male, Female or Unknown)]]="Unknown",Backend!$C$8,"Error"))),"")</f>
        <v/>
      </c>
      <c r="F2924" s="8" t="str">
        <f>IF(Table1[[#This Row],[Is Data Valid]]=TRUE,EXP(0.578+0.332*((Table1[[#This Row],[Gestation (days)]]+0.5)/7)-0.00354*((Table1[[#This Row],[Gestation (days)]]+0.5)/7)^2)*Table1[[#This Row],[BW40_3705]],"")</f>
        <v/>
      </c>
      <c r="G2924" s="2" t="str">
        <f>IF(Table1[[#This Row],[Is Data Valid]]=TRUE,((Table1[[#This Row],[Birthweight (grams)]]/Table1[[#This Row],[BW_GA]])-1)/(Backend!$B$4/100*Table1[[#This Row],[BW40_3705]]),"")</f>
        <v/>
      </c>
      <c r="H2924" s="7" t="str">
        <f>IF(Table1[[#This Row],[Is Data Valid]]=TRUE,((Table1[[#This Row],[Birthweight (grams)]]*0.9/Table1[[#This Row],[BW_GA]])-1)/(Backend!$B$4/100*Table1[[#This Row],[BW40_3705]]),"")</f>
        <v/>
      </c>
      <c r="I2924" s="7" t="str">
        <f>IF(Table1[[#This Row],[Is Data Valid]]=TRUE,((Table1[[#This Row],[Birthweight (grams)]]*1.1/Table1[[#This Row],[BW_GA]])-1)/(Backend!$B$4/100*Table1[[#This Row],[BW40_3705]]),"")</f>
        <v/>
      </c>
      <c r="J2924" s="7" t="str">
        <f>IF(Table1[[#This Row],[Is Data Valid]]=TRUE,_xlfn.NORM.S.DIST(Table1[[#This Row],[Birthweight Z-Score]],TRUE)*100,"")</f>
        <v/>
      </c>
      <c r="K2924" s="7" t="str">
        <f>IF(Table1[[#This Row],[Is Data Valid]]=TRUE,_xlfn.NORM.S.DIST(Table1[[#This Row],[Birthweight Z-Score (BW-10%)]],TRUE)*100,"")</f>
        <v/>
      </c>
      <c r="L2924" s="7" t="str">
        <f>IF(Table1[[#This Row],[Is Data Valid]]=TRUE,_xlfn.NORM.S.DIST(Table1[[#This Row],[Birthweight Z-Score (BW+10%)]],TRUE)*100,"")</f>
        <v/>
      </c>
    </row>
    <row r="2925" spans="1:12" x14ac:dyDescent="0.35">
      <c r="A2925" s="3"/>
      <c r="B2925" s="2"/>
      <c r="C2925" s="2"/>
      <c r="D2925" s="2" t="b">
        <f>IF(AND(NOT(ISBLANK(Table1[[#This Row],[Fetal Sex (Male, Female or Unknown)]])),ISNUMBER(Table1[[#This Row],[Birthweight (grams)]]),ISNUMBER(Table1[[#This Row],[Gestation (days)]])),TRUE,FALSE)</f>
        <v>0</v>
      </c>
      <c r="E2925" s="2" t="str">
        <f>IF(Table1[[#This Row],[Is Data Valid]]=TRUE,IF(Table1[[#This Row],[Fetal Sex (Male, Female or Unknown)]]="Male",Backend!$C$6,IF(Table1[[#This Row],[Fetal Sex (Male, Female or Unknown)]]="Female",Backend!$C$7,IF(Table1[[#This Row],[Fetal Sex (Male, Female or Unknown)]]="Unknown",Backend!$C$8,"Error"))),"")</f>
        <v/>
      </c>
      <c r="F2925" s="8" t="str">
        <f>IF(Table1[[#This Row],[Is Data Valid]]=TRUE,EXP(0.578+0.332*((Table1[[#This Row],[Gestation (days)]]+0.5)/7)-0.00354*((Table1[[#This Row],[Gestation (days)]]+0.5)/7)^2)*Table1[[#This Row],[BW40_3705]],"")</f>
        <v/>
      </c>
      <c r="G2925" s="2" t="str">
        <f>IF(Table1[[#This Row],[Is Data Valid]]=TRUE,((Table1[[#This Row],[Birthweight (grams)]]/Table1[[#This Row],[BW_GA]])-1)/(Backend!$B$4/100*Table1[[#This Row],[BW40_3705]]),"")</f>
        <v/>
      </c>
      <c r="H2925" s="7" t="str">
        <f>IF(Table1[[#This Row],[Is Data Valid]]=TRUE,((Table1[[#This Row],[Birthweight (grams)]]*0.9/Table1[[#This Row],[BW_GA]])-1)/(Backend!$B$4/100*Table1[[#This Row],[BW40_3705]]),"")</f>
        <v/>
      </c>
      <c r="I2925" s="7" t="str">
        <f>IF(Table1[[#This Row],[Is Data Valid]]=TRUE,((Table1[[#This Row],[Birthweight (grams)]]*1.1/Table1[[#This Row],[BW_GA]])-1)/(Backend!$B$4/100*Table1[[#This Row],[BW40_3705]]),"")</f>
        <v/>
      </c>
      <c r="J2925" s="7" t="str">
        <f>IF(Table1[[#This Row],[Is Data Valid]]=TRUE,_xlfn.NORM.S.DIST(Table1[[#This Row],[Birthweight Z-Score]],TRUE)*100,"")</f>
        <v/>
      </c>
      <c r="K2925" s="7" t="str">
        <f>IF(Table1[[#This Row],[Is Data Valid]]=TRUE,_xlfn.NORM.S.DIST(Table1[[#This Row],[Birthweight Z-Score (BW-10%)]],TRUE)*100,"")</f>
        <v/>
      </c>
      <c r="L2925" s="7" t="str">
        <f>IF(Table1[[#This Row],[Is Data Valid]]=TRUE,_xlfn.NORM.S.DIST(Table1[[#This Row],[Birthweight Z-Score (BW+10%)]],TRUE)*100,"")</f>
        <v/>
      </c>
    </row>
    <row r="2926" spans="1:12" x14ac:dyDescent="0.35">
      <c r="A2926" s="3"/>
      <c r="B2926" s="2"/>
      <c r="C2926" s="2"/>
      <c r="D2926" s="2" t="b">
        <f>IF(AND(NOT(ISBLANK(Table1[[#This Row],[Fetal Sex (Male, Female or Unknown)]])),ISNUMBER(Table1[[#This Row],[Birthweight (grams)]]),ISNUMBER(Table1[[#This Row],[Gestation (days)]])),TRUE,FALSE)</f>
        <v>0</v>
      </c>
      <c r="E2926" s="2" t="str">
        <f>IF(Table1[[#This Row],[Is Data Valid]]=TRUE,IF(Table1[[#This Row],[Fetal Sex (Male, Female or Unknown)]]="Male",Backend!$C$6,IF(Table1[[#This Row],[Fetal Sex (Male, Female or Unknown)]]="Female",Backend!$C$7,IF(Table1[[#This Row],[Fetal Sex (Male, Female or Unknown)]]="Unknown",Backend!$C$8,"Error"))),"")</f>
        <v/>
      </c>
      <c r="F2926" s="8" t="str">
        <f>IF(Table1[[#This Row],[Is Data Valid]]=TRUE,EXP(0.578+0.332*((Table1[[#This Row],[Gestation (days)]]+0.5)/7)-0.00354*((Table1[[#This Row],[Gestation (days)]]+0.5)/7)^2)*Table1[[#This Row],[BW40_3705]],"")</f>
        <v/>
      </c>
      <c r="G2926" s="2" t="str">
        <f>IF(Table1[[#This Row],[Is Data Valid]]=TRUE,((Table1[[#This Row],[Birthweight (grams)]]/Table1[[#This Row],[BW_GA]])-1)/(Backend!$B$4/100*Table1[[#This Row],[BW40_3705]]),"")</f>
        <v/>
      </c>
      <c r="H2926" s="7" t="str">
        <f>IF(Table1[[#This Row],[Is Data Valid]]=TRUE,((Table1[[#This Row],[Birthweight (grams)]]*0.9/Table1[[#This Row],[BW_GA]])-1)/(Backend!$B$4/100*Table1[[#This Row],[BW40_3705]]),"")</f>
        <v/>
      </c>
      <c r="I2926" s="7" t="str">
        <f>IF(Table1[[#This Row],[Is Data Valid]]=TRUE,((Table1[[#This Row],[Birthweight (grams)]]*1.1/Table1[[#This Row],[BW_GA]])-1)/(Backend!$B$4/100*Table1[[#This Row],[BW40_3705]]),"")</f>
        <v/>
      </c>
      <c r="J2926" s="7" t="str">
        <f>IF(Table1[[#This Row],[Is Data Valid]]=TRUE,_xlfn.NORM.S.DIST(Table1[[#This Row],[Birthweight Z-Score]],TRUE)*100,"")</f>
        <v/>
      </c>
      <c r="K2926" s="7" t="str">
        <f>IF(Table1[[#This Row],[Is Data Valid]]=TRUE,_xlfn.NORM.S.DIST(Table1[[#This Row],[Birthweight Z-Score (BW-10%)]],TRUE)*100,"")</f>
        <v/>
      </c>
      <c r="L2926" s="7" t="str">
        <f>IF(Table1[[#This Row],[Is Data Valid]]=TRUE,_xlfn.NORM.S.DIST(Table1[[#This Row],[Birthweight Z-Score (BW+10%)]],TRUE)*100,"")</f>
        <v/>
      </c>
    </row>
    <row r="2927" spans="1:12" x14ac:dyDescent="0.35">
      <c r="A2927" s="3"/>
      <c r="B2927" s="2"/>
      <c r="C2927" s="2"/>
      <c r="D2927" s="2" t="b">
        <f>IF(AND(NOT(ISBLANK(Table1[[#This Row],[Fetal Sex (Male, Female or Unknown)]])),ISNUMBER(Table1[[#This Row],[Birthweight (grams)]]),ISNUMBER(Table1[[#This Row],[Gestation (days)]])),TRUE,FALSE)</f>
        <v>0</v>
      </c>
      <c r="E2927" s="2" t="str">
        <f>IF(Table1[[#This Row],[Is Data Valid]]=TRUE,IF(Table1[[#This Row],[Fetal Sex (Male, Female or Unknown)]]="Male",Backend!$C$6,IF(Table1[[#This Row],[Fetal Sex (Male, Female or Unknown)]]="Female",Backend!$C$7,IF(Table1[[#This Row],[Fetal Sex (Male, Female or Unknown)]]="Unknown",Backend!$C$8,"Error"))),"")</f>
        <v/>
      </c>
      <c r="F2927" s="8" t="str">
        <f>IF(Table1[[#This Row],[Is Data Valid]]=TRUE,EXP(0.578+0.332*((Table1[[#This Row],[Gestation (days)]]+0.5)/7)-0.00354*((Table1[[#This Row],[Gestation (days)]]+0.5)/7)^2)*Table1[[#This Row],[BW40_3705]],"")</f>
        <v/>
      </c>
      <c r="G2927" s="2" t="str">
        <f>IF(Table1[[#This Row],[Is Data Valid]]=TRUE,((Table1[[#This Row],[Birthweight (grams)]]/Table1[[#This Row],[BW_GA]])-1)/(Backend!$B$4/100*Table1[[#This Row],[BW40_3705]]),"")</f>
        <v/>
      </c>
      <c r="H2927" s="7" t="str">
        <f>IF(Table1[[#This Row],[Is Data Valid]]=TRUE,((Table1[[#This Row],[Birthweight (grams)]]*0.9/Table1[[#This Row],[BW_GA]])-1)/(Backend!$B$4/100*Table1[[#This Row],[BW40_3705]]),"")</f>
        <v/>
      </c>
      <c r="I2927" s="7" t="str">
        <f>IF(Table1[[#This Row],[Is Data Valid]]=TRUE,((Table1[[#This Row],[Birthweight (grams)]]*1.1/Table1[[#This Row],[BW_GA]])-1)/(Backend!$B$4/100*Table1[[#This Row],[BW40_3705]]),"")</f>
        <v/>
      </c>
      <c r="J2927" s="7" t="str">
        <f>IF(Table1[[#This Row],[Is Data Valid]]=TRUE,_xlfn.NORM.S.DIST(Table1[[#This Row],[Birthweight Z-Score]],TRUE)*100,"")</f>
        <v/>
      </c>
      <c r="K2927" s="7" t="str">
        <f>IF(Table1[[#This Row],[Is Data Valid]]=TRUE,_xlfn.NORM.S.DIST(Table1[[#This Row],[Birthweight Z-Score (BW-10%)]],TRUE)*100,"")</f>
        <v/>
      </c>
      <c r="L2927" s="7" t="str">
        <f>IF(Table1[[#This Row],[Is Data Valid]]=TRUE,_xlfn.NORM.S.DIST(Table1[[#This Row],[Birthweight Z-Score (BW+10%)]],TRUE)*100,"")</f>
        <v/>
      </c>
    </row>
    <row r="2928" spans="1:12" x14ac:dyDescent="0.35">
      <c r="A2928" s="3"/>
      <c r="B2928" s="2"/>
      <c r="C2928" s="2"/>
      <c r="D2928" s="2" t="b">
        <f>IF(AND(NOT(ISBLANK(Table1[[#This Row],[Fetal Sex (Male, Female or Unknown)]])),ISNUMBER(Table1[[#This Row],[Birthweight (grams)]]),ISNUMBER(Table1[[#This Row],[Gestation (days)]])),TRUE,FALSE)</f>
        <v>0</v>
      </c>
      <c r="E2928" s="2" t="str">
        <f>IF(Table1[[#This Row],[Is Data Valid]]=TRUE,IF(Table1[[#This Row],[Fetal Sex (Male, Female or Unknown)]]="Male",Backend!$C$6,IF(Table1[[#This Row],[Fetal Sex (Male, Female or Unknown)]]="Female",Backend!$C$7,IF(Table1[[#This Row],[Fetal Sex (Male, Female or Unknown)]]="Unknown",Backend!$C$8,"Error"))),"")</f>
        <v/>
      </c>
      <c r="F2928" s="8" t="str">
        <f>IF(Table1[[#This Row],[Is Data Valid]]=TRUE,EXP(0.578+0.332*((Table1[[#This Row],[Gestation (days)]]+0.5)/7)-0.00354*((Table1[[#This Row],[Gestation (days)]]+0.5)/7)^2)*Table1[[#This Row],[BW40_3705]],"")</f>
        <v/>
      </c>
      <c r="G2928" s="2" t="str">
        <f>IF(Table1[[#This Row],[Is Data Valid]]=TRUE,((Table1[[#This Row],[Birthweight (grams)]]/Table1[[#This Row],[BW_GA]])-1)/(Backend!$B$4/100*Table1[[#This Row],[BW40_3705]]),"")</f>
        <v/>
      </c>
      <c r="H2928" s="7" t="str">
        <f>IF(Table1[[#This Row],[Is Data Valid]]=TRUE,((Table1[[#This Row],[Birthweight (grams)]]*0.9/Table1[[#This Row],[BW_GA]])-1)/(Backend!$B$4/100*Table1[[#This Row],[BW40_3705]]),"")</f>
        <v/>
      </c>
      <c r="I2928" s="7" t="str">
        <f>IF(Table1[[#This Row],[Is Data Valid]]=TRUE,((Table1[[#This Row],[Birthweight (grams)]]*1.1/Table1[[#This Row],[BW_GA]])-1)/(Backend!$B$4/100*Table1[[#This Row],[BW40_3705]]),"")</f>
        <v/>
      </c>
      <c r="J2928" s="7" t="str">
        <f>IF(Table1[[#This Row],[Is Data Valid]]=TRUE,_xlfn.NORM.S.DIST(Table1[[#This Row],[Birthweight Z-Score]],TRUE)*100,"")</f>
        <v/>
      </c>
      <c r="K2928" s="7" t="str">
        <f>IF(Table1[[#This Row],[Is Data Valid]]=TRUE,_xlfn.NORM.S.DIST(Table1[[#This Row],[Birthweight Z-Score (BW-10%)]],TRUE)*100,"")</f>
        <v/>
      </c>
      <c r="L2928" s="7" t="str">
        <f>IF(Table1[[#This Row],[Is Data Valid]]=TRUE,_xlfn.NORM.S.DIST(Table1[[#This Row],[Birthweight Z-Score (BW+10%)]],TRUE)*100,"")</f>
        <v/>
      </c>
    </row>
    <row r="2929" spans="1:12" x14ac:dyDescent="0.35">
      <c r="A2929" s="3"/>
      <c r="B2929" s="2"/>
      <c r="C2929" s="2"/>
      <c r="D2929" s="2" t="b">
        <f>IF(AND(NOT(ISBLANK(Table1[[#This Row],[Fetal Sex (Male, Female or Unknown)]])),ISNUMBER(Table1[[#This Row],[Birthweight (grams)]]),ISNUMBER(Table1[[#This Row],[Gestation (days)]])),TRUE,FALSE)</f>
        <v>0</v>
      </c>
      <c r="E2929" s="2" t="str">
        <f>IF(Table1[[#This Row],[Is Data Valid]]=TRUE,IF(Table1[[#This Row],[Fetal Sex (Male, Female or Unknown)]]="Male",Backend!$C$6,IF(Table1[[#This Row],[Fetal Sex (Male, Female or Unknown)]]="Female",Backend!$C$7,IF(Table1[[#This Row],[Fetal Sex (Male, Female or Unknown)]]="Unknown",Backend!$C$8,"Error"))),"")</f>
        <v/>
      </c>
      <c r="F2929" s="8" t="str">
        <f>IF(Table1[[#This Row],[Is Data Valid]]=TRUE,EXP(0.578+0.332*((Table1[[#This Row],[Gestation (days)]]+0.5)/7)-0.00354*((Table1[[#This Row],[Gestation (days)]]+0.5)/7)^2)*Table1[[#This Row],[BW40_3705]],"")</f>
        <v/>
      </c>
      <c r="G2929" s="2" t="str">
        <f>IF(Table1[[#This Row],[Is Data Valid]]=TRUE,((Table1[[#This Row],[Birthweight (grams)]]/Table1[[#This Row],[BW_GA]])-1)/(Backend!$B$4/100*Table1[[#This Row],[BW40_3705]]),"")</f>
        <v/>
      </c>
      <c r="H2929" s="7" t="str">
        <f>IF(Table1[[#This Row],[Is Data Valid]]=TRUE,((Table1[[#This Row],[Birthweight (grams)]]*0.9/Table1[[#This Row],[BW_GA]])-1)/(Backend!$B$4/100*Table1[[#This Row],[BW40_3705]]),"")</f>
        <v/>
      </c>
      <c r="I2929" s="7" t="str">
        <f>IF(Table1[[#This Row],[Is Data Valid]]=TRUE,((Table1[[#This Row],[Birthweight (grams)]]*1.1/Table1[[#This Row],[BW_GA]])-1)/(Backend!$B$4/100*Table1[[#This Row],[BW40_3705]]),"")</f>
        <v/>
      </c>
      <c r="J2929" s="7" t="str">
        <f>IF(Table1[[#This Row],[Is Data Valid]]=TRUE,_xlfn.NORM.S.DIST(Table1[[#This Row],[Birthweight Z-Score]],TRUE)*100,"")</f>
        <v/>
      </c>
      <c r="K2929" s="7" t="str">
        <f>IF(Table1[[#This Row],[Is Data Valid]]=TRUE,_xlfn.NORM.S.DIST(Table1[[#This Row],[Birthweight Z-Score (BW-10%)]],TRUE)*100,"")</f>
        <v/>
      </c>
      <c r="L2929" s="7" t="str">
        <f>IF(Table1[[#This Row],[Is Data Valid]]=TRUE,_xlfn.NORM.S.DIST(Table1[[#This Row],[Birthweight Z-Score (BW+10%)]],TRUE)*100,"")</f>
        <v/>
      </c>
    </row>
    <row r="2930" spans="1:12" x14ac:dyDescent="0.35">
      <c r="A2930" s="3"/>
      <c r="B2930" s="2"/>
      <c r="C2930" s="2"/>
      <c r="D2930" s="2" t="b">
        <f>IF(AND(NOT(ISBLANK(Table1[[#This Row],[Fetal Sex (Male, Female or Unknown)]])),ISNUMBER(Table1[[#This Row],[Birthweight (grams)]]),ISNUMBER(Table1[[#This Row],[Gestation (days)]])),TRUE,FALSE)</f>
        <v>0</v>
      </c>
      <c r="E2930" s="2" t="str">
        <f>IF(Table1[[#This Row],[Is Data Valid]]=TRUE,IF(Table1[[#This Row],[Fetal Sex (Male, Female or Unknown)]]="Male",Backend!$C$6,IF(Table1[[#This Row],[Fetal Sex (Male, Female or Unknown)]]="Female",Backend!$C$7,IF(Table1[[#This Row],[Fetal Sex (Male, Female or Unknown)]]="Unknown",Backend!$C$8,"Error"))),"")</f>
        <v/>
      </c>
      <c r="F2930" s="8" t="str">
        <f>IF(Table1[[#This Row],[Is Data Valid]]=TRUE,EXP(0.578+0.332*((Table1[[#This Row],[Gestation (days)]]+0.5)/7)-0.00354*((Table1[[#This Row],[Gestation (days)]]+0.5)/7)^2)*Table1[[#This Row],[BW40_3705]],"")</f>
        <v/>
      </c>
      <c r="G2930" s="2" t="str">
        <f>IF(Table1[[#This Row],[Is Data Valid]]=TRUE,((Table1[[#This Row],[Birthweight (grams)]]/Table1[[#This Row],[BW_GA]])-1)/(Backend!$B$4/100*Table1[[#This Row],[BW40_3705]]),"")</f>
        <v/>
      </c>
      <c r="H2930" s="7" t="str">
        <f>IF(Table1[[#This Row],[Is Data Valid]]=TRUE,((Table1[[#This Row],[Birthweight (grams)]]*0.9/Table1[[#This Row],[BW_GA]])-1)/(Backend!$B$4/100*Table1[[#This Row],[BW40_3705]]),"")</f>
        <v/>
      </c>
      <c r="I2930" s="7" t="str">
        <f>IF(Table1[[#This Row],[Is Data Valid]]=TRUE,((Table1[[#This Row],[Birthweight (grams)]]*1.1/Table1[[#This Row],[BW_GA]])-1)/(Backend!$B$4/100*Table1[[#This Row],[BW40_3705]]),"")</f>
        <v/>
      </c>
      <c r="J2930" s="7" t="str">
        <f>IF(Table1[[#This Row],[Is Data Valid]]=TRUE,_xlfn.NORM.S.DIST(Table1[[#This Row],[Birthweight Z-Score]],TRUE)*100,"")</f>
        <v/>
      </c>
      <c r="K2930" s="7" t="str">
        <f>IF(Table1[[#This Row],[Is Data Valid]]=TRUE,_xlfn.NORM.S.DIST(Table1[[#This Row],[Birthweight Z-Score (BW-10%)]],TRUE)*100,"")</f>
        <v/>
      </c>
      <c r="L2930" s="7" t="str">
        <f>IF(Table1[[#This Row],[Is Data Valid]]=TRUE,_xlfn.NORM.S.DIST(Table1[[#This Row],[Birthweight Z-Score (BW+10%)]],TRUE)*100,"")</f>
        <v/>
      </c>
    </row>
    <row r="2931" spans="1:12" x14ac:dyDescent="0.35">
      <c r="A2931" s="3"/>
      <c r="B2931" s="2"/>
      <c r="C2931" s="2"/>
      <c r="D2931" s="2" t="b">
        <f>IF(AND(NOT(ISBLANK(Table1[[#This Row],[Fetal Sex (Male, Female or Unknown)]])),ISNUMBER(Table1[[#This Row],[Birthweight (grams)]]),ISNUMBER(Table1[[#This Row],[Gestation (days)]])),TRUE,FALSE)</f>
        <v>0</v>
      </c>
      <c r="E2931" s="2" t="str">
        <f>IF(Table1[[#This Row],[Is Data Valid]]=TRUE,IF(Table1[[#This Row],[Fetal Sex (Male, Female or Unknown)]]="Male",Backend!$C$6,IF(Table1[[#This Row],[Fetal Sex (Male, Female or Unknown)]]="Female",Backend!$C$7,IF(Table1[[#This Row],[Fetal Sex (Male, Female or Unknown)]]="Unknown",Backend!$C$8,"Error"))),"")</f>
        <v/>
      </c>
      <c r="F2931" s="8" t="str">
        <f>IF(Table1[[#This Row],[Is Data Valid]]=TRUE,EXP(0.578+0.332*((Table1[[#This Row],[Gestation (days)]]+0.5)/7)-0.00354*((Table1[[#This Row],[Gestation (days)]]+0.5)/7)^2)*Table1[[#This Row],[BW40_3705]],"")</f>
        <v/>
      </c>
      <c r="G2931" s="2" t="str">
        <f>IF(Table1[[#This Row],[Is Data Valid]]=TRUE,((Table1[[#This Row],[Birthweight (grams)]]/Table1[[#This Row],[BW_GA]])-1)/(Backend!$B$4/100*Table1[[#This Row],[BW40_3705]]),"")</f>
        <v/>
      </c>
      <c r="H2931" s="7" t="str">
        <f>IF(Table1[[#This Row],[Is Data Valid]]=TRUE,((Table1[[#This Row],[Birthweight (grams)]]*0.9/Table1[[#This Row],[BW_GA]])-1)/(Backend!$B$4/100*Table1[[#This Row],[BW40_3705]]),"")</f>
        <v/>
      </c>
      <c r="I2931" s="7" t="str">
        <f>IF(Table1[[#This Row],[Is Data Valid]]=TRUE,((Table1[[#This Row],[Birthweight (grams)]]*1.1/Table1[[#This Row],[BW_GA]])-1)/(Backend!$B$4/100*Table1[[#This Row],[BW40_3705]]),"")</f>
        <v/>
      </c>
      <c r="J2931" s="7" t="str">
        <f>IF(Table1[[#This Row],[Is Data Valid]]=TRUE,_xlfn.NORM.S.DIST(Table1[[#This Row],[Birthweight Z-Score]],TRUE)*100,"")</f>
        <v/>
      </c>
      <c r="K2931" s="7" t="str">
        <f>IF(Table1[[#This Row],[Is Data Valid]]=TRUE,_xlfn.NORM.S.DIST(Table1[[#This Row],[Birthweight Z-Score (BW-10%)]],TRUE)*100,"")</f>
        <v/>
      </c>
      <c r="L2931" s="7" t="str">
        <f>IF(Table1[[#This Row],[Is Data Valid]]=TRUE,_xlfn.NORM.S.DIST(Table1[[#This Row],[Birthweight Z-Score (BW+10%)]],TRUE)*100,"")</f>
        <v/>
      </c>
    </row>
    <row r="2932" spans="1:12" x14ac:dyDescent="0.35">
      <c r="A2932" s="3"/>
      <c r="B2932" s="2"/>
      <c r="C2932" s="2"/>
      <c r="D2932" s="2" t="b">
        <f>IF(AND(NOT(ISBLANK(Table1[[#This Row],[Fetal Sex (Male, Female or Unknown)]])),ISNUMBER(Table1[[#This Row],[Birthweight (grams)]]),ISNUMBER(Table1[[#This Row],[Gestation (days)]])),TRUE,FALSE)</f>
        <v>0</v>
      </c>
      <c r="E2932" s="2" t="str">
        <f>IF(Table1[[#This Row],[Is Data Valid]]=TRUE,IF(Table1[[#This Row],[Fetal Sex (Male, Female or Unknown)]]="Male",Backend!$C$6,IF(Table1[[#This Row],[Fetal Sex (Male, Female or Unknown)]]="Female",Backend!$C$7,IF(Table1[[#This Row],[Fetal Sex (Male, Female or Unknown)]]="Unknown",Backend!$C$8,"Error"))),"")</f>
        <v/>
      </c>
      <c r="F2932" s="8" t="str">
        <f>IF(Table1[[#This Row],[Is Data Valid]]=TRUE,EXP(0.578+0.332*((Table1[[#This Row],[Gestation (days)]]+0.5)/7)-0.00354*((Table1[[#This Row],[Gestation (days)]]+0.5)/7)^2)*Table1[[#This Row],[BW40_3705]],"")</f>
        <v/>
      </c>
      <c r="G2932" s="2" t="str">
        <f>IF(Table1[[#This Row],[Is Data Valid]]=TRUE,((Table1[[#This Row],[Birthweight (grams)]]/Table1[[#This Row],[BW_GA]])-1)/(Backend!$B$4/100*Table1[[#This Row],[BW40_3705]]),"")</f>
        <v/>
      </c>
      <c r="H2932" s="7" t="str">
        <f>IF(Table1[[#This Row],[Is Data Valid]]=TRUE,((Table1[[#This Row],[Birthweight (grams)]]*0.9/Table1[[#This Row],[BW_GA]])-1)/(Backend!$B$4/100*Table1[[#This Row],[BW40_3705]]),"")</f>
        <v/>
      </c>
      <c r="I2932" s="7" t="str">
        <f>IF(Table1[[#This Row],[Is Data Valid]]=TRUE,((Table1[[#This Row],[Birthweight (grams)]]*1.1/Table1[[#This Row],[BW_GA]])-1)/(Backend!$B$4/100*Table1[[#This Row],[BW40_3705]]),"")</f>
        <v/>
      </c>
      <c r="J2932" s="7" t="str">
        <f>IF(Table1[[#This Row],[Is Data Valid]]=TRUE,_xlfn.NORM.S.DIST(Table1[[#This Row],[Birthweight Z-Score]],TRUE)*100,"")</f>
        <v/>
      </c>
      <c r="K2932" s="7" t="str">
        <f>IF(Table1[[#This Row],[Is Data Valid]]=TRUE,_xlfn.NORM.S.DIST(Table1[[#This Row],[Birthweight Z-Score (BW-10%)]],TRUE)*100,"")</f>
        <v/>
      </c>
      <c r="L2932" s="7" t="str">
        <f>IF(Table1[[#This Row],[Is Data Valid]]=TRUE,_xlfn.NORM.S.DIST(Table1[[#This Row],[Birthweight Z-Score (BW+10%)]],TRUE)*100,"")</f>
        <v/>
      </c>
    </row>
    <row r="2933" spans="1:12" x14ac:dyDescent="0.35">
      <c r="A2933" s="3"/>
      <c r="B2933" s="2"/>
      <c r="C2933" s="2"/>
      <c r="D2933" s="2" t="b">
        <f>IF(AND(NOT(ISBLANK(Table1[[#This Row],[Fetal Sex (Male, Female or Unknown)]])),ISNUMBER(Table1[[#This Row],[Birthweight (grams)]]),ISNUMBER(Table1[[#This Row],[Gestation (days)]])),TRUE,FALSE)</f>
        <v>0</v>
      </c>
      <c r="E2933" s="2" t="str">
        <f>IF(Table1[[#This Row],[Is Data Valid]]=TRUE,IF(Table1[[#This Row],[Fetal Sex (Male, Female or Unknown)]]="Male",Backend!$C$6,IF(Table1[[#This Row],[Fetal Sex (Male, Female or Unknown)]]="Female",Backend!$C$7,IF(Table1[[#This Row],[Fetal Sex (Male, Female or Unknown)]]="Unknown",Backend!$C$8,"Error"))),"")</f>
        <v/>
      </c>
      <c r="F2933" s="8" t="str">
        <f>IF(Table1[[#This Row],[Is Data Valid]]=TRUE,EXP(0.578+0.332*((Table1[[#This Row],[Gestation (days)]]+0.5)/7)-0.00354*((Table1[[#This Row],[Gestation (days)]]+0.5)/7)^2)*Table1[[#This Row],[BW40_3705]],"")</f>
        <v/>
      </c>
      <c r="G2933" s="2" t="str">
        <f>IF(Table1[[#This Row],[Is Data Valid]]=TRUE,((Table1[[#This Row],[Birthweight (grams)]]/Table1[[#This Row],[BW_GA]])-1)/(Backend!$B$4/100*Table1[[#This Row],[BW40_3705]]),"")</f>
        <v/>
      </c>
      <c r="H2933" s="7" t="str">
        <f>IF(Table1[[#This Row],[Is Data Valid]]=TRUE,((Table1[[#This Row],[Birthweight (grams)]]*0.9/Table1[[#This Row],[BW_GA]])-1)/(Backend!$B$4/100*Table1[[#This Row],[BW40_3705]]),"")</f>
        <v/>
      </c>
      <c r="I2933" s="7" t="str">
        <f>IF(Table1[[#This Row],[Is Data Valid]]=TRUE,((Table1[[#This Row],[Birthweight (grams)]]*1.1/Table1[[#This Row],[BW_GA]])-1)/(Backend!$B$4/100*Table1[[#This Row],[BW40_3705]]),"")</f>
        <v/>
      </c>
      <c r="J2933" s="7" t="str">
        <f>IF(Table1[[#This Row],[Is Data Valid]]=TRUE,_xlfn.NORM.S.DIST(Table1[[#This Row],[Birthweight Z-Score]],TRUE)*100,"")</f>
        <v/>
      </c>
      <c r="K2933" s="7" t="str">
        <f>IF(Table1[[#This Row],[Is Data Valid]]=TRUE,_xlfn.NORM.S.DIST(Table1[[#This Row],[Birthweight Z-Score (BW-10%)]],TRUE)*100,"")</f>
        <v/>
      </c>
      <c r="L2933" s="7" t="str">
        <f>IF(Table1[[#This Row],[Is Data Valid]]=TRUE,_xlfn.NORM.S.DIST(Table1[[#This Row],[Birthweight Z-Score (BW+10%)]],TRUE)*100,"")</f>
        <v/>
      </c>
    </row>
    <row r="2934" spans="1:12" x14ac:dyDescent="0.35">
      <c r="A2934" s="3"/>
      <c r="B2934" s="2"/>
      <c r="C2934" s="2"/>
      <c r="D2934" s="2" t="b">
        <f>IF(AND(NOT(ISBLANK(Table1[[#This Row],[Fetal Sex (Male, Female or Unknown)]])),ISNUMBER(Table1[[#This Row],[Birthweight (grams)]]),ISNUMBER(Table1[[#This Row],[Gestation (days)]])),TRUE,FALSE)</f>
        <v>0</v>
      </c>
      <c r="E2934" s="2" t="str">
        <f>IF(Table1[[#This Row],[Is Data Valid]]=TRUE,IF(Table1[[#This Row],[Fetal Sex (Male, Female or Unknown)]]="Male",Backend!$C$6,IF(Table1[[#This Row],[Fetal Sex (Male, Female or Unknown)]]="Female",Backend!$C$7,IF(Table1[[#This Row],[Fetal Sex (Male, Female or Unknown)]]="Unknown",Backend!$C$8,"Error"))),"")</f>
        <v/>
      </c>
      <c r="F2934" s="8" t="str">
        <f>IF(Table1[[#This Row],[Is Data Valid]]=TRUE,EXP(0.578+0.332*((Table1[[#This Row],[Gestation (days)]]+0.5)/7)-0.00354*((Table1[[#This Row],[Gestation (days)]]+0.5)/7)^2)*Table1[[#This Row],[BW40_3705]],"")</f>
        <v/>
      </c>
      <c r="G2934" s="2" t="str">
        <f>IF(Table1[[#This Row],[Is Data Valid]]=TRUE,((Table1[[#This Row],[Birthweight (grams)]]/Table1[[#This Row],[BW_GA]])-1)/(Backend!$B$4/100*Table1[[#This Row],[BW40_3705]]),"")</f>
        <v/>
      </c>
      <c r="H2934" s="7" t="str">
        <f>IF(Table1[[#This Row],[Is Data Valid]]=TRUE,((Table1[[#This Row],[Birthweight (grams)]]*0.9/Table1[[#This Row],[BW_GA]])-1)/(Backend!$B$4/100*Table1[[#This Row],[BW40_3705]]),"")</f>
        <v/>
      </c>
      <c r="I2934" s="7" t="str">
        <f>IF(Table1[[#This Row],[Is Data Valid]]=TRUE,((Table1[[#This Row],[Birthweight (grams)]]*1.1/Table1[[#This Row],[BW_GA]])-1)/(Backend!$B$4/100*Table1[[#This Row],[BW40_3705]]),"")</f>
        <v/>
      </c>
      <c r="J2934" s="7" t="str">
        <f>IF(Table1[[#This Row],[Is Data Valid]]=TRUE,_xlfn.NORM.S.DIST(Table1[[#This Row],[Birthweight Z-Score]],TRUE)*100,"")</f>
        <v/>
      </c>
      <c r="K2934" s="7" t="str">
        <f>IF(Table1[[#This Row],[Is Data Valid]]=TRUE,_xlfn.NORM.S.DIST(Table1[[#This Row],[Birthweight Z-Score (BW-10%)]],TRUE)*100,"")</f>
        <v/>
      </c>
      <c r="L2934" s="7" t="str">
        <f>IF(Table1[[#This Row],[Is Data Valid]]=TRUE,_xlfn.NORM.S.DIST(Table1[[#This Row],[Birthweight Z-Score (BW+10%)]],TRUE)*100,"")</f>
        <v/>
      </c>
    </row>
    <row r="2935" spans="1:12" x14ac:dyDescent="0.35">
      <c r="A2935" s="3"/>
      <c r="B2935" s="2"/>
      <c r="C2935" s="2"/>
      <c r="D2935" s="2" t="b">
        <f>IF(AND(NOT(ISBLANK(Table1[[#This Row],[Fetal Sex (Male, Female or Unknown)]])),ISNUMBER(Table1[[#This Row],[Birthweight (grams)]]),ISNUMBER(Table1[[#This Row],[Gestation (days)]])),TRUE,FALSE)</f>
        <v>0</v>
      </c>
      <c r="E2935" s="2" t="str">
        <f>IF(Table1[[#This Row],[Is Data Valid]]=TRUE,IF(Table1[[#This Row],[Fetal Sex (Male, Female or Unknown)]]="Male",Backend!$C$6,IF(Table1[[#This Row],[Fetal Sex (Male, Female or Unknown)]]="Female",Backend!$C$7,IF(Table1[[#This Row],[Fetal Sex (Male, Female or Unknown)]]="Unknown",Backend!$C$8,"Error"))),"")</f>
        <v/>
      </c>
      <c r="F2935" s="8" t="str">
        <f>IF(Table1[[#This Row],[Is Data Valid]]=TRUE,EXP(0.578+0.332*((Table1[[#This Row],[Gestation (days)]]+0.5)/7)-0.00354*((Table1[[#This Row],[Gestation (days)]]+0.5)/7)^2)*Table1[[#This Row],[BW40_3705]],"")</f>
        <v/>
      </c>
      <c r="G2935" s="2" t="str">
        <f>IF(Table1[[#This Row],[Is Data Valid]]=TRUE,((Table1[[#This Row],[Birthweight (grams)]]/Table1[[#This Row],[BW_GA]])-1)/(Backend!$B$4/100*Table1[[#This Row],[BW40_3705]]),"")</f>
        <v/>
      </c>
      <c r="H2935" s="7" t="str">
        <f>IF(Table1[[#This Row],[Is Data Valid]]=TRUE,((Table1[[#This Row],[Birthweight (grams)]]*0.9/Table1[[#This Row],[BW_GA]])-1)/(Backend!$B$4/100*Table1[[#This Row],[BW40_3705]]),"")</f>
        <v/>
      </c>
      <c r="I2935" s="7" t="str">
        <f>IF(Table1[[#This Row],[Is Data Valid]]=TRUE,((Table1[[#This Row],[Birthweight (grams)]]*1.1/Table1[[#This Row],[BW_GA]])-1)/(Backend!$B$4/100*Table1[[#This Row],[BW40_3705]]),"")</f>
        <v/>
      </c>
      <c r="J2935" s="7" t="str">
        <f>IF(Table1[[#This Row],[Is Data Valid]]=TRUE,_xlfn.NORM.S.DIST(Table1[[#This Row],[Birthweight Z-Score]],TRUE)*100,"")</f>
        <v/>
      </c>
      <c r="K2935" s="7" t="str">
        <f>IF(Table1[[#This Row],[Is Data Valid]]=TRUE,_xlfn.NORM.S.DIST(Table1[[#This Row],[Birthweight Z-Score (BW-10%)]],TRUE)*100,"")</f>
        <v/>
      </c>
      <c r="L2935" s="7" t="str">
        <f>IF(Table1[[#This Row],[Is Data Valid]]=TRUE,_xlfn.NORM.S.DIST(Table1[[#This Row],[Birthweight Z-Score (BW+10%)]],TRUE)*100,"")</f>
        <v/>
      </c>
    </row>
    <row r="2936" spans="1:12" x14ac:dyDescent="0.35">
      <c r="A2936" s="3"/>
      <c r="B2936" s="2"/>
      <c r="C2936" s="2"/>
      <c r="D2936" s="2" t="b">
        <f>IF(AND(NOT(ISBLANK(Table1[[#This Row],[Fetal Sex (Male, Female or Unknown)]])),ISNUMBER(Table1[[#This Row],[Birthweight (grams)]]),ISNUMBER(Table1[[#This Row],[Gestation (days)]])),TRUE,FALSE)</f>
        <v>0</v>
      </c>
      <c r="E2936" s="2" t="str">
        <f>IF(Table1[[#This Row],[Is Data Valid]]=TRUE,IF(Table1[[#This Row],[Fetal Sex (Male, Female or Unknown)]]="Male",Backend!$C$6,IF(Table1[[#This Row],[Fetal Sex (Male, Female or Unknown)]]="Female",Backend!$C$7,IF(Table1[[#This Row],[Fetal Sex (Male, Female or Unknown)]]="Unknown",Backend!$C$8,"Error"))),"")</f>
        <v/>
      </c>
      <c r="F2936" s="8" t="str">
        <f>IF(Table1[[#This Row],[Is Data Valid]]=TRUE,EXP(0.578+0.332*((Table1[[#This Row],[Gestation (days)]]+0.5)/7)-0.00354*((Table1[[#This Row],[Gestation (days)]]+0.5)/7)^2)*Table1[[#This Row],[BW40_3705]],"")</f>
        <v/>
      </c>
      <c r="G2936" s="2" t="str">
        <f>IF(Table1[[#This Row],[Is Data Valid]]=TRUE,((Table1[[#This Row],[Birthweight (grams)]]/Table1[[#This Row],[BW_GA]])-1)/(Backend!$B$4/100*Table1[[#This Row],[BW40_3705]]),"")</f>
        <v/>
      </c>
      <c r="H2936" s="7" t="str">
        <f>IF(Table1[[#This Row],[Is Data Valid]]=TRUE,((Table1[[#This Row],[Birthweight (grams)]]*0.9/Table1[[#This Row],[BW_GA]])-1)/(Backend!$B$4/100*Table1[[#This Row],[BW40_3705]]),"")</f>
        <v/>
      </c>
      <c r="I2936" s="7" t="str">
        <f>IF(Table1[[#This Row],[Is Data Valid]]=TRUE,((Table1[[#This Row],[Birthweight (grams)]]*1.1/Table1[[#This Row],[BW_GA]])-1)/(Backend!$B$4/100*Table1[[#This Row],[BW40_3705]]),"")</f>
        <v/>
      </c>
      <c r="J2936" s="7" t="str">
        <f>IF(Table1[[#This Row],[Is Data Valid]]=TRUE,_xlfn.NORM.S.DIST(Table1[[#This Row],[Birthweight Z-Score]],TRUE)*100,"")</f>
        <v/>
      </c>
      <c r="K2936" s="7" t="str">
        <f>IF(Table1[[#This Row],[Is Data Valid]]=TRUE,_xlfn.NORM.S.DIST(Table1[[#This Row],[Birthweight Z-Score (BW-10%)]],TRUE)*100,"")</f>
        <v/>
      </c>
      <c r="L2936" s="7" t="str">
        <f>IF(Table1[[#This Row],[Is Data Valid]]=TRUE,_xlfn.NORM.S.DIST(Table1[[#This Row],[Birthweight Z-Score (BW+10%)]],TRUE)*100,"")</f>
        <v/>
      </c>
    </row>
    <row r="2937" spans="1:12" x14ac:dyDescent="0.35">
      <c r="A2937" s="3"/>
      <c r="B2937" s="2"/>
      <c r="C2937" s="2"/>
      <c r="D2937" s="2" t="b">
        <f>IF(AND(NOT(ISBLANK(Table1[[#This Row],[Fetal Sex (Male, Female or Unknown)]])),ISNUMBER(Table1[[#This Row],[Birthweight (grams)]]),ISNUMBER(Table1[[#This Row],[Gestation (days)]])),TRUE,FALSE)</f>
        <v>0</v>
      </c>
      <c r="E2937" s="2" t="str">
        <f>IF(Table1[[#This Row],[Is Data Valid]]=TRUE,IF(Table1[[#This Row],[Fetal Sex (Male, Female or Unknown)]]="Male",Backend!$C$6,IF(Table1[[#This Row],[Fetal Sex (Male, Female or Unknown)]]="Female",Backend!$C$7,IF(Table1[[#This Row],[Fetal Sex (Male, Female or Unknown)]]="Unknown",Backend!$C$8,"Error"))),"")</f>
        <v/>
      </c>
      <c r="F2937" s="8" t="str">
        <f>IF(Table1[[#This Row],[Is Data Valid]]=TRUE,EXP(0.578+0.332*((Table1[[#This Row],[Gestation (days)]]+0.5)/7)-0.00354*((Table1[[#This Row],[Gestation (days)]]+0.5)/7)^2)*Table1[[#This Row],[BW40_3705]],"")</f>
        <v/>
      </c>
      <c r="G2937" s="2" t="str">
        <f>IF(Table1[[#This Row],[Is Data Valid]]=TRUE,((Table1[[#This Row],[Birthweight (grams)]]/Table1[[#This Row],[BW_GA]])-1)/(Backend!$B$4/100*Table1[[#This Row],[BW40_3705]]),"")</f>
        <v/>
      </c>
      <c r="H2937" s="7" t="str">
        <f>IF(Table1[[#This Row],[Is Data Valid]]=TRUE,((Table1[[#This Row],[Birthweight (grams)]]*0.9/Table1[[#This Row],[BW_GA]])-1)/(Backend!$B$4/100*Table1[[#This Row],[BW40_3705]]),"")</f>
        <v/>
      </c>
      <c r="I2937" s="7" t="str">
        <f>IF(Table1[[#This Row],[Is Data Valid]]=TRUE,((Table1[[#This Row],[Birthweight (grams)]]*1.1/Table1[[#This Row],[BW_GA]])-1)/(Backend!$B$4/100*Table1[[#This Row],[BW40_3705]]),"")</f>
        <v/>
      </c>
      <c r="J2937" s="7" t="str">
        <f>IF(Table1[[#This Row],[Is Data Valid]]=TRUE,_xlfn.NORM.S.DIST(Table1[[#This Row],[Birthweight Z-Score]],TRUE)*100,"")</f>
        <v/>
      </c>
      <c r="K2937" s="7" t="str">
        <f>IF(Table1[[#This Row],[Is Data Valid]]=TRUE,_xlfn.NORM.S.DIST(Table1[[#This Row],[Birthweight Z-Score (BW-10%)]],TRUE)*100,"")</f>
        <v/>
      </c>
      <c r="L2937" s="7" t="str">
        <f>IF(Table1[[#This Row],[Is Data Valid]]=TRUE,_xlfn.NORM.S.DIST(Table1[[#This Row],[Birthweight Z-Score (BW+10%)]],TRUE)*100,"")</f>
        <v/>
      </c>
    </row>
    <row r="2938" spans="1:12" x14ac:dyDescent="0.35">
      <c r="A2938" s="3"/>
      <c r="B2938" s="2"/>
      <c r="C2938" s="2"/>
      <c r="D2938" s="2" t="b">
        <f>IF(AND(NOT(ISBLANK(Table1[[#This Row],[Fetal Sex (Male, Female or Unknown)]])),ISNUMBER(Table1[[#This Row],[Birthweight (grams)]]),ISNUMBER(Table1[[#This Row],[Gestation (days)]])),TRUE,FALSE)</f>
        <v>0</v>
      </c>
      <c r="E2938" s="2" t="str">
        <f>IF(Table1[[#This Row],[Is Data Valid]]=TRUE,IF(Table1[[#This Row],[Fetal Sex (Male, Female or Unknown)]]="Male",Backend!$C$6,IF(Table1[[#This Row],[Fetal Sex (Male, Female or Unknown)]]="Female",Backend!$C$7,IF(Table1[[#This Row],[Fetal Sex (Male, Female or Unknown)]]="Unknown",Backend!$C$8,"Error"))),"")</f>
        <v/>
      </c>
      <c r="F2938" s="8" t="str">
        <f>IF(Table1[[#This Row],[Is Data Valid]]=TRUE,EXP(0.578+0.332*((Table1[[#This Row],[Gestation (days)]]+0.5)/7)-0.00354*((Table1[[#This Row],[Gestation (days)]]+0.5)/7)^2)*Table1[[#This Row],[BW40_3705]],"")</f>
        <v/>
      </c>
      <c r="G2938" s="2" t="str">
        <f>IF(Table1[[#This Row],[Is Data Valid]]=TRUE,((Table1[[#This Row],[Birthweight (grams)]]/Table1[[#This Row],[BW_GA]])-1)/(Backend!$B$4/100*Table1[[#This Row],[BW40_3705]]),"")</f>
        <v/>
      </c>
      <c r="H2938" s="7" t="str">
        <f>IF(Table1[[#This Row],[Is Data Valid]]=TRUE,((Table1[[#This Row],[Birthweight (grams)]]*0.9/Table1[[#This Row],[BW_GA]])-1)/(Backend!$B$4/100*Table1[[#This Row],[BW40_3705]]),"")</f>
        <v/>
      </c>
      <c r="I2938" s="7" t="str">
        <f>IF(Table1[[#This Row],[Is Data Valid]]=TRUE,((Table1[[#This Row],[Birthweight (grams)]]*1.1/Table1[[#This Row],[BW_GA]])-1)/(Backend!$B$4/100*Table1[[#This Row],[BW40_3705]]),"")</f>
        <v/>
      </c>
      <c r="J2938" s="7" t="str">
        <f>IF(Table1[[#This Row],[Is Data Valid]]=TRUE,_xlfn.NORM.S.DIST(Table1[[#This Row],[Birthweight Z-Score]],TRUE)*100,"")</f>
        <v/>
      </c>
      <c r="K2938" s="7" t="str">
        <f>IF(Table1[[#This Row],[Is Data Valid]]=TRUE,_xlfn.NORM.S.DIST(Table1[[#This Row],[Birthweight Z-Score (BW-10%)]],TRUE)*100,"")</f>
        <v/>
      </c>
      <c r="L2938" s="7" t="str">
        <f>IF(Table1[[#This Row],[Is Data Valid]]=TRUE,_xlfn.NORM.S.DIST(Table1[[#This Row],[Birthweight Z-Score (BW+10%)]],TRUE)*100,"")</f>
        <v/>
      </c>
    </row>
    <row r="2939" spans="1:12" x14ac:dyDescent="0.35">
      <c r="A2939" s="3"/>
      <c r="B2939" s="2"/>
      <c r="C2939" s="2"/>
      <c r="D2939" s="2" t="b">
        <f>IF(AND(NOT(ISBLANK(Table1[[#This Row],[Fetal Sex (Male, Female or Unknown)]])),ISNUMBER(Table1[[#This Row],[Birthweight (grams)]]),ISNUMBER(Table1[[#This Row],[Gestation (days)]])),TRUE,FALSE)</f>
        <v>0</v>
      </c>
      <c r="E2939" s="2" t="str">
        <f>IF(Table1[[#This Row],[Is Data Valid]]=TRUE,IF(Table1[[#This Row],[Fetal Sex (Male, Female or Unknown)]]="Male",Backend!$C$6,IF(Table1[[#This Row],[Fetal Sex (Male, Female or Unknown)]]="Female",Backend!$C$7,IF(Table1[[#This Row],[Fetal Sex (Male, Female or Unknown)]]="Unknown",Backend!$C$8,"Error"))),"")</f>
        <v/>
      </c>
      <c r="F2939" s="8" t="str">
        <f>IF(Table1[[#This Row],[Is Data Valid]]=TRUE,EXP(0.578+0.332*((Table1[[#This Row],[Gestation (days)]]+0.5)/7)-0.00354*((Table1[[#This Row],[Gestation (days)]]+0.5)/7)^2)*Table1[[#This Row],[BW40_3705]],"")</f>
        <v/>
      </c>
      <c r="G2939" s="2" t="str">
        <f>IF(Table1[[#This Row],[Is Data Valid]]=TRUE,((Table1[[#This Row],[Birthweight (grams)]]/Table1[[#This Row],[BW_GA]])-1)/(Backend!$B$4/100*Table1[[#This Row],[BW40_3705]]),"")</f>
        <v/>
      </c>
      <c r="H2939" s="7" t="str">
        <f>IF(Table1[[#This Row],[Is Data Valid]]=TRUE,((Table1[[#This Row],[Birthweight (grams)]]*0.9/Table1[[#This Row],[BW_GA]])-1)/(Backend!$B$4/100*Table1[[#This Row],[BW40_3705]]),"")</f>
        <v/>
      </c>
      <c r="I2939" s="7" t="str">
        <f>IF(Table1[[#This Row],[Is Data Valid]]=TRUE,((Table1[[#This Row],[Birthweight (grams)]]*1.1/Table1[[#This Row],[BW_GA]])-1)/(Backend!$B$4/100*Table1[[#This Row],[BW40_3705]]),"")</f>
        <v/>
      </c>
      <c r="J2939" s="7" t="str">
        <f>IF(Table1[[#This Row],[Is Data Valid]]=TRUE,_xlfn.NORM.S.DIST(Table1[[#This Row],[Birthweight Z-Score]],TRUE)*100,"")</f>
        <v/>
      </c>
      <c r="K2939" s="7" t="str">
        <f>IF(Table1[[#This Row],[Is Data Valid]]=TRUE,_xlfn.NORM.S.DIST(Table1[[#This Row],[Birthweight Z-Score (BW-10%)]],TRUE)*100,"")</f>
        <v/>
      </c>
      <c r="L2939" s="7" t="str">
        <f>IF(Table1[[#This Row],[Is Data Valid]]=TRUE,_xlfn.NORM.S.DIST(Table1[[#This Row],[Birthweight Z-Score (BW+10%)]],TRUE)*100,"")</f>
        <v/>
      </c>
    </row>
    <row r="2940" spans="1:12" x14ac:dyDescent="0.35">
      <c r="A2940" s="3"/>
      <c r="B2940" s="2"/>
      <c r="C2940" s="2"/>
      <c r="D2940" s="2" t="b">
        <f>IF(AND(NOT(ISBLANK(Table1[[#This Row],[Fetal Sex (Male, Female or Unknown)]])),ISNUMBER(Table1[[#This Row],[Birthweight (grams)]]),ISNUMBER(Table1[[#This Row],[Gestation (days)]])),TRUE,FALSE)</f>
        <v>0</v>
      </c>
      <c r="E2940" s="2" t="str">
        <f>IF(Table1[[#This Row],[Is Data Valid]]=TRUE,IF(Table1[[#This Row],[Fetal Sex (Male, Female or Unknown)]]="Male",Backend!$C$6,IF(Table1[[#This Row],[Fetal Sex (Male, Female or Unknown)]]="Female",Backend!$C$7,IF(Table1[[#This Row],[Fetal Sex (Male, Female or Unknown)]]="Unknown",Backend!$C$8,"Error"))),"")</f>
        <v/>
      </c>
      <c r="F2940" s="8" t="str">
        <f>IF(Table1[[#This Row],[Is Data Valid]]=TRUE,EXP(0.578+0.332*((Table1[[#This Row],[Gestation (days)]]+0.5)/7)-0.00354*((Table1[[#This Row],[Gestation (days)]]+0.5)/7)^2)*Table1[[#This Row],[BW40_3705]],"")</f>
        <v/>
      </c>
      <c r="G2940" s="2" t="str">
        <f>IF(Table1[[#This Row],[Is Data Valid]]=TRUE,((Table1[[#This Row],[Birthweight (grams)]]/Table1[[#This Row],[BW_GA]])-1)/(Backend!$B$4/100*Table1[[#This Row],[BW40_3705]]),"")</f>
        <v/>
      </c>
      <c r="H2940" s="7" t="str">
        <f>IF(Table1[[#This Row],[Is Data Valid]]=TRUE,((Table1[[#This Row],[Birthweight (grams)]]*0.9/Table1[[#This Row],[BW_GA]])-1)/(Backend!$B$4/100*Table1[[#This Row],[BW40_3705]]),"")</f>
        <v/>
      </c>
      <c r="I2940" s="7" t="str">
        <f>IF(Table1[[#This Row],[Is Data Valid]]=TRUE,((Table1[[#This Row],[Birthweight (grams)]]*1.1/Table1[[#This Row],[BW_GA]])-1)/(Backend!$B$4/100*Table1[[#This Row],[BW40_3705]]),"")</f>
        <v/>
      </c>
      <c r="J2940" s="7" t="str">
        <f>IF(Table1[[#This Row],[Is Data Valid]]=TRUE,_xlfn.NORM.S.DIST(Table1[[#This Row],[Birthweight Z-Score]],TRUE)*100,"")</f>
        <v/>
      </c>
      <c r="K2940" s="7" t="str">
        <f>IF(Table1[[#This Row],[Is Data Valid]]=TRUE,_xlfn.NORM.S.DIST(Table1[[#This Row],[Birthweight Z-Score (BW-10%)]],TRUE)*100,"")</f>
        <v/>
      </c>
      <c r="L2940" s="7" t="str">
        <f>IF(Table1[[#This Row],[Is Data Valid]]=TRUE,_xlfn.NORM.S.DIST(Table1[[#This Row],[Birthweight Z-Score (BW+10%)]],TRUE)*100,"")</f>
        <v/>
      </c>
    </row>
    <row r="2941" spans="1:12" x14ac:dyDescent="0.35">
      <c r="A2941" s="3"/>
      <c r="B2941" s="2"/>
      <c r="C2941" s="2"/>
      <c r="D2941" s="2" t="b">
        <f>IF(AND(NOT(ISBLANK(Table1[[#This Row],[Fetal Sex (Male, Female or Unknown)]])),ISNUMBER(Table1[[#This Row],[Birthweight (grams)]]),ISNUMBER(Table1[[#This Row],[Gestation (days)]])),TRUE,FALSE)</f>
        <v>0</v>
      </c>
      <c r="E2941" s="2" t="str">
        <f>IF(Table1[[#This Row],[Is Data Valid]]=TRUE,IF(Table1[[#This Row],[Fetal Sex (Male, Female or Unknown)]]="Male",Backend!$C$6,IF(Table1[[#This Row],[Fetal Sex (Male, Female or Unknown)]]="Female",Backend!$C$7,IF(Table1[[#This Row],[Fetal Sex (Male, Female or Unknown)]]="Unknown",Backend!$C$8,"Error"))),"")</f>
        <v/>
      </c>
      <c r="F2941" s="8" t="str">
        <f>IF(Table1[[#This Row],[Is Data Valid]]=TRUE,EXP(0.578+0.332*((Table1[[#This Row],[Gestation (days)]]+0.5)/7)-0.00354*((Table1[[#This Row],[Gestation (days)]]+0.5)/7)^2)*Table1[[#This Row],[BW40_3705]],"")</f>
        <v/>
      </c>
      <c r="G2941" s="2" t="str">
        <f>IF(Table1[[#This Row],[Is Data Valid]]=TRUE,((Table1[[#This Row],[Birthweight (grams)]]/Table1[[#This Row],[BW_GA]])-1)/(Backend!$B$4/100*Table1[[#This Row],[BW40_3705]]),"")</f>
        <v/>
      </c>
      <c r="H2941" s="7" t="str">
        <f>IF(Table1[[#This Row],[Is Data Valid]]=TRUE,((Table1[[#This Row],[Birthweight (grams)]]*0.9/Table1[[#This Row],[BW_GA]])-1)/(Backend!$B$4/100*Table1[[#This Row],[BW40_3705]]),"")</f>
        <v/>
      </c>
      <c r="I2941" s="7" t="str">
        <f>IF(Table1[[#This Row],[Is Data Valid]]=TRUE,((Table1[[#This Row],[Birthweight (grams)]]*1.1/Table1[[#This Row],[BW_GA]])-1)/(Backend!$B$4/100*Table1[[#This Row],[BW40_3705]]),"")</f>
        <v/>
      </c>
      <c r="J2941" s="7" t="str">
        <f>IF(Table1[[#This Row],[Is Data Valid]]=TRUE,_xlfn.NORM.S.DIST(Table1[[#This Row],[Birthweight Z-Score]],TRUE)*100,"")</f>
        <v/>
      </c>
      <c r="K2941" s="7" t="str">
        <f>IF(Table1[[#This Row],[Is Data Valid]]=TRUE,_xlfn.NORM.S.DIST(Table1[[#This Row],[Birthweight Z-Score (BW-10%)]],TRUE)*100,"")</f>
        <v/>
      </c>
      <c r="L2941" s="7" t="str">
        <f>IF(Table1[[#This Row],[Is Data Valid]]=TRUE,_xlfn.NORM.S.DIST(Table1[[#This Row],[Birthweight Z-Score (BW+10%)]],TRUE)*100,"")</f>
        <v/>
      </c>
    </row>
    <row r="2942" spans="1:12" x14ac:dyDescent="0.35">
      <c r="A2942" s="3"/>
      <c r="B2942" s="2"/>
      <c r="C2942" s="2"/>
      <c r="D2942" s="2" t="b">
        <f>IF(AND(NOT(ISBLANK(Table1[[#This Row],[Fetal Sex (Male, Female or Unknown)]])),ISNUMBER(Table1[[#This Row],[Birthweight (grams)]]),ISNUMBER(Table1[[#This Row],[Gestation (days)]])),TRUE,FALSE)</f>
        <v>0</v>
      </c>
      <c r="E2942" s="2" t="str">
        <f>IF(Table1[[#This Row],[Is Data Valid]]=TRUE,IF(Table1[[#This Row],[Fetal Sex (Male, Female or Unknown)]]="Male",Backend!$C$6,IF(Table1[[#This Row],[Fetal Sex (Male, Female or Unknown)]]="Female",Backend!$C$7,IF(Table1[[#This Row],[Fetal Sex (Male, Female or Unknown)]]="Unknown",Backend!$C$8,"Error"))),"")</f>
        <v/>
      </c>
      <c r="F2942" s="8" t="str">
        <f>IF(Table1[[#This Row],[Is Data Valid]]=TRUE,EXP(0.578+0.332*((Table1[[#This Row],[Gestation (days)]]+0.5)/7)-0.00354*((Table1[[#This Row],[Gestation (days)]]+0.5)/7)^2)*Table1[[#This Row],[BW40_3705]],"")</f>
        <v/>
      </c>
      <c r="G2942" s="2" t="str">
        <f>IF(Table1[[#This Row],[Is Data Valid]]=TRUE,((Table1[[#This Row],[Birthweight (grams)]]/Table1[[#This Row],[BW_GA]])-1)/(Backend!$B$4/100*Table1[[#This Row],[BW40_3705]]),"")</f>
        <v/>
      </c>
      <c r="H2942" s="7" t="str">
        <f>IF(Table1[[#This Row],[Is Data Valid]]=TRUE,((Table1[[#This Row],[Birthweight (grams)]]*0.9/Table1[[#This Row],[BW_GA]])-1)/(Backend!$B$4/100*Table1[[#This Row],[BW40_3705]]),"")</f>
        <v/>
      </c>
      <c r="I2942" s="7" t="str">
        <f>IF(Table1[[#This Row],[Is Data Valid]]=TRUE,((Table1[[#This Row],[Birthweight (grams)]]*1.1/Table1[[#This Row],[BW_GA]])-1)/(Backend!$B$4/100*Table1[[#This Row],[BW40_3705]]),"")</f>
        <v/>
      </c>
      <c r="J2942" s="7" t="str">
        <f>IF(Table1[[#This Row],[Is Data Valid]]=TRUE,_xlfn.NORM.S.DIST(Table1[[#This Row],[Birthweight Z-Score]],TRUE)*100,"")</f>
        <v/>
      </c>
      <c r="K2942" s="7" t="str">
        <f>IF(Table1[[#This Row],[Is Data Valid]]=TRUE,_xlfn.NORM.S.DIST(Table1[[#This Row],[Birthweight Z-Score (BW-10%)]],TRUE)*100,"")</f>
        <v/>
      </c>
      <c r="L2942" s="7" t="str">
        <f>IF(Table1[[#This Row],[Is Data Valid]]=TRUE,_xlfn.NORM.S.DIST(Table1[[#This Row],[Birthweight Z-Score (BW+10%)]],TRUE)*100,"")</f>
        <v/>
      </c>
    </row>
    <row r="2943" spans="1:12" x14ac:dyDescent="0.35">
      <c r="A2943" s="3"/>
      <c r="B2943" s="2"/>
      <c r="C2943" s="2"/>
      <c r="D2943" s="2" t="b">
        <f>IF(AND(NOT(ISBLANK(Table1[[#This Row],[Fetal Sex (Male, Female or Unknown)]])),ISNUMBER(Table1[[#This Row],[Birthweight (grams)]]),ISNUMBER(Table1[[#This Row],[Gestation (days)]])),TRUE,FALSE)</f>
        <v>0</v>
      </c>
      <c r="E2943" s="2" t="str">
        <f>IF(Table1[[#This Row],[Is Data Valid]]=TRUE,IF(Table1[[#This Row],[Fetal Sex (Male, Female or Unknown)]]="Male",Backend!$C$6,IF(Table1[[#This Row],[Fetal Sex (Male, Female or Unknown)]]="Female",Backend!$C$7,IF(Table1[[#This Row],[Fetal Sex (Male, Female or Unknown)]]="Unknown",Backend!$C$8,"Error"))),"")</f>
        <v/>
      </c>
      <c r="F2943" s="8" t="str">
        <f>IF(Table1[[#This Row],[Is Data Valid]]=TRUE,EXP(0.578+0.332*((Table1[[#This Row],[Gestation (days)]]+0.5)/7)-0.00354*((Table1[[#This Row],[Gestation (days)]]+0.5)/7)^2)*Table1[[#This Row],[BW40_3705]],"")</f>
        <v/>
      </c>
      <c r="G2943" s="2" t="str">
        <f>IF(Table1[[#This Row],[Is Data Valid]]=TRUE,((Table1[[#This Row],[Birthweight (grams)]]/Table1[[#This Row],[BW_GA]])-1)/(Backend!$B$4/100*Table1[[#This Row],[BW40_3705]]),"")</f>
        <v/>
      </c>
      <c r="H2943" s="7" t="str">
        <f>IF(Table1[[#This Row],[Is Data Valid]]=TRUE,((Table1[[#This Row],[Birthweight (grams)]]*0.9/Table1[[#This Row],[BW_GA]])-1)/(Backend!$B$4/100*Table1[[#This Row],[BW40_3705]]),"")</f>
        <v/>
      </c>
      <c r="I2943" s="7" t="str">
        <f>IF(Table1[[#This Row],[Is Data Valid]]=TRUE,((Table1[[#This Row],[Birthweight (grams)]]*1.1/Table1[[#This Row],[BW_GA]])-1)/(Backend!$B$4/100*Table1[[#This Row],[BW40_3705]]),"")</f>
        <v/>
      </c>
      <c r="J2943" s="7" t="str">
        <f>IF(Table1[[#This Row],[Is Data Valid]]=TRUE,_xlfn.NORM.S.DIST(Table1[[#This Row],[Birthweight Z-Score]],TRUE)*100,"")</f>
        <v/>
      </c>
      <c r="K2943" s="7" t="str">
        <f>IF(Table1[[#This Row],[Is Data Valid]]=TRUE,_xlfn.NORM.S.DIST(Table1[[#This Row],[Birthweight Z-Score (BW-10%)]],TRUE)*100,"")</f>
        <v/>
      </c>
      <c r="L2943" s="7" t="str">
        <f>IF(Table1[[#This Row],[Is Data Valid]]=TRUE,_xlfn.NORM.S.DIST(Table1[[#This Row],[Birthweight Z-Score (BW+10%)]],TRUE)*100,"")</f>
        <v/>
      </c>
    </row>
    <row r="2944" spans="1:12" x14ac:dyDescent="0.35">
      <c r="A2944" s="3"/>
      <c r="B2944" s="2"/>
      <c r="C2944" s="2"/>
      <c r="D2944" s="2" t="b">
        <f>IF(AND(NOT(ISBLANK(Table1[[#This Row],[Fetal Sex (Male, Female or Unknown)]])),ISNUMBER(Table1[[#This Row],[Birthweight (grams)]]),ISNUMBER(Table1[[#This Row],[Gestation (days)]])),TRUE,FALSE)</f>
        <v>0</v>
      </c>
      <c r="E2944" s="2" t="str">
        <f>IF(Table1[[#This Row],[Is Data Valid]]=TRUE,IF(Table1[[#This Row],[Fetal Sex (Male, Female or Unknown)]]="Male",Backend!$C$6,IF(Table1[[#This Row],[Fetal Sex (Male, Female or Unknown)]]="Female",Backend!$C$7,IF(Table1[[#This Row],[Fetal Sex (Male, Female or Unknown)]]="Unknown",Backend!$C$8,"Error"))),"")</f>
        <v/>
      </c>
      <c r="F2944" s="8" t="str">
        <f>IF(Table1[[#This Row],[Is Data Valid]]=TRUE,EXP(0.578+0.332*((Table1[[#This Row],[Gestation (days)]]+0.5)/7)-0.00354*((Table1[[#This Row],[Gestation (days)]]+0.5)/7)^2)*Table1[[#This Row],[BW40_3705]],"")</f>
        <v/>
      </c>
      <c r="G2944" s="2" t="str">
        <f>IF(Table1[[#This Row],[Is Data Valid]]=TRUE,((Table1[[#This Row],[Birthweight (grams)]]/Table1[[#This Row],[BW_GA]])-1)/(Backend!$B$4/100*Table1[[#This Row],[BW40_3705]]),"")</f>
        <v/>
      </c>
      <c r="H2944" s="7" t="str">
        <f>IF(Table1[[#This Row],[Is Data Valid]]=TRUE,((Table1[[#This Row],[Birthweight (grams)]]*0.9/Table1[[#This Row],[BW_GA]])-1)/(Backend!$B$4/100*Table1[[#This Row],[BW40_3705]]),"")</f>
        <v/>
      </c>
      <c r="I2944" s="7" t="str">
        <f>IF(Table1[[#This Row],[Is Data Valid]]=TRUE,((Table1[[#This Row],[Birthweight (grams)]]*1.1/Table1[[#This Row],[BW_GA]])-1)/(Backend!$B$4/100*Table1[[#This Row],[BW40_3705]]),"")</f>
        <v/>
      </c>
      <c r="J2944" s="7" t="str">
        <f>IF(Table1[[#This Row],[Is Data Valid]]=TRUE,_xlfn.NORM.S.DIST(Table1[[#This Row],[Birthweight Z-Score]],TRUE)*100,"")</f>
        <v/>
      </c>
      <c r="K2944" s="7" t="str">
        <f>IF(Table1[[#This Row],[Is Data Valid]]=TRUE,_xlfn.NORM.S.DIST(Table1[[#This Row],[Birthweight Z-Score (BW-10%)]],TRUE)*100,"")</f>
        <v/>
      </c>
      <c r="L2944" s="7" t="str">
        <f>IF(Table1[[#This Row],[Is Data Valid]]=TRUE,_xlfn.NORM.S.DIST(Table1[[#This Row],[Birthweight Z-Score (BW+10%)]],TRUE)*100,"")</f>
        <v/>
      </c>
    </row>
    <row r="2945" spans="1:12" x14ac:dyDescent="0.35">
      <c r="A2945" s="3"/>
      <c r="B2945" s="2"/>
      <c r="C2945" s="2"/>
      <c r="D2945" s="2" t="b">
        <f>IF(AND(NOT(ISBLANK(Table1[[#This Row],[Fetal Sex (Male, Female or Unknown)]])),ISNUMBER(Table1[[#This Row],[Birthweight (grams)]]),ISNUMBER(Table1[[#This Row],[Gestation (days)]])),TRUE,FALSE)</f>
        <v>0</v>
      </c>
      <c r="E2945" s="2" t="str">
        <f>IF(Table1[[#This Row],[Is Data Valid]]=TRUE,IF(Table1[[#This Row],[Fetal Sex (Male, Female or Unknown)]]="Male",Backend!$C$6,IF(Table1[[#This Row],[Fetal Sex (Male, Female or Unknown)]]="Female",Backend!$C$7,IF(Table1[[#This Row],[Fetal Sex (Male, Female or Unknown)]]="Unknown",Backend!$C$8,"Error"))),"")</f>
        <v/>
      </c>
      <c r="F2945" s="8" t="str">
        <f>IF(Table1[[#This Row],[Is Data Valid]]=TRUE,EXP(0.578+0.332*((Table1[[#This Row],[Gestation (days)]]+0.5)/7)-0.00354*((Table1[[#This Row],[Gestation (days)]]+0.5)/7)^2)*Table1[[#This Row],[BW40_3705]],"")</f>
        <v/>
      </c>
      <c r="G2945" s="2" t="str">
        <f>IF(Table1[[#This Row],[Is Data Valid]]=TRUE,((Table1[[#This Row],[Birthweight (grams)]]/Table1[[#This Row],[BW_GA]])-1)/(Backend!$B$4/100*Table1[[#This Row],[BW40_3705]]),"")</f>
        <v/>
      </c>
      <c r="H2945" s="7" t="str">
        <f>IF(Table1[[#This Row],[Is Data Valid]]=TRUE,((Table1[[#This Row],[Birthweight (grams)]]*0.9/Table1[[#This Row],[BW_GA]])-1)/(Backend!$B$4/100*Table1[[#This Row],[BW40_3705]]),"")</f>
        <v/>
      </c>
      <c r="I2945" s="7" t="str">
        <f>IF(Table1[[#This Row],[Is Data Valid]]=TRUE,((Table1[[#This Row],[Birthweight (grams)]]*1.1/Table1[[#This Row],[BW_GA]])-1)/(Backend!$B$4/100*Table1[[#This Row],[BW40_3705]]),"")</f>
        <v/>
      </c>
      <c r="J2945" s="7" t="str">
        <f>IF(Table1[[#This Row],[Is Data Valid]]=TRUE,_xlfn.NORM.S.DIST(Table1[[#This Row],[Birthweight Z-Score]],TRUE)*100,"")</f>
        <v/>
      </c>
      <c r="K2945" s="7" t="str">
        <f>IF(Table1[[#This Row],[Is Data Valid]]=TRUE,_xlfn.NORM.S.DIST(Table1[[#This Row],[Birthweight Z-Score (BW-10%)]],TRUE)*100,"")</f>
        <v/>
      </c>
      <c r="L2945" s="7" t="str">
        <f>IF(Table1[[#This Row],[Is Data Valid]]=TRUE,_xlfn.NORM.S.DIST(Table1[[#This Row],[Birthweight Z-Score (BW+10%)]],TRUE)*100,"")</f>
        <v/>
      </c>
    </row>
    <row r="2946" spans="1:12" x14ac:dyDescent="0.35">
      <c r="A2946" s="3"/>
      <c r="B2946" s="2"/>
      <c r="C2946" s="2"/>
      <c r="D2946" s="2" t="b">
        <f>IF(AND(NOT(ISBLANK(Table1[[#This Row],[Fetal Sex (Male, Female or Unknown)]])),ISNUMBER(Table1[[#This Row],[Birthweight (grams)]]),ISNUMBER(Table1[[#This Row],[Gestation (days)]])),TRUE,FALSE)</f>
        <v>0</v>
      </c>
      <c r="E2946" s="2" t="str">
        <f>IF(Table1[[#This Row],[Is Data Valid]]=TRUE,IF(Table1[[#This Row],[Fetal Sex (Male, Female or Unknown)]]="Male",Backend!$C$6,IF(Table1[[#This Row],[Fetal Sex (Male, Female or Unknown)]]="Female",Backend!$C$7,IF(Table1[[#This Row],[Fetal Sex (Male, Female or Unknown)]]="Unknown",Backend!$C$8,"Error"))),"")</f>
        <v/>
      </c>
      <c r="F2946" s="8" t="str">
        <f>IF(Table1[[#This Row],[Is Data Valid]]=TRUE,EXP(0.578+0.332*((Table1[[#This Row],[Gestation (days)]]+0.5)/7)-0.00354*((Table1[[#This Row],[Gestation (days)]]+0.5)/7)^2)*Table1[[#This Row],[BW40_3705]],"")</f>
        <v/>
      </c>
      <c r="G2946" s="2" t="str">
        <f>IF(Table1[[#This Row],[Is Data Valid]]=TRUE,((Table1[[#This Row],[Birthweight (grams)]]/Table1[[#This Row],[BW_GA]])-1)/(Backend!$B$4/100*Table1[[#This Row],[BW40_3705]]),"")</f>
        <v/>
      </c>
      <c r="H2946" s="7" t="str">
        <f>IF(Table1[[#This Row],[Is Data Valid]]=TRUE,((Table1[[#This Row],[Birthweight (grams)]]*0.9/Table1[[#This Row],[BW_GA]])-1)/(Backend!$B$4/100*Table1[[#This Row],[BW40_3705]]),"")</f>
        <v/>
      </c>
      <c r="I2946" s="7" t="str">
        <f>IF(Table1[[#This Row],[Is Data Valid]]=TRUE,((Table1[[#This Row],[Birthweight (grams)]]*1.1/Table1[[#This Row],[BW_GA]])-1)/(Backend!$B$4/100*Table1[[#This Row],[BW40_3705]]),"")</f>
        <v/>
      </c>
      <c r="J2946" s="7" t="str">
        <f>IF(Table1[[#This Row],[Is Data Valid]]=TRUE,_xlfn.NORM.S.DIST(Table1[[#This Row],[Birthweight Z-Score]],TRUE)*100,"")</f>
        <v/>
      </c>
      <c r="K2946" s="7" t="str">
        <f>IF(Table1[[#This Row],[Is Data Valid]]=TRUE,_xlfn.NORM.S.DIST(Table1[[#This Row],[Birthweight Z-Score (BW-10%)]],TRUE)*100,"")</f>
        <v/>
      </c>
      <c r="L2946" s="7" t="str">
        <f>IF(Table1[[#This Row],[Is Data Valid]]=TRUE,_xlfn.NORM.S.DIST(Table1[[#This Row],[Birthweight Z-Score (BW+10%)]],TRUE)*100,"")</f>
        <v/>
      </c>
    </row>
    <row r="2947" spans="1:12" x14ac:dyDescent="0.35">
      <c r="A2947" s="3"/>
      <c r="B2947" s="2"/>
      <c r="C2947" s="2"/>
      <c r="D2947" s="2" t="b">
        <f>IF(AND(NOT(ISBLANK(Table1[[#This Row],[Fetal Sex (Male, Female or Unknown)]])),ISNUMBER(Table1[[#This Row],[Birthweight (grams)]]),ISNUMBER(Table1[[#This Row],[Gestation (days)]])),TRUE,FALSE)</f>
        <v>0</v>
      </c>
      <c r="E2947" s="2" t="str">
        <f>IF(Table1[[#This Row],[Is Data Valid]]=TRUE,IF(Table1[[#This Row],[Fetal Sex (Male, Female or Unknown)]]="Male",Backend!$C$6,IF(Table1[[#This Row],[Fetal Sex (Male, Female or Unknown)]]="Female",Backend!$C$7,IF(Table1[[#This Row],[Fetal Sex (Male, Female or Unknown)]]="Unknown",Backend!$C$8,"Error"))),"")</f>
        <v/>
      </c>
      <c r="F2947" s="8" t="str">
        <f>IF(Table1[[#This Row],[Is Data Valid]]=TRUE,EXP(0.578+0.332*((Table1[[#This Row],[Gestation (days)]]+0.5)/7)-0.00354*((Table1[[#This Row],[Gestation (days)]]+0.5)/7)^2)*Table1[[#This Row],[BW40_3705]],"")</f>
        <v/>
      </c>
      <c r="G2947" s="2" t="str">
        <f>IF(Table1[[#This Row],[Is Data Valid]]=TRUE,((Table1[[#This Row],[Birthweight (grams)]]/Table1[[#This Row],[BW_GA]])-1)/(Backend!$B$4/100*Table1[[#This Row],[BW40_3705]]),"")</f>
        <v/>
      </c>
      <c r="H2947" s="7" t="str">
        <f>IF(Table1[[#This Row],[Is Data Valid]]=TRUE,((Table1[[#This Row],[Birthweight (grams)]]*0.9/Table1[[#This Row],[BW_GA]])-1)/(Backend!$B$4/100*Table1[[#This Row],[BW40_3705]]),"")</f>
        <v/>
      </c>
      <c r="I2947" s="7" t="str">
        <f>IF(Table1[[#This Row],[Is Data Valid]]=TRUE,((Table1[[#This Row],[Birthweight (grams)]]*1.1/Table1[[#This Row],[BW_GA]])-1)/(Backend!$B$4/100*Table1[[#This Row],[BW40_3705]]),"")</f>
        <v/>
      </c>
      <c r="J2947" s="7" t="str">
        <f>IF(Table1[[#This Row],[Is Data Valid]]=TRUE,_xlfn.NORM.S.DIST(Table1[[#This Row],[Birthweight Z-Score]],TRUE)*100,"")</f>
        <v/>
      </c>
      <c r="K2947" s="7" t="str">
        <f>IF(Table1[[#This Row],[Is Data Valid]]=TRUE,_xlfn.NORM.S.DIST(Table1[[#This Row],[Birthweight Z-Score (BW-10%)]],TRUE)*100,"")</f>
        <v/>
      </c>
      <c r="L2947" s="7" t="str">
        <f>IF(Table1[[#This Row],[Is Data Valid]]=TRUE,_xlfn.NORM.S.DIST(Table1[[#This Row],[Birthweight Z-Score (BW+10%)]],TRUE)*100,"")</f>
        <v/>
      </c>
    </row>
    <row r="2948" spans="1:12" x14ac:dyDescent="0.35">
      <c r="A2948" s="3"/>
      <c r="B2948" s="2"/>
      <c r="C2948" s="2"/>
      <c r="D2948" s="2" t="b">
        <f>IF(AND(NOT(ISBLANK(Table1[[#This Row],[Fetal Sex (Male, Female or Unknown)]])),ISNUMBER(Table1[[#This Row],[Birthweight (grams)]]),ISNUMBER(Table1[[#This Row],[Gestation (days)]])),TRUE,FALSE)</f>
        <v>0</v>
      </c>
      <c r="E2948" s="2" t="str">
        <f>IF(Table1[[#This Row],[Is Data Valid]]=TRUE,IF(Table1[[#This Row],[Fetal Sex (Male, Female or Unknown)]]="Male",Backend!$C$6,IF(Table1[[#This Row],[Fetal Sex (Male, Female or Unknown)]]="Female",Backend!$C$7,IF(Table1[[#This Row],[Fetal Sex (Male, Female or Unknown)]]="Unknown",Backend!$C$8,"Error"))),"")</f>
        <v/>
      </c>
      <c r="F2948" s="8" t="str">
        <f>IF(Table1[[#This Row],[Is Data Valid]]=TRUE,EXP(0.578+0.332*((Table1[[#This Row],[Gestation (days)]]+0.5)/7)-0.00354*((Table1[[#This Row],[Gestation (days)]]+0.5)/7)^2)*Table1[[#This Row],[BW40_3705]],"")</f>
        <v/>
      </c>
      <c r="G2948" s="2" t="str">
        <f>IF(Table1[[#This Row],[Is Data Valid]]=TRUE,((Table1[[#This Row],[Birthweight (grams)]]/Table1[[#This Row],[BW_GA]])-1)/(Backend!$B$4/100*Table1[[#This Row],[BW40_3705]]),"")</f>
        <v/>
      </c>
      <c r="H2948" s="7" t="str">
        <f>IF(Table1[[#This Row],[Is Data Valid]]=TRUE,((Table1[[#This Row],[Birthweight (grams)]]*0.9/Table1[[#This Row],[BW_GA]])-1)/(Backend!$B$4/100*Table1[[#This Row],[BW40_3705]]),"")</f>
        <v/>
      </c>
      <c r="I2948" s="7" t="str">
        <f>IF(Table1[[#This Row],[Is Data Valid]]=TRUE,((Table1[[#This Row],[Birthweight (grams)]]*1.1/Table1[[#This Row],[BW_GA]])-1)/(Backend!$B$4/100*Table1[[#This Row],[BW40_3705]]),"")</f>
        <v/>
      </c>
      <c r="J2948" s="7" t="str">
        <f>IF(Table1[[#This Row],[Is Data Valid]]=TRUE,_xlfn.NORM.S.DIST(Table1[[#This Row],[Birthweight Z-Score]],TRUE)*100,"")</f>
        <v/>
      </c>
      <c r="K2948" s="7" t="str">
        <f>IF(Table1[[#This Row],[Is Data Valid]]=TRUE,_xlfn.NORM.S.DIST(Table1[[#This Row],[Birthweight Z-Score (BW-10%)]],TRUE)*100,"")</f>
        <v/>
      </c>
      <c r="L2948" s="7" t="str">
        <f>IF(Table1[[#This Row],[Is Data Valid]]=TRUE,_xlfn.NORM.S.DIST(Table1[[#This Row],[Birthweight Z-Score (BW+10%)]],TRUE)*100,"")</f>
        <v/>
      </c>
    </row>
    <row r="2949" spans="1:12" x14ac:dyDescent="0.35">
      <c r="A2949" s="3"/>
      <c r="B2949" s="2"/>
      <c r="C2949" s="2"/>
      <c r="D2949" s="2" t="b">
        <f>IF(AND(NOT(ISBLANK(Table1[[#This Row],[Fetal Sex (Male, Female or Unknown)]])),ISNUMBER(Table1[[#This Row],[Birthweight (grams)]]),ISNUMBER(Table1[[#This Row],[Gestation (days)]])),TRUE,FALSE)</f>
        <v>0</v>
      </c>
      <c r="E2949" s="2" t="str">
        <f>IF(Table1[[#This Row],[Is Data Valid]]=TRUE,IF(Table1[[#This Row],[Fetal Sex (Male, Female or Unknown)]]="Male",Backend!$C$6,IF(Table1[[#This Row],[Fetal Sex (Male, Female or Unknown)]]="Female",Backend!$C$7,IF(Table1[[#This Row],[Fetal Sex (Male, Female or Unknown)]]="Unknown",Backend!$C$8,"Error"))),"")</f>
        <v/>
      </c>
      <c r="F2949" s="8" t="str">
        <f>IF(Table1[[#This Row],[Is Data Valid]]=TRUE,EXP(0.578+0.332*((Table1[[#This Row],[Gestation (days)]]+0.5)/7)-0.00354*((Table1[[#This Row],[Gestation (days)]]+0.5)/7)^2)*Table1[[#This Row],[BW40_3705]],"")</f>
        <v/>
      </c>
      <c r="G2949" s="2" t="str">
        <f>IF(Table1[[#This Row],[Is Data Valid]]=TRUE,((Table1[[#This Row],[Birthweight (grams)]]/Table1[[#This Row],[BW_GA]])-1)/(Backend!$B$4/100*Table1[[#This Row],[BW40_3705]]),"")</f>
        <v/>
      </c>
      <c r="H2949" s="7" t="str">
        <f>IF(Table1[[#This Row],[Is Data Valid]]=TRUE,((Table1[[#This Row],[Birthweight (grams)]]*0.9/Table1[[#This Row],[BW_GA]])-1)/(Backend!$B$4/100*Table1[[#This Row],[BW40_3705]]),"")</f>
        <v/>
      </c>
      <c r="I2949" s="7" t="str">
        <f>IF(Table1[[#This Row],[Is Data Valid]]=TRUE,((Table1[[#This Row],[Birthweight (grams)]]*1.1/Table1[[#This Row],[BW_GA]])-1)/(Backend!$B$4/100*Table1[[#This Row],[BW40_3705]]),"")</f>
        <v/>
      </c>
      <c r="J2949" s="7" t="str">
        <f>IF(Table1[[#This Row],[Is Data Valid]]=TRUE,_xlfn.NORM.S.DIST(Table1[[#This Row],[Birthweight Z-Score]],TRUE)*100,"")</f>
        <v/>
      </c>
      <c r="K2949" s="7" t="str">
        <f>IF(Table1[[#This Row],[Is Data Valid]]=TRUE,_xlfn.NORM.S.DIST(Table1[[#This Row],[Birthweight Z-Score (BW-10%)]],TRUE)*100,"")</f>
        <v/>
      </c>
      <c r="L2949" s="7" t="str">
        <f>IF(Table1[[#This Row],[Is Data Valid]]=TRUE,_xlfn.NORM.S.DIST(Table1[[#This Row],[Birthweight Z-Score (BW+10%)]],TRUE)*100,"")</f>
        <v/>
      </c>
    </row>
    <row r="2950" spans="1:12" x14ac:dyDescent="0.35">
      <c r="A2950" s="3"/>
      <c r="B2950" s="2"/>
      <c r="C2950" s="2"/>
      <c r="D2950" s="2" t="b">
        <f>IF(AND(NOT(ISBLANK(Table1[[#This Row],[Fetal Sex (Male, Female or Unknown)]])),ISNUMBER(Table1[[#This Row],[Birthweight (grams)]]),ISNUMBER(Table1[[#This Row],[Gestation (days)]])),TRUE,FALSE)</f>
        <v>0</v>
      </c>
      <c r="E2950" s="2" t="str">
        <f>IF(Table1[[#This Row],[Is Data Valid]]=TRUE,IF(Table1[[#This Row],[Fetal Sex (Male, Female or Unknown)]]="Male",Backend!$C$6,IF(Table1[[#This Row],[Fetal Sex (Male, Female or Unknown)]]="Female",Backend!$C$7,IF(Table1[[#This Row],[Fetal Sex (Male, Female or Unknown)]]="Unknown",Backend!$C$8,"Error"))),"")</f>
        <v/>
      </c>
      <c r="F2950" s="8" t="str">
        <f>IF(Table1[[#This Row],[Is Data Valid]]=TRUE,EXP(0.578+0.332*((Table1[[#This Row],[Gestation (days)]]+0.5)/7)-0.00354*((Table1[[#This Row],[Gestation (days)]]+0.5)/7)^2)*Table1[[#This Row],[BW40_3705]],"")</f>
        <v/>
      </c>
      <c r="G2950" s="2" t="str">
        <f>IF(Table1[[#This Row],[Is Data Valid]]=TRUE,((Table1[[#This Row],[Birthweight (grams)]]/Table1[[#This Row],[BW_GA]])-1)/(Backend!$B$4/100*Table1[[#This Row],[BW40_3705]]),"")</f>
        <v/>
      </c>
      <c r="H2950" s="7" t="str">
        <f>IF(Table1[[#This Row],[Is Data Valid]]=TRUE,((Table1[[#This Row],[Birthweight (grams)]]*0.9/Table1[[#This Row],[BW_GA]])-1)/(Backend!$B$4/100*Table1[[#This Row],[BW40_3705]]),"")</f>
        <v/>
      </c>
      <c r="I2950" s="7" t="str">
        <f>IF(Table1[[#This Row],[Is Data Valid]]=TRUE,((Table1[[#This Row],[Birthweight (grams)]]*1.1/Table1[[#This Row],[BW_GA]])-1)/(Backend!$B$4/100*Table1[[#This Row],[BW40_3705]]),"")</f>
        <v/>
      </c>
      <c r="J2950" s="7" t="str">
        <f>IF(Table1[[#This Row],[Is Data Valid]]=TRUE,_xlfn.NORM.S.DIST(Table1[[#This Row],[Birthweight Z-Score]],TRUE)*100,"")</f>
        <v/>
      </c>
      <c r="K2950" s="7" t="str">
        <f>IF(Table1[[#This Row],[Is Data Valid]]=TRUE,_xlfn.NORM.S.DIST(Table1[[#This Row],[Birthweight Z-Score (BW-10%)]],TRUE)*100,"")</f>
        <v/>
      </c>
      <c r="L2950" s="7" t="str">
        <f>IF(Table1[[#This Row],[Is Data Valid]]=TRUE,_xlfn.NORM.S.DIST(Table1[[#This Row],[Birthweight Z-Score (BW+10%)]],TRUE)*100,"")</f>
        <v/>
      </c>
    </row>
    <row r="2951" spans="1:12" x14ac:dyDescent="0.35">
      <c r="A2951" s="3"/>
      <c r="B2951" s="2"/>
      <c r="C2951" s="2"/>
      <c r="D2951" s="2" t="b">
        <f>IF(AND(NOT(ISBLANK(Table1[[#This Row],[Fetal Sex (Male, Female or Unknown)]])),ISNUMBER(Table1[[#This Row],[Birthweight (grams)]]),ISNUMBER(Table1[[#This Row],[Gestation (days)]])),TRUE,FALSE)</f>
        <v>0</v>
      </c>
      <c r="E2951" s="2" t="str">
        <f>IF(Table1[[#This Row],[Is Data Valid]]=TRUE,IF(Table1[[#This Row],[Fetal Sex (Male, Female or Unknown)]]="Male",Backend!$C$6,IF(Table1[[#This Row],[Fetal Sex (Male, Female or Unknown)]]="Female",Backend!$C$7,IF(Table1[[#This Row],[Fetal Sex (Male, Female or Unknown)]]="Unknown",Backend!$C$8,"Error"))),"")</f>
        <v/>
      </c>
      <c r="F2951" s="8" t="str">
        <f>IF(Table1[[#This Row],[Is Data Valid]]=TRUE,EXP(0.578+0.332*((Table1[[#This Row],[Gestation (days)]]+0.5)/7)-0.00354*((Table1[[#This Row],[Gestation (days)]]+0.5)/7)^2)*Table1[[#This Row],[BW40_3705]],"")</f>
        <v/>
      </c>
      <c r="G2951" s="2" t="str">
        <f>IF(Table1[[#This Row],[Is Data Valid]]=TRUE,((Table1[[#This Row],[Birthweight (grams)]]/Table1[[#This Row],[BW_GA]])-1)/(Backend!$B$4/100*Table1[[#This Row],[BW40_3705]]),"")</f>
        <v/>
      </c>
      <c r="H2951" s="7" t="str">
        <f>IF(Table1[[#This Row],[Is Data Valid]]=TRUE,((Table1[[#This Row],[Birthweight (grams)]]*0.9/Table1[[#This Row],[BW_GA]])-1)/(Backend!$B$4/100*Table1[[#This Row],[BW40_3705]]),"")</f>
        <v/>
      </c>
      <c r="I2951" s="7" t="str">
        <f>IF(Table1[[#This Row],[Is Data Valid]]=TRUE,((Table1[[#This Row],[Birthweight (grams)]]*1.1/Table1[[#This Row],[BW_GA]])-1)/(Backend!$B$4/100*Table1[[#This Row],[BW40_3705]]),"")</f>
        <v/>
      </c>
      <c r="J2951" s="7" t="str">
        <f>IF(Table1[[#This Row],[Is Data Valid]]=TRUE,_xlfn.NORM.S.DIST(Table1[[#This Row],[Birthweight Z-Score]],TRUE)*100,"")</f>
        <v/>
      </c>
      <c r="K2951" s="7" t="str">
        <f>IF(Table1[[#This Row],[Is Data Valid]]=TRUE,_xlfn.NORM.S.DIST(Table1[[#This Row],[Birthweight Z-Score (BW-10%)]],TRUE)*100,"")</f>
        <v/>
      </c>
      <c r="L2951" s="7" t="str">
        <f>IF(Table1[[#This Row],[Is Data Valid]]=TRUE,_xlfn.NORM.S.DIST(Table1[[#This Row],[Birthweight Z-Score (BW+10%)]],TRUE)*100,"")</f>
        <v/>
      </c>
    </row>
    <row r="2952" spans="1:12" x14ac:dyDescent="0.35">
      <c r="A2952" s="3"/>
      <c r="B2952" s="2"/>
      <c r="C2952" s="2"/>
      <c r="D2952" s="2" t="b">
        <f>IF(AND(NOT(ISBLANK(Table1[[#This Row],[Fetal Sex (Male, Female or Unknown)]])),ISNUMBER(Table1[[#This Row],[Birthweight (grams)]]),ISNUMBER(Table1[[#This Row],[Gestation (days)]])),TRUE,FALSE)</f>
        <v>0</v>
      </c>
      <c r="E2952" s="2" t="str">
        <f>IF(Table1[[#This Row],[Is Data Valid]]=TRUE,IF(Table1[[#This Row],[Fetal Sex (Male, Female or Unknown)]]="Male",Backend!$C$6,IF(Table1[[#This Row],[Fetal Sex (Male, Female or Unknown)]]="Female",Backend!$C$7,IF(Table1[[#This Row],[Fetal Sex (Male, Female or Unknown)]]="Unknown",Backend!$C$8,"Error"))),"")</f>
        <v/>
      </c>
      <c r="F2952" s="8" t="str">
        <f>IF(Table1[[#This Row],[Is Data Valid]]=TRUE,EXP(0.578+0.332*((Table1[[#This Row],[Gestation (days)]]+0.5)/7)-0.00354*((Table1[[#This Row],[Gestation (days)]]+0.5)/7)^2)*Table1[[#This Row],[BW40_3705]],"")</f>
        <v/>
      </c>
      <c r="G2952" s="2" t="str">
        <f>IF(Table1[[#This Row],[Is Data Valid]]=TRUE,((Table1[[#This Row],[Birthweight (grams)]]/Table1[[#This Row],[BW_GA]])-1)/(Backend!$B$4/100*Table1[[#This Row],[BW40_3705]]),"")</f>
        <v/>
      </c>
      <c r="H2952" s="7" t="str">
        <f>IF(Table1[[#This Row],[Is Data Valid]]=TRUE,((Table1[[#This Row],[Birthweight (grams)]]*0.9/Table1[[#This Row],[BW_GA]])-1)/(Backend!$B$4/100*Table1[[#This Row],[BW40_3705]]),"")</f>
        <v/>
      </c>
      <c r="I2952" s="7" t="str">
        <f>IF(Table1[[#This Row],[Is Data Valid]]=TRUE,((Table1[[#This Row],[Birthweight (grams)]]*1.1/Table1[[#This Row],[BW_GA]])-1)/(Backend!$B$4/100*Table1[[#This Row],[BW40_3705]]),"")</f>
        <v/>
      </c>
      <c r="J2952" s="7" t="str">
        <f>IF(Table1[[#This Row],[Is Data Valid]]=TRUE,_xlfn.NORM.S.DIST(Table1[[#This Row],[Birthweight Z-Score]],TRUE)*100,"")</f>
        <v/>
      </c>
      <c r="K2952" s="7" t="str">
        <f>IF(Table1[[#This Row],[Is Data Valid]]=TRUE,_xlfn.NORM.S.DIST(Table1[[#This Row],[Birthweight Z-Score (BW-10%)]],TRUE)*100,"")</f>
        <v/>
      </c>
      <c r="L2952" s="7" t="str">
        <f>IF(Table1[[#This Row],[Is Data Valid]]=TRUE,_xlfn.NORM.S.DIST(Table1[[#This Row],[Birthweight Z-Score (BW+10%)]],TRUE)*100,"")</f>
        <v/>
      </c>
    </row>
    <row r="2953" spans="1:12" x14ac:dyDescent="0.35">
      <c r="A2953" s="3"/>
      <c r="B2953" s="2"/>
      <c r="C2953" s="2"/>
      <c r="D2953" s="2" t="b">
        <f>IF(AND(NOT(ISBLANK(Table1[[#This Row],[Fetal Sex (Male, Female or Unknown)]])),ISNUMBER(Table1[[#This Row],[Birthweight (grams)]]),ISNUMBER(Table1[[#This Row],[Gestation (days)]])),TRUE,FALSE)</f>
        <v>0</v>
      </c>
      <c r="E2953" s="2" t="str">
        <f>IF(Table1[[#This Row],[Is Data Valid]]=TRUE,IF(Table1[[#This Row],[Fetal Sex (Male, Female or Unknown)]]="Male",Backend!$C$6,IF(Table1[[#This Row],[Fetal Sex (Male, Female or Unknown)]]="Female",Backend!$C$7,IF(Table1[[#This Row],[Fetal Sex (Male, Female or Unknown)]]="Unknown",Backend!$C$8,"Error"))),"")</f>
        <v/>
      </c>
      <c r="F2953" s="8" t="str">
        <f>IF(Table1[[#This Row],[Is Data Valid]]=TRUE,EXP(0.578+0.332*((Table1[[#This Row],[Gestation (days)]]+0.5)/7)-0.00354*((Table1[[#This Row],[Gestation (days)]]+0.5)/7)^2)*Table1[[#This Row],[BW40_3705]],"")</f>
        <v/>
      </c>
      <c r="G2953" s="2" t="str">
        <f>IF(Table1[[#This Row],[Is Data Valid]]=TRUE,((Table1[[#This Row],[Birthweight (grams)]]/Table1[[#This Row],[BW_GA]])-1)/(Backend!$B$4/100*Table1[[#This Row],[BW40_3705]]),"")</f>
        <v/>
      </c>
      <c r="H2953" s="7" t="str">
        <f>IF(Table1[[#This Row],[Is Data Valid]]=TRUE,((Table1[[#This Row],[Birthweight (grams)]]*0.9/Table1[[#This Row],[BW_GA]])-1)/(Backend!$B$4/100*Table1[[#This Row],[BW40_3705]]),"")</f>
        <v/>
      </c>
      <c r="I2953" s="7" t="str">
        <f>IF(Table1[[#This Row],[Is Data Valid]]=TRUE,((Table1[[#This Row],[Birthweight (grams)]]*1.1/Table1[[#This Row],[BW_GA]])-1)/(Backend!$B$4/100*Table1[[#This Row],[BW40_3705]]),"")</f>
        <v/>
      </c>
      <c r="J2953" s="7" t="str">
        <f>IF(Table1[[#This Row],[Is Data Valid]]=TRUE,_xlfn.NORM.S.DIST(Table1[[#This Row],[Birthweight Z-Score]],TRUE)*100,"")</f>
        <v/>
      </c>
      <c r="K2953" s="7" t="str">
        <f>IF(Table1[[#This Row],[Is Data Valid]]=TRUE,_xlfn.NORM.S.DIST(Table1[[#This Row],[Birthweight Z-Score (BW-10%)]],TRUE)*100,"")</f>
        <v/>
      </c>
      <c r="L2953" s="7" t="str">
        <f>IF(Table1[[#This Row],[Is Data Valid]]=TRUE,_xlfn.NORM.S.DIST(Table1[[#This Row],[Birthweight Z-Score (BW+10%)]],TRUE)*100,"")</f>
        <v/>
      </c>
    </row>
    <row r="2954" spans="1:12" x14ac:dyDescent="0.35">
      <c r="A2954" s="3"/>
      <c r="B2954" s="2"/>
      <c r="C2954" s="2"/>
      <c r="D2954" s="2" t="b">
        <f>IF(AND(NOT(ISBLANK(Table1[[#This Row],[Fetal Sex (Male, Female or Unknown)]])),ISNUMBER(Table1[[#This Row],[Birthweight (grams)]]),ISNUMBER(Table1[[#This Row],[Gestation (days)]])),TRUE,FALSE)</f>
        <v>0</v>
      </c>
      <c r="E2954" s="2" t="str">
        <f>IF(Table1[[#This Row],[Is Data Valid]]=TRUE,IF(Table1[[#This Row],[Fetal Sex (Male, Female or Unknown)]]="Male",Backend!$C$6,IF(Table1[[#This Row],[Fetal Sex (Male, Female or Unknown)]]="Female",Backend!$C$7,IF(Table1[[#This Row],[Fetal Sex (Male, Female or Unknown)]]="Unknown",Backend!$C$8,"Error"))),"")</f>
        <v/>
      </c>
      <c r="F2954" s="8" t="str">
        <f>IF(Table1[[#This Row],[Is Data Valid]]=TRUE,EXP(0.578+0.332*((Table1[[#This Row],[Gestation (days)]]+0.5)/7)-0.00354*((Table1[[#This Row],[Gestation (days)]]+0.5)/7)^2)*Table1[[#This Row],[BW40_3705]],"")</f>
        <v/>
      </c>
      <c r="G2954" s="2" t="str">
        <f>IF(Table1[[#This Row],[Is Data Valid]]=TRUE,((Table1[[#This Row],[Birthweight (grams)]]/Table1[[#This Row],[BW_GA]])-1)/(Backend!$B$4/100*Table1[[#This Row],[BW40_3705]]),"")</f>
        <v/>
      </c>
      <c r="H2954" s="7" t="str">
        <f>IF(Table1[[#This Row],[Is Data Valid]]=TRUE,((Table1[[#This Row],[Birthweight (grams)]]*0.9/Table1[[#This Row],[BW_GA]])-1)/(Backend!$B$4/100*Table1[[#This Row],[BW40_3705]]),"")</f>
        <v/>
      </c>
      <c r="I2954" s="7" t="str">
        <f>IF(Table1[[#This Row],[Is Data Valid]]=TRUE,((Table1[[#This Row],[Birthweight (grams)]]*1.1/Table1[[#This Row],[BW_GA]])-1)/(Backend!$B$4/100*Table1[[#This Row],[BW40_3705]]),"")</f>
        <v/>
      </c>
      <c r="J2954" s="7" t="str">
        <f>IF(Table1[[#This Row],[Is Data Valid]]=TRUE,_xlfn.NORM.S.DIST(Table1[[#This Row],[Birthweight Z-Score]],TRUE)*100,"")</f>
        <v/>
      </c>
      <c r="K2954" s="7" t="str">
        <f>IF(Table1[[#This Row],[Is Data Valid]]=TRUE,_xlfn.NORM.S.DIST(Table1[[#This Row],[Birthweight Z-Score (BW-10%)]],TRUE)*100,"")</f>
        <v/>
      </c>
      <c r="L2954" s="7" t="str">
        <f>IF(Table1[[#This Row],[Is Data Valid]]=TRUE,_xlfn.NORM.S.DIST(Table1[[#This Row],[Birthweight Z-Score (BW+10%)]],TRUE)*100,"")</f>
        <v/>
      </c>
    </row>
    <row r="2955" spans="1:12" x14ac:dyDescent="0.35">
      <c r="A2955" s="3"/>
      <c r="B2955" s="2"/>
      <c r="C2955" s="2"/>
      <c r="D2955" s="2" t="b">
        <f>IF(AND(NOT(ISBLANK(Table1[[#This Row],[Fetal Sex (Male, Female or Unknown)]])),ISNUMBER(Table1[[#This Row],[Birthweight (grams)]]),ISNUMBER(Table1[[#This Row],[Gestation (days)]])),TRUE,FALSE)</f>
        <v>0</v>
      </c>
      <c r="E2955" s="2" t="str">
        <f>IF(Table1[[#This Row],[Is Data Valid]]=TRUE,IF(Table1[[#This Row],[Fetal Sex (Male, Female or Unknown)]]="Male",Backend!$C$6,IF(Table1[[#This Row],[Fetal Sex (Male, Female or Unknown)]]="Female",Backend!$C$7,IF(Table1[[#This Row],[Fetal Sex (Male, Female or Unknown)]]="Unknown",Backend!$C$8,"Error"))),"")</f>
        <v/>
      </c>
      <c r="F2955" s="8" t="str">
        <f>IF(Table1[[#This Row],[Is Data Valid]]=TRUE,EXP(0.578+0.332*((Table1[[#This Row],[Gestation (days)]]+0.5)/7)-0.00354*((Table1[[#This Row],[Gestation (days)]]+0.5)/7)^2)*Table1[[#This Row],[BW40_3705]],"")</f>
        <v/>
      </c>
      <c r="G2955" s="2" t="str">
        <f>IF(Table1[[#This Row],[Is Data Valid]]=TRUE,((Table1[[#This Row],[Birthweight (grams)]]/Table1[[#This Row],[BW_GA]])-1)/(Backend!$B$4/100*Table1[[#This Row],[BW40_3705]]),"")</f>
        <v/>
      </c>
      <c r="H2955" s="7" t="str">
        <f>IF(Table1[[#This Row],[Is Data Valid]]=TRUE,((Table1[[#This Row],[Birthweight (grams)]]*0.9/Table1[[#This Row],[BW_GA]])-1)/(Backend!$B$4/100*Table1[[#This Row],[BW40_3705]]),"")</f>
        <v/>
      </c>
      <c r="I2955" s="7" t="str">
        <f>IF(Table1[[#This Row],[Is Data Valid]]=TRUE,((Table1[[#This Row],[Birthweight (grams)]]*1.1/Table1[[#This Row],[BW_GA]])-1)/(Backend!$B$4/100*Table1[[#This Row],[BW40_3705]]),"")</f>
        <v/>
      </c>
      <c r="J2955" s="7" t="str">
        <f>IF(Table1[[#This Row],[Is Data Valid]]=TRUE,_xlfn.NORM.S.DIST(Table1[[#This Row],[Birthweight Z-Score]],TRUE)*100,"")</f>
        <v/>
      </c>
      <c r="K2955" s="7" t="str">
        <f>IF(Table1[[#This Row],[Is Data Valid]]=TRUE,_xlfn.NORM.S.DIST(Table1[[#This Row],[Birthweight Z-Score (BW-10%)]],TRUE)*100,"")</f>
        <v/>
      </c>
      <c r="L2955" s="7" t="str">
        <f>IF(Table1[[#This Row],[Is Data Valid]]=TRUE,_xlfn.NORM.S.DIST(Table1[[#This Row],[Birthweight Z-Score (BW+10%)]],TRUE)*100,"")</f>
        <v/>
      </c>
    </row>
    <row r="2956" spans="1:12" x14ac:dyDescent="0.35">
      <c r="A2956" s="3"/>
      <c r="B2956" s="2"/>
      <c r="C2956" s="2"/>
      <c r="D2956" s="2" t="b">
        <f>IF(AND(NOT(ISBLANK(Table1[[#This Row],[Fetal Sex (Male, Female or Unknown)]])),ISNUMBER(Table1[[#This Row],[Birthweight (grams)]]),ISNUMBER(Table1[[#This Row],[Gestation (days)]])),TRUE,FALSE)</f>
        <v>0</v>
      </c>
      <c r="E2956" s="2" t="str">
        <f>IF(Table1[[#This Row],[Is Data Valid]]=TRUE,IF(Table1[[#This Row],[Fetal Sex (Male, Female or Unknown)]]="Male",Backend!$C$6,IF(Table1[[#This Row],[Fetal Sex (Male, Female or Unknown)]]="Female",Backend!$C$7,IF(Table1[[#This Row],[Fetal Sex (Male, Female or Unknown)]]="Unknown",Backend!$C$8,"Error"))),"")</f>
        <v/>
      </c>
      <c r="F2956" s="8" t="str">
        <f>IF(Table1[[#This Row],[Is Data Valid]]=TRUE,EXP(0.578+0.332*((Table1[[#This Row],[Gestation (days)]]+0.5)/7)-0.00354*((Table1[[#This Row],[Gestation (days)]]+0.5)/7)^2)*Table1[[#This Row],[BW40_3705]],"")</f>
        <v/>
      </c>
      <c r="G2956" s="2" t="str">
        <f>IF(Table1[[#This Row],[Is Data Valid]]=TRUE,((Table1[[#This Row],[Birthweight (grams)]]/Table1[[#This Row],[BW_GA]])-1)/(Backend!$B$4/100*Table1[[#This Row],[BW40_3705]]),"")</f>
        <v/>
      </c>
      <c r="H2956" s="7" t="str">
        <f>IF(Table1[[#This Row],[Is Data Valid]]=TRUE,((Table1[[#This Row],[Birthweight (grams)]]*0.9/Table1[[#This Row],[BW_GA]])-1)/(Backend!$B$4/100*Table1[[#This Row],[BW40_3705]]),"")</f>
        <v/>
      </c>
      <c r="I2956" s="7" t="str">
        <f>IF(Table1[[#This Row],[Is Data Valid]]=TRUE,((Table1[[#This Row],[Birthweight (grams)]]*1.1/Table1[[#This Row],[BW_GA]])-1)/(Backend!$B$4/100*Table1[[#This Row],[BW40_3705]]),"")</f>
        <v/>
      </c>
      <c r="J2956" s="7" t="str">
        <f>IF(Table1[[#This Row],[Is Data Valid]]=TRUE,_xlfn.NORM.S.DIST(Table1[[#This Row],[Birthweight Z-Score]],TRUE)*100,"")</f>
        <v/>
      </c>
      <c r="K2956" s="7" t="str">
        <f>IF(Table1[[#This Row],[Is Data Valid]]=TRUE,_xlfn.NORM.S.DIST(Table1[[#This Row],[Birthweight Z-Score (BW-10%)]],TRUE)*100,"")</f>
        <v/>
      </c>
      <c r="L2956" s="7" t="str">
        <f>IF(Table1[[#This Row],[Is Data Valid]]=TRUE,_xlfn.NORM.S.DIST(Table1[[#This Row],[Birthweight Z-Score (BW+10%)]],TRUE)*100,"")</f>
        <v/>
      </c>
    </row>
    <row r="2957" spans="1:12" x14ac:dyDescent="0.35">
      <c r="A2957" s="3"/>
      <c r="B2957" s="2"/>
      <c r="C2957" s="2"/>
      <c r="D2957" s="2" t="b">
        <f>IF(AND(NOT(ISBLANK(Table1[[#This Row],[Fetal Sex (Male, Female or Unknown)]])),ISNUMBER(Table1[[#This Row],[Birthweight (grams)]]),ISNUMBER(Table1[[#This Row],[Gestation (days)]])),TRUE,FALSE)</f>
        <v>0</v>
      </c>
      <c r="E2957" s="2" t="str">
        <f>IF(Table1[[#This Row],[Is Data Valid]]=TRUE,IF(Table1[[#This Row],[Fetal Sex (Male, Female or Unknown)]]="Male",Backend!$C$6,IF(Table1[[#This Row],[Fetal Sex (Male, Female or Unknown)]]="Female",Backend!$C$7,IF(Table1[[#This Row],[Fetal Sex (Male, Female or Unknown)]]="Unknown",Backend!$C$8,"Error"))),"")</f>
        <v/>
      </c>
      <c r="F2957" s="8" t="str">
        <f>IF(Table1[[#This Row],[Is Data Valid]]=TRUE,EXP(0.578+0.332*((Table1[[#This Row],[Gestation (days)]]+0.5)/7)-0.00354*((Table1[[#This Row],[Gestation (days)]]+0.5)/7)^2)*Table1[[#This Row],[BW40_3705]],"")</f>
        <v/>
      </c>
      <c r="G2957" s="2" t="str">
        <f>IF(Table1[[#This Row],[Is Data Valid]]=TRUE,((Table1[[#This Row],[Birthweight (grams)]]/Table1[[#This Row],[BW_GA]])-1)/(Backend!$B$4/100*Table1[[#This Row],[BW40_3705]]),"")</f>
        <v/>
      </c>
      <c r="H2957" s="7" t="str">
        <f>IF(Table1[[#This Row],[Is Data Valid]]=TRUE,((Table1[[#This Row],[Birthweight (grams)]]*0.9/Table1[[#This Row],[BW_GA]])-1)/(Backend!$B$4/100*Table1[[#This Row],[BW40_3705]]),"")</f>
        <v/>
      </c>
      <c r="I2957" s="7" t="str">
        <f>IF(Table1[[#This Row],[Is Data Valid]]=TRUE,((Table1[[#This Row],[Birthweight (grams)]]*1.1/Table1[[#This Row],[BW_GA]])-1)/(Backend!$B$4/100*Table1[[#This Row],[BW40_3705]]),"")</f>
        <v/>
      </c>
      <c r="J2957" s="7" t="str">
        <f>IF(Table1[[#This Row],[Is Data Valid]]=TRUE,_xlfn.NORM.S.DIST(Table1[[#This Row],[Birthweight Z-Score]],TRUE)*100,"")</f>
        <v/>
      </c>
      <c r="K2957" s="7" t="str">
        <f>IF(Table1[[#This Row],[Is Data Valid]]=TRUE,_xlfn.NORM.S.DIST(Table1[[#This Row],[Birthweight Z-Score (BW-10%)]],TRUE)*100,"")</f>
        <v/>
      </c>
      <c r="L2957" s="7" t="str">
        <f>IF(Table1[[#This Row],[Is Data Valid]]=TRUE,_xlfn.NORM.S.DIST(Table1[[#This Row],[Birthweight Z-Score (BW+10%)]],TRUE)*100,"")</f>
        <v/>
      </c>
    </row>
    <row r="2958" spans="1:12" x14ac:dyDescent="0.35">
      <c r="A2958" s="3"/>
      <c r="B2958" s="2"/>
      <c r="C2958" s="2"/>
      <c r="D2958" s="2" t="b">
        <f>IF(AND(NOT(ISBLANK(Table1[[#This Row],[Fetal Sex (Male, Female or Unknown)]])),ISNUMBER(Table1[[#This Row],[Birthweight (grams)]]),ISNUMBER(Table1[[#This Row],[Gestation (days)]])),TRUE,FALSE)</f>
        <v>0</v>
      </c>
      <c r="E2958" s="2" t="str">
        <f>IF(Table1[[#This Row],[Is Data Valid]]=TRUE,IF(Table1[[#This Row],[Fetal Sex (Male, Female or Unknown)]]="Male",Backend!$C$6,IF(Table1[[#This Row],[Fetal Sex (Male, Female or Unknown)]]="Female",Backend!$C$7,IF(Table1[[#This Row],[Fetal Sex (Male, Female or Unknown)]]="Unknown",Backend!$C$8,"Error"))),"")</f>
        <v/>
      </c>
      <c r="F2958" s="8" t="str">
        <f>IF(Table1[[#This Row],[Is Data Valid]]=TRUE,EXP(0.578+0.332*((Table1[[#This Row],[Gestation (days)]]+0.5)/7)-0.00354*((Table1[[#This Row],[Gestation (days)]]+0.5)/7)^2)*Table1[[#This Row],[BW40_3705]],"")</f>
        <v/>
      </c>
      <c r="G2958" s="2" t="str">
        <f>IF(Table1[[#This Row],[Is Data Valid]]=TRUE,((Table1[[#This Row],[Birthweight (grams)]]/Table1[[#This Row],[BW_GA]])-1)/(Backend!$B$4/100*Table1[[#This Row],[BW40_3705]]),"")</f>
        <v/>
      </c>
      <c r="H2958" s="7" t="str">
        <f>IF(Table1[[#This Row],[Is Data Valid]]=TRUE,((Table1[[#This Row],[Birthweight (grams)]]*0.9/Table1[[#This Row],[BW_GA]])-1)/(Backend!$B$4/100*Table1[[#This Row],[BW40_3705]]),"")</f>
        <v/>
      </c>
      <c r="I2958" s="7" t="str">
        <f>IF(Table1[[#This Row],[Is Data Valid]]=TRUE,((Table1[[#This Row],[Birthweight (grams)]]*1.1/Table1[[#This Row],[BW_GA]])-1)/(Backend!$B$4/100*Table1[[#This Row],[BW40_3705]]),"")</f>
        <v/>
      </c>
      <c r="J2958" s="7" t="str">
        <f>IF(Table1[[#This Row],[Is Data Valid]]=TRUE,_xlfn.NORM.S.DIST(Table1[[#This Row],[Birthweight Z-Score]],TRUE)*100,"")</f>
        <v/>
      </c>
      <c r="K2958" s="7" t="str">
        <f>IF(Table1[[#This Row],[Is Data Valid]]=TRUE,_xlfn.NORM.S.DIST(Table1[[#This Row],[Birthweight Z-Score (BW-10%)]],TRUE)*100,"")</f>
        <v/>
      </c>
      <c r="L2958" s="7" t="str">
        <f>IF(Table1[[#This Row],[Is Data Valid]]=TRUE,_xlfn.NORM.S.DIST(Table1[[#This Row],[Birthweight Z-Score (BW+10%)]],TRUE)*100,"")</f>
        <v/>
      </c>
    </row>
    <row r="2959" spans="1:12" x14ac:dyDescent="0.35">
      <c r="A2959" s="3"/>
      <c r="B2959" s="2"/>
      <c r="C2959" s="2"/>
      <c r="D2959" s="2" t="b">
        <f>IF(AND(NOT(ISBLANK(Table1[[#This Row],[Fetal Sex (Male, Female or Unknown)]])),ISNUMBER(Table1[[#This Row],[Birthweight (grams)]]),ISNUMBER(Table1[[#This Row],[Gestation (days)]])),TRUE,FALSE)</f>
        <v>0</v>
      </c>
      <c r="E2959" s="2" t="str">
        <f>IF(Table1[[#This Row],[Is Data Valid]]=TRUE,IF(Table1[[#This Row],[Fetal Sex (Male, Female or Unknown)]]="Male",Backend!$C$6,IF(Table1[[#This Row],[Fetal Sex (Male, Female or Unknown)]]="Female",Backend!$C$7,IF(Table1[[#This Row],[Fetal Sex (Male, Female or Unknown)]]="Unknown",Backend!$C$8,"Error"))),"")</f>
        <v/>
      </c>
      <c r="F2959" s="8" t="str">
        <f>IF(Table1[[#This Row],[Is Data Valid]]=TRUE,EXP(0.578+0.332*((Table1[[#This Row],[Gestation (days)]]+0.5)/7)-0.00354*((Table1[[#This Row],[Gestation (days)]]+0.5)/7)^2)*Table1[[#This Row],[BW40_3705]],"")</f>
        <v/>
      </c>
      <c r="G2959" s="2" t="str">
        <f>IF(Table1[[#This Row],[Is Data Valid]]=TRUE,((Table1[[#This Row],[Birthweight (grams)]]/Table1[[#This Row],[BW_GA]])-1)/(Backend!$B$4/100*Table1[[#This Row],[BW40_3705]]),"")</f>
        <v/>
      </c>
      <c r="H2959" s="7" t="str">
        <f>IF(Table1[[#This Row],[Is Data Valid]]=TRUE,((Table1[[#This Row],[Birthweight (grams)]]*0.9/Table1[[#This Row],[BW_GA]])-1)/(Backend!$B$4/100*Table1[[#This Row],[BW40_3705]]),"")</f>
        <v/>
      </c>
      <c r="I2959" s="7" t="str">
        <f>IF(Table1[[#This Row],[Is Data Valid]]=TRUE,((Table1[[#This Row],[Birthweight (grams)]]*1.1/Table1[[#This Row],[BW_GA]])-1)/(Backend!$B$4/100*Table1[[#This Row],[BW40_3705]]),"")</f>
        <v/>
      </c>
      <c r="J2959" s="7" t="str">
        <f>IF(Table1[[#This Row],[Is Data Valid]]=TRUE,_xlfn.NORM.S.DIST(Table1[[#This Row],[Birthweight Z-Score]],TRUE)*100,"")</f>
        <v/>
      </c>
      <c r="K2959" s="7" t="str">
        <f>IF(Table1[[#This Row],[Is Data Valid]]=TRUE,_xlfn.NORM.S.DIST(Table1[[#This Row],[Birthweight Z-Score (BW-10%)]],TRUE)*100,"")</f>
        <v/>
      </c>
      <c r="L2959" s="7" t="str">
        <f>IF(Table1[[#This Row],[Is Data Valid]]=TRUE,_xlfn.NORM.S.DIST(Table1[[#This Row],[Birthweight Z-Score (BW+10%)]],TRUE)*100,"")</f>
        <v/>
      </c>
    </row>
    <row r="2960" spans="1:12" x14ac:dyDescent="0.35">
      <c r="A2960" s="3"/>
      <c r="B2960" s="2"/>
      <c r="C2960" s="2"/>
      <c r="D2960" s="2" t="b">
        <f>IF(AND(NOT(ISBLANK(Table1[[#This Row],[Fetal Sex (Male, Female or Unknown)]])),ISNUMBER(Table1[[#This Row],[Birthweight (grams)]]),ISNUMBER(Table1[[#This Row],[Gestation (days)]])),TRUE,FALSE)</f>
        <v>0</v>
      </c>
      <c r="E2960" s="2" t="str">
        <f>IF(Table1[[#This Row],[Is Data Valid]]=TRUE,IF(Table1[[#This Row],[Fetal Sex (Male, Female or Unknown)]]="Male",Backend!$C$6,IF(Table1[[#This Row],[Fetal Sex (Male, Female or Unknown)]]="Female",Backend!$C$7,IF(Table1[[#This Row],[Fetal Sex (Male, Female or Unknown)]]="Unknown",Backend!$C$8,"Error"))),"")</f>
        <v/>
      </c>
      <c r="F2960" s="8" t="str">
        <f>IF(Table1[[#This Row],[Is Data Valid]]=TRUE,EXP(0.578+0.332*((Table1[[#This Row],[Gestation (days)]]+0.5)/7)-0.00354*((Table1[[#This Row],[Gestation (days)]]+0.5)/7)^2)*Table1[[#This Row],[BW40_3705]],"")</f>
        <v/>
      </c>
      <c r="G2960" s="2" t="str">
        <f>IF(Table1[[#This Row],[Is Data Valid]]=TRUE,((Table1[[#This Row],[Birthweight (grams)]]/Table1[[#This Row],[BW_GA]])-1)/(Backend!$B$4/100*Table1[[#This Row],[BW40_3705]]),"")</f>
        <v/>
      </c>
      <c r="H2960" s="7" t="str">
        <f>IF(Table1[[#This Row],[Is Data Valid]]=TRUE,((Table1[[#This Row],[Birthweight (grams)]]*0.9/Table1[[#This Row],[BW_GA]])-1)/(Backend!$B$4/100*Table1[[#This Row],[BW40_3705]]),"")</f>
        <v/>
      </c>
      <c r="I2960" s="7" t="str">
        <f>IF(Table1[[#This Row],[Is Data Valid]]=TRUE,((Table1[[#This Row],[Birthweight (grams)]]*1.1/Table1[[#This Row],[BW_GA]])-1)/(Backend!$B$4/100*Table1[[#This Row],[BW40_3705]]),"")</f>
        <v/>
      </c>
      <c r="J2960" s="7" t="str">
        <f>IF(Table1[[#This Row],[Is Data Valid]]=TRUE,_xlfn.NORM.S.DIST(Table1[[#This Row],[Birthweight Z-Score]],TRUE)*100,"")</f>
        <v/>
      </c>
      <c r="K2960" s="7" t="str">
        <f>IF(Table1[[#This Row],[Is Data Valid]]=TRUE,_xlfn.NORM.S.DIST(Table1[[#This Row],[Birthweight Z-Score (BW-10%)]],TRUE)*100,"")</f>
        <v/>
      </c>
      <c r="L2960" s="7" t="str">
        <f>IF(Table1[[#This Row],[Is Data Valid]]=TRUE,_xlfn.NORM.S.DIST(Table1[[#This Row],[Birthweight Z-Score (BW+10%)]],TRUE)*100,"")</f>
        <v/>
      </c>
    </row>
    <row r="2961" spans="1:12" x14ac:dyDescent="0.35">
      <c r="A2961" s="3"/>
      <c r="B2961" s="2"/>
      <c r="C2961" s="2"/>
      <c r="D2961" s="2" t="b">
        <f>IF(AND(NOT(ISBLANK(Table1[[#This Row],[Fetal Sex (Male, Female or Unknown)]])),ISNUMBER(Table1[[#This Row],[Birthweight (grams)]]),ISNUMBER(Table1[[#This Row],[Gestation (days)]])),TRUE,FALSE)</f>
        <v>0</v>
      </c>
      <c r="E2961" s="2" t="str">
        <f>IF(Table1[[#This Row],[Is Data Valid]]=TRUE,IF(Table1[[#This Row],[Fetal Sex (Male, Female or Unknown)]]="Male",Backend!$C$6,IF(Table1[[#This Row],[Fetal Sex (Male, Female or Unknown)]]="Female",Backend!$C$7,IF(Table1[[#This Row],[Fetal Sex (Male, Female or Unknown)]]="Unknown",Backend!$C$8,"Error"))),"")</f>
        <v/>
      </c>
      <c r="F2961" s="8" t="str">
        <f>IF(Table1[[#This Row],[Is Data Valid]]=TRUE,EXP(0.578+0.332*((Table1[[#This Row],[Gestation (days)]]+0.5)/7)-0.00354*((Table1[[#This Row],[Gestation (days)]]+0.5)/7)^2)*Table1[[#This Row],[BW40_3705]],"")</f>
        <v/>
      </c>
      <c r="G2961" s="2" t="str">
        <f>IF(Table1[[#This Row],[Is Data Valid]]=TRUE,((Table1[[#This Row],[Birthweight (grams)]]/Table1[[#This Row],[BW_GA]])-1)/(Backend!$B$4/100*Table1[[#This Row],[BW40_3705]]),"")</f>
        <v/>
      </c>
      <c r="H2961" s="7" t="str">
        <f>IF(Table1[[#This Row],[Is Data Valid]]=TRUE,((Table1[[#This Row],[Birthweight (grams)]]*0.9/Table1[[#This Row],[BW_GA]])-1)/(Backend!$B$4/100*Table1[[#This Row],[BW40_3705]]),"")</f>
        <v/>
      </c>
      <c r="I2961" s="7" t="str">
        <f>IF(Table1[[#This Row],[Is Data Valid]]=TRUE,((Table1[[#This Row],[Birthweight (grams)]]*1.1/Table1[[#This Row],[BW_GA]])-1)/(Backend!$B$4/100*Table1[[#This Row],[BW40_3705]]),"")</f>
        <v/>
      </c>
      <c r="J2961" s="7" t="str">
        <f>IF(Table1[[#This Row],[Is Data Valid]]=TRUE,_xlfn.NORM.S.DIST(Table1[[#This Row],[Birthweight Z-Score]],TRUE)*100,"")</f>
        <v/>
      </c>
      <c r="K2961" s="7" t="str">
        <f>IF(Table1[[#This Row],[Is Data Valid]]=TRUE,_xlfn.NORM.S.DIST(Table1[[#This Row],[Birthweight Z-Score (BW-10%)]],TRUE)*100,"")</f>
        <v/>
      </c>
      <c r="L2961" s="7" t="str">
        <f>IF(Table1[[#This Row],[Is Data Valid]]=TRUE,_xlfn.NORM.S.DIST(Table1[[#This Row],[Birthweight Z-Score (BW+10%)]],TRUE)*100,"")</f>
        <v/>
      </c>
    </row>
    <row r="2962" spans="1:12" x14ac:dyDescent="0.35">
      <c r="A2962" s="3"/>
      <c r="B2962" s="2"/>
      <c r="C2962" s="2"/>
      <c r="D2962" s="2" t="b">
        <f>IF(AND(NOT(ISBLANK(Table1[[#This Row],[Fetal Sex (Male, Female or Unknown)]])),ISNUMBER(Table1[[#This Row],[Birthweight (grams)]]),ISNUMBER(Table1[[#This Row],[Gestation (days)]])),TRUE,FALSE)</f>
        <v>0</v>
      </c>
      <c r="E2962" s="2" t="str">
        <f>IF(Table1[[#This Row],[Is Data Valid]]=TRUE,IF(Table1[[#This Row],[Fetal Sex (Male, Female or Unknown)]]="Male",Backend!$C$6,IF(Table1[[#This Row],[Fetal Sex (Male, Female or Unknown)]]="Female",Backend!$C$7,IF(Table1[[#This Row],[Fetal Sex (Male, Female or Unknown)]]="Unknown",Backend!$C$8,"Error"))),"")</f>
        <v/>
      </c>
      <c r="F2962" s="8" t="str">
        <f>IF(Table1[[#This Row],[Is Data Valid]]=TRUE,EXP(0.578+0.332*((Table1[[#This Row],[Gestation (days)]]+0.5)/7)-0.00354*((Table1[[#This Row],[Gestation (days)]]+0.5)/7)^2)*Table1[[#This Row],[BW40_3705]],"")</f>
        <v/>
      </c>
      <c r="G2962" s="2" t="str">
        <f>IF(Table1[[#This Row],[Is Data Valid]]=TRUE,((Table1[[#This Row],[Birthweight (grams)]]/Table1[[#This Row],[BW_GA]])-1)/(Backend!$B$4/100*Table1[[#This Row],[BW40_3705]]),"")</f>
        <v/>
      </c>
      <c r="H2962" s="7" t="str">
        <f>IF(Table1[[#This Row],[Is Data Valid]]=TRUE,((Table1[[#This Row],[Birthweight (grams)]]*0.9/Table1[[#This Row],[BW_GA]])-1)/(Backend!$B$4/100*Table1[[#This Row],[BW40_3705]]),"")</f>
        <v/>
      </c>
      <c r="I2962" s="7" t="str">
        <f>IF(Table1[[#This Row],[Is Data Valid]]=TRUE,((Table1[[#This Row],[Birthweight (grams)]]*1.1/Table1[[#This Row],[BW_GA]])-1)/(Backend!$B$4/100*Table1[[#This Row],[BW40_3705]]),"")</f>
        <v/>
      </c>
      <c r="J2962" s="7" t="str">
        <f>IF(Table1[[#This Row],[Is Data Valid]]=TRUE,_xlfn.NORM.S.DIST(Table1[[#This Row],[Birthweight Z-Score]],TRUE)*100,"")</f>
        <v/>
      </c>
      <c r="K2962" s="7" t="str">
        <f>IF(Table1[[#This Row],[Is Data Valid]]=TRUE,_xlfn.NORM.S.DIST(Table1[[#This Row],[Birthweight Z-Score (BW-10%)]],TRUE)*100,"")</f>
        <v/>
      </c>
      <c r="L2962" s="7" t="str">
        <f>IF(Table1[[#This Row],[Is Data Valid]]=TRUE,_xlfn.NORM.S.DIST(Table1[[#This Row],[Birthweight Z-Score (BW+10%)]],TRUE)*100,"")</f>
        <v/>
      </c>
    </row>
    <row r="2963" spans="1:12" x14ac:dyDescent="0.35">
      <c r="A2963" s="3"/>
      <c r="B2963" s="2"/>
      <c r="C2963" s="2"/>
      <c r="D2963" s="2" t="b">
        <f>IF(AND(NOT(ISBLANK(Table1[[#This Row],[Fetal Sex (Male, Female or Unknown)]])),ISNUMBER(Table1[[#This Row],[Birthweight (grams)]]),ISNUMBER(Table1[[#This Row],[Gestation (days)]])),TRUE,FALSE)</f>
        <v>0</v>
      </c>
      <c r="E2963" s="2" t="str">
        <f>IF(Table1[[#This Row],[Is Data Valid]]=TRUE,IF(Table1[[#This Row],[Fetal Sex (Male, Female or Unknown)]]="Male",Backend!$C$6,IF(Table1[[#This Row],[Fetal Sex (Male, Female or Unknown)]]="Female",Backend!$C$7,IF(Table1[[#This Row],[Fetal Sex (Male, Female or Unknown)]]="Unknown",Backend!$C$8,"Error"))),"")</f>
        <v/>
      </c>
      <c r="F2963" s="8" t="str">
        <f>IF(Table1[[#This Row],[Is Data Valid]]=TRUE,EXP(0.578+0.332*((Table1[[#This Row],[Gestation (days)]]+0.5)/7)-0.00354*((Table1[[#This Row],[Gestation (days)]]+0.5)/7)^2)*Table1[[#This Row],[BW40_3705]],"")</f>
        <v/>
      </c>
      <c r="G2963" s="2" t="str">
        <f>IF(Table1[[#This Row],[Is Data Valid]]=TRUE,((Table1[[#This Row],[Birthweight (grams)]]/Table1[[#This Row],[BW_GA]])-1)/(Backend!$B$4/100*Table1[[#This Row],[BW40_3705]]),"")</f>
        <v/>
      </c>
      <c r="H2963" s="7" t="str">
        <f>IF(Table1[[#This Row],[Is Data Valid]]=TRUE,((Table1[[#This Row],[Birthweight (grams)]]*0.9/Table1[[#This Row],[BW_GA]])-1)/(Backend!$B$4/100*Table1[[#This Row],[BW40_3705]]),"")</f>
        <v/>
      </c>
      <c r="I2963" s="7" t="str">
        <f>IF(Table1[[#This Row],[Is Data Valid]]=TRUE,((Table1[[#This Row],[Birthweight (grams)]]*1.1/Table1[[#This Row],[BW_GA]])-1)/(Backend!$B$4/100*Table1[[#This Row],[BW40_3705]]),"")</f>
        <v/>
      </c>
      <c r="J2963" s="7" t="str">
        <f>IF(Table1[[#This Row],[Is Data Valid]]=TRUE,_xlfn.NORM.S.DIST(Table1[[#This Row],[Birthweight Z-Score]],TRUE)*100,"")</f>
        <v/>
      </c>
      <c r="K2963" s="7" t="str">
        <f>IF(Table1[[#This Row],[Is Data Valid]]=TRUE,_xlfn.NORM.S.DIST(Table1[[#This Row],[Birthweight Z-Score (BW-10%)]],TRUE)*100,"")</f>
        <v/>
      </c>
      <c r="L2963" s="7" t="str">
        <f>IF(Table1[[#This Row],[Is Data Valid]]=TRUE,_xlfn.NORM.S.DIST(Table1[[#This Row],[Birthweight Z-Score (BW+10%)]],TRUE)*100,"")</f>
        <v/>
      </c>
    </row>
    <row r="2964" spans="1:12" x14ac:dyDescent="0.35">
      <c r="A2964" s="3"/>
      <c r="B2964" s="2"/>
      <c r="C2964" s="2"/>
      <c r="D2964" s="2" t="b">
        <f>IF(AND(NOT(ISBLANK(Table1[[#This Row],[Fetal Sex (Male, Female or Unknown)]])),ISNUMBER(Table1[[#This Row],[Birthweight (grams)]]),ISNUMBER(Table1[[#This Row],[Gestation (days)]])),TRUE,FALSE)</f>
        <v>0</v>
      </c>
      <c r="E2964" s="2" t="str">
        <f>IF(Table1[[#This Row],[Is Data Valid]]=TRUE,IF(Table1[[#This Row],[Fetal Sex (Male, Female or Unknown)]]="Male",Backend!$C$6,IF(Table1[[#This Row],[Fetal Sex (Male, Female or Unknown)]]="Female",Backend!$C$7,IF(Table1[[#This Row],[Fetal Sex (Male, Female or Unknown)]]="Unknown",Backend!$C$8,"Error"))),"")</f>
        <v/>
      </c>
      <c r="F2964" s="8" t="str">
        <f>IF(Table1[[#This Row],[Is Data Valid]]=TRUE,EXP(0.578+0.332*((Table1[[#This Row],[Gestation (days)]]+0.5)/7)-0.00354*((Table1[[#This Row],[Gestation (days)]]+0.5)/7)^2)*Table1[[#This Row],[BW40_3705]],"")</f>
        <v/>
      </c>
      <c r="G2964" s="2" t="str">
        <f>IF(Table1[[#This Row],[Is Data Valid]]=TRUE,((Table1[[#This Row],[Birthweight (grams)]]/Table1[[#This Row],[BW_GA]])-1)/(Backend!$B$4/100*Table1[[#This Row],[BW40_3705]]),"")</f>
        <v/>
      </c>
      <c r="H2964" s="7" t="str">
        <f>IF(Table1[[#This Row],[Is Data Valid]]=TRUE,((Table1[[#This Row],[Birthweight (grams)]]*0.9/Table1[[#This Row],[BW_GA]])-1)/(Backend!$B$4/100*Table1[[#This Row],[BW40_3705]]),"")</f>
        <v/>
      </c>
      <c r="I2964" s="7" t="str">
        <f>IF(Table1[[#This Row],[Is Data Valid]]=TRUE,((Table1[[#This Row],[Birthweight (grams)]]*1.1/Table1[[#This Row],[BW_GA]])-1)/(Backend!$B$4/100*Table1[[#This Row],[BW40_3705]]),"")</f>
        <v/>
      </c>
      <c r="J2964" s="7" t="str">
        <f>IF(Table1[[#This Row],[Is Data Valid]]=TRUE,_xlfn.NORM.S.DIST(Table1[[#This Row],[Birthweight Z-Score]],TRUE)*100,"")</f>
        <v/>
      </c>
      <c r="K2964" s="7" t="str">
        <f>IF(Table1[[#This Row],[Is Data Valid]]=TRUE,_xlfn.NORM.S.DIST(Table1[[#This Row],[Birthweight Z-Score (BW-10%)]],TRUE)*100,"")</f>
        <v/>
      </c>
      <c r="L2964" s="7" t="str">
        <f>IF(Table1[[#This Row],[Is Data Valid]]=TRUE,_xlfn.NORM.S.DIST(Table1[[#This Row],[Birthweight Z-Score (BW+10%)]],TRUE)*100,"")</f>
        <v/>
      </c>
    </row>
    <row r="2965" spans="1:12" x14ac:dyDescent="0.35">
      <c r="A2965" s="3"/>
      <c r="B2965" s="2"/>
      <c r="C2965" s="2"/>
      <c r="D2965" s="2" t="b">
        <f>IF(AND(NOT(ISBLANK(Table1[[#This Row],[Fetal Sex (Male, Female or Unknown)]])),ISNUMBER(Table1[[#This Row],[Birthweight (grams)]]),ISNUMBER(Table1[[#This Row],[Gestation (days)]])),TRUE,FALSE)</f>
        <v>0</v>
      </c>
      <c r="E2965" s="2" t="str">
        <f>IF(Table1[[#This Row],[Is Data Valid]]=TRUE,IF(Table1[[#This Row],[Fetal Sex (Male, Female or Unknown)]]="Male",Backend!$C$6,IF(Table1[[#This Row],[Fetal Sex (Male, Female or Unknown)]]="Female",Backend!$C$7,IF(Table1[[#This Row],[Fetal Sex (Male, Female or Unknown)]]="Unknown",Backend!$C$8,"Error"))),"")</f>
        <v/>
      </c>
      <c r="F2965" s="8" t="str">
        <f>IF(Table1[[#This Row],[Is Data Valid]]=TRUE,EXP(0.578+0.332*((Table1[[#This Row],[Gestation (days)]]+0.5)/7)-0.00354*((Table1[[#This Row],[Gestation (days)]]+0.5)/7)^2)*Table1[[#This Row],[BW40_3705]],"")</f>
        <v/>
      </c>
      <c r="G2965" s="2" t="str">
        <f>IF(Table1[[#This Row],[Is Data Valid]]=TRUE,((Table1[[#This Row],[Birthweight (grams)]]/Table1[[#This Row],[BW_GA]])-1)/(Backend!$B$4/100*Table1[[#This Row],[BW40_3705]]),"")</f>
        <v/>
      </c>
      <c r="H2965" s="7" t="str">
        <f>IF(Table1[[#This Row],[Is Data Valid]]=TRUE,((Table1[[#This Row],[Birthweight (grams)]]*0.9/Table1[[#This Row],[BW_GA]])-1)/(Backend!$B$4/100*Table1[[#This Row],[BW40_3705]]),"")</f>
        <v/>
      </c>
      <c r="I2965" s="7" t="str">
        <f>IF(Table1[[#This Row],[Is Data Valid]]=TRUE,((Table1[[#This Row],[Birthweight (grams)]]*1.1/Table1[[#This Row],[BW_GA]])-1)/(Backend!$B$4/100*Table1[[#This Row],[BW40_3705]]),"")</f>
        <v/>
      </c>
      <c r="J2965" s="7" t="str">
        <f>IF(Table1[[#This Row],[Is Data Valid]]=TRUE,_xlfn.NORM.S.DIST(Table1[[#This Row],[Birthweight Z-Score]],TRUE)*100,"")</f>
        <v/>
      </c>
      <c r="K2965" s="7" t="str">
        <f>IF(Table1[[#This Row],[Is Data Valid]]=TRUE,_xlfn.NORM.S.DIST(Table1[[#This Row],[Birthweight Z-Score (BW-10%)]],TRUE)*100,"")</f>
        <v/>
      </c>
      <c r="L2965" s="7" t="str">
        <f>IF(Table1[[#This Row],[Is Data Valid]]=TRUE,_xlfn.NORM.S.DIST(Table1[[#This Row],[Birthweight Z-Score (BW+10%)]],TRUE)*100,"")</f>
        <v/>
      </c>
    </row>
    <row r="2966" spans="1:12" x14ac:dyDescent="0.35">
      <c r="A2966" s="3"/>
      <c r="B2966" s="2"/>
      <c r="C2966" s="2"/>
      <c r="D2966" s="2" t="b">
        <f>IF(AND(NOT(ISBLANK(Table1[[#This Row],[Fetal Sex (Male, Female or Unknown)]])),ISNUMBER(Table1[[#This Row],[Birthweight (grams)]]),ISNUMBER(Table1[[#This Row],[Gestation (days)]])),TRUE,FALSE)</f>
        <v>0</v>
      </c>
      <c r="E2966" s="2" t="str">
        <f>IF(Table1[[#This Row],[Is Data Valid]]=TRUE,IF(Table1[[#This Row],[Fetal Sex (Male, Female or Unknown)]]="Male",Backend!$C$6,IF(Table1[[#This Row],[Fetal Sex (Male, Female or Unknown)]]="Female",Backend!$C$7,IF(Table1[[#This Row],[Fetal Sex (Male, Female or Unknown)]]="Unknown",Backend!$C$8,"Error"))),"")</f>
        <v/>
      </c>
      <c r="F2966" s="8" t="str">
        <f>IF(Table1[[#This Row],[Is Data Valid]]=TRUE,EXP(0.578+0.332*((Table1[[#This Row],[Gestation (days)]]+0.5)/7)-0.00354*((Table1[[#This Row],[Gestation (days)]]+0.5)/7)^2)*Table1[[#This Row],[BW40_3705]],"")</f>
        <v/>
      </c>
      <c r="G2966" s="2" t="str">
        <f>IF(Table1[[#This Row],[Is Data Valid]]=TRUE,((Table1[[#This Row],[Birthweight (grams)]]/Table1[[#This Row],[BW_GA]])-1)/(Backend!$B$4/100*Table1[[#This Row],[BW40_3705]]),"")</f>
        <v/>
      </c>
      <c r="H2966" s="7" t="str">
        <f>IF(Table1[[#This Row],[Is Data Valid]]=TRUE,((Table1[[#This Row],[Birthweight (grams)]]*0.9/Table1[[#This Row],[BW_GA]])-1)/(Backend!$B$4/100*Table1[[#This Row],[BW40_3705]]),"")</f>
        <v/>
      </c>
      <c r="I2966" s="7" t="str">
        <f>IF(Table1[[#This Row],[Is Data Valid]]=TRUE,((Table1[[#This Row],[Birthweight (grams)]]*1.1/Table1[[#This Row],[BW_GA]])-1)/(Backend!$B$4/100*Table1[[#This Row],[BW40_3705]]),"")</f>
        <v/>
      </c>
      <c r="J2966" s="7" t="str">
        <f>IF(Table1[[#This Row],[Is Data Valid]]=TRUE,_xlfn.NORM.S.DIST(Table1[[#This Row],[Birthweight Z-Score]],TRUE)*100,"")</f>
        <v/>
      </c>
      <c r="K2966" s="7" t="str">
        <f>IF(Table1[[#This Row],[Is Data Valid]]=TRUE,_xlfn.NORM.S.DIST(Table1[[#This Row],[Birthweight Z-Score (BW-10%)]],TRUE)*100,"")</f>
        <v/>
      </c>
      <c r="L2966" s="7" t="str">
        <f>IF(Table1[[#This Row],[Is Data Valid]]=TRUE,_xlfn.NORM.S.DIST(Table1[[#This Row],[Birthweight Z-Score (BW+10%)]],TRUE)*100,"")</f>
        <v/>
      </c>
    </row>
    <row r="2967" spans="1:12" x14ac:dyDescent="0.35">
      <c r="A2967" s="3"/>
      <c r="B2967" s="2"/>
      <c r="C2967" s="2"/>
      <c r="D2967" s="2" t="b">
        <f>IF(AND(NOT(ISBLANK(Table1[[#This Row],[Fetal Sex (Male, Female or Unknown)]])),ISNUMBER(Table1[[#This Row],[Birthweight (grams)]]),ISNUMBER(Table1[[#This Row],[Gestation (days)]])),TRUE,FALSE)</f>
        <v>0</v>
      </c>
      <c r="E2967" s="2" t="str">
        <f>IF(Table1[[#This Row],[Is Data Valid]]=TRUE,IF(Table1[[#This Row],[Fetal Sex (Male, Female or Unknown)]]="Male",Backend!$C$6,IF(Table1[[#This Row],[Fetal Sex (Male, Female or Unknown)]]="Female",Backend!$C$7,IF(Table1[[#This Row],[Fetal Sex (Male, Female or Unknown)]]="Unknown",Backend!$C$8,"Error"))),"")</f>
        <v/>
      </c>
      <c r="F2967" s="8" t="str">
        <f>IF(Table1[[#This Row],[Is Data Valid]]=TRUE,EXP(0.578+0.332*((Table1[[#This Row],[Gestation (days)]]+0.5)/7)-0.00354*((Table1[[#This Row],[Gestation (days)]]+0.5)/7)^2)*Table1[[#This Row],[BW40_3705]],"")</f>
        <v/>
      </c>
      <c r="G2967" s="2" t="str">
        <f>IF(Table1[[#This Row],[Is Data Valid]]=TRUE,((Table1[[#This Row],[Birthweight (grams)]]/Table1[[#This Row],[BW_GA]])-1)/(Backend!$B$4/100*Table1[[#This Row],[BW40_3705]]),"")</f>
        <v/>
      </c>
      <c r="H2967" s="7" t="str">
        <f>IF(Table1[[#This Row],[Is Data Valid]]=TRUE,((Table1[[#This Row],[Birthweight (grams)]]*0.9/Table1[[#This Row],[BW_GA]])-1)/(Backend!$B$4/100*Table1[[#This Row],[BW40_3705]]),"")</f>
        <v/>
      </c>
      <c r="I2967" s="7" t="str">
        <f>IF(Table1[[#This Row],[Is Data Valid]]=TRUE,((Table1[[#This Row],[Birthweight (grams)]]*1.1/Table1[[#This Row],[BW_GA]])-1)/(Backend!$B$4/100*Table1[[#This Row],[BW40_3705]]),"")</f>
        <v/>
      </c>
      <c r="J2967" s="7" t="str">
        <f>IF(Table1[[#This Row],[Is Data Valid]]=TRUE,_xlfn.NORM.S.DIST(Table1[[#This Row],[Birthweight Z-Score]],TRUE)*100,"")</f>
        <v/>
      </c>
      <c r="K2967" s="7" t="str">
        <f>IF(Table1[[#This Row],[Is Data Valid]]=TRUE,_xlfn.NORM.S.DIST(Table1[[#This Row],[Birthweight Z-Score (BW-10%)]],TRUE)*100,"")</f>
        <v/>
      </c>
      <c r="L2967" s="7" t="str">
        <f>IF(Table1[[#This Row],[Is Data Valid]]=TRUE,_xlfn.NORM.S.DIST(Table1[[#This Row],[Birthweight Z-Score (BW+10%)]],TRUE)*100,"")</f>
        <v/>
      </c>
    </row>
    <row r="2968" spans="1:12" x14ac:dyDescent="0.35">
      <c r="A2968" s="3"/>
      <c r="B2968" s="2"/>
      <c r="C2968" s="2"/>
      <c r="D2968" s="2" t="b">
        <f>IF(AND(NOT(ISBLANK(Table1[[#This Row],[Fetal Sex (Male, Female or Unknown)]])),ISNUMBER(Table1[[#This Row],[Birthweight (grams)]]),ISNUMBER(Table1[[#This Row],[Gestation (days)]])),TRUE,FALSE)</f>
        <v>0</v>
      </c>
      <c r="E2968" s="2" t="str">
        <f>IF(Table1[[#This Row],[Is Data Valid]]=TRUE,IF(Table1[[#This Row],[Fetal Sex (Male, Female or Unknown)]]="Male",Backend!$C$6,IF(Table1[[#This Row],[Fetal Sex (Male, Female or Unknown)]]="Female",Backend!$C$7,IF(Table1[[#This Row],[Fetal Sex (Male, Female or Unknown)]]="Unknown",Backend!$C$8,"Error"))),"")</f>
        <v/>
      </c>
      <c r="F2968" s="8" t="str">
        <f>IF(Table1[[#This Row],[Is Data Valid]]=TRUE,EXP(0.578+0.332*((Table1[[#This Row],[Gestation (days)]]+0.5)/7)-0.00354*((Table1[[#This Row],[Gestation (days)]]+0.5)/7)^2)*Table1[[#This Row],[BW40_3705]],"")</f>
        <v/>
      </c>
      <c r="G2968" s="2" t="str">
        <f>IF(Table1[[#This Row],[Is Data Valid]]=TRUE,((Table1[[#This Row],[Birthweight (grams)]]/Table1[[#This Row],[BW_GA]])-1)/(Backend!$B$4/100*Table1[[#This Row],[BW40_3705]]),"")</f>
        <v/>
      </c>
      <c r="H2968" s="7" t="str">
        <f>IF(Table1[[#This Row],[Is Data Valid]]=TRUE,((Table1[[#This Row],[Birthweight (grams)]]*0.9/Table1[[#This Row],[BW_GA]])-1)/(Backend!$B$4/100*Table1[[#This Row],[BW40_3705]]),"")</f>
        <v/>
      </c>
      <c r="I2968" s="7" t="str">
        <f>IF(Table1[[#This Row],[Is Data Valid]]=TRUE,((Table1[[#This Row],[Birthweight (grams)]]*1.1/Table1[[#This Row],[BW_GA]])-1)/(Backend!$B$4/100*Table1[[#This Row],[BW40_3705]]),"")</f>
        <v/>
      </c>
      <c r="J2968" s="7" t="str">
        <f>IF(Table1[[#This Row],[Is Data Valid]]=TRUE,_xlfn.NORM.S.DIST(Table1[[#This Row],[Birthweight Z-Score]],TRUE)*100,"")</f>
        <v/>
      </c>
      <c r="K2968" s="7" t="str">
        <f>IF(Table1[[#This Row],[Is Data Valid]]=TRUE,_xlfn.NORM.S.DIST(Table1[[#This Row],[Birthweight Z-Score (BW-10%)]],TRUE)*100,"")</f>
        <v/>
      </c>
      <c r="L2968" s="7" t="str">
        <f>IF(Table1[[#This Row],[Is Data Valid]]=TRUE,_xlfn.NORM.S.DIST(Table1[[#This Row],[Birthweight Z-Score (BW+10%)]],TRUE)*100,"")</f>
        <v/>
      </c>
    </row>
    <row r="2969" spans="1:12" x14ac:dyDescent="0.35">
      <c r="A2969" s="3"/>
      <c r="B2969" s="2"/>
      <c r="C2969" s="2"/>
      <c r="D2969" s="2" t="b">
        <f>IF(AND(NOT(ISBLANK(Table1[[#This Row],[Fetal Sex (Male, Female or Unknown)]])),ISNUMBER(Table1[[#This Row],[Birthweight (grams)]]),ISNUMBER(Table1[[#This Row],[Gestation (days)]])),TRUE,FALSE)</f>
        <v>0</v>
      </c>
      <c r="E2969" s="2" t="str">
        <f>IF(Table1[[#This Row],[Is Data Valid]]=TRUE,IF(Table1[[#This Row],[Fetal Sex (Male, Female or Unknown)]]="Male",Backend!$C$6,IF(Table1[[#This Row],[Fetal Sex (Male, Female or Unknown)]]="Female",Backend!$C$7,IF(Table1[[#This Row],[Fetal Sex (Male, Female or Unknown)]]="Unknown",Backend!$C$8,"Error"))),"")</f>
        <v/>
      </c>
      <c r="F2969" s="8" t="str">
        <f>IF(Table1[[#This Row],[Is Data Valid]]=TRUE,EXP(0.578+0.332*((Table1[[#This Row],[Gestation (days)]]+0.5)/7)-0.00354*((Table1[[#This Row],[Gestation (days)]]+0.5)/7)^2)*Table1[[#This Row],[BW40_3705]],"")</f>
        <v/>
      </c>
      <c r="G2969" s="2" t="str">
        <f>IF(Table1[[#This Row],[Is Data Valid]]=TRUE,((Table1[[#This Row],[Birthweight (grams)]]/Table1[[#This Row],[BW_GA]])-1)/(Backend!$B$4/100*Table1[[#This Row],[BW40_3705]]),"")</f>
        <v/>
      </c>
      <c r="H2969" s="7" t="str">
        <f>IF(Table1[[#This Row],[Is Data Valid]]=TRUE,((Table1[[#This Row],[Birthweight (grams)]]*0.9/Table1[[#This Row],[BW_GA]])-1)/(Backend!$B$4/100*Table1[[#This Row],[BW40_3705]]),"")</f>
        <v/>
      </c>
      <c r="I2969" s="7" t="str">
        <f>IF(Table1[[#This Row],[Is Data Valid]]=TRUE,((Table1[[#This Row],[Birthweight (grams)]]*1.1/Table1[[#This Row],[BW_GA]])-1)/(Backend!$B$4/100*Table1[[#This Row],[BW40_3705]]),"")</f>
        <v/>
      </c>
      <c r="J2969" s="7" t="str">
        <f>IF(Table1[[#This Row],[Is Data Valid]]=TRUE,_xlfn.NORM.S.DIST(Table1[[#This Row],[Birthweight Z-Score]],TRUE)*100,"")</f>
        <v/>
      </c>
      <c r="K2969" s="7" t="str">
        <f>IF(Table1[[#This Row],[Is Data Valid]]=TRUE,_xlfn.NORM.S.DIST(Table1[[#This Row],[Birthweight Z-Score (BW-10%)]],TRUE)*100,"")</f>
        <v/>
      </c>
      <c r="L2969" s="7" t="str">
        <f>IF(Table1[[#This Row],[Is Data Valid]]=TRUE,_xlfn.NORM.S.DIST(Table1[[#This Row],[Birthweight Z-Score (BW+10%)]],TRUE)*100,"")</f>
        <v/>
      </c>
    </row>
    <row r="2970" spans="1:12" x14ac:dyDescent="0.35">
      <c r="A2970" s="3"/>
      <c r="B2970" s="2"/>
      <c r="C2970" s="2"/>
      <c r="D2970" s="2" t="b">
        <f>IF(AND(NOT(ISBLANK(Table1[[#This Row],[Fetal Sex (Male, Female or Unknown)]])),ISNUMBER(Table1[[#This Row],[Birthweight (grams)]]),ISNUMBER(Table1[[#This Row],[Gestation (days)]])),TRUE,FALSE)</f>
        <v>0</v>
      </c>
      <c r="E2970" s="2" t="str">
        <f>IF(Table1[[#This Row],[Is Data Valid]]=TRUE,IF(Table1[[#This Row],[Fetal Sex (Male, Female or Unknown)]]="Male",Backend!$C$6,IF(Table1[[#This Row],[Fetal Sex (Male, Female or Unknown)]]="Female",Backend!$C$7,IF(Table1[[#This Row],[Fetal Sex (Male, Female or Unknown)]]="Unknown",Backend!$C$8,"Error"))),"")</f>
        <v/>
      </c>
      <c r="F2970" s="8" t="str">
        <f>IF(Table1[[#This Row],[Is Data Valid]]=TRUE,EXP(0.578+0.332*((Table1[[#This Row],[Gestation (days)]]+0.5)/7)-0.00354*((Table1[[#This Row],[Gestation (days)]]+0.5)/7)^2)*Table1[[#This Row],[BW40_3705]],"")</f>
        <v/>
      </c>
      <c r="G2970" s="2" t="str">
        <f>IF(Table1[[#This Row],[Is Data Valid]]=TRUE,((Table1[[#This Row],[Birthweight (grams)]]/Table1[[#This Row],[BW_GA]])-1)/(Backend!$B$4/100*Table1[[#This Row],[BW40_3705]]),"")</f>
        <v/>
      </c>
      <c r="H2970" s="7" t="str">
        <f>IF(Table1[[#This Row],[Is Data Valid]]=TRUE,((Table1[[#This Row],[Birthweight (grams)]]*0.9/Table1[[#This Row],[BW_GA]])-1)/(Backend!$B$4/100*Table1[[#This Row],[BW40_3705]]),"")</f>
        <v/>
      </c>
      <c r="I2970" s="7" t="str">
        <f>IF(Table1[[#This Row],[Is Data Valid]]=TRUE,((Table1[[#This Row],[Birthweight (grams)]]*1.1/Table1[[#This Row],[BW_GA]])-1)/(Backend!$B$4/100*Table1[[#This Row],[BW40_3705]]),"")</f>
        <v/>
      </c>
      <c r="J2970" s="7" t="str">
        <f>IF(Table1[[#This Row],[Is Data Valid]]=TRUE,_xlfn.NORM.S.DIST(Table1[[#This Row],[Birthweight Z-Score]],TRUE)*100,"")</f>
        <v/>
      </c>
      <c r="K2970" s="7" t="str">
        <f>IF(Table1[[#This Row],[Is Data Valid]]=TRUE,_xlfn.NORM.S.DIST(Table1[[#This Row],[Birthweight Z-Score (BW-10%)]],TRUE)*100,"")</f>
        <v/>
      </c>
      <c r="L2970" s="7" t="str">
        <f>IF(Table1[[#This Row],[Is Data Valid]]=TRUE,_xlfn.NORM.S.DIST(Table1[[#This Row],[Birthweight Z-Score (BW+10%)]],TRUE)*100,"")</f>
        <v/>
      </c>
    </row>
    <row r="2971" spans="1:12" x14ac:dyDescent="0.35">
      <c r="A2971" s="3"/>
      <c r="B2971" s="2"/>
      <c r="C2971" s="2"/>
      <c r="D2971" s="2" t="b">
        <f>IF(AND(NOT(ISBLANK(Table1[[#This Row],[Fetal Sex (Male, Female or Unknown)]])),ISNUMBER(Table1[[#This Row],[Birthweight (grams)]]),ISNUMBER(Table1[[#This Row],[Gestation (days)]])),TRUE,FALSE)</f>
        <v>0</v>
      </c>
      <c r="E2971" s="2" t="str">
        <f>IF(Table1[[#This Row],[Is Data Valid]]=TRUE,IF(Table1[[#This Row],[Fetal Sex (Male, Female or Unknown)]]="Male",Backend!$C$6,IF(Table1[[#This Row],[Fetal Sex (Male, Female or Unknown)]]="Female",Backend!$C$7,IF(Table1[[#This Row],[Fetal Sex (Male, Female or Unknown)]]="Unknown",Backend!$C$8,"Error"))),"")</f>
        <v/>
      </c>
      <c r="F2971" s="8" t="str">
        <f>IF(Table1[[#This Row],[Is Data Valid]]=TRUE,EXP(0.578+0.332*((Table1[[#This Row],[Gestation (days)]]+0.5)/7)-0.00354*((Table1[[#This Row],[Gestation (days)]]+0.5)/7)^2)*Table1[[#This Row],[BW40_3705]],"")</f>
        <v/>
      </c>
      <c r="G2971" s="2" t="str">
        <f>IF(Table1[[#This Row],[Is Data Valid]]=TRUE,((Table1[[#This Row],[Birthweight (grams)]]/Table1[[#This Row],[BW_GA]])-1)/(Backend!$B$4/100*Table1[[#This Row],[BW40_3705]]),"")</f>
        <v/>
      </c>
      <c r="H2971" s="7" t="str">
        <f>IF(Table1[[#This Row],[Is Data Valid]]=TRUE,((Table1[[#This Row],[Birthweight (grams)]]*0.9/Table1[[#This Row],[BW_GA]])-1)/(Backend!$B$4/100*Table1[[#This Row],[BW40_3705]]),"")</f>
        <v/>
      </c>
      <c r="I2971" s="7" t="str">
        <f>IF(Table1[[#This Row],[Is Data Valid]]=TRUE,((Table1[[#This Row],[Birthweight (grams)]]*1.1/Table1[[#This Row],[BW_GA]])-1)/(Backend!$B$4/100*Table1[[#This Row],[BW40_3705]]),"")</f>
        <v/>
      </c>
      <c r="J2971" s="7" t="str">
        <f>IF(Table1[[#This Row],[Is Data Valid]]=TRUE,_xlfn.NORM.S.DIST(Table1[[#This Row],[Birthweight Z-Score]],TRUE)*100,"")</f>
        <v/>
      </c>
      <c r="K2971" s="7" t="str">
        <f>IF(Table1[[#This Row],[Is Data Valid]]=TRUE,_xlfn.NORM.S.DIST(Table1[[#This Row],[Birthweight Z-Score (BW-10%)]],TRUE)*100,"")</f>
        <v/>
      </c>
      <c r="L2971" s="7" t="str">
        <f>IF(Table1[[#This Row],[Is Data Valid]]=TRUE,_xlfn.NORM.S.DIST(Table1[[#This Row],[Birthweight Z-Score (BW+10%)]],TRUE)*100,"")</f>
        <v/>
      </c>
    </row>
    <row r="2972" spans="1:12" x14ac:dyDescent="0.35">
      <c r="A2972" s="3"/>
      <c r="B2972" s="2"/>
      <c r="C2972" s="2"/>
      <c r="D2972" s="2" t="b">
        <f>IF(AND(NOT(ISBLANK(Table1[[#This Row],[Fetal Sex (Male, Female or Unknown)]])),ISNUMBER(Table1[[#This Row],[Birthweight (grams)]]),ISNUMBER(Table1[[#This Row],[Gestation (days)]])),TRUE,FALSE)</f>
        <v>0</v>
      </c>
      <c r="E2972" s="2" t="str">
        <f>IF(Table1[[#This Row],[Is Data Valid]]=TRUE,IF(Table1[[#This Row],[Fetal Sex (Male, Female or Unknown)]]="Male",Backend!$C$6,IF(Table1[[#This Row],[Fetal Sex (Male, Female or Unknown)]]="Female",Backend!$C$7,IF(Table1[[#This Row],[Fetal Sex (Male, Female or Unknown)]]="Unknown",Backend!$C$8,"Error"))),"")</f>
        <v/>
      </c>
      <c r="F2972" s="8" t="str">
        <f>IF(Table1[[#This Row],[Is Data Valid]]=TRUE,EXP(0.578+0.332*((Table1[[#This Row],[Gestation (days)]]+0.5)/7)-0.00354*((Table1[[#This Row],[Gestation (days)]]+0.5)/7)^2)*Table1[[#This Row],[BW40_3705]],"")</f>
        <v/>
      </c>
      <c r="G2972" s="2" t="str">
        <f>IF(Table1[[#This Row],[Is Data Valid]]=TRUE,((Table1[[#This Row],[Birthweight (grams)]]/Table1[[#This Row],[BW_GA]])-1)/(Backend!$B$4/100*Table1[[#This Row],[BW40_3705]]),"")</f>
        <v/>
      </c>
      <c r="H2972" s="7" t="str">
        <f>IF(Table1[[#This Row],[Is Data Valid]]=TRUE,((Table1[[#This Row],[Birthweight (grams)]]*0.9/Table1[[#This Row],[BW_GA]])-1)/(Backend!$B$4/100*Table1[[#This Row],[BW40_3705]]),"")</f>
        <v/>
      </c>
      <c r="I2972" s="7" t="str">
        <f>IF(Table1[[#This Row],[Is Data Valid]]=TRUE,((Table1[[#This Row],[Birthweight (grams)]]*1.1/Table1[[#This Row],[BW_GA]])-1)/(Backend!$B$4/100*Table1[[#This Row],[BW40_3705]]),"")</f>
        <v/>
      </c>
      <c r="J2972" s="7" t="str">
        <f>IF(Table1[[#This Row],[Is Data Valid]]=TRUE,_xlfn.NORM.S.DIST(Table1[[#This Row],[Birthweight Z-Score]],TRUE)*100,"")</f>
        <v/>
      </c>
      <c r="K2972" s="7" t="str">
        <f>IF(Table1[[#This Row],[Is Data Valid]]=TRUE,_xlfn.NORM.S.DIST(Table1[[#This Row],[Birthweight Z-Score (BW-10%)]],TRUE)*100,"")</f>
        <v/>
      </c>
      <c r="L2972" s="7" t="str">
        <f>IF(Table1[[#This Row],[Is Data Valid]]=TRUE,_xlfn.NORM.S.DIST(Table1[[#This Row],[Birthweight Z-Score (BW+10%)]],TRUE)*100,"")</f>
        <v/>
      </c>
    </row>
    <row r="2973" spans="1:12" x14ac:dyDescent="0.35">
      <c r="A2973" s="3"/>
      <c r="B2973" s="2"/>
      <c r="C2973" s="2"/>
      <c r="D2973" s="2" t="b">
        <f>IF(AND(NOT(ISBLANK(Table1[[#This Row],[Fetal Sex (Male, Female or Unknown)]])),ISNUMBER(Table1[[#This Row],[Birthweight (grams)]]),ISNUMBER(Table1[[#This Row],[Gestation (days)]])),TRUE,FALSE)</f>
        <v>0</v>
      </c>
      <c r="E2973" s="2" t="str">
        <f>IF(Table1[[#This Row],[Is Data Valid]]=TRUE,IF(Table1[[#This Row],[Fetal Sex (Male, Female or Unknown)]]="Male",Backend!$C$6,IF(Table1[[#This Row],[Fetal Sex (Male, Female or Unknown)]]="Female",Backend!$C$7,IF(Table1[[#This Row],[Fetal Sex (Male, Female or Unknown)]]="Unknown",Backend!$C$8,"Error"))),"")</f>
        <v/>
      </c>
      <c r="F2973" s="8" t="str">
        <f>IF(Table1[[#This Row],[Is Data Valid]]=TRUE,EXP(0.578+0.332*((Table1[[#This Row],[Gestation (days)]]+0.5)/7)-0.00354*((Table1[[#This Row],[Gestation (days)]]+0.5)/7)^2)*Table1[[#This Row],[BW40_3705]],"")</f>
        <v/>
      </c>
      <c r="G2973" s="2" t="str">
        <f>IF(Table1[[#This Row],[Is Data Valid]]=TRUE,((Table1[[#This Row],[Birthweight (grams)]]/Table1[[#This Row],[BW_GA]])-1)/(Backend!$B$4/100*Table1[[#This Row],[BW40_3705]]),"")</f>
        <v/>
      </c>
      <c r="H2973" s="7" t="str">
        <f>IF(Table1[[#This Row],[Is Data Valid]]=TRUE,((Table1[[#This Row],[Birthweight (grams)]]*0.9/Table1[[#This Row],[BW_GA]])-1)/(Backend!$B$4/100*Table1[[#This Row],[BW40_3705]]),"")</f>
        <v/>
      </c>
      <c r="I2973" s="7" t="str">
        <f>IF(Table1[[#This Row],[Is Data Valid]]=TRUE,((Table1[[#This Row],[Birthweight (grams)]]*1.1/Table1[[#This Row],[BW_GA]])-1)/(Backend!$B$4/100*Table1[[#This Row],[BW40_3705]]),"")</f>
        <v/>
      </c>
      <c r="J2973" s="7" t="str">
        <f>IF(Table1[[#This Row],[Is Data Valid]]=TRUE,_xlfn.NORM.S.DIST(Table1[[#This Row],[Birthweight Z-Score]],TRUE)*100,"")</f>
        <v/>
      </c>
      <c r="K2973" s="7" t="str">
        <f>IF(Table1[[#This Row],[Is Data Valid]]=TRUE,_xlfn.NORM.S.DIST(Table1[[#This Row],[Birthweight Z-Score (BW-10%)]],TRUE)*100,"")</f>
        <v/>
      </c>
      <c r="L2973" s="7" t="str">
        <f>IF(Table1[[#This Row],[Is Data Valid]]=TRUE,_xlfn.NORM.S.DIST(Table1[[#This Row],[Birthweight Z-Score (BW+10%)]],TRUE)*100,"")</f>
        <v/>
      </c>
    </row>
    <row r="2974" spans="1:12" x14ac:dyDescent="0.35">
      <c r="A2974" s="3"/>
      <c r="B2974" s="2"/>
      <c r="C2974" s="2"/>
      <c r="D2974" s="2" t="b">
        <f>IF(AND(NOT(ISBLANK(Table1[[#This Row],[Fetal Sex (Male, Female or Unknown)]])),ISNUMBER(Table1[[#This Row],[Birthweight (grams)]]),ISNUMBER(Table1[[#This Row],[Gestation (days)]])),TRUE,FALSE)</f>
        <v>0</v>
      </c>
      <c r="E2974" s="2" t="str">
        <f>IF(Table1[[#This Row],[Is Data Valid]]=TRUE,IF(Table1[[#This Row],[Fetal Sex (Male, Female or Unknown)]]="Male",Backend!$C$6,IF(Table1[[#This Row],[Fetal Sex (Male, Female or Unknown)]]="Female",Backend!$C$7,IF(Table1[[#This Row],[Fetal Sex (Male, Female or Unknown)]]="Unknown",Backend!$C$8,"Error"))),"")</f>
        <v/>
      </c>
      <c r="F2974" s="8" t="str">
        <f>IF(Table1[[#This Row],[Is Data Valid]]=TRUE,EXP(0.578+0.332*((Table1[[#This Row],[Gestation (days)]]+0.5)/7)-0.00354*((Table1[[#This Row],[Gestation (days)]]+0.5)/7)^2)*Table1[[#This Row],[BW40_3705]],"")</f>
        <v/>
      </c>
      <c r="G2974" s="2" t="str">
        <f>IF(Table1[[#This Row],[Is Data Valid]]=TRUE,((Table1[[#This Row],[Birthweight (grams)]]/Table1[[#This Row],[BW_GA]])-1)/(Backend!$B$4/100*Table1[[#This Row],[BW40_3705]]),"")</f>
        <v/>
      </c>
      <c r="H2974" s="7" t="str">
        <f>IF(Table1[[#This Row],[Is Data Valid]]=TRUE,((Table1[[#This Row],[Birthweight (grams)]]*0.9/Table1[[#This Row],[BW_GA]])-1)/(Backend!$B$4/100*Table1[[#This Row],[BW40_3705]]),"")</f>
        <v/>
      </c>
      <c r="I2974" s="7" t="str">
        <f>IF(Table1[[#This Row],[Is Data Valid]]=TRUE,((Table1[[#This Row],[Birthweight (grams)]]*1.1/Table1[[#This Row],[BW_GA]])-1)/(Backend!$B$4/100*Table1[[#This Row],[BW40_3705]]),"")</f>
        <v/>
      </c>
      <c r="J2974" s="7" t="str">
        <f>IF(Table1[[#This Row],[Is Data Valid]]=TRUE,_xlfn.NORM.S.DIST(Table1[[#This Row],[Birthweight Z-Score]],TRUE)*100,"")</f>
        <v/>
      </c>
      <c r="K2974" s="7" t="str">
        <f>IF(Table1[[#This Row],[Is Data Valid]]=TRUE,_xlfn.NORM.S.DIST(Table1[[#This Row],[Birthweight Z-Score (BW-10%)]],TRUE)*100,"")</f>
        <v/>
      </c>
      <c r="L2974" s="7" t="str">
        <f>IF(Table1[[#This Row],[Is Data Valid]]=TRUE,_xlfn.NORM.S.DIST(Table1[[#This Row],[Birthweight Z-Score (BW+10%)]],TRUE)*100,"")</f>
        <v/>
      </c>
    </row>
    <row r="2975" spans="1:12" x14ac:dyDescent="0.35">
      <c r="A2975" s="3"/>
      <c r="B2975" s="2"/>
      <c r="C2975" s="2"/>
      <c r="D2975" s="2" t="b">
        <f>IF(AND(NOT(ISBLANK(Table1[[#This Row],[Fetal Sex (Male, Female or Unknown)]])),ISNUMBER(Table1[[#This Row],[Birthweight (grams)]]),ISNUMBER(Table1[[#This Row],[Gestation (days)]])),TRUE,FALSE)</f>
        <v>0</v>
      </c>
      <c r="E2975" s="2" t="str">
        <f>IF(Table1[[#This Row],[Is Data Valid]]=TRUE,IF(Table1[[#This Row],[Fetal Sex (Male, Female or Unknown)]]="Male",Backend!$C$6,IF(Table1[[#This Row],[Fetal Sex (Male, Female or Unknown)]]="Female",Backend!$C$7,IF(Table1[[#This Row],[Fetal Sex (Male, Female or Unknown)]]="Unknown",Backend!$C$8,"Error"))),"")</f>
        <v/>
      </c>
      <c r="F2975" s="8" t="str">
        <f>IF(Table1[[#This Row],[Is Data Valid]]=TRUE,EXP(0.578+0.332*((Table1[[#This Row],[Gestation (days)]]+0.5)/7)-0.00354*((Table1[[#This Row],[Gestation (days)]]+0.5)/7)^2)*Table1[[#This Row],[BW40_3705]],"")</f>
        <v/>
      </c>
      <c r="G2975" s="2" t="str">
        <f>IF(Table1[[#This Row],[Is Data Valid]]=TRUE,((Table1[[#This Row],[Birthweight (grams)]]/Table1[[#This Row],[BW_GA]])-1)/(Backend!$B$4/100*Table1[[#This Row],[BW40_3705]]),"")</f>
        <v/>
      </c>
      <c r="H2975" s="7" t="str">
        <f>IF(Table1[[#This Row],[Is Data Valid]]=TRUE,((Table1[[#This Row],[Birthweight (grams)]]*0.9/Table1[[#This Row],[BW_GA]])-1)/(Backend!$B$4/100*Table1[[#This Row],[BW40_3705]]),"")</f>
        <v/>
      </c>
      <c r="I2975" s="7" t="str">
        <f>IF(Table1[[#This Row],[Is Data Valid]]=TRUE,((Table1[[#This Row],[Birthweight (grams)]]*1.1/Table1[[#This Row],[BW_GA]])-1)/(Backend!$B$4/100*Table1[[#This Row],[BW40_3705]]),"")</f>
        <v/>
      </c>
      <c r="J2975" s="7" t="str">
        <f>IF(Table1[[#This Row],[Is Data Valid]]=TRUE,_xlfn.NORM.S.DIST(Table1[[#This Row],[Birthweight Z-Score]],TRUE)*100,"")</f>
        <v/>
      </c>
      <c r="K2975" s="7" t="str">
        <f>IF(Table1[[#This Row],[Is Data Valid]]=TRUE,_xlfn.NORM.S.DIST(Table1[[#This Row],[Birthweight Z-Score (BW-10%)]],TRUE)*100,"")</f>
        <v/>
      </c>
      <c r="L2975" s="7" t="str">
        <f>IF(Table1[[#This Row],[Is Data Valid]]=TRUE,_xlfn.NORM.S.DIST(Table1[[#This Row],[Birthweight Z-Score (BW+10%)]],TRUE)*100,"")</f>
        <v/>
      </c>
    </row>
    <row r="2976" spans="1:12" x14ac:dyDescent="0.35">
      <c r="A2976" s="3"/>
      <c r="B2976" s="2"/>
      <c r="C2976" s="2"/>
      <c r="D2976" s="2" t="b">
        <f>IF(AND(NOT(ISBLANK(Table1[[#This Row],[Fetal Sex (Male, Female or Unknown)]])),ISNUMBER(Table1[[#This Row],[Birthweight (grams)]]),ISNUMBER(Table1[[#This Row],[Gestation (days)]])),TRUE,FALSE)</f>
        <v>0</v>
      </c>
      <c r="E2976" s="2" t="str">
        <f>IF(Table1[[#This Row],[Is Data Valid]]=TRUE,IF(Table1[[#This Row],[Fetal Sex (Male, Female or Unknown)]]="Male",Backend!$C$6,IF(Table1[[#This Row],[Fetal Sex (Male, Female or Unknown)]]="Female",Backend!$C$7,IF(Table1[[#This Row],[Fetal Sex (Male, Female or Unknown)]]="Unknown",Backend!$C$8,"Error"))),"")</f>
        <v/>
      </c>
      <c r="F2976" s="8" t="str">
        <f>IF(Table1[[#This Row],[Is Data Valid]]=TRUE,EXP(0.578+0.332*((Table1[[#This Row],[Gestation (days)]]+0.5)/7)-0.00354*((Table1[[#This Row],[Gestation (days)]]+0.5)/7)^2)*Table1[[#This Row],[BW40_3705]],"")</f>
        <v/>
      </c>
      <c r="G2976" s="2" t="str">
        <f>IF(Table1[[#This Row],[Is Data Valid]]=TRUE,((Table1[[#This Row],[Birthweight (grams)]]/Table1[[#This Row],[BW_GA]])-1)/(Backend!$B$4/100*Table1[[#This Row],[BW40_3705]]),"")</f>
        <v/>
      </c>
      <c r="H2976" s="7" t="str">
        <f>IF(Table1[[#This Row],[Is Data Valid]]=TRUE,((Table1[[#This Row],[Birthweight (grams)]]*0.9/Table1[[#This Row],[BW_GA]])-1)/(Backend!$B$4/100*Table1[[#This Row],[BW40_3705]]),"")</f>
        <v/>
      </c>
      <c r="I2976" s="7" t="str">
        <f>IF(Table1[[#This Row],[Is Data Valid]]=TRUE,((Table1[[#This Row],[Birthweight (grams)]]*1.1/Table1[[#This Row],[BW_GA]])-1)/(Backend!$B$4/100*Table1[[#This Row],[BW40_3705]]),"")</f>
        <v/>
      </c>
      <c r="J2976" s="7" t="str">
        <f>IF(Table1[[#This Row],[Is Data Valid]]=TRUE,_xlfn.NORM.S.DIST(Table1[[#This Row],[Birthweight Z-Score]],TRUE)*100,"")</f>
        <v/>
      </c>
      <c r="K2976" s="7" t="str">
        <f>IF(Table1[[#This Row],[Is Data Valid]]=TRUE,_xlfn.NORM.S.DIST(Table1[[#This Row],[Birthweight Z-Score (BW-10%)]],TRUE)*100,"")</f>
        <v/>
      </c>
      <c r="L2976" s="7" t="str">
        <f>IF(Table1[[#This Row],[Is Data Valid]]=TRUE,_xlfn.NORM.S.DIST(Table1[[#This Row],[Birthweight Z-Score (BW+10%)]],TRUE)*100,"")</f>
        <v/>
      </c>
    </row>
    <row r="2977" spans="1:12" x14ac:dyDescent="0.35">
      <c r="A2977" s="3"/>
      <c r="B2977" s="2"/>
      <c r="C2977" s="2"/>
      <c r="D2977" s="2" t="b">
        <f>IF(AND(NOT(ISBLANK(Table1[[#This Row],[Fetal Sex (Male, Female or Unknown)]])),ISNUMBER(Table1[[#This Row],[Birthweight (grams)]]),ISNUMBER(Table1[[#This Row],[Gestation (days)]])),TRUE,FALSE)</f>
        <v>0</v>
      </c>
      <c r="E2977" s="2" t="str">
        <f>IF(Table1[[#This Row],[Is Data Valid]]=TRUE,IF(Table1[[#This Row],[Fetal Sex (Male, Female or Unknown)]]="Male",Backend!$C$6,IF(Table1[[#This Row],[Fetal Sex (Male, Female or Unknown)]]="Female",Backend!$C$7,IF(Table1[[#This Row],[Fetal Sex (Male, Female or Unknown)]]="Unknown",Backend!$C$8,"Error"))),"")</f>
        <v/>
      </c>
      <c r="F2977" s="8" t="str">
        <f>IF(Table1[[#This Row],[Is Data Valid]]=TRUE,EXP(0.578+0.332*((Table1[[#This Row],[Gestation (days)]]+0.5)/7)-0.00354*((Table1[[#This Row],[Gestation (days)]]+0.5)/7)^2)*Table1[[#This Row],[BW40_3705]],"")</f>
        <v/>
      </c>
      <c r="G2977" s="2" t="str">
        <f>IF(Table1[[#This Row],[Is Data Valid]]=TRUE,((Table1[[#This Row],[Birthweight (grams)]]/Table1[[#This Row],[BW_GA]])-1)/(Backend!$B$4/100*Table1[[#This Row],[BW40_3705]]),"")</f>
        <v/>
      </c>
      <c r="H2977" s="7" t="str">
        <f>IF(Table1[[#This Row],[Is Data Valid]]=TRUE,((Table1[[#This Row],[Birthweight (grams)]]*0.9/Table1[[#This Row],[BW_GA]])-1)/(Backend!$B$4/100*Table1[[#This Row],[BW40_3705]]),"")</f>
        <v/>
      </c>
      <c r="I2977" s="7" t="str">
        <f>IF(Table1[[#This Row],[Is Data Valid]]=TRUE,((Table1[[#This Row],[Birthweight (grams)]]*1.1/Table1[[#This Row],[BW_GA]])-1)/(Backend!$B$4/100*Table1[[#This Row],[BW40_3705]]),"")</f>
        <v/>
      </c>
      <c r="J2977" s="7" t="str">
        <f>IF(Table1[[#This Row],[Is Data Valid]]=TRUE,_xlfn.NORM.S.DIST(Table1[[#This Row],[Birthweight Z-Score]],TRUE)*100,"")</f>
        <v/>
      </c>
      <c r="K2977" s="7" t="str">
        <f>IF(Table1[[#This Row],[Is Data Valid]]=TRUE,_xlfn.NORM.S.DIST(Table1[[#This Row],[Birthweight Z-Score (BW-10%)]],TRUE)*100,"")</f>
        <v/>
      </c>
      <c r="L2977" s="7" t="str">
        <f>IF(Table1[[#This Row],[Is Data Valid]]=TRUE,_xlfn.NORM.S.DIST(Table1[[#This Row],[Birthweight Z-Score (BW+10%)]],TRUE)*100,"")</f>
        <v/>
      </c>
    </row>
    <row r="2978" spans="1:12" x14ac:dyDescent="0.35">
      <c r="A2978" s="3"/>
      <c r="B2978" s="2"/>
      <c r="C2978" s="2"/>
      <c r="D2978" s="2" t="b">
        <f>IF(AND(NOT(ISBLANK(Table1[[#This Row],[Fetal Sex (Male, Female or Unknown)]])),ISNUMBER(Table1[[#This Row],[Birthweight (grams)]]),ISNUMBER(Table1[[#This Row],[Gestation (days)]])),TRUE,FALSE)</f>
        <v>0</v>
      </c>
      <c r="E2978" s="2" t="str">
        <f>IF(Table1[[#This Row],[Is Data Valid]]=TRUE,IF(Table1[[#This Row],[Fetal Sex (Male, Female or Unknown)]]="Male",Backend!$C$6,IF(Table1[[#This Row],[Fetal Sex (Male, Female or Unknown)]]="Female",Backend!$C$7,IF(Table1[[#This Row],[Fetal Sex (Male, Female or Unknown)]]="Unknown",Backend!$C$8,"Error"))),"")</f>
        <v/>
      </c>
      <c r="F2978" s="8" t="str">
        <f>IF(Table1[[#This Row],[Is Data Valid]]=TRUE,EXP(0.578+0.332*((Table1[[#This Row],[Gestation (days)]]+0.5)/7)-0.00354*((Table1[[#This Row],[Gestation (days)]]+0.5)/7)^2)*Table1[[#This Row],[BW40_3705]],"")</f>
        <v/>
      </c>
      <c r="G2978" s="2" t="str">
        <f>IF(Table1[[#This Row],[Is Data Valid]]=TRUE,((Table1[[#This Row],[Birthweight (grams)]]/Table1[[#This Row],[BW_GA]])-1)/(Backend!$B$4/100*Table1[[#This Row],[BW40_3705]]),"")</f>
        <v/>
      </c>
      <c r="H2978" s="7" t="str">
        <f>IF(Table1[[#This Row],[Is Data Valid]]=TRUE,((Table1[[#This Row],[Birthweight (grams)]]*0.9/Table1[[#This Row],[BW_GA]])-1)/(Backend!$B$4/100*Table1[[#This Row],[BW40_3705]]),"")</f>
        <v/>
      </c>
      <c r="I2978" s="7" t="str">
        <f>IF(Table1[[#This Row],[Is Data Valid]]=TRUE,((Table1[[#This Row],[Birthweight (grams)]]*1.1/Table1[[#This Row],[BW_GA]])-1)/(Backend!$B$4/100*Table1[[#This Row],[BW40_3705]]),"")</f>
        <v/>
      </c>
      <c r="J2978" s="7" t="str">
        <f>IF(Table1[[#This Row],[Is Data Valid]]=TRUE,_xlfn.NORM.S.DIST(Table1[[#This Row],[Birthweight Z-Score]],TRUE)*100,"")</f>
        <v/>
      </c>
      <c r="K2978" s="7" t="str">
        <f>IF(Table1[[#This Row],[Is Data Valid]]=TRUE,_xlfn.NORM.S.DIST(Table1[[#This Row],[Birthweight Z-Score (BW-10%)]],TRUE)*100,"")</f>
        <v/>
      </c>
      <c r="L2978" s="7" t="str">
        <f>IF(Table1[[#This Row],[Is Data Valid]]=TRUE,_xlfn.NORM.S.DIST(Table1[[#This Row],[Birthweight Z-Score (BW+10%)]],TRUE)*100,"")</f>
        <v/>
      </c>
    </row>
    <row r="2979" spans="1:12" x14ac:dyDescent="0.35">
      <c r="A2979" s="3"/>
      <c r="B2979" s="2"/>
      <c r="C2979" s="2"/>
      <c r="D2979" s="2" t="b">
        <f>IF(AND(NOT(ISBLANK(Table1[[#This Row],[Fetal Sex (Male, Female or Unknown)]])),ISNUMBER(Table1[[#This Row],[Birthweight (grams)]]),ISNUMBER(Table1[[#This Row],[Gestation (days)]])),TRUE,FALSE)</f>
        <v>0</v>
      </c>
      <c r="E2979" s="2" t="str">
        <f>IF(Table1[[#This Row],[Is Data Valid]]=TRUE,IF(Table1[[#This Row],[Fetal Sex (Male, Female or Unknown)]]="Male",Backend!$C$6,IF(Table1[[#This Row],[Fetal Sex (Male, Female or Unknown)]]="Female",Backend!$C$7,IF(Table1[[#This Row],[Fetal Sex (Male, Female or Unknown)]]="Unknown",Backend!$C$8,"Error"))),"")</f>
        <v/>
      </c>
      <c r="F2979" s="8" t="str">
        <f>IF(Table1[[#This Row],[Is Data Valid]]=TRUE,EXP(0.578+0.332*((Table1[[#This Row],[Gestation (days)]]+0.5)/7)-0.00354*((Table1[[#This Row],[Gestation (days)]]+0.5)/7)^2)*Table1[[#This Row],[BW40_3705]],"")</f>
        <v/>
      </c>
      <c r="G2979" s="2" t="str">
        <f>IF(Table1[[#This Row],[Is Data Valid]]=TRUE,((Table1[[#This Row],[Birthweight (grams)]]/Table1[[#This Row],[BW_GA]])-1)/(Backend!$B$4/100*Table1[[#This Row],[BW40_3705]]),"")</f>
        <v/>
      </c>
      <c r="H2979" s="7" t="str">
        <f>IF(Table1[[#This Row],[Is Data Valid]]=TRUE,((Table1[[#This Row],[Birthweight (grams)]]*0.9/Table1[[#This Row],[BW_GA]])-1)/(Backend!$B$4/100*Table1[[#This Row],[BW40_3705]]),"")</f>
        <v/>
      </c>
      <c r="I2979" s="7" t="str">
        <f>IF(Table1[[#This Row],[Is Data Valid]]=TRUE,((Table1[[#This Row],[Birthweight (grams)]]*1.1/Table1[[#This Row],[BW_GA]])-1)/(Backend!$B$4/100*Table1[[#This Row],[BW40_3705]]),"")</f>
        <v/>
      </c>
      <c r="J2979" s="7" t="str">
        <f>IF(Table1[[#This Row],[Is Data Valid]]=TRUE,_xlfn.NORM.S.DIST(Table1[[#This Row],[Birthweight Z-Score]],TRUE)*100,"")</f>
        <v/>
      </c>
      <c r="K2979" s="7" t="str">
        <f>IF(Table1[[#This Row],[Is Data Valid]]=TRUE,_xlfn.NORM.S.DIST(Table1[[#This Row],[Birthweight Z-Score (BW-10%)]],TRUE)*100,"")</f>
        <v/>
      </c>
      <c r="L2979" s="7" t="str">
        <f>IF(Table1[[#This Row],[Is Data Valid]]=TRUE,_xlfn.NORM.S.DIST(Table1[[#This Row],[Birthweight Z-Score (BW+10%)]],TRUE)*100,"")</f>
        <v/>
      </c>
    </row>
    <row r="2980" spans="1:12" x14ac:dyDescent="0.35">
      <c r="A2980" s="3"/>
      <c r="B2980" s="2"/>
      <c r="C2980" s="2"/>
      <c r="D2980" s="2" t="b">
        <f>IF(AND(NOT(ISBLANK(Table1[[#This Row],[Fetal Sex (Male, Female or Unknown)]])),ISNUMBER(Table1[[#This Row],[Birthweight (grams)]]),ISNUMBER(Table1[[#This Row],[Gestation (days)]])),TRUE,FALSE)</f>
        <v>0</v>
      </c>
      <c r="E2980" s="2" t="str">
        <f>IF(Table1[[#This Row],[Is Data Valid]]=TRUE,IF(Table1[[#This Row],[Fetal Sex (Male, Female or Unknown)]]="Male",Backend!$C$6,IF(Table1[[#This Row],[Fetal Sex (Male, Female or Unknown)]]="Female",Backend!$C$7,IF(Table1[[#This Row],[Fetal Sex (Male, Female or Unknown)]]="Unknown",Backend!$C$8,"Error"))),"")</f>
        <v/>
      </c>
      <c r="F2980" s="8" t="str">
        <f>IF(Table1[[#This Row],[Is Data Valid]]=TRUE,EXP(0.578+0.332*((Table1[[#This Row],[Gestation (days)]]+0.5)/7)-0.00354*((Table1[[#This Row],[Gestation (days)]]+0.5)/7)^2)*Table1[[#This Row],[BW40_3705]],"")</f>
        <v/>
      </c>
      <c r="G2980" s="2" t="str">
        <f>IF(Table1[[#This Row],[Is Data Valid]]=TRUE,((Table1[[#This Row],[Birthweight (grams)]]/Table1[[#This Row],[BW_GA]])-1)/(Backend!$B$4/100*Table1[[#This Row],[BW40_3705]]),"")</f>
        <v/>
      </c>
      <c r="H2980" s="7" t="str">
        <f>IF(Table1[[#This Row],[Is Data Valid]]=TRUE,((Table1[[#This Row],[Birthweight (grams)]]*0.9/Table1[[#This Row],[BW_GA]])-1)/(Backend!$B$4/100*Table1[[#This Row],[BW40_3705]]),"")</f>
        <v/>
      </c>
      <c r="I2980" s="7" t="str">
        <f>IF(Table1[[#This Row],[Is Data Valid]]=TRUE,((Table1[[#This Row],[Birthweight (grams)]]*1.1/Table1[[#This Row],[BW_GA]])-1)/(Backend!$B$4/100*Table1[[#This Row],[BW40_3705]]),"")</f>
        <v/>
      </c>
      <c r="J2980" s="7" t="str">
        <f>IF(Table1[[#This Row],[Is Data Valid]]=TRUE,_xlfn.NORM.S.DIST(Table1[[#This Row],[Birthweight Z-Score]],TRUE)*100,"")</f>
        <v/>
      </c>
      <c r="K2980" s="7" t="str">
        <f>IF(Table1[[#This Row],[Is Data Valid]]=TRUE,_xlfn.NORM.S.DIST(Table1[[#This Row],[Birthweight Z-Score (BW-10%)]],TRUE)*100,"")</f>
        <v/>
      </c>
      <c r="L2980" s="7" t="str">
        <f>IF(Table1[[#This Row],[Is Data Valid]]=TRUE,_xlfn.NORM.S.DIST(Table1[[#This Row],[Birthweight Z-Score (BW+10%)]],TRUE)*100,"")</f>
        <v/>
      </c>
    </row>
    <row r="2981" spans="1:12" x14ac:dyDescent="0.35">
      <c r="A2981" s="3"/>
      <c r="B2981" s="2"/>
      <c r="C2981" s="2"/>
      <c r="D2981" s="2" t="b">
        <f>IF(AND(NOT(ISBLANK(Table1[[#This Row],[Fetal Sex (Male, Female or Unknown)]])),ISNUMBER(Table1[[#This Row],[Birthweight (grams)]]),ISNUMBER(Table1[[#This Row],[Gestation (days)]])),TRUE,FALSE)</f>
        <v>0</v>
      </c>
      <c r="E2981" s="2" t="str">
        <f>IF(Table1[[#This Row],[Is Data Valid]]=TRUE,IF(Table1[[#This Row],[Fetal Sex (Male, Female or Unknown)]]="Male",Backend!$C$6,IF(Table1[[#This Row],[Fetal Sex (Male, Female or Unknown)]]="Female",Backend!$C$7,IF(Table1[[#This Row],[Fetal Sex (Male, Female or Unknown)]]="Unknown",Backend!$C$8,"Error"))),"")</f>
        <v/>
      </c>
      <c r="F2981" s="8" t="str">
        <f>IF(Table1[[#This Row],[Is Data Valid]]=TRUE,EXP(0.578+0.332*((Table1[[#This Row],[Gestation (days)]]+0.5)/7)-0.00354*((Table1[[#This Row],[Gestation (days)]]+0.5)/7)^2)*Table1[[#This Row],[BW40_3705]],"")</f>
        <v/>
      </c>
      <c r="G2981" s="2" t="str">
        <f>IF(Table1[[#This Row],[Is Data Valid]]=TRUE,((Table1[[#This Row],[Birthweight (grams)]]/Table1[[#This Row],[BW_GA]])-1)/(Backend!$B$4/100*Table1[[#This Row],[BW40_3705]]),"")</f>
        <v/>
      </c>
      <c r="H2981" s="7" t="str">
        <f>IF(Table1[[#This Row],[Is Data Valid]]=TRUE,((Table1[[#This Row],[Birthweight (grams)]]*0.9/Table1[[#This Row],[BW_GA]])-1)/(Backend!$B$4/100*Table1[[#This Row],[BW40_3705]]),"")</f>
        <v/>
      </c>
      <c r="I2981" s="7" t="str">
        <f>IF(Table1[[#This Row],[Is Data Valid]]=TRUE,((Table1[[#This Row],[Birthweight (grams)]]*1.1/Table1[[#This Row],[BW_GA]])-1)/(Backend!$B$4/100*Table1[[#This Row],[BW40_3705]]),"")</f>
        <v/>
      </c>
      <c r="J2981" s="7" t="str">
        <f>IF(Table1[[#This Row],[Is Data Valid]]=TRUE,_xlfn.NORM.S.DIST(Table1[[#This Row],[Birthweight Z-Score]],TRUE)*100,"")</f>
        <v/>
      </c>
      <c r="K2981" s="7" t="str">
        <f>IF(Table1[[#This Row],[Is Data Valid]]=TRUE,_xlfn.NORM.S.DIST(Table1[[#This Row],[Birthweight Z-Score (BW-10%)]],TRUE)*100,"")</f>
        <v/>
      </c>
      <c r="L2981" s="7" t="str">
        <f>IF(Table1[[#This Row],[Is Data Valid]]=TRUE,_xlfn.NORM.S.DIST(Table1[[#This Row],[Birthweight Z-Score (BW+10%)]],TRUE)*100,"")</f>
        <v/>
      </c>
    </row>
    <row r="2982" spans="1:12" x14ac:dyDescent="0.35">
      <c r="A2982" s="3"/>
      <c r="B2982" s="2"/>
      <c r="C2982" s="2"/>
      <c r="D2982" s="2" t="b">
        <f>IF(AND(NOT(ISBLANK(Table1[[#This Row],[Fetal Sex (Male, Female or Unknown)]])),ISNUMBER(Table1[[#This Row],[Birthweight (grams)]]),ISNUMBER(Table1[[#This Row],[Gestation (days)]])),TRUE,FALSE)</f>
        <v>0</v>
      </c>
      <c r="E2982" s="2" t="str">
        <f>IF(Table1[[#This Row],[Is Data Valid]]=TRUE,IF(Table1[[#This Row],[Fetal Sex (Male, Female or Unknown)]]="Male",Backend!$C$6,IF(Table1[[#This Row],[Fetal Sex (Male, Female or Unknown)]]="Female",Backend!$C$7,IF(Table1[[#This Row],[Fetal Sex (Male, Female or Unknown)]]="Unknown",Backend!$C$8,"Error"))),"")</f>
        <v/>
      </c>
      <c r="F2982" s="8" t="str">
        <f>IF(Table1[[#This Row],[Is Data Valid]]=TRUE,EXP(0.578+0.332*((Table1[[#This Row],[Gestation (days)]]+0.5)/7)-0.00354*((Table1[[#This Row],[Gestation (days)]]+0.5)/7)^2)*Table1[[#This Row],[BW40_3705]],"")</f>
        <v/>
      </c>
      <c r="G2982" s="2" t="str">
        <f>IF(Table1[[#This Row],[Is Data Valid]]=TRUE,((Table1[[#This Row],[Birthweight (grams)]]/Table1[[#This Row],[BW_GA]])-1)/(Backend!$B$4/100*Table1[[#This Row],[BW40_3705]]),"")</f>
        <v/>
      </c>
      <c r="H2982" s="7" t="str">
        <f>IF(Table1[[#This Row],[Is Data Valid]]=TRUE,((Table1[[#This Row],[Birthweight (grams)]]*0.9/Table1[[#This Row],[BW_GA]])-1)/(Backend!$B$4/100*Table1[[#This Row],[BW40_3705]]),"")</f>
        <v/>
      </c>
      <c r="I2982" s="7" t="str">
        <f>IF(Table1[[#This Row],[Is Data Valid]]=TRUE,((Table1[[#This Row],[Birthweight (grams)]]*1.1/Table1[[#This Row],[BW_GA]])-1)/(Backend!$B$4/100*Table1[[#This Row],[BW40_3705]]),"")</f>
        <v/>
      </c>
      <c r="J2982" s="7" t="str">
        <f>IF(Table1[[#This Row],[Is Data Valid]]=TRUE,_xlfn.NORM.S.DIST(Table1[[#This Row],[Birthweight Z-Score]],TRUE)*100,"")</f>
        <v/>
      </c>
      <c r="K2982" s="7" t="str">
        <f>IF(Table1[[#This Row],[Is Data Valid]]=TRUE,_xlfn.NORM.S.DIST(Table1[[#This Row],[Birthweight Z-Score (BW-10%)]],TRUE)*100,"")</f>
        <v/>
      </c>
      <c r="L2982" s="7" t="str">
        <f>IF(Table1[[#This Row],[Is Data Valid]]=TRUE,_xlfn.NORM.S.DIST(Table1[[#This Row],[Birthweight Z-Score (BW+10%)]],TRUE)*100,"")</f>
        <v/>
      </c>
    </row>
    <row r="2983" spans="1:12" x14ac:dyDescent="0.35">
      <c r="A2983" s="3"/>
      <c r="B2983" s="2"/>
      <c r="C2983" s="2"/>
      <c r="D2983" s="2" t="b">
        <f>IF(AND(NOT(ISBLANK(Table1[[#This Row],[Fetal Sex (Male, Female or Unknown)]])),ISNUMBER(Table1[[#This Row],[Birthweight (grams)]]),ISNUMBER(Table1[[#This Row],[Gestation (days)]])),TRUE,FALSE)</f>
        <v>0</v>
      </c>
      <c r="E2983" s="2" t="str">
        <f>IF(Table1[[#This Row],[Is Data Valid]]=TRUE,IF(Table1[[#This Row],[Fetal Sex (Male, Female or Unknown)]]="Male",Backend!$C$6,IF(Table1[[#This Row],[Fetal Sex (Male, Female or Unknown)]]="Female",Backend!$C$7,IF(Table1[[#This Row],[Fetal Sex (Male, Female or Unknown)]]="Unknown",Backend!$C$8,"Error"))),"")</f>
        <v/>
      </c>
      <c r="F2983" s="8" t="str">
        <f>IF(Table1[[#This Row],[Is Data Valid]]=TRUE,EXP(0.578+0.332*((Table1[[#This Row],[Gestation (days)]]+0.5)/7)-0.00354*((Table1[[#This Row],[Gestation (days)]]+0.5)/7)^2)*Table1[[#This Row],[BW40_3705]],"")</f>
        <v/>
      </c>
      <c r="G2983" s="2" t="str">
        <f>IF(Table1[[#This Row],[Is Data Valid]]=TRUE,((Table1[[#This Row],[Birthweight (grams)]]/Table1[[#This Row],[BW_GA]])-1)/(Backend!$B$4/100*Table1[[#This Row],[BW40_3705]]),"")</f>
        <v/>
      </c>
      <c r="H2983" s="7" t="str">
        <f>IF(Table1[[#This Row],[Is Data Valid]]=TRUE,((Table1[[#This Row],[Birthweight (grams)]]*0.9/Table1[[#This Row],[BW_GA]])-1)/(Backend!$B$4/100*Table1[[#This Row],[BW40_3705]]),"")</f>
        <v/>
      </c>
      <c r="I2983" s="7" t="str">
        <f>IF(Table1[[#This Row],[Is Data Valid]]=TRUE,((Table1[[#This Row],[Birthweight (grams)]]*1.1/Table1[[#This Row],[BW_GA]])-1)/(Backend!$B$4/100*Table1[[#This Row],[BW40_3705]]),"")</f>
        <v/>
      </c>
      <c r="J2983" s="7" t="str">
        <f>IF(Table1[[#This Row],[Is Data Valid]]=TRUE,_xlfn.NORM.S.DIST(Table1[[#This Row],[Birthweight Z-Score]],TRUE)*100,"")</f>
        <v/>
      </c>
      <c r="K2983" s="7" t="str">
        <f>IF(Table1[[#This Row],[Is Data Valid]]=TRUE,_xlfn.NORM.S.DIST(Table1[[#This Row],[Birthweight Z-Score (BW-10%)]],TRUE)*100,"")</f>
        <v/>
      </c>
      <c r="L2983" s="7" t="str">
        <f>IF(Table1[[#This Row],[Is Data Valid]]=TRUE,_xlfn.NORM.S.DIST(Table1[[#This Row],[Birthweight Z-Score (BW+10%)]],TRUE)*100,"")</f>
        <v/>
      </c>
    </row>
    <row r="2984" spans="1:12" x14ac:dyDescent="0.35">
      <c r="A2984" s="3"/>
      <c r="B2984" s="2"/>
      <c r="C2984" s="2"/>
      <c r="D2984" s="2" t="b">
        <f>IF(AND(NOT(ISBLANK(Table1[[#This Row],[Fetal Sex (Male, Female or Unknown)]])),ISNUMBER(Table1[[#This Row],[Birthweight (grams)]]),ISNUMBER(Table1[[#This Row],[Gestation (days)]])),TRUE,FALSE)</f>
        <v>0</v>
      </c>
      <c r="E2984" s="2" t="str">
        <f>IF(Table1[[#This Row],[Is Data Valid]]=TRUE,IF(Table1[[#This Row],[Fetal Sex (Male, Female or Unknown)]]="Male",Backend!$C$6,IF(Table1[[#This Row],[Fetal Sex (Male, Female or Unknown)]]="Female",Backend!$C$7,IF(Table1[[#This Row],[Fetal Sex (Male, Female or Unknown)]]="Unknown",Backend!$C$8,"Error"))),"")</f>
        <v/>
      </c>
      <c r="F2984" s="8" t="str">
        <f>IF(Table1[[#This Row],[Is Data Valid]]=TRUE,EXP(0.578+0.332*((Table1[[#This Row],[Gestation (days)]]+0.5)/7)-0.00354*((Table1[[#This Row],[Gestation (days)]]+0.5)/7)^2)*Table1[[#This Row],[BW40_3705]],"")</f>
        <v/>
      </c>
      <c r="G2984" s="2" t="str">
        <f>IF(Table1[[#This Row],[Is Data Valid]]=TRUE,((Table1[[#This Row],[Birthweight (grams)]]/Table1[[#This Row],[BW_GA]])-1)/(Backend!$B$4/100*Table1[[#This Row],[BW40_3705]]),"")</f>
        <v/>
      </c>
      <c r="H2984" s="7" t="str">
        <f>IF(Table1[[#This Row],[Is Data Valid]]=TRUE,((Table1[[#This Row],[Birthweight (grams)]]*0.9/Table1[[#This Row],[BW_GA]])-1)/(Backend!$B$4/100*Table1[[#This Row],[BW40_3705]]),"")</f>
        <v/>
      </c>
      <c r="I2984" s="7" t="str">
        <f>IF(Table1[[#This Row],[Is Data Valid]]=TRUE,((Table1[[#This Row],[Birthweight (grams)]]*1.1/Table1[[#This Row],[BW_GA]])-1)/(Backend!$B$4/100*Table1[[#This Row],[BW40_3705]]),"")</f>
        <v/>
      </c>
      <c r="J2984" s="7" t="str">
        <f>IF(Table1[[#This Row],[Is Data Valid]]=TRUE,_xlfn.NORM.S.DIST(Table1[[#This Row],[Birthweight Z-Score]],TRUE)*100,"")</f>
        <v/>
      </c>
      <c r="K2984" s="7" t="str">
        <f>IF(Table1[[#This Row],[Is Data Valid]]=TRUE,_xlfn.NORM.S.DIST(Table1[[#This Row],[Birthweight Z-Score (BW-10%)]],TRUE)*100,"")</f>
        <v/>
      </c>
      <c r="L2984" s="7" t="str">
        <f>IF(Table1[[#This Row],[Is Data Valid]]=TRUE,_xlfn.NORM.S.DIST(Table1[[#This Row],[Birthweight Z-Score (BW+10%)]],TRUE)*100,"")</f>
        <v/>
      </c>
    </row>
    <row r="2985" spans="1:12" x14ac:dyDescent="0.35">
      <c r="A2985" s="3"/>
      <c r="B2985" s="2"/>
      <c r="C2985" s="2"/>
      <c r="D2985" s="2" t="b">
        <f>IF(AND(NOT(ISBLANK(Table1[[#This Row],[Fetal Sex (Male, Female or Unknown)]])),ISNUMBER(Table1[[#This Row],[Birthweight (grams)]]),ISNUMBER(Table1[[#This Row],[Gestation (days)]])),TRUE,FALSE)</f>
        <v>0</v>
      </c>
      <c r="E2985" s="2" t="str">
        <f>IF(Table1[[#This Row],[Is Data Valid]]=TRUE,IF(Table1[[#This Row],[Fetal Sex (Male, Female or Unknown)]]="Male",Backend!$C$6,IF(Table1[[#This Row],[Fetal Sex (Male, Female or Unknown)]]="Female",Backend!$C$7,IF(Table1[[#This Row],[Fetal Sex (Male, Female or Unknown)]]="Unknown",Backend!$C$8,"Error"))),"")</f>
        <v/>
      </c>
      <c r="F2985" s="8" t="str">
        <f>IF(Table1[[#This Row],[Is Data Valid]]=TRUE,EXP(0.578+0.332*((Table1[[#This Row],[Gestation (days)]]+0.5)/7)-0.00354*((Table1[[#This Row],[Gestation (days)]]+0.5)/7)^2)*Table1[[#This Row],[BW40_3705]],"")</f>
        <v/>
      </c>
      <c r="G2985" s="2" t="str">
        <f>IF(Table1[[#This Row],[Is Data Valid]]=TRUE,((Table1[[#This Row],[Birthweight (grams)]]/Table1[[#This Row],[BW_GA]])-1)/(Backend!$B$4/100*Table1[[#This Row],[BW40_3705]]),"")</f>
        <v/>
      </c>
      <c r="H2985" s="7" t="str">
        <f>IF(Table1[[#This Row],[Is Data Valid]]=TRUE,((Table1[[#This Row],[Birthweight (grams)]]*0.9/Table1[[#This Row],[BW_GA]])-1)/(Backend!$B$4/100*Table1[[#This Row],[BW40_3705]]),"")</f>
        <v/>
      </c>
      <c r="I2985" s="7" t="str">
        <f>IF(Table1[[#This Row],[Is Data Valid]]=TRUE,((Table1[[#This Row],[Birthweight (grams)]]*1.1/Table1[[#This Row],[BW_GA]])-1)/(Backend!$B$4/100*Table1[[#This Row],[BW40_3705]]),"")</f>
        <v/>
      </c>
      <c r="J2985" s="7" t="str">
        <f>IF(Table1[[#This Row],[Is Data Valid]]=TRUE,_xlfn.NORM.S.DIST(Table1[[#This Row],[Birthweight Z-Score]],TRUE)*100,"")</f>
        <v/>
      </c>
      <c r="K2985" s="7" t="str">
        <f>IF(Table1[[#This Row],[Is Data Valid]]=TRUE,_xlfn.NORM.S.DIST(Table1[[#This Row],[Birthweight Z-Score (BW-10%)]],TRUE)*100,"")</f>
        <v/>
      </c>
      <c r="L2985" s="7" t="str">
        <f>IF(Table1[[#This Row],[Is Data Valid]]=TRUE,_xlfn.NORM.S.DIST(Table1[[#This Row],[Birthweight Z-Score (BW+10%)]],TRUE)*100,"")</f>
        <v/>
      </c>
    </row>
    <row r="2986" spans="1:12" x14ac:dyDescent="0.35">
      <c r="A2986" s="3"/>
      <c r="B2986" s="2"/>
      <c r="C2986" s="2"/>
      <c r="D2986" s="2" t="b">
        <f>IF(AND(NOT(ISBLANK(Table1[[#This Row],[Fetal Sex (Male, Female or Unknown)]])),ISNUMBER(Table1[[#This Row],[Birthweight (grams)]]),ISNUMBER(Table1[[#This Row],[Gestation (days)]])),TRUE,FALSE)</f>
        <v>0</v>
      </c>
      <c r="E2986" s="2" t="str">
        <f>IF(Table1[[#This Row],[Is Data Valid]]=TRUE,IF(Table1[[#This Row],[Fetal Sex (Male, Female or Unknown)]]="Male",Backend!$C$6,IF(Table1[[#This Row],[Fetal Sex (Male, Female or Unknown)]]="Female",Backend!$C$7,IF(Table1[[#This Row],[Fetal Sex (Male, Female or Unknown)]]="Unknown",Backend!$C$8,"Error"))),"")</f>
        <v/>
      </c>
      <c r="F2986" s="8" t="str">
        <f>IF(Table1[[#This Row],[Is Data Valid]]=TRUE,EXP(0.578+0.332*((Table1[[#This Row],[Gestation (days)]]+0.5)/7)-0.00354*((Table1[[#This Row],[Gestation (days)]]+0.5)/7)^2)*Table1[[#This Row],[BW40_3705]],"")</f>
        <v/>
      </c>
      <c r="G2986" s="2" t="str">
        <f>IF(Table1[[#This Row],[Is Data Valid]]=TRUE,((Table1[[#This Row],[Birthweight (grams)]]/Table1[[#This Row],[BW_GA]])-1)/(Backend!$B$4/100*Table1[[#This Row],[BW40_3705]]),"")</f>
        <v/>
      </c>
      <c r="H2986" s="7" t="str">
        <f>IF(Table1[[#This Row],[Is Data Valid]]=TRUE,((Table1[[#This Row],[Birthweight (grams)]]*0.9/Table1[[#This Row],[BW_GA]])-1)/(Backend!$B$4/100*Table1[[#This Row],[BW40_3705]]),"")</f>
        <v/>
      </c>
      <c r="I2986" s="7" t="str">
        <f>IF(Table1[[#This Row],[Is Data Valid]]=TRUE,((Table1[[#This Row],[Birthweight (grams)]]*1.1/Table1[[#This Row],[BW_GA]])-1)/(Backend!$B$4/100*Table1[[#This Row],[BW40_3705]]),"")</f>
        <v/>
      </c>
      <c r="J2986" s="7" t="str">
        <f>IF(Table1[[#This Row],[Is Data Valid]]=TRUE,_xlfn.NORM.S.DIST(Table1[[#This Row],[Birthweight Z-Score]],TRUE)*100,"")</f>
        <v/>
      </c>
      <c r="K2986" s="7" t="str">
        <f>IF(Table1[[#This Row],[Is Data Valid]]=TRUE,_xlfn.NORM.S.DIST(Table1[[#This Row],[Birthweight Z-Score (BW-10%)]],TRUE)*100,"")</f>
        <v/>
      </c>
      <c r="L2986" s="7" t="str">
        <f>IF(Table1[[#This Row],[Is Data Valid]]=TRUE,_xlfn.NORM.S.DIST(Table1[[#This Row],[Birthweight Z-Score (BW+10%)]],TRUE)*100,"")</f>
        <v/>
      </c>
    </row>
    <row r="2987" spans="1:12" x14ac:dyDescent="0.35">
      <c r="A2987" s="3"/>
      <c r="B2987" s="2"/>
      <c r="C2987" s="2"/>
      <c r="D2987" s="2" t="b">
        <f>IF(AND(NOT(ISBLANK(Table1[[#This Row],[Fetal Sex (Male, Female or Unknown)]])),ISNUMBER(Table1[[#This Row],[Birthweight (grams)]]),ISNUMBER(Table1[[#This Row],[Gestation (days)]])),TRUE,FALSE)</f>
        <v>0</v>
      </c>
      <c r="E2987" s="2" t="str">
        <f>IF(Table1[[#This Row],[Is Data Valid]]=TRUE,IF(Table1[[#This Row],[Fetal Sex (Male, Female or Unknown)]]="Male",Backend!$C$6,IF(Table1[[#This Row],[Fetal Sex (Male, Female or Unknown)]]="Female",Backend!$C$7,IF(Table1[[#This Row],[Fetal Sex (Male, Female or Unknown)]]="Unknown",Backend!$C$8,"Error"))),"")</f>
        <v/>
      </c>
      <c r="F2987" s="8" t="str">
        <f>IF(Table1[[#This Row],[Is Data Valid]]=TRUE,EXP(0.578+0.332*((Table1[[#This Row],[Gestation (days)]]+0.5)/7)-0.00354*((Table1[[#This Row],[Gestation (days)]]+0.5)/7)^2)*Table1[[#This Row],[BW40_3705]],"")</f>
        <v/>
      </c>
      <c r="G2987" s="2" t="str">
        <f>IF(Table1[[#This Row],[Is Data Valid]]=TRUE,((Table1[[#This Row],[Birthweight (grams)]]/Table1[[#This Row],[BW_GA]])-1)/(Backend!$B$4/100*Table1[[#This Row],[BW40_3705]]),"")</f>
        <v/>
      </c>
      <c r="H2987" s="7" t="str">
        <f>IF(Table1[[#This Row],[Is Data Valid]]=TRUE,((Table1[[#This Row],[Birthweight (grams)]]*0.9/Table1[[#This Row],[BW_GA]])-1)/(Backend!$B$4/100*Table1[[#This Row],[BW40_3705]]),"")</f>
        <v/>
      </c>
      <c r="I2987" s="7" t="str">
        <f>IF(Table1[[#This Row],[Is Data Valid]]=TRUE,((Table1[[#This Row],[Birthweight (grams)]]*1.1/Table1[[#This Row],[BW_GA]])-1)/(Backend!$B$4/100*Table1[[#This Row],[BW40_3705]]),"")</f>
        <v/>
      </c>
      <c r="J2987" s="7" t="str">
        <f>IF(Table1[[#This Row],[Is Data Valid]]=TRUE,_xlfn.NORM.S.DIST(Table1[[#This Row],[Birthweight Z-Score]],TRUE)*100,"")</f>
        <v/>
      </c>
      <c r="K2987" s="7" t="str">
        <f>IF(Table1[[#This Row],[Is Data Valid]]=TRUE,_xlfn.NORM.S.DIST(Table1[[#This Row],[Birthweight Z-Score (BW-10%)]],TRUE)*100,"")</f>
        <v/>
      </c>
      <c r="L2987" s="7" t="str">
        <f>IF(Table1[[#This Row],[Is Data Valid]]=TRUE,_xlfn.NORM.S.DIST(Table1[[#This Row],[Birthweight Z-Score (BW+10%)]],TRUE)*100,"")</f>
        <v/>
      </c>
    </row>
    <row r="2988" spans="1:12" x14ac:dyDescent="0.35">
      <c r="A2988" s="3"/>
      <c r="B2988" s="2"/>
      <c r="C2988" s="2"/>
      <c r="D2988" s="2" t="b">
        <f>IF(AND(NOT(ISBLANK(Table1[[#This Row],[Fetal Sex (Male, Female or Unknown)]])),ISNUMBER(Table1[[#This Row],[Birthweight (grams)]]),ISNUMBER(Table1[[#This Row],[Gestation (days)]])),TRUE,FALSE)</f>
        <v>0</v>
      </c>
      <c r="E2988" s="2" t="str">
        <f>IF(Table1[[#This Row],[Is Data Valid]]=TRUE,IF(Table1[[#This Row],[Fetal Sex (Male, Female or Unknown)]]="Male",Backend!$C$6,IF(Table1[[#This Row],[Fetal Sex (Male, Female or Unknown)]]="Female",Backend!$C$7,IF(Table1[[#This Row],[Fetal Sex (Male, Female or Unknown)]]="Unknown",Backend!$C$8,"Error"))),"")</f>
        <v/>
      </c>
      <c r="F2988" s="8" t="str">
        <f>IF(Table1[[#This Row],[Is Data Valid]]=TRUE,EXP(0.578+0.332*((Table1[[#This Row],[Gestation (days)]]+0.5)/7)-0.00354*((Table1[[#This Row],[Gestation (days)]]+0.5)/7)^2)*Table1[[#This Row],[BW40_3705]],"")</f>
        <v/>
      </c>
      <c r="G2988" s="2" t="str">
        <f>IF(Table1[[#This Row],[Is Data Valid]]=TRUE,((Table1[[#This Row],[Birthweight (grams)]]/Table1[[#This Row],[BW_GA]])-1)/(Backend!$B$4/100*Table1[[#This Row],[BW40_3705]]),"")</f>
        <v/>
      </c>
      <c r="H2988" s="7" t="str">
        <f>IF(Table1[[#This Row],[Is Data Valid]]=TRUE,((Table1[[#This Row],[Birthweight (grams)]]*0.9/Table1[[#This Row],[BW_GA]])-1)/(Backend!$B$4/100*Table1[[#This Row],[BW40_3705]]),"")</f>
        <v/>
      </c>
      <c r="I2988" s="7" t="str">
        <f>IF(Table1[[#This Row],[Is Data Valid]]=TRUE,((Table1[[#This Row],[Birthweight (grams)]]*1.1/Table1[[#This Row],[BW_GA]])-1)/(Backend!$B$4/100*Table1[[#This Row],[BW40_3705]]),"")</f>
        <v/>
      </c>
      <c r="J2988" s="7" t="str">
        <f>IF(Table1[[#This Row],[Is Data Valid]]=TRUE,_xlfn.NORM.S.DIST(Table1[[#This Row],[Birthweight Z-Score]],TRUE)*100,"")</f>
        <v/>
      </c>
      <c r="K2988" s="7" t="str">
        <f>IF(Table1[[#This Row],[Is Data Valid]]=TRUE,_xlfn.NORM.S.DIST(Table1[[#This Row],[Birthweight Z-Score (BW-10%)]],TRUE)*100,"")</f>
        <v/>
      </c>
      <c r="L2988" s="7" t="str">
        <f>IF(Table1[[#This Row],[Is Data Valid]]=TRUE,_xlfn.NORM.S.DIST(Table1[[#This Row],[Birthweight Z-Score (BW+10%)]],TRUE)*100,"")</f>
        <v/>
      </c>
    </row>
    <row r="2989" spans="1:12" x14ac:dyDescent="0.35">
      <c r="A2989" s="3"/>
      <c r="B2989" s="2"/>
      <c r="C2989" s="2"/>
      <c r="D2989" s="2" t="b">
        <f>IF(AND(NOT(ISBLANK(Table1[[#This Row],[Fetal Sex (Male, Female or Unknown)]])),ISNUMBER(Table1[[#This Row],[Birthweight (grams)]]),ISNUMBER(Table1[[#This Row],[Gestation (days)]])),TRUE,FALSE)</f>
        <v>0</v>
      </c>
      <c r="E2989" s="2" t="str">
        <f>IF(Table1[[#This Row],[Is Data Valid]]=TRUE,IF(Table1[[#This Row],[Fetal Sex (Male, Female or Unknown)]]="Male",Backend!$C$6,IF(Table1[[#This Row],[Fetal Sex (Male, Female or Unknown)]]="Female",Backend!$C$7,IF(Table1[[#This Row],[Fetal Sex (Male, Female or Unknown)]]="Unknown",Backend!$C$8,"Error"))),"")</f>
        <v/>
      </c>
      <c r="F2989" s="8" t="str">
        <f>IF(Table1[[#This Row],[Is Data Valid]]=TRUE,EXP(0.578+0.332*((Table1[[#This Row],[Gestation (days)]]+0.5)/7)-0.00354*((Table1[[#This Row],[Gestation (days)]]+0.5)/7)^2)*Table1[[#This Row],[BW40_3705]],"")</f>
        <v/>
      </c>
      <c r="G2989" s="2" t="str">
        <f>IF(Table1[[#This Row],[Is Data Valid]]=TRUE,((Table1[[#This Row],[Birthweight (grams)]]/Table1[[#This Row],[BW_GA]])-1)/(Backend!$B$4/100*Table1[[#This Row],[BW40_3705]]),"")</f>
        <v/>
      </c>
      <c r="H2989" s="7" t="str">
        <f>IF(Table1[[#This Row],[Is Data Valid]]=TRUE,((Table1[[#This Row],[Birthweight (grams)]]*0.9/Table1[[#This Row],[BW_GA]])-1)/(Backend!$B$4/100*Table1[[#This Row],[BW40_3705]]),"")</f>
        <v/>
      </c>
      <c r="I2989" s="7" t="str">
        <f>IF(Table1[[#This Row],[Is Data Valid]]=TRUE,((Table1[[#This Row],[Birthweight (grams)]]*1.1/Table1[[#This Row],[BW_GA]])-1)/(Backend!$B$4/100*Table1[[#This Row],[BW40_3705]]),"")</f>
        <v/>
      </c>
      <c r="J2989" s="7" t="str">
        <f>IF(Table1[[#This Row],[Is Data Valid]]=TRUE,_xlfn.NORM.S.DIST(Table1[[#This Row],[Birthweight Z-Score]],TRUE)*100,"")</f>
        <v/>
      </c>
      <c r="K2989" s="7" t="str">
        <f>IF(Table1[[#This Row],[Is Data Valid]]=TRUE,_xlfn.NORM.S.DIST(Table1[[#This Row],[Birthweight Z-Score (BW-10%)]],TRUE)*100,"")</f>
        <v/>
      </c>
      <c r="L2989" s="7" t="str">
        <f>IF(Table1[[#This Row],[Is Data Valid]]=TRUE,_xlfn.NORM.S.DIST(Table1[[#This Row],[Birthweight Z-Score (BW+10%)]],TRUE)*100,"")</f>
        <v/>
      </c>
    </row>
    <row r="2990" spans="1:12" x14ac:dyDescent="0.35">
      <c r="A2990" s="3"/>
      <c r="B2990" s="2"/>
      <c r="C2990" s="2"/>
      <c r="D2990" s="2" t="b">
        <f>IF(AND(NOT(ISBLANK(Table1[[#This Row],[Fetal Sex (Male, Female or Unknown)]])),ISNUMBER(Table1[[#This Row],[Birthweight (grams)]]),ISNUMBER(Table1[[#This Row],[Gestation (days)]])),TRUE,FALSE)</f>
        <v>0</v>
      </c>
      <c r="E2990" s="2" t="str">
        <f>IF(Table1[[#This Row],[Is Data Valid]]=TRUE,IF(Table1[[#This Row],[Fetal Sex (Male, Female or Unknown)]]="Male",Backend!$C$6,IF(Table1[[#This Row],[Fetal Sex (Male, Female or Unknown)]]="Female",Backend!$C$7,IF(Table1[[#This Row],[Fetal Sex (Male, Female or Unknown)]]="Unknown",Backend!$C$8,"Error"))),"")</f>
        <v/>
      </c>
      <c r="F2990" s="8" t="str">
        <f>IF(Table1[[#This Row],[Is Data Valid]]=TRUE,EXP(0.578+0.332*((Table1[[#This Row],[Gestation (days)]]+0.5)/7)-0.00354*((Table1[[#This Row],[Gestation (days)]]+0.5)/7)^2)*Table1[[#This Row],[BW40_3705]],"")</f>
        <v/>
      </c>
      <c r="G2990" s="2" t="str">
        <f>IF(Table1[[#This Row],[Is Data Valid]]=TRUE,((Table1[[#This Row],[Birthweight (grams)]]/Table1[[#This Row],[BW_GA]])-1)/(Backend!$B$4/100*Table1[[#This Row],[BW40_3705]]),"")</f>
        <v/>
      </c>
      <c r="H2990" s="7" t="str">
        <f>IF(Table1[[#This Row],[Is Data Valid]]=TRUE,((Table1[[#This Row],[Birthweight (grams)]]*0.9/Table1[[#This Row],[BW_GA]])-1)/(Backend!$B$4/100*Table1[[#This Row],[BW40_3705]]),"")</f>
        <v/>
      </c>
      <c r="I2990" s="7" t="str">
        <f>IF(Table1[[#This Row],[Is Data Valid]]=TRUE,((Table1[[#This Row],[Birthweight (grams)]]*1.1/Table1[[#This Row],[BW_GA]])-1)/(Backend!$B$4/100*Table1[[#This Row],[BW40_3705]]),"")</f>
        <v/>
      </c>
      <c r="J2990" s="7" t="str">
        <f>IF(Table1[[#This Row],[Is Data Valid]]=TRUE,_xlfn.NORM.S.DIST(Table1[[#This Row],[Birthweight Z-Score]],TRUE)*100,"")</f>
        <v/>
      </c>
      <c r="K2990" s="7" t="str">
        <f>IF(Table1[[#This Row],[Is Data Valid]]=TRUE,_xlfn.NORM.S.DIST(Table1[[#This Row],[Birthweight Z-Score (BW-10%)]],TRUE)*100,"")</f>
        <v/>
      </c>
      <c r="L2990" s="7" t="str">
        <f>IF(Table1[[#This Row],[Is Data Valid]]=TRUE,_xlfn.NORM.S.DIST(Table1[[#This Row],[Birthweight Z-Score (BW+10%)]],TRUE)*100,"")</f>
        <v/>
      </c>
    </row>
    <row r="2991" spans="1:12" x14ac:dyDescent="0.35">
      <c r="A2991" s="3"/>
      <c r="B2991" s="2"/>
      <c r="C2991" s="2"/>
      <c r="D2991" s="2" t="b">
        <f>IF(AND(NOT(ISBLANK(Table1[[#This Row],[Fetal Sex (Male, Female or Unknown)]])),ISNUMBER(Table1[[#This Row],[Birthweight (grams)]]),ISNUMBER(Table1[[#This Row],[Gestation (days)]])),TRUE,FALSE)</f>
        <v>0</v>
      </c>
      <c r="E2991" s="2" t="str">
        <f>IF(Table1[[#This Row],[Is Data Valid]]=TRUE,IF(Table1[[#This Row],[Fetal Sex (Male, Female or Unknown)]]="Male",Backend!$C$6,IF(Table1[[#This Row],[Fetal Sex (Male, Female or Unknown)]]="Female",Backend!$C$7,IF(Table1[[#This Row],[Fetal Sex (Male, Female or Unknown)]]="Unknown",Backend!$C$8,"Error"))),"")</f>
        <v/>
      </c>
      <c r="F2991" s="8" t="str">
        <f>IF(Table1[[#This Row],[Is Data Valid]]=TRUE,EXP(0.578+0.332*((Table1[[#This Row],[Gestation (days)]]+0.5)/7)-0.00354*((Table1[[#This Row],[Gestation (days)]]+0.5)/7)^2)*Table1[[#This Row],[BW40_3705]],"")</f>
        <v/>
      </c>
      <c r="G2991" s="2" t="str">
        <f>IF(Table1[[#This Row],[Is Data Valid]]=TRUE,((Table1[[#This Row],[Birthweight (grams)]]/Table1[[#This Row],[BW_GA]])-1)/(Backend!$B$4/100*Table1[[#This Row],[BW40_3705]]),"")</f>
        <v/>
      </c>
      <c r="H2991" s="7" t="str">
        <f>IF(Table1[[#This Row],[Is Data Valid]]=TRUE,((Table1[[#This Row],[Birthweight (grams)]]*0.9/Table1[[#This Row],[BW_GA]])-1)/(Backend!$B$4/100*Table1[[#This Row],[BW40_3705]]),"")</f>
        <v/>
      </c>
      <c r="I2991" s="7" t="str">
        <f>IF(Table1[[#This Row],[Is Data Valid]]=TRUE,((Table1[[#This Row],[Birthweight (grams)]]*1.1/Table1[[#This Row],[BW_GA]])-1)/(Backend!$B$4/100*Table1[[#This Row],[BW40_3705]]),"")</f>
        <v/>
      </c>
      <c r="J2991" s="7" t="str">
        <f>IF(Table1[[#This Row],[Is Data Valid]]=TRUE,_xlfn.NORM.S.DIST(Table1[[#This Row],[Birthweight Z-Score]],TRUE)*100,"")</f>
        <v/>
      </c>
      <c r="K2991" s="7" t="str">
        <f>IF(Table1[[#This Row],[Is Data Valid]]=TRUE,_xlfn.NORM.S.DIST(Table1[[#This Row],[Birthweight Z-Score (BW-10%)]],TRUE)*100,"")</f>
        <v/>
      </c>
      <c r="L2991" s="7" t="str">
        <f>IF(Table1[[#This Row],[Is Data Valid]]=TRUE,_xlfn.NORM.S.DIST(Table1[[#This Row],[Birthweight Z-Score (BW+10%)]],TRUE)*100,"")</f>
        <v/>
      </c>
    </row>
    <row r="2992" spans="1:12" x14ac:dyDescent="0.35">
      <c r="A2992" s="3"/>
      <c r="B2992" s="2"/>
      <c r="C2992" s="2"/>
      <c r="D2992" s="2" t="b">
        <f>IF(AND(NOT(ISBLANK(Table1[[#This Row],[Fetal Sex (Male, Female or Unknown)]])),ISNUMBER(Table1[[#This Row],[Birthweight (grams)]]),ISNUMBER(Table1[[#This Row],[Gestation (days)]])),TRUE,FALSE)</f>
        <v>0</v>
      </c>
      <c r="E2992" s="2" t="str">
        <f>IF(Table1[[#This Row],[Is Data Valid]]=TRUE,IF(Table1[[#This Row],[Fetal Sex (Male, Female or Unknown)]]="Male",Backend!$C$6,IF(Table1[[#This Row],[Fetal Sex (Male, Female or Unknown)]]="Female",Backend!$C$7,IF(Table1[[#This Row],[Fetal Sex (Male, Female or Unknown)]]="Unknown",Backend!$C$8,"Error"))),"")</f>
        <v/>
      </c>
      <c r="F2992" s="8" t="str">
        <f>IF(Table1[[#This Row],[Is Data Valid]]=TRUE,EXP(0.578+0.332*((Table1[[#This Row],[Gestation (days)]]+0.5)/7)-0.00354*((Table1[[#This Row],[Gestation (days)]]+0.5)/7)^2)*Table1[[#This Row],[BW40_3705]],"")</f>
        <v/>
      </c>
      <c r="G2992" s="2" t="str">
        <f>IF(Table1[[#This Row],[Is Data Valid]]=TRUE,((Table1[[#This Row],[Birthweight (grams)]]/Table1[[#This Row],[BW_GA]])-1)/(Backend!$B$4/100*Table1[[#This Row],[BW40_3705]]),"")</f>
        <v/>
      </c>
      <c r="H2992" s="7" t="str">
        <f>IF(Table1[[#This Row],[Is Data Valid]]=TRUE,((Table1[[#This Row],[Birthweight (grams)]]*0.9/Table1[[#This Row],[BW_GA]])-1)/(Backend!$B$4/100*Table1[[#This Row],[BW40_3705]]),"")</f>
        <v/>
      </c>
      <c r="I2992" s="7" t="str">
        <f>IF(Table1[[#This Row],[Is Data Valid]]=TRUE,((Table1[[#This Row],[Birthweight (grams)]]*1.1/Table1[[#This Row],[BW_GA]])-1)/(Backend!$B$4/100*Table1[[#This Row],[BW40_3705]]),"")</f>
        <v/>
      </c>
      <c r="J2992" s="7" t="str">
        <f>IF(Table1[[#This Row],[Is Data Valid]]=TRUE,_xlfn.NORM.S.DIST(Table1[[#This Row],[Birthweight Z-Score]],TRUE)*100,"")</f>
        <v/>
      </c>
      <c r="K2992" s="7" t="str">
        <f>IF(Table1[[#This Row],[Is Data Valid]]=TRUE,_xlfn.NORM.S.DIST(Table1[[#This Row],[Birthweight Z-Score (BW-10%)]],TRUE)*100,"")</f>
        <v/>
      </c>
      <c r="L2992" s="7" t="str">
        <f>IF(Table1[[#This Row],[Is Data Valid]]=TRUE,_xlfn.NORM.S.DIST(Table1[[#This Row],[Birthweight Z-Score (BW+10%)]],TRUE)*100,"")</f>
        <v/>
      </c>
    </row>
    <row r="2993" spans="1:12" x14ac:dyDescent="0.35">
      <c r="A2993" s="3"/>
      <c r="B2993" s="2"/>
      <c r="C2993" s="2"/>
      <c r="D2993" s="2" t="b">
        <f>IF(AND(NOT(ISBLANK(Table1[[#This Row],[Fetal Sex (Male, Female or Unknown)]])),ISNUMBER(Table1[[#This Row],[Birthweight (grams)]]),ISNUMBER(Table1[[#This Row],[Gestation (days)]])),TRUE,FALSE)</f>
        <v>0</v>
      </c>
      <c r="E2993" s="2" t="str">
        <f>IF(Table1[[#This Row],[Is Data Valid]]=TRUE,IF(Table1[[#This Row],[Fetal Sex (Male, Female or Unknown)]]="Male",Backend!$C$6,IF(Table1[[#This Row],[Fetal Sex (Male, Female or Unknown)]]="Female",Backend!$C$7,IF(Table1[[#This Row],[Fetal Sex (Male, Female or Unknown)]]="Unknown",Backend!$C$8,"Error"))),"")</f>
        <v/>
      </c>
      <c r="F2993" s="8" t="str">
        <f>IF(Table1[[#This Row],[Is Data Valid]]=TRUE,EXP(0.578+0.332*((Table1[[#This Row],[Gestation (days)]]+0.5)/7)-0.00354*((Table1[[#This Row],[Gestation (days)]]+0.5)/7)^2)*Table1[[#This Row],[BW40_3705]],"")</f>
        <v/>
      </c>
      <c r="G2993" s="2" t="str">
        <f>IF(Table1[[#This Row],[Is Data Valid]]=TRUE,((Table1[[#This Row],[Birthweight (grams)]]/Table1[[#This Row],[BW_GA]])-1)/(Backend!$B$4/100*Table1[[#This Row],[BW40_3705]]),"")</f>
        <v/>
      </c>
      <c r="H2993" s="7" t="str">
        <f>IF(Table1[[#This Row],[Is Data Valid]]=TRUE,((Table1[[#This Row],[Birthweight (grams)]]*0.9/Table1[[#This Row],[BW_GA]])-1)/(Backend!$B$4/100*Table1[[#This Row],[BW40_3705]]),"")</f>
        <v/>
      </c>
      <c r="I2993" s="7" t="str">
        <f>IF(Table1[[#This Row],[Is Data Valid]]=TRUE,((Table1[[#This Row],[Birthweight (grams)]]*1.1/Table1[[#This Row],[BW_GA]])-1)/(Backend!$B$4/100*Table1[[#This Row],[BW40_3705]]),"")</f>
        <v/>
      </c>
      <c r="J2993" s="7" t="str">
        <f>IF(Table1[[#This Row],[Is Data Valid]]=TRUE,_xlfn.NORM.S.DIST(Table1[[#This Row],[Birthweight Z-Score]],TRUE)*100,"")</f>
        <v/>
      </c>
      <c r="K2993" s="7" t="str">
        <f>IF(Table1[[#This Row],[Is Data Valid]]=TRUE,_xlfn.NORM.S.DIST(Table1[[#This Row],[Birthweight Z-Score (BW-10%)]],TRUE)*100,"")</f>
        <v/>
      </c>
      <c r="L2993" s="7" t="str">
        <f>IF(Table1[[#This Row],[Is Data Valid]]=TRUE,_xlfn.NORM.S.DIST(Table1[[#This Row],[Birthweight Z-Score (BW+10%)]],TRUE)*100,"")</f>
        <v/>
      </c>
    </row>
    <row r="2994" spans="1:12" x14ac:dyDescent="0.35">
      <c r="A2994" s="3"/>
      <c r="B2994" s="2"/>
      <c r="C2994" s="2"/>
      <c r="D2994" s="2" t="b">
        <f>IF(AND(NOT(ISBLANK(Table1[[#This Row],[Fetal Sex (Male, Female or Unknown)]])),ISNUMBER(Table1[[#This Row],[Birthweight (grams)]]),ISNUMBER(Table1[[#This Row],[Gestation (days)]])),TRUE,FALSE)</f>
        <v>0</v>
      </c>
      <c r="E2994" s="2" t="str">
        <f>IF(Table1[[#This Row],[Is Data Valid]]=TRUE,IF(Table1[[#This Row],[Fetal Sex (Male, Female or Unknown)]]="Male",Backend!$C$6,IF(Table1[[#This Row],[Fetal Sex (Male, Female or Unknown)]]="Female",Backend!$C$7,IF(Table1[[#This Row],[Fetal Sex (Male, Female or Unknown)]]="Unknown",Backend!$C$8,"Error"))),"")</f>
        <v/>
      </c>
      <c r="F2994" s="8" t="str">
        <f>IF(Table1[[#This Row],[Is Data Valid]]=TRUE,EXP(0.578+0.332*((Table1[[#This Row],[Gestation (days)]]+0.5)/7)-0.00354*((Table1[[#This Row],[Gestation (days)]]+0.5)/7)^2)*Table1[[#This Row],[BW40_3705]],"")</f>
        <v/>
      </c>
      <c r="G2994" s="2" t="str">
        <f>IF(Table1[[#This Row],[Is Data Valid]]=TRUE,((Table1[[#This Row],[Birthweight (grams)]]/Table1[[#This Row],[BW_GA]])-1)/(Backend!$B$4/100*Table1[[#This Row],[BW40_3705]]),"")</f>
        <v/>
      </c>
      <c r="H2994" s="7" t="str">
        <f>IF(Table1[[#This Row],[Is Data Valid]]=TRUE,((Table1[[#This Row],[Birthweight (grams)]]*0.9/Table1[[#This Row],[BW_GA]])-1)/(Backend!$B$4/100*Table1[[#This Row],[BW40_3705]]),"")</f>
        <v/>
      </c>
      <c r="I2994" s="7" t="str">
        <f>IF(Table1[[#This Row],[Is Data Valid]]=TRUE,((Table1[[#This Row],[Birthweight (grams)]]*1.1/Table1[[#This Row],[BW_GA]])-1)/(Backend!$B$4/100*Table1[[#This Row],[BW40_3705]]),"")</f>
        <v/>
      </c>
      <c r="J2994" s="7" t="str">
        <f>IF(Table1[[#This Row],[Is Data Valid]]=TRUE,_xlfn.NORM.S.DIST(Table1[[#This Row],[Birthweight Z-Score]],TRUE)*100,"")</f>
        <v/>
      </c>
      <c r="K2994" s="7" t="str">
        <f>IF(Table1[[#This Row],[Is Data Valid]]=TRUE,_xlfn.NORM.S.DIST(Table1[[#This Row],[Birthweight Z-Score (BW-10%)]],TRUE)*100,"")</f>
        <v/>
      </c>
      <c r="L2994" s="7" t="str">
        <f>IF(Table1[[#This Row],[Is Data Valid]]=TRUE,_xlfn.NORM.S.DIST(Table1[[#This Row],[Birthweight Z-Score (BW+10%)]],TRUE)*100,"")</f>
        <v/>
      </c>
    </row>
    <row r="2995" spans="1:12" x14ac:dyDescent="0.35">
      <c r="A2995" s="3"/>
      <c r="B2995" s="2"/>
      <c r="C2995" s="2"/>
      <c r="D2995" s="2" t="b">
        <f>IF(AND(NOT(ISBLANK(Table1[[#This Row],[Fetal Sex (Male, Female or Unknown)]])),ISNUMBER(Table1[[#This Row],[Birthweight (grams)]]),ISNUMBER(Table1[[#This Row],[Gestation (days)]])),TRUE,FALSE)</f>
        <v>0</v>
      </c>
      <c r="E2995" s="2" t="str">
        <f>IF(Table1[[#This Row],[Is Data Valid]]=TRUE,IF(Table1[[#This Row],[Fetal Sex (Male, Female or Unknown)]]="Male",Backend!$C$6,IF(Table1[[#This Row],[Fetal Sex (Male, Female or Unknown)]]="Female",Backend!$C$7,IF(Table1[[#This Row],[Fetal Sex (Male, Female or Unknown)]]="Unknown",Backend!$C$8,"Error"))),"")</f>
        <v/>
      </c>
      <c r="F2995" s="8" t="str">
        <f>IF(Table1[[#This Row],[Is Data Valid]]=TRUE,EXP(0.578+0.332*((Table1[[#This Row],[Gestation (days)]]+0.5)/7)-0.00354*((Table1[[#This Row],[Gestation (days)]]+0.5)/7)^2)*Table1[[#This Row],[BW40_3705]],"")</f>
        <v/>
      </c>
      <c r="G2995" s="2" t="str">
        <f>IF(Table1[[#This Row],[Is Data Valid]]=TRUE,((Table1[[#This Row],[Birthweight (grams)]]/Table1[[#This Row],[BW_GA]])-1)/(Backend!$B$4/100*Table1[[#This Row],[BW40_3705]]),"")</f>
        <v/>
      </c>
      <c r="H2995" s="7" t="str">
        <f>IF(Table1[[#This Row],[Is Data Valid]]=TRUE,((Table1[[#This Row],[Birthweight (grams)]]*0.9/Table1[[#This Row],[BW_GA]])-1)/(Backend!$B$4/100*Table1[[#This Row],[BW40_3705]]),"")</f>
        <v/>
      </c>
      <c r="I2995" s="7" t="str">
        <f>IF(Table1[[#This Row],[Is Data Valid]]=TRUE,((Table1[[#This Row],[Birthweight (grams)]]*1.1/Table1[[#This Row],[BW_GA]])-1)/(Backend!$B$4/100*Table1[[#This Row],[BW40_3705]]),"")</f>
        <v/>
      </c>
      <c r="J2995" s="7" t="str">
        <f>IF(Table1[[#This Row],[Is Data Valid]]=TRUE,_xlfn.NORM.S.DIST(Table1[[#This Row],[Birthweight Z-Score]],TRUE)*100,"")</f>
        <v/>
      </c>
      <c r="K2995" s="7" t="str">
        <f>IF(Table1[[#This Row],[Is Data Valid]]=TRUE,_xlfn.NORM.S.DIST(Table1[[#This Row],[Birthweight Z-Score (BW-10%)]],TRUE)*100,"")</f>
        <v/>
      </c>
      <c r="L2995" s="7" t="str">
        <f>IF(Table1[[#This Row],[Is Data Valid]]=TRUE,_xlfn.NORM.S.DIST(Table1[[#This Row],[Birthweight Z-Score (BW+10%)]],TRUE)*100,"")</f>
        <v/>
      </c>
    </row>
    <row r="2996" spans="1:12" x14ac:dyDescent="0.35">
      <c r="A2996" s="3"/>
      <c r="B2996" s="2"/>
      <c r="C2996" s="2"/>
      <c r="D2996" s="2" t="b">
        <f>IF(AND(NOT(ISBLANK(Table1[[#This Row],[Fetal Sex (Male, Female or Unknown)]])),ISNUMBER(Table1[[#This Row],[Birthweight (grams)]]),ISNUMBER(Table1[[#This Row],[Gestation (days)]])),TRUE,FALSE)</f>
        <v>0</v>
      </c>
      <c r="E2996" s="2" t="str">
        <f>IF(Table1[[#This Row],[Is Data Valid]]=TRUE,IF(Table1[[#This Row],[Fetal Sex (Male, Female or Unknown)]]="Male",Backend!$C$6,IF(Table1[[#This Row],[Fetal Sex (Male, Female or Unknown)]]="Female",Backend!$C$7,IF(Table1[[#This Row],[Fetal Sex (Male, Female or Unknown)]]="Unknown",Backend!$C$8,"Error"))),"")</f>
        <v/>
      </c>
      <c r="F2996" s="8" t="str">
        <f>IF(Table1[[#This Row],[Is Data Valid]]=TRUE,EXP(0.578+0.332*((Table1[[#This Row],[Gestation (days)]]+0.5)/7)-0.00354*((Table1[[#This Row],[Gestation (days)]]+0.5)/7)^2)*Table1[[#This Row],[BW40_3705]],"")</f>
        <v/>
      </c>
      <c r="G2996" s="2" t="str">
        <f>IF(Table1[[#This Row],[Is Data Valid]]=TRUE,((Table1[[#This Row],[Birthweight (grams)]]/Table1[[#This Row],[BW_GA]])-1)/(Backend!$B$4/100*Table1[[#This Row],[BW40_3705]]),"")</f>
        <v/>
      </c>
      <c r="H2996" s="7" t="str">
        <f>IF(Table1[[#This Row],[Is Data Valid]]=TRUE,((Table1[[#This Row],[Birthweight (grams)]]*0.9/Table1[[#This Row],[BW_GA]])-1)/(Backend!$B$4/100*Table1[[#This Row],[BW40_3705]]),"")</f>
        <v/>
      </c>
      <c r="I2996" s="7" t="str">
        <f>IF(Table1[[#This Row],[Is Data Valid]]=TRUE,((Table1[[#This Row],[Birthweight (grams)]]*1.1/Table1[[#This Row],[BW_GA]])-1)/(Backend!$B$4/100*Table1[[#This Row],[BW40_3705]]),"")</f>
        <v/>
      </c>
      <c r="J2996" s="7" t="str">
        <f>IF(Table1[[#This Row],[Is Data Valid]]=TRUE,_xlfn.NORM.S.DIST(Table1[[#This Row],[Birthweight Z-Score]],TRUE)*100,"")</f>
        <v/>
      </c>
      <c r="K2996" s="7" t="str">
        <f>IF(Table1[[#This Row],[Is Data Valid]]=TRUE,_xlfn.NORM.S.DIST(Table1[[#This Row],[Birthweight Z-Score (BW-10%)]],TRUE)*100,"")</f>
        <v/>
      </c>
      <c r="L2996" s="7" t="str">
        <f>IF(Table1[[#This Row],[Is Data Valid]]=TRUE,_xlfn.NORM.S.DIST(Table1[[#This Row],[Birthweight Z-Score (BW+10%)]],TRUE)*100,"")</f>
        <v/>
      </c>
    </row>
    <row r="2997" spans="1:12" x14ac:dyDescent="0.35">
      <c r="A2997" s="3"/>
      <c r="B2997" s="2"/>
      <c r="C2997" s="2"/>
      <c r="D2997" s="2" t="b">
        <f>IF(AND(NOT(ISBLANK(Table1[[#This Row],[Fetal Sex (Male, Female or Unknown)]])),ISNUMBER(Table1[[#This Row],[Birthweight (grams)]]),ISNUMBER(Table1[[#This Row],[Gestation (days)]])),TRUE,FALSE)</f>
        <v>0</v>
      </c>
      <c r="E2997" s="2" t="str">
        <f>IF(Table1[[#This Row],[Is Data Valid]]=TRUE,IF(Table1[[#This Row],[Fetal Sex (Male, Female or Unknown)]]="Male",Backend!$C$6,IF(Table1[[#This Row],[Fetal Sex (Male, Female or Unknown)]]="Female",Backend!$C$7,IF(Table1[[#This Row],[Fetal Sex (Male, Female or Unknown)]]="Unknown",Backend!$C$8,"Error"))),"")</f>
        <v/>
      </c>
      <c r="F2997" s="8" t="str">
        <f>IF(Table1[[#This Row],[Is Data Valid]]=TRUE,EXP(0.578+0.332*((Table1[[#This Row],[Gestation (days)]]+0.5)/7)-0.00354*((Table1[[#This Row],[Gestation (days)]]+0.5)/7)^2)*Table1[[#This Row],[BW40_3705]],"")</f>
        <v/>
      </c>
      <c r="G2997" s="2" t="str">
        <f>IF(Table1[[#This Row],[Is Data Valid]]=TRUE,((Table1[[#This Row],[Birthweight (grams)]]/Table1[[#This Row],[BW_GA]])-1)/(Backend!$B$4/100*Table1[[#This Row],[BW40_3705]]),"")</f>
        <v/>
      </c>
      <c r="H2997" s="7" t="str">
        <f>IF(Table1[[#This Row],[Is Data Valid]]=TRUE,((Table1[[#This Row],[Birthweight (grams)]]*0.9/Table1[[#This Row],[BW_GA]])-1)/(Backend!$B$4/100*Table1[[#This Row],[BW40_3705]]),"")</f>
        <v/>
      </c>
      <c r="I2997" s="7" t="str">
        <f>IF(Table1[[#This Row],[Is Data Valid]]=TRUE,((Table1[[#This Row],[Birthweight (grams)]]*1.1/Table1[[#This Row],[BW_GA]])-1)/(Backend!$B$4/100*Table1[[#This Row],[BW40_3705]]),"")</f>
        <v/>
      </c>
      <c r="J2997" s="7" t="str">
        <f>IF(Table1[[#This Row],[Is Data Valid]]=TRUE,_xlfn.NORM.S.DIST(Table1[[#This Row],[Birthweight Z-Score]],TRUE)*100,"")</f>
        <v/>
      </c>
      <c r="K2997" s="7" t="str">
        <f>IF(Table1[[#This Row],[Is Data Valid]]=TRUE,_xlfn.NORM.S.DIST(Table1[[#This Row],[Birthweight Z-Score (BW-10%)]],TRUE)*100,"")</f>
        <v/>
      </c>
      <c r="L2997" s="7" t="str">
        <f>IF(Table1[[#This Row],[Is Data Valid]]=TRUE,_xlfn.NORM.S.DIST(Table1[[#This Row],[Birthweight Z-Score (BW+10%)]],TRUE)*100,"")</f>
        <v/>
      </c>
    </row>
    <row r="2998" spans="1:12" x14ac:dyDescent="0.35">
      <c r="A2998" s="3"/>
      <c r="B2998" s="2"/>
      <c r="C2998" s="2"/>
      <c r="D2998" s="2" t="b">
        <f>IF(AND(NOT(ISBLANK(Table1[[#This Row],[Fetal Sex (Male, Female or Unknown)]])),ISNUMBER(Table1[[#This Row],[Birthweight (grams)]]),ISNUMBER(Table1[[#This Row],[Gestation (days)]])),TRUE,FALSE)</f>
        <v>0</v>
      </c>
      <c r="E2998" s="2" t="str">
        <f>IF(Table1[[#This Row],[Is Data Valid]]=TRUE,IF(Table1[[#This Row],[Fetal Sex (Male, Female or Unknown)]]="Male",Backend!$C$6,IF(Table1[[#This Row],[Fetal Sex (Male, Female or Unknown)]]="Female",Backend!$C$7,IF(Table1[[#This Row],[Fetal Sex (Male, Female or Unknown)]]="Unknown",Backend!$C$8,"Error"))),"")</f>
        <v/>
      </c>
      <c r="F2998" s="8" t="str">
        <f>IF(Table1[[#This Row],[Is Data Valid]]=TRUE,EXP(0.578+0.332*((Table1[[#This Row],[Gestation (days)]]+0.5)/7)-0.00354*((Table1[[#This Row],[Gestation (days)]]+0.5)/7)^2)*Table1[[#This Row],[BW40_3705]],"")</f>
        <v/>
      </c>
      <c r="G2998" s="2" t="str">
        <f>IF(Table1[[#This Row],[Is Data Valid]]=TRUE,((Table1[[#This Row],[Birthweight (grams)]]/Table1[[#This Row],[BW_GA]])-1)/(Backend!$B$4/100*Table1[[#This Row],[BW40_3705]]),"")</f>
        <v/>
      </c>
      <c r="H2998" s="7" t="str">
        <f>IF(Table1[[#This Row],[Is Data Valid]]=TRUE,((Table1[[#This Row],[Birthweight (grams)]]*0.9/Table1[[#This Row],[BW_GA]])-1)/(Backend!$B$4/100*Table1[[#This Row],[BW40_3705]]),"")</f>
        <v/>
      </c>
      <c r="I2998" s="7" t="str">
        <f>IF(Table1[[#This Row],[Is Data Valid]]=TRUE,((Table1[[#This Row],[Birthweight (grams)]]*1.1/Table1[[#This Row],[BW_GA]])-1)/(Backend!$B$4/100*Table1[[#This Row],[BW40_3705]]),"")</f>
        <v/>
      </c>
      <c r="J2998" s="7" t="str">
        <f>IF(Table1[[#This Row],[Is Data Valid]]=TRUE,_xlfn.NORM.S.DIST(Table1[[#This Row],[Birthweight Z-Score]],TRUE)*100,"")</f>
        <v/>
      </c>
      <c r="K2998" s="7" t="str">
        <f>IF(Table1[[#This Row],[Is Data Valid]]=TRUE,_xlfn.NORM.S.DIST(Table1[[#This Row],[Birthweight Z-Score (BW-10%)]],TRUE)*100,"")</f>
        <v/>
      </c>
      <c r="L2998" s="7" t="str">
        <f>IF(Table1[[#This Row],[Is Data Valid]]=TRUE,_xlfn.NORM.S.DIST(Table1[[#This Row],[Birthweight Z-Score (BW+10%)]],TRUE)*100,"")</f>
        <v/>
      </c>
    </row>
    <row r="2999" spans="1:12" x14ac:dyDescent="0.35">
      <c r="A2999" s="3"/>
      <c r="B2999" s="2"/>
      <c r="C2999" s="2"/>
      <c r="D2999" s="2" t="b">
        <f>IF(AND(NOT(ISBLANK(Table1[[#This Row],[Fetal Sex (Male, Female or Unknown)]])),ISNUMBER(Table1[[#This Row],[Birthweight (grams)]]),ISNUMBER(Table1[[#This Row],[Gestation (days)]])),TRUE,FALSE)</f>
        <v>0</v>
      </c>
      <c r="E2999" s="2" t="str">
        <f>IF(Table1[[#This Row],[Is Data Valid]]=TRUE,IF(Table1[[#This Row],[Fetal Sex (Male, Female or Unknown)]]="Male",Backend!$C$6,IF(Table1[[#This Row],[Fetal Sex (Male, Female or Unknown)]]="Female",Backend!$C$7,IF(Table1[[#This Row],[Fetal Sex (Male, Female or Unknown)]]="Unknown",Backend!$C$8,"Error"))),"")</f>
        <v/>
      </c>
      <c r="F2999" s="8" t="str">
        <f>IF(Table1[[#This Row],[Is Data Valid]]=TRUE,EXP(0.578+0.332*((Table1[[#This Row],[Gestation (days)]]+0.5)/7)-0.00354*((Table1[[#This Row],[Gestation (days)]]+0.5)/7)^2)*Table1[[#This Row],[BW40_3705]],"")</f>
        <v/>
      </c>
      <c r="G2999" s="2" t="str">
        <f>IF(Table1[[#This Row],[Is Data Valid]]=TRUE,((Table1[[#This Row],[Birthweight (grams)]]/Table1[[#This Row],[BW_GA]])-1)/(Backend!$B$4/100*Table1[[#This Row],[BW40_3705]]),"")</f>
        <v/>
      </c>
      <c r="H2999" s="7" t="str">
        <f>IF(Table1[[#This Row],[Is Data Valid]]=TRUE,((Table1[[#This Row],[Birthweight (grams)]]*0.9/Table1[[#This Row],[BW_GA]])-1)/(Backend!$B$4/100*Table1[[#This Row],[BW40_3705]]),"")</f>
        <v/>
      </c>
      <c r="I2999" s="7" t="str">
        <f>IF(Table1[[#This Row],[Is Data Valid]]=TRUE,((Table1[[#This Row],[Birthweight (grams)]]*1.1/Table1[[#This Row],[BW_GA]])-1)/(Backend!$B$4/100*Table1[[#This Row],[BW40_3705]]),"")</f>
        <v/>
      </c>
      <c r="J2999" s="7" t="str">
        <f>IF(Table1[[#This Row],[Is Data Valid]]=TRUE,_xlfn.NORM.S.DIST(Table1[[#This Row],[Birthweight Z-Score]],TRUE)*100,"")</f>
        <v/>
      </c>
      <c r="K2999" s="7" t="str">
        <f>IF(Table1[[#This Row],[Is Data Valid]]=TRUE,_xlfn.NORM.S.DIST(Table1[[#This Row],[Birthweight Z-Score (BW-10%)]],TRUE)*100,"")</f>
        <v/>
      </c>
      <c r="L2999" s="7" t="str">
        <f>IF(Table1[[#This Row],[Is Data Valid]]=TRUE,_xlfn.NORM.S.DIST(Table1[[#This Row],[Birthweight Z-Score (BW+10%)]],TRUE)*100,"")</f>
        <v/>
      </c>
    </row>
    <row r="3000" spans="1:12" x14ac:dyDescent="0.35">
      <c r="A3000" s="3"/>
      <c r="B3000" s="2"/>
      <c r="C3000" s="2"/>
      <c r="D3000" s="2" t="b">
        <f>IF(AND(NOT(ISBLANK(Table1[[#This Row],[Fetal Sex (Male, Female or Unknown)]])),ISNUMBER(Table1[[#This Row],[Birthweight (grams)]]),ISNUMBER(Table1[[#This Row],[Gestation (days)]])),TRUE,FALSE)</f>
        <v>0</v>
      </c>
      <c r="E3000" s="2" t="str">
        <f>IF(Table1[[#This Row],[Is Data Valid]]=TRUE,IF(Table1[[#This Row],[Fetal Sex (Male, Female or Unknown)]]="Male",Backend!$C$6,IF(Table1[[#This Row],[Fetal Sex (Male, Female or Unknown)]]="Female",Backend!$C$7,IF(Table1[[#This Row],[Fetal Sex (Male, Female or Unknown)]]="Unknown",Backend!$C$8,"Error"))),"")</f>
        <v/>
      </c>
      <c r="F3000" s="8" t="str">
        <f>IF(Table1[[#This Row],[Is Data Valid]]=TRUE,EXP(0.578+0.332*((Table1[[#This Row],[Gestation (days)]]+0.5)/7)-0.00354*((Table1[[#This Row],[Gestation (days)]]+0.5)/7)^2)*Table1[[#This Row],[BW40_3705]],"")</f>
        <v/>
      </c>
      <c r="G3000" s="2" t="str">
        <f>IF(Table1[[#This Row],[Is Data Valid]]=TRUE,((Table1[[#This Row],[Birthweight (grams)]]/Table1[[#This Row],[BW_GA]])-1)/(Backend!$B$4/100*Table1[[#This Row],[BW40_3705]]),"")</f>
        <v/>
      </c>
      <c r="H3000" s="7" t="str">
        <f>IF(Table1[[#This Row],[Is Data Valid]]=TRUE,((Table1[[#This Row],[Birthweight (grams)]]*0.9/Table1[[#This Row],[BW_GA]])-1)/(Backend!$B$4/100*Table1[[#This Row],[BW40_3705]]),"")</f>
        <v/>
      </c>
      <c r="I3000" s="7" t="str">
        <f>IF(Table1[[#This Row],[Is Data Valid]]=TRUE,((Table1[[#This Row],[Birthweight (grams)]]*1.1/Table1[[#This Row],[BW_GA]])-1)/(Backend!$B$4/100*Table1[[#This Row],[BW40_3705]]),"")</f>
        <v/>
      </c>
      <c r="J3000" s="7" t="str">
        <f>IF(Table1[[#This Row],[Is Data Valid]]=TRUE,_xlfn.NORM.S.DIST(Table1[[#This Row],[Birthweight Z-Score]],TRUE)*100,"")</f>
        <v/>
      </c>
      <c r="K3000" s="7" t="str">
        <f>IF(Table1[[#This Row],[Is Data Valid]]=TRUE,_xlfn.NORM.S.DIST(Table1[[#This Row],[Birthweight Z-Score (BW-10%)]],TRUE)*100,"")</f>
        <v/>
      </c>
      <c r="L3000" s="7" t="str">
        <f>IF(Table1[[#This Row],[Is Data Valid]]=TRUE,_xlfn.NORM.S.DIST(Table1[[#This Row],[Birthweight Z-Score (BW+10%)]],TRUE)*100,"")</f>
        <v/>
      </c>
    </row>
    <row r="3001" spans="1:12" x14ac:dyDescent="0.35">
      <c r="A3001" s="3"/>
      <c r="B3001" s="2"/>
      <c r="C3001" s="2"/>
      <c r="D3001" s="2" t="b">
        <f>IF(AND(NOT(ISBLANK(Table1[[#This Row],[Fetal Sex (Male, Female or Unknown)]])),ISNUMBER(Table1[[#This Row],[Birthweight (grams)]]),ISNUMBER(Table1[[#This Row],[Gestation (days)]])),TRUE,FALSE)</f>
        <v>0</v>
      </c>
      <c r="E3001" s="2" t="str">
        <f>IF(Table1[[#This Row],[Is Data Valid]]=TRUE,IF(Table1[[#This Row],[Fetal Sex (Male, Female or Unknown)]]="Male",Backend!$C$6,IF(Table1[[#This Row],[Fetal Sex (Male, Female or Unknown)]]="Female",Backend!$C$7,IF(Table1[[#This Row],[Fetal Sex (Male, Female or Unknown)]]="Unknown",Backend!$C$8,"Error"))),"")</f>
        <v/>
      </c>
      <c r="F3001" s="8" t="str">
        <f>IF(Table1[[#This Row],[Is Data Valid]]=TRUE,EXP(0.578+0.332*((Table1[[#This Row],[Gestation (days)]]+0.5)/7)-0.00354*((Table1[[#This Row],[Gestation (days)]]+0.5)/7)^2)*Table1[[#This Row],[BW40_3705]],"")</f>
        <v/>
      </c>
      <c r="G3001" s="2" t="str">
        <f>IF(Table1[[#This Row],[Is Data Valid]]=TRUE,((Table1[[#This Row],[Birthweight (grams)]]/Table1[[#This Row],[BW_GA]])-1)/(Backend!$B$4/100*Table1[[#This Row],[BW40_3705]]),"")</f>
        <v/>
      </c>
      <c r="H3001" s="7" t="str">
        <f>IF(Table1[[#This Row],[Is Data Valid]]=TRUE,((Table1[[#This Row],[Birthweight (grams)]]*0.9/Table1[[#This Row],[BW_GA]])-1)/(Backend!$B$4/100*Table1[[#This Row],[BW40_3705]]),"")</f>
        <v/>
      </c>
      <c r="I3001" s="7" t="str">
        <f>IF(Table1[[#This Row],[Is Data Valid]]=TRUE,((Table1[[#This Row],[Birthweight (grams)]]*1.1/Table1[[#This Row],[BW_GA]])-1)/(Backend!$B$4/100*Table1[[#This Row],[BW40_3705]]),"")</f>
        <v/>
      </c>
      <c r="J3001" s="7" t="str">
        <f>IF(Table1[[#This Row],[Is Data Valid]]=TRUE,_xlfn.NORM.S.DIST(Table1[[#This Row],[Birthweight Z-Score]],TRUE)*100,"")</f>
        <v/>
      </c>
      <c r="K3001" s="7" t="str">
        <f>IF(Table1[[#This Row],[Is Data Valid]]=TRUE,_xlfn.NORM.S.DIST(Table1[[#This Row],[Birthweight Z-Score (BW-10%)]],TRUE)*100,"")</f>
        <v/>
      </c>
      <c r="L3001" s="7" t="str">
        <f>IF(Table1[[#This Row],[Is Data Valid]]=TRUE,_xlfn.NORM.S.DIST(Table1[[#This Row],[Birthweight Z-Score (BW+10%)]],TRUE)*100,"")</f>
        <v/>
      </c>
    </row>
    <row r="3002" spans="1:12" x14ac:dyDescent="0.35">
      <c r="A3002" s="3"/>
      <c r="B3002" s="2"/>
      <c r="C3002" s="2"/>
      <c r="D3002" s="2" t="b">
        <f>IF(AND(NOT(ISBLANK(Table1[[#This Row],[Fetal Sex (Male, Female or Unknown)]])),ISNUMBER(Table1[[#This Row],[Birthweight (grams)]]),ISNUMBER(Table1[[#This Row],[Gestation (days)]])),TRUE,FALSE)</f>
        <v>0</v>
      </c>
      <c r="E3002" s="2" t="str">
        <f>IF(Table1[[#This Row],[Is Data Valid]]=TRUE,IF(Table1[[#This Row],[Fetal Sex (Male, Female or Unknown)]]="Male",Backend!$C$6,IF(Table1[[#This Row],[Fetal Sex (Male, Female or Unknown)]]="Female",Backend!$C$7,IF(Table1[[#This Row],[Fetal Sex (Male, Female or Unknown)]]="Unknown",Backend!$C$8,"Error"))),"")</f>
        <v/>
      </c>
      <c r="F3002" s="8" t="str">
        <f>IF(Table1[[#This Row],[Is Data Valid]]=TRUE,EXP(0.578+0.332*((Table1[[#This Row],[Gestation (days)]]+0.5)/7)-0.00354*((Table1[[#This Row],[Gestation (days)]]+0.5)/7)^2)*Table1[[#This Row],[BW40_3705]],"")</f>
        <v/>
      </c>
      <c r="G3002" s="2" t="str">
        <f>IF(Table1[[#This Row],[Is Data Valid]]=TRUE,((Table1[[#This Row],[Birthweight (grams)]]/Table1[[#This Row],[BW_GA]])-1)/(Backend!$B$4/100*Table1[[#This Row],[BW40_3705]]),"")</f>
        <v/>
      </c>
      <c r="H3002" s="7" t="str">
        <f>IF(Table1[[#This Row],[Is Data Valid]]=TRUE,((Table1[[#This Row],[Birthweight (grams)]]*0.9/Table1[[#This Row],[BW_GA]])-1)/(Backend!$B$4/100*Table1[[#This Row],[BW40_3705]]),"")</f>
        <v/>
      </c>
      <c r="I3002" s="7" t="str">
        <f>IF(Table1[[#This Row],[Is Data Valid]]=TRUE,((Table1[[#This Row],[Birthweight (grams)]]*1.1/Table1[[#This Row],[BW_GA]])-1)/(Backend!$B$4/100*Table1[[#This Row],[BW40_3705]]),"")</f>
        <v/>
      </c>
      <c r="J3002" s="7" t="str">
        <f>IF(Table1[[#This Row],[Is Data Valid]]=TRUE,_xlfn.NORM.S.DIST(Table1[[#This Row],[Birthweight Z-Score]],TRUE)*100,"")</f>
        <v/>
      </c>
      <c r="K3002" s="7" t="str">
        <f>IF(Table1[[#This Row],[Is Data Valid]]=TRUE,_xlfn.NORM.S.DIST(Table1[[#This Row],[Birthweight Z-Score (BW-10%)]],TRUE)*100,"")</f>
        <v/>
      </c>
      <c r="L3002" s="7" t="str">
        <f>IF(Table1[[#This Row],[Is Data Valid]]=TRUE,_xlfn.NORM.S.DIST(Table1[[#This Row],[Birthweight Z-Score (BW+10%)]],TRUE)*100,"")</f>
        <v/>
      </c>
    </row>
    <row r="3003" spans="1:12" x14ac:dyDescent="0.35">
      <c r="A3003" s="3"/>
      <c r="B3003" s="2"/>
      <c r="C3003" s="2"/>
      <c r="D3003" s="2" t="b">
        <f>IF(AND(NOT(ISBLANK(Table1[[#This Row],[Fetal Sex (Male, Female or Unknown)]])),ISNUMBER(Table1[[#This Row],[Birthweight (grams)]]),ISNUMBER(Table1[[#This Row],[Gestation (days)]])),TRUE,FALSE)</f>
        <v>0</v>
      </c>
      <c r="E3003" s="2" t="str">
        <f>IF(Table1[[#This Row],[Is Data Valid]]=TRUE,IF(Table1[[#This Row],[Fetal Sex (Male, Female or Unknown)]]="Male",Backend!$C$6,IF(Table1[[#This Row],[Fetal Sex (Male, Female or Unknown)]]="Female",Backend!$C$7,IF(Table1[[#This Row],[Fetal Sex (Male, Female or Unknown)]]="Unknown",Backend!$C$8,"Error"))),"")</f>
        <v/>
      </c>
      <c r="F3003" s="8" t="str">
        <f>IF(Table1[[#This Row],[Is Data Valid]]=TRUE,EXP(0.578+0.332*((Table1[[#This Row],[Gestation (days)]]+0.5)/7)-0.00354*((Table1[[#This Row],[Gestation (days)]]+0.5)/7)^2)*Table1[[#This Row],[BW40_3705]],"")</f>
        <v/>
      </c>
      <c r="G3003" s="2" t="str">
        <f>IF(Table1[[#This Row],[Is Data Valid]]=TRUE,((Table1[[#This Row],[Birthweight (grams)]]/Table1[[#This Row],[BW_GA]])-1)/(Backend!$B$4/100*Table1[[#This Row],[BW40_3705]]),"")</f>
        <v/>
      </c>
      <c r="H3003" s="7" t="str">
        <f>IF(Table1[[#This Row],[Is Data Valid]]=TRUE,((Table1[[#This Row],[Birthweight (grams)]]*0.9/Table1[[#This Row],[BW_GA]])-1)/(Backend!$B$4/100*Table1[[#This Row],[BW40_3705]]),"")</f>
        <v/>
      </c>
      <c r="I3003" s="7" t="str">
        <f>IF(Table1[[#This Row],[Is Data Valid]]=TRUE,((Table1[[#This Row],[Birthweight (grams)]]*1.1/Table1[[#This Row],[BW_GA]])-1)/(Backend!$B$4/100*Table1[[#This Row],[BW40_3705]]),"")</f>
        <v/>
      </c>
      <c r="J3003" s="7" t="str">
        <f>IF(Table1[[#This Row],[Is Data Valid]]=TRUE,_xlfn.NORM.S.DIST(Table1[[#This Row],[Birthweight Z-Score]],TRUE)*100,"")</f>
        <v/>
      </c>
      <c r="K3003" s="7" t="str">
        <f>IF(Table1[[#This Row],[Is Data Valid]]=TRUE,_xlfn.NORM.S.DIST(Table1[[#This Row],[Birthweight Z-Score (BW-10%)]],TRUE)*100,"")</f>
        <v/>
      </c>
      <c r="L3003" s="7" t="str">
        <f>IF(Table1[[#This Row],[Is Data Valid]]=TRUE,_xlfn.NORM.S.DIST(Table1[[#This Row],[Birthweight Z-Score (BW+10%)]],TRUE)*100,"")</f>
        <v/>
      </c>
    </row>
    <row r="3004" spans="1:12" x14ac:dyDescent="0.35">
      <c r="A3004" s="3"/>
      <c r="B3004" s="2"/>
      <c r="C3004" s="2"/>
      <c r="D3004" s="2" t="b">
        <f>IF(AND(NOT(ISBLANK(Table1[[#This Row],[Fetal Sex (Male, Female or Unknown)]])),ISNUMBER(Table1[[#This Row],[Birthweight (grams)]]),ISNUMBER(Table1[[#This Row],[Gestation (days)]])),TRUE,FALSE)</f>
        <v>0</v>
      </c>
      <c r="E3004" s="2" t="str">
        <f>IF(Table1[[#This Row],[Is Data Valid]]=TRUE,IF(Table1[[#This Row],[Fetal Sex (Male, Female or Unknown)]]="Male",Backend!$C$6,IF(Table1[[#This Row],[Fetal Sex (Male, Female or Unknown)]]="Female",Backend!$C$7,IF(Table1[[#This Row],[Fetal Sex (Male, Female or Unknown)]]="Unknown",Backend!$C$8,"Error"))),"")</f>
        <v/>
      </c>
      <c r="F3004" s="8" t="str">
        <f>IF(Table1[[#This Row],[Is Data Valid]]=TRUE,EXP(0.578+0.332*((Table1[[#This Row],[Gestation (days)]]+0.5)/7)-0.00354*((Table1[[#This Row],[Gestation (days)]]+0.5)/7)^2)*Table1[[#This Row],[BW40_3705]],"")</f>
        <v/>
      </c>
      <c r="G3004" s="2" t="str">
        <f>IF(Table1[[#This Row],[Is Data Valid]]=TRUE,((Table1[[#This Row],[Birthweight (grams)]]/Table1[[#This Row],[BW_GA]])-1)/(Backend!$B$4/100*Table1[[#This Row],[BW40_3705]]),"")</f>
        <v/>
      </c>
      <c r="H3004" s="7" t="str">
        <f>IF(Table1[[#This Row],[Is Data Valid]]=TRUE,((Table1[[#This Row],[Birthweight (grams)]]*0.9/Table1[[#This Row],[BW_GA]])-1)/(Backend!$B$4/100*Table1[[#This Row],[BW40_3705]]),"")</f>
        <v/>
      </c>
      <c r="I3004" s="7" t="str">
        <f>IF(Table1[[#This Row],[Is Data Valid]]=TRUE,((Table1[[#This Row],[Birthweight (grams)]]*1.1/Table1[[#This Row],[BW_GA]])-1)/(Backend!$B$4/100*Table1[[#This Row],[BW40_3705]]),"")</f>
        <v/>
      </c>
      <c r="J3004" s="7" t="str">
        <f>IF(Table1[[#This Row],[Is Data Valid]]=TRUE,_xlfn.NORM.S.DIST(Table1[[#This Row],[Birthweight Z-Score]],TRUE)*100,"")</f>
        <v/>
      </c>
      <c r="K3004" s="7" t="str">
        <f>IF(Table1[[#This Row],[Is Data Valid]]=TRUE,_xlfn.NORM.S.DIST(Table1[[#This Row],[Birthweight Z-Score (BW-10%)]],TRUE)*100,"")</f>
        <v/>
      </c>
      <c r="L3004" s="7" t="str">
        <f>IF(Table1[[#This Row],[Is Data Valid]]=TRUE,_xlfn.NORM.S.DIST(Table1[[#This Row],[Birthweight Z-Score (BW+10%)]],TRUE)*100,"")</f>
        <v/>
      </c>
    </row>
    <row r="3005" spans="1:12" x14ac:dyDescent="0.35">
      <c r="A3005" s="3"/>
      <c r="B3005" s="2"/>
      <c r="C3005" s="2"/>
      <c r="D3005" s="2" t="b">
        <f>IF(AND(NOT(ISBLANK(Table1[[#This Row],[Fetal Sex (Male, Female or Unknown)]])),ISNUMBER(Table1[[#This Row],[Birthweight (grams)]]),ISNUMBER(Table1[[#This Row],[Gestation (days)]])),TRUE,FALSE)</f>
        <v>0</v>
      </c>
      <c r="E3005" s="2" t="str">
        <f>IF(Table1[[#This Row],[Is Data Valid]]=TRUE,IF(Table1[[#This Row],[Fetal Sex (Male, Female or Unknown)]]="Male",Backend!$C$6,IF(Table1[[#This Row],[Fetal Sex (Male, Female or Unknown)]]="Female",Backend!$C$7,IF(Table1[[#This Row],[Fetal Sex (Male, Female or Unknown)]]="Unknown",Backend!$C$8,"Error"))),"")</f>
        <v/>
      </c>
      <c r="F3005" s="8" t="str">
        <f>IF(Table1[[#This Row],[Is Data Valid]]=TRUE,EXP(0.578+0.332*((Table1[[#This Row],[Gestation (days)]]+0.5)/7)-0.00354*((Table1[[#This Row],[Gestation (days)]]+0.5)/7)^2)*Table1[[#This Row],[BW40_3705]],"")</f>
        <v/>
      </c>
      <c r="G3005" s="2" t="str">
        <f>IF(Table1[[#This Row],[Is Data Valid]]=TRUE,((Table1[[#This Row],[Birthweight (grams)]]/Table1[[#This Row],[BW_GA]])-1)/(Backend!$B$4/100*Table1[[#This Row],[BW40_3705]]),"")</f>
        <v/>
      </c>
      <c r="H3005" s="7" t="str">
        <f>IF(Table1[[#This Row],[Is Data Valid]]=TRUE,((Table1[[#This Row],[Birthweight (grams)]]*0.9/Table1[[#This Row],[BW_GA]])-1)/(Backend!$B$4/100*Table1[[#This Row],[BW40_3705]]),"")</f>
        <v/>
      </c>
      <c r="I3005" s="7" t="str">
        <f>IF(Table1[[#This Row],[Is Data Valid]]=TRUE,((Table1[[#This Row],[Birthweight (grams)]]*1.1/Table1[[#This Row],[BW_GA]])-1)/(Backend!$B$4/100*Table1[[#This Row],[BW40_3705]]),"")</f>
        <v/>
      </c>
      <c r="J3005" s="7" t="str">
        <f>IF(Table1[[#This Row],[Is Data Valid]]=TRUE,_xlfn.NORM.S.DIST(Table1[[#This Row],[Birthweight Z-Score]],TRUE)*100,"")</f>
        <v/>
      </c>
      <c r="K3005" s="7" t="str">
        <f>IF(Table1[[#This Row],[Is Data Valid]]=TRUE,_xlfn.NORM.S.DIST(Table1[[#This Row],[Birthweight Z-Score (BW-10%)]],TRUE)*100,"")</f>
        <v/>
      </c>
      <c r="L3005" s="7" t="str">
        <f>IF(Table1[[#This Row],[Is Data Valid]]=TRUE,_xlfn.NORM.S.DIST(Table1[[#This Row],[Birthweight Z-Score (BW+10%)]],TRUE)*100,"")</f>
        <v/>
      </c>
    </row>
    <row r="3006" spans="1:12" x14ac:dyDescent="0.35">
      <c r="A3006" s="3"/>
      <c r="B3006" s="2"/>
      <c r="C3006" s="2"/>
      <c r="D3006" s="2" t="b">
        <f>IF(AND(NOT(ISBLANK(Table1[[#This Row],[Fetal Sex (Male, Female or Unknown)]])),ISNUMBER(Table1[[#This Row],[Birthweight (grams)]]),ISNUMBER(Table1[[#This Row],[Gestation (days)]])),TRUE,FALSE)</f>
        <v>0</v>
      </c>
      <c r="E3006" s="2" t="str">
        <f>IF(Table1[[#This Row],[Is Data Valid]]=TRUE,IF(Table1[[#This Row],[Fetal Sex (Male, Female or Unknown)]]="Male",Backend!$C$6,IF(Table1[[#This Row],[Fetal Sex (Male, Female or Unknown)]]="Female",Backend!$C$7,IF(Table1[[#This Row],[Fetal Sex (Male, Female or Unknown)]]="Unknown",Backend!$C$8,"Error"))),"")</f>
        <v/>
      </c>
      <c r="F3006" s="8" t="str">
        <f>IF(Table1[[#This Row],[Is Data Valid]]=TRUE,EXP(0.578+0.332*((Table1[[#This Row],[Gestation (days)]]+0.5)/7)-0.00354*((Table1[[#This Row],[Gestation (days)]]+0.5)/7)^2)*Table1[[#This Row],[BW40_3705]],"")</f>
        <v/>
      </c>
      <c r="G3006" s="2" t="str">
        <f>IF(Table1[[#This Row],[Is Data Valid]]=TRUE,((Table1[[#This Row],[Birthweight (grams)]]/Table1[[#This Row],[BW_GA]])-1)/(Backend!$B$4/100*Table1[[#This Row],[BW40_3705]]),"")</f>
        <v/>
      </c>
      <c r="H3006" s="7" t="str">
        <f>IF(Table1[[#This Row],[Is Data Valid]]=TRUE,((Table1[[#This Row],[Birthweight (grams)]]*0.9/Table1[[#This Row],[BW_GA]])-1)/(Backend!$B$4/100*Table1[[#This Row],[BW40_3705]]),"")</f>
        <v/>
      </c>
      <c r="I3006" s="7" t="str">
        <f>IF(Table1[[#This Row],[Is Data Valid]]=TRUE,((Table1[[#This Row],[Birthweight (grams)]]*1.1/Table1[[#This Row],[BW_GA]])-1)/(Backend!$B$4/100*Table1[[#This Row],[BW40_3705]]),"")</f>
        <v/>
      </c>
      <c r="J3006" s="7" t="str">
        <f>IF(Table1[[#This Row],[Is Data Valid]]=TRUE,_xlfn.NORM.S.DIST(Table1[[#This Row],[Birthweight Z-Score]],TRUE)*100,"")</f>
        <v/>
      </c>
      <c r="K3006" s="7" t="str">
        <f>IF(Table1[[#This Row],[Is Data Valid]]=TRUE,_xlfn.NORM.S.DIST(Table1[[#This Row],[Birthweight Z-Score (BW-10%)]],TRUE)*100,"")</f>
        <v/>
      </c>
      <c r="L3006" s="7" t="str">
        <f>IF(Table1[[#This Row],[Is Data Valid]]=TRUE,_xlfn.NORM.S.DIST(Table1[[#This Row],[Birthweight Z-Score (BW+10%)]],TRUE)*100,"")</f>
        <v/>
      </c>
    </row>
    <row r="3007" spans="1:12" x14ac:dyDescent="0.35">
      <c r="A3007" s="3"/>
      <c r="B3007" s="2"/>
      <c r="C3007" s="2"/>
      <c r="D3007" s="2" t="b">
        <f>IF(AND(NOT(ISBLANK(Table1[[#This Row],[Fetal Sex (Male, Female or Unknown)]])),ISNUMBER(Table1[[#This Row],[Birthweight (grams)]]),ISNUMBER(Table1[[#This Row],[Gestation (days)]])),TRUE,FALSE)</f>
        <v>0</v>
      </c>
      <c r="E3007" s="2" t="str">
        <f>IF(Table1[[#This Row],[Is Data Valid]]=TRUE,IF(Table1[[#This Row],[Fetal Sex (Male, Female or Unknown)]]="Male",Backend!$C$6,IF(Table1[[#This Row],[Fetal Sex (Male, Female or Unknown)]]="Female",Backend!$C$7,IF(Table1[[#This Row],[Fetal Sex (Male, Female or Unknown)]]="Unknown",Backend!$C$8,"Error"))),"")</f>
        <v/>
      </c>
      <c r="F3007" s="8" t="str">
        <f>IF(Table1[[#This Row],[Is Data Valid]]=TRUE,EXP(0.578+0.332*((Table1[[#This Row],[Gestation (days)]]+0.5)/7)-0.00354*((Table1[[#This Row],[Gestation (days)]]+0.5)/7)^2)*Table1[[#This Row],[BW40_3705]],"")</f>
        <v/>
      </c>
      <c r="G3007" s="2" t="str">
        <f>IF(Table1[[#This Row],[Is Data Valid]]=TRUE,((Table1[[#This Row],[Birthweight (grams)]]/Table1[[#This Row],[BW_GA]])-1)/(Backend!$B$4/100*Table1[[#This Row],[BW40_3705]]),"")</f>
        <v/>
      </c>
      <c r="H3007" s="7" t="str">
        <f>IF(Table1[[#This Row],[Is Data Valid]]=TRUE,((Table1[[#This Row],[Birthweight (grams)]]*0.9/Table1[[#This Row],[BW_GA]])-1)/(Backend!$B$4/100*Table1[[#This Row],[BW40_3705]]),"")</f>
        <v/>
      </c>
      <c r="I3007" s="7" t="str">
        <f>IF(Table1[[#This Row],[Is Data Valid]]=TRUE,((Table1[[#This Row],[Birthweight (grams)]]*1.1/Table1[[#This Row],[BW_GA]])-1)/(Backend!$B$4/100*Table1[[#This Row],[BW40_3705]]),"")</f>
        <v/>
      </c>
      <c r="J3007" s="7" t="str">
        <f>IF(Table1[[#This Row],[Is Data Valid]]=TRUE,_xlfn.NORM.S.DIST(Table1[[#This Row],[Birthweight Z-Score]],TRUE)*100,"")</f>
        <v/>
      </c>
      <c r="K3007" s="7" t="str">
        <f>IF(Table1[[#This Row],[Is Data Valid]]=TRUE,_xlfn.NORM.S.DIST(Table1[[#This Row],[Birthweight Z-Score (BW-10%)]],TRUE)*100,"")</f>
        <v/>
      </c>
      <c r="L3007" s="7" t="str">
        <f>IF(Table1[[#This Row],[Is Data Valid]]=TRUE,_xlfn.NORM.S.DIST(Table1[[#This Row],[Birthweight Z-Score (BW+10%)]],TRUE)*100,"")</f>
        <v/>
      </c>
    </row>
    <row r="3008" spans="1:12" x14ac:dyDescent="0.35">
      <c r="A3008" s="3"/>
      <c r="B3008" s="2"/>
      <c r="C3008" s="2"/>
      <c r="D3008" s="2" t="b">
        <f>IF(AND(NOT(ISBLANK(Table1[[#This Row],[Fetal Sex (Male, Female or Unknown)]])),ISNUMBER(Table1[[#This Row],[Birthweight (grams)]]),ISNUMBER(Table1[[#This Row],[Gestation (days)]])),TRUE,FALSE)</f>
        <v>0</v>
      </c>
      <c r="E3008" s="2" t="str">
        <f>IF(Table1[[#This Row],[Is Data Valid]]=TRUE,IF(Table1[[#This Row],[Fetal Sex (Male, Female or Unknown)]]="Male",Backend!$C$6,IF(Table1[[#This Row],[Fetal Sex (Male, Female or Unknown)]]="Female",Backend!$C$7,IF(Table1[[#This Row],[Fetal Sex (Male, Female or Unknown)]]="Unknown",Backend!$C$8,"Error"))),"")</f>
        <v/>
      </c>
      <c r="F3008" s="8" t="str">
        <f>IF(Table1[[#This Row],[Is Data Valid]]=TRUE,EXP(0.578+0.332*((Table1[[#This Row],[Gestation (days)]]+0.5)/7)-0.00354*((Table1[[#This Row],[Gestation (days)]]+0.5)/7)^2)*Table1[[#This Row],[BW40_3705]],"")</f>
        <v/>
      </c>
      <c r="G3008" s="2" t="str">
        <f>IF(Table1[[#This Row],[Is Data Valid]]=TRUE,((Table1[[#This Row],[Birthweight (grams)]]/Table1[[#This Row],[BW_GA]])-1)/(Backend!$B$4/100*Table1[[#This Row],[BW40_3705]]),"")</f>
        <v/>
      </c>
      <c r="H3008" s="7" t="str">
        <f>IF(Table1[[#This Row],[Is Data Valid]]=TRUE,((Table1[[#This Row],[Birthweight (grams)]]*0.9/Table1[[#This Row],[BW_GA]])-1)/(Backend!$B$4/100*Table1[[#This Row],[BW40_3705]]),"")</f>
        <v/>
      </c>
      <c r="I3008" s="7" t="str">
        <f>IF(Table1[[#This Row],[Is Data Valid]]=TRUE,((Table1[[#This Row],[Birthweight (grams)]]*1.1/Table1[[#This Row],[BW_GA]])-1)/(Backend!$B$4/100*Table1[[#This Row],[BW40_3705]]),"")</f>
        <v/>
      </c>
      <c r="J3008" s="7" t="str">
        <f>IF(Table1[[#This Row],[Is Data Valid]]=TRUE,_xlfn.NORM.S.DIST(Table1[[#This Row],[Birthweight Z-Score]],TRUE)*100,"")</f>
        <v/>
      </c>
      <c r="K3008" s="7" t="str">
        <f>IF(Table1[[#This Row],[Is Data Valid]]=TRUE,_xlfn.NORM.S.DIST(Table1[[#This Row],[Birthweight Z-Score (BW-10%)]],TRUE)*100,"")</f>
        <v/>
      </c>
      <c r="L3008" s="7" t="str">
        <f>IF(Table1[[#This Row],[Is Data Valid]]=TRUE,_xlfn.NORM.S.DIST(Table1[[#This Row],[Birthweight Z-Score (BW+10%)]],TRUE)*100,"")</f>
        <v/>
      </c>
    </row>
    <row r="3009" spans="1:12" x14ac:dyDescent="0.35">
      <c r="A3009" s="3"/>
      <c r="B3009" s="2"/>
      <c r="C3009" s="2"/>
      <c r="D3009" s="2" t="b">
        <f>IF(AND(NOT(ISBLANK(Table1[[#This Row],[Fetal Sex (Male, Female or Unknown)]])),ISNUMBER(Table1[[#This Row],[Birthweight (grams)]]),ISNUMBER(Table1[[#This Row],[Gestation (days)]])),TRUE,FALSE)</f>
        <v>0</v>
      </c>
      <c r="E3009" s="2" t="str">
        <f>IF(Table1[[#This Row],[Is Data Valid]]=TRUE,IF(Table1[[#This Row],[Fetal Sex (Male, Female or Unknown)]]="Male",Backend!$C$6,IF(Table1[[#This Row],[Fetal Sex (Male, Female or Unknown)]]="Female",Backend!$C$7,IF(Table1[[#This Row],[Fetal Sex (Male, Female or Unknown)]]="Unknown",Backend!$C$8,"Error"))),"")</f>
        <v/>
      </c>
      <c r="F3009" s="8" t="str">
        <f>IF(Table1[[#This Row],[Is Data Valid]]=TRUE,EXP(0.578+0.332*((Table1[[#This Row],[Gestation (days)]]+0.5)/7)-0.00354*((Table1[[#This Row],[Gestation (days)]]+0.5)/7)^2)*Table1[[#This Row],[BW40_3705]],"")</f>
        <v/>
      </c>
      <c r="G3009" s="2" t="str">
        <f>IF(Table1[[#This Row],[Is Data Valid]]=TRUE,((Table1[[#This Row],[Birthweight (grams)]]/Table1[[#This Row],[BW_GA]])-1)/(Backend!$B$4/100*Table1[[#This Row],[BW40_3705]]),"")</f>
        <v/>
      </c>
      <c r="H3009" s="7" t="str">
        <f>IF(Table1[[#This Row],[Is Data Valid]]=TRUE,((Table1[[#This Row],[Birthweight (grams)]]*0.9/Table1[[#This Row],[BW_GA]])-1)/(Backend!$B$4/100*Table1[[#This Row],[BW40_3705]]),"")</f>
        <v/>
      </c>
      <c r="I3009" s="7" t="str">
        <f>IF(Table1[[#This Row],[Is Data Valid]]=TRUE,((Table1[[#This Row],[Birthweight (grams)]]*1.1/Table1[[#This Row],[BW_GA]])-1)/(Backend!$B$4/100*Table1[[#This Row],[BW40_3705]]),"")</f>
        <v/>
      </c>
      <c r="J3009" s="7" t="str">
        <f>IF(Table1[[#This Row],[Is Data Valid]]=TRUE,_xlfn.NORM.S.DIST(Table1[[#This Row],[Birthweight Z-Score]],TRUE)*100,"")</f>
        <v/>
      </c>
      <c r="K3009" s="7" t="str">
        <f>IF(Table1[[#This Row],[Is Data Valid]]=TRUE,_xlfn.NORM.S.DIST(Table1[[#This Row],[Birthweight Z-Score (BW-10%)]],TRUE)*100,"")</f>
        <v/>
      </c>
      <c r="L3009" s="7" t="str">
        <f>IF(Table1[[#This Row],[Is Data Valid]]=TRUE,_xlfn.NORM.S.DIST(Table1[[#This Row],[Birthweight Z-Score (BW+10%)]],TRUE)*100,"")</f>
        <v/>
      </c>
    </row>
    <row r="3010" spans="1:12" x14ac:dyDescent="0.35">
      <c r="A3010" s="3"/>
      <c r="B3010" s="2"/>
      <c r="C3010" s="2"/>
      <c r="D3010" s="2" t="b">
        <f>IF(AND(NOT(ISBLANK(Table1[[#This Row],[Fetal Sex (Male, Female or Unknown)]])),ISNUMBER(Table1[[#This Row],[Birthweight (grams)]]),ISNUMBER(Table1[[#This Row],[Gestation (days)]])),TRUE,FALSE)</f>
        <v>0</v>
      </c>
      <c r="E3010" s="2" t="str">
        <f>IF(Table1[[#This Row],[Is Data Valid]]=TRUE,IF(Table1[[#This Row],[Fetal Sex (Male, Female or Unknown)]]="Male",Backend!$C$6,IF(Table1[[#This Row],[Fetal Sex (Male, Female or Unknown)]]="Female",Backend!$C$7,IF(Table1[[#This Row],[Fetal Sex (Male, Female or Unknown)]]="Unknown",Backend!$C$8,"Error"))),"")</f>
        <v/>
      </c>
      <c r="F3010" s="8" t="str">
        <f>IF(Table1[[#This Row],[Is Data Valid]]=TRUE,EXP(0.578+0.332*((Table1[[#This Row],[Gestation (days)]]+0.5)/7)-0.00354*((Table1[[#This Row],[Gestation (days)]]+0.5)/7)^2)*Table1[[#This Row],[BW40_3705]],"")</f>
        <v/>
      </c>
      <c r="G3010" s="2" t="str">
        <f>IF(Table1[[#This Row],[Is Data Valid]]=TRUE,((Table1[[#This Row],[Birthweight (grams)]]/Table1[[#This Row],[BW_GA]])-1)/(Backend!$B$4/100*Table1[[#This Row],[BW40_3705]]),"")</f>
        <v/>
      </c>
      <c r="H3010" s="7" t="str">
        <f>IF(Table1[[#This Row],[Is Data Valid]]=TRUE,((Table1[[#This Row],[Birthweight (grams)]]*0.9/Table1[[#This Row],[BW_GA]])-1)/(Backend!$B$4/100*Table1[[#This Row],[BW40_3705]]),"")</f>
        <v/>
      </c>
      <c r="I3010" s="7" t="str">
        <f>IF(Table1[[#This Row],[Is Data Valid]]=TRUE,((Table1[[#This Row],[Birthweight (grams)]]*1.1/Table1[[#This Row],[BW_GA]])-1)/(Backend!$B$4/100*Table1[[#This Row],[BW40_3705]]),"")</f>
        <v/>
      </c>
      <c r="J3010" s="7" t="str">
        <f>IF(Table1[[#This Row],[Is Data Valid]]=TRUE,_xlfn.NORM.S.DIST(Table1[[#This Row],[Birthweight Z-Score]],TRUE)*100,"")</f>
        <v/>
      </c>
      <c r="K3010" s="7" t="str">
        <f>IF(Table1[[#This Row],[Is Data Valid]]=TRUE,_xlfn.NORM.S.DIST(Table1[[#This Row],[Birthweight Z-Score (BW-10%)]],TRUE)*100,"")</f>
        <v/>
      </c>
      <c r="L3010" s="7" t="str">
        <f>IF(Table1[[#This Row],[Is Data Valid]]=TRUE,_xlfn.NORM.S.DIST(Table1[[#This Row],[Birthweight Z-Score (BW+10%)]],TRUE)*100,"")</f>
        <v/>
      </c>
    </row>
    <row r="3011" spans="1:12" x14ac:dyDescent="0.35">
      <c r="A3011" s="3"/>
      <c r="B3011" s="2"/>
      <c r="C3011" s="2"/>
      <c r="D3011" s="2" t="b">
        <f>IF(AND(NOT(ISBLANK(Table1[[#This Row],[Fetal Sex (Male, Female or Unknown)]])),ISNUMBER(Table1[[#This Row],[Birthweight (grams)]]),ISNUMBER(Table1[[#This Row],[Gestation (days)]])),TRUE,FALSE)</f>
        <v>0</v>
      </c>
      <c r="E3011" s="2" t="str">
        <f>IF(Table1[[#This Row],[Is Data Valid]]=TRUE,IF(Table1[[#This Row],[Fetal Sex (Male, Female or Unknown)]]="Male",Backend!$C$6,IF(Table1[[#This Row],[Fetal Sex (Male, Female or Unknown)]]="Female",Backend!$C$7,IF(Table1[[#This Row],[Fetal Sex (Male, Female or Unknown)]]="Unknown",Backend!$C$8,"Error"))),"")</f>
        <v/>
      </c>
      <c r="F3011" s="8" t="str">
        <f>IF(Table1[[#This Row],[Is Data Valid]]=TRUE,EXP(0.578+0.332*((Table1[[#This Row],[Gestation (days)]]+0.5)/7)-0.00354*((Table1[[#This Row],[Gestation (days)]]+0.5)/7)^2)*Table1[[#This Row],[BW40_3705]],"")</f>
        <v/>
      </c>
      <c r="G3011" s="2" t="str">
        <f>IF(Table1[[#This Row],[Is Data Valid]]=TRUE,((Table1[[#This Row],[Birthweight (grams)]]/Table1[[#This Row],[BW_GA]])-1)/(Backend!$B$4/100*Table1[[#This Row],[BW40_3705]]),"")</f>
        <v/>
      </c>
      <c r="H3011" s="7" t="str">
        <f>IF(Table1[[#This Row],[Is Data Valid]]=TRUE,((Table1[[#This Row],[Birthweight (grams)]]*0.9/Table1[[#This Row],[BW_GA]])-1)/(Backend!$B$4/100*Table1[[#This Row],[BW40_3705]]),"")</f>
        <v/>
      </c>
      <c r="I3011" s="7" t="str">
        <f>IF(Table1[[#This Row],[Is Data Valid]]=TRUE,((Table1[[#This Row],[Birthweight (grams)]]*1.1/Table1[[#This Row],[BW_GA]])-1)/(Backend!$B$4/100*Table1[[#This Row],[BW40_3705]]),"")</f>
        <v/>
      </c>
      <c r="J3011" s="7" t="str">
        <f>IF(Table1[[#This Row],[Is Data Valid]]=TRUE,_xlfn.NORM.S.DIST(Table1[[#This Row],[Birthweight Z-Score]],TRUE)*100,"")</f>
        <v/>
      </c>
      <c r="K3011" s="7" t="str">
        <f>IF(Table1[[#This Row],[Is Data Valid]]=TRUE,_xlfn.NORM.S.DIST(Table1[[#This Row],[Birthweight Z-Score (BW-10%)]],TRUE)*100,"")</f>
        <v/>
      </c>
      <c r="L3011" s="7" t="str">
        <f>IF(Table1[[#This Row],[Is Data Valid]]=TRUE,_xlfn.NORM.S.DIST(Table1[[#This Row],[Birthweight Z-Score (BW+10%)]],TRUE)*100,"")</f>
        <v/>
      </c>
    </row>
    <row r="3012" spans="1:12" x14ac:dyDescent="0.35">
      <c r="A3012" s="3"/>
      <c r="B3012" s="2"/>
      <c r="C3012" s="2"/>
      <c r="D3012" s="2" t="b">
        <f>IF(AND(NOT(ISBLANK(Table1[[#This Row],[Fetal Sex (Male, Female or Unknown)]])),ISNUMBER(Table1[[#This Row],[Birthweight (grams)]]),ISNUMBER(Table1[[#This Row],[Gestation (days)]])),TRUE,FALSE)</f>
        <v>0</v>
      </c>
      <c r="E3012" s="2" t="str">
        <f>IF(Table1[[#This Row],[Is Data Valid]]=TRUE,IF(Table1[[#This Row],[Fetal Sex (Male, Female or Unknown)]]="Male",Backend!$C$6,IF(Table1[[#This Row],[Fetal Sex (Male, Female or Unknown)]]="Female",Backend!$C$7,IF(Table1[[#This Row],[Fetal Sex (Male, Female or Unknown)]]="Unknown",Backend!$C$8,"Error"))),"")</f>
        <v/>
      </c>
      <c r="F3012" s="8" t="str">
        <f>IF(Table1[[#This Row],[Is Data Valid]]=TRUE,EXP(0.578+0.332*((Table1[[#This Row],[Gestation (days)]]+0.5)/7)-0.00354*((Table1[[#This Row],[Gestation (days)]]+0.5)/7)^2)*Table1[[#This Row],[BW40_3705]],"")</f>
        <v/>
      </c>
      <c r="G3012" s="2" t="str">
        <f>IF(Table1[[#This Row],[Is Data Valid]]=TRUE,((Table1[[#This Row],[Birthweight (grams)]]/Table1[[#This Row],[BW_GA]])-1)/(Backend!$B$4/100*Table1[[#This Row],[BW40_3705]]),"")</f>
        <v/>
      </c>
      <c r="H3012" s="7" t="str">
        <f>IF(Table1[[#This Row],[Is Data Valid]]=TRUE,((Table1[[#This Row],[Birthweight (grams)]]*0.9/Table1[[#This Row],[BW_GA]])-1)/(Backend!$B$4/100*Table1[[#This Row],[BW40_3705]]),"")</f>
        <v/>
      </c>
      <c r="I3012" s="7" t="str">
        <f>IF(Table1[[#This Row],[Is Data Valid]]=TRUE,((Table1[[#This Row],[Birthweight (grams)]]*1.1/Table1[[#This Row],[BW_GA]])-1)/(Backend!$B$4/100*Table1[[#This Row],[BW40_3705]]),"")</f>
        <v/>
      </c>
      <c r="J3012" s="7" t="str">
        <f>IF(Table1[[#This Row],[Is Data Valid]]=TRUE,_xlfn.NORM.S.DIST(Table1[[#This Row],[Birthweight Z-Score]],TRUE)*100,"")</f>
        <v/>
      </c>
      <c r="K3012" s="7" t="str">
        <f>IF(Table1[[#This Row],[Is Data Valid]]=TRUE,_xlfn.NORM.S.DIST(Table1[[#This Row],[Birthweight Z-Score (BW-10%)]],TRUE)*100,"")</f>
        <v/>
      </c>
      <c r="L3012" s="7" t="str">
        <f>IF(Table1[[#This Row],[Is Data Valid]]=TRUE,_xlfn.NORM.S.DIST(Table1[[#This Row],[Birthweight Z-Score (BW+10%)]],TRUE)*100,"")</f>
        <v/>
      </c>
    </row>
    <row r="3013" spans="1:12" x14ac:dyDescent="0.35">
      <c r="A3013" s="3"/>
      <c r="B3013" s="2"/>
      <c r="C3013" s="2"/>
      <c r="D3013" s="2" t="b">
        <f>IF(AND(NOT(ISBLANK(Table1[[#This Row],[Fetal Sex (Male, Female or Unknown)]])),ISNUMBER(Table1[[#This Row],[Birthweight (grams)]]),ISNUMBER(Table1[[#This Row],[Gestation (days)]])),TRUE,FALSE)</f>
        <v>0</v>
      </c>
      <c r="E3013" s="2" t="str">
        <f>IF(Table1[[#This Row],[Is Data Valid]]=TRUE,IF(Table1[[#This Row],[Fetal Sex (Male, Female or Unknown)]]="Male",Backend!$C$6,IF(Table1[[#This Row],[Fetal Sex (Male, Female or Unknown)]]="Female",Backend!$C$7,IF(Table1[[#This Row],[Fetal Sex (Male, Female or Unknown)]]="Unknown",Backend!$C$8,"Error"))),"")</f>
        <v/>
      </c>
      <c r="F3013" s="8" t="str">
        <f>IF(Table1[[#This Row],[Is Data Valid]]=TRUE,EXP(0.578+0.332*((Table1[[#This Row],[Gestation (days)]]+0.5)/7)-0.00354*((Table1[[#This Row],[Gestation (days)]]+0.5)/7)^2)*Table1[[#This Row],[BW40_3705]],"")</f>
        <v/>
      </c>
      <c r="G3013" s="2" t="str">
        <f>IF(Table1[[#This Row],[Is Data Valid]]=TRUE,((Table1[[#This Row],[Birthweight (grams)]]/Table1[[#This Row],[BW_GA]])-1)/(Backend!$B$4/100*Table1[[#This Row],[BW40_3705]]),"")</f>
        <v/>
      </c>
      <c r="H3013" s="7" t="str">
        <f>IF(Table1[[#This Row],[Is Data Valid]]=TRUE,((Table1[[#This Row],[Birthweight (grams)]]*0.9/Table1[[#This Row],[BW_GA]])-1)/(Backend!$B$4/100*Table1[[#This Row],[BW40_3705]]),"")</f>
        <v/>
      </c>
      <c r="I3013" s="7" t="str">
        <f>IF(Table1[[#This Row],[Is Data Valid]]=TRUE,((Table1[[#This Row],[Birthweight (grams)]]*1.1/Table1[[#This Row],[BW_GA]])-1)/(Backend!$B$4/100*Table1[[#This Row],[BW40_3705]]),"")</f>
        <v/>
      </c>
      <c r="J3013" s="7" t="str">
        <f>IF(Table1[[#This Row],[Is Data Valid]]=TRUE,_xlfn.NORM.S.DIST(Table1[[#This Row],[Birthweight Z-Score]],TRUE)*100,"")</f>
        <v/>
      </c>
      <c r="K3013" s="7" t="str">
        <f>IF(Table1[[#This Row],[Is Data Valid]]=TRUE,_xlfn.NORM.S.DIST(Table1[[#This Row],[Birthweight Z-Score (BW-10%)]],TRUE)*100,"")</f>
        <v/>
      </c>
      <c r="L3013" s="7" t="str">
        <f>IF(Table1[[#This Row],[Is Data Valid]]=TRUE,_xlfn.NORM.S.DIST(Table1[[#This Row],[Birthweight Z-Score (BW+10%)]],TRUE)*100,"")</f>
        <v/>
      </c>
    </row>
    <row r="3014" spans="1:12" x14ac:dyDescent="0.35">
      <c r="A3014" s="3"/>
      <c r="B3014" s="2"/>
      <c r="C3014" s="2"/>
      <c r="D3014" s="2" t="b">
        <f>IF(AND(NOT(ISBLANK(Table1[[#This Row],[Fetal Sex (Male, Female or Unknown)]])),ISNUMBER(Table1[[#This Row],[Birthweight (grams)]]),ISNUMBER(Table1[[#This Row],[Gestation (days)]])),TRUE,FALSE)</f>
        <v>0</v>
      </c>
      <c r="E3014" s="2" t="str">
        <f>IF(Table1[[#This Row],[Is Data Valid]]=TRUE,IF(Table1[[#This Row],[Fetal Sex (Male, Female or Unknown)]]="Male",Backend!$C$6,IF(Table1[[#This Row],[Fetal Sex (Male, Female or Unknown)]]="Female",Backend!$C$7,IF(Table1[[#This Row],[Fetal Sex (Male, Female or Unknown)]]="Unknown",Backend!$C$8,"Error"))),"")</f>
        <v/>
      </c>
      <c r="F3014" s="8" t="str">
        <f>IF(Table1[[#This Row],[Is Data Valid]]=TRUE,EXP(0.578+0.332*((Table1[[#This Row],[Gestation (days)]]+0.5)/7)-0.00354*((Table1[[#This Row],[Gestation (days)]]+0.5)/7)^2)*Table1[[#This Row],[BW40_3705]],"")</f>
        <v/>
      </c>
      <c r="G3014" s="2" t="str">
        <f>IF(Table1[[#This Row],[Is Data Valid]]=TRUE,((Table1[[#This Row],[Birthweight (grams)]]/Table1[[#This Row],[BW_GA]])-1)/(Backend!$B$4/100*Table1[[#This Row],[BW40_3705]]),"")</f>
        <v/>
      </c>
      <c r="H3014" s="7" t="str">
        <f>IF(Table1[[#This Row],[Is Data Valid]]=TRUE,((Table1[[#This Row],[Birthweight (grams)]]*0.9/Table1[[#This Row],[BW_GA]])-1)/(Backend!$B$4/100*Table1[[#This Row],[BW40_3705]]),"")</f>
        <v/>
      </c>
      <c r="I3014" s="7" t="str">
        <f>IF(Table1[[#This Row],[Is Data Valid]]=TRUE,((Table1[[#This Row],[Birthweight (grams)]]*1.1/Table1[[#This Row],[BW_GA]])-1)/(Backend!$B$4/100*Table1[[#This Row],[BW40_3705]]),"")</f>
        <v/>
      </c>
      <c r="J3014" s="7" t="str">
        <f>IF(Table1[[#This Row],[Is Data Valid]]=TRUE,_xlfn.NORM.S.DIST(Table1[[#This Row],[Birthweight Z-Score]],TRUE)*100,"")</f>
        <v/>
      </c>
      <c r="K3014" s="7" t="str">
        <f>IF(Table1[[#This Row],[Is Data Valid]]=TRUE,_xlfn.NORM.S.DIST(Table1[[#This Row],[Birthweight Z-Score (BW-10%)]],TRUE)*100,"")</f>
        <v/>
      </c>
      <c r="L3014" s="7" t="str">
        <f>IF(Table1[[#This Row],[Is Data Valid]]=TRUE,_xlfn.NORM.S.DIST(Table1[[#This Row],[Birthweight Z-Score (BW+10%)]],TRUE)*100,"")</f>
        <v/>
      </c>
    </row>
    <row r="3015" spans="1:12" x14ac:dyDescent="0.35">
      <c r="A3015" s="3"/>
      <c r="B3015" s="2"/>
      <c r="C3015" s="2"/>
      <c r="D3015" s="2" t="b">
        <f>IF(AND(NOT(ISBLANK(Table1[[#This Row],[Fetal Sex (Male, Female or Unknown)]])),ISNUMBER(Table1[[#This Row],[Birthweight (grams)]]),ISNUMBER(Table1[[#This Row],[Gestation (days)]])),TRUE,FALSE)</f>
        <v>0</v>
      </c>
      <c r="E3015" s="2" t="str">
        <f>IF(Table1[[#This Row],[Is Data Valid]]=TRUE,IF(Table1[[#This Row],[Fetal Sex (Male, Female or Unknown)]]="Male",Backend!$C$6,IF(Table1[[#This Row],[Fetal Sex (Male, Female or Unknown)]]="Female",Backend!$C$7,IF(Table1[[#This Row],[Fetal Sex (Male, Female or Unknown)]]="Unknown",Backend!$C$8,"Error"))),"")</f>
        <v/>
      </c>
      <c r="F3015" s="8" t="str">
        <f>IF(Table1[[#This Row],[Is Data Valid]]=TRUE,EXP(0.578+0.332*((Table1[[#This Row],[Gestation (days)]]+0.5)/7)-0.00354*((Table1[[#This Row],[Gestation (days)]]+0.5)/7)^2)*Table1[[#This Row],[BW40_3705]],"")</f>
        <v/>
      </c>
      <c r="G3015" s="2" t="str">
        <f>IF(Table1[[#This Row],[Is Data Valid]]=TRUE,((Table1[[#This Row],[Birthweight (grams)]]/Table1[[#This Row],[BW_GA]])-1)/(Backend!$B$4/100*Table1[[#This Row],[BW40_3705]]),"")</f>
        <v/>
      </c>
      <c r="H3015" s="7" t="str">
        <f>IF(Table1[[#This Row],[Is Data Valid]]=TRUE,((Table1[[#This Row],[Birthweight (grams)]]*0.9/Table1[[#This Row],[BW_GA]])-1)/(Backend!$B$4/100*Table1[[#This Row],[BW40_3705]]),"")</f>
        <v/>
      </c>
      <c r="I3015" s="7" t="str">
        <f>IF(Table1[[#This Row],[Is Data Valid]]=TRUE,((Table1[[#This Row],[Birthweight (grams)]]*1.1/Table1[[#This Row],[BW_GA]])-1)/(Backend!$B$4/100*Table1[[#This Row],[BW40_3705]]),"")</f>
        <v/>
      </c>
      <c r="J3015" s="7" t="str">
        <f>IF(Table1[[#This Row],[Is Data Valid]]=TRUE,_xlfn.NORM.S.DIST(Table1[[#This Row],[Birthweight Z-Score]],TRUE)*100,"")</f>
        <v/>
      </c>
      <c r="K3015" s="7" t="str">
        <f>IF(Table1[[#This Row],[Is Data Valid]]=TRUE,_xlfn.NORM.S.DIST(Table1[[#This Row],[Birthweight Z-Score (BW-10%)]],TRUE)*100,"")</f>
        <v/>
      </c>
      <c r="L3015" s="7" t="str">
        <f>IF(Table1[[#This Row],[Is Data Valid]]=TRUE,_xlfn.NORM.S.DIST(Table1[[#This Row],[Birthweight Z-Score (BW+10%)]],TRUE)*100,"")</f>
        <v/>
      </c>
    </row>
    <row r="3016" spans="1:12" x14ac:dyDescent="0.35">
      <c r="A3016" s="3"/>
      <c r="B3016" s="2"/>
      <c r="C3016" s="2"/>
      <c r="D3016" s="2" t="b">
        <f>IF(AND(NOT(ISBLANK(Table1[[#This Row],[Fetal Sex (Male, Female or Unknown)]])),ISNUMBER(Table1[[#This Row],[Birthweight (grams)]]),ISNUMBER(Table1[[#This Row],[Gestation (days)]])),TRUE,FALSE)</f>
        <v>0</v>
      </c>
      <c r="E3016" s="2" t="str">
        <f>IF(Table1[[#This Row],[Is Data Valid]]=TRUE,IF(Table1[[#This Row],[Fetal Sex (Male, Female or Unknown)]]="Male",Backend!$C$6,IF(Table1[[#This Row],[Fetal Sex (Male, Female or Unknown)]]="Female",Backend!$C$7,IF(Table1[[#This Row],[Fetal Sex (Male, Female or Unknown)]]="Unknown",Backend!$C$8,"Error"))),"")</f>
        <v/>
      </c>
      <c r="F3016" s="8" t="str">
        <f>IF(Table1[[#This Row],[Is Data Valid]]=TRUE,EXP(0.578+0.332*((Table1[[#This Row],[Gestation (days)]]+0.5)/7)-0.00354*((Table1[[#This Row],[Gestation (days)]]+0.5)/7)^2)*Table1[[#This Row],[BW40_3705]],"")</f>
        <v/>
      </c>
      <c r="G3016" s="2" t="str">
        <f>IF(Table1[[#This Row],[Is Data Valid]]=TRUE,((Table1[[#This Row],[Birthweight (grams)]]/Table1[[#This Row],[BW_GA]])-1)/(Backend!$B$4/100*Table1[[#This Row],[BW40_3705]]),"")</f>
        <v/>
      </c>
      <c r="H3016" s="7" t="str">
        <f>IF(Table1[[#This Row],[Is Data Valid]]=TRUE,((Table1[[#This Row],[Birthweight (grams)]]*0.9/Table1[[#This Row],[BW_GA]])-1)/(Backend!$B$4/100*Table1[[#This Row],[BW40_3705]]),"")</f>
        <v/>
      </c>
      <c r="I3016" s="7" t="str">
        <f>IF(Table1[[#This Row],[Is Data Valid]]=TRUE,((Table1[[#This Row],[Birthweight (grams)]]*1.1/Table1[[#This Row],[BW_GA]])-1)/(Backend!$B$4/100*Table1[[#This Row],[BW40_3705]]),"")</f>
        <v/>
      </c>
      <c r="J3016" s="7" t="str">
        <f>IF(Table1[[#This Row],[Is Data Valid]]=TRUE,_xlfn.NORM.S.DIST(Table1[[#This Row],[Birthweight Z-Score]],TRUE)*100,"")</f>
        <v/>
      </c>
      <c r="K3016" s="7" t="str">
        <f>IF(Table1[[#This Row],[Is Data Valid]]=TRUE,_xlfn.NORM.S.DIST(Table1[[#This Row],[Birthweight Z-Score (BW-10%)]],TRUE)*100,"")</f>
        <v/>
      </c>
      <c r="L3016" s="7" t="str">
        <f>IF(Table1[[#This Row],[Is Data Valid]]=TRUE,_xlfn.NORM.S.DIST(Table1[[#This Row],[Birthweight Z-Score (BW+10%)]],TRUE)*100,"")</f>
        <v/>
      </c>
    </row>
    <row r="3017" spans="1:12" x14ac:dyDescent="0.35">
      <c r="A3017" s="3"/>
      <c r="B3017" s="2"/>
      <c r="C3017" s="2"/>
      <c r="D3017" s="2" t="b">
        <f>IF(AND(NOT(ISBLANK(Table1[[#This Row],[Fetal Sex (Male, Female or Unknown)]])),ISNUMBER(Table1[[#This Row],[Birthweight (grams)]]),ISNUMBER(Table1[[#This Row],[Gestation (days)]])),TRUE,FALSE)</f>
        <v>0</v>
      </c>
      <c r="E3017" s="2" t="str">
        <f>IF(Table1[[#This Row],[Is Data Valid]]=TRUE,IF(Table1[[#This Row],[Fetal Sex (Male, Female or Unknown)]]="Male",Backend!$C$6,IF(Table1[[#This Row],[Fetal Sex (Male, Female or Unknown)]]="Female",Backend!$C$7,IF(Table1[[#This Row],[Fetal Sex (Male, Female or Unknown)]]="Unknown",Backend!$C$8,"Error"))),"")</f>
        <v/>
      </c>
      <c r="F3017" s="8" t="str">
        <f>IF(Table1[[#This Row],[Is Data Valid]]=TRUE,EXP(0.578+0.332*((Table1[[#This Row],[Gestation (days)]]+0.5)/7)-0.00354*((Table1[[#This Row],[Gestation (days)]]+0.5)/7)^2)*Table1[[#This Row],[BW40_3705]],"")</f>
        <v/>
      </c>
      <c r="G3017" s="2" t="str">
        <f>IF(Table1[[#This Row],[Is Data Valid]]=TRUE,((Table1[[#This Row],[Birthweight (grams)]]/Table1[[#This Row],[BW_GA]])-1)/(Backend!$B$4/100*Table1[[#This Row],[BW40_3705]]),"")</f>
        <v/>
      </c>
      <c r="H3017" s="7" t="str">
        <f>IF(Table1[[#This Row],[Is Data Valid]]=TRUE,((Table1[[#This Row],[Birthweight (grams)]]*0.9/Table1[[#This Row],[BW_GA]])-1)/(Backend!$B$4/100*Table1[[#This Row],[BW40_3705]]),"")</f>
        <v/>
      </c>
      <c r="I3017" s="7" t="str">
        <f>IF(Table1[[#This Row],[Is Data Valid]]=TRUE,((Table1[[#This Row],[Birthweight (grams)]]*1.1/Table1[[#This Row],[BW_GA]])-1)/(Backend!$B$4/100*Table1[[#This Row],[BW40_3705]]),"")</f>
        <v/>
      </c>
      <c r="J3017" s="7" t="str">
        <f>IF(Table1[[#This Row],[Is Data Valid]]=TRUE,_xlfn.NORM.S.DIST(Table1[[#This Row],[Birthweight Z-Score]],TRUE)*100,"")</f>
        <v/>
      </c>
      <c r="K3017" s="7" t="str">
        <f>IF(Table1[[#This Row],[Is Data Valid]]=TRUE,_xlfn.NORM.S.DIST(Table1[[#This Row],[Birthweight Z-Score (BW-10%)]],TRUE)*100,"")</f>
        <v/>
      </c>
      <c r="L3017" s="7" t="str">
        <f>IF(Table1[[#This Row],[Is Data Valid]]=TRUE,_xlfn.NORM.S.DIST(Table1[[#This Row],[Birthweight Z-Score (BW+10%)]],TRUE)*100,"")</f>
        <v/>
      </c>
    </row>
    <row r="3018" spans="1:12" x14ac:dyDescent="0.35">
      <c r="A3018" s="3"/>
      <c r="B3018" s="2"/>
      <c r="C3018" s="2"/>
      <c r="D3018" s="2" t="b">
        <f>IF(AND(NOT(ISBLANK(Table1[[#This Row],[Fetal Sex (Male, Female or Unknown)]])),ISNUMBER(Table1[[#This Row],[Birthweight (grams)]]),ISNUMBER(Table1[[#This Row],[Gestation (days)]])),TRUE,FALSE)</f>
        <v>0</v>
      </c>
      <c r="E3018" s="2" t="str">
        <f>IF(Table1[[#This Row],[Is Data Valid]]=TRUE,IF(Table1[[#This Row],[Fetal Sex (Male, Female or Unknown)]]="Male",Backend!$C$6,IF(Table1[[#This Row],[Fetal Sex (Male, Female or Unknown)]]="Female",Backend!$C$7,IF(Table1[[#This Row],[Fetal Sex (Male, Female or Unknown)]]="Unknown",Backend!$C$8,"Error"))),"")</f>
        <v/>
      </c>
      <c r="F3018" s="8" t="str">
        <f>IF(Table1[[#This Row],[Is Data Valid]]=TRUE,EXP(0.578+0.332*((Table1[[#This Row],[Gestation (days)]]+0.5)/7)-0.00354*((Table1[[#This Row],[Gestation (days)]]+0.5)/7)^2)*Table1[[#This Row],[BW40_3705]],"")</f>
        <v/>
      </c>
      <c r="G3018" s="2" t="str">
        <f>IF(Table1[[#This Row],[Is Data Valid]]=TRUE,((Table1[[#This Row],[Birthweight (grams)]]/Table1[[#This Row],[BW_GA]])-1)/(Backend!$B$4/100*Table1[[#This Row],[BW40_3705]]),"")</f>
        <v/>
      </c>
      <c r="H3018" s="7" t="str">
        <f>IF(Table1[[#This Row],[Is Data Valid]]=TRUE,((Table1[[#This Row],[Birthweight (grams)]]*0.9/Table1[[#This Row],[BW_GA]])-1)/(Backend!$B$4/100*Table1[[#This Row],[BW40_3705]]),"")</f>
        <v/>
      </c>
      <c r="I3018" s="7" t="str">
        <f>IF(Table1[[#This Row],[Is Data Valid]]=TRUE,((Table1[[#This Row],[Birthweight (grams)]]*1.1/Table1[[#This Row],[BW_GA]])-1)/(Backend!$B$4/100*Table1[[#This Row],[BW40_3705]]),"")</f>
        <v/>
      </c>
      <c r="J3018" s="7" t="str">
        <f>IF(Table1[[#This Row],[Is Data Valid]]=TRUE,_xlfn.NORM.S.DIST(Table1[[#This Row],[Birthweight Z-Score]],TRUE)*100,"")</f>
        <v/>
      </c>
      <c r="K3018" s="7" t="str">
        <f>IF(Table1[[#This Row],[Is Data Valid]]=TRUE,_xlfn.NORM.S.DIST(Table1[[#This Row],[Birthweight Z-Score (BW-10%)]],TRUE)*100,"")</f>
        <v/>
      </c>
      <c r="L3018" s="7" t="str">
        <f>IF(Table1[[#This Row],[Is Data Valid]]=TRUE,_xlfn.NORM.S.DIST(Table1[[#This Row],[Birthweight Z-Score (BW+10%)]],TRUE)*100,"")</f>
        <v/>
      </c>
    </row>
    <row r="3019" spans="1:12" x14ac:dyDescent="0.35">
      <c r="A3019" s="3"/>
      <c r="B3019" s="2"/>
      <c r="C3019" s="2"/>
      <c r="D3019" s="2" t="b">
        <f>IF(AND(NOT(ISBLANK(Table1[[#This Row],[Fetal Sex (Male, Female or Unknown)]])),ISNUMBER(Table1[[#This Row],[Birthweight (grams)]]),ISNUMBER(Table1[[#This Row],[Gestation (days)]])),TRUE,FALSE)</f>
        <v>0</v>
      </c>
      <c r="E3019" s="2" t="str">
        <f>IF(Table1[[#This Row],[Is Data Valid]]=TRUE,IF(Table1[[#This Row],[Fetal Sex (Male, Female or Unknown)]]="Male",Backend!$C$6,IF(Table1[[#This Row],[Fetal Sex (Male, Female or Unknown)]]="Female",Backend!$C$7,IF(Table1[[#This Row],[Fetal Sex (Male, Female or Unknown)]]="Unknown",Backend!$C$8,"Error"))),"")</f>
        <v/>
      </c>
      <c r="F3019" s="8" t="str">
        <f>IF(Table1[[#This Row],[Is Data Valid]]=TRUE,EXP(0.578+0.332*((Table1[[#This Row],[Gestation (days)]]+0.5)/7)-0.00354*((Table1[[#This Row],[Gestation (days)]]+0.5)/7)^2)*Table1[[#This Row],[BW40_3705]],"")</f>
        <v/>
      </c>
      <c r="G3019" s="2" t="str">
        <f>IF(Table1[[#This Row],[Is Data Valid]]=TRUE,((Table1[[#This Row],[Birthweight (grams)]]/Table1[[#This Row],[BW_GA]])-1)/(Backend!$B$4/100*Table1[[#This Row],[BW40_3705]]),"")</f>
        <v/>
      </c>
      <c r="H3019" s="7" t="str">
        <f>IF(Table1[[#This Row],[Is Data Valid]]=TRUE,((Table1[[#This Row],[Birthweight (grams)]]*0.9/Table1[[#This Row],[BW_GA]])-1)/(Backend!$B$4/100*Table1[[#This Row],[BW40_3705]]),"")</f>
        <v/>
      </c>
      <c r="I3019" s="7" t="str">
        <f>IF(Table1[[#This Row],[Is Data Valid]]=TRUE,((Table1[[#This Row],[Birthweight (grams)]]*1.1/Table1[[#This Row],[BW_GA]])-1)/(Backend!$B$4/100*Table1[[#This Row],[BW40_3705]]),"")</f>
        <v/>
      </c>
      <c r="J3019" s="7" t="str">
        <f>IF(Table1[[#This Row],[Is Data Valid]]=TRUE,_xlfn.NORM.S.DIST(Table1[[#This Row],[Birthweight Z-Score]],TRUE)*100,"")</f>
        <v/>
      </c>
      <c r="K3019" s="7" t="str">
        <f>IF(Table1[[#This Row],[Is Data Valid]]=TRUE,_xlfn.NORM.S.DIST(Table1[[#This Row],[Birthweight Z-Score (BW-10%)]],TRUE)*100,"")</f>
        <v/>
      </c>
      <c r="L3019" s="7" t="str">
        <f>IF(Table1[[#This Row],[Is Data Valid]]=TRUE,_xlfn.NORM.S.DIST(Table1[[#This Row],[Birthweight Z-Score (BW+10%)]],TRUE)*100,"")</f>
        <v/>
      </c>
    </row>
    <row r="3020" spans="1:12" x14ac:dyDescent="0.35">
      <c r="A3020" s="3"/>
      <c r="B3020" s="2"/>
      <c r="C3020" s="2"/>
      <c r="D3020" s="2" t="b">
        <f>IF(AND(NOT(ISBLANK(Table1[[#This Row],[Fetal Sex (Male, Female or Unknown)]])),ISNUMBER(Table1[[#This Row],[Birthweight (grams)]]),ISNUMBER(Table1[[#This Row],[Gestation (days)]])),TRUE,FALSE)</f>
        <v>0</v>
      </c>
      <c r="E3020" s="2" t="str">
        <f>IF(Table1[[#This Row],[Is Data Valid]]=TRUE,IF(Table1[[#This Row],[Fetal Sex (Male, Female or Unknown)]]="Male",Backend!$C$6,IF(Table1[[#This Row],[Fetal Sex (Male, Female or Unknown)]]="Female",Backend!$C$7,IF(Table1[[#This Row],[Fetal Sex (Male, Female or Unknown)]]="Unknown",Backend!$C$8,"Error"))),"")</f>
        <v/>
      </c>
      <c r="F3020" s="8" t="str">
        <f>IF(Table1[[#This Row],[Is Data Valid]]=TRUE,EXP(0.578+0.332*((Table1[[#This Row],[Gestation (days)]]+0.5)/7)-0.00354*((Table1[[#This Row],[Gestation (days)]]+0.5)/7)^2)*Table1[[#This Row],[BW40_3705]],"")</f>
        <v/>
      </c>
      <c r="G3020" s="2" t="str">
        <f>IF(Table1[[#This Row],[Is Data Valid]]=TRUE,((Table1[[#This Row],[Birthweight (grams)]]/Table1[[#This Row],[BW_GA]])-1)/(Backend!$B$4/100*Table1[[#This Row],[BW40_3705]]),"")</f>
        <v/>
      </c>
      <c r="H3020" s="7" t="str">
        <f>IF(Table1[[#This Row],[Is Data Valid]]=TRUE,((Table1[[#This Row],[Birthweight (grams)]]*0.9/Table1[[#This Row],[BW_GA]])-1)/(Backend!$B$4/100*Table1[[#This Row],[BW40_3705]]),"")</f>
        <v/>
      </c>
      <c r="I3020" s="7" t="str">
        <f>IF(Table1[[#This Row],[Is Data Valid]]=TRUE,((Table1[[#This Row],[Birthweight (grams)]]*1.1/Table1[[#This Row],[BW_GA]])-1)/(Backend!$B$4/100*Table1[[#This Row],[BW40_3705]]),"")</f>
        <v/>
      </c>
      <c r="J3020" s="7" t="str">
        <f>IF(Table1[[#This Row],[Is Data Valid]]=TRUE,_xlfn.NORM.S.DIST(Table1[[#This Row],[Birthweight Z-Score]],TRUE)*100,"")</f>
        <v/>
      </c>
      <c r="K3020" s="7" t="str">
        <f>IF(Table1[[#This Row],[Is Data Valid]]=TRUE,_xlfn.NORM.S.DIST(Table1[[#This Row],[Birthweight Z-Score (BW-10%)]],TRUE)*100,"")</f>
        <v/>
      </c>
      <c r="L3020" s="7" t="str">
        <f>IF(Table1[[#This Row],[Is Data Valid]]=TRUE,_xlfn.NORM.S.DIST(Table1[[#This Row],[Birthweight Z-Score (BW+10%)]],TRUE)*100,"")</f>
        <v/>
      </c>
    </row>
    <row r="3021" spans="1:12" x14ac:dyDescent="0.35">
      <c r="A3021" s="3"/>
      <c r="B3021" s="2"/>
      <c r="C3021" s="2"/>
      <c r="D3021" s="2" t="b">
        <f>IF(AND(NOT(ISBLANK(Table1[[#This Row],[Fetal Sex (Male, Female or Unknown)]])),ISNUMBER(Table1[[#This Row],[Birthweight (grams)]]),ISNUMBER(Table1[[#This Row],[Gestation (days)]])),TRUE,FALSE)</f>
        <v>0</v>
      </c>
      <c r="E3021" s="2" t="str">
        <f>IF(Table1[[#This Row],[Is Data Valid]]=TRUE,IF(Table1[[#This Row],[Fetal Sex (Male, Female or Unknown)]]="Male",Backend!$C$6,IF(Table1[[#This Row],[Fetal Sex (Male, Female or Unknown)]]="Female",Backend!$C$7,IF(Table1[[#This Row],[Fetal Sex (Male, Female or Unknown)]]="Unknown",Backend!$C$8,"Error"))),"")</f>
        <v/>
      </c>
      <c r="F3021" s="8" t="str">
        <f>IF(Table1[[#This Row],[Is Data Valid]]=TRUE,EXP(0.578+0.332*((Table1[[#This Row],[Gestation (days)]]+0.5)/7)-0.00354*((Table1[[#This Row],[Gestation (days)]]+0.5)/7)^2)*Table1[[#This Row],[BW40_3705]],"")</f>
        <v/>
      </c>
      <c r="G3021" s="2" t="str">
        <f>IF(Table1[[#This Row],[Is Data Valid]]=TRUE,((Table1[[#This Row],[Birthweight (grams)]]/Table1[[#This Row],[BW_GA]])-1)/(Backend!$B$4/100*Table1[[#This Row],[BW40_3705]]),"")</f>
        <v/>
      </c>
      <c r="H3021" s="7" t="str">
        <f>IF(Table1[[#This Row],[Is Data Valid]]=TRUE,((Table1[[#This Row],[Birthweight (grams)]]*0.9/Table1[[#This Row],[BW_GA]])-1)/(Backend!$B$4/100*Table1[[#This Row],[BW40_3705]]),"")</f>
        <v/>
      </c>
      <c r="I3021" s="7" t="str">
        <f>IF(Table1[[#This Row],[Is Data Valid]]=TRUE,((Table1[[#This Row],[Birthweight (grams)]]*1.1/Table1[[#This Row],[BW_GA]])-1)/(Backend!$B$4/100*Table1[[#This Row],[BW40_3705]]),"")</f>
        <v/>
      </c>
      <c r="J3021" s="7" t="str">
        <f>IF(Table1[[#This Row],[Is Data Valid]]=TRUE,_xlfn.NORM.S.DIST(Table1[[#This Row],[Birthweight Z-Score]],TRUE)*100,"")</f>
        <v/>
      </c>
      <c r="K3021" s="7" t="str">
        <f>IF(Table1[[#This Row],[Is Data Valid]]=TRUE,_xlfn.NORM.S.DIST(Table1[[#This Row],[Birthweight Z-Score (BW-10%)]],TRUE)*100,"")</f>
        <v/>
      </c>
      <c r="L3021" s="7" t="str">
        <f>IF(Table1[[#This Row],[Is Data Valid]]=TRUE,_xlfn.NORM.S.DIST(Table1[[#This Row],[Birthweight Z-Score (BW+10%)]],TRUE)*100,"")</f>
        <v/>
      </c>
    </row>
    <row r="3022" spans="1:12" x14ac:dyDescent="0.35">
      <c r="A3022" s="3"/>
      <c r="B3022" s="2"/>
      <c r="C3022" s="2"/>
      <c r="D3022" s="2" t="b">
        <f>IF(AND(NOT(ISBLANK(Table1[[#This Row],[Fetal Sex (Male, Female or Unknown)]])),ISNUMBER(Table1[[#This Row],[Birthweight (grams)]]),ISNUMBER(Table1[[#This Row],[Gestation (days)]])),TRUE,FALSE)</f>
        <v>0</v>
      </c>
      <c r="E3022" s="2" t="str">
        <f>IF(Table1[[#This Row],[Is Data Valid]]=TRUE,IF(Table1[[#This Row],[Fetal Sex (Male, Female or Unknown)]]="Male",Backend!$C$6,IF(Table1[[#This Row],[Fetal Sex (Male, Female or Unknown)]]="Female",Backend!$C$7,IF(Table1[[#This Row],[Fetal Sex (Male, Female or Unknown)]]="Unknown",Backend!$C$8,"Error"))),"")</f>
        <v/>
      </c>
      <c r="F3022" s="8" t="str">
        <f>IF(Table1[[#This Row],[Is Data Valid]]=TRUE,EXP(0.578+0.332*((Table1[[#This Row],[Gestation (days)]]+0.5)/7)-0.00354*((Table1[[#This Row],[Gestation (days)]]+0.5)/7)^2)*Table1[[#This Row],[BW40_3705]],"")</f>
        <v/>
      </c>
      <c r="G3022" s="2" t="str">
        <f>IF(Table1[[#This Row],[Is Data Valid]]=TRUE,((Table1[[#This Row],[Birthweight (grams)]]/Table1[[#This Row],[BW_GA]])-1)/(Backend!$B$4/100*Table1[[#This Row],[BW40_3705]]),"")</f>
        <v/>
      </c>
      <c r="H3022" s="7" t="str">
        <f>IF(Table1[[#This Row],[Is Data Valid]]=TRUE,((Table1[[#This Row],[Birthweight (grams)]]*0.9/Table1[[#This Row],[BW_GA]])-1)/(Backend!$B$4/100*Table1[[#This Row],[BW40_3705]]),"")</f>
        <v/>
      </c>
      <c r="I3022" s="7" t="str">
        <f>IF(Table1[[#This Row],[Is Data Valid]]=TRUE,((Table1[[#This Row],[Birthweight (grams)]]*1.1/Table1[[#This Row],[BW_GA]])-1)/(Backend!$B$4/100*Table1[[#This Row],[BW40_3705]]),"")</f>
        <v/>
      </c>
      <c r="J3022" s="7" t="str">
        <f>IF(Table1[[#This Row],[Is Data Valid]]=TRUE,_xlfn.NORM.S.DIST(Table1[[#This Row],[Birthweight Z-Score]],TRUE)*100,"")</f>
        <v/>
      </c>
      <c r="K3022" s="7" t="str">
        <f>IF(Table1[[#This Row],[Is Data Valid]]=TRUE,_xlfn.NORM.S.DIST(Table1[[#This Row],[Birthweight Z-Score (BW-10%)]],TRUE)*100,"")</f>
        <v/>
      </c>
      <c r="L3022" s="7" t="str">
        <f>IF(Table1[[#This Row],[Is Data Valid]]=TRUE,_xlfn.NORM.S.DIST(Table1[[#This Row],[Birthweight Z-Score (BW+10%)]],TRUE)*100,"")</f>
        <v/>
      </c>
    </row>
    <row r="3023" spans="1:12" x14ac:dyDescent="0.35">
      <c r="A3023" s="3"/>
      <c r="B3023" s="2"/>
      <c r="C3023" s="2"/>
      <c r="D3023" s="2" t="b">
        <f>IF(AND(NOT(ISBLANK(Table1[[#This Row],[Fetal Sex (Male, Female or Unknown)]])),ISNUMBER(Table1[[#This Row],[Birthweight (grams)]]),ISNUMBER(Table1[[#This Row],[Gestation (days)]])),TRUE,FALSE)</f>
        <v>0</v>
      </c>
      <c r="E3023" s="2" t="str">
        <f>IF(Table1[[#This Row],[Is Data Valid]]=TRUE,IF(Table1[[#This Row],[Fetal Sex (Male, Female or Unknown)]]="Male",Backend!$C$6,IF(Table1[[#This Row],[Fetal Sex (Male, Female or Unknown)]]="Female",Backend!$C$7,IF(Table1[[#This Row],[Fetal Sex (Male, Female or Unknown)]]="Unknown",Backend!$C$8,"Error"))),"")</f>
        <v/>
      </c>
      <c r="F3023" s="8" t="str">
        <f>IF(Table1[[#This Row],[Is Data Valid]]=TRUE,EXP(0.578+0.332*((Table1[[#This Row],[Gestation (days)]]+0.5)/7)-0.00354*((Table1[[#This Row],[Gestation (days)]]+0.5)/7)^2)*Table1[[#This Row],[BW40_3705]],"")</f>
        <v/>
      </c>
      <c r="G3023" s="2" t="str">
        <f>IF(Table1[[#This Row],[Is Data Valid]]=TRUE,((Table1[[#This Row],[Birthweight (grams)]]/Table1[[#This Row],[BW_GA]])-1)/(Backend!$B$4/100*Table1[[#This Row],[BW40_3705]]),"")</f>
        <v/>
      </c>
      <c r="H3023" s="7" t="str">
        <f>IF(Table1[[#This Row],[Is Data Valid]]=TRUE,((Table1[[#This Row],[Birthweight (grams)]]*0.9/Table1[[#This Row],[BW_GA]])-1)/(Backend!$B$4/100*Table1[[#This Row],[BW40_3705]]),"")</f>
        <v/>
      </c>
      <c r="I3023" s="7" t="str">
        <f>IF(Table1[[#This Row],[Is Data Valid]]=TRUE,((Table1[[#This Row],[Birthweight (grams)]]*1.1/Table1[[#This Row],[BW_GA]])-1)/(Backend!$B$4/100*Table1[[#This Row],[BW40_3705]]),"")</f>
        <v/>
      </c>
      <c r="J3023" s="7" t="str">
        <f>IF(Table1[[#This Row],[Is Data Valid]]=TRUE,_xlfn.NORM.S.DIST(Table1[[#This Row],[Birthweight Z-Score]],TRUE)*100,"")</f>
        <v/>
      </c>
      <c r="K3023" s="7" t="str">
        <f>IF(Table1[[#This Row],[Is Data Valid]]=TRUE,_xlfn.NORM.S.DIST(Table1[[#This Row],[Birthweight Z-Score (BW-10%)]],TRUE)*100,"")</f>
        <v/>
      </c>
      <c r="L3023" s="7" t="str">
        <f>IF(Table1[[#This Row],[Is Data Valid]]=TRUE,_xlfn.NORM.S.DIST(Table1[[#This Row],[Birthweight Z-Score (BW+10%)]],TRUE)*100,"")</f>
        <v/>
      </c>
    </row>
    <row r="3024" spans="1:12" x14ac:dyDescent="0.35">
      <c r="A3024" s="3"/>
      <c r="B3024" s="2"/>
      <c r="C3024" s="2"/>
      <c r="D3024" s="2" t="b">
        <f>IF(AND(NOT(ISBLANK(Table1[[#This Row],[Fetal Sex (Male, Female or Unknown)]])),ISNUMBER(Table1[[#This Row],[Birthweight (grams)]]),ISNUMBER(Table1[[#This Row],[Gestation (days)]])),TRUE,FALSE)</f>
        <v>0</v>
      </c>
      <c r="E3024" s="2" t="str">
        <f>IF(Table1[[#This Row],[Is Data Valid]]=TRUE,IF(Table1[[#This Row],[Fetal Sex (Male, Female or Unknown)]]="Male",Backend!$C$6,IF(Table1[[#This Row],[Fetal Sex (Male, Female or Unknown)]]="Female",Backend!$C$7,IF(Table1[[#This Row],[Fetal Sex (Male, Female or Unknown)]]="Unknown",Backend!$C$8,"Error"))),"")</f>
        <v/>
      </c>
      <c r="F3024" s="8" t="str">
        <f>IF(Table1[[#This Row],[Is Data Valid]]=TRUE,EXP(0.578+0.332*((Table1[[#This Row],[Gestation (days)]]+0.5)/7)-0.00354*((Table1[[#This Row],[Gestation (days)]]+0.5)/7)^2)*Table1[[#This Row],[BW40_3705]],"")</f>
        <v/>
      </c>
      <c r="G3024" s="2" t="str">
        <f>IF(Table1[[#This Row],[Is Data Valid]]=TRUE,((Table1[[#This Row],[Birthweight (grams)]]/Table1[[#This Row],[BW_GA]])-1)/(Backend!$B$4/100*Table1[[#This Row],[BW40_3705]]),"")</f>
        <v/>
      </c>
      <c r="H3024" s="7" t="str">
        <f>IF(Table1[[#This Row],[Is Data Valid]]=TRUE,((Table1[[#This Row],[Birthweight (grams)]]*0.9/Table1[[#This Row],[BW_GA]])-1)/(Backend!$B$4/100*Table1[[#This Row],[BW40_3705]]),"")</f>
        <v/>
      </c>
      <c r="I3024" s="7" t="str">
        <f>IF(Table1[[#This Row],[Is Data Valid]]=TRUE,((Table1[[#This Row],[Birthweight (grams)]]*1.1/Table1[[#This Row],[BW_GA]])-1)/(Backend!$B$4/100*Table1[[#This Row],[BW40_3705]]),"")</f>
        <v/>
      </c>
      <c r="J3024" s="7" t="str">
        <f>IF(Table1[[#This Row],[Is Data Valid]]=TRUE,_xlfn.NORM.S.DIST(Table1[[#This Row],[Birthweight Z-Score]],TRUE)*100,"")</f>
        <v/>
      </c>
      <c r="K3024" s="7" t="str">
        <f>IF(Table1[[#This Row],[Is Data Valid]]=TRUE,_xlfn.NORM.S.DIST(Table1[[#This Row],[Birthweight Z-Score (BW-10%)]],TRUE)*100,"")</f>
        <v/>
      </c>
      <c r="L3024" s="7" t="str">
        <f>IF(Table1[[#This Row],[Is Data Valid]]=TRUE,_xlfn.NORM.S.DIST(Table1[[#This Row],[Birthweight Z-Score (BW+10%)]],TRUE)*100,"")</f>
        <v/>
      </c>
    </row>
    <row r="3025" spans="1:12" x14ac:dyDescent="0.35">
      <c r="A3025" s="3"/>
      <c r="B3025" s="2"/>
      <c r="C3025" s="2"/>
      <c r="D3025" s="2" t="b">
        <f>IF(AND(NOT(ISBLANK(Table1[[#This Row],[Fetal Sex (Male, Female or Unknown)]])),ISNUMBER(Table1[[#This Row],[Birthweight (grams)]]),ISNUMBER(Table1[[#This Row],[Gestation (days)]])),TRUE,FALSE)</f>
        <v>0</v>
      </c>
      <c r="E3025" s="2" t="str">
        <f>IF(Table1[[#This Row],[Is Data Valid]]=TRUE,IF(Table1[[#This Row],[Fetal Sex (Male, Female or Unknown)]]="Male",Backend!$C$6,IF(Table1[[#This Row],[Fetal Sex (Male, Female or Unknown)]]="Female",Backend!$C$7,IF(Table1[[#This Row],[Fetal Sex (Male, Female or Unknown)]]="Unknown",Backend!$C$8,"Error"))),"")</f>
        <v/>
      </c>
      <c r="F3025" s="8" t="str">
        <f>IF(Table1[[#This Row],[Is Data Valid]]=TRUE,EXP(0.578+0.332*((Table1[[#This Row],[Gestation (days)]]+0.5)/7)-0.00354*((Table1[[#This Row],[Gestation (days)]]+0.5)/7)^2)*Table1[[#This Row],[BW40_3705]],"")</f>
        <v/>
      </c>
      <c r="G3025" s="2" t="str">
        <f>IF(Table1[[#This Row],[Is Data Valid]]=TRUE,((Table1[[#This Row],[Birthweight (grams)]]/Table1[[#This Row],[BW_GA]])-1)/(Backend!$B$4/100*Table1[[#This Row],[BW40_3705]]),"")</f>
        <v/>
      </c>
      <c r="H3025" s="7" t="str">
        <f>IF(Table1[[#This Row],[Is Data Valid]]=TRUE,((Table1[[#This Row],[Birthweight (grams)]]*0.9/Table1[[#This Row],[BW_GA]])-1)/(Backend!$B$4/100*Table1[[#This Row],[BW40_3705]]),"")</f>
        <v/>
      </c>
      <c r="I3025" s="7" t="str">
        <f>IF(Table1[[#This Row],[Is Data Valid]]=TRUE,((Table1[[#This Row],[Birthweight (grams)]]*1.1/Table1[[#This Row],[BW_GA]])-1)/(Backend!$B$4/100*Table1[[#This Row],[BW40_3705]]),"")</f>
        <v/>
      </c>
      <c r="J3025" s="7" t="str">
        <f>IF(Table1[[#This Row],[Is Data Valid]]=TRUE,_xlfn.NORM.S.DIST(Table1[[#This Row],[Birthweight Z-Score]],TRUE)*100,"")</f>
        <v/>
      </c>
      <c r="K3025" s="7" t="str">
        <f>IF(Table1[[#This Row],[Is Data Valid]]=TRUE,_xlfn.NORM.S.DIST(Table1[[#This Row],[Birthweight Z-Score (BW-10%)]],TRUE)*100,"")</f>
        <v/>
      </c>
      <c r="L3025" s="7" t="str">
        <f>IF(Table1[[#This Row],[Is Data Valid]]=TRUE,_xlfn.NORM.S.DIST(Table1[[#This Row],[Birthweight Z-Score (BW+10%)]],TRUE)*100,"")</f>
        <v/>
      </c>
    </row>
    <row r="3026" spans="1:12" x14ac:dyDescent="0.35">
      <c r="A3026" s="3"/>
      <c r="B3026" s="2"/>
      <c r="C3026" s="2"/>
      <c r="D3026" s="2" t="b">
        <f>IF(AND(NOT(ISBLANK(Table1[[#This Row],[Fetal Sex (Male, Female or Unknown)]])),ISNUMBER(Table1[[#This Row],[Birthweight (grams)]]),ISNUMBER(Table1[[#This Row],[Gestation (days)]])),TRUE,FALSE)</f>
        <v>0</v>
      </c>
      <c r="E3026" s="2" t="str">
        <f>IF(Table1[[#This Row],[Is Data Valid]]=TRUE,IF(Table1[[#This Row],[Fetal Sex (Male, Female or Unknown)]]="Male",Backend!$C$6,IF(Table1[[#This Row],[Fetal Sex (Male, Female or Unknown)]]="Female",Backend!$C$7,IF(Table1[[#This Row],[Fetal Sex (Male, Female or Unknown)]]="Unknown",Backend!$C$8,"Error"))),"")</f>
        <v/>
      </c>
      <c r="F3026" s="8" t="str">
        <f>IF(Table1[[#This Row],[Is Data Valid]]=TRUE,EXP(0.578+0.332*((Table1[[#This Row],[Gestation (days)]]+0.5)/7)-0.00354*((Table1[[#This Row],[Gestation (days)]]+0.5)/7)^2)*Table1[[#This Row],[BW40_3705]],"")</f>
        <v/>
      </c>
      <c r="G3026" s="2" t="str">
        <f>IF(Table1[[#This Row],[Is Data Valid]]=TRUE,((Table1[[#This Row],[Birthweight (grams)]]/Table1[[#This Row],[BW_GA]])-1)/(Backend!$B$4/100*Table1[[#This Row],[BW40_3705]]),"")</f>
        <v/>
      </c>
      <c r="H3026" s="7" t="str">
        <f>IF(Table1[[#This Row],[Is Data Valid]]=TRUE,((Table1[[#This Row],[Birthweight (grams)]]*0.9/Table1[[#This Row],[BW_GA]])-1)/(Backend!$B$4/100*Table1[[#This Row],[BW40_3705]]),"")</f>
        <v/>
      </c>
      <c r="I3026" s="7" t="str">
        <f>IF(Table1[[#This Row],[Is Data Valid]]=TRUE,((Table1[[#This Row],[Birthweight (grams)]]*1.1/Table1[[#This Row],[BW_GA]])-1)/(Backend!$B$4/100*Table1[[#This Row],[BW40_3705]]),"")</f>
        <v/>
      </c>
      <c r="J3026" s="7" t="str">
        <f>IF(Table1[[#This Row],[Is Data Valid]]=TRUE,_xlfn.NORM.S.DIST(Table1[[#This Row],[Birthweight Z-Score]],TRUE)*100,"")</f>
        <v/>
      </c>
      <c r="K3026" s="7" t="str">
        <f>IF(Table1[[#This Row],[Is Data Valid]]=TRUE,_xlfn.NORM.S.DIST(Table1[[#This Row],[Birthweight Z-Score (BW-10%)]],TRUE)*100,"")</f>
        <v/>
      </c>
      <c r="L3026" s="7" t="str">
        <f>IF(Table1[[#This Row],[Is Data Valid]]=TRUE,_xlfn.NORM.S.DIST(Table1[[#This Row],[Birthweight Z-Score (BW+10%)]],TRUE)*100,"")</f>
        <v/>
      </c>
    </row>
    <row r="3027" spans="1:12" x14ac:dyDescent="0.35">
      <c r="A3027" s="3"/>
      <c r="B3027" s="2"/>
      <c r="C3027" s="2"/>
      <c r="D3027" s="2" t="b">
        <f>IF(AND(NOT(ISBLANK(Table1[[#This Row],[Fetal Sex (Male, Female or Unknown)]])),ISNUMBER(Table1[[#This Row],[Birthweight (grams)]]),ISNUMBER(Table1[[#This Row],[Gestation (days)]])),TRUE,FALSE)</f>
        <v>0</v>
      </c>
      <c r="E3027" s="2" t="str">
        <f>IF(Table1[[#This Row],[Is Data Valid]]=TRUE,IF(Table1[[#This Row],[Fetal Sex (Male, Female or Unknown)]]="Male",Backend!$C$6,IF(Table1[[#This Row],[Fetal Sex (Male, Female or Unknown)]]="Female",Backend!$C$7,IF(Table1[[#This Row],[Fetal Sex (Male, Female or Unknown)]]="Unknown",Backend!$C$8,"Error"))),"")</f>
        <v/>
      </c>
      <c r="F3027" s="8" t="str">
        <f>IF(Table1[[#This Row],[Is Data Valid]]=TRUE,EXP(0.578+0.332*((Table1[[#This Row],[Gestation (days)]]+0.5)/7)-0.00354*((Table1[[#This Row],[Gestation (days)]]+0.5)/7)^2)*Table1[[#This Row],[BW40_3705]],"")</f>
        <v/>
      </c>
      <c r="G3027" s="2" t="str">
        <f>IF(Table1[[#This Row],[Is Data Valid]]=TRUE,((Table1[[#This Row],[Birthweight (grams)]]/Table1[[#This Row],[BW_GA]])-1)/(Backend!$B$4/100*Table1[[#This Row],[BW40_3705]]),"")</f>
        <v/>
      </c>
      <c r="H3027" s="7" t="str">
        <f>IF(Table1[[#This Row],[Is Data Valid]]=TRUE,((Table1[[#This Row],[Birthweight (grams)]]*0.9/Table1[[#This Row],[BW_GA]])-1)/(Backend!$B$4/100*Table1[[#This Row],[BW40_3705]]),"")</f>
        <v/>
      </c>
      <c r="I3027" s="7" t="str">
        <f>IF(Table1[[#This Row],[Is Data Valid]]=TRUE,((Table1[[#This Row],[Birthweight (grams)]]*1.1/Table1[[#This Row],[BW_GA]])-1)/(Backend!$B$4/100*Table1[[#This Row],[BW40_3705]]),"")</f>
        <v/>
      </c>
      <c r="J3027" s="7" t="str">
        <f>IF(Table1[[#This Row],[Is Data Valid]]=TRUE,_xlfn.NORM.S.DIST(Table1[[#This Row],[Birthweight Z-Score]],TRUE)*100,"")</f>
        <v/>
      </c>
      <c r="K3027" s="7" t="str">
        <f>IF(Table1[[#This Row],[Is Data Valid]]=TRUE,_xlfn.NORM.S.DIST(Table1[[#This Row],[Birthweight Z-Score (BW-10%)]],TRUE)*100,"")</f>
        <v/>
      </c>
      <c r="L3027" s="7" t="str">
        <f>IF(Table1[[#This Row],[Is Data Valid]]=TRUE,_xlfn.NORM.S.DIST(Table1[[#This Row],[Birthweight Z-Score (BW+10%)]],TRUE)*100,"")</f>
        <v/>
      </c>
    </row>
    <row r="3028" spans="1:12" x14ac:dyDescent="0.35">
      <c r="A3028" s="3"/>
      <c r="B3028" s="2"/>
      <c r="C3028" s="2"/>
      <c r="D3028" s="2" t="b">
        <f>IF(AND(NOT(ISBLANK(Table1[[#This Row],[Fetal Sex (Male, Female or Unknown)]])),ISNUMBER(Table1[[#This Row],[Birthweight (grams)]]),ISNUMBER(Table1[[#This Row],[Gestation (days)]])),TRUE,FALSE)</f>
        <v>0</v>
      </c>
      <c r="E3028" s="2" t="str">
        <f>IF(Table1[[#This Row],[Is Data Valid]]=TRUE,IF(Table1[[#This Row],[Fetal Sex (Male, Female or Unknown)]]="Male",Backend!$C$6,IF(Table1[[#This Row],[Fetal Sex (Male, Female or Unknown)]]="Female",Backend!$C$7,IF(Table1[[#This Row],[Fetal Sex (Male, Female or Unknown)]]="Unknown",Backend!$C$8,"Error"))),"")</f>
        <v/>
      </c>
      <c r="F3028" s="8" t="str">
        <f>IF(Table1[[#This Row],[Is Data Valid]]=TRUE,EXP(0.578+0.332*((Table1[[#This Row],[Gestation (days)]]+0.5)/7)-0.00354*((Table1[[#This Row],[Gestation (days)]]+0.5)/7)^2)*Table1[[#This Row],[BW40_3705]],"")</f>
        <v/>
      </c>
      <c r="G3028" s="2" t="str">
        <f>IF(Table1[[#This Row],[Is Data Valid]]=TRUE,((Table1[[#This Row],[Birthweight (grams)]]/Table1[[#This Row],[BW_GA]])-1)/(Backend!$B$4/100*Table1[[#This Row],[BW40_3705]]),"")</f>
        <v/>
      </c>
      <c r="H3028" s="7" t="str">
        <f>IF(Table1[[#This Row],[Is Data Valid]]=TRUE,((Table1[[#This Row],[Birthweight (grams)]]*0.9/Table1[[#This Row],[BW_GA]])-1)/(Backend!$B$4/100*Table1[[#This Row],[BW40_3705]]),"")</f>
        <v/>
      </c>
      <c r="I3028" s="7" t="str">
        <f>IF(Table1[[#This Row],[Is Data Valid]]=TRUE,((Table1[[#This Row],[Birthweight (grams)]]*1.1/Table1[[#This Row],[BW_GA]])-1)/(Backend!$B$4/100*Table1[[#This Row],[BW40_3705]]),"")</f>
        <v/>
      </c>
      <c r="J3028" s="7" t="str">
        <f>IF(Table1[[#This Row],[Is Data Valid]]=TRUE,_xlfn.NORM.S.DIST(Table1[[#This Row],[Birthweight Z-Score]],TRUE)*100,"")</f>
        <v/>
      </c>
      <c r="K3028" s="7" t="str">
        <f>IF(Table1[[#This Row],[Is Data Valid]]=TRUE,_xlfn.NORM.S.DIST(Table1[[#This Row],[Birthweight Z-Score (BW-10%)]],TRUE)*100,"")</f>
        <v/>
      </c>
      <c r="L3028" s="7" t="str">
        <f>IF(Table1[[#This Row],[Is Data Valid]]=TRUE,_xlfn.NORM.S.DIST(Table1[[#This Row],[Birthweight Z-Score (BW+10%)]],TRUE)*100,"")</f>
        <v/>
      </c>
    </row>
    <row r="3029" spans="1:12" x14ac:dyDescent="0.35">
      <c r="A3029" s="3"/>
      <c r="B3029" s="2"/>
      <c r="C3029" s="2"/>
      <c r="D3029" s="2" t="b">
        <f>IF(AND(NOT(ISBLANK(Table1[[#This Row],[Fetal Sex (Male, Female or Unknown)]])),ISNUMBER(Table1[[#This Row],[Birthweight (grams)]]),ISNUMBER(Table1[[#This Row],[Gestation (days)]])),TRUE,FALSE)</f>
        <v>0</v>
      </c>
      <c r="E3029" s="2" t="str">
        <f>IF(Table1[[#This Row],[Is Data Valid]]=TRUE,IF(Table1[[#This Row],[Fetal Sex (Male, Female or Unknown)]]="Male",Backend!$C$6,IF(Table1[[#This Row],[Fetal Sex (Male, Female or Unknown)]]="Female",Backend!$C$7,IF(Table1[[#This Row],[Fetal Sex (Male, Female or Unknown)]]="Unknown",Backend!$C$8,"Error"))),"")</f>
        <v/>
      </c>
      <c r="F3029" s="8" t="str">
        <f>IF(Table1[[#This Row],[Is Data Valid]]=TRUE,EXP(0.578+0.332*((Table1[[#This Row],[Gestation (days)]]+0.5)/7)-0.00354*((Table1[[#This Row],[Gestation (days)]]+0.5)/7)^2)*Table1[[#This Row],[BW40_3705]],"")</f>
        <v/>
      </c>
      <c r="G3029" s="2" t="str">
        <f>IF(Table1[[#This Row],[Is Data Valid]]=TRUE,((Table1[[#This Row],[Birthweight (grams)]]/Table1[[#This Row],[BW_GA]])-1)/(Backend!$B$4/100*Table1[[#This Row],[BW40_3705]]),"")</f>
        <v/>
      </c>
      <c r="H3029" s="7" t="str">
        <f>IF(Table1[[#This Row],[Is Data Valid]]=TRUE,((Table1[[#This Row],[Birthweight (grams)]]*0.9/Table1[[#This Row],[BW_GA]])-1)/(Backend!$B$4/100*Table1[[#This Row],[BW40_3705]]),"")</f>
        <v/>
      </c>
      <c r="I3029" s="7" t="str">
        <f>IF(Table1[[#This Row],[Is Data Valid]]=TRUE,((Table1[[#This Row],[Birthweight (grams)]]*1.1/Table1[[#This Row],[BW_GA]])-1)/(Backend!$B$4/100*Table1[[#This Row],[BW40_3705]]),"")</f>
        <v/>
      </c>
      <c r="J3029" s="7" t="str">
        <f>IF(Table1[[#This Row],[Is Data Valid]]=TRUE,_xlfn.NORM.S.DIST(Table1[[#This Row],[Birthweight Z-Score]],TRUE)*100,"")</f>
        <v/>
      </c>
      <c r="K3029" s="7" t="str">
        <f>IF(Table1[[#This Row],[Is Data Valid]]=TRUE,_xlfn.NORM.S.DIST(Table1[[#This Row],[Birthweight Z-Score (BW-10%)]],TRUE)*100,"")</f>
        <v/>
      </c>
      <c r="L3029" s="7" t="str">
        <f>IF(Table1[[#This Row],[Is Data Valid]]=TRUE,_xlfn.NORM.S.DIST(Table1[[#This Row],[Birthweight Z-Score (BW+10%)]],TRUE)*100,"")</f>
        <v/>
      </c>
    </row>
    <row r="3030" spans="1:12" x14ac:dyDescent="0.35">
      <c r="A3030" s="3"/>
      <c r="B3030" s="2"/>
      <c r="C3030" s="2"/>
      <c r="D3030" s="2" t="b">
        <f>IF(AND(NOT(ISBLANK(Table1[[#This Row],[Fetal Sex (Male, Female or Unknown)]])),ISNUMBER(Table1[[#This Row],[Birthweight (grams)]]),ISNUMBER(Table1[[#This Row],[Gestation (days)]])),TRUE,FALSE)</f>
        <v>0</v>
      </c>
      <c r="E3030" s="2" t="str">
        <f>IF(Table1[[#This Row],[Is Data Valid]]=TRUE,IF(Table1[[#This Row],[Fetal Sex (Male, Female or Unknown)]]="Male",Backend!$C$6,IF(Table1[[#This Row],[Fetal Sex (Male, Female or Unknown)]]="Female",Backend!$C$7,IF(Table1[[#This Row],[Fetal Sex (Male, Female or Unknown)]]="Unknown",Backend!$C$8,"Error"))),"")</f>
        <v/>
      </c>
      <c r="F3030" s="8" t="str">
        <f>IF(Table1[[#This Row],[Is Data Valid]]=TRUE,EXP(0.578+0.332*((Table1[[#This Row],[Gestation (days)]]+0.5)/7)-0.00354*((Table1[[#This Row],[Gestation (days)]]+0.5)/7)^2)*Table1[[#This Row],[BW40_3705]],"")</f>
        <v/>
      </c>
      <c r="G3030" s="2" t="str">
        <f>IF(Table1[[#This Row],[Is Data Valid]]=TRUE,((Table1[[#This Row],[Birthweight (grams)]]/Table1[[#This Row],[BW_GA]])-1)/(Backend!$B$4/100*Table1[[#This Row],[BW40_3705]]),"")</f>
        <v/>
      </c>
      <c r="H3030" s="7" t="str">
        <f>IF(Table1[[#This Row],[Is Data Valid]]=TRUE,((Table1[[#This Row],[Birthweight (grams)]]*0.9/Table1[[#This Row],[BW_GA]])-1)/(Backend!$B$4/100*Table1[[#This Row],[BW40_3705]]),"")</f>
        <v/>
      </c>
      <c r="I3030" s="7" t="str">
        <f>IF(Table1[[#This Row],[Is Data Valid]]=TRUE,((Table1[[#This Row],[Birthweight (grams)]]*1.1/Table1[[#This Row],[BW_GA]])-1)/(Backend!$B$4/100*Table1[[#This Row],[BW40_3705]]),"")</f>
        <v/>
      </c>
      <c r="J3030" s="7" t="str">
        <f>IF(Table1[[#This Row],[Is Data Valid]]=TRUE,_xlfn.NORM.S.DIST(Table1[[#This Row],[Birthweight Z-Score]],TRUE)*100,"")</f>
        <v/>
      </c>
      <c r="K3030" s="7" t="str">
        <f>IF(Table1[[#This Row],[Is Data Valid]]=TRUE,_xlfn.NORM.S.DIST(Table1[[#This Row],[Birthweight Z-Score (BW-10%)]],TRUE)*100,"")</f>
        <v/>
      </c>
      <c r="L3030" s="7" t="str">
        <f>IF(Table1[[#This Row],[Is Data Valid]]=TRUE,_xlfn.NORM.S.DIST(Table1[[#This Row],[Birthweight Z-Score (BW+10%)]],TRUE)*100,"")</f>
        <v/>
      </c>
    </row>
    <row r="3031" spans="1:12" x14ac:dyDescent="0.35">
      <c r="A3031" s="3"/>
      <c r="B3031" s="2"/>
      <c r="C3031" s="2"/>
      <c r="D3031" s="2" t="b">
        <f>IF(AND(NOT(ISBLANK(Table1[[#This Row],[Fetal Sex (Male, Female or Unknown)]])),ISNUMBER(Table1[[#This Row],[Birthweight (grams)]]),ISNUMBER(Table1[[#This Row],[Gestation (days)]])),TRUE,FALSE)</f>
        <v>0</v>
      </c>
      <c r="E3031" s="2" t="str">
        <f>IF(Table1[[#This Row],[Is Data Valid]]=TRUE,IF(Table1[[#This Row],[Fetal Sex (Male, Female or Unknown)]]="Male",Backend!$C$6,IF(Table1[[#This Row],[Fetal Sex (Male, Female or Unknown)]]="Female",Backend!$C$7,IF(Table1[[#This Row],[Fetal Sex (Male, Female or Unknown)]]="Unknown",Backend!$C$8,"Error"))),"")</f>
        <v/>
      </c>
      <c r="F3031" s="8" t="str">
        <f>IF(Table1[[#This Row],[Is Data Valid]]=TRUE,EXP(0.578+0.332*((Table1[[#This Row],[Gestation (days)]]+0.5)/7)-0.00354*((Table1[[#This Row],[Gestation (days)]]+0.5)/7)^2)*Table1[[#This Row],[BW40_3705]],"")</f>
        <v/>
      </c>
      <c r="G3031" s="2" t="str">
        <f>IF(Table1[[#This Row],[Is Data Valid]]=TRUE,((Table1[[#This Row],[Birthweight (grams)]]/Table1[[#This Row],[BW_GA]])-1)/(Backend!$B$4/100*Table1[[#This Row],[BW40_3705]]),"")</f>
        <v/>
      </c>
      <c r="H3031" s="7" t="str">
        <f>IF(Table1[[#This Row],[Is Data Valid]]=TRUE,((Table1[[#This Row],[Birthweight (grams)]]*0.9/Table1[[#This Row],[BW_GA]])-1)/(Backend!$B$4/100*Table1[[#This Row],[BW40_3705]]),"")</f>
        <v/>
      </c>
      <c r="I3031" s="7" t="str">
        <f>IF(Table1[[#This Row],[Is Data Valid]]=TRUE,((Table1[[#This Row],[Birthweight (grams)]]*1.1/Table1[[#This Row],[BW_GA]])-1)/(Backend!$B$4/100*Table1[[#This Row],[BW40_3705]]),"")</f>
        <v/>
      </c>
      <c r="J3031" s="7" t="str">
        <f>IF(Table1[[#This Row],[Is Data Valid]]=TRUE,_xlfn.NORM.S.DIST(Table1[[#This Row],[Birthweight Z-Score]],TRUE)*100,"")</f>
        <v/>
      </c>
      <c r="K3031" s="7" t="str">
        <f>IF(Table1[[#This Row],[Is Data Valid]]=TRUE,_xlfn.NORM.S.DIST(Table1[[#This Row],[Birthweight Z-Score (BW-10%)]],TRUE)*100,"")</f>
        <v/>
      </c>
      <c r="L3031" s="7" t="str">
        <f>IF(Table1[[#This Row],[Is Data Valid]]=TRUE,_xlfn.NORM.S.DIST(Table1[[#This Row],[Birthweight Z-Score (BW+10%)]],TRUE)*100,"")</f>
        <v/>
      </c>
    </row>
    <row r="3032" spans="1:12" x14ac:dyDescent="0.35">
      <c r="A3032" s="3"/>
      <c r="B3032" s="2"/>
      <c r="C3032" s="2"/>
      <c r="D3032" s="2" t="b">
        <f>IF(AND(NOT(ISBLANK(Table1[[#This Row],[Fetal Sex (Male, Female or Unknown)]])),ISNUMBER(Table1[[#This Row],[Birthweight (grams)]]),ISNUMBER(Table1[[#This Row],[Gestation (days)]])),TRUE,FALSE)</f>
        <v>0</v>
      </c>
      <c r="E3032" s="2" t="str">
        <f>IF(Table1[[#This Row],[Is Data Valid]]=TRUE,IF(Table1[[#This Row],[Fetal Sex (Male, Female or Unknown)]]="Male",Backend!$C$6,IF(Table1[[#This Row],[Fetal Sex (Male, Female or Unknown)]]="Female",Backend!$C$7,IF(Table1[[#This Row],[Fetal Sex (Male, Female or Unknown)]]="Unknown",Backend!$C$8,"Error"))),"")</f>
        <v/>
      </c>
      <c r="F3032" s="8" t="str">
        <f>IF(Table1[[#This Row],[Is Data Valid]]=TRUE,EXP(0.578+0.332*((Table1[[#This Row],[Gestation (days)]]+0.5)/7)-0.00354*((Table1[[#This Row],[Gestation (days)]]+0.5)/7)^2)*Table1[[#This Row],[BW40_3705]],"")</f>
        <v/>
      </c>
      <c r="G3032" s="2" t="str">
        <f>IF(Table1[[#This Row],[Is Data Valid]]=TRUE,((Table1[[#This Row],[Birthweight (grams)]]/Table1[[#This Row],[BW_GA]])-1)/(Backend!$B$4/100*Table1[[#This Row],[BW40_3705]]),"")</f>
        <v/>
      </c>
      <c r="H3032" s="7" t="str">
        <f>IF(Table1[[#This Row],[Is Data Valid]]=TRUE,((Table1[[#This Row],[Birthweight (grams)]]*0.9/Table1[[#This Row],[BW_GA]])-1)/(Backend!$B$4/100*Table1[[#This Row],[BW40_3705]]),"")</f>
        <v/>
      </c>
      <c r="I3032" s="7" t="str">
        <f>IF(Table1[[#This Row],[Is Data Valid]]=TRUE,((Table1[[#This Row],[Birthweight (grams)]]*1.1/Table1[[#This Row],[BW_GA]])-1)/(Backend!$B$4/100*Table1[[#This Row],[BW40_3705]]),"")</f>
        <v/>
      </c>
      <c r="J3032" s="7" t="str">
        <f>IF(Table1[[#This Row],[Is Data Valid]]=TRUE,_xlfn.NORM.S.DIST(Table1[[#This Row],[Birthweight Z-Score]],TRUE)*100,"")</f>
        <v/>
      </c>
      <c r="K3032" s="7" t="str">
        <f>IF(Table1[[#This Row],[Is Data Valid]]=TRUE,_xlfn.NORM.S.DIST(Table1[[#This Row],[Birthweight Z-Score (BW-10%)]],TRUE)*100,"")</f>
        <v/>
      </c>
      <c r="L3032" s="7" t="str">
        <f>IF(Table1[[#This Row],[Is Data Valid]]=TRUE,_xlfn.NORM.S.DIST(Table1[[#This Row],[Birthweight Z-Score (BW+10%)]],TRUE)*100,"")</f>
        <v/>
      </c>
    </row>
    <row r="3033" spans="1:12" x14ac:dyDescent="0.35">
      <c r="A3033" s="3"/>
      <c r="B3033" s="2"/>
      <c r="C3033" s="2"/>
      <c r="D3033" s="2" t="b">
        <f>IF(AND(NOT(ISBLANK(Table1[[#This Row],[Fetal Sex (Male, Female or Unknown)]])),ISNUMBER(Table1[[#This Row],[Birthweight (grams)]]),ISNUMBER(Table1[[#This Row],[Gestation (days)]])),TRUE,FALSE)</f>
        <v>0</v>
      </c>
      <c r="E3033" s="2" t="str">
        <f>IF(Table1[[#This Row],[Is Data Valid]]=TRUE,IF(Table1[[#This Row],[Fetal Sex (Male, Female or Unknown)]]="Male",Backend!$C$6,IF(Table1[[#This Row],[Fetal Sex (Male, Female or Unknown)]]="Female",Backend!$C$7,IF(Table1[[#This Row],[Fetal Sex (Male, Female or Unknown)]]="Unknown",Backend!$C$8,"Error"))),"")</f>
        <v/>
      </c>
      <c r="F3033" s="8" t="str">
        <f>IF(Table1[[#This Row],[Is Data Valid]]=TRUE,EXP(0.578+0.332*((Table1[[#This Row],[Gestation (days)]]+0.5)/7)-0.00354*((Table1[[#This Row],[Gestation (days)]]+0.5)/7)^2)*Table1[[#This Row],[BW40_3705]],"")</f>
        <v/>
      </c>
      <c r="G3033" s="2" t="str">
        <f>IF(Table1[[#This Row],[Is Data Valid]]=TRUE,((Table1[[#This Row],[Birthweight (grams)]]/Table1[[#This Row],[BW_GA]])-1)/(Backend!$B$4/100*Table1[[#This Row],[BW40_3705]]),"")</f>
        <v/>
      </c>
      <c r="H3033" s="7" t="str">
        <f>IF(Table1[[#This Row],[Is Data Valid]]=TRUE,((Table1[[#This Row],[Birthweight (grams)]]*0.9/Table1[[#This Row],[BW_GA]])-1)/(Backend!$B$4/100*Table1[[#This Row],[BW40_3705]]),"")</f>
        <v/>
      </c>
      <c r="I3033" s="7" t="str">
        <f>IF(Table1[[#This Row],[Is Data Valid]]=TRUE,((Table1[[#This Row],[Birthweight (grams)]]*1.1/Table1[[#This Row],[BW_GA]])-1)/(Backend!$B$4/100*Table1[[#This Row],[BW40_3705]]),"")</f>
        <v/>
      </c>
      <c r="J3033" s="7" t="str">
        <f>IF(Table1[[#This Row],[Is Data Valid]]=TRUE,_xlfn.NORM.S.DIST(Table1[[#This Row],[Birthweight Z-Score]],TRUE)*100,"")</f>
        <v/>
      </c>
      <c r="K3033" s="7" t="str">
        <f>IF(Table1[[#This Row],[Is Data Valid]]=TRUE,_xlfn.NORM.S.DIST(Table1[[#This Row],[Birthweight Z-Score (BW-10%)]],TRUE)*100,"")</f>
        <v/>
      </c>
      <c r="L3033" s="7" t="str">
        <f>IF(Table1[[#This Row],[Is Data Valid]]=TRUE,_xlfn.NORM.S.DIST(Table1[[#This Row],[Birthweight Z-Score (BW+10%)]],TRUE)*100,"")</f>
        <v/>
      </c>
    </row>
    <row r="3034" spans="1:12" x14ac:dyDescent="0.35">
      <c r="A3034" s="3"/>
      <c r="B3034" s="2"/>
      <c r="C3034" s="2"/>
      <c r="D3034" s="2" t="b">
        <f>IF(AND(NOT(ISBLANK(Table1[[#This Row],[Fetal Sex (Male, Female or Unknown)]])),ISNUMBER(Table1[[#This Row],[Birthweight (grams)]]),ISNUMBER(Table1[[#This Row],[Gestation (days)]])),TRUE,FALSE)</f>
        <v>0</v>
      </c>
      <c r="E3034" s="2" t="str">
        <f>IF(Table1[[#This Row],[Is Data Valid]]=TRUE,IF(Table1[[#This Row],[Fetal Sex (Male, Female or Unknown)]]="Male",Backend!$C$6,IF(Table1[[#This Row],[Fetal Sex (Male, Female or Unknown)]]="Female",Backend!$C$7,IF(Table1[[#This Row],[Fetal Sex (Male, Female or Unknown)]]="Unknown",Backend!$C$8,"Error"))),"")</f>
        <v/>
      </c>
      <c r="F3034" s="8" t="str">
        <f>IF(Table1[[#This Row],[Is Data Valid]]=TRUE,EXP(0.578+0.332*((Table1[[#This Row],[Gestation (days)]]+0.5)/7)-0.00354*((Table1[[#This Row],[Gestation (days)]]+0.5)/7)^2)*Table1[[#This Row],[BW40_3705]],"")</f>
        <v/>
      </c>
      <c r="G3034" s="2" t="str">
        <f>IF(Table1[[#This Row],[Is Data Valid]]=TRUE,((Table1[[#This Row],[Birthweight (grams)]]/Table1[[#This Row],[BW_GA]])-1)/(Backend!$B$4/100*Table1[[#This Row],[BW40_3705]]),"")</f>
        <v/>
      </c>
      <c r="H3034" s="7" t="str">
        <f>IF(Table1[[#This Row],[Is Data Valid]]=TRUE,((Table1[[#This Row],[Birthweight (grams)]]*0.9/Table1[[#This Row],[BW_GA]])-1)/(Backend!$B$4/100*Table1[[#This Row],[BW40_3705]]),"")</f>
        <v/>
      </c>
      <c r="I3034" s="7" t="str">
        <f>IF(Table1[[#This Row],[Is Data Valid]]=TRUE,((Table1[[#This Row],[Birthweight (grams)]]*1.1/Table1[[#This Row],[BW_GA]])-1)/(Backend!$B$4/100*Table1[[#This Row],[BW40_3705]]),"")</f>
        <v/>
      </c>
      <c r="J3034" s="7" t="str">
        <f>IF(Table1[[#This Row],[Is Data Valid]]=TRUE,_xlfn.NORM.S.DIST(Table1[[#This Row],[Birthweight Z-Score]],TRUE)*100,"")</f>
        <v/>
      </c>
      <c r="K3034" s="7" t="str">
        <f>IF(Table1[[#This Row],[Is Data Valid]]=TRUE,_xlfn.NORM.S.DIST(Table1[[#This Row],[Birthweight Z-Score (BW-10%)]],TRUE)*100,"")</f>
        <v/>
      </c>
      <c r="L3034" s="7" t="str">
        <f>IF(Table1[[#This Row],[Is Data Valid]]=TRUE,_xlfn.NORM.S.DIST(Table1[[#This Row],[Birthweight Z-Score (BW+10%)]],TRUE)*100,"")</f>
        <v/>
      </c>
    </row>
    <row r="3035" spans="1:12" x14ac:dyDescent="0.35">
      <c r="A3035" s="3"/>
      <c r="B3035" s="2"/>
      <c r="C3035" s="2"/>
      <c r="D3035" s="2" t="b">
        <f>IF(AND(NOT(ISBLANK(Table1[[#This Row],[Fetal Sex (Male, Female or Unknown)]])),ISNUMBER(Table1[[#This Row],[Birthweight (grams)]]),ISNUMBER(Table1[[#This Row],[Gestation (days)]])),TRUE,FALSE)</f>
        <v>0</v>
      </c>
      <c r="E3035" s="2" t="str">
        <f>IF(Table1[[#This Row],[Is Data Valid]]=TRUE,IF(Table1[[#This Row],[Fetal Sex (Male, Female or Unknown)]]="Male",Backend!$C$6,IF(Table1[[#This Row],[Fetal Sex (Male, Female or Unknown)]]="Female",Backend!$C$7,IF(Table1[[#This Row],[Fetal Sex (Male, Female or Unknown)]]="Unknown",Backend!$C$8,"Error"))),"")</f>
        <v/>
      </c>
      <c r="F3035" s="8" t="str">
        <f>IF(Table1[[#This Row],[Is Data Valid]]=TRUE,EXP(0.578+0.332*((Table1[[#This Row],[Gestation (days)]]+0.5)/7)-0.00354*((Table1[[#This Row],[Gestation (days)]]+0.5)/7)^2)*Table1[[#This Row],[BW40_3705]],"")</f>
        <v/>
      </c>
      <c r="G3035" s="2" t="str">
        <f>IF(Table1[[#This Row],[Is Data Valid]]=TRUE,((Table1[[#This Row],[Birthweight (grams)]]/Table1[[#This Row],[BW_GA]])-1)/(Backend!$B$4/100*Table1[[#This Row],[BW40_3705]]),"")</f>
        <v/>
      </c>
      <c r="H3035" s="7" t="str">
        <f>IF(Table1[[#This Row],[Is Data Valid]]=TRUE,((Table1[[#This Row],[Birthweight (grams)]]*0.9/Table1[[#This Row],[BW_GA]])-1)/(Backend!$B$4/100*Table1[[#This Row],[BW40_3705]]),"")</f>
        <v/>
      </c>
      <c r="I3035" s="7" t="str">
        <f>IF(Table1[[#This Row],[Is Data Valid]]=TRUE,((Table1[[#This Row],[Birthweight (grams)]]*1.1/Table1[[#This Row],[BW_GA]])-1)/(Backend!$B$4/100*Table1[[#This Row],[BW40_3705]]),"")</f>
        <v/>
      </c>
      <c r="J3035" s="7" t="str">
        <f>IF(Table1[[#This Row],[Is Data Valid]]=TRUE,_xlfn.NORM.S.DIST(Table1[[#This Row],[Birthweight Z-Score]],TRUE)*100,"")</f>
        <v/>
      </c>
      <c r="K3035" s="7" t="str">
        <f>IF(Table1[[#This Row],[Is Data Valid]]=TRUE,_xlfn.NORM.S.DIST(Table1[[#This Row],[Birthweight Z-Score (BW-10%)]],TRUE)*100,"")</f>
        <v/>
      </c>
      <c r="L3035" s="7" t="str">
        <f>IF(Table1[[#This Row],[Is Data Valid]]=TRUE,_xlfn.NORM.S.DIST(Table1[[#This Row],[Birthweight Z-Score (BW+10%)]],TRUE)*100,"")</f>
        <v/>
      </c>
    </row>
    <row r="3036" spans="1:12" x14ac:dyDescent="0.35">
      <c r="A3036" s="3"/>
      <c r="B3036" s="2"/>
      <c r="C3036" s="2"/>
      <c r="D3036" s="2" t="b">
        <f>IF(AND(NOT(ISBLANK(Table1[[#This Row],[Fetal Sex (Male, Female or Unknown)]])),ISNUMBER(Table1[[#This Row],[Birthweight (grams)]]),ISNUMBER(Table1[[#This Row],[Gestation (days)]])),TRUE,FALSE)</f>
        <v>0</v>
      </c>
      <c r="E3036" s="2" t="str">
        <f>IF(Table1[[#This Row],[Is Data Valid]]=TRUE,IF(Table1[[#This Row],[Fetal Sex (Male, Female or Unknown)]]="Male",Backend!$C$6,IF(Table1[[#This Row],[Fetal Sex (Male, Female or Unknown)]]="Female",Backend!$C$7,IF(Table1[[#This Row],[Fetal Sex (Male, Female or Unknown)]]="Unknown",Backend!$C$8,"Error"))),"")</f>
        <v/>
      </c>
      <c r="F3036" s="8" t="str">
        <f>IF(Table1[[#This Row],[Is Data Valid]]=TRUE,EXP(0.578+0.332*((Table1[[#This Row],[Gestation (days)]]+0.5)/7)-0.00354*((Table1[[#This Row],[Gestation (days)]]+0.5)/7)^2)*Table1[[#This Row],[BW40_3705]],"")</f>
        <v/>
      </c>
      <c r="G3036" s="2" t="str">
        <f>IF(Table1[[#This Row],[Is Data Valid]]=TRUE,((Table1[[#This Row],[Birthweight (grams)]]/Table1[[#This Row],[BW_GA]])-1)/(Backend!$B$4/100*Table1[[#This Row],[BW40_3705]]),"")</f>
        <v/>
      </c>
      <c r="H3036" s="7" t="str">
        <f>IF(Table1[[#This Row],[Is Data Valid]]=TRUE,((Table1[[#This Row],[Birthweight (grams)]]*0.9/Table1[[#This Row],[BW_GA]])-1)/(Backend!$B$4/100*Table1[[#This Row],[BW40_3705]]),"")</f>
        <v/>
      </c>
      <c r="I3036" s="7" t="str">
        <f>IF(Table1[[#This Row],[Is Data Valid]]=TRUE,((Table1[[#This Row],[Birthweight (grams)]]*1.1/Table1[[#This Row],[BW_GA]])-1)/(Backend!$B$4/100*Table1[[#This Row],[BW40_3705]]),"")</f>
        <v/>
      </c>
      <c r="J3036" s="7" t="str">
        <f>IF(Table1[[#This Row],[Is Data Valid]]=TRUE,_xlfn.NORM.S.DIST(Table1[[#This Row],[Birthweight Z-Score]],TRUE)*100,"")</f>
        <v/>
      </c>
      <c r="K3036" s="7" t="str">
        <f>IF(Table1[[#This Row],[Is Data Valid]]=TRUE,_xlfn.NORM.S.DIST(Table1[[#This Row],[Birthweight Z-Score (BW-10%)]],TRUE)*100,"")</f>
        <v/>
      </c>
      <c r="L3036" s="7" t="str">
        <f>IF(Table1[[#This Row],[Is Data Valid]]=TRUE,_xlfn.NORM.S.DIST(Table1[[#This Row],[Birthweight Z-Score (BW+10%)]],TRUE)*100,"")</f>
        <v/>
      </c>
    </row>
    <row r="3037" spans="1:12" x14ac:dyDescent="0.35">
      <c r="A3037" s="3"/>
      <c r="B3037" s="2"/>
      <c r="C3037" s="2"/>
      <c r="D3037" s="2" t="b">
        <f>IF(AND(NOT(ISBLANK(Table1[[#This Row],[Fetal Sex (Male, Female or Unknown)]])),ISNUMBER(Table1[[#This Row],[Birthweight (grams)]]),ISNUMBER(Table1[[#This Row],[Gestation (days)]])),TRUE,FALSE)</f>
        <v>0</v>
      </c>
      <c r="E3037" s="2" t="str">
        <f>IF(Table1[[#This Row],[Is Data Valid]]=TRUE,IF(Table1[[#This Row],[Fetal Sex (Male, Female or Unknown)]]="Male",Backend!$C$6,IF(Table1[[#This Row],[Fetal Sex (Male, Female or Unknown)]]="Female",Backend!$C$7,IF(Table1[[#This Row],[Fetal Sex (Male, Female or Unknown)]]="Unknown",Backend!$C$8,"Error"))),"")</f>
        <v/>
      </c>
      <c r="F3037" s="8" t="str">
        <f>IF(Table1[[#This Row],[Is Data Valid]]=TRUE,EXP(0.578+0.332*((Table1[[#This Row],[Gestation (days)]]+0.5)/7)-0.00354*((Table1[[#This Row],[Gestation (days)]]+0.5)/7)^2)*Table1[[#This Row],[BW40_3705]],"")</f>
        <v/>
      </c>
      <c r="G3037" s="2" t="str">
        <f>IF(Table1[[#This Row],[Is Data Valid]]=TRUE,((Table1[[#This Row],[Birthweight (grams)]]/Table1[[#This Row],[BW_GA]])-1)/(Backend!$B$4/100*Table1[[#This Row],[BW40_3705]]),"")</f>
        <v/>
      </c>
      <c r="H3037" s="7" t="str">
        <f>IF(Table1[[#This Row],[Is Data Valid]]=TRUE,((Table1[[#This Row],[Birthweight (grams)]]*0.9/Table1[[#This Row],[BW_GA]])-1)/(Backend!$B$4/100*Table1[[#This Row],[BW40_3705]]),"")</f>
        <v/>
      </c>
      <c r="I3037" s="7" t="str">
        <f>IF(Table1[[#This Row],[Is Data Valid]]=TRUE,((Table1[[#This Row],[Birthweight (grams)]]*1.1/Table1[[#This Row],[BW_GA]])-1)/(Backend!$B$4/100*Table1[[#This Row],[BW40_3705]]),"")</f>
        <v/>
      </c>
      <c r="J3037" s="7" t="str">
        <f>IF(Table1[[#This Row],[Is Data Valid]]=TRUE,_xlfn.NORM.S.DIST(Table1[[#This Row],[Birthweight Z-Score]],TRUE)*100,"")</f>
        <v/>
      </c>
      <c r="K3037" s="7" t="str">
        <f>IF(Table1[[#This Row],[Is Data Valid]]=TRUE,_xlfn.NORM.S.DIST(Table1[[#This Row],[Birthweight Z-Score (BW-10%)]],TRUE)*100,"")</f>
        <v/>
      </c>
      <c r="L3037" s="7" t="str">
        <f>IF(Table1[[#This Row],[Is Data Valid]]=TRUE,_xlfn.NORM.S.DIST(Table1[[#This Row],[Birthweight Z-Score (BW+10%)]],TRUE)*100,"")</f>
        <v/>
      </c>
    </row>
    <row r="3038" spans="1:12" x14ac:dyDescent="0.35">
      <c r="A3038" s="3"/>
      <c r="B3038" s="2"/>
      <c r="C3038" s="2"/>
      <c r="D3038" s="2" t="b">
        <f>IF(AND(NOT(ISBLANK(Table1[[#This Row],[Fetal Sex (Male, Female or Unknown)]])),ISNUMBER(Table1[[#This Row],[Birthweight (grams)]]),ISNUMBER(Table1[[#This Row],[Gestation (days)]])),TRUE,FALSE)</f>
        <v>0</v>
      </c>
      <c r="E3038" s="2" t="str">
        <f>IF(Table1[[#This Row],[Is Data Valid]]=TRUE,IF(Table1[[#This Row],[Fetal Sex (Male, Female or Unknown)]]="Male",Backend!$C$6,IF(Table1[[#This Row],[Fetal Sex (Male, Female or Unknown)]]="Female",Backend!$C$7,IF(Table1[[#This Row],[Fetal Sex (Male, Female or Unknown)]]="Unknown",Backend!$C$8,"Error"))),"")</f>
        <v/>
      </c>
      <c r="F3038" s="8" t="str">
        <f>IF(Table1[[#This Row],[Is Data Valid]]=TRUE,EXP(0.578+0.332*((Table1[[#This Row],[Gestation (days)]]+0.5)/7)-0.00354*((Table1[[#This Row],[Gestation (days)]]+0.5)/7)^2)*Table1[[#This Row],[BW40_3705]],"")</f>
        <v/>
      </c>
      <c r="G3038" s="2" t="str">
        <f>IF(Table1[[#This Row],[Is Data Valid]]=TRUE,((Table1[[#This Row],[Birthweight (grams)]]/Table1[[#This Row],[BW_GA]])-1)/(Backend!$B$4/100*Table1[[#This Row],[BW40_3705]]),"")</f>
        <v/>
      </c>
      <c r="H3038" s="7" t="str">
        <f>IF(Table1[[#This Row],[Is Data Valid]]=TRUE,((Table1[[#This Row],[Birthweight (grams)]]*0.9/Table1[[#This Row],[BW_GA]])-1)/(Backend!$B$4/100*Table1[[#This Row],[BW40_3705]]),"")</f>
        <v/>
      </c>
      <c r="I3038" s="7" t="str">
        <f>IF(Table1[[#This Row],[Is Data Valid]]=TRUE,((Table1[[#This Row],[Birthweight (grams)]]*1.1/Table1[[#This Row],[BW_GA]])-1)/(Backend!$B$4/100*Table1[[#This Row],[BW40_3705]]),"")</f>
        <v/>
      </c>
      <c r="J3038" s="7" t="str">
        <f>IF(Table1[[#This Row],[Is Data Valid]]=TRUE,_xlfn.NORM.S.DIST(Table1[[#This Row],[Birthweight Z-Score]],TRUE)*100,"")</f>
        <v/>
      </c>
      <c r="K3038" s="7" t="str">
        <f>IF(Table1[[#This Row],[Is Data Valid]]=TRUE,_xlfn.NORM.S.DIST(Table1[[#This Row],[Birthweight Z-Score (BW-10%)]],TRUE)*100,"")</f>
        <v/>
      </c>
      <c r="L3038" s="7" t="str">
        <f>IF(Table1[[#This Row],[Is Data Valid]]=TRUE,_xlfn.NORM.S.DIST(Table1[[#This Row],[Birthweight Z-Score (BW+10%)]],TRUE)*100,"")</f>
        <v/>
      </c>
    </row>
    <row r="3039" spans="1:12" x14ac:dyDescent="0.35">
      <c r="A3039" s="3"/>
      <c r="B3039" s="2"/>
      <c r="C3039" s="2"/>
      <c r="D3039" s="2" t="b">
        <f>IF(AND(NOT(ISBLANK(Table1[[#This Row],[Fetal Sex (Male, Female or Unknown)]])),ISNUMBER(Table1[[#This Row],[Birthweight (grams)]]),ISNUMBER(Table1[[#This Row],[Gestation (days)]])),TRUE,FALSE)</f>
        <v>0</v>
      </c>
      <c r="E3039" s="2" t="str">
        <f>IF(Table1[[#This Row],[Is Data Valid]]=TRUE,IF(Table1[[#This Row],[Fetal Sex (Male, Female or Unknown)]]="Male",Backend!$C$6,IF(Table1[[#This Row],[Fetal Sex (Male, Female or Unknown)]]="Female",Backend!$C$7,IF(Table1[[#This Row],[Fetal Sex (Male, Female or Unknown)]]="Unknown",Backend!$C$8,"Error"))),"")</f>
        <v/>
      </c>
      <c r="F3039" s="8" t="str">
        <f>IF(Table1[[#This Row],[Is Data Valid]]=TRUE,EXP(0.578+0.332*((Table1[[#This Row],[Gestation (days)]]+0.5)/7)-0.00354*((Table1[[#This Row],[Gestation (days)]]+0.5)/7)^2)*Table1[[#This Row],[BW40_3705]],"")</f>
        <v/>
      </c>
      <c r="G3039" s="2" t="str">
        <f>IF(Table1[[#This Row],[Is Data Valid]]=TRUE,((Table1[[#This Row],[Birthweight (grams)]]/Table1[[#This Row],[BW_GA]])-1)/(Backend!$B$4/100*Table1[[#This Row],[BW40_3705]]),"")</f>
        <v/>
      </c>
      <c r="H3039" s="7" t="str">
        <f>IF(Table1[[#This Row],[Is Data Valid]]=TRUE,((Table1[[#This Row],[Birthweight (grams)]]*0.9/Table1[[#This Row],[BW_GA]])-1)/(Backend!$B$4/100*Table1[[#This Row],[BW40_3705]]),"")</f>
        <v/>
      </c>
      <c r="I3039" s="7" t="str">
        <f>IF(Table1[[#This Row],[Is Data Valid]]=TRUE,((Table1[[#This Row],[Birthweight (grams)]]*1.1/Table1[[#This Row],[BW_GA]])-1)/(Backend!$B$4/100*Table1[[#This Row],[BW40_3705]]),"")</f>
        <v/>
      </c>
      <c r="J3039" s="7" t="str">
        <f>IF(Table1[[#This Row],[Is Data Valid]]=TRUE,_xlfn.NORM.S.DIST(Table1[[#This Row],[Birthweight Z-Score]],TRUE)*100,"")</f>
        <v/>
      </c>
      <c r="K3039" s="7" t="str">
        <f>IF(Table1[[#This Row],[Is Data Valid]]=TRUE,_xlfn.NORM.S.DIST(Table1[[#This Row],[Birthweight Z-Score (BW-10%)]],TRUE)*100,"")</f>
        <v/>
      </c>
      <c r="L3039" s="7" t="str">
        <f>IF(Table1[[#This Row],[Is Data Valid]]=TRUE,_xlfn.NORM.S.DIST(Table1[[#This Row],[Birthweight Z-Score (BW+10%)]],TRUE)*100,"")</f>
        <v/>
      </c>
    </row>
    <row r="3040" spans="1:12" x14ac:dyDescent="0.35">
      <c r="A3040" s="3"/>
      <c r="B3040" s="2"/>
      <c r="C3040" s="2"/>
      <c r="D3040" s="2" t="b">
        <f>IF(AND(NOT(ISBLANK(Table1[[#This Row],[Fetal Sex (Male, Female or Unknown)]])),ISNUMBER(Table1[[#This Row],[Birthweight (grams)]]),ISNUMBER(Table1[[#This Row],[Gestation (days)]])),TRUE,FALSE)</f>
        <v>0</v>
      </c>
      <c r="E3040" s="2" t="str">
        <f>IF(Table1[[#This Row],[Is Data Valid]]=TRUE,IF(Table1[[#This Row],[Fetal Sex (Male, Female or Unknown)]]="Male",Backend!$C$6,IF(Table1[[#This Row],[Fetal Sex (Male, Female or Unknown)]]="Female",Backend!$C$7,IF(Table1[[#This Row],[Fetal Sex (Male, Female or Unknown)]]="Unknown",Backend!$C$8,"Error"))),"")</f>
        <v/>
      </c>
      <c r="F3040" s="8" t="str">
        <f>IF(Table1[[#This Row],[Is Data Valid]]=TRUE,EXP(0.578+0.332*((Table1[[#This Row],[Gestation (days)]]+0.5)/7)-0.00354*((Table1[[#This Row],[Gestation (days)]]+0.5)/7)^2)*Table1[[#This Row],[BW40_3705]],"")</f>
        <v/>
      </c>
      <c r="G3040" s="2" t="str">
        <f>IF(Table1[[#This Row],[Is Data Valid]]=TRUE,((Table1[[#This Row],[Birthweight (grams)]]/Table1[[#This Row],[BW_GA]])-1)/(Backend!$B$4/100*Table1[[#This Row],[BW40_3705]]),"")</f>
        <v/>
      </c>
      <c r="H3040" s="7" t="str">
        <f>IF(Table1[[#This Row],[Is Data Valid]]=TRUE,((Table1[[#This Row],[Birthweight (grams)]]*0.9/Table1[[#This Row],[BW_GA]])-1)/(Backend!$B$4/100*Table1[[#This Row],[BW40_3705]]),"")</f>
        <v/>
      </c>
      <c r="I3040" s="7" t="str">
        <f>IF(Table1[[#This Row],[Is Data Valid]]=TRUE,((Table1[[#This Row],[Birthweight (grams)]]*1.1/Table1[[#This Row],[BW_GA]])-1)/(Backend!$B$4/100*Table1[[#This Row],[BW40_3705]]),"")</f>
        <v/>
      </c>
      <c r="J3040" s="7" t="str">
        <f>IF(Table1[[#This Row],[Is Data Valid]]=TRUE,_xlfn.NORM.S.DIST(Table1[[#This Row],[Birthweight Z-Score]],TRUE)*100,"")</f>
        <v/>
      </c>
      <c r="K3040" s="7" t="str">
        <f>IF(Table1[[#This Row],[Is Data Valid]]=TRUE,_xlfn.NORM.S.DIST(Table1[[#This Row],[Birthweight Z-Score (BW-10%)]],TRUE)*100,"")</f>
        <v/>
      </c>
      <c r="L3040" s="7" t="str">
        <f>IF(Table1[[#This Row],[Is Data Valid]]=TRUE,_xlfn.NORM.S.DIST(Table1[[#This Row],[Birthweight Z-Score (BW+10%)]],TRUE)*100,"")</f>
        <v/>
      </c>
    </row>
    <row r="3041" spans="1:12" x14ac:dyDescent="0.35">
      <c r="A3041" s="3"/>
      <c r="B3041" s="2"/>
      <c r="C3041" s="2"/>
      <c r="D3041" s="2" t="b">
        <f>IF(AND(NOT(ISBLANK(Table1[[#This Row],[Fetal Sex (Male, Female or Unknown)]])),ISNUMBER(Table1[[#This Row],[Birthweight (grams)]]),ISNUMBER(Table1[[#This Row],[Gestation (days)]])),TRUE,FALSE)</f>
        <v>0</v>
      </c>
      <c r="E3041" s="2" t="str">
        <f>IF(Table1[[#This Row],[Is Data Valid]]=TRUE,IF(Table1[[#This Row],[Fetal Sex (Male, Female or Unknown)]]="Male",Backend!$C$6,IF(Table1[[#This Row],[Fetal Sex (Male, Female or Unknown)]]="Female",Backend!$C$7,IF(Table1[[#This Row],[Fetal Sex (Male, Female or Unknown)]]="Unknown",Backend!$C$8,"Error"))),"")</f>
        <v/>
      </c>
      <c r="F3041" s="8" t="str">
        <f>IF(Table1[[#This Row],[Is Data Valid]]=TRUE,EXP(0.578+0.332*((Table1[[#This Row],[Gestation (days)]]+0.5)/7)-0.00354*((Table1[[#This Row],[Gestation (days)]]+0.5)/7)^2)*Table1[[#This Row],[BW40_3705]],"")</f>
        <v/>
      </c>
      <c r="G3041" s="2" t="str">
        <f>IF(Table1[[#This Row],[Is Data Valid]]=TRUE,((Table1[[#This Row],[Birthweight (grams)]]/Table1[[#This Row],[BW_GA]])-1)/(Backend!$B$4/100*Table1[[#This Row],[BW40_3705]]),"")</f>
        <v/>
      </c>
      <c r="H3041" s="7" t="str">
        <f>IF(Table1[[#This Row],[Is Data Valid]]=TRUE,((Table1[[#This Row],[Birthweight (grams)]]*0.9/Table1[[#This Row],[BW_GA]])-1)/(Backend!$B$4/100*Table1[[#This Row],[BW40_3705]]),"")</f>
        <v/>
      </c>
      <c r="I3041" s="7" t="str">
        <f>IF(Table1[[#This Row],[Is Data Valid]]=TRUE,((Table1[[#This Row],[Birthweight (grams)]]*1.1/Table1[[#This Row],[BW_GA]])-1)/(Backend!$B$4/100*Table1[[#This Row],[BW40_3705]]),"")</f>
        <v/>
      </c>
      <c r="J3041" s="7" t="str">
        <f>IF(Table1[[#This Row],[Is Data Valid]]=TRUE,_xlfn.NORM.S.DIST(Table1[[#This Row],[Birthweight Z-Score]],TRUE)*100,"")</f>
        <v/>
      </c>
      <c r="K3041" s="7" t="str">
        <f>IF(Table1[[#This Row],[Is Data Valid]]=TRUE,_xlfn.NORM.S.DIST(Table1[[#This Row],[Birthweight Z-Score (BW-10%)]],TRUE)*100,"")</f>
        <v/>
      </c>
      <c r="L3041" s="7" t="str">
        <f>IF(Table1[[#This Row],[Is Data Valid]]=TRUE,_xlfn.NORM.S.DIST(Table1[[#This Row],[Birthweight Z-Score (BW+10%)]],TRUE)*100,"")</f>
        <v/>
      </c>
    </row>
    <row r="3042" spans="1:12" x14ac:dyDescent="0.35">
      <c r="A3042" s="3"/>
      <c r="B3042" s="2"/>
      <c r="C3042" s="2"/>
      <c r="D3042" s="2" t="b">
        <f>IF(AND(NOT(ISBLANK(Table1[[#This Row],[Fetal Sex (Male, Female or Unknown)]])),ISNUMBER(Table1[[#This Row],[Birthweight (grams)]]),ISNUMBER(Table1[[#This Row],[Gestation (days)]])),TRUE,FALSE)</f>
        <v>0</v>
      </c>
      <c r="E3042" s="2" t="str">
        <f>IF(Table1[[#This Row],[Is Data Valid]]=TRUE,IF(Table1[[#This Row],[Fetal Sex (Male, Female or Unknown)]]="Male",Backend!$C$6,IF(Table1[[#This Row],[Fetal Sex (Male, Female or Unknown)]]="Female",Backend!$C$7,IF(Table1[[#This Row],[Fetal Sex (Male, Female or Unknown)]]="Unknown",Backend!$C$8,"Error"))),"")</f>
        <v/>
      </c>
      <c r="F3042" s="8" t="str">
        <f>IF(Table1[[#This Row],[Is Data Valid]]=TRUE,EXP(0.578+0.332*((Table1[[#This Row],[Gestation (days)]]+0.5)/7)-0.00354*((Table1[[#This Row],[Gestation (days)]]+0.5)/7)^2)*Table1[[#This Row],[BW40_3705]],"")</f>
        <v/>
      </c>
      <c r="G3042" s="2" t="str">
        <f>IF(Table1[[#This Row],[Is Data Valid]]=TRUE,((Table1[[#This Row],[Birthweight (grams)]]/Table1[[#This Row],[BW_GA]])-1)/(Backend!$B$4/100*Table1[[#This Row],[BW40_3705]]),"")</f>
        <v/>
      </c>
      <c r="H3042" s="7" t="str">
        <f>IF(Table1[[#This Row],[Is Data Valid]]=TRUE,((Table1[[#This Row],[Birthweight (grams)]]*0.9/Table1[[#This Row],[BW_GA]])-1)/(Backend!$B$4/100*Table1[[#This Row],[BW40_3705]]),"")</f>
        <v/>
      </c>
      <c r="I3042" s="7" t="str">
        <f>IF(Table1[[#This Row],[Is Data Valid]]=TRUE,((Table1[[#This Row],[Birthweight (grams)]]*1.1/Table1[[#This Row],[BW_GA]])-1)/(Backend!$B$4/100*Table1[[#This Row],[BW40_3705]]),"")</f>
        <v/>
      </c>
      <c r="J3042" s="7" t="str">
        <f>IF(Table1[[#This Row],[Is Data Valid]]=TRUE,_xlfn.NORM.S.DIST(Table1[[#This Row],[Birthweight Z-Score]],TRUE)*100,"")</f>
        <v/>
      </c>
      <c r="K3042" s="7" t="str">
        <f>IF(Table1[[#This Row],[Is Data Valid]]=TRUE,_xlfn.NORM.S.DIST(Table1[[#This Row],[Birthweight Z-Score (BW-10%)]],TRUE)*100,"")</f>
        <v/>
      </c>
      <c r="L3042" s="7" t="str">
        <f>IF(Table1[[#This Row],[Is Data Valid]]=TRUE,_xlfn.NORM.S.DIST(Table1[[#This Row],[Birthweight Z-Score (BW+10%)]],TRUE)*100,"")</f>
        <v/>
      </c>
    </row>
    <row r="3043" spans="1:12" x14ac:dyDescent="0.35">
      <c r="A3043" s="3"/>
      <c r="B3043" s="2"/>
      <c r="C3043" s="2"/>
      <c r="D3043" s="2" t="b">
        <f>IF(AND(NOT(ISBLANK(Table1[[#This Row],[Fetal Sex (Male, Female or Unknown)]])),ISNUMBER(Table1[[#This Row],[Birthweight (grams)]]),ISNUMBER(Table1[[#This Row],[Gestation (days)]])),TRUE,FALSE)</f>
        <v>0</v>
      </c>
      <c r="E3043" s="2" t="str">
        <f>IF(Table1[[#This Row],[Is Data Valid]]=TRUE,IF(Table1[[#This Row],[Fetal Sex (Male, Female or Unknown)]]="Male",Backend!$C$6,IF(Table1[[#This Row],[Fetal Sex (Male, Female or Unknown)]]="Female",Backend!$C$7,IF(Table1[[#This Row],[Fetal Sex (Male, Female or Unknown)]]="Unknown",Backend!$C$8,"Error"))),"")</f>
        <v/>
      </c>
      <c r="F3043" s="8" t="str">
        <f>IF(Table1[[#This Row],[Is Data Valid]]=TRUE,EXP(0.578+0.332*((Table1[[#This Row],[Gestation (days)]]+0.5)/7)-0.00354*((Table1[[#This Row],[Gestation (days)]]+0.5)/7)^2)*Table1[[#This Row],[BW40_3705]],"")</f>
        <v/>
      </c>
      <c r="G3043" s="2" t="str">
        <f>IF(Table1[[#This Row],[Is Data Valid]]=TRUE,((Table1[[#This Row],[Birthweight (grams)]]/Table1[[#This Row],[BW_GA]])-1)/(Backend!$B$4/100*Table1[[#This Row],[BW40_3705]]),"")</f>
        <v/>
      </c>
      <c r="H3043" s="7" t="str">
        <f>IF(Table1[[#This Row],[Is Data Valid]]=TRUE,((Table1[[#This Row],[Birthweight (grams)]]*0.9/Table1[[#This Row],[BW_GA]])-1)/(Backend!$B$4/100*Table1[[#This Row],[BW40_3705]]),"")</f>
        <v/>
      </c>
      <c r="I3043" s="7" t="str">
        <f>IF(Table1[[#This Row],[Is Data Valid]]=TRUE,((Table1[[#This Row],[Birthweight (grams)]]*1.1/Table1[[#This Row],[BW_GA]])-1)/(Backend!$B$4/100*Table1[[#This Row],[BW40_3705]]),"")</f>
        <v/>
      </c>
      <c r="J3043" s="7" t="str">
        <f>IF(Table1[[#This Row],[Is Data Valid]]=TRUE,_xlfn.NORM.S.DIST(Table1[[#This Row],[Birthweight Z-Score]],TRUE)*100,"")</f>
        <v/>
      </c>
      <c r="K3043" s="7" t="str">
        <f>IF(Table1[[#This Row],[Is Data Valid]]=TRUE,_xlfn.NORM.S.DIST(Table1[[#This Row],[Birthweight Z-Score (BW-10%)]],TRUE)*100,"")</f>
        <v/>
      </c>
      <c r="L3043" s="7" t="str">
        <f>IF(Table1[[#This Row],[Is Data Valid]]=TRUE,_xlfn.NORM.S.DIST(Table1[[#This Row],[Birthweight Z-Score (BW+10%)]],TRUE)*100,"")</f>
        <v/>
      </c>
    </row>
    <row r="3044" spans="1:12" x14ac:dyDescent="0.35">
      <c r="A3044" s="3"/>
      <c r="B3044" s="2"/>
      <c r="C3044" s="2"/>
      <c r="D3044" s="2" t="b">
        <f>IF(AND(NOT(ISBLANK(Table1[[#This Row],[Fetal Sex (Male, Female or Unknown)]])),ISNUMBER(Table1[[#This Row],[Birthweight (grams)]]),ISNUMBER(Table1[[#This Row],[Gestation (days)]])),TRUE,FALSE)</f>
        <v>0</v>
      </c>
      <c r="E3044" s="2" t="str">
        <f>IF(Table1[[#This Row],[Is Data Valid]]=TRUE,IF(Table1[[#This Row],[Fetal Sex (Male, Female or Unknown)]]="Male",Backend!$C$6,IF(Table1[[#This Row],[Fetal Sex (Male, Female or Unknown)]]="Female",Backend!$C$7,IF(Table1[[#This Row],[Fetal Sex (Male, Female or Unknown)]]="Unknown",Backend!$C$8,"Error"))),"")</f>
        <v/>
      </c>
      <c r="F3044" s="8" t="str">
        <f>IF(Table1[[#This Row],[Is Data Valid]]=TRUE,EXP(0.578+0.332*((Table1[[#This Row],[Gestation (days)]]+0.5)/7)-0.00354*((Table1[[#This Row],[Gestation (days)]]+0.5)/7)^2)*Table1[[#This Row],[BW40_3705]],"")</f>
        <v/>
      </c>
      <c r="G3044" s="2" t="str">
        <f>IF(Table1[[#This Row],[Is Data Valid]]=TRUE,((Table1[[#This Row],[Birthweight (grams)]]/Table1[[#This Row],[BW_GA]])-1)/(Backend!$B$4/100*Table1[[#This Row],[BW40_3705]]),"")</f>
        <v/>
      </c>
      <c r="H3044" s="7" t="str">
        <f>IF(Table1[[#This Row],[Is Data Valid]]=TRUE,((Table1[[#This Row],[Birthweight (grams)]]*0.9/Table1[[#This Row],[BW_GA]])-1)/(Backend!$B$4/100*Table1[[#This Row],[BW40_3705]]),"")</f>
        <v/>
      </c>
      <c r="I3044" s="7" t="str">
        <f>IF(Table1[[#This Row],[Is Data Valid]]=TRUE,((Table1[[#This Row],[Birthweight (grams)]]*1.1/Table1[[#This Row],[BW_GA]])-1)/(Backend!$B$4/100*Table1[[#This Row],[BW40_3705]]),"")</f>
        <v/>
      </c>
      <c r="J3044" s="7" t="str">
        <f>IF(Table1[[#This Row],[Is Data Valid]]=TRUE,_xlfn.NORM.S.DIST(Table1[[#This Row],[Birthweight Z-Score]],TRUE)*100,"")</f>
        <v/>
      </c>
      <c r="K3044" s="7" t="str">
        <f>IF(Table1[[#This Row],[Is Data Valid]]=TRUE,_xlfn.NORM.S.DIST(Table1[[#This Row],[Birthweight Z-Score (BW-10%)]],TRUE)*100,"")</f>
        <v/>
      </c>
      <c r="L3044" s="7" t="str">
        <f>IF(Table1[[#This Row],[Is Data Valid]]=TRUE,_xlfn.NORM.S.DIST(Table1[[#This Row],[Birthweight Z-Score (BW+10%)]],TRUE)*100,"")</f>
        <v/>
      </c>
    </row>
    <row r="3045" spans="1:12" x14ac:dyDescent="0.35">
      <c r="A3045" s="3"/>
      <c r="B3045" s="2"/>
      <c r="C3045" s="2"/>
      <c r="D3045" s="2" t="b">
        <f>IF(AND(NOT(ISBLANK(Table1[[#This Row],[Fetal Sex (Male, Female or Unknown)]])),ISNUMBER(Table1[[#This Row],[Birthweight (grams)]]),ISNUMBER(Table1[[#This Row],[Gestation (days)]])),TRUE,FALSE)</f>
        <v>0</v>
      </c>
      <c r="E3045" s="2" t="str">
        <f>IF(Table1[[#This Row],[Is Data Valid]]=TRUE,IF(Table1[[#This Row],[Fetal Sex (Male, Female or Unknown)]]="Male",Backend!$C$6,IF(Table1[[#This Row],[Fetal Sex (Male, Female or Unknown)]]="Female",Backend!$C$7,IF(Table1[[#This Row],[Fetal Sex (Male, Female or Unknown)]]="Unknown",Backend!$C$8,"Error"))),"")</f>
        <v/>
      </c>
      <c r="F3045" s="8" t="str">
        <f>IF(Table1[[#This Row],[Is Data Valid]]=TRUE,EXP(0.578+0.332*((Table1[[#This Row],[Gestation (days)]]+0.5)/7)-0.00354*((Table1[[#This Row],[Gestation (days)]]+0.5)/7)^2)*Table1[[#This Row],[BW40_3705]],"")</f>
        <v/>
      </c>
      <c r="G3045" s="2" t="str">
        <f>IF(Table1[[#This Row],[Is Data Valid]]=TRUE,((Table1[[#This Row],[Birthweight (grams)]]/Table1[[#This Row],[BW_GA]])-1)/(Backend!$B$4/100*Table1[[#This Row],[BW40_3705]]),"")</f>
        <v/>
      </c>
      <c r="H3045" s="7" t="str">
        <f>IF(Table1[[#This Row],[Is Data Valid]]=TRUE,((Table1[[#This Row],[Birthweight (grams)]]*0.9/Table1[[#This Row],[BW_GA]])-1)/(Backend!$B$4/100*Table1[[#This Row],[BW40_3705]]),"")</f>
        <v/>
      </c>
      <c r="I3045" s="7" t="str">
        <f>IF(Table1[[#This Row],[Is Data Valid]]=TRUE,((Table1[[#This Row],[Birthweight (grams)]]*1.1/Table1[[#This Row],[BW_GA]])-1)/(Backend!$B$4/100*Table1[[#This Row],[BW40_3705]]),"")</f>
        <v/>
      </c>
      <c r="J3045" s="7" t="str">
        <f>IF(Table1[[#This Row],[Is Data Valid]]=TRUE,_xlfn.NORM.S.DIST(Table1[[#This Row],[Birthweight Z-Score]],TRUE)*100,"")</f>
        <v/>
      </c>
      <c r="K3045" s="7" t="str">
        <f>IF(Table1[[#This Row],[Is Data Valid]]=TRUE,_xlfn.NORM.S.DIST(Table1[[#This Row],[Birthweight Z-Score (BW-10%)]],TRUE)*100,"")</f>
        <v/>
      </c>
      <c r="L3045" s="7" t="str">
        <f>IF(Table1[[#This Row],[Is Data Valid]]=TRUE,_xlfn.NORM.S.DIST(Table1[[#This Row],[Birthweight Z-Score (BW+10%)]],TRUE)*100,"")</f>
        <v/>
      </c>
    </row>
    <row r="3046" spans="1:12" x14ac:dyDescent="0.35">
      <c r="A3046" s="3"/>
      <c r="B3046" s="2"/>
      <c r="C3046" s="2"/>
      <c r="D3046" s="2" t="b">
        <f>IF(AND(NOT(ISBLANK(Table1[[#This Row],[Fetal Sex (Male, Female or Unknown)]])),ISNUMBER(Table1[[#This Row],[Birthweight (grams)]]),ISNUMBER(Table1[[#This Row],[Gestation (days)]])),TRUE,FALSE)</f>
        <v>0</v>
      </c>
      <c r="E3046" s="2" t="str">
        <f>IF(Table1[[#This Row],[Is Data Valid]]=TRUE,IF(Table1[[#This Row],[Fetal Sex (Male, Female or Unknown)]]="Male",Backend!$C$6,IF(Table1[[#This Row],[Fetal Sex (Male, Female or Unknown)]]="Female",Backend!$C$7,IF(Table1[[#This Row],[Fetal Sex (Male, Female or Unknown)]]="Unknown",Backend!$C$8,"Error"))),"")</f>
        <v/>
      </c>
      <c r="F3046" s="8" t="str">
        <f>IF(Table1[[#This Row],[Is Data Valid]]=TRUE,EXP(0.578+0.332*((Table1[[#This Row],[Gestation (days)]]+0.5)/7)-0.00354*((Table1[[#This Row],[Gestation (days)]]+0.5)/7)^2)*Table1[[#This Row],[BW40_3705]],"")</f>
        <v/>
      </c>
      <c r="G3046" s="2" t="str">
        <f>IF(Table1[[#This Row],[Is Data Valid]]=TRUE,((Table1[[#This Row],[Birthweight (grams)]]/Table1[[#This Row],[BW_GA]])-1)/(Backend!$B$4/100*Table1[[#This Row],[BW40_3705]]),"")</f>
        <v/>
      </c>
      <c r="H3046" s="7" t="str">
        <f>IF(Table1[[#This Row],[Is Data Valid]]=TRUE,((Table1[[#This Row],[Birthweight (grams)]]*0.9/Table1[[#This Row],[BW_GA]])-1)/(Backend!$B$4/100*Table1[[#This Row],[BW40_3705]]),"")</f>
        <v/>
      </c>
      <c r="I3046" s="7" t="str">
        <f>IF(Table1[[#This Row],[Is Data Valid]]=TRUE,((Table1[[#This Row],[Birthweight (grams)]]*1.1/Table1[[#This Row],[BW_GA]])-1)/(Backend!$B$4/100*Table1[[#This Row],[BW40_3705]]),"")</f>
        <v/>
      </c>
      <c r="J3046" s="7" t="str">
        <f>IF(Table1[[#This Row],[Is Data Valid]]=TRUE,_xlfn.NORM.S.DIST(Table1[[#This Row],[Birthweight Z-Score]],TRUE)*100,"")</f>
        <v/>
      </c>
      <c r="K3046" s="7" t="str">
        <f>IF(Table1[[#This Row],[Is Data Valid]]=TRUE,_xlfn.NORM.S.DIST(Table1[[#This Row],[Birthweight Z-Score (BW-10%)]],TRUE)*100,"")</f>
        <v/>
      </c>
      <c r="L3046" s="7" t="str">
        <f>IF(Table1[[#This Row],[Is Data Valid]]=TRUE,_xlfn.NORM.S.DIST(Table1[[#This Row],[Birthweight Z-Score (BW+10%)]],TRUE)*100,"")</f>
        <v/>
      </c>
    </row>
    <row r="3047" spans="1:12" x14ac:dyDescent="0.35">
      <c r="A3047" s="3"/>
      <c r="B3047" s="2"/>
      <c r="C3047" s="2"/>
      <c r="D3047" s="2" t="b">
        <f>IF(AND(NOT(ISBLANK(Table1[[#This Row],[Fetal Sex (Male, Female or Unknown)]])),ISNUMBER(Table1[[#This Row],[Birthweight (grams)]]),ISNUMBER(Table1[[#This Row],[Gestation (days)]])),TRUE,FALSE)</f>
        <v>0</v>
      </c>
      <c r="E3047" s="2" t="str">
        <f>IF(Table1[[#This Row],[Is Data Valid]]=TRUE,IF(Table1[[#This Row],[Fetal Sex (Male, Female or Unknown)]]="Male",Backend!$C$6,IF(Table1[[#This Row],[Fetal Sex (Male, Female or Unknown)]]="Female",Backend!$C$7,IF(Table1[[#This Row],[Fetal Sex (Male, Female or Unknown)]]="Unknown",Backend!$C$8,"Error"))),"")</f>
        <v/>
      </c>
      <c r="F3047" s="8" t="str">
        <f>IF(Table1[[#This Row],[Is Data Valid]]=TRUE,EXP(0.578+0.332*((Table1[[#This Row],[Gestation (days)]]+0.5)/7)-0.00354*((Table1[[#This Row],[Gestation (days)]]+0.5)/7)^2)*Table1[[#This Row],[BW40_3705]],"")</f>
        <v/>
      </c>
      <c r="G3047" s="2" t="str">
        <f>IF(Table1[[#This Row],[Is Data Valid]]=TRUE,((Table1[[#This Row],[Birthweight (grams)]]/Table1[[#This Row],[BW_GA]])-1)/(Backend!$B$4/100*Table1[[#This Row],[BW40_3705]]),"")</f>
        <v/>
      </c>
      <c r="H3047" s="7" t="str">
        <f>IF(Table1[[#This Row],[Is Data Valid]]=TRUE,((Table1[[#This Row],[Birthweight (grams)]]*0.9/Table1[[#This Row],[BW_GA]])-1)/(Backend!$B$4/100*Table1[[#This Row],[BW40_3705]]),"")</f>
        <v/>
      </c>
      <c r="I3047" s="7" t="str">
        <f>IF(Table1[[#This Row],[Is Data Valid]]=TRUE,((Table1[[#This Row],[Birthweight (grams)]]*1.1/Table1[[#This Row],[BW_GA]])-1)/(Backend!$B$4/100*Table1[[#This Row],[BW40_3705]]),"")</f>
        <v/>
      </c>
      <c r="J3047" s="7" t="str">
        <f>IF(Table1[[#This Row],[Is Data Valid]]=TRUE,_xlfn.NORM.S.DIST(Table1[[#This Row],[Birthweight Z-Score]],TRUE)*100,"")</f>
        <v/>
      </c>
      <c r="K3047" s="7" t="str">
        <f>IF(Table1[[#This Row],[Is Data Valid]]=TRUE,_xlfn.NORM.S.DIST(Table1[[#This Row],[Birthweight Z-Score (BW-10%)]],TRUE)*100,"")</f>
        <v/>
      </c>
      <c r="L3047" s="7" t="str">
        <f>IF(Table1[[#This Row],[Is Data Valid]]=TRUE,_xlfn.NORM.S.DIST(Table1[[#This Row],[Birthweight Z-Score (BW+10%)]],TRUE)*100,"")</f>
        <v/>
      </c>
    </row>
    <row r="3048" spans="1:12" x14ac:dyDescent="0.35">
      <c r="A3048" s="3"/>
      <c r="B3048" s="2"/>
      <c r="C3048" s="2"/>
      <c r="D3048" s="2" t="b">
        <f>IF(AND(NOT(ISBLANK(Table1[[#This Row],[Fetal Sex (Male, Female or Unknown)]])),ISNUMBER(Table1[[#This Row],[Birthweight (grams)]]),ISNUMBER(Table1[[#This Row],[Gestation (days)]])),TRUE,FALSE)</f>
        <v>0</v>
      </c>
      <c r="E3048" s="2" t="str">
        <f>IF(Table1[[#This Row],[Is Data Valid]]=TRUE,IF(Table1[[#This Row],[Fetal Sex (Male, Female or Unknown)]]="Male",Backend!$C$6,IF(Table1[[#This Row],[Fetal Sex (Male, Female or Unknown)]]="Female",Backend!$C$7,IF(Table1[[#This Row],[Fetal Sex (Male, Female or Unknown)]]="Unknown",Backend!$C$8,"Error"))),"")</f>
        <v/>
      </c>
      <c r="F3048" s="8" t="str">
        <f>IF(Table1[[#This Row],[Is Data Valid]]=TRUE,EXP(0.578+0.332*((Table1[[#This Row],[Gestation (days)]]+0.5)/7)-0.00354*((Table1[[#This Row],[Gestation (days)]]+0.5)/7)^2)*Table1[[#This Row],[BW40_3705]],"")</f>
        <v/>
      </c>
      <c r="G3048" s="2" t="str">
        <f>IF(Table1[[#This Row],[Is Data Valid]]=TRUE,((Table1[[#This Row],[Birthweight (grams)]]/Table1[[#This Row],[BW_GA]])-1)/(Backend!$B$4/100*Table1[[#This Row],[BW40_3705]]),"")</f>
        <v/>
      </c>
      <c r="H3048" s="7" t="str">
        <f>IF(Table1[[#This Row],[Is Data Valid]]=TRUE,((Table1[[#This Row],[Birthweight (grams)]]*0.9/Table1[[#This Row],[BW_GA]])-1)/(Backend!$B$4/100*Table1[[#This Row],[BW40_3705]]),"")</f>
        <v/>
      </c>
      <c r="I3048" s="7" t="str">
        <f>IF(Table1[[#This Row],[Is Data Valid]]=TRUE,((Table1[[#This Row],[Birthweight (grams)]]*1.1/Table1[[#This Row],[BW_GA]])-1)/(Backend!$B$4/100*Table1[[#This Row],[BW40_3705]]),"")</f>
        <v/>
      </c>
      <c r="J3048" s="7" t="str">
        <f>IF(Table1[[#This Row],[Is Data Valid]]=TRUE,_xlfn.NORM.S.DIST(Table1[[#This Row],[Birthweight Z-Score]],TRUE)*100,"")</f>
        <v/>
      </c>
      <c r="K3048" s="7" t="str">
        <f>IF(Table1[[#This Row],[Is Data Valid]]=TRUE,_xlfn.NORM.S.DIST(Table1[[#This Row],[Birthweight Z-Score (BW-10%)]],TRUE)*100,"")</f>
        <v/>
      </c>
      <c r="L3048" s="7" t="str">
        <f>IF(Table1[[#This Row],[Is Data Valid]]=TRUE,_xlfn.NORM.S.DIST(Table1[[#This Row],[Birthweight Z-Score (BW+10%)]],TRUE)*100,"")</f>
        <v/>
      </c>
    </row>
    <row r="3049" spans="1:12" x14ac:dyDescent="0.35">
      <c r="A3049" s="3"/>
      <c r="B3049" s="2"/>
      <c r="C3049" s="2"/>
      <c r="D3049" s="2" t="b">
        <f>IF(AND(NOT(ISBLANK(Table1[[#This Row],[Fetal Sex (Male, Female or Unknown)]])),ISNUMBER(Table1[[#This Row],[Birthweight (grams)]]),ISNUMBER(Table1[[#This Row],[Gestation (days)]])),TRUE,FALSE)</f>
        <v>0</v>
      </c>
      <c r="E3049" s="2" t="str">
        <f>IF(Table1[[#This Row],[Is Data Valid]]=TRUE,IF(Table1[[#This Row],[Fetal Sex (Male, Female or Unknown)]]="Male",Backend!$C$6,IF(Table1[[#This Row],[Fetal Sex (Male, Female or Unknown)]]="Female",Backend!$C$7,IF(Table1[[#This Row],[Fetal Sex (Male, Female or Unknown)]]="Unknown",Backend!$C$8,"Error"))),"")</f>
        <v/>
      </c>
      <c r="F3049" s="8" t="str">
        <f>IF(Table1[[#This Row],[Is Data Valid]]=TRUE,EXP(0.578+0.332*((Table1[[#This Row],[Gestation (days)]]+0.5)/7)-0.00354*((Table1[[#This Row],[Gestation (days)]]+0.5)/7)^2)*Table1[[#This Row],[BW40_3705]],"")</f>
        <v/>
      </c>
      <c r="G3049" s="2" t="str">
        <f>IF(Table1[[#This Row],[Is Data Valid]]=TRUE,((Table1[[#This Row],[Birthweight (grams)]]/Table1[[#This Row],[BW_GA]])-1)/(Backend!$B$4/100*Table1[[#This Row],[BW40_3705]]),"")</f>
        <v/>
      </c>
      <c r="H3049" s="7" t="str">
        <f>IF(Table1[[#This Row],[Is Data Valid]]=TRUE,((Table1[[#This Row],[Birthweight (grams)]]*0.9/Table1[[#This Row],[BW_GA]])-1)/(Backend!$B$4/100*Table1[[#This Row],[BW40_3705]]),"")</f>
        <v/>
      </c>
      <c r="I3049" s="7" t="str">
        <f>IF(Table1[[#This Row],[Is Data Valid]]=TRUE,((Table1[[#This Row],[Birthweight (grams)]]*1.1/Table1[[#This Row],[BW_GA]])-1)/(Backend!$B$4/100*Table1[[#This Row],[BW40_3705]]),"")</f>
        <v/>
      </c>
      <c r="J3049" s="7" t="str">
        <f>IF(Table1[[#This Row],[Is Data Valid]]=TRUE,_xlfn.NORM.S.DIST(Table1[[#This Row],[Birthweight Z-Score]],TRUE)*100,"")</f>
        <v/>
      </c>
      <c r="K3049" s="7" t="str">
        <f>IF(Table1[[#This Row],[Is Data Valid]]=TRUE,_xlfn.NORM.S.DIST(Table1[[#This Row],[Birthweight Z-Score (BW-10%)]],TRUE)*100,"")</f>
        <v/>
      </c>
      <c r="L3049" s="7" t="str">
        <f>IF(Table1[[#This Row],[Is Data Valid]]=TRUE,_xlfn.NORM.S.DIST(Table1[[#This Row],[Birthweight Z-Score (BW+10%)]],TRUE)*100,"")</f>
        <v/>
      </c>
    </row>
    <row r="3050" spans="1:12" x14ac:dyDescent="0.35">
      <c r="A3050" s="3"/>
      <c r="B3050" s="2"/>
      <c r="C3050" s="2"/>
      <c r="D3050" s="2" t="b">
        <f>IF(AND(NOT(ISBLANK(Table1[[#This Row],[Fetal Sex (Male, Female or Unknown)]])),ISNUMBER(Table1[[#This Row],[Birthweight (grams)]]),ISNUMBER(Table1[[#This Row],[Gestation (days)]])),TRUE,FALSE)</f>
        <v>0</v>
      </c>
      <c r="E3050" s="2" t="str">
        <f>IF(Table1[[#This Row],[Is Data Valid]]=TRUE,IF(Table1[[#This Row],[Fetal Sex (Male, Female or Unknown)]]="Male",Backend!$C$6,IF(Table1[[#This Row],[Fetal Sex (Male, Female or Unknown)]]="Female",Backend!$C$7,IF(Table1[[#This Row],[Fetal Sex (Male, Female or Unknown)]]="Unknown",Backend!$C$8,"Error"))),"")</f>
        <v/>
      </c>
      <c r="F3050" s="8" t="str">
        <f>IF(Table1[[#This Row],[Is Data Valid]]=TRUE,EXP(0.578+0.332*((Table1[[#This Row],[Gestation (days)]]+0.5)/7)-0.00354*((Table1[[#This Row],[Gestation (days)]]+0.5)/7)^2)*Table1[[#This Row],[BW40_3705]],"")</f>
        <v/>
      </c>
      <c r="G3050" s="2" t="str">
        <f>IF(Table1[[#This Row],[Is Data Valid]]=TRUE,((Table1[[#This Row],[Birthweight (grams)]]/Table1[[#This Row],[BW_GA]])-1)/(Backend!$B$4/100*Table1[[#This Row],[BW40_3705]]),"")</f>
        <v/>
      </c>
      <c r="H3050" s="7" t="str">
        <f>IF(Table1[[#This Row],[Is Data Valid]]=TRUE,((Table1[[#This Row],[Birthweight (grams)]]*0.9/Table1[[#This Row],[BW_GA]])-1)/(Backend!$B$4/100*Table1[[#This Row],[BW40_3705]]),"")</f>
        <v/>
      </c>
      <c r="I3050" s="7" t="str">
        <f>IF(Table1[[#This Row],[Is Data Valid]]=TRUE,((Table1[[#This Row],[Birthweight (grams)]]*1.1/Table1[[#This Row],[BW_GA]])-1)/(Backend!$B$4/100*Table1[[#This Row],[BW40_3705]]),"")</f>
        <v/>
      </c>
      <c r="J3050" s="7" t="str">
        <f>IF(Table1[[#This Row],[Is Data Valid]]=TRUE,_xlfn.NORM.S.DIST(Table1[[#This Row],[Birthweight Z-Score]],TRUE)*100,"")</f>
        <v/>
      </c>
      <c r="K3050" s="7" t="str">
        <f>IF(Table1[[#This Row],[Is Data Valid]]=TRUE,_xlfn.NORM.S.DIST(Table1[[#This Row],[Birthweight Z-Score (BW-10%)]],TRUE)*100,"")</f>
        <v/>
      </c>
      <c r="L3050" s="7" t="str">
        <f>IF(Table1[[#This Row],[Is Data Valid]]=TRUE,_xlfn.NORM.S.DIST(Table1[[#This Row],[Birthweight Z-Score (BW+10%)]],TRUE)*100,"")</f>
        <v/>
      </c>
    </row>
    <row r="3051" spans="1:12" x14ac:dyDescent="0.35">
      <c r="A3051" s="3"/>
      <c r="B3051" s="2"/>
      <c r="C3051" s="2"/>
      <c r="D3051" s="2" t="b">
        <f>IF(AND(NOT(ISBLANK(Table1[[#This Row],[Fetal Sex (Male, Female or Unknown)]])),ISNUMBER(Table1[[#This Row],[Birthweight (grams)]]),ISNUMBER(Table1[[#This Row],[Gestation (days)]])),TRUE,FALSE)</f>
        <v>0</v>
      </c>
      <c r="E3051" s="2" t="str">
        <f>IF(Table1[[#This Row],[Is Data Valid]]=TRUE,IF(Table1[[#This Row],[Fetal Sex (Male, Female or Unknown)]]="Male",Backend!$C$6,IF(Table1[[#This Row],[Fetal Sex (Male, Female or Unknown)]]="Female",Backend!$C$7,IF(Table1[[#This Row],[Fetal Sex (Male, Female or Unknown)]]="Unknown",Backend!$C$8,"Error"))),"")</f>
        <v/>
      </c>
      <c r="F3051" s="8" t="str">
        <f>IF(Table1[[#This Row],[Is Data Valid]]=TRUE,EXP(0.578+0.332*((Table1[[#This Row],[Gestation (days)]]+0.5)/7)-0.00354*((Table1[[#This Row],[Gestation (days)]]+0.5)/7)^2)*Table1[[#This Row],[BW40_3705]],"")</f>
        <v/>
      </c>
      <c r="G3051" s="2" t="str">
        <f>IF(Table1[[#This Row],[Is Data Valid]]=TRUE,((Table1[[#This Row],[Birthweight (grams)]]/Table1[[#This Row],[BW_GA]])-1)/(Backend!$B$4/100*Table1[[#This Row],[BW40_3705]]),"")</f>
        <v/>
      </c>
      <c r="H3051" s="7" t="str">
        <f>IF(Table1[[#This Row],[Is Data Valid]]=TRUE,((Table1[[#This Row],[Birthweight (grams)]]*0.9/Table1[[#This Row],[BW_GA]])-1)/(Backend!$B$4/100*Table1[[#This Row],[BW40_3705]]),"")</f>
        <v/>
      </c>
      <c r="I3051" s="7" t="str">
        <f>IF(Table1[[#This Row],[Is Data Valid]]=TRUE,((Table1[[#This Row],[Birthweight (grams)]]*1.1/Table1[[#This Row],[BW_GA]])-1)/(Backend!$B$4/100*Table1[[#This Row],[BW40_3705]]),"")</f>
        <v/>
      </c>
      <c r="J3051" s="7" t="str">
        <f>IF(Table1[[#This Row],[Is Data Valid]]=TRUE,_xlfn.NORM.S.DIST(Table1[[#This Row],[Birthweight Z-Score]],TRUE)*100,"")</f>
        <v/>
      </c>
      <c r="K3051" s="7" t="str">
        <f>IF(Table1[[#This Row],[Is Data Valid]]=TRUE,_xlfn.NORM.S.DIST(Table1[[#This Row],[Birthweight Z-Score (BW-10%)]],TRUE)*100,"")</f>
        <v/>
      </c>
      <c r="L3051" s="7" t="str">
        <f>IF(Table1[[#This Row],[Is Data Valid]]=TRUE,_xlfn.NORM.S.DIST(Table1[[#This Row],[Birthweight Z-Score (BW+10%)]],TRUE)*100,"")</f>
        <v/>
      </c>
    </row>
    <row r="3052" spans="1:12" x14ac:dyDescent="0.35">
      <c r="A3052" s="3"/>
      <c r="B3052" s="2"/>
      <c r="C3052" s="2"/>
      <c r="D3052" s="2" t="b">
        <f>IF(AND(NOT(ISBLANK(Table1[[#This Row],[Fetal Sex (Male, Female or Unknown)]])),ISNUMBER(Table1[[#This Row],[Birthweight (grams)]]),ISNUMBER(Table1[[#This Row],[Gestation (days)]])),TRUE,FALSE)</f>
        <v>0</v>
      </c>
      <c r="E3052" s="2" t="str">
        <f>IF(Table1[[#This Row],[Is Data Valid]]=TRUE,IF(Table1[[#This Row],[Fetal Sex (Male, Female or Unknown)]]="Male",Backend!$C$6,IF(Table1[[#This Row],[Fetal Sex (Male, Female or Unknown)]]="Female",Backend!$C$7,IF(Table1[[#This Row],[Fetal Sex (Male, Female or Unknown)]]="Unknown",Backend!$C$8,"Error"))),"")</f>
        <v/>
      </c>
      <c r="F3052" s="8" t="str">
        <f>IF(Table1[[#This Row],[Is Data Valid]]=TRUE,EXP(0.578+0.332*((Table1[[#This Row],[Gestation (days)]]+0.5)/7)-0.00354*((Table1[[#This Row],[Gestation (days)]]+0.5)/7)^2)*Table1[[#This Row],[BW40_3705]],"")</f>
        <v/>
      </c>
      <c r="G3052" s="2" t="str">
        <f>IF(Table1[[#This Row],[Is Data Valid]]=TRUE,((Table1[[#This Row],[Birthweight (grams)]]/Table1[[#This Row],[BW_GA]])-1)/(Backend!$B$4/100*Table1[[#This Row],[BW40_3705]]),"")</f>
        <v/>
      </c>
      <c r="H3052" s="7" t="str">
        <f>IF(Table1[[#This Row],[Is Data Valid]]=TRUE,((Table1[[#This Row],[Birthweight (grams)]]*0.9/Table1[[#This Row],[BW_GA]])-1)/(Backend!$B$4/100*Table1[[#This Row],[BW40_3705]]),"")</f>
        <v/>
      </c>
      <c r="I3052" s="7" t="str">
        <f>IF(Table1[[#This Row],[Is Data Valid]]=TRUE,((Table1[[#This Row],[Birthweight (grams)]]*1.1/Table1[[#This Row],[BW_GA]])-1)/(Backend!$B$4/100*Table1[[#This Row],[BW40_3705]]),"")</f>
        <v/>
      </c>
      <c r="J3052" s="7" t="str">
        <f>IF(Table1[[#This Row],[Is Data Valid]]=TRUE,_xlfn.NORM.S.DIST(Table1[[#This Row],[Birthweight Z-Score]],TRUE)*100,"")</f>
        <v/>
      </c>
      <c r="K3052" s="7" t="str">
        <f>IF(Table1[[#This Row],[Is Data Valid]]=TRUE,_xlfn.NORM.S.DIST(Table1[[#This Row],[Birthweight Z-Score (BW-10%)]],TRUE)*100,"")</f>
        <v/>
      </c>
      <c r="L3052" s="7" t="str">
        <f>IF(Table1[[#This Row],[Is Data Valid]]=TRUE,_xlfn.NORM.S.DIST(Table1[[#This Row],[Birthweight Z-Score (BW+10%)]],TRUE)*100,"")</f>
        <v/>
      </c>
    </row>
    <row r="3053" spans="1:12" x14ac:dyDescent="0.35">
      <c r="A3053" s="3"/>
      <c r="B3053" s="2"/>
      <c r="C3053" s="2"/>
      <c r="D3053" s="2" t="b">
        <f>IF(AND(NOT(ISBLANK(Table1[[#This Row],[Fetal Sex (Male, Female or Unknown)]])),ISNUMBER(Table1[[#This Row],[Birthweight (grams)]]),ISNUMBER(Table1[[#This Row],[Gestation (days)]])),TRUE,FALSE)</f>
        <v>0</v>
      </c>
      <c r="E3053" s="2" t="str">
        <f>IF(Table1[[#This Row],[Is Data Valid]]=TRUE,IF(Table1[[#This Row],[Fetal Sex (Male, Female or Unknown)]]="Male",Backend!$C$6,IF(Table1[[#This Row],[Fetal Sex (Male, Female or Unknown)]]="Female",Backend!$C$7,IF(Table1[[#This Row],[Fetal Sex (Male, Female or Unknown)]]="Unknown",Backend!$C$8,"Error"))),"")</f>
        <v/>
      </c>
      <c r="F3053" s="8" t="str">
        <f>IF(Table1[[#This Row],[Is Data Valid]]=TRUE,EXP(0.578+0.332*((Table1[[#This Row],[Gestation (days)]]+0.5)/7)-0.00354*((Table1[[#This Row],[Gestation (days)]]+0.5)/7)^2)*Table1[[#This Row],[BW40_3705]],"")</f>
        <v/>
      </c>
      <c r="G3053" s="2" t="str">
        <f>IF(Table1[[#This Row],[Is Data Valid]]=TRUE,((Table1[[#This Row],[Birthweight (grams)]]/Table1[[#This Row],[BW_GA]])-1)/(Backend!$B$4/100*Table1[[#This Row],[BW40_3705]]),"")</f>
        <v/>
      </c>
      <c r="H3053" s="7" t="str">
        <f>IF(Table1[[#This Row],[Is Data Valid]]=TRUE,((Table1[[#This Row],[Birthweight (grams)]]*0.9/Table1[[#This Row],[BW_GA]])-1)/(Backend!$B$4/100*Table1[[#This Row],[BW40_3705]]),"")</f>
        <v/>
      </c>
      <c r="I3053" s="7" t="str">
        <f>IF(Table1[[#This Row],[Is Data Valid]]=TRUE,((Table1[[#This Row],[Birthweight (grams)]]*1.1/Table1[[#This Row],[BW_GA]])-1)/(Backend!$B$4/100*Table1[[#This Row],[BW40_3705]]),"")</f>
        <v/>
      </c>
      <c r="J3053" s="7" t="str">
        <f>IF(Table1[[#This Row],[Is Data Valid]]=TRUE,_xlfn.NORM.S.DIST(Table1[[#This Row],[Birthweight Z-Score]],TRUE)*100,"")</f>
        <v/>
      </c>
      <c r="K3053" s="7" t="str">
        <f>IF(Table1[[#This Row],[Is Data Valid]]=TRUE,_xlfn.NORM.S.DIST(Table1[[#This Row],[Birthweight Z-Score (BW-10%)]],TRUE)*100,"")</f>
        <v/>
      </c>
      <c r="L3053" s="7" t="str">
        <f>IF(Table1[[#This Row],[Is Data Valid]]=TRUE,_xlfn.NORM.S.DIST(Table1[[#This Row],[Birthweight Z-Score (BW+10%)]],TRUE)*100,"")</f>
        <v/>
      </c>
    </row>
    <row r="3054" spans="1:12" x14ac:dyDescent="0.35">
      <c r="A3054" s="3"/>
      <c r="B3054" s="2"/>
      <c r="C3054" s="2"/>
      <c r="D3054" s="2" t="b">
        <f>IF(AND(NOT(ISBLANK(Table1[[#This Row],[Fetal Sex (Male, Female or Unknown)]])),ISNUMBER(Table1[[#This Row],[Birthweight (grams)]]),ISNUMBER(Table1[[#This Row],[Gestation (days)]])),TRUE,FALSE)</f>
        <v>0</v>
      </c>
      <c r="E3054" s="2" t="str">
        <f>IF(Table1[[#This Row],[Is Data Valid]]=TRUE,IF(Table1[[#This Row],[Fetal Sex (Male, Female or Unknown)]]="Male",Backend!$C$6,IF(Table1[[#This Row],[Fetal Sex (Male, Female or Unknown)]]="Female",Backend!$C$7,IF(Table1[[#This Row],[Fetal Sex (Male, Female or Unknown)]]="Unknown",Backend!$C$8,"Error"))),"")</f>
        <v/>
      </c>
      <c r="F3054" s="8" t="str">
        <f>IF(Table1[[#This Row],[Is Data Valid]]=TRUE,EXP(0.578+0.332*((Table1[[#This Row],[Gestation (days)]]+0.5)/7)-0.00354*((Table1[[#This Row],[Gestation (days)]]+0.5)/7)^2)*Table1[[#This Row],[BW40_3705]],"")</f>
        <v/>
      </c>
      <c r="G3054" s="2" t="str">
        <f>IF(Table1[[#This Row],[Is Data Valid]]=TRUE,((Table1[[#This Row],[Birthweight (grams)]]/Table1[[#This Row],[BW_GA]])-1)/(Backend!$B$4/100*Table1[[#This Row],[BW40_3705]]),"")</f>
        <v/>
      </c>
      <c r="H3054" s="7" t="str">
        <f>IF(Table1[[#This Row],[Is Data Valid]]=TRUE,((Table1[[#This Row],[Birthweight (grams)]]*0.9/Table1[[#This Row],[BW_GA]])-1)/(Backend!$B$4/100*Table1[[#This Row],[BW40_3705]]),"")</f>
        <v/>
      </c>
      <c r="I3054" s="7" t="str">
        <f>IF(Table1[[#This Row],[Is Data Valid]]=TRUE,((Table1[[#This Row],[Birthweight (grams)]]*1.1/Table1[[#This Row],[BW_GA]])-1)/(Backend!$B$4/100*Table1[[#This Row],[BW40_3705]]),"")</f>
        <v/>
      </c>
      <c r="J3054" s="7" t="str">
        <f>IF(Table1[[#This Row],[Is Data Valid]]=TRUE,_xlfn.NORM.S.DIST(Table1[[#This Row],[Birthweight Z-Score]],TRUE)*100,"")</f>
        <v/>
      </c>
      <c r="K3054" s="7" t="str">
        <f>IF(Table1[[#This Row],[Is Data Valid]]=TRUE,_xlfn.NORM.S.DIST(Table1[[#This Row],[Birthweight Z-Score (BW-10%)]],TRUE)*100,"")</f>
        <v/>
      </c>
      <c r="L3054" s="7" t="str">
        <f>IF(Table1[[#This Row],[Is Data Valid]]=TRUE,_xlfn.NORM.S.DIST(Table1[[#This Row],[Birthweight Z-Score (BW+10%)]],TRUE)*100,"")</f>
        <v/>
      </c>
    </row>
    <row r="3055" spans="1:12" x14ac:dyDescent="0.35">
      <c r="A3055" s="3"/>
      <c r="B3055" s="2"/>
      <c r="C3055" s="2"/>
      <c r="D3055" s="2" t="b">
        <f>IF(AND(NOT(ISBLANK(Table1[[#This Row],[Fetal Sex (Male, Female or Unknown)]])),ISNUMBER(Table1[[#This Row],[Birthweight (grams)]]),ISNUMBER(Table1[[#This Row],[Gestation (days)]])),TRUE,FALSE)</f>
        <v>0</v>
      </c>
      <c r="E3055" s="2" t="str">
        <f>IF(Table1[[#This Row],[Is Data Valid]]=TRUE,IF(Table1[[#This Row],[Fetal Sex (Male, Female or Unknown)]]="Male",Backend!$C$6,IF(Table1[[#This Row],[Fetal Sex (Male, Female or Unknown)]]="Female",Backend!$C$7,IF(Table1[[#This Row],[Fetal Sex (Male, Female or Unknown)]]="Unknown",Backend!$C$8,"Error"))),"")</f>
        <v/>
      </c>
      <c r="F3055" s="8" t="str">
        <f>IF(Table1[[#This Row],[Is Data Valid]]=TRUE,EXP(0.578+0.332*((Table1[[#This Row],[Gestation (days)]]+0.5)/7)-0.00354*((Table1[[#This Row],[Gestation (days)]]+0.5)/7)^2)*Table1[[#This Row],[BW40_3705]],"")</f>
        <v/>
      </c>
      <c r="G3055" s="2" t="str">
        <f>IF(Table1[[#This Row],[Is Data Valid]]=TRUE,((Table1[[#This Row],[Birthweight (grams)]]/Table1[[#This Row],[BW_GA]])-1)/(Backend!$B$4/100*Table1[[#This Row],[BW40_3705]]),"")</f>
        <v/>
      </c>
      <c r="H3055" s="7" t="str">
        <f>IF(Table1[[#This Row],[Is Data Valid]]=TRUE,((Table1[[#This Row],[Birthweight (grams)]]*0.9/Table1[[#This Row],[BW_GA]])-1)/(Backend!$B$4/100*Table1[[#This Row],[BW40_3705]]),"")</f>
        <v/>
      </c>
      <c r="I3055" s="7" t="str">
        <f>IF(Table1[[#This Row],[Is Data Valid]]=TRUE,((Table1[[#This Row],[Birthweight (grams)]]*1.1/Table1[[#This Row],[BW_GA]])-1)/(Backend!$B$4/100*Table1[[#This Row],[BW40_3705]]),"")</f>
        <v/>
      </c>
      <c r="J3055" s="7" t="str">
        <f>IF(Table1[[#This Row],[Is Data Valid]]=TRUE,_xlfn.NORM.S.DIST(Table1[[#This Row],[Birthweight Z-Score]],TRUE)*100,"")</f>
        <v/>
      </c>
      <c r="K3055" s="7" t="str">
        <f>IF(Table1[[#This Row],[Is Data Valid]]=TRUE,_xlfn.NORM.S.DIST(Table1[[#This Row],[Birthweight Z-Score (BW-10%)]],TRUE)*100,"")</f>
        <v/>
      </c>
      <c r="L3055" s="7" t="str">
        <f>IF(Table1[[#This Row],[Is Data Valid]]=TRUE,_xlfn.NORM.S.DIST(Table1[[#This Row],[Birthweight Z-Score (BW+10%)]],TRUE)*100,"")</f>
        <v/>
      </c>
    </row>
    <row r="3056" spans="1:12" x14ac:dyDescent="0.35">
      <c r="A3056" s="3"/>
      <c r="B3056" s="2"/>
      <c r="C3056" s="2"/>
      <c r="D3056" s="2" t="b">
        <f>IF(AND(NOT(ISBLANK(Table1[[#This Row],[Fetal Sex (Male, Female or Unknown)]])),ISNUMBER(Table1[[#This Row],[Birthweight (grams)]]),ISNUMBER(Table1[[#This Row],[Gestation (days)]])),TRUE,FALSE)</f>
        <v>0</v>
      </c>
      <c r="E3056" s="2" t="str">
        <f>IF(Table1[[#This Row],[Is Data Valid]]=TRUE,IF(Table1[[#This Row],[Fetal Sex (Male, Female or Unknown)]]="Male",Backend!$C$6,IF(Table1[[#This Row],[Fetal Sex (Male, Female or Unknown)]]="Female",Backend!$C$7,IF(Table1[[#This Row],[Fetal Sex (Male, Female or Unknown)]]="Unknown",Backend!$C$8,"Error"))),"")</f>
        <v/>
      </c>
      <c r="F3056" s="8" t="str">
        <f>IF(Table1[[#This Row],[Is Data Valid]]=TRUE,EXP(0.578+0.332*((Table1[[#This Row],[Gestation (days)]]+0.5)/7)-0.00354*((Table1[[#This Row],[Gestation (days)]]+0.5)/7)^2)*Table1[[#This Row],[BW40_3705]],"")</f>
        <v/>
      </c>
      <c r="G3056" s="2" t="str">
        <f>IF(Table1[[#This Row],[Is Data Valid]]=TRUE,((Table1[[#This Row],[Birthweight (grams)]]/Table1[[#This Row],[BW_GA]])-1)/(Backend!$B$4/100*Table1[[#This Row],[BW40_3705]]),"")</f>
        <v/>
      </c>
      <c r="H3056" s="7" t="str">
        <f>IF(Table1[[#This Row],[Is Data Valid]]=TRUE,((Table1[[#This Row],[Birthweight (grams)]]*0.9/Table1[[#This Row],[BW_GA]])-1)/(Backend!$B$4/100*Table1[[#This Row],[BW40_3705]]),"")</f>
        <v/>
      </c>
      <c r="I3056" s="7" t="str">
        <f>IF(Table1[[#This Row],[Is Data Valid]]=TRUE,((Table1[[#This Row],[Birthweight (grams)]]*1.1/Table1[[#This Row],[BW_GA]])-1)/(Backend!$B$4/100*Table1[[#This Row],[BW40_3705]]),"")</f>
        <v/>
      </c>
      <c r="J3056" s="7" t="str">
        <f>IF(Table1[[#This Row],[Is Data Valid]]=TRUE,_xlfn.NORM.S.DIST(Table1[[#This Row],[Birthweight Z-Score]],TRUE)*100,"")</f>
        <v/>
      </c>
      <c r="K3056" s="7" t="str">
        <f>IF(Table1[[#This Row],[Is Data Valid]]=TRUE,_xlfn.NORM.S.DIST(Table1[[#This Row],[Birthweight Z-Score (BW-10%)]],TRUE)*100,"")</f>
        <v/>
      </c>
      <c r="L3056" s="7" t="str">
        <f>IF(Table1[[#This Row],[Is Data Valid]]=TRUE,_xlfn.NORM.S.DIST(Table1[[#This Row],[Birthweight Z-Score (BW+10%)]],TRUE)*100,"")</f>
        <v/>
      </c>
    </row>
    <row r="3057" spans="1:12" x14ac:dyDescent="0.35">
      <c r="A3057" s="3"/>
      <c r="B3057" s="2"/>
      <c r="C3057" s="2"/>
      <c r="D3057" s="2" t="b">
        <f>IF(AND(NOT(ISBLANK(Table1[[#This Row],[Fetal Sex (Male, Female or Unknown)]])),ISNUMBER(Table1[[#This Row],[Birthweight (grams)]]),ISNUMBER(Table1[[#This Row],[Gestation (days)]])),TRUE,FALSE)</f>
        <v>0</v>
      </c>
      <c r="E3057" s="2" t="str">
        <f>IF(Table1[[#This Row],[Is Data Valid]]=TRUE,IF(Table1[[#This Row],[Fetal Sex (Male, Female or Unknown)]]="Male",Backend!$C$6,IF(Table1[[#This Row],[Fetal Sex (Male, Female or Unknown)]]="Female",Backend!$C$7,IF(Table1[[#This Row],[Fetal Sex (Male, Female or Unknown)]]="Unknown",Backend!$C$8,"Error"))),"")</f>
        <v/>
      </c>
      <c r="F3057" s="8" t="str">
        <f>IF(Table1[[#This Row],[Is Data Valid]]=TRUE,EXP(0.578+0.332*((Table1[[#This Row],[Gestation (days)]]+0.5)/7)-0.00354*((Table1[[#This Row],[Gestation (days)]]+0.5)/7)^2)*Table1[[#This Row],[BW40_3705]],"")</f>
        <v/>
      </c>
      <c r="G3057" s="2" t="str">
        <f>IF(Table1[[#This Row],[Is Data Valid]]=TRUE,((Table1[[#This Row],[Birthweight (grams)]]/Table1[[#This Row],[BW_GA]])-1)/(Backend!$B$4/100*Table1[[#This Row],[BW40_3705]]),"")</f>
        <v/>
      </c>
      <c r="H3057" s="7" t="str">
        <f>IF(Table1[[#This Row],[Is Data Valid]]=TRUE,((Table1[[#This Row],[Birthweight (grams)]]*0.9/Table1[[#This Row],[BW_GA]])-1)/(Backend!$B$4/100*Table1[[#This Row],[BW40_3705]]),"")</f>
        <v/>
      </c>
      <c r="I3057" s="7" t="str">
        <f>IF(Table1[[#This Row],[Is Data Valid]]=TRUE,((Table1[[#This Row],[Birthweight (grams)]]*1.1/Table1[[#This Row],[BW_GA]])-1)/(Backend!$B$4/100*Table1[[#This Row],[BW40_3705]]),"")</f>
        <v/>
      </c>
      <c r="J3057" s="7" t="str">
        <f>IF(Table1[[#This Row],[Is Data Valid]]=TRUE,_xlfn.NORM.S.DIST(Table1[[#This Row],[Birthweight Z-Score]],TRUE)*100,"")</f>
        <v/>
      </c>
      <c r="K3057" s="7" t="str">
        <f>IF(Table1[[#This Row],[Is Data Valid]]=TRUE,_xlfn.NORM.S.DIST(Table1[[#This Row],[Birthweight Z-Score (BW-10%)]],TRUE)*100,"")</f>
        <v/>
      </c>
      <c r="L3057" s="7" t="str">
        <f>IF(Table1[[#This Row],[Is Data Valid]]=TRUE,_xlfn.NORM.S.DIST(Table1[[#This Row],[Birthweight Z-Score (BW+10%)]],TRUE)*100,"")</f>
        <v/>
      </c>
    </row>
    <row r="3058" spans="1:12" x14ac:dyDescent="0.35">
      <c r="A3058" s="3"/>
      <c r="B3058" s="2"/>
      <c r="C3058" s="2"/>
      <c r="D3058" s="2" t="b">
        <f>IF(AND(NOT(ISBLANK(Table1[[#This Row],[Fetal Sex (Male, Female or Unknown)]])),ISNUMBER(Table1[[#This Row],[Birthweight (grams)]]),ISNUMBER(Table1[[#This Row],[Gestation (days)]])),TRUE,FALSE)</f>
        <v>0</v>
      </c>
      <c r="E3058" s="2" t="str">
        <f>IF(Table1[[#This Row],[Is Data Valid]]=TRUE,IF(Table1[[#This Row],[Fetal Sex (Male, Female or Unknown)]]="Male",Backend!$C$6,IF(Table1[[#This Row],[Fetal Sex (Male, Female or Unknown)]]="Female",Backend!$C$7,IF(Table1[[#This Row],[Fetal Sex (Male, Female or Unknown)]]="Unknown",Backend!$C$8,"Error"))),"")</f>
        <v/>
      </c>
      <c r="F3058" s="8" t="str">
        <f>IF(Table1[[#This Row],[Is Data Valid]]=TRUE,EXP(0.578+0.332*((Table1[[#This Row],[Gestation (days)]]+0.5)/7)-0.00354*((Table1[[#This Row],[Gestation (days)]]+0.5)/7)^2)*Table1[[#This Row],[BW40_3705]],"")</f>
        <v/>
      </c>
      <c r="G3058" s="2" t="str">
        <f>IF(Table1[[#This Row],[Is Data Valid]]=TRUE,((Table1[[#This Row],[Birthweight (grams)]]/Table1[[#This Row],[BW_GA]])-1)/(Backend!$B$4/100*Table1[[#This Row],[BW40_3705]]),"")</f>
        <v/>
      </c>
      <c r="H3058" s="7" t="str">
        <f>IF(Table1[[#This Row],[Is Data Valid]]=TRUE,((Table1[[#This Row],[Birthweight (grams)]]*0.9/Table1[[#This Row],[BW_GA]])-1)/(Backend!$B$4/100*Table1[[#This Row],[BW40_3705]]),"")</f>
        <v/>
      </c>
      <c r="I3058" s="7" t="str">
        <f>IF(Table1[[#This Row],[Is Data Valid]]=TRUE,((Table1[[#This Row],[Birthweight (grams)]]*1.1/Table1[[#This Row],[BW_GA]])-1)/(Backend!$B$4/100*Table1[[#This Row],[BW40_3705]]),"")</f>
        <v/>
      </c>
      <c r="J3058" s="7" t="str">
        <f>IF(Table1[[#This Row],[Is Data Valid]]=TRUE,_xlfn.NORM.S.DIST(Table1[[#This Row],[Birthweight Z-Score]],TRUE)*100,"")</f>
        <v/>
      </c>
      <c r="K3058" s="7" t="str">
        <f>IF(Table1[[#This Row],[Is Data Valid]]=TRUE,_xlfn.NORM.S.DIST(Table1[[#This Row],[Birthweight Z-Score (BW-10%)]],TRUE)*100,"")</f>
        <v/>
      </c>
      <c r="L3058" s="7" t="str">
        <f>IF(Table1[[#This Row],[Is Data Valid]]=TRUE,_xlfn.NORM.S.DIST(Table1[[#This Row],[Birthweight Z-Score (BW+10%)]],TRUE)*100,"")</f>
        <v/>
      </c>
    </row>
    <row r="3059" spans="1:12" x14ac:dyDescent="0.35">
      <c r="A3059" s="3"/>
      <c r="B3059" s="2"/>
      <c r="C3059" s="2"/>
      <c r="D3059" s="2" t="b">
        <f>IF(AND(NOT(ISBLANK(Table1[[#This Row],[Fetal Sex (Male, Female or Unknown)]])),ISNUMBER(Table1[[#This Row],[Birthweight (grams)]]),ISNUMBER(Table1[[#This Row],[Gestation (days)]])),TRUE,FALSE)</f>
        <v>0</v>
      </c>
      <c r="E3059" s="2" t="str">
        <f>IF(Table1[[#This Row],[Is Data Valid]]=TRUE,IF(Table1[[#This Row],[Fetal Sex (Male, Female or Unknown)]]="Male",Backend!$C$6,IF(Table1[[#This Row],[Fetal Sex (Male, Female or Unknown)]]="Female",Backend!$C$7,IF(Table1[[#This Row],[Fetal Sex (Male, Female or Unknown)]]="Unknown",Backend!$C$8,"Error"))),"")</f>
        <v/>
      </c>
      <c r="F3059" s="8" t="str">
        <f>IF(Table1[[#This Row],[Is Data Valid]]=TRUE,EXP(0.578+0.332*((Table1[[#This Row],[Gestation (days)]]+0.5)/7)-0.00354*((Table1[[#This Row],[Gestation (days)]]+0.5)/7)^2)*Table1[[#This Row],[BW40_3705]],"")</f>
        <v/>
      </c>
      <c r="G3059" s="2" t="str">
        <f>IF(Table1[[#This Row],[Is Data Valid]]=TRUE,((Table1[[#This Row],[Birthweight (grams)]]/Table1[[#This Row],[BW_GA]])-1)/(Backend!$B$4/100*Table1[[#This Row],[BW40_3705]]),"")</f>
        <v/>
      </c>
      <c r="H3059" s="7" t="str">
        <f>IF(Table1[[#This Row],[Is Data Valid]]=TRUE,((Table1[[#This Row],[Birthweight (grams)]]*0.9/Table1[[#This Row],[BW_GA]])-1)/(Backend!$B$4/100*Table1[[#This Row],[BW40_3705]]),"")</f>
        <v/>
      </c>
      <c r="I3059" s="7" t="str">
        <f>IF(Table1[[#This Row],[Is Data Valid]]=TRUE,((Table1[[#This Row],[Birthweight (grams)]]*1.1/Table1[[#This Row],[BW_GA]])-1)/(Backend!$B$4/100*Table1[[#This Row],[BW40_3705]]),"")</f>
        <v/>
      </c>
      <c r="J3059" s="7" t="str">
        <f>IF(Table1[[#This Row],[Is Data Valid]]=TRUE,_xlfn.NORM.S.DIST(Table1[[#This Row],[Birthweight Z-Score]],TRUE)*100,"")</f>
        <v/>
      </c>
      <c r="K3059" s="7" t="str">
        <f>IF(Table1[[#This Row],[Is Data Valid]]=TRUE,_xlfn.NORM.S.DIST(Table1[[#This Row],[Birthweight Z-Score (BW-10%)]],TRUE)*100,"")</f>
        <v/>
      </c>
      <c r="L3059" s="7" t="str">
        <f>IF(Table1[[#This Row],[Is Data Valid]]=TRUE,_xlfn.NORM.S.DIST(Table1[[#This Row],[Birthweight Z-Score (BW+10%)]],TRUE)*100,"")</f>
        <v/>
      </c>
    </row>
    <row r="3060" spans="1:12" x14ac:dyDescent="0.35">
      <c r="A3060" s="3"/>
      <c r="B3060" s="2"/>
      <c r="C3060" s="2"/>
      <c r="D3060" s="2" t="b">
        <f>IF(AND(NOT(ISBLANK(Table1[[#This Row],[Fetal Sex (Male, Female or Unknown)]])),ISNUMBER(Table1[[#This Row],[Birthweight (grams)]]),ISNUMBER(Table1[[#This Row],[Gestation (days)]])),TRUE,FALSE)</f>
        <v>0</v>
      </c>
      <c r="E3060" s="2" t="str">
        <f>IF(Table1[[#This Row],[Is Data Valid]]=TRUE,IF(Table1[[#This Row],[Fetal Sex (Male, Female or Unknown)]]="Male",Backend!$C$6,IF(Table1[[#This Row],[Fetal Sex (Male, Female or Unknown)]]="Female",Backend!$C$7,IF(Table1[[#This Row],[Fetal Sex (Male, Female or Unknown)]]="Unknown",Backend!$C$8,"Error"))),"")</f>
        <v/>
      </c>
      <c r="F3060" s="8" t="str">
        <f>IF(Table1[[#This Row],[Is Data Valid]]=TRUE,EXP(0.578+0.332*((Table1[[#This Row],[Gestation (days)]]+0.5)/7)-0.00354*((Table1[[#This Row],[Gestation (days)]]+0.5)/7)^2)*Table1[[#This Row],[BW40_3705]],"")</f>
        <v/>
      </c>
      <c r="G3060" s="2" t="str">
        <f>IF(Table1[[#This Row],[Is Data Valid]]=TRUE,((Table1[[#This Row],[Birthweight (grams)]]/Table1[[#This Row],[BW_GA]])-1)/(Backend!$B$4/100*Table1[[#This Row],[BW40_3705]]),"")</f>
        <v/>
      </c>
      <c r="H3060" s="7" t="str">
        <f>IF(Table1[[#This Row],[Is Data Valid]]=TRUE,((Table1[[#This Row],[Birthweight (grams)]]*0.9/Table1[[#This Row],[BW_GA]])-1)/(Backend!$B$4/100*Table1[[#This Row],[BW40_3705]]),"")</f>
        <v/>
      </c>
      <c r="I3060" s="7" t="str">
        <f>IF(Table1[[#This Row],[Is Data Valid]]=TRUE,((Table1[[#This Row],[Birthweight (grams)]]*1.1/Table1[[#This Row],[BW_GA]])-1)/(Backend!$B$4/100*Table1[[#This Row],[BW40_3705]]),"")</f>
        <v/>
      </c>
      <c r="J3060" s="7" t="str">
        <f>IF(Table1[[#This Row],[Is Data Valid]]=TRUE,_xlfn.NORM.S.DIST(Table1[[#This Row],[Birthweight Z-Score]],TRUE)*100,"")</f>
        <v/>
      </c>
      <c r="K3060" s="7" t="str">
        <f>IF(Table1[[#This Row],[Is Data Valid]]=TRUE,_xlfn.NORM.S.DIST(Table1[[#This Row],[Birthweight Z-Score (BW-10%)]],TRUE)*100,"")</f>
        <v/>
      </c>
      <c r="L3060" s="7" t="str">
        <f>IF(Table1[[#This Row],[Is Data Valid]]=TRUE,_xlfn.NORM.S.DIST(Table1[[#This Row],[Birthweight Z-Score (BW+10%)]],TRUE)*100,"")</f>
        <v/>
      </c>
    </row>
    <row r="3061" spans="1:12" x14ac:dyDescent="0.35">
      <c r="A3061" s="3"/>
      <c r="B3061" s="2"/>
      <c r="C3061" s="2"/>
      <c r="D3061" s="2" t="b">
        <f>IF(AND(NOT(ISBLANK(Table1[[#This Row],[Fetal Sex (Male, Female or Unknown)]])),ISNUMBER(Table1[[#This Row],[Birthweight (grams)]]),ISNUMBER(Table1[[#This Row],[Gestation (days)]])),TRUE,FALSE)</f>
        <v>0</v>
      </c>
      <c r="E3061" s="2" t="str">
        <f>IF(Table1[[#This Row],[Is Data Valid]]=TRUE,IF(Table1[[#This Row],[Fetal Sex (Male, Female or Unknown)]]="Male",Backend!$C$6,IF(Table1[[#This Row],[Fetal Sex (Male, Female or Unknown)]]="Female",Backend!$C$7,IF(Table1[[#This Row],[Fetal Sex (Male, Female or Unknown)]]="Unknown",Backend!$C$8,"Error"))),"")</f>
        <v/>
      </c>
      <c r="F3061" s="8" t="str">
        <f>IF(Table1[[#This Row],[Is Data Valid]]=TRUE,EXP(0.578+0.332*((Table1[[#This Row],[Gestation (days)]]+0.5)/7)-0.00354*((Table1[[#This Row],[Gestation (days)]]+0.5)/7)^2)*Table1[[#This Row],[BW40_3705]],"")</f>
        <v/>
      </c>
      <c r="G3061" s="2" t="str">
        <f>IF(Table1[[#This Row],[Is Data Valid]]=TRUE,((Table1[[#This Row],[Birthweight (grams)]]/Table1[[#This Row],[BW_GA]])-1)/(Backend!$B$4/100*Table1[[#This Row],[BW40_3705]]),"")</f>
        <v/>
      </c>
      <c r="H3061" s="7" t="str">
        <f>IF(Table1[[#This Row],[Is Data Valid]]=TRUE,((Table1[[#This Row],[Birthweight (grams)]]*0.9/Table1[[#This Row],[BW_GA]])-1)/(Backend!$B$4/100*Table1[[#This Row],[BW40_3705]]),"")</f>
        <v/>
      </c>
      <c r="I3061" s="7" t="str">
        <f>IF(Table1[[#This Row],[Is Data Valid]]=TRUE,((Table1[[#This Row],[Birthweight (grams)]]*1.1/Table1[[#This Row],[BW_GA]])-1)/(Backend!$B$4/100*Table1[[#This Row],[BW40_3705]]),"")</f>
        <v/>
      </c>
      <c r="J3061" s="7" t="str">
        <f>IF(Table1[[#This Row],[Is Data Valid]]=TRUE,_xlfn.NORM.S.DIST(Table1[[#This Row],[Birthweight Z-Score]],TRUE)*100,"")</f>
        <v/>
      </c>
      <c r="K3061" s="7" t="str">
        <f>IF(Table1[[#This Row],[Is Data Valid]]=TRUE,_xlfn.NORM.S.DIST(Table1[[#This Row],[Birthweight Z-Score (BW-10%)]],TRUE)*100,"")</f>
        <v/>
      </c>
      <c r="L3061" s="7" t="str">
        <f>IF(Table1[[#This Row],[Is Data Valid]]=TRUE,_xlfn.NORM.S.DIST(Table1[[#This Row],[Birthweight Z-Score (BW+10%)]],TRUE)*100,"")</f>
        <v/>
      </c>
    </row>
    <row r="3062" spans="1:12" x14ac:dyDescent="0.35">
      <c r="A3062" s="3"/>
      <c r="B3062" s="2"/>
      <c r="C3062" s="2"/>
      <c r="D3062" s="2" t="b">
        <f>IF(AND(NOT(ISBLANK(Table1[[#This Row],[Fetal Sex (Male, Female or Unknown)]])),ISNUMBER(Table1[[#This Row],[Birthweight (grams)]]),ISNUMBER(Table1[[#This Row],[Gestation (days)]])),TRUE,FALSE)</f>
        <v>0</v>
      </c>
      <c r="E3062" s="2" t="str">
        <f>IF(Table1[[#This Row],[Is Data Valid]]=TRUE,IF(Table1[[#This Row],[Fetal Sex (Male, Female or Unknown)]]="Male",Backend!$C$6,IF(Table1[[#This Row],[Fetal Sex (Male, Female or Unknown)]]="Female",Backend!$C$7,IF(Table1[[#This Row],[Fetal Sex (Male, Female or Unknown)]]="Unknown",Backend!$C$8,"Error"))),"")</f>
        <v/>
      </c>
      <c r="F3062" s="8" t="str">
        <f>IF(Table1[[#This Row],[Is Data Valid]]=TRUE,EXP(0.578+0.332*((Table1[[#This Row],[Gestation (days)]]+0.5)/7)-0.00354*((Table1[[#This Row],[Gestation (days)]]+0.5)/7)^2)*Table1[[#This Row],[BW40_3705]],"")</f>
        <v/>
      </c>
      <c r="G3062" s="2" t="str">
        <f>IF(Table1[[#This Row],[Is Data Valid]]=TRUE,((Table1[[#This Row],[Birthweight (grams)]]/Table1[[#This Row],[BW_GA]])-1)/(Backend!$B$4/100*Table1[[#This Row],[BW40_3705]]),"")</f>
        <v/>
      </c>
      <c r="H3062" s="7" t="str">
        <f>IF(Table1[[#This Row],[Is Data Valid]]=TRUE,((Table1[[#This Row],[Birthweight (grams)]]*0.9/Table1[[#This Row],[BW_GA]])-1)/(Backend!$B$4/100*Table1[[#This Row],[BW40_3705]]),"")</f>
        <v/>
      </c>
      <c r="I3062" s="7" t="str">
        <f>IF(Table1[[#This Row],[Is Data Valid]]=TRUE,((Table1[[#This Row],[Birthweight (grams)]]*1.1/Table1[[#This Row],[BW_GA]])-1)/(Backend!$B$4/100*Table1[[#This Row],[BW40_3705]]),"")</f>
        <v/>
      </c>
      <c r="J3062" s="7" t="str">
        <f>IF(Table1[[#This Row],[Is Data Valid]]=TRUE,_xlfn.NORM.S.DIST(Table1[[#This Row],[Birthweight Z-Score]],TRUE)*100,"")</f>
        <v/>
      </c>
      <c r="K3062" s="7" t="str">
        <f>IF(Table1[[#This Row],[Is Data Valid]]=TRUE,_xlfn.NORM.S.DIST(Table1[[#This Row],[Birthweight Z-Score (BW-10%)]],TRUE)*100,"")</f>
        <v/>
      </c>
      <c r="L3062" s="7" t="str">
        <f>IF(Table1[[#This Row],[Is Data Valid]]=TRUE,_xlfn.NORM.S.DIST(Table1[[#This Row],[Birthweight Z-Score (BW+10%)]],TRUE)*100,"")</f>
        <v/>
      </c>
    </row>
    <row r="3063" spans="1:12" x14ac:dyDescent="0.35">
      <c r="A3063" s="3"/>
      <c r="B3063" s="2"/>
      <c r="C3063" s="2"/>
      <c r="D3063" s="2" t="b">
        <f>IF(AND(NOT(ISBLANK(Table1[[#This Row],[Fetal Sex (Male, Female or Unknown)]])),ISNUMBER(Table1[[#This Row],[Birthweight (grams)]]),ISNUMBER(Table1[[#This Row],[Gestation (days)]])),TRUE,FALSE)</f>
        <v>0</v>
      </c>
      <c r="E3063" s="2" t="str">
        <f>IF(Table1[[#This Row],[Is Data Valid]]=TRUE,IF(Table1[[#This Row],[Fetal Sex (Male, Female or Unknown)]]="Male",Backend!$C$6,IF(Table1[[#This Row],[Fetal Sex (Male, Female or Unknown)]]="Female",Backend!$C$7,IF(Table1[[#This Row],[Fetal Sex (Male, Female or Unknown)]]="Unknown",Backend!$C$8,"Error"))),"")</f>
        <v/>
      </c>
      <c r="F3063" s="8" t="str">
        <f>IF(Table1[[#This Row],[Is Data Valid]]=TRUE,EXP(0.578+0.332*((Table1[[#This Row],[Gestation (days)]]+0.5)/7)-0.00354*((Table1[[#This Row],[Gestation (days)]]+0.5)/7)^2)*Table1[[#This Row],[BW40_3705]],"")</f>
        <v/>
      </c>
      <c r="G3063" s="2" t="str">
        <f>IF(Table1[[#This Row],[Is Data Valid]]=TRUE,((Table1[[#This Row],[Birthweight (grams)]]/Table1[[#This Row],[BW_GA]])-1)/(Backend!$B$4/100*Table1[[#This Row],[BW40_3705]]),"")</f>
        <v/>
      </c>
      <c r="H3063" s="7" t="str">
        <f>IF(Table1[[#This Row],[Is Data Valid]]=TRUE,((Table1[[#This Row],[Birthweight (grams)]]*0.9/Table1[[#This Row],[BW_GA]])-1)/(Backend!$B$4/100*Table1[[#This Row],[BW40_3705]]),"")</f>
        <v/>
      </c>
      <c r="I3063" s="7" t="str">
        <f>IF(Table1[[#This Row],[Is Data Valid]]=TRUE,((Table1[[#This Row],[Birthweight (grams)]]*1.1/Table1[[#This Row],[BW_GA]])-1)/(Backend!$B$4/100*Table1[[#This Row],[BW40_3705]]),"")</f>
        <v/>
      </c>
      <c r="J3063" s="7" t="str">
        <f>IF(Table1[[#This Row],[Is Data Valid]]=TRUE,_xlfn.NORM.S.DIST(Table1[[#This Row],[Birthweight Z-Score]],TRUE)*100,"")</f>
        <v/>
      </c>
      <c r="K3063" s="7" t="str">
        <f>IF(Table1[[#This Row],[Is Data Valid]]=TRUE,_xlfn.NORM.S.DIST(Table1[[#This Row],[Birthweight Z-Score (BW-10%)]],TRUE)*100,"")</f>
        <v/>
      </c>
      <c r="L3063" s="7" t="str">
        <f>IF(Table1[[#This Row],[Is Data Valid]]=TRUE,_xlfn.NORM.S.DIST(Table1[[#This Row],[Birthweight Z-Score (BW+10%)]],TRUE)*100,"")</f>
        <v/>
      </c>
    </row>
    <row r="3064" spans="1:12" x14ac:dyDescent="0.35">
      <c r="A3064" s="3"/>
      <c r="B3064" s="2"/>
      <c r="C3064" s="2"/>
      <c r="D3064" s="2" t="b">
        <f>IF(AND(NOT(ISBLANK(Table1[[#This Row],[Fetal Sex (Male, Female or Unknown)]])),ISNUMBER(Table1[[#This Row],[Birthweight (grams)]]),ISNUMBER(Table1[[#This Row],[Gestation (days)]])),TRUE,FALSE)</f>
        <v>0</v>
      </c>
      <c r="E3064" s="2" t="str">
        <f>IF(Table1[[#This Row],[Is Data Valid]]=TRUE,IF(Table1[[#This Row],[Fetal Sex (Male, Female or Unknown)]]="Male",Backend!$C$6,IF(Table1[[#This Row],[Fetal Sex (Male, Female or Unknown)]]="Female",Backend!$C$7,IF(Table1[[#This Row],[Fetal Sex (Male, Female or Unknown)]]="Unknown",Backend!$C$8,"Error"))),"")</f>
        <v/>
      </c>
      <c r="F3064" s="8" t="str">
        <f>IF(Table1[[#This Row],[Is Data Valid]]=TRUE,EXP(0.578+0.332*((Table1[[#This Row],[Gestation (days)]]+0.5)/7)-0.00354*((Table1[[#This Row],[Gestation (days)]]+0.5)/7)^2)*Table1[[#This Row],[BW40_3705]],"")</f>
        <v/>
      </c>
      <c r="G3064" s="2" t="str">
        <f>IF(Table1[[#This Row],[Is Data Valid]]=TRUE,((Table1[[#This Row],[Birthweight (grams)]]/Table1[[#This Row],[BW_GA]])-1)/(Backend!$B$4/100*Table1[[#This Row],[BW40_3705]]),"")</f>
        <v/>
      </c>
      <c r="H3064" s="7" t="str">
        <f>IF(Table1[[#This Row],[Is Data Valid]]=TRUE,((Table1[[#This Row],[Birthweight (grams)]]*0.9/Table1[[#This Row],[BW_GA]])-1)/(Backend!$B$4/100*Table1[[#This Row],[BW40_3705]]),"")</f>
        <v/>
      </c>
      <c r="I3064" s="7" t="str">
        <f>IF(Table1[[#This Row],[Is Data Valid]]=TRUE,((Table1[[#This Row],[Birthweight (grams)]]*1.1/Table1[[#This Row],[BW_GA]])-1)/(Backend!$B$4/100*Table1[[#This Row],[BW40_3705]]),"")</f>
        <v/>
      </c>
      <c r="J3064" s="7" t="str">
        <f>IF(Table1[[#This Row],[Is Data Valid]]=TRUE,_xlfn.NORM.S.DIST(Table1[[#This Row],[Birthweight Z-Score]],TRUE)*100,"")</f>
        <v/>
      </c>
      <c r="K3064" s="7" t="str">
        <f>IF(Table1[[#This Row],[Is Data Valid]]=TRUE,_xlfn.NORM.S.DIST(Table1[[#This Row],[Birthweight Z-Score (BW-10%)]],TRUE)*100,"")</f>
        <v/>
      </c>
      <c r="L3064" s="7" t="str">
        <f>IF(Table1[[#This Row],[Is Data Valid]]=TRUE,_xlfn.NORM.S.DIST(Table1[[#This Row],[Birthweight Z-Score (BW+10%)]],TRUE)*100,"")</f>
        <v/>
      </c>
    </row>
    <row r="3065" spans="1:12" x14ac:dyDescent="0.35">
      <c r="A3065" s="3"/>
      <c r="B3065" s="2"/>
      <c r="C3065" s="2"/>
      <c r="D3065" s="2" t="b">
        <f>IF(AND(NOT(ISBLANK(Table1[[#This Row],[Fetal Sex (Male, Female or Unknown)]])),ISNUMBER(Table1[[#This Row],[Birthweight (grams)]]),ISNUMBER(Table1[[#This Row],[Gestation (days)]])),TRUE,FALSE)</f>
        <v>0</v>
      </c>
      <c r="E3065" s="2" t="str">
        <f>IF(Table1[[#This Row],[Is Data Valid]]=TRUE,IF(Table1[[#This Row],[Fetal Sex (Male, Female or Unknown)]]="Male",Backend!$C$6,IF(Table1[[#This Row],[Fetal Sex (Male, Female or Unknown)]]="Female",Backend!$C$7,IF(Table1[[#This Row],[Fetal Sex (Male, Female or Unknown)]]="Unknown",Backend!$C$8,"Error"))),"")</f>
        <v/>
      </c>
      <c r="F3065" s="8" t="str">
        <f>IF(Table1[[#This Row],[Is Data Valid]]=TRUE,EXP(0.578+0.332*((Table1[[#This Row],[Gestation (days)]]+0.5)/7)-0.00354*((Table1[[#This Row],[Gestation (days)]]+0.5)/7)^2)*Table1[[#This Row],[BW40_3705]],"")</f>
        <v/>
      </c>
      <c r="G3065" s="2" t="str">
        <f>IF(Table1[[#This Row],[Is Data Valid]]=TRUE,((Table1[[#This Row],[Birthweight (grams)]]/Table1[[#This Row],[BW_GA]])-1)/(Backend!$B$4/100*Table1[[#This Row],[BW40_3705]]),"")</f>
        <v/>
      </c>
      <c r="H3065" s="7" t="str">
        <f>IF(Table1[[#This Row],[Is Data Valid]]=TRUE,((Table1[[#This Row],[Birthweight (grams)]]*0.9/Table1[[#This Row],[BW_GA]])-1)/(Backend!$B$4/100*Table1[[#This Row],[BW40_3705]]),"")</f>
        <v/>
      </c>
      <c r="I3065" s="7" t="str">
        <f>IF(Table1[[#This Row],[Is Data Valid]]=TRUE,((Table1[[#This Row],[Birthweight (grams)]]*1.1/Table1[[#This Row],[BW_GA]])-1)/(Backend!$B$4/100*Table1[[#This Row],[BW40_3705]]),"")</f>
        <v/>
      </c>
      <c r="J3065" s="7" t="str">
        <f>IF(Table1[[#This Row],[Is Data Valid]]=TRUE,_xlfn.NORM.S.DIST(Table1[[#This Row],[Birthweight Z-Score]],TRUE)*100,"")</f>
        <v/>
      </c>
      <c r="K3065" s="7" t="str">
        <f>IF(Table1[[#This Row],[Is Data Valid]]=TRUE,_xlfn.NORM.S.DIST(Table1[[#This Row],[Birthweight Z-Score (BW-10%)]],TRUE)*100,"")</f>
        <v/>
      </c>
      <c r="L3065" s="7" t="str">
        <f>IF(Table1[[#This Row],[Is Data Valid]]=TRUE,_xlfn.NORM.S.DIST(Table1[[#This Row],[Birthweight Z-Score (BW+10%)]],TRUE)*100,"")</f>
        <v/>
      </c>
    </row>
    <row r="3066" spans="1:12" x14ac:dyDescent="0.35">
      <c r="A3066" s="3"/>
      <c r="B3066" s="2"/>
      <c r="C3066" s="2"/>
      <c r="D3066" s="2" t="b">
        <f>IF(AND(NOT(ISBLANK(Table1[[#This Row],[Fetal Sex (Male, Female or Unknown)]])),ISNUMBER(Table1[[#This Row],[Birthweight (grams)]]),ISNUMBER(Table1[[#This Row],[Gestation (days)]])),TRUE,FALSE)</f>
        <v>0</v>
      </c>
      <c r="E3066" s="2" t="str">
        <f>IF(Table1[[#This Row],[Is Data Valid]]=TRUE,IF(Table1[[#This Row],[Fetal Sex (Male, Female or Unknown)]]="Male",Backend!$C$6,IF(Table1[[#This Row],[Fetal Sex (Male, Female or Unknown)]]="Female",Backend!$C$7,IF(Table1[[#This Row],[Fetal Sex (Male, Female or Unknown)]]="Unknown",Backend!$C$8,"Error"))),"")</f>
        <v/>
      </c>
      <c r="F3066" s="8" t="str">
        <f>IF(Table1[[#This Row],[Is Data Valid]]=TRUE,EXP(0.578+0.332*((Table1[[#This Row],[Gestation (days)]]+0.5)/7)-0.00354*((Table1[[#This Row],[Gestation (days)]]+0.5)/7)^2)*Table1[[#This Row],[BW40_3705]],"")</f>
        <v/>
      </c>
      <c r="G3066" s="2" t="str">
        <f>IF(Table1[[#This Row],[Is Data Valid]]=TRUE,((Table1[[#This Row],[Birthweight (grams)]]/Table1[[#This Row],[BW_GA]])-1)/(Backend!$B$4/100*Table1[[#This Row],[BW40_3705]]),"")</f>
        <v/>
      </c>
      <c r="H3066" s="7" t="str">
        <f>IF(Table1[[#This Row],[Is Data Valid]]=TRUE,((Table1[[#This Row],[Birthweight (grams)]]*0.9/Table1[[#This Row],[BW_GA]])-1)/(Backend!$B$4/100*Table1[[#This Row],[BW40_3705]]),"")</f>
        <v/>
      </c>
      <c r="I3066" s="7" t="str">
        <f>IF(Table1[[#This Row],[Is Data Valid]]=TRUE,((Table1[[#This Row],[Birthweight (grams)]]*1.1/Table1[[#This Row],[BW_GA]])-1)/(Backend!$B$4/100*Table1[[#This Row],[BW40_3705]]),"")</f>
        <v/>
      </c>
      <c r="J3066" s="7" t="str">
        <f>IF(Table1[[#This Row],[Is Data Valid]]=TRUE,_xlfn.NORM.S.DIST(Table1[[#This Row],[Birthweight Z-Score]],TRUE)*100,"")</f>
        <v/>
      </c>
      <c r="K3066" s="7" t="str">
        <f>IF(Table1[[#This Row],[Is Data Valid]]=TRUE,_xlfn.NORM.S.DIST(Table1[[#This Row],[Birthweight Z-Score (BW-10%)]],TRUE)*100,"")</f>
        <v/>
      </c>
      <c r="L3066" s="7" t="str">
        <f>IF(Table1[[#This Row],[Is Data Valid]]=TRUE,_xlfn.NORM.S.DIST(Table1[[#This Row],[Birthweight Z-Score (BW+10%)]],TRUE)*100,"")</f>
        <v/>
      </c>
    </row>
    <row r="3067" spans="1:12" x14ac:dyDescent="0.35">
      <c r="A3067" s="3"/>
      <c r="B3067" s="2"/>
      <c r="C3067" s="2"/>
      <c r="D3067" s="2" t="b">
        <f>IF(AND(NOT(ISBLANK(Table1[[#This Row],[Fetal Sex (Male, Female or Unknown)]])),ISNUMBER(Table1[[#This Row],[Birthweight (grams)]]),ISNUMBER(Table1[[#This Row],[Gestation (days)]])),TRUE,FALSE)</f>
        <v>0</v>
      </c>
      <c r="E3067" s="2" t="str">
        <f>IF(Table1[[#This Row],[Is Data Valid]]=TRUE,IF(Table1[[#This Row],[Fetal Sex (Male, Female or Unknown)]]="Male",Backend!$C$6,IF(Table1[[#This Row],[Fetal Sex (Male, Female or Unknown)]]="Female",Backend!$C$7,IF(Table1[[#This Row],[Fetal Sex (Male, Female or Unknown)]]="Unknown",Backend!$C$8,"Error"))),"")</f>
        <v/>
      </c>
      <c r="F3067" s="8" t="str">
        <f>IF(Table1[[#This Row],[Is Data Valid]]=TRUE,EXP(0.578+0.332*((Table1[[#This Row],[Gestation (days)]]+0.5)/7)-0.00354*((Table1[[#This Row],[Gestation (days)]]+0.5)/7)^2)*Table1[[#This Row],[BW40_3705]],"")</f>
        <v/>
      </c>
      <c r="G3067" s="2" t="str">
        <f>IF(Table1[[#This Row],[Is Data Valid]]=TRUE,((Table1[[#This Row],[Birthweight (grams)]]/Table1[[#This Row],[BW_GA]])-1)/(Backend!$B$4/100*Table1[[#This Row],[BW40_3705]]),"")</f>
        <v/>
      </c>
      <c r="H3067" s="7" t="str">
        <f>IF(Table1[[#This Row],[Is Data Valid]]=TRUE,((Table1[[#This Row],[Birthweight (grams)]]*0.9/Table1[[#This Row],[BW_GA]])-1)/(Backend!$B$4/100*Table1[[#This Row],[BW40_3705]]),"")</f>
        <v/>
      </c>
      <c r="I3067" s="7" t="str">
        <f>IF(Table1[[#This Row],[Is Data Valid]]=TRUE,((Table1[[#This Row],[Birthweight (grams)]]*1.1/Table1[[#This Row],[BW_GA]])-1)/(Backend!$B$4/100*Table1[[#This Row],[BW40_3705]]),"")</f>
        <v/>
      </c>
      <c r="J3067" s="7" t="str">
        <f>IF(Table1[[#This Row],[Is Data Valid]]=TRUE,_xlfn.NORM.S.DIST(Table1[[#This Row],[Birthweight Z-Score]],TRUE)*100,"")</f>
        <v/>
      </c>
      <c r="K3067" s="7" t="str">
        <f>IF(Table1[[#This Row],[Is Data Valid]]=TRUE,_xlfn.NORM.S.DIST(Table1[[#This Row],[Birthweight Z-Score (BW-10%)]],TRUE)*100,"")</f>
        <v/>
      </c>
      <c r="L3067" s="7" t="str">
        <f>IF(Table1[[#This Row],[Is Data Valid]]=TRUE,_xlfn.NORM.S.DIST(Table1[[#This Row],[Birthweight Z-Score (BW+10%)]],TRUE)*100,"")</f>
        <v/>
      </c>
    </row>
    <row r="3068" spans="1:12" x14ac:dyDescent="0.35">
      <c r="A3068" s="3"/>
      <c r="B3068" s="2"/>
      <c r="C3068" s="2"/>
      <c r="D3068" s="2" t="b">
        <f>IF(AND(NOT(ISBLANK(Table1[[#This Row],[Fetal Sex (Male, Female or Unknown)]])),ISNUMBER(Table1[[#This Row],[Birthweight (grams)]]),ISNUMBER(Table1[[#This Row],[Gestation (days)]])),TRUE,FALSE)</f>
        <v>0</v>
      </c>
      <c r="E3068" s="2" t="str">
        <f>IF(Table1[[#This Row],[Is Data Valid]]=TRUE,IF(Table1[[#This Row],[Fetal Sex (Male, Female or Unknown)]]="Male",Backend!$C$6,IF(Table1[[#This Row],[Fetal Sex (Male, Female or Unknown)]]="Female",Backend!$C$7,IF(Table1[[#This Row],[Fetal Sex (Male, Female or Unknown)]]="Unknown",Backend!$C$8,"Error"))),"")</f>
        <v/>
      </c>
      <c r="F3068" s="8" t="str">
        <f>IF(Table1[[#This Row],[Is Data Valid]]=TRUE,EXP(0.578+0.332*((Table1[[#This Row],[Gestation (days)]]+0.5)/7)-0.00354*((Table1[[#This Row],[Gestation (days)]]+0.5)/7)^2)*Table1[[#This Row],[BW40_3705]],"")</f>
        <v/>
      </c>
      <c r="G3068" s="2" t="str">
        <f>IF(Table1[[#This Row],[Is Data Valid]]=TRUE,((Table1[[#This Row],[Birthweight (grams)]]/Table1[[#This Row],[BW_GA]])-1)/(Backend!$B$4/100*Table1[[#This Row],[BW40_3705]]),"")</f>
        <v/>
      </c>
      <c r="H3068" s="7" t="str">
        <f>IF(Table1[[#This Row],[Is Data Valid]]=TRUE,((Table1[[#This Row],[Birthweight (grams)]]*0.9/Table1[[#This Row],[BW_GA]])-1)/(Backend!$B$4/100*Table1[[#This Row],[BW40_3705]]),"")</f>
        <v/>
      </c>
      <c r="I3068" s="7" t="str">
        <f>IF(Table1[[#This Row],[Is Data Valid]]=TRUE,((Table1[[#This Row],[Birthweight (grams)]]*1.1/Table1[[#This Row],[BW_GA]])-1)/(Backend!$B$4/100*Table1[[#This Row],[BW40_3705]]),"")</f>
        <v/>
      </c>
      <c r="J3068" s="7" t="str">
        <f>IF(Table1[[#This Row],[Is Data Valid]]=TRUE,_xlfn.NORM.S.DIST(Table1[[#This Row],[Birthweight Z-Score]],TRUE)*100,"")</f>
        <v/>
      </c>
      <c r="K3068" s="7" t="str">
        <f>IF(Table1[[#This Row],[Is Data Valid]]=TRUE,_xlfn.NORM.S.DIST(Table1[[#This Row],[Birthweight Z-Score (BW-10%)]],TRUE)*100,"")</f>
        <v/>
      </c>
      <c r="L3068" s="7" t="str">
        <f>IF(Table1[[#This Row],[Is Data Valid]]=TRUE,_xlfn.NORM.S.DIST(Table1[[#This Row],[Birthweight Z-Score (BW+10%)]],TRUE)*100,"")</f>
        <v/>
      </c>
    </row>
    <row r="3069" spans="1:12" x14ac:dyDescent="0.35">
      <c r="A3069" s="3"/>
      <c r="B3069" s="2"/>
      <c r="C3069" s="2"/>
      <c r="D3069" s="2" t="b">
        <f>IF(AND(NOT(ISBLANK(Table1[[#This Row],[Fetal Sex (Male, Female or Unknown)]])),ISNUMBER(Table1[[#This Row],[Birthweight (grams)]]),ISNUMBER(Table1[[#This Row],[Gestation (days)]])),TRUE,FALSE)</f>
        <v>0</v>
      </c>
      <c r="E3069" s="2" t="str">
        <f>IF(Table1[[#This Row],[Is Data Valid]]=TRUE,IF(Table1[[#This Row],[Fetal Sex (Male, Female or Unknown)]]="Male",Backend!$C$6,IF(Table1[[#This Row],[Fetal Sex (Male, Female or Unknown)]]="Female",Backend!$C$7,IF(Table1[[#This Row],[Fetal Sex (Male, Female or Unknown)]]="Unknown",Backend!$C$8,"Error"))),"")</f>
        <v/>
      </c>
      <c r="F3069" s="8" t="str">
        <f>IF(Table1[[#This Row],[Is Data Valid]]=TRUE,EXP(0.578+0.332*((Table1[[#This Row],[Gestation (days)]]+0.5)/7)-0.00354*((Table1[[#This Row],[Gestation (days)]]+0.5)/7)^2)*Table1[[#This Row],[BW40_3705]],"")</f>
        <v/>
      </c>
      <c r="G3069" s="2" t="str">
        <f>IF(Table1[[#This Row],[Is Data Valid]]=TRUE,((Table1[[#This Row],[Birthweight (grams)]]/Table1[[#This Row],[BW_GA]])-1)/(Backend!$B$4/100*Table1[[#This Row],[BW40_3705]]),"")</f>
        <v/>
      </c>
      <c r="H3069" s="7" t="str">
        <f>IF(Table1[[#This Row],[Is Data Valid]]=TRUE,((Table1[[#This Row],[Birthweight (grams)]]*0.9/Table1[[#This Row],[BW_GA]])-1)/(Backend!$B$4/100*Table1[[#This Row],[BW40_3705]]),"")</f>
        <v/>
      </c>
      <c r="I3069" s="7" t="str">
        <f>IF(Table1[[#This Row],[Is Data Valid]]=TRUE,((Table1[[#This Row],[Birthweight (grams)]]*1.1/Table1[[#This Row],[BW_GA]])-1)/(Backend!$B$4/100*Table1[[#This Row],[BW40_3705]]),"")</f>
        <v/>
      </c>
      <c r="J3069" s="7" t="str">
        <f>IF(Table1[[#This Row],[Is Data Valid]]=TRUE,_xlfn.NORM.S.DIST(Table1[[#This Row],[Birthweight Z-Score]],TRUE)*100,"")</f>
        <v/>
      </c>
      <c r="K3069" s="7" t="str">
        <f>IF(Table1[[#This Row],[Is Data Valid]]=TRUE,_xlfn.NORM.S.DIST(Table1[[#This Row],[Birthweight Z-Score (BW-10%)]],TRUE)*100,"")</f>
        <v/>
      </c>
      <c r="L3069" s="7" t="str">
        <f>IF(Table1[[#This Row],[Is Data Valid]]=TRUE,_xlfn.NORM.S.DIST(Table1[[#This Row],[Birthweight Z-Score (BW+10%)]],TRUE)*100,"")</f>
        <v/>
      </c>
    </row>
    <row r="3070" spans="1:12" x14ac:dyDescent="0.35">
      <c r="A3070" s="3"/>
      <c r="B3070" s="2"/>
      <c r="C3070" s="2"/>
      <c r="D3070" s="2" t="b">
        <f>IF(AND(NOT(ISBLANK(Table1[[#This Row],[Fetal Sex (Male, Female or Unknown)]])),ISNUMBER(Table1[[#This Row],[Birthweight (grams)]]),ISNUMBER(Table1[[#This Row],[Gestation (days)]])),TRUE,FALSE)</f>
        <v>0</v>
      </c>
      <c r="E3070" s="2" t="str">
        <f>IF(Table1[[#This Row],[Is Data Valid]]=TRUE,IF(Table1[[#This Row],[Fetal Sex (Male, Female or Unknown)]]="Male",Backend!$C$6,IF(Table1[[#This Row],[Fetal Sex (Male, Female or Unknown)]]="Female",Backend!$C$7,IF(Table1[[#This Row],[Fetal Sex (Male, Female or Unknown)]]="Unknown",Backend!$C$8,"Error"))),"")</f>
        <v/>
      </c>
      <c r="F3070" s="8" t="str">
        <f>IF(Table1[[#This Row],[Is Data Valid]]=TRUE,EXP(0.578+0.332*((Table1[[#This Row],[Gestation (days)]]+0.5)/7)-0.00354*((Table1[[#This Row],[Gestation (days)]]+0.5)/7)^2)*Table1[[#This Row],[BW40_3705]],"")</f>
        <v/>
      </c>
      <c r="G3070" s="2" t="str">
        <f>IF(Table1[[#This Row],[Is Data Valid]]=TRUE,((Table1[[#This Row],[Birthweight (grams)]]/Table1[[#This Row],[BW_GA]])-1)/(Backend!$B$4/100*Table1[[#This Row],[BW40_3705]]),"")</f>
        <v/>
      </c>
      <c r="H3070" s="7" t="str">
        <f>IF(Table1[[#This Row],[Is Data Valid]]=TRUE,((Table1[[#This Row],[Birthweight (grams)]]*0.9/Table1[[#This Row],[BW_GA]])-1)/(Backend!$B$4/100*Table1[[#This Row],[BW40_3705]]),"")</f>
        <v/>
      </c>
      <c r="I3070" s="7" t="str">
        <f>IF(Table1[[#This Row],[Is Data Valid]]=TRUE,((Table1[[#This Row],[Birthweight (grams)]]*1.1/Table1[[#This Row],[BW_GA]])-1)/(Backend!$B$4/100*Table1[[#This Row],[BW40_3705]]),"")</f>
        <v/>
      </c>
      <c r="J3070" s="7" t="str">
        <f>IF(Table1[[#This Row],[Is Data Valid]]=TRUE,_xlfn.NORM.S.DIST(Table1[[#This Row],[Birthweight Z-Score]],TRUE)*100,"")</f>
        <v/>
      </c>
      <c r="K3070" s="7" t="str">
        <f>IF(Table1[[#This Row],[Is Data Valid]]=TRUE,_xlfn.NORM.S.DIST(Table1[[#This Row],[Birthweight Z-Score (BW-10%)]],TRUE)*100,"")</f>
        <v/>
      </c>
      <c r="L3070" s="7" t="str">
        <f>IF(Table1[[#This Row],[Is Data Valid]]=TRUE,_xlfn.NORM.S.DIST(Table1[[#This Row],[Birthweight Z-Score (BW+10%)]],TRUE)*100,"")</f>
        <v/>
      </c>
    </row>
    <row r="3071" spans="1:12" x14ac:dyDescent="0.35">
      <c r="A3071" s="3"/>
      <c r="B3071" s="2"/>
      <c r="C3071" s="2"/>
      <c r="D3071" s="2" t="b">
        <f>IF(AND(NOT(ISBLANK(Table1[[#This Row],[Fetal Sex (Male, Female or Unknown)]])),ISNUMBER(Table1[[#This Row],[Birthweight (grams)]]),ISNUMBER(Table1[[#This Row],[Gestation (days)]])),TRUE,FALSE)</f>
        <v>0</v>
      </c>
      <c r="E3071" s="2" t="str">
        <f>IF(Table1[[#This Row],[Is Data Valid]]=TRUE,IF(Table1[[#This Row],[Fetal Sex (Male, Female or Unknown)]]="Male",Backend!$C$6,IF(Table1[[#This Row],[Fetal Sex (Male, Female or Unknown)]]="Female",Backend!$C$7,IF(Table1[[#This Row],[Fetal Sex (Male, Female or Unknown)]]="Unknown",Backend!$C$8,"Error"))),"")</f>
        <v/>
      </c>
      <c r="F3071" s="8" t="str">
        <f>IF(Table1[[#This Row],[Is Data Valid]]=TRUE,EXP(0.578+0.332*((Table1[[#This Row],[Gestation (days)]]+0.5)/7)-0.00354*((Table1[[#This Row],[Gestation (days)]]+0.5)/7)^2)*Table1[[#This Row],[BW40_3705]],"")</f>
        <v/>
      </c>
      <c r="G3071" s="2" t="str">
        <f>IF(Table1[[#This Row],[Is Data Valid]]=TRUE,((Table1[[#This Row],[Birthweight (grams)]]/Table1[[#This Row],[BW_GA]])-1)/(Backend!$B$4/100*Table1[[#This Row],[BW40_3705]]),"")</f>
        <v/>
      </c>
      <c r="H3071" s="7" t="str">
        <f>IF(Table1[[#This Row],[Is Data Valid]]=TRUE,((Table1[[#This Row],[Birthweight (grams)]]*0.9/Table1[[#This Row],[BW_GA]])-1)/(Backend!$B$4/100*Table1[[#This Row],[BW40_3705]]),"")</f>
        <v/>
      </c>
      <c r="I3071" s="7" t="str">
        <f>IF(Table1[[#This Row],[Is Data Valid]]=TRUE,((Table1[[#This Row],[Birthweight (grams)]]*1.1/Table1[[#This Row],[BW_GA]])-1)/(Backend!$B$4/100*Table1[[#This Row],[BW40_3705]]),"")</f>
        <v/>
      </c>
      <c r="J3071" s="7" t="str">
        <f>IF(Table1[[#This Row],[Is Data Valid]]=TRUE,_xlfn.NORM.S.DIST(Table1[[#This Row],[Birthweight Z-Score]],TRUE)*100,"")</f>
        <v/>
      </c>
      <c r="K3071" s="7" t="str">
        <f>IF(Table1[[#This Row],[Is Data Valid]]=TRUE,_xlfn.NORM.S.DIST(Table1[[#This Row],[Birthweight Z-Score (BW-10%)]],TRUE)*100,"")</f>
        <v/>
      </c>
      <c r="L3071" s="7" t="str">
        <f>IF(Table1[[#This Row],[Is Data Valid]]=TRUE,_xlfn.NORM.S.DIST(Table1[[#This Row],[Birthweight Z-Score (BW+10%)]],TRUE)*100,"")</f>
        <v/>
      </c>
    </row>
    <row r="3072" spans="1:12" x14ac:dyDescent="0.35">
      <c r="A3072" s="3"/>
      <c r="B3072" s="2"/>
      <c r="C3072" s="2"/>
      <c r="D3072" s="2" t="b">
        <f>IF(AND(NOT(ISBLANK(Table1[[#This Row],[Fetal Sex (Male, Female or Unknown)]])),ISNUMBER(Table1[[#This Row],[Birthweight (grams)]]),ISNUMBER(Table1[[#This Row],[Gestation (days)]])),TRUE,FALSE)</f>
        <v>0</v>
      </c>
      <c r="E3072" s="2" t="str">
        <f>IF(Table1[[#This Row],[Is Data Valid]]=TRUE,IF(Table1[[#This Row],[Fetal Sex (Male, Female or Unknown)]]="Male",Backend!$C$6,IF(Table1[[#This Row],[Fetal Sex (Male, Female or Unknown)]]="Female",Backend!$C$7,IF(Table1[[#This Row],[Fetal Sex (Male, Female or Unknown)]]="Unknown",Backend!$C$8,"Error"))),"")</f>
        <v/>
      </c>
      <c r="F3072" s="8" t="str">
        <f>IF(Table1[[#This Row],[Is Data Valid]]=TRUE,EXP(0.578+0.332*((Table1[[#This Row],[Gestation (days)]]+0.5)/7)-0.00354*((Table1[[#This Row],[Gestation (days)]]+0.5)/7)^2)*Table1[[#This Row],[BW40_3705]],"")</f>
        <v/>
      </c>
      <c r="G3072" s="2" t="str">
        <f>IF(Table1[[#This Row],[Is Data Valid]]=TRUE,((Table1[[#This Row],[Birthweight (grams)]]/Table1[[#This Row],[BW_GA]])-1)/(Backend!$B$4/100*Table1[[#This Row],[BW40_3705]]),"")</f>
        <v/>
      </c>
      <c r="H3072" s="7" t="str">
        <f>IF(Table1[[#This Row],[Is Data Valid]]=TRUE,((Table1[[#This Row],[Birthweight (grams)]]*0.9/Table1[[#This Row],[BW_GA]])-1)/(Backend!$B$4/100*Table1[[#This Row],[BW40_3705]]),"")</f>
        <v/>
      </c>
      <c r="I3072" s="7" t="str">
        <f>IF(Table1[[#This Row],[Is Data Valid]]=TRUE,((Table1[[#This Row],[Birthweight (grams)]]*1.1/Table1[[#This Row],[BW_GA]])-1)/(Backend!$B$4/100*Table1[[#This Row],[BW40_3705]]),"")</f>
        <v/>
      </c>
      <c r="J3072" s="7" t="str">
        <f>IF(Table1[[#This Row],[Is Data Valid]]=TRUE,_xlfn.NORM.S.DIST(Table1[[#This Row],[Birthweight Z-Score]],TRUE)*100,"")</f>
        <v/>
      </c>
      <c r="K3072" s="7" t="str">
        <f>IF(Table1[[#This Row],[Is Data Valid]]=TRUE,_xlfn.NORM.S.DIST(Table1[[#This Row],[Birthweight Z-Score (BW-10%)]],TRUE)*100,"")</f>
        <v/>
      </c>
      <c r="L3072" s="7" t="str">
        <f>IF(Table1[[#This Row],[Is Data Valid]]=TRUE,_xlfn.NORM.S.DIST(Table1[[#This Row],[Birthweight Z-Score (BW+10%)]],TRUE)*100,"")</f>
        <v/>
      </c>
    </row>
    <row r="3073" spans="1:12" x14ac:dyDescent="0.35">
      <c r="A3073" s="3"/>
      <c r="B3073" s="2"/>
      <c r="C3073" s="2"/>
      <c r="D3073" s="2" t="b">
        <f>IF(AND(NOT(ISBLANK(Table1[[#This Row],[Fetal Sex (Male, Female or Unknown)]])),ISNUMBER(Table1[[#This Row],[Birthweight (grams)]]),ISNUMBER(Table1[[#This Row],[Gestation (days)]])),TRUE,FALSE)</f>
        <v>0</v>
      </c>
      <c r="E3073" s="2" t="str">
        <f>IF(Table1[[#This Row],[Is Data Valid]]=TRUE,IF(Table1[[#This Row],[Fetal Sex (Male, Female or Unknown)]]="Male",Backend!$C$6,IF(Table1[[#This Row],[Fetal Sex (Male, Female or Unknown)]]="Female",Backend!$C$7,IF(Table1[[#This Row],[Fetal Sex (Male, Female or Unknown)]]="Unknown",Backend!$C$8,"Error"))),"")</f>
        <v/>
      </c>
      <c r="F3073" s="8" t="str">
        <f>IF(Table1[[#This Row],[Is Data Valid]]=TRUE,EXP(0.578+0.332*((Table1[[#This Row],[Gestation (days)]]+0.5)/7)-0.00354*((Table1[[#This Row],[Gestation (days)]]+0.5)/7)^2)*Table1[[#This Row],[BW40_3705]],"")</f>
        <v/>
      </c>
      <c r="G3073" s="2" t="str">
        <f>IF(Table1[[#This Row],[Is Data Valid]]=TRUE,((Table1[[#This Row],[Birthweight (grams)]]/Table1[[#This Row],[BW_GA]])-1)/(Backend!$B$4/100*Table1[[#This Row],[BW40_3705]]),"")</f>
        <v/>
      </c>
      <c r="H3073" s="7" t="str">
        <f>IF(Table1[[#This Row],[Is Data Valid]]=TRUE,((Table1[[#This Row],[Birthweight (grams)]]*0.9/Table1[[#This Row],[BW_GA]])-1)/(Backend!$B$4/100*Table1[[#This Row],[BW40_3705]]),"")</f>
        <v/>
      </c>
      <c r="I3073" s="7" t="str">
        <f>IF(Table1[[#This Row],[Is Data Valid]]=TRUE,((Table1[[#This Row],[Birthweight (grams)]]*1.1/Table1[[#This Row],[BW_GA]])-1)/(Backend!$B$4/100*Table1[[#This Row],[BW40_3705]]),"")</f>
        <v/>
      </c>
      <c r="J3073" s="7" t="str">
        <f>IF(Table1[[#This Row],[Is Data Valid]]=TRUE,_xlfn.NORM.S.DIST(Table1[[#This Row],[Birthweight Z-Score]],TRUE)*100,"")</f>
        <v/>
      </c>
      <c r="K3073" s="7" t="str">
        <f>IF(Table1[[#This Row],[Is Data Valid]]=TRUE,_xlfn.NORM.S.DIST(Table1[[#This Row],[Birthweight Z-Score (BW-10%)]],TRUE)*100,"")</f>
        <v/>
      </c>
      <c r="L3073" s="7" t="str">
        <f>IF(Table1[[#This Row],[Is Data Valid]]=TRUE,_xlfn.NORM.S.DIST(Table1[[#This Row],[Birthweight Z-Score (BW+10%)]],TRUE)*100,"")</f>
        <v/>
      </c>
    </row>
    <row r="3074" spans="1:12" x14ac:dyDescent="0.35">
      <c r="A3074" s="3"/>
      <c r="B3074" s="2"/>
      <c r="C3074" s="2"/>
      <c r="D3074" s="2" t="b">
        <f>IF(AND(NOT(ISBLANK(Table1[[#This Row],[Fetal Sex (Male, Female or Unknown)]])),ISNUMBER(Table1[[#This Row],[Birthweight (grams)]]),ISNUMBER(Table1[[#This Row],[Gestation (days)]])),TRUE,FALSE)</f>
        <v>0</v>
      </c>
      <c r="E3074" s="2" t="str">
        <f>IF(Table1[[#This Row],[Is Data Valid]]=TRUE,IF(Table1[[#This Row],[Fetal Sex (Male, Female or Unknown)]]="Male",Backend!$C$6,IF(Table1[[#This Row],[Fetal Sex (Male, Female or Unknown)]]="Female",Backend!$C$7,IF(Table1[[#This Row],[Fetal Sex (Male, Female or Unknown)]]="Unknown",Backend!$C$8,"Error"))),"")</f>
        <v/>
      </c>
      <c r="F3074" s="8" t="str">
        <f>IF(Table1[[#This Row],[Is Data Valid]]=TRUE,EXP(0.578+0.332*((Table1[[#This Row],[Gestation (days)]]+0.5)/7)-0.00354*((Table1[[#This Row],[Gestation (days)]]+0.5)/7)^2)*Table1[[#This Row],[BW40_3705]],"")</f>
        <v/>
      </c>
      <c r="G3074" s="2" t="str">
        <f>IF(Table1[[#This Row],[Is Data Valid]]=TRUE,((Table1[[#This Row],[Birthweight (grams)]]/Table1[[#This Row],[BW_GA]])-1)/(Backend!$B$4/100*Table1[[#This Row],[BW40_3705]]),"")</f>
        <v/>
      </c>
      <c r="H3074" s="7" t="str">
        <f>IF(Table1[[#This Row],[Is Data Valid]]=TRUE,((Table1[[#This Row],[Birthweight (grams)]]*0.9/Table1[[#This Row],[BW_GA]])-1)/(Backend!$B$4/100*Table1[[#This Row],[BW40_3705]]),"")</f>
        <v/>
      </c>
      <c r="I3074" s="7" t="str">
        <f>IF(Table1[[#This Row],[Is Data Valid]]=TRUE,((Table1[[#This Row],[Birthweight (grams)]]*1.1/Table1[[#This Row],[BW_GA]])-1)/(Backend!$B$4/100*Table1[[#This Row],[BW40_3705]]),"")</f>
        <v/>
      </c>
      <c r="J3074" s="7" t="str">
        <f>IF(Table1[[#This Row],[Is Data Valid]]=TRUE,_xlfn.NORM.S.DIST(Table1[[#This Row],[Birthweight Z-Score]],TRUE)*100,"")</f>
        <v/>
      </c>
      <c r="K3074" s="7" t="str">
        <f>IF(Table1[[#This Row],[Is Data Valid]]=TRUE,_xlfn.NORM.S.DIST(Table1[[#This Row],[Birthweight Z-Score (BW-10%)]],TRUE)*100,"")</f>
        <v/>
      </c>
      <c r="L3074" s="7" t="str">
        <f>IF(Table1[[#This Row],[Is Data Valid]]=TRUE,_xlfn.NORM.S.DIST(Table1[[#This Row],[Birthweight Z-Score (BW+10%)]],TRUE)*100,"")</f>
        <v/>
      </c>
    </row>
    <row r="3075" spans="1:12" x14ac:dyDescent="0.35">
      <c r="A3075" s="3"/>
      <c r="B3075" s="2"/>
      <c r="C3075" s="2"/>
      <c r="D3075" s="2" t="b">
        <f>IF(AND(NOT(ISBLANK(Table1[[#This Row],[Fetal Sex (Male, Female or Unknown)]])),ISNUMBER(Table1[[#This Row],[Birthweight (grams)]]),ISNUMBER(Table1[[#This Row],[Gestation (days)]])),TRUE,FALSE)</f>
        <v>0</v>
      </c>
      <c r="E3075" s="2" t="str">
        <f>IF(Table1[[#This Row],[Is Data Valid]]=TRUE,IF(Table1[[#This Row],[Fetal Sex (Male, Female or Unknown)]]="Male",Backend!$C$6,IF(Table1[[#This Row],[Fetal Sex (Male, Female or Unknown)]]="Female",Backend!$C$7,IF(Table1[[#This Row],[Fetal Sex (Male, Female or Unknown)]]="Unknown",Backend!$C$8,"Error"))),"")</f>
        <v/>
      </c>
      <c r="F3075" s="8" t="str">
        <f>IF(Table1[[#This Row],[Is Data Valid]]=TRUE,EXP(0.578+0.332*((Table1[[#This Row],[Gestation (days)]]+0.5)/7)-0.00354*((Table1[[#This Row],[Gestation (days)]]+0.5)/7)^2)*Table1[[#This Row],[BW40_3705]],"")</f>
        <v/>
      </c>
      <c r="G3075" s="2" t="str">
        <f>IF(Table1[[#This Row],[Is Data Valid]]=TRUE,((Table1[[#This Row],[Birthweight (grams)]]/Table1[[#This Row],[BW_GA]])-1)/(Backend!$B$4/100*Table1[[#This Row],[BW40_3705]]),"")</f>
        <v/>
      </c>
      <c r="H3075" s="7" t="str">
        <f>IF(Table1[[#This Row],[Is Data Valid]]=TRUE,((Table1[[#This Row],[Birthweight (grams)]]*0.9/Table1[[#This Row],[BW_GA]])-1)/(Backend!$B$4/100*Table1[[#This Row],[BW40_3705]]),"")</f>
        <v/>
      </c>
      <c r="I3075" s="7" t="str">
        <f>IF(Table1[[#This Row],[Is Data Valid]]=TRUE,((Table1[[#This Row],[Birthweight (grams)]]*1.1/Table1[[#This Row],[BW_GA]])-1)/(Backend!$B$4/100*Table1[[#This Row],[BW40_3705]]),"")</f>
        <v/>
      </c>
      <c r="J3075" s="7" t="str">
        <f>IF(Table1[[#This Row],[Is Data Valid]]=TRUE,_xlfn.NORM.S.DIST(Table1[[#This Row],[Birthweight Z-Score]],TRUE)*100,"")</f>
        <v/>
      </c>
      <c r="K3075" s="7" t="str">
        <f>IF(Table1[[#This Row],[Is Data Valid]]=TRUE,_xlfn.NORM.S.DIST(Table1[[#This Row],[Birthweight Z-Score (BW-10%)]],TRUE)*100,"")</f>
        <v/>
      </c>
      <c r="L3075" s="7" t="str">
        <f>IF(Table1[[#This Row],[Is Data Valid]]=TRUE,_xlfn.NORM.S.DIST(Table1[[#This Row],[Birthweight Z-Score (BW+10%)]],TRUE)*100,"")</f>
        <v/>
      </c>
    </row>
    <row r="3076" spans="1:12" x14ac:dyDescent="0.35">
      <c r="A3076" s="3"/>
      <c r="B3076" s="2"/>
      <c r="C3076" s="2"/>
      <c r="D3076" s="2" t="b">
        <f>IF(AND(NOT(ISBLANK(Table1[[#This Row],[Fetal Sex (Male, Female or Unknown)]])),ISNUMBER(Table1[[#This Row],[Birthweight (grams)]]),ISNUMBER(Table1[[#This Row],[Gestation (days)]])),TRUE,FALSE)</f>
        <v>0</v>
      </c>
      <c r="E3076" s="2" t="str">
        <f>IF(Table1[[#This Row],[Is Data Valid]]=TRUE,IF(Table1[[#This Row],[Fetal Sex (Male, Female or Unknown)]]="Male",Backend!$C$6,IF(Table1[[#This Row],[Fetal Sex (Male, Female or Unknown)]]="Female",Backend!$C$7,IF(Table1[[#This Row],[Fetal Sex (Male, Female or Unknown)]]="Unknown",Backend!$C$8,"Error"))),"")</f>
        <v/>
      </c>
      <c r="F3076" s="8" t="str">
        <f>IF(Table1[[#This Row],[Is Data Valid]]=TRUE,EXP(0.578+0.332*((Table1[[#This Row],[Gestation (days)]]+0.5)/7)-0.00354*((Table1[[#This Row],[Gestation (days)]]+0.5)/7)^2)*Table1[[#This Row],[BW40_3705]],"")</f>
        <v/>
      </c>
      <c r="G3076" s="2" t="str">
        <f>IF(Table1[[#This Row],[Is Data Valid]]=TRUE,((Table1[[#This Row],[Birthweight (grams)]]/Table1[[#This Row],[BW_GA]])-1)/(Backend!$B$4/100*Table1[[#This Row],[BW40_3705]]),"")</f>
        <v/>
      </c>
      <c r="H3076" s="7" t="str">
        <f>IF(Table1[[#This Row],[Is Data Valid]]=TRUE,((Table1[[#This Row],[Birthweight (grams)]]*0.9/Table1[[#This Row],[BW_GA]])-1)/(Backend!$B$4/100*Table1[[#This Row],[BW40_3705]]),"")</f>
        <v/>
      </c>
      <c r="I3076" s="7" t="str">
        <f>IF(Table1[[#This Row],[Is Data Valid]]=TRUE,((Table1[[#This Row],[Birthweight (grams)]]*1.1/Table1[[#This Row],[BW_GA]])-1)/(Backend!$B$4/100*Table1[[#This Row],[BW40_3705]]),"")</f>
        <v/>
      </c>
      <c r="J3076" s="7" t="str">
        <f>IF(Table1[[#This Row],[Is Data Valid]]=TRUE,_xlfn.NORM.S.DIST(Table1[[#This Row],[Birthweight Z-Score]],TRUE)*100,"")</f>
        <v/>
      </c>
      <c r="K3076" s="7" t="str">
        <f>IF(Table1[[#This Row],[Is Data Valid]]=TRUE,_xlfn.NORM.S.DIST(Table1[[#This Row],[Birthweight Z-Score (BW-10%)]],TRUE)*100,"")</f>
        <v/>
      </c>
      <c r="L3076" s="7" t="str">
        <f>IF(Table1[[#This Row],[Is Data Valid]]=TRUE,_xlfn.NORM.S.DIST(Table1[[#This Row],[Birthweight Z-Score (BW+10%)]],TRUE)*100,"")</f>
        <v/>
      </c>
    </row>
    <row r="3077" spans="1:12" x14ac:dyDescent="0.35">
      <c r="A3077" s="3"/>
      <c r="B3077" s="2"/>
      <c r="C3077" s="2"/>
      <c r="D3077" s="2" t="b">
        <f>IF(AND(NOT(ISBLANK(Table1[[#This Row],[Fetal Sex (Male, Female or Unknown)]])),ISNUMBER(Table1[[#This Row],[Birthweight (grams)]]),ISNUMBER(Table1[[#This Row],[Gestation (days)]])),TRUE,FALSE)</f>
        <v>0</v>
      </c>
      <c r="E3077" s="2" t="str">
        <f>IF(Table1[[#This Row],[Is Data Valid]]=TRUE,IF(Table1[[#This Row],[Fetal Sex (Male, Female or Unknown)]]="Male",Backend!$C$6,IF(Table1[[#This Row],[Fetal Sex (Male, Female or Unknown)]]="Female",Backend!$C$7,IF(Table1[[#This Row],[Fetal Sex (Male, Female or Unknown)]]="Unknown",Backend!$C$8,"Error"))),"")</f>
        <v/>
      </c>
      <c r="F3077" s="8" t="str">
        <f>IF(Table1[[#This Row],[Is Data Valid]]=TRUE,EXP(0.578+0.332*((Table1[[#This Row],[Gestation (days)]]+0.5)/7)-0.00354*((Table1[[#This Row],[Gestation (days)]]+0.5)/7)^2)*Table1[[#This Row],[BW40_3705]],"")</f>
        <v/>
      </c>
      <c r="G3077" s="2" t="str">
        <f>IF(Table1[[#This Row],[Is Data Valid]]=TRUE,((Table1[[#This Row],[Birthweight (grams)]]/Table1[[#This Row],[BW_GA]])-1)/(Backend!$B$4/100*Table1[[#This Row],[BW40_3705]]),"")</f>
        <v/>
      </c>
      <c r="H3077" s="7" t="str">
        <f>IF(Table1[[#This Row],[Is Data Valid]]=TRUE,((Table1[[#This Row],[Birthweight (grams)]]*0.9/Table1[[#This Row],[BW_GA]])-1)/(Backend!$B$4/100*Table1[[#This Row],[BW40_3705]]),"")</f>
        <v/>
      </c>
      <c r="I3077" s="7" t="str">
        <f>IF(Table1[[#This Row],[Is Data Valid]]=TRUE,((Table1[[#This Row],[Birthweight (grams)]]*1.1/Table1[[#This Row],[BW_GA]])-1)/(Backend!$B$4/100*Table1[[#This Row],[BW40_3705]]),"")</f>
        <v/>
      </c>
      <c r="J3077" s="7" t="str">
        <f>IF(Table1[[#This Row],[Is Data Valid]]=TRUE,_xlfn.NORM.S.DIST(Table1[[#This Row],[Birthweight Z-Score]],TRUE)*100,"")</f>
        <v/>
      </c>
      <c r="K3077" s="7" t="str">
        <f>IF(Table1[[#This Row],[Is Data Valid]]=TRUE,_xlfn.NORM.S.DIST(Table1[[#This Row],[Birthweight Z-Score (BW-10%)]],TRUE)*100,"")</f>
        <v/>
      </c>
      <c r="L3077" s="7" t="str">
        <f>IF(Table1[[#This Row],[Is Data Valid]]=TRUE,_xlfn.NORM.S.DIST(Table1[[#This Row],[Birthweight Z-Score (BW+10%)]],TRUE)*100,"")</f>
        <v/>
      </c>
    </row>
    <row r="3078" spans="1:12" x14ac:dyDescent="0.35">
      <c r="A3078" s="3"/>
      <c r="B3078" s="2"/>
      <c r="C3078" s="2"/>
      <c r="D3078" s="2" t="b">
        <f>IF(AND(NOT(ISBLANK(Table1[[#This Row],[Fetal Sex (Male, Female or Unknown)]])),ISNUMBER(Table1[[#This Row],[Birthweight (grams)]]),ISNUMBER(Table1[[#This Row],[Gestation (days)]])),TRUE,FALSE)</f>
        <v>0</v>
      </c>
      <c r="E3078" s="2" t="str">
        <f>IF(Table1[[#This Row],[Is Data Valid]]=TRUE,IF(Table1[[#This Row],[Fetal Sex (Male, Female or Unknown)]]="Male",Backend!$C$6,IF(Table1[[#This Row],[Fetal Sex (Male, Female or Unknown)]]="Female",Backend!$C$7,IF(Table1[[#This Row],[Fetal Sex (Male, Female or Unknown)]]="Unknown",Backend!$C$8,"Error"))),"")</f>
        <v/>
      </c>
      <c r="F3078" s="8" t="str">
        <f>IF(Table1[[#This Row],[Is Data Valid]]=TRUE,EXP(0.578+0.332*((Table1[[#This Row],[Gestation (days)]]+0.5)/7)-0.00354*((Table1[[#This Row],[Gestation (days)]]+0.5)/7)^2)*Table1[[#This Row],[BW40_3705]],"")</f>
        <v/>
      </c>
      <c r="G3078" s="2" t="str">
        <f>IF(Table1[[#This Row],[Is Data Valid]]=TRUE,((Table1[[#This Row],[Birthweight (grams)]]/Table1[[#This Row],[BW_GA]])-1)/(Backend!$B$4/100*Table1[[#This Row],[BW40_3705]]),"")</f>
        <v/>
      </c>
      <c r="H3078" s="7" t="str">
        <f>IF(Table1[[#This Row],[Is Data Valid]]=TRUE,((Table1[[#This Row],[Birthweight (grams)]]*0.9/Table1[[#This Row],[BW_GA]])-1)/(Backend!$B$4/100*Table1[[#This Row],[BW40_3705]]),"")</f>
        <v/>
      </c>
      <c r="I3078" s="7" t="str">
        <f>IF(Table1[[#This Row],[Is Data Valid]]=TRUE,((Table1[[#This Row],[Birthweight (grams)]]*1.1/Table1[[#This Row],[BW_GA]])-1)/(Backend!$B$4/100*Table1[[#This Row],[BW40_3705]]),"")</f>
        <v/>
      </c>
      <c r="J3078" s="7" t="str">
        <f>IF(Table1[[#This Row],[Is Data Valid]]=TRUE,_xlfn.NORM.S.DIST(Table1[[#This Row],[Birthweight Z-Score]],TRUE)*100,"")</f>
        <v/>
      </c>
      <c r="K3078" s="7" t="str">
        <f>IF(Table1[[#This Row],[Is Data Valid]]=TRUE,_xlfn.NORM.S.DIST(Table1[[#This Row],[Birthweight Z-Score (BW-10%)]],TRUE)*100,"")</f>
        <v/>
      </c>
      <c r="L3078" s="7" t="str">
        <f>IF(Table1[[#This Row],[Is Data Valid]]=TRUE,_xlfn.NORM.S.DIST(Table1[[#This Row],[Birthweight Z-Score (BW+10%)]],TRUE)*100,"")</f>
        <v/>
      </c>
    </row>
    <row r="3079" spans="1:12" x14ac:dyDescent="0.35">
      <c r="A3079" s="3"/>
      <c r="B3079" s="2"/>
      <c r="C3079" s="2"/>
      <c r="D3079" s="2" t="b">
        <f>IF(AND(NOT(ISBLANK(Table1[[#This Row],[Fetal Sex (Male, Female or Unknown)]])),ISNUMBER(Table1[[#This Row],[Birthweight (grams)]]),ISNUMBER(Table1[[#This Row],[Gestation (days)]])),TRUE,FALSE)</f>
        <v>0</v>
      </c>
      <c r="E3079" s="2" t="str">
        <f>IF(Table1[[#This Row],[Is Data Valid]]=TRUE,IF(Table1[[#This Row],[Fetal Sex (Male, Female or Unknown)]]="Male",Backend!$C$6,IF(Table1[[#This Row],[Fetal Sex (Male, Female or Unknown)]]="Female",Backend!$C$7,IF(Table1[[#This Row],[Fetal Sex (Male, Female or Unknown)]]="Unknown",Backend!$C$8,"Error"))),"")</f>
        <v/>
      </c>
      <c r="F3079" s="8" t="str">
        <f>IF(Table1[[#This Row],[Is Data Valid]]=TRUE,EXP(0.578+0.332*((Table1[[#This Row],[Gestation (days)]]+0.5)/7)-0.00354*((Table1[[#This Row],[Gestation (days)]]+0.5)/7)^2)*Table1[[#This Row],[BW40_3705]],"")</f>
        <v/>
      </c>
      <c r="G3079" s="2" t="str">
        <f>IF(Table1[[#This Row],[Is Data Valid]]=TRUE,((Table1[[#This Row],[Birthweight (grams)]]/Table1[[#This Row],[BW_GA]])-1)/(Backend!$B$4/100*Table1[[#This Row],[BW40_3705]]),"")</f>
        <v/>
      </c>
      <c r="H3079" s="7" t="str">
        <f>IF(Table1[[#This Row],[Is Data Valid]]=TRUE,((Table1[[#This Row],[Birthweight (grams)]]*0.9/Table1[[#This Row],[BW_GA]])-1)/(Backend!$B$4/100*Table1[[#This Row],[BW40_3705]]),"")</f>
        <v/>
      </c>
      <c r="I3079" s="7" t="str">
        <f>IF(Table1[[#This Row],[Is Data Valid]]=TRUE,((Table1[[#This Row],[Birthweight (grams)]]*1.1/Table1[[#This Row],[BW_GA]])-1)/(Backend!$B$4/100*Table1[[#This Row],[BW40_3705]]),"")</f>
        <v/>
      </c>
      <c r="J3079" s="7" t="str">
        <f>IF(Table1[[#This Row],[Is Data Valid]]=TRUE,_xlfn.NORM.S.DIST(Table1[[#This Row],[Birthweight Z-Score]],TRUE)*100,"")</f>
        <v/>
      </c>
      <c r="K3079" s="7" t="str">
        <f>IF(Table1[[#This Row],[Is Data Valid]]=TRUE,_xlfn.NORM.S.DIST(Table1[[#This Row],[Birthweight Z-Score (BW-10%)]],TRUE)*100,"")</f>
        <v/>
      </c>
      <c r="L3079" s="7" t="str">
        <f>IF(Table1[[#This Row],[Is Data Valid]]=TRUE,_xlfn.NORM.S.DIST(Table1[[#This Row],[Birthweight Z-Score (BW+10%)]],TRUE)*100,"")</f>
        <v/>
      </c>
    </row>
    <row r="3080" spans="1:12" x14ac:dyDescent="0.35">
      <c r="A3080" s="3"/>
      <c r="B3080" s="2"/>
      <c r="C3080" s="2"/>
      <c r="D3080" s="2" t="b">
        <f>IF(AND(NOT(ISBLANK(Table1[[#This Row],[Fetal Sex (Male, Female or Unknown)]])),ISNUMBER(Table1[[#This Row],[Birthweight (grams)]]),ISNUMBER(Table1[[#This Row],[Gestation (days)]])),TRUE,FALSE)</f>
        <v>0</v>
      </c>
      <c r="E3080" s="2" t="str">
        <f>IF(Table1[[#This Row],[Is Data Valid]]=TRUE,IF(Table1[[#This Row],[Fetal Sex (Male, Female or Unknown)]]="Male",Backend!$C$6,IF(Table1[[#This Row],[Fetal Sex (Male, Female or Unknown)]]="Female",Backend!$C$7,IF(Table1[[#This Row],[Fetal Sex (Male, Female or Unknown)]]="Unknown",Backend!$C$8,"Error"))),"")</f>
        <v/>
      </c>
      <c r="F3080" s="8" t="str">
        <f>IF(Table1[[#This Row],[Is Data Valid]]=TRUE,EXP(0.578+0.332*((Table1[[#This Row],[Gestation (days)]]+0.5)/7)-0.00354*((Table1[[#This Row],[Gestation (days)]]+0.5)/7)^2)*Table1[[#This Row],[BW40_3705]],"")</f>
        <v/>
      </c>
      <c r="G3080" s="2" t="str">
        <f>IF(Table1[[#This Row],[Is Data Valid]]=TRUE,((Table1[[#This Row],[Birthweight (grams)]]/Table1[[#This Row],[BW_GA]])-1)/(Backend!$B$4/100*Table1[[#This Row],[BW40_3705]]),"")</f>
        <v/>
      </c>
      <c r="H3080" s="7" t="str">
        <f>IF(Table1[[#This Row],[Is Data Valid]]=TRUE,((Table1[[#This Row],[Birthweight (grams)]]*0.9/Table1[[#This Row],[BW_GA]])-1)/(Backend!$B$4/100*Table1[[#This Row],[BW40_3705]]),"")</f>
        <v/>
      </c>
      <c r="I3080" s="7" t="str">
        <f>IF(Table1[[#This Row],[Is Data Valid]]=TRUE,((Table1[[#This Row],[Birthweight (grams)]]*1.1/Table1[[#This Row],[BW_GA]])-1)/(Backend!$B$4/100*Table1[[#This Row],[BW40_3705]]),"")</f>
        <v/>
      </c>
      <c r="J3080" s="7" t="str">
        <f>IF(Table1[[#This Row],[Is Data Valid]]=TRUE,_xlfn.NORM.S.DIST(Table1[[#This Row],[Birthweight Z-Score]],TRUE)*100,"")</f>
        <v/>
      </c>
      <c r="K3080" s="7" t="str">
        <f>IF(Table1[[#This Row],[Is Data Valid]]=TRUE,_xlfn.NORM.S.DIST(Table1[[#This Row],[Birthweight Z-Score (BW-10%)]],TRUE)*100,"")</f>
        <v/>
      </c>
      <c r="L3080" s="7" t="str">
        <f>IF(Table1[[#This Row],[Is Data Valid]]=TRUE,_xlfn.NORM.S.DIST(Table1[[#This Row],[Birthweight Z-Score (BW+10%)]],TRUE)*100,"")</f>
        <v/>
      </c>
    </row>
    <row r="3081" spans="1:12" x14ac:dyDescent="0.35">
      <c r="A3081" s="3"/>
      <c r="B3081" s="2"/>
      <c r="C3081" s="2"/>
      <c r="D3081" s="2" t="b">
        <f>IF(AND(NOT(ISBLANK(Table1[[#This Row],[Fetal Sex (Male, Female or Unknown)]])),ISNUMBER(Table1[[#This Row],[Birthweight (grams)]]),ISNUMBER(Table1[[#This Row],[Gestation (days)]])),TRUE,FALSE)</f>
        <v>0</v>
      </c>
      <c r="E3081" s="2" t="str">
        <f>IF(Table1[[#This Row],[Is Data Valid]]=TRUE,IF(Table1[[#This Row],[Fetal Sex (Male, Female or Unknown)]]="Male",Backend!$C$6,IF(Table1[[#This Row],[Fetal Sex (Male, Female or Unknown)]]="Female",Backend!$C$7,IF(Table1[[#This Row],[Fetal Sex (Male, Female or Unknown)]]="Unknown",Backend!$C$8,"Error"))),"")</f>
        <v/>
      </c>
      <c r="F3081" s="8" t="str">
        <f>IF(Table1[[#This Row],[Is Data Valid]]=TRUE,EXP(0.578+0.332*((Table1[[#This Row],[Gestation (days)]]+0.5)/7)-0.00354*((Table1[[#This Row],[Gestation (days)]]+0.5)/7)^2)*Table1[[#This Row],[BW40_3705]],"")</f>
        <v/>
      </c>
      <c r="G3081" s="2" t="str">
        <f>IF(Table1[[#This Row],[Is Data Valid]]=TRUE,((Table1[[#This Row],[Birthweight (grams)]]/Table1[[#This Row],[BW_GA]])-1)/(Backend!$B$4/100*Table1[[#This Row],[BW40_3705]]),"")</f>
        <v/>
      </c>
      <c r="H3081" s="7" t="str">
        <f>IF(Table1[[#This Row],[Is Data Valid]]=TRUE,((Table1[[#This Row],[Birthweight (grams)]]*0.9/Table1[[#This Row],[BW_GA]])-1)/(Backend!$B$4/100*Table1[[#This Row],[BW40_3705]]),"")</f>
        <v/>
      </c>
      <c r="I3081" s="7" t="str">
        <f>IF(Table1[[#This Row],[Is Data Valid]]=TRUE,((Table1[[#This Row],[Birthweight (grams)]]*1.1/Table1[[#This Row],[BW_GA]])-1)/(Backend!$B$4/100*Table1[[#This Row],[BW40_3705]]),"")</f>
        <v/>
      </c>
      <c r="J3081" s="7" t="str">
        <f>IF(Table1[[#This Row],[Is Data Valid]]=TRUE,_xlfn.NORM.S.DIST(Table1[[#This Row],[Birthweight Z-Score]],TRUE)*100,"")</f>
        <v/>
      </c>
      <c r="K3081" s="7" t="str">
        <f>IF(Table1[[#This Row],[Is Data Valid]]=TRUE,_xlfn.NORM.S.DIST(Table1[[#This Row],[Birthweight Z-Score (BW-10%)]],TRUE)*100,"")</f>
        <v/>
      </c>
      <c r="L3081" s="7" t="str">
        <f>IF(Table1[[#This Row],[Is Data Valid]]=TRUE,_xlfn.NORM.S.DIST(Table1[[#This Row],[Birthweight Z-Score (BW+10%)]],TRUE)*100,"")</f>
        <v/>
      </c>
    </row>
    <row r="3082" spans="1:12" x14ac:dyDescent="0.35">
      <c r="A3082" s="3"/>
      <c r="B3082" s="2"/>
      <c r="C3082" s="2"/>
      <c r="D3082" s="2" t="b">
        <f>IF(AND(NOT(ISBLANK(Table1[[#This Row],[Fetal Sex (Male, Female or Unknown)]])),ISNUMBER(Table1[[#This Row],[Birthweight (grams)]]),ISNUMBER(Table1[[#This Row],[Gestation (days)]])),TRUE,FALSE)</f>
        <v>0</v>
      </c>
      <c r="E3082" s="2" t="str">
        <f>IF(Table1[[#This Row],[Is Data Valid]]=TRUE,IF(Table1[[#This Row],[Fetal Sex (Male, Female or Unknown)]]="Male",Backend!$C$6,IF(Table1[[#This Row],[Fetal Sex (Male, Female or Unknown)]]="Female",Backend!$C$7,IF(Table1[[#This Row],[Fetal Sex (Male, Female or Unknown)]]="Unknown",Backend!$C$8,"Error"))),"")</f>
        <v/>
      </c>
      <c r="F3082" s="8" t="str">
        <f>IF(Table1[[#This Row],[Is Data Valid]]=TRUE,EXP(0.578+0.332*((Table1[[#This Row],[Gestation (days)]]+0.5)/7)-0.00354*((Table1[[#This Row],[Gestation (days)]]+0.5)/7)^2)*Table1[[#This Row],[BW40_3705]],"")</f>
        <v/>
      </c>
      <c r="G3082" s="2" t="str">
        <f>IF(Table1[[#This Row],[Is Data Valid]]=TRUE,((Table1[[#This Row],[Birthweight (grams)]]/Table1[[#This Row],[BW_GA]])-1)/(Backend!$B$4/100*Table1[[#This Row],[BW40_3705]]),"")</f>
        <v/>
      </c>
      <c r="H3082" s="7" t="str">
        <f>IF(Table1[[#This Row],[Is Data Valid]]=TRUE,((Table1[[#This Row],[Birthweight (grams)]]*0.9/Table1[[#This Row],[BW_GA]])-1)/(Backend!$B$4/100*Table1[[#This Row],[BW40_3705]]),"")</f>
        <v/>
      </c>
      <c r="I3082" s="7" t="str">
        <f>IF(Table1[[#This Row],[Is Data Valid]]=TRUE,((Table1[[#This Row],[Birthweight (grams)]]*1.1/Table1[[#This Row],[BW_GA]])-1)/(Backend!$B$4/100*Table1[[#This Row],[BW40_3705]]),"")</f>
        <v/>
      </c>
      <c r="J3082" s="7" t="str">
        <f>IF(Table1[[#This Row],[Is Data Valid]]=TRUE,_xlfn.NORM.S.DIST(Table1[[#This Row],[Birthweight Z-Score]],TRUE)*100,"")</f>
        <v/>
      </c>
      <c r="K3082" s="7" t="str">
        <f>IF(Table1[[#This Row],[Is Data Valid]]=TRUE,_xlfn.NORM.S.DIST(Table1[[#This Row],[Birthweight Z-Score (BW-10%)]],TRUE)*100,"")</f>
        <v/>
      </c>
      <c r="L3082" s="7" t="str">
        <f>IF(Table1[[#This Row],[Is Data Valid]]=TRUE,_xlfn.NORM.S.DIST(Table1[[#This Row],[Birthweight Z-Score (BW+10%)]],TRUE)*100,"")</f>
        <v/>
      </c>
    </row>
    <row r="3083" spans="1:12" x14ac:dyDescent="0.35">
      <c r="A3083" s="3"/>
      <c r="B3083" s="2"/>
      <c r="C3083" s="2"/>
      <c r="D3083" s="2" t="b">
        <f>IF(AND(NOT(ISBLANK(Table1[[#This Row],[Fetal Sex (Male, Female or Unknown)]])),ISNUMBER(Table1[[#This Row],[Birthweight (grams)]]),ISNUMBER(Table1[[#This Row],[Gestation (days)]])),TRUE,FALSE)</f>
        <v>0</v>
      </c>
      <c r="E3083" s="2" t="str">
        <f>IF(Table1[[#This Row],[Is Data Valid]]=TRUE,IF(Table1[[#This Row],[Fetal Sex (Male, Female or Unknown)]]="Male",Backend!$C$6,IF(Table1[[#This Row],[Fetal Sex (Male, Female or Unknown)]]="Female",Backend!$C$7,IF(Table1[[#This Row],[Fetal Sex (Male, Female or Unknown)]]="Unknown",Backend!$C$8,"Error"))),"")</f>
        <v/>
      </c>
      <c r="F3083" s="8" t="str">
        <f>IF(Table1[[#This Row],[Is Data Valid]]=TRUE,EXP(0.578+0.332*((Table1[[#This Row],[Gestation (days)]]+0.5)/7)-0.00354*((Table1[[#This Row],[Gestation (days)]]+0.5)/7)^2)*Table1[[#This Row],[BW40_3705]],"")</f>
        <v/>
      </c>
      <c r="G3083" s="2" t="str">
        <f>IF(Table1[[#This Row],[Is Data Valid]]=TRUE,((Table1[[#This Row],[Birthweight (grams)]]/Table1[[#This Row],[BW_GA]])-1)/(Backend!$B$4/100*Table1[[#This Row],[BW40_3705]]),"")</f>
        <v/>
      </c>
      <c r="H3083" s="7" t="str">
        <f>IF(Table1[[#This Row],[Is Data Valid]]=TRUE,((Table1[[#This Row],[Birthweight (grams)]]*0.9/Table1[[#This Row],[BW_GA]])-1)/(Backend!$B$4/100*Table1[[#This Row],[BW40_3705]]),"")</f>
        <v/>
      </c>
      <c r="I3083" s="7" t="str">
        <f>IF(Table1[[#This Row],[Is Data Valid]]=TRUE,((Table1[[#This Row],[Birthweight (grams)]]*1.1/Table1[[#This Row],[BW_GA]])-1)/(Backend!$B$4/100*Table1[[#This Row],[BW40_3705]]),"")</f>
        <v/>
      </c>
      <c r="J3083" s="7" t="str">
        <f>IF(Table1[[#This Row],[Is Data Valid]]=TRUE,_xlfn.NORM.S.DIST(Table1[[#This Row],[Birthweight Z-Score]],TRUE)*100,"")</f>
        <v/>
      </c>
      <c r="K3083" s="7" t="str">
        <f>IF(Table1[[#This Row],[Is Data Valid]]=TRUE,_xlfn.NORM.S.DIST(Table1[[#This Row],[Birthweight Z-Score (BW-10%)]],TRUE)*100,"")</f>
        <v/>
      </c>
      <c r="L3083" s="7" t="str">
        <f>IF(Table1[[#This Row],[Is Data Valid]]=TRUE,_xlfn.NORM.S.DIST(Table1[[#This Row],[Birthweight Z-Score (BW+10%)]],TRUE)*100,"")</f>
        <v/>
      </c>
    </row>
    <row r="3084" spans="1:12" x14ac:dyDescent="0.35">
      <c r="A3084" s="3"/>
      <c r="B3084" s="2"/>
      <c r="C3084" s="2"/>
      <c r="D3084" s="2" t="b">
        <f>IF(AND(NOT(ISBLANK(Table1[[#This Row],[Fetal Sex (Male, Female or Unknown)]])),ISNUMBER(Table1[[#This Row],[Birthweight (grams)]]),ISNUMBER(Table1[[#This Row],[Gestation (days)]])),TRUE,FALSE)</f>
        <v>0</v>
      </c>
      <c r="E3084" s="2" t="str">
        <f>IF(Table1[[#This Row],[Is Data Valid]]=TRUE,IF(Table1[[#This Row],[Fetal Sex (Male, Female or Unknown)]]="Male",Backend!$C$6,IF(Table1[[#This Row],[Fetal Sex (Male, Female or Unknown)]]="Female",Backend!$C$7,IF(Table1[[#This Row],[Fetal Sex (Male, Female or Unknown)]]="Unknown",Backend!$C$8,"Error"))),"")</f>
        <v/>
      </c>
      <c r="F3084" s="8" t="str">
        <f>IF(Table1[[#This Row],[Is Data Valid]]=TRUE,EXP(0.578+0.332*((Table1[[#This Row],[Gestation (days)]]+0.5)/7)-0.00354*((Table1[[#This Row],[Gestation (days)]]+0.5)/7)^2)*Table1[[#This Row],[BW40_3705]],"")</f>
        <v/>
      </c>
      <c r="G3084" s="2" t="str">
        <f>IF(Table1[[#This Row],[Is Data Valid]]=TRUE,((Table1[[#This Row],[Birthweight (grams)]]/Table1[[#This Row],[BW_GA]])-1)/(Backend!$B$4/100*Table1[[#This Row],[BW40_3705]]),"")</f>
        <v/>
      </c>
      <c r="H3084" s="7" t="str">
        <f>IF(Table1[[#This Row],[Is Data Valid]]=TRUE,((Table1[[#This Row],[Birthweight (grams)]]*0.9/Table1[[#This Row],[BW_GA]])-1)/(Backend!$B$4/100*Table1[[#This Row],[BW40_3705]]),"")</f>
        <v/>
      </c>
      <c r="I3084" s="7" t="str">
        <f>IF(Table1[[#This Row],[Is Data Valid]]=TRUE,((Table1[[#This Row],[Birthweight (grams)]]*1.1/Table1[[#This Row],[BW_GA]])-1)/(Backend!$B$4/100*Table1[[#This Row],[BW40_3705]]),"")</f>
        <v/>
      </c>
      <c r="J3084" s="7" t="str">
        <f>IF(Table1[[#This Row],[Is Data Valid]]=TRUE,_xlfn.NORM.S.DIST(Table1[[#This Row],[Birthweight Z-Score]],TRUE)*100,"")</f>
        <v/>
      </c>
      <c r="K3084" s="7" t="str">
        <f>IF(Table1[[#This Row],[Is Data Valid]]=TRUE,_xlfn.NORM.S.DIST(Table1[[#This Row],[Birthweight Z-Score (BW-10%)]],TRUE)*100,"")</f>
        <v/>
      </c>
      <c r="L3084" s="7" t="str">
        <f>IF(Table1[[#This Row],[Is Data Valid]]=TRUE,_xlfn.NORM.S.DIST(Table1[[#This Row],[Birthweight Z-Score (BW+10%)]],TRUE)*100,"")</f>
        <v/>
      </c>
    </row>
    <row r="3085" spans="1:12" x14ac:dyDescent="0.35">
      <c r="A3085" s="3"/>
      <c r="B3085" s="2"/>
      <c r="C3085" s="2"/>
      <c r="D3085" s="2" t="b">
        <f>IF(AND(NOT(ISBLANK(Table1[[#This Row],[Fetal Sex (Male, Female or Unknown)]])),ISNUMBER(Table1[[#This Row],[Birthweight (grams)]]),ISNUMBER(Table1[[#This Row],[Gestation (days)]])),TRUE,FALSE)</f>
        <v>0</v>
      </c>
      <c r="E3085" s="2" t="str">
        <f>IF(Table1[[#This Row],[Is Data Valid]]=TRUE,IF(Table1[[#This Row],[Fetal Sex (Male, Female or Unknown)]]="Male",Backend!$C$6,IF(Table1[[#This Row],[Fetal Sex (Male, Female or Unknown)]]="Female",Backend!$C$7,IF(Table1[[#This Row],[Fetal Sex (Male, Female or Unknown)]]="Unknown",Backend!$C$8,"Error"))),"")</f>
        <v/>
      </c>
      <c r="F3085" s="8" t="str">
        <f>IF(Table1[[#This Row],[Is Data Valid]]=TRUE,EXP(0.578+0.332*((Table1[[#This Row],[Gestation (days)]]+0.5)/7)-0.00354*((Table1[[#This Row],[Gestation (days)]]+0.5)/7)^2)*Table1[[#This Row],[BW40_3705]],"")</f>
        <v/>
      </c>
      <c r="G3085" s="2" t="str">
        <f>IF(Table1[[#This Row],[Is Data Valid]]=TRUE,((Table1[[#This Row],[Birthweight (grams)]]/Table1[[#This Row],[BW_GA]])-1)/(Backend!$B$4/100*Table1[[#This Row],[BW40_3705]]),"")</f>
        <v/>
      </c>
      <c r="H3085" s="7" t="str">
        <f>IF(Table1[[#This Row],[Is Data Valid]]=TRUE,((Table1[[#This Row],[Birthweight (grams)]]*0.9/Table1[[#This Row],[BW_GA]])-1)/(Backend!$B$4/100*Table1[[#This Row],[BW40_3705]]),"")</f>
        <v/>
      </c>
      <c r="I3085" s="7" t="str">
        <f>IF(Table1[[#This Row],[Is Data Valid]]=TRUE,((Table1[[#This Row],[Birthweight (grams)]]*1.1/Table1[[#This Row],[BW_GA]])-1)/(Backend!$B$4/100*Table1[[#This Row],[BW40_3705]]),"")</f>
        <v/>
      </c>
      <c r="J3085" s="7" t="str">
        <f>IF(Table1[[#This Row],[Is Data Valid]]=TRUE,_xlfn.NORM.S.DIST(Table1[[#This Row],[Birthweight Z-Score]],TRUE)*100,"")</f>
        <v/>
      </c>
      <c r="K3085" s="7" t="str">
        <f>IF(Table1[[#This Row],[Is Data Valid]]=TRUE,_xlfn.NORM.S.DIST(Table1[[#This Row],[Birthweight Z-Score (BW-10%)]],TRUE)*100,"")</f>
        <v/>
      </c>
      <c r="L3085" s="7" t="str">
        <f>IF(Table1[[#This Row],[Is Data Valid]]=TRUE,_xlfn.NORM.S.DIST(Table1[[#This Row],[Birthweight Z-Score (BW+10%)]],TRUE)*100,"")</f>
        <v/>
      </c>
    </row>
    <row r="3086" spans="1:12" x14ac:dyDescent="0.35">
      <c r="A3086" s="3"/>
      <c r="B3086" s="2"/>
      <c r="C3086" s="2"/>
      <c r="D3086" s="2" t="b">
        <f>IF(AND(NOT(ISBLANK(Table1[[#This Row],[Fetal Sex (Male, Female or Unknown)]])),ISNUMBER(Table1[[#This Row],[Birthweight (grams)]]),ISNUMBER(Table1[[#This Row],[Gestation (days)]])),TRUE,FALSE)</f>
        <v>0</v>
      </c>
      <c r="E3086" s="2" t="str">
        <f>IF(Table1[[#This Row],[Is Data Valid]]=TRUE,IF(Table1[[#This Row],[Fetal Sex (Male, Female or Unknown)]]="Male",Backend!$C$6,IF(Table1[[#This Row],[Fetal Sex (Male, Female or Unknown)]]="Female",Backend!$C$7,IF(Table1[[#This Row],[Fetal Sex (Male, Female or Unknown)]]="Unknown",Backend!$C$8,"Error"))),"")</f>
        <v/>
      </c>
      <c r="F3086" s="8" t="str">
        <f>IF(Table1[[#This Row],[Is Data Valid]]=TRUE,EXP(0.578+0.332*((Table1[[#This Row],[Gestation (days)]]+0.5)/7)-0.00354*((Table1[[#This Row],[Gestation (days)]]+0.5)/7)^2)*Table1[[#This Row],[BW40_3705]],"")</f>
        <v/>
      </c>
      <c r="G3086" s="2" t="str">
        <f>IF(Table1[[#This Row],[Is Data Valid]]=TRUE,((Table1[[#This Row],[Birthweight (grams)]]/Table1[[#This Row],[BW_GA]])-1)/(Backend!$B$4/100*Table1[[#This Row],[BW40_3705]]),"")</f>
        <v/>
      </c>
      <c r="H3086" s="7" t="str">
        <f>IF(Table1[[#This Row],[Is Data Valid]]=TRUE,((Table1[[#This Row],[Birthweight (grams)]]*0.9/Table1[[#This Row],[BW_GA]])-1)/(Backend!$B$4/100*Table1[[#This Row],[BW40_3705]]),"")</f>
        <v/>
      </c>
      <c r="I3086" s="7" t="str">
        <f>IF(Table1[[#This Row],[Is Data Valid]]=TRUE,((Table1[[#This Row],[Birthweight (grams)]]*1.1/Table1[[#This Row],[BW_GA]])-1)/(Backend!$B$4/100*Table1[[#This Row],[BW40_3705]]),"")</f>
        <v/>
      </c>
      <c r="J3086" s="7" t="str">
        <f>IF(Table1[[#This Row],[Is Data Valid]]=TRUE,_xlfn.NORM.S.DIST(Table1[[#This Row],[Birthweight Z-Score]],TRUE)*100,"")</f>
        <v/>
      </c>
      <c r="K3086" s="7" t="str">
        <f>IF(Table1[[#This Row],[Is Data Valid]]=TRUE,_xlfn.NORM.S.DIST(Table1[[#This Row],[Birthweight Z-Score (BW-10%)]],TRUE)*100,"")</f>
        <v/>
      </c>
      <c r="L3086" s="7" t="str">
        <f>IF(Table1[[#This Row],[Is Data Valid]]=TRUE,_xlfn.NORM.S.DIST(Table1[[#This Row],[Birthweight Z-Score (BW+10%)]],TRUE)*100,"")</f>
        <v/>
      </c>
    </row>
    <row r="3087" spans="1:12" x14ac:dyDescent="0.35">
      <c r="A3087" s="3"/>
      <c r="B3087" s="2"/>
      <c r="C3087" s="2"/>
      <c r="D3087" s="2" t="b">
        <f>IF(AND(NOT(ISBLANK(Table1[[#This Row],[Fetal Sex (Male, Female or Unknown)]])),ISNUMBER(Table1[[#This Row],[Birthweight (grams)]]),ISNUMBER(Table1[[#This Row],[Gestation (days)]])),TRUE,FALSE)</f>
        <v>0</v>
      </c>
      <c r="E3087" s="2" t="str">
        <f>IF(Table1[[#This Row],[Is Data Valid]]=TRUE,IF(Table1[[#This Row],[Fetal Sex (Male, Female or Unknown)]]="Male",Backend!$C$6,IF(Table1[[#This Row],[Fetal Sex (Male, Female or Unknown)]]="Female",Backend!$C$7,IF(Table1[[#This Row],[Fetal Sex (Male, Female or Unknown)]]="Unknown",Backend!$C$8,"Error"))),"")</f>
        <v/>
      </c>
      <c r="F3087" s="8" t="str">
        <f>IF(Table1[[#This Row],[Is Data Valid]]=TRUE,EXP(0.578+0.332*((Table1[[#This Row],[Gestation (days)]]+0.5)/7)-0.00354*((Table1[[#This Row],[Gestation (days)]]+0.5)/7)^2)*Table1[[#This Row],[BW40_3705]],"")</f>
        <v/>
      </c>
      <c r="G3087" s="2" t="str">
        <f>IF(Table1[[#This Row],[Is Data Valid]]=TRUE,((Table1[[#This Row],[Birthweight (grams)]]/Table1[[#This Row],[BW_GA]])-1)/(Backend!$B$4/100*Table1[[#This Row],[BW40_3705]]),"")</f>
        <v/>
      </c>
      <c r="H3087" s="7" t="str">
        <f>IF(Table1[[#This Row],[Is Data Valid]]=TRUE,((Table1[[#This Row],[Birthweight (grams)]]*0.9/Table1[[#This Row],[BW_GA]])-1)/(Backend!$B$4/100*Table1[[#This Row],[BW40_3705]]),"")</f>
        <v/>
      </c>
      <c r="I3087" s="7" t="str">
        <f>IF(Table1[[#This Row],[Is Data Valid]]=TRUE,((Table1[[#This Row],[Birthweight (grams)]]*1.1/Table1[[#This Row],[BW_GA]])-1)/(Backend!$B$4/100*Table1[[#This Row],[BW40_3705]]),"")</f>
        <v/>
      </c>
      <c r="J3087" s="7" t="str">
        <f>IF(Table1[[#This Row],[Is Data Valid]]=TRUE,_xlfn.NORM.S.DIST(Table1[[#This Row],[Birthweight Z-Score]],TRUE)*100,"")</f>
        <v/>
      </c>
      <c r="K3087" s="7" t="str">
        <f>IF(Table1[[#This Row],[Is Data Valid]]=TRUE,_xlfn.NORM.S.DIST(Table1[[#This Row],[Birthweight Z-Score (BW-10%)]],TRUE)*100,"")</f>
        <v/>
      </c>
      <c r="L3087" s="7" t="str">
        <f>IF(Table1[[#This Row],[Is Data Valid]]=TRUE,_xlfn.NORM.S.DIST(Table1[[#This Row],[Birthweight Z-Score (BW+10%)]],TRUE)*100,"")</f>
        <v/>
      </c>
    </row>
    <row r="3088" spans="1:12" x14ac:dyDescent="0.35">
      <c r="A3088" s="3"/>
      <c r="B3088" s="2"/>
      <c r="C3088" s="2"/>
      <c r="D3088" s="2" t="b">
        <f>IF(AND(NOT(ISBLANK(Table1[[#This Row],[Fetal Sex (Male, Female or Unknown)]])),ISNUMBER(Table1[[#This Row],[Birthweight (grams)]]),ISNUMBER(Table1[[#This Row],[Gestation (days)]])),TRUE,FALSE)</f>
        <v>0</v>
      </c>
      <c r="E3088" s="2" t="str">
        <f>IF(Table1[[#This Row],[Is Data Valid]]=TRUE,IF(Table1[[#This Row],[Fetal Sex (Male, Female or Unknown)]]="Male",Backend!$C$6,IF(Table1[[#This Row],[Fetal Sex (Male, Female or Unknown)]]="Female",Backend!$C$7,IF(Table1[[#This Row],[Fetal Sex (Male, Female or Unknown)]]="Unknown",Backend!$C$8,"Error"))),"")</f>
        <v/>
      </c>
      <c r="F3088" s="8" t="str">
        <f>IF(Table1[[#This Row],[Is Data Valid]]=TRUE,EXP(0.578+0.332*((Table1[[#This Row],[Gestation (days)]]+0.5)/7)-0.00354*((Table1[[#This Row],[Gestation (days)]]+0.5)/7)^2)*Table1[[#This Row],[BW40_3705]],"")</f>
        <v/>
      </c>
      <c r="G3088" s="2" t="str">
        <f>IF(Table1[[#This Row],[Is Data Valid]]=TRUE,((Table1[[#This Row],[Birthweight (grams)]]/Table1[[#This Row],[BW_GA]])-1)/(Backend!$B$4/100*Table1[[#This Row],[BW40_3705]]),"")</f>
        <v/>
      </c>
      <c r="H3088" s="7" t="str">
        <f>IF(Table1[[#This Row],[Is Data Valid]]=TRUE,((Table1[[#This Row],[Birthweight (grams)]]*0.9/Table1[[#This Row],[BW_GA]])-1)/(Backend!$B$4/100*Table1[[#This Row],[BW40_3705]]),"")</f>
        <v/>
      </c>
      <c r="I3088" s="7" t="str">
        <f>IF(Table1[[#This Row],[Is Data Valid]]=TRUE,((Table1[[#This Row],[Birthweight (grams)]]*1.1/Table1[[#This Row],[BW_GA]])-1)/(Backend!$B$4/100*Table1[[#This Row],[BW40_3705]]),"")</f>
        <v/>
      </c>
      <c r="J3088" s="7" t="str">
        <f>IF(Table1[[#This Row],[Is Data Valid]]=TRUE,_xlfn.NORM.S.DIST(Table1[[#This Row],[Birthweight Z-Score]],TRUE)*100,"")</f>
        <v/>
      </c>
      <c r="K3088" s="7" t="str">
        <f>IF(Table1[[#This Row],[Is Data Valid]]=TRUE,_xlfn.NORM.S.DIST(Table1[[#This Row],[Birthweight Z-Score (BW-10%)]],TRUE)*100,"")</f>
        <v/>
      </c>
      <c r="L3088" s="7" t="str">
        <f>IF(Table1[[#This Row],[Is Data Valid]]=TRUE,_xlfn.NORM.S.DIST(Table1[[#This Row],[Birthweight Z-Score (BW+10%)]],TRUE)*100,"")</f>
        <v/>
      </c>
    </row>
    <row r="3089" spans="1:12" x14ac:dyDescent="0.35">
      <c r="A3089" s="3"/>
      <c r="B3089" s="2"/>
      <c r="C3089" s="2"/>
      <c r="D3089" s="2" t="b">
        <f>IF(AND(NOT(ISBLANK(Table1[[#This Row],[Fetal Sex (Male, Female or Unknown)]])),ISNUMBER(Table1[[#This Row],[Birthweight (grams)]]),ISNUMBER(Table1[[#This Row],[Gestation (days)]])),TRUE,FALSE)</f>
        <v>0</v>
      </c>
      <c r="E3089" s="2" t="str">
        <f>IF(Table1[[#This Row],[Is Data Valid]]=TRUE,IF(Table1[[#This Row],[Fetal Sex (Male, Female or Unknown)]]="Male",Backend!$C$6,IF(Table1[[#This Row],[Fetal Sex (Male, Female or Unknown)]]="Female",Backend!$C$7,IF(Table1[[#This Row],[Fetal Sex (Male, Female or Unknown)]]="Unknown",Backend!$C$8,"Error"))),"")</f>
        <v/>
      </c>
      <c r="F3089" s="8" t="str">
        <f>IF(Table1[[#This Row],[Is Data Valid]]=TRUE,EXP(0.578+0.332*((Table1[[#This Row],[Gestation (days)]]+0.5)/7)-0.00354*((Table1[[#This Row],[Gestation (days)]]+0.5)/7)^2)*Table1[[#This Row],[BW40_3705]],"")</f>
        <v/>
      </c>
      <c r="G3089" s="2" t="str">
        <f>IF(Table1[[#This Row],[Is Data Valid]]=TRUE,((Table1[[#This Row],[Birthweight (grams)]]/Table1[[#This Row],[BW_GA]])-1)/(Backend!$B$4/100*Table1[[#This Row],[BW40_3705]]),"")</f>
        <v/>
      </c>
      <c r="H3089" s="7" t="str">
        <f>IF(Table1[[#This Row],[Is Data Valid]]=TRUE,((Table1[[#This Row],[Birthweight (grams)]]*0.9/Table1[[#This Row],[BW_GA]])-1)/(Backend!$B$4/100*Table1[[#This Row],[BW40_3705]]),"")</f>
        <v/>
      </c>
      <c r="I3089" s="7" t="str">
        <f>IF(Table1[[#This Row],[Is Data Valid]]=TRUE,((Table1[[#This Row],[Birthweight (grams)]]*1.1/Table1[[#This Row],[BW_GA]])-1)/(Backend!$B$4/100*Table1[[#This Row],[BW40_3705]]),"")</f>
        <v/>
      </c>
      <c r="J3089" s="7" t="str">
        <f>IF(Table1[[#This Row],[Is Data Valid]]=TRUE,_xlfn.NORM.S.DIST(Table1[[#This Row],[Birthweight Z-Score]],TRUE)*100,"")</f>
        <v/>
      </c>
      <c r="K3089" s="7" t="str">
        <f>IF(Table1[[#This Row],[Is Data Valid]]=TRUE,_xlfn.NORM.S.DIST(Table1[[#This Row],[Birthweight Z-Score (BW-10%)]],TRUE)*100,"")</f>
        <v/>
      </c>
      <c r="L3089" s="7" t="str">
        <f>IF(Table1[[#This Row],[Is Data Valid]]=TRUE,_xlfn.NORM.S.DIST(Table1[[#This Row],[Birthweight Z-Score (BW+10%)]],TRUE)*100,"")</f>
        <v/>
      </c>
    </row>
    <row r="3090" spans="1:12" x14ac:dyDescent="0.35">
      <c r="A3090" s="3"/>
      <c r="B3090" s="2"/>
      <c r="C3090" s="2"/>
      <c r="D3090" s="2" t="b">
        <f>IF(AND(NOT(ISBLANK(Table1[[#This Row],[Fetal Sex (Male, Female or Unknown)]])),ISNUMBER(Table1[[#This Row],[Birthweight (grams)]]),ISNUMBER(Table1[[#This Row],[Gestation (days)]])),TRUE,FALSE)</f>
        <v>0</v>
      </c>
      <c r="E3090" s="2" t="str">
        <f>IF(Table1[[#This Row],[Is Data Valid]]=TRUE,IF(Table1[[#This Row],[Fetal Sex (Male, Female or Unknown)]]="Male",Backend!$C$6,IF(Table1[[#This Row],[Fetal Sex (Male, Female or Unknown)]]="Female",Backend!$C$7,IF(Table1[[#This Row],[Fetal Sex (Male, Female or Unknown)]]="Unknown",Backend!$C$8,"Error"))),"")</f>
        <v/>
      </c>
      <c r="F3090" s="8" t="str">
        <f>IF(Table1[[#This Row],[Is Data Valid]]=TRUE,EXP(0.578+0.332*((Table1[[#This Row],[Gestation (days)]]+0.5)/7)-0.00354*((Table1[[#This Row],[Gestation (days)]]+0.5)/7)^2)*Table1[[#This Row],[BW40_3705]],"")</f>
        <v/>
      </c>
      <c r="G3090" s="2" t="str">
        <f>IF(Table1[[#This Row],[Is Data Valid]]=TRUE,((Table1[[#This Row],[Birthweight (grams)]]/Table1[[#This Row],[BW_GA]])-1)/(Backend!$B$4/100*Table1[[#This Row],[BW40_3705]]),"")</f>
        <v/>
      </c>
      <c r="H3090" s="7" t="str">
        <f>IF(Table1[[#This Row],[Is Data Valid]]=TRUE,((Table1[[#This Row],[Birthweight (grams)]]*0.9/Table1[[#This Row],[BW_GA]])-1)/(Backend!$B$4/100*Table1[[#This Row],[BW40_3705]]),"")</f>
        <v/>
      </c>
      <c r="I3090" s="7" t="str">
        <f>IF(Table1[[#This Row],[Is Data Valid]]=TRUE,((Table1[[#This Row],[Birthweight (grams)]]*1.1/Table1[[#This Row],[BW_GA]])-1)/(Backend!$B$4/100*Table1[[#This Row],[BW40_3705]]),"")</f>
        <v/>
      </c>
      <c r="J3090" s="7" t="str">
        <f>IF(Table1[[#This Row],[Is Data Valid]]=TRUE,_xlfn.NORM.S.DIST(Table1[[#This Row],[Birthweight Z-Score]],TRUE)*100,"")</f>
        <v/>
      </c>
      <c r="K3090" s="7" t="str">
        <f>IF(Table1[[#This Row],[Is Data Valid]]=TRUE,_xlfn.NORM.S.DIST(Table1[[#This Row],[Birthweight Z-Score (BW-10%)]],TRUE)*100,"")</f>
        <v/>
      </c>
      <c r="L3090" s="7" t="str">
        <f>IF(Table1[[#This Row],[Is Data Valid]]=TRUE,_xlfn.NORM.S.DIST(Table1[[#This Row],[Birthweight Z-Score (BW+10%)]],TRUE)*100,"")</f>
        <v/>
      </c>
    </row>
    <row r="3091" spans="1:12" x14ac:dyDescent="0.35">
      <c r="A3091" s="3"/>
      <c r="B3091" s="2"/>
      <c r="C3091" s="2"/>
      <c r="D3091" s="2" t="b">
        <f>IF(AND(NOT(ISBLANK(Table1[[#This Row],[Fetal Sex (Male, Female or Unknown)]])),ISNUMBER(Table1[[#This Row],[Birthweight (grams)]]),ISNUMBER(Table1[[#This Row],[Gestation (days)]])),TRUE,FALSE)</f>
        <v>0</v>
      </c>
      <c r="E3091" s="2" t="str">
        <f>IF(Table1[[#This Row],[Is Data Valid]]=TRUE,IF(Table1[[#This Row],[Fetal Sex (Male, Female or Unknown)]]="Male",Backend!$C$6,IF(Table1[[#This Row],[Fetal Sex (Male, Female or Unknown)]]="Female",Backend!$C$7,IF(Table1[[#This Row],[Fetal Sex (Male, Female or Unknown)]]="Unknown",Backend!$C$8,"Error"))),"")</f>
        <v/>
      </c>
      <c r="F3091" s="8" t="str">
        <f>IF(Table1[[#This Row],[Is Data Valid]]=TRUE,EXP(0.578+0.332*((Table1[[#This Row],[Gestation (days)]]+0.5)/7)-0.00354*((Table1[[#This Row],[Gestation (days)]]+0.5)/7)^2)*Table1[[#This Row],[BW40_3705]],"")</f>
        <v/>
      </c>
      <c r="G3091" s="2" t="str">
        <f>IF(Table1[[#This Row],[Is Data Valid]]=TRUE,((Table1[[#This Row],[Birthweight (grams)]]/Table1[[#This Row],[BW_GA]])-1)/(Backend!$B$4/100*Table1[[#This Row],[BW40_3705]]),"")</f>
        <v/>
      </c>
      <c r="H3091" s="7" t="str">
        <f>IF(Table1[[#This Row],[Is Data Valid]]=TRUE,((Table1[[#This Row],[Birthweight (grams)]]*0.9/Table1[[#This Row],[BW_GA]])-1)/(Backend!$B$4/100*Table1[[#This Row],[BW40_3705]]),"")</f>
        <v/>
      </c>
      <c r="I3091" s="7" t="str">
        <f>IF(Table1[[#This Row],[Is Data Valid]]=TRUE,((Table1[[#This Row],[Birthweight (grams)]]*1.1/Table1[[#This Row],[BW_GA]])-1)/(Backend!$B$4/100*Table1[[#This Row],[BW40_3705]]),"")</f>
        <v/>
      </c>
      <c r="J3091" s="7" t="str">
        <f>IF(Table1[[#This Row],[Is Data Valid]]=TRUE,_xlfn.NORM.S.DIST(Table1[[#This Row],[Birthweight Z-Score]],TRUE)*100,"")</f>
        <v/>
      </c>
      <c r="K3091" s="7" t="str">
        <f>IF(Table1[[#This Row],[Is Data Valid]]=TRUE,_xlfn.NORM.S.DIST(Table1[[#This Row],[Birthweight Z-Score (BW-10%)]],TRUE)*100,"")</f>
        <v/>
      </c>
      <c r="L3091" s="7" t="str">
        <f>IF(Table1[[#This Row],[Is Data Valid]]=TRUE,_xlfn.NORM.S.DIST(Table1[[#This Row],[Birthweight Z-Score (BW+10%)]],TRUE)*100,"")</f>
        <v/>
      </c>
    </row>
    <row r="3092" spans="1:12" x14ac:dyDescent="0.35">
      <c r="A3092" s="3"/>
      <c r="B3092" s="2"/>
      <c r="C3092" s="2"/>
      <c r="D3092" s="2" t="b">
        <f>IF(AND(NOT(ISBLANK(Table1[[#This Row],[Fetal Sex (Male, Female or Unknown)]])),ISNUMBER(Table1[[#This Row],[Birthweight (grams)]]),ISNUMBER(Table1[[#This Row],[Gestation (days)]])),TRUE,FALSE)</f>
        <v>0</v>
      </c>
      <c r="E3092" s="2" t="str">
        <f>IF(Table1[[#This Row],[Is Data Valid]]=TRUE,IF(Table1[[#This Row],[Fetal Sex (Male, Female or Unknown)]]="Male",Backend!$C$6,IF(Table1[[#This Row],[Fetal Sex (Male, Female or Unknown)]]="Female",Backend!$C$7,IF(Table1[[#This Row],[Fetal Sex (Male, Female or Unknown)]]="Unknown",Backend!$C$8,"Error"))),"")</f>
        <v/>
      </c>
      <c r="F3092" s="8" t="str">
        <f>IF(Table1[[#This Row],[Is Data Valid]]=TRUE,EXP(0.578+0.332*((Table1[[#This Row],[Gestation (days)]]+0.5)/7)-0.00354*((Table1[[#This Row],[Gestation (days)]]+0.5)/7)^2)*Table1[[#This Row],[BW40_3705]],"")</f>
        <v/>
      </c>
      <c r="G3092" s="2" t="str">
        <f>IF(Table1[[#This Row],[Is Data Valid]]=TRUE,((Table1[[#This Row],[Birthweight (grams)]]/Table1[[#This Row],[BW_GA]])-1)/(Backend!$B$4/100*Table1[[#This Row],[BW40_3705]]),"")</f>
        <v/>
      </c>
      <c r="H3092" s="7" t="str">
        <f>IF(Table1[[#This Row],[Is Data Valid]]=TRUE,((Table1[[#This Row],[Birthweight (grams)]]*0.9/Table1[[#This Row],[BW_GA]])-1)/(Backend!$B$4/100*Table1[[#This Row],[BW40_3705]]),"")</f>
        <v/>
      </c>
      <c r="I3092" s="7" t="str">
        <f>IF(Table1[[#This Row],[Is Data Valid]]=TRUE,((Table1[[#This Row],[Birthweight (grams)]]*1.1/Table1[[#This Row],[BW_GA]])-1)/(Backend!$B$4/100*Table1[[#This Row],[BW40_3705]]),"")</f>
        <v/>
      </c>
      <c r="J3092" s="7" t="str">
        <f>IF(Table1[[#This Row],[Is Data Valid]]=TRUE,_xlfn.NORM.S.DIST(Table1[[#This Row],[Birthweight Z-Score]],TRUE)*100,"")</f>
        <v/>
      </c>
      <c r="K3092" s="7" t="str">
        <f>IF(Table1[[#This Row],[Is Data Valid]]=TRUE,_xlfn.NORM.S.DIST(Table1[[#This Row],[Birthweight Z-Score (BW-10%)]],TRUE)*100,"")</f>
        <v/>
      </c>
      <c r="L3092" s="7" t="str">
        <f>IF(Table1[[#This Row],[Is Data Valid]]=TRUE,_xlfn.NORM.S.DIST(Table1[[#This Row],[Birthweight Z-Score (BW+10%)]],TRUE)*100,"")</f>
        <v/>
      </c>
    </row>
    <row r="3093" spans="1:12" x14ac:dyDescent="0.35">
      <c r="A3093" s="3"/>
      <c r="B3093" s="2"/>
      <c r="C3093" s="2"/>
      <c r="D3093" s="2" t="b">
        <f>IF(AND(NOT(ISBLANK(Table1[[#This Row],[Fetal Sex (Male, Female or Unknown)]])),ISNUMBER(Table1[[#This Row],[Birthweight (grams)]]),ISNUMBER(Table1[[#This Row],[Gestation (days)]])),TRUE,FALSE)</f>
        <v>0</v>
      </c>
      <c r="E3093" s="2" t="str">
        <f>IF(Table1[[#This Row],[Is Data Valid]]=TRUE,IF(Table1[[#This Row],[Fetal Sex (Male, Female or Unknown)]]="Male",Backend!$C$6,IF(Table1[[#This Row],[Fetal Sex (Male, Female or Unknown)]]="Female",Backend!$C$7,IF(Table1[[#This Row],[Fetal Sex (Male, Female or Unknown)]]="Unknown",Backend!$C$8,"Error"))),"")</f>
        <v/>
      </c>
      <c r="F3093" s="8" t="str">
        <f>IF(Table1[[#This Row],[Is Data Valid]]=TRUE,EXP(0.578+0.332*((Table1[[#This Row],[Gestation (days)]]+0.5)/7)-0.00354*((Table1[[#This Row],[Gestation (days)]]+0.5)/7)^2)*Table1[[#This Row],[BW40_3705]],"")</f>
        <v/>
      </c>
      <c r="G3093" s="2" t="str">
        <f>IF(Table1[[#This Row],[Is Data Valid]]=TRUE,((Table1[[#This Row],[Birthweight (grams)]]/Table1[[#This Row],[BW_GA]])-1)/(Backend!$B$4/100*Table1[[#This Row],[BW40_3705]]),"")</f>
        <v/>
      </c>
      <c r="H3093" s="7" t="str">
        <f>IF(Table1[[#This Row],[Is Data Valid]]=TRUE,((Table1[[#This Row],[Birthweight (grams)]]*0.9/Table1[[#This Row],[BW_GA]])-1)/(Backend!$B$4/100*Table1[[#This Row],[BW40_3705]]),"")</f>
        <v/>
      </c>
      <c r="I3093" s="7" t="str">
        <f>IF(Table1[[#This Row],[Is Data Valid]]=TRUE,((Table1[[#This Row],[Birthweight (grams)]]*1.1/Table1[[#This Row],[BW_GA]])-1)/(Backend!$B$4/100*Table1[[#This Row],[BW40_3705]]),"")</f>
        <v/>
      </c>
      <c r="J3093" s="7" t="str">
        <f>IF(Table1[[#This Row],[Is Data Valid]]=TRUE,_xlfn.NORM.S.DIST(Table1[[#This Row],[Birthweight Z-Score]],TRUE)*100,"")</f>
        <v/>
      </c>
      <c r="K3093" s="7" t="str">
        <f>IF(Table1[[#This Row],[Is Data Valid]]=TRUE,_xlfn.NORM.S.DIST(Table1[[#This Row],[Birthweight Z-Score (BW-10%)]],TRUE)*100,"")</f>
        <v/>
      </c>
      <c r="L3093" s="7" t="str">
        <f>IF(Table1[[#This Row],[Is Data Valid]]=TRUE,_xlfn.NORM.S.DIST(Table1[[#This Row],[Birthweight Z-Score (BW+10%)]],TRUE)*100,"")</f>
        <v/>
      </c>
    </row>
    <row r="3094" spans="1:12" x14ac:dyDescent="0.35">
      <c r="A3094" s="3"/>
      <c r="B3094" s="2"/>
      <c r="C3094" s="2"/>
      <c r="D3094" s="2" t="b">
        <f>IF(AND(NOT(ISBLANK(Table1[[#This Row],[Fetal Sex (Male, Female or Unknown)]])),ISNUMBER(Table1[[#This Row],[Birthweight (grams)]]),ISNUMBER(Table1[[#This Row],[Gestation (days)]])),TRUE,FALSE)</f>
        <v>0</v>
      </c>
      <c r="E3094" s="2" t="str">
        <f>IF(Table1[[#This Row],[Is Data Valid]]=TRUE,IF(Table1[[#This Row],[Fetal Sex (Male, Female or Unknown)]]="Male",Backend!$C$6,IF(Table1[[#This Row],[Fetal Sex (Male, Female or Unknown)]]="Female",Backend!$C$7,IF(Table1[[#This Row],[Fetal Sex (Male, Female or Unknown)]]="Unknown",Backend!$C$8,"Error"))),"")</f>
        <v/>
      </c>
      <c r="F3094" s="8" t="str">
        <f>IF(Table1[[#This Row],[Is Data Valid]]=TRUE,EXP(0.578+0.332*((Table1[[#This Row],[Gestation (days)]]+0.5)/7)-0.00354*((Table1[[#This Row],[Gestation (days)]]+0.5)/7)^2)*Table1[[#This Row],[BW40_3705]],"")</f>
        <v/>
      </c>
      <c r="G3094" s="2" t="str">
        <f>IF(Table1[[#This Row],[Is Data Valid]]=TRUE,((Table1[[#This Row],[Birthweight (grams)]]/Table1[[#This Row],[BW_GA]])-1)/(Backend!$B$4/100*Table1[[#This Row],[BW40_3705]]),"")</f>
        <v/>
      </c>
      <c r="H3094" s="7" t="str">
        <f>IF(Table1[[#This Row],[Is Data Valid]]=TRUE,((Table1[[#This Row],[Birthweight (grams)]]*0.9/Table1[[#This Row],[BW_GA]])-1)/(Backend!$B$4/100*Table1[[#This Row],[BW40_3705]]),"")</f>
        <v/>
      </c>
      <c r="I3094" s="7" t="str">
        <f>IF(Table1[[#This Row],[Is Data Valid]]=TRUE,((Table1[[#This Row],[Birthweight (grams)]]*1.1/Table1[[#This Row],[BW_GA]])-1)/(Backend!$B$4/100*Table1[[#This Row],[BW40_3705]]),"")</f>
        <v/>
      </c>
      <c r="J3094" s="7" t="str">
        <f>IF(Table1[[#This Row],[Is Data Valid]]=TRUE,_xlfn.NORM.S.DIST(Table1[[#This Row],[Birthweight Z-Score]],TRUE)*100,"")</f>
        <v/>
      </c>
      <c r="K3094" s="7" t="str">
        <f>IF(Table1[[#This Row],[Is Data Valid]]=TRUE,_xlfn.NORM.S.DIST(Table1[[#This Row],[Birthweight Z-Score (BW-10%)]],TRUE)*100,"")</f>
        <v/>
      </c>
      <c r="L3094" s="7" t="str">
        <f>IF(Table1[[#This Row],[Is Data Valid]]=TRUE,_xlfn.NORM.S.DIST(Table1[[#This Row],[Birthweight Z-Score (BW+10%)]],TRUE)*100,"")</f>
        <v/>
      </c>
    </row>
    <row r="3095" spans="1:12" x14ac:dyDescent="0.35">
      <c r="A3095" s="3"/>
      <c r="B3095" s="2"/>
      <c r="C3095" s="2"/>
      <c r="D3095" s="2" t="b">
        <f>IF(AND(NOT(ISBLANK(Table1[[#This Row],[Fetal Sex (Male, Female or Unknown)]])),ISNUMBER(Table1[[#This Row],[Birthweight (grams)]]),ISNUMBER(Table1[[#This Row],[Gestation (days)]])),TRUE,FALSE)</f>
        <v>0</v>
      </c>
      <c r="E3095" s="2" t="str">
        <f>IF(Table1[[#This Row],[Is Data Valid]]=TRUE,IF(Table1[[#This Row],[Fetal Sex (Male, Female or Unknown)]]="Male",Backend!$C$6,IF(Table1[[#This Row],[Fetal Sex (Male, Female or Unknown)]]="Female",Backend!$C$7,IF(Table1[[#This Row],[Fetal Sex (Male, Female or Unknown)]]="Unknown",Backend!$C$8,"Error"))),"")</f>
        <v/>
      </c>
      <c r="F3095" s="8" t="str">
        <f>IF(Table1[[#This Row],[Is Data Valid]]=TRUE,EXP(0.578+0.332*((Table1[[#This Row],[Gestation (days)]]+0.5)/7)-0.00354*((Table1[[#This Row],[Gestation (days)]]+0.5)/7)^2)*Table1[[#This Row],[BW40_3705]],"")</f>
        <v/>
      </c>
      <c r="G3095" s="2" t="str">
        <f>IF(Table1[[#This Row],[Is Data Valid]]=TRUE,((Table1[[#This Row],[Birthweight (grams)]]/Table1[[#This Row],[BW_GA]])-1)/(Backend!$B$4/100*Table1[[#This Row],[BW40_3705]]),"")</f>
        <v/>
      </c>
      <c r="H3095" s="7" t="str">
        <f>IF(Table1[[#This Row],[Is Data Valid]]=TRUE,((Table1[[#This Row],[Birthweight (grams)]]*0.9/Table1[[#This Row],[BW_GA]])-1)/(Backend!$B$4/100*Table1[[#This Row],[BW40_3705]]),"")</f>
        <v/>
      </c>
      <c r="I3095" s="7" t="str">
        <f>IF(Table1[[#This Row],[Is Data Valid]]=TRUE,((Table1[[#This Row],[Birthweight (grams)]]*1.1/Table1[[#This Row],[BW_GA]])-1)/(Backend!$B$4/100*Table1[[#This Row],[BW40_3705]]),"")</f>
        <v/>
      </c>
      <c r="J3095" s="7" t="str">
        <f>IF(Table1[[#This Row],[Is Data Valid]]=TRUE,_xlfn.NORM.S.DIST(Table1[[#This Row],[Birthweight Z-Score]],TRUE)*100,"")</f>
        <v/>
      </c>
      <c r="K3095" s="7" t="str">
        <f>IF(Table1[[#This Row],[Is Data Valid]]=TRUE,_xlfn.NORM.S.DIST(Table1[[#This Row],[Birthweight Z-Score (BW-10%)]],TRUE)*100,"")</f>
        <v/>
      </c>
      <c r="L3095" s="7" t="str">
        <f>IF(Table1[[#This Row],[Is Data Valid]]=TRUE,_xlfn.NORM.S.DIST(Table1[[#This Row],[Birthweight Z-Score (BW+10%)]],TRUE)*100,"")</f>
        <v/>
      </c>
    </row>
    <row r="3096" spans="1:12" x14ac:dyDescent="0.35">
      <c r="A3096" s="3"/>
      <c r="B3096" s="2"/>
      <c r="C3096" s="2"/>
      <c r="D3096" s="2" t="b">
        <f>IF(AND(NOT(ISBLANK(Table1[[#This Row],[Fetal Sex (Male, Female or Unknown)]])),ISNUMBER(Table1[[#This Row],[Birthweight (grams)]]),ISNUMBER(Table1[[#This Row],[Gestation (days)]])),TRUE,FALSE)</f>
        <v>0</v>
      </c>
      <c r="E3096" s="2" t="str">
        <f>IF(Table1[[#This Row],[Is Data Valid]]=TRUE,IF(Table1[[#This Row],[Fetal Sex (Male, Female or Unknown)]]="Male",Backend!$C$6,IF(Table1[[#This Row],[Fetal Sex (Male, Female or Unknown)]]="Female",Backend!$C$7,IF(Table1[[#This Row],[Fetal Sex (Male, Female or Unknown)]]="Unknown",Backend!$C$8,"Error"))),"")</f>
        <v/>
      </c>
      <c r="F3096" s="8" t="str">
        <f>IF(Table1[[#This Row],[Is Data Valid]]=TRUE,EXP(0.578+0.332*((Table1[[#This Row],[Gestation (days)]]+0.5)/7)-0.00354*((Table1[[#This Row],[Gestation (days)]]+0.5)/7)^2)*Table1[[#This Row],[BW40_3705]],"")</f>
        <v/>
      </c>
      <c r="G3096" s="2" t="str">
        <f>IF(Table1[[#This Row],[Is Data Valid]]=TRUE,((Table1[[#This Row],[Birthweight (grams)]]/Table1[[#This Row],[BW_GA]])-1)/(Backend!$B$4/100*Table1[[#This Row],[BW40_3705]]),"")</f>
        <v/>
      </c>
      <c r="H3096" s="7" t="str">
        <f>IF(Table1[[#This Row],[Is Data Valid]]=TRUE,((Table1[[#This Row],[Birthweight (grams)]]*0.9/Table1[[#This Row],[BW_GA]])-1)/(Backend!$B$4/100*Table1[[#This Row],[BW40_3705]]),"")</f>
        <v/>
      </c>
      <c r="I3096" s="7" t="str">
        <f>IF(Table1[[#This Row],[Is Data Valid]]=TRUE,((Table1[[#This Row],[Birthweight (grams)]]*1.1/Table1[[#This Row],[BW_GA]])-1)/(Backend!$B$4/100*Table1[[#This Row],[BW40_3705]]),"")</f>
        <v/>
      </c>
      <c r="J3096" s="7" t="str">
        <f>IF(Table1[[#This Row],[Is Data Valid]]=TRUE,_xlfn.NORM.S.DIST(Table1[[#This Row],[Birthweight Z-Score]],TRUE)*100,"")</f>
        <v/>
      </c>
      <c r="K3096" s="7" t="str">
        <f>IF(Table1[[#This Row],[Is Data Valid]]=TRUE,_xlfn.NORM.S.DIST(Table1[[#This Row],[Birthweight Z-Score (BW-10%)]],TRUE)*100,"")</f>
        <v/>
      </c>
      <c r="L3096" s="7" t="str">
        <f>IF(Table1[[#This Row],[Is Data Valid]]=TRUE,_xlfn.NORM.S.DIST(Table1[[#This Row],[Birthweight Z-Score (BW+10%)]],TRUE)*100,"")</f>
        <v/>
      </c>
    </row>
    <row r="3097" spans="1:12" x14ac:dyDescent="0.35">
      <c r="A3097" s="3"/>
      <c r="B3097" s="2"/>
      <c r="C3097" s="2"/>
      <c r="D3097" s="2" t="b">
        <f>IF(AND(NOT(ISBLANK(Table1[[#This Row],[Fetal Sex (Male, Female or Unknown)]])),ISNUMBER(Table1[[#This Row],[Birthweight (grams)]]),ISNUMBER(Table1[[#This Row],[Gestation (days)]])),TRUE,FALSE)</f>
        <v>0</v>
      </c>
      <c r="E3097" s="2" t="str">
        <f>IF(Table1[[#This Row],[Is Data Valid]]=TRUE,IF(Table1[[#This Row],[Fetal Sex (Male, Female or Unknown)]]="Male",Backend!$C$6,IF(Table1[[#This Row],[Fetal Sex (Male, Female or Unknown)]]="Female",Backend!$C$7,IF(Table1[[#This Row],[Fetal Sex (Male, Female or Unknown)]]="Unknown",Backend!$C$8,"Error"))),"")</f>
        <v/>
      </c>
      <c r="F3097" s="8" t="str">
        <f>IF(Table1[[#This Row],[Is Data Valid]]=TRUE,EXP(0.578+0.332*((Table1[[#This Row],[Gestation (days)]]+0.5)/7)-0.00354*((Table1[[#This Row],[Gestation (days)]]+0.5)/7)^2)*Table1[[#This Row],[BW40_3705]],"")</f>
        <v/>
      </c>
      <c r="G3097" s="2" t="str">
        <f>IF(Table1[[#This Row],[Is Data Valid]]=TRUE,((Table1[[#This Row],[Birthweight (grams)]]/Table1[[#This Row],[BW_GA]])-1)/(Backend!$B$4/100*Table1[[#This Row],[BW40_3705]]),"")</f>
        <v/>
      </c>
      <c r="H3097" s="7" t="str">
        <f>IF(Table1[[#This Row],[Is Data Valid]]=TRUE,((Table1[[#This Row],[Birthweight (grams)]]*0.9/Table1[[#This Row],[BW_GA]])-1)/(Backend!$B$4/100*Table1[[#This Row],[BW40_3705]]),"")</f>
        <v/>
      </c>
      <c r="I3097" s="7" t="str">
        <f>IF(Table1[[#This Row],[Is Data Valid]]=TRUE,((Table1[[#This Row],[Birthweight (grams)]]*1.1/Table1[[#This Row],[BW_GA]])-1)/(Backend!$B$4/100*Table1[[#This Row],[BW40_3705]]),"")</f>
        <v/>
      </c>
      <c r="J3097" s="7" t="str">
        <f>IF(Table1[[#This Row],[Is Data Valid]]=TRUE,_xlfn.NORM.S.DIST(Table1[[#This Row],[Birthweight Z-Score]],TRUE)*100,"")</f>
        <v/>
      </c>
      <c r="K3097" s="7" t="str">
        <f>IF(Table1[[#This Row],[Is Data Valid]]=TRUE,_xlfn.NORM.S.DIST(Table1[[#This Row],[Birthweight Z-Score (BW-10%)]],TRUE)*100,"")</f>
        <v/>
      </c>
      <c r="L3097" s="7" t="str">
        <f>IF(Table1[[#This Row],[Is Data Valid]]=TRUE,_xlfn.NORM.S.DIST(Table1[[#This Row],[Birthweight Z-Score (BW+10%)]],TRUE)*100,"")</f>
        <v/>
      </c>
    </row>
    <row r="3098" spans="1:12" x14ac:dyDescent="0.35">
      <c r="A3098" s="3"/>
      <c r="B3098" s="2"/>
      <c r="C3098" s="2"/>
      <c r="D3098" s="2" t="b">
        <f>IF(AND(NOT(ISBLANK(Table1[[#This Row],[Fetal Sex (Male, Female or Unknown)]])),ISNUMBER(Table1[[#This Row],[Birthweight (grams)]]),ISNUMBER(Table1[[#This Row],[Gestation (days)]])),TRUE,FALSE)</f>
        <v>0</v>
      </c>
      <c r="E3098" s="2" t="str">
        <f>IF(Table1[[#This Row],[Is Data Valid]]=TRUE,IF(Table1[[#This Row],[Fetal Sex (Male, Female or Unknown)]]="Male",Backend!$C$6,IF(Table1[[#This Row],[Fetal Sex (Male, Female or Unknown)]]="Female",Backend!$C$7,IF(Table1[[#This Row],[Fetal Sex (Male, Female or Unknown)]]="Unknown",Backend!$C$8,"Error"))),"")</f>
        <v/>
      </c>
      <c r="F3098" s="8" t="str">
        <f>IF(Table1[[#This Row],[Is Data Valid]]=TRUE,EXP(0.578+0.332*((Table1[[#This Row],[Gestation (days)]]+0.5)/7)-0.00354*((Table1[[#This Row],[Gestation (days)]]+0.5)/7)^2)*Table1[[#This Row],[BW40_3705]],"")</f>
        <v/>
      </c>
      <c r="G3098" s="2" t="str">
        <f>IF(Table1[[#This Row],[Is Data Valid]]=TRUE,((Table1[[#This Row],[Birthweight (grams)]]/Table1[[#This Row],[BW_GA]])-1)/(Backend!$B$4/100*Table1[[#This Row],[BW40_3705]]),"")</f>
        <v/>
      </c>
      <c r="H3098" s="7" t="str">
        <f>IF(Table1[[#This Row],[Is Data Valid]]=TRUE,((Table1[[#This Row],[Birthweight (grams)]]*0.9/Table1[[#This Row],[BW_GA]])-1)/(Backend!$B$4/100*Table1[[#This Row],[BW40_3705]]),"")</f>
        <v/>
      </c>
      <c r="I3098" s="7" t="str">
        <f>IF(Table1[[#This Row],[Is Data Valid]]=TRUE,((Table1[[#This Row],[Birthweight (grams)]]*1.1/Table1[[#This Row],[BW_GA]])-1)/(Backend!$B$4/100*Table1[[#This Row],[BW40_3705]]),"")</f>
        <v/>
      </c>
      <c r="J3098" s="7" t="str">
        <f>IF(Table1[[#This Row],[Is Data Valid]]=TRUE,_xlfn.NORM.S.DIST(Table1[[#This Row],[Birthweight Z-Score]],TRUE)*100,"")</f>
        <v/>
      </c>
      <c r="K3098" s="7" t="str">
        <f>IF(Table1[[#This Row],[Is Data Valid]]=TRUE,_xlfn.NORM.S.DIST(Table1[[#This Row],[Birthweight Z-Score (BW-10%)]],TRUE)*100,"")</f>
        <v/>
      </c>
      <c r="L3098" s="7" t="str">
        <f>IF(Table1[[#This Row],[Is Data Valid]]=TRUE,_xlfn.NORM.S.DIST(Table1[[#This Row],[Birthweight Z-Score (BW+10%)]],TRUE)*100,"")</f>
        <v/>
      </c>
    </row>
    <row r="3099" spans="1:12" x14ac:dyDescent="0.35">
      <c r="A3099" s="3"/>
      <c r="B3099" s="2"/>
      <c r="C3099" s="2"/>
      <c r="D3099" s="2" t="b">
        <f>IF(AND(NOT(ISBLANK(Table1[[#This Row],[Fetal Sex (Male, Female or Unknown)]])),ISNUMBER(Table1[[#This Row],[Birthweight (grams)]]),ISNUMBER(Table1[[#This Row],[Gestation (days)]])),TRUE,FALSE)</f>
        <v>0</v>
      </c>
      <c r="E3099" s="2" t="str">
        <f>IF(Table1[[#This Row],[Is Data Valid]]=TRUE,IF(Table1[[#This Row],[Fetal Sex (Male, Female or Unknown)]]="Male",Backend!$C$6,IF(Table1[[#This Row],[Fetal Sex (Male, Female or Unknown)]]="Female",Backend!$C$7,IF(Table1[[#This Row],[Fetal Sex (Male, Female or Unknown)]]="Unknown",Backend!$C$8,"Error"))),"")</f>
        <v/>
      </c>
      <c r="F3099" s="8" t="str">
        <f>IF(Table1[[#This Row],[Is Data Valid]]=TRUE,EXP(0.578+0.332*((Table1[[#This Row],[Gestation (days)]]+0.5)/7)-0.00354*((Table1[[#This Row],[Gestation (days)]]+0.5)/7)^2)*Table1[[#This Row],[BW40_3705]],"")</f>
        <v/>
      </c>
      <c r="G3099" s="2" t="str">
        <f>IF(Table1[[#This Row],[Is Data Valid]]=TRUE,((Table1[[#This Row],[Birthweight (grams)]]/Table1[[#This Row],[BW_GA]])-1)/(Backend!$B$4/100*Table1[[#This Row],[BW40_3705]]),"")</f>
        <v/>
      </c>
      <c r="H3099" s="7" t="str">
        <f>IF(Table1[[#This Row],[Is Data Valid]]=TRUE,((Table1[[#This Row],[Birthweight (grams)]]*0.9/Table1[[#This Row],[BW_GA]])-1)/(Backend!$B$4/100*Table1[[#This Row],[BW40_3705]]),"")</f>
        <v/>
      </c>
      <c r="I3099" s="7" t="str">
        <f>IF(Table1[[#This Row],[Is Data Valid]]=TRUE,((Table1[[#This Row],[Birthweight (grams)]]*1.1/Table1[[#This Row],[BW_GA]])-1)/(Backend!$B$4/100*Table1[[#This Row],[BW40_3705]]),"")</f>
        <v/>
      </c>
      <c r="J3099" s="7" t="str">
        <f>IF(Table1[[#This Row],[Is Data Valid]]=TRUE,_xlfn.NORM.S.DIST(Table1[[#This Row],[Birthweight Z-Score]],TRUE)*100,"")</f>
        <v/>
      </c>
      <c r="K3099" s="7" t="str">
        <f>IF(Table1[[#This Row],[Is Data Valid]]=TRUE,_xlfn.NORM.S.DIST(Table1[[#This Row],[Birthweight Z-Score (BW-10%)]],TRUE)*100,"")</f>
        <v/>
      </c>
      <c r="L3099" s="7" t="str">
        <f>IF(Table1[[#This Row],[Is Data Valid]]=TRUE,_xlfn.NORM.S.DIST(Table1[[#This Row],[Birthweight Z-Score (BW+10%)]],TRUE)*100,"")</f>
        <v/>
      </c>
    </row>
    <row r="3100" spans="1:12" x14ac:dyDescent="0.35">
      <c r="A3100" s="3"/>
      <c r="B3100" s="2"/>
      <c r="C3100" s="2"/>
      <c r="D3100" s="2" t="b">
        <f>IF(AND(NOT(ISBLANK(Table1[[#This Row],[Fetal Sex (Male, Female or Unknown)]])),ISNUMBER(Table1[[#This Row],[Birthweight (grams)]]),ISNUMBER(Table1[[#This Row],[Gestation (days)]])),TRUE,FALSE)</f>
        <v>0</v>
      </c>
      <c r="E3100" s="2" t="str">
        <f>IF(Table1[[#This Row],[Is Data Valid]]=TRUE,IF(Table1[[#This Row],[Fetal Sex (Male, Female or Unknown)]]="Male",Backend!$C$6,IF(Table1[[#This Row],[Fetal Sex (Male, Female or Unknown)]]="Female",Backend!$C$7,IF(Table1[[#This Row],[Fetal Sex (Male, Female or Unknown)]]="Unknown",Backend!$C$8,"Error"))),"")</f>
        <v/>
      </c>
      <c r="F3100" s="8" t="str">
        <f>IF(Table1[[#This Row],[Is Data Valid]]=TRUE,EXP(0.578+0.332*((Table1[[#This Row],[Gestation (days)]]+0.5)/7)-0.00354*((Table1[[#This Row],[Gestation (days)]]+0.5)/7)^2)*Table1[[#This Row],[BW40_3705]],"")</f>
        <v/>
      </c>
      <c r="G3100" s="2" t="str">
        <f>IF(Table1[[#This Row],[Is Data Valid]]=TRUE,((Table1[[#This Row],[Birthweight (grams)]]/Table1[[#This Row],[BW_GA]])-1)/(Backend!$B$4/100*Table1[[#This Row],[BW40_3705]]),"")</f>
        <v/>
      </c>
      <c r="H3100" s="7" t="str">
        <f>IF(Table1[[#This Row],[Is Data Valid]]=TRUE,((Table1[[#This Row],[Birthweight (grams)]]*0.9/Table1[[#This Row],[BW_GA]])-1)/(Backend!$B$4/100*Table1[[#This Row],[BW40_3705]]),"")</f>
        <v/>
      </c>
      <c r="I3100" s="7" t="str">
        <f>IF(Table1[[#This Row],[Is Data Valid]]=TRUE,((Table1[[#This Row],[Birthweight (grams)]]*1.1/Table1[[#This Row],[BW_GA]])-1)/(Backend!$B$4/100*Table1[[#This Row],[BW40_3705]]),"")</f>
        <v/>
      </c>
      <c r="J3100" s="7" t="str">
        <f>IF(Table1[[#This Row],[Is Data Valid]]=TRUE,_xlfn.NORM.S.DIST(Table1[[#This Row],[Birthweight Z-Score]],TRUE)*100,"")</f>
        <v/>
      </c>
      <c r="K3100" s="7" t="str">
        <f>IF(Table1[[#This Row],[Is Data Valid]]=TRUE,_xlfn.NORM.S.DIST(Table1[[#This Row],[Birthweight Z-Score (BW-10%)]],TRUE)*100,"")</f>
        <v/>
      </c>
      <c r="L3100" s="7" t="str">
        <f>IF(Table1[[#This Row],[Is Data Valid]]=TRUE,_xlfn.NORM.S.DIST(Table1[[#This Row],[Birthweight Z-Score (BW+10%)]],TRUE)*100,"")</f>
        <v/>
      </c>
    </row>
    <row r="3101" spans="1:12" x14ac:dyDescent="0.35">
      <c r="A3101" s="3"/>
      <c r="B3101" s="2"/>
      <c r="C3101" s="2"/>
      <c r="D3101" s="2" t="b">
        <f>IF(AND(NOT(ISBLANK(Table1[[#This Row],[Fetal Sex (Male, Female or Unknown)]])),ISNUMBER(Table1[[#This Row],[Birthweight (grams)]]),ISNUMBER(Table1[[#This Row],[Gestation (days)]])),TRUE,FALSE)</f>
        <v>0</v>
      </c>
      <c r="E3101" s="2" t="str">
        <f>IF(Table1[[#This Row],[Is Data Valid]]=TRUE,IF(Table1[[#This Row],[Fetal Sex (Male, Female or Unknown)]]="Male",Backend!$C$6,IF(Table1[[#This Row],[Fetal Sex (Male, Female or Unknown)]]="Female",Backend!$C$7,IF(Table1[[#This Row],[Fetal Sex (Male, Female or Unknown)]]="Unknown",Backend!$C$8,"Error"))),"")</f>
        <v/>
      </c>
      <c r="F3101" s="8" t="str">
        <f>IF(Table1[[#This Row],[Is Data Valid]]=TRUE,EXP(0.578+0.332*((Table1[[#This Row],[Gestation (days)]]+0.5)/7)-0.00354*((Table1[[#This Row],[Gestation (days)]]+0.5)/7)^2)*Table1[[#This Row],[BW40_3705]],"")</f>
        <v/>
      </c>
      <c r="G3101" s="2" t="str">
        <f>IF(Table1[[#This Row],[Is Data Valid]]=TRUE,((Table1[[#This Row],[Birthweight (grams)]]/Table1[[#This Row],[BW_GA]])-1)/(Backend!$B$4/100*Table1[[#This Row],[BW40_3705]]),"")</f>
        <v/>
      </c>
      <c r="H3101" s="7" t="str">
        <f>IF(Table1[[#This Row],[Is Data Valid]]=TRUE,((Table1[[#This Row],[Birthweight (grams)]]*0.9/Table1[[#This Row],[BW_GA]])-1)/(Backend!$B$4/100*Table1[[#This Row],[BW40_3705]]),"")</f>
        <v/>
      </c>
      <c r="I3101" s="7" t="str">
        <f>IF(Table1[[#This Row],[Is Data Valid]]=TRUE,((Table1[[#This Row],[Birthweight (grams)]]*1.1/Table1[[#This Row],[BW_GA]])-1)/(Backend!$B$4/100*Table1[[#This Row],[BW40_3705]]),"")</f>
        <v/>
      </c>
      <c r="J3101" s="7" t="str">
        <f>IF(Table1[[#This Row],[Is Data Valid]]=TRUE,_xlfn.NORM.S.DIST(Table1[[#This Row],[Birthweight Z-Score]],TRUE)*100,"")</f>
        <v/>
      </c>
      <c r="K3101" s="7" t="str">
        <f>IF(Table1[[#This Row],[Is Data Valid]]=TRUE,_xlfn.NORM.S.DIST(Table1[[#This Row],[Birthweight Z-Score (BW-10%)]],TRUE)*100,"")</f>
        <v/>
      </c>
      <c r="L3101" s="7" t="str">
        <f>IF(Table1[[#This Row],[Is Data Valid]]=TRUE,_xlfn.NORM.S.DIST(Table1[[#This Row],[Birthweight Z-Score (BW+10%)]],TRUE)*100,"")</f>
        <v/>
      </c>
    </row>
    <row r="3102" spans="1:12" x14ac:dyDescent="0.35">
      <c r="A3102" s="3"/>
      <c r="B3102" s="2"/>
      <c r="C3102" s="2"/>
      <c r="D3102" s="2" t="b">
        <f>IF(AND(NOT(ISBLANK(Table1[[#This Row],[Fetal Sex (Male, Female or Unknown)]])),ISNUMBER(Table1[[#This Row],[Birthweight (grams)]]),ISNUMBER(Table1[[#This Row],[Gestation (days)]])),TRUE,FALSE)</f>
        <v>0</v>
      </c>
      <c r="E3102" s="2" t="str">
        <f>IF(Table1[[#This Row],[Is Data Valid]]=TRUE,IF(Table1[[#This Row],[Fetal Sex (Male, Female or Unknown)]]="Male",Backend!$C$6,IF(Table1[[#This Row],[Fetal Sex (Male, Female or Unknown)]]="Female",Backend!$C$7,IF(Table1[[#This Row],[Fetal Sex (Male, Female or Unknown)]]="Unknown",Backend!$C$8,"Error"))),"")</f>
        <v/>
      </c>
      <c r="F3102" s="8" t="str">
        <f>IF(Table1[[#This Row],[Is Data Valid]]=TRUE,EXP(0.578+0.332*((Table1[[#This Row],[Gestation (days)]]+0.5)/7)-0.00354*((Table1[[#This Row],[Gestation (days)]]+0.5)/7)^2)*Table1[[#This Row],[BW40_3705]],"")</f>
        <v/>
      </c>
      <c r="G3102" s="2" t="str">
        <f>IF(Table1[[#This Row],[Is Data Valid]]=TRUE,((Table1[[#This Row],[Birthweight (grams)]]/Table1[[#This Row],[BW_GA]])-1)/(Backend!$B$4/100*Table1[[#This Row],[BW40_3705]]),"")</f>
        <v/>
      </c>
      <c r="H3102" s="7" t="str">
        <f>IF(Table1[[#This Row],[Is Data Valid]]=TRUE,((Table1[[#This Row],[Birthweight (grams)]]*0.9/Table1[[#This Row],[BW_GA]])-1)/(Backend!$B$4/100*Table1[[#This Row],[BW40_3705]]),"")</f>
        <v/>
      </c>
      <c r="I3102" s="7" t="str">
        <f>IF(Table1[[#This Row],[Is Data Valid]]=TRUE,((Table1[[#This Row],[Birthweight (grams)]]*1.1/Table1[[#This Row],[BW_GA]])-1)/(Backend!$B$4/100*Table1[[#This Row],[BW40_3705]]),"")</f>
        <v/>
      </c>
      <c r="J3102" s="7" t="str">
        <f>IF(Table1[[#This Row],[Is Data Valid]]=TRUE,_xlfn.NORM.S.DIST(Table1[[#This Row],[Birthweight Z-Score]],TRUE)*100,"")</f>
        <v/>
      </c>
      <c r="K3102" s="7" t="str">
        <f>IF(Table1[[#This Row],[Is Data Valid]]=TRUE,_xlfn.NORM.S.DIST(Table1[[#This Row],[Birthweight Z-Score (BW-10%)]],TRUE)*100,"")</f>
        <v/>
      </c>
      <c r="L3102" s="7" t="str">
        <f>IF(Table1[[#This Row],[Is Data Valid]]=TRUE,_xlfn.NORM.S.DIST(Table1[[#This Row],[Birthweight Z-Score (BW+10%)]],TRUE)*100,"")</f>
        <v/>
      </c>
    </row>
    <row r="3103" spans="1:12" x14ac:dyDescent="0.35">
      <c r="A3103" s="3"/>
      <c r="B3103" s="2"/>
      <c r="C3103" s="2"/>
      <c r="D3103" s="2" t="b">
        <f>IF(AND(NOT(ISBLANK(Table1[[#This Row],[Fetal Sex (Male, Female or Unknown)]])),ISNUMBER(Table1[[#This Row],[Birthweight (grams)]]),ISNUMBER(Table1[[#This Row],[Gestation (days)]])),TRUE,FALSE)</f>
        <v>0</v>
      </c>
      <c r="E3103" s="2" t="str">
        <f>IF(Table1[[#This Row],[Is Data Valid]]=TRUE,IF(Table1[[#This Row],[Fetal Sex (Male, Female or Unknown)]]="Male",Backend!$C$6,IF(Table1[[#This Row],[Fetal Sex (Male, Female or Unknown)]]="Female",Backend!$C$7,IF(Table1[[#This Row],[Fetal Sex (Male, Female or Unknown)]]="Unknown",Backend!$C$8,"Error"))),"")</f>
        <v/>
      </c>
      <c r="F3103" s="8" t="str">
        <f>IF(Table1[[#This Row],[Is Data Valid]]=TRUE,EXP(0.578+0.332*((Table1[[#This Row],[Gestation (days)]]+0.5)/7)-0.00354*((Table1[[#This Row],[Gestation (days)]]+0.5)/7)^2)*Table1[[#This Row],[BW40_3705]],"")</f>
        <v/>
      </c>
      <c r="G3103" s="2" t="str">
        <f>IF(Table1[[#This Row],[Is Data Valid]]=TRUE,((Table1[[#This Row],[Birthweight (grams)]]/Table1[[#This Row],[BW_GA]])-1)/(Backend!$B$4/100*Table1[[#This Row],[BW40_3705]]),"")</f>
        <v/>
      </c>
      <c r="H3103" s="7" t="str">
        <f>IF(Table1[[#This Row],[Is Data Valid]]=TRUE,((Table1[[#This Row],[Birthweight (grams)]]*0.9/Table1[[#This Row],[BW_GA]])-1)/(Backend!$B$4/100*Table1[[#This Row],[BW40_3705]]),"")</f>
        <v/>
      </c>
      <c r="I3103" s="7" t="str">
        <f>IF(Table1[[#This Row],[Is Data Valid]]=TRUE,((Table1[[#This Row],[Birthweight (grams)]]*1.1/Table1[[#This Row],[BW_GA]])-1)/(Backend!$B$4/100*Table1[[#This Row],[BW40_3705]]),"")</f>
        <v/>
      </c>
      <c r="J3103" s="7" t="str">
        <f>IF(Table1[[#This Row],[Is Data Valid]]=TRUE,_xlfn.NORM.S.DIST(Table1[[#This Row],[Birthweight Z-Score]],TRUE)*100,"")</f>
        <v/>
      </c>
      <c r="K3103" s="7" t="str">
        <f>IF(Table1[[#This Row],[Is Data Valid]]=TRUE,_xlfn.NORM.S.DIST(Table1[[#This Row],[Birthweight Z-Score (BW-10%)]],TRUE)*100,"")</f>
        <v/>
      </c>
      <c r="L3103" s="7" t="str">
        <f>IF(Table1[[#This Row],[Is Data Valid]]=TRUE,_xlfn.NORM.S.DIST(Table1[[#This Row],[Birthweight Z-Score (BW+10%)]],TRUE)*100,"")</f>
        <v/>
      </c>
    </row>
    <row r="3104" spans="1:12" x14ac:dyDescent="0.35">
      <c r="A3104" s="3"/>
      <c r="B3104" s="2"/>
      <c r="C3104" s="2"/>
      <c r="D3104" s="2" t="b">
        <f>IF(AND(NOT(ISBLANK(Table1[[#This Row],[Fetal Sex (Male, Female or Unknown)]])),ISNUMBER(Table1[[#This Row],[Birthweight (grams)]]),ISNUMBER(Table1[[#This Row],[Gestation (days)]])),TRUE,FALSE)</f>
        <v>0</v>
      </c>
      <c r="E3104" s="2" t="str">
        <f>IF(Table1[[#This Row],[Is Data Valid]]=TRUE,IF(Table1[[#This Row],[Fetal Sex (Male, Female or Unknown)]]="Male",Backend!$C$6,IF(Table1[[#This Row],[Fetal Sex (Male, Female or Unknown)]]="Female",Backend!$C$7,IF(Table1[[#This Row],[Fetal Sex (Male, Female or Unknown)]]="Unknown",Backend!$C$8,"Error"))),"")</f>
        <v/>
      </c>
      <c r="F3104" s="8" t="str">
        <f>IF(Table1[[#This Row],[Is Data Valid]]=TRUE,EXP(0.578+0.332*((Table1[[#This Row],[Gestation (days)]]+0.5)/7)-0.00354*((Table1[[#This Row],[Gestation (days)]]+0.5)/7)^2)*Table1[[#This Row],[BW40_3705]],"")</f>
        <v/>
      </c>
      <c r="G3104" s="2" t="str">
        <f>IF(Table1[[#This Row],[Is Data Valid]]=TRUE,((Table1[[#This Row],[Birthweight (grams)]]/Table1[[#This Row],[BW_GA]])-1)/(Backend!$B$4/100*Table1[[#This Row],[BW40_3705]]),"")</f>
        <v/>
      </c>
      <c r="H3104" s="7" t="str">
        <f>IF(Table1[[#This Row],[Is Data Valid]]=TRUE,((Table1[[#This Row],[Birthweight (grams)]]*0.9/Table1[[#This Row],[BW_GA]])-1)/(Backend!$B$4/100*Table1[[#This Row],[BW40_3705]]),"")</f>
        <v/>
      </c>
      <c r="I3104" s="7" t="str">
        <f>IF(Table1[[#This Row],[Is Data Valid]]=TRUE,((Table1[[#This Row],[Birthweight (grams)]]*1.1/Table1[[#This Row],[BW_GA]])-1)/(Backend!$B$4/100*Table1[[#This Row],[BW40_3705]]),"")</f>
        <v/>
      </c>
      <c r="J3104" s="7" t="str">
        <f>IF(Table1[[#This Row],[Is Data Valid]]=TRUE,_xlfn.NORM.S.DIST(Table1[[#This Row],[Birthweight Z-Score]],TRUE)*100,"")</f>
        <v/>
      </c>
      <c r="K3104" s="7" t="str">
        <f>IF(Table1[[#This Row],[Is Data Valid]]=TRUE,_xlfn.NORM.S.DIST(Table1[[#This Row],[Birthweight Z-Score (BW-10%)]],TRUE)*100,"")</f>
        <v/>
      </c>
      <c r="L3104" s="7" t="str">
        <f>IF(Table1[[#This Row],[Is Data Valid]]=TRUE,_xlfn.NORM.S.DIST(Table1[[#This Row],[Birthweight Z-Score (BW+10%)]],TRUE)*100,"")</f>
        <v/>
      </c>
    </row>
    <row r="3105" spans="1:12" x14ac:dyDescent="0.35">
      <c r="A3105" s="3"/>
      <c r="B3105" s="2"/>
      <c r="C3105" s="2"/>
      <c r="D3105" s="2" t="b">
        <f>IF(AND(NOT(ISBLANK(Table1[[#This Row],[Fetal Sex (Male, Female or Unknown)]])),ISNUMBER(Table1[[#This Row],[Birthweight (grams)]]),ISNUMBER(Table1[[#This Row],[Gestation (days)]])),TRUE,FALSE)</f>
        <v>0</v>
      </c>
      <c r="E3105" s="2" t="str">
        <f>IF(Table1[[#This Row],[Is Data Valid]]=TRUE,IF(Table1[[#This Row],[Fetal Sex (Male, Female or Unknown)]]="Male",Backend!$C$6,IF(Table1[[#This Row],[Fetal Sex (Male, Female or Unknown)]]="Female",Backend!$C$7,IF(Table1[[#This Row],[Fetal Sex (Male, Female or Unknown)]]="Unknown",Backend!$C$8,"Error"))),"")</f>
        <v/>
      </c>
      <c r="F3105" s="8" t="str">
        <f>IF(Table1[[#This Row],[Is Data Valid]]=TRUE,EXP(0.578+0.332*((Table1[[#This Row],[Gestation (days)]]+0.5)/7)-0.00354*((Table1[[#This Row],[Gestation (days)]]+0.5)/7)^2)*Table1[[#This Row],[BW40_3705]],"")</f>
        <v/>
      </c>
      <c r="G3105" s="2" t="str">
        <f>IF(Table1[[#This Row],[Is Data Valid]]=TRUE,((Table1[[#This Row],[Birthweight (grams)]]/Table1[[#This Row],[BW_GA]])-1)/(Backend!$B$4/100*Table1[[#This Row],[BW40_3705]]),"")</f>
        <v/>
      </c>
      <c r="H3105" s="7" t="str">
        <f>IF(Table1[[#This Row],[Is Data Valid]]=TRUE,((Table1[[#This Row],[Birthweight (grams)]]*0.9/Table1[[#This Row],[BW_GA]])-1)/(Backend!$B$4/100*Table1[[#This Row],[BW40_3705]]),"")</f>
        <v/>
      </c>
      <c r="I3105" s="7" t="str">
        <f>IF(Table1[[#This Row],[Is Data Valid]]=TRUE,((Table1[[#This Row],[Birthweight (grams)]]*1.1/Table1[[#This Row],[BW_GA]])-1)/(Backend!$B$4/100*Table1[[#This Row],[BW40_3705]]),"")</f>
        <v/>
      </c>
      <c r="J3105" s="7" t="str">
        <f>IF(Table1[[#This Row],[Is Data Valid]]=TRUE,_xlfn.NORM.S.DIST(Table1[[#This Row],[Birthweight Z-Score]],TRUE)*100,"")</f>
        <v/>
      </c>
      <c r="K3105" s="7" t="str">
        <f>IF(Table1[[#This Row],[Is Data Valid]]=TRUE,_xlfn.NORM.S.DIST(Table1[[#This Row],[Birthweight Z-Score (BW-10%)]],TRUE)*100,"")</f>
        <v/>
      </c>
      <c r="L3105" s="7" t="str">
        <f>IF(Table1[[#This Row],[Is Data Valid]]=TRUE,_xlfn.NORM.S.DIST(Table1[[#This Row],[Birthweight Z-Score (BW+10%)]],TRUE)*100,"")</f>
        <v/>
      </c>
    </row>
    <row r="3106" spans="1:12" x14ac:dyDescent="0.35">
      <c r="A3106" s="3"/>
      <c r="B3106" s="2"/>
      <c r="C3106" s="2"/>
      <c r="D3106" s="2" t="b">
        <f>IF(AND(NOT(ISBLANK(Table1[[#This Row],[Fetal Sex (Male, Female or Unknown)]])),ISNUMBER(Table1[[#This Row],[Birthweight (grams)]]),ISNUMBER(Table1[[#This Row],[Gestation (days)]])),TRUE,FALSE)</f>
        <v>0</v>
      </c>
      <c r="E3106" s="2" t="str">
        <f>IF(Table1[[#This Row],[Is Data Valid]]=TRUE,IF(Table1[[#This Row],[Fetal Sex (Male, Female or Unknown)]]="Male",Backend!$C$6,IF(Table1[[#This Row],[Fetal Sex (Male, Female or Unknown)]]="Female",Backend!$C$7,IF(Table1[[#This Row],[Fetal Sex (Male, Female or Unknown)]]="Unknown",Backend!$C$8,"Error"))),"")</f>
        <v/>
      </c>
      <c r="F3106" s="8" t="str">
        <f>IF(Table1[[#This Row],[Is Data Valid]]=TRUE,EXP(0.578+0.332*((Table1[[#This Row],[Gestation (days)]]+0.5)/7)-0.00354*((Table1[[#This Row],[Gestation (days)]]+0.5)/7)^2)*Table1[[#This Row],[BW40_3705]],"")</f>
        <v/>
      </c>
      <c r="G3106" s="2" t="str">
        <f>IF(Table1[[#This Row],[Is Data Valid]]=TRUE,((Table1[[#This Row],[Birthweight (grams)]]/Table1[[#This Row],[BW_GA]])-1)/(Backend!$B$4/100*Table1[[#This Row],[BW40_3705]]),"")</f>
        <v/>
      </c>
      <c r="H3106" s="7" t="str">
        <f>IF(Table1[[#This Row],[Is Data Valid]]=TRUE,((Table1[[#This Row],[Birthweight (grams)]]*0.9/Table1[[#This Row],[BW_GA]])-1)/(Backend!$B$4/100*Table1[[#This Row],[BW40_3705]]),"")</f>
        <v/>
      </c>
      <c r="I3106" s="7" t="str">
        <f>IF(Table1[[#This Row],[Is Data Valid]]=TRUE,((Table1[[#This Row],[Birthweight (grams)]]*1.1/Table1[[#This Row],[BW_GA]])-1)/(Backend!$B$4/100*Table1[[#This Row],[BW40_3705]]),"")</f>
        <v/>
      </c>
      <c r="J3106" s="7" t="str">
        <f>IF(Table1[[#This Row],[Is Data Valid]]=TRUE,_xlfn.NORM.S.DIST(Table1[[#This Row],[Birthweight Z-Score]],TRUE)*100,"")</f>
        <v/>
      </c>
      <c r="K3106" s="7" t="str">
        <f>IF(Table1[[#This Row],[Is Data Valid]]=TRUE,_xlfn.NORM.S.DIST(Table1[[#This Row],[Birthweight Z-Score (BW-10%)]],TRUE)*100,"")</f>
        <v/>
      </c>
      <c r="L3106" s="7" t="str">
        <f>IF(Table1[[#This Row],[Is Data Valid]]=TRUE,_xlfn.NORM.S.DIST(Table1[[#This Row],[Birthweight Z-Score (BW+10%)]],TRUE)*100,"")</f>
        <v/>
      </c>
    </row>
    <row r="3107" spans="1:12" x14ac:dyDescent="0.35">
      <c r="A3107" s="3"/>
      <c r="B3107" s="2"/>
      <c r="C3107" s="2"/>
      <c r="D3107" s="2" t="b">
        <f>IF(AND(NOT(ISBLANK(Table1[[#This Row],[Fetal Sex (Male, Female or Unknown)]])),ISNUMBER(Table1[[#This Row],[Birthweight (grams)]]),ISNUMBER(Table1[[#This Row],[Gestation (days)]])),TRUE,FALSE)</f>
        <v>0</v>
      </c>
      <c r="E3107" s="2" t="str">
        <f>IF(Table1[[#This Row],[Is Data Valid]]=TRUE,IF(Table1[[#This Row],[Fetal Sex (Male, Female or Unknown)]]="Male",Backend!$C$6,IF(Table1[[#This Row],[Fetal Sex (Male, Female or Unknown)]]="Female",Backend!$C$7,IF(Table1[[#This Row],[Fetal Sex (Male, Female or Unknown)]]="Unknown",Backend!$C$8,"Error"))),"")</f>
        <v/>
      </c>
      <c r="F3107" s="8" t="str">
        <f>IF(Table1[[#This Row],[Is Data Valid]]=TRUE,EXP(0.578+0.332*((Table1[[#This Row],[Gestation (days)]]+0.5)/7)-0.00354*((Table1[[#This Row],[Gestation (days)]]+0.5)/7)^2)*Table1[[#This Row],[BW40_3705]],"")</f>
        <v/>
      </c>
      <c r="G3107" s="2" t="str">
        <f>IF(Table1[[#This Row],[Is Data Valid]]=TRUE,((Table1[[#This Row],[Birthweight (grams)]]/Table1[[#This Row],[BW_GA]])-1)/(Backend!$B$4/100*Table1[[#This Row],[BW40_3705]]),"")</f>
        <v/>
      </c>
      <c r="H3107" s="7" t="str">
        <f>IF(Table1[[#This Row],[Is Data Valid]]=TRUE,((Table1[[#This Row],[Birthweight (grams)]]*0.9/Table1[[#This Row],[BW_GA]])-1)/(Backend!$B$4/100*Table1[[#This Row],[BW40_3705]]),"")</f>
        <v/>
      </c>
      <c r="I3107" s="7" t="str">
        <f>IF(Table1[[#This Row],[Is Data Valid]]=TRUE,((Table1[[#This Row],[Birthweight (grams)]]*1.1/Table1[[#This Row],[BW_GA]])-1)/(Backend!$B$4/100*Table1[[#This Row],[BW40_3705]]),"")</f>
        <v/>
      </c>
      <c r="J3107" s="7" t="str">
        <f>IF(Table1[[#This Row],[Is Data Valid]]=TRUE,_xlfn.NORM.S.DIST(Table1[[#This Row],[Birthweight Z-Score]],TRUE)*100,"")</f>
        <v/>
      </c>
      <c r="K3107" s="7" t="str">
        <f>IF(Table1[[#This Row],[Is Data Valid]]=TRUE,_xlfn.NORM.S.DIST(Table1[[#This Row],[Birthweight Z-Score (BW-10%)]],TRUE)*100,"")</f>
        <v/>
      </c>
      <c r="L3107" s="7" t="str">
        <f>IF(Table1[[#This Row],[Is Data Valid]]=TRUE,_xlfn.NORM.S.DIST(Table1[[#This Row],[Birthweight Z-Score (BW+10%)]],TRUE)*100,"")</f>
        <v/>
      </c>
    </row>
    <row r="3108" spans="1:12" x14ac:dyDescent="0.35">
      <c r="A3108" s="3"/>
      <c r="B3108" s="2"/>
      <c r="C3108" s="2"/>
      <c r="D3108" s="2" t="b">
        <f>IF(AND(NOT(ISBLANK(Table1[[#This Row],[Fetal Sex (Male, Female or Unknown)]])),ISNUMBER(Table1[[#This Row],[Birthweight (grams)]]),ISNUMBER(Table1[[#This Row],[Gestation (days)]])),TRUE,FALSE)</f>
        <v>0</v>
      </c>
      <c r="E3108" s="2" t="str">
        <f>IF(Table1[[#This Row],[Is Data Valid]]=TRUE,IF(Table1[[#This Row],[Fetal Sex (Male, Female or Unknown)]]="Male",Backend!$C$6,IF(Table1[[#This Row],[Fetal Sex (Male, Female or Unknown)]]="Female",Backend!$C$7,IF(Table1[[#This Row],[Fetal Sex (Male, Female or Unknown)]]="Unknown",Backend!$C$8,"Error"))),"")</f>
        <v/>
      </c>
      <c r="F3108" s="8" t="str">
        <f>IF(Table1[[#This Row],[Is Data Valid]]=TRUE,EXP(0.578+0.332*((Table1[[#This Row],[Gestation (days)]]+0.5)/7)-0.00354*((Table1[[#This Row],[Gestation (days)]]+0.5)/7)^2)*Table1[[#This Row],[BW40_3705]],"")</f>
        <v/>
      </c>
      <c r="G3108" s="2" t="str">
        <f>IF(Table1[[#This Row],[Is Data Valid]]=TRUE,((Table1[[#This Row],[Birthweight (grams)]]/Table1[[#This Row],[BW_GA]])-1)/(Backend!$B$4/100*Table1[[#This Row],[BW40_3705]]),"")</f>
        <v/>
      </c>
      <c r="H3108" s="7" t="str">
        <f>IF(Table1[[#This Row],[Is Data Valid]]=TRUE,((Table1[[#This Row],[Birthweight (grams)]]*0.9/Table1[[#This Row],[BW_GA]])-1)/(Backend!$B$4/100*Table1[[#This Row],[BW40_3705]]),"")</f>
        <v/>
      </c>
      <c r="I3108" s="7" t="str">
        <f>IF(Table1[[#This Row],[Is Data Valid]]=TRUE,((Table1[[#This Row],[Birthweight (grams)]]*1.1/Table1[[#This Row],[BW_GA]])-1)/(Backend!$B$4/100*Table1[[#This Row],[BW40_3705]]),"")</f>
        <v/>
      </c>
      <c r="J3108" s="7" t="str">
        <f>IF(Table1[[#This Row],[Is Data Valid]]=TRUE,_xlfn.NORM.S.DIST(Table1[[#This Row],[Birthweight Z-Score]],TRUE)*100,"")</f>
        <v/>
      </c>
      <c r="K3108" s="7" t="str">
        <f>IF(Table1[[#This Row],[Is Data Valid]]=TRUE,_xlfn.NORM.S.DIST(Table1[[#This Row],[Birthweight Z-Score (BW-10%)]],TRUE)*100,"")</f>
        <v/>
      </c>
      <c r="L3108" s="7" t="str">
        <f>IF(Table1[[#This Row],[Is Data Valid]]=TRUE,_xlfn.NORM.S.DIST(Table1[[#This Row],[Birthweight Z-Score (BW+10%)]],TRUE)*100,"")</f>
        <v/>
      </c>
    </row>
    <row r="3109" spans="1:12" x14ac:dyDescent="0.35">
      <c r="A3109" s="3"/>
      <c r="B3109" s="2"/>
      <c r="C3109" s="2"/>
      <c r="D3109" s="2" t="b">
        <f>IF(AND(NOT(ISBLANK(Table1[[#This Row],[Fetal Sex (Male, Female or Unknown)]])),ISNUMBER(Table1[[#This Row],[Birthweight (grams)]]),ISNUMBER(Table1[[#This Row],[Gestation (days)]])),TRUE,FALSE)</f>
        <v>0</v>
      </c>
      <c r="E3109" s="2" t="str">
        <f>IF(Table1[[#This Row],[Is Data Valid]]=TRUE,IF(Table1[[#This Row],[Fetal Sex (Male, Female or Unknown)]]="Male",Backend!$C$6,IF(Table1[[#This Row],[Fetal Sex (Male, Female or Unknown)]]="Female",Backend!$C$7,IF(Table1[[#This Row],[Fetal Sex (Male, Female or Unknown)]]="Unknown",Backend!$C$8,"Error"))),"")</f>
        <v/>
      </c>
      <c r="F3109" s="8" t="str">
        <f>IF(Table1[[#This Row],[Is Data Valid]]=TRUE,EXP(0.578+0.332*((Table1[[#This Row],[Gestation (days)]]+0.5)/7)-0.00354*((Table1[[#This Row],[Gestation (days)]]+0.5)/7)^2)*Table1[[#This Row],[BW40_3705]],"")</f>
        <v/>
      </c>
      <c r="G3109" s="2" t="str">
        <f>IF(Table1[[#This Row],[Is Data Valid]]=TRUE,((Table1[[#This Row],[Birthweight (grams)]]/Table1[[#This Row],[BW_GA]])-1)/(Backend!$B$4/100*Table1[[#This Row],[BW40_3705]]),"")</f>
        <v/>
      </c>
      <c r="H3109" s="7" t="str">
        <f>IF(Table1[[#This Row],[Is Data Valid]]=TRUE,((Table1[[#This Row],[Birthweight (grams)]]*0.9/Table1[[#This Row],[BW_GA]])-1)/(Backend!$B$4/100*Table1[[#This Row],[BW40_3705]]),"")</f>
        <v/>
      </c>
      <c r="I3109" s="7" t="str">
        <f>IF(Table1[[#This Row],[Is Data Valid]]=TRUE,((Table1[[#This Row],[Birthweight (grams)]]*1.1/Table1[[#This Row],[BW_GA]])-1)/(Backend!$B$4/100*Table1[[#This Row],[BW40_3705]]),"")</f>
        <v/>
      </c>
      <c r="J3109" s="7" t="str">
        <f>IF(Table1[[#This Row],[Is Data Valid]]=TRUE,_xlfn.NORM.S.DIST(Table1[[#This Row],[Birthweight Z-Score]],TRUE)*100,"")</f>
        <v/>
      </c>
      <c r="K3109" s="7" t="str">
        <f>IF(Table1[[#This Row],[Is Data Valid]]=TRUE,_xlfn.NORM.S.DIST(Table1[[#This Row],[Birthweight Z-Score (BW-10%)]],TRUE)*100,"")</f>
        <v/>
      </c>
      <c r="L3109" s="7" t="str">
        <f>IF(Table1[[#This Row],[Is Data Valid]]=TRUE,_xlfn.NORM.S.DIST(Table1[[#This Row],[Birthweight Z-Score (BW+10%)]],TRUE)*100,"")</f>
        <v/>
      </c>
    </row>
    <row r="3110" spans="1:12" x14ac:dyDescent="0.35">
      <c r="A3110" s="3"/>
      <c r="B3110" s="2"/>
      <c r="C3110" s="2"/>
      <c r="D3110" s="2" t="b">
        <f>IF(AND(NOT(ISBLANK(Table1[[#This Row],[Fetal Sex (Male, Female or Unknown)]])),ISNUMBER(Table1[[#This Row],[Birthweight (grams)]]),ISNUMBER(Table1[[#This Row],[Gestation (days)]])),TRUE,FALSE)</f>
        <v>0</v>
      </c>
      <c r="E3110" s="2" t="str">
        <f>IF(Table1[[#This Row],[Is Data Valid]]=TRUE,IF(Table1[[#This Row],[Fetal Sex (Male, Female or Unknown)]]="Male",Backend!$C$6,IF(Table1[[#This Row],[Fetal Sex (Male, Female or Unknown)]]="Female",Backend!$C$7,IF(Table1[[#This Row],[Fetal Sex (Male, Female or Unknown)]]="Unknown",Backend!$C$8,"Error"))),"")</f>
        <v/>
      </c>
      <c r="F3110" s="8" t="str">
        <f>IF(Table1[[#This Row],[Is Data Valid]]=TRUE,EXP(0.578+0.332*((Table1[[#This Row],[Gestation (days)]]+0.5)/7)-0.00354*((Table1[[#This Row],[Gestation (days)]]+0.5)/7)^2)*Table1[[#This Row],[BW40_3705]],"")</f>
        <v/>
      </c>
      <c r="G3110" s="2" t="str">
        <f>IF(Table1[[#This Row],[Is Data Valid]]=TRUE,((Table1[[#This Row],[Birthweight (grams)]]/Table1[[#This Row],[BW_GA]])-1)/(Backend!$B$4/100*Table1[[#This Row],[BW40_3705]]),"")</f>
        <v/>
      </c>
      <c r="H3110" s="7" t="str">
        <f>IF(Table1[[#This Row],[Is Data Valid]]=TRUE,((Table1[[#This Row],[Birthweight (grams)]]*0.9/Table1[[#This Row],[BW_GA]])-1)/(Backend!$B$4/100*Table1[[#This Row],[BW40_3705]]),"")</f>
        <v/>
      </c>
      <c r="I3110" s="7" t="str">
        <f>IF(Table1[[#This Row],[Is Data Valid]]=TRUE,((Table1[[#This Row],[Birthweight (grams)]]*1.1/Table1[[#This Row],[BW_GA]])-1)/(Backend!$B$4/100*Table1[[#This Row],[BW40_3705]]),"")</f>
        <v/>
      </c>
      <c r="J3110" s="7" t="str">
        <f>IF(Table1[[#This Row],[Is Data Valid]]=TRUE,_xlfn.NORM.S.DIST(Table1[[#This Row],[Birthweight Z-Score]],TRUE)*100,"")</f>
        <v/>
      </c>
      <c r="K3110" s="7" t="str">
        <f>IF(Table1[[#This Row],[Is Data Valid]]=TRUE,_xlfn.NORM.S.DIST(Table1[[#This Row],[Birthweight Z-Score (BW-10%)]],TRUE)*100,"")</f>
        <v/>
      </c>
      <c r="L3110" s="7" t="str">
        <f>IF(Table1[[#This Row],[Is Data Valid]]=TRUE,_xlfn.NORM.S.DIST(Table1[[#This Row],[Birthweight Z-Score (BW+10%)]],TRUE)*100,"")</f>
        <v/>
      </c>
    </row>
    <row r="3111" spans="1:12" x14ac:dyDescent="0.35">
      <c r="A3111" s="3"/>
      <c r="B3111" s="2"/>
      <c r="C3111" s="2"/>
      <c r="D3111" s="2" t="b">
        <f>IF(AND(NOT(ISBLANK(Table1[[#This Row],[Fetal Sex (Male, Female or Unknown)]])),ISNUMBER(Table1[[#This Row],[Birthweight (grams)]]),ISNUMBER(Table1[[#This Row],[Gestation (days)]])),TRUE,FALSE)</f>
        <v>0</v>
      </c>
      <c r="E3111" s="2" t="str">
        <f>IF(Table1[[#This Row],[Is Data Valid]]=TRUE,IF(Table1[[#This Row],[Fetal Sex (Male, Female or Unknown)]]="Male",Backend!$C$6,IF(Table1[[#This Row],[Fetal Sex (Male, Female or Unknown)]]="Female",Backend!$C$7,IF(Table1[[#This Row],[Fetal Sex (Male, Female or Unknown)]]="Unknown",Backend!$C$8,"Error"))),"")</f>
        <v/>
      </c>
      <c r="F3111" s="8" t="str">
        <f>IF(Table1[[#This Row],[Is Data Valid]]=TRUE,EXP(0.578+0.332*((Table1[[#This Row],[Gestation (days)]]+0.5)/7)-0.00354*((Table1[[#This Row],[Gestation (days)]]+0.5)/7)^2)*Table1[[#This Row],[BW40_3705]],"")</f>
        <v/>
      </c>
      <c r="G3111" s="2" t="str">
        <f>IF(Table1[[#This Row],[Is Data Valid]]=TRUE,((Table1[[#This Row],[Birthweight (grams)]]/Table1[[#This Row],[BW_GA]])-1)/(Backend!$B$4/100*Table1[[#This Row],[BW40_3705]]),"")</f>
        <v/>
      </c>
      <c r="H3111" s="7" t="str">
        <f>IF(Table1[[#This Row],[Is Data Valid]]=TRUE,((Table1[[#This Row],[Birthweight (grams)]]*0.9/Table1[[#This Row],[BW_GA]])-1)/(Backend!$B$4/100*Table1[[#This Row],[BW40_3705]]),"")</f>
        <v/>
      </c>
      <c r="I3111" s="7" t="str">
        <f>IF(Table1[[#This Row],[Is Data Valid]]=TRUE,((Table1[[#This Row],[Birthweight (grams)]]*1.1/Table1[[#This Row],[BW_GA]])-1)/(Backend!$B$4/100*Table1[[#This Row],[BW40_3705]]),"")</f>
        <v/>
      </c>
      <c r="J3111" s="7" t="str">
        <f>IF(Table1[[#This Row],[Is Data Valid]]=TRUE,_xlfn.NORM.S.DIST(Table1[[#This Row],[Birthweight Z-Score]],TRUE)*100,"")</f>
        <v/>
      </c>
      <c r="K3111" s="7" t="str">
        <f>IF(Table1[[#This Row],[Is Data Valid]]=TRUE,_xlfn.NORM.S.DIST(Table1[[#This Row],[Birthweight Z-Score (BW-10%)]],TRUE)*100,"")</f>
        <v/>
      </c>
      <c r="L3111" s="7" t="str">
        <f>IF(Table1[[#This Row],[Is Data Valid]]=TRUE,_xlfn.NORM.S.DIST(Table1[[#This Row],[Birthweight Z-Score (BW+10%)]],TRUE)*100,"")</f>
        <v/>
      </c>
    </row>
    <row r="3112" spans="1:12" x14ac:dyDescent="0.35">
      <c r="A3112" s="3"/>
      <c r="B3112" s="2"/>
      <c r="C3112" s="2"/>
      <c r="D3112" s="2" t="b">
        <f>IF(AND(NOT(ISBLANK(Table1[[#This Row],[Fetal Sex (Male, Female or Unknown)]])),ISNUMBER(Table1[[#This Row],[Birthweight (grams)]]),ISNUMBER(Table1[[#This Row],[Gestation (days)]])),TRUE,FALSE)</f>
        <v>0</v>
      </c>
      <c r="E3112" s="2" t="str">
        <f>IF(Table1[[#This Row],[Is Data Valid]]=TRUE,IF(Table1[[#This Row],[Fetal Sex (Male, Female or Unknown)]]="Male",Backend!$C$6,IF(Table1[[#This Row],[Fetal Sex (Male, Female or Unknown)]]="Female",Backend!$C$7,IF(Table1[[#This Row],[Fetal Sex (Male, Female or Unknown)]]="Unknown",Backend!$C$8,"Error"))),"")</f>
        <v/>
      </c>
      <c r="F3112" s="8" t="str">
        <f>IF(Table1[[#This Row],[Is Data Valid]]=TRUE,EXP(0.578+0.332*((Table1[[#This Row],[Gestation (days)]]+0.5)/7)-0.00354*((Table1[[#This Row],[Gestation (days)]]+0.5)/7)^2)*Table1[[#This Row],[BW40_3705]],"")</f>
        <v/>
      </c>
      <c r="G3112" s="2" t="str">
        <f>IF(Table1[[#This Row],[Is Data Valid]]=TRUE,((Table1[[#This Row],[Birthweight (grams)]]/Table1[[#This Row],[BW_GA]])-1)/(Backend!$B$4/100*Table1[[#This Row],[BW40_3705]]),"")</f>
        <v/>
      </c>
      <c r="H3112" s="7" t="str">
        <f>IF(Table1[[#This Row],[Is Data Valid]]=TRUE,((Table1[[#This Row],[Birthweight (grams)]]*0.9/Table1[[#This Row],[BW_GA]])-1)/(Backend!$B$4/100*Table1[[#This Row],[BW40_3705]]),"")</f>
        <v/>
      </c>
      <c r="I3112" s="7" t="str">
        <f>IF(Table1[[#This Row],[Is Data Valid]]=TRUE,((Table1[[#This Row],[Birthweight (grams)]]*1.1/Table1[[#This Row],[BW_GA]])-1)/(Backend!$B$4/100*Table1[[#This Row],[BW40_3705]]),"")</f>
        <v/>
      </c>
      <c r="J3112" s="7" t="str">
        <f>IF(Table1[[#This Row],[Is Data Valid]]=TRUE,_xlfn.NORM.S.DIST(Table1[[#This Row],[Birthweight Z-Score]],TRUE)*100,"")</f>
        <v/>
      </c>
      <c r="K3112" s="7" t="str">
        <f>IF(Table1[[#This Row],[Is Data Valid]]=TRUE,_xlfn.NORM.S.DIST(Table1[[#This Row],[Birthweight Z-Score (BW-10%)]],TRUE)*100,"")</f>
        <v/>
      </c>
      <c r="L3112" s="7" t="str">
        <f>IF(Table1[[#This Row],[Is Data Valid]]=TRUE,_xlfn.NORM.S.DIST(Table1[[#This Row],[Birthweight Z-Score (BW+10%)]],TRUE)*100,"")</f>
        <v/>
      </c>
    </row>
    <row r="3113" spans="1:12" x14ac:dyDescent="0.35">
      <c r="A3113" s="3"/>
      <c r="B3113" s="2"/>
      <c r="C3113" s="2"/>
      <c r="D3113" s="2" t="b">
        <f>IF(AND(NOT(ISBLANK(Table1[[#This Row],[Fetal Sex (Male, Female or Unknown)]])),ISNUMBER(Table1[[#This Row],[Birthweight (grams)]]),ISNUMBER(Table1[[#This Row],[Gestation (days)]])),TRUE,FALSE)</f>
        <v>0</v>
      </c>
      <c r="E3113" s="2" t="str">
        <f>IF(Table1[[#This Row],[Is Data Valid]]=TRUE,IF(Table1[[#This Row],[Fetal Sex (Male, Female or Unknown)]]="Male",Backend!$C$6,IF(Table1[[#This Row],[Fetal Sex (Male, Female or Unknown)]]="Female",Backend!$C$7,IF(Table1[[#This Row],[Fetal Sex (Male, Female or Unknown)]]="Unknown",Backend!$C$8,"Error"))),"")</f>
        <v/>
      </c>
      <c r="F3113" s="8" t="str">
        <f>IF(Table1[[#This Row],[Is Data Valid]]=TRUE,EXP(0.578+0.332*((Table1[[#This Row],[Gestation (days)]]+0.5)/7)-0.00354*((Table1[[#This Row],[Gestation (days)]]+0.5)/7)^2)*Table1[[#This Row],[BW40_3705]],"")</f>
        <v/>
      </c>
      <c r="G3113" s="2" t="str">
        <f>IF(Table1[[#This Row],[Is Data Valid]]=TRUE,((Table1[[#This Row],[Birthweight (grams)]]/Table1[[#This Row],[BW_GA]])-1)/(Backend!$B$4/100*Table1[[#This Row],[BW40_3705]]),"")</f>
        <v/>
      </c>
      <c r="H3113" s="7" t="str">
        <f>IF(Table1[[#This Row],[Is Data Valid]]=TRUE,((Table1[[#This Row],[Birthweight (grams)]]*0.9/Table1[[#This Row],[BW_GA]])-1)/(Backend!$B$4/100*Table1[[#This Row],[BW40_3705]]),"")</f>
        <v/>
      </c>
      <c r="I3113" s="7" t="str">
        <f>IF(Table1[[#This Row],[Is Data Valid]]=TRUE,((Table1[[#This Row],[Birthweight (grams)]]*1.1/Table1[[#This Row],[BW_GA]])-1)/(Backend!$B$4/100*Table1[[#This Row],[BW40_3705]]),"")</f>
        <v/>
      </c>
      <c r="J3113" s="7" t="str">
        <f>IF(Table1[[#This Row],[Is Data Valid]]=TRUE,_xlfn.NORM.S.DIST(Table1[[#This Row],[Birthweight Z-Score]],TRUE)*100,"")</f>
        <v/>
      </c>
      <c r="K3113" s="7" t="str">
        <f>IF(Table1[[#This Row],[Is Data Valid]]=TRUE,_xlfn.NORM.S.DIST(Table1[[#This Row],[Birthweight Z-Score (BW-10%)]],TRUE)*100,"")</f>
        <v/>
      </c>
      <c r="L3113" s="7" t="str">
        <f>IF(Table1[[#This Row],[Is Data Valid]]=TRUE,_xlfn.NORM.S.DIST(Table1[[#This Row],[Birthweight Z-Score (BW+10%)]],TRUE)*100,"")</f>
        <v/>
      </c>
    </row>
    <row r="3114" spans="1:12" x14ac:dyDescent="0.35">
      <c r="A3114" s="3"/>
      <c r="B3114" s="2"/>
      <c r="C3114" s="2"/>
      <c r="D3114" s="2" t="b">
        <f>IF(AND(NOT(ISBLANK(Table1[[#This Row],[Fetal Sex (Male, Female or Unknown)]])),ISNUMBER(Table1[[#This Row],[Birthweight (grams)]]),ISNUMBER(Table1[[#This Row],[Gestation (days)]])),TRUE,FALSE)</f>
        <v>0</v>
      </c>
      <c r="E3114" s="2" t="str">
        <f>IF(Table1[[#This Row],[Is Data Valid]]=TRUE,IF(Table1[[#This Row],[Fetal Sex (Male, Female or Unknown)]]="Male",Backend!$C$6,IF(Table1[[#This Row],[Fetal Sex (Male, Female or Unknown)]]="Female",Backend!$C$7,IF(Table1[[#This Row],[Fetal Sex (Male, Female or Unknown)]]="Unknown",Backend!$C$8,"Error"))),"")</f>
        <v/>
      </c>
      <c r="F3114" s="8" t="str">
        <f>IF(Table1[[#This Row],[Is Data Valid]]=TRUE,EXP(0.578+0.332*((Table1[[#This Row],[Gestation (days)]]+0.5)/7)-0.00354*((Table1[[#This Row],[Gestation (days)]]+0.5)/7)^2)*Table1[[#This Row],[BW40_3705]],"")</f>
        <v/>
      </c>
      <c r="G3114" s="2" t="str">
        <f>IF(Table1[[#This Row],[Is Data Valid]]=TRUE,((Table1[[#This Row],[Birthweight (grams)]]/Table1[[#This Row],[BW_GA]])-1)/(Backend!$B$4/100*Table1[[#This Row],[BW40_3705]]),"")</f>
        <v/>
      </c>
      <c r="H3114" s="7" t="str">
        <f>IF(Table1[[#This Row],[Is Data Valid]]=TRUE,((Table1[[#This Row],[Birthweight (grams)]]*0.9/Table1[[#This Row],[BW_GA]])-1)/(Backend!$B$4/100*Table1[[#This Row],[BW40_3705]]),"")</f>
        <v/>
      </c>
      <c r="I3114" s="7" t="str">
        <f>IF(Table1[[#This Row],[Is Data Valid]]=TRUE,((Table1[[#This Row],[Birthweight (grams)]]*1.1/Table1[[#This Row],[BW_GA]])-1)/(Backend!$B$4/100*Table1[[#This Row],[BW40_3705]]),"")</f>
        <v/>
      </c>
      <c r="J3114" s="7" t="str">
        <f>IF(Table1[[#This Row],[Is Data Valid]]=TRUE,_xlfn.NORM.S.DIST(Table1[[#This Row],[Birthweight Z-Score]],TRUE)*100,"")</f>
        <v/>
      </c>
      <c r="K3114" s="7" t="str">
        <f>IF(Table1[[#This Row],[Is Data Valid]]=TRUE,_xlfn.NORM.S.DIST(Table1[[#This Row],[Birthweight Z-Score (BW-10%)]],TRUE)*100,"")</f>
        <v/>
      </c>
      <c r="L3114" s="7" t="str">
        <f>IF(Table1[[#This Row],[Is Data Valid]]=TRUE,_xlfn.NORM.S.DIST(Table1[[#This Row],[Birthweight Z-Score (BW+10%)]],TRUE)*100,"")</f>
        <v/>
      </c>
    </row>
    <row r="3115" spans="1:12" x14ac:dyDescent="0.35">
      <c r="A3115" s="3"/>
      <c r="B3115" s="2"/>
      <c r="C3115" s="2"/>
      <c r="D3115" s="2" t="b">
        <f>IF(AND(NOT(ISBLANK(Table1[[#This Row],[Fetal Sex (Male, Female or Unknown)]])),ISNUMBER(Table1[[#This Row],[Birthweight (grams)]]),ISNUMBER(Table1[[#This Row],[Gestation (days)]])),TRUE,FALSE)</f>
        <v>0</v>
      </c>
      <c r="E3115" s="2" t="str">
        <f>IF(Table1[[#This Row],[Is Data Valid]]=TRUE,IF(Table1[[#This Row],[Fetal Sex (Male, Female or Unknown)]]="Male",Backend!$C$6,IF(Table1[[#This Row],[Fetal Sex (Male, Female or Unknown)]]="Female",Backend!$C$7,IF(Table1[[#This Row],[Fetal Sex (Male, Female or Unknown)]]="Unknown",Backend!$C$8,"Error"))),"")</f>
        <v/>
      </c>
      <c r="F3115" s="8" t="str">
        <f>IF(Table1[[#This Row],[Is Data Valid]]=TRUE,EXP(0.578+0.332*((Table1[[#This Row],[Gestation (days)]]+0.5)/7)-0.00354*((Table1[[#This Row],[Gestation (days)]]+0.5)/7)^2)*Table1[[#This Row],[BW40_3705]],"")</f>
        <v/>
      </c>
      <c r="G3115" s="2" t="str">
        <f>IF(Table1[[#This Row],[Is Data Valid]]=TRUE,((Table1[[#This Row],[Birthweight (grams)]]/Table1[[#This Row],[BW_GA]])-1)/(Backend!$B$4/100*Table1[[#This Row],[BW40_3705]]),"")</f>
        <v/>
      </c>
      <c r="H3115" s="7" t="str">
        <f>IF(Table1[[#This Row],[Is Data Valid]]=TRUE,((Table1[[#This Row],[Birthweight (grams)]]*0.9/Table1[[#This Row],[BW_GA]])-1)/(Backend!$B$4/100*Table1[[#This Row],[BW40_3705]]),"")</f>
        <v/>
      </c>
      <c r="I3115" s="7" t="str">
        <f>IF(Table1[[#This Row],[Is Data Valid]]=TRUE,((Table1[[#This Row],[Birthweight (grams)]]*1.1/Table1[[#This Row],[BW_GA]])-1)/(Backend!$B$4/100*Table1[[#This Row],[BW40_3705]]),"")</f>
        <v/>
      </c>
      <c r="J3115" s="7" t="str">
        <f>IF(Table1[[#This Row],[Is Data Valid]]=TRUE,_xlfn.NORM.S.DIST(Table1[[#This Row],[Birthweight Z-Score]],TRUE)*100,"")</f>
        <v/>
      </c>
      <c r="K3115" s="7" t="str">
        <f>IF(Table1[[#This Row],[Is Data Valid]]=TRUE,_xlfn.NORM.S.DIST(Table1[[#This Row],[Birthweight Z-Score (BW-10%)]],TRUE)*100,"")</f>
        <v/>
      </c>
      <c r="L3115" s="7" t="str">
        <f>IF(Table1[[#This Row],[Is Data Valid]]=TRUE,_xlfn.NORM.S.DIST(Table1[[#This Row],[Birthweight Z-Score (BW+10%)]],TRUE)*100,"")</f>
        <v/>
      </c>
    </row>
    <row r="3116" spans="1:12" x14ac:dyDescent="0.35">
      <c r="A3116" s="3"/>
      <c r="B3116" s="2"/>
      <c r="C3116" s="2"/>
      <c r="D3116" s="2" t="b">
        <f>IF(AND(NOT(ISBLANK(Table1[[#This Row],[Fetal Sex (Male, Female or Unknown)]])),ISNUMBER(Table1[[#This Row],[Birthweight (grams)]]),ISNUMBER(Table1[[#This Row],[Gestation (days)]])),TRUE,FALSE)</f>
        <v>0</v>
      </c>
      <c r="E3116" s="2" t="str">
        <f>IF(Table1[[#This Row],[Is Data Valid]]=TRUE,IF(Table1[[#This Row],[Fetal Sex (Male, Female or Unknown)]]="Male",Backend!$C$6,IF(Table1[[#This Row],[Fetal Sex (Male, Female or Unknown)]]="Female",Backend!$C$7,IF(Table1[[#This Row],[Fetal Sex (Male, Female or Unknown)]]="Unknown",Backend!$C$8,"Error"))),"")</f>
        <v/>
      </c>
      <c r="F3116" s="8" t="str">
        <f>IF(Table1[[#This Row],[Is Data Valid]]=TRUE,EXP(0.578+0.332*((Table1[[#This Row],[Gestation (days)]]+0.5)/7)-0.00354*((Table1[[#This Row],[Gestation (days)]]+0.5)/7)^2)*Table1[[#This Row],[BW40_3705]],"")</f>
        <v/>
      </c>
      <c r="G3116" s="2" t="str">
        <f>IF(Table1[[#This Row],[Is Data Valid]]=TRUE,((Table1[[#This Row],[Birthweight (grams)]]/Table1[[#This Row],[BW_GA]])-1)/(Backend!$B$4/100*Table1[[#This Row],[BW40_3705]]),"")</f>
        <v/>
      </c>
      <c r="H3116" s="7" t="str">
        <f>IF(Table1[[#This Row],[Is Data Valid]]=TRUE,((Table1[[#This Row],[Birthweight (grams)]]*0.9/Table1[[#This Row],[BW_GA]])-1)/(Backend!$B$4/100*Table1[[#This Row],[BW40_3705]]),"")</f>
        <v/>
      </c>
      <c r="I3116" s="7" t="str">
        <f>IF(Table1[[#This Row],[Is Data Valid]]=TRUE,((Table1[[#This Row],[Birthweight (grams)]]*1.1/Table1[[#This Row],[BW_GA]])-1)/(Backend!$B$4/100*Table1[[#This Row],[BW40_3705]]),"")</f>
        <v/>
      </c>
      <c r="J3116" s="7" t="str">
        <f>IF(Table1[[#This Row],[Is Data Valid]]=TRUE,_xlfn.NORM.S.DIST(Table1[[#This Row],[Birthweight Z-Score]],TRUE)*100,"")</f>
        <v/>
      </c>
      <c r="K3116" s="7" t="str">
        <f>IF(Table1[[#This Row],[Is Data Valid]]=TRUE,_xlfn.NORM.S.DIST(Table1[[#This Row],[Birthweight Z-Score (BW-10%)]],TRUE)*100,"")</f>
        <v/>
      </c>
      <c r="L3116" s="7" t="str">
        <f>IF(Table1[[#This Row],[Is Data Valid]]=TRUE,_xlfn.NORM.S.DIST(Table1[[#This Row],[Birthweight Z-Score (BW+10%)]],TRUE)*100,"")</f>
        <v/>
      </c>
    </row>
    <row r="3117" spans="1:12" x14ac:dyDescent="0.35">
      <c r="A3117" s="3"/>
      <c r="B3117" s="2"/>
      <c r="C3117" s="2"/>
      <c r="D3117" s="2" t="b">
        <f>IF(AND(NOT(ISBLANK(Table1[[#This Row],[Fetal Sex (Male, Female or Unknown)]])),ISNUMBER(Table1[[#This Row],[Birthweight (grams)]]),ISNUMBER(Table1[[#This Row],[Gestation (days)]])),TRUE,FALSE)</f>
        <v>0</v>
      </c>
      <c r="E3117" s="2" t="str">
        <f>IF(Table1[[#This Row],[Is Data Valid]]=TRUE,IF(Table1[[#This Row],[Fetal Sex (Male, Female or Unknown)]]="Male",Backend!$C$6,IF(Table1[[#This Row],[Fetal Sex (Male, Female or Unknown)]]="Female",Backend!$C$7,IF(Table1[[#This Row],[Fetal Sex (Male, Female or Unknown)]]="Unknown",Backend!$C$8,"Error"))),"")</f>
        <v/>
      </c>
      <c r="F3117" s="8" t="str">
        <f>IF(Table1[[#This Row],[Is Data Valid]]=TRUE,EXP(0.578+0.332*((Table1[[#This Row],[Gestation (days)]]+0.5)/7)-0.00354*((Table1[[#This Row],[Gestation (days)]]+0.5)/7)^2)*Table1[[#This Row],[BW40_3705]],"")</f>
        <v/>
      </c>
      <c r="G3117" s="2" t="str">
        <f>IF(Table1[[#This Row],[Is Data Valid]]=TRUE,((Table1[[#This Row],[Birthweight (grams)]]/Table1[[#This Row],[BW_GA]])-1)/(Backend!$B$4/100*Table1[[#This Row],[BW40_3705]]),"")</f>
        <v/>
      </c>
      <c r="H3117" s="7" t="str">
        <f>IF(Table1[[#This Row],[Is Data Valid]]=TRUE,((Table1[[#This Row],[Birthweight (grams)]]*0.9/Table1[[#This Row],[BW_GA]])-1)/(Backend!$B$4/100*Table1[[#This Row],[BW40_3705]]),"")</f>
        <v/>
      </c>
      <c r="I3117" s="7" t="str">
        <f>IF(Table1[[#This Row],[Is Data Valid]]=TRUE,((Table1[[#This Row],[Birthweight (grams)]]*1.1/Table1[[#This Row],[BW_GA]])-1)/(Backend!$B$4/100*Table1[[#This Row],[BW40_3705]]),"")</f>
        <v/>
      </c>
      <c r="J3117" s="7" t="str">
        <f>IF(Table1[[#This Row],[Is Data Valid]]=TRUE,_xlfn.NORM.S.DIST(Table1[[#This Row],[Birthweight Z-Score]],TRUE)*100,"")</f>
        <v/>
      </c>
      <c r="K3117" s="7" t="str">
        <f>IF(Table1[[#This Row],[Is Data Valid]]=TRUE,_xlfn.NORM.S.DIST(Table1[[#This Row],[Birthweight Z-Score (BW-10%)]],TRUE)*100,"")</f>
        <v/>
      </c>
      <c r="L3117" s="7" t="str">
        <f>IF(Table1[[#This Row],[Is Data Valid]]=TRUE,_xlfn.NORM.S.DIST(Table1[[#This Row],[Birthweight Z-Score (BW+10%)]],TRUE)*100,"")</f>
        <v/>
      </c>
    </row>
    <row r="3118" spans="1:12" x14ac:dyDescent="0.35">
      <c r="A3118" s="3"/>
      <c r="B3118" s="2"/>
      <c r="C3118" s="2"/>
      <c r="D3118" s="2" t="b">
        <f>IF(AND(NOT(ISBLANK(Table1[[#This Row],[Fetal Sex (Male, Female or Unknown)]])),ISNUMBER(Table1[[#This Row],[Birthweight (grams)]]),ISNUMBER(Table1[[#This Row],[Gestation (days)]])),TRUE,FALSE)</f>
        <v>0</v>
      </c>
      <c r="E3118" s="2" t="str">
        <f>IF(Table1[[#This Row],[Is Data Valid]]=TRUE,IF(Table1[[#This Row],[Fetal Sex (Male, Female or Unknown)]]="Male",Backend!$C$6,IF(Table1[[#This Row],[Fetal Sex (Male, Female or Unknown)]]="Female",Backend!$C$7,IF(Table1[[#This Row],[Fetal Sex (Male, Female or Unknown)]]="Unknown",Backend!$C$8,"Error"))),"")</f>
        <v/>
      </c>
      <c r="F3118" s="8" t="str">
        <f>IF(Table1[[#This Row],[Is Data Valid]]=TRUE,EXP(0.578+0.332*((Table1[[#This Row],[Gestation (days)]]+0.5)/7)-0.00354*((Table1[[#This Row],[Gestation (days)]]+0.5)/7)^2)*Table1[[#This Row],[BW40_3705]],"")</f>
        <v/>
      </c>
      <c r="G3118" s="2" t="str">
        <f>IF(Table1[[#This Row],[Is Data Valid]]=TRUE,((Table1[[#This Row],[Birthweight (grams)]]/Table1[[#This Row],[BW_GA]])-1)/(Backend!$B$4/100*Table1[[#This Row],[BW40_3705]]),"")</f>
        <v/>
      </c>
      <c r="H3118" s="7" t="str">
        <f>IF(Table1[[#This Row],[Is Data Valid]]=TRUE,((Table1[[#This Row],[Birthweight (grams)]]*0.9/Table1[[#This Row],[BW_GA]])-1)/(Backend!$B$4/100*Table1[[#This Row],[BW40_3705]]),"")</f>
        <v/>
      </c>
      <c r="I3118" s="7" t="str">
        <f>IF(Table1[[#This Row],[Is Data Valid]]=TRUE,((Table1[[#This Row],[Birthweight (grams)]]*1.1/Table1[[#This Row],[BW_GA]])-1)/(Backend!$B$4/100*Table1[[#This Row],[BW40_3705]]),"")</f>
        <v/>
      </c>
      <c r="J3118" s="7" t="str">
        <f>IF(Table1[[#This Row],[Is Data Valid]]=TRUE,_xlfn.NORM.S.DIST(Table1[[#This Row],[Birthweight Z-Score]],TRUE)*100,"")</f>
        <v/>
      </c>
      <c r="K3118" s="7" t="str">
        <f>IF(Table1[[#This Row],[Is Data Valid]]=TRUE,_xlfn.NORM.S.DIST(Table1[[#This Row],[Birthweight Z-Score (BW-10%)]],TRUE)*100,"")</f>
        <v/>
      </c>
      <c r="L3118" s="7" t="str">
        <f>IF(Table1[[#This Row],[Is Data Valid]]=TRUE,_xlfn.NORM.S.DIST(Table1[[#This Row],[Birthweight Z-Score (BW+10%)]],TRUE)*100,"")</f>
        <v/>
      </c>
    </row>
    <row r="3119" spans="1:12" x14ac:dyDescent="0.35">
      <c r="A3119" s="3"/>
      <c r="B3119" s="2"/>
      <c r="C3119" s="2"/>
      <c r="D3119" s="2" t="b">
        <f>IF(AND(NOT(ISBLANK(Table1[[#This Row],[Fetal Sex (Male, Female or Unknown)]])),ISNUMBER(Table1[[#This Row],[Birthweight (grams)]]),ISNUMBER(Table1[[#This Row],[Gestation (days)]])),TRUE,FALSE)</f>
        <v>0</v>
      </c>
      <c r="E3119" s="2" t="str">
        <f>IF(Table1[[#This Row],[Is Data Valid]]=TRUE,IF(Table1[[#This Row],[Fetal Sex (Male, Female or Unknown)]]="Male",Backend!$C$6,IF(Table1[[#This Row],[Fetal Sex (Male, Female or Unknown)]]="Female",Backend!$C$7,IF(Table1[[#This Row],[Fetal Sex (Male, Female or Unknown)]]="Unknown",Backend!$C$8,"Error"))),"")</f>
        <v/>
      </c>
      <c r="F3119" s="8" t="str">
        <f>IF(Table1[[#This Row],[Is Data Valid]]=TRUE,EXP(0.578+0.332*((Table1[[#This Row],[Gestation (days)]]+0.5)/7)-0.00354*((Table1[[#This Row],[Gestation (days)]]+0.5)/7)^2)*Table1[[#This Row],[BW40_3705]],"")</f>
        <v/>
      </c>
      <c r="G3119" s="2" t="str">
        <f>IF(Table1[[#This Row],[Is Data Valid]]=TRUE,((Table1[[#This Row],[Birthweight (grams)]]/Table1[[#This Row],[BW_GA]])-1)/(Backend!$B$4/100*Table1[[#This Row],[BW40_3705]]),"")</f>
        <v/>
      </c>
      <c r="H3119" s="7" t="str">
        <f>IF(Table1[[#This Row],[Is Data Valid]]=TRUE,((Table1[[#This Row],[Birthweight (grams)]]*0.9/Table1[[#This Row],[BW_GA]])-1)/(Backend!$B$4/100*Table1[[#This Row],[BW40_3705]]),"")</f>
        <v/>
      </c>
      <c r="I3119" s="7" t="str">
        <f>IF(Table1[[#This Row],[Is Data Valid]]=TRUE,((Table1[[#This Row],[Birthweight (grams)]]*1.1/Table1[[#This Row],[BW_GA]])-1)/(Backend!$B$4/100*Table1[[#This Row],[BW40_3705]]),"")</f>
        <v/>
      </c>
      <c r="J3119" s="7" t="str">
        <f>IF(Table1[[#This Row],[Is Data Valid]]=TRUE,_xlfn.NORM.S.DIST(Table1[[#This Row],[Birthweight Z-Score]],TRUE)*100,"")</f>
        <v/>
      </c>
      <c r="K3119" s="7" t="str">
        <f>IF(Table1[[#This Row],[Is Data Valid]]=TRUE,_xlfn.NORM.S.DIST(Table1[[#This Row],[Birthweight Z-Score (BW-10%)]],TRUE)*100,"")</f>
        <v/>
      </c>
      <c r="L3119" s="7" t="str">
        <f>IF(Table1[[#This Row],[Is Data Valid]]=TRUE,_xlfn.NORM.S.DIST(Table1[[#This Row],[Birthweight Z-Score (BW+10%)]],TRUE)*100,"")</f>
        <v/>
      </c>
    </row>
    <row r="3120" spans="1:12" x14ac:dyDescent="0.35">
      <c r="A3120" s="3"/>
      <c r="B3120" s="2"/>
      <c r="C3120" s="2"/>
      <c r="D3120" s="2" t="b">
        <f>IF(AND(NOT(ISBLANK(Table1[[#This Row],[Fetal Sex (Male, Female or Unknown)]])),ISNUMBER(Table1[[#This Row],[Birthweight (grams)]]),ISNUMBER(Table1[[#This Row],[Gestation (days)]])),TRUE,FALSE)</f>
        <v>0</v>
      </c>
      <c r="E3120" s="2" t="str">
        <f>IF(Table1[[#This Row],[Is Data Valid]]=TRUE,IF(Table1[[#This Row],[Fetal Sex (Male, Female or Unknown)]]="Male",Backend!$C$6,IF(Table1[[#This Row],[Fetal Sex (Male, Female or Unknown)]]="Female",Backend!$C$7,IF(Table1[[#This Row],[Fetal Sex (Male, Female or Unknown)]]="Unknown",Backend!$C$8,"Error"))),"")</f>
        <v/>
      </c>
      <c r="F3120" s="8" t="str">
        <f>IF(Table1[[#This Row],[Is Data Valid]]=TRUE,EXP(0.578+0.332*((Table1[[#This Row],[Gestation (days)]]+0.5)/7)-0.00354*((Table1[[#This Row],[Gestation (days)]]+0.5)/7)^2)*Table1[[#This Row],[BW40_3705]],"")</f>
        <v/>
      </c>
      <c r="G3120" s="2" t="str">
        <f>IF(Table1[[#This Row],[Is Data Valid]]=TRUE,((Table1[[#This Row],[Birthweight (grams)]]/Table1[[#This Row],[BW_GA]])-1)/(Backend!$B$4/100*Table1[[#This Row],[BW40_3705]]),"")</f>
        <v/>
      </c>
      <c r="H3120" s="7" t="str">
        <f>IF(Table1[[#This Row],[Is Data Valid]]=TRUE,((Table1[[#This Row],[Birthweight (grams)]]*0.9/Table1[[#This Row],[BW_GA]])-1)/(Backend!$B$4/100*Table1[[#This Row],[BW40_3705]]),"")</f>
        <v/>
      </c>
      <c r="I3120" s="7" t="str">
        <f>IF(Table1[[#This Row],[Is Data Valid]]=TRUE,((Table1[[#This Row],[Birthweight (grams)]]*1.1/Table1[[#This Row],[BW_GA]])-1)/(Backend!$B$4/100*Table1[[#This Row],[BW40_3705]]),"")</f>
        <v/>
      </c>
      <c r="J3120" s="7" t="str">
        <f>IF(Table1[[#This Row],[Is Data Valid]]=TRUE,_xlfn.NORM.S.DIST(Table1[[#This Row],[Birthweight Z-Score]],TRUE)*100,"")</f>
        <v/>
      </c>
      <c r="K3120" s="7" t="str">
        <f>IF(Table1[[#This Row],[Is Data Valid]]=TRUE,_xlfn.NORM.S.DIST(Table1[[#This Row],[Birthweight Z-Score (BW-10%)]],TRUE)*100,"")</f>
        <v/>
      </c>
      <c r="L3120" s="7" t="str">
        <f>IF(Table1[[#This Row],[Is Data Valid]]=TRUE,_xlfn.NORM.S.DIST(Table1[[#This Row],[Birthweight Z-Score (BW+10%)]],TRUE)*100,"")</f>
        <v/>
      </c>
    </row>
    <row r="3121" spans="1:12" x14ac:dyDescent="0.35">
      <c r="A3121" s="3"/>
      <c r="B3121" s="2"/>
      <c r="C3121" s="2"/>
      <c r="D3121" s="2" t="b">
        <f>IF(AND(NOT(ISBLANK(Table1[[#This Row],[Fetal Sex (Male, Female or Unknown)]])),ISNUMBER(Table1[[#This Row],[Birthweight (grams)]]),ISNUMBER(Table1[[#This Row],[Gestation (days)]])),TRUE,FALSE)</f>
        <v>0</v>
      </c>
      <c r="E3121" s="2" t="str">
        <f>IF(Table1[[#This Row],[Is Data Valid]]=TRUE,IF(Table1[[#This Row],[Fetal Sex (Male, Female or Unknown)]]="Male",Backend!$C$6,IF(Table1[[#This Row],[Fetal Sex (Male, Female or Unknown)]]="Female",Backend!$C$7,IF(Table1[[#This Row],[Fetal Sex (Male, Female or Unknown)]]="Unknown",Backend!$C$8,"Error"))),"")</f>
        <v/>
      </c>
      <c r="F3121" s="8" t="str">
        <f>IF(Table1[[#This Row],[Is Data Valid]]=TRUE,EXP(0.578+0.332*((Table1[[#This Row],[Gestation (days)]]+0.5)/7)-0.00354*((Table1[[#This Row],[Gestation (days)]]+0.5)/7)^2)*Table1[[#This Row],[BW40_3705]],"")</f>
        <v/>
      </c>
      <c r="G3121" s="2" t="str">
        <f>IF(Table1[[#This Row],[Is Data Valid]]=TRUE,((Table1[[#This Row],[Birthweight (grams)]]/Table1[[#This Row],[BW_GA]])-1)/(Backend!$B$4/100*Table1[[#This Row],[BW40_3705]]),"")</f>
        <v/>
      </c>
      <c r="H3121" s="7" t="str">
        <f>IF(Table1[[#This Row],[Is Data Valid]]=TRUE,((Table1[[#This Row],[Birthweight (grams)]]*0.9/Table1[[#This Row],[BW_GA]])-1)/(Backend!$B$4/100*Table1[[#This Row],[BW40_3705]]),"")</f>
        <v/>
      </c>
      <c r="I3121" s="7" t="str">
        <f>IF(Table1[[#This Row],[Is Data Valid]]=TRUE,((Table1[[#This Row],[Birthweight (grams)]]*1.1/Table1[[#This Row],[BW_GA]])-1)/(Backend!$B$4/100*Table1[[#This Row],[BW40_3705]]),"")</f>
        <v/>
      </c>
      <c r="J3121" s="7" t="str">
        <f>IF(Table1[[#This Row],[Is Data Valid]]=TRUE,_xlfn.NORM.S.DIST(Table1[[#This Row],[Birthweight Z-Score]],TRUE)*100,"")</f>
        <v/>
      </c>
      <c r="K3121" s="7" t="str">
        <f>IF(Table1[[#This Row],[Is Data Valid]]=TRUE,_xlfn.NORM.S.DIST(Table1[[#This Row],[Birthweight Z-Score (BW-10%)]],TRUE)*100,"")</f>
        <v/>
      </c>
      <c r="L3121" s="7" t="str">
        <f>IF(Table1[[#This Row],[Is Data Valid]]=TRUE,_xlfn.NORM.S.DIST(Table1[[#This Row],[Birthweight Z-Score (BW+10%)]],TRUE)*100,"")</f>
        <v/>
      </c>
    </row>
    <row r="3122" spans="1:12" x14ac:dyDescent="0.35">
      <c r="A3122" s="3"/>
      <c r="B3122" s="2"/>
      <c r="C3122" s="2"/>
      <c r="D3122" s="2" t="b">
        <f>IF(AND(NOT(ISBLANK(Table1[[#This Row],[Fetal Sex (Male, Female or Unknown)]])),ISNUMBER(Table1[[#This Row],[Birthweight (grams)]]),ISNUMBER(Table1[[#This Row],[Gestation (days)]])),TRUE,FALSE)</f>
        <v>0</v>
      </c>
      <c r="E3122" s="2" t="str">
        <f>IF(Table1[[#This Row],[Is Data Valid]]=TRUE,IF(Table1[[#This Row],[Fetal Sex (Male, Female or Unknown)]]="Male",Backend!$C$6,IF(Table1[[#This Row],[Fetal Sex (Male, Female or Unknown)]]="Female",Backend!$C$7,IF(Table1[[#This Row],[Fetal Sex (Male, Female or Unknown)]]="Unknown",Backend!$C$8,"Error"))),"")</f>
        <v/>
      </c>
      <c r="F3122" s="8" t="str">
        <f>IF(Table1[[#This Row],[Is Data Valid]]=TRUE,EXP(0.578+0.332*((Table1[[#This Row],[Gestation (days)]]+0.5)/7)-0.00354*((Table1[[#This Row],[Gestation (days)]]+0.5)/7)^2)*Table1[[#This Row],[BW40_3705]],"")</f>
        <v/>
      </c>
      <c r="G3122" s="2" t="str">
        <f>IF(Table1[[#This Row],[Is Data Valid]]=TRUE,((Table1[[#This Row],[Birthweight (grams)]]/Table1[[#This Row],[BW_GA]])-1)/(Backend!$B$4/100*Table1[[#This Row],[BW40_3705]]),"")</f>
        <v/>
      </c>
      <c r="H3122" s="7" t="str">
        <f>IF(Table1[[#This Row],[Is Data Valid]]=TRUE,((Table1[[#This Row],[Birthweight (grams)]]*0.9/Table1[[#This Row],[BW_GA]])-1)/(Backend!$B$4/100*Table1[[#This Row],[BW40_3705]]),"")</f>
        <v/>
      </c>
      <c r="I3122" s="7" t="str">
        <f>IF(Table1[[#This Row],[Is Data Valid]]=TRUE,((Table1[[#This Row],[Birthweight (grams)]]*1.1/Table1[[#This Row],[BW_GA]])-1)/(Backend!$B$4/100*Table1[[#This Row],[BW40_3705]]),"")</f>
        <v/>
      </c>
      <c r="J3122" s="7" t="str">
        <f>IF(Table1[[#This Row],[Is Data Valid]]=TRUE,_xlfn.NORM.S.DIST(Table1[[#This Row],[Birthweight Z-Score]],TRUE)*100,"")</f>
        <v/>
      </c>
      <c r="K3122" s="7" t="str">
        <f>IF(Table1[[#This Row],[Is Data Valid]]=TRUE,_xlfn.NORM.S.DIST(Table1[[#This Row],[Birthweight Z-Score (BW-10%)]],TRUE)*100,"")</f>
        <v/>
      </c>
      <c r="L3122" s="7" t="str">
        <f>IF(Table1[[#This Row],[Is Data Valid]]=TRUE,_xlfn.NORM.S.DIST(Table1[[#This Row],[Birthweight Z-Score (BW+10%)]],TRUE)*100,"")</f>
        <v/>
      </c>
    </row>
    <row r="3123" spans="1:12" x14ac:dyDescent="0.35">
      <c r="A3123" s="3"/>
      <c r="B3123" s="2"/>
      <c r="C3123" s="2"/>
      <c r="D3123" s="2" t="b">
        <f>IF(AND(NOT(ISBLANK(Table1[[#This Row],[Fetal Sex (Male, Female or Unknown)]])),ISNUMBER(Table1[[#This Row],[Birthweight (grams)]]),ISNUMBER(Table1[[#This Row],[Gestation (days)]])),TRUE,FALSE)</f>
        <v>0</v>
      </c>
      <c r="E3123" s="2" t="str">
        <f>IF(Table1[[#This Row],[Is Data Valid]]=TRUE,IF(Table1[[#This Row],[Fetal Sex (Male, Female or Unknown)]]="Male",Backend!$C$6,IF(Table1[[#This Row],[Fetal Sex (Male, Female or Unknown)]]="Female",Backend!$C$7,IF(Table1[[#This Row],[Fetal Sex (Male, Female or Unknown)]]="Unknown",Backend!$C$8,"Error"))),"")</f>
        <v/>
      </c>
      <c r="F3123" s="8" t="str">
        <f>IF(Table1[[#This Row],[Is Data Valid]]=TRUE,EXP(0.578+0.332*((Table1[[#This Row],[Gestation (days)]]+0.5)/7)-0.00354*((Table1[[#This Row],[Gestation (days)]]+0.5)/7)^2)*Table1[[#This Row],[BW40_3705]],"")</f>
        <v/>
      </c>
      <c r="G3123" s="2" t="str">
        <f>IF(Table1[[#This Row],[Is Data Valid]]=TRUE,((Table1[[#This Row],[Birthweight (grams)]]/Table1[[#This Row],[BW_GA]])-1)/(Backend!$B$4/100*Table1[[#This Row],[BW40_3705]]),"")</f>
        <v/>
      </c>
      <c r="H3123" s="7" t="str">
        <f>IF(Table1[[#This Row],[Is Data Valid]]=TRUE,((Table1[[#This Row],[Birthweight (grams)]]*0.9/Table1[[#This Row],[BW_GA]])-1)/(Backend!$B$4/100*Table1[[#This Row],[BW40_3705]]),"")</f>
        <v/>
      </c>
      <c r="I3123" s="7" t="str">
        <f>IF(Table1[[#This Row],[Is Data Valid]]=TRUE,((Table1[[#This Row],[Birthweight (grams)]]*1.1/Table1[[#This Row],[BW_GA]])-1)/(Backend!$B$4/100*Table1[[#This Row],[BW40_3705]]),"")</f>
        <v/>
      </c>
      <c r="J3123" s="7" t="str">
        <f>IF(Table1[[#This Row],[Is Data Valid]]=TRUE,_xlfn.NORM.S.DIST(Table1[[#This Row],[Birthweight Z-Score]],TRUE)*100,"")</f>
        <v/>
      </c>
      <c r="K3123" s="7" t="str">
        <f>IF(Table1[[#This Row],[Is Data Valid]]=TRUE,_xlfn.NORM.S.DIST(Table1[[#This Row],[Birthweight Z-Score (BW-10%)]],TRUE)*100,"")</f>
        <v/>
      </c>
      <c r="L3123" s="7" t="str">
        <f>IF(Table1[[#This Row],[Is Data Valid]]=TRUE,_xlfn.NORM.S.DIST(Table1[[#This Row],[Birthweight Z-Score (BW+10%)]],TRUE)*100,"")</f>
        <v/>
      </c>
    </row>
    <row r="3124" spans="1:12" x14ac:dyDescent="0.35">
      <c r="A3124" s="3"/>
      <c r="B3124" s="2"/>
      <c r="C3124" s="2"/>
      <c r="D3124" s="2" t="b">
        <f>IF(AND(NOT(ISBLANK(Table1[[#This Row],[Fetal Sex (Male, Female or Unknown)]])),ISNUMBER(Table1[[#This Row],[Birthweight (grams)]]),ISNUMBER(Table1[[#This Row],[Gestation (days)]])),TRUE,FALSE)</f>
        <v>0</v>
      </c>
      <c r="E3124" s="2" t="str">
        <f>IF(Table1[[#This Row],[Is Data Valid]]=TRUE,IF(Table1[[#This Row],[Fetal Sex (Male, Female or Unknown)]]="Male",Backend!$C$6,IF(Table1[[#This Row],[Fetal Sex (Male, Female or Unknown)]]="Female",Backend!$C$7,IF(Table1[[#This Row],[Fetal Sex (Male, Female or Unknown)]]="Unknown",Backend!$C$8,"Error"))),"")</f>
        <v/>
      </c>
      <c r="F3124" s="8" t="str">
        <f>IF(Table1[[#This Row],[Is Data Valid]]=TRUE,EXP(0.578+0.332*((Table1[[#This Row],[Gestation (days)]]+0.5)/7)-0.00354*((Table1[[#This Row],[Gestation (days)]]+0.5)/7)^2)*Table1[[#This Row],[BW40_3705]],"")</f>
        <v/>
      </c>
      <c r="G3124" s="2" t="str">
        <f>IF(Table1[[#This Row],[Is Data Valid]]=TRUE,((Table1[[#This Row],[Birthweight (grams)]]/Table1[[#This Row],[BW_GA]])-1)/(Backend!$B$4/100*Table1[[#This Row],[BW40_3705]]),"")</f>
        <v/>
      </c>
      <c r="H3124" s="7" t="str">
        <f>IF(Table1[[#This Row],[Is Data Valid]]=TRUE,((Table1[[#This Row],[Birthweight (grams)]]*0.9/Table1[[#This Row],[BW_GA]])-1)/(Backend!$B$4/100*Table1[[#This Row],[BW40_3705]]),"")</f>
        <v/>
      </c>
      <c r="I3124" s="7" t="str">
        <f>IF(Table1[[#This Row],[Is Data Valid]]=TRUE,((Table1[[#This Row],[Birthweight (grams)]]*1.1/Table1[[#This Row],[BW_GA]])-1)/(Backend!$B$4/100*Table1[[#This Row],[BW40_3705]]),"")</f>
        <v/>
      </c>
      <c r="J3124" s="7" t="str">
        <f>IF(Table1[[#This Row],[Is Data Valid]]=TRUE,_xlfn.NORM.S.DIST(Table1[[#This Row],[Birthweight Z-Score]],TRUE)*100,"")</f>
        <v/>
      </c>
      <c r="K3124" s="7" t="str">
        <f>IF(Table1[[#This Row],[Is Data Valid]]=TRUE,_xlfn.NORM.S.DIST(Table1[[#This Row],[Birthweight Z-Score (BW-10%)]],TRUE)*100,"")</f>
        <v/>
      </c>
      <c r="L3124" s="7" t="str">
        <f>IF(Table1[[#This Row],[Is Data Valid]]=TRUE,_xlfn.NORM.S.DIST(Table1[[#This Row],[Birthweight Z-Score (BW+10%)]],TRUE)*100,"")</f>
        <v/>
      </c>
    </row>
    <row r="3125" spans="1:12" x14ac:dyDescent="0.35">
      <c r="A3125" s="3"/>
      <c r="B3125" s="2"/>
      <c r="C3125" s="2"/>
      <c r="D3125" s="2" t="b">
        <f>IF(AND(NOT(ISBLANK(Table1[[#This Row],[Fetal Sex (Male, Female or Unknown)]])),ISNUMBER(Table1[[#This Row],[Birthweight (grams)]]),ISNUMBER(Table1[[#This Row],[Gestation (days)]])),TRUE,FALSE)</f>
        <v>0</v>
      </c>
      <c r="E3125" s="2" t="str">
        <f>IF(Table1[[#This Row],[Is Data Valid]]=TRUE,IF(Table1[[#This Row],[Fetal Sex (Male, Female or Unknown)]]="Male",Backend!$C$6,IF(Table1[[#This Row],[Fetal Sex (Male, Female or Unknown)]]="Female",Backend!$C$7,IF(Table1[[#This Row],[Fetal Sex (Male, Female or Unknown)]]="Unknown",Backend!$C$8,"Error"))),"")</f>
        <v/>
      </c>
      <c r="F3125" s="8" t="str">
        <f>IF(Table1[[#This Row],[Is Data Valid]]=TRUE,EXP(0.578+0.332*((Table1[[#This Row],[Gestation (days)]]+0.5)/7)-0.00354*((Table1[[#This Row],[Gestation (days)]]+0.5)/7)^2)*Table1[[#This Row],[BW40_3705]],"")</f>
        <v/>
      </c>
      <c r="G3125" s="2" t="str">
        <f>IF(Table1[[#This Row],[Is Data Valid]]=TRUE,((Table1[[#This Row],[Birthweight (grams)]]/Table1[[#This Row],[BW_GA]])-1)/(Backend!$B$4/100*Table1[[#This Row],[BW40_3705]]),"")</f>
        <v/>
      </c>
      <c r="H3125" s="7" t="str">
        <f>IF(Table1[[#This Row],[Is Data Valid]]=TRUE,((Table1[[#This Row],[Birthweight (grams)]]*0.9/Table1[[#This Row],[BW_GA]])-1)/(Backend!$B$4/100*Table1[[#This Row],[BW40_3705]]),"")</f>
        <v/>
      </c>
      <c r="I3125" s="7" t="str">
        <f>IF(Table1[[#This Row],[Is Data Valid]]=TRUE,((Table1[[#This Row],[Birthweight (grams)]]*1.1/Table1[[#This Row],[BW_GA]])-1)/(Backend!$B$4/100*Table1[[#This Row],[BW40_3705]]),"")</f>
        <v/>
      </c>
      <c r="J3125" s="7" t="str">
        <f>IF(Table1[[#This Row],[Is Data Valid]]=TRUE,_xlfn.NORM.S.DIST(Table1[[#This Row],[Birthweight Z-Score]],TRUE)*100,"")</f>
        <v/>
      </c>
      <c r="K3125" s="7" t="str">
        <f>IF(Table1[[#This Row],[Is Data Valid]]=TRUE,_xlfn.NORM.S.DIST(Table1[[#This Row],[Birthweight Z-Score (BW-10%)]],TRUE)*100,"")</f>
        <v/>
      </c>
      <c r="L3125" s="7" t="str">
        <f>IF(Table1[[#This Row],[Is Data Valid]]=TRUE,_xlfn.NORM.S.DIST(Table1[[#This Row],[Birthweight Z-Score (BW+10%)]],TRUE)*100,"")</f>
        <v/>
      </c>
    </row>
    <row r="3126" spans="1:12" x14ac:dyDescent="0.35">
      <c r="A3126" s="3"/>
      <c r="B3126" s="2"/>
      <c r="C3126" s="2"/>
      <c r="D3126" s="2" t="b">
        <f>IF(AND(NOT(ISBLANK(Table1[[#This Row],[Fetal Sex (Male, Female or Unknown)]])),ISNUMBER(Table1[[#This Row],[Birthweight (grams)]]),ISNUMBER(Table1[[#This Row],[Gestation (days)]])),TRUE,FALSE)</f>
        <v>0</v>
      </c>
      <c r="E3126" s="2" t="str">
        <f>IF(Table1[[#This Row],[Is Data Valid]]=TRUE,IF(Table1[[#This Row],[Fetal Sex (Male, Female or Unknown)]]="Male",Backend!$C$6,IF(Table1[[#This Row],[Fetal Sex (Male, Female or Unknown)]]="Female",Backend!$C$7,IF(Table1[[#This Row],[Fetal Sex (Male, Female or Unknown)]]="Unknown",Backend!$C$8,"Error"))),"")</f>
        <v/>
      </c>
      <c r="F3126" s="8" t="str">
        <f>IF(Table1[[#This Row],[Is Data Valid]]=TRUE,EXP(0.578+0.332*((Table1[[#This Row],[Gestation (days)]]+0.5)/7)-0.00354*((Table1[[#This Row],[Gestation (days)]]+0.5)/7)^2)*Table1[[#This Row],[BW40_3705]],"")</f>
        <v/>
      </c>
      <c r="G3126" s="2" t="str">
        <f>IF(Table1[[#This Row],[Is Data Valid]]=TRUE,((Table1[[#This Row],[Birthweight (grams)]]/Table1[[#This Row],[BW_GA]])-1)/(Backend!$B$4/100*Table1[[#This Row],[BW40_3705]]),"")</f>
        <v/>
      </c>
      <c r="H3126" s="7" t="str">
        <f>IF(Table1[[#This Row],[Is Data Valid]]=TRUE,((Table1[[#This Row],[Birthweight (grams)]]*0.9/Table1[[#This Row],[BW_GA]])-1)/(Backend!$B$4/100*Table1[[#This Row],[BW40_3705]]),"")</f>
        <v/>
      </c>
      <c r="I3126" s="7" t="str">
        <f>IF(Table1[[#This Row],[Is Data Valid]]=TRUE,((Table1[[#This Row],[Birthweight (grams)]]*1.1/Table1[[#This Row],[BW_GA]])-1)/(Backend!$B$4/100*Table1[[#This Row],[BW40_3705]]),"")</f>
        <v/>
      </c>
      <c r="J3126" s="7" t="str">
        <f>IF(Table1[[#This Row],[Is Data Valid]]=TRUE,_xlfn.NORM.S.DIST(Table1[[#This Row],[Birthweight Z-Score]],TRUE)*100,"")</f>
        <v/>
      </c>
      <c r="K3126" s="7" t="str">
        <f>IF(Table1[[#This Row],[Is Data Valid]]=TRUE,_xlfn.NORM.S.DIST(Table1[[#This Row],[Birthweight Z-Score (BW-10%)]],TRUE)*100,"")</f>
        <v/>
      </c>
      <c r="L3126" s="7" t="str">
        <f>IF(Table1[[#This Row],[Is Data Valid]]=TRUE,_xlfn.NORM.S.DIST(Table1[[#This Row],[Birthweight Z-Score (BW+10%)]],TRUE)*100,"")</f>
        <v/>
      </c>
    </row>
    <row r="3127" spans="1:12" x14ac:dyDescent="0.35">
      <c r="A3127" s="3"/>
      <c r="B3127" s="2"/>
      <c r="C3127" s="2"/>
      <c r="D3127" s="2" t="b">
        <f>IF(AND(NOT(ISBLANK(Table1[[#This Row],[Fetal Sex (Male, Female or Unknown)]])),ISNUMBER(Table1[[#This Row],[Birthweight (grams)]]),ISNUMBER(Table1[[#This Row],[Gestation (days)]])),TRUE,FALSE)</f>
        <v>0</v>
      </c>
      <c r="E3127" s="2" t="str">
        <f>IF(Table1[[#This Row],[Is Data Valid]]=TRUE,IF(Table1[[#This Row],[Fetal Sex (Male, Female or Unknown)]]="Male",Backend!$C$6,IF(Table1[[#This Row],[Fetal Sex (Male, Female or Unknown)]]="Female",Backend!$C$7,IF(Table1[[#This Row],[Fetal Sex (Male, Female or Unknown)]]="Unknown",Backend!$C$8,"Error"))),"")</f>
        <v/>
      </c>
      <c r="F3127" s="8" t="str">
        <f>IF(Table1[[#This Row],[Is Data Valid]]=TRUE,EXP(0.578+0.332*((Table1[[#This Row],[Gestation (days)]]+0.5)/7)-0.00354*((Table1[[#This Row],[Gestation (days)]]+0.5)/7)^2)*Table1[[#This Row],[BW40_3705]],"")</f>
        <v/>
      </c>
      <c r="G3127" s="2" t="str">
        <f>IF(Table1[[#This Row],[Is Data Valid]]=TRUE,((Table1[[#This Row],[Birthweight (grams)]]/Table1[[#This Row],[BW_GA]])-1)/(Backend!$B$4/100*Table1[[#This Row],[BW40_3705]]),"")</f>
        <v/>
      </c>
      <c r="H3127" s="7" t="str">
        <f>IF(Table1[[#This Row],[Is Data Valid]]=TRUE,((Table1[[#This Row],[Birthweight (grams)]]*0.9/Table1[[#This Row],[BW_GA]])-1)/(Backend!$B$4/100*Table1[[#This Row],[BW40_3705]]),"")</f>
        <v/>
      </c>
      <c r="I3127" s="7" t="str">
        <f>IF(Table1[[#This Row],[Is Data Valid]]=TRUE,((Table1[[#This Row],[Birthweight (grams)]]*1.1/Table1[[#This Row],[BW_GA]])-1)/(Backend!$B$4/100*Table1[[#This Row],[BW40_3705]]),"")</f>
        <v/>
      </c>
      <c r="J3127" s="7" t="str">
        <f>IF(Table1[[#This Row],[Is Data Valid]]=TRUE,_xlfn.NORM.S.DIST(Table1[[#This Row],[Birthweight Z-Score]],TRUE)*100,"")</f>
        <v/>
      </c>
      <c r="K3127" s="7" t="str">
        <f>IF(Table1[[#This Row],[Is Data Valid]]=TRUE,_xlfn.NORM.S.DIST(Table1[[#This Row],[Birthweight Z-Score (BW-10%)]],TRUE)*100,"")</f>
        <v/>
      </c>
      <c r="L3127" s="7" t="str">
        <f>IF(Table1[[#This Row],[Is Data Valid]]=TRUE,_xlfn.NORM.S.DIST(Table1[[#This Row],[Birthweight Z-Score (BW+10%)]],TRUE)*100,"")</f>
        <v/>
      </c>
    </row>
    <row r="3128" spans="1:12" x14ac:dyDescent="0.35">
      <c r="A3128" s="3"/>
      <c r="B3128" s="2"/>
      <c r="C3128" s="2"/>
      <c r="D3128" s="2" t="b">
        <f>IF(AND(NOT(ISBLANK(Table1[[#This Row],[Fetal Sex (Male, Female or Unknown)]])),ISNUMBER(Table1[[#This Row],[Birthweight (grams)]]),ISNUMBER(Table1[[#This Row],[Gestation (days)]])),TRUE,FALSE)</f>
        <v>0</v>
      </c>
      <c r="E3128" s="2" t="str">
        <f>IF(Table1[[#This Row],[Is Data Valid]]=TRUE,IF(Table1[[#This Row],[Fetal Sex (Male, Female or Unknown)]]="Male",Backend!$C$6,IF(Table1[[#This Row],[Fetal Sex (Male, Female or Unknown)]]="Female",Backend!$C$7,IF(Table1[[#This Row],[Fetal Sex (Male, Female or Unknown)]]="Unknown",Backend!$C$8,"Error"))),"")</f>
        <v/>
      </c>
      <c r="F3128" s="8" t="str">
        <f>IF(Table1[[#This Row],[Is Data Valid]]=TRUE,EXP(0.578+0.332*((Table1[[#This Row],[Gestation (days)]]+0.5)/7)-0.00354*((Table1[[#This Row],[Gestation (days)]]+0.5)/7)^2)*Table1[[#This Row],[BW40_3705]],"")</f>
        <v/>
      </c>
      <c r="G3128" s="2" t="str">
        <f>IF(Table1[[#This Row],[Is Data Valid]]=TRUE,((Table1[[#This Row],[Birthweight (grams)]]/Table1[[#This Row],[BW_GA]])-1)/(Backend!$B$4/100*Table1[[#This Row],[BW40_3705]]),"")</f>
        <v/>
      </c>
      <c r="H3128" s="7" t="str">
        <f>IF(Table1[[#This Row],[Is Data Valid]]=TRUE,((Table1[[#This Row],[Birthweight (grams)]]*0.9/Table1[[#This Row],[BW_GA]])-1)/(Backend!$B$4/100*Table1[[#This Row],[BW40_3705]]),"")</f>
        <v/>
      </c>
      <c r="I3128" s="7" t="str">
        <f>IF(Table1[[#This Row],[Is Data Valid]]=TRUE,((Table1[[#This Row],[Birthweight (grams)]]*1.1/Table1[[#This Row],[BW_GA]])-1)/(Backend!$B$4/100*Table1[[#This Row],[BW40_3705]]),"")</f>
        <v/>
      </c>
      <c r="J3128" s="7" t="str">
        <f>IF(Table1[[#This Row],[Is Data Valid]]=TRUE,_xlfn.NORM.S.DIST(Table1[[#This Row],[Birthweight Z-Score]],TRUE)*100,"")</f>
        <v/>
      </c>
      <c r="K3128" s="7" t="str">
        <f>IF(Table1[[#This Row],[Is Data Valid]]=TRUE,_xlfn.NORM.S.DIST(Table1[[#This Row],[Birthweight Z-Score (BW-10%)]],TRUE)*100,"")</f>
        <v/>
      </c>
      <c r="L3128" s="7" t="str">
        <f>IF(Table1[[#This Row],[Is Data Valid]]=TRUE,_xlfn.NORM.S.DIST(Table1[[#This Row],[Birthweight Z-Score (BW+10%)]],TRUE)*100,"")</f>
        <v/>
      </c>
    </row>
    <row r="3129" spans="1:12" x14ac:dyDescent="0.35">
      <c r="A3129" s="3"/>
      <c r="B3129" s="2"/>
      <c r="C3129" s="2"/>
      <c r="D3129" s="2" t="b">
        <f>IF(AND(NOT(ISBLANK(Table1[[#This Row],[Fetal Sex (Male, Female or Unknown)]])),ISNUMBER(Table1[[#This Row],[Birthweight (grams)]]),ISNUMBER(Table1[[#This Row],[Gestation (days)]])),TRUE,FALSE)</f>
        <v>0</v>
      </c>
      <c r="E3129" s="2" t="str">
        <f>IF(Table1[[#This Row],[Is Data Valid]]=TRUE,IF(Table1[[#This Row],[Fetal Sex (Male, Female or Unknown)]]="Male",Backend!$C$6,IF(Table1[[#This Row],[Fetal Sex (Male, Female or Unknown)]]="Female",Backend!$C$7,IF(Table1[[#This Row],[Fetal Sex (Male, Female or Unknown)]]="Unknown",Backend!$C$8,"Error"))),"")</f>
        <v/>
      </c>
      <c r="F3129" s="8" t="str">
        <f>IF(Table1[[#This Row],[Is Data Valid]]=TRUE,EXP(0.578+0.332*((Table1[[#This Row],[Gestation (days)]]+0.5)/7)-0.00354*((Table1[[#This Row],[Gestation (days)]]+0.5)/7)^2)*Table1[[#This Row],[BW40_3705]],"")</f>
        <v/>
      </c>
      <c r="G3129" s="2" t="str">
        <f>IF(Table1[[#This Row],[Is Data Valid]]=TRUE,((Table1[[#This Row],[Birthweight (grams)]]/Table1[[#This Row],[BW_GA]])-1)/(Backend!$B$4/100*Table1[[#This Row],[BW40_3705]]),"")</f>
        <v/>
      </c>
      <c r="H3129" s="7" t="str">
        <f>IF(Table1[[#This Row],[Is Data Valid]]=TRUE,((Table1[[#This Row],[Birthweight (grams)]]*0.9/Table1[[#This Row],[BW_GA]])-1)/(Backend!$B$4/100*Table1[[#This Row],[BW40_3705]]),"")</f>
        <v/>
      </c>
      <c r="I3129" s="7" t="str">
        <f>IF(Table1[[#This Row],[Is Data Valid]]=TRUE,((Table1[[#This Row],[Birthweight (grams)]]*1.1/Table1[[#This Row],[BW_GA]])-1)/(Backend!$B$4/100*Table1[[#This Row],[BW40_3705]]),"")</f>
        <v/>
      </c>
      <c r="J3129" s="7" t="str">
        <f>IF(Table1[[#This Row],[Is Data Valid]]=TRUE,_xlfn.NORM.S.DIST(Table1[[#This Row],[Birthweight Z-Score]],TRUE)*100,"")</f>
        <v/>
      </c>
      <c r="K3129" s="7" t="str">
        <f>IF(Table1[[#This Row],[Is Data Valid]]=TRUE,_xlfn.NORM.S.DIST(Table1[[#This Row],[Birthweight Z-Score (BW-10%)]],TRUE)*100,"")</f>
        <v/>
      </c>
      <c r="L3129" s="7" t="str">
        <f>IF(Table1[[#This Row],[Is Data Valid]]=TRUE,_xlfn.NORM.S.DIST(Table1[[#This Row],[Birthweight Z-Score (BW+10%)]],TRUE)*100,"")</f>
        <v/>
      </c>
    </row>
    <row r="3130" spans="1:12" x14ac:dyDescent="0.35">
      <c r="A3130" s="3"/>
      <c r="B3130" s="2"/>
      <c r="C3130" s="2"/>
      <c r="D3130" s="2" t="b">
        <f>IF(AND(NOT(ISBLANK(Table1[[#This Row],[Fetal Sex (Male, Female or Unknown)]])),ISNUMBER(Table1[[#This Row],[Birthweight (grams)]]),ISNUMBER(Table1[[#This Row],[Gestation (days)]])),TRUE,FALSE)</f>
        <v>0</v>
      </c>
      <c r="E3130" s="2" t="str">
        <f>IF(Table1[[#This Row],[Is Data Valid]]=TRUE,IF(Table1[[#This Row],[Fetal Sex (Male, Female or Unknown)]]="Male",Backend!$C$6,IF(Table1[[#This Row],[Fetal Sex (Male, Female or Unknown)]]="Female",Backend!$C$7,IF(Table1[[#This Row],[Fetal Sex (Male, Female or Unknown)]]="Unknown",Backend!$C$8,"Error"))),"")</f>
        <v/>
      </c>
      <c r="F3130" s="8" t="str">
        <f>IF(Table1[[#This Row],[Is Data Valid]]=TRUE,EXP(0.578+0.332*((Table1[[#This Row],[Gestation (days)]]+0.5)/7)-0.00354*((Table1[[#This Row],[Gestation (days)]]+0.5)/7)^2)*Table1[[#This Row],[BW40_3705]],"")</f>
        <v/>
      </c>
      <c r="G3130" s="2" t="str">
        <f>IF(Table1[[#This Row],[Is Data Valid]]=TRUE,((Table1[[#This Row],[Birthweight (grams)]]/Table1[[#This Row],[BW_GA]])-1)/(Backend!$B$4/100*Table1[[#This Row],[BW40_3705]]),"")</f>
        <v/>
      </c>
      <c r="H3130" s="7" t="str">
        <f>IF(Table1[[#This Row],[Is Data Valid]]=TRUE,((Table1[[#This Row],[Birthweight (grams)]]*0.9/Table1[[#This Row],[BW_GA]])-1)/(Backend!$B$4/100*Table1[[#This Row],[BW40_3705]]),"")</f>
        <v/>
      </c>
      <c r="I3130" s="7" t="str">
        <f>IF(Table1[[#This Row],[Is Data Valid]]=TRUE,((Table1[[#This Row],[Birthweight (grams)]]*1.1/Table1[[#This Row],[BW_GA]])-1)/(Backend!$B$4/100*Table1[[#This Row],[BW40_3705]]),"")</f>
        <v/>
      </c>
      <c r="J3130" s="7" t="str">
        <f>IF(Table1[[#This Row],[Is Data Valid]]=TRUE,_xlfn.NORM.S.DIST(Table1[[#This Row],[Birthweight Z-Score]],TRUE)*100,"")</f>
        <v/>
      </c>
      <c r="K3130" s="7" t="str">
        <f>IF(Table1[[#This Row],[Is Data Valid]]=TRUE,_xlfn.NORM.S.DIST(Table1[[#This Row],[Birthweight Z-Score (BW-10%)]],TRUE)*100,"")</f>
        <v/>
      </c>
      <c r="L3130" s="7" t="str">
        <f>IF(Table1[[#This Row],[Is Data Valid]]=TRUE,_xlfn.NORM.S.DIST(Table1[[#This Row],[Birthweight Z-Score (BW+10%)]],TRUE)*100,"")</f>
        <v/>
      </c>
    </row>
    <row r="3131" spans="1:12" x14ac:dyDescent="0.35">
      <c r="A3131" s="3"/>
      <c r="B3131" s="2"/>
      <c r="C3131" s="2"/>
      <c r="D3131" s="2" t="b">
        <f>IF(AND(NOT(ISBLANK(Table1[[#This Row],[Fetal Sex (Male, Female or Unknown)]])),ISNUMBER(Table1[[#This Row],[Birthweight (grams)]]),ISNUMBER(Table1[[#This Row],[Gestation (days)]])),TRUE,FALSE)</f>
        <v>0</v>
      </c>
      <c r="E3131" s="2" t="str">
        <f>IF(Table1[[#This Row],[Is Data Valid]]=TRUE,IF(Table1[[#This Row],[Fetal Sex (Male, Female or Unknown)]]="Male",Backend!$C$6,IF(Table1[[#This Row],[Fetal Sex (Male, Female or Unknown)]]="Female",Backend!$C$7,IF(Table1[[#This Row],[Fetal Sex (Male, Female or Unknown)]]="Unknown",Backend!$C$8,"Error"))),"")</f>
        <v/>
      </c>
      <c r="F3131" s="8" t="str">
        <f>IF(Table1[[#This Row],[Is Data Valid]]=TRUE,EXP(0.578+0.332*((Table1[[#This Row],[Gestation (days)]]+0.5)/7)-0.00354*((Table1[[#This Row],[Gestation (days)]]+0.5)/7)^2)*Table1[[#This Row],[BW40_3705]],"")</f>
        <v/>
      </c>
      <c r="G3131" s="2" t="str">
        <f>IF(Table1[[#This Row],[Is Data Valid]]=TRUE,((Table1[[#This Row],[Birthweight (grams)]]/Table1[[#This Row],[BW_GA]])-1)/(Backend!$B$4/100*Table1[[#This Row],[BW40_3705]]),"")</f>
        <v/>
      </c>
      <c r="H3131" s="7" t="str">
        <f>IF(Table1[[#This Row],[Is Data Valid]]=TRUE,((Table1[[#This Row],[Birthweight (grams)]]*0.9/Table1[[#This Row],[BW_GA]])-1)/(Backend!$B$4/100*Table1[[#This Row],[BW40_3705]]),"")</f>
        <v/>
      </c>
      <c r="I3131" s="7" t="str">
        <f>IF(Table1[[#This Row],[Is Data Valid]]=TRUE,((Table1[[#This Row],[Birthweight (grams)]]*1.1/Table1[[#This Row],[BW_GA]])-1)/(Backend!$B$4/100*Table1[[#This Row],[BW40_3705]]),"")</f>
        <v/>
      </c>
      <c r="J3131" s="7" t="str">
        <f>IF(Table1[[#This Row],[Is Data Valid]]=TRUE,_xlfn.NORM.S.DIST(Table1[[#This Row],[Birthweight Z-Score]],TRUE)*100,"")</f>
        <v/>
      </c>
      <c r="K3131" s="7" t="str">
        <f>IF(Table1[[#This Row],[Is Data Valid]]=TRUE,_xlfn.NORM.S.DIST(Table1[[#This Row],[Birthweight Z-Score (BW-10%)]],TRUE)*100,"")</f>
        <v/>
      </c>
      <c r="L3131" s="7" t="str">
        <f>IF(Table1[[#This Row],[Is Data Valid]]=TRUE,_xlfn.NORM.S.DIST(Table1[[#This Row],[Birthweight Z-Score (BW+10%)]],TRUE)*100,"")</f>
        <v/>
      </c>
    </row>
    <row r="3132" spans="1:12" x14ac:dyDescent="0.35">
      <c r="A3132" s="3"/>
      <c r="B3132" s="2"/>
      <c r="C3132" s="2"/>
      <c r="D3132" s="2" t="b">
        <f>IF(AND(NOT(ISBLANK(Table1[[#This Row],[Fetal Sex (Male, Female or Unknown)]])),ISNUMBER(Table1[[#This Row],[Birthweight (grams)]]),ISNUMBER(Table1[[#This Row],[Gestation (days)]])),TRUE,FALSE)</f>
        <v>0</v>
      </c>
      <c r="E3132" s="2" t="str">
        <f>IF(Table1[[#This Row],[Is Data Valid]]=TRUE,IF(Table1[[#This Row],[Fetal Sex (Male, Female or Unknown)]]="Male",Backend!$C$6,IF(Table1[[#This Row],[Fetal Sex (Male, Female or Unknown)]]="Female",Backend!$C$7,IF(Table1[[#This Row],[Fetal Sex (Male, Female or Unknown)]]="Unknown",Backend!$C$8,"Error"))),"")</f>
        <v/>
      </c>
      <c r="F3132" s="8" t="str">
        <f>IF(Table1[[#This Row],[Is Data Valid]]=TRUE,EXP(0.578+0.332*((Table1[[#This Row],[Gestation (days)]]+0.5)/7)-0.00354*((Table1[[#This Row],[Gestation (days)]]+0.5)/7)^2)*Table1[[#This Row],[BW40_3705]],"")</f>
        <v/>
      </c>
      <c r="G3132" s="2" t="str">
        <f>IF(Table1[[#This Row],[Is Data Valid]]=TRUE,((Table1[[#This Row],[Birthweight (grams)]]/Table1[[#This Row],[BW_GA]])-1)/(Backend!$B$4/100*Table1[[#This Row],[BW40_3705]]),"")</f>
        <v/>
      </c>
      <c r="H3132" s="7" t="str">
        <f>IF(Table1[[#This Row],[Is Data Valid]]=TRUE,((Table1[[#This Row],[Birthweight (grams)]]*0.9/Table1[[#This Row],[BW_GA]])-1)/(Backend!$B$4/100*Table1[[#This Row],[BW40_3705]]),"")</f>
        <v/>
      </c>
      <c r="I3132" s="7" t="str">
        <f>IF(Table1[[#This Row],[Is Data Valid]]=TRUE,((Table1[[#This Row],[Birthweight (grams)]]*1.1/Table1[[#This Row],[BW_GA]])-1)/(Backend!$B$4/100*Table1[[#This Row],[BW40_3705]]),"")</f>
        <v/>
      </c>
      <c r="J3132" s="7" t="str">
        <f>IF(Table1[[#This Row],[Is Data Valid]]=TRUE,_xlfn.NORM.S.DIST(Table1[[#This Row],[Birthweight Z-Score]],TRUE)*100,"")</f>
        <v/>
      </c>
      <c r="K3132" s="7" t="str">
        <f>IF(Table1[[#This Row],[Is Data Valid]]=TRUE,_xlfn.NORM.S.DIST(Table1[[#This Row],[Birthweight Z-Score (BW-10%)]],TRUE)*100,"")</f>
        <v/>
      </c>
      <c r="L3132" s="7" t="str">
        <f>IF(Table1[[#This Row],[Is Data Valid]]=TRUE,_xlfn.NORM.S.DIST(Table1[[#This Row],[Birthweight Z-Score (BW+10%)]],TRUE)*100,"")</f>
        <v/>
      </c>
    </row>
    <row r="3133" spans="1:12" x14ac:dyDescent="0.35">
      <c r="A3133" s="3"/>
      <c r="B3133" s="2"/>
      <c r="C3133" s="2"/>
      <c r="D3133" s="2" t="b">
        <f>IF(AND(NOT(ISBLANK(Table1[[#This Row],[Fetal Sex (Male, Female or Unknown)]])),ISNUMBER(Table1[[#This Row],[Birthweight (grams)]]),ISNUMBER(Table1[[#This Row],[Gestation (days)]])),TRUE,FALSE)</f>
        <v>0</v>
      </c>
      <c r="E3133" s="2" t="str">
        <f>IF(Table1[[#This Row],[Is Data Valid]]=TRUE,IF(Table1[[#This Row],[Fetal Sex (Male, Female or Unknown)]]="Male",Backend!$C$6,IF(Table1[[#This Row],[Fetal Sex (Male, Female or Unknown)]]="Female",Backend!$C$7,IF(Table1[[#This Row],[Fetal Sex (Male, Female or Unknown)]]="Unknown",Backend!$C$8,"Error"))),"")</f>
        <v/>
      </c>
      <c r="F3133" s="8" t="str">
        <f>IF(Table1[[#This Row],[Is Data Valid]]=TRUE,EXP(0.578+0.332*((Table1[[#This Row],[Gestation (days)]]+0.5)/7)-0.00354*((Table1[[#This Row],[Gestation (days)]]+0.5)/7)^2)*Table1[[#This Row],[BW40_3705]],"")</f>
        <v/>
      </c>
      <c r="G3133" s="2" t="str">
        <f>IF(Table1[[#This Row],[Is Data Valid]]=TRUE,((Table1[[#This Row],[Birthweight (grams)]]/Table1[[#This Row],[BW_GA]])-1)/(Backend!$B$4/100*Table1[[#This Row],[BW40_3705]]),"")</f>
        <v/>
      </c>
      <c r="H3133" s="7" t="str">
        <f>IF(Table1[[#This Row],[Is Data Valid]]=TRUE,((Table1[[#This Row],[Birthweight (grams)]]*0.9/Table1[[#This Row],[BW_GA]])-1)/(Backend!$B$4/100*Table1[[#This Row],[BW40_3705]]),"")</f>
        <v/>
      </c>
      <c r="I3133" s="7" t="str">
        <f>IF(Table1[[#This Row],[Is Data Valid]]=TRUE,((Table1[[#This Row],[Birthweight (grams)]]*1.1/Table1[[#This Row],[BW_GA]])-1)/(Backend!$B$4/100*Table1[[#This Row],[BW40_3705]]),"")</f>
        <v/>
      </c>
      <c r="J3133" s="7" t="str">
        <f>IF(Table1[[#This Row],[Is Data Valid]]=TRUE,_xlfn.NORM.S.DIST(Table1[[#This Row],[Birthweight Z-Score]],TRUE)*100,"")</f>
        <v/>
      </c>
      <c r="K3133" s="7" t="str">
        <f>IF(Table1[[#This Row],[Is Data Valid]]=TRUE,_xlfn.NORM.S.DIST(Table1[[#This Row],[Birthweight Z-Score (BW-10%)]],TRUE)*100,"")</f>
        <v/>
      </c>
      <c r="L3133" s="7" t="str">
        <f>IF(Table1[[#This Row],[Is Data Valid]]=TRUE,_xlfn.NORM.S.DIST(Table1[[#This Row],[Birthweight Z-Score (BW+10%)]],TRUE)*100,"")</f>
        <v/>
      </c>
    </row>
    <row r="3134" spans="1:12" x14ac:dyDescent="0.35">
      <c r="A3134" s="3"/>
      <c r="B3134" s="2"/>
      <c r="C3134" s="2"/>
      <c r="D3134" s="2" t="b">
        <f>IF(AND(NOT(ISBLANK(Table1[[#This Row],[Fetal Sex (Male, Female or Unknown)]])),ISNUMBER(Table1[[#This Row],[Birthweight (grams)]]),ISNUMBER(Table1[[#This Row],[Gestation (days)]])),TRUE,FALSE)</f>
        <v>0</v>
      </c>
      <c r="E3134" s="2" t="str">
        <f>IF(Table1[[#This Row],[Is Data Valid]]=TRUE,IF(Table1[[#This Row],[Fetal Sex (Male, Female or Unknown)]]="Male",Backend!$C$6,IF(Table1[[#This Row],[Fetal Sex (Male, Female or Unknown)]]="Female",Backend!$C$7,IF(Table1[[#This Row],[Fetal Sex (Male, Female or Unknown)]]="Unknown",Backend!$C$8,"Error"))),"")</f>
        <v/>
      </c>
      <c r="F3134" s="8" t="str">
        <f>IF(Table1[[#This Row],[Is Data Valid]]=TRUE,EXP(0.578+0.332*((Table1[[#This Row],[Gestation (days)]]+0.5)/7)-0.00354*((Table1[[#This Row],[Gestation (days)]]+0.5)/7)^2)*Table1[[#This Row],[BW40_3705]],"")</f>
        <v/>
      </c>
      <c r="G3134" s="2" t="str">
        <f>IF(Table1[[#This Row],[Is Data Valid]]=TRUE,((Table1[[#This Row],[Birthweight (grams)]]/Table1[[#This Row],[BW_GA]])-1)/(Backend!$B$4/100*Table1[[#This Row],[BW40_3705]]),"")</f>
        <v/>
      </c>
      <c r="H3134" s="7" t="str">
        <f>IF(Table1[[#This Row],[Is Data Valid]]=TRUE,((Table1[[#This Row],[Birthweight (grams)]]*0.9/Table1[[#This Row],[BW_GA]])-1)/(Backend!$B$4/100*Table1[[#This Row],[BW40_3705]]),"")</f>
        <v/>
      </c>
      <c r="I3134" s="7" t="str">
        <f>IF(Table1[[#This Row],[Is Data Valid]]=TRUE,((Table1[[#This Row],[Birthweight (grams)]]*1.1/Table1[[#This Row],[BW_GA]])-1)/(Backend!$B$4/100*Table1[[#This Row],[BW40_3705]]),"")</f>
        <v/>
      </c>
      <c r="J3134" s="7" t="str">
        <f>IF(Table1[[#This Row],[Is Data Valid]]=TRUE,_xlfn.NORM.S.DIST(Table1[[#This Row],[Birthweight Z-Score]],TRUE)*100,"")</f>
        <v/>
      </c>
      <c r="K3134" s="7" t="str">
        <f>IF(Table1[[#This Row],[Is Data Valid]]=TRUE,_xlfn.NORM.S.DIST(Table1[[#This Row],[Birthweight Z-Score (BW-10%)]],TRUE)*100,"")</f>
        <v/>
      </c>
      <c r="L3134" s="7" t="str">
        <f>IF(Table1[[#This Row],[Is Data Valid]]=TRUE,_xlfn.NORM.S.DIST(Table1[[#This Row],[Birthweight Z-Score (BW+10%)]],TRUE)*100,"")</f>
        <v/>
      </c>
    </row>
    <row r="3135" spans="1:12" x14ac:dyDescent="0.35">
      <c r="A3135" s="3"/>
      <c r="B3135" s="2"/>
      <c r="C3135" s="2"/>
      <c r="D3135" s="2" t="b">
        <f>IF(AND(NOT(ISBLANK(Table1[[#This Row],[Fetal Sex (Male, Female or Unknown)]])),ISNUMBER(Table1[[#This Row],[Birthweight (grams)]]),ISNUMBER(Table1[[#This Row],[Gestation (days)]])),TRUE,FALSE)</f>
        <v>0</v>
      </c>
      <c r="E3135" s="2" t="str">
        <f>IF(Table1[[#This Row],[Is Data Valid]]=TRUE,IF(Table1[[#This Row],[Fetal Sex (Male, Female or Unknown)]]="Male",Backend!$C$6,IF(Table1[[#This Row],[Fetal Sex (Male, Female or Unknown)]]="Female",Backend!$C$7,IF(Table1[[#This Row],[Fetal Sex (Male, Female or Unknown)]]="Unknown",Backend!$C$8,"Error"))),"")</f>
        <v/>
      </c>
      <c r="F3135" s="8" t="str">
        <f>IF(Table1[[#This Row],[Is Data Valid]]=TRUE,EXP(0.578+0.332*((Table1[[#This Row],[Gestation (days)]]+0.5)/7)-0.00354*((Table1[[#This Row],[Gestation (days)]]+0.5)/7)^2)*Table1[[#This Row],[BW40_3705]],"")</f>
        <v/>
      </c>
      <c r="G3135" s="2" t="str">
        <f>IF(Table1[[#This Row],[Is Data Valid]]=TRUE,((Table1[[#This Row],[Birthweight (grams)]]/Table1[[#This Row],[BW_GA]])-1)/(Backend!$B$4/100*Table1[[#This Row],[BW40_3705]]),"")</f>
        <v/>
      </c>
      <c r="H3135" s="7" t="str">
        <f>IF(Table1[[#This Row],[Is Data Valid]]=TRUE,((Table1[[#This Row],[Birthweight (grams)]]*0.9/Table1[[#This Row],[BW_GA]])-1)/(Backend!$B$4/100*Table1[[#This Row],[BW40_3705]]),"")</f>
        <v/>
      </c>
      <c r="I3135" s="7" t="str">
        <f>IF(Table1[[#This Row],[Is Data Valid]]=TRUE,((Table1[[#This Row],[Birthweight (grams)]]*1.1/Table1[[#This Row],[BW_GA]])-1)/(Backend!$B$4/100*Table1[[#This Row],[BW40_3705]]),"")</f>
        <v/>
      </c>
      <c r="J3135" s="7" t="str">
        <f>IF(Table1[[#This Row],[Is Data Valid]]=TRUE,_xlfn.NORM.S.DIST(Table1[[#This Row],[Birthweight Z-Score]],TRUE)*100,"")</f>
        <v/>
      </c>
      <c r="K3135" s="7" t="str">
        <f>IF(Table1[[#This Row],[Is Data Valid]]=TRUE,_xlfn.NORM.S.DIST(Table1[[#This Row],[Birthweight Z-Score (BW-10%)]],TRUE)*100,"")</f>
        <v/>
      </c>
      <c r="L3135" s="7" t="str">
        <f>IF(Table1[[#This Row],[Is Data Valid]]=TRUE,_xlfn.NORM.S.DIST(Table1[[#This Row],[Birthweight Z-Score (BW+10%)]],TRUE)*100,"")</f>
        <v/>
      </c>
    </row>
    <row r="3136" spans="1:12" x14ac:dyDescent="0.35">
      <c r="A3136" s="3"/>
      <c r="B3136" s="2"/>
      <c r="C3136" s="2"/>
      <c r="D3136" s="2" t="b">
        <f>IF(AND(NOT(ISBLANK(Table1[[#This Row],[Fetal Sex (Male, Female or Unknown)]])),ISNUMBER(Table1[[#This Row],[Birthweight (grams)]]),ISNUMBER(Table1[[#This Row],[Gestation (days)]])),TRUE,FALSE)</f>
        <v>0</v>
      </c>
      <c r="E3136" s="2" t="str">
        <f>IF(Table1[[#This Row],[Is Data Valid]]=TRUE,IF(Table1[[#This Row],[Fetal Sex (Male, Female or Unknown)]]="Male",Backend!$C$6,IF(Table1[[#This Row],[Fetal Sex (Male, Female or Unknown)]]="Female",Backend!$C$7,IF(Table1[[#This Row],[Fetal Sex (Male, Female or Unknown)]]="Unknown",Backend!$C$8,"Error"))),"")</f>
        <v/>
      </c>
      <c r="F3136" s="8" t="str">
        <f>IF(Table1[[#This Row],[Is Data Valid]]=TRUE,EXP(0.578+0.332*((Table1[[#This Row],[Gestation (days)]]+0.5)/7)-0.00354*((Table1[[#This Row],[Gestation (days)]]+0.5)/7)^2)*Table1[[#This Row],[BW40_3705]],"")</f>
        <v/>
      </c>
      <c r="G3136" s="2" t="str">
        <f>IF(Table1[[#This Row],[Is Data Valid]]=TRUE,((Table1[[#This Row],[Birthweight (grams)]]/Table1[[#This Row],[BW_GA]])-1)/(Backend!$B$4/100*Table1[[#This Row],[BW40_3705]]),"")</f>
        <v/>
      </c>
      <c r="H3136" s="7" t="str">
        <f>IF(Table1[[#This Row],[Is Data Valid]]=TRUE,((Table1[[#This Row],[Birthweight (grams)]]*0.9/Table1[[#This Row],[BW_GA]])-1)/(Backend!$B$4/100*Table1[[#This Row],[BW40_3705]]),"")</f>
        <v/>
      </c>
      <c r="I3136" s="7" t="str">
        <f>IF(Table1[[#This Row],[Is Data Valid]]=TRUE,((Table1[[#This Row],[Birthweight (grams)]]*1.1/Table1[[#This Row],[BW_GA]])-1)/(Backend!$B$4/100*Table1[[#This Row],[BW40_3705]]),"")</f>
        <v/>
      </c>
      <c r="J3136" s="7" t="str">
        <f>IF(Table1[[#This Row],[Is Data Valid]]=TRUE,_xlfn.NORM.S.DIST(Table1[[#This Row],[Birthweight Z-Score]],TRUE)*100,"")</f>
        <v/>
      </c>
      <c r="K3136" s="7" t="str">
        <f>IF(Table1[[#This Row],[Is Data Valid]]=TRUE,_xlfn.NORM.S.DIST(Table1[[#This Row],[Birthweight Z-Score (BW-10%)]],TRUE)*100,"")</f>
        <v/>
      </c>
      <c r="L3136" s="7" t="str">
        <f>IF(Table1[[#This Row],[Is Data Valid]]=TRUE,_xlfn.NORM.S.DIST(Table1[[#This Row],[Birthweight Z-Score (BW+10%)]],TRUE)*100,"")</f>
        <v/>
      </c>
    </row>
    <row r="3137" spans="1:12" x14ac:dyDescent="0.35">
      <c r="A3137" s="3"/>
      <c r="B3137" s="2"/>
      <c r="C3137" s="2"/>
      <c r="D3137" s="2" t="b">
        <f>IF(AND(NOT(ISBLANK(Table1[[#This Row],[Fetal Sex (Male, Female or Unknown)]])),ISNUMBER(Table1[[#This Row],[Birthweight (grams)]]),ISNUMBER(Table1[[#This Row],[Gestation (days)]])),TRUE,FALSE)</f>
        <v>0</v>
      </c>
      <c r="E3137" s="2" t="str">
        <f>IF(Table1[[#This Row],[Is Data Valid]]=TRUE,IF(Table1[[#This Row],[Fetal Sex (Male, Female or Unknown)]]="Male",Backend!$C$6,IF(Table1[[#This Row],[Fetal Sex (Male, Female or Unknown)]]="Female",Backend!$C$7,IF(Table1[[#This Row],[Fetal Sex (Male, Female or Unknown)]]="Unknown",Backend!$C$8,"Error"))),"")</f>
        <v/>
      </c>
      <c r="F3137" s="8" t="str">
        <f>IF(Table1[[#This Row],[Is Data Valid]]=TRUE,EXP(0.578+0.332*((Table1[[#This Row],[Gestation (days)]]+0.5)/7)-0.00354*((Table1[[#This Row],[Gestation (days)]]+0.5)/7)^2)*Table1[[#This Row],[BW40_3705]],"")</f>
        <v/>
      </c>
      <c r="G3137" s="2" t="str">
        <f>IF(Table1[[#This Row],[Is Data Valid]]=TRUE,((Table1[[#This Row],[Birthweight (grams)]]/Table1[[#This Row],[BW_GA]])-1)/(Backend!$B$4/100*Table1[[#This Row],[BW40_3705]]),"")</f>
        <v/>
      </c>
      <c r="H3137" s="7" t="str">
        <f>IF(Table1[[#This Row],[Is Data Valid]]=TRUE,((Table1[[#This Row],[Birthweight (grams)]]*0.9/Table1[[#This Row],[BW_GA]])-1)/(Backend!$B$4/100*Table1[[#This Row],[BW40_3705]]),"")</f>
        <v/>
      </c>
      <c r="I3137" s="7" t="str">
        <f>IF(Table1[[#This Row],[Is Data Valid]]=TRUE,((Table1[[#This Row],[Birthweight (grams)]]*1.1/Table1[[#This Row],[BW_GA]])-1)/(Backend!$B$4/100*Table1[[#This Row],[BW40_3705]]),"")</f>
        <v/>
      </c>
      <c r="J3137" s="7" t="str">
        <f>IF(Table1[[#This Row],[Is Data Valid]]=TRUE,_xlfn.NORM.S.DIST(Table1[[#This Row],[Birthweight Z-Score]],TRUE)*100,"")</f>
        <v/>
      </c>
      <c r="K3137" s="7" t="str">
        <f>IF(Table1[[#This Row],[Is Data Valid]]=TRUE,_xlfn.NORM.S.DIST(Table1[[#This Row],[Birthweight Z-Score (BW-10%)]],TRUE)*100,"")</f>
        <v/>
      </c>
      <c r="L3137" s="7" t="str">
        <f>IF(Table1[[#This Row],[Is Data Valid]]=TRUE,_xlfn.NORM.S.DIST(Table1[[#This Row],[Birthweight Z-Score (BW+10%)]],TRUE)*100,"")</f>
        <v/>
      </c>
    </row>
    <row r="3138" spans="1:12" x14ac:dyDescent="0.35">
      <c r="A3138" s="3"/>
      <c r="B3138" s="2"/>
      <c r="C3138" s="2"/>
      <c r="D3138" s="2" t="b">
        <f>IF(AND(NOT(ISBLANK(Table1[[#This Row],[Fetal Sex (Male, Female or Unknown)]])),ISNUMBER(Table1[[#This Row],[Birthweight (grams)]]),ISNUMBER(Table1[[#This Row],[Gestation (days)]])),TRUE,FALSE)</f>
        <v>0</v>
      </c>
      <c r="E3138" s="2" t="str">
        <f>IF(Table1[[#This Row],[Is Data Valid]]=TRUE,IF(Table1[[#This Row],[Fetal Sex (Male, Female or Unknown)]]="Male",Backend!$C$6,IF(Table1[[#This Row],[Fetal Sex (Male, Female or Unknown)]]="Female",Backend!$C$7,IF(Table1[[#This Row],[Fetal Sex (Male, Female or Unknown)]]="Unknown",Backend!$C$8,"Error"))),"")</f>
        <v/>
      </c>
      <c r="F3138" s="8" t="str">
        <f>IF(Table1[[#This Row],[Is Data Valid]]=TRUE,EXP(0.578+0.332*((Table1[[#This Row],[Gestation (days)]]+0.5)/7)-0.00354*((Table1[[#This Row],[Gestation (days)]]+0.5)/7)^2)*Table1[[#This Row],[BW40_3705]],"")</f>
        <v/>
      </c>
      <c r="G3138" s="2" t="str">
        <f>IF(Table1[[#This Row],[Is Data Valid]]=TRUE,((Table1[[#This Row],[Birthweight (grams)]]/Table1[[#This Row],[BW_GA]])-1)/(Backend!$B$4/100*Table1[[#This Row],[BW40_3705]]),"")</f>
        <v/>
      </c>
      <c r="H3138" s="7" t="str">
        <f>IF(Table1[[#This Row],[Is Data Valid]]=TRUE,((Table1[[#This Row],[Birthweight (grams)]]*0.9/Table1[[#This Row],[BW_GA]])-1)/(Backend!$B$4/100*Table1[[#This Row],[BW40_3705]]),"")</f>
        <v/>
      </c>
      <c r="I3138" s="7" t="str">
        <f>IF(Table1[[#This Row],[Is Data Valid]]=TRUE,((Table1[[#This Row],[Birthweight (grams)]]*1.1/Table1[[#This Row],[BW_GA]])-1)/(Backend!$B$4/100*Table1[[#This Row],[BW40_3705]]),"")</f>
        <v/>
      </c>
      <c r="J3138" s="7" t="str">
        <f>IF(Table1[[#This Row],[Is Data Valid]]=TRUE,_xlfn.NORM.S.DIST(Table1[[#This Row],[Birthweight Z-Score]],TRUE)*100,"")</f>
        <v/>
      </c>
      <c r="K3138" s="7" t="str">
        <f>IF(Table1[[#This Row],[Is Data Valid]]=TRUE,_xlfn.NORM.S.DIST(Table1[[#This Row],[Birthweight Z-Score (BW-10%)]],TRUE)*100,"")</f>
        <v/>
      </c>
      <c r="L3138" s="7" t="str">
        <f>IF(Table1[[#This Row],[Is Data Valid]]=TRUE,_xlfn.NORM.S.DIST(Table1[[#This Row],[Birthweight Z-Score (BW+10%)]],TRUE)*100,"")</f>
        <v/>
      </c>
    </row>
    <row r="3139" spans="1:12" x14ac:dyDescent="0.35">
      <c r="A3139" s="3"/>
      <c r="B3139" s="2"/>
      <c r="C3139" s="2"/>
      <c r="D3139" s="2" t="b">
        <f>IF(AND(NOT(ISBLANK(Table1[[#This Row],[Fetal Sex (Male, Female or Unknown)]])),ISNUMBER(Table1[[#This Row],[Birthweight (grams)]]),ISNUMBER(Table1[[#This Row],[Gestation (days)]])),TRUE,FALSE)</f>
        <v>0</v>
      </c>
      <c r="E3139" s="2" t="str">
        <f>IF(Table1[[#This Row],[Is Data Valid]]=TRUE,IF(Table1[[#This Row],[Fetal Sex (Male, Female or Unknown)]]="Male",Backend!$C$6,IF(Table1[[#This Row],[Fetal Sex (Male, Female or Unknown)]]="Female",Backend!$C$7,IF(Table1[[#This Row],[Fetal Sex (Male, Female or Unknown)]]="Unknown",Backend!$C$8,"Error"))),"")</f>
        <v/>
      </c>
      <c r="F3139" s="8" t="str">
        <f>IF(Table1[[#This Row],[Is Data Valid]]=TRUE,EXP(0.578+0.332*((Table1[[#This Row],[Gestation (days)]]+0.5)/7)-0.00354*((Table1[[#This Row],[Gestation (days)]]+0.5)/7)^2)*Table1[[#This Row],[BW40_3705]],"")</f>
        <v/>
      </c>
      <c r="G3139" s="2" t="str">
        <f>IF(Table1[[#This Row],[Is Data Valid]]=TRUE,((Table1[[#This Row],[Birthweight (grams)]]/Table1[[#This Row],[BW_GA]])-1)/(Backend!$B$4/100*Table1[[#This Row],[BW40_3705]]),"")</f>
        <v/>
      </c>
      <c r="H3139" s="7" t="str">
        <f>IF(Table1[[#This Row],[Is Data Valid]]=TRUE,((Table1[[#This Row],[Birthweight (grams)]]*0.9/Table1[[#This Row],[BW_GA]])-1)/(Backend!$B$4/100*Table1[[#This Row],[BW40_3705]]),"")</f>
        <v/>
      </c>
      <c r="I3139" s="7" t="str">
        <f>IF(Table1[[#This Row],[Is Data Valid]]=TRUE,((Table1[[#This Row],[Birthweight (grams)]]*1.1/Table1[[#This Row],[BW_GA]])-1)/(Backend!$B$4/100*Table1[[#This Row],[BW40_3705]]),"")</f>
        <v/>
      </c>
      <c r="J3139" s="7" t="str">
        <f>IF(Table1[[#This Row],[Is Data Valid]]=TRUE,_xlfn.NORM.S.DIST(Table1[[#This Row],[Birthweight Z-Score]],TRUE)*100,"")</f>
        <v/>
      </c>
      <c r="K3139" s="7" t="str">
        <f>IF(Table1[[#This Row],[Is Data Valid]]=TRUE,_xlfn.NORM.S.DIST(Table1[[#This Row],[Birthweight Z-Score (BW-10%)]],TRUE)*100,"")</f>
        <v/>
      </c>
      <c r="L3139" s="7" t="str">
        <f>IF(Table1[[#This Row],[Is Data Valid]]=TRUE,_xlfn.NORM.S.DIST(Table1[[#This Row],[Birthweight Z-Score (BW+10%)]],TRUE)*100,"")</f>
        <v/>
      </c>
    </row>
    <row r="3140" spans="1:12" x14ac:dyDescent="0.35">
      <c r="A3140" s="3"/>
      <c r="B3140" s="2"/>
      <c r="C3140" s="2"/>
      <c r="D3140" s="2" t="b">
        <f>IF(AND(NOT(ISBLANK(Table1[[#This Row],[Fetal Sex (Male, Female or Unknown)]])),ISNUMBER(Table1[[#This Row],[Birthweight (grams)]]),ISNUMBER(Table1[[#This Row],[Gestation (days)]])),TRUE,FALSE)</f>
        <v>0</v>
      </c>
      <c r="E3140" s="2" t="str">
        <f>IF(Table1[[#This Row],[Is Data Valid]]=TRUE,IF(Table1[[#This Row],[Fetal Sex (Male, Female or Unknown)]]="Male",Backend!$C$6,IF(Table1[[#This Row],[Fetal Sex (Male, Female or Unknown)]]="Female",Backend!$C$7,IF(Table1[[#This Row],[Fetal Sex (Male, Female or Unknown)]]="Unknown",Backend!$C$8,"Error"))),"")</f>
        <v/>
      </c>
      <c r="F3140" s="8" t="str">
        <f>IF(Table1[[#This Row],[Is Data Valid]]=TRUE,EXP(0.578+0.332*((Table1[[#This Row],[Gestation (days)]]+0.5)/7)-0.00354*((Table1[[#This Row],[Gestation (days)]]+0.5)/7)^2)*Table1[[#This Row],[BW40_3705]],"")</f>
        <v/>
      </c>
      <c r="G3140" s="2" t="str">
        <f>IF(Table1[[#This Row],[Is Data Valid]]=TRUE,((Table1[[#This Row],[Birthweight (grams)]]/Table1[[#This Row],[BW_GA]])-1)/(Backend!$B$4/100*Table1[[#This Row],[BW40_3705]]),"")</f>
        <v/>
      </c>
      <c r="H3140" s="7" t="str">
        <f>IF(Table1[[#This Row],[Is Data Valid]]=TRUE,((Table1[[#This Row],[Birthweight (grams)]]*0.9/Table1[[#This Row],[BW_GA]])-1)/(Backend!$B$4/100*Table1[[#This Row],[BW40_3705]]),"")</f>
        <v/>
      </c>
      <c r="I3140" s="7" t="str">
        <f>IF(Table1[[#This Row],[Is Data Valid]]=TRUE,((Table1[[#This Row],[Birthweight (grams)]]*1.1/Table1[[#This Row],[BW_GA]])-1)/(Backend!$B$4/100*Table1[[#This Row],[BW40_3705]]),"")</f>
        <v/>
      </c>
      <c r="J3140" s="7" t="str">
        <f>IF(Table1[[#This Row],[Is Data Valid]]=TRUE,_xlfn.NORM.S.DIST(Table1[[#This Row],[Birthweight Z-Score]],TRUE)*100,"")</f>
        <v/>
      </c>
      <c r="K3140" s="7" t="str">
        <f>IF(Table1[[#This Row],[Is Data Valid]]=TRUE,_xlfn.NORM.S.DIST(Table1[[#This Row],[Birthweight Z-Score (BW-10%)]],TRUE)*100,"")</f>
        <v/>
      </c>
      <c r="L3140" s="7" t="str">
        <f>IF(Table1[[#This Row],[Is Data Valid]]=TRUE,_xlfn.NORM.S.DIST(Table1[[#This Row],[Birthweight Z-Score (BW+10%)]],TRUE)*100,"")</f>
        <v/>
      </c>
    </row>
    <row r="3141" spans="1:12" x14ac:dyDescent="0.35">
      <c r="A3141" s="3"/>
      <c r="B3141" s="2"/>
      <c r="C3141" s="2"/>
      <c r="D3141" s="2" t="b">
        <f>IF(AND(NOT(ISBLANK(Table1[[#This Row],[Fetal Sex (Male, Female or Unknown)]])),ISNUMBER(Table1[[#This Row],[Birthweight (grams)]]),ISNUMBER(Table1[[#This Row],[Gestation (days)]])),TRUE,FALSE)</f>
        <v>0</v>
      </c>
      <c r="E3141" s="2" t="str">
        <f>IF(Table1[[#This Row],[Is Data Valid]]=TRUE,IF(Table1[[#This Row],[Fetal Sex (Male, Female or Unknown)]]="Male",Backend!$C$6,IF(Table1[[#This Row],[Fetal Sex (Male, Female or Unknown)]]="Female",Backend!$C$7,IF(Table1[[#This Row],[Fetal Sex (Male, Female or Unknown)]]="Unknown",Backend!$C$8,"Error"))),"")</f>
        <v/>
      </c>
      <c r="F3141" s="8" t="str">
        <f>IF(Table1[[#This Row],[Is Data Valid]]=TRUE,EXP(0.578+0.332*((Table1[[#This Row],[Gestation (days)]]+0.5)/7)-0.00354*((Table1[[#This Row],[Gestation (days)]]+0.5)/7)^2)*Table1[[#This Row],[BW40_3705]],"")</f>
        <v/>
      </c>
      <c r="G3141" s="2" t="str">
        <f>IF(Table1[[#This Row],[Is Data Valid]]=TRUE,((Table1[[#This Row],[Birthweight (grams)]]/Table1[[#This Row],[BW_GA]])-1)/(Backend!$B$4/100*Table1[[#This Row],[BW40_3705]]),"")</f>
        <v/>
      </c>
      <c r="H3141" s="7" t="str">
        <f>IF(Table1[[#This Row],[Is Data Valid]]=TRUE,((Table1[[#This Row],[Birthweight (grams)]]*0.9/Table1[[#This Row],[BW_GA]])-1)/(Backend!$B$4/100*Table1[[#This Row],[BW40_3705]]),"")</f>
        <v/>
      </c>
      <c r="I3141" s="7" t="str">
        <f>IF(Table1[[#This Row],[Is Data Valid]]=TRUE,((Table1[[#This Row],[Birthweight (grams)]]*1.1/Table1[[#This Row],[BW_GA]])-1)/(Backend!$B$4/100*Table1[[#This Row],[BW40_3705]]),"")</f>
        <v/>
      </c>
      <c r="J3141" s="7" t="str">
        <f>IF(Table1[[#This Row],[Is Data Valid]]=TRUE,_xlfn.NORM.S.DIST(Table1[[#This Row],[Birthweight Z-Score]],TRUE)*100,"")</f>
        <v/>
      </c>
      <c r="K3141" s="7" t="str">
        <f>IF(Table1[[#This Row],[Is Data Valid]]=TRUE,_xlfn.NORM.S.DIST(Table1[[#This Row],[Birthweight Z-Score (BW-10%)]],TRUE)*100,"")</f>
        <v/>
      </c>
      <c r="L3141" s="7" t="str">
        <f>IF(Table1[[#This Row],[Is Data Valid]]=TRUE,_xlfn.NORM.S.DIST(Table1[[#This Row],[Birthweight Z-Score (BW+10%)]],TRUE)*100,"")</f>
        <v/>
      </c>
    </row>
    <row r="3142" spans="1:12" x14ac:dyDescent="0.35">
      <c r="A3142" s="3"/>
      <c r="B3142" s="2"/>
      <c r="C3142" s="2"/>
      <c r="D3142" s="2" t="b">
        <f>IF(AND(NOT(ISBLANK(Table1[[#This Row],[Fetal Sex (Male, Female or Unknown)]])),ISNUMBER(Table1[[#This Row],[Birthweight (grams)]]),ISNUMBER(Table1[[#This Row],[Gestation (days)]])),TRUE,FALSE)</f>
        <v>0</v>
      </c>
      <c r="E3142" s="2" t="str">
        <f>IF(Table1[[#This Row],[Is Data Valid]]=TRUE,IF(Table1[[#This Row],[Fetal Sex (Male, Female or Unknown)]]="Male",Backend!$C$6,IF(Table1[[#This Row],[Fetal Sex (Male, Female or Unknown)]]="Female",Backend!$C$7,IF(Table1[[#This Row],[Fetal Sex (Male, Female or Unknown)]]="Unknown",Backend!$C$8,"Error"))),"")</f>
        <v/>
      </c>
      <c r="F3142" s="8" t="str">
        <f>IF(Table1[[#This Row],[Is Data Valid]]=TRUE,EXP(0.578+0.332*((Table1[[#This Row],[Gestation (days)]]+0.5)/7)-0.00354*((Table1[[#This Row],[Gestation (days)]]+0.5)/7)^2)*Table1[[#This Row],[BW40_3705]],"")</f>
        <v/>
      </c>
      <c r="G3142" s="2" t="str">
        <f>IF(Table1[[#This Row],[Is Data Valid]]=TRUE,((Table1[[#This Row],[Birthweight (grams)]]/Table1[[#This Row],[BW_GA]])-1)/(Backend!$B$4/100*Table1[[#This Row],[BW40_3705]]),"")</f>
        <v/>
      </c>
      <c r="H3142" s="7" t="str">
        <f>IF(Table1[[#This Row],[Is Data Valid]]=TRUE,((Table1[[#This Row],[Birthweight (grams)]]*0.9/Table1[[#This Row],[BW_GA]])-1)/(Backend!$B$4/100*Table1[[#This Row],[BW40_3705]]),"")</f>
        <v/>
      </c>
      <c r="I3142" s="7" t="str">
        <f>IF(Table1[[#This Row],[Is Data Valid]]=TRUE,((Table1[[#This Row],[Birthweight (grams)]]*1.1/Table1[[#This Row],[BW_GA]])-1)/(Backend!$B$4/100*Table1[[#This Row],[BW40_3705]]),"")</f>
        <v/>
      </c>
      <c r="J3142" s="7" t="str">
        <f>IF(Table1[[#This Row],[Is Data Valid]]=TRUE,_xlfn.NORM.S.DIST(Table1[[#This Row],[Birthweight Z-Score]],TRUE)*100,"")</f>
        <v/>
      </c>
      <c r="K3142" s="7" t="str">
        <f>IF(Table1[[#This Row],[Is Data Valid]]=TRUE,_xlfn.NORM.S.DIST(Table1[[#This Row],[Birthweight Z-Score (BW-10%)]],TRUE)*100,"")</f>
        <v/>
      </c>
      <c r="L3142" s="7" t="str">
        <f>IF(Table1[[#This Row],[Is Data Valid]]=TRUE,_xlfn.NORM.S.DIST(Table1[[#This Row],[Birthweight Z-Score (BW+10%)]],TRUE)*100,"")</f>
        <v/>
      </c>
    </row>
    <row r="3143" spans="1:12" x14ac:dyDescent="0.35">
      <c r="A3143" s="3"/>
      <c r="B3143" s="2"/>
      <c r="C3143" s="2"/>
      <c r="D3143" s="2" t="b">
        <f>IF(AND(NOT(ISBLANK(Table1[[#This Row],[Fetal Sex (Male, Female or Unknown)]])),ISNUMBER(Table1[[#This Row],[Birthweight (grams)]]),ISNUMBER(Table1[[#This Row],[Gestation (days)]])),TRUE,FALSE)</f>
        <v>0</v>
      </c>
      <c r="E3143" s="2" t="str">
        <f>IF(Table1[[#This Row],[Is Data Valid]]=TRUE,IF(Table1[[#This Row],[Fetal Sex (Male, Female or Unknown)]]="Male",Backend!$C$6,IF(Table1[[#This Row],[Fetal Sex (Male, Female or Unknown)]]="Female",Backend!$C$7,IF(Table1[[#This Row],[Fetal Sex (Male, Female or Unknown)]]="Unknown",Backend!$C$8,"Error"))),"")</f>
        <v/>
      </c>
      <c r="F3143" s="8" t="str">
        <f>IF(Table1[[#This Row],[Is Data Valid]]=TRUE,EXP(0.578+0.332*((Table1[[#This Row],[Gestation (days)]]+0.5)/7)-0.00354*((Table1[[#This Row],[Gestation (days)]]+0.5)/7)^2)*Table1[[#This Row],[BW40_3705]],"")</f>
        <v/>
      </c>
      <c r="G3143" s="2" t="str">
        <f>IF(Table1[[#This Row],[Is Data Valid]]=TRUE,((Table1[[#This Row],[Birthweight (grams)]]/Table1[[#This Row],[BW_GA]])-1)/(Backend!$B$4/100*Table1[[#This Row],[BW40_3705]]),"")</f>
        <v/>
      </c>
      <c r="H3143" s="7" t="str">
        <f>IF(Table1[[#This Row],[Is Data Valid]]=TRUE,((Table1[[#This Row],[Birthweight (grams)]]*0.9/Table1[[#This Row],[BW_GA]])-1)/(Backend!$B$4/100*Table1[[#This Row],[BW40_3705]]),"")</f>
        <v/>
      </c>
      <c r="I3143" s="7" t="str">
        <f>IF(Table1[[#This Row],[Is Data Valid]]=TRUE,((Table1[[#This Row],[Birthweight (grams)]]*1.1/Table1[[#This Row],[BW_GA]])-1)/(Backend!$B$4/100*Table1[[#This Row],[BW40_3705]]),"")</f>
        <v/>
      </c>
      <c r="J3143" s="7" t="str">
        <f>IF(Table1[[#This Row],[Is Data Valid]]=TRUE,_xlfn.NORM.S.DIST(Table1[[#This Row],[Birthweight Z-Score]],TRUE)*100,"")</f>
        <v/>
      </c>
      <c r="K3143" s="7" t="str">
        <f>IF(Table1[[#This Row],[Is Data Valid]]=TRUE,_xlfn.NORM.S.DIST(Table1[[#This Row],[Birthweight Z-Score (BW-10%)]],TRUE)*100,"")</f>
        <v/>
      </c>
      <c r="L3143" s="7" t="str">
        <f>IF(Table1[[#This Row],[Is Data Valid]]=TRUE,_xlfn.NORM.S.DIST(Table1[[#This Row],[Birthweight Z-Score (BW+10%)]],TRUE)*100,"")</f>
        <v/>
      </c>
    </row>
    <row r="3144" spans="1:12" x14ac:dyDescent="0.35">
      <c r="A3144" s="3"/>
      <c r="B3144" s="2"/>
      <c r="C3144" s="2"/>
      <c r="D3144" s="2" t="b">
        <f>IF(AND(NOT(ISBLANK(Table1[[#This Row],[Fetal Sex (Male, Female or Unknown)]])),ISNUMBER(Table1[[#This Row],[Birthweight (grams)]]),ISNUMBER(Table1[[#This Row],[Gestation (days)]])),TRUE,FALSE)</f>
        <v>0</v>
      </c>
      <c r="E3144" s="2" t="str">
        <f>IF(Table1[[#This Row],[Is Data Valid]]=TRUE,IF(Table1[[#This Row],[Fetal Sex (Male, Female or Unknown)]]="Male",Backend!$C$6,IF(Table1[[#This Row],[Fetal Sex (Male, Female or Unknown)]]="Female",Backend!$C$7,IF(Table1[[#This Row],[Fetal Sex (Male, Female or Unknown)]]="Unknown",Backend!$C$8,"Error"))),"")</f>
        <v/>
      </c>
      <c r="F3144" s="8" t="str">
        <f>IF(Table1[[#This Row],[Is Data Valid]]=TRUE,EXP(0.578+0.332*((Table1[[#This Row],[Gestation (days)]]+0.5)/7)-0.00354*((Table1[[#This Row],[Gestation (days)]]+0.5)/7)^2)*Table1[[#This Row],[BW40_3705]],"")</f>
        <v/>
      </c>
      <c r="G3144" s="2" t="str">
        <f>IF(Table1[[#This Row],[Is Data Valid]]=TRUE,((Table1[[#This Row],[Birthweight (grams)]]/Table1[[#This Row],[BW_GA]])-1)/(Backend!$B$4/100*Table1[[#This Row],[BW40_3705]]),"")</f>
        <v/>
      </c>
      <c r="H3144" s="7" t="str">
        <f>IF(Table1[[#This Row],[Is Data Valid]]=TRUE,((Table1[[#This Row],[Birthweight (grams)]]*0.9/Table1[[#This Row],[BW_GA]])-1)/(Backend!$B$4/100*Table1[[#This Row],[BW40_3705]]),"")</f>
        <v/>
      </c>
      <c r="I3144" s="7" t="str">
        <f>IF(Table1[[#This Row],[Is Data Valid]]=TRUE,((Table1[[#This Row],[Birthweight (grams)]]*1.1/Table1[[#This Row],[BW_GA]])-1)/(Backend!$B$4/100*Table1[[#This Row],[BW40_3705]]),"")</f>
        <v/>
      </c>
      <c r="J3144" s="7" t="str">
        <f>IF(Table1[[#This Row],[Is Data Valid]]=TRUE,_xlfn.NORM.S.DIST(Table1[[#This Row],[Birthweight Z-Score]],TRUE)*100,"")</f>
        <v/>
      </c>
      <c r="K3144" s="7" t="str">
        <f>IF(Table1[[#This Row],[Is Data Valid]]=TRUE,_xlfn.NORM.S.DIST(Table1[[#This Row],[Birthweight Z-Score (BW-10%)]],TRUE)*100,"")</f>
        <v/>
      </c>
      <c r="L3144" s="7" t="str">
        <f>IF(Table1[[#This Row],[Is Data Valid]]=TRUE,_xlfn.NORM.S.DIST(Table1[[#This Row],[Birthweight Z-Score (BW+10%)]],TRUE)*100,"")</f>
        <v/>
      </c>
    </row>
    <row r="3145" spans="1:12" x14ac:dyDescent="0.35">
      <c r="A3145" s="3"/>
      <c r="B3145" s="2"/>
      <c r="C3145" s="2"/>
      <c r="D3145" s="2" t="b">
        <f>IF(AND(NOT(ISBLANK(Table1[[#This Row],[Fetal Sex (Male, Female or Unknown)]])),ISNUMBER(Table1[[#This Row],[Birthweight (grams)]]),ISNUMBER(Table1[[#This Row],[Gestation (days)]])),TRUE,FALSE)</f>
        <v>0</v>
      </c>
      <c r="E3145" s="2" t="str">
        <f>IF(Table1[[#This Row],[Is Data Valid]]=TRUE,IF(Table1[[#This Row],[Fetal Sex (Male, Female or Unknown)]]="Male",Backend!$C$6,IF(Table1[[#This Row],[Fetal Sex (Male, Female or Unknown)]]="Female",Backend!$C$7,IF(Table1[[#This Row],[Fetal Sex (Male, Female or Unknown)]]="Unknown",Backend!$C$8,"Error"))),"")</f>
        <v/>
      </c>
      <c r="F3145" s="8" t="str">
        <f>IF(Table1[[#This Row],[Is Data Valid]]=TRUE,EXP(0.578+0.332*((Table1[[#This Row],[Gestation (days)]]+0.5)/7)-0.00354*((Table1[[#This Row],[Gestation (days)]]+0.5)/7)^2)*Table1[[#This Row],[BW40_3705]],"")</f>
        <v/>
      </c>
      <c r="G3145" s="2" t="str">
        <f>IF(Table1[[#This Row],[Is Data Valid]]=TRUE,((Table1[[#This Row],[Birthweight (grams)]]/Table1[[#This Row],[BW_GA]])-1)/(Backend!$B$4/100*Table1[[#This Row],[BW40_3705]]),"")</f>
        <v/>
      </c>
      <c r="H3145" s="7" t="str">
        <f>IF(Table1[[#This Row],[Is Data Valid]]=TRUE,((Table1[[#This Row],[Birthweight (grams)]]*0.9/Table1[[#This Row],[BW_GA]])-1)/(Backend!$B$4/100*Table1[[#This Row],[BW40_3705]]),"")</f>
        <v/>
      </c>
      <c r="I3145" s="7" t="str">
        <f>IF(Table1[[#This Row],[Is Data Valid]]=TRUE,((Table1[[#This Row],[Birthweight (grams)]]*1.1/Table1[[#This Row],[BW_GA]])-1)/(Backend!$B$4/100*Table1[[#This Row],[BW40_3705]]),"")</f>
        <v/>
      </c>
      <c r="J3145" s="7" t="str">
        <f>IF(Table1[[#This Row],[Is Data Valid]]=TRUE,_xlfn.NORM.S.DIST(Table1[[#This Row],[Birthweight Z-Score]],TRUE)*100,"")</f>
        <v/>
      </c>
      <c r="K3145" s="7" t="str">
        <f>IF(Table1[[#This Row],[Is Data Valid]]=TRUE,_xlfn.NORM.S.DIST(Table1[[#This Row],[Birthweight Z-Score (BW-10%)]],TRUE)*100,"")</f>
        <v/>
      </c>
      <c r="L3145" s="7" t="str">
        <f>IF(Table1[[#This Row],[Is Data Valid]]=TRUE,_xlfn.NORM.S.DIST(Table1[[#This Row],[Birthweight Z-Score (BW+10%)]],TRUE)*100,"")</f>
        <v/>
      </c>
    </row>
    <row r="3146" spans="1:12" x14ac:dyDescent="0.35">
      <c r="A3146" s="3"/>
      <c r="B3146" s="2"/>
      <c r="C3146" s="2"/>
      <c r="D3146" s="2" t="b">
        <f>IF(AND(NOT(ISBLANK(Table1[[#This Row],[Fetal Sex (Male, Female or Unknown)]])),ISNUMBER(Table1[[#This Row],[Birthweight (grams)]]),ISNUMBER(Table1[[#This Row],[Gestation (days)]])),TRUE,FALSE)</f>
        <v>0</v>
      </c>
      <c r="E3146" s="2" t="str">
        <f>IF(Table1[[#This Row],[Is Data Valid]]=TRUE,IF(Table1[[#This Row],[Fetal Sex (Male, Female or Unknown)]]="Male",Backend!$C$6,IF(Table1[[#This Row],[Fetal Sex (Male, Female or Unknown)]]="Female",Backend!$C$7,IF(Table1[[#This Row],[Fetal Sex (Male, Female or Unknown)]]="Unknown",Backend!$C$8,"Error"))),"")</f>
        <v/>
      </c>
      <c r="F3146" s="8" t="str">
        <f>IF(Table1[[#This Row],[Is Data Valid]]=TRUE,EXP(0.578+0.332*((Table1[[#This Row],[Gestation (days)]]+0.5)/7)-0.00354*((Table1[[#This Row],[Gestation (days)]]+0.5)/7)^2)*Table1[[#This Row],[BW40_3705]],"")</f>
        <v/>
      </c>
      <c r="G3146" s="2" t="str">
        <f>IF(Table1[[#This Row],[Is Data Valid]]=TRUE,((Table1[[#This Row],[Birthweight (grams)]]/Table1[[#This Row],[BW_GA]])-1)/(Backend!$B$4/100*Table1[[#This Row],[BW40_3705]]),"")</f>
        <v/>
      </c>
      <c r="H3146" s="7" t="str">
        <f>IF(Table1[[#This Row],[Is Data Valid]]=TRUE,((Table1[[#This Row],[Birthweight (grams)]]*0.9/Table1[[#This Row],[BW_GA]])-1)/(Backend!$B$4/100*Table1[[#This Row],[BW40_3705]]),"")</f>
        <v/>
      </c>
      <c r="I3146" s="7" t="str">
        <f>IF(Table1[[#This Row],[Is Data Valid]]=TRUE,((Table1[[#This Row],[Birthweight (grams)]]*1.1/Table1[[#This Row],[BW_GA]])-1)/(Backend!$B$4/100*Table1[[#This Row],[BW40_3705]]),"")</f>
        <v/>
      </c>
      <c r="J3146" s="7" t="str">
        <f>IF(Table1[[#This Row],[Is Data Valid]]=TRUE,_xlfn.NORM.S.DIST(Table1[[#This Row],[Birthweight Z-Score]],TRUE)*100,"")</f>
        <v/>
      </c>
      <c r="K3146" s="7" t="str">
        <f>IF(Table1[[#This Row],[Is Data Valid]]=TRUE,_xlfn.NORM.S.DIST(Table1[[#This Row],[Birthweight Z-Score (BW-10%)]],TRUE)*100,"")</f>
        <v/>
      </c>
      <c r="L3146" s="7" t="str">
        <f>IF(Table1[[#This Row],[Is Data Valid]]=TRUE,_xlfn.NORM.S.DIST(Table1[[#This Row],[Birthweight Z-Score (BW+10%)]],TRUE)*100,"")</f>
        <v/>
      </c>
    </row>
    <row r="3147" spans="1:12" x14ac:dyDescent="0.35">
      <c r="A3147" s="3"/>
      <c r="B3147" s="2"/>
      <c r="C3147" s="2"/>
      <c r="D3147" s="2" t="b">
        <f>IF(AND(NOT(ISBLANK(Table1[[#This Row],[Fetal Sex (Male, Female or Unknown)]])),ISNUMBER(Table1[[#This Row],[Birthweight (grams)]]),ISNUMBER(Table1[[#This Row],[Gestation (days)]])),TRUE,FALSE)</f>
        <v>0</v>
      </c>
      <c r="E3147" s="2" t="str">
        <f>IF(Table1[[#This Row],[Is Data Valid]]=TRUE,IF(Table1[[#This Row],[Fetal Sex (Male, Female or Unknown)]]="Male",Backend!$C$6,IF(Table1[[#This Row],[Fetal Sex (Male, Female or Unknown)]]="Female",Backend!$C$7,IF(Table1[[#This Row],[Fetal Sex (Male, Female or Unknown)]]="Unknown",Backend!$C$8,"Error"))),"")</f>
        <v/>
      </c>
      <c r="F3147" s="8" t="str">
        <f>IF(Table1[[#This Row],[Is Data Valid]]=TRUE,EXP(0.578+0.332*((Table1[[#This Row],[Gestation (days)]]+0.5)/7)-0.00354*((Table1[[#This Row],[Gestation (days)]]+0.5)/7)^2)*Table1[[#This Row],[BW40_3705]],"")</f>
        <v/>
      </c>
      <c r="G3147" s="2" t="str">
        <f>IF(Table1[[#This Row],[Is Data Valid]]=TRUE,((Table1[[#This Row],[Birthweight (grams)]]/Table1[[#This Row],[BW_GA]])-1)/(Backend!$B$4/100*Table1[[#This Row],[BW40_3705]]),"")</f>
        <v/>
      </c>
      <c r="H3147" s="7" t="str">
        <f>IF(Table1[[#This Row],[Is Data Valid]]=TRUE,((Table1[[#This Row],[Birthweight (grams)]]*0.9/Table1[[#This Row],[BW_GA]])-1)/(Backend!$B$4/100*Table1[[#This Row],[BW40_3705]]),"")</f>
        <v/>
      </c>
      <c r="I3147" s="7" t="str">
        <f>IF(Table1[[#This Row],[Is Data Valid]]=TRUE,((Table1[[#This Row],[Birthweight (grams)]]*1.1/Table1[[#This Row],[BW_GA]])-1)/(Backend!$B$4/100*Table1[[#This Row],[BW40_3705]]),"")</f>
        <v/>
      </c>
      <c r="J3147" s="7" t="str">
        <f>IF(Table1[[#This Row],[Is Data Valid]]=TRUE,_xlfn.NORM.S.DIST(Table1[[#This Row],[Birthweight Z-Score]],TRUE)*100,"")</f>
        <v/>
      </c>
      <c r="K3147" s="7" t="str">
        <f>IF(Table1[[#This Row],[Is Data Valid]]=TRUE,_xlfn.NORM.S.DIST(Table1[[#This Row],[Birthweight Z-Score (BW-10%)]],TRUE)*100,"")</f>
        <v/>
      </c>
      <c r="L3147" s="7" t="str">
        <f>IF(Table1[[#This Row],[Is Data Valid]]=TRUE,_xlfn.NORM.S.DIST(Table1[[#This Row],[Birthweight Z-Score (BW+10%)]],TRUE)*100,"")</f>
        <v/>
      </c>
    </row>
    <row r="3148" spans="1:12" x14ac:dyDescent="0.35">
      <c r="A3148" s="3"/>
      <c r="B3148" s="2"/>
      <c r="C3148" s="2"/>
      <c r="D3148" s="2" t="b">
        <f>IF(AND(NOT(ISBLANK(Table1[[#This Row],[Fetal Sex (Male, Female or Unknown)]])),ISNUMBER(Table1[[#This Row],[Birthweight (grams)]]),ISNUMBER(Table1[[#This Row],[Gestation (days)]])),TRUE,FALSE)</f>
        <v>0</v>
      </c>
      <c r="E3148" s="2" t="str">
        <f>IF(Table1[[#This Row],[Is Data Valid]]=TRUE,IF(Table1[[#This Row],[Fetal Sex (Male, Female or Unknown)]]="Male",Backend!$C$6,IF(Table1[[#This Row],[Fetal Sex (Male, Female or Unknown)]]="Female",Backend!$C$7,IF(Table1[[#This Row],[Fetal Sex (Male, Female or Unknown)]]="Unknown",Backend!$C$8,"Error"))),"")</f>
        <v/>
      </c>
      <c r="F3148" s="8" t="str">
        <f>IF(Table1[[#This Row],[Is Data Valid]]=TRUE,EXP(0.578+0.332*((Table1[[#This Row],[Gestation (days)]]+0.5)/7)-0.00354*((Table1[[#This Row],[Gestation (days)]]+0.5)/7)^2)*Table1[[#This Row],[BW40_3705]],"")</f>
        <v/>
      </c>
      <c r="G3148" s="2" t="str">
        <f>IF(Table1[[#This Row],[Is Data Valid]]=TRUE,((Table1[[#This Row],[Birthweight (grams)]]/Table1[[#This Row],[BW_GA]])-1)/(Backend!$B$4/100*Table1[[#This Row],[BW40_3705]]),"")</f>
        <v/>
      </c>
      <c r="H3148" s="7" t="str">
        <f>IF(Table1[[#This Row],[Is Data Valid]]=TRUE,((Table1[[#This Row],[Birthweight (grams)]]*0.9/Table1[[#This Row],[BW_GA]])-1)/(Backend!$B$4/100*Table1[[#This Row],[BW40_3705]]),"")</f>
        <v/>
      </c>
      <c r="I3148" s="7" t="str">
        <f>IF(Table1[[#This Row],[Is Data Valid]]=TRUE,((Table1[[#This Row],[Birthweight (grams)]]*1.1/Table1[[#This Row],[BW_GA]])-1)/(Backend!$B$4/100*Table1[[#This Row],[BW40_3705]]),"")</f>
        <v/>
      </c>
      <c r="J3148" s="7" t="str">
        <f>IF(Table1[[#This Row],[Is Data Valid]]=TRUE,_xlfn.NORM.S.DIST(Table1[[#This Row],[Birthweight Z-Score]],TRUE)*100,"")</f>
        <v/>
      </c>
      <c r="K3148" s="7" t="str">
        <f>IF(Table1[[#This Row],[Is Data Valid]]=TRUE,_xlfn.NORM.S.DIST(Table1[[#This Row],[Birthweight Z-Score (BW-10%)]],TRUE)*100,"")</f>
        <v/>
      </c>
      <c r="L3148" s="7" t="str">
        <f>IF(Table1[[#This Row],[Is Data Valid]]=TRUE,_xlfn.NORM.S.DIST(Table1[[#This Row],[Birthweight Z-Score (BW+10%)]],TRUE)*100,"")</f>
        <v/>
      </c>
    </row>
    <row r="3149" spans="1:12" x14ac:dyDescent="0.35">
      <c r="A3149" s="3"/>
      <c r="B3149" s="2"/>
      <c r="C3149" s="2"/>
      <c r="D3149" s="2" t="b">
        <f>IF(AND(NOT(ISBLANK(Table1[[#This Row],[Fetal Sex (Male, Female or Unknown)]])),ISNUMBER(Table1[[#This Row],[Birthweight (grams)]]),ISNUMBER(Table1[[#This Row],[Gestation (days)]])),TRUE,FALSE)</f>
        <v>0</v>
      </c>
      <c r="E3149" s="2" t="str">
        <f>IF(Table1[[#This Row],[Is Data Valid]]=TRUE,IF(Table1[[#This Row],[Fetal Sex (Male, Female or Unknown)]]="Male",Backend!$C$6,IF(Table1[[#This Row],[Fetal Sex (Male, Female or Unknown)]]="Female",Backend!$C$7,IF(Table1[[#This Row],[Fetal Sex (Male, Female or Unknown)]]="Unknown",Backend!$C$8,"Error"))),"")</f>
        <v/>
      </c>
      <c r="F3149" s="8" t="str">
        <f>IF(Table1[[#This Row],[Is Data Valid]]=TRUE,EXP(0.578+0.332*((Table1[[#This Row],[Gestation (days)]]+0.5)/7)-0.00354*((Table1[[#This Row],[Gestation (days)]]+0.5)/7)^2)*Table1[[#This Row],[BW40_3705]],"")</f>
        <v/>
      </c>
      <c r="G3149" s="2" t="str">
        <f>IF(Table1[[#This Row],[Is Data Valid]]=TRUE,((Table1[[#This Row],[Birthweight (grams)]]/Table1[[#This Row],[BW_GA]])-1)/(Backend!$B$4/100*Table1[[#This Row],[BW40_3705]]),"")</f>
        <v/>
      </c>
      <c r="H3149" s="7" t="str">
        <f>IF(Table1[[#This Row],[Is Data Valid]]=TRUE,((Table1[[#This Row],[Birthweight (grams)]]*0.9/Table1[[#This Row],[BW_GA]])-1)/(Backend!$B$4/100*Table1[[#This Row],[BW40_3705]]),"")</f>
        <v/>
      </c>
      <c r="I3149" s="7" t="str">
        <f>IF(Table1[[#This Row],[Is Data Valid]]=TRUE,((Table1[[#This Row],[Birthweight (grams)]]*1.1/Table1[[#This Row],[BW_GA]])-1)/(Backend!$B$4/100*Table1[[#This Row],[BW40_3705]]),"")</f>
        <v/>
      </c>
      <c r="J3149" s="7" t="str">
        <f>IF(Table1[[#This Row],[Is Data Valid]]=TRUE,_xlfn.NORM.S.DIST(Table1[[#This Row],[Birthweight Z-Score]],TRUE)*100,"")</f>
        <v/>
      </c>
      <c r="K3149" s="7" t="str">
        <f>IF(Table1[[#This Row],[Is Data Valid]]=TRUE,_xlfn.NORM.S.DIST(Table1[[#This Row],[Birthweight Z-Score (BW-10%)]],TRUE)*100,"")</f>
        <v/>
      </c>
      <c r="L3149" s="7" t="str">
        <f>IF(Table1[[#This Row],[Is Data Valid]]=TRUE,_xlfn.NORM.S.DIST(Table1[[#This Row],[Birthweight Z-Score (BW+10%)]],TRUE)*100,"")</f>
        <v/>
      </c>
    </row>
    <row r="3150" spans="1:12" x14ac:dyDescent="0.35">
      <c r="A3150" s="3"/>
      <c r="B3150" s="2"/>
      <c r="C3150" s="2"/>
      <c r="D3150" s="2" t="b">
        <f>IF(AND(NOT(ISBLANK(Table1[[#This Row],[Fetal Sex (Male, Female or Unknown)]])),ISNUMBER(Table1[[#This Row],[Birthweight (grams)]]),ISNUMBER(Table1[[#This Row],[Gestation (days)]])),TRUE,FALSE)</f>
        <v>0</v>
      </c>
      <c r="E3150" s="2" t="str">
        <f>IF(Table1[[#This Row],[Is Data Valid]]=TRUE,IF(Table1[[#This Row],[Fetal Sex (Male, Female or Unknown)]]="Male",Backend!$C$6,IF(Table1[[#This Row],[Fetal Sex (Male, Female or Unknown)]]="Female",Backend!$C$7,IF(Table1[[#This Row],[Fetal Sex (Male, Female or Unknown)]]="Unknown",Backend!$C$8,"Error"))),"")</f>
        <v/>
      </c>
      <c r="F3150" s="8" t="str">
        <f>IF(Table1[[#This Row],[Is Data Valid]]=TRUE,EXP(0.578+0.332*((Table1[[#This Row],[Gestation (days)]]+0.5)/7)-0.00354*((Table1[[#This Row],[Gestation (days)]]+0.5)/7)^2)*Table1[[#This Row],[BW40_3705]],"")</f>
        <v/>
      </c>
      <c r="G3150" s="2" t="str">
        <f>IF(Table1[[#This Row],[Is Data Valid]]=TRUE,((Table1[[#This Row],[Birthweight (grams)]]/Table1[[#This Row],[BW_GA]])-1)/(Backend!$B$4/100*Table1[[#This Row],[BW40_3705]]),"")</f>
        <v/>
      </c>
      <c r="H3150" s="7" t="str">
        <f>IF(Table1[[#This Row],[Is Data Valid]]=TRUE,((Table1[[#This Row],[Birthweight (grams)]]*0.9/Table1[[#This Row],[BW_GA]])-1)/(Backend!$B$4/100*Table1[[#This Row],[BW40_3705]]),"")</f>
        <v/>
      </c>
      <c r="I3150" s="7" t="str">
        <f>IF(Table1[[#This Row],[Is Data Valid]]=TRUE,((Table1[[#This Row],[Birthweight (grams)]]*1.1/Table1[[#This Row],[BW_GA]])-1)/(Backend!$B$4/100*Table1[[#This Row],[BW40_3705]]),"")</f>
        <v/>
      </c>
      <c r="J3150" s="7" t="str">
        <f>IF(Table1[[#This Row],[Is Data Valid]]=TRUE,_xlfn.NORM.S.DIST(Table1[[#This Row],[Birthweight Z-Score]],TRUE)*100,"")</f>
        <v/>
      </c>
      <c r="K3150" s="7" t="str">
        <f>IF(Table1[[#This Row],[Is Data Valid]]=TRUE,_xlfn.NORM.S.DIST(Table1[[#This Row],[Birthweight Z-Score (BW-10%)]],TRUE)*100,"")</f>
        <v/>
      </c>
      <c r="L3150" s="7" t="str">
        <f>IF(Table1[[#This Row],[Is Data Valid]]=TRUE,_xlfn.NORM.S.DIST(Table1[[#This Row],[Birthweight Z-Score (BW+10%)]],TRUE)*100,"")</f>
        <v/>
      </c>
    </row>
    <row r="3151" spans="1:12" x14ac:dyDescent="0.35">
      <c r="A3151" s="3"/>
      <c r="B3151" s="2"/>
      <c r="C3151" s="2"/>
      <c r="D3151" s="2" t="b">
        <f>IF(AND(NOT(ISBLANK(Table1[[#This Row],[Fetal Sex (Male, Female or Unknown)]])),ISNUMBER(Table1[[#This Row],[Birthweight (grams)]]),ISNUMBER(Table1[[#This Row],[Gestation (days)]])),TRUE,FALSE)</f>
        <v>0</v>
      </c>
      <c r="E3151" s="2" t="str">
        <f>IF(Table1[[#This Row],[Is Data Valid]]=TRUE,IF(Table1[[#This Row],[Fetal Sex (Male, Female or Unknown)]]="Male",Backend!$C$6,IF(Table1[[#This Row],[Fetal Sex (Male, Female or Unknown)]]="Female",Backend!$C$7,IF(Table1[[#This Row],[Fetal Sex (Male, Female or Unknown)]]="Unknown",Backend!$C$8,"Error"))),"")</f>
        <v/>
      </c>
      <c r="F3151" s="8" t="str">
        <f>IF(Table1[[#This Row],[Is Data Valid]]=TRUE,EXP(0.578+0.332*((Table1[[#This Row],[Gestation (days)]]+0.5)/7)-0.00354*((Table1[[#This Row],[Gestation (days)]]+0.5)/7)^2)*Table1[[#This Row],[BW40_3705]],"")</f>
        <v/>
      </c>
      <c r="G3151" s="2" t="str">
        <f>IF(Table1[[#This Row],[Is Data Valid]]=TRUE,((Table1[[#This Row],[Birthweight (grams)]]/Table1[[#This Row],[BW_GA]])-1)/(Backend!$B$4/100*Table1[[#This Row],[BW40_3705]]),"")</f>
        <v/>
      </c>
      <c r="H3151" s="7" t="str">
        <f>IF(Table1[[#This Row],[Is Data Valid]]=TRUE,((Table1[[#This Row],[Birthweight (grams)]]*0.9/Table1[[#This Row],[BW_GA]])-1)/(Backend!$B$4/100*Table1[[#This Row],[BW40_3705]]),"")</f>
        <v/>
      </c>
      <c r="I3151" s="7" t="str">
        <f>IF(Table1[[#This Row],[Is Data Valid]]=TRUE,((Table1[[#This Row],[Birthweight (grams)]]*1.1/Table1[[#This Row],[BW_GA]])-1)/(Backend!$B$4/100*Table1[[#This Row],[BW40_3705]]),"")</f>
        <v/>
      </c>
      <c r="J3151" s="7" t="str">
        <f>IF(Table1[[#This Row],[Is Data Valid]]=TRUE,_xlfn.NORM.S.DIST(Table1[[#This Row],[Birthweight Z-Score]],TRUE)*100,"")</f>
        <v/>
      </c>
      <c r="K3151" s="7" t="str">
        <f>IF(Table1[[#This Row],[Is Data Valid]]=TRUE,_xlfn.NORM.S.DIST(Table1[[#This Row],[Birthweight Z-Score (BW-10%)]],TRUE)*100,"")</f>
        <v/>
      </c>
      <c r="L3151" s="7" t="str">
        <f>IF(Table1[[#This Row],[Is Data Valid]]=TRUE,_xlfn.NORM.S.DIST(Table1[[#This Row],[Birthweight Z-Score (BW+10%)]],TRUE)*100,"")</f>
        <v/>
      </c>
    </row>
    <row r="3152" spans="1:12" x14ac:dyDescent="0.35">
      <c r="A3152" s="3"/>
      <c r="B3152" s="2"/>
      <c r="C3152" s="2"/>
      <c r="D3152" s="2" t="b">
        <f>IF(AND(NOT(ISBLANK(Table1[[#This Row],[Fetal Sex (Male, Female or Unknown)]])),ISNUMBER(Table1[[#This Row],[Birthweight (grams)]]),ISNUMBER(Table1[[#This Row],[Gestation (days)]])),TRUE,FALSE)</f>
        <v>0</v>
      </c>
      <c r="E3152" s="2" t="str">
        <f>IF(Table1[[#This Row],[Is Data Valid]]=TRUE,IF(Table1[[#This Row],[Fetal Sex (Male, Female or Unknown)]]="Male",Backend!$C$6,IF(Table1[[#This Row],[Fetal Sex (Male, Female or Unknown)]]="Female",Backend!$C$7,IF(Table1[[#This Row],[Fetal Sex (Male, Female or Unknown)]]="Unknown",Backend!$C$8,"Error"))),"")</f>
        <v/>
      </c>
      <c r="F3152" s="8" t="str">
        <f>IF(Table1[[#This Row],[Is Data Valid]]=TRUE,EXP(0.578+0.332*((Table1[[#This Row],[Gestation (days)]]+0.5)/7)-0.00354*((Table1[[#This Row],[Gestation (days)]]+0.5)/7)^2)*Table1[[#This Row],[BW40_3705]],"")</f>
        <v/>
      </c>
      <c r="G3152" s="2" t="str">
        <f>IF(Table1[[#This Row],[Is Data Valid]]=TRUE,((Table1[[#This Row],[Birthweight (grams)]]/Table1[[#This Row],[BW_GA]])-1)/(Backend!$B$4/100*Table1[[#This Row],[BW40_3705]]),"")</f>
        <v/>
      </c>
      <c r="H3152" s="7" t="str">
        <f>IF(Table1[[#This Row],[Is Data Valid]]=TRUE,((Table1[[#This Row],[Birthweight (grams)]]*0.9/Table1[[#This Row],[BW_GA]])-1)/(Backend!$B$4/100*Table1[[#This Row],[BW40_3705]]),"")</f>
        <v/>
      </c>
      <c r="I3152" s="7" t="str">
        <f>IF(Table1[[#This Row],[Is Data Valid]]=TRUE,((Table1[[#This Row],[Birthweight (grams)]]*1.1/Table1[[#This Row],[BW_GA]])-1)/(Backend!$B$4/100*Table1[[#This Row],[BW40_3705]]),"")</f>
        <v/>
      </c>
      <c r="J3152" s="7" t="str">
        <f>IF(Table1[[#This Row],[Is Data Valid]]=TRUE,_xlfn.NORM.S.DIST(Table1[[#This Row],[Birthweight Z-Score]],TRUE)*100,"")</f>
        <v/>
      </c>
      <c r="K3152" s="7" t="str">
        <f>IF(Table1[[#This Row],[Is Data Valid]]=TRUE,_xlfn.NORM.S.DIST(Table1[[#This Row],[Birthweight Z-Score (BW-10%)]],TRUE)*100,"")</f>
        <v/>
      </c>
      <c r="L3152" s="7" t="str">
        <f>IF(Table1[[#This Row],[Is Data Valid]]=TRUE,_xlfn.NORM.S.DIST(Table1[[#This Row],[Birthweight Z-Score (BW+10%)]],TRUE)*100,"")</f>
        <v/>
      </c>
    </row>
    <row r="3153" spans="1:12" x14ac:dyDescent="0.35">
      <c r="A3153" s="3"/>
      <c r="B3153" s="2"/>
      <c r="C3153" s="2"/>
      <c r="D3153" s="2" t="b">
        <f>IF(AND(NOT(ISBLANK(Table1[[#This Row],[Fetal Sex (Male, Female or Unknown)]])),ISNUMBER(Table1[[#This Row],[Birthweight (grams)]]),ISNUMBER(Table1[[#This Row],[Gestation (days)]])),TRUE,FALSE)</f>
        <v>0</v>
      </c>
      <c r="E3153" s="2" t="str">
        <f>IF(Table1[[#This Row],[Is Data Valid]]=TRUE,IF(Table1[[#This Row],[Fetal Sex (Male, Female or Unknown)]]="Male",Backend!$C$6,IF(Table1[[#This Row],[Fetal Sex (Male, Female or Unknown)]]="Female",Backend!$C$7,IF(Table1[[#This Row],[Fetal Sex (Male, Female or Unknown)]]="Unknown",Backend!$C$8,"Error"))),"")</f>
        <v/>
      </c>
      <c r="F3153" s="8" t="str">
        <f>IF(Table1[[#This Row],[Is Data Valid]]=TRUE,EXP(0.578+0.332*((Table1[[#This Row],[Gestation (days)]]+0.5)/7)-0.00354*((Table1[[#This Row],[Gestation (days)]]+0.5)/7)^2)*Table1[[#This Row],[BW40_3705]],"")</f>
        <v/>
      </c>
      <c r="G3153" s="2" t="str">
        <f>IF(Table1[[#This Row],[Is Data Valid]]=TRUE,((Table1[[#This Row],[Birthweight (grams)]]/Table1[[#This Row],[BW_GA]])-1)/(Backend!$B$4/100*Table1[[#This Row],[BW40_3705]]),"")</f>
        <v/>
      </c>
      <c r="H3153" s="7" t="str">
        <f>IF(Table1[[#This Row],[Is Data Valid]]=TRUE,((Table1[[#This Row],[Birthweight (grams)]]*0.9/Table1[[#This Row],[BW_GA]])-1)/(Backend!$B$4/100*Table1[[#This Row],[BW40_3705]]),"")</f>
        <v/>
      </c>
      <c r="I3153" s="7" t="str">
        <f>IF(Table1[[#This Row],[Is Data Valid]]=TRUE,((Table1[[#This Row],[Birthweight (grams)]]*1.1/Table1[[#This Row],[BW_GA]])-1)/(Backend!$B$4/100*Table1[[#This Row],[BW40_3705]]),"")</f>
        <v/>
      </c>
      <c r="J3153" s="7" t="str">
        <f>IF(Table1[[#This Row],[Is Data Valid]]=TRUE,_xlfn.NORM.S.DIST(Table1[[#This Row],[Birthweight Z-Score]],TRUE)*100,"")</f>
        <v/>
      </c>
      <c r="K3153" s="7" t="str">
        <f>IF(Table1[[#This Row],[Is Data Valid]]=TRUE,_xlfn.NORM.S.DIST(Table1[[#This Row],[Birthweight Z-Score (BW-10%)]],TRUE)*100,"")</f>
        <v/>
      </c>
      <c r="L3153" s="7" t="str">
        <f>IF(Table1[[#This Row],[Is Data Valid]]=TRUE,_xlfn.NORM.S.DIST(Table1[[#This Row],[Birthweight Z-Score (BW+10%)]],TRUE)*100,"")</f>
        <v/>
      </c>
    </row>
    <row r="3154" spans="1:12" x14ac:dyDescent="0.35">
      <c r="A3154" s="3"/>
      <c r="B3154" s="2"/>
      <c r="C3154" s="2"/>
      <c r="D3154" s="2" t="b">
        <f>IF(AND(NOT(ISBLANK(Table1[[#This Row],[Fetal Sex (Male, Female or Unknown)]])),ISNUMBER(Table1[[#This Row],[Birthweight (grams)]]),ISNUMBER(Table1[[#This Row],[Gestation (days)]])),TRUE,FALSE)</f>
        <v>0</v>
      </c>
      <c r="E3154" s="2" t="str">
        <f>IF(Table1[[#This Row],[Is Data Valid]]=TRUE,IF(Table1[[#This Row],[Fetal Sex (Male, Female or Unknown)]]="Male",Backend!$C$6,IF(Table1[[#This Row],[Fetal Sex (Male, Female or Unknown)]]="Female",Backend!$C$7,IF(Table1[[#This Row],[Fetal Sex (Male, Female or Unknown)]]="Unknown",Backend!$C$8,"Error"))),"")</f>
        <v/>
      </c>
      <c r="F3154" s="8" t="str">
        <f>IF(Table1[[#This Row],[Is Data Valid]]=TRUE,EXP(0.578+0.332*((Table1[[#This Row],[Gestation (days)]]+0.5)/7)-0.00354*((Table1[[#This Row],[Gestation (days)]]+0.5)/7)^2)*Table1[[#This Row],[BW40_3705]],"")</f>
        <v/>
      </c>
      <c r="G3154" s="2" t="str">
        <f>IF(Table1[[#This Row],[Is Data Valid]]=TRUE,((Table1[[#This Row],[Birthweight (grams)]]/Table1[[#This Row],[BW_GA]])-1)/(Backend!$B$4/100*Table1[[#This Row],[BW40_3705]]),"")</f>
        <v/>
      </c>
      <c r="H3154" s="7" t="str">
        <f>IF(Table1[[#This Row],[Is Data Valid]]=TRUE,((Table1[[#This Row],[Birthweight (grams)]]*0.9/Table1[[#This Row],[BW_GA]])-1)/(Backend!$B$4/100*Table1[[#This Row],[BW40_3705]]),"")</f>
        <v/>
      </c>
      <c r="I3154" s="7" t="str">
        <f>IF(Table1[[#This Row],[Is Data Valid]]=TRUE,((Table1[[#This Row],[Birthweight (grams)]]*1.1/Table1[[#This Row],[BW_GA]])-1)/(Backend!$B$4/100*Table1[[#This Row],[BW40_3705]]),"")</f>
        <v/>
      </c>
      <c r="J3154" s="7" t="str">
        <f>IF(Table1[[#This Row],[Is Data Valid]]=TRUE,_xlfn.NORM.S.DIST(Table1[[#This Row],[Birthweight Z-Score]],TRUE)*100,"")</f>
        <v/>
      </c>
      <c r="K3154" s="7" t="str">
        <f>IF(Table1[[#This Row],[Is Data Valid]]=TRUE,_xlfn.NORM.S.DIST(Table1[[#This Row],[Birthweight Z-Score (BW-10%)]],TRUE)*100,"")</f>
        <v/>
      </c>
      <c r="L3154" s="7" t="str">
        <f>IF(Table1[[#This Row],[Is Data Valid]]=TRUE,_xlfn.NORM.S.DIST(Table1[[#This Row],[Birthweight Z-Score (BW+10%)]],TRUE)*100,"")</f>
        <v/>
      </c>
    </row>
    <row r="3155" spans="1:12" x14ac:dyDescent="0.35">
      <c r="A3155" s="3"/>
      <c r="B3155" s="2"/>
      <c r="C3155" s="2"/>
      <c r="D3155" s="2" t="b">
        <f>IF(AND(NOT(ISBLANK(Table1[[#This Row],[Fetal Sex (Male, Female or Unknown)]])),ISNUMBER(Table1[[#This Row],[Birthweight (grams)]]),ISNUMBER(Table1[[#This Row],[Gestation (days)]])),TRUE,FALSE)</f>
        <v>0</v>
      </c>
      <c r="E3155" s="2" t="str">
        <f>IF(Table1[[#This Row],[Is Data Valid]]=TRUE,IF(Table1[[#This Row],[Fetal Sex (Male, Female or Unknown)]]="Male",Backend!$C$6,IF(Table1[[#This Row],[Fetal Sex (Male, Female or Unknown)]]="Female",Backend!$C$7,IF(Table1[[#This Row],[Fetal Sex (Male, Female or Unknown)]]="Unknown",Backend!$C$8,"Error"))),"")</f>
        <v/>
      </c>
      <c r="F3155" s="8" t="str">
        <f>IF(Table1[[#This Row],[Is Data Valid]]=TRUE,EXP(0.578+0.332*((Table1[[#This Row],[Gestation (days)]]+0.5)/7)-0.00354*((Table1[[#This Row],[Gestation (days)]]+0.5)/7)^2)*Table1[[#This Row],[BW40_3705]],"")</f>
        <v/>
      </c>
      <c r="G3155" s="2" t="str">
        <f>IF(Table1[[#This Row],[Is Data Valid]]=TRUE,((Table1[[#This Row],[Birthweight (grams)]]/Table1[[#This Row],[BW_GA]])-1)/(Backend!$B$4/100*Table1[[#This Row],[BW40_3705]]),"")</f>
        <v/>
      </c>
      <c r="H3155" s="7" t="str">
        <f>IF(Table1[[#This Row],[Is Data Valid]]=TRUE,((Table1[[#This Row],[Birthweight (grams)]]*0.9/Table1[[#This Row],[BW_GA]])-1)/(Backend!$B$4/100*Table1[[#This Row],[BW40_3705]]),"")</f>
        <v/>
      </c>
      <c r="I3155" s="7" t="str">
        <f>IF(Table1[[#This Row],[Is Data Valid]]=TRUE,((Table1[[#This Row],[Birthweight (grams)]]*1.1/Table1[[#This Row],[BW_GA]])-1)/(Backend!$B$4/100*Table1[[#This Row],[BW40_3705]]),"")</f>
        <v/>
      </c>
      <c r="J3155" s="7" t="str">
        <f>IF(Table1[[#This Row],[Is Data Valid]]=TRUE,_xlfn.NORM.S.DIST(Table1[[#This Row],[Birthweight Z-Score]],TRUE)*100,"")</f>
        <v/>
      </c>
      <c r="K3155" s="7" t="str">
        <f>IF(Table1[[#This Row],[Is Data Valid]]=TRUE,_xlfn.NORM.S.DIST(Table1[[#This Row],[Birthweight Z-Score (BW-10%)]],TRUE)*100,"")</f>
        <v/>
      </c>
      <c r="L3155" s="7" t="str">
        <f>IF(Table1[[#This Row],[Is Data Valid]]=TRUE,_xlfn.NORM.S.DIST(Table1[[#This Row],[Birthweight Z-Score (BW+10%)]],TRUE)*100,"")</f>
        <v/>
      </c>
    </row>
    <row r="3156" spans="1:12" x14ac:dyDescent="0.35">
      <c r="A3156" s="3"/>
      <c r="B3156" s="2"/>
      <c r="C3156" s="2"/>
      <c r="D3156" s="2" t="b">
        <f>IF(AND(NOT(ISBLANK(Table1[[#This Row],[Fetal Sex (Male, Female or Unknown)]])),ISNUMBER(Table1[[#This Row],[Birthweight (grams)]]),ISNUMBER(Table1[[#This Row],[Gestation (days)]])),TRUE,FALSE)</f>
        <v>0</v>
      </c>
      <c r="E3156" s="2" t="str">
        <f>IF(Table1[[#This Row],[Is Data Valid]]=TRUE,IF(Table1[[#This Row],[Fetal Sex (Male, Female or Unknown)]]="Male",Backend!$C$6,IF(Table1[[#This Row],[Fetal Sex (Male, Female or Unknown)]]="Female",Backend!$C$7,IF(Table1[[#This Row],[Fetal Sex (Male, Female or Unknown)]]="Unknown",Backend!$C$8,"Error"))),"")</f>
        <v/>
      </c>
      <c r="F3156" s="8" t="str">
        <f>IF(Table1[[#This Row],[Is Data Valid]]=TRUE,EXP(0.578+0.332*((Table1[[#This Row],[Gestation (days)]]+0.5)/7)-0.00354*((Table1[[#This Row],[Gestation (days)]]+0.5)/7)^2)*Table1[[#This Row],[BW40_3705]],"")</f>
        <v/>
      </c>
      <c r="G3156" s="2" t="str">
        <f>IF(Table1[[#This Row],[Is Data Valid]]=TRUE,((Table1[[#This Row],[Birthweight (grams)]]/Table1[[#This Row],[BW_GA]])-1)/(Backend!$B$4/100*Table1[[#This Row],[BW40_3705]]),"")</f>
        <v/>
      </c>
      <c r="H3156" s="7" t="str">
        <f>IF(Table1[[#This Row],[Is Data Valid]]=TRUE,((Table1[[#This Row],[Birthweight (grams)]]*0.9/Table1[[#This Row],[BW_GA]])-1)/(Backend!$B$4/100*Table1[[#This Row],[BW40_3705]]),"")</f>
        <v/>
      </c>
      <c r="I3156" s="7" t="str">
        <f>IF(Table1[[#This Row],[Is Data Valid]]=TRUE,((Table1[[#This Row],[Birthweight (grams)]]*1.1/Table1[[#This Row],[BW_GA]])-1)/(Backend!$B$4/100*Table1[[#This Row],[BW40_3705]]),"")</f>
        <v/>
      </c>
      <c r="J3156" s="7" t="str">
        <f>IF(Table1[[#This Row],[Is Data Valid]]=TRUE,_xlfn.NORM.S.DIST(Table1[[#This Row],[Birthweight Z-Score]],TRUE)*100,"")</f>
        <v/>
      </c>
      <c r="K3156" s="7" t="str">
        <f>IF(Table1[[#This Row],[Is Data Valid]]=TRUE,_xlfn.NORM.S.DIST(Table1[[#This Row],[Birthweight Z-Score (BW-10%)]],TRUE)*100,"")</f>
        <v/>
      </c>
      <c r="L3156" s="7" t="str">
        <f>IF(Table1[[#This Row],[Is Data Valid]]=TRUE,_xlfn.NORM.S.DIST(Table1[[#This Row],[Birthweight Z-Score (BW+10%)]],TRUE)*100,"")</f>
        <v/>
      </c>
    </row>
    <row r="3157" spans="1:12" x14ac:dyDescent="0.35">
      <c r="A3157" s="3"/>
      <c r="B3157" s="2"/>
      <c r="C3157" s="2"/>
      <c r="D3157" s="2" t="b">
        <f>IF(AND(NOT(ISBLANK(Table1[[#This Row],[Fetal Sex (Male, Female or Unknown)]])),ISNUMBER(Table1[[#This Row],[Birthweight (grams)]]),ISNUMBER(Table1[[#This Row],[Gestation (days)]])),TRUE,FALSE)</f>
        <v>0</v>
      </c>
      <c r="E3157" s="2" t="str">
        <f>IF(Table1[[#This Row],[Is Data Valid]]=TRUE,IF(Table1[[#This Row],[Fetal Sex (Male, Female or Unknown)]]="Male",Backend!$C$6,IF(Table1[[#This Row],[Fetal Sex (Male, Female or Unknown)]]="Female",Backend!$C$7,IF(Table1[[#This Row],[Fetal Sex (Male, Female or Unknown)]]="Unknown",Backend!$C$8,"Error"))),"")</f>
        <v/>
      </c>
      <c r="F3157" s="8" t="str">
        <f>IF(Table1[[#This Row],[Is Data Valid]]=TRUE,EXP(0.578+0.332*((Table1[[#This Row],[Gestation (days)]]+0.5)/7)-0.00354*((Table1[[#This Row],[Gestation (days)]]+0.5)/7)^2)*Table1[[#This Row],[BW40_3705]],"")</f>
        <v/>
      </c>
      <c r="G3157" s="2" t="str">
        <f>IF(Table1[[#This Row],[Is Data Valid]]=TRUE,((Table1[[#This Row],[Birthweight (grams)]]/Table1[[#This Row],[BW_GA]])-1)/(Backend!$B$4/100*Table1[[#This Row],[BW40_3705]]),"")</f>
        <v/>
      </c>
      <c r="H3157" s="7" t="str">
        <f>IF(Table1[[#This Row],[Is Data Valid]]=TRUE,((Table1[[#This Row],[Birthweight (grams)]]*0.9/Table1[[#This Row],[BW_GA]])-1)/(Backend!$B$4/100*Table1[[#This Row],[BW40_3705]]),"")</f>
        <v/>
      </c>
      <c r="I3157" s="7" t="str">
        <f>IF(Table1[[#This Row],[Is Data Valid]]=TRUE,((Table1[[#This Row],[Birthweight (grams)]]*1.1/Table1[[#This Row],[BW_GA]])-1)/(Backend!$B$4/100*Table1[[#This Row],[BW40_3705]]),"")</f>
        <v/>
      </c>
      <c r="J3157" s="7" t="str">
        <f>IF(Table1[[#This Row],[Is Data Valid]]=TRUE,_xlfn.NORM.S.DIST(Table1[[#This Row],[Birthweight Z-Score]],TRUE)*100,"")</f>
        <v/>
      </c>
      <c r="K3157" s="7" t="str">
        <f>IF(Table1[[#This Row],[Is Data Valid]]=TRUE,_xlfn.NORM.S.DIST(Table1[[#This Row],[Birthweight Z-Score (BW-10%)]],TRUE)*100,"")</f>
        <v/>
      </c>
      <c r="L3157" s="7" t="str">
        <f>IF(Table1[[#This Row],[Is Data Valid]]=TRUE,_xlfn.NORM.S.DIST(Table1[[#This Row],[Birthweight Z-Score (BW+10%)]],TRUE)*100,"")</f>
        <v/>
      </c>
    </row>
    <row r="3158" spans="1:12" x14ac:dyDescent="0.35">
      <c r="A3158" s="3"/>
      <c r="B3158" s="2"/>
      <c r="C3158" s="2"/>
      <c r="D3158" s="2" t="b">
        <f>IF(AND(NOT(ISBLANK(Table1[[#This Row],[Fetal Sex (Male, Female or Unknown)]])),ISNUMBER(Table1[[#This Row],[Birthweight (grams)]]),ISNUMBER(Table1[[#This Row],[Gestation (days)]])),TRUE,FALSE)</f>
        <v>0</v>
      </c>
      <c r="E3158" s="2" t="str">
        <f>IF(Table1[[#This Row],[Is Data Valid]]=TRUE,IF(Table1[[#This Row],[Fetal Sex (Male, Female or Unknown)]]="Male",Backend!$C$6,IF(Table1[[#This Row],[Fetal Sex (Male, Female or Unknown)]]="Female",Backend!$C$7,IF(Table1[[#This Row],[Fetal Sex (Male, Female or Unknown)]]="Unknown",Backend!$C$8,"Error"))),"")</f>
        <v/>
      </c>
      <c r="F3158" s="8" t="str">
        <f>IF(Table1[[#This Row],[Is Data Valid]]=TRUE,EXP(0.578+0.332*((Table1[[#This Row],[Gestation (days)]]+0.5)/7)-0.00354*((Table1[[#This Row],[Gestation (days)]]+0.5)/7)^2)*Table1[[#This Row],[BW40_3705]],"")</f>
        <v/>
      </c>
      <c r="G3158" s="2" t="str">
        <f>IF(Table1[[#This Row],[Is Data Valid]]=TRUE,((Table1[[#This Row],[Birthweight (grams)]]/Table1[[#This Row],[BW_GA]])-1)/(Backend!$B$4/100*Table1[[#This Row],[BW40_3705]]),"")</f>
        <v/>
      </c>
      <c r="H3158" s="7" t="str">
        <f>IF(Table1[[#This Row],[Is Data Valid]]=TRUE,((Table1[[#This Row],[Birthweight (grams)]]*0.9/Table1[[#This Row],[BW_GA]])-1)/(Backend!$B$4/100*Table1[[#This Row],[BW40_3705]]),"")</f>
        <v/>
      </c>
      <c r="I3158" s="7" t="str">
        <f>IF(Table1[[#This Row],[Is Data Valid]]=TRUE,((Table1[[#This Row],[Birthweight (grams)]]*1.1/Table1[[#This Row],[BW_GA]])-1)/(Backend!$B$4/100*Table1[[#This Row],[BW40_3705]]),"")</f>
        <v/>
      </c>
      <c r="J3158" s="7" t="str">
        <f>IF(Table1[[#This Row],[Is Data Valid]]=TRUE,_xlfn.NORM.S.DIST(Table1[[#This Row],[Birthweight Z-Score]],TRUE)*100,"")</f>
        <v/>
      </c>
      <c r="K3158" s="7" t="str">
        <f>IF(Table1[[#This Row],[Is Data Valid]]=TRUE,_xlfn.NORM.S.DIST(Table1[[#This Row],[Birthweight Z-Score (BW-10%)]],TRUE)*100,"")</f>
        <v/>
      </c>
      <c r="L3158" s="7" t="str">
        <f>IF(Table1[[#This Row],[Is Data Valid]]=TRUE,_xlfn.NORM.S.DIST(Table1[[#This Row],[Birthweight Z-Score (BW+10%)]],TRUE)*100,"")</f>
        <v/>
      </c>
    </row>
    <row r="3159" spans="1:12" x14ac:dyDescent="0.35">
      <c r="A3159" s="3"/>
      <c r="B3159" s="2"/>
      <c r="C3159" s="2"/>
      <c r="D3159" s="2" t="b">
        <f>IF(AND(NOT(ISBLANK(Table1[[#This Row],[Fetal Sex (Male, Female or Unknown)]])),ISNUMBER(Table1[[#This Row],[Birthweight (grams)]]),ISNUMBER(Table1[[#This Row],[Gestation (days)]])),TRUE,FALSE)</f>
        <v>0</v>
      </c>
      <c r="E3159" s="2" t="str">
        <f>IF(Table1[[#This Row],[Is Data Valid]]=TRUE,IF(Table1[[#This Row],[Fetal Sex (Male, Female or Unknown)]]="Male",Backend!$C$6,IF(Table1[[#This Row],[Fetal Sex (Male, Female or Unknown)]]="Female",Backend!$C$7,IF(Table1[[#This Row],[Fetal Sex (Male, Female or Unknown)]]="Unknown",Backend!$C$8,"Error"))),"")</f>
        <v/>
      </c>
      <c r="F3159" s="8" t="str">
        <f>IF(Table1[[#This Row],[Is Data Valid]]=TRUE,EXP(0.578+0.332*((Table1[[#This Row],[Gestation (days)]]+0.5)/7)-0.00354*((Table1[[#This Row],[Gestation (days)]]+0.5)/7)^2)*Table1[[#This Row],[BW40_3705]],"")</f>
        <v/>
      </c>
      <c r="G3159" s="2" t="str">
        <f>IF(Table1[[#This Row],[Is Data Valid]]=TRUE,((Table1[[#This Row],[Birthweight (grams)]]/Table1[[#This Row],[BW_GA]])-1)/(Backend!$B$4/100*Table1[[#This Row],[BW40_3705]]),"")</f>
        <v/>
      </c>
      <c r="H3159" s="7" t="str">
        <f>IF(Table1[[#This Row],[Is Data Valid]]=TRUE,((Table1[[#This Row],[Birthweight (grams)]]*0.9/Table1[[#This Row],[BW_GA]])-1)/(Backend!$B$4/100*Table1[[#This Row],[BW40_3705]]),"")</f>
        <v/>
      </c>
      <c r="I3159" s="7" t="str">
        <f>IF(Table1[[#This Row],[Is Data Valid]]=TRUE,((Table1[[#This Row],[Birthweight (grams)]]*1.1/Table1[[#This Row],[BW_GA]])-1)/(Backend!$B$4/100*Table1[[#This Row],[BW40_3705]]),"")</f>
        <v/>
      </c>
      <c r="J3159" s="7" t="str">
        <f>IF(Table1[[#This Row],[Is Data Valid]]=TRUE,_xlfn.NORM.S.DIST(Table1[[#This Row],[Birthweight Z-Score]],TRUE)*100,"")</f>
        <v/>
      </c>
      <c r="K3159" s="7" t="str">
        <f>IF(Table1[[#This Row],[Is Data Valid]]=TRUE,_xlfn.NORM.S.DIST(Table1[[#This Row],[Birthweight Z-Score (BW-10%)]],TRUE)*100,"")</f>
        <v/>
      </c>
      <c r="L3159" s="7" t="str">
        <f>IF(Table1[[#This Row],[Is Data Valid]]=TRUE,_xlfn.NORM.S.DIST(Table1[[#This Row],[Birthweight Z-Score (BW+10%)]],TRUE)*100,"")</f>
        <v/>
      </c>
    </row>
    <row r="3160" spans="1:12" x14ac:dyDescent="0.35">
      <c r="A3160" s="3"/>
      <c r="B3160" s="2"/>
      <c r="C3160" s="2"/>
      <c r="D3160" s="2" t="b">
        <f>IF(AND(NOT(ISBLANK(Table1[[#This Row],[Fetal Sex (Male, Female or Unknown)]])),ISNUMBER(Table1[[#This Row],[Birthweight (grams)]]),ISNUMBER(Table1[[#This Row],[Gestation (days)]])),TRUE,FALSE)</f>
        <v>0</v>
      </c>
      <c r="E3160" s="2" t="str">
        <f>IF(Table1[[#This Row],[Is Data Valid]]=TRUE,IF(Table1[[#This Row],[Fetal Sex (Male, Female or Unknown)]]="Male",Backend!$C$6,IF(Table1[[#This Row],[Fetal Sex (Male, Female or Unknown)]]="Female",Backend!$C$7,IF(Table1[[#This Row],[Fetal Sex (Male, Female or Unknown)]]="Unknown",Backend!$C$8,"Error"))),"")</f>
        <v/>
      </c>
      <c r="F3160" s="8" t="str">
        <f>IF(Table1[[#This Row],[Is Data Valid]]=TRUE,EXP(0.578+0.332*((Table1[[#This Row],[Gestation (days)]]+0.5)/7)-0.00354*((Table1[[#This Row],[Gestation (days)]]+0.5)/7)^2)*Table1[[#This Row],[BW40_3705]],"")</f>
        <v/>
      </c>
      <c r="G3160" s="2" t="str">
        <f>IF(Table1[[#This Row],[Is Data Valid]]=TRUE,((Table1[[#This Row],[Birthweight (grams)]]/Table1[[#This Row],[BW_GA]])-1)/(Backend!$B$4/100*Table1[[#This Row],[BW40_3705]]),"")</f>
        <v/>
      </c>
      <c r="H3160" s="7" t="str">
        <f>IF(Table1[[#This Row],[Is Data Valid]]=TRUE,((Table1[[#This Row],[Birthweight (grams)]]*0.9/Table1[[#This Row],[BW_GA]])-1)/(Backend!$B$4/100*Table1[[#This Row],[BW40_3705]]),"")</f>
        <v/>
      </c>
      <c r="I3160" s="7" t="str">
        <f>IF(Table1[[#This Row],[Is Data Valid]]=TRUE,((Table1[[#This Row],[Birthweight (grams)]]*1.1/Table1[[#This Row],[BW_GA]])-1)/(Backend!$B$4/100*Table1[[#This Row],[BW40_3705]]),"")</f>
        <v/>
      </c>
      <c r="J3160" s="7" t="str">
        <f>IF(Table1[[#This Row],[Is Data Valid]]=TRUE,_xlfn.NORM.S.DIST(Table1[[#This Row],[Birthweight Z-Score]],TRUE)*100,"")</f>
        <v/>
      </c>
      <c r="K3160" s="7" t="str">
        <f>IF(Table1[[#This Row],[Is Data Valid]]=TRUE,_xlfn.NORM.S.DIST(Table1[[#This Row],[Birthweight Z-Score (BW-10%)]],TRUE)*100,"")</f>
        <v/>
      </c>
      <c r="L3160" s="7" t="str">
        <f>IF(Table1[[#This Row],[Is Data Valid]]=TRUE,_xlfn.NORM.S.DIST(Table1[[#This Row],[Birthweight Z-Score (BW+10%)]],TRUE)*100,"")</f>
        <v/>
      </c>
    </row>
    <row r="3161" spans="1:12" x14ac:dyDescent="0.35">
      <c r="A3161" s="3"/>
      <c r="B3161" s="2"/>
      <c r="C3161" s="2"/>
      <c r="D3161" s="2" t="b">
        <f>IF(AND(NOT(ISBLANK(Table1[[#This Row],[Fetal Sex (Male, Female or Unknown)]])),ISNUMBER(Table1[[#This Row],[Birthweight (grams)]]),ISNUMBER(Table1[[#This Row],[Gestation (days)]])),TRUE,FALSE)</f>
        <v>0</v>
      </c>
      <c r="E3161" s="2" t="str">
        <f>IF(Table1[[#This Row],[Is Data Valid]]=TRUE,IF(Table1[[#This Row],[Fetal Sex (Male, Female or Unknown)]]="Male",Backend!$C$6,IF(Table1[[#This Row],[Fetal Sex (Male, Female or Unknown)]]="Female",Backend!$C$7,IF(Table1[[#This Row],[Fetal Sex (Male, Female or Unknown)]]="Unknown",Backend!$C$8,"Error"))),"")</f>
        <v/>
      </c>
      <c r="F3161" s="8" t="str">
        <f>IF(Table1[[#This Row],[Is Data Valid]]=TRUE,EXP(0.578+0.332*((Table1[[#This Row],[Gestation (days)]]+0.5)/7)-0.00354*((Table1[[#This Row],[Gestation (days)]]+0.5)/7)^2)*Table1[[#This Row],[BW40_3705]],"")</f>
        <v/>
      </c>
      <c r="G3161" s="2" t="str">
        <f>IF(Table1[[#This Row],[Is Data Valid]]=TRUE,((Table1[[#This Row],[Birthweight (grams)]]/Table1[[#This Row],[BW_GA]])-1)/(Backend!$B$4/100*Table1[[#This Row],[BW40_3705]]),"")</f>
        <v/>
      </c>
      <c r="H3161" s="7" t="str">
        <f>IF(Table1[[#This Row],[Is Data Valid]]=TRUE,((Table1[[#This Row],[Birthweight (grams)]]*0.9/Table1[[#This Row],[BW_GA]])-1)/(Backend!$B$4/100*Table1[[#This Row],[BW40_3705]]),"")</f>
        <v/>
      </c>
      <c r="I3161" s="7" t="str">
        <f>IF(Table1[[#This Row],[Is Data Valid]]=TRUE,((Table1[[#This Row],[Birthweight (grams)]]*1.1/Table1[[#This Row],[BW_GA]])-1)/(Backend!$B$4/100*Table1[[#This Row],[BW40_3705]]),"")</f>
        <v/>
      </c>
      <c r="J3161" s="7" t="str">
        <f>IF(Table1[[#This Row],[Is Data Valid]]=TRUE,_xlfn.NORM.S.DIST(Table1[[#This Row],[Birthweight Z-Score]],TRUE)*100,"")</f>
        <v/>
      </c>
      <c r="K3161" s="7" t="str">
        <f>IF(Table1[[#This Row],[Is Data Valid]]=TRUE,_xlfn.NORM.S.DIST(Table1[[#This Row],[Birthweight Z-Score (BW-10%)]],TRUE)*100,"")</f>
        <v/>
      </c>
      <c r="L3161" s="7" t="str">
        <f>IF(Table1[[#This Row],[Is Data Valid]]=TRUE,_xlfn.NORM.S.DIST(Table1[[#This Row],[Birthweight Z-Score (BW+10%)]],TRUE)*100,"")</f>
        <v/>
      </c>
    </row>
    <row r="3162" spans="1:12" x14ac:dyDescent="0.35">
      <c r="A3162" s="3"/>
      <c r="B3162" s="2"/>
      <c r="C3162" s="2"/>
      <c r="D3162" s="2" t="b">
        <f>IF(AND(NOT(ISBLANK(Table1[[#This Row],[Fetal Sex (Male, Female or Unknown)]])),ISNUMBER(Table1[[#This Row],[Birthweight (grams)]]),ISNUMBER(Table1[[#This Row],[Gestation (days)]])),TRUE,FALSE)</f>
        <v>0</v>
      </c>
      <c r="E3162" s="2" t="str">
        <f>IF(Table1[[#This Row],[Is Data Valid]]=TRUE,IF(Table1[[#This Row],[Fetal Sex (Male, Female or Unknown)]]="Male",Backend!$C$6,IF(Table1[[#This Row],[Fetal Sex (Male, Female or Unknown)]]="Female",Backend!$C$7,IF(Table1[[#This Row],[Fetal Sex (Male, Female or Unknown)]]="Unknown",Backend!$C$8,"Error"))),"")</f>
        <v/>
      </c>
      <c r="F3162" s="8" t="str">
        <f>IF(Table1[[#This Row],[Is Data Valid]]=TRUE,EXP(0.578+0.332*((Table1[[#This Row],[Gestation (days)]]+0.5)/7)-0.00354*((Table1[[#This Row],[Gestation (days)]]+0.5)/7)^2)*Table1[[#This Row],[BW40_3705]],"")</f>
        <v/>
      </c>
      <c r="G3162" s="2" t="str">
        <f>IF(Table1[[#This Row],[Is Data Valid]]=TRUE,((Table1[[#This Row],[Birthweight (grams)]]/Table1[[#This Row],[BW_GA]])-1)/(Backend!$B$4/100*Table1[[#This Row],[BW40_3705]]),"")</f>
        <v/>
      </c>
      <c r="H3162" s="7" t="str">
        <f>IF(Table1[[#This Row],[Is Data Valid]]=TRUE,((Table1[[#This Row],[Birthweight (grams)]]*0.9/Table1[[#This Row],[BW_GA]])-1)/(Backend!$B$4/100*Table1[[#This Row],[BW40_3705]]),"")</f>
        <v/>
      </c>
      <c r="I3162" s="7" t="str">
        <f>IF(Table1[[#This Row],[Is Data Valid]]=TRUE,((Table1[[#This Row],[Birthweight (grams)]]*1.1/Table1[[#This Row],[BW_GA]])-1)/(Backend!$B$4/100*Table1[[#This Row],[BW40_3705]]),"")</f>
        <v/>
      </c>
      <c r="J3162" s="7" t="str">
        <f>IF(Table1[[#This Row],[Is Data Valid]]=TRUE,_xlfn.NORM.S.DIST(Table1[[#This Row],[Birthweight Z-Score]],TRUE)*100,"")</f>
        <v/>
      </c>
      <c r="K3162" s="7" t="str">
        <f>IF(Table1[[#This Row],[Is Data Valid]]=TRUE,_xlfn.NORM.S.DIST(Table1[[#This Row],[Birthweight Z-Score (BW-10%)]],TRUE)*100,"")</f>
        <v/>
      </c>
      <c r="L3162" s="7" t="str">
        <f>IF(Table1[[#This Row],[Is Data Valid]]=TRUE,_xlfn.NORM.S.DIST(Table1[[#This Row],[Birthweight Z-Score (BW+10%)]],TRUE)*100,"")</f>
        <v/>
      </c>
    </row>
    <row r="3163" spans="1:12" x14ac:dyDescent="0.35">
      <c r="A3163" s="3"/>
      <c r="B3163" s="2"/>
      <c r="C3163" s="2"/>
      <c r="D3163" s="2" t="b">
        <f>IF(AND(NOT(ISBLANK(Table1[[#This Row],[Fetal Sex (Male, Female or Unknown)]])),ISNUMBER(Table1[[#This Row],[Birthweight (grams)]]),ISNUMBER(Table1[[#This Row],[Gestation (days)]])),TRUE,FALSE)</f>
        <v>0</v>
      </c>
      <c r="E3163" s="2" t="str">
        <f>IF(Table1[[#This Row],[Is Data Valid]]=TRUE,IF(Table1[[#This Row],[Fetal Sex (Male, Female or Unknown)]]="Male",Backend!$C$6,IF(Table1[[#This Row],[Fetal Sex (Male, Female or Unknown)]]="Female",Backend!$C$7,IF(Table1[[#This Row],[Fetal Sex (Male, Female or Unknown)]]="Unknown",Backend!$C$8,"Error"))),"")</f>
        <v/>
      </c>
      <c r="F3163" s="8" t="str">
        <f>IF(Table1[[#This Row],[Is Data Valid]]=TRUE,EXP(0.578+0.332*((Table1[[#This Row],[Gestation (days)]]+0.5)/7)-0.00354*((Table1[[#This Row],[Gestation (days)]]+0.5)/7)^2)*Table1[[#This Row],[BW40_3705]],"")</f>
        <v/>
      </c>
      <c r="G3163" s="2" t="str">
        <f>IF(Table1[[#This Row],[Is Data Valid]]=TRUE,((Table1[[#This Row],[Birthweight (grams)]]/Table1[[#This Row],[BW_GA]])-1)/(Backend!$B$4/100*Table1[[#This Row],[BW40_3705]]),"")</f>
        <v/>
      </c>
      <c r="H3163" s="7" t="str">
        <f>IF(Table1[[#This Row],[Is Data Valid]]=TRUE,((Table1[[#This Row],[Birthweight (grams)]]*0.9/Table1[[#This Row],[BW_GA]])-1)/(Backend!$B$4/100*Table1[[#This Row],[BW40_3705]]),"")</f>
        <v/>
      </c>
      <c r="I3163" s="7" t="str">
        <f>IF(Table1[[#This Row],[Is Data Valid]]=TRUE,((Table1[[#This Row],[Birthweight (grams)]]*1.1/Table1[[#This Row],[BW_GA]])-1)/(Backend!$B$4/100*Table1[[#This Row],[BW40_3705]]),"")</f>
        <v/>
      </c>
      <c r="J3163" s="7" t="str">
        <f>IF(Table1[[#This Row],[Is Data Valid]]=TRUE,_xlfn.NORM.S.DIST(Table1[[#This Row],[Birthweight Z-Score]],TRUE)*100,"")</f>
        <v/>
      </c>
      <c r="K3163" s="7" t="str">
        <f>IF(Table1[[#This Row],[Is Data Valid]]=TRUE,_xlfn.NORM.S.DIST(Table1[[#This Row],[Birthweight Z-Score (BW-10%)]],TRUE)*100,"")</f>
        <v/>
      </c>
      <c r="L3163" s="7" t="str">
        <f>IF(Table1[[#This Row],[Is Data Valid]]=TRUE,_xlfn.NORM.S.DIST(Table1[[#This Row],[Birthweight Z-Score (BW+10%)]],TRUE)*100,"")</f>
        <v/>
      </c>
    </row>
    <row r="3164" spans="1:12" x14ac:dyDescent="0.35">
      <c r="A3164" s="3"/>
      <c r="B3164" s="2"/>
      <c r="C3164" s="2"/>
      <c r="D3164" s="2" t="b">
        <f>IF(AND(NOT(ISBLANK(Table1[[#This Row],[Fetal Sex (Male, Female or Unknown)]])),ISNUMBER(Table1[[#This Row],[Birthweight (grams)]]),ISNUMBER(Table1[[#This Row],[Gestation (days)]])),TRUE,FALSE)</f>
        <v>0</v>
      </c>
      <c r="E3164" s="2" t="str">
        <f>IF(Table1[[#This Row],[Is Data Valid]]=TRUE,IF(Table1[[#This Row],[Fetal Sex (Male, Female or Unknown)]]="Male",Backend!$C$6,IF(Table1[[#This Row],[Fetal Sex (Male, Female or Unknown)]]="Female",Backend!$C$7,IF(Table1[[#This Row],[Fetal Sex (Male, Female or Unknown)]]="Unknown",Backend!$C$8,"Error"))),"")</f>
        <v/>
      </c>
      <c r="F3164" s="8" t="str">
        <f>IF(Table1[[#This Row],[Is Data Valid]]=TRUE,EXP(0.578+0.332*((Table1[[#This Row],[Gestation (days)]]+0.5)/7)-0.00354*((Table1[[#This Row],[Gestation (days)]]+0.5)/7)^2)*Table1[[#This Row],[BW40_3705]],"")</f>
        <v/>
      </c>
      <c r="G3164" s="2" t="str">
        <f>IF(Table1[[#This Row],[Is Data Valid]]=TRUE,((Table1[[#This Row],[Birthweight (grams)]]/Table1[[#This Row],[BW_GA]])-1)/(Backend!$B$4/100*Table1[[#This Row],[BW40_3705]]),"")</f>
        <v/>
      </c>
      <c r="H3164" s="7" t="str">
        <f>IF(Table1[[#This Row],[Is Data Valid]]=TRUE,((Table1[[#This Row],[Birthweight (grams)]]*0.9/Table1[[#This Row],[BW_GA]])-1)/(Backend!$B$4/100*Table1[[#This Row],[BW40_3705]]),"")</f>
        <v/>
      </c>
      <c r="I3164" s="7" t="str">
        <f>IF(Table1[[#This Row],[Is Data Valid]]=TRUE,((Table1[[#This Row],[Birthweight (grams)]]*1.1/Table1[[#This Row],[BW_GA]])-1)/(Backend!$B$4/100*Table1[[#This Row],[BW40_3705]]),"")</f>
        <v/>
      </c>
      <c r="J3164" s="7" t="str">
        <f>IF(Table1[[#This Row],[Is Data Valid]]=TRUE,_xlfn.NORM.S.DIST(Table1[[#This Row],[Birthweight Z-Score]],TRUE)*100,"")</f>
        <v/>
      </c>
      <c r="K3164" s="7" t="str">
        <f>IF(Table1[[#This Row],[Is Data Valid]]=TRUE,_xlfn.NORM.S.DIST(Table1[[#This Row],[Birthweight Z-Score (BW-10%)]],TRUE)*100,"")</f>
        <v/>
      </c>
      <c r="L3164" s="7" t="str">
        <f>IF(Table1[[#This Row],[Is Data Valid]]=TRUE,_xlfn.NORM.S.DIST(Table1[[#This Row],[Birthweight Z-Score (BW+10%)]],TRUE)*100,"")</f>
        <v/>
      </c>
    </row>
    <row r="3165" spans="1:12" x14ac:dyDescent="0.35">
      <c r="A3165" s="3"/>
      <c r="B3165" s="2"/>
      <c r="C3165" s="2"/>
      <c r="D3165" s="2" t="b">
        <f>IF(AND(NOT(ISBLANK(Table1[[#This Row],[Fetal Sex (Male, Female or Unknown)]])),ISNUMBER(Table1[[#This Row],[Birthweight (grams)]]),ISNUMBER(Table1[[#This Row],[Gestation (days)]])),TRUE,FALSE)</f>
        <v>0</v>
      </c>
      <c r="E3165" s="2" t="str">
        <f>IF(Table1[[#This Row],[Is Data Valid]]=TRUE,IF(Table1[[#This Row],[Fetal Sex (Male, Female or Unknown)]]="Male",Backend!$C$6,IF(Table1[[#This Row],[Fetal Sex (Male, Female or Unknown)]]="Female",Backend!$C$7,IF(Table1[[#This Row],[Fetal Sex (Male, Female or Unknown)]]="Unknown",Backend!$C$8,"Error"))),"")</f>
        <v/>
      </c>
      <c r="F3165" s="8" t="str">
        <f>IF(Table1[[#This Row],[Is Data Valid]]=TRUE,EXP(0.578+0.332*((Table1[[#This Row],[Gestation (days)]]+0.5)/7)-0.00354*((Table1[[#This Row],[Gestation (days)]]+0.5)/7)^2)*Table1[[#This Row],[BW40_3705]],"")</f>
        <v/>
      </c>
      <c r="G3165" s="2" t="str">
        <f>IF(Table1[[#This Row],[Is Data Valid]]=TRUE,((Table1[[#This Row],[Birthweight (grams)]]/Table1[[#This Row],[BW_GA]])-1)/(Backend!$B$4/100*Table1[[#This Row],[BW40_3705]]),"")</f>
        <v/>
      </c>
      <c r="H3165" s="7" t="str">
        <f>IF(Table1[[#This Row],[Is Data Valid]]=TRUE,((Table1[[#This Row],[Birthweight (grams)]]*0.9/Table1[[#This Row],[BW_GA]])-1)/(Backend!$B$4/100*Table1[[#This Row],[BW40_3705]]),"")</f>
        <v/>
      </c>
      <c r="I3165" s="7" t="str">
        <f>IF(Table1[[#This Row],[Is Data Valid]]=TRUE,((Table1[[#This Row],[Birthweight (grams)]]*1.1/Table1[[#This Row],[BW_GA]])-1)/(Backend!$B$4/100*Table1[[#This Row],[BW40_3705]]),"")</f>
        <v/>
      </c>
      <c r="J3165" s="7" t="str">
        <f>IF(Table1[[#This Row],[Is Data Valid]]=TRUE,_xlfn.NORM.S.DIST(Table1[[#This Row],[Birthweight Z-Score]],TRUE)*100,"")</f>
        <v/>
      </c>
      <c r="K3165" s="7" t="str">
        <f>IF(Table1[[#This Row],[Is Data Valid]]=TRUE,_xlfn.NORM.S.DIST(Table1[[#This Row],[Birthweight Z-Score (BW-10%)]],TRUE)*100,"")</f>
        <v/>
      </c>
      <c r="L3165" s="7" t="str">
        <f>IF(Table1[[#This Row],[Is Data Valid]]=TRUE,_xlfn.NORM.S.DIST(Table1[[#This Row],[Birthweight Z-Score (BW+10%)]],TRUE)*100,"")</f>
        <v/>
      </c>
    </row>
    <row r="3166" spans="1:12" x14ac:dyDescent="0.35">
      <c r="A3166" s="3"/>
      <c r="B3166" s="2"/>
      <c r="C3166" s="2"/>
      <c r="D3166" s="2" t="b">
        <f>IF(AND(NOT(ISBLANK(Table1[[#This Row],[Fetal Sex (Male, Female or Unknown)]])),ISNUMBER(Table1[[#This Row],[Birthweight (grams)]]),ISNUMBER(Table1[[#This Row],[Gestation (days)]])),TRUE,FALSE)</f>
        <v>0</v>
      </c>
      <c r="E3166" s="2" t="str">
        <f>IF(Table1[[#This Row],[Is Data Valid]]=TRUE,IF(Table1[[#This Row],[Fetal Sex (Male, Female or Unknown)]]="Male",Backend!$C$6,IF(Table1[[#This Row],[Fetal Sex (Male, Female or Unknown)]]="Female",Backend!$C$7,IF(Table1[[#This Row],[Fetal Sex (Male, Female or Unknown)]]="Unknown",Backend!$C$8,"Error"))),"")</f>
        <v/>
      </c>
      <c r="F3166" s="8" t="str">
        <f>IF(Table1[[#This Row],[Is Data Valid]]=TRUE,EXP(0.578+0.332*((Table1[[#This Row],[Gestation (days)]]+0.5)/7)-0.00354*((Table1[[#This Row],[Gestation (days)]]+0.5)/7)^2)*Table1[[#This Row],[BW40_3705]],"")</f>
        <v/>
      </c>
      <c r="G3166" s="2" t="str">
        <f>IF(Table1[[#This Row],[Is Data Valid]]=TRUE,((Table1[[#This Row],[Birthweight (grams)]]/Table1[[#This Row],[BW_GA]])-1)/(Backend!$B$4/100*Table1[[#This Row],[BW40_3705]]),"")</f>
        <v/>
      </c>
      <c r="H3166" s="7" t="str">
        <f>IF(Table1[[#This Row],[Is Data Valid]]=TRUE,((Table1[[#This Row],[Birthweight (grams)]]*0.9/Table1[[#This Row],[BW_GA]])-1)/(Backend!$B$4/100*Table1[[#This Row],[BW40_3705]]),"")</f>
        <v/>
      </c>
      <c r="I3166" s="7" t="str">
        <f>IF(Table1[[#This Row],[Is Data Valid]]=TRUE,((Table1[[#This Row],[Birthweight (grams)]]*1.1/Table1[[#This Row],[BW_GA]])-1)/(Backend!$B$4/100*Table1[[#This Row],[BW40_3705]]),"")</f>
        <v/>
      </c>
      <c r="J3166" s="7" t="str">
        <f>IF(Table1[[#This Row],[Is Data Valid]]=TRUE,_xlfn.NORM.S.DIST(Table1[[#This Row],[Birthweight Z-Score]],TRUE)*100,"")</f>
        <v/>
      </c>
      <c r="K3166" s="7" t="str">
        <f>IF(Table1[[#This Row],[Is Data Valid]]=TRUE,_xlfn.NORM.S.DIST(Table1[[#This Row],[Birthweight Z-Score (BW-10%)]],TRUE)*100,"")</f>
        <v/>
      </c>
      <c r="L3166" s="7" t="str">
        <f>IF(Table1[[#This Row],[Is Data Valid]]=TRUE,_xlfn.NORM.S.DIST(Table1[[#This Row],[Birthweight Z-Score (BW+10%)]],TRUE)*100,"")</f>
        <v/>
      </c>
    </row>
    <row r="3167" spans="1:12" x14ac:dyDescent="0.35">
      <c r="A3167" s="3"/>
      <c r="B3167" s="2"/>
      <c r="C3167" s="2"/>
      <c r="D3167" s="2" t="b">
        <f>IF(AND(NOT(ISBLANK(Table1[[#This Row],[Fetal Sex (Male, Female or Unknown)]])),ISNUMBER(Table1[[#This Row],[Birthweight (grams)]]),ISNUMBER(Table1[[#This Row],[Gestation (days)]])),TRUE,FALSE)</f>
        <v>0</v>
      </c>
      <c r="E3167" s="2" t="str">
        <f>IF(Table1[[#This Row],[Is Data Valid]]=TRUE,IF(Table1[[#This Row],[Fetal Sex (Male, Female or Unknown)]]="Male",Backend!$C$6,IF(Table1[[#This Row],[Fetal Sex (Male, Female or Unknown)]]="Female",Backend!$C$7,IF(Table1[[#This Row],[Fetal Sex (Male, Female or Unknown)]]="Unknown",Backend!$C$8,"Error"))),"")</f>
        <v/>
      </c>
      <c r="F3167" s="8" t="str">
        <f>IF(Table1[[#This Row],[Is Data Valid]]=TRUE,EXP(0.578+0.332*((Table1[[#This Row],[Gestation (days)]]+0.5)/7)-0.00354*((Table1[[#This Row],[Gestation (days)]]+0.5)/7)^2)*Table1[[#This Row],[BW40_3705]],"")</f>
        <v/>
      </c>
      <c r="G3167" s="2" t="str">
        <f>IF(Table1[[#This Row],[Is Data Valid]]=TRUE,((Table1[[#This Row],[Birthweight (grams)]]/Table1[[#This Row],[BW_GA]])-1)/(Backend!$B$4/100*Table1[[#This Row],[BW40_3705]]),"")</f>
        <v/>
      </c>
      <c r="H3167" s="7" t="str">
        <f>IF(Table1[[#This Row],[Is Data Valid]]=TRUE,((Table1[[#This Row],[Birthweight (grams)]]*0.9/Table1[[#This Row],[BW_GA]])-1)/(Backend!$B$4/100*Table1[[#This Row],[BW40_3705]]),"")</f>
        <v/>
      </c>
      <c r="I3167" s="7" t="str">
        <f>IF(Table1[[#This Row],[Is Data Valid]]=TRUE,((Table1[[#This Row],[Birthweight (grams)]]*1.1/Table1[[#This Row],[BW_GA]])-1)/(Backend!$B$4/100*Table1[[#This Row],[BW40_3705]]),"")</f>
        <v/>
      </c>
      <c r="J3167" s="7" t="str">
        <f>IF(Table1[[#This Row],[Is Data Valid]]=TRUE,_xlfn.NORM.S.DIST(Table1[[#This Row],[Birthweight Z-Score]],TRUE)*100,"")</f>
        <v/>
      </c>
      <c r="K3167" s="7" t="str">
        <f>IF(Table1[[#This Row],[Is Data Valid]]=TRUE,_xlfn.NORM.S.DIST(Table1[[#This Row],[Birthweight Z-Score (BW-10%)]],TRUE)*100,"")</f>
        <v/>
      </c>
      <c r="L3167" s="7" t="str">
        <f>IF(Table1[[#This Row],[Is Data Valid]]=TRUE,_xlfn.NORM.S.DIST(Table1[[#This Row],[Birthweight Z-Score (BW+10%)]],TRUE)*100,"")</f>
        <v/>
      </c>
    </row>
    <row r="3168" spans="1:12" x14ac:dyDescent="0.35">
      <c r="A3168" s="3"/>
      <c r="B3168" s="2"/>
      <c r="C3168" s="2"/>
      <c r="D3168" s="2" t="b">
        <f>IF(AND(NOT(ISBLANK(Table1[[#This Row],[Fetal Sex (Male, Female or Unknown)]])),ISNUMBER(Table1[[#This Row],[Birthweight (grams)]]),ISNUMBER(Table1[[#This Row],[Gestation (days)]])),TRUE,FALSE)</f>
        <v>0</v>
      </c>
      <c r="E3168" s="2" t="str">
        <f>IF(Table1[[#This Row],[Is Data Valid]]=TRUE,IF(Table1[[#This Row],[Fetal Sex (Male, Female or Unknown)]]="Male",Backend!$C$6,IF(Table1[[#This Row],[Fetal Sex (Male, Female or Unknown)]]="Female",Backend!$C$7,IF(Table1[[#This Row],[Fetal Sex (Male, Female or Unknown)]]="Unknown",Backend!$C$8,"Error"))),"")</f>
        <v/>
      </c>
      <c r="F3168" s="8" t="str">
        <f>IF(Table1[[#This Row],[Is Data Valid]]=TRUE,EXP(0.578+0.332*((Table1[[#This Row],[Gestation (days)]]+0.5)/7)-0.00354*((Table1[[#This Row],[Gestation (days)]]+0.5)/7)^2)*Table1[[#This Row],[BW40_3705]],"")</f>
        <v/>
      </c>
      <c r="G3168" s="2" t="str">
        <f>IF(Table1[[#This Row],[Is Data Valid]]=TRUE,((Table1[[#This Row],[Birthweight (grams)]]/Table1[[#This Row],[BW_GA]])-1)/(Backend!$B$4/100*Table1[[#This Row],[BW40_3705]]),"")</f>
        <v/>
      </c>
      <c r="H3168" s="7" t="str">
        <f>IF(Table1[[#This Row],[Is Data Valid]]=TRUE,((Table1[[#This Row],[Birthweight (grams)]]*0.9/Table1[[#This Row],[BW_GA]])-1)/(Backend!$B$4/100*Table1[[#This Row],[BW40_3705]]),"")</f>
        <v/>
      </c>
      <c r="I3168" s="7" t="str">
        <f>IF(Table1[[#This Row],[Is Data Valid]]=TRUE,((Table1[[#This Row],[Birthweight (grams)]]*1.1/Table1[[#This Row],[BW_GA]])-1)/(Backend!$B$4/100*Table1[[#This Row],[BW40_3705]]),"")</f>
        <v/>
      </c>
      <c r="J3168" s="7" t="str">
        <f>IF(Table1[[#This Row],[Is Data Valid]]=TRUE,_xlfn.NORM.S.DIST(Table1[[#This Row],[Birthweight Z-Score]],TRUE)*100,"")</f>
        <v/>
      </c>
      <c r="K3168" s="7" t="str">
        <f>IF(Table1[[#This Row],[Is Data Valid]]=TRUE,_xlfn.NORM.S.DIST(Table1[[#This Row],[Birthweight Z-Score (BW-10%)]],TRUE)*100,"")</f>
        <v/>
      </c>
      <c r="L3168" s="7" t="str">
        <f>IF(Table1[[#This Row],[Is Data Valid]]=TRUE,_xlfn.NORM.S.DIST(Table1[[#This Row],[Birthweight Z-Score (BW+10%)]],TRUE)*100,"")</f>
        <v/>
      </c>
    </row>
    <row r="3169" spans="1:12" x14ac:dyDescent="0.35">
      <c r="A3169" s="3"/>
      <c r="B3169" s="2"/>
      <c r="C3169" s="2"/>
      <c r="D3169" s="2" t="b">
        <f>IF(AND(NOT(ISBLANK(Table1[[#This Row],[Fetal Sex (Male, Female or Unknown)]])),ISNUMBER(Table1[[#This Row],[Birthweight (grams)]]),ISNUMBER(Table1[[#This Row],[Gestation (days)]])),TRUE,FALSE)</f>
        <v>0</v>
      </c>
      <c r="E3169" s="2" t="str">
        <f>IF(Table1[[#This Row],[Is Data Valid]]=TRUE,IF(Table1[[#This Row],[Fetal Sex (Male, Female or Unknown)]]="Male",Backend!$C$6,IF(Table1[[#This Row],[Fetal Sex (Male, Female or Unknown)]]="Female",Backend!$C$7,IF(Table1[[#This Row],[Fetal Sex (Male, Female or Unknown)]]="Unknown",Backend!$C$8,"Error"))),"")</f>
        <v/>
      </c>
      <c r="F3169" s="8" t="str">
        <f>IF(Table1[[#This Row],[Is Data Valid]]=TRUE,EXP(0.578+0.332*((Table1[[#This Row],[Gestation (days)]]+0.5)/7)-0.00354*((Table1[[#This Row],[Gestation (days)]]+0.5)/7)^2)*Table1[[#This Row],[BW40_3705]],"")</f>
        <v/>
      </c>
      <c r="G3169" s="2" t="str">
        <f>IF(Table1[[#This Row],[Is Data Valid]]=TRUE,((Table1[[#This Row],[Birthweight (grams)]]/Table1[[#This Row],[BW_GA]])-1)/(Backend!$B$4/100*Table1[[#This Row],[BW40_3705]]),"")</f>
        <v/>
      </c>
      <c r="H3169" s="7" t="str">
        <f>IF(Table1[[#This Row],[Is Data Valid]]=TRUE,((Table1[[#This Row],[Birthweight (grams)]]*0.9/Table1[[#This Row],[BW_GA]])-1)/(Backend!$B$4/100*Table1[[#This Row],[BW40_3705]]),"")</f>
        <v/>
      </c>
      <c r="I3169" s="7" t="str">
        <f>IF(Table1[[#This Row],[Is Data Valid]]=TRUE,((Table1[[#This Row],[Birthweight (grams)]]*1.1/Table1[[#This Row],[BW_GA]])-1)/(Backend!$B$4/100*Table1[[#This Row],[BW40_3705]]),"")</f>
        <v/>
      </c>
      <c r="J3169" s="7" t="str">
        <f>IF(Table1[[#This Row],[Is Data Valid]]=TRUE,_xlfn.NORM.S.DIST(Table1[[#This Row],[Birthweight Z-Score]],TRUE)*100,"")</f>
        <v/>
      </c>
      <c r="K3169" s="7" t="str">
        <f>IF(Table1[[#This Row],[Is Data Valid]]=TRUE,_xlfn.NORM.S.DIST(Table1[[#This Row],[Birthweight Z-Score (BW-10%)]],TRUE)*100,"")</f>
        <v/>
      </c>
      <c r="L3169" s="7" t="str">
        <f>IF(Table1[[#This Row],[Is Data Valid]]=TRUE,_xlfn.NORM.S.DIST(Table1[[#This Row],[Birthweight Z-Score (BW+10%)]],TRUE)*100,"")</f>
        <v/>
      </c>
    </row>
    <row r="3170" spans="1:12" x14ac:dyDescent="0.35">
      <c r="A3170" s="3"/>
      <c r="B3170" s="2"/>
      <c r="C3170" s="2"/>
      <c r="D3170" s="2" t="b">
        <f>IF(AND(NOT(ISBLANK(Table1[[#This Row],[Fetal Sex (Male, Female or Unknown)]])),ISNUMBER(Table1[[#This Row],[Birthweight (grams)]]),ISNUMBER(Table1[[#This Row],[Gestation (days)]])),TRUE,FALSE)</f>
        <v>0</v>
      </c>
      <c r="E3170" s="2" t="str">
        <f>IF(Table1[[#This Row],[Is Data Valid]]=TRUE,IF(Table1[[#This Row],[Fetal Sex (Male, Female or Unknown)]]="Male",Backend!$C$6,IF(Table1[[#This Row],[Fetal Sex (Male, Female or Unknown)]]="Female",Backend!$C$7,IF(Table1[[#This Row],[Fetal Sex (Male, Female or Unknown)]]="Unknown",Backend!$C$8,"Error"))),"")</f>
        <v/>
      </c>
      <c r="F3170" s="8" t="str">
        <f>IF(Table1[[#This Row],[Is Data Valid]]=TRUE,EXP(0.578+0.332*((Table1[[#This Row],[Gestation (days)]]+0.5)/7)-0.00354*((Table1[[#This Row],[Gestation (days)]]+0.5)/7)^2)*Table1[[#This Row],[BW40_3705]],"")</f>
        <v/>
      </c>
      <c r="G3170" s="2" t="str">
        <f>IF(Table1[[#This Row],[Is Data Valid]]=TRUE,((Table1[[#This Row],[Birthweight (grams)]]/Table1[[#This Row],[BW_GA]])-1)/(Backend!$B$4/100*Table1[[#This Row],[BW40_3705]]),"")</f>
        <v/>
      </c>
      <c r="H3170" s="7" t="str">
        <f>IF(Table1[[#This Row],[Is Data Valid]]=TRUE,((Table1[[#This Row],[Birthweight (grams)]]*0.9/Table1[[#This Row],[BW_GA]])-1)/(Backend!$B$4/100*Table1[[#This Row],[BW40_3705]]),"")</f>
        <v/>
      </c>
      <c r="I3170" s="7" t="str">
        <f>IF(Table1[[#This Row],[Is Data Valid]]=TRUE,((Table1[[#This Row],[Birthweight (grams)]]*1.1/Table1[[#This Row],[BW_GA]])-1)/(Backend!$B$4/100*Table1[[#This Row],[BW40_3705]]),"")</f>
        <v/>
      </c>
      <c r="J3170" s="7" t="str">
        <f>IF(Table1[[#This Row],[Is Data Valid]]=TRUE,_xlfn.NORM.S.DIST(Table1[[#This Row],[Birthweight Z-Score]],TRUE)*100,"")</f>
        <v/>
      </c>
      <c r="K3170" s="7" t="str">
        <f>IF(Table1[[#This Row],[Is Data Valid]]=TRUE,_xlfn.NORM.S.DIST(Table1[[#This Row],[Birthweight Z-Score (BW-10%)]],TRUE)*100,"")</f>
        <v/>
      </c>
      <c r="L3170" s="7" t="str">
        <f>IF(Table1[[#This Row],[Is Data Valid]]=TRUE,_xlfn.NORM.S.DIST(Table1[[#This Row],[Birthweight Z-Score (BW+10%)]],TRUE)*100,"")</f>
        <v/>
      </c>
    </row>
    <row r="3171" spans="1:12" x14ac:dyDescent="0.35">
      <c r="A3171" s="3"/>
      <c r="B3171" s="2"/>
      <c r="C3171" s="2"/>
      <c r="D3171" s="2" t="b">
        <f>IF(AND(NOT(ISBLANK(Table1[[#This Row],[Fetal Sex (Male, Female or Unknown)]])),ISNUMBER(Table1[[#This Row],[Birthweight (grams)]]),ISNUMBER(Table1[[#This Row],[Gestation (days)]])),TRUE,FALSE)</f>
        <v>0</v>
      </c>
      <c r="E3171" s="2" t="str">
        <f>IF(Table1[[#This Row],[Is Data Valid]]=TRUE,IF(Table1[[#This Row],[Fetal Sex (Male, Female or Unknown)]]="Male",Backend!$C$6,IF(Table1[[#This Row],[Fetal Sex (Male, Female or Unknown)]]="Female",Backend!$C$7,IF(Table1[[#This Row],[Fetal Sex (Male, Female or Unknown)]]="Unknown",Backend!$C$8,"Error"))),"")</f>
        <v/>
      </c>
      <c r="F3171" s="8" t="str">
        <f>IF(Table1[[#This Row],[Is Data Valid]]=TRUE,EXP(0.578+0.332*((Table1[[#This Row],[Gestation (days)]]+0.5)/7)-0.00354*((Table1[[#This Row],[Gestation (days)]]+0.5)/7)^2)*Table1[[#This Row],[BW40_3705]],"")</f>
        <v/>
      </c>
      <c r="G3171" s="2" t="str">
        <f>IF(Table1[[#This Row],[Is Data Valid]]=TRUE,((Table1[[#This Row],[Birthweight (grams)]]/Table1[[#This Row],[BW_GA]])-1)/(Backend!$B$4/100*Table1[[#This Row],[BW40_3705]]),"")</f>
        <v/>
      </c>
      <c r="H3171" s="7" t="str">
        <f>IF(Table1[[#This Row],[Is Data Valid]]=TRUE,((Table1[[#This Row],[Birthweight (grams)]]*0.9/Table1[[#This Row],[BW_GA]])-1)/(Backend!$B$4/100*Table1[[#This Row],[BW40_3705]]),"")</f>
        <v/>
      </c>
      <c r="I3171" s="7" t="str">
        <f>IF(Table1[[#This Row],[Is Data Valid]]=TRUE,((Table1[[#This Row],[Birthweight (grams)]]*1.1/Table1[[#This Row],[BW_GA]])-1)/(Backend!$B$4/100*Table1[[#This Row],[BW40_3705]]),"")</f>
        <v/>
      </c>
      <c r="J3171" s="7" t="str">
        <f>IF(Table1[[#This Row],[Is Data Valid]]=TRUE,_xlfn.NORM.S.DIST(Table1[[#This Row],[Birthweight Z-Score]],TRUE)*100,"")</f>
        <v/>
      </c>
      <c r="K3171" s="7" t="str">
        <f>IF(Table1[[#This Row],[Is Data Valid]]=TRUE,_xlfn.NORM.S.DIST(Table1[[#This Row],[Birthweight Z-Score (BW-10%)]],TRUE)*100,"")</f>
        <v/>
      </c>
      <c r="L3171" s="7" t="str">
        <f>IF(Table1[[#This Row],[Is Data Valid]]=TRUE,_xlfn.NORM.S.DIST(Table1[[#This Row],[Birthweight Z-Score (BW+10%)]],TRUE)*100,"")</f>
        <v/>
      </c>
    </row>
    <row r="3172" spans="1:12" x14ac:dyDescent="0.35">
      <c r="A3172" s="3"/>
      <c r="B3172" s="2"/>
      <c r="C3172" s="2"/>
      <c r="D3172" s="2" t="b">
        <f>IF(AND(NOT(ISBLANK(Table1[[#This Row],[Fetal Sex (Male, Female or Unknown)]])),ISNUMBER(Table1[[#This Row],[Birthweight (grams)]]),ISNUMBER(Table1[[#This Row],[Gestation (days)]])),TRUE,FALSE)</f>
        <v>0</v>
      </c>
      <c r="E3172" s="2" t="str">
        <f>IF(Table1[[#This Row],[Is Data Valid]]=TRUE,IF(Table1[[#This Row],[Fetal Sex (Male, Female or Unknown)]]="Male",Backend!$C$6,IF(Table1[[#This Row],[Fetal Sex (Male, Female or Unknown)]]="Female",Backend!$C$7,IF(Table1[[#This Row],[Fetal Sex (Male, Female or Unknown)]]="Unknown",Backend!$C$8,"Error"))),"")</f>
        <v/>
      </c>
      <c r="F3172" s="8" t="str">
        <f>IF(Table1[[#This Row],[Is Data Valid]]=TRUE,EXP(0.578+0.332*((Table1[[#This Row],[Gestation (days)]]+0.5)/7)-0.00354*((Table1[[#This Row],[Gestation (days)]]+0.5)/7)^2)*Table1[[#This Row],[BW40_3705]],"")</f>
        <v/>
      </c>
      <c r="G3172" s="2" t="str">
        <f>IF(Table1[[#This Row],[Is Data Valid]]=TRUE,((Table1[[#This Row],[Birthweight (grams)]]/Table1[[#This Row],[BW_GA]])-1)/(Backend!$B$4/100*Table1[[#This Row],[BW40_3705]]),"")</f>
        <v/>
      </c>
      <c r="H3172" s="7" t="str">
        <f>IF(Table1[[#This Row],[Is Data Valid]]=TRUE,((Table1[[#This Row],[Birthweight (grams)]]*0.9/Table1[[#This Row],[BW_GA]])-1)/(Backend!$B$4/100*Table1[[#This Row],[BW40_3705]]),"")</f>
        <v/>
      </c>
      <c r="I3172" s="7" t="str">
        <f>IF(Table1[[#This Row],[Is Data Valid]]=TRUE,((Table1[[#This Row],[Birthweight (grams)]]*1.1/Table1[[#This Row],[BW_GA]])-1)/(Backend!$B$4/100*Table1[[#This Row],[BW40_3705]]),"")</f>
        <v/>
      </c>
      <c r="J3172" s="7" t="str">
        <f>IF(Table1[[#This Row],[Is Data Valid]]=TRUE,_xlfn.NORM.S.DIST(Table1[[#This Row],[Birthweight Z-Score]],TRUE)*100,"")</f>
        <v/>
      </c>
      <c r="K3172" s="7" t="str">
        <f>IF(Table1[[#This Row],[Is Data Valid]]=TRUE,_xlfn.NORM.S.DIST(Table1[[#This Row],[Birthweight Z-Score (BW-10%)]],TRUE)*100,"")</f>
        <v/>
      </c>
      <c r="L3172" s="7" t="str">
        <f>IF(Table1[[#This Row],[Is Data Valid]]=TRUE,_xlfn.NORM.S.DIST(Table1[[#This Row],[Birthweight Z-Score (BW+10%)]],TRUE)*100,"")</f>
        <v/>
      </c>
    </row>
    <row r="3173" spans="1:12" x14ac:dyDescent="0.35">
      <c r="A3173" s="3"/>
      <c r="B3173" s="2"/>
      <c r="C3173" s="2"/>
      <c r="D3173" s="2" t="b">
        <f>IF(AND(NOT(ISBLANK(Table1[[#This Row],[Fetal Sex (Male, Female or Unknown)]])),ISNUMBER(Table1[[#This Row],[Birthweight (grams)]]),ISNUMBER(Table1[[#This Row],[Gestation (days)]])),TRUE,FALSE)</f>
        <v>0</v>
      </c>
      <c r="E3173" s="2" t="str">
        <f>IF(Table1[[#This Row],[Is Data Valid]]=TRUE,IF(Table1[[#This Row],[Fetal Sex (Male, Female or Unknown)]]="Male",Backend!$C$6,IF(Table1[[#This Row],[Fetal Sex (Male, Female or Unknown)]]="Female",Backend!$C$7,IF(Table1[[#This Row],[Fetal Sex (Male, Female or Unknown)]]="Unknown",Backend!$C$8,"Error"))),"")</f>
        <v/>
      </c>
      <c r="F3173" s="8" t="str">
        <f>IF(Table1[[#This Row],[Is Data Valid]]=TRUE,EXP(0.578+0.332*((Table1[[#This Row],[Gestation (days)]]+0.5)/7)-0.00354*((Table1[[#This Row],[Gestation (days)]]+0.5)/7)^2)*Table1[[#This Row],[BW40_3705]],"")</f>
        <v/>
      </c>
      <c r="G3173" s="2" t="str">
        <f>IF(Table1[[#This Row],[Is Data Valid]]=TRUE,((Table1[[#This Row],[Birthweight (grams)]]/Table1[[#This Row],[BW_GA]])-1)/(Backend!$B$4/100*Table1[[#This Row],[BW40_3705]]),"")</f>
        <v/>
      </c>
      <c r="H3173" s="7" t="str">
        <f>IF(Table1[[#This Row],[Is Data Valid]]=TRUE,((Table1[[#This Row],[Birthweight (grams)]]*0.9/Table1[[#This Row],[BW_GA]])-1)/(Backend!$B$4/100*Table1[[#This Row],[BW40_3705]]),"")</f>
        <v/>
      </c>
      <c r="I3173" s="7" t="str">
        <f>IF(Table1[[#This Row],[Is Data Valid]]=TRUE,((Table1[[#This Row],[Birthweight (grams)]]*1.1/Table1[[#This Row],[BW_GA]])-1)/(Backend!$B$4/100*Table1[[#This Row],[BW40_3705]]),"")</f>
        <v/>
      </c>
      <c r="J3173" s="7" t="str">
        <f>IF(Table1[[#This Row],[Is Data Valid]]=TRUE,_xlfn.NORM.S.DIST(Table1[[#This Row],[Birthweight Z-Score]],TRUE)*100,"")</f>
        <v/>
      </c>
      <c r="K3173" s="7" t="str">
        <f>IF(Table1[[#This Row],[Is Data Valid]]=TRUE,_xlfn.NORM.S.DIST(Table1[[#This Row],[Birthweight Z-Score (BW-10%)]],TRUE)*100,"")</f>
        <v/>
      </c>
      <c r="L3173" s="7" t="str">
        <f>IF(Table1[[#This Row],[Is Data Valid]]=TRUE,_xlfn.NORM.S.DIST(Table1[[#This Row],[Birthweight Z-Score (BW+10%)]],TRUE)*100,"")</f>
        <v/>
      </c>
    </row>
    <row r="3174" spans="1:12" x14ac:dyDescent="0.35">
      <c r="A3174" s="3"/>
      <c r="B3174" s="2"/>
      <c r="C3174" s="2"/>
      <c r="D3174" s="2" t="b">
        <f>IF(AND(NOT(ISBLANK(Table1[[#This Row],[Fetal Sex (Male, Female or Unknown)]])),ISNUMBER(Table1[[#This Row],[Birthweight (grams)]]),ISNUMBER(Table1[[#This Row],[Gestation (days)]])),TRUE,FALSE)</f>
        <v>0</v>
      </c>
      <c r="E3174" s="2" t="str">
        <f>IF(Table1[[#This Row],[Is Data Valid]]=TRUE,IF(Table1[[#This Row],[Fetal Sex (Male, Female or Unknown)]]="Male",Backend!$C$6,IF(Table1[[#This Row],[Fetal Sex (Male, Female or Unknown)]]="Female",Backend!$C$7,IF(Table1[[#This Row],[Fetal Sex (Male, Female or Unknown)]]="Unknown",Backend!$C$8,"Error"))),"")</f>
        <v/>
      </c>
      <c r="F3174" s="8" t="str">
        <f>IF(Table1[[#This Row],[Is Data Valid]]=TRUE,EXP(0.578+0.332*((Table1[[#This Row],[Gestation (days)]]+0.5)/7)-0.00354*((Table1[[#This Row],[Gestation (days)]]+0.5)/7)^2)*Table1[[#This Row],[BW40_3705]],"")</f>
        <v/>
      </c>
      <c r="G3174" s="2" t="str">
        <f>IF(Table1[[#This Row],[Is Data Valid]]=TRUE,((Table1[[#This Row],[Birthweight (grams)]]/Table1[[#This Row],[BW_GA]])-1)/(Backend!$B$4/100*Table1[[#This Row],[BW40_3705]]),"")</f>
        <v/>
      </c>
      <c r="H3174" s="7" t="str">
        <f>IF(Table1[[#This Row],[Is Data Valid]]=TRUE,((Table1[[#This Row],[Birthweight (grams)]]*0.9/Table1[[#This Row],[BW_GA]])-1)/(Backend!$B$4/100*Table1[[#This Row],[BW40_3705]]),"")</f>
        <v/>
      </c>
      <c r="I3174" s="7" t="str">
        <f>IF(Table1[[#This Row],[Is Data Valid]]=TRUE,((Table1[[#This Row],[Birthweight (grams)]]*1.1/Table1[[#This Row],[BW_GA]])-1)/(Backend!$B$4/100*Table1[[#This Row],[BW40_3705]]),"")</f>
        <v/>
      </c>
      <c r="J3174" s="7" t="str">
        <f>IF(Table1[[#This Row],[Is Data Valid]]=TRUE,_xlfn.NORM.S.DIST(Table1[[#This Row],[Birthweight Z-Score]],TRUE)*100,"")</f>
        <v/>
      </c>
      <c r="K3174" s="7" t="str">
        <f>IF(Table1[[#This Row],[Is Data Valid]]=TRUE,_xlfn.NORM.S.DIST(Table1[[#This Row],[Birthweight Z-Score (BW-10%)]],TRUE)*100,"")</f>
        <v/>
      </c>
      <c r="L3174" s="7" t="str">
        <f>IF(Table1[[#This Row],[Is Data Valid]]=TRUE,_xlfn.NORM.S.DIST(Table1[[#This Row],[Birthweight Z-Score (BW+10%)]],TRUE)*100,"")</f>
        <v/>
      </c>
    </row>
    <row r="3175" spans="1:12" x14ac:dyDescent="0.35">
      <c r="A3175" s="3"/>
      <c r="B3175" s="2"/>
      <c r="C3175" s="2"/>
      <c r="D3175" s="2" t="b">
        <f>IF(AND(NOT(ISBLANK(Table1[[#This Row],[Fetal Sex (Male, Female or Unknown)]])),ISNUMBER(Table1[[#This Row],[Birthweight (grams)]]),ISNUMBER(Table1[[#This Row],[Gestation (days)]])),TRUE,FALSE)</f>
        <v>0</v>
      </c>
      <c r="E3175" s="2" t="str">
        <f>IF(Table1[[#This Row],[Is Data Valid]]=TRUE,IF(Table1[[#This Row],[Fetal Sex (Male, Female or Unknown)]]="Male",Backend!$C$6,IF(Table1[[#This Row],[Fetal Sex (Male, Female or Unknown)]]="Female",Backend!$C$7,IF(Table1[[#This Row],[Fetal Sex (Male, Female or Unknown)]]="Unknown",Backend!$C$8,"Error"))),"")</f>
        <v/>
      </c>
      <c r="F3175" s="8" t="str">
        <f>IF(Table1[[#This Row],[Is Data Valid]]=TRUE,EXP(0.578+0.332*((Table1[[#This Row],[Gestation (days)]]+0.5)/7)-0.00354*((Table1[[#This Row],[Gestation (days)]]+0.5)/7)^2)*Table1[[#This Row],[BW40_3705]],"")</f>
        <v/>
      </c>
      <c r="G3175" s="2" t="str">
        <f>IF(Table1[[#This Row],[Is Data Valid]]=TRUE,((Table1[[#This Row],[Birthweight (grams)]]/Table1[[#This Row],[BW_GA]])-1)/(Backend!$B$4/100*Table1[[#This Row],[BW40_3705]]),"")</f>
        <v/>
      </c>
      <c r="H3175" s="7" t="str">
        <f>IF(Table1[[#This Row],[Is Data Valid]]=TRUE,((Table1[[#This Row],[Birthweight (grams)]]*0.9/Table1[[#This Row],[BW_GA]])-1)/(Backend!$B$4/100*Table1[[#This Row],[BW40_3705]]),"")</f>
        <v/>
      </c>
      <c r="I3175" s="7" t="str">
        <f>IF(Table1[[#This Row],[Is Data Valid]]=TRUE,((Table1[[#This Row],[Birthweight (grams)]]*1.1/Table1[[#This Row],[BW_GA]])-1)/(Backend!$B$4/100*Table1[[#This Row],[BW40_3705]]),"")</f>
        <v/>
      </c>
      <c r="J3175" s="7" t="str">
        <f>IF(Table1[[#This Row],[Is Data Valid]]=TRUE,_xlfn.NORM.S.DIST(Table1[[#This Row],[Birthweight Z-Score]],TRUE)*100,"")</f>
        <v/>
      </c>
      <c r="K3175" s="7" t="str">
        <f>IF(Table1[[#This Row],[Is Data Valid]]=TRUE,_xlfn.NORM.S.DIST(Table1[[#This Row],[Birthweight Z-Score (BW-10%)]],TRUE)*100,"")</f>
        <v/>
      </c>
      <c r="L3175" s="7" t="str">
        <f>IF(Table1[[#This Row],[Is Data Valid]]=TRUE,_xlfn.NORM.S.DIST(Table1[[#This Row],[Birthweight Z-Score (BW+10%)]],TRUE)*100,"")</f>
        <v/>
      </c>
    </row>
    <row r="3176" spans="1:12" x14ac:dyDescent="0.35">
      <c r="A3176" s="3"/>
      <c r="B3176" s="2"/>
      <c r="C3176" s="2"/>
      <c r="D3176" s="2" t="b">
        <f>IF(AND(NOT(ISBLANK(Table1[[#This Row],[Fetal Sex (Male, Female or Unknown)]])),ISNUMBER(Table1[[#This Row],[Birthweight (grams)]]),ISNUMBER(Table1[[#This Row],[Gestation (days)]])),TRUE,FALSE)</f>
        <v>0</v>
      </c>
      <c r="E3176" s="2" t="str">
        <f>IF(Table1[[#This Row],[Is Data Valid]]=TRUE,IF(Table1[[#This Row],[Fetal Sex (Male, Female or Unknown)]]="Male",Backend!$C$6,IF(Table1[[#This Row],[Fetal Sex (Male, Female or Unknown)]]="Female",Backend!$C$7,IF(Table1[[#This Row],[Fetal Sex (Male, Female or Unknown)]]="Unknown",Backend!$C$8,"Error"))),"")</f>
        <v/>
      </c>
      <c r="F3176" s="8" t="str">
        <f>IF(Table1[[#This Row],[Is Data Valid]]=TRUE,EXP(0.578+0.332*((Table1[[#This Row],[Gestation (days)]]+0.5)/7)-0.00354*((Table1[[#This Row],[Gestation (days)]]+0.5)/7)^2)*Table1[[#This Row],[BW40_3705]],"")</f>
        <v/>
      </c>
      <c r="G3176" s="2" t="str">
        <f>IF(Table1[[#This Row],[Is Data Valid]]=TRUE,((Table1[[#This Row],[Birthweight (grams)]]/Table1[[#This Row],[BW_GA]])-1)/(Backend!$B$4/100*Table1[[#This Row],[BW40_3705]]),"")</f>
        <v/>
      </c>
      <c r="H3176" s="7" t="str">
        <f>IF(Table1[[#This Row],[Is Data Valid]]=TRUE,((Table1[[#This Row],[Birthweight (grams)]]*0.9/Table1[[#This Row],[BW_GA]])-1)/(Backend!$B$4/100*Table1[[#This Row],[BW40_3705]]),"")</f>
        <v/>
      </c>
      <c r="I3176" s="7" t="str">
        <f>IF(Table1[[#This Row],[Is Data Valid]]=TRUE,((Table1[[#This Row],[Birthweight (grams)]]*1.1/Table1[[#This Row],[BW_GA]])-1)/(Backend!$B$4/100*Table1[[#This Row],[BW40_3705]]),"")</f>
        <v/>
      </c>
      <c r="J3176" s="7" t="str">
        <f>IF(Table1[[#This Row],[Is Data Valid]]=TRUE,_xlfn.NORM.S.DIST(Table1[[#This Row],[Birthweight Z-Score]],TRUE)*100,"")</f>
        <v/>
      </c>
      <c r="K3176" s="7" t="str">
        <f>IF(Table1[[#This Row],[Is Data Valid]]=TRUE,_xlfn.NORM.S.DIST(Table1[[#This Row],[Birthweight Z-Score (BW-10%)]],TRUE)*100,"")</f>
        <v/>
      </c>
      <c r="L3176" s="7" t="str">
        <f>IF(Table1[[#This Row],[Is Data Valid]]=TRUE,_xlfn.NORM.S.DIST(Table1[[#This Row],[Birthweight Z-Score (BW+10%)]],TRUE)*100,"")</f>
        <v/>
      </c>
    </row>
    <row r="3177" spans="1:12" x14ac:dyDescent="0.35">
      <c r="A3177" s="3"/>
      <c r="B3177" s="2"/>
      <c r="C3177" s="2"/>
      <c r="D3177" s="2" t="b">
        <f>IF(AND(NOT(ISBLANK(Table1[[#This Row],[Fetal Sex (Male, Female or Unknown)]])),ISNUMBER(Table1[[#This Row],[Birthweight (grams)]]),ISNUMBER(Table1[[#This Row],[Gestation (days)]])),TRUE,FALSE)</f>
        <v>0</v>
      </c>
      <c r="E3177" s="2" t="str">
        <f>IF(Table1[[#This Row],[Is Data Valid]]=TRUE,IF(Table1[[#This Row],[Fetal Sex (Male, Female or Unknown)]]="Male",Backend!$C$6,IF(Table1[[#This Row],[Fetal Sex (Male, Female or Unknown)]]="Female",Backend!$C$7,IF(Table1[[#This Row],[Fetal Sex (Male, Female or Unknown)]]="Unknown",Backend!$C$8,"Error"))),"")</f>
        <v/>
      </c>
      <c r="F3177" s="8" t="str">
        <f>IF(Table1[[#This Row],[Is Data Valid]]=TRUE,EXP(0.578+0.332*((Table1[[#This Row],[Gestation (days)]]+0.5)/7)-0.00354*((Table1[[#This Row],[Gestation (days)]]+0.5)/7)^2)*Table1[[#This Row],[BW40_3705]],"")</f>
        <v/>
      </c>
      <c r="G3177" s="2" t="str">
        <f>IF(Table1[[#This Row],[Is Data Valid]]=TRUE,((Table1[[#This Row],[Birthweight (grams)]]/Table1[[#This Row],[BW_GA]])-1)/(Backend!$B$4/100*Table1[[#This Row],[BW40_3705]]),"")</f>
        <v/>
      </c>
      <c r="H3177" s="7" t="str">
        <f>IF(Table1[[#This Row],[Is Data Valid]]=TRUE,((Table1[[#This Row],[Birthweight (grams)]]*0.9/Table1[[#This Row],[BW_GA]])-1)/(Backend!$B$4/100*Table1[[#This Row],[BW40_3705]]),"")</f>
        <v/>
      </c>
      <c r="I3177" s="7" t="str">
        <f>IF(Table1[[#This Row],[Is Data Valid]]=TRUE,((Table1[[#This Row],[Birthweight (grams)]]*1.1/Table1[[#This Row],[BW_GA]])-1)/(Backend!$B$4/100*Table1[[#This Row],[BW40_3705]]),"")</f>
        <v/>
      </c>
      <c r="J3177" s="7" t="str">
        <f>IF(Table1[[#This Row],[Is Data Valid]]=TRUE,_xlfn.NORM.S.DIST(Table1[[#This Row],[Birthweight Z-Score]],TRUE)*100,"")</f>
        <v/>
      </c>
      <c r="K3177" s="7" t="str">
        <f>IF(Table1[[#This Row],[Is Data Valid]]=TRUE,_xlfn.NORM.S.DIST(Table1[[#This Row],[Birthweight Z-Score (BW-10%)]],TRUE)*100,"")</f>
        <v/>
      </c>
      <c r="L3177" s="7" t="str">
        <f>IF(Table1[[#This Row],[Is Data Valid]]=TRUE,_xlfn.NORM.S.DIST(Table1[[#This Row],[Birthweight Z-Score (BW+10%)]],TRUE)*100,"")</f>
        <v/>
      </c>
    </row>
    <row r="3178" spans="1:12" x14ac:dyDescent="0.35">
      <c r="A3178" s="3"/>
      <c r="B3178" s="2"/>
      <c r="C3178" s="2"/>
      <c r="D3178" s="2" t="b">
        <f>IF(AND(NOT(ISBLANK(Table1[[#This Row],[Fetal Sex (Male, Female or Unknown)]])),ISNUMBER(Table1[[#This Row],[Birthweight (grams)]]),ISNUMBER(Table1[[#This Row],[Gestation (days)]])),TRUE,FALSE)</f>
        <v>0</v>
      </c>
      <c r="E3178" s="2" t="str">
        <f>IF(Table1[[#This Row],[Is Data Valid]]=TRUE,IF(Table1[[#This Row],[Fetal Sex (Male, Female or Unknown)]]="Male",Backend!$C$6,IF(Table1[[#This Row],[Fetal Sex (Male, Female or Unknown)]]="Female",Backend!$C$7,IF(Table1[[#This Row],[Fetal Sex (Male, Female or Unknown)]]="Unknown",Backend!$C$8,"Error"))),"")</f>
        <v/>
      </c>
      <c r="F3178" s="8" t="str">
        <f>IF(Table1[[#This Row],[Is Data Valid]]=TRUE,EXP(0.578+0.332*((Table1[[#This Row],[Gestation (days)]]+0.5)/7)-0.00354*((Table1[[#This Row],[Gestation (days)]]+0.5)/7)^2)*Table1[[#This Row],[BW40_3705]],"")</f>
        <v/>
      </c>
      <c r="G3178" s="2" t="str">
        <f>IF(Table1[[#This Row],[Is Data Valid]]=TRUE,((Table1[[#This Row],[Birthweight (grams)]]/Table1[[#This Row],[BW_GA]])-1)/(Backend!$B$4/100*Table1[[#This Row],[BW40_3705]]),"")</f>
        <v/>
      </c>
      <c r="H3178" s="7" t="str">
        <f>IF(Table1[[#This Row],[Is Data Valid]]=TRUE,((Table1[[#This Row],[Birthweight (grams)]]*0.9/Table1[[#This Row],[BW_GA]])-1)/(Backend!$B$4/100*Table1[[#This Row],[BW40_3705]]),"")</f>
        <v/>
      </c>
      <c r="I3178" s="7" t="str">
        <f>IF(Table1[[#This Row],[Is Data Valid]]=TRUE,((Table1[[#This Row],[Birthweight (grams)]]*1.1/Table1[[#This Row],[BW_GA]])-1)/(Backend!$B$4/100*Table1[[#This Row],[BW40_3705]]),"")</f>
        <v/>
      </c>
      <c r="J3178" s="7" t="str">
        <f>IF(Table1[[#This Row],[Is Data Valid]]=TRUE,_xlfn.NORM.S.DIST(Table1[[#This Row],[Birthweight Z-Score]],TRUE)*100,"")</f>
        <v/>
      </c>
      <c r="K3178" s="7" t="str">
        <f>IF(Table1[[#This Row],[Is Data Valid]]=TRUE,_xlfn.NORM.S.DIST(Table1[[#This Row],[Birthweight Z-Score (BW-10%)]],TRUE)*100,"")</f>
        <v/>
      </c>
      <c r="L3178" s="7" t="str">
        <f>IF(Table1[[#This Row],[Is Data Valid]]=TRUE,_xlfn.NORM.S.DIST(Table1[[#This Row],[Birthweight Z-Score (BW+10%)]],TRUE)*100,"")</f>
        <v/>
      </c>
    </row>
    <row r="3179" spans="1:12" x14ac:dyDescent="0.35">
      <c r="A3179" s="3"/>
      <c r="B3179" s="2"/>
      <c r="C3179" s="2"/>
      <c r="D3179" s="2" t="b">
        <f>IF(AND(NOT(ISBLANK(Table1[[#This Row],[Fetal Sex (Male, Female or Unknown)]])),ISNUMBER(Table1[[#This Row],[Birthweight (grams)]]),ISNUMBER(Table1[[#This Row],[Gestation (days)]])),TRUE,FALSE)</f>
        <v>0</v>
      </c>
      <c r="E3179" s="2" t="str">
        <f>IF(Table1[[#This Row],[Is Data Valid]]=TRUE,IF(Table1[[#This Row],[Fetal Sex (Male, Female or Unknown)]]="Male",Backend!$C$6,IF(Table1[[#This Row],[Fetal Sex (Male, Female or Unknown)]]="Female",Backend!$C$7,IF(Table1[[#This Row],[Fetal Sex (Male, Female or Unknown)]]="Unknown",Backend!$C$8,"Error"))),"")</f>
        <v/>
      </c>
      <c r="F3179" s="8" t="str">
        <f>IF(Table1[[#This Row],[Is Data Valid]]=TRUE,EXP(0.578+0.332*((Table1[[#This Row],[Gestation (days)]]+0.5)/7)-0.00354*((Table1[[#This Row],[Gestation (days)]]+0.5)/7)^2)*Table1[[#This Row],[BW40_3705]],"")</f>
        <v/>
      </c>
      <c r="G3179" s="2" t="str">
        <f>IF(Table1[[#This Row],[Is Data Valid]]=TRUE,((Table1[[#This Row],[Birthweight (grams)]]/Table1[[#This Row],[BW_GA]])-1)/(Backend!$B$4/100*Table1[[#This Row],[BW40_3705]]),"")</f>
        <v/>
      </c>
      <c r="H3179" s="7" t="str">
        <f>IF(Table1[[#This Row],[Is Data Valid]]=TRUE,((Table1[[#This Row],[Birthweight (grams)]]*0.9/Table1[[#This Row],[BW_GA]])-1)/(Backend!$B$4/100*Table1[[#This Row],[BW40_3705]]),"")</f>
        <v/>
      </c>
      <c r="I3179" s="7" t="str">
        <f>IF(Table1[[#This Row],[Is Data Valid]]=TRUE,((Table1[[#This Row],[Birthweight (grams)]]*1.1/Table1[[#This Row],[BW_GA]])-1)/(Backend!$B$4/100*Table1[[#This Row],[BW40_3705]]),"")</f>
        <v/>
      </c>
      <c r="J3179" s="7" t="str">
        <f>IF(Table1[[#This Row],[Is Data Valid]]=TRUE,_xlfn.NORM.S.DIST(Table1[[#This Row],[Birthweight Z-Score]],TRUE)*100,"")</f>
        <v/>
      </c>
      <c r="K3179" s="7" t="str">
        <f>IF(Table1[[#This Row],[Is Data Valid]]=TRUE,_xlfn.NORM.S.DIST(Table1[[#This Row],[Birthweight Z-Score (BW-10%)]],TRUE)*100,"")</f>
        <v/>
      </c>
      <c r="L3179" s="7" t="str">
        <f>IF(Table1[[#This Row],[Is Data Valid]]=TRUE,_xlfn.NORM.S.DIST(Table1[[#This Row],[Birthweight Z-Score (BW+10%)]],TRUE)*100,"")</f>
        <v/>
      </c>
    </row>
    <row r="3180" spans="1:12" x14ac:dyDescent="0.35">
      <c r="A3180" s="3"/>
      <c r="B3180" s="2"/>
      <c r="C3180" s="2"/>
      <c r="D3180" s="2" t="b">
        <f>IF(AND(NOT(ISBLANK(Table1[[#This Row],[Fetal Sex (Male, Female or Unknown)]])),ISNUMBER(Table1[[#This Row],[Birthweight (grams)]]),ISNUMBER(Table1[[#This Row],[Gestation (days)]])),TRUE,FALSE)</f>
        <v>0</v>
      </c>
      <c r="E3180" s="2" t="str">
        <f>IF(Table1[[#This Row],[Is Data Valid]]=TRUE,IF(Table1[[#This Row],[Fetal Sex (Male, Female or Unknown)]]="Male",Backend!$C$6,IF(Table1[[#This Row],[Fetal Sex (Male, Female or Unknown)]]="Female",Backend!$C$7,IF(Table1[[#This Row],[Fetal Sex (Male, Female or Unknown)]]="Unknown",Backend!$C$8,"Error"))),"")</f>
        <v/>
      </c>
      <c r="F3180" s="8" t="str">
        <f>IF(Table1[[#This Row],[Is Data Valid]]=TRUE,EXP(0.578+0.332*((Table1[[#This Row],[Gestation (days)]]+0.5)/7)-0.00354*((Table1[[#This Row],[Gestation (days)]]+0.5)/7)^2)*Table1[[#This Row],[BW40_3705]],"")</f>
        <v/>
      </c>
      <c r="G3180" s="2" t="str">
        <f>IF(Table1[[#This Row],[Is Data Valid]]=TRUE,((Table1[[#This Row],[Birthweight (grams)]]/Table1[[#This Row],[BW_GA]])-1)/(Backend!$B$4/100*Table1[[#This Row],[BW40_3705]]),"")</f>
        <v/>
      </c>
      <c r="H3180" s="7" t="str">
        <f>IF(Table1[[#This Row],[Is Data Valid]]=TRUE,((Table1[[#This Row],[Birthweight (grams)]]*0.9/Table1[[#This Row],[BW_GA]])-1)/(Backend!$B$4/100*Table1[[#This Row],[BW40_3705]]),"")</f>
        <v/>
      </c>
      <c r="I3180" s="7" t="str">
        <f>IF(Table1[[#This Row],[Is Data Valid]]=TRUE,((Table1[[#This Row],[Birthweight (grams)]]*1.1/Table1[[#This Row],[BW_GA]])-1)/(Backend!$B$4/100*Table1[[#This Row],[BW40_3705]]),"")</f>
        <v/>
      </c>
      <c r="J3180" s="7" t="str">
        <f>IF(Table1[[#This Row],[Is Data Valid]]=TRUE,_xlfn.NORM.S.DIST(Table1[[#This Row],[Birthweight Z-Score]],TRUE)*100,"")</f>
        <v/>
      </c>
      <c r="K3180" s="7" t="str">
        <f>IF(Table1[[#This Row],[Is Data Valid]]=TRUE,_xlfn.NORM.S.DIST(Table1[[#This Row],[Birthweight Z-Score (BW-10%)]],TRUE)*100,"")</f>
        <v/>
      </c>
      <c r="L3180" s="7" t="str">
        <f>IF(Table1[[#This Row],[Is Data Valid]]=TRUE,_xlfn.NORM.S.DIST(Table1[[#This Row],[Birthweight Z-Score (BW+10%)]],TRUE)*100,"")</f>
        <v/>
      </c>
    </row>
    <row r="3181" spans="1:12" x14ac:dyDescent="0.35">
      <c r="A3181" s="3"/>
      <c r="B3181" s="2"/>
      <c r="C3181" s="2"/>
      <c r="D3181" s="2" t="b">
        <f>IF(AND(NOT(ISBLANK(Table1[[#This Row],[Fetal Sex (Male, Female or Unknown)]])),ISNUMBER(Table1[[#This Row],[Birthweight (grams)]]),ISNUMBER(Table1[[#This Row],[Gestation (days)]])),TRUE,FALSE)</f>
        <v>0</v>
      </c>
      <c r="E3181" s="2" t="str">
        <f>IF(Table1[[#This Row],[Is Data Valid]]=TRUE,IF(Table1[[#This Row],[Fetal Sex (Male, Female or Unknown)]]="Male",Backend!$C$6,IF(Table1[[#This Row],[Fetal Sex (Male, Female or Unknown)]]="Female",Backend!$C$7,IF(Table1[[#This Row],[Fetal Sex (Male, Female or Unknown)]]="Unknown",Backend!$C$8,"Error"))),"")</f>
        <v/>
      </c>
      <c r="F3181" s="8" t="str">
        <f>IF(Table1[[#This Row],[Is Data Valid]]=TRUE,EXP(0.578+0.332*((Table1[[#This Row],[Gestation (days)]]+0.5)/7)-0.00354*((Table1[[#This Row],[Gestation (days)]]+0.5)/7)^2)*Table1[[#This Row],[BW40_3705]],"")</f>
        <v/>
      </c>
      <c r="G3181" s="2" t="str">
        <f>IF(Table1[[#This Row],[Is Data Valid]]=TRUE,((Table1[[#This Row],[Birthweight (grams)]]/Table1[[#This Row],[BW_GA]])-1)/(Backend!$B$4/100*Table1[[#This Row],[BW40_3705]]),"")</f>
        <v/>
      </c>
      <c r="H3181" s="7" t="str">
        <f>IF(Table1[[#This Row],[Is Data Valid]]=TRUE,((Table1[[#This Row],[Birthweight (grams)]]*0.9/Table1[[#This Row],[BW_GA]])-1)/(Backend!$B$4/100*Table1[[#This Row],[BW40_3705]]),"")</f>
        <v/>
      </c>
      <c r="I3181" s="7" t="str">
        <f>IF(Table1[[#This Row],[Is Data Valid]]=TRUE,((Table1[[#This Row],[Birthweight (grams)]]*1.1/Table1[[#This Row],[BW_GA]])-1)/(Backend!$B$4/100*Table1[[#This Row],[BW40_3705]]),"")</f>
        <v/>
      </c>
      <c r="J3181" s="7" t="str">
        <f>IF(Table1[[#This Row],[Is Data Valid]]=TRUE,_xlfn.NORM.S.DIST(Table1[[#This Row],[Birthweight Z-Score]],TRUE)*100,"")</f>
        <v/>
      </c>
      <c r="K3181" s="7" t="str">
        <f>IF(Table1[[#This Row],[Is Data Valid]]=TRUE,_xlfn.NORM.S.DIST(Table1[[#This Row],[Birthweight Z-Score (BW-10%)]],TRUE)*100,"")</f>
        <v/>
      </c>
      <c r="L3181" s="7" t="str">
        <f>IF(Table1[[#This Row],[Is Data Valid]]=TRUE,_xlfn.NORM.S.DIST(Table1[[#This Row],[Birthweight Z-Score (BW+10%)]],TRUE)*100,"")</f>
        <v/>
      </c>
    </row>
    <row r="3182" spans="1:12" x14ac:dyDescent="0.35">
      <c r="A3182" s="3"/>
      <c r="B3182" s="2"/>
      <c r="C3182" s="2"/>
      <c r="D3182" s="2" t="b">
        <f>IF(AND(NOT(ISBLANK(Table1[[#This Row],[Fetal Sex (Male, Female or Unknown)]])),ISNUMBER(Table1[[#This Row],[Birthweight (grams)]]),ISNUMBER(Table1[[#This Row],[Gestation (days)]])),TRUE,FALSE)</f>
        <v>0</v>
      </c>
      <c r="E3182" s="2" t="str">
        <f>IF(Table1[[#This Row],[Is Data Valid]]=TRUE,IF(Table1[[#This Row],[Fetal Sex (Male, Female or Unknown)]]="Male",Backend!$C$6,IF(Table1[[#This Row],[Fetal Sex (Male, Female or Unknown)]]="Female",Backend!$C$7,IF(Table1[[#This Row],[Fetal Sex (Male, Female or Unknown)]]="Unknown",Backend!$C$8,"Error"))),"")</f>
        <v/>
      </c>
      <c r="F3182" s="8" t="str">
        <f>IF(Table1[[#This Row],[Is Data Valid]]=TRUE,EXP(0.578+0.332*((Table1[[#This Row],[Gestation (days)]]+0.5)/7)-0.00354*((Table1[[#This Row],[Gestation (days)]]+0.5)/7)^2)*Table1[[#This Row],[BW40_3705]],"")</f>
        <v/>
      </c>
      <c r="G3182" s="2" t="str">
        <f>IF(Table1[[#This Row],[Is Data Valid]]=TRUE,((Table1[[#This Row],[Birthweight (grams)]]/Table1[[#This Row],[BW_GA]])-1)/(Backend!$B$4/100*Table1[[#This Row],[BW40_3705]]),"")</f>
        <v/>
      </c>
      <c r="H3182" s="7" t="str">
        <f>IF(Table1[[#This Row],[Is Data Valid]]=TRUE,((Table1[[#This Row],[Birthweight (grams)]]*0.9/Table1[[#This Row],[BW_GA]])-1)/(Backend!$B$4/100*Table1[[#This Row],[BW40_3705]]),"")</f>
        <v/>
      </c>
      <c r="I3182" s="7" t="str">
        <f>IF(Table1[[#This Row],[Is Data Valid]]=TRUE,((Table1[[#This Row],[Birthweight (grams)]]*1.1/Table1[[#This Row],[BW_GA]])-1)/(Backend!$B$4/100*Table1[[#This Row],[BW40_3705]]),"")</f>
        <v/>
      </c>
      <c r="J3182" s="7" t="str">
        <f>IF(Table1[[#This Row],[Is Data Valid]]=TRUE,_xlfn.NORM.S.DIST(Table1[[#This Row],[Birthweight Z-Score]],TRUE)*100,"")</f>
        <v/>
      </c>
      <c r="K3182" s="7" t="str">
        <f>IF(Table1[[#This Row],[Is Data Valid]]=TRUE,_xlfn.NORM.S.DIST(Table1[[#This Row],[Birthweight Z-Score (BW-10%)]],TRUE)*100,"")</f>
        <v/>
      </c>
      <c r="L3182" s="7" t="str">
        <f>IF(Table1[[#This Row],[Is Data Valid]]=TRUE,_xlfn.NORM.S.DIST(Table1[[#This Row],[Birthweight Z-Score (BW+10%)]],TRUE)*100,"")</f>
        <v/>
      </c>
    </row>
    <row r="3183" spans="1:12" x14ac:dyDescent="0.35">
      <c r="A3183" s="3"/>
      <c r="B3183" s="2"/>
      <c r="C3183" s="2"/>
      <c r="D3183" s="2" t="b">
        <f>IF(AND(NOT(ISBLANK(Table1[[#This Row],[Fetal Sex (Male, Female or Unknown)]])),ISNUMBER(Table1[[#This Row],[Birthweight (grams)]]),ISNUMBER(Table1[[#This Row],[Gestation (days)]])),TRUE,FALSE)</f>
        <v>0</v>
      </c>
      <c r="E3183" s="2" t="str">
        <f>IF(Table1[[#This Row],[Is Data Valid]]=TRUE,IF(Table1[[#This Row],[Fetal Sex (Male, Female or Unknown)]]="Male",Backend!$C$6,IF(Table1[[#This Row],[Fetal Sex (Male, Female or Unknown)]]="Female",Backend!$C$7,IF(Table1[[#This Row],[Fetal Sex (Male, Female or Unknown)]]="Unknown",Backend!$C$8,"Error"))),"")</f>
        <v/>
      </c>
      <c r="F3183" s="8" t="str">
        <f>IF(Table1[[#This Row],[Is Data Valid]]=TRUE,EXP(0.578+0.332*((Table1[[#This Row],[Gestation (days)]]+0.5)/7)-0.00354*((Table1[[#This Row],[Gestation (days)]]+0.5)/7)^2)*Table1[[#This Row],[BW40_3705]],"")</f>
        <v/>
      </c>
      <c r="G3183" s="2" t="str">
        <f>IF(Table1[[#This Row],[Is Data Valid]]=TRUE,((Table1[[#This Row],[Birthweight (grams)]]/Table1[[#This Row],[BW_GA]])-1)/(Backend!$B$4/100*Table1[[#This Row],[BW40_3705]]),"")</f>
        <v/>
      </c>
      <c r="H3183" s="7" t="str">
        <f>IF(Table1[[#This Row],[Is Data Valid]]=TRUE,((Table1[[#This Row],[Birthweight (grams)]]*0.9/Table1[[#This Row],[BW_GA]])-1)/(Backend!$B$4/100*Table1[[#This Row],[BW40_3705]]),"")</f>
        <v/>
      </c>
      <c r="I3183" s="7" t="str">
        <f>IF(Table1[[#This Row],[Is Data Valid]]=TRUE,((Table1[[#This Row],[Birthweight (grams)]]*1.1/Table1[[#This Row],[BW_GA]])-1)/(Backend!$B$4/100*Table1[[#This Row],[BW40_3705]]),"")</f>
        <v/>
      </c>
      <c r="J3183" s="7" t="str">
        <f>IF(Table1[[#This Row],[Is Data Valid]]=TRUE,_xlfn.NORM.S.DIST(Table1[[#This Row],[Birthweight Z-Score]],TRUE)*100,"")</f>
        <v/>
      </c>
      <c r="K3183" s="7" t="str">
        <f>IF(Table1[[#This Row],[Is Data Valid]]=TRUE,_xlfn.NORM.S.DIST(Table1[[#This Row],[Birthweight Z-Score (BW-10%)]],TRUE)*100,"")</f>
        <v/>
      </c>
      <c r="L3183" s="7" t="str">
        <f>IF(Table1[[#This Row],[Is Data Valid]]=TRUE,_xlfn.NORM.S.DIST(Table1[[#This Row],[Birthweight Z-Score (BW+10%)]],TRUE)*100,"")</f>
        <v/>
      </c>
    </row>
    <row r="3184" spans="1:12" x14ac:dyDescent="0.35">
      <c r="A3184" s="3"/>
      <c r="B3184" s="2"/>
      <c r="C3184" s="2"/>
      <c r="D3184" s="2" t="b">
        <f>IF(AND(NOT(ISBLANK(Table1[[#This Row],[Fetal Sex (Male, Female or Unknown)]])),ISNUMBER(Table1[[#This Row],[Birthweight (grams)]]),ISNUMBER(Table1[[#This Row],[Gestation (days)]])),TRUE,FALSE)</f>
        <v>0</v>
      </c>
      <c r="E3184" s="2" t="str">
        <f>IF(Table1[[#This Row],[Is Data Valid]]=TRUE,IF(Table1[[#This Row],[Fetal Sex (Male, Female or Unknown)]]="Male",Backend!$C$6,IF(Table1[[#This Row],[Fetal Sex (Male, Female or Unknown)]]="Female",Backend!$C$7,IF(Table1[[#This Row],[Fetal Sex (Male, Female or Unknown)]]="Unknown",Backend!$C$8,"Error"))),"")</f>
        <v/>
      </c>
      <c r="F3184" s="8" t="str">
        <f>IF(Table1[[#This Row],[Is Data Valid]]=TRUE,EXP(0.578+0.332*((Table1[[#This Row],[Gestation (days)]]+0.5)/7)-0.00354*((Table1[[#This Row],[Gestation (days)]]+0.5)/7)^2)*Table1[[#This Row],[BW40_3705]],"")</f>
        <v/>
      </c>
      <c r="G3184" s="2" t="str">
        <f>IF(Table1[[#This Row],[Is Data Valid]]=TRUE,((Table1[[#This Row],[Birthweight (grams)]]/Table1[[#This Row],[BW_GA]])-1)/(Backend!$B$4/100*Table1[[#This Row],[BW40_3705]]),"")</f>
        <v/>
      </c>
      <c r="H3184" s="7" t="str">
        <f>IF(Table1[[#This Row],[Is Data Valid]]=TRUE,((Table1[[#This Row],[Birthweight (grams)]]*0.9/Table1[[#This Row],[BW_GA]])-1)/(Backend!$B$4/100*Table1[[#This Row],[BW40_3705]]),"")</f>
        <v/>
      </c>
      <c r="I3184" s="7" t="str">
        <f>IF(Table1[[#This Row],[Is Data Valid]]=TRUE,((Table1[[#This Row],[Birthweight (grams)]]*1.1/Table1[[#This Row],[BW_GA]])-1)/(Backend!$B$4/100*Table1[[#This Row],[BW40_3705]]),"")</f>
        <v/>
      </c>
      <c r="J3184" s="7" t="str">
        <f>IF(Table1[[#This Row],[Is Data Valid]]=TRUE,_xlfn.NORM.S.DIST(Table1[[#This Row],[Birthweight Z-Score]],TRUE)*100,"")</f>
        <v/>
      </c>
      <c r="K3184" s="7" t="str">
        <f>IF(Table1[[#This Row],[Is Data Valid]]=TRUE,_xlfn.NORM.S.DIST(Table1[[#This Row],[Birthweight Z-Score (BW-10%)]],TRUE)*100,"")</f>
        <v/>
      </c>
      <c r="L3184" s="7" t="str">
        <f>IF(Table1[[#This Row],[Is Data Valid]]=TRUE,_xlfn.NORM.S.DIST(Table1[[#This Row],[Birthweight Z-Score (BW+10%)]],TRUE)*100,"")</f>
        <v/>
      </c>
    </row>
    <row r="3185" spans="1:12" x14ac:dyDescent="0.35">
      <c r="A3185" s="3"/>
      <c r="B3185" s="2"/>
      <c r="C3185" s="2"/>
      <c r="D3185" s="2" t="b">
        <f>IF(AND(NOT(ISBLANK(Table1[[#This Row],[Fetal Sex (Male, Female or Unknown)]])),ISNUMBER(Table1[[#This Row],[Birthweight (grams)]]),ISNUMBER(Table1[[#This Row],[Gestation (days)]])),TRUE,FALSE)</f>
        <v>0</v>
      </c>
      <c r="E3185" s="2" t="str">
        <f>IF(Table1[[#This Row],[Is Data Valid]]=TRUE,IF(Table1[[#This Row],[Fetal Sex (Male, Female or Unknown)]]="Male",Backend!$C$6,IF(Table1[[#This Row],[Fetal Sex (Male, Female or Unknown)]]="Female",Backend!$C$7,IF(Table1[[#This Row],[Fetal Sex (Male, Female or Unknown)]]="Unknown",Backend!$C$8,"Error"))),"")</f>
        <v/>
      </c>
      <c r="F3185" s="8" t="str">
        <f>IF(Table1[[#This Row],[Is Data Valid]]=TRUE,EXP(0.578+0.332*((Table1[[#This Row],[Gestation (days)]]+0.5)/7)-0.00354*((Table1[[#This Row],[Gestation (days)]]+0.5)/7)^2)*Table1[[#This Row],[BW40_3705]],"")</f>
        <v/>
      </c>
      <c r="G3185" s="2" t="str">
        <f>IF(Table1[[#This Row],[Is Data Valid]]=TRUE,((Table1[[#This Row],[Birthweight (grams)]]/Table1[[#This Row],[BW_GA]])-1)/(Backend!$B$4/100*Table1[[#This Row],[BW40_3705]]),"")</f>
        <v/>
      </c>
      <c r="H3185" s="7" t="str">
        <f>IF(Table1[[#This Row],[Is Data Valid]]=TRUE,((Table1[[#This Row],[Birthweight (grams)]]*0.9/Table1[[#This Row],[BW_GA]])-1)/(Backend!$B$4/100*Table1[[#This Row],[BW40_3705]]),"")</f>
        <v/>
      </c>
      <c r="I3185" s="7" t="str">
        <f>IF(Table1[[#This Row],[Is Data Valid]]=TRUE,((Table1[[#This Row],[Birthweight (grams)]]*1.1/Table1[[#This Row],[BW_GA]])-1)/(Backend!$B$4/100*Table1[[#This Row],[BW40_3705]]),"")</f>
        <v/>
      </c>
      <c r="J3185" s="7" t="str">
        <f>IF(Table1[[#This Row],[Is Data Valid]]=TRUE,_xlfn.NORM.S.DIST(Table1[[#This Row],[Birthweight Z-Score]],TRUE)*100,"")</f>
        <v/>
      </c>
      <c r="K3185" s="7" t="str">
        <f>IF(Table1[[#This Row],[Is Data Valid]]=TRUE,_xlfn.NORM.S.DIST(Table1[[#This Row],[Birthweight Z-Score (BW-10%)]],TRUE)*100,"")</f>
        <v/>
      </c>
      <c r="L3185" s="7" t="str">
        <f>IF(Table1[[#This Row],[Is Data Valid]]=TRUE,_xlfn.NORM.S.DIST(Table1[[#This Row],[Birthweight Z-Score (BW+10%)]],TRUE)*100,"")</f>
        <v/>
      </c>
    </row>
    <row r="3186" spans="1:12" x14ac:dyDescent="0.35">
      <c r="A3186" s="3"/>
      <c r="B3186" s="2"/>
      <c r="C3186" s="2"/>
      <c r="D3186" s="2" t="b">
        <f>IF(AND(NOT(ISBLANK(Table1[[#This Row],[Fetal Sex (Male, Female or Unknown)]])),ISNUMBER(Table1[[#This Row],[Birthweight (grams)]]),ISNUMBER(Table1[[#This Row],[Gestation (days)]])),TRUE,FALSE)</f>
        <v>0</v>
      </c>
      <c r="E3186" s="2" t="str">
        <f>IF(Table1[[#This Row],[Is Data Valid]]=TRUE,IF(Table1[[#This Row],[Fetal Sex (Male, Female or Unknown)]]="Male",Backend!$C$6,IF(Table1[[#This Row],[Fetal Sex (Male, Female or Unknown)]]="Female",Backend!$C$7,IF(Table1[[#This Row],[Fetal Sex (Male, Female or Unknown)]]="Unknown",Backend!$C$8,"Error"))),"")</f>
        <v/>
      </c>
      <c r="F3186" s="8" t="str">
        <f>IF(Table1[[#This Row],[Is Data Valid]]=TRUE,EXP(0.578+0.332*((Table1[[#This Row],[Gestation (days)]]+0.5)/7)-0.00354*((Table1[[#This Row],[Gestation (days)]]+0.5)/7)^2)*Table1[[#This Row],[BW40_3705]],"")</f>
        <v/>
      </c>
      <c r="G3186" s="2" t="str">
        <f>IF(Table1[[#This Row],[Is Data Valid]]=TRUE,((Table1[[#This Row],[Birthweight (grams)]]/Table1[[#This Row],[BW_GA]])-1)/(Backend!$B$4/100*Table1[[#This Row],[BW40_3705]]),"")</f>
        <v/>
      </c>
      <c r="H3186" s="7" t="str">
        <f>IF(Table1[[#This Row],[Is Data Valid]]=TRUE,((Table1[[#This Row],[Birthweight (grams)]]*0.9/Table1[[#This Row],[BW_GA]])-1)/(Backend!$B$4/100*Table1[[#This Row],[BW40_3705]]),"")</f>
        <v/>
      </c>
      <c r="I3186" s="7" t="str">
        <f>IF(Table1[[#This Row],[Is Data Valid]]=TRUE,((Table1[[#This Row],[Birthweight (grams)]]*1.1/Table1[[#This Row],[BW_GA]])-1)/(Backend!$B$4/100*Table1[[#This Row],[BW40_3705]]),"")</f>
        <v/>
      </c>
      <c r="J3186" s="7" t="str">
        <f>IF(Table1[[#This Row],[Is Data Valid]]=TRUE,_xlfn.NORM.S.DIST(Table1[[#This Row],[Birthweight Z-Score]],TRUE)*100,"")</f>
        <v/>
      </c>
      <c r="K3186" s="7" t="str">
        <f>IF(Table1[[#This Row],[Is Data Valid]]=TRUE,_xlfn.NORM.S.DIST(Table1[[#This Row],[Birthweight Z-Score (BW-10%)]],TRUE)*100,"")</f>
        <v/>
      </c>
      <c r="L3186" s="7" t="str">
        <f>IF(Table1[[#This Row],[Is Data Valid]]=TRUE,_xlfn.NORM.S.DIST(Table1[[#This Row],[Birthweight Z-Score (BW+10%)]],TRUE)*100,"")</f>
        <v/>
      </c>
    </row>
    <row r="3187" spans="1:12" x14ac:dyDescent="0.35">
      <c r="A3187" s="3"/>
      <c r="B3187" s="2"/>
      <c r="C3187" s="2"/>
      <c r="D3187" s="2" t="b">
        <f>IF(AND(NOT(ISBLANK(Table1[[#This Row],[Fetal Sex (Male, Female or Unknown)]])),ISNUMBER(Table1[[#This Row],[Birthweight (grams)]]),ISNUMBER(Table1[[#This Row],[Gestation (days)]])),TRUE,FALSE)</f>
        <v>0</v>
      </c>
      <c r="E3187" s="2" t="str">
        <f>IF(Table1[[#This Row],[Is Data Valid]]=TRUE,IF(Table1[[#This Row],[Fetal Sex (Male, Female or Unknown)]]="Male",Backend!$C$6,IF(Table1[[#This Row],[Fetal Sex (Male, Female or Unknown)]]="Female",Backend!$C$7,IF(Table1[[#This Row],[Fetal Sex (Male, Female or Unknown)]]="Unknown",Backend!$C$8,"Error"))),"")</f>
        <v/>
      </c>
      <c r="F3187" s="8" t="str">
        <f>IF(Table1[[#This Row],[Is Data Valid]]=TRUE,EXP(0.578+0.332*((Table1[[#This Row],[Gestation (days)]]+0.5)/7)-0.00354*((Table1[[#This Row],[Gestation (days)]]+0.5)/7)^2)*Table1[[#This Row],[BW40_3705]],"")</f>
        <v/>
      </c>
      <c r="G3187" s="2" t="str">
        <f>IF(Table1[[#This Row],[Is Data Valid]]=TRUE,((Table1[[#This Row],[Birthweight (grams)]]/Table1[[#This Row],[BW_GA]])-1)/(Backend!$B$4/100*Table1[[#This Row],[BW40_3705]]),"")</f>
        <v/>
      </c>
      <c r="H3187" s="7" t="str">
        <f>IF(Table1[[#This Row],[Is Data Valid]]=TRUE,((Table1[[#This Row],[Birthweight (grams)]]*0.9/Table1[[#This Row],[BW_GA]])-1)/(Backend!$B$4/100*Table1[[#This Row],[BW40_3705]]),"")</f>
        <v/>
      </c>
      <c r="I3187" s="7" t="str">
        <f>IF(Table1[[#This Row],[Is Data Valid]]=TRUE,((Table1[[#This Row],[Birthweight (grams)]]*1.1/Table1[[#This Row],[BW_GA]])-1)/(Backend!$B$4/100*Table1[[#This Row],[BW40_3705]]),"")</f>
        <v/>
      </c>
      <c r="J3187" s="7" t="str">
        <f>IF(Table1[[#This Row],[Is Data Valid]]=TRUE,_xlfn.NORM.S.DIST(Table1[[#This Row],[Birthweight Z-Score]],TRUE)*100,"")</f>
        <v/>
      </c>
      <c r="K3187" s="7" t="str">
        <f>IF(Table1[[#This Row],[Is Data Valid]]=TRUE,_xlfn.NORM.S.DIST(Table1[[#This Row],[Birthweight Z-Score (BW-10%)]],TRUE)*100,"")</f>
        <v/>
      </c>
      <c r="L3187" s="7" t="str">
        <f>IF(Table1[[#This Row],[Is Data Valid]]=TRUE,_xlfn.NORM.S.DIST(Table1[[#This Row],[Birthweight Z-Score (BW+10%)]],TRUE)*100,"")</f>
        <v/>
      </c>
    </row>
    <row r="3188" spans="1:12" x14ac:dyDescent="0.35">
      <c r="A3188" s="3"/>
      <c r="B3188" s="2"/>
      <c r="C3188" s="2"/>
      <c r="D3188" s="2" t="b">
        <f>IF(AND(NOT(ISBLANK(Table1[[#This Row],[Fetal Sex (Male, Female or Unknown)]])),ISNUMBER(Table1[[#This Row],[Birthweight (grams)]]),ISNUMBER(Table1[[#This Row],[Gestation (days)]])),TRUE,FALSE)</f>
        <v>0</v>
      </c>
      <c r="E3188" s="2" t="str">
        <f>IF(Table1[[#This Row],[Is Data Valid]]=TRUE,IF(Table1[[#This Row],[Fetal Sex (Male, Female or Unknown)]]="Male",Backend!$C$6,IF(Table1[[#This Row],[Fetal Sex (Male, Female or Unknown)]]="Female",Backend!$C$7,IF(Table1[[#This Row],[Fetal Sex (Male, Female or Unknown)]]="Unknown",Backend!$C$8,"Error"))),"")</f>
        <v/>
      </c>
      <c r="F3188" s="8" t="str">
        <f>IF(Table1[[#This Row],[Is Data Valid]]=TRUE,EXP(0.578+0.332*((Table1[[#This Row],[Gestation (days)]]+0.5)/7)-0.00354*((Table1[[#This Row],[Gestation (days)]]+0.5)/7)^2)*Table1[[#This Row],[BW40_3705]],"")</f>
        <v/>
      </c>
      <c r="G3188" s="2" t="str">
        <f>IF(Table1[[#This Row],[Is Data Valid]]=TRUE,((Table1[[#This Row],[Birthweight (grams)]]/Table1[[#This Row],[BW_GA]])-1)/(Backend!$B$4/100*Table1[[#This Row],[BW40_3705]]),"")</f>
        <v/>
      </c>
      <c r="H3188" s="7" t="str">
        <f>IF(Table1[[#This Row],[Is Data Valid]]=TRUE,((Table1[[#This Row],[Birthweight (grams)]]*0.9/Table1[[#This Row],[BW_GA]])-1)/(Backend!$B$4/100*Table1[[#This Row],[BW40_3705]]),"")</f>
        <v/>
      </c>
      <c r="I3188" s="7" t="str">
        <f>IF(Table1[[#This Row],[Is Data Valid]]=TRUE,((Table1[[#This Row],[Birthweight (grams)]]*1.1/Table1[[#This Row],[BW_GA]])-1)/(Backend!$B$4/100*Table1[[#This Row],[BW40_3705]]),"")</f>
        <v/>
      </c>
      <c r="J3188" s="7" t="str">
        <f>IF(Table1[[#This Row],[Is Data Valid]]=TRUE,_xlfn.NORM.S.DIST(Table1[[#This Row],[Birthweight Z-Score]],TRUE)*100,"")</f>
        <v/>
      </c>
      <c r="K3188" s="7" t="str">
        <f>IF(Table1[[#This Row],[Is Data Valid]]=TRUE,_xlfn.NORM.S.DIST(Table1[[#This Row],[Birthweight Z-Score (BW-10%)]],TRUE)*100,"")</f>
        <v/>
      </c>
      <c r="L3188" s="7" t="str">
        <f>IF(Table1[[#This Row],[Is Data Valid]]=TRUE,_xlfn.NORM.S.DIST(Table1[[#This Row],[Birthweight Z-Score (BW+10%)]],TRUE)*100,"")</f>
        <v/>
      </c>
    </row>
    <row r="3189" spans="1:12" x14ac:dyDescent="0.35">
      <c r="A3189" s="3"/>
      <c r="B3189" s="2"/>
      <c r="C3189" s="2"/>
      <c r="D3189" s="2" t="b">
        <f>IF(AND(NOT(ISBLANK(Table1[[#This Row],[Fetal Sex (Male, Female or Unknown)]])),ISNUMBER(Table1[[#This Row],[Birthweight (grams)]]),ISNUMBER(Table1[[#This Row],[Gestation (days)]])),TRUE,FALSE)</f>
        <v>0</v>
      </c>
      <c r="E3189" s="2" t="str">
        <f>IF(Table1[[#This Row],[Is Data Valid]]=TRUE,IF(Table1[[#This Row],[Fetal Sex (Male, Female or Unknown)]]="Male",Backend!$C$6,IF(Table1[[#This Row],[Fetal Sex (Male, Female or Unknown)]]="Female",Backend!$C$7,IF(Table1[[#This Row],[Fetal Sex (Male, Female or Unknown)]]="Unknown",Backend!$C$8,"Error"))),"")</f>
        <v/>
      </c>
      <c r="F3189" s="8" t="str">
        <f>IF(Table1[[#This Row],[Is Data Valid]]=TRUE,EXP(0.578+0.332*((Table1[[#This Row],[Gestation (days)]]+0.5)/7)-0.00354*((Table1[[#This Row],[Gestation (days)]]+0.5)/7)^2)*Table1[[#This Row],[BW40_3705]],"")</f>
        <v/>
      </c>
      <c r="G3189" s="2" t="str">
        <f>IF(Table1[[#This Row],[Is Data Valid]]=TRUE,((Table1[[#This Row],[Birthweight (grams)]]/Table1[[#This Row],[BW_GA]])-1)/(Backend!$B$4/100*Table1[[#This Row],[BW40_3705]]),"")</f>
        <v/>
      </c>
      <c r="H3189" s="7" t="str">
        <f>IF(Table1[[#This Row],[Is Data Valid]]=TRUE,((Table1[[#This Row],[Birthweight (grams)]]*0.9/Table1[[#This Row],[BW_GA]])-1)/(Backend!$B$4/100*Table1[[#This Row],[BW40_3705]]),"")</f>
        <v/>
      </c>
      <c r="I3189" s="7" t="str">
        <f>IF(Table1[[#This Row],[Is Data Valid]]=TRUE,((Table1[[#This Row],[Birthweight (grams)]]*1.1/Table1[[#This Row],[BW_GA]])-1)/(Backend!$B$4/100*Table1[[#This Row],[BW40_3705]]),"")</f>
        <v/>
      </c>
      <c r="J3189" s="7" t="str">
        <f>IF(Table1[[#This Row],[Is Data Valid]]=TRUE,_xlfn.NORM.S.DIST(Table1[[#This Row],[Birthweight Z-Score]],TRUE)*100,"")</f>
        <v/>
      </c>
      <c r="K3189" s="7" t="str">
        <f>IF(Table1[[#This Row],[Is Data Valid]]=TRUE,_xlfn.NORM.S.DIST(Table1[[#This Row],[Birthweight Z-Score (BW-10%)]],TRUE)*100,"")</f>
        <v/>
      </c>
      <c r="L3189" s="7" t="str">
        <f>IF(Table1[[#This Row],[Is Data Valid]]=TRUE,_xlfn.NORM.S.DIST(Table1[[#This Row],[Birthweight Z-Score (BW+10%)]],TRUE)*100,"")</f>
        <v/>
      </c>
    </row>
    <row r="3190" spans="1:12" x14ac:dyDescent="0.35">
      <c r="A3190" s="3"/>
      <c r="B3190" s="2"/>
      <c r="C3190" s="2"/>
      <c r="D3190" s="2" t="b">
        <f>IF(AND(NOT(ISBLANK(Table1[[#This Row],[Fetal Sex (Male, Female or Unknown)]])),ISNUMBER(Table1[[#This Row],[Birthweight (grams)]]),ISNUMBER(Table1[[#This Row],[Gestation (days)]])),TRUE,FALSE)</f>
        <v>0</v>
      </c>
      <c r="E3190" s="2" t="str">
        <f>IF(Table1[[#This Row],[Is Data Valid]]=TRUE,IF(Table1[[#This Row],[Fetal Sex (Male, Female or Unknown)]]="Male",Backend!$C$6,IF(Table1[[#This Row],[Fetal Sex (Male, Female or Unknown)]]="Female",Backend!$C$7,IF(Table1[[#This Row],[Fetal Sex (Male, Female or Unknown)]]="Unknown",Backend!$C$8,"Error"))),"")</f>
        <v/>
      </c>
      <c r="F3190" s="8" t="str">
        <f>IF(Table1[[#This Row],[Is Data Valid]]=TRUE,EXP(0.578+0.332*((Table1[[#This Row],[Gestation (days)]]+0.5)/7)-0.00354*((Table1[[#This Row],[Gestation (days)]]+0.5)/7)^2)*Table1[[#This Row],[BW40_3705]],"")</f>
        <v/>
      </c>
      <c r="G3190" s="2" t="str">
        <f>IF(Table1[[#This Row],[Is Data Valid]]=TRUE,((Table1[[#This Row],[Birthweight (grams)]]/Table1[[#This Row],[BW_GA]])-1)/(Backend!$B$4/100*Table1[[#This Row],[BW40_3705]]),"")</f>
        <v/>
      </c>
      <c r="H3190" s="7" t="str">
        <f>IF(Table1[[#This Row],[Is Data Valid]]=TRUE,((Table1[[#This Row],[Birthweight (grams)]]*0.9/Table1[[#This Row],[BW_GA]])-1)/(Backend!$B$4/100*Table1[[#This Row],[BW40_3705]]),"")</f>
        <v/>
      </c>
      <c r="I3190" s="7" t="str">
        <f>IF(Table1[[#This Row],[Is Data Valid]]=TRUE,((Table1[[#This Row],[Birthweight (grams)]]*1.1/Table1[[#This Row],[BW_GA]])-1)/(Backend!$B$4/100*Table1[[#This Row],[BW40_3705]]),"")</f>
        <v/>
      </c>
      <c r="J3190" s="7" t="str">
        <f>IF(Table1[[#This Row],[Is Data Valid]]=TRUE,_xlfn.NORM.S.DIST(Table1[[#This Row],[Birthweight Z-Score]],TRUE)*100,"")</f>
        <v/>
      </c>
      <c r="K3190" s="7" t="str">
        <f>IF(Table1[[#This Row],[Is Data Valid]]=TRUE,_xlfn.NORM.S.DIST(Table1[[#This Row],[Birthweight Z-Score (BW-10%)]],TRUE)*100,"")</f>
        <v/>
      </c>
      <c r="L3190" s="7" t="str">
        <f>IF(Table1[[#This Row],[Is Data Valid]]=TRUE,_xlfn.NORM.S.DIST(Table1[[#This Row],[Birthweight Z-Score (BW+10%)]],TRUE)*100,"")</f>
        <v/>
      </c>
    </row>
    <row r="3191" spans="1:12" x14ac:dyDescent="0.35">
      <c r="A3191" s="3"/>
      <c r="B3191" s="2"/>
      <c r="C3191" s="2"/>
      <c r="D3191" s="2" t="b">
        <f>IF(AND(NOT(ISBLANK(Table1[[#This Row],[Fetal Sex (Male, Female or Unknown)]])),ISNUMBER(Table1[[#This Row],[Birthweight (grams)]]),ISNUMBER(Table1[[#This Row],[Gestation (days)]])),TRUE,FALSE)</f>
        <v>0</v>
      </c>
      <c r="E3191" s="2" t="str">
        <f>IF(Table1[[#This Row],[Is Data Valid]]=TRUE,IF(Table1[[#This Row],[Fetal Sex (Male, Female or Unknown)]]="Male",Backend!$C$6,IF(Table1[[#This Row],[Fetal Sex (Male, Female or Unknown)]]="Female",Backend!$C$7,IF(Table1[[#This Row],[Fetal Sex (Male, Female or Unknown)]]="Unknown",Backend!$C$8,"Error"))),"")</f>
        <v/>
      </c>
      <c r="F3191" s="8" t="str">
        <f>IF(Table1[[#This Row],[Is Data Valid]]=TRUE,EXP(0.578+0.332*((Table1[[#This Row],[Gestation (days)]]+0.5)/7)-0.00354*((Table1[[#This Row],[Gestation (days)]]+0.5)/7)^2)*Table1[[#This Row],[BW40_3705]],"")</f>
        <v/>
      </c>
      <c r="G3191" s="2" t="str">
        <f>IF(Table1[[#This Row],[Is Data Valid]]=TRUE,((Table1[[#This Row],[Birthweight (grams)]]/Table1[[#This Row],[BW_GA]])-1)/(Backend!$B$4/100*Table1[[#This Row],[BW40_3705]]),"")</f>
        <v/>
      </c>
      <c r="H3191" s="7" t="str">
        <f>IF(Table1[[#This Row],[Is Data Valid]]=TRUE,((Table1[[#This Row],[Birthweight (grams)]]*0.9/Table1[[#This Row],[BW_GA]])-1)/(Backend!$B$4/100*Table1[[#This Row],[BW40_3705]]),"")</f>
        <v/>
      </c>
      <c r="I3191" s="7" t="str">
        <f>IF(Table1[[#This Row],[Is Data Valid]]=TRUE,((Table1[[#This Row],[Birthweight (grams)]]*1.1/Table1[[#This Row],[BW_GA]])-1)/(Backend!$B$4/100*Table1[[#This Row],[BW40_3705]]),"")</f>
        <v/>
      </c>
      <c r="J3191" s="7" t="str">
        <f>IF(Table1[[#This Row],[Is Data Valid]]=TRUE,_xlfn.NORM.S.DIST(Table1[[#This Row],[Birthweight Z-Score]],TRUE)*100,"")</f>
        <v/>
      </c>
      <c r="K3191" s="7" t="str">
        <f>IF(Table1[[#This Row],[Is Data Valid]]=TRUE,_xlfn.NORM.S.DIST(Table1[[#This Row],[Birthweight Z-Score (BW-10%)]],TRUE)*100,"")</f>
        <v/>
      </c>
      <c r="L3191" s="7" t="str">
        <f>IF(Table1[[#This Row],[Is Data Valid]]=TRUE,_xlfn.NORM.S.DIST(Table1[[#This Row],[Birthweight Z-Score (BW+10%)]],TRUE)*100,"")</f>
        <v/>
      </c>
    </row>
    <row r="3192" spans="1:12" x14ac:dyDescent="0.35">
      <c r="A3192" s="3"/>
      <c r="B3192" s="2"/>
      <c r="C3192" s="2"/>
      <c r="D3192" s="2" t="b">
        <f>IF(AND(NOT(ISBLANK(Table1[[#This Row],[Fetal Sex (Male, Female or Unknown)]])),ISNUMBER(Table1[[#This Row],[Birthweight (grams)]]),ISNUMBER(Table1[[#This Row],[Gestation (days)]])),TRUE,FALSE)</f>
        <v>0</v>
      </c>
      <c r="E3192" s="2" t="str">
        <f>IF(Table1[[#This Row],[Is Data Valid]]=TRUE,IF(Table1[[#This Row],[Fetal Sex (Male, Female or Unknown)]]="Male",Backend!$C$6,IF(Table1[[#This Row],[Fetal Sex (Male, Female or Unknown)]]="Female",Backend!$C$7,IF(Table1[[#This Row],[Fetal Sex (Male, Female or Unknown)]]="Unknown",Backend!$C$8,"Error"))),"")</f>
        <v/>
      </c>
      <c r="F3192" s="8" t="str">
        <f>IF(Table1[[#This Row],[Is Data Valid]]=TRUE,EXP(0.578+0.332*((Table1[[#This Row],[Gestation (days)]]+0.5)/7)-0.00354*((Table1[[#This Row],[Gestation (days)]]+0.5)/7)^2)*Table1[[#This Row],[BW40_3705]],"")</f>
        <v/>
      </c>
      <c r="G3192" s="2" t="str">
        <f>IF(Table1[[#This Row],[Is Data Valid]]=TRUE,((Table1[[#This Row],[Birthweight (grams)]]/Table1[[#This Row],[BW_GA]])-1)/(Backend!$B$4/100*Table1[[#This Row],[BW40_3705]]),"")</f>
        <v/>
      </c>
      <c r="H3192" s="7" t="str">
        <f>IF(Table1[[#This Row],[Is Data Valid]]=TRUE,((Table1[[#This Row],[Birthweight (grams)]]*0.9/Table1[[#This Row],[BW_GA]])-1)/(Backend!$B$4/100*Table1[[#This Row],[BW40_3705]]),"")</f>
        <v/>
      </c>
      <c r="I3192" s="7" t="str">
        <f>IF(Table1[[#This Row],[Is Data Valid]]=TRUE,((Table1[[#This Row],[Birthweight (grams)]]*1.1/Table1[[#This Row],[BW_GA]])-1)/(Backend!$B$4/100*Table1[[#This Row],[BW40_3705]]),"")</f>
        <v/>
      </c>
      <c r="J3192" s="7" t="str">
        <f>IF(Table1[[#This Row],[Is Data Valid]]=TRUE,_xlfn.NORM.S.DIST(Table1[[#This Row],[Birthweight Z-Score]],TRUE)*100,"")</f>
        <v/>
      </c>
      <c r="K3192" s="7" t="str">
        <f>IF(Table1[[#This Row],[Is Data Valid]]=TRUE,_xlfn.NORM.S.DIST(Table1[[#This Row],[Birthweight Z-Score (BW-10%)]],TRUE)*100,"")</f>
        <v/>
      </c>
      <c r="L3192" s="7" t="str">
        <f>IF(Table1[[#This Row],[Is Data Valid]]=TRUE,_xlfn.NORM.S.DIST(Table1[[#This Row],[Birthweight Z-Score (BW+10%)]],TRUE)*100,"")</f>
        <v/>
      </c>
    </row>
    <row r="3193" spans="1:12" x14ac:dyDescent="0.35">
      <c r="A3193" s="3"/>
      <c r="B3193" s="2"/>
      <c r="C3193" s="2"/>
      <c r="D3193" s="2" t="b">
        <f>IF(AND(NOT(ISBLANK(Table1[[#This Row],[Fetal Sex (Male, Female or Unknown)]])),ISNUMBER(Table1[[#This Row],[Birthweight (grams)]]),ISNUMBER(Table1[[#This Row],[Gestation (days)]])),TRUE,FALSE)</f>
        <v>0</v>
      </c>
      <c r="E3193" s="2" t="str">
        <f>IF(Table1[[#This Row],[Is Data Valid]]=TRUE,IF(Table1[[#This Row],[Fetal Sex (Male, Female or Unknown)]]="Male",Backend!$C$6,IF(Table1[[#This Row],[Fetal Sex (Male, Female or Unknown)]]="Female",Backend!$C$7,IF(Table1[[#This Row],[Fetal Sex (Male, Female or Unknown)]]="Unknown",Backend!$C$8,"Error"))),"")</f>
        <v/>
      </c>
      <c r="F3193" s="8" t="str">
        <f>IF(Table1[[#This Row],[Is Data Valid]]=TRUE,EXP(0.578+0.332*((Table1[[#This Row],[Gestation (days)]]+0.5)/7)-0.00354*((Table1[[#This Row],[Gestation (days)]]+0.5)/7)^2)*Table1[[#This Row],[BW40_3705]],"")</f>
        <v/>
      </c>
      <c r="G3193" s="2" t="str">
        <f>IF(Table1[[#This Row],[Is Data Valid]]=TRUE,((Table1[[#This Row],[Birthweight (grams)]]/Table1[[#This Row],[BW_GA]])-1)/(Backend!$B$4/100*Table1[[#This Row],[BW40_3705]]),"")</f>
        <v/>
      </c>
      <c r="H3193" s="7" t="str">
        <f>IF(Table1[[#This Row],[Is Data Valid]]=TRUE,((Table1[[#This Row],[Birthweight (grams)]]*0.9/Table1[[#This Row],[BW_GA]])-1)/(Backend!$B$4/100*Table1[[#This Row],[BW40_3705]]),"")</f>
        <v/>
      </c>
      <c r="I3193" s="7" t="str">
        <f>IF(Table1[[#This Row],[Is Data Valid]]=TRUE,((Table1[[#This Row],[Birthweight (grams)]]*1.1/Table1[[#This Row],[BW_GA]])-1)/(Backend!$B$4/100*Table1[[#This Row],[BW40_3705]]),"")</f>
        <v/>
      </c>
      <c r="J3193" s="7" t="str">
        <f>IF(Table1[[#This Row],[Is Data Valid]]=TRUE,_xlfn.NORM.S.DIST(Table1[[#This Row],[Birthweight Z-Score]],TRUE)*100,"")</f>
        <v/>
      </c>
      <c r="K3193" s="7" t="str">
        <f>IF(Table1[[#This Row],[Is Data Valid]]=TRUE,_xlfn.NORM.S.DIST(Table1[[#This Row],[Birthweight Z-Score (BW-10%)]],TRUE)*100,"")</f>
        <v/>
      </c>
      <c r="L3193" s="7" t="str">
        <f>IF(Table1[[#This Row],[Is Data Valid]]=TRUE,_xlfn.NORM.S.DIST(Table1[[#This Row],[Birthweight Z-Score (BW+10%)]],TRUE)*100,"")</f>
        <v/>
      </c>
    </row>
    <row r="3194" spans="1:12" x14ac:dyDescent="0.35">
      <c r="A3194" s="3"/>
      <c r="B3194" s="2"/>
      <c r="C3194" s="2"/>
      <c r="D3194" s="2" t="b">
        <f>IF(AND(NOT(ISBLANK(Table1[[#This Row],[Fetal Sex (Male, Female or Unknown)]])),ISNUMBER(Table1[[#This Row],[Birthweight (grams)]]),ISNUMBER(Table1[[#This Row],[Gestation (days)]])),TRUE,FALSE)</f>
        <v>0</v>
      </c>
      <c r="E3194" s="2" t="str">
        <f>IF(Table1[[#This Row],[Is Data Valid]]=TRUE,IF(Table1[[#This Row],[Fetal Sex (Male, Female or Unknown)]]="Male",Backend!$C$6,IF(Table1[[#This Row],[Fetal Sex (Male, Female or Unknown)]]="Female",Backend!$C$7,IF(Table1[[#This Row],[Fetal Sex (Male, Female or Unknown)]]="Unknown",Backend!$C$8,"Error"))),"")</f>
        <v/>
      </c>
      <c r="F3194" s="8" t="str">
        <f>IF(Table1[[#This Row],[Is Data Valid]]=TRUE,EXP(0.578+0.332*((Table1[[#This Row],[Gestation (days)]]+0.5)/7)-0.00354*((Table1[[#This Row],[Gestation (days)]]+0.5)/7)^2)*Table1[[#This Row],[BW40_3705]],"")</f>
        <v/>
      </c>
      <c r="G3194" s="2" t="str">
        <f>IF(Table1[[#This Row],[Is Data Valid]]=TRUE,((Table1[[#This Row],[Birthweight (grams)]]/Table1[[#This Row],[BW_GA]])-1)/(Backend!$B$4/100*Table1[[#This Row],[BW40_3705]]),"")</f>
        <v/>
      </c>
      <c r="H3194" s="7" t="str">
        <f>IF(Table1[[#This Row],[Is Data Valid]]=TRUE,((Table1[[#This Row],[Birthweight (grams)]]*0.9/Table1[[#This Row],[BW_GA]])-1)/(Backend!$B$4/100*Table1[[#This Row],[BW40_3705]]),"")</f>
        <v/>
      </c>
      <c r="I3194" s="7" t="str">
        <f>IF(Table1[[#This Row],[Is Data Valid]]=TRUE,((Table1[[#This Row],[Birthweight (grams)]]*1.1/Table1[[#This Row],[BW_GA]])-1)/(Backend!$B$4/100*Table1[[#This Row],[BW40_3705]]),"")</f>
        <v/>
      </c>
      <c r="J3194" s="7" t="str">
        <f>IF(Table1[[#This Row],[Is Data Valid]]=TRUE,_xlfn.NORM.S.DIST(Table1[[#This Row],[Birthweight Z-Score]],TRUE)*100,"")</f>
        <v/>
      </c>
      <c r="K3194" s="7" t="str">
        <f>IF(Table1[[#This Row],[Is Data Valid]]=TRUE,_xlfn.NORM.S.DIST(Table1[[#This Row],[Birthweight Z-Score (BW-10%)]],TRUE)*100,"")</f>
        <v/>
      </c>
      <c r="L3194" s="7" t="str">
        <f>IF(Table1[[#This Row],[Is Data Valid]]=TRUE,_xlfn.NORM.S.DIST(Table1[[#This Row],[Birthweight Z-Score (BW+10%)]],TRUE)*100,"")</f>
        <v/>
      </c>
    </row>
    <row r="3195" spans="1:12" x14ac:dyDescent="0.35">
      <c r="A3195" s="3"/>
      <c r="B3195" s="2"/>
      <c r="C3195" s="2"/>
      <c r="D3195" s="2" t="b">
        <f>IF(AND(NOT(ISBLANK(Table1[[#This Row],[Fetal Sex (Male, Female or Unknown)]])),ISNUMBER(Table1[[#This Row],[Birthweight (grams)]]),ISNUMBER(Table1[[#This Row],[Gestation (days)]])),TRUE,FALSE)</f>
        <v>0</v>
      </c>
      <c r="E3195" s="2" t="str">
        <f>IF(Table1[[#This Row],[Is Data Valid]]=TRUE,IF(Table1[[#This Row],[Fetal Sex (Male, Female or Unknown)]]="Male",Backend!$C$6,IF(Table1[[#This Row],[Fetal Sex (Male, Female or Unknown)]]="Female",Backend!$C$7,IF(Table1[[#This Row],[Fetal Sex (Male, Female or Unknown)]]="Unknown",Backend!$C$8,"Error"))),"")</f>
        <v/>
      </c>
      <c r="F3195" s="8" t="str">
        <f>IF(Table1[[#This Row],[Is Data Valid]]=TRUE,EXP(0.578+0.332*((Table1[[#This Row],[Gestation (days)]]+0.5)/7)-0.00354*((Table1[[#This Row],[Gestation (days)]]+0.5)/7)^2)*Table1[[#This Row],[BW40_3705]],"")</f>
        <v/>
      </c>
      <c r="G3195" s="2" t="str">
        <f>IF(Table1[[#This Row],[Is Data Valid]]=TRUE,((Table1[[#This Row],[Birthweight (grams)]]/Table1[[#This Row],[BW_GA]])-1)/(Backend!$B$4/100*Table1[[#This Row],[BW40_3705]]),"")</f>
        <v/>
      </c>
      <c r="H3195" s="7" t="str">
        <f>IF(Table1[[#This Row],[Is Data Valid]]=TRUE,((Table1[[#This Row],[Birthweight (grams)]]*0.9/Table1[[#This Row],[BW_GA]])-1)/(Backend!$B$4/100*Table1[[#This Row],[BW40_3705]]),"")</f>
        <v/>
      </c>
      <c r="I3195" s="7" t="str">
        <f>IF(Table1[[#This Row],[Is Data Valid]]=TRUE,((Table1[[#This Row],[Birthweight (grams)]]*1.1/Table1[[#This Row],[BW_GA]])-1)/(Backend!$B$4/100*Table1[[#This Row],[BW40_3705]]),"")</f>
        <v/>
      </c>
      <c r="J3195" s="7" t="str">
        <f>IF(Table1[[#This Row],[Is Data Valid]]=TRUE,_xlfn.NORM.S.DIST(Table1[[#This Row],[Birthweight Z-Score]],TRUE)*100,"")</f>
        <v/>
      </c>
      <c r="K3195" s="7" t="str">
        <f>IF(Table1[[#This Row],[Is Data Valid]]=TRUE,_xlfn.NORM.S.DIST(Table1[[#This Row],[Birthweight Z-Score (BW-10%)]],TRUE)*100,"")</f>
        <v/>
      </c>
      <c r="L3195" s="7" t="str">
        <f>IF(Table1[[#This Row],[Is Data Valid]]=TRUE,_xlfn.NORM.S.DIST(Table1[[#This Row],[Birthweight Z-Score (BW+10%)]],TRUE)*100,"")</f>
        <v/>
      </c>
    </row>
    <row r="3196" spans="1:12" x14ac:dyDescent="0.35">
      <c r="A3196" s="3"/>
      <c r="B3196" s="2"/>
      <c r="C3196" s="2"/>
      <c r="D3196" s="2" t="b">
        <f>IF(AND(NOT(ISBLANK(Table1[[#This Row],[Fetal Sex (Male, Female or Unknown)]])),ISNUMBER(Table1[[#This Row],[Birthweight (grams)]]),ISNUMBER(Table1[[#This Row],[Gestation (days)]])),TRUE,FALSE)</f>
        <v>0</v>
      </c>
      <c r="E3196" s="2" t="str">
        <f>IF(Table1[[#This Row],[Is Data Valid]]=TRUE,IF(Table1[[#This Row],[Fetal Sex (Male, Female or Unknown)]]="Male",Backend!$C$6,IF(Table1[[#This Row],[Fetal Sex (Male, Female or Unknown)]]="Female",Backend!$C$7,IF(Table1[[#This Row],[Fetal Sex (Male, Female or Unknown)]]="Unknown",Backend!$C$8,"Error"))),"")</f>
        <v/>
      </c>
      <c r="F3196" s="8" t="str">
        <f>IF(Table1[[#This Row],[Is Data Valid]]=TRUE,EXP(0.578+0.332*((Table1[[#This Row],[Gestation (days)]]+0.5)/7)-0.00354*((Table1[[#This Row],[Gestation (days)]]+0.5)/7)^2)*Table1[[#This Row],[BW40_3705]],"")</f>
        <v/>
      </c>
      <c r="G3196" s="2" t="str">
        <f>IF(Table1[[#This Row],[Is Data Valid]]=TRUE,((Table1[[#This Row],[Birthweight (grams)]]/Table1[[#This Row],[BW_GA]])-1)/(Backend!$B$4/100*Table1[[#This Row],[BW40_3705]]),"")</f>
        <v/>
      </c>
      <c r="H3196" s="7" t="str">
        <f>IF(Table1[[#This Row],[Is Data Valid]]=TRUE,((Table1[[#This Row],[Birthweight (grams)]]*0.9/Table1[[#This Row],[BW_GA]])-1)/(Backend!$B$4/100*Table1[[#This Row],[BW40_3705]]),"")</f>
        <v/>
      </c>
      <c r="I3196" s="7" t="str">
        <f>IF(Table1[[#This Row],[Is Data Valid]]=TRUE,((Table1[[#This Row],[Birthweight (grams)]]*1.1/Table1[[#This Row],[BW_GA]])-1)/(Backend!$B$4/100*Table1[[#This Row],[BW40_3705]]),"")</f>
        <v/>
      </c>
      <c r="J3196" s="7" t="str">
        <f>IF(Table1[[#This Row],[Is Data Valid]]=TRUE,_xlfn.NORM.S.DIST(Table1[[#This Row],[Birthweight Z-Score]],TRUE)*100,"")</f>
        <v/>
      </c>
      <c r="K3196" s="7" t="str">
        <f>IF(Table1[[#This Row],[Is Data Valid]]=TRUE,_xlfn.NORM.S.DIST(Table1[[#This Row],[Birthweight Z-Score (BW-10%)]],TRUE)*100,"")</f>
        <v/>
      </c>
      <c r="L3196" s="7" t="str">
        <f>IF(Table1[[#This Row],[Is Data Valid]]=TRUE,_xlfn.NORM.S.DIST(Table1[[#This Row],[Birthweight Z-Score (BW+10%)]],TRUE)*100,"")</f>
        <v/>
      </c>
    </row>
    <row r="3197" spans="1:12" x14ac:dyDescent="0.35">
      <c r="A3197" s="3"/>
      <c r="B3197" s="2"/>
      <c r="C3197" s="2"/>
      <c r="D3197" s="2" t="b">
        <f>IF(AND(NOT(ISBLANK(Table1[[#This Row],[Fetal Sex (Male, Female or Unknown)]])),ISNUMBER(Table1[[#This Row],[Birthweight (grams)]]),ISNUMBER(Table1[[#This Row],[Gestation (days)]])),TRUE,FALSE)</f>
        <v>0</v>
      </c>
      <c r="E3197" s="2" t="str">
        <f>IF(Table1[[#This Row],[Is Data Valid]]=TRUE,IF(Table1[[#This Row],[Fetal Sex (Male, Female or Unknown)]]="Male",Backend!$C$6,IF(Table1[[#This Row],[Fetal Sex (Male, Female or Unknown)]]="Female",Backend!$C$7,IF(Table1[[#This Row],[Fetal Sex (Male, Female or Unknown)]]="Unknown",Backend!$C$8,"Error"))),"")</f>
        <v/>
      </c>
      <c r="F3197" s="8" t="str">
        <f>IF(Table1[[#This Row],[Is Data Valid]]=TRUE,EXP(0.578+0.332*((Table1[[#This Row],[Gestation (days)]]+0.5)/7)-0.00354*((Table1[[#This Row],[Gestation (days)]]+0.5)/7)^2)*Table1[[#This Row],[BW40_3705]],"")</f>
        <v/>
      </c>
      <c r="G3197" s="2" t="str">
        <f>IF(Table1[[#This Row],[Is Data Valid]]=TRUE,((Table1[[#This Row],[Birthweight (grams)]]/Table1[[#This Row],[BW_GA]])-1)/(Backend!$B$4/100*Table1[[#This Row],[BW40_3705]]),"")</f>
        <v/>
      </c>
      <c r="H3197" s="7" t="str">
        <f>IF(Table1[[#This Row],[Is Data Valid]]=TRUE,((Table1[[#This Row],[Birthweight (grams)]]*0.9/Table1[[#This Row],[BW_GA]])-1)/(Backend!$B$4/100*Table1[[#This Row],[BW40_3705]]),"")</f>
        <v/>
      </c>
      <c r="I3197" s="7" t="str">
        <f>IF(Table1[[#This Row],[Is Data Valid]]=TRUE,((Table1[[#This Row],[Birthweight (grams)]]*1.1/Table1[[#This Row],[BW_GA]])-1)/(Backend!$B$4/100*Table1[[#This Row],[BW40_3705]]),"")</f>
        <v/>
      </c>
      <c r="J3197" s="7" t="str">
        <f>IF(Table1[[#This Row],[Is Data Valid]]=TRUE,_xlfn.NORM.S.DIST(Table1[[#This Row],[Birthweight Z-Score]],TRUE)*100,"")</f>
        <v/>
      </c>
      <c r="K3197" s="7" t="str">
        <f>IF(Table1[[#This Row],[Is Data Valid]]=TRUE,_xlfn.NORM.S.DIST(Table1[[#This Row],[Birthweight Z-Score (BW-10%)]],TRUE)*100,"")</f>
        <v/>
      </c>
      <c r="L3197" s="7" t="str">
        <f>IF(Table1[[#This Row],[Is Data Valid]]=TRUE,_xlfn.NORM.S.DIST(Table1[[#This Row],[Birthweight Z-Score (BW+10%)]],TRUE)*100,"")</f>
        <v/>
      </c>
    </row>
    <row r="3198" spans="1:12" x14ac:dyDescent="0.35">
      <c r="A3198" s="3"/>
      <c r="B3198" s="2"/>
      <c r="C3198" s="2"/>
      <c r="D3198" s="2" t="b">
        <f>IF(AND(NOT(ISBLANK(Table1[[#This Row],[Fetal Sex (Male, Female or Unknown)]])),ISNUMBER(Table1[[#This Row],[Birthweight (grams)]]),ISNUMBER(Table1[[#This Row],[Gestation (days)]])),TRUE,FALSE)</f>
        <v>0</v>
      </c>
      <c r="E3198" s="2" t="str">
        <f>IF(Table1[[#This Row],[Is Data Valid]]=TRUE,IF(Table1[[#This Row],[Fetal Sex (Male, Female or Unknown)]]="Male",Backend!$C$6,IF(Table1[[#This Row],[Fetal Sex (Male, Female or Unknown)]]="Female",Backend!$C$7,IF(Table1[[#This Row],[Fetal Sex (Male, Female or Unknown)]]="Unknown",Backend!$C$8,"Error"))),"")</f>
        <v/>
      </c>
      <c r="F3198" s="8" t="str">
        <f>IF(Table1[[#This Row],[Is Data Valid]]=TRUE,EXP(0.578+0.332*((Table1[[#This Row],[Gestation (days)]]+0.5)/7)-0.00354*((Table1[[#This Row],[Gestation (days)]]+0.5)/7)^2)*Table1[[#This Row],[BW40_3705]],"")</f>
        <v/>
      </c>
      <c r="G3198" s="2" t="str">
        <f>IF(Table1[[#This Row],[Is Data Valid]]=TRUE,((Table1[[#This Row],[Birthweight (grams)]]/Table1[[#This Row],[BW_GA]])-1)/(Backend!$B$4/100*Table1[[#This Row],[BW40_3705]]),"")</f>
        <v/>
      </c>
      <c r="H3198" s="7" t="str">
        <f>IF(Table1[[#This Row],[Is Data Valid]]=TRUE,((Table1[[#This Row],[Birthweight (grams)]]*0.9/Table1[[#This Row],[BW_GA]])-1)/(Backend!$B$4/100*Table1[[#This Row],[BW40_3705]]),"")</f>
        <v/>
      </c>
      <c r="I3198" s="7" t="str">
        <f>IF(Table1[[#This Row],[Is Data Valid]]=TRUE,((Table1[[#This Row],[Birthweight (grams)]]*1.1/Table1[[#This Row],[BW_GA]])-1)/(Backend!$B$4/100*Table1[[#This Row],[BW40_3705]]),"")</f>
        <v/>
      </c>
      <c r="J3198" s="7" t="str">
        <f>IF(Table1[[#This Row],[Is Data Valid]]=TRUE,_xlfn.NORM.S.DIST(Table1[[#This Row],[Birthweight Z-Score]],TRUE)*100,"")</f>
        <v/>
      </c>
      <c r="K3198" s="7" t="str">
        <f>IF(Table1[[#This Row],[Is Data Valid]]=TRUE,_xlfn.NORM.S.DIST(Table1[[#This Row],[Birthweight Z-Score (BW-10%)]],TRUE)*100,"")</f>
        <v/>
      </c>
      <c r="L3198" s="7" t="str">
        <f>IF(Table1[[#This Row],[Is Data Valid]]=TRUE,_xlfn.NORM.S.DIST(Table1[[#This Row],[Birthweight Z-Score (BW+10%)]],TRUE)*100,"")</f>
        <v/>
      </c>
    </row>
    <row r="3199" spans="1:12" x14ac:dyDescent="0.35">
      <c r="A3199" s="3"/>
      <c r="B3199" s="2"/>
      <c r="C3199" s="2"/>
      <c r="D3199" s="2" t="b">
        <f>IF(AND(NOT(ISBLANK(Table1[[#This Row],[Fetal Sex (Male, Female or Unknown)]])),ISNUMBER(Table1[[#This Row],[Birthweight (grams)]]),ISNUMBER(Table1[[#This Row],[Gestation (days)]])),TRUE,FALSE)</f>
        <v>0</v>
      </c>
      <c r="E3199" s="2" t="str">
        <f>IF(Table1[[#This Row],[Is Data Valid]]=TRUE,IF(Table1[[#This Row],[Fetal Sex (Male, Female or Unknown)]]="Male",Backend!$C$6,IF(Table1[[#This Row],[Fetal Sex (Male, Female or Unknown)]]="Female",Backend!$C$7,IF(Table1[[#This Row],[Fetal Sex (Male, Female or Unknown)]]="Unknown",Backend!$C$8,"Error"))),"")</f>
        <v/>
      </c>
      <c r="F3199" s="8" t="str">
        <f>IF(Table1[[#This Row],[Is Data Valid]]=TRUE,EXP(0.578+0.332*((Table1[[#This Row],[Gestation (days)]]+0.5)/7)-0.00354*((Table1[[#This Row],[Gestation (days)]]+0.5)/7)^2)*Table1[[#This Row],[BW40_3705]],"")</f>
        <v/>
      </c>
      <c r="G3199" s="2" t="str">
        <f>IF(Table1[[#This Row],[Is Data Valid]]=TRUE,((Table1[[#This Row],[Birthweight (grams)]]/Table1[[#This Row],[BW_GA]])-1)/(Backend!$B$4/100*Table1[[#This Row],[BW40_3705]]),"")</f>
        <v/>
      </c>
      <c r="H3199" s="7" t="str">
        <f>IF(Table1[[#This Row],[Is Data Valid]]=TRUE,((Table1[[#This Row],[Birthweight (grams)]]*0.9/Table1[[#This Row],[BW_GA]])-1)/(Backend!$B$4/100*Table1[[#This Row],[BW40_3705]]),"")</f>
        <v/>
      </c>
      <c r="I3199" s="7" t="str">
        <f>IF(Table1[[#This Row],[Is Data Valid]]=TRUE,((Table1[[#This Row],[Birthweight (grams)]]*1.1/Table1[[#This Row],[BW_GA]])-1)/(Backend!$B$4/100*Table1[[#This Row],[BW40_3705]]),"")</f>
        <v/>
      </c>
      <c r="J3199" s="7" t="str">
        <f>IF(Table1[[#This Row],[Is Data Valid]]=TRUE,_xlfn.NORM.S.DIST(Table1[[#This Row],[Birthweight Z-Score]],TRUE)*100,"")</f>
        <v/>
      </c>
      <c r="K3199" s="7" t="str">
        <f>IF(Table1[[#This Row],[Is Data Valid]]=TRUE,_xlfn.NORM.S.DIST(Table1[[#This Row],[Birthweight Z-Score (BW-10%)]],TRUE)*100,"")</f>
        <v/>
      </c>
      <c r="L3199" s="7" t="str">
        <f>IF(Table1[[#This Row],[Is Data Valid]]=TRUE,_xlfn.NORM.S.DIST(Table1[[#This Row],[Birthweight Z-Score (BW+10%)]],TRUE)*100,"")</f>
        <v/>
      </c>
    </row>
    <row r="3200" spans="1:12" x14ac:dyDescent="0.35">
      <c r="A3200" s="3"/>
      <c r="B3200" s="2"/>
      <c r="C3200" s="2"/>
      <c r="D3200" s="2" t="b">
        <f>IF(AND(NOT(ISBLANK(Table1[[#This Row],[Fetal Sex (Male, Female or Unknown)]])),ISNUMBER(Table1[[#This Row],[Birthweight (grams)]]),ISNUMBER(Table1[[#This Row],[Gestation (days)]])),TRUE,FALSE)</f>
        <v>0</v>
      </c>
      <c r="E3200" s="2" t="str">
        <f>IF(Table1[[#This Row],[Is Data Valid]]=TRUE,IF(Table1[[#This Row],[Fetal Sex (Male, Female or Unknown)]]="Male",Backend!$C$6,IF(Table1[[#This Row],[Fetal Sex (Male, Female or Unknown)]]="Female",Backend!$C$7,IF(Table1[[#This Row],[Fetal Sex (Male, Female or Unknown)]]="Unknown",Backend!$C$8,"Error"))),"")</f>
        <v/>
      </c>
      <c r="F3200" s="8" t="str">
        <f>IF(Table1[[#This Row],[Is Data Valid]]=TRUE,EXP(0.578+0.332*((Table1[[#This Row],[Gestation (days)]]+0.5)/7)-0.00354*((Table1[[#This Row],[Gestation (days)]]+0.5)/7)^2)*Table1[[#This Row],[BW40_3705]],"")</f>
        <v/>
      </c>
      <c r="G3200" s="2" t="str">
        <f>IF(Table1[[#This Row],[Is Data Valid]]=TRUE,((Table1[[#This Row],[Birthweight (grams)]]/Table1[[#This Row],[BW_GA]])-1)/(Backend!$B$4/100*Table1[[#This Row],[BW40_3705]]),"")</f>
        <v/>
      </c>
      <c r="H3200" s="7" t="str">
        <f>IF(Table1[[#This Row],[Is Data Valid]]=TRUE,((Table1[[#This Row],[Birthweight (grams)]]*0.9/Table1[[#This Row],[BW_GA]])-1)/(Backend!$B$4/100*Table1[[#This Row],[BW40_3705]]),"")</f>
        <v/>
      </c>
      <c r="I3200" s="7" t="str">
        <f>IF(Table1[[#This Row],[Is Data Valid]]=TRUE,((Table1[[#This Row],[Birthweight (grams)]]*1.1/Table1[[#This Row],[BW_GA]])-1)/(Backend!$B$4/100*Table1[[#This Row],[BW40_3705]]),"")</f>
        <v/>
      </c>
      <c r="J3200" s="7" t="str">
        <f>IF(Table1[[#This Row],[Is Data Valid]]=TRUE,_xlfn.NORM.S.DIST(Table1[[#This Row],[Birthweight Z-Score]],TRUE)*100,"")</f>
        <v/>
      </c>
      <c r="K3200" s="7" t="str">
        <f>IF(Table1[[#This Row],[Is Data Valid]]=TRUE,_xlfn.NORM.S.DIST(Table1[[#This Row],[Birthweight Z-Score (BW-10%)]],TRUE)*100,"")</f>
        <v/>
      </c>
      <c r="L3200" s="7" t="str">
        <f>IF(Table1[[#This Row],[Is Data Valid]]=TRUE,_xlfn.NORM.S.DIST(Table1[[#This Row],[Birthweight Z-Score (BW+10%)]],TRUE)*100,"")</f>
        <v/>
      </c>
    </row>
    <row r="3201" spans="1:12" x14ac:dyDescent="0.35">
      <c r="A3201" s="3"/>
      <c r="B3201" s="2"/>
      <c r="C3201" s="2"/>
      <c r="D3201" s="2" t="b">
        <f>IF(AND(NOT(ISBLANK(Table1[[#This Row],[Fetal Sex (Male, Female or Unknown)]])),ISNUMBER(Table1[[#This Row],[Birthweight (grams)]]),ISNUMBER(Table1[[#This Row],[Gestation (days)]])),TRUE,FALSE)</f>
        <v>0</v>
      </c>
      <c r="E3201" s="2" t="str">
        <f>IF(Table1[[#This Row],[Is Data Valid]]=TRUE,IF(Table1[[#This Row],[Fetal Sex (Male, Female or Unknown)]]="Male",Backend!$C$6,IF(Table1[[#This Row],[Fetal Sex (Male, Female or Unknown)]]="Female",Backend!$C$7,IF(Table1[[#This Row],[Fetal Sex (Male, Female or Unknown)]]="Unknown",Backend!$C$8,"Error"))),"")</f>
        <v/>
      </c>
      <c r="F3201" s="8" t="str">
        <f>IF(Table1[[#This Row],[Is Data Valid]]=TRUE,EXP(0.578+0.332*((Table1[[#This Row],[Gestation (days)]]+0.5)/7)-0.00354*((Table1[[#This Row],[Gestation (days)]]+0.5)/7)^2)*Table1[[#This Row],[BW40_3705]],"")</f>
        <v/>
      </c>
      <c r="G3201" s="2" t="str">
        <f>IF(Table1[[#This Row],[Is Data Valid]]=TRUE,((Table1[[#This Row],[Birthweight (grams)]]/Table1[[#This Row],[BW_GA]])-1)/(Backend!$B$4/100*Table1[[#This Row],[BW40_3705]]),"")</f>
        <v/>
      </c>
      <c r="H3201" s="7" t="str">
        <f>IF(Table1[[#This Row],[Is Data Valid]]=TRUE,((Table1[[#This Row],[Birthweight (grams)]]*0.9/Table1[[#This Row],[BW_GA]])-1)/(Backend!$B$4/100*Table1[[#This Row],[BW40_3705]]),"")</f>
        <v/>
      </c>
      <c r="I3201" s="7" t="str">
        <f>IF(Table1[[#This Row],[Is Data Valid]]=TRUE,((Table1[[#This Row],[Birthweight (grams)]]*1.1/Table1[[#This Row],[BW_GA]])-1)/(Backend!$B$4/100*Table1[[#This Row],[BW40_3705]]),"")</f>
        <v/>
      </c>
      <c r="J3201" s="7" t="str">
        <f>IF(Table1[[#This Row],[Is Data Valid]]=TRUE,_xlfn.NORM.S.DIST(Table1[[#This Row],[Birthweight Z-Score]],TRUE)*100,"")</f>
        <v/>
      </c>
      <c r="K3201" s="7" t="str">
        <f>IF(Table1[[#This Row],[Is Data Valid]]=TRUE,_xlfn.NORM.S.DIST(Table1[[#This Row],[Birthweight Z-Score (BW-10%)]],TRUE)*100,"")</f>
        <v/>
      </c>
      <c r="L3201" s="7" t="str">
        <f>IF(Table1[[#This Row],[Is Data Valid]]=TRUE,_xlfn.NORM.S.DIST(Table1[[#This Row],[Birthweight Z-Score (BW+10%)]],TRUE)*100,"")</f>
        <v/>
      </c>
    </row>
    <row r="3202" spans="1:12" x14ac:dyDescent="0.35">
      <c r="A3202" s="3"/>
      <c r="B3202" s="2"/>
      <c r="C3202" s="2"/>
      <c r="D3202" s="2" t="b">
        <f>IF(AND(NOT(ISBLANK(Table1[[#This Row],[Fetal Sex (Male, Female or Unknown)]])),ISNUMBER(Table1[[#This Row],[Birthweight (grams)]]),ISNUMBER(Table1[[#This Row],[Gestation (days)]])),TRUE,FALSE)</f>
        <v>0</v>
      </c>
      <c r="E3202" s="2" t="str">
        <f>IF(Table1[[#This Row],[Is Data Valid]]=TRUE,IF(Table1[[#This Row],[Fetal Sex (Male, Female or Unknown)]]="Male",Backend!$C$6,IF(Table1[[#This Row],[Fetal Sex (Male, Female or Unknown)]]="Female",Backend!$C$7,IF(Table1[[#This Row],[Fetal Sex (Male, Female or Unknown)]]="Unknown",Backend!$C$8,"Error"))),"")</f>
        <v/>
      </c>
      <c r="F3202" s="8" t="str">
        <f>IF(Table1[[#This Row],[Is Data Valid]]=TRUE,EXP(0.578+0.332*((Table1[[#This Row],[Gestation (days)]]+0.5)/7)-0.00354*((Table1[[#This Row],[Gestation (days)]]+0.5)/7)^2)*Table1[[#This Row],[BW40_3705]],"")</f>
        <v/>
      </c>
      <c r="G3202" s="2" t="str">
        <f>IF(Table1[[#This Row],[Is Data Valid]]=TRUE,((Table1[[#This Row],[Birthweight (grams)]]/Table1[[#This Row],[BW_GA]])-1)/(Backend!$B$4/100*Table1[[#This Row],[BW40_3705]]),"")</f>
        <v/>
      </c>
      <c r="H3202" s="7" t="str">
        <f>IF(Table1[[#This Row],[Is Data Valid]]=TRUE,((Table1[[#This Row],[Birthweight (grams)]]*0.9/Table1[[#This Row],[BW_GA]])-1)/(Backend!$B$4/100*Table1[[#This Row],[BW40_3705]]),"")</f>
        <v/>
      </c>
      <c r="I3202" s="7" t="str">
        <f>IF(Table1[[#This Row],[Is Data Valid]]=TRUE,((Table1[[#This Row],[Birthweight (grams)]]*1.1/Table1[[#This Row],[BW_GA]])-1)/(Backend!$B$4/100*Table1[[#This Row],[BW40_3705]]),"")</f>
        <v/>
      </c>
      <c r="J3202" s="7" t="str">
        <f>IF(Table1[[#This Row],[Is Data Valid]]=TRUE,_xlfn.NORM.S.DIST(Table1[[#This Row],[Birthweight Z-Score]],TRUE)*100,"")</f>
        <v/>
      </c>
      <c r="K3202" s="7" t="str">
        <f>IF(Table1[[#This Row],[Is Data Valid]]=TRUE,_xlfn.NORM.S.DIST(Table1[[#This Row],[Birthweight Z-Score (BW-10%)]],TRUE)*100,"")</f>
        <v/>
      </c>
      <c r="L3202" s="7" t="str">
        <f>IF(Table1[[#This Row],[Is Data Valid]]=TRUE,_xlfn.NORM.S.DIST(Table1[[#This Row],[Birthweight Z-Score (BW+10%)]],TRUE)*100,"")</f>
        <v/>
      </c>
    </row>
    <row r="3203" spans="1:12" x14ac:dyDescent="0.35">
      <c r="A3203" s="3"/>
      <c r="B3203" s="2"/>
      <c r="C3203" s="2"/>
      <c r="D3203" s="2" t="b">
        <f>IF(AND(NOT(ISBLANK(Table1[[#This Row],[Fetal Sex (Male, Female or Unknown)]])),ISNUMBER(Table1[[#This Row],[Birthweight (grams)]]),ISNUMBER(Table1[[#This Row],[Gestation (days)]])),TRUE,FALSE)</f>
        <v>0</v>
      </c>
      <c r="E3203" s="2" t="str">
        <f>IF(Table1[[#This Row],[Is Data Valid]]=TRUE,IF(Table1[[#This Row],[Fetal Sex (Male, Female or Unknown)]]="Male",Backend!$C$6,IF(Table1[[#This Row],[Fetal Sex (Male, Female or Unknown)]]="Female",Backend!$C$7,IF(Table1[[#This Row],[Fetal Sex (Male, Female or Unknown)]]="Unknown",Backend!$C$8,"Error"))),"")</f>
        <v/>
      </c>
      <c r="F3203" s="8" t="str">
        <f>IF(Table1[[#This Row],[Is Data Valid]]=TRUE,EXP(0.578+0.332*((Table1[[#This Row],[Gestation (days)]]+0.5)/7)-0.00354*((Table1[[#This Row],[Gestation (days)]]+0.5)/7)^2)*Table1[[#This Row],[BW40_3705]],"")</f>
        <v/>
      </c>
      <c r="G3203" s="2" t="str">
        <f>IF(Table1[[#This Row],[Is Data Valid]]=TRUE,((Table1[[#This Row],[Birthweight (grams)]]/Table1[[#This Row],[BW_GA]])-1)/(Backend!$B$4/100*Table1[[#This Row],[BW40_3705]]),"")</f>
        <v/>
      </c>
      <c r="H3203" s="7" t="str">
        <f>IF(Table1[[#This Row],[Is Data Valid]]=TRUE,((Table1[[#This Row],[Birthweight (grams)]]*0.9/Table1[[#This Row],[BW_GA]])-1)/(Backend!$B$4/100*Table1[[#This Row],[BW40_3705]]),"")</f>
        <v/>
      </c>
      <c r="I3203" s="7" t="str">
        <f>IF(Table1[[#This Row],[Is Data Valid]]=TRUE,((Table1[[#This Row],[Birthweight (grams)]]*1.1/Table1[[#This Row],[BW_GA]])-1)/(Backend!$B$4/100*Table1[[#This Row],[BW40_3705]]),"")</f>
        <v/>
      </c>
      <c r="J3203" s="7" t="str">
        <f>IF(Table1[[#This Row],[Is Data Valid]]=TRUE,_xlfn.NORM.S.DIST(Table1[[#This Row],[Birthweight Z-Score]],TRUE)*100,"")</f>
        <v/>
      </c>
      <c r="K3203" s="7" t="str">
        <f>IF(Table1[[#This Row],[Is Data Valid]]=TRUE,_xlfn.NORM.S.DIST(Table1[[#This Row],[Birthweight Z-Score (BW-10%)]],TRUE)*100,"")</f>
        <v/>
      </c>
      <c r="L3203" s="7" t="str">
        <f>IF(Table1[[#This Row],[Is Data Valid]]=TRUE,_xlfn.NORM.S.DIST(Table1[[#This Row],[Birthweight Z-Score (BW+10%)]],TRUE)*100,"")</f>
        <v/>
      </c>
    </row>
    <row r="3204" spans="1:12" x14ac:dyDescent="0.35">
      <c r="A3204" s="3"/>
      <c r="B3204" s="2"/>
      <c r="C3204" s="2"/>
      <c r="D3204" s="2" t="b">
        <f>IF(AND(NOT(ISBLANK(Table1[[#This Row],[Fetal Sex (Male, Female or Unknown)]])),ISNUMBER(Table1[[#This Row],[Birthweight (grams)]]),ISNUMBER(Table1[[#This Row],[Gestation (days)]])),TRUE,FALSE)</f>
        <v>0</v>
      </c>
      <c r="E3204" s="2" t="str">
        <f>IF(Table1[[#This Row],[Is Data Valid]]=TRUE,IF(Table1[[#This Row],[Fetal Sex (Male, Female or Unknown)]]="Male",Backend!$C$6,IF(Table1[[#This Row],[Fetal Sex (Male, Female or Unknown)]]="Female",Backend!$C$7,IF(Table1[[#This Row],[Fetal Sex (Male, Female or Unknown)]]="Unknown",Backend!$C$8,"Error"))),"")</f>
        <v/>
      </c>
      <c r="F3204" s="8" t="str">
        <f>IF(Table1[[#This Row],[Is Data Valid]]=TRUE,EXP(0.578+0.332*((Table1[[#This Row],[Gestation (days)]]+0.5)/7)-0.00354*((Table1[[#This Row],[Gestation (days)]]+0.5)/7)^2)*Table1[[#This Row],[BW40_3705]],"")</f>
        <v/>
      </c>
      <c r="G3204" s="2" t="str">
        <f>IF(Table1[[#This Row],[Is Data Valid]]=TRUE,((Table1[[#This Row],[Birthweight (grams)]]/Table1[[#This Row],[BW_GA]])-1)/(Backend!$B$4/100*Table1[[#This Row],[BW40_3705]]),"")</f>
        <v/>
      </c>
      <c r="H3204" s="7" t="str">
        <f>IF(Table1[[#This Row],[Is Data Valid]]=TRUE,((Table1[[#This Row],[Birthweight (grams)]]*0.9/Table1[[#This Row],[BW_GA]])-1)/(Backend!$B$4/100*Table1[[#This Row],[BW40_3705]]),"")</f>
        <v/>
      </c>
      <c r="I3204" s="7" t="str">
        <f>IF(Table1[[#This Row],[Is Data Valid]]=TRUE,((Table1[[#This Row],[Birthweight (grams)]]*1.1/Table1[[#This Row],[BW_GA]])-1)/(Backend!$B$4/100*Table1[[#This Row],[BW40_3705]]),"")</f>
        <v/>
      </c>
      <c r="J3204" s="7" t="str">
        <f>IF(Table1[[#This Row],[Is Data Valid]]=TRUE,_xlfn.NORM.S.DIST(Table1[[#This Row],[Birthweight Z-Score]],TRUE)*100,"")</f>
        <v/>
      </c>
      <c r="K3204" s="7" t="str">
        <f>IF(Table1[[#This Row],[Is Data Valid]]=TRUE,_xlfn.NORM.S.DIST(Table1[[#This Row],[Birthweight Z-Score (BW-10%)]],TRUE)*100,"")</f>
        <v/>
      </c>
      <c r="L3204" s="7" t="str">
        <f>IF(Table1[[#This Row],[Is Data Valid]]=TRUE,_xlfn.NORM.S.DIST(Table1[[#This Row],[Birthweight Z-Score (BW+10%)]],TRUE)*100,"")</f>
        <v/>
      </c>
    </row>
    <row r="3205" spans="1:12" x14ac:dyDescent="0.35">
      <c r="A3205" s="3"/>
      <c r="B3205" s="2"/>
      <c r="C3205" s="2"/>
      <c r="D3205" s="2" t="b">
        <f>IF(AND(NOT(ISBLANK(Table1[[#This Row],[Fetal Sex (Male, Female or Unknown)]])),ISNUMBER(Table1[[#This Row],[Birthweight (grams)]]),ISNUMBER(Table1[[#This Row],[Gestation (days)]])),TRUE,FALSE)</f>
        <v>0</v>
      </c>
      <c r="E3205" s="2" t="str">
        <f>IF(Table1[[#This Row],[Is Data Valid]]=TRUE,IF(Table1[[#This Row],[Fetal Sex (Male, Female or Unknown)]]="Male",Backend!$C$6,IF(Table1[[#This Row],[Fetal Sex (Male, Female or Unknown)]]="Female",Backend!$C$7,IF(Table1[[#This Row],[Fetal Sex (Male, Female or Unknown)]]="Unknown",Backend!$C$8,"Error"))),"")</f>
        <v/>
      </c>
      <c r="F3205" s="8" t="str">
        <f>IF(Table1[[#This Row],[Is Data Valid]]=TRUE,EXP(0.578+0.332*((Table1[[#This Row],[Gestation (days)]]+0.5)/7)-0.00354*((Table1[[#This Row],[Gestation (days)]]+0.5)/7)^2)*Table1[[#This Row],[BW40_3705]],"")</f>
        <v/>
      </c>
      <c r="G3205" s="2" t="str">
        <f>IF(Table1[[#This Row],[Is Data Valid]]=TRUE,((Table1[[#This Row],[Birthweight (grams)]]/Table1[[#This Row],[BW_GA]])-1)/(Backend!$B$4/100*Table1[[#This Row],[BW40_3705]]),"")</f>
        <v/>
      </c>
      <c r="H3205" s="7" t="str">
        <f>IF(Table1[[#This Row],[Is Data Valid]]=TRUE,((Table1[[#This Row],[Birthweight (grams)]]*0.9/Table1[[#This Row],[BW_GA]])-1)/(Backend!$B$4/100*Table1[[#This Row],[BW40_3705]]),"")</f>
        <v/>
      </c>
      <c r="I3205" s="7" t="str">
        <f>IF(Table1[[#This Row],[Is Data Valid]]=TRUE,((Table1[[#This Row],[Birthweight (grams)]]*1.1/Table1[[#This Row],[BW_GA]])-1)/(Backend!$B$4/100*Table1[[#This Row],[BW40_3705]]),"")</f>
        <v/>
      </c>
      <c r="J3205" s="7" t="str">
        <f>IF(Table1[[#This Row],[Is Data Valid]]=TRUE,_xlfn.NORM.S.DIST(Table1[[#This Row],[Birthweight Z-Score]],TRUE)*100,"")</f>
        <v/>
      </c>
      <c r="K3205" s="7" t="str">
        <f>IF(Table1[[#This Row],[Is Data Valid]]=TRUE,_xlfn.NORM.S.DIST(Table1[[#This Row],[Birthweight Z-Score (BW-10%)]],TRUE)*100,"")</f>
        <v/>
      </c>
      <c r="L3205" s="7" t="str">
        <f>IF(Table1[[#This Row],[Is Data Valid]]=TRUE,_xlfn.NORM.S.DIST(Table1[[#This Row],[Birthweight Z-Score (BW+10%)]],TRUE)*100,"")</f>
        <v/>
      </c>
    </row>
    <row r="3206" spans="1:12" x14ac:dyDescent="0.35">
      <c r="A3206" s="3"/>
      <c r="B3206" s="2"/>
      <c r="C3206" s="2"/>
      <c r="D3206" s="2" t="b">
        <f>IF(AND(NOT(ISBLANK(Table1[[#This Row],[Fetal Sex (Male, Female or Unknown)]])),ISNUMBER(Table1[[#This Row],[Birthweight (grams)]]),ISNUMBER(Table1[[#This Row],[Gestation (days)]])),TRUE,FALSE)</f>
        <v>0</v>
      </c>
      <c r="E3206" s="2" t="str">
        <f>IF(Table1[[#This Row],[Is Data Valid]]=TRUE,IF(Table1[[#This Row],[Fetal Sex (Male, Female or Unknown)]]="Male",Backend!$C$6,IF(Table1[[#This Row],[Fetal Sex (Male, Female or Unknown)]]="Female",Backend!$C$7,IF(Table1[[#This Row],[Fetal Sex (Male, Female or Unknown)]]="Unknown",Backend!$C$8,"Error"))),"")</f>
        <v/>
      </c>
      <c r="F3206" s="8" t="str">
        <f>IF(Table1[[#This Row],[Is Data Valid]]=TRUE,EXP(0.578+0.332*((Table1[[#This Row],[Gestation (days)]]+0.5)/7)-0.00354*((Table1[[#This Row],[Gestation (days)]]+0.5)/7)^2)*Table1[[#This Row],[BW40_3705]],"")</f>
        <v/>
      </c>
      <c r="G3206" s="2" t="str">
        <f>IF(Table1[[#This Row],[Is Data Valid]]=TRUE,((Table1[[#This Row],[Birthweight (grams)]]/Table1[[#This Row],[BW_GA]])-1)/(Backend!$B$4/100*Table1[[#This Row],[BW40_3705]]),"")</f>
        <v/>
      </c>
      <c r="H3206" s="7" t="str">
        <f>IF(Table1[[#This Row],[Is Data Valid]]=TRUE,((Table1[[#This Row],[Birthweight (grams)]]*0.9/Table1[[#This Row],[BW_GA]])-1)/(Backend!$B$4/100*Table1[[#This Row],[BW40_3705]]),"")</f>
        <v/>
      </c>
      <c r="I3206" s="7" t="str">
        <f>IF(Table1[[#This Row],[Is Data Valid]]=TRUE,((Table1[[#This Row],[Birthweight (grams)]]*1.1/Table1[[#This Row],[BW_GA]])-1)/(Backend!$B$4/100*Table1[[#This Row],[BW40_3705]]),"")</f>
        <v/>
      </c>
      <c r="J3206" s="7" t="str">
        <f>IF(Table1[[#This Row],[Is Data Valid]]=TRUE,_xlfn.NORM.S.DIST(Table1[[#This Row],[Birthweight Z-Score]],TRUE)*100,"")</f>
        <v/>
      </c>
      <c r="K3206" s="7" t="str">
        <f>IF(Table1[[#This Row],[Is Data Valid]]=TRUE,_xlfn.NORM.S.DIST(Table1[[#This Row],[Birthweight Z-Score (BW-10%)]],TRUE)*100,"")</f>
        <v/>
      </c>
      <c r="L3206" s="7" t="str">
        <f>IF(Table1[[#This Row],[Is Data Valid]]=TRUE,_xlfn.NORM.S.DIST(Table1[[#This Row],[Birthweight Z-Score (BW+10%)]],TRUE)*100,"")</f>
        <v/>
      </c>
    </row>
    <row r="3207" spans="1:12" x14ac:dyDescent="0.35">
      <c r="A3207" s="3"/>
      <c r="B3207" s="2"/>
      <c r="C3207" s="2"/>
      <c r="D3207" s="2" t="b">
        <f>IF(AND(NOT(ISBLANK(Table1[[#This Row],[Fetal Sex (Male, Female or Unknown)]])),ISNUMBER(Table1[[#This Row],[Birthweight (grams)]]),ISNUMBER(Table1[[#This Row],[Gestation (days)]])),TRUE,FALSE)</f>
        <v>0</v>
      </c>
      <c r="E3207" s="2" t="str">
        <f>IF(Table1[[#This Row],[Is Data Valid]]=TRUE,IF(Table1[[#This Row],[Fetal Sex (Male, Female or Unknown)]]="Male",Backend!$C$6,IF(Table1[[#This Row],[Fetal Sex (Male, Female or Unknown)]]="Female",Backend!$C$7,IF(Table1[[#This Row],[Fetal Sex (Male, Female or Unknown)]]="Unknown",Backend!$C$8,"Error"))),"")</f>
        <v/>
      </c>
      <c r="F3207" s="8" t="str">
        <f>IF(Table1[[#This Row],[Is Data Valid]]=TRUE,EXP(0.578+0.332*((Table1[[#This Row],[Gestation (days)]]+0.5)/7)-0.00354*((Table1[[#This Row],[Gestation (days)]]+0.5)/7)^2)*Table1[[#This Row],[BW40_3705]],"")</f>
        <v/>
      </c>
      <c r="G3207" s="2" t="str">
        <f>IF(Table1[[#This Row],[Is Data Valid]]=TRUE,((Table1[[#This Row],[Birthweight (grams)]]/Table1[[#This Row],[BW_GA]])-1)/(Backend!$B$4/100*Table1[[#This Row],[BW40_3705]]),"")</f>
        <v/>
      </c>
      <c r="H3207" s="7" t="str">
        <f>IF(Table1[[#This Row],[Is Data Valid]]=TRUE,((Table1[[#This Row],[Birthweight (grams)]]*0.9/Table1[[#This Row],[BW_GA]])-1)/(Backend!$B$4/100*Table1[[#This Row],[BW40_3705]]),"")</f>
        <v/>
      </c>
      <c r="I3207" s="7" t="str">
        <f>IF(Table1[[#This Row],[Is Data Valid]]=TRUE,((Table1[[#This Row],[Birthweight (grams)]]*1.1/Table1[[#This Row],[BW_GA]])-1)/(Backend!$B$4/100*Table1[[#This Row],[BW40_3705]]),"")</f>
        <v/>
      </c>
      <c r="J3207" s="7" t="str">
        <f>IF(Table1[[#This Row],[Is Data Valid]]=TRUE,_xlfn.NORM.S.DIST(Table1[[#This Row],[Birthweight Z-Score]],TRUE)*100,"")</f>
        <v/>
      </c>
      <c r="K3207" s="7" t="str">
        <f>IF(Table1[[#This Row],[Is Data Valid]]=TRUE,_xlfn.NORM.S.DIST(Table1[[#This Row],[Birthweight Z-Score (BW-10%)]],TRUE)*100,"")</f>
        <v/>
      </c>
      <c r="L3207" s="7" t="str">
        <f>IF(Table1[[#This Row],[Is Data Valid]]=TRUE,_xlfn.NORM.S.DIST(Table1[[#This Row],[Birthweight Z-Score (BW+10%)]],TRUE)*100,"")</f>
        <v/>
      </c>
    </row>
    <row r="3208" spans="1:12" x14ac:dyDescent="0.35">
      <c r="A3208" s="3"/>
      <c r="B3208" s="2"/>
      <c r="C3208" s="2"/>
      <c r="D3208" s="2" t="b">
        <f>IF(AND(NOT(ISBLANK(Table1[[#This Row],[Fetal Sex (Male, Female or Unknown)]])),ISNUMBER(Table1[[#This Row],[Birthweight (grams)]]),ISNUMBER(Table1[[#This Row],[Gestation (days)]])),TRUE,FALSE)</f>
        <v>0</v>
      </c>
      <c r="E3208" s="2" t="str">
        <f>IF(Table1[[#This Row],[Is Data Valid]]=TRUE,IF(Table1[[#This Row],[Fetal Sex (Male, Female or Unknown)]]="Male",Backend!$C$6,IF(Table1[[#This Row],[Fetal Sex (Male, Female or Unknown)]]="Female",Backend!$C$7,IF(Table1[[#This Row],[Fetal Sex (Male, Female or Unknown)]]="Unknown",Backend!$C$8,"Error"))),"")</f>
        <v/>
      </c>
      <c r="F3208" s="8" t="str">
        <f>IF(Table1[[#This Row],[Is Data Valid]]=TRUE,EXP(0.578+0.332*((Table1[[#This Row],[Gestation (days)]]+0.5)/7)-0.00354*((Table1[[#This Row],[Gestation (days)]]+0.5)/7)^2)*Table1[[#This Row],[BW40_3705]],"")</f>
        <v/>
      </c>
      <c r="G3208" s="2" t="str">
        <f>IF(Table1[[#This Row],[Is Data Valid]]=TRUE,((Table1[[#This Row],[Birthweight (grams)]]/Table1[[#This Row],[BW_GA]])-1)/(Backend!$B$4/100*Table1[[#This Row],[BW40_3705]]),"")</f>
        <v/>
      </c>
      <c r="H3208" s="7" t="str">
        <f>IF(Table1[[#This Row],[Is Data Valid]]=TRUE,((Table1[[#This Row],[Birthweight (grams)]]*0.9/Table1[[#This Row],[BW_GA]])-1)/(Backend!$B$4/100*Table1[[#This Row],[BW40_3705]]),"")</f>
        <v/>
      </c>
      <c r="I3208" s="7" t="str">
        <f>IF(Table1[[#This Row],[Is Data Valid]]=TRUE,((Table1[[#This Row],[Birthweight (grams)]]*1.1/Table1[[#This Row],[BW_GA]])-1)/(Backend!$B$4/100*Table1[[#This Row],[BW40_3705]]),"")</f>
        <v/>
      </c>
      <c r="J3208" s="7" t="str">
        <f>IF(Table1[[#This Row],[Is Data Valid]]=TRUE,_xlfn.NORM.S.DIST(Table1[[#This Row],[Birthweight Z-Score]],TRUE)*100,"")</f>
        <v/>
      </c>
      <c r="K3208" s="7" t="str">
        <f>IF(Table1[[#This Row],[Is Data Valid]]=TRUE,_xlfn.NORM.S.DIST(Table1[[#This Row],[Birthweight Z-Score (BW-10%)]],TRUE)*100,"")</f>
        <v/>
      </c>
      <c r="L3208" s="7" t="str">
        <f>IF(Table1[[#This Row],[Is Data Valid]]=TRUE,_xlfn.NORM.S.DIST(Table1[[#This Row],[Birthweight Z-Score (BW+10%)]],TRUE)*100,"")</f>
        <v/>
      </c>
    </row>
    <row r="3209" spans="1:12" x14ac:dyDescent="0.35">
      <c r="A3209" s="3"/>
      <c r="B3209" s="2"/>
      <c r="C3209" s="2"/>
      <c r="D3209" s="2" t="b">
        <f>IF(AND(NOT(ISBLANK(Table1[[#This Row],[Fetal Sex (Male, Female or Unknown)]])),ISNUMBER(Table1[[#This Row],[Birthweight (grams)]]),ISNUMBER(Table1[[#This Row],[Gestation (days)]])),TRUE,FALSE)</f>
        <v>0</v>
      </c>
      <c r="E3209" s="2" t="str">
        <f>IF(Table1[[#This Row],[Is Data Valid]]=TRUE,IF(Table1[[#This Row],[Fetal Sex (Male, Female or Unknown)]]="Male",Backend!$C$6,IF(Table1[[#This Row],[Fetal Sex (Male, Female or Unknown)]]="Female",Backend!$C$7,IF(Table1[[#This Row],[Fetal Sex (Male, Female or Unknown)]]="Unknown",Backend!$C$8,"Error"))),"")</f>
        <v/>
      </c>
      <c r="F3209" s="8" t="str">
        <f>IF(Table1[[#This Row],[Is Data Valid]]=TRUE,EXP(0.578+0.332*((Table1[[#This Row],[Gestation (days)]]+0.5)/7)-0.00354*((Table1[[#This Row],[Gestation (days)]]+0.5)/7)^2)*Table1[[#This Row],[BW40_3705]],"")</f>
        <v/>
      </c>
      <c r="G3209" s="2" t="str">
        <f>IF(Table1[[#This Row],[Is Data Valid]]=TRUE,((Table1[[#This Row],[Birthweight (grams)]]/Table1[[#This Row],[BW_GA]])-1)/(Backend!$B$4/100*Table1[[#This Row],[BW40_3705]]),"")</f>
        <v/>
      </c>
      <c r="H3209" s="7" t="str">
        <f>IF(Table1[[#This Row],[Is Data Valid]]=TRUE,((Table1[[#This Row],[Birthweight (grams)]]*0.9/Table1[[#This Row],[BW_GA]])-1)/(Backend!$B$4/100*Table1[[#This Row],[BW40_3705]]),"")</f>
        <v/>
      </c>
      <c r="I3209" s="7" t="str">
        <f>IF(Table1[[#This Row],[Is Data Valid]]=TRUE,((Table1[[#This Row],[Birthweight (grams)]]*1.1/Table1[[#This Row],[BW_GA]])-1)/(Backend!$B$4/100*Table1[[#This Row],[BW40_3705]]),"")</f>
        <v/>
      </c>
      <c r="J3209" s="7" t="str">
        <f>IF(Table1[[#This Row],[Is Data Valid]]=TRUE,_xlfn.NORM.S.DIST(Table1[[#This Row],[Birthweight Z-Score]],TRUE)*100,"")</f>
        <v/>
      </c>
      <c r="K3209" s="7" t="str">
        <f>IF(Table1[[#This Row],[Is Data Valid]]=TRUE,_xlfn.NORM.S.DIST(Table1[[#This Row],[Birthweight Z-Score (BW-10%)]],TRUE)*100,"")</f>
        <v/>
      </c>
      <c r="L3209" s="7" t="str">
        <f>IF(Table1[[#This Row],[Is Data Valid]]=TRUE,_xlfn.NORM.S.DIST(Table1[[#This Row],[Birthweight Z-Score (BW+10%)]],TRUE)*100,"")</f>
        <v/>
      </c>
    </row>
    <row r="3210" spans="1:12" x14ac:dyDescent="0.35">
      <c r="A3210" s="3"/>
      <c r="B3210" s="2"/>
      <c r="C3210" s="2"/>
      <c r="D3210" s="2" t="b">
        <f>IF(AND(NOT(ISBLANK(Table1[[#This Row],[Fetal Sex (Male, Female or Unknown)]])),ISNUMBER(Table1[[#This Row],[Birthweight (grams)]]),ISNUMBER(Table1[[#This Row],[Gestation (days)]])),TRUE,FALSE)</f>
        <v>0</v>
      </c>
      <c r="E3210" s="2" t="str">
        <f>IF(Table1[[#This Row],[Is Data Valid]]=TRUE,IF(Table1[[#This Row],[Fetal Sex (Male, Female or Unknown)]]="Male",Backend!$C$6,IF(Table1[[#This Row],[Fetal Sex (Male, Female or Unknown)]]="Female",Backend!$C$7,IF(Table1[[#This Row],[Fetal Sex (Male, Female or Unknown)]]="Unknown",Backend!$C$8,"Error"))),"")</f>
        <v/>
      </c>
      <c r="F3210" s="8" t="str">
        <f>IF(Table1[[#This Row],[Is Data Valid]]=TRUE,EXP(0.578+0.332*((Table1[[#This Row],[Gestation (days)]]+0.5)/7)-0.00354*((Table1[[#This Row],[Gestation (days)]]+0.5)/7)^2)*Table1[[#This Row],[BW40_3705]],"")</f>
        <v/>
      </c>
      <c r="G3210" s="2" t="str">
        <f>IF(Table1[[#This Row],[Is Data Valid]]=TRUE,((Table1[[#This Row],[Birthweight (grams)]]/Table1[[#This Row],[BW_GA]])-1)/(Backend!$B$4/100*Table1[[#This Row],[BW40_3705]]),"")</f>
        <v/>
      </c>
      <c r="H3210" s="7" t="str">
        <f>IF(Table1[[#This Row],[Is Data Valid]]=TRUE,((Table1[[#This Row],[Birthweight (grams)]]*0.9/Table1[[#This Row],[BW_GA]])-1)/(Backend!$B$4/100*Table1[[#This Row],[BW40_3705]]),"")</f>
        <v/>
      </c>
      <c r="I3210" s="7" t="str">
        <f>IF(Table1[[#This Row],[Is Data Valid]]=TRUE,((Table1[[#This Row],[Birthweight (grams)]]*1.1/Table1[[#This Row],[BW_GA]])-1)/(Backend!$B$4/100*Table1[[#This Row],[BW40_3705]]),"")</f>
        <v/>
      </c>
      <c r="J3210" s="7" t="str">
        <f>IF(Table1[[#This Row],[Is Data Valid]]=TRUE,_xlfn.NORM.S.DIST(Table1[[#This Row],[Birthweight Z-Score]],TRUE)*100,"")</f>
        <v/>
      </c>
      <c r="K3210" s="7" t="str">
        <f>IF(Table1[[#This Row],[Is Data Valid]]=TRUE,_xlfn.NORM.S.DIST(Table1[[#This Row],[Birthweight Z-Score (BW-10%)]],TRUE)*100,"")</f>
        <v/>
      </c>
      <c r="L3210" s="7" t="str">
        <f>IF(Table1[[#This Row],[Is Data Valid]]=TRUE,_xlfn.NORM.S.DIST(Table1[[#This Row],[Birthweight Z-Score (BW+10%)]],TRUE)*100,"")</f>
        <v/>
      </c>
    </row>
    <row r="3211" spans="1:12" x14ac:dyDescent="0.35">
      <c r="A3211" s="3"/>
      <c r="B3211" s="2"/>
      <c r="C3211" s="2"/>
      <c r="D3211" s="2" t="b">
        <f>IF(AND(NOT(ISBLANK(Table1[[#This Row],[Fetal Sex (Male, Female or Unknown)]])),ISNUMBER(Table1[[#This Row],[Birthweight (grams)]]),ISNUMBER(Table1[[#This Row],[Gestation (days)]])),TRUE,FALSE)</f>
        <v>0</v>
      </c>
      <c r="E3211" s="2" t="str">
        <f>IF(Table1[[#This Row],[Is Data Valid]]=TRUE,IF(Table1[[#This Row],[Fetal Sex (Male, Female or Unknown)]]="Male",Backend!$C$6,IF(Table1[[#This Row],[Fetal Sex (Male, Female or Unknown)]]="Female",Backend!$C$7,IF(Table1[[#This Row],[Fetal Sex (Male, Female or Unknown)]]="Unknown",Backend!$C$8,"Error"))),"")</f>
        <v/>
      </c>
      <c r="F3211" s="8" t="str">
        <f>IF(Table1[[#This Row],[Is Data Valid]]=TRUE,EXP(0.578+0.332*((Table1[[#This Row],[Gestation (days)]]+0.5)/7)-0.00354*((Table1[[#This Row],[Gestation (days)]]+0.5)/7)^2)*Table1[[#This Row],[BW40_3705]],"")</f>
        <v/>
      </c>
      <c r="G3211" s="2" t="str">
        <f>IF(Table1[[#This Row],[Is Data Valid]]=TRUE,((Table1[[#This Row],[Birthweight (grams)]]/Table1[[#This Row],[BW_GA]])-1)/(Backend!$B$4/100*Table1[[#This Row],[BW40_3705]]),"")</f>
        <v/>
      </c>
      <c r="H3211" s="7" t="str">
        <f>IF(Table1[[#This Row],[Is Data Valid]]=TRUE,((Table1[[#This Row],[Birthweight (grams)]]*0.9/Table1[[#This Row],[BW_GA]])-1)/(Backend!$B$4/100*Table1[[#This Row],[BW40_3705]]),"")</f>
        <v/>
      </c>
      <c r="I3211" s="7" t="str">
        <f>IF(Table1[[#This Row],[Is Data Valid]]=TRUE,((Table1[[#This Row],[Birthweight (grams)]]*1.1/Table1[[#This Row],[BW_GA]])-1)/(Backend!$B$4/100*Table1[[#This Row],[BW40_3705]]),"")</f>
        <v/>
      </c>
      <c r="J3211" s="7" t="str">
        <f>IF(Table1[[#This Row],[Is Data Valid]]=TRUE,_xlfn.NORM.S.DIST(Table1[[#This Row],[Birthweight Z-Score]],TRUE)*100,"")</f>
        <v/>
      </c>
      <c r="K3211" s="7" t="str">
        <f>IF(Table1[[#This Row],[Is Data Valid]]=TRUE,_xlfn.NORM.S.DIST(Table1[[#This Row],[Birthweight Z-Score (BW-10%)]],TRUE)*100,"")</f>
        <v/>
      </c>
      <c r="L3211" s="7" t="str">
        <f>IF(Table1[[#This Row],[Is Data Valid]]=TRUE,_xlfn.NORM.S.DIST(Table1[[#This Row],[Birthweight Z-Score (BW+10%)]],TRUE)*100,"")</f>
        <v/>
      </c>
    </row>
    <row r="3212" spans="1:12" x14ac:dyDescent="0.35">
      <c r="A3212" s="3"/>
      <c r="B3212" s="2"/>
      <c r="C3212" s="2"/>
      <c r="D3212" s="2" t="b">
        <f>IF(AND(NOT(ISBLANK(Table1[[#This Row],[Fetal Sex (Male, Female or Unknown)]])),ISNUMBER(Table1[[#This Row],[Birthweight (grams)]]),ISNUMBER(Table1[[#This Row],[Gestation (days)]])),TRUE,FALSE)</f>
        <v>0</v>
      </c>
      <c r="E3212" s="2" t="str">
        <f>IF(Table1[[#This Row],[Is Data Valid]]=TRUE,IF(Table1[[#This Row],[Fetal Sex (Male, Female or Unknown)]]="Male",Backend!$C$6,IF(Table1[[#This Row],[Fetal Sex (Male, Female or Unknown)]]="Female",Backend!$C$7,IF(Table1[[#This Row],[Fetal Sex (Male, Female or Unknown)]]="Unknown",Backend!$C$8,"Error"))),"")</f>
        <v/>
      </c>
      <c r="F3212" s="8" t="str">
        <f>IF(Table1[[#This Row],[Is Data Valid]]=TRUE,EXP(0.578+0.332*((Table1[[#This Row],[Gestation (days)]]+0.5)/7)-0.00354*((Table1[[#This Row],[Gestation (days)]]+0.5)/7)^2)*Table1[[#This Row],[BW40_3705]],"")</f>
        <v/>
      </c>
      <c r="G3212" s="2" t="str">
        <f>IF(Table1[[#This Row],[Is Data Valid]]=TRUE,((Table1[[#This Row],[Birthweight (grams)]]/Table1[[#This Row],[BW_GA]])-1)/(Backend!$B$4/100*Table1[[#This Row],[BW40_3705]]),"")</f>
        <v/>
      </c>
      <c r="H3212" s="7" t="str">
        <f>IF(Table1[[#This Row],[Is Data Valid]]=TRUE,((Table1[[#This Row],[Birthweight (grams)]]*0.9/Table1[[#This Row],[BW_GA]])-1)/(Backend!$B$4/100*Table1[[#This Row],[BW40_3705]]),"")</f>
        <v/>
      </c>
      <c r="I3212" s="7" t="str">
        <f>IF(Table1[[#This Row],[Is Data Valid]]=TRUE,((Table1[[#This Row],[Birthweight (grams)]]*1.1/Table1[[#This Row],[BW_GA]])-1)/(Backend!$B$4/100*Table1[[#This Row],[BW40_3705]]),"")</f>
        <v/>
      </c>
      <c r="J3212" s="7" t="str">
        <f>IF(Table1[[#This Row],[Is Data Valid]]=TRUE,_xlfn.NORM.S.DIST(Table1[[#This Row],[Birthweight Z-Score]],TRUE)*100,"")</f>
        <v/>
      </c>
      <c r="K3212" s="7" t="str">
        <f>IF(Table1[[#This Row],[Is Data Valid]]=TRUE,_xlfn.NORM.S.DIST(Table1[[#This Row],[Birthweight Z-Score (BW-10%)]],TRUE)*100,"")</f>
        <v/>
      </c>
      <c r="L3212" s="7" t="str">
        <f>IF(Table1[[#This Row],[Is Data Valid]]=TRUE,_xlfn.NORM.S.DIST(Table1[[#This Row],[Birthweight Z-Score (BW+10%)]],TRUE)*100,"")</f>
        <v/>
      </c>
    </row>
    <row r="3213" spans="1:12" x14ac:dyDescent="0.35">
      <c r="A3213" s="3"/>
      <c r="B3213" s="2"/>
      <c r="C3213" s="2"/>
      <c r="D3213" s="2" t="b">
        <f>IF(AND(NOT(ISBLANK(Table1[[#This Row],[Fetal Sex (Male, Female or Unknown)]])),ISNUMBER(Table1[[#This Row],[Birthweight (grams)]]),ISNUMBER(Table1[[#This Row],[Gestation (days)]])),TRUE,FALSE)</f>
        <v>0</v>
      </c>
      <c r="E3213" s="2" t="str">
        <f>IF(Table1[[#This Row],[Is Data Valid]]=TRUE,IF(Table1[[#This Row],[Fetal Sex (Male, Female or Unknown)]]="Male",Backend!$C$6,IF(Table1[[#This Row],[Fetal Sex (Male, Female or Unknown)]]="Female",Backend!$C$7,IF(Table1[[#This Row],[Fetal Sex (Male, Female or Unknown)]]="Unknown",Backend!$C$8,"Error"))),"")</f>
        <v/>
      </c>
      <c r="F3213" s="8" t="str">
        <f>IF(Table1[[#This Row],[Is Data Valid]]=TRUE,EXP(0.578+0.332*((Table1[[#This Row],[Gestation (days)]]+0.5)/7)-0.00354*((Table1[[#This Row],[Gestation (days)]]+0.5)/7)^2)*Table1[[#This Row],[BW40_3705]],"")</f>
        <v/>
      </c>
      <c r="G3213" s="2" t="str">
        <f>IF(Table1[[#This Row],[Is Data Valid]]=TRUE,((Table1[[#This Row],[Birthweight (grams)]]/Table1[[#This Row],[BW_GA]])-1)/(Backend!$B$4/100*Table1[[#This Row],[BW40_3705]]),"")</f>
        <v/>
      </c>
      <c r="H3213" s="7" t="str">
        <f>IF(Table1[[#This Row],[Is Data Valid]]=TRUE,((Table1[[#This Row],[Birthweight (grams)]]*0.9/Table1[[#This Row],[BW_GA]])-1)/(Backend!$B$4/100*Table1[[#This Row],[BW40_3705]]),"")</f>
        <v/>
      </c>
      <c r="I3213" s="7" t="str">
        <f>IF(Table1[[#This Row],[Is Data Valid]]=TRUE,((Table1[[#This Row],[Birthweight (grams)]]*1.1/Table1[[#This Row],[BW_GA]])-1)/(Backend!$B$4/100*Table1[[#This Row],[BW40_3705]]),"")</f>
        <v/>
      </c>
      <c r="J3213" s="7" t="str">
        <f>IF(Table1[[#This Row],[Is Data Valid]]=TRUE,_xlfn.NORM.S.DIST(Table1[[#This Row],[Birthweight Z-Score]],TRUE)*100,"")</f>
        <v/>
      </c>
      <c r="K3213" s="7" t="str">
        <f>IF(Table1[[#This Row],[Is Data Valid]]=TRUE,_xlfn.NORM.S.DIST(Table1[[#This Row],[Birthweight Z-Score (BW-10%)]],TRUE)*100,"")</f>
        <v/>
      </c>
      <c r="L3213" s="7" t="str">
        <f>IF(Table1[[#This Row],[Is Data Valid]]=TRUE,_xlfn.NORM.S.DIST(Table1[[#This Row],[Birthweight Z-Score (BW+10%)]],TRUE)*100,"")</f>
        <v/>
      </c>
    </row>
    <row r="3214" spans="1:12" x14ac:dyDescent="0.35">
      <c r="A3214" s="3"/>
      <c r="B3214" s="2"/>
      <c r="C3214" s="2"/>
      <c r="D3214" s="2" t="b">
        <f>IF(AND(NOT(ISBLANK(Table1[[#This Row],[Fetal Sex (Male, Female or Unknown)]])),ISNUMBER(Table1[[#This Row],[Birthweight (grams)]]),ISNUMBER(Table1[[#This Row],[Gestation (days)]])),TRUE,FALSE)</f>
        <v>0</v>
      </c>
      <c r="E3214" s="2" t="str">
        <f>IF(Table1[[#This Row],[Is Data Valid]]=TRUE,IF(Table1[[#This Row],[Fetal Sex (Male, Female or Unknown)]]="Male",Backend!$C$6,IF(Table1[[#This Row],[Fetal Sex (Male, Female or Unknown)]]="Female",Backend!$C$7,IF(Table1[[#This Row],[Fetal Sex (Male, Female or Unknown)]]="Unknown",Backend!$C$8,"Error"))),"")</f>
        <v/>
      </c>
      <c r="F3214" s="8" t="str">
        <f>IF(Table1[[#This Row],[Is Data Valid]]=TRUE,EXP(0.578+0.332*((Table1[[#This Row],[Gestation (days)]]+0.5)/7)-0.00354*((Table1[[#This Row],[Gestation (days)]]+0.5)/7)^2)*Table1[[#This Row],[BW40_3705]],"")</f>
        <v/>
      </c>
      <c r="G3214" s="2" t="str">
        <f>IF(Table1[[#This Row],[Is Data Valid]]=TRUE,((Table1[[#This Row],[Birthweight (grams)]]/Table1[[#This Row],[BW_GA]])-1)/(Backend!$B$4/100*Table1[[#This Row],[BW40_3705]]),"")</f>
        <v/>
      </c>
      <c r="H3214" s="7" t="str">
        <f>IF(Table1[[#This Row],[Is Data Valid]]=TRUE,((Table1[[#This Row],[Birthweight (grams)]]*0.9/Table1[[#This Row],[BW_GA]])-1)/(Backend!$B$4/100*Table1[[#This Row],[BW40_3705]]),"")</f>
        <v/>
      </c>
      <c r="I3214" s="7" t="str">
        <f>IF(Table1[[#This Row],[Is Data Valid]]=TRUE,((Table1[[#This Row],[Birthweight (grams)]]*1.1/Table1[[#This Row],[BW_GA]])-1)/(Backend!$B$4/100*Table1[[#This Row],[BW40_3705]]),"")</f>
        <v/>
      </c>
      <c r="J3214" s="7" t="str">
        <f>IF(Table1[[#This Row],[Is Data Valid]]=TRUE,_xlfn.NORM.S.DIST(Table1[[#This Row],[Birthweight Z-Score]],TRUE)*100,"")</f>
        <v/>
      </c>
      <c r="K3214" s="7" t="str">
        <f>IF(Table1[[#This Row],[Is Data Valid]]=TRUE,_xlfn.NORM.S.DIST(Table1[[#This Row],[Birthweight Z-Score (BW-10%)]],TRUE)*100,"")</f>
        <v/>
      </c>
      <c r="L3214" s="7" t="str">
        <f>IF(Table1[[#This Row],[Is Data Valid]]=TRUE,_xlfn.NORM.S.DIST(Table1[[#This Row],[Birthweight Z-Score (BW+10%)]],TRUE)*100,"")</f>
        <v/>
      </c>
    </row>
    <row r="3215" spans="1:12" x14ac:dyDescent="0.35">
      <c r="A3215" s="3"/>
      <c r="B3215" s="2"/>
      <c r="C3215" s="2"/>
      <c r="D3215" s="2" t="b">
        <f>IF(AND(NOT(ISBLANK(Table1[[#This Row],[Fetal Sex (Male, Female or Unknown)]])),ISNUMBER(Table1[[#This Row],[Birthweight (grams)]]),ISNUMBER(Table1[[#This Row],[Gestation (days)]])),TRUE,FALSE)</f>
        <v>0</v>
      </c>
      <c r="E3215" s="2" t="str">
        <f>IF(Table1[[#This Row],[Is Data Valid]]=TRUE,IF(Table1[[#This Row],[Fetal Sex (Male, Female or Unknown)]]="Male",Backend!$C$6,IF(Table1[[#This Row],[Fetal Sex (Male, Female or Unknown)]]="Female",Backend!$C$7,IF(Table1[[#This Row],[Fetal Sex (Male, Female or Unknown)]]="Unknown",Backend!$C$8,"Error"))),"")</f>
        <v/>
      </c>
      <c r="F3215" s="8" t="str">
        <f>IF(Table1[[#This Row],[Is Data Valid]]=TRUE,EXP(0.578+0.332*((Table1[[#This Row],[Gestation (days)]]+0.5)/7)-0.00354*((Table1[[#This Row],[Gestation (days)]]+0.5)/7)^2)*Table1[[#This Row],[BW40_3705]],"")</f>
        <v/>
      </c>
      <c r="G3215" s="2" t="str">
        <f>IF(Table1[[#This Row],[Is Data Valid]]=TRUE,((Table1[[#This Row],[Birthweight (grams)]]/Table1[[#This Row],[BW_GA]])-1)/(Backend!$B$4/100*Table1[[#This Row],[BW40_3705]]),"")</f>
        <v/>
      </c>
      <c r="H3215" s="7" t="str">
        <f>IF(Table1[[#This Row],[Is Data Valid]]=TRUE,((Table1[[#This Row],[Birthweight (grams)]]*0.9/Table1[[#This Row],[BW_GA]])-1)/(Backend!$B$4/100*Table1[[#This Row],[BW40_3705]]),"")</f>
        <v/>
      </c>
      <c r="I3215" s="7" t="str">
        <f>IF(Table1[[#This Row],[Is Data Valid]]=TRUE,((Table1[[#This Row],[Birthweight (grams)]]*1.1/Table1[[#This Row],[BW_GA]])-1)/(Backend!$B$4/100*Table1[[#This Row],[BW40_3705]]),"")</f>
        <v/>
      </c>
      <c r="J3215" s="7" t="str">
        <f>IF(Table1[[#This Row],[Is Data Valid]]=TRUE,_xlfn.NORM.S.DIST(Table1[[#This Row],[Birthweight Z-Score]],TRUE)*100,"")</f>
        <v/>
      </c>
      <c r="K3215" s="7" t="str">
        <f>IF(Table1[[#This Row],[Is Data Valid]]=TRUE,_xlfn.NORM.S.DIST(Table1[[#This Row],[Birthweight Z-Score (BW-10%)]],TRUE)*100,"")</f>
        <v/>
      </c>
      <c r="L3215" s="7" t="str">
        <f>IF(Table1[[#This Row],[Is Data Valid]]=TRUE,_xlfn.NORM.S.DIST(Table1[[#This Row],[Birthweight Z-Score (BW+10%)]],TRUE)*100,"")</f>
        <v/>
      </c>
    </row>
    <row r="3216" spans="1:12" x14ac:dyDescent="0.35">
      <c r="A3216" s="3"/>
      <c r="B3216" s="2"/>
      <c r="C3216" s="2"/>
      <c r="D3216" s="2" t="b">
        <f>IF(AND(NOT(ISBLANK(Table1[[#This Row],[Fetal Sex (Male, Female or Unknown)]])),ISNUMBER(Table1[[#This Row],[Birthweight (grams)]]),ISNUMBER(Table1[[#This Row],[Gestation (days)]])),TRUE,FALSE)</f>
        <v>0</v>
      </c>
      <c r="E3216" s="2" t="str">
        <f>IF(Table1[[#This Row],[Is Data Valid]]=TRUE,IF(Table1[[#This Row],[Fetal Sex (Male, Female or Unknown)]]="Male",Backend!$C$6,IF(Table1[[#This Row],[Fetal Sex (Male, Female or Unknown)]]="Female",Backend!$C$7,IF(Table1[[#This Row],[Fetal Sex (Male, Female or Unknown)]]="Unknown",Backend!$C$8,"Error"))),"")</f>
        <v/>
      </c>
      <c r="F3216" s="8" t="str">
        <f>IF(Table1[[#This Row],[Is Data Valid]]=TRUE,EXP(0.578+0.332*((Table1[[#This Row],[Gestation (days)]]+0.5)/7)-0.00354*((Table1[[#This Row],[Gestation (days)]]+0.5)/7)^2)*Table1[[#This Row],[BW40_3705]],"")</f>
        <v/>
      </c>
      <c r="G3216" s="2" t="str">
        <f>IF(Table1[[#This Row],[Is Data Valid]]=TRUE,((Table1[[#This Row],[Birthweight (grams)]]/Table1[[#This Row],[BW_GA]])-1)/(Backend!$B$4/100*Table1[[#This Row],[BW40_3705]]),"")</f>
        <v/>
      </c>
      <c r="H3216" s="7" t="str">
        <f>IF(Table1[[#This Row],[Is Data Valid]]=TRUE,((Table1[[#This Row],[Birthweight (grams)]]*0.9/Table1[[#This Row],[BW_GA]])-1)/(Backend!$B$4/100*Table1[[#This Row],[BW40_3705]]),"")</f>
        <v/>
      </c>
      <c r="I3216" s="7" t="str">
        <f>IF(Table1[[#This Row],[Is Data Valid]]=TRUE,((Table1[[#This Row],[Birthweight (grams)]]*1.1/Table1[[#This Row],[BW_GA]])-1)/(Backend!$B$4/100*Table1[[#This Row],[BW40_3705]]),"")</f>
        <v/>
      </c>
      <c r="J3216" s="7" t="str">
        <f>IF(Table1[[#This Row],[Is Data Valid]]=TRUE,_xlfn.NORM.S.DIST(Table1[[#This Row],[Birthweight Z-Score]],TRUE)*100,"")</f>
        <v/>
      </c>
      <c r="K3216" s="7" t="str">
        <f>IF(Table1[[#This Row],[Is Data Valid]]=TRUE,_xlfn.NORM.S.DIST(Table1[[#This Row],[Birthweight Z-Score (BW-10%)]],TRUE)*100,"")</f>
        <v/>
      </c>
      <c r="L3216" s="7" t="str">
        <f>IF(Table1[[#This Row],[Is Data Valid]]=TRUE,_xlfn.NORM.S.DIST(Table1[[#This Row],[Birthweight Z-Score (BW+10%)]],TRUE)*100,"")</f>
        <v/>
      </c>
    </row>
    <row r="3217" spans="1:12" x14ac:dyDescent="0.35">
      <c r="A3217" s="3"/>
      <c r="B3217" s="2"/>
      <c r="C3217" s="2"/>
      <c r="D3217" s="2" t="b">
        <f>IF(AND(NOT(ISBLANK(Table1[[#This Row],[Fetal Sex (Male, Female or Unknown)]])),ISNUMBER(Table1[[#This Row],[Birthweight (grams)]]),ISNUMBER(Table1[[#This Row],[Gestation (days)]])),TRUE,FALSE)</f>
        <v>0</v>
      </c>
      <c r="E3217" s="2" t="str">
        <f>IF(Table1[[#This Row],[Is Data Valid]]=TRUE,IF(Table1[[#This Row],[Fetal Sex (Male, Female or Unknown)]]="Male",Backend!$C$6,IF(Table1[[#This Row],[Fetal Sex (Male, Female or Unknown)]]="Female",Backend!$C$7,IF(Table1[[#This Row],[Fetal Sex (Male, Female or Unknown)]]="Unknown",Backend!$C$8,"Error"))),"")</f>
        <v/>
      </c>
      <c r="F3217" s="8" t="str">
        <f>IF(Table1[[#This Row],[Is Data Valid]]=TRUE,EXP(0.578+0.332*((Table1[[#This Row],[Gestation (days)]]+0.5)/7)-0.00354*((Table1[[#This Row],[Gestation (days)]]+0.5)/7)^2)*Table1[[#This Row],[BW40_3705]],"")</f>
        <v/>
      </c>
      <c r="G3217" s="2" t="str">
        <f>IF(Table1[[#This Row],[Is Data Valid]]=TRUE,((Table1[[#This Row],[Birthweight (grams)]]/Table1[[#This Row],[BW_GA]])-1)/(Backend!$B$4/100*Table1[[#This Row],[BW40_3705]]),"")</f>
        <v/>
      </c>
      <c r="H3217" s="7" t="str">
        <f>IF(Table1[[#This Row],[Is Data Valid]]=TRUE,((Table1[[#This Row],[Birthweight (grams)]]*0.9/Table1[[#This Row],[BW_GA]])-1)/(Backend!$B$4/100*Table1[[#This Row],[BW40_3705]]),"")</f>
        <v/>
      </c>
      <c r="I3217" s="7" t="str">
        <f>IF(Table1[[#This Row],[Is Data Valid]]=TRUE,((Table1[[#This Row],[Birthweight (grams)]]*1.1/Table1[[#This Row],[BW_GA]])-1)/(Backend!$B$4/100*Table1[[#This Row],[BW40_3705]]),"")</f>
        <v/>
      </c>
      <c r="J3217" s="7" t="str">
        <f>IF(Table1[[#This Row],[Is Data Valid]]=TRUE,_xlfn.NORM.S.DIST(Table1[[#This Row],[Birthweight Z-Score]],TRUE)*100,"")</f>
        <v/>
      </c>
      <c r="K3217" s="7" t="str">
        <f>IF(Table1[[#This Row],[Is Data Valid]]=TRUE,_xlfn.NORM.S.DIST(Table1[[#This Row],[Birthweight Z-Score (BW-10%)]],TRUE)*100,"")</f>
        <v/>
      </c>
      <c r="L3217" s="7" t="str">
        <f>IF(Table1[[#This Row],[Is Data Valid]]=TRUE,_xlfn.NORM.S.DIST(Table1[[#This Row],[Birthweight Z-Score (BW+10%)]],TRUE)*100,"")</f>
        <v/>
      </c>
    </row>
    <row r="3218" spans="1:12" x14ac:dyDescent="0.35">
      <c r="A3218" s="3"/>
      <c r="B3218" s="2"/>
      <c r="C3218" s="2"/>
      <c r="D3218" s="2" t="b">
        <f>IF(AND(NOT(ISBLANK(Table1[[#This Row],[Fetal Sex (Male, Female or Unknown)]])),ISNUMBER(Table1[[#This Row],[Birthweight (grams)]]),ISNUMBER(Table1[[#This Row],[Gestation (days)]])),TRUE,FALSE)</f>
        <v>0</v>
      </c>
      <c r="E3218" s="2" t="str">
        <f>IF(Table1[[#This Row],[Is Data Valid]]=TRUE,IF(Table1[[#This Row],[Fetal Sex (Male, Female or Unknown)]]="Male",Backend!$C$6,IF(Table1[[#This Row],[Fetal Sex (Male, Female or Unknown)]]="Female",Backend!$C$7,IF(Table1[[#This Row],[Fetal Sex (Male, Female or Unknown)]]="Unknown",Backend!$C$8,"Error"))),"")</f>
        <v/>
      </c>
      <c r="F3218" s="8" t="str">
        <f>IF(Table1[[#This Row],[Is Data Valid]]=TRUE,EXP(0.578+0.332*((Table1[[#This Row],[Gestation (days)]]+0.5)/7)-0.00354*((Table1[[#This Row],[Gestation (days)]]+0.5)/7)^2)*Table1[[#This Row],[BW40_3705]],"")</f>
        <v/>
      </c>
      <c r="G3218" s="2" t="str">
        <f>IF(Table1[[#This Row],[Is Data Valid]]=TRUE,((Table1[[#This Row],[Birthweight (grams)]]/Table1[[#This Row],[BW_GA]])-1)/(Backend!$B$4/100*Table1[[#This Row],[BW40_3705]]),"")</f>
        <v/>
      </c>
      <c r="H3218" s="7" t="str">
        <f>IF(Table1[[#This Row],[Is Data Valid]]=TRUE,((Table1[[#This Row],[Birthweight (grams)]]*0.9/Table1[[#This Row],[BW_GA]])-1)/(Backend!$B$4/100*Table1[[#This Row],[BW40_3705]]),"")</f>
        <v/>
      </c>
      <c r="I3218" s="7" t="str">
        <f>IF(Table1[[#This Row],[Is Data Valid]]=TRUE,((Table1[[#This Row],[Birthweight (grams)]]*1.1/Table1[[#This Row],[BW_GA]])-1)/(Backend!$B$4/100*Table1[[#This Row],[BW40_3705]]),"")</f>
        <v/>
      </c>
      <c r="J3218" s="7" t="str">
        <f>IF(Table1[[#This Row],[Is Data Valid]]=TRUE,_xlfn.NORM.S.DIST(Table1[[#This Row],[Birthweight Z-Score]],TRUE)*100,"")</f>
        <v/>
      </c>
      <c r="K3218" s="7" t="str">
        <f>IF(Table1[[#This Row],[Is Data Valid]]=TRUE,_xlfn.NORM.S.DIST(Table1[[#This Row],[Birthweight Z-Score (BW-10%)]],TRUE)*100,"")</f>
        <v/>
      </c>
      <c r="L3218" s="7" t="str">
        <f>IF(Table1[[#This Row],[Is Data Valid]]=TRUE,_xlfn.NORM.S.DIST(Table1[[#This Row],[Birthweight Z-Score (BW+10%)]],TRUE)*100,"")</f>
        <v/>
      </c>
    </row>
    <row r="3219" spans="1:12" x14ac:dyDescent="0.35">
      <c r="A3219" s="3"/>
      <c r="B3219" s="2"/>
      <c r="C3219" s="2"/>
      <c r="D3219" s="2" t="b">
        <f>IF(AND(NOT(ISBLANK(Table1[[#This Row],[Fetal Sex (Male, Female or Unknown)]])),ISNUMBER(Table1[[#This Row],[Birthweight (grams)]]),ISNUMBER(Table1[[#This Row],[Gestation (days)]])),TRUE,FALSE)</f>
        <v>0</v>
      </c>
      <c r="E3219" s="2" t="str">
        <f>IF(Table1[[#This Row],[Is Data Valid]]=TRUE,IF(Table1[[#This Row],[Fetal Sex (Male, Female or Unknown)]]="Male",Backend!$C$6,IF(Table1[[#This Row],[Fetal Sex (Male, Female or Unknown)]]="Female",Backend!$C$7,IF(Table1[[#This Row],[Fetal Sex (Male, Female or Unknown)]]="Unknown",Backend!$C$8,"Error"))),"")</f>
        <v/>
      </c>
      <c r="F3219" s="8" t="str">
        <f>IF(Table1[[#This Row],[Is Data Valid]]=TRUE,EXP(0.578+0.332*((Table1[[#This Row],[Gestation (days)]]+0.5)/7)-0.00354*((Table1[[#This Row],[Gestation (days)]]+0.5)/7)^2)*Table1[[#This Row],[BW40_3705]],"")</f>
        <v/>
      </c>
      <c r="G3219" s="2" t="str">
        <f>IF(Table1[[#This Row],[Is Data Valid]]=TRUE,((Table1[[#This Row],[Birthweight (grams)]]/Table1[[#This Row],[BW_GA]])-1)/(Backend!$B$4/100*Table1[[#This Row],[BW40_3705]]),"")</f>
        <v/>
      </c>
      <c r="H3219" s="7" t="str">
        <f>IF(Table1[[#This Row],[Is Data Valid]]=TRUE,((Table1[[#This Row],[Birthweight (grams)]]*0.9/Table1[[#This Row],[BW_GA]])-1)/(Backend!$B$4/100*Table1[[#This Row],[BW40_3705]]),"")</f>
        <v/>
      </c>
      <c r="I3219" s="7" t="str">
        <f>IF(Table1[[#This Row],[Is Data Valid]]=TRUE,((Table1[[#This Row],[Birthweight (grams)]]*1.1/Table1[[#This Row],[BW_GA]])-1)/(Backend!$B$4/100*Table1[[#This Row],[BW40_3705]]),"")</f>
        <v/>
      </c>
      <c r="J3219" s="7" t="str">
        <f>IF(Table1[[#This Row],[Is Data Valid]]=TRUE,_xlfn.NORM.S.DIST(Table1[[#This Row],[Birthweight Z-Score]],TRUE)*100,"")</f>
        <v/>
      </c>
      <c r="K3219" s="7" t="str">
        <f>IF(Table1[[#This Row],[Is Data Valid]]=TRUE,_xlfn.NORM.S.DIST(Table1[[#This Row],[Birthweight Z-Score (BW-10%)]],TRUE)*100,"")</f>
        <v/>
      </c>
      <c r="L3219" s="7" t="str">
        <f>IF(Table1[[#This Row],[Is Data Valid]]=TRUE,_xlfn.NORM.S.DIST(Table1[[#This Row],[Birthweight Z-Score (BW+10%)]],TRUE)*100,"")</f>
        <v/>
      </c>
    </row>
    <row r="3220" spans="1:12" x14ac:dyDescent="0.35">
      <c r="A3220" s="3"/>
      <c r="B3220" s="2"/>
      <c r="C3220" s="2"/>
      <c r="D3220" s="2" t="b">
        <f>IF(AND(NOT(ISBLANK(Table1[[#This Row],[Fetal Sex (Male, Female or Unknown)]])),ISNUMBER(Table1[[#This Row],[Birthweight (grams)]]),ISNUMBER(Table1[[#This Row],[Gestation (days)]])),TRUE,FALSE)</f>
        <v>0</v>
      </c>
      <c r="E3220" s="2" t="str">
        <f>IF(Table1[[#This Row],[Is Data Valid]]=TRUE,IF(Table1[[#This Row],[Fetal Sex (Male, Female or Unknown)]]="Male",Backend!$C$6,IF(Table1[[#This Row],[Fetal Sex (Male, Female or Unknown)]]="Female",Backend!$C$7,IF(Table1[[#This Row],[Fetal Sex (Male, Female or Unknown)]]="Unknown",Backend!$C$8,"Error"))),"")</f>
        <v/>
      </c>
      <c r="F3220" s="8" t="str">
        <f>IF(Table1[[#This Row],[Is Data Valid]]=TRUE,EXP(0.578+0.332*((Table1[[#This Row],[Gestation (days)]]+0.5)/7)-0.00354*((Table1[[#This Row],[Gestation (days)]]+0.5)/7)^2)*Table1[[#This Row],[BW40_3705]],"")</f>
        <v/>
      </c>
      <c r="G3220" s="2" t="str">
        <f>IF(Table1[[#This Row],[Is Data Valid]]=TRUE,((Table1[[#This Row],[Birthweight (grams)]]/Table1[[#This Row],[BW_GA]])-1)/(Backend!$B$4/100*Table1[[#This Row],[BW40_3705]]),"")</f>
        <v/>
      </c>
      <c r="H3220" s="7" t="str">
        <f>IF(Table1[[#This Row],[Is Data Valid]]=TRUE,((Table1[[#This Row],[Birthweight (grams)]]*0.9/Table1[[#This Row],[BW_GA]])-1)/(Backend!$B$4/100*Table1[[#This Row],[BW40_3705]]),"")</f>
        <v/>
      </c>
      <c r="I3220" s="7" t="str">
        <f>IF(Table1[[#This Row],[Is Data Valid]]=TRUE,((Table1[[#This Row],[Birthweight (grams)]]*1.1/Table1[[#This Row],[BW_GA]])-1)/(Backend!$B$4/100*Table1[[#This Row],[BW40_3705]]),"")</f>
        <v/>
      </c>
      <c r="J3220" s="7" t="str">
        <f>IF(Table1[[#This Row],[Is Data Valid]]=TRUE,_xlfn.NORM.S.DIST(Table1[[#This Row],[Birthweight Z-Score]],TRUE)*100,"")</f>
        <v/>
      </c>
      <c r="K3220" s="7" t="str">
        <f>IF(Table1[[#This Row],[Is Data Valid]]=TRUE,_xlfn.NORM.S.DIST(Table1[[#This Row],[Birthweight Z-Score (BW-10%)]],TRUE)*100,"")</f>
        <v/>
      </c>
      <c r="L3220" s="7" t="str">
        <f>IF(Table1[[#This Row],[Is Data Valid]]=TRUE,_xlfn.NORM.S.DIST(Table1[[#This Row],[Birthweight Z-Score (BW+10%)]],TRUE)*100,"")</f>
        <v/>
      </c>
    </row>
    <row r="3221" spans="1:12" x14ac:dyDescent="0.35">
      <c r="A3221" s="3"/>
      <c r="B3221" s="2"/>
      <c r="C3221" s="2"/>
      <c r="D3221" s="2" t="b">
        <f>IF(AND(NOT(ISBLANK(Table1[[#This Row],[Fetal Sex (Male, Female or Unknown)]])),ISNUMBER(Table1[[#This Row],[Birthweight (grams)]]),ISNUMBER(Table1[[#This Row],[Gestation (days)]])),TRUE,FALSE)</f>
        <v>0</v>
      </c>
      <c r="E3221" s="2" t="str">
        <f>IF(Table1[[#This Row],[Is Data Valid]]=TRUE,IF(Table1[[#This Row],[Fetal Sex (Male, Female or Unknown)]]="Male",Backend!$C$6,IF(Table1[[#This Row],[Fetal Sex (Male, Female or Unknown)]]="Female",Backend!$C$7,IF(Table1[[#This Row],[Fetal Sex (Male, Female or Unknown)]]="Unknown",Backend!$C$8,"Error"))),"")</f>
        <v/>
      </c>
      <c r="F3221" s="8" t="str">
        <f>IF(Table1[[#This Row],[Is Data Valid]]=TRUE,EXP(0.578+0.332*((Table1[[#This Row],[Gestation (days)]]+0.5)/7)-0.00354*((Table1[[#This Row],[Gestation (days)]]+0.5)/7)^2)*Table1[[#This Row],[BW40_3705]],"")</f>
        <v/>
      </c>
      <c r="G3221" s="2" t="str">
        <f>IF(Table1[[#This Row],[Is Data Valid]]=TRUE,((Table1[[#This Row],[Birthweight (grams)]]/Table1[[#This Row],[BW_GA]])-1)/(Backend!$B$4/100*Table1[[#This Row],[BW40_3705]]),"")</f>
        <v/>
      </c>
      <c r="H3221" s="7" t="str">
        <f>IF(Table1[[#This Row],[Is Data Valid]]=TRUE,((Table1[[#This Row],[Birthweight (grams)]]*0.9/Table1[[#This Row],[BW_GA]])-1)/(Backend!$B$4/100*Table1[[#This Row],[BW40_3705]]),"")</f>
        <v/>
      </c>
      <c r="I3221" s="7" t="str">
        <f>IF(Table1[[#This Row],[Is Data Valid]]=TRUE,((Table1[[#This Row],[Birthweight (grams)]]*1.1/Table1[[#This Row],[BW_GA]])-1)/(Backend!$B$4/100*Table1[[#This Row],[BW40_3705]]),"")</f>
        <v/>
      </c>
      <c r="J3221" s="7" t="str">
        <f>IF(Table1[[#This Row],[Is Data Valid]]=TRUE,_xlfn.NORM.S.DIST(Table1[[#This Row],[Birthweight Z-Score]],TRUE)*100,"")</f>
        <v/>
      </c>
      <c r="K3221" s="7" t="str">
        <f>IF(Table1[[#This Row],[Is Data Valid]]=TRUE,_xlfn.NORM.S.DIST(Table1[[#This Row],[Birthweight Z-Score (BW-10%)]],TRUE)*100,"")</f>
        <v/>
      </c>
      <c r="L3221" s="7" t="str">
        <f>IF(Table1[[#This Row],[Is Data Valid]]=TRUE,_xlfn.NORM.S.DIST(Table1[[#This Row],[Birthweight Z-Score (BW+10%)]],TRUE)*100,"")</f>
        <v/>
      </c>
    </row>
    <row r="3222" spans="1:12" x14ac:dyDescent="0.35">
      <c r="A3222" s="3"/>
      <c r="B3222" s="2"/>
      <c r="C3222" s="2"/>
      <c r="D3222" s="2" t="b">
        <f>IF(AND(NOT(ISBLANK(Table1[[#This Row],[Fetal Sex (Male, Female or Unknown)]])),ISNUMBER(Table1[[#This Row],[Birthweight (grams)]]),ISNUMBER(Table1[[#This Row],[Gestation (days)]])),TRUE,FALSE)</f>
        <v>0</v>
      </c>
      <c r="E3222" s="2" t="str">
        <f>IF(Table1[[#This Row],[Is Data Valid]]=TRUE,IF(Table1[[#This Row],[Fetal Sex (Male, Female or Unknown)]]="Male",Backend!$C$6,IF(Table1[[#This Row],[Fetal Sex (Male, Female or Unknown)]]="Female",Backend!$C$7,IF(Table1[[#This Row],[Fetal Sex (Male, Female or Unknown)]]="Unknown",Backend!$C$8,"Error"))),"")</f>
        <v/>
      </c>
      <c r="F3222" s="8" t="str">
        <f>IF(Table1[[#This Row],[Is Data Valid]]=TRUE,EXP(0.578+0.332*((Table1[[#This Row],[Gestation (days)]]+0.5)/7)-0.00354*((Table1[[#This Row],[Gestation (days)]]+0.5)/7)^2)*Table1[[#This Row],[BW40_3705]],"")</f>
        <v/>
      </c>
      <c r="G3222" s="2" t="str">
        <f>IF(Table1[[#This Row],[Is Data Valid]]=TRUE,((Table1[[#This Row],[Birthweight (grams)]]/Table1[[#This Row],[BW_GA]])-1)/(Backend!$B$4/100*Table1[[#This Row],[BW40_3705]]),"")</f>
        <v/>
      </c>
      <c r="H3222" s="7" t="str">
        <f>IF(Table1[[#This Row],[Is Data Valid]]=TRUE,((Table1[[#This Row],[Birthweight (grams)]]*0.9/Table1[[#This Row],[BW_GA]])-1)/(Backend!$B$4/100*Table1[[#This Row],[BW40_3705]]),"")</f>
        <v/>
      </c>
      <c r="I3222" s="7" t="str">
        <f>IF(Table1[[#This Row],[Is Data Valid]]=TRUE,((Table1[[#This Row],[Birthweight (grams)]]*1.1/Table1[[#This Row],[BW_GA]])-1)/(Backend!$B$4/100*Table1[[#This Row],[BW40_3705]]),"")</f>
        <v/>
      </c>
      <c r="J3222" s="7" t="str">
        <f>IF(Table1[[#This Row],[Is Data Valid]]=TRUE,_xlfn.NORM.S.DIST(Table1[[#This Row],[Birthweight Z-Score]],TRUE)*100,"")</f>
        <v/>
      </c>
      <c r="K3222" s="7" t="str">
        <f>IF(Table1[[#This Row],[Is Data Valid]]=TRUE,_xlfn.NORM.S.DIST(Table1[[#This Row],[Birthweight Z-Score (BW-10%)]],TRUE)*100,"")</f>
        <v/>
      </c>
      <c r="L3222" s="7" t="str">
        <f>IF(Table1[[#This Row],[Is Data Valid]]=TRUE,_xlfn.NORM.S.DIST(Table1[[#This Row],[Birthweight Z-Score (BW+10%)]],TRUE)*100,"")</f>
        <v/>
      </c>
    </row>
    <row r="3223" spans="1:12" x14ac:dyDescent="0.35">
      <c r="A3223" s="3"/>
      <c r="B3223" s="2"/>
      <c r="C3223" s="2"/>
      <c r="D3223" s="2" t="b">
        <f>IF(AND(NOT(ISBLANK(Table1[[#This Row],[Fetal Sex (Male, Female or Unknown)]])),ISNUMBER(Table1[[#This Row],[Birthweight (grams)]]),ISNUMBER(Table1[[#This Row],[Gestation (days)]])),TRUE,FALSE)</f>
        <v>0</v>
      </c>
      <c r="E3223" s="2" t="str">
        <f>IF(Table1[[#This Row],[Is Data Valid]]=TRUE,IF(Table1[[#This Row],[Fetal Sex (Male, Female or Unknown)]]="Male",Backend!$C$6,IF(Table1[[#This Row],[Fetal Sex (Male, Female or Unknown)]]="Female",Backend!$C$7,IF(Table1[[#This Row],[Fetal Sex (Male, Female or Unknown)]]="Unknown",Backend!$C$8,"Error"))),"")</f>
        <v/>
      </c>
      <c r="F3223" s="8" t="str">
        <f>IF(Table1[[#This Row],[Is Data Valid]]=TRUE,EXP(0.578+0.332*((Table1[[#This Row],[Gestation (days)]]+0.5)/7)-0.00354*((Table1[[#This Row],[Gestation (days)]]+0.5)/7)^2)*Table1[[#This Row],[BW40_3705]],"")</f>
        <v/>
      </c>
      <c r="G3223" s="2" t="str">
        <f>IF(Table1[[#This Row],[Is Data Valid]]=TRUE,((Table1[[#This Row],[Birthweight (grams)]]/Table1[[#This Row],[BW_GA]])-1)/(Backend!$B$4/100*Table1[[#This Row],[BW40_3705]]),"")</f>
        <v/>
      </c>
      <c r="H3223" s="7" t="str">
        <f>IF(Table1[[#This Row],[Is Data Valid]]=TRUE,((Table1[[#This Row],[Birthweight (grams)]]*0.9/Table1[[#This Row],[BW_GA]])-1)/(Backend!$B$4/100*Table1[[#This Row],[BW40_3705]]),"")</f>
        <v/>
      </c>
      <c r="I3223" s="7" t="str">
        <f>IF(Table1[[#This Row],[Is Data Valid]]=TRUE,((Table1[[#This Row],[Birthweight (grams)]]*1.1/Table1[[#This Row],[BW_GA]])-1)/(Backend!$B$4/100*Table1[[#This Row],[BW40_3705]]),"")</f>
        <v/>
      </c>
      <c r="J3223" s="7" t="str">
        <f>IF(Table1[[#This Row],[Is Data Valid]]=TRUE,_xlfn.NORM.S.DIST(Table1[[#This Row],[Birthweight Z-Score]],TRUE)*100,"")</f>
        <v/>
      </c>
      <c r="K3223" s="7" t="str">
        <f>IF(Table1[[#This Row],[Is Data Valid]]=TRUE,_xlfn.NORM.S.DIST(Table1[[#This Row],[Birthweight Z-Score (BW-10%)]],TRUE)*100,"")</f>
        <v/>
      </c>
      <c r="L3223" s="7" t="str">
        <f>IF(Table1[[#This Row],[Is Data Valid]]=TRUE,_xlfn.NORM.S.DIST(Table1[[#This Row],[Birthweight Z-Score (BW+10%)]],TRUE)*100,"")</f>
        <v/>
      </c>
    </row>
    <row r="3224" spans="1:12" x14ac:dyDescent="0.35">
      <c r="A3224" s="3"/>
      <c r="B3224" s="2"/>
      <c r="C3224" s="2"/>
      <c r="D3224" s="2" t="b">
        <f>IF(AND(NOT(ISBLANK(Table1[[#This Row],[Fetal Sex (Male, Female or Unknown)]])),ISNUMBER(Table1[[#This Row],[Birthweight (grams)]]),ISNUMBER(Table1[[#This Row],[Gestation (days)]])),TRUE,FALSE)</f>
        <v>0</v>
      </c>
      <c r="E3224" s="2" t="str">
        <f>IF(Table1[[#This Row],[Is Data Valid]]=TRUE,IF(Table1[[#This Row],[Fetal Sex (Male, Female or Unknown)]]="Male",Backend!$C$6,IF(Table1[[#This Row],[Fetal Sex (Male, Female or Unknown)]]="Female",Backend!$C$7,IF(Table1[[#This Row],[Fetal Sex (Male, Female or Unknown)]]="Unknown",Backend!$C$8,"Error"))),"")</f>
        <v/>
      </c>
      <c r="F3224" s="8" t="str">
        <f>IF(Table1[[#This Row],[Is Data Valid]]=TRUE,EXP(0.578+0.332*((Table1[[#This Row],[Gestation (days)]]+0.5)/7)-0.00354*((Table1[[#This Row],[Gestation (days)]]+0.5)/7)^2)*Table1[[#This Row],[BW40_3705]],"")</f>
        <v/>
      </c>
      <c r="G3224" s="2" t="str">
        <f>IF(Table1[[#This Row],[Is Data Valid]]=TRUE,((Table1[[#This Row],[Birthweight (grams)]]/Table1[[#This Row],[BW_GA]])-1)/(Backend!$B$4/100*Table1[[#This Row],[BW40_3705]]),"")</f>
        <v/>
      </c>
      <c r="H3224" s="7" t="str">
        <f>IF(Table1[[#This Row],[Is Data Valid]]=TRUE,((Table1[[#This Row],[Birthweight (grams)]]*0.9/Table1[[#This Row],[BW_GA]])-1)/(Backend!$B$4/100*Table1[[#This Row],[BW40_3705]]),"")</f>
        <v/>
      </c>
      <c r="I3224" s="7" t="str">
        <f>IF(Table1[[#This Row],[Is Data Valid]]=TRUE,((Table1[[#This Row],[Birthweight (grams)]]*1.1/Table1[[#This Row],[BW_GA]])-1)/(Backend!$B$4/100*Table1[[#This Row],[BW40_3705]]),"")</f>
        <v/>
      </c>
      <c r="J3224" s="7" t="str">
        <f>IF(Table1[[#This Row],[Is Data Valid]]=TRUE,_xlfn.NORM.S.DIST(Table1[[#This Row],[Birthweight Z-Score]],TRUE)*100,"")</f>
        <v/>
      </c>
      <c r="K3224" s="7" t="str">
        <f>IF(Table1[[#This Row],[Is Data Valid]]=TRUE,_xlfn.NORM.S.DIST(Table1[[#This Row],[Birthweight Z-Score (BW-10%)]],TRUE)*100,"")</f>
        <v/>
      </c>
      <c r="L3224" s="7" t="str">
        <f>IF(Table1[[#This Row],[Is Data Valid]]=TRUE,_xlfn.NORM.S.DIST(Table1[[#This Row],[Birthweight Z-Score (BW+10%)]],TRUE)*100,"")</f>
        <v/>
      </c>
    </row>
    <row r="3225" spans="1:12" x14ac:dyDescent="0.35">
      <c r="A3225" s="3"/>
      <c r="B3225" s="2"/>
      <c r="C3225" s="2"/>
      <c r="D3225" s="2" t="b">
        <f>IF(AND(NOT(ISBLANK(Table1[[#This Row],[Fetal Sex (Male, Female or Unknown)]])),ISNUMBER(Table1[[#This Row],[Birthweight (grams)]]),ISNUMBER(Table1[[#This Row],[Gestation (days)]])),TRUE,FALSE)</f>
        <v>0</v>
      </c>
      <c r="E3225" s="2" t="str">
        <f>IF(Table1[[#This Row],[Is Data Valid]]=TRUE,IF(Table1[[#This Row],[Fetal Sex (Male, Female or Unknown)]]="Male",Backend!$C$6,IF(Table1[[#This Row],[Fetal Sex (Male, Female or Unknown)]]="Female",Backend!$C$7,IF(Table1[[#This Row],[Fetal Sex (Male, Female or Unknown)]]="Unknown",Backend!$C$8,"Error"))),"")</f>
        <v/>
      </c>
      <c r="F3225" s="8" t="str">
        <f>IF(Table1[[#This Row],[Is Data Valid]]=TRUE,EXP(0.578+0.332*((Table1[[#This Row],[Gestation (days)]]+0.5)/7)-0.00354*((Table1[[#This Row],[Gestation (days)]]+0.5)/7)^2)*Table1[[#This Row],[BW40_3705]],"")</f>
        <v/>
      </c>
      <c r="G3225" s="2" t="str">
        <f>IF(Table1[[#This Row],[Is Data Valid]]=TRUE,((Table1[[#This Row],[Birthweight (grams)]]/Table1[[#This Row],[BW_GA]])-1)/(Backend!$B$4/100*Table1[[#This Row],[BW40_3705]]),"")</f>
        <v/>
      </c>
      <c r="H3225" s="7" t="str">
        <f>IF(Table1[[#This Row],[Is Data Valid]]=TRUE,((Table1[[#This Row],[Birthweight (grams)]]*0.9/Table1[[#This Row],[BW_GA]])-1)/(Backend!$B$4/100*Table1[[#This Row],[BW40_3705]]),"")</f>
        <v/>
      </c>
      <c r="I3225" s="7" t="str">
        <f>IF(Table1[[#This Row],[Is Data Valid]]=TRUE,((Table1[[#This Row],[Birthweight (grams)]]*1.1/Table1[[#This Row],[BW_GA]])-1)/(Backend!$B$4/100*Table1[[#This Row],[BW40_3705]]),"")</f>
        <v/>
      </c>
      <c r="J3225" s="7" t="str">
        <f>IF(Table1[[#This Row],[Is Data Valid]]=TRUE,_xlfn.NORM.S.DIST(Table1[[#This Row],[Birthweight Z-Score]],TRUE)*100,"")</f>
        <v/>
      </c>
      <c r="K3225" s="7" t="str">
        <f>IF(Table1[[#This Row],[Is Data Valid]]=TRUE,_xlfn.NORM.S.DIST(Table1[[#This Row],[Birthweight Z-Score (BW-10%)]],TRUE)*100,"")</f>
        <v/>
      </c>
      <c r="L3225" s="7" t="str">
        <f>IF(Table1[[#This Row],[Is Data Valid]]=TRUE,_xlfn.NORM.S.DIST(Table1[[#This Row],[Birthweight Z-Score (BW+10%)]],TRUE)*100,"")</f>
        <v/>
      </c>
    </row>
    <row r="3226" spans="1:12" x14ac:dyDescent="0.35">
      <c r="A3226" s="3"/>
      <c r="B3226" s="2"/>
      <c r="C3226" s="2"/>
      <c r="D3226" s="2" t="b">
        <f>IF(AND(NOT(ISBLANK(Table1[[#This Row],[Fetal Sex (Male, Female or Unknown)]])),ISNUMBER(Table1[[#This Row],[Birthweight (grams)]]),ISNUMBER(Table1[[#This Row],[Gestation (days)]])),TRUE,FALSE)</f>
        <v>0</v>
      </c>
      <c r="E3226" s="2" t="str">
        <f>IF(Table1[[#This Row],[Is Data Valid]]=TRUE,IF(Table1[[#This Row],[Fetal Sex (Male, Female or Unknown)]]="Male",Backend!$C$6,IF(Table1[[#This Row],[Fetal Sex (Male, Female or Unknown)]]="Female",Backend!$C$7,IF(Table1[[#This Row],[Fetal Sex (Male, Female or Unknown)]]="Unknown",Backend!$C$8,"Error"))),"")</f>
        <v/>
      </c>
      <c r="F3226" s="8" t="str">
        <f>IF(Table1[[#This Row],[Is Data Valid]]=TRUE,EXP(0.578+0.332*((Table1[[#This Row],[Gestation (days)]]+0.5)/7)-0.00354*((Table1[[#This Row],[Gestation (days)]]+0.5)/7)^2)*Table1[[#This Row],[BW40_3705]],"")</f>
        <v/>
      </c>
      <c r="G3226" s="2" t="str">
        <f>IF(Table1[[#This Row],[Is Data Valid]]=TRUE,((Table1[[#This Row],[Birthweight (grams)]]/Table1[[#This Row],[BW_GA]])-1)/(Backend!$B$4/100*Table1[[#This Row],[BW40_3705]]),"")</f>
        <v/>
      </c>
      <c r="H3226" s="7" t="str">
        <f>IF(Table1[[#This Row],[Is Data Valid]]=TRUE,((Table1[[#This Row],[Birthweight (grams)]]*0.9/Table1[[#This Row],[BW_GA]])-1)/(Backend!$B$4/100*Table1[[#This Row],[BW40_3705]]),"")</f>
        <v/>
      </c>
      <c r="I3226" s="7" t="str">
        <f>IF(Table1[[#This Row],[Is Data Valid]]=TRUE,((Table1[[#This Row],[Birthweight (grams)]]*1.1/Table1[[#This Row],[BW_GA]])-1)/(Backend!$B$4/100*Table1[[#This Row],[BW40_3705]]),"")</f>
        <v/>
      </c>
      <c r="J3226" s="7" t="str">
        <f>IF(Table1[[#This Row],[Is Data Valid]]=TRUE,_xlfn.NORM.S.DIST(Table1[[#This Row],[Birthweight Z-Score]],TRUE)*100,"")</f>
        <v/>
      </c>
      <c r="K3226" s="7" t="str">
        <f>IF(Table1[[#This Row],[Is Data Valid]]=TRUE,_xlfn.NORM.S.DIST(Table1[[#This Row],[Birthweight Z-Score (BW-10%)]],TRUE)*100,"")</f>
        <v/>
      </c>
      <c r="L3226" s="7" t="str">
        <f>IF(Table1[[#This Row],[Is Data Valid]]=TRUE,_xlfn.NORM.S.DIST(Table1[[#This Row],[Birthweight Z-Score (BW+10%)]],TRUE)*100,"")</f>
        <v/>
      </c>
    </row>
    <row r="3227" spans="1:12" x14ac:dyDescent="0.35">
      <c r="A3227" s="3"/>
      <c r="B3227" s="2"/>
      <c r="C3227" s="2"/>
      <c r="D3227" s="2" t="b">
        <f>IF(AND(NOT(ISBLANK(Table1[[#This Row],[Fetal Sex (Male, Female or Unknown)]])),ISNUMBER(Table1[[#This Row],[Birthweight (grams)]]),ISNUMBER(Table1[[#This Row],[Gestation (days)]])),TRUE,FALSE)</f>
        <v>0</v>
      </c>
      <c r="E3227" s="2" t="str">
        <f>IF(Table1[[#This Row],[Is Data Valid]]=TRUE,IF(Table1[[#This Row],[Fetal Sex (Male, Female or Unknown)]]="Male",Backend!$C$6,IF(Table1[[#This Row],[Fetal Sex (Male, Female or Unknown)]]="Female",Backend!$C$7,IF(Table1[[#This Row],[Fetal Sex (Male, Female or Unknown)]]="Unknown",Backend!$C$8,"Error"))),"")</f>
        <v/>
      </c>
      <c r="F3227" s="8" t="str">
        <f>IF(Table1[[#This Row],[Is Data Valid]]=TRUE,EXP(0.578+0.332*((Table1[[#This Row],[Gestation (days)]]+0.5)/7)-0.00354*((Table1[[#This Row],[Gestation (days)]]+0.5)/7)^2)*Table1[[#This Row],[BW40_3705]],"")</f>
        <v/>
      </c>
      <c r="G3227" s="2" t="str">
        <f>IF(Table1[[#This Row],[Is Data Valid]]=TRUE,((Table1[[#This Row],[Birthweight (grams)]]/Table1[[#This Row],[BW_GA]])-1)/(Backend!$B$4/100*Table1[[#This Row],[BW40_3705]]),"")</f>
        <v/>
      </c>
      <c r="H3227" s="7" t="str">
        <f>IF(Table1[[#This Row],[Is Data Valid]]=TRUE,((Table1[[#This Row],[Birthweight (grams)]]*0.9/Table1[[#This Row],[BW_GA]])-1)/(Backend!$B$4/100*Table1[[#This Row],[BW40_3705]]),"")</f>
        <v/>
      </c>
      <c r="I3227" s="7" t="str">
        <f>IF(Table1[[#This Row],[Is Data Valid]]=TRUE,((Table1[[#This Row],[Birthweight (grams)]]*1.1/Table1[[#This Row],[BW_GA]])-1)/(Backend!$B$4/100*Table1[[#This Row],[BW40_3705]]),"")</f>
        <v/>
      </c>
      <c r="J3227" s="7" t="str">
        <f>IF(Table1[[#This Row],[Is Data Valid]]=TRUE,_xlfn.NORM.S.DIST(Table1[[#This Row],[Birthweight Z-Score]],TRUE)*100,"")</f>
        <v/>
      </c>
      <c r="K3227" s="7" t="str">
        <f>IF(Table1[[#This Row],[Is Data Valid]]=TRUE,_xlfn.NORM.S.DIST(Table1[[#This Row],[Birthweight Z-Score (BW-10%)]],TRUE)*100,"")</f>
        <v/>
      </c>
      <c r="L3227" s="7" t="str">
        <f>IF(Table1[[#This Row],[Is Data Valid]]=TRUE,_xlfn.NORM.S.DIST(Table1[[#This Row],[Birthweight Z-Score (BW+10%)]],TRUE)*100,"")</f>
        <v/>
      </c>
    </row>
    <row r="3228" spans="1:12" x14ac:dyDescent="0.35">
      <c r="A3228" s="3"/>
      <c r="B3228" s="2"/>
      <c r="C3228" s="2"/>
      <c r="D3228" s="2" t="b">
        <f>IF(AND(NOT(ISBLANK(Table1[[#This Row],[Fetal Sex (Male, Female or Unknown)]])),ISNUMBER(Table1[[#This Row],[Birthweight (grams)]]),ISNUMBER(Table1[[#This Row],[Gestation (days)]])),TRUE,FALSE)</f>
        <v>0</v>
      </c>
      <c r="E3228" s="2" t="str">
        <f>IF(Table1[[#This Row],[Is Data Valid]]=TRUE,IF(Table1[[#This Row],[Fetal Sex (Male, Female or Unknown)]]="Male",Backend!$C$6,IF(Table1[[#This Row],[Fetal Sex (Male, Female or Unknown)]]="Female",Backend!$C$7,IF(Table1[[#This Row],[Fetal Sex (Male, Female or Unknown)]]="Unknown",Backend!$C$8,"Error"))),"")</f>
        <v/>
      </c>
      <c r="F3228" s="8" t="str">
        <f>IF(Table1[[#This Row],[Is Data Valid]]=TRUE,EXP(0.578+0.332*((Table1[[#This Row],[Gestation (days)]]+0.5)/7)-0.00354*((Table1[[#This Row],[Gestation (days)]]+0.5)/7)^2)*Table1[[#This Row],[BW40_3705]],"")</f>
        <v/>
      </c>
      <c r="G3228" s="2" t="str">
        <f>IF(Table1[[#This Row],[Is Data Valid]]=TRUE,((Table1[[#This Row],[Birthweight (grams)]]/Table1[[#This Row],[BW_GA]])-1)/(Backend!$B$4/100*Table1[[#This Row],[BW40_3705]]),"")</f>
        <v/>
      </c>
      <c r="H3228" s="7" t="str">
        <f>IF(Table1[[#This Row],[Is Data Valid]]=TRUE,((Table1[[#This Row],[Birthweight (grams)]]*0.9/Table1[[#This Row],[BW_GA]])-1)/(Backend!$B$4/100*Table1[[#This Row],[BW40_3705]]),"")</f>
        <v/>
      </c>
      <c r="I3228" s="7" t="str">
        <f>IF(Table1[[#This Row],[Is Data Valid]]=TRUE,((Table1[[#This Row],[Birthweight (grams)]]*1.1/Table1[[#This Row],[BW_GA]])-1)/(Backend!$B$4/100*Table1[[#This Row],[BW40_3705]]),"")</f>
        <v/>
      </c>
      <c r="J3228" s="7" t="str">
        <f>IF(Table1[[#This Row],[Is Data Valid]]=TRUE,_xlfn.NORM.S.DIST(Table1[[#This Row],[Birthweight Z-Score]],TRUE)*100,"")</f>
        <v/>
      </c>
      <c r="K3228" s="7" t="str">
        <f>IF(Table1[[#This Row],[Is Data Valid]]=TRUE,_xlfn.NORM.S.DIST(Table1[[#This Row],[Birthweight Z-Score (BW-10%)]],TRUE)*100,"")</f>
        <v/>
      </c>
      <c r="L3228" s="7" t="str">
        <f>IF(Table1[[#This Row],[Is Data Valid]]=TRUE,_xlfn.NORM.S.DIST(Table1[[#This Row],[Birthweight Z-Score (BW+10%)]],TRUE)*100,"")</f>
        <v/>
      </c>
    </row>
    <row r="3229" spans="1:12" x14ac:dyDescent="0.35">
      <c r="A3229" s="3"/>
      <c r="B3229" s="2"/>
      <c r="C3229" s="2"/>
      <c r="D3229" s="2" t="b">
        <f>IF(AND(NOT(ISBLANK(Table1[[#This Row],[Fetal Sex (Male, Female or Unknown)]])),ISNUMBER(Table1[[#This Row],[Birthweight (grams)]]),ISNUMBER(Table1[[#This Row],[Gestation (days)]])),TRUE,FALSE)</f>
        <v>0</v>
      </c>
      <c r="E3229" s="2" t="str">
        <f>IF(Table1[[#This Row],[Is Data Valid]]=TRUE,IF(Table1[[#This Row],[Fetal Sex (Male, Female or Unknown)]]="Male",Backend!$C$6,IF(Table1[[#This Row],[Fetal Sex (Male, Female or Unknown)]]="Female",Backend!$C$7,IF(Table1[[#This Row],[Fetal Sex (Male, Female or Unknown)]]="Unknown",Backend!$C$8,"Error"))),"")</f>
        <v/>
      </c>
      <c r="F3229" s="8" t="str">
        <f>IF(Table1[[#This Row],[Is Data Valid]]=TRUE,EXP(0.578+0.332*((Table1[[#This Row],[Gestation (days)]]+0.5)/7)-0.00354*((Table1[[#This Row],[Gestation (days)]]+0.5)/7)^2)*Table1[[#This Row],[BW40_3705]],"")</f>
        <v/>
      </c>
      <c r="G3229" s="2" t="str">
        <f>IF(Table1[[#This Row],[Is Data Valid]]=TRUE,((Table1[[#This Row],[Birthweight (grams)]]/Table1[[#This Row],[BW_GA]])-1)/(Backend!$B$4/100*Table1[[#This Row],[BW40_3705]]),"")</f>
        <v/>
      </c>
      <c r="H3229" s="7" t="str">
        <f>IF(Table1[[#This Row],[Is Data Valid]]=TRUE,((Table1[[#This Row],[Birthweight (grams)]]*0.9/Table1[[#This Row],[BW_GA]])-1)/(Backend!$B$4/100*Table1[[#This Row],[BW40_3705]]),"")</f>
        <v/>
      </c>
      <c r="I3229" s="7" t="str">
        <f>IF(Table1[[#This Row],[Is Data Valid]]=TRUE,((Table1[[#This Row],[Birthweight (grams)]]*1.1/Table1[[#This Row],[BW_GA]])-1)/(Backend!$B$4/100*Table1[[#This Row],[BW40_3705]]),"")</f>
        <v/>
      </c>
      <c r="J3229" s="7" t="str">
        <f>IF(Table1[[#This Row],[Is Data Valid]]=TRUE,_xlfn.NORM.S.DIST(Table1[[#This Row],[Birthweight Z-Score]],TRUE)*100,"")</f>
        <v/>
      </c>
      <c r="K3229" s="7" t="str">
        <f>IF(Table1[[#This Row],[Is Data Valid]]=TRUE,_xlfn.NORM.S.DIST(Table1[[#This Row],[Birthweight Z-Score (BW-10%)]],TRUE)*100,"")</f>
        <v/>
      </c>
      <c r="L3229" s="7" t="str">
        <f>IF(Table1[[#This Row],[Is Data Valid]]=TRUE,_xlfn.NORM.S.DIST(Table1[[#This Row],[Birthweight Z-Score (BW+10%)]],TRUE)*100,"")</f>
        <v/>
      </c>
    </row>
    <row r="3230" spans="1:12" x14ac:dyDescent="0.35">
      <c r="A3230" s="3"/>
      <c r="B3230" s="2"/>
      <c r="C3230" s="2"/>
      <c r="D3230" s="2" t="b">
        <f>IF(AND(NOT(ISBLANK(Table1[[#This Row],[Fetal Sex (Male, Female or Unknown)]])),ISNUMBER(Table1[[#This Row],[Birthweight (grams)]]),ISNUMBER(Table1[[#This Row],[Gestation (days)]])),TRUE,FALSE)</f>
        <v>0</v>
      </c>
      <c r="E3230" s="2" t="str">
        <f>IF(Table1[[#This Row],[Is Data Valid]]=TRUE,IF(Table1[[#This Row],[Fetal Sex (Male, Female or Unknown)]]="Male",Backend!$C$6,IF(Table1[[#This Row],[Fetal Sex (Male, Female or Unknown)]]="Female",Backend!$C$7,IF(Table1[[#This Row],[Fetal Sex (Male, Female or Unknown)]]="Unknown",Backend!$C$8,"Error"))),"")</f>
        <v/>
      </c>
      <c r="F3230" s="8" t="str">
        <f>IF(Table1[[#This Row],[Is Data Valid]]=TRUE,EXP(0.578+0.332*((Table1[[#This Row],[Gestation (days)]]+0.5)/7)-0.00354*((Table1[[#This Row],[Gestation (days)]]+0.5)/7)^2)*Table1[[#This Row],[BW40_3705]],"")</f>
        <v/>
      </c>
      <c r="G3230" s="2" t="str">
        <f>IF(Table1[[#This Row],[Is Data Valid]]=TRUE,((Table1[[#This Row],[Birthweight (grams)]]/Table1[[#This Row],[BW_GA]])-1)/(Backend!$B$4/100*Table1[[#This Row],[BW40_3705]]),"")</f>
        <v/>
      </c>
      <c r="H3230" s="7" t="str">
        <f>IF(Table1[[#This Row],[Is Data Valid]]=TRUE,((Table1[[#This Row],[Birthweight (grams)]]*0.9/Table1[[#This Row],[BW_GA]])-1)/(Backend!$B$4/100*Table1[[#This Row],[BW40_3705]]),"")</f>
        <v/>
      </c>
      <c r="I3230" s="7" t="str">
        <f>IF(Table1[[#This Row],[Is Data Valid]]=TRUE,((Table1[[#This Row],[Birthweight (grams)]]*1.1/Table1[[#This Row],[BW_GA]])-1)/(Backend!$B$4/100*Table1[[#This Row],[BW40_3705]]),"")</f>
        <v/>
      </c>
      <c r="J3230" s="7" t="str">
        <f>IF(Table1[[#This Row],[Is Data Valid]]=TRUE,_xlfn.NORM.S.DIST(Table1[[#This Row],[Birthweight Z-Score]],TRUE)*100,"")</f>
        <v/>
      </c>
      <c r="K3230" s="7" t="str">
        <f>IF(Table1[[#This Row],[Is Data Valid]]=TRUE,_xlfn.NORM.S.DIST(Table1[[#This Row],[Birthweight Z-Score (BW-10%)]],TRUE)*100,"")</f>
        <v/>
      </c>
      <c r="L3230" s="7" t="str">
        <f>IF(Table1[[#This Row],[Is Data Valid]]=TRUE,_xlfn.NORM.S.DIST(Table1[[#This Row],[Birthweight Z-Score (BW+10%)]],TRUE)*100,"")</f>
        <v/>
      </c>
    </row>
    <row r="3231" spans="1:12" x14ac:dyDescent="0.35">
      <c r="A3231" s="3"/>
      <c r="B3231" s="2"/>
      <c r="C3231" s="2"/>
      <c r="D3231" s="2" t="b">
        <f>IF(AND(NOT(ISBLANK(Table1[[#This Row],[Fetal Sex (Male, Female or Unknown)]])),ISNUMBER(Table1[[#This Row],[Birthweight (grams)]]),ISNUMBER(Table1[[#This Row],[Gestation (days)]])),TRUE,FALSE)</f>
        <v>0</v>
      </c>
      <c r="E3231" s="2" t="str">
        <f>IF(Table1[[#This Row],[Is Data Valid]]=TRUE,IF(Table1[[#This Row],[Fetal Sex (Male, Female or Unknown)]]="Male",Backend!$C$6,IF(Table1[[#This Row],[Fetal Sex (Male, Female or Unknown)]]="Female",Backend!$C$7,IF(Table1[[#This Row],[Fetal Sex (Male, Female or Unknown)]]="Unknown",Backend!$C$8,"Error"))),"")</f>
        <v/>
      </c>
      <c r="F3231" s="8" t="str">
        <f>IF(Table1[[#This Row],[Is Data Valid]]=TRUE,EXP(0.578+0.332*((Table1[[#This Row],[Gestation (days)]]+0.5)/7)-0.00354*((Table1[[#This Row],[Gestation (days)]]+0.5)/7)^2)*Table1[[#This Row],[BW40_3705]],"")</f>
        <v/>
      </c>
      <c r="G3231" s="2" t="str">
        <f>IF(Table1[[#This Row],[Is Data Valid]]=TRUE,((Table1[[#This Row],[Birthweight (grams)]]/Table1[[#This Row],[BW_GA]])-1)/(Backend!$B$4/100*Table1[[#This Row],[BW40_3705]]),"")</f>
        <v/>
      </c>
      <c r="H3231" s="7" t="str">
        <f>IF(Table1[[#This Row],[Is Data Valid]]=TRUE,((Table1[[#This Row],[Birthweight (grams)]]*0.9/Table1[[#This Row],[BW_GA]])-1)/(Backend!$B$4/100*Table1[[#This Row],[BW40_3705]]),"")</f>
        <v/>
      </c>
      <c r="I3231" s="7" t="str">
        <f>IF(Table1[[#This Row],[Is Data Valid]]=TRUE,((Table1[[#This Row],[Birthweight (grams)]]*1.1/Table1[[#This Row],[BW_GA]])-1)/(Backend!$B$4/100*Table1[[#This Row],[BW40_3705]]),"")</f>
        <v/>
      </c>
      <c r="J3231" s="7" t="str">
        <f>IF(Table1[[#This Row],[Is Data Valid]]=TRUE,_xlfn.NORM.S.DIST(Table1[[#This Row],[Birthweight Z-Score]],TRUE)*100,"")</f>
        <v/>
      </c>
      <c r="K3231" s="7" t="str">
        <f>IF(Table1[[#This Row],[Is Data Valid]]=TRUE,_xlfn.NORM.S.DIST(Table1[[#This Row],[Birthweight Z-Score (BW-10%)]],TRUE)*100,"")</f>
        <v/>
      </c>
      <c r="L3231" s="7" t="str">
        <f>IF(Table1[[#This Row],[Is Data Valid]]=TRUE,_xlfn.NORM.S.DIST(Table1[[#This Row],[Birthweight Z-Score (BW+10%)]],TRUE)*100,"")</f>
        <v/>
      </c>
    </row>
    <row r="3232" spans="1:12" x14ac:dyDescent="0.35">
      <c r="A3232" s="3"/>
      <c r="B3232" s="2"/>
      <c r="C3232" s="2"/>
      <c r="D3232" s="2" t="b">
        <f>IF(AND(NOT(ISBLANK(Table1[[#This Row],[Fetal Sex (Male, Female or Unknown)]])),ISNUMBER(Table1[[#This Row],[Birthweight (grams)]]),ISNUMBER(Table1[[#This Row],[Gestation (days)]])),TRUE,FALSE)</f>
        <v>0</v>
      </c>
      <c r="E3232" s="2" t="str">
        <f>IF(Table1[[#This Row],[Is Data Valid]]=TRUE,IF(Table1[[#This Row],[Fetal Sex (Male, Female or Unknown)]]="Male",Backend!$C$6,IF(Table1[[#This Row],[Fetal Sex (Male, Female or Unknown)]]="Female",Backend!$C$7,IF(Table1[[#This Row],[Fetal Sex (Male, Female or Unknown)]]="Unknown",Backend!$C$8,"Error"))),"")</f>
        <v/>
      </c>
      <c r="F3232" s="8" t="str">
        <f>IF(Table1[[#This Row],[Is Data Valid]]=TRUE,EXP(0.578+0.332*((Table1[[#This Row],[Gestation (days)]]+0.5)/7)-0.00354*((Table1[[#This Row],[Gestation (days)]]+0.5)/7)^2)*Table1[[#This Row],[BW40_3705]],"")</f>
        <v/>
      </c>
      <c r="G3232" s="2" t="str">
        <f>IF(Table1[[#This Row],[Is Data Valid]]=TRUE,((Table1[[#This Row],[Birthweight (grams)]]/Table1[[#This Row],[BW_GA]])-1)/(Backend!$B$4/100*Table1[[#This Row],[BW40_3705]]),"")</f>
        <v/>
      </c>
      <c r="H3232" s="7" t="str">
        <f>IF(Table1[[#This Row],[Is Data Valid]]=TRUE,((Table1[[#This Row],[Birthweight (grams)]]*0.9/Table1[[#This Row],[BW_GA]])-1)/(Backend!$B$4/100*Table1[[#This Row],[BW40_3705]]),"")</f>
        <v/>
      </c>
      <c r="I3232" s="7" t="str">
        <f>IF(Table1[[#This Row],[Is Data Valid]]=TRUE,((Table1[[#This Row],[Birthweight (grams)]]*1.1/Table1[[#This Row],[BW_GA]])-1)/(Backend!$B$4/100*Table1[[#This Row],[BW40_3705]]),"")</f>
        <v/>
      </c>
      <c r="J3232" s="7" t="str">
        <f>IF(Table1[[#This Row],[Is Data Valid]]=TRUE,_xlfn.NORM.S.DIST(Table1[[#This Row],[Birthweight Z-Score]],TRUE)*100,"")</f>
        <v/>
      </c>
      <c r="K3232" s="7" t="str">
        <f>IF(Table1[[#This Row],[Is Data Valid]]=TRUE,_xlfn.NORM.S.DIST(Table1[[#This Row],[Birthweight Z-Score (BW-10%)]],TRUE)*100,"")</f>
        <v/>
      </c>
      <c r="L3232" s="7" t="str">
        <f>IF(Table1[[#This Row],[Is Data Valid]]=TRUE,_xlfn.NORM.S.DIST(Table1[[#This Row],[Birthweight Z-Score (BW+10%)]],TRUE)*100,"")</f>
        <v/>
      </c>
    </row>
    <row r="3233" spans="1:12" x14ac:dyDescent="0.35">
      <c r="A3233" s="3"/>
      <c r="B3233" s="2"/>
      <c r="C3233" s="2"/>
      <c r="D3233" s="2" t="b">
        <f>IF(AND(NOT(ISBLANK(Table1[[#This Row],[Fetal Sex (Male, Female or Unknown)]])),ISNUMBER(Table1[[#This Row],[Birthweight (grams)]]),ISNUMBER(Table1[[#This Row],[Gestation (days)]])),TRUE,FALSE)</f>
        <v>0</v>
      </c>
      <c r="E3233" s="2" t="str">
        <f>IF(Table1[[#This Row],[Is Data Valid]]=TRUE,IF(Table1[[#This Row],[Fetal Sex (Male, Female or Unknown)]]="Male",Backend!$C$6,IF(Table1[[#This Row],[Fetal Sex (Male, Female or Unknown)]]="Female",Backend!$C$7,IF(Table1[[#This Row],[Fetal Sex (Male, Female or Unknown)]]="Unknown",Backend!$C$8,"Error"))),"")</f>
        <v/>
      </c>
      <c r="F3233" s="8" t="str">
        <f>IF(Table1[[#This Row],[Is Data Valid]]=TRUE,EXP(0.578+0.332*((Table1[[#This Row],[Gestation (days)]]+0.5)/7)-0.00354*((Table1[[#This Row],[Gestation (days)]]+0.5)/7)^2)*Table1[[#This Row],[BW40_3705]],"")</f>
        <v/>
      </c>
      <c r="G3233" s="2" t="str">
        <f>IF(Table1[[#This Row],[Is Data Valid]]=TRUE,((Table1[[#This Row],[Birthweight (grams)]]/Table1[[#This Row],[BW_GA]])-1)/(Backend!$B$4/100*Table1[[#This Row],[BW40_3705]]),"")</f>
        <v/>
      </c>
      <c r="H3233" s="7" t="str">
        <f>IF(Table1[[#This Row],[Is Data Valid]]=TRUE,((Table1[[#This Row],[Birthweight (grams)]]*0.9/Table1[[#This Row],[BW_GA]])-1)/(Backend!$B$4/100*Table1[[#This Row],[BW40_3705]]),"")</f>
        <v/>
      </c>
      <c r="I3233" s="7" t="str">
        <f>IF(Table1[[#This Row],[Is Data Valid]]=TRUE,((Table1[[#This Row],[Birthweight (grams)]]*1.1/Table1[[#This Row],[BW_GA]])-1)/(Backend!$B$4/100*Table1[[#This Row],[BW40_3705]]),"")</f>
        <v/>
      </c>
      <c r="J3233" s="7" t="str">
        <f>IF(Table1[[#This Row],[Is Data Valid]]=TRUE,_xlfn.NORM.S.DIST(Table1[[#This Row],[Birthweight Z-Score]],TRUE)*100,"")</f>
        <v/>
      </c>
      <c r="K3233" s="7" t="str">
        <f>IF(Table1[[#This Row],[Is Data Valid]]=TRUE,_xlfn.NORM.S.DIST(Table1[[#This Row],[Birthweight Z-Score (BW-10%)]],TRUE)*100,"")</f>
        <v/>
      </c>
      <c r="L3233" s="7" t="str">
        <f>IF(Table1[[#This Row],[Is Data Valid]]=TRUE,_xlfn.NORM.S.DIST(Table1[[#This Row],[Birthweight Z-Score (BW+10%)]],TRUE)*100,"")</f>
        <v/>
      </c>
    </row>
    <row r="3234" spans="1:12" x14ac:dyDescent="0.35">
      <c r="A3234" s="3"/>
      <c r="B3234" s="2"/>
      <c r="C3234" s="2"/>
      <c r="D3234" s="2" t="b">
        <f>IF(AND(NOT(ISBLANK(Table1[[#This Row],[Fetal Sex (Male, Female or Unknown)]])),ISNUMBER(Table1[[#This Row],[Birthweight (grams)]]),ISNUMBER(Table1[[#This Row],[Gestation (days)]])),TRUE,FALSE)</f>
        <v>0</v>
      </c>
      <c r="E3234" s="2" t="str">
        <f>IF(Table1[[#This Row],[Is Data Valid]]=TRUE,IF(Table1[[#This Row],[Fetal Sex (Male, Female or Unknown)]]="Male",Backend!$C$6,IF(Table1[[#This Row],[Fetal Sex (Male, Female or Unknown)]]="Female",Backend!$C$7,IF(Table1[[#This Row],[Fetal Sex (Male, Female or Unknown)]]="Unknown",Backend!$C$8,"Error"))),"")</f>
        <v/>
      </c>
      <c r="F3234" s="8" t="str">
        <f>IF(Table1[[#This Row],[Is Data Valid]]=TRUE,EXP(0.578+0.332*((Table1[[#This Row],[Gestation (days)]]+0.5)/7)-0.00354*((Table1[[#This Row],[Gestation (days)]]+0.5)/7)^2)*Table1[[#This Row],[BW40_3705]],"")</f>
        <v/>
      </c>
      <c r="G3234" s="2" t="str">
        <f>IF(Table1[[#This Row],[Is Data Valid]]=TRUE,((Table1[[#This Row],[Birthweight (grams)]]/Table1[[#This Row],[BW_GA]])-1)/(Backend!$B$4/100*Table1[[#This Row],[BW40_3705]]),"")</f>
        <v/>
      </c>
      <c r="H3234" s="7" t="str">
        <f>IF(Table1[[#This Row],[Is Data Valid]]=TRUE,((Table1[[#This Row],[Birthweight (grams)]]*0.9/Table1[[#This Row],[BW_GA]])-1)/(Backend!$B$4/100*Table1[[#This Row],[BW40_3705]]),"")</f>
        <v/>
      </c>
      <c r="I3234" s="7" t="str">
        <f>IF(Table1[[#This Row],[Is Data Valid]]=TRUE,((Table1[[#This Row],[Birthweight (grams)]]*1.1/Table1[[#This Row],[BW_GA]])-1)/(Backend!$B$4/100*Table1[[#This Row],[BW40_3705]]),"")</f>
        <v/>
      </c>
      <c r="J3234" s="7" t="str">
        <f>IF(Table1[[#This Row],[Is Data Valid]]=TRUE,_xlfn.NORM.S.DIST(Table1[[#This Row],[Birthweight Z-Score]],TRUE)*100,"")</f>
        <v/>
      </c>
      <c r="K3234" s="7" t="str">
        <f>IF(Table1[[#This Row],[Is Data Valid]]=TRUE,_xlfn.NORM.S.DIST(Table1[[#This Row],[Birthweight Z-Score (BW-10%)]],TRUE)*100,"")</f>
        <v/>
      </c>
      <c r="L3234" s="7" t="str">
        <f>IF(Table1[[#This Row],[Is Data Valid]]=TRUE,_xlfn.NORM.S.DIST(Table1[[#This Row],[Birthweight Z-Score (BW+10%)]],TRUE)*100,"")</f>
        <v/>
      </c>
    </row>
    <row r="3235" spans="1:12" x14ac:dyDescent="0.35">
      <c r="A3235" s="3"/>
      <c r="B3235" s="2"/>
      <c r="C3235" s="2"/>
      <c r="D3235" s="2" t="b">
        <f>IF(AND(NOT(ISBLANK(Table1[[#This Row],[Fetal Sex (Male, Female or Unknown)]])),ISNUMBER(Table1[[#This Row],[Birthweight (grams)]]),ISNUMBER(Table1[[#This Row],[Gestation (days)]])),TRUE,FALSE)</f>
        <v>0</v>
      </c>
      <c r="E3235" s="2" t="str">
        <f>IF(Table1[[#This Row],[Is Data Valid]]=TRUE,IF(Table1[[#This Row],[Fetal Sex (Male, Female or Unknown)]]="Male",Backend!$C$6,IF(Table1[[#This Row],[Fetal Sex (Male, Female or Unknown)]]="Female",Backend!$C$7,IF(Table1[[#This Row],[Fetal Sex (Male, Female or Unknown)]]="Unknown",Backend!$C$8,"Error"))),"")</f>
        <v/>
      </c>
      <c r="F3235" s="8" t="str">
        <f>IF(Table1[[#This Row],[Is Data Valid]]=TRUE,EXP(0.578+0.332*((Table1[[#This Row],[Gestation (days)]]+0.5)/7)-0.00354*((Table1[[#This Row],[Gestation (days)]]+0.5)/7)^2)*Table1[[#This Row],[BW40_3705]],"")</f>
        <v/>
      </c>
      <c r="G3235" s="2" t="str">
        <f>IF(Table1[[#This Row],[Is Data Valid]]=TRUE,((Table1[[#This Row],[Birthweight (grams)]]/Table1[[#This Row],[BW_GA]])-1)/(Backend!$B$4/100*Table1[[#This Row],[BW40_3705]]),"")</f>
        <v/>
      </c>
      <c r="H3235" s="7" t="str">
        <f>IF(Table1[[#This Row],[Is Data Valid]]=TRUE,((Table1[[#This Row],[Birthweight (grams)]]*0.9/Table1[[#This Row],[BW_GA]])-1)/(Backend!$B$4/100*Table1[[#This Row],[BW40_3705]]),"")</f>
        <v/>
      </c>
      <c r="I3235" s="7" t="str">
        <f>IF(Table1[[#This Row],[Is Data Valid]]=TRUE,((Table1[[#This Row],[Birthweight (grams)]]*1.1/Table1[[#This Row],[BW_GA]])-1)/(Backend!$B$4/100*Table1[[#This Row],[BW40_3705]]),"")</f>
        <v/>
      </c>
      <c r="J3235" s="7" t="str">
        <f>IF(Table1[[#This Row],[Is Data Valid]]=TRUE,_xlfn.NORM.S.DIST(Table1[[#This Row],[Birthweight Z-Score]],TRUE)*100,"")</f>
        <v/>
      </c>
      <c r="K3235" s="7" t="str">
        <f>IF(Table1[[#This Row],[Is Data Valid]]=TRUE,_xlfn.NORM.S.DIST(Table1[[#This Row],[Birthweight Z-Score (BW-10%)]],TRUE)*100,"")</f>
        <v/>
      </c>
      <c r="L3235" s="7" t="str">
        <f>IF(Table1[[#This Row],[Is Data Valid]]=TRUE,_xlfn.NORM.S.DIST(Table1[[#This Row],[Birthweight Z-Score (BW+10%)]],TRUE)*100,"")</f>
        <v/>
      </c>
    </row>
    <row r="3236" spans="1:12" x14ac:dyDescent="0.35">
      <c r="A3236" s="3"/>
      <c r="B3236" s="2"/>
      <c r="C3236" s="2"/>
      <c r="D3236" s="2" t="b">
        <f>IF(AND(NOT(ISBLANK(Table1[[#This Row],[Fetal Sex (Male, Female or Unknown)]])),ISNUMBER(Table1[[#This Row],[Birthweight (grams)]]),ISNUMBER(Table1[[#This Row],[Gestation (days)]])),TRUE,FALSE)</f>
        <v>0</v>
      </c>
      <c r="E3236" s="2" t="str">
        <f>IF(Table1[[#This Row],[Is Data Valid]]=TRUE,IF(Table1[[#This Row],[Fetal Sex (Male, Female or Unknown)]]="Male",Backend!$C$6,IF(Table1[[#This Row],[Fetal Sex (Male, Female or Unknown)]]="Female",Backend!$C$7,IF(Table1[[#This Row],[Fetal Sex (Male, Female or Unknown)]]="Unknown",Backend!$C$8,"Error"))),"")</f>
        <v/>
      </c>
      <c r="F3236" s="8" t="str">
        <f>IF(Table1[[#This Row],[Is Data Valid]]=TRUE,EXP(0.578+0.332*((Table1[[#This Row],[Gestation (days)]]+0.5)/7)-0.00354*((Table1[[#This Row],[Gestation (days)]]+0.5)/7)^2)*Table1[[#This Row],[BW40_3705]],"")</f>
        <v/>
      </c>
      <c r="G3236" s="2" t="str">
        <f>IF(Table1[[#This Row],[Is Data Valid]]=TRUE,((Table1[[#This Row],[Birthweight (grams)]]/Table1[[#This Row],[BW_GA]])-1)/(Backend!$B$4/100*Table1[[#This Row],[BW40_3705]]),"")</f>
        <v/>
      </c>
      <c r="H3236" s="7" t="str">
        <f>IF(Table1[[#This Row],[Is Data Valid]]=TRUE,((Table1[[#This Row],[Birthweight (grams)]]*0.9/Table1[[#This Row],[BW_GA]])-1)/(Backend!$B$4/100*Table1[[#This Row],[BW40_3705]]),"")</f>
        <v/>
      </c>
      <c r="I3236" s="7" t="str">
        <f>IF(Table1[[#This Row],[Is Data Valid]]=TRUE,((Table1[[#This Row],[Birthweight (grams)]]*1.1/Table1[[#This Row],[BW_GA]])-1)/(Backend!$B$4/100*Table1[[#This Row],[BW40_3705]]),"")</f>
        <v/>
      </c>
      <c r="J3236" s="7" t="str">
        <f>IF(Table1[[#This Row],[Is Data Valid]]=TRUE,_xlfn.NORM.S.DIST(Table1[[#This Row],[Birthweight Z-Score]],TRUE)*100,"")</f>
        <v/>
      </c>
      <c r="K3236" s="7" t="str">
        <f>IF(Table1[[#This Row],[Is Data Valid]]=TRUE,_xlfn.NORM.S.DIST(Table1[[#This Row],[Birthweight Z-Score (BW-10%)]],TRUE)*100,"")</f>
        <v/>
      </c>
      <c r="L3236" s="7" t="str">
        <f>IF(Table1[[#This Row],[Is Data Valid]]=TRUE,_xlfn.NORM.S.DIST(Table1[[#This Row],[Birthweight Z-Score (BW+10%)]],TRUE)*100,"")</f>
        <v/>
      </c>
    </row>
    <row r="3237" spans="1:12" x14ac:dyDescent="0.35">
      <c r="A3237" s="3"/>
      <c r="B3237" s="2"/>
      <c r="C3237" s="2"/>
      <c r="D3237" s="2" t="b">
        <f>IF(AND(NOT(ISBLANK(Table1[[#This Row],[Fetal Sex (Male, Female or Unknown)]])),ISNUMBER(Table1[[#This Row],[Birthweight (grams)]]),ISNUMBER(Table1[[#This Row],[Gestation (days)]])),TRUE,FALSE)</f>
        <v>0</v>
      </c>
      <c r="E3237" s="2" t="str">
        <f>IF(Table1[[#This Row],[Is Data Valid]]=TRUE,IF(Table1[[#This Row],[Fetal Sex (Male, Female or Unknown)]]="Male",Backend!$C$6,IF(Table1[[#This Row],[Fetal Sex (Male, Female or Unknown)]]="Female",Backend!$C$7,IF(Table1[[#This Row],[Fetal Sex (Male, Female or Unknown)]]="Unknown",Backend!$C$8,"Error"))),"")</f>
        <v/>
      </c>
      <c r="F3237" s="8" t="str">
        <f>IF(Table1[[#This Row],[Is Data Valid]]=TRUE,EXP(0.578+0.332*((Table1[[#This Row],[Gestation (days)]]+0.5)/7)-0.00354*((Table1[[#This Row],[Gestation (days)]]+0.5)/7)^2)*Table1[[#This Row],[BW40_3705]],"")</f>
        <v/>
      </c>
      <c r="G3237" s="2" t="str">
        <f>IF(Table1[[#This Row],[Is Data Valid]]=TRUE,((Table1[[#This Row],[Birthweight (grams)]]/Table1[[#This Row],[BW_GA]])-1)/(Backend!$B$4/100*Table1[[#This Row],[BW40_3705]]),"")</f>
        <v/>
      </c>
      <c r="H3237" s="7" t="str">
        <f>IF(Table1[[#This Row],[Is Data Valid]]=TRUE,((Table1[[#This Row],[Birthweight (grams)]]*0.9/Table1[[#This Row],[BW_GA]])-1)/(Backend!$B$4/100*Table1[[#This Row],[BW40_3705]]),"")</f>
        <v/>
      </c>
      <c r="I3237" s="7" t="str">
        <f>IF(Table1[[#This Row],[Is Data Valid]]=TRUE,((Table1[[#This Row],[Birthweight (grams)]]*1.1/Table1[[#This Row],[BW_GA]])-1)/(Backend!$B$4/100*Table1[[#This Row],[BW40_3705]]),"")</f>
        <v/>
      </c>
      <c r="J3237" s="7" t="str">
        <f>IF(Table1[[#This Row],[Is Data Valid]]=TRUE,_xlfn.NORM.S.DIST(Table1[[#This Row],[Birthweight Z-Score]],TRUE)*100,"")</f>
        <v/>
      </c>
      <c r="K3237" s="7" t="str">
        <f>IF(Table1[[#This Row],[Is Data Valid]]=TRUE,_xlfn.NORM.S.DIST(Table1[[#This Row],[Birthweight Z-Score (BW-10%)]],TRUE)*100,"")</f>
        <v/>
      </c>
      <c r="L3237" s="7" t="str">
        <f>IF(Table1[[#This Row],[Is Data Valid]]=TRUE,_xlfn.NORM.S.DIST(Table1[[#This Row],[Birthweight Z-Score (BW+10%)]],TRUE)*100,"")</f>
        <v/>
      </c>
    </row>
    <row r="3238" spans="1:12" x14ac:dyDescent="0.35">
      <c r="A3238" s="3"/>
      <c r="B3238" s="2"/>
      <c r="C3238" s="2"/>
      <c r="D3238" s="2" t="b">
        <f>IF(AND(NOT(ISBLANK(Table1[[#This Row],[Fetal Sex (Male, Female or Unknown)]])),ISNUMBER(Table1[[#This Row],[Birthweight (grams)]]),ISNUMBER(Table1[[#This Row],[Gestation (days)]])),TRUE,FALSE)</f>
        <v>0</v>
      </c>
      <c r="E3238" s="2" t="str">
        <f>IF(Table1[[#This Row],[Is Data Valid]]=TRUE,IF(Table1[[#This Row],[Fetal Sex (Male, Female or Unknown)]]="Male",Backend!$C$6,IF(Table1[[#This Row],[Fetal Sex (Male, Female or Unknown)]]="Female",Backend!$C$7,IF(Table1[[#This Row],[Fetal Sex (Male, Female or Unknown)]]="Unknown",Backend!$C$8,"Error"))),"")</f>
        <v/>
      </c>
      <c r="F3238" s="8" t="str">
        <f>IF(Table1[[#This Row],[Is Data Valid]]=TRUE,EXP(0.578+0.332*((Table1[[#This Row],[Gestation (days)]]+0.5)/7)-0.00354*((Table1[[#This Row],[Gestation (days)]]+0.5)/7)^2)*Table1[[#This Row],[BW40_3705]],"")</f>
        <v/>
      </c>
      <c r="G3238" s="2" t="str">
        <f>IF(Table1[[#This Row],[Is Data Valid]]=TRUE,((Table1[[#This Row],[Birthweight (grams)]]/Table1[[#This Row],[BW_GA]])-1)/(Backend!$B$4/100*Table1[[#This Row],[BW40_3705]]),"")</f>
        <v/>
      </c>
      <c r="H3238" s="7" t="str">
        <f>IF(Table1[[#This Row],[Is Data Valid]]=TRUE,((Table1[[#This Row],[Birthweight (grams)]]*0.9/Table1[[#This Row],[BW_GA]])-1)/(Backend!$B$4/100*Table1[[#This Row],[BW40_3705]]),"")</f>
        <v/>
      </c>
      <c r="I3238" s="7" t="str">
        <f>IF(Table1[[#This Row],[Is Data Valid]]=TRUE,((Table1[[#This Row],[Birthweight (grams)]]*1.1/Table1[[#This Row],[BW_GA]])-1)/(Backend!$B$4/100*Table1[[#This Row],[BW40_3705]]),"")</f>
        <v/>
      </c>
      <c r="J3238" s="7" t="str">
        <f>IF(Table1[[#This Row],[Is Data Valid]]=TRUE,_xlfn.NORM.S.DIST(Table1[[#This Row],[Birthweight Z-Score]],TRUE)*100,"")</f>
        <v/>
      </c>
      <c r="K3238" s="7" t="str">
        <f>IF(Table1[[#This Row],[Is Data Valid]]=TRUE,_xlfn.NORM.S.DIST(Table1[[#This Row],[Birthweight Z-Score (BW-10%)]],TRUE)*100,"")</f>
        <v/>
      </c>
      <c r="L3238" s="7" t="str">
        <f>IF(Table1[[#This Row],[Is Data Valid]]=TRUE,_xlfn.NORM.S.DIST(Table1[[#This Row],[Birthweight Z-Score (BW+10%)]],TRUE)*100,"")</f>
        <v/>
      </c>
    </row>
    <row r="3239" spans="1:12" x14ac:dyDescent="0.35">
      <c r="A3239" s="3"/>
      <c r="B3239" s="2"/>
      <c r="C3239" s="2"/>
      <c r="D3239" s="2" t="b">
        <f>IF(AND(NOT(ISBLANK(Table1[[#This Row],[Fetal Sex (Male, Female or Unknown)]])),ISNUMBER(Table1[[#This Row],[Birthweight (grams)]]),ISNUMBER(Table1[[#This Row],[Gestation (days)]])),TRUE,FALSE)</f>
        <v>0</v>
      </c>
      <c r="E3239" s="2" t="str">
        <f>IF(Table1[[#This Row],[Is Data Valid]]=TRUE,IF(Table1[[#This Row],[Fetal Sex (Male, Female or Unknown)]]="Male",Backend!$C$6,IF(Table1[[#This Row],[Fetal Sex (Male, Female or Unknown)]]="Female",Backend!$C$7,IF(Table1[[#This Row],[Fetal Sex (Male, Female or Unknown)]]="Unknown",Backend!$C$8,"Error"))),"")</f>
        <v/>
      </c>
      <c r="F3239" s="8" t="str">
        <f>IF(Table1[[#This Row],[Is Data Valid]]=TRUE,EXP(0.578+0.332*((Table1[[#This Row],[Gestation (days)]]+0.5)/7)-0.00354*((Table1[[#This Row],[Gestation (days)]]+0.5)/7)^2)*Table1[[#This Row],[BW40_3705]],"")</f>
        <v/>
      </c>
      <c r="G3239" s="2" t="str">
        <f>IF(Table1[[#This Row],[Is Data Valid]]=TRUE,((Table1[[#This Row],[Birthweight (grams)]]/Table1[[#This Row],[BW_GA]])-1)/(Backend!$B$4/100*Table1[[#This Row],[BW40_3705]]),"")</f>
        <v/>
      </c>
      <c r="H3239" s="7" t="str">
        <f>IF(Table1[[#This Row],[Is Data Valid]]=TRUE,((Table1[[#This Row],[Birthweight (grams)]]*0.9/Table1[[#This Row],[BW_GA]])-1)/(Backend!$B$4/100*Table1[[#This Row],[BW40_3705]]),"")</f>
        <v/>
      </c>
      <c r="I3239" s="7" t="str">
        <f>IF(Table1[[#This Row],[Is Data Valid]]=TRUE,((Table1[[#This Row],[Birthweight (grams)]]*1.1/Table1[[#This Row],[BW_GA]])-1)/(Backend!$B$4/100*Table1[[#This Row],[BW40_3705]]),"")</f>
        <v/>
      </c>
      <c r="J3239" s="7" t="str">
        <f>IF(Table1[[#This Row],[Is Data Valid]]=TRUE,_xlfn.NORM.S.DIST(Table1[[#This Row],[Birthweight Z-Score]],TRUE)*100,"")</f>
        <v/>
      </c>
      <c r="K3239" s="7" t="str">
        <f>IF(Table1[[#This Row],[Is Data Valid]]=TRUE,_xlfn.NORM.S.DIST(Table1[[#This Row],[Birthweight Z-Score (BW-10%)]],TRUE)*100,"")</f>
        <v/>
      </c>
      <c r="L3239" s="7" t="str">
        <f>IF(Table1[[#This Row],[Is Data Valid]]=TRUE,_xlfn.NORM.S.DIST(Table1[[#This Row],[Birthweight Z-Score (BW+10%)]],TRUE)*100,"")</f>
        <v/>
      </c>
    </row>
    <row r="3240" spans="1:12" x14ac:dyDescent="0.35">
      <c r="A3240" s="3"/>
      <c r="B3240" s="2"/>
      <c r="C3240" s="2"/>
      <c r="D3240" s="2" t="b">
        <f>IF(AND(NOT(ISBLANK(Table1[[#This Row],[Fetal Sex (Male, Female or Unknown)]])),ISNUMBER(Table1[[#This Row],[Birthweight (grams)]]),ISNUMBER(Table1[[#This Row],[Gestation (days)]])),TRUE,FALSE)</f>
        <v>0</v>
      </c>
      <c r="E3240" s="2" t="str">
        <f>IF(Table1[[#This Row],[Is Data Valid]]=TRUE,IF(Table1[[#This Row],[Fetal Sex (Male, Female or Unknown)]]="Male",Backend!$C$6,IF(Table1[[#This Row],[Fetal Sex (Male, Female or Unknown)]]="Female",Backend!$C$7,IF(Table1[[#This Row],[Fetal Sex (Male, Female or Unknown)]]="Unknown",Backend!$C$8,"Error"))),"")</f>
        <v/>
      </c>
      <c r="F3240" s="8" t="str">
        <f>IF(Table1[[#This Row],[Is Data Valid]]=TRUE,EXP(0.578+0.332*((Table1[[#This Row],[Gestation (days)]]+0.5)/7)-0.00354*((Table1[[#This Row],[Gestation (days)]]+0.5)/7)^2)*Table1[[#This Row],[BW40_3705]],"")</f>
        <v/>
      </c>
      <c r="G3240" s="2" t="str">
        <f>IF(Table1[[#This Row],[Is Data Valid]]=TRUE,((Table1[[#This Row],[Birthweight (grams)]]/Table1[[#This Row],[BW_GA]])-1)/(Backend!$B$4/100*Table1[[#This Row],[BW40_3705]]),"")</f>
        <v/>
      </c>
      <c r="H3240" s="7" t="str">
        <f>IF(Table1[[#This Row],[Is Data Valid]]=TRUE,((Table1[[#This Row],[Birthweight (grams)]]*0.9/Table1[[#This Row],[BW_GA]])-1)/(Backend!$B$4/100*Table1[[#This Row],[BW40_3705]]),"")</f>
        <v/>
      </c>
      <c r="I3240" s="7" t="str">
        <f>IF(Table1[[#This Row],[Is Data Valid]]=TRUE,((Table1[[#This Row],[Birthweight (grams)]]*1.1/Table1[[#This Row],[BW_GA]])-1)/(Backend!$B$4/100*Table1[[#This Row],[BW40_3705]]),"")</f>
        <v/>
      </c>
      <c r="J3240" s="7" t="str">
        <f>IF(Table1[[#This Row],[Is Data Valid]]=TRUE,_xlfn.NORM.S.DIST(Table1[[#This Row],[Birthweight Z-Score]],TRUE)*100,"")</f>
        <v/>
      </c>
      <c r="K3240" s="7" t="str">
        <f>IF(Table1[[#This Row],[Is Data Valid]]=TRUE,_xlfn.NORM.S.DIST(Table1[[#This Row],[Birthweight Z-Score (BW-10%)]],TRUE)*100,"")</f>
        <v/>
      </c>
      <c r="L3240" s="7" t="str">
        <f>IF(Table1[[#This Row],[Is Data Valid]]=TRUE,_xlfn.NORM.S.DIST(Table1[[#This Row],[Birthweight Z-Score (BW+10%)]],TRUE)*100,"")</f>
        <v/>
      </c>
    </row>
    <row r="3241" spans="1:12" x14ac:dyDescent="0.35">
      <c r="A3241" s="3"/>
      <c r="B3241" s="2"/>
      <c r="C3241" s="2"/>
      <c r="D3241" s="2" t="b">
        <f>IF(AND(NOT(ISBLANK(Table1[[#This Row],[Fetal Sex (Male, Female or Unknown)]])),ISNUMBER(Table1[[#This Row],[Birthweight (grams)]]),ISNUMBER(Table1[[#This Row],[Gestation (days)]])),TRUE,FALSE)</f>
        <v>0</v>
      </c>
      <c r="E3241" s="2" t="str">
        <f>IF(Table1[[#This Row],[Is Data Valid]]=TRUE,IF(Table1[[#This Row],[Fetal Sex (Male, Female or Unknown)]]="Male",Backend!$C$6,IF(Table1[[#This Row],[Fetal Sex (Male, Female or Unknown)]]="Female",Backend!$C$7,IF(Table1[[#This Row],[Fetal Sex (Male, Female or Unknown)]]="Unknown",Backend!$C$8,"Error"))),"")</f>
        <v/>
      </c>
      <c r="F3241" s="8" t="str">
        <f>IF(Table1[[#This Row],[Is Data Valid]]=TRUE,EXP(0.578+0.332*((Table1[[#This Row],[Gestation (days)]]+0.5)/7)-0.00354*((Table1[[#This Row],[Gestation (days)]]+0.5)/7)^2)*Table1[[#This Row],[BW40_3705]],"")</f>
        <v/>
      </c>
      <c r="G3241" s="2" t="str">
        <f>IF(Table1[[#This Row],[Is Data Valid]]=TRUE,((Table1[[#This Row],[Birthweight (grams)]]/Table1[[#This Row],[BW_GA]])-1)/(Backend!$B$4/100*Table1[[#This Row],[BW40_3705]]),"")</f>
        <v/>
      </c>
      <c r="H3241" s="7" t="str">
        <f>IF(Table1[[#This Row],[Is Data Valid]]=TRUE,((Table1[[#This Row],[Birthweight (grams)]]*0.9/Table1[[#This Row],[BW_GA]])-1)/(Backend!$B$4/100*Table1[[#This Row],[BW40_3705]]),"")</f>
        <v/>
      </c>
      <c r="I3241" s="7" t="str">
        <f>IF(Table1[[#This Row],[Is Data Valid]]=TRUE,((Table1[[#This Row],[Birthweight (grams)]]*1.1/Table1[[#This Row],[BW_GA]])-1)/(Backend!$B$4/100*Table1[[#This Row],[BW40_3705]]),"")</f>
        <v/>
      </c>
      <c r="J3241" s="7" t="str">
        <f>IF(Table1[[#This Row],[Is Data Valid]]=TRUE,_xlfn.NORM.S.DIST(Table1[[#This Row],[Birthweight Z-Score]],TRUE)*100,"")</f>
        <v/>
      </c>
      <c r="K3241" s="7" t="str">
        <f>IF(Table1[[#This Row],[Is Data Valid]]=TRUE,_xlfn.NORM.S.DIST(Table1[[#This Row],[Birthweight Z-Score (BW-10%)]],TRUE)*100,"")</f>
        <v/>
      </c>
      <c r="L3241" s="7" t="str">
        <f>IF(Table1[[#This Row],[Is Data Valid]]=TRUE,_xlfn.NORM.S.DIST(Table1[[#This Row],[Birthweight Z-Score (BW+10%)]],TRUE)*100,"")</f>
        <v/>
      </c>
    </row>
    <row r="3242" spans="1:12" x14ac:dyDescent="0.35">
      <c r="A3242" s="3"/>
      <c r="B3242" s="2"/>
      <c r="C3242" s="2"/>
      <c r="D3242" s="2" t="b">
        <f>IF(AND(NOT(ISBLANK(Table1[[#This Row],[Fetal Sex (Male, Female or Unknown)]])),ISNUMBER(Table1[[#This Row],[Birthweight (grams)]]),ISNUMBER(Table1[[#This Row],[Gestation (days)]])),TRUE,FALSE)</f>
        <v>0</v>
      </c>
      <c r="E3242" s="2" t="str">
        <f>IF(Table1[[#This Row],[Is Data Valid]]=TRUE,IF(Table1[[#This Row],[Fetal Sex (Male, Female or Unknown)]]="Male",Backend!$C$6,IF(Table1[[#This Row],[Fetal Sex (Male, Female or Unknown)]]="Female",Backend!$C$7,IF(Table1[[#This Row],[Fetal Sex (Male, Female or Unknown)]]="Unknown",Backend!$C$8,"Error"))),"")</f>
        <v/>
      </c>
      <c r="F3242" s="8" t="str">
        <f>IF(Table1[[#This Row],[Is Data Valid]]=TRUE,EXP(0.578+0.332*((Table1[[#This Row],[Gestation (days)]]+0.5)/7)-0.00354*((Table1[[#This Row],[Gestation (days)]]+0.5)/7)^2)*Table1[[#This Row],[BW40_3705]],"")</f>
        <v/>
      </c>
      <c r="G3242" s="2" t="str">
        <f>IF(Table1[[#This Row],[Is Data Valid]]=TRUE,((Table1[[#This Row],[Birthweight (grams)]]/Table1[[#This Row],[BW_GA]])-1)/(Backend!$B$4/100*Table1[[#This Row],[BW40_3705]]),"")</f>
        <v/>
      </c>
      <c r="H3242" s="7" t="str">
        <f>IF(Table1[[#This Row],[Is Data Valid]]=TRUE,((Table1[[#This Row],[Birthweight (grams)]]*0.9/Table1[[#This Row],[BW_GA]])-1)/(Backend!$B$4/100*Table1[[#This Row],[BW40_3705]]),"")</f>
        <v/>
      </c>
      <c r="I3242" s="7" t="str">
        <f>IF(Table1[[#This Row],[Is Data Valid]]=TRUE,((Table1[[#This Row],[Birthweight (grams)]]*1.1/Table1[[#This Row],[BW_GA]])-1)/(Backend!$B$4/100*Table1[[#This Row],[BW40_3705]]),"")</f>
        <v/>
      </c>
      <c r="J3242" s="7" t="str">
        <f>IF(Table1[[#This Row],[Is Data Valid]]=TRUE,_xlfn.NORM.S.DIST(Table1[[#This Row],[Birthweight Z-Score]],TRUE)*100,"")</f>
        <v/>
      </c>
      <c r="K3242" s="7" t="str">
        <f>IF(Table1[[#This Row],[Is Data Valid]]=TRUE,_xlfn.NORM.S.DIST(Table1[[#This Row],[Birthweight Z-Score (BW-10%)]],TRUE)*100,"")</f>
        <v/>
      </c>
      <c r="L3242" s="7" t="str">
        <f>IF(Table1[[#This Row],[Is Data Valid]]=TRUE,_xlfn.NORM.S.DIST(Table1[[#This Row],[Birthweight Z-Score (BW+10%)]],TRUE)*100,"")</f>
        <v/>
      </c>
    </row>
    <row r="3243" spans="1:12" x14ac:dyDescent="0.35">
      <c r="A3243" s="3"/>
      <c r="B3243" s="2"/>
      <c r="C3243" s="2"/>
      <c r="D3243" s="2" t="b">
        <f>IF(AND(NOT(ISBLANK(Table1[[#This Row],[Fetal Sex (Male, Female or Unknown)]])),ISNUMBER(Table1[[#This Row],[Birthweight (grams)]]),ISNUMBER(Table1[[#This Row],[Gestation (days)]])),TRUE,FALSE)</f>
        <v>0</v>
      </c>
      <c r="E3243" s="2" t="str">
        <f>IF(Table1[[#This Row],[Is Data Valid]]=TRUE,IF(Table1[[#This Row],[Fetal Sex (Male, Female or Unknown)]]="Male",Backend!$C$6,IF(Table1[[#This Row],[Fetal Sex (Male, Female or Unknown)]]="Female",Backend!$C$7,IF(Table1[[#This Row],[Fetal Sex (Male, Female or Unknown)]]="Unknown",Backend!$C$8,"Error"))),"")</f>
        <v/>
      </c>
      <c r="F3243" s="8" t="str">
        <f>IF(Table1[[#This Row],[Is Data Valid]]=TRUE,EXP(0.578+0.332*((Table1[[#This Row],[Gestation (days)]]+0.5)/7)-0.00354*((Table1[[#This Row],[Gestation (days)]]+0.5)/7)^2)*Table1[[#This Row],[BW40_3705]],"")</f>
        <v/>
      </c>
      <c r="G3243" s="2" t="str">
        <f>IF(Table1[[#This Row],[Is Data Valid]]=TRUE,((Table1[[#This Row],[Birthweight (grams)]]/Table1[[#This Row],[BW_GA]])-1)/(Backend!$B$4/100*Table1[[#This Row],[BW40_3705]]),"")</f>
        <v/>
      </c>
      <c r="H3243" s="7" t="str">
        <f>IF(Table1[[#This Row],[Is Data Valid]]=TRUE,((Table1[[#This Row],[Birthweight (grams)]]*0.9/Table1[[#This Row],[BW_GA]])-1)/(Backend!$B$4/100*Table1[[#This Row],[BW40_3705]]),"")</f>
        <v/>
      </c>
      <c r="I3243" s="7" t="str">
        <f>IF(Table1[[#This Row],[Is Data Valid]]=TRUE,((Table1[[#This Row],[Birthweight (grams)]]*1.1/Table1[[#This Row],[BW_GA]])-1)/(Backend!$B$4/100*Table1[[#This Row],[BW40_3705]]),"")</f>
        <v/>
      </c>
      <c r="J3243" s="7" t="str">
        <f>IF(Table1[[#This Row],[Is Data Valid]]=TRUE,_xlfn.NORM.S.DIST(Table1[[#This Row],[Birthweight Z-Score]],TRUE)*100,"")</f>
        <v/>
      </c>
      <c r="K3243" s="7" t="str">
        <f>IF(Table1[[#This Row],[Is Data Valid]]=TRUE,_xlfn.NORM.S.DIST(Table1[[#This Row],[Birthweight Z-Score (BW-10%)]],TRUE)*100,"")</f>
        <v/>
      </c>
      <c r="L3243" s="7" t="str">
        <f>IF(Table1[[#This Row],[Is Data Valid]]=TRUE,_xlfn.NORM.S.DIST(Table1[[#This Row],[Birthweight Z-Score (BW+10%)]],TRUE)*100,"")</f>
        <v/>
      </c>
    </row>
    <row r="3244" spans="1:12" x14ac:dyDescent="0.35">
      <c r="A3244" s="3"/>
      <c r="B3244" s="2"/>
      <c r="C3244" s="2"/>
      <c r="D3244" s="2" t="b">
        <f>IF(AND(NOT(ISBLANK(Table1[[#This Row],[Fetal Sex (Male, Female or Unknown)]])),ISNUMBER(Table1[[#This Row],[Birthweight (grams)]]),ISNUMBER(Table1[[#This Row],[Gestation (days)]])),TRUE,FALSE)</f>
        <v>0</v>
      </c>
      <c r="E3244" s="2" t="str">
        <f>IF(Table1[[#This Row],[Is Data Valid]]=TRUE,IF(Table1[[#This Row],[Fetal Sex (Male, Female or Unknown)]]="Male",Backend!$C$6,IF(Table1[[#This Row],[Fetal Sex (Male, Female or Unknown)]]="Female",Backend!$C$7,IF(Table1[[#This Row],[Fetal Sex (Male, Female or Unknown)]]="Unknown",Backend!$C$8,"Error"))),"")</f>
        <v/>
      </c>
      <c r="F3244" s="8" t="str">
        <f>IF(Table1[[#This Row],[Is Data Valid]]=TRUE,EXP(0.578+0.332*((Table1[[#This Row],[Gestation (days)]]+0.5)/7)-0.00354*((Table1[[#This Row],[Gestation (days)]]+0.5)/7)^2)*Table1[[#This Row],[BW40_3705]],"")</f>
        <v/>
      </c>
      <c r="G3244" s="2" t="str">
        <f>IF(Table1[[#This Row],[Is Data Valid]]=TRUE,((Table1[[#This Row],[Birthweight (grams)]]/Table1[[#This Row],[BW_GA]])-1)/(Backend!$B$4/100*Table1[[#This Row],[BW40_3705]]),"")</f>
        <v/>
      </c>
      <c r="H3244" s="7" t="str">
        <f>IF(Table1[[#This Row],[Is Data Valid]]=TRUE,((Table1[[#This Row],[Birthweight (grams)]]*0.9/Table1[[#This Row],[BW_GA]])-1)/(Backend!$B$4/100*Table1[[#This Row],[BW40_3705]]),"")</f>
        <v/>
      </c>
      <c r="I3244" s="7" t="str">
        <f>IF(Table1[[#This Row],[Is Data Valid]]=TRUE,((Table1[[#This Row],[Birthweight (grams)]]*1.1/Table1[[#This Row],[BW_GA]])-1)/(Backend!$B$4/100*Table1[[#This Row],[BW40_3705]]),"")</f>
        <v/>
      </c>
      <c r="J3244" s="7" t="str">
        <f>IF(Table1[[#This Row],[Is Data Valid]]=TRUE,_xlfn.NORM.S.DIST(Table1[[#This Row],[Birthweight Z-Score]],TRUE)*100,"")</f>
        <v/>
      </c>
      <c r="K3244" s="7" t="str">
        <f>IF(Table1[[#This Row],[Is Data Valid]]=TRUE,_xlfn.NORM.S.DIST(Table1[[#This Row],[Birthweight Z-Score (BW-10%)]],TRUE)*100,"")</f>
        <v/>
      </c>
      <c r="L3244" s="7" t="str">
        <f>IF(Table1[[#This Row],[Is Data Valid]]=TRUE,_xlfn.NORM.S.DIST(Table1[[#This Row],[Birthweight Z-Score (BW+10%)]],TRUE)*100,"")</f>
        <v/>
      </c>
    </row>
    <row r="3245" spans="1:12" x14ac:dyDescent="0.35">
      <c r="A3245" s="3"/>
      <c r="B3245" s="2"/>
      <c r="C3245" s="2"/>
      <c r="D3245" s="2" t="b">
        <f>IF(AND(NOT(ISBLANK(Table1[[#This Row],[Fetal Sex (Male, Female or Unknown)]])),ISNUMBER(Table1[[#This Row],[Birthweight (grams)]]),ISNUMBER(Table1[[#This Row],[Gestation (days)]])),TRUE,FALSE)</f>
        <v>0</v>
      </c>
      <c r="E3245" s="2" t="str">
        <f>IF(Table1[[#This Row],[Is Data Valid]]=TRUE,IF(Table1[[#This Row],[Fetal Sex (Male, Female or Unknown)]]="Male",Backend!$C$6,IF(Table1[[#This Row],[Fetal Sex (Male, Female or Unknown)]]="Female",Backend!$C$7,IF(Table1[[#This Row],[Fetal Sex (Male, Female or Unknown)]]="Unknown",Backend!$C$8,"Error"))),"")</f>
        <v/>
      </c>
      <c r="F3245" s="8" t="str">
        <f>IF(Table1[[#This Row],[Is Data Valid]]=TRUE,EXP(0.578+0.332*((Table1[[#This Row],[Gestation (days)]]+0.5)/7)-0.00354*((Table1[[#This Row],[Gestation (days)]]+0.5)/7)^2)*Table1[[#This Row],[BW40_3705]],"")</f>
        <v/>
      </c>
      <c r="G3245" s="2" t="str">
        <f>IF(Table1[[#This Row],[Is Data Valid]]=TRUE,((Table1[[#This Row],[Birthweight (grams)]]/Table1[[#This Row],[BW_GA]])-1)/(Backend!$B$4/100*Table1[[#This Row],[BW40_3705]]),"")</f>
        <v/>
      </c>
      <c r="H3245" s="7" t="str">
        <f>IF(Table1[[#This Row],[Is Data Valid]]=TRUE,((Table1[[#This Row],[Birthweight (grams)]]*0.9/Table1[[#This Row],[BW_GA]])-1)/(Backend!$B$4/100*Table1[[#This Row],[BW40_3705]]),"")</f>
        <v/>
      </c>
      <c r="I3245" s="7" t="str">
        <f>IF(Table1[[#This Row],[Is Data Valid]]=TRUE,((Table1[[#This Row],[Birthweight (grams)]]*1.1/Table1[[#This Row],[BW_GA]])-1)/(Backend!$B$4/100*Table1[[#This Row],[BW40_3705]]),"")</f>
        <v/>
      </c>
      <c r="J3245" s="7" t="str">
        <f>IF(Table1[[#This Row],[Is Data Valid]]=TRUE,_xlfn.NORM.S.DIST(Table1[[#This Row],[Birthweight Z-Score]],TRUE)*100,"")</f>
        <v/>
      </c>
      <c r="K3245" s="7" t="str">
        <f>IF(Table1[[#This Row],[Is Data Valid]]=TRUE,_xlfn.NORM.S.DIST(Table1[[#This Row],[Birthweight Z-Score (BW-10%)]],TRUE)*100,"")</f>
        <v/>
      </c>
      <c r="L3245" s="7" t="str">
        <f>IF(Table1[[#This Row],[Is Data Valid]]=TRUE,_xlfn.NORM.S.DIST(Table1[[#This Row],[Birthweight Z-Score (BW+10%)]],TRUE)*100,"")</f>
        <v/>
      </c>
    </row>
    <row r="3246" spans="1:12" x14ac:dyDescent="0.35">
      <c r="A3246" s="3"/>
      <c r="B3246" s="2"/>
      <c r="C3246" s="2"/>
      <c r="D3246" s="2" t="b">
        <f>IF(AND(NOT(ISBLANK(Table1[[#This Row],[Fetal Sex (Male, Female or Unknown)]])),ISNUMBER(Table1[[#This Row],[Birthweight (grams)]]),ISNUMBER(Table1[[#This Row],[Gestation (days)]])),TRUE,FALSE)</f>
        <v>0</v>
      </c>
      <c r="E3246" s="2" t="str">
        <f>IF(Table1[[#This Row],[Is Data Valid]]=TRUE,IF(Table1[[#This Row],[Fetal Sex (Male, Female or Unknown)]]="Male",Backend!$C$6,IF(Table1[[#This Row],[Fetal Sex (Male, Female or Unknown)]]="Female",Backend!$C$7,IF(Table1[[#This Row],[Fetal Sex (Male, Female or Unknown)]]="Unknown",Backend!$C$8,"Error"))),"")</f>
        <v/>
      </c>
      <c r="F3246" s="8" t="str">
        <f>IF(Table1[[#This Row],[Is Data Valid]]=TRUE,EXP(0.578+0.332*((Table1[[#This Row],[Gestation (days)]]+0.5)/7)-0.00354*((Table1[[#This Row],[Gestation (days)]]+0.5)/7)^2)*Table1[[#This Row],[BW40_3705]],"")</f>
        <v/>
      </c>
      <c r="G3246" s="2" t="str">
        <f>IF(Table1[[#This Row],[Is Data Valid]]=TRUE,((Table1[[#This Row],[Birthweight (grams)]]/Table1[[#This Row],[BW_GA]])-1)/(Backend!$B$4/100*Table1[[#This Row],[BW40_3705]]),"")</f>
        <v/>
      </c>
      <c r="H3246" s="7" t="str">
        <f>IF(Table1[[#This Row],[Is Data Valid]]=TRUE,((Table1[[#This Row],[Birthweight (grams)]]*0.9/Table1[[#This Row],[BW_GA]])-1)/(Backend!$B$4/100*Table1[[#This Row],[BW40_3705]]),"")</f>
        <v/>
      </c>
      <c r="I3246" s="7" t="str">
        <f>IF(Table1[[#This Row],[Is Data Valid]]=TRUE,((Table1[[#This Row],[Birthweight (grams)]]*1.1/Table1[[#This Row],[BW_GA]])-1)/(Backend!$B$4/100*Table1[[#This Row],[BW40_3705]]),"")</f>
        <v/>
      </c>
      <c r="J3246" s="7" t="str">
        <f>IF(Table1[[#This Row],[Is Data Valid]]=TRUE,_xlfn.NORM.S.DIST(Table1[[#This Row],[Birthweight Z-Score]],TRUE)*100,"")</f>
        <v/>
      </c>
      <c r="K3246" s="7" t="str">
        <f>IF(Table1[[#This Row],[Is Data Valid]]=TRUE,_xlfn.NORM.S.DIST(Table1[[#This Row],[Birthweight Z-Score (BW-10%)]],TRUE)*100,"")</f>
        <v/>
      </c>
      <c r="L3246" s="7" t="str">
        <f>IF(Table1[[#This Row],[Is Data Valid]]=TRUE,_xlfn.NORM.S.DIST(Table1[[#This Row],[Birthweight Z-Score (BW+10%)]],TRUE)*100,"")</f>
        <v/>
      </c>
    </row>
    <row r="3247" spans="1:12" x14ac:dyDescent="0.35">
      <c r="A3247" s="3"/>
      <c r="B3247" s="2"/>
      <c r="C3247" s="2"/>
      <c r="D3247" s="2" t="b">
        <f>IF(AND(NOT(ISBLANK(Table1[[#This Row],[Fetal Sex (Male, Female or Unknown)]])),ISNUMBER(Table1[[#This Row],[Birthweight (grams)]]),ISNUMBER(Table1[[#This Row],[Gestation (days)]])),TRUE,FALSE)</f>
        <v>0</v>
      </c>
      <c r="E3247" s="2" t="str">
        <f>IF(Table1[[#This Row],[Is Data Valid]]=TRUE,IF(Table1[[#This Row],[Fetal Sex (Male, Female or Unknown)]]="Male",Backend!$C$6,IF(Table1[[#This Row],[Fetal Sex (Male, Female or Unknown)]]="Female",Backend!$C$7,IF(Table1[[#This Row],[Fetal Sex (Male, Female or Unknown)]]="Unknown",Backend!$C$8,"Error"))),"")</f>
        <v/>
      </c>
      <c r="F3247" s="8" t="str">
        <f>IF(Table1[[#This Row],[Is Data Valid]]=TRUE,EXP(0.578+0.332*((Table1[[#This Row],[Gestation (days)]]+0.5)/7)-0.00354*((Table1[[#This Row],[Gestation (days)]]+0.5)/7)^2)*Table1[[#This Row],[BW40_3705]],"")</f>
        <v/>
      </c>
      <c r="G3247" s="2" t="str">
        <f>IF(Table1[[#This Row],[Is Data Valid]]=TRUE,((Table1[[#This Row],[Birthweight (grams)]]/Table1[[#This Row],[BW_GA]])-1)/(Backend!$B$4/100*Table1[[#This Row],[BW40_3705]]),"")</f>
        <v/>
      </c>
      <c r="H3247" s="7" t="str">
        <f>IF(Table1[[#This Row],[Is Data Valid]]=TRUE,((Table1[[#This Row],[Birthweight (grams)]]*0.9/Table1[[#This Row],[BW_GA]])-1)/(Backend!$B$4/100*Table1[[#This Row],[BW40_3705]]),"")</f>
        <v/>
      </c>
      <c r="I3247" s="7" t="str">
        <f>IF(Table1[[#This Row],[Is Data Valid]]=TRUE,((Table1[[#This Row],[Birthweight (grams)]]*1.1/Table1[[#This Row],[BW_GA]])-1)/(Backend!$B$4/100*Table1[[#This Row],[BW40_3705]]),"")</f>
        <v/>
      </c>
      <c r="J3247" s="7" t="str">
        <f>IF(Table1[[#This Row],[Is Data Valid]]=TRUE,_xlfn.NORM.S.DIST(Table1[[#This Row],[Birthweight Z-Score]],TRUE)*100,"")</f>
        <v/>
      </c>
      <c r="K3247" s="7" t="str">
        <f>IF(Table1[[#This Row],[Is Data Valid]]=TRUE,_xlfn.NORM.S.DIST(Table1[[#This Row],[Birthweight Z-Score (BW-10%)]],TRUE)*100,"")</f>
        <v/>
      </c>
      <c r="L3247" s="7" t="str">
        <f>IF(Table1[[#This Row],[Is Data Valid]]=TRUE,_xlfn.NORM.S.DIST(Table1[[#This Row],[Birthweight Z-Score (BW+10%)]],TRUE)*100,"")</f>
        <v/>
      </c>
    </row>
    <row r="3248" spans="1:12" x14ac:dyDescent="0.35">
      <c r="A3248" s="3"/>
      <c r="B3248" s="2"/>
      <c r="C3248" s="2"/>
      <c r="D3248" s="2" t="b">
        <f>IF(AND(NOT(ISBLANK(Table1[[#This Row],[Fetal Sex (Male, Female or Unknown)]])),ISNUMBER(Table1[[#This Row],[Birthweight (grams)]]),ISNUMBER(Table1[[#This Row],[Gestation (days)]])),TRUE,FALSE)</f>
        <v>0</v>
      </c>
      <c r="E3248" s="2" t="str">
        <f>IF(Table1[[#This Row],[Is Data Valid]]=TRUE,IF(Table1[[#This Row],[Fetal Sex (Male, Female or Unknown)]]="Male",Backend!$C$6,IF(Table1[[#This Row],[Fetal Sex (Male, Female or Unknown)]]="Female",Backend!$C$7,IF(Table1[[#This Row],[Fetal Sex (Male, Female or Unknown)]]="Unknown",Backend!$C$8,"Error"))),"")</f>
        <v/>
      </c>
      <c r="F3248" s="8" t="str">
        <f>IF(Table1[[#This Row],[Is Data Valid]]=TRUE,EXP(0.578+0.332*((Table1[[#This Row],[Gestation (days)]]+0.5)/7)-0.00354*((Table1[[#This Row],[Gestation (days)]]+0.5)/7)^2)*Table1[[#This Row],[BW40_3705]],"")</f>
        <v/>
      </c>
      <c r="G3248" s="2" t="str">
        <f>IF(Table1[[#This Row],[Is Data Valid]]=TRUE,((Table1[[#This Row],[Birthweight (grams)]]/Table1[[#This Row],[BW_GA]])-1)/(Backend!$B$4/100*Table1[[#This Row],[BW40_3705]]),"")</f>
        <v/>
      </c>
      <c r="H3248" s="7" t="str">
        <f>IF(Table1[[#This Row],[Is Data Valid]]=TRUE,((Table1[[#This Row],[Birthweight (grams)]]*0.9/Table1[[#This Row],[BW_GA]])-1)/(Backend!$B$4/100*Table1[[#This Row],[BW40_3705]]),"")</f>
        <v/>
      </c>
      <c r="I3248" s="7" t="str">
        <f>IF(Table1[[#This Row],[Is Data Valid]]=TRUE,((Table1[[#This Row],[Birthweight (grams)]]*1.1/Table1[[#This Row],[BW_GA]])-1)/(Backend!$B$4/100*Table1[[#This Row],[BW40_3705]]),"")</f>
        <v/>
      </c>
      <c r="J3248" s="7" t="str">
        <f>IF(Table1[[#This Row],[Is Data Valid]]=TRUE,_xlfn.NORM.S.DIST(Table1[[#This Row],[Birthweight Z-Score]],TRUE)*100,"")</f>
        <v/>
      </c>
      <c r="K3248" s="7" t="str">
        <f>IF(Table1[[#This Row],[Is Data Valid]]=TRUE,_xlfn.NORM.S.DIST(Table1[[#This Row],[Birthweight Z-Score (BW-10%)]],TRUE)*100,"")</f>
        <v/>
      </c>
      <c r="L3248" s="7" t="str">
        <f>IF(Table1[[#This Row],[Is Data Valid]]=TRUE,_xlfn.NORM.S.DIST(Table1[[#This Row],[Birthweight Z-Score (BW+10%)]],TRUE)*100,"")</f>
        <v/>
      </c>
    </row>
    <row r="3249" spans="1:12" x14ac:dyDescent="0.35">
      <c r="A3249" s="3"/>
      <c r="B3249" s="2"/>
      <c r="C3249" s="2"/>
      <c r="D3249" s="2" t="b">
        <f>IF(AND(NOT(ISBLANK(Table1[[#This Row],[Fetal Sex (Male, Female or Unknown)]])),ISNUMBER(Table1[[#This Row],[Birthweight (grams)]]),ISNUMBER(Table1[[#This Row],[Gestation (days)]])),TRUE,FALSE)</f>
        <v>0</v>
      </c>
      <c r="E3249" s="2" t="str">
        <f>IF(Table1[[#This Row],[Is Data Valid]]=TRUE,IF(Table1[[#This Row],[Fetal Sex (Male, Female or Unknown)]]="Male",Backend!$C$6,IF(Table1[[#This Row],[Fetal Sex (Male, Female or Unknown)]]="Female",Backend!$C$7,IF(Table1[[#This Row],[Fetal Sex (Male, Female or Unknown)]]="Unknown",Backend!$C$8,"Error"))),"")</f>
        <v/>
      </c>
      <c r="F3249" s="8" t="str">
        <f>IF(Table1[[#This Row],[Is Data Valid]]=TRUE,EXP(0.578+0.332*((Table1[[#This Row],[Gestation (days)]]+0.5)/7)-0.00354*((Table1[[#This Row],[Gestation (days)]]+0.5)/7)^2)*Table1[[#This Row],[BW40_3705]],"")</f>
        <v/>
      </c>
      <c r="G3249" s="2" t="str">
        <f>IF(Table1[[#This Row],[Is Data Valid]]=TRUE,((Table1[[#This Row],[Birthweight (grams)]]/Table1[[#This Row],[BW_GA]])-1)/(Backend!$B$4/100*Table1[[#This Row],[BW40_3705]]),"")</f>
        <v/>
      </c>
      <c r="H3249" s="7" t="str">
        <f>IF(Table1[[#This Row],[Is Data Valid]]=TRUE,((Table1[[#This Row],[Birthweight (grams)]]*0.9/Table1[[#This Row],[BW_GA]])-1)/(Backend!$B$4/100*Table1[[#This Row],[BW40_3705]]),"")</f>
        <v/>
      </c>
      <c r="I3249" s="7" t="str">
        <f>IF(Table1[[#This Row],[Is Data Valid]]=TRUE,((Table1[[#This Row],[Birthweight (grams)]]*1.1/Table1[[#This Row],[BW_GA]])-1)/(Backend!$B$4/100*Table1[[#This Row],[BW40_3705]]),"")</f>
        <v/>
      </c>
      <c r="J3249" s="7" t="str">
        <f>IF(Table1[[#This Row],[Is Data Valid]]=TRUE,_xlfn.NORM.S.DIST(Table1[[#This Row],[Birthweight Z-Score]],TRUE)*100,"")</f>
        <v/>
      </c>
      <c r="K3249" s="7" t="str">
        <f>IF(Table1[[#This Row],[Is Data Valid]]=TRUE,_xlfn.NORM.S.DIST(Table1[[#This Row],[Birthweight Z-Score (BW-10%)]],TRUE)*100,"")</f>
        <v/>
      </c>
      <c r="L3249" s="7" t="str">
        <f>IF(Table1[[#This Row],[Is Data Valid]]=TRUE,_xlfn.NORM.S.DIST(Table1[[#This Row],[Birthweight Z-Score (BW+10%)]],TRUE)*100,"")</f>
        <v/>
      </c>
    </row>
    <row r="3250" spans="1:12" x14ac:dyDescent="0.35">
      <c r="A3250" s="3"/>
      <c r="B3250" s="2"/>
      <c r="C3250" s="2"/>
      <c r="D3250" s="2" t="b">
        <f>IF(AND(NOT(ISBLANK(Table1[[#This Row],[Fetal Sex (Male, Female or Unknown)]])),ISNUMBER(Table1[[#This Row],[Birthweight (grams)]]),ISNUMBER(Table1[[#This Row],[Gestation (days)]])),TRUE,FALSE)</f>
        <v>0</v>
      </c>
      <c r="E3250" s="2" t="str">
        <f>IF(Table1[[#This Row],[Is Data Valid]]=TRUE,IF(Table1[[#This Row],[Fetal Sex (Male, Female or Unknown)]]="Male",Backend!$C$6,IF(Table1[[#This Row],[Fetal Sex (Male, Female or Unknown)]]="Female",Backend!$C$7,IF(Table1[[#This Row],[Fetal Sex (Male, Female or Unknown)]]="Unknown",Backend!$C$8,"Error"))),"")</f>
        <v/>
      </c>
      <c r="F3250" s="8" t="str">
        <f>IF(Table1[[#This Row],[Is Data Valid]]=TRUE,EXP(0.578+0.332*((Table1[[#This Row],[Gestation (days)]]+0.5)/7)-0.00354*((Table1[[#This Row],[Gestation (days)]]+0.5)/7)^2)*Table1[[#This Row],[BW40_3705]],"")</f>
        <v/>
      </c>
      <c r="G3250" s="2" t="str">
        <f>IF(Table1[[#This Row],[Is Data Valid]]=TRUE,((Table1[[#This Row],[Birthweight (grams)]]/Table1[[#This Row],[BW_GA]])-1)/(Backend!$B$4/100*Table1[[#This Row],[BW40_3705]]),"")</f>
        <v/>
      </c>
      <c r="H3250" s="7" t="str">
        <f>IF(Table1[[#This Row],[Is Data Valid]]=TRUE,((Table1[[#This Row],[Birthweight (grams)]]*0.9/Table1[[#This Row],[BW_GA]])-1)/(Backend!$B$4/100*Table1[[#This Row],[BW40_3705]]),"")</f>
        <v/>
      </c>
      <c r="I3250" s="7" t="str">
        <f>IF(Table1[[#This Row],[Is Data Valid]]=TRUE,((Table1[[#This Row],[Birthweight (grams)]]*1.1/Table1[[#This Row],[BW_GA]])-1)/(Backend!$B$4/100*Table1[[#This Row],[BW40_3705]]),"")</f>
        <v/>
      </c>
      <c r="J3250" s="7" t="str">
        <f>IF(Table1[[#This Row],[Is Data Valid]]=TRUE,_xlfn.NORM.S.DIST(Table1[[#This Row],[Birthweight Z-Score]],TRUE)*100,"")</f>
        <v/>
      </c>
      <c r="K3250" s="7" t="str">
        <f>IF(Table1[[#This Row],[Is Data Valid]]=TRUE,_xlfn.NORM.S.DIST(Table1[[#This Row],[Birthweight Z-Score (BW-10%)]],TRUE)*100,"")</f>
        <v/>
      </c>
      <c r="L3250" s="7" t="str">
        <f>IF(Table1[[#This Row],[Is Data Valid]]=TRUE,_xlfn.NORM.S.DIST(Table1[[#This Row],[Birthweight Z-Score (BW+10%)]],TRUE)*100,"")</f>
        <v/>
      </c>
    </row>
    <row r="3251" spans="1:12" x14ac:dyDescent="0.35">
      <c r="A3251" s="3"/>
      <c r="B3251" s="2"/>
      <c r="C3251" s="2"/>
      <c r="D3251" s="2" t="b">
        <f>IF(AND(NOT(ISBLANK(Table1[[#This Row],[Fetal Sex (Male, Female or Unknown)]])),ISNUMBER(Table1[[#This Row],[Birthweight (grams)]]),ISNUMBER(Table1[[#This Row],[Gestation (days)]])),TRUE,FALSE)</f>
        <v>0</v>
      </c>
      <c r="E3251" s="2" t="str">
        <f>IF(Table1[[#This Row],[Is Data Valid]]=TRUE,IF(Table1[[#This Row],[Fetal Sex (Male, Female or Unknown)]]="Male",Backend!$C$6,IF(Table1[[#This Row],[Fetal Sex (Male, Female or Unknown)]]="Female",Backend!$C$7,IF(Table1[[#This Row],[Fetal Sex (Male, Female or Unknown)]]="Unknown",Backend!$C$8,"Error"))),"")</f>
        <v/>
      </c>
      <c r="F3251" s="8" t="str">
        <f>IF(Table1[[#This Row],[Is Data Valid]]=TRUE,EXP(0.578+0.332*((Table1[[#This Row],[Gestation (days)]]+0.5)/7)-0.00354*((Table1[[#This Row],[Gestation (days)]]+0.5)/7)^2)*Table1[[#This Row],[BW40_3705]],"")</f>
        <v/>
      </c>
      <c r="G3251" s="2" t="str">
        <f>IF(Table1[[#This Row],[Is Data Valid]]=TRUE,((Table1[[#This Row],[Birthweight (grams)]]/Table1[[#This Row],[BW_GA]])-1)/(Backend!$B$4/100*Table1[[#This Row],[BW40_3705]]),"")</f>
        <v/>
      </c>
      <c r="H3251" s="7" t="str">
        <f>IF(Table1[[#This Row],[Is Data Valid]]=TRUE,((Table1[[#This Row],[Birthweight (grams)]]*0.9/Table1[[#This Row],[BW_GA]])-1)/(Backend!$B$4/100*Table1[[#This Row],[BW40_3705]]),"")</f>
        <v/>
      </c>
      <c r="I3251" s="7" t="str">
        <f>IF(Table1[[#This Row],[Is Data Valid]]=TRUE,((Table1[[#This Row],[Birthweight (grams)]]*1.1/Table1[[#This Row],[BW_GA]])-1)/(Backend!$B$4/100*Table1[[#This Row],[BW40_3705]]),"")</f>
        <v/>
      </c>
      <c r="J3251" s="7" t="str">
        <f>IF(Table1[[#This Row],[Is Data Valid]]=TRUE,_xlfn.NORM.S.DIST(Table1[[#This Row],[Birthweight Z-Score]],TRUE)*100,"")</f>
        <v/>
      </c>
      <c r="K3251" s="7" t="str">
        <f>IF(Table1[[#This Row],[Is Data Valid]]=TRUE,_xlfn.NORM.S.DIST(Table1[[#This Row],[Birthweight Z-Score (BW-10%)]],TRUE)*100,"")</f>
        <v/>
      </c>
      <c r="L3251" s="7" t="str">
        <f>IF(Table1[[#This Row],[Is Data Valid]]=TRUE,_xlfn.NORM.S.DIST(Table1[[#This Row],[Birthweight Z-Score (BW+10%)]],TRUE)*100,"")</f>
        <v/>
      </c>
    </row>
    <row r="3252" spans="1:12" x14ac:dyDescent="0.35">
      <c r="A3252" s="3"/>
      <c r="B3252" s="2"/>
      <c r="C3252" s="2"/>
      <c r="D3252" s="2" t="b">
        <f>IF(AND(NOT(ISBLANK(Table1[[#This Row],[Fetal Sex (Male, Female or Unknown)]])),ISNUMBER(Table1[[#This Row],[Birthweight (grams)]]),ISNUMBER(Table1[[#This Row],[Gestation (days)]])),TRUE,FALSE)</f>
        <v>0</v>
      </c>
      <c r="E3252" s="2" t="str">
        <f>IF(Table1[[#This Row],[Is Data Valid]]=TRUE,IF(Table1[[#This Row],[Fetal Sex (Male, Female or Unknown)]]="Male",Backend!$C$6,IF(Table1[[#This Row],[Fetal Sex (Male, Female or Unknown)]]="Female",Backend!$C$7,IF(Table1[[#This Row],[Fetal Sex (Male, Female or Unknown)]]="Unknown",Backend!$C$8,"Error"))),"")</f>
        <v/>
      </c>
      <c r="F3252" s="8" t="str">
        <f>IF(Table1[[#This Row],[Is Data Valid]]=TRUE,EXP(0.578+0.332*((Table1[[#This Row],[Gestation (days)]]+0.5)/7)-0.00354*((Table1[[#This Row],[Gestation (days)]]+0.5)/7)^2)*Table1[[#This Row],[BW40_3705]],"")</f>
        <v/>
      </c>
      <c r="G3252" s="2" t="str">
        <f>IF(Table1[[#This Row],[Is Data Valid]]=TRUE,((Table1[[#This Row],[Birthweight (grams)]]/Table1[[#This Row],[BW_GA]])-1)/(Backend!$B$4/100*Table1[[#This Row],[BW40_3705]]),"")</f>
        <v/>
      </c>
      <c r="H3252" s="7" t="str">
        <f>IF(Table1[[#This Row],[Is Data Valid]]=TRUE,((Table1[[#This Row],[Birthweight (grams)]]*0.9/Table1[[#This Row],[BW_GA]])-1)/(Backend!$B$4/100*Table1[[#This Row],[BW40_3705]]),"")</f>
        <v/>
      </c>
      <c r="I3252" s="7" t="str">
        <f>IF(Table1[[#This Row],[Is Data Valid]]=TRUE,((Table1[[#This Row],[Birthweight (grams)]]*1.1/Table1[[#This Row],[BW_GA]])-1)/(Backend!$B$4/100*Table1[[#This Row],[BW40_3705]]),"")</f>
        <v/>
      </c>
      <c r="J3252" s="7" t="str">
        <f>IF(Table1[[#This Row],[Is Data Valid]]=TRUE,_xlfn.NORM.S.DIST(Table1[[#This Row],[Birthweight Z-Score]],TRUE)*100,"")</f>
        <v/>
      </c>
      <c r="K3252" s="7" t="str">
        <f>IF(Table1[[#This Row],[Is Data Valid]]=TRUE,_xlfn.NORM.S.DIST(Table1[[#This Row],[Birthweight Z-Score (BW-10%)]],TRUE)*100,"")</f>
        <v/>
      </c>
      <c r="L3252" s="7" t="str">
        <f>IF(Table1[[#This Row],[Is Data Valid]]=TRUE,_xlfn.NORM.S.DIST(Table1[[#This Row],[Birthweight Z-Score (BW+10%)]],TRUE)*100,"")</f>
        <v/>
      </c>
    </row>
    <row r="3253" spans="1:12" x14ac:dyDescent="0.35">
      <c r="A3253" s="3"/>
      <c r="B3253" s="2"/>
      <c r="C3253" s="2"/>
      <c r="D3253" s="2" t="b">
        <f>IF(AND(NOT(ISBLANK(Table1[[#This Row],[Fetal Sex (Male, Female or Unknown)]])),ISNUMBER(Table1[[#This Row],[Birthweight (grams)]]),ISNUMBER(Table1[[#This Row],[Gestation (days)]])),TRUE,FALSE)</f>
        <v>0</v>
      </c>
      <c r="E3253" s="2" t="str">
        <f>IF(Table1[[#This Row],[Is Data Valid]]=TRUE,IF(Table1[[#This Row],[Fetal Sex (Male, Female or Unknown)]]="Male",Backend!$C$6,IF(Table1[[#This Row],[Fetal Sex (Male, Female or Unknown)]]="Female",Backend!$C$7,IF(Table1[[#This Row],[Fetal Sex (Male, Female or Unknown)]]="Unknown",Backend!$C$8,"Error"))),"")</f>
        <v/>
      </c>
      <c r="F3253" s="8" t="str">
        <f>IF(Table1[[#This Row],[Is Data Valid]]=TRUE,EXP(0.578+0.332*((Table1[[#This Row],[Gestation (days)]]+0.5)/7)-0.00354*((Table1[[#This Row],[Gestation (days)]]+0.5)/7)^2)*Table1[[#This Row],[BW40_3705]],"")</f>
        <v/>
      </c>
      <c r="G3253" s="2" t="str">
        <f>IF(Table1[[#This Row],[Is Data Valid]]=TRUE,((Table1[[#This Row],[Birthweight (grams)]]/Table1[[#This Row],[BW_GA]])-1)/(Backend!$B$4/100*Table1[[#This Row],[BW40_3705]]),"")</f>
        <v/>
      </c>
      <c r="H3253" s="7" t="str">
        <f>IF(Table1[[#This Row],[Is Data Valid]]=TRUE,((Table1[[#This Row],[Birthweight (grams)]]*0.9/Table1[[#This Row],[BW_GA]])-1)/(Backend!$B$4/100*Table1[[#This Row],[BW40_3705]]),"")</f>
        <v/>
      </c>
      <c r="I3253" s="7" t="str">
        <f>IF(Table1[[#This Row],[Is Data Valid]]=TRUE,((Table1[[#This Row],[Birthweight (grams)]]*1.1/Table1[[#This Row],[BW_GA]])-1)/(Backend!$B$4/100*Table1[[#This Row],[BW40_3705]]),"")</f>
        <v/>
      </c>
      <c r="J3253" s="7" t="str">
        <f>IF(Table1[[#This Row],[Is Data Valid]]=TRUE,_xlfn.NORM.S.DIST(Table1[[#This Row],[Birthweight Z-Score]],TRUE)*100,"")</f>
        <v/>
      </c>
      <c r="K3253" s="7" t="str">
        <f>IF(Table1[[#This Row],[Is Data Valid]]=TRUE,_xlfn.NORM.S.DIST(Table1[[#This Row],[Birthweight Z-Score (BW-10%)]],TRUE)*100,"")</f>
        <v/>
      </c>
      <c r="L3253" s="7" t="str">
        <f>IF(Table1[[#This Row],[Is Data Valid]]=TRUE,_xlfn.NORM.S.DIST(Table1[[#This Row],[Birthweight Z-Score (BW+10%)]],TRUE)*100,"")</f>
        <v/>
      </c>
    </row>
    <row r="3254" spans="1:12" x14ac:dyDescent="0.35">
      <c r="A3254" s="3"/>
      <c r="B3254" s="2"/>
      <c r="C3254" s="2"/>
      <c r="D3254" s="2" t="b">
        <f>IF(AND(NOT(ISBLANK(Table1[[#This Row],[Fetal Sex (Male, Female or Unknown)]])),ISNUMBER(Table1[[#This Row],[Birthweight (grams)]]),ISNUMBER(Table1[[#This Row],[Gestation (days)]])),TRUE,FALSE)</f>
        <v>0</v>
      </c>
      <c r="E3254" s="2" t="str">
        <f>IF(Table1[[#This Row],[Is Data Valid]]=TRUE,IF(Table1[[#This Row],[Fetal Sex (Male, Female or Unknown)]]="Male",Backend!$C$6,IF(Table1[[#This Row],[Fetal Sex (Male, Female or Unknown)]]="Female",Backend!$C$7,IF(Table1[[#This Row],[Fetal Sex (Male, Female or Unknown)]]="Unknown",Backend!$C$8,"Error"))),"")</f>
        <v/>
      </c>
      <c r="F3254" s="8" t="str">
        <f>IF(Table1[[#This Row],[Is Data Valid]]=TRUE,EXP(0.578+0.332*((Table1[[#This Row],[Gestation (days)]]+0.5)/7)-0.00354*((Table1[[#This Row],[Gestation (days)]]+0.5)/7)^2)*Table1[[#This Row],[BW40_3705]],"")</f>
        <v/>
      </c>
      <c r="G3254" s="2" t="str">
        <f>IF(Table1[[#This Row],[Is Data Valid]]=TRUE,((Table1[[#This Row],[Birthweight (grams)]]/Table1[[#This Row],[BW_GA]])-1)/(Backend!$B$4/100*Table1[[#This Row],[BW40_3705]]),"")</f>
        <v/>
      </c>
      <c r="H3254" s="7" t="str">
        <f>IF(Table1[[#This Row],[Is Data Valid]]=TRUE,((Table1[[#This Row],[Birthweight (grams)]]*0.9/Table1[[#This Row],[BW_GA]])-1)/(Backend!$B$4/100*Table1[[#This Row],[BW40_3705]]),"")</f>
        <v/>
      </c>
      <c r="I3254" s="7" t="str">
        <f>IF(Table1[[#This Row],[Is Data Valid]]=TRUE,((Table1[[#This Row],[Birthweight (grams)]]*1.1/Table1[[#This Row],[BW_GA]])-1)/(Backend!$B$4/100*Table1[[#This Row],[BW40_3705]]),"")</f>
        <v/>
      </c>
      <c r="J3254" s="7" t="str">
        <f>IF(Table1[[#This Row],[Is Data Valid]]=TRUE,_xlfn.NORM.S.DIST(Table1[[#This Row],[Birthweight Z-Score]],TRUE)*100,"")</f>
        <v/>
      </c>
      <c r="K3254" s="7" t="str">
        <f>IF(Table1[[#This Row],[Is Data Valid]]=TRUE,_xlfn.NORM.S.DIST(Table1[[#This Row],[Birthweight Z-Score (BW-10%)]],TRUE)*100,"")</f>
        <v/>
      </c>
      <c r="L3254" s="7" t="str">
        <f>IF(Table1[[#This Row],[Is Data Valid]]=TRUE,_xlfn.NORM.S.DIST(Table1[[#This Row],[Birthweight Z-Score (BW+10%)]],TRUE)*100,"")</f>
        <v/>
      </c>
    </row>
    <row r="3255" spans="1:12" x14ac:dyDescent="0.35">
      <c r="A3255" s="3"/>
      <c r="B3255" s="2"/>
      <c r="C3255" s="2"/>
      <c r="D3255" s="2" t="b">
        <f>IF(AND(NOT(ISBLANK(Table1[[#This Row],[Fetal Sex (Male, Female or Unknown)]])),ISNUMBER(Table1[[#This Row],[Birthweight (grams)]]),ISNUMBER(Table1[[#This Row],[Gestation (days)]])),TRUE,FALSE)</f>
        <v>0</v>
      </c>
      <c r="E3255" s="2" t="str">
        <f>IF(Table1[[#This Row],[Is Data Valid]]=TRUE,IF(Table1[[#This Row],[Fetal Sex (Male, Female or Unknown)]]="Male",Backend!$C$6,IF(Table1[[#This Row],[Fetal Sex (Male, Female or Unknown)]]="Female",Backend!$C$7,IF(Table1[[#This Row],[Fetal Sex (Male, Female or Unknown)]]="Unknown",Backend!$C$8,"Error"))),"")</f>
        <v/>
      </c>
      <c r="F3255" s="8" t="str">
        <f>IF(Table1[[#This Row],[Is Data Valid]]=TRUE,EXP(0.578+0.332*((Table1[[#This Row],[Gestation (days)]]+0.5)/7)-0.00354*((Table1[[#This Row],[Gestation (days)]]+0.5)/7)^2)*Table1[[#This Row],[BW40_3705]],"")</f>
        <v/>
      </c>
      <c r="G3255" s="2" t="str">
        <f>IF(Table1[[#This Row],[Is Data Valid]]=TRUE,((Table1[[#This Row],[Birthweight (grams)]]/Table1[[#This Row],[BW_GA]])-1)/(Backend!$B$4/100*Table1[[#This Row],[BW40_3705]]),"")</f>
        <v/>
      </c>
      <c r="H3255" s="7" t="str">
        <f>IF(Table1[[#This Row],[Is Data Valid]]=TRUE,((Table1[[#This Row],[Birthweight (grams)]]*0.9/Table1[[#This Row],[BW_GA]])-1)/(Backend!$B$4/100*Table1[[#This Row],[BW40_3705]]),"")</f>
        <v/>
      </c>
      <c r="I3255" s="7" t="str">
        <f>IF(Table1[[#This Row],[Is Data Valid]]=TRUE,((Table1[[#This Row],[Birthweight (grams)]]*1.1/Table1[[#This Row],[BW_GA]])-1)/(Backend!$B$4/100*Table1[[#This Row],[BW40_3705]]),"")</f>
        <v/>
      </c>
      <c r="J3255" s="7" t="str">
        <f>IF(Table1[[#This Row],[Is Data Valid]]=TRUE,_xlfn.NORM.S.DIST(Table1[[#This Row],[Birthweight Z-Score]],TRUE)*100,"")</f>
        <v/>
      </c>
      <c r="K3255" s="7" t="str">
        <f>IF(Table1[[#This Row],[Is Data Valid]]=TRUE,_xlfn.NORM.S.DIST(Table1[[#This Row],[Birthweight Z-Score (BW-10%)]],TRUE)*100,"")</f>
        <v/>
      </c>
      <c r="L3255" s="7" t="str">
        <f>IF(Table1[[#This Row],[Is Data Valid]]=TRUE,_xlfn.NORM.S.DIST(Table1[[#This Row],[Birthweight Z-Score (BW+10%)]],TRUE)*100,"")</f>
        <v/>
      </c>
    </row>
    <row r="3256" spans="1:12" x14ac:dyDescent="0.35">
      <c r="A3256" s="3"/>
      <c r="B3256" s="2"/>
      <c r="C3256" s="2"/>
      <c r="D3256" s="2" t="b">
        <f>IF(AND(NOT(ISBLANK(Table1[[#This Row],[Fetal Sex (Male, Female or Unknown)]])),ISNUMBER(Table1[[#This Row],[Birthweight (grams)]]),ISNUMBER(Table1[[#This Row],[Gestation (days)]])),TRUE,FALSE)</f>
        <v>0</v>
      </c>
      <c r="E3256" s="2" t="str">
        <f>IF(Table1[[#This Row],[Is Data Valid]]=TRUE,IF(Table1[[#This Row],[Fetal Sex (Male, Female or Unknown)]]="Male",Backend!$C$6,IF(Table1[[#This Row],[Fetal Sex (Male, Female or Unknown)]]="Female",Backend!$C$7,IF(Table1[[#This Row],[Fetal Sex (Male, Female or Unknown)]]="Unknown",Backend!$C$8,"Error"))),"")</f>
        <v/>
      </c>
      <c r="F3256" s="8" t="str">
        <f>IF(Table1[[#This Row],[Is Data Valid]]=TRUE,EXP(0.578+0.332*((Table1[[#This Row],[Gestation (days)]]+0.5)/7)-0.00354*((Table1[[#This Row],[Gestation (days)]]+0.5)/7)^2)*Table1[[#This Row],[BW40_3705]],"")</f>
        <v/>
      </c>
      <c r="G3256" s="2" t="str">
        <f>IF(Table1[[#This Row],[Is Data Valid]]=TRUE,((Table1[[#This Row],[Birthweight (grams)]]/Table1[[#This Row],[BW_GA]])-1)/(Backend!$B$4/100*Table1[[#This Row],[BW40_3705]]),"")</f>
        <v/>
      </c>
      <c r="H3256" s="7" t="str">
        <f>IF(Table1[[#This Row],[Is Data Valid]]=TRUE,((Table1[[#This Row],[Birthweight (grams)]]*0.9/Table1[[#This Row],[BW_GA]])-1)/(Backend!$B$4/100*Table1[[#This Row],[BW40_3705]]),"")</f>
        <v/>
      </c>
      <c r="I3256" s="7" t="str">
        <f>IF(Table1[[#This Row],[Is Data Valid]]=TRUE,((Table1[[#This Row],[Birthweight (grams)]]*1.1/Table1[[#This Row],[BW_GA]])-1)/(Backend!$B$4/100*Table1[[#This Row],[BW40_3705]]),"")</f>
        <v/>
      </c>
      <c r="J3256" s="7" t="str">
        <f>IF(Table1[[#This Row],[Is Data Valid]]=TRUE,_xlfn.NORM.S.DIST(Table1[[#This Row],[Birthweight Z-Score]],TRUE)*100,"")</f>
        <v/>
      </c>
      <c r="K3256" s="7" t="str">
        <f>IF(Table1[[#This Row],[Is Data Valid]]=TRUE,_xlfn.NORM.S.DIST(Table1[[#This Row],[Birthweight Z-Score (BW-10%)]],TRUE)*100,"")</f>
        <v/>
      </c>
      <c r="L3256" s="7" t="str">
        <f>IF(Table1[[#This Row],[Is Data Valid]]=TRUE,_xlfn.NORM.S.DIST(Table1[[#This Row],[Birthweight Z-Score (BW+10%)]],TRUE)*100,"")</f>
        <v/>
      </c>
    </row>
    <row r="3257" spans="1:12" x14ac:dyDescent="0.35">
      <c r="A3257" s="3"/>
      <c r="B3257" s="2"/>
      <c r="C3257" s="2"/>
      <c r="D3257" s="2" t="b">
        <f>IF(AND(NOT(ISBLANK(Table1[[#This Row],[Fetal Sex (Male, Female or Unknown)]])),ISNUMBER(Table1[[#This Row],[Birthweight (grams)]]),ISNUMBER(Table1[[#This Row],[Gestation (days)]])),TRUE,FALSE)</f>
        <v>0</v>
      </c>
      <c r="E3257" s="2" t="str">
        <f>IF(Table1[[#This Row],[Is Data Valid]]=TRUE,IF(Table1[[#This Row],[Fetal Sex (Male, Female or Unknown)]]="Male",Backend!$C$6,IF(Table1[[#This Row],[Fetal Sex (Male, Female or Unknown)]]="Female",Backend!$C$7,IF(Table1[[#This Row],[Fetal Sex (Male, Female or Unknown)]]="Unknown",Backend!$C$8,"Error"))),"")</f>
        <v/>
      </c>
      <c r="F3257" s="8" t="str">
        <f>IF(Table1[[#This Row],[Is Data Valid]]=TRUE,EXP(0.578+0.332*((Table1[[#This Row],[Gestation (days)]]+0.5)/7)-0.00354*((Table1[[#This Row],[Gestation (days)]]+0.5)/7)^2)*Table1[[#This Row],[BW40_3705]],"")</f>
        <v/>
      </c>
      <c r="G3257" s="2" t="str">
        <f>IF(Table1[[#This Row],[Is Data Valid]]=TRUE,((Table1[[#This Row],[Birthweight (grams)]]/Table1[[#This Row],[BW_GA]])-1)/(Backend!$B$4/100*Table1[[#This Row],[BW40_3705]]),"")</f>
        <v/>
      </c>
      <c r="H3257" s="7" t="str">
        <f>IF(Table1[[#This Row],[Is Data Valid]]=TRUE,((Table1[[#This Row],[Birthweight (grams)]]*0.9/Table1[[#This Row],[BW_GA]])-1)/(Backend!$B$4/100*Table1[[#This Row],[BW40_3705]]),"")</f>
        <v/>
      </c>
      <c r="I3257" s="7" t="str">
        <f>IF(Table1[[#This Row],[Is Data Valid]]=TRUE,((Table1[[#This Row],[Birthweight (grams)]]*1.1/Table1[[#This Row],[BW_GA]])-1)/(Backend!$B$4/100*Table1[[#This Row],[BW40_3705]]),"")</f>
        <v/>
      </c>
      <c r="J3257" s="7" t="str">
        <f>IF(Table1[[#This Row],[Is Data Valid]]=TRUE,_xlfn.NORM.S.DIST(Table1[[#This Row],[Birthweight Z-Score]],TRUE)*100,"")</f>
        <v/>
      </c>
      <c r="K3257" s="7" t="str">
        <f>IF(Table1[[#This Row],[Is Data Valid]]=TRUE,_xlfn.NORM.S.DIST(Table1[[#This Row],[Birthweight Z-Score (BW-10%)]],TRUE)*100,"")</f>
        <v/>
      </c>
      <c r="L3257" s="7" t="str">
        <f>IF(Table1[[#This Row],[Is Data Valid]]=TRUE,_xlfn.NORM.S.DIST(Table1[[#This Row],[Birthweight Z-Score (BW+10%)]],TRUE)*100,"")</f>
        <v/>
      </c>
    </row>
    <row r="3258" spans="1:12" x14ac:dyDescent="0.35">
      <c r="A3258" s="3"/>
      <c r="B3258" s="2"/>
      <c r="C3258" s="2"/>
      <c r="D3258" s="2" t="b">
        <f>IF(AND(NOT(ISBLANK(Table1[[#This Row],[Fetal Sex (Male, Female or Unknown)]])),ISNUMBER(Table1[[#This Row],[Birthweight (grams)]]),ISNUMBER(Table1[[#This Row],[Gestation (days)]])),TRUE,FALSE)</f>
        <v>0</v>
      </c>
      <c r="E3258" s="2" t="str">
        <f>IF(Table1[[#This Row],[Is Data Valid]]=TRUE,IF(Table1[[#This Row],[Fetal Sex (Male, Female or Unknown)]]="Male",Backend!$C$6,IF(Table1[[#This Row],[Fetal Sex (Male, Female or Unknown)]]="Female",Backend!$C$7,IF(Table1[[#This Row],[Fetal Sex (Male, Female or Unknown)]]="Unknown",Backend!$C$8,"Error"))),"")</f>
        <v/>
      </c>
      <c r="F3258" s="8" t="str">
        <f>IF(Table1[[#This Row],[Is Data Valid]]=TRUE,EXP(0.578+0.332*((Table1[[#This Row],[Gestation (days)]]+0.5)/7)-0.00354*((Table1[[#This Row],[Gestation (days)]]+0.5)/7)^2)*Table1[[#This Row],[BW40_3705]],"")</f>
        <v/>
      </c>
      <c r="G3258" s="2" t="str">
        <f>IF(Table1[[#This Row],[Is Data Valid]]=TRUE,((Table1[[#This Row],[Birthweight (grams)]]/Table1[[#This Row],[BW_GA]])-1)/(Backend!$B$4/100*Table1[[#This Row],[BW40_3705]]),"")</f>
        <v/>
      </c>
      <c r="H3258" s="7" t="str">
        <f>IF(Table1[[#This Row],[Is Data Valid]]=TRUE,((Table1[[#This Row],[Birthweight (grams)]]*0.9/Table1[[#This Row],[BW_GA]])-1)/(Backend!$B$4/100*Table1[[#This Row],[BW40_3705]]),"")</f>
        <v/>
      </c>
      <c r="I3258" s="7" t="str">
        <f>IF(Table1[[#This Row],[Is Data Valid]]=TRUE,((Table1[[#This Row],[Birthweight (grams)]]*1.1/Table1[[#This Row],[BW_GA]])-1)/(Backend!$B$4/100*Table1[[#This Row],[BW40_3705]]),"")</f>
        <v/>
      </c>
      <c r="J3258" s="7" t="str">
        <f>IF(Table1[[#This Row],[Is Data Valid]]=TRUE,_xlfn.NORM.S.DIST(Table1[[#This Row],[Birthweight Z-Score]],TRUE)*100,"")</f>
        <v/>
      </c>
      <c r="K3258" s="7" t="str">
        <f>IF(Table1[[#This Row],[Is Data Valid]]=TRUE,_xlfn.NORM.S.DIST(Table1[[#This Row],[Birthweight Z-Score (BW-10%)]],TRUE)*100,"")</f>
        <v/>
      </c>
      <c r="L3258" s="7" t="str">
        <f>IF(Table1[[#This Row],[Is Data Valid]]=TRUE,_xlfn.NORM.S.DIST(Table1[[#This Row],[Birthweight Z-Score (BW+10%)]],TRUE)*100,"")</f>
        <v/>
      </c>
    </row>
    <row r="3259" spans="1:12" x14ac:dyDescent="0.35">
      <c r="A3259" s="3"/>
      <c r="B3259" s="2"/>
      <c r="C3259" s="2"/>
      <c r="D3259" s="2" t="b">
        <f>IF(AND(NOT(ISBLANK(Table1[[#This Row],[Fetal Sex (Male, Female or Unknown)]])),ISNUMBER(Table1[[#This Row],[Birthweight (grams)]]),ISNUMBER(Table1[[#This Row],[Gestation (days)]])),TRUE,FALSE)</f>
        <v>0</v>
      </c>
      <c r="E3259" s="2" t="str">
        <f>IF(Table1[[#This Row],[Is Data Valid]]=TRUE,IF(Table1[[#This Row],[Fetal Sex (Male, Female or Unknown)]]="Male",Backend!$C$6,IF(Table1[[#This Row],[Fetal Sex (Male, Female or Unknown)]]="Female",Backend!$C$7,IF(Table1[[#This Row],[Fetal Sex (Male, Female or Unknown)]]="Unknown",Backend!$C$8,"Error"))),"")</f>
        <v/>
      </c>
      <c r="F3259" s="8" t="str">
        <f>IF(Table1[[#This Row],[Is Data Valid]]=TRUE,EXP(0.578+0.332*((Table1[[#This Row],[Gestation (days)]]+0.5)/7)-0.00354*((Table1[[#This Row],[Gestation (days)]]+0.5)/7)^2)*Table1[[#This Row],[BW40_3705]],"")</f>
        <v/>
      </c>
      <c r="G3259" s="2" t="str">
        <f>IF(Table1[[#This Row],[Is Data Valid]]=TRUE,((Table1[[#This Row],[Birthweight (grams)]]/Table1[[#This Row],[BW_GA]])-1)/(Backend!$B$4/100*Table1[[#This Row],[BW40_3705]]),"")</f>
        <v/>
      </c>
      <c r="H3259" s="7" t="str">
        <f>IF(Table1[[#This Row],[Is Data Valid]]=TRUE,((Table1[[#This Row],[Birthweight (grams)]]*0.9/Table1[[#This Row],[BW_GA]])-1)/(Backend!$B$4/100*Table1[[#This Row],[BW40_3705]]),"")</f>
        <v/>
      </c>
      <c r="I3259" s="7" t="str">
        <f>IF(Table1[[#This Row],[Is Data Valid]]=TRUE,((Table1[[#This Row],[Birthweight (grams)]]*1.1/Table1[[#This Row],[BW_GA]])-1)/(Backend!$B$4/100*Table1[[#This Row],[BW40_3705]]),"")</f>
        <v/>
      </c>
      <c r="J3259" s="7" t="str">
        <f>IF(Table1[[#This Row],[Is Data Valid]]=TRUE,_xlfn.NORM.S.DIST(Table1[[#This Row],[Birthweight Z-Score]],TRUE)*100,"")</f>
        <v/>
      </c>
      <c r="K3259" s="7" t="str">
        <f>IF(Table1[[#This Row],[Is Data Valid]]=TRUE,_xlfn.NORM.S.DIST(Table1[[#This Row],[Birthweight Z-Score (BW-10%)]],TRUE)*100,"")</f>
        <v/>
      </c>
      <c r="L3259" s="7" t="str">
        <f>IF(Table1[[#This Row],[Is Data Valid]]=TRUE,_xlfn.NORM.S.DIST(Table1[[#This Row],[Birthweight Z-Score (BW+10%)]],TRUE)*100,"")</f>
        <v/>
      </c>
    </row>
    <row r="3260" spans="1:12" x14ac:dyDescent="0.35">
      <c r="A3260" s="3"/>
      <c r="B3260" s="2"/>
      <c r="C3260" s="2"/>
      <c r="D3260" s="2" t="b">
        <f>IF(AND(NOT(ISBLANK(Table1[[#This Row],[Fetal Sex (Male, Female or Unknown)]])),ISNUMBER(Table1[[#This Row],[Birthweight (grams)]]),ISNUMBER(Table1[[#This Row],[Gestation (days)]])),TRUE,FALSE)</f>
        <v>0</v>
      </c>
      <c r="E3260" s="2" t="str">
        <f>IF(Table1[[#This Row],[Is Data Valid]]=TRUE,IF(Table1[[#This Row],[Fetal Sex (Male, Female or Unknown)]]="Male",Backend!$C$6,IF(Table1[[#This Row],[Fetal Sex (Male, Female or Unknown)]]="Female",Backend!$C$7,IF(Table1[[#This Row],[Fetal Sex (Male, Female or Unknown)]]="Unknown",Backend!$C$8,"Error"))),"")</f>
        <v/>
      </c>
      <c r="F3260" s="8" t="str">
        <f>IF(Table1[[#This Row],[Is Data Valid]]=TRUE,EXP(0.578+0.332*((Table1[[#This Row],[Gestation (days)]]+0.5)/7)-0.00354*((Table1[[#This Row],[Gestation (days)]]+0.5)/7)^2)*Table1[[#This Row],[BW40_3705]],"")</f>
        <v/>
      </c>
      <c r="G3260" s="2" t="str">
        <f>IF(Table1[[#This Row],[Is Data Valid]]=TRUE,((Table1[[#This Row],[Birthweight (grams)]]/Table1[[#This Row],[BW_GA]])-1)/(Backend!$B$4/100*Table1[[#This Row],[BW40_3705]]),"")</f>
        <v/>
      </c>
      <c r="H3260" s="7" t="str">
        <f>IF(Table1[[#This Row],[Is Data Valid]]=TRUE,((Table1[[#This Row],[Birthweight (grams)]]*0.9/Table1[[#This Row],[BW_GA]])-1)/(Backend!$B$4/100*Table1[[#This Row],[BW40_3705]]),"")</f>
        <v/>
      </c>
      <c r="I3260" s="7" t="str">
        <f>IF(Table1[[#This Row],[Is Data Valid]]=TRUE,((Table1[[#This Row],[Birthweight (grams)]]*1.1/Table1[[#This Row],[BW_GA]])-1)/(Backend!$B$4/100*Table1[[#This Row],[BW40_3705]]),"")</f>
        <v/>
      </c>
      <c r="J3260" s="7" t="str">
        <f>IF(Table1[[#This Row],[Is Data Valid]]=TRUE,_xlfn.NORM.S.DIST(Table1[[#This Row],[Birthweight Z-Score]],TRUE)*100,"")</f>
        <v/>
      </c>
      <c r="K3260" s="7" t="str">
        <f>IF(Table1[[#This Row],[Is Data Valid]]=TRUE,_xlfn.NORM.S.DIST(Table1[[#This Row],[Birthweight Z-Score (BW-10%)]],TRUE)*100,"")</f>
        <v/>
      </c>
      <c r="L3260" s="7" t="str">
        <f>IF(Table1[[#This Row],[Is Data Valid]]=TRUE,_xlfn.NORM.S.DIST(Table1[[#This Row],[Birthweight Z-Score (BW+10%)]],TRUE)*100,"")</f>
        <v/>
      </c>
    </row>
    <row r="3261" spans="1:12" x14ac:dyDescent="0.35">
      <c r="A3261" s="3"/>
      <c r="B3261" s="2"/>
      <c r="C3261" s="2"/>
      <c r="D3261" s="2" t="b">
        <f>IF(AND(NOT(ISBLANK(Table1[[#This Row],[Fetal Sex (Male, Female or Unknown)]])),ISNUMBER(Table1[[#This Row],[Birthweight (grams)]]),ISNUMBER(Table1[[#This Row],[Gestation (days)]])),TRUE,FALSE)</f>
        <v>0</v>
      </c>
      <c r="E3261" s="2" t="str">
        <f>IF(Table1[[#This Row],[Is Data Valid]]=TRUE,IF(Table1[[#This Row],[Fetal Sex (Male, Female or Unknown)]]="Male",Backend!$C$6,IF(Table1[[#This Row],[Fetal Sex (Male, Female or Unknown)]]="Female",Backend!$C$7,IF(Table1[[#This Row],[Fetal Sex (Male, Female or Unknown)]]="Unknown",Backend!$C$8,"Error"))),"")</f>
        <v/>
      </c>
      <c r="F3261" s="8" t="str">
        <f>IF(Table1[[#This Row],[Is Data Valid]]=TRUE,EXP(0.578+0.332*((Table1[[#This Row],[Gestation (days)]]+0.5)/7)-0.00354*((Table1[[#This Row],[Gestation (days)]]+0.5)/7)^2)*Table1[[#This Row],[BW40_3705]],"")</f>
        <v/>
      </c>
      <c r="G3261" s="2" t="str">
        <f>IF(Table1[[#This Row],[Is Data Valid]]=TRUE,((Table1[[#This Row],[Birthweight (grams)]]/Table1[[#This Row],[BW_GA]])-1)/(Backend!$B$4/100*Table1[[#This Row],[BW40_3705]]),"")</f>
        <v/>
      </c>
      <c r="H3261" s="7" t="str">
        <f>IF(Table1[[#This Row],[Is Data Valid]]=TRUE,((Table1[[#This Row],[Birthweight (grams)]]*0.9/Table1[[#This Row],[BW_GA]])-1)/(Backend!$B$4/100*Table1[[#This Row],[BW40_3705]]),"")</f>
        <v/>
      </c>
      <c r="I3261" s="7" t="str">
        <f>IF(Table1[[#This Row],[Is Data Valid]]=TRUE,((Table1[[#This Row],[Birthweight (grams)]]*1.1/Table1[[#This Row],[BW_GA]])-1)/(Backend!$B$4/100*Table1[[#This Row],[BW40_3705]]),"")</f>
        <v/>
      </c>
      <c r="J3261" s="7" t="str">
        <f>IF(Table1[[#This Row],[Is Data Valid]]=TRUE,_xlfn.NORM.S.DIST(Table1[[#This Row],[Birthweight Z-Score]],TRUE)*100,"")</f>
        <v/>
      </c>
      <c r="K3261" s="7" t="str">
        <f>IF(Table1[[#This Row],[Is Data Valid]]=TRUE,_xlfn.NORM.S.DIST(Table1[[#This Row],[Birthweight Z-Score (BW-10%)]],TRUE)*100,"")</f>
        <v/>
      </c>
      <c r="L3261" s="7" t="str">
        <f>IF(Table1[[#This Row],[Is Data Valid]]=TRUE,_xlfn.NORM.S.DIST(Table1[[#This Row],[Birthweight Z-Score (BW+10%)]],TRUE)*100,"")</f>
        <v/>
      </c>
    </row>
    <row r="3262" spans="1:12" x14ac:dyDescent="0.35">
      <c r="A3262" s="3"/>
      <c r="B3262" s="2"/>
      <c r="C3262" s="2"/>
      <c r="D3262" s="2" t="b">
        <f>IF(AND(NOT(ISBLANK(Table1[[#This Row],[Fetal Sex (Male, Female or Unknown)]])),ISNUMBER(Table1[[#This Row],[Birthweight (grams)]]),ISNUMBER(Table1[[#This Row],[Gestation (days)]])),TRUE,FALSE)</f>
        <v>0</v>
      </c>
      <c r="E3262" s="2" t="str">
        <f>IF(Table1[[#This Row],[Is Data Valid]]=TRUE,IF(Table1[[#This Row],[Fetal Sex (Male, Female or Unknown)]]="Male",Backend!$C$6,IF(Table1[[#This Row],[Fetal Sex (Male, Female or Unknown)]]="Female",Backend!$C$7,IF(Table1[[#This Row],[Fetal Sex (Male, Female or Unknown)]]="Unknown",Backend!$C$8,"Error"))),"")</f>
        <v/>
      </c>
      <c r="F3262" s="8" t="str">
        <f>IF(Table1[[#This Row],[Is Data Valid]]=TRUE,EXP(0.578+0.332*((Table1[[#This Row],[Gestation (days)]]+0.5)/7)-0.00354*((Table1[[#This Row],[Gestation (days)]]+0.5)/7)^2)*Table1[[#This Row],[BW40_3705]],"")</f>
        <v/>
      </c>
      <c r="G3262" s="2" t="str">
        <f>IF(Table1[[#This Row],[Is Data Valid]]=TRUE,((Table1[[#This Row],[Birthweight (grams)]]/Table1[[#This Row],[BW_GA]])-1)/(Backend!$B$4/100*Table1[[#This Row],[BW40_3705]]),"")</f>
        <v/>
      </c>
      <c r="H3262" s="7" t="str">
        <f>IF(Table1[[#This Row],[Is Data Valid]]=TRUE,((Table1[[#This Row],[Birthweight (grams)]]*0.9/Table1[[#This Row],[BW_GA]])-1)/(Backend!$B$4/100*Table1[[#This Row],[BW40_3705]]),"")</f>
        <v/>
      </c>
      <c r="I3262" s="7" t="str">
        <f>IF(Table1[[#This Row],[Is Data Valid]]=TRUE,((Table1[[#This Row],[Birthweight (grams)]]*1.1/Table1[[#This Row],[BW_GA]])-1)/(Backend!$B$4/100*Table1[[#This Row],[BW40_3705]]),"")</f>
        <v/>
      </c>
      <c r="J3262" s="7" t="str">
        <f>IF(Table1[[#This Row],[Is Data Valid]]=TRUE,_xlfn.NORM.S.DIST(Table1[[#This Row],[Birthweight Z-Score]],TRUE)*100,"")</f>
        <v/>
      </c>
      <c r="K3262" s="7" t="str">
        <f>IF(Table1[[#This Row],[Is Data Valid]]=TRUE,_xlfn.NORM.S.DIST(Table1[[#This Row],[Birthweight Z-Score (BW-10%)]],TRUE)*100,"")</f>
        <v/>
      </c>
      <c r="L3262" s="7" t="str">
        <f>IF(Table1[[#This Row],[Is Data Valid]]=TRUE,_xlfn.NORM.S.DIST(Table1[[#This Row],[Birthweight Z-Score (BW+10%)]],TRUE)*100,"")</f>
        <v/>
      </c>
    </row>
    <row r="3263" spans="1:12" x14ac:dyDescent="0.35">
      <c r="A3263" s="3"/>
      <c r="B3263" s="2"/>
      <c r="C3263" s="2"/>
      <c r="D3263" s="2" t="b">
        <f>IF(AND(NOT(ISBLANK(Table1[[#This Row],[Fetal Sex (Male, Female or Unknown)]])),ISNUMBER(Table1[[#This Row],[Birthweight (grams)]]),ISNUMBER(Table1[[#This Row],[Gestation (days)]])),TRUE,FALSE)</f>
        <v>0</v>
      </c>
      <c r="E3263" s="2" t="str">
        <f>IF(Table1[[#This Row],[Is Data Valid]]=TRUE,IF(Table1[[#This Row],[Fetal Sex (Male, Female or Unknown)]]="Male",Backend!$C$6,IF(Table1[[#This Row],[Fetal Sex (Male, Female or Unknown)]]="Female",Backend!$C$7,IF(Table1[[#This Row],[Fetal Sex (Male, Female or Unknown)]]="Unknown",Backend!$C$8,"Error"))),"")</f>
        <v/>
      </c>
      <c r="F3263" s="8" t="str">
        <f>IF(Table1[[#This Row],[Is Data Valid]]=TRUE,EXP(0.578+0.332*((Table1[[#This Row],[Gestation (days)]]+0.5)/7)-0.00354*((Table1[[#This Row],[Gestation (days)]]+0.5)/7)^2)*Table1[[#This Row],[BW40_3705]],"")</f>
        <v/>
      </c>
      <c r="G3263" s="2" t="str">
        <f>IF(Table1[[#This Row],[Is Data Valid]]=TRUE,((Table1[[#This Row],[Birthweight (grams)]]/Table1[[#This Row],[BW_GA]])-1)/(Backend!$B$4/100*Table1[[#This Row],[BW40_3705]]),"")</f>
        <v/>
      </c>
      <c r="H3263" s="7" t="str">
        <f>IF(Table1[[#This Row],[Is Data Valid]]=TRUE,((Table1[[#This Row],[Birthweight (grams)]]*0.9/Table1[[#This Row],[BW_GA]])-1)/(Backend!$B$4/100*Table1[[#This Row],[BW40_3705]]),"")</f>
        <v/>
      </c>
      <c r="I3263" s="7" t="str">
        <f>IF(Table1[[#This Row],[Is Data Valid]]=TRUE,((Table1[[#This Row],[Birthweight (grams)]]*1.1/Table1[[#This Row],[BW_GA]])-1)/(Backend!$B$4/100*Table1[[#This Row],[BW40_3705]]),"")</f>
        <v/>
      </c>
      <c r="J3263" s="7" t="str">
        <f>IF(Table1[[#This Row],[Is Data Valid]]=TRUE,_xlfn.NORM.S.DIST(Table1[[#This Row],[Birthweight Z-Score]],TRUE)*100,"")</f>
        <v/>
      </c>
      <c r="K3263" s="7" t="str">
        <f>IF(Table1[[#This Row],[Is Data Valid]]=TRUE,_xlfn.NORM.S.DIST(Table1[[#This Row],[Birthweight Z-Score (BW-10%)]],TRUE)*100,"")</f>
        <v/>
      </c>
      <c r="L3263" s="7" t="str">
        <f>IF(Table1[[#This Row],[Is Data Valid]]=TRUE,_xlfn.NORM.S.DIST(Table1[[#This Row],[Birthweight Z-Score (BW+10%)]],TRUE)*100,"")</f>
        <v/>
      </c>
    </row>
    <row r="3264" spans="1:12" x14ac:dyDescent="0.35">
      <c r="A3264" s="3"/>
      <c r="B3264" s="2"/>
      <c r="C3264" s="2"/>
      <c r="D3264" s="2" t="b">
        <f>IF(AND(NOT(ISBLANK(Table1[[#This Row],[Fetal Sex (Male, Female or Unknown)]])),ISNUMBER(Table1[[#This Row],[Birthweight (grams)]]),ISNUMBER(Table1[[#This Row],[Gestation (days)]])),TRUE,FALSE)</f>
        <v>0</v>
      </c>
      <c r="E3264" s="2" t="str">
        <f>IF(Table1[[#This Row],[Is Data Valid]]=TRUE,IF(Table1[[#This Row],[Fetal Sex (Male, Female or Unknown)]]="Male",Backend!$C$6,IF(Table1[[#This Row],[Fetal Sex (Male, Female or Unknown)]]="Female",Backend!$C$7,IF(Table1[[#This Row],[Fetal Sex (Male, Female or Unknown)]]="Unknown",Backend!$C$8,"Error"))),"")</f>
        <v/>
      </c>
      <c r="F3264" s="8" t="str">
        <f>IF(Table1[[#This Row],[Is Data Valid]]=TRUE,EXP(0.578+0.332*((Table1[[#This Row],[Gestation (days)]]+0.5)/7)-0.00354*((Table1[[#This Row],[Gestation (days)]]+0.5)/7)^2)*Table1[[#This Row],[BW40_3705]],"")</f>
        <v/>
      </c>
      <c r="G3264" s="2" t="str">
        <f>IF(Table1[[#This Row],[Is Data Valid]]=TRUE,((Table1[[#This Row],[Birthweight (grams)]]/Table1[[#This Row],[BW_GA]])-1)/(Backend!$B$4/100*Table1[[#This Row],[BW40_3705]]),"")</f>
        <v/>
      </c>
      <c r="H3264" s="7" t="str">
        <f>IF(Table1[[#This Row],[Is Data Valid]]=TRUE,((Table1[[#This Row],[Birthweight (grams)]]*0.9/Table1[[#This Row],[BW_GA]])-1)/(Backend!$B$4/100*Table1[[#This Row],[BW40_3705]]),"")</f>
        <v/>
      </c>
      <c r="I3264" s="7" t="str">
        <f>IF(Table1[[#This Row],[Is Data Valid]]=TRUE,((Table1[[#This Row],[Birthweight (grams)]]*1.1/Table1[[#This Row],[BW_GA]])-1)/(Backend!$B$4/100*Table1[[#This Row],[BW40_3705]]),"")</f>
        <v/>
      </c>
      <c r="J3264" s="7" t="str">
        <f>IF(Table1[[#This Row],[Is Data Valid]]=TRUE,_xlfn.NORM.S.DIST(Table1[[#This Row],[Birthweight Z-Score]],TRUE)*100,"")</f>
        <v/>
      </c>
      <c r="K3264" s="7" t="str">
        <f>IF(Table1[[#This Row],[Is Data Valid]]=TRUE,_xlfn.NORM.S.DIST(Table1[[#This Row],[Birthweight Z-Score (BW-10%)]],TRUE)*100,"")</f>
        <v/>
      </c>
      <c r="L3264" s="7" t="str">
        <f>IF(Table1[[#This Row],[Is Data Valid]]=TRUE,_xlfn.NORM.S.DIST(Table1[[#This Row],[Birthweight Z-Score (BW+10%)]],TRUE)*100,"")</f>
        <v/>
      </c>
    </row>
    <row r="3265" spans="1:12" x14ac:dyDescent="0.35">
      <c r="A3265" s="3"/>
      <c r="B3265" s="2"/>
      <c r="C3265" s="2"/>
      <c r="D3265" s="2" t="b">
        <f>IF(AND(NOT(ISBLANK(Table1[[#This Row],[Fetal Sex (Male, Female or Unknown)]])),ISNUMBER(Table1[[#This Row],[Birthweight (grams)]]),ISNUMBER(Table1[[#This Row],[Gestation (days)]])),TRUE,FALSE)</f>
        <v>0</v>
      </c>
      <c r="E3265" s="2" t="str">
        <f>IF(Table1[[#This Row],[Is Data Valid]]=TRUE,IF(Table1[[#This Row],[Fetal Sex (Male, Female or Unknown)]]="Male",Backend!$C$6,IF(Table1[[#This Row],[Fetal Sex (Male, Female or Unknown)]]="Female",Backend!$C$7,IF(Table1[[#This Row],[Fetal Sex (Male, Female or Unknown)]]="Unknown",Backend!$C$8,"Error"))),"")</f>
        <v/>
      </c>
      <c r="F3265" s="8" t="str">
        <f>IF(Table1[[#This Row],[Is Data Valid]]=TRUE,EXP(0.578+0.332*((Table1[[#This Row],[Gestation (days)]]+0.5)/7)-0.00354*((Table1[[#This Row],[Gestation (days)]]+0.5)/7)^2)*Table1[[#This Row],[BW40_3705]],"")</f>
        <v/>
      </c>
      <c r="G3265" s="2" t="str">
        <f>IF(Table1[[#This Row],[Is Data Valid]]=TRUE,((Table1[[#This Row],[Birthweight (grams)]]/Table1[[#This Row],[BW_GA]])-1)/(Backend!$B$4/100*Table1[[#This Row],[BW40_3705]]),"")</f>
        <v/>
      </c>
      <c r="H3265" s="7" t="str">
        <f>IF(Table1[[#This Row],[Is Data Valid]]=TRUE,((Table1[[#This Row],[Birthweight (grams)]]*0.9/Table1[[#This Row],[BW_GA]])-1)/(Backend!$B$4/100*Table1[[#This Row],[BW40_3705]]),"")</f>
        <v/>
      </c>
      <c r="I3265" s="7" t="str">
        <f>IF(Table1[[#This Row],[Is Data Valid]]=TRUE,((Table1[[#This Row],[Birthweight (grams)]]*1.1/Table1[[#This Row],[BW_GA]])-1)/(Backend!$B$4/100*Table1[[#This Row],[BW40_3705]]),"")</f>
        <v/>
      </c>
      <c r="J3265" s="7" t="str">
        <f>IF(Table1[[#This Row],[Is Data Valid]]=TRUE,_xlfn.NORM.S.DIST(Table1[[#This Row],[Birthweight Z-Score]],TRUE)*100,"")</f>
        <v/>
      </c>
      <c r="K3265" s="7" t="str">
        <f>IF(Table1[[#This Row],[Is Data Valid]]=TRUE,_xlfn.NORM.S.DIST(Table1[[#This Row],[Birthweight Z-Score (BW-10%)]],TRUE)*100,"")</f>
        <v/>
      </c>
      <c r="L3265" s="7" t="str">
        <f>IF(Table1[[#This Row],[Is Data Valid]]=TRUE,_xlfn.NORM.S.DIST(Table1[[#This Row],[Birthweight Z-Score (BW+10%)]],TRUE)*100,"")</f>
        <v/>
      </c>
    </row>
    <row r="3266" spans="1:12" x14ac:dyDescent="0.35">
      <c r="A3266" s="3"/>
      <c r="B3266" s="2"/>
      <c r="C3266" s="2"/>
      <c r="D3266" s="2" t="b">
        <f>IF(AND(NOT(ISBLANK(Table1[[#This Row],[Fetal Sex (Male, Female or Unknown)]])),ISNUMBER(Table1[[#This Row],[Birthweight (grams)]]),ISNUMBER(Table1[[#This Row],[Gestation (days)]])),TRUE,FALSE)</f>
        <v>0</v>
      </c>
      <c r="E3266" s="2" t="str">
        <f>IF(Table1[[#This Row],[Is Data Valid]]=TRUE,IF(Table1[[#This Row],[Fetal Sex (Male, Female or Unknown)]]="Male",Backend!$C$6,IF(Table1[[#This Row],[Fetal Sex (Male, Female or Unknown)]]="Female",Backend!$C$7,IF(Table1[[#This Row],[Fetal Sex (Male, Female or Unknown)]]="Unknown",Backend!$C$8,"Error"))),"")</f>
        <v/>
      </c>
      <c r="F3266" s="8" t="str">
        <f>IF(Table1[[#This Row],[Is Data Valid]]=TRUE,EXP(0.578+0.332*((Table1[[#This Row],[Gestation (days)]]+0.5)/7)-0.00354*((Table1[[#This Row],[Gestation (days)]]+0.5)/7)^2)*Table1[[#This Row],[BW40_3705]],"")</f>
        <v/>
      </c>
      <c r="G3266" s="2" t="str">
        <f>IF(Table1[[#This Row],[Is Data Valid]]=TRUE,((Table1[[#This Row],[Birthweight (grams)]]/Table1[[#This Row],[BW_GA]])-1)/(Backend!$B$4/100*Table1[[#This Row],[BW40_3705]]),"")</f>
        <v/>
      </c>
      <c r="H3266" s="7" t="str">
        <f>IF(Table1[[#This Row],[Is Data Valid]]=TRUE,((Table1[[#This Row],[Birthweight (grams)]]*0.9/Table1[[#This Row],[BW_GA]])-1)/(Backend!$B$4/100*Table1[[#This Row],[BW40_3705]]),"")</f>
        <v/>
      </c>
      <c r="I3266" s="7" t="str">
        <f>IF(Table1[[#This Row],[Is Data Valid]]=TRUE,((Table1[[#This Row],[Birthweight (grams)]]*1.1/Table1[[#This Row],[BW_GA]])-1)/(Backend!$B$4/100*Table1[[#This Row],[BW40_3705]]),"")</f>
        <v/>
      </c>
      <c r="J3266" s="7" t="str">
        <f>IF(Table1[[#This Row],[Is Data Valid]]=TRUE,_xlfn.NORM.S.DIST(Table1[[#This Row],[Birthweight Z-Score]],TRUE)*100,"")</f>
        <v/>
      </c>
      <c r="K3266" s="7" t="str">
        <f>IF(Table1[[#This Row],[Is Data Valid]]=TRUE,_xlfn.NORM.S.DIST(Table1[[#This Row],[Birthweight Z-Score (BW-10%)]],TRUE)*100,"")</f>
        <v/>
      </c>
      <c r="L3266" s="7" t="str">
        <f>IF(Table1[[#This Row],[Is Data Valid]]=TRUE,_xlfn.NORM.S.DIST(Table1[[#This Row],[Birthweight Z-Score (BW+10%)]],TRUE)*100,"")</f>
        <v/>
      </c>
    </row>
    <row r="3267" spans="1:12" x14ac:dyDescent="0.35">
      <c r="A3267" s="3"/>
      <c r="B3267" s="2"/>
      <c r="C3267" s="2"/>
      <c r="D3267" s="2" t="b">
        <f>IF(AND(NOT(ISBLANK(Table1[[#This Row],[Fetal Sex (Male, Female or Unknown)]])),ISNUMBER(Table1[[#This Row],[Birthweight (grams)]]),ISNUMBER(Table1[[#This Row],[Gestation (days)]])),TRUE,FALSE)</f>
        <v>0</v>
      </c>
      <c r="E3267" s="2" t="str">
        <f>IF(Table1[[#This Row],[Is Data Valid]]=TRUE,IF(Table1[[#This Row],[Fetal Sex (Male, Female or Unknown)]]="Male",Backend!$C$6,IF(Table1[[#This Row],[Fetal Sex (Male, Female or Unknown)]]="Female",Backend!$C$7,IF(Table1[[#This Row],[Fetal Sex (Male, Female or Unknown)]]="Unknown",Backend!$C$8,"Error"))),"")</f>
        <v/>
      </c>
      <c r="F3267" s="8" t="str">
        <f>IF(Table1[[#This Row],[Is Data Valid]]=TRUE,EXP(0.578+0.332*((Table1[[#This Row],[Gestation (days)]]+0.5)/7)-0.00354*((Table1[[#This Row],[Gestation (days)]]+0.5)/7)^2)*Table1[[#This Row],[BW40_3705]],"")</f>
        <v/>
      </c>
      <c r="G3267" s="2" t="str">
        <f>IF(Table1[[#This Row],[Is Data Valid]]=TRUE,((Table1[[#This Row],[Birthweight (grams)]]/Table1[[#This Row],[BW_GA]])-1)/(Backend!$B$4/100*Table1[[#This Row],[BW40_3705]]),"")</f>
        <v/>
      </c>
      <c r="H3267" s="7" t="str">
        <f>IF(Table1[[#This Row],[Is Data Valid]]=TRUE,((Table1[[#This Row],[Birthweight (grams)]]*0.9/Table1[[#This Row],[BW_GA]])-1)/(Backend!$B$4/100*Table1[[#This Row],[BW40_3705]]),"")</f>
        <v/>
      </c>
      <c r="I3267" s="7" t="str">
        <f>IF(Table1[[#This Row],[Is Data Valid]]=TRUE,((Table1[[#This Row],[Birthweight (grams)]]*1.1/Table1[[#This Row],[BW_GA]])-1)/(Backend!$B$4/100*Table1[[#This Row],[BW40_3705]]),"")</f>
        <v/>
      </c>
      <c r="J3267" s="7" t="str">
        <f>IF(Table1[[#This Row],[Is Data Valid]]=TRUE,_xlfn.NORM.S.DIST(Table1[[#This Row],[Birthweight Z-Score]],TRUE)*100,"")</f>
        <v/>
      </c>
      <c r="K3267" s="7" t="str">
        <f>IF(Table1[[#This Row],[Is Data Valid]]=TRUE,_xlfn.NORM.S.DIST(Table1[[#This Row],[Birthweight Z-Score (BW-10%)]],TRUE)*100,"")</f>
        <v/>
      </c>
      <c r="L3267" s="7" t="str">
        <f>IF(Table1[[#This Row],[Is Data Valid]]=TRUE,_xlfn.NORM.S.DIST(Table1[[#This Row],[Birthweight Z-Score (BW+10%)]],TRUE)*100,"")</f>
        <v/>
      </c>
    </row>
    <row r="3268" spans="1:12" x14ac:dyDescent="0.35">
      <c r="A3268" s="3"/>
      <c r="B3268" s="2"/>
      <c r="C3268" s="2"/>
      <c r="D3268" s="2" t="b">
        <f>IF(AND(NOT(ISBLANK(Table1[[#This Row],[Fetal Sex (Male, Female or Unknown)]])),ISNUMBER(Table1[[#This Row],[Birthweight (grams)]]),ISNUMBER(Table1[[#This Row],[Gestation (days)]])),TRUE,FALSE)</f>
        <v>0</v>
      </c>
      <c r="E3268" s="2" t="str">
        <f>IF(Table1[[#This Row],[Is Data Valid]]=TRUE,IF(Table1[[#This Row],[Fetal Sex (Male, Female or Unknown)]]="Male",Backend!$C$6,IF(Table1[[#This Row],[Fetal Sex (Male, Female or Unknown)]]="Female",Backend!$C$7,IF(Table1[[#This Row],[Fetal Sex (Male, Female or Unknown)]]="Unknown",Backend!$C$8,"Error"))),"")</f>
        <v/>
      </c>
      <c r="F3268" s="8" t="str">
        <f>IF(Table1[[#This Row],[Is Data Valid]]=TRUE,EXP(0.578+0.332*((Table1[[#This Row],[Gestation (days)]]+0.5)/7)-0.00354*((Table1[[#This Row],[Gestation (days)]]+0.5)/7)^2)*Table1[[#This Row],[BW40_3705]],"")</f>
        <v/>
      </c>
      <c r="G3268" s="2" t="str">
        <f>IF(Table1[[#This Row],[Is Data Valid]]=TRUE,((Table1[[#This Row],[Birthweight (grams)]]/Table1[[#This Row],[BW_GA]])-1)/(Backend!$B$4/100*Table1[[#This Row],[BW40_3705]]),"")</f>
        <v/>
      </c>
      <c r="H3268" s="7" t="str">
        <f>IF(Table1[[#This Row],[Is Data Valid]]=TRUE,((Table1[[#This Row],[Birthweight (grams)]]*0.9/Table1[[#This Row],[BW_GA]])-1)/(Backend!$B$4/100*Table1[[#This Row],[BW40_3705]]),"")</f>
        <v/>
      </c>
      <c r="I3268" s="7" t="str">
        <f>IF(Table1[[#This Row],[Is Data Valid]]=TRUE,((Table1[[#This Row],[Birthweight (grams)]]*1.1/Table1[[#This Row],[BW_GA]])-1)/(Backend!$B$4/100*Table1[[#This Row],[BW40_3705]]),"")</f>
        <v/>
      </c>
      <c r="J3268" s="7" t="str">
        <f>IF(Table1[[#This Row],[Is Data Valid]]=TRUE,_xlfn.NORM.S.DIST(Table1[[#This Row],[Birthweight Z-Score]],TRUE)*100,"")</f>
        <v/>
      </c>
      <c r="K3268" s="7" t="str">
        <f>IF(Table1[[#This Row],[Is Data Valid]]=TRUE,_xlfn.NORM.S.DIST(Table1[[#This Row],[Birthweight Z-Score (BW-10%)]],TRUE)*100,"")</f>
        <v/>
      </c>
      <c r="L3268" s="7" t="str">
        <f>IF(Table1[[#This Row],[Is Data Valid]]=TRUE,_xlfn.NORM.S.DIST(Table1[[#This Row],[Birthweight Z-Score (BW+10%)]],TRUE)*100,"")</f>
        <v/>
      </c>
    </row>
    <row r="3269" spans="1:12" x14ac:dyDescent="0.35">
      <c r="A3269" s="3"/>
      <c r="B3269" s="2"/>
      <c r="C3269" s="2"/>
      <c r="D3269" s="2" t="b">
        <f>IF(AND(NOT(ISBLANK(Table1[[#This Row],[Fetal Sex (Male, Female or Unknown)]])),ISNUMBER(Table1[[#This Row],[Birthweight (grams)]]),ISNUMBER(Table1[[#This Row],[Gestation (days)]])),TRUE,FALSE)</f>
        <v>0</v>
      </c>
      <c r="E3269" s="2" t="str">
        <f>IF(Table1[[#This Row],[Is Data Valid]]=TRUE,IF(Table1[[#This Row],[Fetal Sex (Male, Female or Unknown)]]="Male",Backend!$C$6,IF(Table1[[#This Row],[Fetal Sex (Male, Female or Unknown)]]="Female",Backend!$C$7,IF(Table1[[#This Row],[Fetal Sex (Male, Female or Unknown)]]="Unknown",Backend!$C$8,"Error"))),"")</f>
        <v/>
      </c>
      <c r="F3269" s="8" t="str">
        <f>IF(Table1[[#This Row],[Is Data Valid]]=TRUE,EXP(0.578+0.332*((Table1[[#This Row],[Gestation (days)]]+0.5)/7)-0.00354*((Table1[[#This Row],[Gestation (days)]]+0.5)/7)^2)*Table1[[#This Row],[BW40_3705]],"")</f>
        <v/>
      </c>
      <c r="G3269" s="2" t="str">
        <f>IF(Table1[[#This Row],[Is Data Valid]]=TRUE,((Table1[[#This Row],[Birthweight (grams)]]/Table1[[#This Row],[BW_GA]])-1)/(Backend!$B$4/100*Table1[[#This Row],[BW40_3705]]),"")</f>
        <v/>
      </c>
      <c r="H3269" s="7" t="str">
        <f>IF(Table1[[#This Row],[Is Data Valid]]=TRUE,((Table1[[#This Row],[Birthweight (grams)]]*0.9/Table1[[#This Row],[BW_GA]])-1)/(Backend!$B$4/100*Table1[[#This Row],[BW40_3705]]),"")</f>
        <v/>
      </c>
      <c r="I3269" s="7" t="str">
        <f>IF(Table1[[#This Row],[Is Data Valid]]=TRUE,((Table1[[#This Row],[Birthweight (grams)]]*1.1/Table1[[#This Row],[BW_GA]])-1)/(Backend!$B$4/100*Table1[[#This Row],[BW40_3705]]),"")</f>
        <v/>
      </c>
      <c r="J3269" s="7" t="str">
        <f>IF(Table1[[#This Row],[Is Data Valid]]=TRUE,_xlfn.NORM.S.DIST(Table1[[#This Row],[Birthweight Z-Score]],TRUE)*100,"")</f>
        <v/>
      </c>
      <c r="K3269" s="7" t="str">
        <f>IF(Table1[[#This Row],[Is Data Valid]]=TRUE,_xlfn.NORM.S.DIST(Table1[[#This Row],[Birthweight Z-Score (BW-10%)]],TRUE)*100,"")</f>
        <v/>
      </c>
      <c r="L3269" s="7" t="str">
        <f>IF(Table1[[#This Row],[Is Data Valid]]=TRUE,_xlfn.NORM.S.DIST(Table1[[#This Row],[Birthweight Z-Score (BW+10%)]],TRUE)*100,"")</f>
        <v/>
      </c>
    </row>
    <row r="3270" spans="1:12" x14ac:dyDescent="0.35">
      <c r="A3270" s="3"/>
      <c r="B3270" s="2"/>
      <c r="C3270" s="2"/>
      <c r="D3270" s="2" t="b">
        <f>IF(AND(NOT(ISBLANK(Table1[[#This Row],[Fetal Sex (Male, Female or Unknown)]])),ISNUMBER(Table1[[#This Row],[Birthweight (grams)]]),ISNUMBER(Table1[[#This Row],[Gestation (days)]])),TRUE,FALSE)</f>
        <v>0</v>
      </c>
      <c r="E3270" s="2" t="str">
        <f>IF(Table1[[#This Row],[Is Data Valid]]=TRUE,IF(Table1[[#This Row],[Fetal Sex (Male, Female or Unknown)]]="Male",Backend!$C$6,IF(Table1[[#This Row],[Fetal Sex (Male, Female or Unknown)]]="Female",Backend!$C$7,IF(Table1[[#This Row],[Fetal Sex (Male, Female or Unknown)]]="Unknown",Backend!$C$8,"Error"))),"")</f>
        <v/>
      </c>
      <c r="F3270" s="8" t="str">
        <f>IF(Table1[[#This Row],[Is Data Valid]]=TRUE,EXP(0.578+0.332*((Table1[[#This Row],[Gestation (days)]]+0.5)/7)-0.00354*((Table1[[#This Row],[Gestation (days)]]+0.5)/7)^2)*Table1[[#This Row],[BW40_3705]],"")</f>
        <v/>
      </c>
      <c r="G3270" s="2" t="str">
        <f>IF(Table1[[#This Row],[Is Data Valid]]=TRUE,((Table1[[#This Row],[Birthweight (grams)]]/Table1[[#This Row],[BW_GA]])-1)/(Backend!$B$4/100*Table1[[#This Row],[BW40_3705]]),"")</f>
        <v/>
      </c>
      <c r="H3270" s="7" t="str">
        <f>IF(Table1[[#This Row],[Is Data Valid]]=TRUE,((Table1[[#This Row],[Birthweight (grams)]]*0.9/Table1[[#This Row],[BW_GA]])-1)/(Backend!$B$4/100*Table1[[#This Row],[BW40_3705]]),"")</f>
        <v/>
      </c>
      <c r="I3270" s="7" t="str">
        <f>IF(Table1[[#This Row],[Is Data Valid]]=TRUE,((Table1[[#This Row],[Birthweight (grams)]]*1.1/Table1[[#This Row],[BW_GA]])-1)/(Backend!$B$4/100*Table1[[#This Row],[BW40_3705]]),"")</f>
        <v/>
      </c>
      <c r="J3270" s="7" t="str">
        <f>IF(Table1[[#This Row],[Is Data Valid]]=TRUE,_xlfn.NORM.S.DIST(Table1[[#This Row],[Birthweight Z-Score]],TRUE)*100,"")</f>
        <v/>
      </c>
      <c r="K3270" s="7" t="str">
        <f>IF(Table1[[#This Row],[Is Data Valid]]=TRUE,_xlfn.NORM.S.DIST(Table1[[#This Row],[Birthweight Z-Score (BW-10%)]],TRUE)*100,"")</f>
        <v/>
      </c>
      <c r="L3270" s="7" t="str">
        <f>IF(Table1[[#This Row],[Is Data Valid]]=TRUE,_xlfn.NORM.S.DIST(Table1[[#This Row],[Birthweight Z-Score (BW+10%)]],TRUE)*100,"")</f>
        <v/>
      </c>
    </row>
    <row r="3271" spans="1:12" x14ac:dyDescent="0.35">
      <c r="A3271" s="3"/>
      <c r="B3271" s="2"/>
      <c r="C3271" s="2"/>
      <c r="D3271" s="2" t="b">
        <f>IF(AND(NOT(ISBLANK(Table1[[#This Row],[Fetal Sex (Male, Female or Unknown)]])),ISNUMBER(Table1[[#This Row],[Birthweight (grams)]]),ISNUMBER(Table1[[#This Row],[Gestation (days)]])),TRUE,FALSE)</f>
        <v>0</v>
      </c>
      <c r="E3271" s="2" t="str">
        <f>IF(Table1[[#This Row],[Is Data Valid]]=TRUE,IF(Table1[[#This Row],[Fetal Sex (Male, Female or Unknown)]]="Male",Backend!$C$6,IF(Table1[[#This Row],[Fetal Sex (Male, Female or Unknown)]]="Female",Backend!$C$7,IF(Table1[[#This Row],[Fetal Sex (Male, Female or Unknown)]]="Unknown",Backend!$C$8,"Error"))),"")</f>
        <v/>
      </c>
      <c r="F3271" s="8" t="str">
        <f>IF(Table1[[#This Row],[Is Data Valid]]=TRUE,EXP(0.578+0.332*((Table1[[#This Row],[Gestation (days)]]+0.5)/7)-0.00354*((Table1[[#This Row],[Gestation (days)]]+0.5)/7)^2)*Table1[[#This Row],[BW40_3705]],"")</f>
        <v/>
      </c>
      <c r="G3271" s="2" t="str">
        <f>IF(Table1[[#This Row],[Is Data Valid]]=TRUE,((Table1[[#This Row],[Birthweight (grams)]]/Table1[[#This Row],[BW_GA]])-1)/(Backend!$B$4/100*Table1[[#This Row],[BW40_3705]]),"")</f>
        <v/>
      </c>
      <c r="H3271" s="7" t="str">
        <f>IF(Table1[[#This Row],[Is Data Valid]]=TRUE,((Table1[[#This Row],[Birthweight (grams)]]*0.9/Table1[[#This Row],[BW_GA]])-1)/(Backend!$B$4/100*Table1[[#This Row],[BW40_3705]]),"")</f>
        <v/>
      </c>
      <c r="I3271" s="7" t="str">
        <f>IF(Table1[[#This Row],[Is Data Valid]]=TRUE,((Table1[[#This Row],[Birthweight (grams)]]*1.1/Table1[[#This Row],[BW_GA]])-1)/(Backend!$B$4/100*Table1[[#This Row],[BW40_3705]]),"")</f>
        <v/>
      </c>
      <c r="J3271" s="7" t="str">
        <f>IF(Table1[[#This Row],[Is Data Valid]]=TRUE,_xlfn.NORM.S.DIST(Table1[[#This Row],[Birthweight Z-Score]],TRUE)*100,"")</f>
        <v/>
      </c>
      <c r="K3271" s="7" t="str">
        <f>IF(Table1[[#This Row],[Is Data Valid]]=TRUE,_xlfn.NORM.S.DIST(Table1[[#This Row],[Birthweight Z-Score (BW-10%)]],TRUE)*100,"")</f>
        <v/>
      </c>
      <c r="L3271" s="7" t="str">
        <f>IF(Table1[[#This Row],[Is Data Valid]]=TRUE,_xlfn.NORM.S.DIST(Table1[[#This Row],[Birthweight Z-Score (BW+10%)]],TRUE)*100,"")</f>
        <v/>
      </c>
    </row>
    <row r="3272" spans="1:12" x14ac:dyDescent="0.35">
      <c r="A3272" s="3"/>
      <c r="B3272" s="2"/>
      <c r="C3272" s="2"/>
      <c r="D3272" s="2" t="b">
        <f>IF(AND(NOT(ISBLANK(Table1[[#This Row],[Fetal Sex (Male, Female or Unknown)]])),ISNUMBER(Table1[[#This Row],[Birthweight (grams)]]),ISNUMBER(Table1[[#This Row],[Gestation (days)]])),TRUE,FALSE)</f>
        <v>0</v>
      </c>
      <c r="E3272" s="2" t="str">
        <f>IF(Table1[[#This Row],[Is Data Valid]]=TRUE,IF(Table1[[#This Row],[Fetal Sex (Male, Female or Unknown)]]="Male",Backend!$C$6,IF(Table1[[#This Row],[Fetal Sex (Male, Female or Unknown)]]="Female",Backend!$C$7,IF(Table1[[#This Row],[Fetal Sex (Male, Female or Unknown)]]="Unknown",Backend!$C$8,"Error"))),"")</f>
        <v/>
      </c>
      <c r="F3272" s="8" t="str">
        <f>IF(Table1[[#This Row],[Is Data Valid]]=TRUE,EXP(0.578+0.332*((Table1[[#This Row],[Gestation (days)]]+0.5)/7)-0.00354*((Table1[[#This Row],[Gestation (days)]]+0.5)/7)^2)*Table1[[#This Row],[BW40_3705]],"")</f>
        <v/>
      </c>
      <c r="G3272" s="2" t="str">
        <f>IF(Table1[[#This Row],[Is Data Valid]]=TRUE,((Table1[[#This Row],[Birthweight (grams)]]/Table1[[#This Row],[BW_GA]])-1)/(Backend!$B$4/100*Table1[[#This Row],[BW40_3705]]),"")</f>
        <v/>
      </c>
      <c r="H3272" s="7" t="str">
        <f>IF(Table1[[#This Row],[Is Data Valid]]=TRUE,((Table1[[#This Row],[Birthweight (grams)]]*0.9/Table1[[#This Row],[BW_GA]])-1)/(Backend!$B$4/100*Table1[[#This Row],[BW40_3705]]),"")</f>
        <v/>
      </c>
      <c r="I3272" s="7" t="str">
        <f>IF(Table1[[#This Row],[Is Data Valid]]=TRUE,((Table1[[#This Row],[Birthweight (grams)]]*1.1/Table1[[#This Row],[BW_GA]])-1)/(Backend!$B$4/100*Table1[[#This Row],[BW40_3705]]),"")</f>
        <v/>
      </c>
      <c r="J3272" s="7" t="str">
        <f>IF(Table1[[#This Row],[Is Data Valid]]=TRUE,_xlfn.NORM.S.DIST(Table1[[#This Row],[Birthweight Z-Score]],TRUE)*100,"")</f>
        <v/>
      </c>
      <c r="K3272" s="7" t="str">
        <f>IF(Table1[[#This Row],[Is Data Valid]]=TRUE,_xlfn.NORM.S.DIST(Table1[[#This Row],[Birthweight Z-Score (BW-10%)]],TRUE)*100,"")</f>
        <v/>
      </c>
      <c r="L3272" s="7" t="str">
        <f>IF(Table1[[#This Row],[Is Data Valid]]=TRUE,_xlfn.NORM.S.DIST(Table1[[#This Row],[Birthweight Z-Score (BW+10%)]],TRUE)*100,"")</f>
        <v/>
      </c>
    </row>
    <row r="3273" spans="1:12" x14ac:dyDescent="0.35">
      <c r="A3273" s="3"/>
      <c r="B3273" s="2"/>
      <c r="C3273" s="2"/>
      <c r="D3273" s="2" t="b">
        <f>IF(AND(NOT(ISBLANK(Table1[[#This Row],[Fetal Sex (Male, Female or Unknown)]])),ISNUMBER(Table1[[#This Row],[Birthweight (grams)]]),ISNUMBER(Table1[[#This Row],[Gestation (days)]])),TRUE,FALSE)</f>
        <v>0</v>
      </c>
      <c r="E3273" s="2" t="str">
        <f>IF(Table1[[#This Row],[Is Data Valid]]=TRUE,IF(Table1[[#This Row],[Fetal Sex (Male, Female or Unknown)]]="Male",Backend!$C$6,IF(Table1[[#This Row],[Fetal Sex (Male, Female or Unknown)]]="Female",Backend!$C$7,IF(Table1[[#This Row],[Fetal Sex (Male, Female or Unknown)]]="Unknown",Backend!$C$8,"Error"))),"")</f>
        <v/>
      </c>
      <c r="F3273" s="8" t="str">
        <f>IF(Table1[[#This Row],[Is Data Valid]]=TRUE,EXP(0.578+0.332*((Table1[[#This Row],[Gestation (days)]]+0.5)/7)-0.00354*((Table1[[#This Row],[Gestation (days)]]+0.5)/7)^2)*Table1[[#This Row],[BW40_3705]],"")</f>
        <v/>
      </c>
      <c r="G3273" s="2" t="str">
        <f>IF(Table1[[#This Row],[Is Data Valid]]=TRUE,((Table1[[#This Row],[Birthweight (grams)]]/Table1[[#This Row],[BW_GA]])-1)/(Backend!$B$4/100*Table1[[#This Row],[BW40_3705]]),"")</f>
        <v/>
      </c>
      <c r="H3273" s="7" t="str">
        <f>IF(Table1[[#This Row],[Is Data Valid]]=TRUE,((Table1[[#This Row],[Birthweight (grams)]]*0.9/Table1[[#This Row],[BW_GA]])-1)/(Backend!$B$4/100*Table1[[#This Row],[BW40_3705]]),"")</f>
        <v/>
      </c>
      <c r="I3273" s="7" t="str">
        <f>IF(Table1[[#This Row],[Is Data Valid]]=TRUE,((Table1[[#This Row],[Birthweight (grams)]]*1.1/Table1[[#This Row],[BW_GA]])-1)/(Backend!$B$4/100*Table1[[#This Row],[BW40_3705]]),"")</f>
        <v/>
      </c>
      <c r="J3273" s="7" t="str">
        <f>IF(Table1[[#This Row],[Is Data Valid]]=TRUE,_xlfn.NORM.S.DIST(Table1[[#This Row],[Birthweight Z-Score]],TRUE)*100,"")</f>
        <v/>
      </c>
      <c r="K3273" s="7" t="str">
        <f>IF(Table1[[#This Row],[Is Data Valid]]=TRUE,_xlfn.NORM.S.DIST(Table1[[#This Row],[Birthweight Z-Score (BW-10%)]],TRUE)*100,"")</f>
        <v/>
      </c>
      <c r="L3273" s="7" t="str">
        <f>IF(Table1[[#This Row],[Is Data Valid]]=TRUE,_xlfn.NORM.S.DIST(Table1[[#This Row],[Birthweight Z-Score (BW+10%)]],TRUE)*100,"")</f>
        <v/>
      </c>
    </row>
    <row r="3274" spans="1:12" x14ac:dyDescent="0.35">
      <c r="A3274" s="3"/>
      <c r="B3274" s="2"/>
      <c r="C3274" s="2"/>
      <c r="D3274" s="2" t="b">
        <f>IF(AND(NOT(ISBLANK(Table1[[#This Row],[Fetal Sex (Male, Female or Unknown)]])),ISNUMBER(Table1[[#This Row],[Birthweight (grams)]]),ISNUMBER(Table1[[#This Row],[Gestation (days)]])),TRUE,FALSE)</f>
        <v>0</v>
      </c>
      <c r="E3274" s="2" t="str">
        <f>IF(Table1[[#This Row],[Is Data Valid]]=TRUE,IF(Table1[[#This Row],[Fetal Sex (Male, Female or Unknown)]]="Male",Backend!$C$6,IF(Table1[[#This Row],[Fetal Sex (Male, Female or Unknown)]]="Female",Backend!$C$7,IF(Table1[[#This Row],[Fetal Sex (Male, Female or Unknown)]]="Unknown",Backend!$C$8,"Error"))),"")</f>
        <v/>
      </c>
      <c r="F3274" s="8" t="str">
        <f>IF(Table1[[#This Row],[Is Data Valid]]=TRUE,EXP(0.578+0.332*((Table1[[#This Row],[Gestation (days)]]+0.5)/7)-0.00354*((Table1[[#This Row],[Gestation (days)]]+0.5)/7)^2)*Table1[[#This Row],[BW40_3705]],"")</f>
        <v/>
      </c>
      <c r="G3274" s="2" t="str">
        <f>IF(Table1[[#This Row],[Is Data Valid]]=TRUE,((Table1[[#This Row],[Birthweight (grams)]]/Table1[[#This Row],[BW_GA]])-1)/(Backend!$B$4/100*Table1[[#This Row],[BW40_3705]]),"")</f>
        <v/>
      </c>
      <c r="H3274" s="7" t="str">
        <f>IF(Table1[[#This Row],[Is Data Valid]]=TRUE,((Table1[[#This Row],[Birthweight (grams)]]*0.9/Table1[[#This Row],[BW_GA]])-1)/(Backend!$B$4/100*Table1[[#This Row],[BW40_3705]]),"")</f>
        <v/>
      </c>
      <c r="I3274" s="7" t="str">
        <f>IF(Table1[[#This Row],[Is Data Valid]]=TRUE,((Table1[[#This Row],[Birthweight (grams)]]*1.1/Table1[[#This Row],[BW_GA]])-1)/(Backend!$B$4/100*Table1[[#This Row],[BW40_3705]]),"")</f>
        <v/>
      </c>
      <c r="J3274" s="7" t="str">
        <f>IF(Table1[[#This Row],[Is Data Valid]]=TRUE,_xlfn.NORM.S.DIST(Table1[[#This Row],[Birthweight Z-Score]],TRUE)*100,"")</f>
        <v/>
      </c>
      <c r="K3274" s="7" t="str">
        <f>IF(Table1[[#This Row],[Is Data Valid]]=TRUE,_xlfn.NORM.S.DIST(Table1[[#This Row],[Birthweight Z-Score (BW-10%)]],TRUE)*100,"")</f>
        <v/>
      </c>
      <c r="L3274" s="7" t="str">
        <f>IF(Table1[[#This Row],[Is Data Valid]]=TRUE,_xlfn.NORM.S.DIST(Table1[[#This Row],[Birthweight Z-Score (BW+10%)]],TRUE)*100,"")</f>
        <v/>
      </c>
    </row>
    <row r="3275" spans="1:12" x14ac:dyDescent="0.35">
      <c r="A3275" s="3"/>
      <c r="B3275" s="2"/>
      <c r="C3275" s="2"/>
      <c r="D3275" s="2" t="b">
        <f>IF(AND(NOT(ISBLANK(Table1[[#This Row],[Fetal Sex (Male, Female or Unknown)]])),ISNUMBER(Table1[[#This Row],[Birthweight (grams)]]),ISNUMBER(Table1[[#This Row],[Gestation (days)]])),TRUE,FALSE)</f>
        <v>0</v>
      </c>
      <c r="E3275" s="2" t="str">
        <f>IF(Table1[[#This Row],[Is Data Valid]]=TRUE,IF(Table1[[#This Row],[Fetal Sex (Male, Female or Unknown)]]="Male",Backend!$C$6,IF(Table1[[#This Row],[Fetal Sex (Male, Female or Unknown)]]="Female",Backend!$C$7,IF(Table1[[#This Row],[Fetal Sex (Male, Female or Unknown)]]="Unknown",Backend!$C$8,"Error"))),"")</f>
        <v/>
      </c>
      <c r="F3275" s="8" t="str">
        <f>IF(Table1[[#This Row],[Is Data Valid]]=TRUE,EXP(0.578+0.332*((Table1[[#This Row],[Gestation (days)]]+0.5)/7)-0.00354*((Table1[[#This Row],[Gestation (days)]]+0.5)/7)^2)*Table1[[#This Row],[BW40_3705]],"")</f>
        <v/>
      </c>
      <c r="G3275" s="2" t="str">
        <f>IF(Table1[[#This Row],[Is Data Valid]]=TRUE,((Table1[[#This Row],[Birthweight (grams)]]/Table1[[#This Row],[BW_GA]])-1)/(Backend!$B$4/100*Table1[[#This Row],[BW40_3705]]),"")</f>
        <v/>
      </c>
      <c r="H3275" s="7" t="str">
        <f>IF(Table1[[#This Row],[Is Data Valid]]=TRUE,((Table1[[#This Row],[Birthweight (grams)]]*0.9/Table1[[#This Row],[BW_GA]])-1)/(Backend!$B$4/100*Table1[[#This Row],[BW40_3705]]),"")</f>
        <v/>
      </c>
      <c r="I3275" s="7" t="str">
        <f>IF(Table1[[#This Row],[Is Data Valid]]=TRUE,((Table1[[#This Row],[Birthweight (grams)]]*1.1/Table1[[#This Row],[BW_GA]])-1)/(Backend!$B$4/100*Table1[[#This Row],[BW40_3705]]),"")</f>
        <v/>
      </c>
      <c r="J3275" s="7" t="str">
        <f>IF(Table1[[#This Row],[Is Data Valid]]=TRUE,_xlfn.NORM.S.DIST(Table1[[#This Row],[Birthweight Z-Score]],TRUE)*100,"")</f>
        <v/>
      </c>
      <c r="K3275" s="7" t="str">
        <f>IF(Table1[[#This Row],[Is Data Valid]]=TRUE,_xlfn.NORM.S.DIST(Table1[[#This Row],[Birthweight Z-Score (BW-10%)]],TRUE)*100,"")</f>
        <v/>
      </c>
      <c r="L3275" s="7" t="str">
        <f>IF(Table1[[#This Row],[Is Data Valid]]=TRUE,_xlfn.NORM.S.DIST(Table1[[#This Row],[Birthweight Z-Score (BW+10%)]],TRUE)*100,"")</f>
        <v/>
      </c>
    </row>
    <row r="3276" spans="1:12" x14ac:dyDescent="0.35">
      <c r="A3276" s="3"/>
      <c r="B3276" s="2"/>
      <c r="C3276" s="2"/>
      <c r="D3276" s="2" t="b">
        <f>IF(AND(NOT(ISBLANK(Table1[[#This Row],[Fetal Sex (Male, Female or Unknown)]])),ISNUMBER(Table1[[#This Row],[Birthweight (grams)]]),ISNUMBER(Table1[[#This Row],[Gestation (days)]])),TRUE,FALSE)</f>
        <v>0</v>
      </c>
      <c r="E3276" s="2" t="str">
        <f>IF(Table1[[#This Row],[Is Data Valid]]=TRUE,IF(Table1[[#This Row],[Fetal Sex (Male, Female or Unknown)]]="Male",Backend!$C$6,IF(Table1[[#This Row],[Fetal Sex (Male, Female or Unknown)]]="Female",Backend!$C$7,IF(Table1[[#This Row],[Fetal Sex (Male, Female or Unknown)]]="Unknown",Backend!$C$8,"Error"))),"")</f>
        <v/>
      </c>
      <c r="F3276" s="8" t="str">
        <f>IF(Table1[[#This Row],[Is Data Valid]]=TRUE,EXP(0.578+0.332*((Table1[[#This Row],[Gestation (days)]]+0.5)/7)-0.00354*((Table1[[#This Row],[Gestation (days)]]+0.5)/7)^2)*Table1[[#This Row],[BW40_3705]],"")</f>
        <v/>
      </c>
      <c r="G3276" s="2" t="str">
        <f>IF(Table1[[#This Row],[Is Data Valid]]=TRUE,((Table1[[#This Row],[Birthweight (grams)]]/Table1[[#This Row],[BW_GA]])-1)/(Backend!$B$4/100*Table1[[#This Row],[BW40_3705]]),"")</f>
        <v/>
      </c>
      <c r="H3276" s="7" t="str">
        <f>IF(Table1[[#This Row],[Is Data Valid]]=TRUE,((Table1[[#This Row],[Birthweight (grams)]]*0.9/Table1[[#This Row],[BW_GA]])-1)/(Backend!$B$4/100*Table1[[#This Row],[BW40_3705]]),"")</f>
        <v/>
      </c>
      <c r="I3276" s="7" t="str">
        <f>IF(Table1[[#This Row],[Is Data Valid]]=TRUE,((Table1[[#This Row],[Birthweight (grams)]]*1.1/Table1[[#This Row],[BW_GA]])-1)/(Backend!$B$4/100*Table1[[#This Row],[BW40_3705]]),"")</f>
        <v/>
      </c>
      <c r="J3276" s="7" t="str">
        <f>IF(Table1[[#This Row],[Is Data Valid]]=TRUE,_xlfn.NORM.S.DIST(Table1[[#This Row],[Birthweight Z-Score]],TRUE)*100,"")</f>
        <v/>
      </c>
      <c r="K3276" s="7" t="str">
        <f>IF(Table1[[#This Row],[Is Data Valid]]=TRUE,_xlfn.NORM.S.DIST(Table1[[#This Row],[Birthweight Z-Score (BW-10%)]],TRUE)*100,"")</f>
        <v/>
      </c>
      <c r="L3276" s="7" t="str">
        <f>IF(Table1[[#This Row],[Is Data Valid]]=TRUE,_xlfn.NORM.S.DIST(Table1[[#This Row],[Birthweight Z-Score (BW+10%)]],TRUE)*100,"")</f>
        <v/>
      </c>
    </row>
    <row r="3277" spans="1:12" x14ac:dyDescent="0.35">
      <c r="A3277" s="3"/>
      <c r="B3277" s="2"/>
      <c r="C3277" s="2"/>
      <c r="D3277" s="2" t="b">
        <f>IF(AND(NOT(ISBLANK(Table1[[#This Row],[Fetal Sex (Male, Female or Unknown)]])),ISNUMBER(Table1[[#This Row],[Birthweight (grams)]]),ISNUMBER(Table1[[#This Row],[Gestation (days)]])),TRUE,FALSE)</f>
        <v>0</v>
      </c>
      <c r="E3277" s="2" t="str">
        <f>IF(Table1[[#This Row],[Is Data Valid]]=TRUE,IF(Table1[[#This Row],[Fetal Sex (Male, Female or Unknown)]]="Male",Backend!$C$6,IF(Table1[[#This Row],[Fetal Sex (Male, Female or Unknown)]]="Female",Backend!$C$7,IF(Table1[[#This Row],[Fetal Sex (Male, Female or Unknown)]]="Unknown",Backend!$C$8,"Error"))),"")</f>
        <v/>
      </c>
      <c r="F3277" s="8" t="str">
        <f>IF(Table1[[#This Row],[Is Data Valid]]=TRUE,EXP(0.578+0.332*((Table1[[#This Row],[Gestation (days)]]+0.5)/7)-0.00354*((Table1[[#This Row],[Gestation (days)]]+0.5)/7)^2)*Table1[[#This Row],[BW40_3705]],"")</f>
        <v/>
      </c>
      <c r="G3277" s="2" t="str">
        <f>IF(Table1[[#This Row],[Is Data Valid]]=TRUE,((Table1[[#This Row],[Birthweight (grams)]]/Table1[[#This Row],[BW_GA]])-1)/(Backend!$B$4/100*Table1[[#This Row],[BW40_3705]]),"")</f>
        <v/>
      </c>
      <c r="H3277" s="7" t="str">
        <f>IF(Table1[[#This Row],[Is Data Valid]]=TRUE,((Table1[[#This Row],[Birthweight (grams)]]*0.9/Table1[[#This Row],[BW_GA]])-1)/(Backend!$B$4/100*Table1[[#This Row],[BW40_3705]]),"")</f>
        <v/>
      </c>
      <c r="I3277" s="7" t="str">
        <f>IF(Table1[[#This Row],[Is Data Valid]]=TRUE,((Table1[[#This Row],[Birthweight (grams)]]*1.1/Table1[[#This Row],[BW_GA]])-1)/(Backend!$B$4/100*Table1[[#This Row],[BW40_3705]]),"")</f>
        <v/>
      </c>
      <c r="J3277" s="7" t="str">
        <f>IF(Table1[[#This Row],[Is Data Valid]]=TRUE,_xlfn.NORM.S.DIST(Table1[[#This Row],[Birthweight Z-Score]],TRUE)*100,"")</f>
        <v/>
      </c>
      <c r="K3277" s="7" t="str">
        <f>IF(Table1[[#This Row],[Is Data Valid]]=TRUE,_xlfn.NORM.S.DIST(Table1[[#This Row],[Birthweight Z-Score (BW-10%)]],TRUE)*100,"")</f>
        <v/>
      </c>
      <c r="L3277" s="7" t="str">
        <f>IF(Table1[[#This Row],[Is Data Valid]]=TRUE,_xlfn.NORM.S.DIST(Table1[[#This Row],[Birthweight Z-Score (BW+10%)]],TRUE)*100,"")</f>
        <v/>
      </c>
    </row>
    <row r="3278" spans="1:12" x14ac:dyDescent="0.35">
      <c r="A3278" s="3"/>
      <c r="B3278" s="2"/>
      <c r="C3278" s="2"/>
      <c r="D3278" s="2" t="b">
        <f>IF(AND(NOT(ISBLANK(Table1[[#This Row],[Fetal Sex (Male, Female or Unknown)]])),ISNUMBER(Table1[[#This Row],[Birthweight (grams)]]),ISNUMBER(Table1[[#This Row],[Gestation (days)]])),TRUE,FALSE)</f>
        <v>0</v>
      </c>
      <c r="E3278" s="2" t="str">
        <f>IF(Table1[[#This Row],[Is Data Valid]]=TRUE,IF(Table1[[#This Row],[Fetal Sex (Male, Female or Unknown)]]="Male",Backend!$C$6,IF(Table1[[#This Row],[Fetal Sex (Male, Female or Unknown)]]="Female",Backend!$C$7,IF(Table1[[#This Row],[Fetal Sex (Male, Female or Unknown)]]="Unknown",Backend!$C$8,"Error"))),"")</f>
        <v/>
      </c>
      <c r="F3278" s="8" t="str">
        <f>IF(Table1[[#This Row],[Is Data Valid]]=TRUE,EXP(0.578+0.332*((Table1[[#This Row],[Gestation (days)]]+0.5)/7)-0.00354*((Table1[[#This Row],[Gestation (days)]]+0.5)/7)^2)*Table1[[#This Row],[BW40_3705]],"")</f>
        <v/>
      </c>
      <c r="G3278" s="2" t="str">
        <f>IF(Table1[[#This Row],[Is Data Valid]]=TRUE,((Table1[[#This Row],[Birthweight (grams)]]/Table1[[#This Row],[BW_GA]])-1)/(Backend!$B$4/100*Table1[[#This Row],[BW40_3705]]),"")</f>
        <v/>
      </c>
      <c r="H3278" s="7" t="str">
        <f>IF(Table1[[#This Row],[Is Data Valid]]=TRUE,((Table1[[#This Row],[Birthweight (grams)]]*0.9/Table1[[#This Row],[BW_GA]])-1)/(Backend!$B$4/100*Table1[[#This Row],[BW40_3705]]),"")</f>
        <v/>
      </c>
      <c r="I3278" s="7" t="str">
        <f>IF(Table1[[#This Row],[Is Data Valid]]=TRUE,((Table1[[#This Row],[Birthweight (grams)]]*1.1/Table1[[#This Row],[BW_GA]])-1)/(Backend!$B$4/100*Table1[[#This Row],[BW40_3705]]),"")</f>
        <v/>
      </c>
      <c r="J3278" s="7" t="str">
        <f>IF(Table1[[#This Row],[Is Data Valid]]=TRUE,_xlfn.NORM.S.DIST(Table1[[#This Row],[Birthweight Z-Score]],TRUE)*100,"")</f>
        <v/>
      </c>
      <c r="K3278" s="7" t="str">
        <f>IF(Table1[[#This Row],[Is Data Valid]]=TRUE,_xlfn.NORM.S.DIST(Table1[[#This Row],[Birthweight Z-Score (BW-10%)]],TRUE)*100,"")</f>
        <v/>
      </c>
      <c r="L3278" s="7" t="str">
        <f>IF(Table1[[#This Row],[Is Data Valid]]=TRUE,_xlfn.NORM.S.DIST(Table1[[#This Row],[Birthweight Z-Score (BW+10%)]],TRUE)*100,"")</f>
        <v/>
      </c>
    </row>
    <row r="3279" spans="1:12" x14ac:dyDescent="0.35">
      <c r="A3279" s="3"/>
      <c r="B3279" s="2"/>
      <c r="C3279" s="2"/>
      <c r="D3279" s="2" t="b">
        <f>IF(AND(NOT(ISBLANK(Table1[[#This Row],[Fetal Sex (Male, Female or Unknown)]])),ISNUMBER(Table1[[#This Row],[Birthweight (grams)]]),ISNUMBER(Table1[[#This Row],[Gestation (days)]])),TRUE,FALSE)</f>
        <v>0</v>
      </c>
      <c r="E3279" s="2" t="str">
        <f>IF(Table1[[#This Row],[Is Data Valid]]=TRUE,IF(Table1[[#This Row],[Fetal Sex (Male, Female or Unknown)]]="Male",Backend!$C$6,IF(Table1[[#This Row],[Fetal Sex (Male, Female or Unknown)]]="Female",Backend!$C$7,IF(Table1[[#This Row],[Fetal Sex (Male, Female or Unknown)]]="Unknown",Backend!$C$8,"Error"))),"")</f>
        <v/>
      </c>
      <c r="F3279" s="8" t="str">
        <f>IF(Table1[[#This Row],[Is Data Valid]]=TRUE,EXP(0.578+0.332*((Table1[[#This Row],[Gestation (days)]]+0.5)/7)-0.00354*((Table1[[#This Row],[Gestation (days)]]+0.5)/7)^2)*Table1[[#This Row],[BW40_3705]],"")</f>
        <v/>
      </c>
      <c r="G3279" s="2" t="str">
        <f>IF(Table1[[#This Row],[Is Data Valid]]=TRUE,((Table1[[#This Row],[Birthweight (grams)]]/Table1[[#This Row],[BW_GA]])-1)/(Backend!$B$4/100*Table1[[#This Row],[BW40_3705]]),"")</f>
        <v/>
      </c>
      <c r="H3279" s="7" t="str">
        <f>IF(Table1[[#This Row],[Is Data Valid]]=TRUE,((Table1[[#This Row],[Birthweight (grams)]]*0.9/Table1[[#This Row],[BW_GA]])-1)/(Backend!$B$4/100*Table1[[#This Row],[BW40_3705]]),"")</f>
        <v/>
      </c>
      <c r="I3279" s="7" t="str">
        <f>IF(Table1[[#This Row],[Is Data Valid]]=TRUE,((Table1[[#This Row],[Birthweight (grams)]]*1.1/Table1[[#This Row],[BW_GA]])-1)/(Backend!$B$4/100*Table1[[#This Row],[BW40_3705]]),"")</f>
        <v/>
      </c>
      <c r="J3279" s="7" t="str">
        <f>IF(Table1[[#This Row],[Is Data Valid]]=TRUE,_xlfn.NORM.S.DIST(Table1[[#This Row],[Birthweight Z-Score]],TRUE)*100,"")</f>
        <v/>
      </c>
      <c r="K3279" s="7" t="str">
        <f>IF(Table1[[#This Row],[Is Data Valid]]=TRUE,_xlfn.NORM.S.DIST(Table1[[#This Row],[Birthweight Z-Score (BW-10%)]],TRUE)*100,"")</f>
        <v/>
      </c>
      <c r="L3279" s="7" t="str">
        <f>IF(Table1[[#This Row],[Is Data Valid]]=TRUE,_xlfn.NORM.S.DIST(Table1[[#This Row],[Birthweight Z-Score (BW+10%)]],TRUE)*100,"")</f>
        <v/>
      </c>
    </row>
    <row r="3280" spans="1:12" x14ac:dyDescent="0.35">
      <c r="A3280" s="3"/>
      <c r="B3280" s="2"/>
      <c r="C3280" s="2"/>
      <c r="D3280" s="2" t="b">
        <f>IF(AND(NOT(ISBLANK(Table1[[#This Row],[Fetal Sex (Male, Female or Unknown)]])),ISNUMBER(Table1[[#This Row],[Birthweight (grams)]]),ISNUMBER(Table1[[#This Row],[Gestation (days)]])),TRUE,FALSE)</f>
        <v>0</v>
      </c>
      <c r="E3280" s="2" t="str">
        <f>IF(Table1[[#This Row],[Is Data Valid]]=TRUE,IF(Table1[[#This Row],[Fetal Sex (Male, Female or Unknown)]]="Male",Backend!$C$6,IF(Table1[[#This Row],[Fetal Sex (Male, Female or Unknown)]]="Female",Backend!$C$7,IF(Table1[[#This Row],[Fetal Sex (Male, Female or Unknown)]]="Unknown",Backend!$C$8,"Error"))),"")</f>
        <v/>
      </c>
      <c r="F3280" s="8" t="str">
        <f>IF(Table1[[#This Row],[Is Data Valid]]=TRUE,EXP(0.578+0.332*((Table1[[#This Row],[Gestation (days)]]+0.5)/7)-0.00354*((Table1[[#This Row],[Gestation (days)]]+0.5)/7)^2)*Table1[[#This Row],[BW40_3705]],"")</f>
        <v/>
      </c>
      <c r="G3280" s="2" t="str">
        <f>IF(Table1[[#This Row],[Is Data Valid]]=TRUE,((Table1[[#This Row],[Birthweight (grams)]]/Table1[[#This Row],[BW_GA]])-1)/(Backend!$B$4/100*Table1[[#This Row],[BW40_3705]]),"")</f>
        <v/>
      </c>
      <c r="H3280" s="7" t="str">
        <f>IF(Table1[[#This Row],[Is Data Valid]]=TRUE,((Table1[[#This Row],[Birthweight (grams)]]*0.9/Table1[[#This Row],[BW_GA]])-1)/(Backend!$B$4/100*Table1[[#This Row],[BW40_3705]]),"")</f>
        <v/>
      </c>
      <c r="I3280" s="7" t="str">
        <f>IF(Table1[[#This Row],[Is Data Valid]]=TRUE,((Table1[[#This Row],[Birthweight (grams)]]*1.1/Table1[[#This Row],[BW_GA]])-1)/(Backend!$B$4/100*Table1[[#This Row],[BW40_3705]]),"")</f>
        <v/>
      </c>
      <c r="J3280" s="7" t="str">
        <f>IF(Table1[[#This Row],[Is Data Valid]]=TRUE,_xlfn.NORM.S.DIST(Table1[[#This Row],[Birthweight Z-Score]],TRUE)*100,"")</f>
        <v/>
      </c>
      <c r="K3280" s="7" t="str">
        <f>IF(Table1[[#This Row],[Is Data Valid]]=TRUE,_xlfn.NORM.S.DIST(Table1[[#This Row],[Birthweight Z-Score (BW-10%)]],TRUE)*100,"")</f>
        <v/>
      </c>
      <c r="L3280" s="7" t="str">
        <f>IF(Table1[[#This Row],[Is Data Valid]]=TRUE,_xlfn.NORM.S.DIST(Table1[[#This Row],[Birthweight Z-Score (BW+10%)]],TRUE)*100,"")</f>
        <v/>
      </c>
    </row>
    <row r="3281" spans="1:12" x14ac:dyDescent="0.35">
      <c r="A3281" s="3"/>
      <c r="B3281" s="2"/>
      <c r="C3281" s="2"/>
      <c r="D3281" s="2" t="b">
        <f>IF(AND(NOT(ISBLANK(Table1[[#This Row],[Fetal Sex (Male, Female or Unknown)]])),ISNUMBER(Table1[[#This Row],[Birthweight (grams)]]),ISNUMBER(Table1[[#This Row],[Gestation (days)]])),TRUE,FALSE)</f>
        <v>0</v>
      </c>
      <c r="E3281" s="2" t="str">
        <f>IF(Table1[[#This Row],[Is Data Valid]]=TRUE,IF(Table1[[#This Row],[Fetal Sex (Male, Female or Unknown)]]="Male",Backend!$C$6,IF(Table1[[#This Row],[Fetal Sex (Male, Female or Unknown)]]="Female",Backend!$C$7,IF(Table1[[#This Row],[Fetal Sex (Male, Female or Unknown)]]="Unknown",Backend!$C$8,"Error"))),"")</f>
        <v/>
      </c>
      <c r="F3281" s="8" t="str">
        <f>IF(Table1[[#This Row],[Is Data Valid]]=TRUE,EXP(0.578+0.332*((Table1[[#This Row],[Gestation (days)]]+0.5)/7)-0.00354*((Table1[[#This Row],[Gestation (days)]]+0.5)/7)^2)*Table1[[#This Row],[BW40_3705]],"")</f>
        <v/>
      </c>
      <c r="G3281" s="2" t="str">
        <f>IF(Table1[[#This Row],[Is Data Valid]]=TRUE,((Table1[[#This Row],[Birthweight (grams)]]/Table1[[#This Row],[BW_GA]])-1)/(Backend!$B$4/100*Table1[[#This Row],[BW40_3705]]),"")</f>
        <v/>
      </c>
      <c r="H3281" s="7" t="str">
        <f>IF(Table1[[#This Row],[Is Data Valid]]=TRUE,((Table1[[#This Row],[Birthweight (grams)]]*0.9/Table1[[#This Row],[BW_GA]])-1)/(Backend!$B$4/100*Table1[[#This Row],[BW40_3705]]),"")</f>
        <v/>
      </c>
      <c r="I3281" s="7" t="str">
        <f>IF(Table1[[#This Row],[Is Data Valid]]=TRUE,((Table1[[#This Row],[Birthweight (grams)]]*1.1/Table1[[#This Row],[BW_GA]])-1)/(Backend!$B$4/100*Table1[[#This Row],[BW40_3705]]),"")</f>
        <v/>
      </c>
      <c r="J3281" s="7" t="str">
        <f>IF(Table1[[#This Row],[Is Data Valid]]=TRUE,_xlfn.NORM.S.DIST(Table1[[#This Row],[Birthweight Z-Score]],TRUE)*100,"")</f>
        <v/>
      </c>
      <c r="K3281" s="7" t="str">
        <f>IF(Table1[[#This Row],[Is Data Valid]]=TRUE,_xlfn.NORM.S.DIST(Table1[[#This Row],[Birthweight Z-Score (BW-10%)]],TRUE)*100,"")</f>
        <v/>
      </c>
      <c r="L3281" s="7" t="str">
        <f>IF(Table1[[#This Row],[Is Data Valid]]=TRUE,_xlfn.NORM.S.DIST(Table1[[#This Row],[Birthweight Z-Score (BW+10%)]],TRUE)*100,"")</f>
        <v/>
      </c>
    </row>
    <row r="3282" spans="1:12" x14ac:dyDescent="0.35">
      <c r="A3282" s="3"/>
      <c r="B3282" s="2"/>
      <c r="C3282" s="2"/>
      <c r="D3282" s="2" t="b">
        <f>IF(AND(NOT(ISBLANK(Table1[[#This Row],[Fetal Sex (Male, Female or Unknown)]])),ISNUMBER(Table1[[#This Row],[Birthweight (grams)]]),ISNUMBER(Table1[[#This Row],[Gestation (days)]])),TRUE,FALSE)</f>
        <v>0</v>
      </c>
      <c r="E3282" s="2" t="str">
        <f>IF(Table1[[#This Row],[Is Data Valid]]=TRUE,IF(Table1[[#This Row],[Fetal Sex (Male, Female or Unknown)]]="Male",Backend!$C$6,IF(Table1[[#This Row],[Fetal Sex (Male, Female or Unknown)]]="Female",Backend!$C$7,IF(Table1[[#This Row],[Fetal Sex (Male, Female or Unknown)]]="Unknown",Backend!$C$8,"Error"))),"")</f>
        <v/>
      </c>
      <c r="F3282" s="8" t="str">
        <f>IF(Table1[[#This Row],[Is Data Valid]]=TRUE,EXP(0.578+0.332*((Table1[[#This Row],[Gestation (days)]]+0.5)/7)-0.00354*((Table1[[#This Row],[Gestation (days)]]+0.5)/7)^2)*Table1[[#This Row],[BW40_3705]],"")</f>
        <v/>
      </c>
      <c r="G3282" s="2" t="str">
        <f>IF(Table1[[#This Row],[Is Data Valid]]=TRUE,((Table1[[#This Row],[Birthweight (grams)]]/Table1[[#This Row],[BW_GA]])-1)/(Backend!$B$4/100*Table1[[#This Row],[BW40_3705]]),"")</f>
        <v/>
      </c>
      <c r="H3282" s="7" t="str">
        <f>IF(Table1[[#This Row],[Is Data Valid]]=TRUE,((Table1[[#This Row],[Birthweight (grams)]]*0.9/Table1[[#This Row],[BW_GA]])-1)/(Backend!$B$4/100*Table1[[#This Row],[BW40_3705]]),"")</f>
        <v/>
      </c>
      <c r="I3282" s="7" t="str">
        <f>IF(Table1[[#This Row],[Is Data Valid]]=TRUE,((Table1[[#This Row],[Birthweight (grams)]]*1.1/Table1[[#This Row],[BW_GA]])-1)/(Backend!$B$4/100*Table1[[#This Row],[BW40_3705]]),"")</f>
        <v/>
      </c>
      <c r="J3282" s="7" t="str">
        <f>IF(Table1[[#This Row],[Is Data Valid]]=TRUE,_xlfn.NORM.S.DIST(Table1[[#This Row],[Birthweight Z-Score]],TRUE)*100,"")</f>
        <v/>
      </c>
      <c r="K3282" s="7" t="str">
        <f>IF(Table1[[#This Row],[Is Data Valid]]=TRUE,_xlfn.NORM.S.DIST(Table1[[#This Row],[Birthweight Z-Score (BW-10%)]],TRUE)*100,"")</f>
        <v/>
      </c>
      <c r="L3282" s="7" t="str">
        <f>IF(Table1[[#This Row],[Is Data Valid]]=TRUE,_xlfn.NORM.S.DIST(Table1[[#This Row],[Birthweight Z-Score (BW+10%)]],TRUE)*100,"")</f>
        <v/>
      </c>
    </row>
    <row r="3283" spans="1:12" x14ac:dyDescent="0.35">
      <c r="A3283" s="3"/>
      <c r="B3283" s="2"/>
      <c r="C3283" s="2"/>
      <c r="D3283" s="2" t="b">
        <f>IF(AND(NOT(ISBLANK(Table1[[#This Row],[Fetal Sex (Male, Female or Unknown)]])),ISNUMBER(Table1[[#This Row],[Birthweight (grams)]]),ISNUMBER(Table1[[#This Row],[Gestation (days)]])),TRUE,FALSE)</f>
        <v>0</v>
      </c>
      <c r="E3283" s="2" t="str">
        <f>IF(Table1[[#This Row],[Is Data Valid]]=TRUE,IF(Table1[[#This Row],[Fetal Sex (Male, Female or Unknown)]]="Male",Backend!$C$6,IF(Table1[[#This Row],[Fetal Sex (Male, Female or Unknown)]]="Female",Backend!$C$7,IF(Table1[[#This Row],[Fetal Sex (Male, Female or Unknown)]]="Unknown",Backend!$C$8,"Error"))),"")</f>
        <v/>
      </c>
      <c r="F3283" s="8" t="str">
        <f>IF(Table1[[#This Row],[Is Data Valid]]=TRUE,EXP(0.578+0.332*((Table1[[#This Row],[Gestation (days)]]+0.5)/7)-0.00354*((Table1[[#This Row],[Gestation (days)]]+0.5)/7)^2)*Table1[[#This Row],[BW40_3705]],"")</f>
        <v/>
      </c>
      <c r="G3283" s="2" t="str">
        <f>IF(Table1[[#This Row],[Is Data Valid]]=TRUE,((Table1[[#This Row],[Birthweight (grams)]]/Table1[[#This Row],[BW_GA]])-1)/(Backend!$B$4/100*Table1[[#This Row],[BW40_3705]]),"")</f>
        <v/>
      </c>
      <c r="H3283" s="7" t="str">
        <f>IF(Table1[[#This Row],[Is Data Valid]]=TRUE,((Table1[[#This Row],[Birthweight (grams)]]*0.9/Table1[[#This Row],[BW_GA]])-1)/(Backend!$B$4/100*Table1[[#This Row],[BW40_3705]]),"")</f>
        <v/>
      </c>
      <c r="I3283" s="7" t="str">
        <f>IF(Table1[[#This Row],[Is Data Valid]]=TRUE,((Table1[[#This Row],[Birthweight (grams)]]*1.1/Table1[[#This Row],[BW_GA]])-1)/(Backend!$B$4/100*Table1[[#This Row],[BW40_3705]]),"")</f>
        <v/>
      </c>
      <c r="J3283" s="7" t="str">
        <f>IF(Table1[[#This Row],[Is Data Valid]]=TRUE,_xlfn.NORM.S.DIST(Table1[[#This Row],[Birthweight Z-Score]],TRUE)*100,"")</f>
        <v/>
      </c>
      <c r="K3283" s="7" t="str">
        <f>IF(Table1[[#This Row],[Is Data Valid]]=TRUE,_xlfn.NORM.S.DIST(Table1[[#This Row],[Birthweight Z-Score (BW-10%)]],TRUE)*100,"")</f>
        <v/>
      </c>
      <c r="L3283" s="7" t="str">
        <f>IF(Table1[[#This Row],[Is Data Valid]]=TRUE,_xlfn.NORM.S.DIST(Table1[[#This Row],[Birthweight Z-Score (BW+10%)]],TRUE)*100,"")</f>
        <v/>
      </c>
    </row>
    <row r="3284" spans="1:12" x14ac:dyDescent="0.35">
      <c r="A3284" s="3"/>
      <c r="B3284" s="2"/>
      <c r="C3284" s="2"/>
      <c r="D3284" s="2" t="b">
        <f>IF(AND(NOT(ISBLANK(Table1[[#This Row],[Fetal Sex (Male, Female or Unknown)]])),ISNUMBER(Table1[[#This Row],[Birthweight (grams)]]),ISNUMBER(Table1[[#This Row],[Gestation (days)]])),TRUE,FALSE)</f>
        <v>0</v>
      </c>
      <c r="E3284" s="2" t="str">
        <f>IF(Table1[[#This Row],[Is Data Valid]]=TRUE,IF(Table1[[#This Row],[Fetal Sex (Male, Female or Unknown)]]="Male",Backend!$C$6,IF(Table1[[#This Row],[Fetal Sex (Male, Female or Unknown)]]="Female",Backend!$C$7,IF(Table1[[#This Row],[Fetal Sex (Male, Female or Unknown)]]="Unknown",Backend!$C$8,"Error"))),"")</f>
        <v/>
      </c>
      <c r="F3284" s="8" t="str">
        <f>IF(Table1[[#This Row],[Is Data Valid]]=TRUE,EXP(0.578+0.332*((Table1[[#This Row],[Gestation (days)]]+0.5)/7)-0.00354*((Table1[[#This Row],[Gestation (days)]]+0.5)/7)^2)*Table1[[#This Row],[BW40_3705]],"")</f>
        <v/>
      </c>
      <c r="G3284" s="2" t="str">
        <f>IF(Table1[[#This Row],[Is Data Valid]]=TRUE,((Table1[[#This Row],[Birthweight (grams)]]/Table1[[#This Row],[BW_GA]])-1)/(Backend!$B$4/100*Table1[[#This Row],[BW40_3705]]),"")</f>
        <v/>
      </c>
      <c r="H3284" s="7" t="str">
        <f>IF(Table1[[#This Row],[Is Data Valid]]=TRUE,((Table1[[#This Row],[Birthweight (grams)]]*0.9/Table1[[#This Row],[BW_GA]])-1)/(Backend!$B$4/100*Table1[[#This Row],[BW40_3705]]),"")</f>
        <v/>
      </c>
      <c r="I3284" s="7" t="str">
        <f>IF(Table1[[#This Row],[Is Data Valid]]=TRUE,((Table1[[#This Row],[Birthweight (grams)]]*1.1/Table1[[#This Row],[BW_GA]])-1)/(Backend!$B$4/100*Table1[[#This Row],[BW40_3705]]),"")</f>
        <v/>
      </c>
      <c r="J3284" s="7" t="str">
        <f>IF(Table1[[#This Row],[Is Data Valid]]=TRUE,_xlfn.NORM.S.DIST(Table1[[#This Row],[Birthweight Z-Score]],TRUE)*100,"")</f>
        <v/>
      </c>
      <c r="K3284" s="7" t="str">
        <f>IF(Table1[[#This Row],[Is Data Valid]]=TRUE,_xlfn.NORM.S.DIST(Table1[[#This Row],[Birthweight Z-Score (BW-10%)]],TRUE)*100,"")</f>
        <v/>
      </c>
      <c r="L3284" s="7" t="str">
        <f>IF(Table1[[#This Row],[Is Data Valid]]=TRUE,_xlfn.NORM.S.DIST(Table1[[#This Row],[Birthweight Z-Score (BW+10%)]],TRUE)*100,"")</f>
        <v/>
      </c>
    </row>
    <row r="3285" spans="1:12" x14ac:dyDescent="0.35">
      <c r="A3285" s="3"/>
      <c r="B3285" s="2"/>
      <c r="C3285" s="2"/>
      <c r="D3285" s="2" t="b">
        <f>IF(AND(NOT(ISBLANK(Table1[[#This Row],[Fetal Sex (Male, Female or Unknown)]])),ISNUMBER(Table1[[#This Row],[Birthweight (grams)]]),ISNUMBER(Table1[[#This Row],[Gestation (days)]])),TRUE,FALSE)</f>
        <v>0</v>
      </c>
      <c r="E3285" s="2" t="str">
        <f>IF(Table1[[#This Row],[Is Data Valid]]=TRUE,IF(Table1[[#This Row],[Fetal Sex (Male, Female or Unknown)]]="Male",Backend!$C$6,IF(Table1[[#This Row],[Fetal Sex (Male, Female or Unknown)]]="Female",Backend!$C$7,IF(Table1[[#This Row],[Fetal Sex (Male, Female or Unknown)]]="Unknown",Backend!$C$8,"Error"))),"")</f>
        <v/>
      </c>
      <c r="F3285" s="8" t="str">
        <f>IF(Table1[[#This Row],[Is Data Valid]]=TRUE,EXP(0.578+0.332*((Table1[[#This Row],[Gestation (days)]]+0.5)/7)-0.00354*((Table1[[#This Row],[Gestation (days)]]+0.5)/7)^2)*Table1[[#This Row],[BW40_3705]],"")</f>
        <v/>
      </c>
      <c r="G3285" s="2" t="str">
        <f>IF(Table1[[#This Row],[Is Data Valid]]=TRUE,((Table1[[#This Row],[Birthweight (grams)]]/Table1[[#This Row],[BW_GA]])-1)/(Backend!$B$4/100*Table1[[#This Row],[BW40_3705]]),"")</f>
        <v/>
      </c>
      <c r="H3285" s="7" t="str">
        <f>IF(Table1[[#This Row],[Is Data Valid]]=TRUE,((Table1[[#This Row],[Birthweight (grams)]]*0.9/Table1[[#This Row],[BW_GA]])-1)/(Backend!$B$4/100*Table1[[#This Row],[BW40_3705]]),"")</f>
        <v/>
      </c>
      <c r="I3285" s="7" t="str">
        <f>IF(Table1[[#This Row],[Is Data Valid]]=TRUE,((Table1[[#This Row],[Birthweight (grams)]]*1.1/Table1[[#This Row],[BW_GA]])-1)/(Backend!$B$4/100*Table1[[#This Row],[BW40_3705]]),"")</f>
        <v/>
      </c>
      <c r="J3285" s="7" t="str">
        <f>IF(Table1[[#This Row],[Is Data Valid]]=TRUE,_xlfn.NORM.S.DIST(Table1[[#This Row],[Birthweight Z-Score]],TRUE)*100,"")</f>
        <v/>
      </c>
      <c r="K3285" s="7" t="str">
        <f>IF(Table1[[#This Row],[Is Data Valid]]=TRUE,_xlfn.NORM.S.DIST(Table1[[#This Row],[Birthweight Z-Score (BW-10%)]],TRUE)*100,"")</f>
        <v/>
      </c>
      <c r="L3285" s="7" t="str">
        <f>IF(Table1[[#This Row],[Is Data Valid]]=TRUE,_xlfn.NORM.S.DIST(Table1[[#This Row],[Birthweight Z-Score (BW+10%)]],TRUE)*100,"")</f>
        <v/>
      </c>
    </row>
    <row r="3286" spans="1:12" x14ac:dyDescent="0.35">
      <c r="A3286" s="3"/>
      <c r="B3286" s="2"/>
      <c r="C3286" s="2"/>
      <c r="D3286" s="2" t="b">
        <f>IF(AND(NOT(ISBLANK(Table1[[#This Row],[Fetal Sex (Male, Female or Unknown)]])),ISNUMBER(Table1[[#This Row],[Birthweight (grams)]]),ISNUMBER(Table1[[#This Row],[Gestation (days)]])),TRUE,FALSE)</f>
        <v>0</v>
      </c>
      <c r="E3286" s="2" t="str">
        <f>IF(Table1[[#This Row],[Is Data Valid]]=TRUE,IF(Table1[[#This Row],[Fetal Sex (Male, Female or Unknown)]]="Male",Backend!$C$6,IF(Table1[[#This Row],[Fetal Sex (Male, Female or Unknown)]]="Female",Backend!$C$7,IF(Table1[[#This Row],[Fetal Sex (Male, Female or Unknown)]]="Unknown",Backend!$C$8,"Error"))),"")</f>
        <v/>
      </c>
      <c r="F3286" s="8" t="str">
        <f>IF(Table1[[#This Row],[Is Data Valid]]=TRUE,EXP(0.578+0.332*((Table1[[#This Row],[Gestation (days)]]+0.5)/7)-0.00354*((Table1[[#This Row],[Gestation (days)]]+0.5)/7)^2)*Table1[[#This Row],[BW40_3705]],"")</f>
        <v/>
      </c>
      <c r="G3286" s="2" t="str">
        <f>IF(Table1[[#This Row],[Is Data Valid]]=TRUE,((Table1[[#This Row],[Birthweight (grams)]]/Table1[[#This Row],[BW_GA]])-1)/(Backend!$B$4/100*Table1[[#This Row],[BW40_3705]]),"")</f>
        <v/>
      </c>
      <c r="H3286" s="7" t="str">
        <f>IF(Table1[[#This Row],[Is Data Valid]]=TRUE,((Table1[[#This Row],[Birthweight (grams)]]*0.9/Table1[[#This Row],[BW_GA]])-1)/(Backend!$B$4/100*Table1[[#This Row],[BW40_3705]]),"")</f>
        <v/>
      </c>
      <c r="I3286" s="7" t="str">
        <f>IF(Table1[[#This Row],[Is Data Valid]]=TRUE,((Table1[[#This Row],[Birthweight (grams)]]*1.1/Table1[[#This Row],[BW_GA]])-1)/(Backend!$B$4/100*Table1[[#This Row],[BW40_3705]]),"")</f>
        <v/>
      </c>
      <c r="J3286" s="7" t="str">
        <f>IF(Table1[[#This Row],[Is Data Valid]]=TRUE,_xlfn.NORM.S.DIST(Table1[[#This Row],[Birthweight Z-Score]],TRUE)*100,"")</f>
        <v/>
      </c>
      <c r="K3286" s="7" t="str">
        <f>IF(Table1[[#This Row],[Is Data Valid]]=TRUE,_xlfn.NORM.S.DIST(Table1[[#This Row],[Birthweight Z-Score (BW-10%)]],TRUE)*100,"")</f>
        <v/>
      </c>
      <c r="L3286" s="7" t="str">
        <f>IF(Table1[[#This Row],[Is Data Valid]]=TRUE,_xlfn.NORM.S.DIST(Table1[[#This Row],[Birthweight Z-Score (BW+10%)]],TRUE)*100,"")</f>
        <v/>
      </c>
    </row>
    <row r="3287" spans="1:12" x14ac:dyDescent="0.35">
      <c r="A3287" s="3"/>
      <c r="B3287" s="2"/>
      <c r="C3287" s="2"/>
      <c r="D3287" s="2" t="b">
        <f>IF(AND(NOT(ISBLANK(Table1[[#This Row],[Fetal Sex (Male, Female or Unknown)]])),ISNUMBER(Table1[[#This Row],[Birthweight (grams)]]),ISNUMBER(Table1[[#This Row],[Gestation (days)]])),TRUE,FALSE)</f>
        <v>0</v>
      </c>
      <c r="E3287" s="2" t="str">
        <f>IF(Table1[[#This Row],[Is Data Valid]]=TRUE,IF(Table1[[#This Row],[Fetal Sex (Male, Female or Unknown)]]="Male",Backend!$C$6,IF(Table1[[#This Row],[Fetal Sex (Male, Female or Unknown)]]="Female",Backend!$C$7,IF(Table1[[#This Row],[Fetal Sex (Male, Female or Unknown)]]="Unknown",Backend!$C$8,"Error"))),"")</f>
        <v/>
      </c>
      <c r="F3287" s="8" t="str">
        <f>IF(Table1[[#This Row],[Is Data Valid]]=TRUE,EXP(0.578+0.332*((Table1[[#This Row],[Gestation (days)]]+0.5)/7)-0.00354*((Table1[[#This Row],[Gestation (days)]]+0.5)/7)^2)*Table1[[#This Row],[BW40_3705]],"")</f>
        <v/>
      </c>
      <c r="G3287" s="2" t="str">
        <f>IF(Table1[[#This Row],[Is Data Valid]]=TRUE,((Table1[[#This Row],[Birthweight (grams)]]/Table1[[#This Row],[BW_GA]])-1)/(Backend!$B$4/100*Table1[[#This Row],[BW40_3705]]),"")</f>
        <v/>
      </c>
      <c r="H3287" s="7" t="str">
        <f>IF(Table1[[#This Row],[Is Data Valid]]=TRUE,((Table1[[#This Row],[Birthweight (grams)]]*0.9/Table1[[#This Row],[BW_GA]])-1)/(Backend!$B$4/100*Table1[[#This Row],[BW40_3705]]),"")</f>
        <v/>
      </c>
      <c r="I3287" s="7" t="str">
        <f>IF(Table1[[#This Row],[Is Data Valid]]=TRUE,((Table1[[#This Row],[Birthweight (grams)]]*1.1/Table1[[#This Row],[BW_GA]])-1)/(Backend!$B$4/100*Table1[[#This Row],[BW40_3705]]),"")</f>
        <v/>
      </c>
      <c r="J3287" s="7" t="str">
        <f>IF(Table1[[#This Row],[Is Data Valid]]=TRUE,_xlfn.NORM.S.DIST(Table1[[#This Row],[Birthweight Z-Score]],TRUE)*100,"")</f>
        <v/>
      </c>
      <c r="K3287" s="7" t="str">
        <f>IF(Table1[[#This Row],[Is Data Valid]]=TRUE,_xlfn.NORM.S.DIST(Table1[[#This Row],[Birthweight Z-Score (BW-10%)]],TRUE)*100,"")</f>
        <v/>
      </c>
      <c r="L3287" s="7" t="str">
        <f>IF(Table1[[#This Row],[Is Data Valid]]=TRUE,_xlfn.NORM.S.DIST(Table1[[#This Row],[Birthweight Z-Score (BW+10%)]],TRUE)*100,"")</f>
        <v/>
      </c>
    </row>
    <row r="3288" spans="1:12" x14ac:dyDescent="0.35">
      <c r="A3288" s="3"/>
      <c r="B3288" s="2"/>
      <c r="C3288" s="2"/>
      <c r="D3288" s="2" t="b">
        <f>IF(AND(NOT(ISBLANK(Table1[[#This Row],[Fetal Sex (Male, Female or Unknown)]])),ISNUMBER(Table1[[#This Row],[Birthweight (grams)]]),ISNUMBER(Table1[[#This Row],[Gestation (days)]])),TRUE,FALSE)</f>
        <v>0</v>
      </c>
      <c r="E3288" s="2" t="str">
        <f>IF(Table1[[#This Row],[Is Data Valid]]=TRUE,IF(Table1[[#This Row],[Fetal Sex (Male, Female or Unknown)]]="Male",Backend!$C$6,IF(Table1[[#This Row],[Fetal Sex (Male, Female or Unknown)]]="Female",Backend!$C$7,IF(Table1[[#This Row],[Fetal Sex (Male, Female or Unknown)]]="Unknown",Backend!$C$8,"Error"))),"")</f>
        <v/>
      </c>
      <c r="F3288" s="8" t="str">
        <f>IF(Table1[[#This Row],[Is Data Valid]]=TRUE,EXP(0.578+0.332*((Table1[[#This Row],[Gestation (days)]]+0.5)/7)-0.00354*((Table1[[#This Row],[Gestation (days)]]+0.5)/7)^2)*Table1[[#This Row],[BW40_3705]],"")</f>
        <v/>
      </c>
      <c r="G3288" s="2" t="str">
        <f>IF(Table1[[#This Row],[Is Data Valid]]=TRUE,((Table1[[#This Row],[Birthweight (grams)]]/Table1[[#This Row],[BW_GA]])-1)/(Backend!$B$4/100*Table1[[#This Row],[BW40_3705]]),"")</f>
        <v/>
      </c>
      <c r="H3288" s="7" t="str">
        <f>IF(Table1[[#This Row],[Is Data Valid]]=TRUE,((Table1[[#This Row],[Birthweight (grams)]]*0.9/Table1[[#This Row],[BW_GA]])-1)/(Backend!$B$4/100*Table1[[#This Row],[BW40_3705]]),"")</f>
        <v/>
      </c>
      <c r="I3288" s="7" t="str">
        <f>IF(Table1[[#This Row],[Is Data Valid]]=TRUE,((Table1[[#This Row],[Birthweight (grams)]]*1.1/Table1[[#This Row],[BW_GA]])-1)/(Backend!$B$4/100*Table1[[#This Row],[BW40_3705]]),"")</f>
        <v/>
      </c>
      <c r="J3288" s="7" t="str">
        <f>IF(Table1[[#This Row],[Is Data Valid]]=TRUE,_xlfn.NORM.S.DIST(Table1[[#This Row],[Birthweight Z-Score]],TRUE)*100,"")</f>
        <v/>
      </c>
      <c r="K3288" s="7" t="str">
        <f>IF(Table1[[#This Row],[Is Data Valid]]=TRUE,_xlfn.NORM.S.DIST(Table1[[#This Row],[Birthweight Z-Score (BW-10%)]],TRUE)*100,"")</f>
        <v/>
      </c>
      <c r="L3288" s="7" t="str">
        <f>IF(Table1[[#This Row],[Is Data Valid]]=TRUE,_xlfn.NORM.S.DIST(Table1[[#This Row],[Birthweight Z-Score (BW+10%)]],TRUE)*100,"")</f>
        <v/>
      </c>
    </row>
    <row r="3289" spans="1:12" x14ac:dyDescent="0.35">
      <c r="A3289" s="3"/>
      <c r="B3289" s="2"/>
      <c r="C3289" s="2"/>
      <c r="D3289" s="2" t="b">
        <f>IF(AND(NOT(ISBLANK(Table1[[#This Row],[Fetal Sex (Male, Female or Unknown)]])),ISNUMBER(Table1[[#This Row],[Birthweight (grams)]]),ISNUMBER(Table1[[#This Row],[Gestation (days)]])),TRUE,FALSE)</f>
        <v>0</v>
      </c>
      <c r="E3289" s="2" t="str">
        <f>IF(Table1[[#This Row],[Is Data Valid]]=TRUE,IF(Table1[[#This Row],[Fetal Sex (Male, Female or Unknown)]]="Male",Backend!$C$6,IF(Table1[[#This Row],[Fetal Sex (Male, Female or Unknown)]]="Female",Backend!$C$7,IF(Table1[[#This Row],[Fetal Sex (Male, Female or Unknown)]]="Unknown",Backend!$C$8,"Error"))),"")</f>
        <v/>
      </c>
      <c r="F3289" s="8" t="str">
        <f>IF(Table1[[#This Row],[Is Data Valid]]=TRUE,EXP(0.578+0.332*((Table1[[#This Row],[Gestation (days)]]+0.5)/7)-0.00354*((Table1[[#This Row],[Gestation (days)]]+0.5)/7)^2)*Table1[[#This Row],[BW40_3705]],"")</f>
        <v/>
      </c>
      <c r="G3289" s="2" t="str">
        <f>IF(Table1[[#This Row],[Is Data Valid]]=TRUE,((Table1[[#This Row],[Birthweight (grams)]]/Table1[[#This Row],[BW_GA]])-1)/(Backend!$B$4/100*Table1[[#This Row],[BW40_3705]]),"")</f>
        <v/>
      </c>
      <c r="H3289" s="7" t="str">
        <f>IF(Table1[[#This Row],[Is Data Valid]]=TRUE,((Table1[[#This Row],[Birthweight (grams)]]*0.9/Table1[[#This Row],[BW_GA]])-1)/(Backend!$B$4/100*Table1[[#This Row],[BW40_3705]]),"")</f>
        <v/>
      </c>
      <c r="I3289" s="7" t="str">
        <f>IF(Table1[[#This Row],[Is Data Valid]]=TRUE,((Table1[[#This Row],[Birthweight (grams)]]*1.1/Table1[[#This Row],[BW_GA]])-1)/(Backend!$B$4/100*Table1[[#This Row],[BW40_3705]]),"")</f>
        <v/>
      </c>
      <c r="J3289" s="7" t="str">
        <f>IF(Table1[[#This Row],[Is Data Valid]]=TRUE,_xlfn.NORM.S.DIST(Table1[[#This Row],[Birthweight Z-Score]],TRUE)*100,"")</f>
        <v/>
      </c>
      <c r="K3289" s="7" t="str">
        <f>IF(Table1[[#This Row],[Is Data Valid]]=TRUE,_xlfn.NORM.S.DIST(Table1[[#This Row],[Birthweight Z-Score (BW-10%)]],TRUE)*100,"")</f>
        <v/>
      </c>
      <c r="L3289" s="7" t="str">
        <f>IF(Table1[[#This Row],[Is Data Valid]]=TRUE,_xlfn.NORM.S.DIST(Table1[[#This Row],[Birthweight Z-Score (BW+10%)]],TRUE)*100,"")</f>
        <v/>
      </c>
    </row>
    <row r="3290" spans="1:12" x14ac:dyDescent="0.35">
      <c r="A3290" s="3"/>
      <c r="B3290" s="2"/>
      <c r="C3290" s="2"/>
      <c r="D3290" s="2" t="b">
        <f>IF(AND(NOT(ISBLANK(Table1[[#This Row],[Fetal Sex (Male, Female or Unknown)]])),ISNUMBER(Table1[[#This Row],[Birthweight (grams)]]),ISNUMBER(Table1[[#This Row],[Gestation (days)]])),TRUE,FALSE)</f>
        <v>0</v>
      </c>
      <c r="E3290" s="2" t="str">
        <f>IF(Table1[[#This Row],[Is Data Valid]]=TRUE,IF(Table1[[#This Row],[Fetal Sex (Male, Female or Unknown)]]="Male",Backend!$C$6,IF(Table1[[#This Row],[Fetal Sex (Male, Female or Unknown)]]="Female",Backend!$C$7,IF(Table1[[#This Row],[Fetal Sex (Male, Female or Unknown)]]="Unknown",Backend!$C$8,"Error"))),"")</f>
        <v/>
      </c>
      <c r="F3290" s="8" t="str">
        <f>IF(Table1[[#This Row],[Is Data Valid]]=TRUE,EXP(0.578+0.332*((Table1[[#This Row],[Gestation (days)]]+0.5)/7)-0.00354*((Table1[[#This Row],[Gestation (days)]]+0.5)/7)^2)*Table1[[#This Row],[BW40_3705]],"")</f>
        <v/>
      </c>
      <c r="G3290" s="2" t="str">
        <f>IF(Table1[[#This Row],[Is Data Valid]]=TRUE,((Table1[[#This Row],[Birthweight (grams)]]/Table1[[#This Row],[BW_GA]])-1)/(Backend!$B$4/100*Table1[[#This Row],[BW40_3705]]),"")</f>
        <v/>
      </c>
      <c r="H3290" s="7" t="str">
        <f>IF(Table1[[#This Row],[Is Data Valid]]=TRUE,((Table1[[#This Row],[Birthweight (grams)]]*0.9/Table1[[#This Row],[BW_GA]])-1)/(Backend!$B$4/100*Table1[[#This Row],[BW40_3705]]),"")</f>
        <v/>
      </c>
      <c r="I3290" s="7" t="str">
        <f>IF(Table1[[#This Row],[Is Data Valid]]=TRUE,((Table1[[#This Row],[Birthweight (grams)]]*1.1/Table1[[#This Row],[BW_GA]])-1)/(Backend!$B$4/100*Table1[[#This Row],[BW40_3705]]),"")</f>
        <v/>
      </c>
      <c r="J3290" s="7" t="str">
        <f>IF(Table1[[#This Row],[Is Data Valid]]=TRUE,_xlfn.NORM.S.DIST(Table1[[#This Row],[Birthweight Z-Score]],TRUE)*100,"")</f>
        <v/>
      </c>
      <c r="K3290" s="7" t="str">
        <f>IF(Table1[[#This Row],[Is Data Valid]]=TRUE,_xlfn.NORM.S.DIST(Table1[[#This Row],[Birthweight Z-Score (BW-10%)]],TRUE)*100,"")</f>
        <v/>
      </c>
      <c r="L3290" s="7" t="str">
        <f>IF(Table1[[#This Row],[Is Data Valid]]=TRUE,_xlfn.NORM.S.DIST(Table1[[#This Row],[Birthweight Z-Score (BW+10%)]],TRUE)*100,"")</f>
        <v/>
      </c>
    </row>
    <row r="3291" spans="1:12" x14ac:dyDescent="0.35">
      <c r="A3291" s="3"/>
      <c r="B3291" s="2"/>
      <c r="C3291" s="2"/>
      <c r="D3291" s="2" t="b">
        <f>IF(AND(NOT(ISBLANK(Table1[[#This Row],[Fetal Sex (Male, Female or Unknown)]])),ISNUMBER(Table1[[#This Row],[Birthweight (grams)]]),ISNUMBER(Table1[[#This Row],[Gestation (days)]])),TRUE,FALSE)</f>
        <v>0</v>
      </c>
      <c r="E3291" s="2" t="str">
        <f>IF(Table1[[#This Row],[Is Data Valid]]=TRUE,IF(Table1[[#This Row],[Fetal Sex (Male, Female or Unknown)]]="Male",Backend!$C$6,IF(Table1[[#This Row],[Fetal Sex (Male, Female or Unknown)]]="Female",Backend!$C$7,IF(Table1[[#This Row],[Fetal Sex (Male, Female or Unknown)]]="Unknown",Backend!$C$8,"Error"))),"")</f>
        <v/>
      </c>
      <c r="F3291" s="8" t="str">
        <f>IF(Table1[[#This Row],[Is Data Valid]]=TRUE,EXP(0.578+0.332*((Table1[[#This Row],[Gestation (days)]]+0.5)/7)-0.00354*((Table1[[#This Row],[Gestation (days)]]+0.5)/7)^2)*Table1[[#This Row],[BW40_3705]],"")</f>
        <v/>
      </c>
      <c r="G3291" s="2" t="str">
        <f>IF(Table1[[#This Row],[Is Data Valid]]=TRUE,((Table1[[#This Row],[Birthweight (grams)]]/Table1[[#This Row],[BW_GA]])-1)/(Backend!$B$4/100*Table1[[#This Row],[BW40_3705]]),"")</f>
        <v/>
      </c>
      <c r="H3291" s="7" t="str">
        <f>IF(Table1[[#This Row],[Is Data Valid]]=TRUE,((Table1[[#This Row],[Birthweight (grams)]]*0.9/Table1[[#This Row],[BW_GA]])-1)/(Backend!$B$4/100*Table1[[#This Row],[BW40_3705]]),"")</f>
        <v/>
      </c>
      <c r="I3291" s="7" t="str">
        <f>IF(Table1[[#This Row],[Is Data Valid]]=TRUE,((Table1[[#This Row],[Birthweight (grams)]]*1.1/Table1[[#This Row],[BW_GA]])-1)/(Backend!$B$4/100*Table1[[#This Row],[BW40_3705]]),"")</f>
        <v/>
      </c>
      <c r="J3291" s="7" t="str">
        <f>IF(Table1[[#This Row],[Is Data Valid]]=TRUE,_xlfn.NORM.S.DIST(Table1[[#This Row],[Birthweight Z-Score]],TRUE)*100,"")</f>
        <v/>
      </c>
      <c r="K3291" s="7" t="str">
        <f>IF(Table1[[#This Row],[Is Data Valid]]=TRUE,_xlfn.NORM.S.DIST(Table1[[#This Row],[Birthweight Z-Score (BW-10%)]],TRUE)*100,"")</f>
        <v/>
      </c>
      <c r="L3291" s="7" t="str">
        <f>IF(Table1[[#This Row],[Is Data Valid]]=TRUE,_xlfn.NORM.S.DIST(Table1[[#This Row],[Birthweight Z-Score (BW+10%)]],TRUE)*100,"")</f>
        <v/>
      </c>
    </row>
    <row r="3292" spans="1:12" x14ac:dyDescent="0.35">
      <c r="A3292" s="3"/>
      <c r="B3292" s="2"/>
      <c r="C3292" s="2"/>
      <c r="D3292" s="2" t="b">
        <f>IF(AND(NOT(ISBLANK(Table1[[#This Row],[Fetal Sex (Male, Female or Unknown)]])),ISNUMBER(Table1[[#This Row],[Birthweight (grams)]]),ISNUMBER(Table1[[#This Row],[Gestation (days)]])),TRUE,FALSE)</f>
        <v>0</v>
      </c>
      <c r="E3292" s="2" t="str">
        <f>IF(Table1[[#This Row],[Is Data Valid]]=TRUE,IF(Table1[[#This Row],[Fetal Sex (Male, Female or Unknown)]]="Male",Backend!$C$6,IF(Table1[[#This Row],[Fetal Sex (Male, Female or Unknown)]]="Female",Backend!$C$7,IF(Table1[[#This Row],[Fetal Sex (Male, Female or Unknown)]]="Unknown",Backend!$C$8,"Error"))),"")</f>
        <v/>
      </c>
      <c r="F3292" s="8" t="str">
        <f>IF(Table1[[#This Row],[Is Data Valid]]=TRUE,EXP(0.578+0.332*((Table1[[#This Row],[Gestation (days)]]+0.5)/7)-0.00354*((Table1[[#This Row],[Gestation (days)]]+0.5)/7)^2)*Table1[[#This Row],[BW40_3705]],"")</f>
        <v/>
      </c>
      <c r="G3292" s="2" t="str">
        <f>IF(Table1[[#This Row],[Is Data Valid]]=TRUE,((Table1[[#This Row],[Birthweight (grams)]]/Table1[[#This Row],[BW_GA]])-1)/(Backend!$B$4/100*Table1[[#This Row],[BW40_3705]]),"")</f>
        <v/>
      </c>
      <c r="H3292" s="7" t="str">
        <f>IF(Table1[[#This Row],[Is Data Valid]]=TRUE,((Table1[[#This Row],[Birthweight (grams)]]*0.9/Table1[[#This Row],[BW_GA]])-1)/(Backend!$B$4/100*Table1[[#This Row],[BW40_3705]]),"")</f>
        <v/>
      </c>
      <c r="I3292" s="7" t="str">
        <f>IF(Table1[[#This Row],[Is Data Valid]]=TRUE,((Table1[[#This Row],[Birthweight (grams)]]*1.1/Table1[[#This Row],[BW_GA]])-1)/(Backend!$B$4/100*Table1[[#This Row],[BW40_3705]]),"")</f>
        <v/>
      </c>
      <c r="J3292" s="7" t="str">
        <f>IF(Table1[[#This Row],[Is Data Valid]]=TRUE,_xlfn.NORM.S.DIST(Table1[[#This Row],[Birthweight Z-Score]],TRUE)*100,"")</f>
        <v/>
      </c>
      <c r="K3292" s="7" t="str">
        <f>IF(Table1[[#This Row],[Is Data Valid]]=TRUE,_xlfn.NORM.S.DIST(Table1[[#This Row],[Birthweight Z-Score (BW-10%)]],TRUE)*100,"")</f>
        <v/>
      </c>
      <c r="L3292" s="7" t="str">
        <f>IF(Table1[[#This Row],[Is Data Valid]]=TRUE,_xlfn.NORM.S.DIST(Table1[[#This Row],[Birthweight Z-Score (BW+10%)]],TRUE)*100,"")</f>
        <v/>
      </c>
    </row>
    <row r="3293" spans="1:12" x14ac:dyDescent="0.35">
      <c r="A3293" s="3"/>
      <c r="B3293" s="2"/>
      <c r="C3293" s="2"/>
      <c r="D3293" s="2" t="b">
        <f>IF(AND(NOT(ISBLANK(Table1[[#This Row],[Fetal Sex (Male, Female or Unknown)]])),ISNUMBER(Table1[[#This Row],[Birthweight (grams)]]),ISNUMBER(Table1[[#This Row],[Gestation (days)]])),TRUE,FALSE)</f>
        <v>0</v>
      </c>
      <c r="E3293" s="2" t="str">
        <f>IF(Table1[[#This Row],[Is Data Valid]]=TRUE,IF(Table1[[#This Row],[Fetal Sex (Male, Female or Unknown)]]="Male",Backend!$C$6,IF(Table1[[#This Row],[Fetal Sex (Male, Female or Unknown)]]="Female",Backend!$C$7,IF(Table1[[#This Row],[Fetal Sex (Male, Female or Unknown)]]="Unknown",Backend!$C$8,"Error"))),"")</f>
        <v/>
      </c>
      <c r="F3293" s="8" t="str">
        <f>IF(Table1[[#This Row],[Is Data Valid]]=TRUE,EXP(0.578+0.332*((Table1[[#This Row],[Gestation (days)]]+0.5)/7)-0.00354*((Table1[[#This Row],[Gestation (days)]]+0.5)/7)^2)*Table1[[#This Row],[BW40_3705]],"")</f>
        <v/>
      </c>
      <c r="G3293" s="2" t="str">
        <f>IF(Table1[[#This Row],[Is Data Valid]]=TRUE,((Table1[[#This Row],[Birthweight (grams)]]/Table1[[#This Row],[BW_GA]])-1)/(Backend!$B$4/100*Table1[[#This Row],[BW40_3705]]),"")</f>
        <v/>
      </c>
      <c r="H3293" s="7" t="str">
        <f>IF(Table1[[#This Row],[Is Data Valid]]=TRUE,((Table1[[#This Row],[Birthweight (grams)]]*0.9/Table1[[#This Row],[BW_GA]])-1)/(Backend!$B$4/100*Table1[[#This Row],[BW40_3705]]),"")</f>
        <v/>
      </c>
      <c r="I3293" s="7" t="str">
        <f>IF(Table1[[#This Row],[Is Data Valid]]=TRUE,((Table1[[#This Row],[Birthweight (grams)]]*1.1/Table1[[#This Row],[BW_GA]])-1)/(Backend!$B$4/100*Table1[[#This Row],[BW40_3705]]),"")</f>
        <v/>
      </c>
      <c r="J3293" s="7" t="str">
        <f>IF(Table1[[#This Row],[Is Data Valid]]=TRUE,_xlfn.NORM.S.DIST(Table1[[#This Row],[Birthweight Z-Score]],TRUE)*100,"")</f>
        <v/>
      </c>
      <c r="K3293" s="7" t="str">
        <f>IF(Table1[[#This Row],[Is Data Valid]]=TRUE,_xlfn.NORM.S.DIST(Table1[[#This Row],[Birthweight Z-Score (BW-10%)]],TRUE)*100,"")</f>
        <v/>
      </c>
      <c r="L3293" s="7" t="str">
        <f>IF(Table1[[#This Row],[Is Data Valid]]=TRUE,_xlfn.NORM.S.DIST(Table1[[#This Row],[Birthweight Z-Score (BW+10%)]],TRUE)*100,"")</f>
        <v/>
      </c>
    </row>
    <row r="3294" spans="1:12" x14ac:dyDescent="0.35">
      <c r="A3294" s="3"/>
      <c r="B3294" s="2"/>
      <c r="C3294" s="2"/>
      <c r="D3294" s="2" t="b">
        <f>IF(AND(NOT(ISBLANK(Table1[[#This Row],[Fetal Sex (Male, Female or Unknown)]])),ISNUMBER(Table1[[#This Row],[Birthweight (grams)]]),ISNUMBER(Table1[[#This Row],[Gestation (days)]])),TRUE,FALSE)</f>
        <v>0</v>
      </c>
      <c r="E3294" s="2" t="str">
        <f>IF(Table1[[#This Row],[Is Data Valid]]=TRUE,IF(Table1[[#This Row],[Fetal Sex (Male, Female or Unknown)]]="Male",Backend!$C$6,IF(Table1[[#This Row],[Fetal Sex (Male, Female or Unknown)]]="Female",Backend!$C$7,IF(Table1[[#This Row],[Fetal Sex (Male, Female or Unknown)]]="Unknown",Backend!$C$8,"Error"))),"")</f>
        <v/>
      </c>
      <c r="F3294" s="8" t="str">
        <f>IF(Table1[[#This Row],[Is Data Valid]]=TRUE,EXP(0.578+0.332*((Table1[[#This Row],[Gestation (days)]]+0.5)/7)-0.00354*((Table1[[#This Row],[Gestation (days)]]+0.5)/7)^2)*Table1[[#This Row],[BW40_3705]],"")</f>
        <v/>
      </c>
      <c r="G3294" s="2" t="str">
        <f>IF(Table1[[#This Row],[Is Data Valid]]=TRUE,((Table1[[#This Row],[Birthweight (grams)]]/Table1[[#This Row],[BW_GA]])-1)/(Backend!$B$4/100*Table1[[#This Row],[BW40_3705]]),"")</f>
        <v/>
      </c>
      <c r="H3294" s="7" t="str">
        <f>IF(Table1[[#This Row],[Is Data Valid]]=TRUE,((Table1[[#This Row],[Birthweight (grams)]]*0.9/Table1[[#This Row],[BW_GA]])-1)/(Backend!$B$4/100*Table1[[#This Row],[BW40_3705]]),"")</f>
        <v/>
      </c>
      <c r="I3294" s="7" t="str">
        <f>IF(Table1[[#This Row],[Is Data Valid]]=TRUE,((Table1[[#This Row],[Birthweight (grams)]]*1.1/Table1[[#This Row],[BW_GA]])-1)/(Backend!$B$4/100*Table1[[#This Row],[BW40_3705]]),"")</f>
        <v/>
      </c>
      <c r="J3294" s="7" t="str">
        <f>IF(Table1[[#This Row],[Is Data Valid]]=TRUE,_xlfn.NORM.S.DIST(Table1[[#This Row],[Birthweight Z-Score]],TRUE)*100,"")</f>
        <v/>
      </c>
      <c r="K3294" s="7" t="str">
        <f>IF(Table1[[#This Row],[Is Data Valid]]=TRUE,_xlfn.NORM.S.DIST(Table1[[#This Row],[Birthweight Z-Score (BW-10%)]],TRUE)*100,"")</f>
        <v/>
      </c>
      <c r="L3294" s="7" t="str">
        <f>IF(Table1[[#This Row],[Is Data Valid]]=TRUE,_xlfn.NORM.S.DIST(Table1[[#This Row],[Birthweight Z-Score (BW+10%)]],TRUE)*100,"")</f>
        <v/>
      </c>
    </row>
    <row r="3295" spans="1:12" x14ac:dyDescent="0.35">
      <c r="A3295" s="3"/>
      <c r="B3295" s="2"/>
      <c r="C3295" s="2"/>
      <c r="D3295" s="2" t="b">
        <f>IF(AND(NOT(ISBLANK(Table1[[#This Row],[Fetal Sex (Male, Female or Unknown)]])),ISNUMBER(Table1[[#This Row],[Birthweight (grams)]]),ISNUMBER(Table1[[#This Row],[Gestation (days)]])),TRUE,FALSE)</f>
        <v>0</v>
      </c>
      <c r="E3295" s="2" t="str">
        <f>IF(Table1[[#This Row],[Is Data Valid]]=TRUE,IF(Table1[[#This Row],[Fetal Sex (Male, Female or Unknown)]]="Male",Backend!$C$6,IF(Table1[[#This Row],[Fetal Sex (Male, Female or Unknown)]]="Female",Backend!$C$7,IF(Table1[[#This Row],[Fetal Sex (Male, Female or Unknown)]]="Unknown",Backend!$C$8,"Error"))),"")</f>
        <v/>
      </c>
      <c r="F3295" s="8" t="str">
        <f>IF(Table1[[#This Row],[Is Data Valid]]=TRUE,EXP(0.578+0.332*((Table1[[#This Row],[Gestation (days)]]+0.5)/7)-0.00354*((Table1[[#This Row],[Gestation (days)]]+0.5)/7)^2)*Table1[[#This Row],[BW40_3705]],"")</f>
        <v/>
      </c>
      <c r="G3295" s="2" t="str">
        <f>IF(Table1[[#This Row],[Is Data Valid]]=TRUE,((Table1[[#This Row],[Birthweight (grams)]]/Table1[[#This Row],[BW_GA]])-1)/(Backend!$B$4/100*Table1[[#This Row],[BW40_3705]]),"")</f>
        <v/>
      </c>
      <c r="H3295" s="7" t="str">
        <f>IF(Table1[[#This Row],[Is Data Valid]]=TRUE,((Table1[[#This Row],[Birthweight (grams)]]*0.9/Table1[[#This Row],[BW_GA]])-1)/(Backend!$B$4/100*Table1[[#This Row],[BW40_3705]]),"")</f>
        <v/>
      </c>
      <c r="I3295" s="7" t="str">
        <f>IF(Table1[[#This Row],[Is Data Valid]]=TRUE,((Table1[[#This Row],[Birthweight (grams)]]*1.1/Table1[[#This Row],[BW_GA]])-1)/(Backend!$B$4/100*Table1[[#This Row],[BW40_3705]]),"")</f>
        <v/>
      </c>
      <c r="J3295" s="7" t="str">
        <f>IF(Table1[[#This Row],[Is Data Valid]]=TRUE,_xlfn.NORM.S.DIST(Table1[[#This Row],[Birthweight Z-Score]],TRUE)*100,"")</f>
        <v/>
      </c>
      <c r="K3295" s="7" t="str">
        <f>IF(Table1[[#This Row],[Is Data Valid]]=TRUE,_xlfn.NORM.S.DIST(Table1[[#This Row],[Birthweight Z-Score (BW-10%)]],TRUE)*100,"")</f>
        <v/>
      </c>
      <c r="L3295" s="7" t="str">
        <f>IF(Table1[[#This Row],[Is Data Valid]]=TRUE,_xlfn.NORM.S.DIST(Table1[[#This Row],[Birthweight Z-Score (BW+10%)]],TRUE)*100,"")</f>
        <v/>
      </c>
    </row>
    <row r="3296" spans="1:12" x14ac:dyDescent="0.35">
      <c r="A3296" s="3"/>
      <c r="B3296" s="2"/>
      <c r="C3296" s="2"/>
      <c r="D3296" s="2" t="b">
        <f>IF(AND(NOT(ISBLANK(Table1[[#This Row],[Fetal Sex (Male, Female or Unknown)]])),ISNUMBER(Table1[[#This Row],[Birthweight (grams)]]),ISNUMBER(Table1[[#This Row],[Gestation (days)]])),TRUE,FALSE)</f>
        <v>0</v>
      </c>
      <c r="E3296" s="2" t="str">
        <f>IF(Table1[[#This Row],[Is Data Valid]]=TRUE,IF(Table1[[#This Row],[Fetal Sex (Male, Female or Unknown)]]="Male",Backend!$C$6,IF(Table1[[#This Row],[Fetal Sex (Male, Female or Unknown)]]="Female",Backend!$C$7,IF(Table1[[#This Row],[Fetal Sex (Male, Female or Unknown)]]="Unknown",Backend!$C$8,"Error"))),"")</f>
        <v/>
      </c>
      <c r="F3296" s="8" t="str">
        <f>IF(Table1[[#This Row],[Is Data Valid]]=TRUE,EXP(0.578+0.332*((Table1[[#This Row],[Gestation (days)]]+0.5)/7)-0.00354*((Table1[[#This Row],[Gestation (days)]]+0.5)/7)^2)*Table1[[#This Row],[BW40_3705]],"")</f>
        <v/>
      </c>
      <c r="G3296" s="2" t="str">
        <f>IF(Table1[[#This Row],[Is Data Valid]]=TRUE,((Table1[[#This Row],[Birthweight (grams)]]/Table1[[#This Row],[BW_GA]])-1)/(Backend!$B$4/100*Table1[[#This Row],[BW40_3705]]),"")</f>
        <v/>
      </c>
      <c r="H3296" s="7" t="str">
        <f>IF(Table1[[#This Row],[Is Data Valid]]=TRUE,((Table1[[#This Row],[Birthweight (grams)]]*0.9/Table1[[#This Row],[BW_GA]])-1)/(Backend!$B$4/100*Table1[[#This Row],[BW40_3705]]),"")</f>
        <v/>
      </c>
      <c r="I3296" s="7" t="str">
        <f>IF(Table1[[#This Row],[Is Data Valid]]=TRUE,((Table1[[#This Row],[Birthweight (grams)]]*1.1/Table1[[#This Row],[BW_GA]])-1)/(Backend!$B$4/100*Table1[[#This Row],[BW40_3705]]),"")</f>
        <v/>
      </c>
      <c r="J3296" s="7" t="str">
        <f>IF(Table1[[#This Row],[Is Data Valid]]=TRUE,_xlfn.NORM.S.DIST(Table1[[#This Row],[Birthweight Z-Score]],TRUE)*100,"")</f>
        <v/>
      </c>
      <c r="K3296" s="7" t="str">
        <f>IF(Table1[[#This Row],[Is Data Valid]]=TRUE,_xlfn.NORM.S.DIST(Table1[[#This Row],[Birthweight Z-Score (BW-10%)]],TRUE)*100,"")</f>
        <v/>
      </c>
      <c r="L3296" s="7" t="str">
        <f>IF(Table1[[#This Row],[Is Data Valid]]=TRUE,_xlfn.NORM.S.DIST(Table1[[#This Row],[Birthweight Z-Score (BW+10%)]],TRUE)*100,"")</f>
        <v/>
      </c>
    </row>
    <row r="3297" spans="1:12" x14ac:dyDescent="0.35">
      <c r="A3297" s="3"/>
      <c r="B3297" s="2"/>
      <c r="C3297" s="2"/>
      <c r="D3297" s="2" t="b">
        <f>IF(AND(NOT(ISBLANK(Table1[[#This Row],[Fetal Sex (Male, Female or Unknown)]])),ISNUMBER(Table1[[#This Row],[Birthweight (grams)]]),ISNUMBER(Table1[[#This Row],[Gestation (days)]])),TRUE,FALSE)</f>
        <v>0</v>
      </c>
      <c r="E3297" s="2" t="str">
        <f>IF(Table1[[#This Row],[Is Data Valid]]=TRUE,IF(Table1[[#This Row],[Fetal Sex (Male, Female or Unknown)]]="Male",Backend!$C$6,IF(Table1[[#This Row],[Fetal Sex (Male, Female or Unknown)]]="Female",Backend!$C$7,IF(Table1[[#This Row],[Fetal Sex (Male, Female or Unknown)]]="Unknown",Backend!$C$8,"Error"))),"")</f>
        <v/>
      </c>
      <c r="F3297" s="8" t="str">
        <f>IF(Table1[[#This Row],[Is Data Valid]]=TRUE,EXP(0.578+0.332*((Table1[[#This Row],[Gestation (days)]]+0.5)/7)-0.00354*((Table1[[#This Row],[Gestation (days)]]+0.5)/7)^2)*Table1[[#This Row],[BW40_3705]],"")</f>
        <v/>
      </c>
      <c r="G3297" s="2" t="str">
        <f>IF(Table1[[#This Row],[Is Data Valid]]=TRUE,((Table1[[#This Row],[Birthweight (grams)]]/Table1[[#This Row],[BW_GA]])-1)/(Backend!$B$4/100*Table1[[#This Row],[BW40_3705]]),"")</f>
        <v/>
      </c>
      <c r="H3297" s="7" t="str">
        <f>IF(Table1[[#This Row],[Is Data Valid]]=TRUE,((Table1[[#This Row],[Birthweight (grams)]]*0.9/Table1[[#This Row],[BW_GA]])-1)/(Backend!$B$4/100*Table1[[#This Row],[BW40_3705]]),"")</f>
        <v/>
      </c>
      <c r="I3297" s="7" t="str">
        <f>IF(Table1[[#This Row],[Is Data Valid]]=TRUE,((Table1[[#This Row],[Birthweight (grams)]]*1.1/Table1[[#This Row],[BW_GA]])-1)/(Backend!$B$4/100*Table1[[#This Row],[BW40_3705]]),"")</f>
        <v/>
      </c>
      <c r="J3297" s="7" t="str">
        <f>IF(Table1[[#This Row],[Is Data Valid]]=TRUE,_xlfn.NORM.S.DIST(Table1[[#This Row],[Birthweight Z-Score]],TRUE)*100,"")</f>
        <v/>
      </c>
      <c r="K3297" s="7" t="str">
        <f>IF(Table1[[#This Row],[Is Data Valid]]=TRUE,_xlfn.NORM.S.DIST(Table1[[#This Row],[Birthweight Z-Score (BW-10%)]],TRUE)*100,"")</f>
        <v/>
      </c>
      <c r="L3297" s="7" t="str">
        <f>IF(Table1[[#This Row],[Is Data Valid]]=TRUE,_xlfn.NORM.S.DIST(Table1[[#This Row],[Birthweight Z-Score (BW+10%)]],TRUE)*100,"")</f>
        <v/>
      </c>
    </row>
    <row r="3298" spans="1:12" x14ac:dyDescent="0.35">
      <c r="A3298" s="3"/>
      <c r="B3298" s="2"/>
      <c r="C3298" s="2"/>
      <c r="D3298" s="2" t="b">
        <f>IF(AND(NOT(ISBLANK(Table1[[#This Row],[Fetal Sex (Male, Female or Unknown)]])),ISNUMBER(Table1[[#This Row],[Birthweight (grams)]]),ISNUMBER(Table1[[#This Row],[Gestation (days)]])),TRUE,FALSE)</f>
        <v>0</v>
      </c>
      <c r="E3298" s="2" t="str">
        <f>IF(Table1[[#This Row],[Is Data Valid]]=TRUE,IF(Table1[[#This Row],[Fetal Sex (Male, Female or Unknown)]]="Male",Backend!$C$6,IF(Table1[[#This Row],[Fetal Sex (Male, Female or Unknown)]]="Female",Backend!$C$7,IF(Table1[[#This Row],[Fetal Sex (Male, Female or Unknown)]]="Unknown",Backend!$C$8,"Error"))),"")</f>
        <v/>
      </c>
      <c r="F3298" s="8" t="str">
        <f>IF(Table1[[#This Row],[Is Data Valid]]=TRUE,EXP(0.578+0.332*((Table1[[#This Row],[Gestation (days)]]+0.5)/7)-0.00354*((Table1[[#This Row],[Gestation (days)]]+0.5)/7)^2)*Table1[[#This Row],[BW40_3705]],"")</f>
        <v/>
      </c>
      <c r="G3298" s="2" t="str">
        <f>IF(Table1[[#This Row],[Is Data Valid]]=TRUE,((Table1[[#This Row],[Birthweight (grams)]]/Table1[[#This Row],[BW_GA]])-1)/(Backend!$B$4/100*Table1[[#This Row],[BW40_3705]]),"")</f>
        <v/>
      </c>
      <c r="H3298" s="7" t="str">
        <f>IF(Table1[[#This Row],[Is Data Valid]]=TRUE,((Table1[[#This Row],[Birthweight (grams)]]*0.9/Table1[[#This Row],[BW_GA]])-1)/(Backend!$B$4/100*Table1[[#This Row],[BW40_3705]]),"")</f>
        <v/>
      </c>
      <c r="I3298" s="7" t="str">
        <f>IF(Table1[[#This Row],[Is Data Valid]]=TRUE,((Table1[[#This Row],[Birthweight (grams)]]*1.1/Table1[[#This Row],[BW_GA]])-1)/(Backend!$B$4/100*Table1[[#This Row],[BW40_3705]]),"")</f>
        <v/>
      </c>
      <c r="J3298" s="7" t="str">
        <f>IF(Table1[[#This Row],[Is Data Valid]]=TRUE,_xlfn.NORM.S.DIST(Table1[[#This Row],[Birthweight Z-Score]],TRUE)*100,"")</f>
        <v/>
      </c>
      <c r="K3298" s="7" t="str">
        <f>IF(Table1[[#This Row],[Is Data Valid]]=TRUE,_xlfn.NORM.S.DIST(Table1[[#This Row],[Birthweight Z-Score (BW-10%)]],TRUE)*100,"")</f>
        <v/>
      </c>
      <c r="L3298" s="7" t="str">
        <f>IF(Table1[[#This Row],[Is Data Valid]]=TRUE,_xlfn.NORM.S.DIST(Table1[[#This Row],[Birthweight Z-Score (BW+10%)]],TRUE)*100,"")</f>
        <v/>
      </c>
    </row>
    <row r="3299" spans="1:12" x14ac:dyDescent="0.35">
      <c r="A3299" s="3"/>
      <c r="B3299" s="2"/>
      <c r="C3299" s="2"/>
      <c r="D3299" s="2" t="b">
        <f>IF(AND(NOT(ISBLANK(Table1[[#This Row],[Fetal Sex (Male, Female or Unknown)]])),ISNUMBER(Table1[[#This Row],[Birthweight (grams)]]),ISNUMBER(Table1[[#This Row],[Gestation (days)]])),TRUE,FALSE)</f>
        <v>0</v>
      </c>
      <c r="E3299" s="2" t="str">
        <f>IF(Table1[[#This Row],[Is Data Valid]]=TRUE,IF(Table1[[#This Row],[Fetal Sex (Male, Female or Unknown)]]="Male",Backend!$C$6,IF(Table1[[#This Row],[Fetal Sex (Male, Female or Unknown)]]="Female",Backend!$C$7,IF(Table1[[#This Row],[Fetal Sex (Male, Female or Unknown)]]="Unknown",Backend!$C$8,"Error"))),"")</f>
        <v/>
      </c>
      <c r="F3299" s="8" t="str">
        <f>IF(Table1[[#This Row],[Is Data Valid]]=TRUE,EXP(0.578+0.332*((Table1[[#This Row],[Gestation (days)]]+0.5)/7)-0.00354*((Table1[[#This Row],[Gestation (days)]]+0.5)/7)^2)*Table1[[#This Row],[BW40_3705]],"")</f>
        <v/>
      </c>
      <c r="G3299" s="2" t="str">
        <f>IF(Table1[[#This Row],[Is Data Valid]]=TRUE,((Table1[[#This Row],[Birthweight (grams)]]/Table1[[#This Row],[BW_GA]])-1)/(Backend!$B$4/100*Table1[[#This Row],[BW40_3705]]),"")</f>
        <v/>
      </c>
      <c r="H3299" s="7" t="str">
        <f>IF(Table1[[#This Row],[Is Data Valid]]=TRUE,((Table1[[#This Row],[Birthweight (grams)]]*0.9/Table1[[#This Row],[BW_GA]])-1)/(Backend!$B$4/100*Table1[[#This Row],[BW40_3705]]),"")</f>
        <v/>
      </c>
      <c r="I3299" s="7" t="str">
        <f>IF(Table1[[#This Row],[Is Data Valid]]=TRUE,((Table1[[#This Row],[Birthweight (grams)]]*1.1/Table1[[#This Row],[BW_GA]])-1)/(Backend!$B$4/100*Table1[[#This Row],[BW40_3705]]),"")</f>
        <v/>
      </c>
      <c r="J3299" s="7" t="str">
        <f>IF(Table1[[#This Row],[Is Data Valid]]=TRUE,_xlfn.NORM.S.DIST(Table1[[#This Row],[Birthweight Z-Score]],TRUE)*100,"")</f>
        <v/>
      </c>
      <c r="K3299" s="7" t="str">
        <f>IF(Table1[[#This Row],[Is Data Valid]]=TRUE,_xlfn.NORM.S.DIST(Table1[[#This Row],[Birthweight Z-Score (BW-10%)]],TRUE)*100,"")</f>
        <v/>
      </c>
      <c r="L3299" s="7" t="str">
        <f>IF(Table1[[#This Row],[Is Data Valid]]=TRUE,_xlfn.NORM.S.DIST(Table1[[#This Row],[Birthweight Z-Score (BW+10%)]],TRUE)*100,"")</f>
        <v/>
      </c>
    </row>
    <row r="3300" spans="1:12" x14ac:dyDescent="0.35">
      <c r="A3300" s="3"/>
      <c r="B3300" s="2"/>
      <c r="C3300" s="2"/>
      <c r="D3300" s="2" t="b">
        <f>IF(AND(NOT(ISBLANK(Table1[[#This Row],[Fetal Sex (Male, Female or Unknown)]])),ISNUMBER(Table1[[#This Row],[Birthweight (grams)]]),ISNUMBER(Table1[[#This Row],[Gestation (days)]])),TRUE,FALSE)</f>
        <v>0</v>
      </c>
      <c r="E3300" s="2" t="str">
        <f>IF(Table1[[#This Row],[Is Data Valid]]=TRUE,IF(Table1[[#This Row],[Fetal Sex (Male, Female or Unknown)]]="Male",Backend!$C$6,IF(Table1[[#This Row],[Fetal Sex (Male, Female or Unknown)]]="Female",Backend!$C$7,IF(Table1[[#This Row],[Fetal Sex (Male, Female or Unknown)]]="Unknown",Backend!$C$8,"Error"))),"")</f>
        <v/>
      </c>
      <c r="F3300" s="8" t="str">
        <f>IF(Table1[[#This Row],[Is Data Valid]]=TRUE,EXP(0.578+0.332*((Table1[[#This Row],[Gestation (days)]]+0.5)/7)-0.00354*((Table1[[#This Row],[Gestation (days)]]+0.5)/7)^2)*Table1[[#This Row],[BW40_3705]],"")</f>
        <v/>
      </c>
      <c r="G3300" s="2" t="str">
        <f>IF(Table1[[#This Row],[Is Data Valid]]=TRUE,((Table1[[#This Row],[Birthweight (grams)]]/Table1[[#This Row],[BW_GA]])-1)/(Backend!$B$4/100*Table1[[#This Row],[BW40_3705]]),"")</f>
        <v/>
      </c>
      <c r="H3300" s="7" t="str">
        <f>IF(Table1[[#This Row],[Is Data Valid]]=TRUE,((Table1[[#This Row],[Birthweight (grams)]]*0.9/Table1[[#This Row],[BW_GA]])-1)/(Backend!$B$4/100*Table1[[#This Row],[BW40_3705]]),"")</f>
        <v/>
      </c>
      <c r="I3300" s="7" t="str">
        <f>IF(Table1[[#This Row],[Is Data Valid]]=TRUE,((Table1[[#This Row],[Birthweight (grams)]]*1.1/Table1[[#This Row],[BW_GA]])-1)/(Backend!$B$4/100*Table1[[#This Row],[BW40_3705]]),"")</f>
        <v/>
      </c>
      <c r="J3300" s="7" t="str">
        <f>IF(Table1[[#This Row],[Is Data Valid]]=TRUE,_xlfn.NORM.S.DIST(Table1[[#This Row],[Birthweight Z-Score]],TRUE)*100,"")</f>
        <v/>
      </c>
      <c r="K3300" s="7" t="str">
        <f>IF(Table1[[#This Row],[Is Data Valid]]=TRUE,_xlfn.NORM.S.DIST(Table1[[#This Row],[Birthweight Z-Score (BW-10%)]],TRUE)*100,"")</f>
        <v/>
      </c>
      <c r="L3300" s="7" t="str">
        <f>IF(Table1[[#This Row],[Is Data Valid]]=TRUE,_xlfn.NORM.S.DIST(Table1[[#This Row],[Birthweight Z-Score (BW+10%)]],TRUE)*100,"")</f>
        <v/>
      </c>
    </row>
    <row r="3301" spans="1:12" x14ac:dyDescent="0.35">
      <c r="A3301" s="3"/>
      <c r="B3301" s="2"/>
      <c r="C3301" s="2"/>
      <c r="D3301" s="2" t="b">
        <f>IF(AND(NOT(ISBLANK(Table1[[#This Row],[Fetal Sex (Male, Female or Unknown)]])),ISNUMBER(Table1[[#This Row],[Birthweight (grams)]]),ISNUMBER(Table1[[#This Row],[Gestation (days)]])),TRUE,FALSE)</f>
        <v>0</v>
      </c>
      <c r="E3301" s="2" t="str">
        <f>IF(Table1[[#This Row],[Is Data Valid]]=TRUE,IF(Table1[[#This Row],[Fetal Sex (Male, Female or Unknown)]]="Male",Backend!$C$6,IF(Table1[[#This Row],[Fetal Sex (Male, Female or Unknown)]]="Female",Backend!$C$7,IF(Table1[[#This Row],[Fetal Sex (Male, Female or Unknown)]]="Unknown",Backend!$C$8,"Error"))),"")</f>
        <v/>
      </c>
      <c r="F3301" s="8" t="str">
        <f>IF(Table1[[#This Row],[Is Data Valid]]=TRUE,EXP(0.578+0.332*((Table1[[#This Row],[Gestation (days)]]+0.5)/7)-0.00354*((Table1[[#This Row],[Gestation (days)]]+0.5)/7)^2)*Table1[[#This Row],[BW40_3705]],"")</f>
        <v/>
      </c>
      <c r="G3301" s="2" t="str">
        <f>IF(Table1[[#This Row],[Is Data Valid]]=TRUE,((Table1[[#This Row],[Birthweight (grams)]]/Table1[[#This Row],[BW_GA]])-1)/(Backend!$B$4/100*Table1[[#This Row],[BW40_3705]]),"")</f>
        <v/>
      </c>
      <c r="H3301" s="7" t="str">
        <f>IF(Table1[[#This Row],[Is Data Valid]]=TRUE,((Table1[[#This Row],[Birthweight (grams)]]*0.9/Table1[[#This Row],[BW_GA]])-1)/(Backend!$B$4/100*Table1[[#This Row],[BW40_3705]]),"")</f>
        <v/>
      </c>
      <c r="I3301" s="7" t="str">
        <f>IF(Table1[[#This Row],[Is Data Valid]]=TRUE,((Table1[[#This Row],[Birthweight (grams)]]*1.1/Table1[[#This Row],[BW_GA]])-1)/(Backend!$B$4/100*Table1[[#This Row],[BW40_3705]]),"")</f>
        <v/>
      </c>
      <c r="J3301" s="7" t="str">
        <f>IF(Table1[[#This Row],[Is Data Valid]]=TRUE,_xlfn.NORM.S.DIST(Table1[[#This Row],[Birthweight Z-Score]],TRUE)*100,"")</f>
        <v/>
      </c>
      <c r="K3301" s="7" t="str">
        <f>IF(Table1[[#This Row],[Is Data Valid]]=TRUE,_xlfn.NORM.S.DIST(Table1[[#This Row],[Birthweight Z-Score (BW-10%)]],TRUE)*100,"")</f>
        <v/>
      </c>
      <c r="L3301" s="7" t="str">
        <f>IF(Table1[[#This Row],[Is Data Valid]]=TRUE,_xlfn.NORM.S.DIST(Table1[[#This Row],[Birthweight Z-Score (BW+10%)]],TRUE)*100,"")</f>
        <v/>
      </c>
    </row>
    <row r="3302" spans="1:12" x14ac:dyDescent="0.35">
      <c r="A3302" s="3"/>
      <c r="B3302" s="2"/>
      <c r="C3302" s="2"/>
      <c r="D3302" s="2" t="b">
        <f>IF(AND(NOT(ISBLANK(Table1[[#This Row],[Fetal Sex (Male, Female or Unknown)]])),ISNUMBER(Table1[[#This Row],[Birthweight (grams)]]),ISNUMBER(Table1[[#This Row],[Gestation (days)]])),TRUE,FALSE)</f>
        <v>0</v>
      </c>
      <c r="E3302" s="2" t="str">
        <f>IF(Table1[[#This Row],[Is Data Valid]]=TRUE,IF(Table1[[#This Row],[Fetal Sex (Male, Female or Unknown)]]="Male",Backend!$C$6,IF(Table1[[#This Row],[Fetal Sex (Male, Female or Unknown)]]="Female",Backend!$C$7,IF(Table1[[#This Row],[Fetal Sex (Male, Female or Unknown)]]="Unknown",Backend!$C$8,"Error"))),"")</f>
        <v/>
      </c>
      <c r="F3302" s="8" t="str">
        <f>IF(Table1[[#This Row],[Is Data Valid]]=TRUE,EXP(0.578+0.332*((Table1[[#This Row],[Gestation (days)]]+0.5)/7)-0.00354*((Table1[[#This Row],[Gestation (days)]]+0.5)/7)^2)*Table1[[#This Row],[BW40_3705]],"")</f>
        <v/>
      </c>
      <c r="G3302" s="2" t="str">
        <f>IF(Table1[[#This Row],[Is Data Valid]]=TRUE,((Table1[[#This Row],[Birthweight (grams)]]/Table1[[#This Row],[BW_GA]])-1)/(Backend!$B$4/100*Table1[[#This Row],[BW40_3705]]),"")</f>
        <v/>
      </c>
      <c r="H3302" s="7" t="str">
        <f>IF(Table1[[#This Row],[Is Data Valid]]=TRUE,((Table1[[#This Row],[Birthweight (grams)]]*0.9/Table1[[#This Row],[BW_GA]])-1)/(Backend!$B$4/100*Table1[[#This Row],[BW40_3705]]),"")</f>
        <v/>
      </c>
      <c r="I3302" s="7" t="str">
        <f>IF(Table1[[#This Row],[Is Data Valid]]=TRUE,((Table1[[#This Row],[Birthweight (grams)]]*1.1/Table1[[#This Row],[BW_GA]])-1)/(Backend!$B$4/100*Table1[[#This Row],[BW40_3705]]),"")</f>
        <v/>
      </c>
      <c r="J3302" s="7" t="str">
        <f>IF(Table1[[#This Row],[Is Data Valid]]=TRUE,_xlfn.NORM.S.DIST(Table1[[#This Row],[Birthweight Z-Score]],TRUE)*100,"")</f>
        <v/>
      </c>
      <c r="K3302" s="7" t="str">
        <f>IF(Table1[[#This Row],[Is Data Valid]]=TRUE,_xlfn.NORM.S.DIST(Table1[[#This Row],[Birthweight Z-Score (BW-10%)]],TRUE)*100,"")</f>
        <v/>
      </c>
      <c r="L3302" s="7" t="str">
        <f>IF(Table1[[#This Row],[Is Data Valid]]=TRUE,_xlfn.NORM.S.DIST(Table1[[#This Row],[Birthweight Z-Score (BW+10%)]],TRUE)*100,"")</f>
        <v/>
      </c>
    </row>
    <row r="3303" spans="1:12" x14ac:dyDescent="0.35">
      <c r="A3303" s="3"/>
      <c r="B3303" s="2"/>
      <c r="C3303" s="2"/>
      <c r="D3303" s="2" t="b">
        <f>IF(AND(NOT(ISBLANK(Table1[[#This Row],[Fetal Sex (Male, Female or Unknown)]])),ISNUMBER(Table1[[#This Row],[Birthweight (grams)]]),ISNUMBER(Table1[[#This Row],[Gestation (days)]])),TRUE,FALSE)</f>
        <v>0</v>
      </c>
      <c r="E3303" s="2" t="str">
        <f>IF(Table1[[#This Row],[Is Data Valid]]=TRUE,IF(Table1[[#This Row],[Fetal Sex (Male, Female or Unknown)]]="Male",Backend!$C$6,IF(Table1[[#This Row],[Fetal Sex (Male, Female or Unknown)]]="Female",Backend!$C$7,IF(Table1[[#This Row],[Fetal Sex (Male, Female or Unknown)]]="Unknown",Backend!$C$8,"Error"))),"")</f>
        <v/>
      </c>
      <c r="F3303" s="8" t="str">
        <f>IF(Table1[[#This Row],[Is Data Valid]]=TRUE,EXP(0.578+0.332*((Table1[[#This Row],[Gestation (days)]]+0.5)/7)-0.00354*((Table1[[#This Row],[Gestation (days)]]+0.5)/7)^2)*Table1[[#This Row],[BW40_3705]],"")</f>
        <v/>
      </c>
      <c r="G3303" s="2" t="str">
        <f>IF(Table1[[#This Row],[Is Data Valid]]=TRUE,((Table1[[#This Row],[Birthweight (grams)]]/Table1[[#This Row],[BW_GA]])-1)/(Backend!$B$4/100*Table1[[#This Row],[BW40_3705]]),"")</f>
        <v/>
      </c>
      <c r="H3303" s="7" t="str">
        <f>IF(Table1[[#This Row],[Is Data Valid]]=TRUE,((Table1[[#This Row],[Birthweight (grams)]]*0.9/Table1[[#This Row],[BW_GA]])-1)/(Backend!$B$4/100*Table1[[#This Row],[BW40_3705]]),"")</f>
        <v/>
      </c>
      <c r="I3303" s="7" t="str">
        <f>IF(Table1[[#This Row],[Is Data Valid]]=TRUE,((Table1[[#This Row],[Birthweight (grams)]]*1.1/Table1[[#This Row],[BW_GA]])-1)/(Backend!$B$4/100*Table1[[#This Row],[BW40_3705]]),"")</f>
        <v/>
      </c>
      <c r="J3303" s="7" t="str">
        <f>IF(Table1[[#This Row],[Is Data Valid]]=TRUE,_xlfn.NORM.S.DIST(Table1[[#This Row],[Birthweight Z-Score]],TRUE)*100,"")</f>
        <v/>
      </c>
      <c r="K3303" s="7" t="str">
        <f>IF(Table1[[#This Row],[Is Data Valid]]=TRUE,_xlfn.NORM.S.DIST(Table1[[#This Row],[Birthweight Z-Score (BW-10%)]],TRUE)*100,"")</f>
        <v/>
      </c>
      <c r="L3303" s="7" t="str">
        <f>IF(Table1[[#This Row],[Is Data Valid]]=TRUE,_xlfn.NORM.S.DIST(Table1[[#This Row],[Birthweight Z-Score (BW+10%)]],TRUE)*100,"")</f>
        <v/>
      </c>
    </row>
    <row r="3304" spans="1:12" x14ac:dyDescent="0.35">
      <c r="A3304" s="3"/>
      <c r="B3304" s="2"/>
      <c r="C3304" s="2"/>
      <c r="D3304" s="2" t="b">
        <f>IF(AND(NOT(ISBLANK(Table1[[#This Row],[Fetal Sex (Male, Female or Unknown)]])),ISNUMBER(Table1[[#This Row],[Birthweight (grams)]]),ISNUMBER(Table1[[#This Row],[Gestation (days)]])),TRUE,FALSE)</f>
        <v>0</v>
      </c>
      <c r="E3304" s="2" t="str">
        <f>IF(Table1[[#This Row],[Is Data Valid]]=TRUE,IF(Table1[[#This Row],[Fetal Sex (Male, Female or Unknown)]]="Male",Backend!$C$6,IF(Table1[[#This Row],[Fetal Sex (Male, Female or Unknown)]]="Female",Backend!$C$7,IF(Table1[[#This Row],[Fetal Sex (Male, Female or Unknown)]]="Unknown",Backend!$C$8,"Error"))),"")</f>
        <v/>
      </c>
      <c r="F3304" s="8" t="str">
        <f>IF(Table1[[#This Row],[Is Data Valid]]=TRUE,EXP(0.578+0.332*((Table1[[#This Row],[Gestation (days)]]+0.5)/7)-0.00354*((Table1[[#This Row],[Gestation (days)]]+0.5)/7)^2)*Table1[[#This Row],[BW40_3705]],"")</f>
        <v/>
      </c>
      <c r="G3304" s="2" t="str">
        <f>IF(Table1[[#This Row],[Is Data Valid]]=TRUE,((Table1[[#This Row],[Birthweight (grams)]]/Table1[[#This Row],[BW_GA]])-1)/(Backend!$B$4/100*Table1[[#This Row],[BW40_3705]]),"")</f>
        <v/>
      </c>
      <c r="H3304" s="7" t="str">
        <f>IF(Table1[[#This Row],[Is Data Valid]]=TRUE,((Table1[[#This Row],[Birthweight (grams)]]*0.9/Table1[[#This Row],[BW_GA]])-1)/(Backend!$B$4/100*Table1[[#This Row],[BW40_3705]]),"")</f>
        <v/>
      </c>
      <c r="I3304" s="7" t="str">
        <f>IF(Table1[[#This Row],[Is Data Valid]]=TRUE,((Table1[[#This Row],[Birthweight (grams)]]*1.1/Table1[[#This Row],[BW_GA]])-1)/(Backend!$B$4/100*Table1[[#This Row],[BW40_3705]]),"")</f>
        <v/>
      </c>
      <c r="J3304" s="7" t="str">
        <f>IF(Table1[[#This Row],[Is Data Valid]]=TRUE,_xlfn.NORM.S.DIST(Table1[[#This Row],[Birthweight Z-Score]],TRUE)*100,"")</f>
        <v/>
      </c>
      <c r="K3304" s="7" t="str">
        <f>IF(Table1[[#This Row],[Is Data Valid]]=TRUE,_xlfn.NORM.S.DIST(Table1[[#This Row],[Birthweight Z-Score (BW-10%)]],TRUE)*100,"")</f>
        <v/>
      </c>
      <c r="L3304" s="7" t="str">
        <f>IF(Table1[[#This Row],[Is Data Valid]]=TRUE,_xlfn.NORM.S.DIST(Table1[[#This Row],[Birthweight Z-Score (BW+10%)]],TRUE)*100,"")</f>
        <v/>
      </c>
    </row>
    <row r="3305" spans="1:12" x14ac:dyDescent="0.35">
      <c r="A3305" s="3"/>
      <c r="B3305" s="2"/>
      <c r="C3305" s="2"/>
      <c r="D3305" s="2" t="b">
        <f>IF(AND(NOT(ISBLANK(Table1[[#This Row],[Fetal Sex (Male, Female or Unknown)]])),ISNUMBER(Table1[[#This Row],[Birthweight (grams)]]),ISNUMBER(Table1[[#This Row],[Gestation (days)]])),TRUE,FALSE)</f>
        <v>0</v>
      </c>
      <c r="E3305" s="2" t="str">
        <f>IF(Table1[[#This Row],[Is Data Valid]]=TRUE,IF(Table1[[#This Row],[Fetal Sex (Male, Female or Unknown)]]="Male",Backend!$C$6,IF(Table1[[#This Row],[Fetal Sex (Male, Female or Unknown)]]="Female",Backend!$C$7,IF(Table1[[#This Row],[Fetal Sex (Male, Female or Unknown)]]="Unknown",Backend!$C$8,"Error"))),"")</f>
        <v/>
      </c>
      <c r="F3305" s="8" t="str">
        <f>IF(Table1[[#This Row],[Is Data Valid]]=TRUE,EXP(0.578+0.332*((Table1[[#This Row],[Gestation (days)]]+0.5)/7)-0.00354*((Table1[[#This Row],[Gestation (days)]]+0.5)/7)^2)*Table1[[#This Row],[BW40_3705]],"")</f>
        <v/>
      </c>
      <c r="G3305" s="2" t="str">
        <f>IF(Table1[[#This Row],[Is Data Valid]]=TRUE,((Table1[[#This Row],[Birthweight (grams)]]/Table1[[#This Row],[BW_GA]])-1)/(Backend!$B$4/100*Table1[[#This Row],[BW40_3705]]),"")</f>
        <v/>
      </c>
      <c r="H3305" s="7" t="str">
        <f>IF(Table1[[#This Row],[Is Data Valid]]=TRUE,((Table1[[#This Row],[Birthweight (grams)]]*0.9/Table1[[#This Row],[BW_GA]])-1)/(Backend!$B$4/100*Table1[[#This Row],[BW40_3705]]),"")</f>
        <v/>
      </c>
      <c r="I3305" s="7" t="str">
        <f>IF(Table1[[#This Row],[Is Data Valid]]=TRUE,((Table1[[#This Row],[Birthweight (grams)]]*1.1/Table1[[#This Row],[BW_GA]])-1)/(Backend!$B$4/100*Table1[[#This Row],[BW40_3705]]),"")</f>
        <v/>
      </c>
      <c r="J3305" s="7" t="str">
        <f>IF(Table1[[#This Row],[Is Data Valid]]=TRUE,_xlfn.NORM.S.DIST(Table1[[#This Row],[Birthweight Z-Score]],TRUE)*100,"")</f>
        <v/>
      </c>
      <c r="K3305" s="7" t="str">
        <f>IF(Table1[[#This Row],[Is Data Valid]]=TRUE,_xlfn.NORM.S.DIST(Table1[[#This Row],[Birthweight Z-Score (BW-10%)]],TRUE)*100,"")</f>
        <v/>
      </c>
      <c r="L3305" s="7" t="str">
        <f>IF(Table1[[#This Row],[Is Data Valid]]=TRUE,_xlfn.NORM.S.DIST(Table1[[#This Row],[Birthweight Z-Score (BW+10%)]],TRUE)*100,"")</f>
        <v/>
      </c>
    </row>
    <row r="3306" spans="1:12" x14ac:dyDescent="0.35">
      <c r="A3306" s="3"/>
      <c r="B3306" s="2"/>
      <c r="C3306" s="2"/>
      <c r="D3306" s="2" t="b">
        <f>IF(AND(NOT(ISBLANK(Table1[[#This Row],[Fetal Sex (Male, Female or Unknown)]])),ISNUMBER(Table1[[#This Row],[Birthweight (grams)]]),ISNUMBER(Table1[[#This Row],[Gestation (days)]])),TRUE,FALSE)</f>
        <v>0</v>
      </c>
      <c r="E3306" s="2" t="str">
        <f>IF(Table1[[#This Row],[Is Data Valid]]=TRUE,IF(Table1[[#This Row],[Fetal Sex (Male, Female or Unknown)]]="Male",Backend!$C$6,IF(Table1[[#This Row],[Fetal Sex (Male, Female or Unknown)]]="Female",Backend!$C$7,IF(Table1[[#This Row],[Fetal Sex (Male, Female or Unknown)]]="Unknown",Backend!$C$8,"Error"))),"")</f>
        <v/>
      </c>
      <c r="F3306" s="8" t="str">
        <f>IF(Table1[[#This Row],[Is Data Valid]]=TRUE,EXP(0.578+0.332*((Table1[[#This Row],[Gestation (days)]]+0.5)/7)-0.00354*((Table1[[#This Row],[Gestation (days)]]+0.5)/7)^2)*Table1[[#This Row],[BW40_3705]],"")</f>
        <v/>
      </c>
      <c r="G3306" s="2" t="str">
        <f>IF(Table1[[#This Row],[Is Data Valid]]=TRUE,((Table1[[#This Row],[Birthweight (grams)]]/Table1[[#This Row],[BW_GA]])-1)/(Backend!$B$4/100*Table1[[#This Row],[BW40_3705]]),"")</f>
        <v/>
      </c>
      <c r="H3306" s="7" t="str">
        <f>IF(Table1[[#This Row],[Is Data Valid]]=TRUE,((Table1[[#This Row],[Birthweight (grams)]]*0.9/Table1[[#This Row],[BW_GA]])-1)/(Backend!$B$4/100*Table1[[#This Row],[BW40_3705]]),"")</f>
        <v/>
      </c>
      <c r="I3306" s="7" t="str">
        <f>IF(Table1[[#This Row],[Is Data Valid]]=TRUE,((Table1[[#This Row],[Birthweight (grams)]]*1.1/Table1[[#This Row],[BW_GA]])-1)/(Backend!$B$4/100*Table1[[#This Row],[BW40_3705]]),"")</f>
        <v/>
      </c>
      <c r="J3306" s="7" t="str">
        <f>IF(Table1[[#This Row],[Is Data Valid]]=TRUE,_xlfn.NORM.S.DIST(Table1[[#This Row],[Birthweight Z-Score]],TRUE)*100,"")</f>
        <v/>
      </c>
      <c r="K3306" s="7" t="str">
        <f>IF(Table1[[#This Row],[Is Data Valid]]=TRUE,_xlfn.NORM.S.DIST(Table1[[#This Row],[Birthweight Z-Score (BW-10%)]],TRUE)*100,"")</f>
        <v/>
      </c>
      <c r="L3306" s="7" t="str">
        <f>IF(Table1[[#This Row],[Is Data Valid]]=TRUE,_xlfn.NORM.S.DIST(Table1[[#This Row],[Birthweight Z-Score (BW+10%)]],TRUE)*100,"")</f>
        <v/>
      </c>
    </row>
    <row r="3307" spans="1:12" x14ac:dyDescent="0.35">
      <c r="A3307" s="3"/>
      <c r="B3307" s="2"/>
      <c r="C3307" s="2"/>
      <c r="D3307" s="2" t="b">
        <f>IF(AND(NOT(ISBLANK(Table1[[#This Row],[Fetal Sex (Male, Female or Unknown)]])),ISNUMBER(Table1[[#This Row],[Birthweight (grams)]]),ISNUMBER(Table1[[#This Row],[Gestation (days)]])),TRUE,FALSE)</f>
        <v>0</v>
      </c>
      <c r="E3307" s="2" t="str">
        <f>IF(Table1[[#This Row],[Is Data Valid]]=TRUE,IF(Table1[[#This Row],[Fetal Sex (Male, Female or Unknown)]]="Male",Backend!$C$6,IF(Table1[[#This Row],[Fetal Sex (Male, Female or Unknown)]]="Female",Backend!$C$7,IF(Table1[[#This Row],[Fetal Sex (Male, Female or Unknown)]]="Unknown",Backend!$C$8,"Error"))),"")</f>
        <v/>
      </c>
      <c r="F3307" s="8" t="str">
        <f>IF(Table1[[#This Row],[Is Data Valid]]=TRUE,EXP(0.578+0.332*((Table1[[#This Row],[Gestation (days)]]+0.5)/7)-0.00354*((Table1[[#This Row],[Gestation (days)]]+0.5)/7)^2)*Table1[[#This Row],[BW40_3705]],"")</f>
        <v/>
      </c>
      <c r="G3307" s="2" t="str">
        <f>IF(Table1[[#This Row],[Is Data Valid]]=TRUE,((Table1[[#This Row],[Birthweight (grams)]]/Table1[[#This Row],[BW_GA]])-1)/(Backend!$B$4/100*Table1[[#This Row],[BW40_3705]]),"")</f>
        <v/>
      </c>
      <c r="H3307" s="7" t="str">
        <f>IF(Table1[[#This Row],[Is Data Valid]]=TRUE,((Table1[[#This Row],[Birthweight (grams)]]*0.9/Table1[[#This Row],[BW_GA]])-1)/(Backend!$B$4/100*Table1[[#This Row],[BW40_3705]]),"")</f>
        <v/>
      </c>
      <c r="I3307" s="7" t="str">
        <f>IF(Table1[[#This Row],[Is Data Valid]]=TRUE,((Table1[[#This Row],[Birthweight (grams)]]*1.1/Table1[[#This Row],[BW_GA]])-1)/(Backend!$B$4/100*Table1[[#This Row],[BW40_3705]]),"")</f>
        <v/>
      </c>
      <c r="J3307" s="7" t="str">
        <f>IF(Table1[[#This Row],[Is Data Valid]]=TRUE,_xlfn.NORM.S.DIST(Table1[[#This Row],[Birthweight Z-Score]],TRUE)*100,"")</f>
        <v/>
      </c>
      <c r="K3307" s="7" t="str">
        <f>IF(Table1[[#This Row],[Is Data Valid]]=TRUE,_xlfn.NORM.S.DIST(Table1[[#This Row],[Birthweight Z-Score (BW-10%)]],TRUE)*100,"")</f>
        <v/>
      </c>
      <c r="L3307" s="7" t="str">
        <f>IF(Table1[[#This Row],[Is Data Valid]]=TRUE,_xlfn.NORM.S.DIST(Table1[[#This Row],[Birthweight Z-Score (BW+10%)]],TRUE)*100,"")</f>
        <v/>
      </c>
    </row>
    <row r="3308" spans="1:12" x14ac:dyDescent="0.35">
      <c r="A3308" s="3"/>
      <c r="B3308" s="2"/>
      <c r="C3308" s="2"/>
      <c r="D3308" s="2" t="b">
        <f>IF(AND(NOT(ISBLANK(Table1[[#This Row],[Fetal Sex (Male, Female or Unknown)]])),ISNUMBER(Table1[[#This Row],[Birthweight (grams)]]),ISNUMBER(Table1[[#This Row],[Gestation (days)]])),TRUE,FALSE)</f>
        <v>0</v>
      </c>
      <c r="E3308" s="2" t="str">
        <f>IF(Table1[[#This Row],[Is Data Valid]]=TRUE,IF(Table1[[#This Row],[Fetal Sex (Male, Female or Unknown)]]="Male",Backend!$C$6,IF(Table1[[#This Row],[Fetal Sex (Male, Female or Unknown)]]="Female",Backend!$C$7,IF(Table1[[#This Row],[Fetal Sex (Male, Female or Unknown)]]="Unknown",Backend!$C$8,"Error"))),"")</f>
        <v/>
      </c>
      <c r="F3308" s="8" t="str">
        <f>IF(Table1[[#This Row],[Is Data Valid]]=TRUE,EXP(0.578+0.332*((Table1[[#This Row],[Gestation (days)]]+0.5)/7)-0.00354*((Table1[[#This Row],[Gestation (days)]]+0.5)/7)^2)*Table1[[#This Row],[BW40_3705]],"")</f>
        <v/>
      </c>
      <c r="G3308" s="2" t="str">
        <f>IF(Table1[[#This Row],[Is Data Valid]]=TRUE,((Table1[[#This Row],[Birthweight (grams)]]/Table1[[#This Row],[BW_GA]])-1)/(Backend!$B$4/100*Table1[[#This Row],[BW40_3705]]),"")</f>
        <v/>
      </c>
      <c r="H3308" s="7" t="str">
        <f>IF(Table1[[#This Row],[Is Data Valid]]=TRUE,((Table1[[#This Row],[Birthweight (grams)]]*0.9/Table1[[#This Row],[BW_GA]])-1)/(Backend!$B$4/100*Table1[[#This Row],[BW40_3705]]),"")</f>
        <v/>
      </c>
      <c r="I3308" s="7" t="str">
        <f>IF(Table1[[#This Row],[Is Data Valid]]=TRUE,((Table1[[#This Row],[Birthweight (grams)]]*1.1/Table1[[#This Row],[BW_GA]])-1)/(Backend!$B$4/100*Table1[[#This Row],[BW40_3705]]),"")</f>
        <v/>
      </c>
      <c r="J3308" s="7" t="str">
        <f>IF(Table1[[#This Row],[Is Data Valid]]=TRUE,_xlfn.NORM.S.DIST(Table1[[#This Row],[Birthweight Z-Score]],TRUE)*100,"")</f>
        <v/>
      </c>
      <c r="K3308" s="7" t="str">
        <f>IF(Table1[[#This Row],[Is Data Valid]]=TRUE,_xlfn.NORM.S.DIST(Table1[[#This Row],[Birthweight Z-Score (BW-10%)]],TRUE)*100,"")</f>
        <v/>
      </c>
      <c r="L3308" s="7" t="str">
        <f>IF(Table1[[#This Row],[Is Data Valid]]=TRUE,_xlfn.NORM.S.DIST(Table1[[#This Row],[Birthweight Z-Score (BW+10%)]],TRUE)*100,"")</f>
        <v/>
      </c>
    </row>
    <row r="3309" spans="1:12" x14ac:dyDescent="0.35">
      <c r="A3309" s="3"/>
      <c r="B3309" s="2"/>
      <c r="C3309" s="2"/>
      <c r="D3309" s="2" t="b">
        <f>IF(AND(NOT(ISBLANK(Table1[[#This Row],[Fetal Sex (Male, Female or Unknown)]])),ISNUMBER(Table1[[#This Row],[Birthweight (grams)]]),ISNUMBER(Table1[[#This Row],[Gestation (days)]])),TRUE,FALSE)</f>
        <v>0</v>
      </c>
      <c r="E3309" s="2" t="str">
        <f>IF(Table1[[#This Row],[Is Data Valid]]=TRUE,IF(Table1[[#This Row],[Fetal Sex (Male, Female or Unknown)]]="Male",Backend!$C$6,IF(Table1[[#This Row],[Fetal Sex (Male, Female or Unknown)]]="Female",Backend!$C$7,IF(Table1[[#This Row],[Fetal Sex (Male, Female or Unknown)]]="Unknown",Backend!$C$8,"Error"))),"")</f>
        <v/>
      </c>
      <c r="F3309" s="8" t="str">
        <f>IF(Table1[[#This Row],[Is Data Valid]]=TRUE,EXP(0.578+0.332*((Table1[[#This Row],[Gestation (days)]]+0.5)/7)-0.00354*((Table1[[#This Row],[Gestation (days)]]+0.5)/7)^2)*Table1[[#This Row],[BW40_3705]],"")</f>
        <v/>
      </c>
      <c r="G3309" s="2" t="str">
        <f>IF(Table1[[#This Row],[Is Data Valid]]=TRUE,((Table1[[#This Row],[Birthweight (grams)]]/Table1[[#This Row],[BW_GA]])-1)/(Backend!$B$4/100*Table1[[#This Row],[BW40_3705]]),"")</f>
        <v/>
      </c>
      <c r="H3309" s="7" t="str">
        <f>IF(Table1[[#This Row],[Is Data Valid]]=TRUE,((Table1[[#This Row],[Birthweight (grams)]]*0.9/Table1[[#This Row],[BW_GA]])-1)/(Backend!$B$4/100*Table1[[#This Row],[BW40_3705]]),"")</f>
        <v/>
      </c>
      <c r="I3309" s="7" t="str">
        <f>IF(Table1[[#This Row],[Is Data Valid]]=TRUE,((Table1[[#This Row],[Birthweight (grams)]]*1.1/Table1[[#This Row],[BW_GA]])-1)/(Backend!$B$4/100*Table1[[#This Row],[BW40_3705]]),"")</f>
        <v/>
      </c>
      <c r="J3309" s="7" t="str">
        <f>IF(Table1[[#This Row],[Is Data Valid]]=TRUE,_xlfn.NORM.S.DIST(Table1[[#This Row],[Birthweight Z-Score]],TRUE)*100,"")</f>
        <v/>
      </c>
      <c r="K3309" s="7" t="str">
        <f>IF(Table1[[#This Row],[Is Data Valid]]=TRUE,_xlfn.NORM.S.DIST(Table1[[#This Row],[Birthweight Z-Score (BW-10%)]],TRUE)*100,"")</f>
        <v/>
      </c>
      <c r="L3309" s="7" t="str">
        <f>IF(Table1[[#This Row],[Is Data Valid]]=TRUE,_xlfn.NORM.S.DIST(Table1[[#This Row],[Birthweight Z-Score (BW+10%)]],TRUE)*100,"")</f>
        <v/>
      </c>
    </row>
    <row r="3310" spans="1:12" x14ac:dyDescent="0.35">
      <c r="A3310" s="3"/>
      <c r="B3310" s="2"/>
      <c r="C3310" s="2"/>
      <c r="D3310" s="2" t="b">
        <f>IF(AND(NOT(ISBLANK(Table1[[#This Row],[Fetal Sex (Male, Female or Unknown)]])),ISNUMBER(Table1[[#This Row],[Birthweight (grams)]]),ISNUMBER(Table1[[#This Row],[Gestation (days)]])),TRUE,FALSE)</f>
        <v>0</v>
      </c>
      <c r="E3310" s="2" t="str">
        <f>IF(Table1[[#This Row],[Is Data Valid]]=TRUE,IF(Table1[[#This Row],[Fetal Sex (Male, Female or Unknown)]]="Male",Backend!$C$6,IF(Table1[[#This Row],[Fetal Sex (Male, Female or Unknown)]]="Female",Backend!$C$7,IF(Table1[[#This Row],[Fetal Sex (Male, Female or Unknown)]]="Unknown",Backend!$C$8,"Error"))),"")</f>
        <v/>
      </c>
      <c r="F3310" s="8" t="str">
        <f>IF(Table1[[#This Row],[Is Data Valid]]=TRUE,EXP(0.578+0.332*((Table1[[#This Row],[Gestation (days)]]+0.5)/7)-0.00354*((Table1[[#This Row],[Gestation (days)]]+0.5)/7)^2)*Table1[[#This Row],[BW40_3705]],"")</f>
        <v/>
      </c>
      <c r="G3310" s="2" t="str">
        <f>IF(Table1[[#This Row],[Is Data Valid]]=TRUE,((Table1[[#This Row],[Birthweight (grams)]]/Table1[[#This Row],[BW_GA]])-1)/(Backend!$B$4/100*Table1[[#This Row],[BW40_3705]]),"")</f>
        <v/>
      </c>
      <c r="H3310" s="7" t="str">
        <f>IF(Table1[[#This Row],[Is Data Valid]]=TRUE,((Table1[[#This Row],[Birthweight (grams)]]*0.9/Table1[[#This Row],[BW_GA]])-1)/(Backend!$B$4/100*Table1[[#This Row],[BW40_3705]]),"")</f>
        <v/>
      </c>
      <c r="I3310" s="7" t="str">
        <f>IF(Table1[[#This Row],[Is Data Valid]]=TRUE,((Table1[[#This Row],[Birthweight (grams)]]*1.1/Table1[[#This Row],[BW_GA]])-1)/(Backend!$B$4/100*Table1[[#This Row],[BW40_3705]]),"")</f>
        <v/>
      </c>
      <c r="J3310" s="7" t="str">
        <f>IF(Table1[[#This Row],[Is Data Valid]]=TRUE,_xlfn.NORM.S.DIST(Table1[[#This Row],[Birthweight Z-Score]],TRUE)*100,"")</f>
        <v/>
      </c>
      <c r="K3310" s="7" t="str">
        <f>IF(Table1[[#This Row],[Is Data Valid]]=TRUE,_xlfn.NORM.S.DIST(Table1[[#This Row],[Birthweight Z-Score (BW-10%)]],TRUE)*100,"")</f>
        <v/>
      </c>
      <c r="L3310" s="7" t="str">
        <f>IF(Table1[[#This Row],[Is Data Valid]]=TRUE,_xlfn.NORM.S.DIST(Table1[[#This Row],[Birthweight Z-Score (BW+10%)]],TRUE)*100,"")</f>
        <v/>
      </c>
    </row>
    <row r="3311" spans="1:12" x14ac:dyDescent="0.35">
      <c r="A3311" s="3"/>
      <c r="B3311" s="2"/>
      <c r="C3311" s="2"/>
      <c r="D3311" s="2" t="b">
        <f>IF(AND(NOT(ISBLANK(Table1[[#This Row],[Fetal Sex (Male, Female or Unknown)]])),ISNUMBER(Table1[[#This Row],[Birthweight (grams)]]),ISNUMBER(Table1[[#This Row],[Gestation (days)]])),TRUE,FALSE)</f>
        <v>0</v>
      </c>
      <c r="E3311" s="2" t="str">
        <f>IF(Table1[[#This Row],[Is Data Valid]]=TRUE,IF(Table1[[#This Row],[Fetal Sex (Male, Female or Unknown)]]="Male",Backend!$C$6,IF(Table1[[#This Row],[Fetal Sex (Male, Female or Unknown)]]="Female",Backend!$C$7,IF(Table1[[#This Row],[Fetal Sex (Male, Female or Unknown)]]="Unknown",Backend!$C$8,"Error"))),"")</f>
        <v/>
      </c>
      <c r="F3311" s="8" t="str">
        <f>IF(Table1[[#This Row],[Is Data Valid]]=TRUE,EXP(0.578+0.332*((Table1[[#This Row],[Gestation (days)]]+0.5)/7)-0.00354*((Table1[[#This Row],[Gestation (days)]]+0.5)/7)^2)*Table1[[#This Row],[BW40_3705]],"")</f>
        <v/>
      </c>
      <c r="G3311" s="2" t="str">
        <f>IF(Table1[[#This Row],[Is Data Valid]]=TRUE,((Table1[[#This Row],[Birthweight (grams)]]/Table1[[#This Row],[BW_GA]])-1)/(Backend!$B$4/100*Table1[[#This Row],[BW40_3705]]),"")</f>
        <v/>
      </c>
      <c r="H3311" s="7" t="str">
        <f>IF(Table1[[#This Row],[Is Data Valid]]=TRUE,((Table1[[#This Row],[Birthweight (grams)]]*0.9/Table1[[#This Row],[BW_GA]])-1)/(Backend!$B$4/100*Table1[[#This Row],[BW40_3705]]),"")</f>
        <v/>
      </c>
      <c r="I3311" s="7" t="str">
        <f>IF(Table1[[#This Row],[Is Data Valid]]=TRUE,((Table1[[#This Row],[Birthweight (grams)]]*1.1/Table1[[#This Row],[BW_GA]])-1)/(Backend!$B$4/100*Table1[[#This Row],[BW40_3705]]),"")</f>
        <v/>
      </c>
      <c r="J3311" s="7" t="str">
        <f>IF(Table1[[#This Row],[Is Data Valid]]=TRUE,_xlfn.NORM.S.DIST(Table1[[#This Row],[Birthweight Z-Score]],TRUE)*100,"")</f>
        <v/>
      </c>
      <c r="K3311" s="7" t="str">
        <f>IF(Table1[[#This Row],[Is Data Valid]]=TRUE,_xlfn.NORM.S.DIST(Table1[[#This Row],[Birthweight Z-Score (BW-10%)]],TRUE)*100,"")</f>
        <v/>
      </c>
      <c r="L3311" s="7" t="str">
        <f>IF(Table1[[#This Row],[Is Data Valid]]=TRUE,_xlfn.NORM.S.DIST(Table1[[#This Row],[Birthweight Z-Score (BW+10%)]],TRUE)*100,"")</f>
        <v/>
      </c>
    </row>
    <row r="3312" spans="1:12" x14ac:dyDescent="0.35">
      <c r="A3312" s="3"/>
      <c r="B3312" s="2"/>
      <c r="C3312" s="2"/>
      <c r="D3312" s="2" t="b">
        <f>IF(AND(NOT(ISBLANK(Table1[[#This Row],[Fetal Sex (Male, Female or Unknown)]])),ISNUMBER(Table1[[#This Row],[Birthweight (grams)]]),ISNUMBER(Table1[[#This Row],[Gestation (days)]])),TRUE,FALSE)</f>
        <v>0</v>
      </c>
      <c r="E3312" s="2" t="str">
        <f>IF(Table1[[#This Row],[Is Data Valid]]=TRUE,IF(Table1[[#This Row],[Fetal Sex (Male, Female or Unknown)]]="Male",Backend!$C$6,IF(Table1[[#This Row],[Fetal Sex (Male, Female or Unknown)]]="Female",Backend!$C$7,IF(Table1[[#This Row],[Fetal Sex (Male, Female or Unknown)]]="Unknown",Backend!$C$8,"Error"))),"")</f>
        <v/>
      </c>
      <c r="F3312" s="8" t="str">
        <f>IF(Table1[[#This Row],[Is Data Valid]]=TRUE,EXP(0.578+0.332*((Table1[[#This Row],[Gestation (days)]]+0.5)/7)-0.00354*((Table1[[#This Row],[Gestation (days)]]+0.5)/7)^2)*Table1[[#This Row],[BW40_3705]],"")</f>
        <v/>
      </c>
      <c r="G3312" s="2" t="str">
        <f>IF(Table1[[#This Row],[Is Data Valid]]=TRUE,((Table1[[#This Row],[Birthweight (grams)]]/Table1[[#This Row],[BW_GA]])-1)/(Backend!$B$4/100*Table1[[#This Row],[BW40_3705]]),"")</f>
        <v/>
      </c>
      <c r="H3312" s="7" t="str">
        <f>IF(Table1[[#This Row],[Is Data Valid]]=TRUE,((Table1[[#This Row],[Birthweight (grams)]]*0.9/Table1[[#This Row],[BW_GA]])-1)/(Backend!$B$4/100*Table1[[#This Row],[BW40_3705]]),"")</f>
        <v/>
      </c>
      <c r="I3312" s="7" t="str">
        <f>IF(Table1[[#This Row],[Is Data Valid]]=TRUE,((Table1[[#This Row],[Birthweight (grams)]]*1.1/Table1[[#This Row],[BW_GA]])-1)/(Backend!$B$4/100*Table1[[#This Row],[BW40_3705]]),"")</f>
        <v/>
      </c>
      <c r="J3312" s="7" t="str">
        <f>IF(Table1[[#This Row],[Is Data Valid]]=TRUE,_xlfn.NORM.S.DIST(Table1[[#This Row],[Birthweight Z-Score]],TRUE)*100,"")</f>
        <v/>
      </c>
      <c r="K3312" s="7" t="str">
        <f>IF(Table1[[#This Row],[Is Data Valid]]=TRUE,_xlfn.NORM.S.DIST(Table1[[#This Row],[Birthweight Z-Score (BW-10%)]],TRUE)*100,"")</f>
        <v/>
      </c>
      <c r="L3312" s="7" t="str">
        <f>IF(Table1[[#This Row],[Is Data Valid]]=TRUE,_xlfn.NORM.S.DIST(Table1[[#This Row],[Birthweight Z-Score (BW+10%)]],TRUE)*100,"")</f>
        <v/>
      </c>
    </row>
    <row r="3313" spans="1:12" x14ac:dyDescent="0.35">
      <c r="A3313" s="3"/>
      <c r="B3313" s="2"/>
      <c r="C3313" s="2"/>
      <c r="D3313" s="2" t="b">
        <f>IF(AND(NOT(ISBLANK(Table1[[#This Row],[Fetal Sex (Male, Female or Unknown)]])),ISNUMBER(Table1[[#This Row],[Birthweight (grams)]]),ISNUMBER(Table1[[#This Row],[Gestation (days)]])),TRUE,FALSE)</f>
        <v>0</v>
      </c>
      <c r="E3313" s="2" t="str">
        <f>IF(Table1[[#This Row],[Is Data Valid]]=TRUE,IF(Table1[[#This Row],[Fetal Sex (Male, Female or Unknown)]]="Male",Backend!$C$6,IF(Table1[[#This Row],[Fetal Sex (Male, Female or Unknown)]]="Female",Backend!$C$7,IF(Table1[[#This Row],[Fetal Sex (Male, Female or Unknown)]]="Unknown",Backend!$C$8,"Error"))),"")</f>
        <v/>
      </c>
      <c r="F3313" s="8" t="str">
        <f>IF(Table1[[#This Row],[Is Data Valid]]=TRUE,EXP(0.578+0.332*((Table1[[#This Row],[Gestation (days)]]+0.5)/7)-0.00354*((Table1[[#This Row],[Gestation (days)]]+0.5)/7)^2)*Table1[[#This Row],[BW40_3705]],"")</f>
        <v/>
      </c>
      <c r="G3313" s="2" t="str">
        <f>IF(Table1[[#This Row],[Is Data Valid]]=TRUE,((Table1[[#This Row],[Birthweight (grams)]]/Table1[[#This Row],[BW_GA]])-1)/(Backend!$B$4/100*Table1[[#This Row],[BW40_3705]]),"")</f>
        <v/>
      </c>
      <c r="H3313" s="7" t="str">
        <f>IF(Table1[[#This Row],[Is Data Valid]]=TRUE,((Table1[[#This Row],[Birthweight (grams)]]*0.9/Table1[[#This Row],[BW_GA]])-1)/(Backend!$B$4/100*Table1[[#This Row],[BW40_3705]]),"")</f>
        <v/>
      </c>
      <c r="I3313" s="7" t="str">
        <f>IF(Table1[[#This Row],[Is Data Valid]]=TRUE,((Table1[[#This Row],[Birthweight (grams)]]*1.1/Table1[[#This Row],[BW_GA]])-1)/(Backend!$B$4/100*Table1[[#This Row],[BW40_3705]]),"")</f>
        <v/>
      </c>
      <c r="J3313" s="7" t="str">
        <f>IF(Table1[[#This Row],[Is Data Valid]]=TRUE,_xlfn.NORM.S.DIST(Table1[[#This Row],[Birthweight Z-Score]],TRUE)*100,"")</f>
        <v/>
      </c>
      <c r="K3313" s="7" t="str">
        <f>IF(Table1[[#This Row],[Is Data Valid]]=TRUE,_xlfn.NORM.S.DIST(Table1[[#This Row],[Birthweight Z-Score (BW-10%)]],TRUE)*100,"")</f>
        <v/>
      </c>
      <c r="L3313" s="7" t="str">
        <f>IF(Table1[[#This Row],[Is Data Valid]]=TRUE,_xlfn.NORM.S.DIST(Table1[[#This Row],[Birthweight Z-Score (BW+10%)]],TRUE)*100,"")</f>
        <v/>
      </c>
    </row>
    <row r="3314" spans="1:12" x14ac:dyDescent="0.35">
      <c r="A3314" s="3"/>
      <c r="B3314" s="2"/>
      <c r="C3314" s="2"/>
      <c r="D3314" s="2" t="b">
        <f>IF(AND(NOT(ISBLANK(Table1[[#This Row],[Fetal Sex (Male, Female or Unknown)]])),ISNUMBER(Table1[[#This Row],[Birthweight (grams)]]),ISNUMBER(Table1[[#This Row],[Gestation (days)]])),TRUE,FALSE)</f>
        <v>0</v>
      </c>
      <c r="E3314" s="2" t="str">
        <f>IF(Table1[[#This Row],[Is Data Valid]]=TRUE,IF(Table1[[#This Row],[Fetal Sex (Male, Female or Unknown)]]="Male",Backend!$C$6,IF(Table1[[#This Row],[Fetal Sex (Male, Female or Unknown)]]="Female",Backend!$C$7,IF(Table1[[#This Row],[Fetal Sex (Male, Female or Unknown)]]="Unknown",Backend!$C$8,"Error"))),"")</f>
        <v/>
      </c>
      <c r="F3314" s="8" t="str">
        <f>IF(Table1[[#This Row],[Is Data Valid]]=TRUE,EXP(0.578+0.332*((Table1[[#This Row],[Gestation (days)]]+0.5)/7)-0.00354*((Table1[[#This Row],[Gestation (days)]]+0.5)/7)^2)*Table1[[#This Row],[BW40_3705]],"")</f>
        <v/>
      </c>
      <c r="G3314" s="2" t="str">
        <f>IF(Table1[[#This Row],[Is Data Valid]]=TRUE,((Table1[[#This Row],[Birthweight (grams)]]/Table1[[#This Row],[BW_GA]])-1)/(Backend!$B$4/100*Table1[[#This Row],[BW40_3705]]),"")</f>
        <v/>
      </c>
      <c r="H3314" s="7" t="str">
        <f>IF(Table1[[#This Row],[Is Data Valid]]=TRUE,((Table1[[#This Row],[Birthweight (grams)]]*0.9/Table1[[#This Row],[BW_GA]])-1)/(Backend!$B$4/100*Table1[[#This Row],[BW40_3705]]),"")</f>
        <v/>
      </c>
      <c r="I3314" s="7" t="str">
        <f>IF(Table1[[#This Row],[Is Data Valid]]=TRUE,((Table1[[#This Row],[Birthweight (grams)]]*1.1/Table1[[#This Row],[BW_GA]])-1)/(Backend!$B$4/100*Table1[[#This Row],[BW40_3705]]),"")</f>
        <v/>
      </c>
      <c r="J3314" s="7" t="str">
        <f>IF(Table1[[#This Row],[Is Data Valid]]=TRUE,_xlfn.NORM.S.DIST(Table1[[#This Row],[Birthweight Z-Score]],TRUE)*100,"")</f>
        <v/>
      </c>
      <c r="K3314" s="7" t="str">
        <f>IF(Table1[[#This Row],[Is Data Valid]]=TRUE,_xlfn.NORM.S.DIST(Table1[[#This Row],[Birthweight Z-Score (BW-10%)]],TRUE)*100,"")</f>
        <v/>
      </c>
      <c r="L3314" s="7" t="str">
        <f>IF(Table1[[#This Row],[Is Data Valid]]=TRUE,_xlfn.NORM.S.DIST(Table1[[#This Row],[Birthweight Z-Score (BW+10%)]],TRUE)*100,"")</f>
        <v/>
      </c>
    </row>
    <row r="3315" spans="1:12" x14ac:dyDescent="0.35">
      <c r="A3315" s="3"/>
      <c r="B3315" s="2"/>
      <c r="C3315" s="2"/>
      <c r="D3315" s="2" t="b">
        <f>IF(AND(NOT(ISBLANK(Table1[[#This Row],[Fetal Sex (Male, Female or Unknown)]])),ISNUMBER(Table1[[#This Row],[Birthweight (grams)]]),ISNUMBER(Table1[[#This Row],[Gestation (days)]])),TRUE,FALSE)</f>
        <v>0</v>
      </c>
      <c r="E3315" s="2" t="str">
        <f>IF(Table1[[#This Row],[Is Data Valid]]=TRUE,IF(Table1[[#This Row],[Fetal Sex (Male, Female or Unknown)]]="Male",Backend!$C$6,IF(Table1[[#This Row],[Fetal Sex (Male, Female or Unknown)]]="Female",Backend!$C$7,IF(Table1[[#This Row],[Fetal Sex (Male, Female or Unknown)]]="Unknown",Backend!$C$8,"Error"))),"")</f>
        <v/>
      </c>
      <c r="F3315" s="8" t="str">
        <f>IF(Table1[[#This Row],[Is Data Valid]]=TRUE,EXP(0.578+0.332*((Table1[[#This Row],[Gestation (days)]]+0.5)/7)-0.00354*((Table1[[#This Row],[Gestation (days)]]+0.5)/7)^2)*Table1[[#This Row],[BW40_3705]],"")</f>
        <v/>
      </c>
      <c r="G3315" s="2" t="str">
        <f>IF(Table1[[#This Row],[Is Data Valid]]=TRUE,((Table1[[#This Row],[Birthweight (grams)]]/Table1[[#This Row],[BW_GA]])-1)/(Backend!$B$4/100*Table1[[#This Row],[BW40_3705]]),"")</f>
        <v/>
      </c>
      <c r="H3315" s="7" t="str">
        <f>IF(Table1[[#This Row],[Is Data Valid]]=TRUE,((Table1[[#This Row],[Birthweight (grams)]]*0.9/Table1[[#This Row],[BW_GA]])-1)/(Backend!$B$4/100*Table1[[#This Row],[BW40_3705]]),"")</f>
        <v/>
      </c>
      <c r="I3315" s="7" t="str">
        <f>IF(Table1[[#This Row],[Is Data Valid]]=TRUE,((Table1[[#This Row],[Birthweight (grams)]]*1.1/Table1[[#This Row],[BW_GA]])-1)/(Backend!$B$4/100*Table1[[#This Row],[BW40_3705]]),"")</f>
        <v/>
      </c>
      <c r="J3315" s="7" t="str">
        <f>IF(Table1[[#This Row],[Is Data Valid]]=TRUE,_xlfn.NORM.S.DIST(Table1[[#This Row],[Birthweight Z-Score]],TRUE)*100,"")</f>
        <v/>
      </c>
      <c r="K3315" s="7" t="str">
        <f>IF(Table1[[#This Row],[Is Data Valid]]=TRUE,_xlfn.NORM.S.DIST(Table1[[#This Row],[Birthweight Z-Score (BW-10%)]],TRUE)*100,"")</f>
        <v/>
      </c>
      <c r="L3315" s="7" t="str">
        <f>IF(Table1[[#This Row],[Is Data Valid]]=TRUE,_xlfn.NORM.S.DIST(Table1[[#This Row],[Birthweight Z-Score (BW+10%)]],TRUE)*100,"")</f>
        <v/>
      </c>
    </row>
    <row r="3316" spans="1:12" x14ac:dyDescent="0.35">
      <c r="A3316" s="3"/>
      <c r="B3316" s="2"/>
      <c r="C3316" s="2"/>
      <c r="D3316" s="2" t="b">
        <f>IF(AND(NOT(ISBLANK(Table1[[#This Row],[Fetal Sex (Male, Female or Unknown)]])),ISNUMBER(Table1[[#This Row],[Birthweight (grams)]]),ISNUMBER(Table1[[#This Row],[Gestation (days)]])),TRUE,FALSE)</f>
        <v>0</v>
      </c>
      <c r="E3316" s="2" t="str">
        <f>IF(Table1[[#This Row],[Is Data Valid]]=TRUE,IF(Table1[[#This Row],[Fetal Sex (Male, Female or Unknown)]]="Male",Backend!$C$6,IF(Table1[[#This Row],[Fetal Sex (Male, Female or Unknown)]]="Female",Backend!$C$7,IF(Table1[[#This Row],[Fetal Sex (Male, Female or Unknown)]]="Unknown",Backend!$C$8,"Error"))),"")</f>
        <v/>
      </c>
      <c r="F3316" s="8" t="str">
        <f>IF(Table1[[#This Row],[Is Data Valid]]=TRUE,EXP(0.578+0.332*((Table1[[#This Row],[Gestation (days)]]+0.5)/7)-0.00354*((Table1[[#This Row],[Gestation (days)]]+0.5)/7)^2)*Table1[[#This Row],[BW40_3705]],"")</f>
        <v/>
      </c>
      <c r="G3316" s="2" t="str">
        <f>IF(Table1[[#This Row],[Is Data Valid]]=TRUE,((Table1[[#This Row],[Birthweight (grams)]]/Table1[[#This Row],[BW_GA]])-1)/(Backend!$B$4/100*Table1[[#This Row],[BW40_3705]]),"")</f>
        <v/>
      </c>
      <c r="H3316" s="7" t="str">
        <f>IF(Table1[[#This Row],[Is Data Valid]]=TRUE,((Table1[[#This Row],[Birthweight (grams)]]*0.9/Table1[[#This Row],[BW_GA]])-1)/(Backend!$B$4/100*Table1[[#This Row],[BW40_3705]]),"")</f>
        <v/>
      </c>
      <c r="I3316" s="7" t="str">
        <f>IF(Table1[[#This Row],[Is Data Valid]]=TRUE,((Table1[[#This Row],[Birthweight (grams)]]*1.1/Table1[[#This Row],[BW_GA]])-1)/(Backend!$B$4/100*Table1[[#This Row],[BW40_3705]]),"")</f>
        <v/>
      </c>
      <c r="J3316" s="7" t="str">
        <f>IF(Table1[[#This Row],[Is Data Valid]]=TRUE,_xlfn.NORM.S.DIST(Table1[[#This Row],[Birthweight Z-Score]],TRUE)*100,"")</f>
        <v/>
      </c>
      <c r="K3316" s="7" t="str">
        <f>IF(Table1[[#This Row],[Is Data Valid]]=TRUE,_xlfn.NORM.S.DIST(Table1[[#This Row],[Birthweight Z-Score (BW-10%)]],TRUE)*100,"")</f>
        <v/>
      </c>
      <c r="L3316" s="7" t="str">
        <f>IF(Table1[[#This Row],[Is Data Valid]]=TRUE,_xlfn.NORM.S.DIST(Table1[[#This Row],[Birthweight Z-Score (BW+10%)]],TRUE)*100,"")</f>
        <v/>
      </c>
    </row>
    <row r="3317" spans="1:12" x14ac:dyDescent="0.35">
      <c r="A3317" s="3"/>
      <c r="B3317" s="2"/>
      <c r="C3317" s="2"/>
      <c r="D3317" s="2" t="b">
        <f>IF(AND(NOT(ISBLANK(Table1[[#This Row],[Fetal Sex (Male, Female or Unknown)]])),ISNUMBER(Table1[[#This Row],[Birthweight (grams)]]),ISNUMBER(Table1[[#This Row],[Gestation (days)]])),TRUE,FALSE)</f>
        <v>0</v>
      </c>
      <c r="E3317" s="2" t="str">
        <f>IF(Table1[[#This Row],[Is Data Valid]]=TRUE,IF(Table1[[#This Row],[Fetal Sex (Male, Female or Unknown)]]="Male",Backend!$C$6,IF(Table1[[#This Row],[Fetal Sex (Male, Female or Unknown)]]="Female",Backend!$C$7,IF(Table1[[#This Row],[Fetal Sex (Male, Female or Unknown)]]="Unknown",Backend!$C$8,"Error"))),"")</f>
        <v/>
      </c>
      <c r="F3317" s="8" t="str">
        <f>IF(Table1[[#This Row],[Is Data Valid]]=TRUE,EXP(0.578+0.332*((Table1[[#This Row],[Gestation (days)]]+0.5)/7)-0.00354*((Table1[[#This Row],[Gestation (days)]]+0.5)/7)^2)*Table1[[#This Row],[BW40_3705]],"")</f>
        <v/>
      </c>
      <c r="G3317" s="2" t="str">
        <f>IF(Table1[[#This Row],[Is Data Valid]]=TRUE,((Table1[[#This Row],[Birthweight (grams)]]/Table1[[#This Row],[BW_GA]])-1)/(Backend!$B$4/100*Table1[[#This Row],[BW40_3705]]),"")</f>
        <v/>
      </c>
      <c r="H3317" s="7" t="str">
        <f>IF(Table1[[#This Row],[Is Data Valid]]=TRUE,((Table1[[#This Row],[Birthweight (grams)]]*0.9/Table1[[#This Row],[BW_GA]])-1)/(Backend!$B$4/100*Table1[[#This Row],[BW40_3705]]),"")</f>
        <v/>
      </c>
      <c r="I3317" s="7" t="str">
        <f>IF(Table1[[#This Row],[Is Data Valid]]=TRUE,((Table1[[#This Row],[Birthweight (grams)]]*1.1/Table1[[#This Row],[BW_GA]])-1)/(Backend!$B$4/100*Table1[[#This Row],[BW40_3705]]),"")</f>
        <v/>
      </c>
      <c r="J3317" s="7" t="str">
        <f>IF(Table1[[#This Row],[Is Data Valid]]=TRUE,_xlfn.NORM.S.DIST(Table1[[#This Row],[Birthweight Z-Score]],TRUE)*100,"")</f>
        <v/>
      </c>
      <c r="K3317" s="7" t="str">
        <f>IF(Table1[[#This Row],[Is Data Valid]]=TRUE,_xlfn.NORM.S.DIST(Table1[[#This Row],[Birthweight Z-Score (BW-10%)]],TRUE)*100,"")</f>
        <v/>
      </c>
      <c r="L3317" s="7" t="str">
        <f>IF(Table1[[#This Row],[Is Data Valid]]=TRUE,_xlfn.NORM.S.DIST(Table1[[#This Row],[Birthweight Z-Score (BW+10%)]],TRUE)*100,"")</f>
        <v/>
      </c>
    </row>
    <row r="3318" spans="1:12" x14ac:dyDescent="0.35">
      <c r="A3318" s="3"/>
      <c r="B3318" s="2"/>
      <c r="C3318" s="2"/>
      <c r="D3318" s="2" t="b">
        <f>IF(AND(NOT(ISBLANK(Table1[[#This Row],[Fetal Sex (Male, Female or Unknown)]])),ISNUMBER(Table1[[#This Row],[Birthweight (grams)]]),ISNUMBER(Table1[[#This Row],[Gestation (days)]])),TRUE,FALSE)</f>
        <v>0</v>
      </c>
      <c r="E3318" s="2" t="str">
        <f>IF(Table1[[#This Row],[Is Data Valid]]=TRUE,IF(Table1[[#This Row],[Fetal Sex (Male, Female or Unknown)]]="Male",Backend!$C$6,IF(Table1[[#This Row],[Fetal Sex (Male, Female or Unknown)]]="Female",Backend!$C$7,IF(Table1[[#This Row],[Fetal Sex (Male, Female or Unknown)]]="Unknown",Backend!$C$8,"Error"))),"")</f>
        <v/>
      </c>
      <c r="F3318" s="8" t="str">
        <f>IF(Table1[[#This Row],[Is Data Valid]]=TRUE,EXP(0.578+0.332*((Table1[[#This Row],[Gestation (days)]]+0.5)/7)-0.00354*((Table1[[#This Row],[Gestation (days)]]+0.5)/7)^2)*Table1[[#This Row],[BW40_3705]],"")</f>
        <v/>
      </c>
      <c r="G3318" s="2" t="str">
        <f>IF(Table1[[#This Row],[Is Data Valid]]=TRUE,((Table1[[#This Row],[Birthweight (grams)]]/Table1[[#This Row],[BW_GA]])-1)/(Backend!$B$4/100*Table1[[#This Row],[BW40_3705]]),"")</f>
        <v/>
      </c>
      <c r="H3318" s="7" t="str">
        <f>IF(Table1[[#This Row],[Is Data Valid]]=TRUE,((Table1[[#This Row],[Birthweight (grams)]]*0.9/Table1[[#This Row],[BW_GA]])-1)/(Backend!$B$4/100*Table1[[#This Row],[BW40_3705]]),"")</f>
        <v/>
      </c>
      <c r="I3318" s="7" t="str">
        <f>IF(Table1[[#This Row],[Is Data Valid]]=TRUE,((Table1[[#This Row],[Birthweight (grams)]]*1.1/Table1[[#This Row],[BW_GA]])-1)/(Backend!$B$4/100*Table1[[#This Row],[BW40_3705]]),"")</f>
        <v/>
      </c>
      <c r="J3318" s="7" t="str">
        <f>IF(Table1[[#This Row],[Is Data Valid]]=TRUE,_xlfn.NORM.S.DIST(Table1[[#This Row],[Birthweight Z-Score]],TRUE)*100,"")</f>
        <v/>
      </c>
      <c r="K3318" s="7" t="str">
        <f>IF(Table1[[#This Row],[Is Data Valid]]=TRUE,_xlfn.NORM.S.DIST(Table1[[#This Row],[Birthweight Z-Score (BW-10%)]],TRUE)*100,"")</f>
        <v/>
      </c>
      <c r="L3318" s="7" t="str">
        <f>IF(Table1[[#This Row],[Is Data Valid]]=TRUE,_xlfn.NORM.S.DIST(Table1[[#This Row],[Birthweight Z-Score (BW+10%)]],TRUE)*100,"")</f>
        <v/>
      </c>
    </row>
    <row r="3319" spans="1:12" x14ac:dyDescent="0.35">
      <c r="A3319" s="3"/>
      <c r="B3319" s="2"/>
      <c r="C3319" s="2"/>
      <c r="D3319" s="2" t="b">
        <f>IF(AND(NOT(ISBLANK(Table1[[#This Row],[Fetal Sex (Male, Female or Unknown)]])),ISNUMBER(Table1[[#This Row],[Birthweight (grams)]]),ISNUMBER(Table1[[#This Row],[Gestation (days)]])),TRUE,FALSE)</f>
        <v>0</v>
      </c>
      <c r="E3319" s="2" t="str">
        <f>IF(Table1[[#This Row],[Is Data Valid]]=TRUE,IF(Table1[[#This Row],[Fetal Sex (Male, Female or Unknown)]]="Male",Backend!$C$6,IF(Table1[[#This Row],[Fetal Sex (Male, Female or Unknown)]]="Female",Backend!$C$7,IF(Table1[[#This Row],[Fetal Sex (Male, Female or Unknown)]]="Unknown",Backend!$C$8,"Error"))),"")</f>
        <v/>
      </c>
      <c r="F3319" s="8" t="str">
        <f>IF(Table1[[#This Row],[Is Data Valid]]=TRUE,EXP(0.578+0.332*((Table1[[#This Row],[Gestation (days)]]+0.5)/7)-0.00354*((Table1[[#This Row],[Gestation (days)]]+0.5)/7)^2)*Table1[[#This Row],[BW40_3705]],"")</f>
        <v/>
      </c>
      <c r="G3319" s="2" t="str">
        <f>IF(Table1[[#This Row],[Is Data Valid]]=TRUE,((Table1[[#This Row],[Birthweight (grams)]]/Table1[[#This Row],[BW_GA]])-1)/(Backend!$B$4/100*Table1[[#This Row],[BW40_3705]]),"")</f>
        <v/>
      </c>
      <c r="H3319" s="7" t="str">
        <f>IF(Table1[[#This Row],[Is Data Valid]]=TRUE,((Table1[[#This Row],[Birthweight (grams)]]*0.9/Table1[[#This Row],[BW_GA]])-1)/(Backend!$B$4/100*Table1[[#This Row],[BW40_3705]]),"")</f>
        <v/>
      </c>
      <c r="I3319" s="7" t="str">
        <f>IF(Table1[[#This Row],[Is Data Valid]]=TRUE,((Table1[[#This Row],[Birthweight (grams)]]*1.1/Table1[[#This Row],[BW_GA]])-1)/(Backend!$B$4/100*Table1[[#This Row],[BW40_3705]]),"")</f>
        <v/>
      </c>
      <c r="J3319" s="7" t="str">
        <f>IF(Table1[[#This Row],[Is Data Valid]]=TRUE,_xlfn.NORM.S.DIST(Table1[[#This Row],[Birthweight Z-Score]],TRUE)*100,"")</f>
        <v/>
      </c>
      <c r="K3319" s="7" t="str">
        <f>IF(Table1[[#This Row],[Is Data Valid]]=TRUE,_xlfn.NORM.S.DIST(Table1[[#This Row],[Birthweight Z-Score (BW-10%)]],TRUE)*100,"")</f>
        <v/>
      </c>
      <c r="L3319" s="7" t="str">
        <f>IF(Table1[[#This Row],[Is Data Valid]]=TRUE,_xlfn.NORM.S.DIST(Table1[[#This Row],[Birthweight Z-Score (BW+10%)]],TRUE)*100,"")</f>
        <v/>
      </c>
    </row>
    <row r="3320" spans="1:12" x14ac:dyDescent="0.35">
      <c r="A3320" s="3"/>
      <c r="B3320" s="2"/>
      <c r="C3320" s="2"/>
      <c r="D3320" s="2" t="b">
        <f>IF(AND(NOT(ISBLANK(Table1[[#This Row],[Fetal Sex (Male, Female or Unknown)]])),ISNUMBER(Table1[[#This Row],[Birthweight (grams)]]),ISNUMBER(Table1[[#This Row],[Gestation (days)]])),TRUE,FALSE)</f>
        <v>0</v>
      </c>
      <c r="E3320" s="2" t="str">
        <f>IF(Table1[[#This Row],[Is Data Valid]]=TRUE,IF(Table1[[#This Row],[Fetal Sex (Male, Female or Unknown)]]="Male",Backend!$C$6,IF(Table1[[#This Row],[Fetal Sex (Male, Female or Unknown)]]="Female",Backend!$C$7,IF(Table1[[#This Row],[Fetal Sex (Male, Female or Unknown)]]="Unknown",Backend!$C$8,"Error"))),"")</f>
        <v/>
      </c>
      <c r="F3320" s="8" t="str">
        <f>IF(Table1[[#This Row],[Is Data Valid]]=TRUE,EXP(0.578+0.332*((Table1[[#This Row],[Gestation (days)]]+0.5)/7)-0.00354*((Table1[[#This Row],[Gestation (days)]]+0.5)/7)^2)*Table1[[#This Row],[BW40_3705]],"")</f>
        <v/>
      </c>
      <c r="G3320" s="2" t="str">
        <f>IF(Table1[[#This Row],[Is Data Valid]]=TRUE,((Table1[[#This Row],[Birthweight (grams)]]/Table1[[#This Row],[BW_GA]])-1)/(Backend!$B$4/100*Table1[[#This Row],[BW40_3705]]),"")</f>
        <v/>
      </c>
      <c r="H3320" s="7" t="str">
        <f>IF(Table1[[#This Row],[Is Data Valid]]=TRUE,((Table1[[#This Row],[Birthweight (grams)]]*0.9/Table1[[#This Row],[BW_GA]])-1)/(Backend!$B$4/100*Table1[[#This Row],[BW40_3705]]),"")</f>
        <v/>
      </c>
      <c r="I3320" s="7" t="str">
        <f>IF(Table1[[#This Row],[Is Data Valid]]=TRUE,((Table1[[#This Row],[Birthweight (grams)]]*1.1/Table1[[#This Row],[BW_GA]])-1)/(Backend!$B$4/100*Table1[[#This Row],[BW40_3705]]),"")</f>
        <v/>
      </c>
      <c r="J3320" s="7" t="str">
        <f>IF(Table1[[#This Row],[Is Data Valid]]=TRUE,_xlfn.NORM.S.DIST(Table1[[#This Row],[Birthweight Z-Score]],TRUE)*100,"")</f>
        <v/>
      </c>
      <c r="K3320" s="7" t="str">
        <f>IF(Table1[[#This Row],[Is Data Valid]]=TRUE,_xlfn.NORM.S.DIST(Table1[[#This Row],[Birthweight Z-Score (BW-10%)]],TRUE)*100,"")</f>
        <v/>
      </c>
      <c r="L3320" s="7" t="str">
        <f>IF(Table1[[#This Row],[Is Data Valid]]=TRUE,_xlfn.NORM.S.DIST(Table1[[#This Row],[Birthweight Z-Score (BW+10%)]],TRUE)*100,"")</f>
        <v/>
      </c>
    </row>
    <row r="3321" spans="1:12" x14ac:dyDescent="0.35">
      <c r="A3321" s="3"/>
      <c r="B3321" s="2"/>
      <c r="C3321" s="2"/>
      <c r="D3321" s="2" t="b">
        <f>IF(AND(NOT(ISBLANK(Table1[[#This Row],[Fetal Sex (Male, Female or Unknown)]])),ISNUMBER(Table1[[#This Row],[Birthweight (grams)]]),ISNUMBER(Table1[[#This Row],[Gestation (days)]])),TRUE,FALSE)</f>
        <v>0</v>
      </c>
      <c r="E3321" s="2" t="str">
        <f>IF(Table1[[#This Row],[Is Data Valid]]=TRUE,IF(Table1[[#This Row],[Fetal Sex (Male, Female or Unknown)]]="Male",Backend!$C$6,IF(Table1[[#This Row],[Fetal Sex (Male, Female or Unknown)]]="Female",Backend!$C$7,IF(Table1[[#This Row],[Fetal Sex (Male, Female or Unknown)]]="Unknown",Backend!$C$8,"Error"))),"")</f>
        <v/>
      </c>
      <c r="F3321" s="8" t="str">
        <f>IF(Table1[[#This Row],[Is Data Valid]]=TRUE,EXP(0.578+0.332*((Table1[[#This Row],[Gestation (days)]]+0.5)/7)-0.00354*((Table1[[#This Row],[Gestation (days)]]+0.5)/7)^2)*Table1[[#This Row],[BW40_3705]],"")</f>
        <v/>
      </c>
      <c r="G3321" s="2" t="str">
        <f>IF(Table1[[#This Row],[Is Data Valid]]=TRUE,((Table1[[#This Row],[Birthweight (grams)]]/Table1[[#This Row],[BW_GA]])-1)/(Backend!$B$4/100*Table1[[#This Row],[BW40_3705]]),"")</f>
        <v/>
      </c>
      <c r="H3321" s="7" t="str">
        <f>IF(Table1[[#This Row],[Is Data Valid]]=TRUE,((Table1[[#This Row],[Birthweight (grams)]]*0.9/Table1[[#This Row],[BW_GA]])-1)/(Backend!$B$4/100*Table1[[#This Row],[BW40_3705]]),"")</f>
        <v/>
      </c>
      <c r="I3321" s="7" t="str">
        <f>IF(Table1[[#This Row],[Is Data Valid]]=TRUE,((Table1[[#This Row],[Birthweight (grams)]]*1.1/Table1[[#This Row],[BW_GA]])-1)/(Backend!$B$4/100*Table1[[#This Row],[BW40_3705]]),"")</f>
        <v/>
      </c>
      <c r="J3321" s="7" t="str">
        <f>IF(Table1[[#This Row],[Is Data Valid]]=TRUE,_xlfn.NORM.S.DIST(Table1[[#This Row],[Birthweight Z-Score]],TRUE)*100,"")</f>
        <v/>
      </c>
      <c r="K3321" s="7" t="str">
        <f>IF(Table1[[#This Row],[Is Data Valid]]=TRUE,_xlfn.NORM.S.DIST(Table1[[#This Row],[Birthweight Z-Score (BW-10%)]],TRUE)*100,"")</f>
        <v/>
      </c>
      <c r="L3321" s="7" t="str">
        <f>IF(Table1[[#This Row],[Is Data Valid]]=TRUE,_xlfn.NORM.S.DIST(Table1[[#This Row],[Birthweight Z-Score (BW+10%)]],TRUE)*100,"")</f>
        <v/>
      </c>
    </row>
    <row r="3322" spans="1:12" x14ac:dyDescent="0.35">
      <c r="A3322" s="3"/>
      <c r="B3322" s="2"/>
      <c r="C3322" s="2"/>
      <c r="D3322" s="2" t="b">
        <f>IF(AND(NOT(ISBLANK(Table1[[#This Row],[Fetal Sex (Male, Female or Unknown)]])),ISNUMBER(Table1[[#This Row],[Birthweight (grams)]]),ISNUMBER(Table1[[#This Row],[Gestation (days)]])),TRUE,FALSE)</f>
        <v>0</v>
      </c>
      <c r="E3322" s="2" t="str">
        <f>IF(Table1[[#This Row],[Is Data Valid]]=TRUE,IF(Table1[[#This Row],[Fetal Sex (Male, Female or Unknown)]]="Male",Backend!$C$6,IF(Table1[[#This Row],[Fetal Sex (Male, Female or Unknown)]]="Female",Backend!$C$7,IF(Table1[[#This Row],[Fetal Sex (Male, Female or Unknown)]]="Unknown",Backend!$C$8,"Error"))),"")</f>
        <v/>
      </c>
      <c r="F3322" s="8" t="str">
        <f>IF(Table1[[#This Row],[Is Data Valid]]=TRUE,EXP(0.578+0.332*((Table1[[#This Row],[Gestation (days)]]+0.5)/7)-0.00354*((Table1[[#This Row],[Gestation (days)]]+0.5)/7)^2)*Table1[[#This Row],[BW40_3705]],"")</f>
        <v/>
      </c>
      <c r="G3322" s="2" t="str">
        <f>IF(Table1[[#This Row],[Is Data Valid]]=TRUE,((Table1[[#This Row],[Birthweight (grams)]]/Table1[[#This Row],[BW_GA]])-1)/(Backend!$B$4/100*Table1[[#This Row],[BW40_3705]]),"")</f>
        <v/>
      </c>
      <c r="H3322" s="7" t="str">
        <f>IF(Table1[[#This Row],[Is Data Valid]]=TRUE,((Table1[[#This Row],[Birthweight (grams)]]*0.9/Table1[[#This Row],[BW_GA]])-1)/(Backend!$B$4/100*Table1[[#This Row],[BW40_3705]]),"")</f>
        <v/>
      </c>
      <c r="I3322" s="7" t="str">
        <f>IF(Table1[[#This Row],[Is Data Valid]]=TRUE,((Table1[[#This Row],[Birthweight (grams)]]*1.1/Table1[[#This Row],[BW_GA]])-1)/(Backend!$B$4/100*Table1[[#This Row],[BW40_3705]]),"")</f>
        <v/>
      </c>
      <c r="J3322" s="7" t="str">
        <f>IF(Table1[[#This Row],[Is Data Valid]]=TRUE,_xlfn.NORM.S.DIST(Table1[[#This Row],[Birthweight Z-Score]],TRUE)*100,"")</f>
        <v/>
      </c>
      <c r="K3322" s="7" t="str">
        <f>IF(Table1[[#This Row],[Is Data Valid]]=TRUE,_xlfn.NORM.S.DIST(Table1[[#This Row],[Birthweight Z-Score (BW-10%)]],TRUE)*100,"")</f>
        <v/>
      </c>
      <c r="L3322" s="7" t="str">
        <f>IF(Table1[[#This Row],[Is Data Valid]]=TRUE,_xlfn.NORM.S.DIST(Table1[[#This Row],[Birthweight Z-Score (BW+10%)]],TRUE)*100,"")</f>
        <v/>
      </c>
    </row>
    <row r="3323" spans="1:12" x14ac:dyDescent="0.35">
      <c r="A3323" s="3"/>
      <c r="B3323" s="2"/>
      <c r="C3323" s="2"/>
      <c r="D3323" s="2" t="b">
        <f>IF(AND(NOT(ISBLANK(Table1[[#This Row],[Fetal Sex (Male, Female or Unknown)]])),ISNUMBER(Table1[[#This Row],[Birthweight (grams)]]),ISNUMBER(Table1[[#This Row],[Gestation (days)]])),TRUE,FALSE)</f>
        <v>0</v>
      </c>
      <c r="E3323" s="2" t="str">
        <f>IF(Table1[[#This Row],[Is Data Valid]]=TRUE,IF(Table1[[#This Row],[Fetal Sex (Male, Female or Unknown)]]="Male",Backend!$C$6,IF(Table1[[#This Row],[Fetal Sex (Male, Female or Unknown)]]="Female",Backend!$C$7,IF(Table1[[#This Row],[Fetal Sex (Male, Female or Unknown)]]="Unknown",Backend!$C$8,"Error"))),"")</f>
        <v/>
      </c>
      <c r="F3323" s="8" t="str">
        <f>IF(Table1[[#This Row],[Is Data Valid]]=TRUE,EXP(0.578+0.332*((Table1[[#This Row],[Gestation (days)]]+0.5)/7)-0.00354*((Table1[[#This Row],[Gestation (days)]]+0.5)/7)^2)*Table1[[#This Row],[BW40_3705]],"")</f>
        <v/>
      </c>
      <c r="G3323" s="2" t="str">
        <f>IF(Table1[[#This Row],[Is Data Valid]]=TRUE,((Table1[[#This Row],[Birthweight (grams)]]/Table1[[#This Row],[BW_GA]])-1)/(Backend!$B$4/100*Table1[[#This Row],[BW40_3705]]),"")</f>
        <v/>
      </c>
      <c r="H3323" s="7" t="str">
        <f>IF(Table1[[#This Row],[Is Data Valid]]=TRUE,((Table1[[#This Row],[Birthweight (grams)]]*0.9/Table1[[#This Row],[BW_GA]])-1)/(Backend!$B$4/100*Table1[[#This Row],[BW40_3705]]),"")</f>
        <v/>
      </c>
      <c r="I3323" s="7" t="str">
        <f>IF(Table1[[#This Row],[Is Data Valid]]=TRUE,((Table1[[#This Row],[Birthweight (grams)]]*1.1/Table1[[#This Row],[BW_GA]])-1)/(Backend!$B$4/100*Table1[[#This Row],[BW40_3705]]),"")</f>
        <v/>
      </c>
      <c r="J3323" s="7" t="str">
        <f>IF(Table1[[#This Row],[Is Data Valid]]=TRUE,_xlfn.NORM.S.DIST(Table1[[#This Row],[Birthweight Z-Score]],TRUE)*100,"")</f>
        <v/>
      </c>
      <c r="K3323" s="7" t="str">
        <f>IF(Table1[[#This Row],[Is Data Valid]]=TRUE,_xlfn.NORM.S.DIST(Table1[[#This Row],[Birthweight Z-Score (BW-10%)]],TRUE)*100,"")</f>
        <v/>
      </c>
      <c r="L3323" s="7" t="str">
        <f>IF(Table1[[#This Row],[Is Data Valid]]=TRUE,_xlfn.NORM.S.DIST(Table1[[#This Row],[Birthweight Z-Score (BW+10%)]],TRUE)*100,"")</f>
        <v/>
      </c>
    </row>
    <row r="3324" spans="1:12" x14ac:dyDescent="0.35">
      <c r="A3324" s="3"/>
      <c r="B3324" s="2"/>
      <c r="C3324" s="2"/>
      <c r="D3324" s="2" t="b">
        <f>IF(AND(NOT(ISBLANK(Table1[[#This Row],[Fetal Sex (Male, Female or Unknown)]])),ISNUMBER(Table1[[#This Row],[Birthweight (grams)]]),ISNUMBER(Table1[[#This Row],[Gestation (days)]])),TRUE,FALSE)</f>
        <v>0</v>
      </c>
      <c r="E3324" s="2" t="str">
        <f>IF(Table1[[#This Row],[Is Data Valid]]=TRUE,IF(Table1[[#This Row],[Fetal Sex (Male, Female or Unknown)]]="Male",Backend!$C$6,IF(Table1[[#This Row],[Fetal Sex (Male, Female or Unknown)]]="Female",Backend!$C$7,IF(Table1[[#This Row],[Fetal Sex (Male, Female or Unknown)]]="Unknown",Backend!$C$8,"Error"))),"")</f>
        <v/>
      </c>
      <c r="F3324" s="8" t="str">
        <f>IF(Table1[[#This Row],[Is Data Valid]]=TRUE,EXP(0.578+0.332*((Table1[[#This Row],[Gestation (days)]]+0.5)/7)-0.00354*((Table1[[#This Row],[Gestation (days)]]+0.5)/7)^2)*Table1[[#This Row],[BW40_3705]],"")</f>
        <v/>
      </c>
      <c r="G3324" s="2" t="str">
        <f>IF(Table1[[#This Row],[Is Data Valid]]=TRUE,((Table1[[#This Row],[Birthweight (grams)]]/Table1[[#This Row],[BW_GA]])-1)/(Backend!$B$4/100*Table1[[#This Row],[BW40_3705]]),"")</f>
        <v/>
      </c>
      <c r="H3324" s="7" t="str">
        <f>IF(Table1[[#This Row],[Is Data Valid]]=TRUE,((Table1[[#This Row],[Birthweight (grams)]]*0.9/Table1[[#This Row],[BW_GA]])-1)/(Backend!$B$4/100*Table1[[#This Row],[BW40_3705]]),"")</f>
        <v/>
      </c>
      <c r="I3324" s="7" t="str">
        <f>IF(Table1[[#This Row],[Is Data Valid]]=TRUE,((Table1[[#This Row],[Birthweight (grams)]]*1.1/Table1[[#This Row],[BW_GA]])-1)/(Backend!$B$4/100*Table1[[#This Row],[BW40_3705]]),"")</f>
        <v/>
      </c>
      <c r="J3324" s="7" t="str">
        <f>IF(Table1[[#This Row],[Is Data Valid]]=TRUE,_xlfn.NORM.S.DIST(Table1[[#This Row],[Birthweight Z-Score]],TRUE)*100,"")</f>
        <v/>
      </c>
      <c r="K3324" s="7" t="str">
        <f>IF(Table1[[#This Row],[Is Data Valid]]=TRUE,_xlfn.NORM.S.DIST(Table1[[#This Row],[Birthweight Z-Score (BW-10%)]],TRUE)*100,"")</f>
        <v/>
      </c>
      <c r="L3324" s="7" t="str">
        <f>IF(Table1[[#This Row],[Is Data Valid]]=TRUE,_xlfn.NORM.S.DIST(Table1[[#This Row],[Birthweight Z-Score (BW+10%)]],TRUE)*100,"")</f>
        <v/>
      </c>
    </row>
    <row r="3325" spans="1:12" x14ac:dyDescent="0.35">
      <c r="A3325" s="3"/>
      <c r="B3325" s="2"/>
      <c r="C3325" s="2"/>
      <c r="D3325" s="2" t="b">
        <f>IF(AND(NOT(ISBLANK(Table1[[#This Row],[Fetal Sex (Male, Female or Unknown)]])),ISNUMBER(Table1[[#This Row],[Birthweight (grams)]]),ISNUMBER(Table1[[#This Row],[Gestation (days)]])),TRUE,FALSE)</f>
        <v>0</v>
      </c>
      <c r="E3325" s="2" t="str">
        <f>IF(Table1[[#This Row],[Is Data Valid]]=TRUE,IF(Table1[[#This Row],[Fetal Sex (Male, Female or Unknown)]]="Male",Backend!$C$6,IF(Table1[[#This Row],[Fetal Sex (Male, Female or Unknown)]]="Female",Backend!$C$7,IF(Table1[[#This Row],[Fetal Sex (Male, Female or Unknown)]]="Unknown",Backend!$C$8,"Error"))),"")</f>
        <v/>
      </c>
      <c r="F3325" s="8" t="str">
        <f>IF(Table1[[#This Row],[Is Data Valid]]=TRUE,EXP(0.578+0.332*((Table1[[#This Row],[Gestation (days)]]+0.5)/7)-0.00354*((Table1[[#This Row],[Gestation (days)]]+0.5)/7)^2)*Table1[[#This Row],[BW40_3705]],"")</f>
        <v/>
      </c>
      <c r="G3325" s="2" t="str">
        <f>IF(Table1[[#This Row],[Is Data Valid]]=TRUE,((Table1[[#This Row],[Birthweight (grams)]]/Table1[[#This Row],[BW_GA]])-1)/(Backend!$B$4/100*Table1[[#This Row],[BW40_3705]]),"")</f>
        <v/>
      </c>
      <c r="H3325" s="7" t="str">
        <f>IF(Table1[[#This Row],[Is Data Valid]]=TRUE,((Table1[[#This Row],[Birthweight (grams)]]*0.9/Table1[[#This Row],[BW_GA]])-1)/(Backend!$B$4/100*Table1[[#This Row],[BW40_3705]]),"")</f>
        <v/>
      </c>
      <c r="I3325" s="7" t="str">
        <f>IF(Table1[[#This Row],[Is Data Valid]]=TRUE,((Table1[[#This Row],[Birthweight (grams)]]*1.1/Table1[[#This Row],[BW_GA]])-1)/(Backend!$B$4/100*Table1[[#This Row],[BW40_3705]]),"")</f>
        <v/>
      </c>
      <c r="J3325" s="7" t="str">
        <f>IF(Table1[[#This Row],[Is Data Valid]]=TRUE,_xlfn.NORM.S.DIST(Table1[[#This Row],[Birthweight Z-Score]],TRUE)*100,"")</f>
        <v/>
      </c>
      <c r="K3325" s="7" t="str">
        <f>IF(Table1[[#This Row],[Is Data Valid]]=TRUE,_xlfn.NORM.S.DIST(Table1[[#This Row],[Birthweight Z-Score (BW-10%)]],TRUE)*100,"")</f>
        <v/>
      </c>
      <c r="L3325" s="7" t="str">
        <f>IF(Table1[[#This Row],[Is Data Valid]]=TRUE,_xlfn.NORM.S.DIST(Table1[[#This Row],[Birthweight Z-Score (BW+10%)]],TRUE)*100,"")</f>
        <v/>
      </c>
    </row>
    <row r="3326" spans="1:12" x14ac:dyDescent="0.35">
      <c r="A3326" s="3"/>
      <c r="B3326" s="2"/>
      <c r="C3326" s="2"/>
      <c r="D3326" s="2" t="b">
        <f>IF(AND(NOT(ISBLANK(Table1[[#This Row],[Fetal Sex (Male, Female or Unknown)]])),ISNUMBER(Table1[[#This Row],[Birthweight (grams)]]),ISNUMBER(Table1[[#This Row],[Gestation (days)]])),TRUE,FALSE)</f>
        <v>0</v>
      </c>
      <c r="E3326" s="2" t="str">
        <f>IF(Table1[[#This Row],[Is Data Valid]]=TRUE,IF(Table1[[#This Row],[Fetal Sex (Male, Female or Unknown)]]="Male",Backend!$C$6,IF(Table1[[#This Row],[Fetal Sex (Male, Female or Unknown)]]="Female",Backend!$C$7,IF(Table1[[#This Row],[Fetal Sex (Male, Female or Unknown)]]="Unknown",Backend!$C$8,"Error"))),"")</f>
        <v/>
      </c>
      <c r="F3326" s="8" t="str">
        <f>IF(Table1[[#This Row],[Is Data Valid]]=TRUE,EXP(0.578+0.332*((Table1[[#This Row],[Gestation (days)]]+0.5)/7)-0.00354*((Table1[[#This Row],[Gestation (days)]]+0.5)/7)^2)*Table1[[#This Row],[BW40_3705]],"")</f>
        <v/>
      </c>
      <c r="G3326" s="2" t="str">
        <f>IF(Table1[[#This Row],[Is Data Valid]]=TRUE,((Table1[[#This Row],[Birthweight (grams)]]/Table1[[#This Row],[BW_GA]])-1)/(Backend!$B$4/100*Table1[[#This Row],[BW40_3705]]),"")</f>
        <v/>
      </c>
      <c r="H3326" s="7" t="str">
        <f>IF(Table1[[#This Row],[Is Data Valid]]=TRUE,((Table1[[#This Row],[Birthweight (grams)]]*0.9/Table1[[#This Row],[BW_GA]])-1)/(Backend!$B$4/100*Table1[[#This Row],[BW40_3705]]),"")</f>
        <v/>
      </c>
      <c r="I3326" s="7" t="str">
        <f>IF(Table1[[#This Row],[Is Data Valid]]=TRUE,((Table1[[#This Row],[Birthweight (grams)]]*1.1/Table1[[#This Row],[BW_GA]])-1)/(Backend!$B$4/100*Table1[[#This Row],[BW40_3705]]),"")</f>
        <v/>
      </c>
      <c r="J3326" s="7" t="str">
        <f>IF(Table1[[#This Row],[Is Data Valid]]=TRUE,_xlfn.NORM.S.DIST(Table1[[#This Row],[Birthweight Z-Score]],TRUE)*100,"")</f>
        <v/>
      </c>
      <c r="K3326" s="7" t="str">
        <f>IF(Table1[[#This Row],[Is Data Valid]]=TRUE,_xlfn.NORM.S.DIST(Table1[[#This Row],[Birthweight Z-Score (BW-10%)]],TRUE)*100,"")</f>
        <v/>
      </c>
      <c r="L3326" s="7" t="str">
        <f>IF(Table1[[#This Row],[Is Data Valid]]=TRUE,_xlfn.NORM.S.DIST(Table1[[#This Row],[Birthweight Z-Score (BW+10%)]],TRUE)*100,"")</f>
        <v/>
      </c>
    </row>
    <row r="3327" spans="1:12" x14ac:dyDescent="0.35">
      <c r="A3327" s="3"/>
      <c r="B3327" s="2"/>
      <c r="C3327" s="2"/>
      <c r="D3327" s="2" t="b">
        <f>IF(AND(NOT(ISBLANK(Table1[[#This Row],[Fetal Sex (Male, Female or Unknown)]])),ISNUMBER(Table1[[#This Row],[Birthweight (grams)]]),ISNUMBER(Table1[[#This Row],[Gestation (days)]])),TRUE,FALSE)</f>
        <v>0</v>
      </c>
      <c r="E3327" s="2" t="str">
        <f>IF(Table1[[#This Row],[Is Data Valid]]=TRUE,IF(Table1[[#This Row],[Fetal Sex (Male, Female or Unknown)]]="Male",Backend!$C$6,IF(Table1[[#This Row],[Fetal Sex (Male, Female or Unknown)]]="Female",Backend!$C$7,IF(Table1[[#This Row],[Fetal Sex (Male, Female or Unknown)]]="Unknown",Backend!$C$8,"Error"))),"")</f>
        <v/>
      </c>
      <c r="F3327" s="8" t="str">
        <f>IF(Table1[[#This Row],[Is Data Valid]]=TRUE,EXP(0.578+0.332*((Table1[[#This Row],[Gestation (days)]]+0.5)/7)-0.00354*((Table1[[#This Row],[Gestation (days)]]+0.5)/7)^2)*Table1[[#This Row],[BW40_3705]],"")</f>
        <v/>
      </c>
      <c r="G3327" s="2" t="str">
        <f>IF(Table1[[#This Row],[Is Data Valid]]=TRUE,((Table1[[#This Row],[Birthweight (grams)]]/Table1[[#This Row],[BW_GA]])-1)/(Backend!$B$4/100*Table1[[#This Row],[BW40_3705]]),"")</f>
        <v/>
      </c>
      <c r="H3327" s="7" t="str">
        <f>IF(Table1[[#This Row],[Is Data Valid]]=TRUE,((Table1[[#This Row],[Birthweight (grams)]]*0.9/Table1[[#This Row],[BW_GA]])-1)/(Backend!$B$4/100*Table1[[#This Row],[BW40_3705]]),"")</f>
        <v/>
      </c>
      <c r="I3327" s="7" t="str">
        <f>IF(Table1[[#This Row],[Is Data Valid]]=TRUE,((Table1[[#This Row],[Birthweight (grams)]]*1.1/Table1[[#This Row],[BW_GA]])-1)/(Backend!$B$4/100*Table1[[#This Row],[BW40_3705]]),"")</f>
        <v/>
      </c>
      <c r="J3327" s="7" t="str">
        <f>IF(Table1[[#This Row],[Is Data Valid]]=TRUE,_xlfn.NORM.S.DIST(Table1[[#This Row],[Birthweight Z-Score]],TRUE)*100,"")</f>
        <v/>
      </c>
      <c r="K3327" s="7" t="str">
        <f>IF(Table1[[#This Row],[Is Data Valid]]=TRUE,_xlfn.NORM.S.DIST(Table1[[#This Row],[Birthweight Z-Score (BW-10%)]],TRUE)*100,"")</f>
        <v/>
      </c>
      <c r="L3327" s="7" t="str">
        <f>IF(Table1[[#This Row],[Is Data Valid]]=TRUE,_xlfn.NORM.S.DIST(Table1[[#This Row],[Birthweight Z-Score (BW+10%)]],TRUE)*100,"")</f>
        <v/>
      </c>
    </row>
    <row r="3328" spans="1:12" x14ac:dyDescent="0.35">
      <c r="A3328" s="3"/>
      <c r="B3328" s="2"/>
      <c r="C3328" s="2"/>
      <c r="D3328" s="2" t="b">
        <f>IF(AND(NOT(ISBLANK(Table1[[#This Row],[Fetal Sex (Male, Female or Unknown)]])),ISNUMBER(Table1[[#This Row],[Birthweight (grams)]]),ISNUMBER(Table1[[#This Row],[Gestation (days)]])),TRUE,FALSE)</f>
        <v>0</v>
      </c>
      <c r="E3328" s="2" t="str">
        <f>IF(Table1[[#This Row],[Is Data Valid]]=TRUE,IF(Table1[[#This Row],[Fetal Sex (Male, Female or Unknown)]]="Male",Backend!$C$6,IF(Table1[[#This Row],[Fetal Sex (Male, Female or Unknown)]]="Female",Backend!$C$7,IF(Table1[[#This Row],[Fetal Sex (Male, Female or Unknown)]]="Unknown",Backend!$C$8,"Error"))),"")</f>
        <v/>
      </c>
      <c r="F3328" s="8" t="str">
        <f>IF(Table1[[#This Row],[Is Data Valid]]=TRUE,EXP(0.578+0.332*((Table1[[#This Row],[Gestation (days)]]+0.5)/7)-0.00354*((Table1[[#This Row],[Gestation (days)]]+0.5)/7)^2)*Table1[[#This Row],[BW40_3705]],"")</f>
        <v/>
      </c>
      <c r="G3328" s="2" t="str">
        <f>IF(Table1[[#This Row],[Is Data Valid]]=TRUE,((Table1[[#This Row],[Birthweight (grams)]]/Table1[[#This Row],[BW_GA]])-1)/(Backend!$B$4/100*Table1[[#This Row],[BW40_3705]]),"")</f>
        <v/>
      </c>
      <c r="H3328" s="7" t="str">
        <f>IF(Table1[[#This Row],[Is Data Valid]]=TRUE,((Table1[[#This Row],[Birthweight (grams)]]*0.9/Table1[[#This Row],[BW_GA]])-1)/(Backend!$B$4/100*Table1[[#This Row],[BW40_3705]]),"")</f>
        <v/>
      </c>
      <c r="I3328" s="7" t="str">
        <f>IF(Table1[[#This Row],[Is Data Valid]]=TRUE,((Table1[[#This Row],[Birthweight (grams)]]*1.1/Table1[[#This Row],[BW_GA]])-1)/(Backend!$B$4/100*Table1[[#This Row],[BW40_3705]]),"")</f>
        <v/>
      </c>
      <c r="J3328" s="7" t="str">
        <f>IF(Table1[[#This Row],[Is Data Valid]]=TRUE,_xlfn.NORM.S.DIST(Table1[[#This Row],[Birthweight Z-Score]],TRUE)*100,"")</f>
        <v/>
      </c>
      <c r="K3328" s="7" t="str">
        <f>IF(Table1[[#This Row],[Is Data Valid]]=TRUE,_xlfn.NORM.S.DIST(Table1[[#This Row],[Birthweight Z-Score (BW-10%)]],TRUE)*100,"")</f>
        <v/>
      </c>
      <c r="L3328" s="7" t="str">
        <f>IF(Table1[[#This Row],[Is Data Valid]]=TRUE,_xlfn.NORM.S.DIST(Table1[[#This Row],[Birthweight Z-Score (BW+10%)]],TRUE)*100,"")</f>
        <v/>
      </c>
    </row>
    <row r="3329" spans="1:12" x14ac:dyDescent="0.35">
      <c r="A3329" s="3"/>
      <c r="B3329" s="2"/>
      <c r="C3329" s="2"/>
      <c r="D3329" s="2" t="b">
        <f>IF(AND(NOT(ISBLANK(Table1[[#This Row],[Fetal Sex (Male, Female or Unknown)]])),ISNUMBER(Table1[[#This Row],[Birthweight (grams)]]),ISNUMBER(Table1[[#This Row],[Gestation (days)]])),TRUE,FALSE)</f>
        <v>0</v>
      </c>
      <c r="E3329" s="2" t="str">
        <f>IF(Table1[[#This Row],[Is Data Valid]]=TRUE,IF(Table1[[#This Row],[Fetal Sex (Male, Female or Unknown)]]="Male",Backend!$C$6,IF(Table1[[#This Row],[Fetal Sex (Male, Female or Unknown)]]="Female",Backend!$C$7,IF(Table1[[#This Row],[Fetal Sex (Male, Female or Unknown)]]="Unknown",Backend!$C$8,"Error"))),"")</f>
        <v/>
      </c>
      <c r="F3329" s="8" t="str">
        <f>IF(Table1[[#This Row],[Is Data Valid]]=TRUE,EXP(0.578+0.332*((Table1[[#This Row],[Gestation (days)]]+0.5)/7)-0.00354*((Table1[[#This Row],[Gestation (days)]]+0.5)/7)^2)*Table1[[#This Row],[BW40_3705]],"")</f>
        <v/>
      </c>
      <c r="G3329" s="2" t="str">
        <f>IF(Table1[[#This Row],[Is Data Valid]]=TRUE,((Table1[[#This Row],[Birthweight (grams)]]/Table1[[#This Row],[BW_GA]])-1)/(Backend!$B$4/100*Table1[[#This Row],[BW40_3705]]),"")</f>
        <v/>
      </c>
      <c r="H3329" s="7" t="str">
        <f>IF(Table1[[#This Row],[Is Data Valid]]=TRUE,((Table1[[#This Row],[Birthweight (grams)]]*0.9/Table1[[#This Row],[BW_GA]])-1)/(Backend!$B$4/100*Table1[[#This Row],[BW40_3705]]),"")</f>
        <v/>
      </c>
      <c r="I3329" s="7" t="str">
        <f>IF(Table1[[#This Row],[Is Data Valid]]=TRUE,((Table1[[#This Row],[Birthweight (grams)]]*1.1/Table1[[#This Row],[BW_GA]])-1)/(Backend!$B$4/100*Table1[[#This Row],[BW40_3705]]),"")</f>
        <v/>
      </c>
      <c r="J3329" s="7" t="str">
        <f>IF(Table1[[#This Row],[Is Data Valid]]=TRUE,_xlfn.NORM.S.DIST(Table1[[#This Row],[Birthweight Z-Score]],TRUE)*100,"")</f>
        <v/>
      </c>
      <c r="K3329" s="7" t="str">
        <f>IF(Table1[[#This Row],[Is Data Valid]]=TRUE,_xlfn.NORM.S.DIST(Table1[[#This Row],[Birthweight Z-Score (BW-10%)]],TRUE)*100,"")</f>
        <v/>
      </c>
      <c r="L3329" s="7" t="str">
        <f>IF(Table1[[#This Row],[Is Data Valid]]=TRUE,_xlfn.NORM.S.DIST(Table1[[#This Row],[Birthweight Z-Score (BW+10%)]],TRUE)*100,"")</f>
        <v/>
      </c>
    </row>
    <row r="3330" spans="1:12" x14ac:dyDescent="0.35">
      <c r="A3330" s="3"/>
      <c r="B3330" s="2"/>
      <c r="C3330" s="2"/>
      <c r="D3330" s="2" t="b">
        <f>IF(AND(NOT(ISBLANK(Table1[[#This Row],[Fetal Sex (Male, Female or Unknown)]])),ISNUMBER(Table1[[#This Row],[Birthweight (grams)]]),ISNUMBER(Table1[[#This Row],[Gestation (days)]])),TRUE,FALSE)</f>
        <v>0</v>
      </c>
      <c r="E3330" s="2" t="str">
        <f>IF(Table1[[#This Row],[Is Data Valid]]=TRUE,IF(Table1[[#This Row],[Fetal Sex (Male, Female or Unknown)]]="Male",Backend!$C$6,IF(Table1[[#This Row],[Fetal Sex (Male, Female or Unknown)]]="Female",Backend!$C$7,IF(Table1[[#This Row],[Fetal Sex (Male, Female or Unknown)]]="Unknown",Backend!$C$8,"Error"))),"")</f>
        <v/>
      </c>
      <c r="F3330" s="8" t="str">
        <f>IF(Table1[[#This Row],[Is Data Valid]]=TRUE,EXP(0.578+0.332*((Table1[[#This Row],[Gestation (days)]]+0.5)/7)-0.00354*((Table1[[#This Row],[Gestation (days)]]+0.5)/7)^2)*Table1[[#This Row],[BW40_3705]],"")</f>
        <v/>
      </c>
      <c r="G3330" s="2" t="str">
        <f>IF(Table1[[#This Row],[Is Data Valid]]=TRUE,((Table1[[#This Row],[Birthweight (grams)]]/Table1[[#This Row],[BW_GA]])-1)/(Backend!$B$4/100*Table1[[#This Row],[BW40_3705]]),"")</f>
        <v/>
      </c>
      <c r="H3330" s="7" t="str">
        <f>IF(Table1[[#This Row],[Is Data Valid]]=TRUE,((Table1[[#This Row],[Birthweight (grams)]]*0.9/Table1[[#This Row],[BW_GA]])-1)/(Backend!$B$4/100*Table1[[#This Row],[BW40_3705]]),"")</f>
        <v/>
      </c>
      <c r="I3330" s="7" t="str">
        <f>IF(Table1[[#This Row],[Is Data Valid]]=TRUE,((Table1[[#This Row],[Birthweight (grams)]]*1.1/Table1[[#This Row],[BW_GA]])-1)/(Backend!$B$4/100*Table1[[#This Row],[BW40_3705]]),"")</f>
        <v/>
      </c>
      <c r="J3330" s="7" t="str">
        <f>IF(Table1[[#This Row],[Is Data Valid]]=TRUE,_xlfn.NORM.S.DIST(Table1[[#This Row],[Birthweight Z-Score]],TRUE)*100,"")</f>
        <v/>
      </c>
      <c r="K3330" s="7" t="str">
        <f>IF(Table1[[#This Row],[Is Data Valid]]=TRUE,_xlfn.NORM.S.DIST(Table1[[#This Row],[Birthweight Z-Score (BW-10%)]],TRUE)*100,"")</f>
        <v/>
      </c>
      <c r="L3330" s="7" t="str">
        <f>IF(Table1[[#This Row],[Is Data Valid]]=TRUE,_xlfn.NORM.S.DIST(Table1[[#This Row],[Birthweight Z-Score (BW+10%)]],TRUE)*100,"")</f>
        <v/>
      </c>
    </row>
    <row r="3331" spans="1:12" x14ac:dyDescent="0.35">
      <c r="A3331" s="3"/>
      <c r="B3331" s="2"/>
      <c r="C3331" s="2"/>
      <c r="D3331" s="2" t="b">
        <f>IF(AND(NOT(ISBLANK(Table1[[#This Row],[Fetal Sex (Male, Female or Unknown)]])),ISNUMBER(Table1[[#This Row],[Birthweight (grams)]]),ISNUMBER(Table1[[#This Row],[Gestation (days)]])),TRUE,FALSE)</f>
        <v>0</v>
      </c>
      <c r="E3331" s="2" t="str">
        <f>IF(Table1[[#This Row],[Is Data Valid]]=TRUE,IF(Table1[[#This Row],[Fetal Sex (Male, Female or Unknown)]]="Male",Backend!$C$6,IF(Table1[[#This Row],[Fetal Sex (Male, Female or Unknown)]]="Female",Backend!$C$7,IF(Table1[[#This Row],[Fetal Sex (Male, Female or Unknown)]]="Unknown",Backend!$C$8,"Error"))),"")</f>
        <v/>
      </c>
      <c r="F3331" s="8" t="str">
        <f>IF(Table1[[#This Row],[Is Data Valid]]=TRUE,EXP(0.578+0.332*((Table1[[#This Row],[Gestation (days)]]+0.5)/7)-0.00354*((Table1[[#This Row],[Gestation (days)]]+0.5)/7)^2)*Table1[[#This Row],[BW40_3705]],"")</f>
        <v/>
      </c>
      <c r="G3331" s="2" t="str">
        <f>IF(Table1[[#This Row],[Is Data Valid]]=TRUE,((Table1[[#This Row],[Birthweight (grams)]]/Table1[[#This Row],[BW_GA]])-1)/(Backend!$B$4/100*Table1[[#This Row],[BW40_3705]]),"")</f>
        <v/>
      </c>
      <c r="H3331" s="7" t="str">
        <f>IF(Table1[[#This Row],[Is Data Valid]]=TRUE,((Table1[[#This Row],[Birthweight (grams)]]*0.9/Table1[[#This Row],[BW_GA]])-1)/(Backend!$B$4/100*Table1[[#This Row],[BW40_3705]]),"")</f>
        <v/>
      </c>
      <c r="I3331" s="7" t="str">
        <f>IF(Table1[[#This Row],[Is Data Valid]]=TRUE,((Table1[[#This Row],[Birthweight (grams)]]*1.1/Table1[[#This Row],[BW_GA]])-1)/(Backend!$B$4/100*Table1[[#This Row],[BW40_3705]]),"")</f>
        <v/>
      </c>
      <c r="J3331" s="7" t="str">
        <f>IF(Table1[[#This Row],[Is Data Valid]]=TRUE,_xlfn.NORM.S.DIST(Table1[[#This Row],[Birthweight Z-Score]],TRUE)*100,"")</f>
        <v/>
      </c>
      <c r="K3331" s="7" t="str">
        <f>IF(Table1[[#This Row],[Is Data Valid]]=TRUE,_xlfn.NORM.S.DIST(Table1[[#This Row],[Birthweight Z-Score (BW-10%)]],TRUE)*100,"")</f>
        <v/>
      </c>
      <c r="L3331" s="7" t="str">
        <f>IF(Table1[[#This Row],[Is Data Valid]]=TRUE,_xlfn.NORM.S.DIST(Table1[[#This Row],[Birthweight Z-Score (BW+10%)]],TRUE)*100,"")</f>
        <v/>
      </c>
    </row>
    <row r="3332" spans="1:12" x14ac:dyDescent="0.35">
      <c r="A3332" s="3"/>
      <c r="B3332" s="2"/>
      <c r="C3332" s="2"/>
      <c r="D3332" s="2" t="b">
        <f>IF(AND(NOT(ISBLANK(Table1[[#This Row],[Fetal Sex (Male, Female or Unknown)]])),ISNUMBER(Table1[[#This Row],[Birthweight (grams)]]),ISNUMBER(Table1[[#This Row],[Gestation (days)]])),TRUE,FALSE)</f>
        <v>0</v>
      </c>
      <c r="E3332" s="2" t="str">
        <f>IF(Table1[[#This Row],[Is Data Valid]]=TRUE,IF(Table1[[#This Row],[Fetal Sex (Male, Female or Unknown)]]="Male",Backend!$C$6,IF(Table1[[#This Row],[Fetal Sex (Male, Female or Unknown)]]="Female",Backend!$C$7,IF(Table1[[#This Row],[Fetal Sex (Male, Female or Unknown)]]="Unknown",Backend!$C$8,"Error"))),"")</f>
        <v/>
      </c>
      <c r="F3332" s="8" t="str">
        <f>IF(Table1[[#This Row],[Is Data Valid]]=TRUE,EXP(0.578+0.332*((Table1[[#This Row],[Gestation (days)]]+0.5)/7)-0.00354*((Table1[[#This Row],[Gestation (days)]]+0.5)/7)^2)*Table1[[#This Row],[BW40_3705]],"")</f>
        <v/>
      </c>
      <c r="G3332" s="2" t="str">
        <f>IF(Table1[[#This Row],[Is Data Valid]]=TRUE,((Table1[[#This Row],[Birthweight (grams)]]/Table1[[#This Row],[BW_GA]])-1)/(Backend!$B$4/100*Table1[[#This Row],[BW40_3705]]),"")</f>
        <v/>
      </c>
      <c r="H3332" s="7" t="str">
        <f>IF(Table1[[#This Row],[Is Data Valid]]=TRUE,((Table1[[#This Row],[Birthweight (grams)]]*0.9/Table1[[#This Row],[BW_GA]])-1)/(Backend!$B$4/100*Table1[[#This Row],[BW40_3705]]),"")</f>
        <v/>
      </c>
      <c r="I3332" s="7" t="str">
        <f>IF(Table1[[#This Row],[Is Data Valid]]=TRUE,((Table1[[#This Row],[Birthweight (grams)]]*1.1/Table1[[#This Row],[BW_GA]])-1)/(Backend!$B$4/100*Table1[[#This Row],[BW40_3705]]),"")</f>
        <v/>
      </c>
      <c r="J3332" s="7" t="str">
        <f>IF(Table1[[#This Row],[Is Data Valid]]=TRUE,_xlfn.NORM.S.DIST(Table1[[#This Row],[Birthweight Z-Score]],TRUE)*100,"")</f>
        <v/>
      </c>
      <c r="K3332" s="7" t="str">
        <f>IF(Table1[[#This Row],[Is Data Valid]]=TRUE,_xlfn.NORM.S.DIST(Table1[[#This Row],[Birthweight Z-Score (BW-10%)]],TRUE)*100,"")</f>
        <v/>
      </c>
      <c r="L3332" s="7" t="str">
        <f>IF(Table1[[#This Row],[Is Data Valid]]=TRUE,_xlfn.NORM.S.DIST(Table1[[#This Row],[Birthweight Z-Score (BW+10%)]],TRUE)*100,"")</f>
        <v/>
      </c>
    </row>
    <row r="3333" spans="1:12" x14ac:dyDescent="0.35">
      <c r="A3333" s="3"/>
      <c r="B3333" s="2"/>
      <c r="C3333" s="2"/>
      <c r="D3333" s="2" t="b">
        <f>IF(AND(NOT(ISBLANK(Table1[[#This Row],[Fetal Sex (Male, Female or Unknown)]])),ISNUMBER(Table1[[#This Row],[Birthweight (grams)]]),ISNUMBER(Table1[[#This Row],[Gestation (days)]])),TRUE,FALSE)</f>
        <v>0</v>
      </c>
      <c r="E3333" s="2" t="str">
        <f>IF(Table1[[#This Row],[Is Data Valid]]=TRUE,IF(Table1[[#This Row],[Fetal Sex (Male, Female or Unknown)]]="Male",Backend!$C$6,IF(Table1[[#This Row],[Fetal Sex (Male, Female or Unknown)]]="Female",Backend!$C$7,IF(Table1[[#This Row],[Fetal Sex (Male, Female or Unknown)]]="Unknown",Backend!$C$8,"Error"))),"")</f>
        <v/>
      </c>
      <c r="F3333" s="8" t="str">
        <f>IF(Table1[[#This Row],[Is Data Valid]]=TRUE,EXP(0.578+0.332*((Table1[[#This Row],[Gestation (days)]]+0.5)/7)-0.00354*((Table1[[#This Row],[Gestation (days)]]+0.5)/7)^2)*Table1[[#This Row],[BW40_3705]],"")</f>
        <v/>
      </c>
      <c r="G3333" s="2" t="str">
        <f>IF(Table1[[#This Row],[Is Data Valid]]=TRUE,((Table1[[#This Row],[Birthweight (grams)]]/Table1[[#This Row],[BW_GA]])-1)/(Backend!$B$4/100*Table1[[#This Row],[BW40_3705]]),"")</f>
        <v/>
      </c>
      <c r="H3333" s="7" t="str">
        <f>IF(Table1[[#This Row],[Is Data Valid]]=TRUE,((Table1[[#This Row],[Birthweight (grams)]]*0.9/Table1[[#This Row],[BW_GA]])-1)/(Backend!$B$4/100*Table1[[#This Row],[BW40_3705]]),"")</f>
        <v/>
      </c>
      <c r="I3333" s="7" t="str">
        <f>IF(Table1[[#This Row],[Is Data Valid]]=TRUE,((Table1[[#This Row],[Birthweight (grams)]]*1.1/Table1[[#This Row],[BW_GA]])-1)/(Backend!$B$4/100*Table1[[#This Row],[BW40_3705]]),"")</f>
        <v/>
      </c>
      <c r="J3333" s="7" t="str">
        <f>IF(Table1[[#This Row],[Is Data Valid]]=TRUE,_xlfn.NORM.S.DIST(Table1[[#This Row],[Birthweight Z-Score]],TRUE)*100,"")</f>
        <v/>
      </c>
      <c r="K3333" s="7" t="str">
        <f>IF(Table1[[#This Row],[Is Data Valid]]=TRUE,_xlfn.NORM.S.DIST(Table1[[#This Row],[Birthweight Z-Score (BW-10%)]],TRUE)*100,"")</f>
        <v/>
      </c>
      <c r="L3333" s="7" t="str">
        <f>IF(Table1[[#This Row],[Is Data Valid]]=TRUE,_xlfn.NORM.S.DIST(Table1[[#This Row],[Birthweight Z-Score (BW+10%)]],TRUE)*100,"")</f>
        <v/>
      </c>
    </row>
    <row r="3334" spans="1:12" x14ac:dyDescent="0.35">
      <c r="A3334" s="3"/>
      <c r="B3334" s="2"/>
      <c r="C3334" s="2"/>
      <c r="D3334" s="2" t="b">
        <f>IF(AND(NOT(ISBLANK(Table1[[#This Row],[Fetal Sex (Male, Female or Unknown)]])),ISNUMBER(Table1[[#This Row],[Birthweight (grams)]]),ISNUMBER(Table1[[#This Row],[Gestation (days)]])),TRUE,FALSE)</f>
        <v>0</v>
      </c>
      <c r="E3334" s="2" t="str">
        <f>IF(Table1[[#This Row],[Is Data Valid]]=TRUE,IF(Table1[[#This Row],[Fetal Sex (Male, Female or Unknown)]]="Male",Backend!$C$6,IF(Table1[[#This Row],[Fetal Sex (Male, Female or Unknown)]]="Female",Backend!$C$7,IF(Table1[[#This Row],[Fetal Sex (Male, Female or Unknown)]]="Unknown",Backend!$C$8,"Error"))),"")</f>
        <v/>
      </c>
      <c r="F3334" s="8" t="str">
        <f>IF(Table1[[#This Row],[Is Data Valid]]=TRUE,EXP(0.578+0.332*((Table1[[#This Row],[Gestation (days)]]+0.5)/7)-0.00354*((Table1[[#This Row],[Gestation (days)]]+0.5)/7)^2)*Table1[[#This Row],[BW40_3705]],"")</f>
        <v/>
      </c>
      <c r="G3334" s="2" t="str">
        <f>IF(Table1[[#This Row],[Is Data Valid]]=TRUE,((Table1[[#This Row],[Birthweight (grams)]]/Table1[[#This Row],[BW_GA]])-1)/(Backend!$B$4/100*Table1[[#This Row],[BW40_3705]]),"")</f>
        <v/>
      </c>
      <c r="H3334" s="7" t="str">
        <f>IF(Table1[[#This Row],[Is Data Valid]]=TRUE,((Table1[[#This Row],[Birthweight (grams)]]*0.9/Table1[[#This Row],[BW_GA]])-1)/(Backend!$B$4/100*Table1[[#This Row],[BW40_3705]]),"")</f>
        <v/>
      </c>
      <c r="I3334" s="7" t="str">
        <f>IF(Table1[[#This Row],[Is Data Valid]]=TRUE,((Table1[[#This Row],[Birthweight (grams)]]*1.1/Table1[[#This Row],[BW_GA]])-1)/(Backend!$B$4/100*Table1[[#This Row],[BW40_3705]]),"")</f>
        <v/>
      </c>
      <c r="J3334" s="7" t="str">
        <f>IF(Table1[[#This Row],[Is Data Valid]]=TRUE,_xlfn.NORM.S.DIST(Table1[[#This Row],[Birthweight Z-Score]],TRUE)*100,"")</f>
        <v/>
      </c>
      <c r="K3334" s="7" t="str">
        <f>IF(Table1[[#This Row],[Is Data Valid]]=TRUE,_xlfn.NORM.S.DIST(Table1[[#This Row],[Birthweight Z-Score (BW-10%)]],TRUE)*100,"")</f>
        <v/>
      </c>
      <c r="L3334" s="7" t="str">
        <f>IF(Table1[[#This Row],[Is Data Valid]]=TRUE,_xlfn.NORM.S.DIST(Table1[[#This Row],[Birthweight Z-Score (BW+10%)]],TRUE)*100,"")</f>
        <v/>
      </c>
    </row>
    <row r="3335" spans="1:12" x14ac:dyDescent="0.35">
      <c r="A3335" s="3"/>
      <c r="B3335" s="2"/>
      <c r="C3335" s="2"/>
      <c r="D3335" s="2" t="b">
        <f>IF(AND(NOT(ISBLANK(Table1[[#This Row],[Fetal Sex (Male, Female or Unknown)]])),ISNUMBER(Table1[[#This Row],[Birthweight (grams)]]),ISNUMBER(Table1[[#This Row],[Gestation (days)]])),TRUE,FALSE)</f>
        <v>0</v>
      </c>
      <c r="E3335" s="2" t="str">
        <f>IF(Table1[[#This Row],[Is Data Valid]]=TRUE,IF(Table1[[#This Row],[Fetal Sex (Male, Female or Unknown)]]="Male",Backend!$C$6,IF(Table1[[#This Row],[Fetal Sex (Male, Female or Unknown)]]="Female",Backend!$C$7,IF(Table1[[#This Row],[Fetal Sex (Male, Female or Unknown)]]="Unknown",Backend!$C$8,"Error"))),"")</f>
        <v/>
      </c>
      <c r="F3335" s="8" t="str">
        <f>IF(Table1[[#This Row],[Is Data Valid]]=TRUE,EXP(0.578+0.332*((Table1[[#This Row],[Gestation (days)]]+0.5)/7)-0.00354*((Table1[[#This Row],[Gestation (days)]]+0.5)/7)^2)*Table1[[#This Row],[BW40_3705]],"")</f>
        <v/>
      </c>
      <c r="G3335" s="2" t="str">
        <f>IF(Table1[[#This Row],[Is Data Valid]]=TRUE,((Table1[[#This Row],[Birthweight (grams)]]/Table1[[#This Row],[BW_GA]])-1)/(Backend!$B$4/100*Table1[[#This Row],[BW40_3705]]),"")</f>
        <v/>
      </c>
      <c r="H3335" s="7" t="str">
        <f>IF(Table1[[#This Row],[Is Data Valid]]=TRUE,((Table1[[#This Row],[Birthweight (grams)]]*0.9/Table1[[#This Row],[BW_GA]])-1)/(Backend!$B$4/100*Table1[[#This Row],[BW40_3705]]),"")</f>
        <v/>
      </c>
      <c r="I3335" s="7" t="str">
        <f>IF(Table1[[#This Row],[Is Data Valid]]=TRUE,((Table1[[#This Row],[Birthweight (grams)]]*1.1/Table1[[#This Row],[BW_GA]])-1)/(Backend!$B$4/100*Table1[[#This Row],[BW40_3705]]),"")</f>
        <v/>
      </c>
      <c r="J3335" s="7" t="str">
        <f>IF(Table1[[#This Row],[Is Data Valid]]=TRUE,_xlfn.NORM.S.DIST(Table1[[#This Row],[Birthweight Z-Score]],TRUE)*100,"")</f>
        <v/>
      </c>
      <c r="K3335" s="7" t="str">
        <f>IF(Table1[[#This Row],[Is Data Valid]]=TRUE,_xlfn.NORM.S.DIST(Table1[[#This Row],[Birthweight Z-Score (BW-10%)]],TRUE)*100,"")</f>
        <v/>
      </c>
      <c r="L3335" s="7" t="str">
        <f>IF(Table1[[#This Row],[Is Data Valid]]=TRUE,_xlfn.NORM.S.DIST(Table1[[#This Row],[Birthweight Z-Score (BW+10%)]],TRUE)*100,"")</f>
        <v/>
      </c>
    </row>
    <row r="3336" spans="1:12" x14ac:dyDescent="0.35">
      <c r="A3336" s="3"/>
      <c r="B3336" s="2"/>
      <c r="C3336" s="2"/>
      <c r="D3336" s="2" t="b">
        <f>IF(AND(NOT(ISBLANK(Table1[[#This Row],[Fetal Sex (Male, Female or Unknown)]])),ISNUMBER(Table1[[#This Row],[Birthweight (grams)]]),ISNUMBER(Table1[[#This Row],[Gestation (days)]])),TRUE,FALSE)</f>
        <v>0</v>
      </c>
      <c r="E3336" s="2" t="str">
        <f>IF(Table1[[#This Row],[Is Data Valid]]=TRUE,IF(Table1[[#This Row],[Fetal Sex (Male, Female or Unknown)]]="Male",Backend!$C$6,IF(Table1[[#This Row],[Fetal Sex (Male, Female or Unknown)]]="Female",Backend!$C$7,IF(Table1[[#This Row],[Fetal Sex (Male, Female or Unknown)]]="Unknown",Backend!$C$8,"Error"))),"")</f>
        <v/>
      </c>
      <c r="F3336" s="8" t="str">
        <f>IF(Table1[[#This Row],[Is Data Valid]]=TRUE,EXP(0.578+0.332*((Table1[[#This Row],[Gestation (days)]]+0.5)/7)-0.00354*((Table1[[#This Row],[Gestation (days)]]+0.5)/7)^2)*Table1[[#This Row],[BW40_3705]],"")</f>
        <v/>
      </c>
      <c r="G3336" s="2" t="str">
        <f>IF(Table1[[#This Row],[Is Data Valid]]=TRUE,((Table1[[#This Row],[Birthweight (grams)]]/Table1[[#This Row],[BW_GA]])-1)/(Backend!$B$4/100*Table1[[#This Row],[BW40_3705]]),"")</f>
        <v/>
      </c>
      <c r="H3336" s="7" t="str">
        <f>IF(Table1[[#This Row],[Is Data Valid]]=TRUE,((Table1[[#This Row],[Birthweight (grams)]]*0.9/Table1[[#This Row],[BW_GA]])-1)/(Backend!$B$4/100*Table1[[#This Row],[BW40_3705]]),"")</f>
        <v/>
      </c>
      <c r="I3336" s="7" t="str">
        <f>IF(Table1[[#This Row],[Is Data Valid]]=TRUE,((Table1[[#This Row],[Birthweight (grams)]]*1.1/Table1[[#This Row],[BW_GA]])-1)/(Backend!$B$4/100*Table1[[#This Row],[BW40_3705]]),"")</f>
        <v/>
      </c>
      <c r="J3336" s="7" t="str">
        <f>IF(Table1[[#This Row],[Is Data Valid]]=TRUE,_xlfn.NORM.S.DIST(Table1[[#This Row],[Birthweight Z-Score]],TRUE)*100,"")</f>
        <v/>
      </c>
      <c r="K3336" s="7" t="str">
        <f>IF(Table1[[#This Row],[Is Data Valid]]=TRUE,_xlfn.NORM.S.DIST(Table1[[#This Row],[Birthweight Z-Score (BW-10%)]],TRUE)*100,"")</f>
        <v/>
      </c>
      <c r="L3336" s="7" t="str">
        <f>IF(Table1[[#This Row],[Is Data Valid]]=TRUE,_xlfn.NORM.S.DIST(Table1[[#This Row],[Birthweight Z-Score (BW+10%)]],TRUE)*100,"")</f>
        <v/>
      </c>
    </row>
    <row r="3337" spans="1:12" x14ac:dyDescent="0.35">
      <c r="A3337" s="3"/>
      <c r="B3337" s="2"/>
      <c r="C3337" s="2"/>
      <c r="D3337" s="2" t="b">
        <f>IF(AND(NOT(ISBLANK(Table1[[#This Row],[Fetal Sex (Male, Female or Unknown)]])),ISNUMBER(Table1[[#This Row],[Birthweight (grams)]]),ISNUMBER(Table1[[#This Row],[Gestation (days)]])),TRUE,FALSE)</f>
        <v>0</v>
      </c>
      <c r="E3337" s="2" t="str">
        <f>IF(Table1[[#This Row],[Is Data Valid]]=TRUE,IF(Table1[[#This Row],[Fetal Sex (Male, Female or Unknown)]]="Male",Backend!$C$6,IF(Table1[[#This Row],[Fetal Sex (Male, Female or Unknown)]]="Female",Backend!$C$7,IF(Table1[[#This Row],[Fetal Sex (Male, Female or Unknown)]]="Unknown",Backend!$C$8,"Error"))),"")</f>
        <v/>
      </c>
      <c r="F3337" s="8" t="str">
        <f>IF(Table1[[#This Row],[Is Data Valid]]=TRUE,EXP(0.578+0.332*((Table1[[#This Row],[Gestation (days)]]+0.5)/7)-0.00354*((Table1[[#This Row],[Gestation (days)]]+0.5)/7)^2)*Table1[[#This Row],[BW40_3705]],"")</f>
        <v/>
      </c>
      <c r="G3337" s="2" t="str">
        <f>IF(Table1[[#This Row],[Is Data Valid]]=TRUE,((Table1[[#This Row],[Birthweight (grams)]]/Table1[[#This Row],[BW_GA]])-1)/(Backend!$B$4/100*Table1[[#This Row],[BW40_3705]]),"")</f>
        <v/>
      </c>
      <c r="H3337" s="7" t="str">
        <f>IF(Table1[[#This Row],[Is Data Valid]]=TRUE,((Table1[[#This Row],[Birthweight (grams)]]*0.9/Table1[[#This Row],[BW_GA]])-1)/(Backend!$B$4/100*Table1[[#This Row],[BW40_3705]]),"")</f>
        <v/>
      </c>
      <c r="I3337" s="7" t="str">
        <f>IF(Table1[[#This Row],[Is Data Valid]]=TRUE,((Table1[[#This Row],[Birthweight (grams)]]*1.1/Table1[[#This Row],[BW_GA]])-1)/(Backend!$B$4/100*Table1[[#This Row],[BW40_3705]]),"")</f>
        <v/>
      </c>
      <c r="J3337" s="7" t="str">
        <f>IF(Table1[[#This Row],[Is Data Valid]]=TRUE,_xlfn.NORM.S.DIST(Table1[[#This Row],[Birthweight Z-Score]],TRUE)*100,"")</f>
        <v/>
      </c>
      <c r="K3337" s="7" t="str">
        <f>IF(Table1[[#This Row],[Is Data Valid]]=TRUE,_xlfn.NORM.S.DIST(Table1[[#This Row],[Birthweight Z-Score (BW-10%)]],TRUE)*100,"")</f>
        <v/>
      </c>
      <c r="L3337" s="7" t="str">
        <f>IF(Table1[[#This Row],[Is Data Valid]]=TRUE,_xlfn.NORM.S.DIST(Table1[[#This Row],[Birthweight Z-Score (BW+10%)]],TRUE)*100,"")</f>
        <v/>
      </c>
    </row>
    <row r="3338" spans="1:12" x14ac:dyDescent="0.35">
      <c r="A3338" s="3"/>
      <c r="B3338" s="2"/>
      <c r="C3338" s="2"/>
      <c r="D3338" s="2" t="b">
        <f>IF(AND(NOT(ISBLANK(Table1[[#This Row],[Fetal Sex (Male, Female or Unknown)]])),ISNUMBER(Table1[[#This Row],[Birthweight (grams)]]),ISNUMBER(Table1[[#This Row],[Gestation (days)]])),TRUE,FALSE)</f>
        <v>0</v>
      </c>
      <c r="E3338" s="2" t="str">
        <f>IF(Table1[[#This Row],[Is Data Valid]]=TRUE,IF(Table1[[#This Row],[Fetal Sex (Male, Female or Unknown)]]="Male",Backend!$C$6,IF(Table1[[#This Row],[Fetal Sex (Male, Female or Unknown)]]="Female",Backend!$C$7,IF(Table1[[#This Row],[Fetal Sex (Male, Female or Unknown)]]="Unknown",Backend!$C$8,"Error"))),"")</f>
        <v/>
      </c>
      <c r="F3338" s="8" t="str">
        <f>IF(Table1[[#This Row],[Is Data Valid]]=TRUE,EXP(0.578+0.332*((Table1[[#This Row],[Gestation (days)]]+0.5)/7)-0.00354*((Table1[[#This Row],[Gestation (days)]]+0.5)/7)^2)*Table1[[#This Row],[BW40_3705]],"")</f>
        <v/>
      </c>
      <c r="G3338" s="2" t="str">
        <f>IF(Table1[[#This Row],[Is Data Valid]]=TRUE,((Table1[[#This Row],[Birthweight (grams)]]/Table1[[#This Row],[BW_GA]])-1)/(Backend!$B$4/100*Table1[[#This Row],[BW40_3705]]),"")</f>
        <v/>
      </c>
      <c r="H3338" s="7" t="str">
        <f>IF(Table1[[#This Row],[Is Data Valid]]=TRUE,((Table1[[#This Row],[Birthweight (grams)]]*0.9/Table1[[#This Row],[BW_GA]])-1)/(Backend!$B$4/100*Table1[[#This Row],[BW40_3705]]),"")</f>
        <v/>
      </c>
      <c r="I3338" s="7" t="str">
        <f>IF(Table1[[#This Row],[Is Data Valid]]=TRUE,((Table1[[#This Row],[Birthweight (grams)]]*1.1/Table1[[#This Row],[BW_GA]])-1)/(Backend!$B$4/100*Table1[[#This Row],[BW40_3705]]),"")</f>
        <v/>
      </c>
      <c r="J3338" s="7" t="str">
        <f>IF(Table1[[#This Row],[Is Data Valid]]=TRUE,_xlfn.NORM.S.DIST(Table1[[#This Row],[Birthweight Z-Score]],TRUE)*100,"")</f>
        <v/>
      </c>
      <c r="K3338" s="7" t="str">
        <f>IF(Table1[[#This Row],[Is Data Valid]]=TRUE,_xlfn.NORM.S.DIST(Table1[[#This Row],[Birthweight Z-Score (BW-10%)]],TRUE)*100,"")</f>
        <v/>
      </c>
      <c r="L3338" s="7" t="str">
        <f>IF(Table1[[#This Row],[Is Data Valid]]=TRUE,_xlfn.NORM.S.DIST(Table1[[#This Row],[Birthweight Z-Score (BW+10%)]],TRUE)*100,"")</f>
        <v/>
      </c>
    </row>
    <row r="3339" spans="1:12" x14ac:dyDescent="0.35">
      <c r="A3339" s="3"/>
      <c r="B3339" s="2"/>
      <c r="C3339" s="2"/>
      <c r="D3339" s="2" t="b">
        <f>IF(AND(NOT(ISBLANK(Table1[[#This Row],[Fetal Sex (Male, Female or Unknown)]])),ISNUMBER(Table1[[#This Row],[Birthweight (grams)]]),ISNUMBER(Table1[[#This Row],[Gestation (days)]])),TRUE,FALSE)</f>
        <v>0</v>
      </c>
      <c r="E3339" s="2" t="str">
        <f>IF(Table1[[#This Row],[Is Data Valid]]=TRUE,IF(Table1[[#This Row],[Fetal Sex (Male, Female or Unknown)]]="Male",Backend!$C$6,IF(Table1[[#This Row],[Fetal Sex (Male, Female or Unknown)]]="Female",Backend!$C$7,IF(Table1[[#This Row],[Fetal Sex (Male, Female or Unknown)]]="Unknown",Backend!$C$8,"Error"))),"")</f>
        <v/>
      </c>
      <c r="F3339" s="8" t="str">
        <f>IF(Table1[[#This Row],[Is Data Valid]]=TRUE,EXP(0.578+0.332*((Table1[[#This Row],[Gestation (days)]]+0.5)/7)-0.00354*((Table1[[#This Row],[Gestation (days)]]+0.5)/7)^2)*Table1[[#This Row],[BW40_3705]],"")</f>
        <v/>
      </c>
      <c r="G3339" s="2" t="str">
        <f>IF(Table1[[#This Row],[Is Data Valid]]=TRUE,((Table1[[#This Row],[Birthweight (grams)]]/Table1[[#This Row],[BW_GA]])-1)/(Backend!$B$4/100*Table1[[#This Row],[BW40_3705]]),"")</f>
        <v/>
      </c>
      <c r="H3339" s="7" t="str">
        <f>IF(Table1[[#This Row],[Is Data Valid]]=TRUE,((Table1[[#This Row],[Birthweight (grams)]]*0.9/Table1[[#This Row],[BW_GA]])-1)/(Backend!$B$4/100*Table1[[#This Row],[BW40_3705]]),"")</f>
        <v/>
      </c>
      <c r="I3339" s="7" t="str">
        <f>IF(Table1[[#This Row],[Is Data Valid]]=TRUE,((Table1[[#This Row],[Birthweight (grams)]]*1.1/Table1[[#This Row],[BW_GA]])-1)/(Backend!$B$4/100*Table1[[#This Row],[BW40_3705]]),"")</f>
        <v/>
      </c>
      <c r="J3339" s="7" t="str">
        <f>IF(Table1[[#This Row],[Is Data Valid]]=TRUE,_xlfn.NORM.S.DIST(Table1[[#This Row],[Birthweight Z-Score]],TRUE)*100,"")</f>
        <v/>
      </c>
      <c r="K3339" s="7" t="str">
        <f>IF(Table1[[#This Row],[Is Data Valid]]=TRUE,_xlfn.NORM.S.DIST(Table1[[#This Row],[Birthweight Z-Score (BW-10%)]],TRUE)*100,"")</f>
        <v/>
      </c>
      <c r="L3339" s="7" t="str">
        <f>IF(Table1[[#This Row],[Is Data Valid]]=TRUE,_xlfn.NORM.S.DIST(Table1[[#This Row],[Birthweight Z-Score (BW+10%)]],TRUE)*100,"")</f>
        <v/>
      </c>
    </row>
    <row r="3340" spans="1:12" x14ac:dyDescent="0.35">
      <c r="A3340" s="3"/>
      <c r="B3340" s="2"/>
      <c r="C3340" s="2"/>
      <c r="D3340" s="2" t="b">
        <f>IF(AND(NOT(ISBLANK(Table1[[#This Row],[Fetal Sex (Male, Female or Unknown)]])),ISNUMBER(Table1[[#This Row],[Birthweight (grams)]]),ISNUMBER(Table1[[#This Row],[Gestation (days)]])),TRUE,FALSE)</f>
        <v>0</v>
      </c>
      <c r="E3340" s="2" t="str">
        <f>IF(Table1[[#This Row],[Is Data Valid]]=TRUE,IF(Table1[[#This Row],[Fetal Sex (Male, Female or Unknown)]]="Male",Backend!$C$6,IF(Table1[[#This Row],[Fetal Sex (Male, Female or Unknown)]]="Female",Backend!$C$7,IF(Table1[[#This Row],[Fetal Sex (Male, Female or Unknown)]]="Unknown",Backend!$C$8,"Error"))),"")</f>
        <v/>
      </c>
      <c r="F3340" s="8" t="str">
        <f>IF(Table1[[#This Row],[Is Data Valid]]=TRUE,EXP(0.578+0.332*((Table1[[#This Row],[Gestation (days)]]+0.5)/7)-0.00354*((Table1[[#This Row],[Gestation (days)]]+0.5)/7)^2)*Table1[[#This Row],[BW40_3705]],"")</f>
        <v/>
      </c>
      <c r="G3340" s="2" t="str">
        <f>IF(Table1[[#This Row],[Is Data Valid]]=TRUE,((Table1[[#This Row],[Birthweight (grams)]]/Table1[[#This Row],[BW_GA]])-1)/(Backend!$B$4/100*Table1[[#This Row],[BW40_3705]]),"")</f>
        <v/>
      </c>
      <c r="H3340" s="7" t="str">
        <f>IF(Table1[[#This Row],[Is Data Valid]]=TRUE,((Table1[[#This Row],[Birthweight (grams)]]*0.9/Table1[[#This Row],[BW_GA]])-1)/(Backend!$B$4/100*Table1[[#This Row],[BW40_3705]]),"")</f>
        <v/>
      </c>
      <c r="I3340" s="7" t="str">
        <f>IF(Table1[[#This Row],[Is Data Valid]]=TRUE,((Table1[[#This Row],[Birthweight (grams)]]*1.1/Table1[[#This Row],[BW_GA]])-1)/(Backend!$B$4/100*Table1[[#This Row],[BW40_3705]]),"")</f>
        <v/>
      </c>
      <c r="J3340" s="7" t="str">
        <f>IF(Table1[[#This Row],[Is Data Valid]]=TRUE,_xlfn.NORM.S.DIST(Table1[[#This Row],[Birthweight Z-Score]],TRUE)*100,"")</f>
        <v/>
      </c>
      <c r="K3340" s="7" t="str">
        <f>IF(Table1[[#This Row],[Is Data Valid]]=TRUE,_xlfn.NORM.S.DIST(Table1[[#This Row],[Birthweight Z-Score (BW-10%)]],TRUE)*100,"")</f>
        <v/>
      </c>
      <c r="L3340" s="7" t="str">
        <f>IF(Table1[[#This Row],[Is Data Valid]]=TRUE,_xlfn.NORM.S.DIST(Table1[[#This Row],[Birthweight Z-Score (BW+10%)]],TRUE)*100,"")</f>
        <v/>
      </c>
    </row>
    <row r="3341" spans="1:12" x14ac:dyDescent="0.35">
      <c r="A3341" s="3"/>
      <c r="B3341" s="2"/>
      <c r="C3341" s="2"/>
      <c r="D3341" s="2" t="b">
        <f>IF(AND(NOT(ISBLANK(Table1[[#This Row],[Fetal Sex (Male, Female or Unknown)]])),ISNUMBER(Table1[[#This Row],[Birthweight (grams)]]),ISNUMBER(Table1[[#This Row],[Gestation (days)]])),TRUE,FALSE)</f>
        <v>0</v>
      </c>
      <c r="E3341" s="2" t="str">
        <f>IF(Table1[[#This Row],[Is Data Valid]]=TRUE,IF(Table1[[#This Row],[Fetal Sex (Male, Female or Unknown)]]="Male",Backend!$C$6,IF(Table1[[#This Row],[Fetal Sex (Male, Female or Unknown)]]="Female",Backend!$C$7,IF(Table1[[#This Row],[Fetal Sex (Male, Female or Unknown)]]="Unknown",Backend!$C$8,"Error"))),"")</f>
        <v/>
      </c>
      <c r="F3341" s="8" t="str">
        <f>IF(Table1[[#This Row],[Is Data Valid]]=TRUE,EXP(0.578+0.332*((Table1[[#This Row],[Gestation (days)]]+0.5)/7)-0.00354*((Table1[[#This Row],[Gestation (days)]]+0.5)/7)^2)*Table1[[#This Row],[BW40_3705]],"")</f>
        <v/>
      </c>
      <c r="G3341" s="2" t="str">
        <f>IF(Table1[[#This Row],[Is Data Valid]]=TRUE,((Table1[[#This Row],[Birthweight (grams)]]/Table1[[#This Row],[BW_GA]])-1)/(Backend!$B$4/100*Table1[[#This Row],[BW40_3705]]),"")</f>
        <v/>
      </c>
      <c r="H3341" s="7" t="str">
        <f>IF(Table1[[#This Row],[Is Data Valid]]=TRUE,((Table1[[#This Row],[Birthweight (grams)]]*0.9/Table1[[#This Row],[BW_GA]])-1)/(Backend!$B$4/100*Table1[[#This Row],[BW40_3705]]),"")</f>
        <v/>
      </c>
      <c r="I3341" s="7" t="str">
        <f>IF(Table1[[#This Row],[Is Data Valid]]=TRUE,((Table1[[#This Row],[Birthweight (grams)]]*1.1/Table1[[#This Row],[BW_GA]])-1)/(Backend!$B$4/100*Table1[[#This Row],[BW40_3705]]),"")</f>
        <v/>
      </c>
      <c r="J3341" s="7" t="str">
        <f>IF(Table1[[#This Row],[Is Data Valid]]=TRUE,_xlfn.NORM.S.DIST(Table1[[#This Row],[Birthweight Z-Score]],TRUE)*100,"")</f>
        <v/>
      </c>
      <c r="K3341" s="7" t="str">
        <f>IF(Table1[[#This Row],[Is Data Valid]]=TRUE,_xlfn.NORM.S.DIST(Table1[[#This Row],[Birthweight Z-Score (BW-10%)]],TRUE)*100,"")</f>
        <v/>
      </c>
      <c r="L3341" s="7" t="str">
        <f>IF(Table1[[#This Row],[Is Data Valid]]=TRUE,_xlfn.NORM.S.DIST(Table1[[#This Row],[Birthweight Z-Score (BW+10%)]],TRUE)*100,"")</f>
        <v/>
      </c>
    </row>
    <row r="3342" spans="1:12" x14ac:dyDescent="0.35">
      <c r="A3342" s="3"/>
      <c r="B3342" s="2"/>
      <c r="C3342" s="2"/>
      <c r="D3342" s="2" t="b">
        <f>IF(AND(NOT(ISBLANK(Table1[[#This Row],[Fetal Sex (Male, Female or Unknown)]])),ISNUMBER(Table1[[#This Row],[Birthweight (grams)]]),ISNUMBER(Table1[[#This Row],[Gestation (days)]])),TRUE,FALSE)</f>
        <v>0</v>
      </c>
      <c r="E3342" s="2" t="str">
        <f>IF(Table1[[#This Row],[Is Data Valid]]=TRUE,IF(Table1[[#This Row],[Fetal Sex (Male, Female or Unknown)]]="Male",Backend!$C$6,IF(Table1[[#This Row],[Fetal Sex (Male, Female or Unknown)]]="Female",Backend!$C$7,IF(Table1[[#This Row],[Fetal Sex (Male, Female or Unknown)]]="Unknown",Backend!$C$8,"Error"))),"")</f>
        <v/>
      </c>
      <c r="F3342" s="8" t="str">
        <f>IF(Table1[[#This Row],[Is Data Valid]]=TRUE,EXP(0.578+0.332*((Table1[[#This Row],[Gestation (days)]]+0.5)/7)-0.00354*((Table1[[#This Row],[Gestation (days)]]+0.5)/7)^2)*Table1[[#This Row],[BW40_3705]],"")</f>
        <v/>
      </c>
      <c r="G3342" s="2" t="str">
        <f>IF(Table1[[#This Row],[Is Data Valid]]=TRUE,((Table1[[#This Row],[Birthweight (grams)]]/Table1[[#This Row],[BW_GA]])-1)/(Backend!$B$4/100*Table1[[#This Row],[BW40_3705]]),"")</f>
        <v/>
      </c>
      <c r="H3342" s="7" t="str">
        <f>IF(Table1[[#This Row],[Is Data Valid]]=TRUE,((Table1[[#This Row],[Birthweight (grams)]]*0.9/Table1[[#This Row],[BW_GA]])-1)/(Backend!$B$4/100*Table1[[#This Row],[BW40_3705]]),"")</f>
        <v/>
      </c>
      <c r="I3342" s="7" t="str">
        <f>IF(Table1[[#This Row],[Is Data Valid]]=TRUE,((Table1[[#This Row],[Birthweight (grams)]]*1.1/Table1[[#This Row],[BW_GA]])-1)/(Backend!$B$4/100*Table1[[#This Row],[BW40_3705]]),"")</f>
        <v/>
      </c>
      <c r="J3342" s="7" t="str">
        <f>IF(Table1[[#This Row],[Is Data Valid]]=TRUE,_xlfn.NORM.S.DIST(Table1[[#This Row],[Birthweight Z-Score]],TRUE)*100,"")</f>
        <v/>
      </c>
      <c r="K3342" s="7" t="str">
        <f>IF(Table1[[#This Row],[Is Data Valid]]=TRUE,_xlfn.NORM.S.DIST(Table1[[#This Row],[Birthweight Z-Score (BW-10%)]],TRUE)*100,"")</f>
        <v/>
      </c>
      <c r="L3342" s="7" t="str">
        <f>IF(Table1[[#This Row],[Is Data Valid]]=TRUE,_xlfn.NORM.S.DIST(Table1[[#This Row],[Birthweight Z-Score (BW+10%)]],TRUE)*100,"")</f>
        <v/>
      </c>
    </row>
    <row r="3343" spans="1:12" x14ac:dyDescent="0.35">
      <c r="A3343" s="3"/>
      <c r="B3343" s="2"/>
      <c r="C3343" s="2"/>
      <c r="D3343" s="2" t="b">
        <f>IF(AND(NOT(ISBLANK(Table1[[#This Row],[Fetal Sex (Male, Female or Unknown)]])),ISNUMBER(Table1[[#This Row],[Birthweight (grams)]]),ISNUMBER(Table1[[#This Row],[Gestation (days)]])),TRUE,FALSE)</f>
        <v>0</v>
      </c>
      <c r="E3343" s="2" t="str">
        <f>IF(Table1[[#This Row],[Is Data Valid]]=TRUE,IF(Table1[[#This Row],[Fetal Sex (Male, Female or Unknown)]]="Male",Backend!$C$6,IF(Table1[[#This Row],[Fetal Sex (Male, Female or Unknown)]]="Female",Backend!$C$7,IF(Table1[[#This Row],[Fetal Sex (Male, Female or Unknown)]]="Unknown",Backend!$C$8,"Error"))),"")</f>
        <v/>
      </c>
      <c r="F3343" s="8" t="str">
        <f>IF(Table1[[#This Row],[Is Data Valid]]=TRUE,EXP(0.578+0.332*((Table1[[#This Row],[Gestation (days)]]+0.5)/7)-0.00354*((Table1[[#This Row],[Gestation (days)]]+0.5)/7)^2)*Table1[[#This Row],[BW40_3705]],"")</f>
        <v/>
      </c>
      <c r="G3343" s="2" t="str">
        <f>IF(Table1[[#This Row],[Is Data Valid]]=TRUE,((Table1[[#This Row],[Birthweight (grams)]]/Table1[[#This Row],[BW_GA]])-1)/(Backend!$B$4/100*Table1[[#This Row],[BW40_3705]]),"")</f>
        <v/>
      </c>
      <c r="H3343" s="7" t="str">
        <f>IF(Table1[[#This Row],[Is Data Valid]]=TRUE,((Table1[[#This Row],[Birthweight (grams)]]*0.9/Table1[[#This Row],[BW_GA]])-1)/(Backend!$B$4/100*Table1[[#This Row],[BW40_3705]]),"")</f>
        <v/>
      </c>
      <c r="I3343" s="7" t="str">
        <f>IF(Table1[[#This Row],[Is Data Valid]]=TRUE,((Table1[[#This Row],[Birthweight (grams)]]*1.1/Table1[[#This Row],[BW_GA]])-1)/(Backend!$B$4/100*Table1[[#This Row],[BW40_3705]]),"")</f>
        <v/>
      </c>
      <c r="J3343" s="7" t="str">
        <f>IF(Table1[[#This Row],[Is Data Valid]]=TRUE,_xlfn.NORM.S.DIST(Table1[[#This Row],[Birthweight Z-Score]],TRUE)*100,"")</f>
        <v/>
      </c>
      <c r="K3343" s="7" t="str">
        <f>IF(Table1[[#This Row],[Is Data Valid]]=TRUE,_xlfn.NORM.S.DIST(Table1[[#This Row],[Birthweight Z-Score (BW-10%)]],TRUE)*100,"")</f>
        <v/>
      </c>
      <c r="L3343" s="7" t="str">
        <f>IF(Table1[[#This Row],[Is Data Valid]]=TRUE,_xlfn.NORM.S.DIST(Table1[[#This Row],[Birthweight Z-Score (BW+10%)]],TRUE)*100,"")</f>
        <v/>
      </c>
    </row>
    <row r="3344" spans="1:12" x14ac:dyDescent="0.35">
      <c r="A3344" s="3"/>
      <c r="B3344" s="2"/>
      <c r="C3344" s="2"/>
      <c r="D3344" s="2" t="b">
        <f>IF(AND(NOT(ISBLANK(Table1[[#This Row],[Fetal Sex (Male, Female or Unknown)]])),ISNUMBER(Table1[[#This Row],[Birthweight (grams)]]),ISNUMBER(Table1[[#This Row],[Gestation (days)]])),TRUE,FALSE)</f>
        <v>0</v>
      </c>
      <c r="E3344" s="2" t="str">
        <f>IF(Table1[[#This Row],[Is Data Valid]]=TRUE,IF(Table1[[#This Row],[Fetal Sex (Male, Female or Unknown)]]="Male",Backend!$C$6,IF(Table1[[#This Row],[Fetal Sex (Male, Female or Unknown)]]="Female",Backend!$C$7,IF(Table1[[#This Row],[Fetal Sex (Male, Female or Unknown)]]="Unknown",Backend!$C$8,"Error"))),"")</f>
        <v/>
      </c>
      <c r="F3344" s="8" t="str">
        <f>IF(Table1[[#This Row],[Is Data Valid]]=TRUE,EXP(0.578+0.332*((Table1[[#This Row],[Gestation (days)]]+0.5)/7)-0.00354*((Table1[[#This Row],[Gestation (days)]]+0.5)/7)^2)*Table1[[#This Row],[BW40_3705]],"")</f>
        <v/>
      </c>
      <c r="G3344" s="2" t="str">
        <f>IF(Table1[[#This Row],[Is Data Valid]]=TRUE,((Table1[[#This Row],[Birthweight (grams)]]/Table1[[#This Row],[BW_GA]])-1)/(Backend!$B$4/100*Table1[[#This Row],[BW40_3705]]),"")</f>
        <v/>
      </c>
      <c r="H3344" s="7" t="str">
        <f>IF(Table1[[#This Row],[Is Data Valid]]=TRUE,((Table1[[#This Row],[Birthweight (grams)]]*0.9/Table1[[#This Row],[BW_GA]])-1)/(Backend!$B$4/100*Table1[[#This Row],[BW40_3705]]),"")</f>
        <v/>
      </c>
      <c r="I3344" s="7" t="str">
        <f>IF(Table1[[#This Row],[Is Data Valid]]=TRUE,((Table1[[#This Row],[Birthweight (grams)]]*1.1/Table1[[#This Row],[BW_GA]])-1)/(Backend!$B$4/100*Table1[[#This Row],[BW40_3705]]),"")</f>
        <v/>
      </c>
      <c r="J3344" s="7" t="str">
        <f>IF(Table1[[#This Row],[Is Data Valid]]=TRUE,_xlfn.NORM.S.DIST(Table1[[#This Row],[Birthweight Z-Score]],TRUE)*100,"")</f>
        <v/>
      </c>
      <c r="K3344" s="7" t="str">
        <f>IF(Table1[[#This Row],[Is Data Valid]]=TRUE,_xlfn.NORM.S.DIST(Table1[[#This Row],[Birthweight Z-Score (BW-10%)]],TRUE)*100,"")</f>
        <v/>
      </c>
      <c r="L3344" s="7" t="str">
        <f>IF(Table1[[#This Row],[Is Data Valid]]=TRUE,_xlfn.NORM.S.DIST(Table1[[#This Row],[Birthweight Z-Score (BW+10%)]],TRUE)*100,"")</f>
        <v/>
      </c>
    </row>
    <row r="3345" spans="1:12" x14ac:dyDescent="0.35">
      <c r="A3345" s="3"/>
      <c r="B3345" s="2"/>
      <c r="C3345" s="2"/>
      <c r="D3345" s="2" t="b">
        <f>IF(AND(NOT(ISBLANK(Table1[[#This Row],[Fetal Sex (Male, Female or Unknown)]])),ISNUMBER(Table1[[#This Row],[Birthweight (grams)]]),ISNUMBER(Table1[[#This Row],[Gestation (days)]])),TRUE,FALSE)</f>
        <v>0</v>
      </c>
      <c r="E3345" s="2" t="str">
        <f>IF(Table1[[#This Row],[Is Data Valid]]=TRUE,IF(Table1[[#This Row],[Fetal Sex (Male, Female or Unknown)]]="Male",Backend!$C$6,IF(Table1[[#This Row],[Fetal Sex (Male, Female or Unknown)]]="Female",Backend!$C$7,IF(Table1[[#This Row],[Fetal Sex (Male, Female or Unknown)]]="Unknown",Backend!$C$8,"Error"))),"")</f>
        <v/>
      </c>
      <c r="F3345" s="8" t="str">
        <f>IF(Table1[[#This Row],[Is Data Valid]]=TRUE,EXP(0.578+0.332*((Table1[[#This Row],[Gestation (days)]]+0.5)/7)-0.00354*((Table1[[#This Row],[Gestation (days)]]+0.5)/7)^2)*Table1[[#This Row],[BW40_3705]],"")</f>
        <v/>
      </c>
      <c r="G3345" s="2" t="str">
        <f>IF(Table1[[#This Row],[Is Data Valid]]=TRUE,((Table1[[#This Row],[Birthweight (grams)]]/Table1[[#This Row],[BW_GA]])-1)/(Backend!$B$4/100*Table1[[#This Row],[BW40_3705]]),"")</f>
        <v/>
      </c>
      <c r="H3345" s="7" t="str">
        <f>IF(Table1[[#This Row],[Is Data Valid]]=TRUE,((Table1[[#This Row],[Birthweight (grams)]]*0.9/Table1[[#This Row],[BW_GA]])-1)/(Backend!$B$4/100*Table1[[#This Row],[BW40_3705]]),"")</f>
        <v/>
      </c>
      <c r="I3345" s="7" t="str">
        <f>IF(Table1[[#This Row],[Is Data Valid]]=TRUE,((Table1[[#This Row],[Birthweight (grams)]]*1.1/Table1[[#This Row],[BW_GA]])-1)/(Backend!$B$4/100*Table1[[#This Row],[BW40_3705]]),"")</f>
        <v/>
      </c>
      <c r="J3345" s="7" t="str">
        <f>IF(Table1[[#This Row],[Is Data Valid]]=TRUE,_xlfn.NORM.S.DIST(Table1[[#This Row],[Birthweight Z-Score]],TRUE)*100,"")</f>
        <v/>
      </c>
      <c r="K3345" s="7" t="str">
        <f>IF(Table1[[#This Row],[Is Data Valid]]=TRUE,_xlfn.NORM.S.DIST(Table1[[#This Row],[Birthweight Z-Score (BW-10%)]],TRUE)*100,"")</f>
        <v/>
      </c>
      <c r="L3345" s="7" t="str">
        <f>IF(Table1[[#This Row],[Is Data Valid]]=TRUE,_xlfn.NORM.S.DIST(Table1[[#This Row],[Birthweight Z-Score (BW+10%)]],TRUE)*100,"")</f>
        <v/>
      </c>
    </row>
    <row r="3346" spans="1:12" x14ac:dyDescent="0.35">
      <c r="A3346" s="3"/>
      <c r="B3346" s="2"/>
      <c r="C3346" s="2"/>
      <c r="D3346" s="2" t="b">
        <f>IF(AND(NOT(ISBLANK(Table1[[#This Row],[Fetal Sex (Male, Female or Unknown)]])),ISNUMBER(Table1[[#This Row],[Birthweight (grams)]]),ISNUMBER(Table1[[#This Row],[Gestation (days)]])),TRUE,FALSE)</f>
        <v>0</v>
      </c>
      <c r="E3346" s="2" t="str">
        <f>IF(Table1[[#This Row],[Is Data Valid]]=TRUE,IF(Table1[[#This Row],[Fetal Sex (Male, Female or Unknown)]]="Male",Backend!$C$6,IF(Table1[[#This Row],[Fetal Sex (Male, Female or Unknown)]]="Female",Backend!$C$7,IF(Table1[[#This Row],[Fetal Sex (Male, Female or Unknown)]]="Unknown",Backend!$C$8,"Error"))),"")</f>
        <v/>
      </c>
      <c r="F3346" s="8" t="str">
        <f>IF(Table1[[#This Row],[Is Data Valid]]=TRUE,EXP(0.578+0.332*((Table1[[#This Row],[Gestation (days)]]+0.5)/7)-0.00354*((Table1[[#This Row],[Gestation (days)]]+0.5)/7)^2)*Table1[[#This Row],[BW40_3705]],"")</f>
        <v/>
      </c>
      <c r="G3346" s="2" t="str">
        <f>IF(Table1[[#This Row],[Is Data Valid]]=TRUE,((Table1[[#This Row],[Birthweight (grams)]]/Table1[[#This Row],[BW_GA]])-1)/(Backend!$B$4/100*Table1[[#This Row],[BW40_3705]]),"")</f>
        <v/>
      </c>
      <c r="H3346" s="7" t="str">
        <f>IF(Table1[[#This Row],[Is Data Valid]]=TRUE,((Table1[[#This Row],[Birthweight (grams)]]*0.9/Table1[[#This Row],[BW_GA]])-1)/(Backend!$B$4/100*Table1[[#This Row],[BW40_3705]]),"")</f>
        <v/>
      </c>
      <c r="I3346" s="7" t="str">
        <f>IF(Table1[[#This Row],[Is Data Valid]]=TRUE,((Table1[[#This Row],[Birthweight (grams)]]*1.1/Table1[[#This Row],[BW_GA]])-1)/(Backend!$B$4/100*Table1[[#This Row],[BW40_3705]]),"")</f>
        <v/>
      </c>
      <c r="J3346" s="7" t="str">
        <f>IF(Table1[[#This Row],[Is Data Valid]]=TRUE,_xlfn.NORM.S.DIST(Table1[[#This Row],[Birthweight Z-Score]],TRUE)*100,"")</f>
        <v/>
      </c>
      <c r="K3346" s="7" t="str">
        <f>IF(Table1[[#This Row],[Is Data Valid]]=TRUE,_xlfn.NORM.S.DIST(Table1[[#This Row],[Birthweight Z-Score (BW-10%)]],TRUE)*100,"")</f>
        <v/>
      </c>
      <c r="L3346" s="7" t="str">
        <f>IF(Table1[[#This Row],[Is Data Valid]]=TRUE,_xlfn.NORM.S.DIST(Table1[[#This Row],[Birthweight Z-Score (BW+10%)]],TRUE)*100,"")</f>
        <v/>
      </c>
    </row>
    <row r="3347" spans="1:12" x14ac:dyDescent="0.35">
      <c r="A3347" s="3"/>
      <c r="B3347" s="2"/>
      <c r="C3347" s="2"/>
      <c r="D3347" s="2" t="b">
        <f>IF(AND(NOT(ISBLANK(Table1[[#This Row],[Fetal Sex (Male, Female or Unknown)]])),ISNUMBER(Table1[[#This Row],[Birthweight (grams)]]),ISNUMBER(Table1[[#This Row],[Gestation (days)]])),TRUE,FALSE)</f>
        <v>0</v>
      </c>
      <c r="E3347" s="2" t="str">
        <f>IF(Table1[[#This Row],[Is Data Valid]]=TRUE,IF(Table1[[#This Row],[Fetal Sex (Male, Female or Unknown)]]="Male",Backend!$C$6,IF(Table1[[#This Row],[Fetal Sex (Male, Female or Unknown)]]="Female",Backend!$C$7,IF(Table1[[#This Row],[Fetal Sex (Male, Female or Unknown)]]="Unknown",Backend!$C$8,"Error"))),"")</f>
        <v/>
      </c>
      <c r="F3347" s="8" t="str">
        <f>IF(Table1[[#This Row],[Is Data Valid]]=TRUE,EXP(0.578+0.332*((Table1[[#This Row],[Gestation (days)]]+0.5)/7)-0.00354*((Table1[[#This Row],[Gestation (days)]]+0.5)/7)^2)*Table1[[#This Row],[BW40_3705]],"")</f>
        <v/>
      </c>
      <c r="G3347" s="2" t="str">
        <f>IF(Table1[[#This Row],[Is Data Valid]]=TRUE,((Table1[[#This Row],[Birthweight (grams)]]/Table1[[#This Row],[BW_GA]])-1)/(Backend!$B$4/100*Table1[[#This Row],[BW40_3705]]),"")</f>
        <v/>
      </c>
      <c r="H3347" s="7" t="str">
        <f>IF(Table1[[#This Row],[Is Data Valid]]=TRUE,((Table1[[#This Row],[Birthweight (grams)]]*0.9/Table1[[#This Row],[BW_GA]])-1)/(Backend!$B$4/100*Table1[[#This Row],[BW40_3705]]),"")</f>
        <v/>
      </c>
      <c r="I3347" s="7" t="str">
        <f>IF(Table1[[#This Row],[Is Data Valid]]=TRUE,((Table1[[#This Row],[Birthweight (grams)]]*1.1/Table1[[#This Row],[BW_GA]])-1)/(Backend!$B$4/100*Table1[[#This Row],[BW40_3705]]),"")</f>
        <v/>
      </c>
      <c r="J3347" s="7" t="str">
        <f>IF(Table1[[#This Row],[Is Data Valid]]=TRUE,_xlfn.NORM.S.DIST(Table1[[#This Row],[Birthweight Z-Score]],TRUE)*100,"")</f>
        <v/>
      </c>
      <c r="K3347" s="7" t="str">
        <f>IF(Table1[[#This Row],[Is Data Valid]]=TRUE,_xlfn.NORM.S.DIST(Table1[[#This Row],[Birthweight Z-Score (BW-10%)]],TRUE)*100,"")</f>
        <v/>
      </c>
      <c r="L3347" s="7" t="str">
        <f>IF(Table1[[#This Row],[Is Data Valid]]=TRUE,_xlfn.NORM.S.DIST(Table1[[#This Row],[Birthweight Z-Score (BW+10%)]],TRUE)*100,"")</f>
        <v/>
      </c>
    </row>
    <row r="3348" spans="1:12" x14ac:dyDescent="0.35">
      <c r="A3348" s="3"/>
      <c r="B3348" s="2"/>
      <c r="C3348" s="2"/>
      <c r="D3348" s="2" t="b">
        <f>IF(AND(NOT(ISBLANK(Table1[[#This Row],[Fetal Sex (Male, Female or Unknown)]])),ISNUMBER(Table1[[#This Row],[Birthweight (grams)]]),ISNUMBER(Table1[[#This Row],[Gestation (days)]])),TRUE,FALSE)</f>
        <v>0</v>
      </c>
      <c r="E3348" s="2" t="str">
        <f>IF(Table1[[#This Row],[Is Data Valid]]=TRUE,IF(Table1[[#This Row],[Fetal Sex (Male, Female or Unknown)]]="Male",Backend!$C$6,IF(Table1[[#This Row],[Fetal Sex (Male, Female or Unknown)]]="Female",Backend!$C$7,IF(Table1[[#This Row],[Fetal Sex (Male, Female or Unknown)]]="Unknown",Backend!$C$8,"Error"))),"")</f>
        <v/>
      </c>
      <c r="F3348" s="8" t="str">
        <f>IF(Table1[[#This Row],[Is Data Valid]]=TRUE,EXP(0.578+0.332*((Table1[[#This Row],[Gestation (days)]]+0.5)/7)-0.00354*((Table1[[#This Row],[Gestation (days)]]+0.5)/7)^2)*Table1[[#This Row],[BW40_3705]],"")</f>
        <v/>
      </c>
      <c r="G3348" s="2" t="str">
        <f>IF(Table1[[#This Row],[Is Data Valid]]=TRUE,((Table1[[#This Row],[Birthweight (grams)]]/Table1[[#This Row],[BW_GA]])-1)/(Backend!$B$4/100*Table1[[#This Row],[BW40_3705]]),"")</f>
        <v/>
      </c>
      <c r="H3348" s="7" t="str">
        <f>IF(Table1[[#This Row],[Is Data Valid]]=TRUE,((Table1[[#This Row],[Birthweight (grams)]]*0.9/Table1[[#This Row],[BW_GA]])-1)/(Backend!$B$4/100*Table1[[#This Row],[BW40_3705]]),"")</f>
        <v/>
      </c>
      <c r="I3348" s="7" t="str">
        <f>IF(Table1[[#This Row],[Is Data Valid]]=TRUE,((Table1[[#This Row],[Birthweight (grams)]]*1.1/Table1[[#This Row],[BW_GA]])-1)/(Backend!$B$4/100*Table1[[#This Row],[BW40_3705]]),"")</f>
        <v/>
      </c>
      <c r="J3348" s="7" t="str">
        <f>IF(Table1[[#This Row],[Is Data Valid]]=TRUE,_xlfn.NORM.S.DIST(Table1[[#This Row],[Birthweight Z-Score]],TRUE)*100,"")</f>
        <v/>
      </c>
      <c r="K3348" s="7" t="str">
        <f>IF(Table1[[#This Row],[Is Data Valid]]=TRUE,_xlfn.NORM.S.DIST(Table1[[#This Row],[Birthweight Z-Score (BW-10%)]],TRUE)*100,"")</f>
        <v/>
      </c>
      <c r="L3348" s="7" t="str">
        <f>IF(Table1[[#This Row],[Is Data Valid]]=TRUE,_xlfn.NORM.S.DIST(Table1[[#This Row],[Birthweight Z-Score (BW+10%)]],TRUE)*100,"")</f>
        <v/>
      </c>
    </row>
    <row r="3349" spans="1:12" x14ac:dyDescent="0.35">
      <c r="A3349" s="3"/>
      <c r="B3349" s="2"/>
      <c r="C3349" s="2"/>
      <c r="D3349" s="2" t="b">
        <f>IF(AND(NOT(ISBLANK(Table1[[#This Row],[Fetal Sex (Male, Female or Unknown)]])),ISNUMBER(Table1[[#This Row],[Birthweight (grams)]]),ISNUMBER(Table1[[#This Row],[Gestation (days)]])),TRUE,FALSE)</f>
        <v>0</v>
      </c>
      <c r="E3349" s="2" t="str">
        <f>IF(Table1[[#This Row],[Is Data Valid]]=TRUE,IF(Table1[[#This Row],[Fetal Sex (Male, Female or Unknown)]]="Male",Backend!$C$6,IF(Table1[[#This Row],[Fetal Sex (Male, Female or Unknown)]]="Female",Backend!$C$7,IF(Table1[[#This Row],[Fetal Sex (Male, Female or Unknown)]]="Unknown",Backend!$C$8,"Error"))),"")</f>
        <v/>
      </c>
      <c r="F3349" s="8" t="str">
        <f>IF(Table1[[#This Row],[Is Data Valid]]=TRUE,EXP(0.578+0.332*((Table1[[#This Row],[Gestation (days)]]+0.5)/7)-0.00354*((Table1[[#This Row],[Gestation (days)]]+0.5)/7)^2)*Table1[[#This Row],[BW40_3705]],"")</f>
        <v/>
      </c>
      <c r="G3349" s="2" t="str">
        <f>IF(Table1[[#This Row],[Is Data Valid]]=TRUE,((Table1[[#This Row],[Birthweight (grams)]]/Table1[[#This Row],[BW_GA]])-1)/(Backend!$B$4/100*Table1[[#This Row],[BW40_3705]]),"")</f>
        <v/>
      </c>
      <c r="H3349" s="7" t="str">
        <f>IF(Table1[[#This Row],[Is Data Valid]]=TRUE,((Table1[[#This Row],[Birthweight (grams)]]*0.9/Table1[[#This Row],[BW_GA]])-1)/(Backend!$B$4/100*Table1[[#This Row],[BW40_3705]]),"")</f>
        <v/>
      </c>
      <c r="I3349" s="7" t="str">
        <f>IF(Table1[[#This Row],[Is Data Valid]]=TRUE,((Table1[[#This Row],[Birthweight (grams)]]*1.1/Table1[[#This Row],[BW_GA]])-1)/(Backend!$B$4/100*Table1[[#This Row],[BW40_3705]]),"")</f>
        <v/>
      </c>
      <c r="J3349" s="7" t="str">
        <f>IF(Table1[[#This Row],[Is Data Valid]]=TRUE,_xlfn.NORM.S.DIST(Table1[[#This Row],[Birthweight Z-Score]],TRUE)*100,"")</f>
        <v/>
      </c>
      <c r="K3349" s="7" t="str">
        <f>IF(Table1[[#This Row],[Is Data Valid]]=TRUE,_xlfn.NORM.S.DIST(Table1[[#This Row],[Birthweight Z-Score (BW-10%)]],TRUE)*100,"")</f>
        <v/>
      </c>
      <c r="L3349" s="7" t="str">
        <f>IF(Table1[[#This Row],[Is Data Valid]]=TRUE,_xlfn.NORM.S.DIST(Table1[[#This Row],[Birthweight Z-Score (BW+10%)]],TRUE)*100,"")</f>
        <v/>
      </c>
    </row>
    <row r="3350" spans="1:12" x14ac:dyDescent="0.35">
      <c r="A3350" s="3"/>
      <c r="B3350" s="2"/>
      <c r="C3350" s="2"/>
      <c r="D3350" s="2" t="b">
        <f>IF(AND(NOT(ISBLANK(Table1[[#This Row],[Fetal Sex (Male, Female or Unknown)]])),ISNUMBER(Table1[[#This Row],[Birthweight (grams)]]),ISNUMBER(Table1[[#This Row],[Gestation (days)]])),TRUE,FALSE)</f>
        <v>0</v>
      </c>
      <c r="E3350" s="2" t="str">
        <f>IF(Table1[[#This Row],[Is Data Valid]]=TRUE,IF(Table1[[#This Row],[Fetal Sex (Male, Female or Unknown)]]="Male",Backend!$C$6,IF(Table1[[#This Row],[Fetal Sex (Male, Female or Unknown)]]="Female",Backend!$C$7,IF(Table1[[#This Row],[Fetal Sex (Male, Female or Unknown)]]="Unknown",Backend!$C$8,"Error"))),"")</f>
        <v/>
      </c>
      <c r="F3350" s="8" t="str">
        <f>IF(Table1[[#This Row],[Is Data Valid]]=TRUE,EXP(0.578+0.332*((Table1[[#This Row],[Gestation (days)]]+0.5)/7)-0.00354*((Table1[[#This Row],[Gestation (days)]]+0.5)/7)^2)*Table1[[#This Row],[BW40_3705]],"")</f>
        <v/>
      </c>
      <c r="G3350" s="2" t="str">
        <f>IF(Table1[[#This Row],[Is Data Valid]]=TRUE,((Table1[[#This Row],[Birthweight (grams)]]/Table1[[#This Row],[BW_GA]])-1)/(Backend!$B$4/100*Table1[[#This Row],[BW40_3705]]),"")</f>
        <v/>
      </c>
      <c r="H3350" s="7" t="str">
        <f>IF(Table1[[#This Row],[Is Data Valid]]=TRUE,((Table1[[#This Row],[Birthweight (grams)]]*0.9/Table1[[#This Row],[BW_GA]])-1)/(Backend!$B$4/100*Table1[[#This Row],[BW40_3705]]),"")</f>
        <v/>
      </c>
      <c r="I3350" s="7" t="str">
        <f>IF(Table1[[#This Row],[Is Data Valid]]=TRUE,((Table1[[#This Row],[Birthweight (grams)]]*1.1/Table1[[#This Row],[BW_GA]])-1)/(Backend!$B$4/100*Table1[[#This Row],[BW40_3705]]),"")</f>
        <v/>
      </c>
      <c r="J3350" s="7" t="str">
        <f>IF(Table1[[#This Row],[Is Data Valid]]=TRUE,_xlfn.NORM.S.DIST(Table1[[#This Row],[Birthweight Z-Score]],TRUE)*100,"")</f>
        <v/>
      </c>
      <c r="K3350" s="7" t="str">
        <f>IF(Table1[[#This Row],[Is Data Valid]]=TRUE,_xlfn.NORM.S.DIST(Table1[[#This Row],[Birthweight Z-Score (BW-10%)]],TRUE)*100,"")</f>
        <v/>
      </c>
      <c r="L3350" s="7" t="str">
        <f>IF(Table1[[#This Row],[Is Data Valid]]=TRUE,_xlfn.NORM.S.DIST(Table1[[#This Row],[Birthweight Z-Score (BW+10%)]],TRUE)*100,"")</f>
        <v/>
      </c>
    </row>
    <row r="3351" spans="1:12" x14ac:dyDescent="0.35">
      <c r="A3351" s="3"/>
      <c r="B3351" s="2"/>
      <c r="C3351" s="2"/>
      <c r="D3351" s="2" t="b">
        <f>IF(AND(NOT(ISBLANK(Table1[[#This Row],[Fetal Sex (Male, Female or Unknown)]])),ISNUMBER(Table1[[#This Row],[Birthweight (grams)]]),ISNUMBER(Table1[[#This Row],[Gestation (days)]])),TRUE,FALSE)</f>
        <v>0</v>
      </c>
      <c r="E3351" s="2" t="str">
        <f>IF(Table1[[#This Row],[Is Data Valid]]=TRUE,IF(Table1[[#This Row],[Fetal Sex (Male, Female or Unknown)]]="Male",Backend!$C$6,IF(Table1[[#This Row],[Fetal Sex (Male, Female or Unknown)]]="Female",Backend!$C$7,IF(Table1[[#This Row],[Fetal Sex (Male, Female or Unknown)]]="Unknown",Backend!$C$8,"Error"))),"")</f>
        <v/>
      </c>
      <c r="F3351" s="8" t="str">
        <f>IF(Table1[[#This Row],[Is Data Valid]]=TRUE,EXP(0.578+0.332*((Table1[[#This Row],[Gestation (days)]]+0.5)/7)-0.00354*((Table1[[#This Row],[Gestation (days)]]+0.5)/7)^2)*Table1[[#This Row],[BW40_3705]],"")</f>
        <v/>
      </c>
      <c r="G3351" s="2" t="str">
        <f>IF(Table1[[#This Row],[Is Data Valid]]=TRUE,((Table1[[#This Row],[Birthweight (grams)]]/Table1[[#This Row],[BW_GA]])-1)/(Backend!$B$4/100*Table1[[#This Row],[BW40_3705]]),"")</f>
        <v/>
      </c>
      <c r="H3351" s="7" t="str">
        <f>IF(Table1[[#This Row],[Is Data Valid]]=TRUE,((Table1[[#This Row],[Birthweight (grams)]]*0.9/Table1[[#This Row],[BW_GA]])-1)/(Backend!$B$4/100*Table1[[#This Row],[BW40_3705]]),"")</f>
        <v/>
      </c>
      <c r="I3351" s="7" t="str">
        <f>IF(Table1[[#This Row],[Is Data Valid]]=TRUE,((Table1[[#This Row],[Birthweight (grams)]]*1.1/Table1[[#This Row],[BW_GA]])-1)/(Backend!$B$4/100*Table1[[#This Row],[BW40_3705]]),"")</f>
        <v/>
      </c>
      <c r="J3351" s="7" t="str">
        <f>IF(Table1[[#This Row],[Is Data Valid]]=TRUE,_xlfn.NORM.S.DIST(Table1[[#This Row],[Birthweight Z-Score]],TRUE)*100,"")</f>
        <v/>
      </c>
      <c r="K3351" s="7" t="str">
        <f>IF(Table1[[#This Row],[Is Data Valid]]=TRUE,_xlfn.NORM.S.DIST(Table1[[#This Row],[Birthweight Z-Score (BW-10%)]],TRUE)*100,"")</f>
        <v/>
      </c>
      <c r="L3351" s="7" t="str">
        <f>IF(Table1[[#This Row],[Is Data Valid]]=TRUE,_xlfn.NORM.S.DIST(Table1[[#This Row],[Birthweight Z-Score (BW+10%)]],TRUE)*100,"")</f>
        <v/>
      </c>
    </row>
    <row r="3352" spans="1:12" x14ac:dyDescent="0.35">
      <c r="A3352" s="3"/>
      <c r="B3352" s="2"/>
      <c r="C3352" s="2"/>
      <c r="D3352" s="2" t="b">
        <f>IF(AND(NOT(ISBLANK(Table1[[#This Row],[Fetal Sex (Male, Female or Unknown)]])),ISNUMBER(Table1[[#This Row],[Birthweight (grams)]]),ISNUMBER(Table1[[#This Row],[Gestation (days)]])),TRUE,FALSE)</f>
        <v>0</v>
      </c>
      <c r="E3352" s="2" t="str">
        <f>IF(Table1[[#This Row],[Is Data Valid]]=TRUE,IF(Table1[[#This Row],[Fetal Sex (Male, Female or Unknown)]]="Male",Backend!$C$6,IF(Table1[[#This Row],[Fetal Sex (Male, Female or Unknown)]]="Female",Backend!$C$7,IF(Table1[[#This Row],[Fetal Sex (Male, Female or Unknown)]]="Unknown",Backend!$C$8,"Error"))),"")</f>
        <v/>
      </c>
      <c r="F3352" s="8" t="str">
        <f>IF(Table1[[#This Row],[Is Data Valid]]=TRUE,EXP(0.578+0.332*((Table1[[#This Row],[Gestation (days)]]+0.5)/7)-0.00354*((Table1[[#This Row],[Gestation (days)]]+0.5)/7)^2)*Table1[[#This Row],[BW40_3705]],"")</f>
        <v/>
      </c>
      <c r="G3352" s="2" t="str">
        <f>IF(Table1[[#This Row],[Is Data Valid]]=TRUE,((Table1[[#This Row],[Birthweight (grams)]]/Table1[[#This Row],[BW_GA]])-1)/(Backend!$B$4/100*Table1[[#This Row],[BW40_3705]]),"")</f>
        <v/>
      </c>
      <c r="H3352" s="7" t="str">
        <f>IF(Table1[[#This Row],[Is Data Valid]]=TRUE,((Table1[[#This Row],[Birthweight (grams)]]*0.9/Table1[[#This Row],[BW_GA]])-1)/(Backend!$B$4/100*Table1[[#This Row],[BW40_3705]]),"")</f>
        <v/>
      </c>
      <c r="I3352" s="7" t="str">
        <f>IF(Table1[[#This Row],[Is Data Valid]]=TRUE,((Table1[[#This Row],[Birthweight (grams)]]*1.1/Table1[[#This Row],[BW_GA]])-1)/(Backend!$B$4/100*Table1[[#This Row],[BW40_3705]]),"")</f>
        <v/>
      </c>
      <c r="J3352" s="7" t="str">
        <f>IF(Table1[[#This Row],[Is Data Valid]]=TRUE,_xlfn.NORM.S.DIST(Table1[[#This Row],[Birthweight Z-Score]],TRUE)*100,"")</f>
        <v/>
      </c>
      <c r="K3352" s="7" t="str">
        <f>IF(Table1[[#This Row],[Is Data Valid]]=TRUE,_xlfn.NORM.S.DIST(Table1[[#This Row],[Birthweight Z-Score (BW-10%)]],TRUE)*100,"")</f>
        <v/>
      </c>
      <c r="L3352" s="7" t="str">
        <f>IF(Table1[[#This Row],[Is Data Valid]]=TRUE,_xlfn.NORM.S.DIST(Table1[[#This Row],[Birthweight Z-Score (BW+10%)]],TRUE)*100,"")</f>
        <v/>
      </c>
    </row>
    <row r="3353" spans="1:12" x14ac:dyDescent="0.35">
      <c r="A3353" s="3"/>
      <c r="B3353" s="2"/>
      <c r="C3353" s="2"/>
      <c r="D3353" s="2" t="b">
        <f>IF(AND(NOT(ISBLANK(Table1[[#This Row],[Fetal Sex (Male, Female or Unknown)]])),ISNUMBER(Table1[[#This Row],[Birthweight (grams)]]),ISNUMBER(Table1[[#This Row],[Gestation (days)]])),TRUE,FALSE)</f>
        <v>0</v>
      </c>
      <c r="E3353" s="2" t="str">
        <f>IF(Table1[[#This Row],[Is Data Valid]]=TRUE,IF(Table1[[#This Row],[Fetal Sex (Male, Female or Unknown)]]="Male",Backend!$C$6,IF(Table1[[#This Row],[Fetal Sex (Male, Female or Unknown)]]="Female",Backend!$C$7,IF(Table1[[#This Row],[Fetal Sex (Male, Female or Unknown)]]="Unknown",Backend!$C$8,"Error"))),"")</f>
        <v/>
      </c>
      <c r="F3353" s="8" t="str">
        <f>IF(Table1[[#This Row],[Is Data Valid]]=TRUE,EXP(0.578+0.332*((Table1[[#This Row],[Gestation (days)]]+0.5)/7)-0.00354*((Table1[[#This Row],[Gestation (days)]]+0.5)/7)^2)*Table1[[#This Row],[BW40_3705]],"")</f>
        <v/>
      </c>
      <c r="G3353" s="2" t="str">
        <f>IF(Table1[[#This Row],[Is Data Valid]]=TRUE,((Table1[[#This Row],[Birthweight (grams)]]/Table1[[#This Row],[BW_GA]])-1)/(Backend!$B$4/100*Table1[[#This Row],[BW40_3705]]),"")</f>
        <v/>
      </c>
      <c r="H3353" s="7" t="str">
        <f>IF(Table1[[#This Row],[Is Data Valid]]=TRUE,((Table1[[#This Row],[Birthweight (grams)]]*0.9/Table1[[#This Row],[BW_GA]])-1)/(Backend!$B$4/100*Table1[[#This Row],[BW40_3705]]),"")</f>
        <v/>
      </c>
      <c r="I3353" s="7" t="str">
        <f>IF(Table1[[#This Row],[Is Data Valid]]=TRUE,((Table1[[#This Row],[Birthweight (grams)]]*1.1/Table1[[#This Row],[BW_GA]])-1)/(Backend!$B$4/100*Table1[[#This Row],[BW40_3705]]),"")</f>
        <v/>
      </c>
      <c r="J3353" s="7" t="str">
        <f>IF(Table1[[#This Row],[Is Data Valid]]=TRUE,_xlfn.NORM.S.DIST(Table1[[#This Row],[Birthweight Z-Score]],TRUE)*100,"")</f>
        <v/>
      </c>
      <c r="K3353" s="7" t="str">
        <f>IF(Table1[[#This Row],[Is Data Valid]]=TRUE,_xlfn.NORM.S.DIST(Table1[[#This Row],[Birthweight Z-Score (BW-10%)]],TRUE)*100,"")</f>
        <v/>
      </c>
      <c r="L3353" s="7" t="str">
        <f>IF(Table1[[#This Row],[Is Data Valid]]=TRUE,_xlfn.NORM.S.DIST(Table1[[#This Row],[Birthweight Z-Score (BW+10%)]],TRUE)*100,"")</f>
        <v/>
      </c>
    </row>
    <row r="3354" spans="1:12" x14ac:dyDescent="0.35">
      <c r="A3354" s="3"/>
      <c r="B3354" s="2"/>
      <c r="C3354" s="2"/>
      <c r="D3354" s="2" t="b">
        <f>IF(AND(NOT(ISBLANK(Table1[[#This Row],[Fetal Sex (Male, Female or Unknown)]])),ISNUMBER(Table1[[#This Row],[Birthweight (grams)]]),ISNUMBER(Table1[[#This Row],[Gestation (days)]])),TRUE,FALSE)</f>
        <v>0</v>
      </c>
      <c r="E3354" s="2" t="str">
        <f>IF(Table1[[#This Row],[Is Data Valid]]=TRUE,IF(Table1[[#This Row],[Fetal Sex (Male, Female or Unknown)]]="Male",Backend!$C$6,IF(Table1[[#This Row],[Fetal Sex (Male, Female or Unknown)]]="Female",Backend!$C$7,IF(Table1[[#This Row],[Fetal Sex (Male, Female or Unknown)]]="Unknown",Backend!$C$8,"Error"))),"")</f>
        <v/>
      </c>
      <c r="F3354" s="8" t="str">
        <f>IF(Table1[[#This Row],[Is Data Valid]]=TRUE,EXP(0.578+0.332*((Table1[[#This Row],[Gestation (days)]]+0.5)/7)-0.00354*((Table1[[#This Row],[Gestation (days)]]+0.5)/7)^2)*Table1[[#This Row],[BW40_3705]],"")</f>
        <v/>
      </c>
      <c r="G3354" s="2" t="str">
        <f>IF(Table1[[#This Row],[Is Data Valid]]=TRUE,((Table1[[#This Row],[Birthweight (grams)]]/Table1[[#This Row],[BW_GA]])-1)/(Backend!$B$4/100*Table1[[#This Row],[BW40_3705]]),"")</f>
        <v/>
      </c>
      <c r="H3354" s="7" t="str">
        <f>IF(Table1[[#This Row],[Is Data Valid]]=TRUE,((Table1[[#This Row],[Birthweight (grams)]]*0.9/Table1[[#This Row],[BW_GA]])-1)/(Backend!$B$4/100*Table1[[#This Row],[BW40_3705]]),"")</f>
        <v/>
      </c>
      <c r="I3354" s="7" t="str">
        <f>IF(Table1[[#This Row],[Is Data Valid]]=TRUE,((Table1[[#This Row],[Birthweight (grams)]]*1.1/Table1[[#This Row],[BW_GA]])-1)/(Backend!$B$4/100*Table1[[#This Row],[BW40_3705]]),"")</f>
        <v/>
      </c>
      <c r="J3354" s="7" t="str">
        <f>IF(Table1[[#This Row],[Is Data Valid]]=TRUE,_xlfn.NORM.S.DIST(Table1[[#This Row],[Birthweight Z-Score]],TRUE)*100,"")</f>
        <v/>
      </c>
      <c r="K3354" s="7" t="str">
        <f>IF(Table1[[#This Row],[Is Data Valid]]=TRUE,_xlfn.NORM.S.DIST(Table1[[#This Row],[Birthweight Z-Score (BW-10%)]],TRUE)*100,"")</f>
        <v/>
      </c>
      <c r="L3354" s="7" t="str">
        <f>IF(Table1[[#This Row],[Is Data Valid]]=TRUE,_xlfn.NORM.S.DIST(Table1[[#This Row],[Birthweight Z-Score (BW+10%)]],TRUE)*100,"")</f>
        <v/>
      </c>
    </row>
    <row r="3355" spans="1:12" x14ac:dyDescent="0.35">
      <c r="A3355" s="3"/>
      <c r="B3355" s="2"/>
      <c r="C3355" s="2"/>
      <c r="D3355" s="2" t="b">
        <f>IF(AND(NOT(ISBLANK(Table1[[#This Row],[Fetal Sex (Male, Female or Unknown)]])),ISNUMBER(Table1[[#This Row],[Birthweight (grams)]]),ISNUMBER(Table1[[#This Row],[Gestation (days)]])),TRUE,FALSE)</f>
        <v>0</v>
      </c>
      <c r="E3355" s="2" t="str">
        <f>IF(Table1[[#This Row],[Is Data Valid]]=TRUE,IF(Table1[[#This Row],[Fetal Sex (Male, Female or Unknown)]]="Male",Backend!$C$6,IF(Table1[[#This Row],[Fetal Sex (Male, Female or Unknown)]]="Female",Backend!$C$7,IF(Table1[[#This Row],[Fetal Sex (Male, Female or Unknown)]]="Unknown",Backend!$C$8,"Error"))),"")</f>
        <v/>
      </c>
      <c r="F3355" s="8" t="str">
        <f>IF(Table1[[#This Row],[Is Data Valid]]=TRUE,EXP(0.578+0.332*((Table1[[#This Row],[Gestation (days)]]+0.5)/7)-0.00354*((Table1[[#This Row],[Gestation (days)]]+0.5)/7)^2)*Table1[[#This Row],[BW40_3705]],"")</f>
        <v/>
      </c>
      <c r="G3355" s="2" t="str">
        <f>IF(Table1[[#This Row],[Is Data Valid]]=TRUE,((Table1[[#This Row],[Birthweight (grams)]]/Table1[[#This Row],[BW_GA]])-1)/(Backend!$B$4/100*Table1[[#This Row],[BW40_3705]]),"")</f>
        <v/>
      </c>
      <c r="H3355" s="7" t="str">
        <f>IF(Table1[[#This Row],[Is Data Valid]]=TRUE,((Table1[[#This Row],[Birthweight (grams)]]*0.9/Table1[[#This Row],[BW_GA]])-1)/(Backend!$B$4/100*Table1[[#This Row],[BW40_3705]]),"")</f>
        <v/>
      </c>
      <c r="I3355" s="7" t="str">
        <f>IF(Table1[[#This Row],[Is Data Valid]]=TRUE,((Table1[[#This Row],[Birthweight (grams)]]*1.1/Table1[[#This Row],[BW_GA]])-1)/(Backend!$B$4/100*Table1[[#This Row],[BW40_3705]]),"")</f>
        <v/>
      </c>
      <c r="J3355" s="7" t="str">
        <f>IF(Table1[[#This Row],[Is Data Valid]]=TRUE,_xlfn.NORM.S.DIST(Table1[[#This Row],[Birthweight Z-Score]],TRUE)*100,"")</f>
        <v/>
      </c>
      <c r="K3355" s="7" t="str">
        <f>IF(Table1[[#This Row],[Is Data Valid]]=TRUE,_xlfn.NORM.S.DIST(Table1[[#This Row],[Birthweight Z-Score (BW-10%)]],TRUE)*100,"")</f>
        <v/>
      </c>
      <c r="L3355" s="7" t="str">
        <f>IF(Table1[[#This Row],[Is Data Valid]]=TRUE,_xlfn.NORM.S.DIST(Table1[[#This Row],[Birthweight Z-Score (BW+10%)]],TRUE)*100,"")</f>
        <v/>
      </c>
    </row>
    <row r="3356" spans="1:12" x14ac:dyDescent="0.35">
      <c r="A3356" s="3"/>
      <c r="B3356" s="2"/>
      <c r="C3356" s="2"/>
      <c r="D3356" s="2" t="b">
        <f>IF(AND(NOT(ISBLANK(Table1[[#This Row],[Fetal Sex (Male, Female or Unknown)]])),ISNUMBER(Table1[[#This Row],[Birthweight (grams)]]),ISNUMBER(Table1[[#This Row],[Gestation (days)]])),TRUE,FALSE)</f>
        <v>0</v>
      </c>
      <c r="E3356" s="2" t="str">
        <f>IF(Table1[[#This Row],[Is Data Valid]]=TRUE,IF(Table1[[#This Row],[Fetal Sex (Male, Female or Unknown)]]="Male",Backend!$C$6,IF(Table1[[#This Row],[Fetal Sex (Male, Female or Unknown)]]="Female",Backend!$C$7,IF(Table1[[#This Row],[Fetal Sex (Male, Female or Unknown)]]="Unknown",Backend!$C$8,"Error"))),"")</f>
        <v/>
      </c>
      <c r="F3356" s="8" t="str">
        <f>IF(Table1[[#This Row],[Is Data Valid]]=TRUE,EXP(0.578+0.332*((Table1[[#This Row],[Gestation (days)]]+0.5)/7)-0.00354*((Table1[[#This Row],[Gestation (days)]]+0.5)/7)^2)*Table1[[#This Row],[BW40_3705]],"")</f>
        <v/>
      </c>
      <c r="G3356" s="2" t="str">
        <f>IF(Table1[[#This Row],[Is Data Valid]]=TRUE,((Table1[[#This Row],[Birthweight (grams)]]/Table1[[#This Row],[BW_GA]])-1)/(Backend!$B$4/100*Table1[[#This Row],[BW40_3705]]),"")</f>
        <v/>
      </c>
      <c r="H3356" s="7" t="str">
        <f>IF(Table1[[#This Row],[Is Data Valid]]=TRUE,((Table1[[#This Row],[Birthweight (grams)]]*0.9/Table1[[#This Row],[BW_GA]])-1)/(Backend!$B$4/100*Table1[[#This Row],[BW40_3705]]),"")</f>
        <v/>
      </c>
      <c r="I3356" s="7" t="str">
        <f>IF(Table1[[#This Row],[Is Data Valid]]=TRUE,((Table1[[#This Row],[Birthweight (grams)]]*1.1/Table1[[#This Row],[BW_GA]])-1)/(Backend!$B$4/100*Table1[[#This Row],[BW40_3705]]),"")</f>
        <v/>
      </c>
      <c r="J3356" s="7" t="str">
        <f>IF(Table1[[#This Row],[Is Data Valid]]=TRUE,_xlfn.NORM.S.DIST(Table1[[#This Row],[Birthweight Z-Score]],TRUE)*100,"")</f>
        <v/>
      </c>
      <c r="K3356" s="7" t="str">
        <f>IF(Table1[[#This Row],[Is Data Valid]]=TRUE,_xlfn.NORM.S.DIST(Table1[[#This Row],[Birthweight Z-Score (BW-10%)]],TRUE)*100,"")</f>
        <v/>
      </c>
      <c r="L3356" s="7" t="str">
        <f>IF(Table1[[#This Row],[Is Data Valid]]=TRUE,_xlfn.NORM.S.DIST(Table1[[#This Row],[Birthweight Z-Score (BW+10%)]],TRUE)*100,"")</f>
        <v/>
      </c>
    </row>
    <row r="3357" spans="1:12" x14ac:dyDescent="0.35">
      <c r="A3357" s="3"/>
      <c r="B3357" s="2"/>
      <c r="C3357" s="2"/>
      <c r="D3357" s="2" t="b">
        <f>IF(AND(NOT(ISBLANK(Table1[[#This Row],[Fetal Sex (Male, Female or Unknown)]])),ISNUMBER(Table1[[#This Row],[Birthweight (grams)]]),ISNUMBER(Table1[[#This Row],[Gestation (days)]])),TRUE,FALSE)</f>
        <v>0</v>
      </c>
      <c r="E3357" s="2" t="str">
        <f>IF(Table1[[#This Row],[Is Data Valid]]=TRUE,IF(Table1[[#This Row],[Fetal Sex (Male, Female or Unknown)]]="Male",Backend!$C$6,IF(Table1[[#This Row],[Fetal Sex (Male, Female or Unknown)]]="Female",Backend!$C$7,IF(Table1[[#This Row],[Fetal Sex (Male, Female or Unknown)]]="Unknown",Backend!$C$8,"Error"))),"")</f>
        <v/>
      </c>
      <c r="F3357" s="8" t="str">
        <f>IF(Table1[[#This Row],[Is Data Valid]]=TRUE,EXP(0.578+0.332*((Table1[[#This Row],[Gestation (days)]]+0.5)/7)-0.00354*((Table1[[#This Row],[Gestation (days)]]+0.5)/7)^2)*Table1[[#This Row],[BW40_3705]],"")</f>
        <v/>
      </c>
      <c r="G3357" s="2" t="str">
        <f>IF(Table1[[#This Row],[Is Data Valid]]=TRUE,((Table1[[#This Row],[Birthweight (grams)]]/Table1[[#This Row],[BW_GA]])-1)/(Backend!$B$4/100*Table1[[#This Row],[BW40_3705]]),"")</f>
        <v/>
      </c>
      <c r="H3357" s="7" t="str">
        <f>IF(Table1[[#This Row],[Is Data Valid]]=TRUE,((Table1[[#This Row],[Birthweight (grams)]]*0.9/Table1[[#This Row],[BW_GA]])-1)/(Backend!$B$4/100*Table1[[#This Row],[BW40_3705]]),"")</f>
        <v/>
      </c>
      <c r="I3357" s="7" t="str">
        <f>IF(Table1[[#This Row],[Is Data Valid]]=TRUE,((Table1[[#This Row],[Birthweight (grams)]]*1.1/Table1[[#This Row],[BW_GA]])-1)/(Backend!$B$4/100*Table1[[#This Row],[BW40_3705]]),"")</f>
        <v/>
      </c>
      <c r="J3357" s="7" t="str">
        <f>IF(Table1[[#This Row],[Is Data Valid]]=TRUE,_xlfn.NORM.S.DIST(Table1[[#This Row],[Birthweight Z-Score]],TRUE)*100,"")</f>
        <v/>
      </c>
      <c r="K3357" s="7" t="str">
        <f>IF(Table1[[#This Row],[Is Data Valid]]=TRUE,_xlfn.NORM.S.DIST(Table1[[#This Row],[Birthweight Z-Score (BW-10%)]],TRUE)*100,"")</f>
        <v/>
      </c>
      <c r="L3357" s="7" t="str">
        <f>IF(Table1[[#This Row],[Is Data Valid]]=TRUE,_xlfn.NORM.S.DIST(Table1[[#This Row],[Birthweight Z-Score (BW+10%)]],TRUE)*100,"")</f>
        <v/>
      </c>
    </row>
    <row r="3358" spans="1:12" x14ac:dyDescent="0.35">
      <c r="A3358" s="3"/>
      <c r="B3358" s="2"/>
      <c r="C3358" s="2"/>
      <c r="D3358" s="2" t="b">
        <f>IF(AND(NOT(ISBLANK(Table1[[#This Row],[Fetal Sex (Male, Female or Unknown)]])),ISNUMBER(Table1[[#This Row],[Birthweight (grams)]]),ISNUMBER(Table1[[#This Row],[Gestation (days)]])),TRUE,FALSE)</f>
        <v>0</v>
      </c>
      <c r="E3358" s="2" t="str">
        <f>IF(Table1[[#This Row],[Is Data Valid]]=TRUE,IF(Table1[[#This Row],[Fetal Sex (Male, Female or Unknown)]]="Male",Backend!$C$6,IF(Table1[[#This Row],[Fetal Sex (Male, Female or Unknown)]]="Female",Backend!$C$7,IF(Table1[[#This Row],[Fetal Sex (Male, Female or Unknown)]]="Unknown",Backend!$C$8,"Error"))),"")</f>
        <v/>
      </c>
      <c r="F3358" s="8" t="str">
        <f>IF(Table1[[#This Row],[Is Data Valid]]=TRUE,EXP(0.578+0.332*((Table1[[#This Row],[Gestation (days)]]+0.5)/7)-0.00354*((Table1[[#This Row],[Gestation (days)]]+0.5)/7)^2)*Table1[[#This Row],[BW40_3705]],"")</f>
        <v/>
      </c>
      <c r="G3358" s="2" t="str">
        <f>IF(Table1[[#This Row],[Is Data Valid]]=TRUE,((Table1[[#This Row],[Birthweight (grams)]]/Table1[[#This Row],[BW_GA]])-1)/(Backend!$B$4/100*Table1[[#This Row],[BW40_3705]]),"")</f>
        <v/>
      </c>
      <c r="H3358" s="7" t="str">
        <f>IF(Table1[[#This Row],[Is Data Valid]]=TRUE,((Table1[[#This Row],[Birthweight (grams)]]*0.9/Table1[[#This Row],[BW_GA]])-1)/(Backend!$B$4/100*Table1[[#This Row],[BW40_3705]]),"")</f>
        <v/>
      </c>
      <c r="I3358" s="7" t="str">
        <f>IF(Table1[[#This Row],[Is Data Valid]]=TRUE,((Table1[[#This Row],[Birthweight (grams)]]*1.1/Table1[[#This Row],[BW_GA]])-1)/(Backend!$B$4/100*Table1[[#This Row],[BW40_3705]]),"")</f>
        <v/>
      </c>
      <c r="J3358" s="7" t="str">
        <f>IF(Table1[[#This Row],[Is Data Valid]]=TRUE,_xlfn.NORM.S.DIST(Table1[[#This Row],[Birthweight Z-Score]],TRUE)*100,"")</f>
        <v/>
      </c>
      <c r="K3358" s="7" t="str">
        <f>IF(Table1[[#This Row],[Is Data Valid]]=TRUE,_xlfn.NORM.S.DIST(Table1[[#This Row],[Birthweight Z-Score (BW-10%)]],TRUE)*100,"")</f>
        <v/>
      </c>
      <c r="L3358" s="7" t="str">
        <f>IF(Table1[[#This Row],[Is Data Valid]]=TRUE,_xlfn.NORM.S.DIST(Table1[[#This Row],[Birthweight Z-Score (BW+10%)]],TRUE)*100,"")</f>
        <v/>
      </c>
    </row>
    <row r="3359" spans="1:12" x14ac:dyDescent="0.35">
      <c r="A3359" s="3"/>
      <c r="B3359" s="2"/>
      <c r="C3359" s="2"/>
      <c r="D3359" s="2" t="b">
        <f>IF(AND(NOT(ISBLANK(Table1[[#This Row],[Fetal Sex (Male, Female or Unknown)]])),ISNUMBER(Table1[[#This Row],[Birthweight (grams)]]),ISNUMBER(Table1[[#This Row],[Gestation (days)]])),TRUE,FALSE)</f>
        <v>0</v>
      </c>
      <c r="E3359" s="2" t="str">
        <f>IF(Table1[[#This Row],[Is Data Valid]]=TRUE,IF(Table1[[#This Row],[Fetal Sex (Male, Female or Unknown)]]="Male",Backend!$C$6,IF(Table1[[#This Row],[Fetal Sex (Male, Female or Unknown)]]="Female",Backend!$C$7,IF(Table1[[#This Row],[Fetal Sex (Male, Female or Unknown)]]="Unknown",Backend!$C$8,"Error"))),"")</f>
        <v/>
      </c>
      <c r="F3359" s="8" t="str">
        <f>IF(Table1[[#This Row],[Is Data Valid]]=TRUE,EXP(0.578+0.332*((Table1[[#This Row],[Gestation (days)]]+0.5)/7)-0.00354*((Table1[[#This Row],[Gestation (days)]]+0.5)/7)^2)*Table1[[#This Row],[BW40_3705]],"")</f>
        <v/>
      </c>
      <c r="G3359" s="2" t="str">
        <f>IF(Table1[[#This Row],[Is Data Valid]]=TRUE,((Table1[[#This Row],[Birthweight (grams)]]/Table1[[#This Row],[BW_GA]])-1)/(Backend!$B$4/100*Table1[[#This Row],[BW40_3705]]),"")</f>
        <v/>
      </c>
      <c r="H3359" s="7" t="str">
        <f>IF(Table1[[#This Row],[Is Data Valid]]=TRUE,((Table1[[#This Row],[Birthweight (grams)]]*0.9/Table1[[#This Row],[BW_GA]])-1)/(Backend!$B$4/100*Table1[[#This Row],[BW40_3705]]),"")</f>
        <v/>
      </c>
      <c r="I3359" s="7" t="str">
        <f>IF(Table1[[#This Row],[Is Data Valid]]=TRUE,((Table1[[#This Row],[Birthweight (grams)]]*1.1/Table1[[#This Row],[BW_GA]])-1)/(Backend!$B$4/100*Table1[[#This Row],[BW40_3705]]),"")</f>
        <v/>
      </c>
      <c r="J3359" s="7" t="str">
        <f>IF(Table1[[#This Row],[Is Data Valid]]=TRUE,_xlfn.NORM.S.DIST(Table1[[#This Row],[Birthweight Z-Score]],TRUE)*100,"")</f>
        <v/>
      </c>
      <c r="K3359" s="7" t="str">
        <f>IF(Table1[[#This Row],[Is Data Valid]]=TRUE,_xlfn.NORM.S.DIST(Table1[[#This Row],[Birthweight Z-Score (BW-10%)]],TRUE)*100,"")</f>
        <v/>
      </c>
      <c r="L3359" s="7" t="str">
        <f>IF(Table1[[#This Row],[Is Data Valid]]=TRUE,_xlfn.NORM.S.DIST(Table1[[#This Row],[Birthweight Z-Score (BW+10%)]],TRUE)*100,"")</f>
        <v/>
      </c>
    </row>
    <row r="3360" spans="1:12" x14ac:dyDescent="0.35">
      <c r="A3360" s="3"/>
      <c r="B3360" s="2"/>
      <c r="C3360" s="2"/>
      <c r="D3360" s="2" t="b">
        <f>IF(AND(NOT(ISBLANK(Table1[[#This Row],[Fetal Sex (Male, Female or Unknown)]])),ISNUMBER(Table1[[#This Row],[Birthweight (grams)]]),ISNUMBER(Table1[[#This Row],[Gestation (days)]])),TRUE,FALSE)</f>
        <v>0</v>
      </c>
      <c r="E3360" s="2" t="str">
        <f>IF(Table1[[#This Row],[Is Data Valid]]=TRUE,IF(Table1[[#This Row],[Fetal Sex (Male, Female or Unknown)]]="Male",Backend!$C$6,IF(Table1[[#This Row],[Fetal Sex (Male, Female or Unknown)]]="Female",Backend!$C$7,IF(Table1[[#This Row],[Fetal Sex (Male, Female or Unknown)]]="Unknown",Backend!$C$8,"Error"))),"")</f>
        <v/>
      </c>
      <c r="F3360" s="8" t="str">
        <f>IF(Table1[[#This Row],[Is Data Valid]]=TRUE,EXP(0.578+0.332*((Table1[[#This Row],[Gestation (days)]]+0.5)/7)-0.00354*((Table1[[#This Row],[Gestation (days)]]+0.5)/7)^2)*Table1[[#This Row],[BW40_3705]],"")</f>
        <v/>
      </c>
      <c r="G3360" s="2" t="str">
        <f>IF(Table1[[#This Row],[Is Data Valid]]=TRUE,((Table1[[#This Row],[Birthweight (grams)]]/Table1[[#This Row],[BW_GA]])-1)/(Backend!$B$4/100*Table1[[#This Row],[BW40_3705]]),"")</f>
        <v/>
      </c>
      <c r="H3360" s="7" t="str">
        <f>IF(Table1[[#This Row],[Is Data Valid]]=TRUE,((Table1[[#This Row],[Birthweight (grams)]]*0.9/Table1[[#This Row],[BW_GA]])-1)/(Backend!$B$4/100*Table1[[#This Row],[BW40_3705]]),"")</f>
        <v/>
      </c>
      <c r="I3360" s="7" t="str">
        <f>IF(Table1[[#This Row],[Is Data Valid]]=TRUE,((Table1[[#This Row],[Birthweight (grams)]]*1.1/Table1[[#This Row],[BW_GA]])-1)/(Backend!$B$4/100*Table1[[#This Row],[BW40_3705]]),"")</f>
        <v/>
      </c>
      <c r="J3360" s="7" t="str">
        <f>IF(Table1[[#This Row],[Is Data Valid]]=TRUE,_xlfn.NORM.S.DIST(Table1[[#This Row],[Birthweight Z-Score]],TRUE)*100,"")</f>
        <v/>
      </c>
      <c r="K3360" s="7" t="str">
        <f>IF(Table1[[#This Row],[Is Data Valid]]=TRUE,_xlfn.NORM.S.DIST(Table1[[#This Row],[Birthweight Z-Score (BW-10%)]],TRUE)*100,"")</f>
        <v/>
      </c>
      <c r="L3360" s="7" t="str">
        <f>IF(Table1[[#This Row],[Is Data Valid]]=TRUE,_xlfn.NORM.S.DIST(Table1[[#This Row],[Birthweight Z-Score (BW+10%)]],TRUE)*100,"")</f>
        <v/>
      </c>
    </row>
    <row r="3361" spans="1:12" x14ac:dyDescent="0.35">
      <c r="A3361" s="3"/>
      <c r="B3361" s="2"/>
      <c r="C3361" s="2"/>
      <c r="D3361" s="2" t="b">
        <f>IF(AND(NOT(ISBLANK(Table1[[#This Row],[Fetal Sex (Male, Female or Unknown)]])),ISNUMBER(Table1[[#This Row],[Birthweight (grams)]]),ISNUMBER(Table1[[#This Row],[Gestation (days)]])),TRUE,FALSE)</f>
        <v>0</v>
      </c>
      <c r="E3361" s="2" t="str">
        <f>IF(Table1[[#This Row],[Is Data Valid]]=TRUE,IF(Table1[[#This Row],[Fetal Sex (Male, Female or Unknown)]]="Male",Backend!$C$6,IF(Table1[[#This Row],[Fetal Sex (Male, Female or Unknown)]]="Female",Backend!$C$7,IF(Table1[[#This Row],[Fetal Sex (Male, Female or Unknown)]]="Unknown",Backend!$C$8,"Error"))),"")</f>
        <v/>
      </c>
      <c r="F3361" s="8" t="str">
        <f>IF(Table1[[#This Row],[Is Data Valid]]=TRUE,EXP(0.578+0.332*((Table1[[#This Row],[Gestation (days)]]+0.5)/7)-0.00354*((Table1[[#This Row],[Gestation (days)]]+0.5)/7)^2)*Table1[[#This Row],[BW40_3705]],"")</f>
        <v/>
      </c>
      <c r="G3361" s="2" t="str">
        <f>IF(Table1[[#This Row],[Is Data Valid]]=TRUE,((Table1[[#This Row],[Birthweight (grams)]]/Table1[[#This Row],[BW_GA]])-1)/(Backend!$B$4/100*Table1[[#This Row],[BW40_3705]]),"")</f>
        <v/>
      </c>
      <c r="H3361" s="7" t="str">
        <f>IF(Table1[[#This Row],[Is Data Valid]]=TRUE,((Table1[[#This Row],[Birthweight (grams)]]*0.9/Table1[[#This Row],[BW_GA]])-1)/(Backend!$B$4/100*Table1[[#This Row],[BW40_3705]]),"")</f>
        <v/>
      </c>
      <c r="I3361" s="7" t="str">
        <f>IF(Table1[[#This Row],[Is Data Valid]]=TRUE,((Table1[[#This Row],[Birthweight (grams)]]*1.1/Table1[[#This Row],[BW_GA]])-1)/(Backend!$B$4/100*Table1[[#This Row],[BW40_3705]]),"")</f>
        <v/>
      </c>
      <c r="J3361" s="7" t="str">
        <f>IF(Table1[[#This Row],[Is Data Valid]]=TRUE,_xlfn.NORM.S.DIST(Table1[[#This Row],[Birthweight Z-Score]],TRUE)*100,"")</f>
        <v/>
      </c>
      <c r="K3361" s="7" t="str">
        <f>IF(Table1[[#This Row],[Is Data Valid]]=TRUE,_xlfn.NORM.S.DIST(Table1[[#This Row],[Birthweight Z-Score (BW-10%)]],TRUE)*100,"")</f>
        <v/>
      </c>
      <c r="L3361" s="7" t="str">
        <f>IF(Table1[[#This Row],[Is Data Valid]]=TRUE,_xlfn.NORM.S.DIST(Table1[[#This Row],[Birthweight Z-Score (BW+10%)]],TRUE)*100,"")</f>
        <v/>
      </c>
    </row>
    <row r="3362" spans="1:12" x14ac:dyDescent="0.35">
      <c r="A3362" s="3"/>
      <c r="B3362" s="2"/>
      <c r="C3362" s="2"/>
      <c r="D3362" s="2" t="b">
        <f>IF(AND(NOT(ISBLANK(Table1[[#This Row],[Fetal Sex (Male, Female or Unknown)]])),ISNUMBER(Table1[[#This Row],[Birthweight (grams)]]),ISNUMBER(Table1[[#This Row],[Gestation (days)]])),TRUE,FALSE)</f>
        <v>0</v>
      </c>
      <c r="E3362" s="2" t="str">
        <f>IF(Table1[[#This Row],[Is Data Valid]]=TRUE,IF(Table1[[#This Row],[Fetal Sex (Male, Female or Unknown)]]="Male",Backend!$C$6,IF(Table1[[#This Row],[Fetal Sex (Male, Female or Unknown)]]="Female",Backend!$C$7,IF(Table1[[#This Row],[Fetal Sex (Male, Female or Unknown)]]="Unknown",Backend!$C$8,"Error"))),"")</f>
        <v/>
      </c>
      <c r="F3362" s="8" t="str">
        <f>IF(Table1[[#This Row],[Is Data Valid]]=TRUE,EXP(0.578+0.332*((Table1[[#This Row],[Gestation (days)]]+0.5)/7)-0.00354*((Table1[[#This Row],[Gestation (days)]]+0.5)/7)^2)*Table1[[#This Row],[BW40_3705]],"")</f>
        <v/>
      </c>
      <c r="G3362" s="2" t="str">
        <f>IF(Table1[[#This Row],[Is Data Valid]]=TRUE,((Table1[[#This Row],[Birthweight (grams)]]/Table1[[#This Row],[BW_GA]])-1)/(Backend!$B$4/100*Table1[[#This Row],[BW40_3705]]),"")</f>
        <v/>
      </c>
      <c r="H3362" s="7" t="str">
        <f>IF(Table1[[#This Row],[Is Data Valid]]=TRUE,((Table1[[#This Row],[Birthweight (grams)]]*0.9/Table1[[#This Row],[BW_GA]])-1)/(Backend!$B$4/100*Table1[[#This Row],[BW40_3705]]),"")</f>
        <v/>
      </c>
      <c r="I3362" s="7" t="str">
        <f>IF(Table1[[#This Row],[Is Data Valid]]=TRUE,((Table1[[#This Row],[Birthweight (grams)]]*1.1/Table1[[#This Row],[BW_GA]])-1)/(Backend!$B$4/100*Table1[[#This Row],[BW40_3705]]),"")</f>
        <v/>
      </c>
      <c r="J3362" s="7" t="str">
        <f>IF(Table1[[#This Row],[Is Data Valid]]=TRUE,_xlfn.NORM.S.DIST(Table1[[#This Row],[Birthweight Z-Score]],TRUE)*100,"")</f>
        <v/>
      </c>
      <c r="K3362" s="7" t="str">
        <f>IF(Table1[[#This Row],[Is Data Valid]]=TRUE,_xlfn.NORM.S.DIST(Table1[[#This Row],[Birthweight Z-Score (BW-10%)]],TRUE)*100,"")</f>
        <v/>
      </c>
      <c r="L3362" s="7" t="str">
        <f>IF(Table1[[#This Row],[Is Data Valid]]=TRUE,_xlfn.NORM.S.DIST(Table1[[#This Row],[Birthweight Z-Score (BW+10%)]],TRUE)*100,"")</f>
        <v/>
      </c>
    </row>
    <row r="3363" spans="1:12" x14ac:dyDescent="0.35">
      <c r="A3363" s="3"/>
      <c r="B3363" s="2"/>
      <c r="C3363" s="2"/>
      <c r="D3363" s="2" t="b">
        <f>IF(AND(NOT(ISBLANK(Table1[[#This Row],[Fetal Sex (Male, Female or Unknown)]])),ISNUMBER(Table1[[#This Row],[Birthweight (grams)]]),ISNUMBER(Table1[[#This Row],[Gestation (days)]])),TRUE,FALSE)</f>
        <v>0</v>
      </c>
      <c r="E3363" s="2" t="str">
        <f>IF(Table1[[#This Row],[Is Data Valid]]=TRUE,IF(Table1[[#This Row],[Fetal Sex (Male, Female or Unknown)]]="Male",Backend!$C$6,IF(Table1[[#This Row],[Fetal Sex (Male, Female or Unknown)]]="Female",Backend!$C$7,IF(Table1[[#This Row],[Fetal Sex (Male, Female or Unknown)]]="Unknown",Backend!$C$8,"Error"))),"")</f>
        <v/>
      </c>
      <c r="F3363" s="8" t="str">
        <f>IF(Table1[[#This Row],[Is Data Valid]]=TRUE,EXP(0.578+0.332*((Table1[[#This Row],[Gestation (days)]]+0.5)/7)-0.00354*((Table1[[#This Row],[Gestation (days)]]+0.5)/7)^2)*Table1[[#This Row],[BW40_3705]],"")</f>
        <v/>
      </c>
      <c r="G3363" s="2" t="str">
        <f>IF(Table1[[#This Row],[Is Data Valid]]=TRUE,((Table1[[#This Row],[Birthweight (grams)]]/Table1[[#This Row],[BW_GA]])-1)/(Backend!$B$4/100*Table1[[#This Row],[BW40_3705]]),"")</f>
        <v/>
      </c>
      <c r="H3363" s="7" t="str">
        <f>IF(Table1[[#This Row],[Is Data Valid]]=TRUE,((Table1[[#This Row],[Birthweight (grams)]]*0.9/Table1[[#This Row],[BW_GA]])-1)/(Backend!$B$4/100*Table1[[#This Row],[BW40_3705]]),"")</f>
        <v/>
      </c>
      <c r="I3363" s="7" t="str">
        <f>IF(Table1[[#This Row],[Is Data Valid]]=TRUE,((Table1[[#This Row],[Birthweight (grams)]]*1.1/Table1[[#This Row],[BW_GA]])-1)/(Backend!$B$4/100*Table1[[#This Row],[BW40_3705]]),"")</f>
        <v/>
      </c>
      <c r="J3363" s="7" t="str">
        <f>IF(Table1[[#This Row],[Is Data Valid]]=TRUE,_xlfn.NORM.S.DIST(Table1[[#This Row],[Birthweight Z-Score]],TRUE)*100,"")</f>
        <v/>
      </c>
      <c r="K3363" s="7" t="str">
        <f>IF(Table1[[#This Row],[Is Data Valid]]=TRUE,_xlfn.NORM.S.DIST(Table1[[#This Row],[Birthweight Z-Score (BW-10%)]],TRUE)*100,"")</f>
        <v/>
      </c>
      <c r="L3363" s="7" t="str">
        <f>IF(Table1[[#This Row],[Is Data Valid]]=TRUE,_xlfn.NORM.S.DIST(Table1[[#This Row],[Birthweight Z-Score (BW+10%)]],TRUE)*100,"")</f>
        <v/>
      </c>
    </row>
    <row r="3364" spans="1:12" x14ac:dyDescent="0.35">
      <c r="A3364" s="3"/>
      <c r="B3364" s="2"/>
      <c r="C3364" s="2"/>
      <c r="D3364" s="2" t="b">
        <f>IF(AND(NOT(ISBLANK(Table1[[#This Row],[Fetal Sex (Male, Female or Unknown)]])),ISNUMBER(Table1[[#This Row],[Birthweight (grams)]]),ISNUMBER(Table1[[#This Row],[Gestation (days)]])),TRUE,FALSE)</f>
        <v>0</v>
      </c>
      <c r="E3364" s="2" t="str">
        <f>IF(Table1[[#This Row],[Is Data Valid]]=TRUE,IF(Table1[[#This Row],[Fetal Sex (Male, Female or Unknown)]]="Male",Backend!$C$6,IF(Table1[[#This Row],[Fetal Sex (Male, Female or Unknown)]]="Female",Backend!$C$7,IF(Table1[[#This Row],[Fetal Sex (Male, Female or Unknown)]]="Unknown",Backend!$C$8,"Error"))),"")</f>
        <v/>
      </c>
      <c r="F3364" s="8" t="str">
        <f>IF(Table1[[#This Row],[Is Data Valid]]=TRUE,EXP(0.578+0.332*((Table1[[#This Row],[Gestation (days)]]+0.5)/7)-0.00354*((Table1[[#This Row],[Gestation (days)]]+0.5)/7)^2)*Table1[[#This Row],[BW40_3705]],"")</f>
        <v/>
      </c>
      <c r="G3364" s="2" t="str">
        <f>IF(Table1[[#This Row],[Is Data Valid]]=TRUE,((Table1[[#This Row],[Birthweight (grams)]]/Table1[[#This Row],[BW_GA]])-1)/(Backend!$B$4/100*Table1[[#This Row],[BW40_3705]]),"")</f>
        <v/>
      </c>
      <c r="H3364" s="7" t="str">
        <f>IF(Table1[[#This Row],[Is Data Valid]]=TRUE,((Table1[[#This Row],[Birthweight (grams)]]*0.9/Table1[[#This Row],[BW_GA]])-1)/(Backend!$B$4/100*Table1[[#This Row],[BW40_3705]]),"")</f>
        <v/>
      </c>
      <c r="I3364" s="7" t="str">
        <f>IF(Table1[[#This Row],[Is Data Valid]]=TRUE,((Table1[[#This Row],[Birthweight (grams)]]*1.1/Table1[[#This Row],[BW_GA]])-1)/(Backend!$B$4/100*Table1[[#This Row],[BW40_3705]]),"")</f>
        <v/>
      </c>
      <c r="J3364" s="7" t="str">
        <f>IF(Table1[[#This Row],[Is Data Valid]]=TRUE,_xlfn.NORM.S.DIST(Table1[[#This Row],[Birthweight Z-Score]],TRUE)*100,"")</f>
        <v/>
      </c>
      <c r="K3364" s="7" t="str">
        <f>IF(Table1[[#This Row],[Is Data Valid]]=TRUE,_xlfn.NORM.S.DIST(Table1[[#This Row],[Birthweight Z-Score (BW-10%)]],TRUE)*100,"")</f>
        <v/>
      </c>
      <c r="L3364" s="7" t="str">
        <f>IF(Table1[[#This Row],[Is Data Valid]]=TRUE,_xlfn.NORM.S.DIST(Table1[[#This Row],[Birthweight Z-Score (BW+10%)]],TRUE)*100,"")</f>
        <v/>
      </c>
    </row>
    <row r="3365" spans="1:12" x14ac:dyDescent="0.35">
      <c r="A3365" s="3"/>
      <c r="B3365" s="2"/>
      <c r="C3365" s="2"/>
      <c r="D3365" s="2" t="b">
        <f>IF(AND(NOT(ISBLANK(Table1[[#This Row],[Fetal Sex (Male, Female or Unknown)]])),ISNUMBER(Table1[[#This Row],[Birthweight (grams)]]),ISNUMBER(Table1[[#This Row],[Gestation (days)]])),TRUE,FALSE)</f>
        <v>0</v>
      </c>
      <c r="E3365" s="2" t="str">
        <f>IF(Table1[[#This Row],[Is Data Valid]]=TRUE,IF(Table1[[#This Row],[Fetal Sex (Male, Female or Unknown)]]="Male",Backend!$C$6,IF(Table1[[#This Row],[Fetal Sex (Male, Female or Unknown)]]="Female",Backend!$C$7,IF(Table1[[#This Row],[Fetal Sex (Male, Female or Unknown)]]="Unknown",Backend!$C$8,"Error"))),"")</f>
        <v/>
      </c>
      <c r="F3365" s="8" t="str">
        <f>IF(Table1[[#This Row],[Is Data Valid]]=TRUE,EXP(0.578+0.332*((Table1[[#This Row],[Gestation (days)]]+0.5)/7)-0.00354*((Table1[[#This Row],[Gestation (days)]]+0.5)/7)^2)*Table1[[#This Row],[BW40_3705]],"")</f>
        <v/>
      </c>
      <c r="G3365" s="2" t="str">
        <f>IF(Table1[[#This Row],[Is Data Valid]]=TRUE,((Table1[[#This Row],[Birthweight (grams)]]/Table1[[#This Row],[BW_GA]])-1)/(Backend!$B$4/100*Table1[[#This Row],[BW40_3705]]),"")</f>
        <v/>
      </c>
      <c r="H3365" s="7" t="str">
        <f>IF(Table1[[#This Row],[Is Data Valid]]=TRUE,((Table1[[#This Row],[Birthweight (grams)]]*0.9/Table1[[#This Row],[BW_GA]])-1)/(Backend!$B$4/100*Table1[[#This Row],[BW40_3705]]),"")</f>
        <v/>
      </c>
      <c r="I3365" s="7" t="str">
        <f>IF(Table1[[#This Row],[Is Data Valid]]=TRUE,((Table1[[#This Row],[Birthweight (grams)]]*1.1/Table1[[#This Row],[BW_GA]])-1)/(Backend!$B$4/100*Table1[[#This Row],[BW40_3705]]),"")</f>
        <v/>
      </c>
      <c r="J3365" s="7" t="str">
        <f>IF(Table1[[#This Row],[Is Data Valid]]=TRUE,_xlfn.NORM.S.DIST(Table1[[#This Row],[Birthweight Z-Score]],TRUE)*100,"")</f>
        <v/>
      </c>
      <c r="K3365" s="7" t="str">
        <f>IF(Table1[[#This Row],[Is Data Valid]]=TRUE,_xlfn.NORM.S.DIST(Table1[[#This Row],[Birthweight Z-Score (BW-10%)]],TRUE)*100,"")</f>
        <v/>
      </c>
      <c r="L3365" s="7" t="str">
        <f>IF(Table1[[#This Row],[Is Data Valid]]=TRUE,_xlfn.NORM.S.DIST(Table1[[#This Row],[Birthweight Z-Score (BW+10%)]],TRUE)*100,"")</f>
        <v/>
      </c>
    </row>
    <row r="3366" spans="1:12" x14ac:dyDescent="0.35">
      <c r="A3366" s="3"/>
      <c r="B3366" s="2"/>
      <c r="C3366" s="2"/>
      <c r="D3366" s="2" t="b">
        <f>IF(AND(NOT(ISBLANK(Table1[[#This Row],[Fetal Sex (Male, Female or Unknown)]])),ISNUMBER(Table1[[#This Row],[Birthweight (grams)]]),ISNUMBER(Table1[[#This Row],[Gestation (days)]])),TRUE,FALSE)</f>
        <v>0</v>
      </c>
      <c r="E3366" s="2" t="str">
        <f>IF(Table1[[#This Row],[Is Data Valid]]=TRUE,IF(Table1[[#This Row],[Fetal Sex (Male, Female or Unknown)]]="Male",Backend!$C$6,IF(Table1[[#This Row],[Fetal Sex (Male, Female or Unknown)]]="Female",Backend!$C$7,IF(Table1[[#This Row],[Fetal Sex (Male, Female or Unknown)]]="Unknown",Backend!$C$8,"Error"))),"")</f>
        <v/>
      </c>
      <c r="F3366" s="8" t="str">
        <f>IF(Table1[[#This Row],[Is Data Valid]]=TRUE,EXP(0.578+0.332*((Table1[[#This Row],[Gestation (days)]]+0.5)/7)-0.00354*((Table1[[#This Row],[Gestation (days)]]+0.5)/7)^2)*Table1[[#This Row],[BW40_3705]],"")</f>
        <v/>
      </c>
      <c r="G3366" s="2" t="str">
        <f>IF(Table1[[#This Row],[Is Data Valid]]=TRUE,((Table1[[#This Row],[Birthweight (grams)]]/Table1[[#This Row],[BW_GA]])-1)/(Backend!$B$4/100*Table1[[#This Row],[BW40_3705]]),"")</f>
        <v/>
      </c>
      <c r="H3366" s="7" t="str">
        <f>IF(Table1[[#This Row],[Is Data Valid]]=TRUE,((Table1[[#This Row],[Birthweight (grams)]]*0.9/Table1[[#This Row],[BW_GA]])-1)/(Backend!$B$4/100*Table1[[#This Row],[BW40_3705]]),"")</f>
        <v/>
      </c>
      <c r="I3366" s="7" t="str">
        <f>IF(Table1[[#This Row],[Is Data Valid]]=TRUE,((Table1[[#This Row],[Birthweight (grams)]]*1.1/Table1[[#This Row],[BW_GA]])-1)/(Backend!$B$4/100*Table1[[#This Row],[BW40_3705]]),"")</f>
        <v/>
      </c>
      <c r="J3366" s="7" t="str">
        <f>IF(Table1[[#This Row],[Is Data Valid]]=TRUE,_xlfn.NORM.S.DIST(Table1[[#This Row],[Birthweight Z-Score]],TRUE)*100,"")</f>
        <v/>
      </c>
      <c r="K3366" s="7" t="str">
        <f>IF(Table1[[#This Row],[Is Data Valid]]=TRUE,_xlfn.NORM.S.DIST(Table1[[#This Row],[Birthweight Z-Score (BW-10%)]],TRUE)*100,"")</f>
        <v/>
      </c>
      <c r="L3366" s="7" t="str">
        <f>IF(Table1[[#This Row],[Is Data Valid]]=TRUE,_xlfn.NORM.S.DIST(Table1[[#This Row],[Birthweight Z-Score (BW+10%)]],TRUE)*100,"")</f>
        <v/>
      </c>
    </row>
    <row r="3367" spans="1:12" x14ac:dyDescent="0.35">
      <c r="A3367" s="3"/>
      <c r="B3367" s="2"/>
      <c r="C3367" s="2"/>
      <c r="D3367" s="2" t="b">
        <f>IF(AND(NOT(ISBLANK(Table1[[#This Row],[Fetal Sex (Male, Female or Unknown)]])),ISNUMBER(Table1[[#This Row],[Birthweight (grams)]]),ISNUMBER(Table1[[#This Row],[Gestation (days)]])),TRUE,FALSE)</f>
        <v>0</v>
      </c>
      <c r="E3367" s="2" t="str">
        <f>IF(Table1[[#This Row],[Is Data Valid]]=TRUE,IF(Table1[[#This Row],[Fetal Sex (Male, Female or Unknown)]]="Male",Backend!$C$6,IF(Table1[[#This Row],[Fetal Sex (Male, Female or Unknown)]]="Female",Backend!$C$7,IF(Table1[[#This Row],[Fetal Sex (Male, Female or Unknown)]]="Unknown",Backend!$C$8,"Error"))),"")</f>
        <v/>
      </c>
      <c r="F3367" s="8" t="str">
        <f>IF(Table1[[#This Row],[Is Data Valid]]=TRUE,EXP(0.578+0.332*((Table1[[#This Row],[Gestation (days)]]+0.5)/7)-0.00354*((Table1[[#This Row],[Gestation (days)]]+0.5)/7)^2)*Table1[[#This Row],[BW40_3705]],"")</f>
        <v/>
      </c>
      <c r="G3367" s="2" t="str">
        <f>IF(Table1[[#This Row],[Is Data Valid]]=TRUE,((Table1[[#This Row],[Birthweight (grams)]]/Table1[[#This Row],[BW_GA]])-1)/(Backend!$B$4/100*Table1[[#This Row],[BW40_3705]]),"")</f>
        <v/>
      </c>
      <c r="H3367" s="7" t="str">
        <f>IF(Table1[[#This Row],[Is Data Valid]]=TRUE,((Table1[[#This Row],[Birthweight (grams)]]*0.9/Table1[[#This Row],[BW_GA]])-1)/(Backend!$B$4/100*Table1[[#This Row],[BW40_3705]]),"")</f>
        <v/>
      </c>
      <c r="I3367" s="7" t="str">
        <f>IF(Table1[[#This Row],[Is Data Valid]]=TRUE,((Table1[[#This Row],[Birthweight (grams)]]*1.1/Table1[[#This Row],[BW_GA]])-1)/(Backend!$B$4/100*Table1[[#This Row],[BW40_3705]]),"")</f>
        <v/>
      </c>
      <c r="J3367" s="7" t="str">
        <f>IF(Table1[[#This Row],[Is Data Valid]]=TRUE,_xlfn.NORM.S.DIST(Table1[[#This Row],[Birthweight Z-Score]],TRUE)*100,"")</f>
        <v/>
      </c>
      <c r="K3367" s="7" t="str">
        <f>IF(Table1[[#This Row],[Is Data Valid]]=TRUE,_xlfn.NORM.S.DIST(Table1[[#This Row],[Birthweight Z-Score (BW-10%)]],TRUE)*100,"")</f>
        <v/>
      </c>
      <c r="L3367" s="7" t="str">
        <f>IF(Table1[[#This Row],[Is Data Valid]]=TRUE,_xlfn.NORM.S.DIST(Table1[[#This Row],[Birthweight Z-Score (BW+10%)]],TRUE)*100,"")</f>
        <v/>
      </c>
    </row>
    <row r="3368" spans="1:12" x14ac:dyDescent="0.35">
      <c r="A3368" s="3"/>
      <c r="B3368" s="2"/>
      <c r="C3368" s="2"/>
      <c r="D3368" s="2" t="b">
        <f>IF(AND(NOT(ISBLANK(Table1[[#This Row],[Fetal Sex (Male, Female or Unknown)]])),ISNUMBER(Table1[[#This Row],[Birthweight (grams)]]),ISNUMBER(Table1[[#This Row],[Gestation (days)]])),TRUE,FALSE)</f>
        <v>0</v>
      </c>
      <c r="E3368" s="2" t="str">
        <f>IF(Table1[[#This Row],[Is Data Valid]]=TRUE,IF(Table1[[#This Row],[Fetal Sex (Male, Female or Unknown)]]="Male",Backend!$C$6,IF(Table1[[#This Row],[Fetal Sex (Male, Female or Unknown)]]="Female",Backend!$C$7,IF(Table1[[#This Row],[Fetal Sex (Male, Female or Unknown)]]="Unknown",Backend!$C$8,"Error"))),"")</f>
        <v/>
      </c>
      <c r="F3368" s="8" t="str">
        <f>IF(Table1[[#This Row],[Is Data Valid]]=TRUE,EXP(0.578+0.332*((Table1[[#This Row],[Gestation (days)]]+0.5)/7)-0.00354*((Table1[[#This Row],[Gestation (days)]]+0.5)/7)^2)*Table1[[#This Row],[BW40_3705]],"")</f>
        <v/>
      </c>
      <c r="G3368" s="2" t="str">
        <f>IF(Table1[[#This Row],[Is Data Valid]]=TRUE,((Table1[[#This Row],[Birthweight (grams)]]/Table1[[#This Row],[BW_GA]])-1)/(Backend!$B$4/100*Table1[[#This Row],[BW40_3705]]),"")</f>
        <v/>
      </c>
      <c r="H3368" s="7" t="str">
        <f>IF(Table1[[#This Row],[Is Data Valid]]=TRUE,((Table1[[#This Row],[Birthweight (grams)]]*0.9/Table1[[#This Row],[BW_GA]])-1)/(Backend!$B$4/100*Table1[[#This Row],[BW40_3705]]),"")</f>
        <v/>
      </c>
      <c r="I3368" s="7" t="str">
        <f>IF(Table1[[#This Row],[Is Data Valid]]=TRUE,((Table1[[#This Row],[Birthweight (grams)]]*1.1/Table1[[#This Row],[BW_GA]])-1)/(Backend!$B$4/100*Table1[[#This Row],[BW40_3705]]),"")</f>
        <v/>
      </c>
      <c r="J3368" s="7" t="str">
        <f>IF(Table1[[#This Row],[Is Data Valid]]=TRUE,_xlfn.NORM.S.DIST(Table1[[#This Row],[Birthweight Z-Score]],TRUE)*100,"")</f>
        <v/>
      </c>
      <c r="K3368" s="7" t="str">
        <f>IF(Table1[[#This Row],[Is Data Valid]]=TRUE,_xlfn.NORM.S.DIST(Table1[[#This Row],[Birthweight Z-Score (BW-10%)]],TRUE)*100,"")</f>
        <v/>
      </c>
      <c r="L3368" s="7" t="str">
        <f>IF(Table1[[#This Row],[Is Data Valid]]=TRUE,_xlfn.NORM.S.DIST(Table1[[#This Row],[Birthweight Z-Score (BW+10%)]],TRUE)*100,"")</f>
        <v/>
      </c>
    </row>
    <row r="3369" spans="1:12" x14ac:dyDescent="0.35">
      <c r="A3369" s="3"/>
      <c r="B3369" s="2"/>
      <c r="C3369" s="2"/>
      <c r="D3369" s="2" t="b">
        <f>IF(AND(NOT(ISBLANK(Table1[[#This Row],[Fetal Sex (Male, Female or Unknown)]])),ISNUMBER(Table1[[#This Row],[Birthweight (grams)]]),ISNUMBER(Table1[[#This Row],[Gestation (days)]])),TRUE,FALSE)</f>
        <v>0</v>
      </c>
      <c r="E3369" s="2" t="str">
        <f>IF(Table1[[#This Row],[Is Data Valid]]=TRUE,IF(Table1[[#This Row],[Fetal Sex (Male, Female or Unknown)]]="Male",Backend!$C$6,IF(Table1[[#This Row],[Fetal Sex (Male, Female or Unknown)]]="Female",Backend!$C$7,IF(Table1[[#This Row],[Fetal Sex (Male, Female or Unknown)]]="Unknown",Backend!$C$8,"Error"))),"")</f>
        <v/>
      </c>
      <c r="F3369" s="8" t="str">
        <f>IF(Table1[[#This Row],[Is Data Valid]]=TRUE,EXP(0.578+0.332*((Table1[[#This Row],[Gestation (days)]]+0.5)/7)-0.00354*((Table1[[#This Row],[Gestation (days)]]+0.5)/7)^2)*Table1[[#This Row],[BW40_3705]],"")</f>
        <v/>
      </c>
      <c r="G3369" s="2" t="str">
        <f>IF(Table1[[#This Row],[Is Data Valid]]=TRUE,((Table1[[#This Row],[Birthweight (grams)]]/Table1[[#This Row],[BW_GA]])-1)/(Backend!$B$4/100*Table1[[#This Row],[BW40_3705]]),"")</f>
        <v/>
      </c>
      <c r="H3369" s="7" t="str">
        <f>IF(Table1[[#This Row],[Is Data Valid]]=TRUE,((Table1[[#This Row],[Birthweight (grams)]]*0.9/Table1[[#This Row],[BW_GA]])-1)/(Backend!$B$4/100*Table1[[#This Row],[BW40_3705]]),"")</f>
        <v/>
      </c>
      <c r="I3369" s="7" t="str">
        <f>IF(Table1[[#This Row],[Is Data Valid]]=TRUE,((Table1[[#This Row],[Birthweight (grams)]]*1.1/Table1[[#This Row],[BW_GA]])-1)/(Backend!$B$4/100*Table1[[#This Row],[BW40_3705]]),"")</f>
        <v/>
      </c>
      <c r="J3369" s="7" t="str">
        <f>IF(Table1[[#This Row],[Is Data Valid]]=TRUE,_xlfn.NORM.S.DIST(Table1[[#This Row],[Birthweight Z-Score]],TRUE)*100,"")</f>
        <v/>
      </c>
      <c r="K3369" s="7" t="str">
        <f>IF(Table1[[#This Row],[Is Data Valid]]=TRUE,_xlfn.NORM.S.DIST(Table1[[#This Row],[Birthweight Z-Score (BW-10%)]],TRUE)*100,"")</f>
        <v/>
      </c>
      <c r="L3369" s="7" t="str">
        <f>IF(Table1[[#This Row],[Is Data Valid]]=TRUE,_xlfn.NORM.S.DIST(Table1[[#This Row],[Birthweight Z-Score (BW+10%)]],TRUE)*100,"")</f>
        <v/>
      </c>
    </row>
    <row r="3370" spans="1:12" x14ac:dyDescent="0.35">
      <c r="A3370" s="3"/>
      <c r="B3370" s="2"/>
      <c r="C3370" s="2"/>
      <c r="D3370" s="2" t="b">
        <f>IF(AND(NOT(ISBLANK(Table1[[#This Row],[Fetal Sex (Male, Female or Unknown)]])),ISNUMBER(Table1[[#This Row],[Birthweight (grams)]]),ISNUMBER(Table1[[#This Row],[Gestation (days)]])),TRUE,FALSE)</f>
        <v>0</v>
      </c>
      <c r="E3370" s="2" t="str">
        <f>IF(Table1[[#This Row],[Is Data Valid]]=TRUE,IF(Table1[[#This Row],[Fetal Sex (Male, Female or Unknown)]]="Male",Backend!$C$6,IF(Table1[[#This Row],[Fetal Sex (Male, Female or Unknown)]]="Female",Backend!$C$7,IF(Table1[[#This Row],[Fetal Sex (Male, Female or Unknown)]]="Unknown",Backend!$C$8,"Error"))),"")</f>
        <v/>
      </c>
      <c r="F3370" s="8" t="str">
        <f>IF(Table1[[#This Row],[Is Data Valid]]=TRUE,EXP(0.578+0.332*((Table1[[#This Row],[Gestation (days)]]+0.5)/7)-0.00354*((Table1[[#This Row],[Gestation (days)]]+0.5)/7)^2)*Table1[[#This Row],[BW40_3705]],"")</f>
        <v/>
      </c>
      <c r="G3370" s="2" t="str">
        <f>IF(Table1[[#This Row],[Is Data Valid]]=TRUE,((Table1[[#This Row],[Birthweight (grams)]]/Table1[[#This Row],[BW_GA]])-1)/(Backend!$B$4/100*Table1[[#This Row],[BW40_3705]]),"")</f>
        <v/>
      </c>
      <c r="H3370" s="7" t="str">
        <f>IF(Table1[[#This Row],[Is Data Valid]]=TRUE,((Table1[[#This Row],[Birthweight (grams)]]*0.9/Table1[[#This Row],[BW_GA]])-1)/(Backend!$B$4/100*Table1[[#This Row],[BW40_3705]]),"")</f>
        <v/>
      </c>
      <c r="I3370" s="7" t="str">
        <f>IF(Table1[[#This Row],[Is Data Valid]]=TRUE,((Table1[[#This Row],[Birthweight (grams)]]*1.1/Table1[[#This Row],[BW_GA]])-1)/(Backend!$B$4/100*Table1[[#This Row],[BW40_3705]]),"")</f>
        <v/>
      </c>
      <c r="J3370" s="7" t="str">
        <f>IF(Table1[[#This Row],[Is Data Valid]]=TRUE,_xlfn.NORM.S.DIST(Table1[[#This Row],[Birthweight Z-Score]],TRUE)*100,"")</f>
        <v/>
      </c>
      <c r="K3370" s="7" t="str">
        <f>IF(Table1[[#This Row],[Is Data Valid]]=TRUE,_xlfn.NORM.S.DIST(Table1[[#This Row],[Birthweight Z-Score (BW-10%)]],TRUE)*100,"")</f>
        <v/>
      </c>
      <c r="L3370" s="7" t="str">
        <f>IF(Table1[[#This Row],[Is Data Valid]]=TRUE,_xlfn.NORM.S.DIST(Table1[[#This Row],[Birthweight Z-Score (BW+10%)]],TRUE)*100,"")</f>
        <v/>
      </c>
    </row>
    <row r="3371" spans="1:12" x14ac:dyDescent="0.35">
      <c r="A3371" s="3"/>
      <c r="B3371" s="2"/>
      <c r="C3371" s="2"/>
      <c r="D3371" s="2" t="b">
        <f>IF(AND(NOT(ISBLANK(Table1[[#This Row],[Fetal Sex (Male, Female or Unknown)]])),ISNUMBER(Table1[[#This Row],[Birthweight (grams)]]),ISNUMBER(Table1[[#This Row],[Gestation (days)]])),TRUE,FALSE)</f>
        <v>0</v>
      </c>
      <c r="E3371" s="2" t="str">
        <f>IF(Table1[[#This Row],[Is Data Valid]]=TRUE,IF(Table1[[#This Row],[Fetal Sex (Male, Female or Unknown)]]="Male",Backend!$C$6,IF(Table1[[#This Row],[Fetal Sex (Male, Female or Unknown)]]="Female",Backend!$C$7,IF(Table1[[#This Row],[Fetal Sex (Male, Female or Unknown)]]="Unknown",Backend!$C$8,"Error"))),"")</f>
        <v/>
      </c>
      <c r="F3371" s="8" t="str">
        <f>IF(Table1[[#This Row],[Is Data Valid]]=TRUE,EXP(0.578+0.332*((Table1[[#This Row],[Gestation (days)]]+0.5)/7)-0.00354*((Table1[[#This Row],[Gestation (days)]]+0.5)/7)^2)*Table1[[#This Row],[BW40_3705]],"")</f>
        <v/>
      </c>
      <c r="G3371" s="2" t="str">
        <f>IF(Table1[[#This Row],[Is Data Valid]]=TRUE,((Table1[[#This Row],[Birthweight (grams)]]/Table1[[#This Row],[BW_GA]])-1)/(Backend!$B$4/100*Table1[[#This Row],[BW40_3705]]),"")</f>
        <v/>
      </c>
      <c r="H3371" s="7" t="str">
        <f>IF(Table1[[#This Row],[Is Data Valid]]=TRUE,((Table1[[#This Row],[Birthweight (grams)]]*0.9/Table1[[#This Row],[BW_GA]])-1)/(Backend!$B$4/100*Table1[[#This Row],[BW40_3705]]),"")</f>
        <v/>
      </c>
      <c r="I3371" s="7" t="str">
        <f>IF(Table1[[#This Row],[Is Data Valid]]=TRUE,((Table1[[#This Row],[Birthweight (grams)]]*1.1/Table1[[#This Row],[BW_GA]])-1)/(Backend!$B$4/100*Table1[[#This Row],[BW40_3705]]),"")</f>
        <v/>
      </c>
      <c r="J3371" s="7" t="str">
        <f>IF(Table1[[#This Row],[Is Data Valid]]=TRUE,_xlfn.NORM.S.DIST(Table1[[#This Row],[Birthweight Z-Score]],TRUE)*100,"")</f>
        <v/>
      </c>
      <c r="K3371" s="7" t="str">
        <f>IF(Table1[[#This Row],[Is Data Valid]]=TRUE,_xlfn.NORM.S.DIST(Table1[[#This Row],[Birthweight Z-Score (BW-10%)]],TRUE)*100,"")</f>
        <v/>
      </c>
      <c r="L3371" s="7" t="str">
        <f>IF(Table1[[#This Row],[Is Data Valid]]=TRUE,_xlfn.NORM.S.DIST(Table1[[#This Row],[Birthweight Z-Score (BW+10%)]],TRUE)*100,"")</f>
        <v/>
      </c>
    </row>
    <row r="3372" spans="1:12" x14ac:dyDescent="0.35">
      <c r="A3372" s="3"/>
      <c r="B3372" s="2"/>
      <c r="C3372" s="2"/>
      <c r="D3372" s="2" t="b">
        <f>IF(AND(NOT(ISBLANK(Table1[[#This Row],[Fetal Sex (Male, Female or Unknown)]])),ISNUMBER(Table1[[#This Row],[Birthweight (grams)]]),ISNUMBER(Table1[[#This Row],[Gestation (days)]])),TRUE,FALSE)</f>
        <v>0</v>
      </c>
      <c r="E3372" s="2" t="str">
        <f>IF(Table1[[#This Row],[Is Data Valid]]=TRUE,IF(Table1[[#This Row],[Fetal Sex (Male, Female or Unknown)]]="Male",Backend!$C$6,IF(Table1[[#This Row],[Fetal Sex (Male, Female or Unknown)]]="Female",Backend!$C$7,IF(Table1[[#This Row],[Fetal Sex (Male, Female or Unknown)]]="Unknown",Backend!$C$8,"Error"))),"")</f>
        <v/>
      </c>
      <c r="F3372" s="8" t="str">
        <f>IF(Table1[[#This Row],[Is Data Valid]]=TRUE,EXP(0.578+0.332*((Table1[[#This Row],[Gestation (days)]]+0.5)/7)-0.00354*((Table1[[#This Row],[Gestation (days)]]+0.5)/7)^2)*Table1[[#This Row],[BW40_3705]],"")</f>
        <v/>
      </c>
      <c r="G3372" s="2" t="str">
        <f>IF(Table1[[#This Row],[Is Data Valid]]=TRUE,((Table1[[#This Row],[Birthweight (grams)]]/Table1[[#This Row],[BW_GA]])-1)/(Backend!$B$4/100*Table1[[#This Row],[BW40_3705]]),"")</f>
        <v/>
      </c>
      <c r="H3372" s="7" t="str">
        <f>IF(Table1[[#This Row],[Is Data Valid]]=TRUE,((Table1[[#This Row],[Birthweight (grams)]]*0.9/Table1[[#This Row],[BW_GA]])-1)/(Backend!$B$4/100*Table1[[#This Row],[BW40_3705]]),"")</f>
        <v/>
      </c>
      <c r="I3372" s="7" t="str">
        <f>IF(Table1[[#This Row],[Is Data Valid]]=TRUE,((Table1[[#This Row],[Birthweight (grams)]]*1.1/Table1[[#This Row],[BW_GA]])-1)/(Backend!$B$4/100*Table1[[#This Row],[BW40_3705]]),"")</f>
        <v/>
      </c>
      <c r="J3372" s="7" t="str">
        <f>IF(Table1[[#This Row],[Is Data Valid]]=TRUE,_xlfn.NORM.S.DIST(Table1[[#This Row],[Birthweight Z-Score]],TRUE)*100,"")</f>
        <v/>
      </c>
      <c r="K3372" s="7" t="str">
        <f>IF(Table1[[#This Row],[Is Data Valid]]=TRUE,_xlfn.NORM.S.DIST(Table1[[#This Row],[Birthweight Z-Score (BW-10%)]],TRUE)*100,"")</f>
        <v/>
      </c>
      <c r="L3372" s="7" t="str">
        <f>IF(Table1[[#This Row],[Is Data Valid]]=TRUE,_xlfn.NORM.S.DIST(Table1[[#This Row],[Birthweight Z-Score (BW+10%)]],TRUE)*100,"")</f>
        <v/>
      </c>
    </row>
    <row r="3373" spans="1:12" x14ac:dyDescent="0.35">
      <c r="A3373" s="3"/>
      <c r="B3373" s="2"/>
      <c r="C3373" s="2"/>
      <c r="D3373" s="2" t="b">
        <f>IF(AND(NOT(ISBLANK(Table1[[#This Row],[Fetal Sex (Male, Female or Unknown)]])),ISNUMBER(Table1[[#This Row],[Birthweight (grams)]]),ISNUMBER(Table1[[#This Row],[Gestation (days)]])),TRUE,FALSE)</f>
        <v>0</v>
      </c>
      <c r="E3373" s="2" t="str">
        <f>IF(Table1[[#This Row],[Is Data Valid]]=TRUE,IF(Table1[[#This Row],[Fetal Sex (Male, Female or Unknown)]]="Male",Backend!$C$6,IF(Table1[[#This Row],[Fetal Sex (Male, Female or Unknown)]]="Female",Backend!$C$7,IF(Table1[[#This Row],[Fetal Sex (Male, Female or Unknown)]]="Unknown",Backend!$C$8,"Error"))),"")</f>
        <v/>
      </c>
      <c r="F3373" s="8" t="str">
        <f>IF(Table1[[#This Row],[Is Data Valid]]=TRUE,EXP(0.578+0.332*((Table1[[#This Row],[Gestation (days)]]+0.5)/7)-0.00354*((Table1[[#This Row],[Gestation (days)]]+0.5)/7)^2)*Table1[[#This Row],[BW40_3705]],"")</f>
        <v/>
      </c>
      <c r="G3373" s="2" t="str">
        <f>IF(Table1[[#This Row],[Is Data Valid]]=TRUE,((Table1[[#This Row],[Birthweight (grams)]]/Table1[[#This Row],[BW_GA]])-1)/(Backend!$B$4/100*Table1[[#This Row],[BW40_3705]]),"")</f>
        <v/>
      </c>
      <c r="H3373" s="7" t="str">
        <f>IF(Table1[[#This Row],[Is Data Valid]]=TRUE,((Table1[[#This Row],[Birthweight (grams)]]*0.9/Table1[[#This Row],[BW_GA]])-1)/(Backend!$B$4/100*Table1[[#This Row],[BW40_3705]]),"")</f>
        <v/>
      </c>
      <c r="I3373" s="7" t="str">
        <f>IF(Table1[[#This Row],[Is Data Valid]]=TRUE,((Table1[[#This Row],[Birthweight (grams)]]*1.1/Table1[[#This Row],[BW_GA]])-1)/(Backend!$B$4/100*Table1[[#This Row],[BW40_3705]]),"")</f>
        <v/>
      </c>
      <c r="J3373" s="7" t="str">
        <f>IF(Table1[[#This Row],[Is Data Valid]]=TRUE,_xlfn.NORM.S.DIST(Table1[[#This Row],[Birthweight Z-Score]],TRUE)*100,"")</f>
        <v/>
      </c>
      <c r="K3373" s="7" t="str">
        <f>IF(Table1[[#This Row],[Is Data Valid]]=TRUE,_xlfn.NORM.S.DIST(Table1[[#This Row],[Birthweight Z-Score (BW-10%)]],TRUE)*100,"")</f>
        <v/>
      </c>
      <c r="L3373" s="7" t="str">
        <f>IF(Table1[[#This Row],[Is Data Valid]]=TRUE,_xlfn.NORM.S.DIST(Table1[[#This Row],[Birthweight Z-Score (BW+10%)]],TRUE)*100,"")</f>
        <v/>
      </c>
    </row>
    <row r="3374" spans="1:12" x14ac:dyDescent="0.35">
      <c r="A3374" s="3"/>
      <c r="B3374" s="2"/>
      <c r="C3374" s="2"/>
      <c r="D3374" s="2" t="b">
        <f>IF(AND(NOT(ISBLANK(Table1[[#This Row],[Fetal Sex (Male, Female or Unknown)]])),ISNUMBER(Table1[[#This Row],[Birthweight (grams)]]),ISNUMBER(Table1[[#This Row],[Gestation (days)]])),TRUE,FALSE)</f>
        <v>0</v>
      </c>
      <c r="E3374" s="2" t="str">
        <f>IF(Table1[[#This Row],[Is Data Valid]]=TRUE,IF(Table1[[#This Row],[Fetal Sex (Male, Female or Unknown)]]="Male",Backend!$C$6,IF(Table1[[#This Row],[Fetal Sex (Male, Female or Unknown)]]="Female",Backend!$C$7,IF(Table1[[#This Row],[Fetal Sex (Male, Female or Unknown)]]="Unknown",Backend!$C$8,"Error"))),"")</f>
        <v/>
      </c>
      <c r="F3374" s="8" t="str">
        <f>IF(Table1[[#This Row],[Is Data Valid]]=TRUE,EXP(0.578+0.332*((Table1[[#This Row],[Gestation (days)]]+0.5)/7)-0.00354*((Table1[[#This Row],[Gestation (days)]]+0.5)/7)^2)*Table1[[#This Row],[BW40_3705]],"")</f>
        <v/>
      </c>
      <c r="G3374" s="2" t="str">
        <f>IF(Table1[[#This Row],[Is Data Valid]]=TRUE,((Table1[[#This Row],[Birthweight (grams)]]/Table1[[#This Row],[BW_GA]])-1)/(Backend!$B$4/100*Table1[[#This Row],[BW40_3705]]),"")</f>
        <v/>
      </c>
      <c r="H3374" s="7" t="str">
        <f>IF(Table1[[#This Row],[Is Data Valid]]=TRUE,((Table1[[#This Row],[Birthweight (grams)]]*0.9/Table1[[#This Row],[BW_GA]])-1)/(Backend!$B$4/100*Table1[[#This Row],[BW40_3705]]),"")</f>
        <v/>
      </c>
      <c r="I3374" s="7" t="str">
        <f>IF(Table1[[#This Row],[Is Data Valid]]=TRUE,((Table1[[#This Row],[Birthweight (grams)]]*1.1/Table1[[#This Row],[BW_GA]])-1)/(Backend!$B$4/100*Table1[[#This Row],[BW40_3705]]),"")</f>
        <v/>
      </c>
      <c r="J3374" s="7" t="str">
        <f>IF(Table1[[#This Row],[Is Data Valid]]=TRUE,_xlfn.NORM.S.DIST(Table1[[#This Row],[Birthweight Z-Score]],TRUE)*100,"")</f>
        <v/>
      </c>
      <c r="K3374" s="7" t="str">
        <f>IF(Table1[[#This Row],[Is Data Valid]]=TRUE,_xlfn.NORM.S.DIST(Table1[[#This Row],[Birthweight Z-Score (BW-10%)]],TRUE)*100,"")</f>
        <v/>
      </c>
      <c r="L3374" s="7" t="str">
        <f>IF(Table1[[#This Row],[Is Data Valid]]=TRUE,_xlfn.NORM.S.DIST(Table1[[#This Row],[Birthweight Z-Score (BW+10%)]],TRUE)*100,"")</f>
        <v/>
      </c>
    </row>
    <row r="3375" spans="1:12" x14ac:dyDescent="0.35">
      <c r="A3375" s="3"/>
      <c r="B3375" s="2"/>
      <c r="C3375" s="2"/>
      <c r="D3375" s="2" t="b">
        <f>IF(AND(NOT(ISBLANK(Table1[[#This Row],[Fetal Sex (Male, Female or Unknown)]])),ISNUMBER(Table1[[#This Row],[Birthweight (grams)]]),ISNUMBER(Table1[[#This Row],[Gestation (days)]])),TRUE,FALSE)</f>
        <v>0</v>
      </c>
      <c r="E3375" s="2" t="str">
        <f>IF(Table1[[#This Row],[Is Data Valid]]=TRUE,IF(Table1[[#This Row],[Fetal Sex (Male, Female or Unknown)]]="Male",Backend!$C$6,IF(Table1[[#This Row],[Fetal Sex (Male, Female or Unknown)]]="Female",Backend!$C$7,IF(Table1[[#This Row],[Fetal Sex (Male, Female or Unknown)]]="Unknown",Backend!$C$8,"Error"))),"")</f>
        <v/>
      </c>
      <c r="F3375" s="8" t="str">
        <f>IF(Table1[[#This Row],[Is Data Valid]]=TRUE,EXP(0.578+0.332*((Table1[[#This Row],[Gestation (days)]]+0.5)/7)-0.00354*((Table1[[#This Row],[Gestation (days)]]+0.5)/7)^2)*Table1[[#This Row],[BW40_3705]],"")</f>
        <v/>
      </c>
      <c r="G3375" s="2" t="str">
        <f>IF(Table1[[#This Row],[Is Data Valid]]=TRUE,((Table1[[#This Row],[Birthweight (grams)]]/Table1[[#This Row],[BW_GA]])-1)/(Backend!$B$4/100*Table1[[#This Row],[BW40_3705]]),"")</f>
        <v/>
      </c>
      <c r="H3375" s="7" t="str">
        <f>IF(Table1[[#This Row],[Is Data Valid]]=TRUE,((Table1[[#This Row],[Birthweight (grams)]]*0.9/Table1[[#This Row],[BW_GA]])-1)/(Backend!$B$4/100*Table1[[#This Row],[BW40_3705]]),"")</f>
        <v/>
      </c>
      <c r="I3375" s="7" t="str">
        <f>IF(Table1[[#This Row],[Is Data Valid]]=TRUE,((Table1[[#This Row],[Birthweight (grams)]]*1.1/Table1[[#This Row],[BW_GA]])-1)/(Backend!$B$4/100*Table1[[#This Row],[BW40_3705]]),"")</f>
        <v/>
      </c>
      <c r="J3375" s="7" t="str">
        <f>IF(Table1[[#This Row],[Is Data Valid]]=TRUE,_xlfn.NORM.S.DIST(Table1[[#This Row],[Birthweight Z-Score]],TRUE)*100,"")</f>
        <v/>
      </c>
      <c r="K3375" s="7" t="str">
        <f>IF(Table1[[#This Row],[Is Data Valid]]=TRUE,_xlfn.NORM.S.DIST(Table1[[#This Row],[Birthweight Z-Score (BW-10%)]],TRUE)*100,"")</f>
        <v/>
      </c>
      <c r="L3375" s="7" t="str">
        <f>IF(Table1[[#This Row],[Is Data Valid]]=TRUE,_xlfn.NORM.S.DIST(Table1[[#This Row],[Birthweight Z-Score (BW+10%)]],TRUE)*100,"")</f>
        <v/>
      </c>
    </row>
    <row r="3376" spans="1:12" x14ac:dyDescent="0.35">
      <c r="A3376" s="3"/>
      <c r="B3376" s="2"/>
      <c r="C3376" s="2"/>
      <c r="D3376" s="2" t="b">
        <f>IF(AND(NOT(ISBLANK(Table1[[#This Row],[Fetal Sex (Male, Female or Unknown)]])),ISNUMBER(Table1[[#This Row],[Birthweight (grams)]]),ISNUMBER(Table1[[#This Row],[Gestation (days)]])),TRUE,FALSE)</f>
        <v>0</v>
      </c>
      <c r="E3376" s="2" t="str">
        <f>IF(Table1[[#This Row],[Is Data Valid]]=TRUE,IF(Table1[[#This Row],[Fetal Sex (Male, Female or Unknown)]]="Male",Backend!$C$6,IF(Table1[[#This Row],[Fetal Sex (Male, Female or Unknown)]]="Female",Backend!$C$7,IF(Table1[[#This Row],[Fetal Sex (Male, Female or Unknown)]]="Unknown",Backend!$C$8,"Error"))),"")</f>
        <v/>
      </c>
      <c r="F3376" s="8" t="str">
        <f>IF(Table1[[#This Row],[Is Data Valid]]=TRUE,EXP(0.578+0.332*((Table1[[#This Row],[Gestation (days)]]+0.5)/7)-0.00354*((Table1[[#This Row],[Gestation (days)]]+0.5)/7)^2)*Table1[[#This Row],[BW40_3705]],"")</f>
        <v/>
      </c>
      <c r="G3376" s="2" t="str">
        <f>IF(Table1[[#This Row],[Is Data Valid]]=TRUE,((Table1[[#This Row],[Birthweight (grams)]]/Table1[[#This Row],[BW_GA]])-1)/(Backend!$B$4/100*Table1[[#This Row],[BW40_3705]]),"")</f>
        <v/>
      </c>
      <c r="H3376" s="7" t="str">
        <f>IF(Table1[[#This Row],[Is Data Valid]]=TRUE,((Table1[[#This Row],[Birthweight (grams)]]*0.9/Table1[[#This Row],[BW_GA]])-1)/(Backend!$B$4/100*Table1[[#This Row],[BW40_3705]]),"")</f>
        <v/>
      </c>
      <c r="I3376" s="7" t="str">
        <f>IF(Table1[[#This Row],[Is Data Valid]]=TRUE,((Table1[[#This Row],[Birthweight (grams)]]*1.1/Table1[[#This Row],[BW_GA]])-1)/(Backend!$B$4/100*Table1[[#This Row],[BW40_3705]]),"")</f>
        <v/>
      </c>
      <c r="J3376" s="7" t="str">
        <f>IF(Table1[[#This Row],[Is Data Valid]]=TRUE,_xlfn.NORM.S.DIST(Table1[[#This Row],[Birthweight Z-Score]],TRUE)*100,"")</f>
        <v/>
      </c>
      <c r="K3376" s="7" t="str">
        <f>IF(Table1[[#This Row],[Is Data Valid]]=TRUE,_xlfn.NORM.S.DIST(Table1[[#This Row],[Birthweight Z-Score (BW-10%)]],TRUE)*100,"")</f>
        <v/>
      </c>
      <c r="L3376" s="7" t="str">
        <f>IF(Table1[[#This Row],[Is Data Valid]]=TRUE,_xlfn.NORM.S.DIST(Table1[[#This Row],[Birthweight Z-Score (BW+10%)]],TRUE)*100,"")</f>
        <v/>
      </c>
    </row>
    <row r="3377" spans="1:12" x14ac:dyDescent="0.35">
      <c r="A3377" s="3"/>
      <c r="B3377" s="2"/>
      <c r="C3377" s="2"/>
      <c r="D3377" s="2" t="b">
        <f>IF(AND(NOT(ISBLANK(Table1[[#This Row],[Fetal Sex (Male, Female or Unknown)]])),ISNUMBER(Table1[[#This Row],[Birthweight (grams)]]),ISNUMBER(Table1[[#This Row],[Gestation (days)]])),TRUE,FALSE)</f>
        <v>0</v>
      </c>
      <c r="E3377" s="2" t="str">
        <f>IF(Table1[[#This Row],[Is Data Valid]]=TRUE,IF(Table1[[#This Row],[Fetal Sex (Male, Female or Unknown)]]="Male",Backend!$C$6,IF(Table1[[#This Row],[Fetal Sex (Male, Female or Unknown)]]="Female",Backend!$C$7,IF(Table1[[#This Row],[Fetal Sex (Male, Female or Unknown)]]="Unknown",Backend!$C$8,"Error"))),"")</f>
        <v/>
      </c>
      <c r="F3377" s="8" t="str">
        <f>IF(Table1[[#This Row],[Is Data Valid]]=TRUE,EXP(0.578+0.332*((Table1[[#This Row],[Gestation (days)]]+0.5)/7)-0.00354*((Table1[[#This Row],[Gestation (days)]]+0.5)/7)^2)*Table1[[#This Row],[BW40_3705]],"")</f>
        <v/>
      </c>
      <c r="G3377" s="2" t="str">
        <f>IF(Table1[[#This Row],[Is Data Valid]]=TRUE,((Table1[[#This Row],[Birthweight (grams)]]/Table1[[#This Row],[BW_GA]])-1)/(Backend!$B$4/100*Table1[[#This Row],[BW40_3705]]),"")</f>
        <v/>
      </c>
      <c r="H3377" s="7" t="str">
        <f>IF(Table1[[#This Row],[Is Data Valid]]=TRUE,((Table1[[#This Row],[Birthweight (grams)]]*0.9/Table1[[#This Row],[BW_GA]])-1)/(Backend!$B$4/100*Table1[[#This Row],[BW40_3705]]),"")</f>
        <v/>
      </c>
      <c r="I3377" s="7" t="str">
        <f>IF(Table1[[#This Row],[Is Data Valid]]=TRUE,((Table1[[#This Row],[Birthweight (grams)]]*1.1/Table1[[#This Row],[BW_GA]])-1)/(Backend!$B$4/100*Table1[[#This Row],[BW40_3705]]),"")</f>
        <v/>
      </c>
      <c r="J3377" s="7" t="str">
        <f>IF(Table1[[#This Row],[Is Data Valid]]=TRUE,_xlfn.NORM.S.DIST(Table1[[#This Row],[Birthweight Z-Score]],TRUE)*100,"")</f>
        <v/>
      </c>
      <c r="K3377" s="7" t="str">
        <f>IF(Table1[[#This Row],[Is Data Valid]]=TRUE,_xlfn.NORM.S.DIST(Table1[[#This Row],[Birthweight Z-Score (BW-10%)]],TRUE)*100,"")</f>
        <v/>
      </c>
      <c r="L3377" s="7" t="str">
        <f>IF(Table1[[#This Row],[Is Data Valid]]=TRUE,_xlfn.NORM.S.DIST(Table1[[#This Row],[Birthweight Z-Score (BW+10%)]],TRUE)*100,"")</f>
        <v/>
      </c>
    </row>
    <row r="3378" spans="1:12" x14ac:dyDescent="0.35">
      <c r="A3378" s="3"/>
      <c r="B3378" s="2"/>
      <c r="C3378" s="2"/>
      <c r="D3378" s="2" t="b">
        <f>IF(AND(NOT(ISBLANK(Table1[[#This Row],[Fetal Sex (Male, Female or Unknown)]])),ISNUMBER(Table1[[#This Row],[Birthweight (grams)]]),ISNUMBER(Table1[[#This Row],[Gestation (days)]])),TRUE,FALSE)</f>
        <v>0</v>
      </c>
      <c r="E3378" s="2" t="str">
        <f>IF(Table1[[#This Row],[Is Data Valid]]=TRUE,IF(Table1[[#This Row],[Fetal Sex (Male, Female or Unknown)]]="Male",Backend!$C$6,IF(Table1[[#This Row],[Fetal Sex (Male, Female or Unknown)]]="Female",Backend!$C$7,IF(Table1[[#This Row],[Fetal Sex (Male, Female or Unknown)]]="Unknown",Backend!$C$8,"Error"))),"")</f>
        <v/>
      </c>
      <c r="F3378" s="8" t="str">
        <f>IF(Table1[[#This Row],[Is Data Valid]]=TRUE,EXP(0.578+0.332*((Table1[[#This Row],[Gestation (days)]]+0.5)/7)-0.00354*((Table1[[#This Row],[Gestation (days)]]+0.5)/7)^2)*Table1[[#This Row],[BW40_3705]],"")</f>
        <v/>
      </c>
      <c r="G3378" s="2" t="str">
        <f>IF(Table1[[#This Row],[Is Data Valid]]=TRUE,((Table1[[#This Row],[Birthweight (grams)]]/Table1[[#This Row],[BW_GA]])-1)/(Backend!$B$4/100*Table1[[#This Row],[BW40_3705]]),"")</f>
        <v/>
      </c>
      <c r="H3378" s="7" t="str">
        <f>IF(Table1[[#This Row],[Is Data Valid]]=TRUE,((Table1[[#This Row],[Birthweight (grams)]]*0.9/Table1[[#This Row],[BW_GA]])-1)/(Backend!$B$4/100*Table1[[#This Row],[BW40_3705]]),"")</f>
        <v/>
      </c>
      <c r="I3378" s="7" t="str">
        <f>IF(Table1[[#This Row],[Is Data Valid]]=TRUE,((Table1[[#This Row],[Birthweight (grams)]]*1.1/Table1[[#This Row],[BW_GA]])-1)/(Backend!$B$4/100*Table1[[#This Row],[BW40_3705]]),"")</f>
        <v/>
      </c>
      <c r="J3378" s="7" t="str">
        <f>IF(Table1[[#This Row],[Is Data Valid]]=TRUE,_xlfn.NORM.S.DIST(Table1[[#This Row],[Birthweight Z-Score]],TRUE)*100,"")</f>
        <v/>
      </c>
      <c r="K3378" s="7" t="str">
        <f>IF(Table1[[#This Row],[Is Data Valid]]=TRUE,_xlfn.NORM.S.DIST(Table1[[#This Row],[Birthweight Z-Score (BW-10%)]],TRUE)*100,"")</f>
        <v/>
      </c>
      <c r="L3378" s="7" t="str">
        <f>IF(Table1[[#This Row],[Is Data Valid]]=TRUE,_xlfn.NORM.S.DIST(Table1[[#This Row],[Birthweight Z-Score (BW+10%)]],TRUE)*100,"")</f>
        <v/>
      </c>
    </row>
    <row r="3379" spans="1:12" x14ac:dyDescent="0.35">
      <c r="A3379" s="3"/>
      <c r="B3379" s="2"/>
      <c r="C3379" s="2"/>
      <c r="D3379" s="2" t="b">
        <f>IF(AND(NOT(ISBLANK(Table1[[#This Row],[Fetal Sex (Male, Female or Unknown)]])),ISNUMBER(Table1[[#This Row],[Birthweight (grams)]]),ISNUMBER(Table1[[#This Row],[Gestation (days)]])),TRUE,FALSE)</f>
        <v>0</v>
      </c>
      <c r="E3379" s="2" t="str">
        <f>IF(Table1[[#This Row],[Is Data Valid]]=TRUE,IF(Table1[[#This Row],[Fetal Sex (Male, Female or Unknown)]]="Male",Backend!$C$6,IF(Table1[[#This Row],[Fetal Sex (Male, Female or Unknown)]]="Female",Backend!$C$7,IF(Table1[[#This Row],[Fetal Sex (Male, Female or Unknown)]]="Unknown",Backend!$C$8,"Error"))),"")</f>
        <v/>
      </c>
      <c r="F3379" s="8" t="str">
        <f>IF(Table1[[#This Row],[Is Data Valid]]=TRUE,EXP(0.578+0.332*((Table1[[#This Row],[Gestation (days)]]+0.5)/7)-0.00354*((Table1[[#This Row],[Gestation (days)]]+0.5)/7)^2)*Table1[[#This Row],[BW40_3705]],"")</f>
        <v/>
      </c>
      <c r="G3379" s="2" t="str">
        <f>IF(Table1[[#This Row],[Is Data Valid]]=TRUE,((Table1[[#This Row],[Birthweight (grams)]]/Table1[[#This Row],[BW_GA]])-1)/(Backend!$B$4/100*Table1[[#This Row],[BW40_3705]]),"")</f>
        <v/>
      </c>
      <c r="H3379" s="7" t="str">
        <f>IF(Table1[[#This Row],[Is Data Valid]]=TRUE,((Table1[[#This Row],[Birthweight (grams)]]*0.9/Table1[[#This Row],[BW_GA]])-1)/(Backend!$B$4/100*Table1[[#This Row],[BW40_3705]]),"")</f>
        <v/>
      </c>
      <c r="I3379" s="7" t="str">
        <f>IF(Table1[[#This Row],[Is Data Valid]]=TRUE,((Table1[[#This Row],[Birthweight (grams)]]*1.1/Table1[[#This Row],[BW_GA]])-1)/(Backend!$B$4/100*Table1[[#This Row],[BW40_3705]]),"")</f>
        <v/>
      </c>
      <c r="J3379" s="7" t="str">
        <f>IF(Table1[[#This Row],[Is Data Valid]]=TRUE,_xlfn.NORM.S.DIST(Table1[[#This Row],[Birthweight Z-Score]],TRUE)*100,"")</f>
        <v/>
      </c>
      <c r="K3379" s="7" t="str">
        <f>IF(Table1[[#This Row],[Is Data Valid]]=TRUE,_xlfn.NORM.S.DIST(Table1[[#This Row],[Birthweight Z-Score (BW-10%)]],TRUE)*100,"")</f>
        <v/>
      </c>
      <c r="L3379" s="7" t="str">
        <f>IF(Table1[[#This Row],[Is Data Valid]]=TRUE,_xlfn.NORM.S.DIST(Table1[[#This Row],[Birthweight Z-Score (BW+10%)]],TRUE)*100,"")</f>
        <v/>
      </c>
    </row>
    <row r="3380" spans="1:12" x14ac:dyDescent="0.35">
      <c r="A3380" s="3"/>
      <c r="B3380" s="2"/>
      <c r="C3380" s="2"/>
      <c r="D3380" s="2" t="b">
        <f>IF(AND(NOT(ISBLANK(Table1[[#This Row],[Fetal Sex (Male, Female or Unknown)]])),ISNUMBER(Table1[[#This Row],[Birthweight (grams)]]),ISNUMBER(Table1[[#This Row],[Gestation (days)]])),TRUE,FALSE)</f>
        <v>0</v>
      </c>
      <c r="E3380" s="2" t="str">
        <f>IF(Table1[[#This Row],[Is Data Valid]]=TRUE,IF(Table1[[#This Row],[Fetal Sex (Male, Female or Unknown)]]="Male",Backend!$C$6,IF(Table1[[#This Row],[Fetal Sex (Male, Female or Unknown)]]="Female",Backend!$C$7,IF(Table1[[#This Row],[Fetal Sex (Male, Female or Unknown)]]="Unknown",Backend!$C$8,"Error"))),"")</f>
        <v/>
      </c>
      <c r="F3380" s="8" t="str">
        <f>IF(Table1[[#This Row],[Is Data Valid]]=TRUE,EXP(0.578+0.332*((Table1[[#This Row],[Gestation (days)]]+0.5)/7)-0.00354*((Table1[[#This Row],[Gestation (days)]]+0.5)/7)^2)*Table1[[#This Row],[BW40_3705]],"")</f>
        <v/>
      </c>
      <c r="G3380" s="2" t="str">
        <f>IF(Table1[[#This Row],[Is Data Valid]]=TRUE,((Table1[[#This Row],[Birthweight (grams)]]/Table1[[#This Row],[BW_GA]])-1)/(Backend!$B$4/100*Table1[[#This Row],[BW40_3705]]),"")</f>
        <v/>
      </c>
      <c r="H3380" s="7" t="str">
        <f>IF(Table1[[#This Row],[Is Data Valid]]=TRUE,((Table1[[#This Row],[Birthweight (grams)]]*0.9/Table1[[#This Row],[BW_GA]])-1)/(Backend!$B$4/100*Table1[[#This Row],[BW40_3705]]),"")</f>
        <v/>
      </c>
      <c r="I3380" s="7" t="str">
        <f>IF(Table1[[#This Row],[Is Data Valid]]=TRUE,((Table1[[#This Row],[Birthweight (grams)]]*1.1/Table1[[#This Row],[BW_GA]])-1)/(Backend!$B$4/100*Table1[[#This Row],[BW40_3705]]),"")</f>
        <v/>
      </c>
      <c r="J3380" s="7" t="str">
        <f>IF(Table1[[#This Row],[Is Data Valid]]=TRUE,_xlfn.NORM.S.DIST(Table1[[#This Row],[Birthweight Z-Score]],TRUE)*100,"")</f>
        <v/>
      </c>
      <c r="K3380" s="7" t="str">
        <f>IF(Table1[[#This Row],[Is Data Valid]]=TRUE,_xlfn.NORM.S.DIST(Table1[[#This Row],[Birthweight Z-Score (BW-10%)]],TRUE)*100,"")</f>
        <v/>
      </c>
      <c r="L3380" s="7" t="str">
        <f>IF(Table1[[#This Row],[Is Data Valid]]=TRUE,_xlfn.NORM.S.DIST(Table1[[#This Row],[Birthweight Z-Score (BW+10%)]],TRUE)*100,"")</f>
        <v/>
      </c>
    </row>
    <row r="3381" spans="1:12" x14ac:dyDescent="0.35">
      <c r="A3381" s="3"/>
      <c r="B3381" s="2"/>
      <c r="C3381" s="2"/>
      <c r="D3381" s="2" t="b">
        <f>IF(AND(NOT(ISBLANK(Table1[[#This Row],[Fetal Sex (Male, Female or Unknown)]])),ISNUMBER(Table1[[#This Row],[Birthweight (grams)]]),ISNUMBER(Table1[[#This Row],[Gestation (days)]])),TRUE,FALSE)</f>
        <v>0</v>
      </c>
      <c r="E3381" s="2" t="str">
        <f>IF(Table1[[#This Row],[Is Data Valid]]=TRUE,IF(Table1[[#This Row],[Fetal Sex (Male, Female or Unknown)]]="Male",Backend!$C$6,IF(Table1[[#This Row],[Fetal Sex (Male, Female or Unknown)]]="Female",Backend!$C$7,IF(Table1[[#This Row],[Fetal Sex (Male, Female or Unknown)]]="Unknown",Backend!$C$8,"Error"))),"")</f>
        <v/>
      </c>
      <c r="F3381" s="8" t="str">
        <f>IF(Table1[[#This Row],[Is Data Valid]]=TRUE,EXP(0.578+0.332*((Table1[[#This Row],[Gestation (days)]]+0.5)/7)-0.00354*((Table1[[#This Row],[Gestation (days)]]+0.5)/7)^2)*Table1[[#This Row],[BW40_3705]],"")</f>
        <v/>
      </c>
      <c r="G3381" s="2" t="str">
        <f>IF(Table1[[#This Row],[Is Data Valid]]=TRUE,((Table1[[#This Row],[Birthweight (grams)]]/Table1[[#This Row],[BW_GA]])-1)/(Backend!$B$4/100*Table1[[#This Row],[BW40_3705]]),"")</f>
        <v/>
      </c>
      <c r="H3381" s="7" t="str">
        <f>IF(Table1[[#This Row],[Is Data Valid]]=TRUE,((Table1[[#This Row],[Birthweight (grams)]]*0.9/Table1[[#This Row],[BW_GA]])-1)/(Backend!$B$4/100*Table1[[#This Row],[BW40_3705]]),"")</f>
        <v/>
      </c>
      <c r="I3381" s="7" t="str">
        <f>IF(Table1[[#This Row],[Is Data Valid]]=TRUE,((Table1[[#This Row],[Birthweight (grams)]]*1.1/Table1[[#This Row],[BW_GA]])-1)/(Backend!$B$4/100*Table1[[#This Row],[BW40_3705]]),"")</f>
        <v/>
      </c>
      <c r="J3381" s="7" t="str">
        <f>IF(Table1[[#This Row],[Is Data Valid]]=TRUE,_xlfn.NORM.S.DIST(Table1[[#This Row],[Birthweight Z-Score]],TRUE)*100,"")</f>
        <v/>
      </c>
      <c r="K3381" s="7" t="str">
        <f>IF(Table1[[#This Row],[Is Data Valid]]=TRUE,_xlfn.NORM.S.DIST(Table1[[#This Row],[Birthweight Z-Score (BW-10%)]],TRUE)*100,"")</f>
        <v/>
      </c>
      <c r="L3381" s="7" t="str">
        <f>IF(Table1[[#This Row],[Is Data Valid]]=TRUE,_xlfn.NORM.S.DIST(Table1[[#This Row],[Birthweight Z-Score (BW+10%)]],TRUE)*100,"")</f>
        <v/>
      </c>
    </row>
    <row r="3382" spans="1:12" x14ac:dyDescent="0.35">
      <c r="A3382" s="3"/>
      <c r="B3382" s="2"/>
      <c r="C3382" s="2"/>
      <c r="D3382" s="2" t="b">
        <f>IF(AND(NOT(ISBLANK(Table1[[#This Row],[Fetal Sex (Male, Female or Unknown)]])),ISNUMBER(Table1[[#This Row],[Birthweight (grams)]]),ISNUMBER(Table1[[#This Row],[Gestation (days)]])),TRUE,FALSE)</f>
        <v>0</v>
      </c>
      <c r="E3382" s="2" t="str">
        <f>IF(Table1[[#This Row],[Is Data Valid]]=TRUE,IF(Table1[[#This Row],[Fetal Sex (Male, Female or Unknown)]]="Male",Backend!$C$6,IF(Table1[[#This Row],[Fetal Sex (Male, Female or Unknown)]]="Female",Backend!$C$7,IF(Table1[[#This Row],[Fetal Sex (Male, Female or Unknown)]]="Unknown",Backend!$C$8,"Error"))),"")</f>
        <v/>
      </c>
      <c r="F3382" s="8" t="str">
        <f>IF(Table1[[#This Row],[Is Data Valid]]=TRUE,EXP(0.578+0.332*((Table1[[#This Row],[Gestation (days)]]+0.5)/7)-0.00354*((Table1[[#This Row],[Gestation (days)]]+0.5)/7)^2)*Table1[[#This Row],[BW40_3705]],"")</f>
        <v/>
      </c>
      <c r="G3382" s="2" t="str">
        <f>IF(Table1[[#This Row],[Is Data Valid]]=TRUE,((Table1[[#This Row],[Birthweight (grams)]]/Table1[[#This Row],[BW_GA]])-1)/(Backend!$B$4/100*Table1[[#This Row],[BW40_3705]]),"")</f>
        <v/>
      </c>
      <c r="H3382" s="7" t="str">
        <f>IF(Table1[[#This Row],[Is Data Valid]]=TRUE,((Table1[[#This Row],[Birthweight (grams)]]*0.9/Table1[[#This Row],[BW_GA]])-1)/(Backend!$B$4/100*Table1[[#This Row],[BW40_3705]]),"")</f>
        <v/>
      </c>
      <c r="I3382" s="7" t="str">
        <f>IF(Table1[[#This Row],[Is Data Valid]]=TRUE,((Table1[[#This Row],[Birthweight (grams)]]*1.1/Table1[[#This Row],[BW_GA]])-1)/(Backend!$B$4/100*Table1[[#This Row],[BW40_3705]]),"")</f>
        <v/>
      </c>
      <c r="J3382" s="7" t="str">
        <f>IF(Table1[[#This Row],[Is Data Valid]]=TRUE,_xlfn.NORM.S.DIST(Table1[[#This Row],[Birthweight Z-Score]],TRUE)*100,"")</f>
        <v/>
      </c>
      <c r="K3382" s="7" t="str">
        <f>IF(Table1[[#This Row],[Is Data Valid]]=TRUE,_xlfn.NORM.S.DIST(Table1[[#This Row],[Birthweight Z-Score (BW-10%)]],TRUE)*100,"")</f>
        <v/>
      </c>
      <c r="L3382" s="7" t="str">
        <f>IF(Table1[[#This Row],[Is Data Valid]]=TRUE,_xlfn.NORM.S.DIST(Table1[[#This Row],[Birthweight Z-Score (BW+10%)]],TRUE)*100,"")</f>
        <v/>
      </c>
    </row>
    <row r="3383" spans="1:12" x14ac:dyDescent="0.35">
      <c r="A3383" s="3"/>
      <c r="B3383" s="2"/>
      <c r="C3383" s="2"/>
      <c r="D3383" s="2" t="b">
        <f>IF(AND(NOT(ISBLANK(Table1[[#This Row],[Fetal Sex (Male, Female or Unknown)]])),ISNUMBER(Table1[[#This Row],[Birthweight (grams)]]),ISNUMBER(Table1[[#This Row],[Gestation (days)]])),TRUE,FALSE)</f>
        <v>0</v>
      </c>
      <c r="E3383" s="2" t="str">
        <f>IF(Table1[[#This Row],[Is Data Valid]]=TRUE,IF(Table1[[#This Row],[Fetal Sex (Male, Female or Unknown)]]="Male",Backend!$C$6,IF(Table1[[#This Row],[Fetal Sex (Male, Female or Unknown)]]="Female",Backend!$C$7,IF(Table1[[#This Row],[Fetal Sex (Male, Female or Unknown)]]="Unknown",Backend!$C$8,"Error"))),"")</f>
        <v/>
      </c>
      <c r="F3383" s="8" t="str">
        <f>IF(Table1[[#This Row],[Is Data Valid]]=TRUE,EXP(0.578+0.332*((Table1[[#This Row],[Gestation (days)]]+0.5)/7)-0.00354*((Table1[[#This Row],[Gestation (days)]]+0.5)/7)^2)*Table1[[#This Row],[BW40_3705]],"")</f>
        <v/>
      </c>
      <c r="G3383" s="2" t="str">
        <f>IF(Table1[[#This Row],[Is Data Valid]]=TRUE,((Table1[[#This Row],[Birthweight (grams)]]/Table1[[#This Row],[BW_GA]])-1)/(Backend!$B$4/100*Table1[[#This Row],[BW40_3705]]),"")</f>
        <v/>
      </c>
      <c r="H3383" s="7" t="str">
        <f>IF(Table1[[#This Row],[Is Data Valid]]=TRUE,((Table1[[#This Row],[Birthweight (grams)]]*0.9/Table1[[#This Row],[BW_GA]])-1)/(Backend!$B$4/100*Table1[[#This Row],[BW40_3705]]),"")</f>
        <v/>
      </c>
      <c r="I3383" s="7" t="str">
        <f>IF(Table1[[#This Row],[Is Data Valid]]=TRUE,((Table1[[#This Row],[Birthweight (grams)]]*1.1/Table1[[#This Row],[BW_GA]])-1)/(Backend!$B$4/100*Table1[[#This Row],[BW40_3705]]),"")</f>
        <v/>
      </c>
      <c r="J3383" s="7" t="str">
        <f>IF(Table1[[#This Row],[Is Data Valid]]=TRUE,_xlfn.NORM.S.DIST(Table1[[#This Row],[Birthweight Z-Score]],TRUE)*100,"")</f>
        <v/>
      </c>
      <c r="K3383" s="7" t="str">
        <f>IF(Table1[[#This Row],[Is Data Valid]]=TRUE,_xlfn.NORM.S.DIST(Table1[[#This Row],[Birthweight Z-Score (BW-10%)]],TRUE)*100,"")</f>
        <v/>
      </c>
      <c r="L3383" s="7" t="str">
        <f>IF(Table1[[#This Row],[Is Data Valid]]=TRUE,_xlfn.NORM.S.DIST(Table1[[#This Row],[Birthweight Z-Score (BW+10%)]],TRUE)*100,"")</f>
        <v/>
      </c>
    </row>
    <row r="3384" spans="1:12" x14ac:dyDescent="0.35">
      <c r="A3384" s="3"/>
      <c r="B3384" s="2"/>
      <c r="C3384" s="2"/>
      <c r="D3384" s="2" t="b">
        <f>IF(AND(NOT(ISBLANK(Table1[[#This Row],[Fetal Sex (Male, Female or Unknown)]])),ISNUMBER(Table1[[#This Row],[Birthweight (grams)]]),ISNUMBER(Table1[[#This Row],[Gestation (days)]])),TRUE,FALSE)</f>
        <v>0</v>
      </c>
      <c r="E3384" s="2" t="str">
        <f>IF(Table1[[#This Row],[Is Data Valid]]=TRUE,IF(Table1[[#This Row],[Fetal Sex (Male, Female or Unknown)]]="Male",Backend!$C$6,IF(Table1[[#This Row],[Fetal Sex (Male, Female or Unknown)]]="Female",Backend!$C$7,IF(Table1[[#This Row],[Fetal Sex (Male, Female or Unknown)]]="Unknown",Backend!$C$8,"Error"))),"")</f>
        <v/>
      </c>
      <c r="F3384" s="8" t="str">
        <f>IF(Table1[[#This Row],[Is Data Valid]]=TRUE,EXP(0.578+0.332*((Table1[[#This Row],[Gestation (days)]]+0.5)/7)-0.00354*((Table1[[#This Row],[Gestation (days)]]+0.5)/7)^2)*Table1[[#This Row],[BW40_3705]],"")</f>
        <v/>
      </c>
      <c r="G3384" s="2" t="str">
        <f>IF(Table1[[#This Row],[Is Data Valid]]=TRUE,((Table1[[#This Row],[Birthweight (grams)]]/Table1[[#This Row],[BW_GA]])-1)/(Backend!$B$4/100*Table1[[#This Row],[BW40_3705]]),"")</f>
        <v/>
      </c>
      <c r="H3384" s="7" t="str">
        <f>IF(Table1[[#This Row],[Is Data Valid]]=TRUE,((Table1[[#This Row],[Birthweight (grams)]]*0.9/Table1[[#This Row],[BW_GA]])-1)/(Backend!$B$4/100*Table1[[#This Row],[BW40_3705]]),"")</f>
        <v/>
      </c>
      <c r="I3384" s="7" t="str">
        <f>IF(Table1[[#This Row],[Is Data Valid]]=TRUE,((Table1[[#This Row],[Birthweight (grams)]]*1.1/Table1[[#This Row],[BW_GA]])-1)/(Backend!$B$4/100*Table1[[#This Row],[BW40_3705]]),"")</f>
        <v/>
      </c>
      <c r="J3384" s="7" t="str">
        <f>IF(Table1[[#This Row],[Is Data Valid]]=TRUE,_xlfn.NORM.S.DIST(Table1[[#This Row],[Birthweight Z-Score]],TRUE)*100,"")</f>
        <v/>
      </c>
      <c r="K3384" s="7" t="str">
        <f>IF(Table1[[#This Row],[Is Data Valid]]=TRUE,_xlfn.NORM.S.DIST(Table1[[#This Row],[Birthweight Z-Score (BW-10%)]],TRUE)*100,"")</f>
        <v/>
      </c>
      <c r="L3384" s="7" t="str">
        <f>IF(Table1[[#This Row],[Is Data Valid]]=TRUE,_xlfn.NORM.S.DIST(Table1[[#This Row],[Birthweight Z-Score (BW+10%)]],TRUE)*100,"")</f>
        <v/>
      </c>
    </row>
    <row r="3385" spans="1:12" x14ac:dyDescent="0.35">
      <c r="A3385" s="3"/>
      <c r="B3385" s="2"/>
      <c r="C3385" s="2"/>
      <c r="D3385" s="2" t="b">
        <f>IF(AND(NOT(ISBLANK(Table1[[#This Row],[Fetal Sex (Male, Female or Unknown)]])),ISNUMBER(Table1[[#This Row],[Birthweight (grams)]]),ISNUMBER(Table1[[#This Row],[Gestation (days)]])),TRUE,FALSE)</f>
        <v>0</v>
      </c>
      <c r="E3385" s="2" t="str">
        <f>IF(Table1[[#This Row],[Is Data Valid]]=TRUE,IF(Table1[[#This Row],[Fetal Sex (Male, Female or Unknown)]]="Male",Backend!$C$6,IF(Table1[[#This Row],[Fetal Sex (Male, Female or Unknown)]]="Female",Backend!$C$7,IF(Table1[[#This Row],[Fetal Sex (Male, Female or Unknown)]]="Unknown",Backend!$C$8,"Error"))),"")</f>
        <v/>
      </c>
      <c r="F3385" s="8" t="str">
        <f>IF(Table1[[#This Row],[Is Data Valid]]=TRUE,EXP(0.578+0.332*((Table1[[#This Row],[Gestation (days)]]+0.5)/7)-0.00354*((Table1[[#This Row],[Gestation (days)]]+0.5)/7)^2)*Table1[[#This Row],[BW40_3705]],"")</f>
        <v/>
      </c>
      <c r="G3385" s="2" t="str">
        <f>IF(Table1[[#This Row],[Is Data Valid]]=TRUE,((Table1[[#This Row],[Birthweight (grams)]]/Table1[[#This Row],[BW_GA]])-1)/(Backend!$B$4/100*Table1[[#This Row],[BW40_3705]]),"")</f>
        <v/>
      </c>
      <c r="H3385" s="7" t="str">
        <f>IF(Table1[[#This Row],[Is Data Valid]]=TRUE,((Table1[[#This Row],[Birthweight (grams)]]*0.9/Table1[[#This Row],[BW_GA]])-1)/(Backend!$B$4/100*Table1[[#This Row],[BW40_3705]]),"")</f>
        <v/>
      </c>
      <c r="I3385" s="7" t="str">
        <f>IF(Table1[[#This Row],[Is Data Valid]]=TRUE,((Table1[[#This Row],[Birthweight (grams)]]*1.1/Table1[[#This Row],[BW_GA]])-1)/(Backend!$B$4/100*Table1[[#This Row],[BW40_3705]]),"")</f>
        <v/>
      </c>
      <c r="J3385" s="7" t="str">
        <f>IF(Table1[[#This Row],[Is Data Valid]]=TRUE,_xlfn.NORM.S.DIST(Table1[[#This Row],[Birthweight Z-Score]],TRUE)*100,"")</f>
        <v/>
      </c>
      <c r="K3385" s="7" t="str">
        <f>IF(Table1[[#This Row],[Is Data Valid]]=TRUE,_xlfn.NORM.S.DIST(Table1[[#This Row],[Birthweight Z-Score (BW-10%)]],TRUE)*100,"")</f>
        <v/>
      </c>
      <c r="L3385" s="7" t="str">
        <f>IF(Table1[[#This Row],[Is Data Valid]]=TRUE,_xlfn.NORM.S.DIST(Table1[[#This Row],[Birthweight Z-Score (BW+10%)]],TRUE)*100,"")</f>
        <v/>
      </c>
    </row>
    <row r="3386" spans="1:12" x14ac:dyDescent="0.35">
      <c r="A3386" s="3"/>
      <c r="B3386" s="2"/>
      <c r="C3386" s="2"/>
      <c r="D3386" s="2" t="b">
        <f>IF(AND(NOT(ISBLANK(Table1[[#This Row],[Fetal Sex (Male, Female or Unknown)]])),ISNUMBER(Table1[[#This Row],[Birthweight (grams)]]),ISNUMBER(Table1[[#This Row],[Gestation (days)]])),TRUE,FALSE)</f>
        <v>0</v>
      </c>
      <c r="E3386" s="2" t="str">
        <f>IF(Table1[[#This Row],[Is Data Valid]]=TRUE,IF(Table1[[#This Row],[Fetal Sex (Male, Female or Unknown)]]="Male",Backend!$C$6,IF(Table1[[#This Row],[Fetal Sex (Male, Female or Unknown)]]="Female",Backend!$C$7,IF(Table1[[#This Row],[Fetal Sex (Male, Female or Unknown)]]="Unknown",Backend!$C$8,"Error"))),"")</f>
        <v/>
      </c>
      <c r="F3386" s="8" t="str">
        <f>IF(Table1[[#This Row],[Is Data Valid]]=TRUE,EXP(0.578+0.332*((Table1[[#This Row],[Gestation (days)]]+0.5)/7)-0.00354*((Table1[[#This Row],[Gestation (days)]]+0.5)/7)^2)*Table1[[#This Row],[BW40_3705]],"")</f>
        <v/>
      </c>
      <c r="G3386" s="2" t="str">
        <f>IF(Table1[[#This Row],[Is Data Valid]]=TRUE,((Table1[[#This Row],[Birthweight (grams)]]/Table1[[#This Row],[BW_GA]])-1)/(Backend!$B$4/100*Table1[[#This Row],[BW40_3705]]),"")</f>
        <v/>
      </c>
      <c r="H3386" s="7" t="str">
        <f>IF(Table1[[#This Row],[Is Data Valid]]=TRUE,((Table1[[#This Row],[Birthweight (grams)]]*0.9/Table1[[#This Row],[BW_GA]])-1)/(Backend!$B$4/100*Table1[[#This Row],[BW40_3705]]),"")</f>
        <v/>
      </c>
      <c r="I3386" s="7" t="str">
        <f>IF(Table1[[#This Row],[Is Data Valid]]=TRUE,((Table1[[#This Row],[Birthweight (grams)]]*1.1/Table1[[#This Row],[BW_GA]])-1)/(Backend!$B$4/100*Table1[[#This Row],[BW40_3705]]),"")</f>
        <v/>
      </c>
      <c r="J3386" s="7" t="str">
        <f>IF(Table1[[#This Row],[Is Data Valid]]=TRUE,_xlfn.NORM.S.DIST(Table1[[#This Row],[Birthweight Z-Score]],TRUE)*100,"")</f>
        <v/>
      </c>
      <c r="K3386" s="7" t="str">
        <f>IF(Table1[[#This Row],[Is Data Valid]]=TRUE,_xlfn.NORM.S.DIST(Table1[[#This Row],[Birthweight Z-Score (BW-10%)]],TRUE)*100,"")</f>
        <v/>
      </c>
      <c r="L3386" s="7" t="str">
        <f>IF(Table1[[#This Row],[Is Data Valid]]=TRUE,_xlfn.NORM.S.DIST(Table1[[#This Row],[Birthweight Z-Score (BW+10%)]],TRUE)*100,"")</f>
        <v/>
      </c>
    </row>
    <row r="3387" spans="1:12" x14ac:dyDescent="0.35">
      <c r="A3387" s="3"/>
      <c r="B3387" s="2"/>
      <c r="C3387" s="2"/>
      <c r="D3387" s="2" t="b">
        <f>IF(AND(NOT(ISBLANK(Table1[[#This Row],[Fetal Sex (Male, Female or Unknown)]])),ISNUMBER(Table1[[#This Row],[Birthweight (grams)]]),ISNUMBER(Table1[[#This Row],[Gestation (days)]])),TRUE,FALSE)</f>
        <v>0</v>
      </c>
      <c r="E3387" s="2" t="str">
        <f>IF(Table1[[#This Row],[Is Data Valid]]=TRUE,IF(Table1[[#This Row],[Fetal Sex (Male, Female or Unknown)]]="Male",Backend!$C$6,IF(Table1[[#This Row],[Fetal Sex (Male, Female or Unknown)]]="Female",Backend!$C$7,IF(Table1[[#This Row],[Fetal Sex (Male, Female or Unknown)]]="Unknown",Backend!$C$8,"Error"))),"")</f>
        <v/>
      </c>
      <c r="F3387" s="8" t="str">
        <f>IF(Table1[[#This Row],[Is Data Valid]]=TRUE,EXP(0.578+0.332*((Table1[[#This Row],[Gestation (days)]]+0.5)/7)-0.00354*((Table1[[#This Row],[Gestation (days)]]+0.5)/7)^2)*Table1[[#This Row],[BW40_3705]],"")</f>
        <v/>
      </c>
      <c r="G3387" s="2" t="str">
        <f>IF(Table1[[#This Row],[Is Data Valid]]=TRUE,((Table1[[#This Row],[Birthweight (grams)]]/Table1[[#This Row],[BW_GA]])-1)/(Backend!$B$4/100*Table1[[#This Row],[BW40_3705]]),"")</f>
        <v/>
      </c>
      <c r="H3387" s="7" t="str">
        <f>IF(Table1[[#This Row],[Is Data Valid]]=TRUE,((Table1[[#This Row],[Birthweight (grams)]]*0.9/Table1[[#This Row],[BW_GA]])-1)/(Backend!$B$4/100*Table1[[#This Row],[BW40_3705]]),"")</f>
        <v/>
      </c>
      <c r="I3387" s="7" t="str">
        <f>IF(Table1[[#This Row],[Is Data Valid]]=TRUE,((Table1[[#This Row],[Birthweight (grams)]]*1.1/Table1[[#This Row],[BW_GA]])-1)/(Backend!$B$4/100*Table1[[#This Row],[BW40_3705]]),"")</f>
        <v/>
      </c>
      <c r="J3387" s="7" t="str">
        <f>IF(Table1[[#This Row],[Is Data Valid]]=TRUE,_xlfn.NORM.S.DIST(Table1[[#This Row],[Birthweight Z-Score]],TRUE)*100,"")</f>
        <v/>
      </c>
      <c r="K3387" s="7" t="str">
        <f>IF(Table1[[#This Row],[Is Data Valid]]=TRUE,_xlfn.NORM.S.DIST(Table1[[#This Row],[Birthweight Z-Score (BW-10%)]],TRUE)*100,"")</f>
        <v/>
      </c>
      <c r="L3387" s="7" t="str">
        <f>IF(Table1[[#This Row],[Is Data Valid]]=TRUE,_xlfn.NORM.S.DIST(Table1[[#This Row],[Birthweight Z-Score (BW+10%)]],TRUE)*100,"")</f>
        <v/>
      </c>
    </row>
    <row r="3388" spans="1:12" x14ac:dyDescent="0.35">
      <c r="A3388" s="3"/>
      <c r="B3388" s="2"/>
      <c r="C3388" s="2"/>
      <c r="D3388" s="2" t="b">
        <f>IF(AND(NOT(ISBLANK(Table1[[#This Row],[Fetal Sex (Male, Female or Unknown)]])),ISNUMBER(Table1[[#This Row],[Birthweight (grams)]]),ISNUMBER(Table1[[#This Row],[Gestation (days)]])),TRUE,FALSE)</f>
        <v>0</v>
      </c>
      <c r="E3388" s="2" t="str">
        <f>IF(Table1[[#This Row],[Is Data Valid]]=TRUE,IF(Table1[[#This Row],[Fetal Sex (Male, Female or Unknown)]]="Male",Backend!$C$6,IF(Table1[[#This Row],[Fetal Sex (Male, Female or Unknown)]]="Female",Backend!$C$7,IF(Table1[[#This Row],[Fetal Sex (Male, Female or Unknown)]]="Unknown",Backend!$C$8,"Error"))),"")</f>
        <v/>
      </c>
      <c r="F3388" s="8" t="str">
        <f>IF(Table1[[#This Row],[Is Data Valid]]=TRUE,EXP(0.578+0.332*((Table1[[#This Row],[Gestation (days)]]+0.5)/7)-0.00354*((Table1[[#This Row],[Gestation (days)]]+0.5)/7)^2)*Table1[[#This Row],[BW40_3705]],"")</f>
        <v/>
      </c>
      <c r="G3388" s="2" t="str">
        <f>IF(Table1[[#This Row],[Is Data Valid]]=TRUE,((Table1[[#This Row],[Birthweight (grams)]]/Table1[[#This Row],[BW_GA]])-1)/(Backend!$B$4/100*Table1[[#This Row],[BW40_3705]]),"")</f>
        <v/>
      </c>
      <c r="H3388" s="7" t="str">
        <f>IF(Table1[[#This Row],[Is Data Valid]]=TRUE,((Table1[[#This Row],[Birthweight (grams)]]*0.9/Table1[[#This Row],[BW_GA]])-1)/(Backend!$B$4/100*Table1[[#This Row],[BW40_3705]]),"")</f>
        <v/>
      </c>
      <c r="I3388" s="7" t="str">
        <f>IF(Table1[[#This Row],[Is Data Valid]]=TRUE,((Table1[[#This Row],[Birthweight (grams)]]*1.1/Table1[[#This Row],[BW_GA]])-1)/(Backend!$B$4/100*Table1[[#This Row],[BW40_3705]]),"")</f>
        <v/>
      </c>
      <c r="J3388" s="7" t="str">
        <f>IF(Table1[[#This Row],[Is Data Valid]]=TRUE,_xlfn.NORM.S.DIST(Table1[[#This Row],[Birthweight Z-Score]],TRUE)*100,"")</f>
        <v/>
      </c>
      <c r="K3388" s="7" t="str">
        <f>IF(Table1[[#This Row],[Is Data Valid]]=TRUE,_xlfn.NORM.S.DIST(Table1[[#This Row],[Birthweight Z-Score (BW-10%)]],TRUE)*100,"")</f>
        <v/>
      </c>
      <c r="L3388" s="7" t="str">
        <f>IF(Table1[[#This Row],[Is Data Valid]]=TRUE,_xlfn.NORM.S.DIST(Table1[[#This Row],[Birthweight Z-Score (BW+10%)]],TRUE)*100,"")</f>
        <v/>
      </c>
    </row>
    <row r="3389" spans="1:12" x14ac:dyDescent="0.35">
      <c r="A3389" s="3"/>
      <c r="B3389" s="2"/>
      <c r="C3389" s="2"/>
      <c r="D3389" s="2" t="b">
        <f>IF(AND(NOT(ISBLANK(Table1[[#This Row],[Fetal Sex (Male, Female or Unknown)]])),ISNUMBER(Table1[[#This Row],[Birthweight (grams)]]),ISNUMBER(Table1[[#This Row],[Gestation (days)]])),TRUE,FALSE)</f>
        <v>0</v>
      </c>
      <c r="E3389" s="2" t="str">
        <f>IF(Table1[[#This Row],[Is Data Valid]]=TRUE,IF(Table1[[#This Row],[Fetal Sex (Male, Female or Unknown)]]="Male",Backend!$C$6,IF(Table1[[#This Row],[Fetal Sex (Male, Female or Unknown)]]="Female",Backend!$C$7,IF(Table1[[#This Row],[Fetal Sex (Male, Female or Unknown)]]="Unknown",Backend!$C$8,"Error"))),"")</f>
        <v/>
      </c>
      <c r="F3389" s="8" t="str">
        <f>IF(Table1[[#This Row],[Is Data Valid]]=TRUE,EXP(0.578+0.332*((Table1[[#This Row],[Gestation (days)]]+0.5)/7)-0.00354*((Table1[[#This Row],[Gestation (days)]]+0.5)/7)^2)*Table1[[#This Row],[BW40_3705]],"")</f>
        <v/>
      </c>
      <c r="G3389" s="2" t="str">
        <f>IF(Table1[[#This Row],[Is Data Valid]]=TRUE,((Table1[[#This Row],[Birthweight (grams)]]/Table1[[#This Row],[BW_GA]])-1)/(Backend!$B$4/100*Table1[[#This Row],[BW40_3705]]),"")</f>
        <v/>
      </c>
      <c r="H3389" s="7" t="str">
        <f>IF(Table1[[#This Row],[Is Data Valid]]=TRUE,((Table1[[#This Row],[Birthweight (grams)]]*0.9/Table1[[#This Row],[BW_GA]])-1)/(Backend!$B$4/100*Table1[[#This Row],[BW40_3705]]),"")</f>
        <v/>
      </c>
      <c r="I3389" s="7" t="str">
        <f>IF(Table1[[#This Row],[Is Data Valid]]=TRUE,((Table1[[#This Row],[Birthweight (grams)]]*1.1/Table1[[#This Row],[BW_GA]])-1)/(Backend!$B$4/100*Table1[[#This Row],[BW40_3705]]),"")</f>
        <v/>
      </c>
      <c r="J3389" s="7" t="str">
        <f>IF(Table1[[#This Row],[Is Data Valid]]=TRUE,_xlfn.NORM.S.DIST(Table1[[#This Row],[Birthweight Z-Score]],TRUE)*100,"")</f>
        <v/>
      </c>
      <c r="K3389" s="7" t="str">
        <f>IF(Table1[[#This Row],[Is Data Valid]]=TRUE,_xlfn.NORM.S.DIST(Table1[[#This Row],[Birthweight Z-Score (BW-10%)]],TRUE)*100,"")</f>
        <v/>
      </c>
      <c r="L3389" s="7" t="str">
        <f>IF(Table1[[#This Row],[Is Data Valid]]=TRUE,_xlfn.NORM.S.DIST(Table1[[#This Row],[Birthweight Z-Score (BW+10%)]],TRUE)*100,"")</f>
        <v/>
      </c>
    </row>
    <row r="3390" spans="1:12" x14ac:dyDescent="0.35">
      <c r="A3390" s="3"/>
      <c r="B3390" s="2"/>
      <c r="C3390" s="2"/>
      <c r="D3390" s="2" t="b">
        <f>IF(AND(NOT(ISBLANK(Table1[[#This Row],[Fetal Sex (Male, Female or Unknown)]])),ISNUMBER(Table1[[#This Row],[Birthweight (grams)]]),ISNUMBER(Table1[[#This Row],[Gestation (days)]])),TRUE,FALSE)</f>
        <v>0</v>
      </c>
      <c r="E3390" s="2" t="str">
        <f>IF(Table1[[#This Row],[Is Data Valid]]=TRUE,IF(Table1[[#This Row],[Fetal Sex (Male, Female or Unknown)]]="Male",Backend!$C$6,IF(Table1[[#This Row],[Fetal Sex (Male, Female or Unknown)]]="Female",Backend!$C$7,IF(Table1[[#This Row],[Fetal Sex (Male, Female or Unknown)]]="Unknown",Backend!$C$8,"Error"))),"")</f>
        <v/>
      </c>
      <c r="F3390" s="8" t="str">
        <f>IF(Table1[[#This Row],[Is Data Valid]]=TRUE,EXP(0.578+0.332*((Table1[[#This Row],[Gestation (days)]]+0.5)/7)-0.00354*((Table1[[#This Row],[Gestation (days)]]+0.5)/7)^2)*Table1[[#This Row],[BW40_3705]],"")</f>
        <v/>
      </c>
      <c r="G3390" s="2" t="str">
        <f>IF(Table1[[#This Row],[Is Data Valid]]=TRUE,((Table1[[#This Row],[Birthweight (grams)]]/Table1[[#This Row],[BW_GA]])-1)/(Backend!$B$4/100*Table1[[#This Row],[BW40_3705]]),"")</f>
        <v/>
      </c>
      <c r="H3390" s="7" t="str">
        <f>IF(Table1[[#This Row],[Is Data Valid]]=TRUE,((Table1[[#This Row],[Birthweight (grams)]]*0.9/Table1[[#This Row],[BW_GA]])-1)/(Backend!$B$4/100*Table1[[#This Row],[BW40_3705]]),"")</f>
        <v/>
      </c>
      <c r="I3390" s="7" t="str">
        <f>IF(Table1[[#This Row],[Is Data Valid]]=TRUE,((Table1[[#This Row],[Birthweight (grams)]]*1.1/Table1[[#This Row],[BW_GA]])-1)/(Backend!$B$4/100*Table1[[#This Row],[BW40_3705]]),"")</f>
        <v/>
      </c>
      <c r="J3390" s="7" t="str">
        <f>IF(Table1[[#This Row],[Is Data Valid]]=TRUE,_xlfn.NORM.S.DIST(Table1[[#This Row],[Birthweight Z-Score]],TRUE)*100,"")</f>
        <v/>
      </c>
      <c r="K3390" s="7" t="str">
        <f>IF(Table1[[#This Row],[Is Data Valid]]=TRUE,_xlfn.NORM.S.DIST(Table1[[#This Row],[Birthweight Z-Score (BW-10%)]],TRUE)*100,"")</f>
        <v/>
      </c>
      <c r="L3390" s="7" t="str">
        <f>IF(Table1[[#This Row],[Is Data Valid]]=TRUE,_xlfn.NORM.S.DIST(Table1[[#This Row],[Birthweight Z-Score (BW+10%)]],TRUE)*100,"")</f>
        <v/>
      </c>
    </row>
    <row r="3391" spans="1:12" x14ac:dyDescent="0.35">
      <c r="A3391" s="3"/>
      <c r="B3391" s="2"/>
      <c r="C3391" s="2"/>
      <c r="D3391" s="2" t="b">
        <f>IF(AND(NOT(ISBLANK(Table1[[#This Row],[Fetal Sex (Male, Female or Unknown)]])),ISNUMBER(Table1[[#This Row],[Birthweight (grams)]]),ISNUMBER(Table1[[#This Row],[Gestation (days)]])),TRUE,FALSE)</f>
        <v>0</v>
      </c>
      <c r="E3391" s="2" t="str">
        <f>IF(Table1[[#This Row],[Is Data Valid]]=TRUE,IF(Table1[[#This Row],[Fetal Sex (Male, Female or Unknown)]]="Male",Backend!$C$6,IF(Table1[[#This Row],[Fetal Sex (Male, Female or Unknown)]]="Female",Backend!$C$7,IF(Table1[[#This Row],[Fetal Sex (Male, Female or Unknown)]]="Unknown",Backend!$C$8,"Error"))),"")</f>
        <v/>
      </c>
      <c r="F3391" s="8" t="str">
        <f>IF(Table1[[#This Row],[Is Data Valid]]=TRUE,EXP(0.578+0.332*((Table1[[#This Row],[Gestation (days)]]+0.5)/7)-0.00354*((Table1[[#This Row],[Gestation (days)]]+0.5)/7)^2)*Table1[[#This Row],[BW40_3705]],"")</f>
        <v/>
      </c>
      <c r="G3391" s="2" t="str">
        <f>IF(Table1[[#This Row],[Is Data Valid]]=TRUE,((Table1[[#This Row],[Birthweight (grams)]]/Table1[[#This Row],[BW_GA]])-1)/(Backend!$B$4/100*Table1[[#This Row],[BW40_3705]]),"")</f>
        <v/>
      </c>
      <c r="H3391" s="7" t="str">
        <f>IF(Table1[[#This Row],[Is Data Valid]]=TRUE,((Table1[[#This Row],[Birthweight (grams)]]*0.9/Table1[[#This Row],[BW_GA]])-1)/(Backend!$B$4/100*Table1[[#This Row],[BW40_3705]]),"")</f>
        <v/>
      </c>
      <c r="I3391" s="7" t="str">
        <f>IF(Table1[[#This Row],[Is Data Valid]]=TRUE,((Table1[[#This Row],[Birthweight (grams)]]*1.1/Table1[[#This Row],[BW_GA]])-1)/(Backend!$B$4/100*Table1[[#This Row],[BW40_3705]]),"")</f>
        <v/>
      </c>
      <c r="J3391" s="7" t="str">
        <f>IF(Table1[[#This Row],[Is Data Valid]]=TRUE,_xlfn.NORM.S.DIST(Table1[[#This Row],[Birthweight Z-Score]],TRUE)*100,"")</f>
        <v/>
      </c>
      <c r="K3391" s="7" t="str">
        <f>IF(Table1[[#This Row],[Is Data Valid]]=TRUE,_xlfn.NORM.S.DIST(Table1[[#This Row],[Birthweight Z-Score (BW-10%)]],TRUE)*100,"")</f>
        <v/>
      </c>
      <c r="L3391" s="7" t="str">
        <f>IF(Table1[[#This Row],[Is Data Valid]]=TRUE,_xlfn.NORM.S.DIST(Table1[[#This Row],[Birthweight Z-Score (BW+10%)]],TRUE)*100,"")</f>
        <v/>
      </c>
    </row>
    <row r="3392" spans="1:12" x14ac:dyDescent="0.35">
      <c r="A3392" s="3"/>
      <c r="B3392" s="2"/>
      <c r="C3392" s="2"/>
      <c r="D3392" s="2" t="b">
        <f>IF(AND(NOT(ISBLANK(Table1[[#This Row],[Fetal Sex (Male, Female or Unknown)]])),ISNUMBER(Table1[[#This Row],[Birthweight (grams)]]),ISNUMBER(Table1[[#This Row],[Gestation (days)]])),TRUE,FALSE)</f>
        <v>0</v>
      </c>
      <c r="E3392" s="2" t="str">
        <f>IF(Table1[[#This Row],[Is Data Valid]]=TRUE,IF(Table1[[#This Row],[Fetal Sex (Male, Female or Unknown)]]="Male",Backend!$C$6,IF(Table1[[#This Row],[Fetal Sex (Male, Female or Unknown)]]="Female",Backend!$C$7,IF(Table1[[#This Row],[Fetal Sex (Male, Female or Unknown)]]="Unknown",Backend!$C$8,"Error"))),"")</f>
        <v/>
      </c>
      <c r="F3392" s="8" t="str">
        <f>IF(Table1[[#This Row],[Is Data Valid]]=TRUE,EXP(0.578+0.332*((Table1[[#This Row],[Gestation (days)]]+0.5)/7)-0.00354*((Table1[[#This Row],[Gestation (days)]]+0.5)/7)^2)*Table1[[#This Row],[BW40_3705]],"")</f>
        <v/>
      </c>
      <c r="G3392" s="2" t="str">
        <f>IF(Table1[[#This Row],[Is Data Valid]]=TRUE,((Table1[[#This Row],[Birthweight (grams)]]/Table1[[#This Row],[BW_GA]])-1)/(Backend!$B$4/100*Table1[[#This Row],[BW40_3705]]),"")</f>
        <v/>
      </c>
      <c r="H3392" s="7" t="str">
        <f>IF(Table1[[#This Row],[Is Data Valid]]=TRUE,((Table1[[#This Row],[Birthweight (grams)]]*0.9/Table1[[#This Row],[BW_GA]])-1)/(Backend!$B$4/100*Table1[[#This Row],[BW40_3705]]),"")</f>
        <v/>
      </c>
      <c r="I3392" s="7" t="str">
        <f>IF(Table1[[#This Row],[Is Data Valid]]=TRUE,((Table1[[#This Row],[Birthweight (grams)]]*1.1/Table1[[#This Row],[BW_GA]])-1)/(Backend!$B$4/100*Table1[[#This Row],[BW40_3705]]),"")</f>
        <v/>
      </c>
      <c r="J3392" s="7" t="str">
        <f>IF(Table1[[#This Row],[Is Data Valid]]=TRUE,_xlfn.NORM.S.DIST(Table1[[#This Row],[Birthweight Z-Score]],TRUE)*100,"")</f>
        <v/>
      </c>
      <c r="K3392" s="7" t="str">
        <f>IF(Table1[[#This Row],[Is Data Valid]]=TRUE,_xlfn.NORM.S.DIST(Table1[[#This Row],[Birthweight Z-Score (BW-10%)]],TRUE)*100,"")</f>
        <v/>
      </c>
      <c r="L3392" s="7" t="str">
        <f>IF(Table1[[#This Row],[Is Data Valid]]=TRUE,_xlfn.NORM.S.DIST(Table1[[#This Row],[Birthweight Z-Score (BW+10%)]],TRUE)*100,"")</f>
        <v/>
      </c>
    </row>
    <row r="3393" spans="1:12" x14ac:dyDescent="0.35">
      <c r="A3393" s="3"/>
      <c r="B3393" s="2"/>
      <c r="C3393" s="2"/>
      <c r="D3393" s="2" t="b">
        <f>IF(AND(NOT(ISBLANK(Table1[[#This Row],[Fetal Sex (Male, Female or Unknown)]])),ISNUMBER(Table1[[#This Row],[Birthweight (grams)]]),ISNUMBER(Table1[[#This Row],[Gestation (days)]])),TRUE,FALSE)</f>
        <v>0</v>
      </c>
      <c r="E3393" s="2" t="str">
        <f>IF(Table1[[#This Row],[Is Data Valid]]=TRUE,IF(Table1[[#This Row],[Fetal Sex (Male, Female or Unknown)]]="Male",Backend!$C$6,IF(Table1[[#This Row],[Fetal Sex (Male, Female or Unknown)]]="Female",Backend!$C$7,IF(Table1[[#This Row],[Fetal Sex (Male, Female or Unknown)]]="Unknown",Backend!$C$8,"Error"))),"")</f>
        <v/>
      </c>
      <c r="F3393" s="8" t="str">
        <f>IF(Table1[[#This Row],[Is Data Valid]]=TRUE,EXP(0.578+0.332*((Table1[[#This Row],[Gestation (days)]]+0.5)/7)-0.00354*((Table1[[#This Row],[Gestation (days)]]+0.5)/7)^2)*Table1[[#This Row],[BW40_3705]],"")</f>
        <v/>
      </c>
      <c r="G3393" s="2" t="str">
        <f>IF(Table1[[#This Row],[Is Data Valid]]=TRUE,((Table1[[#This Row],[Birthweight (grams)]]/Table1[[#This Row],[BW_GA]])-1)/(Backend!$B$4/100*Table1[[#This Row],[BW40_3705]]),"")</f>
        <v/>
      </c>
      <c r="H3393" s="7" t="str">
        <f>IF(Table1[[#This Row],[Is Data Valid]]=TRUE,((Table1[[#This Row],[Birthweight (grams)]]*0.9/Table1[[#This Row],[BW_GA]])-1)/(Backend!$B$4/100*Table1[[#This Row],[BW40_3705]]),"")</f>
        <v/>
      </c>
      <c r="I3393" s="7" t="str">
        <f>IF(Table1[[#This Row],[Is Data Valid]]=TRUE,((Table1[[#This Row],[Birthweight (grams)]]*1.1/Table1[[#This Row],[BW_GA]])-1)/(Backend!$B$4/100*Table1[[#This Row],[BW40_3705]]),"")</f>
        <v/>
      </c>
      <c r="J3393" s="7" t="str">
        <f>IF(Table1[[#This Row],[Is Data Valid]]=TRUE,_xlfn.NORM.S.DIST(Table1[[#This Row],[Birthweight Z-Score]],TRUE)*100,"")</f>
        <v/>
      </c>
      <c r="K3393" s="7" t="str">
        <f>IF(Table1[[#This Row],[Is Data Valid]]=TRUE,_xlfn.NORM.S.DIST(Table1[[#This Row],[Birthweight Z-Score (BW-10%)]],TRUE)*100,"")</f>
        <v/>
      </c>
      <c r="L3393" s="7" t="str">
        <f>IF(Table1[[#This Row],[Is Data Valid]]=TRUE,_xlfn.NORM.S.DIST(Table1[[#This Row],[Birthweight Z-Score (BW+10%)]],TRUE)*100,"")</f>
        <v/>
      </c>
    </row>
    <row r="3394" spans="1:12" x14ac:dyDescent="0.35">
      <c r="A3394" s="3"/>
      <c r="B3394" s="2"/>
      <c r="C3394" s="2"/>
      <c r="D3394" s="2" t="b">
        <f>IF(AND(NOT(ISBLANK(Table1[[#This Row],[Fetal Sex (Male, Female or Unknown)]])),ISNUMBER(Table1[[#This Row],[Birthweight (grams)]]),ISNUMBER(Table1[[#This Row],[Gestation (days)]])),TRUE,FALSE)</f>
        <v>0</v>
      </c>
      <c r="E3394" s="2" t="str">
        <f>IF(Table1[[#This Row],[Is Data Valid]]=TRUE,IF(Table1[[#This Row],[Fetal Sex (Male, Female or Unknown)]]="Male",Backend!$C$6,IF(Table1[[#This Row],[Fetal Sex (Male, Female or Unknown)]]="Female",Backend!$C$7,IF(Table1[[#This Row],[Fetal Sex (Male, Female or Unknown)]]="Unknown",Backend!$C$8,"Error"))),"")</f>
        <v/>
      </c>
      <c r="F3394" s="8" t="str">
        <f>IF(Table1[[#This Row],[Is Data Valid]]=TRUE,EXP(0.578+0.332*((Table1[[#This Row],[Gestation (days)]]+0.5)/7)-0.00354*((Table1[[#This Row],[Gestation (days)]]+0.5)/7)^2)*Table1[[#This Row],[BW40_3705]],"")</f>
        <v/>
      </c>
      <c r="G3394" s="2" t="str">
        <f>IF(Table1[[#This Row],[Is Data Valid]]=TRUE,((Table1[[#This Row],[Birthweight (grams)]]/Table1[[#This Row],[BW_GA]])-1)/(Backend!$B$4/100*Table1[[#This Row],[BW40_3705]]),"")</f>
        <v/>
      </c>
      <c r="H3394" s="7" t="str">
        <f>IF(Table1[[#This Row],[Is Data Valid]]=TRUE,((Table1[[#This Row],[Birthweight (grams)]]*0.9/Table1[[#This Row],[BW_GA]])-1)/(Backend!$B$4/100*Table1[[#This Row],[BW40_3705]]),"")</f>
        <v/>
      </c>
      <c r="I3394" s="7" t="str">
        <f>IF(Table1[[#This Row],[Is Data Valid]]=TRUE,((Table1[[#This Row],[Birthweight (grams)]]*1.1/Table1[[#This Row],[BW_GA]])-1)/(Backend!$B$4/100*Table1[[#This Row],[BW40_3705]]),"")</f>
        <v/>
      </c>
      <c r="J3394" s="7" t="str">
        <f>IF(Table1[[#This Row],[Is Data Valid]]=TRUE,_xlfn.NORM.S.DIST(Table1[[#This Row],[Birthweight Z-Score]],TRUE)*100,"")</f>
        <v/>
      </c>
      <c r="K3394" s="7" t="str">
        <f>IF(Table1[[#This Row],[Is Data Valid]]=TRUE,_xlfn.NORM.S.DIST(Table1[[#This Row],[Birthweight Z-Score (BW-10%)]],TRUE)*100,"")</f>
        <v/>
      </c>
      <c r="L3394" s="7" t="str">
        <f>IF(Table1[[#This Row],[Is Data Valid]]=TRUE,_xlfn.NORM.S.DIST(Table1[[#This Row],[Birthweight Z-Score (BW+10%)]],TRUE)*100,"")</f>
        <v/>
      </c>
    </row>
    <row r="3395" spans="1:12" x14ac:dyDescent="0.35">
      <c r="A3395" s="3"/>
      <c r="B3395" s="2"/>
      <c r="C3395" s="2"/>
      <c r="D3395" s="2" t="b">
        <f>IF(AND(NOT(ISBLANK(Table1[[#This Row],[Fetal Sex (Male, Female or Unknown)]])),ISNUMBER(Table1[[#This Row],[Birthweight (grams)]]),ISNUMBER(Table1[[#This Row],[Gestation (days)]])),TRUE,FALSE)</f>
        <v>0</v>
      </c>
      <c r="E3395" s="2" t="str">
        <f>IF(Table1[[#This Row],[Is Data Valid]]=TRUE,IF(Table1[[#This Row],[Fetal Sex (Male, Female or Unknown)]]="Male",Backend!$C$6,IF(Table1[[#This Row],[Fetal Sex (Male, Female or Unknown)]]="Female",Backend!$C$7,IF(Table1[[#This Row],[Fetal Sex (Male, Female or Unknown)]]="Unknown",Backend!$C$8,"Error"))),"")</f>
        <v/>
      </c>
      <c r="F3395" s="8" t="str">
        <f>IF(Table1[[#This Row],[Is Data Valid]]=TRUE,EXP(0.578+0.332*((Table1[[#This Row],[Gestation (days)]]+0.5)/7)-0.00354*((Table1[[#This Row],[Gestation (days)]]+0.5)/7)^2)*Table1[[#This Row],[BW40_3705]],"")</f>
        <v/>
      </c>
      <c r="G3395" s="2" t="str">
        <f>IF(Table1[[#This Row],[Is Data Valid]]=TRUE,((Table1[[#This Row],[Birthweight (grams)]]/Table1[[#This Row],[BW_GA]])-1)/(Backend!$B$4/100*Table1[[#This Row],[BW40_3705]]),"")</f>
        <v/>
      </c>
      <c r="H3395" s="7" t="str">
        <f>IF(Table1[[#This Row],[Is Data Valid]]=TRUE,((Table1[[#This Row],[Birthweight (grams)]]*0.9/Table1[[#This Row],[BW_GA]])-1)/(Backend!$B$4/100*Table1[[#This Row],[BW40_3705]]),"")</f>
        <v/>
      </c>
      <c r="I3395" s="7" t="str">
        <f>IF(Table1[[#This Row],[Is Data Valid]]=TRUE,((Table1[[#This Row],[Birthweight (grams)]]*1.1/Table1[[#This Row],[BW_GA]])-1)/(Backend!$B$4/100*Table1[[#This Row],[BW40_3705]]),"")</f>
        <v/>
      </c>
      <c r="J3395" s="7" t="str">
        <f>IF(Table1[[#This Row],[Is Data Valid]]=TRUE,_xlfn.NORM.S.DIST(Table1[[#This Row],[Birthweight Z-Score]],TRUE)*100,"")</f>
        <v/>
      </c>
      <c r="K3395" s="7" t="str">
        <f>IF(Table1[[#This Row],[Is Data Valid]]=TRUE,_xlfn.NORM.S.DIST(Table1[[#This Row],[Birthweight Z-Score (BW-10%)]],TRUE)*100,"")</f>
        <v/>
      </c>
      <c r="L3395" s="7" t="str">
        <f>IF(Table1[[#This Row],[Is Data Valid]]=TRUE,_xlfn.NORM.S.DIST(Table1[[#This Row],[Birthweight Z-Score (BW+10%)]],TRUE)*100,"")</f>
        <v/>
      </c>
    </row>
    <row r="3396" spans="1:12" x14ac:dyDescent="0.35">
      <c r="A3396" s="3"/>
      <c r="B3396" s="2"/>
      <c r="C3396" s="2"/>
      <c r="D3396" s="2" t="b">
        <f>IF(AND(NOT(ISBLANK(Table1[[#This Row],[Fetal Sex (Male, Female or Unknown)]])),ISNUMBER(Table1[[#This Row],[Birthweight (grams)]]),ISNUMBER(Table1[[#This Row],[Gestation (days)]])),TRUE,FALSE)</f>
        <v>0</v>
      </c>
      <c r="E3396" s="2" t="str">
        <f>IF(Table1[[#This Row],[Is Data Valid]]=TRUE,IF(Table1[[#This Row],[Fetal Sex (Male, Female or Unknown)]]="Male",Backend!$C$6,IF(Table1[[#This Row],[Fetal Sex (Male, Female or Unknown)]]="Female",Backend!$C$7,IF(Table1[[#This Row],[Fetal Sex (Male, Female or Unknown)]]="Unknown",Backend!$C$8,"Error"))),"")</f>
        <v/>
      </c>
      <c r="F3396" s="8" t="str">
        <f>IF(Table1[[#This Row],[Is Data Valid]]=TRUE,EXP(0.578+0.332*((Table1[[#This Row],[Gestation (days)]]+0.5)/7)-0.00354*((Table1[[#This Row],[Gestation (days)]]+0.5)/7)^2)*Table1[[#This Row],[BW40_3705]],"")</f>
        <v/>
      </c>
      <c r="G3396" s="2" t="str">
        <f>IF(Table1[[#This Row],[Is Data Valid]]=TRUE,((Table1[[#This Row],[Birthweight (grams)]]/Table1[[#This Row],[BW_GA]])-1)/(Backend!$B$4/100*Table1[[#This Row],[BW40_3705]]),"")</f>
        <v/>
      </c>
      <c r="H3396" s="7" t="str">
        <f>IF(Table1[[#This Row],[Is Data Valid]]=TRUE,((Table1[[#This Row],[Birthweight (grams)]]*0.9/Table1[[#This Row],[BW_GA]])-1)/(Backend!$B$4/100*Table1[[#This Row],[BW40_3705]]),"")</f>
        <v/>
      </c>
      <c r="I3396" s="7" t="str">
        <f>IF(Table1[[#This Row],[Is Data Valid]]=TRUE,((Table1[[#This Row],[Birthweight (grams)]]*1.1/Table1[[#This Row],[BW_GA]])-1)/(Backend!$B$4/100*Table1[[#This Row],[BW40_3705]]),"")</f>
        <v/>
      </c>
      <c r="J3396" s="7" t="str">
        <f>IF(Table1[[#This Row],[Is Data Valid]]=TRUE,_xlfn.NORM.S.DIST(Table1[[#This Row],[Birthweight Z-Score]],TRUE)*100,"")</f>
        <v/>
      </c>
      <c r="K3396" s="7" t="str">
        <f>IF(Table1[[#This Row],[Is Data Valid]]=TRUE,_xlfn.NORM.S.DIST(Table1[[#This Row],[Birthweight Z-Score (BW-10%)]],TRUE)*100,"")</f>
        <v/>
      </c>
      <c r="L3396" s="7" t="str">
        <f>IF(Table1[[#This Row],[Is Data Valid]]=TRUE,_xlfn.NORM.S.DIST(Table1[[#This Row],[Birthweight Z-Score (BW+10%)]],TRUE)*100,"")</f>
        <v/>
      </c>
    </row>
    <row r="3397" spans="1:12" x14ac:dyDescent="0.35">
      <c r="A3397" s="3"/>
      <c r="B3397" s="2"/>
      <c r="C3397" s="2"/>
      <c r="D3397" s="2" t="b">
        <f>IF(AND(NOT(ISBLANK(Table1[[#This Row],[Fetal Sex (Male, Female or Unknown)]])),ISNUMBER(Table1[[#This Row],[Birthweight (grams)]]),ISNUMBER(Table1[[#This Row],[Gestation (days)]])),TRUE,FALSE)</f>
        <v>0</v>
      </c>
      <c r="E3397" s="2" t="str">
        <f>IF(Table1[[#This Row],[Is Data Valid]]=TRUE,IF(Table1[[#This Row],[Fetal Sex (Male, Female or Unknown)]]="Male",Backend!$C$6,IF(Table1[[#This Row],[Fetal Sex (Male, Female or Unknown)]]="Female",Backend!$C$7,IF(Table1[[#This Row],[Fetal Sex (Male, Female or Unknown)]]="Unknown",Backend!$C$8,"Error"))),"")</f>
        <v/>
      </c>
      <c r="F3397" s="8" t="str">
        <f>IF(Table1[[#This Row],[Is Data Valid]]=TRUE,EXP(0.578+0.332*((Table1[[#This Row],[Gestation (days)]]+0.5)/7)-0.00354*((Table1[[#This Row],[Gestation (days)]]+0.5)/7)^2)*Table1[[#This Row],[BW40_3705]],"")</f>
        <v/>
      </c>
      <c r="G3397" s="2" t="str">
        <f>IF(Table1[[#This Row],[Is Data Valid]]=TRUE,((Table1[[#This Row],[Birthweight (grams)]]/Table1[[#This Row],[BW_GA]])-1)/(Backend!$B$4/100*Table1[[#This Row],[BW40_3705]]),"")</f>
        <v/>
      </c>
      <c r="H3397" s="7" t="str">
        <f>IF(Table1[[#This Row],[Is Data Valid]]=TRUE,((Table1[[#This Row],[Birthweight (grams)]]*0.9/Table1[[#This Row],[BW_GA]])-1)/(Backend!$B$4/100*Table1[[#This Row],[BW40_3705]]),"")</f>
        <v/>
      </c>
      <c r="I3397" s="7" t="str">
        <f>IF(Table1[[#This Row],[Is Data Valid]]=TRUE,((Table1[[#This Row],[Birthweight (grams)]]*1.1/Table1[[#This Row],[BW_GA]])-1)/(Backend!$B$4/100*Table1[[#This Row],[BW40_3705]]),"")</f>
        <v/>
      </c>
      <c r="J3397" s="7" t="str">
        <f>IF(Table1[[#This Row],[Is Data Valid]]=TRUE,_xlfn.NORM.S.DIST(Table1[[#This Row],[Birthweight Z-Score]],TRUE)*100,"")</f>
        <v/>
      </c>
      <c r="K3397" s="7" t="str">
        <f>IF(Table1[[#This Row],[Is Data Valid]]=TRUE,_xlfn.NORM.S.DIST(Table1[[#This Row],[Birthweight Z-Score (BW-10%)]],TRUE)*100,"")</f>
        <v/>
      </c>
      <c r="L3397" s="7" t="str">
        <f>IF(Table1[[#This Row],[Is Data Valid]]=TRUE,_xlfn.NORM.S.DIST(Table1[[#This Row],[Birthweight Z-Score (BW+10%)]],TRUE)*100,"")</f>
        <v/>
      </c>
    </row>
    <row r="3398" spans="1:12" x14ac:dyDescent="0.35">
      <c r="A3398" s="3"/>
      <c r="B3398" s="2"/>
      <c r="C3398" s="2"/>
      <c r="D3398" s="2" t="b">
        <f>IF(AND(NOT(ISBLANK(Table1[[#This Row],[Fetal Sex (Male, Female or Unknown)]])),ISNUMBER(Table1[[#This Row],[Birthweight (grams)]]),ISNUMBER(Table1[[#This Row],[Gestation (days)]])),TRUE,FALSE)</f>
        <v>0</v>
      </c>
      <c r="E3398" s="2" t="str">
        <f>IF(Table1[[#This Row],[Is Data Valid]]=TRUE,IF(Table1[[#This Row],[Fetal Sex (Male, Female or Unknown)]]="Male",Backend!$C$6,IF(Table1[[#This Row],[Fetal Sex (Male, Female or Unknown)]]="Female",Backend!$C$7,IF(Table1[[#This Row],[Fetal Sex (Male, Female or Unknown)]]="Unknown",Backend!$C$8,"Error"))),"")</f>
        <v/>
      </c>
      <c r="F3398" s="8" t="str">
        <f>IF(Table1[[#This Row],[Is Data Valid]]=TRUE,EXP(0.578+0.332*((Table1[[#This Row],[Gestation (days)]]+0.5)/7)-0.00354*((Table1[[#This Row],[Gestation (days)]]+0.5)/7)^2)*Table1[[#This Row],[BW40_3705]],"")</f>
        <v/>
      </c>
      <c r="G3398" s="2" t="str">
        <f>IF(Table1[[#This Row],[Is Data Valid]]=TRUE,((Table1[[#This Row],[Birthweight (grams)]]/Table1[[#This Row],[BW_GA]])-1)/(Backend!$B$4/100*Table1[[#This Row],[BW40_3705]]),"")</f>
        <v/>
      </c>
      <c r="H3398" s="7" t="str">
        <f>IF(Table1[[#This Row],[Is Data Valid]]=TRUE,((Table1[[#This Row],[Birthweight (grams)]]*0.9/Table1[[#This Row],[BW_GA]])-1)/(Backend!$B$4/100*Table1[[#This Row],[BW40_3705]]),"")</f>
        <v/>
      </c>
      <c r="I3398" s="7" t="str">
        <f>IF(Table1[[#This Row],[Is Data Valid]]=TRUE,((Table1[[#This Row],[Birthweight (grams)]]*1.1/Table1[[#This Row],[BW_GA]])-1)/(Backend!$B$4/100*Table1[[#This Row],[BW40_3705]]),"")</f>
        <v/>
      </c>
      <c r="J3398" s="7" t="str">
        <f>IF(Table1[[#This Row],[Is Data Valid]]=TRUE,_xlfn.NORM.S.DIST(Table1[[#This Row],[Birthweight Z-Score]],TRUE)*100,"")</f>
        <v/>
      </c>
      <c r="K3398" s="7" t="str">
        <f>IF(Table1[[#This Row],[Is Data Valid]]=TRUE,_xlfn.NORM.S.DIST(Table1[[#This Row],[Birthweight Z-Score (BW-10%)]],TRUE)*100,"")</f>
        <v/>
      </c>
      <c r="L3398" s="7" t="str">
        <f>IF(Table1[[#This Row],[Is Data Valid]]=TRUE,_xlfn.NORM.S.DIST(Table1[[#This Row],[Birthweight Z-Score (BW+10%)]],TRUE)*100,"")</f>
        <v/>
      </c>
    </row>
    <row r="3399" spans="1:12" x14ac:dyDescent="0.35">
      <c r="A3399" s="3"/>
      <c r="B3399" s="2"/>
      <c r="C3399" s="2"/>
      <c r="D3399" s="2" t="b">
        <f>IF(AND(NOT(ISBLANK(Table1[[#This Row],[Fetal Sex (Male, Female or Unknown)]])),ISNUMBER(Table1[[#This Row],[Birthweight (grams)]]),ISNUMBER(Table1[[#This Row],[Gestation (days)]])),TRUE,FALSE)</f>
        <v>0</v>
      </c>
      <c r="E3399" s="2" t="str">
        <f>IF(Table1[[#This Row],[Is Data Valid]]=TRUE,IF(Table1[[#This Row],[Fetal Sex (Male, Female or Unknown)]]="Male",Backend!$C$6,IF(Table1[[#This Row],[Fetal Sex (Male, Female or Unknown)]]="Female",Backend!$C$7,IF(Table1[[#This Row],[Fetal Sex (Male, Female or Unknown)]]="Unknown",Backend!$C$8,"Error"))),"")</f>
        <v/>
      </c>
      <c r="F3399" s="8" t="str">
        <f>IF(Table1[[#This Row],[Is Data Valid]]=TRUE,EXP(0.578+0.332*((Table1[[#This Row],[Gestation (days)]]+0.5)/7)-0.00354*((Table1[[#This Row],[Gestation (days)]]+0.5)/7)^2)*Table1[[#This Row],[BW40_3705]],"")</f>
        <v/>
      </c>
      <c r="G3399" s="2" t="str">
        <f>IF(Table1[[#This Row],[Is Data Valid]]=TRUE,((Table1[[#This Row],[Birthweight (grams)]]/Table1[[#This Row],[BW_GA]])-1)/(Backend!$B$4/100*Table1[[#This Row],[BW40_3705]]),"")</f>
        <v/>
      </c>
      <c r="H3399" s="7" t="str">
        <f>IF(Table1[[#This Row],[Is Data Valid]]=TRUE,((Table1[[#This Row],[Birthweight (grams)]]*0.9/Table1[[#This Row],[BW_GA]])-1)/(Backend!$B$4/100*Table1[[#This Row],[BW40_3705]]),"")</f>
        <v/>
      </c>
      <c r="I3399" s="7" t="str">
        <f>IF(Table1[[#This Row],[Is Data Valid]]=TRUE,((Table1[[#This Row],[Birthweight (grams)]]*1.1/Table1[[#This Row],[BW_GA]])-1)/(Backend!$B$4/100*Table1[[#This Row],[BW40_3705]]),"")</f>
        <v/>
      </c>
      <c r="J3399" s="7" t="str">
        <f>IF(Table1[[#This Row],[Is Data Valid]]=TRUE,_xlfn.NORM.S.DIST(Table1[[#This Row],[Birthweight Z-Score]],TRUE)*100,"")</f>
        <v/>
      </c>
      <c r="K3399" s="7" t="str">
        <f>IF(Table1[[#This Row],[Is Data Valid]]=TRUE,_xlfn.NORM.S.DIST(Table1[[#This Row],[Birthweight Z-Score (BW-10%)]],TRUE)*100,"")</f>
        <v/>
      </c>
      <c r="L3399" s="7" t="str">
        <f>IF(Table1[[#This Row],[Is Data Valid]]=TRUE,_xlfn.NORM.S.DIST(Table1[[#This Row],[Birthweight Z-Score (BW+10%)]],TRUE)*100,"")</f>
        <v/>
      </c>
    </row>
    <row r="3400" spans="1:12" x14ac:dyDescent="0.35">
      <c r="A3400" s="3"/>
      <c r="B3400" s="2"/>
      <c r="C3400" s="2"/>
      <c r="D3400" s="2" t="b">
        <f>IF(AND(NOT(ISBLANK(Table1[[#This Row],[Fetal Sex (Male, Female or Unknown)]])),ISNUMBER(Table1[[#This Row],[Birthweight (grams)]]),ISNUMBER(Table1[[#This Row],[Gestation (days)]])),TRUE,FALSE)</f>
        <v>0</v>
      </c>
      <c r="E3400" s="2" t="str">
        <f>IF(Table1[[#This Row],[Is Data Valid]]=TRUE,IF(Table1[[#This Row],[Fetal Sex (Male, Female or Unknown)]]="Male",Backend!$C$6,IF(Table1[[#This Row],[Fetal Sex (Male, Female or Unknown)]]="Female",Backend!$C$7,IF(Table1[[#This Row],[Fetal Sex (Male, Female or Unknown)]]="Unknown",Backend!$C$8,"Error"))),"")</f>
        <v/>
      </c>
      <c r="F3400" s="8" t="str">
        <f>IF(Table1[[#This Row],[Is Data Valid]]=TRUE,EXP(0.578+0.332*((Table1[[#This Row],[Gestation (days)]]+0.5)/7)-0.00354*((Table1[[#This Row],[Gestation (days)]]+0.5)/7)^2)*Table1[[#This Row],[BW40_3705]],"")</f>
        <v/>
      </c>
      <c r="G3400" s="2" t="str">
        <f>IF(Table1[[#This Row],[Is Data Valid]]=TRUE,((Table1[[#This Row],[Birthweight (grams)]]/Table1[[#This Row],[BW_GA]])-1)/(Backend!$B$4/100*Table1[[#This Row],[BW40_3705]]),"")</f>
        <v/>
      </c>
      <c r="H3400" s="7" t="str">
        <f>IF(Table1[[#This Row],[Is Data Valid]]=TRUE,((Table1[[#This Row],[Birthweight (grams)]]*0.9/Table1[[#This Row],[BW_GA]])-1)/(Backend!$B$4/100*Table1[[#This Row],[BW40_3705]]),"")</f>
        <v/>
      </c>
      <c r="I3400" s="7" t="str">
        <f>IF(Table1[[#This Row],[Is Data Valid]]=TRUE,((Table1[[#This Row],[Birthweight (grams)]]*1.1/Table1[[#This Row],[BW_GA]])-1)/(Backend!$B$4/100*Table1[[#This Row],[BW40_3705]]),"")</f>
        <v/>
      </c>
      <c r="J3400" s="7" t="str">
        <f>IF(Table1[[#This Row],[Is Data Valid]]=TRUE,_xlfn.NORM.S.DIST(Table1[[#This Row],[Birthweight Z-Score]],TRUE)*100,"")</f>
        <v/>
      </c>
      <c r="K3400" s="7" t="str">
        <f>IF(Table1[[#This Row],[Is Data Valid]]=TRUE,_xlfn.NORM.S.DIST(Table1[[#This Row],[Birthweight Z-Score (BW-10%)]],TRUE)*100,"")</f>
        <v/>
      </c>
      <c r="L3400" s="7" t="str">
        <f>IF(Table1[[#This Row],[Is Data Valid]]=TRUE,_xlfn.NORM.S.DIST(Table1[[#This Row],[Birthweight Z-Score (BW+10%)]],TRUE)*100,"")</f>
        <v/>
      </c>
    </row>
    <row r="3401" spans="1:12" x14ac:dyDescent="0.35">
      <c r="A3401" s="3"/>
      <c r="B3401" s="2"/>
      <c r="C3401" s="2"/>
      <c r="D3401" s="2" t="b">
        <f>IF(AND(NOT(ISBLANK(Table1[[#This Row],[Fetal Sex (Male, Female or Unknown)]])),ISNUMBER(Table1[[#This Row],[Birthweight (grams)]]),ISNUMBER(Table1[[#This Row],[Gestation (days)]])),TRUE,FALSE)</f>
        <v>0</v>
      </c>
      <c r="E3401" s="2" t="str">
        <f>IF(Table1[[#This Row],[Is Data Valid]]=TRUE,IF(Table1[[#This Row],[Fetal Sex (Male, Female or Unknown)]]="Male",Backend!$C$6,IF(Table1[[#This Row],[Fetal Sex (Male, Female or Unknown)]]="Female",Backend!$C$7,IF(Table1[[#This Row],[Fetal Sex (Male, Female or Unknown)]]="Unknown",Backend!$C$8,"Error"))),"")</f>
        <v/>
      </c>
      <c r="F3401" s="8" t="str">
        <f>IF(Table1[[#This Row],[Is Data Valid]]=TRUE,EXP(0.578+0.332*((Table1[[#This Row],[Gestation (days)]]+0.5)/7)-0.00354*((Table1[[#This Row],[Gestation (days)]]+0.5)/7)^2)*Table1[[#This Row],[BW40_3705]],"")</f>
        <v/>
      </c>
      <c r="G3401" s="2" t="str">
        <f>IF(Table1[[#This Row],[Is Data Valid]]=TRUE,((Table1[[#This Row],[Birthweight (grams)]]/Table1[[#This Row],[BW_GA]])-1)/(Backend!$B$4/100*Table1[[#This Row],[BW40_3705]]),"")</f>
        <v/>
      </c>
      <c r="H3401" s="7" t="str">
        <f>IF(Table1[[#This Row],[Is Data Valid]]=TRUE,((Table1[[#This Row],[Birthweight (grams)]]*0.9/Table1[[#This Row],[BW_GA]])-1)/(Backend!$B$4/100*Table1[[#This Row],[BW40_3705]]),"")</f>
        <v/>
      </c>
      <c r="I3401" s="7" t="str">
        <f>IF(Table1[[#This Row],[Is Data Valid]]=TRUE,((Table1[[#This Row],[Birthweight (grams)]]*1.1/Table1[[#This Row],[BW_GA]])-1)/(Backend!$B$4/100*Table1[[#This Row],[BW40_3705]]),"")</f>
        <v/>
      </c>
      <c r="J3401" s="7" t="str">
        <f>IF(Table1[[#This Row],[Is Data Valid]]=TRUE,_xlfn.NORM.S.DIST(Table1[[#This Row],[Birthweight Z-Score]],TRUE)*100,"")</f>
        <v/>
      </c>
      <c r="K3401" s="7" t="str">
        <f>IF(Table1[[#This Row],[Is Data Valid]]=TRUE,_xlfn.NORM.S.DIST(Table1[[#This Row],[Birthweight Z-Score (BW-10%)]],TRUE)*100,"")</f>
        <v/>
      </c>
      <c r="L3401" s="7" t="str">
        <f>IF(Table1[[#This Row],[Is Data Valid]]=TRUE,_xlfn.NORM.S.DIST(Table1[[#This Row],[Birthweight Z-Score (BW+10%)]],TRUE)*100,"")</f>
        <v/>
      </c>
    </row>
    <row r="3402" spans="1:12" x14ac:dyDescent="0.35">
      <c r="A3402" s="3"/>
      <c r="B3402" s="2"/>
      <c r="C3402" s="2"/>
      <c r="D3402" s="2" t="b">
        <f>IF(AND(NOT(ISBLANK(Table1[[#This Row],[Fetal Sex (Male, Female or Unknown)]])),ISNUMBER(Table1[[#This Row],[Birthweight (grams)]]),ISNUMBER(Table1[[#This Row],[Gestation (days)]])),TRUE,FALSE)</f>
        <v>0</v>
      </c>
      <c r="E3402" s="2" t="str">
        <f>IF(Table1[[#This Row],[Is Data Valid]]=TRUE,IF(Table1[[#This Row],[Fetal Sex (Male, Female or Unknown)]]="Male",Backend!$C$6,IF(Table1[[#This Row],[Fetal Sex (Male, Female or Unknown)]]="Female",Backend!$C$7,IF(Table1[[#This Row],[Fetal Sex (Male, Female or Unknown)]]="Unknown",Backend!$C$8,"Error"))),"")</f>
        <v/>
      </c>
      <c r="F3402" s="8" t="str">
        <f>IF(Table1[[#This Row],[Is Data Valid]]=TRUE,EXP(0.578+0.332*((Table1[[#This Row],[Gestation (days)]]+0.5)/7)-0.00354*((Table1[[#This Row],[Gestation (days)]]+0.5)/7)^2)*Table1[[#This Row],[BW40_3705]],"")</f>
        <v/>
      </c>
      <c r="G3402" s="2" t="str">
        <f>IF(Table1[[#This Row],[Is Data Valid]]=TRUE,((Table1[[#This Row],[Birthweight (grams)]]/Table1[[#This Row],[BW_GA]])-1)/(Backend!$B$4/100*Table1[[#This Row],[BW40_3705]]),"")</f>
        <v/>
      </c>
      <c r="H3402" s="7" t="str">
        <f>IF(Table1[[#This Row],[Is Data Valid]]=TRUE,((Table1[[#This Row],[Birthweight (grams)]]*0.9/Table1[[#This Row],[BW_GA]])-1)/(Backend!$B$4/100*Table1[[#This Row],[BW40_3705]]),"")</f>
        <v/>
      </c>
      <c r="I3402" s="7" t="str">
        <f>IF(Table1[[#This Row],[Is Data Valid]]=TRUE,((Table1[[#This Row],[Birthweight (grams)]]*1.1/Table1[[#This Row],[BW_GA]])-1)/(Backend!$B$4/100*Table1[[#This Row],[BW40_3705]]),"")</f>
        <v/>
      </c>
      <c r="J3402" s="7" t="str">
        <f>IF(Table1[[#This Row],[Is Data Valid]]=TRUE,_xlfn.NORM.S.DIST(Table1[[#This Row],[Birthweight Z-Score]],TRUE)*100,"")</f>
        <v/>
      </c>
      <c r="K3402" s="7" t="str">
        <f>IF(Table1[[#This Row],[Is Data Valid]]=TRUE,_xlfn.NORM.S.DIST(Table1[[#This Row],[Birthweight Z-Score (BW-10%)]],TRUE)*100,"")</f>
        <v/>
      </c>
      <c r="L3402" s="7" t="str">
        <f>IF(Table1[[#This Row],[Is Data Valid]]=TRUE,_xlfn.NORM.S.DIST(Table1[[#This Row],[Birthweight Z-Score (BW+10%)]],TRUE)*100,"")</f>
        <v/>
      </c>
    </row>
    <row r="3403" spans="1:12" x14ac:dyDescent="0.35">
      <c r="A3403" s="3"/>
      <c r="B3403" s="2"/>
      <c r="C3403" s="2"/>
      <c r="D3403" s="2" t="b">
        <f>IF(AND(NOT(ISBLANK(Table1[[#This Row],[Fetal Sex (Male, Female or Unknown)]])),ISNUMBER(Table1[[#This Row],[Birthweight (grams)]]),ISNUMBER(Table1[[#This Row],[Gestation (days)]])),TRUE,FALSE)</f>
        <v>0</v>
      </c>
      <c r="E3403" s="2" t="str">
        <f>IF(Table1[[#This Row],[Is Data Valid]]=TRUE,IF(Table1[[#This Row],[Fetal Sex (Male, Female or Unknown)]]="Male",Backend!$C$6,IF(Table1[[#This Row],[Fetal Sex (Male, Female or Unknown)]]="Female",Backend!$C$7,IF(Table1[[#This Row],[Fetal Sex (Male, Female or Unknown)]]="Unknown",Backend!$C$8,"Error"))),"")</f>
        <v/>
      </c>
      <c r="F3403" s="8" t="str">
        <f>IF(Table1[[#This Row],[Is Data Valid]]=TRUE,EXP(0.578+0.332*((Table1[[#This Row],[Gestation (days)]]+0.5)/7)-0.00354*((Table1[[#This Row],[Gestation (days)]]+0.5)/7)^2)*Table1[[#This Row],[BW40_3705]],"")</f>
        <v/>
      </c>
      <c r="G3403" s="2" t="str">
        <f>IF(Table1[[#This Row],[Is Data Valid]]=TRUE,((Table1[[#This Row],[Birthweight (grams)]]/Table1[[#This Row],[BW_GA]])-1)/(Backend!$B$4/100*Table1[[#This Row],[BW40_3705]]),"")</f>
        <v/>
      </c>
      <c r="H3403" s="7" t="str">
        <f>IF(Table1[[#This Row],[Is Data Valid]]=TRUE,((Table1[[#This Row],[Birthweight (grams)]]*0.9/Table1[[#This Row],[BW_GA]])-1)/(Backend!$B$4/100*Table1[[#This Row],[BW40_3705]]),"")</f>
        <v/>
      </c>
      <c r="I3403" s="7" t="str">
        <f>IF(Table1[[#This Row],[Is Data Valid]]=TRUE,((Table1[[#This Row],[Birthweight (grams)]]*1.1/Table1[[#This Row],[BW_GA]])-1)/(Backend!$B$4/100*Table1[[#This Row],[BW40_3705]]),"")</f>
        <v/>
      </c>
      <c r="J3403" s="7" t="str">
        <f>IF(Table1[[#This Row],[Is Data Valid]]=TRUE,_xlfn.NORM.S.DIST(Table1[[#This Row],[Birthweight Z-Score]],TRUE)*100,"")</f>
        <v/>
      </c>
      <c r="K3403" s="7" t="str">
        <f>IF(Table1[[#This Row],[Is Data Valid]]=TRUE,_xlfn.NORM.S.DIST(Table1[[#This Row],[Birthweight Z-Score (BW-10%)]],TRUE)*100,"")</f>
        <v/>
      </c>
      <c r="L3403" s="7" t="str">
        <f>IF(Table1[[#This Row],[Is Data Valid]]=TRUE,_xlfn.NORM.S.DIST(Table1[[#This Row],[Birthweight Z-Score (BW+10%)]],TRUE)*100,"")</f>
        <v/>
      </c>
    </row>
    <row r="3404" spans="1:12" x14ac:dyDescent="0.35">
      <c r="A3404" s="3"/>
      <c r="B3404" s="2"/>
      <c r="C3404" s="2"/>
      <c r="D3404" s="2" t="b">
        <f>IF(AND(NOT(ISBLANK(Table1[[#This Row],[Fetal Sex (Male, Female or Unknown)]])),ISNUMBER(Table1[[#This Row],[Birthweight (grams)]]),ISNUMBER(Table1[[#This Row],[Gestation (days)]])),TRUE,FALSE)</f>
        <v>0</v>
      </c>
      <c r="E3404" s="2" t="str">
        <f>IF(Table1[[#This Row],[Is Data Valid]]=TRUE,IF(Table1[[#This Row],[Fetal Sex (Male, Female or Unknown)]]="Male",Backend!$C$6,IF(Table1[[#This Row],[Fetal Sex (Male, Female or Unknown)]]="Female",Backend!$C$7,IF(Table1[[#This Row],[Fetal Sex (Male, Female or Unknown)]]="Unknown",Backend!$C$8,"Error"))),"")</f>
        <v/>
      </c>
      <c r="F3404" s="8" t="str">
        <f>IF(Table1[[#This Row],[Is Data Valid]]=TRUE,EXP(0.578+0.332*((Table1[[#This Row],[Gestation (days)]]+0.5)/7)-0.00354*((Table1[[#This Row],[Gestation (days)]]+0.5)/7)^2)*Table1[[#This Row],[BW40_3705]],"")</f>
        <v/>
      </c>
      <c r="G3404" s="2" t="str">
        <f>IF(Table1[[#This Row],[Is Data Valid]]=TRUE,((Table1[[#This Row],[Birthweight (grams)]]/Table1[[#This Row],[BW_GA]])-1)/(Backend!$B$4/100*Table1[[#This Row],[BW40_3705]]),"")</f>
        <v/>
      </c>
      <c r="H3404" s="7" t="str">
        <f>IF(Table1[[#This Row],[Is Data Valid]]=TRUE,((Table1[[#This Row],[Birthweight (grams)]]*0.9/Table1[[#This Row],[BW_GA]])-1)/(Backend!$B$4/100*Table1[[#This Row],[BW40_3705]]),"")</f>
        <v/>
      </c>
      <c r="I3404" s="7" t="str">
        <f>IF(Table1[[#This Row],[Is Data Valid]]=TRUE,((Table1[[#This Row],[Birthweight (grams)]]*1.1/Table1[[#This Row],[BW_GA]])-1)/(Backend!$B$4/100*Table1[[#This Row],[BW40_3705]]),"")</f>
        <v/>
      </c>
      <c r="J3404" s="7" t="str">
        <f>IF(Table1[[#This Row],[Is Data Valid]]=TRUE,_xlfn.NORM.S.DIST(Table1[[#This Row],[Birthweight Z-Score]],TRUE)*100,"")</f>
        <v/>
      </c>
      <c r="K3404" s="7" t="str">
        <f>IF(Table1[[#This Row],[Is Data Valid]]=TRUE,_xlfn.NORM.S.DIST(Table1[[#This Row],[Birthweight Z-Score (BW-10%)]],TRUE)*100,"")</f>
        <v/>
      </c>
      <c r="L3404" s="7" t="str">
        <f>IF(Table1[[#This Row],[Is Data Valid]]=TRUE,_xlfn.NORM.S.DIST(Table1[[#This Row],[Birthweight Z-Score (BW+10%)]],TRUE)*100,"")</f>
        <v/>
      </c>
    </row>
    <row r="3405" spans="1:12" x14ac:dyDescent="0.35">
      <c r="A3405" s="3"/>
      <c r="B3405" s="2"/>
      <c r="C3405" s="2"/>
      <c r="D3405" s="2" t="b">
        <f>IF(AND(NOT(ISBLANK(Table1[[#This Row],[Fetal Sex (Male, Female or Unknown)]])),ISNUMBER(Table1[[#This Row],[Birthweight (grams)]]),ISNUMBER(Table1[[#This Row],[Gestation (days)]])),TRUE,FALSE)</f>
        <v>0</v>
      </c>
      <c r="E3405" s="2" t="str">
        <f>IF(Table1[[#This Row],[Is Data Valid]]=TRUE,IF(Table1[[#This Row],[Fetal Sex (Male, Female or Unknown)]]="Male",Backend!$C$6,IF(Table1[[#This Row],[Fetal Sex (Male, Female or Unknown)]]="Female",Backend!$C$7,IF(Table1[[#This Row],[Fetal Sex (Male, Female or Unknown)]]="Unknown",Backend!$C$8,"Error"))),"")</f>
        <v/>
      </c>
      <c r="F3405" s="8" t="str">
        <f>IF(Table1[[#This Row],[Is Data Valid]]=TRUE,EXP(0.578+0.332*((Table1[[#This Row],[Gestation (days)]]+0.5)/7)-0.00354*((Table1[[#This Row],[Gestation (days)]]+0.5)/7)^2)*Table1[[#This Row],[BW40_3705]],"")</f>
        <v/>
      </c>
      <c r="G3405" s="2" t="str">
        <f>IF(Table1[[#This Row],[Is Data Valid]]=TRUE,((Table1[[#This Row],[Birthweight (grams)]]/Table1[[#This Row],[BW_GA]])-1)/(Backend!$B$4/100*Table1[[#This Row],[BW40_3705]]),"")</f>
        <v/>
      </c>
      <c r="H3405" s="7" t="str">
        <f>IF(Table1[[#This Row],[Is Data Valid]]=TRUE,((Table1[[#This Row],[Birthweight (grams)]]*0.9/Table1[[#This Row],[BW_GA]])-1)/(Backend!$B$4/100*Table1[[#This Row],[BW40_3705]]),"")</f>
        <v/>
      </c>
      <c r="I3405" s="7" t="str">
        <f>IF(Table1[[#This Row],[Is Data Valid]]=TRUE,((Table1[[#This Row],[Birthweight (grams)]]*1.1/Table1[[#This Row],[BW_GA]])-1)/(Backend!$B$4/100*Table1[[#This Row],[BW40_3705]]),"")</f>
        <v/>
      </c>
      <c r="J3405" s="7" t="str">
        <f>IF(Table1[[#This Row],[Is Data Valid]]=TRUE,_xlfn.NORM.S.DIST(Table1[[#This Row],[Birthweight Z-Score]],TRUE)*100,"")</f>
        <v/>
      </c>
      <c r="K3405" s="7" t="str">
        <f>IF(Table1[[#This Row],[Is Data Valid]]=TRUE,_xlfn.NORM.S.DIST(Table1[[#This Row],[Birthweight Z-Score (BW-10%)]],TRUE)*100,"")</f>
        <v/>
      </c>
      <c r="L3405" s="7" t="str">
        <f>IF(Table1[[#This Row],[Is Data Valid]]=TRUE,_xlfn.NORM.S.DIST(Table1[[#This Row],[Birthweight Z-Score (BW+10%)]],TRUE)*100,"")</f>
        <v/>
      </c>
    </row>
    <row r="3406" spans="1:12" x14ac:dyDescent="0.35">
      <c r="A3406" s="3"/>
      <c r="B3406" s="2"/>
      <c r="C3406" s="2"/>
      <c r="D3406" s="2" t="b">
        <f>IF(AND(NOT(ISBLANK(Table1[[#This Row],[Fetal Sex (Male, Female or Unknown)]])),ISNUMBER(Table1[[#This Row],[Birthweight (grams)]]),ISNUMBER(Table1[[#This Row],[Gestation (days)]])),TRUE,FALSE)</f>
        <v>0</v>
      </c>
      <c r="E3406" s="2" t="str">
        <f>IF(Table1[[#This Row],[Is Data Valid]]=TRUE,IF(Table1[[#This Row],[Fetal Sex (Male, Female or Unknown)]]="Male",Backend!$C$6,IF(Table1[[#This Row],[Fetal Sex (Male, Female or Unknown)]]="Female",Backend!$C$7,IF(Table1[[#This Row],[Fetal Sex (Male, Female or Unknown)]]="Unknown",Backend!$C$8,"Error"))),"")</f>
        <v/>
      </c>
      <c r="F3406" s="8" t="str">
        <f>IF(Table1[[#This Row],[Is Data Valid]]=TRUE,EXP(0.578+0.332*((Table1[[#This Row],[Gestation (days)]]+0.5)/7)-0.00354*((Table1[[#This Row],[Gestation (days)]]+0.5)/7)^2)*Table1[[#This Row],[BW40_3705]],"")</f>
        <v/>
      </c>
      <c r="G3406" s="2" t="str">
        <f>IF(Table1[[#This Row],[Is Data Valid]]=TRUE,((Table1[[#This Row],[Birthweight (grams)]]/Table1[[#This Row],[BW_GA]])-1)/(Backend!$B$4/100*Table1[[#This Row],[BW40_3705]]),"")</f>
        <v/>
      </c>
      <c r="H3406" s="7" t="str">
        <f>IF(Table1[[#This Row],[Is Data Valid]]=TRUE,((Table1[[#This Row],[Birthweight (grams)]]*0.9/Table1[[#This Row],[BW_GA]])-1)/(Backend!$B$4/100*Table1[[#This Row],[BW40_3705]]),"")</f>
        <v/>
      </c>
      <c r="I3406" s="7" t="str">
        <f>IF(Table1[[#This Row],[Is Data Valid]]=TRUE,((Table1[[#This Row],[Birthweight (grams)]]*1.1/Table1[[#This Row],[BW_GA]])-1)/(Backend!$B$4/100*Table1[[#This Row],[BW40_3705]]),"")</f>
        <v/>
      </c>
      <c r="J3406" s="7" t="str">
        <f>IF(Table1[[#This Row],[Is Data Valid]]=TRUE,_xlfn.NORM.S.DIST(Table1[[#This Row],[Birthweight Z-Score]],TRUE)*100,"")</f>
        <v/>
      </c>
      <c r="K3406" s="7" t="str">
        <f>IF(Table1[[#This Row],[Is Data Valid]]=TRUE,_xlfn.NORM.S.DIST(Table1[[#This Row],[Birthweight Z-Score (BW-10%)]],TRUE)*100,"")</f>
        <v/>
      </c>
      <c r="L3406" s="7" t="str">
        <f>IF(Table1[[#This Row],[Is Data Valid]]=TRUE,_xlfn.NORM.S.DIST(Table1[[#This Row],[Birthweight Z-Score (BW+10%)]],TRUE)*100,"")</f>
        <v/>
      </c>
    </row>
    <row r="3407" spans="1:12" x14ac:dyDescent="0.35">
      <c r="A3407" s="3"/>
      <c r="B3407" s="2"/>
      <c r="C3407" s="2"/>
      <c r="D3407" s="2" t="b">
        <f>IF(AND(NOT(ISBLANK(Table1[[#This Row],[Fetal Sex (Male, Female or Unknown)]])),ISNUMBER(Table1[[#This Row],[Birthweight (grams)]]),ISNUMBER(Table1[[#This Row],[Gestation (days)]])),TRUE,FALSE)</f>
        <v>0</v>
      </c>
      <c r="E3407" s="2" t="str">
        <f>IF(Table1[[#This Row],[Is Data Valid]]=TRUE,IF(Table1[[#This Row],[Fetal Sex (Male, Female or Unknown)]]="Male",Backend!$C$6,IF(Table1[[#This Row],[Fetal Sex (Male, Female or Unknown)]]="Female",Backend!$C$7,IF(Table1[[#This Row],[Fetal Sex (Male, Female or Unknown)]]="Unknown",Backend!$C$8,"Error"))),"")</f>
        <v/>
      </c>
      <c r="F3407" s="8" t="str">
        <f>IF(Table1[[#This Row],[Is Data Valid]]=TRUE,EXP(0.578+0.332*((Table1[[#This Row],[Gestation (days)]]+0.5)/7)-0.00354*((Table1[[#This Row],[Gestation (days)]]+0.5)/7)^2)*Table1[[#This Row],[BW40_3705]],"")</f>
        <v/>
      </c>
      <c r="G3407" s="2" t="str">
        <f>IF(Table1[[#This Row],[Is Data Valid]]=TRUE,((Table1[[#This Row],[Birthweight (grams)]]/Table1[[#This Row],[BW_GA]])-1)/(Backend!$B$4/100*Table1[[#This Row],[BW40_3705]]),"")</f>
        <v/>
      </c>
      <c r="H3407" s="7" t="str">
        <f>IF(Table1[[#This Row],[Is Data Valid]]=TRUE,((Table1[[#This Row],[Birthweight (grams)]]*0.9/Table1[[#This Row],[BW_GA]])-1)/(Backend!$B$4/100*Table1[[#This Row],[BW40_3705]]),"")</f>
        <v/>
      </c>
      <c r="I3407" s="7" t="str">
        <f>IF(Table1[[#This Row],[Is Data Valid]]=TRUE,((Table1[[#This Row],[Birthweight (grams)]]*1.1/Table1[[#This Row],[BW_GA]])-1)/(Backend!$B$4/100*Table1[[#This Row],[BW40_3705]]),"")</f>
        <v/>
      </c>
      <c r="J3407" s="7" t="str">
        <f>IF(Table1[[#This Row],[Is Data Valid]]=TRUE,_xlfn.NORM.S.DIST(Table1[[#This Row],[Birthweight Z-Score]],TRUE)*100,"")</f>
        <v/>
      </c>
      <c r="K3407" s="7" t="str">
        <f>IF(Table1[[#This Row],[Is Data Valid]]=TRUE,_xlfn.NORM.S.DIST(Table1[[#This Row],[Birthweight Z-Score (BW-10%)]],TRUE)*100,"")</f>
        <v/>
      </c>
      <c r="L3407" s="7" t="str">
        <f>IF(Table1[[#This Row],[Is Data Valid]]=TRUE,_xlfn.NORM.S.DIST(Table1[[#This Row],[Birthweight Z-Score (BW+10%)]],TRUE)*100,"")</f>
        <v/>
      </c>
    </row>
    <row r="3408" spans="1:12" x14ac:dyDescent="0.35">
      <c r="A3408" s="3"/>
      <c r="B3408" s="2"/>
      <c r="C3408" s="2"/>
      <c r="D3408" s="2" t="b">
        <f>IF(AND(NOT(ISBLANK(Table1[[#This Row],[Fetal Sex (Male, Female or Unknown)]])),ISNUMBER(Table1[[#This Row],[Birthweight (grams)]]),ISNUMBER(Table1[[#This Row],[Gestation (days)]])),TRUE,FALSE)</f>
        <v>0</v>
      </c>
      <c r="E3408" s="2" t="str">
        <f>IF(Table1[[#This Row],[Is Data Valid]]=TRUE,IF(Table1[[#This Row],[Fetal Sex (Male, Female or Unknown)]]="Male",Backend!$C$6,IF(Table1[[#This Row],[Fetal Sex (Male, Female or Unknown)]]="Female",Backend!$C$7,IF(Table1[[#This Row],[Fetal Sex (Male, Female or Unknown)]]="Unknown",Backend!$C$8,"Error"))),"")</f>
        <v/>
      </c>
      <c r="F3408" s="8" t="str">
        <f>IF(Table1[[#This Row],[Is Data Valid]]=TRUE,EXP(0.578+0.332*((Table1[[#This Row],[Gestation (days)]]+0.5)/7)-0.00354*((Table1[[#This Row],[Gestation (days)]]+0.5)/7)^2)*Table1[[#This Row],[BW40_3705]],"")</f>
        <v/>
      </c>
      <c r="G3408" s="2" t="str">
        <f>IF(Table1[[#This Row],[Is Data Valid]]=TRUE,((Table1[[#This Row],[Birthweight (grams)]]/Table1[[#This Row],[BW_GA]])-1)/(Backend!$B$4/100*Table1[[#This Row],[BW40_3705]]),"")</f>
        <v/>
      </c>
      <c r="H3408" s="7" t="str">
        <f>IF(Table1[[#This Row],[Is Data Valid]]=TRUE,((Table1[[#This Row],[Birthweight (grams)]]*0.9/Table1[[#This Row],[BW_GA]])-1)/(Backend!$B$4/100*Table1[[#This Row],[BW40_3705]]),"")</f>
        <v/>
      </c>
      <c r="I3408" s="7" t="str">
        <f>IF(Table1[[#This Row],[Is Data Valid]]=TRUE,((Table1[[#This Row],[Birthweight (grams)]]*1.1/Table1[[#This Row],[BW_GA]])-1)/(Backend!$B$4/100*Table1[[#This Row],[BW40_3705]]),"")</f>
        <v/>
      </c>
      <c r="J3408" s="7" t="str">
        <f>IF(Table1[[#This Row],[Is Data Valid]]=TRUE,_xlfn.NORM.S.DIST(Table1[[#This Row],[Birthweight Z-Score]],TRUE)*100,"")</f>
        <v/>
      </c>
      <c r="K3408" s="7" t="str">
        <f>IF(Table1[[#This Row],[Is Data Valid]]=TRUE,_xlfn.NORM.S.DIST(Table1[[#This Row],[Birthweight Z-Score (BW-10%)]],TRUE)*100,"")</f>
        <v/>
      </c>
      <c r="L3408" s="7" t="str">
        <f>IF(Table1[[#This Row],[Is Data Valid]]=TRUE,_xlfn.NORM.S.DIST(Table1[[#This Row],[Birthweight Z-Score (BW+10%)]],TRUE)*100,"")</f>
        <v/>
      </c>
    </row>
    <row r="3409" spans="1:12" x14ac:dyDescent="0.35">
      <c r="A3409" s="3"/>
      <c r="B3409" s="2"/>
      <c r="C3409" s="2"/>
      <c r="D3409" s="2" t="b">
        <f>IF(AND(NOT(ISBLANK(Table1[[#This Row],[Fetal Sex (Male, Female or Unknown)]])),ISNUMBER(Table1[[#This Row],[Birthweight (grams)]]),ISNUMBER(Table1[[#This Row],[Gestation (days)]])),TRUE,FALSE)</f>
        <v>0</v>
      </c>
      <c r="E3409" s="2" t="str">
        <f>IF(Table1[[#This Row],[Is Data Valid]]=TRUE,IF(Table1[[#This Row],[Fetal Sex (Male, Female or Unknown)]]="Male",Backend!$C$6,IF(Table1[[#This Row],[Fetal Sex (Male, Female or Unknown)]]="Female",Backend!$C$7,IF(Table1[[#This Row],[Fetal Sex (Male, Female or Unknown)]]="Unknown",Backend!$C$8,"Error"))),"")</f>
        <v/>
      </c>
      <c r="F3409" s="8" t="str">
        <f>IF(Table1[[#This Row],[Is Data Valid]]=TRUE,EXP(0.578+0.332*((Table1[[#This Row],[Gestation (days)]]+0.5)/7)-0.00354*((Table1[[#This Row],[Gestation (days)]]+0.5)/7)^2)*Table1[[#This Row],[BW40_3705]],"")</f>
        <v/>
      </c>
      <c r="G3409" s="2" t="str">
        <f>IF(Table1[[#This Row],[Is Data Valid]]=TRUE,((Table1[[#This Row],[Birthweight (grams)]]/Table1[[#This Row],[BW_GA]])-1)/(Backend!$B$4/100*Table1[[#This Row],[BW40_3705]]),"")</f>
        <v/>
      </c>
      <c r="H3409" s="7" t="str">
        <f>IF(Table1[[#This Row],[Is Data Valid]]=TRUE,((Table1[[#This Row],[Birthweight (grams)]]*0.9/Table1[[#This Row],[BW_GA]])-1)/(Backend!$B$4/100*Table1[[#This Row],[BW40_3705]]),"")</f>
        <v/>
      </c>
      <c r="I3409" s="7" t="str">
        <f>IF(Table1[[#This Row],[Is Data Valid]]=TRUE,((Table1[[#This Row],[Birthweight (grams)]]*1.1/Table1[[#This Row],[BW_GA]])-1)/(Backend!$B$4/100*Table1[[#This Row],[BW40_3705]]),"")</f>
        <v/>
      </c>
      <c r="J3409" s="7" t="str">
        <f>IF(Table1[[#This Row],[Is Data Valid]]=TRUE,_xlfn.NORM.S.DIST(Table1[[#This Row],[Birthweight Z-Score]],TRUE)*100,"")</f>
        <v/>
      </c>
      <c r="K3409" s="7" t="str">
        <f>IF(Table1[[#This Row],[Is Data Valid]]=TRUE,_xlfn.NORM.S.DIST(Table1[[#This Row],[Birthweight Z-Score (BW-10%)]],TRUE)*100,"")</f>
        <v/>
      </c>
      <c r="L3409" s="7" t="str">
        <f>IF(Table1[[#This Row],[Is Data Valid]]=TRUE,_xlfn.NORM.S.DIST(Table1[[#This Row],[Birthweight Z-Score (BW+10%)]],TRUE)*100,"")</f>
        <v/>
      </c>
    </row>
    <row r="3410" spans="1:12" x14ac:dyDescent="0.35">
      <c r="A3410" s="3"/>
      <c r="B3410" s="2"/>
      <c r="C3410" s="2"/>
      <c r="D3410" s="2" t="b">
        <f>IF(AND(NOT(ISBLANK(Table1[[#This Row],[Fetal Sex (Male, Female or Unknown)]])),ISNUMBER(Table1[[#This Row],[Birthweight (grams)]]),ISNUMBER(Table1[[#This Row],[Gestation (days)]])),TRUE,FALSE)</f>
        <v>0</v>
      </c>
      <c r="E3410" s="2" t="str">
        <f>IF(Table1[[#This Row],[Is Data Valid]]=TRUE,IF(Table1[[#This Row],[Fetal Sex (Male, Female or Unknown)]]="Male",Backend!$C$6,IF(Table1[[#This Row],[Fetal Sex (Male, Female or Unknown)]]="Female",Backend!$C$7,IF(Table1[[#This Row],[Fetal Sex (Male, Female or Unknown)]]="Unknown",Backend!$C$8,"Error"))),"")</f>
        <v/>
      </c>
      <c r="F3410" s="8" t="str">
        <f>IF(Table1[[#This Row],[Is Data Valid]]=TRUE,EXP(0.578+0.332*((Table1[[#This Row],[Gestation (days)]]+0.5)/7)-0.00354*((Table1[[#This Row],[Gestation (days)]]+0.5)/7)^2)*Table1[[#This Row],[BW40_3705]],"")</f>
        <v/>
      </c>
      <c r="G3410" s="2" t="str">
        <f>IF(Table1[[#This Row],[Is Data Valid]]=TRUE,((Table1[[#This Row],[Birthweight (grams)]]/Table1[[#This Row],[BW_GA]])-1)/(Backend!$B$4/100*Table1[[#This Row],[BW40_3705]]),"")</f>
        <v/>
      </c>
      <c r="H3410" s="7" t="str">
        <f>IF(Table1[[#This Row],[Is Data Valid]]=TRUE,((Table1[[#This Row],[Birthweight (grams)]]*0.9/Table1[[#This Row],[BW_GA]])-1)/(Backend!$B$4/100*Table1[[#This Row],[BW40_3705]]),"")</f>
        <v/>
      </c>
      <c r="I3410" s="7" t="str">
        <f>IF(Table1[[#This Row],[Is Data Valid]]=TRUE,((Table1[[#This Row],[Birthweight (grams)]]*1.1/Table1[[#This Row],[BW_GA]])-1)/(Backend!$B$4/100*Table1[[#This Row],[BW40_3705]]),"")</f>
        <v/>
      </c>
      <c r="J3410" s="7" t="str">
        <f>IF(Table1[[#This Row],[Is Data Valid]]=TRUE,_xlfn.NORM.S.DIST(Table1[[#This Row],[Birthweight Z-Score]],TRUE)*100,"")</f>
        <v/>
      </c>
      <c r="K3410" s="7" t="str">
        <f>IF(Table1[[#This Row],[Is Data Valid]]=TRUE,_xlfn.NORM.S.DIST(Table1[[#This Row],[Birthweight Z-Score (BW-10%)]],TRUE)*100,"")</f>
        <v/>
      </c>
      <c r="L3410" s="7" t="str">
        <f>IF(Table1[[#This Row],[Is Data Valid]]=TRUE,_xlfn.NORM.S.DIST(Table1[[#This Row],[Birthweight Z-Score (BW+10%)]],TRUE)*100,"")</f>
        <v/>
      </c>
    </row>
    <row r="3411" spans="1:12" x14ac:dyDescent="0.35">
      <c r="A3411" s="3"/>
      <c r="B3411" s="2"/>
      <c r="C3411" s="2"/>
      <c r="D3411" s="2" t="b">
        <f>IF(AND(NOT(ISBLANK(Table1[[#This Row],[Fetal Sex (Male, Female or Unknown)]])),ISNUMBER(Table1[[#This Row],[Birthweight (grams)]]),ISNUMBER(Table1[[#This Row],[Gestation (days)]])),TRUE,FALSE)</f>
        <v>0</v>
      </c>
      <c r="E3411" s="2" t="str">
        <f>IF(Table1[[#This Row],[Is Data Valid]]=TRUE,IF(Table1[[#This Row],[Fetal Sex (Male, Female or Unknown)]]="Male",Backend!$C$6,IF(Table1[[#This Row],[Fetal Sex (Male, Female or Unknown)]]="Female",Backend!$C$7,IF(Table1[[#This Row],[Fetal Sex (Male, Female or Unknown)]]="Unknown",Backend!$C$8,"Error"))),"")</f>
        <v/>
      </c>
      <c r="F3411" s="8" t="str">
        <f>IF(Table1[[#This Row],[Is Data Valid]]=TRUE,EXP(0.578+0.332*((Table1[[#This Row],[Gestation (days)]]+0.5)/7)-0.00354*((Table1[[#This Row],[Gestation (days)]]+0.5)/7)^2)*Table1[[#This Row],[BW40_3705]],"")</f>
        <v/>
      </c>
      <c r="G3411" s="2" t="str">
        <f>IF(Table1[[#This Row],[Is Data Valid]]=TRUE,((Table1[[#This Row],[Birthweight (grams)]]/Table1[[#This Row],[BW_GA]])-1)/(Backend!$B$4/100*Table1[[#This Row],[BW40_3705]]),"")</f>
        <v/>
      </c>
      <c r="H3411" s="7" t="str">
        <f>IF(Table1[[#This Row],[Is Data Valid]]=TRUE,((Table1[[#This Row],[Birthweight (grams)]]*0.9/Table1[[#This Row],[BW_GA]])-1)/(Backend!$B$4/100*Table1[[#This Row],[BW40_3705]]),"")</f>
        <v/>
      </c>
      <c r="I3411" s="7" t="str">
        <f>IF(Table1[[#This Row],[Is Data Valid]]=TRUE,((Table1[[#This Row],[Birthweight (grams)]]*1.1/Table1[[#This Row],[BW_GA]])-1)/(Backend!$B$4/100*Table1[[#This Row],[BW40_3705]]),"")</f>
        <v/>
      </c>
      <c r="J3411" s="7" t="str">
        <f>IF(Table1[[#This Row],[Is Data Valid]]=TRUE,_xlfn.NORM.S.DIST(Table1[[#This Row],[Birthweight Z-Score]],TRUE)*100,"")</f>
        <v/>
      </c>
      <c r="K3411" s="7" t="str">
        <f>IF(Table1[[#This Row],[Is Data Valid]]=TRUE,_xlfn.NORM.S.DIST(Table1[[#This Row],[Birthweight Z-Score (BW-10%)]],TRUE)*100,"")</f>
        <v/>
      </c>
      <c r="L3411" s="7" t="str">
        <f>IF(Table1[[#This Row],[Is Data Valid]]=TRUE,_xlfn.NORM.S.DIST(Table1[[#This Row],[Birthweight Z-Score (BW+10%)]],TRUE)*100,"")</f>
        <v/>
      </c>
    </row>
    <row r="3412" spans="1:12" x14ac:dyDescent="0.35">
      <c r="A3412" s="3"/>
      <c r="B3412" s="2"/>
      <c r="C3412" s="2"/>
      <c r="D3412" s="2" t="b">
        <f>IF(AND(NOT(ISBLANK(Table1[[#This Row],[Fetal Sex (Male, Female or Unknown)]])),ISNUMBER(Table1[[#This Row],[Birthweight (grams)]]),ISNUMBER(Table1[[#This Row],[Gestation (days)]])),TRUE,FALSE)</f>
        <v>0</v>
      </c>
      <c r="E3412" s="2" t="str">
        <f>IF(Table1[[#This Row],[Is Data Valid]]=TRUE,IF(Table1[[#This Row],[Fetal Sex (Male, Female or Unknown)]]="Male",Backend!$C$6,IF(Table1[[#This Row],[Fetal Sex (Male, Female or Unknown)]]="Female",Backend!$C$7,IF(Table1[[#This Row],[Fetal Sex (Male, Female or Unknown)]]="Unknown",Backend!$C$8,"Error"))),"")</f>
        <v/>
      </c>
      <c r="F3412" s="8" t="str">
        <f>IF(Table1[[#This Row],[Is Data Valid]]=TRUE,EXP(0.578+0.332*((Table1[[#This Row],[Gestation (days)]]+0.5)/7)-0.00354*((Table1[[#This Row],[Gestation (days)]]+0.5)/7)^2)*Table1[[#This Row],[BW40_3705]],"")</f>
        <v/>
      </c>
      <c r="G3412" s="2" t="str">
        <f>IF(Table1[[#This Row],[Is Data Valid]]=TRUE,((Table1[[#This Row],[Birthweight (grams)]]/Table1[[#This Row],[BW_GA]])-1)/(Backend!$B$4/100*Table1[[#This Row],[BW40_3705]]),"")</f>
        <v/>
      </c>
      <c r="H3412" s="7" t="str">
        <f>IF(Table1[[#This Row],[Is Data Valid]]=TRUE,((Table1[[#This Row],[Birthweight (grams)]]*0.9/Table1[[#This Row],[BW_GA]])-1)/(Backend!$B$4/100*Table1[[#This Row],[BW40_3705]]),"")</f>
        <v/>
      </c>
      <c r="I3412" s="7" t="str">
        <f>IF(Table1[[#This Row],[Is Data Valid]]=TRUE,((Table1[[#This Row],[Birthweight (grams)]]*1.1/Table1[[#This Row],[BW_GA]])-1)/(Backend!$B$4/100*Table1[[#This Row],[BW40_3705]]),"")</f>
        <v/>
      </c>
      <c r="J3412" s="7" t="str">
        <f>IF(Table1[[#This Row],[Is Data Valid]]=TRUE,_xlfn.NORM.S.DIST(Table1[[#This Row],[Birthweight Z-Score]],TRUE)*100,"")</f>
        <v/>
      </c>
      <c r="K3412" s="7" t="str">
        <f>IF(Table1[[#This Row],[Is Data Valid]]=TRUE,_xlfn.NORM.S.DIST(Table1[[#This Row],[Birthweight Z-Score (BW-10%)]],TRUE)*100,"")</f>
        <v/>
      </c>
      <c r="L3412" s="7" t="str">
        <f>IF(Table1[[#This Row],[Is Data Valid]]=TRUE,_xlfn.NORM.S.DIST(Table1[[#This Row],[Birthweight Z-Score (BW+10%)]],TRUE)*100,"")</f>
        <v/>
      </c>
    </row>
    <row r="3413" spans="1:12" x14ac:dyDescent="0.35">
      <c r="A3413" s="3"/>
      <c r="B3413" s="2"/>
      <c r="C3413" s="2"/>
      <c r="D3413" s="2" t="b">
        <f>IF(AND(NOT(ISBLANK(Table1[[#This Row],[Fetal Sex (Male, Female or Unknown)]])),ISNUMBER(Table1[[#This Row],[Birthweight (grams)]]),ISNUMBER(Table1[[#This Row],[Gestation (days)]])),TRUE,FALSE)</f>
        <v>0</v>
      </c>
      <c r="E3413" s="2" t="str">
        <f>IF(Table1[[#This Row],[Is Data Valid]]=TRUE,IF(Table1[[#This Row],[Fetal Sex (Male, Female or Unknown)]]="Male",Backend!$C$6,IF(Table1[[#This Row],[Fetal Sex (Male, Female or Unknown)]]="Female",Backend!$C$7,IF(Table1[[#This Row],[Fetal Sex (Male, Female or Unknown)]]="Unknown",Backend!$C$8,"Error"))),"")</f>
        <v/>
      </c>
      <c r="F3413" s="8" t="str">
        <f>IF(Table1[[#This Row],[Is Data Valid]]=TRUE,EXP(0.578+0.332*((Table1[[#This Row],[Gestation (days)]]+0.5)/7)-0.00354*((Table1[[#This Row],[Gestation (days)]]+0.5)/7)^2)*Table1[[#This Row],[BW40_3705]],"")</f>
        <v/>
      </c>
      <c r="G3413" s="2" t="str">
        <f>IF(Table1[[#This Row],[Is Data Valid]]=TRUE,((Table1[[#This Row],[Birthweight (grams)]]/Table1[[#This Row],[BW_GA]])-1)/(Backend!$B$4/100*Table1[[#This Row],[BW40_3705]]),"")</f>
        <v/>
      </c>
      <c r="H3413" s="7" t="str">
        <f>IF(Table1[[#This Row],[Is Data Valid]]=TRUE,((Table1[[#This Row],[Birthweight (grams)]]*0.9/Table1[[#This Row],[BW_GA]])-1)/(Backend!$B$4/100*Table1[[#This Row],[BW40_3705]]),"")</f>
        <v/>
      </c>
      <c r="I3413" s="7" t="str">
        <f>IF(Table1[[#This Row],[Is Data Valid]]=TRUE,((Table1[[#This Row],[Birthweight (grams)]]*1.1/Table1[[#This Row],[BW_GA]])-1)/(Backend!$B$4/100*Table1[[#This Row],[BW40_3705]]),"")</f>
        <v/>
      </c>
      <c r="J3413" s="7" t="str">
        <f>IF(Table1[[#This Row],[Is Data Valid]]=TRUE,_xlfn.NORM.S.DIST(Table1[[#This Row],[Birthweight Z-Score]],TRUE)*100,"")</f>
        <v/>
      </c>
      <c r="K3413" s="7" t="str">
        <f>IF(Table1[[#This Row],[Is Data Valid]]=TRUE,_xlfn.NORM.S.DIST(Table1[[#This Row],[Birthweight Z-Score (BW-10%)]],TRUE)*100,"")</f>
        <v/>
      </c>
      <c r="L3413" s="7" t="str">
        <f>IF(Table1[[#This Row],[Is Data Valid]]=TRUE,_xlfn.NORM.S.DIST(Table1[[#This Row],[Birthweight Z-Score (BW+10%)]],TRUE)*100,"")</f>
        <v/>
      </c>
    </row>
    <row r="3414" spans="1:12" x14ac:dyDescent="0.35">
      <c r="A3414" s="3"/>
      <c r="B3414" s="2"/>
      <c r="C3414" s="2"/>
      <c r="D3414" s="2" t="b">
        <f>IF(AND(NOT(ISBLANK(Table1[[#This Row],[Fetal Sex (Male, Female or Unknown)]])),ISNUMBER(Table1[[#This Row],[Birthweight (grams)]]),ISNUMBER(Table1[[#This Row],[Gestation (days)]])),TRUE,FALSE)</f>
        <v>0</v>
      </c>
      <c r="E3414" s="2" t="str">
        <f>IF(Table1[[#This Row],[Is Data Valid]]=TRUE,IF(Table1[[#This Row],[Fetal Sex (Male, Female or Unknown)]]="Male",Backend!$C$6,IF(Table1[[#This Row],[Fetal Sex (Male, Female or Unknown)]]="Female",Backend!$C$7,IF(Table1[[#This Row],[Fetal Sex (Male, Female or Unknown)]]="Unknown",Backend!$C$8,"Error"))),"")</f>
        <v/>
      </c>
      <c r="F3414" s="8" t="str">
        <f>IF(Table1[[#This Row],[Is Data Valid]]=TRUE,EXP(0.578+0.332*((Table1[[#This Row],[Gestation (days)]]+0.5)/7)-0.00354*((Table1[[#This Row],[Gestation (days)]]+0.5)/7)^2)*Table1[[#This Row],[BW40_3705]],"")</f>
        <v/>
      </c>
      <c r="G3414" s="2" t="str">
        <f>IF(Table1[[#This Row],[Is Data Valid]]=TRUE,((Table1[[#This Row],[Birthweight (grams)]]/Table1[[#This Row],[BW_GA]])-1)/(Backend!$B$4/100*Table1[[#This Row],[BW40_3705]]),"")</f>
        <v/>
      </c>
      <c r="H3414" s="7" t="str">
        <f>IF(Table1[[#This Row],[Is Data Valid]]=TRUE,((Table1[[#This Row],[Birthweight (grams)]]*0.9/Table1[[#This Row],[BW_GA]])-1)/(Backend!$B$4/100*Table1[[#This Row],[BW40_3705]]),"")</f>
        <v/>
      </c>
      <c r="I3414" s="7" t="str">
        <f>IF(Table1[[#This Row],[Is Data Valid]]=TRUE,((Table1[[#This Row],[Birthweight (grams)]]*1.1/Table1[[#This Row],[BW_GA]])-1)/(Backend!$B$4/100*Table1[[#This Row],[BW40_3705]]),"")</f>
        <v/>
      </c>
      <c r="J3414" s="7" t="str">
        <f>IF(Table1[[#This Row],[Is Data Valid]]=TRUE,_xlfn.NORM.S.DIST(Table1[[#This Row],[Birthweight Z-Score]],TRUE)*100,"")</f>
        <v/>
      </c>
      <c r="K3414" s="7" t="str">
        <f>IF(Table1[[#This Row],[Is Data Valid]]=TRUE,_xlfn.NORM.S.DIST(Table1[[#This Row],[Birthweight Z-Score (BW-10%)]],TRUE)*100,"")</f>
        <v/>
      </c>
      <c r="L3414" s="7" t="str">
        <f>IF(Table1[[#This Row],[Is Data Valid]]=TRUE,_xlfn.NORM.S.DIST(Table1[[#This Row],[Birthweight Z-Score (BW+10%)]],TRUE)*100,"")</f>
        <v/>
      </c>
    </row>
    <row r="3415" spans="1:12" x14ac:dyDescent="0.35">
      <c r="A3415" s="3"/>
      <c r="B3415" s="2"/>
      <c r="C3415" s="2"/>
      <c r="D3415" s="2" t="b">
        <f>IF(AND(NOT(ISBLANK(Table1[[#This Row],[Fetal Sex (Male, Female or Unknown)]])),ISNUMBER(Table1[[#This Row],[Birthweight (grams)]]),ISNUMBER(Table1[[#This Row],[Gestation (days)]])),TRUE,FALSE)</f>
        <v>0</v>
      </c>
      <c r="E3415" s="2" t="str">
        <f>IF(Table1[[#This Row],[Is Data Valid]]=TRUE,IF(Table1[[#This Row],[Fetal Sex (Male, Female or Unknown)]]="Male",Backend!$C$6,IF(Table1[[#This Row],[Fetal Sex (Male, Female or Unknown)]]="Female",Backend!$C$7,IF(Table1[[#This Row],[Fetal Sex (Male, Female or Unknown)]]="Unknown",Backend!$C$8,"Error"))),"")</f>
        <v/>
      </c>
      <c r="F3415" s="8" t="str">
        <f>IF(Table1[[#This Row],[Is Data Valid]]=TRUE,EXP(0.578+0.332*((Table1[[#This Row],[Gestation (days)]]+0.5)/7)-0.00354*((Table1[[#This Row],[Gestation (days)]]+0.5)/7)^2)*Table1[[#This Row],[BW40_3705]],"")</f>
        <v/>
      </c>
      <c r="G3415" s="2" t="str">
        <f>IF(Table1[[#This Row],[Is Data Valid]]=TRUE,((Table1[[#This Row],[Birthweight (grams)]]/Table1[[#This Row],[BW_GA]])-1)/(Backend!$B$4/100*Table1[[#This Row],[BW40_3705]]),"")</f>
        <v/>
      </c>
      <c r="H3415" s="7" t="str">
        <f>IF(Table1[[#This Row],[Is Data Valid]]=TRUE,((Table1[[#This Row],[Birthweight (grams)]]*0.9/Table1[[#This Row],[BW_GA]])-1)/(Backend!$B$4/100*Table1[[#This Row],[BW40_3705]]),"")</f>
        <v/>
      </c>
      <c r="I3415" s="7" t="str">
        <f>IF(Table1[[#This Row],[Is Data Valid]]=TRUE,((Table1[[#This Row],[Birthweight (grams)]]*1.1/Table1[[#This Row],[BW_GA]])-1)/(Backend!$B$4/100*Table1[[#This Row],[BW40_3705]]),"")</f>
        <v/>
      </c>
      <c r="J3415" s="7" t="str">
        <f>IF(Table1[[#This Row],[Is Data Valid]]=TRUE,_xlfn.NORM.S.DIST(Table1[[#This Row],[Birthweight Z-Score]],TRUE)*100,"")</f>
        <v/>
      </c>
      <c r="K3415" s="7" t="str">
        <f>IF(Table1[[#This Row],[Is Data Valid]]=TRUE,_xlfn.NORM.S.DIST(Table1[[#This Row],[Birthweight Z-Score (BW-10%)]],TRUE)*100,"")</f>
        <v/>
      </c>
      <c r="L3415" s="7" t="str">
        <f>IF(Table1[[#This Row],[Is Data Valid]]=TRUE,_xlfn.NORM.S.DIST(Table1[[#This Row],[Birthweight Z-Score (BW+10%)]],TRUE)*100,"")</f>
        <v/>
      </c>
    </row>
    <row r="3416" spans="1:12" x14ac:dyDescent="0.35">
      <c r="A3416" s="3"/>
      <c r="B3416" s="2"/>
      <c r="C3416" s="2"/>
      <c r="D3416" s="2" t="b">
        <f>IF(AND(NOT(ISBLANK(Table1[[#This Row],[Fetal Sex (Male, Female or Unknown)]])),ISNUMBER(Table1[[#This Row],[Birthweight (grams)]]),ISNUMBER(Table1[[#This Row],[Gestation (days)]])),TRUE,FALSE)</f>
        <v>0</v>
      </c>
      <c r="E3416" s="2" t="str">
        <f>IF(Table1[[#This Row],[Is Data Valid]]=TRUE,IF(Table1[[#This Row],[Fetal Sex (Male, Female or Unknown)]]="Male",Backend!$C$6,IF(Table1[[#This Row],[Fetal Sex (Male, Female or Unknown)]]="Female",Backend!$C$7,IF(Table1[[#This Row],[Fetal Sex (Male, Female or Unknown)]]="Unknown",Backend!$C$8,"Error"))),"")</f>
        <v/>
      </c>
      <c r="F3416" s="8" t="str">
        <f>IF(Table1[[#This Row],[Is Data Valid]]=TRUE,EXP(0.578+0.332*((Table1[[#This Row],[Gestation (days)]]+0.5)/7)-0.00354*((Table1[[#This Row],[Gestation (days)]]+0.5)/7)^2)*Table1[[#This Row],[BW40_3705]],"")</f>
        <v/>
      </c>
      <c r="G3416" s="2" t="str">
        <f>IF(Table1[[#This Row],[Is Data Valid]]=TRUE,((Table1[[#This Row],[Birthweight (grams)]]/Table1[[#This Row],[BW_GA]])-1)/(Backend!$B$4/100*Table1[[#This Row],[BW40_3705]]),"")</f>
        <v/>
      </c>
      <c r="H3416" s="7" t="str">
        <f>IF(Table1[[#This Row],[Is Data Valid]]=TRUE,((Table1[[#This Row],[Birthweight (grams)]]*0.9/Table1[[#This Row],[BW_GA]])-1)/(Backend!$B$4/100*Table1[[#This Row],[BW40_3705]]),"")</f>
        <v/>
      </c>
      <c r="I3416" s="7" t="str">
        <f>IF(Table1[[#This Row],[Is Data Valid]]=TRUE,((Table1[[#This Row],[Birthweight (grams)]]*1.1/Table1[[#This Row],[BW_GA]])-1)/(Backend!$B$4/100*Table1[[#This Row],[BW40_3705]]),"")</f>
        <v/>
      </c>
      <c r="J3416" s="7" t="str">
        <f>IF(Table1[[#This Row],[Is Data Valid]]=TRUE,_xlfn.NORM.S.DIST(Table1[[#This Row],[Birthweight Z-Score]],TRUE)*100,"")</f>
        <v/>
      </c>
      <c r="K3416" s="7" t="str">
        <f>IF(Table1[[#This Row],[Is Data Valid]]=TRUE,_xlfn.NORM.S.DIST(Table1[[#This Row],[Birthweight Z-Score (BW-10%)]],TRUE)*100,"")</f>
        <v/>
      </c>
      <c r="L3416" s="7" t="str">
        <f>IF(Table1[[#This Row],[Is Data Valid]]=TRUE,_xlfn.NORM.S.DIST(Table1[[#This Row],[Birthweight Z-Score (BW+10%)]],TRUE)*100,"")</f>
        <v/>
      </c>
    </row>
    <row r="3417" spans="1:12" x14ac:dyDescent="0.35">
      <c r="A3417" s="3"/>
      <c r="B3417" s="2"/>
      <c r="C3417" s="2"/>
      <c r="D3417" s="2" t="b">
        <f>IF(AND(NOT(ISBLANK(Table1[[#This Row],[Fetal Sex (Male, Female or Unknown)]])),ISNUMBER(Table1[[#This Row],[Birthweight (grams)]]),ISNUMBER(Table1[[#This Row],[Gestation (days)]])),TRUE,FALSE)</f>
        <v>0</v>
      </c>
      <c r="E3417" s="2" t="str">
        <f>IF(Table1[[#This Row],[Is Data Valid]]=TRUE,IF(Table1[[#This Row],[Fetal Sex (Male, Female or Unknown)]]="Male",Backend!$C$6,IF(Table1[[#This Row],[Fetal Sex (Male, Female or Unknown)]]="Female",Backend!$C$7,IF(Table1[[#This Row],[Fetal Sex (Male, Female or Unknown)]]="Unknown",Backend!$C$8,"Error"))),"")</f>
        <v/>
      </c>
      <c r="F3417" s="8" t="str">
        <f>IF(Table1[[#This Row],[Is Data Valid]]=TRUE,EXP(0.578+0.332*((Table1[[#This Row],[Gestation (days)]]+0.5)/7)-0.00354*((Table1[[#This Row],[Gestation (days)]]+0.5)/7)^2)*Table1[[#This Row],[BW40_3705]],"")</f>
        <v/>
      </c>
      <c r="G3417" s="2" t="str">
        <f>IF(Table1[[#This Row],[Is Data Valid]]=TRUE,((Table1[[#This Row],[Birthweight (grams)]]/Table1[[#This Row],[BW_GA]])-1)/(Backend!$B$4/100*Table1[[#This Row],[BW40_3705]]),"")</f>
        <v/>
      </c>
      <c r="H3417" s="7" t="str">
        <f>IF(Table1[[#This Row],[Is Data Valid]]=TRUE,((Table1[[#This Row],[Birthweight (grams)]]*0.9/Table1[[#This Row],[BW_GA]])-1)/(Backend!$B$4/100*Table1[[#This Row],[BW40_3705]]),"")</f>
        <v/>
      </c>
      <c r="I3417" s="7" t="str">
        <f>IF(Table1[[#This Row],[Is Data Valid]]=TRUE,((Table1[[#This Row],[Birthweight (grams)]]*1.1/Table1[[#This Row],[BW_GA]])-1)/(Backend!$B$4/100*Table1[[#This Row],[BW40_3705]]),"")</f>
        <v/>
      </c>
      <c r="J3417" s="7" t="str">
        <f>IF(Table1[[#This Row],[Is Data Valid]]=TRUE,_xlfn.NORM.S.DIST(Table1[[#This Row],[Birthweight Z-Score]],TRUE)*100,"")</f>
        <v/>
      </c>
      <c r="K3417" s="7" t="str">
        <f>IF(Table1[[#This Row],[Is Data Valid]]=TRUE,_xlfn.NORM.S.DIST(Table1[[#This Row],[Birthweight Z-Score (BW-10%)]],TRUE)*100,"")</f>
        <v/>
      </c>
      <c r="L3417" s="7" t="str">
        <f>IF(Table1[[#This Row],[Is Data Valid]]=TRUE,_xlfn.NORM.S.DIST(Table1[[#This Row],[Birthweight Z-Score (BW+10%)]],TRUE)*100,"")</f>
        <v/>
      </c>
    </row>
    <row r="3418" spans="1:12" x14ac:dyDescent="0.35">
      <c r="A3418" s="3"/>
      <c r="B3418" s="2"/>
      <c r="C3418" s="2"/>
      <c r="D3418" s="2" t="b">
        <f>IF(AND(NOT(ISBLANK(Table1[[#This Row],[Fetal Sex (Male, Female or Unknown)]])),ISNUMBER(Table1[[#This Row],[Birthweight (grams)]]),ISNUMBER(Table1[[#This Row],[Gestation (days)]])),TRUE,FALSE)</f>
        <v>0</v>
      </c>
      <c r="E3418" s="2" t="str">
        <f>IF(Table1[[#This Row],[Is Data Valid]]=TRUE,IF(Table1[[#This Row],[Fetal Sex (Male, Female or Unknown)]]="Male",Backend!$C$6,IF(Table1[[#This Row],[Fetal Sex (Male, Female or Unknown)]]="Female",Backend!$C$7,IF(Table1[[#This Row],[Fetal Sex (Male, Female or Unknown)]]="Unknown",Backend!$C$8,"Error"))),"")</f>
        <v/>
      </c>
      <c r="F3418" s="8" t="str">
        <f>IF(Table1[[#This Row],[Is Data Valid]]=TRUE,EXP(0.578+0.332*((Table1[[#This Row],[Gestation (days)]]+0.5)/7)-0.00354*((Table1[[#This Row],[Gestation (days)]]+0.5)/7)^2)*Table1[[#This Row],[BW40_3705]],"")</f>
        <v/>
      </c>
      <c r="G3418" s="2" t="str">
        <f>IF(Table1[[#This Row],[Is Data Valid]]=TRUE,((Table1[[#This Row],[Birthweight (grams)]]/Table1[[#This Row],[BW_GA]])-1)/(Backend!$B$4/100*Table1[[#This Row],[BW40_3705]]),"")</f>
        <v/>
      </c>
      <c r="H3418" s="7" t="str">
        <f>IF(Table1[[#This Row],[Is Data Valid]]=TRUE,((Table1[[#This Row],[Birthweight (grams)]]*0.9/Table1[[#This Row],[BW_GA]])-1)/(Backend!$B$4/100*Table1[[#This Row],[BW40_3705]]),"")</f>
        <v/>
      </c>
      <c r="I3418" s="7" t="str">
        <f>IF(Table1[[#This Row],[Is Data Valid]]=TRUE,((Table1[[#This Row],[Birthweight (grams)]]*1.1/Table1[[#This Row],[BW_GA]])-1)/(Backend!$B$4/100*Table1[[#This Row],[BW40_3705]]),"")</f>
        <v/>
      </c>
      <c r="J3418" s="7" t="str">
        <f>IF(Table1[[#This Row],[Is Data Valid]]=TRUE,_xlfn.NORM.S.DIST(Table1[[#This Row],[Birthweight Z-Score]],TRUE)*100,"")</f>
        <v/>
      </c>
      <c r="K3418" s="7" t="str">
        <f>IF(Table1[[#This Row],[Is Data Valid]]=TRUE,_xlfn.NORM.S.DIST(Table1[[#This Row],[Birthweight Z-Score (BW-10%)]],TRUE)*100,"")</f>
        <v/>
      </c>
      <c r="L3418" s="7" t="str">
        <f>IF(Table1[[#This Row],[Is Data Valid]]=TRUE,_xlfn.NORM.S.DIST(Table1[[#This Row],[Birthweight Z-Score (BW+10%)]],TRUE)*100,"")</f>
        <v/>
      </c>
    </row>
    <row r="3419" spans="1:12" x14ac:dyDescent="0.35">
      <c r="A3419" s="3"/>
      <c r="B3419" s="2"/>
      <c r="C3419" s="2"/>
      <c r="D3419" s="2" t="b">
        <f>IF(AND(NOT(ISBLANK(Table1[[#This Row],[Fetal Sex (Male, Female or Unknown)]])),ISNUMBER(Table1[[#This Row],[Birthweight (grams)]]),ISNUMBER(Table1[[#This Row],[Gestation (days)]])),TRUE,FALSE)</f>
        <v>0</v>
      </c>
      <c r="E3419" s="2" t="str">
        <f>IF(Table1[[#This Row],[Is Data Valid]]=TRUE,IF(Table1[[#This Row],[Fetal Sex (Male, Female or Unknown)]]="Male",Backend!$C$6,IF(Table1[[#This Row],[Fetal Sex (Male, Female or Unknown)]]="Female",Backend!$C$7,IF(Table1[[#This Row],[Fetal Sex (Male, Female or Unknown)]]="Unknown",Backend!$C$8,"Error"))),"")</f>
        <v/>
      </c>
      <c r="F3419" s="8" t="str">
        <f>IF(Table1[[#This Row],[Is Data Valid]]=TRUE,EXP(0.578+0.332*((Table1[[#This Row],[Gestation (days)]]+0.5)/7)-0.00354*((Table1[[#This Row],[Gestation (days)]]+0.5)/7)^2)*Table1[[#This Row],[BW40_3705]],"")</f>
        <v/>
      </c>
      <c r="G3419" s="2" t="str">
        <f>IF(Table1[[#This Row],[Is Data Valid]]=TRUE,((Table1[[#This Row],[Birthweight (grams)]]/Table1[[#This Row],[BW_GA]])-1)/(Backend!$B$4/100*Table1[[#This Row],[BW40_3705]]),"")</f>
        <v/>
      </c>
      <c r="H3419" s="7" t="str">
        <f>IF(Table1[[#This Row],[Is Data Valid]]=TRUE,((Table1[[#This Row],[Birthweight (grams)]]*0.9/Table1[[#This Row],[BW_GA]])-1)/(Backend!$B$4/100*Table1[[#This Row],[BW40_3705]]),"")</f>
        <v/>
      </c>
      <c r="I3419" s="7" t="str">
        <f>IF(Table1[[#This Row],[Is Data Valid]]=TRUE,((Table1[[#This Row],[Birthweight (grams)]]*1.1/Table1[[#This Row],[BW_GA]])-1)/(Backend!$B$4/100*Table1[[#This Row],[BW40_3705]]),"")</f>
        <v/>
      </c>
      <c r="J3419" s="7" t="str">
        <f>IF(Table1[[#This Row],[Is Data Valid]]=TRUE,_xlfn.NORM.S.DIST(Table1[[#This Row],[Birthweight Z-Score]],TRUE)*100,"")</f>
        <v/>
      </c>
      <c r="K3419" s="7" t="str">
        <f>IF(Table1[[#This Row],[Is Data Valid]]=TRUE,_xlfn.NORM.S.DIST(Table1[[#This Row],[Birthweight Z-Score (BW-10%)]],TRUE)*100,"")</f>
        <v/>
      </c>
      <c r="L3419" s="7" t="str">
        <f>IF(Table1[[#This Row],[Is Data Valid]]=TRUE,_xlfn.NORM.S.DIST(Table1[[#This Row],[Birthweight Z-Score (BW+10%)]],TRUE)*100,"")</f>
        <v/>
      </c>
    </row>
    <row r="3420" spans="1:12" x14ac:dyDescent="0.35">
      <c r="A3420" s="3"/>
      <c r="B3420" s="2"/>
      <c r="C3420" s="2"/>
      <c r="D3420" s="2" t="b">
        <f>IF(AND(NOT(ISBLANK(Table1[[#This Row],[Fetal Sex (Male, Female or Unknown)]])),ISNUMBER(Table1[[#This Row],[Birthweight (grams)]]),ISNUMBER(Table1[[#This Row],[Gestation (days)]])),TRUE,FALSE)</f>
        <v>0</v>
      </c>
      <c r="E3420" s="2" t="str">
        <f>IF(Table1[[#This Row],[Is Data Valid]]=TRUE,IF(Table1[[#This Row],[Fetal Sex (Male, Female or Unknown)]]="Male",Backend!$C$6,IF(Table1[[#This Row],[Fetal Sex (Male, Female or Unknown)]]="Female",Backend!$C$7,IF(Table1[[#This Row],[Fetal Sex (Male, Female or Unknown)]]="Unknown",Backend!$C$8,"Error"))),"")</f>
        <v/>
      </c>
      <c r="F3420" s="8" t="str">
        <f>IF(Table1[[#This Row],[Is Data Valid]]=TRUE,EXP(0.578+0.332*((Table1[[#This Row],[Gestation (days)]]+0.5)/7)-0.00354*((Table1[[#This Row],[Gestation (days)]]+0.5)/7)^2)*Table1[[#This Row],[BW40_3705]],"")</f>
        <v/>
      </c>
      <c r="G3420" s="2" t="str">
        <f>IF(Table1[[#This Row],[Is Data Valid]]=TRUE,((Table1[[#This Row],[Birthweight (grams)]]/Table1[[#This Row],[BW_GA]])-1)/(Backend!$B$4/100*Table1[[#This Row],[BW40_3705]]),"")</f>
        <v/>
      </c>
      <c r="H3420" s="7" t="str">
        <f>IF(Table1[[#This Row],[Is Data Valid]]=TRUE,((Table1[[#This Row],[Birthweight (grams)]]*0.9/Table1[[#This Row],[BW_GA]])-1)/(Backend!$B$4/100*Table1[[#This Row],[BW40_3705]]),"")</f>
        <v/>
      </c>
      <c r="I3420" s="7" t="str">
        <f>IF(Table1[[#This Row],[Is Data Valid]]=TRUE,((Table1[[#This Row],[Birthweight (grams)]]*1.1/Table1[[#This Row],[BW_GA]])-1)/(Backend!$B$4/100*Table1[[#This Row],[BW40_3705]]),"")</f>
        <v/>
      </c>
      <c r="J3420" s="7" t="str">
        <f>IF(Table1[[#This Row],[Is Data Valid]]=TRUE,_xlfn.NORM.S.DIST(Table1[[#This Row],[Birthweight Z-Score]],TRUE)*100,"")</f>
        <v/>
      </c>
      <c r="K3420" s="7" t="str">
        <f>IF(Table1[[#This Row],[Is Data Valid]]=TRUE,_xlfn.NORM.S.DIST(Table1[[#This Row],[Birthweight Z-Score (BW-10%)]],TRUE)*100,"")</f>
        <v/>
      </c>
      <c r="L3420" s="7" t="str">
        <f>IF(Table1[[#This Row],[Is Data Valid]]=TRUE,_xlfn.NORM.S.DIST(Table1[[#This Row],[Birthweight Z-Score (BW+10%)]],TRUE)*100,"")</f>
        <v/>
      </c>
    </row>
    <row r="3421" spans="1:12" x14ac:dyDescent="0.35">
      <c r="A3421" s="3"/>
      <c r="B3421" s="2"/>
      <c r="C3421" s="2"/>
      <c r="D3421" s="2" t="b">
        <f>IF(AND(NOT(ISBLANK(Table1[[#This Row],[Fetal Sex (Male, Female or Unknown)]])),ISNUMBER(Table1[[#This Row],[Birthweight (grams)]]),ISNUMBER(Table1[[#This Row],[Gestation (days)]])),TRUE,FALSE)</f>
        <v>0</v>
      </c>
      <c r="E3421" s="2" t="str">
        <f>IF(Table1[[#This Row],[Is Data Valid]]=TRUE,IF(Table1[[#This Row],[Fetal Sex (Male, Female or Unknown)]]="Male",Backend!$C$6,IF(Table1[[#This Row],[Fetal Sex (Male, Female or Unknown)]]="Female",Backend!$C$7,IF(Table1[[#This Row],[Fetal Sex (Male, Female or Unknown)]]="Unknown",Backend!$C$8,"Error"))),"")</f>
        <v/>
      </c>
      <c r="F3421" s="8" t="str">
        <f>IF(Table1[[#This Row],[Is Data Valid]]=TRUE,EXP(0.578+0.332*((Table1[[#This Row],[Gestation (days)]]+0.5)/7)-0.00354*((Table1[[#This Row],[Gestation (days)]]+0.5)/7)^2)*Table1[[#This Row],[BW40_3705]],"")</f>
        <v/>
      </c>
      <c r="G3421" s="2" t="str">
        <f>IF(Table1[[#This Row],[Is Data Valid]]=TRUE,((Table1[[#This Row],[Birthweight (grams)]]/Table1[[#This Row],[BW_GA]])-1)/(Backend!$B$4/100*Table1[[#This Row],[BW40_3705]]),"")</f>
        <v/>
      </c>
      <c r="H3421" s="7" t="str">
        <f>IF(Table1[[#This Row],[Is Data Valid]]=TRUE,((Table1[[#This Row],[Birthweight (grams)]]*0.9/Table1[[#This Row],[BW_GA]])-1)/(Backend!$B$4/100*Table1[[#This Row],[BW40_3705]]),"")</f>
        <v/>
      </c>
      <c r="I3421" s="7" t="str">
        <f>IF(Table1[[#This Row],[Is Data Valid]]=TRUE,((Table1[[#This Row],[Birthweight (grams)]]*1.1/Table1[[#This Row],[BW_GA]])-1)/(Backend!$B$4/100*Table1[[#This Row],[BW40_3705]]),"")</f>
        <v/>
      </c>
      <c r="J3421" s="7" t="str">
        <f>IF(Table1[[#This Row],[Is Data Valid]]=TRUE,_xlfn.NORM.S.DIST(Table1[[#This Row],[Birthweight Z-Score]],TRUE)*100,"")</f>
        <v/>
      </c>
      <c r="K3421" s="7" t="str">
        <f>IF(Table1[[#This Row],[Is Data Valid]]=TRUE,_xlfn.NORM.S.DIST(Table1[[#This Row],[Birthweight Z-Score (BW-10%)]],TRUE)*100,"")</f>
        <v/>
      </c>
      <c r="L3421" s="7" t="str">
        <f>IF(Table1[[#This Row],[Is Data Valid]]=TRUE,_xlfn.NORM.S.DIST(Table1[[#This Row],[Birthweight Z-Score (BW+10%)]],TRUE)*100,"")</f>
        <v/>
      </c>
    </row>
    <row r="3422" spans="1:12" x14ac:dyDescent="0.35">
      <c r="A3422" s="3"/>
      <c r="B3422" s="2"/>
      <c r="C3422" s="2"/>
      <c r="D3422" s="2" t="b">
        <f>IF(AND(NOT(ISBLANK(Table1[[#This Row],[Fetal Sex (Male, Female or Unknown)]])),ISNUMBER(Table1[[#This Row],[Birthweight (grams)]]),ISNUMBER(Table1[[#This Row],[Gestation (days)]])),TRUE,FALSE)</f>
        <v>0</v>
      </c>
      <c r="E3422" s="2" t="str">
        <f>IF(Table1[[#This Row],[Is Data Valid]]=TRUE,IF(Table1[[#This Row],[Fetal Sex (Male, Female or Unknown)]]="Male",Backend!$C$6,IF(Table1[[#This Row],[Fetal Sex (Male, Female or Unknown)]]="Female",Backend!$C$7,IF(Table1[[#This Row],[Fetal Sex (Male, Female or Unknown)]]="Unknown",Backend!$C$8,"Error"))),"")</f>
        <v/>
      </c>
      <c r="F3422" s="8" t="str">
        <f>IF(Table1[[#This Row],[Is Data Valid]]=TRUE,EXP(0.578+0.332*((Table1[[#This Row],[Gestation (days)]]+0.5)/7)-0.00354*((Table1[[#This Row],[Gestation (days)]]+0.5)/7)^2)*Table1[[#This Row],[BW40_3705]],"")</f>
        <v/>
      </c>
      <c r="G3422" s="2" t="str">
        <f>IF(Table1[[#This Row],[Is Data Valid]]=TRUE,((Table1[[#This Row],[Birthweight (grams)]]/Table1[[#This Row],[BW_GA]])-1)/(Backend!$B$4/100*Table1[[#This Row],[BW40_3705]]),"")</f>
        <v/>
      </c>
      <c r="H3422" s="7" t="str">
        <f>IF(Table1[[#This Row],[Is Data Valid]]=TRUE,((Table1[[#This Row],[Birthweight (grams)]]*0.9/Table1[[#This Row],[BW_GA]])-1)/(Backend!$B$4/100*Table1[[#This Row],[BW40_3705]]),"")</f>
        <v/>
      </c>
      <c r="I3422" s="7" t="str">
        <f>IF(Table1[[#This Row],[Is Data Valid]]=TRUE,((Table1[[#This Row],[Birthweight (grams)]]*1.1/Table1[[#This Row],[BW_GA]])-1)/(Backend!$B$4/100*Table1[[#This Row],[BW40_3705]]),"")</f>
        <v/>
      </c>
      <c r="J3422" s="7" t="str">
        <f>IF(Table1[[#This Row],[Is Data Valid]]=TRUE,_xlfn.NORM.S.DIST(Table1[[#This Row],[Birthweight Z-Score]],TRUE)*100,"")</f>
        <v/>
      </c>
      <c r="K3422" s="7" t="str">
        <f>IF(Table1[[#This Row],[Is Data Valid]]=TRUE,_xlfn.NORM.S.DIST(Table1[[#This Row],[Birthweight Z-Score (BW-10%)]],TRUE)*100,"")</f>
        <v/>
      </c>
      <c r="L3422" s="7" t="str">
        <f>IF(Table1[[#This Row],[Is Data Valid]]=TRUE,_xlfn.NORM.S.DIST(Table1[[#This Row],[Birthweight Z-Score (BW+10%)]],TRUE)*100,"")</f>
        <v/>
      </c>
    </row>
    <row r="3423" spans="1:12" x14ac:dyDescent="0.35">
      <c r="A3423" s="3"/>
      <c r="B3423" s="2"/>
      <c r="C3423" s="2"/>
      <c r="D3423" s="2" t="b">
        <f>IF(AND(NOT(ISBLANK(Table1[[#This Row],[Fetal Sex (Male, Female or Unknown)]])),ISNUMBER(Table1[[#This Row],[Birthweight (grams)]]),ISNUMBER(Table1[[#This Row],[Gestation (days)]])),TRUE,FALSE)</f>
        <v>0</v>
      </c>
      <c r="E3423" s="2" t="str">
        <f>IF(Table1[[#This Row],[Is Data Valid]]=TRUE,IF(Table1[[#This Row],[Fetal Sex (Male, Female or Unknown)]]="Male",Backend!$C$6,IF(Table1[[#This Row],[Fetal Sex (Male, Female or Unknown)]]="Female",Backend!$C$7,IF(Table1[[#This Row],[Fetal Sex (Male, Female or Unknown)]]="Unknown",Backend!$C$8,"Error"))),"")</f>
        <v/>
      </c>
      <c r="F3423" s="8" t="str">
        <f>IF(Table1[[#This Row],[Is Data Valid]]=TRUE,EXP(0.578+0.332*((Table1[[#This Row],[Gestation (days)]]+0.5)/7)-0.00354*((Table1[[#This Row],[Gestation (days)]]+0.5)/7)^2)*Table1[[#This Row],[BW40_3705]],"")</f>
        <v/>
      </c>
      <c r="G3423" s="2" t="str">
        <f>IF(Table1[[#This Row],[Is Data Valid]]=TRUE,((Table1[[#This Row],[Birthweight (grams)]]/Table1[[#This Row],[BW_GA]])-1)/(Backend!$B$4/100*Table1[[#This Row],[BW40_3705]]),"")</f>
        <v/>
      </c>
      <c r="H3423" s="7" t="str">
        <f>IF(Table1[[#This Row],[Is Data Valid]]=TRUE,((Table1[[#This Row],[Birthweight (grams)]]*0.9/Table1[[#This Row],[BW_GA]])-1)/(Backend!$B$4/100*Table1[[#This Row],[BW40_3705]]),"")</f>
        <v/>
      </c>
      <c r="I3423" s="7" t="str">
        <f>IF(Table1[[#This Row],[Is Data Valid]]=TRUE,((Table1[[#This Row],[Birthweight (grams)]]*1.1/Table1[[#This Row],[BW_GA]])-1)/(Backend!$B$4/100*Table1[[#This Row],[BW40_3705]]),"")</f>
        <v/>
      </c>
      <c r="J3423" s="7" t="str">
        <f>IF(Table1[[#This Row],[Is Data Valid]]=TRUE,_xlfn.NORM.S.DIST(Table1[[#This Row],[Birthweight Z-Score]],TRUE)*100,"")</f>
        <v/>
      </c>
      <c r="K3423" s="7" t="str">
        <f>IF(Table1[[#This Row],[Is Data Valid]]=TRUE,_xlfn.NORM.S.DIST(Table1[[#This Row],[Birthweight Z-Score (BW-10%)]],TRUE)*100,"")</f>
        <v/>
      </c>
      <c r="L3423" s="7" t="str">
        <f>IF(Table1[[#This Row],[Is Data Valid]]=TRUE,_xlfn.NORM.S.DIST(Table1[[#This Row],[Birthweight Z-Score (BW+10%)]],TRUE)*100,"")</f>
        <v/>
      </c>
    </row>
    <row r="3424" spans="1:12" x14ac:dyDescent="0.35">
      <c r="A3424" s="3"/>
      <c r="B3424" s="2"/>
      <c r="C3424" s="2"/>
      <c r="D3424" s="2" t="b">
        <f>IF(AND(NOT(ISBLANK(Table1[[#This Row],[Fetal Sex (Male, Female or Unknown)]])),ISNUMBER(Table1[[#This Row],[Birthweight (grams)]]),ISNUMBER(Table1[[#This Row],[Gestation (days)]])),TRUE,FALSE)</f>
        <v>0</v>
      </c>
      <c r="E3424" s="2" t="str">
        <f>IF(Table1[[#This Row],[Is Data Valid]]=TRUE,IF(Table1[[#This Row],[Fetal Sex (Male, Female or Unknown)]]="Male",Backend!$C$6,IF(Table1[[#This Row],[Fetal Sex (Male, Female or Unknown)]]="Female",Backend!$C$7,IF(Table1[[#This Row],[Fetal Sex (Male, Female or Unknown)]]="Unknown",Backend!$C$8,"Error"))),"")</f>
        <v/>
      </c>
      <c r="F3424" s="8" t="str">
        <f>IF(Table1[[#This Row],[Is Data Valid]]=TRUE,EXP(0.578+0.332*((Table1[[#This Row],[Gestation (days)]]+0.5)/7)-0.00354*((Table1[[#This Row],[Gestation (days)]]+0.5)/7)^2)*Table1[[#This Row],[BW40_3705]],"")</f>
        <v/>
      </c>
      <c r="G3424" s="2" t="str">
        <f>IF(Table1[[#This Row],[Is Data Valid]]=TRUE,((Table1[[#This Row],[Birthweight (grams)]]/Table1[[#This Row],[BW_GA]])-1)/(Backend!$B$4/100*Table1[[#This Row],[BW40_3705]]),"")</f>
        <v/>
      </c>
      <c r="H3424" s="7" t="str">
        <f>IF(Table1[[#This Row],[Is Data Valid]]=TRUE,((Table1[[#This Row],[Birthweight (grams)]]*0.9/Table1[[#This Row],[BW_GA]])-1)/(Backend!$B$4/100*Table1[[#This Row],[BW40_3705]]),"")</f>
        <v/>
      </c>
      <c r="I3424" s="7" t="str">
        <f>IF(Table1[[#This Row],[Is Data Valid]]=TRUE,((Table1[[#This Row],[Birthweight (grams)]]*1.1/Table1[[#This Row],[BW_GA]])-1)/(Backend!$B$4/100*Table1[[#This Row],[BW40_3705]]),"")</f>
        <v/>
      </c>
      <c r="J3424" s="7" t="str">
        <f>IF(Table1[[#This Row],[Is Data Valid]]=TRUE,_xlfn.NORM.S.DIST(Table1[[#This Row],[Birthweight Z-Score]],TRUE)*100,"")</f>
        <v/>
      </c>
      <c r="K3424" s="7" t="str">
        <f>IF(Table1[[#This Row],[Is Data Valid]]=TRUE,_xlfn.NORM.S.DIST(Table1[[#This Row],[Birthweight Z-Score (BW-10%)]],TRUE)*100,"")</f>
        <v/>
      </c>
      <c r="L3424" s="7" t="str">
        <f>IF(Table1[[#This Row],[Is Data Valid]]=TRUE,_xlfn.NORM.S.DIST(Table1[[#This Row],[Birthweight Z-Score (BW+10%)]],TRUE)*100,"")</f>
        <v/>
      </c>
    </row>
    <row r="3425" spans="1:12" x14ac:dyDescent="0.35">
      <c r="A3425" s="3"/>
      <c r="B3425" s="2"/>
      <c r="C3425" s="2"/>
      <c r="D3425" s="2" t="b">
        <f>IF(AND(NOT(ISBLANK(Table1[[#This Row],[Fetal Sex (Male, Female or Unknown)]])),ISNUMBER(Table1[[#This Row],[Birthweight (grams)]]),ISNUMBER(Table1[[#This Row],[Gestation (days)]])),TRUE,FALSE)</f>
        <v>0</v>
      </c>
      <c r="E3425" s="2" t="str">
        <f>IF(Table1[[#This Row],[Is Data Valid]]=TRUE,IF(Table1[[#This Row],[Fetal Sex (Male, Female or Unknown)]]="Male",Backend!$C$6,IF(Table1[[#This Row],[Fetal Sex (Male, Female or Unknown)]]="Female",Backend!$C$7,IF(Table1[[#This Row],[Fetal Sex (Male, Female or Unknown)]]="Unknown",Backend!$C$8,"Error"))),"")</f>
        <v/>
      </c>
      <c r="F3425" s="8" t="str">
        <f>IF(Table1[[#This Row],[Is Data Valid]]=TRUE,EXP(0.578+0.332*((Table1[[#This Row],[Gestation (days)]]+0.5)/7)-0.00354*((Table1[[#This Row],[Gestation (days)]]+0.5)/7)^2)*Table1[[#This Row],[BW40_3705]],"")</f>
        <v/>
      </c>
      <c r="G3425" s="2" t="str">
        <f>IF(Table1[[#This Row],[Is Data Valid]]=TRUE,((Table1[[#This Row],[Birthweight (grams)]]/Table1[[#This Row],[BW_GA]])-1)/(Backend!$B$4/100*Table1[[#This Row],[BW40_3705]]),"")</f>
        <v/>
      </c>
      <c r="H3425" s="7" t="str">
        <f>IF(Table1[[#This Row],[Is Data Valid]]=TRUE,((Table1[[#This Row],[Birthweight (grams)]]*0.9/Table1[[#This Row],[BW_GA]])-1)/(Backend!$B$4/100*Table1[[#This Row],[BW40_3705]]),"")</f>
        <v/>
      </c>
      <c r="I3425" s="7" t="str">
        <f>IF(Table1[[#This Row],[Is Data Valid]]=TRUE,((Table1[[#This Row],[Birthweight (grams)]]*1.1/Table1[[#This Row],[BW_GA]])-1)/(Backend!$B$4/100*Table1[[#This Row],[BW40_3705]]),"")</f>
        <v/>
      </c>
      <c r="J3425" s="7" t="str">
        <f>IF(Table1[[#This Row],[Is Data Valid]]=TRUE,_xlfn.NORM.S.DIST(Table1[[#This Row],[Birthweight Z-Score]],TRUE)*100,"")</f>
        <v/>
      </c>
      <c r="K3425" s="7" t="str">
        <f>IF(Table1[[#This Row],[Is Data Valid]]=TRUE,_xlfn.NORM.S.DIST(Table1[[#This Row],[Birthweight Z-Score (BW-10%)]],TRUE)*100,"")</f>
        <v/>
      </c>
      <c r="L3425" s="7" t="str">
        <f>IF(Table1[[#This Row],[Is Data Valid]]=TRUE,_xlfn.NORM.S.DIST(Table1[[#This Row],[Birthweight Z-Score (BW+10%)]],TRUE)*100,"")</f>
        <v/>
      </c>
    </row>
    <row r="3426" spans="1:12" x14ac:dyDescent="0.35">
      <c r="A3426" s="3"/>
      <c r="B3426" s="2"/>
      <c r="C3426" s="2"/>
      <c r="D3426" s="2" t="b">
        <f>IF(AND(NOT(ISBLANK(Table1[[#This Row],[Fetal Sex (Male, Female or Unknown)]])),ISNUMBER(Table1[[#This Row],[Birthweight (grams)]]),ISNUMBER(Table1[[#This Row],[Gestation (days)]])),TRUE,FALSE)</f>
        <v>0</v>
      </c>
      <c r="E3426" s="2" t="str">
        <f>IF(Table1[[#This Row],[Is Data Valid]]=TRUE,IF(Table1[[#This Row],[Fetal Sex (Male, Female or Unknown)]]="Male",Backend!$C$6,IF(Table1[[#This Row],[Fetal Sex (Male, Female or Unknown)]]="Female",Backend!$C$7,IF(Table1[[#This Row],[Fetal Sex (Male, Female or Unknown)]]="Unknown",Backend!$C$8,"Error"))),"")</f>
        <v/>
      </c>
      <c r="F3426" s="8" t="str">
        <f>IF(Table1[[#This Row],[Is Data Valid]]=TRUE,EXP(0.578+0.332*((Table1[[#This Row],[Gestation (days)]]+0.5)/7)-0.00354*((Table1[[#This Row],[Gestation (days)]]+0.5)/7)^2)*Table1[[#This Row],[BW40_3705]],"")</f>
        <v/>
      </c>
      <c r="G3426" s="2" t="str">
        <f>IF(Table1[[#This Row],[Is Data Valid]]=TRUE,((Table1[[#This Row],[Birthweight (grams)]]/Table1[[#This Row],[BW_GA]])-1)/(Backend!$B$4/100*Table1[[#This Row],[BW40_3705]]),"")</f>
        <v/>
      </c>
      <c r="H3426" s="7" t="str">
        <f>IF(Table1[[#This Row],[Is Data Valid]]=TRUE,((Table1[[#This Row],[Birthweight (grams)]]*0.9/Table1[[#This Row],[BW_GA]])-1)/(Backend!$B$4/100*Table1[[#This Row],[BW40_3705]]),"")</f>
        <v/>
      </c>
      <c r="I3426" s="7" t="str">
        <f>IF(Table1[[#This Row],[Is Data Valid]]=TRUE,((Table1[[#This Row],[Birthweight (grams)]]*1.1/Table1[[#This Row],[BW_GA]])-1)/(Backend!$B$4/100*Table1[[#This Row],[BW40_3705]]),"")</f>
        <v/>
      </c>
      <c r="J3426" s="7" t="str">
        <f>IF(Table1[[#This Row],[Is Data Valid]]=TRUE,_xlfn.NORM.S.DIST(Table1[[#This Row],[Birthweight Z-Score]],TRUE)*100,"")</f>
        <v/>
      </c>
      <c r="K3426" s="7" t="str">
        <f>IF(Table1[[#This Row],[Is Data Valid]]=TRUE,_xlfn.NORM.S.DIST(Table1[[#This Row],[Birthweight Z-Score (BW-10%)]],TRUE)*100,"")</f>
        <v/>
      </c>
      <c r="L3426" s="7" t="str">
        <f>IF(Table1[[#This Row],[Is Data Valid]]=TRUE,_xlfn.NORM.S.DIST(Table1[[#This Row],[Birthweight Z-Score (BW+10%)]],TRUE)*100,"")</f>
        <v/>
      </c>
    </row>
    <row r="3427" spans="1:12" x14ac:dyDescent="0.35">
      <c r="A3427" s="3"/>
      <c r="B3427" s="2"/>
      <c r="C3427" s="2"/>
      <c r="D3427" s="2" t="b">
        <f>IF(AND(NOT(ISBLANK(Table1[[#This Row],[Fetal Sex (Male, Female or Unknown)]])),ISNUMBER(Table1[[#This Row],[Birthweight (grams)]]),ISNUMBER(Table1[[#This Row],[Gestation (days)]])),TRUE,FALSE)</f>
        <v>0</v>
      </c>
      <c r="E3427" s="2" t="str">
        <f>IF(Table1[[#This Row],[Is Data Valid]]=TRUE,IF(Table1[[#This Row],[Fetal Sex (Male, Female or Unknown)]]="Male",Backend!$C$6,IF(Table1[[#This Row],[Fetal Sex (Male, Female or Unknown)]]="Female",Backend!$C$7,IF(Table1[[#This Row],[Fetal Sex (Male, Female or Unknown)]]="Unknown",Backend!$C$8,"Error"))),"")</f>
        <v/>
      </c>
      <c r="F3427" s="8" t="str">
        <f>IF(Table1[[#This Row],[Is Data Valid]]=TRUE,EXP(0.578+0.332*((Table1[[#This Row],[Gestation (days)]]+0.5)/7)-0.00354*((Table1[[#This Row],[Gestation (days)]]+0.5)/7)^2)*Table1[[#This Row],[BW40_3705]],"")</f>
        <v/>
      </c>
      <c r="G3427" s="2" t="str">
        <f>IF(Table1[[#This Row],[Is Data Valid]]=TRUE,((Table1[[#This Row],[Birthweight (grams)]]/Table1[[#This Row],[BW_GA]])-1)/(Backend!$B$4/100*Table1[[#This Row],[BW40_3705]]),"")</f>
        <v/>
      </c>
      <c r="H3427" s="7" t="str">
        <f>IF(Table1[[#This Row],[Is Data Valid]]=TRUE,((Table1[[#This Row],[Birthweight (grams)]]*0.9/Table1[[#This Row],[BW_GA]])-1)/(Backend!$B$4/100*Table1[[#This Row],[BW40_3705]]),"")</f>
        <v/>
      </c>
      <c r="I3427" s="7" t="str">
        <f>IF(Table1[[#This Row],[Is Data Valid]]=TRUE,((Table1[[#This Row],[Birthweight (grams)]]*1.1/Table1[[#This Row],[BW_GA]])-1)/(Backend!$B$4/100*Table1[[#This Row],[BW40_3705]]),"")</f>
        <v/>
      </c>
      <c r="J3427" s="7" t="str">
        <f>IF(Table1[[#This Row],[Is Data Valid]]=TRUE,_xlfn.NORM.S.DIST(Table1[[#This Row],[Birthweight Z-Score]],TRUE)*100,"")</f>
        <v/>
      </c>
      <c r="K3427" s="7" t="str">
        <f>IF(Table1[[#This Row],[Is Data Valid]]=TRUE,_xlfn.NORM.S.DIST(Table1[[#This Row],[Birthweight Z-Score (BW-10%)]],TRUE)*100,"")</f>
        <v/>
      </c>
      <c r="L3427" s="7" t="str">
        <f>IF(Table1[[#This Row],[Is Data Valid]]=TRUE,_xlfn.NORM.S.DIST(Table1[[#This Row],[Birthweight Z-Score (BW+10%)]],TRUE)*100,"")</f>
        <v/>
      </c>
    </row>
    <row r="3428" spans="1:12" x14ac:dyDescent="0.35">
      <c r="A3428" s="3"/>
      <c r="B3428" s="2"/>
      <c r="C3428" s="2"/>
      <c r="D3428" s="2" t="b">
        <f>IF(AND(NOT(ISBLANK(Table1[[#This Row],[Fetal Sex (Male, Female or Unknown)]])),ISNUMBER(Table1[[#This Row],[Birthweight (grams)]]),ISNUMBER(Table1[[#This Row],[Gestation (days)]])),TRUE,FALSE)</f>
        <v>0</v>
      </c>
      <c r="E3428" s="2" t="str">
        <f>IF(Table1[[#This Row],[Is Data Valid]]=TRUE,IF(Table1[[#This Row],[Fetal Sex (Male, Female or Unknown)]]="Male",Backend!$C$6,IF(Table1[[#This Row],[Fetal Sex (Male, Female or Unknown)]]="Female",Backend!$C$7,IF(Table1[[#This Row],[Fetal Sex (Male, Female or Unknown)]]="Unknown",Backend!$C$8,"Error"))),"")</f>
        <v/>
      </c>
      <c r="F3428" s="8" t="str">
        <f>IF(Table1[[#This Row],[Is Data Valid]]=TRUE,EXP(0.578+0.332*((Table1[[#This Row],[Gestation (days)]]+0.5)/7)-0.00354*((Table1[[#This Row],[Gestation (days)]]+0.5)/7)^2)*Table1[[#This Row],[BW40_3705]],"")</f>
        <v/>
      </c>
      <c r="G3428" s="2" t="str">
        <f>IF(Table1[[#This Row],[Is Data Valid]]=TRUE,((Table1[[#This Row],[Birthweight (grams)]]/Table1[[#This Row],[BW_GA]])-1)/(Backend!$B$4/100*Table1[[#This Row],[BW40_3705]]),"")</f>
        <v/>
      </c>
      <c r="H3428" s="7" t="str">
        <f>IF(Table1[[#This Row],[Is Data Valid]]=TRUE,((Table1[[#This Row],[Birthweight (grams)]]*0.9/Table1[[#This Row],[BW_GA]])-1)/(Backend!$B$4/100*Table1[[#This Row],[BW40_3705]]),"")</f>
        <v/>
      </c>
      <c r="I3428" s="7" t="str">
        <f>IF(Table1[[#This Row],[Is Data Valid]]=TRUE,((Table1[[#This Row],[Birthweight (grams)]]*1.1/Table1[[#This Row],[BW_GA]])-1)/(Backend!$B$4/100*Table1[[#This Row],[BW40_3705]]),"")</f>
        <v/>
      </c>
      <c r="J3428" s="7" t="str">
        <f>IF(Table1[[#This Row],[Is Data Valid]]=TRUE,_xlfn.NORM.S.DIST(Table1[[#This Row],[Birthweight Z-Score]],TRUE)*100,"")</f>
        <v/>
      </c>
      <c r="K3428" s="7" t="str">
        <f>IF(Table1[[#This Row],[Is Data Valid]]=TRUE,_xlfn.NORM.S.DIST(Table1[[#This Row],[Birthweight Z-Score (BW-10%)]],TRUE)*100,"")</f>
        <v/>
      </c>
      <c r="L3428" s="7" t="str">
        <f>IF(Table1[[#This Row],[Is Data Valid]]=TRUE,_xlfn.NORM.S.DIST(Table1[[#This Row],[Birthweight Z-Score (BW+10%)]],TRUE)*100,"")</f>
        <v/>
      </c>
    </row>
    <row r="3429" spans="1:12" x14ac:dyDescent="0.35">
      <c r="A3429" s="3"/>
      <c r="B3429" s="2"/>
      <c r="C3429" s="2"/>
      <c r="D3429" s="2" t="b">
        <f>IF(AND(NOT(ISBLANK(Table1[[#This Row],[Fetal Sex (Male, Female or Unknown)]])),ISNUMBER(Table1[[#This Row],[Birthweight (grams)]]),ISNUMBER(Table1[[#This Row],[Gestation (days)]])),TRUE,FALSE)</f>
        <v>0</v>
      </c>
      <c r="E3429" s="2" t="str">
        <f>IF(Table1[[#This Row],[Is Data Valid]]=TRUE,IF(Table1[[#This Row],[Fetal Sex (Male, Female or Unknown)]]="Male",Backend!$C$6,IF(Table1[[#This Row],[Fetal Sex (Male, Female or Unknown)]]="Female",Backend!$C$7,IF(Table1[[#This Row],[Fetal Sex (Male, Female or Unknown)]]="Unknown",Backend!$C$8,"Error"))),"")</f>
        <v/>
      </c>
      <c r="F3429" s="8" t="str">
        <f>IF(Table1[[#This Row],[Is Data Valid]]=TRUE,EXP(0.578+0.332*((Table1[[#This Row],[Gestation (days)]]+0.5)/7)-0.00354*((Table1[[#This Row],[Gestation (days)]]+0.5)/7)^2)*Table1[[#This Row],[BW40_3705]],"")</f>
        <v/>
      </c>
      <c r="G3429" s="2" t="str">
        <f>IF(Table1[[#This Row],[Is Data Valid]]=TRUE,((Table1[[#This Row],[Birthweight (grams)]]/Table1[[#This Row],[BW_GA]])-1)/(Backend!$B$4/100*Table1[[#This Row],[BW40_3705]]),"")</f>
        <v/>
      </c>
      <c r="H3429" s="7" t="str">
        <f>IF(Table1[[#This Row],[Is Data Valid]]=TRUE,((Table1[[#This Row],[Birthweight (grams)]]*0.9/Table1[[#This Row],[BW_GA]])-1)/(Backend!$B$4/100*Table1[[#This Row],[BW40_3705]]),"")</f>
        <v/>
      </c>
      <c r="I3429" s="7" t="str">
        <f>IF(Table1[[#This Row],[Is Data Valid]]=TRUE,((Table1[[#This Row],[Birthweight (grams)]]*1.1/Table1[[#This Row],[BW_GA]])-1)/(Backend!$B$4/100*Table1[[#This Row],[BW40_3705]]),"")</f>
        <v/>
      </c>
      <c r="J3429" s="7" t="str">
        <f>IF(Table1[[#This Row],[Is Data Valid]]=TRUE,_xlfn.NORM.S.DIST(Table1[[#This Row],[Birthweight Z-Score]],TRUE)*100,"")</f>
        <v/>
      </c>
      <c r="K3429" s="7" t="str">
        <f>IF(Table1[[#This Row],[Is Data Valid]]=TRUE,_xlfn.NORM.S.DIST(Table1[[#This Row],[Birthweight Z-Score (BW-10%)]],TRUE)*100,"")</f>
        <v/>
      </c>
      <c r="L3429" s="7" t="str">
        <f>IF(Table1[[#This Row],[Is Data Valid]]=TRUE,_xlfn.NORM.S.DIST(Table1[[#This Row],[Birthweight Z-Score (BW+10%)]],TRUE)*100,"")</f>
        <v/>
      </c>
    </row>
    <row r="3430" spans="1:12" x14ac:dyDescent="0.35">
      <c r="A3430" s="3"/>
      <c r="B3430" s="2"/>
      <c r="C3430" s="2"/>
      <c r="D3430" s="2" t="b">
        <f>IF(AND(NOT(ISBLANK(Table1[[#This Row],[Fetal Sex (Male, Female or Unknown)]])),ISNUMBER(Table1[[#This Row],[Birthweight (grams)]]),ISNUMBER(Table1[[#This Row],[Gestation (days)]])),TRUE,FALSE)</f>
        <v>0</v>
      </c>
      <c r="E3430" s="2" t="str">
        <f>IF(Table1[[#This Row],[Is Data Valid]]=TRUE,IF(Table1[[#This Row],[Fetal Sex (Male, Female or Unknown)]]="Male",Backend!$C$6,IF(Table1[[#This Row],[Fetal Sex (Male, Female or Unknown)]]="Female",Backend!$C$7,IF(Table1[[#This Row],[Fetal Sex (Male, Female or Unknown)]]="Unknown",Backend!$C$8,"Error"))),"")</f>
        <v/>
      </c>
      <c r="F3430" s="8" t="str">
        <f>IF(Table1[[#This Row],[Is Data Valid]]=TRUE,EXP(0.578+0.332*((Table1[[#This Row],[Gestation (days)]]+0.5)/7)-0.00354*((Table1[[#This Row],[Gestation (days)]]+0.5)/7)^2)*Table1[[#This Row],[BW40_3705]],"")</f>
        <v/>
      </c>
      <c r="G3430" s="2" t="str">
        <f>IF(Table1[[#This Row],[Is Data Valid]]=TRUE,((Table1[[#This Row],[Birthweight (grams)]]/Table1[[#This Row],[BW_GA]])-1)/(Backend!$B$4/100*Table1[[#This Row],[BW40_3705]]),"")</f>
        <v/>
      </c>
      <c r="H3430" s="7" t="str">
        <f>IF(Table1[[#This Row],[Is Data Valid]]=TRUE,((Table1[[#This Row],[Birthweight (grams)]]*0.9/Table1[[#This Row],[BW_GA]])-1)/(Backend!$B$4/100*Table1[[#This Row],[BW40_3705]]),"")</f>
        <v/>
      </c>
      <c r="I3430" s="7" t="str">
        <f>IF(Table1[[#This Row],[Is Data Valid]]=TRUE,((Table1[[#This Row],[Birthweight (grams)]]*1.1/Table1[[#This Row],[BW_GA]])-1)/(Backend!$B$4/100*Table1[[#This Row],[BW40_3705]]),"")</f>
        <v/>
      </c>
      <c r="J3430" s="7" t="str">
        <f>IF(Table1[[#This Row],[Is Data Valid]]=TRUE,_xlfn.NORM.S.DIST(Table1[[#This Row],[Birthweight Z-Score]],TRUE)*100,"")</f>
        <v/>
      </c>
      <c r="K3430" s="7" t="str">
        <f>IF(Table1[[#This Row],[Is Data Valid]]=TRUE,_xlfn.NORM.S.DIST(Table1[[#This Row],[Birthweight Z-Score (BW-10%)]],TRUE)*100,"")</f>
        <v/>
      </c>
      <c r="L3430" s="7" t="str">
        <f>IF(Table1[[#This Row],[Is Data Valid]]=TRUE,_xlfn.NORM.S.DIST(Table1[[#This Row],[Birthweight Z-Score (BW+10%)]],TRUE)*100,"")</f>
        <v/>
      </c>
    </row>
    <row r="3431" spans="1:12" x14ac:dyDescent="0.35">
      <c r="A3431" s="3"/>
      <c r="B3431" s="2"/>
      <c r="C3431" s="2"/>
      <c r="D3431" s="2" t="b">
        <f>IF(AND(NOT(ISBLANK(Table1[[#This Row],[Fetal Sex (Male, Female or Unknown)]])),ISNUMBER(Table1[[#This Row],[Birthweight (grams)]]),ISNUMBER(Table1[[#This Row],[Gestation (days)]])),TRUE,FALSE)</f>
        <v>0</v>
      </c>
      <c r="E3431" s="2" t="str">
        <f>IF(Table1[[#This Row],[Is Data Valid]]=TRUE,IF(Table1[[#This Row],[Fetal Sex (Male, Female or Unknown)]]="Male",Backend!$C$6,IF(Table1[[#This Row],[Fetal Sex (Male, Female or Unknown)]]="Female",Backend!$C$7,IF(Table1[[#This Row],[Fetal Sex (Male, Female or Unknown)]]="Unknown",Backend!$C$8,"Error"))),"")</f>
        <v/>
      </c>
      <c r="F3431" s="8" t="str">
        <f>IF(Table1[[#This Row],[Is Data Valid]]=TRUE,EXP(0.578+0.332*((Table1[[#This Row],[Gestation (days)]]+0.5)/7)-0.00354*((Table1[[#This Row],[Gestation (days)]]+0.5)/7)^2)*Table1[[#This Row],[BW40_3705]],"")</f>
        <v/>
      </c>
      <c r="G3431" s="2" t="str">
        <f>IF(Table1[[#This Row],[Is Data Valid]]=TRUE,((Table1[[#This Row],[Birthweight (grams)]]/Table1[[#This Row],[BW_GA]])-1)/(Backend!$B$4/100*Table1[[#This Row],[BW40_3705]]),"")</f>
        <v/>
      </c>
      <c r="H3431" s="7" t="str">
        <f>IF(Table1[[#This Row],[Is Data Valid]]=TRUE,((Table1[[#This Row],[Birthweight (grams)]]*0.9/Table1[[#This Row],[BW_GA]])-1)/(Backend!$B$4/100*Table1[[#This Row],[BW40_3705]]),"")</f>
        <v/>
      </c>
      <c r="I3431" s="7" t="str">
        <f>IF(Table1[[#This Row],[Is Data Valid]]=TRUE,((Table1[[#This Row],[Birthweight (grams)]]*1.1/Table1[[#This Row],[BW_GA]])-1)/(Backend!$B$4/100*Table1[[#This Row],[BW40_3705]]),"")</f>
        <v/>
      </c>
      <c r="J3431" s="7" t="str">
        <f>IF(Table1[[#This Row],[Is Data Valid]]=TRUE,_xlfn.NORM.S.DIST(Table1[[#This Row],[Birthweight Z-Score]],TRUE)*100,"")</f>
        <v/>
      </c>
      <c r="K3431" s="7" t="str">
        <f>IF(Table1[[#This Row],[Is Data Valid]]=TRUE,_xlfn.NORM.S.DIST(Table1[[#This Row],[Birthweight Z-Score (BW-10%)]],TRUE)*100,"")</f>
        <v/>
      </c>
      <c r="L3431" s="7" t="str">
        <f>IF(Table1[[#This Row],[Is Data Valid]]=TRUE,_xlfn.NORM.S.DIST(Table1[[#This Row],[Birthweight Z-Score (BW+10%)]],TRUE)*100,"")</f>
        <v/>
      </c>
    </row>
    <row r="3432" spans="1:12" x14ac:dyDescent="0.35">
      <c r="A3432" s="3"/>
      <c r="B3432" s="2"/>
      <c r="C3432" s="2"/>
      <c r="D3432" s="2" t="b">
        <f>IF(AND(NOT(ISBLANK(Table1[[#This Row],[Fetal Sex (Male, Female or Unknown)]])),ISNUMBER(Table1[[#This Row],[Birthweight (grams)]]),ISNUMBER(Table1[[#This Row],[Gestation (days)]])),TRUE,FALSE)</f>
        <v>0</v>
      </c>
      <c r="E3432" s="2" t="str">
        <f>IF(Table1[[#This Row],[Is Data Valid]]=TRUE,IF(Table1[[#This Row],[Fetal Sex (Male, Female or Unknown)]]="Male",Backend!$C$6,IF(Table1[[#This Row],[Fetal Sex (Male, Female or Unknown)]]="Female",Backend!$C$7,IF(Table1[[#This Row],[Fetal Sex (Male, Female or Unknown)]]="Unknown",Backend!$C$8,"Error"))),"")</f>
        <v/>
      </c>
      <c r="F3432" s="8" t="str">
        <f>IF(Table1[[#This Row],[Is Data Valid]]=TRUE,EXP(0.578+0.332*((Table1[[#This Row],[Gestation (days)]]+0.5)/7)-0.00354*((Table1[[#This Row],[Gestation (days)]]+0.5)/7)^2)*Table1[[#This Row],[BW40_3705]],"")</f>
        <v/>
      </c>
      <c r="G3432" s="2" t="str">
        <f>IF(Table1[[#This Row],[Is Data Valid]]=TRUE,((Table1[[#This Row],[Birthweight (grams)]]/Table1[[#This Row],[BW_GA]])-1)/(Backend!$B$4/100*Table1[[#This Row],[BW40_3705]]),"")</f>
        <v/>
      </c>
      <c r="H3432" s="7" t="str">
        <f>IF(Table1[[#This Row],[Is Data Valid]]=TRUE,((Table1[[#This Row],[Birthweight (grams)]]*0.9/Table1[[#This Row],[BW_GA]])-1)/(Backend!$B$4/100*Table1[[#This Row],[BW40_3705]]),"")</f>
        <v/>
      </c>
      <c r="I3432" s="7" t="str">
        <f>IF(Table1[[#This Row],[Is Data Valid]]=TRUE,((Table1[[#This Row],[Birthweight (grams)]]*1.1/Table1[[#This Row],[BW_GA]])-1)/(Backend!$B$4/100*Table1[[#This Row],[BW40_3705]]),"")</f>
        <v/>
      </c>
      <c r="J3432" s="7" t="str">
        <f>IF(Table1[[#This Row],[Is Data Valid]]=TRUE,_xlfn.NORM.S.DIST(Table1[[#This Row],[Birthweight Z-Score]],TRUE)*100,"")</f>
        <v/>
      </c>
      <c r="K3432" s="7" t="str">
        <f>IF(Table1[[#This Row],[Is Data Valid]]=TRUE,_xlfn.NORM.S.DIST(Table1[[#This Row],[Birthweight Z-Score (BW-10%)]],TRUE)*100,"")</f>
        <v/>
      </c>
      <c r="L3432" s="7" t="str">
        <f>IF(Table1[[#This Row],[Is Data Valid]]=TRUE,_xlfn.NORM.S.DIST(Table1[[#This Row],[Birthweight Z-Score (BW+10%)]],TRUE)*100,"")</f>
        <v/>
      </c>
    </row>
    <row r="3433" spans="1:12" x14ac:dyDescent="0.35">
      <c r="A3433" s="3"/>
      <c r="B3433" s="2"/>
      <c r="C3433" s="2"/>
      <c r="D3433" s="2" t="b">
        <f>IF(AND(NOT(ISBLANK(Table1[[#This Row],[Fetal Sex (Male, Female or Unknown)]])),ISNUMBER(Table1[[#This Row],[Birthweight (grams)]]),ISNUMBER(Table1[[#This Row],[Gestation (days)]])),TRUE,FALSE)</f>
        <v>0</v>
      </c>
      <c r="E3433" s="2" t="str">
        <f>IF(Table1[[#This Row],[Is Data Valid]]=TRUE,IF(Table1[[#This Row],[Fetal Sex (Male, Female or Unknown)]]="Male",Backend!$C$6,IF(Table1[[#This Row],[Fetal Sex (Male, Female or Unknown)]]="Female",Backend!$C$7,IF(Table1[[#This Row],[Fetal Sex (Male, Female or Unknown)]]="Unknown",Backend!$C$8,"Error"))),"")</f>
        <v/>
      </c>
      <c r="F3433" s="8" t="str">
        <f>IF(Table1[[#This Row],[Is Data Valid]]=TRUE,EXP(0.578+0.332*((Table1[[#This Row],[Gestation (days)]]+0.5)/7)-0.00354*((Table1[[#This Row],[Gestation (days)]]+0.5)/7)^2)*Table1[[#This Row],[BW40_3705]],"")</f>
        <v/>
      </c>
      <c r="G3433" s="2" t="str">
        <f>IF(Table1[[#This Row],[Is Data Valid]]=TRUE,((Table1[[#This Row],[Birthweight (grams)]]/Table1[[#This Row],[BW_GA]])-1)/(Backend!$B$4/100*Table1[[#This Row],[BW40_3705]]),"")</f>
        <v/>
      </c>
      <c r="H3433" s="7" t="str">
        <f>IF(Table1[[#This Row],[Is Data Valid]]=TRUE,((Table1[[#This Row],[Birthweight (grams)]]*0.9/Table1[[#This Row],[BW_GA]])-1)/(Backend!$B$4/100*Table1[[#This Row],[BW40_3705]]),"")</f>
        <v/>
      </c>
      <c r="I3433" s="7" t="str">
        <f>IF(Table1[[#This Row],[Is Data Valid]]=TRUE,((Table1[[#This Row],[Birthweight (grams)]]*1.1/Table1[[#This Row],[BW_GA]])-1)/(Backend!$B$4/100*Table1[[#This Row],[BW40_3705]]),"")</f>
        <v/>
      </c>
      <c r="J3433" s="7" t="str">
        <f>IF(Table1[[#This Row],[Is Data Valid]]=TRUE,_xlfn.NORM.S.DIST(Table1[[#This Row],[Birthweight Z-Score]],TRUE)*100,"")</f>
        <v/>
      </c>
      <c r="K3433" s="7" t="str">
        <f>IF(Table1[[#This Row],[Is Data Valid]]=TRUE,_xlfn.NORM.S.DIST(Table1[[#This Row],[Birthweight Z-Score (BW-10%)]],TRUE)*100,"")</f>
        <v/>
      </c>
      <c r="L3433" s="7" t="str">
        <f>IF(Table1[[#This Row],[Is Data Valid]]=TRUE,_xlfn.NORM.S.DIST(Table1[[#This Row],[Birthweight Z-Score (BW+10%)]],TRUE)*100,"")</f>
        <v/>
      </c>
    </row>
    <row r="3434" spans="1:12" x14ac:dyDescent="0.35">
      <c r="A3434" s="3"/>
      <c r="B3434" s="2"/>
      <c r="C3434" s="2"/>
      <c r="D3434" s="2" t="b">
        <f>IF(AND(NOT(ISBLANK(Table1[[#This Row],[Fetal Sex (Male, Female or Unknown)]])),ISNUMBER(Table1[[#This Row],[Birthweight (grams)]]),ISNUMBER(Table1[[#This Row],[Gestation (days)]])),TRUE,FALSE)</f>
        <v>0</v>
      </c>
      <c r="E3434" s="2" t="str">
        <f>IF(Table1[[#This Row],[Is Data Valid]]=TRUE,IF(Table1[[#This Row],[Fetal Sex (Male, Female or Unknown)]]="Male",Backend!$C$6,IF(Table1[[#This Row],[Fetal Sex (Male, Female or Unknown)]]="Female",Backend!$C$7,IF(Table1[[#This Row],[Fetal Sex (Male, Female or Unknown)]]="Unknown",Backend!$C$8,"Error"))),"")</f>
        <v/>
      </c>
      <c r="F3434" s="8" t="str">
        <f>IF(Table1[[#This Row],[Is Data Valid]]=TRUE,EXP(0.578+0.332*((Table1[[#This Row],[Gestation (days)]]+0.5)/7)-0.00354*((Table1[[#This Row],[Gestation (days)]]+0.5)/7)^2)*Table1[[#This Row],[BW40_3705]],"")</f>
        <v/>
      </c>
      <c r="G3434" s="2" t="str">
        <f>IF(Table1[[#This Row],[Is Data Valid]]=TRUE,((Table1[[#This Row],[Birthweight (grams)]]/Table1[[#This Row],[BW_GA]])-1)/(Backend!$B$4/100*Table1[[#This Row],[BW40_3705]]),"")</f>
        <v/>
      </c>
      <c r="H3434" s="7" t="str">
        <f>IF(Table1[[#This Row],[Is Data Valid]]=TRUE,((Table1[[#This Row],[Birthweight (grams)]]*0.9/Table1[[#This Row],[BW_GA]])-1)/(Backend!$B$4/100*Table1[[#This Row],[BW40_3705]]),"")</f>
        <v/>
      </c>
      <c r="I3434" s="7" t="str">
        <f>IF(Table1[[#This Row],[Is Data Valid]]=TRUE,((Table1[[#This Row],[Birthweight (grams)]]*1.1/Table1[[#This Row],[BW_GA]])-1)/(Backend!$B$4/100*Table1[[#This Row],[BW40_3705]]),"")</f>
        <v/>
      </c>
      <c r="J3434" s="7" t="str">
        <f>IF(Table1[[#This Row],[Is Data Valid]]=TRUE,_xlfn.NORM.S.DIST(Table1[[#This Row],[Birthweight Z-Score]],TRUE)*100,"")</f>
        <v/>
      </c>
      <c r="K3434" s="7" t="str">
        <f>IF(Table1[[#This Row],[Is Data Valid]]=TRUE,_xlfn.NORM.S.DIST(Table1[[#This Row],[Birthweight Z-Score (BW-10%)]],TRUE)*100,"")</f>
        <v/>
      </c>
      <c r="L3434" s="7" t="str">
        <f>IF(Table1[[#This Row],[Is Data Valid]]=TRUE,_xlfn.NORM.S.DIST(Table1[[#This Row],[Birthweight Z-Score (BW+10%)]],TRUE)*100,"")</f>
        <v/>
      </c>
    </row>
    <row r="3435" spans="1:12" x14ac:dyDescent="0.35">
      <c r="A3435" s="3"/>
      <c r="B3435" s="2"/>
      <c r="C3435" s="2"/>
      <c r="D3435" s="2" t="b">
        <f>IF(AND(NOT(ISBLANK(Table1[[#This Row],[Fetal Sex (Male, Female or Unknown)]])),ISNUMBER(Table1[[#This Row],[Birthweight (grams)]]),ISNUMBER(Table1[[#This Row],[Gestation (days)]])),TRUE,FALSE)</f>
        <v>0</v>
      </c>
      <c r="E3435" s="2" t="str">
        <f>IF(Table1[[#This Row],[Is Data Valid]]=TRUE,IF(Table1[[#This Row],[Fetal Sex (Male, Female or Unknown)]]="Male",Backend!$C$6,IF(Table1[[#This Row],[Fetal Sex (Male, Female or Unknown)]]="Female",Backend!$C$7,IF(Table1[[#This Row],[Fetal Sex (Male, Female or Unknown)]]="Unknown",Backend!$C$8,"Error"))),"")</f>
        <v/>
      </c>
      <c r="F3435" s="8" t="str">
        <f>IF(Table1[[#This Row],[Is Data Valid]]=TRUE,EXP(0.578+0.332*((Table1[[#This Row],[Gestation (days)]]+0.5)/7)-0.00354*((Table1[[#This Row],[Gestation (days)]]+0.5)/7)^2)*Table1[[#This Row],[BW40_3705]],"")</f>
        <v/>
      </c>
      <c r="G3435" s="2" t="str">
        <f>IF(Table1[[#This Row],[Is Data Valid]]=TRUE,((Table1[[#This Row],[Birthweight (grams)]]/Table1[[#This Row],[BW_GA]])-1)/(Backend!$B$4/100*Table1[[#This Row],[BW40_3705]]),"")</f>
        <v/>
      </c>
      <c r="H3435" s="7" t="str">
        <f>IF(Table1[[#This Row],[Is Data Valid]]=TRUE,((Table1[[#This Row],[Birthweight (grams)]]*0.9/Table1[[#This Row],[BW_GA]])-1)/(Backend!$B$4/100*Table1[[#This Row],[BW40_3705]]),"")</f>
        <v/>
      </c>
      <c r="I3435" s="7" t="str">
        <f>IF(Table1[[#This Row],[Is Data Valid]]=TRUE,((Table1[[#This Row],[Birthweight (grams)]]*1.1/Table1[[#This Row],[BW_GA]])-1)/(Backend!$B$4/100*Table1[[#This Row],[BW40_3705]]),"")</f>
        <v/>
      </c>
      <c r="J3435" s="7" t="str">
        <f>IF(Table1[[#This Row],[Is Data Valid]]=TRUE,_xlfn.NORM.S.DIST(Table1[[#This Row],[Birthweight Z-Score]],TRUE)*100,"")</f>
        <v/>
      </c>
      <c r="K3435" s="7" t="str">
        <f>IF(Table1[[#This Row],[Is Data Valid]]=TRUE,_xlfn.NORM.S.DIST(Table1[[#This Row],[Birthweight Z-Score (BW-10%)]],TRUE)*100,"")</f>
        <v/>
      </c>
      <c r="L3435" s="7" t="str">
        <f>IF(Table1[[#This Row],[Is Data Valid]]=TRUE,_xlfn.NORM.S.DIST(Table1[[#This Row],[Birthweight Z-Score (BW+10%)]],TRUE)*100,"")</f>
        <v/>
      </c>
    </row>
    <row r="3436" spans="1:12" x14ac:dyDescent="0.35">
      <c r="A3436" s="3"/>
      <c r="B3436" s="2"/>
      <c r="C3436" s="2"/>
      <c r="D3436" s="2" t="b">
        <f>IF(AND(NOT(ISBLANK(Table1[[#This Row],[Fetal Sex (Male, Female or Unknown)]])),ISNUMBER(Table1[[#This Row],[Birthweight (grams)]]),ISNUMBER(Table1[[#This Row],[Gestation (days)]])),TRUE,FALSE)</f>
        <v>0</v>
      </c>
      <c r="E3436" s="2" t="str">
        <f>IF(Table1[[#This Row],[Is Data Valid]]=TRUE,IF(Table1[[#This Row],[Fetal Sex (Male, Female or Unknown)]]="Male",Backend!$C$6,IF(Table1[[#This Row],[Fetal Sex (Male, Female or Unknown)]]="Female",Backend!$C$7,IF(Table1[[#This Row],[Fetal Sex (Male, Female or Unknown)]]="Unknown",Backend!$C$8,"Error"))),"")</f>
        <v/>
      </c>
      <c r="F3436" s="8" t="str">
        <f>IF(Table1[[#This Row],[Is Data Valid]]=TRUE,EXP(0.578+0.332*((Table1[[#This Row],[Gestation (days)]]+0.5)/7)-0.00354*((Table1[[#This Row],[Gestation (days)]]+0.5)/7)^2)*Table1[[#This Row],[BW40_3705]],"")</f>
        <v/>
      </c>
      <c r="G3436" s="2" t="str">
        <f>IF(Table1[[#This Row],[Is Data Valid]]=TRUE,((Table1[[#This Row],[Birthweight (grams)]]/Table1[[#This Row],[BW_GA]])-1)/(Backend!$B$4/100*Table1[[#This Row],[BW40_3705]]),"")</f>
        <v/>
      </c>
      <c r="H3436" s="7" t="str">
        <f>IF(Table1[[#This Row],[Is Data Valid]]=TRUE,((Table1[[#This Row],[Birthweight (grams)]]*0.9/Table1[[#This Row],[BW_GA]])-1)/(Backend!$B$4/100*Table1[[#This Row],[BW40_3705]]),"")</f>
        <v/>
      </c>
      <c r="I3436" s="7" t="str">
        <f>IF(Table1[[#This Row],[Is Data Valid]]=TRUE,((Table1[[#This Row],[Birthweight (grams)]]*1.1/Table1[[#This Row],[BW_GA]])-1)/(Backend!$B$4/100*Table1[[#This Row],[BW40_3705]]),"")</f>
        <v/>
      </c>
      <c r="J3436" s="7" t="str">
        <f>IF(Table1[[#This Row],[Is Data Valid]]=TRUE,_xlfn.NORM.S.DIST(Table1[[#This Row],[Birthweight Z-Score]],TRUE)*100,"")</f>
        <v/>
      </c>
      <c r="K3436" s="7" t="str">
        <f>IF(Table1[[#This Row],[Is Data Valid]]=TRUE,_xlfn.NORM.S.DIST(Table1[[#This Row],[Birthweight Z-Score (BW-10%)]],TRUE)*100,"")</f>
        <v/>
      </c>
      <c r="L3436" s="7" t="str">
        <f>IF(Table1[[#This Row],[Is Data Valid]]=TRUE,_xlfn.NORM.S.DIST(Table1[[#This Row],[Birthweight Z-Score (BW+10%)]],TRUE)*100,"")</f>
        <v/>
      </c>
    </row>
    <row r="3437" spans="1:12" x14ac:dyDescent="0.35">
      <c r="A3437" s="3"/>
      <c r="B3437" s="2"/>
      <c r="C3437" s="2"/>
      <c r="D3437" s="2" t="b">
        <f>IF(AND(NOT(ISBLANK(Table1[[#This Row],[Fetal Sex (Male, Female or Unknown)]])),ISNUMBER(Table1[[#This Row],[Birthweight (grams)]]),ISNUMBER(Table1[[#This Row],[Gestation (days)]])),TRUE,FALSE)</f>
        <v>0</v>
      </c>
      <c r="E3437" s="2" t="str">
        <f>IF(Table1[[#This Row],[Is Data Valid]]=TRUE,IF(Table1[[#This Row],[Fetal Sex (Male, Female or Unknown)]]="Male",Backend!$C$6,IF(Table1[[#This Row],[Fetal Sex (Male, Female or Unknown)]]="Female",Backend!$C$7,IF(Table1[[#This Row],[Fetal Sex (Male, Female or Unknown)]]="Unknown",Backend!$C$8,"Error"))),"")</f>
        <v/>
      </c>
      <c r="F3437" s="8" t="str">
        <f>IF(Table1[[#This Row],[Is Data Valid]]=TRUE,EXP(0.578+0.332*((Table1[[#This Row],[Gestation (days)]]+0.5)/7)-0.00354*((Table1[[#This Row],[Gestation (days)]]+0.5)/7)^2)*Table1[[#This Row],[BW40_3705]],"")</f>
        <v/>
      </c>
      <c r="G3437" s="2" t="str">
        <f>IF(Table1[[#This Row],[Is Data Valid]]=TRUE,((Table1[[#This Row],[Birthweight (grams)]]/Table1[[#This Row],[BW_GA]])-1)/(Backend!$B$4/100*Table1[[#This Row],[BW40_3705]]),"")</f>
        <v/>
      </c>
      <c r="H3437" s="7" t="str">
        <f>IF(Table1[[#This Row],[Is Data Valid]]=TRUE,((Table1[[#This Row],[Birthweight (grams)]]*0.9/Table1[[#This Row],[BW_GA]])-1)/(Backend!$B$4/100*Table1[[#This Row],[BW40_3705]]),"")</f>
        <v/>
      </c>
      <c r="I3437" s="7" t="str">
        <f>IF(Table1[[#This Row],[Is Data Valid]]=TRUE,((Table1[[#This Row],[Birthweight (grams)]]*1.1/Table1[[#This Row],[BW_GA]])-1)/(Backend!$B$4/100*Table1[[#This Row],[BW40_3705]]),"")</f>
        <v/>
      </c>
      <c r="J3437" s="7" t="str">
        <f>IF(Table1[[#This Row],[Is Data Valid]]=TRUE,_xlfn.NORM.S.DIST(Table1[[#This Row],[Birthweight Z-Score]],TRUE)*100,"")</f>
        <v/>
      </c>
      <c r="K3437" s="7" t="str">
        <f>IF(Table1[[#This Row],[Is Data Valid]]=TRUE,_xlfn.NORM.S.DIST(Table1[[#This Row],[Birthweight Z-Score (BW-10%)]],TRUE)*100,"")</f>
        <v/>
      </c>
      <c r="L3437" s="7" t="str">
        <f>IF(Table1[[#This Row],[Is Data Valid]]=TRUE,_xlfn.NORM.S.DIST(Table1[[#This Row],[Birthweight Z-Score (BW+10%)]],TRUE)*100,"")</f>
        <v/>
      </c>
    </row>
    <row r="3438" spans="1:12" x14ac:dyDescent="0.35">
      <c r="A3438" s="3"/>
      <c r="B3438" s="2"/>
      <c r="C3438" s="2"/>
      <c r="D3438" s="2" t="b">
        <f>IF(AND(NOT(ISBLANK(Table1[[#This Row],[Fetal Sex (Male, Female or Unknown)]])),ISNUMBER(Table1[[#This Row],[Birthweight (grams)]]),ISNUMBER(Table1[[#This Row],[Gestation (days)]])),TRUE,FALSE)</f>
        <v>0</v>
      </c>
      <c r="E3438" s="2" t="str">
        <f>IF(Table1[[#This Row],[Is Data Valid]]=TRUE,IF(Table1[[#This Row],[Fetal Sex (Male, Female or Unknown)]]="Male",Backend!$C$6,IF(Table1[[#This Row],[Fetal Sex (Male, Female or Unknown)]]="Female",Backend!$C$7,IF(Table1[[#This Row],[Fetal Sex (Male, Female or Unknown)]]="Unknown",Backend!$C$8,"Error"))),"")</f>
        <v/>
      </c>
      <c r="F3438" s="8" t="str">
        <f>IF(Table1[[#This Row],[Is Data Valid]]=TRUE,EXP(0.578+0.332*((Table1[[#This Row],[Gestation (days)]]+0.5)/7)-0.00354*((Table1[[#This Row],[Gestation (days)]]+0.5)/7)^2)*Table1[[#This Row],[BW40_3705]],"")</f>
        <v/>
      </c>
      <c r="G3438" s="2" t="str">
        <f>IF(Table1[[#This Row],[Is Data Valid]]=TRUE,((Table1[[#This Row],[Birthweight (grams)]]/Table1[[#This Row],[BW_GA]])-1)/(Backend!$B$4/100*Table1[[#This Row],[BW40_3705]]),"")</f>
        <v/>
      </c>
      <c r="H3438" s="7" t="str">
        <f>IF(Table1[[#This Row],[Is Data Valid]]=TRUE,((Table1[[#This Row],[Birthweight (grams)]]*0.9/Table1[[#This Row],[BW_GA]])-1)/(Backend!$B$4/100*Table1[[#This Row],[BW40_3705]]),"")</f>
        <v/>
      </c>
      <c r="I3438" s="7" t="str">
        <f>IF(Table1[[#This Row],[Is Data Valid]]=TRUE,((Table1[[#This Row],[Birthweight (grams)]]*1.1/Table1[[#This Row],[BW_GA]])-1)/(Backend!$B$4/100*Table1[[#This Row],[BW40_3705]]),"")</f>
        <v/>
      </c>
      <c r="J3438" s="7" t="str">
        <f>IF(Table1[[#This Row],[Is Data Valid]]=TRUE,_xlfn.NORM.S.DIST(Table1[[#This Row],[Birthweight Z-Score]],TRUE)*100,"")</f>
        <v/>
      </c>
      <c r="K3438" s="7" t="str">
        <f>IF(Table1[[#This Row],[Is Data Valid]]=TRUE,_xlfn.NORM.S.DIST(Table1[[#This Row],[Birthweight Z-Score (BW-10%)]],TRUE)*100,"")</f>
        <v/>
      </c>
      <c r="L3438" s="7" t="str">
        <f>IF(Table1[[#This Row],[Is Data Valid]]=TRUE,_xlfn.NORM.S.DIST(Table1[[#This Row],[Birthweight Z-Score (BW+10%)]],TRUE)*100,"")</f>
        <v/>
      </c>
    </row>
    <row r="3439" spans="1:12" x14ac:dyDescent="0.35">
      <c r="A3439" s="3"/>
      <c r="B3439" s="2"/>
      <c r="C3439" s="2"/>
      <c r="D3439" s="2" t="b">
        <f>IF(AND(NOT(ISBLANK(Table1[[#This Row],[Fetal Sex (Male, Female or Unknown)]])),ISNUMBER(Table1[[#This Row],[Birthweight (grams)]]),ISNUMBER(Table1[[#This Row],[Gestation (days)]])),TRUE,FALSE)</f>
        <v>0</v>
      </c>
      <c r="E3439" s="2" t="str">
        <f>IF(Table1[[#This Row],[Is Data Valid]]=TRUE,IF(Table1[[#This Row],[Fetal Sex (Male, Female or Unknown)]]="Male",Backend!$C$6,IF(Table1[[#This Row],[Fetal Sex (Male, Female or Unknown)]]="Female",Backend!$C$7,IF(Table1[[#This Row],[Fetal Sex (Male, Female or Unknown)]]="Unknown",Backend!$C$8,"Error"))),"")</f>
        <v/>
      </c>
      <c r="F3439" s="8" t="str">
        <f>IF(Table1[[#This Row],[Is Data Valid]]=TRUE,EXP(0.578+0.332*((Table1[[#This Row],[Gestation (days)]]+0.5)/7)-0.00354*((Table1[[#This Row],[Gestation (days)]]+0.5)/7)^2)*Table1[[#This Row],[BW40_3705]],"")</f>
        <v/>
      </c>
      <c r="G3439" s="2" t="str">
        <f>IF(Table1[[#This Row],[Is Data Valid]]=TRUE,((Table1[[#This Row],[Birthweight (grams)]]/Table1[[#This Row],[BW_GA]])-1)/(Backend!$B$4/100*Table1[[#This Row],[BW40_3705]]),"")</f>
        <v/>
      </c>
      <c r="H3439" s="7" t="str">
        <f>IF(Table1[[#This Row],[Is Data Valid]]=TRUE,((Table1[[#This Row],[Birthweight (grams)]]*0.9/Table1[[#This Row],[BW_GA]])-1)/(Backend!$B$4/100*Table1[[#This Row],[BW40_3705]]),"")</f>
        <v/>
      </c>
      <c r="I3439" s="7" t="str">
        <f>IF(Table1[[#This Row],[Is Data Valid]]=TRUE,((Table1[[#This Row],[Birthweight (grams)]]*1.1/Table1[[#This Row],[BW_GA]])-1)/(Backend!$B$4/100*Table1[[#This Row],[BW40_3705]]),"")</f>
        <v/>
      </c>
      <c r="J3439" s="7" t="str">
        <f>IF(Table1[[#This Row],[Is Data Valid]]=TRUE,_xlfn.NORM.S.DIST(Table1[[#This Row],[Birthweight Z-Score]],TRUE)*100,"")</f>
        <v/>
      </c>
      <c r="K3439" s="7" t="str">
        <f>IF(Table1[[#This Row],[Is Data Valid]]=TRUE,_xlfn.NORM.S.DIST(Table1[[#This Row],[Birthweight Z-Score (BW-10%)]],TRUE)*100,"")</f>
        <v/>
      </c>
      <c r="L3439" s="7" t="str">
        <f>IF(Table1[[#This Row],[Is Data Valid]]=TRUE,_xlfn.NORM.S.DIST(Table1[[#This Row],[Birthweight Z-Score (BW+10%)]],TRUE)*100,"")</f>
        <v/>
      </c>
    </row>
    <row r="3440" spans="1:12" x14ac:dyDescent="0.35">
      <c r="A3440" s="3"/>
      <c r="B3440" s="2"/>
      <c r="C3440" s="2"/>
      <c r="D3440" s="2" t="b">
        <f>IF(AND(NOT(ISBLANK(Table1[[#This Row],[Fetal Sex (Male, Female or Unknown)]])),ISNUMBER(Table1[[#This Row],[Birthweight (grams)]]),ISNUMBER(Table1[[#This Row],[Gestation (days)]])),TRUE,FALSE)</f>
        <v>0</v>
      </c>
      <c r="E3440" s="2" t="str">
        <f>IF(Table1[[#This Row],[Is Data Valid]]=TRUE,IF(Table1[[#This Row],[Fetal Sex (Male, Female or Unknown)]]="Male",Backend!$C$6,IF(Table1[[#This Row],[Fetal Sex (Male, Female or Unknown)]]="Female",Backend!$C$7,IF(Table1[[#This Row],[Fetal Sex (Male, Female or Unknown)]]="Unknown",Backend!$C$8,"Error"))),"")</f>
        <v/>
      </c>
      <c r="F3440" s="8" t="str">
        <f>IF(Table1[[#This Row],[Is Data Valid]]=TRUE,EXP(0.578+0.332*((Table1[[#This Row],[Gestation (days)]]+0.5)/7)-0.00354*((Table1[[#This Row],[Gestation (days)]]+0.5)/7)^2)*Table1[[#This Row],[BW40_3705]],"")</f>
        <v/>
      </c>
      <c r="G3440" s="2" t="str">
        <f>IF(Table1[[#This Row],[Is Data Valid]]=TRUE,((Table1[[#This Row],[Birthweight (grams)]]/Table1[[#This Row],[BW_GA]])-1)/(Backend!$B$4/100*Table1[[#This Row],[BW40_3705]]),"")</f>
        <v/>
      </c>
      <c r="H3440" s="7" t="str">
        <f>IF(Table1[[#This Row],[Is Data Valid]]=TRUE,((Table1[[#This Row],[Birthweight (grams)]]*0.9/Table1[[#This Row],[BW_GA]])-1)/(Backend!$B$4/100*Table1[[#This Row],[BW40_3705]]),"")</f>
        <v/>
      </c>
      <c r="I3440" s="7" t="str">
        <f>IF(Table1[[#This Row],[Is Data Valid]]=TRUE,((Table1[[#This Row],[Birthweight (grams)]]*1.1/Table1[[#This Row],[BW_GA]])-1)/(Backend!$B$4/100*Table1[[#This Row],[BW40_3705]]),"")</f>
        <v/>
      </c>
      <c r="J3440" s="7" t="str">
        <f>IF(Table1[[#This Row],[Is Data Valid]]=TRUE,_xlfn.NORM.S.DIST(Table1[[#This Row],[Birthweight Z-Score]],TRUE)*100,"")</f>
        <v/>
      </c>
      <c r="K3440" s="7" t="str">
        <f>IF(Table1[[#This Row],[Is Data Valid]]=TRUE,_xlfn.NORM.S.DIST(Table1[[#This Row],[Birthweight Z-Score (BW-10%)]],TRUE)*100,"")</f>
        <v/>
      </c>
      <c r="L3440" s="7" t="str">
        <f>IF(Table1[[#This Row],[Is Data Valid]]=TRUE,_xlfn.NORM.S.DIST(Table1[[#This Row],[Birthweight Z-Score (BW+10%)]],TRUE)*100,"")</f>
        <v/>
      </c>
    </row>
    <row r="3441" spans="1:12" x14ac:dyDescent="0.35">
      <c r="A3441" s="3"/>
      <c r="B3441" s="2"/>
      <c r="C3441" s="2"/>
      <c r="D3441" s="2" t="b">
        <f>IF(AND(NOT(ISBLANK(Table1[[#This Row],[Fetal Sex (Male, Female or Unknown)]])),ISNUMBER(Table1[[#This Row],[Birthweight (grams)]]),ISNUMBER(Table1[[#This Row],[Gestation (days)]])),TRUE,FALSE)</f>
        <v>0</v>
      </c>
      <c r="E3441" s="2" t="str">
        <f>IF(Table1[[#This Row],[Is Data Valid]]=TRUE,IF(Table1[[#This Row],[Fetal Sex (Male, Female or Unknown)]]="Male",Backend!$C$6,IF(Table1[[#This Row],[Fetal Sex (Male, Female or Unknown)]]="Female",Backend!$C$7,IF(Table1[[#This Row],[Fetal Sex (Male, Female or Unknown)]]="Unknown",Backend!$C$8,"Error"))),"")</f>
        <v/>
      </c>
      <c r="F3441" s="8" t="str">
        <f>IF(Table1[[#This Row],[Is Data Valid]]=TRUE,EXP(0.578+0.332*((Table1[[#This Row],[Gestation (days)]]+0.5)/7)-0.00354*((Table1[[#This Row],[Gestation (days)]]+0.5)/7)^2)*Table1[[#This Row],[BW40_3705]],"")</f>
        <v/>
      </c>
      <c r="G3441" s="2" t="str">
        <f>IF(Table1[[#This Row],[Is Data Valid]]=TRUE,((Table1[[#This Row],[Birthweight (grams)]]/Table1[[#This Row],[BW_GA]])-1)/(Backend!$B$4/100*Table1[[#This Row],[BW40_3705]]),"")</f>
        <v/>
      </c>
      <c r="H3441" s="7" t="str">
        <f>IF(Table1[[#This Row],[Is Data Valid]]=TRUE,((Table1[[#This Row],[Birthweight (grams)]]*0.9/Table1[[#This Row],[BW_GA]])-1)/(Backend!$B$4/100*Table1[[#This Row],[BW40_3705]]),"")</f>
        <v/>
      </c>
      <c r="I3441" s="7" t="str">
        <f>IF(Table1[[#This Row],[Is Data Valid]]=TRUE,((Table1[[#This Row],[Birthweight (grams)]]*1.1/Table1[[#This Row],[BW_GA]])-1)/(Backend!$B$4/100*Table1[[#This Row],[BW40_3705]]),"")</f>
        <v/>
      </c>
      <c r="J3441" s="7" t="str">
        <f>IF(Table1[[#This Row],[Is Data Valid]]=TRUE,_xlfn.NORM.S.DIST(Table1[[#This Row],[Birthweight Z-Score]],TRUE)*100,"")</f>
        <v/>
      </c>
      <c r="K3441" s="7" t="str">
        <f>IF(Table1[[#This Row],[Is Data Valid]]=TRUE,_xlfn.NORM.S.DIST(Table1[[#This Row],[Birthweight Z-Score (BW-10%)]],TRUE)*100,"")</f>
        <v/>
      </c>
      <c r="L3441" s="7" t="str">
        <f>IF(Table1[[#This Row],[Is Data Valid]]=TRUE,_xlfn.NORM.S.DIST(Table1[[#This Row],[Birthweight Z-Score (BW+10%)]],TRUE)*100,"")</f>
        <v/>
      </c>
    </row>
    <row r="3442" spans="1:12" x14ac:dyDescent="0.35">
      <c r="A3442" s="3"/>
      <c r="B3442" s="2"/>
      <c r="C3442" s="2"/>
      <c r="D3442" s="2" t="b">
        <f>IF(AND(NOT(ISBLANK(Table1[[#This Row],[Fetal Sex (Male, Female or Unknown)]])),ISNUMBER(Table1[[#This Row],[Birthweight (grams)]]),ISNUMBER(Table1[[#This Row],[Gestation (days)]])),TRUE,FALSE)</f>
        <v>0</v>
      </c>
      <c r="E3442" s="2" t="str">
        <f>IF(Table1[[#This Row],[Is Data Valid]]=TRUE,IF(Table1[[#This Row],[Fetal Sex (Male, Female or Unknown)]]="Male",Backend!$C$6,IF(Table1[[#This Row],[Fetal Sex (Male, Female or Unknown)]]="Female",Backend!$C$7,IF(Table1[[#This Row],[Fetal Sex (Male, Female or Unknown)]]="Unknown",Backend!$C$8,"Error"))),"")</f>
        <v/>
      </c>
      <c r="F3442" s="8" t="str">
        <f>IF(Table1[[#This Row],[Is Data Valid]]=TRUE,EXP(0.578+0.332*((Table1[[#This Row],[Gestation (days)]]+0.5)/7)-0.00354*((Table1[[#This Row],[Gestation (days)]]+0.5)/7)^2)*Table1[[#This Row],[BW40_3705]],"")</f>
        <v/>
      </c>
      <c r="G3442" s="2" t="str">
        <f>IF(Table1[[#This Row],[Is Data Valid]]=TRUE,((Table1[[#This Row],[Birthweight (grams)]]/Table1[[#This Row],[BW_GA]])-1)/(Backend!$B$4/100*Table1[[#This Row],[BW40_3705]]),"")</f>
        <v/>
      </c>
      <c r="H3442" s="7" t="str">
        <f>IF(Table1[[#This Row],[Is Data Valid]]=TRUE,((Table1[[#This Row],[Birthweight (grams)]]*0.9/Table1[[#This Row],[BW_GA]])-1)/(Backend!$B$4/100*Table1[[#This Row],[BW40_3705]]),"")</f>
        <v/>
      </c>
      <c r="I3442" s="7" t="str">
        <f>IF(Table1[[#This Row],[Is Data Valid]]=TRUE,((Table1[[#This Row],[Birthweight (grams)]]*1.1/Table1[[#This Row],[BW_GA]])-1)/(Backend!$B$4/100*Table1[[#This Row],[BW40_3705]]),"")</f>
        <v/>
      </c>
      <c r="J3442" s="7" t="str">
        <f>IF(Table1[[#This Row],[Is Data Valid]]=TRUE,_xlfn.NORM.S.DIST(Table1[[#This Row],[Birthweight Z-Score]],TRUE)*100,"")</f>
        <v/>
      </c>
      <c r="K3442" s="7" t="str">
        <f>IF(Table1[[#This Row],[Is Data Valid]]=TRUE,_xlfn.NORM.S.DIST(Table1[[#This Row],[Birthweight Z-Score (BW-10%)]],TRUE)*100,"")</f>
        <v/>
      </c>
      <c r="L3442" s="7" t="str">
        <f>IF(Table1[[#This Row],[Is Data Valid]]=TRUE,_xlfn.NORM.S.DIST(Table1[[#This Row],[Birthweight Z-Score (BW+10%)]],TRUE)*100,"")</f>
        <v/>
      </c>
    </row>
    <row r="3443" spans="1:12" x14ac:dyDescent="0.35">
      <c r="A3443" s="3"/>
      <c r="B3443" s="2"/>
      <c r="C3443" s="2"/>
      <c r="D3443" s="2" t="b">
        <f>IF(AND(NOT(ISBLANK(Table1[[#This Row],[Fetal Sex (Male, Female or Unknown)]])),ISNUMBER(Table1[[#This Row],[Birthweight (grams)]]),ISNUMBER(Table1[[#This Row],[Gestation (days)]])),TRUE,FALSE)</f>
        <v>0</v>
      </c>
      <c r="E3443" s="2" t="str">
        <f>IF(Table1[[#This Row],[Is Data Valid]]=TRUE,IF(Table1[[#This Row],[Fetal Sex (Male, Female or Unknown)]]="Male",Backend!$C$6,IF(Table1[[#This Row],[Fetal Sex (Male, Female or Unknown)]]="Female",Backend!$C$7,IF(Table1[[#This Row],[Fetal Sex (Male, Female or Unknown)]]="Unknown",Backend!$C$8,"Error"))),"")</f>
        <v/>
      </c>
      <c r="F3443" s="8" t="str">
        <f>IF(Table1[[#This Row],[Is Data Valid]]=TRUE,EXP(0.578+0.332*((Table1[[#This Row],[Gestation (days)]]+0.5)/7)-0.00354*((Table1[[#This Row],[Gestation (days)]]+0.5)/7)^2)*Table1[[#This Row],[BW40_3705]],"")</f>
        <v/>
      </c>
      <c r="G3443" s="2" t="str">
        <f>IF(Table1[[#This Row],[Is Data Valid]]=TRUE,((Table1[[#This Row],[Birthweight (grams)]]/Table1[[#This Row],[BW_GA]])-1)/(Backend!$B$4/100*Table1[[#This Row],[BW40_3705]]),"")</f>
        <v/>
      </c>
      <c r="H3443" s="7" t="str">
        <f>IF(Table1[[#This Row],[Is Data Valid]]=TRUE,((Table1[[#This Row],[Birthweight (grams)]]*0.9/Table1[[#This Row],[BW_GA]])-1)/(Backend!$B$4/100*Table1[[#This Row],[BW40_3705]]),"")</f>
        <v/>
      </c>
      <c r="I3443" s="7" t="str">
        <f>IF(Table1[[#This Row],[Is Data Valid]]=TRUE,((Table1[[#This Row],[Birthweight (grams)]]*1.1/Table1[[#This Row],[BW_GA]])-1)/(Backend!$B$4/100*Table1[[#This Row],[BW40_3705]]),"")</f>
        <v/>
      </c>
      <c r="J3443" s="7" t="str">
        <f>IF(Table1[[#This Row],[Is Data Valid]]=TRUE,_xlfn.NORM.S.DIST(Table1[[#This Row],[Birthweight Z-Score]],TRUE)*100,"")</f>
        <v/>
      </c>
      <c r="K3443" s="7" t="str">
        <f>IF(Table1[[#This Row],[Is Data Valid]]=TRUE,_xlfn.NORM.S.DIST(Table1[[#This Row],[Birthweight Z-Score (BW-10%)]],TRUE)*100,"")</f>
        <v/>
      </c>
      <c r="L3443" s="7" t="str">
        <f>IF(Table1[[#This Row],[Is Data Valid]]=TRUE,_xlfn.NORM.S.DIST(Table1[[#This Row],[Birthweight Z-Score (BW+10%)]],TRUE)*100,"")</f>
        <v/>
      </c>
    </row>
    <row r="3444" spans="1:12" x14ac:dyDescent="0.35">
      <c r="A3444" s="3"/>
      <c r="B3444" s="2"/>
      <c r="C3444" s="2"/>
      <c r="D3444" s="2" t="b">
        <f>IF(AND(NOT(ISBLANK(Table1[[#This Row],[Fetal Sex (Male, Female or Unknown)]])),ISNUMBER(Table1[[#This Row],[Birthweight (grams)]]),ISNUMBER(Table1[[#This Row],[Gestation (days)]])),TRUE,FALSE)</f>
        <v>0</v>
      </c>
      <c r="E3444" s="2" t="str">
        <f>IF(Table1[[#This Row],[Is Data Valid]]=TRUE,IF(Table1[[#This Row],[Fetal Sex (Male, Female or Unknown)]]="Male",Backend!$C$6,IF(Table1[[#This Row],[Fetal Sex (Male, Female or Unknown)]]="Female",Backend!$C$7,IF(Table1[[#This Row],[Fetal Sex (Male, Female or Unknown)]]="Unknown",Backend!$C$8,"Error"))),"")</f>
        <v/>
      </c>
      <c r="F3444" s="8" t="str">
        <f>IF(Table1[[#This Row],[Is Data Valid]]=TRUE,EXP(0.578+0.332*((Table1[[#This Row],[Gestation (days)]]+0.5)/7)-0.00354*((Table1[[#This Row],[Gestation (days)]]+0.5)/7)^2)*Table1[[#This Row],[BW40_3705]],"")</f>
        <v/>
      </c>
      <c r="G3444" s="2" t="str">
        <f>IF(Table1[[#This Row],[Is Data Valid]]=TRUE,((Table1[[#This Row],[Birthweight (grams)]]/Table1[[#This Row],[BW_GA]])-1)/(Backend!$B$4/100*Table1[[#This Row],[BW40_3705]]),"")</f>
        <v/>
      </c>
      <c r="H3444" s="7" t="str">
        <f>IF(Table1[[#This Row],[Is Data Valid]]=TRUE,((Table1[[#This Row],[Birthweight (grams)]]*0.9/Table1[[#This Row],[BW_GA]])-1)/(Backend!$B$4/100*Table1[[#This Row],[BW40_3705]]),"")</f>
        <v/>
      </c>
      <c r="I3444" s="7" t="str">
        <f>IF(Table1[[#This Row],[Is Data Valid]]=TRUE,((Table1[[#This Row],[Birthweight (grams)]]*1.1/Table1[[#This Row],[BW_GA]])-1)/(Backend!$B$4/100*Table1[[#This Row],[BW40_3705]]),"")</f>
        <v/>
      </c>
      <c r="J3444" s="7" t="str">
        <f>IF(Table1[[#This Row],[Is Data Valid]]=TRUE,_xlfn.NORM.S.DIST(Table1[[#This Row],[Birthweight Z-Score]],TRUE)*100,"")</f>
        <v/>
      </c>
      <c r="K3444" s="7" t="str">
        <f>IF(Table1[[#This Row],[Is Data Valid]]=TRUE,_xlfn.NORM.S.DIST(Table1[[#This Row],[Birthweight Z-Score (BW-10%)]],TRUE)*100,"")</f>
        <v/>
      </c>
      <c r="L3444" s="7" t="str">
        <f>IF(Table1[[#This Row],[Is Data Valid]]=TRUE,_xlfn.NORM.S.DIST(Table1[[#This Row],[Birthweight Z-Score (BW+10%)]],TRUE)*100,"")</f>
        <v/>
      </c>
    </row>
    <row r="3445" spans="1:12" x14ac:dyDescent="0.35">
      <c r="A3445" s="3"/>
      <c r="B3445" s="2"/>
      <c r="C3445" s="2"/>
      <c r="D3445" s="2" t="b">
        <f>IF(AND(NOT(ISBLANK(Table1[[#This Row],[Fetal Sex (Male, Female or Unknown)]])),ISNUMBER(Table1[[#This Row],[Birthweight (grams)]]),ISNUMBER(Table1[[#This Row],[Gestation (days)]])),TRUE,FALSE)</f>
        <v>0</v>
      </c>
      <c r="E3445" s="2" t="str">
        <f>IF(Table1[[#This Row],[Is Data Valid]]=TRUE,IF(Table1[[#This Row],[Fetal Sex (Male, Female or Unknown)]]="Male",Backend!$C$6,IF(Table1[[#This Row],[Fetal Sex (Male, Female or Unknown)]]="Female",Backend!$C$7,IF(Table1[[#This Row],[Fetal Sex (Male, Female or Unknown)]]="Unknown",Backend!$C$8,"Error"))),"")</f>
        <v/>
      </c>
      <c r="F3445" s="8" t="str">
        <f>IF(Table1[[#This Row],[Is Data Valid]]=TRUE,EXP(0.578+0.332*((Table1[[#This Row],[Gestation (days)]]+0.5)/7)-0.00354*((Table1[[#This Row],[Gestation (days)]]+0.5)/7)^2)*Table1[[#This Row],[BW40_3705]],"")</f>
        <v/>
      </c>
      <c r="G3445" s="2" t="str">
        <f>IF(Table1[[#This Row],[Is Data Valid]]=TRUE,((Table1[[#This Row],[Birthweight (grams)]]/Table1[[#This Row],[BW_GA]])-1)/(Backend!$B$4/100*Table1[[#This Row],[BW40_3705]]),"")</f>
        <v/>
      </c>
      <c r="H3445" s="7" t="str">
        <f>IF(Table1[[#This Row],[Is Data Valid]]=TRUE,((Table1[[#This Row],[Birthweight (grams)]]*0.9/Table1[[#This Row],[BW_GA]])-1)/(Backend!$B$4/100*Table1[[#This Row],[BW40_3705]]),"")</f>
        <v/>
      </c>
      <c r="I3445" s="7" t="str">
        <f>IF(Table1[[#This Row],[Is Data Valid]]=TRUE,((Table1[[#This Row],[Birthweight (grams)]]*1.1/Table1[[#This Row],[BW_GA]])-1)/(Backend!$B$4/100*Table1[[#This Row],[BW40_3705]]),"")</f>
        <v/>
      </c>
      <c r="J3445" s="7" t="str">
        <f>IF(Table1[[#This Row],[Is Data Valid]]=TRUE,_xlfn.NORM.S.DIST(Table1[[#This Row],[Birthweight Z-Score]],TRUE)*100,"")</f>
        <v/>
      </c>
      <c r="K3445" s="7" t="str">
        <f>IF(Table1[[#This Row],[Is Data Valid]]=TRUE,_xlfn.NORM.S.DIST(Table1[[#This Row],[Birthweight Z-Score (BW-10%)]],TRUE)*100,"")</f>
        <v/>
      </c>
      <c r="L3445" s="7" t="str">
        <f>IF(Table1[[#This Row],[Is Data Valid]]=TRUE,_xlfn.NORM.S.DIST(Table1[[#This Row],[Birthweight Z-Score (BW+10%)]],TRUE)*100,"")</f>
        <v/>
      </c>
    </row>
    <row r="3446" spans="1:12" x14ac:dyDescent="0.35">
      <c r="A3446" s="3"/>
      <c r="B3446" s="2"/>
      <c r="C3446" s="2"/>
      <c r="D3446" s="2" t="b">
        <f>IF(AND(NOT(ISBLANK(Table1[[#This Row],[Fetal Sex (Male, Female or Unknown)]])),ISNUMBER(Table1[[#This Row],[Birthweight (grams)]]),ISNUMBER(Table1[[#This Row],[Gestation (days)]])),TRUE,FALSE)</f>
        <v>0</v>
      </c>
      <c r="E3446" s="2" t="str">
        <f>IF(Table1[[#This Row],[Is Data Valid]]=TRUE,IF(Table1[[#This Row],[Fetal Sex (Male, Female or Unknown)]]="Male",Backend!$C$6,IF(Table1[[#This Row],[Fetal Sex (Male, Female or Unknown)]]="Female",Backend!$C$7,IF(Table1[[#This Row],[Fetal Sex (Male, Female or Unknown)]]="Unknown",Backend!$C$8,"Error"))),"")</f>
        <v/>
      </c>
      <c r="F3446" s="8" t="str">
        <f>IF(Table1[[#This Row],[Is Data Valid]]=TRUE,EXP(0.578+0.332*((Table1[[#This Row],[Gestation (days)]]+0.5)/7)-0.00354*((Table1[[#This Row],[Gestation (days)]]+0.5)/7)^2)*Table1[[#This Row],[BW40_3705]],"")</f>
        <v/>
      </c>
      <c r="G3446" s="2" t="str">
        <f>IF(Table1[[#This Row],[Is Data Valid]]=TRUE,((Table1[[#This Row],[Birthweight (grams)]]/Table1[[#This Row],[BW_GA]])-1)/(Backend!$B$4/100*Table1[[#This Row],[BW40_3705]]),"")</f>
        <v/>
      </c>
      <c r="H3446" s="7" t="str">
        <f>IF(Table1[[#This Row],[Is Data Valid]]=TRUE,((Table1[[#This Row],[Birthweight (grams)]]*0.9/Table1[[#This Row],[BW_GA]])-1)/(Backend!$B$4/100*Table1[[#This Row],[BW40_3705]]),"")</f>
        <v/>
      </c>
      <c r="I3446" s="7" t="str">
        <f>IF(Table1[[#This Row],[Is Data Valid]]=TRUE,((Table1[[#This Row],[Birthweight (grams)]]*1.1/Table1[[#This Row],[BW_GA]])-1)/(Backend!$B$4/100*Table1[[#This Row],[BW40_3705]]),"")</f>
        <v/>
      </c>
      <c r="J3446" s="7" t="str">
        <f>IF(Table1[[#This Row],[Is Data Valid]]=TRUE,_xlfn.NORM.S.DIST(Table1[[#This Row],[Birthweight Z-Score]],TRUE)*100,"")</f>
        <v/>
      </c>
      <c r="K3446" s="7" t="str">
        <f>IF(Table1[[#This Row],[Is Data Valid]]=TRUE,_xlfn.NORM.S.DIST(Table1[[#This Row],[Birthweight Z-Score (BW-10%)]],TRUE)*100,"")</f>
        <v/>
      </c>
      <c r="L3446" s="7" t="str">
        <f>IF(Table1[[#This Row],[Is Data Valid]]=TRUE,_xlfn.NORM.S.DIST(Table1[[#This Row],[Birthweight Z-Score (BW+10%)]],TRUE)*100,"")</f>
        <v/>
      </c>
    </row>
    <row r="3447" spans="1:12" x14ac:dyDescent="0.35">
      <c r="A3447" s="3"/>
      <c r="B3447" s="2"/>
      <c r="C3447" s="2"/>
      <c r="D3447" s="2" t="b">
        <f>IF(AND(NOT(ISBLANK(Table1[[#This Row],[Fetal Sex (Male, Female or Unknown)]])),ISNUMBER(Table1[[#This Row],[Birthweight (grams)]]),ISNUMBER(Table1[[#This Row],[Gestation (days)]])),TRUE,FALSE)</f>
        <v>0</v>
      </c>
      <c r="E3447" s="2" t="str">
        <f>IF(Table1[[#This Row],[Is Data Valid]]=TRUE,IF(Table1[[#This Row],[Fetal Sex (Male, Female or Unknown)]]="Male",Backend!$C$6,IF(Table1[[#This Row],[Fetal Sex (Male, Female or Unknown)]]="Female",Backend!$C$7,IF(Table1[[#This Row],[Fetal Sex (Male, Female or Unknown)]]="Unknown",Backend!$C$8,"Error"))),"")</f>
        <v/>
      </c>
      <c r="F3447" s="8" t="str">
        <f>IF(Table1[[#This Row],[Is Data Valid]]=TRUE,EXP(0.578+0.332*((Table1[[#This Row],[Gestation (days)]]+0.5)/7)-0.00354*((Table1[[#This Row],[Gestation (days)]]+0.5)/7)^2)*Table1[[#This Row],[BW40_3705]],"")</f>
        <v/>
      </c>
      <c r="G3447" s="2" t="str">
        <f>IF(Table1[[#This Row],[Is Data Valid]]=TRUE,((Table1[[#This Row],[Birthweight (grams)]]/Table1[[#This Row],[BW_GA]])-1)/(Backend!$B$4/100*Table1[[#This Row],[BW40_3705]]),"")</f>
        <v/>
      </c>
      <c r="H3447" s="7" t="str">
        <f>IF(Table1[[#This Row],[Is Data Valid]]=TRUE,((Table1[[#This Row],[Birthweight (grams)]]*0.9/Table1[[#This Row],[BW_GA]])-1)/(Backend!$B$4/100*Table1[[#This Row],[BW40_3705]]),"")</f>
        <v/>
      </c>
      <c r="I3447" s="7" t="str">
        <f>IF(Table1[[#This Row],[Is Data Valid]]=TRUE,((Table1[[#This Row],[Birthweight (grams)]]*1.1/Table1[[#This Row],[BW_GA]])-1)/(Backend!$B$4/100*Table1[[#This Row],[BW40_3705]]),"")</f>
        <v/>
      </c>
      <c r="J3447" s="7" t="str">
        <f>IF(Table1[[#This Row],[Is Data Valid]]=TRUE,_xlfn.NORM.S.DIST(Table1[[#This Row],[Birthweight Z-Score]],TRUE)*100,"")</f>
        <v/>
      </c>
      <c r="K3447" s="7" t="str">
        <f>IF(Table1[[#This Row],[Is Data Valid]]=TRUE,_xlfn.NORM.S.DIST(Table1[[#This Row],[Birthweight Z-Score (BW-10%)]],TRUE)*100,"")</f>
        <v/>
      </c>
      <c r="L3447" s="7" t="str">
        <f>IF(Table1[[#This Row],[Is Data Valid]]=TRUE,_xlfn.NORM.S.DIST(Table1[[#This Row],[Birthweight Z-Score (BW+10%)]],TRUE)*100,"")</f>
        <v/>
      </c>
    </row>
    <row r="3448" spans="1:12" x14ac:dyDescent="0.35">
      <c r="A3448" s="3"/>
      <c r="B3448" s="2"/>
      <c r="C3448" s="2"/>
      <c r="D3448" s="2" t="b">
        <f>IF(AND(NOT(ISBLANK(Table1[[#This Row],[Fetal Sex (Male, Female or Unknown)]])),ISNUMBER(Table1[[#This Row],[Birthweight (grams)]]),ISNUMBER(Table1[[#This Row],[Gestation (days)]])),TRUE,FALSE)</f>
        <v>0</v>
      </c>
      <c r="E3448" s="2" t="str">
        <f>IF(Table1[[#This Row],[Is Data Valid]]=TRUE,IF(Table1[[#This Row],[Fetal Sex (Male, Female or Unknown)]]="Male",Backend!$C$6,IF(Table1[[#This Row],[Fetal Sex (Male, Female or Unknown)]]="Female",Backend!$C$7,IF(Table1[[#This Row],[Fetal Sex (Male, Female or Unknown)]]="Unknown",Backend!$C$8,"Error"))),"")</f>
        <v/>
      </c>
      <c r="F3448" s="8" t="str">
        <f>IF(Table1[[#This Row],[Is Data Valid]]=TRUE,EXP(0.578+0.332*((Table1[[#This Row],[Gestation (days)]]+0.5)/7)-0.00354*((Table1[[#This Row],[Gestation (days)]]+0.5)/7)^2)*Table1[[#This Row],[BW40_3705]],"")</f>
        <v/>
      </c>
      <c r="G3448" s="2" t="str">
        <f>IF(Table1[[#This Row],[Is Data Valid]]=TRUE,((Table1[[#This Row],[Birthweight (grams)]]/Table1[[#This Row],[BW_GA]])-1)/(Backend!$B$4/100*Table1[[#This Row],[BW40_3705]]),"")</f>
        <v/>
      </c>
      <c r="H3448" s="7" t="str">
        <f>IF(Table1[[#This Row],[Is Data Valid]]=TRUE,((Table1[[#This Row],[Birthweight (grams)]]*0.9/Table1[[#This Row],[BW_GA]])-1)/(Backend!$B$4/100*Table1[[#This Row],[BW40_3705]]),"")</f>
        <v/>
      </c>
      <c r="I3448" s="7" t="str">
        <f>IF(Table1[[#This Row],[Is Data Valid]]=TRUE,((Table1[[#This Row],[Birthweight (grams)]]*1.1/Table1[[#This Row],[BW_GA]])-1)/(Backend!$B$4/100*Table1[[#This Row],[BW40_3705]]),"")</f>
        <v/>
      </c>
      <c r="J3448" s="7" t="str">
        <f>IF(Table1[[#This Row],[Is Data Valid]]=TRUE,_xlfn.NORM.S.DIST(Table1[[#This Row],[Birthweight Z-Score]],TRUE)*100,"")</f>
        <v/>
      </c>
      <c r="K3448" s="7" t="str">
        <f>IF(Table1[[#This Row],[Is Data Valid]]=TRUE,_xlfn.NORM.S.DIST(Table1[[#This Row],[Birthweight Z-Score (BW-10%)]],TRUE)*100,"")</f>
        <v/>
      </c>
      <c r="L3448" s="7" t="str">
        <f>IF(Table1[[#This Row],[Is Data Valid]]=TRUE,_xlfn.NORM.S.DIST(Table1[[#This Row],[Birthweight Z-Score (BW+10%)]],TRUE)*100,"")</f>
        <v/>
      </c>
    </row>
    <row r="3449" spans="1:12" x14ac:dyDescent="0.35">
      <c r="A3449" s="3"/>
      <c r="B3449" s="2"/>
      <c r="C3449" s="2"/>
      <c r="D3449" s="2" t="b">
        <f>IF(AND(NOT(ISBLANK(Table1[[#This Row],[Fetal Sex (Male, Female or Unknown)]])),ISNUMBER(Table1[[#This Row],[Birthweight (grams)]]),ISNUMBER(Table1[[#This Row],[Gestation (days)]])),TRUE,FALSE)</f>
        <v>0</v>
      </c>
      <c r="E3449" s="2" t="str">
        <f>IF(Table1[[#This Row],[Is Data Valid]]=TRUE,IF(Table1[[#This Row],[Fetal Sex (Male, Female or Unknown)]]="Male",Backend!$C$6,IF(Table1[[#This Row],[Fetal Sex (Male, Female or Unknown)]]="Female",Backend!$C$7,IF(Table1[[#This Row],[Fetal Sex (Male, Female or Unknown)]]="Unknown",Backend!$C$8,"Error"))),"")</f>
        <v/>
      </c>
      <c r="F3449" s="8" t="str">
        <f>IF(Table1[[#This Row],[Is Data Valid]]=TRUE,EXP(0.578+0.332*((Table1[[#This Row],[Gestation (days)]]+0.5)/7)-0.00354*((Table1[[#This Row],[Gestation (days)]]+0.5)/7)^2)*Table1[[#This Row],[BW40_3705]],"")</f>
        <v/>
      </c>
      <c r="G3449" s="2" t="str">
        <f>IF(Table1[[#This Row],[Is Data Valid]]=TRUE,((Table1[[#This Row],[Birthweight (grams)]]/Table1[[#This Row],[BW_GA]])-1)/(Backend!$B$4/100*Table1[[#This Row],[BW40_3705]]),"")</f>
        <v/>
      </c>
      <c r="H3449" s="7" t="str">
        <f>IF(Table1[[#This Row],[Is Data Valid]]=TRUE,((Table1[[#This Row],[Birthweight (grams)]]*0.9/Table1[[#This Row],[BW_GA]])-1)/(Backend!$B$4/100*Table1[[#This Row],[BW40_3705]]),"")</f>
        <v/>
      </c>
      <c r="I3449" s="7" t="str">
        <f>IF(Table1[[#This Row],[Is Data Valid]]=TRUE,((Table1[[#This Row],[Birthweight (grams)]]*1.1/Table1[[#This Row],[BW_GA]])-1)/(Backend!$B$4/100*Table1[[#This Row],[BW40_3705]]),"")</f>
        <v/>
      </c>
      <c r="J3449" s="7" t="str">
        <f>IF(Table1[[#This Row],[Is Data Valid]]=TRUE,_xlfn.NORM.S.DIST(Table1[[#This Row],[Birthweight Z-Score]],TRUE)*100,"")</f>
        <v/>
      </c>
      <c r="K3449" s="7" t="str">
        <f>IF(Table1[[#This Row],[Is Data Valid]]=TRUE,_xlfn.NORM.S.DIST(Table1[[#This Row],[Birthweight Z-Score (BW-10%)]],TRUE)*100,"")</f>
        <v/>
      </c>
      <c r="L3449" s="7" t="str">
        <f>IF(Table1[[#This Row],[Is Data Valid]]=TRUE,_xlfn.NORM.S.DIST(Table1[[#This Row],[Birthweight Z-Score (BW+10%)]],TRUE)*100,"")</f>
        <v/>
      </c>
    </row>
    <row r="3450" spans="1:12" x14ac:dyDescent="0.35">
      <c r="A3450" s="3"/>
      <c r="B3450" s="2"/>
      <c r="C3450" s="2"/>
      <c r="D3450" s="2" t="b">
        <f>IF(AND(NOT(ISBLANK(Table1[[#This Row],[Fetal Sex (Male, Female or Unknown)]])),ISNUMBER(Table1[[#This Row],[Birthweight (grams)]]),ISNUMBER(Table1[[#This Row],[Gestation (days)]])),TRUE,FALSE)</f>
        <v>0</v>
      </c>
      <c r="E3450" s="2" t="str">
        <f>IF(Table1[[#This Row],[Is Data Valid]]=TRUE,IF(Table1[[#This Row],[Fetal Sex (Male, Female or Unknown)]]="Male",Backend!$C$6,IF(Table1[[#This Row],[Fetal Sex (Male, Female or Unknown)]]="Female",Backend!$C$7,IF(Table1[[#This Row],[Fetal Sex (Male, Female or Unknown)]]="Unknown",Backend!$C$8,"Error"))),"")</f>
        <v/>
      </c>
      <c r="F3450" s="8" t="str">
        <f>IF(Table1[[#This Row],[Is Data Valid]]=TRUE,EXP(0.578+0.332*((Table1[[#This Row],[Gestation (days)]]+0.5)/7)-0.00354*((Table1[[#This Row],[Gestation (days)]]+0.5)/7)^2)*Table1[[#This Row],[BW40_3705]],"")</f>
        <v/>
      </c>
      <c r="G3450" s="2" t="str">
        <f>IF(Table1[[#This Row],[Is Data Valid]]=TRUE,((Table1[[#This Row],[Birthweight (grams)]]/Table1[[#This Row],[BW_GA]])-1)/(Backend!$B$4/100*Table1[[#This Row],[BW40_3705]]),"")</f>
        <v/>
      </c>
      <c r="H3450" s="7" t="str">
        <f>IF(Table1[[#This Row],[Is Data Valid]]=TRUE,((Table1[[#This Row],[Birthweight (grams)]]*0.9/Table1[[#This Row],[BW_GA]])-1)/(Backend!$B$4/100*Table1[[#This Row],[BW40_3705]]),"")</f>
        <v/>
      </c>
      <c r="I3450" s="7" t="str">
        <f>IF(Table1[[#This Row],[Is Data Valid]]=TRUE,((Table1[[#This Row],[Birthweight (grams)]]*1.1/Table1[[#This Row],[BW_GA]])-1)/(Backend!$B$4/100*Table1[[#This Row],[BW40_3705]]),"")</f>
        <v/>
      </c>
      <c r="J3450" s="7" t="str">
        <f>IF(Table1[[#This Row],[Is Data Valid]]=TRUE,_xlfn.NORM.S.DIST(Table1[[#This Row],[Birthweight Z-Score]],TRUE)*100,"")</f>
        <v/>
      </c>
      <c r="K3450" s="7" t="str">
        <f>IF(Table1[[#This Row],[Is Data Valid]]=TRUE,_xlfn.NORM.S.DIST(Table1[[#This Row],[Birthweight Z-Score (BW-10%)]],TRUE)*100,"")</f>
        <v/>
      </c>
      <c r="L3450" s="7" t="str">
        <f>IF(Table1[[#This Row],[Is Data Valid]]=TRUE,_xlfn.NORM.S.DIST(Table1[[#This Row],[Birthweight Z-Score (BW+10%)]],TRUE)*100,"")</f>
        <v/>
      </c>
    </row>
    <row r="3451" spans="1:12" x14ac:dyDescent="0.35">
      <c r="A3451" s="3"/>
      <c r="B3451" s="2"/>
      <c r="C3451" s="2"/>
      <c r="D3451" s="2" t="b">
        <f>IF(AND(NOT(ISBLANK(Table1[[#This Row],[Fetal Sex (Male, Female or Unknown)]])),ISNUMBER(Table1[[#This Row],[Birthweight (grams)]]),ISNUMBER(Table1[[#This Row],[Gestation (days)]])),TRUE,FALSE)</f>
        <v>0</v>
      </c>
      <c r="E3451" s="2" t="str">
        <f>IF(Table1[[#This Row],[Is Data Valid]]=TRUE,IF(Table1[[#This Row],[Fetal Sex (Male, Female or Unknown)]]="Male",Backend!$C$6,IF(Table1[[#This Row],[Fetal Sex (Male, Female or Unknown)]]="Female",Backend!$C$7,IF(Table1[[#This Row],[Fetal Sex (Male, Female or Unknown)]]="Unknown",Backend!$C$8,"Error"))),"")</f>
        <v/>
      </c>
      <c r="F3451" s="8" t="str">
        <f>IF(Table1[[#This Row],[Is Data Valid]]=TRUE,EXP(0.578+0.332*((Table1[[#This Row],[Gestation (days)]]+0.5)/7)-0.00354*((Table1[[#This Row],[Gestation (days)]]+0.5)/7)^2)*Table1[[#This Row],[BW40_3705]],"")</f>
        <v/>
      </c>
      <c r="G3451" s="2" t="str">
        <f>IF(Table1[[#This Row],[Is Data Valid]]=TRUE,((Table1[[#This Row],[Birthweight (grams)]]/Table1[[#This Row],[BW_GA]])-1)/(Backend!$B$4/100*Table1[[#This Row],[BW40_3705]]),"")</f>
        <v/>
      </c>
      <c r="H3451" s="7" t="str">
        <f>IF(Table1[[#This Row],[Is Data Valid]]=TRUE,((Table1[[#This Row],[Birthweight (grams)]]*0.9/Table1[[#This Row],[BW_GA]])-1)/(Backend!$B$4/100*Table1[[#This Row],[BW40_3705]]),"")</f>
        <v/>
      </c>
      <c r="I3451" s="7" t="str">
        <f>IF(Table1[[#This Row],[Is Data Valid]]=TRUE,((Table1[[#This Row],[Birthweight (grams)]]*1.1/Table1[[#This Row],[BW_GA]])-1)/(Backend!$B$4/100*Table1[[#This Row],[BW40_3705]]),"")</f>
        <v/>
      </c>
      <c r="J3451" s="7" t="str">
        <f>IF(Table1[[#This Row],[Is Data Valid]]=TRUE,_xlfn.NORM.S.DIST(Table1[[#This Row],[Birthweight Z-Score]],TRUE)*100,"")</f>
        <v/>
      </c>
      <c r="K3451" s="7" t="str">
        <f>IF(Table1[[#This Row],[Is Data Valid]]=TRUE,_xlfn.NORM.S.DIST(Table1[[#This Row],[Birthweight Z-Score (BW-10%)]],TRUE)*100,"")</f>
        <v/>
      </c>
      <c r="L3451" s="7" t="str">
        <f>IF(Table1[[#This Row],[Is Data Valid]]=TRUE,_xlfn.NORM.S.DIST(Table1[[#This Row],[Birthweight Z-Score (BW+10%)]],TRUE)*100,"")</f>
        <v/>
      </c>
    </row>
    <row r="3452" spans="1:12" x14ac:dyDescent="0.35">
      <c r="A3452" s="3"/>
      <c r="B3452" s="2"/>
      <c r="C3452" s="2"/>
      <c r="D3452" s="2" t="b">
        <f>IF(AND(NOT(ISBLANK(Table1[[#This Row],[Fetal Sex (Male, Female or Unknown)]])),ISNUMBER(Table1[[#This Row],[Birthweight (grams)]]),ISNUMBER(Table1[[#This Row],[Gestation (days)]])),TRUE,FALSE)</f>
        <v>0</v>
      </c>
      <c r="E3452" s="2" t="str">
        <f>IF(Table1[[#This Row],[Is Data Valid]]=TRUE,IF(Table1[[#This Row],[Fetal Sex (Male, Female or Unknown)]]="Male",Backend!$C$6,IF(Table1[[#This Row],[Fetal Sex (Male, Female or Unknown)]]="Female",Backend!$C$7,IF(Table1[[#This Row],[Fetal Sex (Male, Female or Unknown)]]="Unknown",Backend!$C$8,"Error"))),"")</f>
        <v/>
      </c>
      <c r="F3452" s="8" t="str">
        <f>IF(Table1[[#This Row],[Is Data Valid]]=TRUE,EXP(0.578+0.332*((Table1[[#This Row],[Gestation (days)]]+0.5)/7)-0.00354*((Table1[[#This Row],[Gestation (days)]]+0.5)/7)^2)*Table1[[#This Row],[BW40_3705]],"")</f>
        <v/>
      </c>
      <c r="G3452" s="2" t="str">
        <f>IF(Table1[[#This Row],[Is Data Valid]]=TRUE,((Table1[[#This Row],[Birthweight (grams)]]/Table1[[#This Row],[BW_GA]])-1)/(Backend!$B$4/100*Table1[[#This Row],[BW40_3705]]),"")</f>
        <v/>
      </c>
      <c r="H3452" s="7" t="str">
        <f>IF(Table1[[#This Row],[Is Data Valid]]=TRUE,((Table1[[#This Row],[Birthweight (grams)]]*0.9/Table1[[#This Row],[BW_GA]])-1)/(Backend!$B$4/100*Table1[[#This Row],[BW40_3705]]),"")</f>
        <v/>
      </c>
      <c r="I3452" s="7" t="str">
        <f>IF(Table1[[#This Row],[Is Data Valid]]=TRUE,((Table1[[#This Row],[Birthweight (grams)]]*1.1/Table1[[#This Row],[BW_GA]])-1)/(Backend!$B$4/100*Table1[[#This Row],[BW40_3705]]),"")</f>
        <v/>
      </c>
      <c r="J3452" s="7" t="str">
        <f>IF(Table1[[#This Row],[Is Data Valid]]=TRUE,_xlfn.NORM.S.DIST(Table1[[#This Row],[Birthweight Z-Score]],TRUE)*100,"")</f>
        <v/>
      </c>
      <c r="K3452" s="7" t="str">
        <f>IF(Table1[[#This Row],[Is Data Valid]]=TRUE,_xlfn.NORM.S.DIST(Table1[[#This Row],[Birthweight Z-Score (BW-10%)]],TRUE)*100,"")</f>
        <v/>
      </c>
      <c r="L3452" s="7" t="str">
        <f>IF(Table1[[#This Row],[Is Data Valid]]=TRUE,_xlfn.NORM.S.DIST(Table1[[#This Row],[Birthweight Z-Score (BW+10%)]],TRUE)*100,"")</f>
        <v/>
      </c>
    </row>
    <row r="3453" spans="1:12" x14ac:dyDescent="0.35">
      <c r="A3453" s="3"/>
      <c r="B3453" s="2"/>
      <c r="C3453" s="2"/>
      <c r="D3453" s="2" t="b">
        <f>IF(AND(NOT(ISBLANK(Table1[[#This Row],[Fetal Sex (Male, Female or Unknown)]])),ISNUMBER(Table1[[#This Row],[Birthweight (grams)]]),ISNUMBER(Table1[[#This Row],[Gestation (days)]])),TRUE,FALSE)</f>
        <v>0</v>
      </c>
      <c r="E3453" s="2" t="str">
        <f>IF(Table1[[#This Row],[Is Data Valid]]=TRUE,IF(Table1[[#This Row],[Fetal Sex (Male, Female or Unknown)]]="Male",Backend!$C$6,IF(Table1[[#This Row],[Fetal Sex (Male, Female or Unknown)]]="Female",Backend!$C$7,IF(Table1[[#This Row],[Fetal Sex (Male, Female or Unknown)]]="Unknown",Backend!$C$8,"Error"))),"")</f>
        <v/>
      </c>
      <c r="F3453" s="8" t="str">
        <f>IF(Table1[[#This Row],[Is Data Valid]]=TRUE,EXP(0.578+0.332*((Table1[[#This Row],[Gestation (days)]]+0.5)/7)-0.00354*((Table1[[#This Row],[Gestation (days)]]+0.5)/7)^2)*Table1[[#This Row],[BW40_3705]],"")</f>
        <v/>
      </c>
      <c r="G3453" s="2" t="str">
        <f>IF(Table1[[#This Row],[Is Data Valid]]=TRUE,((Table1[[#This Row],[Birthweight (grams)]]/Table1[[#This Row],[BW_GA]])-1)/(Backend!$B$4/100*Table1[[#This Row],[BW40_3705]]),"")</f>
        <v/>
      </c>
      <c r="H3453" s="7" t="str">
        <f>IF(Table1[[#This Row],[Is Data Valid]]=TRUE,((Table1[[#This Row],[Birthweight (grams)]]*0.9/Table1[[#This Row],[BW_GA]])-1)/(Backend!$B$4/100*Table1[[#This Row],[BW40_3705]]),"")</f>
        <v/>
      </c>
      <c r="I3453" s="7" t="str">
        <f>IF(Table1[[#This Row],[Is Data Valid]]=TRUE,((Table1[[#This Row],[Birthweight (grams)]]*1.1/Table1[[#This Row],[BW_GA]])-1)/(Backend!$B$4/100*Table1[[#This Row],[BW40_3705]]),"")</f>
        <v/>
      </c>
      <c r="J3453" s="7" t="str">
        <f>IF(Table1[[#This Row],[Is Data Valid]]=TRUE,_xlfn.NORM.S.DIST(Table1[[#This Row],[Birthweight Z-Score]],TRUE)*100,"")</f>
        <v/>
      </c>
      <c r="K3453" s="7" t="str">
        <f>IF(Table1[[#This Row],[Is Data Valid]]=TRUE,_xlfn.NORM.S.DIST(Table1[[#This Row],[Birthweight Z-Score (BW-10%)]],TRUE)*100,"")</f>
        <v/>
      </c>
      <c r="L3453" s="7" t="str">
        <f>IF(Table1[[#This Row],[Is Data Valid]]=TRUE,_xlfn.NORM.S.DIST(Table1[[#This Row],[Birthweight Z-Score (BW+10%)]],TRUE)*100,"")</f>
        <v/>
      </c>
    </row>
    <row r="3454" spans="1:12" x14ac:dyDescent="0.35">
      <c r="A3454" s="3"/>
      <c r="B3454" s="2"/>
      <c r="C3454" s="2"/>
      <c r="D3454" s="2" t="b">
        <f>IF(AND(NOT(ISBLANK(Table1[[#This Row],[Fetal Sex (Male, Female or Unknown)]])),ISNUMBER(Table1[[#This Row],[Birthweight (grams)]]),ISNUMBER(Table1[[#This Row],[Gestation (days)]])),TRUE,FALSE)</f>
        <v>0</v>
      </c>
      <c r="E3454" s="2" t="str">
        <f>IF(Table1[[#This Row],[Is Data Valid]]=TRUE,IF(Table1[[#This Row],[Fetal Sex (Male, Female or Unknown)]]="Male",Backend!$C$6,IF(Table1[[#This Row],[Fetal Sex (Male, Female or Unknown)]]="Female",Backend!$C$7,IF(Table1[[#This Row],[Fetal Sex (Male, Female or Unknown)]]="Unknown",Backend!$C$8,"Error"))),"")</f>
        <v/>
      </c>
      <c r="F3454" s="8" t="str">
        <f>IF(Table1[[#This Row],[Is Data Valid]]=TRUE,EXP(0.578+0.332*((Table1[[#This Row],[Gestation (days)]]+0.5)/7)-0.00354*((Table1[[#This Row],[Gestation (days)]]+0.5)/7)^2)*Table1[[#This Row],[BW40_3705]],"")</f>
        <v/>
      </c>
      <c r="G3454" s="2" t="str">
        <f>IF(Table1[[#This Row],[Is Data Valid]]=TRUE,((Table1[[#This Row],[Birthweight (grams)]]/Table1[[#This Row],[BW_GA]])-1)/(Backend!$B$4/100*Table1[[#This Row],[BW40_3705]]),"")</f>
        <v/>
      </c>
      <c r="H3454" s="7" t="str">
        <f>IF(Table1[[#This Row],[Is Data Valid]]=TRUE,((Table1[[#This Row],[Birthweight (grams)]]*0.9/Table1[[#This Row],[BW_GA]])-1)/(Backend!$B$4/100*Table1[[#This Row],[BW40_3705]]),"")</f>
        <v/>
      </c>
      <c r="I3454" s="7" t="str">
        <f>IF(Table1[[#This Row],[Is Data Valid]]=TRUE,((Table1[[#This Row],[Birthweight (grams)]]*1.1/Table1[[#This Row],[BW_GA]])-1)/(Backend!$B$4/100*Table1[[#This Row],[BW40_3705]]),"")</f>
        <v/>
      </c>
      <c r="J3454" s="7" t="str">
        <f>IF(Table1[[#This Row],[Is Data Valid]]=TRUE,_xlfn.NORM.S.DIST(Table1[[#This Row],[Birthweight Z-Score]],TRUE)*100,"")</f>
        <v/>
      </c>
      <c r="K3454" s="7" t="str">
        <f>IF(Table1[[#This Row],[Is Data Valid]]=TRUE,_xlfn.NORM.S.DIST(Table1[[#This Row],[Birthweight Z-Score (BW-10%)]],TRUE)*100,"")</f>
        <v/>
      </c>
      <c r="L3454" s="7" t="str">
        <f>IF(Table1[[#This Row],[Is Data Valid]]=TRUE,_xlfn.NORM.S.DIST(Table1[[#This Row],[Birthweight Z-Score (BW+10%)]],TRUE)*100,"")</f>
        <v/>
      </c>
    </row>
    <row r="3455" spans="1:12" x14ac:dyDescent="0.35">
      <c r="A3455" s="3"/>
      <c r="B3455" s="2"/>
      <c r="C3455" s="2"/>
      <c r="D3455" s="2" t="b">
        <f>IF(AND(NOT(ISBLANK(Table1[[#This Row],[Fetal Sex (Male, Female or Unknown)]])),ISNUMBER(Table1[[#This Row],[Birthweight (grams)]]),ISNUMBER(Table1[[#This Row],[Gestation (days)]])),TRUE,FALSE)</f>
        <v>0</v>
      </c>
      <c r="E3455" s="2" t="str">
        <f>IF(Table1[[#This Row],[Is Data Valid]]=TRUE,IF(Table1[[#This Row],[Fetal Sex (Male, Female or Unknown)]]="Male",Backend!$C$6,IF(Table1[[#This Row],[Fetal Sex (Male, Female or Unknown)]]="Female",Backend!$C$7,IF(Table1[[#This Row],[Fetal Sex (Male, Female or Unknown)]]="Unknown",Backend!$C$8,"Error"))),"")</f>
        <v/>
      </c>
      <c r="F3455" s="8" t="str">
        <f>IF(Table1[[#This Row],[Is Data Valid]]=TRUE,EXP(0.578+0.332*((Table1[[#This Row],[Gestation (days)]]+0.5)/7)-0.00354*((Table1[[#This Row],[Gestation (days)]]+0.5)/7)^2)*Table1[[#This Row],[BW40_3705]],"")</f>
        <v/>
      </c>
      <c r="G3455" s="2" t="str">
        <f>IF(Table1[[#This Row],[Is Data Valid]]=TRUE,((Table1[[#This Row],[Birthweight (grams)]]/Table1[[#This Row],[BW_GA]])-1)/(Backend!$B$4/100*Table1[[#This Row],[BW40_3705]]),"")</f>
        <v/>
      </c>
      <c r="H3455" s="7" t="str">
        <f>IF(Table1[[#This Row],[Is Data Valid]]=TRUE,((Table1[[#This Row],[Birthweight (grams)]]*0.9/Table1[[#This Row],[BW_GA]])-1)/(Backend!$B$4/100*Table1[[#This Row],[BW40_3705]]),"")</f>
        <v/>
      </c>
      <c r="I3455" s="7" t="str">
        <f>IF(Table1[[#This Row],[Is Data Valid]]=TRUE,((Table1[[#This Row],[Birthweight (grams)]]*1.1/Table1[[#This Row],[BW_GA]])-1)/(Backend!$B$4/100*Table1[[#This Row],[BW40_3705]]),"")</f>
        <v/>
      </c>
      <c r="J3455" s="7" t="str">
        <f>IF(Table1[[#This Row],[Is Data Valid]]=TRUE,_xlfn.NORM.S.DIST(Table1[[#This Row],[Birthweight Z-Score]],TRUE)*100,"")</f>
        <v/>
      </c>
      <c r="K3455" s="7" t="str">
        <f>IF(Table1[[#This Row],[Is Data Valid]]=TRUE,_xlfn.NORM.S.DIST(Table1[[#This Row],[Birthweight Z-Score (BW-10%)]],TRUE)*100,"")</f>
        <v/>
      </c>
      <c r="L3455" s="7" t="str">
        <f>IF(Table1[[#This Row],[Is Data Valid]]=TRUE,_xlfn.NORM.S.DIST(Table1[[#This Row],[Birthweight Z-Score (BW+10%)]],TRUE)*100,"")</f>
        <v/>
      </c>
    </row>
    <row r="3456" spans="1:12" x14ac:dyDescent="0.35">
      <c r="A3456" s="3"/>
      <c r="B3456" s="2"/>
      <c r="C3456" s="2"/>
      <c r="D3456" s="2" t="b">
        <f>IF(AND(NOT(ISBLANK(Table1[[#This Row],[Fetal Sex (Male, Female or Unknown)]])),ISNUMBER(Table1[[#This Row],[Birthweight (grams)]]),ISNUMBER(Table1[[#This Row],[Gestation (days)]])),TRUE,FALSE)</f>
        <v>0</v>
      </c>
      <c r="E3456" s="2" t="str">
        <f>IF(Table1[[#This Row],[Is Data Valid]]=TRUE,IF(Table1[[#This Row],[Fetal Sex (Male, Female or Unknown)]]="Male",Backend!$C$6,IF(Table1[[#This Row],[Fetal Sex (Male, Female or Unknown)]]="Female",Backend!$C$7,IF(Table1[[#This Row],[Fetal Sex (Male, Female or Unknown)]]="Unknown",Backend!$C$8,"Error"))),"")</f>
        <v/>
      </c>
      <c r="F3456" s="8" t="str">
        <f>IF(Table1[[#This Row],[Is Data Valid]]=TRUE,EXP(0.578+0.332*((Table1[[#This Row],[Gestation (days)]]+0.5)/7)-0.00354*((Table1[[#This Row],[Gestation (days)]]+0.5)/7)^2)*Table1[[#This Row],[BW40_3705]],"")</f>
        <v/>
      </c>
      <c r="G3456" s="2" t="str">
        <f>IF(Table1[[#This Row],[Is Data Valid]]=TRUE,((Table1[[#This Row],[Birthweight (grams)]]/Table1[[#This Row],[BW_GA]])-1)/(Backend!$B$4/100*Table1[[#This Row],[BW40_3705]]),"")</f>
        <v/>
      </c>
      <c r="H3456" s="7" t="str">
        <f>IF(Table1[[#This Row],[Is Data Valid]]=TRUE,((Table1[[#This Row],[Birthweight (grams)]]*0.9/Table1[[#This Row],[BW_GA]])-1)/(Backend!$B$4/100*Table1[[#This Row],[BW40_3705]]),"")</f>
        <v/>
      </c>
      <c r="I3456" s="7" t="str">
        <f>IF(Table1[[#This Row],[Is Data Valid]]=TRUE,((Table1[[#This Row],[Birthweight (grams)]]*1.1/Table1[[#This Row],[BW_GA]])-1)/(Backend!$B$4/100*Table1[[#This Row],[BW40_3705]]),"")</f>
        <v/>
      </c>
      <c r="J3456" s="7" t="str">
        <f>IF(Table1[[#This Row],[Is Data Valid]]=TRUE,_xlfn.NORM.S.DIST(Table1[[#This Row],[Birthweight Z-Score]],TRUE)*100,"")</f>
        <v/>
      </c>
      <c r="K3456" s="7" t="str">
        <f>IF(Table1[[#This Row],[Is Data Valid]]=TRUE,_xlfn.NORM.S.DIST(Table1[[#This Row],[Birthweight Z-Score (BW-10%)]],TRUE)*100,"")</f>
        <v/>
      </c>
      <c r="L3456" s="7" t="str">
        <f>IF(Table1[[#This Row],[Is Data Valid]]=TRUE,_xlfn.NORM.S.DIST(Table1[[#This Row],[Birthweight Z-Score (BW+10%)]],TRUE)*100,"")</f>
        <v/>
      </c>
    </row>
    <row r="3457" spans="1:12" x14ac:dyDescent="0.35">
      <c r="A3457" s="3"/>
      <c r="B3457" s="2"/>
      <c r="C3457" s="2"/>
      <c r="D3457" s="2" t="b">
        <f>IF(AND(NOT(ISBLANK(Table1[[#This Row],[Fetal Sex (Male, Female or Unknown)]])),ISNUMBER(Table1[[#This Row],[Birthweight (grams)]]),ISNUMBER(Table1[[#This Row],[Gestation (days)]])),TRUE,FALSE)</f>
        <v>0</v>
      </c>
      <c r="E3457" s="2" t="str">
        <f>IF(Table1[[#This Row],[Is Data Valid]]=TRUE,IF(Table1[[#This Row],[Fetal Sex (Male, Female or Unknown)]]="Male",Backend!$C$6,IF(Table1[[#This Row],[Fetal Sex (Male, Female or Unknown)]]="Female",Backend!$C$7,IF(Table1[[#This Row],[Fetal Sex (Male, Female or Unknown)]]="Unknown",Backend!$C$8,"Error"))),"")</f>
        <v/>
      </c>
      <c r="F3457" s="8" t="str">
        <f>IF(Table1[[#This Row],[Is Data Valid]]=TRUE,EXP(0.578+0.332*((Table1[[#This Row],[Gestation (days)]]+0.5)/7)-0.00354*((Table1[[#This Row],[Gestation (days)]]+0.5)/7)^2)*Table1[[#This Row],[BW40_3705]],"")</f>
        <v/>
      </c>
      <c r="G3457" s="2" t="str">
        <f>IF(Table1[[#This Row],[Is Data Valid]]=TRUE,((Table1[[#This Row],[Birthweight (grams)]]/Table1[[#This Row],[BW_GA]])-1)/(Backend!$B$4/100*Table1[[#This Row],[BW40_3705]]),"")</f>
        <v/>
      </c>
      <c r="H3457" s="7" t="str">
        <f>IF(Table1[[#This Row],[Is Data Valid]]=TRUE,((Table1[[#This Row],[Birthweight (grams)]]*0.9/Table1[[#This Row],[BW_GA]])-1)/(Backend!$B$4/100*Table1[[#This Row],[BW40_3705]]),"")</f>
        <v/>
      </c>
      <c r="I3457" s="7" t="str">
        <f>IF(Table1[[#This Row],[Is Data Valid]]=TRUE,((Table1[[#This Row],[Birthweight (grams)]]*1.1/Table1[[#This Row],[BW_GA]])-1)/(Backend!$B$4/100*Table1[[#This Row],[BW40_3705]]),"")</f>
        <v/>
      </c>
      <c r="J3457" s="7" t="str">
        <f>IF(Table1[[#This Row],[Is Data Valid]]=TRUE,_xlfn.NORM.S.DIST(Table1[[#This Row],[Birthweight Z-Score]],TRUE)*100,"")</f>
        <v/>
      </c>
      <c r="K3457" s="7" t="str">
        <f>IF(Table1[[#This Row],[Is Data Valid]]=TRUE,_xlfn.NORM.S.DIST(Table1[[#This Row],[Birthweight Z-Score (BW-10%)]],TRUE)*100,"")</f>
        <v/>
      </c>
      <c r="L3457" s="7" t="str">
        <f>IF(Table1[[#This Row],[Is Data Valid]]=TRUE,_xlfn.NORM.S.DIST(Table1[[#This Row],[Birthweight Z-Score (BW+10%)]],TRUE)*100,"")</f>
        <v/>
      </c>
    </row>
    <row r="3458" spans="1:12" x14ac:dyDescent="0.35">
      <c r="A3458" s="3"/>
      <c r="B3458" s="2"/>
      <c r="C3458" s="2"/>
      <c r="D3458" s="2" t="b">
        <f>IF(AND(NOT(ISBLANK(Table1[[#This Row],[Fetal Sex (Male, Female or Unknown)]])),ISNUMBER(Table1[[#This Row],[Birthweight (grams)]]),ISNUMBER(Table1[[#This Row],[Gestation (days)]])),TRUE,FALSE)</f>
        <v>0</v>
      </c>
      <c r="E3458" s="2" t="str">
        <f>IF(Table1[[#This Row],[Is Data Valid]]=TRUE,IF(Table1[[#This Row],[Fetal Sex (Male, Female or Unknown)]]="Male",Backend!$C$6,IF(Table1[[#This Row],[Fetal Sex (Male, Female or Unknown)]]="Female",Backend!$C$7,IF(Table1[[#This Row],[Fetal Sex (Male, Female or Unknown)]]="Unknown",Backend!$C$8,"Error"))),"")</f>
        <v/>
      </c>
      <c r="F3458" s="8" t="str">
        <f>IF(Table1[[#This Row],[Is Data Valid]]=TRUE,EXP(0.578+0.332*((Table1[[#This Row],[Gestation (days)]]+0.5)/7)-0.00354*((Table1[[#This Row],[Gestation (days)]]+0.5)/7)^2)*Table1[[#This Row],[BW40_3705]],"")</f>
        <v/>
      </c>
      <c r="G3458" s="2" t="str">
        <f>IF(Table1[[#This Row],[Is Data Valid]]=TRUE,((Table1[[#This Row],[Birthweight (grams)]]/Table1[[#This Row],[BW_GA]])-1)/(Backend!$B$4/100*Table1[[#This Row],[BW40_3705]]),"")</f>
        <v/>
      </c>
      <c r="H3458" s="7" t="str">
        <f>IF(Table1[[#This Row],[Is Data Valid]]=TRUE,((Table1[[#This Row],[Birthweight (grams)]]*0.9/Table1[[#This Row],[BW_GA]])-1)/(Backend!$B$4/100*Table1[[#This Row],[BW40_3705]]),"")</f>
        <v/>
      </c>
      <c r="I3458" s="7" t="str">
        <f>IF(Table1[[#This Row],[Is Data Valid]]=TRUE,((Table1[[#This Row],[Birthweight (grams)]]*1.1/Table1[[#This Row],[BW_GA]])-1)/(Backend!$B$4/100*Table1[[#This Row],[BW40_3705]]),"")</f>
        <v/>
      </c>
      <c r="J3458" s="7" t="str">
        <f>IF(Table1[[#This Row],[Is Data Valid]]=TRUE,_xlfn.NORM.S.DIST(Table1[[#This Row],[Birthweight Z-Score]],TRUE)*100,"")</f>
        <v/>
      </c>
      <c r="K3458" s="7" t="str">
        <f>IF(Table1[[#This Row],[Is Data Valid]]=TRUE,_xlfn.NORM.S.DIST(Table1[[#This Row],[Birthweight Z-Score (BW-10%)]],TRUE)*100,"")</f>
        <v/>
      </c>
      <c r="L3458" s="7" t="str">
        <f>IF(Table1[[#This Row],[Is Data Valid]]=TRUE,_xlfn.NORM.S.DIST(Table1[[#This Row],[Birthweight Z-Score (BW+10%)]],TRUE)*100,"")</f>
        <v/>
      </c>
    </row>
    <row r="3459" spans="1:12" x14ac:dyDescent="0.35">
      <c r="A3459" s="3"/>
      <c r="B3459" s="2"/>
      <c r="C3459" s="2"/>
      <c r="D3459" s="2" t="b">
        <f>IF(AND(NOT(ISBLANK(Table1[[#This Row],[Fetal Sex (Male, Female or Unknown)]])),ISNUMBER(Table1[[#This Row],[Birthweight (grams)]]),ISNUMBER(Table1[[#This Row],[Gestation (days)]])),TRUE,FALSE)</f>
        <v>0</v>
      </c>
      <c r="E3459" s="2" t="str">
        <f>IF(Table1[[#This Row],[Is Data Valid]]=TRUE,IF(Table1[[#This Row],[Fetal Sex (Male, Female or Unknown)]]="Male",Backend!$C$6,IF(Table1[[#This Row],[Fetal Sex (Male, Female or Unknown)]]="Female",Backend!$C$7,IF(Table1[[#This Row],[Fetal Sex (Male, Female or Unknown)]]="Unknown",Backend!$C$8,"Error"))),"")</f>
        <v/>
      </c>
      <c r="F3459" s="8" t="str">
        <f>IF(Table1[[#This Row],[Is Data Valid]]=TRUE,EXP(0.578+0.332*((Table1[[#This Row],[Gestation (days)]]+0.5)/7)-0.00354*((Table1[[#This Row],[Gestation (days)]]+0.5)/7)^2)*Table1[[#This Row],[BW40_3705]],"")</f>
        <v/>
      </c>
      <c r="G3459" s="2" t="str">
        <f>IF(Table1[[#This Row],[Is Data Valid]]=TRUE,((Table1[[#This Row],[Birthweight (grams)]]/Table1[[#This Row],[BW_GA]])-1)/(Backend!$B$4/100*Table1[[#This Row],[BW40_3705]]),"")</f>
        <v/>
      </c>
      <c r="H3459" s="7" t="str">
        <f>IF(Table1[[#This Row],[Is Data Valid]]=TRUE,((Table1[[#This Row],[Birthweight (grams)]]*0.9/Table1[[#This Row],[BW_GA]])-1)/(Backend!$B$4/100*Table1[[#This Row],[BW40_3705]]),"")</f>
        <v/>
      </c>
      <c r="I3459" s="7" t="str">
        <f>IF(Table1[[#This Row],[Is Data Valid]]=TRUE,((Table1[[#This Row],[Birthweight (grams)]]*1.1/Table1[[#This Row],[BW_GA]])-1)/(Backend!$B$4/100*Table1[[#This Row],[BW40_3705]]),"")</f>
        <v/>
      </c>
      <c r="J3459" s="7" t="str">
        <f>IF(Table1[[#This Row],[Is Data Valid]]=TRUE,_xlfn.NORM.S.DIST(Table1[[#This Row],[Birthweight Z-Score]],TRUE)*100,"")</f>
        <v/>
      </c>
      <c r="K3459" s="7" t="str">
        <f>IF(Table1[[#This Row],[Is Data Valid]]=TRUE,_xlfn.NORM.S.DIST(Table1[[#This Row],[Birthweight Z-Score (BW-10%)]],TRUE)*100,"")</f>
        <v/>
      </c>
      <c r="L3459" s="7" t="str">
        <f>IF(Table1[[#This Row],[Is Data Valid]]=TRUE,_xlfn.NORM.S.DIST(Table1[[#This Row],[Birthweight Z-Score (BW+10%)]],TRUE)*100,"")</f>
        <v/>
      </c>
    </row>
    <row r="3460" spans="1:12" x14ac:dyDescent="0.35">
      <c r="A3460" s="3"/>
      <c r="B3460" s="2"/>
      <c r="C3460" s="2"/>
      <c r="D3460" s="2" t="b">
        <f>IF(AND(NOT(ISBLANK(Table1[[#This Row],[Fetal Sex (Male, Female or Unknown)]])),ISNUMBER(Table1[[#This Row],[Birthweight (grams)]]),ISNUMBER(Table1[[#This Row],[Gestation (days)]])),TRUE,FALSE)</f>
        <v>0</v>
      </c>
      <c r="E3460" s="2" t="str">
        <f>IF(Table1[[#This Row],[Is Data Valid]]=TRUE,IF(Table1[[#This Row],[Fetal Sex (Male, Female or Unknown)]]="Male",Backend!$C$6,IF(Table1[[#This Row],[Fetal Sex (Male, Female or Unknown)]]="Female",Backend!$C$7,IF(Table1[[#This Row],[Fetal Sex (Male, Female or Unknown)]]="Unknown",Backend!$C$8,"Error"))),"")</f>
        <v/>
      </c>
      <c r="F3460" s="8" t="str">
        <f>IF(Table1[[#This Row],[Is Data Valid]]=TRUE,EXP(0.578+0.332*((Table1[[#This Row],[Gestation (days)]]+0.5)/7)-0.00354*((Table1[[#This Row],[Gestation (days)]]+0.5)/7)^2)*Table1[[#This Row],[BW40_3705]],"")</f>
        <v/>
      </c>
      <c r="G3460" s="2" t="str">
        <f>IF(Table1[[#This Row],[Is Data Valid]]=TRUE,((Table1[[#This Row],[Birthweight (grams)]]/Table1[[#This Row],[BW_GA]])-1)/(Backend!$B$4/100*Table1[[#This Row],[BW40_3705]]),"")</f>
        <v/>
      </c>
      <c r="H3460" s="7" t="str">
        <f>IF(Table1[[#This Row],[Is Data Valid]]=TRUE,((Table1[[#This Row],[Birthweight (grams)]]*0.9/Table1[[#This Row],[BW_GA]])-1)/(Backend!$B$4/100*Table1[[#This Row],[BW40_3705]]),"")</f>
        <v/>
      </c>
      <c r="I3460" s="7" t="str">
        <f>IF(Table1[[#This Row],[Is Data Valid]]=TRUE,((Table1[[#This Row],[Birthweight (grams)]]*1.1/Table1[[#This Row],[BW_GA]])-1)/(Backend!$B$4/100*Table1[[#This Row],[BW40_3705]]),"")</f>
        <v/>
      </c>
      <c r="J3460" s="7" t="str">
        <f>IF(Table1[[#This Row],[Is Data Valid]]=TRUE,_xlfn.NORM.S.DIST(Table1[[#This Row],[Birthweight Z-Score]],TRUE)*100,"")</f>
        <v/>
      </c>
      <c r="K3460" s="7" t="str">
        <f>IF(Table1[[#This Row],[Is Data Valid]]=TRUE,_xlfn.NORM.S.DIST(Table1[[#This Row],[Birthweight Z-Score (BW-10%)]],TRUE)*100,"")</f>
        <v/>
      </c>
      <c r="L3460" s="7" t="str">
        <f>IF(Table1[[#This Row],[Is Data Valid]]=TRUE,_xlfn.NORM.S.DIST(Table1[[#This Row],[Birthweight Z-Score (BW+10%)]],TRUE)*100,"")</f>
        <v/>
      </c>
    </row>
    <row r="3461" spans="1:12" x14ac:dyDescent="0.35">
      <c r="A3461" s="3"/>
      <c r="B3461" s="2"/>
      <c r="C3461" s="2"/>
      <c r="D3461" s="2" t="b">
        <f>IF(AND(NOT(ISBLANK(Table1[[#This Row],[Fetal Sex (Male, Female or Unknown)]])),ISNUMBER(Table1[[#This Row],[Birthweight (grams)]]),ISNUMBER(Table1[[#This Row],[Gestation (days)]])),TRUE,FALSE)</f>
        <v>0</v>
      </c>
      <c r="E3461" s="2" t="str">
        <f>IF(Table1[[#This Row],[Is Data Valid]]=TRUE,IF(Table1[[#This Row],[Fetal Sex (Male, Female or Unknown)]]="Male",Backend!$C$6,IF(Table1[[#This Row],[Fetal Sex (Male, Female or Unknown)]]="Female",Backend!$C$7,IF(Table1[[#This Row],[Fetal Sex (Male, Female or Unknown)]]="Unknown",Backend!$C$8,"Error"))),"")</f>
        <v/>
      </c>
      <c r="F3461" s="8" t="str">
        <f>IF(Table1[[#This Row],[Is Data Valid]]=TRUE,EXP(0.578+0.332*((Table1[[#This Row],[Gestation (days)]]+0.5)/7)-0.00354*((Table1[[#This Row],[Gestation (days)]]+0.5)/7)^2)*Table1[[#This Row],[BW40_3705]],"")</f>
        <v/>
      </c>
      <c r="G3461" s="2" t="str">
        <f>IF(Table1[[#This Row],[Is Data Valid]]=TRUE,((Table1[[#This Row],[Birthweight (grams)]]/Table1[[#This Row],[BW_GA]])-1)/(Backend!$B$4/100*Table1[[#This Row],[BW40_3705]]),"")</f>
        <v/>
      </c>
      <c r="H3461" s="7" t="str">
        <f>IF(Table1[[#This Row],[Is Data Valid]]=TRUE,((Table1[[#This Row],[Birthweight (grams)]]*0.9/Table1[[#This Row],[BW_GA]])-1)/(Backend!$B$4/100*Table1[[#This Row],[BW40_3705]]),"")</f>
        <v/>
      </c>
      <c r="I3461" s="7" t="str">
        <f>IF(Table1[[#This Row],[Is Data Valid]]=TRUE,((Table1[[#This Row],[Birthweight (grams)]]*1.1/Table1[[#This Row],[BW_GA]])-1)/(Backend!$B$4/100*Table1[[#This Row],[BW40_3705]]),"")</f>
        <v/>
      </c>
      <c r="J3461" s="7" t="str">
        <f>IF(Table1[[#This Row],[Is Data Valid]]=TRUE,_xlfn.NORM.S.DIST(Table1[[#This Row],[Birthweight Z-Score]],TRUE)*100,"")</f>
        <v/>
      </c>
      <c r="K3461" s="7" t="str">
        <f>IF(Table1[[#This Row],[Is Data Valid]]=TRUE,_xlfn.NORM.S.DIST(Table1[[#This Row],[Birthweight Z-Score (BW-10%)]],TRUE)*100,"")</f>
        <v/>
      </c>
      <c r="L3461" s="7" t="str">
        <f>IF(Table1[[#This Row],[Is Data Valid]]=TRUE,_xlfn.NORM.S.DIST(Table1[[#This Row],[Birthweight Z-Score (BW+10%)]],TRUE)*100,"")</f>
        <v/>
      </c>
    </row>
    <row r="3462" spans="1:12" x14ac:dyDescent="0.35">
      <c r="A3462" s="3"/>
      <c r="B3462" s="2"/>
      <c r="C3462" s="2"/>
      <c r="D3462" s="2" t="b">
        <f>IF(AND(NOT(ISBLANK(Table1[[#This Row],[Fetal Sex (Male, Female or Unknown)]])),ISNUMBER(Table1[[#This Row],[Birthweight (grams)]]),ISNUMBER(Table1[[#This Row],[Gestation (days)]])),TRUE,FALSE)</f>
        <v>0</v>
      </c>
      <c r="E3462" s="2" t="str">
        <f>IF(Table1[[#This Row],[Is Data Valid]]=TRUE,IF(Table1[[#This Row],[Fetal Sex (Male, Female or Unknown)]]="Male",Backend!$C$6,IF(Table1[[#This Row],[Fetal Sex (Male, Female or Unknown)]]="Female",Backend!$C$7,IF(Table1[[#This Row],[Fetal Sex (Male, Female or Unknown)]]="Unknown",Backend!$C$8,"Error"))),"")</f>
        <v/>
      </c>
      <c r="F3462" s="8" t="str">
        <f>IF(Table1[[#This Row],[Is Data Valid]]=TRUE,EXP(0.578+0.332*((Table1[[#This Row],[Gestation (days)]]+0.5)/7)-0.00354*((Table1[[#This Row],[Gestation (days)]]+0.5)/7)^2)*Table1[[#This Row],[BW40_3705]],"")</f>
        <v/>
      </c>
      <c r="G3462" s="2" t="str">
        <f>IF(Table1[[#This Row],[Is Data Valid]]=TRUE,((Table1[[#This Row],[Birthweight (grams)]]/Table1[[#This Row],[BW_GA]])-1)/(Backend!$B$4/100*Table1[[#This Row],[BW40_3705]]),"")</f>
        <v/>
      </c>
      <c r="H3462" s="7" t="str">
        <f>IF(Table1[[#This Row],[Is Data Valid]]=TRUE,((Table1[[#This Row],[Birthweight (grams)]]*0.9/Table1[[#This Row],[BW_GA]])-1)/(Backend!$B$4/100*Table1[[#This Row],[BW40_3705]]),"")</f>
        <v/>
      </c>
      <c r="I3462" s="7" t="str">
        <f>IF(Table1[[#This Row],[Is Data Valid]]=TRUE,((Table1[[#This Row],[Birthweight (grams)]]*1.1/Table1[[#This Row],[BW_GA]])-1)/(Backend!$B$4/100*Table1[[#This Row],[BW40_3705]]),"")</f>
        <v/>
      </c>
      <c r="J3462" s="7" t="str">
        <f>IF(Table1[[#This Row],[Is Data Valid]]=TRUE,_xlfn.NORM.S.DIST(Table1[[#This Row],[Birthweight Z-Score]],TRUE)*100,"")</f>
        <v/>
      </c>
      <c r="K3462" s="7" t="str">
        <f>IF(Table1[[#This Row],[Is Data Valid]]=TRUE,_xlfn.NORM.S.DIST(Table1[[#This Row],[Birthweight Z-Score (BW-10%)]],TRUE)*100,"")</f>
        <v/>
      </c>
      <c r="L3462" s="7" t="str">
        <f>IF(Table1[[#This Row],[Is Data Valid]]=TRUE,_xlfn.NORM.S.DIST(Table1[[#This Row],[Birthweight Z-Score (BW+10%)]],TRUE)*100,"")</f>
        <v/>
      </c>
    </row>
    <row r="3463" spans="1:12" x14ac:dyDescent="0.35">
      <c r="A3463" s="3"/>
      <c r="B3463" s="2"/>
      <c r="C3463" s="2"/>
      <c r="D3463" s="2" t="b">
        <f>IF(AND(NOT(ISBLANK(Table1[[#This Row],[Fetal Sex (Male, Female or Unknown)]])),ISNUMBER(Table1[[#This Row],[Birthweight (grams)]]),ISNUMBER(Table1[[#This Row],[Gestation (days)]])),TRUE,FALSE)</f>
        <v>0</v>
      </c>
      <c r="E3463" s="2" t="str">
        <f>IF(Table1[[#This Row],[Is Data Valid]]=TRUE,IF(Table1[[#This Row],[Fetal Sex (Male, Female or Unknown)]]="Male",Backend!$C$6,IF(Table1[[#This Row],[Fetal Sex (Male, Female or Unknown)]]="Female",Backend!$C$7,IF(Table1[[#This Row],[Fetal Sex (Male, Female or Unknown)]]="Unknown",Backend!$C$8,"Error"))),"")</f>
        <v/>
      </c>
      <c r="F3463" s="8" t="str">
        <f>IF(Table1[[#This Row],[Is Data Valid]]=TRUE,EXP(0.578+0.332*((Table1[[#This Row],[Gestation (days)]]+0.5)/7)-0.00354*((Table1[[#This Row],[Gestation (days)]]+0.5)/7)^2)*Table1[[#This Row],[BW40_3705]],"")</f>
        <v/>
      </c>
      <c r="G3463" s="2" t="str">
        <f>IF(Table1[[#This Row],[Is Data Valid]]=TRUE,((Table1[[#This Row],[Birthweight (grams)]]/Table1[[#This Row],[BW_GA]])-1)/(Backend!$B$4/100*Table1[[#This Row],[BW40_3705]]),"")</f>
        <v/>
      </c>
      <c r="H3463" s="7" t="str">
        <f>IF(Table1[[#This Row],[Is Data Valid]]=TRUE,((Table1[[#This Row],[Birthweight (grams)]]*0.9/Table1[[#This Row],[BW_GA]])-1)/(Backend!$B$4/100*Table1[[#This Row],[BW40_3705]]),"")</f>
        <v/>
      </c>
      <c r="I3463" s="7" t="str">
        <f>IF(Table1[[#This Row],[Is Data Valid]]=TRUE,((Table1[[#This Row],[Birthweight (grams)]]*1.1/Table1[[#This Row],[BW_GA]])-1)/(Backend!$B$4/100*Table1[[#This Row],[BW40_3705]]),"")</f>
        <v/>
      </c>
      <c r="J3463" s="7" t="str">
        <f>IF(Table1[[#This Row],[Is Data Valid]]=TRUE,_xlfn.NORM.S.DIST(Table1[[#This Row],[Birthweight Z-Score]],TRUE)*100,"")</f>
        <v/>
      </c>
      <c r="K3463" s="7" t="str">
        <f>IF(Table1[[#This Row],[Is Data Valid]]=TRUE,_xlfn.NORM.S.DIST(Table1[[#This Row],[Birthweight Z-Score (BW-10%)]],TRUE)*100,"")</f>
        <v/>
      </c>
      <c r="L3463" s="7" t="str">
        <f>IF(Table1[[#This Row],[Is Data Valid]]=TRUE,_xlfn.NORM.S.DIST(Table1[[#This Row],[Birthweight Z-Score (BW+10%)]],TRUE)*100,"")</f>
        <v/>
      </c>
    </row>
    <row r="3464" spans="1:12" x14ac:dyDescent="0.35">
      <c r="A3464" s="3"/>
      <c r="B3464" s="2"/>
      <c r="C3464" s="2"/>
      <c r="D3464" s="2" t="b">
        <f>IF(AND(NOT(ISBLANK(Table1[[#This Row],[Fetal Sex (Male, Female or Unknown)]])),ISNUMBER(Table1[[#This Row],[Birthweight (grams)]]),ISNUMBER(Table1[[#This Row],[Gestation (days)]])),TRUE,FALSE)</f>
        <v>0</v>
      </c>
      <c r="E3464" s="2" t="str">
        <f>IF(Table1[[#This Row],[Is Data Valid]]=TRUE,IF(Table1[[#This Row],[Fetal Sex (Male, Female or Unknown)]]="Male",Backend!$C$6,IF(Table1[[#This Row],[Fetal Sex (Male, Female or Unknown)]]="Female",Backend!$C$7,IF(Table1[[#This Row],[Fetal Sex (Male, Female or Unknown)]]="Unknown",Backend!$C$8,"Error"))),"")</f>
        <v/>
      </c>
      <c r="F3464" s="8" t="str">
        <f>IF(Table1[[#This Row],[Is Data Valid]]=TRUE,EXP(0.578+0.332*((Table1[[#This Row],[Gestation (days)]]+0.5)/7)-0.00354*((Table1[[#This Row],[Gestation (days)]]+0.5)/7)^2)*Table1[[#This Row],[BW40_3705]],"")</f>
        <v/>
      </c>
      <c r="G3464" s="2" t="str">
        <f>IF(Table1[[#This Row],[Is Data Valid]]=TRUE,((Table1[[#This Row],[Birthweight (grams)]]/Table1[[#This Row],[BW_GA]])-1)/(Backend!$B$4/100*Table1[[#This Row],[BW40_3705]]),"")</f>
        <v/>
      </c>
      <c r="H3464" s="7" t="str">
        <f>IF(Table1[[#This Row],[Is Data Valid]]=TRUE,((Table1[[#This Row],[Birthweight (grams)]]*0.9/Table1[[#This Row],[BW_GA]])-1)/(Backend!$B$4/100*Table1[[#This Row],[BW40_3705]]),"")</f>
        <v/>
      </c>
      <c r="I3464" s="7" t="str">
        <f>IF(Table1[[#This Row],[Is Data Valid]]=TRUE,((Table1[[#This Row],[Birthweight (grams)]]*1.1/Table1[[#This Row],[BW_GA]])-1)/(Backend!$B$4/100*Table1[[#This Row],[BW40_3705]]),"")</f>
        <v/>
      </c>
      <c r="J3464" s="7" t="str">
        <f>IF(Table1[[#This Row],[Is Data Valid]]=TRUE,_xlfn.NORM.S.DIST(Table1[[#This Row],[Birthweight Z-Score]],TRUE)*100,"")</f>
        <v/>
      </c>
      <c r="K3464" s="7" t="str">
        <f>IF(Table1[[#This Row],[Is Data Valid]]=TRUE,_xlfn.NORM.S.DIST(Table1[[#This Row],[Birthweight Z-Score (BW-10%)]],TRUE)*100,"")</f>
        <v/>
      </c>
      <c r="L3464" s="7" t="str">
        <f>IF(Table1[[#This Row],[Is Data Valid]]=TRUE,_xlfn.NORM.S.DIST(Table1[[#This Row],[Birthweight Z-Score (BW+10%)]],TRUE)*100,"")</f>
        <v/>
      </c>
    </row>
    <row r="3465" spans="1:12" x14ac:dyDescent="0.35">
      <c r="A3465" s="3"/>
      <c r="B3465" s="2"/>
      <c r="C3465" s="2"/>
      <c r="D3465" s="2" t="b">
        <f>IF(AND(NOT(ISBLANK(Table1[[#This Row],[Fetal Sex (Male, Female or Unknown)]])),ISNUMBER(Table1[[#This Row],[Birthweight (grams)]]),ISNUMBER(Table1[[#This Row],[Gestation (days)]])),TRUE,FALSE)</f>
        <v>0</v>
      </c>
      <c r="E3465" s="2" t="str">
        <f>IF(Table1[[#This Row],[Is Data Valid]]=TRUE,IF(Table1[[#This Row],[Fetal Sex (Male, Female or Unknown)]]="Male",Backend!$C$6,IF(Table1[[#This Row],[Fetal Sex (Male, Female or Unknown)]]="Female",Backend!$C$7,IF(Table1[[#This Row],[Fetal Sex (Male, Female or Unknown)]]="Unknown",Backend!$C$8,"Error"))),"")</f>
        <v/>
      </c>
      <c r="F3465" s="8" t="str">
        <f>IF(Table1[[#This Row],[Is Data Valid]]=TRUE,EXP(0.578+0.332*((Table1[[#This Row],[Gestation (days)]]+0.5)/7)-0.00354*((Table1[[#This Row],[Gestation (days)]]+0.5)/7)^2)*Table1[[#This Row],[BW40_3705]],"")</f>
        <v/>
      </c>
      <c r="G3465" s="2" t="str">
        <f>IF(Table1[[#This Row],[Is Data Valid]]=TRUE,((Table1[[#This Row],[Birthweight (grams)]]/Table1[[#This Row],[BW_GA]])-1)/(Backend!$B$4/100*Table1[[#This Row],[BW40_3705]]),"")</f>
        <v/>
      </c>
      <c r="H3465" s="7" t="str">
        <f>IF(Table1[[#This Row],[Is Data Valid]]=TRUE,((Table1[[#This Row],[Birthweight (grams)]]*0.9/Table1[[#This Row],[BW_GA]])-1)/(Backend!$B$4/100*Table1[[#This Row],[BW40_3705]]),"")</f>
        <v/>
      </c>
      <c r="I3465" s="7" t="str">
        <f>IF(Table1[[#This Row],[Is Data Valid]]=TRUE,((Table1[[#This Row],[Birthweight (grams)]]*1.1/Table1[[#This Row],[BW_GA]])-1)/(Backend!$B$4/100*Table1[[#This Row],[BW40_3705]]),"")</f>
        <v/>
      </c>
      <c r="J3465" s="7" t="str">
        <f>IF(Table1[[#This Row],[Is Data Valid]]=TRUE,_xlfn.NORM.S.DIST(Table1[[#This Row],[Birthweight Z-Score]],TRUE)*100,"")</f>
        <v/>
      </c>
      <c r="K3465" s="7" t="str">
        <f>IF(Table1[[#This Row],[Is Data Valid]]=TRUE,_xlfn.NORM.S.DIST(Table1[[#This Row],[Birthweight Z-Score (BW-10%)]],TRUE)*100,"")</f>
        <v/>
      </c>
      <c r="L3465" s="7" t="str">
        <f>IF(Table1[[#This Row],[Is Data Valid]]=TRUE,_xlfn.NORM.S.DIST(Table1[[#This Row],[Birthweight Z-Score (BW+10%)]],TRUE)*100,"")</f>
        <v/>
      </c>
    </row>
    <row r="3466" spans="1:12" x14ac:dyDescent="0.35">
      <c r="A3466" s="3"/>
      <c r="B3466" s="2"/>
      <c r="C3466" s="2"/>
      <c r="D3466" s="2" t="b">
        <f>IF(AND(NOT(ISBLANK(Table1[[#This Row],[Fetal Sex (Male, Female or Unknown)]])),ISNUMBER(Table1[[#This Row],[Birthweight (grams)]]),ISNUMBER(Table1[[#This Row],[Gestation (days)]])),TRUE,FALSE)</f>
        <v>0</v>
      </c>
      <c r="E3466" s="2" t="str">
        <f>IF(Table1[[#This Row],[Is Data Valid]]=TRUE,IF(Table1[[#This Row],[Fetal Sex (Male, Female or Unknown)]]="Male",Backend!$C$6,IF(Table1[[#This Row],[Fetal Sex (Male, Female or Unknown)]]="Female",Backend!$C$7,IF(Table1[[#This Row],[Fetal Sex (Male, Female or Unknown)]]="Unknown",Backend!$C$8,"Error"))),"")</f>
        <v/>
      </c>
      <c r="F3466" s="8" t="str">
        <f>IF(Table1[[#This Row],[Is Data Valid]]=TRUE,EXP(0.578+0.332*((Table1[[#This Row],[Gestation (days)]]+0.5)/7)-0.00354*((Table1[[#This Row],[Gestation (days)]]+0.5)/7)^2)*Table1[[#This Row],[BW40_3705]],"")</f>
        <v/>
      </c>
      <c r="G3466" s="2" t="str">
        <f>IF(Table1[[#This Row],[Is Data Valid]]=TRUE,((Table1[[#This Row],[Birthweight (grams)]]/Table1[[#This Row],[BW_GA]])-1)/(Backend!$B$4/100*Table1[[#This Row],[BW40_3705]]),"")</f>
        <v/>
      </c>
      <c r="H3466" s="7" t="str">
        <f>IF(Table1[[#This Row],[Is Data Valid]]=TRUE,((Table1[[#This Row],[Birthweight (grams)]]*0.9/Table1[[#This Row],[BW_GA]])-1)/(Backend!$B$4/100*Table1[[#This Row],[BW40_3705]]),"")</f>
        <v/>
      </c>
      <c r="I3466" s="7" t="str">
        <f>IF(Table1[[#This Row],[Is Data Valid]]=TRUE,((Table1[[#This Row],[Birthweight (grams)]]*1.1/Table1[[#This Row],[BW_GA]])-1)/(Backend!$B$4/100*Table1[[#This Row],[BW40_3705]]),"")</f>
        <v/>
      </c>
      <c r="J3466" s="7" t="str">
        <f>IF(Table1[[#This Row],[Is Data Valid]]=TRUE,_xlfn.NORM.S.DIST(Table1[[#This Row],[Birthweight Z-Score]],TRUE)*100,"")</f>
        <v/>
      </c>
      <c r="K3466" s="7" t="str">
        <f>IF(Table1[[#This Row],[Is Data Valid]]=TRUE,_xlfn.NORM.S.DIST(Table1[[#This Row],[Birthweight Z-Score (BW-10%)]],TRUE)*100,"")</f>
        <v/>
      </c>
      <c r="L3466" s="7" t="str">
        <f>IF(Table1[[#This Row],[Is Data Valid]]=TRUE,_xlfn.NORM.S.DIST(Table1[[#This Row],[Birthweight Z-Score (BW+10%)]],TRUE)*100,"")</f>
        <v/>
      </c>
    </row>
    <row r="3467" spans="1:12" x14ac:dyDescent="0.35">
      <c r="A3467" s="3"/>
      <c r="B3467" s="2"/>
      <c r="C3467" s="2"/>
      <c r="D3467" s="2" t="b">
        <f>IF(AND(NOT(ISBLANK(Table1[[#This Row],[Fetal Sex (Male, Female or Unknown)]])),ISNUMBER(Table1[[#This Row],[Birthweight (grams)]]),ISNUMBER(Table1[[#This Row],[Gestation (days)]])),TRUE,FALSE)</f>
        <v>0</v>
      </c>
      <c r="E3467" s="2" t="str">
        <f>IF(Table1[[#This Row],[Is Data Valid]]=TRUE,IF(Table1[[#This Row],[Fetal Sex (Male, Female or Unknown)]]="Male",Backend!$C$6,IF(Table1[[#This Row],[Fetal Sex (Male, Female or Unknown)]]="Female",Backend!$C$7,IF(Table1[[#This Row],[Fetal Sex (Male, Female or Unknown)]]="Unknown",Backend!$C$8,"Error"))),"")</f>
        <v/>
      </c>
      <c r="F3467" s="8" t="str">
        <f>IF(Table1[[#This Row],[Is Data Valid]]=TRUE,EXP(0.578+0.332*((Table1[[#This Row],[Gestation (days)]]+0.5)/7)-0.00354*((Table1[[#This Row],[Gestation (days)]]+0.5)/7)^2)*Table1[[#This Row],[BW40_3705]],"")</f>
        <v/>
      </c>
      <c r="G3467" s="2" t="str">
        <f>IF(Table1[[#This Row],[Is Data Valid]]=TRUE,((Table1[[#This Row],[Birthweight (grams)]]/Table1[[#This Row],[BW_GA]])-1)/(Backend!$B$4/100*Table1[[#This Row],[BW40_3705]]),"")</f>
        <v/>
      </c>
      <c r="H3467" s="7" t="str">
        <f>IF(Table1[[#This Row],[Is Data Valid]]=TRUE,((Table1[[#This Row],[Birthweight (grams)]]*0.9/Table1[[#This Row],[BW_GA]])-1)/(Backend!$B$4/100*Table1[[#This Row],[BW40_3705]]),"")</f>
        <v/>
      </c>
      <c r="I3467" s="7" t="str">
        <f>IF(Table1[[#This Row],[Is Data Valid]]=TRUE,((Table1[[#This Row],[Birthweight (grams)]]*1.1/Table1[[#This Row],[BW_GA]])-1)/(Backend!$B$4/100*Table1[[#This Row],[BW40_3705]]),"")</f>
        <v/>
      </c>
      <c r="J3467" s="7" t="str">
        <f>IF(Table1[[#This Row],[Is Data Valid]]=TRUE,_xlfn.NORM.S.DIST(Table1[[#This Row],[Birthweight Z-Score]],TRUE)*100,"")</f>
        <v/>
      </c>
      <c r="K3467" s="7" t="str">
        <f>IF(Table1[[#This Row],[Is Data Valid]]=TRUE,_xlfn.NORM.S.DIST(Table1[[#This Row],[Birthweight Z-Score (BW-10%)]],TRUE)*100,"")</f>
        <v/>
      </c>
      <c r="L3467" s="7" t="str">
        <f>IF(Table1[[#This Row],[Is Data Valid]]=TRUE,_xlfn.NORM.S.DIST(Table1[[#This Row],[Birthweight Z-Score (BW+10%)]],TRUE)*100,"")</f>
        <v/>
      </c>
    </row>
    <row r="3468" spans="1:12" x14ac:dyDescent="0.35">
      <c r="A3468" s="3"/>
      <c r="B3468" s="2"/>
      <c r="C3468" s="2"/>
      <c r="D3468" s="2" t="b">
        <f>IF(AND(NOT(ISBLANK(Table1[[#This Row],[Fetal Sex (Male, Female or Unknown)]])),ISNUMBER(Table1[[#This Row],[Birthweight (grams)]]),ISNUMBER(Table1[[#This Row],[Gestation (days)]])),TRUE,FALSE)</f>
        <v>0</v>
      </c>
      <c r="E3468" s="2" t="str">
        <f>IF(Table1[[#This Row],[Is Data Valid]]=TRUE,IF(Table1[[#This Row],[Fetal Sex (Male, Female or Unknown)]]="Male",Backend!$C$6,IF(Table1[[#This Row],[Fetal Sex (Male, Female or Unknown)]]="Female",Backend!$C$7,IF(Table1[[#This Row],[Fetal Sex (Male, Female or Unknown)]]="Unknown",Backend!$C$8,"Error"))),"")</f>
        <v/>
      </c>
      <c r="F3468" s="8" t="str">
        <f>IF(Table1[[#This Row],[Is Data Valid]]=TRUE,EXP(0.578+0.332*((Table1[[#This Row],[Gestation (days)]]+0.5)/7)-0.00354*((Table1[[#This Row],[Gestation (days)]]+0.5)/7)^2)*Table1[[#This Row],[BW40_3705]],"")</f>
        <v/>
      </c>
      <c r="G3468" s="2" t="str">
        <f>IF(Table1[[#This Row],[Is Data Valid]]=TRUE,((Table1[[#This Row],[Birthweight (grams)]]/Table1[[#This Row],[BW_GA]])-1)/(Backend!$B$4/100*Table1[[#This Row],[BW40_3705]]),"")</f>
        <v/>
      </c>
      <c r="H3468" s="7" t="str">
        <f>IF(Table1[[#This Row],[Is Data Valid]]=TRUE,((Table1[[#This Row],[Birthweight (grams)]]*0.9/Table1[[#This Row],[BW_GA]])-1)/(Backend!$B$4/100*Table1[[#This Row],[BW40_3705]]),"")</f>
        <v/>
      </c>
      <c r="I3468" s="7" t="str">
        <f>IF(Table1[[#This Row],[Is Data Valid]]=TRUE,((Table1[[#This Row],[Birthweight (grams)]]*1.1/Table1[[#This Row],[BW_GA]])-1)/(Backend!$B$4/100*Table1[[#This Row],[BW40_3705]]),"")</f>
        <v/>
      </c>
      <c r="J3468" s="7" t="str">
        <f>IF(Table1[[#This Row],[Is Data Valid]]=TRUE,_xlfn.NORM.S.DIST(Table1[[#This Row],[Birthweight Z-Score]],TRUE)*100,"")</f>
        <v/>
      </c>
      <c r="K3468" s="7" t="str">
        <f>IF(Table1[[#This Row],[Is Data Valid]]=TRUE,_xlfn.NORM.S.DIST(Table1[[#This Row],[Birthweight Z-Score (BW-10%)]],TRUE)*100,"")</f>
        <v/>
      </c>
      <c r="L3468" s="7" t="str">
        <f>IF(Table1[[#This Row],[Is Data Valid]]=TRUE,_xlfn.NORM.S.DIST(Table1[[#This Row],[Birthweight Z-Score (BW+10%)]],TRUE)*100,"")</f>
        <v/>
      </c>
    </row>
    <row r="3469" spans="1:12" x14ac:dyDescent="0.35">
      <c r="A3469" s="3"/>
      <c r="B3469" s="2"/>
      <c r="C3469" s="2"/>
      <c r="D3469" s="2" t="b">
        <f>IF(AND(NOT(ISBLANK(Table1[[#This Row],[Fetal Sex (Male, Female or Unknown)]])),ISNUMBER(Table1[[#This Row],[Birthweight (grams)]]),ISNUMBER(Table1[[#This Row],[Gestation (days)]])),TRUE,FALSE)</f>
        <v>0</v>
      </c>
      <c r="E3469" s="2" t="str">
        <f>IF(Table1[[#This Row],[Is Data Valid]]=TRUE,IF(Table1[[#This Row],[Fetal Sex (Male, Female or Unknown)]]="Male",Backend!$C$6,IF(Table1[[#This Row],[Fetal Sex (Male, Female or Unknown)]]="Female",Backend!$C$7,IF(Table1[[#This Row],[Fetal Sex (Male, Female or Unknown)]]="Unknown",Backend!$C$8,"Error"))),"")</f>
        <v/>
      </c>
      <c r="F3469" s="8" t="str">
        <f>IF(Table1[[#This Row],[Is Data Valid]]=TRUE,EXP(0.578+0.332*((Table1[[#This Row],[Gestation (days)]]+0.5)/7)-0.00354*((Table1[[#This Row],[Gestation (days)]]+0.5)/7)^2)*Table1[[#This Row],[BW40_3705]],"")</f>
        <v/>
      </c>
      <c r="G3469" s="2" t="str">
        <f>IF(Table1[[#This Row],[Is Data Valid]]=TRUE,((Table1[[#This Row],[Birthweight (grams)]]/Table1[[#This Row],[BW_GA]])-1)/(Backend!$B$4/100*Table1[[#This Row],[BW40_3705]]),"")</f>
        <v/>
      </c>
      <c r="H3469" s="7" t="str">
        <f>IF(Table1[[#This Row],[Is Data Valid]]=TRUE,((Table1[[#This Row],[Birthweight (grams)]]*0.9/Table1[[#This Row],[BW_GA]])-1)/(Backend!$B$4/100*Table1[[#This Row],[BW40_3705]]),"")</f>
        <v/>
      </c>
      <c r="I3469" s="7" t="str">
        <f>IF(Table1[[#This Row],[Is Data Valid]]=TRUE,((Table1[[#This Row],[Birthweight (grams)]]*1.1/Table1[[#This Row],[BW_GA]])-1)/(Backend!$B$4/100*Table1[[#This Row],[BW40_3705]]),"")</f>
        <v/>
      </c>
      <c r="J3469" s="7" t="str">
        <f>IF(Table1[[#This Row],[Is Data Valid]]=TRUE,_xlfn.NORM.S.DIST(Table1[[#This Row],[Birthweight Z-Score]],TRUE)*100,"")</f>
        <v/>
      </c>
      <c r="K3469" s="7" t="str">
        <f>IF(Table1[[#This Row],[Is Data Valid]]=TRUE,_xlfn.NORM.S.DIST(Table1[[#This Row],[Birthweight Z-Score (BW-10%)]],TRUE)*100,"")</f>
        <v/>
      </c>
      <c r="L3469" s="7" t="str">
        <f>IF(Table1[[#This Row],[Is Data Valid]]=TRUE,_xlfn.NORM.S.DIST(Table1[[#This Row],[Birthweight Z-Score (BW+10%)]],TRUE)*100,"")</f>
        <v/>
      </c>
    </row>
    <row r="3470" spans="1:12" x14ac:dyDescent="0.35">
      <c r="A3470" s="3"/>
      <c r="B3470" s="2"/>
      <c r="C3470" s="2"/>
      <c r="D3470" s="2" t="b">
        <f>IF(AND(NOT(ISBLANK(Table1[[#This Row],[Fetal Sex (Male, Female or Unknown)]])),ISNUMBER(Table1[[#This Row],[Birthweight (grams)]]),ISNUMBER(Table1[[#This Row],[Gestation (days)]])),TRUE,FALSE)</f>
        <v>0</v>
      </c>
      <c r="E3470" s="2" t="str">
        <f>IF(Table1[[#This Row],[Is Data Valid]]=TRUE,IF(Table1[[#This Row],[Fetal Sex (Male, Female or Unknown)]]="Male",Backend!$C$6,IF(Table1[[#This Row],[Fetal Sex (Male, Female or Unknown)]]="Female",Backend!$C$7,IF(Table1[[#This Row],[Fetal Sex (Male, Female or Unknown)]]="Unknown",Backend!$C$8,"Error"))),"")</f>
        <v/>
      </c>
      <c r="F3470" s="8" t="str">
        <f>IF(Table1[[#This Row],[Is Data Valid]]=TRUE,EXP(0.578+0.332*((Table1[[#This Row],[Gestation (days)]]+0.5)/7)-0.00354*((Table1[[#This Row],[Gestation (days)]]+0.5)/7)^2)*Table1[[#This Row],[BW40_3705]],"")</f>
        <v/>
      </c>
      <c r="G3470" s="2" t="str">
        <f>IF(Table1[[#This Row],[Is Data Valid]]=TRUE,((Table1[[#This Row],[Birthweight (grams)]]/Table1[[#This Row],[BW_GA]])-1)/(Backend!$B$4/100*Table1[[#This Row],[BW40_3705]]),"")</f>
        <v/>
      </c>
      <c r="H3470" s="7" t="str">
        <f>IF(Table1[[#This Row],[Is Data Valid]]=TRUE,((Table1[[#This Row],[Birthweight (grams)]]*0.9/Table1[[#This Row],[BW_GA]])-1)/(Backend!$B$4/100*Table1[[#This Row],[BW40_3705]]),"")</f>
        <v/>
      </c>
      <c r="I3470" s="7" t="str">
        <f>IF(Table1[[#This Row],[Is Data Valid]]=TRUE,((Table1[[#This Row],[Birthweight (grams)]]*1.1/Table1[[#This Row],[BW_GA]])-1)/(Backend!$B$4/100*Table1[[#This Row],[BW40_3705]]),"")</f>
        <v/>
      </c>
      <c r="J3470" s="7" t="str">
        <f>IF(Table1[[#This Row],[Is Data Valid]]=TRUE,_xlfn.NORM.S.DIST(Table1[[#This Row],[Birthweight Z-Score]],TRUE)*100,"")</f>
        <v/>
      </c>
      <c r="K3470" s="7" t="str">
        <f>IF(Table1[[#This Row],[Is Data Valid]]=TRUE,_xlfn.NORM.S.DIST(Table1[[#This Row],[Birthweight Z-Score (BW-10%)]],TRUE)*100,"")</f>
        <v/>
      </c>
      <c r="L3470" s="7" t="str">
        <f>IF(Table1[[#This Row],[Is Data Valid]]=TRUE,_xlfn.NORM.S.DIST(Table1[[#This Row],[Birthweight Z-Score (BW+10%)]],TRUE)*100,"")</f>
        <v/>
      </c>
    </row>
    <row r="3471" spans="1:12" x14ac:dyDescent="0.35">
      <c r="A3471" s="3"/>
      <c r="B3471" s="2"/>
      <c r="C3471" s="2"/>
      <c r="D3471" s="2" t="b">
        <f>IF(AND(NOT(ISBLANK(Table1[[#This Row],[Fetal Sex (Male, Female or Unknown)]])),ISNUMBER(Table1[[#This Row],[Birthweight (grams)]]),ISNUMBER(Table1[[#This Row],[Gestation (days)]])),TRUE,FALSE)</f>
        <v>0</v>
      </c>
      <c r="E3471" s="2" t="str">
        <f>IF(Table1[[#This Row],[Is Data Valid]]=TRUE,IF(Table1[[#This Row],[Fetal Sex (Male, Female or Unknown)]]="Male",Backend!$C$6,IF(Table1[[#This Row],[Fetal Sex (Male, Female or Unknown)]]="Female",Backend!$C$7,IF(Table1[[#This Row],[Fetal Sex (Male, Female or Unknown)]]="Unknown",Backend!$C$8,"Error"))),"")</f>
        <v/>
      </c>
      <c r="F3471" s="8" t="str">
        <f>IF(Table1[[#This Row],[Is Data Valid]]=TRUE,EXP(0.578+0.332*((Table1[[#This Row],[Gestation (days)]]+0.5)/7)-0.00354*((Table1[[#This Row],[Gestation (days)]]+0.5)/7)^2)*Table1[[#This Row],[BW40_3705]],"")</f>
        <v/>
      </c>
      <c r="G3471" s="2" t="str">
        <f>IF(Table1[[#This Row],[Is Data Valid]]=TRUE,((Table1[[#This Row],[Birthweight (grams)]]/Table1[[#This Row],[BW_GA]])-1)/(Backend!$B$4/100*Table1[[#This Row],[BW40_3705]]),"")</f>
        <v/>
      </c>
      <c r="H3471" s="7" t="str">
        <f>IF(Table1[[#This Row],[Is Data Valid]]=TRUE,((Table1[[#This Row],[Birthweight (grams)]]*0.9/Table1[[#This Row],[BW_GA]])-1)/(Backend!$B$4/100*Table1[[#This Row],[BW40_3705]]),"")</f>
        <v/>
      </c>
      <c r="I3471" s="7" t="str">
        <f>IF(Table1[[#This Row],[Is Data Valid]]=TRUE,((Table1[[#This Row],[Birthweight (grams)]]*1.1/Table1[[#This Row],[BW_GA]])-1)/(Backend!$B$4/100*Table1[[#This Row],[BW40_3705]]),"")</f>
        <v/>
      </c>
      <c r="J3471" s="7" t="str">
        <f>IF(Table1[[#This Row],[Is Data Valid]]=TRUE,_xlfn.NORM.S.DIST(Table1[[#This Row],[Birthweight Z-Score]],TRUE)*100,"")</f>
        <v/>
      </c>
      <c r="K3471" s="7" t="str">
        <f>IF(Table1[[#This Row],[Is Data Valid]]=TRUE,_xlfn.NORM.S.DIST(Table1[[#This Row],[Birthweight Z-Score (BW-10%)]],TRUE)*100,"")</f>
        <v/>
      </c>
      <c r="L3471" s="7" t="str">
        <f>IF(Table1[[#This Row],[Is Data Valid]]=TRUE,_xlfn.NORM.S.DIST(Table1[[#This Row],[Birthweight Z-Score (BW+10%)]],TRUE)*100,"")</f>
        <v/>
      </c>
    </row>
    <row r="3472" spans="1:12" x14ac:dyDescent="0.35">
      <c r="A3472" s="3"/>
      <c r="B3472" s="2"/>
      <c r="C3472" s="2"/>
      <c r="D3472" s="2" t="b">
        <f>IF(AND(NOT(ISBLANK(Table1[[#This Row],[Fetal Sex (Male, Female or Unknown)]])),ISNUMBER(Table1[[#This Row],[Birthweight (grams)]]),ISNUMBER(Table1[[#This Row],[Gestation (days)]])),TRUE,FALSE)</f>
        <v>0</v>
      </c>
      <c r="E3472" s="2" t="str">
        <f>IF(Table1[[#This Row],[Is Data Valid]]=TRUE,IF(Table1[[#This Row],[Fetal Sex (Male, Female or Unknown)]]="Male",Backend!$C$6,IF(Table1[[#This Row],[Fetal Sex (Male, Female or Unknown)]]="Female",Backend!$C$7,IF(Table1[[#This Row],[Fetal Sex (Male, Female or Unknown)]]="Unknown",Backend!$C$8,"Error"))),"")</f>
        <v/>
      </c>
      <c r="F3472" s="8" t="str">
        <f>IF(Table1[[#This Row],[Is Data Valid]]=TRUE,EXP(0.578+0.332*((Table1[[#This Row],[Gestation (days)]]+0.5)/7)-0.00354*((Table1[[#This Row],[Gestation (days)]]+0.5)/7)^2)*Table1[[#This Row],[BW40_3705]],"")</f>
        <v/>
      </c>
      <c r="G3472" s="2" t="str">
        <f>IF(Table1[[#This Row],[Is Data Valid]]=TRUE,((Table1[[#This Row],[Birthweight (grams)]]/Table1[[#This Row],[BW_GA]])-1)/(Backend!$B$4/100*Table1[[#This Row],[BW40_3705]]),"")</f>
        <v/>
      </c>
      <c r="H3472" s="7" t="str">
        <f>IF(Table1[[#This Row],[Is Data Valid]]=TRUE,((Table1[[#This Row],[Birthweight (grams)]]*0.9/Table1[[#This Row],[BW_GA]])-1)/(Backend!$B$4/100*Table1[[#This Row],[BW40_3705]]),"")</f>
        <v/>
      </c>
      <c r="I3472" s="7" t="str">
        <f>IF(Table1[[#This Row],[Is Data Valid]]=TRUE,((Table1[[#This Row],[Birthweight (grams)]]*1.1/Table1[[#This Row],[BW_GA]])-1)/(Backend!$B$4/100*Table1[[#This Row],[BW40_3705]]),"")</f>
        <v/>
      </c>
      <c r="J3472" s="7" t="str">
        <f>IF(Table1[[#This Row],[Is Data Valid]]=TRUE,_xlfn.NORM.S.DIST(Table1[[#This Row],[Birthweight Z-Score]],TRUE)*100,"")</f>
        <v/>
      </c>
      <c r="K3472" s="7" t="str">
        <f>IF(Table1[[#This Row],[Is Data Valid]]=TRUE,_xlfn.NORM.S.DIST(Table1[[#This Row],[Birthweight Z-Score (BW-10%)]],TRUE)*100,"")</f>
        <v/>
      </c>
      <c r="L3472" s="7" t="str">
        <f>IF(Table1[[#This Row],[Is Data Valid]]=TRUE,_xlfn.NORM.S.DIST(Table1[[#This Row],[Birthweight Z-Score (BW+10%)]],TRUE)*100,"")</f>
        <v/>
      </c>
    </row>
    <row r="3473" spans="1:12" x14ac:dyDescent="0.35">
      <c r="A3473" s="3"/>
      <c r="B3473" s="2"/>
      <c r="C3473" s="2"/>
      <c r="D3473" s="2" t="b">
        <f>IF(AND(NOT(ISBLANK(Table1[[#This Row],[Fetal Sex (Male, Female or Unknown)]])),ISNUMBER(Table1[[#This Row],[Birthweight (grams)]]),ISNUMBER(Table1[[#This Row],[Gestation (days)]])),TRUE,FALSE)</f>
        <v>0</v>
      </c>
      <c r="E3473" s="2" t="str">
        <f>IF(Table1[[#This Row],[Is Data Valid]]=TRUE,IF(Table1[[#This Row],[Fetal Sex (Male, Female or Unknown)]]="Male",Backend!$C$6,IF(Table1[[#This Row],[Fetal Sex (Male, Female or Unknown)]]="Female",Backend!$C$7,IF(Table1[[#This Row],[Fetal Sex (Male, Female or Unknown)]]="Unknown",Backend!$C$8,"Error"))),"")</f>
        <v/>
      </c>
      <c r="F3473" s="8" t="str">
        <f>IF(Table1[[#This Row],[Is Data Valid]]=TRUE,EXP(0.578+0.332*((Table1[[#This Row],[Gestation (days)]]+0.5)/7)-0.00354*((Table1[[#This Row],[Gestation (days)]]+0.5)/7)^2)*Table1[[#This Row],[BW40_3705]],"")</f>
        <v/>
      </c>
      <c r="G3473" s="2" t="str">
        <f>IF(Table1[[#This Row],[Is Data Valid]]=TRUE,((Table1[[#This Row],[Birthweight (grams)]]/Table1[[#This Row],[BW_GA]])-1)/(Backend!$B$4/100*Table1[[#This Row],[BW40_3705]]),"")</f>
        <v/>
      </c>
      <c r="H3473" s="7" t="str">
        <f>IF(Table1[[#This Row],[Is Data Valid]]=TRUE,((Table1[[#This Row],[Birthweight (grams)]]*0.9/Table1[[#This Row],[BW_GA]])-1)/(Backend!$B$4/100*Table1[[#This Row],[BW40_3705]]),"")</f>
        <v/>
      </c>
      <c r="I3473" s="7" t="str">
        <f>IF(Table1[[#This Row],[Is Data Valid]]=TRUE,((Table1[[#This Row],[Birthweight (grams)]]*1.1/Table1[[#This Row],[BW_GA]])-1)/(Backend!$B$4/100*Table1[[#This Row],[BW40_3705]]),"")</f>
        <v/>
      </c>
      <c r="J3473" s="7" t="str">
        <f>IF(Table1[[#This Row],[Is Data Valid]]=TRUE,_xlfn.NORM.S.DIST(Table1[[#This Row],[Birthweight Z-Score]],TRUE)*100,"")</f>
        <v/>
      </c>
      <c r="K3473" s="7" t="str">
        <f>IF(Table1[[#This Row],[Is Data Valid]]=TRUE,_xlfn.NORM.S.DIST(Table1[[#This Row],[Birthweight Z-Score (BW-10%)]],TRUE)*100,"")</f>
        <v/>
      </c>
      <c r="L3473" s="7" t="str">
        <f>IF(Table1[[#This Row],[Is Data Valid]]=TRUE,_xlfn.NORM.S.DIST(Table1[[#This Row],[Birthweight Z-Score (BW+10%)]],TRUE)*100,"")</f>
        <v/>
      </c>
    </row>
    <row r="3474" spans="1:12" x14ac:dyDescent="0.35">
      <c r="A3474" s="3"/>
      <c r="B3474" s="2"/>
      <c r="C3474" s="2"/>
      <c r="D3474" s="2" t="b">
        <f>IF(AND(NOT(ISBLANK(Table1[[#This Row],[Fetal Sex (Male, Female or Unknown)]])),ISNUMBER(Table1[[#This Row],[Birthweight (grams)]]),ISNUMBER(Table1[[#This Row],[Gestation (days)]])),TRUE,FALSE)</f>
        <v>0</v>
      </c>
      <c r="E3474" s="2" t="str">
        <f>IF(Table1[[#This Row],[Is Data Valid]]=TRUE,IF(Table1[[#This Row],[Fetal Sex (Male, Female or Unknown)]]="Male",Backend!$C$6,IF(Table1[[#This Row],[Fetal Sex (Male, Female or Unknown)]]="Female",Backend!$C$7,IF(Table1[[#This Row],[Fetal Sex (Male, Female or Unknown)]]="Unknown",Backend!$C$8,"Error"))),"")</f>
        <v/>
      </c>
      <c r="F3474" s="8" t="str">
        <f>IF(Table1[[#This Row],[Is Data Valid]]=TRUE,EXP(0.578+0.332*((Table1[[#This Row],[Gestation (days)]]+0.5)/7)-0.00354*((Table1[[#This Row],[Gestation (days)]]+0.5)/7)^2)*Table1[[#This Row],[BW40_3705]],"")</f>
        <v/>
      </c>
      <c r="G3474" s="2" t="str">
        <f>IF(Table1[[#This Row],[Is Data Valid]]=TRUE,((Table1[[#This Row],[Birthweight (grams)]]/Table1[[#This Row],[BW_GA]])-1)/(Backend!$B$4/100*Table1[[#This Row],[BW40_3705]]),"")</f>
        <v/>
      </c>
      <c r="H3474" s="7" t="str">
        <f>IF(Table1[[#This Row],[Is Data Valid]]=TRUE,((Table1[[#This Row],[Birthweight (grams)]]*0.9/Table1[[#This Row],[BW_GA]])-1)/(Backend!$B$4/100*Table1[[#This Row],[BW40_3705]]),"")</f>
        <v/>
      </c>
      <c r="I3474" s="7" t="str">
        <f>IF(Table1[[#This Row],[Is Data Valid]]=TRUE,((Table1[[#This Row],[Birthweight (grams)]]*1.1/Table1[[#This Row],[BW_GA]])-1)/(Backend!$B$4/100*Table1[[#This Row],[BW40_3705]]),"")</f>
        <v/>
      </c>
      <c r="J3474" s="7" t="str">
        <f>IF(Table1[[#This Row],[Is Data Valid]]=TRUE,_xlfn.NORM.S.DIST(Table1[[#This Row],[Birthweight Z-Score]],TRUE)*100,"")</f>
        <v/>
      </c>
      <c r="K3474" s="7" t="str">
        <f>IF(Table1[[#This Row],[Is Data Valid]]=TRUE,_xlfn.NORM.S.DIST(Table1[[#This Row],[Birthweight Z-Score (BW-10%)]],TRUE)*100,"")</f>
        <v/>
      </c>
      <c r="L3474" s="7" t="str">
        <f>IF(Table1[[#This Row],[Is Data Valid]]=TRUE,_xlfn.NORM.S.DIST(Table1[[#This Row],[Birthweight Z-Score (BW+10%)]],TRUE)*100,"")</f>
        <v/>
      </c>
    </row>
    <row r="3475" spans="1:12" x14ac:dyDescent="0.35">
      <c r="A3475" s="3"/>
      <c r="B3475" s="2"/>
      <c r="C3475" s="2"/>
      <c r="D3475" s="2" t="b">
        <f>IF(AND(NOT(ISBLANK(Table1[[#This Row],[Fetal Sex (Male, Female or Unknown)]])),ISNUMBER(Table1[[#This Row],[Birthweight (grams)]]),ISNUMBER(Table1[[#This Row],[Gestation (days)]])),TRUE,FALSE)</f>
        <v>0</v>
      </c>
      <c r="E3475" s="2" t="str">
        <f>IF(Table1[[#This Row],[Is Data Valid]]=TRUE,IF(Table1[[#This Row],[Fetal Sex (Male, Female or Unknown)]]="Male",Backend!$C$6,IF(Table1[[#This Row],[Fetal Sex (Male, Female or Unknown)]]="Female",Backend!$C$7,IF(Table1[[#This Row],[Fetal Sex (Male, Female or Unknown)]]="Unknown",Backend!$C$8,"Error"))),"")</f>
        <v/>
      </c>
      <c r="F3475" s="8" t="str">
        <f>IF(Table1[[#This Row],[Is Data Valid]]=TRUE,EXP(0.578+0.332*((Table1[[#This Row],[Gestation (days)]]+0.5)/7)-0.00354*((Table1[[#This Row],[Gestation (days)]]+0.5)/7)^2)*Table1[[#This Row],[BW40_3705]],"")</f>
        <v/>
      </c>
      <c r="G3475" s="2" t="str">
        <f>IF(Table1[[#This Row],[Is Data Valid]]=TRUE,((Table1[[#This Row],[Birthweight (grams)]]/Table1[[#This Row],[BW_GA]])-1)/(Backend!$B$4/100*Table1[[#This Row],[BW40_3705]]),"")</f>
        <v/>
      </c>
      <c r="H3475" s="7" t="str">
        <f>IF(Table1[[#This Row],[Is Data Valid]]=TRUE,((Table1[[#This Row],[Birthweight (grams)]]*0.9/Table1[[#This Row],[BW_GA]])-1)/(Backend!$B$4/100*Table1[[#This Row],[BW40_3705]]),"")</f>
        <v/>
      </c>
      <c r="I3475" s="7" t="str">
        <f>IF(Table1[[#This Row],[Is Data Valid]]=TRUE,((Table1[[#This Row],[Birthweight (grams)]]*1.1/Table1[[#This Row],[BW_GA]])-1)/(Backend!$B$4/100*Table1[[#This Row],[BW40_3705]]),"")</f>
        <v/>
      </c>
      <c r="J3475" s="7" t="str">
        <f>IF(Table1[[#This Row],[Is Data Valid]]=TRUE,_xlfn.NORM.S.DIST(Table1[[#This Row],[Birthweight Z-Score]],TRUE)*100,"")</f>
        <v/>
      </c>
      <c r="K3475" s="7" t="str">
        <f>IF(Table1[[#This Row],[Is Data Valid]]=TRUE,_xlfn.NORM.S.DIST(Table1[[#This Row],[Birthweight Z-Score (BW-10%)]],TRUE)*100,"")</f>
        <v/>
      </c>
      <c r="L3475" s="7" t="str">
        <f>IF(Table1[[#This Row],[Is Data Valid]]=TRUE,_xlfn.NORM.S.DIST(Table1[[#This Row],[Birthweight Z-Score (BW+10%)]],TRUE)*100,"")</f>
        <v/>
      </c>
    </row>
    <row r="3476" spans="1:12" x14ac:dyDescent="0.35">
      <c r="A3476" s="3"/>
      <c r="B3476" s="2"/>
      <c r="C3476" s="2"/>
      <c r="D3476" s="2" t="b">
        <f>IF(AND(NOT(ISBLANK(Table1[[#This Row],[Fetal Sex (Male, Female or Unknown)]])),ISNUMBER(Table1[[#This Row],[Birthweight (grams)]]),ISNUMBER(Table1[[#This Row],[Gestation (days)]])),TRUE,FALSE)</f>
        <v>0</v>
      </c>
      <c r="E3476" s="2" t="str">
        <f>IF(Table1[[#This Row],[Is Data Valid]]=TRUE,IF(Table1[[#This Row],[Fetal Sex (Male, Female or Unknown)]]="Male",Backend!$C$6,IF(Table1[[#This Row],[Fetal Sex (Male, Female or Unknown)]]="Female",Backend!$C$7,IF(Table1[[#This Row],[Fetal Sex (Male, Female or Unknown)]]="Unknown",Backend!$C$8,"Error"))),"")</f>
        <v/>
      </c>
      <c r="F3476" s="8" t="str">
        <f>IF(Table1[[#This Row],[Is Data Valid]]=TRUE,EXP(0.578+0.332*((Table1[[#This Row],[Gestation (days)]]+0.5)/7)-0.00354*((Table1[[#This Row],[Gestation (days)]]+0.5)/7)^2)*Table1[[#This Row],[BW40_3705]],"")</f>
        <v/>
      </c>
      <c r="G3476" s="2" t="str">
        <f>IF(Table1[[#This Row],[Is Data Valid]]=TRUE,((Table1[[#This Row],[Birthweight (grams)]]/Table1[[#This Row],[BW_GA]])-1)/(Backend!$B$4/100*Table1[[#This Row],[BW40_3705]]),"")</f>
        <v/>
      </c>
      <c r="H3476" s="7" t="str">
        <f>IF(Table1[[#This Row],[Is Data Valid]]=TRUE,((Table1[[#This Row],[Birthweight (grams)]]*0.9/Table1[[#This Row],[BW_GA]])-1)/(Backend!$B$4/100*Table1[[#This Row],[BW40_3705]]),"")</f>
        <v/>
      </c>
      <c r="I3476" s="7" t="str">
        <f>IF(Table1[[#This Row],[Is Data Valid]]=TRUE,((Table1[[#This Row],[Birthweight (grams)]]*1.1/Table1[[#This Row],[BW_GA]])-1)/(Backend!$B$4/100*Table1[[#This Row],[BW40_3705]]),"")</f>
        <v/>
      </c>
      <c r="J3476" s="7" t="str">
        <f>IF(Table1[[#This Row],[Is Data Valid]]=TRUE,_xlfn.NORM.S.DIST(Table1[[#This Row],[Birthweight Z-Score]],TRUE)*100,"")</f>
        <v/>
      </c>
      <c r="K3476" s="7" t="str">
        <f>IF(Table1[[#This Row],[Is Data Valid]]=TRUE,_xlfn.NORM.S.DIST(Table1[[#This Row],[Birthweight Z-Score (BW-10%)]],TRUE)*100,"")</f>
        <v/>
      </c>
      <c r="L3476" s="7" t="str">
        <f>IF(Table1[[#This Row],[Is Data Valid]]=TRUE,_xlfn.NORM.S.DIST(Table1[[#This Row],[Birthweight Z-Score (BW+10%)]],TRUE)*100,"")</f>
        <v/>
      </c>
    </row>
    <row r="3477" spans="1:12" x14ac:dyDescent="0.35">
      <c r="A3477" s="3"/>
      <c r="B3477" s="2"/>
      <c r="C3477" s="2"/>
      <c r="D3477" s="2" t="b">
        <f>IF(AND(NOT(ISBLANK(Table1[[#This Row],[Fetal Sex (Male, Female or Unknown)]])),ISNUMBER(Table1[[#This Row],[Birthweight (grams)]]),ISNUMBER(Table1[[#This Row],[Gestation (days)]])),TRUE,FALSE)</f>
        <v>0</v>
      </c>
      <c r="E3477" s="2" t="str">
        <f>IF(Table1[[#This Row],[Is Data Valid]]=TRUE,IF(Table1[[#This Row],[Fetal Sex (Male, Female or Unknown)]]="Male",Backend!$C$6,IF(Table1[[#This Row],[Fetal Sex (Male, Female or Unknown)]]="Female",Backend!$C$7,IF(Table1[[#This Row],[Fetal Sex (Male, Female or Unknown)]]="Unknown",Backend!$C$8,"Error"))),"")</f>
        <v/>
      </c>
      <c r="F3477" s="8" t="str">
        <f>IF(Table1[[#This Row],[Is Data Valid]]=TRUE,EXP(0.578+0.332*((Table1[[#This Row],[Gestation (days)]]+0.5)/7)-0.00354*((Table1[[#This Row],[Gestation (days)]]+0.5)/7)^2)*Table1[[#This Row],[BW40_3705]],"")</f>
        <v/>
      </c>
      <c r="G3477" s="2" t="str">
        <f>IF(Table1[[#This Row],[Is Data Valid]]=TRUE,((Table1[[#This Row],[Birthweight (grams)]]/Table1[[#This Row],[BW_GA]])-1)/(Backend!$B$4/100*Table1[[#This Row],[BW40_3705]]),"")</f>
        <v/>
      </c>
      <c r="H3477" s="7" t="str">
        <f>IF(Table1[[#This Row],[Is Data Valid]]=TRUE,((Table1[[#This Row],[Birthweight (grams)]]*0.9/Table1[[#This Row],[BW_GA]])-1)/(Backend!$B$4/100*Table1[[#This Row],[BW40_3705]]),"")</f>
        <v/>
      </c>
      <c r="I3477" s="7" t="str">
        <f>IF(Table1[[#This Row],[Is Data Valid]]=TRUE,((Table1[[#This Row],[Birthweight (grams)]]*1.1/Table1[[#This Row],[BW_GA]])-1)/(Backend!$B$4/100*Table1[[#This Row],[BW40_3705]]),"")</f>
        <v/>
      </c>
      <c r="J3477" s="7" t="str">
        <f>IF(Table1[[#This Row],[Is Data Valid]]=TRUE,_xlfn.NORM.S.DIST(Table1[[#This Row],[Birthweight Z-Score]],TRUE)*100,"")</f>
        <v/>
      </c>
      <c r="K3477" s="7" t="str">
        <f>IF(Table1[[#This Row],[Is Data Valid]]=TRUE,_xlfn.NORM.S.DIST(Table1[[#This Row],[Birthweight Z-Score (BW-10%)]],TRUE)*100,"")</f>
        <v/>
      </c>
      <c r="L3477" s="7" t="str">
        <f>IF(Table1[[#This Row],[Is Data Valid]]=TRUE,_xlfn.NORM.S.DIST(Table1[[#This Row],[Birthweight Z-Score (BW+10%)]],TRUE)*100,"")</f>
        <v/>
      </c>
    </row>
    <row r="3478" spans="1:12" x14ac:dyDescent="0.35">
      <c r="A3478" s="3"/>
      <c r="B3478" s="2"/>
      <c r="C3478" s="2"/>
      <c r="D3478" s="2" t="b">
        <f>IF(AND(NOT(ISBLANK(Table1[[#This Row],[Fetal Sex (Male, Female or Unknown)]])),ISNUMBER(Table1[[#This Row],[Birthweight (grams)]]),ISNUMBER(Table1[[#This Row],[Gestation (days)]])),TRUE,FALSE)</f>
        <v>0</v>
      </c>
      <c r="E3478" s="2" t="str">
        <f>IF(Table1[[#This Row],[Is Data Valid]]=TRUE,IF(Table1[[#This Row],[Fetal Sex (Male, Female or Unknown)]]="Male",Backend!$C$6,IF(Table1[[#This Row],[Fetal Sex (Male, Female or Unknown)]]="Female",Backend!$C$7,IF(Table1[[#This Row],[Fetal Sex (Male, Female or Unknown)]]="Unknown",Backend!$C$8,"Error"))),"")</f>
        <v/>
      </c>
      <c r="F3478" s="8" t="str">
        <f>IF(Table1[[#This Row],[Is Data Valid]]=TRUE,EXP(0.578+0.332*((Table1[[#This Row],[Gestation (days)]]+0.5)/7)-0.00354*((Table1[[#This Row],[Gestation (days)]]+0.5)/7)^2)*Table1[[#This Row],[BW40_3705]],"")</f>
        <v/>
      </c>
      <c r="G3478" s="2" t="str">
        <f>IF(Table1[[#This Row],[Is Data Valid]]=TRUE,((Table1[[#This Row],[Birthweight (grams)]]/Table1[[#This Row],[BW_GA]])-1)/(Backend!$B$4/100*Table1[[#This Row],[BW40_3705]]),"")</f>
        <v/>
      </c>
      <c r="H3478" s="7" t="str">
        <f>IF(Table1[[#This Row],[Is Data Valid]]=TRUE,((Table1[[#This Row],[Birthweight (grams)]]*0.9/Table1[[#This Row],[BW_GA]])-1)/(Backend!$B$4/100*Table1[[#This Row],[BW40_3705]]),"")</f>
        <v/>
      </c>
      <c r="I3478" s="7" t="str">
        <f>IF(Table1[[#This Row],[Is Data Valid]]=TRUE,((Table1[[#This Row],[Birthweight (grams)]]*1.1/Table1[[#This Row],[BW_GA]])-1)/(Backend!$B$4/100*Table1[[#This Row],[BW40_3705]]),"")</f>
        <v/>
      </c>
      <c r="J3478" s="7" t="str">
        <f>IF(Table1[[#This Row],[Is Data Valid]]=TRUE,_xlfn.NORM.S.DIST(Table1[[#This Row],[Birthweight Z-Score]],TRUE)*100,"")</f>
        <v/>
      </c>
      <c r="K3478" s="7" t="str">
        <f>IF(Table1[[#This Row],[Is Data Valid]]=TRUE,_xlfn.NORM.S.DIST(Table1[[#This Row],[Birthweight Z-Score (BW-10%)]],TRUE)*100,"")</f>
        <v/>
      </c>
      <c r="L3478" s="7" t="str">
        <f>IF(Table1[[#This Row],[Is Data Valid]]=TRUE,_xlfn.NORM.S.DIST(Table1[[#This Row],[Birthweight Z-Score (BW+10%)]],TRUE)*100,"")</f>
        <v/>
      </c>
    </row>
    <row r="3479" spans="1:12" x14ac:dyDescent="0.35">
      <c r="A3479" s="3"/>
      <c r="B3479" s="2"/>
      <c r="C3479" s="2"/>
      <c r="D3479" s="2" t="b">
        <f>IF(AND(NOT(ISBLANK(Table1[[#This Row],[Fetal Sex (Male, Female or Unknown)]])),ISNUMBER(Table1[[#This Row],[Birthweight (grams)]]),ISNUMBER(Table1[[#This Row],[Gestation (days)]])),TRUE,FALSE)</f>
        <v>0</v>
      </c>
      <c r="E3479" s="2" t="str">
        <f>IF(Table1[[#This Row],[Is Data Valid]]=TRUE,IF(Table1[[#This Row],[Fetal Sex (Male, Female or Unknown)]]="Male",Backend!$C$6,IF(Table1[[#This Row],[Fetal Sex (Male, Female or Unknown)]]="Female",Backend!$C$7,IF(Table1[[#This Row],[Fetal Sex (Male, Female or Unknown)]]="Unknown",Backend!$C$8,"Error"))),"")</f>
        <v/>
      </c>
      <c r="F3479" s="8" t="str">
        <f>IF(Table1[[#This Row],[Is Data Valid]]=TRUE,EXP(0.578+0.332*((Table1[[#This Row],[Gestation (days)]]+0.5)/7)-0.00354*((Table1[[#This Row],[Gestation (days)]]+0.5)/7)^2)*Table1[[#This Row],[BW40_3705]],"")</f>
        <v/>
      </c>
      <c r="G3479" s="2" t="str">
        <f>IF(Table1[[#This Row],[Is Data Valid]]=TRUE,((Table1[[#This Row],[Birthweight (grams)]]/Table1[[#This Row],[BW_GA]])-1)/(Backend!$B$4/100*Table1[[#This Row],[BW40_3705]]),"")</f>
        <v/>
      </c>
      <c r="H3479" s="7" t="str">
        <f>IF(Table1[[#This Row],[Is Data Valid]]=TRUE,((Table1[[#This Row],[Birthweight (grams)]]*0.9/Table1[[#This Row],[BW_GA]])-1)/(Backend!$B$4/100*Table1[[#This Row],[BW40_3705]]),"")</f>
        <v/>
      </c>
      <c r="I3479" s="7" t="str">
        <f>IF(Table1[[#This Row],[Is Data Valid]]=TRUE,((Table1[[#This Row],[Birthweight (grams)]]*1.1/Table1[[#This Row],[BW_GA]])-1)/(Backend!$B$4/100*Table1[[#This Row],[BW40_3705]]),"")</f>
        <v/>
      </c>
      <c r="J3479" s="7" t="str">
        <f>IF(Table1[[#This Row],[Is Data Valid]]=TRUE,_xlfn.NORM.S.DIST(Table1[[#This Row],[Birthweight Z-Score]],TRUE)*100,"")</f>
        <v/>
      </c>
      <c r="K3479" s="7" t="str">
        <f>IF(Table1[[#This Row],[Is Data Valid]]=TRUE,_xlfn.NORM.S.DIST(Table1[[#This Row],[Birthweight Z-Score (BW-10%)]],TRUE)*100,"")</f>
        <v/>
      </c>
      <c r="L3479" s="7" t="str">
        <f>IF(Table1[[#This Row],[Is Data Valid]]=TRUE,_xlfn.NORM.S.DIST(Table1[[#This Row],[Birthweight Z-Score (BW+10%)]],TRUE)*100,"")</f>
        <v/>
      </c>
    </row>
    <row r="3480" spans="1:12" x14ac:dyDescent="0.35">
      <c r="A3480" s="3"/>
      <c r="B3480" s="2"/>
      <c r="C3480" s="2"/>
      <c r="D3480" s="2" t="b">
        <f>IF(AND(NOT(ISBLANK(Table1[[#This Row],[Fetal Sex (Male, Female or Unknown)]])),ISNUMBER(Table1[[#This Row],[Birthweight (grams)]]),ISNUMBER(Table1[[#This Row],[Gestation (days)]])),TRUE,FALSE)</f>
        <v>0</v>
      </c>
      <c r="E3480" s="2" t="str">
        <f>IF(Table1[[#This Row],[Is Data Valid]]=TRUE,IF(Table1[[#This Row],[Fetal Sex (Male, Female or Unknown)]]="Male",Backend!$C$6,IF(Table1[[#This Row],[Fetal Sex (Male, Female or Unknown)]]="Female",Backend!$C$7,IF(Table1[[#This Row],[Fetal Sex (Male, Female or Unknown)]]="Unknown",Backend!$C$8,"Error"))),"")</f>
        <v/>
      </c>
      <c r="F3480" s="8" t="str">
        <f>IF(Table1[[#This Row],[Is Data Valid]]=TRUE,EXP(0.578+0.332*((Table1[[#This Row],[Gestation (days)]]+0.5)/7)-0.00354*((Table1[[#This Row],[Gestation (days)]]+0.5)/7)^2)*Table1[[#This Row],[BW40_3705]],"")</f>
        <v/>
      </c>
      <c r="G3480" s="2" t="str">
        <f>IF(Table1[[#This Row],[Is Data Valid]]=TRUE,((Table1[[#This Row],[Birthweight (grams)]]/Table1[[#This Row],[BW_GA]])-1)/(Backend!$B$4/100*Table1[[#This Row],[BW40_3705]]),"")</f>
        <v/>
      </c>
      <c r="H3480" s="7" t="str">
        <f>IF(Table1[[#This Row],[Is Data Valid]]=TRUE,((Table1[[#This Row],[Birthweight (grams)]]*0.9/Table1[[#This Row],[BW_GA]])-1)/(Backend!$B$4/100*Table1[[#This Row],[BW40_3705]]),"")</f>
        <v/>
      </c>
      <c r="I3480" s="7" t="str">
        <f>IF(Table1[[#This Row],[Is Data Valid]]=TRUE,((Table1[[#This Row],[Birthweight (grams)]]*1.1/Table1[[#This Row],[BW_GA]])-1)/(Backend!$B$4/100*Table1[[#This Row],[BW40_3705]]),"")</f>
        <v/>
      </c>
      <c r="J3480" s="7" t="str">
        <f>IF(Table1[[#This Row],[Is Data Valid]]=TRUE,_xlfn.NORM.S.DIST(Table1[[#This Row],[Birthweight Z-Score]],TRUE)*100,"")</f>
        <v/>
      </c>
      <c r="K3480" s="7" t="str">
        <f>IF(Table1[[#This Row],[Is Data Valid]]=TRUE,_xlfn.NORM.S.DIST(Table1[[#This Row],[Birthweight Z-Score (BW-10%)]],TRUE)*100,"")</f>
        <v/>
      </c>
      <c r="L3480" s="7" t="str">
        <f>IF(Table1[[#This Row],[Is Data Valid]]=TRUE,_xlfn.NORM.S.DIST(Table1[[#This Row],[Birthweight Z-Score (BW+10%)]],TRUE)*100,"")</f>
        <v/>
      </c>
    </row>
    <row r="3481" spans="1:12" x14ac:dyDescent="0.35">
      <c r="A3481" s="3"/>
      <c r="B3481" s="2"/>
      <c r="C3481" s="2"/>
      <c r="D3481" s="2" t="b">
        <f>IF(AND(NOT(ISBLANK(Table1[[#This Row],[Fetal Sex (Male, Female or Unknown)]])),ISNUMBER(Table1[[#This Row],[Birthweight (grams)]]),ISNUMBER(Table1[[#This Row],[Gestation (days)]])),TRUE,FALSE)</f>
        <v>0</v>
      </c>
      <c r="E3481" s="2" t="str">
        <f>IF(Table1[[#This Row],[Is Data Valid]]=TRUE,IF(Table1[[#This Row],[Fetal Sex (Male, Female or Unknown)]]="Male",Backend!$C$6,IF(Table1[[#This Row],[Fetal Sex (Male, Female or Unknown)]]="Female",Backend!$C$7,IF(Table1[[#This Row],[Fetal Sex (Male, Female or Unknown)]]="Unknown",Backend!$C$8,"Error"))),"")</f>
        <v/>
      </c>
      <c r="F3481" s="8" t="str">
        <f>IF(Table1[[#This Row],[Is Data Valid]]=TRUE,EXP(0.578+0.332*((Table1[[#This Row],[Gestation (days)]]+0.5)/7)-0.00354*((Table1[[#This Row],[Gestation (days)]]+0.5)/7)^2)*Table1[[#This Row],[BW40_3705]],"")</f>
        <v/>
      </c>
      <c r="G3481" s="2" t="str">
        <f>IF(Table1[[#This Row],[Is Data Valid]]=TRUE,((Table1[[#This Row],[Birthweight (grams)]]/Table1[[#This Row],[BW_GA]])-1)/(Backend!$B$4/100*Table1[[#This Row],[BW40_3705]]),"")</f>
        <v/>
      </c>
      <c r="H3481" s="7" t="str">
        <f>IF(Table1[[#This Row],[Is Data Valid]]=TRUE,((Table1[[#This Row],[Birthweight (grams)]]*0.9/Table1[[#This Row],[BW_GA]])-1)/(Backend!$B$4/100*Table1[[#This Row],[BW40_3705]]),"")</f>
        <v/>
      </c>
      <c r="I3481" s="7" t="str">
        <f>IF(Table1[[#This Row],[Is Data Valid]]=TRUE,((Table1[[#This Row],[Birthweight (grams)]]*1.1/Table1[[#This Row],[BW_GA]])-1)/(Backend!$B$4/100*Table1[[#This Row],[BW40_3705]]),"")</f>
        <v/>
      </c>
      <c r="J3481" s="7" t="str">
        <f>IF(Table1[[#This Row],[Is Data Valid]]=TRUE,_xlfn.NORM.S.DIST(Table1[[#This Row],[Birthweight Z-Score]],TRUE)*100,"")</f>
        <v/>
      </c>
      <c r="K3481" s="7" t="str">
        <f>IF(Table1[[#This Row],[Is Data Valid]]=TRUE,_xlfn.NORM.S.DIST(Table1[[#This Row],[Birthweight Z-Score (BW-10%)]],TRUE)*100,"")</f>
        <v/>
      </c>
      <c r="L3481" s="7" t="str">
        <f>IF(Table1[[#This Row],[Is Data Valid]]=TRUE,_xlfn.NORM.S.DIST(Table1[[#This Row],[Birthweight Z-Score (BW+10%)]],TRUE)*100,"")</f>
        <v/>
      </c>
    </row>
    <row r="3482" spans="1:12" x14ac:dyDescent="0.35">
      <c r="A3482" s="3"/>
      <c r="B3482" s="2"/>
      <c r="C3482" s="2"/>
      <c r="D3482" s="2" t="b">
        <f>IF(AND(NOT(ISBLANK(Table1[[#This Row],[Fetal Sex (Male, Female or Unknown)]])),ISNUMBER(Table1[[#This Row],[Birthweight (grams)]]),ISNUMBER(Table1[[#This Row],[Gestation (days)]])),TRUE,FALSE)</f>
        <v>0</v>
      </c>
      <c r="E3482" s="2" t="str">
        <f>IF(Table1[[#This Row],[Is Data Valid]]=TRUE,IF(Table1[[#This Row],[Fetal Sex (Male, Female or Unknown)]]="Male",Backend!$C$6,IF(Table1[[#This Row],[Fetal Sex (Male, Female or Unknown)]]="Female",Backend!$C$7,IF(Table1[[#This Row],[Fetal Sex (Male, Female or Unknown)]]="Unknown",Backend!$C$8,"Error"))),"")</f>
        <v/>
      </c>
      <c r="F3482" s="8" t="str">
        <f>IF(Table1[[#This Row],[Is Data Valid]]=TRUE,EXP(0.578+0.332*((Table1[[#This Row],[Gestation (days)]]+0.5)/7)-0.00354*((Table1[[#This Row],[Gestation (days)]]+0.5)/7)^2)*Table1[[#This Row],[BW40_3705]],"")</f>
        <v/>
      </c>
      <c r="G3482" s="2" t="str">
        <f>IF(Table1[[#This Row],[Is Data Valid]]=TRUE,((Table1[[#This Row],[Birthweight (grams)]]/Table1[[#This Row],[BW_GA]])-1)/(Backend!$B$4/100*Table1[[#This Row],[BW40_3705]]),"")</f>
        <v/>
      </c>
      <c r="H3482" s="7" t="str">
        <f>IF(Table1[[#This Row],[Is Data Valid]]=TRUE,((Table1[[#This Row],[Birthweight (grams)]]*0.9/Table1[[#This Row],[BW_GA]])-1)/(Backend!$B$4/100*Table1[[#This Row],[BW40_3705]]),"")</f>
        <v/>
      </c>
      <c r="I3482" s="7" t="str">
        <f>IF(Table1[[#This Row],[Is Data Valid]]=TRUE,((Table1[[#This Row],[Birthweight (grams)]]*1.1/Table1[[#This Row],[BW_GA]])-1)/(Backend!$B$4/100*Table1[[#This Row],[BW40_3705]]),"")</f>
        <v/>
      </c>
      <c r="J3482" s="7" t="str">
        <f>IF(Table1[[#This Row],[Is Data Valid]]=TRUE,_xlfn.NORM.S.DIST(Table1[[#This Row],[Birthweight Z-Score]],TRUE)*100,"")</f>
        <v/>
      </c>
      <c r="K3482" s="7" t="str">
        <f>IF(Table1[[#This Row],[Is Data Valid]]=TRUE,_xlfn.NORM.S.DIST(Table1[[#This Row],[Birthweight Z-Score (BW-10%)]],TRUE)*100,"")</f>
        <v/>
      </c>
      <c r="L3482" s="7" t="str">
        <f>IF(Table1[[#This Row],[Is Data Valid]]=TRUE,_xlfn.NORM.S.DIST(Table1[[#This Row],[Birthweight Z-Score (BW+10%)]],TRUE)*100,"")</f>
        <v/>
      </c>
    </row>
    <row r="3483" spans="1:12" x14ac:dyDescent="0.35">
      <c r="A3483" s="3"/>
      <c r="B3483" s="2"/>
      <c r="C3483" s="2"/>
      <c r="D3483" s="2" t="b">
        <f>IF(AND(NOT(ISBLANK(Table1[[#This Row],[Fetal Sex (Male, Female or Unknown)]])),ISNUMBER(Table1[[#This Row],[Birthweight (grams)]]),ISNUMBER(Table1[[#This Row],[Gestation (days)]])),TRUE,FALSE)</f>
        <v>0</v>
      </c>
      <c r="E3483" s="2" t="str">
        <f>IF(Table1[[#This Row],[Is Data Valid]]=TRUE,IF(Table1[[#This Row],[Fetal Sex (Male, Female or Unknown)]]="Male",Backend!$C$6,IF(Table1[[#This Row],[Fetal Sex (Male, Female or Unknown)]]="Female",Backend!$C$7,IF(Table1[[#This Row],[Fetal Sex (Male, Female or Unknown)]]="Unknown",Backend!$C$8,"Error"))),"")</f>
        <v/>
      </c>
      <c r="F3483" s="8" t="str">
        <f>IF(Table1[[#This Row],[Is Data Valid]]=TRUE,EXP(0.578+0.332*((Table1[[#This Row],[Gestation (days)]]+0.5)/7)-0.00354*((Table1[[#This Row],[Gestation (days)]]+0.5)/7)^2)*Table1[[#This Row],[BW40_3705]],"")</f>
        <v/>
      </c>
      <c r="G3483" s="2" t="str">
        <f>IF(Table1[[#This Row],[Is Data Valid]]=TRUE,((Table1[[#This Row],[Birthweight (grams)]]/Table1[[#This Row],[BW_GA]])-1)/(Backend!$B$4/100*Table1[[#This Row],[BW40_3705]]),"")</f>
        <v/>
      </c>
      <c r="H3483" s="7" t="str">
        <f>IF(Table1[[#This Row],[Is Data Valid]]=TRUE,((Table1[[#This Row],[Birthweight (grams)]]*0.9/Table1[[#This Row],[BW_GA]])-1)/(Backend!$B$4/100*Table1[[#This Row],[BW40_3705]]),"")</f>
        <v/>
      </c>
      <c r="I3483" s="7" t="str">
        <f>IF(Table1[[#This Row],[Is Data Valid]]=TRUE,((Table1[[#This Row],[Birthweight (grams)]]*1.1/Table1[[#This Row],[BW_GA]])-1)/(Backend!$B$4/100*Table1[[#This Row],[BW40_3705]]),"")</f>
        <v/>
      </c>
      <c r="J3483" s="7" t="str">
        <f>IF(Table1[[#This Row],[Is Data Valid]]=TRUE,_xlfn.NORM.S.DIST(Table1[[#This Row],[Birthweight Z-Score]],TRUE)*100,"")</f>
        <v/>
      </c>
      <c r="K3483" s="7" t="str">
        <f>IF(Table1[[#This Row],[Is Data Valid]]=TRUE,_xlfn.NORM.S.DIST(Table1[[#This Row],[Birthweight Z-Score (BW-10%)]],TRUE)*100,"")</f>
        <v/>
      </c>
      <c r="L3483" s="7" t="str">
        <f>IF(Table1[[#This Row],[Is Data Valid]]=TRUE,_xlfn.NORM.S.DIST(Table1[[#This Row],[Birthweight Z-Score (BW+10%)]],TRUE)*100,"")</f>
        <v/>
      </c>
    </row>
    <row r="3484" spans="1:12" x14ac:dyDescent="0.35">
      <c r="A3484" s="3"/>
      <c r="B3484" s="2"/>
      <c r="C3484" s="2"/>
      <c r="D3484" s="2" t="b">
        <f>IF(AND(NOT(ISBLANK(Table1[[#This Row],[Fetal Sex (Male, Female or Unknown)]])),ISNUMBER(Table1[[#This Row],[Birthweight (grams)]]),ISNUMBER(Table1[[#This Row],[Gestation (days)]])),TRUE,FALSE)</f>
        <v>0</v>
      </c>
      <c r="E3484" s="2" t="str">
        <f>IF(Table1[[#This Row],[Is Data Valid]]=TRUE,IF(Table1[[#This Row],[Fetal Sex (Male, Female or Unknown)]]="Male",Backend!$C$6,IF(Table1[[#This Row],[Fetal Sex (Male, Female or Unknown)]]="Female",Backend!$C$7,IF(Table1[[#This Row],[Fetal Sex (Male, Female or Unknown)]]="Unknown",Backend!$C$8,"Error"))),"")</f>
        <v/>
      </c>
      <c r="F3484" s="8" t="str">
        <f>IF(Table1[[#This Row],[Is Data Valid]]=TRUE,EXP(0.578+0.332*((Table1[[#This Row],[Gestation (days)]]+0.5)/7)-0.00354*((Table1[[#This Row],[Gestation (days)]]+0.5)/7)^2)*Table1[[#This Row],[BW40_3705]],"")</f>
        <v/>
      </c>
      <c r="G3484" s="2" t="str">
        <f>IF(Table1[[#This Row],[Is Data Valid]]=TRUE,((Table1[[#This Row],[Birthweight (grams)]]/Table1[[#This Row],[BW_GA]])-1)/(Backend!$B$4/100*Table1[[#This Row],[BW40_3705]]),"")</f>
        <v/>
      </c>
      <c r="H3484" s="7" t="str">
        <f>IF(Table1[[#This Row],[Is Data Valid]]=TRUE,((Table1[[#This Row],[Birthweight (grams)]]*0.9/Table1[[#This Row],[BW_GA]])-1)/(Backend!$B$4/100*Table1[[#This Row],[BW40_3705]]),"")</f>
        <v/>
      </c>
      <c r="I3484" s="7" t="str">
        <f>IF(Table1[[#This Row],[Is Data Valid]]=TRUE,((Table1[[#This Row],[Birthweight (grams)]]*1.1/Table1[[#This Row],[BW_GA]])-1)/(Backend!$B$4/100*Table1[[#This Row],[BW40_3705]]),"")</f>
        <v/>
      </c>
      <c r="J3484" s="7" t="str">
        <f>IF(Table1[[#This Row],[Is Data Valid]]=TRUE,_xlfn.NORM.S.DIST(Table1[[#This Row],[Birthweight Z-Score]],TRUE)*100,"")</f>
        <v/>
      </c>
      <c r="K3484" s="7" t="str">
        <f>IF(Table1[[#This Row],[Is Data Valid]]=TRUE,_xlfn.NORM.S.DIST(Table1[[#This Row],[Birthweight Z-Score (BW-10%)]],TRUE)*100,"")</f>
        <v/>
      </c>
      <c r="L3484" s="7" t="str">
        <f>IF(Table1[[#This Row],[Is Data Valid]]=TRUE,_xlfn.NORM.S.DIST(Table1[[#This Row],[Birthweight Z-Score (BW+10%)]],TRUE)*100,"")</f>
        <v/>
      </c>
    </row>
    <row r="3485" spans="1:12" x14ac:dyDescent="0.35">
      <c r="A3485" s="3"/>
      <c r="B3485" s="2"/>
      <c r="C3485" s="2"/>
      <c r="D3485" s="2" t="b">
        <f>IF(AND(NOT(ISBLANK(Table1[[#This Row],[Fetal Sex (Male, Female or Unknown)]])),ISNUMBER(Table1[[#This Row],[Birthweight (grams)]]),ISNUMBER(Table1[[#This Row],[Gestation (days)]])),TRUE,FALSE)</f>
        <v>0</v>
      </c>
      <c r="E3485" s="2" t="str">
        <f>IF(Table1[[#This Row],[Is Data Valid]]=TRUE,IF(Table1[[#This Row],[Fetal Sex (Male, Female or Unknown)]]="Male",Backend!$C$6,IF(Table1[[#This Row],[Fetal Sex (Male, Female or Unknown)]]="Female",Backend!$C$7,IF(Table1[[#This Row],[Fetal Sex (Male, Female or Unknown)]]="Unknown",Backend!$C$8,"Error"))),"")</f>
        <v/>
      </c>
      <c r="F3485" s="8" t="str">
        <f>IF(Table1[[#This Row],[Is Data Valid]]=TRUE,EXP(0.578+0.332*((Table1[[#This Row],[Gestation (days)]]+0.5)/7)-0.00354*((Table1[[#This Row],[Gestation (days)]]+0.5)/7)^2)*Table1[[#This Row],[BW40_3705]],"")</f>
        <v/>
      </c>
      <c r="G3485" s="2" t="str">
        <f>IF(Table1[[#This Row],[Is Data Valid]]=TRUE,((Table1[[#This Row],[Birthweight (grams)]]/Table1[[#This Row],[BW_GA]])-1)/(Backend!$B$4/100*Table1[[#This Row],[BW40_3705]]),"")</f>
        <v/>
      </c>
      <c r="H3485" s="7" t="str">
        <f>IF(Table1[[#This Row],[Is Data Valid]]=TRUE,((Table1[[#This Row],[Birthweight (grams)]]*0.9/Table1[[#This Row],[BW_GA]])-1)/(Backend!$B$4/100*Table1[[#This Row],[BW40_3705]]),"")</f>
        <v/>
      </c>
      <c r="I3485" s="7" t="str">
        <f>IF(Table1[[#This Row],[Is Data Valid]]=TRUE,((Table1[[#This Row],[Birthweight (grams)]]*1.1/Table1[[#This Row],[BW_GA]])-1)/(Backend!$B$4/100*Table1[[#This Row],[BW40_3705]]),"")</f>
        <v/>
      </c>
      <c r="J3485" s="7" t="str">
        <f>IF(Table1[[#This Row],[Is Data Valid]]=TRUE,_xlfn.NORM.S.DIST(Table1[[#This Row],[Birthweight Z-Score]],TRUE)*100,"")</f>
        <v/>
      </c>
      <c r="K3485" s="7" t="str">
        <f>IF(Table1[[#This Row],[Is Data Valid]]=TRUE,_xlfn.NORM.S.DIST(Table1[[#This Row],[Birthweight Z-Score (BW-10%)]],TRUE)*100,"")</f>
        <v/>
      </c>
      <c r="L3485" s="7" t="str">
        <f>IF(Table1[[#This Row],[Is Data Valid]]=TRUE,_xlfn.NORM.S.DIST(Table1[[#This Row],[Birthweight Z-Score (BW+10%)]],TRUE)*100,"")</f>
        <v/>
      </c>
    </row>
    <row r="3486" spans="1:12" x14ac:dyDescent="0.35">
      <c r="A3486" s="3"/>
      <c r="B3486" s="2"/>
      <c r="C3486" s="2"/>
      <c r="D3486" s="2" t="b">
        <f>IF(AND(NOT(ISBLANK(Table1[[#This Row],[Fetal Sex (Male, Female or Unknown)]])),ISNUMBER(Table1[[#This Row],[Birthweight (grams)]]),ISNUMBER(Table1[[#This Row],[Gestation (days)]])),TRUE,FALSE)</f>
        <v>0</v>
      </c>
      <c r="E3486" s="2" t="str">
        <f>IF(Table1[[#This Row],[Is Data Valid]]=TRUE,IF(Table1[[#This Row],[Fetal Sex (Male, Female or Unknown)]]="Male",Backend!$C$6,IF(Table1[[#This Row],[Fetal Sex (Male, Female or Unknown)]]="Female",Backend!$C$7,IF(Table1[[#This Row],[Fetal Sex (Male, Female or Unknown)]]="Unknown",Backend!$C$8,"Error"))),"")</f>
        <v/>
      </c>
      <c r="F3486" s="8" t="str">
        <f>IF(Table1[[#This Row],[Is Data Valid]]=TRUE,EXP(0.578+0.332*((Table1[[#This Row],[Gestation (days)]]+0.5)/7)-0.00354*((Table1[[#This Row],[Gestation (days)]]+0.5)/7)^2)*Table1[[#This Row],[BW40_3705]],"")</f>
        <v/>
      </c>
      <c r="G3486" s="2" t="str">
        <f>IF(Table1[[#This Row],[Is Data Valid]]=TRUE,((Table1[[#This Row],[Birthweight (grams)]]/Table1[[#This Row],[BW_GA]])-1)/(Backend!$B$4/100*Table1[[#This Row],[BW40_3705]]),"")</f>
        <v/>
      </c>
      <c r="H3486" s="7" t="str">
        <f>IF(Table1[[#This Row],[Is Data Valid]]=TRUE,((Table1[[#This Row],[Birthweight (grams)]]*0.9/Table1[[#This Row],[BW_GA]])-1)/(Backend!$B$4/100*Table1[[#This Row],[BW40_3705]]),"")</f>
        <v/>
      </c>
      <c r="I3486" s="7" t="str">
        <f>IF(Table1[[#This Row],[Is Data Valid]]=TRUE,((Table1[[#This Row],[Birthweight (grams)]]*1.1/Table1[[#This Row],[BW_GA]])-1)/(Backend!$B$4/100*Table1[[#This Row],[BW40_3705]]),"")</f>
        <v/>
      </c>
      <c r="J3486" s="7" t="str">
        <f>IF(Table1[[#This Row],[Is Data Valid]]=TRUE,_xlfn.NORM.S.DIST(Table1[[#This Row],[Birthweight Z-Score]],TRUE)*100,"")</f>
        <v/>
      </c>
      <c r="K3486" s="7" t="str">
        <f>IF(Table1[[#This Row],[Is Data Valid]]=TRUE,_xlfn.NORM.S.DIST(Table1[[#This Row],[Birthweight Z-Score (BW-10%)]],TRUE)*100,"")</f>
        <v/>
      </c>
      <c r="L3486" s="7" t="str">
        <f>IF(Table1[[#This Row],[Is Data Valid]]=TRUE,_xlfn.NORM.S.DIST(Table1[[#This Row],[Birthweight Z-Score (BW+10%)]],TRUE)*100,"")</f>
        <v/>
      </c>
    </row>
    <row r="3487" spans="1:12" x14ac:dyDescent="0.35">
      <c r="A3487" s="3"/>
      <c r="B3487" s="2"/>
      <c r="C3487" s="2"/>
      <c r="D3487" s="2" t="b">
        <f>IF(AND(NOT(ISBLANK(Table1[[#This Row],[Fetal Sex (Male, Female or Unknown)]])),ISNUMBER(Table1[[#This Row],[Birthweight (grams)]]),ISNUMBER(Table1[[#This Row],[Gestation (days)]])),TRUE,FALSE)</f>
        <v>0</v>
      </c>
      <c r="E3487" s="2" t="str">
        <f>IF(Table1[[#This Row],[Is Data Valid]]=TRUE,IF(Table1[[#This Row],[Fetal Sex (Male, Female or Unknown)]]="Male",Backend!$C$6,IF(Table1[[#This Row],[Fetal Sex (Male, Female or Unknown)]]="Female",Backend!$C$7,IF(Table1[[#This Row],[Fetal Sex (Male, Female or Unknown)]]="Unknown",Backend!$C$8,"Error"))),"")</f>
        <v/>
      </c>
      <c r="F3487" s="8" t="str">
        <f>IF(Table1[[#This Row],[Is Data Valid]]=TRUE,EXP(0.578+0.332*((Table1[[#This Row],[Gestation (days)]]+0.5)/7)-0.00354*((Table1[[#This Row],[Gestation (days)]]+0.5)/7)^2)*Table1[[#This Row],[BW40_3705]],"")</f>
        <v/>
      </c>
      <c r="G3487" s="2" t="str">
        <f>IF(Table1[[#This Row],[Is Data Valid]]=TRUE,((Table1[[#This Row],[Birthweight (grams)]]/Table1[[#This Row],[BW_GA]])-1)/(Backend!$B$4/100*Table1[[#This Row],[BW40_3705]]),"")</f>
        <v/>
      </c>
      <c r="H3487" s="7" t="str">
        <f>IF(Table1[[#This Row],[Is Data Valid]]=TRUE,((Table1[[#This Row],[Birthweight (grams)]]*0.9/Table1[[#This Row],[BW_GA]])-1)/(Backend!$B$4/100*Table1[[#This Row],[BW40_3705]]),"")</f>
        <v/>
      </c>
      <c r="I3487" s="7" t="str">
        <f>IF(Table1[[#This Row],[Is Data Valid]]=TRUE,((Table1[[#This Row],[Birthweight (grams)]]*1.1/Table1[[#This Row],[BW_GA]])-1)/(Backend!$B$4/100*Table1[[#This Row],[BW40_3705]]),"")</f>
        <v/>
      </c>
      <c r="J3487" s="7" t="str">
        <f>IF(Table1[[#This Row],[Is Data Valid]]=TRUE,_xlfn.NORM.S.DIST(Table1[[#This Row],[Birthweight Z-Score]],TRUE)*100,"")</f>
        <v/>
      </c>
      <c r="K3487" s="7" t="str">
        <f>IF(Table1[[#This Row],[Is Data Valid]]=TRUE,_xlfn.NORM.S.DIST(Table1[[#This Row],[Birthweight Z-Score (BW-10%)]],TRUE)*100,"")</f>
        <v/>
      </c>
      <c r="L3487" s="7" t="str">
        <f>IF(Table1[[#This Row],[Is Data Valid]]=TRUE,_xlfn.NORM.S.DIST(Table1[[#This Row],[Birthweight Z-Score (BW+10%)]],TRUE)*100,"")</f>
        <v/>
      </c>
    </row>
    <row r="3488" spans="1:12" x14ac:dyDescent="0.35">
      <c r="A3488" s="3"/>
      <c r="B3488" s="2"/>
      <c r="C3488" s="2"/>
      <c r="D3488" s="2" t="b">
        <f>IF(AND(NOT(ISBLANK(Table1[[#This Row],[Fetal Sex (Male, Female or Unknown)]])),ISNUMBER(Table1[[#This Row],[Birthweight (grams)]]),ISNUMBER(Table1[[#This Row],[Gestation (days)]])),TRUE,FALSE)</f>
        <v>0</v>
      </c>
      <c r="E3488" s="2" t="str">
        <f>IF(Table1[[#This Row],[Is Data Valid]]=TRUE,IF(Table1[[#This Row],[Fetal Sex (Male, Female or Unknown)]]="Male",Backend!$C$6,IF(Table1[[#This Row],[Fetal Sex (Male, Female or Unknown)]]="Female",Backend!$C$7,IF(Table1[[#This Row],[Fetal Sex (Male, Female or Unknown)]]="Unknown",Backend!$C$8,"Error"))),"")</f>
        <v/>
      </c>
      <c r="F3488" s="8" t="str">
        <f>IF(Table1[[#This Row],[Is Data Valid]]=TRUE,EXP(0.578+0.332*((Table1[[#This Row],[Gestation (days)]]+0.5)/7)-0.00354*((Table1[[#This Row],[Gestation (days)]]+0.5)/7)^2)*Table1[[#This Row],[BW40_3705]],"")</f>
        <v/>
      </c>
      <c r="G3488" s="2" t="str">
        <f>IF(Table1[[#This Row],[Is Data Valid]]=TRUE,((Table1[[#This Row],[Birthweight (grams)]]/Table1[[#This Row],[BW_GA]])-1)/(Backend!$B$4/100*Table1[[#This Row],[BW40_3705]]),"")</f>
        <v/>
      </c>
      <c r="H3488" s="7" t="str">
        <f>IF(Table1[[#This Row],[Is Data Valid]]=TRUE,((Table1[[#This Row],[Birthweight (grams)]]*0.9/Table1[[#This Row],[BW_GA]])-1)/(Backend!$B$4/100*Table1[[#This Row],[BW40_3705]]),"")</f>
        <v/>
      </c>
      <c r="I3488" s="7" t="str">
        <f>IF(Table1[[#This Row],[Is Data Valid]]=TRUE,((Table1[[#This Row],[Birthweight (grams)]]*1.1/Table1[[#This Row],[BW_GA]])-1)/(Backend!$B$4/100*Table1[[#This Row],[BW40_3705]]),"")</f>
        <v/>
      </c>
      <c r="J3488" s="7" t="str">
        <f>IF(Table1[[#This Row],[Is Data Valid]]=TRUE,_xlfn.NORM.S.DIST(Table1[[#This Row],[Birthweight Z-Score]],TRUE)*100,"")</f>
        <v/>
      </c>
      <c r="K3488" s="7" t="str">
        <f>IF(Table1[[#This Row],[Is Data Valid]]=TRUE,_xlfn.NORM.S.DIST(Table1[[#This Row],[Birthweight Z-Score (BW-10%)]],TRUE)*100,"")</f>
        <v/>
      </c>
      <c r="L3488" s="7" t="str">
        <f>IF(Table1[[#This Row],[Is Data Valid]]=TRUE,_xlfn.NORM.S.DIST(Table1[[#This Row],[Birthweight Z-Score (BW+10%)]],TRUE)*100,"")</f>
        <v/>
      </c>
    </row>
    <row r="3489" spans="1:12" x14ac:dyDescent="0.35">
      <c r="A3489" s="3"/>
      <c r="B3489" s="2"/>
      <c r="C3489" s="2"/>
      <c r="D3489" s="2" t="b">
        <f>IF(AND(NOT(ISBLANK(Table1[[#This Row],[Fetal Sex (Male, Female or Unknown)]])),ISNUMBER(Table1[[#This Row],[Birthweight (grams)]]),ISNUMBER(Table1[[#This Row],[Gestation (days)]])),TRUE,FALSE)</f>
        <v>0</v>
      </c>
      <c r="E3489" s="2" t="str">
        <f>IF(Table1[[#This Row],[Is Data Valid]]=TRUE,IF(Table1[[#This Row],[Fetal Sex (Male, Female or Unknown)]]="Male",Backend!$C$6,IF(Table1[[#This Row],[Fetal Sex (Male, Female or Unknown)]]="Female",Backend!$C$7,IF(Table1[[#This Row],[Fetal Sex (Male, Female or Unknown)]]="Unknown",Backend!$C$8,"Error"))),"")</f>
        <v/>
      </c>
      <c r="F3489" s="8" t="str">
        <f>IF(Table1[[#This Row],[Is Data Valid]]=TRUE,EXP(0.578+0.332*((Table1[[#This Row],[Gestation (days)]]+0.5)/7)-0.00354*((Table1[[#This Row],[Gestation (days)]]+0.5)/7)^2)*Table1[[#This Row],[BW40_3705]],"")</f>
        <v/>
      </c>
      <c r="G3489" s="2" t="str">
        <f>IF(Table1[[#This Row],[Is Data Valid]]=TRUE,((Table1[[#This Row],[Birthweight (grams)]]/Table1[[#This Row],[BW_GA]])-1)/(Backend!$B$4/100*Table1[[#This Row],[BW40_3705]]),"")</f>
        <v/>
      </c>
      <c r="H3489" s="7" t="str">
        <f>IF(Table1[[#This Row],[Is Data Valid]]=TRUE,((Table1[[#This Row],[Birthweight (grams)]]*0.9/Table1[[#This Row],[BW_GA]])-1)/(Backend!$B$4/100*Table1[[#This Row],[BW40_3705]]),"")</f>
        <v/>
      </c>
      <c r="I3489" s="7" t="str">
        <f>IF(Table1[[#This Row],[Is Data Valid]]=TRUE,((Table1[[#This Row],[Birthweight (grams)]]*1.1/Table1[[#This Row],[BW_GA]])-1)/(Backend!$B$4/100*Table1[[#This Row],[BW40_3705]]),"")</f>
        <v/>
      </c>
      <c r="J3489" s="7" t="str">
        <f>IF(Table1[[#This Row],[Is Data Valid]]=TRUE,_xlfn.NORM.S.DIST(Table1[[#This Row],[Birthweight Z-Score]],TRUE)*100,"")</f>
        <v/>
      </c>
      <c r="K3489" s="7" t="str">
        <f>IF(Table1[[#This Row],[Is Data Valid]]=TRUE,_xlfn.NORM.S.DIST(Table1[[#This Row],[Birthweight Z-Score (BW-10%)]],TRUE)*100,"")</f>
        <v/>
      </c>
      <c r="L3489" s="7" t="str">
        <f>IF(Table1[[#This Row],[Is Data Valid]]=TRUE,_xlfn.NORM.S.DIST(Table1[[#This Row],[Birthweight Z-Score (BW+10%)]],TRUE)*100,"")</f>
        <v/>
      </c>
    </row>
    <row r="3490" spans="1:12" x14ac:dyDescent="0.35">
      <c r="A3490" s="3"/>
      <c r="B3490" s="2"/>
      <c r="C3490" s="2"/>
      <c r="D3490" s="2" t="b">
        <f>IF(AND(NOT(ISBLANK(Table1[[#This Row],[Fetal Sex (Male, Female or Unknown)]])),ISNUMBER(Table1[[#This Row],[Birthweight (grams)]]),ISNUMBER(Table1[[#This Row],[Gestation (days)]])),TRUE,FALSE)</f>
        <v>0</v>
      </c>
      <c r="E3490" s="2" t="str">
        <f>IF(Table1[[#This Row],[Is Data Valid]]=TRUE,IF(Table1[[#This Row],[Fetal Sex (Male, Female or Unknown)]]="Male",Backend!$C$6,IF(Table1[[#This Row],[Fetal Sex (Male, Female or Unknown)]]="Female",Backend!$C$7,IF(Table1[[#This Row],[Fetal Sex (Male, Female or Unknown)]]="Unknown",Backend!$C$8,"Error"))),"")</f>
        <v/>
      </c>
      <c r="F3490" s="8" t="str">
        <f>IF(Table1[[#This Row],[Is Data Valid]]=TRUE,EXP(0.578+0.332*((Table1[[#This Row],[Gestation (days)]]+0.5)/7)-0.00354*((Table1[[#This Row],[Gestation (days)]]+0.5)/7)^2)*Table1[[#This Row],[BW40_3705]],"")</f>
        <v/>
      </c>
      <c r="G3490" s="2" t="str">
        <f>IF(Table1[[#This Row],[Is Data Valid]]=TRUE,((Table1[[#This Row],[Birthweight (grams)]]/Table1[[#This Row],[BW_GA]])-1)/(Backend!$B$4/100*Table1[[#This Row],[BW40_3705]]),"")</f>
        <v/>
      </c>
      <c r="H3490" s="7" t="str">
        <f>IF(Table1[[#This Row],[Is Data Valid]]=TRUE,((Table1[[#This Row],[Birthweight (grams)]]*0.9/Table1[[#This Row],[BW_GA]])-1)/(Backend!$B$4/100*Table1[[#This Row],[BW40_3705]]),"")</f>
        <v/>
      </c>
      <c r="I3490" s="7" t="str">
        <f>IF(Table1[[#This Row],[Is Data Valid]]=TRUE,((Table1[[#This Row],[Birthweight (grams)]]*1.1/Table1[[#This Row],[BW_GA]])-1)/(Backend!$B$4/100*Table1[[#This Row],[BW40_3705]]),"")</f>
        <v/>
      </c>
      <c r="J3490" s="7" t="str">
        <f>IF(Table1[[#This Row],[Is Data Valid]]=TRUE,_xlfn.NORM.S.DIST(Table1[[#This Row],[Birthweight Z-Score]],TRUE)*100,"")</f>
        <v/>
      </c>
      <c r="K3490" s="7" t="str">
        <f>IF(Table1[[#This Row],[Is Data Valid]]=TRUE,_xlfn.NORM.S.DIST(Table1[[#This Row],[Birthweight Z-Score (BW-10%)]],TRUE)*100,"")</f>
        <v/>
      </c>
      <c r="L3490" s="7" t="str">
        <f>IF(Table1[[#This Row],[Is Data Valid]]=TRUE,_xlfn.NORM.S.DIST(Table1[[#This Row],[Birthweight Z-Score (BW+10%)]],TRUE)*100,"")</f>
        <v/>
      </c>
    </row>
    <row r="3491" spans="1:12" x14ac:dyDescent="0.35">
      <c r="A3491" s="3"/>
      <c r="B3491" s="2"/>
      <c r="C3491" s="2"/>
      <c r="D3491" s="2" t="b">
        <f>IF(AND(NOT(ISBLANK(Table1[[#This Row],[Fetal Sex (Male, Female or Unknown)]])),ISNUMBER(Table1[[#This Row],[Birthweight (grams)]]),ISNUMBER(Table1[[#This Row],[Gestation (days)]])),TRUE,FALSE)</f>
        <v>0</v>
      </c>
      <c r="E3491" s="2" t="str">
        <f>IF(Table1[[#This Row],[Is Data Valid]]=TRUE,IF(Table1[[#This Row],[Fetal Sex (Male, Female or Unknown)]]="Male",Backend!$C$6,IF(Table1[[#This Row],[Fetal Sex (Male, Female or Unknown)]]="Female",Backend!$C$7,IF(Table1[[#This Row],[Fetal Sex (Male, Female or Unknown)]]="Unknown",Backend!$C$8,"Error"))),"")</f>
        <v/>
      </c>
      <c r="F3491" s="8" t="str">
        <f>IF(Table1[[#This Row],[Is Data Valid]]=TRUE,EXP(0.578+0.332*((Table1[[#This Row],[Gestation (days)]]+0.5)/7)-0.00354*((Table1[[#This Row],[Gestation (days)]]+0.5)/7)^2)*Table1[[#This Row],[BW40_3705]],"")</f>
        <v/>
      </c>
      <c r="G3491" s="2" t="str">
        <f>IF(Table1[[#This Row],[Is Data Valid]]=TRUE,((Table1[[#This Row],[Birthweight (grams)]]/Table1[[#This Row],[BW_GA]])-1)/(Backend!$B$4/100*Table1[[#This Row],[BW40_3705]]),"")</f>
        <v/>
      </c>
      <c r="H3491" s="7" t="str">
        <f>IF(Table1[[#This Row],[Is Data Valid]]=TRUE,((Table1[[#This Row],[Birthweight (grams)]]*0.9/Table1[[#This Row],[BW_GA]])-1)/(Backend!$B$4/100*Table1[[#This Row],[BW40_3705]]),"")</f>
        <v/>
      </c>
      <c r="I3491" s="7" t="str">
        <f>IF(Table1[[#This Row],[Is Data Valid]]=TRUE,((Table1[[#This Row],[Birthweight (grams)]]*1.1/Table1[[#This Row],[BW_GA]])-1)/(Backend!$B$4/100*Table1[[#This Row],[BW40_3705]]),"")</f>
        <v/>
      </c>
      <c r="J3491" s="7" t="str">
        <f>IF(Table1[[#This Row],[Is Data Valid]]=TRUE,_xlfn.NORM.S.DIST(Table1[[#This Row],[Birthweight Z-Score]],TRUE)*100,"")</f>
        <v/>
      </c>
      <c r="K3491" s="7" t="str">
        <f>IF(Table1[[#This Row],[Is Data Valid]]=TRUE,_xlfn.NORM.S.DIST(Table1[[#This Row],[Birthweight Z-Score (BW-10%)]],TRUE)*100,"")</f>
        <v/>
      </c>
      <c r="L3491" s="7" t="str">
        <f>IF(Table1[[#This Row],[Is Data Valid]]=TRUE,_xlfn.NORM.S.DIST(Table1[[#This Row],[Birthweight Z-Score (BW+10%)]],TRUE)*100,"")</f>
        <v/>
      </c>
    </row>
    <row r="3492" spans="1:12" x14ac:dyDescent="0.35">
      <c r="A3492" s="3"/>
      <c r="B3492" s="2"/>
      <c r="C3492" s="2"/>
      <c r="D3492" s="2" t="b">
        <f>IF(AND(NOT(ISBLANK(Table1[[#This Row],[Fetal Sex (Male, Female or Unknown)]])),ISNUMBER(Table1[[#This Row],[Birthweight (grams)]]),ISNUMBER(Table1[[#This Row],[Gestation (days)]])),TRUE,FALSE)</f>
        <v>0</v>
      </c>
      <c r="E3492" s="2" t="str">
        <f>IF(Table1[[#This Row],[Is Data Valid]]=TRUE,IF(Table1[[#This Row],[Fetal Sex (Male, Female or Unknown)]]="Male",Backend!$C$6,IF(Table1[[#This Row],[Fetal Sex (Male, Female or Unknown)]]="Female",Backend!$C$7,IF(Table1[[#This Row],[Fetal Sex (Male, Female or Unknown)]]="Unknown",Backend!$C$8,"Error"))),"")</f>
        <v/>
      </c>
      <c r="F3492" s="8" t="str">
        <f>IF(Table1[[#This Row],[Is Data Valid]]=TRUE,EXP(0.578+0.332*((Table1[[#This Row],[Gestation (days)]]+0.5)/7)-0.00354*((Table1[[#This Row],[Gestation (days)]]+0.5)/7)^2)*Table1[[#This Row],[BW40_3705]],"")</f>
        <v/>
      </c>
      <c r="G3492" s="2" t="str">
        <f>IF(Table1[[#This Row],[Is Data Valid]]=TRUE,((Table1[[#This Row],[Birthweight (grams)]]/Table1[[#This Row],[BW_GA]])-1)/(Backend!$B$4/100*Table1[[#This Row],[BW40_3705]]),"")</f>
        <v/>
      </c>
      <c r="H3492" s="7" t="str">
        <f>IF(Table1[[#This Row],[Is Data Valid]]=TRUE,((Table1[[#This Row],[Birthweight (grams)]]*0.9/Table1[[#This Row],[BW_GA]])-1)/(Backend!$B$4/100*Table1[[#This Row],[BW40_3705]]),"")</f>
        <v/>
      </c>
      <c r="I3492" s="7" t="str">
        <f>IF(Table1[[#This Row],[Is Data Valid]]=TRUE,((Table1[[#This Row],[Birthweight (grams)]]*1.1/Table1[[#This Row],[BW_GA]])-1)/(Backend!$B$4/100*Table1[[#This Row],[BW40_3705]]),"")</f>
        <v/>
      </c>
      <c r="J3492" s="7" t="str">
        <f>IF(Table1[[#This Row],[Is Data Valid]]=TRUE,_xlfn.NORM.S.DIST(Table1[[#This Row],[Birthweight Z-Score]],TRUE)*100,"")</f>
        <v/>
      </c>
      <c r="K3492" s="7" t="str">
        <f>IF(Table1[[#This Row],[Is Data Valid]]=TRUE,_xlfn.NORM.S.DIST(Table1[[#This Row],[Birthweight Z-Score (BW-10%)]],TRUE)*100,"")</f>
        <v/>
      </c>
      <c r="L3492" s="7" t="str">
        <f>IF(Table1[[#This Row],[Is Data Valid]]=TRUE,_xlfn.NORM.S.DIST(Table1[[#This Row],[Birthweight Z-Score (BW+10%)]],TRUE)*100,"")</f>
        <v/>
      </c>
    </row>
    <row r="3493" spans="1:12" x14ac:dyDescent="0.35">
      <c r="A3493" s="3"/>
      <c r="B3493" s="2"/>
      <c r="C3493" s="2"/>
      <c r="D3493" s="2" t="b">
        <f>IF(AND(NOT(ISBLANK(Table1[[#This Row],[Fetal Sex (Male, Female or Unknown)]])),ISNUMBER(Table1[[#This Row],[Birthweight (grams)]]),ISNUMBER(Table1[[#This Row],[Gestation (days)]])),TRUE,FALSE)</f>
        <v>0</v>
      </c>
      <c r="E3493" s="2" t="str">
        <f>IF(Table1[[#This Row],[Is Data Valid]]=TRUE,IF(Table1[[#This Row],[Fetal Sex (Male, Female or Unknown)]]="Male",Backend!$C$6,IF(Table1[[#This Row],[Fetal Sex (Male, Female or Unknown)]]="Female",Backend!$C$7,IF(Table1[[#This Row],[Fetal Sex (Male, Female or Unknown)]]="Unknown",Backend!$C$8,"Error"))),"")</f>
        <v/>
      </c>
      <c r="F3493" s="8" t="str">
        <f>IF(Table1[[#This Row],[Is Data Valid]]=TRUE,EXP(0.578+0.332*((Table1[[#This Row],[Gestation (days)]]+0.5)/7)-0.00354*((Table1[[#This Row],[Gestation (days)]]+0.5)/7)^2)*Table1[[#This Row],[BW40_3705]],"")</f>
        <v/>
      </c>
      <c r="G3493" s="2" t="str">
        <f>IF(Table1[[#This Row],[Is Data Valid]]=TRUE,((Table1[[#This Row],[Birthweight (grams)]]/Table1[[#This Row],[BW_GA]])-1)/(Backend!$B$4/100*Table1[[#This Row],[BW40_3705]]),"")</f>
        <v/>
      </c>
      <c r="H3493" s="7" t="str">
        <f>IF(Table1[[#This Row],[Is Data Valid]]=TRUE,((Table1[[#This Row],[Birthweight (grams)]]*0.9/Table1[[#This Row],[BW_GA]])-1)/(Backend!$B$4/100*Table1[[#This Row],[BW40_3705]]),"")</f>
        <v/>
      </c>
      <c r="I3493" s="7" t="str">
        <f>IF(Table1[[#This Row],[Is Data Valid]]=TRUE,((Table1[[#This Row],[Birthweight (grams)]]*1.1/Table1[[#This Row],[BW_GA]])-1)/(Backend!$B$4/100*Table1[[#This Row],[BW40_3705]]),"")</f>
        <v/>
      </c>
      <c r="J3493" s="7" t="str">
        <f>IF(Table1[[#This Row],[Is Data Valid]]=TRUE,_xlfn.NORM.S.DIST(Table1[[#This Row],[Birthweight Z-Score]],TRUE)*100,"")</f>
        <v/>
      </c>
      <c r="K3493" s="7" t="str">
        <f>IF(Table1[[#This Row],[Is Data Valid]]=TRUE,_xlfn.NORM.S.DIST(Table1[[#This Row],[Birthweight Z-Score (BW-10%)]],TRUE)*100,"")</f>
        <v/>
      </c>
      <c r="L3493" s="7" t="str">
        <f>IF(Table1[[#This Row],[Is Data Valid]]=TRUE,_xlfn.NORM.S.DIST(Table1[[#This Row],[Birthweight Z-Score (BW+10%)]],TRUE)*100,"")</f>
        <v/>
      </c>
    </row>
    <row r="3494" spans="1:12" x14ac:dyDescent="0.35">
      <c r="A3494" s="3"/>
      <c r="B3494" s="2"/>
      <c r="C3494" s="2"/>
      <c r="D3494" s="2" t="b">
        <f>IF(AND(NOT(ISBLANK(Table1[[#This Row],[Fetal Sex (Male, Female or Unknown)]])),ISNUMBER(Table1[[#This Row],[Birthweight (grams)]]),ISNUMBER(Table1[[#This Row],[Gestation (days)]])),TRUE,FALSE)</f>
        <v>0</v>
      </c>
      <c r="E3494" s="2" t="str">
        <f>IF(Table1[[#This Row],[Is Data Valid]]=TRUE,IF(Table1[[#This Row],[Fetal Sex (Male, Female or Unknown)]]="Male",Backend!$C$6,IF(Table1[[#This Row],[Fetal Sex (Male, Female or Unknown)]]="Female",Backend!$C$7,IF(Table1[[#This Row],[Fetal Sex (Male, Female or Unknown)]]="Unknown",Backend!$C$8,"Error"))),"")</f>
        <v/>
      </c>
      <c r="F3494" s="8" t="str">
        <f>IF(Table1[[#This Row],[Is Data Valid]]=TRUE,EXP(0.578+0.332*((Table1[[#This Row],[Gestation (days)]]+0.5)/7)-0.00354*((Table1[[#This Row],[Gestation (days)]]+0.5)/7)^2)*Table1[[#This Row],[BW40_3705]],"")</f>
        <v/>
      </c>
      <c r="G3494" s="2" t="str">
        <f>IF(Table1[[#This Row],[Is Data Valid]]=TRUE,((Table1[[#This Row],[Birthweight (grams)]]/Table1[[#This Row],[BW_GA]])-1)/(Backend!$B$4/100*Table1[[#This Row],[BW40_3705]]),"")</f>
        <v/>
      </c>
      <c r="H3494" s="7" t="str">
        <f>IF(Table1[[#This Row],[Is Data Valid]]=TRUE,((Table1[[#This Row],[Birthweight (grams)]]*0.9/Table1[[#This Row],[BW_GA]])-1)/(Backend!$B$4/100*Table1[[#This Row],[BW40_3705]]),"")</f>
        <v/>
      </c>
      <c r="I3494" s="7" t="str">
        <f>IF(Table1[[#This Row],[Is Data Valid]]=TRUE,((Table1[[#This Row],[Birthweight (grams)]]*1.1/Table1[[#This Row],[BW_GA]])-1)/(Backend!$B$4/100*Table1[[#This Row],[BW40_3705]]),"")</f>
        <v/>
      </c>
      <c r="J3494" s="7" t="str">
        <f>IF(Table1[[#This Row],[Is Data Valid]]=TRUE,_xlfn.NORM.S.DIST(Table1[[#This Row],[Birthweight Z-Score]],TRUE)*100,"")</f>
        <v/>
      </c>
      <c r="K3494" s="7" t="str">
        <f>IF(Table1[[#This Row],[Is Data Valid]]=TRUE,_xlfn.NORM.S.DIST(Table1[[#This Row],[Birthweight Z-Score (BW-10%)]],TRUE)*100,"")</f>
        <v/>
      </c>
      <c r="L3494" s="7" t="str">
        <f>IF(Table1[[#This Row],[Is Data Valid]]=TRUE,_xlfn.NORM.S.DIST(Table1[[#This Row],[Birthweight Z-Score (BW+10%)]],TRUE)*100,"")</f>
        <v/>
      </c>
    </row>
    <row r="3495" spans="1:12" x14ac:dyDescent="0.35">
      <c r="A3495" s="3"/>
      <c r="B3495" s="2"/>
      <c r="C3495" s="2"/>
      <c r="D3495" s="2" t="b">
        <f>IF(AND(NOT(ISBLANK(Table1[[#This Row],[Fetal Sex (Male, Female or Unknown)]])),ISNUMBER(Table1[[#This Row],[Birthweight (grams)]]),ISNUMBER(Table1[[#This Row],[Gestation (days)]])),TRUE,FALSE)</f>
        <v>0</v>
      </c>
      <c r="E3495" s="2" t="str">
        <f>IF(Table1[[#This Row],[Is Data Valid]]=TRUE,IF(Table1[[#This Row],[Fetal Sex (Male, Female or Unknown)]]="Male",Backend!$C$6,IF(Table1[[#This Row],[Fetal Sex (Male, Female or Unknown)]]="Female",Backend!$C$7,IF(Table1[[#This Row],[Fetal Sex (Male, Female or Unknown)]]="Unknown",Backend!$C$8,"Error"))),"")</f>
        <v/>
      </c>
      <c r="F3495" s="8" t="str">
        <f>IF(Table1[[#This Row],[Is Data Valid]]=TRUE,EXP(0.578+0.332*((Table1[[#This Row],[Gestation (days)]]+0.5)/7)-0.00354*((Table1[[#This Row],[Gestation (days)]]+0.5)/7)^2)*Table1[[#This Row],[BW40_3705]],"")</f>
        <v/>
      </c>
      <c r="G3495" s="2" t="str">
        <f>IF(Table1[[#This Row],[Is Data Valid]]=TRUE,((Table1[[#This Row],[Birthweight (grams)]]/Table1[[#This Row],[BW_GA]])-1)/(Backend!$B$4/100*Table1[[#This Row],[BW40_3705]]),"")</f>
        <v/>
      </c>
      <c r="H3495" s="7" t="str">
        <f>IF(Table1[[#This Row],[Is Data Valid]]=TRUE,((Table1[[#This Row],[Birthweight (grams)]]*0.9/Table1[[#This Row],[BW_GA]])-1)/(Backend!$B$4/100*Table1[[#This Row],[BW40_3705]]),"")</f>
        <v/>
      </c>
      <c r="I3495" s="7" t="str">
        <f>IF(Table1[[#This Row],[Is Data Valid]]=TRUE,((Table1[[#This Row],[Birthweight (grams)]]*1.1/Table1[[#This Row],[BW_GA]])-1)/(Backend!$B$4/100*Table1[[#This Row],[BW40_3705]]),"")</f>
        <v/>
      </c>
      <c r="J3495" s="7" t="str">
        <f>IF(Table1[[#This Row],[Is Data Valid]]=TRUE,_xlfn.NORM.S.DIST(Table1[[#This Row],[Birthweight Z-Score]],TRUE)*100,"")</f>
        <v/>
      </c>
      <c r="K3495" s="7" t="str">
        <f>IF(Table1[[#This Row],[Is Data Valid]]=TRUE,_xlfn.NORM.S.DIST(Table1[[#This Row],[Birthweight Z-Score (BW-10%)]],TRUE)*100,"")</f>
        <v/>
      </c>
      <c r="L3495" s="7" t="str">
        <f>IF(Table1[[#This Row],[Is Data Valid]]=TRUE,_xlfn.NORM.S.DIST(Table1[[#This Row],[Birthweight Z-Score (BW+10%)]],TRUE)*100,"")</f>
        <v/>
      </c>
    </row>
    <row r="3496" spans="1:12" x14ac:dyDescent="0.35">
      <c r="A3496" s="3"/>
      <c r="B3496" s="2"/>
      <c r="C3496" s="2"/>
      <c r="D3496" s="2" t="b">
        <f>IF(AND(NOT(ISBLANK(Table1[[#This Row],[Fetal Sex (Male, Female or Unknown)]])),ISNUMBER(Table1[[#This Row],[Birthweight (grams)]]),ISNUMBER(Table1[[#This Row],[Gestation (days)]])),TRUE,FALSE)</f>
        <v>0</v>
      </c>
      <c r="E3496" s="2" t="str">
        <f>IF(Table1[[#This Row],[Is Data Valid]]=TRUE,IF(Table1[[#This Row],[Fetal Sex (Male, Female or Unknown)]]="Male",Backend!$C$6,IF(Table1[[#This Row],[Fetal Sex (Male, Female or Unknown)]]="Female",Backend!$C$7,IF(Table1[[#This Row],[Fetal Sex (Male, Female or Unknown)]]="Unknown",Backend!$C$8,"Error"))),"")</f>
        <v/>
      </c>
      <c r="F3496" s="8" t="str">
        <f>IF(Table1[[#This Row],[Is Data Valid]]=TRUE,EXP(0.578+0.332*((Table1[[#This Row],[Gestation (days)]]+0.5)/7)-0.00354*((Table1[[#This Row],[Gestation (days)]]+0.5)/7)^2)*Table1[[#This Row],[BW40_3705]],"")</f>
        <v/>
      </c>
      <c r="G3496" s="2" t="str">
        <f>IF(Table1[[#This Row],[Is Data Valid]]=TRUE,((Table1[[#This Row],[Birthweight (grams)]]/Table1[[#This Row],[BW_GA]])-1)/(Backend!$B$4/100*Table1[[#This Row],[BW40_3705]]),"")</f>
        <v/>
      </c>
      <c r="H3496" s="7" t="str">
        <f>IF(Table1[[#This Row],[Is Data Valid]]=TRUE,((Table1[[#This Row],[Birthweight (grams)]]*0.9/Table1[[#This Row],[BW_GA]])-1)/(Backend!$B$4/100*Table1[[#This Row],[BW40_3705]]),"")</f>
        <v/>
      </c>
      <c r="I3496" s="7" t="str">
        <f>IF(Table1[[#This Row],[Is Data Valid]]=TRUE,((Table1[[#This Row],[Birthweight (grams)]]*1.1/Table1[[#This Row],[BW_GA]])-1)/(Backend!$B$4/100*Table1[[#This Row],[BW40_3705]]),"")</f>
        <v/>
      </c>
      <c r="J3496" s="7" t="str">
        <f>IF(Table1[[#This Row],[Is Data Valid]]=TRUE,_xlfn.NORM.S.DIST(Table1[[#This Row],[Birthweight Z-Score]],TRUE)*100,"")</f>
        <v/>
      </c>
      <c r="K3496" s="7" t="str">
        <f>IF(Table1[[#This Row],[Is Data Valid]]=TRUE,_xlfn.NORM.S.DIST(Table1[[#This Row],[Birthweight Z-Score (BW-10%)]],TRUE)*100,"")</f>
        <v/>
      </c>
      <c r="L3496" s="7" t="str">
        <f>IF(Table1[[#This Row],[Is Data Valid]]=TRUE,_xlfn.NORM.S.DIST(Table1[[#This Row],[Birthweight Z-Score (BW+10%)]],TRUE)*100,"")</f>
        <v/>
      </c>
    </row>
    <row r="3497" spans="1:12" x14ac:dyDescent="0.35">
      <c r="A3497" s="3"/>
      <c r="B3497" s="2"/>
      <c r="C3497" s="2"/>
      <c r="D3497" s="2" t="b">
        <f>IF(AND(NOT(ISBLANK(Table1[[#This Row],[Fetal Sex (Male, Female or Unknown)]])),ISNUMBER(Table1[[#This Row],[Birthweight (grams)]]),ISNUMBER(Table1[[#This Row],[Gestation (days)]])),TRUE,FALSE)</f>
        <v>0</v>
      </c>
      <c r="E3497" s="2" t="str">
        <f>IF(Table1[[#This Row],[Is Data Valid]]=TRUE,IF(Table1[[#This Row],[Fetal Sex (Male, Female or Unknown)]]="Male",Backend!$C$6,IF(Table1[[#This Row],[Fetal Sex (Male, Female or Unknown)]]="Female",Backend!$C$7,IF(Table1[[#This Row],[Fetal Sex (Male, Female or Unknown)]]="Unknown",Backend!$C$8,"Error"))),"")</f>
        <v/>
      </c>
      <c r="F3497" s="8" t="str">
        <f>IF(Table1[[#This Row],[Is Data Valid]]=TRUE,EXP(0.578+0.332*((Table1[[#This Row],[Gestation (days)]]+0.5)/7)-0.00354*((Table1[[#This Row],[Gestation (days)]]+0.5)/7)^2)*Table1[[#This Row],[BW40_3705]],"")</f>
        <v/>
      </c>
      <c r="G3497" s="2" t="str">
        <f>IF(Table1[[#This Row],[Is Data Valid]]=TRUE,((Table1[[#This Row],[Birthweight (grams)]]/Table1[[#This Row],[BW_GA]])-1)/(Backend!$B$4/100*Table1[[#This Row],[BW40_3705]]),"")</f>
        <v/>
      </c>
      <c r="H3497" s="7" t="str">
        <f>IF(Table1[[#This Row],[Is Data Valid]]=TRUE,((Table1[[#This Row],[Birthweight (grams)]]*0.9/Table1[[#This Row],[BW_GA]])-1)/(Backend!$B$4/100*Table1[[#This Row],[BW40_3705]]),"")</f>
        <v/>
      </c>
      <c r="I3497" s="7" t="str">
        <f>IF(Table1[[#This Row],[Is Data Valid]]=TRUE,((Table1[[#This Row],[Birthweight (grams)]]*1.1/Table1[[#This Row],[BW_GA]])-1)/(Backend!$B$4/100*Table1[[#This Row],[BW40_3705]]),"")</f>
        <v/>
      </c>
      <c r="J3497" s="7" t="str">
        <f>IF(Table1[[#This Row],[Is Data Valid]]=TRUE,_xlfn.NORM.S.DIST(Table1[[#This Row],[Birthweight Z-Score]],TRUE)*100,"")</f>
        <v/>
      </c>
      <c r="K3497" s="7" t="str">
        <f>IF(Table1[[#This Row],[Is Data Valid]]=TRUE,_xlfn.NORM.S.DIST(Table1[[#This Row],[Birthweight Z-Score (BW-10%)]],TRUE)*100,"")</f>
        <v/>
      </c>
      <c r="L3497" s="7" t="str">
        <f>IF(Table1[[#This Row],[Is Data Valid]]=TRUE,_xlfn.NORM.S.DIST(Table1[[#This Row],[Birthweight Z-Score (BW+10%)]],TRUE)*100,"")</f>
        <v/>
      </c>
    </row>
    <row r="3498" spans="1:12" x14ac:dyDescent="0.35">
      <c r="A3498" s="3"/>
      <c r="B3498" s="2"/>
      <c r="C3498" s="2"/>
      <c r="D3498" s="2" t="b">
        <f>IF(AND(NOT(ISBLANK(Table1[[#This Row],[Fetal Sex (Male, Female or Unknown)]])),ISNUMBER(Table1[[#This Row],[Birthweight (grams)]]),ISNUMBER(Table1[[#This Row],[Gestation (days)]])),TRUE,FALSE)</f>
        <v>0</v>
      </c>
      <c r="E3498" s="2" t="str">
        <f>IF(Table1[[#This Row],[Is Data Valid]]=TRUE,IF(Table1[[#This Row],[Fetal Sex (Male, Female or Unknown)]]="Male",Backend!$C$6,IF(Table1[[#This Row],[Fetal Sex (Male, Female or Unknown)]]="Female",Backend!$C$7,IF(Table1[[#This Row],[Fetal Sex (Male, Female or Unknown)]]="Unknown",Backend!$C$8,"Error"))),"")</f>
        <v/>
      </c>
      <c r="F3498" s="8" t="str">
        <f>IF(Table1[[#This Row],[Is Data Valid]]=TRUE,EXP(0.578+0.332*((Table1[[#This Row],[Gestation (days)]]+0.5)/7)-0.00354*((Table1[[#This Row],[Gestation (days)]]+0.5)/7)^2)*Table1[[#This Row],[BW40_3705]],"")</f>
        <v/>
      </c>
      <c r="G3498" s="2" t="str">
        <f>IF(Table1[[#This Row],[Is Data Valid]]=TRUE,((Table1[[#This Row],[Birthweight (grams)]]/Table1[[#This Row],[BW_GA]])-1)/(Backend!$B$4/100*Table1[[#This Row],[BW40_3705]]),"")</f>
        <v/>
      </c>
      <c r="H3498" s="7" t="str">
        <f>IF(Table1[[#This Row],[Is Data Valid]]=TRUE,((Table1[[#This Row],[Birthweight (grams)]]*0.9/Table1[[#This Row],[BW_GA]])-1)/(Backend!$B$4/100*Table1[[#This Row],[BW40_3705]]),"")</f>
        <v/>
      </c>
      <c r="I3498" s="7" t="str">
        <f>IF(Table1[[#This Row],[Is Data Valid]]=TRUE,((Table1[[#This Row],[Birthweight (grams)]]*1.1/Table1[[#This Row],[BW_GA]])-1)/(Backend!$B$4/100*Table1[[#This Row],[BW40_3705]]),"")</f>
        <v/>
      </c>
      <c r="J3498" s="7" t="str">
        <f>IF(Table1[[#This Row],[Is Data Valid]]=TRUE,_xlfn.NORM.S.DIST(Table1[[#This Row],[Birthweight Z-Score]],TRUE)*100,"")</f>
        <v/>
      </c>
      <c r="K3498" s="7" t="str">
        <f>IF(Table1[[#This Row],[Is Data Valid]]=TRUE,_xlfn.NORM.S.DIST(Table1[[#This Row],[Birthweight Z-Score (BW-10%)]],TRUE)*100,"")</f>
        <v/>
      </c>
      <c r="L3498" s="7" t="str">
        <f>IF(Table1[[#This Row],[Is Data Valid]]=TRUE,_xlfn.NORM.S.DIST(Table1[[#This Row],[Birthweight Z-Score (BW+10%)]],TRUE)*100,"")</f>
        <v/>
      </c>
    </row>
    <row r="3499" spans="1:12" x14ac:dyDescent="0.35">
      <c r="A3499" s="3"/>
      <c r="B3499" s="2"/>
      <c r="C3499" s="2"/>
      <c r="D3499" s="2" t="b">
        <f>IF(AND(NOT(ISBLANK(Table1[[#This Row],[Fetal Sex (Male, Female or Unknown)]])),ISNUMBER(Table1[[#This Row],[Birthweight (grams)]]),ISNUMBER(Table1[[#This Row],[Gestation (days)]])),TRUE,FALSE)</f>
        <v>0</v>
      </c>
      <c r="E3499" s="2" t="str">
        <f>IF(Table1[[#This Row],[Is Data Valid]]=TRUE,IF(Table1[[#This Row],[Fetal Sex (Male, Female or Unknown)]]="Male",Backend!$C$6,IF(Table1[[#This Row],[Fetal Sex (Male, Female or Unknown)]]="Female",Backend!$C$7,IF(Table1[[#This Row],[Fetal Sex (Male, Female or Unknown)]]="Unknown",Backend!$C$8,"Error"))),"")</f>
        <v/>
      </c>
      <c r="F3499" s="8" t="str">
        <f>IF(Table1[[#This Row],[Is Data Valid]]=TRUE,EXP(0.578+0.332*((Table1[[#This Row],[Gestation (days)]]+0.5)/7)-0.00354*((Table1[[#This Row],[Gestation (days)]]+0.5)/7)^2)*Table1[[#This Row],[BW40_3705]],"")</f>
        <v/>
      </c>
      <c r="G3499" s="2" t="str">
        <f>IF(Table1[[#This Row],[Is Data Valid]]=TRUE,((Table1[[#This Row],[Birthweight (grams)]]/Table1[[#This Row],[BW_GA]])-1)/(Backend!$B$4/100*Table1[[#This Row],[BW40_3705]]),"")</f>
        <v/>
      </c>
      <c r="H3499" s="7" t="str">
        <f>IF(Table1[[#This Row],[Is Data Valid]]=TRUE,((Table1[[#This Row],[Birthweight (grams)]]*0.9/Table1[[#This Row],[BW_GA]])-1)/(Backend!$B$4/100*Table1[[#This Row],[BW40_3705]]),"")</f>
        <v/>
      </c>
      <c r="I3499" s="7" t="str">
        <f>IF(Table1[[#This Row],[Is Data Valid]]=TRUE,((Table1[[#This Row],[Birthweight (grams)]]*1.1/Table1[[#This Row],[BW_GA]])-1)/(Backend!$B$4/100*Table1[[#This Row],[BW40_3705]]),"")</f>
        <v/>
      </c>
      <c r="J3499" s="7" t="str">
        <f>IF(Table1[[#This Row],[Is Data Valid]]=TRUE,_xlfn.NORM.S.DIST(Table1[[#This Row],[Birthweight Z-Score]],TRUE)*100,"")</f>
        <v/>
      </c>
      <c r="K3499" s="7" t="str">
        <f>IF(Table1[[#This Row],[Is Data Valid]]=TRUE,_xlfn.NORM.S.DIST(Table1[[#This Row],[Birthweight Z-Score (BW-10%)]],TRUE)*100,"")</f>
        <v/>
      </c>
      <c r="L3499" s="7" t="str">
        <f>IF(Table1[[#This Row],[Is Data Valid]]=TRUE,_xlfn.NORM.S.DIST(Table1[[#This Row],[Birthweight Z-Score (BW+10%)]],TRUE)*100,"")</f>
        <v/>
      </c>
    </row>
    <row r="3500" spans="1:12" x14ac:dyDescent="0.35">
      <c r="A3500" s="3"/>
      <c r="B3500" s="2"/>
      <c r="C3500" s="2"/>
      <c r="D3500" s="2" t="b">
        <f>IF(AND(NOT(ISBLANK(Table1[[#This Row],[Fetal Sex (Male, Female or Unknown)]])),ISNUMBER(Table1[[#This Row],[Birthweight (grams)]]),ISNUMBER(Table1[[#This Row],[Gestation (days)]])),TRUE,FALSE)</f>
        <v>0</v>
      </c>
      <c r="E3500" s="2" t="str">
        <f>IF(Table1[[#This Row],[Is Data Valid]]=TRUE,IF(Table1[[#This Row],[Fetal Sex (Male, Female or Unknown)]]="Male",Backend!$C$6,IF(Table1[[#This Row],[Fetal Sex (Male, Female or Unknown)]]="Female",Backend!$C$7,IF(Table1[[#This Row],[Fetal Sex (Male, Female or Unknown)]]="Unknown",Backend!$C$8,"Error"))),"")</f>
        <v/>
      </c>
      <c r="F3500" s="8" t="str">
        <f>IF(Table1[[#This Row],[Is Data Valid]]=TRUE,EXP(0.578+0.332*((Table1[[#This Row],[Gestation (days)]]+0.5)/7)-0.00354*((Table1[[#This Row],[Gestation (days)]]+0.5)/7)^2)*Table1[[#This Row],[BW40_3705]],"")</f>
        <v/>
      </c>
      <c r="G3500" s="2" t="str">
        <f>IF(Table1[[#This Row],[Is Data Valid]]=TRUE,((Table1[[#This Row],[Birthweight (grams)]]/Table1[[#This Row],[BW_GA]])-1)/(Backend!$B$4/100*Table1[[#This Row],[BW40_3705]]),"")</f>
        <v/>
      </c>
      <c r="H3500" s="7" t="str">
        <f>IF(Table1[[#This Row],[Is Data Valid]]=TRUE,((Table1[[#This Row],[Birthweight (grams)]]*0.9/Table1[[#This Row],[BW_GA]])-1)/(Backend!$B$4/100*Table1[[#This Row],[BW40_3705]]),"")</f>
        <v/>
      </c>
      <c r="I3500" s="7" t="str">
        <f>IF(Table1[[#This Row],[Is Data Valid]]=TRUE,((Table1[[#This Row],[Birthweight (grams)]]*1.1/Table1[[#This Row],[BW_GA]])-1)/(Backend!$B$4/100*Table1[[#This Row],[BW40_3705]]),"")</f>
        <v/>
      </c>
      <c r="J3500" s="7" t="str">
        <f>IF(Table1[[#This Row],[Is Data Valid]]=TRUE,_xlfn.NORM.S.DIST(Table1[[#This Row],[Birthweight Z-Score]],TRUE)*100,"")</f>
        <v/>
      </c>
      <c r="K3500" s="7" t="str">
        <f>IF(Table1[[#This Row],[Is Data Valid]]=TRUE,_xlfn.NORM.S.DIST(Table1[[#This Row],[Birthweight Z-Score (BW-10%)]],TRUE)*100,"")</f>
        <v/>
      </c>
      <c r="L3500" s="7" t="str">
        <f>IF(Table1[[#This Row],[Is Data Valid]]=TRUE,_xlfn.NORM.S.DIST(Table1[[#This Row],[Birthweight Z-Score (BW+10%)]],TRUE)*100,"")</f>
        <v/>
      </c>
    </row>
    <row r="3501" spans="1:12" x14ac:dyDescent="0.35">
      <c r="A3501" s="3"/>
      <c r="B3501" s="2"/>
      <c r="C3501" s="2"/>
      <c r="D3501" s="2" t="b">
        <f>IF(AND(NOT(ISBLANK(Table1[[#This Row],[Fetal Sex (Male, Female or Unknown)]])),ISNUMBER(Table1[[#This Row],[Birthweight (grams)]]),ISNUMBER(Table1[[#This Row],[Gestation (days)]])),TRUE,FALSE)</f>
        <v>0</v>
      </c>
      <c r="E3501" s="2" t="str">
        <f>IF(Table1[[#This Row],[Is Data Valid]]=TRUE,IF(Table1[[#This Row],[Fetal Sex (Male, Female or Unknown)]]="Male",Backend!$C$6,IF(Table1[[#This Row],[Fetal Sex (Male, Female or Unknown)]]="Female",Backend!$C$7,IF(Table1[[#This Row],[Fetal Sex (Male, Female or Unknown)]]="Unknown",Backend!$C$8,"Error"))),"")</f>
        <v/>
      </c>
      <c r="F3501" s="8" t="str">
        <f>IF(Table1[[#This Row],[Is Data Valid]]=TRUE,EXP(0.578+0.332*((Table1[[#This Row],[Gestation (days)]]+0.5)/7)-0.00354*((Table1[[#This Row],[Gestation (days)]]+0.5)/7)^2)*Table1[[#This Row],[BW40_3705]],"")</f>
        <v/>
      </c>
      <c r="G3501" s="2" t="str">
        <f>IF(Table1[[#This Row],[Is Data Valid]]=TRUE,((Table1[[#This Row],[Birthweight (grams)]]/Table1[[#This Row],[BW_GA]])-1)/(Backend!$B$4/100*Table1[[#This Row],[BW40_3705]]),"")</f>
        <v/>
      </c>
      <c r="H3501" s="7" t="str">
        <f>IF(Table1[[#This Row],[Is Data Valid]]=TRUE,((Table1[[#This Row],[Birthweight (grams)]]*0.9/Table1[[#This Row],[BW_GA]])-1)/(Backend!$B$4/100*Table1[[#This Row],[BW40_3705]]),"")</f>
        <v/>
      </c>
      <c r="I3501" s="7" t="str">
        <f>IF(Table1[[#This Row],[Is Data Valid]]=TRUE,((Table1[[#This Row],[Birthweight (grams)]]*1.1/Table1[[#This Row],[BW_GA]])-1)/(Backend!$B$4/100*Table1[[#This Row],[BW40_3705]]),"")</f>
        <v/>
      </c>
      <c r="J3501" s="7" t="str">
        <f>IF(Table1[[#This Row],[Is Data Valid]]=TRUE,_xlfn.NORM.S.DIST(Table1[[#This Row],[Birthweight Z-Score]],TRUE)*100,"")</f>
        <v/>
      </c>
      <c r="K3501" s="7" t="str">
        <f>IF(Table1[[#This Row],[Is Data Valid]]=TRUE,_xlfn.NORM.S.DIST(Table1[[#This Row],[Birthweight Z-Score (BW-10%)]],TRUE)*100,"")</f>
        <v/>
      </c>
      <c r="L3501" s="7" t="str">
        <f>IF(Table1[[#This Row],[Is Data Valid]]=TRUE,_xlfn.NORM.S.DIST(Table1[[#This Row],[Birthweight Z-Score (BW+10%)]],TRUE)*100,"")</f>
        <v/>
      </c>
    </row>
    <row r="3502" spans="1:12" x14ac:dyDescent="0.35">
      <c r="A3502" s="3"/>
      <c r="B3502" s="2"/>
      <c r="C3502" s="2"/>
      <c r="D3502" s="2" t="b">
        <f>IF(AND(NOT(ISBLANK(Table1[[#This Row],[Fetal Sex (Male, Female or Unknown)]])),ISNUMBER(Table1[[#This Row],[Birthweight (grams)]]),ISNUMBER(Table1[[#This Row],[Gestation (days)]])),TRUE,FALSE)</f>
        <v>0</v>
      </c>
      <c r="E3502" s="2" t="str">
        <f>IF(Table1[[#This Row],[Is Data Valid]]=TRUE,IF(Table1[[#This Row],[Fetal Sex (Male, Female or Unknown)]]="Male",Backend!$C$6,IF(Table1[[#This Row],[Fetal Sex (Male, Female or Unknown)]]="Female",Backend!$C$7,IF(Table1[[#This Row],[Fetal Sex (Male, Female or Unknown)]]="Unknown",Backend!$C$8,"Error"))),"")</f>
        <v/>
      </c>
      <c r="F3502" s="8" t="str">
        <f>IF(Table1[[#This Row],[Is Data Valid]]=TRUE,EXP(0.578+0.332*((Table1[[#This Row],[Gestation (days)]]+0.5)/7)-0.00354*((Table1[[#This Row],[Gestation (days)]]+0.5)/7)^2)*Table1[[#This Row],[BW40_3705]],"")</f>
        <v/>
      </c>
      <c r="G3502" s="2" t="str">
        <f>IF(Table1[[#This Row],[Is Data Valid]]=TRUE,((Table1[[#This Row],[Birthweight (grams)]]/Table1[[#This Row],[BW_GA]])-1)/(Backend!$B$4/100*Table1[[#This Row],[BW40_3705]]),"")</f>
        <v/>
      </c>
      <c r="H3502" s="7" t="str">
        <f>IF(Table1[[#This Row],[Is Data Valid]]=TRUE,((Table1[[#This Row],[Birthweight (grams)]]*0.9/Table1[[#This Row],[BW_GA]])-1)/(Backend!$B$4/100*Table1[[#This Row],[BW40_3705]]),"")</f>
        <v/>
      </c>
      <c r="I3502" s="7" t="str">
        <f>IF(Table1[[#This Row],[Is Data Valid]]=TRUE,((Table1[[#This Row],[Birthweight (grams)]]*1.1/Table1[[#This Row],[BW_GA]])-1)/(Backend!$B$4/100*Table1[[#This Row],[BW40_3705]]),"")</f>
        <v/>
      </c>
      <c r="J3502" s="7" t="str">
        <f>IF(Table1[[#This Row],[Is Data Valid]]=TRUE,_xlfn.NORM.S.DIST(Table1[[#This Row],[Birthweight Z-Score]],TRUE)*100,"")</f>
        <v/>
      </c>
      <c r="K3502" s="7" t="str">
        <f>IF(Table1[[#This Row],[Is Data Valid]]=TRUE,_xlfn.NORM.S.DIST(Table1[[#This Row],[Birthweight Z-Score (BW-10%)]],TRUE)*100,"")</f>
        <v/>
      </c>
      <c r="L3502" s="7" t="str">
        <f>IF(Table1[[#This Row],[Is Data Valid]]=TRUE,_xlfn.NORM.S.DIST(Table1[[#This Row],[Birthweight Z-Score (BW+10%)]],TRUE)*100,"")</f>
        <v/>
      </c>
    </row>
    <row r="3503" spans="1:12" x14ac:dyDescent="0.35">
      <c r="A3503" s="3"/>
      <c r="B3503" s="2"/>
      <c r="C3503" s="2"/>
      <c r="D3503" s="2" t="b">
        <f>IF(AND(NOT(ISBLANK(Table1[[#This Row],[Fetal Sex (Male, Female or Unknown)]])),ISNUMBER(Table1[[#This Row],[Birthweight (grams)]]),ISNUMBER(Table1[[#This Row],[Gestation (days)]])),TRUE,FALSE)</f>
        <v>0</v>
      </c>
      <c r="E3503" s="2" t="str">
        <f>IF(Table1[[#This Row],[Is Data Valid]]=TRUE,IF(Table1[[#This Row],[Fetal Sex (Male, Female or Unknown)]]="Male",Backend!$C$6,IF(Table1[[#This Row],[Fetal Sex (Male, Female or Unknown)]]="Female",Backend!$C$7,IF(Table1[[#This Row],[Fetal Sex (Male, Female or Unknown)]]="Unknown",Backend!$C$8,"Error"))),"")</f>
        <v/>
      </c>
      <c r="F3503" s="8" t="str">
        <f>IF(Table1[[#This Row],[Is Data Valid]]=TRUE,EXP(0.578+0.332*((Table1[[#This Row],[Gestation (days)]]+0.5)/7)-0.00354*((Table1[[#This Row],[Gestation (days)]]+0.5)/7)^2)*Table1[[#This Row],[BW40_3705]],"")</f>
        <v/>
      </c>
      <c r="G3503" s="2" t="str">
        <f>IF(Table1[[#This Row],[Is Data Valid]]=TRUE,((Table1[[#This Row],[Birthweight (grams)]]/Table1[[#This Row],[BW_GA]])-1)/(Backend!$B$4/100*Table1[[#This Row],[BW40_3705]]),"")</f>
        <v/>
      </c>
      <c r="H3503" s="7" t="str">
        <f>IF(Table1[[#This Row],[Is Data Valid]]=TRUE,((Table1[[#This Row],[Birthweight (grams)]]*0.9/Table1[[#This Row],[BW_GA]])-1)/(Backend!$B$4/100*Table1[[#This Row],[BW40_3705]]),"")</f>
        <v/>
      </c>
      <c r="I3503" s="7" t="str">
        <f>IF(Table1[[#This Row],[Is Data Valid]]=TRUE,((Table1[[#This Row],[Birthweight (grams)]]*1.1/Table1[[#This Row],[BW_GA]])-1)/(Backend!$B$4/100*Table1[[#This Row],[BW40_3705]]),"")</f>
        <v/>
      </c>
      <c r="J3503" s="7" t="str">
        <f>IF(Table1[[#This Row],[Is Data Valid]]=TRUE,_xlfn.NORM.S.DIST(Table1[[#This Row],[Birthweight Z-Score]],TRUE)*100,"")</f>
        <v/>
      </c>
      <c r="K3503" s="7" t="str">
        <f>IF(Table1[[#This Row],[Is Data Valid]]=TRUE,_xlfn.NORM.S.DIST(Table1[[#This Row],[Birthweight Z-Score (BW-10%)]],TRUE)*100,"")</f>
        <v/>
      </c>
      <c r="L3503" s="7" t="str">
        <f>IF(Table1[[#This Row],[Is Data Valid]]=TRUE,_xlfn.NORM.S.DIST(Table1[[#This Row],[Birthweight Z-Score (BW+10%)]],TRUE)*100,"")</f>
        <v/>
      </c>
    </row>
    <row r="3504" spans="1:12" x14ac:dyDescent="0.35">
      <c r="A3504" s="3"/>
      <c r="B3504" s="2"/>
      <c r="C3504" s="2"/>
      <c r="D3504" s="2" t="b">
        <f>IF(AND(NOT(ISBLANK(Table1[[#This Row],[Fetal Sex (Male, Female or Unknown)]])),ISNUMBER(Table1[[#This Row],[Birthweight (grams)]]),ISNUMBER(Table1[[#This Row],[Gestation (days)]])),TRUE,FALSE)</f>
        <v>0</v>
      </c>
      <c r="E3504" s="2" t="str">
        <f>IF(Table1[[#This Row],[Is Data Valid]]=TRUE,IF(Table1[[#This Row],[Fetal Sex (Male, Female or Unknown)]]="Male",Backend!$C$6,IF(Table1[[#This Row],[Fetal Sex (Male, Female or Unknown)]]="Female",Backend!$C$7,IF(Table1[[#This Row],[Fetal Sex (Male, Female or Unknown)]]="Unknown",Backend!$C$8,"Error"))),"")</f>
        <v/>
      </c>
      <c r="F3504" s="8" t="str">
        <f>IF(Table1[[#This Row],[Is Data Valid]]=TRUE,EXP(0.578+0.332*((Table1[[#This Row],[Gestation (days)]]+0.5)/7)-0.00354*((Table1[[#This Row],[Gestation (days)]]+0.5)/7)^2)*Table1[[#This Row],[BW40_3705]],"")</f>
        <v/>
      </c>
      <c r="G3504" s="2" t="str">
        <f>IF(Table1[[#This Row],[Is Data Valid]]=TRUE,((Table1[[#This Row],[Birthweight (grams)]]/Table1[[#This Row],[BW_GA]])-1)/(Backend!$B$4/100*Table1[[#This Row],[BW40_3705]]),"")</f>
        <v/>
      </c>
      <c r="H3504" s="7" t="str">
        <f>IF(Table1[[#This Row],[Is Data Valid]]=TRUE,((Table1[[#This Row],[Birthweight (grams)]]*0.9/Table1[[#This Row],[BW_GA]])-1)/(Backend!$B$4/100*Table1[[#This Row],[BW40_3705]]),"")</f>
        <v/>
      </c>
      <c r="I3504" s="7" t="str">
        <f>IF(Table1[[#This Row],[Is Data Valid]]=TRUE,((Table1[[#This Row],[Birthweight (grams)]]*1.1/Table1[[#This Row],[BW_GA]])-1)/(Backend!$B$4/100*Table1[[#This Row],[BW40_3705]]),"")</f>
        <v/>
      </c>
      <c r="J3504" s="7" t="str">
        <f>IF(Table1[[#This Row],[Is Data Valid]]=TRUE,_xlfn.NORM.S.DIST(Table1[[#This Row],[Birthweight Z-Score]],TRUE)*100,"")</f>
        <v/>
      </c>
      <c r="K3504" s="7" t="str">
        <f>IF(Table1[[#This Row],[Is Data Valid]]=TRUE,_xlfn.NORM.S.DIST(Table1[[#This Row],[Birthweight Z-Score (BW-10%)]],TRUE)*100,"")</f>
        <v/>
      </c>
      <c r="L3504" s="7" t="str">
        <f>IF(Table1[[#This Row],[Is Data Valid]]=TRUE,_xlfn.NORM.S.DIST(Table1[[#This Row],[Birthweight Z-Score (BW+10%)]],TRUE)*100,"")</f>
        <v/>
      </c>
    </row>
    <row r="3505" spans="1:12" x14ac:dyDescent="0.35">
      <c r="A3505" s="3"/>
      <c r="B3505" s="2"/>
      <c r="C3505" s="2"/>
      <c r="D3505" s="2" t="b">
        <f>IF(AND(NOT(ISBLANK(Table1[[#This Row],[Fetal Sex (Male, Female or Unknown)]])),ISNUMBER(Table1[[#This Row],[Birthweight (grams)]]),ISNUMBER(Table1[[#This Row],[Gestation (days)]])),TRUE,FALSE)</f>
        <v>0</v>
      </c>
      <c r="E3505" s="2" t="str">
        <f>IF(Table1[[#This Row],[Is Data Valid]]=TRUE,IF(Table1[[#This Row],[Fetal Sex (Male, Female or Unknown)]]="Male",Backend!$C$6,IF(Table1[[#This Row],[Fetal Sex (Male, Female or Unknown)]]="Female",Backend!$C$7,IF(Table1[[#This Row],[Fetal Sex (Male, Female or Unknown)]]="Unknown",Backend!$C$8,"Error"))),"")</f>
        <v/>
      </c>
      <c r="F3505" s="8" t="str">
        <f>IF(Table1[[#This Row],[Is Data Valid]]=TRUE,EXP(0.578+0.332*((Table1[[#This Row],[Gestation (days)]]+0.5)/7)-0.00354*((Table1[[#This Row],[Gestation (days)]]+0.5)/7)^2)*Table1[[#This Row],[BW40_3705]],"")</f>
        <v/>
      </c>
      <c r="G3505" s="2" t="str">
        <f>IF(Table1[[#This Row],[Is Data Valid]]=TRUE,((Table1[[#This Row],[Birthweight (grams)]]/Table1[[#This Row],[BW_GA]])-1)/(Backend!$B$4/100*Table1[[#This Row],[BW40_3705]]),"")</f>
        <v/>
      </c>
      <c r="H3505" s="7" t="str">
        <f>IF(Table1[[#This Row],[Is Data Valid]]=TRUE,((Table1[[#This Row],[Birthweight (grams)]]*0.9/Table1[[#This Row],[BW_GA]])-1)/(Backend!$B$4/100*Table1[[#This Row],[BW40_3705]]),"")</f>
        <v/>
      </c>
      <c r="I3505" s="7" t="str">
        <f>IF(Table1[[#This Row],[Is Data Valid]]=TRUE,((Table1[[#This Row],[Birthweight (grams)]]*1.1/Table1[[#This Row],[BW_GA]])-1)/(Backend!$B$4/100*Table1[[#This Row],[BW40_3705]]),"")</f>
        <v/>
      </c>
      <c r="J3505" s="7" t="str">
        <f>IF(Table1[[#This Row],[Is Data Valid]]=TRUE,_xlfn.NORM.S.DIST(Table1[[#This Row],[Birthweight Z-Score]],TRUE)*100,"")</f>
        <v/>
      </c>
      <c r="K3505" s="7" t="str">
        <f>IF(Table1[[#This Row],[Is Data Valid]]=TRUE,_xlfn.NORM.S.DIST(Table1[[#This Row],[Birthweight Z-Score (BW-10%)]],TRUE)*100,"")</f>
        <v/>
      </c>
      <c r="L3505" s="7" t="str">
        <f>IF(Table1[[#This Row],[Is Data Valid]]=TRUE,_xlfn.NORM.S.DIST(Table1[[#This Row],[Birthweight Z-Score (BW+10%)]],TRUE)*100,"")</f>
        <v/>
      </c>
    </row>
    <row r="3506" spans="1:12" x14ac:dyDescent="0.35">
      <c r="A3506" s="3"/>
      <c r="B3506" s="2"/>
      <c r="C3506" s="2"/>
      <c r="D3506" s="2" t="b">
        <f>IF(AND(NOT(ISBLANK(Table1[[#This Row],[Fetal Sex (Male, Female or Unknown)]])),ISNUMBER(Table1[[#This Row],[Birthweight (grams)]]),ISNUMBER(Table1[[#This Row],[Gestation (days)]])),TRUE,FALSE)</f>
        <v>0</v>
      </c>
      <c r="E3506" s="2" t="str">
        <f>IF(Table1[[#This Row],[Is Data Valid]]=TRUE,IF(Table1[[#This Row],[Fetal Sex (Male, Female or Unknown)]]="Male",Backend!$C$6,IF(Table1[[#This Row],[Fetal Sex (Male, Female or Unknown)]]="Female",Backend!$C$7,IF(Table1[[#This Row],[Fetal Sex (Male, Female or Unknown)]]="Unknown",Backend!$C$8,"Error"))),"")</f>
        <v/>
      </c>
      <c r="F3506" s="8" t="str">
        <f>IF(Table1[[#This Row],[Is Data Valid]]=TRUE,EXP(0.578+0.332*((Table1[[#This Row],[Gestation (days)]]+0.5)/7)-0.00354*((Table1[[#This Row],[Gestation (days)]]+0.5)/7)^2)*Table1[[#This Row],[BW40_3705]],"")</f>
        <v/>
      </c>
      <c r="G3506" s="2" t="str">
        <f>IF(Table1[[#This Row],[Is Data Valid]]=TRUE,((Table1[[#This Row],[Birthweight (grams)]]/Table1[[#This Row],[BW_GA]])-1)/(Backend!$B$4/100*Table1[[#This Row],[BW40_3705]]),"")</f>
        <v/>
      </c>
      <c r="H3506" s="7" t="str">
        <f>IF(Table1[[#This Row],[Is Data Valid]]=TRUE,((Table1[[#This Row],[Birthweight (grams)]]*0.9/Table1[[#This Row],[BW_GA]])-1)/(Backend!$B$4/100*Table1[[#This Row],[BW40_3705]]),"")</f>
        <v/>
      </c>
      <c r="I3506" s="7" t="str">
        <f>IF(Table1[[#This Row],[Is Data Valid]]=TRUE,((Table1[[#This Row],[Birthweight (grams)]]*1.1/Table1[[#This Row],[BW_GA]])-1)/(Backend!$B$4/100*Table1[[#This Row],[BW40_3705]]),"")</f>
        <v/>
      </c>
      <c r="J3506" s="7" t="str">
        <f>IF(Table1[[#This Row],[Is Data Valid]]=TRUE,_xlfn.NORM.S.DIST(Table1[[#This Row],[Birthweight Z-Score]],TRUE)*100,"")</f>
        <v/>
      </c>
      <c r="K3506" s="7" t="str">
        <f>IF(Table1[[#This Row],[Is Data Valid]]=TRUE,_xlfn.NORM.S.DIST(Table1[[#This Row],[Birthweight Z-Score (BW-10%)]],TRUE)*100,"")</f>
        <v/>
      </c>
      <c r="L3506" s="7" t="str">
        <f>IF(Table1[[#This Row],[Is Data Valid]]=TRUE,_xlfn.NORM.S.DIST(Table1[[#This Row],[Birthweight Z-Score (BW+10%)]],TRUE)*100,"")</f>
        <v/>
      </c>
    </row>
    <row r="3507" spans="1:12" x14ac:dyDescent="0.35">
      <c r="A3507" s="3"/>
      <c r="B3507" s="2"/>
      <c r="C3507" s="2"/>
      <c r="D3507" s="2" t="b">
        <f>IF(AND(NOT(ISBLANK(Table1[[#This Row],[Fetal Sex (Male, Female or Unknown)]])),ISNUMBER(Table1[[#This Row],[Birthweight (grams)]]),ISNUMBER(Table1[[#This Row],[Gestation (days)]])),TRUE,FALSE)</f>
        <v>0</v>
      </c>
      <c r="E3507" s="2" t="str">
        <f>IF(Table1[[#This Row],[Is Data Valid]]=TRUE,IF(Table1[[#This Row],[Fetal Sex (Male, Female or Unknown)]]="Male",Backend!$C$6,IF(Table1[[#This Row],[Fetal Sex (Male, Female or Unknown)]]="Female",Backend!$C$7,IF(Table1[[#This Row],[Fetal Sex (Male, Female or Unknown)]]="Unknown",Backend!$C$8,"Error"))),"")</f>
        <v/>
      </c>
      <c r="F3507" s="8" t="str">
        <f>IF(Table1[[#This Row],[Is Data Valid]]=TRUE,EXP(0.578+0.332*((Table1[[#This Row],[Gestation (days)]]+0.5)/7)-0.00354*((Table1[[#This Row],[Gestation (days)]]+0.5)/7)^2)*Table1[[#This Row],[BW40_3705]],"")</f>
        <v/>
      </c>
      <c r="G3507" s="2" t="str">
        <f>IF(Table1[[#This Row],[Is Data Valid]]=TRUE,((Table1[[#This Row],[Birthweight (grams)]]/Table1[[#This Row],[BW_GA]])-1)/(Backend!$B$4/100*Table1[[#This Row],[BW40_3705]]),"")</f>
        <v/>
      </c>
      <c r="H3507" s="7" t="str">
        <f>IF(Table1[[#This Row],[Is Data Valid]]=TRUE,((Table1[[#This Row],[Birthweight (grams)]]*0.9/Table1[[#This Row],[BW_GA]])-1)/(Backend!$B$4/100*Table1[[#This Row],[BW40_3705]]),"")</f>
        <v/>
      </c>
      <c r="I3507" s="7" t="str">
        <f>IF(Table1[[#This Row],[Is Data Valid]]=TRUE,((Table1[[#This Row],[Birthweight (grams)]]*1.1/Table1[[#This Row],[BW_GA]])-1)/(Backend!$B$4/100*Table1[[#This Row],[BW40_3705]]),"")</f>
        <v/>
      </c>
      <c r="J3507" s="7" t="str">
        <f>IF(Table1[[#This Row],[Is Data Valid]]=TRUE,_xlfn.NORM.S.DIST(Table1[[#This Row],[Birthweight Z-Score]],TRUE)*100,"")</f>
        <v/>
      </c>
      <c r="K3507" s="7" t="str">
        <f>IF(Table1[[#This Row],[Is Data Valid]]=TRUE,_xlfn.NORM.S.DIST(Table1[[#This Row],[Birthweight Z-Score (BW-10%)]],TRUE)*100,"")</f>
        <v/>
      </c>
      <c r="L3507" s="7" t="str">
        <f>IF(Table1[[#This Row],[Is Data Valid]]=TRUE,_xlfn.NORM.S.DIST(Table1[[#This Row],[Birthweight Z-Score (BW+10%)]],TRUE)*100,"")</f>
        <v/>
      </c>
    </row>
    <row r="3508" spans="1:12" x14ac:dyDescent="0.35">
      <c r="A3508" s="3"/>
      <c r="B3508" s="2"/>
      <c r="C3508" s="2"/>
      <c r="D3508" s="2" t="b">
        <f>IF(AND(NOT(ISBLANK(Table1[[#This Row],[Fetal Sex (Male, Female or Unknown)]])),ISNUMBER(Table1[[#This Row],[Birthweight (grams)]]),ISNUMBER(Table1[[#This Row],[Gestation (days)]])),TRUE,FALSE)</f>
        <v>0</v>
      </c>
      <c r="E3508" s="2" t="str">
        <f>IF(Table1[[#This Row],[Is Data Valid]]=TRUE,IF(Table1[[#This Row],[Fetal Sex (Male, Female or Unknown)]]="Male",Backend!$C$6,IF(Table1[[#This Row],[Fetal Sex (Male, Female or Unknown)]]="Female",Backend!$C$7,IF(Table1[[#This Row],[Fetal Sex (Male, Female or Unknown)]]="Unknown",Backend!$C$8,"Error"))),"")</f>
        <v/>
      </c>
      <c r="F3508" s="8" t="str">
        <f>IF(Table1[[#This Row],[Is Data Valid]]=TRUE,EXP(0.578+0.332*((Table1[[#This Row],[Gestation (days)]]+0.5)/7)-0.00354*((Table1[[#This Row],[Gestation (days)]]+0.5)/7)^2)*Table1[[#This Row],[BW40_3705]],"")</f>
        <v/>
      </c>
      <c r="G3508" s="2" t="str">
        <f>IF(Table1[[#This Row],[Is Data Valid]]=TRUE,((Table1[[#This Row],[Birthweight (grams)]]/Table1[[#This Row],[BW_GA]])-1)/(Backend!$B$4/100*Table1[[#This Row],[BW40_3705]]),"")</f>
        <v/>
      </c>
      <c r="H3508" s="7" t="str">
        <f>IF(Table1[[#This Row],[Is Data Valid]]=TRUE,((Table1[[#This Row],[Birthweight (grams)]]*0.9/Table1[[#This Row],[BW_GA]])-1)/(Backend!$B$4/100*Table1[[#This Row],[BW40_3705]]),"")</f>
        <v/>
      </c>
      <c r="I3508" s="7" t="str">
        <f>IF(Table1[[#This Row],[Is Data Valid]]=TRUE,((Table1[[#This Row],[Birthweight (grams)]]*1.1/Table1[[#This Row],[BW_GA]])-1)/(Backend!$B$4/100*Table1[[#This Row],[BW40_3705]]),"")</f>
        <v/>
      </c>
      <c r="J3508" s="7" t="str">
        <f>IF(Table1[[#This Row],[Is Data Valid]]=TRUE,_xlfn.NORM.S.DIST(Table1[[#This Row],[Birthweight Z-Score]],TRUE)*100,"")</f>
        <v/>
      </c>
      <c r="K3508" s="7" t="str">
        <f>IF(Table1[[#This Row],[Is Data Valid]]=TRUE,_xlfn.NORM.S.DIST(Table1[[#This Row],[Birthweight Z-Score (BW-10%)]],TRUE)*100,"")</f>
        <v/>
      </c>
      <c r="L3508" s="7" t="str">
        <f>IF(Table1[[#This Row],[Is Data Valid]]=TRUE,_xlfn.NORM.S.DIST(Table1[[#This Row],[Birthweight Z-Score (BW+10%)]],TRUE)*100,"")</f>
        <v/>
      </c>
    </row>
    <row r="3509" spans="1:12" x14ac:dyDescent="0.35">
      <c r="A3509" s="3"/>
      <c r="B3509" s="2"/>
      <c r="C3509" s="2"/>
      <c r="D3509" s="2" t="b">
        <f>IF(AND(NOT(ISBLANK(Table1[[#This Row],[Fetal Sex (Male, Female or Unknown)]])),ISNUMBER(Table1[[#This Row],[Birthweight (grams)]]),ISNUMBER(Table1[[#This Row],[Gestation (days)]])),TRUE,FALSE)</f>
        <v>0</v>
      </c>
      <c r="E3509" s="2" t="str">
        <f>IF(Table1[[#This Row],[Is Data Valid]]=TRUE,IF(Table1[[#This Row],[Fetal Sex (Male, Female or Unknown)]]="Male",Backend!$C$6,IF(Table1[[#This Row],[Fetal Sex (Male, Female or Unknown)]]="Female",Backend!$C$7,IF(Table1[[#This Row],[Fetal Sex (Male, Female or Unknown)]]="Unknown",Backend!$C$8,"Error"))),"")</f>
        <v/>
      </c>
      <c r="F3509" s="8" t="str">
        <f>IF(Table1[[#This Row],[Is Data Valid]]=TRUE,EXP(0.578+0.332*((Table1[[#This Row],[Gestation (days)]]+0.5)/7)-0.00354*((Table1[[#This Row],[Gestation (days)]]+0.5)/7)^2)*Table1[[#This Row],[BW40_3705]],"")</f>
        <v/>
      </c>
      <c r="G3509" s="2" t="str">
        <f>IF(Table1[[#This Row],[Is Data Valid]]=TRUE,((Table1[[#This Row],[Birthweight (grams)]]/Table1[[#This Row],[BW_GA]])-1)/(Backend!$B$4/100*Table1[[#This Row],[BW40_3705]]),"")</f>
        <v/>
      </c>
      <c r="H3509" s="7" t="str">
        <f>IF(Table1[[#This Row],[Is Data Valid]]=TRUE,((Table1[[#This Row],[Birthweight (grams)]]*0.9/Table1[[#This Row],[BW_GA]])-1)/(Backend!$B$4/100*Table1[[#This Row],[BW40_3705]]),"")</f>
        <v/>
      </c>
      <c r="I3509" s="7" t="str">
        <f>IF(Table1[[#This Row],[Is Data Valid]]=TRUE,((Table1[[#This Row],[Birthweight (grams)]]*1.1/Table1[[#This Row],[BW_GA]])-1)/(Backend!$B$4/100*Table1[[#This Row],[BW40_3705]]),"")</f>
        <v/>
      </c>
      <c r="J3509" s="7" t="str">
        <f>IF(Table1[[#This Row],[Is Data Valid]]=TRUE,_xlfn.NORM.S.DIST(Table1[[#This Row],[Birthweight Z-Score]],TRUE)*100,"")</f>
        <v/>
      </c>
      <c r="K3509" s="7" t="str">
        <f>IF(Table1[[#This Row],[Is Data Valid]]=TRUE,_xlfn.NORM.S.DIST(Table1[[#This Row],[Birthweight Z-Score (BW-10%)]],TRUE)*100,"")</f>
        <v/>
      </c>
      <c r="L3509" s="7" t="str">
        <f>IF(Table1[[#This Row],[Is Data Valid]]=TRUE,_xlfn.NORM.S.DIST(Table1[[#This Row],[Birthweight Z-Score (BW+10%)]],TRUE)*100,"")</f>
        <v/>
      </c>
    </row>
    <row r="3510" spans="1:12" x14ac:dyDescent="0.35">
      <c r="A3510" s="3"/>
      <c r="B3510" s="2"/>
      <c r="C3510" s="2"/>
      <c r="D3510" s="2" t="b">
        <f>IF(AND(NOT(ISBLANK(Table1[[#This Row],[Fetal Sex (Male, Female or Unknown)]])),ISNUMBER(Table1[[#This Row],[Birthweight (grams)]]),ISNUMBER(Table1[[#This Row],[Gestation (days)]])),TRUE,FALSE)</f>
        <v>0</v>
      </c>
      <c r="E3510" s="2" t="str">
        <f>IF(Table1[[#This Row],[Is Data Valid]]=TRUE,IF(Table1[[#This Row],[Fetal Sex (Male, Female or Unknown)]]="Male",Backend!$C$6,IF(Table1[[#This Row],[Fetal Sex (Male, Female or Unknown)]]="Female",Backend!$C$7,IF(Table1[[#This Row],[Fetal Sex (Male, Female or Unknown)]]="Unknown",Backend!$C$8,"Error"))),"")</f>
        <v/>
      </c>
      <c r="F3510" s="8" t="str">
        <f>IF(Table1[[#This Row],[Is Data Valid]]=TRUE,EXP(0.578+0.332*((Table1[[#This Row],[Gestation (days)]]+0.5)/7)-0.00354*((Table1[[#This Row],[Gestation (days)]]+0.5)/7)^2)*Table1[[#This Row],[BW40_3705]],"")</f>
        <v/>
      </c>
      <c r="G3510" s="2" t="str">
        <f>IF(Table1[[#This Row],[Is Data Valid]]=TRUE,((Table1[[#This Row],[Birthweight (grams)]]/Table1[[#This Row],[BW_GA]])-1)/(Backend!$B$4/100*Table1[[#This Row],[BW40_3705]]),"")</f>
        <v/>
      </c>
      <c r="H3510" s="7" t="str">
        <f>IF(Table1[[#This Row],[Is Data Valid]]=TRUE,((Table1[[#This Row],[Birthweight (grams)]]*0.9/Table1[[#This Row],[BW_GA]])-1)/(Backend!$B$4/100*Table1[[#This Row],[BW40_3705]]),"")</f>
        <v/>
      </c>
      <c r="I3510" s="7" t="str">
        <f>IF(Table1[[#This Row],[Is Data Valid]]=TRUE,((Table1[[#This Row],[Birthweight (grams)]]*1.1/Table1[[#This Row],[BW_GA]])-1)/(Backend!$B$4/100*Table1[[#This Row],[BW40_3705]]),"")</f>
        <v/>
      </c>
      <c r="J3510" s="7" t="str">
        <f>IF(Table1[[#This Row],[Is Data Valid]]=TRUE,_xlfn.NORM.S.DIST(Table1[[#This Row],[Birthweight Z-Score]],TRUE)*100,"")</f>
        <v/>
      </c>
      <c r="K3510" s="7" t="str">
        <f>IF(Table1[[#This Row],[Is Data Valid]]=TRUE,_xlfn.NORM.S.DIST(Table1[[#This Row],[Birthweight Z-Score (BW-10%)]],TRUE)*100,"")</f>
        <v/>
      </c>
      <c r="L3510" s="7" t="str">
        <f>IF(Table1[[#This Row],[Is Data Valid]]=TRUE,_xlfn.NORM.S.DIST(Table1[[#This Row],[Birthweight Z-Score (BW+10%)]],TRUE)*100,"")</f>
        <v/>
      </c>
    </row>
    <row r="3511" spans="1:12" x14ac:dyDescent="0.35">
      <c r="A3511" s="3"/>
      <c r="B3511" s="2"/>
      <c r="C3511" s="2"/>
      <c r="D3511" s="2" t="b">
        <f>IF(AND(NOT(ISBLANK(Table1[[#This Row],[Fetal Sex (Male, Female or Unknown)]])),ISNUMBER(Table1[[#This Row],[Birthweight (grams)]]),ISNUMBER(Table1[[#This Row],[Gestation (days)]])),TRUE,FALSE)</f>
        <v>0</v>
      </c>
      <c r="E3511" s="2" t="str">
        <f>IF(Table1[[#This Row],[Is Data Valid]]=TRUE,IF(Table1[[#This Row],[Fetal Sex (Male, Female or Unknown)]]="Male",Backend!$C$6,IF(Table1[[#This Row],[Fetal Sex (Male, Female or Unknown)]]="Female",Backend!$C$7,IF(Table1[[#This Row],[Fetal Sex (Male, Female or Unknown)]]="Unknown",Backend!$C$8,"Error"))),"")</f>
        <v/>
      </c>
      <c r="F3511" s="8" t="str">
        <f>IF(Table1[[#This Row],[Is Data Valid]]=TRUE,EXP(0.578+0.332*((Table1[[#This Row],[Gestation (days)]]+0.5)/7)-0.00354*((Table1[[#This Row],[Gestation (days)]]+0.5)/7)^2)*Table1[[#This Row],[BW40_3705]],"")</f>
        <v/>
      </c>
      <c r="G3511" s="2" t="str">
        <f>IF(Table1[[#This Row],[Is Data Valid]]=TRUE,((Table1[[#This Row],[Birthweight (grams)]]/Table1[[#This Row],[BW_GA]])-1)/(Backend!$B$4/100*Table1[[#This Row],[BW40_3705]]),"")</f>
        <v/>
      </c>
      <c r="H3511" s="7" t="str">
        <f>IF(Table1[[#This Row],[Is Data Valid]]=TRUE,((Table1[[#This Row],[Birthweight (grams)]]*0.9/Table1[[#This Row],[BW_GA]])-1)/(Backend!$B$4/100*Table1[[#This Row],[BW40_3705]]),"")</f>
        <v/>
      </c>
      <c r="I3511" s="7" t="str">
        <f>IF(Table1[[#This Row],[Is Data Valid]]=TRUE,((Table1[[#This Row],[Birthweight (grams)]]*1.1/Table1[[#This Row],[BW_GA]])-1)/(Backend!$B$4/100*Table1[[#This Row],[BW40_3705]]),"")</f>
        <v/>
      </c>
      <c r="J3511" s="7" t="str">
        <f>IF(Table1[[#This Row],[Is Data Valid]]=TRUE,_xlfn.NORM.S.DIST(Table1[[#This Row],[Birthweight Z-Score]],TRUE)*100,"")</f>
        <v/>
      </c>
      <c r="K3511" s="7" t="str">
        <f>IF(Table1[[#This Row],[Is Data Valid]]=TRUE,_xlfn.NORM.S.DIST(Table1[[#This Row],[Birthweight Z-Score (BW-10%)]],TRUE)*100,"")</f>
        <v/>
      </c>
      <c r="L3511" s="7" t="str">
        <f>IF(Table1[[#This Row],[Is Data Valid]]=TRUE,_xlfn.NORM.S.DIST(Table1[[#This Row],[Birthweight Z-Score (BW+10%)]],TRUE)*100,"")</f>
        <v/>
      </c>
    </row>
    <row r="3512" spans="1:12" x14ac:dyDescent="0.35">
      <c r="A3512" s="3"/>
      <c r="B3512" s="2"/>
      <c r="C3512" s="2"/>
      <c r="D3512" s="2" t="b">
        <f>IF(AND(NOT(ISBLANK(Table1[[#This Row],[Fetal Sex (Male, Female or Unknown)]])),ISNUMBER(Table1[[#This Row],[Birthweight (grams)]]),ISNUMBER(Table1[[#This Row],[Gestation (days)]])),TRUE,FALSE)</f>
        <v>0</v>
      </c>
      <c r="E3512" s="2" t="str">
        <f>IF(Table1[[#This Row],[Is Data Valid]]=TRUE,IF(Table1[[#This Row],[Fetal Sex (Male, Female or Unknown)]]="Male",Backend!$C$6,IF(Table1[[#This Row],[Fetal Sex (Male, Female or Unknown)]]="Female",Backend!$C$7,IF(Table1[[#This Row],[Fetal Sex (Male, Female or Unknown)]]="Unknown",Backend!$C$8,"Error"))),"")</f>
        <v/>
      </c>
      <c r="F3512" s="8" t="str">
        <f>IF(Table1[[#This Row],[Is Data Valid]]=TRUE,EXP(0.578+0.332*((Table1[[#This Row],[Gestation (days)]]+0.5)/7)-0.00354*((Table1[[#This Row],[Gestation (days)]]+0.5)/7)^2)*Table1[[#This Row],[BW40_3705]],"")</f>
        <v/>
      </c>
      <c r="G3512" s="2" t="str">
        <f>IF(Table1[[#This Row],[Is Data Valid]]=TRUE,((Table1[[#This Row],[Birthweight (grams)]]/Table1[[#This Row],[BW_GA]])-1)/(Backend!$B$4/100*Table1[[#This Row],[BW40_3705]]),"")</f>
        <v/>
      </c>
      <c r="H3512" s="7" t="str">
        <f>IF(Table1[[#This Row],[Is Data Valid]]=TRUE,((Table1[[#This Row],[Birthweight (grams)]]*0.9/Table1[[#This Row],[BW_GA]])-1)/(Backend!$B$4/100*Table1[[#This Row],[BW40_3705]]),"")</f>
        <v/>
      </c>
      <c r="I3512" s="7" t="str">
        <f>IF(Table1[[#This Row],[Is Data Valid]]=TRUE,((Table1[[#This Row],[Birthweight (grams)]]*1.1/Table1[[#This Row],[BW_GA]])-1)/(Backend!$B$4/100*Table1[[#This Row],[BW40_3705]]),"")</f>
        <v/>
      </c>
      <c r="J3512" s="7" t="str">
        <f>IF(Table1[[#This Row],[Is Data Valid]]=TRUE,_xlfn.NORM.S.DIST(Table1[[#This Row],[Birthweight Z-Score]],TRUE)*100,"")</f>
        <v/>
      </c>
      <c r="K3512" s="7" t="str">
        <f>IF(Table1[[#This Row],[Is Data Valid]]=TRUE,_xlfn.NORM.S.DIST(Table1[[#This Row],[Birthweight Z-Score (BW-10%)]],TRUE)*100,"")</f>
        <v/>
      </c>
      <c r="L3512" s="7" t="str">
        <f>IF(Table1[[#This Row],[Is Data Valid]]=TRUE,_xlfn.NORM.S.DIST(Table1[[#This Row],[Birthweight Z-Score (BW+10%)]],TRUE)*100,"")</f>
        <v/>
      </c>
    </row>
    <row r="3513" spans="1:12" x14ac:dyDescent="0.35">
      <c r="A3513" s="3"/>
      <c r="B3513" s="2"/>
      <c r="C3513" s="2"/>
      <c r="D3513" s="2" t="b">
        <f>IF(AND(NOT(ISBLANK(Table1[[#This Row],[Fetal Sex (Male, Female or Unknown)]])),ISNUMBER(Table1[[#This Row],[Birthweight (grams)]]),ISNUMBER(Table1[[#This Row],[Gestation (days)]])),TRUE,FALSE)</f>
        <v>0</v>
      </c>
      <c r="E3513" s="2" t="str">
        <f>IF(Table1[[#This Row],[Is Data Valid]]=TRUE,IF(Table1[[#This Row],[Fetal Sex (Male, Female or Unknown)]]="Male",Backend!$C$6,IF(Table1[[#This Row],[Fetal Sex (Male, Female or Unknown)]]="Female",Backend!$C$7,IF(Table1[[#This Row],[Fetal Sex (Male, Female or Unknown)]]="Unknown",Backend!$C$8,"Error"))),"")</f>
        <v/>
      </c>
      <c r="F3513" s="8" t="str">
        <f>IF(Table1[[#This Row],[Is Data Valid]]=TRUE,EXP(0.578+0.332*((Table1[[#This Row],[Gestation (days)]]+0.5)/7)-0.00354*((Table1[[#This Row],[Gestation (days)]]+0.5)/7)^2)*Table1[[#This Row],[BW40_3705]],"")</f>
        <v/>
      </c>
      <c r="G3513" s="2" t="str">
        <f>IF(Table1[[#This Row],[Is Data Valid]]=TRUE,((Table1[[#This Row],[Birthweight (grams)]]/Table1[[#This Row],[BW_GA]])-1)/(Backend!$B$4/100*Table1[[#This Row],[BW40_3705]]),"")</f>
        <v/>
      </c>
      <c r="H3513" s="7" t="str">
        <f>IF(Table1[[#This Row],[Is Data Valid]]=TRUE,((Table1[[#This Row],[Birthweight (grams)]]*0.9/Table1[[#This Row],[BW_GA]])-1)/(Backend!$B$4/100*Table1[[#This Row],[BW40_3705]]),"")</f>
        <v/>
      </c>
      <c r="I3513" s="7" t="str">
        <f>IF(Table1[[#This Row],[Is Data Valid]]=TRUE,((Table1[[#This Row],[Birthweight (grams)]]*1.1/Table1[[#This Row],[BW_GA]])-1)/(Backend!$B$4/100*Table1[[#This Row],[BW40_3705]]),"")</f>
        <v/>
      </c>
      <c r="J3513" s="7" t="str">
        <f>IF(Table1[[#This Row],[Is Data Valid]]=TRUE,_xlfn.NORM.S.DIST(Table1[[#This Row],[Birthweight Z-Score]],TRUE)*100,"")</f>
        <v/>
      </c>
      <c r="K3513" s="7" t="str">
        <f>IF(Table1[[#This Row],[Is Data Valid]]=TRUE,_xlfn.NORM.S.DIST(Table1[[#This Row],[Birthweight Z-Score (BW-10%)]],TRUE)*100,"")</f>
        <v/>
      </c>
      <c r="L3513" s="7" t="str">
        <f>IF(Table1[[#This Row],[Is Data Valid]]=TRUE,_xlfn.NORM.S.DIST(Table1[[#This Row],[Birthweight Z-Score (BW+10%)]],TRUE)*100,"")</f>
        <v/>
      </c>
    </row>
    <row r="3514" spans="1:12" x14ac:dyDescent="0.35">
      <c r="A3514" s="3"/>
      <c r="B3514" s="2"/>
      <c r="C3514" s="2"/>
      <c r="D3514" s="2" t="b">
        <f>IF(AND(NOT(ISBLANK(Table1[[#This Row],[Fetal Sex (Male, Female or Unknown)]])),ISNUMBER(Table1[[#This Row],[Birthweight (grams)]]),ISNUMBER(Table1[[#This Row],[Gestation (days)]])),TRUE,FALSE)</f>
        <v>0</v>
      </c>
      <c r="E3514" s="2" t="str">
        <f>IF(Table1[[#This Row],[Is Data Valid]]=TRUE,IF(Table1[[#This Row],[Fetal Sex (Male, Female or Unknown)]]="Male",Backend!$C$6,IF(Table1[[#This Row],[Fetal Sex (Male, Female or Unknown)]]="Female",Backend!$C$7,IF(Table1[[#This Row],[Fetal Sex (Male, Female or Unknown)]]="Unknown",Backend!$C$8,"Error"))),"")</f>
        <v/>
      </c>
      <c r="F3514" s="8" t="str">
        <f>IF(Table1[[#This Row],[Is Data Valid]]=TRUE,EXP(0.578+0.332*((Table1[[#This Row],[Gestation (days)]]+0.5)/7)-0.00354*((Table1[[#This Row],[Gestation (days)]]+0.5)/7)^2)*Table1[[#This Row],[BW40_3705]],"")</f>
        <v/>
      </c>
      <c r="G3514" s="2" t="str">
        <f>IF(Table1[[#This Row],[Is Data Valid]]=TRUE,((Table1[[#This Row],[Birthweight (grams)]]/Table1[[#This Row],[BW_GA]])-1)/(Backend!$B$4/100*Table1[[#This Row],[BW40_3705]]),"")</f>
        <v/>
      </c>
      <c r="H3514" s="7" t="str">
        <f>IF(Table1[[#This Row],[Is Data Valid]]=TRUE,((Table1[[#This Row],[Birthweight (grams)]]*0.9/Table1[[#This Row],[BW_GA]])-1)/(Backend!$B$4/100*Table1[[#This Row],[BW40_3705]]),"")</f>
        <v/>
      </c>
      <c r="I3514" s="7" t="str">
        <f>IF(Table1[[#This Row],[Is Data Valid]]=TRUE,((Table1[[#This Row],[Birthweight (grams)]]*1.1/Table1[[#This Row],[BW_GA]])-1)/(Backend!$B$4/100*Table1[[#This Row],[BW40_3705]]),"")</f>
        <v/>
      </c>
      <c r="J3514" s="7" t="str">
        <f>IF(Table1[[#This Row],[Is Data Valid]]=TRUE,_xlfn.NORM.S.DIST(Table1[[#This Row],[Birthweight Z-Score]],TRUE)*100,"")</f>
        <v/>
      </c>
      <c r="K3514" s="7" t="str">
        <f>IF(Table1[[#This Row],[Is Data Valid]]=TRUE,_xlfn.NORM.S.DIST(Table1[[#This Row],[Birthweight Z-Score (BW-10%)]],TRUE)*100,"")</f>
        <v/>
      </c>
      <c r="L3514" s="7" t="str">
        <f>IF(Table1[[#This Row],[Is Data Valid]]=TRUE,_xlfn.NORM.S.DIST(Table1[[#This Row],[Birthweight Z-Score (BW+10%)]],TRUE)*100,"")</f>
        <v/>
      </c>
    </row>
    <row r="3515" spans="1:12" x14ac:dyDescent="0.35">
      <c r="A3515" s="3"/>
      <c r="B3515" s="2"/>
      <c r="C3515" s="2"/>
      <c r="D3515" s="2" t="b">
        <f>IF(AND(NOT(ISBLANK(Table1[[#This Row],[Fetal Sex (Male, Female or Unknown)]])),ISNUMBER(Table1[[#This Row],[Birthweight (grams)]]),ISNUMBER(Table1[[#This Row],[Gestation (days)]])),TRUE,FALSE)</f>
        <v>0</v>
      </c>
      <c r="E3515" s="2" t="str">
        <f>IF(Table1[[#This Row],[Is Data Valid]]=TRUE,IF(Table1[[#This Row],[Fetal Sex (Male, Female or Unknown)]]="Male",Backend!$C$6,IF(Table1[[#This Row],[Fetal Sex (Male, Female or Unknown)]]="Female",Backend!$C$7,IF(Table1[[#This Row],[Fetal Sex (Male, Female or Unknown)]]="Unknown",Backend!$C$8,"Error"))),"")</f>
        <v/>
      </c>
      <c r="F3515" s="8" t="str">
        <f>IF(Table1[[#This Row],[Is Data Valid]]=TRUE,EXP(0.578+0.332*((Table1[[#This Row],[Gestation (days)]]+0.5)/7)-0.00354*((Table1[[#This Row],[Gestation (days)]]+0.5)/7)^2)*Table1[[#This Row],[BW40_3705]],"")</f>
        <v/>
      </c>
      <c r="G3515" s="2" t="str">
        <f>IF(Table1[[#This Row],[Is Data Valid]]=TRUE,((Table1[[#This Row],[Birthweight (grams)]]/Table1[[#This Row],[BW_GA]])-1)/(Backend!$B$4/100*Table1[[#This Row],[BW40_3705]]),"")</f>
        <v/>
      </c>
      <c r="H3515" s="7" t="str">
        <f>IF(Table1[[#This Row],[Is Data Valid]]=TRUE,((Table1[[#This Row],[Birthweight (grams)]]*0.9/Table1[[#This Row],[BW_GA]])-1)/(Backend!$B$4/100*Table1[[#This Row],[BW40_3705]]),"")</f>
        <v/>
      </c>
      <c r="I3515" s="7" t="str">
        <f>IF(Table1[[#This Row],[Is Data Valid]]=TRUE,((Table1[[#This Row],[Birthweight (grams)]]*1.1/Table1[[#This Row],[BW_GA]])-1)/(Backend!$B$4/100*Table1[[#This Row],[BW40_3705]]),"")</f>
        <v/>
      </c>
      <c r="J3515" s="7" t="str">
        <f>IF(Table1[[#This Row],[Is Data Valid]]=TRUE,_xlfn.NORM.S.DIST(Table1[[#This Row],[Birthweight Z-Score]],TRUE)*100,"")</f>
        <v/>
      </c>
      <c r="K3515" s="7" t="str">
        <f>IF(Table1[[#This Row],[Is Data Valid]]=TRUE,_xlfn.NORM.S.DIST(Table1[[#This Row],[Birthweight Z-Score (BW-10%)]],TRUE)*100,"")</f>
        <v/>
      </c>
      <c r="L3515" s="7" t="str">
        <f>IF(Table1[[#This Row],[Is Data Valid]]=TRUE,_xlfn.NORM.S.DIST(Table1[[#This Row],[Birthweight Z-Score (BW+10%)]],TRUE)*100,"")</f>
        <v/>
      </c>
    </row>
    <row r="3516" spans="1:12" x14ac:dyDescent="0.35">
      <c r="A3516" s="3"/>
      <c r="B3516" s="2"/>
      <c r="C3516" s="2"/>
      <c r="D3516" s="2" t="b">
        <f>IF(AND(NOT(ISBLANK(Table1[[#This Row],[Fetal Sex (Male, Female or Unknown)]])),ISNUMBER(Table1[[#This Row],[Birthweight (grams)]]),ISNUMBER(Table1[[#This Row],[Gestation (days)]])),TRUE,FALSE)</f>
        <v>0</v>
      </c>
      <c r="E3516" s="2" t="str">
        <f>IF(Table1[[#This Row],[Is Data Valid]]=TRUE,IF(Table1[[#This Row],[Fetal Sex (Male, Female or Unknown)]]="Male",Backend!$C$6,IF(Table1[[#This Row],[Fetal Sex (Male, Female or Unknown)]]="Female",Backend!$C$7,IF(Table1[[#This Row],[Fetal Sex (Male, Female or Unknown)]]="Unknown",Backend!$C$8,"Error"))),"")</f>
        <v/>
      </c>
      <c r="F3516" s="8" t="str">
        <f>IF(Table1[[#This Row],[Is Data Valid]]=TRUE,EXP(0.578+0.332*((Table1[[#This Row],[Gestation (days)]]+0.5)/7)-0.00354*((Table1[[#This Row],[Gestation (days)]]+0.5)/7)^2)*Table1[[#This Row],[BW40_3705]],"")</f>
        <v/>
      </c>
      <c r="G3516" s="2" t="str">
        <f>IF(Table1[[#This Row],[Is Data Valid]]=TRUE,((Table1[[#This Row],[Birthweight (grams)]]/Table1[[#This Row],[BW_GA]])-1)/(Backend!$B$4/100*Table1[[#This Row],[BW40_3705]]),"")</f>
        <v/>
      </c>
      <c r="H3516" s="7" t="str">
        <f>IF(Table1[[#This Row],[Is Data Valid]]=TRUE,((Table1[[#This Row],[Birthweight (grams)]]*0.9/Table1[[#This Row],[BW_GA]])-1)/(Backend!$B$4/100*Table1[[#This Row],[BW40_3705]]),"")</f>
        <v/>
      </c>
      <c r="I3516" s="7" t="str">
        <f>IF(Table1[[#This Row],[Is Data Valid]]=TRUE,((Table1[[#This Row],[Birthweight (grams)]]*1.1/Table1[[#This Row],[BW_GA]])-1)/(Backend!$B$4/100*Table1[[#This Row],[BW40_3705]]),"")</f>
        <v/>
      </c>
      <c r="J3516" s="7" t="str">
        <f>IF(Table1[[#This Row],[Is Data Valid]]=TRUE,_xlfn.NORM.S.DIST(Table1[[#This Row],[Birthweight Z-Score]],TRUE)*100,"")</f>
        <v/>
      </c>
      <c r="K3516" s="7" t="str">
        <f>IF(Table1[[#This Row],[Is Data Valid]]=TRUE,_xlfn.NORM.S.DIST(Table1[[#This Row],[Birthweight Z-Score (BW-10%)]],TRUE)*100,"")</f>
        <v/>
      </c>
      <c r="L3516" s="7" t="str">
        <f>IF(Table1[[#This Row],[Is Data Valid]]=TRUE,_xlfn.NORM.S.DIST(Table1[[#This Row],[Birthweight Z-Score (BW+10%)]],TRUE)*100,"")</f>
        <v/>
      </c>
    </row>
    <row r="3517" spans="1:12" x14ac:dyDescent="0.35">
      <c r="A3517" s="3"/>
      <c r="B3517" s="2"/>
      <c r="C3517" s="2"/>
      <c r="D3517" s="2" t="b">
        <f>IF(AND(NOT(ISBLANK(Table1[[#This Row],[Fetal Sex (Male, Female or Unknown)]])),ISNUMBER(Table1[[#This Row],[Birthweight (grams)]]),ISNUMBER(Table1[[#This Row],[Gestation (days)]])),TRUE,FALSE)</f>
        <v>0</v>
      </c>
      <c r="E3517" s="2" t="str">
        <f>IF(Table1[[#This Row],[Is Data Valid]]=TRUE,IF(Table1[[#This Row],[Fetal Sex (Male, Female or Unknown)]]="Male",Backend!$C$6,IF(Table1[[#This Row],[Fetal Sex (Male, Female or Unknown)]]="Female",Backend!$C$7,IF(Table1[[#This Row],[Fetal Sex (Male, Female or Unknown)]]="Unknown",Backend!$C$8,"Error"))),"")</f>
        <v/>
      </c>
      <c r="F3517" s="8" t="str">
        <f>IF(Table1[[#This Row],[Is Data Valid]]=TRUE,EXP(0.578+0.332*((Table1[[#This Row],[Gestation (days)]]+0.5)/7)-0.00354*((Table1[[#This Row],[Gestation (days)]]+0.5)/7)^2)*Table1[[#This Row],[BW40_3705]],"")</f>
        <v/>
      </c>
      <c r="G3517" s="2" t="str">
        <f>IF(Table1[[#This Row],[Is Data Valid]]=TRUE,((Table1[[#This Row],[Birthweight (grams)]]/Table1[[#This Row],[BW_GA]])-1)/(Backend!$B$4/100*Table1[[#This Row],[BW40_3705]]),"")</f>
        <v/>
      </c>
      <c r="H3517" s="7" t="str">
        <f>IF(Table1[[#This Row],[Is Data Valid]]=TRUE,((Table1[[#This Row],[Birthweight (grams)]]*0.9/Table1[[#This Row],[BW_GA]])-1)/(Backend!$B$4/100*Table1[[#This Row],[BW40_3705]]),"")</f>
        <v/>
      </c>
      <c r="I3517" s="7" t="str">
        <f>IF(Table1[[#This Row],[Is Data Valid]]=TRUE,((Table1[[#This Row],[Birthweight (grams)]]*1.1/Table1[[#This Row],[BW_GA]])-1)/(Backend!$B$4/100*Table1[[#This Row],[BW40_3705]]),"")</f>
        <v/>
      </c>
      <c r="J3517" s="7" t="str">
        <f>IF(Table1[[#This Row],[Is Data Valid]]=TRUE,_xlfn.NORM.S.DIST(Table1[[#This Row],[Birthweight Z-Score]],TRUE)*100,"")</f>
        <v/>
      </c>
      <c r="K3517" s="7" t="str">
        <f>IF(Table1[[#This Row],[Is Data Valid]]=TRUE,_xlfn.NORM.S.DIST(Table1[[#This Row],[Birthweight Z-Score (BW-10%)]],TRUE)*100,"")</f>
        <v/>
      </c>
      <c r="L3517" s="7" t="str">
        <f>IF(Table1[[#This Row],[Is Data Valid]]=TRUE,_xlfn.NORM.S.DIST(Table1[[#This Row],[Birthweight Z-Score (BW+10%)]],TRUE)*100,"")</f>
        <v/>
      </c>
    </row>
    <row r="3518" spans="1:12" x14ac:dyDescent="0.35">
      <c r="A3518" s="3"/>
      <c r="B3518" s="2"/>
      <c r="C3518" s="2"/>
      <c r="D3518" s="2" t="b">
        <f>IF(AND(NOT(ISBLANK(Table1[[#This Row],[Fetal Sex (Male, Female or Unknown)]])),ISNUMBER(Table1[[#This Row],[Birthweight (grams)]]),ISNUMBER(Table1[[#This Row],[Gestation (days)]])),TRUE,FALSE)</f>
        <v>0</v>
      </c>
      <c r="E3518" s="2" t="str">
        <f>IF(Table1[[#This Row],[Is Data Valid]]=TRUE,IF(Table1[[#This Row],[Fetal Sex (Male, Female or Unknown)]]="Male",Backend!$C$6,IF(Table1[[#This Row],[Fetal Sex (Male, Female or Unknown)]]="Female",Backend!$C$7,IF(Table1[[#This Row],[Fetal Sex (Male, Female or Unknown)]]="Unknown",Backend!$C$8,"Error"))),"")</f>
        <v/>
      </c>
      <c r="F3518" s="8" t="str">
        <f>IF(Table1[[#This Row],[Is Data Valid]]=TRUE,EXP(0.578+0.332*((Table1[[#This Row],[Gestation (days)]]+0.5)/7)-0.00354*((Table1[[#This Row],[Gestation (days)]]+0.5)/7)^2)*Table1[[#This Row],[BW40_3705]],"")</f>
        <v/>
      </c>
      <c r="G3518" s="2" t="str">
        <f>IF(Table1[[#This Row],[Is Data Valid]]=TRUE,((Table1[[#This Row],[Birthweight (grams)]]/Table1[[#This Row],[BW_GA]])-1)/(Backend!$B$4/100*Table1[[#This Row],[BW40_3705]]),"")</f>
        <v/>
      </c>
      <c r="H3518" s="7" t="str">
        <f>IF(Table1[[#This Row],[Is Data Valid]]=TRUE,((Table1[[#This Row],[Birthweight (grams)]]*0.9/Table1[[#This Row],[BW_GA]])-1)/(Backend!$B$4/100*Table1[[#This Row],[BW40_3705]]),"")</f>
        <v/>
      </c>
      <c r="I3518" s="7" t="str">
        <f>IF(Table1[[#This Row],[Is Data Valid]]=TRUE,((Table1[[#This Row],[Birthweight (grams)]]*1.1/Table1[[#This Row],[BW_GA]])-1)/(Backend!$B$4/100*Table1[[#This Row],[BW40_3705]]),"")</f>
        <v/>
      </c>
      <c r="J3518" s="7" t="str">
        <f>IF(Table1[[#This Row],[Is Data Valid]]=TRUE,_xlfn.NORM.S.DIST(Table1[[#This Row],[Birthweight Z-Score]],TRUE)*100,"")</f>
        <v/>
      </c>
      <c r="K3518" s="7" t="str">
        <f>IF(Table1[[#This Row],[Is Data Valid]]=TRUE,_xlfn.NORM.S.DIST(Table1[[#This Row],[Birthweight Z-Score (BW-10%)]],TRUE)*100,"")</f>
        <v/>
      </c>
      <c r="L3518" s="7" t="str">
        <f>IF(Table1[[#This Row],[Is Data Valid]]=TRUE,_xlfn.NORM.S.DIST(Table1[[#This Row],[Birthweight Z-Score (BW+10%)]],TRUE)*100,"")</f>
        <v/>
      </c>
    </row>
    <row r="3519" spans="1:12" x14ac:dyDescent="0.35">
      <c r="A3519" s="3"/>
      <c r="B3519" s="2"/>
      <c r="C3519" s="2"/>
      <c r="D3519" s="2" t="b">
        <f>IF(AND(NOT(ISBLANK(Table1[[#This Row],[Fetal Sex (Male, Female or Unknown)]])),ISNUMBER(Table1[[#This Row],[Birthweight (grams)]]),ISNUMBER(Table1[[#This Row],[Gestation (days)]])),TRUE,FALSE)</f>
        <v>0</v>
      </c>
      <c r="E3519" s="2" t="str">
        <f>IF(Table1[[#This Row],[Is Data Valid]]=TRUE,IF(Table1[[#This Row],[Fetal Sex (Male, Female or Unknown)]]="Male",Backend!$C$6,IF(Table1[[#This Row],[Fetal Sex (Male, Female or Unknown)]]="Female",Backend!$C$7,IF(Table1[[#This Row],[Fetal Sex (Male, Female or Unknown)]]="Unknown",Backend!$C$8,"Error"))),"")</f>
        <v/>
      </c>
      <c r="F3519" s="8" t="str">
        <f>IF(Table1[[#This Row],[Is Data Valid]]=TRUE,EXP(0.578+0.332*((Table1[[#This Row],[Gestation (days)]]+0.5)/7)-0.00354*((Table1[[#This Row],[Gestation (days)]]+0.5)/7)^2)*Table1[[#This Row],[BW40_3705]],"")</f>
        <v/>
      </c>
      <c r="G3519" s="2" t="str">
        <f>IF(Table1[[#This Row],[Is Data Valid]]=TRUE,((Table1[[#This Row],[Birthweight (grams)]]/Table1[[#This Row],[BW_GA]])-1)/(Backend!$B$4/100*Table1[[#This Row],[BW40_3705]]),"")</f>
        <v/>
      </c>
      <c r="H3519" s="7" t="str">
        <f>IF(Table1[[#This Row],[Is Data Valid]]=TRUE,((Table1[[#This Row],[Birthweight (grams)]]*0.9/Table1[[#This Row],[BW_GA]])-1)/(Backend!$B$4/100*Table1[[#This Row],[BW40_3705]]),"")</f>
        <v/>
      </c>
      <c r="I3519" s="7" t="str">
        <f>IF(Table1[[#This Row],[Is Data Valid]]=TRUE,((Table1[[#This Row],[Birthweight (grams)]]*1.1/Table1[[#This Row],[BW_GA]])-1)/(Backend!$B$4/100*Table1[[#This Row],[BW40_3705]]),"")</f>
        <v/>
      </c>
      <c r="J3519" s="7" t="str">
        <f>IF(Table1[[#This Row],[Is Data Valid]]=TRUE,_xlfn.NORM.S.DIST(Table1[[#This Row],[Birthweight Z-Score]],TRUE)*100,"")</f>
        <v/>
      </c>
      <c r="K3519" s="7" t="str">
        <f>IF(Table1[[#This Row],[Is Data Valid]]=TRUE,_xlfn.NORM.S.DIST(Table1[[#This Row],[Birthweight Z-Score (BW-10%)]],TRUE)*100,"")</f>
        <v/>
      </c>
      <c r="L3519" s="7" t="str">
        <f>IF(Table1[[#This Row],[Is Data Valid]]=TRUE,_xlfn.NORM.S.DIST(Table1[[#This Row],[Birthweight Z-Score (BW+10%)]],TRUE)*100,"")</f>
        <v/>
      </c>
    </row>
    <row r="3520" spans="1:12" x14ac:dyDescent="0.35">
      <c r="A3520" s="3"/>
      <c r="B3520" s="2"/>
      <c r="C3520" s="2"/>
      <c r="D3520" s="2" t="b">
        <f>IF(AND(NOT(ISBLANK(Table1[[#This Row],[Fetal Sex (Male, Female or Unknown)]])),ISNUMBER(Table1[[#This Row],[Birthweight (grams)]]),ISNUMBER(Table1[[#This Row],[Gestation (days)]])),TRUE,FALSE)</f>
        <v>0</v>
      </c>
      <c r="E3520" s="2" t="str">
        <f>IF(Table1[[#This Row],[Is Data Valid]]=TRUE,IF(Table1[[#This Row],[Fetal Sex (Male, Female or Unknown)]]="Male",Backend!$C$6,IF(Table1[[#This Row],[Fetal Sex (Male, Female or Unknown)]]="Female",Backend!$C$7,IF(Table1[[#This Row],[Fetal Sex (Male, Female or Unknown)]]="Unknown",Backend!$C$8,"Error"))),"")</f>
        <v/>
      </c>
      <c r="F3520" s="8" t="str">
        <f>IF(Table1[[#This Row],[Is Data Valid]]=TRUE,EXP(0.578+0.332*((Table1[[#This Row],[Gestation (days)]]+0.5)/7)-0.00354*((Table1[[#This Row],[Gestation (days)]]+0.5)/7)^2)*Table1[[#This Row],[BW40_3705]],"")</f>
        <v/>
      </c>
      <c r="G3520" s="2" t="str">
        <f>IF(Table1[[#This Row],[Is Data Valid]]=TRUE,((Table1[[#This Row],[Birthweight (grams)]]/Table1[[#This Row],[BW_GA]])-1)/(Backend!$B$4/100*Table1[[#This Row],[BW40_3705]]),"")</f>
        <v/>
      </c>
      <c r="H3520" s="7" t="str">
        <f>IF(Table1[[#This Row],[Is Data Valid]]=TRUE,((Table1[[#This Row],[Birthweight (grams)]]*0.9/Table1[[#This Row],[BW_GA]])-1)/(Backend!$B$4/100*Table1[[#This Row],[BW40_3705]]),"")</f>
        <v/>
      </c>
      <c r="I3520" s="7" t="str">
        <f>IF(Table1[[#This Row],[Is Data Valid]]=TRUE,((Table1[[#This Row],[Birthweight (grams)]]*1.1/Table1[[#This Row],[BW_GA]])-1)/(Backend!$B$4/100*Table1[[#This Row],[BW40_3705]]),"")</f>
        <v/>
      </c>
      <c r="J3520" s="7" t="str">
        <f>IF(Table1[[#This Row],[Is Data Valid]]=TRUE,_xlfn.NORM.S.DIST(Table1[[#This Row],[Birthweight Z-Score]],TRUE)*100,"")</f>
        <v/>
      </c>
      <c r="K3520" s="7" t="str">
        <f>IF(Table1[[#This Row],[Is Data Valid]]=TRUE,_xlfn.NORM.S.DIST(Table1[[#This Row],[Birthweight Z-Score (BW-10%)]],TRUE)*100,"")</f>
        <v/>
      </c>
      <c r="L3520" s="7" t="str">
        <f>IF(Table1[[#This Row],[Is Data Valid]]=TRUE,_xlfn.NORM.S.DIST(Table1[[#This Row],[Birthweight Z-Score (BW+10%)]],TRUE)*100,"")</f>
        <v/>
      </c>
    </row>
    <row r="3521" spans="1:12" x14ac:dyDescent="0.35">
      <c r="A3521" s="3"/>
      <c r="B3521" s="2"/>
      <c r="C3521" s="2"/>
      <c r="D3521" s="2" t="b">
        <f>IF(AND(NOT(ISBLANK(Table1[[#This Row],[Fetal Sex (Male, Female or Unknown)]])),ISNUMBER(Table1[[#This Row],[Birthweight (grams)]]),ISNUMBER(Table1[[#This Row],[Gestation (days)]])),TRUE,FALSE)</f>
        <v>0</v>
      </c>
      <c r="E3521" s="2" t="str">
        <f>IF(Table1[[#This Row],[Is Data Valid]]=TRUE,IF(Table1[[#This Row],[Fetal Sex (Male, Female or Unknown)]]="Male",Backend!$C$6,IF(Table1[[#This Row],[Fetal Sex (Male, Female or Unknown)]]="Female",Backend!$C$7,IF(Table1[[#This Row],[Fetal Sex (Male, Female or Unknown)]]="Unknown",Backend!$C$8,"Error"))),"")</f>
        <v/>
      </c>
      <c r="F3521" s="8" t="str">
        <f>IF(Table1[[#This Row],[Is Data Valid]]=TRUE,EXP(0.578+0.332*((Table1[[#This Row],[Gestation (days)]]+0.5)/7)-0.00354*((Table1[[#This Row],[Gestation (days)]]+0.5)/7)^2)*Table1[[#This Row],[BW40_3705]],"")</f>
        <v/>
      </c>
      <c r="G3521" s="2" t="str">
        <f>IF(Table1[[#This Row],[Is Data Valid]]=TRUE,((Table1[[#This Row],[Birthweight (grams)]]/Table1[[#This Row],[BW_GA]])-1)/(Backend!$B$4/100*Table1[[#This Row],[BW40_3705]]),"")</f>
        <v/>
      </c>
      <c r="H3521" s="7" t="str">
        <f>IF(Table1[[#This Row],[Is Data Valid]]=TRUE,((Table1[[#This Row],[Birthweight (grams)]]*0.9/Table1[[#This Row],[BW_GA]])-1)/(Backend!$B$4/100*Table1[[#This Row],[BW40_3705]]),"")</f>
        <v/>
      </c>
      <c r="I3521" s="7" t="str">
        <f>IF(Table1[[#This Row],[Is Data Valid]]=TRUE,((Table1[[#This Row],[Birthweight (grams)]]*1.1/Table1[[#This Row],[BW_GA]])-1)/(Backend!$B$4/100*Table1[[#This Row],[BW40_3705]]),"")</f>
        <v/>
      </c>
      <c r="J3521" s="7" t="str">
        <f>IF(Table1[[#This Row],[Is Data Valid]]=TRUE,_xlfn.NORM.S.DIST(Table1[[#This Row],[Birthweight Z-Score]],TRUE)*100,"")</f>
        <v/>
      </c>
      <c r="K3521" s="7" t="str">
        <f>IF(Table1[[#This Row],[Is Data Valid]]=TRUE,_xlfn.NORM.S.DIST(Table1[[#This Row],[Birthweight Z-Score (BW-10%)]],TRUE)*100,"")</f>
        <v/>
      </c>
      <c r="L3521" s="7" t="str">
        <f>IF(Table1[[#This Row],[Is Data Valid]]=TRUE,_xlfn.NORM.S.DIST(Table1[[#This Row],[Birthweight Z-Score (BW+10%)]],TRUE)*100,"")</f>
        <v/>
      </c>
    </row>
    <row r="3522" spans="1:12" x14ac:dyDescent="0.35">
      <c r="A3522" s="3"/>
      <c r="B3522" s="2"/>
      <c r="C3522" s="2"/>
      <c r="D3522" s="2" t="b">
        <f>IF(AND(NOT(ISBLANK(Table1[[#This Row],[Fetal Sex (Male, Female or Unknown)]])),ISNUMBER(Table1[[#This Row],[Birthweight (grams)]]),ISNUMBER(Table1[[#This Row],[Gestation (days)]])),TRUE,FALSE)</f>
        <v>0</v>
      </c>
      <c r="E3522" s="2" t="str">
        <f>IF(Table1[[#This Row],[Is Data Valid]]=TRUE,IF(Table1[[#This Row],[Fetal Sex (Male, Female or Unknown)]]="Male",Backend!$C$6,IF(Table1[[#This Row],[Fetal Sex (Male, Female or Unknown)]]="Female",Backend!$C$7,IF(Table1[[#This Row],[Fetal Sex (Male, Female or Unknown)]]="Unknown",Backend!$C$8,"Error"))),"")</f>
        <v/>
      </c>
      <c r="F3522" s="8" t="str">
        <f>IF(Table1[[#This Row],[Is Data Valid]]=TRUE,EXP(0.578+0.332*((Table1[[#This Row],[Gestation (days)]]+0.5)/7)-0.00354*((Table1[[#This Row],[Gestation (days)]]+0.5)/7)^2)*Table1[[#This Row],[BW40_3705]],"")</f>
        <v/>
      </c>
      <c r="G3522" s="2" t="str">
        <f>IF(Table1[[#This Row],[Is Data Valid]]=TRUE,((Table1[[#This Row],[Birthweight (grams)]]/Table1[[#This Row],[BW_GA]])-1)/(Backend!$B$4/100*Table1[[#This Row],[BW40_3705]]),"")</f>
        <v/>
      </c>
      <c r="H3522" s="7" t="str">
        <f>IF(Table1[[#This Row],[Is Data Valid]]=TRUE,((Table1[[#This Row],[Birthweight (grams)]]*0.9/Table1[[#This Row],[BW_GA]])-1)/(Backend!$B$4/100*Table1[[#This Row],[BW40_3705]]),"")</f>
        <v/>
      </c>
      <c r="I3522" s="7" t="str">
        <f>IF(Table1[[#This Row],[Is Data Valid]]=TRUE,((Table1[[#This Row],[Birthweight (grams)]]*1.1/Table1[[#This Row],[BW_GA]])-1)/(Backend!$B$4/100*Table1[[#This Row],[BW40_3705]]),"")</f>
        <v/>
      </c>
      <c r="J3522" s="7" t="str">
        <f>IF(Table1[[#This Row],[Is Data Valid]]=TRUE,_xlfn.NORM.S.DIST(Table1[[#This Row],[Birthweight Z-Score]],TRUE)*100,"")</f>
        <v/>
      </c>
      <c r="K3522" s="7" t="str">
        <f>IF(Table1[[#This Row],[Is Data Valid]]=TRUE,_xlfn.NORM.S.DIST(Table1[[#This Row],[Birthweight Z-Score (BW-10%)]],TRUE)*100,"")</f>
        <v/>
      </c>
      <c r="L3522" s="7" t="str">
        <f>IF(Table1[[#This Row],[Is Data Valid]]=TRUE,_xlfn.NORM.S.DIST(Table1[[#This Row],[Birthweight Z-Score (BW+10%)]],TRUE)*100,"")</f>
        <v/>
      </c>
    </row>
    <row r="3523" spans="1:12" x14ac:dyDescent="0.35">
      <c r="A3523" s="3"/>
      <c r="B3523" s="2"/>
      <c r="C3523" s="2"/>
      <c r="D3523" s="2" t="b">
        <f>IF(AND(NOT(ISBLANK(Table1[[#This Row],[Fetal Sex (Male, Female or Unknown)]])),ISNUMBER(Table1[[#This Row],[Birthweight (grams)]]),ISNUMBER(Table1[[#This Row],[Gestation (days)]])),TRUE,FALSE)</f>
        <v>0</v>
      </c>
      <c r="E3523" s="2" t="str">
        <f>IF(Table1[[#This Row],[Is Data Valid]]=TRUE,IF(Table1[[#This Row],[Fetal Sex (Male, Female or Unknown)]]="Male",Backend!$C$6,IF(Table1[[#This Row],[Fetal Sex (Male, Female or Unknown)]]="Female",Backend!$C$7,IF(Table1[[#This Row],[Fetal Sex (Male, Female or Unknown)]]="Unknown",Backend!$C$8,"Error"))),"")</f>
        <v/>
      </c>
      <c r="F3523" s="8" t="str">
        <f>IF(Table1[[#This Row],[Is Data Valid]]=TRUE,EXP(0.578+0.332*((Table1[[#This Row],[Gestation (days)]]+0.5)/7)-0.00354*((Table1[[#This Row],[Gestation (days)]]+0.5)/7)^2)*Table1[[#This Row],[BW40_3705]],"")</f>
        <v/>
      </c>
      <c r="G3523" s="2" t="str">
        <f>IF(Table1[[#This Row],[Is Data Valid]]=TRUE,((Table1[[#This Row],[Birthweight (grams)]]/Table1[[#This Row],[BW_GA]])-1)/(Backend!$B$4/100*Table1[[#This Row],[BW40_3705]]),"")</f>
        <v/>
      </c>
      <c r="H3523" s="7" t="str">
        <f>IF(Table1[[#This Row],[Is Data Valid]]=TRUE,((Table1[[#This Row],[Birthweight (grams)]]*0.9/Table1[[#This Row],[BW_GA]])-1)/(Backend!$B$4/100*Table1[[#This Row],[BW40_3705]]),"")</f>
        <v/>
      </c>
      <c r="I3523" s="7" t="str">
        <f>IF(Table1[[#This Row],[Is Data Valid]]=TRUE,((Table1[[#This Row],[Birthweight (grams)]]*1.1/Table1[[#This Row],[BW_GA]])-1)/(Backend!$B$4/100*Table1[[#This Row],[BW40_3705]]),"")</f>
        <v/>
      </c>
      <c r="J3523" s="7" t="str">
        <f>IF(Table1[[#This Row],[Is Data Valid]]=TRUE,_xlfn.NORM.S.DIST(Table1[[#This Row],[Birthweight Z-Score]],TRUE)*100,"")</f>
        <v/>
      </c>
      <c r="K3523" s="7" t="str">
        <f>IF(Table1[[#This Row],[Is Data Valid]]=TRUE,_xlfn.NORM.S.DIST(Table1[[#This Row],[Birthweight Z-Score (BW-10%)]],TRUE)*100,"")</f>
        <v/>
      </c>
      <c r="L3523" s="7" t="str">
        <f>IF(Table1[[#This Row],[Is Data Valid]]=TRUE,_xlfn.NORM.S.DIST(Table1[[#This Row],[Birthweight Z-Score (BW+10%)]],TRUE)*100,"")</f>
        <v/>
      </c>
    </row>
    <row r="3524" spans="1:12" x14ac:dyDescent="0.35">
      <c r="A3524" s="3"/>
      <c r="B3524" s="2"/>
      <c r="C3524" s="2"/>
      <c r="D3524" s="2" t="b">
        <f>IF(AND(NOT(ISBLANK(Table1[[#This Row],[Fetal Sex (Male, Female or Unknown)]])),ISNUMBER(Table1[[#This Row],[Birthweight (grams)]]),ISNUMBER(Table1[[#This Row],[Gestation (days)]])),TRUE,FALSE)</f>
        <v>0</v>
      </c>
      <c r="E3524" s="2" t="str">
        <f>IF(Table1[[#This Row],[Is Data Valid]]=TRUE,IF(Table1[[#This Row],[Fetal Sex (Male, Female or Unknown)]]="Male",Backend!$C$6,IF(Table1[[#This Row],[Fetal Sex (Male, Female or Unknown)]]="Female",Backend!$C$7,IF(Table1[[#This Row],[Fetal Sex (Male, Female or Unknown)]]="Unknown",Backend!$C$8,"Error"))),"")</f>
        <v/>
      </c>
      <c r="F3524" s="8" t="str">
        <f>IF(Table1[[#This Row],[Is Data Valid]]=TRUE,EXP(0.578+0.332*((Table1[[#This Row],[Gestation (days)]]+0.5)/7)-0.00354*((Table1[[#This Row],[Gestation (days)]]+0.5)/7)^2)*Table1[[#This Row],[BW40_3705]],"")</f>
        <v/>
      </c>
      <c r="G3524" s="2" t="str">
        <f>IF(Table1[[#This Row],[Is Data Valid]]=TRUE,((Table1[[#This Row],[Birthweight (grams)]]/Table1[[#This Row],[BW_GA]])-1)/(Backend!$B$4/100*Table1[[#This Row],[BW40_3705]]),"")</f>
        <v/>
      </c>
      <c r="H3524" s="7" t="str">
        <f>IF(Table1[[#This Row],[Is Data Valid]]=TRUE,((Table1[[#This Row],[Birthweight (grams)]]*0.9/Table1[[#This Row],[BW_GA]])-1)/(Backend!$B$4/100*Table1[[#This Row],[BW40_3705]]),"")</f>
        <v/>
      </c>
      <c r="I3524" s="7" t="str">
        <f>IF(Table1[[#This Row],[Is Data Valid]]=TRUE,((Table1[[#This Row],[Birthweight (grams)]]*1.1/Table1[[#This Row],[BW_GA]])-1)/(Backend!$B$4/100*Table1[[#This Row],[BW40_3705]]),"")</f>
        <v/>
      </c>
      <c r="J3524" s="7" t="str">
        <f>IF(Table1[[#This Row],[Is Data Valid]]=TRUE,_xlfn.NORM.S.DIST(Table1[[#This Row],[Birthweight Z-Score]],TRUE)*100,"")</f>
        <v/>
      </c>
      <c r="K3524" s="7" t="str">
        <f>IF(Table1[[#This Row],[Is Data Valid]]=TRUE,_xlfn.NORM.S.DIST(Table1[[#This Row],[Birthweight Z-Score (BW-10%)]],TRUE)*100,"")</f>
        <v/>
      </c>
      <c r="L3524" s="7" t="str">
        <f>IF(Table1[[#This Row],[Is Data Valid]]=TRUE,_xlfn.NORM.S.DIST(Table1[[#This Row],[Birthweight Z-Score (BW+10%)]],TRUE)*100,"")</f>
        <v/>
      </c>
    </row>
    <row r="3525" spans="1:12" x14ac:dyDescent="0.35">
      <c r="A3525" s="3"/>
      <c r="B3525" s="2"/>
      <c r="C3525" s="2"/>
      <c r="D3525" s="2" t="b">
        <f>IF(AND(NOT(ISBLANK(Table1[[#This Row],[Fetal Sex (Male, Female or Unknown)]])),ISNUMBER(Table1[[#This Row],[Birthweight (grams)]]),ISNUMBER(Table1[[#This Row],[Gestation (days)]])),TRUE,FALSE)</f>
        <v>0</v>
      </c>
      <c r="E3525" s="2" t="str">
        <f>IF(Table1[[#This Row],[Is Data Valid]]=TRUE,IF(Table1[[#This Row],[Fetal Sex (Male, Female or Unknown)]]="Male",Backend!$C$6,IF(Table1[[#This Row],[Fetal Sex (Male, Female or Unknown)]]="Female",Backend!$C$7,IF(Table1[[#This Row],[Fetal Sex (Male, Female or Unknown)]]="Unknown",Backend!$C$8,"Error"))),"")</f>
        <v/>
      </c>
      <c r="F3525" s="8" t="str">
        <f>IF(Table1[[#This Row],[Is Data Valid]]=TRUE,EXP(0.578+0.332*((Table1[[#This Row],[Gestation (days)]]+0.5)/7)-0.00354*((Table1[[#This Row],[Gestation (days)]]+0.5)/7)^2)*Table1[[#This Row],[BW40_3705]],"")</f>
        <v/>
      </c>
      <c r="G3525" s="2" t="str">
        <f>IF(Table1[[#This Row],[Is Data Valid]]=TRUE,((Table1[[#This Row],[Birthweight (grams)]]/Table1[[#This Row],[BW_GA]])-1)/(Backend!$B$4/100*Table1[[#This Row],[BW40_3705]]),"")</f>
        <v/>
      </c>
      <c r="H3525" s="7" t="str">
        <f>IF(Table1[[#This Row],[Is Data Valid]]=TRUE,((Table1[[#This Row],[Birthweight (grams)]]*0.9/Table1[[#This Row],[BW_GA]])-1)/(Backend!$B$4/100*Table1[[#This Row],[BW40_3705]]),"")</f>
        <v/>
      </c>
      <c r="I3525" s="7" t="str">
        <f>IF(Table1[[#This Row],[Is Data Valid]]=TRUE,((Table1[[#This Row],[Birthweight (grams)]]*1.1/Table1[[#This Row],[BW_GA]])-1)/(Backend!$B$4/100*Table1[[#This Row],[BW40_3705]]),"")</f>
        <v/>
      </c>
      <c r="J3525" s="7" t="str">
        <f>IF(Table1[[#This Row],[Is Data Valid]]=TRUE,_xlfn.NORM.S.DIST(Table1[[#This Row],[Birthweight Z-Score]],TRUE)*100,"")</f>
        <v/>
      </c>
      <c r="K3525" s="7" t="str">
        <f>IF(Table1[[#This Row],[Is Data Valid]]=TRUE,_xlfn.NORM.S.DIST(Table1[[#This Row],[Birthweight Z-Score (BW-10%)]],TRUE)*100,"")</f>
        <v/>
      </c>
      <c r="L3525" s="7" t="str">
        <f>IF(Table1[[#This Row],[Is Data Valid]]=TRUE,_xlfn.NORM.S.DIST(Table1[[#This Row],[Birthweight Z-Score (BW+10%)]],TRUE)*100,"")</f>
        <v/>
      </c>
    </row>
    <row r="3526" spans="1:12" x14ac:dyDescent="0.35">
      <c r="A3526" s="3"/>
      <c r="B3526" s="2"/>
      <c r="C3526" s="2"/>
      <c r="D3526" s="2" t="b">
        <f>IF(AND(NOT(ISBLANK(Table1[[#This Row],[Fetal Sex (Male, Female or Unknown)]])),ISNUMBER(Table1[[#This Row],[Birthweight (grams)]]),ISNUMBER(Table1[[#This Row],[Gestation (days)]])),TRUE,FALSE)</f>
        <v>0</v>
      </c>
      <c r="E3526" s="2" t="str">
        <f>IF(Table1[[#This Row],[Is Data Valid]]=TRUE,IF(Table1[[#This Row],[Fetal Sex (Male, Female or Unknown)]]="Male",Backend!$C$6,IF(Table1[[#This Row],[Fetal Sex (Male, Female or Unknown)]]="Female",Backend!$C$7,IF(Table1[[#This Row],[Fetal Sex (Male, Female or Unknown)]]="Unknown",Backend!$C$8,"Error"))),"")</f>
        <v/>
      </c>
      <c r="F3526" s="8" t="str">
        <f>IF(Table1[[#This Row],[Is Data Valid]]=TRUE,EXP(0.578+0.332*((Table1[[#This Row],[Gestation (days)]]+0.5)/7)-0.00354*((Table1[[#This Row],[Gestation (days)]]+0.5)/7)^2)*Table1[[#This Row],[BW40_3705]],"")</f>
        <v/>
      </c>
      <c r="G3526" s="2" t="str">
        <f>IF(Table1[[#This Row],[Is Data Valid]]=TRUE,((Table1[[#This Row],[Birthweight (grams)]]/Table1[[#This Row],[BW_GA]])-1)/(Backend!$B$4/100*Table1[[#This Row],[BW40_3705]]),"")</f>
        <v/>
      </c>
      <c r="H3526" s="7" t="str">
        <f>IF(Table1[[#This Row],[Is Data Valid]]=TRUE,((Table1[[#This Row],[Birthweight (grams)]]*0.9/Table1[[#This Row],[BW_GA]])-1)/(Backend!$B$4/100*Table1[[#This Row],[BW40_3705]]),"")</f>
        <v/>
      </c>
      <c r="I3526" s="7" t="str">
        <f>IF(Table1[[#This Row],[Is Data Valid]]=TRUE,((Table1[[#This Row],[Birthweight (grams)]]*1.1/Table1[[#This Row],[BW_GA]])-1)/(Backend!$B$4/100*Table1[[#This Row],[BW40_3705]]),"")</f>
        <v/>
      </c>
      <c r="J3526" s="7" t="str">
        <f>IF(Table1[[#This Row],[Is Data Valid]]=TRUE,_xlfn.NORM.S.DIST(Table1[[#This Row],[Birthweight Z-Score]],TRUE)*100,"")</f>
        <v/>
      </c>
      <c r="K3526" s="7" t="str">
        <f>IF(Table1[[#This Row],[Is Data Valid]]=TRUE,_xlfn.NORM.S.DIST(Table1[[#This Row],[Birthweight Z-Score (BW-10%)]],TRUE)*100,"")</f>
        <v/>
      </c>
      <c r="L3526" s="7" t="str">
        <f>IF(Table1[[#This Row],[Is Data Valid]]=TRUE,_xlfn.NORM.S.DIST(Table1[[#This Row],[Birthweight Z-Score (BW+10%)]],TRUE)*100,"")</f>
        <v/>
      </c>
    </row>
    <row r="3527" spans="1:12" x14ac:dyDescent="0.35">
      <c r="A3527" s="3"/>
      <c r="B3527" s="2"/>
      <c r="C3527" s="2"/>
      <c r="D3527" s="2" t="b">
        <f>IF(AND(NOT(ISBLANK(Table1[[#This Row],[Fetal Sex (Male, Female or Unknown)]])),ISNUMBER(Table1[[#This Row],[Birthweight (grams)]]),ISNUMBER(Table1[[#This Row],[Gestation (days)]])),TRUE,FALSE)</f>
        <v>0</v>
      </c>
      <c r="E3527" s="2" t="str">
        <f>IF(Table1[[#This Row],[Is Data Valid]]=TRUE,IF(Table1[[#This Row],[Fetal Sex (Male, Female or Unknown)]]="Male",Backend!$C$6,IF(Table1[[#This Row],[Fetal Sex (Male, Female or Unknown)]]="Female",Backend!$C$7,IF(Table1[[#This Row],[Fetal Sex (Male, Female or Unknown)]]="Unknown",Backend!$C$8,"Error"))),"")</f>
        <v/>
      </c>
      <c r="F3527" s="8" t="str">
        <f>IF(Table1[[#This Row],[Is Data Valid]]=TRUE,EXP(0.578+0.332*((Table1[[#This Row],[Gestation (days)]]+0.5)/7)-0.00354*((Table1[[#This Row],[Gestation (days)]]+0.5)/7)^2)*Table1[[#This Row],[BW40_3705]],"")</f>
        <v/>
      </c>
      <c r="G3527" s="2" t="str">
        <f>IF(Table1[[#This Row],[Is Data Valid]]=TRUE,((Table1[[#This Row],[Birthweight (grams)]]/Table1[[#This Row],[BW_GA]])-1)/(Backend!$B$4/100*Table1[[#This Row],[BW40_3705]]),"")</f>
        <v/>
      </c>
      <c r="H3527" s="7" t="str">
        <f>IF(Table1[[#This Row],[Is Data Valid]]=TRUE,((Table1[[#This Row],[Birthweight (grams)]]*0.9/Table1[[#This Row],[BW_GA]])-1)/(Backend!$B$4/100*Table1[[#This Row],[BW40_3705]]),"")</f>
        <v/>
      </c>
      <c r="I3527" s="7" t="str">
        <f>IF(Table1[[#This Row],[Is Data Valid]]=TRUE,((Table1[[#This Row],[Birthweight (grams)]]*1.1/Table1[[#This Row],[BW_GA]])-1)/(Backend!$B$4/100*Table1[[#This Row],[BW40_3705]]),"")</f>
        <v/>
      </c>
      <c r="J3527" s="7" t="str">
        <f>IF(Table1[[#This Row],[Is Data Valid]]=TRUE,_xlfn.NORM.S.DIST(Table1[[#This Row],[Birthweight Z-Score]],TRUE)*100,"")</f>
        <v/>
      </c>
      <c r="K3527" s="7" t="str">
        <f>IF(Table1[[#This Row],[Is Data Valid]]=TRUE,_xlfn.NORM.S.DIST(Table1[[#This Row],[Birthweight Z-Score (BW-10%)]],TRUE)*100,"")</f>
        <v/>
      </c>
      <c r="L3527" s="7" t="str">
        <f>IF(Table1[[#This Row],[Is Data Valid]]=TRUE,_xlfn.NORM.S.DIST(Table1[[#This Row],[Birthweight Z-Score (BW+10%)]],TRUE)*100,"")</f>
        <v/>
      </c>
    </row>
    <row r="3528" spans="1:12" x14ac:dyDescent="0.35">
      <c r="A3528" s="3"/>
      <c r="B3528" s="2"/>
      <c r="C3528" s="2"/>
      <c r="D3528" s="2" t="b">
        <f>IF(AND(NOT(ISBLANK(Table1[[#This Row],[Fetal Sex (Male, Female or Unknown)]])),ISNUMBER(Table1[[#This Row],[Birthweight (grams)]]),ISNUMBER(Table1[[#This Row],[Gestation (days)]])),TRUE,FALSE)</f>
        <v>0</v>
      </c>
      <c r="E3528" s="2" t="str">
        <f>IF(Table1[[#This Row],[Is Data Valid]]=TRUE,IF(Table1[[#This Row],[Fetal Sex (Male, Female or Unknown)]]="Male",Backend!$C$6,IF(Table1[[#This Row],[Fetal Sex (Male, Female or Unknown)]]="Female",Backend!$C$7,IF(Table1[[#This Row],[Fetal Sex (Male, Female or Unknown)]]="Unknown",Backend!$C$8,"Error"))),"")</f>
        <v/>
      </c>
      <c r="F3528" s="8" t="str">
        <f>IF(Table1[[#This Row],[Is Data Valid]]=TRUE,EXP(0.578+0.332*((Table1[[#This Row],[Gestation (days)]]+0.5)/7)-0.00354*((Table1[[#This Row],[Gestation (days)]]+0.5)/7)^2)*Table1[[#This Row],[BW40_3705]],"")</f>
        <v/>
      </c>
      <c r="G3528" s="2" t="str">
        <f>IF(Table1[[#This Row],[Is Data Valid]]=TRUE,((Table1[[#This Row],[Birthweight (grams)]]/Table1[[#This Row],[BW_GA]])-1)/(Backend!$B$4/100*Table1[[#This Row],[BW40_3705]]),"")</f>
        <v/>
      </c>
      <c r="H3528" s="7" t="str">
        <f>IF(Table1[[#This Row],[Is Data Valid]]=TRUE,((Table1[[#This Row],[Birthweight (grams)]]*0.9/Table1[[#This Row],[BW_GA]])-1)/(Backend!$B$4/100*Table1[[#This Row],[BW40_3705]]),"")</f>
        <v/>
      </c>
      <c r="I3528" s="7" t="str">
        <f>IF(Table1[[#This Row],[Is Data Valid]]=TRUE,((Table1[[#This Row],[Birthweight (grams)]]*1.1/Table1[[#This Row],[BW_GA]])-1)/(Backend!$B$4/100*Table1[[#This Row],[BW40_3705]]),"")</f>
        <v/>
      </c>
      <c r="J3528" s="7" t="str">
        <f>IF(Table1[[#This Row],[Is Data Valid]]=TRUE,_xlfn.NORM.S.DIST(Table1[[#This Row],[Birthweight Z-Score]],TRUE)*100,"")</f>
        <v/>
      </c>
      <c r="K3528" s="7" t="str">
        <f>IF(Table1[[#This Row],[Is Data Valid]]=TRUE,_xlfn.NORM.S.DIST(Table1[[#This Row],[Birthweight Z-Score (BW-10%)]],TRUE)*100,"")</f>
        <v/>
      </c>
      <c r="L3528" s="7" t="str">
        <f>IF(Table1[[#This Row],[Is Data Valid]]=TRUE,_xlfn.NORM.S.DIST(Table1[[#This Row],[Birthweight Z-Score (BW+10%)]],TRUE)*100,"")</f>
        <v/>
      </c>
    </row>
    <row r="3529" spans="1:12" x14ac:dyDescent="0.35">
      <c r="A3529" s="3"/>
      <c r="B3529" s="2"/>
      <c r="C3529" s="2"/>
      <c r="D3529" s="2" t="b">
        <f>IF(AND(NOT(ISBLANK(Table1[[#This Row],[Fetal Sex (Male, Female or Unknown)]])),ISNUMBER(Table1[[#This Row],[Birthweight (grams)]]),ISNUMBER(Table1[[#This Row],[Gestation (days)]])),TRUE,FALSE)</f>
        <v>0</v>
      </c>
      <c r="E3529" s="2" t="str">
        <f>IF(Table1[[#This Row],[Is Data Valid]]=TRUE,IF(Table1[[#This Row],[Fetal Sex (Male, Female or Unknown)]]="Male",Backend!$C$6,IF(Table1[[#This Row],[Fetal Sex (Male, Female or Unknown)]]="Female",Backend!$C$7,IF(Table1[[#This Row],[Fetal Sex (Male, Female or Unknown)]]="Unknown",Backend!$C$8,"Error"))),"")</f>
        <v/>
      </c>
      <c r="F3529" s="8" t="str">
        <f>IF(Table1[[#This Row],[Is Data Valid]]=TRUE,EXP(0.578+0.332*((Table1[[#This Row],[Gestation (days)]]+0.5)/7)-0.00354*((Table1[[#This Row],[Gestation (days)]]+0.5)/7)^2)*Table1[[#This Row],[BW40_3705]],"")</f>
        <v/>
      </c>
      <c r="G3529" s="2" t="str">
        <f>IF(Table1[[#This Row],[Is Data Valid]]=TRUE,((Table1[[#This Row],[Birthweight (grams)]]/Table1[[#This Row],[BW_GA]])-1)/(Backend!$B$4/100*Table1[[#This Row],[BW40_3705]]),"")</f>
        <v/>
      </c>
      <c r="H3529" s="7" t="str">
        <f>IF(Table1[[#This Row],[Is Data Valid]]=TRUE,((Table1[[#This Row],[Birthweight (grams)]]*0.9/Table1[[#This Row],[BW_GA]])-1)/(Backend!$B$4/100*Table1[[#This Row],[BW40_3705]]),"")</f>
        <v/>
      </c>
      <c r="I3529" s="7" t="str">
        <f>IF(Table1[[#This Row],[Is Data Valid]]=TRUE,((Table1[[#This Row],[Birthweight (grams)]]*1.1/Table1[[#This Row],[BW_GA]])-1)/(Backend!$B$4/100*Table1[[#This Row],[BW40_3705]]),"")</f>
        <v/>
      </c>
      <c r="J3529" s="7" t="str">
        <f>IF(Table1[[#This Row],[Is Data Valid]]=TRUE,_xlfn.NORM.S.DIST(Table1[[#This Row],[Birthweight Z-Score]],TRUE)*100,"")</f>
        <v/>
      </c>
      <c r="K3529" s="7" t="str">
        <f>IF(Table1[[#This Row],[Is Data Valid]]=TRUE,_xlfn.NORM.S.DIST(Table1[[#This Row],[Birthweight Z-Score (BW-10%)]],TRUE)*100,"")</f>
        <v/>
      </c>
      <c r="L3529" s="7" t="str">
        <f>IF(Table1[[#This Row],[Is Data Valid]]=TRUE,_xlfn.NORM.S.DIST(Table1[[#This Row],[Birthweight Z-Score (BW+10%)]],TRUE)*100,"")</f>
        <v/>
      </c>
    </row>
    <row r="3530" spans="1:12" x14ac:dyDescent="0.35">
      <c r="A3530" s="3"/>
      <c r="B3530" s="2"/>
      <c r="C3530" s="2"/>
      <c r="D3530" s="2" t="b">
        <f>IF(AND(NOT(ISBLANK(Table1[[#This Row],[Fetal Sex (Male, Female or Unknown)]])),ISNUMBER(Table1[[#This Row],[Birthweight (grams)]]),ISNUMBER(Table1[[#This Row],[Gestation (days)]])),TRUE,FALSE)</f>
        <v>0</v>
      </c>
      <c r="E3530" s="2" t="str">
        <f>IF(Table1[[#This Row],[Is Data Valid]]=TRUE,IF(Table1[[#This Row],[Fetal Sex (Male, Female or Unknown)]]="Male",Backend!$C$6,IF(Table1[[#This Row],[Fetal Sex (Male, Female or Unknown)]]="Female",Backend!$C$7,IF(Table1[[#This Row],[Fetal Sex (Male, Female or Unknown)]]="Unknown",Backend!$C$8,"Error"))),"")</f>
        <v/>
      </c>
      <c r="F3530" s="8" t="str">
        <f>IF(Table1[[#This Row],[Is Data Valid]]=TRUE,EXP(0.578+0.332*((Table1[[#This Row],[Gestation (days)]]+0.5)/7)-0.00354*((Table1[[#This Row],[Gestation (days)]]+0.5)/7)^2)*Table1[[#This Row],[BW40_3705]],"")</f>
        <v/>
      </c>
      <c r="G3530" s="2" t="str">
        <f>IF(Table1[[#This Row],[Is Data Valid]]=TRUE,((Table1[[#This Row],[Birthweight (grams)]]/Table1[[#This Row],[BW_GA]])-1)/(Backend!$B$4/100*Table1[[#This Row],[BW40_3705]]),"")</f>
        <v/>
      </c>
      <c r="H3530" s="7" t="str">
        <f>IF(Table1[[#This Row],[Is Data Valid]]=TRUE,((Table1[[#This Row],[Birthweight (grams)]]*0.9/Table1[[#This Row],[BW_GA]])-1)/(Backend!$B$4/100*Table1[[#This Row],[BW40_3705]]),"")</f>
        <v/>
      </c>
      <c r="I3530" s="7" t="str">
        <f>IF(Table1[[#This Row],[Is Data Valid]]=TRUE,((Table1[[#This Row],[Birthweight (grams)]]*1.1/Table1[[#This Row],[BW_GA]])-1)/(Backend!$B$4/100*Table1[[#This Row],[BW40_3705]]),"")</f>
        <v/>
      </c>
      <c r="J3530" s="7" t="str">
        <f>IF(Table1[[#This Row],[Is Data Valid]]=TRUE,_xlfn.NORM.S.DIST(Table1[[#This Row],[Birthweight Z-Score]],TRUE)*100,"")</f>
        <v/>
      </c>
      <c r="K3530" s="7" t="str">
        <f>IF(Table1[[#This Row],[Is Data Valid]]=TRUE,_xlfn.NORM.S.DIST(Table1[[#This Row],[Birthweight Z-Score (BW-10%)]],TRUE)*100,"")</f>
        <v/>
      </c>
      <c r="L3530" s="7" t="str">
        <f>IF(Table1[[#This Row],[Is Data Valid]]=TRUE,_xlfn.NORM.S.DIST(Table1[[#This Row],[Birthweight Z-Score (BW+10%)]],TRUE)*100,"")</f>
        <v/>
      </c>
    </row>
    <row r="3531" spans="1:12" x14ac:dyDescent="0.35">
      <c r="A3531" s="3"/>
      <c r="B3531" s="2"/>
      <c r="C3531" s="2"/>
      <c r="D3531" s="2" t="b">
        <f>IF(AND(NOT(ISBLANK(Table1[[#This Row],[Fetal Sex (Male, Female or Unknown)]])),ISNUMBER(Table1[[#This Row],[Birthweight (grams)]]),ISNUMBER(Table1[[#This Row],[Gestation (days)]])),TRUE,FALSE)</f>
        <v>0</v>
      </c>
      <c r="E3531" s="2" t="str">
        <f>IF(Table1[[#This Row],[Is Data Valid]]=TRUE,IF(Table1[[#This Row],[Fetal Sex (Male, Female or Unknown)]]="Male",Backend!$C$6,IF(Table1[[#This Row],[Fetal Sex (Male, Female or Unknown)]]="Female",Backend!$C$7,IF(Table1[[#This Row],[Fetal Sex (Male, Female or Unknown)]]="Unknown",Backend!$C$8,"Error"))),"")</f>
        <v/>
      </c>
      <c r="F3531" s="8" t="str">
        <f>IF(Table1[[#This Row],[Is Data Valid]]=TRUE,EXP(0.578+0.332*((Table1[[#This Row],[Gestation (days)]]+0.5)/7)-0.00354*((Table1[[#This Row],[Gestation (days)]]+0.5)/7)^2)*Table1[[#This Row],[BW40_3705]],"")</f>
        <v/>
      </c>
      <c r="G3531" s="2" t="str">
        <f>IF(Table1[[#This Row],[Is Data Valid]]=TRUE,((Table1[[#This Row],[Birthweight (grams)]]/Table1[[#This Row],[BW_GA]])-1)/(Backend!$B$4/100*Table1[[#This Row],[BW40_3705]]),"")</f>
        <v/>
      </c>
      <c r="H3531" s="7" t="str">
        <f>IF(Table1[[#This Row],[Is Data Valid]]=TRUE,((Table1[[#This Row],[Birthweight (grams)]]*0.9/Table1[[#This Row],[BW_GA]])-1)/(Backend!$B$4/100*Table1[[#This Row],[BW40_3705]]),"")</f>
        <v/>
      </c>
      <c r="I3531" s="7" t="str">
        <f>IF(Table1[[#This Row],[Is Data Valid]]=TRUE,((Table1[[#This Row],[Birthweight (grams)]]*1.1/Table1[[#This Row],[BW_GA]])-1)/(Backend!$B$4/100*Table1[[#This Row],[BW40_3705]]),"")</f>
        <v/>
      </c>
      <c r="J3531" s="7" t="str">
        <f>IF(Table1[[#This Row],[Is Data Valid]]=TRUE,_xlfn.NORM.S.DIST(Table1[[#This Row],[Birthweight Z-Score]],TRUE)*100,"")</f>
        <v/>
      </c>
      <c r="K3531" s="7" t="str">
        <f>IF(Table1[[#This Row],[Is Data Valid]]=TRUE,_xlfn.NORM.S.DIST(Table1[[#This Row],[Birthweight Z-Score (BW-10%)]],TRUE)*100,"")</f>
        <v/>
      </c>
      <c r="L3531" s="7" t="str">
        <f>IF(Table1[[#This Row],[Is Data Valid]]=TRUE,_xlfn.NORM.S.DIST(Table1[[#This Row],[Birthweight Z-Score (BW+10%)]],TRUE)*100,"")</f>
        <v/>
      </c>
    </row>
    <row r="3532" spans="1:12" x14ac:dyDescent="0.35">
      <c r="A3532" s="3"/>
      <c r="B3532" s="2"/>
      <c r="C3532" s="2"/>
      <c r="D3532" s="2" t="b">
        <f>IF(AND(NOT(ISBLANK(Table1[[#This Row],[Fetal Sex (Male, Female or Unknown)]])),ISNUMBER(Table1[[#This Row],[Birthweight (grams)]]),ISNUMBER(Table1[[#This Row],[Gestation (days)]])),TRUE,FALSE)</f>
        <v>0</v>
      </c>
      <c r="E3532" s="2" t="str">
        <f>IF(Table1[[#This Row],[Is Data Valid]]=TRUE,IF(Table1[[#This Row],[Fetal Sex (Male, Female or Unknown)]]="Male",Backend!$C$6,IF(Table1[[#This Row],[Fetal Sex (Male, Female or Unknown)]]="Female",Backend!$C$7,IF(Table1[[#This Row],[Fetal Sex (Male, Female or Unknown)]]="Unknown",Backend!$C$8,"Error"))),"")</f>
        <v/>
      </c>
      <c r="F3532" s="8" t="str">
        <f>IF(Table1[[#This Row],[Is Data Valid]]=TRUE,EXP(0.578+0.332*((Table1[[#This Row],[Gestation (days)]]+0.5)/7)-0.00354*((Table1[[#This Row],[Gestation (days)]]+0.5)/7)^2)*Table1[[#This Row],[BW40_3705]],"")</f>
        <v/>
      </c>
      <c r="G3532" s="2" t="str">
        <f>IF(Table1[[#This Row],[Is Data Valid]]=TRUE,((Table1[[#This Row],[Birthweight (grams)]]/Table1[[#This Row],[BW_GA]])-1)/(Backend!$B$4/100*Table1[[#This Row],[BW40_3705]]),"")</f>
        <v/>
      </c>
      <c r="H3532" s="7" t="str">
        <f>IF(Table1[[#This Row],[Is Data Valid]]=TRUE,((Table1[[#This Row],[Birthweight (grams)]]*0.9/Table1[[#This Row],[BW_GA]])-1)/(Backend!$B$4/100*Table1[[#This Row],[BW40_3705]]),"")</f>
        <v/>
      </c>
      <c r="I3532" s="7" t="str">
        <f>IF(Table1[[#This Row],[Is Data Valid]]=TRUE,((Table1[[#This Row],[Birthweight (grams)]]*1.1/Table1[[#This Row],[BW_GA]])-1)/(Backend!$B$4/100*Table1[[#This Row],[BW40_3705]]),"")</f>
        <v/>
      </c>
      <c r="J3532" s="7" t="str">
        <f>IF(Table1[[#This Row],[Is Data Valid]]=TRUE,_xlfn.NORM.S.DIST(Table1[[#This Row],[Birthweight Z-Score]],TRUE)*100,"")</f>
        <v/>
      </c>
      <c r="K3532" s="7" t="str">
        <f>IF(Table1[[#This Row],[Is Data Valid]]=TRUE,_xlfn.NORM.S.DIST(Table1[[#This Row],[Birthweight Z-Score (BW-10%)]],TRUE)*100,"")</f>
        <v/>
      </c>
      <c r="L3532" s="7" t="str">
        <f>IF(Table1[[#This Row],[Is Data Valid]]=TRUE,_xlfn.NORM.S.DIST(Table1[[#This Row],[Birthweight Z-Score (BW+10%)]],TRUE)*100,"")</f>
        <v/>
      </c>
    </row>
    <row r="3533" spans="1:12" x14ac:dyDescent="0.35">
      <c r="A3533" s="3"/>
      <c r="B3533" s="2"/>
      <c r="C3533" s="2"/>
      <c r="D3533" s="2" t="b">
        <f>IF(AND(NOT(ISBLANK(Table1[[#This Row],[Fetal Sex (Male, Female or Unknown)]])),ISNUMBER(Table1[[#This Row],[Birthweight (grams)]]),ISNUMBER(Table1[[#This Row],[Gestation (days)]])),TRUE,FALSE)</f>
        <v>0</v>
      </c>
      <c r="E3533" s="2" t="str">
        <f>IF(Table1[[#This Row],[Is Data Valid]]=TRUE,IF(Table1[[#This Row],[Fetal Sex (Male, Female or Unknown)]]="Male",Backend!$C$6,IF(Table1[[#This Row],[Fetal Sex (Male, Female or Unknown)]]="Female",Backend!$C$7,IF(Table1[[#This Row],[Fetal Sex (Male, Female or Unknown)]]="Unknown",Backend!$C$8,"Error"))),"")</f>
        <v/>
      </c>
      <c r="F3533" s="8" t="str">
        <f>IF(Table1[[#This Row],[Is Data Valid]]=TRUE,EXP(0.578+0.332*((Table1[[#This Row],[Gestation (days)]]+0.5)/7)-0.00354*((Table1[[#This Row],[Gestation (days)]]+0.5)/7)^2)*Table1[[#This Row],[BW40_3705]],"")</f>
        <v/>
      </c>
      <c r="G3533" s="2" t="str">
        <f>IF(Table1[[#This Row],[Is Data Valid]]=TRUE,((Table1[[#This Row],[Birthweight (grams)]]/Table1[[#This Row],[BW_GA]])-1)/(Backend!$B$4/100*Table1[[#This Row],[BW40_3705]]),"")</f>
        <v/>
      </c>
      <c r="H3533" s="7" t="str">
        <f>IF(Table1[[#This Row],[Is Data Valid]]=TRUE,((Table1[[#This Row],[Birthweight (grams)]]*0.9/Table1[[#This Row],[BW_GA]])-1)/(Backend!$B$4/100*Table1[[#This Row],[BW40_3705]]),"")</f>
        <v/>
      </c>
      <c r="I3533" s="7" t="str">
        <f>IF(Table1[[#This Row],[Is Data Valid]]=TRUE,((Table1[[#This Row],[Birthweight (grams)]]*1.1/Table1[[#This Row],[BW_GA]])-1)/(Backend!$B$4/100*Table1[[#This Row],[BW40_3705]]),"")</f>
        <v/>
      </c>
      <c r="J3533" s="7" t="str">
        <f>IF(Table1[[#This Row],[Is Data Valid]]=TRUE,_xlfn.NORM.S.DIST(Table1[[#This Row],[Birthweight Z-Score]],TRUE)*100,"")</f>
        <v/>
      </c>
      <c r="K3533" s="7" t="str">
        <f>IF(Table1[[#This Row],[Is Data Valid]]=TRUE,_xlfn.NORM.S.DIST(Table1[[#This Row],[Birthweight Z-Score (BW-10%)]],TRUE)*100,"")</f>
        <v/>
      </c>
      <c r="L3533" s="7" t="str">
        <f>IF(Table1[[#This Row],[Is Data Valid]]=TRUE,_xlfn.NORM.S.DIST(Table1[[#This Row],[Birthweight Z-Score (BW+10%)]],TRUE)*100,"")</f>
        <v/>
      </c>
    </row>
    <row r="3534" spans="1:12" x14ac:dyDescent="0.35">
      <c r="A3534" s="3"/>
      <c r="B3534" s="2"/>
      <c r="C3534" s="2"/>
      <c r="D3534" s="2" t="b">
        <f>IF(AND(NOT(ISBLANK(Table1[[#This Row],[Fetal Sex (Male, Female or Unknown)]])),ISNUMBER(Table1[[#This Row],[Birthweight (grams)]]),ISNUMBER(Table1[[#This Row],[Gestation (days)]])),TRUE,FALSE)</f>
        <v>0</v>
      </c>
      <c r="E3534" s="2" t="str">
        <f>IF(Table1[[#This Row],[Is Data Valid]]=TRUE,IF(Table1[[#This Row],[Fetal Sex (Male, Female or Unknown)]]="Male",Backend!$C$6,IF(Table1[[#This Row],[Fetal Sex (Male, Female or Unknown)]]="Female",Backend!$C$7,IF(Table1[[#This Row],[Fetal Sex (Male, Female or Unknown)]]="Unknown",Backend!$C$8,"Error"))),"")</f>
        <v/>
      </c>
      <c r="F3534" s="8" t="str">
        <f>IF(Table1[[#This Row],[Is Data Valid]]=TRUE,EXP(0.578+0.332*((Table1[[#This Row],[Gestation (days)]]+0.5)/7)-0.00354*((Table1[[#This Row],[Gestation (days)]]+0.5)/7)^2)*Table1[[#This Row],[BW40_3705]],"")</f>
        <v/>
      </c>
      <c r="G3534" s="2" t="str">
        <f>IF(Table1[[#This Row],[Is Data Valid]]=TRUE,((Table1[[#This Row],[Birthweight (grams)]]/Table1[[#This Row],[BW_GA]])-1)/(Backend!$B$4/100*Table1[[#This Row],[BW40_3705]]),"")</f>
        <v/>
      </c>
      <c r="H3534" s="7" t="str">
        <f>IF(Table1[[#This Row],[Is Data Valid]]=TRUE,((Table1[[#This Row],[Birthweight (grams)]]*0.9/Table1[[#This Row],[BW_GA]])-1)/(Backend!$B$4/100*Table1[[#This Row],[BW40_3705]]),"")</f>
        <v/>
      </c>
      <c r="I3534" s="7" t="str">
        <f>IF(Table1[[#This Row],[Is Data Valid]]=TRUE,((Table1[[#This Row],[Birthweight (grams)]]*1.1/Table1[[#This Row],[BW_GA]])-1)/(Backend!$B$4/100*Table1[[#This Row],[BW40_3705]]),"")</f>
        <v/>
      </c>
      <c r="J3534" s="7" t="str">
        <f>IF(Table1[[#This Row],[Is Data Valid]]=TRUE,_xlfn.NORM.S.DIST(Table1[[#This Row],[Birthweight Z-Score]],TRUE)*100,"")</f>
        <v/>
      </c>
      <c r="K3534" s="7" t="str">
        <f>IF(Table1[[#This Row],[Is Data Valid]]=TRUE,_xlfn.NORM.S.DIST(Table1[[#This Row],[Birthweight Z-Score (BW-10%)]],TRUE)*100,"")</f>
        <v/>
      </c>
      <c r="L3534" s="7" t="str">
        <f>IF(Table1[[#This Row],[Is Data Valid]]=TRUE,_xlfn.NORM.S.DIST(Table1[[#This Row],[Birthweight Z-Score (BW+10%)]],TRUE)*100,"")</f>
        <v/>
      </c>
    </row>
    <row r="3535" spans="1:12" x14ac:dyDescent="0.35">
      <c r="A3535" s="3"/>
      <c r="B3535" s="2"/>
      <c r="C3535" s="2"/>
      <c r="D3535" s="2" t="b">
        <f>IF(AND(NOT(ISBLANK(Table1[[#This Row],[Fetal Sex (Male, Female or Unknown)]])),ISNUMBER(Table1[[#This Row],[Birthweight (grams)]]),ISNUMBER(Table1[[#This Row],[Gestation (days)]])),TRUE,FALSE)</f>
        <v>0</v>
      </c>
      <c r="E3535" s="2" t="str">
        <f>IF(Table1[[#This Row],[Is Data Valid]]=TRUE,IF(Table1[[#This Row],[Fetal Sex (Male, Female or Unknown)]]="Male",Backend!$C$6,IF(Table1[[#This Row],[Fetal Sex (Male, Female or Unknown)]]="Female",Backend!$C$7,IF(Table1[[#This Row],[Fetal Sex (Male, Female or Unknown)]]="Unknown",Backend!$C$8,"Error"))),"")</f>
        <v/>
      </c>
      <c r="F3535" s="8" t="str">
        <f>IF(Table1[[#This Row],[Is Data Valid]]=TRUE,EXP(0.578+0.332*((Table1[[#This Row],[Gestation (days)]]+0.5)/7)-0.00354*((Table1[[#This Row],[Gestation (days)]]+0.5)/7)^2)*Table1[[#This Row],[BW40_3705]],"")</f>
        <v/>
      </c>
      <c r="G3535" s="2" t="str">
        <f>IF(Table1[[#This Row],[Is Data Valid]]=TRUE,((Table1[[#This Row],[Birthweight (grams)]]/Table1[[#This Row],[BW_GA]])-1)/(Backend!$B$4/100*Table1[[#This Row],[BW40_3705]]),"")</f>
        <v/>
      </c>
      <c r="H3535" s="7" t="str">
        <f>IF(Table1[[#This Row],[Is Data Valid]]=TRUE,((Table1[[#This Row],[Birthweight (grams)]]*0.9/Table1[[#This Row],[BW_GA]])-1)/(Backend!$B$4/100*Table1[[#This Row],[BW40_3705]]),"")</f>
        <v/>
      </c>
      <c r="I3535" s="7" t="str">
        <f>IF(Table1[[#This Row],[Is Data Valid]]=TRUE,((Table1[[#This Row],[Birthweight (grams)]]*1.1/Table1[[#This Row],[BW_GA]])-1)/(Backend!$B$4/100*Table1[[#This Row],[BW40_3705]]),"")</f>
        <v/>
      </c>
      <c r="J3535" s="7" t="str">
        <f>IF(Table1[[#This Row],[Is Data Valid]]=TRUE,_xlfn.NORM.S.DIST(Table1[[#This Row],[Birthweight Z-Score]],TRUE)*100,"")</f>
        <v/>
      </c>
      <c r="K3535" s="7" t="str">
        <f>IF(Table1[[#This Row],[Is Data Valid]]=TRUE,_xlfn.NORM.S.DIST(Table1[[#This Row],[Birthweight Z-Score (BW-10%)]],TRUE)*100,"")</f>
        <v/>
      </c>
      <c r="L3535" s="7" t="str">
        <f>IF(Table1[[#This Row],[Is Data Valid]]=TRUE,_xlfn.NORM.S.DIST(Table1[[#This Row],[Birthweight Z-Score (BW+10%)]],TRUE)*100,"")</f>
        <v/>
      </c>
    </row>
    <row r="3536" spans="1:12" x14ac:dyDescent="0.35">
      <c r="A3536" s="3"/>
      <c r="B3536" s="2"/>
      <c r="C3536" s="2"/>
      <c r="D3536" s="2" t="b">
        <f>IF(AND(NOT(ISBLANK(Table1[[#This Row],[Fetal Sex (Male, Female or Unknown)]])),ISNUMBER(Table1[[#This Row],[Birthweight (grams)]]),ISNUMBER(Table1[[#This Row],[Gestation (days)]])),TRUE,FALSE)</f>
        <v>0</v>
      </c>
      <c r="E3536" s="2" t="str">
        <f>IF(Table1[[#This Row],[Is Data Valid]]=TRUE,IF(Table1[[#This Row],[Fetal Sex (Male, Female or Unknown)]]="Male",Backend!$C$6,IF(Table1[[#This Row],[Fetal Sex (Male, Female or Unknown)]]="Female",Backend!$C$7,IF(Table1[[#This Row],[Fetal Sex (Male, Female or Unknown)]]="Unknown",Backend!$C$8,"Error"))),"")</f>
        <v/>
      </c>
      <c r="F3536" s="8" t="str">
        <f>IF(Table1[[#This Row],[Is Data Valid]]=TRUE,EXP(0.578+0.332*((Table1[[#This Row],[Gestation (days)]]+0.5)/7)-0.00354*((Table1[[#This Row],[Gestation (days)]]+0.5)/7)^2)*Table1[[#This Row],[BW40_3705]],"")</f>
        <v/>
      </c>
      <c r="G3536" s="2" t="str">
        <f>IF(Table1[[#This Row],[Is Data Valid]]=TRUE,((Table1[[#This Row],[Birthweight (grams)]]/Table1[[#This Row],[BW_GA]])-1)/(Backend!$B$4/100*Table1[[#This Row],[BW40_3705]]),"")</f>
        <v/>
      </c>
      <c r="H3536" s="7" t="str">
        <f>IF(Table1[[#This Row],[Is Data Valid]]=TRUE,((Table1[[#This Row],[Birthweight (grams)]]*0.9/Table1[[#This Row],[BW_GA]])-1)/(Backend!$B$4/100*Table1[[#This Row],[BW40_3705]]),"")</f>
        <v/>
      </c>
      <c r="I3536" s="7" t="str">
        <f>IF(Table1[[#This Row],[Is Data Valid]]=TRUE,((Table1[[#This Row],[Birthweight (grams)]]*1.1/Table1[[#This Row],[BW_GA]])-1)/(Backend!$B$4/100*Table1[[#This Row],[BW40_3705]]),"")</f>
        <v/>
      </c>
      <c r="J3536" s="7" t="str">
        <f>IF(Table1[[#This Row],[Is Data Valid]]=TRUE,_xlfn.NORM.S.DIST(Table1[[#This Row],[Birthweight Z-Score]],TRUE)*100,"")</f>
        <v/>
      </c>
      <c r="K3536" s="7" t="str">
        <f>IF(Table1[[#This Row],[Is Data Valid]]=TRUE,_xlfn.NORM.S.DIST(Table1[[#This Row],[Birthweight Z-Score (BW-10%)]],TRUE)*100,"")</f>
        <v/>
      </c>
      <c r="L3536" s="7" t="str">
        <f>IF(Table1[[#This Row],[Is Data Valid]]=TRUE,_xlfn.NORM.S.DIST(Table1[[#This Row],[Birthweight Z-Score (BW+10%)]],TRUE)*100,"")</f>
        <v/>
      </c>
    </row>
    <row r="3537" spans="1:12" x14ac:dyDescent="0.35">
      <c r="A3537" s="3"/>
      <c r="B3537" s="2"/>
      <c r="C3537" s="2"/>
      <c r="D3537" s="2" t="b">
        <f>IF(AND(NOT(ISBLANK(Table1[[#This Row],[Fetal Sex (Male, Female or Unknown)]])),ISNUMBER(Table1[[#This Row],[Birthweight (grams)]]),ISNUMBER(Table1[[#This Row],[Gestation (days)]])),TRUE,FALSE)</f>
        <v>0</v>
      </c>
      <c r="E3537" s="2" t="str">
        <f>IF(Table1[[#This Row],[Is Data Valid]]=TRUE,IF(Table1[[#This Row],[Fetal Sex (Male, Female or Unknown)]]="Male",Backend!$C$6,IF(Table1[[#This Row],[Fetal Sex (Male, Female or Unknown)]]="Female",Backend!$C$7,IF(Table1[[#This Row],[Fetal Sex (Male, Female or Unknown)]]="Unknown",Backend!$C$8,"Error"))),"")</f>
        <v/>
      </c>
      <c r="F3537" s="8" t="str">
        <f>IF(Table1[[#This Row],[Is Data Valid]]=TRUE,EXP(0.578+0.332*((Table1[[#This Row],[Gestation (days)]]+0.5)/7)-0.00354*((Table1[[#This Row],[Gestation (days)]]+0.5)/7)^2)*Table1[[#This Row],[BW40_3705]],"")</f>
        <v/>
      </c>
      <c r="G3537" s="2" t="str">
        <f>IF(Table1[[#This Row],[Is Data Valid]]=TRUE,((Table1[[#This Row],[Birthweight (grams)]]/Table1[[#This Row],[BW_GA]])-1)/(Backend!$B$4/100*Table1[[#This Row],[BW40_3705]]),"")</f>
        <v/>
      </c>
      <c r="H3537" s="7" t="str">
        <f>IF(Table1[[#This Row],[Is Data Valid]]=TRUE,((Table1[[#This Row],[Birthweight (grams)]]*0.9/Table1[[#This Row],[BW_GA]])-1)/(Backend!$B$4/100*Table1[[#This Row],[BW40_3705]]),"")</f>
        <v/>
      </c>
      <c r="I3537" s="7" t="str">
        <f>IF(Table1[[#This Row],[Is Data Valid]]=TRUE,((Table1[[#This Row],[Birthweight (grams)]]*1.1/Table1[[#This Row],[BW_GA]])-1)/(Backend!$B$4/100*Table1[[#This Row],[BW40_3705]]),"")</f>
        <v/>
      </c>
      <c r="J3537" s="7" t="str">
        <f>IF(Table1[[#This Row],[Is Data Valid]]=TRUE,_xlfn.NORM.S.DIST(Table1[[#This Row],[Birthweight Z-Score]],TRUE)*100,"")</f>
        <v/>
      </c>
      <c r="K3537" s="7" t="str">
        <f>IF(Table1[[#This Row],[Is Data Valid]]=TRUE,_xlfn.NORM.S.DIST(Table1[[#This Row],[Birthweight Z-Score (BW-10%)]],TRUE)*100,"")</f>
        <v/>
      </c>
      <c r="L3537" s="7" t="str">
        <f>IF(Table1[[#This Row],[Is Data Valid]]=TRUE,_xlfn.NORM.S.DIST(Table1[[#This Row],[Birthweight Z-Score (BW+10%)]],TRUE)*100,"")</f>
        <v/>
      </c>
    </row>
    <row r="3538" spans="1:12" x14ac:dyDescent="0.35">
      <c r="A3538" s="3"/>
      <c r="B3538" s="2"/>
      <c r="C3538" s="2"/>
      <c r="D3538" s="2" t="b">
        <f>IF(AND(NOT(ISBLANK(Table1[[#This Row],[Fetal Sex (Male, Female or Unknown)]])),ISNUMBER(Table1[[#This Row],[Birthweight (grams)]]),ISNUMBER(Table1[[#This Row],[Gestation (days)]])),TRUE,FALSE)</f>
        <v>0</v>
      </c>
      <c r="E3538" s="2" t="str">
        <f>IF(Table1[[#This Row],[Is Data Valid]]=TRUE,IF(Table1[[#This Row],[Fetal Sex (Male, Female or Unknown)]]="Male",Backend!$C$6,IF(Table1[[#This Row],[Fetal Sex (Male, Female or Unknown)]]="Female",Backend!$C$7,IF(Table1[[#This Row],[Fetal Sex (Male, Female or Unknown)]]="Unknown",Backend!$C$8,"Error"))),"")</f>
        <v/>
      </c>
      <c r="F3538" s="8" t="str">
        <f>IF(Table1[[#This Row],[Is Data Valid]]=TRUE,EXP(0.578+0.332*((Table1[[#This Row],[Gestation (days)]]+0.5)/7)-0.00354*((Table1[[#This Row],[Gestation (days)]]+0.5)/7)^2)*Table1[[#This Row],[BW40_3705]],"")</f>
        <v/>
      </c>
      <c r="G3538" s="2" t="str">
        <f>IF(Table1[[#This Row],[Is Data Valid]]=TRUE,((Table1[[#This Row],[Birthweight (grams)]]/Table1[[#This Row],[BW_GA]])-1)/(Backend!$B$4/100*Table1[[#This Row],[BW40_3705]]),"")</f>
        <v/>
      </c>
      <c r="H3538" s="7" t="str">
        <f>IF(Table1[[#This Row],[Is Data Valid]]=TRUE,((Table1[[#This Row],[Birthweight (grams)]]*0.9/Table1[[#This Row],[BW_GA]])-1)/(Backend!$B$4/100*Table1[[#This Row],[BW40_3705]]),"")</f>
        <v/>
      </c>
      <c r="I3538" s="7" t="str">
        <f>IF(Table1[[#This Row],[Is Data Valid]]=TRUE,((Table1[[#This Row],[Birthweight (grams)]]*1.1/Table1[[#This Row],[BW_GA]])-1)/(Backend!$B$4/100*Table1[[#This Row],[BW40_3705]]),"")</f>
        <v/>
      </c>
      <c r="J3538" s="7" t="str">
        <f>IF(Table1[[#This Row],[Is Data Valid]]=TRUE,_xlfn.NORM.S.DIST(Table1[[#This Row],[Birthweight Z-Score]],TRUE)*100,"")</f>
        <v/>
      </c>
      <c r="K3538" s="7" t="str">
        <f>IF(Table1[[#This Row],[Is Data Valid]]=TRUE,_xlfn.NORM.S.DIST(Table1[[#This Row],[Birthweight Z-Score (BW-10%)]],TRUE)*100,"")</f>
        <v/>
      </c>
      <c r="L3538" s="7" t="str">
        <f>IF(Table1[[#This Row],[Is Data Valid]]=TRUE,_xlfn.NORM.S.DIST(Table1[[#This Row],[Birthweight Z-Score (BW+10%)]],TRUE)*100,"")</f>
        <v/>
      </c>
    </row>
    <row r="3539" spans="1:12" x14ac:dyDescent="0.35">
      <c r="A3539" s="3"/>
      <c r="B3539" s="2"/>
      <c r="C3539" s="2"/>
      <c r="D3539" s="2" t="b">
        <f>IF(AND(NOT(ISBLANK(Table1[[#This Row],[Fetal Sex (Male, Female or Unknown)]])),ISNUMBER(Table1[[#This Row],[Birthweight (grams)]]),ISNUMBER(Table1[[#This Row],[Gestation (days)]])),TRUE,FALSE)</f>
        <v>0</v>
      </c>
      <c r="E3539" s="2" t="str">
        <f>IF(Table1[[#This Row],[Is Data Valid]]=TRUE,IF(Table1[[#This Row],[Fetal Sex (Male, Female or Unknown)]]="Male",Backend!$C$6,IF(Table1[[#This Row],[Fetal Sex (Male, Female or Unknown)]]="Female",Backend!$C$7,IF(Table1[[#This Row],[Fetal Sex (Male, Female or Unknown)]]="Unknown",Backend!$C$8,"Error"))),"")</f>
        <v/>
      </c>
      <c r="F3539" s="8" t="str">
        <f>IF(Table1[[#This Row],[Is Data Valid]]=TRUE,EXP(0.578+0.332*((Table1[[#This Row],[Gestation (days)]]+0.5)/7)-0.00354*((Table1[[#This Row],[Gestation (days)]]+0.5)/7)^2)*Table1[[#This Row],[BW40_3705]],"")</f>
        <v/>
      </c>
      <c r="G3539" s="2" t="str">
        <f>IF(Table1[[#This Row],[Is Data Valid]]=TRUE,((Table1[[#This Row],[Birthweight (grams)]]/Table1[[#This Row],[BW_GA]])-1)/(Backend!$B$4/100*Table1[[#This Row],[BW40_3705]]),"")</f>
        <v/>
      </c>
      <c r="H3539" s="7" t="str">
        <f>IF(Table1[[#This Row],[Is Data Valid]]=TRUE,((Table1[[#This Row],[Birthweight (grams)]]*0.9/Table1[[#This Row],[BW_GA]])-1)/(Backend!$B$4/100*Table1[[#This Row],[BW40_3705]]),"")</f>
        <v/>
      </c>
      <c r="I3539" s="7" t="str">
        <f>IF(Table1[[#This Row],[Is Data Valid]]=TRUE,((Table1[[#This Row],[Birthweight (grams)]]*1.1/Table1[[#This Row],[BW_GA]])-1)/(Backend!$B$4/100*Table1[[#This Row],[BW40_3705]]),"")</f>
        <v/>
      </c>
      <c r="J3539" s="7" t="str">
        <f>IF(Table1[[#This Row],[Is Data Valid]]=TRUE,_xlfn.NORM.S.DIST(Table1[[#This Row],[Birthweight Z-Score]],TRUE)*100,"")</f>
        <v/>
      </c>
      <c r="K3539" s="7" t="str">
        <f>IF(Table1[[#This Row],[Is Data Valid]]=TRUE,_xlfn.NORM.S.DIST(Table1[[#This Row],[Birthweight Z-Score (BW-10%)]],TRUE)*100,"")</f>
        <v/>
      </c>
      <c r="L3539" s="7" t="str">
        <f>IF(Table1[[#This Row],[Is Data Valid]]=TRUE,_xlfn.NORM.S.DIST(Table1[[#This Row],[Birthweight Z-Score (BW+10%)]],TRUE)*100,"")</f>
        <v/>
      </c>
    </row>
    <row r="3540" spans="1:12" x14ac:dyDescent="0.35">
      <c r="A3540" s="3"/>
      <c r="B3540" s="2"/>
      <c r="C3540" s="2"/>
      <c r="D3540" s="2" t="b">
        <f>IF(AND(NOT(ISBLANK(Table1[[#This Row],[Fetal Sex (Male, Female or Unknown)]])),ISNUMBER(Table1[[#This Row],[Birthweight (grams)]]),ISNUMBER(Table1[[#This Row],[Gestation (days)]])),TRUE,FALSE)</f>
        <v>0</v>
      </c>
      <c r="E3540" s="2" t="str">
        <f>IF(Table1[[#This Row],[Is Data Valid]]=TRUE,IF(Table1[[#This Row],[Fetal Sex (Male, Female or Unknown)]]="Male",Backend!$C$6,IF(Table1[[#This Row],[Fetal Sex (Male, Female or Unknown)]]="Female",Backend!$C$7,IF(Table1[[#This Row],[Fetal Sex (Male, Female or Unknown)]]="Unknown",Backend!$C$8,"Error"))),"")</f>
        <v/>
      </c>
      <c r="F3540" s="8" t="str">
        <f>IF(Table1[[#This Row],[Is Data Valid]]=TRUE,EXP(0.578+0.332*((Table1[[#This Row],[Gestation (days)]]+0.5)/7)-0.00354*((Table1[[#This Row],[Gestation (days)]]+0.5)/7)^2)*Table1[[#This Row],[BW40_3705]],"")</f>
        <v/>
      </c>
      <c r="G3540" s="2" t="str">
        <f>IF(Table1[[#This Row],[Is Data Valid]]=TRUE,((Table1[[#This Row],[Birthweight (grams)]]/Table1[[#This Row],[BW_GA]])-1)/(Backend!$B$4/100*Table1[[#This Row],[BW40_3705]]),"")</f>
        <v/>
      </c>
      <c r="H3540" s="7" t="str">
        <f>IF(Table1[[#This Row],[Is Data Valid]]=TRUE,((Table1[[#This Row],[Birthweight (grams)]]*0.9/Table1[[#This Row],[BW_GA]])-1)/(Backend!$B$4/100*Table1[[#This Row],[BW40_3705]]),"")</f>
        <v/>
      </c>
      <c r="I3540" s="7" t="str">
        <f>IF(Table1[[#This Row],[Is Data Valid]]=TRUE,((Table1[[#This Row],[Birthweight (grams)]]*1.1/Table1[[#This Row],[BW_GA]])-1)/(Backend!$B$4/100*Table1[[#This Row],[BW40_3705]]),"")</f>
        <v/>
      </c>
      <c r="J3540" s="7" t="str">
        <f>IF(Table1[[#This Row],[Is Data Valid]]=TRUE,_xlfn.NORM.S.DIST(Table1[[#This Row],[Birthweight Z-Score]],TRUE)*100,"")</f>
        <v/>
      </c>
      <c r="K3540" s="7" t="str">
        <f>IF(Table1[[#This Row],[Is Data Valid]]=TRUE,_xlfn.NORM.S.DIST(Table1[[#This Row],[Birthweight Z-Score (BW-10%)]],TRUE)*100,"")</f>
        <v/>
      </c>
      <c r="L3540" s="7" t="str">
        <f>IF(Table1[[#This Row],[Is Data Valid]]=TRUE,_xlfn.NORM.S.DIST(Table1[[#This Row],[Birthweight Z-Score (BW+10%)]],TRUE)*100,"")</f>
        <v/>
      </c>
    </row>
    <row r="3541" spans="1:12" x14ac:dyDescent="0.35">
      <c r="A3541" s="3"/>
      <c r="B3541" s="2"/>
      <c r="C3541" s="2"/>
      <c r="D3541" s="2" t="b">
        <f>IF(AND(NOT(ISBLANK(Table1[[#This Row],[Fetal Sex (Male, Female or Unknown)]])),ISNUMBER(Table1[[#This Row],[Birthweight (grams)]]),ISNUMBER(Table1[[#This Row],[Gestation (days)]])),TRUE,FALSE)</f>
        <v>0</v>
      </c>
      <c r="E3541" s="2" t="str">
        <f>IF(Table1[[#This Row],[Is Data Valid]]=TRUE,IF(Table1[[#This Row],[Fetal Sex (Male, Female or Unknown)]]="Male",Backend!$C$6,IF(Table1[[#This Row],[Fetal Sex (Male, Female or Unknown)]]="Female",Backend!$C$7,IF(Table1[[#This Row],[Fetal Sex (Male, Female or Unknown)]]="Unknown",Backend!$C$8,"Error"))),"")</f>
        <v/>
      </c>
      <c r="F3541" s="8" t="str">
        <f>IF(Table1[[#This Row],[Is Data Valid]]=TRUE,EXP(0.578+0.332*((Table1[[#This Row],[Gestation (days)]]+0.5)/7)-0.00354*((Table1[[#This Row],[Gestation (days)]]+0.5)/7)^2)*Table1[[#This Row],[BW40_3705]],"")</f>
        <v/>
      </c>
      <c r="G3541" s="2" t="str">
        <f>IF(Table1[[#This Row],[Is Data Valid]]=TRUE,((Table1[[#This Row],[Birthweight (grams)]]/Table1[[#This Row],[BW_GA]])-1)/(Backend!$B$4/100*Table1[[#This Row],[BW40_3705]]),"")</f>
        <v/>
      </c>
      <c r="H3541" s="7" t="str">
        <f>IF(Table1[[#This Row],[Is Data Valid]]=TRUE,((Table1[[#This Row],[Birthweight (grams)]]*0.9/Table1[[#This Row],[BW_GA]])-1)/(Backend!$B$4/100*Table1[[#This Row],[BW40_3705]]),"")</f>
        <v/>
      </c>
      <c r="I3541" s="7" t="str">
        <f>IF(Table1[[#This Row],[Is Data Valid]]=TRUE,((Table1[[#This Row],[Birthweight (grams)]]*1.1/Table1[[#This Row],[BW_GA]])-1)/(Backend!$B$4/100*Table1[[#This Row],[BW40_3705]]),"")</f>
        <v/>
      </c>
      <c r="J3541" s="7" t="str">
        <f>IF(Table1[[#This Row],[Is Data Valid]]=TRUE,_xlfn.NORM.S.DIST(Table1[[#This Row],[Birthweight Z-Score]],TRUE)*100,"")</f>
        <v/>
      </c>
      <c r="K3541" s="7" t="str">
        <f>IF(Table1[[#This Row],[Is Data Valid]]=TRUE,_xlfn.NORM.S.DIST(Table1[[#This Row],[Birthweight Z-Score (BW-10%)]],TRUE)*100,"")</f>
        <v/>
      </c>
      <c r="L3541" s="7" t="str">
        <f>IF(Table1[[#This Row],[Is Data Valid]]=TRUE,_xlfn.NORM.S.DIST(Table1[[#This Row],[Birthweight Z-Score (BW+10%)]],TRUE)*100,"")</f>
        <v/>
      </c>
    </row>
    <row r="3542" spans="1:12" x14ac:dyDescent="0.35">
      <c r="A3542" s="3"/>
      <c r="B3542" s="2"/>
      <c r="C3542" s="2"/>
      <c r="D3542" s="2" t="b">
        <f>IF(AND(NOT(ISBLANK(Table1[[#This Row],[Fetal Sex (Male, Female or Unknown)]])),ISNUMBER(Table1[[#This Row],[Birthweight (grams)]]),ISNUMBER(Table1[[#This Row],[Gestation (days)]])),TRUE,FALSE)</f>
        <v>0</v>
      </c>
      <c r="E3542" s="2" t="str">
        <f>IF(Table1[[#This Row],[Is Data Valid]]=TRUE,IF(Table1[[#This Row],[Fetal Sex (Male, Female or Unknown)]]="Male",Backend!$C$6,IF(Table1[[#This Row],[Fetal Sex (Male, Female or Unknown)]]="Female",Backend!$C$7,IF(Table1[[#This Row],[Fetal Sex (Male, Female or Unknown)]]="Unknown",Backend!$C$8,"Error"))),"")</f>
        <v/>
      </c>
      <c r="F3542" s="8" t="str">
        <f>IF(Table1[[#This Row],[Is Data Valid]]=TRUE,EXP(0.578+0.332*((Table1[[#This Row],[Gestation (days)]]+0.5)/7)-0.00354*((Table1[[#This Row],[Gestation (days)]]+0.5)/7)^2)*Table1[[#This Row],[BW40_3705]],"")</f>
        <v/>
      </c>
      <c r="G3542" s="2" t="str">
        <f>IF(Table1[[#This Row],[Is Data Valid]]=TRUE,((Table1[[#This Row],[Birthweight (grams)]]/Table1[[#This Row],[BW_GA]])-1)/(Backend!$B$4/100*Table1[[#This Row],[BW40_3705]]),"")</f>
        <v/>
      </c>
      <c r="H3542" s="7" t="str">
        <f>IF(Table1[[#This Row],[Is Data Valid]]=TRUE,((Table1[[#This Row],[Birthweight (grams)]]*0.9/Table1[[#This Row],[BW_GA]])-1)/(Backend!$B$4/100*Table1[[#This Row],[BW40_3705]]),"")</f>
        <v/>
      </c>
      <c r="I3542" s="7" t="str">
        <f>IF(Table1[[#This Row],[Is Data Valid]]=TRUE,((Table1[[#This Row],[Birthweight (grams)]]*1.1/Table1[[#This Row],[BW_GA]])-1)/(Backend!$B$4/100*Table1[[#This Row],[BW40_3705]]),"")</f>
        <v/>
      </c>
      <c r="J3542" s="7" t="str">
        <f>IF(Table1[[#This Row],[Is Data Valid]]=TRUE,_xlfn.NORM.S.DIST(Table1[[#This Row],[Birthweight Z-Score]],TRUE)*100,"")</f>
        <v/>
      </c>
      <c r="K3542" s="7" t="str">
        <f>IF(Table1[[#This Row],[Is Data Valid]]=TRUE,_xlfn.NORM.S.DIST(Table1[[#This Row],[Birthweight Z-Score (BW-10%)]],TRUE)*100,"")</f>
        <v/>
      </c>
      <c r="L3542" s="7" t="str">
        <f>IF(Table1[[#This Row],[Is Data Valid]]=TRUE,_xlfn.NORM.S.DIST(Table1[[#This Row],[Birthweight Z-Score (BW+10%)]],TRUE)*100,"")</f>
        <v/>
      </c>
    </row>
    <row r="3543" spans="1:12" x14ac:dyDescent="0.35">
      <c r="A3543" s="3"/>
      <c r="B3543" s="2"/>
      <c r="C3543" s="2"/>
      <c r="D3543" s="2" t="b">
        <f>IF(AND(NOT(ISBLANK(Table1[[#This Row],[Fetal Sex (Male, Female or Unknown)]])),ISNUMBER(Table1[[#This Row],[Birthweight (grams)]]),ISNUMBER(Table1[[#This Row],[Gestation (days)]])),TRUE,FALSE)</f>
        <v>0</v>
      </c>
      <c r="E3543" s="2" t="str">
        <f>IF(Table1[[#This Row],[Is Data Valid]]=TRUE,IF(Table1[[#This Row],[Fetal Sex (Male, Female or Unknown)]]="Male",Backend!$C$6,IF(Table1[[#This Row],[Fetal Sex (Male, Female or Unknown)]]="Female",Backend!$C$7,IF(Table1[[#This Row],[Fetal Sex (Male, Female or Unknown)]]="Unknown",Backend!$C$8,"Error"))),"")</f>
        <v/>
      </c>
      <c r="F3543" s="8" t="str">
        <f>IF(Table1[[#This Row],[Is Data Valid]]=TRUE,EXP(0.578+0.332*((Table1[[#This Row],[Gestation (days)]]+0.5)/7)-0.00354*((Table1[[#This Row],[Gestation (days)]]+0.5)/7)^2)*Table1[[#This Row],[BW40_3705]],"")</f>
        <v/>
      </c>
      <c r="G3543" s="2" t="str">
        <f>IF(Table1[[#This Row],[Is Data Valid]]=TRUE,((Table1[[#This Row],[Birthweight (grams)]]/Table1[[#This Row],[BW_GA]])-1)/(Backend!$B$4/100*Table1[[#This Row],[BW40_3705]]),"")</f>
        <v/>
      </c>
      <c r="H3543" s="7" t="str">
        <f>IF(Table1[[#This Row],[Is Data Valid]]=TRUE,((Table1[[#This Row],[Birthweight (grams)]]*0.9/Table1[[#This Row],[BW_GA]])-1)/(Backend!$B$4/100*Table1[[#This Row],[BW40_3705]]),"")</f>
        <v/>
      </c>
      <c r="I3543" s="7" t="str">
        <f>IF(Table1[[#This Row],[Is Data Valid]]=TRUE,((Table1[[#This Row],[Birthweight (grams)]]*1.1/Table1[[#This Row],[BW_GA]])-1)/(Backend!$B$4/100*Table1[[#This Row],[BW40_3705]]),"")</f>
        <v/>
      </c>
      <c r="J3543" s="7" t="str">
        <f>IF(Table1[[#This Row],[Is Data Valid]]=TRUE,_xlfn.NORM.S.DIST(Table1[[#This Row],[Birthweight Z-Score]],TRUE)*100,"")</f>
        <v/>
      </c>
      <c r="K3543" s="7" t="str">
        <f>IF(Table1[[#This Row],[Is Data Valid]]=TRUE,_xlfn.NORM.S.DIST(Table1[[#This Row],[Birthweight Z-Score (BW-10%)]],TRUE)*100,"")</f>
        <v/>
      </c>
      <c r="L3543" s="7" t="str">
        <f>IF(Table1[[#This Row],[Is Data Valid]]=TRUE,_xlfn.NORM.S.DIST(Table1[[#This Row],[Birthweight Z-Score (BW+10%)]],TRUE)*100,"")</f>
        <v/>
      </c>
    </row>
    <row r="3544" spans="1:12" x14ac:dyDescent="0.35">
      <c r="A3544" s="3"/>
      <c r="B3544" s="2"/>
      <c r="C3544" s="2"/>
      <c r="D3544" s="2" t="b">
        <f>IF(AND(NOT(ISBLANK(Table1[[#This Row],[Fetal Sex (Male, Female or Unknown)]])),ISNUMBER(Table1[[#This Row],[Birthweight (grams)]]),ISNUMBER(Table1[[#This Row],[Gestation (days)]])),TRUE,FALSE)</f>
        <v>0</v>
      </c>
      <c r="E3544" s="2" t="str">
        <f>IF(Table1[[#This Row],[Is Data Valid]]=TRUE,IF(Table1[[#This Row],[Fetal Sex (Male, Female or Unknown)]]="Male",Backend!$C$6,IF(Table1[[#This Row],[Fetal Sex (Male, Female or Unknown)]]="Female",Backend!$C$7,IF(Table1[[#This Row],[Fetal Sex (Male, Female or Unknown)]]="Unknown",Backend!$C$8,"Error"))),"")</f>
        <v/>
      </c>
      <c r="F3544" s="8" t="str">
        <f>IF(Table1[[#This Row],[Is Data Valid]]=TRUE,EXP(0.578+0.332*((Table1[[#This Row],[Gestation (days)]]+0.5)/7)-0.00354*((Table1[[#This Row],[Gestation (days)]]+0.5)/7)^2)*Table1[[#This Row],[BW40_3705]],"")</f>
        <v/>
      </c>
      <c r="G3544" s="2" t="str">
        <f>IF(Table1[[#This Row],[Is Data Valid]]=TRUE,((Table1[[#This Row],[Birthweight (grams)]]/Table1[[#This Row],[BW_GA]])-1)/(Backend!$B$4/100*Table1[[#This Row],[BW40_3705]]),"")</f>
        <v/>
      </c>
      <c r="H3544" s="7" t="str">
        <f>IF(Table1[[#This Row],[Is Data Valid]]=TRUE,((Table1[[#This Row],[Birthweight (grams)]]*0.9/Table1[[#This Row],[BW_GA]])-1)/(Backend!$B$4/100*Table1[[#This Row],[BW40_3705]]),"")</f>
        <v/>
      </c>
      <c r="I3544" s="7" t="str">
        <f>IF(Table1[[#This Row],[Is Data Valid]]=TRUE,((Table1[[#This Row],[Birthweight (grams)]]*1.1/Table1[[#This Row],[BW_GA]])-1)/(Backend!$B$4/100*Table1[[#This Row],[BW40_3705]]),"")</f>
        <v/>
      </c>
      <c r="J3544" s="7" t="str">
        <f>IF(Table1[[#This Row],[Is Data Valid]]=TRUE,_xlfn.NORM.S.DIST(Table1[[#This Row],[Birthweight Z-Score]],TRUE)*100,"")</f>
        <v/>
      </c>
      <c r="K3544" s="7" t="str">
        <f>IF(Table1[[#This Row],[Is Data Valid]]=TRUE,_xlfn.NORM.S.DIST(Table1[[#This Row],[Birthweight Z-Score (BW-10%)]],TRUE)*100,"")</f>
        <v/>
      </c>
      <c r="L3544" s="7" t="str">
        <f>IF(Table1[[#This Row],[Is Data Valid]]=TRUE,_xlfn.NORM.S.DIST(Table1[[#This Row],[Birthweight Z-Score (BW+10%)]],TRUE)*100,"")</f>
        <v/>
      </c>
    </row>
    <row r="3545" spans="1:12" x14ac:dyDescent="0.35">
      <c r="A3545" s="3"/>
      <c r="B3545" s="2"/>
      <c r="C3545" s="2"/>
      <c r="D3545" s="2" t="b">
        <f>IF(AND(NOT(ISBLANK(Table1[[#This Row],[Fetal Sex (Male, Female or Unknown)]])),ISNUMBER(Table1[[#This Row],[Birthweight (grams)]]),ISNUMBER(Table1[[#This Row],[Gestation (days)]])),TRUE,FALSE)</f>
        <v>0</v>
      </c>
      <c r="E3545" s="2" t="str">
        <f>IF(Table1[[#This Row],[Is Data Valid]]=TRUE,IF(Table1[[#This Row],[Fetal Sex (Male, Female or Unknown)]]="Male",Backend!$C$6,IF(Table1[[#This Row],[Fetal Sex (Male, Female or Unknown)]]="Female",Backend!$C$7,IF(Table1[[#This Row],[Fetal Sex (Male, Female or Unknown)]]="Unknown",Backend!$C$8,"Error"))),"")</f>
        <v/>
      </c>
      <c r="F3545" s="8" t="str">
        <f>IF(Table1[[#This Row],[Is Data Valid]]=TRUE,EXP(0.578+0.332*((Table1[[#This Row],[Gestation (days)]]+0.5)/7)-0.00354*((Table1[[#This Row],[Gestation (days)]]+0.5)/7)^2)*Table1[[#This Row],[BW40_3705]],"")</f>
        <v/>
      </c>
      <c r="G3545" s="2" t="str">
        <f>IF(Table1[[#This Row],[Is Data Valid]]=TRUE,((Table1[[#This Row],[Birthweight (grams)]]/Table1[[#This Row],[BW_GA]])-1)/(Backend!$B$4/100*Table1[[#This Row],[BW40_3705]]),"")</f>
        <v/>
      </c>
      <c r="H3545" s="7" t="str">
        <f>IF(Table1[[#This Row],[Is Data Valid]]=TRUE,((Table1[[#This Row],[Birthweight (grams)]]*0.9/Table1[[#This Row],[BW_GA]])-1)/(Backend!$B$4/100*Table1[[#This Row],[BW40_3705]]),"")</f>
        <v/>
      </c>
      <c r="I3545" s="7" t="str">
        <f>IF(Table1[[#This Row],[Is Data Valid]]=TRUE,((Table1[[#This Row],[Birthweight (grams)]]*1.1/Table1[[#This Row],[BW_GA]])-1)/(Backend!$B$4/100*Table1[[#This Row],[BW40_3705]]),"")</f>
        <v/>
      </c>
      <c r="J3545" s="7" t="str">
        <f>IF(Table1[[#This Row],[Is Data Valid]]=TRUE,_xlfn.NORM.S.DIST(Table1[[#This Row],[Birthweight Z-Score]],TRUE)*100,"")</f>
        <v/>
      </c>
      <c r="K3545" s="7" t="str">
        <f>IF(Table1[[#This Row],[Is Data Valid]]=TRUE,_xlfn.NORM.S.DIST(Table1[[#This Row],[Birthweight Z-Score (BW-10%)]],TRUE)*100,"")</f>
        <v/>
      </c>
      <c r="L3545" s="7" t="str">
        <f>IF(Table1[[#This Row],[Is Data Valid]]=TRUE,_xlfn.NORM.S.DIST(Table1[[#This Row],[Birthweight Z-Score (BW+10%)]],TRUE)*100,"")</f>
        <v/>
      </c>
    </row>
    <row r="3546" spans="1:12" x14ac:dyDescent="0.35">
      <c r="A3546" s="3"/>
      <c r="B3546" s="2"/>
      <c r="C3546" s="2"/>
      <c r="D3546" s="2" t="b">
        <f>IF(AND(NOT(ISBLANK(Table1[[#This Row],[Fetal Sex (Male, Female or Unknown)]])),ISNUMBER(Table1[[#This Row],[Birthweight (grams)]]),ISNUMBER(Table1[[#This Row],[Gestation (days)]])),TRUE,FALSE)</f>
        <v>0</v>
      </c>
      <c r="E3546" s="2" t="str">
        <f>IF(Table1[[#This Row],[Is Data Valid]]=TRUE,IF(Table1[[#This Row],[Fetal Sex (Male, Female or Unknown)]]="Male",Backend!$C$6,IF(Table1[[#This Row],[Fetal Sex (Male, Female or Unknown)]]="Female",Backend!$C$7,IF(Table1[[#This Row],[Fetal Sex (Male, Female or Unknown)]]="Unknown",Backend!$C$8,"Error"))),"")</f>
        <v/>
      </c>
      <c r="F3546" s="8" t="str">
        <f>IF(Table1[[#This Row],[Is Data Valid]]=TRUE,EXP(0.578+0.332*((Table1[[#This Row],[Gestation (days)]]+0.5)/7)-0.00354*((Table1[[#This Row],[Gestation (days)]]+0.5)/7)^2)*Table1[[#This Row],[BW40_3705]],"")</f>
        <v/>
      </c>
      <c r="G3546" s="2" t="str">
        <f>IF(Table1[[#This Row],[Is Data Valid]]=TRUE,((Table1[[#This Row],[Birthweight (grams)]]/Table1[[#This Row],[BW_GA]])-1)/(Backend!$B$4/100*Table1[[#This Row],[BW40_3705]]),"")</f>
        <v/>
      </c>
      <c r="H3546" s="7" t="str">
        <f>IF(Table1[[#This Row],[Is Data Valid]]=TRUE,((Table1[[#This Row],[Birthweight (grams)]]*0.9/Table1[[#This Row],[BW_GA]])-1)/(Backend!$B$4/100*Table1[[#This Row],[BW40_3705]]),"")</f>
        <v/>
      </c>
      <c r="I3546" s="7" t="str">
        <f>IF(Table1[[#This Row],[Is Data Valid]]=TRUE,((Table1[[#This Row],[Birthweight (grams)]]*1.1/Table1[[#This Row],[BW_GA]])-1)/(Backend!$B$4/100*Table1[[#This Row],[BW40_3705]]),"")</f>
        <v/>
      </c>
      <c r="J3546" s="7" t="str">
        <f>IF(Table1[[#This Row],[Is Data Valid]]=TRUE,_xlfn.NORM.S.DIST(Table1[[#This Row],[Birthweight Z-Score]],TRUE)*100,"")</f>
        <v/>
      </c>
      <c r="K3546" s="7" t="str">
        <f>IF(Table1[[#This Row],[Is Data Valid]]=TRUE,_xlfn.NORM.S.DIST(Table1[[#This Row],[Birthweight Z-Score (BW-10%)]],TRUE)*100,"")</f>
        <v/>
      </c>
      <c r="L3546" s="7" t="str">
        <f>IF(Table1[[#This Row],[Is Data Valid]]=TRUE,_xlfn.NORM.S.DIST(Table1[[#This Row],[Birthweight Z-Score (BW+10%)]],TRUE)*100,"")</f>
        <v/>
      </c>
    </row>
    <row r="3547" spans="1:12" x14ac:dyDescent="0.35">
      <c r="A3547" s="3"/>
      <c r="B3547" s="2"/>
      <c r="C3547" s="2"/>
      <c r="D3547" s="2" t="b">
        <f>IF(AND(NOT(ISBLANK(Table1[[#This Row],[Fetal Sex (Male, Female or Unknown)]])),ISNUMBER(Table1[[#This Row],[Birthweight (grams)]]),ISNUMBER(Table1[[#This Row],[Gestation (days)]])),TRUE,FALSE)</f>
        <v>0</v>
      </c>
      <c r="E3547" s="2" t="str">
        <f>IF(Table1[[#This Row],[Is Data Valid]]=TRUE,IF(Table1[[#This Row],[Fetal Sex (Male, Female or Unknown)]]="Male",Backend!$C$6,IF(Table1[[#This Row],[Fetal Sex (Male, Female or Unknown)]]="Female",Backend!$C$7,IF(Table1[[#This Row],[Fetal Sex (Male, Female or Unknown)]]="Unknown",Backend!$C$8,"Error"))),"")</f>
        <v/>
      </c>
      <c r="F3547" s="8" t="str">
        <f>IF(Table1[[#This Row],[Is Data Valid]]=TRUE,EXP(0.578+0.332*((Table1[[#This Row],[Gestation (days)]]+0.5)/7)-0.00354*((Table1[[#This Row],[Gestation (days)]]+0.5)/7)^2)*Table1[[#This Row],[BW40_3705]],"")</f>
        <v/>
      </c>
      <c r="G3547" s="2" t="str">
        <f>IF(Table1[[#This Row],[Is Data Valid]]=TRUE,((Table1[[#This Row],[Birthweight (grams)]]/Table1[[#This Row],[BW_GA]])-1)/(Backend!$B$4/100*Table1[[#This Row],[BW40_3705]]),"")</f>
        <v/>
      </c>
      <c r="H3547" s="7" t="str">
        <f>IF(Table1[[#This Row],[Is Data Valid]]=TRUE,((Table1[[#This Row],[Birthweight (grams)]]*0.9/Table1[[#This Row],[BW_GA]])-1)/(Backend!$B$4/100*Table1[[#This Row],[BW40_3705]]),"")</f>
        <v/>
      </c>
      <c r="I3547" s="7" t="str">
        <f>IF(Table1[[#This Row],[Is Data Valid]]=TRUE,((Table1[[#This Row],[Birthweight (grams)]]*1.1/Table1[[#This Row],[BW_GA]])-1)/(Backend!$B$4/100*Table1[[#This Row],[BW40_3705]]),"")</f>
        <v/>
      </c>
      <c r="J3547" s="7" t="str">
        <f>IF(Table1[[#This Row],[Is Data Valid]]=TRUE,_xlfn.NORM.S.DIST(Table1[[#This Row],[Birthweight Z-Score]],TRUE)*100,"")</f>
        <v/>
      </c>
      <c r="K3547" s="7" t="str">
        <f>IF(Table1[[#This Row],[Is Data Valid]]=TRUE,_xlfn.NORM.S.DIST(Table1[[#This Row],[Birthweight Z-Score (BW-10%)]],TRUE)*100,"")</f>
        <v/>
      </c>
      <c r="L3547" s="7" t="str">
        <f>IF(Table1[[#This Row],[Is Data Valid]]=TRUE,_xlfn.NORM.S.DIST(Table1[[#This Row],[Birthweight Z-Score (BW+10%)]],TRUE)*100,"")</f>
        <v/>
      </c>
    </row>
    <row r="3548" spans="1:12" x14ac:dyDescent="0.35">
      <c r="A3548" s="3"/>
      <c r="B3548" s="2"/>
      <c r="C3548" s="2"/>
      <c r="D3548" s="2" t="b">
        <f>IF(AND(NOT(ISBLANK(Table1[[#This Row],[Fetal Sex (Male, Female or Unknown)]])),ISNUMBER(Table1[[#This Row],[Birthweight (grams)]]),ISNUMBER(Table1[[#This Row],[Gestation (days)]])),TRUE,FALSE)</f>
        <v>0</v>
      </c>
      <c r="E3548" s="2" t="str">
        <f>IF(Table1[[#This Row],[Is Data Valid]]=TRUE,IF(Table1[[#This Row],[Fetal Sex (Male, Female or Unknown)]]="Male",Backend!$C$6,IF(Table1[[#This Row],[Fetal Sex (Male, Female or Unknown)]]="Female",Backend!$C$7,IF(Table1[[#This Row],[Fetal Sex (Male, Female or Unknown)]]="Unknown",Backend!$C$8,"Error"))),"")</f>
        <v/>
      </c>
      <c r="F3548" s="8" t="str">
        <f>IF(Table1[[#This Row],[Is Data Valid]]=TRUE,EXP(0.578+0.332*((Table1[[#This Row],[Gestation (days)]]+0.5)/7)-0.00354*((Table1[[#This Row],[Gestation (days)]]+0.5)/7)^2)*Table1[[#This Row],[BW40_3705]],"")</f>
        <v/>
      </c>
      <c r="G3548" s="2" t="str">
        <f>IF(Table1[[#This Row],[Is Data Valid]]=TRUE,((Table1[[#This Row],[Birthweight (grams)]]/Table1[[#This Row],[BW_GA]])-1)/(Backend!$B$4/100*Table1[[#This Row],[BW40_3705]]),"")</f>
        <v/>
      </c>
      <c r="H3548" s="7" t="str">
        <f>IF(Table1[[#This Row],[Is Data Valid]]=TRUE,((Table1[[#This Row],[Birthweight (grams)]]*0.9/Table1[[#This Row],[BW_GA]])-1)/(Backend!$B$4/100*Table1[[#This Row],[BW40_3705]]),"")</f>
        <v/>
      </c>
      <c r="I3548" s="7" t="str">
        <f>IF(Table1[[#This Row],[Is Data Valid]]=TRUE,((Table1[[#This Row],[Birthweight (grams)]]*1.1/Table1[[#This Row],[BW_GA]])-1)/(Backend!$B$4/100*Table1[[#This Row],[BW40_3705]]),"")</f>
        <v/>
      </c>
      <c r="J3548" s="7" t="str">
        <f>IF(Table1[[#This Row],[Is Data Valid]]=TRUE,_xlfn.NORM.S.DIST(Table1[[#This Row],[Birthweight Z-Score]],TRUE)*100,"")</f>
        <v/>
      </c>
      <c r="K3548" s="7" t="str">
        <f>IF(Table1[[#This Row],[Is Data Valid]]=TRUE,_xlfn.NORM.S.DIST(Table1[[#This Row],[Birthweight Z-Score (BW-10%)]],TRUE)*100,"")</f>
        <v/>
      </c>
      <c r="L3548" s="7" t="str">
        <f>IF(Table1[[#This Row],[Is Data Valid]]=TRUE,_xlfn.NORM.S.DIST(Table1[[#This Row],[Birthweight Z-Score (BW+10%)]],TRUE)*100,"")</f>
        <v/>
      </c>
    </row>
    <row r="3549" spans="1:12" x14ac:dyDescent="0.35">
      <c r="A3549" s="3"/>
      <c r="B3549" s="2"/>
      <c r="C3549" s="2"/>
      <c r="D3549" s="2" t="b">
        <f>IF(AND(NOT(ISBLANK(Table1[[#This Row],[Fetal Sex (Male, Female or Unknown)]])),ISNUMBER(Table1[[#This Row],[Birthweight (grams)]]),ISNUMBER(Table1[[#This Row],[Gestation (days)]])),TRUE,FALSE)</f>
        <v>0</v>
      </c>
      <c r="E3549" s="2" t="str">
        <f>IF(Table1[[#This Row],[Is Data Valid]]=TRUE,IF(Table1[[#This Row],[Fetal Sex (Male, Female or Unknown)]]="Male",Backend!$C$6,IF(Table1[[#This Row],[Fetal Sex (Male, Female or Unknown)]]="Female",Backend!$C$7,IF(Table1[[#This Row],[Fetal Sex (Male, Female or Unknown)]]="Unknown",Backend!$C$8,"Error"))),"")</f>
        <v/>
      </c>
      <c r="F3549" s="8" t="str">
        <f>IF(Table1[[#This Row],[Is Data Valid]]=TRUE,EXP(0.578+0.332*((Table1[[#This Row],[Gestation (days)]]+0.5)/7)-0.00354*((Table1[[#This Row],[Gestation (days)]]+0.5)/7)^2)*Table1[[#This Row],[BW40_3705]],"")</f>
        <v/>
      </c>
      <c r="G3549" s="2" t="str">
        <f>IF(Table1[[#This Row],[Is Data Valid]]=TRUE,((Table1[[#This Row],[Birthweight (grams)]]/Table1[[#This Row],[BW_GA]])-1)/(Backend!$B$4/100*Table1[[#This Row],[BW40_3705]]),"")</f>
        <v/>
      </c>
      <c r="H3549" s="7" t="str">
        <f>IF(Table1[[#This Row],[Is Data Valid]]=TRUE,((Table1[[#This Row],[Birthweight (grams)]]*0.9/Table1[[#This Row],[BW_GA]])-1)/(Backend!$B$4/100*Table1[[#This Row],[BW40_3705]]),"")</f>
        <v/>
      </c>
      <c r="I3549" s="7" t="str">
        <f>IF(Table1[[#This Row],[Is Data Valid]]=TRUE,((Table1[[#This Row],[Birthweight (grams)]]*1.1/Table1[[#This Row],[BW_GA]])-1)/(Backend!$B$4/100*Table1[[#This Row],[BW40_3705]]),"")</f>
        <v/>
      </c>
      <c r="J3549" s="7" t="str">
        <f>IF(Table1[[#This Row],[Is Data Valid]]=TRUE,_xlfn.NORM.S.DIST(Table1[[#This Row],[Birthweight Z-Score]],TRUE)*100,"")</f>
        <v/>
      </c>
      <c r="K3549" s="7" t="str">
        <f>IF(Table1[[#This Row],[Is Data Valid]]=TRUE,_xlfn.NORM.S.DIST(Table1[[#This Row],[Birthweight Z-Score (BW-10%)]],TRUE)*100,"")</f>
        <v/>
      </c>
      <c r="L3549" s="7" t="str">
        <f>IF(Table1[[#This Row],[Is Data Valid]]=TRUE,_xlfn.NORM.S.DIST(Table1[[#This Row],[Birthweight Z-Score (BW+10%)]],TRUE)*100,"")</f>
        <v/>
      </c>
    </row>
    <row r="3550" spans="1:12" x14ac:dyDescent="0.35">
      <c r="A3550" s="3"/>
      <c r="B3550" s="2"/>
      <c r="C3550" s="2"/>
      <c r="D3550" s="2" t="b">
        <f>IF(AND(NOT(ISBLANK(Table1[[#This Row],[Fetal Sex (Male, Female or Unknown)]])),ISNUMBER(Table1[[#This Row],[Birthweight (grams)]]),ISNUMBER(Table1[[#This Row],[Gestation (days)]])),TRUE,FALSE)</f>
        <v>0</v>
      </c>
      <c r="E3550" s="2" t="str">
        <f>IF(Table1[[#This Row],[Is Data Valid]]=TRUE,IF(Table1[[#This Row],[Fetal Sex (Male, Female or Unknown)]]="Male",Backend!$C$6,IF(Table1[[#This Row],[Fetal Sex (Male, Female or Unknown)]]="Female",Backend!$C$7,IF(Table1[[#This Row],[Fetal Sex (Male, Female or Unknown)]]="Unknown",Backend!$C$8,"Error"))),"")</f>
        <v/>
      </c>
      <c r="F3550" s="8" t="str">
        <f>IF(Table1[[#This Row],[Is Data Valid]]=TRUE,EXP(0.578+0.332*((Table1[[#This Row],[Gestation (days)]]+0.5)/7)-0.00354*((Table1[[#This Row],[Gestation (days)]]+0.5)/7)^2)*Table1[[#This Row],[BW40_3705]],"")</f>
        <v/>
      </c>
      <c r="G3550" s="2" t="str">
        <f>IF(Table1[[#This Row],[Is Data Valid]]=TRUE,((Table1[[#This Row],[Birthweight (grams)]]/Table1[[#This Row],[BW_GA]])-1)/(Backend!$B$4/100*Table1[[#This Row],[BW40_3705]]),"")</f>
        <v/>
      </c>
      <c r="H3550" s="7" t="str">
        <f>IF(Table1[[#This Row],[Is Data Valid]]=TRUE,((Table1[[#This Row],[Birthweight (grams)]]*0.9/Table1[[#This Row],[BW_GA]])-1)/(Backend!$B$4/100*Table1[[#This Row],[BW40_3705]]),"")</f>
        <v/>
      </c>
      <c r="I3550" s="7" t="str">
        <f>IF(Table1[[#This Row],[Is Data Valid]]=TRUE,((Table1[[#This Row],[Birthweight (grams)]]*1.1/Table1[[#This Row],[BW_GA]])-1)/(Backend!$B$4/100*Table1[[#This Row],[BW40_3705]]),"")</f>
        <v/>
      </c>
      <c r="J3550" s="7" t="str">
        <f>IF(Table1[[#This Row],[Is Data Valid]]=TRUE,_xlfn.NORM.S.DIST(Table1[[#This Row],[Birthweight Z-Score]],TRUE)*100,"")</f>
        <v/>
      </c>
      <c r="K3550" s="7" t="str">
        <f>IF(Table1[[#This Row],[Is Data Valid]]=TRUE,_xlfn.NORM.S.DIST(Table1[[#This Row],[Birthweight Z-Score (BW-10%)]],TRUE)*100,"")</f>
        <v/>
      </c>
      <c r="L3550" s="7" t="str">
        <f>IF(Table1[[#This Row],[Is Data Valid]]=TRUE,_xlfn.NORM.S.DIST(Table1[[#This Row],[Birthweight Z-Score (BW+10%)]],TRUE)*100,"")</f>
        <v/>
      </c>
    </row>
    <row r="3551" spans="1:12" x14ac:dyDescent="0.35">
      <c r="A3551" s="3"/>
      <c r="B3551" s="2"/>
      <c r="C3551" s="2"/>
      <c r="D3551" s="2" t="b">
        <f>IF(AND(NOT(ISBLANK(Table1[[#This Row],[Fetal Sex (Male, Female or Unknown)]])),ISNUMBER(Table1[[#This Row],[Birthweight (grams)]]),ISNUMBER(Table1[[#This Row],[Gestation (days)]])),TRUE,FALSE)</f>
        <v>0</v>
      </c>
      <c r="E3551" s="2" t="str">
        <f>IF(Table1[[#This Row],[Is Data Valid]]=TRUE,IF(Table1[[#This Row],[Fetal Sex (Male, Female or Unknown)]]="Male",Backend!$C$6,IF(Table1[[#This Row],[Fetal Sex (Male, Female or Unknown)]]="Female",Backend!$C$7,IF(Table1[[#This Row],[Fetal Sex (Male, Female or Unknown)]]="Unknown",Backend!$C$8,"Error"))),"")</f>
        <v/>
      </c>
      <c r="F3551" s="8" t="str">
        <f>IF(Table1[[#This Row],[Is Data Valid]]=TRUE,EXP(0.578+0.332*((Table1[[#This Row],[Gestation (days)]]+0.5)/7)-0.00354*((Table1[[#This Row],[Gestation (days)]]+0.5)/7)^2)*Table1[[#This Row],[BW40_3705]],"")</f>
        <v/>
      </c>
      <c r="G3551" s="2" t="str">
        <f>IF(Table1[[#This Row],[Is Data Valid]]=TRUE,((Table1[[#This Row],[Birthweight (grams)]]/Table1[[#This Row],[BW_GA]])-1)/(Backend!$B$4/100*Table1[[#This Row],[BW40_3705]]),"")</f>
        <v/>
      </c>
      <c r="H3551" s="7" t="str">
        <f>IF(Table1[[#This Row],[Is Data Valid]]=TRUE,((Table1[[#This Row],[Birthweight (grams)]]*0.9/Table1[[#This Row],[BW_GA]])-1)/(Backend!$B$4/100*Table1[[#This Row],[BW40_3705]]),"")</f>
        <v/>
      </c>
      <c r="I3551" s="7" t="str">
        <f>IF(Table1[[#This Row],[Is Data Valid]]=TRUE,((Table1[[#This Row],[Birthweight (grams)]]*1.1/Table1[[#This Row],[BW_GA]])-1)/(Backend!$B$4/100*Table1[[#This Row],[BW40_3705]]),"")</f>
        <v/>
      </c>
      <c r="J3551" s="7" t="str">
        <f>IF(Table1[[#This Row],[Is Data Valid]]=TRUE,_xlfn.NORM.S.DIST(Table1[[#This Row],[Birthweight Z-Score]],TRUE)*100,"")</f>
        <v/>
      </c>
      <c r="K3551" s="7" t="str">
        <f>IF(Table1[[#This Row],[Is Data Valid]]=TRUE,_xlfn.NORM.S.DIST(Table1[[#This Row],[Birthweight Z-Score (BW-10%)]],TRUE)*100,"")</f>
        <v/>
      </c>
      <c r="L3551" s="7" t="str">
        <f>IF(Table1[[#This Row],[Is Data Valid]]=TRUE,_xlfn.NORM.S.DIST(Table1[[#This Row],[Birthweight Z-Score (BW+10%)]],TRUE)*100,"")</f>
        <v/>
      </c>
    </row>
    <row r="3552" spans="1:12" x14ac:dyDescent="0.35">
      <c r="A3552" s="3"/>
      <c r="B3552" s="2"/>
      <c r="C3552" s="2"/>
      <c r="D3552" s="2" t="b">
        <f>IF(AND(NOT(ISBLANK(Table1[[#This Row],[Fetal Sex (Male, Female or Unknown)]])),ISNUMBER(Table1[[#This Row],[Birthweight (grams)]]),ISNUMBER(Table1[[#This Row],[Gestation (days)]])),TRUE,FALSE)</f>
        <v>0</v>
      </c>
      <c r="E3552" s="2" t="str">
        <f>IF(Table1[[#This Row],[Is Data Valid]]=TRUE,IF(Table1[[#This Row],[Fetal Sex (Male, Female or Unknown)]]="Male",Backend!$C$6,IF(Table1[[#This Row],[Fetal Sex (Male, Female or Unknown)]]="Female",Backend!$C$7,IF(Table1[[#This Row],[Fetal Sex (Male, Female or Unknown)]]="Unknown",Backend!$C$8,"Error"))),"")</f>
        <v/>
      </c>
      <c r="F3552" s="8" t="str">
        <f>IF(Table1[[#This Row],[Is Data Valid]]=TRUE,EXP(0.578+0.332*((Table1[[#This Row],[Gestation (days)]]+0.5)/7)-0.00354*((Table1[[#This Row],[Gestation (days)]]+0.5)/7)^2)*Table1[[#This Row],[BW40_3705]],"")</f>
        <v/>
      </c>
      <c r="G3552" s="2" t="str">
        <f>IF(Table1[[#This Row],[Is Data Valid]]=TRUE,((Table1[[#This Row],[Birthweight (grams)]]/Table1[[#This Row],[BW_GA]])-1)/(Backend!$B$4/100*Table1[[#This Row],[BW40_3705]]),"")</f>
        <v/>
      </c>
      <c r="H3552" s="7" t="str">
        <f>IF(Table1[[#This Row],[Is Data Valid]]=TRUE,((Table1[[#This Row],[Birthweight (grams)]]*0.9/Table1[[#This Row],[BW_GA]])-1)/(Backend!$B$4/100*Table1[[#This Row],[BW40_3705]]),"")</f>
        <v/>
      </c>
      <c r="I3552" s="7" t="str">
        <f>IF(Table1[[#This Row],[Is Data Valid]]=TRUE,((Table1[[#This Row],[Birthweight (grams)]]*1.1/Table1[[#This Row],[BW_GA]])-1)/(Backend!$B$4/100*Table1[[#This Row],[BW40_3705]]),"")</f>
        <v/>
      </c>
      <c r="J3552" s="7" t="str">
        <f>IF(Table1[[#This Row],[Is Data Valid]]=TRUE,_xlfn.NORM.S.DIST(Table1[[#This Row],[Birthweight Z-Score]],TRUE)*100,"")</f>
        <v/>
      </c>
      <c r="K3552" s="7" t="str">
        <f>IF(Table1[[#This Row],[Is Data Valid]]=TRUE,_xlfn.NORM.S.DIST(Table1[[#This Row],[Birthweight Z-Score (BW-10%)]],TRUE)*100,"")</f>
        <v/>
      </c>
      <c r="L3552" s="7" t="str">
        <f>IF(Table1[[#This Row],[Is Data Valid]]=TRUE,_xlfn.NORM.S.DIST(Table1[[#This Row],[Birthweight Z-Score (BW+10%)]],TRUE)*100,"")</f>
        <v/>
      </c>
    </row>
    <row r="3553" spans="1:12" x14ac:dyDescent="0.35">
      <c r="A3553" s="3"/>
      <c r="B3553" s="2"/>
      <c r="C3553" s="2"/>
      <c r="D3553" s="2" t="b">
        <f>IF(AND(NOT(ISBLANK(Table1[[#This Row],[Fetal Sex (Male, Female or Unknown)]])),ISNUMBER(Table1[[#This Row],[Birthweight (grams)]]),ISNUMBER(Table1[[#This Row],[Gestation (days)]])),TRUE,FALSE)</f>
        <v>0</v>
      </c>
      <c r="E3553" s="2" t="str">
        <f>IF(Table1[[#This Row],[Is Data Valid]]=TRUE,IF(Table1[[#This Row],[Fetal Sex (Male, Female or Unknown)]]="Male",Backend!$C$6,IF(Table1[[#This Row],[Fetal Sex (Male, Female or Unknown)]]="Female",Backend!$C$7,IF(Table1[[#This Row],[Fetal Sex (Male, Female or Unknown)]]="Unknown",Backend!$C$8,"Error"))),"")</f>
        <v/>
      </c>
      <c r="F3553" s="8" t="str">
        <f>IF(Table1[[#This Row],[Is Data Valid]]=TRUE,EXP(0.578+0.332*((Table1[[#This Row],[Gestation (days)]]+0.5)/7)-0.00354*((Table1[[#This Row],[Gestation (days)]]+0.5)/7)^2)*Table1[[#This Row],[BW40_3705]],"")</f>
        <v/>
      </c>
      <c r="G3553" s="2" t="str">
        <f>IF(Table1[[#This Row],[Is Data Valid]]=TRUE,((Table1[[#This Row],[Birthweight (grams)]]/Table1[[#This Row],[BW_GA]])-1)/(Backend!$B$4/100*Table1[[#This Row],[BW40_3705]]),"")</f>
        <v/>
      </c>
      <c r="H3553" s="7" t="str">
        <f>IF(Table1[[#This Row],[Is Data Valid]]=TRUE,((Table1[[#This Row],[Birthweight (grams)]]*0.9/Table1[[#This Row],[BW_GA]])-1)/(Backend!$B$4/100*Table1[[#This Row],[BW40_3705]]),"")</f>
        <v/>
      </c>
      <c r="I3553" s="7" t="str">
        <f>IF(Table1[[#This Row],[Is Data Valid]]=TRUE,((Table1[[#This Row],[Birthweight (grams)]]*1.1/Table1[[#This Row],[BW_GA]])-1)/(Backend!$B$4/100*Table1[[#This Row],[BW40_3705]]),"")</f>
        <v/>
      </c>
      <c r="J3553" s="7" t="str">
        <f>IF(Table1[[#This Row],[Is Data Valid]]=TRUE,_xlfn.NORM.S.DIST(Table1[[#This Row],[Birthweight Z-Score]],TRUE)*100,"")</f>
        <v/>
      </c>
      <c r="K3553" s="7" t="str">
        <f>IF(Table1[[#This Row],[Is Data Valid]]=TRUE,_xlfn.NORM.S.DIST(Table1[[#This Row],[Birthweight Z-Score (BW-10%)]],TRUE)*100,"")</f>
        <v/>
      </c>
      <c r="L3553" s="7" t="str">
        <f>IF(Table1[[#This Row],[Is Data Valid]]=TRUE,_xlfn.NORM.S.DIST(Table1[[#This Row],[Birthweight Z-Score (BW+10%)]],TRUE)*100,"")</f>
        <v/>
      </c>
    </row>
    <row r="3554" spans="1:12" x14ac:dyDescent="0.35">
      <c r="A3554" s="3"/>
      <c r="B3554" s="2"/>
      <c r="C3554" s="2"/>
      <c r="D3554" s="2" t="b">
        <f>IF(AND(NOT(ISBLANK(Table1[[#This Row],[Fetal Sex (Male, Female or Unknown)]])),ISNUMBER(Table1[[#This Row],[Birthweight (grams)]]),ISNUMBER(Table1[[#This Row],[Gestation (days)]])),TRUE,FALSE)</f>
        <v>0</v>
      </c>
      <c r="E3554" s="2" t="str">
        <f>IF(Table1[[#This Row],[Is Data Valid]]=TRUE,IF(Table1[[#This Row],[Fetal Sex (Male, Female or Unknown)]]="Male",Backend!$C$6,IF(Table1[[#This Row],[Fetal Sex (Male, Female or Unknown)]]="Female",Backend!$C$7,IF(Table1[[#This Row],[Fetal Sex (Male, Female or Unknown)]]="Unknown",Backend!$C$8,"Error"))),"")</f>
        <v/>
      </c>
      <c r="F3554" s="8" t="str">
        <f>IF(Table1[[#This Row],[Is Data Valid]]=TRUE,EXP(0.578+0.332*((Table1[[#This Row],[Gestation (days)]]+0.5)/7)-0.00354*((Table1[[#This Row],[Gestation (days)]]+0.5)/7)^2)*Table1[[#This Row],[BW40_3705]],"")</f>
        <v/>
      </c>
      <c r="G3554" s="2" t="str">
        <f>IF(Table1[[#This Row],[Is Data Valid]]=TRUE,((Table1[[#This Row],[Birthweight (grams)]]/Table1[[#This Row],[BW_GA]])-1)/(Backend!$B$4/100*Table1[[#This Row],[BW40_3705]]),"")</f>
        <v/>
      </c>
      <c r="H3554" s="7" t="str">
        <f>IF(Table1[[#This Row],[Is Data Valid]]=TRUE,((Table1[[#This Row],[Birthweight (grams)]]*0.9/Table1[[#This Row],[BW_GA]])-1)/(Backend!$B$4/100*Table1[[#This Row],[BW40_3705]]),"")</f>
        <v/>
      </c>
      <c r="I3554" s="7" t="str">
        <f>IF(Table1[[#This Row],[Is Data Valid]]=TRUE,((Table1[[#This Row],[Birthweight (grams)]]*1.1/Table1[[#This Row],[BW_GA]])-1)/(Backend!$B$4/100*Table1[[#This Row],[BW40_3705]]),"")</f>
        <v/>
      </c>
      <c r="J3554" s="7" t="str">
        <f>IF(Table1[[#This Row],[Is Data Valid]]=TRUE,_xlfn.NORM.S.DIST(Table1[[#This Row],[Birthweight Z-Score]],TRUE)*100,"")</f>
        <v/>
      </c>
      <c r="K3554" s="7" t="str">
        <f>IF(Table1[[#This Row],[Is Data Valid]]=TRUE,_xlfn.NORM.S.DIST(Table1[[#This Row],[Birthweight Z-Score (BW-10%)]],TRUE)*100,"")</f>
        <v/>
      </c>
      <c r="L3554" s="7" t="str">
        <f>IF(Table1[[#This Row],[Is Data Valid]]=TRUE,_xlfn.NORM.S.DIST(Table1[[#This Row],[Birthweight Z-Score (BW+10%)]],TRUE)*100,"")</f>
        <v/>
      </c>
    </row>
    <row r="3555" spans="1:12" x14ac:dyDescent="0.35">
      <c r="A3555" s="3"/>
      <c r="B3555" s="2"/>
      <c r="C3555" s="2"/>
      <c r="D3555" s="2" t="b">
        <f>IF(AND(NOT(ISBLANK(Table1[[#This Row],[Fetal Sex (Male, Female or Unknown)]])),ISNUMBER(Table1[[#This Row],[Birthweight (grams)]]),ISNUMBER(Table1[[#This Row],[Gestation (days)]])),TRUE,FALSE)</f>
        <v>0</v>
      </c>
      <c r="E3555" s="2" t="str">
        <f>IF(Table1[[#This Row],[Is Data Valid]]=TRUE,IF(Table1[[#This Row],[Fetal Sex (Male, Female or Unknown)]]="Male",Backend!$C$6,IF(Table1[[#This Row],[Fetal Sex (Male, Female or Unknown)]]="Female",Backend!$C$7,IF(Table1[[#This Row],[Fetal Sex (Male, Female or Unknown)]]="Unknown",Backend!$C$8,"Error"))),"")</f>
        <v/>
      </c>
      <c r="F3555" s="8" t="str">
        <f>IF(Table1[[#This Row],[Is Data Valid]]=TRUE,EXP(0.578+0.332*((Table1[[#This Row],[Gestation (days)]]+0.5)/7)-0.00354*((Table1[[#This Row],[Gestation (days)]]+0.5)/7)^2)*Table1[[#This Row],[BW40_3705]],"")</f>
        <v/>
      </c>
      <c r="G3555" s="2" t="str">
        <f>IF(Table1[[#This Row],[Is Data Valid]]=TRUE,((Table1[[#This Row],[Birthweight (grams)]]/Table1[[#This Row],[BW_GA]])-1)/(Backend!$B$4/100*Table1[[#This Row],[BW40_3705]]),"")</f>
        <v/>
      </c>
      <c r="H3555" s="7" t="str">
        <f>IF(Table1[[#This Row],[Is Data Valid]]=TRUE,((Table1[[#This Row],[Birthweight (grams)]]*0.9/Table1[[#This Row],[BW_GA]])-1)/(Backend!$B$4/100*Table1[[#This Row],[BW40_3705]]),"")</f>
        <v/>
      </c>
      <c r="I3555" s="7" t="str">
        <f>IF(Table1[[#This Row],[Is Data Valid]]=TRUE,((Table1[[#This Row],[Birthweight (grams)]]*1.1/Table1[[#This Row],[BW_GA]])-1)/(Backend!$B$4/100*Table1[[#This Row],[BW40_3705]]),"")</f>
        <v/>
      </c>
      <c r="J3555" s="7" t="str">
        <f>IF(Table1[[#This Row],[Is Data Valid]]=TRUE,_xlfn.NORM.S.DIST(Table1[[#This Row],[Birthweight Z-Score]],TRUE)*100,"")</f>
        <v/>
      </c>
      <c r="K3555" s="7" t="str">
        <f>IF(Table1[[#This Row],[Is Data Valid]]=TRUE,_xlfn.NORM.S.DIST(Table1[[#This Row],[Birthweight Z-Score (BW-10%)]],TRUE)*100,"")</f>
        <v/>
      </c>
      <c r="L3555" s="7" t="str">
        <f>IF(Table1[[#This Row],[Is Data Valid]]=TRUE,_xlfn.NORM.S.DIST(Table1[[#This Row],[Birthweight Z-Score (BW+10%)]],TRUE)*100,"")</f>
        <v/>
      </c>
    </row>
    <row r="3556" spans="1:12" x14ac:dyDescent="0.35">
      <c r="A3556" s="3"/>
      <c r="B3556" s="2"/>
      <c r="C3556" s="2"/>
      <c r="D3556" s="2" t="b">
        <f>IF(AND(NOT(ISBLANK(Table1[[#This Row],[Fetal Sex (Male, Female or Unknown)]])),ISNUMBER(Table1[[#This Row],[Birthweight (grams)]]),ISNUMBER(Table1[[#This Row],[Gestation (days)]])),TRUE,FALSE)</f>
        <v>0</v>
      </c>
      <c r="E3556" s="2" t="str">
        <f>IF(Table1[[#This Row],[Is Data Valid]]=TRUE,IF(Table1[[#This Row],[Fetal Sex (Male, Female or Unknown)]]="Male",Backend!$C$6,IF(Table1[[#This Row],[Fetal Sex (Male, Female or Unknown)]]="Female",Backend!$C$7,IF(Table1[[#This Row],[Fetal Sex (Male, Female or Unknown)]]="Unknown",Backend!$C$8,"Error"))),"")</f>
        <v/>
      </c>
      <c r="F3556" s="8" t="str">
        <f>IF(Table1[[#This Row],[Is Data Valid]]=TRUE,EXP(0.578+0.332*((Table1[[#This Row],[Gestation (days)]]+0.5)/7)-0.00354*((Table1[[#This Row],[Gestation (days)]]+0.5)/7)^2)*Table1[[#This Row],[BW40_3705]],"")</f>
        <v/>
      </c>
      <c r="G3556" s="2" t="str">
        <f>IF(Table1[[#This Row],[Is Data Valid]]=TRUE,((Table1[[#This Row],[Birthweight (grams)]]/Table1[[#This Row],[BW_GA]])-1)/(Backend!$B$4/100*Table1[[#This Row],[BW40_3705]]),"")</f>
        <v/>
      </c>
      <c r="H3556" s="7" t="str">
        <f>IF(Table1[[#This Row],[Is Data Valid]]=TRUE,((Table1[[#This Row],[Birthweight (grams)]]*0.9/Table1[[#This Row],[BW_GA]])-1)/(Backend!$B$4/100*Table1[[#This Row],[BW40_3705]]),"")</f>
        <v/>
      </c>
      <c r="I3556" s="7" t="str">
        <f>IF(Table1[[#This Row],[Is Data Valid]]=TRUE,((Table1[[#This Row],[Birthweight (grams)]]*1.1/Table1[[#This Row],[BW_GA]])-1)/(Backend!$B$4/100*Table1[[#This Row],[BW40_3705]]),"")</f>
        <v/>
      </c>
      <c r="J3556" s="7" t="str">
        <f>IF(Table1[[#This Row],[Is Data Valid]]=TRUE,_xlfn.NORM.S.DIST(Table1[[#This Row],[Birthweight Z-Score]],TRUE)*100,"")</f>
        <v/>
      </c>
      <c r="K3556" s="7" t="str">
        <f>IF(Table1[[#This Row],[Is Data Valid]]=TRUE,_xlfn.NORM.S.DIST(Table1[[#This Row],[Birthweight Z-Score (BW-10%)]],TRUE)*100,"")</f>
        <v/>
      </c>
      <c r="L3556" s="7" t="str">
        <f>IF(Table1[[#This Row],[Is Data Valid]]=TRUE,_xlfn.NORM.S.DIST(Table1[[#This Row],[Birthweight Z-Score (BW+10%)]],TRUE)*100,"")</f>
        <v/>
      </c>
    </row>
    <row r="3557" spans="1:12" x14ac:dyDescent="0.35">
      <c r="A3557" s="3"/>
      <c r="B3557" s="2"/>
      <c r="C3557" s="2"/>
      <c r="D3557" s="2" t="b">
        <f>IF(AND(NOT(ISBLANK(Table1[[#This Row],[Fetal Sex (Male, Female or Unknown)]])),ISNUMBER(Table1[[#This Row],[Birthweight (grams)]]),ISNUMBER(Table1[[#This Row],[Gestation (days)]])),TRUE,FALSE)</f>
        <v>0</v>
      </c>
      <c r="E3557" s="2" t="str">
        <f>IF(Table1[[#This Row],[Is Data Valid]]=TRUE,IF(Table1[[#This Row],[Fetal Sex (Male, Female or Unknown)]]="Male",Backend!$C$6,IF(Table1[[#This Row],[Fetal Sex (Male, Female or Unknown)]]="Female",Backend!$C$7,IF(Table1[[#This Row],[Fetal Sex (Male, Female or Unknown)]]="Unknown",Backend!$C$8,"Error"))),"")</f>
        <v/>
      </c>
      <c r="F3557" s="8" t="str">
        <f>IF(Table1[[#This Row],[Is Data Valid]]=TRUE,EXP(0.578+0.332*((Table1[[#This Row],[Gestation (days)]]+0.5)/7)-0.00354*((Table1[[#This Row],[Gestation (days)]]+0.5)/7)^2)*Table1[[#This Row],[BW40_3705]],"")</f>
        <v/>
      </c>
      <c r="G3557" s="2" t="str">
        <f>IF(Table1[[#This Row],[Is Data Valid]]=TRUE,((Table1[[#This Row],[Birthweight (grams)]]/Table1[[#This Row],[BW_GA]])-1)/(Backend!$B$4/100*Table1[[#This Row],[BW40_3705]]),"")</f>
        <v/>
      </c>
      <c r="H3557" s="7" t="str">
        <f>IF(Table1[[#This Row],[Is Data Valid]]=TRUE,((Table1[[#This Row],[Birthweight (grams)]]*0.9/Table1[[#This Row],[BW_GA]])-1)/(Backend!$B$4/100*Table1[[#This Row],[BW40_3705]]),"")</f>
        <v/>
      </c>
      <c r="I3557" s="7" t="str">
        <f>IF(Table1[[#This Row],[Is Data Valid]]=TRUE,((Table1[[#This Row],[Birthweight (grams)]]*1.1/Table1[[#This Row],[BW_GA]])-1)/(Backend!$B$4/100*Table1[[#This Row],[BW40_3705]]),"")</f>
        <v/>
      </c>
      <c r="J3557" s="7" t="str">
        <f>IF(Table1[[#This Row],[Is Data Valid]]=TRUE,_xlfn.NORM.S.DIST(Table1[[#This Row],[Birthweight Z-Score]],TRUE)*100,"")</f>
        <v/>
      </c>
      <c r="K3557" s="7" t="str">
        <f>IF(Table1[[#This Row],[Is Data Valid]]=TRUE,_xlfn.NORM.S.DIST(Table1[[#This Row],[Birthweight Z-Score (BW-10%)]],TRUE)*100,"")</f>
        <v/>
      </c>
      <c r="L3557" s="7" t="str">
        <f>IF(Table1[[#This Row],[Is Data Valid]]=TRUE,_xlfn.NORM.S.DIST(Table1[[#This Row],[Birthweight Z-Score (BW+10%)]],TRUE)*100,"")</f>
        <v/>
      </c>
    </row>
    <row r="3558" spans="1:12" x14ac:dyDescent="0.35">
      <c r="A3558" s="3"/>
      <c r="B3558" s="2"/>
      <c r="C3558" s="2"/>
      <c r="D3558" s="2" t="b">
        <f>IF(AND(NOT(ISBLANK(Table1[[#This Row],[Fetal Sex (Male, Female or Unknown)]])),ISNUMBER(Table1[[#This Row],[Birthweight (grams)]]),ISNUMBER(Table1[[#This Row],[Gestation (days)]])),TRUE,FALSE)</f>
        <v>0</v>
      </c>
      <c r="E3558" s="2" t="str">
        <f>IF(Table1[[#This Row],[Is Data Valid]]=TRUE,IF(Table1[[#This Row],[Fetal Sex (Male, Female or Unknown)]]="Male",Backend!$C$6,IF(Table1[[#This Row],[Fetal Sex (Male, Female or Unknown)]]="Female",Backend!$C$7,IF(Table1[[#This Row],[Fetal Sex (Male, Female or Unknown)]]="Unknown",Backend!$C$8,"Error"))),"")</f>
        <v/>
      </c>
      <c r="F3558" s="8" t="str">
        <f>IF(Table1[[#This Row],[Is Data Valid]]=TRUE,EXP(0.578+0.332*((Table1[[#This Row],[Gestation (days)]]+0.5)/7)-0.00354*((Table1[[#This Row],[Gestation (days)]]+0.5)/7)^2)*Table1[[#This Row],[BW40_3705]],"")</f>
        <v/>
      </c>
      <c r="G3558" s="2" t="str">
        <f>IF(Table1[[#This Row],[Is Data Valid]]=TRUE,((Table1[[#This Row],[Birthweight (grams)]]/Table1[[#This Row],[BW_GA]])-1)/(Backend!$B$4/100*Table1[[#This Row],[BW40_3705]]),"")</f>
        <v/>
      </c>
      <c r="H3558" s="7" t="str">
        <f>IF(Table1[[#This Row],[Is Data Valid]]=TRUE,((Table1[[#This Row],[Birthweight (grams)]]*0.9/Table1[[#This Row],[BW_GA]])-1)/(Backend!$B$4/100*Table1[[#This Row],[BW40_3705]]),"")</f>
        <v/>
      </c>
      <c r="I3558" s="7" t="str">
        <f>IF(Table1[[#This Row],[Is Data Valid]]=TRUE,((Table1[[#This Row],[Birthweight (grams)]]*1.1/Table1[[#This Row],[BW_GA]])-1)/(Backend!$B$4/100*Table1[[#This Row],[BW40_3705]]),"")</f>
        <v/>
      </c>
      <c r="J3558" s="7" t="str">
        <f>IF(Table1[[#This Row],[Is Data Valid]]=TRUE,_xlfn.NORM.S.DIST(Table1[[#This Row],[Birthweight Z-Score]],TRUE)*100,"")</f>
        <v/>
      </c>
      <c r="K3558" s="7" t="str">
        <f>IF(Table1[[#This Row],[Is Data Valid]]=TRUE,_xlfn.NORM.S.DIST(Table1[[#This Row],[Birthweight Z-Score (BW-10%)]],TRUE)*100,"")</f>
        <v/>
      </c>
      <c r="L3558" s="7" t="str">
        <f>IF(Table1[[#This Row],[Is Data Valid]]=TRUE,_xlfn.NORM.S.DIST(Table1[[#This Row],[Birthweight Z-Score (BW+10%)]],TRUE)*100,"")</f>
        <v/>
      </c>
    </row>
    <row r="3559" spans="1:12" x14ac:dyDescent="0.35">
      <c r="A3559" s="3"/>
      <c r="B3559" s="2"/>
      <c r="C3559" s="2"/>
      <c r="D3559" s="2" t="b">
        <f>IF(AND(NOT(ISBLANK(Table1[[#This Row],[Fetal Sex (Male, Female or Unknown)]])),ISNUMBER(Table1[[#This Row],[Birthweight (grams)]]),ISNUMBER(Table1[[#This Row],[Gestation (days)]])),TRUE,FALSE)</f>
        <v>0</v>
      </c>
      <c r="E3559" s="2" t="str">
        <f>IF(Table1[[#This Row],[Is Data Valid]]=TRUE,IF(Table1[[#This Row],[Fetal Sex (Male, Female or Unknown)]]="Male",Backend!$C$6,IF(Table1[[#This Row],[Fetal Sex (Male, Female or Unknown)]]="Female",Backend!$C$7,IF(Table1[[#This Row],[Fetal Sex (Male, Female or Unknown)]]="Unknown",Backend!$C$8,"Error"))),"")</f>
        <v/>
      </c>
      <c r="F3559" s="8" t="str">
        <f>IF(Table1[[#This Row],[Is Data Valid]]=TRUE,EXP(0.578+0.332*((Table1[[#This Row],[Gestation (days)]]+0.5)/7)-0.00354*((Table1[[#This Row],[Gestation (days)]]+0.5)/7)^2)*Table1[[#This Row],[BW40_3705]],"")</f>
        <v/>
      </c>
      <c r="G3559" s="2" t="str">
        <f>IF(Table1[[#This Row],[Is Data Valid]]=TRUE,((Table1[[#This Row],[Birthweight (grams)]]/Table1[[#This Row],[BW_GA]])-1)/(Backend!$B$4/100*Table1[[#This Row],[BW40_3705]]),"")</f>
        <v/>
      </c>
      <c r="H3559" s="7" t="str">
        <f>IF(Table1[[#This Row],[Is Data Valid]]=TRUE,((Table1[[#This Row],[Birthweight (grams)]]*0.9/Table1[[#This Row],[BW_GA]])-1)/(Backend!$B$4/100*Table1[[#This Row],[BW40_3705]]),"")</f>
        <v/>
      </c>
      <c r="I3559" s="7" t="str">
        <f>IF(Table1[[#This Row],[Is Data Valid]]=TRUE,((Table1[[#This Row],[Birthweight (grams)]]*1.1/Table1[[#This Row],[BW_GA]])-1)/(Backend!$B$4/100*Table1[[#This Row],[BW40_3705]]),"")</f>
        <v/>
      </c>
      <c r="J3559" s="7" t="str">
        <f>IF(Table1[[#This Row],[Is Data Valid]]=TRUE,_xlfn.NORM.S.DIST(Table1[[#This Row],[Birthweight Z-Score]],TRUE)*100,"")</f>
        <v/>
      </c>
      <c r="K3559" s="7" t="str">
        <f>IF(Table1[[#This Row],[Is Data Valid]]=TRUE,_xlfn.NORM.S.DIST(Table1[[#This Row],[Birthweight Z-Score (BW-10%)]],TRUE)*100,"")</f>
        <v/>
      </c>
      <c r="L3559" s="7" t="str">
        <f>IF(Table1[[#This Row],[Is Data Valid]]=TRUE,_xlfn.NORM.S.DIST(Table1[[#This Row],[Birthweight Z-Score (BW+10%)]],TRUE)*100,"")</f>
        <v/>
      </c>
    </row>
    <row r="3560" spans="1:12" x14ac:dyDescent="0.35">
      <c r="A3560" s="3"/>
      <c r="B3560" s="2"/>
      <c r="C3560" s="2"/>
      <c r="D3560" s="2" t="b">
        <f>IF(AND(NOT(ISBLANK(Table1[[#This Row],[Fetal Sex (Male, Female or Unknown)]])),ISNUMBER(Table1[[#This Row],[Birthweight (grams)]]),ISNUMBER(Table1[[#This Row],[Gestation (days)]])),TRUE,FALSE)</f>
        <v>0</v>
      </c>
      <c r="E3560" s="2" t="str">
        <f>IF(Table1[[#This Row],[Is Data Valid]]=TRUE,IF(Table1[[#This Row],[Fetal Sex (Male, Female or Unknown)]]="Male",Backend!$C$6,IF(Table1[[#This Row],[Fetal Sex (Male, Female or Unknown)]]="Female",Backend!$C$7,IF(Table1[[#This Row],[Fetal Sex (Male, Female or Unknown)]]="Unknown",Backend!$C$8,"Error"))),"")</f>
        <v/>
      </c>
      <c r="F3560" s="8" t="str">
        <f>IF(Table1[[#This Row],[Is Data Valid]]=TRUE,EXP(0.578+0.332*((Table1[[#This Row],[Gestation (days)]]+0.5)/7)-0.00354*((Table1[[#This Row],[Gestation (days)]]+0.5)/7)^2)*Table1[[#This Row],[BW40_3705]],"")</f>
        <v/>
      </c>
      <c r="G3560" s="2" t="str">
        <f>IF(Table1[[#This Row],[Is Data Valid]]=TRUE,((Table1[[#This Row],[Birthweight (grams)]]/Table1[[#This Row],[BW_GA]])-1)/(Backend!$B$4/100*Table1[[#This Row],[BW40_3705]]),"")</f>
        <v/>
      </c>
      <c r="H3560" s="7" t="str">
        <f>IF(Table1[[#This Row],[Is Data Valid]]=TRUE,((Table1[[#This Row],[Birthweight (grams)]]*0.9/Table1[[#This Row],[BW_GA]])-1)/(Backend!$B$4/100*Table1[[#This Row],[BW40_3705]]),"")</f>
        <v/>
      </c>
      <c r="I3560" s="7" t="str">
        <f>IF(Table1[[#This Row],[Is Data Valid]]=TRUE,((Table1[[#This Row],[Birthweight (grams)]]*1.1/Table1[[#This Row],[BW_GA]])-1)/(Backend!$B$4/100*Table1[[#This Row],[BW40_3705]]),"")</f>
        <v/>
      </c>
      <c r="J3560" s="7" t="str">
        <f>IF(Table1[[#This Row],[Is Data Valid]]=TRUE,_xlfn.NORM.S.DIST(Table1[[#This Row],[Birthweight Z-Score]],TRUE)*100,"")</f>
        <v/>
      </c>
      <c r="K3560" s="7" t="str">
        <f>IF(Table1[[#This Row],[Is Data Valid]]=TRUE,_xlfn.NORM.S.DIST(Table1[[#This Row],[Birthweight Z-Score (BW-10%)]],TRUE)*100,"")</f>
        <v/>
      </c>
      <c r="L3560" s="7" t="str">
        <f>IF(Table1[[#This Row],[Is Data Valid]]=TRUE,_xlfn.NORM.S.DIST(Table1[[#This Row],[Birthweight Z-Score (BW+10%)]],TRUE)*100,"")</f>
        <v/>
      </c>
    </row>
    <row r="3561" spans="1:12" x14ac:dyDescent="0.35">
      <c r="A3561" s="3"/>
      <c r="B3561" s="2"/>
      <c r="C3561" s="2"/>
      <c r="D3561" s="2" t="b">
        <f>IF(AND(NOT(ISBLANK(Table1[[#This Row],[Fetal Sex (Male, Female or Unknown)]])),ISNUMBER(Table1[[#This Row],[Birthweight (grams)]]),ISNUMBER(Table1[[#This Row],[Gestation (days)]])),TRUE,FALSE)</f>
        <v>0</v>
      </c>
      <c r="E3561" s="2" t="str">
        <f>IF(Table1[[#This Row],[Is Data Valid]]=TRUE,IF(Table1[[#This Row],[Fetal Sex (Male, Female or Unknown)]]="Male",Backend!$C$6,IF(Table1[[#This Row],[Fetal Sex (Male, Female or Unknown)]]="Female",Backend!$C$7,IF(Table1[[#This Row],[Fetal Sex (Male, Female or Unknown)]]="Unknown",Backend!$C$8,"Error"))),"")</f>
        <v/>
      </c>
      <c r="F3561" s="8" t="str">
        <f>IF(Table1[[#This Row],[Is Data Valid]]=TRUE,EXP(0.578+0.332*((Table1[[#This Row],[Gestation (days)]]+0.5)/7)-0.00354*((Table1[[#This Row],[Gestation (days)]]+0.5)/7)^2)*Table1[[#This Row],[BW40_3705]],"")</f>
        <v/>
      </c>
      <c r="G3561" s="2" t="str">
        <f>IF(Table1[[#This Row],[Is Data Valid]]=TRUE,((Table1[[#This Row],[Birthweight (grams)]]/Table1[[#This Row],[BW_GA]])-1)/(Backend!$B$4/100*Table1[[#This Row],[BW40_3705]]),"")</f>
        <v/>
      </c>
      <c r="H3561" s="7" t="str">
        <f>IF(Table1[[#This Row],[Is Data Valid]]=TRUE,((Table1[[#This Row],[Birthweight (grams)]]*0.9/Table1[[#This Row],[BW_GA]])-1)/(Backend!$B$4/100*Table1[[#This Row],[BW40_3705]]),"")</f>
        <v/>
      </c>
      <c r="I3561" s="7" t="str">
        <f>IF(Table1[[#This Row],[Is Data Valid]]=TRUE,((Table1[[#This Row],[Birthweight (grams)]]*1.1/Table1[[#This Row],[BW_GA]])-1)/(Backend!$B$4/100*Table1[[#This Row],[BW40_3705]]),"")</f>
        <v/>
      </c>
      <c r="J3561" s="7" t="str">
        <f>IF(Table1[[#This Row],[Is Data Valid]]=TRUE,_xlfn.NORM.S.DIST(Table1[[#This Row],[Birthweight Z-Score]],TRUE)*100,"")</f>
        <v/>
      </c>
      <c r="K3561" s="7" t="str">
        <f>IF(Table1[[#This Row],[Is Data Valid]]=TRUE,_xlfn.NORM.S.DIST(Table1[[#This Row],[Birthweight Z-Score (BW-10%)]],TRUE)*100,"")</f>
        <v/>
      </c>
      <c r="L3561" s="7" t="str">
        <f>IF(Table1[[#This Row],[Is Data Valid]]=TRUE,_xlfn.NORM.S.DIST(Table1[[#This Row],[Birthweight Z-Score (BW+10%)]],TRUE)*100,"")</f>
        <v/>
      </c>
    </row>
    <row r="3562" spans="1:12" x14ac:dyDescent="0.35">
      <c r="A3562" s="3"/>
      <c r="B3562" s="2"/>
      <c r="C3562" s="2"/>
      <c r="D3562" s="2" t="b">
        <f>IF(AND(NOT(ISBLANK(Table1[[#This Row],[Fetal Sex (Male, Female or Unknown)]])),ISNUMBER(Table1[[#This Row],[Birthweight (grams)]]),ISNUMBER(Table1[[#This Row],[Gestation (days)]])),TRUE,FALSE)</f>
        <v>0</v>
      </c>
      <c r="E3562" s="2" t="str">
        <f>IF(Table1[[#This Row],[Is Data Valid]]=TRUE,IF(Table1[[#This Row],[Fetal Sex (Male, Female or Unknown)]]="Male",Backend!$C$6,IF(Table1[[#This Row],[Fetal Sex (Male, Female or Unknown)]]="Female",Backend!$C$7,IF(Table1[[#This Row],[Fetal Sex (Male, Female or Unknown)]]="Unknown",Backend!$C$8,"Error"))),"")</f>
        <v/>
      </c>
      <c r="F3562" s="8" t="str">
        <f>IF(Table1[[#This Row],[Is Data Valid]]=TRUE,EXP(0.578+0.332*((Table1[[#This Row],[Gestation (days)]]+0.5)/7)-0.00354*((Table1[[#This Row],[Gestation (days)]]+0.5)/7)^2)*Table1[[#This Row],[BW40_3705]],"")</f>
        <v/>
      </c>
      <c r="G3562" s="2" t="str">
        <f>IF(Table1[[#This Row],[Is Data Valid]]=TRUE,((Table1[[#This Row],[Birthweight (grams)]]/Table1[[#This Row],[BW_GA]])-1)/(Backend!$B$4/100*Table1[[#This Row],[BW40_3705]]),"")</f>
        <v/>
      </c>
      <c r="H3562" s="7" t="str">
        <f>IF(Table1[[#This Row],[Is Data Valid]]=TRUE,((Table1[[#This Row],[Birthweight (grams)]]*0.9/Table1[[#This Row],[BW_GA]])-1)/(Backend!$B$4/100*Table1[[#This Row],[BW40_3705]]),"")</f>
        <v/>
      </c>
      <c r="I3562" s="7" t="str">
        <f>IF(Table1[[#This Row],[Is Data Valid]]=TRUE,((Table1[[#This Row],[Birthweight (grams)]]*1.1/Table1[[#This Row],[BW_GA]])-1)/(Backend!$B$4/100*Table1[[#This Row],[BW40_3705]]),"")</f>
        <v/>
      </c>
      <c r="J3562" s="7" t="str">
        <f>IF(Table1[[#This Row],[Is Data Valid]]=TRUE,_xlfn.NORM.S.DIST(Table1[[#This Row],[Birthweight Z-Score]],TRUE)*100,"")</f>
        <v/>
      </c>
      <c r="K3562" s="7" t="str">
        <f>IF(Table1[[#This Row],[Is Data Valid]]=TRUE,_xlfn.NORM.S.DIST(Table1[[#This Row],[Birthweight Z-Score (BW-10%)]],TRUE)*100,"")</f>
        <v/>
      </c>
      <c r="L3562" s="7" t="str">
        <f>IF(Table1[[#This Row],[Is Data Valid]]=TRUE,_xlfn.NORM.S.DIST(Table1[[#This Row],[Birthweight Z-Score (BW+10%)]],TRUE)*100,"")</f>
        <v/>
      </c>
    </row>
    <row r="3563" spans="1:12" x14ac:dyDescent="0.35">
      <c r="A3563" s="3"/>
      <c r="B3563" s="2"/>
      <c r="C3563" s="2"/>
      <c r="D3563" s="2" t="b">
        <f>IF(AND(NOT(ISBLANK(Table1[[#This Row],[Fetal Sex (Male, Female or Unknown)]])),ISNUMBER(Table1[[#This Row],[Birthweight (grams)]]),ISNUMBER(Table1[[#This Row],[Gestation (days)]])),TRUE,FALSE)</f>
        <v>0</v>
      </c>
      <c r="E3563" s="2" t="str">
        <f>IF(Table1[[#This Row],[Is Data Valid]]=TRUE,IF(Table1[[#This Row],[Fetal Sex (Male, Female or Unknown)]]="Male",Backend!$C$6,IF(Table1[[#This Row],[Fetal Sex (Male, Female or Unknown)]]="Female",Backend!$C$7,IF(Table1[[#This Row],[Fetal Sex (Male, Female or Unknown)]]="Unknown",Backend!$C$8,"Error"))),"")</f>
        <v/>
      </c>
      <c r="F3563" s="8" t="str">
        <f>IF(Table1[[#This Row],[Is Data Valid]]=TRUE,EXP(0.578+0.332*((Table1[[#This Row],[Gestation (days)]]+0.5)/7)-0.00354*((Table1[[#This Row],[Gestation (days)]]+0.5)/7)^2)*Table1[[#This Row],[BW40_3705]],"")</f>
        <v/>
      </c>
      <c r="G3563" s="2" t="str">
        <f>IF(Table1[[#This Row],[Is Data Valid]]=TRUE,((Table1[[#This Row],[Birthweight (grams)]]/Table1[[#This Row],[BW_GA]])-1)/(Backend!$B$4/100*Table1[[#This Row],[BW40_3705]]),"")</f>
        <v/>
      </c>
      <c r="H3563" s="7" t="str">
        <f>IF(Table1[[#This Row],[Is Data Valid]]=TRUE,((Table1[[#This Row],[Birthweight (grams)]]*0.9/Table1[[#This Row],[BW_GA]])-1)/(Backend!$B$4/100*Table1[[#This Row],[BW40_3705]]),"")</f>
        <v/>
      </c>
      <c r="I3563" s="7" t="str">
        <f>IF(Table1[[#This Row],[Is Data Valid]]=TRUE,((Table1[[#This Row],[Birthweight (grams)]]*1.1/Table1[[#This Row],[BW_GA]])-1)/(Backend!$B$4/100*Table1[[#This Row],[BW40_3705]]),"")</f>
        <v/>
      </c>
      <c r="J3563" s="7" t="str">
        <f>IF(Table1[[#This Row],[Is Data Valid]]=TRUE,_xlfn.NORM.S.DIST(Table1[[#This Row],[Birthweight Z-Score]],TRUE)*100,"")</f>
        <v/>
      </c>
      <c r="K3563" s="7" t="str">
        <f>IF(Table1[[#This Row],[Is Data Valid]]=TRUE,_xlfn.NORM.S.DIST(Table1[[#This Row],[Birthweight Z-Score (BW-10%)]],TRUE)*100,"")</f>
        <v/>
      </c>
      <c r="L3563" s="7" t="str">
        <f>IF(Table1[[#This Row],[Is Data Valid]]=TRUE,_xlfn.NORM.S.DIST(Table1[[#This Row],[Birthweight Z-Score (BW+10%)]],TRUE)*100,"")</f>
        <v/>
      </c>
    </row>
    <row r="3564" spans="1:12" x14ac:dyDescent="0.35">
      <c r="A3564" s="3"/>
      <c r="B3564" s="2"/>
      <c r="C3564" s="2"/>
      <c r="D3564" s="2" t="b">
        <f>IF(AND(NOT(ISBLANK(Table1[[#This Row],[Fetal Sex (Male, Female or Unknown)]])),ISNUMBER(Table1[[#This Row],[Birthweight (grams)]]),ISNUMBER(Table1[[#This Row],[Gestation (days)]])),TRUE,FALSE)</f>
        <v>0</v>
      </c>
      <c r="E3564" s="2" t="str">
        <f>IF(Table1[[#This Row],[Is Data Valid]]=TRUE,IF(Table1[[#This Row],[Fetal Sex (Male, Female or Unknown)]]="Male",Backend!$C$6,IF(Table1[[#This Row],[Fetal Sex (Male, Female or Unknown)]]="Female",Backend!$C$7,IF(Table1[[#This Row],[Fetal Sex (Male, Female or Unknown)]]="Unknown",Backend!$C$8,"Error"))),"")</f>
        <v/>
      </c>
      <c r="F3564" s="8" t="str">
        <f>IF(Table1[[#This Row],[Is Data Valid]]=TRUE,EXP(0.578+0.332*((Table1[[#This Row],[Gestation (days)]]+0.5)/7)-0.00354*((Table1[[#This Row],[Gestation (days)]]+0.5)/7)^2)*Table1[[#This Row],[BW40_3705]],"")</f>
        <v/>
      </c>
      <c r="G3564" s="2" t="str">
        <f>IF(Table1[[#This Row],[Is Data Valid]]=TRUE,((Table1[[#This Row],[Birthweight (grams)]]/Table1[[#This Row],[BW_GA]])-1)/(Backend!$B$4/100*Table1[[#This Row],[BW40_3705]]),"")</f>
        <v/>
      </c>
      <c r="H3564" s="7" t="str">
        <f>IF(Table1[[#This Row],[Is Data Valid]]=TRUE,((Table1[[#This Row],[Birthweight (grams)]]*0.9/Table1[[#This Row],[BW_GA]])-1)/(Backend!$B$4/100*Table1[[#This Row],[BW40_3705]]),"")</f>
        <v/>
      </c>
      <c r="I3564" s="7" t="str">
        <f>IF(Table1[[#This Row],[Is Data Valid]]=TRUE,((Table1[[#This Row],[Birthweight (grams)]]*1.1/Table1[[#This Row],[BW_GA]])-1)/(Backend!$B$4/100*Table1[[#This Row],[BW40_3705]]),"")</f>
        <v/>
      </c>
      <c r="J3564" s="7" t="str">
        <f>IF(Table1[[#This Row],[Is Data Valid]]=TRUE,_xlfn.NORM.S.DIST(Table1[[#This Row],[Birthweight Z-Score]],TRUE)*100,"")</f>
        <v/>
      </c>
      <c r="K3564" s="7" t="str">
        <f>IF(Table1[[#This Row],[Is Data Valid]]=TRUE,_xlfn.NORM.S.DIST(Table1[[#This Row],[Birthweight Z-Score (BW-10%)]],TRUE)*100,"")</f>
        <v/>
      </c>
      <c r="L3564" s="7" t="str">
        <f>IF(Table1[[#This Row],[Is Data Valid]]=TRUE,_xlfn.NORM.S.DIST(Table1[[#This Row],[Birthweight Z-Score (BW+10%)]],TRUE)*100,"")</f>
        <v/>
      </c>
    </row>
    <row r="3565" spans="1:12" x14ac:dyDescent="0.35">
      <c r="A3565" s="3"/>
      <c r="B3565" s="2"/>
      <c r="C3565" s="2"/>
      <c r="D3565" s="2" t="b">
        <f>IF(AND(NOT(ISBLANK(Table1[[#This Row],[Fetal Sex (Male, Female or Unknown)]])),ISNUMBER(Table1[[#This Row],[Birthweight (grams)]]),ISNUMBER(Table1[[#This Row],[Gestation (days)]])),TRUE,FALSE)</f>
        <v>0</v>
      </c>
      <c r="E3565" s="2" t="str">
        <f>IF(Table1[[#This Row],[Is Data Valid]]=TRUE,IF(Table1[[#This Row],[Fetal Sex (Male, Female or Unknown)]]="Male",Backend!$C$6,IF(Table1[[#This Row],[Fetal Sex (Male, Female or Unknown)]]="Female",Backend!$C$7,IF(Table1[[#This Row],[Fetal Sex (Male, Female or Unknown)]]="Unknown",Backend!$C$8,"Error"))),"")</f>
        <v/>
      </c>
      <c r="F3565" s="8" t="str">
        <f>IF(Table1[[#This Row],[Is Data Valid]]=TRUE,EXP(0.578+0.332*((Table1[[#This Row],[Gestation (days)]]+0.5)/7)-0.00354*((Table1[[#This Row],[Gestation (days)]]+0.5)/7)^2)*Table1[[#This Row],[BW40_3705]],"")</f>
        <v/>
      </c>
      <c r="G3565" s="2" t="str">
        <f>IF(Table1[[#This Row],[Is Data Valid]]=TRUE,((Table1[[#This Row],[Birthweight (grams)]]/Table1[[#This Row],[BW_GA]])-1)/(Backend!$B$4/100*Table1[[#This Row],[BW40_3705]]),"")</f>
        <v/>
      </c>
      <c r="H3565" s="7" t="str">
        <f>IF(Table1[[#This Row],[Is Data Valid]]=TRUE,((Table1[[#This Row],[Birthweight (grams)]]*0.9/Table1[[#This Row],[BW_GA]])-1)/(Backend!$B$4/100*Table1[[#This Row],[BW40_3705]]),"")</f>
        <v/>
      </c>
      <c r="I3565" s="7" t="str">
        <f>IF(Table1[[#This Row],[Is Data Valid]]=TRUE,((Table1[[#This Row],[Birthweight (grams)]]*1.1/Table1[[#This Row],[BW_GA]])-1)/(Backend!$B$4/100*Table1[[#This Row],[BW40_3705]]),"")</f>
        <v/>
      </c>
      <c r="J3565" s="7" t="str">
        <f>IF(Table1[[#This Row],[Is Data Valid]]=TRUE,_xlfn.NORM.S.DIST(Table1[[#This Row],[Birthweight Z-Score]],TRUE)*100,"")</f>
        <v/>
      </c>
      <c r="K3565" s="7" t="str">
        <f>IF(Table1[[#This Row],[Is Data Valid]]=TRUE,_xlfn.NORM.S.DIST(Table1[[#This Row],[Birthweight Z-Score (BW-10%)]],TRUE)*100,"")</f>
        <v/>
      </c>
      <c r="L3565" s="7" t="str">
        <f>IF(Table1[[#This Row],[Is Data Valid]]=TRUE,_xlfn.NORM.S.DIST(Table1[[#This Row],[Birthweight Z-Score (BW+10%)]],TRUE)*100,"")</f>
        <v/>
      </c>
    </row>
    <row r="3566" spans="1:12" x14ac:dyDescent="0.35">
      <c r="A3566" s="3"/>
      <c r="B3566" s="2"/>
      <c r="C3566" s="2"/>
      <c r="D3566" s="2" t="b">
        <f>IF(AND(NOT(ISBLANK(Table1[[#This Row],[Fetal Sex (Male, Female or Unknown)]])),ISNUMBER(Table1[[#This Row],[Birthweight (grams)]]),ISNUMBER(Table1[[#This Row],[Gestation (days)]])),TRUE,FALSE)</f>
        <v>0</v>
      </c>
      <c r="E3566" s="2" t="str">
        <f>IF(Table1[[#This Row],[Is Data Valid]]=TRUE,IF(Table1[[#This Row],[Fetal Sex (Male, Female or Unknown)]]="Male",Backend!$C$6,IF(Table1[[#This Row],[Fetal Sex (Male, Female or Unknown)]]="Female",Backend!$C$7,IF(Table1[[#This Row],[Fetal Sex (Male, Female or Unknown)]]="Unknown",Backend!$C$8,"Error"))),"")</f>
        <v/>
      </c>
      <c r="F3566" s="8" t="str">
        <f>IF(Table1[[#This Row],[Is Data Valid]]=TRUE,EXP(0.578+0.332*((Table1[[#This Row],[Gestation (days)]]+0.5)/7)-0.00354*((Table1[[#This Row],[Gestation (days)]]+0.5)/7)^2)*Table1[[#This Row],[BW40_3705]],"")</f>
        <v/>
      </c>
      <c r="G3566" s="2" t="str">
        <f>IF(Table1[[#This Row],[Is Data Valid]]=TRUE,((Table1[[#This Row],[Birthweight (grams)]]/Table1[[#This Row],[BW_GA]])-1)/(Backend!$B$4/100*Table1[[#This Row],[BW40_3705]]),"")</f>
        <v/>
      </c>
      <c r="H3566" s="7" t="str">
        <f>IF(Table1[[#This Row],[Is Data Valid]]=TRUE,((Table1[[#This Row],[Birthweight (grams)]]*0.9/Table1[[#This Row],[BW_GA]])-1)/(Backend!$B$4/100*Table1[[#This Row],[BW40_3705]]),"")</f>
        <v/>
      </c>
      <c r="I3566" s="7" t="str">
        <f>IF(Table1[[#This Row],[Is Data Valid]]=TRUE,((Table1[[#This Row],[Birthweight (grams)]]*1.1/Table1[[#This Row],[BW_GA]])-1)/(Backend!$B$4/100*Table1[[#This Row],[BW40_3705]]),"")</f>
        <v/>
      </c>
      <c r="J3566" s="7" t="str">
        <f>IF(Table1[[#This Row],[Is Data Valid]]=TRUE,_xlfn.NORM.S.DIST(Table1[[#This Row],[Birthweight Z-Score]],TRUE)*100,"")</f>
        <v/>
      </c>
      <c r="K3566" s="7" t="str">
        <f>IF(Table1[[#This Row],[Is Data Valid]]=TRUE,_xlfn.NORM.S.DIST(Table1[[#This Row],[Birthweight Z-Score (BW-10%)]],TRUE)*100,"")</f>
        <v/>
      </c>
      <c r="L3566" s="7" t="str">
        <f>IF(Table1[[#This Row],[Is Data Valid]]=TRUE,_xlfn.NORM.S.DIST(Table1[[#This Row],[Birthweight Z-Score (BW+10%)]],TRUE)*100,"")</f>
        <v/>
      </c>
    </row>
    <row r="3567" spans="1:12" x14ac:dyDescent="0.35">
      <c r="A3567" s="3"/>
      <c r="B3567" s="2"/>
      <c r="C3567" s="2"/>
      <c r="D3567" s="2" t="b">
        <f>IF(AND(NOT(ISBLANK(Table1[[#This Row],[Fetal Sex (Male, Female or Unknown)]])),ISNUMBER(Table1[[#This Row],[Birthweight (grams)]]),ISNUMBER(Table1[[#This Row],[Gestation (days)]])),TRUE,FALSE)</f>
        <v>0</v>
      </c>
      <c r="E3567" s="2" t="str">
        <f>IF(Table1[[#This Row],[Is Data Valid]]=TRUE,IF(Table1[[#This Row],[Fetal Sex (Male, Female or Unknown)]]="Male",Backend!$C$6,IF(Table1[[#This Row],[Fetal Sex (Male, Female or Unknown)]]="Female",Backend!$C$7,IF(Table1[[#This Row],[Fetal Sex (Male, Female or Unknown)]]="Unknown",Backend!$C$8,"Error"))),"")</f>
        <v/>
      </c>
      <c r="F3567" s="8" t="str">
        <f>IF(Table1[[#This Row],[Is Data Valid]]=TRUE,EXP(0.578+0.332*((Table1[[#This Row],[Gestation (days)]]+0.5)/7)-0.00354*((Table1[[#This Row],[Gestation (days)]]+0.5)/7)^2)*Table1[[#This Row],[BW40_3705]],"")</f>
        <v/>
      </c>
      <c r="G3567" s="2" t="str">
        <f>IF(Table1[[#This Row],[Is Data Valid]]=TRUE,((Table1[[#This Row],[Birthweight (grams)]]/Table1[[#This Row],[BW_GA]])-1)/(Backend!$B$4/100*Table1[[#This Row],[BW40_3705]]),"")</f>
        <v/>
      </c>
      <c r="H3567" s="7" t="str">
        <f>IF(Table1[[#This Row],[Is Data Valid]]=TRUE,((Table1[[#This Row],[Birthweight (grams)]]*0.9/Table1[[#This Row],[BW_GA]])-1)/(Backend!$B$4/100*Table1[[#This Row],[BW40_3705]]),"")</f>
        <v/>
      </c>
      <c r="I3567" s="7" t="str">
        <f>IF(Table1[[#This Row],[Is Data Valid]]=TRUE,((Table1[[#This Row],[Birthweight (grams)]]*1.1/Table1[[#This Row],[BW_GA]])-1)/(Backend!$B$4/100*Table1[[#This Row],[BW40_3705]]),"")</f>
        <v/>
      </c>
      <c r="J3567" s="7" t="str">
        <f>IF(Table1[[#This Row],[Is Data Valid]]=TRUE,_xlfn.NORM.S.DIST(Table1[[#This Row],[Birthweight Z-Score]],TRUE)*100,"")</f>
        <v/>
      </c>
      <c r="K3567" s="7" t="str">
        <f>IF(Table1[[#This Row],[Is Data Valid]]=TRUE,_xlfn.NORM.S.DIST(Table1[[#This Row],[Birthweight Z-Score (BW-10%)]],TRUE)*100,"")</f>
        <v/>
      </c>
      <c r="L3567" s="7" t="str">
        <f>IF(Table1[[#This Row],[Is Data Valid]]=TRUE,_xlfn.NORM.S.DIST(Table1[[#This Row],[Birthweight Z-Score (BW+10%)]],TRUE)*100,"")</f>
        <v/>
      </c>
    </row>
    <row r="3568" spans="1:12" x14ac:dyDescent="0.35">
      <c r="A3568" s="3"/>
      <c r="B3568" s="2"/>
      <c r="C3568" s="2"/>
      <c r="D3568" s="2" t="b">
        <f>IF(AND(NOT(ISBLANK(Table1[[#This Row],[Fetal Sex (Male, Female or Unknown)]])),ISNUMBER(Table1[[#This Row],[Birthweight (grams)]]),ISNUMBER(Table1[[#This Row],[Gestation (days)]])),TRUE,FALSE)</f>
        <v>0</v>
      </c>
      <c r="E3568" s="2" t="str">
        <f>IF(Table1[[#This Row],[Is Data Valid]]=TRUE,IF(Table1[[#This Row],[Fetal Sex (Male, Female or Unknown)]]="Male",Backend!$C$6,IF(Table1[[#This Row],[Fetal Sex (Male, Female or Unknown)]]="Female",Backend!$C$7,IF(Table1[[#This Row],[Fetal Sex (Male, Female or Unknown)]]="Unknown",Backend!$C$8,"Error"))),"")</f>
        <v/>
      </c>
      <c r="F3568" s="8" t="str">
        <f>IF(Table1[[#This Row],[Is Data Valid]]=TRUE,EXP(0.578+0.332*((Table1[[#This Row],[Gestation (days)]]+0.5)/7)-0.00354*((Table1[[#This Row],[Gestation (days)]]+0.5)/7)^2)*Table1[[#This Row],[BW40_3705]],"")</f>
        <v/>
      </c>
      <c r="G3568" s="2" t="str">
        <f>IF(Table1[[#This Row],[Is Data Valid]]=TRUE,((Table1[[#This Row],[Birthweight (grams)]]/Table1[[#This Row],[BW_GA]])-1)/(Backend!$B$4/100*Table1[[#This Row],[BW40_3705]]),"")</f>
        <v/>
      </c>
      <c r="H3568" s="7" t="str">
        <f>IF(Table1[[#This Row],[Is Data Valid]]=TRUE,((Table1[[#This Row],[Birthweight (grams)]]*0.9/Table1[[#This Row],[BW_GA]])-1)/(Backend!$B$4/100*Table1[[#This Row],[BW40_3705]]),"")</f>
        <v/>
      </c>
      <c r="I3568" s="7" t="str">
        <f>IF(Table1[[#This Row],[Is Data Valid]]=TRUE,((Table1[[#This Row],[Birthweight (grams)]]*1.1/Table1[[#This Row],[BW_GA]])-1)/(Backend!$B$4/100*Table1[[#This Row],[BW40_3705]]),"")</f>
        <v/>
      </c>
      <c r="J3568" s="7" t="str">
        <f>IF(Table1[[#This Row],[Is Data Valid]]=TRUE,_xlfn.NORM.S.DIST(Table1[[#This Row],[Birthweight Z-Score]],TRUE)*100,"")</f>
        <v/>
      </c>
      <c r="K3568" s="7" t="str">
        <f>IF(Table1[[#This Row],[Is Data Valid]]=TRUE,_xlfn.NORM.S.DIST(Table1[[#This Row],[Birthweight Z-Score (BW-10%)]],TRUE)*100,"")</f>
        <v/>
      </c>
      <c r="L3568" s="7" t="str">
        <f>IF(Table1[[#This Row],[Is Data Valid]]=TRUE,_xlfn.NORM.S.DIST(Table1[[#This Row],[Birthweight Z-Score (BW+10%)]],TRUE)*100,"")</f>
        <v/>
      </c>
    </row>
    <row r="3569" spans="1:12" x14ac:dyDescent="0.35">
      <c r="A3569" s="3"/>
      <c r="B3569" s="2"/>
      <c r="C3569" s="2"/>
      <c r="D3569" s="2" t="b">
        <f>IF(AND(NOT(ISBLANK(Table1[[#This Row],[Fetal Sex (Male, Female or Unknown)]])),ISNUMBER(Table1[[#This Row],[Birthweight (grams)]]),ISNUMBER(Table1[[#This Row],[Gestation (days)]])),TRUE,FALSE)</f>
        <v>0</v>
      </c>
      <c r="E3569" s="2" t="str">
        <f>IF(Table1[[#This Row],[Is Data Valid]]=TRUE,IF(Table1[[#This Row],[Fetal Sex (Male, Female or Unknown)]]="Male",Backend!$C$6,IF(Table1[[#This Row],[Fetal Sex (Male, Female or Unknown)]]="Female",Backend!$C$7,IF(Table1[[#This Row],[Fetal Sex (Male, Female or Unknown)]]="Unknown",Backend!$C$8,"Error"))),"")</f>
        <v/>
      </c>
      <c r="F3569" s="8" t="str">
        <f>IF(Table1[[#This Row],[Is Data Valid]]=TRUE,EXP(0.578+0.332*((Table1[[#This Row],[Gestation (days)]]+0.5)/7)-0.00354*((Table1[[#This Row],[Gestation (days)]]+0.5)/7)^2)*Table1[[#This Row],[BW40_3705]],"")</f>
        <v/>
      </c>
      <c r="G3569" s="2" t="str">
        <f>IF(Table1[[#This Row],[Is Data Valid]]=TRUE,((Table1[[#This Row],[Birthweight (grams)]]/Table1[[#This Row],[BW_GA]])-1)/(Backend!$B$4/100*Table1[[#This Row],[BW40_3705]]),"")</f>
        <v/>
      </c>
      <c r="H3569" s="7" t="str">
        <f>IF(Table1[[#This Row],[Is Data Valid]]=TRUE,((Table1[[#This Row],[Birthweight (grams)]]*0.9/Table1[[#This Row],[BW_GA]])-1)/(Backend!$B$4/100*Table1[[#This Row],[BW40_3705]]),"")</f>
        <v/>
      </c>
      <c r="I3569" s="7" t="str">
        <f>IF(Table1[[#This Row],[Is Data Valid]]=TRUE,((Table1[[#This Row],[Birthweight (grams)]]*1.1/Table1[[#This Row],[BW_GA]])-1)/(Backend!$B$4/100*Table1[[#This Row],[BW40_3705]]),"")</f>
        <v/>
      </c>
      <c r="J3569" s="7" t="str">
        <f>IF(Table1[[#This Row],[Is Data Valid]]=TRUE,_xlfn.NORM.S.DIST(Table1[[#This Row],[Birthweight Z-Score]],TRUE)*100,"")</f>
        <v/>
      </c>
      <c r="K3569" s="7" t="str">
        <f>IF(Table1[[#This Row],[Is Data Valid]]=TRUE,_xlfn.NORM.S.DIST(Table1[[#This Row],[Birthweight Z-Score (BW-10%)]],TRUE)*100,"")</f>
        <v/>
      </c>
      <c r="L3569" s="7" t="str">
        <f>IF(Table1[[#This Row],[Is Data Valid]]=TRUE,_xlfn.NORM.S.DIST(Table1[[#This Row],[Birthweight Z-Score (BW+10%)]],TRUE)*100,"")</f>
        <v/>
      </c>
    </row>
    <row r="3570" spans="1:12" x14ac:dyDescent="0.35">
      <c r="A3570" s="3"/>
      <c r="B3570" s="2"/>
      <c r="C3570" s="2"/>
      <c r="D3570" s="2" t="b">
        <f>IF(AND(NOT(ISBLANK(Table1[[#This Row],[Fetal Sex (Male, Female or Unknown)]])),ISNUMBER(Table1[[#This Row],[Birthweight (grams)]]),ISNUMBER(Table1[[#This Row],[Gestation (days)]])),TRUE,FALSE)</f>
        <v>0</v>
      </c>
      <c r="E3570" s="2" t="str">
        <f>IF(Table1[[#This Row],[Is Data Valid]]=TRUE,IF(Table1[[#This Row],[Fetal Sex (Male, Female or Unknown)]]="Male",Backend!$C$6,IF(Table1[[#This Row],[Fetal Sex (Male, Female or Unknown)]]="Female",Backend!$C$7,IF(Table1[[#This Row],[Fetal Sex (Male, Female or Unknown)]]="Unknown",Backend!$C$8,"Error"))),"")</f>
        <v/>
      </c>
      <c r="F3570" s="8" t="str">
        <f>IF(Table1[[#This Row],[Is Data Valid]]=TRUE,EXP(0.578+0.332*((Table1[[#This Row],[Gestation (days)]]+0.5)/7)-0.00354*((Table1[[#This Row],[Gestation (days)]]+0.5)/7)^2)*Table1[[#This Row],[BW40_3705]],"")</f>
        <v/>
      </c>
      <c r="G3570" s="2" t="str">
        <f>IF(Table1[[#This Row],[Is Data Valid]]=TRUE,((Table1[[#This Row],[Birthweight (grams)]]/Table1[[#This Row],[BW_GA]])-1)/(Backend!$B$4/100*Table1[[#This Row],[BW40_3705]]),"")</f>
        <v/>
      </c>
      <c r="H3570" s="7" t="str">
        <f>IF(Table1[[#This Row],[Is Data Valid]]=TRUE,((Table1[[#This Row],[Birthweight (grams)]]*0.9/Table1[[#This Row],[BW_GA]])-1)/(Backend!$B$4/100*Table1[[#This Row],[BW40_3705]]),"")</f>
        <v/>
      </c>
      <c r="I3570" s="7" t="str">
        <f>IF(Table1[[#This Row],[Is Data Valid]]=TRUE,((Table1[[#This Row],[Birthweight (grams)]]*1.1/Table1[[#This Row],[BW_GA]])-1)/(Backend!$B$4/100*Table1[[#This Row],[BW40_3705]]),"")</f>
        <v/>
      </c>
      <c r="J3570" s="7" t="str">
        <f>IF(Table1[[#This Row],[Is Data Valid]]=TRUE,_xlfn.NORM.S.DIST(Table1[[#This Row],[Birthweight Z-Score]],TRUE)*100,"")</f>
        <v/>
      </c>
      <c r="K3570" s="7" t="str">
        <f>IF(Table1[[#This Row],[Is Data Valid]]=TRUE,_xlfn.NORM.S.DIST(Table1[[#This Row],[Birthweight Z-Score (BW-10%)]],TRUE)*100,"")</f>
        <v/>
      </c>
      <c r="L3570" s="7" t="str">
        <f>IF(Table1[[#This Row],[Is Data Valid]]=TRUE,_xlfn.NORM.S.DIST(Table1[[#This Row],[Birthweight Z-Score (BW+10%)]],TRUE)*100,"")</f>
        <v/>
      </c>
    </row>
    <row r="3571" spans="1:12" x14ac:dyDescent="0.35">
      <c r="A3571" s="3"/>
      <c r="B3571" s="2"/>
      <c r="C3571" s="2"/>
      <c r="D3571" s="2" t="b">
        <f>IF(AND(NOT(ISBLANK(Table1[[#This Row],[Fetal Sex (Male, Female or Unknown)]])),ISNUMBER(Table1[[#This Row],[Birthweight (grams)]]),ISNUMBER(Table1[[#This Row],[Gestation (days)]])),TRUE,FALSE)</f>
        <v>0</v>
      </c>
      <c r="E3571" s="2" t="str">
        <f>IF(Table1[[#This Row],[Is Data Valid]]=TRUE,IF(Table1[[#This Row],[Fetal Sex (Male, Female or Unknown)]]="Male",Backend!$C$6,IF(Table1[[#This Row],[Fetal Sex (Male, Female or Unknown)]]="Female",Backend!$C$7,IF(Table1[[#This Row],[Fetal Sex (Male, Female or Unknown)]]="Unknown",Backend!$C$8,"Error"))),"")</f>
        <v/>
      </c>
      <c r="F3571" s="8" t="str">
        <f>IF(Table1[[#This Row],[Is Data Valid]]=TRUE,EXP(0.578+0.332*((Table1[[#This Row],[Gestation (days)]]+0.5)/7)-0.00354*((Table1[[#This Row],[Gestation (days)]]+0.5)/7)^2)*Table1[[#This Row],[BW40_3705]],"")</f>
        <v/>
      </c>
      <c r="G3571" s="2" t="str">
        <f>IF(Table1[[#This Row],[Is Data Valid]]=TRUE,((Table1[[#This Row],[Birthweight (grams)]]/Table1[[#This Row],[BW_GA]])-1)/(Backend!$B$4/100*Table1[[#This Row],[BW40_3705]]),"")</f>
        <v/>
      </c>
      <c r="H3571" s="7" t="str">
        <f>IF(Table1[[#This Row],[Is Data Valid]]=TRUE,((Table1[[#This Row],[Birthweight (grams)]]*0.9/Table1[[#This Row],[BW_GA]])-1)/(Backend!$B$4/100*Table1[[#This Row],[BW40_3705]]),"")</f>
        <v/>
      </c>
      <c r="I3571" s="7" t="str">
        <f>IF(Table1[[#This Row],[Is Data Valid]]=TRUE,((Table1[[#This Row],[Birthweight (grams)]]*1.1/Table1[[#This Row],[BW_GA]])-1)/(Backend!$B$4/100*Table1[[#This Row],[BW40_3705]]),"")</f>
        <v/>
      </c>
      <c r="J3571" s="7" t="str">
        <f>IF(Table1[[#This Row],[Is Data Valid]]=TRUE,_xlfn.NORM.S.DIST(Table1[[#This Row],[Birthweight Z-Score]],TRUE)*100,"")</f>
        <v/>
      </c>
      <c r="K3571" s="7" t="str">
        <f>IF(Table1[[#This Row],[Is Data Valid]]=TRUE,_xlfn.NORM.S.DIST(Table1[[#This Row],[Birthweight Z-Score (BW-10%)]],TRUE)*100,"")</f>
        <v/>
      </c>
      <c r="L3571" s="7" t="str">
        <f>IF(Table1[[#This Row],[Is Data Valid]]=TRUE,_xlfn.NORM.S.DIST(Table1[[#This Row],[Birthweight Z-Score (BW+10%)]],TRUE)*100,"")</f>
        <v/>
      </c>
    </row>
    <row r="3572" spans="1:12" x14ac:dyDescent="0.35">
      <c r="A3572" s="3"/>
      <c r="B3572" s="2"/>
      <c r="C3572" s="2"/>
      <c r="D3572" s="2" t="b">
        <f>IF(AND(NOT(ISBLANK(Table1[[#This Row],[Fetal Sex (Male, Female or Unknown)]])),ISNUMBER(Table1[[#This Row],[Birthweight (grams)]]),ISNUMBER(Table1[[#This Row],[Gestation (days)]])),TRUE,FALSE)</f>
        <v>0</v>
      </c>
      <c r="E3572" s="2" t="str">
        <f>IF(Table1[[#This Row],[Is Data Valid]]=TRUE,IF(Table1[[#This Row],[Fetal Sex (Male, Female or Unknown)]]="Male",Backend!$C$6,IF(Table1[[#This Row],[Fetal Sex (Male, Female or Unknown)]]="Female",Backend!$C$7,IF(Table1[[#This Row],[Fetal Sex (Male, Female or Unknown)]]="Unknown",Backend!$C$8,"Error"))),"")</f>
        <v/>
      </c>
      <c r="F3572" s="8" t="str">
        <f>IF(Table1[[#This Row],[Is Data Valid]]=TRUE,EXP(0.578+0.332*((Table1[[#This Row],[Gestation (days)]]+0.5)/7)-0.00354*((Table1[[#This Row],[Gestation (days)]]+0.5)/7)^2)*Table1[[#This Row],[BW40_3705]],"")</f>
        <v/>
      </c>
      <c r="G3572" s="2" t="str">
        <f>IF(Table1[[#This Row],[Is Data Valid]]=TRUE,((Table1[[#This Row],[Birthweight (grams)]]/Table1[[#This Row],[BW_GA]])-1)/(Backend!$B$4/100*Table1[[#This Row],[BW40_3705]]),"")</f>
        <v/>
      </c>
      <c r="H3572" s="7" t="str">
        <f>IF(Table1[[#This Row],[Is Data Valid]]=TRUE,((Table1[[#This Row],[Birthweight (grams)]]*0.9/Table1[[#This Row],[BW_GA]])-1)/(Backend!$B$4/100*Table1[[#This Row],[BW40_3705]]),"")</f>
        <v/>
      </c>
      <c r="I3572" s="7" t="str">
        <f>IF(Table1[[#This Row],[Is Data Valid]]=TRUE,((Table1[[#This Row],[Birthweight (grams)]]*1.1/Table1[[#This Row],[BW_GA]])-1)/(Backend!$B$4/100*Table1[[#This Row],[BW40_3705]]),"")</f>
        <v/>
      </c>
      <c r="J3572" s="7" t="str">
        <f>IF(Table1[[#This Row],[Is Data Valid]]=TRUE,_xlfn.NORM.S.DIST(Table1[[#This Row],[Birthweight Z-Score]],TRUE)*100,"")</f>
        <v/>
      </c>
      <c r="K3572" s="7" t="str">
        <f>IF(Table1[[#This Row],[Is Data Valid]]=TRUE,_xlfn.NORM.S.DIST(Table1[[#This Row],[Birthweight Z-Score (BW-10%)]],TRUE)*100,"")</f>
        <v/>
      </c>
      <c r="L3572" s="7" t="str">
        <f>IF(Table1[[#This Row],[Is Data Valid]]=TRUE,_xlfn.NORM.S.DIST(Table1[[#This Row],[Birthweight Z-Score (BW+10%)]],TRUE)*100,"")</f>
        <v/>
      </c>
    </row>
    <row r="3573" spans="1:12" x14ac:dyDescent="0.35">
      <c r="A3573" s="3"/>
      <c r="B3573" s="2"/>
      <c r="C3573" s="2"/>
      <c r="D3573" s="2" t="b">
        <f>IF(AND(NOT(ISBLANK(Table1[[#This Row],[Fetal Sex (Male, Female or Unknown)]])),ISNUMBER(Table1[[#This Row],[Birthweight (grams)]]),ISNUMBER(Table1[[#This Row],[Gestation (days)]])),TRUE,FALSE)</f>
        <v>0</v>
      </c>
      <c r="E3573" s="2" t="str">
        <f>IF(Table1[[#This Row],[Is Data Valid]]=TRUE,IF(Table1[[#This Row],[Fetal Sex (Male, Female or Unknown)]]="Male",Backend!$C$6,IF(Table1[[#This Row],[Fetal Sex (Male, Female or Unknown)]]="Female",Backend!$C$7,IF(Table1[[#This Row],[Fetal Sex (Male, Female or Unknown)]]="Unknown",Backend!$C$8,"Error"))),"")</f>
        <v/>
      </c>
      <c r="F3573" s="8" t="str">
        <f>IF(Table1[[#This Row],[Is Data Valid]]=TRUE,EXP(0.578+0.332*((Table1[[#This Row],[Gestation (days)]]+0.5)/7)-0.00354*((Table1[[#This Row],[Gestation (days)]]+0.5)/7)^2)*Table1[[#This Row],[BW40_3705]],"")</f>
        <v/>
      </c>
      <c r="G3573" s="2" t="str">
        <f>IF(Table1[[#This Row],[Is Data Valid]]=TRUE,((Table1[[#This Row],[Birthweight (grams)]]/Table1[[#This Row],[BW_GA]])-1)/(Backend!$B$4/100*Table1[[#This Row],[BW40_3705]]),"")</f>
        <v/>
      </c>
      <c r="H3573" s="7" t="str">
        <f>IF(Table1[[#This Row],[Is Data Valid]]=TRUE,((Table1[[#This Row],[Birthweight (grams)]]*0.9/Table1[[#This Row],[BW_GA]])-1)/(Backend!$B$4/100*Table1[[#This Row],[BW40_3705]]),"")</f>
        <v/>
      </c>
      <c r="I3573" s="7" t="str">
        <f>IF(Table1[[#This Row],[Is Data Valid]]=TRUE,((Table1[[#This Row],[Birthweight (grams)]]*1.1/Table1[[#This Row],[BW_GA]])-1)/(Backend!$B$4/100*Table1[[#This Row],[BW40_3705]]),"")</f>
        <v/>
      </c>
      <c r="J3573" s="7" t="str">
        <f>IF(Table1[[#This Row],[Is Data Valid]]=TRUE,_xlfn.NORM.S.DIST(Table1[[#This Row],[Birthweight Z-Score]],TRUE)*100,"")</f>
        <v/>
      </c>
      <c r="K3573" s="7" t="str">
        <f>IF(Table1[[#This Row],[Is Data Valid]]=TRUE,_xlfn.NORM.S.DIST(Table1[[#This Row],[Birthweight Z-Score (BW-10%)]],TRUE)*100,"")</f>
        <v/>
      </c>
      <c r="L3573" s="7" t="str">
        <f>IF(Table1[[#This Row],[Is Data Valid]]=TRUE,_xlfn.NORM.S.DIST(Table1[[#This Row],[Birthweight Z-Score (BW+10%)]],TRUE)*100,"")</f>
        <v/>
      </c>
    </row>
    <row r="3574" spans="1:12" x14ac:dyDescent="0.35">
      <c r="A3574" s="3"/>
      <c r="B3574" s="2"/>
      <c r="C3574" s="2"/>
      <c r="D3574" s="2" t="b">
        <f>IF(AND(NOT(ISBLANK(Table1[[#This Row],[Fetal Sex (Male, Female or Unknown)]])),ISNUMBER(Table1[[#This Row],[Birthweight (grams)]]),ISNUMBER(Table1[[#This Row],[Gestation (days)]])),TRUE,FALSE)</f>
        <v>0</v>
      </c>
      <c r="E3574" s="2" t="str">
        <f>IF(Table1[[#This Row],[Is Data Valid]]=TRUE,IF(Table1[[#This Row],[Fetal Sex (Male, Female or Unknown)]]="Male",Backend!$C$6,IF(Table1[[#This Row],[Fetal Sex (Male, Female or Unknown)]]="Female",Backend!$C$7,IF(Table1[[#This Row],[Fetal Sex (Male, Female or Unknown)]]="Unknown",Backend!$C$8,"Error"))),"")</f>
        <v/>
      </c>
      <c r="F3574" s="8" t="str">
        <f>IF(Table1[[#This Row],[Is Data Valid]]=TRUE,EXP(0.578+0.332*((Table1[[#This Row],[Gestation (days)]]+0.5)/7)-0.00354*((Table1[[#This Row],[Gestation (days)]]+0.5)/7)^2)*Table1[[#This Row],[BW40_3705]],"")</f>
        <v/>
      </c>
      <c r="G3574" s="2" t="str">
        <f>IF(Table1[[#This Row],[Is Data Valid]]=TRUE,((Table1[[#This Row],[Birthweight (grams)]]/Table1[[#This Row],[BW_GA]])-1)/(Backend!$B$4/100*Table1[[#This Row],[BW40_3705]]),"")</f>
        <v/>
      </c>
      <c r="H3574" s="7" t="str">
        <f>IF(Table1[[#This Row],[Is Data Valid]]=TRUE,((Table1[[#This Row],[Birthweight (grams)]]*0.9/Table1[[#This Row],[BW_GA]])-1)/(Backend!$B$4/100*Table1[[#This Row],[BW40_3705]]),"")</f>
        <v/>
      </c>
      <c r="I3574" s="7" t="str">
        <f>IF(Table1[[#This Row],[Is Data Valid]]=TRUE,((Table1[[#This Row],[Birthweight (grams)]]*1.1/Table1[[#This Row],[BW_GA]])-1)/(Backend!$B$4/100*Table1[[#This Row],[BW40_3705]]),"")</f>
        <v/>
      </c>
      <c r="J3574" s="7" t="str">
        <f>IF(Table1[[#This Row],[Is Data Valid]]=TRUE,_xlfn.NORM.S.DIST(Table1[[#This Row],[Birthweight Z-Score]],TRUE)*100,"")</f>
        <v/>
      </c>
      <c r="K3574" s="7" t="str">
        <f>IF(Table1[[#This Row],[Is Data Valid]]=TRUE,_xlfn.NORM.S.DIST(Table1[[#This Row],[Birthweight Z-Score (BW-10%)]],TRUE)*100,"")</f>
        <v/>
      </c>
      <c r="L3574" s="7" t="str">
        <f>IF(Table1[[#This Row],[Is Data Valid]]=TRUE,_xlfn.NORM.S.DIST(Table1[[#This Row],[Birthweight Z-Score (BW+10%)]],TRUE)*100,"")</f>
        <v/>
      </c>
    </row>
    <row r="3575" spans="1:12" x14ac:dyDescent="0.35">
      <c r="A3575" s="3"/>
      <c r="B3575" s="2"/>
      <c r="C3575" s="2"/>
      <c r="D3575" s="2" t="b">
        <f>IF(AND(NOT(ISBLANK(Table1[[#This Row],[Fetal Sex (Male, Female or Unknown)]])),ISNUMBER(Table1[[#This Row],[Birthweight (grams)]]),ISNUMBER(Table1[[#This Row],[Gestation (days)]])),TRUE,FALSE)</f>
        <v>0</v>
      </c>
      <c r="E3575" s="2" t="str">
        <f>IF(Table1[[#This Row],[Is Data Valid]]=TRUE,IF(Table1[[#This Row],[Fetal Sex (Male, Female or Unknown)]]="Male",Backend!$C$6,IF(Table1[[#This Row],[Fetal Sex (Male, Female or Unknown)]]="Female",Backend!$C$7,IF(Table1[[#This Row],[Fetal Sex (Male, Female or Unknown)]]="Unknown",Backend!$C$8,"Error"))),"")</f>
        <v/>
      </c>
      <c r="F3575" s="8" t="str">
        <f>IF(Table1[[#This Row],[Is Data Valid]]=TRUE,EXP(0.578+0.332*((Table1[[#This Row],[Gestation (days)]]+0.5)/7)-0.00354*((Table1[[#This Row],[Gestation (days)]]+0.5)/7)^2)*Table1[[#This Row],[BW40_3705]],"")</f>
        <v/>
      </c>
      <c r="G3575" s="2" t="str">
        <f>IF(Table1[[#This Row],[Is Data Valid]]=TRUE,((Table1[[#This Row],[Birthweight (grams)]]/Table1[[#This Row],[BW_GA]])-1)/(Backend!$B$4/100*Table1[[#This Row],[BW40_3705]]),"")</f>
        <v/>
      </c>
      <c r="H3575" s="7" t="str">
        <f>IF(Table1[[#This Row],[Is Data Valid]]=TRUE,((Table1[[#This Row],[Birthweight (grams)]]*0.9/Table1[[#This Row],[BW_GA]])-1)/(Backend!$B$4/100*Table1[[#This Row],[BW40_3705]]),"")</f>
        <v/>
      </c>
      <c r="I3575" s="7" t="str">
        <f>IF(Table1[[#This Row],[Is Data Valid]]=TRUE,((Table1[[#This Row],[Birthweight (grams)]]*1.1/Table1[[#This Row],[BW_GA]])-1)/(Backend!$B$4/100*Table1[[#This Row],[BW40_3705]]),"")</f>
        <v/>
      </c>
      <c r="J3575" s="7" t="str">
        <f>IF(Table1[[#This Row],[Is Data Valid]]=TRUE,_xlfn.NORM.S.DIST(Table1[[#This Row],[Birthweight Z-Score]],TRUE)*100,"")</f>
        <v/>
      </c>
      <c r="K3575" s="7" t="str">
        <f>IF(Table1[[#This Row],[Is Data Valid]]=TRUE,_xlfn.NORM.S.DIST(Table1[[#This Row],[Birthweight Z-Score (BW-10%)]],TRUE)*100,"")</f>
        <v/>
      </c>
      <c r="L3575" s="7" t="str">
        <f>IF(Table1[[#This Row],[Is Data Valid]]=TRUE,_xlfn.NORM.S.DIST(Table1[[#This Row],[Birthweight Z-Score (BW+10%)]],TRUE)*100,"")</f>
        <v/>
      </c>
    </row>
    <row r="3576" spans="1:12" x14ac:dyDescent="0.35">
      <c r="A3576" s="3"/>
      <c r="B3576" s="2"/>
      <c r="C3576" s="2"/>
      <c r="D3576" s="2" t="b">
        <f>IF(AND(NOT(ISBLANK(Table1[[#This Row],[Fetal Sex (Male, Female or Unknown)]])),ISNUMBER(Table1[[#This Row],[Birthweight (grams)]]),ISNUMBER(Table1[[#This Row],[Gestation (days)]])),TRUE,FALSE)</f>
        <v>0</v>
      </c>
      <c r="E3576" s="2" t="str">
        <f>IF(Table1[[#This Row],[Is Data Valid]]=TRUE,IF(Table1[[#This Row],[Fetal Sex (Male, Female or Unknown)]]="Male",Backend!$C$6,IF(Table1[[#This Row],[Fetal Sex (Male, Female or Unknown)]]="Female",Backend!$C$7,IF(Table1[[#This Row],[Fetal Sex (Male, Female or Unknown)]]="Unknown",Backend!$C$8,"Error"))),"")</f>
        <v/>
      </c>
      <c r="F3576" s="8" t="str">
        <f>IF(Table1[[#This Row],[Is Data Valid]]=TRUE,EXP(0.578+0.332*((Table1[[#This Row],[Gestation (days)]]+0.5)/7)-0.00354*((Table1[[#This Row],[Gestation (days)]]+0.5)/7)^2)*Table1[[#This Row],[BW40_3705]],"")</f>
        <v/>
      </c>
      <c r="G3576" s="2" t="str">
        <f>IF(Table1[[#This Row],[Is Data Valid]]=TRUE,((Table1[[#This Row],[Birthweight (grams)]]/Table1[[#This Row],[BW_GA]])-1)/(Backend!$B$4/100*Table1[[#This Row],[BW40_3705]]),"")</f>
        <v/>
      </c>
      <c r="H3576" s="7" t="str">
        <f>IF(Table1[[#This Row],[Is Data Valid]]=TRUE,((Table1[[#This Row],[Birthweight (grams)]]*0.9/Table1[[#This Row],[BW_GA]])-1)/(Backend!$B$4/100*Table1[[#This Row],[BW40_3705]]),"")</f>
        <v/>
      </c>
      <c r="I3576" s="7" t="str">
        <f>IF(Table1[[#This Row],[Is Data Valid]]=TRUE,((Table1[[#This Row],[Birthweight (grams)]]*1.1/Table1[[#This Row],[BW_GA]])-1)/(Backend!$B$4/100*Table1[[#This Row],[BW40_3705]]),"")</f>
        <v/>
      </c>
      <c r="J3576" s="7" t="str">
        <f>IF(Table1[[#This Row],[Is Data Valid]]=TRUE,_xlfn.NORM.S.DIST(Table1[[#This Row],[Birthweight Z-Score]],TRUE)*100,"")</f>
        <v/>
      </c>
      <c r="K3576" s="7" t="str">
        <f>IF(Table1[[#This Row],[Is Data Valid]]=TRUE,_xlfn.NORM.S.DIST(Table1[[#This Row],[Birthweight Z-Score (BW-10%)]],TRUE)*100,"")</f>
        <v/>
      </c>
      <c r="L3576" s="7" t="str">
        <f>IF(Table1[[#This Row],[Is Data Valid]]=TRUE,_xlfn.NORM.S.DIST(Table1[[#This Row],[Birthweight Z-Score (BW+10%)]],TRUE)*100,"")</f>
        <v/>
      </c>
    </row>
    <row r="3577" spans="1:12" x14ac:dyDescent="0.35">
      <c r="A3577" s="3"/>
      <c r="B3577" s="2"/>
      <c r="C3577" s="2"/>
      <c r="D3577" s="2" t="b">
        <f>IF(AND(NOT(ISBLANK(Table1[[#This Row],[Fetal Sex (Male, Female or Unknown)]])),ISNUMBER(Table1[[#This Row],[Birthweight (grams)]]),ISNUMBER(Table1[[#This Row],[Gestation (days)]])),TRUE,FALSE)</f>
        <v>0</v>
      </c>
      <c r="E3577" s="2" t="str">
        <f>IF(Table1[[#This Row],[Is Data Valid]]=TRUE,IF(Table1[[#This Row],[Fetal Sex (Male, Female or Unknown)]]="Male",Backend!$C$6,IF(Table1[[#This Row],[Fetal Sex (Male, Female or Unknown)]]="Female",Backend!$C$7,IF(Table1[[#This Row],[Fetal Sex (Male, Female or Unknown)]]="Unknown",Backend!$C$8,"Error"))),"")</f>
        <v/>
      </c>
      <c r="F3577" s="8" t="str">
        <f>IF(Table1[[#This Row],[Is Data Valid]]=TRUE,EXP(0.578+0.332*((Table1[[#This Row],[Gestation (days)]]+0.5)/7)-0.00354*((Table1[[#This Row],[Gestation (days)]]+0.5)/7)^2)*Table1[[#This Row],[BW40_3705]],"")</f>
        <v/>
      </c>
      <c r="G3577" s="2" t="str">
        <f>IF(Table1[[#This Row],[Is Data Valid]]=TRUE,((Table1[[#This Row],[Birthweight (grams)]]/Table1[[#This Row],[BW_GA]])-1)/(Backend!$B$4/100*Table1[[#This Row],[BW40_3705]]),"")</f>
        <v/>
      </c>
      <c r="H3577" s="7" t="str">
        <f>IF(Table1[[#This Row],[Is Data Valid]]=TRUE,((Table1[[#This Row],[Birthweight (grams)]]*0.9/Table1[[#This Row],[BW_GA]])-1)/(Backend!$B$4/100*Table1[[#This Row],[BW40_3705]]),"")</f>
        <v/>
      </c>
      <c r="I3577" s="7" t="str">
        <f>IF(Table1[[#This Row],[Is Data Valid]]=TRUE,((Table1[[#This Row],[Birthweight (grams)]]*1.1/Table1[[#This Row],[BW_GA]])-1)/(Backend!$B$4/100*Table1[[#This Row],[BW40_3705]]),"")</f>
        <v/>
      </c>
      <c r="J3577" s="7" t="str">
        <f>IF(Table1[[#This Row],[Is Data Valid]]=TRUE,_xlfn.NORM.S.DIST(Table1[[#This Row],[Birthweight Z-Score]],TRUE)*100,"")</f>
        <v/>
      </c>
      <c r="K3577" s="7" t="str">
        <f>IF(Table1[[#This Row],[Is Data Valid]]=TRUE,_xlfn.NORM.S.DIST(Table1[[#This Row],[Birthweight Z-Score (BW-10%)]],TRUE)*100,"")</f>
        <v/>
      </c>
      <c r="L3577" s="7" t="str">
        <f>IF(Table1[[#This Row],[Is Data Valid]]=TRUE,_xlfn.NORM.S.DIST(Table1[[#This Row],[Birthweight Z-Score (BW+10%)]],TRUE)*100,"")</f>
        <v/>
      </c>
    </row>
    <row r="3578" spans="1:12" x14ac:dyDescent="0.35">
      <c r="A3578" s="3"/>
      <c r="B3578" s="2"/>
      <c r="C3578" s="2"/>
      <c r="D3578" s="2" t="b">
        <f>IF(AND(NOT(ISBLANK(Table1[[#This Row],[Fetal Sex (Male, Female or Unknown)]])),ISNUMBER(Table1[[#This Row],[Birthweight (grams)]]),ISNUMBER(Table1[[#This Row],[Gestation (days)]])),TRUE,FALSE)</f>
        <v>0</v>
      </c>
      <c r="E3578" s="2" t="str">
        <f>IF(Table1[[#This Row],[Is Data Valid]]=TRUE,IF(Table1[[#This Row],[Fetal Sex (Male, Female or Unknown)]]="Male",Backend!$C$6,IF(Table1[[#This Row],[Fetal Sex (Male, Female or Unknown)]]="Female",Backend!$C$7,IF(Table1[[#This Row],[Fetal Sex (Male, Female or Unknown)]]="Unknown",Backend!$C$8,"Error"))),"")</f>
        <v/>
      </c>
      <c r="F3578" s="8" t="str">
        <f>IF(Table1[[#This Row],[Is Data Valid]]=TRUE,EXP(0.578+0.332*((Table1[[#This Row],[Gestation (days)]]+0.5)/7)-0.00354*((Table1[[#This Row],[Gestation (days)]]+0.5)/7)^2)*Table1[[#This Row],[BW40_3705]],"")</f>
        <v/>
      </c>
      <c r="G3578" s="2" t="str">
        <f>IF(Table1[[#This Row],[Is Data Valid]]=TRUE,((Table1[[#This Row],[Birthweight (grams)]]/Table1[[#This Row],[BW_GA]])-1)/(Backend!$B$4/100*Table1[[#This Row],[BW40_3705]]),"")</f>
        <v/>
      </c>
      <c r="H3578" s="7" t="str">
        <f>IF(Table1[[#This Row],[Is Data Valid]]=TRUE,((Table1[[#This Row],[Birthweight (grams)]]*0.9/Table1[[#This Row],[BW_GA]])-1)/(Backend!$B$4/100*Table1[[#This Row],[BW40_3705]]),"")</f>
        <v/>
      </c>
      <c r="I3578" s="7" t="str">
        <f>IF(Table1[[#This Row],[Is Data Valid]]=TRUE,((Table1[[#This Row],[Birthweight (grams)]]*1.1/Table1[[#This Row],[BW_GA]])-1)/(Backend!$B$4/100*Table1[[#This Row],[BW40_3705]]),"")</f>
        <v/>
      </c>
      <c r="J3578" s="7" t="str">
        <f>IF(Table1[[#This Row],[Is Data Valid]]=TRUE,_xlfn.NORM.S.DIST(Table1[[#This Row],[Birthweight Z-Score]],TRUE)*100,"")</f>
        <v/>
      </c>
      <c r="K3578" s="7" t="str">
        <f>IF(Table1[[#This Row],[Is Data Valid]]=TRUE,_xlfn.NORM.S.DIST(Table1[[#This Row],[Birthweight Z-Score (BW-10%)]],TRUE)*100,"")</f>
        <v/>
      </c>
      <c r="L3578" s="7" t="str">
        <f>IF(Table1[[#This Row],[Is Data Valid]]=TRUE,_xlfn.NORM.S.DIST(Table1[[#This Row],[Birthweight Z-Score (BW+10%)]],TRUE)*100,"")</f>
        <v/>
      </c>
    </row>
    <row r="3579" spans="1:12" x14ac:dyDescent="0.35">
      <c r="A3579" s="3"/>
      <c r="B3579" s="2"/>
      <c r="C3579" s="2"/>
      <c r="D3579" s="2" t="b">
        <f>IF(AND(NOT(ISBLANK(Table1[[#This Row],[Fetal Sex (Male, Female or Unknown)]])),ISNUMBER(Table1[[#This Row],[Birthweight (grams)]]),ISNUMBER(Table1[[#This Row],[Gestation (days)]])),TRUE,FALSE)</f>
        <v>0</v>
      </c>
      <c r="E3579" s="2" t="str">
        <f>IF(Table1[[#This Row],[Is Data Valid]]=TRUE,IF(Table1[[#This Row],[Fetal Sex (Male, Female or Unknown)]]="Male",Backend!$C$6,IF(Table1[[#This Row],[Fetal Sex (Male, Female or Unknown)]]="Female",Backend!$C$7,IF(Table1[[#This Row],[Fetal Sex (Male, Female or Unknown)]]="Unknown",Backend!$C$8,"Error"))),"")</f>
        <v/>
      </c>
      <c r="F3579" s="8" t="str">
        <f>IF(Table1[[#This Row],[Is Data Valid]]=TRUE,EXP(0.578+0.332*((Table1[[#This Row],[Gestation (days)]]+0.5)/7)-0.00354*((Table1[[#This Row],[Gestation (days)]]+0.5)/7)^2)*Table1[[#This Row],[BW40_3705]],"")</f>
        <v/>
      </c>
      <c r="G3579" s="2" t="str">
        <f>IF(Table1[[#This Row],[Is Data Valid]]=TRUE,((Table1[[#This Row],[Birthweight (grams)]]/Table1[[#This Row],[BW_GA]])-1)/(Backend!$B$4/100*Table1[[#This Row],[BW40_3705]]),"")</f>
        <v/>
      </c>
      <c r="H3579" s="7" t="str">
        <f>IF(Table1[[#This Row],[Is Data Valid]]=TRUE,((Table1[[#This Row],[Birthweight (grams)]]*0.9/Table1[[#This Row],[BW_GA]])-1)/(Backend!$B$4/100*Table1[[#This Row],[BW40_3705]]),"")</f>
        <v/>
      </c>
      <c r="I3579" s="7" t="str">
        <f>IF(Table1[[#This Row],[Is Data Valid]]=TRUE,((Table1[[#This Row],[Birthweight (grams)]]*1.1/Table1[[#This Row],[BW_GA]])-1)/(Backend!$B$4/100*Table1[[#This Row],[BW40_3705]]),"")</f>
        <v/>
      </c>
      <c r="J3579" s="7" t="str">
        <f>IF(Table1[[#This Row],[Is Data Valid]]=TRUE,_xlfn.NORM.S.DIST(Table1[[#This Row],[Birthweight Z-Score]],TRUE)*100,"")</f>
        <v/>
      </c>
      <c r="K3579" s="7" t="str">
        <f>IF(Table1[[#This Row],[Is Data Valid]]=TRUE,_xlfn.NORM.S.DIST(Table1[[#This Row],[Birthweight Z-Score (BW-10%)]],TRUE)*100,"")</f>
        <v/>
      </c>
      <c r="L3579" s="7" t="str">
        <f>IF(Table1[[#This Row],[Is Data Valid]]=TRUE,_xlfn.NORM.S.DIST(Table1[[#This Row],[Birthweight Z-Score (BW+10%)]],TRUE)*100,"")</f>
        <v/>
      </c>
    </row>
    <row r="3580" spans="1:12" x14ac:dyDescent="0.35">
      <c r="A3580" s="3"/>
      <c r="B3580" s="2"/>
      <c r="C3580" s="2"/>
      <c r="D3580" s="2" t="b">
        <f>IF(AND(NOT(ISBLANK(Table1[[#This Row],[Fetal Sex (Male, Female or Unknown)]])),ISNUMBER(Table1[[#This Row],[Birthweight (grams)]]),ISNUMBER(Table1[[#This Row],[Gestation (days)]])),TRUE,FALSE)</f>
        <v>0</v>
      </c>
      <c r="E3580" s="2" t="str">
        <f>IF(Table1[[#This Row],[Is Data Valid]]=TRUE,IF(Table1[[#This Row],[Fetal Sex (Male, Female or Unknown)]]="Male",Backend!$C$6,IF(Table1[[#This Row],[Fetal Sex (Male, Female or Unknown)]]="Female",Backend!$C$7,IF(Table1[[#This Row],[Fetal Sex (Male, Female or Unknown)]]="Unknown",Backend!$C$8,"Error"))),"")</f>
        <v/>
      </c>
      <c r="F3580" s="8" t="str">
        <f>IF(Table1[[#This Row],[Is Data Valid]]=TRUE,EXP(0.578+0.332*((Table1[[#This Row],[Gestation (days)]]+0.5)/7)-0.00354*((Table1[[#This Row],[Gestation (days)]]+0.5)/7)^2)*Table1[[#This Row],[BW40_3705]],"")</f>
        <v/>
      </c>
      <c r="G3580" s="2" t="str">
        <f>IF(Table1[[#This Row],[Is Data Valid]]=TRUE,((Table1[[#This Row],[Birthweight (grams)]]/Table1[[#This Row],[BW_GA]])-1)/(Backend!$B$4/100*Table1[[#This Row],[BW40_3705]]),"")</f>
        <v/>
      </c>
      <c r="H3580" s="7" t="str">
        <f>IF(Table1[[#This Row],[Is Data Valid]]=TRUE,((Table1[[#This Row],[Birthweight (grams)]]*0.9/Table1[[#This Row],[BW_GA]])-1)/(Backend!$B$4/100*Table1[[#This Row],[BW40_3705]]),"")</f>
        <v/>
      </c>
      <c r="I3580" s="7" t="str">
        <f>IF(Table1[[#This Row],[Is Data Valid]]=TRUE,((Table1[[#This Row],[Birthweight (grams)]]*1.1/Table1[[#This Row],[BW_GA]])-1)/(Backend!$B$4/100*Table1[[#This Row],[BW40_3705]]),"")</f>
        <v/>
      </c>
      <c r="J3580" s="7" t="str">
        <f>IF(Table1[[#This Row],[Is Data Valid]]=TRUE,_xlfn.NORM.S.DIST(Table1[[#This Row],[Birthweight Z-Score]],TRUE)*100,"")</f>
        <v/>
      </c>
      <c r="K3580" s="7" t="str">
        <f>IF(Table1[[#This Row],[Is Data Valid]]=TRUE,_xlfn.NORM.S.DIST(Table1[[#This Row],[Birthweight Z-Score (BW-10%)]],TRUE)*100,"")</f>
        <v/>
      </c>
      <c r="L3580" s="7" t="str">
        <f>IF(Table1[[#This Row],[Is Data Valid]]=TRUE,_xlfn.NORM.S.DIST(Table1[[#This Row],[Birthweight Z-Score (BW+10%)]],TRUE)*100,"")</f>
        <v/>
      </c>
    </row>
    <row r="3581" spans="1:12" x14ac:dyDescent="0.35">
      <c r="A3581" s="3"/>
      <c r="B3581" s="2"/>
      <c r="C3581" s="2"/>
      <c r="D3581" s="2" t="b">
        <f>IF(AND(NOT(ISBLANK(Table1[[#This Row],[Fetal Sex (Male, Female or Unknown)]])),ISNUMBER(Table1[[#This Row],[Birthweight (grams)]]),ISNUMBER(Table1[[#This Row],[Gestation (days)]])),TRUE,FALSE)</f>
        <v>0</v>
      </c>
      <c r="E3581" s="2" t="str">
        <f>IF(Table1[[#This Row],[Is Data Valid]]=TRUE,IF(Table1[[#This Row],[Fetal Sex (Male, Female or Unknown)]]="Male",Backend!$C$6,IF(Table1[[#This Row],[Fetal Sex (Male, Female or Unknown)]]="Female",Backend!$C$7,IF(Table1[[#This Row],[Fetal Sex (Male, Female or Unknown)]]="Unknown",Backend!$C$8,"Error"))),"")</f>
        <v/>
      </c>
      <c r="F3581" s="8" t="str">
        <f>IF(Table1[[#This Row],[Is Data Valid]]=TRUE,EXP(0.578+0.332*((Table1[[#This Row],[Gestation (days)]]+0.5)/7)-0.00354*((Table1[[#This Row],[Gestation (days)]]+0.5)/7)^2)*Table1[[#This Row],[BW40_3705]],"")</f>
        <v/>
      </c>
      <c r="G3581" s="2" t="str">
        <f>IF(Table1[[#This Row],[Is Data Valid]]=TRUE,((Table1[[#This Row],[Birthweight (grams)]]/Table1[[#This Row],[BW_GA]])-1)/(Backend!$B$4/100*Table1[[#This Row],[BW40_3705]]),"")</f>
        <v/>
      </c>
      <c r="H3581" s="7" t="str">
        <f>IF(Table1[[#This Row],[Is Data Valid]]=TRUE,((Table1[[#This Row],[Birthweight (grams)]]*0.9/Table1[[#This Row],[BW_GA]])-1)/(Backend!$B$4/100*Table1[[#This Row],[BW40_3705]]),"")</f>
        <v/>
      </c>
      <c r="I3581" s="7" t="str">
        <f>IF(Table1[[#This Row],[Is Data Valid]]=TRUE,((Table1[[#This Row],[Birthweight (grams)]]*1.1/Table1[[#This Row],[BW_GA]])-1)/(Backend!$B$4/100*Table1[[#This Row],[BW40_3705]]),"")</f>
        <v/>
      </c>
      <c r="J3581" s="7" t="str">
        <f>IF(Table1[[#This Row],[Is Data Valid]]=TRUE,_xlfn.NORM.S.DIST(Table1[[#This Row],[Birthweight Z-Score]],TRUE)*100,"")</f>
        <v/>
      </c>
      <c r="K3581" s="7" t="str">
        <f>IF(Table1[[#This Row],[Is Data Valid]]=TRUE,_xlfn.NORM.S.DIST(Table1[[#This Row],[Birthweight Z-Score (BW-10%)]],TRUE)*100,"")</f>
        <v/>
      </c>
      <c r="L3581" s="7" t="str">
        <f>IF(Table1[[#This Row],[Is Data Valid]]=TRUE,_xlfn.NORM.S.DIST(Table1[[#This Row],[Birthweight Z-Score (BW+10%)]],TRUE)*100,"")</f>
        <v/>
      </c>
    </row>
    <row r="3582" spans="1:12" x14ac:dyDescent="0.35">
      <c r="A3582" s="3"/>
      <c r="B3582" s="2"/>
      <c r="C3582" s="2"/>
      <c r="D3582" s="2" t="b">
        <f>IF(AND(NOT(ISBLANK(Table1[[#This Row],[Fetal Sex (Male, Female or Unknown)]])),ISNUMBER(Table1[[#This Row],[Birthweight (grams)]]),ISNUMBER(Table1[[#This Row],[Gestation (days)]])),TRUE,FALSE)</f>
        <v>0</v>
      </c>
      <c r="E3582" s="2" t="str">
        <f>IF(Table1[[#This Row],[Is Data Valid]]=TRUE,IF(Table1[[#This Row],[Fetal Sex (Male, Female or Unknown)]]="Male",Backend!$C$6,IF(Table1[[#This Row],[Fetal Sex (Male, Female or Unknown)]]="Female",Backend!$C$7,IF(Table1[[#This Row],[Fetal Sex (Male, Female or Unknown)]]="Unknown",Backend!$C$8,"Error"))),"")</f>
        <v/>
      </c>
      <c r="F3582" s="8" t="str">
        <f>IF(Table1[[#This Row],[Is Data Valid]]=TRUE,EXP(0.578+0.332*((Table1[[#This Row],[Gestation (days)]]+0.5)/7)-0.00354*((Table1[[#This Row],[Gestation (days)]]+0.5)/7)^2)*Table1[[#This Row],[BW40_3705]],"")</f>
        <v/>
      </c>
      <c r="G3582" s="2" t="str">
        <f>IF(Table1[[#This Row],[Is Data Valid]]=TRUE,((Table1[[#This Row],[Birthweight (grams)]]/Table1[[#This Row],[BW_GA]])-1)/(Backend!$B$4/100*Table1[[#This Row],[BW40_3705]]),"")</f>
        <v/>
      </c>
      <c r="H3582" s="7" t="str">
        <f>IF(Table1[[#This Row],[Is Data Valid]]=TRUE,((Table1[[#This Row],[Birthweight (grams)]]*0.9/Table1[[#This Row],[BW_GA]])-1)/(Backend!$B$4/100*Table1[[#This Row],[BW40_3705]]),"")</f>
        <v/>
      </c>
      <c r="I3582" s="7" t="str">
        <f>IF(Table1[[#This Row],[Is Data Valid]]=TRUE,((Table1[[#This Row],[Birthweight (grams)]]*1.1/Table1[[#This Row],[BW_GA]])-1)/(Backend!$B$4/100*Table1[[#This Row],[BW40_3705]]),"")</f>
        <v/>
      </c>
      <c r="J3582" s="7" t="str">
        <f>IF(Table1[[#This Row],[Is Data Valid]]=TRUE,_xlfn.NORM.S.DIST(Table1[[#This Row],[Birthweight Z-Score]],TRUE)*100,"")</f>
        <v/>
      </c>
      <c r="K3582" s="7" t="str">
        <f>IF(Table1[[#This Row],[Is Data Valid]]=TRUE,_xlfn.NORM.S.DIST(Table1[[#This Row],[Birthweight Z-Score (BW-10%)]],TRUE)*100,"")</f>
        <v/>
      </c>
      <c r="L3582" s="7" t="str">
        <f>IF(Table1[[#This Row],[Is Data Valid]]=TRUE,_xlfn.NORM.S.DIST(Table1[[#This Row],[Birthweight Z-Score (BW+10%)]],TRUE)*100,"")</f>
        <v/>
      </c>
    </row>
    <row r="3583" spans="1:12" x14ac:dyDescent="0.35">
      <c r="A3583" s="3"/>
      <c r="B3583" s="2"/>
      <c r="C3583" s="2"/>
      <c r="D3583" s="2" t="b">
        <f>IF(AND(NOT(ISBLANK(Table1[[#This Row],[Fetal Sex (Male, Female or Unknown)]])),ISNUMBER(Table1[[#This Row],[Birthweight (grams)]]),ISNUMBER(Table1[[#This Row],[Gestation (days)]])),TRUE,FALSE)</f>
        <v>0</v>
      </c>
      <c r="E3583" s="2" t="str">
        <f>IF(Table1[[#This Row],[Is Data Valid]]=TRUE,IF(Table1[[#This Row],[Fetal Sex (Male, Female or Unknown)]]="Male",Backend!$C$6,IF(Table1[[#This Row],[Fetal Sex (Male, Female or Unknown)]]="Female",Backend!$C$7,IF(Table1[[#This Row],[Fetal Sex (Male, Female or Unknown)]]="Unknown",Backend!$C$8,"Error"))),"")</f>
        <v/>
      </c>
      <c r="F3583" s="8" t="str">
        <f>IF(Table1[[#This Row],[Is Data Valid]]=TRUE,EXP(0.578+0.332*((Table1[[#This Row],[Gestation (days)]]+0.5)/7)-0.00354*((Table1[[#This Row],[Gestation (days)]]+0.5)/7)^2)*Table1[[#This Row],[BW40_3705]],"")</f>
        <v/>
      </c>
      <c r="G3583" s="2" t="str">
        <f>IF(Table1[[#This Row],[Is Data Valid]]=TRUE,((Table1[[#This Row],[Birthweight (grams)]]/Table1[[#This Row],[BW_GA]])-1)/(Backend!$B$4/100*Table1[[#This Row],[BW40_3705]]),"")</f>
        <v/>
      </c>
      <c r="H3583" s="7" t="str">
        <f>IF(Table1[[#This Row],[Is Data Valid]]=TRUE,((Table1[[#This Row],[Birthweight (grams)]]*0.9/Table1[[#This Row],[BW_GA]])-1)/(Backend!$B$4/100*Table1[[#This Row],[BW40_3705]]),"")</f>
        <v/>
      </c>
      <c r="I3583" s="7" t="str">
        <f>IF(Table1[[#This Row],[Is Data Valid]]=TRUE,((Table1[[#This Row],[Birthweight (grams)]]*1.1/Table1[[#This Row],[BW_GA]])-1)/(Backend!$B$4/100*Table1[[#This Row],[BW40_3705]]),"")</f>
        <v/>
      </c>
      <c r="J3583" s="7" t="str">
        <f>IF(Table1[[#This Row],[Is Data Valid]]=TRUE,_xlfn.NORM.S.DIST(Table1[[#This Row],[Birthweight Z-Score]],TRUE)*100,"")</f>
        <v/>
      </c>
      <c r="K3583" s="7" t="str">
        <f>IF(Table1[[#This Row],[Is Data Valid]]=TRUE,_xlfn.NORM.S.DIST(Table1[[#This Row],[Birthweight Z-Score (BW-10%)]],TRUE)*100,"")</f>
        <v/>
      </c>
      <c r="L3583" s="7" t="str">
        <f>IF(Table1[[#This Row],[Is Data Valid]]=TRUE,_xlfn.NORM.S.DIST(Table1[[#This Row],[Birthweight Z-Score (BW+10%)]],TRUE)*100,"")</f>
        <v/>
      </c>
    </row>
    <row r="3584" spans="1:12" x14ac:dyDescent="0.35">
      <c r="A3584" s="3"/>
      <c r="B3584" s="2"/>
      <c r="C3584" s="2"/>
      <c r="D3584" s="2" t="b">
        <f>IF(AND(NOT(ISBLANK(Table1[[#This Row],[Fetal Sex (Male, Female or Unknown)]])),ISNUMBER(Table1[[#This Row],[Birthweight (grams)]]),ISNUMBER(Table1[[#This Row],[Gestation (days)]])),TRUE,FALSE)</f>
        <v>0</v>
      </c>
      <c r="E3584" s="2" t="str">
        <f>IF(Table1[[#This Row],[Is Data Valid]]=TRUE,IF(Table1[[#This Row],[Fetal Sex (Male, Female or Unknown)]]="Male",Backend!$C$6,IF(Table1[[#This Row],[Fetal Sex (Male, Female or Unknown)]]="Female",Backend!$C$7,IF(Table1[[#This Row],[Fetal Sex (Male, Female or Unknown)]]="Unknown",Backend!$C$8,"Error"))),"")</f>
        <v/>
      </c>
      <c r="F3584" s="8" t="str">
        <f>IF(Table1[[#This Row],[Is Data Valid]]=TRUE,EXP(0.578+0.332*((Table1[[#This Row],[Gestation (days)]]+0.5)/7)-0.00354*((Table1[[#This Row],[Gestation (days)]]+0.5)/7)^2)*Table1[[#This Row],[BW40_3705]],"")</f>
        <v/>
      </c>
      <c r="G3584" s="2" t="str">
        <f>IF(Table1[[#This Row],[Is Data Valid]]=TRUE,((Table1[[#This Row],[Birthweight (grams)]]/Table1[[#This Row],[BW_GA]])-1)/(Backend!$B$4/100*Table1[[#This Row],[BW40_3705]]),"")</f>
        <v/>
      </c>
      <c r="H3584" s="7" t="str">
        <f>IF(Table1[[#This Row],[Is Data Valid]]=TRUE,((Table1[[#This Row],[Birthweight (grams)]]*0.9/Table1[[#This Row],[BW_GA]])-1)/(Backend!$B$4/100*Table1[[#This Row],[BW40_3705]]),"")</f>
        <v/>
      </c>
      <c r="I3584" s="7" t="str">
        <f>IF(Table1[[#This Row],[Is Data Valid]]=TRUE,((Table1[[#This Row],[Birthweight (grams)]]*1.1/Table1[[#This Row],[BW_GA]])-1)/(Backend!$B$4/100*Table1[[#This Row],[BW40_3705]]),"")</f>
        <v/>
      </c>
      <c r="J3584" s="7" t="str">
        <f>IF(Table1[[#This Row],[Is Data Valid]]=TRUE,_xlfn.NORM.S.DIST(Table1[[#This Row],[Birthweight Z-Score]],TRUE)*100,"")</f>
        <v/>
      </c>
      <c r="K3584" s="7" t="str">
        <f>IF(Table1[[#This Row],[Is Data Valid]]=TRUE,_xlfn.NORM.S.DIST(Table1[[#This Row],[Birthweight Z-Score (BW-10%)]],TRUE)*100,"")</f>
        <v/>
      </c>
      <c r="L3584" s="7" t="str">
        <f>IF(Table1[[#This Row],[Is Data Valid]]=TRUE,_xlfn.NORM.S.DIST(Table1[[#This Row],[Birthweight Z-Score (BW+10%)]],TRUE)*100,"")</f>
        <v/>
      </c>
    </row>
    <row r="3585" spans="1:12" x14ac:dyDescent="0.35">
      <c r="A3585" s="3"/>
      <c r="B3585" s="2"/>
      <c r="C3585" s="2"/>
      <c r="D3585" s="2" t="b">
        <f>IF(AND(NOT(ISBLANK(Table1[[#This Row],[Fetal Sex (Male, Female or Unknown)]])),ISNUMBER(Table1[[#This Row],[Birthweight (grams)]]),ISNUMBER(Table1[[#This Row],[Gestation (days)]])),TRUE,FALSE)</f>
        <v>0</v>
      </c>
      <c r="E3585" s="2" t="str">
        <f>IF(Table1[[#This Row],[Is Data Valid]]=TRUE,IF(Table1[[#This Row],[Fetal Sex (Male, Female or Unknown)]]="Male",Backend!$C$6,IF(Table1[[#This Row],[Fetal Sex (Male, Female or Unknown)]]="Female",Backend!$C$7,IF(Table1[[#This Row],[Fetal Sex (Male, Female or Unknown)]]="Unknown",Backend!$C$8,"Error"))),"")</f>
        <v/>
      </c>
      <c r="F3585" s="8" t="str">
        <f>IF(Table1[[#This Row],[Is Data Valid]]=TRUE,EXP(0.578+0.332*((Table1[[#This Row],[Gestation (days)]]+0.5)/7)-0.00354*((Table1[[#This Row],[Gestation (days)]]+0.5)/7)^2)*Table1[[#This Row],[BW40_3705]],"")</f>
        <v/>
      </c>
      <c r="G3585" s="2" t="str">
        <f>IF(Table1[[#This Row],[Is Data Valid]]=TRUE,((Table1[[#This Row],[Birthweight (grams)]]/Table1[[#This Row],[BW_GA]])-1)/(Backend!$B$4/100*Table1[[#This Row],[BW40_3705]]),"")</f>
        <v/>
      </c>
      <c r="H3585" s="7" t="str">
        <f>IF(Table1[[#This Row],[Is Data Valid]]=TRUE,((Table1[[#This Row],[Birthweight (grams)]]*0.9/Table1[[#This Row],[BW_GA]])-1)/(Backend!$B$4/100*Table1[[#This Row],[BW40_3705]]),"")</f>
        <v/>
      </c>
      <c r="I3585" s="7" t="str">
        <f>IF(Table1[[#This Row],[Is Data Valid]]=TRUE,((Table1[[#This Row],[Birthweight (grams)]]*1.1/Table1[[#This Row],[BW_GA]])-1)/(Backend!$B$4/100*Table1[[#This Row],[BW40_3705]]),"")</f>
        <v/>
      </c>
      <c r="J3585" s="7" t="str">
        <f>IF(Table1[[#This Row],[Is Data Valid]]=TRUE,_xlfn.NORM.S.DIST(Table1[[#This Row],[Birthweight Z-Score]],TRUE)*100,"")</f>
        <v/>
      </c>
      <c r="K3585" s="7" t="str">
        <f>IF(Table1[[#This Row],[Is Data Valid]]=TRUE,_xlfn.NORM.S.DIST(Table1[[#This Row],[Birthweight Z-Score (BW-10%)]],TRUE)*100,"")</f>
        <v/>
      </c>
      <c r="L3585" s="7" t="str">
        <f>IF(Table1[[#This Row],[Is Data Valid]]=TRUE,_xlfn.NORM.S.DIST(Table1[[#This Row],[Birthweight Z-Score (BW+10%)]],TRUE)*100,"")</f>
        <v/>
      </c>
    </row>
    <row r="3586" spans="1:12" x14ac:dyDescent="0.35">
      <c r="A3586" s="3"/>
      <c r="B3586" s="2"/>
      <c r="C3586" s="2"/>
      <c r="D3586" s="2" t="b">
        <f>IF(AND(NOT(ISBLANK(Table1[[#This Row],[Fetal Sex (Male, Female or Unknown)]])),ISNUMBER(Table1[[#This Row],[Birthweight (grams)]]),ISNUMBER(Table1[[#This Row],[Gestation (days)]])),TRUE,FALSE)</f>
        <v>0</v>
      </c>
      <c r="E3586" s="2" t="str">
        <f>IF(Table1[[#This Row],[Is Data Valid]]=TRUE,IF(Table1[[#This Row],[Fetal Sex (Male, Female or Unknown)]]="Male",Backend!$C$6,IF(Table1[[#This Row],[Fetal Sex (Male, Female or Unknown)]]="Female",Backend!$C$7,IF(Table1[[#This Row],[Fetal Sex (Male, Female or Unknown)]]="Unknown",Backend!$C$8,"Error"))),"")</f>
        <v/>
      </c>
      <c r="F3586" s="8" t="str">
        <f>IF(Table1[[#This Row],[Is Data Valid]]=TRUE,EXP(0.578+0.332*((Table1[[#This Row],[Gestation (days)]]+0.5)/7)-0.00354*((Table1[[#This Row],[Gestation (days)]]+0.5)/7)^2)*Table1[[#This Row],[BW40_3705]],"")</f>
        <v/>
      </c>
      <c r="G3586" s="2" t="str">
        <f>IF(Table1[[#This Row],[Is Data Valid]]=TRUE,((Table1[[#This Row],[Birthweight (grams)]]/Table1[[#This Row],[BW_GA]])-1)/(Backend!$B$4/100*Table1[[#This Row],[BW40_3705]]),"")</f>
        <v/>
      </c>
      <c r="H3586" s="7" t="str">
        <f>IF(Table1[[#This Row],[Is Data Valid]]=TRUE,((Table1[[#This Row],[Birthweight (grams)]]*0.9/Table1[[#This Row],[BW_GA]])-1)/(Backend!$B$4/100*Table1[[#This Row],[BW40_3705]]),"")</f>
        <v/>
      </c>
      <c r="I3586" s="7" t="str">
        <f>IF(Table1[[#This Row],[Is Data Valid]]=TRUE,((Table1[[#This Row],[Birthweight (grams)]]*1.1/Table1[[#This Row],[BW_GA]])-1)/(Backend!$B$4/100*Table1[[#This Row],[BW40_3705]]),"")</f>
        <v/>
      </c>
      <c r="J3586" s="7" t="str">
        <f>IF(Table1[[#This Row],[Is Data Valid]]=TRUE,_xlfn.NORM.S.DIST(Table1[[#This Row],[Birthweight Z-Score]],TRUE)*100,"")</f>
        <v/>
      </c>
      <c r="K3586" s="7" t="str">
        <f>IF(Table1[[#This Row],[Is Data Valid]]=TRUE,_xlfn.NORM.S.DIST(Table1[[#This Row],[Birthweight Z-Score (BW-10%)]],TRUE)*100,"")</f>
        <v/>
      </c>
      <c r="L3586" s="7" t="str">
        <f>IF(Table1[[#This Row],[Is Data Valid]]=TRUE,_xlfn.NORM.S.DIST(Table1[[#This Row],[Birthweight Z-Score (BW+10%)]],TRUE)*100,"")</f>
        <v/>
      </c>
    </row>
    <row r="3587" spans="1:12" x14ac:dyDescent="0.35">
      <c r="A3587" s="3"/>
      <c r="B3587" s="2"/>
      <c r="C3587" s="2"/>
      <c r="D3587" s="2" t="b">
        <f>IF(AND(NOT(ISBLANK(Table1[[#This Row],[Fetal Sex (Male, Female or Unknown)]])),ISNUMBER(Table1[[#This Row],[Birthweight (grams)]]),ISNUMBER(Table1[[#This Row],[Gestation (days)]])),TRUE,FALSE)</f>
        <v>0</v>
      </c>
      <c r="E3587" s="2" t="str">
        <f>IF(Table1[[#This Row],[Is Data Valid]]=TRUE,IF(Table1[[#This Row],[Fetal Sex (Male, Female or Unknown)]]="Male",Backend!$C$6,IF(Table1[[#This Row],[Fetal Sex (Male, Female or Unknown)]]="Female",Backend!$C$7,IF(Table1[[#This Row],[Fetal Sex (Male, Female or Unknown)]]="Unknown",Backend!$C$8,"Error"))),"")</f>
        <v/>
      </c>
      <c r="F3587" s="8" t="str">
        <f>IF(Table1[[#This Row],[Is Data Valid]]=TRUE,EXP(0.578+0.332*((Table1[[#This Row],[Gestation (days)]]+0.5)/7)-0.00354*((Table1[[#This Row],[Gestation (days)]]+0.5)/7)^2)*Table1[[#This Row],[BW40_3705]],"")</f>
        <v/>
      </c>
      <c r="G3587" s="2" t="str">
        <f>IF(Table1[[#This Row],[Is Data Valid]]=TRUE,((Table1[[#This Row],[Birthweight (grams)]]/Table1[[#This Row],[BW_GA]])-1)/(Backend!$B$4/100*Table1[[#This Row],[BW40_3705]]),"")</f>
        <v/>
      </c>
      <c r="H3587" s="7" t="str">
        <f>IF(Table1[[#This Row],[Is Data Valid]]=TRUE,((Table1[[#This Row],[Birthweight (grams)]]*0.9/Table1[[#This Row],[BW_GA]])-1)/(Backend!$B$4/100*Table1[[#This Row],[BW40_3705]]),"")</f>
        <v/>
      </c>
      <c r="I3587" s="7" t="str">
        <f>IF(Table1[[#This Row],[Is Data Valid]]=TRUE,((Table1[[#This Row],[Birthweight (grams)]]*1.1/Table1[[#This Row],[BW_GA]])-1)/(Backend!$B$4/100*Table1[[#This Row],[BW40_3705]]),"")</f>
        <v/>
      </c>
      <c r="J3587" s="7" t="str">
        <f>IF(Table1[[#This Row],[Is Data Valid]]=TRUE,_xlfn.NORM.S.DIST(Table1[[#This Row],[Birthweight Z-Score]],TRUE)*100,"")</f>
        <v/>
      </c>
      <c r="K3587" s="7" t="str">
        <f>IF(Table1[[#This Row],[Is Data Valid]]=TRUE,_xlfn.NORM.S.DIST(Table1[[#This Row],[Birthweight Z-Score (BW-10%)]],TRUE)*100,"")</f>
        <v/>
      </c>
      <c r="L3587" s="7" t="str">
        <f>IF(Table1[[#This Row],[Is Data Valid]]=TRUE,_xlfn.NORM.S.DIST(Table1[[#This Row],[Birthweight Z-Score (BW+10%)]],TRUE)*100,"")</f>
        <v/>
      </c>
    </row>
    <row r="3588" spans="1:12" x14ac:dyDescent="0.35">
      <c r="A3588" s="3"/>
      <c r="B3588" s="2"/>
      <c r="C3588" s="2"/>
      <c r="D3588" s="2" t="b">
        <f>IF(AND(NOT(ISBLANK(Table1[[#This Row],[Fetal Sex (Male, Female or Unknown)]])),ISNUMBER(Table1[[#This Row],[Birthweight (grams)]]),ISNUMBER(Table1[[#This Row],[Gestation (days)]])),TRUE,FALSE)</f>
        <v>0</v>
      </c>
      <c r="E3588" s="2" t="str">
        <f>IF(Table1[[#This Row],[Is Data Valid]]=TRUE,IF(Table1[[#This Row],[Fetal Sex (Male, Female or Unknown)]]="Male",Backend!$C$6,IF(Table1[[#This Row],[Fetal Sex (Male, Female or Unknown)]]="Female",Backend!$C$7,IF(Table1[[#This Row],[Fetal Sex (Male, Female or Unknown)]]="Unknown",Backend!$C$8,"Error"))),"")</f>
        <v/>
      </c>
      <c r="F3588" s="8" t="str">
        <f>IF(Table1[[#This Row],[Is Data Valid]]=TRUE,EXP(0.578+0.332*((Table1[[#This Row],[Gestation (days)]]+0.5)/7)-0.00354*((Table1[[#This Row],[Gestation (days)]]+0.5)/7)^2)*Table1[[#This Row],[BW40_3705]],"")</f>
        <v/>
      </c>
      <c r="G3588" s="2" t="str">
        <f>IF(Table1[[#This Row],[Is Data Valid]]=TRUE,((Table1[[#This Row],[Birthweight (grams)]]/Table1[[#This Row],[BW_GA]])-1)/(Backend!$B$4/100*Table1[[#This Row],[BW40_3705]]),"")</f>
        <v/>
      </c>
      <c r="H3588" s="7" t="str">
        <f>IF(Table1[[#This Row],[Is Data Valid]]=TRUE,((Table1[[#This Row],[Birthweight (grams)]]*0.9/Table1[[#This Row],[BW_GA]])-1)/(Backend!$B$4/100*Table1[[#This Row],[BW40_3705]]),"")</f>
        <v/>
      </c>
      <c r="I3588" s="7" t="str">
        <f>IF(Table1[[#This Row],[Is Data Valid]]=TRUE,((Table1[[#This Row],[Birthweight (grams)]]*1.1/Table1[[#This Row],[BW_GA]])-1)/(Backend!$B$4/100*Table1[[#This Row],[BW40_3705]]),"")</f>
        <v/>
      </c>
      <c r="J3588" s="7" t="str">
        <f>IF(Table1[[#This Row],[Is Data Valid]]=TRUE,_xlfn.NORM.S.DIST(Table1[[#This Row],[Birthweight Z-Score]],TRUE)*100,"")</f>
        <v/>
      </c>
      <c r="K3588" s="7" t="str">
        <f>IF(Table1[[#This Row],[Is Data Valid]]=TRUE,_xlfn.NORM.S.DIST(Table1[[#This Row],[Birthweight Z-Score (BW-10%)]],TRUE)*100,"")</f>
        <v/>
      </c>
      <c r="L3588" s="7" t="str">
        <f>IF(Table1[[#This Row],[Is Data Valid]]=TRUE,_xlfn.NORM.S.DIST(Table1[[#This Row],[Birthweight Z-Score (BW+10%)]],TRUE)*100,"")</f>
        <v/>
      </c>
    </row>
    <row r="3589" spans="1:12" x14ac:dyDescent="0.35">
      <c r="A3589" s="3"/>
      <c r="B3589" s="2"/>
      <c r="C3589" s="2"/>
      <c r="D3589" s="2" t="b">
        <f>IF(AND(NOT(ISBLANK(Table1[[#This Row],[Fetal Sex (Male, Female or Unknown)]])),ISNUMBER(Table1[[#This Row],[Birthweight (grams)]]),ISNUMBER(Table1[[#This Row],[Gestation (days)]])),TRUE,FALSE)</f>
        <v>0</v>
      </c>
      <c r="E3589" s="2" t="str">
        <f>IF(Table1[[#This Row],[Is Data Valid]]=TRUE,IF(Table1[[#This Row],[Fetal Sex (Male, Female or Unknown)]]="Male",Backend!$C$6,IF(Table1[[#This Row],[Fetal Sex (Male, Female or Unknown)]]="Female",Backend!$C$7,IF(Table1[[#This Row],[Fetal Sex (Male, Female or Unknown)]]="Unknown",Backend!$C$8,"Error"))),"")</f>
        <v/>
      </c>
      <c r="F3589" s="8" t="str">
        <f>IF(Table1[[#This Row],[Is Data Valid]]=TRUE,EXP(0.578+0.332*((Table1[[#This Row],[Gestation (days)]]+0.5)/7)-0.00354*((Table1[[#This Row],[Gestation (days)]]+0.5)/7)^2)*Table1[[#This Row],[BW40_3705]],"")</f>
        <v/>
      </c>
      <c r="G3589" s="2" t="str">
        <f>IF(Table1[[#This Row],[Is Data Valid]]=TRUE,((Table1[[#This Row],[Birthweight (grams)]]/Table1[[#This Row],[BW_GA]])-1)/(Backend!$B$4/100*Table1[[#This Row],[BW40_3705]]),"")</f>
        <v/>
      </c>
      <c r="H3589" s="7" t="str">
        <f>IF(Table1[[#This Row],[Is Data Valid]]=TRUE,((Table1[[#This Row],[Birthweight (grams)]]*0.9/Table1[[#This Row],[BW_GA]])-1)/(Backend!$B$4/100*Table1[[#This Row],[BW40_3705]]),"")</f>
        <v/>
      </c>
      <c r="I3589" s="7" t="str">
        <f>IF(Table1[[#This Row],[Is Data Valid]]=TRUE,((Table1[[#This Row],[Birthweight (grams)]]*1.1/Table1[[#This Row],[BW_GA]])-1)/(Backend!$B$4/100*Table1[[#This Row],[BW40_3705]]),"")</f>
        <v/>
      </c>
      <c r="J3589" s="7" t="str">
        <f>IF(Table1[[#This Row],[Is Data Valid]]=TRUE,_xlfn.NORM.S.DIST(Table1[[#This Row],[Birthweight Z-Score]],TRUE)*100,"")</f>
        <v/>
      </c>
      <c r="K3589" s="7" t="str">
        <f>IF(Table1[[#This Row],[Is Data Valid]]=TRUE,_xlfn.NORM.S.DIST(Table1[[#This Row],[Birthweight Z-Score (BW-10%)]],TRUE)*100,"")</f>
        <v/>
      </c>
      <c r="L3589" s="7" t="str">
        <f>IF(Table1[[#This Row],[Is Data Valid]]=TRUE,_xlfn.NORM.S.DIST(Table1[[#This Row],[Birthweight Z-Score (BW+10%)]],TRUE)*100,"")</f>
        <v/>
      </c>
    </row>
    <row r="3590" spans="1:12" x14ac:dyDescent="0.35">
      <c r="A3590" s="3"/>
      <c r="B3590" s="2"/>
      <c r="C3590" s="2"/>
      <c r="D3590" s="2" t="b">
        <f>IF(AND(NOT(ISBLANK(Table1[[#This Row],[Fetal Sex (Male, Female or Unknown)]])),ISNUMBER(Table1[[#This Row],[Birthweight (grams)]]),ISNUMBER(Table1[[#This Row],[Gestation (days)]])),TRUE,FALSE)</f>
        <v>0</v>
      </c>
      <c r="E3590" s="2" t="str">
        <f>IF(Table1[[#This Row],[Is Data Valid]]=TRUE,IF(Table1[[#This Row],[Fetal Sex (Male, Female or Unknown)]]="Male",Backend!$C$6,IF(Table1[[#This Row],[Fetal Sex (Male, Female or Unknown)]]="Female",Backend!$C$7,IF(Table1[[#This Row],[Fetal Sex (Male, Female or Unknown)]]="Unknown",Backend!$C$8,"Error"))),"")</f>
        <v/>
      </c>
      <c r="F3590" s="8" t="str">
        <f>IF(Table1[[#This Row],[Is Data Valid]]=TRUE,EXP(0.578+0.332*((Table1[[#This Row],[Gestation (days)]]+0.5)/7)-0.00354*((Table1[[#This Row],[Gestation (days)]]+0.5)/7)^2)*Table1[[#This Row],[BW40_3705]],"")</f>
        <v/>
      </c>
      <c r="G3590" s="2" t="str">
        <f>IF(Table1[[#This Row],[Is Data Valid]]=TRUE,((Table1[[#This Row],[Birthweight (grams)]]/Table1[[#This Row],[BW_GA]])-1)/(Backend!$B$4/100*Table1[[#This Row],[BW40_3705]]),"")</f>
        <v/>
      </c>
      <c r="H3590" s="7" t="str">
        <f>IF(Table1[[#This Row],[Is Data Valid]]=TRUE,((Table1[[#This Row],[Birthweight (grams)]]*0.9/Table1[[#This Row],[BW_GA]])-1)/(Backend!$B$4/100*Table1[[#This Row],[BW40_3705]]),"")</f>
        <v/>
      </c>
      <c r="I3590" s="7" t="str">
        <f>IF(Table1[[#This Row],[Is Data Valid]]=TRUE,((Table1[[#This Row],[Birthweight (grams)]]*1.1/Table1[[#This Row],[BW_GA]])-1)/(Backend!$B$4/100*Table1[[#This Row],[BW40_3705]]),"")</f>
        <v/>
      </c>
      <c r="J3590" s="7" t="str">
        <f>IF(Table1[[#This Row],[Is Data Valid]]=TRUE,_xlfn.NORM.S.DIST(Table1[[#This Row],[Birthweight Z-Score]],TRUE)*100,"")</f>
        <v/>
      </c>
      <c r="K3590" s="7" t="str">
        <f>IF(Table1[[#This Row],[Is Data Valid]]=TRUE,_xlfn.NORM.S.DIST(Table1[[#This Row],[Birthweight Z-Score (BW-10%)]],TRUE)*100,"")</f>
        <v/>
      </c>
      <c r="L3590" s="7" t="str">
        <f>IF(Table1[[#This Row],[Is Data Valid]]=TRUE,_xlfn.NORM.S.DIST(Table1[[#This Row],[Birthweight Z-Score (BW+10%)]],TRUE)*100,"")</f>
        <v/>
      </c>
    </row>
    <row r="3591" spans="1:12" x14ac:dyDescent="0.35">
      <c r="A3591" s="3"/>
      <c r="B3591" s="2"/>
      <c r="C3591" s="2"/>
      <c r="D3591" s="2" t="b">
        <f>IF(AND(NOT(ISBLANK(Table1[[#This Row],[Fetal Sex (Male, Female or Unknown)]])),ISNUMBER(Table1[[#This Row],[Birthweight (grams)]]),ISNUMBER(Table1[[#This Row],[Gestation (days)]])),TRUE,FALSE)</f>
        <v>0</v>
      </c>
      <c r="E3591" s="2" t="str">
        <f>IF(Table1[[#This Row],[Is Data Valid]]=TRUE,IF(Table1[[#This Row],[Fetal Sex (Male, Female or Unknown)]]="Male",Backend!$C$6,IF(Table1[[#This Row],[Fetal Sex (Male, Female or Unknown)]]="Female",Backend!$C$7,IF(Table1[[#This Row],[Fetal Sex (Male, Female or Unknown)]]="Unknown",Backend!$C$8,"Error"))),"")</f>
        <v/>
      </c>
      <c r="F3591" s="8" t="str">
        <f>IF(Table1[[#This Row],[Is Data Valid]]=TRUE,EXP(0.578+0.332*((Table1[[#This Row],[Gestation (days)]]+0.5)/7)-0.00354*((Table1[[#This Row],[Gestation (days)]]+0.5)/7)^2)*Table1[[#This Row],[BW40_3705]],"")</f>
        <v/>
      </c>
      <c r="G3591" s="2" t="str">
        <f>IF(Table1[[#This Row],[Is Data Valid]]=TRUE,((Table1[[#This Row],[Birthweight (grams)]]/Table1[[#This Row],[BW_GA]])-1)/(Backend!$B$4/100*Table1[[#This Row],[BW40_3705]]),"")</f>
        <v/>
      </c>
      <c r="H3591" s="7" t="str">
        <f>IF(Table1[[#This Row],[Is Data Valid]]=TRUE,((Table1[[#This Row],[Birthweight (grams)]]*0.9/Table1[[#This Row],[BW_GA]])-1)/(Backend!$B$4/100*Table1[[#This Row],[BW40_3705]]),"")</f>
        <v/>
      </c>
      <c r="I3591" s="7" t="str">
        <f>IF(Table1[[#This Row],[Is Data Valid]]=TRUE,((Table1[[#This Row],[Birthweight (grams)]]*1.1/Table1[[#This Row],[BW_GA]])-1)/(Backend!$B$4/100*Table1[[#This Row],[BW40_3705]]),"")</f>
        <v/>
      </c>
      <c r="J3591" s="7" t="str">
        <f>IF(Table1[[#This Row],[Is Data Valid]]=TRUE,_xlfn.NORM.S.DIST(Table1[[#This Row],[Birthweight Z-Score]],TRUE)*100,"")</f>
        <v/>
      </c>
      <c r="K3591" s="7" t="str">
        <f>IF(Table1[[#This Row],[Is Data Valid]]=TRUE,_xlfn.NORM.S.DIST(Table1[[#This Row],[Birthweight Z-Score (BW-10%)]],TRUE)*100,"")</f>
        <v/>
      </c>
      <c r="L3591" s="7" t="str">
        <f>IF(Table1[[#This Row],[Is Data Valid]]=TRUE,_xlfn.NORM.S.DIST(Table1[[#This Row],[Birthweight Z-Score (BW+10%)]],TRUE)*100,"")</f>
        <v/>
      </c>
    </row>
    <row r="3592" spans="1:12" x14ac:dyDescent="0.35">
      <c r="A3592" s="3"/>
      <c r="B3592" s="2"/>
      <c r="C3592" s="2"/>
      <c r="D3592" s="2" t="b">
        <f>IF(AND(NOT(ISBLANK(Table1[[#This Row],[Fetal Sex (Male, Female or Unknown)]])),ISNUMBER(Table1[[#This Row],[Birthweight (grams)]]),ISNUMBER(Table1[[#This Row],[Gestation (days)]])),TRUE,FALSE)</f>
        <v>0</v>
      </c>
      <c r="E3592" s="2" t="str">
        <f>IF(Table1[[#This Row],[Is Data Valid]]=TRUE,IF(Table1[[#This Row],[Fetal Sex (Male, Female or Unknown)]]="Male",Backend!$C$6,IF(Table1[[#This Row],[Fetal Sex (Male, Female or Unknown)]]="Female",Backend!$C$7,IF(Table1[[#This Row],[Fetal Sex (Male, Female or Unknown)]]="Unknown",Backend!$C$8,"Error"))),"")</f>
        <v/>
      </c>
      <c r="F3592" s="8" t="str">
        <f>IF(Table1[[#This Row],[Is Data Valid]]=TRUE,EXP(0.578+0.332*((Table1[[#This Row],[Gestation (days)]]+0.5)/7)-0.00354*((Table1[[#This Row],[Gestation (days)]]+0.5)/7)^2)*Table1[[#This Row],[BW40_3705]],"")</f>
        <v/>
      </c>
      <c r="G3592" s="2" t="str">
        <f>IF(Table1[[#This Row],[Is Data Valid]]=TRUE,((Table1[[#This Row],[Birthweight (grams)]]/Table1[[#This Row],[BW_GA]])-1)/(Backend!$B$4/100*Table1[[#This Row],[BW40_3705]]),"")</f>
        <v/>
      </c>
      <c r="H3592" s="7" t="str">
        <f>IF(Table1[[#This Row],[Is Data Valid]]=TRUE,((Table1[[#This Row],[Birthweight (grams)]]*0.9/Table1[[#This Row],[BW_GA]])-1)/(Backend!$B$4/100*Table1[[#This Row],[BW40_3705]]),"")</f>
        <v/>
      </c>
      <c r="I3592" s="7" t="str">
        <f>IF(Table1[[#This Row],[Is Data Valid]]=TRUE,((Table1[[#This Row],[Birthweight (grams)]]*1.1/Table1[[#This Row],[BW_GA]])-1)/(Backend!$B$4/100*Table1[[#This Row],[BW40_3705]]),"")</f>
        <v/>
      </c>
      <c r="J3592" s="7" t="str">
        <f>IF(Table1[[#This Row],[Is Data Valid]]=TRUE,_xlfn.NORM.S.DIST(Table1[[#This Row],[Birthweight Z-Score]],TRUE)*100,"")</f>
        <v/>
      </c>
      <c r="K3592" s="7" t="str">
        <f>IF(Table1[[#This Row],[Is Data Valid]]=TRUE,_xlfn.NORM.S.DIST(Table1[[#This Row],[Birthweight Z-Score (BW-10%)]],TRUE)*100,"")</f>
        <v/>
      </c>
      <c r="L3592" s="7" t="str">
        <f>IF(Table1[[#This Row],[Is Data Valid]]=TRUE,_xlfn.NORM.S.DIST(Table1[[#This Row],[Birthweight Z-Score (BW+10%)]],TRUE)*100,"")</f>
        <v/>
      </c>
    </row>
    <row r="3593" spans="1:12" x14ac:dyDescent="0.35">
      <c r="A3593" s="3"/>
      <c r="B3593" s="2"/>
      <c r="C3593" s="2"/>
      <c r="D3593" s="2" t="b">
        <f>IF(AND(NOT(ISBLANK(Table1[[#This Row],[Fetal Sex (Male, Female or Unknown)]])),ISNUMBER(Table1[[#This Row],[Birthweight (grams)]]),ISNUMBER(Table1[[#This Row],[Gestation (days)]])),TRUE,FALSE)</f>
        <v>0</v>
      </c>
      <c r="E3593" s="2" t="str">
        <f>IF(Table1[[#This Row],[Is Data Valid]]=TRUE,IF(Table1[[#This Row],[Fetal Sex (Male, Female or Unknown)]]="Male",Backend!$C$6,IF(Table1[[#This Row],[Fetal Sex (Male, Female or Unknown)]]="Female",Backend!$C$7,IF(Table1[[#This Row],[Fetal Sex (Male, Female or Unknown)]]="Unknown",Backend!$C$8,"Error"))),"")</f>
        <v/>
      </c>
      <c r="F3593" s="8" t="str">
        <f>IF(Table1[[#This Row],[Is Data Valid]]=TRUE,EXP(0.578+0.332*((Table1[[#This Row],[Gestation (days)]]+0.5)/7)-0.00354*((Table1[[#This Row],[Gestation (days)]]+0.5)/7)^2)*Table1[[#This Row],[BW40_3705]],"")</f>
        <v/>
      </c>
      <c r="G3593" s="2" t="str">
        <f>IF(Table1[[#This Row],[Is Data Valid]]=TRUE,((Table1[[#This Row],[Birthweight (grams)]]/Table1[[#This Row],[BW_GA]])-1)/(Backend!$B$4/100*Table1[[#This Row],[BW40_3705]]),"")</f>
        <v/>
      </c>
      <c r="H3593" s="7" t="str">
        <f>IF(Table1[[#This Row],[Is Data Valid]]=TRUE,((Table1[[#This Row],[Birthweight (grams)]]*0.9/Table1[[#This Row],[BW_GA]])-1)/(Backend!$B$4/100*Table1[[#This Row],[BW40_3705]]),"")</f>
        <v/>
      </c>
      <c r="I3593" s="7" t="str">
        <f>IF(Table1[[#This Row],[Is Data Valid]]=TRUE,((Table1[[#This Row],[Birthweight (grams)]]*1.1/Table1[[#This Row],[BW_GA]])-1)/(Backend!$B$4/100*Table1[[#This Row],[BW40_3705]]),"")</f>
        <v/>
      </c>
      <c r="J3593" s="7" t="str">
        <f>IF(Table1[[#This Row],[Is Data Valid]]=TRUE,_xlfn.NORM.S.DIST(Table1[[#This Row],[Birthweight Z-Score]],TRUE)*100,"")</f>
        <v/>
      </c>
      <c r="K3593" s="7" t="str">
        <f>IF(Table1[[#This Row],[Is Data Valid]]=TRUE,_xlfn.NORM.S.DIST(Table1[[#This Row],[Birthweight Z-Score (BW-10%)]],TRUE)*100,"")</f>
        <v/>
      </c>
      <c r="L3593" s="7" t="str">
        <f>IF(Table1[[#This Row],[Is Data Valid]]=TRUE,_xlfn.NORM.S.DIST(Table1[[#This Row],[Birthweight Z-Score (BW+10%)]],TRUE)*100,"")</f>
        <v/>
      </c>
    </row>
    <row r="3594" spans="1:12" x14ac:dyDescent="0.35">
      <c r="A3594" s="3"/>
      <c r="B3594" s="2"/>
      <c r="C3594" s="2"/>
      <c r="D3594" s="2" t="b">
        <f>IF(AND(NOT(ISBLANK(Table1[[#This Row],[Fetal Sex (Male, Female or Unknown)]])),ISNUMBER(Table1[[#This Row],[Birthweight (grams)]]),ISNUMBER(Table1[[#This Row],[Gestation (days)]])),TRUE,FALSE)</f>
        <v>0</v>
      </c>
      <c r="E3594" s="2" t="str">
        <f>IF(Table1[[#This Row],[Is Data Valid]]=TRUE,IF(Table1[[#This Row],[Fetal Sex (Male, Female or Unknown)]]="Male",Backend!$C$6,IF(Table1[[#This Row],[Fetal Sex (Male, Female or Unknown)]]="Female",Backend!$C$7,IF(Table1[[#This Row],[Fetal Sex (Male, Female or Unknown)]]="Unknown",Backend!$C$8,"Error"))),"")</f>
        <v/>
      </c>
      <c r="F3594" s="8" t="str">
        <f>IF(Table1[[#This Row],[Is Data Valid]]=TRUE,EXP(0.578+0.332*((Table1[[#This Row],[Gestation (days)]]+0.5)/7)-0.00354*((Table1[[#This Row],[Gestation (days)]]+0.5)/7)^2)*Table1[[#This Row],[BW40_3705]],"")</f>
        <v/>
      </c>
      <c r="G3594" s="2" t="str">
        <f>IF(Table1[[#This Row],[Is Data Valid]]=TRUE,((Table1[[#This Row],[Birthweight (grams)]]/Table1[[#This Row],[BW_GA]])-1)/(Backend!$B$4/100*Table1[[#This Row],[BW40_3705]]),"")</f>
        <v/>
      </c>
      <c r="H3594" s="7" t="str">
        <f>IF(Table1[[#This Row],[Is Data Valid]]=TRUE,((Table1[[#This Row],[Birthweight (grams)]]*0.9/Table1[[#This Row],[BW_GA]])-1)/(Backend!$B$4/100*Table1[[#This Row],[BW40_3705]]),"")</f>
        <v/>
      </c>
      <c r="I3594" s="7" t="str">
        <f>IF(Table1[[#This Row],[Is Data Valid]]=TRUE,((Table1[[#This Row],[Birthweight (grams)]]*1.1/Table1[[#This Row],[BW_GA]])-1)/(Backend!$B$4/100*Table1[[#This Row],[BW40_3705]]),"")</f>
        <v/>
      </c>
      <c r="J3594" s="7" t="str">
        <f>IF(Table1[[#This Row],[Is Data Valid]]=TRUE,_xlfn.NORM.S.DIST(Table1[[#This Row],[Birthweight Z-Score]],TRUE)*100,"")</f>
        <v/>
      </c>
      <c r="K3594" s="7" t="str">
        <f>IF(Table1[[#This Row],[Is Data Valid]]=TRUE,_xlfn.NORM.S.DIST(Table1[[#This Row],[Birthweight Z-Score (BW-10%)]],TRUE)*100,"")</f>
        <v/>
      </c>
      <c r="L3594" s="7" t="str">
        <f>IF(Table1[[#This Row],[Is Data Valid]]=TRUE,_xlfn.NORM.S.DIST(Table1[[#This Row],[Birthweight Z-Score (BW+10%)]],TRUE)*100,"")</f>
        <v/>
      </c>
    </row>
    <row r="3595" spans="1:12" x14ac:dyDescent="0.35">
      <c r="A3595" s="3"/>
      <c r="B3595" s="2"/>
      <c r="C3595" s="2"/>
      <c r="D3595" s="2" t="b">
        <f>IF(AND(NOT(ISBLANK(Table1[[#This Row],[Fetal Sex (Male, Female or Unknown)]])),ISNUMBER(Table1[[#This Row],[Birthweight (grams)]]),ISNUMBER(Table1[[#This Row],[Gestation (days)]])),TRUE,FALSE)</f>
        <v>0</v>
      </c>
      <c r="E3595" s="2" t="str">
        <f>IF(Table1[[#This Row],[Is Data Valid]]=TRUE,IF(Table1[[#This Row],[Fetal Sex (Male, Female or Unknown)]]="Male",Backend!$C$6,IF(Table1[[#This Row],[Fetal Sex (Male, Female or Unknown)]]="Female",Backend!$C$7,IF(Table1[[#This Row],[Fetal Sex (Male, Female or Unknown)]]="Unknown",Backend!$C$8,"Error"))),"")</f>
        <v/>
      </c>
      <c r="F3595" s="8" t="str">
        <f>IF(Table1[[#This Row],[Is Data Valid]]=TRUE,EXP(0.578+0.332*((Table1[[#This Row],[Gestation (days)]]+0.5)/7)-0.00354*((Table1[[#This Row],[Gestation (days)]]+0.5)/7)^2)*Table1[[#This Row],[BW40_3705]],"")</f>
        <v/>
      </c>
      <c r="G3595" s="2" t="str">
        <f>IF(Table1[[#This Row],[Is Data Valid]]=TRUE,((Table1[[#This Row],[Birthweight (grams)]]/Table1[[#This Row],[BW_GA]])-1)/(Backend!$B$4/100*Table1[[#This Row],[BW40_3705]]),"")</f>
        <v/>
      </c>
      <c r="H3595" s="7" t="str">
        <f>IF(Table1[[#This Row],[Is Data Valid]]=TRUE,((Table1[[#This Row],[Birthweight (grams)]]*0.9/Table1[[#This Row],[BW_GA]])-1)/(Backend!$B$4/100*Table1[[#This Row],[BW40_3705]]),"")</f>
        <v/>
      </c>
      <c r="I3595" s="7" t="str">
        <f>IF(Table1[[#This Row],[Is Data Valid]]=TRUE,((Table1[[#This Row],[Birthweight (grams)]]*1.1/Table1[[#This Row],[BW_GA]])-1)/(Backend!$B$4/100*Table1[[#This Row],[BW40_3705]]),"")</f>
        <v/>
      </c>
      <c r="J3595" s="7" t="str">
        <f>IF(Table1[[#This Row],[Is Data Valid]]=TRUE,_xlfn.NORM.S.DIST(Table1[[#This Row],[Birthweight Z-Score]],TRUE)*100,"")</f>
        <v/>
      </c>
      <c r="K3595" s="7" t="str">
        <f>IF(Table1[[#This Row],[Is Data Valid]]=TRUE,_xlfn.NORM.S.DIST(Table1[[#This Row],[Birthweight Z-Score (BW-10%)]],TRUE)*100,"")</f>
        <v/>
      </c>
      <c r="L3595" s="7" t="str">
        <f>IF(Table1[[#This Row],[Is Data Valid]]=TRUE,_xlfn.NORM.S.DIST(Table1[[#This Row],[Birthweight Z-Score (BW+10%)]],TRUE)*100,"")</f>
        <v/>
      </c>
    </row>
    <row r="3596" spans="1:12" x14ac:dyDescent="0.35">
      <c r="A3596" s="3"/>
      <c r="B3596" s="2"/>
      <c r="C3596" s="2"/>
      <c r="D3596" s="2" t="b">
        <f>IF(AND(NOT(ISBLANK(Table1[[#This Row],[Fetal Sex (Male, Female or Unknown)]])),ISNUMBER(Table1[[#This Row],[Birthweight (grams)]]),ISNUMBER(Table1[[#This Row],[Gestation (days)]])),TRUE,FALSE)</f>
        <v>0</v>
      </c>
      <c r="E3596" s="2" t="str">
        <f>IF(Table1[[#This Row],[Is Data Valid]]=TRUE,IF(Table1[[#This Row],[Fetal Sex (Male, Female or Unknown)]]="Male",Backend!$C$6,IF(Table1[[#This Row],[Fetal Sex (Male, Female or Unknown)]]="Female",Backend!$C$7,IF(Table1[[#This Row],[Fetal Sex (Male, Female or Unknown)]]="Unknown",Backend!$C$8,"Error"))),"")</f>
        <v/>
      </c>
      <c r="F3596" s="8" t="str">
        <f>IF(Table1[[#This Row],[Is Data Valid]]=TRUE,EXP(0.578+0.332*((Table1[[#This Row],[Gestation (days)]]+0.5)/7)-0.00354*((Table1[[#This Row],[Gestation (days)]]+0.5)/7)^2)*Table1[[#This Row],[BW40_3705]],"")</f>
        <v/>
      </c>
      <c r="G3596" s="2" t="str">
        <f>IF(Table1[[#This Row],[Is Data Valid]]=TRUE,((Table1[[#This Row],[Birthweight (grams)]]/Table1[[#This Row],[BW_GA]])-1)/(Backend!$B$4/100*Table1[[#This Row],[BW40_3705]]),"")</f>
        <v/>
      </c>
      <c r="H3596" s="7" t="str">
        <f>IF(Table1[[#This Row],[Is Data Valid]]=TRUE,((Table1[[#This Row],[Birthweight (grams)]]*0.9/Table1[[#This Row],[BW_GA]])-1)/(Backend!$B$4/100*Table1[[#This Row],[BW40_3705]]),"")</f>
        <v/>
      </c>
      <c r="I3596" s="7" t="str">
        <f>IF(Table1[[#This Row],[Is Data Valid]]=TRUE,((Table1[[#This Row],[Birthweight (grams)]]*1.1/Table1[[#This Row],[BW_GA]])-1)/(Backend!$B$4/100*Table1[[#This Row],[BW40_3705]]),"")</f>
        <v/>
      </c>
      <c r="J3596" s="7" t="str">
        <f>IF(Table1[[#This Row],[Is Data Valid]]=TRUE,_xlfn.NORM.S.DIST(Table1[[#This Row],[Birthweight Z-Score]],TRUE)*100,"")</f>
        <v/>
      </c>
      <c r="K3596" s="7" t="str">
        <f>IF(Table1[[#This Row],[Is Data Valid]]=TRUE,_xlfn.NORM.S.DIST(Table1[[#This Row],[Birthweight Z-Score (BW-10%)]],TRUE)*100,"")</f>
        <v/>
      </c>
      <c r="L3596" s="7" t="str">
        <f>IF(Table1[[#This Row],[Is Data Valid]]=TRUE,_xlfn.NORM.S.DIST(Table1[[#This Row],[Birthweight Z-Score (BW+10%)]],TRUE)*100,"")</f>
        <v/>
      </c>
    </row>
    <row r="3597" spans="1:12" x14ac:dyDescent="0.35">
      <c r="A3597" s="3"/>
      <c r="B3597" s="2"/>
      <c r="C3597" s="2"/>
      <c r="D3597" s="2" t="b">
        <f>IF(AND(NOT(ISBLANK(Table1[[#This Row],[Fetal Sex (Male, Female or Unknown)]])),ISNUMBER(Table1[[#This Row],[Birthweight (grams)]]),ISNUMBER(Table1[[#This Row],[Gestation (days)]])),TRUE,FALSE)</f>
        <v>0</v>
      </c>
      <c r="E3597" s="2" t="str">
        <f>IF(Table1[[#This Row],[Is Data Valid]]=TRUE,IF(Table1[[#This Row],[Fetal Sex (Male, Female or Unknown)]]="Male",Backend!$C$6,IF(Table1[[#This Row],[Fetal Sex (Male, Female or Unknown)]]="Female",Backend!$C$7,IF(Table1[[#This Row],[Fetal Sex (Male, Female or Unknown)]]="Unknown",Backend!$C$8,"Error"))),"")</f>
        <v/>
      </c>
      <c r="F3597" s="8" t="str">
        <f>IF(Table1[[#This Row],[Is Data Valid]]=TRUE,EXP(0.578+0.332*((Table1[[#This Row],[Gestation (days)]]+0.5)/7)-0.00354*((Table1[[#This Row],[Gestation (days)]]+0.5)/7)^2)*Table1[[#This Row],[BW40_3705]],"")</f>
        <v/>
      </c>
      <c r="G3597" s="2" t="str">
        <f>IF(Table1[[#This Row],[Is Data Valid]]=TRUE,((Table1[[#This Row],[Birthweight (grams)]]/Table1[[#This Row],[BW_GA]])-1)/(Backend!$B$4/100*Table1[[#This Row],[BW40_3705]]),"")</f>
        <v/>
      </c>
      <c r="H3597" s="7" t="str">
        <f>IF(Table1[[#This Row],[Is Data Valid]]=TRUE,((Table1[[#This Row],[Birthweight (grams)]]*0.9/Table1[[#This Row],[BW_GA]])-1)/(Backend!$B$4/100*Table1[[#This Row],[BW40_3705]]),"")</f>
        <v/>
      </c>
      <c r="I3597" s="7" t="str">
        <f>IF(Table1[[#This Row],[Is Data Valid]]=TRUE,((Table1[[#This Row],[Birthweight (grams)]]*1.1/Table1[[#This Row],[BW_GA]])-1)/(Backend!$B$4/100*Table1[[#This Row],[BW40_3705]]),"")</f>
        <v/>
      </c>
      <c r="J3597" s="7" t="str">
        <f>IF(Table1[[#This Row],[Is Data Valid]]=TRUE,_xlfn.NORM.S.DIST(Table1[[#This Row],[Birthweight Z-Score]],TRUE)*100,"")</f>
        <v/>
      </c>
      <c r="K3597" s="7" t="str">
        <f>IF(Table1[[#This Row],[Is Data Valid]]=TRUE,_xlfn.NORM.S.DIST(Table1[[#This Row],[Birthweight Z-Score (BW-10%)]],TRUE)*100,"")</f>
        <v/>
      </c>
      <c r="L3597" s="7" t="str">
        <f>IF(Table1[[#This Row],[Is Data Valid]]=TRUE,_xlfn.NORM.S.DIST(Table1[[#This Row],[Birthweight Z-Score (BW+10%)]],TRUE)*100,"")</f>
        <v/>
      </c>
    </row>
    <row r="3598" spans="1:12" x14ac:dyDescent="0.35">
      <c r="A3598" s="3"/>
      <c r="B3598" s="2"/>
      <c r="C3598" s="2"/>
      <c r="D3598" s="2" t="b">
        <f>IF(AND(NOT(ISBLANK(Table1[[#This Row],[Fetal Sex (Male, Female or Unknown)]])),ISNUMBER(Table1[[#This Row],[Birthweight (grams)]]),ISNUMBER(Table1[[#This Row],[Gestation (days)]])),TRUE,FALSE)</f>
        <v>0</v>
      </c>
      <c r="E3598" s="2" t="str">
        <f>IF(Table1[[#This Row],[Is Data Valid]]=TRUE,IF(Table1[[#This Row],[Fetal Sex (Male, Female or Unknown)]]="Male",Backend!$C$6,IF(Table1[[#This Row],[Fetal Sex (Male, Female or Unknown)]]="Female",Backend!$C$7,IF(Table1[[#This Row],[Fetal Sex (Male, Female or Unknown)]]="Unknown",Backend!$C$8,"Error"))),"")</f>
        <v/>
      </c>
      <c r="F3598" s="8" t="str">
        <f>IF(Table1[[#This Row],[Is Data Valid]]=TRUE,EXP(0.578+0.332*((Table1[[#This Row],[Gestation (days)]]+0.5)/7)-0.00354*((Table1[[#This Row],[Gestation (days)]]+0.5)/7)^2)*Table1[[#This Row],[BW40_3705]],"")</f>
        <v/>
      </c>
      <c r="G3598" s="2" t="str">
        <f>IF(Table1[[#This Row],[Is Data Valid]]=TRUE,((Table1[[#This Row],[Birthweight (grams)]]/Table1[[#This Row],[BW_GA]])-1)/(Backend!$B$4/100*Table1[[#This Row],[BW40_3705]]),"")</f>
        <v/>
      </c>
      <c r="H3598" s="7" t="str">
        <f>IF(Table1[[#This Row],[Is Data Valid]]=TRUE,((Table1[[#This Row],[Birthweight (grams)]]*0.9/Table1[[#This Row],[BW_GA]])-1)/(Backend!$B$4/100*Table1[[#This Row],[BW40_3705]]),"")</f>
        <v/>
      </c>
      <c r="I3598" s="7" t="str">
        <f>IF(Table1[[#This Row],[Is Data Valid]]=TRUE,((Table1[[#This Row],[Birthweight (grams)]]*1.1/Table1[[#This Row],[BW_GA]])-1)/(Backend!$B$4/100*Table1[[#This Row],[BW40_3705]]),"")</f>
        <v/>
      </c>
      <c r="J3598" s="7" t="str">
        <f>IF(Table1[[#This Row],[Is Data Valid]]=TRUE,_xlfn.NORM.S.DIST(Table1[[#This Row],[Birthweight Z-Score]],TRUE)*100,"")</f>
        <v/>
      </c>
      <c r="K3598" s="7" t="str">
        <f>IF(Table1[[#This Row],[Is Data Valid]]=TRUE,_xlfn.NORM.S.DIST(Table1[[#This Row],[Birthweight Z-Score (BW-10%)]],TRUE)*100,"")</f>
        <v/>
      </c>
      <c r="L3598" s="7" t="str">
        <f>IF(Table1[[#This Row],[Is Data Valid]]=TRUE,_xlfn.NORM.S.DIST(Table1[[#This Row],[Birthweight Z-Score (BW+10%)]],TRUE)*100,"")</f>
        <v/>
      </c>
    </row>
    <row r="3599" spans="1:12" x14ac:dyDescent="0.35">
      <c r="A3599" s="3"/>
      <c r="B3599" s="2"/>
      <c r="C3599" s="2"/>
      <c r="D3599" s="2" t="b">
        <f>IF(AND(NOT(ISBLANK(Table1[[#This Row],[Fetal Sex (Male, Female or Unknown)]])),ISNUMBER(Table1[[#This Row],[Birthweight (grams)]]),ISNUMBER(Table1[[#This Row],[Gestation (days)]])),TRUE,FALSE)</f>
        <v>0</v>
      </c>
      <c r="E3599" s="2" t="str">
        <f>IF(Table1[[#This Row],[Is Data Valid]]=TRUE,IF(Table1[[#This Row],[Fetal Sex (Male, Female or Unknown)]]="Male",Backend!$C$6,IF(Table1[[#This Row],[Fetal Sex (Male, Female or Unknown)]]="Female",Backend!$C$7,IF(Table1[[#This Row],[Fetal Sex (Male, Female or Unknown)]]="Unknown",Backend!$C$8,"Error"))),"")</f>
        <v/>
      </c>
      <c r="F3599" s="8" t="str">
        <f>IF(Table1[[#This Row],[Is Data Valid]]=TRUE,EXP(0.578+0.332*((Table1[[#This Row],[Gestation (days)]]+0.5)/7)-0.00354*((Table1[[#This Row],[Gestation (days)]]+0.5)/7)^2)*Table1[[#This Row],[BW40_3705]],"")</f>
        <v/>
      </c>
      <c r="G3599" s="2" t="str">
        <f>IF(Table1[[#This Row],[Is Data Valid]]=TRUE,((Table1[[#This Row],[Birthweight (grams)]]/Table1[[#This Row],[BW_GA]])-1)/(Backend!$B$4/100*Table1[[#This Row],[BW40_3705]]),"")</f>
        <v/>
      </c>
      <c r="H3599" s="7" t="str">
        <f>IF(Table1[[#This Row],[Is Data Valid]]=TRUE,((Table1[[#This Row],[Birthweight (grams)]]*0.9/Table1[[#This Row],[BW_GA]])-1)/(Backend!$B$4/100*Table1[[#This Row],[BW40_3705]]),"")</f>
        <v/>
      </c>
      <c r="I3599" s="7" t="str">
        <f>IF(Table1[[#This Row],[Is Data Valid]]=TRUE,((Table1[[#This Row],[Birthweight (grams)]]*1.1/Table1[[#This Row],[BW_GA]])-1)/(Backend!$B$4/100*Table1[[#This Row],[BW40_3705]]),"")</f>
        <v/>
      </c>
      <c r="J3599" s="7" t="str">
        <f>IF(Table1[[#This Row],[Is Data Valid]]=TRUE,_xlfn.NORM.S.DIST(Table1[[#This Row],[Birthweight Z-Score]],TRUE)*100,"")</f>
        <v/>
      </c>
      <c r="K3599" s="7" t="str">
        <f>IF(Table1[[#This Row],[Is Data Valid]]=TRUE,_xlfn.NORM.S.DIST(Table1[[#This Row],[Birthweight Z-Score (BW-10%)]],TRUE)*100,"")</f>
        <v/>
      </c>
      <c r="L3599" s="7" t="str">
        <f>IF(Table1[[#This Row],[Is Data Valid]]=TRUE,_xlfn.NORM.S.DIST(Table1[[#This Row],[Birthweight Z-Score (BW+10%)]],TRUE)*100,"")</f>
        <v/>
      </c>
    </row>
    <row r="3600" spans="1:12" x14ac:dyDescent="0.35">
      <c r="A3600" s="3"/>
      <c r="B3600" s="2"/>
      <c r="C3600" s="2"/>
      <c r="D3600" s="2" t="b">
        <f>IF(AND(NOT(ISBLANK(Table1[[#This Row],[Fetal Sex (Male, Female or Unknown)]])),ISNUMBER(Table1[[#This Row],[Birthweight (grams)]]),ISNUMBER(Table1[[#This Row],[Gestation (days)]])),TRUE,FALSE)</f>
        <v>0</v>
      </c>
      <c r="E3600" s="2" t="str">
        <f>IF(Table1[[#This Row],[Is Data Valid]]=TRUE,IF(Table1[[#This Row],[Fetal Sex (Male, Female or Unknown)]]="Male",Backend!$C$6,IF(Table1[[#This Row],[Fetal Sex (Male, Female or Unknown)]]="Female",Backend!$C$7,IF(Table1[[#This Row],[Fetal Sex (Male, Female or Unknown)]]="Unknown",Backend!$C$8,"Error"))),"")</f>
        <v/>
      </c>
      <c r="F3600" s="8" t="str">
        <f>IF(Table1[[#This Row],[Is Data Valid]]=TRUE,EXP(0.578+0.332*((Table1[[#This Row],[Gestation (days)]]+0.5)/7)-0.00354*((Table1[[#This Row],[Gestation (days)]]+0.5)/7)^2)*Table1[[#This Row],[BW40_3705]],"")</f>
        <v/>
      </c>
      <c r="G3600" s="2" t="str">
        <f>IF(Table1[[#This Row],[Is Data Valid]]=TRUE,((Table1[[#This Row],[Birthweight (grams)]]/Table1[[#This Row],[BW_GA]])-1)/(Backend!$B$4/100*Table1[[#This Row],[BW40_3705]]),"")</f>
        <v/>
      </c>
      <c r="H3600" s="7" t="str">
        <f>IF(Table1[[#This Row],[Is Data Valid]]=TRUE,((Table1[[#This Row],[Birthweight (grams)]]*0.9/Table1[[#This Row],[BW_GA]])-1)/(Backend!$B$4/100*Table1[[#This Row],[BW40_3705]]),"")</f>
        <v/>
      </c>
      <c r="I3600" s="7" t="str">
        <f>IF(Table1[[#This Row],[Is Data Valid]]=TRUE,((Table1[[#This Row],[Birthweight (grams)]]*1.1/Table1[[#This Row],[BW_GA]])-1)/(Backend!$B$4/100*Table1[[#This Row],[BW40_3705]]),"")</f>
        <v/>
      </c>
      <c r="J3600" s="7" t="str">
        <f>IF(Table1[[#This Row],[Is Data Valid]]=TRUE,_xlfn.NORM.S.DIST(Table1[[#This Row],[Birthweight Z-Score]],TRUE)*100,"")</f>
        <v/>
      </c>
      <c r="K3600" s="7" t="str">
        <f>IF(Table1[[#This Row],[Is Data Valid]]=TRUE,_xlfn.NORM.S.DIST(Table1[[#This Row],[Birthweight Z-Score (BW-10%)]],TRUE)*100,"")</f>
        <v/>
      </c>
      <c r="L3600" s="7" t="str">
        <f>IF(Table1[[#This Row],[Is Data Valid]]=TRUE,_xlfn.NORM.S.DIST(Table1[[#This Row],[Birthweight Z-Score (BW+10%)]],TRUE)*100,"")</f>
        <v/>
      </c>
    </row>
    <row r="3601" spans="1:12" x14ac:dyDescent="0.35">
      <c r="A3601" s="3"/>
      <c r="B3601" s="2"/>
      <c r="C3601" s="2"/>
      <c r="D3601" s="2" t="b">
        <f>IF(AND(NOT(ISBLANK(Table1[[#This Row],[Fetal Sex (Male, Female or Unknown)]])),ISNUMBER(Table1[[#This Row],[Birthweight (grams)]]),ISNUMBER(Table1[[#This Row],[Gestation (days)]])),TRUE,FALSE)</f>
        <v>0</v>
      </c>
      <c r="E3601" s="2" t="str">
        <f>IF(Table1[[#This Row],[Is Data Valid]]=TRUE,IF(Table1[[#This Row],[Fetal Sex (Male, Female or Unknown)]]="Male",Backend!$C$6,IF(Table1[[#This Row],[Fetal Sex (Male, Female or Unknown)]]="Female",Backend!$C$7,IF(Table1[[#This Row],[Fetal Sex (Male, Female or Unknown)]]="Unknown",Backend!$C$8,"Error"))),"")</f>
        <v/>
      </c>
      <c r="F3601" s="8" t="str">
        <f>IF(Table1[[#This Row],[Is Data Valid]]=TRUE,EXP(0.578+0.332*((Table1[[#This Row],[Gestation (days)]]+0.5)/7)-0.00354*((Table1[[#This Row],[Gestation (days)]]+0.5)/7)^2)*Table1[[#This Row],[BW40_3705]],"")</f>
        <v/>
      </c>
      <c r="G3601" s="2" t="str">
        <f>IF(Table1[[#This Row],[Is Data Valid]]=TRUE,((Table1[[#This Row],[Birthweight (grams)]]/Table1[[#This Row],[BW_GA]])-1)/(Backend!$B$4/100*Table1[[#This Row],[BW40_3705]]),"")</f>
        <v/>
      </c>
      <c r="H3601" s="7" t="str">
        <f>IF(Table1[[#This Row],[Is Data Valid]]=TRUE,((Table1[[#This Row],[Birthweight (grams)]]*0.9/Table1[[#This Row],[BW_GA]])-1)/(Backend!$B$4/100*Table1[[#This Row],[BW40_3705]]),"")</f>
        <v/>
      </c>
      <c r="I3601" s="7" t="str">
        <f>IF(Table1[[#This Row],[Is Data Valid]]=TRUE,((Table1[[#This Row],[Birthweight (grams)]]*1.1/Table1[[#This Row],[BW_GA]])-1)/(Backend!$B$4/100*Table1[[#This Row],[BW40_3705]]),"")</f>
        <v/>
      </c>
      <c r="J3601" s="7" t="str">
        <f>IF(Table1[[#This Row],[Is Data Valid]]=TRUE,_xlfn.NORM.S.DIST(Table1[[#This Row],[Birthweight Z-Score]],TRUE)*100,"")</f>
        <v/>
      </c>
      <c r="K3601" s="7" t="str">
        <f>IF(Table1[[#This Row],[Is Data Valid]]=TRUE,_xlfn.NORM.S.DIST(Table1[[#This Row],[Birthweight Z-Score (BW-10%)]],TRUE)*100,"")</f>
        <v/>
      </c>
      <c r="L3601" s="7" t="str">
        <f>IF(Table1[[#This Row],[Is Data Valid]]=TRUE,_xlfn.NORM.S.DIST(Table1[[#This Row],[Birthweight Z-Score (BW+10%)]],TRUE)*100,"")</f>
        <v/>
      </c>
    </row>
    <row r="3602" spans="1:12" x14ac:dyDescent="0.35">
      <c r="A3602" s="3"/>
      <c r="B3602" s="2"/>
      <c r="C3602" s="2"/>
      <c r="D3602" s="2" t="b">
        <f>IF(AND(NOT(ISBLANK(Table1[[#This Row],[Fetal Sex (Male, Female or Unknown)]])),ISNUMBER(Table1[[#This Row],[Birthweight (grams)]]),ISNUMBER(Table1[[#This Row],[Gestation (days)]])),TRUE,FALSE)</f>
        <v>0</v>
      </c>
      <c r="E3602" s="2" t="str">
        <f>IF(Table1[[#This Row],[Is Data Valid]]=TRUE,IF(Table1[[#This Row],[Fetal Sex (Male, Female or Unknown)]]="Male",Backend!$C$6,IF(Table1[[#This Row],[Fetal Sex (Male, Female or Unknown)]]="Female",Backend!$C$7,IF(Table1[[#This Row],[Fetal Sex (Male, Female or Unknown)]]="Unknown",Backend!$C$8,"Error"))),"")</f>
        <v/>
      </c>
      <c r="F3602" s="8" t="str">
        <f>IF(Table1[[#This Row],[Is Data Valid]]=TRUE,EXP(0.578+0.332*((Table1[[#This Row],[Gestation (days)]]+0.5)/7)-0.00354*((Table1[[#This Row],[Gestation (days)]]+0.5)/7)^2)*Table1[[#This Row],[BW40_3705]],"")</f>
        <v/>
      </c>
      <c r="G3602" s="2" t="str">
        <f>IF(Table1[[#This Row],[Is Data Valid]]=TRUE,((Table1[[#This Row],[Birthweight (grams)]]/Table1[[#This Row],[BW_GA]])-1)/(Backend!$B$4/100*Table1[[#This Row],[BW40_3705]]),"")</f>
        <v/>
      </c>
      <c r="H3602" s="7" t="str">
        <f>IF(Table1[[#This Row],[Is Data Valid]]=TRUE,((Table1[[#This Row],[Birthweight (grams)]]*0.9/Table1[[#This Row],[BW_GA]])-1)/(Backend!$B$4/100*Table1[[#This Row],[BW40_3705]]),"")</f>
        <v/>
      </c>
      <c r="I3602" s="7" t="str">
        <f>IF(Table1[[#This Row],[Is Data Valid]]=TRUE,((Table1[[#This Row],[Birthweight (grams)]]*1.1/Table1[[#This Row],[BW_GA]])-1)/(Backend!$B$4/100*Table1[[#This Row],[BW40_3705]]),"")</f>
        <v/>
      </c>
      <c r="J3602" s="7" t="str">
        <f>IF(Table1[[#This Row],[Is Data Valid]]=TRUE,_xlfn.NORM.S.DIST(Table1[[#This Row],[Birthweight Z-Score]],TRUE)*100,"")</f>
        <v/>
      </c>
      <c r="K3602" s="7" t="str">
        <f>IF(Table1[[#This Row],[Is Data Valid]]=TRUE,_xlfn.NORM.S.DIST(Table1[[#This Row],[Birthweight Z-Score (BW-10%)]],TRUE)*100,"")</f>
        <v/>
      </c>
      <c r="L3602" s="7" t="str">
        <f>IF(Table1[[#This Row],[Is Data Valid]]=TRUE,_xlfn.NORM.S.DIST(Table1[[#This Row],[Birthweight Z-Score (BW+10%)]],TRUE)*100,"")</f>
        <v/>
      </c>
    </row>
    <row r="3603" spans="1:12" x14ac:dyDescent="0.35">
      <c r="A3603" s="3"/>
      <c r="B3603" s="2"/>
      <c r="C3603" s="2"/>
      <c r="D3603" s="2" t="b">
        <f>IF(AND(NOT(ISBLANK(Table1[[#This Row],[Fetal Sex (Male, Female or Unknown)]])),ISNUMBER(Table1[[#This Row],[Birthweight (grams)]]),ISNUMBER(Table1[[#This Row],[Gestation (days)]])),TRUE,FALSE)</f>
        <v>0</v>
      </c>
      <c r="E3603" s="2" t="str">
        <f>IF(Table1[[#This Row],[Is Data Valid]]=TRUE,IF(Table1[[#This Row],[Fetal Sex (Male, Female or Unknown)]]="Male",Backend!$C$6,IF(Table1[[#This Row],[Fetal Sex (Male, Female or Unknown)]]="Female",Backend!$C$7,IF(Table1[[#This Row],[Fetal Sex (Male, Female or Unknown)]]="Unknown",Backend!$C$8,"Error"))),"")</f>
        <v/>
      </c>
      <c r="F3603" s="8" t="str">
        <f>IF(Table1[[#This Row],[Is Data Valid]]=TRUE,EXP(0.578+0.332*((Table1[[#This Row],[Gestation (days)]]+0.5)/7)-0.00354*((Table1[[#This Row],[Gestation (days)]]+0.5)/7)^2)*Table1[[#This Row],[BW40_3705]],"")</f>
        <v/>
      </c>
      <c r="G3603" s="2" t="str">
        <f>IF(Table1[[#This Row],[Is Data Valid]]=TRUE,((Table1[[#This Row],[Birthweight (grams)]]/Table1[[#This Row],[BW_GA]])-1)/(Backend!$B$4/100*Table1[[#This Row],[BW40_3705]]),"")</f>
        <v/>
      </c>
      <c r="H3603" s="7" t="str">
        <f>IF(Table1[[#This Row],[Is Data Valid]]=TRUE,((Table1[[#This Row],[Birthweight (grams)]]*0.9/Table1[[#This Row],[BW_GA]])-1)/(Backend!$B$4/100*Table1[[#This Row],[BW40_3705]]),"")</f>
        <v/>
      </c>
      <c r="I3603" s="7" t="str">
        <f>IF(Table1[[#This Row],[Is Data Valid]]=TRUE,((Table1[[#This Row],[Birthweight (grams)]]*1.1/Table1[[#This Row],[BW_GA]])-1)/(Backend!$B$4/100*Table1[[#This Row],[BW40_3705]]),"")</f>
        <v/>
      </c>
      <c r="J3603" s="7" t="str">
        <f>IF(Table1[[#This Row],[Is Data Valid]]=TRUE,_xlfn.NORM.S.DIST(Table1[[#This Row],[Birthweight Z-Score]],TRUE)*100,"")</f>
        <v/>
      </c>
      <c r="K3603" s="7" t="str">
        <f>IF(Table1[[#This Row],[Is Data Valid]]=TRUE,_xlfn.NORM.S.DIST(Table1[[#This Row],[Birthweight Z-Score (BW-10%)]],TRUE)*100,"")</f>
        <v/>
      </c>
      <c r="L3603" s="7" t="str">
        <f>IF(Table1[[#This Row],[Is Data Valid]]=TRUE,_xlfn.NORM.S.DIST(Table1[[#This Row],[Birthweight Z-Score (BW+10%)]],TRUE)*100,"")</f>
        <v/>
      </c>
    </row>
    <row r="3604" spans="1:12" x14ac:dyDescent="0.35">
      <c r="A3604" s="3"/>
      <c r="B3604" s="2"/>
      <c r="C3604" s="2"/>
      <c r="D3604" s="2" t="b">
        <f>IF(AND(NOT(ISBLANK(Table1[[#This Row],[Fetal Sex (Male, Female or Unknown)]])),ISNUMBER(Table1[[#This Row],[Birthweight (grams)]]),ISNUMBER(Table1[[#This Row],[Gestation (days)]])),TRUE,FALSE)</f>
        <v>0</v>
      </c>
      <c r="E3604" s="2" t="str">
        <f>IF(Table1[[#This Row],[Is Data Valid]]=TRUE,IF(Table1[[#This Row],[Fetal Sex (Male, Female or Unknown)]]="Male",Backend!$C$6,IF(Table1[[#This Row],[Fetal Sex (Male, Female or Unknown)]]="Female",Backend!$C$7,IF(Table1[[#This Row],[Fetal Sex (Male, Female or Unknown)]]="Unknown",Backend!$C$8,"Error"))),"")</f>
        <v/>
      </c>
      <c r="F3604" s="8" t="str">
        <f>IF(Table1[[#This Row],[Is Data Valid]]=TRUE,EXP(0.578+0.332*((Table1[[#This Row],[Gestation (days)]]+0.5)/7)-0.00354*((Table1[[#This Row],[Gestation (days)]]+0.5)/7)^2)*Table1[[#This Row],[BW40_3705]],"")</f>
        <v/>
      </c>
      <c r="G3604" s="2" t="str">
        <f>IF(Table1[[#This Row],[Is Data Valid]]=TRUE,((Table1[[#This Row],[Birthweight (grams)]]/Table1[[#This Row],[BW_GA]])-1)/(Backend!$B$4/100*Table1[[#This Row],[BW40_3705]]),"")</f>
        <v/>
      </c>
      <c r="H3604" s="7" t="str">
        <f>IF(Table1[[#This Row],[Is Data Valid]]=TRUE,((Table1[[#This Row],[Birthweight (grams)]]*0.9/Table1[[#This Row],[BW_GA]])-1)/(Backend!$B$4/100*Table1[[#This Row],[BW40_3705]]),"")</f>
        <v/>
      </c>
      <c r="I3604" s="7" t="str">
        <f>IF(Table1[[#This Row],[Is Data Valid]]=TRUE,((Table1[[#This Row],[Birthweight (grams)]]*1.1/Table1[[#This Row],[BW_GA]])-1)/(Backend!$B$4/100*Table1[[#This Row],[BW40_3705]]),"")</f>
        <v/>
      </c>
      <c r="J3604" s="7" t="str">
        <f>IF(Table1[[#This Row],[Is Data Valid]]=TRUE,_xlfn.NORM.S.DIST(Table1[[#This Row],[Birthweight Z-Score]],TRUE)*100,"")</f>
        <v/>
      </c>
      <c r="K3604" s="7" t="str">
        <f>IF(Table1[[#This Row],[Is Data Valid]]=TRUE,_xlfn.NORM.S.DIST(Table1[[#This Row],[Birthweight Z-Score (BW-10%)]],TRUE)*100,"")</f>
        <v/>
      </c>
      <c r="L3604" s="7" t="str">
        <f>IF(Table1[[#This Row],[Is Data Valid]]=TRUE,_xlfn.NORM.S.DIST(Table1[[#This Row],[Birthweight Z-Score (BW+10%)]],TRUE)*100,"")</f>
        <v/>
      </c>
    </row>
    <row r="3605" spans="1:12" x14ac:dyDescent="0.35">
      <c r="A3605" s="3"/>
      <c r="B3605" s="2"/>
      <c r="C3605" s="2"/>
      <c r="D3605" s="2" t="b">
        <f>IF(AND(NOT(ISBLANK(Table1[[#This Row],[Fetal Sex (Male, Female or Unknown)]])),ISNUMBER(Table1[[#This Row],[Birthweight (grams)]]),ISNUMBER(Table1[[#This Row],[Gestation (days)]])),TRUE,FALSE)</f>
        <v>0</v>
      </c>
      <c r="E3605" s="2" t="str">
        <f>IF(Table1[[#This Row],[Is Data Valid]]=TRUE,IF(Table1[[#This Row],[Fetal Sex (Male, Female or Unknown)]]="Male",Backend!$C$6,IF(Table1[[#This Row],[Fetal Sex (Male, Female or Unknown)]]="Female",Backend!$C$7,IF(Table1[[#This Row],[Fetal Sex (Male, Female or Unknown)]]="Unknown",Backend!$C$8,"Error"))),"")</f>
        <v/>
      </c>
      <c r="F3605" s="8" t="str">
        <f>IF(Table1[[#This Row],[Is Data Valid]]=TRUE,EXP(0.578+0.332*((Table1[[#This Row],[Gestation (days)]]+0.5)/7)-0.00354*((Table1[[#This Row],[Gestation (days)]]+0.5)/7)^2)*Table1[[#This Row],[BW40_3705]],"")</f>
        <v/>
      </c>
      <c r="G3605" s="2" t="str">
        <f>IF(Table1[[#This Row],[Is Data Valid]]=TRUE,((Table1[[#This Row],[Birthweight (grams)]]/Table1[[#This Row],[BW_GA]])-1)/(Backend!$B$4/100*Table1[[#This Row],[BW40_3705]]),"")</f>
        <v/>
      </c>
      <c r="H3605" s="7" t="str">
        <f>IF(Table1[[#This Row],[Is Data Valid]]=TRUE,((Table1[[#This Row],[Birthweight (grams)]]*0.9/Table1[[#This Row],[BW_GA]])-1)/(Backend!$B$4/100*Table1[[#This Row],[BW40_3705]]),"")</f>
        <v/>
      </c>
      <c r="I3605" s="7" t="str">
        <f>IF(Table1[[#This Row],[Is Data Valid]]=TRUE,((Table1[[#This Row],[Birthweight (grams)]]*1.1/Table1[[#This Row],[BW_GA]])-1)/(Backend!$B$4/100*Table1[[#This Row],[BW40_3705]]),"")</f>
        <v/>
      </c>
      <c r="J3605" s="7" t="str">
        <f>IF(Table1[[#This Row],[Is Data Valid]]=TRUE,_xlfn.NORM.S.DIST(Table1[[#This Row],[Birthweight Z-Score]],TRUE)*100,"")</f>
        <v/>
      </c>
      <c r="K3605" s="7" t="str">
        <f>IF(Table1[[#This Row],[Is Data Valid]]=TRUE,_xlfn.NORM.S.DIST(Table1[[#This Row],[Birthweight Z-Score (BW-10%)]],TRUE)*100,"")</f>
        <v/>
      </c>
      <c r="L3605" s="7" t="str">
        <f>IF(Table1[[#This Row],[Is Data Valid]]=TRUE,_xlfn.NORM.S.DIST(Table1[[#This Row],[Birthweight Z-Score (BW+10%)]],TRUE)*100,"")</f>
        <v/>
      </c>
    </row>
    <row r="3606" spans="1:12" x14ac:dyDescent="0.35">
      <c r="A3606" s="3"/>
      <c r="B3606" s="2"/>
      <c r="C3606" s="2"/>
      <c r="D3606" s="2" t="b">
        <f>IF(AND(NOT(ISBLANK(Table1[[#This Row],[Fetal Sex (Male, Female or Unknown)]])),ISNUMBER(Table1[[#This Row],[Birthweight (grams)]]),ISNUMBER(Table1[[#This Row],[Gestation (days)]])),TRUE,FALSE)</f>
        <v>0</v>
      </c>
      <c r="E3606" s="2" t="str">
        <f>IF(Table1[[#This Row],[Is Data Valid]]=TRUE,IF(Table1[[#This Row],[Fetal Sex (Male, Female or Unknown)]]="Male",Backend!$C$6,IF(Table1[[#This Row],[Fetal Sex (Male, Female or Unknown)]]="Female",Backend!$C$7,IF(Table1[[#This Row],[Fetal Sex (Male, Female or Unknown)]]="Unknown",Backend!$C$8,"Error"))),"")</f>
        <v/>
      </c>
      <c r="F3606" s="8" t="str">
        <f>IF(Table1[[#This Row],[Is Data Valid]]=TRUE,EXP(0.578+0.332*((Table1[[#This Row],[Gestation (days)]]+0.5)/7)-0.00354*((Table1[[#This Row],[Gestation (days)]]+0.5)/7)^2)*Table1[[#This Row],[BW40_3705]],"")</f>
        <v/>
      </c>
      <c r="G3606" s="2" t="str">
        <f>IF(Table1[[#This Row],[Is Data Valid]]=TRUE,((Table1[[#This Row],[Birthweight (grams)]]/Table1[[#This Row],[BW_GA]])-1)/(Backend!$B$4/100*Table1[[#This Row],[BW40_3705]]),"")</f>
        <v/>
      </c>
      <c r="H3606" s="7" t="str">
        <f>IF(Table1[[#This Row],[Is Data Valid]]=TRUE,((Table1[[#This Row],[Birthweight (grams)]]*0.9/Table1[[#This Row],[BW_GA]])-1)/(Backend!$B$4/100*Table1[[#This Row],[BW40_3705]]),"")</f>
        <v/>
      </c>
      <c r="I3606" s="7" t="str">
        <f>IF(Table1[[#This Row],[Is Data Valid]]=TRUE,((Table1[[#This Row],[Birthweight (grams)]]*1.1/Table1[[#This Row],[BW_GA]])-1)/(Backend!$B$4/100*Table1[[#This Row],[BW40_3705]]),"")</f>
        <v/>
      </c>
      <c r="J3606" s="7" t="str">
        <f>IF(Table1[[#This Row],[Is Data Valid]]=TRUE,_xlfn.NORM.S.DIST(Table1[[#This Row],[Birthweight Z-Score]],TRUE)*100,"")</f>
        <v/>
      </c>
      <c r="K3606" s="7" t="str">
        <f>IF(Table1[[#This Row],[Is Data Valid]]=TRUE,_xlfn.NORM.S.DIST(Table1[[#This Row],[Birthweight Z-Score (BW-10%)]],TRUE)*100,"")</f>
        <v/>
      </c>
      <c r="L3606" s="7" t="str">
        <f>IF(Table1[[#This Row],[Is Data Valid]]=TRUE,_xlfn.NORM.S.DIST(Table1[[#This Row],[Birthweight Z-Score (BW+10%)]],TRUE)*100,"")</f>
        <v/>
      </c>
    </row>
    <row r="3607" spans="1:12" x14ac:dyDescent="0.35">
      <c r="A3607" s="3"/>
      <c r="B3607" s="2"/>
      <c r="C3607" s="2"/>
      <c r="D3607" s="2" t="b">
        <f>IF(AND(NOT(ISBLANK(Table1[[#This Row],[Fetal Sex (Male, Female or Unknown)]])),ISNUMBER(Table1[[#This Row],[Birthweight (grams)]]),ISNUMBER(Table1[[#This Row],[Gestation (days)]])),TRUE,FALSE)</f>
        <v>0</v>
      </c>
      <c r="E3607" s="2" t="str">
        <f>IF(Table1[[#This Row],[Is Data Valid]]=TRUE,IF(Table1[[#This Row],[Fetal Sex (Male, Female or Unknown)]]="Male",Backend!$C$6,IF(Table1[[#This Row],[Fetal Sex (Male, Female or Unknown)]]="Female",Backend!$C$7,IF(Table1[[#This Row],[Fetal Sex (Male, Female or Unknown)]]="Unknown",Backend!$C$8,"Error"))),"")</f>
        <v/>
      </c>
      <c r="F3607" s="8" t="str">
        <f>IF(Table1[[#This Row],[Is Data Valid]]=TRUE,EXP(0.578+0.332*((Table1[[#This Row],[Gestation (days)]]+0.5)/7)-0.00354*((Table1[[#This Row],[Gestation (days)]]+0.5)/7)^2)*Table1[[#This Row],[BW40_3705]],"")</f>
        <v/>
      </c>
      <c r="G3607" s="2" t="str">
        <f>IF(Table1[[#This Row],[Is Data Valid]]=TRUE,((Table1[[#This Row],[Birthweight (grams)]]/Table1[[#This Row],[BW_GA]])-1)/(Backend!$B$4/100*Table1[[#This Row],[BW40_3705]]),"")</f>
        <v/>
      </c>
      <c r="H3607" s="7" t="str">
        <f>IF(Table1[[#This Row],[Is Data Valid]]=TRUE,((Table1[[#This Row],[Birthweight (grams)]]*0.9/Table1[[#This Row],[BW_GA]])-1)/(Backend!$B$4/100*Table1[[#This Row],[BW40_3705]]),"")</f>
        <v/>
      </c>
      <c r="I3607" s="7" t="str">
        <f>IF(Table1[[#This Row],[Is Data Valid]]=TRUE,((Table1[[#This Row],[Birthweight (grams)]]*1.1/Table1[[#This Row],[BW_GA]])-1)/(Backend!$B$4/100*Table1[[#This Row],[BW40_3705]]),"")</f>
        <v/>
      </c>
      <c r="J3607" s="7" t="str">
        <f>IF(Table1[[#This Row],[Is Data Valid]]=TRUE,_xlfn.NORM.S.DIST(Table1[[#This Row],[Birthweight Z-Score]],TRUE)*100,"")</f>
        <v/>
      </c>
      <c r="K3607" s="7" t="str">
        <f>IF(Table1[[#This Row],[Is Data Valid]]=TRUE,_xlfn.NORM.S.DIST(Table1[[#This Row],[Birthweight Z-Score (BW-10%)]],TRUE)*100,"")</f>
        <v/>
      </c>
      <c r="L3607" s="7" t="str">
        <f>IF(Table1[[#This Row],[Is Data Valid]]=TRUE,_xlfn.NORM.S.DIST(Table1[[#This Row],[Birthweight Z-Score (BW+10%)]],TRUE)*100,"")</f>
        <v/>
      </c>
    </row>
    <row r="3608" spans="1:12" x14ac:dyDescent="0.35">
      <c r="A3608" s="3"/>
      <c r="B3608" s="2"/>
      <c r="C3608" s="2"/>
      <c r="D3608" s="2" t="b">
        <f>IF(AND(NOT(ISBLANK(Table1[[#This Row],[Fetal Sex (Male, Female or Unknown)]])),ISNUMBER(Table1[[#This Row],[Birthweight (grams)]]),ISNUMBER(Table1[[#This Row],[Gestation (days)]])),TRUE,FALSE)</f>
        <v>0</v>
      </c>
      <c r="E3608" s="2" t="str">
        <f>IF(Table1[[#This Row],[Is Data Valid]]=TRUE,IF(Table1[[#This Row],[Fetal Sex (Male, Female or Unknown)]]="Male",Backend!$C$6,IF(Table1[[#This Row],[Fetal Sex (Male, Female or Unknown)]]="Female",Backend!$C$7,IF(Table1[[#This Row],[Fetal Sex (Male, Female or Unknown)]]="Unknown",Backend!$C$8,"Error"))),"")</f>
        <v/>
      </c>
      <c r="F3608" s="8" t="str">
        <f>IF(Table1[[#This Row],[Is Data Valid]]=TRUE,EXP(0.578+0.332*((Table1[[#This Row],[Gestation (days)]]+0.5)/7)-0.00354*((Table1[[#This Row],[Gestation (days)]]+0.5)/7)^2)*Table1[[#This Row],[BW40_3705]],"")</f>
        <v/>
      </c>
      <c r="G3608" s="2" t="str">
        <f>IF(Table1[[#This Row],[Is Data Valid]]=TRUE,((Table1[[#This Row],[Birthweight (grams)]]/Table1[[#This Row],[BW_GA]])-1)/(Backend!$B$4/100*Table1[[#This Row],[BW40_3705]]),"")</f>
        <v/>
      </c>
      <c r="H3608" s="7" t="str">
        <f>IF(Table1[[#This Row],[Is Data Valid]]=TRUE,((Table1[[#This Row],[Birthweight (grams)]]*0.9/Table1[[#This Row],[BW_GA]])-1)/(Backend!$B$4/100*Table1[[#This Row],[BW40_3705]]),"")</f>
        <v/>
      </c>
      <c r="I3608" s="7" t="str">
        <f>IF(Table1[[#This Row],[Is Data Valid]]=TRUE,((Table1[[#This Row],[Birthweight (grams)]]*1.1/Table1[[#This Row],[BW_GA]])-1)/(Backend!$B$4/100*Table1[[#This Row],[BW40_3705]]),"")</f>
        <v/>
      </c>
      <c r="J3608" s="7" t="str">
        <f>IF(Table1[[#This Row],[Is Data Valid]]=TRUE,_xlfn.NORM.S.DIST(Table1[[#This Row],[Birthweight Z-Score]],TRUE)*100,"")</f>
        <v/>
      </c>
      <c r="K3608" s="7" t="str">
        <f>IF(Table1[[#This Row],[Is Data Valid]]=TRUE,_xlfn.NORM.S.DIST(Table1[[#This Row],[Birthweight Z-Score (BW-10%)]],TRUE)*100,"")</f>
        <v/>
      </c>
      <c r="L3608" s="7" t="str">
        <f>IF(Table1[[#This Row],[Is Data Valid]]=TRUE,_xlfn.NORM.S.DIST(Table1[[#This Row],[Birthweight Z-Score (BW+10%)]],TRUE)*100,"")</f>
        <v/>
      </c>
    </row>
    <row r="3609" spans="1:12" x14ac:dyDescent="0.35">
      <c r="A3609" s="3"/>
      <c r="B3609" s="2"/>
      <c r="C3609" s="2"/>
      <c r="D3609" s="2" t="b">
        <f>IF(AND(NOT(ISBLANK(Table1[[#This Row],[Fetal Sex (Male, Female or Unknown)]])),ISNUMBER(Table1[[#This Row],[Birthweight (grams)]]),ISNUMBER(Table1[[#This Row],[Gestation (days)]])),TRUE,FALSE)</f>
        <v>0</v>
      </c>
      <c r="E3609" s="2" t="str">
        <f>IF(Table1[[#This Row],[Is Data Valid]]=TRUE,IF(Table1[[#This Row],[Fetal Sex (Male, Female or Unknown)]]="Male",Backend!$C$6,IF(Table1[[#This Row],[Fetal Sex (Male, Female or Unknown)]]="Female",Backend!$C$7,IF(Table1[[#This Row],[Fetal Sex (Male, Female or Unknown)]]="Unknown",Backend!$C$8,"Error"))),"")</f>
        <v/>
      </c>
      <c r="F3609" s="8" t="str">
        <f>IF(Table1[[#This Row],[Is Data Valid]]=TRUE,EXP(0.578+0.332*((Table1[[#This Row],[Gestation (days)]]+0.5)/7)-0.00354*((Table1[[#This Row],[Gestation (days)]]+0.5)/7)^2)*Table1[[#This Row],[BW40_3705]],"")</f>
        <v/>
      </c>
      <c r="G3609" s="2" t="str">
        <f>IF(Table1[[#This Row],[Is Data Valid]]=TRUE,((Table1[[#This Row],[Birthweight (grams)]]/Table1[[#This Row],[BW_GA]])-1)/(Backend!$B$4/100*Table1[[#This Row],[BW40_3705]]),"")</f>
        <v/>
      </c>
      <c r="H3609" s="7" t="str">
        <f>IF(Table1[[#This Row],[Is Data Valid]]=TRUE,((Table1[[#This Row],[Birthweight (grams)]]*0.9/Table1[[#This Row],[BW_GA]])-1)/(Backend!$B$4/100*Table1[[#This Row],[BW40_3705]]),"")</f>
        <v/>
      </c>
      <c r="I3609" s="7" t="str">
        <f>IF(Table1[[#This Row],[Is Data Valid]]=TRUE,((Table1[[#This Row],[Birthweight (grams)]]*1.1/Table1[[#This Row],[BW_GA]])-1)/(Backend!$B$4/100*Table1[[#This Row],[BW40_3705]]),"")</f>
        <v/>
      </c>
      <c r="J3609" s="7" t="str">
        <f>IF(Table1[[#This Row],[Is Data Valid]]=TRUE,_xlfn.NORM.S.DIST(Table1[[#This Row],[Birthweight Z-Score]],TRUE)*100,"")</f>
        <v/>
      </c>
      <c r="K3609" s="7" t="str">
        <f>IF(Table1[[#This Row],[Is Data Valid]]=TRUE,_xlfn.NORM.S.DIST(Table1[[#This Row],[Birthweight Z-Score (BW-10%)]],TRUE)*100,"")</f>
        <v/>
      </c>
      <c r="L3609" s="7" t="str">
        <f>IF(Table1[[#This Row],[Is Data Valid]]=TRUE,_xlfn.NORM.S.DIST(Table1[[#This Row],[Birthweight Z-Score (BW+10%)]],TRUE)*100,"")</f>
        <v/>
      </c>
    </row>
    <row r="3610" spans="1:12" x14ac:dyDescent="0.35">
      <c r="A3610" s="3"/>
      <c r="B3610" s="2"/>
      <c r="C3610" s="2"/>
      <c r="D3610" s="2" t="b">
        <f>IF(AND(NOT(ISBLANK(Table1[[#This Row],[Fetal Sex (Male, Female or Unknown)]])),ISNUMBER(Table1[[#This Row],[Birthweight (grams)]]),ISNUMBER(Table1[[#This Row],[Gestation (days)]])),TRUE,FALSE)</f>
        <v>0</v>
      </c>
      <c r="E3610" s="2" t="str">
        <f>IF(Table1[[#This Row],[Is Data Valid]]=TRUE,IF(Table1[[#This Row],[Fetal Sex (Male, Female or Unknown)]]="Male",Backend!$C$6,IF(Table1[[#This Row],[Fetal Sex (Male, Female or Unknown)]]="Female",Backend!$C$7,IF(Table1[[#This Row],[Fetal Sex (Male, Female or Unknown)]]="Unknown",Backend!$C$8,"Error"))),"")</f>
        <v/>
      </c>
      <c r="F3610" s="8" t="str">
        <f>IF(Table1[[#This Row],[Is Data Valid]]=TRUE,EXP(0.578+0.332*((Table1[[#This Row],[Gestation (days)]]+0.5)/7)-0.00354*((Table1[[#This Row],[Gestation (days)]]+0.5)/7)^2)*Table1[[#This Row],[BW40_3705]],"")</f>
        <v/>
      </c>
      <c r="G3610" s="2" t="str">
        <f>IF(Table1[[#This Row],[Is Data Valid]]=TRUE,((Table1[[#This Row],[Birthweight (grams)]]/Table1[[#This Row],[BW_GA]])-1)/(Backend!$B$4/100*Table1[[#This Row],[BW40_3705]]),"")</f>
        <v/>
      </c>
      <c r="H3610" s="7" t="str">
        <f>IF(Table1[[#This Row],[Is Data Valid]]=TRUE,((Table1[[#This Row],[Birthweight (grams)]]*0.9/Table1[[#This Row],[BW_GA]])-1)/(Backend!$B$4/100*Table1[[#This Row],[BW40_3705]]),"")</f>
        <v/>
      </c>
      <c r="I3610" s="7" t="str">
        <f>IF(Table1[[#This Row],[Is Data Valid]]=TRUE,((Table1[[#This Row],[Birthweight (grams)]]*1.1/Table1[[#This Row],[BW_GA]])-1)/(Backend!$B$4/100*Table1[[#This Row],[BW40_3705]]),"")</f>
        <v/>
      </c>
      <c r="J3610" s="7" t="str">
        <f>IF(Table1[[#This Row],[Is Data Valid]]=TRUE,_xlfn.NORM.S.DIST(Table1[[#This Row],[Birthweight Z-Score]],TRUE)*100,"")</f>
        <v/>
      </c>
      <c r="K3610" s="7" t="str">
        <f>IF(Table1[[#This Row],[Is Data Valid]]=TRUE,_xlfn.NORM.S.DIST(Table1[[#This Row],[Birthweight Z-Score (BW-10%)]],TRUE)*100,"")</f>
        <v/>
      </c>
      <c r="L3610" s="7" t="str">
        <f>IF(Table1[[#This Row],[Is Data Valid]]=TRUE,_xlfn.NORM.S.DIST(Table1[[#This Row],[Birthweight Z-Score (BW+10%)]],TRUE)*100,"")</f>
        <v/>
      </c>
    </row>
    <row r="3611" spans="1:12" x14ac:dyDescent="0.35">
      <c r="A3611" s="3"/>
      <c r="B3611" s="2"/>
      <c r="C3611" s="2"/>
      <c r="D3611" s="2" t="b">
        <f>IF(AND(NOT(ISBLANK(Table1[[#This Row],[Fetal Sex (Male, Female or Unknown)]])),ISNUMBER(Table1[[#This Row],[Birthweight (grams)]]),ISNUMBER(Table1[[#This Row],[Gestation (days)]])),TRUE,FALSE)</f>
        <v>0</v>
      </c>
      <c r="E3611" s="2" t="str">
        <f>IF(Table1[[#This Row],[Is Data Valid]]=TRUE,IF(Table1[[#This Row],[Fetal Sex (Male, Female or Unknown)]]="Male",Backend!$C$6,IF(Table1[[#This Row],[Fetal Sex (Male, Female or Unknown)]]="Female",Backend!$C$7,IF(Table1[[#This Row],[Fetal Sex (Male, Female or Unknown)]]="Unknown",Backend!$C$8,"Error"))),"")</f>
        <v/>
      </c>
      <c r="F3611" s="8" t="str">
        <f>IF(Table1[[#This Row],[Is Data Valid]]=TRUE,EXP(0.578+0.332*((Table1[[#This Row],[Gestation (days)]]+0.5)/7)-0.00354*((Table1[[#This Row],[Gestation (days)]]+0.5)/7)^2)*Table1[[#This Row],[BW40_3705]],"")</f>
        <v/>
      </c>
      <c r="G3611" s="2" t="str">
        <f>IF(Table1[[#This Row],[Is Data Valid]]=TRUE,((Table1[[#This Row],[Birthweight (grams)]]/Table1[[#This Row],[BW_GA]])-1)/(Backend!$B$4/100*Table1[[#This Row],[BW40_3705]]),"")</f>
        <v/>
      </c>
      <c r="H3611" s="7" t="str">
        <f>IF(Table1[[#This Row],[Is Data Valid]]=TRUE,((Table1[[#This Row],[Birthweight (grams)]]*0.9/Table1[[#This Row],[BW_GA]])-1)/(Backend!$B$4/100*Table1[[#This Row],[BW40_3705]]),"")</f>
        <v/>
      </c>
      <c r="I3611" s="7" t="str">
        <f>IF(Table1[[#This Row],[Is Data Valid]]=TRUE,((Table1[[#This Row],[Birthweight (grams)]]*1.1/Table1[[#This Row],[BW_GA]])-1)/(Backend!$B$4/100*Table1[[#This Row],[BW40_3705]]),"")</f>
        <v/>
      </c>
      <c r="J3611" s="7" t="str">
        <f>IF(Table1[[#This Row],[Is Data Valid]]=TRUE,_xlfn.NORM.S.DIST(Table1[[#This Row],[Birthweight Z-Score]],TRUE)*100,"")</f>
        <v/>
      </c>
      <c r="K3611" s="7" t="str">
        <f>IF(Table1[[#This Row],[Is Data Valid]]=TRUE,_xlfn.NORM.S.DIST(Table1[[#This Row],[Birthweight Z-Score (BW-10%)]],TRUE)*100,"")</f>
        <v/>
      </c>
      <c r="L3611" s="7" t="str">
        <f>IF(Table1[[#This Row],[Is Data Valid]]=TRUE,_xlfn.NORM.S.DIST(Table1[[#This Row],[Birthweight Z-Score (BW+10%)]],TRUE)*100,"")</f>
        <v/>
      </c>
    </row>
    <row r="3612" spans="1:12" x14ac:dyDescent="0.35">
      <c r="A3612" s="3"/>
      <c r="B3612" s="2"/>
      <c r="C3612" s="2"/>
      <c r="D3612" s="2" t="b">
        <f>IF(AND(NOT(ISBLANK(Table1[[#This Row],[Fetal Sex (Male, Female or Unknown)]])),ISNUMBER(Table1[[#This Row],[Birthweight (grams)]]),ISNUMBER(Table1[[#This Row],[Gestation (days)]])),TRUE,FALSE)</f>
        <v>0</v>
      </c>
      <c r="E3612" s="2" t="str">
        <f>IF(Table1[[#This Row],[Is Data Valid]]=TRUE,IF(Table1[[#This Row],[Fetal Sex (Male, Female or Unknown)]]="Male",Backend!$C$6,IF(Table1[[#This Row],[Fetal Sex (Male, Female or Unknown)]]="Female",Backend!$C$7,IF(Table1[[#This Row],[Fetal Sex (Male, Female or Unknown)]]="Unknown",Backend!$C$8,"Error"))),"")</f>
        <v/>
      </c>
      <c r="F3612" s="8" t="str">
        <f>IF(Table1[[#This Row],[Is Data Valid]]=TRUE,EXP(0.578+0.332*((Table1[[#This Row],[Gestation (days)]]+0.5)/7)-0.00354*((Table1[[#This Row],[Gestation (days)]]+0.5)/7)^2)*Table1[[#This Row],[BW40_3705]],"")</f>
        <v/>
      </c>
      <c r="G3612" s="2" t="str">
        <f>IF(Table1[[#This Row],[Is Data Valid]]=TRUE,((Table1[[#This Row],[Birthweight (grams)]]/Table1[[#This Row],[BW_GA]])-1)/(Backend!$B$4/100*Table1[[#This Row],[BW40_3705]]),"")</f>
        <v/>
      </c>
      <c r="H3612" s="7" t="str">
        <f>IF(Table1[[#This Row],[Is Data Valid]]=TRUE,((Table1[[#This Row],[Birthweight (grams)]]*0.9/Table1[[#This Row],[BW_GA]])-1)/(Backend!$B$4/100*Table1[[#This Row],[BW40_3705]]),"")</f>
        <v/>
      </c>
      <c r="I3612" s="7" t="str">
        <f>IF(Table1[[#This Row],[Is Data Valid]]=TRUE,((Table1[[#This Row],[Birthweight (grams)]]*1.1/Table1[[#This Row],[BW_GA]])-1)/(Backend!$B$4/100*Table1[[#This Row],[BW40_3705]]),"")</f>
        <v/>
      </c>
      <c r="J3612" s="7" t="str">
        <f>IF(Table1[[#This Row],[Is Data Valid]]=TRUE,_xlfn.NORM.S.DIST(Table1[[#This Row],[Birthweight Z-Score]],TRUE)*100,"")</f>
        <v/>
      </c>
      <c r="K3612" s="7" t="str">
        <f>IF(Table1[[#This Row],[Is Data Valid]]=TRUE,_xlfn.NORM.S.DIST(Table1[[#This Row],[Birthweight Z-Score (BW-10%)]],TRUE)*100,"")</f>
        <v/>
      </c>
      <c r="L3612" s="7" t="str">
        <f>IF(Table1[[#This Row],[Is Data Valid]]=TRUE,_xlfn.NORM.S.DIST(Table1[[#This Row],[Birthweight Z-Score (BW+10%)]],TRUE)*100,"")</f>
        <v/>
      </c>
    </row>
    <row r="3613" spans="1:12" x14ac:dyDescent="0.35">
      <c r="A3613" s="3"/>
      <c r="B3613" s="2"/>
      <c r="C3613" s="2"/>
      <c r="D3613" s="2" t="b">
        <f>IF(AND(NOT(ISBLANK(Table1[[#This Row],[Fetal Sex (Male, Female or Unknown)]])),ISNUMBER(Table1[[#This Row],[Birthweight (grams)]]),ISNUMBER(Table1[[#This Row],[Gestation (days)]])),TRUE,FALSE)</f>
        <v>0</v>
      </c>
      <c r="E3613" s="2" t="str">
        <f>IF(Table1[[#This Row],[Is Data Valid]]=TRUE,IF(Table1[[#This Row],[Fetal Sex (Male, Female or Unknown)]]="Male",Backend!$C$6,IF(Table1[[#This Row],[Fetal Sex (Male, Female or Unknown)]]="Female",Backend!$C$7,IF(Table1[[#This Row],[Fetal Sex (Male, Female or Unknown)]]="Unknown",Backend!$C$8,"Error"))),"")</f>
        <v/>
      </c>
      <c r="F3613" s="8" t="str">
        <f>IF(Table1[[#This Row],[Is Data Valid]]=TRUE,EXP(0.578+0.332*((Table1[[#This Row],[Gestation (days)]]+0.5)/7)-0.00354*((Table1[[#This Row],[Gestation (days)]]+0.5)/7)^2)*Table1[[#This Row],[BW40_3705]],"")</f>
        <v/>
      </c>
      <c r="G3613" s="2" t="str">
        <f>IF(Table1[[#This Row],[Is Data Valid]]=TRUE,((Table1[[#This Row],[Birthweight (grams)]]/Table1[[#This Row],[BW_GA]])-1)/(Backend!$B$4/100*Table1[[#This Row],[BW40_3705]]),"")</f>
        <v/>
      </c>
      <c r="H3613" s="7" t="str">
        <f>IF(Table1[[#This Row],[Is Data Valid]]=TRUE,((Table1[[#This Row],[Birthweight (grams)]]*0.9/Table1[[#This Row],[BW_GA]])-1)/(Backend!$B$4/100*Table1[[#This Row],[BW40_3705]]),"")</f>
        <v/>
      </c>
      <c r="I3613" s="7" t="str">
        <f>IF(Table1[[#This Row],[Is Data Valid]]=TRUE,((Table1[[#This Row],[Birthweight (grams)]]*1.1/Table1[[#This Row],[BW_GA]])-1)/(Backend!$B$4/100*Table1[[#This Row],[BW40_3705]]),"")</f>
        <v/>
      </c>
      <c r="J3613" s="7" t="str">
        <f>IF(Table1[[#This Row],[Is Data Valid]]=TRUE,_xlfn.NORM.S.DIST(Table1[[#This Row],[Birthweight Z-Score]],TRUE)*100,"")</f>
        <v/>
      </c>
      <c r="K3613" s="7" t="str">
        <f>IF(Table1[[#This Row],[Is Data Valid]]=TRUE,_xlfn.NORM.S.DIST(Table1[[#This Row],[Birthweight Z-Score (BW-10%)]],TRUE)*100,"")</f>
        <v/>
      </c>
      <c r="L3613" s="7" t="str">
        <f>IF(Table1[[#This Row],[Is Data Valid]]=TRUE,_xlfn.NORM.S.DIST(Table1[[#This Row],[Birthweight Z-Score (BW+10%)]],TRUE)*100,"")</f>
        <v/>
      </c>
    </row>
    <row r="3614" spans="1:12" x14ac:dyDescent="0.35">
      <c r="A3614" s="3"/>
      <c r="B3614" s="2"/>
      <c r="C3614" s="2"/>
      <c r="D3614" s="2" t="b">
        <f>IF(AND(NOT(ISBLANK(Table1[[#This Row],[Fetal Sex (Male, Female or Unknown)]])),ISNUMBER(Table1[[#This Row],[Birthweight (grams)]]),ISNUMBER(Table1[[#This Row],[Gestation (days)]])),TRUE,FALSE)</f>
        <v>0</v>
      </c>
      <c r="E3614" s="2" t="str">
        <f>IF(Table1[[#This Row],[Is Data Valid]]=TRUE,IF(Table1[[#This Row],[Fetal Sex (Male, Female or Unknown)]]="Male",Backend!$C$6,IF(Table1[[#This Row],[Fetal Sex (Male, Female or Unknown)]]="Female",Backend!$C$7,IF(Table1[[#This Row],[Fetal Sex (Male, Female or Unknown)]]="Unknown",Backend!$C$8,"Error"))),"")</f>
        <v/>
      </c>
      <c r="F3614" s="8" t="str">
        <f>IF(Table1[[#This Row],[Is Data Valid]]=TRUE,EXP(0.578+0.332*((Table1[[#This Row],[Gestation (days)]]+0.5)/7)-0.00354*((Table1[[#This Row],[Gestation (days)]]+0.5)/7)^2)*Table1[[#This Row],[BW40_3705]],"")</f>
        <v/>
      </c>
      <c r="G3614" s="2" t="str">
        <f>IF(Table1[[#This Row],[Is Data Valid]]=TRUE,((Table1[[#This Row],[Birthweight (grams)]]/Table1[[#This Row],[BW_GA]])-1)/(Backend!$B$4/100*Table1[[#This Row],[BW40_3705]]),"")</f>
        <v/>
      </c>
      <c r="H3614" s="7" t="str">
        <f>IF(Table1[[#This Row],[Is Data Valid]]=TRUE,((Table1[[#This Row],[Birthweight (grams)]]*0.9/Table1[[#This Row],[BW_GA]])-1)/(Backend!$B$4/100*Table1[[#This Row],[BW40_3705]]),"")</f>
        <v/>
      </c>
      <c r="I3614" s="7" t="str">
        <f>IF(Table1[[#This Row],[Is Data Valid]]=TRUE,((Table1[[#This Row],[Birthweight (grams)]]*1.1/Table1[[#This Row],[BW_GA]])-1)/(Backend!$B$4/100*Table1[[#This Row],[BW40_3705]]),"")</f>
        <v/>
      </c>
      <c r="J3614" s="7" t="str">
        <f>IF(Table1[[#This Row],[Is Data Valid]]=TRUE,_xlfn.NORM.S.DIST(Table1[[#This Row],[Birthweight Z-Score]],TRUE)*100,"")</f>
        <v/>
      </c>
      <c r="K3614" s="7" t="str">
        <f>IF(Table1[[#This Row],[Is Data Valid]]=TRUE,_xlfn.NORM.S.DIST(Table1[[#This Row],[Birthweight Z-Score (BW-10%)]],TRUE)*100,"")</f>
        <v/>
      </c>
      <c r="L3614" s="7" t="str">
        <f>IF(Table1[[#This Row],[Is Data Valid]]=TRUE,_xlfn.NORM.S.DIST(Table1[[#This Row],[Birthweight Z-Score (BW+10%)]],TRUE)*100,"")</f>
        <v/>
      </c>
    </row>
    <row r="3615" spans="1:12" x14ac:dyDescent="0.35">
      <c r="A3615" s="3"/>
      <c r="B3615" s="2"/>
      <c r="C3615" s="2"/>
      <c r="D3615" s="2" t="b">
        <f>IF(AND(NOT(ISBLANK(Table1[[#This Row],[Fetal Sex (Male, Female or Unknown)]])),ISNUMBER(Table1[[#This Row],[Birthweight (grams)]]),ISNUMBER(Table1[[#This Row],[Gestation (days)]])),TRUE,FALSE)</f>
        <v>0</v>
      </c>
      <c r="E3615" s="2" t="str">
        <f>IF(Table1[[#This Row],[Is Data Valid]]=TRUE,IF(Table1[[#This Row],[Fetal Sex (Male, Female or Unknown)]]="Male",Backend!$C$6,IF(Table1[[#This Row],[Fetal Sex (Male, Female or Unknown)]]="Female",Backend!$C$7,IF(Table1[[#This Row],[Fetal Sex (Male, Female or Unknown)]]="Unknown",Backend!$C$8,"Error"))),"")</f>
        <v/>
      </c>
      <c r="F3615" s="8" t="str">
        <f>IF(Table1[[#This Row],[Is Data Valid]]=TRUE,EXP(0.578+0.332*((Table1[[#This Row],[Gestation (days)]]+0.5)/7)-0.00354*((Table1[[#This Row],[Gestation (days)]]+0.5)/7)^2)*Table1[[#This Row],[BW40_3705]],"")</f>
        <v/>
      </c>
      <c r="G3615" s="2" t="str">
        <f>IF(Table1[[#This Row],[Is Data Valid]]=TRUE,((Table1[[#This Row],[Birthweight (grams)]]/Table1[[#This Row],[BW_GA]])-1)/(Backend!$B$4/100*Table1[[#This Row],[BW40_3705]]),"")</f>
        <v/>
      </c>
      <c r="H3615" s="7" t="str">
        <f>IF(Table1[[#This Row],[Is Data Valid]]=TRUE,((Table1[[#This Row],[Birthweight (grams)]]*0.9/Table1[[#This Row],[BW_GA]])-1)/(Backend!$B$4/100*Table1[[#This Row],[BW40_3705]]),"")</f>
        <v/>
      </c>
      <c r="I3615" s="7" t="str">
        <f>IF(Table1[[#This Row],[Is Data Valid]]=TRUE,((Table1[[#This Row],[Birthweight (grams)]]*1.1/Table1[[#This Row],[BW_GA]])-1)/(Backend!$B$4/100*Table1[[#This Row],[BW40_3705]]),"")</f>
        <v/>
      </c>
      <c r="J3615" s="7" t="str">
        <f>IF(Table1[[#This Row],[Is Data Valid]]=TRUE,_xlfn.NORM.S.DIST(Table1[[#This Row],[Birthweight Z-Score]],TRUE)*100,"")</f>
        <v/>
      </c>
      <c r="K3615" s="7" t="str">
        <f>IF(Table1[[#This Row],[Is Data Valid]]=TRUE,_xlfn.NORM.S.DIST(Table1[[#This Row],[Birthweight Z-Score (BW-10%)]],TRUE)*100,"")</f>
        <v/>
      </c>
      <c r="L3615" s="7" t="str">
        <f>IF(Table1[[#This Row],[Is Data Valid]]=TRUE,_xlfn.NORM.S.DIST(Table1[[#This Row],[Birthweight Z-Score (BW+10%)]],TRUE)*100,"")</f>
        <v/>
      </c>
    </row>
    <row r="3616" spans="1:12" x14ac:dyDescent="0.35">
      <c r="A3616" s="3"/>
      <c r="B3616" s="2"/>
      <c r="C3616" s="2"/>
      <c r="D3616" s="2" t="b">
        <f>IF(AND(NOT(ISBLANK(Table1[[#This Row],[Fetal Sex (Male, Female or Unknown)]])),ISNUMBER(Table1[[#This Row],[Birthweight (grams)]]),ISNUMBER(Table1[[#This Row],[Gestation (days)]])),TRUE,FALSE)</f>
        <v>0</v>
      </c>
      <c r="E3616" s="2" t="str">
        <f>IF(Table1[[#This Row],[Is Data Valid]]=TRUE,IF(Table1[[#This Row],[Fetal Sex (Male, Female or Unknown)]]="Male",Backend!$C$6,IF(Table1[[#This Row],[Fetal Sex (Male, Female or Unknown)]]="Female",Backend!$C$7,IF(Table1[[#This Row],[Fetal Sex (Male, Female or Unknown)]]="Unknown",Backend!$C$8,"Error"))),"")</f>
        <v/>
      </c>
      <c r="F3616" s="8" t="str">
        <f>IF(Table1[[#This Row],[Is Data Valid]]=TRUE,EXP(0.578+0.332*((Table1[[#This Row],[Gestation (days)]]+0.5)/7)-0.00354*((Table1[[#This Row],[Gestation (days)]]+0.5)/7)^2)*Table1[[#This Row],[BW40_3705]],"")</f>
        <v/>
      </c>
      <c r="G3616" s="2" t="str">
        <f>IF(Table1[[#This Row],[Is Data Valid]]=TRUE,((Table1[[#This Row],[Birthweight (grams)]]/Table1[[#This Row],[BW_GA]])-1)/(Backend!$B$4/100*Table1[[#This Row],[BW40_3705]]),"")</f>
        <v/>
      </c>
      <c r="H3616" s="7" t="str">
        <f>IF(Table1[[#This Row],[Is Data Valid]]=TRUE,((Table1[[#This Row],[Birthweight (grams)]]*0.9/Table1[[#This Row],[BW_GA]])-1)/(Backend!$B$4/100*Table1[[#This Row],[BW40_3705]]),"")</f>
        <v/>
      </c>
      <c r="I3616" s="7" t="str">
        <f>IF(Table1[[#This Row],[Is Data Valid]]=TRUE,((Table1[[#This Row],[Birthweight (grams)]]*1.1/Table1[[#This Row],[BW_GA]])-1)/(Backend!$B$4/100*Table1[[#This Row],[BW40_3705]]),"")</f>
        <v/>
      </c>
      <c r="J3616" s="7" t="str">
        <f>IF(Table1[[#This Row],[Is Data Valid]]=TRUE,_xlfn.NORM.S.DIST(Table1[[#This Row],[Birthweight Z-Score]],TRUE)*100,"")</f>
        <v/>
      </c>
      <c r="K3616" s="7" t="str">
        <f>IF(Table1[[#This Row],[Is Data Valid]]=TRUE,_xlfn.NORM.S.DIST(Table1[[#This Row],[Birthweight Z-Score (BW-10%)]],TRUE)*100,"")</f>
        <v/>
      </c>
      <c r="L3616" s="7" t="str">
        <f>IF(Table1[[#This Row],[Is Data Valid]]=TRUE,_xlfn.NORM.S.DIST(Table1[[#This Row],[Birthweight Z-Score (BW+10%)]],TRUE)*100,"")</f>
        <v/>
      </c>
    </row>
    <row r="3617" spans="1:12" x14ac:dyDescent="0.35">
      <c r="A3617" s="3"/>
      <c r="B3617" s="2"/>
      <c r="C3617" s="2"/>
      <c r="D3617" s="2" t="b">
        <f>IF(AND(NOT(ISBLANK(Table1[[#This Row],[Fetal Sex (Male, Female or Unknown)]])),ISNUMBER(Table1[[#This Row],[Birthweight (grams)]]),ISNUMBER(Table1[[#This Row],[Gestation (days)]])),TRUE,FALSE)</f>
        <v>0</v>
      </c>
      <c r="E3617" s="2" t="str">
        <f>IF(Table1[[#This Row],[Is Data Valid]]=TRUE,IF(Table1[[#This Row],[Fetal Sex (Male, Female or Unknown)]]="Male",Backend!$C$6,IF(Table1[[#This Row],[Fetal Sex (Male, Female or Unknown)]]="Female",Backend!$C$7,IF(Table1[[#This Row],[Fetal Sex (Male, Female or Unknown)]]="Unknown",Backend!$C$8,"Error"))),"")</f>
        <v/>
      </c>
      <c r="F3617" s="8" t="str">
        <f>IF(Table1[[#This Row],[Is Data Valid]]=TRUE,EXP(0.578+0.332*((Table1[[#This Row],[Gestation (days)]]+0.5)/7)-0.00354*((Table1[[#This Row],[Gestation (days)]]+0.5)/7)^2)*Table1[[#This Row],[BW40_3705]],"")</f>
        <v/>
      </c>
      <c r="G3617" s="2" t="str">
        <f>IF(Table1[[#This Row],[Is Data Valid]]=TRUE,((Table1[[#This Row],[Birthweight (grams)]]/Table1[[#This Row],[BW_GA]])-1)/(Backend!$B$4/100*Table1[[#This Row],[BW40_3705]]),"")</f>
        <v/>
      </c>
      <c r="H3617" s="7" t="str">
        <f>IF(Table1[[#This Row],[Is Data Valid]]=TRUE,((Table1[[#This Row],[Birthweight (grams)]]*0.9/Table1[[#This Row],[BW_GA]])-1)/(Backend!$B$4/100*Table1[[#This Row],[BW40_3705]]),"")</f>
        <v/>
      </c>
      <c r="I3617" s="7" t="str">
        <f>IF(Table1[[#This Row],[Is Data Valid]]=TRUE,((Table1[[#This Row],[Birthweight (grams)]]*1.1/Table1[[#This Row],[BW_GA]])-1)/(Backend!$B$4/100*Table1[[#This Row],[BW40_3705]]),"")</f>
        <v/>
      </c>
      <c r="J3617" s="7" t="str">
        <f>IF(Table1[[#This Row],[Is Data Valid]]=TRUE,_xlfn.NORM.S.DIST(Table1[[#This Row],[Birthweight Z-Score]],TRUE)*100,"")</f>
        <v/>
      </c>
      <c r="K3617" s="7" t="str">
        <f>IF(Table1[[#This Row],[Is Data Valid]]=TRUE,_xlfn.NORM.S.DIST(Table1[[#This Row],[Birthweight Z-Score (BW-10%)]],TRUE)*100,"")</f>
        <v/>
      </c>
      <c r="L3617" s="7" t="str">
        <f>IF(Table1[[#This Row],[Is Data Valid]]=TRUE,_xlfn.NORM.S.DIST(Table1[[#This Row],[Birthweight Z-Score (BW+10%)]],TRUE)*100,"")</f>
        <v/>
      </c>
    </row>
    <row r="3618" spans="1:12" x14ac:dyDescent="0.35">
      <c r="A3618" s="3"/>
      <c r="B3618" s="2"/>
      <c r="C3618" s="2"/>
      <c r="D3618" s="2" t="b">
        <f>IF(AND(NOT(ISBLANK(Table1[[#This Row],[Fetal Sex (Male, Female or Unknown)]])),ISNUMBER(Table1[[#This Row],[Birthweight (grams)]]),ISNUMBER(Table1[[#This Row],[Gestation (days)]])),TRUE,FALSE)</f>
        <v>0</v>
      </c>
      <c r="E3618" s="2" t="str">
        <f>IF(Table1[[#This Row],[Is Data Valid]]=TRUE,IF(Table1[[#This Row],[Fetal Sex (Male, Female or Unknown)]]="Male",Backend!$C$6,IF(Table1[[#This Row],[Fetal Sex (Male, Female or Unknown)]]="Female",Backend!$C$7,IF(Table1[[#This Row],[Fetal Sex (Male, Female or Unknown)]]="Unknown",Backend!$C$8,"Error"))),"")</f>
        <v/>
      </c>
      <c r="F3618" s="8" t="str">
        <f>IF(Table1[[#This Row],[Is Data Valid]]=TRUE,EXP(0.578+0.332*((Table1[[#This Row],[Gestation (days)]]+0.5)/7)-0.00354*((Table1[[#This Row],[Gestation (days)]]+0.5)/7)^2)*Table1[[#This Row],[BW40_3705]],"")</f>
        <v/>
      </c>
      <c r="G3618" s="2" t="str">
        <f>IF(Table1[[#This Row],[Is Data Valid]]=TRUE,((Table1[[#This Row],[Birthweight (grams)]]/Table1[[#This Row],[BW_GA]])-1)/(Backend!$B$4/100*Table1[[#This Row],[BW40_3705]]),"")</f>
        <v/>
      </c>
      <c r="H3618" s="7" t="str">
        <f>IF(Table1[[#This Row],[Is Data Valid]]=TRUE,((Table1[[#This Row],[Birthweight (grams)]]*0.9/Table1[[#This Row],[BW_GA]])-1)/(Backend!$B$4/100*Table1[[#This Row],[BW40_3705]]),"")</f>
        <v/>
      </c>
      <c r="I3618" s="7" t="str">
        <f>IF(Table1[[#This Row],[Is Data Valid]]=TRUE,((Table1[[#This Row],[Birthweight (grams)]]*1.1/Table1[[#This Row],[BW_GA]])-1)/(Backend!$B$4/100*Table1[[#This Row],[BW40_3705]]),"")</f>
        <v/>
      </c>
      <c r="J3618" s="7" t="str">
        <f>IF(Table1[[#This Row],[Is Data Valid]]=TRUE,_xlfn.NORM.S.DIST(Table1[[#This Row],[Birthweight Z-Score]],TRUE)*100,"")</f>
        <v/>
      </c>
      <c r="K3618" s="7" t="str">
        <f>IF(Table1[[#This Row],[Is Data Valid]]=TRUE,_xlfn.NORM.S.DIST(Table1[[#This Row],[Birthweight Z-Score (BW-10%)]],TRUE)*100,"")</f>
        <v/>
      </c>
      <c r="L3618" s="7" t="str">
        <f>IF(Table1[[#This Row],[Is Data Valid]]=TRUE,_xlfn.NORM.S.DIST(Table1[[#This Row],[Birthweight Z-Score (BW+10%)]],TRUE)*100,"")</f>
        <v/>
      </c>
    </row>
    <row r="3619" spans="1:12" x14ac:dyDescent="0.35">
      <c r="A3619" s="3"/>
      <c r="B3619" s="2"/>
      <c r="C3619" s="2"/>
      <c r="D3619" s="2" t="b">
        <f>IF(AND(NOT(ISBLANK(Table1[[#This Row],[Fetal Sex (Male, Female or Unknown)]])),ISNUMBER(Table1[[#This Row],[Birthweight (grams)]]),ISNUMBER(Table1[[#This Row],[Gestation (days)]])),TRUE,FALSE)</f>
        <v>0</v>
      </c>
      <c r="E3619" s="2" t="str">
        <f>IF(Table1[[#This Row],[Is Data Valid]]=TRUE,IF(Table1[[#This Row],[Fetal Sex (Male, Female or Unknown)]]="Male",Backend!$C$6,IF(Table1[[#This Row],[Fetal Sex (Male, Female or Unknown)]]="Female",Backend!$C$7,IF(Table1[[#This Row],[Fetal Sex (Male, Female or Unknown)]]="Unknown",Backend!$C$8,"Error"))),"")</f>
        <v/>
      </c>
      <c r="F3619" s="8" t="str">
        <f>IF(Table1[[#This Row],[Is Data Valid]]=TRUE,EXP(0.578+0.332*((Table1[[#This Row],[Gestation (days)]]+0.5)/7)-0.00354*((Table1[[#This Row],[Gestation (days)]]+0.5)/7)^2)*Table1[[#This Row],[BW40_3705]],"")</f>
        <v/>
      </c>
      <c r="G3619" s="2" t="str">
        <f>IF(Table1[[#This Row],[Is Data Valid]]=TRUE,((Table1[[#This Row],[Birthweight (grams)]]/Table1[[#This Row],[BW_GA]])-1)/(Backend!$B$4/100*Table1[[#This Row],[BW40_3705]]),"")</f>
        <v/>
      </c>
      <c r="H3619" s="7" t="str">
        <f>IF(Table1[[#This Row],[Is Data Valid]]=TRUE,((Table1[[#This Row],[Birthweight (grams)]]*0.9/Table1[[#This Row],[BW_GA]])-1)/(Backend!$B$4/100*Table1[[#This Row],[BW40_3705]]),"")</f>
        <v/>
      </c>
      <c r="I3619" s="7" t="str">
        <f>IF(Table1[[#This Row],[Is Data Valid]]=TRUE,((Table1[[#This Row],[Birthweight (grams)]]*1.1/Table1[[#This Row],[BW_GA]])-1)/(Backend!$B$4/100*Table1[[#This Row],[BW40_3705]]),"")</f>
        <v/>
      </c>
      <c r="J3619" s="7" t="str">
        <f>IF(Table1[[#This Row],[Is Data Valid]]=TRUE,_xlfn.NORM.S.DIST(Table1[[#This Row],[Birthweight Z-Score]],TRUE)*100,"")</f>
        <v/>
      </c>
      <c r="K3619" s="7" t="str">
        <f>IF(Table1[[#This Row],[Is Data Valid]]=TRUE,_xlfn.NORM.S.DIST(Table1[[#This Row],[Birthweight Z-Score (BW-10%)]],TRUE)*100,"")</f>
        <v/>
      </c>
      <c r="L3619" s="7" t="str">
        <f>IF(Table1[[#This Row],[Is Data Valid]]=TRUE,_xlfn.NORM.S.DIST(Table1[[#This Row],[Birthweight Z-Score (BW+10%)]],TRUE)*100,"")</f>
        <v/>
      </c>
    </row>
    <row r="3620" spans="1:12" x14ac:dyDescent="0.35">
      <c r="A3620" s="3"/>
      <c r="B3620" s="2"/>
      <c r="C3620" s="2"/>
      <c r="D3620" s="2" t="b">
        <f>IF(AND(NOT(ISBLANK(Table1[[#This Row],[Fetal Sex (Male, Female or Unknown)]])),ISNUMBER(Table1[[#This Row],[Birthweight (grams)]]),ISNUMBER(Table1[[#This Row],[Gestation (days)]])),TRUE,FALSE)</f>
        <v>0</v>
      </c>
      <c r="E3620" s="2" t="str">
        <f>IF(Table1[[#This Row],[Is Data Valid]]=TRUE,IF(Table1[[#This Row],[Fetal Sex (Male, Female or Unknown)]]="Male",Backend!$C$6,IF(Table1[[#This Row],[Fetal Sex (Male, Female or Unknown)]]="Female",Backend!$C$7,IF(Table1[[#This Row],[Fetal Sex (Male, Female or Unknown)]]="Unknown",Backend!$C$8,"Error"))),"")</f>
        <v/>
      </c>
      <c r="F3620" s="8" t="str">
        <f>IF(Table1[[#This Row],[Is Data Valid]]=TRUE,EXP(0.578+0.332*((Table1[[#This Row],[Gestation (days)]]+0.5)/7)-0.00354*((Table1[[#This Row],[Gestation (days)]]+0.5)/7)^2)*Table1[[#This Row],[BW40_3705]],"")</f>
        <v/>
      </c>
      <c r="G3620" s="2" t="str">
        <f>IF(Table1[[#This Row],[Is Data Valid]]=TRUE,((Table1[[#This Row],[Birthweight (grams)]]/Table1[[#This Row],[BW_GA]])-1)/(Backend!$B$4/100*Table1[[#This Row],[BW40_3705]]),"")</f>
        <v/>
      </c>
      <c r="H3620" s="7" t="str">
        <f>IF(Table1[[#This Row],[Is Data Valid]]=TRUE,((Table1[[#This Row],[Birthweight (grams)]]*0.9/Table1[[#This Row],[BW_GA]])-1)/(Backend!$B$4/100*Table1[[#This Row],[BW40_3705]]),"")</f>
        <v/>
      </c>
      <c r="I3620" s="7" t="str">
        <f>IF(Table1[[#This Row],[Is Data Valid]]=TRUE,((Table1[[#This Row],[Birthweight (grams)]]*1.1/Table1[[#This Row],[BW_GA]])-1)/(Backend!$B$4/100*Table1[[#This Row],[BW40_3705]]),"")</f>
        <v/>
      </c>
      <c r="J3620" s="7" t="str">
        <f>IF(Table1[[#This Row],[Is Data Valid]]=TRUE,_xlfn.NORM.S.DIST(Table1[[#This Row],[Birthweight Z-Score]],TRUE)*100,"")</f>
        <v/>
      </c>
      <c r="K3620" s="7" t="str">
        <f>IF(Table1[[#This Row],[Is Data Valid]]=TRUE,_xlfn.NORM.S.DIST(Table1[[#This Row],[Birthweight Z-Score (BW-10%)]],TRUE)*100,"")</f>
        <v/>
      </c>
      <c r="L3620" s="7" t="str">
        <f>IF(Table1[[#This Row],[Is Data Valid]]=TRUE,_xlfn.NORM.S.DIST(Table1[[#This Row],[Birthweight Z-Score (BW+10%)]],TRUE)*100,"")</f>
        <v/>
      </c>
    </row>
    <row r="3621" spans="1:12" x14ac:dyDescent="0.35">
      <c r="A3621" s="3"/>
      <c r="B3621" s="2"/>
      <c r="C3621" s="2"/>
      <c r="D3621" s="2" t="b">
        <f>IF(AND(NOT(ISBLANK(Table1[[#This Row],[Fetal Sex (Male, Female or Unknown)]])),ISNUMBER(Table1[[#This Row],[Birthweight (grams)]]),ISNUMBER(Table1[[#This Row],[Gestation (days)]])),TRUE,FALSE)</f>
        <v>0</v>
      </c>
      <c r="E3621" s="2" t="str">
        <f>IF(Table1[[#This Row],[Is Data Valid]]=TRUE,IF(Table1[[#This Row],[Fetal Sex (Male, Female or Unknown)]]="Male",Backend!$C$6,IF(Table1[[#This Row],[Fetal Sex (Male, Female or Unknown)]]="Female",Backend!$C$7,IF(Table1[[#This Row],[Fetal Sex (Male, Female or Unknown)]]="Unknown",Backend!$C$8,"Error"))),"")</f>
        <v/>
      </c>
      <c r="F3621" s="8" t="str">
        <f>IF(Table1[[#This Row],[Is Data Valid]]=TRUE,EXP(0.578+0.332*((Table1[[#This Row],[Gestation (days)]]+0.5)/7)-0.00354*((Table1[[#This Row],[Gestation (days)]]+0.5)/7)^2)*Table1[[#This Row],[BW40_3705]],"")</f>
        <v/>
      </c>
      <c r="G3621" s="2" t="str">
        <f>IF(Table1[[#This Row],[Is Data Valid]]=TRUE,((Table1[[#This Row],[Birthweight (grams)]]/Table1[[#This Row],[BW_GA]])-1)/(Backend!$B$4/100*Table1[[#This Row],[BW40_3705]]),"")</f>
        <v/>
      </c>
      <c r="H3621" s="7" t="str">
        <f>IF(Table1[[#This Row],[Is Data Valid]]=TRUE,((Table1[[#This Row],[Birthweight (grams)]]*0.9/Table1[[#This Row],[BW_GA]])-1)/(Backend!$B$4/100*Table1[[#This Row],[BW40_3705]]),"")</f>
        <v/>
      </c>
      <c r="I3621" s="7" t="str">
        <f>IF(Table1[[#This Row],[Is Data Valid]]=TRUE,((Table1[[#This Row],[Birthweight (grams)]]*1.1/Table1[[#This Row],[BW_GA]])-1)/(Backend!$B$4/100*Table1[[#This Row],[BW40_3705]]),"")</f>
        <v/>
      </c>
      <c r="J3621" s="7" t="str">
        <f>IF(Table1[[#This Row],[Is Data Valid]]=TRUE,_xlfn.NORM.S.DIST(Table1[[#This Row],[Birthweight Z-Score]],TRUE)*100,"")</f>
        <v/>
      </c>
      <c r="K3621" s="7" t="str">
        <f>IF(Table1[[#This Row],[Is Data Valid]]=TRUE,_xlfn.NORM.S.DIST(Table1[[#This Row],[Birthweight Z-Score (BW-10%)]],TRUE)*100,"")</f>
        <v/>
      </c>
      <c r="L3621" s="7" t="str">
        <f>IF(Table1[[#This Row],[Is Data Valid]]=TRUE,_xlfn.NORM.S.DIST(Table1[[#This Row],[Birthweight Z-Score (BW+10%)]],TRUE)*100,"")</f>
        <v/>
      </c>
    </row>
    <row r="3622" spans="1:12" x14ac:dyDescent="0.35">
      <c r="A3622" s="3"/>
      <c r="B3622" s="2"/>
      <c r="C3622" s="2"/>
      <c r="D3622" s="2" t="b">
        <f>IF(AND(NOT(ISBLANK(Table1[[#This Row],[Fetal Sex (Male, Female or Unknown)]])),ISNUMBER(Table1[[#This Row],[Birthweight (grams)]]),ISNUMBER(Table1[[#This Row],[Gestation (days)]])),TRUE,FALSE)</f>
        <v>0</v>
      </c>
      <c r="E3622" s="2" t="str">
        <f>IF(Table1[[#This Row],[Is Data Valid]]=TRUE,IF(Table1[[#This Row],[Fetal Sex (Male, Female or Unknown)]]="Male",Backend!$C$6,IF(Table1[[#This Row],[Fetal Sex (Male, Female or Unknown)]]="Female",Backend!$C$7,IF(Table1[[#This Row],[Fetal Sex (Male, Female or Unknown)]]="Unknown",Backend!$C$8,"Error"))),"")</f>
        <v/>
      </c>
      <c r="F3622" s="8" t="str">
        <f>IF(Table1[[#This Row],[Is Data Valid]]=TRUE,EXP(0.578+0.332*((Table1[[#This Row],[Gestation (days)]]+0.5)/7)-0.00354*((Table1[[#This Row],[Gestation (days)]]+0.5)/7)^2)*Table1[[#This Row],[BW40_3705]],"")</f>
        <v/>
      </c>
      <c r="G3622" s="2" t="str">
        <f>IF(Table1[[#This Row],[Is Data Valid]]=TRUE,((Table1[[#This Row],[Birthweight (grams)]]/Table1[[#This Row],[BW_GA]])-1)/(Backend!$B$4/100*Table1[[#This Row],[BW40_3705]]),"")</f>
        <v/>
      </c>
      <c r="H3622" s="7" t="str">
        <f>IF(Table1[[#This Row],[Is Data Valid]]=TRUE,((Table1[[#This Row],[Birthweight (grams)]]*0.9/Table1[[#This Row],[BW_GA]])-1)/(Backend!$B$4/100*Table1[[#This Row],[BW40_3705]]),"")</f>
        <v/>
      </c>
      <c r="I3622" s="7" t="str">
        <f>IF(Table1[[#This Row],[Is Data Valid]]=TRUE,((Table1[[#This Row],[Birthweight (grams)]]*1.1/Table1[[#This Row],[BW_GA]])-1)/(Backend!$B$4/100*Table1[[#This Row],[BW40_3705]]),"")</f>
        <v/>
      </c>
      <c r="J3622" s="7" t="str">
        <f>IF(Table1[[#This Row],[Is Data Valid]]=TRUE,_xlfn.NORM.S.DIST(Table1[[#This Row],[Birthweight Z-Score]],TRUE)*100,"")</f>
        <v/>
      </c>
      <c r="K3622" s="7" t="str">
        <f>IF(Table1[[#This Row],[Is Data Valid]]=TRUE,_xlfn.NORM.S.DIST(Table1[[#This Row],[Birthweight Z-Score (BW-10%)]],TRUE)*100,"")</f>
        <v/>
      </c>
      <c r="L3622" s="7" t="str">
        <f>IF(Table1[[#This Row],[Is Data Valid]]=TRUE,_xlfn.NORM.S.DIST(Table1[[#This Row],[Birthweight Z-Score (BW+10%)]],TRUE)*100,"")</f>
        <v/>
      </c>
    </row>
    <row r="3623" spans="1:12" x14ac:dyDescent="0.35">
      <c r="A3623" s="3"/>
      <c r="B3623" s="2"/>
      <c r="C3623" s="2"/>
      <c r="D3623" s="2" t="b">
        <f>IF(AND(NOT(ISBLANK(Table1[[#This Row],[Fetal Sex (Male, Female or Unknown)]])),ISNUMBER(Table1[[#This Row],[Birthweight (grams)]]),ISNUMBER(Table1[[#This Row],[Gestation (days)]])),TRUE,FALSE)</f>
        <v>0</v>
      </c>
      <c r="E3623" s="2" t="str">
        <f>IF(Table1[[#This Row],[Is Data Valid]]=TRUE,IF(Table1[[#This Row],[Fetal Sex (Male, Female or Unknown)]]="Male",Backend!$C$6,IF(Table1[[#This Row],[Fetal Sex (Male, Female or Unknown)]]="Female",Backend!$C$7,IF(Table1[[#This Row],[Fetal Sex (Male, Female or Unknown)]]="Unknown",Backend!$C$8,"Error"))),"")</f>
        <v/>
      </c>
      <c r="F3623" s="8" t="str">
        <f>IF(Table1[[#This Row],[Is Data Valid]]=TRUE,EXP(0.578+0.332*((Table1[[#This Row],[Gestation (days)]]+0.5)/7)-0.00354*((Table1[[#This Row],[Gestation (days)]]+0.5)/7)^2)*Table1[[#This Row],[BW40_3705]],"")</f>
        <v/>
      </c>
      <c r="G3623" s="2" t="str">
        <f>IF(Table1[[#This Row],[Is Data Valid]]=TRUE,((Table1[[#This Row],[Birthweight (grams)]]/Table1[[#This Row],[BW_GA]])-1)/(Backend!$B$4/100*Table1[[#This Row],[BW40_3705]]),"")</f>
        <v/>
      </c>
      <c r="H3623" s="7" t="str">
        <f>IF(Table1[[#This Row],[Is Data Valid]]=TRUE,((Table1[[#This Row],[Birthweight (grams)]]*0.9/Table1[[#This Row],[BW_GA]])-1)/(Backend!$B$4/100*Table1[[#This Row],[BW40_3705]]),"")</f>
        <v/>
      </c>
      <c r="I3623" s="7" t="str">
        <f>IF(Table1[[#This Row],[Is Data Valid]]=TRUE,((Table1[[#This Row],[Birthweight (grams)]]*1.1/Table1[[#This Row],[BW_GA]])-1)/(Backend!$B$4/100*Table1[[#This Row],[BW40_3705]]),"")</f>
        <v/>
      </c>
      <c r="J3623" s="7" t="str">
        <f>IF(Table1[[#This Row],[Is Data Valid]]=TRUE,_xlfn.NORM.S.DIST(Table1[[#This Row],[Birthweight Z-Score]],TRUE)*100,"")</f>
        <v/>
      </c>
      <c r="K3623" s="7" t="str">
        <f>IF(Table1[[#This Row],[Is Data Valid]]=TRUE,_xlfn.NORM.S.DIST(Table1[[#This Row],[Birthweight Z-Score (BW-10%)]],TRUE)*100,"")</f>
        <v/>
      </c>
      <c r="L3623" s="7" t="str">
        <f>IF(Table1[[#This Row],[Is Data Valid]]=TRUE,_xlfn.NORM.S.DIST(Table1[[#This Row],[Birthweight Z-Score (BW+10%)]],TRUE)*100,"")</f>
        <v/>
      </c>
    </row>
    <row r="3624" spans="1:12" x14ac:dyDescent="0.35">
      <c r="A3624" s="3"/>
      <c r="B3624" s="2"/>
      <c r="C3624" s="2"/>
      <c r="D3624" s="2" t="b">
        <f>IF(AND(NOT(ISBLANK(Table1[[#This Row],[Fetal Sex (Male, Female or Unknown)]])),ISNUMBER(Table1[[#This Row],[Birthweight (grams)]]),ISNUMBER(Table1[[#This Row],[Gestation (days)]])),TRUE,FALSE)</f>
        <v>0</v>
      </c>
      <c r="E3624" s="2" t="str">
        <f>IF(Table1[[#This Row],[Is Data Valid]]=TRUE,IF(Table1[[#This Row],[Fetal Sex (Male, Female or Unknown)]]="Male",Backend!$C$6,IF(Table1[[#This Row],[Fetal Sex (Male, Female or Unknown)]]="Female",Backend!$C$7,IF(Table1[[#This Row],[Fetal Sex (Male, Female or Unknown)]]="Unknown",Backend!$C$8,"Error"))),"")</f>
        <v/>
      </c>
      <c r="F3624" s="8" t="str">
        <f>IF(Table1[[#This Row],[Is Data Valid]]=TRUE,EXP(0.578+0.332*((Table1[[#This Row],[Gestation (days)]]+0.5)/7)-0.00354*((Table1[[#This Row],[Gestation (days)]]+0.5)/7)^2)*Table1[[#This Row],[BW40_3705]],"")</f>
        <v/>
      </c>
      <c r="G3624" s="2" t="str">
        <f>IF(Table1[[#This Row],[Is Data Valid]]=TRUE,((Table1[[#This Row],[Birthweight (grams)]]/Table1[[#This Row],[BW_GA]])-1)/(Backend!$B$4/100*Table1[[#This Row],[BW40_3705]]),"")</f>
        <v/>
      </c>
      <c r="H3624" s="7" t="str">
        <f>IF(Table1[[#This Row],[Is Data Valid]]=TRUE,((Table1[[#This Row],[Birthweight (grams)]]*0.9/Table1[[#This Row],[BW_GA]])-1)/(Backend!$B$4/100*Table1[[#This Row],[BW40_3705]]),"")</f>
        <v/>
      </c>
      <c r="I3624" s="7" t="str">
        <f>IF(Table1[[#This Row],[Is Data Valid]]=TRUE,((Table1[[#This Row],[Birthweight (grams)]]*1.1/Table1[[#This Row],[BW_GA]])-1)/(Backend!$B$4/100*Table1[[#This Row],[BW40_3705]]),"")</f>
        <v/>
      </c>
      <c r="J3624" s="7" t="str">
        <f>IF(Table1[[#This Row],[Is Data Valid]]=TRUE,_xlfn.NORM.S.DIST(Table1[[#This Row],[Birthweight Z-Score]],TRUE)*100,"")</f>
        <v/>
      </c>
      <c r="K3624" s="7" t="str">
        <f>IF(Table1[[#This Row],[Is Data Valid]]=TRUE,_xlfn.NORM.S.DIST(Table1[[#This Row],[Birthweight Z-Score (BW-10%)]],TRUE)*100,"")</f>
        <v/>
      </c>
      <c r="L3624" s="7" t="str">
        <f>IF(Table1[[#This Row],[Is Data Valid]]=TRUE,_xlfn.NORM.S.DIST(Table1[[#This Row],[Birthweight Z-Score (BW+10%)]],TRUE)*100,"")</f>
        <v/>
      </c>
    </row>
    <row r="3625" spans="1:12" x14ac:dyDescent="0.35">
      <c r="A3625" s="3"/>
      <c r="B3625" s="2"/>
      <c r="C3625" s="2"/>
      <c r="D3625" s="2" t="b">
        <f>IF(AND(NOT(ISBLANK(Table1[[#This Row],[Fetal Sex (Male, Female or Unknown)]])),ISNUMBER(Table1[[#This Row],[Birthweight (grams)]]),ISNUMBER(Table1[[#This Row],[Gestation (days)]])),TRUE,FALSE)</f>
        <v>0</v>
      </c>
      <c r="E3625" s="2" t="str">
        <f>IF(Table1[[#This Row],[Is Data Valid]]=TRUE,IF(Table1[[#This Row],[Fetal Sex (Male, Female or Unknown)]]="Male",Backend!$C$6,IF(Table1[[#This Row],[Fetal Sex (Male, Female or Unknown)]]="Female",Backend!$C$7,IF(Table1[[#This Row],[Fetal Sex (Male, Female or Unknown)]]="Unknown",Backend!$C$8,"Error"))),"")</f>
        <v/>
      </c>
      <c r="F3625" s="8" t="str">
        <f>IF(Table1[[#This Row],[Is Data Valid]]=TRUE,EXP(0.578+0.332*((Table1[[#This Row],[Gestation (days)]]+0.5)/7)-0.00354*((Table1[[#This Row],[Gestation (days)]]+0.5)/7)^2)*Table1[[#This Row],[BW40_3705]],"")</f>
        <v/>
      </c>
      <c r="G3625" s="2" t="str">
        <f>IF(Table1[[#This Row],[Is Data Valid]]=TRUE,((Table1[[#This Row],[Birthweight (grams)]]/Table1[[#This Row],[BW_GA]])-1)/(Backend!$B$4/100*Table1[[#This Row],[BW40_3705]]),"")</f>
        <v/>
      </c>
      <c r="H3625" s="7" t="str">
        <f>IF(Table1[[#This Row],[Is Data Valid]]=TRUE,((Table1[[#This Row],[Birthweight (grams)]]*0.9/Table1[[#This Row],[BW_GA]])-1)/(Backend!$B$4/100*Table1[[#This Row],[BW40_3705]]),"")</f>
        <v/>
      </c>
      <c r="I3625" s="7" t="str">
        <f>IF(Table1[[#This Row],[Is Data Valid]]=TRUE,((Table1[[#This Row],[Birthweight (grams)]]*1.1/Table1[[#This Row],[BW_GA]])-1)/(Backend!$B$4/100*Table1[[#This Row],[BW40_3705]]),"")</f>
        <v/>
      </c>
      <c r="J3625" s="7" t="str">
        <f>IF(Table1[[#This Row],[Is Data Valid]]=TRUE,_xlfn.NORM.S.DIST(Table1[[#This Row],[Birthweight Z-Score]],TRUE)*100,"")</f>
        <v/>
      </c>
      <c r="K3625" s="7" t="str">
        <f>IF(Table1[[#This Row],[Is Data Valid]]=TRUE,_xlfn.NORM.S.DIST(Table1[[#This Row],[Birthweight Z-Score (BW-10%)]],TRUE)*100,"")</f>
        <v/>
      </c>
      <c r="L3625" s="7" t="str">
        <f>IF(Table1[[#This Row],[Is Data Valid]]=TRUE,_xlfn.NORM.S.DIST(Table1[[#This Row],[Birthweight Z-Score (BW+10%)]],TRUE)*100,"")</f>
        <v/>
      </c>
    </row>
    <row r="3626" spans="1:12" x14ac:dyDescent="0.35">
      <c r="A3626" s="3"/>
      <c r="B3626" s="2"/>
      <c r="C3626" s="2"/>
      <c r="D3626" s="2" t="b">
        <f>IF(AND(NOT(ISBLANK(Table1[[#This Row],[Fetal Sex (Male, Female or Unknown)]])),ISNUMBER(Table1[[#This Row],[Birthweight (grams)]]),ISNUMBER(Table1[[#This Row],[Gestation (days)]])),TRUE,FALSE)</f>
        <v>0</v>
      </c>
      <c r="E3626" s="2" t="str">
        <f>IF(Table1[[#This Row],[Is Data Valid]]=TRUE,IF(Table1[[#This Row],[Fetal Sex (Male, Female or Unknown)]]="Male",Backend!$C$6,IF(Table1[[#This Row],[Fetal Sex (Male, Female or Unknown)]]="Female",Backend!$C$7,IF(Table1[[#This Row],[Fetal Sex (Male, Female or Unknown)]]="Unknown",Backend!$C$8,"Error"))),"")</f>
        <v/>
      </c>
      <c r="F3626" s="8" t="str">
        <f>IF(Table1[[#This Row],[Is Data Valid]]=TRUE,EXP(0.578+0.332*((Table1[[#This Row],[Gestation (days)]]+0.5)/7)-0.00354*((Table1[[#This Row],[Gestation (days)]]+0.5)/7)^2)*Table1[[#This Row],[BW40_3705]],"")</f>
        <v/>
      </c>
      <c r="G3626" s="2" t="str">
        <f>IF(Table1[[#This Row],[Is Data Valid]]=TRUE,((Table1[[#This Row],[Birthweight (grams)]]/Table1[[#This Row],[BW_GA]])-1)/(Backend!$B$4/100*Table1[[#This Row],[BW40_3705]]),"")</f>
        <v/>
      </c>
      <c r="H3626" s="7" t="str">
        <f>IF(Table1[[#This Row],[Is Data Valid]]=TRUE,((Table1[[#This Row],[Birthweight (grams)]]*0.9/Table1[[#This Row],[BW_GA]])-1)/(Backend!$B$4/100*Table1[[#This Row],[BW40_3705]]),"")</f>
        <v/>
      </c>
      <c r="I3626" s="7" t="str">
        <f>IF(Table1[[#This Row],[Is Data Valid]]=TRUE,((Table1[[#This Row],[Birthweight (grams)]]*1.1/Table1[[#This Row],[BW_GA]])-1)/(Backend!$B$4/100*Table1[[#This Row],[BW40_3705]]),"")</f>
        <v/>
      </c>
      <c r="J3626" s="7" t="str">
        <f>IF(Table1[[#This Row],[Is Data Valid]]=TRUE,_xlfn.NORM.S.DIST(Table1[[#This Row],[Birthweight Z-Score]],TRUE)*100,"")</f>
        <v/>
      </c>
      <c r="K3626" s="7" t="str">
        <f>IF(Table1[[#This Row],[Is Data Valid]]=TRUE,_xlfn.NORM.S.DIST(Table1[[#This Row],[Birthweight Z-Score (BW-10%)]],TRUE)*100,"")</f>
        <v/>
      </c>
      <c r="L3626" s="7" t="str">
        <f>IF(Table1[[#This Row],[Is Data Valid]]=TRUE,_xlfn.NORM.S.DIST(Table1[[#This Row],[Birthweight Z-Score (BW+10%)]],TRUE)*100,"")</f>
        <v/>
      </c>
    </row>
    <row r="3627" spans="1:12" x14ac:dyDescent="0.35">
      <c r="A3627" s="3"/>
      <c r="B3627" s="2"/>
      <c r="C3627" s="2"/>
      <c r="D3627" s="2" t="b">
        <f>IF(AND(NOT(ISBLANK(Table1[[#This Row],[Fetal Sex (Male, Female or Unknown)]])),ISNUMBER(Table1[[#This Row],[Birthweight (grams)]]),ISNUMBER(Table1[[#This Row],[Gestation (days)]])),TRUE,FALSE)</f>
        <v>0</v>
      </c>
      <c r="E3627" s="2" t="str">
        <f>IF(Table1[[#This Row],[Is Data Valid]]=TRUE,IF(Table1[[#This Row],[Fetal Sex (Male, Female or Unknown)]]="Male",Backend!$C$6,IF(Table1[[#This Row],[Fetal Sex (Male, Female or Unknown)]]="Female",Backend!$C$7,IF(Table1[[#This Row],[Fetal Sex (Male, Female or Unknown)]]="Unknown",Backend!$C$8,"Error"))),"")</f>
        <v/>
      </c>
      <c r="F3627" s="8" t="str">
        <f>IF(Table1[[#This Row],[Is Data Valid]]=TRUE,EXP(0.578+0.332*((Table1[[#This Row],[Gestation (days)]]+0.5)/7)-0.00354*((Table1[[#This Row],[Gestation (days)]]+0.5)/7)^2)*Table1[[#This Row],[BW40_3705]],"")</f>
        <v/>
      </c>
      <c r="G3627" s="2" t="str">
        <f>IF(Table1[[#This Row],[Is Data Valid]]=TRUE,((Table1[[#This Row],[Birthweight (grams)]]/Table1[[#This Row],[BW_GA]])-1)/(Backend!$B$4/100*Table1[[#This Row],[BW40_3705]]),"")</f>
        <v/>
      </c>
      <c r="H3627" s="7" t="str">
        <f>IF(Table1[[#This Row],[Is Data Valid]]=TRUE,((Table1[[#This Row],[Birthweight (grams)]]*0.9/Table1[[#This Row],[BW_GA]])-1)/(Backend!$B$4/100*Table1[[#This Row],[BW40_3705]]),"")</f>
        <v/>
      </c>
      <c r="I3627" s="7" t="str">
        <f>IF(Table1[[#This Row],[Is Data Valid]]=TRUE,((Table1[[#This Row],[Birthweight (grams)]]*1.1/Table1[[#This Row],[BW_GA]])-1)/(Backend!$B$4/100*Table1[[#This Row],[BW40_3705]]),"")</f>
        <v/>
      </c>
      <c r="J3627" s="7" t="str">
        <f>IF(Table1[[#This Row],[Is Data Valid]]=TRUE,_xlfn.NORM.S.DIST(Table1[[#This Row],[Birthweight Z-Score]],TRUE)*100,"")</f>
        <v/>
      </c>
      <c r="K3627" s="7" t="str">
        <f>IF(Table1[[#This Row],[Is Data Valid]]=TRUE,_xlfn.NORM.S.DIST(Table1[[#This Row],[Birthweight Z-Score (BW-10%)]],TRUE)*100,"")</f>
        <v/>
      </c>
      <c r="L3627" s="7" t="str">
        <f>IF(Table1[[#This Row],[Is Data Valid]]=TRUE,_xlfn.NORM.S.DIST(Table1[[#This Row],[Birthweight Z-Score (BW+10%)]],TRUE)*100,"")</f>
        <v/>
      </c>
    </row>
    <row r="3628" spans="1:12" x14ac:dyDescent="0.35">
      <c r="A3628" s="3"/>
      <c r="B3628" s="2"/>
      <c r="C3628" s="2"/>
      <c r="D3628" s="2" t="b">
        <f>IF(AND(NOT(ISBLANK(Table1[[#This Row],[Fetal Sex (Male, Female or Unknown)]])),ISNUMBER(Table1[[#This Row],[Birthweight (grams)]]),ISNUMBER(Table1[[#This Row],[Gestation (days)]])),TRUE,FALSE)</f>
        <v>0</v>
      </c>
      <c r="E3628" s="2" t="str">
        <f>IF(Table1[[#This Row],[Is Data Valid]]=TRUE,IF(Table1[[#This Row],[Fetal Sex (Male, Female or Unknown)]]="Male",Backend!$C$6,IF(Table1[[#This Row],[Fetal Sex (Male, Female or Unknown)]]="Female",Backend!$C$7,IF(Table1[[#This Row],[Fetal Sex (Male, Female or Unknown)]]="Unknown",Backend!$C$8,"Error"))),"")</f>
        <v/>
      </c>
      <c r="F3628" s="8" t="str">
        <f>IF(Table1[[#This Row],[Is Data Valid]]=TRUE,EXP(0.578+0.332*((Table1[[#This Row],[Gestation (days)]]+0.5)/7)-0.00354*((Table1[[#This Row],[Gestation (days)]]+0.5)/7)^2)*Table1[[#This Row],[BW40_3705]],"")</f>
        <v/>
      </c>
      <c r="G3628" s="2" t="str">
        <f>IF(Table1[[#This Row],[Is Data Valid]]=TRUE,((Table1[[#This Row],[Birthweight (grams)]]/Table1[[#This Row],[BW_GA]])-1)/(Backend!$B$4/100*Table1[[#This Row],[BW40_3705]]),"")</f>
        <v/>
      </c>
      <c r="H3628" s="7" t="str">
        <f>IF(Table1[[#This Row],[Is Data Valid]]=TRUE,((Table1[[#This Row],[Birthweight (grams)]]*0.9/Table1[[#This Row],[BW_GA]])-1)/(Backend!$B$4/100*Table1[[#This Row],[BW40_3705]]),"")</f>
        <v/>
      </c>
      <c r="I3628" s="7" t="str">
        <f>IF(Table1[[#This Row],[Is Data Valid]]=TRUE,((Table1[[#This Row],[Birthweight (grams)]]*1.1/Table1[[#This Row],[BW_GA]])-1)/(Backend!$B$4/100*Table1[[#This Row],[BW40_3705]]),"")</f>
        <v/>
      </c>
      <c r="J3628" s="7" t="str">
        <f>IF(Table1[[#This Row],[Is Data Valid]]=TRUE,_xlfn.NORM.S.DIST(Table1[[#This Row],[Birthweight Z-Score]],TRUE)*100,"")</f>
        <v/>
      </c>
      <c r="K3628" s="7" t="str">
        <f>IF(Table1[[#This Row],[Is Data Valid]]=TRUE,_xlfn.NORM.S.DIST(Table1[[#This Row],[Birthweight Z-Score (BW-10%)]],TRUE)*100,"")</f>
        <v/>
      </c>
      <c r="L3628" s="7" t="str">
        <f>IF(Table1[[#This Row],[Is Data Valid]]=TRUE,_xlfn.NORM.S.DIST(Table1[[#This Row],[Birthweight Z-Score (BW+10%)]],TRUE)*100,"")</f>
        <v/>
      </c>
    </row>
    <row r="3629" spans="1:12" x14ac:dyDescent="0.35">
      <c r="A3629" s="3"/>
      <c r="B3629" s="2"/>
      <c r="C3629" s="2"/>
      <c r="D3629" s="2" t="b">
        <f>IF(AND(NOT(ISBLANK(Table1[[#This Row],[Fetal Sex (Male, Female or Unknown)]])),ISNUMBER(Table1[[#This Row],[Birthweight (grams)]]),ISNUMBER(Table1[[#This Row],[Gestation (days)]])),TRUE,FALSE)</f>
        <v>0</v>
      </c>
      <c r="E3629" s="2" t="str">
        <f>IF(Table1[[#This Row],[Is Data Valid]]=TRUE,IF(Table1[[#This Row],[Fetal Sex (Male, Female or Unknown)]]="Male",Backend!$C$6,IF(Table1[[#This Row],[Fetal Sex (Male, Female or Unknown)]]="Female",Backend!$C$7,IF(Table1[[#This Row],[Fetal Sex (Male, Female or Unknown)]]="Unknown",Backend!$C$8,"Error"))),"")</f>
        <v/>
      </c>
      <c r="F3629" s="8" t="str">
        <f>IF(Table1[[#This Row],[Is Data Valid]]=TRUE,EXP(0.578+0.332*((Table1[[#This Row],[Gestation (days)]]+0.5)/7)-0.00354*((Table1[[#This Row],[Gestation (days)]]+0.5)/7)^2)*Table1[[#This Row],[BW40_3705]],"")</f>
        <v/>
      </c>
      <c r="G3629" s="2" t="str">
        <f>IF(Table1[[#This Row],[Is Data Valid]]=TRUE,((Table1[[#This Row],[Birthweight (grams)]]/Table1[[#This Row],[BW_GA]])-1)/(Backend!$B$4/100*Table1[[#This Row],[BW40_3705]]),"")</f>
        <v/>
      </c>
      <c r="H3629" s="7" t="str">
        <f>IF(Table1[[#This Row],[Is Data Valid]]=TRUE,((Table1[[#This Row],[Birthweight (grams)]]*0.9/Table1[[#This Row],[BW_GA]])-1)/(Backend!$B$4/100*Table1[[#This Row],[BW40_3705]]),"")</f>
        <v/>
      </c>
      <c r="I3629" s="7" t="str">
        <f>IF(Table1[[#This Row],[Is Data Valid]]=TRUE,((Table1[[#This Row],[Birthweight (grams)]]*1.1/Table1[[#This Row],[BW_GA]])-1)/(Backend!$B$4/100*Table1[[#This Row],[BW40_3705]]),"")</f>
        <v/>
      </c>
      <c r="J3629" s="7" t="str">
        <f>IF(Table1[[#This Row],[Is Data Valid]]=TRUE,_xlfn.NORM.S.DIST(Table1[[#This Row],[Birthweight Z-Score]],TRUE)*100,"")</f>
        <v/>
      </c>
      <c r="K3629" s="7" t="str">
        <f>IF(Table1[[#This Row],[Is Data Valid]]=TRUE,_xlfn.NORM.S.DIST(Table1[[#This Row],[Birthweight Z-Score (BW-10%)]],TRUE)*100,"")</f>
        <v/>
      </c>
      <c r="L3629" s="7" t="str">
        <f>IF(Table1[[#This Row],[Is Data Valid]]=TRUE,_xlfn.NORM.S.DIST(Table1[[#This Row],[Birthweight Z-Score (BW+10%)]],TRUE)*100,"")</f>
        <v/>
      </c>
    </row>
    <row r="3630" spans="1:12" x14ac:dyDescent="0.35">
      <c r="A3630" s="3"/>
      <c r="B3630" s="2"/>
      <c r="C3630" s="2"/>
      <c r="D3630" s="2" t="b">
        <f>IF(AND(NOT(ISBLANK(Table1[[#This Row],[Fetal Sex (Male, Female or Unknown)]])),ISNUMBER(Table1[[#This Row],[Birthweight (grams)]]),ISNUMBER(Table1[[#This Row],[Gestation (days)]])),TRUE,FALSE)</f>
        <v>0</v>
      </c>
      <c r="E3630" s="2" t="str">
        <f>IF(Table1[[#This Row],[Is Data Valid]]=TRUE,IF(Table1[[#This Row],[Fetal Sex (Male, Female or Unknown)]]="Male",Backend!$C$6,IF(Table1[[#This Row],[Fetal Sex (Male, Female or Unknown)]]="Female",Backend!$C$7,IF(Table1[[#This Row],[Fetal Sex (Male, Female or Unknown)]]="Unknown",Backend!$C$8,"Error"))),"")</f>
        <v/>
      </c>
      <c r="F3630" s="8" t="str">
        <f>IF(Table1[[#This Row],[Is Data Valid]]=TRUE,EXP(0.578+0.332*((Table1[[#This Row],[Gestation (days)]]+0.5)/7)-0.00354*((Table1[[#This Row],[Gestation (days)]]+0.5)/7)^2)*Table1[[#This Row],[BW40_3705]],"")</f>
        <v/>
      </c>
      <c r="G3630" s="2" t="str">
        <f>IF(Table1[[#This Row],[Is Data Valid]]=TRUE,((Table1[[#This Row],[Birthweight (grams)]]/Table1[[#This Row],[BW_GA]])-1)/(Backend!$B$4/100*Table1[[#This Row],[BW40_3705]]),"")</f>
        <v/>
      </c>
      <c r="H3630" s="7" t="str">
        <f>IF(Table1[[#This Row],[Is Data Valid]]=TRUE,((Table1[[#This Row],[Birthweight (grams)]]*0.9/Table1[[#This Row],[BW_GA]])-1)/(Backend!$B$4/100*Table1[[#This Row],[BW40_3705]]),"")</f>
        <v/>
      </c>
      <c r="I3630" s="7" t="str">
        <f>IF(Table1[[#This Row],[Is Data Valid]]=TRUE,((Table1[[#This Row],[Birthweight (grams)]]*1.1/Table1[[#This Row],[BW_GA]])-1)/(Backend!$B$4/100*Table1[[#This Row],[BW40_3705]]),"")</f>
        <v/>
      </c>
      <c r="J3630" s="7" t="str">
        <f>IF(Table1[[#This Row],[Is Data Valid]]=TRUE,_xlfn.NORM.S.DIST(Table1[[#This Row],[Birthweight Z-Score]],TRUE)*100,"")</f>
        <v/>
      </c>
      <c r="K3630" s="7" t="str">
        <f>IF(Table1[[#This Row],[Is Data Valid]]=TRUE,_xlfn.NORM.S.DIST(Table1[[#This Row],[Birthweight Z-Score (BW-10%)]],TRUE)*100,"")</f>
        <v/>
      </c>
      <c r="L3630" s="7" t="str">
        <f>IF(Table1[[#This Row],[Is Data Valid]]=TRUE,_xlfn.NORM.S.DIST(Table1[[#This Row],[Birthweight Z-Score (BW+10%)]],TRUE)*100,"")</f>
        <v/>
      </c>
    </row>
    <row r="3631" spans="1:12" x14ac:dyDescent="0.35">
      <c r="A3631" s="3"/>
      <c r="B3631" s="2"/>
      <c r="C3631" s="2"/>
      <c r="D3631" s="2" t="b">
        <f>IF(AND(NOT(ISBLANK(Table1[[#This Row],[Fetal Sex (Male, Female or Unknown)]])),ISNUMBER(Table1[[#This Row],[Birthweight (grams)]]),ISNUMBER(Table1[[#This Row],[Gestation (days)]])),TRUE,FALSE)</f>
        <v>0</v>
      </c>
      <c r="E3631" s="2" t="str">
        <f>IF(Table1[[#This Row],[Is Data Valid]]=TRUE,IF(Table1[[#This Row],[Fetal Sex (Male, Female or Unknown)]]="Male",Backend!$C$6,IF(Table1[[#This Row],[Fetal Sex (Male, Female or Unknown)]]="Female",Backend!$C$7,IF(Table1[[#This Row],[Fetal Sex (Male, Female or Unknown)]]="Unknown",Backend!$C$8,"Error"))),"")</f>
        <v/>
      </c>
      <c r="F3631" s="8" t="str">
        <f>IF(Table1[[#This Row],[Is Data Valid]]=TRUE,EXP(0.578+0.332*((Table1[[#This Row],[Gestation (days)]]+0.5)/7)-0.00354*((Table1[[#This Row],[Gestation (days)]]+0.5)/7)^2)*Table1[[#This Row],[BW40_3705]],"")</f>
        <v/>
      </c>
      <c r="G3631" s="2" t="str">
        <f>IF(Table1[[#This Row],[Is Data Valid]]=TRUE,((Table1[[#This Row],[Birthweight (grams)]]/Table1[[#This Row],[BW_GA]])-1)/(Backend!$B$4/100*Table1[[#This Row],[BW40_3705]]),"")</f>
        <v/>
      </c>
      <c r="H3631" s="7" t="str">
        <f>IF(Table1[[#This Row],[Is Data Valid]]=TRUE,((Table1[[#This Row],[Birthweight (grams)]]*0.9/Table1[[#This Row],[BW_GA]])-1)/(Backend!$B$4/100*Table1[[#This Row],[BW40_3705]]),"")</f>
        <v/>
      </c>
      <c r="I3631" s="7" t="str">
        <f>IF(Table1[[#This Row],[Is Data Valid]]=TRUE,((Table1[[#This Row],[Birthweight (grams)]]*1.1/Table1[[#This Row],[BW_GA]])-1)/(Backend!$B$4/100*Table1[[#This Row],[BW40_3705]]),"")</f>
        <v/>
      </c>
      <c r="J3631" s="7" t="str">
        <f>IF(Table1[[#This Row],[Is Data Valid]]=TRUE,_xlfn.NORM.S.DIST(Table1[[#This Row],[Birthweight Z-Score]],TRUE)*100,"")</f>
        <v/>
      </c>
      <c r="K3631" s="7" t="str">
        <f>IF(Table1[[#This Row],[Is Data Valid]]=TRUE,_xlfn.NORM.S.DIST(Table1[[#This Row],[Birthweight Z-Score (BW-10%)]],TRUE)*100,"")</f>
        <v/>
      </c>
      <c r="L3631" s="7" t="str">
        <f>IF(Table1[[#This Row],[Is Data Valid]]=TRUE,_xlfn.NORM.S.DIST(Table1[[#This Row],[Birthweight Z-Score (BW+10%)]],TRUE)*100,"")</f>
        <v/>
      </c>
    </row>
    <row r="3632" spans="1:12" x14ac:dyDescent="0.35">
      <c r="A3632" s="3"/>
      <c r="B3632" s="2"/>
      <c r="C3632" s="2"/>
      <c r="D3632" s="2" t="b">
        <f>IF(AND(NOT(ISBLANK(Table1[[#This Row],[Fetal Sex (Male, Female or Unknown)]])),ISNUMBER(Table1[[#This Row],[Birthweight (grams)]]),ISNUMBER(Table1[[#This Row],[Gestation (days)]])),TRUE,FALSE)</f>
        <v>0</v>
      </c>
      <c r="E3632" s="2" t="str">
        <f>IF(Table1[[#This Row],[Is Data Valid]]=TRUE,IF(Table1[[#This Row],[Fetal Sex (Male, Female or Unknown)]]="Male",Backend!$C$6,IF(Table1[[#This Row],[Fetal Sex (Male, Female or Unknown)]]="Female",Backend!$C$7,IF(Table1[[#This Row],[Fetal Sex (Male, Female or Unknown)]]="Unknown",Backend!$C$8,"Error"))),"")</f>
        <v/>
      </c>
      <c r="F3632" s="8" t="str">
        <f>IF(Table1[[#This Row],[Is Data Valid]]=TRUE,EXP(0.578+0.332*((Table1[[#This Row],[Gestation (days)]]+0.5)/7)-0.00354*((Table1[[#This Row],[Gestation (days)]]+0.5)/7)^2)*Table1[[#This Row],[BW40_3705]],"")</f>
        <v/>
      </c>
      <c r="G3632" s="2" t="str">
        <f>IF(Table1[[#This Row],[Is Data Valid]]=TRUE,((Table1[[#This Row],[Birthweight (grams)]]/Table1[[#This Row],[BW_GA]])-1)/(Backend!$B$4/100*Table1[[#This Row],[BW40_3705]]),"")</f>
        <v/>
      </c>
      <c r="H3632" s="7" t="str">
        <f>IF(Table1[[#This Row],[Is Data Valid]]=TRUE,((Table1[[#This Row],[Birthweight (grams)]]*0.9/Table1[[#This Row],[BW_GA]])-1)/(Backend!$B$4/100*Table1[[#This Row],[BW40_3705]]),"")</f>
        <v/>
      </c>
      <c r="I3632" s="7" t="str">
        <f>IF(Table1[[#This Row],[Is Data Valid]]=TRUE,((Table1[[#This Row],[Birthweight (grams)]]*1.1/Table1[[#This Row],[BW_GA]])-1)/(Backend!$B$4/100*Table1[[#This Row],[BW40_3705]]),"")</f>
        <v/>
      </c>
      <c r="J3632" s="7" t="str">
        <f>IF(Table1[[#This Row],[Is Data Valid]]=TRUE,_xlfn.NORM.S.DIST(Table1[[#This Row],[Birthweight Z-Score]],TRUE)*100,"")</f>
        <v/>
      </c>
      <c r="K3632" s="7" t="str">
        <f>IF(Table1[[#This Row],[Is Data Valid]]=TRUE,_xlfn.NORM.S.DIST(Table1[[#This Row],[Birthweight Z-Score (BW-10%)]],TRUE)*100,"")</f>
        <v/>
      </c>
      <c r="L3632" s="7" t="str">
        <f>IF(Table1[[#This Row],[Is Data Valid]]=TRUE,_xlfn.NORM.S.DIST(Table1[[#This Row],[Birthweight Z-Score (BW+10%)]],TRUE)*100,"")</f>
        <v/>
      </c>
    </row>
    <row r="3633" spans="1:12" x14ac:dyDescent="0.35">
      <c r="A3633" s="3"/>
      <c r="B3633" s="2"/>
      <c r="C3633" s="2"/>
      <c r="D3633" s="2" t="b">
        <f>IF(AND(NOT(ISBLANK(Table1[[#This Row],[Fetal Sex (Male, Female or Unknown)]])),ISNUMBER(Table1[[#This Row],[Birthweight (grams)]]),ISNUMBER(Table1[[#This Row],[Gestation (days)]])),TRUE,FALSE)</f>
        <v>0</v>
      </c>
      <c r="E3633" s="2" t="str">
        <f>IF(Table1[[#This Row],[Is Data Valid]]=TRUE,IF(Table1[[#This Row],[Fetal Sex (Male, Female or Unknown)]]="Male",Backend!$C$6,IF(Table1[[#This Row],[Fetal Sex (Male, Female or Unknown)]]="Female",Backend!$C$7,IF(Table1[[#This Row],[Fetal Sex (Male, Female or Unknown)]]="Unknown",Backend!$C$8,"Error"))),"")</f>
        <v/>
      </c>
      <c r="F3633" s="8" t="str">
        <f>IF(Table1[[#This Row],[Is Data Valid]]=TRUE,EXP(0.578+0.332*((Table1[[#This Row],[Gestation (days)]]+0.5)/7)-0.00354*((Table1[[#This Row],[Gestation (days)]]+0.5)/7)^2)*Table1[[#This Row],[BW40_3705]],"")</f>
        <v/>
      </c>
      <c r="G3633" s="2" t="str">
        <f>IF(Table1[[#This Row],[Is Data Valid]]=TRUE,((Table1[[#This Row],[Birthweight (grams)]]/Table1[[#This Row],[BW_GA]])-1)/(Backend!$B$4/100*Table1[[#This Row],[BW40_3705]]),"")</f>
        <v/>
      </c>
      <c r="H3633" s="7" t="str">
        <f>IF(Table1[[#This Row],[Is Data Valid]]=TRUE,((Table1[[#This Row],[Birthweight (grams)]]*0.9/Table1[[#This Row],[BW_GA]])-1)/(Backend!$B$4/100*Table1[[#This Row],[BW40_3705]]),"")</f>
        <v/>
      </c>
      <c r="I3633" s="7" t="str">
        <f>IF(Table1[[#This Row],[Is Data Valid]]=TRUE,((Table1[[#This Row],[Birthweight (grams)]]*1.1/Table1[[#This Row],[BW_GA]])-1)/(Backend!$B$4/100*Table1[[#This Row],[BW40_3705]]),"")</f>
        <v/>
      </c>
      <c r="J3633" s="7" t="str">
        <f>IF(Table1[[#This Row],[Is Data Valid]]=TRUE,_xlfn.NORM.S.DIST(Table1[[#This Row],[Birthweight Z-Score]],TRUE)*100,"")</f>
        <v/>
      </c>
      <c r="K3633" s="7" t="str">
        <f>IF(Table1[[#This Row],[Is Data Valid]]=TRUE,_xlfn.NORM.S.DIST(Table1[[#This Row],[Birthweight Z-Score (BW-10%)]],TRUE)*100,"")</f>
        <v/>
      </c>
      <c r="L3633" s="7" t="str">
        <f>IF(Table1[[#This Row],[Is Data Valid]]=TRUE,_xlfn.NORM.S.DIST(Table1[[#This Row],[Birthweight Z-Score (BW+10%)]],TRUE)*100,"")</f>
        <v/>
      </c>
    </row>
    <row r="3634" spans="1:12" x14ac:dyDescent="0.35">
      <c r="A3634" s="3"/>
      <c r="B3634" s="2"/>
      <c r="C3634" s="2"/>
      <c r="D3634" s="2" t="b">
        <f>IF(AND(NOT(ISBLANK(Table1[[#This Row],[Fetal Sex (Male, Female or Unknown)]])),ISNUMBER(Table1[[#This Row],[Birthweight (grams)]]),ISNUMBER(Table1[[#This Row],[Gestation (days)]])),TRUE,FALSE)</f>
        <v>0</v>
      </c>
      <c r="E3634" s="2" t="str">
        <f>IF(Table1[[#This Row],[Is Data Valid]]=TRUE,IF(Table1[[#This Row],[Fetal Sex (Male, Female or Unknown)]]="Male",Backend!$C$6,IF(Table1[[#This Row],[Fetal Sex (Male, Female or Unknown)]]="Female",Backend!$C$7,IF(Table1[[#This Row],[Fetal Sex (Male, Female or Unknown)]]="Unknown",Backend!$C$8,"Error"))),"")</f>
        <v/>
      </c>
      <c r="F3634" s="8" t="str">
        <f>IF(Table1[[#This Row],[Is Data Valid]]=TRUE,EXP(0.578+0.332*((Table1[[#This Row],[Gestation (days)]]+0.5)/7)-0.00354*((Table1[[#This Row],[Gestation (days)]]+0.5)/7)^2)*Table1[[#This Row],[BW40_3705]],"")</f>
        <v/>
      </c>
      <c r="G3634" s="2" t="str">
        <f>IF(Table1[[#This Row],[Is Data Valid]]=TRUE,((Table1[[#This Row],[Birthweight (grams)]]/Table1[[#This Row],[BW_GA]])-1)/(Backend!$B$4/100*Table1[[#This Row],[BW40_3705]]),"")</f>
        <v/>
      </c>
      <c r="H3634" s="7" t="str">
        <f>IF(Table1[[#This Row],[Is Data Valid]]=TRUE,((Table1[[#This Row],[Birthweight (grams)]]*0.9/Table1[[#This Row],[BW_GA]])-1)/(Backend!$B$4/100*Table1[[#This Row],[BW40_3705]]),"")</f>
        <v/>
      </c>
      <c r="I3634" s="7" t="str">
        <f>IF(Table1[[#This Row],[Is Data Valid]]=TRUE,((Table1[[#This Row],[Birthweight (grams)]]*1.1/Table1[[#This Row],[BW_GA]])-1)/(Backend!$B$4/100*Table1[[#This Row],[BW40_3705]]),"")</f>
        <v/>
      </c>
      <c r="J3634" s="7" t="str">
        <f>IF(Table1[[#This Row],[Is Data Valid]]=TRUE,_xlfn.NORM.S.DIST(Table1[[#This Row],[Birthweight Z-Score]],TRUE)*100,"")</f>
        <v/>
      </c>
      <c r="K3634" s="7" t="str">
        <f>IF(Table1[[#This Row],[Is Data Valid]]=TRUE,_xlfn.NORM.S.DIST(Table1[[#This Row],[Birthweight Z-Score (BW-10%)]],TRUE)*100,"")</f>
        <v/>
      </c>
      <c r="L3634" s="7" t="str">
        <f>IF(Table1[[#This Row],[Is Data Valid]]=TRUE,_xlfn.NORM.S.DIST(Table1[[#This Row],[Birthweight Z-Score (BW+10%)]],TRUE)*100,"")</f>
        <v/>
      </c>
    </row>
    <row r="3635" spans="1:12" x14ac:dyDescent="0.35">
      <c r="A3635" s="3"/>
      <c r="B3635" s="2"/>
      <c r="C3635" s="2"/>
      <c r="D3635" s="2" t="b">
        <f>IF(AND(NOT(ISBLANK(Table1[[#This Row],[Fetal Sex (Male, Female or Unknown)]])),ISNUMBER(Table1[[#This Row],[Birthweight (grams)]]),ISNUMBER(Table1[[#This Row],[Gestation (days)]])),TRUE,FALSE)</f>
        <v>0</v>
      </c>
      <c r="E3635" s="2" t="str">
        <f>IF(Table1[[#This Row],[Is Data Valid]]=TRUE,IF(Table1[[#This Row],[Fetal Sex (Male, Female or Unknown)]]="Male",Backend!$C$6,IF(Table1[[#This Row],[Fetal Sex (Male, Female or Unknown)]]="Female",Backend!$C$7,IF(Table1[[#This Row],[Fetal Sex (Male, Female or Unknown)]]="Unknown",Backend!$C$8,"Error"))),"")</f>
        <v/>
      </c>
      <c r="F3635" s="8" t="str">
        <f>IF(Table1[[#This Row],[Is Data Valid]]=TRUE,EXP(0.578+0.332*((Table1[[#This Row],[Gestation (days)]]+0.5)/7)-0.00354*((Table1[[#This Row],[Gestation (days)]]+0.5)/7)^2)*Table1[[#This Row],[BW40_3705]],"")</f>
        <v/>
      </c>
      <c r="G3635" s="2" t="str">
        <f>IF(Table1[[#This Row],[Is Data Valid]]=TRUE,((Table1[[#This Row],[Birthweight (grams)]]/Table1[[#This Row],[BW_GA]])-1)/(Backend!$B$4/100*Table1[[#This Row],[BW40_3705]]),"")</f>
        <v/>
      </c>
      <c r="H3635" s="7" t="str">
        <f>IF(Table1[[#This Row],[Is Data Valid]]=TRUE,((Table1[[#This Row],[Birthweight (grams)]]*0.9/Table1[[#This Row],[BW_GA]])-1)/(Backend!$B$4/100*Table1[[#This Row],[BW40_3705]]),"")</f>
        <v/>
      </c>
      <c r="I3635" s="7" t="str">
        <f>IF(Table1[[#This Row],[Is Data Valid]]=TRUE,((Table1[[#This Row],[Birthweight (grams)]]*1.1/Table1[[#This Row],[BW_GA]])-1)/(Backend!$B$4/100*Table1[[#This Row],[BW40_3705]]),"")</f>
        <v/>
      </c>
      <c r="J3635" s="7" t="str">
        <f>IF(Table1[[#This Row],[Is Data Valid]]=TRUE,_xlfn.NORM.S.DIST(Table1[[#This Row],[Birthweight Z-Score]],TRUE)*100,"")</f>
        <v/>
      </c>
      <c r="K3635" s="7" t="str">
        <f>IF(Table1[[#This Row],[Is Data Valid]]=TRUE,_xlfn.NORM.S.DIST(Table1[[#This Row],[Birthweight Z-Score (BW-10%)]],TRUE)*100,"")</f>
        <v/>
      </c>
      <c r="L3635" s="7" t="str">
        <f>IF(Table1[[#This Row],[Is Data Valid]]=TRUE,_xlfn.NORM.S.DIST(Table1[[#This Row],[Birthweight Z-Score (BW+10%)]],TRUE)*100,"")</f>
        <v/>
      </c>
    </row>
    <row r="3636" spans="1:12" x14ac:dyDescent="0.35">
      <c r="A3636" s="3"/>
      <c r="B3636" s="2"/>
      <c r="C3636" s="2"/>
      <c r="D3636" s="2" t="b">
        <f>IF(AND(NOT(ISBLANK(Table1[[#This Row],[Fetal Sex (Male, Female or Unknown)]])),ISNUMBER(Table1[[#This Row],[Birthweight (grams)]]),ISNUMBER(Table1[[#This Row],[Gestation (days)]])),TRUE,FALSE)</f>
        <v>0</v>
      </c>
      <c r="E3636" s="2" t="str">
        <f>IF(Table1[[#This Row],[Is Data Valid]]=TRUE,IF(Table1[[#This Row],[Fetal Sex (Male, Female or Unknown)]]="Male",Backend!$C$6,IF(Table1[[#This Row],[Fetal Sex (Male, Female or Unknown)]]="Female",Backend!$C$7,IF(Table1[[#This Row],[Fetal Sex (Male, Female or Unknown)]]="Unknown",Backend!$C$8,"Error"))),"")</f>
        <v/>
      </c>
      <c r="F3636" s="8" t="str">
        <f>IF(Table1[[#This Row],[Is Data Valid]]=TRUE,EXP(0.578+0.332*((Table1[[#This Row],[Gestation (days)]]+0.5)/7)-0.00354*((Table1[[#This Row],[Gestation (days)]]+0.5)/7)^2)*Table1[[#This Row],[BW40_3705]],"")</f>
        <v/>
      </c>
      <c r="G3636" s="2" t="str">
        <f>IF(Table1[[#This Row],[Is Data Valid]]=TRUE,((Table1[[#This Row],[Birthweight (grams)]]/Table1[[#This Row],[BW_GA]])-1)/(Backend!$B$4/100*Table1[[#This Row],[BW40_3705]]),"")</f>
        <v/>
      </c>
      <c r="H3636" s="7" t="str">
        <f>IF(Table1[[#This Row],[Is Data Valid]]=TRUE,((Table1[[#This Row],[Birthweight (grams)]]*0.9/Table1[[#This Row],[BW_GA]])-1)/(Backend!$B$4/100*Table1[[#This Row],[BW40_3705]]),"")</f>
        <v/>
      </c>
      <c r="I3636" s="7" t="str">
        <f>IF(Table1[[#This Row],[Is Data Valid]]=TRUE,((Table1[[#This Row],[Birthweight (grams)]]*1.1/Table1[[#This Row],[BW_GA]])-1)/(Backend!$B$4/100*Table1[[#This Row],[BW40_3705]]),"")</f>
        <v/>
      </c>
      <c r="J3636" s="7" t="str">
        <f>IF(Table1[[#This Row],[Is Data Valid]]=TRUE,_xlfn.NORM.S.DIST(Table1[[#This Row],[Birthweight Z-Score]],TRUE)*100,"")</f>
        <v/>
      </c>
      <c r="K3636" s="7" t="str">
        <f>IF(Table1[[#This Row],[Is Data Valid]]=TRUE,_xlfn.NORM.S.DIST(Table1[[#This Row],[Birthweight Z-Score (BW-10%)]],TRUE)*100,"")</f>
        <v/>
      </c>
      <c r="L3636" s="7" t="str">
        <f>IF(Table1[[#This Row],[Is Data Valid]]=TRUE,_xlfn.NORM.S.DIST(Table1[[#This Row],[Birthweight Z-Score (BW+10%)]],TRUE)*100,"")</f>
        <v/>
      </c>
    </row>
    <row r="3637" spans="1:12" x14ac:dyDescent="0.35">
      <c r="A3637" s="3"/>
      <c r="B3637" s="2"/>
      <c r="C3637" s="2"/>
      <c r="D3637" s="2" t="b">
        <f>IF(AND(NOT(ISBLANK(Table1[[#This Row],[Fetal Sex (Male, Female or Unknown)]])),ISNUMBER(Table1[[#This Row],[Birthweight (grams)]]),ISNUMBER(Table1[[#This Row],[Gestation (days)]])),TRUE,FALSE)</f>
        <v>0</v>
      </c>
      <c r="E3637" s="2" t="str">
        <f>IF(Table1[[#This Row],[Is Data Valid]]=TRUE,IF(Table1[[#This Row],[Fetal Sex (Male, Female or Unknown)]]="Male",Backend!$C$6,IF(Table1[[#This Row],[Fetal Sex (Male, Female or Unknown)]]="Female",Backend!$C$7,IF(Table1[[#This Row],[Fetal Sex (Male, Female or Unknown)]]="Unknown",Backend!$C$8,"Error"))),"")</f>
        <v/>
      </c>
      <c r="F3637" s="8" t="str">
        <f>IF(Table1[[#This Row],[Is Data Valid]]=TRUE,EXP(0.578+0.332*((Table1[[#This Row],[Gestation (days)]]+0.5)/7)-0.00354*((Table1[[#This Row],[Gestation (days)]]+0.5)/7)^2)*Table1[[#This Row],[BW40_3705]],"")</f>
        <v/>
      </c>
      <c r="G3637" s="2" t="str">
        <f>IF(Table1[[#This Row],[Is Data Valid]]=TRUE,((Table1[[#This Row],[Birthweight (grams)]]/Table1[[#This Row],[BW_GA]])-1)/(Backend!$B$4/100*Table1[[#This Row],[BW40_3705]]),"")</f>
        <v/>
      </c>
      <c r="H3637" s="7" t="str">
        <f>IF(Table1[[#This Row],[Is Data Valid]]=TRUE,((Table1[[#This Row],[Birthweight (grams)]]*0.9/Table1[[#This Row],[BW_GA]])-1)/(Backend!$B$4/100*Table1[[#This Row],[BW40_3705]]),"")</f>
        <v/>
      </c>
      <c r="I3637" s="7" t="str">
        <f>IF(Table1[[#This Row],[Is Data Valid]]=TRUE,((Table1[[#This Row],[Birthweight (grams)]]*1.1/Table1[[#This Row],[BW_GA]])-1)/(Backend!$B$4/100*Table1[[#This Row],[BW40_3705]]),"")</f>
        <v/>
      </c>
      <c r="J3637" s="7" t="str">
        <f>IF(Table1[[#This Row],[Is Data Valid]]=TRUE,_xlfn.NORM.S.DIST(Table1[[#This Row],[Birthweight Z-Score]],TRUE)*100,"")</f>
        <v/>
      </c>
      <c r="K3637" s="7" t="str">
        <f>IF(Table1[[#This Row],[Is Data Valid]]=TRUE,_xlfn.NORM.S.DIST(Table1[[#This Row],[Birthweight Z-Score (BW-10%)]],TRUE)*100,"")</f>
        <v/>
      </c>
      <c r="L3637" s="7" t="str">
        <f>IF(Table1[[#This Row],[Is Data Valid]]=TRUE,_xlfn.NORM.S.DIST(Table1[[#This Row],[Birthweight Z-Score (BW+10%)]],TRUE)*100,"")</f>
        <v/>
      </c>
    </row>
    <row r="3638" spans="1:12" x14ac:dyDescent="0.35">
      <c r="A3638" s="3"/>
      <c r="B3638" s="2"/>
      <c r="C3638" s="2"/>
      <c r="D3638" s="2" t="b">
        <f>IF(AND(NOT(ISBLANK(Table1[[#This Row],[Fetal Sex (Male, Female or Unknown)]])),ISNUMBER(Table1[[#This Row],[Birthweight (grams)]]),ISNUMBER(Table1[[#This Row],[Gestation (days)]])),TRUE,FALSE)</f>
        <v>0</v>
      </c>
      <c r="E3638" s="2" t="str">
        <f>IF(Table1[[#This Row],[Is Data Valid]]=TRUE,IF(Table1[[#This Row],[Fetal Sex (Male, Female or Unknown)]]="Male",Backend!$C$6,IF(Table1[[#This Row],[Fetal Sex (Male, Female or Unknown)]]="Female",Backend!$C$7,IF(Table1[[#This Row],[Fetal Sex (Male, Female or Unknown)]]="Unknown",Backend!$C$8,"Error"))),"")</f>
        <v/>
      </c>
      <c r="F3638" s="8" t="str">
        <f>IF(Table1[[#This Row],[Is Data Valid]]=TRUE,EXP(0.578+0.332*((Table1[[#This Row],[Gestation (days)]]+0.5)/7)-0.00354*((Table1[[#This Row],[Gestation (days)]]+0.5)/7)^2)*Table1[[#This Row],[BW40_3705]],"")</f>
        <v/>
      </c>
      <c r="G3638" s="2" t="str">
        <f>IF(Table1[[#This Row],[Is Data Valid]]=TRUE,((Table1[[#This Row],[Birthweight (grams)]]/Table1[[#This Row],[BW_GA]])-1)/(Backend!$B$4/100*Table1[[#This Row],[BW40_3705]]),"")</f>
        <v/>
      </c>
      <c r="H3638" s="7" t="str">
        <f>IF(Table1[[#This Row],[Is Data Valid]]=TRUE,((Table1[[#This Row],[Birthweight (grams)]]*0.9/Table1[[#This Row],[BW_GA]])-1)/(Backend!$B$4/100*Table1[[#This Row],[BW40_3705]]),"")</f>
        <v/>
      </c>
      <c r="I3638" s="7" t="str">
        <f>IF(Table1[[#This Row],[Is Data Valid]]=TRUE,((Table1[[#This Row],[Birthweight (grams)]]*1.1/Table1[[#This Row],[BW_GA]])-1)/(Backend!$B$4/100*Table1[[#This Row],[BW40_3705]]),"")</f>
        <v/>
      </c>
      <c r="J3638" s="7" t="str">
        <f>IF(Table1[[#This Row],[Is Data Valid]]=TRUE,_xlfn.NORM.S.DIST(Table1[[#This Row],[Birthweight Z-Score]],TRUE)*100,"")</f>
        <v/>
      </c>
      <c r="K3638" s="7" t="str">
        <f>IF(Table1[[#This Row],[Is Data Valid]]=TRUE,_xlfn.NORM.S.DIST(Table1[[#This Row],[Birthweight Z-Score (BW-10%)]],TRUE)*100,"")</f>
        <v/>
      </c>
      <c r="L3638" s="7" t="str">
        <f>IF(Table1[[#This Row],[Is Data Valid]]=TRUE,_xlfn.NORM.S.DIST(Table1[[#This Row],[Birthweight Z-Score (BW+10%)]],TRUE)*100,"")</f>
        <v/>
      </c>
    </row>
    <row r="3639" spans="1:12" x14ac:dyDescent="0.35">
      <c r="A3639" s="3"/>
      <c r="B3639" s="2"/>
      <c r="C3639" s="2"/>
      <c r="D3639" s="2" t="b">
        <f>IF(AND(NOT(ISBLANK(Table1[[#This Row],[Fetal Sex (Male, Female or Unknown)]])),ISNUMBER(Table1[[#This Row],[Birthweight (grams)]]),ISNUMBER(Table1[[#This Row],[Gestation (days)]])),TRUE,FALSE)</f>
        <v>0</v>
      </c>
      <c r="E3639" s="2" t="str">
        <f>IF(Table1[[#This Row],[Is Data Valid]]=TRUE,IF(Table1[[#This Row],[Fetal Sex (Male, Female or Unknown)]]="Male",Backend!$C$6,IF(Table1[[#This Row],[Fetal Sex (Male, Female or Unknown)]]="Female",Backend!$C$7,IF(Table1[[#This Row],[Fetal Sex (Male, Female or Unknown)]]="Unknown",Backend!$C$8,"Error"))),"")</f>
        <v/>
      </c>
      <c r="F3639" s="8" t="str">
        <f>IF(Table1[[#This Row],[Is Data Valid]]=TRUE,EXP(0.578+0.332*((Table1[[#This Row],[Gestation (days)]]+0.5)/7)-0.00354*((Table1[[#This Row],[Gestation (days)]]+0.5)/7)^2)*Table1[[#This Row],[BW40_3705]],"")</f>
        <v/>
      </c>
      <c r="G3639" s="2" t="str">
        <f>IF(Table1[[#This Row],[Is Data Valid]]=TRUE,((Table1[[#This Row],[Birthweight (grams)]]/Table1[[#This Row],[BW_GA]])-1)/(Backend!$B$4/100*Table1[[#This Row],[BW40_3705]]),"")</f>
        <v/>
      </c>
      <c r="H3639" s="7" t="str">
        <f>IF(Table1[[#This Row],[Is Data Valid]]=TRUE,((Table1[[#This Row],[Birthweight (grams)]]*0.9/Table1[[#This Row],[BW_GA]])-1)/(Backend!$B$4/100*Table1[[#This Row],[BW40_3705]]),"")</f>
        <v/>
      </c>
      <c r="I3639" s="7" t="str">
        <f>IF(Table1[[#This Row],[Is Data Valid]]=TRUE,((Table1[[#This Row],[Birthweight (grams)]]*1.1/Table1[[#This Row],[BW_GA]])-1)/(Backend!$B$4/100*Table1[[#This Row],[BW40_3705]]),"")</f>
        <v/>
      </c>
      <c r="J3639" s="7" t="str">
        <f>IF(Table1[[#This Row],[Is Data Valid]]=TRUE,_xlfn.NORM.S.DIST(Table1[[#This Row],[Birthweight Z-Score]],TRUE)*100,"")</f>
        <v/>
      </c>
      <c r="K3639" s="7" t="str">
        <f>IF(Table1[[#This Row],[Is Data Valid]]=TRUE,_xlfn.NORM.S.DIST(Table1[[#This Row],[Birthweight Z-Score (BW-10%)]],TRUE)*100,"")</f>
        <v/>
      </c>
      <c r="L3639" s="7" t="str">
        <f>IF(Table1[[#This Row],[Is Data Valid]]=TRUE,_xlfn.NORM.S.DIST(Table1[[#This Row],[Birthweight Z-Score (BW+10%)]],TRUE)*100,"")</f>
        <v/>
      </c>
    </row>
    <row r="3640" spans="1:12" x14ac:dyDescent="0.35">
      <c r="A3640" s="3"/>
      <c r="B3640" s="2"/>
      <c r="C3640" s="2"/>
      <c r="D3640" s="2" t="b">
        <f>IF(AND(NOT(ISBLANK(Table1[[#This Row],[Fetal Sex (Male, Female or Unknown)]])),ISNUMBER(Table1[[#This Row],[Birthweight (grams)]]),ISNUMBER(Table1[[#This Row],[Gestation (days)]])),TRUE,FALSE)</f>
        <v>0</v>
      </c>
      <c r="E3640" s="2" t="str">
        <f>IF(Table1[[#This Row],[Is Data Valid]]=TRUE,IF(Table1[[#This Row],[Fetal Sex (Male, Female or Unknown)]]="Male",Backend!$C$6,IF(Table1[[#This Row],[Fetal Sex (Male, Female or Unknown)]]="Female",Backend!$C$7,IF(Table1[[#This Row],[Fetal Sex (Male, Female or Unknown)]]="Unknown",Backend!$C$8,"Error"))),"")</f>
        <v/>
      </c>
      <c r="F3640" s="8" t="str">
        <f>IF(Table1[[#This Row],[Is Data Valid]]=TRUE,EXP(0.578+0.332*((Table1[[#This Row],[Gestation (days)]]+0.5)/7)-0.00354*((Table1[[#This Row],[Gestation (days)]]+0.5)/7)^2)*Table1[[#This Row],[BW40_3705]],"")</f>
        <v/>
      </c>
      <c r="G3640" s="2" t="str">
        <f>IF(Table1[[#This Row],[Is Data Valid]]=TRUE,((Table1[[#This Row],[Birthweight (grams)]]/Table1[[#This Row],[BW_GA]])-1)/(Backend!$B$4/100*Table1[[#This Row],[BW40_3705]]),"")</f>
        <v/>
      </c>
      <c r="H3640" s="7" t="str">
        <f>IF(Table1[[#This Row],[Is Data Valid]]=TRUE,((Table1[[#This Row],[Birthweight (grams)]]*0.9/Table1[[#This Row],[BW_GA]])-1)/(Backend!$B$4/100*Table1[[#This Row],[BW40_3705]]),"")</f>
        <v/>
      </c>
      <c r="I3640" s="7" t="str">
        <f>IF(Table1[[#This Row],[Is Data Valid]]=TRUE,((Table1[[#This Row],[Birthweight (grams)]]*1.1/Table1[[#This Row],[BW_GA]])-1)/(Backend!$B$4/100*Table1[[#This Row],[BW40_3705]]),"")</f>
        <v/>
      </c>
      <c r="J3640" s="7" t="str">
        <f>IF(Table1[[#This Row],[Is Data Valid]]=TRUE,_xlfn.NORM.S.DIST(Table1[[#This Row],[Birthweight Z-Score]],TRUE)*100,"")</f>
        <v/>
      </c>
      <c r="K3640" s="7" t="str">
        <f>IF(Table1[[#This Row],[Is Data Valid]]=TRUE,_xlfn.NORM.S.DIST(Table1[[#This Row],[Birthweight Z-Score (BW-10%)]],TRUE)*100,"")</f>
        <v/>
      </c>
      <c r="L3640" s="7" t="str">
        <f>IF(Table1[[#This Row],[Is Data Valid]]=TRUE,_xlfn.NORM.S.DIST(Table1[[#This Row],[Birthweight Z-Score (BW+10%)]],TRUE)*100,"")</f>
        <v/>
      </c>
    </row>
    <row r="3641" spans="1:12" x14ac:dyDescent="0.35">
      <c r="A3641" s="3"/>
      <c r="B3641" s="2"/>
      <c r="C3641" s="2"/>
      <c r="D3641" s="2" t="b">
        <f>IF(AND(NOT(ISBLANK(Table1[[#This Row],[Fetal Sex (Male, Female or Unknown)]])),ISNUMBER(Table1[[#This Row],[Birthweight (grams)]]),ISNUMBER(Table1[[#This Row],[Gestation (days)]])),TRUE,FALSE)</f>
        <v>0</v>
      </c>
      <c r="E3641" s="2" t="str">
        <f>IF(Table1[[#This Row],[Is Data Valid]]=TRUE,IF(Table1[[#This Row],[Fetal Sex (Male, Female or Unknown)]]="Male",Backend!$C$6,IF(Table1[[#This Row],[Fetal Sex (Male, Female or Unknown)]]="Female",Backend!$C$7,IF(Table1[[#This Row],[Fetal Sex (Male, Female or Unknown)]]="Unknown",Backend!$C$8,"Error"))),"")</f>
        <v/>
      </c>
      <c r="F3641" s="8" t="str">
        <f>IF(Table1[[#This Row],[Is Data Valid]]=TRUE,EXP(0.578+0.332*((Table1[[#This Row],[Gestation (days)]]+0.5)/7)-0.00354*((Table1[[#This Row],[Gestation (days)]]+0.5)/7)^2)*Table1[[#This Row],[BW40_3705]],"")</f>
        <v/>
      </c>
      <c r="G3641" s="2" t="str">
        <f>IF(Table1[[#This Row],[Is Data Valid]]=TRUE,((Table1[[#This Row],[Birthweight (grams)]]/Table1[[#This Row],[BW_GA]])-1)/(Backend!$B$4/100*Table1[[#This Row],[BW40_3705]]),"")</f>
        <v/>
      </c>
      <c r="H3641" s="7" t="str">
        <f>IF(Table1[[#This Row],[Is Data Valid]]=TRUE,((Table1[[#This Row],[Birthweight (grams)]]*0.9/Table1[[#This Row],[BW_GA]])-1)/(Backend!$B$4/100*Table1[[#This Row],[BW40_3705]]),"")</f>
        <v/>
      </c>
      <c r="I3641" s="7" t="str">
        <f>IF(Table1[[#This Row],[Is Data Valid]]=TRUE,((Table1[[#This Row],[Birthweight (grams)]]*1.1/Table1[[#This Row],[BW_GA]])-1)/(Backend!$B$4/100*Table1[[#This Row],[BW40_3705]]),"")</f>
        <v/>
      </c>
      <c r="J3641" s="7" t="str">
        <f>IF(Table1[[#This Row],[Is Data Valid]]=TRUE,_xlfn.NORM.S.DIST(Table1[[#This Row],[Birthweight Z-Score]],TRUE)*100,"")</f>
        <v/>
      </c>
      <c r="K3641" s="7" t="str">
        <f>IF(Table1[[#This Row],[Is Data Valid]]=TRUE,_xlfn.NORM.S.DIST(Table1[[#This Row],[Birthweight Z-Score (BW-10%)]],TRUE)*100,"")</f>
        <v/>
      </c>
      <c r="L3641" s="7" t="str">
        <f>IF(Table1[[#This Row],[Is Data Valid]]=TRUE,_xlfn.NORM.S.DIST(Table1[[#This Row],[Birthweight Z-Score (BW+10%)]],TRUE)*100,"")</f>
        <v/>
      </c>
    </row>
    <row r="3642" spans="1:12" x14ac:dyDescent="0.35">
      <c r="A3642" s="3"/>
      <c r="B3642" s="2"/>
      <c r="C3642" s="2"/>
      <c r="D3642" s="2" t="b">
        <f>IF(AND(NOT(ISBLANK(Table1[[#This Row],[Fetal Sex (Male, Female or Unknown)]])),ISNUMBER(Table1[[#This Row],[Birthweight (grams)]]),ISNUMBER(Table1[[#This Row],[Gestation (days)]])),TRUE,FALSE)</f>
        <v>0</v>
      </c>
      <c r="E3642" s="2" t="str">
        <f>IF(Table1[[#This Row],[Is Data Valid]]=TRUE,IF(Table1[[#This Row],[Fetal Sex (Male, Female or Unknown)]]="Male",Backend!$C$6,IF(Table1[[#This Row],[Fetal Sex (Male, Female or Unknown)]]="Female",Backend!$C$7,IF(Table1[[#This Row],[Fetal Sex (Male, Female or Unknown)]]="Unknown",Backend!$C$8,"Error"))),"")</f>
        <v/>
      </c>
      <c r="F3642" s="8" t="str">
        <f>IF(Table1[[#This Row],[Is Data Valid]]=TRUE,EXP(0.578+0.332*((Table1[[#This Row],[Gestation (days)]]+0.5)/7)-0.00354*((Table1[[#This Row],[Gestation (days)]]+0.5)/7)^2)*Table1[[#This Row],[BW40_3705]],"")</f>
        <v/>
      </c>
      <c r="G3642" s="2" t="str">
        <f>IF(Table1[[#This Row],[Is Data Valid]]=TRUE,((Table1[[#This Row],[Birthweight (grams)]]/Table1[[#This Row],[BW_GA]])-1)/(Backend!$B$4/100*Table1[[#This Row],[BW40_3705]]),"")</f>
        <v/>
      </c>
      <c r="H3642" s="7" t="str">
        <f>IF(Table1[[#This Row],[Is Data Valid]]=TRUE,((Table1[[#This Row],[Birthweight (grams)]]*0.9/Table1[[#This Row],[BW_GA]])-1)/(Backend!$B$4/100*Table1[[#This Row],[BW40_3705]]),"")</f>
        <v/>
      </c>
      <c r="I3642" s="7" t="str">
        <f>IF(Table1[[#This Row],[Is Data Valid]]=TRUE,((Table1[[#This Row],[Birthweight (grams)]]*1.1/Table1[[#This Row],[BW_GA]])-1)/(Backend!$B$4/100*Table1[[#This Row],[BW40_3705]]),"")</f>
        <v/>
      </c>
      <c r="J3642" s="7" t="str">
        <f>IF(Table1[[#This Row],[Is Data Valid]]=TRUE,_xlfn.NORM.S.DIST(Table1[[#This Row],[Birthweight Z-Score]],TRUE)*100,"")</f>
        <v/>
      </c>
      <c r="K3642" s="7" t="str">
        <f>IF(Table1[[#This Row],[Is Data Valid]]=TRUE,_xlfn.NORM.S.DIST(Table1[[#This Row],[Birthweight Z-Score (BW-10%)]],TRUE)*100,"")</f>
        <v/>
      </c>
      <c r="L3642" s="7" t="str">
        <f>IF(Table1[[#This Row],[Is Data Valid]]=TRUE,_xlfn.NORM.S.DIST(Table1[[#This Row],[Birthweight Z-Score (BW+10%)]],TRUE)*100,"")</f>
        <v/>
      </c>
    </row>
    <row r="3643" spans="1:12" x14ac:dyDescent="0.35">
      <c r="A3643" s="3"/>
      <c r="B3643" s="2"/>
      <c r="C3643" s="2"/>
      <c r="D3643" s="2" t="b">
        <f>IF(AND(NOT(ISBLANK(Table1[[#This Row],[Fetal Sex (Male, Female or Unknown)]])),ISNUMBER(Table1[[#This Row],[Birthweight (grams)]]),ISNUMBER(Table1[[#This Row],[Gestation (days)]])),TRUE,FALSE)</f>
        <v>0</v>
      </c>
      <c r="E3643" s="2" t="str">
        <f>IF(Table1[[#This Row],[Is Data Valid]]=TRUE,IF(Table1[[#This Row],[Fetal Sex (Male, Female or Unknown)]]="Male",Backend!$C$6,IF(Table1[[#This Row],[Fetal Sex (Male, Female or Unknown)]]="Female",Backend!$C$7,IF(Table1[[#This Row],[Fetal Sex (Male, Female or Unknown)]]="Unknown",Backend!$C$8,"Error"))),"")</f>
        <v/>
      </c>
      <c r="F3643" s="8" t="str">
        <f>IF(Table1[[#This Row],[Is Data Valid]]=TRUE,EXP(0.578+0.332*((Table1[[#This Row],[Gestation (days)]]+0.5)/7)-0.00354*((Table1[[#This Row],[Gestation (days)]]+0.5)/7)^2)*Table1[[#This Row],[BW40_3705]],"")</f>
        <v/>
      </c>
      <c r="G3643" s="2" t="str">
        <f>IF(Table1[[#This Row],[Is Data Valid]]=TRUE,((Table1[[#This Row],[Birthweight (grams)]]/Table1[[#This Row],[BW_GA]])-1)/(Backend!$B$4/100*Table1[[#This Row],[BW40_3705]]),"")</f>
        <v/>
      </c>
      <c r="H3643" s="7" t="str">
        <f>IF(Table1[[#This Row],[Is Data Valid]]=TRUE,((Table1[[#This Row],[Birthweight (grams)]]*0.9/Table1[[#This Row],[BW_GA]])-1)/(Backend!$B$4/100*Table1[[#This Row],[BW40_3705]]),"")</f>
        <v/>
      </c>
      <c r="I3643" s="7" t="str">
        <f>IF(Table1[[#This Row],[Is Data Valid]]=TRUE,((Table1[[#This Row],[Birthweight (grams)]]*1.1/Table1[[#This Row],[BW_GA]])-1)/(Backend!$B$4/100*Table1[[#This Row],[BW40_3705]]),"")</f>
        <v/>
      </c>
      <c r="J3643" s="7" t="str">
        <f>IF(Table1[[#This Row],[Is Data Valid]]=TRUE,_xlfn.NORM.S.DIST(Table1[[#This Row],[Birthweight Z-Score]],TRUE)*100,"")</f>
        <v/>
      </c>
      <c r="K3643" s="7" t="str">
        <f>IF(Table1[[#This Row],[Is Data Valid]]=TRUE,_xlfn.NORM.S.DIST(Table1[[#This Row],[Birthweight Z-Score (BW-10%)]],TRUE)*100,"")</f>
        <v/>
      </c>
      <c r="L3643" s="7" t="str">
        <f>IF(Table1[[#This Row],[Is Data Valid]]=TRUE,_xlfn.NORM.S.DIST(Table1[[#This Row],[Birthweight Z-Score (BW+10%)]],TRUE)*100,"")</f>
        <v/>
      </c>
    </row>
    <row r="3644" spans="1:12" x14ac:dyDescent="0.35">
      <c r="A3644" s="3"/>
      <c r="B3644" s="2"/>
      <c r="C3644" s="2"/>
      <c r="D3644" s="2" t="b">
        <f>IF(AND(NOT(ISBLANK(Table1[[#This Row],[Fetal Sex (Male, Female or Unknown)]])),ISNUMBER(Table1[[#This Row],[Birthweight (grams)]]),ISNUMBER(Table1[[#This Row],[Gestation (days)]])),TRUE,FALSE)</f>
        <v>0</v>
      </c>
      <c r="E3644" s="2" t="str">
        <f>IF(Table1[[#This Row],[Is Data Valid]]=TRUE,IF(Table1[[#This Row],[Fetal Sex (Male, Female or Unknown)]]="Male",Backend!$C$6,IF(Table1[[#This Row],[Fetal Sex (Male, Female or Unknown)]]="Female",Backend!$C$7,IF(Table1[[#This Row],[Fetal Sex (Male, Female or Unknown)]]="Unknown",Backend!$C$8,"Error"))),"")</f>
        <v/>
      </c>
      <c r="F3644" s="8" t="str">
        <f>IF(Table1[[#This Row],[Is Data Valid]]=TRUE,EXP(0.578+0.332*((Table1[[#This Row],[Gestation (days)]]+0.5)/7)-0.00354*((Table1[[#This Row],[Gestation (days)]]+0.5)/7)^2)*Table1[[#This Row],[BW40_3705]],"")</f>
        <v/>
      </c>
      <c r="G3644" s="2" t="str">
        <f>IF(Table1[[#This Row],[Is Data Valid]]=TRUE,((Table1[[#This Row],[Birthweight (grams)]]/Table1[[#This Row],[BW_GA]])-1)/(Backend!$B$4/100*Table1[[#This Row],[BW40_3705]]),"")</f>
        <v/>
      </c>
      <c r="H3644" s="7" t="str">
        <f>IF(Table1[[#This Row],[Is Data Valid]]=TRUE,((Table1[[#This Row],[Birthweight (grams)]]*0.9/Table1[[#This Row],[BW_GA]])-1)/(Backend!$B$4/100*Table1[[#This Row],[BW40_3705]]),"")</f>
        <v/>
      </c>
      <c r="I3644" s="7" t="str">
        <f>IF(Table1[[#This Row],[Is Data Valid]]=TRUE,((Table1[[#This Row],[Birthweight (grams)]]*1.1/Table1[[#This Row],[BW_GA]])-1)/(Backend!$B$4/100*Table1[[#This Row],[BW40_3705]]),"")</f>
        <v/>
      </c>
      <c r="J3644" s="7" t="str">
        <f>IF(Table1[[#This Row],[Is Data Valid]]=TRUE,_xlfn.NORM.S.DIST(Table1[[#This Row],[Birthweight Z-Score]],TRUE)*100,"")</f>
        <v/>
      </c>
      <c r="K3644" s="7" t="str">
        <f>IF(Table1[[#This Row],[Is Data Valid]]=TRUE,_xlfn.NORM.S.DIST(Table1[[#This Row],[Birthweight Z-Score (BW-10%)]],TRUE)*100,"")</f>
        <v/>
      </c>
      <c r="L3644" s="7" t="str">
        <f>IF(Table1[[#This Row],[Is Data Valid]]=TRUE,_xlfn.NORM.S.DIST(Table1[[#This Row],[Birthweight Z-Score (BW+10%)]],TRUE)*100,"")</f>
        <v/>
      </c>
    </row>
    <row r="3645" spans="1:12" x14ac:dyDescent="0.35">
      <c r="A3645" s="3"/>
      <c r="B3645" s="2"/>
      <c r="C3645" s="2"/>
      <c r="D3645" s="2" t="b">
        <f>IF(AND(NOT(ISBLANK(Table1[[#This Row],[Fetal Sex (Male, Female or Unknown)]])),ISNUMBER(Table1[[#This Row],[Birthweight (grams)]]),ISNUMBER(Table1[[#This Row],[Gestation (days)]])),TRUE,FALSE)</f>
        <v>0</v>
      </c>
      <c r="E3645" s="2" t="str">
        <f>IF(Table1[[#This Row],[Is Data Valid]]=TRUE,IF(Table1[[#This Row],[Fetal Sex (Male, Female or Unknown)]]="Male",Backend!$C$6,IF(Table1[[#This Row],[Fetal Sex (Male, Female or Unknown)]]="Female",Backend!$C$7,IF(Table1[[#This Row],[Fetal Sex (Male, Female or Unknown)]]="Unknown",Backend!$C$8,"Error"))),"")</f>
        <v/>
      </c>
      <c r="F3645" s="8" t="str">
        <f>IF(Table1[[#This Row],[Is Data Valid]]=TRUE,EXP(0.578+0.332*((Table1[[#This Row],[Gestation (days)]]+0.5)/7)-0.00354*((Table1[[#This Row],[Gestation (days)]]+0.5)/7)^2)*Table1[[#This Row],[BW40_3705]],"")</f>
        <v/>
      </c>
      <c r="G3645" s="2" t="str">
        <f>IF(Table1[[#This Row],[Is Data Valid]]=TRUE,((Table1[[#This Row],[Birthweight (grams)]]/Table1[[#This Row],[BW_GA]])-1)/(Backend!$B$4/100*Table1[[#This Row],[BW40_3705]]),"")</f>
        <v/>
      </c>
      <c r="H3645" s="7" t="str">
        <f>IF(Table1[[#This Row],[Is Data Valid]]=TRUE,((Table1[[#This Row],[Birthweight (grams)]]*0.9/Table1[[#This Row],[BW_GA]])-1)/(Backend!$B$4/100*Table1[[#This Row],[BW40_3705]]),"")</f>
        <v/>
      </c>
      <c r="I3645" s="7" t="str">
        <f>IF(Table1[[#This Row],[Is Data Valid]]=TRUE,((Table1[[#This Row],[Birthweight (grams)]]*1.1/Table1[[#This Row],[BW_GA]])-1)/(Backend!$B$4/100*Table1[[#This Row],[BW40_3705]]),"")</f>
        <v/>
      </c>
      <c r="J3645" s="7" t="str">
        <f>IF(Table1[[#This Row],[Is Data Valid]]=TRUE,_xlfn.NORM.S.DIST(Table1[[#This Row],[Birthweight Z-Score]],TRUE)*100,"")</f>
        <v/>
      </c>
      <c r="K3645" s="7" t="str">
        <f>IF(Table1[[#This Row],[Is Data Valid]]=TRUE,_xlfn.NORM.S.DIST(Table1[[#This Row],[Birthweight Z-Score (BW-10%)]],TRUE)*100,"")</f>
        <v/>
      </c>
      <c r="L3645" s="7" t="str">
        <f>IF(Table1[[#This Row],[Is Data Valid]]=TRUE,_xlfn.NORM.S.DIST(Table1[[#This Row],[Birthweight Z-Score (BW+10%)]],TRUE)*100,"")</f>
        <v/>
      </c>
    </row>
    <row r="3646" spans="1:12" x14ac:dyDescent="0.35">
      <c r="A3646" s="3"/>
      <c r="B3646" s="2"/>
      <c r="C3646" s="2"/>
      <c r="D3646" s="2" t="b">
        <f>IF(AND(NOT(ISBLANK(Table1[[#This Row],[Fetal Sex (Male, Female or Unknown)]])),ISNUMBER(Table1[[#This Row],[Birthweight (grams)]]),ISNUMBER(Table1[[#This Row],[Gestation (days)]])),TRUE,FALSE)</f>
        <v>0</v>
      </c>
      <c r="E3646" s="2" t="str">
        <f>IF(Table1[[#This Row],[Is Data Valid]]=TRUE,IF(Table1[[#This Row],[Fetal Sex (Male, Female or Unknown)]]="Male",Backend!$C$6,IF(Table1[[#This Row],[Fetal Sex (Male, Female or Unknown)]]="Female",Backend!$C$7,IF(Table1[[#This Row],[Fetal Sex (Male, Female or Unknown)]]="Unknown",Backend!$C$8,"Error"))),"")</f>
        <v/>
      </c>
      <c r="F3646" s="8" t="str">
        <f>IF(Table1[[#This Row],[Is Data Valid]]=TRUE,EXP(0.578+0.332*((Table1[[#This Row],[Gestation (days)]]+0.5)/7)-0.00354*((Table1[[#This Row],[Gestation (days)]]+0.5)/7)^2)*Table1[[#This Row],[BW40_3705]],"")</f>
        <v/>
      </c>
      <c r="G3646" s="2" t="str">
        <f>IF(Table1[[#This Row],[Is Data Valid]]=TRUE,((Table1[[#This Row],[Birthweight (grams)]]/Table1[[#This Row],[BW_GA]])-1)/(Backend!$B$4/100*Table1[[#This Row],[BW40_3705]]),"")</f>
        <v/>
      </c>
      <c r="H3646" s="7" t="str">
        <f>IF(Table1[[#This Row],[Is Data Valid]]=TRUE,((Table1[[#This Row],[Birthweight (grams)]]*0.9/Table1[[#This Row],[BW_GA]])-1)/(Backend!$B$4/100*Table1[[#This Row],[BW40_3705]]),"")</f>
        <v/>
      </c>
      <c r="I3646" s="7" t="str">
        <f>IF(Table1[[#This Row],[Is Data Valid]]=TRUE,((Table1[[#This Row],[Birthweight (grams)]]*1.1/Table1[[#This Row],[BW_GA]])-1)/(Backend!$B$4/100*Table1[[#This Row],[BW40_3705]]),"")</f>
        <v/>
      </c>
      <c r="J3646" s="7" t="str">
        <f>IF(Table1[[#This Row],[Is Data Valid]]=TRUE,_xlfn.NORM.S.DIST(Table1[[#This Row],[Birthweight Z-Score]],TRUE)*100,"")</f>
        <v/>
      </c>
      <c r="K3646" s="7" t="str">
        <f>IF(Table1[[#This Row],[Is Data Valid]]=TRUE,_xlfn.NORM.S.DIST(Table1[[#This Row],[Birthweight Z-Score (BW-10%)]],TRUE)*100,"")</f>
        <v/>
      </c>
      <c r="L3646" s="7" t="str">
        <f>IF(Table1[[#This Row],[Is Data Valid]]=TRUE,_xlfn.NORM.S.DIST(Table1[[#This Row],[Birthweight Z-Score (BW+10%)]],TRUE)*100,"")</f>
        <v/>
      </c>
    </row>
    <row r="3647" spans="1:12" x14ac:dyDescent="0.35">
      <c r="A3647" s="3"/>
      <c r="B3647" s="2"/>
      <c r="C3647" s="2"/>
      <c r="D3647" s="2" t="b">
        <f>IF(AND(NOT(ISBLANK(Table1[[#This Row],[Fetal Sex (Male, Female or Unknown)]])),ISNUMBER(Table1[[#This Row],[Birthweight (grams)]]),ISNUMBER(Table1[[#This Row],[Gestation (days)]])),TRUE,FALSE)</f>
        <v>0</v>
      </c>
      <c r="E3647" s="2" t="str">
        <f>IF(Table1[[#This Row],[Is Data Valid]]=TRUE,IF(Table1[[#This Row],[Fetal Sex (Male, Female or Unknown)]]="Male",Backend!$C$6,IF(Table1[[#This Row],[Fetal Sex (Male, Female or Unknown)]]="Female",Backend!$C$7,IF(Table1[[#This Row],[Fetal Sex (Male, Female or Unknown)]]="Unknown",Backend!$C$8,"Error"))),"")</f>
        <v/>
      </c>
      <c r="F3647" s="8" t="str">
        <f>IF(Table1[[#This Row],[Is Data Valid]]=TRUE,EXP(0.578+0.332*((Table1[[#This Row],[Gestation (days)]]+0.5)/7)-0.00354*((Table1[[#This Row],[Gestation (days)]]+0.5)/7)^2)*Table1[[#This Row],[BW40_3705]],"")</f>
        <v/>
      </c>
      <c r="G3647" s="2" t="str">
        <f>IF(Table1[[#This Row],[Is Data Valid]]=TRUE,((Table1[[#This Row],[Birthweight (grams)]]/Table1[[#This Row],[BW_GA]])-1)/(Backend!$B$4/100*Table1[[#This Row],[BW40_3705]]),"")</f>
        <v/>
      </c>
      <c r="H3647" s="7" t="str">
        <f>IF(Table1[[#This Row],[Is Data Valid]]=TRUE,((Table1[[#This Row],[Birthweight (grams)]]*0.9/Table1[[#This Row],[BW_GA]])-1)/(Backend!$B$4/100*Table1[[#This Row],[BW40_3705]]),"")</f>
        <v/>
      </c>
      <c r="I3647" s="7" t="str">
        <f>IF(Table1[[#This Row],[Is Data Valid]]=TRUE,((Table1[[#This Row],[Birthweight (grams)]]*1.1/Table1[[#This Row],[BW_GA]])-1)/(Backend!$B$4/100*Table1[[#This Row],[BW40_3705]]),"")</f>
        <v/>
      </c>
      <c r="J3647" s="7" t="str">
        <f>IF(Table1[[#This Row],[Is Data Valid]]=TRUE,_xlfn.NORM.S.DIST(Table1[[#This Row],[Birthweight Z-Score]],TRUE)*100,"")</f>
        <v/>
      </c>
      <c r="K3647" s="7" t="str">
        <f>IF(Table1[[#This Row],[Is Data Valid]]=TRUE,_xlfn.NORM.S.DIST(Table1[[#This Row],[Birthweight Z-Score (BW-10%)]],TRUE)*100,"")</f>
        <v/>
      </c>
      <c r="L3647" s="7" t="str">
        <f>IF(Table1[[#This Row],[Is Data Valid]]=TRUE,_xlfn.NORM.S.DIST(Table1[[#This Row],[Birthweight Z-Score (BW+10%)]],TRUE)*100,"")</f>
        <v/>
      </c>
    </row>
    <row r="3648" spans="1:12" x14ac:dyDescent="0.35">
      <c r="A3648" s="3"/>
      <c r="B3648" s="2"/>
      <c r="C3648" s="2"/>
      <c r="D3648" s="2" t="b">
        <f>IF(AND(NOT(ISBLANK(Table1[[#This Row],[Fetal Sex (Male, Female or Unknown)]])),ISNUMBER(Table1[[#This Row],[Birthweight (grams)]]),ISNUMBER(Table1[[#This Row],[Gestation (days)]])),TRUE,FALSE)</f>
        <v>0</v>
      </c>
      <c r="E3648" s="2" t="str">
        <f>IF(Table1[[#This Row],[Is Data Valid]]=TRUE,IF(Table1[[#This Row],[Fetal Sex (Male, Female or Unknown)]]="Male",Backend!$C$6,IF(Table1[[#This Row],[Fetal Sex (Male, Female or Unknown)]]="Female",Backend!$C$7,IF(Table1[[#This Row],[Fetal Sex (Male, Female or Unknown)]]="Unknown",Backend!$C$8,"Error"))),"")</f>
        <v/>
      </c>
      <c r="F3648" s="8" t="str">
        <f>IF(Table1[[#This Row],[Is Data Valid]]=TRUE,EXP(0.578+0.332*((Table1[[#This Row],[Gestation (days)]]+0.5)/7)-0.00354*((Table1[[#This Row],[Gestation (days)]]+0.5)/7)^2)*Table1[[#This Row],[BW40_3705]],"")</f>
        <v/>
      </c>
      <c r="G3648" s="2" t="str">
        <f>IF(Table1[[#This Row],[Is Data Valid]]=TRUE,((Table1[[#This Row],[Birthweight (grams)]]/Table1[[#This Row],[BW_GA]])-1)/(Backend!$B$4/100*Table1[[#This Row],[BW40_3705]]),"")</f>
        <v/>
      </c>
      <c r="H3648" s="7" t="str">
        <f>IF(Table1[[#This Row],[Is Data Valid]]=TRUE,((Table1[[#This Row],[Birthweight (grams)]]*0.9/Table1[[#This Row],[BW_GA]])-1)/(Backend!$B$4/100*Table1[[#This Row],[BW40_3705]]),"")</f>
        <v/>
      </c>
      <c r="I3648" s="7" t="str">
        <f>IF(Table1[[#This Row],[Is Data Valid]]=TRUE,((Table1[[#This Row],[Birthweight (grams)]]*1.1/Table1[[#This Row],[BW_GA]])-1)/(Backend!$B$4/100*Table1[[#This Row],[BW40_3705]]),"")</f>
        <v/>
      </c>
      <c r="J3648" s="7" t="str">
        <f>IF(Table1[[#This Row],[Is Data Valid]]=TRUE,_xlfn.NORM.S.DIST(Table1[[#This Row],[Birthweight Z-Score]],TRUE)*100,"")</f>
        <v/>
      </c>
      <c r="K3648" s="7" t="str">
        <f>IF(Table1[[#This Row],[Is Data Valid]]=TRUE,_xlfn.NORM.S.DIST(Table1[[#This Row],[Birthweight Z-Score (BW-10%)]],TRUE)*100,"")</f>
        <v/>
      </c>
      <c r="L3648" s="7" t="str">
        <f>IF(Table1[[#This Row],[Is Data Valid]]=TRUE,_xlfn.NORM.S.DIST(Table1[[#This Row],[Birthweight Z-Score (BW+10%)]],TRUE)*100,"")</f>
        <v/>
      </c>
    </row>
    <row r="3649" spans="1:12" x14ac:dyDescent="0.35">
      <c r="A3649" s="3"/>
      <c r="B3649" s="2"/>
      <c r="C3649" s="2"/>
      <c r="D3649" s="2" t="b">
        <f>IF(AND(NOT(ISBLANK(Table1[[#This Row],[Fetal Sex (Male, Female or Unknown)]])),ISNUMBER(Table1[[#This Row],[Birthweight (grams)]]),ISNUMBER(Table1[[#This Row],[Gestation (days)]])),TRUE,FALSE)</f>
        <v>0</v>
      </c>
      <c r="E3649" s="2" t="str">
        <f>IF(Table1[[#This Row],[Is Data Valid]]=TRUE,IF(Table1[[#This Row],[Fetal Sex (Male, Female or Unknown)]]="Male",Backend!$C$6,IF(Table1[[#This Row],[Fetal Sex (Male, Female or Unknown)]]="Female",Backend!$C$7,IF(Table1[[#This Row],[Fetal Sex (Male, Female or Unknown)]]="Unknown",Backend!$C$8,"Error"))),"")</f>
        <v/>
      </c>
      <c r="F3649" s="8" t="str">
        <f>IF(Table1[[#This Row],[Is Data Valid]]=TRUE,EXP(0.578+0.332*((Table1[[#This Row],[Gestation (days)]]+0.5)/7)-0.00354*((Table1[[#This Row],[Gestation (days)]]+0.5)/7)^2)*Table1[[#This Row],[BW40_3705]],"")</f>
        <v/>
      </c>
      <c r="G3649" s="2" t="str">
        <f>IF(Table1[[#This Row],[Is Data Valid]]=TRUE,((Table1[[#This Row],[Birthweight (grams)]]/Table1[[#This Row],[BW_GA]])-1)/(Backend!$B$4/100*Table1[[#This Row],[BW40_3705]]),"")</f>
        <v/>
      </c>
      <c r="H3649" s="7" t="str">
        <f>IF(Table1[[#This Row],[Is Data Valid]]=TRUE,((Table1[[#This Row],[Birthweight (grams)]]*0.9/Table1[[#This Row],[BW_GA]])-1)/(Backend!$B$4/100*Table1[[#This Row],[BW40_3705]]),"")</f>
        <v/>
      </c>
      <c r="I3649" s="7" t="str">
        <f>IF(Table1[[#This Row],[Is Data Valid]]=TRUE,((Table1[[#This Row],[Birthweight (grams)]]*1.1/Table1[[#This Row],[BW_GA]])-1)/(Backend!$B$4/100*Table1[[#This Row],[BW40_3705]]),"")</f>
        <v/>
      </c>
      <c r="J3649" s="7" t="str">
        <f>IF(Table1[[#This Row],[Is Data Valid]]=TRUE,_xlfn.NORM.S.DIST(Table1[[#This Row],[Birthweight Z-Score]],TRUE)*100,"")</f>
        <v/>
      </c>
      <c r="K3649" s="7" t="str">
        <f>IF(Table1[[#This Row],[Is Data Valid]]=TRUE,_xlfn.NORM.S.DIST(Table1[[#This Row],[Birthweight Z-Score (BW-10%)]],TRUE)*100,"")</f>
        <v/>
      </c>
      <c r="L3649" s="7" t="str">
        <f>IF(Table1[[#This Row],[Is Data Valid]]=TRUE,_xlfn.NORM.S.DIST(Table1[[#This Row],[Birthweight Z-Score (BW+10%)]],TRUE)*100,"")</f>
        <v/>
      </c>
    </row>
    <row r="3650" spans="1:12" x14ac:dyDescent="0.35">
      <c r="A3650" s="3"/>
      <c r="B3650" s="2"/>
      <c r="C3650" s="2"/>
      <c r="D3650" s="2" t="b">
        <f>IF(AND(NOT(ISBLANK(Table1[[#This Row],[Fetal Sex (Male, Female or Unknown)]])),ISNUMBER(Table1[[#This Row],[Birthweight (grams)]]),ISNUMBER(Table1[[#This Row],[Gestation (days)]])),TRUE,FALSE)</f>
        <v>0</v>
      </c>
      <c r="E3650" s="2" t="str">
        <f>IF(Table1[[#This Row],[Is Data Valid]]=TRUE,IF(Table1[[#This Row],[Fetal Sex (Male, Female or Unknown)]]="Male",Backend!$C$6,IF(Table1[[#This Row],[Fetal Sex (Male, Female or Unknown)]]="Female",Backend!$C$7,IF(Table1[[#This Row],[Fetal Sex (Male, Female or Unknown)]]="Unknown",Backend!$C$8,"Error"))),"")</f>
        <v/>
      </c>
      <c r="F3650" s="8" t="str">
        <f>IF(Table1[[#This Row],[Is Data Valid]]=TRUE,EXP(0.578+0.332*((Table1[[#This Row],[Gestation (days)]]+0.5)/7)-0.00354*((Table1[[#This Row],[Gestation (days)]]+0.5)/7)^2)*Table1[[#This Row],[BW40_3705]],"")</f>
        <v/>
      </c>
      <c r="G3650" s="2" t="str">
        <f>IF(Table1[[#This Row],[Is Data Valid]]=TRUE,((Table1[[#This Row],[Birthweight (grams)]]/Table1[[#This Row],[BW_GA]])-1)/(Backend!$B$4/100*Table1[[#This Row],[BW40_3705]]),"")</f>
        <v/>
      </c>
      <c r="H3650" s="7" t="str">
        <f>IF(Table1[[#This Row],[Is Data Valid]]=TRUE,((Table1[[#This Row],[Birthweight (grams)]]*0.9/Table1[[#This Row],[BW_GA]])-1)/(Backend!$B$4/100*Table1[[#This Row],[BW40_3705]]),"")</f>
        <v/>
      </c>
      <c r="I3650" s="7" t="str">
        <f>IF(Table1[[#This Row],[Is Data Valid]]=TRUE,((Table1[[#This Row],[Birthweight (grams)]]*1.1/Table1[[#This Row],[BW_GA]])-1)/(Backend!$B$4/100*Table1[[#This Row],[BW40_3705]]),"")</f>
        <v/>
      </c>
      <c r="J3650" s="7" t="str">
        <f>IF(Table1[[#This Row],[Is Data Valid]]=TRUE,_xlfn.NORM.S.DIST(Table1[[#This Row],[Birthweight Z-Score]],TRUE)*100,"")</f>
        <v/>
      </c>
      <c r="K3650" s="7" t="str">
        <f>IF(Table1[[#This Row],[Is Data Valid]]=TRUE,_xlfn.NORM.S.DIST(Table1[[#This Row],[Birthweight Z-Score (BW-10%)]],TRUE)*100,"")</f>
        <v/>
      </c>
      <c r="L3650" s="7" t="str">
        <f>IF(Table1[[#This Row],[Is Data Valid]]=TRUE,_xlfn.NORM.S.DIST(Table1[[#This Row],[Birthweight Z-Score (BW+10%)]],TRUE)*100,"")</f>
        <v/>
      </c>
    </row>
    <row r="3651" spans="1:12" x14ac:dyDescent="0.35">
      <c r="A3651" s="3"/>
      <c r="B3651" s="2"/>
      <c r="C3651" s="2"/>
      <c r="D3651" s="2" t="b">
        <f>IF(AND(NOT(ISBLANK(Table1[[#This Row],[Fetal Sex (Male, Female or Unknown)]])),ISNUMBER(Table1[[#This Row],[Birthweight (grams)]]),ISNUMBER(Table1[[#This Row],[Gestation (days)]])),TRUE,FALSE)</f>
        <v>0</v>
      </c>
      <c r="E3651" s="2" t="str">
        <f>IF(Table1[[#This Row],[Is Data Valid]]=TRUE,IF(Table1[[#This Row],[Fetal Sex (Male, Female or Unknown)]]="Male",Backend!$C$6,IF(Table1[[#This Row],[Fetal Sex (Male, Female or Unknown)]]="Female",Backend!$C$7,IF(Table1[[#This Row],[Fetal Sex (Male, Female or Unknown)]]="Unknown",Backend!$C$8,"Error"))),"")</f>
        <v/>
      </c>
      <c r="F3651" s="8" t="str">
        <f>IF(Table1[[#This Row],[Is Data Valid]]=TRUE,EXP(0.578+0.332*((Table1[[#This Row],[Gestation (days)]]+0.5)/7)-0.00354*((Table1[[#This Row],[Gestation (days)]]+0.5)/7)^2)*Table1[[#This Row],[BW40_3705]],"")</f>
        <v/>
      </c>
      <c r="G3651" s="2" t="str">
        <f>IF(Table1[[#This Row],[Is Data Valid]]=TRUE,((Table1[[#This Row],[Birthweight (grams)]]/Table1[[#This Row],[BW_GA]])-1)/(Backend!$B$4/100*Table1[[#This Row],[BW40_3705]]),"")</f>
        <v/>
      </c>
      <c r="H3651" s="7" t="str">
        <f>IF(Table1[[#This Row],[Is Data Valid]]=TRUE,((Table1[[#This Row],[Birthweight (grams)]]*0.9/Table1[[#This Row],[BW_GA]])-1)/(Backend!$B$4/100*Table1[[#This Row],[BW40_3705]]),"")</f>
        <v/>
      </c>
      <c r="I3651" s="7" t="str">
        <f>IF(Table1[[#This Row],[Is Data Valid]]=TRUE,((Table1[[#This Row],[Birthweight (grams)]]*1.1/Table1[[#This Row],[BW_GA]])-1)/(Backend!$B$4/100*Table1[[#This Row],[BW40_3705]]),"")</f>
        <v/>
      </c>
      <c r="J3651" s="7" t="str">
        <f>IF(Table1[[#This Row],[Is Data Valid]]=TRUE,_xlfn.NORM.S.DIST(Table1[[#This Row],[Birthweight Z-Score]],TRUE)*100,"")</f>
        <v/>
      </c>
      <c r="K3651" s="7" t="str">
        <f>IF(Table1[[#This Row],[Is Data Valid]]=TRUE,_xlfn.NORM.S.DIST(Table1[[#This Row],[Birthweight Z-Score (BW-10%)]],TRUE)*100,"")</f>
        <v/>
      </c>
      <c r="L3651" s="7" t="str">
        <f>IF(Table1[[#This Row],[Is Data Valid]]=TRUE,_xlfn.NORM.S.DIST(Table1[[#This Row],[Birthweight Z-Score (BW+10%)]],TRUE)*100,"")</f>
        <v/>
      </c>
    </row>
    <row r="3652" spans="1:12" x14ac:dyDescent="0.35">
      <c r="A3652" s="3"/>
      <c r="B3652" s="2"/>
      <c r="C3652" s="2"/>
      <c r="D3652" s="2" t="b">
        <f>IF(AND(NOT(ISBLANK(Table1[[#This Row],[Fetal Sex (Male, Female or Unknown)]])),ISNUMBER(Table1[[#This Row],[Birthweight (grams)]]),ISNUMBER(Table1[[#This Row],[Gestation (days)]])),TRUE,FALSE)</f>
        <v>0</v>
      </c>
      <c r="E3652" s="2" t="str">
        <f>IF(Table1[[#This Row],[Is Data Valid]]=TRUE,IF(Table1[[#This Row],[Fetal Sex (Male, Female or Unknown)]]="Male",Backend!$C$6,IF(Table1[[#This Row],[Fetal Sex (Male, Female or Unknown)]]="Female",Backend!$C$7,IF(Table1[[#This Row],[Fetal Sex (Male, Female or Unknown)]]="Unknown",Backend!$C$8,"Error"))),"")</f>
        <v/>
      </c>
      <c r="F3652" s="8" t="str">
        <f>IF(Table1[[#This Row],[Is Data Valid]]=TRUE,EXP(0.578+0.332*((Table1[[#This Row],[Gestation (days)]]+0.5)/7)-0.00354*((Table1[[#This Row],[Gestation (days)]]+0.5)/7)^2)*Table1[[#This Row],[BW40_3705]],"")</f>
        <v/>
      </c>
      <c r="G3652" s="2" t="str">
        <f>IF(Table1[[#This Row],[Is Data Valid]]=TRUE,((Table1[[#This Row],[Birthweight (grams)]]/Table1[[#This Row],[BW_GA]])-1)/(Backend!$B$4/100*Table1[[#This Row],[BW40_3705]]),"")</f>
        <v/>
      </c>
      <c r="H3652" s="7" t="str">
        <f>IF(Table1[[#This Row],[Is Data Valid]]=TRUE,((Table1[[#This Row],[Birthweight (grams)]]*0.9/Table1[[#This Row],[BW_GA]])-1)/(Backend!$B$4/100*Table1[[#This Row],[BW40_3705]]),"")</f>
        <v/>
      </c>
      <c r="I3652" s="7" t="str">
        <f>IF(Table1[[#This Row],[Is Data Valid]]=TRUE,((Table1[[#This Row],[Birthweight (grams)]]*1.1/Table1[[#This Row],[BW_GA]])-1)/(Backend!$B$4/100*Table1[[#This Row],[BW40_3705]]),"")</f>
        <v/>
      </c>
      <c r="J3652" s="7" t="str">
        <f>IF(Table1[[#This Row],[Is Data Valid]]=TRUE,_xlfn.NORM.S.DIST(Table1[[#This Row],[Birthweight Z-Score]],TRUE)*100,"")</f>
        <v/>
      </c>
      <c r="K3652" s="7" t="str">
        <f>IF(Table1[[#This Row],[Is Data Valid]]=TRUE,_xlfn.NORM.S.DIST(Table1[[#This Row],[Birthweight Z-Score (BW-10%)]],TRUE)*100,"")</f>
        <v/>
      </c>
      <c r="L3652" s="7" t="str">
        <f>IF(Table1[[#This Row],[Is Data Valid]]=TRUE,_xlfn.NORM.S.DIST(Table1[[#This Row],[Birthweight Z-Score (BW+10%)]],TRUE)*100,"")</f>
        <v/>
      </c>
    </row>
    <row r="3653" spans="1:12" x14ac:dyDescent="0.35">
      <c r="A3653" s="3"/>
      <c r="B3653" s="2"/>
      <c r="C3653" s="2"/>
      <c r="D3653" s="2" t="b">
        <f>IF(AND(NOT(ISBLANK(Table1[[#This Row],[Fetal Sex (Male, Female or Unknown)]])),ISNUMBER(Table1[[#This Row],[Birthweight (grams)]]),ISNUMBER(Table1[[#This Row],[Gestation (days)]])),TRUE,FALSE)</f>
        <v>0</v>
      </c>
      <c r="E3653" s="2" t="str">
        <f>IF(Table1[[#This Row],[Is Data Valid]]=TRUE,IF(Table1[[#This Row],[Fetal Sex (Male, Female or Unknown)]]="Male",Backend!$C$6,IF(Table1[[#This Row],[Fetal Sex (Male, Female or Unknown)]]="Female",Backend!$C$7,IF(Table1[[#This Row],[Fetal Sex (Male, Female or Unknown)]]="Unknown",Backend!$C$8,"Error"))),"")</f>
        <v/>
      </c>
      <c r="F3653" s="8" t="str">
        <f>IF(Table1[[#This Row],[Is Data Valid]]=TRUE,EXP(0.578+0.332*((Table1[[#This Row],[Gestation (days)]]+0.5)/7)-0.00354*((Table1[[#This Row],[Gestation (days)]]+0.5)/7)^2)*Table1[[#This Row],[BW40_3705]],"")</f>
        <v/>
      </c>
      <c r="G3653" s="2" t="str">
        <f>IF(Table1[[#This Row],[Is Data Valid]]=TRUE,((Table1[[#This Row],[Birthweight (grams)]]/Table1[[#This Row],[BW_GA]])-1)/(Backend!$B$4/100*Table1[[#This Row],[BW40_3705]]),"")</f>
        <v/>
      </c>
      <c r="H3653" s="7" t="str">
        <f>IF(Table1[[#This Row],[Is Data Valid]]=TRUE,((Table1[[#This Row],[Birthweight (grams)]]*0.9/Table1[[#This Row],[BW_GA]])-1)/(Backend!$B$4/100*Table1[[#This Row],[BW40_3705]]),"")</f>
        <v/>
      </c>
      <c r="I3653" s="7" t="str">
        <f>IF(Table1[[#This Row],[Is Data Valid]]=TRUE,((Table1[[#This Row],[Birthweight (grams)]]*1.1/Table1[[#This Row],[BW_GA]])-1)/(Backend!$B$4/100*Table1[[#This Row],[BW40_3705]]),"")</f>
        <v/>
      </c>
      <c r="J3653" s="7" t="str">
        <f>IF(Table1[[#This Row],[Is Data Valid]]=TRUE,_xlfn.NORM.S.DIST(Table1[[#This Row],[Birthweight Z-Score]],TRUE)*100,"")</f>
        <v/>
      </c>
      <c r="K3653" s="7" t="str">
        <f>IF(Table1[[#This Row],[Is Data Valid]]=TRUE,_xlfn.NORM.S.DIST(Table1[[#This Row],[Birthweight Z-Score (BW-10%)]],TRUE)*100,"")</f>
        <v/>
      </c>
      <c r="L3653" s="7" t="str">
        <f>IF(Table1[[#This Row],[Is Data Valid]]=TRUE,_xlfn.NORM.S.DIST(Table1[[#This Row],[Birthweight Z-Score (BW+10%)]],TRUE)*100,"")</f>
        <v/>
      </c>
    </row>
    <row r="3654" spans="1:12" x14ac:dyDescent="0.35">
      <c r="A3654" s="3"/>
      <c r="B3654" s="2"/>
      <c r="C3654" s="2"/>
      <c r="D3654" s="2" t="b">
        <f>IF(AND(NOT(ISBLANK(Table1[[#This Row],[Fetal Sex (Male, Female or Unknown)]])),ISNUMBER(Table1[[#This Row],[Birthweight (grams)]]),ISNUMBER(Table1[[#This Row],[Gestation (days)]])),TRUE,FALSE)</f>
        <v>0</v>
      </c>
      <c r="E3654" s="2" t="str">
        <f>IF(Table1[[#This Row],[Is Data Valid]]=TRUE,IF(Table1[[#This Row],[Fetal Sex (Male, Female or Unknown)]]="Male",Backend!$C$6,IF(Table1[[#This Row],[Fetal Sex (Male, Female or Unknown)]]="Female",Backend!$C$7,IF(Table1[[#This Row],[Fetal Sex (Male, Female or Unknown)]]="Unknown",Backend!$C$8,"Error"))),"")</f>
        <v/>
      </c>
      <c r="F3654" s="8" t="str">
        <f>IF(Table1[[#This Row],[Is Data Valid]]=TRUE,EXP(0.578+0.332*((Table1[[#This Row],[Gestation (days)]]+0.5)/7)-0.00354*((Table1[[#This Row],[Gestation (days)]]+0.5)/7)^2)*Table1[[#This Row],[BW40_3705]],"")</f>
        <v/>
      </c>
      <c r="G3654" s="2" t="str">
        <f>IF(Table1[[#This Row],[Is Data Valid]]=TRUE,((Table1[[#This Row],[Birthweight (grams)]]/Table1[[#This Row],[BW_GA]])-1)/(Backend!$B$4/100*Table1[[#This Row],[BW40_3705]]),"")</f>
        <v/>
      </c>
      <c r="H3654" s="7" t="str">
        <f>IF(Table1[[#This Row],[Is Data Valid]]=TRUE,((Table1[[#This Row],[Birthweight (grams)]]*0.9/Table1[[#This Row],[BW_GA]])-1)/(Backend!$B$4/100*Table1[[#This Row],[BW40_3705]]),"")</f>
        <v/>
      </c>
      <c r="I3654" s="7" t="str">
        <f>IF(Table1[[#This Row],[Is Data Valid]]=TRUE,((Table1[[#This Row],[Birthweight (grams)]]*1.1/Table1[[#This Row],[BW_GA]])-1)/(Backend!$B$4/100*Table1[[#This Row],[BW40_3705]]),"")</f>
        <v/>
      </c>
      <c r="J3654" s="7" t="str">
        <f>IF(Table1[[#This Row],[Is Data Valid]]=TRUE,_xlfn.NORM.S.DIST(Table1[[#This Row],[Birthweight Z-Score]],TRUE)*100,"")</f>
        <v/>
      </c>
      <c r="K3654" s="7" t="str">
        <f>IF(Table1[[#This Row],[Is Data Valid]]=TRUE,_xlfn.NORM.S.DIST(Table1[[#This Row],[Birthweight Z-Score (BW-10%)]],TRUE)*100,"")</f>
        <v/>
      </c>
      <c r="L3654" s="7" t="str">
        <f>IF(Table1[[#This Row],[Is Data Valid]]=TRUE,_xlfn.NORM.S.DIST(Table1[[#This Row],[Birthweight Z-Score (BW+10%)]],TRUE)*100,"")</f>
        <v/>
      </c>
    </row>
    <row r="3655" spans="1:12" x14ac:dyDescent="0.35">
      <c r="A3655" s="3"/>
      <c r="B3655" s="2"/>
      <c r="C3655" s="2"/>
      <c r="D3655" s="2" t="b">
        <f>IF(AND(NOT(ISBLANK(Table1[[#This Row],[Fetal Sex (Male, Female or Unknown)]])),ISNUMBER(Table1[[#This Row],[Birthweight (grams)]]),ISNUMBER(Table1[[#This Row],[Gestation (days)]])),TRUE,FALSE)</f>
        <v>0</v>
      </c>
      <c r="E3655" s="2" t="str">
        <f>IF(Table1[[#This Row],[Is Data Valid]]=TRUE,IF(Table1[[#This Row],[Fetal Sex (Male, Female or Unknown)]]="Male",Backend!$C$6,IF(Table1[[#This Row],[Fetal Sex (Male, Female or Unknown)]]="Female",Backend!$C$7,IF(Table1[[#This Row],[Fetal Sex (Male, Female or Unknown)]]="Unknown",Backend!$C$8,"Error"))),"")</f>
        <v/>
      </c>
      <c r="F3655" s="8" t="str">
        <f>IF(Table1[[#This Row],[Is Data Valid]]=TRUE,EXP(0.578+0.332*((Table1[[#This Row],[Gestation (days)]]+0.5)/7)-0.00354*((Table1[[#This Row],[Gestation (days)]]+0.5)/7)^2)*Table1[[#This Row],[BW40_3705]],"")</f>
        <v/>
      </c>
      <c r="G3655" s="2" t="str">
        <f>IF(Table1[[#This Row],[Is Data Valid]]=TRUE,((Table1[[#This Row],[Birthweight (grams)]]/Table1[[#This Row],[BW_GA]])-1)/(Backend!$B$4/100*Table1[[#This Row],[BW40_3705]]),"")</f>
        <v/>
      </c>
      <c r="H3655" s="7" t="str">
        <f>IF(Table1[[#This Row],[Is Data Valid]]=TRUE,((Table1[[#This Row],[Birthweight (grams)]]*0.9/Table1[[#This Row],[BW_GA]])-1)/(Backend!$B$4/100*Table1[[#This Row],[BW40_3705]]),"")</f>
        <v/>
      </c>
      <c r="I3655" s="7" t="str">
        <f>IF(Table1[[#This Row],[Is Data Valid]]=TRUE,((Table1[[#This Row],[Birthweight (grams)]]*1.1/Table1[[#This Row],[BW_GA]])-1)/(Backend!$B$4/100*Table1[[#This Row],[BW40_3705]]),"")</f>
        <v/>
      </c>
      <c r="J3655" s="7" t="str">
        <f>IF(Table1[[#This Row],[Is Data Valid]]=TRUE,_xlfn.NORM.S.DIST(Table1[[#This Row],[Birthweight Z-Score]],TRUE)*100,"")</f>
        <v/>
      </c>
      <c r="K3655" s="7" t="str">
        <f>IF(Table1[[#This Row],[Is Data Valid]]=TRUE,_xlfn.NORM.S.DIST(Table1[[#This Row],[Birthweight Z-Score (BW-10%)]],TRUE)*100,"")</f>
        <v/>
      </c>
      <c r="L3655" s="7" t="str">
        <f>IF(Table1[[#This Row],[Is Data Valid]]=TRUE,_xlfn.NORM.S.DIST(Table1[[#This Row],[Birthweight Z-Score (BW+10%)]],TRUE)*100,"")</f>
        <v/>
      </c>
    </row>
    <row r="3656" spans="1:12" x14ac:dyDescent="0.35">
      <c r="A3656" s="3"/>
      <c r="B3656" s="2"/>
      <c r="C3656" s="2"/>
      <c r="D3656" s="2" t="b">
        <f>IF(AND(NOT(ISBLANK(Table1[[#This Row],[Fetal Sex (Male, Female or Unknown)]])),ISNUMBER(Table1[[#This Row],[Birthweight (grams)]]),ISNUMBER(Table1[[#This Row],[Gestation (days)]])),TRUE,FALSE)</f>
        <v>0</v>
      </c>
      <c r="E3656" s="2" t="str">
        <f>IF(Table1[[#This Row],[Is Data Valid]]=TRUE,IF(Table1[[#This Row],[Fetal Sex (Male, Female or Unknown)]]="Male",Backend!$C$6,IF(Table1[[#This Row],[Fetal Sex (Male, Female or Unknown)]]="Female",Backend!$C$7,IF(Table1[[#This Row],[Fetal Sex (Male, Female or Unknown)]]="Unknown",Backend!$C$8,"Error"))),"")</f>
        <v/>
      </c>
      <c r="F3656" s="8" t="str">
        <f>IF(Table1[[#This Row],[Is Data Valid]]=TRUE,EXP(0.578+0.332*((Table1[[#This Row],[Gestation (days)]]+0.5)/7)-0.00354*((Table1[[#This Row],[Gestation (days)]]+0.5)/7)^2)*Table1[[#This Row],[BW40_3705]],"")</f>
        <v/>
      </c>
      <c r="G3656" s="2" t="str">
        <f>IF(Table1[[#This Row],[Is Data Valid]]=TRUE,((Table1[[#This Row],[Birthweight (grams)]]/Table1[[#This Row],[BW_GA]])-1)/(Backend!$B$4/100*Table1[[#This Row],[BW40_3705]]),"")</f>
        <v/>
      </c>
      <c r="H3656" s="7" t="str">
        <f>IF(Table1[[#This Row],[Is Data Valid]]=TRUE,((Table1[[#This Row],[Birthweight (grams)]]*0.9/Table1[[#This Row],[BW_GA]])-1)/(Backend!$B$4/100*Table1[[#This Row],[BW40_3705]]),"")</f>
        <v/>
      </c>
      <c r="I3656" s="7" t="str">
        <f>IF(Table1[[#This Row],[Is Data Valid]]=TRUE,((Table1[[#This Row],[Birthweight (grams)]]*1.1/Table1[[#This Row],[BW_GA]])-1)/(Backend!$B$4/100*Table1[[#This Row],[BW40_3705]]),"")</f>
        <v/>
      </c>
      <c r="J3656" s="7" t="str">
        <f>IF(Table1[[#This Row],[Is Data Valid]]=TRUE,_xlfn.NORM.S.DIST(Table1[[#This Row],[Birthweight Z-Score]],TRUE)*100,"")</f>
        <v/>
      </c>
      <c r="K3656" s="7" t="str">
        <f>IF(Table1[[#This Row],[Is Data Valid]]=TRUE,_xlfn.NORM.S.DIST(Table1[[#This Row],[Birthweight Z-Score (BW-10%)]],TRUE)*100,"")</f>
        <v/>
      </c>
      <c r="L3656" s="7" t="str">
        <f>IF(Table1[[#This Row],[Is Data Valid]]=TRUE,_xlfn.NORM.S.DIST(Table1[[#This Row],[Birthweight Z-Score (BW+10%)]],TRUE)*100,"")</f>
        <v/>
      </c>
    </row>
    <row r="3657" spans="1:12" x14ac:dyDescent="0.35">
      <c r="A3657" s="3"/>
      <c r="B3657" s="2"/>
      <c r="C3657" s="2"/>
      <c r="D3657" s="2" t="b">
        <f>IF(AND(NOT(ISBLANK(Table1[[#This Row],[Fetal Sex (Male, Female or Unknown)]])),ISNUMBER(Table1[[#This Row],[Birthweight (grams)]]),ISNUMBER(Table1[[#This Row],[Gestation (days)]])),TRUE,FALSE)</f>
        <v>0</v>
      </c>
      <c r="E3657" s="2" t="str">
        <f>IF(Table1[[#This Row],[Is Data Valid]]=TRUE,IF(Table1[[#This Row],[Fetal Sex (Male, Female or Unknown)]]="Male",Backend!$C$6,IF(Table1[[#This Row],[Fetal Sex (Male, Female or Unknown)]]="Female",Backend!$C$7,IF(Table1[[#This Row],[Fetal Sex (Male, Female or Unknown)]]="Unknown",Backend!$C$8,"Error"))),"")</f>
        <v/>
      </c>
      <c r="F3657" s="8" t="str">
        <f>IF(Table1[[#This Row],[Is Data Valid]]=TRUE,EXP(0.578+0.332*((Table1[[#This Row],[Gestation (days)]]+0.5)/7)-0.00354*((Table1[[#This Row],[Gestation (days)]]+0.5)/7)^2)*Table1[[#This Row],[BW40_3705]],"")</f>
        <v/>
      </c>
      <c r="G3657" s="2" t="str">
        <f>IF(Table1[[#This Row],[Is Data Valid]]=TRUE,((Table1[[#This Row],[Birthweight (grams)]]/Table1[[#This Row],[BW_GA]])-1)/(Backend!$B$4/100*Table1[[#This Row],[BW40_3705]]),"")</f>
        <v/>
      </c>
      <c r="H3657" s="7" t="str">
        <f>IF(Table1[[#This Row],[Is Data Valid]]=TRUE,((Table1[[#This Row],[Birthweight (grams)]]*0.9/Table1[[#This Row],[BW_GA]])-1)/(Backend!$B$4/100*Table1[[#This Row],[BW40_3705]]),"")</f>
        <v/>
      </c>
      <c r="I3657" s="7" t="str">
        <f>IF(Table1[[#This Row],[Is Data Valid]]=TRUE,((Table1[[#This Row],[Birthweight (grams)]]*1.1/Table1[[#This Row],[BW_GA]])-1)/(Backend!$B$4/100*Table1[[#This Row],[BW40_3705]]),"")</f>
        <v/>
      </c>
      <c r="J3657" s="7" t="str">
        <f>IF(Table1[[#This Row],[Is Data Valid]]=TRUE,_xlfn.NORM.S.DIST(Table1[[#This Row],[Birthweight Z-Score]],TRUE)*100,"")</f>
        <v/>
      </c>
      <c r="K3657" s="7" t="str">
        <f>IF(Table1[[#This Row],[Is Data Valid]]=TRUE,_xlfn.NORM.S.DIST(Table1[[#This Row],[Birthweight Z-Score (BW-10%)]],TRUE)*100,"")</f>
        <v/>
      </c>
      <c r="L3657" s="7" t="str">
        <f>IF(Table1[[#This Row],[Is Data Valid]]=TRUE,_xlfn.NORM.S.DIST(Table1[[#This Row],[Birthweight Z-Score (BW+10%)]],TRUE)*100,"")</f>
        <v/>
      </c>
    </row>
    <row r="3658" spans="1:12" x14ac:dyDescent="0.35">
      <c r="A3658" s="3"/>
      <c r="B3658" s="2"/>
      <c r="C3658" s="2"/>
      <c r="D3658" s="2" t="b">
        <f>IF(AND(NOT(ISBLANK(Table1[[#This Row],[Fetal Sex (Male, Female or Unknown)]])),ISNUMBER(Table1[[#This Row],[Birthweight (grams)]]),ISNUMBER(Table1[[#This Row],[Gestation (days)]])),TRUE,FALSE)</f>
        <v>0</v>
      </c>
      <c r="E3658" s="2" t="str">
        <f>IF(Table1[[#This Row],[Is Data Valid]]=TRUE,IF(Table1[[#This Row],[Fetal Sex (Male, Female or Unknown)]]="Male",Backend!$C$6,IF(Table1[[#This Row],[Fetal Sex (Male, Female or Unknown)]]="Female",Backend!$C$7,IF(Table1[[#This Row],[Fetal Sex (Male, Female or Unknown)]]="Unknown",Backend!$C$8,"Error"))),"")</f>
        <v/>
      </c>
      <c r="F3658" s="8" t="str">
        <f>IF(Table1[[#This Row],[Is Data Valid]]=TRUE,EXP(0.578+0.332*((Table1[[#This Row],[Gestation (days)]]+0.5)/7)-0.00354*((Table1[[#This Row],[Gestation (days)]]+0.5)/7)^2)*Table1[[#This Row],[BW40_3705]],"")</f>
        <v/>
      </c>
      <c r="G3658" s="2" t="str">
        <f>IF(Table1[[#This Row],[Is Data Valid]]=TRUE,((Table1[[#This Row],[Birthweight (grams)]]/Table1[[#This Row],[BW_GA]])-1)/(Backend!$B$4/100*Table1[[#This Row],[BW40_3705]]),"")</f>
        <v/>
      </c>
      <c r="H3658" s="7" t="str">
        <f>IF(Table1[[#This Row],[Is Data Valid]]=TRUE,((Table1[[#This Row],[Birthweight (grams)]]*0.9/Table1[[#This Row],[BW_GA]])-1)/(Backend!$B$4/100*Table1[[#This Row],[BW40_3705]]),"")</f>
        <v/>
      </c>
      <c r="I3658" s="7" t="str">
        <f>IF(Table1[[#This Row],[Is Data Valid]]=TRUE,((Table1[[#This Row],[Birthweight (grams)]]*1.1/Table1[[#This Row],[BW_GA]])-1)/(Backend!$B$4/100*Table1[[#This Row],[BW40_3705]]),"")</f>
        <v/>
      </c>
      <c r="J3658" s="7" t="str">
        <f>IF(Table1[[#This Row],[Is Data Valid]]=TRUE,_xlfn.NORM.S.DIST(Table1[[#This Row],[Birthweight Z-Score]],TRUE)*100,"")</f>
        <v/>
      </c>
      <c r="K3658" s="7" t="str">
        <f>IF(Table1[[#This Row],[Is Data Valid]]=TRUE,_xlfn.NORM.S.DIST(Table1[[#This Row],[Birthweight Z-Score (BW-10%)]],TRUE)*100,"")</f>
        <v/>
      </c>
      <c r="L3658" s="7" t="str">
        <f>IF(Table1[[#This Row],[Is Data Valid]]=TRUE,_xlfn.NORM.S.DIST(Table1[[#This Row],[Birthweight Z-Score (BW+10%)]],TRUE)*100,"")</f>
        <v/>
      </c>
    </row>
    <row r="3659" spans="1:12" x14ac:dyDescent="0.35">
      <c r="A3659" s="3"/>
      <c r="B3659" s="2"/>
      <c r="C3659" s="2"/>
      <c r="D3659" s="2" t="b">
        <f>IF(AND(NOT(ISBLANK(Table1[[#This Row],[Fetal Sex (Male, Female or Unknown)]])),ISNUMBER(Table1[[#This Row],[Birthweight (grams)]]),ISNUMBER(Table1[[#This Row],[Gestation (days)]])),TRUE,FALSE)</f>
        <v>0</v>
      </c>
      <c r="E3659" s="2" t="str">
        <f>IF(Table1[[#This Row],[Is Data Valid]]=TRUE,IF(Table1[[#This Row],[Fetal Sex (Male, Female or Unknown)]]="Male",Backend!$C$6,IF(Table1[[#This Row],[Fetal Sex (Male, Female or Unknown)]]="Female",Backend!$C$7,IF(Table1[[#This Row],[Fetal Sex (Male, Female or Unknown)]]="Unknown",Backend!$C$8,"Error"))),"")</f>
        <v/>
      </c>
      <c r="F3659" s="8" t="str">
        <f>IF(Table1[[#This Row],[Is Data Valid]]=TRUE,EXP(0.578+0.332*((Table1[[#This Row],[Gestation (days)]]+0.5)/7)-0.00354*((Table1[[#This Row],[Gestation (days)]]+0.5)/7)^2)*Table1[[#This Row],[BW40_3705]],"")</f>
        <v/>
      </c>
      <c r="G3659" s="2" t="str">
        <f>IF(Table1[[#This Row],[Is Data Valid]]=TRUE,((Table1[[#This Row],[Birthweight (grams)]]/Table1[[#This Row],[BW_GA]])-1)/(Backend!$B$4/100*Table1[[#This Row],[BW40_3705]]),"")</f>
        <v/>
      </c>
      <c r="H3659" s="7" t="str">
        <f>IF(Table1[[#This Row],[Is Data Valid]]=TRUE,((Table1[[#This Row],[Birthweight (grams)]]*0.9/Table1[[#This Row],[BW_GA]])-1)/(Backend!$B$4/100*Table1[[#This Row],[BW40_3705]]),"")</f>
        <v/>
      </c>
      <c r="I3659" s="7" t="str">
        <f>IF(Table1[[#This Row],[Is Data Valid]]=TRUE,((Table1[[#This Row],[Birthweight (grams)]]*1.1/Table1[[#This Row],[BW_GA]])-1)/(Backend!$B$4/100*Table1[[#This Row],[BW40_3705]]),"")</f>
        <v/>
      </c>
      <c r="J3659" s="7" t="str">
        <f>IF(Table1[[#This Row],[Is Data Valid]]=TRUE,_xlfn.NORM.S.DIST(Table1[[#This Row],[Birthweight Z-Score]],TRUE)*100,"")</f>
        <v/>
      </c>
      <c r="K3659" s="7" t="str">
        <f>IF(Table1[[#This Row],[Is Data Valid]]=TRUE,_xlfn.NORM.S.DIST(Table1[[#This Row],[Birthweight Z-Score (BW-10%)]],TRUE)*100,"")</f>
        <v/>
      </c>
      <c r="L3659" s="7" t="str">
        <f>IF(Table1[[#This Row],[Is Data Valid]]=TRUE,_xlfn.NORM.S.DIST(Table1[[#This Row],[Birthweight Z-Score (BW+10%)]],TRUE)*100,"")</f>
        <v/>
      </c>
    </row>
    <row r="3660" spans="1:12" x14ac:dyDescent="0.35">
      <c r="A3660" s="3"/>
      <c r="B3660" s="2"/>
      <c r="C3660" s="2"/>
      <c r="D3660" s="2" t="b">
        <f>IF(AND(NOT(ISBLANK(Table1[[#This Row],[Fetal Sex (Male, Female or Unknown)]])),ISNUMBER(Table1[[#This Row],[Birthweight (grams)]]),ISNUMBER(Table1[[#This Row],[Gestation (days)]])),TRUE,FALSE)</f>
        <v>0</v>
      </c>
      <c r="E3660" s="2" t="str">
        <f>IF(Table1[[#This Row],[Is Data Valid]]=TRUE,IF(Table1[[#This Row],[Fetal Sex (Male, Female or Unknown)]]="Male",Backend!$C$6,IF(Table1[[#This Row],[Fetal Sex (Male, Female or Unknown)]]="Female",Backend!$C$7,IF(Table1[[#This Row],[Fetal Sex (Male, Female or Unknown)]]="Unknown",Backend!$C$8,"Error"))),"")</f>
        <v/>
      </c>
      <c r="F3660" s="8" t="str">
        <f>IF(Table1[[#This Row],[Is Data Valid]]=TRUE,EXP(0.578+0.332*((Table1[[#This Row],[Gestation (days)]]+0.5)/7)-0.00354*((Table1[[#This Row],[Gestation (days)]]+0.5)/7)^2)*Table1[[#This Row],[BW40_3705]],"")</f>
        <v/>
      </c>
      <c r="G3660" s="2" t="str">
        <f>IF(Table1[[#This Row],[Is Data Valid]]=TRUE,((Table1[[#This Row],[Birthweight (grams)]]/Table1[[#This Row],[BW_GA]])-1)/(Backend!$B$4/100*Table1[[#This Row],[BW40_3705]]),"")</f>
        <v/>
      </c>
      <c r="H3660" s="7" t="str">
        <f>IF(Table1[[#This Row],[Is Data Valid]]=TRUE,((Table1[[#This Row],[Birthweight (grams)]]*0.9/Table1[[#This Row],[BW_GA]])-1)/(Backend!$B$4/100*Table1[[#This Row],[BW40_3705]]),"")</f>
        <v/>
      </c>
      <c r="I3660" s="7" t="str">
        <f>IF(Table1[[#This Row],[Is Data Valid]]=TRUE,((Table1[[#This Row],[Birthweight (grams)]]*1.1/Table1[[#This Row],[BW_GA]])-1)/(Backend!$B$4/100*Table1[[#This Row],[BW40_3705]]),"")</f>
        <v/>
      </c>
      <c r="J3660" s="7" t="str">
        <f>IF(Table1[[#This Row],[Is Data Valid]]=TRUE,_xlfn.NORM.S.DIST(Table1[[#This Row],[Birthweight Z-Score]],TRUE)*100,"")</f>
        <v/>
      </c>
      <c r="K3660" s="7" t="str">
        <f>IF(Table1[[#This Row],[Is Data Valid]]=TRUE,_xlfn.NORM.S.DIST(Table1[[#This Row],[Birthweight Z-Score (BW-10%)]],TRUE)*100,"")</f>
        <v/>
      </c>
      <c r="L3660" s="7" t="str">
        <f>IF(Table1[[#This Row],[Is Data Valid]]=TRUE,_xlfn.NORM.S.DIST(Table1[[#This Row],[Birthweight Z-Score (BW+10%)]],TRUE)*100,"")</f>
        <v/>
      </c>
    </row>
    <row r="3661" spans="1:12" x14ac:dyDescent="0.35">
      <c r="A3661" s="3"/>
      <c r="B3661" s="2"/>
      <c r="C3661" s="2"/>
      <c r="D3661" s="2" t="b">
        <f>IF(AND(NOT(ISBLANK(Table1[[#This Row],[Fetal Sex (Male, Female or Unknown)]])),ISNUMBER(Table1[[#This Row],[Birthweight (grams)]]),ISNUMBER(Table1[[#This Row],[Gestation (days)]])),TRUE,FALSE)</f>
        <v>0</v>
      </c>
      <c r="E3661" s="2" t="str">
        <f>IF(Table1[[#This Row],[Is Data Valid]]=TRUE,IF(Table1[[#This Row],[Fetal Sex (Male, Female or Unknown)]]="Male",Backend!$C$6,IF(Table1[[#This Row],[Fetal Sex (Male, Female or Unknown)]]="Female",Backend!$C$7,IF(Table1[[#This Row],[Fetal Sex (Male, Female or Unknown)]]="Unknown",Backend!$C$8,"Error"))),"")</f>
        <v/>
      </c>
      <c r="F3661" s="8" t="str">
        <f>IF(Table1[[#This Row],[Is Data Valid]]=TRUE,EXP(0.578+0.332*((Table1[[#This Row],[Gestation (days)]]+0.5)/7)-0.00354*((Table1[[#This Row],[Gestation (days)]]+0.5)/7)^2)*Table1[[#This Row],[BW40_3705]],"")</f>
        <v/>
      </c>
      <c r="G3661" s="2" t="str">
        <f>IF(Table1[[#This Row],[Is Data Valid]]=TRUE,((Table1[[#This Row],[Birthweight (grams)]]/Table1[[#This Row],[BW_GA]])-1)/(Backend!$B$4/100*Table1[[#This Row],[BW40_3705]]),"")</f>
        <v/>
      </c>
      <c r="H3661" s="7" t="str">
        <f>IF(Table1[[#This Row],[Is Data Valid]]=TRUE,((Table1[[#This Row],[Birthweight (grams)]]*0.9/Table1[[#This Row],[BW_GA]])-1)/(Backend!$B$4/100*Table1[[#This Row],[BW40_3705]]),"")</f>
        <v/>
      </c>
      <c r="I3661" s="7" t="str">
        <f>IF(Table1[[#This Row],[Is Data Valid]]=TRUE,((Table1[[#This Row],[Birthweight (grams)]]*1.1/Table1[[#This Row],[BW_GA]])-1)/(Backend!$B$4/100*Table1[[#This Row],[BW40_3705]]),"")</f>
        <v/>
      </c>
      <c r="J3661" s="7" t="str">
        <f>IF(Table1[[#This Row],[Is Data Valid]]=TRUE,_xlfn.NORM.S.DIST(Table1[[#This Row],[Birthweight Z-Score]],TRUE)*100,"")</f>
        <v/>
      </c>
      <c r="K3661" s="7" t="str">
        <f>IF(Table1[[#This Row],[Is Data Valid]]=TRUE,_xlfn.NORM.S.DIST(Table1[[#This Row],[Birthweight Z-Score (BW-10%)]],TRUE)*100,"")</f>
        <v/>
      </c>
      <c r="L3661" s="7" t="str">
        <f>IF(Table1[[#This Row],[Is Data Valid]]=TRUE,_xlfn.NORM.S.DIST(Table1[[#This Row],[Birthweight Z-Score (BW+10%)]],TRUE)*100,"")</f>
        <v/>
      </c>
    </row>
    <row r="3662" spans="1:12" x14ac:dyDescent="0.35">
      <c r="A3662" s="3"/>
      <c r="B3662" s="2"/>
      <c r="C3662" s="2"/>
      <c r="D3662" s="2" t="b">
        <f>IF(AND(NOT(ISBLANK(Table1[[#This Row],[Fetal Sex (Male, Female or Unknown)]])),ISNUMBER(Table1[[#This Row],[Birthweight (grams)]]),ISNUMBER(Table1[[#This Row],[Gestation (days)]])),TRUE,FALSE)</f>
        <v>0</v>
      </c>
      <c r="E3662" s="2" t="str">
        <f>IF(Table1[[#This Row],[Is Data Valid]]=TRUE,IF(Table1[[#This Row],[Fetal Sex (Male, Female or Unknown)]]="Male",Backend!$C$6,IF(Table1[[#This Row],[Fetal Sex (Male, Female or Unknown)]]="Female",Backend!$C$7,IF(Table1[[#This Row],[Fetal Sex (Male, Female or Unknown)]]="Unknown",Backend!$C$8,"Error"))),"")</f>
        <v/>
      </c>
      <c r="F3662" s="8" t="str">
        <f>IF(Table1[[#This Row],[Is Data Valid]]=TRUE,EXP(0.578+0.332*((Table1[[#This Row],[Gestation (days)]]+0.5)/7)-0.00354*((Table1[[#This Row],[Gestation (days)]]+0.5)/7)^2)*Table1[[#This Row],[BW40_3705]],"")</f>
        <v/>
      </c>
      <c r="G3662" s="2" t="str">
        <f>IF(Table1[[#This Row],[Is Data Valid]]=TRUE,((Table1[[#This Row],[Birthweight (grams)]]/Table1[[#This Row],[BW_GA]])-1)/(Backend!$B$4/100*Table1[[#This Row],[BW40_3705]]),"")</f>
        <v/>
      </c>
      <c r="H3662" s="7" t="str">
        <f>IF(Table1[[#This Row],[Is Data Valid]]=TRUE,((Table1[[#This Row],[Birthweight (grams)]]*0.9/Table1[[#This Row],[BW_GA]])-1)/(Backend!$B$4/100*Table1[[#This Row],[BW40_3705]]),"")</f>
        <v/>
      </c>
      <c r="I3662" s="7" t="str">
        <f>IF(Table1[[#This Row],[Is Data Valid]]=TRUE,((Table1[[#This Row],[Birthweight (grams)]]*1.1/Table1[[#This Row],[BW_GA]])-1)/(Backend!$B$4/100*Table1[[#This Row],[BW40_3705]]),"")</f>
        <v/>
      </c>
      <c r="J3662" s="7" t="str">
        <f>IF(Table1[[#This Row],[Is Data Valid]]=TRUE,_xlfn.NORM.S.DIST(Table1[[#This Row],[Birthweight Z-Score]],TRUE)*100,"")</f>
        <v/>
      </c>
      <c r="K3662" s="7" t="str">
        <f>IF(Table1[[#This Row],[Is Data Valid]]=TRUE,_xlfn.NORM.S.DIST(Table1[[#This Row],[Birthweight Z-Score (BW-10%)]],TRUE)*100,"")</f>
        <v/>
      </c>
      <c r="L3662" s="7" t="str">
        <f>IF(Table1[[#This Row],[Is Data Valid]]=TRUE,_xlfn.NORM.S.DIST(Table1[[#This Row],[Birthweight Z-Score (BW+10%)]],TRUE)*100,"")</f>
        <v/>
      </c>
    </row>
    <row r="3663" spans="1:12" x14ac:dyDescent="0.35">
      <c r="A3663" s="3"/>
      <c r="B3663" s="2"/>
      <c r="C3663" s="2"/>
      <c r="D3663" s="2" t="b">
        <f>IF(AND(NOT(ISBLANK(Table1[[#This Row],[Fetal Sex (Male, Female or Unknown)]])),ISNUMBER(Table1[[#This Row],[Birthweight (grams)]]),ISNUMBER(Table1[[#This Row],[Gestation (days)]])),TRUE,FALSE)</f>
        <v>0</v>
      </c>
      <c r="E3663" s="2" t="str">
        <f>IF(Table1[[#This Row],[Is Data Valid]]=TRUE,IF(Table1[[#This Row],[Fetal Sex (Male, Female or Unknown)]]="Male",Backend!$C$6,IF(Table1[[#This Row],[Fetal Sex (Male, Female or Unknown)]]="Female",Backend!$C$7,IF(Table1[[#This Row],[Fetal Sex (Male, Female or Unknown)]]="Unknown",Backend!$C$8,"Error"))),"")</f>
        <v/>
      </c>
      <c r="F3663" s="8" t="str">
        <f>IF(Table1[[#This Row],[Is Data Valid]]=TRUE,EXP(0.578+0.332*((Table1[[#This Row],[Gestation (days)]]+0.5)/7)-0.00354*((Table1[[#This Row],[Gestation (days)]]+0.5)/7)^2)*Table1[[#This Row],[BW40_3705]],"")</f>
        <v/>
      </c>
      <c r="G3663" s="2" t="str">
        <f>IF(Table1[[#This Row],[Is Data Valid]]=TRUE,((Table1[[#This Row],[Birthweight (grams)]]/Table1[[#This Row],[BW_GA]])-1)/(Backend!$B$4/100*Table1[[#This Row],[BW40_3705]]),"")</f>
        <v/>
      </c>
      <c r="H3663" s="7" t="str">
        <f>IF(Table1[[#This Row],[Is Data Valid]]=TRUE,((Table1[[#This Row],[Birthweight (grams)]]*0.9/Table1[[#This Row],[BW_GA]])-1)/(Backend!$B$4/100*Table1[[#This Row],[BW40_3705]]),"")</f>
        <v/>
      </c>
      <c r="I3663" s="7" t="str">
        <f>IF(Table1[[#This Row],[Is Data Valid]]=TRUE,((Table1[[#This Row],[Birthweight (grams)]]*1.1/Table1[[#This Row],[BW_GA]])-1)/(Backend!$B$4/100*Table1[[#This Row],[BW40_3705]]),"")</f>
        <v/>
      </c>
      <c r="J3663" s="7" t="str">
        <f>IF(Table1[[#This Row],[Is Data Valid]]=TRUE,_xlfn.NORM.S.DIST(Table1[[#This Row],[Birthweight Z-Score]],TRUE)*100,"")</f>
        <v/>
      </c>
      <c r="K3663" s="7" t="str">
        <f>IF(Table1[[#This Row],[Is Data Valid]]=TRUE,_xlfn.NORM.S.DIST(Table1[[#This Row],[Birthweight Z-Score (BW-10%)]],TRUE)*100,"")</f>
        <v/>
      </c>
      <c r="L3663" s="7" t="str">
        <f>IF(Table1[[#This Row],[Is Data Valid]]=TRUE,_xlfn.NORM.S.DIST(Table1[[#This Row],[Birthweight Z-Score (BW+10%)]],TRUE)*100,"")</f>
        <v/>
      </c>
    </row>
    <row r="3664" spans="1:12" x14ac:dyDescent="0.35">
      <c r="A3664" s="3"/>
      <c r="B3664" s="2"/>
      <c r="C3664" s="2"/>
      <c r="D3664" s="2" t="b">
        <f>IF(AND(NOT(ISBLANK(Table1[[#This Row],[Fetal Sex (Male, Female or Unknown)]])),ISNUMBER(Table1[[#This Row],[Birthweight (grams)]]),ISNUMBER(Table1[[#This Row],[Gestation (days)]])),TRUE,FALSE)</f>
        <v>0</v>
      </c>
      <c r="E3664" s="2" t="str">
        <f>IF(Table1[[#This Row],[Is Data Valid]]=TRUE,IF(Table1[[#This Row],[Fetal Sex (Male, Female or Unknown)]]="Male",Backend!$C$6,IF(Table1[[#This Row],[Fetal Sex (Male, Female or Unknown)]]="Female",Backend!$C$7,IF(Table1[[#This Row],[Fetal Sex (Male, Female or Unknown)]]="Unknown",Backend!$C$8,"Error"))),"")</f>
        <v/>
      </c>
      <c r="F3664" s="8" t="str">
        <f>IF(Table1[[#This Row],[Is Data Valid]]=TRUE,EXP(0.578+0.332*((Table1[[#This Row],[Gestation (days)]]+0.5)/7)-0.00354*((Table1[[#This Row],[Gestation (days)]]+0.5)/7)^2)*Table1[[#This Row],[BW40_3705]],"")</f>
        <v/>
      </c>
      <c r="G3664" s="2" t="str">
        <f>IF(Table1[[#This Row],[Is Data Valid]]=TRUE,((Table1[[#This Row],[Birthweight (grams)]]/Table1[[#This Row],[BW_GA]])-1)/(Backend!$B$4/100*Table1[[#This Row],[BW40_3705]]),"")</f>
        <v/>
      </c>
      <c r="H3664" s="7" t="str">
        <f>IF(Table1[[#This Row],[Is Data Valid]]=TRUE,((Table1[[#This Row],[Birthweight (grams)]]*0.9/Table1[[#This Row],[BW_GA]])-1)/(Backend!$B$4/100*Table1[[#This Row],[BW40_3705]]),"")</f>
        <v/>
      </c>
      <c r="I3664" s="7" t="str">
        <f>IF(Table1[[#This Row],[Is Data Valid]]=TRUE,((Table1[[#This Row],[Birthweight (grams)]]*1.1/Table1[[#This Row],[BW_GA]])-1)/(Backend!$B$4/100*Table1[[#This Row],[BW40_3705]]),"")</f>
        <v/>
      </c>
      <c r="J3664" s="7" t="str">
        <f>IF(Table1[[#This Row],[Is Data Valid]]=TRUE,_xlfn.NORM.S.DIST(Table1[[#This Row],[Birthweight Z-Score]],TRUE)*100,"")</f>
        <v/>
      </c>
      <c r="K3664" s="7" t="str">
        <f>IF(Table1[[#This Row],[Is Data Valid]]=TRUE,_xlfn.NORM.S.DIST(Table1[[#This Row],[Birthweight Z-Score (BW-10%)]],TRUE)*100,"")</f>
        <v/>
      </c>
      <c r="L3664" s="7" t="str">
        <f>IF(Table1[[#This Row],[Is Data Valid]]=TRUE,_xlfn.NORM.S.DIST(Table1[[#This Row],[Birthweight Z-Score (BW+10%)]],TRUE)*100,"")</f>
        <v/>
      </c>
    </row>
    <row r="3665" spans="1:12" x14ac:dyDescent="0.35">
      <c r="A3665" s="3"/>
      <c r="B3665" s="2"/>
      <c r="C3665" s="2"/>
      <c r="D3665" s="2" t="b">
        <f>IF(AND(NOT(ISBLANK(Table1[[#This Row],[Fetal Sex (Male, Female or Unknown)]])),ISNUMBER(Table1[[#This Row],[Birthweight (grams)]]),ISNUMBER(Table1[[#This Row],[Gestation (days)]])),TRUE,FALSE)</f>
        <v>0</v>
      </c>
      <c r="E3665" s="2" t="str">
        <f>IF(Table1[[#This Row],[Is Data Valid]]=TRUE,IF(Table1[[#This Row],[Fetal Sex (Male, Female or Unknown)]]="Male",Backend!$C$6,IF(Table1[[#This Row],[Fetal Sex (Male, Female or Unknown)]]="Female",Backend!$C$7,IF(Table1[[#This Row],[Fetal Sex (Male, Female or Unknown)]]="Unknown",Backend!$C$8,"Error"))),"")</f>
        <v/>
      </c>
      <c r="F3665" s="8" t="str">
        <f>IF(Table1[[#This Row],[Is Data Valid]]=TRUE,EXP(0.578+0.332*((Table1[[#This Row],[Gestation (days)]]+0.5)/7)-0.00354*((Table1[[#This Row],[Gestation (days)]]+0.5)/7)^2)*Table1[[#This Row],[BW40_3705]],"")</f>
        <v/>
      </c>
      <c r="G3665" s="2" t="str">
        <f>IF(Table1[[#This Row],[Is Data Valid]]=TRUE,((Table1[[#This Row],[Birthweight (grams)]]/Table1[[#This Row],[BW_GA]])-1)/(Backend!$B$4/100*Table1[[#This Row],[BW40_3705]]),"")</f>
        <v/>
      </c>
      <c r="H3665" s="7" t="str">
        <f>IF(Table1[[#This Row],[Is Data Valid]]=TRUE,((Table1[[#This Row],[Birthweight (grams)]]*0.9/Table1[[#This Row],[BW_GA]])-1)/(Backend!$B$4/100*Table1[[#This Row],[BW40_3705]]),"")</f>
        <v/>
      </c>
      <c r="I3665" s="7" t="str">
        <f>IF(Table1[[#This Row],[Is Data Valid]]=TRUE,((Table1[[#This Row],[Birthweight (grams)]]*1.1/Table1[[#This Row],[BW_GA]])-1)/(Backend!$B$4/100*Table1[[#This Row],[BW40_3705]]),"")</f>
        <v/>
      </c>
      <c r="J3665" s="7" t="str">
        <f>IF(Table1[[#This Row],[Is Data Valid]]=TRUE,_xlfn.NORM.S.DIST(Table1[[#This Row],[Birthweight Z-Score]],TRUE)*100,"")</f>
        <v/>
      </c>
      <c r="K3665" s="7" t="str">
        <f>IF(Table1[[#This Row],[Is Data Valid]]=TRUE,_xlfn.NORM.S.DIST(Table1[[#This Row],[Birthweight Z-Score (BW-10%)]],TRUE)*100,"")</f>
        <v/>
      </c>
      <c r="L3665" s="7" t="str">
        <f>IF(Table1[[#This Row],[Is Data Valid]]=TRUE,_xlfn.NORM.S.DIST(Table1[[#This Row],[Birthweight Z-Score (BW+10%)]],TRUE)*100,"")</f>
        <v/>
      </c>
    </row>
    <row r="3666" spans="1:12" x14ac:dyDescent="0.35">
      <c r="A3666" s="3"/>
      <c r="B3666" s="2"/>
      <c r="C3666" s="2"/>
      <c r="D3666" s="2" t="b">
        <f>IF(AND(NOT(ISBLANK(Table1[[#This Row],[Fetal Sex (Male, Female or Unknown)]])),ISNUMBER(Table1[[#This Row],[Birthweight (grams)]]),ISNUMBER(Table1[[#This Row],[Gestation (days)]])),TRUE,FALSE)</f>
        <v>0</v>
      </c>
      <c r="E3666" s="2" t="str">
        <f>IF(Table1[[#This Row],[Is Data Valid]]=TRUE,IF(Table1[[#This Row],[Fetal Sex (Male, Female or Unknown)]]="Male",Backend!$C$6,IF(Table1[[#This Row],[Fetal Sex (Male, Female or Unknown)]]="Female",Backend!$C$7,IF(Table1[[#This Row],[Fetal Sex (Male, Female or Unknown)]]="Unknown",Backend!$C$8,"Error"))),"")</f>
        <v/>
      </c>
      <c r="F3666" s="8" t="str">
        <f>IF(Table1[[#This Row],[Is Data Valid]]=TRUE,EXP(0.578+0.332*((Table1[[#This Row],[Gestation (days)]]+0.5)/7)-0.00354*((Table1[[#This Row],[Gestation (days)]]+0.5)/7)^2)*Table1[[#This Row],[BW40_3705]],"")</f>
        <v/>
      </c>
      <c r="G3666" s="2" t="str">
        <f>IF(Table1[[#This Row],[Is Data Valid]]=TRUE,((Table1[[#This Row],[Birthweight (grams)]]/Table1[[#This Row],[BW_GA]])-1)/(Backend!$B$4/100*Table1[[#This Row],[BW40_3705]]),"")</f>
        <v/>
      </c>
      <c r="H3666" s="7" t="str">
        <f>IF(Table1[[#This Row],[Is Data Valid]]=TRUE,((Table1[[#This Row],[Birthweight (grams)]]*0.9/Table1[[#This Row],[BW_GA]])-1)/(Backend!$B$4/100*Table1[[#This Row],[BW40_3705]]),"")</f>
        <v/>
      </c>
      <c r="I3666" s="7" t="str">
        <f>IF(Table1[[#This Row],[Is Data Valid]]=TRUE,((Table1[[#This Row],[Birthweight (grams)]]*1.1/Table1[[#This Row],[BW_GA]])-1)/(Backend!$B$4/100*Table1[[#This Row],[BW40_3705]]),"")</f>
        <v/>
      </c>
      <c r="J3666" s="7" t="str">
        <f>IF(Table1[[#This Row],[Is Data Valid]]=TRUE,_xlfn.NORM.S.DIST(Table1[[#This Row],[Birthweight Z-Score]],TRUE)*100,"")</f>
        <v/>
      </c>
      <c r="K3666" s="7" t="str">
        <f>IF(Table1[[#This Row],[Is Data Valid]]=TRUE,_xlfn.NORM.S.DIST(Table1[[#This Row],[Birthweight Z-Score (BW-10%)]],TRUE)*100,"")</f>
        <v/>
      </c>
      <c r="L3666" s="7" t="str">
        <f>IF(Table1[[#This Row],[Is Data Valid]]=TRUE,_xlfn.NORM.S.DIST(Table1[[#This Row],[Birthweight Z-Score (BW+10%)]],TRUE)*100,"")</f>
        <v/>
      </c>
    </row>
    <row r="3667" spans="1:12" x14ac:dyDescent="0.35">
      <c r="A3667" s="3"/>
      <c r="B3667" s="2"/>
      <c r="C3667" s="2"/>
      <c r="D3667" s="2" t="b">
        <f>IF(AND(NOT(ISBLANK(Table1[[#This Row],[Fetal Sex (Male, Female or Unknown)]])),ISNUMBER(Table1[[#This Row],[Birthweight (grams)]]),ISNUMBER(Table1[[#This Row],[Gestation (days)]])),TRUE,FALSE)</f>
        <v>0</v>
      </c>
      <c r="E3667" s="2" t="str">
        <f>IF(Table1[[#This Row],[Is Data Valid]]=TRUE,IF(Table1[[#This Row],[Fetal Sex (Male, Female or Unknown)]]="Male",Backend!$C$6,IF(Table1[[#This Row],[Fetal Sex (Male, Female or Unknown)]]="Female",Backend!$C$7,IF(Table1[[#This Row],[Fetal Sex (Male, Female or Unknown)]]="Unknown",Backend!$C$8,"Error"))),"")</f>
        <v/>
      </c>
      <c r="F3667" s="8" t="str">
        <f>IF(Table1[[#This Row],[Is Data Valid]]=TRUE,EXP(0.578+0.332*((Table1[[#This Row],[Gestation (days)]]+0.5)/7)-0.00354*((Table1[[#This Row],[Gestation (days)]]+0.5)/7)^2)*Table1[[#This Row],[BW40_3705]],"")</f>
        <v/>
      </c>
      <c r="G3667" s="2" t="str">
        <f>IF(Table1[[#This Row],[Is Data Valid]]=TRUE,((Table1[[#This Row],[Birthweight (grams)]]/Table1[[#This Row],[BW_GA]])-1)/(Backend!$B$4/100*Table1[[#This Row],[BW40_3705]]),"")</f>
        <v/>
      </c>
      <c r="H3667" s="7" t="str">
        <f>IF(Table1[[#This Row],[Is Data Valid]]=TRUE,((Table1[[#This Row],[Birthweight (grams)]]*0.9/Table1[[#This Row],[BW_GA]])-1)/(Backend!$B$4/100*Table1[[#This Row],[BW40_3705]]),"")</f>
        <v/>
      </c>
      <c r="I3667" s="7" t="str">
        <f>IF(Table1[[#This Row],[Is Data Valid]]=TRUE,((Table1[[#This Row],[Birthweight (grams)]]*1.1/Table1[[#This Row],[BW_GA]])-1)/(Backend!$B$4/100*Table1[[#This Row],[BW40_3705]]),"")</f>
        <v/>
      </c>
      <c r="J3667" s="7" t="str">
        <f>IF(Table1[[#This Row],[Is Data Valid]]=TRUE,_xlfn.NORM.S.DIST(Table1[[#This Row],[Birthweight Z-Score]],TRUE)*100,"")</f>
        <v/>
      </c>
      <c r="K3667" s="7" t="str">
        <f>IF(Table1[[#This Row],[Is Data Valid]]=TRUE,_xlfn.NORM.S.DIST(Table1[[#This Row],[Birthweight Z-Score (BW-10%)]],TRUE)*100,"")</f>
        <v/>
      </c>
      <c r="L3667" s="7" t="str">
        <f>IF(Table1[[#This Row],[Is Data Valid]]=TRUE,_xlfn.NORM.S.DIST(Table1[[#This Row],[Birthweight Z-Score (BW+10%)]],TRUE)*100,"")</f>
        <v/>
      </c>
    </row>
    <row r="3668" spans="1:12" x14ac:dyDescent="0.35">
      <c r="A3668" s="3"/>
      <c r="B3668" s="2"/>
      <c r="C3668" s="2"/>
      <c r="D3668" s="2" t="b">
        <f>IF(AND(NOT(ISBLANK(Table1[[#This Row],[Fetal Sex (Male, Female or Unknown)]])),ISNUMBER(Table1[[#This Row],[Birthweight (grams)]]),ISNUMBER(Table1[[#This Row],[Gestation (days)]])),TRUE,FALSE)</f>
        <v>0</v>
      </c>
      <c r="E3668" s="2" t="str">
        <f>IF(Table1[[#This Row],[Is Data Valid]]=TRUE,IF(Table1[[#This Row],[Fetal Sex (Male, Female or Unknown)]]="Male",Backend!$C$6,IF(Table1[[#This Row],[Fetal Sex (Male, Female or Unknown)]]="Female",Backend!$C$7,IF(Table1[[#This Row],[Fetal Sex (Male, Female or Unknown)]]="Unknown",Backend!$C$8,"Error"))),"")</f>
        <v/>
      </c>
      <c r="F3668" s="8" t="str">
        <f>IF(Table1[[#This Row],[Is Data Valid]]=TRUE,EXP(0.578+0.332*((Table1[[#This Row],[Gestation (days)]]+0.5)/7)-0.00354*((Table1[[#This Row],[Gestation (days)]]+0.5)/7)^2)*Table1[[#This Row],[BW40_3705]],"")</f>
        <v/>
      </c>
      <c r="G3668" s="2" t="str">
        <f>IF(Table1[[#This Row],[Is Data Valid]]=TRUE,((Table1[[#This Row],[Birthweight (grams)]]/Table1[[#This Row],[BW_GA]])-1)/(Backend!$B$4/100*Table1[[#This Row],[BW40_3705]]),"")</f>
        <v/>
      </c>
      <c r="H3668" s="7" t="str">
        <f>IF(Table1[[#This Row],[Is Data Valid]]=TRUE,((Table1[[#This Row],[Birthweight (grams)]]*0.9/Table1[[#This Row],[BW_GA]])-1)/(Backend!$B$4/100*Table1[[#This Row],[BW40_3705]]),"")</f>
        <v/>
      </c>
      <c r="I3668" s="7" t="str">
        <f>IF(Table1[[#This Row],[Is Data Valid]]=TRUE,((Table1[[#This Row],[Birthweight (grams)]]*1.1/Table1[[#This Row],[BW_GA]])-1)/(Backend!$B$4/100*Table1[[#This Row],[BW40_3705]]),"")</f>
        <v/>
      </c>
      <c r="J3668" s="7" t="str">
        <f>IF(Table1[[#This Row],[Is Data Valid]]=TRUE,_xlfn.NORM.S.DIST(Table1[[#This Row],[Birthweight Z-Score]],TRUE)*100,"")</f>
        <v/>
      </c>
      <c r="K3668" s="7" t="str">
        <f>IF(Table1[[#This Row],[Is Data Valid]]=TRUE,_xlfn.NORM.S.DIST(Table1[[#This Row],[Birthweight Z-Score (BW-10%)]],TRUE)*100,"")</f>
        <v/>
      </c>
      <c r="L3668" s="7" t="str">
        <f>IF(Table1[[#This Row],[Is Data Valid]]=TRUE,_xlfn.NORM.S.DIST(Table1[[#This Row],[Birthweight Z-Score (BW+10%)]],TRUE)*100,"")</f>
        <v/>
      </c>
    </row>
    <row r="3669" spans="1:12" x14ac:dyDescent="0.35">
      <c r="A3669" s="3"/>
      <c r="B3669" s="2"/>
      <c r="C3669" s="2"/>
      <c r="D3669" s="2" t="b">
        <f>IF(AND(NOT(ISBLANK(Table1[[#This Row],[Fetal Sex (Male, Female or Unknown)]])),ISNUMBER(Table1[[#This Row],[Birthweight (grams)]]),ISNUMBER(Table1[[#This Row],[Gestation (days)]])),TRUE,FALSE)</f>
        <v>0</v>
      </c>
      <c r="E3669" s="2" t="str">
        <f>IF(Table1[[#This Row],[Is Data Valid]]=TRUE,IF(Table1[[#This Row],[Fetal Sex (Male, Female or Unknown)]]="Male",Backend!$C$6,IF(Table1[[#This Row],[Fetal Sex (Male, Female or Unknown)]]="Female",Backend!$C$7,IF(Table1[[#This Row],[Fetal Sex (Male, Female or Unknown)]]="Unknown",Backend!$C$8,"Error"))),"")</f>
        <v/>
      </c>
      <c r="F3669" s="8" t="str">
        <f>IF(Table1[[#This Row],[Is Data Valid]]=TRUE,EXP(0.578+0.332*((Table1[[#This Row],[Gestation (days)]]+0.5)/7)-0.00354*((Table1[[#This Row],[Gestation (days)]]+0.5)/7)^2)*Table1[[#This Row],[BW40_3705]],"")</f>
        <v/>
      </c>
      <c r="G3669" s="2" t="str">
        <f>IF(Table1[[#This Row],[Is Data Valid]]=TRUE,((Table1[[#This Row],[Birthweight (grams)]]/Table1[[#This Row],[BW_GA]])-1)/(Backend!$B$4/100*Table1[[#This Row],[BW40_3705]]),"")</f>
        <v/>
      </c>
      <c r="H3669" s="7" t="str">
        <f>IF(Table1[[#This Row],[Is Data Valid]]=TRUE,((Table1[[#This Row],[Birthweight (grams)]]*0.9/Table1[[#This Row],[BW_GA]])-1)/(Backend!$B$4/100*Table1[[#This Row],[BW40_3705]]),"")</f>
        <v/>
      </c>
      <c r="I3669" s="7" t="str">
        <f>IF(Table1[[#This Row],[Is Data Valid]]=TRUE,((Table1[[#This Row],[Birthweight (grams)]]*1.1/Table1[[#This Row],[BW_GA]])-1)/(Backend!$B$4/100*Table1[[#This Row],[BW40_3705]]),"")</f>
        <v/>
      </c>
      <c r="J3669" s="7" t="str">
        <f>IF(Table1[[#This Row],[Is Data Valid]]=TRUE,_xlfn.NORM.S.DIST(Table1[[#This Row],[Birthweight Z-Score]],TRUE)*100,"")</f>
        <v/>
      </c>
      <c r="K3669" s="7" t="str">
        <f>IF(Table1[[#This Row],[Is Data Valid]]=TRUE,_xlfn.NORM.S.DIST(Table1[[#This Row],[Birthweight Z-Score (BW-10%)]],TRUE)*100,"")</f>
        <v/>
      </c>
      <c r="L3669" s="7" t="str">
        <f>IF(Table1[[#This Row],[Is Data Valid]]=TRUE,_xlfn.NORM.S.DIST(Table1[[#This Row],[Birthweight Z-Score (BW+10%)]],TRUE)*100,"")</f>
        <v/>
      </c>
    </row>
    <row r="3670" spans="1:12" x14ac:dyDescent="0.35">
      <c r="A3670" s="3"/>
      <c r="B3670" s="2"/>
      <c r="C3670" s="2"/>
      <c r="D3670" s="2" t="b">
        <f>IF(AND(NOT(ISBLANK(Table1[[#This Row],[Fetal Sex (Male, Female or Unknown)]])),ISNUMBER(Table1[[#This Row],[Birthweight (grams)]]),ISNUMBER(Table1[[#This Row],[Gestation (days)]])),TRUE,FALSE)</f>
        <v>0</v>
      </c>
      <c r="E3670" s="2" t="str">
        <f>IF(Table1[[#This Row],[Is Data Valid]]=TRUE,IF(Table1[[#This Row],[Fetal Sex (Male, Female or Unknown)]]="Male",Backend!$C$6,IF(Table1[[#This Row],[Fetal Sex (Male, Female or Unknown)]]="Female",Backend!$C$7,IF(Table1[[#This Row],[Fetal Sex (Male, Female or Unknown)]]="Unknown",Backend!$C$8,"Error"))),"")</f>
        <v/>
      </c>
      <c r="F3670" s="8" t="str">
        <f>IF(Table1[[#This Row],[Is Data Valid]]=TRUE,EXP(0.578+0.332*((Table1[[#This Row],[Gestation (days)]]+0.5)/7)-0.00354*((Table1[[#This Row],[Gestation (days)]]+0.5)/7)^2)*Table1[[#This Row],[BW40_3705]],"")</f>
        <v/>
      </c>
      <c r="G3670" s="2" t="str">
        <f>IF(Table1[[#This Row],[Is Data Valid]]=TRUE,((Table1[[#This Row],[Birthweight (grams)]]/Table1[[#This Row],[BW_GA]])-1)/(Backend!$B$4/100*Table1[[#This Row],[BW40_3705]]),"")</f>
        <v/>
      </c>
      <c r="H3670" s="7" t="str">
        <f>IF(Table1[[#This Row],[Is Data Valid]]=TRUE,((Table1[[#This Row],[Birthweight (grams)]]*0.9/Table1[[#This Row],[BW_GA]])-1)/(Backend!$B$4/100*Table1[[#This Row],[BW40_3705]]),"")</f>
        <v/>
      </c>
      <c r="I3670" s="7" t="str">
        <f>IF(Table1[[#This Row],[Is Data Valid]]=TRUE,((Table1[[#This Row],[Birthweight (grams)]]*1.1/Table1[[#This Row],[BW_GA]])-1)/(Backend!$B$4/100*Table1[[#This Row],[BW40_3705]]),"")</f>
        <v/>
      </c>
      <c r="J3670" s="7" t="str">
        <f>IF(Table1[[#This Row],[Is Data Valid]]=TRUE,_xlfn.NORM.S.DIST(Table1[[#This Row],[Birthweight Z-Score]],TRUE)*100,"")</f>
        <v/>
      </c>
      <c r="K3670" s="7" t="str">
        <f>IF(Table1[[#This Row],[Is Data Valid]]=TRUE,_xlfn.NORM.S.DIST(Table1[[#This Row],[Birthweight Z-Score (BW-10%)]],TRUE)*100,"")</f>
        <v/>
      </c>
      <c r="L3670" s="7" t="str">
        <f>IF(Table1[[#This Row],[Is Data Valid]]=TRUE,_xlfn.NORM.S.DIST(Table1[[#This Row],[Birthweight Z-Score (BW+10%)]],TRUE)*100,"")</f>
        <v/>
      </c>
    </row>
    <row r="3671" spans="1:12" x14ac:dyDescent="0.35">
      <c r="A3671" s="3"/>
      <c r="B3671" s="2"/>
      <c r="C3671" s="2"/>
      <c r="D3671" s="2" t="b">
        <f>IF(AND(NOT(ISBLANK(Table1[[#This Row],[Fetal Sex (Male, Female or Unknown)]])),ISNUMBER(Table1[[#This Row],[Birthweight (grams)]]),ISNUMBER(Table1[[#This Row],[Gestation (days)]])),TRUE,FALSE)</f>
        <v>0</v>
      </c>
      <c r="E3671" s="2" t="str">
        <f>IF(Table1[[#This Row],[Is Data Valid]]=TRUE,IF(Table1[[#This Row],[Fetal Sex (Male, Female or Unknown)]]="Male",Backend!$C$6,IF(Table1[[#This Row],[Fetal Sex (Male, Female or Unknown)]]="Female",Backend!$C$7,IF(Table1[[#This Row],[Fetal Sex (Male, Female or Unknown)]]="Unknown",Backend!$C$8,"Error"))),"")</f>
        <v/>
      </c>
      <c r="F3671" s="8" t="str">
        <f>IF(Table1[[#This Row],[Is Data Valid]]=TRUE,EXP(0.578+0.332*((Table1[[#This Row],[Gestation (days)]]+0.5)/7)-0.00354*((Table1[[#This Row],[Gestation (days)]]+0.5)/7)^2)*Table1[[#This Row],[BW40_3705]],"")</f>
        <v/>
      </c>
      <c r="G3671" s="2" t="str">
        <f>IF(Table1[[#This Row],[Is Data Valid]]=TRUE,((Table1[[#This Row],[Birthweight (grams)]]/Table1[[#This Row],[BW_GA]])-1)/(Backend!$B$4/100*Table1[[#This Row],[BW40_3705]]),"")</f>
        <v/>
      </c>
      <c r="H3671" s="7" t="str">
        <f>IF(Table1[[#This Row],[Is Data Valid]]=TRUE,((Table1[[#This Row],[Birthweight (grams)]]*0.9/Table1[[#This Row],[BW_GA]])-1)/(Backend!$B$4/100*Table1[[#This Row],[BW40_3705]]),"")</f>
        <v/>
      </c>
      <c r="I3671" s="7" t="str">
        <f>IF(Table1[[#This Row],[Is Data Valid]]=TRUE,((Table1[[#This Row],[Birthweight (grams)]]*1.1/Table1[[#This Row],[BW_GA]])-1)/(Backend!$B$4/100*Table1[[#This Row],[BW40_3705]]),"")</f>
        <v/>
      </c>
      <c r="J3671" s="7" t="str">
        <f>IF(Table1[[#This Row],[Is Data Valid]]=TRUE,_xlfn.NORM.S.DIST(Table1[[#This Row],[Birthweight Z-Score]],TRUE)*100,"")</f>
        <v/>
      </c>
      <c r="K3671" s="7" t="str">
        <f>IF(Table1[[#This Row],[Is Data Valid]]=TRUE,_xlfn.NORM.S.DIST(Table1[[#This Row],[Birthweight Z-Score (BW-10%)]],TRUE)*100,"")</f>
        <v/>
      </c>
      <c r="L3671" s="7" t="str">
        <f>IF(Table1[[#This Row],[Is Data Valid]]=TRUE,_xlfn.NORM.S.DIST(Table1[[#This Row],[Birthweight Z-Score (BW+10%)]],TRUE)*100,"")</f>
        <v/>
      </c>
    </row>
    <row r="3672" spans="1:12" x14ac:dyDescent="0.35">
      <c r="A3672" s="3"/>
      <c r="B3672" s="2"/>
      <c r="C3672" s="2"/>
      <c r="D3672" s="2" t="b">
        <f>IF(AND(NOT(ISBLANK(Table1[[#This Row],[Fetal Sex (Male, Female or Unknown)]])),ISNUMBER(Table1[[#This Row],[Birthweight (grams)]]),ISNUMBER(Table1[[#This Row],[Gestation (days)]])),TRUE,FALSE)</f>
        <v>0</v>
      </c>
      <c r="E3672" s="2" t="str">
        <f>IF(Table1[[#This Row],[Is Data Valid]]=TRUE,IF(Table1[[#This Row],[Fetal Sex (Male, Female or Unknown)]]="Male",Backend!$C$6,IF(Table1[[#This Row],[Fetal Sex (Male, Female or Unknown)]]="Female",Backend!$C$7,IF(Table1[[#This Row],[Fetal Sex (Male, Female or Unknown)]]="Unknown",Backend!$C$8,"Error"))),"")</f>
        <v/>
      </c>
      <c r="F3672" s="8" t="str">
        <f>IF(Table1[[#This Row],[Is Data Valid]]=TRUE,EXP(0.578+0.332*((Table1[[#This Row],[Gestation (days)]]+0.5)/7)-0.00354*((Table1[[#This Row],[Gestation (days)]]+0.5)/7)^2)*Table1[[#This Row],[BW40_3705]],"")</f>
        <v/>
      </c>
      <c r="G3672" s="2" t="str">
        <f>IF(Table1[[#This Row],[Is Data Valid]]=TRUE,((Table1[[#This Row],[Birthweight (grams)]]/Table1[[#This Row],[BW_GA]])-1)/(Backend!$B$4/100*Table1[[#This Row],[BW40_3705]]),"")</f>
        <v/>
      </c>
      <c r="H3672" s="7" t="str">
        <f>IF(Table1[[#This Row],[Is Data Valid]]=TRUE,((Table1[[#This Row],[Birthweight (grams)]]*0.9/Table1[[#This Row],[BW_GA]])-1)/(Backend!$B$4/100*Table1[[#This Row],[BW40_3705]]),"")</f>
        <v/>
      </c>
      <c r="I3672" s="7" t="str">
        <f>IF(Table1[[#This Row],[Is Data Valid]]=TRUE,((Table1[[#This Row],[Birthweight (grams)]]*1.1/Table1[[#This Row],[BW_GA]])-1)/(Backend!$B$4/100*Table1[[#This Row],[BW40_3705]]),"")</f>
        <v/>
      </c>
      <c r="J3672" s="7" t="str">
        <f>IF(Table1[[#This Row],[Is Data Valid]]=TRUE,_xlfn.NORM.S.DIST(Table1[[#This Row],[Birthweight Z-Score]],TRUE)*100,"")</f>
        <v/>
      </c>
      <c r="K3672" s="7" t="str">
        <f>IF(Table1[[#This Row],[Is Data Valid]]=TRUE,_xlfn.NORM.S.DIST(Table1[[#This Row],[Birthweight Z-Score (BW-10%)]],TRUE)*100,"")</f>
        <v/>
      </c>
      <c r="L3672" s="7" t="str">
        <f>IF(Table1[[#This Row],[Is Data Valid]]=TRUE,_xlfn.NORM.S.DIST(Table1[[#This Row],[Birthweight Z-Score (BW+10%)]],TRUE)*100,"")</f>
        <v/>
      </c>
    </row>
    <row r="3673" spans="1:12" x14ac:dyDescent="0.35">
      <c r="A3673" s="3"/>
      <c r="B3673" s="2"/>
      <c r="C3673" s="2"/>
      <c r="D3673" s="2" t="b">
        <f>IF(AND(NOT(ISBLANK(Table1[[#This Row],[Fetal Sex (Male, Female or Unknown)]])),ISNUMBER(Table1[[#This Row],[Birthweight (grams)]]),ISNUMBER(Table1[[#This Row],[Gestation (days)]])),TRUE,FALSE)</f>
        <v>0</v>
      </c>
      <c r="E3673" s="2" t="str">
        <f>IF(Table1[[#This Row],[Is Data Valid]]=TRUE,IF(Table1[[#This Row],[Fetal Sex (Male, Female or Unknown)]]="Male",Backend!$C$6,IF(Table1[[#This Row],[Fetal Sex (Male, Female or Unknown)]]="Female",Backend!$C$7,IF(Table1[[#This Row],[Fetal Sex (Male, Female or Unknown)]]="Unknown",Backend!$C$8,"Error"))),"")</f>
        <v/>
      </c>
      <c r="F3673" s="8" t="str">
        <f>IF(Table1[[#This Row],[Is Data Valid]]=TRUE,EXP(0.578+0.332*((Table1[[#This Row],[Gestation (days)]]+0.5)/7)-0.00354*((Table1[[#This Row],[Gestation (days)]]+0.5)/7)^2)*Table1[[#This Row],[BW40_3705]],"")</f>
        <v/>
      </c>
      <c r="G3673" s="2" t="str">
        <f>IF(Table1[[#This Row],[Is Data Valid]]=TRUE,((Table1[[#This Row],[Birthweight (grams)]]/Table1[[#This Row],[BW_GA]])-1)/(Backend!$B$4/100*Table1[[#This Row],[BW40_3705]]),"")</f>
        <v/>
      </c>
      <c r="H3673" s="7" t="str">
        <f>IF(Table1[[#This Row],[Is Data Valid]]=TRUE,((Table1[[#This Row],[Birthweight (grams)]]*0.9/Table1[[#This Row],[BW_GA]])-1)/(Backend!$B$4/100*Table1[[#This Row],[BW40_3705]]),"")</f>
        <v/>
      </c>
      <c r="I3673" s="7" t="str">
        <f>IF(Table1[[#This Row],[Is Data Valid]]=TRUE,((Table1[[#This Row],[Birthweight (grams)]]*1.1/Table1[[#This Row],[BW_GA]])-1)/(Backend!$B$4/100*Table1[[#This Row],[BW40_3705]]),"")</f>
        <v/>
      </c>
      <c r="J3673" s="7" t="str">
        <f>IF(Table1[[#This Row],[Is Data Valid]]=TRUE,_xlfn.NORM.S.DIST(Table1[[#This Row],[Birthweight Z-Score]],TRUE)*100,"")</f>
        <v/>
      </c>
      <c r="K3673" s="7" t="str">
        <f>IF(Table1[[#This Row],[Is Data Valid]]=TRUE,_xlfn.NORM.S.DIST(Table1[[#This Row],[Birthweight Z-Score (BW-10%)]],TRUE)*100,"")</f>
        <v/>
      </c>
      <c r="L3673" s="7" t="str">
        <f>IF(Table1[[#This Row],[Is Data Valid]]=TRUE,_xlfn.NORM.S.DIST(Table1[[#This Row],[Birthweight Z-Score (BW+10%)]],TRUE)*100,"")</f>
        <v/>
      </c>
    </row>
    <row r="3674" spans="1:12" x14ac:dyDescent="0.35">
      <c r="A3674" s="3"/>
      <c r="B3674" s="2"/>
      <c r="C3674" s="2"/>
      <c r="D3674" s="2" t="b">
        <f>IF(AND(NOT(ISBLANK(Table1[[#This Row],[Fetal Sex (Male, Female or Unknown)]])),ISNUMBER(Table1[[#This Row],[Birthweight (grams)]]),ISNUMBER(Table1[[#This Row],[Gestation (days)]])),TRUE,FALSE)</f>
        <v>0</v>
      </c>
      <c r="E3674" s="2" t="str">
        <f>IF(Table1[[#This Row],[Is Data Valid]]=TRUE,IF(Table1[[#This Row],[Fetal Sex (Male, Female or Unknown)]]="Male",Backend!$C$6,IF(Table1[[#This Row],[Fetal Sex (Male, Female or Unknown)]]="Female",Backend!$C$7,IF(Table1[[#This Row],[Fetal Sex (Male, Female or Unknown)]]="Unknown",Backend!$C$8,"Error"))),"")</f>
        <v/>
      </c>
      <c r="F3674" s="8" t="str">
        <f>IF(Table1[[#This Row],[Is Data Valid]]=TRUE,EXP(0.578+0.332*((Table1[[#This Row],[Gestation (days)]]+0.5)/7)-0.00354*((Table1[[#This Row],[Gestation (days)]]+0.5)/7)^2)*Table1[[#This Row],[BW40_3705]],"")</f>
        <v/>
      </c>
      <c r="G3674" s="2" t="str">
        <f>IF(Table1[[#This Row],[Is Data Valid]]=TRUE,((Table1[[#This Row],[Birthweight (grams)]]/Table1[[#This Row],[BW_GA]])-1)/(Backend!$B$4/100*Table1[[#This Row],[BW40_3705]]),"")</f>
        <v/>
      </c>
      <c r="H3674" s="7" t="str">
        <f>IF(Table1[[#This Row],[Is Data Valid]]=TRUE,((Table1[[#This Row],[Birthweight (grams)]]*0.9/Table1[[#This Row],[BW_GA]])-1)/(Backend!$B$4/100*Table1[[#This Row],[BW40_3705]]),"")</f>
        <v/>
      </c>
      <c r="I3674" s="7" t="str">
        <f>IF(Table1[[#This Row],[Is Data Valid]]=TRUE,((Table1[[#This Row],[Birthweight (grams)]]*1.1/Table1[[#This Row],[BW_GA]])-1)/(Backend!$B$4/100*Table1[[#This Row],[BW40_3705]]),"")</f>
        <v/>
      </c>
      <c r="J3674" s="7" t="str">
        <f>IF(Table1[[#This Row],[Is Data Valid]]=TRUE,_xlfn.NORM.S.DIST(Table1[[#This Row],[Birthweight Z-Score]],TRUE)*100,"")</f>
        <v/>
      </c>
      <c r="K3674" s="7" t="str">
        <f>IF(Table1[[#This Row],[Is Data Valid]]=TRUE,_xlfn.NORM.S.DIST(Table1[[#This Row],[Birthweight Z-Score (BW-10%)]],TRUE)*100,"")</f>
        <v/>
      </c>
      <c r="L3674" s="7" t="str">
        <f>IF(Table1[[#This Row],[Is Data Valid]]=TRUE,_xlfn.NORM.S.DIST(Table1[[#This Row],[Birthweight Z-Score (BW+10%)]],TRUE)*100,"")</f>
        <v/>
      </c>
    </row>
    <row r="3675" spans="1:12" x14ac:dyDescent="0.35">
      <c r="A3675" s="3"/>
      <c r="B3675" s="2"/>
      <c r="C3675" s="2"/>
      <c r="D3675" s="2" t="b">
        <f>IF(AND(NOT(ISBLANK(Table1[[#This Row],[Fetal Sex (Male, Female or Unknown)]])),ISNUMBER(Table1[[#This Row],[Birthweight (grams)]]),ISNUMBER(Table1[[#This Row],[Gestation (days)]])),TRUE,FALSE)</f>
        <v>0</v>
      </c>
      <c r="E3675" s="2" t="str">
        <f>IF(Table1[[#This Row],[Is Data Valid]]=TRUE,IF(Table1[[#This Row],[Fetal Sex (Male, Female or Unknown)]]="Male",Backend!$C$6,IF(Table1[[#This Row],[Fetal Sex (Male, Female or Unknown)]]="Female",Backend!$C$7,IF(Table1[[#This Row],[Fetal Sex (Male, Female or Unknown)]]="Unknown",Backend!$C$8,"Error"))),"")</f>
        <v/>
      </c>
      <c r="F3675" s="8" t="str">
        <f>IF(Table1[[#This Row],[Is Data Valid]]=TRUE,EXP(0.578+0.332*((Table1[[#This Row],[Gestation (days)]]+0.5)/7)-0.00354*((Table1[[#This Row],[Gestation (days)]]+0.5)/7)^2)*Table1[[#This Row],[BW40_3705]],"")</f>
        <v/>
      </c>
      <c r="G3675" s="2" t="str">
        <f>IF(Table1[[#This Row],[Is Data Valid]]=TRUE,((Table1[[#This Row],[Birthweight (grams)]]/Table1[[#This Row],[BW_GA]])-1)/(Backend!$B$4/100*Table1[[#This Row],[BW40_3705]]),"")</f>
        <v/>
      </c>
      <c r="H3675" s="7" t="str">
        <f>IF(Table1[[#This Row],[Is Data Valid]]=TRUE,((Table1[[#This Row],[Birthweight (grams)]]*0.9/Table1[[#This Row],[BW_GA]])-1)/(Backend!$B$4/100*Table1[[#This Row],[BW40_3705]]),"")</f>
        <v/>
      </c>
      <c r="I3675" s="7" t="str">
        <f>IF(Table1[[#This Row],[Is Data Valid]]=TRUE,((Table1[[#This Row],[Birthweight (grams)]]*1.1/Table1[[#This Row],[BW_GA]])-1)/(Backend!$B$4/100*Table1[[#This Row],[BW40_3705]]),"")</f>
        <v/>
      </c>
      <c r="J3675" s="7" t="str">
        <f>IF(Table1[[#This Row],[Is Data Valid]]=TRUE,_xlfn.NORM.S.DIST(Table1[[#This Row],[Birthweight Z-Score]],TRUE)*100,"")</f>
        <v/>
      </c>
      <c r="K3675" s="7" t="str">
        <f>IF(Table1[[#This Row],[Is Data Valid]]=TRUE,_xlfn.NORM.S.DIST(Table1[[#This Row],[Birthweight Z-Score (BW-10%)]],TRUE)*100,"")</f>
        <v/>
      </c>
      <c r="L3675" s="7" t="str">
        <f>IF(Table1[[#This Row],[Is Data Valid]]=TRUE,_xlfn.NORM.S.DIST(Table1[[#This Row],[Birthweight Z-Score (BW+10%)]],TRUE)*100,"")</f>
        <v/>
      </c>
    </row>
    <row r="3676" spans="1:12" x14ac:dyDescent="0.35">
      <c r="A3676" s="3"/>
      <c r="B3676" s="2"/>
      <c r="C3676" s="2"/>
      <c r="D3676" s="2" t="b">
        <f>IF(AND(NOT(ISBLANK(Table1[[#This Row],[Fetal Sex (Male, Female or Unknown)]])),ISNUMBER(Table1[[#This Row],[Birthweight (grams)]]),ISNUMBER(Table1[[#This Row],[Gestation (days)]])),TRUE,FALSE)</f>
        <v>0</v>
      </c>
      <c r="E3676" s="2" t="str">
        <f>IF(Table1[[#This Row],[Is Data Valid]]=TRUE,IF(Table1[[#This Row],[Fetal Sex (Male, Female or Unknown)]]="Male",Backend!$C$6,IF(Table1[[#This Row],[Fetal Sex (Male, Female or Unknown)]]="Female",Backend!$C$7,IF(Table1[[#This Row],[Fetal Sex (Male, Female or Unknown)]]="Unknown",Backend!$C$8,"Error"))),"")</f>
        <v/>
      </c>
      <c r="F3676" s="8" t="str">
        <f>IF(Table1[[#This Row],[Is Data Valid]]=TRUE,EXP(0.578+0.332*((Table1[[#This Row],[Gestation (days)]]+0.5)/7)-0.00354*((Table1[[#This Row],[Gestation (days)]]+0.5)/7)^2)*Table1[[#This Row],[BW40_3705]],"")</f>
        <v/>
      </c>
      <c r="G3676" s="2" t="str">
        <f>IF(Table1[[#This Row],[Is Data Valid]]=TRUE,((Table1[[#This Row],[Birthweight (grams)]]/Table1[[#This Row],[BW_GA]])-1)/(Backend!$B$4/100*Table1[[#This Row],[BW40_3705]]),"")</f>
        <v/>
      </c>
      <c r="H3676" s="7" t="str">
        <f>IF(Table1[[#This Row],[Is Data Valid]]=TRUE,((Table1[[#This Row],[Birthweight (grams)]]*0.9/Table1[[#This Row],[BW_GA]])-1)/(Backend!$B$4/100*Table1[[#This Row],[BW40_3705]]),"")</f>
        <v/>
      </c>
      <c r="I3676" s="7" t="str">
        <f>IF(Table1[[#This Row],[Is Data Valid]]=TRUE,((Table1[[#This Row],[Birthweight (grams)]]*1.1/Table1[[#This Row],[BW_GA]])-1)/(Backend!$B$4/100*Table1[[#This Row],[BW40_3705]]),"")</f>
        <v/>
      </c>
      <c r="J3676" s="7" t="str">
        <f>IF(Table1[[#This Row],[Is Data Valid]]=TRUE,_xlfn.NORM.S.DIST(Table1[[#This Row],[Birthweight Z-Score]],TRUE)*100,"")</f>
        <v/>
      </c>
      <c r="K3676" s="7" t="str">
        <f>IF(Table1[[#This Row],[Is Data Valid]]=TRUE,_xlfn.NORM.S.DIST(Table1[[#This Row],[Birthweight Z-Score (BW-10%)]],TRUE)*100,"")</f>
        <v/>
      </c>
      <c r="L3676" s="7" t="str">
        <f>IF(Table1[[#This Row],[Is Data Valid]]=TRUE,_xlfn.NORM.S.DIST(Table1[[#This Row],[Birthweight Z-Score (BW+10%)]],TRUE)*100,"")</f>
        <v/>
      </c>
    </row>
    <row r="3677" spans="1:12" x14ac:dyDescent="0.35">
      <c r="A3677" s="3"/>
      <c r="B3677" s="2"/>
      <c r="C3677" s="2"/>
      <c r="D3677" s="2" t="b">
        <f>IF(AND(NOT(ISBLANK(Table1[[#This Row],[Fetal Sex (Male, Female or Unknown)]])),ISNUMBER(Table1[[#This Row],[Birthweight (grams)]]),ISNUMBER(Table1[[#This Row],[Gestation (days)]])),TRUE,FALSE)</f>
        <v>0</v>
      </c>
      <c r="E3677" s="2" t="str">
        <f>IF(Table1[[#This Row],[Is Data Valid]]=TRUE,IF(Table1[[#This Row],[Fetal Sex (Male, Female or Unknown)]]="Male",Backend!$C$6,IF(Table1[[#This Row],[Fetal Sex (Male, Female or Unknown)]]="Female",Backend!$C$7,IF(Table1[[#This Row],[Fetal Sex (Male, Female or Unknown)]]="Unknown",Backend!$C$8,"Error"))),"")</f>
        <v/>
      </c>
      <c r="F3677" s="8" t="str">
        <f>IF(Table1[[#This Row],[Is Data Valid]]=TRUE,EXP(0.578+0.332*((Table1[[#This Row],[Gestation (days)]]+0.5)/7)-0.00354*((Table1[[#This Row],[Gestation (days)]]+0.5)/7)^2)*Table1[[#This Row],[BW40_3705]],"")</f>
        <v/>
      </c>
      <c r="G3677" s="2" t="str">
        <f>IF(Table1[[#This Row],[Is Data Valid]]=TRUE,((Table1[[#This Row],[Birthweight (grams)]]/Table1[[#This Row],[BW_GA]])-1)/(Backend!$B$4/100*Table1[[#This Row],[BW40_3705]]),"")</f>
        <v/>
      </c>
      <c r="H3677" s="7" t="str">
        <f>IF(Table1[[#This Row],[Is Data Valid]]=TRUE,((Table1[[#This Row],[Birthweight (grams)]]*0.9/Table1[[#This Row],[BW_GA]])-1)/(Backend!$B$4/100*Table1[[#This Row],[BW40_3705]]),"")</f>
        <v/>
      </c>
      <c r="I3677" s="7" t="str">
        <f>IF(Table1[[#This Row],[Is Data Valid]]=TRUE,((Table1[[#This Row],[Birthweight (grams)]]*1.1/Table1[[#This Row],[BW_GA]])-1)/(Backend!$B$4/100*Table1[[#This Row],[BW40_3705]]),"")</f>
        <v/>
      </c>
      <c r="J3677" s="7" t="str">
        <f>IF(Table1[[#This Row],[Is Data Valid]]=TRUE,_xlfn.NORM.S.DIST(Table1[[#This Row],[Birthweight Z-Score]],TRUE)*100,"")</f>
        <v/>
      </c>
      <c r="K3677" s="7" t="str">
        <f>IF(Table1[[#This Row],[Is Data Valid]]=TRUE,_xlfn.NORM.S.DIST(Table1[[#This Row],[Birthweight Z-Score (BW-10%)]],TRUE)*100,"")</f>
        <v/>
      </c>
      <c r="L3677" s="7" t="str">
        <f>IF(Table1[[#This Row],[Is Data Valid]]=TRUE,_xlfn.NORM.S.DIST(Table1[[#This Row],[Birthweight Z-Score (BW+10%)]],TRUE)*100,"")</f>
        <v/>
      </c>
    </row>
    <row r="3678" spans="1:12" x14ac:dyDescent="0.35">
      <c r="A3678" s="3"/>
      <c r="B3678" s="2"/>
      <c r="C3678" s="2"/>
      <c r="D3678" s="2" t="b">
        <f>IF(AND(NOT(ISBLANK(Table1[[#This Row],[Fetal Sex (Male, Female or Unknown)]])),ISNUMBER(Table1[[#This Row],[Birthweight (grams)]]),ISNUMBER(Table1[[#This Row],[Gestation (days)]])),TRUE,FALSE)</f>
        <v>0</v>
      </c>
      <c r="E3678" s="2" t="str">
        <f>IF(Table1[[#This Row],[Is Data Valid]]=TRUE,IF(Table1[[#This Row],[Fetal Sex (Male, Female or Unknown)]]="Male",Backend!$C$6,IF(Table1[[#This Row],[Fetal Sex (Male, Female or Unknown)]]="Female",Backend!$C$7,IF(Table1[[#This Row],[Fetal Sex (Male, Female or Unknown)]]="Unknown",Backend!$C$8,"Error"))),"")</f>
        <v/>
      </c>
      <c r="F3678" s="8" t="str">
        <f>IF(Table1[[#This Row],[Is Data Valid]]=TRUE,EXP(0.578+0.332*((Table1[[#This Row],[Gestation (days)]]+0.5)/7)-0.00354*((Table1[[#This Row],[Gestation (days)]]+0.5)/7)^2)*Table1[[#This Row],[BW40_3705]],"")</f>
        <v/>
      </c>
      <c r="G3678" s="2" t="str">
        <f>IF(Table1[[#This Row],[Is Data Valid]]=TRUE,((Table1[[#This Row],[Birthweight (grams)]]/Table1[[#This Row],[BW_GA]])-1)/(Backend!$B$4/100*Table1[[#This Row],[BW40_3705]]),"")</f>
        <v/>
      </c>
      <c r="H3678" s="7" t="str">
        <f>IF(Table1[[#This Row],[Is Data Valid]]=TRUE,((Table1[[#This Row],[Birthweight (grams)]]*0.9/Table1[[#This Row],[BW_GA]])-1)/(Backend!$B$4/100*Table1[[#This Row],[BW40_3705]]),"")</f>
        <v/>
      </c>
      <c r="I3678" s="7" t="str">
        <f>IF(Table1[[#This Row],[Is Data Valid]]=TRUE,((Table1[[#This Row],[Birthweight (grams)]]*1.1/Table1[[#This Row],[BW_GA]])-1)/(Backend!$B$4/100*Table1[[#This Row],[BW40_3705]]),"")</f>
        <v/>
      </c>
      <c r="J3678" s="7" t="str">
        <f>IF(Table1[[#This Row],[Is Data Valid]]=TRUE,_xlfn.NORM.S.DIST(Table1[[#This Row],[Birthweight Z-Score]],TRUE)*100,"")</f>
        <v/>
      </c>
      <c r="K3678" s="7" t="str">
        <f>IF(Table1[[#This Row],[Is Data Valid]]=TRUE,_xlfn.NORM.S.DIST(Table1[[#This Row],[Birthweight Z-Score (BW-10%)]],TRUE)*100,"")</f>
        <v/>
      </c>
      <c r="L3678" s="7" t="str">
        <f>IF(Table1[[#This Row],[Is Data Valid]]=TRUE,_xlfn.NORM.S.DIST(Table1[[#This Row],[Birthweight Z-Score (BW+10%)]],TRUE)*100,"")</f>
        <v/>
      </c>
    </row>
    <row r="3679" spans="1:12" x14ac:dyDescent="0.35">
      <c r="A3679" s="3"/>
      <c r="B3679" s="2"/>
      <c r="C3679" s="2"/>
      <c r="D3679" s="2" t="b">
        <f>IF(AND(NOT(ISBLANK(Table1[[#This Row],[Fetal Sex (Male, Female or Unknown)]])),ISNUMBER(Table1[[#This Row],[Birthweight (grams)]]),ISNUMBER(Table1[[#This Row],[Gestation (days)]])),TRUE,FALSE)</f>
        <v>0</v>
      </c>
      <c r="E3679" s="2" t="str">
        <f>IF(Table1[[#This Row],[Is Data Valid]]=TRUE,IF(Table1[[#This Row],[Fetal Sex (Male, Female or Unknown)]]="Male",Backend!$C$6,IF(Table1[[#This Row],[Fetal Sex (Male, Female or Unknown)]]="Female",Backend!$C$7,IF(Table1[[#This Row],[Fetal Sex (Male, Female or Unknown)]]="Unknown",Backend!$C$8,"Error"))),"")</f>
        <v/>
      </c>
      <c r="F3679" s="8" t="str">
        <f>IF(Table1[[#This Row],[Is Data Valid]]=TRUE,EXP(0.578+0.332*((Table1[[#This Row],[Gestation (days)]]+0.5)/7)-0.00354*((Table1[[#This Row],[Gestation (days)]]+0.5)/7)^2)*Table1[[#This Row],[BW40_3705]],"")</f>
        <v/>
      </c>
      <c r="G3679" s="2" t="str">
        <f>IF(Table1[[#This Row],[Is Data Valid]]=TRUE,((Table1[[#This Row],[Birthweight (grams)]]/Table1[[#This Row],[BW_GA]])-1)/(Backend!$B$4/100*Table1[[#This Row],[BW40_3705]]),"")</f>
        <v/>
      </c>
      <c r="H3679" s="7" t="str">
        <f>IF(Table1[[#This Row],[Is Data Valid]]=TRUE,((Table1[[#This Row],[Birthweight (grams)]]*0.9/Table1[[#This Row],[BW_GA]])-1)/(Backend!$B$4/100*Table1[[#This Row],[BW40_3705]]),"")</f>
        <v/>
      </c>
      <c r="I3679" s="7" t="str">
        <f>IF(Table1[[#This Row],[Is Data Valid]]=TRUE,((Table1[[#This Row],[Birthweight (grams)]]*1.1/Table1[[#This Row],[BW_GA]])-1)/(Backend!$B$4/100*Table1[[#This Row],[BW40_3705]]),"")</f>
        <v/>
      </c>
      <c r="J3679" s="7" t="str">
        <f>IF(Table1[[#This Row],[Is Data Valid]]=TRUE,_xlfn.NORM.S.DIST(Table1[[#This Row],[Birthweight Z-Score]],TRUE)*100,"")</f>
        <v/>
      </c>
      <c r="K3679" s="7" t="str">
        <f>IF(Table1[[#This Row],[Is Data Valid]]=TRUE,_xlfn.NORM.S.DIST(Table1[[#This Row],[Birthweight Z-Score (BW-10%)]],TRUE)*100,"")</f>
        <v/>
      </c>
      <c r="L3679" s="7" t="str">
        <f>IF(Table1[[#This Row],[Is Data Valid]]=TRUE,_xlfn.NORM.S.DIST(Table1[[#This Row],[Birthweight Z-Score (BW+10%)]],TRUE)*100,"")</f>
        <v/>
      </c>
    </row>
    <row r="3680" spans="1:12" x14ac:dyDescent="0.35">
      <c r="A3680" s="3"/>
      <c r="B3680" s="2"/>
      <c r="C3680" s="2"/>
      <c r="D3680" s="2" t="b">
        <f>IF(AND(NOT(ISBLANK(Table1[[#This Row],[Fetal Sex (Male, Female or Unknown)]])),ISNUMBER(Table1[[#This Row],[Birthweight (grams)]]),ISNUMBER(Table1[[#This Row],[Gestation (days)]])),TRUE,FALSE)</f>
        <v>0</v>
      </c>
      <c r="E3680" s="2" t="str">
        <f>IF(Table1[[#This Row],[Is Data Valid]]=TRUE,IF(Table1[[#This Row],[Fetal Sex (Male, Female or Unknown)]]="Male",Backend!$C$6,IF(Table1[[#This Row],[Fetal Sex (Male, Female or Unknown)]]="Female",Backend!$C$7,IF(Table1[[#This Row],[Fetal Sex (Male, Female or Unknown)]]="Unknown",Backend!$C$8,"Error"))),"")</f>
        <v/>
      </c>
      <c r="F3680" s="8" t="str">
        <f>IF(Table1[[#This Row],[Is Data Valid]]=TRUE,EXP(0.578+0.332*((Table1[[#This Row],[Gestation (days)]]+0.5)/7)-0.00354*((Table1[[#This Row],[Gestation (days)]]+0.5)/7)^2)*Table1[[#This Row],[BW40_3705]],"")</f>
        <v/>
      </c>
      <c r="G3680" s="2" t="str">
        <f>IF(Table1[[#This Row],[Is Data Valid]]=TRUE,((Table1[[#This Row],[Birthweight (grams)]]/Table1[[#This Row],[BW_GA]])-1)/(Backend!$B$4/100*Table1[[#This Row],[BW40_3705]]),"")</f>
        <v/>
      </c>
      <c r="H3680" s="7" t="str">
        <f>IF(Table1[[#This Row],[Is Data Valid]]=TRUE,((Table1[[#This Row],[Birthweight (grams)]]*0.9/Table1[[#This Row],[BW_GA]])-1)/(Backend!$B$4/100*Table1[[#This Row],[BW40_3705]]),"")</f>
        <v/>
      </c>
      <c r="I3680" s="7" t="str">
        <f>IF(Table1[[#This Row],[Is Data Valid]]=TRUE,((Table1[[#This Row],[Birthweight (grams)]]*1.1/Table1[[#This Row],[BW_GA]])-1)/(Backend!$B$4/100*Table1[[#This Row],[BW40_3705]]),"")</f>
        <v/>
      </c>
      <c r="J3680" s="7" t="str">
        <f>IF(Table1[[#This Row],[Is Data Valid]]=TRUE,_xlfn.NORM.S.DIST(Table1[[#This Row],[Birthweight Z-Score]],TRUE)*100,"")</f>
        <v/>
      </c>
      <c r="K3680" s="7" t="str">
        <f>IF(Table1[[#This Row],[Is Data Valid]]=TRUE,_xlfn.NORM.S.DIST(Table1[[#This Row],[Birthweight Z-Score (BW-10%)]],TRUE)*100,"")</f>
        <v/>
      </c>
      <c r="L3680" s="7" t="str">
        <f>IF(Table1[[#This Row],[Is Data Valid]]=TRUE,_xlfn.NORM.S.DIST(Table1[[#This Row],[Birthweight Z-Score (BW+10%)]],TRUE)*100,"")</f>
        <v/>
      </c>
    </row>
    <row r="3681" spans="1:12" x14ac:dyDescent="0.35">
      <c r="A3681" s="3"/>
      <c r="B3681" s="2"/>
      <c r="C3681" s="2"/>
      <c r="D3681" s="2" t="b">
        <f>IF(AND(NOT(ISBLANK(Table1[[#This Row],[Fetal Sex (Male, Female or Unknown)]])),ISNUMBER(Table1[[#This Row],[Birthweight (grams)]]),ISNUMBER(Table1[[#This Row],[Gestation (days)]])),TRUE,FALSE)</f>
        <v>0</v>
      </c>
      <c r="E3681" s="2" t="str">
        <f>IF(Table1[[#This Row],[Is Data Valid]]=TRUE,IF(Table1[[#This Row],[Fetal Sex (Male, Female or Unknown)]]="Male",Backend!$C$6,IF(Table1[[#This Row],[Fetal Sex (Male, Female or Unknown)]]="Female",Backend!$C$7,IF(Table1[[#This Row],[Fetal Sex (Male, Female or Unknown)]]="Unknown",Backend!$C$8,"Error"))),"")</f>
        <v/>
      </c>
      <c r="F3681" s="8" t="str">
        <f>IF(Table1[[#This Row],[Is Data Valid]]=TRUE,EXP(0.578+0.332*((Table1[[#This Row],[Gestation (days)]]+0.5)/7)-0.00354*((Table1[[#This Row],[Gestation (days)]]+0.5)/7)^2)*Table1[[#This Row],[BW40_3705]],"")</f>
        <v/>
      </c>
      <c r="G3681" s="2" t="str">
        <f>IF(Table1[[#This Row],[Is Data Valid]]=TRUE,((Table1[[#This Row],[Birthweight (grams)]]/Table1[[#This Row],[BW_GA]])-1)/(Backend!$B$4/100*Table1[[#This Row],[BW40_3705]]),"")</f>
        <v/>
      </c>
      <c r="H3681" s="7" t="str">
        <f>IF(Table1[[#This Row],[Is Data Valid]]=TRUE,((Table1[[#This Row],[Birthweight (grams)]]*0.9/Table1[[#This Row],[BW_GA]])-1)/(Backend!$B$4/100*Table1[[#This Row],[BW40_3705]]),"")</f>
        <v/>
      </c>
      <c r="I3681" s="7" t="str">
        <f>IF(Table1[[#This Row],[Is Data Valid]]=TRUE,((Table1[[#This Row],[Birthweight (grams)]]*1.1/Table1[[#This Row],[BW_GA]])-1)/(Backend!$B$4/100*Table1[[#This Row],[BW40_3705]]),"")</f>
        <v/>
      </c>
      <c r="J3681" s="7" t="str">
        <f>IF(Table1[[#This Row],[Is Data Valid]]=TRUE,_xlfn.NORM.S.DIST(Table1[[#This Row],[Birthweight Z-Score]],TRUE)*100,"")</f>
        <v/>
      </c>
      <c r="K3681" s="7" t="str">
        <f>IF(Table1[[#This Row],[Is Data Valid]]=TRUE,_xlfn.NORM.S.DIST(Table1[[#This Row],[Birthweight Z-Score (BW-10%)]],TRUE)*100,"")</f>
        <v/>
      </c>
      <c r="L3681" s="7" t="str">
        <f>IF(Table1[[#This Row],[Is Data Valid]]=TRUE,_xlfn.NORM.S.DIST(Table1[[#This Row],[Birthweight Z-Score (BW+10%)]],TRUE)*100,"")</f>
        <v/>
      </c>
    </row>
    <row r="3682" spans="1:12" x14ac:dyDescent="0.35">
      <c r="A3682" s="3"/>
      <c r="B3682" s="2"/>
      <c r="C3682" s="2"/>
      <c r="D3682" s="2" t="b">
        <f>IF(AND(NOT(ISBLANK(Table1[[#This Row],[Fetal Sex (Male, Female or Unknown)]])),ISNUMBER(Table1[[#This Row],[Birthweight (grams)]]),ISNUMBER(Table1[[#This Row],[Gestation (days)]])),TRUE,FALSE)</f>
        <v>0</v>
      </c>
      <c r="E3682" s="2" t="str">
        <f>IF(Table1[[#This Row],[Is Data Valid]]=TRUE,IF(Table1[[#This Row],[Fetal Sex (Male, Female or Unknown)]]="Male",Backend!$C$6,IF(Table1[[#This Row],[Fetal Sex (Male, Female or Unknown)]]="Female",Backend!$C$7,IF(Table1[[#This Row],[Fetal Sex (Male, Female or Unknown)]]="Unknown",Backend!$C$8,"Error"))),"")</f>
        <v/>
      </c>
      <c r="F3682" s="8" t="str">
        <f>IF(Table1[[#This Row],[Is Data Valid]]=TRUE,EXP(0.578+0.332*((Table1[[#This Row],[Gestation (days)]]+0.5)/7)-0.00354*((Table1[[#This Row],[Gestation (days)]]+0.5)/7)^2)*Table1[[#This Row],[BW40_3705]],"")</f>
        <v/>
      </c>
      <c r="G3682" s="2" t="str">
        <f>IF(Table1[[#This Row],[Is Data Valid]]=TRUE,((Table1[[#This Row],[Birthweight (grams)]]/Table1[[#This Row],[BW_GA]])-1)/(Backend!$B$4/100*Table1[[#This Row],[BW40_3705]]),"")</f>
        <v/>
      </c>
      <c r="H3682" s="7" t="str">
        <f>IF(Table1[[#This Row],[Is Data Valid]]=TRUE,((Table1[[#This Row],[Birthweight (grams)]]*0.9/Table1[[#This Row],[BW_GA]])-1)/(Backend!$B$4/100*Table1[[#This Row],[BW40_3705]]),"")</f>
        <v/>
      </c>
      <c r="I3682" s="7" t="str">
        <f>IF(Table1[[#This Row],[Is Data Valid]]=TRUE,((Table1[[#This Row],[Birthweight (grams)]]*1.1/Table1[[#This Row],[BW_GA]])-1)/(Backend!$B$4/100*Table1[[#This Row],[BW40_3705]]),"")</f>
        <v/>
      </c>
      <c r="J3682" s="7" t="str">
        <f>IF(Table1[[#This Row],[Is Data Valid]]=TRUE,_xlfn.NORM.S.DIST(Table1[[#This Row],[Birthweight Z-Score]],TRUE)*100,"")</f>
        <v/>
      </c>
      <c r="K3682" s="7" t="str">
        <f>IF(Table1[[#This Row],[Is Data Valid]]=TRUE,_xlfn.NORM.S.DIST(Table1[[#This Row],[Birthweight Z-Score (BW-10%)]],TRUE)*100,"")</f>
        <v/>
      </c>
      <c r="L3682" s="7" t="str">
        <f>IF(Table1[[#This Row],[Is Data Valid]]=TRUE,_xlfn.NORM.S.DIST(Table1[[#This Row],[Birthweight Z-Score (BW+10%)]],TRUE)*100,"")</f>
        <v/>
      </c>
    </row>
    <row r="3683" spans="1:12" x14ac:dyDescent="0.35">
      <c r="A3683" s="3"/>
      <c r="B3683" s="2"/>
      <c r="C3683" s="2"/>
      <c r="D3683" s="2" t="b">
        <f>IF(AND(NOT(ISBLANK(Table1[[#This Row],[Fetal Sex (Male, Female or Unknown)]])),ISNUMBER(Table1[[#This Row],[Birthweight (grams)]]),ISNUMBER(Table1[[#This Row],[Gestation (days)]])),TRUE,FALSE)</f>
        <v>0</v>
      </c>
      <c r="E3683" s="2" t="str">
        <f>IF(Table1[[#This Row],[Is Data Valid]]=TRUE,IF(Table1[[#This Row],[Fetal Sex (Male, Female or Unknown)]]="Male",Backend!$C$6,IF(Table1[[#This Row],[Fetal Sex (Male, Female or Unknown)]]="Female",Backend!$C$7,IF(Table1[[#This Row],[Fetal Sex (Male, Female or Unknown)]]="Unknown",Backend!$C$8,"Error"))),"")</f>
        <v/>
      </c>
      <c r="F3683" s="8" t="str">
        <f>IF(Table1[[#This Row],[Is Data Valid]]=TRUE,EXP(0.578+0.332*((Table1[[#This Row],[Gestation (days)]]+0.5)/7)-0.00354*((Table1[[#This Row],[Gestation (days)]]+0.5)/7)^2)*Table1[[#This Row],[BW40_3705]],"")</f>
        <v/>
      </c>
      <c r="G3683" s="2" t="str">
        <f>IF(Table1[[#This Row],[Is Data Valid]]=TRUE,((Table1[[#This Row],[Birthweight (grams)]]/Table1[[#This Row],[BW_GA]])-1)/(Backend!$B$4/100*Table1[[#This Row],[BW40_3705]]),"")</f>
        <v/>
      </c>
      <c r="H3683" s="7" t="str">
        <f>IF(Table1[[#This Row],[Is Data Valid]]=TRUE,((Table1[[#This Row],[Birthweight (grams)]]*0.9/Table1[[#This Row],[BW_GA]])-1)/(Backend!$B$4/100*Table1[[#This Row],[BW40_3705]]),"")</f>
        <v/>
      </c>
      <c r="I3683" s="7" t="str">
        <f>IF(Table1[[#This Row],[Is Data Valid]]=TRUE,((Table1[[#This Row],[Birthweight (grams)]]*1.1/Table1[[#This Row],[BW_GA]])-1)/(Backend!$B$4/100*Table1[[#This Row],[BW40_3705]]),"")</f>
        <v/>
      </c>
      <c r="J3683" s="7" t="str">
        <f>IF(Table1[[#This Row],[Is Data Valid]]=TRUE,_xlfn.NORM.S.DIST(Table1[[#This Row],[Birthweight Z-Score]],TRUE)*100,"")</f>
        <v/>
      </c>
      <c r="K3683" s="7" t="str">
        <f>IF(Table1[[#This Row],[Is Data Valid]]=TRUE,_xlfn.NORM.S.DIST(Table1[[#This Row],[Birthweight Z-Score (BW-10%)]],TRUE)*100,"")</f>
        <v/>
      </c>
      <c r="L3683" s="7" t="str">
        <f>IF(Table1[[#This Row],[Is Data Valid]]=TRUE,_xlfn.NORM.S.DIST(Table1[[#This Row],[Birthweight Z-Score (BW+10%)]],TRUE)*100,"")</f>
        <v/>
      </c>
    </row>
    <row r="3684" spans="1:12" x14ac:dyDescent="0.35">
      <c r="A3684" s="3"/>
      <c r="B3684" s="2"/>
      <c r="C3684" s="2"/>
      <c r="D3684" s="2" t="b">
        <f>IF(AND(NOT(ISBLANK(Table1[[#This Row],[Fetal Sex (Male, Female or Unknown)]])),ISNUMBER(Table1[[#This Row],[Birthweight (grams)]]),ISNUMBER(Table1[[#This Row],[Gestation (days)]])),TRUE,FALSE)</f>
        <v>0</v>
      </c>
      <c r="E3684" s="2" t="str">
        <f>IF(Table1[[#This Row],[Is Data Valid]]=TRUE,IF(Table1[[#This Row],[Fetal Sex (Male, Female or Unknown)]]="Male",Backend!$C$6,IF(Table1[[#This Row],[Fetal Sex (Male, Female or Unknown)]]="Female",Backend!$C$7,IF(Table1[[#This Row],[Fetal Sex (Male, Female or Unknown)]]="Unknown",Backend!$C$8,"Error"))),"")</f>
        <v/>
      </c>
      <c r="F3684" s="8" t="str">
        <f>IF(Table1[[#This Row],[Is Data Valid]]=TRUE,EXP(0.578+0.332*((Table1[[#This Row],[Gestation (days)]]+0.5)/7)-0.00354*((Table1[[#This Row],[Gestation (days)]]+0.5)/7)^2)*Table1[[#This Row],[BW40_3705]],"")</f>
        <v/>
      </c>
      <c r="G3684" s="2" t="str">
        <f>IF(Table1[[#This Row],[Is Data Valid]]=TRUE,((Table1[[#This Row],[Birthweight (grams)]]/Table1[[#This Row],[BW_GA]])-1)/(Backend!$B$4/100*Table1[[#This Row],[BW40_3705]]),"")</f>
        <v/>
      </c>
      <c r="H3684" s="7" t="str">
        <f>IF(Table1[[#This Row],[Is Data Valid]]=TRUE,((Table1[[#This Row],[Birthweight (grams)]]*0.9/Table1[[#This Row],[BW_GA]])-1)/(Backend!$B$4/100*Table1[[#This Row],[BW40_3705]]),"")</f>
        <v/>
      </c>
      <c r="I3684" s="7" t="str">
        <f>IF(Table1[[#This Row],[Is Data Valid]]=TRUE,((Table1[[#This Row],[Birthweight (grams)]]*1.1/Table1[[#This Row],[BW_GA]])-1)/(Backend!$B$4/100*Table1[[#This Row],[BW40_3705]]),"")</f>
        <v/>
      </c>
      <c r="J3684" s="7" t="str">
        <f>IF(Table1[[#This Row],[Is Data Valid]]=TRUE,_xlfn.NORM.S.DIST(Table1[[#This Row],[Birthweight Z-Score]],TRUE)*100,"")</f>
        <v/>
      </c>
      <c r="K3684" s="7" t="str">
        <f>IF(Table1[[#This Row],[Is Data Valid]]=TRUE,_xlfn.NORM.S.DIST(Table1[[#This Row],[Birthweight Z-Score (BW-10%)]],TRUE)*100,"")</f>
        <v/>
      </c>
      <c r="L3684" s="7" t="str">
        <f>IF(Table1[[#This Row],[Is Data Valid]]=TRUE,_xlfn.NORM.S.DIST(Table1[[#This Row],[Birthweight Z-Score (BW+10%)]],TRUE)*100,"")</f>
        <v/>
      </c>
    </row>
    <row r="3685" spans="1:12" x14ac:dyDescent="0.35">
      <c r="A3685" s="3"/>
      <c r="B3685" s="2"/>
      <c r="C3685" s="2"/>
      <c r="D3685" s="2" t="b">
        <f>IF(AND(NOT(ISBLANK(Table1[[#This Row],[Fetal Sex (Male, Female or Unknown)]])),ISNUMBER(Table1[[#This Row],[Birthweight (grams)]]),ISNUMBER(Table1[[#This Row],[Gestation (days)]])),TRUE,FALSE)</f>
        <v>0</v>
      </c>
      <c r="E3685" s="2" t="str">
        <f>IF(Table1[[#This Row],[Is Data Valid]]=TRUE,IF(Table1[[#This Row],[Fetal Sex (Male, Female or Unknown)]]="Male",Backend!$C$6,IF(Table1[[#This Row],[Fetal Sex (Male, Female or Unknown)]]="Female",Backend!$C$7,IF(Table1[[#This Row],[Fetal Sex (Male, Female or Unknown)]]="Unknown",Backend!$C$8,"Error"))),"")</f>
        <v/>
      </c>
      <c r="F3685" s="8" t="str">
        <f>IF(Table1[[#This Row],[Is Data Valid]]=TRUE,EXP(0.578+0.332*((Table1[[#This Row],[Gestation (days)]]+0.5)/7)-0.00354*((Table1[[#This Row],[Gestation (days)]]+0.5)/7)^2)*Table1[[#This Row],[BW40_3705]],"")</f>
        <v/>
      </c>
      <c r="G3685" s="2" t="str">
        <f>IF(Table1[[#This Row],[Is Data Valid]]=TRUE,((Table1[[#This Row],[Birthweight (grams)]]/Table1[[#This Row],[BW_GA]])-1)/(Backend!$B$4/100*Table1[[#This Row],[BW40_3705]]),"")</f>
        <v/>
      </c>
      <c r="H3685" s="7" t="str">
        <f>IF(Table1[[#This Row],[Is Data Valid]]=TRUE,((Table1[[#This Row],[Birthweight (grams)]]*0.9/Table1[[#This Row],[BW_GA]])-1)/(Backend!$B$4/100*Table1[[#This Row],[BW40_3705]]),"")</f>
        <v/>
      </c>
      <c r="I3685" s="7" t="str">
        <f>IF(Table1[[#This Row],[Is Data Valid]]=TRUE,((Table1[[#This Row],[Birthweight (grams)]]*1.1/Table1[[#This Row],[BW_GA]])-1)/(Backend!$B$4/100*Table1[[#This Row],[BW40_3705]]),"")</f>
        <v/>
      </c>
      <c r="J3685" s="7" t="str">
        <f>IF(Table1[[#This Row],[Is Data Valid]]=TRUE,_xlfn.NORM.S.DIST(Table1[[#This Row],[Birthweight Z-Score]],TRUE)*100,"")</f>
        <v/>
      </c>
      <c r="K3685" s="7" t="str">
        <f>IF(Table1[[#This Row],[Is Data Valid]]=TRUE,_xlfn.NORM.S.DIST(Table1[[#This Row],[Birthweight Z-Score (BW-10%)]],TRUE)*100,"")</f>
        <v/>
      </c>
      <c r="L3685" s="7" t="str">
        <f>IF(Table1[[#This Row],[Is Data Valid]]=TRUE,_xlfn.NORM.S.DIST(Table1[[#This Row],[Birthweight Z-Score (BW+10%)]],TRUE)*100,"")</f>
        <v/>
      </c>
    </row>
    <row r="3686" spans="1:12" x14ac:dyDescent="0.35">
      <c r="A3686" s="3"/>
      <c r="B3686" s="2"/>
      <c r="C3686" s="2"/>
      <c r="D3686" s="2" t="b">
        <f>IF(AND(NOT(ISBLANK(Table1[[#This Row],[Fetal Sex (Male, Female or Unknown)]])),ISNUMBER(Table1[[#This Row],[Birthweight (grams)]]),ISNUMBER(Table1[[#This Row],[Gestation (days)]])),TRUE,FALSE)</f>
        <v>0</v>
      </c>
      <c r="E3686" s="2" t="str">
        <f>IF(Table1[[#This Row],[Is Data Valid]]=TRUE,IF(Table1[[#This Row],[Fetal Sex (Male, Female or Unknown)]]="Male",Backend!$C$6,IF(Table1[[#This Row],[Fetal Sex (Male, Female or Unknown)]]="Female",Backend!$C$7,IF(Table1[[#This Row],[Fetal Sex (Male, Female or Unknown)]]="Unknown",Backend!$C$8,"Error"))),"")</f>
        <v/>
      </c>
      <c r="F3686" s="8" t="str">
        <f>IF(Table1[[#This Row],[Is Data Valid]]=TRUE,EXP(0.578+0.332*((Table1[[#This Row],[Gestation (days)]]+0.5)/7)-0.00354*((Table1[[#This Row],[Gestation (days)]]+0.5)/7)^2)*Table1[[#This Row],[BW40_3705]],"")</f>
        <v/>
      </c>
      <c r="G3686" s="2" t="str">
        <f>IF(Table1[[#This Row],[Is Data Valid]]=TRUE,((Table1[[#This Row],[Birthweight (grams)]]/Table1[[#This Row],[BW_GA]])-1)/(Backend!$B$4/100*Table1[[#This Row],[BW40_3705]]),"")</f>
        <v/>
      </c>
      <c r="H3686" s="7" t="str">
        <f>IF(Table1[[#This Row],[Is Data Valid]]=TRUE,((Table1[[#This Row],[Birthweight (grams)]]*0.9/Table1[[#This Row],[BW_GA]])-1)/(Backend!$B$4/100*Table1[[#This Row],[BW40_3705]]),"")</f>
        <v/>
      </c>
      <c r="I3686" s="7" t="str">
        <f>IF(Table1[[#This Row],[Is Data Valid]]=TRUE,((Table1[[#This Row],[Birthweight (grams)]]*1.1/Table1[[#This Row],[BW_GA]])-1)/(Backend!$B$4/100*Table1[[#This Row],[BW40_3705]]),"")</f>
        <v/>
      </c>
      <c r="J3686" s="7" t="str">
        <f>IF(Table1[[#This Row],[Is Data Valid]]=TRUE,_xlfn.NORM.S.DIST(Table1[[#This Row],[Birthweight Z-Score]],TRUE)*100,"")</f>
        <v/>
      </c>
      <c r="K3686" s="7" t="str">
        <f>IF(Table1[[#This Row],[Is Data Valid]]=TRUE,_xlfn.NORM.S.DIST(Table1[[#This Row],[Birthweight Z-Score (BW-10%)]],TRUE)*100,"")</f>
        <v/>
      </c>
      <c r="L3686" s="7" t="str">
        <f>IF(Table1[[#This Row],[Is Data Valid]]=TRUE,_xlfn.NORM.S.DIST(Table1[[#This Row],[Birthweight Z-Score (BW+10%)]],TRUE)*100,"")</f>
        <v/>
      </c>
    </row>
    <row r="3687" spans="1:12" x14ac:dyDescent="0.35">
      <c r="A3687" s="3"/>
      <c r="B3687" s="2"/>
      <c r="C3687" s="2"/>
      <c r="D3687" s="2" t="b">
        <f>IF(AND(NOT(ISBLANK(Table1[[#This Row],[Fetal Sex (Male, Female or Unknown)]])),ISNUMBER(Table1[[#This Row],[Birthweight (grams)]]),ISNUMBER(Table1[[#This Row],[Gestation (days)]])),TRUE,FALSE)</f>
        <v>0</v>
      </c>
      <c r="E3687" s="2" t="str">
        <f>IF(Table1[[#This Row],[Is Data Valid]]=TRUE,IF(Table1[[#This Row],[Fetal Sex (Male, Female or Unknown)]]="Male",Backend!$C$6,IF(Table1[[#This Row],[Fetal Sex (Male, Female or Unknown)]]="Female",Backend!$C$7,IF(Table1[[#This Row],[Fetal Sex (Male, Female or Unknown)]]="Unknown",Backend!$C$8,"Error"))),"")</f>
        <v/>
      </c>
      <c r="F3687" s="8" t="str">
        <f>IF(Table1[[#This Row],[Is Data Valid]]=TRUE,EXP(0.578+0.332*((Table1[[#This Row],[Gestation (days)]]+0.5)/7)-0.00354*((Table1[[#This Row],[Gestation (days)]]+0.5)/7)^2)*Table1[[#This Row],[BW40_3705]],"")</f>
        <v/>
      </c>
      <c r="G3687" s="2" t="str">
        <f>IF(Table1[[#This Row],[Is Data Valid]]=TRUE,((Table1[[#This Row],[Birthweight (grams)]]/Table1[[#This Row],[BW_GA]])-1)/(Backend!$B$4/100*Table1[[#This Row],[BW40_3705]]),"")</f>
        <v/>
      </c>
      <c r="H3687" s="7" t="str">
        <f>IF(Table1[[#This Row],[Is Data Valid]]=TRUE,((Table1[[#This Row],[Birthweight (grams)]]*0.9/Table1[[#This Row],[BW_GA]])-1)/(Backend!$B$4/100*Table1[[#This Row],[BW40_3705]]),"")</f>
        <v/>
      </c>
      <c r="I3687" s="7" t="str">
        <f>IF(Table1[[#This Row],[Is Data Valid]]=TRUE,((Table1[[#This Row],[Birthweight (grams)]]*1.1/Table1[[#This Row],[BW_GA]])-1)/(Backend!$B$4/100*Table1[[#This Row],[BW40_3705]]),"")</f>
        <v/>
      </c>
      <c r="J3687" s="7" t="str">
        <f>IF(Table1[[#This Row],[Is Data Valid]]=TRUE,_xlfn.NORM.S.DIST(Table1[[#This Row],[Birthweight Z-Score]],TRUE)*100,"")</f>
        <v/>
      </c>
      <c r="K3687" s="7" t="str">
        <f>IF(Table1[[#This Row],[Is Data Valid]]=TRUE,_xlfn.NORM.S.DIST(Table1[[#This Row],[Birthweight Z-Score (BW-10%)]],TRUE)*100,"")</f>
        <v/>
      </c>
      <c r="L3687" s="7" t="str">
        <f>IF(Table1[[#This Row],[Is Data Valid]]=TRUE,_xlfn.NORM.S.DIST(Table1[[#This Row],[Birthweight Z-Score (BW+10%)]],TRUE)*100,"")</f>
        <v/>
      </c>
    </row>
    <row r="3688" spans="1:12" x14ac:dyDescent="0.35">
      <c r="A3688" s="3"/>
      <c r="B3688" s="2"/>
      <c r="C3688" s="2"/>
      <c r="D3688" s="2" t="b">
        <f>IF(AND(NOT(ISBLANK(Table1[[#This Row],[Fetal Sex (Male, Female or Unknown)]])),ISNUMBER(Table1[[#This Row],[Birthweight (grams)]]),ISNUMBER(Table1[[#This Row],[Gestation (days)]])),TRUE,FALSE)</f>
        <v>0</v>
      </c>
      <c r="E3688" s="2" t="str">
        <f>IF(Table1[[#This Row],[Is Data Valid]]=TRUE,IF(Table1[[#This Row],[Fetal Sex (Male, Female or Unknown)]]="Male",Backend!$C$6,IF(Table1[[#This Row],[Fetal Sex (Male, Female or Unknown)]]="Female",Backend!$C$7,IF(Table1[[#This Row],[Fetal Sex (Male, Female or Unknown)]]="Unknown",Backend!$C$8,"Error"))),"")</f>
        <v/>
      </c>
      <c r="F3688" s="8" t="str">
        <f>IF(Table1[[#This Row],[Is Data Valid]]=TRUE,EXP(0.578+0.332*((Table1[[#This Row],[Gestation (days)]]+0.5)/7)-0.00354*((Table1[[#This Row],[Gestation (days)]]+0.5)/7)^2)*Table1[[#This Row],[BW40_3705]],"")</f>
        <v/>
      </c>
      <c r="G3688" s="2" t="str">
        <f>IF(Table1[[#This Row],[Is Data Valid]]=TRUE,((Table1[[#This Row],[Birthweight (grams)]]/Table1[[#This Row],[BW_GA]])-1)/(Backend!$B$4/100*Table1[[#This Row],[BW40_3705]]),"")</f>
        <v/>
      </c>
      <c r="H3688" s="7" t="str">
        <f>IF(Table1[[#This Row],[Is Data Valid]]=TRUE,((Table1[[#This Row],[Birthweight (grams)]]*0.9/Table1[[#This Row],[BW_GA]])-1)/(Backend!$B$4/100*Table1[[#This Row],[BW40_3705]]),"")</f>
        <v/>
      </c>
      <c r="I3688" s="7" t="str">
        <f>IF(Table1[[#This Row],[Is Data Valid]]=TRUE,((Table1[[#This Row],[Birthweight (grams)]]*1.1/Table1[[#This Row],[BW_GA]])-1)/(Backend!$B$4/100*Table1[[#This Row],[BW40_3705]]),"")</f>
        <v/>
      </c>
      <c r="J3688" s="7" t="str">
        <f>IF(Table1[[#This Row],[Is Data Valid]]=TRUE,_xlfn.NORM.S.DIST(Table1[[#This Row],[Birthweight Z-Score]],TRUE)*100,"")</f>
        <v/>
      </c>
      <c r="K3688" s="7" t="str">
        <f>IF(Table1[[#This Row],[Is Data Valid]]=TRUE,_xlfn.NORM.S.DIST(Table1[[#This Row],[Birthweight Z-Score (BW-10%)]],TRUE)*100,"")</f>
        <v/>
      </c>
      <c r="L3688" s="7" t="str">
        <f>IF(Table1[[#This Row],[Is Data Valid]]=TRUE,_xlfn.NORM.S.DIST(Table1[[#This Row],[Birthweight Z-Score (BW+10%)]],TRUE)*100,"")</f>
        <v/>
      </c>
    </row>
    <row r="3689" spans="1:12" x14ac:dyDescent="0.35">
      <c r="A3689" s="3"/>
      <c r="B3689" s="2"/>
      <c r="C3689" s="2"/>
      <c r="D3689" s="2" t="b">
        <f>IF(AND(NOT(ISBLANK(Table1[[#This Row],[Fetal Sex (Male, Female or Unknown)]])),ISNUMBER(Table1[[#This Row],[Birthweight (grams)]]),ISNUMBER(Table1[[#This Row],[Gestation (days)]])),TRUE,FALSE)</f>
        <v>0</v>
      </c>
      <c r="E3689" s="2" t="str">
        <f>IF(Table1[[#This Row],[Is Data Valid]]=TRUE,IF(Table1[[#This Row],[Fetal Sex (Male, Female or Unknown)]]="Male",Backend!$C$6,IF(Table1[[#This Row],[Fetal Sex (Male, Female or Unknown)]]="Female",Backend!$C$7,IF(Table1[[#This Row],[Fetal Sex (Male, Female or Unknown)]]="Unknown",Backend!$C$8,"Error"))),"")</f>
        <v/>
      </c>
      <c r="F3689" s="8" t="str">
        <f>IF(Table1[[#This Row],[Is Data Valid]]=TRUE,EXP(0.578+0.332*((Table1[[#This Row],[Gestation (days)]]+0.5)/7)-0.00354*((Table1[[#This Row],[Gestation (days)]]+0.5)/7)^2)*Table1[[#This Row],[BW40_3705]],"")</f>
        <v/>
      </c>
      <c r="G3689" s="2" t="str">
        <f>IF(Table1[[#This Row],[Is Data Valid]]=TRUE,((Table1[[#This Row],[Birthweight (grams)]]/Table1[[#This Row],[BW_GA]])-1)/(Backend!$B$4/100*Table1[[#This Row],[BW40_3705]]),"")</f>
        <v/>
      </c>
      <c r="H3689" s="7" t="str">
        <f>IF(Table1[[#This Row],[Is Data Valid]]=TRUE,((Table1[[#This Row],[Birthweight (grams)]]*0.9/Table1[[#This Row],[BW_GA]])-1)/(Backend!$B$4/100*Table1[[#This Row],[BW40_3705]]),"")</f>
        <v/>
      </c>
      <c r="I3689" s="7" t="str">
        <f>IF(Table1[[#This Row],[Is Data Valid]]=TRUE,((Table1[[#This Row],[Birthweight (grams)]]*1.1/Table1[[#This Row],[BW_GA]])-1)/(Backend!$B$4/100*Table1[[#This Row],[BW40_3705]]),"")</f>
        <v/>
      </c>
      <c r="J3689" s="7" t="str">
        <f>IF(Table1[[#This Row],[Is Data Valid]]=TRUE,_xlfn.NORM.S.DIST(Table1[[#This Row],[Birthweight Z-Score]],TRUE)*100,"")</f>
        <v/>
      </c>
      <c r="K3689" s="7" t="str">
        <f>IF(Table1[[#This Row],[Is Data Valid]]=TRUE,_xlfn.NORM.S.DIST(Table1[[#This Row],[Birthweight Z-Score (BW-10%)]],TRUE)*100,"")</f>
        <v/>
      </c>
      <c r="L3689" s="7" t="str">
        <f>IF(Table1[[#This Row],[Is Data Valid]]=TRUE,_xlfn.NORM.S.DIST(Table1[[#This Row],[Birthweight Z-Score (BW+10%)]],TRUE)*100,"")</f>
        <v/>
      </c>
    </row>
    <row r="3690" spans="1:12" x14ac:dyDescent="0.35">
      <c r="A3690" s="3"/>
      <c r="B3690" s="2"/>
      <c r="C3690" s="2"/>
      <c r="D3690" s="2" t="b">
        <f>IF(AND(NOT(ISBLANK(Table1[[#This Row],[Fetal Sex (Male, Female or Unknown)]])),ISNUMBER(Table1[[#This Row],[Birthweight (grams)]]),ISNUMBER(Table1[[#This Row],[Gestation (days)]])),TRUE,FALSE)</f>
        <v>0</v>
      </c>
      <c r="E3690" s="2" t="str">
        <f>IF(Table1[[#This Row],[Is Data Valid]]=TRUE,IF(Table1[[#This Row],[Fetal Sex (Male, Female or Unknown)]]="Male",Backend!$C$6,IF(Table1[[#This Row],[Fetal Sex (Male, Female or Unknown)]]="Female",Backend!$C$7,IF(Table1[[#This Row],[Fetal Sex (Male, Female or Unknown)]]="Unknown",Backend!$C$8,"Error"))),"")</f>
        <v/>
      </c>
      <c r="F3690" s="8" t="str">
        <f>IF(Table1[[#This Row],[Is Data Valid]]=TRUE,EXP(0.578+0.332*((Table1[[#This Row],[Gestation (days)]]+0.5)/7)-0.00354*((Table1[[#This Row],[Gestation (days)]]+0.5)/7)^2)*Table1[[#This Row],[BW40_3705]],"")</f>
        <v/>
      </c>
      <c r="G3690" s="2" t="str">
        <f>IF(Table1[[#This Row],[Is Data Valid]]=TRUE,((Table1[[#This Row],[Birthweight (grams)]]/Table1[[#This Row],[BW_GA]])-1)/(Backend!$B$4/100*Table1[[#This Row],[BW40_3705]]),"")</f>
        <v/>
      </c>
      <c r="H3690" s="7" t="str">
        <f>IF(Table1[[#This Row],[Is Data Valid]]=TRUE,((Table1[[#This Row],[Birthweight (grams)]]*0.9/Table1[[#This Row],[BW_GA]])-1)/(Backend!$B$4/100*Table1[[#This Row],[BW40_3705]]),"")</f>
        <v/>
      </c>
      <c r="I3690" s="7" t="str">
        <f>IF(Table1[[#This Row],[Is Data Valid]]=TRUE,((Table1[[#This Row],[Birthweight (grams)]]*1.1/Table1[[#This Row],[BW_GA]])-1)/(Backend!$B$4/100*Table1[[#This Row],[BW40_3705]]),"")</f>
        <v/>
      </c>
      <c r="J3690" s="7" t="str">
        <f>IF(Table1[[#This Row],[Is Data Valid]]=TRUE,_xlfn.NORM.S.DIST(Table1[[#This Row],[Birthweight Z-Score]],TRUE)*100,"")</f>
        <v/>
      </c>
      <c r="K3690" s="7" t="str">
        <f>IF(Table1[[#This Row],[Is Data Valid]]=TRUE,_xlfn.NORM.S.DIST(Table1[[#This Row],[Birthweight Z-Score (BW-10%)]],TRUE)*100,"")</f>
        <v/>
      </c>
      <c r="L3690" s="7" t="str">
        <f>IF(Table1[[#This Row],[Is Data Valid]]=TRUE,_xlfn.NORM.S.DIST(Table1[[#This Row],[Birthweight Z-Score (BW+10%)]],TRUE)*100,"")</f>
        <v/>
      </c>
    </row>
    <row r="3691" spans="1:12" x14ac:dyDescent="0.35">
      <c r="A3691" s="3"/>
      <c r="B3691" s="2"/>
      <c r="C3691" s="2"/>
      <c r="D3691" s="2" t="b">
        <f>IF(AND(NOT(ISBLANK(Table1[[#This Row],[Fetal Sex (Male, Female or Unknown)]])),ISNUMBER(Table1[[#This Row],[Birthweight (grams)]]),ISNUMBER(Table1[[#This Row],[Gestation (days)]])),TRUE,FALSE)</f>
        <v>0</v>
      </c>
      <c r="E3691" s="2" t="str">
        <f>IF(Table1[[#This Row],[Is Data Valid]]=TRUE,IF(Table1[[#This Row],[Fetal Sex (Male, Female or Unknown)]]="Male",Backend!$C$6,IF(Table1[[#This Row],[Fetal Sex (Male, Female or Unknown)]]="Female",Backend!$C$7,IF(Table1[[#This Row],[Fetal Sex (Male, Female or Unknown)]]="Unknown",Backend!$C$8,"Error"))),"")</f>
        <v/>
      </c>
      <c r="F3691" s="8" t="str">
        <f>IF(Table1[[#This Row],[Is Data Valid]]=TRUE,EXP(0.578+0.332*((Table1[[#This Row],[Gestation (days)]]+0.5)/7)-0.00354*((Table1[[#This Row],[Gestation (days)]]+0.5)/7)^2)*Table1[[#This Row],[BW40_3705]],"")</f>
        <v/>
      </c>
      <c r="G3691" s="2" t="str">
        <f>IF(Table1[[#This Row],[Is Data Valid]]=TRUE,((Table1[[#This Row],[Birthweight (grams)]]/Table1[[#This Row],[BW_GA]])-1)/(Backend!$B$4/100*Table1[[#This Row],[BW40_3705]]),"")</f>
        <v/>
      </c>
      <c r="H3691" s="7" t="str">
        <f>IF(Table1[[#This Row],[Is Data Valid]]=TRUE,((Table1[[#This Row],[Birthweight (grams)]]*0.9/Table1[[#This Row],[BW_GA]])-1)/(Backend!$B$4/100*Table1[[#This Row],[BW40_3705]]),"")</f>
        <v/>
      </c>
      <c r="I3691" s="7" t="str">
        <f>IF(Table1[[#This Row],[Is Data Valid]]=TRUE,((Table1[[#This Row],[Birthweight (grams)]]*1.1/Table1[[#This Row],[BW_GA]])-1)/(Backend!$B$4/100*Table1[[#This Row],[BW40_3705]]),"")</f>
        <v/>
      </c>
      <c r="J3691" s="7" t="str">
        <f>IF(Table1[[#This Row],[Is Data Valid]]=TRUE,_xlfn.NORM.S.DIST(Table1[[#This Row],[Birthweight Z-Score]],TRUE)*100,"")</f>
        <v/>
      </c>
      <c r="K3691" s="7" t="str">
        <f>IF(Table1[[#This Row],[Is Data Valid]]=TRUE,_xlfn.NORM.S.DIST(Table1[[#This Row],[Birthweight Z-Score (BW-10%)]],TRUE)*100,"")</f>
        <v/>
      </c>
      <c r="L3691" s="7" t="str">
        <f>IF(Table1[[#This Row],[Is Data Valid]]=TRUE,_xlfn.NORM.S.DIST(Table1[[#This Row],[Birthweight Z-Score (BW+10%)]],TRUE)*100,"")</f>
        <v/>
      </c>
    </row>
    <row r="3692" spans="1:12" x14ac:dyDescent="0.35">
      <c r="A3692" s="3"/>
      <c r="B3692" s="2"/>
      <c r="C3692" s="2"/>
      <c r="D3692" s="2" t="b">
        <f>IF(AND(NOT(ISBLANK(Table1[[#This Row],[Fetal Sex (Male, Female or Unknown)]])),ISNUMBER(Table1[[#This Row],[Birthweight (grams)]]),ISNUMBER(Table1[[#This Row],[Gestation (days)]])),TRUE,FALSE)</f>
        <v>0</v>
      </c>
      <c r="E3692" s="2" t="str">
        <f>IF(Table1[[#This Row],[Is Data Valid]]=TRUE,IF(Table1[[#This Row],[Fetal Sex (Male, Female or Unknown)]]="Male",Backend!$C$6,IF(Table1[[#This Row],[Fetal Sex (Male, Female or Unknown)]]="Female",Backend!$C$7,IF(Table1[[#This Row],[Fetal Sex (Male, Female or Unknown)]]="Unknown",Backend!$C$8,"Error"))),"")</f>
        <v/>
      </c>
      <c r="F3692" s="8" t="str">
        <f>IF(Table1[[#This Row],[Is Data Valid]]=TRUE,EXP(0.578+0.332*((Table1[[#This Row],[Gestation (days)]]+0.5)/7)-0.00354*((Table1[[#This Row],[Gestation (days)]]+0.5)/7)^2)*Table1[[#This Row],[BW40_3705]],"")</f>
        <v/>
      </c>
      <c r="G3692" s="2" t="str">
        <f>IF(Table1[[#This Row],[Is Data Valid]]=TRUE,((Table1[[#This Row],[Birthweight (grams)]]/Table1[[#This Row],[BW_GA]])-1)/(Backend!$B$4/100*Table1[[#This Row],[BW40_3705]]),"")</f>
        <v/>
      </c>
      <c r="H3692" s="7" t="str">
        <f>IF(Table1[[#This Row],[Is Data Valid]]=TRUE,((Table1[[#This Row],[Birthweight (grams)]]*0.9/Table1[[#This Row],[BW_GA]])-1)/(Backend!$B$4/100*Table1[[#This Row],[BW40_3705]]),"")</f>
        <v/>
      </c>
      <c r="I3692" s="7" t="str">
        <f>IF(Table1[[#This Row],[Is Data Valid]]=TRUE,((Table1[[#This Row],[Birthweight (grams)]]*1.1/Table1[[#This Row],[BW_GA]])-1)/(Backend!$B$4/100*Table1[[#This Row],[BW40_3705]]),"")</f>
        <v/>
      </c>
      <c r="J3692" s="7" t="str">
        <f>IF(Table1[[#This Row],[Is Data Valid]]=TRUE,_xlfn.NORM.S.DIST(Table1[[#This Row],[Birthweight Z-Score]],TRUE)*100,"")</f>
        <v/>
      </c>
      <c r="K3692" s="7" t="str">
        <f>IF(Table1[[#This Row],[Is Data Valid]]=TRUE,_xlfn.NORM.S.DIST(Table1[[#This Row],[Birthweight Z-Score (BW-10%)]],TRUE)*100,"")</f>
        <v/>
      </c>
      <c r="L3692" s="7" t="str">
        <f>IF(Table1[[#This Row],[Is Data Valid]]=TRUE,_xlfn.NORM.S.DIST(Table1[[#This Row],[Birthweight Z-Score (BW+10%)]],TRUE)*100,"")</f>
        <v/>
      </c>
    </row>
    <row r="3693" spans="1:12" x14ac:dyDescent="0.35">
      <c r="A3693" s="3"/>
      <c r="B3693" s="2"/>
      <c r="C3693" s="2"/>
      <c r="D3693" s="2" t="b">
        <f>IF(AND(NOT(ISBLANK(Table1[[#This Row],[Fetal Sex (Male, Female or Unknown)]])),ISNUMBER(Table1[[#This Row],[Birthweight (grams)]]),ISNUMBER(Table1[[#This Row],[Gestation (days)]])),TRUE,FALSE)</f>
        <v>0</v>
      </c>
      <c r="E3693" s="2" t="str">
        <f>IF(Table1[[#This Row],[Is Data Valid]]=TRUE,IF(Table1[[#This Row],[Fetal Sex (Male, Female or Unknown)]]="Male",Backend!$C$6,IF(Table1[[#This Row],[Fetal Sex (Male, Female or Unknown)]]="Female",Backend!$C$7,IF(Table1[[#This Row],[Fetal Sex (Male, Female or Unknown)]]="Unknown",Backend!$C$8,"Error"))),"")</f>
        <v/>
      </c>
      <c r="F3693" s="8" t="str">
        <f>IF(Table1[[#This Row],[Is Data Valid]]=TRUE,EXP(0.578+0.332*((Table1[[#This Row],[Gestation (days)]]+0.5)/7)-0.00354*((Table1[[#This Row],[Gestation (days)]]+0.5)/7)^2)*Table1[[#This Row],[BW40_3705]],"")</f>
        <v/>
      </c>
      <c r="G3693" s="2" t="str">
        <f>IF(Table1[[#This Row],[Is Data Valid]]=TRUE,((Table1[[#This Row],[Birthweight (grams)]]/Table1[[#This Row],[BW_GA]])-1)/(Backend!$B$4/100*Table1[[#This Row],[BW40_3705]]),"")</f>
        <v/>
      </c>
      <c r="H3693" s="7" t="str">
        <f>IF(Table1[[#This Row],[Is Data Valid]]=TRUE,((Table1[[#This Row],[Birthweight (grams)]]*0.9/Table1[[#This Row],[BW_GA]])-1)/(Backend!$B$4/100*Table1[[#This Row],[BW40_3705]]),"")</f>
        <v/>
      </c>
      <c r="I3693" s="7" t="str">
        <f>IF(Table1[[#This Row],[Is Data Valid]]=TRUE,((Table1[[#This Row],[Birthweight (grams)]]*1.1/Table1[[#This Row],[BW_GA]])-1)/(Backend!$B$4/100*Table1[[#This Row],[BW40_3705]]),"")</f>
        <v/>
      </c>
      <c r="J3693" s="7" t="str">
        <f>IF(Table1[[#This Row],[Is Data Valid]]=TRUE,_xlfn.NORM.S.DIST(Table1[[#This Row],[Birthweight Z-Score]],TRUE)*100,"")</f>
        <v/>
      </c>
      <c r="K3693" s="7" t="str">
        <f>IF(Table1[[#This Row],[Is Data Valid]]=TRUE,_xlfn.NORM.S.DIST(Table1[[#This Row],[Birthweight Z-Score (BW-10%)]],TRUE)*100,"")</f>
        <v/>
      </c>
      <c r="L3693" s="7" t="str">
        <f>IF(Table1[[#This Row],[Is Data Valid]]=TRUE,_xlfn.NORM.S.DIST(Table1[[#This Row],[Birthweight Z-Score (BW+10%)]],TRUE)*100,"")</f>
        <v/>
      </c>
    </row>
    <row r="3694" spans="1:12" x14ac:dyDescent="0.35">
      <c r="A3694" s="3"/>
      <c r="B3694" s="2"/>
      <c r="C3694" s="2"/>
      <c r="D3694" s="2" t="b">
        <f>IF(AND(NOT(ISBLANK(Table1[[#This Row],[Fetal Sex (Male, Female or Unknown)]])),ISNUMBER(Table1[[#This Row],[Birthweight (grams)]]),ISNUMBER(Table1[[#This Row],[Gestation (days)]])),TRUE,FALSE)</f>
        <v>0</v>
      </c>
      <c r="E3694" s="2" t="str">
        <f>IF(Table1[[#This Row],[Is Data Valid]]=TRUE,IF(Table1[[#This Row],[Fetal Sex (Male, Female or Unknown)]]="Male",Backend!$C$6,IF(Table1[[#This Row],[Fetal Sex (Male, Female or Unknown)]]="Female",Backend!$C$7,IF(Table1[[#This Row],[Fetal Sex (Male, Female or Unknown)]]="Unknown",Backend!$C$8,"Error"))),"")</f>
        <v/>
      </c>
      <c r="F3694" s="8" t="str">
        <f>IF(Table1[[#This Row],[Is Data Valid]]=TRUE,EXP(0.578+0.332*((Table1[[#This Row],[Gestation (days)]]+0.5)/7)-0.00354*((Table1[[#This Row],[Gestation (days)]]+0.5)/7)^2)*Table1[[#This Row],[BW40_3705]],"")</f>
        <v/>
      </c>
      <c r="G3694" s="2" t="str">
        <f>IF(Table1[[#This Row],[Is Data Valid]]=TRUE,((Table1[[#This Row],[Birthweight (grams)]]/Table1[[#This Row],[BW_GA]])-1)/(Backend!$B$4/100*Table1[[#This Row],[BW40_3705]]),"")</f>
        <v/>
      </c>
      <c r="H3694" s="7" t="str">
        <f>IF(Table1[[#This Row],[Is Data Valid]]=TRUE,((Table1[[#This Row],[Birthweight (grams)]]*0.9/Table1[[#This Row],[BW_GA]])-1)/(Backend!$B$4/100*Table1[[#This Row],[BW40_3705]]),"")</f>
        <v/>
      </c>
      <c r="I3694" s="7" t="str">
        <f>IF(Table1[[#This Row],[Is Data Valid]]=TRUE,((Table1[[#This Row],[Birthweight (grams)]]*1.1/Table1[[#This Row],[BW_GA]])-1)/(Backend!$B$4/100*Table1[[#This Row],[BW40_3705]]),"")</f>
        <v/>
      </c>
      <c r="J3694" s="7" t="str">
        <f>IF(Table1[[#This Row],[Is Data Valid]]=TRUE,_xlfn.NORM.S.DIST(Table1[[#This Row],[Birthweight Z-Score]],TRUE)*100,"")</f>
        <v/>
      </c>
      <c r="K3694" s="7" t="str">
        <f>IF(Table1[[#This Row],[Is Data Valid]]=TRUE,_xlfn.NORM.S.DIST(Table1[[#This Row],[Birthweight Z-Score (BW-10%)]],TRUE)*100,"")</f>
        <v/>
      </c>
      <c r="L3694" s="7" t="str">
        <f>IF(Table1[[#This Row],[Is Data Valid]]=TRUE,_xlfn.NORM.S.DIST(Table1[[#This Row],[Birthweight Z-Score (BW+10%)]],TRUE)*100,"")</f>
        <v/>
      </c>
    </row>
    <row r="3695" spans="1:12" x14ac:dyDescent="0.35">
      <c r="A3695" s="3"/>
      <c r="B3695" s="2"/>
      <c r="C3695" s="2"/>
      <c r="D3695" s="2" t="b">
        <f>IF(AND(NOT(ISBLANK(Table1[[#This Row],[Fetal Sex (Male, Female or Unknown)]])),ISNUMBER(Table1[[#This Row],[Birthweight (grams)]]),ISNUMBER(Table1[[#This Row],[Gestation (days)]])),TRUE,FALSE)</f>
        <v>0</v>
      </c>
      <c r="E3695" s="2" t="str">
        <f>IF(Table1[[#This Row],[Is Data Valid]]=TRUE,IF(Table1[[#This Row],[Fetal Sex (Male, Female or Unknown)]]="Male",Backend!$C$6,IF(Table1[[#This Row],[Fetal Sex (Male, Female or Unknown)]]="Female",Backend!$C$7,IF(Table1[[#This Row],[Fetal Sex (Male, Female or Unknown)]]="Unknown",Backend!$C$8,"Error"))),"")</f>
        <v/>
      </c>
      <c r="F3695" s="8" t="str">
        <f>IF(Table1[[#This Row],[Is Data Valid]]=TRUE,EXP(0.578+0.332*((Table1[[#This Row],[Gestation (days)]]+0.5)/7)-0.00354*((Table1[[#This Row],[Gestation (days)]]+0.5)/7)^2)*Table1[[#This Row],[BW40_3705]],"")</f>
        <v/>
      </c>
      <c r="G3695" s="2" t="str">
        <f>IF(Table1[[#This Row],[Is Data Valid]]=TRUE,((Table1[[#This Row],[Birthweight (grams)]]/Table1[[#This Row],[BW_GA]])-1)/(Backend!$B$4/100*Table1[[#This Row],[BW40_3705]]),"")</f>
        <v/>
      </c>
      <c r="H3695" s="7" t="str">
        <f>IF(Table1[[#This Row],[Is Data Valid]]=TRUE,((Table1[[#This Row],[Birthweight (grams)]]*0.9/Table1[[#This Row],[BW_GA]])-1)/(Backend!$B$4/100*Table1[[#This Row],[BW40_3705]]),"")</f>
        <v/>
      </c>
      <c r="I3695" s="7" t="str">
        <f>IF(Table1[[#This Row],[Is Data Valid]]=TRUE,((Table1[[#This Row],[Birthweight (grams)]]*1.1/Table1[[#This Row],[BW_GA]])-1)/(Backend!$B$4/100*Table1[[#This Row],[BW40_3705]]),"")</f>
        <v/>
      </c>
      <c r="J3695" s="7" t="str">
        <f>IF(Table1[[#This Row],[Is Data Valid]]=TRUE,_xlfn.NORM.S.DIST(Table1[[#This Row],[Birthweight Z-Score]],TRUE)*100,"")</f>
        <v/>
      </c>
      <c r="K3695" s="7" t="str">
        <f>IF(Table1[[#This Row],[Is Data Valid]]=TRUE,_xlfn.NORM.S.DIST(Table1[[#This Row],[Birthweight Z-Score (BW-10%)]],TRUE)*100,"")</f>
        <v/>
      </c>
      <c r="L3695" s="7" t="str">
        <f>IF(Table1[[#This Row],[Is Data Valid]]=TRUE,_xlfn.NORM.S.DIST(Table1[[#This Row],[Birthweight Z-Score (BW+10%)]],TRUE)*100,"")</f>
        <v/>
      </c>
    </row>
    <row r="3696" spans="1:12" x14ac:dyDescent="0.35">
      <c r="A3696" s="3"/>
      <c r="B3696" s="2"/>
      <c r="C3696" s="2"/>
      <c r="D3696" s="2" t="b">
        <f>IF(AND(NOT(ISBLANK(Table1[[#This Row],[Fetal Sex (Male, Female or Unknown)]])),ISNUMBER(Table1[[#This Row],[Birthweight (grams)]]),ISNUMBER(Table1[[#This Row],[Gestation (days)]])),TRUE,FALSE)</f>
        <v>0</v>
      </c>
      <c r="E3696" s="2" t="str">
        <f>IF(Table1[[#This Row],[Is Data Valid]]=TRUE,IF(Table1[[#This Row],[Fetal Sex (Male, Female or Unknown)]]="Male",Backend!$C$6,IF(Table1[[#This Row],[Fetal Sex (Male, Female or Unknown)]]="Female",Backend!$C$7,IF(Table1[[#This Row],[Fetal Sex (Male, Female or Unknown)]]="Unknown",Backend!$C$8,"Error"))),"")</f>
        <v/>
      </c>
      <c r="F3696" s="8" t="str">
        <f>IF(Table1[[#This Row],[Is Data Valid]]=TRUE,EXP(0.578+0.332*((Table1[[#This Row],[Gestation (days)]]+0.5)/7)-0.00354*((Table1[[#This Row],[Gestation (days)]]+0.5)/7)^2)*Table1[[#This Row],[BW40_3705]],"")</f>
        <v/>
      </c>
      <c r="G3696" s="2" t="str">
        <f>IF(Table1[[#This Row],[Is Data Valid]]=TRUE,((Table1[[#This Row],[Birthweight (grams)]]/Table1[[#This Row],[BW_GA]])-1)/(Backend!$B$4/100*Table1[[#This Row],[BW40_3705]]),"")</f>
        <v/>
      </c>
      <c r="H3696" s="7" t="str">
        <f>IF(Table1[[#This Row],[Is Data Valid]]=TRUE,((Table1[[#This Row],[Birthweight (grams)]]*0.9/Table1[[#This Row],[BW_GA]])-1)/(Backend!$B$4/100*Table1[[#This Row],[BW40_3705]]),"")</f>
        <v/>
      </c>
      <c r="I3696" s="7" t="str">
        <f>IF(Table1[[#This Row],[Is Data Valid]]=TRUE,((Table1[[#This Row],[Birthweight (grams)]]*1.1/Table1[[#This Row],[BW_GA]])-1)/(Backend!$B$4/100*Table1[[#This Row],[BW40_3705]]),"")</f>
        <v/>
      </c>
      <c r="J3696" s="7" t="str">
        <f>IF(Table1[[#This Row],[Is Data Valid]]=TRUE,_xlfn.NORM.S.DIST(Table1[[#This Row],[Birthweight Z-Score]],TRUE)*100,"")</f>
        <v/>
      </c>
      <c r="K3696" s="7" t="str">
        <f>IF(Table1[[#This Row],[Is Data Valid]]=TRUE,_xlfn.NORM.S.DIST(Table1[[#This Row],[Birthweight Z-Score (BW-10%)]],TRUE)*100,"")</f>
        <v/>
      </c>
      <c r="L3696" s="7" t="str">
        <f>IF(Table1[[#This Row],[Is Data Valid]]=TRUE,_xlfn.NORM.S.DIST(Table1[[#This Row],[Birthweight Z-Score (BW+10%)]],TRUE)*100,"")</f>
        <v/>
      </c>
    </row>
    <row r="3697" spans="1:12" x14ac:dyDescent="0.35">
      <c r="A3697" s="3"/>
      <c r="B3697" s="2"/>
      <c r="C3697" s="2"/>
      <c r="D3697" s="2" t="b">
        <f>IF(AND(NOT(ISBLANK(Table1[[#This Row],[Fetal Sex (Male, Female or Unknown)]])),ISNUMBER(Table1[[#This Row],[Birthweight (grams)]]),ISNUMBER(Table1[[#This Row],[Gestation (days)]])),TRUE,FALSE)</f>
        <v>0</v>
      </c>
      <c r="E3697" s="2" t="str">
        <f>IF(Table1[[#This Row],[Is Data Valid]]=TRUE,IF(Table1[[#This Row],[Fetal Sex (Male, Female or Unknown)]]="Male",Backend!$C$6,IF(Table1[[#This Row],[Fetal Sex (Male, Female or Unknown)]]="Female",Backend!$C$7,IF(Table1[[#This Row],[Fetal Sex (Male, Female or Unknown)]]="Unknown",Backend!$C$8,"Error"))),"")</f>
        <v/>
      </c>
      <c r="F3697" s="8" t="str">
        <f>IF(Table1[[#This Row],[Is Data Valid]]=TRUE,EXP(0.578+0.332*((Table1[[#This Row],[Gestation (days)]]+0.5)/7)-0.00354*((Table1[[#This Row],[Gestation (days)]]+0.5)/7)^2)*Table1[[#This Row],[BW40_3705]],"")</f>
        <v/>
      </c>
      <c r="G3697" s="2" t="str">
        <f>IF(Table1[[#This Row],[Is Data Valid]]=TRUE,((Table1[[#This Row],[Birthweight (grams)]]/Table1[[#This Row],[BW_GA]])-1)/(Backend!$B$4/100*Table1[[#This Row],[BW40_3705]]),"")</f>
        <v/>
      </c>
      <c r="H3697" s="7" t="str">
        <f>IF(Table1[[#This Row],[Is Data Valid]]=TRUE,((Table1[[#This Row],[Birthweight (grams)]]*0.9/Table1[[#This Row],[BW_GA]])-1)/(Backend!$B$4/100*Table1[[#This Row],[BW40_3705]]),"")</f>
        <v/>
      </c>
      <c r="I3697" s="7" t="str">
        <f>IF(Table1[[#This Row],[Is Data Valid]]=TRUE,((Table1[[#This Row],[Birthweight (grams)]]*1.1/Table1[[#This Row],[BW_GA]])-1)/(Backend!$B$4/100*Table1[[#This Row],[BW40_3705]]),"")</f>
        <v/>
      </c>
      <c r="J3697" s="7" t="str">
        <f>IF(Table1[[#This Row],[Is Data Valid]]=TRUE,_xlfn.NORM.S.DIST(Table1[[#This Row],[Birthweight Z-Score]],TRUE)*100,"")</f>
        <v/>
      </c>
      <c r="K3697" s="7" t="str">
        <f>IF(Table1[[#This Row],[Is Data Valid]]=TRUE,_xlfn.NORM.S.DIST(Table1[[#This Row],[Birthweight Z-Score (BW-10%)]],TRUE)*100,"")</f>
        <v/>
      </c>
      <c r="L3697" s="7" t="str">
        <f>IF(Table1[[#This Row],[Is Data Valid]]=TRUE,_xlfn.NORM.S.DIST(Table1[[#This Row],[Birthweight Z-Score (BW+10%)]],TRUE)*100,"")</f>
        <v/>
      </c>
    </row>
    <row r="3698" spans="1:12" x14ac:dyDescent="0.35">
      <c r="A3698" s="3"/>
      <c r="B3698" s="2"/>
      <c r="C3698" s="2"/>
      <c r="D3698" s="2" t="b">
        <f>IF(AND(NOT(ISBLANK(Table1[[#This Row],[Fetal Sex (Male, Female or Unknown)]])),ISNUMBER(Table1[[#This Row],[Birthweight (grams)]]),ISNUMBER(Table1[[#This Row],[Gestation (days)]])),TRUE,FALSE)</f>
        <v>0</v>
      </c>
      <c r="E3698" s="2" t="str">
        <f>IF(Table1[[#This Row],[Is Data Valid]]=TRUE,IF(Table1[[#This Row],[Fetal Sex (Male, Female or Unknown)]]="Male",Backend!$C$6,IF(Table1[[#This Row],[Fetal Sex (Male, Female or Unknown)]]="Female",Backend!$C$7,IF(Table1[[#This Row],[Fetal Sex (Male, Female or Unknown)]]="Unknown",Backend!$C$8,"Error"))),"")</f>
        <v/>
      </c>
      <c r="F3698" s="8" t="str">
        <f>IF(Table1[[#This Row],[Is Data Valid]]=TRUE,EXP(0.578+0.332*((Table1[[#This Row],[Gestation (days)]]+0.5)/7)-0.00354*((Table1[[#This Row],[Gestation (days)]]+0.5)/7)^2)*Table1[[#This Row],[BW40_3705]],"")</f>
        <v/>
      </c>
      <c r="G3698" s="2" t="str">
        <f>IF(Table1[[#This Row],[Is Data Valid]]=TRUE,((Table1[[#This Row],[Birthweight (grams)]]/Table1[[#This Row],[BW_GA]])-1)/(Backend!$B$4/100*Table1[[#This Row],[BW40_3705]]),"")</f>
        <v/>
      </c>
      <c r="H3698" s="7" t="str">
        <f>IF(Table1[[#This Row],[Is Data Valid]]=TRUE,((Table1[[#This Row],[Birthweight (grams)]]*0.9/Table1[[#This Row],[BW_GA]])-1)/(Backend!$B$4/100*Table1[[#This Row],[BW40_3705]]),"")</f>
        <v/>
      </c>
      <c r="I3698" s="7" t="str">
        <f>IF(Table1[[#This Row],[Is Data Valid]]=TRUE,((Table1[[#This Row],[Birthweight (grams)]]*1.1/Table1[[#This Row],[BW_GA]])-1)/(Backend!$B$4/100*Table1[[#This Row],[BW40_3705]]),"")</f>
        <v/>
      </c>
      <c r="J3698" s="7" t="str">
        <f>IF(Table1[[#This Row],[Is Data Valid]]=TRUE,_xlfn.NORM.S.DIST(Table1[[#This Row],[Birthweight Z-Score]],TRUE)*100,"")</f>
        <v/>
      </c>
      <c r="K3698" s="7" t="str">
        <f>IF(Table1[[#This Row],[Is Data Valid]]=TRUE,_xlfn.NORM.S.DIST(Table1[[#This Row],[Birthweight Z-Score (BW-10%)]],TRUE)*100,"")</f>
        <v/>
      </c>
      <c r="L3698" s="7" t="str">
        <f>IF(Table1[[#This Row],[Is Data Valid]]=TRUE,_xlfn.NORM.S.DIST(Table1[[#This Row],[Birthweight Z-Score (BW+10%)]],TRUE)*100,"")</f>
        <v/>
      </c>
    </row>
    <row r="3699" spans="1:12" x14ac:dyDescent="0.35">
      <c r="A3699" s="3"/>
      <c r="B3699" s="2"/>
      <c r="C3699" s="2"/>
      <c r="D3699" s="2" t="b">
        <f>IF(AND(NOT(ISBLANK(Table1[[#This Row],[Fetal Sex (Male, Female or Unknown)]])),ISNUMBER(Table1[[#This Row],[Birthweight (grams)]]),ISNUMBER(Table1[[#This Row],[Gestation (days)]])),TRUE,FALSE)</f>
        <v>0</v>
      </c>
      <c r="E3699" s="2" t="str">
        <f>IF(Table1[[#This Row],[Is Data Valid]]=TRUE,IF(Table1[[#This Row],[Fetal Sex (Male, Female or Unknown)]]="Male",Backend!$C$6,IF(Table1[[#This Row],[Fetal Sex (Male, Female or Unknown)]]="Female",Backend!$C$7,IF(Table1[[#This Row],[Fetal Sex (Male, Female or Unknown)]]="Unknown",Backend!$C$8,"Error"))),"")</f>
        <v/>
      </c>
      <c r="F3699" s="8" t="str">
        <f>IF(Table1[[#This Row],[Is Data Valid]]=TRUE,EXP(0.578+0.332*((Table1[[#This Row],[Gestation (days)]]+0.5)/7)-0.00354*((Table1[[#This Row],[Gestation (days)]]+0.5)/7)^2)*Table1[[#This Row],[BW40_3705]],"")</f>
        <v/>
      </c>
      <c r="G3699" s="2" t="str">
        <f>IF(Table1[[#This Row],[Is Data Valid]]=TRUE,((Table1[[#This Row],[Birthweight (grams)]]/Table1[[#This Row],[BW_GA]])-1)/(Backend!$B$4/100*Table1[[#This Row],[BW40_3705]]),"")</f>
        <v/>
      </c>
      <c r="H3699" s="7" t="str">
        <f>IF(Table1[[#This Row],[Is Data Valid]]=TRUE,((Table1[[#This Row],[Birthweight (grams)]]*0.9/Table1[[#This Row],[BW_GA]])-1)/(Backend!$B$4/100*Table1[[#This Row],[BW40_3705]]),"")</f>
        <v/>
      </c>
      <c r="I3699" s="7" t="str">
        <f>IF(Table1[[#This Row],[Is Data Valid]]=TRUE,((Table1[[#This Row],[Birthweight (grams)]]*1.1/Table1[[#This Row],[BW_GA]])-1)/(Backend!$B$4/100*Table1[[#This Row],[BW40_3705]]),"")</f>
        <v/>
      </c>
      <c r="J3699" s="7" t="str">
        <f>IF(Table1[[#This Row],[Is Data Valid]]=TRUE,_xlfn.NORM.S.DIST(Table1[[#This Row],[Birthweight Z-Score]],TRUE)*100,"")</f>
        <v/>
      </c>
      <c r="K3699" s="7" t="str">
        <f>IF(Table1[[#This Row],[Is Data Valid]]=TRUE,_xlfn.NORM.S.DIST(Table1[[#This Row],[Birthweight Z-Score (BW-10%)]],TRUE)*100,"")</f>
        <v/>
      </c>
      <c r="L3699" s="7" t="str">
        <f>IF(Table1[[#This Row],[Is Data Valid]]=TRUE,_xlfn.NORM.S.DIST(Table1[[#This Row],[Birthweight Z-Score (BW+10%)]],TRUE)*100,"")</f>
        <v/>
      </c>
    </row>
    <row r="3700" spans="1:12" x14ac:dyDescent="0.35">
      <c r="A3700" s="3"/>
      <c r="B3700" s="2"/>
      <c r="C3700" s="2"/>
      <c r="D3700" s="2" t="b">
        <f>IF(AND(NOT(ISBLANK(Table1[[#This Row],[Fetal Sex (Male, Female or Unknown)]])),ISNUMBER(Table1[[#This Row],[Birthweight (grams)]]),ISNUMBER(Table1[[#This Row],[Gestation (days)]])),TRUE,FALSE)</f>
        <v>0</v>
      </c>
      <c r="E3700" s="2" t="str">
        <f>IF(Table1[[#This Row],[Is Data Valid]]=TRUE,IF(Table1[[#This Row],[Fetal Sex (Male, Female or Unknown)]]="Male",Backend!$C$6,IF(Table1[[#This Row],[Fetal Sex (Male, Female or Unknown)]]="Female",Backend!$C$7,IF(Table1[[#This Row],[Fetal Sex (Male, Female or Unknown)]]="Unknown",Backend!$C$8,"Error"))),"")</f>
        <v/>
      </c>
      <c r="F3700" s="8" t="str">
        <f>IF(Table1[[#This Row],[Is Data Valid]]=TRUE,EXP(0.578+0.332*((Table1[[#This Row],[Gestation (days)]]+0.5)/7)-0.00354*((Table1[[#This Row],[Gestation (days)]]+0.5)/7)^2)*Table1[[#This Row],[BW40_3705]],"")</f>
        <v/>
      </c>
      <c r="G3700" s="2" t="str">
        <f>IF(Table1[[#This Row],[Is Data Valid]]=TRUE,((Table1[[#This Row],[Birthweight (grams)]]/Table1[[#This Row],[BW_GA]])-1)/(Backend!$B$4/100*Table1[[#This Row],[BW40_3705]]),"")</f>
        <v/>
      </c>
      <c r="H3700" s="7" t="str">
        <f>IF(Table1[[#This Row],[Is Data Valid]]=TRUE,((Table1[[#This Row],[Birthweight (grams)]]*0.9/Table1[[#This Row],[BW_GA]])-1)/(Backend!$B$4/100*Table1[[#This Row],[BW40_3705]]),"")</f>
        <v/>
      </c>
      <c r="I3700" s="7" t="str">
        <f>IF(Table1[[#This Row],[Is Data Valid]]=TRUE,((Table1[[#This Row],[Birthweight (grams)]]*1.1/Table1[[#This Row],[BW_GA]])-1)/(Backend!$B$4/100*Table1[[#This Row],[BW40_3705]]),"")</f>
        <v/>
      </c>
      <c r="J3700" s="7" t="str">
        <f>IF(Table1[[#This Row],[Is Data Valid]]=TRUE,_xlfn.NORM.S.DIST(Table1[[#This Row],[Birthweight Z-Score]],TRUE)*100,"")</f>
        <v/>
      </c>
      <c r="K3700" s="7" t="str">
        <f>IF(Table1[[#This Row],[Is Data Valid]]=TRUE,_xlfn.NORM.S.DIST(Table1[[#This Row],[Birthweight Z-Score (BW-10%)]],TRUE)*100,"")</f>
        <v/>
      </c>
      <c r="L3700" s="7" t="str">
        <f>IF(Table1[[#This Row],[Is Data Valid]]=TRUE,_xlfn.NORM.S.DIST(Table1[[#This Row],[Birthweight Z-Score (BW+10%)]],TRUE)*100,"")</f>
        <v/>
      </c>
    </row>
    <row r="3701" spans="1:12" x14ac:dyDescent="0.35">
      <c r="A3701" s="3"/>
      <c r="B3701" s="2"/>
      <c r="C3701" s="2"/>
      <c r="D3701" s="2" t="b">
        <f>IF(AND(NOT(ISBLANK(Table1[[#This Row],[Fetal Sex (Male, Female or Unknown)]])),ISNUMBER(Table1[[#This Row],[Birthweight (grams)]]),ISNUMBER(Table1[[#This Row],[Gestation (days)]])),TRUE,FALSE)</f>
        <v>0</v>
      </c>
      <c r="E3701" s="2" t="str">
        <f>IF(Table1[[#This Row],[Is Data Valid]]=TRUE,IF(Table1[[#This Row],[Fetal Sex (Male, Female or Unknown)]]="Male",Backend!$C$6,IF(Table1[[#This Row],[Fetal Sex (Male, Female or Unknown)]]="Female",Backend!$C$7,IF(Table1[[#This Row],[Fetal Sex (Male, Female or Unknown)]]="Unknown",Backend!$C$8,"Error"))),"")</f>
        <v/>
      </c>
      <c r="F3701" s="8" t="str">
        <f>IF(Table1[[#This Row],[Is Data Valid]]=TRUE,EXP(0.578+0.332*((Table1[[#This Row],[Gestation (days)]]+0.5)/7)-0.00354*((Table1[[#This Row],[Gestation (days)]]+0.5)/7)^2)*Table1[[#This Row],[BW40_3705]],"")</f>
        <v/>
      </c>
      <c r="G3701" s="2" t="str">
        <f>IF(Table1[[#This Row],[Is Data Valid]]=TRUE,((Table1[[#This Row],[Birthweight (grams)]]/Table1[[#This Row],[BW_GA]])-1)/(Backend!$B$4/100*Table1[[#This Row],[BW40_3705]]),"")</f>
        <v/>
      </c>
      <c r="H3701" s="7" t="str">
        <f>IF(Table1[[#This Row],[Is Data Valid]]=TRUE,((Table1[[#This Row],[Birthweight (grams)]]*0.9/Table1[[#This Row],[BW_GA]])-1)/(Backend!$B$4/100*Table1[[#This Row],[BW40_3705]]),"")</f>
        <v/>
      </c>
      <c r="I3701" s="7" t="str">
        <f>IF(Table1[[#This Row],[Is Data Valid]]=TRUE,((Table1[[#This Row],[Birthweight (grams)]]*1.1/Table1[[#This Row],[BW_GA]])-1)/(Backend!$B$4/100*Table1[[#This Row],[BW40_3705]]),"")</f>
        <v/>
      </c>
      <c r="J3701" s="7" t="str">
        <f>IF(Table1[[#This Row],[Is Data Valid]]=TRUE,_xlfn.NORM.S.DIST(Table1[[#This Row],[Birthweight Z-Score]],TRUE)*100,"")</f>
        <v/>
      </c>
      <c r="K3701" s="7" t="str">
        <f>IF(Table1[[#This Row],[Is Data Valid]]=TRUE,_xlfn.NORM.S.DIST(Table1[[#This Row],[Birthweight Z-Score (BW-10%)]],TRUE)*100,"")</f>
        <v/>
      </c>
      <c r="L3701" s="7" t="str">
        <f>IF(Table1[[#This Row],[Is Data Valid]]=TRUE,_xlfn.NORM.S.DIST(Table1[[#This Row],[Birthweight Z-Score (BW+10%)]],TRUE)*100,"")</f>
        <v/>
      </c>
    </row>
    <row r="3702" spans="1:12" x14ac:dyDescent="0.35">
      <c r="A3702" s="3"/>
      <c r="B3702" s="2"/>
      <c r="C3702" s="2"/>
      <c r="D3702" s="2" t="b">
        <f>IF(AND(NOT(ISBLANK(Table1[[#This Row],[Fetal Sex (Male, Female or Unknown)]])),ISNUMBER(Table1[[#This Row],[Birthweight (grams)]]),ISNUMBER(Table1[[#This Row],[Gestation (days)]])),TRUE,FALSE)</f>
        <v>0</v>
      </c>
      <c r="E3702" s="2" t="str">
        <f>IF(Table1[[#This Row],[Is Data Valid]]=TRUE,IF(Table1[[#This Row],[Fetal Sex (Male, Female or Unknown)]]="Male",Backend!$C$6,IF(Table1[[#This Row],[Fetal Sex (Male, Female or Unknown)]]="Female",Backend!$C$7,IF(Table1[[#This Row],[Fetal Sex (Male, Female or Unknown)]]="Unknown",Backend!$C$8,"Error"))),"")</f>
        <v/>
      </c>
      <c r="F3702" s="8" t="str">
        <f>IF(Table1[[#This Row],[Is Data Valid]]=TRUE,EXP(0.578+0.332*((Table1[[#This Row],[Gestation (days)]]+0.5)/7)-0.00354*((Table1[[#This Row],[Gestation (days)]]+0.5)/7)^2)*Table1[[#This Row],[BW40_3705]],"")</f>
        <v/>
      </c>
      <c r="G3702" s="2" t="str">
        <f>IF(Table1[[#This Row],[Is Data Valid]]=TRUE,((Table1[[#This Row],[Birthweight (grams)]]/Table1[[#This Row],[BW_GA]])-1)/(Backend!$B$4/100*Table1[[#This Row],[BW40_3705]]),"")</f>
        <v/>
      </c>
      <c r="H3702" s="7" t="str">
        <f>IF(Table1[[#This Row],[Is Data Valid]]=TRUE,((Table1[[#This Row],[Birthweight (grams)]]*0.9/Table1[[#This Row],[BW_GA]])-1)/(Backend!$B$4/100*Table1[[#This Row],[BW40_3705]]),"")</f>
        <v/>
      </c>
      <c r="I3702" s="7" t="str">
        <f>IF(Table1[[#This Row],[Is Data Valid]]=TRUE,((Table1[[#This Row],[Birthweight (grams)]]*1.1/Table1[[#This Row],[BW_GA]])-1)/(Backend!$B$4/100*Table1[[#This Row],[BW40_3705]]),"")</f>
        <v/>
      </c>
      <c r="J3702" s="7" t="str">
        <f>IF(Table1[[#This Row],[Is Data Valid]]=TRUE,_xlfn.NORM.S.DIST(Table1[[#This Row],[Birthweight Z-Score]],TRUE)*100,"")</f>
        <v/>
      </c>
      <c r="K3702" s="7" t="str">
        <f>IF(Table1[[#This Row],[Is Data Valid]]=TRUE,_xlfn.NORM.S.DIST(Table1[[#This Row],[Birthweight Z-Score (BW-10%)]],TRUE)*100,"")</f>
        <v/>
      </c>
      <c r="L3702" s="7" t="str">
        <f>IF(Table1[[#This Row],[Is Data Valid]]=TRUE,_xlfn.NORM.S.DIST(Table1[[#This Row],[Birthweight Z-Score (BW+10%)]],TRUE)*100,"")</f>
        <v/>
      </c>
    </row>
    <row r="3703" spans="1:12" x14ac:dyDescent="0.35">
      <c r="A3703" s="3"/>
      <c r="B3703" s="2"/>
      <c r="C3703" s="2"/>
      <c r="D3703" s="2" t="b">
        <f>IF(AND(NOT(ISBLANK(Table1[[#This Row],[Fetal Sex (Male, Female or Unknown)]])),ISNUMBER(Table1[[#This Row],[Birthweight (grams)]]),ISNUMBER(Table1[[#This Row],[Gestation (days)]])),TRUE,FALSE)</f>
        <v>0</v>
      </c>
      <c r="E3703" s="2" t="str">
        <f>IF(Table1[[#This Row],[Is Data Valid]]=TRUE,IF(Table1[[#This Row],[Fetal Sex (Male, Female or Unknown)]]="Male",Backend!$C$6,IF(Table1[[#This Row],[Fetal Sex (Male, Female or Unknown)]]="Female",Backend!$C$7,IF(Table1[[#This Row],[Fetal Sex (Male, Female or Unknown)]]="Unknown",Backend!$C$8,"Error"))),"")</f>
        <v/>
      </c>
      <c r="F3703" s="8" t="str">
        <f>IF(Table1[[#This Row],[Is Data Valid]]=TRUE,EXP(0.578+0.332*((Table1[[#This Row],[Gestation (days)]]+0.5)/7)-0.00354*((Table1[[#This Row],[Gestation (days)]]+0.5)/7)^2)*Table1[[#This Row],[BW40_3705]],"")</f>
        <v/>
      </c>
      <c r="G3703" s="2" t="str">
        <f>IF(Table1[[#This Row],[Is Data Valid]]=TRUE,((Table1[[#This Row],[Birthweight (grams)]]/Table1[[#This Row],[BW_GA]])-1)/(Backend!$B$4/100*Table1[[#This Row],[BW40_3705]]),"")</f>
        <v/>
      </c>
      <c r="H3703" s="7" t="str">
        <f>IF(Table1[[#This Row],[Is Data Valid]]=TRUE,((Table1[[#This Row],[Birthweight (grams)]]*0.9/Table1[[#This Row],[BW_GA]])-1)/(Backend!$B$4/100*Table1[[#This Row],[BW40_3705]]),"")</f>
        <v/>
      </c>
      <c r="I3703" s="7" t="str">
        <f>IF(Table1[[#This Row],[Is Data Valid]]=TRUE,((Table1[[#This Row],[Birthweight (grams)]]*1.1/Table1[[#This Row],[BW_GA]])-1)/(Backend!$B$4/100*Table1[[#This Row],[BW40_3705]]),"")</f>
        <v/>
      </c>
      <c r="J3703" s="7" t="str">
        <f>IF(Table1[[#This Row],[Is Data Valid]]=TRUE,_xlfn.NORM.S.DIST(Table1[[#This Row],[Birthweight Z-Score]],TRUE)*100,"")</f>
        <v/>
      </c>
      <c r="K3703" s="7" t="str">
        <f>IF(Table1[[#This Row],[Is Data Valid]]=TRUE,_xlfn.NORM.S.DIST(Table1[[#This Row],[Birthweight Z-Score (BW-10%)]],TRUE)*100,"")</f>
        <v/>
      </c>
      <c r="L3703" s="7" t="str">
        <f>IF(Table1[[#This Row],[Is Data Valid]]=TRUE,_xlfn.NORM.S.DIST(Table1[[#This Row],[Birthweight Z-Score (BW+10%)]],TRUE)*100,"")</f>
        <v/>
      </c>
    </row>
    <row r="3704" spans="1:12" x14ac:dyDescent="0.35">
      <c r="A3704" s="3"/>
      <c r="B3704" s="2"/>
      <c r="C3704" s="2"/>
      <c r="D3704" s="2" t="b">
        <f>IF(AND(NOT(ISBLANK(Table1[[#This Row],[Fetal Sex (Male, Female or Unknown)]])),ISNUMBER(Table1[[#This Row],[Birthweight (grams)]]),ISNUMBER(Table1[[#This Row],[Gestation (days)]])),TRUE,FALSE)</f>
        <v>0</v>
      </c>
      <c r="E3704" s="2" t="str">
        <f>IF(Table1[[#This Row],[Is Data Valid]]=TRUE,IF(Table1[[#This Row],[Fetal Sex (Male, Female or Unknown)]]="Male",Backend!$C$6,IF(Table1[[#This Row],[Fetal Sex (Male, Female or Unknown)]]="Female",Backend!$C$7,IF(Table1[[#This Row],[Fetal Sex (Male, Female or Unknown)]]="Unknown",Backend!$C$8,"Error"))),"")</f>
        <v/>
      </c>
      <c r="F3704" s="8" t="str">
        <f>IF(Table1[[#This Row],[Is Data Valid]]=TRUE,EXP(0.578+0.332*((Table1[[#This Row],[Gestation (days)]]+0.5)/7)-0.00354*((Table1[[#This Row],[Gestation (days)]]+0.5)/7)^2)*Table1[[#This Row],[BW40_3705]],"")</f>
        <v/>
      </c>
      <c r="G3704" s="2" t="str">
        <f>IF(Table1[[#This Row],[Is Data Valid]]=TRUE,((Table1[[#This Row],[Birthweight (grams)]]/Table1[[#This Row],[BW_GA]])-1)/(Backend!$B$4/100*Table1[[#This Row],[BW40_3705]]),"")</f>
        <v/>
      </c>
      <c r="H3704" s="7" t="str">
        <f>IF(Table1[[#This Row],[Is Data Valid]]=TRUE,((Table1[[#This Row],[Birthweight (grams)]]*0.9/Table1[[#This Row],[BW_GA]])-1)/(Backend!$B$4/100*Table1[[#This Row],[BW40_3705]]),"")</f>
        <v/>
      </c>
      <c r="I3704" s="7" t="str">
        <f>IF(Table1[[#This Row],[Is Data Valid]]=TRUE,((Table1[[#This Row],[Birthweight (grams)]]*1.1/Table1[[#This Row],[BW_GA]])-1)/(Backend!$B$4/100*Table1[[#This Row],[BW40_3705]]),"")</f>
        <v/>
      </c>
      <c r="J3704" s="7" t="str">
        <f>IF(Table1[[#This Row],[Is Data Valid]]=TRUE,_xlfn.NORM.S.DIST(Table1[[#This Row],[Birthweight Z-Score]],TRUE)*100,"")</f>
        <v/>
      </c>
      <c r="K3704" s="7" t="str">
        <f>IF(Table1[[#This Row],[Is Data Valid]]=TRUE,_xlfn.NORM.S.DIST(Table1[[#This Row],[Birthweight Z-Score (BW-10%)]],TRUE)*100,"")</f>
        <v/>
      </c>
      <c r="L3704" s="7" t="str">
        <f>IF(Table1[[#This Row],[Is Data Valid]]=TRUE,_xlfn.NORM.S.DIST(Table1[[#This Row],[Birthweight Z-Score (BW+10%)]],TRUE)*100,"")</f>
        <v/>
      </c>
    </row>
    <row r="3705" spans="1:12" x14ac:dyDescent="0.35">
      <c r="A3705" s="3"/>
      <c r="B3705" s="2"/>
      <c r="C3705" s="2"/>
      <c r="D3705" s="2" t="b">
        <f>IF(AND(NOT(ISBLANK(Table1[[#This Row],[Fetal Sex (Male, Female or Unknown)]])),ISNUMBER(Table1[[#This Row],[Birthweight (grams)]]),ISNUMBER(Table1[[#This Row],[Gestation (days)]])),TRUE,FALSE)</f>
        <v>0</v>
      </c>
      <c r="E3705" s="2" t="str">
        <f>IF(Table1[[#This Row],[Is Data Valid]]=TRUE,IF(Table1[[#This Row],[Fetal Sex (Male, Female or Unknown)]]="Male",Backend!$C$6,IF(Table1[[#This Row],[Fetal Sex (Male, Female or Unknown)]]="Female",Backend!$C$7,IF(Table1[[#This Row],[Fetal Sex (Male, Female or Unknown)]]="Unknown",Backend!$C$8,"Error"))),"")</f>
        <v/>
      </c>
      <c r="F3705" s="8" t="str">
        <f>IF(Table1[[#This Row],[Is Data Valid]]=TRUE,EXP(0.578+0.332*((Table1[[#This Row],[Gestation (days)]]+0.5)/7)-0.00354*((Table1[[#This Row],[Gestation (days)]]+0.5)/7)^2)*Table1[[#This Row],[BW40_3705]],"")</f>
        <v/>
      </c>
      <c r="G3705" s="2" t="str">
        <f>IF(Table1[[#This Row],[Is Data Valid]]=TRUE,((Table1[[#This Row],[Birthweight (grams)]]/Table1[[#This Row],[BW_GA]])-1)/(Backend!$B$4/100*Table1[[#This Row],[BW40_3705]]),"")</f>
        <v/>
      </c>
      <c r="H3705" s="7" t="str">
        <f>IF(Table1[[#This Row],[Is Data Valid]]=TRUE,((Table1[[#This Row],[Birthweight (grams)]]*0.9/Table1[[#This Row],[BW_GA]])-1)/(Backend!$B$4/100*Table1[[#This Row],[BW40_3705]]),"")</f>
        <v/>
      </c>
      <c r="I3705" s="7" t="str">
        <f>IF(Table1[[#This Row],[Is Data Valid]]=TRUE,((Table1[[#This Row],[Birthweight (grams)]]*1.1/Table1[[#This Row],[BW_GA]])-1)/(Backend!$B$4/100*Table1[[#This Row],[BW40_3705]]),"")</f>
        <v/>
      </c>
      <c r="J3705" s="7" t="str">
        <f>IF(Table1[[#This Row],[Is Data Valid]]=TRUE,_xlfn.NORM.S.DIST(Table1[[#This Row],[Birthweight Z-Score]],TRUE)*100,"")</f>
        <v/>
      </c>
      <c r="K3705" s="7" t="str">
        <f>IF(Table1[[#This Row],[Is Data Valid]]=TRUE,_xlfn.NORM.S.DIST(Table1[[#This Row],[Birthweight Z-Score (BW-10%)]],TRUE)*100,"")</f>
        <v/>
      </c>
      <c r="L3705" s="7" t="str">
        <f>IF(Table1[[#This Row],[Is Data Valid]]=TRUE,_xlfn.NORM.S.DIST(Table1[[#This Row],[Birthweight Z-Score (BW+10%)]],TRUE)*100,"")</f>
        <v/>
      </c>
    </row>
    <row r="3706" spans="1:12" x14ac:dyDescent="0.35">
      <c r="A3706" s="3"/>
      <c r="B3706" s="2"/>
      <c r="C3706" s="2"/>
      <c r="D3706" s="2" t="b">
        <f>IF(AND(NOT(ISBLANK(Table1[[#This Row],[Fetal Sex (Male, Female or Unknown)]])),ISNUMBER(Table1[[#This Row],[Birthweight (grams)]]),ISNUMBER(Table1[[#This Row],[Gestation (days)]])),TRUE,FALSE)</f>
        <v>0</v>
      </c>
      <c r="E3706" s="2" t="str">
        <f>IF(Table1[[#This Row],[Is Data Valid]]=TRUE,IF(Table1[[#This Row],[Fetal Sex (Male, Female or Unknown)]]="Male",Backend!$C$6,IF(Table1[[#This Row],[Fetal Sex (Male, Female or Unknown)]]="Female",Backend!$C$7,IF(Table1[[#This Row],[Fetal Sex (Male, Female or Unknown)]]="Unknown",Backend!$C$8,"Error"))),"")</f>
        <v/>
      </c>
      <c r="F3706" s="8" t="str">
        <f>IF(Table1[[#This Row],[Is Data Valid]]=TRUE,EXP(0.578+0.332*((Table1[[#This Row],[Gestation (days)]]+0.5)/7)-0.00354*((Table1[[#This Row],[Gestation (days)]]+0.5)/7)^2)*Table1[[#This Row],[BW40_3705]],"")</f>
        <v/>
      </c>
      <c r="G3706" s="2" t="str">
        <f>IF(Table1[[#This Row],[Is Data Valid]]=TRUE,((Table1[[#This Row],[Birthweight (grams)]]/Table1[[#This Row],[BW_GA]])-1)/(Backend!$B$4/100*Table1[[#This Row],[BW40_3705]]),"")</f>
        <v/>
      </c>
      <c r="H3706" s="7" t="str">
        <f>IF(Table1[[#This Row],[Is Data Valid]]=TRUE,((Table1[[#This Row],[Birthweight (grams)]]*0.9/Table1[[#This Row],[BW_GA]])-1)/(Backend!$B$4/100*Table1[[#This Row],[BW40_3705]]),"")</f>
        <v/>
      </c>
      <c r="I3706" s="7" t="str">
        <f>IF(Table1[[#This Row],[Is Data Valid]]=TRUE,((Table1[[#This Row],[Birthweight (grams)]]*1.1/Table1[[#This Row],[BW_GA]])-1)/(Backend!$B$4/100*Table1[[#This Row],[BW40_3705]]),"")</f>
        <v/>
      </c>
      <c r="J3706" s="7" t="str">
        <f>IF(Table1[[#This Row],[Is Data Valid]]=TRUE,_xlfn.NORM.S.DIST(Table1[[#This Row],[Birthweight Z-Score]],TRUE)*100,"")</f>
        <v/>
      </c>
      <c r="K3706" s="7" t="str">
        <f>IF(Table1[[#This Row],[Is Data Valid]]=TRUE,_xlfn.NORM.S.DIST(Table1[[#This Row],[Birthweight Z-Score (BW-10%)]],TRUE)*100,"")</f>
        <v/>
      </c>
      <c r="L3706" s="7" t="str">
        <f>IF(Table1[[#This Row],[Is Data Valid]]=TRUE,_xlfn.NORM.S.DIST(Table1[[#This Row],[Birthweight Z-Score (BW+10%)]],TRUE)*100,"")</f>
        <v/>
      </c>
    </row>
    <row r="3707" spans="1:12" x14ac:dyDescent="0.35">
      <c r="A3707" s="3"/>
      <c r="B3707" s="2"/>
      <c r="C3707" s="2"/>
      <c r="D3707" s="2" t="b">
        <f>IF(AND(NOT(ISBLANK(Table1[[#This Row],[Fetal Sex (Male, Female or Unknown)]])),ISNUMBER(Table1[[#This Row],[Birthweight (grams)]]),ISNUMBER(Table1[[#This Row],[Gestation (days)]])),TRUE,FALSE)</f>
        <v>0</v>
      </c>
      <c r="E3707" s="2" t="str">
        <f>IF(Table1[[#This Row],[Is Data Valid]]=TRUE,IF(Table1[[#This Row],[Fetal Sex (Male, Female or Unknown)]]="Male",Backend!$C$6,IF(Table1[[#This Row],[Fetal Sex (Male, Female or Unknown)]]="Female",Backend!$C$7,IF(Table1[[#This Row],[Fetal Sex (Male, Female or Unknown)]]="Unknown",Backend!$C$8,"Error"))),"")</f>
        <v/>
      </c>
      <c r="F3707" s="8" t="str">
        <f>IF(Table1[[#This Row],[Is Data Valid]]=TRUE,EXP(0.578+0.332*((Table1[[#This Row],[Gestation (days)]]+0.5)/7)-0.00354*((Table1[[#This Row],[Gestation (days)]]+0.5)/7)^2)*Table1[[#This Row],[BW40_3705]],"")</f>
        <v/>
      </c>
      <c r="G3707" s="2" t="str">
        <f>IF(Table1[[#This Row],[Is Data Valid]]=TRUE,((Table1[[#This Row],[Birthweight (grams)]]/Table1[[#This Row],[BW_GA]])-1)/(Backend!$B$4/100*Table1[[#This Row],[BW40_3705]]),"")</f>
        <v/>
      </c>
      <c r="H3707" s="7" t="str">
        <f>IF(Table1[[#This Row],[Is Data Valid]]=TRUE,((Table1[[#This Row],[Birthweight (grams)]]*0.9/Table1[[#This Row],[BW_GA]])-1)/(Backend!$B$4/100*Table1[[#This Row],[BW40_3705]]),"")</f>
        <v/>
      </c>
      <c r="I3707" s="7" t="str">
        <f>IF(Table1[[#This Row],[Is Data Valid]]=TRUE,((Table1[[#This Row],[Birthweight (grams)]]*1.1/Table1[[#This Row],[BW_GA]])-1)/(Backend!$B$4/100*Table1[[#This Row],[BW40_3705]]),"")</f>
        <v/>
      </c>
      <c r="J3707" s="7" t="str">
        <f>IF(Table1[[#This Row],[Is Data Valid]]=TRUE,_xlfn.NORM.S.DIST(Table1[[#This Row],[Birthweight Z-Score]],TRUE)*100,"")</f>
        <v/>
      </c>
      <c r="K3707" s="7" t="str">
        <f>IF(Table1[[#This Row],[Is Data Valid]]=TRUE,_xlfn.NORM.S.DIST(Table1[[#This Row],[Birthweight Z-Score (BW-10%)]],TRUE)*100,"")</f>
        <v/>
      </c>
      <c r="L3707" s="7" t="str">
        <f>IF(Table1[[#This Row],[Is Data Valid]]=TRUE,_xlfn.NORM.S.DIST(Table1[[#This Row],[Birthweight Z-Score (BW+10%)]],TRUE)*100,"")</f>
        <v/>
      </c>
    </row>
    <row r="3708" spans="1:12" x14ac:dyDescent="0.35">
      <c r="A3708" s="3"/>
      <c r="B3708" s="2"/>
      <c r="C3708" s="2"/>
      <c r="D3708" s="2" t="b">
        <f>IF(AND(NOT(ISBLANK(Table1[[#This Row],[Fetal Sex (Male, Female or Unknown)]])),ISNUMBER(Table1[[#This Row],[Birthweight (grams)]]),ISNUMBER(Table1[[#This Row],[Gestation (days)]])),TRUE,FALSE)</f>
        <v>0</v>
      </c>
      <c r="E3708" s="2" t="str">
        <f>IF(Table1[[#This Row],[Is Data Valid]]=TRUE,IF(Table1[[#This Row],[Fetal Sex (Male, Female or Unknown)]]="Male",Backend!$C$6,IF(Table1[[#This Row],[Fetal Sex (Male, Female or Unknown)]]="Female",Backend!$C$7,IF(Table1[[#This Row],[Fetal Sex (Male, Female or Unknown)]]="Unknown",Backend!$C$8,"Error"))),"")</f>
        <v/>
      </c>
      <c r="F3708" s="8" t="str">
        <f>IF(Table1[[#This Row],[Is Data Valid]]=TRUE,EXP(0.578+0.332*((Table1[[#This Row],[Gestation (days)]]+0.5)/7)-0.00354*((Table1[[#This Row],[Gestation (days)]]+0.5)/7)^2)*Table1[[#This Row],[BW40_3705]],"")</f>
        <v/>
      </c>
      <c r="G3708" s="2" t="str">
        <f>IF(Table1[[#This Row],[Is Data Valid]]=TRUE,((Table1[[#This Row],[Birthweight (grams)]]/Table1[[#This Row],[BW_GA]])-1)/(Backend!$B$4/100*Table1[[#This Row],[BW40_3705]]),"")</f>
        <v/>
      </c>
      <c r="H3708" s="7" t="str">
        <f>IF(Table1[[#This Row],[Is Data Valid]]=TRUE,((Table1[[#This Row],[Birthweight (grams)]]*0.9/Table1[[#This Row],[BW_GA]])-1)/(Backend!$B$4/100*Table1[[#This Row],[BW40_3705]]),"")</f>
        <v/>
      </c>
      <c r="I3708" s="7" t="str">
        <f>IF(Table1[[#This Row],[Is Data Valid]]=TRUE,((Table1[[#This Row],[Birthweight (grams)]]*1.1/Table1[[#This Row],[BW_GA]])-1)/(Backend!$B$4/100*Table1[[#This Row],[BW40_3705]]),"")</f>
        <v/>
      </c>
      <c r="J3708" s="7" t="str">
        <f>IF(Table1[[#This Row],[Is Data Valid]]=TRUE,_xlfn.NORM.S.DIST(Table1[[#This Row],[Birthweight Z-Score]],TRUE)*100,"")</f>
        <v/>
      </c>
      <c r="K3708" s="7" t="str">
        <f>IF(Table1[[#This Row],[Is Data Valid]]=TRUE,_xlfn.NORM.S.DIST(Table1[[#This Row],[Birthweight Z-Score (BW-10%)]],TRUE)*100,"")</f>
        <v/>
      </c>
      <c r="L3708" s="7" t="str">
        <f>IF(Table1[[#This Row],[Is Data Valid]]=TRUE,_xlfn.NORM.S.DIST(Table1[[#This Row],[Birthweight Z-Score (BW+10%)]],TRUE)*100,"")</f>
        <v/>
      </c>
    </row>
    <row r="3709" spans="1:12" x14ac:dyDescent="0.35">
      <c r="A3709" s="3"/>
      <c r="B3709" s="2"/>
      <c r="C3709" s="2"/>
      <c r="D3709" s="2" t="b">
        <f>IF(AND(NOT(ISBLANK(Table1[[#This Row],[Fetal Sex (Male, Female or Unknown)]])),ISNUMBER(Table1[[#This Row],[Birthweight (grams)]]),ISNUMBER(Table1[[#This Row],[Gestation (days)]])),TRUE,FALSE)</f>
        <v>0</v>
      </c>
      <c r="E3709" s="2" t="str">
        <f>IF(Table1[[#This Row],[Is Data Valid]]=TRUE,IF(Table1[[#This Row],[Fetal Sex (Male, Female or Unknown)]]="Male",Backend!$C$6,IF(Table1[[#This Row],[Fetal Sex (Male, Female or Unknown)]]="Female",Backend!$C$7,IF(Table1[[#This Row],[Fetal Sex (Male, Female or Unknown)]]="Unknown",Backend!$C$8,"Error"))),"")</f>
        <v/>
      </c>
      <c r="F3709" s="8" t="str">
        <f>IF(Table1[[#This Row],[Is Data Valid]]=TRUE,EXP(0.578+0.332*((Table1[[#This Row],[Gestation (days)]]+0.5)/7)-0.00354*((Table1[[#This Row],[Gestation (days)]]+0.5)/7)^2)*Table1[[#This Row],[BW40_3705]],"")</f>
        <v/>
      </c>
      <c r="G3709" s="2" t="str">
        <f>IF(Table1[[#This Row],[Is Data Valid]]=TRUE,((Table1[[#This Row],[Birthweight (grams)]]/Table1[[#This Row],[BW_GA]])-1)/(Backend!$B$4/100*Table1[[#This Row],[BW40_3705]]),"")</f>
        <v/>
      </c>
      <c r="H3709" s="7" t="str">
        <f>IF(Table1[[#This Row],[Is Data Valid]]=TRUE,((Table1[[#This Row],[Birthweight (grams)]]*0.9/Table1[[#This Row],[BW_GA]])-1)/(Backend!$B$4/100*Table1[[#This Row],[BW40_3705]]),"")</f>
        <v/>
      </c>
      <c r="I3709" s="7" t="str">
        <f>IF(Table1[[#This Row],[Is Data Valid]]=TRUE,((Table1[[#This Row],[Birthweight (grams)]]*1.1/Table1[[#This Row],[BW_GA]])-1)/(Backend!$B$4/100*Table1[[#This Row],[BW40_3705]]),"")</f>
        <v/>
      </c>
      <c r="J3709" s="7" t="str">
        <f>IF(Table1[[#This Row],[Is Data Valid]]=TRUE,_xlfn.NORM.S.DIST(Table1[[#This Row],[Birthweight Z-Score]],TRUE)*100,"")</f>
        <v/>
      </c>
      <c r="K3709" s="7" t="str">
        <f>IF(Table1[[#This Row],[Is Data Valid]]=TRUE,_xlfn.NORM.S.DIST(Table1[[#This Row],[Birthweight Z-Score (BW-10%)]],TRUE)*100,"")</f>
        <v/>
      </c>
      <c r="L3709" s="7" t="str">
        <f>IF(Table1[[#This Row],[Is Data Valid]]=TRUE,_xlfn.NORM.S.DIST(Table1[[#This Row],[Birthweight Z-Score (BW+10%)]],TRUE)*100,"")</f>
        <v/>
      </c>
    </row>
    <row r="3710" spans="1:12" x14ac:dyDescent="0.35">
      <c r="A3710" s="3"/>
      <c r="B3710" s="2"/>
      <c r="C3710" s="2"/>
      <c r="D3710" s="2" t="b">
        <f>IF(AND(NOT(ISBLANK(Table1[[#This Row],[Fetal Sex (Male, Female or Unknown)]])),ISNUMBER(Table1[[#This Row],[Birthweight (grams)]]),ISNUMBER(Table1[[#This Row],[Gestation (days)]])),TRUE,FALSE)</f>
        <v>0</v>
      </c>
      <c r="E3710" s="2" t="str">
        <f>IF(Table1[[#This Row],[Is Data Valid]]=TRUE,IF(Table1[[#This Row],[Fetal Sex (Male, Female or Unknown)]]="Male",Backend!$C$6,IF(Table1[[#This Row],[Fetal Sex (Male, Female or Unknown)]]="Female",Backend!$C$7,IF(Table1[[#This Row],[Fetal Sex (Male, Female or Unknown)]]="Unknown",Backend!$C$8,"Error"))),"")</f>
        <v/>
      </c>
      <c r="F3710" s="8" t="str">
        <f>IF(Table1[[#This Row],[Is Data Valid]]=TRUE,EXP(0.578+0.332*((Table1[[#This Row],[Gestation (days)]]+0.5)/7)-0.00354*((Table1[[#This Row],[Gestation (days)]]+0.5)/7)^2)*Table1[[#This Row],[BW40_3705]],"")</f>
        <v/>
      </c>
      <c r="G3710" s="2" t="str">
        <f>IF(Table1[[#This Row],[Is Data Valid]]=TRUE,((Table1[[#This Row],[Birthweight (grams)]]/Table1[[#This Row],[BW_GA]])-1)/(Backend!$B$4/100*Table1[[#This Row],[BW40_3705]]),"")</f>
        <v/>
      </c>
      <c r="H3710" s="7" t="str">
        <f>IF(Table1[[#This Row],[Is Data Valid]]=TRUE,((Table1[[#This Row],[Birthweight (grams)]]*0.9/Table1[[#This Row],[BW_GA]])-1)/(Backend!$B$4/100*Table1[[#This Row],[BW40_3705]]),"")</f>
        <v/>
      </c>
      <c r="I3710" s="7" t="str">
        <f>IF(Table1[[#This Row],[Is Data Valid]]=TRUE,((Table1[[#This Row],[Birthweight (grams)]]*1.1/Table1[[#This Row],[BW_GA]])-1)/(Backend!$B$4/100*Table1[[#This Row],[BW40_3705]]),"")</f>
        <v/>
      </c>
      <c r="J3710" s="7" t="str">
        <f>IF(Table1[[#This Row],[Is Data Valid]]=TRUE,_xlfn.NORM.S.DIST(Table1[[#This Row],[Birthweight Z-Score]],TRUE)*100,"")</f>
        <v/>
      </c>
      <c r="K3710" s="7" t="str">
        <f>IF(Table1[[#This Row],[Is Data Valid]]=TRUE,_xlfn.NORM.S.DIST(Table1[[#This Row],[Birthweight Z-Score (BW-10%)]],TRUE)*100,"")</f>
        <v/>
      </c>
      <c r="L3710" s="7" t="str">
        <f>IF(Table1[[#This Row],[Is Data Valid]]=TRUE,_xlfn.NORM.S.DIST(Table1[[#This Row],[Birthweight Z-Score (BW+10%)]],TRUE)*100,"")</f>
        <v/>
      </c>
    </row>
    <row r="3711" spans="1:12" x14ac:dyDescent="0.35">
      <c r="A3711" s="3"/>
      <c r="B3711" s="2"/>
      <c r="C3711" s="2"/>
      <c r="D3711" s="2" t="b">
        <f>IF(AND(NOT(ISBLANK(Table1[[#This Row],[Fetal Sex (Male, Female or Unknown)]])),ISNUMBER(Table1[[#This Row],[Birthweight (grams)]]),ISNUMBER(Table1[[#This Row],[Gestation (days)]])),TRUE,FALSE)</f>
        <v>0</v>
      </c>
      <c r="E3711" s="2" t="str">
        <f>IF(Table1[[#This Row],[Is Data Valid]]=TRUE,IF(Table1[[#This Row],[Fetal Sex (Male, Female or Unknown)]]="Male",Backend!$C$6,IF(Table1[[#This Row],[Fetal Sex (Male, Female or Unknown)]]="Female",Backend!$C$7,IF(Table1[[#This Row],[Fetal Sex (Male, Female or Unknown)]]="Unknown",Backend!$C$8,"Error"))),"")</f>
        <v/>
      </c>
      <c r="F3711" s="8" t="str">
        <f>IF(Table1[[#This Row],[Is Data Valid]]=TRUE,EXP(0.578+0.332*((Table1[[#This Row],[Gestation (days)]]+0.5)/7)-0.00354*((Table1[[#This Row],[Gestation (days)]]+0.5)/7)^2)*Table1[[#This Row],[BW40_3705]],"")</f>
        <v/>
      </c>
      <c r="G3711" s="2" t="str">
        <f>IF(Table1[[#This Row],[Is Data Valid]]=TRUE,((Table1[[#This Row],[Birthweight (grams)]]/Table1[[#This Row],[BW_GA]])-1)/(Backend!$B$4/100*Table1[[#This Row],[BW40_3705]]),"")</f>
        <v/>
      </c>
      <c r="H3711" s="7" t="str">
        <f>IF(Table1[[#This Row],[Is Data Valid]]=TRUE,((Table1[[#This Row],[Birthweight (grams)]]*0.9/Table1[[#This Row],[BW_GA]])-1)/(Backend!$B$4/100*Table1[[#This Row],[BW40_3705]]),"")</f>
        <v/>
      </c>
      <c r="I3711" s="7" t="str">
        <f>IF(Table1[[#This Row],[Is Data Valid]]=TRUE,((Table1[[#This Row],[Birthweight (grams)]]*1.1/Table1[[#This Row],[BW_GA]])-1)/(Backend!$B$4/100*Table1[[#This Row],[BW40_3705]]),"")</f>
        <v/>
      </c>
      <c r="J3711" s="7" t="str">
        <f>IF(Table1[[#This Row],[Is Data Valid]]=TRUE,_xlfn.NORM.S.DIST(Table1[[#This Row],[Birthweight Z-Score]],TRUE)*100,"")</f>
        <v/>
      </c>
      <c r="K3711" s="7" t="str">
        <f>IF(Table1[[#This Row],[Is Data Valid]]=TRUE,_xlfn.NORM.S.DIST(Table1[[#This Row],[Birthweight Z-Score (BW-10%)]],TRUE)*100,"")</f>
        <v/>
      </c>
      <c r="L3711" s="7" t="str">
        <f>IF(Table1[[#This Row],[Is Data Valid]]=TRUE,_xlfn.NORM.S.DIST(Table1[[#This Row],[Birthweight Z-Score (BW+10%)]],TRUE)*100,"")</f>
        <v/>
      </c>
    </row>
    <row r="3712" spans="1:12" x14ac:dyDescent="0.35">
      <c r="A3712" s="3"/>
      <c r="B3712" s="2"/>
      <c r="C3712" s="2"/>
      <c r="D3712" s="2" t="b">
        <f>IF(AND(NOT(ISBLANK(Table1[[#This Row],[Fetal Sex (Male, Female or Unknown)]])),ISNUMBER(Table1[[#This Row],[Birthweight (grams)]]),ISNUMBER(Table1[[#This Row],[Gestation (days)]])),TRUE,FALSE)</f>
        <v>0</v>
      </c>
      <c r="E3712" s="2" t="str">
        <f>IF(Table1[[#This Row],[Is Data Valid]]=TRUE,IF(Table1[[#This Row],[Fetal Sex (Male, Female or Unknown)]]="Male",Backend!$C$6,IF(Table1[[#This Row],[Fetal Sex (Male, Female or Unknown)]]="Female",Backend!$C$7,IF(Table1[[#This Row],[Fetal Sex (Male, Female or Unknown)]]="Unknown",Backend!$C$8,"Error"))),"")</f>
        <v/>
      </c>
      <c r="F3712" s="8" t="str">
        <f>IF(Table1[[#This Row],[Is Data Valid]]=TRUE,EXP(0.578+0.332*((Table1[[#This Row],[Gestation (days)]]+0.5)/7)-0.00354*((Table1[[#This Row],[Gestation (days)]]+0.5)/7)^2)*Table1[[#This Row],[BW40_3705]],"")</f>
        <v/>
      </c>
      <c r="G3712" s="2" t="str">
        <f>IF(Table1[[#This Row],[Is Data Valid]]=TRUE,((Table1[[#This Row],[Birthweight (grams)]]/Table1[[#This Row],[BW_GA]])-1)/(Backend!$B$4/100*Table1[[#This Row],[BW40_3705]]),"")</f>
        <v/>
      </c>
      <c r="H3712" s="7" t="str">
        <f>IF(Table1[[#This Row],[Is Data Valid]]=TRUE,((Table1[[#This Row],[Birthweight (grams)]]*0.9/Table1[[#This Row],[BW_GA]])-1)/(Backend!$B$4/100*Table1[[#This Row],[BW40_3705]]),"")</f>
        <v/>
      </c>
      <c r="I3712" s="7" t="str">
        <f>IF(Table1[[#This Row],[Is Data Valid]]=TRUE,((Table1[[#This Row],[Birthweight (grams)]]*1.1/Table1[[#This Row],[BW_GA]])-1)/(Backend!$B$4/100*Table1[[#This Row],[BW40_3705]]),"")</f>
        <v/>
      </c>
      <c r="J3712" s="7" t="str">
        <f>IF(Table1[[#This Row],[Is Data Valid]]=TRUE,_xlfn.NORM.S.DIST(Table1[[#This Row],[Birthweight Z-Score]],TRUE)*100,"")</f>
        <v/>
      </c>
      <c r="K3712" s="7" t="str">
        <f>IF(Table1[[#This Row],[Is Data Valid]]=TRUE,_xlfn.NORM.S.DIST(Table1[[#This Row],[Birthweight Z-Score (BW-10%)]],TRUE)*100,"")</f>
        <v/>
      </c>
      <c r="L3712" s="7" t="str">
        <f>IF(Table1[[#This Row],[Is Data Valid]]=TRUE,_xlfn.NORM.S.DIST(Table1[[#This Row],[Birthweight Z-Score (BW+10%)]],TRUE)*100,"")</f>
        <v/>
      </c>
    </row>
    <row r="3713" spans="1:12" x14ac:dyDescent="0.35">
      <c r="A3713" s="3"/>
      <c r="B3713" s="2"/>
      <c r="C3713" s="2"/>
      <c r="D3713" s="2" t="b">
        <f>IF(AND(NOT(ISBLANK(Table1[[#This Row],[Fetal Sex (Male, Female or Unknown)]])),ISNUMBER(Table1[[#This Row],[Birthweight (grams)]]),ISNUMBER(Table1[[#This Row],[Gestation (days)]])),TRUE,FALSE)</f>
        <v>0</v>
      </c>
      <c r="E3713" s="2" t="str">
        <f>IF(Table1[[#This Row],[Is Data Valid]]=TRUE,IF(Table1[[#This Row],[Fetal Sex (Male, Female or Unknown)]]="Male",Backend!$C$6,IF(Table1[[#This Row],[Fetal Sex (Male, Female or Unknown)]]="Female",Backend!$C$7,IF(Table1[[#This Row],[Fetal Sex (Male, Female or Unknown)]]="Unknown",Backend!$C$8,"Error"))),"")</f>
        <v/>
      </c>
      <c r="F3713" s="8" t="str">
        <f>IF(Table1[[#This Row],[Is Data Valid]]=TRUE,EXP(0.578+0.332*((Table1[[#This Row],[Gestation (days)]]+0.5)/7)-0.00354*((Table1[[#This Row],[Gestation (days)]]+0.5)/7)^2)*Table1[[#This Row],[BW40_3705]],"")</f>
        <v/>
      </c>
      <c r="G3713" s="2" t="str">
        <f>IF(Table1[[#This Row],[Is Data Valid]]=TRUE,((Table1[[#This Row],[Birthweight (grams)]]/Table1[[#This Row],[BW_GA]])-1)/(Backend!$B$4/100*Table1[[#This Row],[BW40_3705]]),"")</f>
        <v/>
      </c>
      <c r="H3713" s="7" t="str">
        <f>IF(Table1[[#This Row],[Is Data Valid]]=TRUE,((Table1[[#This Row],[Birthweight (grams)]]*0.9/Table1[[#This Row],[BW_GA]])-1)/(Backend!$B$4/100*Table1[[#This Row],[BW40_3705]]),"")</f>
        <v/>
      </c>
      <c r="I3713" s="7" t="str">
        <f>IF(Table1[[#This Row],[Is Data Valid]]=TRUE,((Table1[[#This Row],[Birthweight (grams)]]*1.1/Table1[[#This Row],[BW_GA]])-1)/(Backend!$B$4/100*Table1[[#This Row],[BW40_3705]]),"")</f>
        <v/>
      </c>
      <c r="J3713" s="7" t="str">
        <f>IF(Table1[[#This Row],[Is Data Valid]]=TRUE,_xlfn.NORM.S.DIST(Table1[[#This Row],[Birthweight Z-Score]],TRUE)*100,"")</f>
        <v/>
      </c>
      <c r="K3713" s="7" t="str">
        <f>IF(Table1[[#This Row],[Is Data Valid]]=TRUE,_xlfn.NORM.S.DIST(Table1[[#This Row],[Birthweight Z-Score (BW-10%)]],TRUE)*100,"")</f>
        <v/>
      </c>
      <c r="L3713" s="7" t="str">
        <f>IF(Table1[[#This Row],[Is Data Valid]]=TRUE,_xlfn.NORM.S.DIST(Table1[[#This Row],[Birthweight Z-Score (BW+10%)]],TRUE)*100,"")</f>
        <v/>
      </c>
    </row>
    <row r="3714" spans="1:12" x14ac:dyDescent="0.35">
      <c r="A3714" s="3"/>
      <c r="B3714" s="2"/>
      <c r="C3714" s="2"/>
      <c r="D3714" s="2" t="b">
        <f>IF(AND(NOT(ISBLANK(Table1[[#This Row],[Fetal Sex (Male, Female or Unknown)]])),ISNUMBER(Table1[[#This Row],[Birthweight (grams)]]),ISNUMBER(Table1[[#This Row],[Gestation (days)]])),TRUE,FALSE)</f>
        <v>0</v>
      </c>
      <c r="E3714" s="2" t="str">
        <f>IF(Table1[[#This Row],[Is Data Valid]]=TRUE,IF(Table1[[#This Row],[Fetal Sex (Male, Female or Unknown)]]="Male",Backend!$C$6,IF(Table1[[#This Row],[Fetal Sex (Male, Female or Unknown)]]="Female",Backend!$C$7,IF(Table1[[#This Row],[Fetal Sex (Male, Female or Unknown)]]="Unknown",Backend!$C$8,"Error"))),"")</f>
        <v/>
      </c>
      <c r="F3714" s="8" t="str">
        <f>IF(Table1[[#This Row],[Is Data Valid]]=TRUE,EXP(0.578+0.332*((Table1[[#This Row],[Gestation (days)]]+0.5)/7)-0.00354*((Table1[[#This Row],[Gestation (days)]]+0.5)/7)^2)*Table1[[#This Row],[BW40_3705]],"")</f>
        <v/>
      </c>
      <c r="G3714" s="2" t="str">
        <f>IF(Table1[[#This Row],[Is Data Valid]]=TRUE,((Table1[[#This Row],[Birthweight (grams)]]/Table1[[#This Row],[BW_GA]])-1)/(Backend!$B$4/100*Table1[[#This Row],[BW40_3705]]),"")</f>
        <v/>
      </c>
      <c r="H3714" s="7" t="str">
        <f>IF(Table1[[#This Row],[Is Data Valid]]=TRUE,((Table1[[#This Row],[Birthweight (grams)]]*0.9/Table1[[#This Row],[BW_GA]])-1)/(Backend!$B$4/100*Table1[[#This Row],[BW40_3705]]),"")</f>
        <v/>
      </c>
      <c r="I3714" s="7" t="str">
        <f>IF(Table1[[#This Row],[Is Data Valid]]=TRUE,((Table1[[#This Row],[Birthweight (grams)]]*1.1/Table1[[#This Row],[BW_GA]])-1)/(Backend!$B$4/100*Table1[[#This Row],[BW40_3705]]),"")</f>
        <v/>
      </c>
      <c r="J3714" s="7" t="str">
        <f>IF(Table1[[#This Row],[Is Data Valid]]=TRUE,_xlfn.NORM.S.DIST(Table1[[#This Row],[Birthweight Z-Score]],TRUE)*100,"")</f>
        <v/>
      </c>
      <c r="K3714" s="7" t="str">
        <f>IF(Table1[[#This Row],[Is Data Valid]]=TRUE,_xlfn.NORM.S.DIST(Table1[[#This Row],[Birthweight Z-Score (BW-10%)]],TRUE)*100,"")</f>
        <v/>
      </c>
      <c r="L3714" s="7" t="str">
        <f>IF(Table1[[#This Row],[Is Data Valid]]=TRUE,_xlfn.NORM.S.DIST(Table1[[#This Row],[Birthweight Z-Score (BW+10%)]],TRUE)*100,"")</f>
        <v/>
      </c>
    </row>
    <row r="3715" spans="1:12" x14ac:dyDescent="0.35">
      <c r="A3715" s="3"/>
      <c r="B3715" s="2"/>
      <c r="C3715" s="2"/>
      <c r="D3715" s="2" t="b">
        <f>IF(AND(NOT(ISBLANK(Table1[[#This Row],[Fetal Sex (Male, Female or Unknown)]])),ISNUMBER(Table1[[#This Row],[Birthweight (grams)]]),ISNUMBER(Table1[[#This Row],[Gestation (days)]])),TRUE,FALSE)</f>
        <v>0</v>
      </c>
      <c r="E3715" s="2" t="str">
        <f>IF(Table1[[#This Row],[Is Data Valid]]=TRUE,IF(Table1[[#This Row],[Fetal Sex (Male, Female or Unknown)]]="Male",Backend!$C$6,IF(Table1[[#This Row],[Fetal Sex (Male, Female or Unknown)]]="Female",Backend!$C$7,IF(Table1[[#This Row],[Fetal Sex (Male, Female or Unknown)]]="Unknown",Backend!$C$8,"Error"))),"")</f>
        <v/>
      </c>
      <c r="F3715" s="8" t="str">
        <f>IF(Table1[[#This Row],[Is Data Valid]]=TRUE,EXP(0.578+0.332*((Table1[[#This Row],[Gestation (days)]]+0.5)/7)-0.00354*((Table1[[#This Row],[Gestation (days)]]+0.5)/7)^2)*Table1[[#This Row],[BW40_3705]],"")</f>
        <v/>
      </c>
      <c r="G3715" s="2" t="str">
        <f>IF(Table1[[#This Row],[Is Data Valid]]=TRUE,((Table1[[#This Row],[Birthweight (grams)]]/Table1[[#This Row],[BW_GA]])-1)/(Backend!$B$4/100*Table1[[#This Row],[BW40_3705]]),"")</f>
        <v/>
      </c>
      <c r="H3715" s="7" t="str">
        <f>IF(Table1[[#This Row],[Is Data Valid]]=TRUE,((Table1[[#This Row],[Birthweight (grams)]]*0.9/Table1[[#This Row],[BW_GA]])-1)/(Backend!$B$4/100*Table1[[#This Row],[BW40_3705]]),"")</f>
        <v/>
      </c>
      <c r="I3715" s="7" t="str">
        <f>IF(Table1[[#This Row],[Is Data Valid]]=TRUE,((Table1[[#This Row],[Birthweight (grams)]]*1.1/Table1[[#This Row],[BW_GA]])-1)/(Backend!$B$4/100*Table1[[#This Row],[BW40_3705]]),"")</f>
        <v/>
      </c>
      <c r="J3715" s="7" t="str">
        <f>IF(Table1[[#This Row],[Is Data Valid]]=TRUE,_xlfn.NORM.S.DIST(Table1[[#This Row],[Birthweight Z-Score]],TRUE)*100,"")</f>
        <v/>
      </c>
      <c r="K3715" s="7" t="str">
        <f>IF(Table1[[#This Row],[Is Data Valid]]=TRUE,_xlfn.NORM.S.DIST(Table1[[#This Row],[Birthweight Z-Score (BW-10%)]],TRUE)*100,"")</f>
        <v/>
      </c>
      <c r="L3715" s="7" t="str">
        <f>IF(Table1[[#This Row],[Is Data Valid]]=TRUE,_xlfn.NORM.S.DIST(Table1[[#This Row],[Birthweight Z-Score (BW+10%)]],TRUE)*100,"")</f>
        <v/>
      </c>
    </row>
    <row r="3716" spans="1:12" x14ac:dyDescent="0.35">
      <c r="A3716" s="3"/>
      <c r="B3716" s="2"/>
      <c r="C3716" s="2"/>
      <c r="D3716" s="2" t="b">
        <f>IF(AND(NOT(ISBLANK(Table1[[#This Row],[Fetal Sex (Male, Female or Unknown)]])),ISNUMBER(Table1[[#This Row],[Birthweight (grams)]]),ISNUMBER(Table1[[#This Row],[Gestation (days)]])),TRUE,FALSE)</f>
        <v>0</v>
      </c>
      <c r="E3716" s="2" t="str">
        <f>IF(Table1[[#This Row],[Is Data Valid]]=TRUE,IF(Table1[[#This Row],[Fetal Sex (Male, Female or Unknown)]]="Male",Backend!$C$6,IF(Table1[[#This Row],[Fetal Sex (Male, Female or Unknown)]]="Female",Backend!$C$7,IF(Table1[[#This Row],[Fetal Sex (Male, Female or Unknown)]]="Unknown",Backend!$C$8,"Error"))),"")</f>
        <v/>
      </c>
      <c r="F3716" s="8" t="str">
        <f>IF(Table1[[#This Row],[Is Data Valid]]=TRUE,EXP(0.578+0.332*((Table1[[#This Row],[Gestation (days)]]+0.5)/7)-0.00354*((Table1[[#This Row],[Gestation (days)]]+0.5)/7)^2)*Table1[[#This Row],[BW40_3705]],"")</f>
        <v/>
      </c>
      <c r="G3716" s="2" t="str">
        <f>IF(Table1[[#This Row],[Is Data Valid]]=TRUE,((Table1[[#This Row],[Birthweight (grams)]]/Table1[[#This Row],[BW_GA]])-1)/(Backend!$B$4/100*Table1[[#This Row],[BW40_3705]]),"")</f>
        <v/>
      </c>
      <c r="H3716" s="7" t="str">
        <f>IF(Table1[[#This Row],[Is Data Valid]]=TRUE,((Table1[[#This Row],[Birthweight (grams)]]*0.9/Table1[[#This Row],[BW_GA]])-1)/(Backend!$B$4/100*Table1[[#This Row],[BW40_3705]]),"")</f>
        <v/>
      </c>
      <c r="I3716" s="7" t="str">
        <f>IF(Table1[[#This Row],[Is Data Valid]]=TRUE,((Table1[[#This Row],[Birthweight (grams)]]*1.1/Table1[[#This Row],[BW_GA]])-1)/(Backend!$B$4/100*Table1[[#This Row],[BW40_3705]]),"")</f>
        <v/>
      </c>
      <c r="J3716" s="7" t="str">
        <f>IF(Table1[[#This Row],[Is Data Valid]]=TRUE,_xlfn.NORM.S.DIST(Table1[[#This Row],[Birthweight Z-Score]],TRUE)*100,"")</f>
        <v/>
      </c>
      <c r="K3716" s="7" t="str">
        <f>IF(Table1[[#This Row],[Is Data Valid]]=TRUE,_xlfn.NORM.S.DIST(Table1[[#This Row],[Birthweight Z-Score (BW-10%)]],TRUE)*100,"")</f>
        <v/>
      </c>
      <c r="L3716" s="7" t="str">
        <f>IF(Table1[[#This Row],[Is Data Valid]]=TRUE,_xlfn.NORM.S.DIST(Table1[[#This Row],[Birthweight Z-Score (BW+10%)]],TRUE)*100,"")</f>
        <v/>
      </c>
    </row>
    <row r="3717" spans="1:12" x14ac:dyDescent="0.35">
      <c r="A3717" s="3"/>
      <c r="B3717" s="2"/>
      <c r="C3717" s="2"/>
      <c r="D3717" s="2" t="b">
        <f>IF(AND(NOT(ISBLANK(Table1[[#This Row],[Fetal Sex (Male, Female or Unknown)]])),ISNUMBER(Table1[[#This Row],[Birthweight (grams)]]),ISNUMBER(Table1[[#This Row],[Gestation (days)]])),TRUE,FALSE)</f>
        <v>0</v>
      </c>
      <c r="E3717" s="2" t="str">
        <f>IF(Table1[[#This Row],[Is Data Valid]]=TRUE,IF(Table1[[#This Row],[Fetal Sex (Male, Female or Unknown)]]="Male",Backend!$C$6,IF(Table1[[#This Row],[Fetal Sex (Male, Female or Unknown)]]="Female",Backend!$C$7,IF(Table1[[#This Row],[Fetal Sex (Male, Female or Unknown)]]="Unknown",Backend!$C$8,"Error"))),"")</f>
        <v/>
      </c>
      <c r="F3717" s="8" t="str">
        <f>IF(Table1[[#This Row],[Is Data Valid]]=TRUE,EXP(0.578+0.332*((Table1[[#This Row],[Gestation (days)]]+0.5)/7)-0.00354*((Table1[[#This Row],[Gestation (days)]]+0.5)/7)^2)*Table1[[#This Row],[BW40_3705]],"")</f>
        <v/>
      </c>
      <c r="G3717" s="2" t="str">
        <f>IF(Table1[[#This Row],[Is Data Valid]]=TRUE,((Table1[[#This Row],[Birthweight (grams)]]/Table1[[#This Row],[BW_GA]])-1)/(Backend!$B$4/100*Table1[[#This Row],[BW40_3705]]),"")</f>
        <v/>
      </c>
      <c r="H3717" s="7" t="str">
        <f>IF(Table1[[#This Row],[Is Data Valid]]=TRUE,((Table1[[#This Row],[Birthweight (grams)]]*0.9/Table1[[#This Row],[BW_GA]])-1)/(Backend!$B$4/100*Table1[[#This Row],[BW40_3705]]),"")</f>
        <v/>
      </c>
      <c r="I3717" s="7" t="str">
        <f>IF(Table1[[#This Row],[Is Data Valid]]=TRUE,((Table1[[#This Row],[Birthweight (grams)]]*1.1/Table1[[#This Row],[BW_GA]])-1)/(Backend!$B$4/100*Table1[[#This Row],[BW40_3705]]),"")</f>
        <v/>
      </c>
      <c r="J3717" s="7" t="str">
        <f>IF(Table1[[#This Row],[Is Data Valid]]=TRUE,_xlfn.NORM.S.DIST(Table1[[#This Row],[Birthweight Z-Score]],TRUE)*100,"")</f>
        <v/>
      </c>
      <c r="K3717" s="7" t="str">
        <f>IF(Table1[[#This Row],[Is Data Valid]]=TRUE,_xlfn.NORM.S.DIST(Table1[[#This Row],[Birthweight Z-Score (BW-10%)]],TRUE)*100,"")</f>
        <v/>
      </c>
      <c r="L3717" s="7" t="str">
        <f>IF(Table1[[#This Row],[Is Data Valid]]=TRUE,_xlfn.NORM.S.DIST(Table1[[#This Row],[Birthweight Z-Score (BW+10%)]],TRUE)*100,"")</f>
        <v/>
      </c>
    </row>
    <row r="3718" spans="1:12" x14ac:dyDescent="0.35">
      <c r="A3718" s="3"/>
      <c r="B3718" s="2"/>
      <c r="C3718" s="2"/>
      <c r="D3718" s="2" t="b">
        <f>IF(AND(NOT(ISBLANK(Table1[[#This Row],[Fetal Sex (Male, Female or Unknown)]])),ISNUMBER(Table1[[#This Row],[Birthweight (grams)]]),ISNUMBER(Table1[[#This Row],[Gestation (days)]])),TRUE,FALSE)</f>
        <v>0</v>
      </c>
      <c r="E3718" s="2" t="str">
        <f>IF(Table1[[#This Row],[Is Data Valid]]=TRUE,IF(Table1[[#This Row],[Fetal Sex (Male, Female or Unknown)]]="Male",Backend!$C$6,IF(Table1[[#This Row],[Fetal Sex (Male, Female or Unknown)]]="Female",Backend!$C$7,IF(Table1[[#This Row],[Fetal Sex (Male, Female or Unknown)]]="Unknown",Backend!$C$8,"Error"))),"")</f>
        <v/>
      </c>
      <c r="F3718" s="8" t="str">
        <f>IF(Table1[[#This Row],[Is Data Valid]]=TRUE,EXP(0.578+0.332*((Table1[[#This Row],[Gestation (days)]]+0.5)/7)-0.00354*((Table1[[#This Row],[Gestation (days)]]+0.5)/7)^2)*Table1[[#This Row],[BW40_3705]],"")</f>
        <v/>
      </c>
      <c r="G3718" s="2" t="str">
        <f>IF(Table1[[#This Row],[Is Data Valid]]=TRUE,((Table1[[#This Row],[Birthweight (grams)]]/Table1[[#This Row],[BW_GA]])-1)/(Backend!$B$4/100*Table1[[#This Row],[BW40_3705]]),"")</f>
        <v/>
      </c>
      <c r="H3718" s="7" t="str">
        <f>IF(Table1[[#This Row],[Is Data Valid]]=TRUE,((Table1[[#This Row],[Birthweight (grams)]]*0.9/Table1[[#This Row],[BW_GA]])-1)/(Backend!$B$4/100*Table1[[#This Row],[BW40_3705]]),"")</f>
        <v/>
      </c>
      <c r="I3718" s="7" t="str">
        <f>IF(Table1[[#This Row],[Is Data Valid]]=TRUE,((Table1[[#This Row],[Birthweight (grams)]]*1.1/Table1[[#This Row],[BW_GA]])-1)/(Backend!$B$4/100*Table1[[#This Row],[BW40_3705]]),"")</f>
        <v/>
      </c>
      <c r="J3718" s="7" t="str">
        <f>IF(Table1[[#This Row],[Is Data Valid]]=TRUE,_xlfn.NORM.S.DIST(Table1[[#This Row],[Birthweight Z-Score]],TRUE)*100,"")</f>
        <v/>
      </c>
      <c r="K3718" s="7" t="str">
        <f>IF(Table1[[#This Row],[Is Data Valid]]=TRUE,_xlfn.NORM.S.DIST(Table1[[#This Row],[Birthweight Z-Score (BW-10%)]],TRUE)*100,"")</f>
        <v/>
      </c>
      <c r="L3718" s="7" t="str">
        <f>IF(Table1[[#This Row],[Is Data Valid]]=TRUE,_xlfn.NORM.S.DIST(Table1[[#This Row],[Birthweight Z-Score (BW+10%)]],TRUE)*100,"")</f>
        <v/>
      </c>
    </row>
    <row r="3719" spans="1:12" x14ac:dyDescent="0.35">
      <c r="A3719" s="3"/>
      <c r="B3719" s="2"/>
      <c r="C3719" s="2"/>
      <c r="D3719" s="2" t="b">
        <f>IF(AND(NOT(ISBLANK(Table1[[#This Row],[Fetal Sex (Male, Female or Unknown)]])),ISNUMBER(Table1[[#This Row],[Birthweight (grams)]]),ISNUMBER(Table1[[#This Row],[Gestation (days)]])),TRUE,FALSE)</f>
        <v>0</v>
      </c>
      <c r="E3719" s="2" t="str">
        <f>IF(Table1[[#This Row],[Is Data Valid]]=TRUE,IF(Table1[[#This Row],[Fetal Sex (Male, Female or Unknown)]]="Male",Backend!$C$6,IF(Table1[[#This Row],[Fetal Sex (Male, Female or Unknown)]]="Female",Backend!$C$7,IF(Table1[[#This Row],[Fetal Sex (Male, Female or Unknown)]]="Unknown",Backend!$C$8,"Error"))),"")</f>
        <v/>
      </c>
      <c r="F3719" s="8" t="str">
        <f>IF(Table1[[#This Row],[Is Data Valid]]=TRUE,EXP(0.578+0.332*((Table1[[#This Row],[Gestation (days)]]+0.5)/7)-0.00354*((Table1[[#This Row],[Gestation (days)]]+0.5)/7)^2)*Table1[[#This Row],[BW40_3705]],"")</f>
        <v/>
      </c>
      <c r="G3719" s="2" t="str">
        <f>IF(Table1[[#This Row],[Is Data Valid]]=TRUE,((Table1[[#This Row],[Birthweight (grams)]]/Table1[[#This Row],[BW_GA]])-1)/(Backend!$B$4/100*Table1[[#This Row],[BW40_3705]]),"")</f>
        <v/>
      </c>
      <c r="H3719" s="7" t="str">
        <f>IF(Table1[[#This Row],[Is Data Valid]]=TRUE,((Table1[[#This Row],[Birthweight (grams)]]*0.9/Table1[[#This Row],[BW_GA]])-1)/(Backend!$B$4/100*Table1[[#This Row],[BW40_3705]]),"")</f>
        <v/>
      </c>
      <c r="I3719" s="7" t="str">
        <f>IF(Table1[[#This Row],[Is Data Valid]]=TRUE,((Table1[[#This Row],[Birthweight (grams)]]*1.1/Table1[[#This Row],[BW_GA]])-1)/(Backend!$B$4/100*Table1[[#This Row],[BW40_3705]]),"")</f>
        <v/>
      </c>
      <c r="J3719" s="7" t="str">
        <f>IF(Table1[[#This Row],[Is Data Valid]]=TRUE,_xlfn.NORM.S.DIST(Table1[[#This Row],[Birthweight Z-Score]],TRUE)*100,"")</f>
        <v/>
      </c>
      <c r="K3719" s="7" t="str">
        <f>IF(Table1[[#This Row],[Is Data Valid]]=TRUE,_xlfn.NORM.S.DIST(Table1[[#This Row],[Birthweight Z-Score (BW-10%)]],TRUE)*100,"")</f>
        <v/>
      </c>
      <c r="L3719" s="7" t="str">
        <f>IF(Table1[[#This Row],[Is Data Valid]]=TRUE,_xlfn.NORM.S.DIST(Table1[[#This Row],[Birthweight Z-Score (BW+10%)]],TRUE)*100,"")</f>
        <v/>
      </c>
    </row>
    <row r="3720" spans="1:12" x14ac:dyDescent="0.35">
      <c r="A3720" s="3"/>
      <c r="B3720" s="2"/>
      <c r="C3720" s="2"/>
      <c r="D3720" s="2" t="b">
        <f>IF(AND(NOT(ISBLANK(Table1[[#This Row],[Fetal Sex (Male, Female or Unknown)]])),ISNUMBER(Table1[[#This Row],[Birthweight (grams)]]),ISNUMBER(Table1[[#This Row],[Gestation (days)]])),TRUE,FALSE)</f>
        <v>0</v>
      </c>
      <c r="E3720" s="2" t="str">
        <f>IF(Table1[[#This Row],[Is Data Valid]]=TRUE,IF(Table1[[#This Row],[Fetal Sex (Male, Female or Unknown)]]="Male",Backend!$C$6,IF(Table1[[#This Row],[Fetal Sex (Male, Female or Unknown)]]="Female",Backend!$C$7,IF(Table1[[#This Row],[Fetal Sex (Male, Female or Unknown)]]="Unknown",Backend!$C$8,"Error"))),"")</f>
        <v/>
      </c>
      <c r="F3720" s="8" t="str">
        <f>IF(Table1[[#This Row],[Is Data Valid]]=TRUE,EXP(0.578+0.332*((Table1[[#This Row],[Gestation (days)]]+0.5)/7)-0.00354*((Table1[[#This Row],[Gestation (days)]]+0.5)/7)^2)*Table1[[#This Row],[BW40_3705]],"")</f>
        <v/>
      </c>
      <c r="G3720" s="2" t="str">
        <f>IF(Table1[[#This Row],[Is Data Valid]]=TRUE,((Table1[[#This Row],[Birthweight (grams)]]/Table1[[#This Row],[BW_GA]])-1)/(Backend!$B$4/100*Table1[[#This Row],[BW40_3705]]),"")</f>
        <v/>
      </c>
      <c r="H3720" s="7" t="str">
        <f>IF(Table1[[#This Row],[Is Data Valid]]=TRUE,((Table1[[#This Row],[Birthweight (grams)]]*0.9/Table1[[#This Row],[BW_GA]])-1)/(Backend!$B$4/100*Table1[[#This Row],[BW40_3705]]),"")</f>
        <v/>
      </c>
      <c r="I3720" s="7" t="str">
        <f>IF(Table1[[#This Row],[Is Data Valid]]=TRUE,((Table1[[#This Row],[Birthweight (grams)]]*1.1/Table1[[#This Row],[BW_GA]])-1)/(Backend!$B$4/100*Table1[[#This Row],[BW40_3705]]),"")</f>
        <v/>
      </c>
      <c r="J3720" s="7" t="str">
        <f>IF(Table1[[#This Row],[Is Data Valid]]=TRUE,_xlfn.NORM.S.DIST(Table1[[#This Row],[Birthweight Z-Score]],TRUE)*100,"")</f>
        <v/>
      </c>
      <c r="K3720" s="7" t="str">
        <f>IF(Table1[[#This Row],[Is Data Valid]]=TRUE,_xlfn.NORM.S.DIST(Table1[[#This Row],[Birthweight Z-Score (BW-10%)]],TRUE)*100,"")</f>
        <v/>
      </c>
      <c r="L3720" s="7" t="str">
        <f>IF(Table1[[#This Row],[Is Data Valid]]=TRUE,_xlfn.NORM.S.DIST(Table1[[#This Row],[Birthweight Z-Score (BW+10%)]],TRUE)*100,"")</f>
        <v/>
      </c>
    </row>
    <row r="3721" spans="1:12" x14ac:dyDescent="0.35">
      <c r="A3721" s="3"/>
      <c r="B3721" s="2"/>
      <c r="C3721" s="2"/>
      <c r="D3721" s="2" t="b">
        <f>IF(AND(NOT(ISBLANK(Table1[[#This Row],[Fetal Sex (Male, Female or Unknown)]])),ISNUMBER(Table1[[#This Row],[Birthweight (grams)]]),ISNUMBER(Table1[[#This Row],[Gestation (days)]])),TRUE,FALSE)</f>
        <v>0</v>
      </c>
      <c r="E3721" s="2" t="str">
        <f>IF(Table1[[#This Row],[Is Data Valid]]=TRUE,IF(Table1[[#This Row],[Fetal Sex (Male, Female or Unknown)]]="Male",Backend!$C$6,IF(Table1[[#This Row],[Fetal Sex (Male, Female or Unknown)]]="Female",Backend!$C$7,IF(Table1[[#This Row],[Fetal Sex (Male, Female or Unknown)]]="Unknown",Backend!$C$8,"Error"))),"")</f>
        <v/>
      </c>
      <c r="F3721" s="8" t="str">
        <f>IF(Table1[[#This Row],[Is Data Valid]]=TRUE,EXP(0.578+0.332*((Table1[[#This Row],[Gestation (days)]]+0.5)/7)-0.00354*((Table1[[#This Row],[Gestation (days)]]+0.5)/7)^2)*Table1[[#This Row],[BW40_3705]],"")</f>
        <v/>
      </c>
      <c r="G3721" s="2" t="str">
        <f>IF(Table1[[#This Row],[Is Data Valid]]=TRUE,((Table1[[#This Row],[Birthweight (grams)]]/Table1[[#This Row],[BW_GA]])-1)/(Backend!$B$4/100*Table1[[#This Row],[BW40_3705]]),"")</f>
        <v/>
      </c>
      <c r="H3721" s="7" t="str">
        <f>IF(Table1[[#This Row],[Is Data Valid]]=TRUE,((Table1[[#This Row],[Birthweight (grams)]]*0.9/Table1[[#This Row],[BW_GA]])-1)/(Backend!$B$4/100*Table1[[#This Row],[BW40_3705]]),"")</f>
        <v/>
      </c>
      <c r="I3721" s="7" t="str">
        <f>IF(Table1[[#This Row],[Is Data Valid]]=TRUE,((Table1[[#This Row],[Birthweight (grams)]]*1.1/Table1[[#This Row],[BW_GA]])-1)/(Backend!$B$4/100*Table1[[#This Row],[BW40_3705]]),"")</f>
        <v/>
      </c>
      <c r="J3721" s="7" t="str">
        <f>IF(Table1[[#This Row],[Is Data Valid]]=TRUE,_xlfn.NORM.S.DIST(Table1[[#This Row],[Birthweight Z-Score]],TRUE)*100,"")</f>
        <v/>
      </c>
      <c r="K3721" s="7" t="str">
        <f>IF(Table1[[#This Row],[Is Data Valid]]=TRUE,_xlfn.NORM.S.DIST(Table1[[#This Row],[Birthweight Z-Score (BW-10%)]],TRUE)*100,"")</f>
        <v/>
      </c>
      <c r="L3721" s="7" t="str">
        <f>IF(Table1[[#This Row],[Is Data Valid]]=TRUE,_xlfn.NORM.S.DIST(Table1[[#This Row],[Birthweight Z-Score (BW+10%)]],TRUE)*100,"")</f>
        <v/>
      </c>
    </row>
    <row r="3722" spans="1:12" x14ac:dyDescent="0.35">
      <c r="A3722" s="3"/>
      <c r="B3722" s="2"/>
      <c r="C3722" s="2"/>
      <c r="D3722" s="2" t="b">
        <f>IF(AND(NOT(ISBLANK(Table1[[#This Row],[Fetal Sex (Male, Female or Unknown)]])),ISNUMBER(Table1[[#This Row],[Birthweight (grams)]]),ISNUMBER(Table1[[#This Row],[Gestation (days)]])),TRUE,FALSE)</f>
        <v>0</v>
      </c>
      <c r="E3722" s="2" t="str">
        <f>IF(Table1[[#This Row],[Is Data Valid]]=TRUE,IF(Table1[[#This Row],[Fetal Sex (Male, Female or Unknown)]]="Male",Backend!$C$6,IF(Table1[[#This Row],[Fetal Sex (Male, Female or Unknown)]]="Female",Backend!$C$7,IF(Table1[[#This Row],[Fetal Sex (Male, Female or Unknown)]]="Unknown",Backend!$C$8,"Error"))),"")</f>
        <v/>
      </c>
      <c r="F3722" s="8" t="str">
        <f>IF(Table1[[#This Row],[Is Data Valid]]=TRUE,EXP(0.578+0.332*((Table1[[#This Row],[Gestation (days)]]+0.5)/7)-0.00354*((Table1[[#This Row],[Gestation (days)]]+0.5)/7)^2)*Table1[[#This Row],[BW40_3705]],"")</f>
        <v/>
      </c>
      <c r="G3722" s="2" t="str">
        <f>IF(Table1[[#This Row],[Is Data Valid]]=TRUE,((Table1[[#This Row],[Birthweight (grams)]]/Table1[[#This Row],[BW_GA]])-1)/(Backend!$B$4/100*Table1[[#This Row],[BW40_3705]]),"")</f>
        <v/>
      </c>
      <c r="H3722" s="7" t="str">
        <f>IF(Table1[[#This Row],[Is Data Valid]]=TRUE,((Table1[[#This Row],[Birthweight (grams)]]*0.9/Table1[[#This Row],[BW_GA]])-1)/(Backend!$B$4/100*Table1[[#This Row],[BW40_3705]]),"")</f>
        <v/>
      </c>
      <c r="I3722" s="7" t="str">
        <f>IF(Table1[[#This Row],[Is Data Valid]]=TRUE,((Table1[[#This Row],[Birthweight (grams)]]*1.1/Table1[[#This Row],[BW_GA]])-1)/(Backend!$B$4/100*Table1[[#This Row],[BW40_3705]]),"")</f>
        <v/>
      </c>
      <c r="J3722" s="7" t="str">
        <f>IF(Table1[[#This Row],[Is Data Valid]]=TRUE,_xlfn.NORM.S.DIST(Table1[[#This Row],[Birthweight Z-Score]],TRUE)*100,"")</f>
        <v/>
      </c>
      <c r="K3722" s="7" t="str">
        <f>IF(Table1[[#This Row],[Is Data Valid]]=TRUE,_xlfn.NORM.S.DIST(Table1[[#This Row],[Birthweight Z-Score (BW-10%)]],TRUE)*100,"")</f>
        <v/>
      </c>
      <c r="L3722" s="7" t="str">
        <f>IF(Table1[[#This Row],[Is Data Valid]]=TRUE,_xlfn.NORM.S.DIST(Table1[[#This Row],[Birthweight Z-Score (BW+10%)]],TRUE)*100,"")</f>
        <v/>
      </c>
    </row>
    <row r="3723" spans="1:12" x14ac:dyDescent="0.35">
      <c r="A3723" s="3"/>
      <c r="B3723" s="2"/>
      <c r="C3723" s="2"/>
      <c r="D3723" s="2" t="b">
        <f>IF(AND(NOT(ISBLANK(Table1[[#This Row],[Fetal Sex (Male, Female or Unknown)]])),ISNUMBER(Table1[[#This Row],[Birthweight (grams)]]),ISNUMBER(Table1[[#This Row],[Gestation (days)]])),TRUE,FALSE)</f>
        <v>0</v>
      </c>
      <c r="E3723" s="2" t="str">
        <f>IF(Table1[[#This Row],[Is Data Valid]]=TRUE,IF(Table1[[#This Row],[Fetal Sex (Male, Female or Unknown)]]="Male",Backend!$C$6,IF(Table1[[#This Row],[Fetal Sex (Male, Female or Unknown)]]="Female",Backend!$C$7,IF(Table1[[#This Row],[Fetal Sex (Male, Female or Unknown)]]="Unknown",Backend!$C$8,"Error"))),"")</f>
        <v/>
      </c>
      <c r="F3723" s="8" t="str">
        <f>IF(Table1[[#This Row],[Is Data Valid]]=TRUE,EXP(0.578+0.332*((Table1[[#This Row],[Gestation (days)]]+0.5)/7)-0.00354*((Table1[[#This Row],[Gestation (days)]]+0.5)/7)^2)*Table1[[#This Row],[BW40_3705]],"")</f>
        <v/>
      </c>
      <c r="G3723" s="2" t="str">
        <f>IF(Table1[[#This Row],[Is Data Valid]]=TRUE,((Table1[[#This Row],[Birthweight (grams)]]/Table1[[#This Row],[BW_GA]])-1)/(Backend!$B$4/100*Table1[[#This Row],[BW40_3705]]),"")</f>
        <v/>
      </c>
      <c r="H3723" s="7" t="str">
        <f>IF(Table1[[#This Row],[Is Data Valid]]=TRUE,((Table1[[#This Row],[Birthweight (grams)]]*0.9/Table1[[#This Row],[BW_GA]])-1)/(Backend!$B$4/100*Table1[[#This Row],[BW40_3705]]),"")</f>
        <v/>
      </c>
      <c r="I3723" s="7" t="str">
        <f>IF(Table1[[#This Row],[Is Data Valid]]=TRUE,((Table1[[#This Row],[Birthweight (grams)]]*1.1/Table1[[#This Row],[BW_GA]])-1)/(Backend!$B$4/100*Table1[[#This Row],[BW40_3705]]),"")</f>
        <v/>
      </c>
      <c r="J3723" s="7" t="str">
        <f>IF(Table1[[#This Row],[Is Data Valid]]=TRUE,_xlfn.NORM.S.DIST(Table1[[#This Row],[Birthweight Z-Score]],TRUE)*100,"")</f>
        <v/>
      </c>
      <c r="K3723" s="7" t="str">
        <f>IF(Table1[[#This Row],[Is Data Valid]]=TRUE,_xlfn.NORM.S.DIST(Table1[[#This Row],[Birthweight Z-Score (BW-10%)]],TRUE)*100,"")</f>
        <v/>
      </c>
      <c r="L3723" s="7" t="str">
        <f>IF(Table1[[#This Row],[Is Data Valid]]=TRUE,_xlfn.NORM.S.DIST(Table1[[#This Row],[Birthweight Z-Score (BW+10%)]],TRUE)*100,"")</f>
        <v/>
      </c>
    </row>
    <row r="3724" spans="1:12" x14ac:dyDescent="0.35">
      <c r="A3724" s="3"/>
      <c r="B3724" s="2"/>
      <c r="C3724" s="2"/>
      <c r="D3724" s="2" t="b">
        <f>IF(AND(NOT(ISBLANK(Table1[[#This Row],[Fetal Sex (Male, Female or Unknown)]])),ISNUMBER(Table1[[#This Row],[Birthweight (grams)]]),ISNUMBER(Table1[[#This Row],[Gestation (days)]])),TRUE,FALSE)</f>
        <v>0</v>
      </c>
      <c r="E3724" s="2" t="str">
        <f>IF(Table1[[#This Row],[Is Data Valid]]=TRUE,IF(Table1[[#This Row],[Fetal Sex (Male, Female or Unknown)]]="Male",Backend!$C$6,IF(Table1[[#This Row],[Fetal Sex (Male, Female or Unknown)]]="Female",Backend!$C$7,IF(Table1[[#This Row],[Fetal Sex (Male, Female or Unknown)]]="Unknown",Backend!$C$8,"Error"))),"")</f>
        <v/>
      </c>
      <c r="F3724" s="8" t="str">
        <f>IF(Table1[[#This Row],[Is Data Valid]]=TRUE,EXP(0.578+0.332*((Table1[[#This Row],[Gestation (days)]]+0.5)/7)-0.00354*((Table1[[#This Row],[Gestation (days)]]+0.5)/7)^2)*Table1[[#This Row],[BW40_3705]],"")</f>
        <v/>
      </c>
      <c r="G3724" s="2" t="str">
        <f>IF(Table1[[#This Row],[Is Data Valid]]=TRUE,((Table1[[#This Row],[Birthweight (grams)]]/Table1[[#This Row],[BW_GA]])-1)/(Backend!$B$4/100*Table1[[#This Row],[BW40_3705]]),"")</f>
        <v/>
      </c>
      <c r="H3724" s="7" t="str">
        <f>IF(Table1[[#This Row],[Is Data Valid]]=TRUE,((Table1[[#This Row],[Birthweight (grams)]]*0.9/Table1[[#This Row],[BW_GA]])-1)/(Backend!$B$4/100*Table1[[#This Row],[BW40_3705]]),"")</f>
        <v/>
      </c>
      <c r="I3724" s="7" t="str">
        <f>IF(Table1[[#This Row],[Is Data Valid]]=TRUE,((Table1[[#This Row],[Birthweight (grams)]]*1.1/Table1[[#This Row],[BW_GA]])-1)/(Backend!$B$4/100*Table1[[#This Row],[BW40_3705]]),"")</f>
        <v/>
      </c>
      <c r="J3724" s="7" t="str">
        <f>IF(Table1[[#This Row],[Is Data Valid]]=TRUE,_xlfn.NORM.S.DIST(Table1[[#This Row],[Birthweight Z-Score]],TRUE)*100,"")</f>
        <v/>
      </c>
      <c r="K3724" s="7" t="str">
        <f>IF(Table1[[#This Row],[Is Data Valid]]=TRUE,_xlfn.NORM.S.DIST(Table1[[#This Row],[Birthweight Z-Score (BW-10%)]],TRUE)*100,"")</f>
        <v/>
      </c>
      <c r="L3724" s="7" t="str">
        <f>IF(Table1[[#This Row],[Is Data Valid]]=TRUE,_xlfn.NORM.S.DIST(Table1[[#This Row],[Birthweight Z-Score (BW+10%)]],TRUE)*100,"")</f>
        <v/>
      </c>
    </row>
    <row r="3725" spans="1:12" x14ac:dyDescent="0.35">
      <c r="A3725" s="3"/>
      <c r="B3725" s="2"/>
      <c r="C3725" s="2"/>
      <c r="D3725" s="2" t="b">
        <f>IF(AND(NOT(ISBLANK(Table1[[#This Row],[Fetal Sex (Male, Female or Unknown)]])),ISNUMBER(Table1[[#This Row],[Birthweight (grams)]]),ISNUMBER(Table1[[#This Row],[Gestation (days)]])),TRUE,FALSE)</f>
        <v>0</v>
      </c>
      <c r="E3725" s="2" t="str">
        <f>IF(Table1[[#This Row],[Is Data Valid]]=TRUE,IF(Table1[[#This Row],[Fetal Sex (Male, Female or Unknown)]]="Male",Backend!$C$6,IF(Table1[[#This Row],[Fetal Sex (Male, Female or Unknown)]]="Female",Backend!$C$7,IF(Table1[[#This Row],[Fetal Sex (Male, Female or Unknown)]]="Unknown",Backend!$C$8,"Error"))),"")</f>
        <v/>
      </c>
      <c r="F3725" s="8" t="str">
        <f>IF(Table1[[#This Row],[Is Data Valid]]=TRUE,EXP(0.578+0.332*((Table1[[#This Row],[Gestation (days)]]+0.5)/7)-0.00354*((Table1[[#This Row],[Gestation (days)]]+0.5)/7)^2)*Table1[[#This Row],[BW40_3705]],"")</f>
        <v/>
      </c>
      <c r="G3725" s="2" t="str">
        <f>IF(Table1[[#This Row],[Is Data Valid]]=TRUE,((Table1[[#This Row],[Birthweight (grams)]]/Table1[[#This Row],[BW_GA]])-1)/(Backend!$B$4/100*Table1[[#This Row],[BW40_3705]]),"")</f>
        <v/>
      </c>
      <c r="H3725" s="7" t="str">
        <f>IF(Table1[[#This Row],[Is Data Valid]]=TRUE,((Table1[[#This Row],[Birthweight (grams)]]*0.9/Table1[[#This Row],[BW_GA]])-1)/(Backend!$B$4/100*Table1[[#This Row],[BW40_3705]]),"")</f>
        <v/>
      </c>
      <c r="I3725" s="7" t="str">
        <f>IF(Table1[[#This Row],[Is Data Valid]]=TRUE,((Table1[[#This Row],[Birthweight (grams)]]*1.1/Table1[[#This Row],[BW_GA]])-1)/(Backend!$B$4/100*Table1[[#This Row],[BW40_3705]]),"")</f>
        <v/>
      </c>
      <c r="J3725" s="7" t="str">
        <f>IF(Table1[[#This Row],[Is Data Valid]]=TRUE,_xlfn.NORM.S.DIST(Table1[[#This Row],[Birthweight Z-Score]],TRUE)*100,"")</f>
        <v/>
      </c>
      <c r="K3725" s="7" t="str">
        <f>IF(Table1[[#This Row],[Is Data Valid]]=TRUE,_xlfn.NORM.S.DIST(Table1[[#This Row],[Birthweight Z-Score (BW-10%)]],TRUE)*100,"")</f>
        <v/>
      </c>
      <c r="L3725" s="7" t="str">
        <f>IF(Table1[[#This Row],[Is Data Valid]]=TRUE,_xlfn.NORM.S.DIST(Table1[[#This Row],[Birthweight Z-Score (BW+10%)]],TRUE)*100,"")</f>
        <v/>
      </c>
    </row>
    <row r="3726" spans="1:12" x14ac:dyDescent="0.35">
      <c r="A3726" s="3"/>
      <c r="B3726" s="2"/>
      <c r="C3726" s="2"/>
      <c r="D3726" s="2" t="b">
        <f>IF(AND(NOT(ISBLANK(Table1[[#This Row],[Fetal Sex (Male, Female or Unknown)]])),ISNUMBER(Table1[[#This Row],[Birthweight (grams)]]),ISNUMBER(Table1[[#This Row],[Gestation (days)]])),TRUE,FALSE)</f>
        <v>0</v>
      </c>
      <c r="E3726" s="2" t="str">
        <f>IF(Table1[[#This Row],[Is Data Valid]]=TRUE,IF(Table1[[#This Row],[Fetal Sex (Male, Female or Unknown)]]="Male",Backend!$C$6,IF(Table1[[#This Row],[Fetal Sex (Male, Female or Unknown)]]="Female",Backend!$C$7,IF(Table1[[#This Row],[Fetal Sex (Male, Female or Unknown)]]="Unknown",Backend!$C$8,"Error"))),"")</f>
        <v/>
      </c>
      <c r="F3726" s="8" t="str">
        <f>IF(Table1[[#This Row],[Is Data Valid]]=TRUE,EXP(0.578+0.332*((Table1[[#This Row],[Gestation (days)]]+0.5)/7)-0.00354*((Table1[[#This Row],[Gestation (days)]]+0.5)/7)^2)*Table1[[#This Row],[BW40_3705]],"")</f>
        <v/>
      </c>
      <c r="G3726" s="2" t="str">
        <f>IF(Table1[[#This Row],[Is Data Valid]]=TRUE,((Table1[[#This Row],[Birthweight (grams)]]/Table1[[#This Row],[BW_GA]])-1)/(Backend!$B$4/100*Table1[[#This Row],[BW40_3705]]),"")</f>
        <v/>
      </c>
      <c r="H3726" s="7" t="str">
        <f>IF(Table1[[#This Row],[Is Data Valid]]=TRUE,((Table1[[#This Row],[Birthweight (grams)]]*0.9/Table1[[#This Row],[BW_GA]])-1)/(Backend!$B$4/100*Table1[[#This Row],[BW40_3705]]),"")</f>
        <v/>
      </c>
      <c r="I3726" s="7" t="str">
        <f>IF(Table1[[#This Row],[Is Data Valid]]=TRUE,((Table1[[#This Row],[Birthweight (grams)]]*1.1/Table1[[#This Row],[BW_GA]])-1)/(Backend!$B$4/100*Table1[[#This Row],[BW40_3705]]),"")</f>
        <v/>
      </c>
      <c r="J3726" s="7" t="str">
        <f>IF(Table1[[#This Row],[Is Data Valid]]=TRUE,_xlfn.NORM.S.DIST(Table1[[#This Row],[Birthweight Z-Score]],TRUE)*100,"")</f>
        <v/>
      </c>
      <c r="K3726" s="7" t="str">
        <f>IF(Table1[[#This Row],[Is Data Valid]]=TRUE,_xlfn.NORM.S.DIST(Table1[[#This Row],[Birthweight Z-Score (BW-10%)]],TRUE)*100,"")</f>
        <v/>
      </c>
      <c r="L3726" s="7" t="str">
        <f>IF(Table1[[#This Row],[Is Data Valid]]=TRUE,_xlfn.NORM.S.DIST(Table1[[#This Row],[Birthweight Z-Score (BW+10%)]],TRUE)*100,"")</f>
        <v/>
      </c>
    </row>
    <row r="3727" spans="1:12" x14ac:dyDescent="0.35">
      <c r="A3727" s="3"/>
      <c r="B3727" s="2"/>
      <c r="C3727" s="2"/>
      <c r="D3727" s="2" t="b">
        <f>IF(AND(NOT(ISBLANK(Table1[[#This Row],[Fetal Sex (Male, Female or Unknown)]])),ISNUMBER(Table1[[#This Row],[Birthweight (grams)]]),ISNUMBER(Table1[[#This Row],[Gestation (days)]])),TRUE,FALSE)</f>
        <v>0</v>
      </c>
      <c r="E3727" s="2" t="str">
        <f>IF(Table1[[#This Row],[Is Data Valid]]=TRUE,IF(Table1[[#This Row],[Fetal Sex (Male, Female or Unknown)]]="Male",Backend!$C$6,IF(Table1[[#This Row],[Fetal Sex (Male, Female or Unknown)]]="Female",Backend!$C$7,IF(Table1[[#This Row],[Fetal Sex (Male, Female or Unknown)]]="Unknown",Backend!$C$8,"Error"))),"")</f>
        <v/>
      </c>
      <c r="F3727" s="8" t="str">
        <f>IF(Table1[[#This Row],[Is Data Valid]]=TRUE,EXP(0.578+0.332*((Table1[[#This Row],[Gestation (days)]]+0.5)/7)-0.00354*((Table1[[#This Row],[Gestation (days)]]+0.5)/7)^2)*Table1[[#This Row],[BW40_3705]],"")</f>
        <v/>
      </c>
      <c r="G3727" s="2" t="str">
        <f>IF(Table1[[#This Row],[Is Data Valid]]=TRUE,((Table1[[#This Row],[Birthweight (grams)]]/Table1[[#This Row],[BW_GA]])-1)/(Backend!$B$4/100*Table1[[#This Row],[BW40_3705]]),"")</f>
        <v/>
      </c>
      <c r="H3727" s="7" t="str">
        <f>IF(Table1[[#This Row],[Is Data Valid]]=TRUE,((Table1[[#This Row],[Birthweight (grams)]]*0.9/Table1[[#This Row],[BW_GA]])-1)/(Backend!$B$4/100*Table1[[#This Row],[BW40_3705]]),"")</f>
        <v/>
      </c>
      <c r="I3727" s="7" t="str">
        <f>IF(Table1[[#This Row],[Is Data Valid]]=TRUE,((Table1[[#This Row],[Birthweight (grams)]]*1.1/Table1[[#This Row],[BW_GA]])-1)/(Backend!$B$4/100*Table1[[#This Row],[BW40_3705]]),"")</f>
        <v/>
      </c>
      <c r="J3727" s="7" t="str">
        <f>IF(Table1[[#This Row],[Is Data Valid]]=TRUE,_xlfn.NORM.S.DIST(Table1[[#This Row],[Birthweight Z-Score]],TRUE)*100,"")</f>
        <v/>
      </c>
      <c r="K3727" s="7" t="str">
        <f>IF(Table1[[#This Row],[Is Data Valid]]=TRUE,_xlfn.NORM.S.DIST(Table1[[#This Row],[Birthweight Z-Score (BW-10%)]],TRUE)*100,"")</f>
        <v/>
      </c>
      <c r="L3727" s="7" t="str">
        <f>IF(Table1[[#This Row],[Is Data Valid]]=TRUE,_xlfn.NORM.S.DIST(Table1[[#This Row],[Birthweight Z-Score (BW+10%)]],TRUE)*100,"")</f>
        <v/>
      </c>
    </row>
    <row r="3728" spans="1:12" x14ac:dyDescent="0.35">
      <c r="A3728" s="3"/>
      <c r="B3728" s="2"/>
      <c r="C3728" s="2"/>
      <c r="D3728" s="2" t="b">
        <f>IF(AND(NOT(ISBLANK(Table1[[#This Row],[Fetal Sex (Male, Female or Unknown)]])),ISNUMBER(Table1[[#This Row],[Birthweight (grams)]]),ISNUMBER(Table1[[#This Row],[Gestation (days)]])),TRUE,FALSE)</f>
        <v>0</v>
      </c>
      <c r="E3728" s="2" t="str">
        <f>IF(Table1[[#This Row],[Is Data Valid]]=TRUE,IF(Table1[[#This Row],[Fetal Sex (Male, Female or Unknown)]]="Male",Backend!$C$6,IF(Table1[[#This Row],[Fetal Sex (Male, Female or Unknown)]]="Female",Backend!$C$7,IF(Table1[[#This Row],[Fetal Sex (Male, Female or Unknown)]]="Unknown",Backend!$C$8,"Error"))),"")</f>
        <v/>
      </c>
      <c r="F3728" s="8" t="str">
        <f>IF(Table1[[#This Row],[Is Data Valid]]=TRUE,EXP(0.578+0.332*((Table1[[#This Row],[Gestation (days)]]+0.5)/7)-0.00354*((Table1[[#This Row],[Gestation (days)]]+0.5)/7)^2)*Table1[[#This Row],[BW40_3705]],"")</f>
        <v/>
      </c>
      <c r="G3728" s="2" t="str">
        <f>IF(Table1[[#This Row],[Is Data Valid]]=TRUE,((Table1[[#This Row],[Birthweight (grams)]]/Table1[[#This Row],[BW_GA]])-1)/(Backend!$B$4/100*Table1[[#This Row],[BW40_3705]]),"")</f>
        <v/>
      </c>
      <c r="H3728" s="7" t="str">
        <f>IF(Table1[[#This Row],[Is Data Valid]]=TRUE,((Table1[[#This Row],[Birthweight (grams)]]*0.9/Table1[[#This Row],[BW_GA]])-1)/(Backend!$B$4/100*Table1[[#This Row],[BW40_3705]]),"")</f>
        <v/>
      </c>
      <c r="I3728" s="7" t="str">
        <f>IF(Table1[[#This Row],[Is Data Valid]]=TRUE,((Table1[[#This Row],[Birthweight (grams)]]*1.1/Table1[[#This Row],[BW_GA]])-1)/(Backend!$B$4/100*Table1[[#This Row],[BW40_3705]]),"")</f>
        <v/>
      </c>
      <c r="J3728" s="7" t="str">
        <f>IF(Table1[[#This Row],[Is Data Valid]]=TRUE,_xlfn.NORM.S.DIST(Table1[[#This Row],[Birthweight Z-Score]],TRUE)*100,"")</f>
        <v/>
      </c>
      <c r="K3728" s="7" t="str">
        <f>IF(Table1[[#This Row],[Is Data Valid]]=TRUE,_xlfn.NORM.S.DIST(Table1[[#This Row],[Birthweight Z-Score (BW-10%)]],TRUE)*100,"")</f>
        <v/>
      </c>
      <c r="L3728" s="7" t="str">
        <f>IF(Table1[[#This Row],[Is Data Valid]]=TRUE,_xlfn.NORM.S.DIST(Table1[[#This Row],[Birthweight Z-Score (BW+10%)]],TRUE)*100,"")</f>
        <v/>
      </c>
    </row>
    <row r="3729" spans="1:12" x14ac:dyDescent="0.35">
      <c r="A3729" s="3"/>
      <c r="B3729" s="2"/>
      <c r="C3729" s="2"/>
      <c r="D3729" s="2" t="b">
        <f>IF(AND(NOT(ISBLANK(Table1[[#This Row],[Fetal Sex (Male, Female or Unknown)]])),ISNUMBER(Table1[[#This Row],[Birthweight (grams)]]),ISNUMBER(Table1[[#This Row],[Gestation (days)]])),TRUE,FALSE)</f>
        <v>0</v>
      </c>
      <c r="E3729" s="2" t="str">
        <f>IF(Table1[[#This Row],[Is Data Valid]]=TRUE,IF(Table1[[#This Row],[Fetal Sex (Male, Female or Unknown)]]="Male",Backend!$C$6,IF(Table1[[#This Row],[Fetal Sex (Male, Female or Unknown)]]="Female",Backend!$C$7,IF(Table1[[#This Row],[Fetal Sex (Male, Female or Unknown)]]="Unknown",Backend!$C$8,"Error"))),"")</f>
        <v/>
      </c>
      <c r="F3729" s="8" t="str">
        <f>IF(Table1[[#This Row],[Is Data Valid]]=TRUE,EXP(0.578+0.332*((Table1[[#This Row],[Gestation (days)]]+0.5)/7)-0.00354*((Table1[[#This Row],[Gestation (days)]]+0.5)/7)^2)*Table1[[#This Row],[BW40_3705]],"")</f>
        <v/>
      </c>
      <c r="G3729" s="2" t="str">
        <f>IF(Table1[[#This Row],[Is Data Valid]]=TRUE,((Table1[[#This Row],[Birthweight (grams)]]/Table1[[#This Row],[BW_GA]])-1)/(Backend!$B$4/100*Table1[[#This Row],[BW40_3705]]),"")</f>
        <v/>
      </c>
      <c r="H3729" s="7" t="str">
        <f>IF(Table1[[#This Row],[Is Data Valid]]=TRUE,((Table1[[#This Row],[Birthweight (grams)]]*0.9/Table1[[#This Row],[BW_GA]])-1)/(Backend!$B$4/100*Table1[[#This Row],[BW40_3705]]),"")</f>
        <v/>
      </c>
      <c r="I3729" s="7" t="str">
        <f>IF(Table1[[#This Row],[Is Data Valid]]=TRUE,((Table1[[#This Row],[Birthweight (grams)]]*1.1/Table1[[#This Row],[BW_GA]])-1)/(Backend!$B$4/100*Table1[[#This Row],[BW40_3705]]),"")</f>
        <v/>
      </c>
      <c r="J3729" s="7" t="str">
        <f>IF(Table1[[#This Row],[Is Data Valid]]=TRUE,_xlfn.NORM.S.DIST(Table1[[#This Row],[Birthweight Z-Score]],TRUE)*100,"")</f>
        <v/>
      </c>
      <c r="K3729" s="7" t="str">
        <f>IF(Table1[[#This Row],[Is Data Valid]]=TRUE,_xlfn.NORM.S.DIST(Table1[[#This Row],[Birthweight Z-Score (BW-10%)]],TRUE)*100,"")</f>
        <v/>
      </c>
      <c r="L3729" s="7" t="str">
        <f>IF(Table1[[#This Row],[Is Data Valid]]=TRUE,_xlfn.NORM.S.DIST(Table1[[#This Row],[Birthweight Z-Score (BW+10%)]],TRUE)*100,"")</f>
        <v/>
      </c>
    </row>
    <row r="3730" spans="1:12" x14ac:dyDescent="0.35">
      <c r="A3730" s="3"/>
      <c r="B3730" s="2"/>
      <c r="C3730" s="2"/>
      <c r="D3730" s="2" t="b">
        <f>IF(AND(NOT(ISBLANK(Table1[[#This Row],[Fetal Sex (Male, Female or Unknown)]])),ISNUMBER(Table1[[#This Row],[Birthweight (grams)]]),ISNUMBER(Table1[[#This Row],[Gestation (days)]])),TRUE,FALSE)</f>
        <v>0</v>
      </c>
      <c r="E3730" s="2" t="str">
        <f>IF(Table1[[#This Row],[Is Data Valid]]=TRUE,IF(Table1[[#This Row],[Fetal Sex (Male, Female or Unknown)]]="Male",Backend!$C$6,IF(Table1[[#This Row],[Fetal Sex (Male, Female or Unknown)]]="Female",Backend!$C$7,IF(Table1[[#This Row],[Fetal Sex (Male, Female or Unknown)]]="Unknown",Backend!$C$8,"Error"))),"")</f>
        <v/>
      </c>
      <c r="F3730" s="8" t="str">
        <f>IF(Table1[[#This Row],[Is Data Valid]]=TRUE,EXP(0.578+0.332*((Table1[[#This Row],[Gestation (days)]]+0.5)/7)-0.00354*((Table1[[#This Row],[Gestation (days)]]+0.5)/7)^2)*Table1[[#This Row],[BW40_3705]],"")</f>
        <v/>
      </c>
      <c r="G3730" s="2" t="str">
        <f>IF(Table1[[#This Row],[Is Data Valid]]=TRUE,((Table1[[#This Row],[Birthweight (grams)]]/Table1[[#This Row],[BW_GA]])-1)/(Backend!$B$4/100*Table1[[#This Row],[BW40_3705]]),"")</f>
        <v/>
      </c>
      <c r="H3730" s="7" t="str">
        <f>IF(Table1[[#This Row],[Is Data Valid]]=TRUE,((Table1[[#This Row],[Birthweight (grams)]]*0.9/Table1[[#This Row],[BW_GA]])-1)/(Backend!$B$4/100*Table1[[#This Row],[BW40_3705]]),"")</f>
        <v/>
      </c>
      <c r="I3730" s="7" t="str">
        <f>IF(Table1[[#This Row],[Is Data Valid]]=TRUE,((Table1[[#This Row],[Birthweight (grams)]]*1.1/Table1[[#This Row],[BW_GA]])-1)/(Backend!$B$4/100*Table1[[#This Row],[BW40_3705]]),"")</f>
        <v/>
      </c>
      <c r="J3730" s="7" t="str">
        <f>IF(Table1[[#This Row],[Is Data Valid]]=TRUE,_xlfn.NORM.S.DIST(Table1[[#This Row],[Birthweight Z-Score]],TRUE)*100,"")</f>
        <v/>
      </c>
      <c r="K3730" s="7" t="str">
        <f>IF(Table1[[#This Row],[Is Data Valid]]=TRUE,_xlfn.NORM.S.DIST(Table1[[#This Row],[Birthweight Z-Score (BW-10%)]],TRUE)*100,"")</f>
        <v/>
      </c>
      <c r="L3730" s="7" t="str">
        <f>IF(Table1[[#This Row],[Is Data Valid]]=TRUE,_xlfn.NORM.S.DIST(Table1[[#This Row],[Birthweight Z-Score (BW+10%)]],TRUE)*100,"")</f>
        <v/>
      </c>
    </row>
    <row r="3731" spans="1:12" x14ac:dyDescent="0.35">
      <c r="A3731" s="3"/>
      <c r="B3731" s="2"/>
      <c r="C3731" s="2"/>
      <c r="D3731" s="2" t="b">
        <f>IF(AND(NOT(ISBLANK(Table1[[#This Row],[Fetal Sex (Male, Female or Unknown)]])),ISNUMBER(Table1[[#This Row],[Birthweight (grams)]]),ISNUMBER(Table1[[#This Row],[Gestation (days)]])),TRUE,FALSE)</f>
        <v>0</v>
      </c>
      <c r="E3731" s="2" t="str">
        <f>IF(Table1[[#This Row],[Is Data Valid]]=TRUE,IF(Table1[[#This Row],[Fetal Sex (Male, Female or Unknown)]]="Male",Backend!$C$6,IF(Table1[[#This Row],[Fetal Sex (Male, Female or Unknown)]]="Female",Backend!$C$7,IF(Table1[[#This Row],[Fetal Sex (Male, Female or Unknown)]]="Unknown",Backend!$C$8,"Error"))),"")</f>
        <v/>
      </c>
      <c r="F3731" s="8" t="str">
        <f>IF(Table1[[#This Row],[Is Data Valid]]=TRUE,EXP(0.578+0.332*((Table1[[#This Row],[Gestation (days)]]+0.5)/7)-0.00354*((Table1[[#This Row],[Gestation (days)]]+0.5)/7)^2)*Table1[[#This Row],[BW40_3705]],"")</f>
        <v/>
      </c>
      <c r="G3731" s="2" t="str">
        <f>IF(Table1[[#This Row],[Is Data Valid]]=TRUE,((Table1[[#This Row],[Birthweight (grams)]]/Table1[[#This Row],[BW_GA]])-1)/(Backend!$B$4/100*Table1[[#This Row],[BW40_3705]]),"")</f>
        <v/>
      </c>
      <c r="H3731" s="7" t="str">
        <f>IF(Table1[[#This Row],[Is Data Valid]]=TRUE,((Table1[[#This Row],[Birthweight (grams)]]*0.9/Table1[[#This Row],[BW_GA]])-1)/(Backend!$B$4/100*Table1[[#This Row],[BW40_3705]]),"")</f>
        <v/>
      </c>
      <c r="I3731" s="7" t="str">
        <f>IF(Table1[[#This Row],[Is Data Valid]]=TRUE,((Table1[[#This Row],[Birthweight (grams)]]*1.1/Table1[[#This Row],[BW_GA]])-1)/(Backend!$B$4/100*Table1[[#This Row],[BW40_3705]]),"")</f>
        <v/>
      </c>
      <c r="J3731" s="7" t="str">
        <f>IF(Table1[[#This Row],[Is Data Valid]]=TRUE,_xlfn.NORM.S.DIST(Table1[[#This Row],[Birthweight Z-Score]],TRUE)*100,"")</f>
        <v/>
      </c>
      <c r="K3731" s="7" t="str">
        <f>IF(Table1[[#This Row],[Is Data Valid]]=TRUE,_xlfn.NORM.S.DIST(Table1[[#This Row],[Birthweight Z-Score (BW-10%)]],TRUE)*100,"")</f>
        <v/>
      </c>
      <c r="L3731" s="7" t="str">
        <f>IF(Table1[[#This Row],[Is Data Valid]]=TRUE,_xlfn.NORM.S.DIST(Table1[[#This Row],[Birthweight Z-Score (BW+10%)]],TRUE)*100,"")</f>
        <v/>
      </c>
    </row>
    <row r="3732" spans="1:12" x14ac:dyDescent="0.35">
      <c r="A3732" s="3"/>
      <c r="B3732" s="2"/>
      <c r="C3732" s="2"/>
      <c r="D3732" s="2" t="b">
        <f>IF(AND(NOT(ISBLANK(Table1[[#This Row],[Fetal Sex (Male, Female or Unknown)]])),ISNUMBER(Table1[[#This Row],[Birthweight (grams)]]),ISNUMBER(Table1[[#This Row],[Gestation (days)]])),TRUE,FALSE)</f>
        <v>0</v>
      </c>
      <c r="E3732" s="2" t="str">
        <f>IF(Table1[[#This Row],[Is Data Valid]]=TRUE,IF(Table1[[#This Row],[Fetal Sex (Male, Female or Unknown)]]="Male",Backend!$C$6,IF(Table1[[#This Row],[Fetal Sex (Male, Female or Unknown)]]="Female",Backend!$C$7,IF(Table1[[#This Row],[Fetal Sex (Male, Female or Unknown)]]="Unknown",Backend!$C$8,"Error"))),"")</f>
        <v/>
      </c>
      <c r="F3732" s="8" t="str">
        <f>IF(Table1[[#This Row],[Is Data Valid]]=TRUE,EXP(0.578+0.332*((Table1[[#This Row],[Gestation (days)]]+0.5)/7)-0.00354*((Table1[[#This Row],[Gestation (days)]]+0.5)/7)^2)*Table1[[#This Row],[BW40_3705]],"")</f>
        <v/>
      </c>
      <c r="G3732" s="2" t="str">
        <f>IF(Table1[[#This Row],[Is Data Valid]]=TRUE,((Table1[[#This Row],[Birthweight (grams)]]/Table1[[#This Row],[BW_GA]])-1)/(Backend!$B$4/100*Table1[[#This Row],[BW40_3705]]),"")</f>
        <v/>
      </c>
      <c r="H3732" s="7" t="str">
        <f>IF(Table1[[#This Row],[Is Data Valid]]=TRUE,((Table1[[#This Row],[Birthweight (grams)]]*0.9/Table1[[#This Row],[BW_GA]])-1)/(Backend!$B$4/100*Table1[[#This Row],[BW40_3705]]),"")</f>
        <v/>
      </c>
      <c r="I3732" s="7" t="str">
        <f>IF(Table1[[#This Row],[Is Data Valid]]=TRUE,((Table1[[#This Row],[Birthweight (grams)]]*1.1/Table1[[#This Row],[BW_GA]])-1)/(Backend!$B$4/100*Table1[[#This Row],[BW40_3705]]),"")</f>
        <v/>
      </c>
      <c r="J3732" s="7" t="str">
        <f>IF(Table1[[#This Row],[Is Data Valid]]=TRUE,_xlfn.NORM.S.DIST(Table1[[#This Row],[Birthweight Z-Score]],TRUE)*100,"")</f>
        <v/>
      </c>
      <c r="K3732" s="7" t="str">
        <f>IF(Table1[[#This Row],[Is Data Valid]]=TRUE,_xlfn.NORM.S.DIST(Table1[[#This Row],[Birthweight Z-Score (BW-10%)]],TRUE)*100,"")</f>
        <v/>
      </c>
      <c r="L3732" s="7" t="str">
        <f>IF(Table1[[#This Row],[Is Data Valid]]=TRUE,_xlfn.NORM.S.DIST(Table1[[#This Row],[Birthweight Z-Score (BW+10%)]],TRUE)*100,"")</f>
        <v/>
      </c>
    </row>
    <row r="3733" spans="1:12" x14ac:dyDescent="0.35">
      <c r="A3733" s="3"/>
      <c r="B3733" s="2"/>
      <c r="C3733" s="2"/>
      <c r="D3733" s="2" t="b">
        <f>IF(AND(NOT(ISBLANK(Table1[[#This Row],[Fetal Sex (Male, Female or Unknown)]])),ISNUMBER(Table1[[#This Row],[Birthweight (grams)]]),ISNUMBER(Table1[[#This Row],[Gestation (days)]])),TRUE,FALSE)</f>
        <v>0</v>
      </c>
      <c r="E3733" s="2" t="str">
        <f>IF(Table1[[#This Row],[Is Data Valid]]=TRUE,IF(Table1[[#This Row],[Fetal Sex (Male, Female or Unknown)]]="Male",Backend!$C$6,IF(Table1[[#This Row],[Fetal Sex (Male, Female or Unknown)]]="Female",Backend!$C$7,IF(Table1[[#This Row],[Fetal Sex (Male, Female or Unknown)]]="Unknown",Backend!$C$8,"Error"))),"")</f>
        <v/>
      </c>
      <c r="F3733" s="8" t="str">
        <f>IF(Table1[[#This Row],[Is Data Valid]]=TRUE,EXP(0.578+0.332*((Table1[[#This Row],[Gestation (days)]]+0.5)/7)-0.00354*((Table1[[#This Row],[Gestation (days)]]+0.5)/7)^2)*Table1[[#This Row],[BW40_3705]],"")</f>
        <v/>
      </c>
      <c r="G3733" s="2" t="str">
        <f>IF(Table1[[#This Row],[Is Data Valid]]=TRUE,((Table1[[#This Row],[Birthweight (grams)]]/Table1[[#This Row],[BW_GA]])-1)/(Backend!$B$4/100*Table1[[#This Row],[BW40_3705]]),"")</f>
        <v/>
      </c>
      <c r="H3733" s="7" t="str">
        <f>IF(Table1[[#This Row],[Is Data Valid]]=TRUE,((Table1[[#This Row],[Birthweight (grams)]]*0.9/Table1[[#This Row],[BW_GA]])-1)/(Backend!$B$4/100*Table1[[#This Row],[BW40_3705]]),"")</f>
        <v/>
      </c>
      <c r="I3733" s="7" t="str">
        <f>IF(Table1[[#This Row],[Is Data Valid]]=TRUE,((Table1[[#This Row],[Birthweight (grams)]]*1.1/Table1[[#This Row],[BW_GA]])-1)/(Backend!$B$4/100*Table1[[#This Row],[BW40_3705]]),"")</f>
        <v/>
      </c>
      <c r="J3733" s="7" t="str">
        <f>IF(Table1[[#This Row],[Is Data Valid]]=TRUE,_xlfn.NORM.S.DIST(Table1[[#This Row],[Birthweight Z-Score]],TRUE)*100,"")</f>
        <v/>
      </c>
      <c r="K3733" s="7" t="str">
        <f>IF(Table1[[#This Row],[Is Data Valid]]=TRUE,_xlfn.NORM.S.DIST(Table1[[#This Row],[Birthweight Z-Score (BW-10%)]],TRUE)*100,"")</f>
        <v/>
      </c>
      <c r="L3733" s="7" t="str">
        <f>IF(Table1[[#This Row],[Is Data Valid]]=TRUE,_xlfn.NORM.S.DIST(Table1[[#This Row],[Birthweight Z-Score (BW+10%)]],TRUE)*100,"")</f>
        <v/>
      </c>
    </row>
    <row r="3734" spans="1:12" x14ac:dyDescent="0.35">
      <c r="A3734" s="3"/>
      <c r="B3734" s="2"/>
      <c r="C3734" s="2"/>
      <c r="D3734" s="2" t="b">
        <f>IF(AND(NOT(ISBLANK(Table1[[#This Row],[Fetal Sex (Male, Female or Unknown)]])),ISNUMBER(Table1[[#This Row],[Birthweight (grams)]]),ISNUMBER(Table1[[#This Row],[Gestation (days)]])),TRUE,FALSE)</f>
        <v>0</v>
      </c>
      <c r="E3734" s="2" t="str">
        <f>IF(Table1[[#This Row],[Is Data Valid]]=TRUE,IF(Table1[[#This Row],[Fetal Sex (Male, Female or Unknown)]]="Male",Backend!$C$6,IF(Table1[[#This Row],[Fetal Sex (Male, Female or Unknown)]]="Female",Backend!$C$7,IF(Table1[[#This Row],[Fetal Sex (Male, Female or Unknown)]]="Unknown",Backend!$C$8,"Error"))),"")</f>
        <v/>
      </c>
      <c r="F3734" s="8" t="str">
        <f>IF(Table1[[#This Row],[Is Data Valid]]=TRUE,EXP(0.578+0.332*((Table1[[#This Row],[Gestation (days)]]+0.5)/7)-0.00354*((Table1[[#This Row],[Gestation (days)]]+0.5)/7)^2)*Table1[[#This Row],[BW40_3705]],"")</f>
        <v/>
      </c>
      <c r="G3734" s="2" t="str">
        <f>IF(Table1[[#This Row],[Is Data Valid]]=TRUE,((Table1[[#This Row],[Birthweight (grams)]]/Table1[[#This Row],[BW_GA]])-1)/(Backend!$B$4/100*Table1[[#This Row],[BW40_3705]]),"")</f>
        <v/>
      </c>
      <c r="H3734" s="7" t="str">
        <f>IF(Table1[[#This Row],[Is Data Valid]]=TRUE,((Table1[[#This Row],[Birthweight (grams)]]*0.9/Table1[[#This Row],[BW_GA]])-1)/(Backend!$B$4/100*Table1[[#This Row],[BW40_3705]]),"")</f>
        <v/>
      </c>
      <c r="I3734" s="7" t="str">
        <f>IF(Table1[[#This Row],[Is Data Valid]]=TRUE,((Table1[[#This Row],[Birthweight (grams)]]*1.1/Table1[[#This Row],[BW_GA]])-1)/(Backend!$B$4/100*Table1[[#This Row],[BW40_3705]]),"")</f>
        <v/>
      </c>
      <c r="J3734" s="7" t="str">
        <f>IF(Table1[[#This Row],[Is Data Valid]]=TRUE,_xlfn.NORM.S.DIST(Table1[[#This Row],[Birthweight Z-Score]],TRUE)*100,"")</f>
        <v/>
      </c>
      <c r="K3734" s="7" t="str">
        <f>IF(Table1[[#This Row],[Is Data Valid]]=TRUE,_xlfn.NORM.S.DIST(Table1[[#This Row],[Birthweight Z-Score (BW-10%)]],TRUE)*100,"")</f>
        <v/>
      </c>
      <c r="L3734" s="7" t="str">
        <f>IF(Table1[[#This Row],[Is Data Valid]]=TRUE,_xlfn.NORM.S.DIST(Table1[[#This Row],[Birthweight Z-Score (BW+10%)]],TRUE)*100,"")</f>
        <v/>
      </c>
    </row>
    <row r="3735" spans="1:12" x14ac:dyDescent="0.35">
      <c r="A3735" s="3"/>
      <c r="B3735" s="2"/>
      <c r="C3735" s="2"/>
      <c r="D3735" s="2" t="b">
        <f>IF(AND(NOT(ISBLANK(Table1[[#This Row],[Fetal Sex (Male, Female or Unknown)]])),ISNUMBER(Table1[[#This Row],[Birthweight (grams)]]),ISNUMBER(Table1[[#This Row],[Gestation (days)]])),TRUE,FALSE)</f>
        <v>0</v>
      </c>
      <c r="E3735" s="2" t="str">
        <f>IF(Table1[[#This Row],[Is Data Valid]]=TRUE,IF(Table1[[#This Row],[Fetal Sex (Male, Female or Unknown)]]="Male",Backend!$C$6,IF(Table1[[#This Row],[Fetal Sex (Male, Female or Unknown)]]="Female",Backend!$C$7,IF(Table1[[#This Row],[Fetal Sex (Male, Female or Unknown)]]="Unknown",Backend!$C$8,"Error"))),"")</f>
        <v/>
      </c>
      <c r="F3735" s="8" t="str">
        <f>IF(Table1[[#This Row],[Is Data Valid]]=TRUE,EXP(0.578+0.332*((Table1[[#This Row],[Gestation (days)]]+0.5)/7)-0.00354*((Table1[[#This Row],[Gestation (days)]]+0.5)/7)^2)*Table1[[#This Row],[BW40_3705]],"")</f>
        <v/>
      </c>
      <c r="G3735" s="2" t="str">
        <f>IF(Table1[[#This Row],[Is Data Valid]]=TRUE,((Table1[[#This Row],[Birthweight (grams)]]/Table1[[#This Row],[BW_GA]])-1)/(Backend!$B$4/100*Table1[[#This Row],[BW40_3705]]),"")</f>
        <v/>
      </c>
      <c r="H3735" s="7" t="str">
        <f>IF(Table1[[#This Row],[Is Data Valid]]=TRUE,((Table1[[#This Row],[Birthweight (grams)]]*0.9/Table1[[#This Row],[BW_GA]])-1)/(Backend!$B$4/100*Table1[[#This Row],[BW40_3705]]),"")</f>
        <v/>
      </c>
      <c r="I3735" s="7" t="str">
        <f>IF(Table1[[#This Row],[Is Data Valid]]=TRUE,((Table1[[#This Row],[Birthweight (grams)]]*1.1/Table1[[#This Row],[BW_GA]])-1)/(Backend!$B$4/100*Table1[[#This Row],[BW40_3705]]),"")</f>
        <v/>
      </c>
      <c r="J3735" s="7" t="str">
        <f>IF(Table1[[#This Row],[Is Data Valid]]=TRUE,_xlfn.NORM.S.DIST(Table1[[#This Row],[Birthweight Z-Score]],TRUE)*100,"")</f>
        <v/>
      </c>
      <c r="K3735" s="7" t="str">
        <f>IF(Table1[[#This Row],[Is Data Valid]]=TRUE,_xlfn.NORM.S.DIST(Table1[[#This Row],[Birthweight Z-Score (BW-10%)]],TRUE)*100,"")</f>
        <v/>
      </c>
      <c r="L3735" s="7" t="str">
        <f>IF(Table1[[#This Row],[Is Data Valid]]=TRUE,_xlfn.NORM.S.DIST(Table1[[#This Row],[Birthweight Z-Score (BW+10%)]],TRUE)*100,"")</f>
        <v/>
      </c>
    </row>
    <row r="3736" spans="1:12" x14ac:dyDescent="0.35">
      <c r="A3736" s="3"/>
      <c r="B3736" s="2"/>
      <c r="C3736" s="2"/>
      <c r="D3736" s="2" t="b">
        <f>IF(AND(NOT(ISBLANK(Table1[[#This Row],[Fetal Sex (Male, Female or Unknown)]])),ISNUMBER(Table1[[#This Row],[Birthweight (grams)]]),ISNUMBER(Table1[[#This Row],[Gestation (days)]])),TRUE,FALSE)</f>
        <v>0</v>
      </c>
      <c r="E3736" s="2" t="str">
        <f>IF(Table1[[#This Row],[Is Data Valid]]=TRUE,IF(Table1[[#This Row],[Fetal Sex (Male, Female or Unknown)]]="Male",Backend!$C$6,IF(Table1[[#This Row],[Fetal Sex (Male, Female or Unknown)]]="Female",Backend!$C$7,IF(Table1[[#This Row],[Fetal Sex (Male, Female or Unknown)]]="Unknown",Backend!$C$8,"Error"))),"")</f>
        <v/>
      </c>
      <c r="F3736" s="8" t="str">
        <f>IF(Table1[[#This Row],[Is Data Valid]]=TRUE,EXP(0.578+0.332*((Table1[[#This Row],[Gestation (days)]]+0.5)/7)-0.00354*((Table1[[#This Row],[Gestation (days)]]+0.5)/7)^2)*Table1[[#This Row],[BW40_3705]],"")</f>
        <v/>
      </c>
      <c r="G3736" s="2" t="str">
        <f>IF(Table1[[#This Row],[Is Data Valid]]=TRUE,((Table1[[#This Row],[Birthweight (grams)]]/Table1[[#This Row],[BW_GA]])-1)/(Backend!$B$4/100*Table1[[#This Row],[BW40_3705]]),"")</f>
        <v/>
      </c>
      <c r="H3736" s="7" t="str">
        <f>IF(Table1[[#This Row],[Is Data Valid]]=TRUE,((Table1[[#This Row],[Birthweight (grams)]]*0.9/Table1[[#This Row],[BW_GA]])-1)/(Backend!$B$4/100*Table1[[#This Row],[BW40_3705]]),"")</f>
        <v/>
      </c>
      <c r="I3736" s="7" t="str">
        <f>IF(Table1[[#This Row],[Is Data Valid]]=TRUE,((Table1[[#This Row],[Birthweight (grams)]]*1.1/Table1[[#This Row],[BW_GA]])-1)/(Backend!$B$4/100*Table1[[#This Row],[BW40_3705]]),"")</f>
        <v/>
      </c>
      <c r="J3736" s="7" t="str">
        <f>IF(Table1[[#This Row],[Is Data Valid]]=TRUE,_xlfn.NORM.S.DIST(Table1[[#This Row],[Birthweight Z-Score]],TRUE)*100,"")</f>
        <v/>
      </c>
      <c r="K3736" s="7" t="str">
        <f>IF(Table1[[#This Row],[Is Data Valid]]=TRUE,_xlfn.NORM.S.DIST(Table1[[#This Row],[Birthweight Z-Score (BW-10%)]],TRUE)*100,"")</f>
        <v/>
      </c>
      <c r="L3736" s="7" t="str">
        <f>IF(Table1[[#This Row],[Is Data Valid]]=TRUE,_xlfn.NORM.S.DIST(Table1[[#This Row],[Birthweight Z-Score (BW+10%)]],TRUE)*100,"")</f>
        <v/>
      </c>
    </row>
    <row r="3737" spans="1:12" x14ac:dyDescent="0.35">
      <c r="A3737" s="3"/>
      <c r="B3737" s="2"/>
      <c r="C3737" s="2"/>
      <c r="D3737" s="2" t="b">
        <f>IF(AND(NOT(ISBLANK(Table1[[#This Row],[Fetal Sex (Male, Female or Unknown)]])),ISNUMBER(Table1[[#This Row],[Birthweight (grams)]]),ISNUMBER(Table1[[#This Row],[Gestation (days)]])),TRUE,FALSE)</f>
        <v>0</v>
      </c>
      <c r="E3737" s="2" t="str">
        <f>IF(Table1[[#This Row],[Is Data Valid]]=TRUE,IF(Table1[[#This Row],[Fetal Sex (Male, Female or Unknown)]]="Male",Backend!$C$6,IF(Table1[[#This Row],[Fetal Sex (Male, Female or Unknown)]]="Female",Backend!$C$7,IF(Table1[[#This Row],[Fetal Sex (Male, Female or Unknown)]]="Unknown",Backend!$C$8,"Error"))),"")</f>
        <v/>
      </c>
      <c r="F3737" s="8" t="str">
        <f>IF(Table1[[#This Row],[Is Data Valid]]=TRUE,EXP(0.578+0.332*((Table1[[#This Row],[Gestation (days)]]+0.5)/7)-0.00354*((Table1[[#This Row],[Gestation (days)]]+0.5)/7)^2)*Table1[[#This Row],[BW40_3705]],"")</f>
        <v/>
      </c>
      <c r="G3737" s="2" t="str">
        <f>IF(Table1[[#This Row],[Is Data Valid]]=TRUE,((Table1[[#This Row],[Birthweight (grams)]]/Table1[[#This Row],[BW_GA]])-1)/(Backend!$B$4/100*Table1[[#This Row],[BW40_3705]]),"")</f>
        <v/>
      </c>
      <c r="H3737" s="7" t="str">
        <f>IF(Table1[[#This Row],[Is Data Valid]]=TRUE,((Table1[[#This Row],[Birthweight (grams)]]*0.9/Table1[[#This Row],[BW_GA]])-1)/(Backend!$B$4/100*Table1[[#This Row],[BW40_3705]]),"")</f>
        <v/>
      </c>
      <c r="I3737" s="7" t="str">
        <f>IF(Table1[[#This Row],[Is Data Valid]]=TRUE,((Table1[[#This Row],[Birthweight (grams)]]*1.1/Table1[[#This Row],[BW_GA]])-1)/(Backend!$B$4/100*Table1[[#This Row],[BW40_3705]]),"")</f>
        <v/>
      </c>
      <c r="J3737" s="7" t="str">
        <f>IF(Table1[[#This Row],[Is Data Valid]]=TRUE,_xlfn.NORM.S.DIST(Table1[[#This Row],[Birthweight Z-Score]],TRUE)*100,"")</f>
        <v/>
      </c>
      <c r="K3737" s="7" t="str">
        <f>IF(Table1[[#This Row],[Is Data Valid]]=TRUE,_xlfn.NORM.S.DIST(Table1[[#This Row],[Birthweight Z-Score (BW-10%)]],TRUE)*100,"")</f>
        <v/>
      </c>
      <c r="L3737" s="7" t="str">
        <f>IF(Table1[[#This Row],[Is Data Valid]]=TRUE,_xlfn.NORM.S.DIST(Table1[[#This Row],[Birthweight Z-Score (BW+10%)]],TRUE)*100,"")</f>
        <v/>
      </c>
    </row>
    <row r="3738" spans="1:12" x14ac:dyDescent="0.35">
      <c r="A3738" s="3"/>
      <c r="B3738" s="2"/>
      <c r="C3738" s="2"/>
      <c r="D3738" s="2" t="b">
        <f>IF(AND(NOT(ISBLANK(Table1[[#This Row],[Fetal Sex (Male, Female or Unknown)]])),ISNUMBER(Table1[[#This Row],[Birthweight (grams)]]),ISNUMBER(Table1[[#This Row],[Gestation (days)]])),TRUE,FALSE)</f>
        <v>0</v>
      </c>
      <c r="E3738" s="2" t="str">
        <f>IF(Table1[[#This Row],[Is Data Valid]]=TRUE,IF(Table1[[#This Row],[Fetal Sex (Male, Female or Unknown)]]="Male",Backend!$C$6,IF(Table1[[#This Row],[Fetal Sex (Male, Female or Unknown)]]="Female",Backend!$C$7,IF(Table1[[#This Row],[Fetal Sex (Male, Female or Unknown)]]="Unknown",Backend!$C$8,"Error"))),"")</f>
        <v/>
      </c>
      <c r="F3738" s="8" t="str">
        <f>IF(Table1[[#This Row],[Is Data Valid]]=TRUE,EXP(0.578+0.332*((Table1[[#This Row],[Gestation (days)]]+0.5)/7)-0.00354*((Table1[[#This Row],[Gestation (days)]]+0.5)/7)^2)*Table1[[#This Row],[BW40_3705]],"")</f>
        <v/>
      </c>
      <c r="G3738" s="2" t="str">
        <f>IF(Table1[[#This Row],[Is Data Valid]]=TRUE,((Table1[[#This Row],[Birthweight (grams)]]/Table1[[#This Row],[BW_GA]])-1)/(Backend!$B$4/100*Table1[[#This Row],[BW40_3705]]),"")</f>
        <v/>
      </c>
      <c r="H3738" s="7" t="str">
        <f>IF(Table1[[#This Row],[Is Data Valid]]=TRUE,((Table1[[#This Row],[Birthweight (grams)]]*0.9/Table1[[#This Row],[BW_GA]])-1)/(Backend!$B$4/100*Table1[[#This Row],[BW40_3705]]),"")</f>
        <v/>
      </c>
      <c r="I3738" s="7" t="str">
        <f>IF(Table1[[#This Row],[Is Data Valid]]=TRUE,((Table1[[#This Row],[Birthweight (grams)]]*1.1/Table1[[#This Row],[BW_GA]])-1)/(Backend!$B$4/100*Table1[[#This Row],[BW40_3705]]),"")</f>
        <v/>
      </c>
      <c r="J3738" s="7" t="str">
        <f>IF(Table1[[#This Row],[Is Data Valid]]=TRUE,_xlfn.NORM.S.DIST(Table1[[#This Row],[Birthweight Z-Score]],TRUE)*100,"")</f>
        <v/>
      </c>
      <c r="K3738" s="7" t="str">
        <f>IF(Table1[[#This Row],[Is Data Valid]]=TRUE,_xlfn.NORM.S.DIST(Table1[[#This Row],[Birthweight Z-Score (BW-10%)]],TRUE)*100,"")</f>
        <v/>
      </c>
      <c r="L3738" s="7" t="str">
        <f>IF(Table1[[#This Row],[Is Data Valid]]=TRUE,_xlfn.NORM.S.DIST(Table1[[#This Row],[Birthweight Z-Score (BW+10%)]],TRUE)*100,"")</f>
        <v/>
      </c>
    </row>
    <row r="3739" spans="1:12" x14ac:dyDescent="0.35">
      <c r="A3739" s="3"/>
      <c r="B3739" s="2"/>
      <c r="C3739" s="2"/>
      <c r="D3739" s="2" t="b">
        <f>IF(AND(NOT(ISBLANK(Table1[[#This Row],[Fetal Sex (Male, Female or Unknown)]])),ISNUMBER(Table1[[#This Row],[Birthweight (grams)]]),ISNUMBER(Table1[[#This Row],[Gestation (days)]])),TRUE,FALSE)</f>
        <v>0</v>
      </c>
      <c r="E3739" s="2" t="str">
        <f>IF(Table1[[#This Row],[Is Data Valid]]=TRUE,IF(Table1[[#This Row],[Fetal Sex (Male, Female or Unknown)]]="Male",Backend!$C$6,IF(Table1[[#This Row],[Fetal Sex (Male, Female or Unknown)]]="Female",Backend!$C$7,IF(Table1[[#This Row],[Fetal Sex (Male, Female or Unknown)]]="Unknown",Backend!$C$8,"Error"))),"")</f>
        <v/>
      </c>
      <c r="F3739" s="8" t="str">
        <f>IF(Table1[[#This Row],[Is Data Valid]]=TRUE,EXP(0.578+0.332*((Table1[[#This Row],[Gestation (days)]]+0.5)/7)-0.00354*((Table1[[#This Row],[Gestation (days)]]+0.5)/7)^2)*Table1[[#This Row],[BW40_3705]],"")</f>
        <v/>
      </c>
      <c r="G3739" s="2" t="str">
        <f>IF(Table1[[#This Row],[Is Data Valid]]=TRUE,((Table1[[#This Row],[Birthweight (grams)]]/Table1[[#This Row],[BW_GA]])-1)/(Backend!$B$4/100*Table1[[#This Row],[BW40_3705]]),"")</f>
        <v/>
      </c>
      <c r="H3739" s="7" t="str">
        <f>IF(Table1[[#This Row],[Is Data Valid]]=TRUE,((Table1[[#This Row],[Birthweight (grams)]]*0.9/Table1[[#This Row],[BW_GA]])-1)/(Backend!$B$4/100*Table1[[#This Row],[BW40_3705]]),"")</f>
        <v/>
      </c>
      <c r="I3739" s="7" t="str">
        <f>IF(Table1[[#This Row],[Is Data Valid]]=TRUE,((Table1[[#This Row],[Birthweight (grams)]]*1.1/Table1[[#This Row],[BW_GA]])-1)/(Backend!$B$4/100*Table1[[#This Row],[BW40_3705]]),"")</f>
        <v/>
      </c>
      <c r="J3739" s="7" t="str">
        <f>IF(Table1[[#This Row],[Is Data Valid]]=TRUE,_xlfn.NORM.S.DIST(Table1[[#This Row],[Birthweight Z-Score]],TRUE)*100,"")</f>
        <v/>
      </c>
      <c r="K3739" s="7" t="str">
        <f>IF(Table1[[#This Row],[Is Data Valid]]=TRUE,_xlfn.NORM.S.DIST(Table1[[#This Row],[Birthweight Z-Score (BW-10%)]],TRUE)*100,"")</f>
        <v/>
      </c>
      <c r="L3739" s="7" t="str">
        <f>IF(Table1[[#This Row],[Is Data Valid]]=TRUE,_xlfn.NORM.S.DIST(Table1[[#This Row],[Birthweight Z-Score (BW+10%)]],TRUE)*100,"")</f>
        <v/>
      </c>
    </row>
    <row r="3740" spans="1:12" x14ac:dyDescent="0.35">
      <c r="A3740" s="3"/>
      <c r="B3740" s="2"/>
      <c r="C3740" s="2"/>
      <c r="D3740" s="2" t="b">
        <f>IF(AND(NOT(ISBLANK(Table1[[#This Row],[Fetal Sex (Male, Female or Unknown)]])),ISNUMBER(Table1[[#This Row],[Birthweight (grams)]]),ISNUMBER(Table1[[#This Row],[Gestation (days)]])),TRUE,FALSE)</f>
        <v>0</v>
      </c>
      <c r="E3740" s="2" t="str">
        <f>IF(Table1[[#This Row],[Is Data Valid]]=TRUE,IF(Table1[[#This Row],[Fetal Sex (Male, Female or Unknown)]]="Male",Backend!$C$6,IF(Table1[[#This Row],[Fetal Sex (Male, Female or Unknown)]]="Female",Backend!$C$7,IF(Table1[[#This Row],[Fetal Sex (Male, Female or Unknown)]]="Unknown",Backend!$C$8,"Error"))),"")</f>
        <v/>
      </c>
      <c r="F3740" s="8" t="str">
        <f>IF(Table1[[#This Row],[Is Data Valid]]=TRUE,EXP(0.578+0.332*((Table1[[#This Row],[Gestation (days)]]+0.5)/7)-0.00354*((Table1[[#This Row],[Gestation (days)]]+0.5)/7)^2)*Table1[[#This Row],[BW40_3705]],"")</f>
        <v/>
      </c>
      <c r="G3740" s="2" t="str">
        <f>IF(Table1[[#This Row],[Is Data Valid]]=TRUE,((Table1[[#This Row],[Birthweight (grams)]]/Table1[[#This Row],[BW_GA]])-1)/(Backend!$B$4/100*Table1[[#This Row],[BW40_3705]]),"")</f>
        <v/>
      </c>
      <c r="H3740" s="7" t="str">
        <f>IF(Table1[[#This Row],[Is Data Valid]]=TRUE,((Table1[[#This Row],[Birthweight (grams)]]*0.9/Table1[[#This Row],[BW_GA]])-1)/(Backend!$B$4/100*Table1[[#This Row],[BW40_3705]]),"")</f>
        <v/>
      </c>
      <c r="I3740" s="7" t="str">
        <f>IF(Table1[[#This Row],[Is Data Valid]]=TRUE,((Table1[[#This Row],[Birthweight (grams)]]*1.1/Table1[[#This Row],[BW_GA]])-1)/(Backend!$B$4/100*Table1[[#This Row],[BW40_3705]]),"")</f>
        <v/>
      </c>
      <c r="J3740" s="7" t="str">
        <f>IF(Table1[[#This Row],[Is Data Valid]]=TRUE,_xlfn.NORM.S.DIST(Table1[[#This Row],[Birthweight Z-Score]],TRUE)*100,"")</f>
        <v/>
      </c>
      <c r="K3740" s="7" t="str">
        <f>IF(Table1[[#This Row],[Is Data Valid]]=TRUE,_xlfn.NORM.S.DIST(Table1[[#This Row],[Birthweight Z-Score (BW-10%)]],TRUE)*100,"")</f>
        <v/>
      </c>
      <c r="L3740" s="7" t="str">
        <f>IF(Table1[[#This Row],[Is Data Valid]]=TRUE,_xlfn.NORM.S.DIST(Table1[[#This Row],[Birthweight Z-Score (BW+10%)]],TRUE)*100,"")</f>
        <v/>
      </c>
    </row>
    <row r="3741" spans="1:12" x14ac:dyDescent="0.35">
      <c r="A3741" s="3"/>
      <c r="B3741" s="2"/>
      <c r="C3741" s="2"/>
      <c r="D3741" s="2" t="b">
        <f>IF(AND(NOT(ISBLANK(Table1[[#This Row],[Fetal Sex (Male, Female or Unknown)]])),ISNUMBER(Table1[[#This Row],[Birthweight (grams)]]),ISNUMBER(Table1[[#This Row],[Gestation (days)]])),TRUE,FALSE)</f>
        <v>0</v>
      </c>
      <c r="E3741" s="2" t="str">
        <f>IF(Table1[[#This Row],[Is Data Valid]]=TRUE,IF(Table1[[#This Row],[Fetal Sex (Male, Female or Unknown)]]="Male",Backend!$C$6,IF(Table1[[#This Row],[Fetal Sex (Male, Female or Unknown)]]="Female",Backend!$C$7,IF(Table1[[#This Row],[Fetal Sex (Male, Female or Unknown)]]="Unknown",Backend!$C$8,"Error"))),"")</f>
        <v/>
      </c>
      <c r="F3741" s="8" t="str">
        <f>IF(Table1[[#This Row],[Is Data Valid]]=TRUE,EXP(0.578+0.332*((Table1[[#This Row],[Gestation (days)]]+0.5)/7)-0.00354*((Table1[[#This Row],[Gestation (days)]]+0.5)/7)^2)*Table1[[#This Row],[BW40_3705]],"")</f>
        <v/>
      </c>
      <c r="G3741" s="2" t="str">
        <f>IF(Table1[[#This Row],[Is Data Valid]]=TRUE,((Table1[[#This Row],[Birthweight (grams)]]/Table1[[#This Row],[BW_GA]])-1)/(Backend!$B$4/100*Table1[[#This Row],[BW40_3705]]),"")</f>
        <v/>
      </c>
      <c r="H3741" s="7" t="str">
        <f>IF(Table1[[#This Row],[Is Data Valid]]=TRUE,((Table1[[#This Row],[Birthweight (grams)]]*0.9/Table1[[#This Row],[BW_GA]])-1)/(Backend!$B$4/100*Table1[[#This Row],[BW40_3705]]),"")</f>
        <v/>
      </c>
      <c r="I3741" s="7" t="str">
        <f>IF(Table1[[#This Row],[Is Data Valid]]=TRUE,((Table1[[#This Row],[Birthweight (grams)]]*1.1/Table1[[#This Row],[BW_GA]])-1)/(Backend!$B$4/100*Table1[[#This Row],[BW40_3705]]),"")</f>
        <v/>
      </c>
      <c r="J3741" s="7" t="str">
        <f>IF(Table1[[#This Row],[Is Data Valid]]=TRUE,_xlfn.NORM.S.DIST(Table1[[#This Row],[Birthweight Z-Score]],TRUE)*100,"")</f>
        <v/>
      </c>
      <c r="K3741" s="7" t="str">
        <f>IF(Table1[[#This Row],[Is Data Valid]]=TRUE,_xlfn.NORM.S.DIST(Table1[[#This Row],[Birthweight Z-Score (BW-10%)]],TRUE)*100,"")</f>
        <v/>
      </c>
      <c r="L3741" s="7" t="str">
        <f>IF(Table1[[#This Row],[Is Data Valid]]=TRUE,_xlfn.NORM.S.DIST(Table1[[#This Row],[Birthweight Z-Score (BW+10%)]],TRUE)*100,"")</f>
        <v/>
      </c>
    </row>
    <row r="3742" spans="1:12" x14ac:dyDescent="0.35">
      <c r="A3742" s="3"/>
      <c r="B3742" s="2"/>
      <c r="C3742" s="2"/>
      <c r="D3742" s="2" t="b">
        <f>IF(AND(NOT(ISBLANK(Table1[[#This Row],[Fetal Sex (Male, Female or Unknown)]])),ISNUMBER(Table1[[#This Row],[Birthweight (grams)]]),ISNUMBER(Table1[[#This Row],[Gestation (days)]])),TRUE,FALSE)</f>
        <v>0</v>
      </c>
      <c r="E3742" s="2" t="str">
        <f>IF(Table1[[#This Row],[Is Data Valid]]=TRUE,IF(Table1[[#This Row],[Fetal Sex (Male, Female or Unknown)]]="Male",Backend!$C$6,IF(Table1[[#This Row],[Fetal Sex (Male, Female or Unknown)]]="Female",Backend!$C$7,IF(Table1[[#This Row],[Fetal Sex (Male, Female or Unknown)]]="Unknown",Backend!$C$8,"Error"))),"")</f>
        <v/>
      </c>
      <c r="F3742" s="8" t="str">
        <f>IF(Table1[[#This Row],[Is Data Valid]]=TRUE,EXP(0.578+0.332*((Table1[[#This Row],[Gestation (days)]]+0.5)/7)-0.00354*((Table1[[#This Row],[Gestation (days)]]+0.5)/7)^2)*Table1[[#This Row],[BW40_3705]],"")</f>
        <v/>
      </c>
      <c r="G3742" s="2" t="str">
        <f>IF(Table1[[#This Row],[Is Data Valid]]=TRUE,((Table1[[#This Row],[Birthweight (grams)]]/Table1[[#This Row],[BW_GA]])-1)/(Backend!$B$4/100*Table1[[#This Row],[BW40_3705]]),"")</f>
        <v/>
      </c>
      <c r="H3742" s="7" t="str">
        <f>IF(Table1[[#This Row],[Is Data Valid]]=TRUE,((Table1[[#This Row],[Birthweight (grams)]]*0.9/Table1[[#This Row],[BW_GA]])-1)/(Backend!$B$4/100*Table1[[#This Row],[BW40_3705]]),"")</f>
        <v/>
      </c>
      <c r="I3742" s="7" t="str">
        <f>IF(Table1[[#This Row],[Is Data Valid]]=TRUE,((Table1[[#This Row],[Birthweight (grams)]]*1.1/Table1[[#This Row],[BW_GA]])-1)/(Backend!$B$4/100*Table1[[#This Row],[BW40_3705]]),"")</f>
        <v/>
      </c>
      <c r="J3742" s="7" t="str">
        <f>IF(Table1[[#This Row],[Is Data Valid]]=TRUE,_xlfn.NORM.S.DIST(Table1[[#This Row],[Birthweight Z-Score]],TRUE)*100,"")</f>
        <v/>
      </c>
      <c r="K3742" s="7" t="str">
        <f>IF(Table1[[#This Row],[Is Data Valid]]=TRUE,_xlfn.NORM.S.DIST(Table1[[#This Row],[Birthweight Z-Score (BW-10%)]],TRUE)*100,"")</f>
        <v/>
      </c>
      <c r="L3742" s="7" t="str">
        <f>IF(Table1[[#This Row],[Is Data Valid]]=TRUE,_xlfn.NORM.S.DIST(Table1[[#This Row],[Birthweight Z-Score (BW+10%)]],TRUE)*100,"")</f>
        <v/>
      </c>
    </row>
    <row r="3743" spans="1:12" x14ac:dyDescent="0.35">
      <c r="A3743" s="3"/>
      <c r="B3743" s="2"/>
      <c r="C3743" s="2"/>
      <c r="D3743" s="2" t="b">
        <f>IF(AND(NOT(ISBLANK(Table1[[#This Row],[Fetal Sex (Male, Female or Unknown)]])),ISNUMBER(Table1[[#This Row],[Birthweight (grams)]]),ISNUMBER(Table1[[#This Row],[Gestation (days)]])),TRUE,FALSE)</f>
        <v>0</v>
      </c>
      <c r="E3743" s="2" t="str">
        <f>IF(Table1[[#This Row],[Is Data Valid]]=TRUE,IF(Table1[[#This Row],[Fetal Sex (Male, Female or Unknown)]]="Male",Backend!$C$6,IF(Table1[[#This Row],[Fetal Sex (Male, Female or Unknown)]]="Female",Backend!$C$7,IF(Table1[[#This Row],[Fetal Sex (Male, Female or Unknown)]]="Unknown",Backend!$C$8,"Error"))),"")</f>
        <v/>
      </c>
      <c r="F3743" s="8" t="str">
        <f>IF(Table1[[#This Row],[Is Data Valid]]=TRUE,EXP(0.578+0.332*((Table1[[#This Row],[Gestation (days)]]+0.5)/7)-0.00354*((Table1[[#This Row],[Gestation (days)]]+0.5)/7)^2)*Table1[[#This Row],[BW40_3705]],"")</f>
        <v/>
      </c>
      <c r="G3743" s="2" t="str">
        <f>IF(Table1[[#This Row],[Is Data Valid]]=TRUE,((Table1[[#This Row],[Birthweight (grams)]]/Table1[[#This Row],[BW_GA]])-1)/(Backend!$B$4/100*Table1[[#This Row],[BW40_3705]]),"")</f>
        <v/>
      </c>
      <c r="H3743" s="7" t="str">
        <f>IF(Table1[[#This Row],[Is Data Valid]]=TRUE,((Table1[[#This Row],[Birthweight (grams)]]*0.9/Table1[[#This Row],[BW_GA]])-1)/(Backend!$B$4/100*Table1[[#This Row],[BW40_3705]]),"")</f>
        <v/>
      </c>
      <c r="I3743" s="7" t="str">
        <f>IF(Table1[[#This Row],[Is Data Valid]]=TRUE,((Table1[[#This Row],[Birthweight (grams)]]*1.1/Table1[[#This Row],[BW_GA]])-1)/(Backend!$B$4/100*Table1[[#This Row],[BW40_3705]]),"")</f>
        <v/>
      </c>
      <c r="J3743" s="7" t="str">
        <f>IF(Table1[[#This Row],[Is Data Valid]]=TRUE,_xlfn.NORM.S.DIST(Table1[[#This Row],[Birthweight Z-Score]],TRUE)*100,"")</f>
        <v/>
      </c>
      <c r="K3743" s="7" t="str">
        <f>IF(Table1[[#This Row],[Is Data Valid]]=TRUE,_xlfn.NORM.S.DIST(Table1[[#This Row],[Birthweight Z-Score (BW-10%)]],TRUE)*100,"")</f>
        <v/>
      </c>
      <c r="L3743" s="7" t="str">
        <f>IF(Table1[[#This Row],[Is Data Valid]]=TRUE,_xlfn.NORM.S.DIST(Table1[[#This Row],[Birthweight Z-Score (BW+10%)]],TRUE)*100,"")</f>
        <v/>
      </c>
    </row>
    <row r="3744" spans="1:12" x14ac:dyDescent="0.35">
      <c r="A3744" s="3"/>
      <c r="B3744" s="2"/>
      <c r="C3744" s="2"/>
      <c r="D3744" s="2" t="b">
        <f>IF(AND(NOT(ISBLANK(Table1[[#This Row],[Fetal Sex (Male, Female or Unknown)]])),ISNUMBER(Table1[[#This Row],[Birthweight (grams)]]),ISNUMBER(Table1[[#This Row],[Gestation (days)]])),TRUE,FALSE)</f>
        <v>0</v>
      </c>
      <c r="E3744" s="2" t="str">
        <f>IF(Table1[[#This Row],[Is Data Valid]]=TRUE,IF(Table1[[#This Row],[Fetal Sex (Male, Female or Unknown)]]="Male",Backend!$C$6,IF(Table1[[#This Row],[Fetal Sex (Male, Female or Unknown)]]="Female",Backend!$C$7,IF(Table1[[#This Row],[Fetal Sex (Male, Female or Unknown)]]="Unknown",Backend!$C$8,"Error"))),"")</f>
        <v/>
      </c>
      <c r="F3744" s="8" t="str">
        <f>IF(Table1[[#This Row],[Is Data Valid]]=TRUE,EXP(0.578+0.332*((Table1[[#This Row],[Gestation (days)]]+0.5)/7)-0.00354*((Table1[[#This Row],[Gestation (days)]]+0.5)/7)^2)*Table1[[#This Row],[BW40_3705]],"")</f>
        <v/>
      </c>
      <c r="G3744" s="2" t="str">
        <f>IF(Table1[[#This Row],[Is Data Valid]]=TRUE,((Table1[[#This Row],[Birthweight (grams)]]/Table1[[#This Row],[BW_GA]])-1)/(Backend!$B$4/100*Table1[[#This Row],[BW40_3705]]),"")</f>
        <v/>
      </c>
      <c r="H3744" s="7" t="str">
        <f>IF(Table1[[#This Row],[Is Data Valid]]=TRUE,((Table1[[#This Row],[Birthweight (grams)]]*0.9/Table1[[#This Row],[BW_GA]])-1)/(Backend!$B$4/100*Table1[[#This Row],[BW40_3705]]),"")</f>
        <v/>
      </c>
      <c r="I3744" s="7" t="str">
        <f>IF(Table1[[#This Row],[Is Data Valid]]=TRUE,((Table1[[#This Row],[Birthweight (grams)]]*1.1/Table1[[#This Row],[BW_GA]])-1)/(Backend!$B$4/100*Table1[[#This Row],[BW40_3705]]),"")</f>
        <v/>
      </c>
      <c r="J3744" s="7" t="str">
        <f>IF(Table1[[#This Row],[Is Data Valid]]=TRUE,_xlfn.NORM.S.DIST(Table1[[#This Row],[Birthweight Z-Score]],TRUE)*100,"")</f>
        <v/>
      </c>
      <c r="K3744" s="7" t="str">
        <f>IF(Table1[[#This Row],[Is Data Valid]]=TRUE,_xlfn.NORM.S.DIST(Table1[[#This Row],[Birthweight Z-Score (BW-10%)]],TRUE)*100,"")</f>
        <v/>
      </c>
      <c r="L3744" s="7" t="str">
        <f>IF(Table1[[#This Row],[Is Data Valid]]=TRUE,_xlfn.NORM.S.DIST(Table1[[#This Row],[Birthweight Z-Score (BW+10%)]],TRUE)*100,"")</f>
        <v/>
      </c>
    </row>
    <row r="3745" spans="1:12" x14ac:dyDescent="0.35">
      <c r="A3745" s="3"/>
      <c r="B3745" s="2"/>
      <c r="C3745" s="2"/>
      <c r="D3745" s="2" t="b">
        <f>IF(AND(NOT(ISBLANK(Table1[[#This Row],[Fetal Sex (Male, Female or Unknown)]])),ISNUMBER(Table1[[#This Row],[Birthweight (grams)]]),ISNUMBER(Table1[[#This Row],[Gestation (days)]])),TRUE,FALSE)</f>
        <v>0</v>
      </c>
      <c r="E3745" s="2" t="str">
        <f>IF(Table1[[#This Row],[Is Data Valid]]=TRUE,IF(Table1[[#This Row],[Fetal Sex (Male, Female or Unknown)]]="Male",Backend!$C$6,IF(Table1[[#This Row],[Fetal Sex (Male, Female or Unknown)]]="Female",Backend!$C$7,IF(Table1[[#This Row],[Fetal Sex (Male, Female or Unknown)]]="Unknown",Backend!$C$8,"Error"))),"")</f>
        <v/>
      </c>
      <c r="F3745" s="8" t="str">
        <f>IF(Table1[[#This Row],[Is Data Valid]]=TRUE,EXP(0.578+0.332*((Table1[[#This Row],[Gestation (days)]]+0.5)/7)-0.00354*((Table1[[#This Row],[Gestation (days)]]+0.5)/7)^2)*Table1[[#This Row],[BW40_3705]],"")</f>
        <v/>
      </c>
      <c r="G3745" s="2" t="str">
        <f>IF(Table1[[#This Row],[Is Data Valid]]=TRUE,((Table1[[#This Row],[Birthweight (grams)]]/Table1[[#This Row],[BW_GA]])-1)/(Backend!$B$4/100*Table1[[#This Row],[BW40_3705]]),"")</f>
        <v/>
      </c>
      <c r="H3745" s="7" t="str">
        <f>IF(Table1[[#This Row],[Is Data Valid]]=TRUE,((Table1[[#This Row],[Birthweight (grams)]]*0.9/Table1[[#This Row],[BW_GA]])-1)/(Backend!$B$4/100*Table1[[#This Row],[BW40_3705]]),"")</f>
        <v/>
      </c>
      <c r="I3745" s="7" t="str">
        <f>IF(Table1[[#This Row],[Is Data Valid]]=TRUE,((Table1[[#This Row],[Birthweight (grams)]]*1.1/Table1[[#This Row],[BW_GA]])-1)/(Backend!$B$4/100*Table1[[#This Row],[BW40_3705]]),"")</f>
        <v/>
      </c>
      <c r="J3745" s="7" t="str">
        <f>IF(Table1[[#This Row],[Is Data Valid]]=TRUE,_xlfn.NORM.S.DIST(Table1[[#This Row],[Birthweight Z-Score]],TRUE)*100,"")</f>
        <v/>
      </c>
      <c r="K3745" s="7" t="str">
        <f>IF(Table1[[#This Row],[Is Data Valid]]=TRUE,_xlfn.NORM.S.DIST(Table1[[#This Row],[Birthweight Z-Score (BW-10%)]],TRUE)*100,"")</f>
        <v/>
      </c>
      <c r="L3745" s="7" t="str">
        <f>IF(Table1[[#This Row],[Is Data Valid]]=TRUE,_xlfn.NORM.S.DIST(Table1[[#This Row],[Birthweight Z-Score (BW+10%)]],TRUE)*100,"")</f>
        <v/>
      </c>
    </row>
    <row r="3746" spans="1:12" x14ac:dyDescent="0.35">
      <c r="A3746" s="3"/>
      <c r="B3746" s="2"/>
      <c r="C3746" s="2"/>
      <c r="D3746" s="2" t="b">
        <f>IF(AND(NOT(ISBLANK(Table1[[#This Row],[Fetal Sex (Male, Female or Unknown)]])),ISNUMBER(Table1[[#This Row],[Birthweight (grams)]]),ISNUMBER(Table1[[#This Row],[Gestation (days)]])),TRUE,FALSE)</f>
        <v>0</v>
      </c>
      <c r="E3746" s="2" t="str">
        <f>IF(Table1[[#This Row],[Is Data Valid]]=TRUE,IF(Table1[[#This Row],[Fetal Sex (Male, Female or Unknown)]]="Male",Backend!$C$6,IF(Table1[[#This Row],[Fetal Sex (Male, Female or Unknown)]]="Female",Backend!$C$7,IF(Table1[[#This Row],[Fetal Sex (Male, Female or Unknown)]]="Unknown",Backend!$C$8,"Error"))),"")</f>
        <v/>
      </c>
      <c r="F3746" s="8" t="str">
        <f>IF(Table1[[#This Row],[Is Data Valid]]=TRUE,EXP(0.578+0.332*((Table1[[#This Row],[Gestation (days)]]+0.5)/7)-0.00354*((Table1[[#This Row],[Gestation (days)]]+0.5)/7)^2)*Table1[[#This Row],[BW40_3705]],"")</f>
        <v/>
      </c>
      <c r="G3746" s="2" t="str">
        <f>IF(Table1[[#This Row],[Is Data Valid]]=TRUE,((Table1[[#This Row],[Birthweight (grams)]]/Table1[[#This Row],[BW_GA]])-1)/(Backend!$B$4/100*Table1[[#This Row],[BW40_3705]]),"")</f>
        <v/>
      </c>
      <c r="H3746" s="7" t="str">
        <f>IF(Table1[[#This Row],[Is Data Valid]]=TRUE,((Table1[[#This Row],[Birthweight (grams)]]*0.9/Table1[[#This Row],[BW_GA]])-1)/(Backend!$B$4/100*Table1[[#This Row],[BW40_3705]]),"")</f>
        <v/>
      </c>
      <c r="I3746" s="7" t="str">
        <f>IF(Table1[[#This Row],[Is Data Valid]]=TRUE,((Table1[[#This Row],[Birthweight (grams)]]*1.1/Table1[[#This Row],[BW_GA]])-1)/(Backend!$B$4/100*Table1[[#This Row],[BW40_3705]]),"")</f>
        <v/>
      </c>
      <c r="J3746" s="7" t="str">
        <f>IF(Table1[[#This Row],[Is Data Valid]]=TRUE,_xlfn.NORM.S.DIST(Table1[[#This Row],[Birthweight Z-Score]],TRUE)*100,"")</f>
        <v/>
      </c>
      <c r="K3746" s="7" t="str">
        <f>IF(Table1[[#This Row],[Is Data Valid]]=TRUE,_xlfn.NORM.S.DIST(Table1[[#This Row],[Birthweight Z-Score (BW-10%)]],TRUE)*100,"")</f>
        <v/>
      </c>
      <c r="L3746" s="7" t="str">
        <f>IF(Table1[[#This Row],[Is Data Valid]]=TRUE,_xlfn.NORM.S.DIST(Table1[[#This Row],[Birthweight Z-Score (BW+10%)]],TRUE)*100,"")</f>
        <v/>
      </c>
    </row>
    <row r="3747" spans="1:12" x14ac:dyDescent="0.35">
      <c r="A3747" s="3"/>
      <c r="B3747" s="2"/>
      <c r="C3747" s="2"/>
      <c r="D3747" s="2" t="b">
        <f>IF(AND(NOT(ISBLANK(Table1[[#This Row],[Fetal Sex (Male, Female or Unknown)]])),ISNUMBER(Table1[[#This Row],[Birthweight (grams)]]),ISNUMBER(Table1[[#This Row],[Gestation (days)]])),TRUE,FALSE)</f>
        <v>0</v>
      </c>
      <c r="E3747" s="2" t="str">
        <f>IF(Table1[[#This Row],[Is Data Valid]]=TRUE,IF(Table1[[#This Row],[Fetal Sex (Male, Female or Unknown)]]="Male",Backend!$C$6,IF(Table1[[#This Row],[Fetal Sex (Male, Female or Unknown)]]="Female",Backend!$C$7,IF(Table1[[#This Row],[Fetal Sex (Male, Female or Unknown)]]="Unknown",Backend!$C$8,"Error"))),"")</f>
        <v/>
      </c>
      <c r="F3747" s="8" t="str">
        <f>IF(Table1[[#This Row],[Is Data Valid]]=TRUE,EXP(0.578+0.332*((Table1[[#This Row],[Gestation (days)]]+0.5)/7)-0.00354*((Table1[[#This Row],[Gestation (days)]]+0.5)/7)^2)*Table1[[#This Row],[BW40_3705]],"")</f>
        <v/>
      </c>
      <c r="G3747" s="2" t="str">
        <f>IF(Table1[[#This Row],[Is Data Valid]]=TRUE,((Table1[[#This Row],[Birthweight (grams)]]/Table1[[#This Row],[BW_GA]])-1)/(Backend!$B$4/100*Table1[[#This Row],[BW40_3705]]),"")</f>
        <v/>
      </c>
      <c r="H3747" s="7" t="str">
        <f>IF(Table1[[#This Row],[Is Data Valid]]=TRUE,((Table1[[#This Row],[Birthweight (grams)]]*0.9/Table1[[#This Row],[BW_GA]])-1)/(Backend!$B$4/100*Table1[[#This Row],[BW40_3705]]),"")</f>
        <v/>
      </c>
      <c r="I3747" s="7" t="str">
        <f>IF(Table1[[#This Row],[Is Data Valid]]=TRUE,((Table1[[#This Row],[Birthweight (grams)]]*1.1/Table1[[#This Row],[BW_GA]])-1)/(Backend!$B$4/100*Table1[[#This Row],[BW40_3705]]),"")</f>
        <v/>
      </c>
      <c r="J3747" s="7" t="str">
        <f>IF(Table1[[#This Row],[Is Data Valid]]=TRUE,_xlfn.NORM.S.DIST(Table1[[#This Row],[Birthweight Z-Score]],TRUE)*100,"")</f>
        <v/>
      </c>
      <c r="K3747" s="7" t="str">
        <f>IF(Table1[[#This Row],[Is Data Valid]]=TRUE,_xlfn.NORM.S.DIST(Table1[[#This Row],[Birthweight Z-Score (BW-10%)]],TRUE)*100,"")</f>
        <v/>
      </c>
      <c r="L3747" s="7" t="str">
        <f>IF(Table1[[#This Row],[Is Data Valid]]=TRUE,_xlfn.NORM.S.DIST(Table1[[#This Row],[Birthweight Z-Score (BW+10%)]],TRUE)*100,"")</f>
        <v/>
      </c>
    </row>
    <row r="3748" spans="1:12" x14ac:dyDescent="0.35">
      <c r="A3748" s="3"/>
      <c r="B3748" s="2"/>
      <c r="C3748" s="2"/>
      <c r="D3748" s="2" t="b">
        <f>IF(AND(NOT(ISBLANK(Table1[[#This Row],[Fetal Sex (Male, Female or Unknown)]])),ISNUMBER(Table1[[#This Row],[Birthweight (grams)]]),ISNUMBER(Table1[[#This Row],[Gestation (days)]])),TRUE,FALSE)</f>
        <v>0</v>
      </c>
      <c r="E3748" s="2" t="str">
        <f>IF(Table1[[#This Row],[Is Data Valid]]=TRUE,IF(Table1[[#This Row],[Fetal Sex (Male, Female or Unknown)]]="Male",Backend!$C$6,IF(Table1[[#This Row],[Fetal Sex (Male, Female or Unknown)]]="Female",Backend!$C$7,IF(Table1[[#This Row],[Fetal Sex (Male, Female or Unknown)]]="Unknown",Backend!$C$8,"Error"))),"")</f>
        <v/>
      </c>
      <c r="F3748" s="8" t="str">
        <f>IF(Table1[[#This Row],[Is Data Valid]]=TRUE,EXP(0.578+0.332*((Table1[[#This Row],[Gestation (days)]]+0.5)/7)-0.00354*((Table1[[#This Row],[Gestation (days)]]+0.5)/7)^2)*Table1[[#This Row],[BW40_3705]],"")</f>
        <v/>
      </c>
      <c r="G3748" s="2" t="str">
        <f>IF(Table1[[#This Row],[Is Data Valid]]=TRUE,((Table1[[#This Row],[Birthweight (grams)]]/Table1[[#This Row],[BW_GA]])-1)/(Backend!$B$4/100*Table1[[#This Row],[BW40_3705]]),"")</f>
        <v/>
      </c>
      <c r="H3748" s="7" t="str">
        <f>IF(Table1[[#This Row],[Is Data Valid]]=TRUE,((Table1[[#This Row],[Birthweight (grams)]]*0.9/Table1[[#This Row],[BW_GA]])-1)/(Backend!$B$4/100*Table1[[#This Row],[BW40_3705]]),"")</f>
        <v/>
      </c>
      <c r="I3748" s="7" t="str">
        <f>IF(Table1[[#This Row],[Is Data Valid]]=TRUE,((Table1[[#This Row],[Birthweight (grams)]]*1.1/Table1[[#This Row],[BW_GA]])-1)/(Backend!$B$4/100*Table1[[#This Row],[BW40_3705]]),"")</f>
        <v/>
      </c>
      <c r="J3748" s="7" t="str">
        <f>IF(Table1[[#This Row],[Is Data Valid]]=TRUE,_xlfn.NORM.S.DIST(Table1[[#This Row],[Birthweight Z-Score]],TRUE)*100,"")</f>
        <v/>
      </c>
      <c r="K3748" s="7" t="str">
        <f>IF(Table1[[#This Row],[Is Data Valid]]=TRUE,_xlfn.NORM.S.DIST(Table1[[#This Row],[Birthweight Z-Score (BW-10%)]],TRUE)*100,"")</f>
        <v/>
      </c>
      <c r="L3748" s="7" t="str">
        <f>IF(Table1[[#This Row],[Is Data Valid]]=TRUE,_xlfn.NORM.S.DIST(Table1[[#This Row],[Birthweight Z-Score (BW+10%)]],TRUE)*100,"")</f>
        <v/>
      </c>
    </row>
    <row r="3749" spans="1:12" x14ac:dyDescent="0.35">
      <c r="A3749" s="3"/>
      <c r="B3749" s="2"/>
      <c r="C3749" s="2"/>
      <c r="D3749" s="2" t="b">
        <f>IF(AND(NOT(ISBLANK(Table1[[#This Row],[Fetal Sex (Male, Female or Unknown)]])),ISNUMBER(Table1[[#This Row],[Birthweight (grams)]]),ISNUMBER(Table1[[#This Row],[Gestation (days)]])),TRUE,FALSE)</f>
        <v>0</v>
      </c>
      <c r="E3749" s="2" t="str">
        <f>IF(Table1[[#This Row],[Is Data Valid]]=TRUE,IF(Table1[[#This Row],[Fetal Sex (Male, Female or Unknown)]]="Male",Backend!$C$6,IF(Table1[[#This Row],[Fetal Sex (Male, Female or Unknown)]]="Female",Backend!$C$7,IF(Table1[[#This Row],[Fetal Sex (Male, Female or Unknown)]]="Unknown",Backend!$C$8,"Error"))),"")</f>
        <v/>
      </c>
      <c r="F3749" s="8" t="str">
        <f>IF(Table1[[#This Row],[Is Data Valid]]=TRUE,EXP(0.578+0.332*((Table1[[#This Row],[Gestation (days)]]+0.5)/7)-0.00354*((Table1[[#This Row],[Gestation (days)]]+0.5)/7)^2)*Table1[[#This Row],[BW40_3705]],"")</f>
        <v/>
      </c>
      <c r="G3749" s="2" t="str">
        <f>IF(Table1[[#This Row],[Is Data Valid]]=TRUE,((Table1[[#This Row],[Birthweight (grams)]]/Table1[[#This Row],[BW_GA]])-1)/(Backend!$B$4/100*Table1[[#This Row],[BW40_3705]]),"")</f>
        <v/>
      </c>
      <c r="H3749" s="7" t="str">
        <f>IF(Table1[[#This Row],[Is Data Valid]]=TRUE,((Table1[[#This Row],[Birthweight (grams)]]*0.9/Table1[[#This Row],[BW_GA]])-1)/(Backend!$B$4/100*Table1[[#This Row],[BW40_3705]]),"")</f>
        <v/>
      </c>
      <c r="I3749" s="7" t="str">
        <f>IF(Table1[[#This Row],[Is Data Valid]]=TRUE,((Table1[[#This Row],[Birthweight (grams)]]*1.1/Table1[[#This Row],[BW_GA]])-1)/(Backend!$B$4/100*Table1[[#This Row],[BW40_3705]]),"")</f>
        <v/>
      </c>
      <c r="J3749" s="7" t="str">
        <f>IF(Table1[[#This Row],[Is Data Valid]]=TRUE,_xlfn.NORM.S.DIST(Table1[[#This Row],[Birthweight Z-Score]],TRUE)*100,"")</f>
        <v/>
      </c>
      <c r="K3749" s="7" t="str">
        <f>IF(Table1[[#This Row],[Is Data Valid]]=TRUE,_xlfn.NORM.S.DIST(Table1[[#This Row],[Birthweight Z-Score (BW-10%)]],TRUE)*100,"")</f>
        <v/>
      </c>
      <c r="L3749" s="7" t="str">
        <f>IF(Table1[[#This Row],[Is Data Valid]]=TRUE,_xlfn.NORM.S.DIST(Table1[[#This Row],[Birthweight Z-Score (BW+10%)]],TRUE)*100,"")</f>
        <v/>
      </c>
    </row>
    <row r="3750" spans="1:12" x14ac:dyDescent="0.35">
      <c r="A3750" s="3"/>
      <c r="B3750" s="2"/>
      <c r="C3750" s="2"/>
      <c r="D3750" s="2" t="b">
        <f>IF(AND(NOT(ISBLANK(Table1[[#This Row],[Fetal Sex (Male, Female or Unknown)]])),ISNUMBER(Table1[[#This Row],[Birthweight (grams)]]),ISNUMBER(Table1[[#This Row],[Gestation (days)]])),TRUE,FALSE)</f>
        <v>0</v>
      </c>
      <c r="E3750" s="2" t="str">
        <f>IF(Table1[[#This Row],[Is Data Valid]]=TRUE,IF(Table1[[#This Row],[Fetal Sex (Male, Female or Unknown)]]="Male",Backend!$C$6,IF(Table1[[#This Row],[Fetal Sex (Male, Female or Unknown)]]="Female",Backend!$C$7,IF(Table1[[#This Row],[Fetal Sex (Male, Female or Unknown)]]="Unknown",Backend!$C$8,"Error"))),"")</f>
        <v/>
      </c>
      <c r="F3750" s="8" t="str">
        <f>IF(Table1[[#This Row],[Is Data Valid]]=TRUE,EXP(0.578+0.332*((Table1[[#This Row],[Gestation (days)]]+0.5)/7)-0.00354*((Table1[[#This Row],[Gestation (days)]]+0.5)/7)^2)*Table1[[#This Row],[BW40_3705]],"")</f>
        <v/>
      </c>
      <c r="G3750" s="2" t="str">
        <f>IF(Table1[[#This Row],[Is Data Valid]]=TRUE,((Table1[[#This Row],[Birthweight (grams)]]/Table1[[#This Row],[BW_GA]])-1)/(Backend!$B$4/100*Table1[[#This Row],[BW40_3705]]),"")</f>
        <v/>
      </c>
      <c r="H3750" s="7" t="str">
        <f>IF(Table1[[#This Row],[Is Data Valid]]=TRUE,((Table1[[#This Row],[Birthweight (grams)]]*0.9/Table1[[#This Row],[BW_GA]])-1)/(Backend!$B$4/100*Table1[[#This Row],[BW40_3705]]),"")</f>
        <v/>
      </c>
      <c r="I3750" s="7" t="str">
        <f>IF(Table1[[#This Row],[Is Data Valid]]=TRUE,((Table1[[#This Row],[Birthweight (grams)]]*1.1/Table1[[#This Row],[BW_GA]])-1)/(Backend!$B$4/100*Table1[[#This Row],[BW40_3705]]),"")</f>
        <v/>
      </c>
      <c r="J3750" s="7" t="str">
        <f>IF(Table1[[#This Row],[Is Data Valid]]=TRUE,_xlfn.NORM.S.DIST(Table1[[#This Row],[Birthweight Z-Score]],TRUE)*100,"")</f>
        <v/>
      </c>
      <c r="K3750" s="7" t="str">
        <f>IF(Table1[[#This Row],[Is Data Valid]]=TRUE,_xlfn.NORM.S.DIST(Table1[[#This Row],[Birthweight Z-Score (BW-10%)]],TRUE)*100,"")</f>
        <v/>
      </c>
      <c r="L3750" s="7" t="str">
        <f>IF(Table1[[#This Row],[Is Data Valid]]=TRUE,_xlfn.NORM.S.DIST(Table1[[#This Row],[Birthweight Z-Score (BW+10%)]],TRUE)*100,"")</f>
        <v/>
      </c>
    </row>
    <row r="3751" spans="1:12" x14ac:dyDescent="0.35">
      <c r="A3751" s="3"/>
      <c r="B3751" s="2"/>
      <c r="C3751" s="2"/>
      <c r="D3751" s="2" t="b">
        <f>IF(AND(NOT(ISBLANK(Table1[[#This Row],[Fetal Sex (Male, Female or Unknown)]])),ISNUMBER(Table1[[#This Row],[Birthweight (grams)]]),ISNUMBER(Table1[[#This Row],[Gestation (days)]])),TRUE,FALSE)</f>
        <v>0</v>
      </c>
      <c r="E3751" s="2" t="str">
        <f>IF(Table1[[#This Row],[Is Data Valid]]=TRUE,IF(Table1[[#This Row],[Fetal Sex (Male, Female or Unknown)]]="Male",Backend!$C$6,IF(Table1[[#This Row],[Fetal Sex (Male, Female or Unknown)]]="Female",Backend!$C$7,IF(Table1[[#This Row],[Fetal Sex (Male, Female or Unknown)]]="Unknown",Backend!$C$8,"Error"))),"")</f>
        <v/>
      </c>
      <c r="F3751" s="8" t="str">
        <f>IF(Table1[[#This Row],[Is Data Valid]]=TRUE,EXP(0.578+0.332*((Table1[[#This Row],[Gestation (days)]]+0.5)/7)-0.00354*((Table1[[#This Row],[Gestation (days)]]+0.5)/7)^2)*Table1[[#This Row],[BW40_3705]],"")</f>
        <v/>
      </c>
      <c r="G3751" s="2" t="str">
        <f>IF(Table1[[#This Row],[Is Data Valid]]=TRUE,((Table1[[#This Row],[Birthweight (grams)]]/Table1[[#This Row],[BW_GA]])-1)/(Backend!$B$4/100*Table1[[#This Row],[BW40_3705]]),"")</f>
        <v/>
      </c>
      <c r="H3751" s="7" t="str">
        <f>IF(Table1[[#This Row],[Is Data Valid]]=TRUE,((Table1[[#This Row],[Birthweight (grams)]]*0.9/Table1[[#This Row],[BW_GA]])-1)/(Backend!$B$4/100*Table1[[#This Row],[BW40_3705]]),"")</f>
        <v/>
      </c>
      <c r="I3751" s="7" t="str">
        <f>IF(Table1[[#This Row],[Is Data Valid]]=TRUE,((Table1[[#This Row],[Birthweight (grams)]]*1.1/Table1[[#This Row],[BW_GA]])-1)/(Backend!$B$4/100*Table1[[#This Row],[BW40_3705]]),"")</f>
        <v/>
      </c>
      <c r="J3751" s="7" t="str">
        <f>IF(Table1[[#This Row],[Is Data Valid]]=TRUE,_xlfn.NORM.S.DIST(Table1[[#This Row],[Birthweight Z-Score]],TRUE)*100,"")</f>
        <v/>
      </c>
      <c r="K3751" s="7" t="str">
        <f>IF(Table1[[#This Row],[Is Data Valid]]=TRUE,_xlfn.NORM.S.DIST(Table1[[#This Row],[Birthweight Z-Score (BW-10%)]],TRUE)*100,"")</f>
        <v/>
      </c>
      <c r="L3751" s="7" t="str">
        <f>IF(Table1[[#This Row],[Is Data Valid]]=TRUE,_xlfn.NORM.S.DIST(Table1[[#This Row],[Birthweight Z-Score (BW+10%)]],TRUE)*100,"")</f>
        <v/>
      </c>
    </row>
    <row r="3752" spans="1:12" x14ac:dyDescent="0.35">
      <c r="A3752" s="3"/>
      <c r="B3752" s="2"/>
      <c r="C3752" s="2"/>
      <c r="D3752" s="2" t="b">
        <f>IF(AND(NOT(ISBLANK(Table1[[#This Row],[Fetal Sex (Male, Female or Unknown)]])),ISNUMBER(Table1[[#This Row],[Birthweight (grams)]]),ISNUMBER(Table1[[#This Row],[Gestation (days)]])),TRUE,FALSE)</f>
        <v>0</v>
      </c>
      <c r="E3752" s="2" t="str">
        <f>IF(Table1[[#This Row],[Is Data Valid]]=TRUE,IF(Table1[[#This Row],[Fetal Sex (Male, Female or Unknown)]]="Male",Backend!$C$6,IF(Table1[[#This Row],[Fetal Sex (Male, Female or Unknown)]]="Female",Backend!$C$7,IF(Table1[[#This Row],[Fetal Sex (Male, Female or Unknown)]]="Unknown",Backend!$C$8,"Error"))),"")</f>
        <v/>
      </c>
      <c r="F3752" s="8" t="str">
        <f>IF(Table1[[#This Row],[Is Data Valid]]=TRUE,EXP(0.578+0.332*((Table1[[#This Row],[Gestation (days)]]+0.5)/7)-0.00354*((Table1[[#This Row],[Gestation (days)]]+0.5)/7)^2)*Table1[[#This Row],[BW40_3705]],"")</f>
        <v/>
      </c>
      <c r="G3752" s="2" t="str">
        <f>IF(Table1[[#This Row],[Is Data Valid]]=TRUE,((Table1[[#This Row],[Birthweight (grams)]]/Table1[[#This Row],[BW_GA]])-1)/(Backend!$B$4/100*Table1[[#This Row],[BW40_3705]]),"")</f>
        <v/>
      </c>
      <c r="H3752" s="7" t="str">
        <f>IF(Table1[[#This Row],[Is Data Valid]]=TRUE,((Table1[[#This Row],[Birthweight (grams)]]*0.9/Table1[[#This Row],[BW_GA]])-1)/(Backend!$B$4/100*Table1[[#This Row],[BW40_3705]]),"")</f>
        <v/>
      </c>
      <c r="I3752" s="7" t="str">
        <f>IF(Table1[[#This Row],[Is Data Valid]]=TRUE,((Table1[[#This Row],[Birthweight (grams)]]*1.1/Table1[[#This Row],[BW_GA]])-1)/(Backend!$B$4/100*Table1[[#This Row],[BW40_3705]]),"")</f>
        <v/>
      </c>
      <c r="J3752" s="7" t="str">
        <f>IF(Table1[[#This Row],[Is Data Valid]]=TRUE,_xlfn.NORM.S.DIST(Table1[[#This Row],[Birthweight Z-Score]],TRUE)*100,"")</f>
        <v/>
      </c>
      <c r="K3752" s="7" t="str">
        <f>IF(Table1[[#This Row],[Is Data Valid]]=TRUE,_xlfn.NORM.S.DIST(Table1[[#This Row],[Birthweight Z-Score (BW-10%)]],TRUE)*100,"")</f>
        <v/>
      </c>
      <c r="L3752" s="7" t="str">
        <f>IF(Table1[[#This Row],[Is Data Valid]]=TRUE,_xlfn.NORM.S.DIST(Table1[[#This Row],[Birthweight Z-Score (BW+10%)]],TRUE)*100,"")</f>
        <v/>
      </c>
    </row>
    <row r="3753" spans="1:12" x14ac:dyDescent="0.35">
      <c r="A3753" s="3"/>
      <c r="B3753" s="2"/>
      <c r="C3753" s="2"/>
      <c r="D3753" s="2" t="b">
        <f>IF(AND(NOT(ISBLANK(Table1[[#This Row],[Fetal Sex (Male, Female or Unknown)]])),ISNUMBER(Table1[[#This Row],[Birthweight (grams)]]),ISNUMBER(Table1[[#This Row],[Gestation (days)]])),TRUE,FALSE)</f>
        <v>0</v>
      </c>
      <c r="E3753" s="2" t="str">
        <f>IF(Table1[[#This Row],[Is Data Valid]]=TRUE,IF(Table1[[#This Row],[Fetal Sex (Male, Female or Unknown)]]="Male",Backend!$C$6,IF(Table1[[#This Row],[Fetal Sex (Male, Female or Unknown)]]="Female",Backend!$C$7,IF(Table1[[#This Row],[Fetal Sex (Male, Female or Unknown)]]="Unknown",Backend!$C$8,"Error"))),"")</f>
        <v/>
      </c>
      <c r="F3753" s="8" t="str">
        <f>IF(Table1[[#This Row],[Is Data Valid]]=TRUE,EXP(0.578+0.332*((Table1[[#This Row],[Gestation (days)]]+0.5)/7)-0.00354*((Table1[[#This Row],[Gestation (days)]]+0.5)/7)^2)*Table1[[#This Row],[BW40_3705]],"")</f>
        <v/>
      </c>
      <c r="G3753" s="2" t="str">
        <f>IF(Table1[[#This Row],[Is Data Valid]]=TRUE,((Table1[[#This Row],[Birthweight (grams)]]/Table1[[#This Row],[BW_GA]])-1)/(Backend!$B$4/100*Table1[[#This Row],[BW40_3705]]),"")</f>
        <v/>
      </c>
      <c r="H3753" s="7" t="str">
        <f>IF(Table1[[#This Row],[Is Data Valid]]=TRUE,((Table1[[#This Row],[Birthweight (grams)]]*0.9/Table1[[#This Row],[BW_GA]])-1)/(Backend!$B$4/100*Table1[[#This Row],[BW40_3705]]),"")</f>
        <v/>
      </c>
      <c r="I3753" s="7" t="str">
        <f>IF(Table1[[#This Row],[Is Data Valid]]=TRUE,((Table1[[#This Row],[Birthweight (grams)]]*1.1/Table1[[#This Row],[BW_GA]])-1)/(Backend!$B$4/100*Table1[[#This Row],[BW40_3705]]),"")</f>
        <v/>
      </c>
      <c r="J3753" s="7" t="str">
        <f>IF(Table1[[#This Row],[Is Data Valid]]=TRUE,_xlfn.NORM.S.DIST(Table1[[#This Row],[Birthweight Z-Score]],TRUE)*100,"")</f>
        <v/>
      </c>
      <c r="K3753" s="7" t="str">
        <f>IF(Table1[[#This Row],[Is Data Valid]]=TRUE,_xlfn.NORM.S.DIST(Table1[[#This Row],[Birthweight Z-Score (BW-10%)]],TRUE)*100,"")</f>
        <v/>
      </c>
      <c r="L3753" s="7" t="str">
        <f>IF(Table1[[#This Row],[Is Data Valid]]=TRUE,_xlfn.NORM.S.DIST(Table1[[#This Row],[Birthweight Z-Score (BW+10%)]],TRUE)*100,"")</f>
        <v/>
      </c>
    </row>
    <row r="3754" spans="1:12" x14ac:dyDescent="0.35">
      <c r="A3754" s="3"/>
      <c r="B3754" s="2"/>
      <c r="C3754" s="2"/>
      <c r="D3754" s="2" t="b">
        <f>IF(AND(NOT(ISBLANK(Table1[[#This Row],[Fetal Sex (Male, Female or Unknown)]])),ISNUMBER(Table1[[#This Row],[Birthweight (grams)]]),ISNUMBER(Table1[[#This Row],[Gestation (days)]])),TRUE,FALSE)</f>
        <v>0</v>
      </c>
      <c r="E3754" s="2" t="str">
        <f>IF(Table1[[#This Row],[Is Data Valid]]=TRUE,IF(Table1[[#This Row],[Fetal Sex (Male, Female or Unknown)]]="Male",Backend!$C$6,IF(Table1[[#This Row],[Fetal Sex (Male, Female or Unknown)]]="Female",Backend!$C$7,IF(Table1[[#This Row],[Fetal Sex (Male, Female or Unknown)]]="Unknown",Backend!$C$8,"Error"))),"")</f>
        <v/>
      </c>
      <c r="F3754" s="8" t="str">
        <f>IF(Table1[[#This Row],[Is Data Valid]]=TRUE,EXP(0.578+0.332*((Table1[[#This Row],[Gestation (days)]]+0.5)/7)-0.00354*((Table1[[#This Row],[Gestation (days)]]+0.5)/7)^2)*Table1[[#This Row],[BW40_3705]],"")</f>
        <v/>
      </c>
      <c r="G3754" s="2" t="str">
        <f>IF(Table1[[#This Row],[Is Data Valid]]=TRUE,((Table1[[#This Row],[Birthweight (grams)]]/Table1[[#This Row],[BW_GA]])-1)/(Backend!$B$4/100*Table1[[#This Row],[BW40_3705]]),"")</f>
        <v/>
      </c>
      <c r="H3754" s="7" t="str">
        <f>IF(Table1[[#This Row],[Is Data Valid]]=TRUE,((Table1[[#This Row],[Birthweight (grams)]]*0.9/Table1[[#This Row],[BW_GA]])-1)/(Backend!$B$4/100*Table1[[#This Row],[BW40_3705]]),"")</f>
        <v/>
      </c>
      <c r="I3754" s="7" t="str">
        <f>IF(Table1[[#This Row],[Is Data Valid]]=TRUE,((Table1[[#This Row],[Birthweight (grams)]]*1.1/Table1[[#This Row],[BW_GA]])-1)/(Backend!$B$4/100*Table1[[#This Row],[BW40_3705]]),"")</f>
        <v/>
      </c>
      <c r="J3754" s="7" t="str">
        <f>IF(Table1[[#This Row],[Is Data Valid]]=TRUE,_xlfn.NORM.S.DIST(Table1[[#This Row],[Birthweight Z-Score]],TRUE)*100,"")</f>
        <v/>
      </c>
      <c r="K3754" s="7" t="str">
        <f>IF(Table1[[#This Row],[Is Data Valid]]=TRUE,_xlfn.NORM.S.DIST(Table1[[#This Row],[Birthweight Z-Score (BW-10%)]],TRUE)*100,"")</f>
        <v/>
      </c>
      <c r="L3754" s="7" t="str">
        <f>IF(Table1[[#This Row],[Is Data Valid]]=TRUE,_xlfn.NORM.S.DIST(Table1[[#This Row],[Birthweight Z-Score (BW+10%)]],TRUE)*100,"")</f>
        <v/>
      </c>
    </row>
    <row r="3755" spans="1:12" x14ac:dyDescent="0.35">
      <c r="A3755" s="3"/>
      <c r="B3755" s="2"/>
      <c r="C3755" s="2"/>
      <c r="D3755" s="2" t="b">
        <f>IF(AND(NOT(ISBLANK(Table1[[#This Row],[Fetal Sex (Male, Female or Unknown)]])),ISNUMBER(Table1[[#This Row],[Birthweight (grams)]]),ISNUMBER(Table1[[#This Row],[Gestation (days)]])),TRUE,FALSE)</f>
        <v>0</v>
      </c>
      <c r="E3755" s="2" t="str">
        <f>IF(Table1[[#This Row],[Is Data Valid]]=TRUE,IF(Table1[[#This Row],[Fetal Sex (Male, Female or Unknown)]]="Male",Backend!$C$6,IF(Table1[[#This Row],[Fetal Sex (Male, Female or Unknown)]]="Female",Backend!$C$7,IF(Table1[[#This Row],[Fetal Sex (Male, Female or Unknown)]]="Unknown",Backend!$C$8,"Error"))),"")</f>
        <v/>
      </c>
      <c r="F3755" s="8" t="str">
        <f>IF(Table1[[#This Row],[Is Data Valid]]=TRUE,EXP(0.578+0.332*((Table1[[#This Row],[Gestation (days)]]+0.5)/7)-0.00354*((Table1[[#This Row],[Gestation (days)]]+0.5)/7)^2)*Table1[[#This Row],[BW40_3705]],"")</f>
        <v/>
      </c>
      <c r="G3755" s="2" t="str">
        <f>IF(Table1[[#This Row],[Is Data Valid]]=TRUE,((Table1[[#This Row],[Birthweight (grams)]]/Table1[[#This Row],[BW_GA]])-1)/(Backend!$B$4/100*Table1[[#This Row],[BW40_3705]]),"")</f>
        <v/>
      </c>
      <c r="H3755" s="7" t="str">
        <f>IF(Table1[[#This Row],[Is Data Valid]]=TRUE,((Table1[[#This Row],[Birthweight (grams)]]*0.9/Table1[[#This Row],[BW_GA]])-1)/(Backend!$B$4/100*Table1[[#This Row],[BW40_3705]]),"")</f>
        <v/>
      </c>
      <c r="I3755" s="7" t="str">
        <f>IF(Table1[[#This Row],[Is Data Valid]]=TRUE,((Table1[[#This Row],[Birthweight (grams)]]*1.1/Table1[[#This Row],[BW_GA]])-1)/(Backend!$B$4/100*Table1[[#This Row],[BW40_3705]]),"")</f>
        <v/>
      </c>
      <c r="J3755" s="7" t="str">
        <f>IF(Table1[[#This Row],[Is Data Valid]]=TRUE,_xlfn.NORM.S.DIST(Table1[[#This Row],[Birthweight Z-Score]],TRUE)*100,"")</f>
        <v/>
      </c>
      <c r="K3755" s="7" t="str">
        <f>IF(Table1[[#This Row],[Is Data Valid]]=TRUE,_xlfn.NORM.S.DIST(Table1[[#This Row],[Birthweight Z-Score (BW-10%)]],TRUE)*100,"")</f>
        <v/>
      </c>
      <c r="L3755" s="7" t="str">
        <f>IF(Table1[[#This Row],[Is Data Valid]]=TRUE,_xlfn.NORM.S.DIST(Table1[[#This Row],[Birthweight Z-Score (BW+10%)]],TRUE)*100,"")</f>
        <v/>
      </c>
    </row>
    <row r="3756" spans="1:12" x14ac:dyDescent="0.35">
      <c r="A3756" s="3"/>
      <c r="B3756" s="2"/>
      <c r="C3756" s="2"/>
      <c r="D3756" s="2" t="b">
        <f>IF(AND(NOT(ISBLANK(Table1[[#This Row],[Fetal Sex (Male, Female or Unknown)]])),ISNUMBER(Table1[[#This Row],[Birthweight (grams)]]),ISNUMBER(Table1[[#This Row],[Gestation (days)]])),TRUE,FALSE)</f>
        <v>0</v>
      </c>
      <c r="E3756" s="2" t="str">
        <f>IF(Table1[[#This Row],[Is Data Valid]]=TRUE,IF(Table1[[#This Row],[Fetal Sex (Male, Female or Unknown)]]="Male",Backend!$C$6,IF(Table1[[#This Row],[Fetal Sex (Male, Female or Unknown)]]="Female",Backend!$C$7,IF(Table1[[#This Row],[Fetal Sex (Male, Female or Unknown)]]="Unknown",Backend!$C$8,"Error"))),"")</f>
        <v/>
      </c>
      <c r="F3756" s="8" t="str">
        <f>IF(Table1[[#This Row],[Is Data Valid]]=TRUE,EXP(0.578+0.332*((Table1[[#This Row],[Gestation (days)]]+0.5)/7)-0.00354*((Table1[[#This Row],[Gestation (days)]]+0.5)/7)^2)*Table1[[#This Row],[BW40_3705]],"")</f>
        <v/>
      </c>
      <c r="G3756" s="2" t="str">
        <f>IF(Table1[[#This Row],[Is Data Valid]]=TRUE,((Table1[[#This Row],[Birthweight (grams)]]/Table1[[#This Row],[BW_GA]])-1)/(Backend!$B$4/100*Table1[[#This Row],[BW40_3705]]),"")</f>
        <v/>
      </c>
      <c r="H3756" s="7" t="str">
        <f>IF(Table1[[#This Row],[Is Data Valid]]=TRUE,((Table1[[#This Row],[Birthweight (grams)]]*0.9/Table1[[#This Row],[BW_GA]])-1)/(Backend!$B$4/100*Table1[[#This Row],[BW40_3705]]),"")</f>
        <v/>
      </c>
      <c r="I3756" s="7" t="str">
        <f>IF(Table1[[#This Row],[Is Data Valid]]=TRUE,((Table1[[#This Row],[Birthweight (grams)]]*1.1/Table1[[#This Row],[BW_GA]])-1)/(Backend!$B$4/100*Table1[[#This Row],[BW40_3705]]),"")</f>
        <v/>
      </c>
      <c r="J3756" s="7" t="str">
        <f>IF(Table1[[#This Row],[Is Data Valid]]=TRUE,_xlfn.NORM.S.DIST(Table1[[#This Row],[Birthweight Z-Score]],TRUE)*100,"")</f>
        <v/>
      </c>
      <c r="K3756" s="7" t="str">
        <f>IF(Table1[[#This Row],[Is Data Valid]]=TRUE,_xlfn.NORM.S.DIST(Table1[[#This Row],[Birthweight Z-Score (BW-10%)]],TRUE)*100,"")</f>
        <v/>
      </c>
      <c r="L3756" s="7" t="str">
        <f>IF(Table1[[#This Row],[Is Data Valid]]=TRUE,_xlfn.NORM.S.DIST(Table1[[#This Row],[Birthweight Z-Score (BW+10%)]],TRUE)*100,"")</f>
        <v/>
      </c>
    </row>
    <row r="3757" spans="1:12" x14ac:dyDescent="0.35">
      <c r="A3757" s="3"/>
      <c r="B3757" s="2"/>
      <c r="C3757" s="2"/>
      <c r="D3757" s="2" t="b">
        <f>IF(AND(NOT(ISBLANK(Table1[[#This Row],[Fetal Sex (Male, Female or Unknown)]])),ISNUMBER(Table1[[#This Row],[Birthweight (grams)]]),ISNUMBER(Table1[[#This Row],[Gestation (days)]])),TRUE,FALSE)</f>
        <v>0</v>
      </c>
      <c r="E3757" s="2" t="str">
        <f>IF(Table1[[#This Row],[Is Data Valid]]=TRUE,IF(Table1[[#This Row],[Fetal Sex (Male, Female or Unknown)]]="Male",Backend!$C$6,IF(Table1[[#This Row],[Fetal Sex (Male, Female or Unknown)]]="Female",Backend!$C$7,IF(Table1[[#This Row],[Fetal Sex (Male, Female or Unknown)]]="Unknown",Backend!$C$8,"Error"))),"")</f>
        <v/>
      </c>
      <c r="F3757" s="8" t="str">
        <f>IF(Table1[[#This Row],[Is Data Valid]]=TRUE,EXP(0.578+0.332*((Table1[[#This Row],[Gestation (days)]]+0.5)/7)-0.00354*((Table1[[#This Row],[Gestation (days)]]+0.5)/7)^2)*Table1[[#This Row],[BW40_3705]],"")</f>
        <v/>
      </c>
      <c r="G3757" s="2" t="str">
        <f>IF(Table1[[#This Row],[Is Data Valid]]=TRUE,((Table1[[#This Row],[Birthweight (grams)]]/Table1[[#This Row],[BW_GA]])-1)/(Backend!$B$4/100*Table1[[#This Row],[BW40_3705]]),"")</f>
        <v/>
      </c>
      <c r="H3757" s="7" t="str">
        <f>IF(Table1[[#This Row],[Is Data Valid]]=TRUE,((Table1[[#This Row],[Birthweight (grams)]]*0.9/Table1[[#This Row],[BW_GA]])-1)/(Backend!$B$4/100*Table1[[#This Row],[BW40_3705]]),"")</f>
        <v/>
      </c>
      <c r="I3757" s="7" t="str">
        <f>IF(Table1[[#This Row],[Is Data Valid]]=TRUE,((Table1[[#This Row],[Birthweight (grams)]]*1.1/Table1[[#This Row],[BW_GA]])-1)/(Backend!$B$4/100*Table1[[#This Row],[BW40_3705]]),"")</f>
        <v/>
      </c>
      <c r="J3757" s="7" t="str">
        <f>IF(Table1[[#This Row],[Is Data Valid]]=TRUE,_xlfn.NORM.S.DIST(Table1[[#This Row],[Birthweight Z-Score]],TRUE)*100,"")</f>
        <v/>
      </c>
      <c r="K3757" s="7" t="str">
        <f>IF(Table1[[#This Row],[Is Data Valid]]=TRUE,_xlfn.NORM.S.DIST(Table1[[#This Row],[Birthweight Z-Score (BW-10%)]],TRUE)*100,"")</f>
        <v/>
      </c>
      <c r="L3757" s="7" t="str">
        <f>IF(Table1[[#This Row],[Is Data Valid]]=TRUE,_xlfn.NORM.S.DIST(Table1[[#This Row],[Birthweight Z-Score (BW+10%)]],TRUE)*100,"")</f>
        <v/>
      </c>
    </row>
    <row r="3758" spans="1:12" x14ac:dyDescent="0.35">
      <c r="A3758" s="3"/>
      <c r="B3758" s="2"/>
      <c r="C3758" s="2"/>
      <c r="D3758" s="2" t="b">
        <f>IF(AND(NOT(ISBLANK(Table1[[#This Row],[Fetal Sex (Male, Female or Unknown)]])),ISNUMBER(Table1[[#This Row],[Birthweight (grams)]]),ISNUMBER(Table1[[#This Row],[Gestation (days)]])),TRUE,FALSE)</f>
        <v>0</v>
      </c>
      <c r="E3758" s="2" t="str">
        <f>IF(Table1[[#This Row],[Is Data Valid]]=TRUE,IF(Table1[[#This Row],[Fetal Sex (Male, Female or Unknown)]]="Male",Backend!$C$6,IF(Table1[[#This Row],[Fetal Sex (Male, Female or Unknown)]]="Female",Backend!$C$7,IF(Table1[[#This Row],[Fetal Sex (Male, Female or Unknown)]]="Unknown",Backend!$C$8,"Error"))),"")</f>
        <v/>
      </c>
      <c r="F3758" s="8" t="str">
        <f>IF(Table1[[#This Row],[Is Data Valid]]=TRUE,EXP(0.578+0.332*((Table1[[#This Row],[Gestation (days)]]+0.5)/7)-0.00354*((Table1[[#This Row],[Gestation (days)]]+0.5)/7)^2)*Table1[[#This Row],[BW40_3705]],"")</f>
        <v/>
      </c>
      <c r="G3758" s="2" t="str">
        <f>IF(Table1[[#This Row],[Is Data Valid]]=TRUE,((Table1[[#This Row],[Birthweight (grams)]]/Table1[[#This Row],[BW_GA]])-1)/(Backend!$B$4/100*Table1[[#This Row],[BW40_3705]]),"")</f>
        <v/>
      </c>
      <c r="H3758" s="7" t="str">
        <f>IF(Table1[[#This Row],[Is Data Valid]]=TRUE,((Table1[[#This Row],[Birthweight (grams)]]*0.9/Table1[[#This Row],[BW_GA]])-1)/(Backend!$B$4/100*Table1[[#This Row],[BW40_3705]]),"")</f>
        <v/>
      </c>
      <c r="I3758" s="7" t="str">
        <f>IF(Table1[[#This Row],[Is Data Valid]]=TRUE,((Table1[[#This Row],[Birthweight (grams)]]*1.1/Table1[[#This Row],[BW_GA]])-1)/(Backend!$B$4/100*Table1[[#This Row],[BW40_3705]]),"")</f>
        <v/>
      </c>
      <c r="J3758" s="7" t="str">
        <f>IF(Table1[[#This Row],[Is Data Valid]]=TRUE,_xlfn.NORM.S.DIST(Table1[[#This Row],[Birthweight Z-Score]],TRUE)*100,"")</f>
        <v/>
      </c>
      <c r="K3758" s="7" t="str">
        <f>IF(Table1[[#This Row],[Is Data Valid]]=TRUE,_xlfn.NORM.S.DIST(Table1[[#This Row],[Birthweight Z-Score (BW-10%)]],TRUE)*100,"")</f>
        <v/>
      </c>
      <c r="L3758" s="7" t="str">
        <f>IF(Table1[[#This Row],[Is Data Valid]]=TRUE,_xlfn.NORM.S.DIST(Table1[[#This Row],[Birthweight Z-Score (BW+10%)]],TRUE)*100,"")</f>
        <v/>
      </c>
    </row>
    <row r="3759" spans="1:12" x14ac:dyDescent="0.35">
      <c r="A3759" s="3"/>
      <c r="B3759" s="2"/>
      <c r="C3759" s="2"/>
      <c r="D3759" s="2" t="b">
        <f>IF(AND(NOT(ISBLANK(Table1[[#This Row],[Fetal Sex (Male, Female or Unknown)]])),ISNUMBER(Table1[[#This Row],[Birthweight (grams)]]),ISNUMBER(Table1[[#This Row],[Gestation (days)]])),TRUE,FALSE)</f>
        <v>0</v>
      </c>
      <c r="E3759" s="2" t="str">
        <f>IF(Table1[[#This Row],[Is Data Valid]]=TRUE,IF(Table1[[#This Row],[Fetal Sex (Male, Female or Unknown)]]="Male",Backend!$C$6,IF(Table1[[#This Row],[Fetal Sex (Male, Female or Unknown)]]="Female",Backend!$C$7,IF(Table1[[#This Row],[Fetal Sex (Male, Female or Unknown)]]="Unknown",Backend!$C$8,"Error"))),"")</f>
        <v/>
      </c>
      <c r="F3759" s="8" t="str">
        <f>IF(Table1[[#This Row],[Is Data Valid]]=TRUE,EXP(0.578+0.332*((Table1[[#This Row],[Gestation (days)]]+0.5)/7)-0.00354*((Table1[[#This Row],[Gestation (days)]]+0.5)/7)^2)*Table1[[#This Row],[BW40_3705]],"")</f>
        <v/>
      </c>
      <c r="G3759" s="2" t="str">
        <f>IF(Table1[[#This Row],[Is Data Valid]]=TRUE,((Table1[[#This Row],[Birthweight (grams)]]/Table1[[#This Row],[BW_GA]])-1)/(Backend!$B$4/100*Table1[[#This Row],[BW40_3705]]),"")</f>
        <v/>
      </c>
      <c r="H3759" s="7" t="str">
        <f>IF(Table1[[#This Row],[Is Data Valid]]=TRUE,((Table1[[#This Row],[Birthweight (grams)]]*0.9/Table1[[#This Row],[BW_GA]])-1)/(Backend!$B$4/100*Table1[[#This Row],[BW40_3705]]),"")</f>
        <v/>
      </c>
      <c r="I3759" s="7" t="str">
        <f>IF(Table1[[#This Row],[Is Data Valid]]=TRUE,((Table1[[#This Row],[Birthweight (grams)]]*1.1/Table1[[#This Row],[BW_GA]])-1)/(Backend!$B$4/100*Table1[[#This Row],[BW40_3705]]),"")</f>
        <v/>
      </c>
      <c r="J3759" s="7" t="str">
        <f>IF(Table1[[#This Row],[Is Data Valid]]=TRUE,_xlfn.NORM.S.DIST(Table1[[#This Row],[Birthweight Z-Score]],TRUE)*100,"")</f>
        <v/>
      </c>
      <c r="K3759" s="7" t="str">
        <f>IF(Table1[[#This Row],[Is Data Valid]]=TRUE,_xlfn.NORM.S.DIST(Table1[[#This Row],[Birthweight Z-Score (BW-10%)]],TRUE)*100,"")</f>
        <v/>
      </c>
      <c r="L3759" s="7" t="str">
        <f>IF(Table1[[#This Row],[Is Data Valid]]=TRUE,_xlfn.NORM.S.DIST(Table1[[#This Row],[Birthweight Z-Score (BW+10%)]],TRUE)*100,"")</f>
        <v/>
      </c>
    </row>
    <row r="3760" spans="1:12" x14ac:dyDescent="0.35">
      <c r="A3760" s="3"/>
      <c r="B3760" s="2"/>
      <c r="C3760" s="2"/>
      <c r="D3760" s="2" t="b">
        <f>IF(AND(NOT(ISBLANK(Table1[[#This Row],[Fetal Sex (Male, Female or Unknown)]])),ISNUMBER(Table1[[#This Row],[Birthweight (grams)]]),ISNUMBER(Table1[[#This Row],[Gestation (days)]])),TRUE,FALSE)</f>
        <v>0</v>
      </c>
      <c r="E3760" s="2" t="str">
        <f>IF(Table1[[#This Row],[Is Data Valid]]=TRUE,IF(Table1[[#This Row],[Fetal Sex (Male, Female or Unknown)]]="Male",Backend!$C$6,IF(Table1[[#This Row],[Fetal Sex (Male, Female or Unknown)]]="Female",Backend!$C$7,IF(Table1[[#This Row],[Fetal Sex (Male, Female or Unknown)]]="Unknown",Backend!$C$8,"Error"))),"")</f>
        <v/>
      </c>
      <c r="F3760" s="8" t="str">
        <f>IF(Table1[[#This Row],[Is Data Valid]]=TRUE,EXP(0.578+0.332*((Table1[[#This Row],[Gestation (days)]]+0.5)/7)-0.00354*((Table1[[#This Row],[Gestation (days)]]+0.5)/7)^2)*Table1[[#This Row],[BW40_3705]],"")</f>
        <v/>
      </c>
      <c r="G3760" s="2" t="str">
        <f>IF(Table1[[#This Row],[Is Data Valid]]=TRUE,((Table1[[#This Row],[Birthweight (grams)]]/Table1[[#This Row],[BW_GA]])-1)/(Backend!$B$4/100*Table1[[#This Row],[BW40_3705]]),"")</f>
        <v/>
      </c>
      <c r="H3760" s="7" t="str">
        <f>IF(Table1[[#This Row],[Is Data Valid]]=TRUE,((Table1[[#This Row],[Birthweight (grams)]]*0.9/Table1[[#This Row],[BW_GA]])-1)/(Backend!$B$4/100*Table1[[#This Row],[BW40_3705]]),"")</f>
        <v/>
      </c>
      <c r="I3760" s="7" t="str">
        <f>IF(Table1[[#This Row],[Is Data Valid]]=TRUE,((Table1[[#This Row],[Birthweight (grams)]]*1.1/Table1[[#This Row],[BW_GA]])-1)/(Backend!$B$4/100*Table1[[#This Row],[BW40_3705]]),"")</f>
        <v/>
      </c>
      <c r="J3760" s="7" t="str">
        <f>IF(Table1[[#This Row],[Is Data Valid]]=TRUE,_xlfn.NORM.S.DIST(Table1[[#This Row],[Birthweight Z-Score]],TRUE)*100,"")</f>
        <v/>
      </c>
      <c r="K3760" s="7" t="str">
        <f>IF(Table1[[#This Row],[Is Data Valid]]=TRUE,_xlfn.NORM.S.DIST(Table1[[#This Row],[Birthweight Z-Score (BW-10%)]],TRUE)*100,"")</f>
        <v/>
      </c>
      <c r="L3760" s="7" t="str">
        <f>IF(Table1[[#This Row],[Is Data Valid]]=TRUE,_xlfn.NORM.S.DIST(Table1[[#This Row],[Birthweight Z-Score (BW+10%)]],TRUE)*100,"")</f>
        <v/>
      </c>
    </row>
    <row r="3761" spans="1:12" x14ac:dyDescent="0.35">
      <c r="A3761" s="3"/>
      <c r="B3761" s="2"/>
      <c r="C3761" s="2"/>
      <c r="D3761" s="2" t="b">
        <f>IF(AND(NOT(ISBLANK(Table1[[#This Row],[Fetal Sex (Male, Female or Unknown)]])),ISNUMBER(Table1[[#This Row],[Birthweight (grams)]]),ISNUMBER(Table1[[#This Row],[Gestation (days)]])),TRUE,FALSE)</f>
        <v>0</v>
      </c>
      <c r="E3761" s="2" t="str">
        <f>IF(Table1[[#This Row],[Is Data Valid]]=TRUE,IF(Table1[[#This Row],[Fetal Sex (Male, Female or Unknown)]]="Male",Backend!$C$6,IF(Table1[[#This Row],[Fetal Sex (Male, Female or Unknown)]]="Female",Backend!$C$7,IF(Table1[[#This Row],[Fetal Sex (Male, Female or Unknown)]]="Unknown",Backend!$C$8,"Error"))),"")</f>
        <v/>
      </c>
      <c r="F3761" s="8" t="str">
        <f>IF(Table1[[#This Row],[Is Data Valid]]=TRUE,EXP(0.578+0.332*((Table1[[#This Row],[Gestation (days)]]+0.5)/7)-0.00354*((Table1[[#This Row],[Gestation (days)]]+0.5)/7)^2)*Table1[[#This Row],[BW40_3705]],"")</f>
        <v/>
      </c>
      <c r="G3761" s="2" t="str">
        <f>IF(Table1[[#This Row],[Is Data Valid]]=TRUE,((Table1[[#This Row],[Birthweight (grams)]]/Table1[[#This Row],[BW_GA]])-1)/(Backend!$B$4/100*Table1[[#This Row],[BW40_3705]]),"")</f>
        <v/>
      </c>
      <c r="H3761" s="7" t="str">
        <f>IF(Table1[[#This Row],[Is Data Valid]]=TRUE,((Table1[[#This Row],[Birthweight (grams)]]*0.9/Table1[[#This Row],[BW_GA]])-1)/(Backend!$B$4/100*Table1[[#This Row],[BW40_3705]]),"")</f>
        <v/>
      </c>
      <c r="I3761" s="7" t="str">
        <f>IF(Table1[[#This Row],[Is Data Valid]]=TRUE,((Table1[[#This Row],[Birthweight (grams)]]*1.1/Table1[[#This Row],[BW_GA]])-1)/(Backend!$B$4/100*Table1[[#This Row],[BW40_3705]]),"")</f>
        <v/>
      </c>
      <c r="J3761" s="7" t="str">
        <f>IF(Table1[[#This Row],[Is Data Valid]]=TRUE,_xlfn.NORM.S.DIST(Table1[[#This Row],[Birthweight Z-Score]],TRUE)*100,"")</f>
        <v/>
      </c>
      <c r="K3761" s="7" t="str">
        <f>IF(Table1[[#This Row],[Is Data Valid]]=TRUE,_xlfn.NORM.S.DIST(Table1[[#This Row],[Birthweight Z-Score (BW-10%)]],TRUE)*100,"")</f>
        <v/>
      </c>
      <c r="L3761" s="7" t="str">
        <f>IF(Table1[[#This Row],[Is Data Valid]]=TRUE,_xlfn.NORM.S.DIST(Table1[[#This Row],[Birthweight Z-Score (BW+10%)]],TRUE)*100,"")</f>
        <v/>
      </c>
    </row>
    <row r="3762" spans="1:12" x14ac:dyDescent="0.35">
      <c r="A3762" s="3"/>
      <c r="B3762" s="2"/>
      <c r="C3762" s="2"/>
      <c r="D3762" s="2" t="b">
        <f>IF(AND(NOT(ISBLANK(Table1[[#This Row],[Fetal Sex (Male, Female or Unknown)]])),ISNUMBER(Table1[[#This Row],[Birthweight (grams)]]),ISNUMBER(Table1[[#This Row],[Gestation (days)]])),TRUE,FALSE)</f>
        <v>0</v>
      </c>
      <c r="E3762" s="2" t="str">
        <f>IF(Table1[[#This Row],[Is Data Valid]]=TRUE,IF(Table1[[#This Row],[Fetal Sex (Male, Female or Unknown)]]="Male",Backend!$C$6,IF(Table1[[#This Row],[Fetal Sex (Male, Female or Unknown)]]="Female",Backend!$C$7,IF(Table1[[#This Row],[Fetal Sex (Male, Female or Unknown)]]="Unknown",Backend!$C$8,"Error"))),"")</f>
        <v/>
      </c>
      <c r="F3762" s="8" t="str">
        <f>IF(Table1[[#This Row],[Is Data Valid]]=TRUE,EXP(0.578+0.332*((Table1[[#This Row],[Gestation (days)]]+0.5)/7)-0.00354*((Table1[[#This Row],[Gestation (days)]]+0.5)/7)^2)*Table1[[#This Row],[BW40_3705]],"")</f>
        <v/>
      </c>
      <c r="G3762" s="2" t="str">
        <f>IF(Table1[[#This Row],[Is Data Valid]]=TRUE,((Table1[[#This Row],[Birthweight (grams)]]/Table1[[#This Row],[BW_GA]])-1)/(Backend!$B$4/100*Table1[[#This Row],[BW40_3705]]),"")</f>
        <v/>
      </c>
      <c r="H3762" s="7" t="str">
        <f>IF(Table1[[#This Row],[Is Data Valid]]=TRUE,((Table1[[#This Row],[Birthweight (grams)]]*0.9/Table1[[#This Row],[BW_GA]])-1)/(Backend!$B$4/100*Table1[[#This Row],[BW40_3705]]),"")</f>
        <v/>
      </c>
      <c r="I3762" s="7" t="str">
        <f>IF(Table1[[#This Row],[Is Data Valid]]=TRUE,((Table1[[#This Row],[Birthweight (grams)]]*1.1/Table1[[#This Row],[BW_GA]])-1)/(Backend!$B$4/100*Table1[[#This Row],[BW40_3705]]),"")</f>
        <v/>
      </c>
      <c r="J3762" s="7" t="str">
        <f>IF(Table1[[#This Row],[Is Data Valid]]=TRUE,_xlfn.NORM.S.DIST(Table1[[#This Row],[Birthweight Z-Score]],TRUE)*100,"")</f>
        <v/>
      </c>
      <c r="K3762" s="7" t="str">
        <f>IF(Table1[[#This Row],[Is Data Valid]]=TRUE,_xlfn.NORM.S.DIST(Table1[[#This Row],[Birthweight Z-Score (BW-10%)]],TRUE)*100,"")</f>
        <v/>
      </c>
      <c r="L3762" s="7" t="str">
        <f>IF(Table1[[#This Row],[Is Data Valid]]=TRUE,_xlfn.NORM.S.DIST(Table1[[#This Row],[Birthweight Z-Score (BW+10%)]],TRUE)*100,"")</f>
        <v/>
      </c>
    </row>
    <row r="3763" spans="1:12" x14ac:dyDescent="0.35">
      <c r="A3763" s="3"/>
      <c r="B3763" s="2"/>
      <c r="C3763" s="2"/>
      <c r="D3763" s="2" t="b">
        <f>IF(AND(NOT(ISBLANK(Table1[[#This Row],[Fetal Sex (Male, Female or Unknown)]])),ISNUMBER(Table1[[#This Row],[Birthweight (grams)]]),ISNUMBER(Table1[[#This Row],[Gestation (days)]])),TRUE,FALSE)</f>
        <v>0</v>
      </c>
      <c r="E3763" s="2" t="str">
        <f>IF(Table1[[#This Row],[Is Data Valid]]=TRUE,IF(Table1[[#This Row],[Fetal Sex (Male, Female or Unknown)]]="Male",Backend!$C$6,IF(Table1[[#This Row],[Fetal Sex (Male, Female or Unknown)]]="Female",Backend!$C$7,IF(Table1[[#This Row],[Fetal Sex (Male, Female or Unknown)]]="Unknown",Backend!$C$8,"Error"))),"")</f>
        <v/>
      </c>
      <c r="F3763" s="8" t="str">
        <f>IF(Table1[[#This Row],[Is Data Valid]]=TRUE,EXP(0.578+0.332*((Table1[[#This Row],[Gestation (days)]]+0.5)/7)-0.00354*((Table1[[#This Row],[Gestation (days)]]+0.5)/7)^2)*Table1[[#This Row],[BW40_3705]],"")</f>
        <v/>
      </c>
      <c r="G3763" s="2" t="str">
        <f>IF(Table1[[#This Row],[Is Data Valid]]=TRUE,((Table1[[#This Row],[Birthweight (grams)]]/Table1[[#This Row],[BW_GA]])-1)/(Backend!$B$4/100*Table1[[#This Row],[BW40_3705]]),"")</f>
        <v/>
      </c>
      <c r="H3763" s="7" t="str">
        <f>IF(Table1[[#This Row],[Is Data Valid]]=TRUE,((Table1[[#This Row],[Birthweight (grams)]]*0.9/Table1[[#This Row],[BW_GA]])-1)/(Backend!$B$4/100*Table1[[#This Row],[BW40_3705]]),"")</f>
        <v/>
      </c>
      <c r="I3763" s="7" t="str">
        <f>IF(Table1[[#This Row],[Is Data Valid]]=TRUE,((Table1[[#This Row],[Birthweight (grams)]]*1.1/Table1[[#This Row],[BW_GA]])-1)/(Backend!$B$4/100*Table1[[#This Row],[BW40_3705]]),"")</f>
        <v/>
      </c>
      <c r="J3763" s="7" t="str">
        <f>IF(Table1[[#This Row],[Is Data Valid]]=TRUE,_xlfn.NORM.S.DIST(Table1[[#This Row],[Birthweight Z-Score]],TRUE)*100,"")</f>
        <v/>
      </c>
      <c r="K3763" s="7" t="str">
        <f>IF(Table1[[#This Row],[Is Data Valid]]=TRUE,_xlfn.NORM.S.DIST(Table1[[#This Row],[Birthweight Z-Score (BW-10%)]],TRUE)*100,"")</f>
        <v/>
      </c>
      <c r="L3763" s="7" t="str">
        <f>IF(Table1[[#This Row],[Is Data Valid]]=TRUE,_xlfn.NORM.S.DIST(Table1[[#This Row],[Birthweight Z-Score (BW+10%)]],TRUE)*100,"")</f>
        <v/>
      </c>
    </row>
    <row r="3764" spans="1:12" x14ac:dyDescent="0.35">
      <c r="A3764" s="3"/>
      <c r="B3764" s="2"/>
      <c r="C3764" s="2"/>
      <c r="D3764" s="2" t="b">
        <f>IF(AND(NOT(ISBLANK(Table1[[#This Row],[Fetal Sex (Male, Female or Unknown)]])),ISNUMBER(Table1[[#This Row],[Birthweight (grams)]]),ISNUMBER(Table1[[#This Row],[Gestation (days)]])),TRUE,FALSE)</f>
        <v>0</v>
      </c>
      <c r="E3764" s="2" t="str">
        <f>IF(Table1[[#This Row],[Is Data Valid]]=TRUE,IF(Table1[[#This Row],[Fetal Sex (Male, Female or Unknown)]]="Male",Backend!$C$6,IF(Table1[[#This Row],[Fetal Sex (Male, Female or Unknown)]]="Female",Backend!$C$7,IF(Table1[[#This Row],[Fetal Sex (Male, Female or Unknown)]]="Unknown",Backend!$C$8,"Error"))),"")</f>
        <v/>
      </c>
      <c r="F3764" s="8" t="str">
        <f>IF(Table1[[#This Row],[Is Data Valid]]=TRUE,EXP(0.578+0.332*((Table1[[#This Row],[Gestation (days)]]+0.5)/7)-0.00354*((Table1[[#This Row],[Gestation (days)]]+0.5)/7)^2)*Table1[[#This Row],[BW40_3705]],"")</f>
        <v/>
      </c>
      <c r="G3764" s="2" t="str">
        <f>IF(Table1[[#This Row],[Is Data Valid]]=TRUE,((Table1[[#This Row],[Birthweight (grams)]]/Table1[[#This Row],[BW_GA]])-1)/(Backend!$B$4/100*Table1[[#This Row],[BW40_3705]]),"")</f>
        <v/>
      </c>
      <c r="H3764" s="7" t="str">
        <f>IF(Table1[[#This Row],[Is Data Valid]]=TRUE,((Table1[[#This Row],[Birthweight (grams)]]*0.9/Table1[[#This Row],[BW_GA]])-1)/(Backend!$B$4/100*Table1[[#This Row],[BW40_3705]]),"")</f>
        <v/>
      </c>
      <c r="I3764" s="7" t="str">
        <f>IF(Table1[[#This Row],[Is Data Valid]]=TRUE,((Table1[[#This Row],[Birthweight (grams)]]*1.1/Table1[[#This Row],[BW_GA]])-1)/(Backend!$B$4/100*Table1[[#This Row],[BW40_3705]]),"")</f>
        <v/>
      </c>
      <c r="J3764" s="7" t="str">
        <f>IF(Table1[[#This Row],[Is Data Valid]]=TRUE,_xlfn.NORM.S.DIST(Table1[[#This Row],[Birthweight Z-Score]],TRUE)*100,"")</f>
        <v/>
      </c>
      <c r="K3764" s="7" t="str">
        <f>IF(Table1[[#This Row],[Is Data Valid]]=TRUE,_xlfn.NORM.S.DIST(Table1[[#This Row],[Birthweight Z-Score (BW-10%)]],TRUE)*100,"")</f>
        <v/>
      </c>
      <c r="L3764" s="7" t="str">
        <f>IF(Table1[[#This Row],[Is Data Valid]]=TRUE,_xlfn.NORM.S.DIST(Table1[[#This Row],[Birthweight Z-Score (BW+10%)]],TRUE)*100,"")</f>
        <v/>
      </c>
    </row>
    <row r="3765" spans="1:12" x14ac:dyDescent="0.35">
      <c r="A3765" s="3"/>
      <c r="B3765" s="2"/>
      <c r="C3765" s="2"/>
      <c r="D3765" s="2" t="b">
        <f>IF(AND(NOT(ISBLANK(Table1[[#This Row],[Fetal Sex (Male, Female or Unknown)]])),ISNUMBER(Table1[[#This Row],[Birthweight (grams)]]),ISNUMBER(Table1[[#This Row],[Gestation (days)]])),TRUE,FALSE)</f>
        <v>0</v>
      </c>
      <c r="E3765" s="2" t="str">
        <f>IF(Table1[[#This Row],[Is Data Valid]]=TRUE,IF(Table1[[#This Row],[Fetal Sex (Male, Female or Unknown)]]="Male",Backend!$C$6,IF(Table1[[#This Row],[Fetal Sex (Male, Female or Unknown)]]="Female",Backend!$C$7,IF(Table1[[#This Row],[Fetal Sex (Male, Female or Unknown)]]="Unknown",Backend!$C$8,"Error"))),"")</f>
        <v/>
      </c>
      <c r="F3765" s="8" t="str">
        <f>IF(Table1[[#This Row],[Is Data Valid]]=TRUE,EXP(0.578+0.332*((Table1[[#This Row],[Gestation (days)]]+0.5)/7)-0.00354*((Table1[[#This Row],[Gestation (days)]]+0.5)/7)^2)*Table1[[#This Row],[BW40_3705]],"")</f>
        <v/>
      </c>
      <c r="G3765" s="2" t="str">
        <f>IF(Table1[[#This Row],[Is Data Valid]]=TRUE,((Table1[[#This Row],[Birthweight (grams)]]/Table1[[#This Row],[BW_GA]])-1)/(Backend!$B$4/100*Table1[[#This Row],[BW40_3705]]),"")</f>
        <v/>
      </c>
      <c r="H3765" s="7" t="str">
        <f>IF(Table1[[#This Row],[Is Data Valid]]=TRUE,((Table1[[#This Row],[Birthweight (grams)]]*0.9/Table1[[#This Row],[BW_GA]])-1)/(Backend!$B$4/100*Table1[[#This Row],[BW40_3705]]),"")</f>
        <v/>
      </c>
      <c r="I3765" s="7" t="str">
        <f>IF(Table1[[#This Row],[Is Data Valid]]=TRUE,((Table1[[#This Row],[Birthweight (grams)]]*1.1/Table1[[#This Row],[BW_GA]])-1)/(Backend!$B$4/100*Table1[[#This Row],[BW40_3705]]),"")</f>
        <v/>
      </c>
      <c r="J3765" s="7" t="str">
        <f>IF(Table1[[#This Row],[Is Data Valid]]=TRUE,_xlfn.NORM.S.DIST(Table1[[#This Row],[Birthweight Z-Score]],TRUE)*100,"")</f>
        <v/>
      </c>
      <c r="K3765" s="7" t="str">
        <f>IF(Table1[[#This Row],[Is Data Valid]]=TRUE,_xlfn.NORM.S.DIST(Table1[[#This Row],[Birthweight Z-Score (BW-10%)]],TRUE)*100,"")</f>
        <v/>
      </c>
      <c r="L3765" s="7" t="str">
        <f>IF(Table1[[#This Row],[Is Data Valid]]=TRUE,_xlfn.NORM.S.DIST(Table1[[#This Row],[Birthweight Z-Score (BW+10%)]],TRUE)*100,"")</f>
        <v/>
      </c>
    </row>
    <row r="3766" spans="1:12" x14ac:dyDescent="0.35">
      <c r="A3766" s="3"/>
      <c r="B3766" s="2"/>
      <c r="C3766" s="2"/>
      <c r="D3766" s="2" t="b">
        <f>IF(AND(NOT(ISBLANK(Table1[[#This Row],[Fetal Sex (Male, Female or Unknown)]])),ISNUMBER(Table1[[#This Row],[Birthweight (grams)]]),ISNUMBER(Table1[[#This Row],[Gestation (days)]])),TRUE,FALSE)</f>
        <v>0</v>
      </c>
      <c r="E3766" s="2" t="str">
        <f>IF(Table1[[#This Row],[Is Data Valid]]=TRUE,IF(Table1[[#This Row],[Fetal Sex (Male, Female or Unknown)]]="Male",Backend!$C$6,IF(Table1[[#This Row],[Fetal Sex (Male, Female or Unknown)]]="Female",Backend!$C$7,IF(Table1[[#This Row],[Fetal Sex (Male, Female or Unknown)]]="Unknown",Backend!$C$8,"Error"))),"")</f>
        <v/>
      </c>
      <c r="F3766" s="8" t="str">
        <f>IF(Table1[[#This Row],[Is Data Valid]]=TRUE,EXP(0.578+0.332*((Table1[[#This Row],[Gestation (days)]]+0.5)/7)-0.00354*((Table1[[#This Row],[Gestation (days)]]+0.5)/7)^2)*Table1[[#This Row],[BW40_3705]],"")</f>
        <v/>
      </c>
      <c r="G3766" s="2" t="str">
        <f>IF(Table1[[#This Row],[Is Data Valid]]=TRUE,((Table1[[#This Row],[Birthweight (grams)]]/Table1[[#This Row],[BW_GA]])-1)/(Backend!$B$4/100*Table1[[#This Row],[BW40_3705]]),"")</f>
        <v/>
      </c>
      <c r="H3766" s="7" t="str">
        <f>IF(Table1[[#This Row],[Is Data Valid]]=TRUE,((Table1[[#This Row],[Birthweight (grams)]]*0.9/Table1[[#This Row],[BW_GA]])-1)/(Backend!$B$4/100*Table1[[#This Row],[BW40_3705]]),"")</f>
        <v/>
      </c>
      <c r="I3766" s="7" t="str">
        <f>IF(Table1[[#This Row],[Is Data Valid]]=TRUE,((Table1[[#This Row],[Birthweight (grams)]]*1.1/Table1[[#This Row],[BW_GA]])-1)/(Backend!$B$4/100*Table1[[#This Row],[BW40_3705]]),"")</f>
        <v/>
      </c>
      <c r="J3766" s="7" t="str">
        <f>IF(Table1[[#This Row],[Is Data Valid]]=TRUE,_xlfn.NORM.S.DIST(Table1[[#This Row],[Birthweight Z-Score]],TRUE)*100,"")</f>
        <v/>
      </c>
      <c r="K3766" s="7" t="str">
        <f>IF(Table1[[#This Row],[Is Data Valid]]=TRUE,_xlfn.NORM.S.DIST(Table1[[#This Row],[Birthweight Z-Score (BW-10%)]],TRUE)*100,"")</f>
        <v/>
      </c>
      <c r="L3766" s="7" t="str">
        <f>IF(Table1[[#This Row],[Is Data Valid]]=TRUE,_xlfn.NORM.S.DIST(Table1[[#This Row],[Birthweight Z-Score (BW+10%)]],TRUE)*100,"")</f>
        <v/>
      </c>
    </row>
    <row r="3767" spans="1:12" x14ac:dyDescent="0.35">
      <c r="A3767" s="3"/>
      <c r="B3767" s="2"/>
      <c r="C3767" s="2"/>
      <c r="D3767" s="2" t="b">
        <f>IF(AND(NOT(ISBLANK(Table1[[#This Row],[Fetal Sex (Male, Female or Unknown)]])),ISNUMBER(Table1[[#This Row],[Birthweight (grams)]]),ISNUMBER(Table1[[#This Row],[Gestation (days)]])),TRUE,FALSE)</f>
        <v>0</v>
      </c>
      <c r="E3767" s="2" t="str">
        <f>IF(Table1[[#This Row],[Is Data Valid]]=TRUE,IF(Table1[[#This Row],[Fetal Sex (Male, Female or Unknown)]]="Male",Backend!$C$6,IF(Table1[[#This Row],[Fetal Sex (Male, Female or Unknown)]]="Female",Backend!$C$7,IF(Table1[[#This Row],[Fetal Sex (Male, Female or Unknown)]]="Unknown",Backend!$C$8,"Error"))),"")</f>
        <v/>
      </c>
      <c r="F3767" s="8" t="str">
        <f>IF(Table1[[#This Row],[Is Data Valid]]=TRUE,EXP(0.578+0.332*((Table1[[#This Row],[Gestation (days)]]+0.5)/7)-0.00354*((Table1[[#This Row],[Gestation (days)]]+0.5)/7)^2)*Table1[[#This Row],[BW40_3705]],"")</f>
        <v/>
      </c>
      <c r="G3767" s="2" t="str">
        <f>IF(Table1[[#This Row],[Is Data Valid]]=TRUE,((Table1[[#This Row],[Birthweight (grams)]]/Table1[[#This Row],[BW_GA]])-1)/(Backend!$B$4/100*Table1[[#This Row],[BW40_3705]]),"")</f>
        <v/>
      </c>
      <c r="H3767" s="7" t="str">
        <f>IF(Table1[[#This Row],[Is Data Valid]]=TRUE,((Table1[[#This Row],[Birthweight (grams)]]*0.9/Table1[[#This Row],[BW_GA]])-1)/(Backend!$B$4/100*Table1[[#This Row],[BW40_3705]]),"")</f>
        <v/>
      </c>
      <c r="I3767" s="7" t="str">
        <f>IF(Table1[[#This Row],[Is Data Valid]]=TRUE,((Table1[[#This Row],[Birthweight (grams)]]*1.1/Table1[[#This Row],[BW_GA]])-1)/(Backend!$B$4/100*Table1[[#This Row],[BW40_3705]]),"")</f>
        <v/>
      </c>
      <c r="J3767" s="7" t="str">
        <f>IF(Table1[[#This Row],[Is Data Valid]]=TRUE,_xlfn.NORM.S.DIST(Table1[[#This Row],[Birthweight Z-Score]],TRUE)*100,"")</f>
        <v/>
      </c>
      <c r="K3767" s="7" t="str">
        <f>IF(Table1[[#This Row],[Is Data Valid]]=TRUE,_xlfn.NORM.S.DIST(Table1[[#This Row],[Birthweight Z-Score (BW-10%)]],TRUE)*100,"")</f>
        <v/>
      </c>
      <c r="L3767" s="7" t="str">
        <f>IF(Table1[[#This Row],[Is Data Valid]]=TRUE,_xlfn.NORM.S.DIST(Table1[[#This Row],[Birthweight Z-Score (BW+10%)]],TRUE)*100,"")</f>
        <v/>
      </c>
    </row>
    <row r="3768" spans="1:12" x14ac:dyDescent="0.35">
      <c r="A3768" s="3"/>
      <c r="B3768" s="2"/>
      <c r="C3768" s="2"/>
      <c r="D3768" s="2" t="b">
        <f>IF(AND(NOT(ISBLANK(Table1[[#This Row],[Fetal Sex (Male, Female or Unknown)]])),ISNUMBER(Table1[[#This Row],[Birthweight (grams)]]),ISNUMBER(Table1[[#This Row],[Gestation (days)]])),TRUE,FALSE)</f>
        <v>0</v>
      </c>
      <c r="E3768" s="2" t="str">
        <f>IF(Table1[[#This Row],[Is Data Valid]]=TRUE,IF(Table1[[#This Row],[Fetal Sex (Male, Female or Unknown)]]="Male",Backend!$C$6,IF(Table1[[#This Row],[Fetal Sex (Male, Female or Unknown)]]="Female",Backend!$C$7,IF(Table1[[#This Row],[Fetal Sex (Male, Female or Unknown)]]="Unknown",Backend!$C$8,"Error"))),"")</f>
        <v/>
      </c>
      <c r="F3768" s="8" t="str">
        <f>IF(Table1[[#This Row],[Is Data Valid]]=TRUE,EXP(0.578+0.332*((Table1[[#This Row],[Gestation (days)]]+0.5)/7)-0.00354*((Table1[[#This Row],[Gestation (days)]]+0.5)/7)^2)*Table1[[#This Row],[BW40_3705]],"")</f>
        <v/>
      </c>
      <c r="G3768" s="2" t="str">
        <f>IF(Table1[[#This Row],[Is Data Valid]]=TRUE,((Table1[[#This Row],[Birthweight (grams)]]/Table1[[#This Row],[BW_GA]])-1)/(Backend!$B$4/100*Table1[[#This Row],[BW40_3705]]),"")</f>
        <v/>
      </c>
      <c r="H3768" s="7" t="str">
        <f>IF(Table1[[#This Row],[Is Data Valid]]=TRUE,((Table1[[#This Row],[Birthweight (grams)]]*0.9/Table1[[#This Row],[BW_GA]])-1)/(Backend!$B$4/100*Table1[[#This Row],[BW40_3705]]),"")</f>
        <v/>
      </c>
      <c r="I3768" s="7" t="str">
        <f>IF(Table1[[#This Row],[Is Data Valid]]=TRUE,((Table1[[#This Row],[Birthweight (grams)]]*1.1/Table1[[#This Row],[BW_GA]])-1)/(Backend!$B$4/100*Table1[[#This Row],[BW40_3705]]),"")</f>
        <v/>
      </c>
      <c r="J3768" s="7" t="str">
        <f>IF(Table1[[#This Row],[Is Data Valid]]=TRUE,_xlfn.NORM.S.DIST(Table1[[#This Row],[Birthweight Z-Score]],TRUE)*100,"")</f>
        <v/>
      </c>
      <c r="K3768" s="7" t="str">
        <f>IF(Table1[[#This Row],[Is Data Valid]]=TRUE,_xlfn.NORM.S.DIST(Table1[[#This Row],[Birthweight Z-Score (BW-10%)]],TRUE)*100,"")</f>
        <v/>
      </c>
      <c r="L3768" s="7" t="str">
        <f>IF(Table1[[#This Row],[Is Data Valid]]=TRUE,_xlfn.NORM.S.DIST(Table1[[#This Row],[Birthweight Z-Score (BW+10%)]],TRUE)*100,"")</f>
        <v/>
      </c>
    </row>
    <row r="3769" spans="1:12" x14ac:dyDescent="0.35">
      <c r="A3769" s="3"/>
      <c r="B3769" s="2"/>
      <c r="C3769" s="2"/>
      <c r="D3769" s="2" t="b">
        <f>IF(AND(NOT(ISBLANK(Table1[[#This Row],[Fetal Sex (Male, Female or Unknown)]])),ISNUMBER(Table1[[#This Row],[Birthweight (grams)]]),ISNUMBER(Table1[[#This Row],[Gestation (days)]])),TRUE,FALSE)</f>
        <v>0</v>
      </c>
      <c r="E3769" s="2" t="str">
        <f>IF(Table1[[#This Row],[Is Data Valid]]=TRUE,IF(Table1[[#This Row],[Fetal Sex (Male, Female or Unknown)]]="Male",Backend!$C$6,IF(Table1[[#This Row],[Fetal Sex (Male, Female or Unknown)]]="Female",Backend!$C$7,IF(Table1[[#This Row],[Fetal Sex (Male, Female or Unknown)]]="Unknown",Backend!$C$8,"Error"))),"")</f>
        <v/>
      </c>
      <c r="F3769" s="8" t="str">
        <f>IF(Table1[[#This Row],[Is Data Valid]]=TRUE,EXP(0.578+0.332*((Table1[[#This Row],[Gestation (days)]]+0.5)/7)-0.00354*((Table1[[#This Row],[Gestation (days)]]+0.5)/7)^2)*Table1[[#This Row],[BW40_3705]],"")</f>
        <v/>
      </c>
      <c r="G3769" s="2" t="str">
        <f>IF(Table1[[#This Row],[Is Data Valid]]=TRUE,((Table1[[#This Row],[Birthweight (grams)]]/Table1[[#This Row],[BW_GA]])-1)/(Backend!$B$4/100*Table1[[#This Row],[BW40_3705]]),"")</f>
        <v/>
      </c>
      <c r="H3769" s="7" t="str">
        <f>IF(Table1[[#This Row],[Is Data Valid]]=TRUE,((Table1[[#This Row],[Birthweight (grams)]]*0.9/Table1[[#This Row],[BW_GA]])-1)/(Backend!$B$4/100*Table1[[#This Row],[BW40_3705]]),"")</f>
        <v/>
      </c>
      <c r="I3769" s="7" t="str">
        <f>IF(Table1[[#This Row],[Is Data Valid]]=TRUE,((Table1[[#This Row],[Birthweight (grams)]]*1.1/Table1[[#This Row],[BW_GA]])-1)/(Backend!$B$4/100*Table1[[#This Row],[BW40_3705]]),"")</f>
        <v/>
      </c>
      <c r="J3769" s="7" t="str">
        <f>IF(Table1[[#This Row],[Is Data Valid]]=TRUE,_xlfn.NORM.S.DIST(Table1[[#This Row],[Birthweight Z-Score]],TRUE)*100,"")</f>
        <v/>
      </c>
      <c r="K3769" s="7" t="str">
        <f>IF(Table1[[#This Row],[Is Data Valid]]=TRUE,_xlfn.NORM.S.DIST(Table1[[#This Row],[Birthweight Z-Score (BW-10%)]],TRUE)*100,"")</f>
        <v/>
      </c>
      <c r="L3769" s="7" t="str">
        <f>IF(Table1[[#This Row],[Is Data Valid]]=TRUE,_xlfn.NORM.S.DIST(Table1[[#This Row],[Birthweight Z-Score (BW+10%)]],TRUE)*100,"")</f>
        <v/>
      </c>
    </row>
    <row r="3770" spans="1:12" x14ac:dyDescent="0.35">
      <c r="A3770" s="3"/>
      <c r="B3770" s="2"/>
      <c r="C3770" s="2"/>
      <c r="D3770" s="2" t="b">
        <f>IF(AND(NOT(ISBLANK(Table1[[#This Row],[Fetal Sex (Male, Female or Unknown)]])),ISNUMBER(Table1[[#This Row],[Birthweight (grams)]]),ISNUMBER(Table1[[#This Row],[Gestation (days)]])),TRUE,FALSE)</f>
        <v>0</v>
      </c>
      <c r="E3770" s="2" t="str">
        <f>IF(Table1[[#This Row],[Is Data Valid]]=TRUE,IF(Table1[[#This Row],[Fetal Sex (Male, Female or Unknown)]]="Male",Backend!$C$6,IF(Table1[[#This Row],[Fetal Sex (Male, Female or Unknown)]]="Female",Backend!$C$7,IF(Table1[[#This Row],[Fetal Sex (Male, Female or Unknown)]]="Unknown",Backend!$C$8,"Error"))),"")</f>
        <v/>
      </c>
      <c r="F3770" s="8" t="str">
        <f>IF(Table1[[#This Row],[Is Data Valid]]=TRUE,EXP(0.578+0.332*((Table1[[#This Row],[Gestation (days)]]+0.5)/7)-0.00354*((Table1[[#This Row],[Gestation (days)]]+0.5)/7)^2)*Table1[[#This Row],[BW40_3705]],"")</f>
        <v/>
      </c>
      <c r="G3770" s="2" t="str">
        <f>IF(Table1[[#This Row],[Is Data Valid]]=TRUE,((Table1[[#This Row],[Birthweight (grams)]]/Table1[[#This Row],[BW_GA]])-1)/(Backend!$B$4/100*Table1[[#This Row],[BW40_3705]]),"")</f>
        <v/>
      </c>
      <c r="H3770" s="7" t="str">
        <f>IF(Table1[[#This Row],[Is Data Valid]]=TRUE,((Table1[[#This Row],[Birthweight (grams)]]*0.9/Table1[[#This Row],[BW_GA]])-1)/(Backend!$B$4/100*Table1[[#This Row],[BW40_3705]]),"")</f>
        <v/>
      </c>
      <c r="I3770" s="7" t="str">
        <f>IF(Table1[[#This Row],[Is Data Valid]]=TRUE,((Table1[[#This Row],[Birthweight (grams)]]*1.1/Table1[[#This Row],[BW_GA]])-1)/(Backend!$B$4/100*Table1[[#This Row],[BW40_3705]]),"")</f>
        <v/>
      </c>
      <c r="J3770" s="7" t="str">
        <f>IF(Table1[[#This Row],[Is Data Valid]]=TRUE,_xlfn.NORM.S.DIST(Table1[[#This Row],[Birthweight Z-Score]],TRUE)*100,"")</f>
        <v/>
      </c>
      <c r="K3770" s="7" t="str">
        <f>IF(Table1[[#This Row],[Is Data Valid]]=TRUE,_xlfn.NORM.S.DIST(Table1[[#This Row],[Birthweight Z-Score (BW-10%)]],TRUE)*100,"")</f>
        <v/>
      </c>
      <c r="L3770" s="7" t="str">
        <f>IF(Table1[[#This Row],[Is Data Valid]]=TRUE,_xlfn.NORM.S.DIST(Table1[[#This Row],[Birthweight Z-Score (BW+10%)]],TRUE)*100,"")</f>
        <v/>
      </c>
    </row>
    <row r="3771" spans="1:12" x14ac:dyDescent="0.35">
      <c r="A3771" s="3"/>
      <c r="B3771" s="2"/>
      <c r="C3771" s="2"/>
      <c r="D3771" s="2" t="b">
        <f>IF(AND(NOT(ISBLANK(Table1[[#This Row],[Fetal Sex (Male, Female or Unknown)]])),ISNUMBER(Table1[[#This Row],[Birthweight (grams)]]),ISNUMBER(Table1[[#This Row],[Gestation (days)]])),TRUE,FALSE)</f>
        <v>0</v>
      </c>
      <c r="E3771" s="2" t="str">
        <f>IF(Table1[[#This Row],[Is Data Valid]]=TRUE,IF(Table1[[#This Row],[Fetal Sex (Male, Female or Unknown)]]="Male",Backend!$C$6,IF(Table1[[#This Row],[Fetal Sex (Male, Female or Unknown)]]="Female",Backend!$C$7,IF(Table1[[#This Row],[Fetal Sex (Male, Female or Unknown)]]="Unknown",Backend!$C$8,"Error"))),"")</f>
        <v/>
      </c>
      <c r="F3771" s="8" t="str">
        <f>IF(Table1[[#This Row],[Is Data Valid]]=TRUE,EXP(0.578+0.332*((Table1[[#This Row],[Gestation (days)]]+0.5)/7)-0.00354*((Table1[[#This Row],[Gestation (days)]]+0.5)/7)^2)*Table1[[#This Row],[BW40_3705]],"")</f>
        <v/>
      </c>
      <c r="G3771" s="2" t="str">
        <f>IF(Table1[[#This Row],[Is Data Valid]]=TRUE,((Table1[[#This Row],[Birthweight (grams)]]/Table1[[#This Row],[BW_GA]])-1)/(Backend!$B$4/100*Table1[[#This Row],[BW40_3705]]),"")</f>
        <v/>
      </c>
      <c r="H3771" s="7" t="str">
        <f>IF(Table1[[#This Row],[Is Data Valid]]=TRUE,((Table1[[#This Row],[Birthweight (grams)]]*0.9/Table1[[#This Row],[BW_GA]])-1)/(Backend!$B$4/100*Table1[[#This Row],[BW40_3705]]),"")</f>
        <v/>
      </c>
      <c r="I3771" s="7" t="str">
        <f>IF(Table1[[#This Row],[Is Data Valid]]=TRUE,((Table1[[#This Row],[Birthweight (grams)]]*1.1/Table1[[#This Row],[BW_GA]])-1)/(Backend!$B$4/100*Table1[[#This Row],[BW40_3705]]),"")</f>
        <v/>
      </c>
      <c r="J3771" s="7" t="str">
        <f>IF(Table1[[#This Row],[Is Data Valid]]=TRUE,_xlfn.NORM.S.DIST(Table1[[#This Row],[Birthweight Z-Score]],TRUE)*100,"")</f>
        <v/>
      </c>
      <c r="K3771" s="7" t="str">
        <f>IF(Table1[[#This Row],[Is Data Valid]]=TRUE,_xlfn.NORM.S.DIST(Table1[[#This Row],[Birthweight Z-Score (BW-10%)]],TRUE)*100,"")</f>
        <v/>
      </c>
      <c r="L3771" s="7" t="str">
        <f>IF(Table1[[#This Row],[Is Data Valid]]=TRUE,_xlfn.NORM.S.DIST(Table1[[#This Row],[Birthweight Z-Score (BW+10%)]],TRUE)*100,"")</f>
        <v/>
      </c>
    </row>
    <row r="3772" spans="1:12" x14ac:dyDescent="0.35">
      <c r="A3772" s="3"/>
      <c r="B3772" s="2"/>
      <c r="C3772" s="2"/>
      <c r="D3772" s="2" t="b">
        <f>IF(AND(NOT(ISBLANK(Table1[[#This Row],[Fetal Sex (Male, Female or Unknown)]])),ISNUMBER(Table1[[#This Row],[Birthweight (grams)]]),ISNUMBER(Table1[[#This Row],[Gestation (days)]])),TRUE,FALSE)</f>
        <v>0</v>
      </c>
      <c r="E3772" s="2" t="str">
        <f>IF(Table1[[#This Row],[Is Data Valid]]=TRUE,IF(Table1[[#This Row],[Fetal Sex (Male, Female or Unknown)]]="Male",Backend!$C$6,IF(Table1[[#This Row],[Fetal Sex (Male, Female or Unknown)]]="Female",Backend!$C$7,IF(Table1[[#This Row],[Fetal Sex (Male, Female or Unknown)]]="Unknown",Backend!$C$8,"Error"))),"")</f>
        <v/>
      </c>
      <c r="F3772" s="8" t="str">
        <f>IF(Table1[[#This Row],[Is Data Valid]]=TRUE,EXP(0.578+0.332*((Table1[[#This Row],[Gestation (days)]]+0.5)/7)-0.00354*((Table1[[#This Row],[Gestation (days)]]+0.5)/7)^2)*Table1[[#This Row],[BW40_3705]],"")</f>
        <v/>
      </c>
      <c r="G3772" s="2" t="str">
        <f>IF(Table1[[#This Row],[Is Data Valid]]=TRUE,((Table1[[#This Row],[Birthweight (grams)]]/Table1[[#This Row],[BW_GA]])-1)/(Backend!$B$4/100*Table1[[#This Row],[BW40_3705]]),"")</f>
        <v/>
      </c>
      <c r="H3772" s="7" t="str">
        <f>IF(Table1[[#This Row],[Is Data Valid]]=TRUE,((Table1[[#This Row],[Birthweight (grams)]]*0.9/Table1[[#This Row],[BW_GA]])-1)/(Backend!$B$4/100*Table1[[#This Row],[BW40_3705]]),"")</f>
        <v/>
      </c>
      <c r="I3772" s="7" t="str">
        <f>IF(Table1[[#This Row],[Is Data Valid]]=TRUE,((Table1[[#This Row],[Birthweight (grams)]]*1.1/Table1[[#This Row],[BW_GA]])-1)/(Backend!$B$4/100*Table1[[#This Row],[BW40_3705]]),"")</f>
        <v/>
      </c>
      <c r="J3772" s="7" t="str">
        <f>IF(Table1[[#This Row],[Is Data Valid]]=TRUE,_xlfn.NORM.S.DIST(Table1[[#This Row],[Birthweight Z-Score]],TRUE)*100,"")</f>
        <v/>
      </c>
      <c r="K3772" s="7" t="str">
        <f>IF(Table1[[#This Row],[Is Data Valid]]=TRUE,_xlfn.NORM.S.DIST(Table1[[#This Row],[Birthweight Z-Score (BW-10%)]],TRUE)*100,"")</f>
        <v/>
      </c>
      <c r="L3772" s="7" t="str">
        <f>IF(Table1[[#This Row],[Is Data Valid]]=TRUE,_xlfn.NORM.S.DIST(Table1[[#This Row],[Birthweight Z-Score (BW+10%)]],TRUE)*100,"")</f>
        <v/>
      </c>
    </row>
    <row r="3773" spans="1:12" x14ac:dyDescent="0.35">
      <c r="A3773" s="3"/>
      <c r="B3773" s="2"/>
      <c r="C3773" s="2"/>
      <c r="D3773" s="2" t="b">
        <f>IF(AND(NOT(ISBLANK(Table1[[#This Row],[Fetal Sex (Male, Female or Unknown)]])),ISNUMBER(Table1[[#This Row],[Birthweight (grams)]]),ISNUMBER(Table1[[#This Row],[Gestation (days)]])),TRUE,FALSE)</f>
        <v>0</v>
      </c>
      <c r="E3773" s="2" t="str">
        <f>IF(Table1[[#This Row],[Is Data Valid]]=TRUE,IF(Table1[[#This Row],[Fetal Sex (Male, Female or Unknown)]]="Male",Backend!$C$6,IF(Table1[[#This Row],[Fetal Sex (Male, Female or Unknown)]]="Female",Backend!$C$7,IF(Table1[[#This Row],[Fetal Sex (Male, Female or Unknown)]]="Unknown",Backend!$C$8,"Error"))),"")</f>
        <v/>
      </c>
      <c r="F3773" s="8" t="str">
        <f>IF(Table1[[#This Row],[Is Data Valid]]=TRUE,EXP(0.578+0.332*((Table1[[#This Row],[Gestation (days)]]+0.5)/7)-0.00354*((Table1[[#This Row],[Gestation (days)]]+0.5)/7)^2)*Table1[[#This Row],[BW40_3705]],"")</f>
        <v/>
      </c>
      <c r="G3773" s="2" t="str">
        <f>IF(Table1[[#This Row],[Is Data Valid]]=TRUE,((Table1[[#This Row],[Birthweight (grams)]]/Table1[[#This Row],[BW_GA]])-1)/(Backend!$B$4/100*Table1[[#This Row],[BW40_3705]]),"")</f>
        <v/>
      </c>
      <c r="H3773" s="7" t="str">
        <f>IF(Table1[[#This Row],[Is Data Valid]]=TRUE,((Table1[[#This Row],[Birthweight (grams)]]*0.9/Table1[[#This Row],[BW_GA]])-1)/(Backend!$B$4/100*Table1[[#This Row],[BW40_3705]]),"")</f>
        <v/>
      </c>
      <c r="I3773" s="7" t="str">
        <f>IF(Table1[[#This Row],[Is Data Valid]]=TRUE,((Table1[[#This Row],[Birthweight (grams)]]*1.1/Table1[[#This Row],[BW_GA]])-1)/(Backend!$B$4/100*Table1[[#This Row],[BW40_3705]]),"")</f>
        <v/>
      </c>
      <c r="J3773" s="7" t="str">
        <f>IF(Table1[[#This Row],[Is Data Valid]]=TRUE,_xlfn.NORM.S.DIST(Table1[[#This Row],[Birthweight Z-Score]],TRUE)*100,"")</f>
        <v/>
      </c>
      <c r="K3773" s="7" t="str">
        <f>IF(Table1[[#This Row],[Is Data Valid]]=TRUE,_xlfn.NORM.S.DIST(Table1[[#This Row],[Birthweight Z-Score (BW-10%)]],TRUE)*100,"")</f>
        <v/>
      </c>
      <c r="L3773" s="7" t="str">
        <f>IF(Table1[[#This Row],[Is Data Valid]]=TRUE,_xlfn.NORM.S.DIST(Table1[[#This Row],[Birthweight Z-Score (BW+10%)]],TRUE)*100,"")</f>
        <v/>
      </c>
    </row>
    <row r="3774" spans="1:12" x14ac:dyDescent="0.35">
      <c r="A3774" s="3"/>
      <c r="B3774" s="2"/>
      <c r="C3774" s="2"/>
      <c r="D3774" s="2" t="b">
        <f>IF(AND(NOT(ISBLANK(Table1[[#This Row],[Fetal Sex (Male, Female or Unknown)]])),ISNUMBER(Table1[[#This Row],[Birthweight (grams)]]),ISNUMBER(Table1[[#This Row],[Gestation (days)]])),TRUE,FALSE)</f>
        <v>0</v>
      </c>
      <c r="E3774" s="2" t="str">
        <f>IF(Table1[[#This Row],[Is Data Valid]]=TRUE,IF(Table1[[#This Row],[Fetal Sex (Male, Female or Unknown)]]="Male",Backend!$C$6,IF(Table1[[#This Row],[Fetal Sex (Male, Female or Unknown)]]="Female",Backend!$C$7,IF(Table1[[#This Row],[Fetal Sex (Male, Female or Unknown)]]="Unknown",Backend!$C$8,"Error"))),"")</f>
        <v/>
      </c>
      <c r="F3774" s="8" t="str">
        <f>IF(Table1[[#This Row],[Is Data Valid]]=TRUE,EXP(0.578+0.332*((Table1[[#This Row],[Gestation (days)]]+0.5)/7)-0.00354*((Table1[[#This Row],[Gestation (days)]]+0.5)/7)^2)*Table1[[#This Row],[BW40_3705]],"")</f>
        <v/>
      </c>
      <c r="G3774" s="2" t="str">
        <f>IF(Table1[[#This Row],[Is Data Valid]]=TRUE,((Table1[[#This Row],[Birthweight (grams)]]/Table1[[#This Row],[BW_GA]])-1)/(Backend!$B$4/100*Table1[[#This Row],[BW40_3705]]),"")</f>
        <v/>
      </c>
      <c r="H3774" s="7" t="str">
        <f>IF(Table1[[#This Row],[Is Data Valid]]=TRUE,((Table1[[#This Row],[Birthweight (grams)]]*0.9/Table1[[#This Row],[BW_GA]])-1)/(Backend!$B$4/100*Table1[[#This Row],[BW40_3705]]),"")</f>
        <v/>
      </c>
      <c r="I3774" s="7" t="str">
        <f>IF(Table1[[#This Row],[Is Data Valid]]=TRUE,((Table1[[#This Row],[Birthweight (grams)]]*1.1/Table1[[#This Row],[BW_GA]])-1)/(Backend!$B$4/100*Table1[[#This Row],[BW40_3705]]),"")</f>
        <v/>
      </c>
      <c r="J3774" s="7" t="str">
        <f>IF(Table1[[#This Row],[Is Data Valid]]=TRUE,_xlfn.NORM.S.DIST(Table1[[#This Row],[Birthweight Z-Score]],TRUE)*100,"")</f>
        <v/>
      </c>
      <c r="K3774" s="7" t="str">
        <f>IF(Table1[[#This Row],[Is Data Valid]]=TRUE,_xlfn.NORM.S.DIST(Table1[[#This Row],[Birthweight Z-Score (BW-10%)]],TRUE)*100,"")</f>
        <v/>
      </c>
      <c r="L3774" s="7" t="str">
        <f>IF(Table1[[#This Row],[Is Data Valid]]=TRUE,_xlfn.NORM.S.DIST(Table1[[#This Row],[Birthweight Z-Score (BW+10%)]],TRUE)*100,"")</f>
        <v/>
      </c>
    </row>
    <row r="3775" spans="1:12" x14ac:dyDescent="0.35">
      <c r="A3775" s="3"/>
      <c r="B3775" s="2"/>
      <c r="C3775" s="2"/>
      <c r="D3775" s="2" t="b">
        <f>IF(AND(NOT(ISBLANK(Table1[[#This Row],[Fetal Sex (Male, Female or Unknown)]])),ISNUMBER(Table1[[#This Row],[Birthweight (grams)]]),ISNUMBER(Table1[[#This Row],[Gestation (days)]])),TRUE,FALSE)</f>
        <v>0</v>
      </c>
      <c r="E3775" s="2" t="str">
        <f>IF(Table1[[#This Row],[Is Data Valid]]=TRUE,IF(Table1[[#This Row],[Fetal Sex (Male, Female or Unknown)]]="Male",Backend!$C$6,IF(Table1[[#This Row],[Fetal Sex (Male, Female or Unknown)]]="Female",Backend!$C$7,IF(Table1[[#This Row],[Fetal Sex (Male, Female or Unknown)]]="Unknown",Backend!$C$8,"Error"))),"")</f>
        <v/>
      </c>
      <c r="F3775" s="8" t="str">
        <f>IF(Table1[[#This Row],[Is Data Valid]]=TRUE,EXP(0.578+0.332*((Table1[[#This Row],[Gestation (days)]]+0.5)/7)-0.00354*((Table1[[#This Row],[Gestation (days)]]+0.5)/7)^2)*Table1[[#This Row],[BW40_3705]],"")</f>
        <v/>
      </c>
      <c r="G3775" s="2" t="str">
        <f>IF(Table1[[#This Row],[Is Data Valid]]=TRUE,((Table1[[#This Row],[Birthweight (grams)]]/Table1[[#This Row],[BW_GA]])-1)/(Backend!$B$4/100*Table1[[#This Row],[BW40_3705]]),"")</f>
        <v/>
      </c>
      <c r="H3775" s="7" t="str">
        <f>IF(Table1[[#This Row],[Is Data Valid]]=TRUE,((Table1[[#This Row],[Birthweight (grams)]]*0.9/Table1[[#This Row],[BW_GA]])-1)/(Backend!$B$4/100*Table1[[#This Row],[BW40_3705]]),"")</f>
        <v/>
      </c>
      <c r="I3775" s="7" t="str">
        <f>IF(Table1[[#This Row],[Is Data Valid]]=TRUE,((Table1[[#This Row],[Birthweight (grams)]]*1.1/Table1[[#This Row],[BW_GA]])-1)/(Backend!$B$4/100*Table1[[#This Row],[BW40_3705]]),"")</f>
        <v/>
      </c>
      <c r="J3775" s="7" t="str">
        <f>IF(Table1[[#This Row],[Is Data Valid]]=TRUE,_xlfn.NORM.S.DIST(Table1[[#This Row],[Birthweight Z-Score]],TRUE)*100,"")</f>
        <v/>
      </c>
      <c r="K3775" s="7" t="str">
        <f>IF(Table1[[#This Row],[Is Data Valid]]=TRUE,_xlfn.NORM.S.DIST(Table1[[#This Row],[Birthweight Z-Score (BW-10%)]],TRUE)*100,"")</f>
        <v/>
      </c>
      <c r="L3775" s="7" t="str">
        <f>IF(Table1[[#This Row],[Is Data Valid]]=TRUE,_xlfn.NORM.S.DIST(Table1[[#This Row],[Birthweight Z-Score (BW+10%)]],TRUE)*100,"")</f>
        <v/>
      </c>
    </row>
    <row r="3776" spans="1:12" x14ac:dyDescent="0.35">
      <c r="A3776" s="3"/>
      <c r="B3776" s="2"/>
      <c r="C3776" s="2"/>
      <c r="D3776" s="2" t="b">
        <f>IF(AND(NOT(ISBLANK(Table1[[#This Row],[Fetal Sex (Male, Female or Unknown)]])),ISNUMBER(Table1[[#This Row],[Birthweight (grams)]]),ISNUMBER(Table1[[#This Row],[Gestation (days)]])),TRUE,FALSE)</f>
        <v>0</v>
      </c>
      <c r="E3776" s="2" t="str">
        <f>IF(Table1[[#This Row],[Is Data Valid]]=TRUE,IF(Table1[[#This Row],[Fetal Sex (Male, Female or Unknown)]]="Male",Backend!$C$6,IF(Table1[[#This Row],[Fetal Sex (Male, Female or Unknown)]]="Female",Backend!$C$7,IF(Table1[[#This Row],[Fetal Sex (Male, Female or Unknown)]]="Unknown",Backend!$C$8,"Error"))),"")</f>
        <v/>
      </c>
      <c r="F3776" s="8" t="str">
        <f>IF(Table1[[#This Row],[Is Data Valid]]=TRUE,EXP(0.578+0.332*((Table1[[#This Row],[Gestation (days)]]+0.5)/7)-0.00354*((Table1[[#This Row],[Gestation (days)]]+0.5)/7)^2)*Table1[[#This Row],[BW40_3705]],"")</f>
        <v/>
      </c>
      <c r="G3776" s="2" t="str">
        <f>IF(Table1[[#This Row],[Is Data Valid]]=TRUE,((Table1[[#This Row],[Birthweight (grams)]]/Table1[[#This Row],[BW_GA]])-1)/(Backend!$B$4/100*Table1[[#This Row],[BW40_3705]]),"")</f>
        <v/>
      </c>
      <c r="H3776" s="7" t="str">
        <f>IF(Table1[[#This Row],[Is Data Valid]]=TRUE,((Table1[[#This Row],[Birthweight (grams)]]*0.9/Table1[[#This Row],[BW_GA]])-1)/(Backend!$B$4/100*Table1[[#This Row],[BW40_3705]]),"")</f>
        <v/>
      </c>
      <c r="I3776" s="7" t="str">
        <f>IF(Table1[[#This Row],[Is Data Valid]]=TRUE,((Table1[[#This Row],[Birthweight (grams)]]*1.1/Table1[[#This Row],[BW_GA]])-1)/(Backend!$B$4/100*Table1[[#This Row],[BW40_3705]]),"")</f>
        <v/>
      </c>
      <c r="J3776" s="7" t="str">
        <f>IF(Table1[[#This Row],[Is Data Valid]]=TRUE,_xlfn.NORM.S.DIST(Table1[[#This Row],[Birthweight Z-Score]],TRUE)*100,"")</f>
        <v/>
      </c>
      <c r="K3776" s="7" t="str">
        <f>IF(Table1[[#This Row],[Is Data Valid]]=TRUE,_xlfn.NORM.S.DIST(Table1[[#This Row],[Birthweight Z-Score (BW-10%)]],TRUE)*100,"")</f>
        <v/>
      </c>
      <c r="L3776" s="7" t="str">
        <f>IF(Table1[[#This Row],[Is Data Valid]]=TRUE,_xlfn.NORM.S.DIST(Table1[[#This Row],[Birthweight Z-Score (BW+10%)]],TRUE)*100,"")</f>
        <v/>
      </c>
    </row>
    <row r="3777" spans="1:12" x14ac:dyDescent="0.35">
      <c r="A3777" s="3"/>
      <c r="B3777" s="2"/>
      <c r="C3777" s="2"/>
      <c r="D3777" s="2" t="b">
        <f>IF(AND(NOT(ISBLANK(Table1[[#This Row],[Fetal Sex (Male, Female or Unknown)]])),ISNUMBER(Table1[[#This Row],[Birthweight (grams)]]),ISNUMBER(Table1[[#This Row],[Gestation (days)]])),TRUE,FALSE)</f>
        <v>0</v>
      </c>
      <c r="E3777" s="2" t="str">
        <f>IF(Table1[[#This Row],[Is Data Valid]]=TRUE,IF(Table1[[#This Row],[Fetal Sex (Male, Female or Unknown)]]="Male",Backend!$C$6,IF(Table1[[#This Row],[Fetal Sex (Male, Female or Unknown)]]="Female",Backend!$C$7,IF(Table1[[#This Row],[Fetal Sex (Male, Female or Unknown)]]="Unknown",Backend!$C$8,"Error"))),"")</f>
        <v/>
      </c>
      <c r="F3777" s="8" t="str">
        <f>IF(Table1[[#This Row],[Is Data Valid]]=TRUE,EXP(0.578+0.332*((Table1[[#This Row],[Gestation (days)]]+0.5)/7)-0.00354*((Table1[[#This Row],[Gestation (days)]]+0.5)/7)^2)*Table1[[#This Row],[BW40_3705]],"")</f>
        <v/>
      </c>
      <c r="G3777" s="2" t="str">
        <f>IF(Table1[[#This Row],[Is Data Valid]]=TRUE,((Table1[[#This Row],[Birthweight (grams)]]/Table1[[#This Row],[BW_GA]])-1)/(Backend!$B$4/100*Table1[[#This Row],[BW40_3705]]),"")</f>
        <v/>
      </c>
      <c r="H3777" s="7" t="str">
        <f>IF(Table1[[#This Row],[Is Data Valid]]=TRUE,((Table1[[#This Row],[Birthweight (grams)]]*0.9/Table1[[#This Row],[BW_GA]])-1)/(Backend!$B$4/100*Table1[[#This Row],[BW40_3705]]),"")</f>
        <v/>
      </c>
      <c r="I3777" s="7" t="str">
        <f>IF(Table1[[#This Row],[Is Data Valid]]=TRUE,((Table1[[#This Row],[Birthweight (grams)]]*1.1/Table1[[#This Row],[BW_GA]])-1)/(Backend!$B$4/100*Table1[[#This Row],[BW40_3705]]),"")</f>
        <v/>
      </c>
      <c r="J3777" s="7" t="str">
        <f>IF(Table1[[#This Row],[Is Data Valid]]=TRUE,_xlfn.NORM.S.DIST(Table1[[#This Row],[Birthweight Z-Score]],TRUE)*100,"")</f>
        <v/>
      </c>
      <c r="K3777" s="7" t="str">
        <f>IF(Table1[[#This Row],[Is Data Valid]]=TRUE,_xlfn.NORM.S.DIST(Table1[[#This Row],[Birthweight Z-Score (BW-10%)]],TRUE)*100,"")</f>
        <v/>
      </c>
      <c r="L3777" s="7" t="str">
        <f>IF(Table1[[#This Row],[Is Data Valid]]=TRUE,_xlfn.NORM.S.DIST(Table1[[#This Row],[Birthweight Z-Score (BW+10%)]],TRUE)*100,"")</f>
        <v/>
      </c>
    </row>
    <row r="3778" spans="1:12" x14ac:dyDescent="0.35">
      <c r="A3778" s="3"/>
      <c r="B3778" s="2"/>
      <c r="C3778" s="2"/>
      <c r="D3778" s="2" t="b">
        <f>IF(AND(NOT(ISBLANK(Table1[[#This Row],[Fetal Sex (Male, Female or Unknown)]])),ISNUMBER(Table1[[#This Row],[Birthweight (grams)]]),ISNUMBER(Table1[[#This Row],[Gestation (days)]])),TRUE,FALSE)</f>
        <v>0</v>
      </c>
      <c r="E3778" s="2" t="str">
        <f>IF(Table1[[#This Row],[Is Data Valid]]=TRUE,IF(Table1[[#This Row],[Fetal Sex (Male, Female or Unknown)]]="Male",Backend!$C$6,IF(Table1[[#This Row],[Fetal Sex (Male, Female or Unknown)]]="Female",Backend!$C$7,IF(Table1[[#This Row],[Fetal Sex (Male, Female or Unknown)]]="Unknown",Backend!$C$8,"Error"))),"")</f>
        <v/>
      </c>
      <c r="F3778" s="8" t="str">
        <f>IF(Table1[[#This Row],[Is Data Valid]]=TRUE,EXP(0.578+0.332*((Table1[[#This Row],[Gestation (days)]]+0.5)/7)-0.00354*((Table1[[#This Row],[Gestation (days)]]+0.5)/7)^2)*Table1[[#This Row],[BW40_3705]],"")</f>
        <v/>
      </c>
      <c r="G3778" s="2" t="str">
        <f>IF(Table1[[#This Row],[Is Data Valid]]=TRUE,((Table1[[#This Row],[Birthweight (grams)]]/Table1[[#This Row],[BW_GA]])-1)/(Backend!$B$4/100*Table1[[#This Row],[BW40_3705]]),"")</f>
        <v/>
      </c>
      <c r="H3778" s="7" t="str">
        <f>IF(Table1[[#This Row],[Is Data Valid]]=TRUE,((Table1[[#This Row],[Birthweight (grams)]]*0.9/Table1[[#This Row],[BW_GA]])-1)/(Backend!$B$4/100*Table1[[#This Row],[BW40_3705]]),"")</f>
        <v/>
      </c>
      <c r="I3778" s="7" t="str">
        <f>IF(Table1[[#This Row],[Is Data Valid]]=TRUE,((Table1[[#This Row],[Birthweight (grams)]]*1.1/Table1[[#This Row],[BW_GA]])-1)/(Backend!$B$4/100*Table1[[#This Row],[BW40_3705]]),"")</f>
        <v/>
      </c>
      <c r="J3778" s="7" t="str">
        <f>IF(Table1[[#This Row],[Is Data Valid]]=TRUE,_xlfn.NORM.S.DIST(Table1[[#This Row],[Birthweight Z-Score]],TRUE)*100,"")</f>
        <v/>
      </c>
      <c r="K3778" s="7" t="str">
        <f>IF(Table1[[#This Row],[Is Data Valid]]=TRUE,_xlfn.NORM.S.DIST(Table1[[#This Row],[Birthweight Z-Score (BW-10%)]],TRUE)*100,"")</f>
        <v/>
      </c>
      <c r="L3778" s="7" t="str">
        <f>IF(Table1[[#This Row],[Is Data Valid]]=TRUE,_xlfn.NORM.S.DIST(Table1[[#This Row],[Birthweight Z-Score (BW+10%)]],TRUE)*100,"")</f>
        <v/>
      </c>
    </row>
    <row r="3779" spans="1:12" x14ac:dyDescent="0.35">
      <c r="A3779" s="3"/>
      <c r="B3779" s="2"/>
      <c r="C3779" s="2"/>
      <c r="D3779" s="2" t="b">
        <f>IF(AND(NOT(ISBLANK(Table1[[#This Row],[Fetal Sex (Male, Female or Unknown)]])),ISNUMBER(Table1[[#This Row],[Birthweight (grams)]]),ISNUMBER(Table1[[#This Row],[Gestation (days)]])),TRUE,FALSE)</f>
        <v>0</v>
      </c>
      <c r="E3779" s="2" t="str">
        <f>IF(Table1[[#This Row],[Is Data Valid]]=TRUE,IF(Table1[[#This Row],[Fetal Sex (Male, Female or Unknown)]]="Male",Backend!$C$6,IF(Table1[[#This Row],[Fetal Sex (Male, Female or Unknown)]]="Female",Backend!$C$7,IF(Table1[[#This Row],[Fetal Sex (Male, Female or Unknown)]]="Unknown",Backend!$C$8,"Error"))),"")</f>
        <v/>
      </c>
      <c r="F3779" s="8" t="str">
        <f>IF(Table1[[#This Row],[Is Data Valid]]=TRUE,EXP(0.578+0.332*((Table1[[#This Row],[Gestation (days)]]+0.5)/7)-0.00354*((Table1[[#This Row],[Gestation (days)]]+0.5)/7)^2)*Table1[[#This Row],[BW40_3705]],"")</f>
        <v/>
      </c>
      <c r="G3779" s="2" t="str">
        <f>IF(Table1[[#This Row],[Is Data Valid]]=TRUE,((Table1[[#This Row],[Birthweight (grams)]]/Table1[[#This Row],[BW_GA]])-1)/(Backend!$B$4/100*Table1[[#This Row],[BW40_3705]]),"")</f>
        <v/>
      </c>
      <c r="H3779" s="7" t="str">
        <f>IF(Table1[[#This Row],[Is Data Valid]]=TRUE,((Table1[[#This Row],[Birthweight (grams)]]*0.9/Table1[[#This Row],[BW_GA]])-1)/(Backend!$B$4/100*Table1[[#This Row],[BW40_3705]]),"")</f>
        <v/>
      </c>
      <c r="I3779" s="7" t="str">
        <f>IF(Table1[[#This Row],[Is Data Valid]]=TRUE,((Table1[[#This Row],[Birthweight (grams)]]*1.1/Table1[[#This Row],[BW_GA]])-1)/(Backend!$B$4/100*Table1[[#This Row],[BW40_3705]]),"")</f>
        <v/>
      </c>
      <c r="J3779" s="7" t="str">
        <f>IF(Table1[[#This Row],[Is Data Valid]]=TRUE,_xlfn.NORM.S.DIST(Table1[[#This Row],[Birthweight Z-Score]],TRUE)*100,"")</f>
        <v/>
      </c>
      <c r="K3779" s="7" t="str">
        <f>IF(Table1[[#This Row],[Is Data Valid]]=TRUE,_xlfn.NORM.S.DIST(Table1[[#This Row],[Birthweight Z-Score (BW-10%)]],TRUE)*100,"")</f>
        <v/>
      </c>
      <c r="L3779" s="7" t="str">
        <f>IF(Table1[[#This Row],[Is Data Valid]]=TRUE,_xlfn.NORM.S.DIST(Table1[[#This Row],[Birthweight Z-Score (BW+10%)]],TRUE)*100,"")</f>
        <v/>
      </c>
    </row>
    <row r="3780" spans="1:12" x14ac:dyDescent="0.35">
      <c r="A3780" s="3"/>
      <c r="B3780" s="2"/>
      <c r="C3780" s="2"/>
      <c r="D3780" s="2" t="b">
        <f>IF(AND(NOT(ISBLANK(Table1[[#This Row],[Fetal Sex (Male, Female or Unknown)]])),ISNUMBER(Table1[[#This Row],[Birthweight (grams)]]),ISNUMBER(Table1[[#This Row],[Gestation (days)]])),TRUE,FALSE)</f>
        <v>0</v>
      </c>
      <c r="E3780" s="2" t="str">
        <f>IF(Table1[[#This Row],[Is Data Valid]]=TRUE,IF(Table1[[#This Row],[Fetal Sex (Male, Female or Unknown)]]="Male",Backend!$C$6,IF(Table1[[#This Row],[Fetal Sex (Male, Female or Unknown)]]="Female",Backend!$C$7,IF(Table1[[#This Row],[Fetal Sex (Male, Female or Unknown)]]="Unknown",Backend!$C$8,"Error"))),"")</f>
        <v/>
      </c>
      <c r="F3780" s="8" t="str">
        <f>IF(Table1[[#This Row],[Is Data Valid]]=TRUE,EXP(0.578+0.332*((Table1[[#This Row],[Gestation (days)]]+0.5)/7)-0.00354*((Table1[[#This Row],[Gestation (days)]]+0.5)/7)^2)*Table1[[#This Row],[BW40_3705]],"")</f>
        <v/>
      </c>
      <c r="G3780" s="2" t="str">
        <f>IF(Table1[[#This Row],[Is Data Valid]]=TRUE,((Table1[[#This Row],[Birthweight (grams)]]/Table1[[#This Row],[BW_GA]])-1)/(Backend!$B$4/100*Table1[[#This Row],[BW40_3705]]),"")</f>
        <v/>
      </c>
      <c r="H3780" s="7" t="str">
        <f>IF(Table1[[#This Row],[Is Data Valid]]=TRUE,((Table1[[#This Row],[Birthweight (grams)]]*0.9/Table1[[#This Row],[BW_GA]])-1)/(Backend!$B$4/100*Table1[[#This Row],[BW40_3705]]),"")</f>
        <v/>
      </c>
      <c r="I3780" s="7" t="str">
        <f>IF(Table1[[#This Row],[Is Data Valid]]=TRUE,((Table1[[#This Row],[Birthweight (grams)]]*1.1/Table1[[#This Row],[BW_GA]])-1)/(Backend!$B$4/100*Table1[[#This Row],[BW40_3705]]),"")</f>
        <v/>
      </c>
      <c r="J3780" s="7" t="str">
        <f>IF(Table1[[#This Row],[Is Data Valid]]=TRUE,_xlfn.NORM.S.DIST(Table1[[#This Row],[Birthweight Z-Score]],TRUE)*100,"")</f>
        <v/>
      </c>
      <c r="K3780" s="7" t="str">
        <f>IF(Table1[[#This Row],[Is Data Valid]]=TRUE,_xlfn.NORM.S.DIST(Table1[[#This Row],[Birthweight Z-Score (BW-10%)]],TRUE)*100,"")</f>
        <v/>
      </c>
      <c r="L3780" s="7" t="str">
        <f>IF(Table1[[#This Row],[Is Data Valid]]=TRUE,_xlfn.NORM.S.DIST(Table1[[#This Row],[Birthweight Z-Score (BW+10%)]],TRUE)*100,"")</f>
        <v/>
      </c>
    </row>
    <row r="3781" spans="1:12" x14ac:dyDescent="0.35">
      <c r="A3781" s="3"/>
      <c r="B3781" s="2"/>
      <c r="C3781" s="2"/>
      <c r="D3781" s="2" t="b">
        <f>IF(AND(NOT(ISBLANK(Table1[[#This Row],[Fetal Sex (Male, Female or Unknown)]])),ISNUMBER(Table1[[#This Row],[Birthweight (grams)]]),ISNUMBER(Table1[[#This Row],[Gestation (days)]])),TRUE,FALSE)</f>
        <v>0</v>
      </c>
      <c r="E3781" s="2" t="str">
        <f>IF(Table1[[#This Row],[Is Data Valid]]=TRUE,IF(Table1[[#This Row],[Fetal Sex (Male, Female or Unknown)]]="Male",Backend!$C$6,IF(Table1[[#This Row],[Fetal Sex (Male, Female or Unknown)]]="Female",Backend!$C$7,IF(Table1[[#This Row],[Fetal Sex (Male, Female or Unknown)]]="Unknown",Backend!$C$8,"Error"))),"")</f>
        <v/>
      </c>
      <c r="F3781" s="8" t="str">
        <f>IF(Table1[[#This Row],[Is Data Valid]]=TRUE,EXP(0.578+0.332*((Table1[[#This Row],[Gestation (days)]]+0.5)/7)-0.00354*((Table1[[#This Row],[Gestation (days)]]+0.5)/7)^2)*Table1[[#This Row],[BW40_3705]],"")</f>
        <v/>
      </c>
      <c r="G3781" s="2" t="str">
        <f>IF(Table1[[#This Row],[Is Data Valid]]=TRUE,((Table1[[#This Row],[Birthweight (grams)]]/Table1[[#This Row],[BW_GA]])-1)/(Backend!$B$4/100*Table1[[#This Row],[BW40_3705]]),"")</f>
        <v/>
      </c>
      <c r="H3781" s="7" t="str">
        <f>IF(Table1[[#This Row],[Is Data Valid]]=TRUE,((Table1[[#This Row],[Birthweight (grams)]]*0.9/Table1[[#This Row],[BW_GA]])-1)/(Backend!$B$4/100*Table1[[#This Row],[BW40_3705]]),"")</f>
        <v/>
      </c>
      <c r="I3781" s="7" t="str">
        <f>IF(Table1[[#This Row],[Is Data Valid]]=TRUE,((Table1[[#This Row],[Birthweight (grams)]]*1.1/Table1[[#This Row],[BW_GA]])-1)/(Backend!$B$4/100*Table1[[#This Row],[BW40_3705]]),"")</f>
        <v/>
      </c>
      <c r="J3781" s="7" t="str">
        <f>IF(Table1[[#This Row],[Is Data Valid]]=TRUE,_xlfn.NORM.S.DIST(Table1[[#This Row],[Birthweight Z-Score]],TRUE)*100,"")</f>
        <v/>
      </c>
      <c r="K3781" s="7" t="str">
        <f>IF(Table1[[#This Row],[Is Data Valid]]=TRUE,_xlfn.NORM.S.DIST(Table1[[#This Row],[Birthweight Z-Score (BW-10%)]],TRUE)*100,"")</f>
        <v/>
      </c>
      <c r="L3781" s="7" t="str">
        <f>IF(Table1[[#This Row],[Is Data Valid]]=TRUE,_xlfn.NORM.S.DIST(Table1[[#This Row],[Birthweight Z-Score (BW+10%)]],TRUE)*100,"")</f>
        <v/>
      </c>
    </row>
    <row r="3782" spans="1:12" x14ac:dyDescent="0.35">
      <c r="A3782" s="3"/>
      <c r="B3782" s="2"/>
      <c r="C3782" s="2"/>
      <c r="D3782" s="2" t="b">
        <f>IF(AND(NOT(ISBLANK(Table1[[#This Row],[Fetal Sex (Male, Female or Unknown)]])),ISNUMBER(Table1[[#This Row],[Birthweight (grams)]]),ISNUMBER(Table1[[#This Row],[Gestation (days)]])),TRUE,FALSE)</f>
        <v>0</v>
      </c>
      <c r="E3782" s="2" t="str">
        <f>IF(Table1[[#This Row],[Is Data Valid]]=TRUE,IF(Table1[[#This Row],[Fetal Sex (Male, Female or Unknown)]]="Male",Backend!$C$6,IF(Table1[[#This Row],[Fetal Sex (Male, Female or Unknown)]]="Female",Backend!$C$7,IF(Table1[[#This Row],[Fetal Sex (Male, Female or Unknown)]]="Unknown",Backend!$C$8,"Error"))),"")</f>
        <v/>
      </c>
      <c r="F3782" s="8" t="str">
        <f>IF(Table1[[#This Row],[Is Data Valid]]=TRUE,EXP(0.578+0.332*((Table1[[#This Row],[Gestation (days)]]+0.5)/7)-0.00354*((Table1[[#This Row],[Gestation (days)]]+0.5)/7)^2)*Table1[[#This Row],[BW40_3705]],"")</f>
        <v/>
      </c>
      <c r="G3782" s="2" t="str">
        <f>IF(Table1[[#This Row],[Is Data Valid]]=TRUE,((Table1[[#This Row],[Birthweight (grams)]]/Table1[[#This Row],[BW_GA]])-1)/(Backend!$B$4/100*Table1[[#This Row],[BW40_3705]]),"")</f>
        <v/>
      </c>
      <c r="H3782" s="7" t="str">
        <f>IF(Table1[[#This Row],[Is Data Valid]]=TRUE,((Table1[[#This Row],[Birthweight (grams)]]*0.9/Table1[[#This Row],[BW_GA]])-1)/(Backend!$B$4/100*Table1[[#This Row],[BW40_3705]]),"")</f>
        <v/>
      </c>
      <c r="I3782" s="7" t="str">
        <f>IF(Table1[[#This Row],[Is Data Valid]]=TRUE,((Table1[[#This Row],[Birthweight (grams)]]*1.1/Table1[[#This Row],[BW_GA]])-1)/(Backend!$B$4/100*Table1[[#This Row],[BW40_3705]]),"")</f>
        <v/>
      </c>
      <c r="J3782" s="7" t="str">
        <f>IF(Table1[[#This Row],[Is Data Valid]]=TRUE,_xlfn.NORM.S.DIST(Table1[[#This Row],[Birthweight Z-Score]],TRUE)*100,"")</f>
        <v/>
      </c>
      <c r="K3782" s="7" t="str">
        <f>IF(Table1[[#This Row],[Is Data Valid]]=TRUE,_xlfn.NORM.S.DIST(Table1[[#This Row],[Birthweight Z-Score (BW-10%)]],TRUE)*100,"")</f>
        <v/>
      </c>
      <c r="L3782" s="7" t="str">
        <f>IF(Table1[[#This Row],[Is Data Valid]]=TRUE,_xlfn.NORM.S.DIST(Table1[[#This Row],[Birthweight Z-Score (BW+10%)]],TRUE)*100,"")</f>
        <v/>
      </c>
    </row>
    <row r="3783" spans="1:12" x14ac:dyDescent="0.35">
      <c r="A3783" s="3"/>
      <c r="B3783" s="2"/>
      <c r="C3783" s="2"/>
      <c r="D3783" s="2" t="b">
        <f>IF(AND(NOT(ISBLANK(Table1[[#This Row],[Fetal Sex (Male, Female or Unknown)]])),ISNUMBER(Table1[[#This Row],[Birthweight (grams)]]),ISNUMBER(Table1[[#This Row],[Gestation (days)]])),TRUE,FALSE)</f>
        <v>0</v>
      </c>
      <c r="E3783" s="2" t="str">
        <f>IF(Table1[[#This Row],[Is Data Valid]]=TRUE,IF(Table1[[#This Row],[Fetal Sex (Male, Female or Unknown)]]="Male",Backend!$C$6,IF(Table1[[#This Row],[Fetal Sex (Male, Female or Unknown)]]="Female",Backend!$C$7,IF(Table1[[#This Row],[Fetal Sex (Male, Female or Unknown)]]="Unknown",Backend!$C$8,"Error"))),"")</f>
        <v/>
      </c>
      <c r="F3783" s="8" t="str">
        <f>IF(Table1[[#This Row],[Is Data Valid]]=TRUE,EXP(0.578+0.332*((Table1[[#This Row],[Gestation (days)]]+0.5)/7)-0.00354*((Table1[[#This Row],[Gestation (days)]]+0.5)/7)^2)*Table1[[#This Row],[BW40_3705]],"")</f>
        <v/>
      </c>
      <c r="G3783" s="2" t="str">
        <f>IF(Table1[[#This Row],[Is Data Valid]]=TRUE,((Table1[[#This Row],[Birthweight (grams)]]/Table1[[#This Row],[BW_GA]])-1)/(Backend!$B$4/100*Table1[[#This Row],[BW40_3705]]),"")</f>
        <v/>
      </c>
      <c r="H3783" s="7" t="str">
        <f>IF(Table1[[#This Row],[Is Data Valid]]=TRUE,((Table1[[#This Row],[Birthweight (grams)]]*0.9/Table1[[#This Row],[BW_GA]])-1)/(Backend!$B$4/100*Table1[[#This Row],[BW40_3705]]),"")</f>
        <v/>
      </c>
      <c r="I3783" s="7" t="str">
        <f>IF(Table1[[#This Row],[Is Data Valid]]=TRUE,((Table1[[#This Row],[Birthweight (grams)]]*1.1/Table1[[#This Row],[BW_GA]])-1)/(Backend!$B$4/100*Table1[[#This Row],[BW40_3705]]),"")</f>
        <v/>
      </c>
      <c r="J3783" s="7" t="str">
        <f>IF(Table1[[#This Row],[Is Data Valid]]=TRUE,_xlfn.NORM.S.DIST(Table1[[#This Row],[Birthweight Z-Score]],TRUE)*100,"")</f>
        <v/>
      </c>
      <c r="K3783" s="7" t="str">
        <f>IF(Table1[[#This Row],[Is Data Valid]]=TRUE,_xlfn.NORM.S.DIST(Table1[[#This Row],[Birthweight Z-Score (BW-10%)]],TRUE)*100,"")</f>
        <v/>
      </c>
      <c r="L3783" s="7" t="str">
        <f>IF(Table1[[#This Row],[Is Data Valid]]=TRUE,_xlfn.NORM.S.DIST(Table1[[#This Row],[Birthweight Z-Score (BW+10%)]],TRUE)*100,"")</f>
        <v/>
      </c>
    </row>
    <row r="3784" spans="1:12" x14ac:dyDescent="0.35">
      <c r="A3784" s="3"/>
      <c r="B3784" s="2"/>
      <c r="C3784" s="2"/>
      <c r="D3784" s="2" t="b">
        <f>IF(AND(NOT(ISBLANK(Table1[[#This Row],[Fetal Sex (Male, Female or Unknown)]])),ISNUMBER(Table1[[#This Row],[Birthweight (grams)]]),ISNUMBER(Table1[[#This Row],[Gestation (days)]])),TRUE,FALSE)</f>
        <v>0</v>
      </c>
      <c r="E3784" s="2" t="str">
        <f>IF(Table1[[#This Row],[Is Data Valid]]=TRUE,IF(Table1[[#This Row],[Fetal Sex (Male, Female or Unknown)]]="Male",Backend!$C$6,IF(Table1[[#This Row],[Fetal Sex (Male, Female or Unknown)]]="Female",Backend!$C$7,IF(Table1[[#This Row],[Fetal Sex (Male, Female or Unknown)]]="Unknown",Backend!$C$8,"Error"))),"")</f>
        <v/>
      </c>
      <c r="F3784" s="8" t="str">
        <f>IF(Table1[[#This Row],[Is Data Valid]]=TRUE,EXP(0.578+0.332*((Table1[[#This Row],[Gestation (days)]]+0.5)/7)-0.00354*((Table1[[#This Row],[Gestation (days)]]+0.5)/7)^2)*Table1[[#This Row],[BW40_3705]],"")</f>
        <v/>
      </c>
      <c r="G3784" s="2" t="str">
        <f>IF(Table1[[#This Row],[Is Data Valid]]=TRUE,((Table1[[#This Row],[Birthweight (grams)]]/Table1[[#This Row],[BW_GA]])-1)/(Backend!$B$4/100*Table1[[#This Row],[BW40_3705]]),"")</f>
        <v/>
      </c>
      <c r="H3784" s="7" t="str">
        <f>IF(Table1[[#This Row],[Is Data Valid]]=TRUE,((Table1[[#This Row],[Birthweight (grams)]]*0.9/Table1[[#This Row],[BW_GA]])-1)/(Backend!$B$4/100*Table1[[#This Row],[BW40_3705]]),"")</f>
        <v/>
      </c>
      <c r="I3784" s="7" t="str">
        <f>IF(Table1[[#This Row],[Is Data Valid]]=TRUE,((Table1[[#This Row],[Birthweight (grams)]]*1.1/Table1[[#This Row],[BW_GA]])-1)/(Backend!$B$4/100*Table1[[#This Row],[BW40_3705]]),"")</f>
        <v/>
      </c>
      <c r="J3784" s="7" t="str">
        <f>IF(Table1[[#This Row],[Is Data Valid]]=TRUE,_xlfn.NORM.S.DIST(Table1[[#This Row],[Birthweight Z-Score]],TRUE)*100,"")</f>
        <v/>
      </c>
      <c r="K3784" s="7" t="str">
        <f>IF(Table1[[#This Row],[Is Data Valid]]=TRUE,_xlfn.NORM.S.DIST(Table1[[#This Row],[Birthweight Z-Score (BW-10%)]],TRUE)*100,"")</f>
        <v/>
      </c>
      <c r="L3784" s="7" t="str">
        <f>IF(Table1[[#This Row],[Is Data Valid]]=TRUE,_xlfn.NORM.S.DIST(Table1[[#This Row],[Birthweight Z-Score (BW+10%)]],TRUE)*100,"")</f>
        <v/>
      </c>
    </row>
    <row r="3785" spans="1:12" x14ac:dyDescent="0.35">
      <c r="A3785" s="3"/>
      <c r="B3785" s="2"/>
      <c r="C3785" s="2"/>
      <c r="D3785" s="2" t="b">
        <f>IF(AND(NOT(ISBLANK(Table1[[#This Row],[Fetal Sex (Male, Female or Unknown)]])),ISNUMBER(Table1[[#This Row],[Birthweight (grams)]]),ISNUMBER(Table1[[#This Row],[Gestation (days)]])),TRUE,FALSE)</f>
        <v>0</v>
      </c>
      <c r="E3785" s="2" t="str">
        <f>IF(Table1[[#This Row],[Is Data Valid]]=TRUE,IF(Table1[[#This Row],[Fetal Sex (Male, Female or Unknown)]]="Male",Backend!$C$6,IF(Table1[[#This Row],[Fetal Sex (Male, Female or Unknown)]]="Female",Backend!$C$7,IF(Table1[[#This Row],[Fetal Sex (Male, Female or Unknown)]]="Unknown",Backend!$C$8,"Error"))),"")</f>
        <v/>
      </c>
      <c r="F3785" s="8" t="str">
        <f>IF(Table1[[#This Row],[Is Data Valid]]=TRUE,EXP(0.578+0.332*((Table1[[#This Row],[Gestation (days)]]+0.5)/7)-0.00354*((Table1[[#This Row],[Gestation (days)]]+0.5)/7)^2)*Table1[[#This Row],[BW40_3705]],"")</f>
        <v/>
      </c>
      <c r="G3785" s="2" t="str">
        <f>IF(Table1[[#This Row],[Is Data Valid]]=TRUE,((Table1[[#This Row],[Birthweight (grams)]]/Table1[[#This Row],[BW_GA]])-1)/(Backend!$B$4/100*Table1[[#This Row],[BW40_3705]]),"")</f>
        <v/>
      </c>
      <c r="H3785" s="7" t="str">
        <f>IF(Table1[[#This Row],[Is Data Valid]]=TRUE,((Table1[[#This Row],[Birthweight (grams)]]*0.9/Table1[[#This Row],[BW_GA]])-1)/(Backend!$B$4/100*Table1[[#This Row],[BW40_3705]]),"")</f>
        <v/>
      </c>
      <c r="I3785" s="7" t="str">
        <f>IF(Table1[[#This Row],[Is Data Valid]]=TRUE,((Table1[[#This Row],[Birthweight (grams)]]*1.1/Table1[[#This Row],[BW_GA]])-1)/(Backend!$B$4/100*Table1[[#This Row],[BW40_3705]]),"")</f>
        <v/>
      </c>
      <c r="J3785" s="7" t="str">
        <f>IF(Table1[[#This Row],[Is Data Valid]]=TRUE,_xlfn.NORM.S.DIST(Table1[[#This Row],[Birthweight Z-Score]],TRUE)*100,"")</f>
        <v/>
      </c>
      <c r="K3785" s="7" t="str">
        <f>IF(Table1[[#This Row],[Is Data Valid]]=TRUE,_xlfn.NORM.S.DIST(Table1[[#This Row],[Birthweight Z-Score (BW-10%)]],TRUE)*100,"")</f>
        <v/>
      </c>
      <c r="L3785" s="7" t="str">
        <f>IF(Table1[[#This Row],[Is Data Valid]]=TRUE,_xlfn.NORM.S.DIST(Table1[[#This Row],[Birthweight Z-Score (BW+10%)]],TRUE)*100,"")</f>
        <v/>
      </c>
    </row>
    <row r="3786" spans="1:12" x14ac:dyDescent="0.35">
      <c r="A3786" s="3"/>
      <c r="B3786" s="2"/>
      <c r="C3786" s="2"/>
      <c r="D3786" s="2" t="b">
        <f>IF(AND(NOT(ISBLANK(Table1[[#This Row],[Fetal Sex (Male, Female or Unknown)]])),ISNUMBER(Table1[[#This Row],[Birthweight (grams)]]),ISNUMBER(Table1[[#This Row],[Gestation (days)]])),TRUE,FALSE)</f>
        <v>0</v>
      </c>
      <c r="E3786" s="2" t="str">
        <f>IF(Table1[[#This Row],[Is Data Valid]]=TRUE,IF(Table1[[#This Row],[Fetal Sex (Male, Female or Unknown)]]="Male",Backend!$C$6,IF(Table1[[#This Row],[Fetal Sex (Male, Female or Unknown)]]="Female",Backend!$C$7,IF(Table1[[#This Row],[Fetal Sex (Male, Female or Unknown)]]="Unknown",Backend!$C$8,"Error"))),"")</f>
        <v/>
      </c>
      <c r="F3786" s="8" t="str">
        <f>IF(Table1[[#This Row],[Is Data Valid]]=TRUE,EXP(0.578+0.332*((Table1[[#This Row],[Gestation (days)]]+0.5)/7)-0.00354*((Table1[[#This Row],[Gestation (days)]]+0.5)/7)^2)*Table1[[#This Row],[BW40_3705]],"")</f>
        <v/>
      </c>
      <c r="G3786" s="2" t="str">
        <f>IF(Table1[[#This Row],[Is Data Valid]]=TRUE,((Table1[[#This Row],[Birthweight (grams)]]/Table1[[#This Row],[BW_GA]])-1)/(Backend!$B$4/100*Table1[[#This Row],[BW40_3705]]),"")</f>
        <v/>
      </c>
      <c r="H3786" s="7" t="str">
        <f>IF(Table1[[#This Row],[Is Data Valid]]=TRUE,((Table1[[#This Row],[Birthweight (grams)]]*0.9/Table1[[#This Row],[BW_GA]])-1)/(Backend!$B$4/100*Table1[[#This Row],[BW40_3705]]),"")</f>
        <v/>
      </c>
      <c r="I3786" s="7" t="str">
        <f>IF(Table1[[#This Row],[Is Data Valid]]=TRUE,((Table1[[#This Row],[Birthweight (grams)]]*1.1/Table1[[#This Row],[BW_GA]])-1)/(Backend!$B$4/100*Table1[[#This Row],[BW40_3705]]),"")</f>
        <v/>
      </c>
      <c r="J3786" s="7" t="str">
        <f>IF(Table1[[#This Row],[Is Data Valid]]=TRUE,_xlfn.NORM.S.DIST(Table1[[#This Row],[Birthweight Z-Score]],TRUE)*100,"")</f>
        <v/>
      </c>
      <c r="K3786" s="7" t="str">
        <f>IF(Table1[[#This Row],[Is Data Valid]]=TRUE,_xlfn.NORM.S.DIST(Table1[[#This Row],[Birthweight Z-Score (BW-10%)]],TRUE)*100,"")</f>
        <v/>
      </c>
      <c r="L3786" s="7" t="str">
        <f>IF(Table1[[#This Row],[Is Data Valid]]=TRUE,_xlfn.NORM.S.DIST(Table1[[#This Row],[Birthweight Z-Score (BW+10%)]],TRUE)*100,"")</f>
        <v/>
      </c>
    </row>
    <row r="3787" spans="1:12" x14ac:dyDescent="0.35">
      <c r="A3787" s="3"/>
      <c r="B3787" s="2"/>
      <c r="C3787" s="2"/>
      <c r="D3787" s="2" t="b">
        <f>IF(AND(NOT(ISBLANK(Table1[[#This Row],[Fetal Sex (Male, Female or Unknown)]])),ISNUMBER(Table1[[#This Row],[Birthweight (grams)]]),ISNUMBER(Table1[[#This Row],[Gestation (days)]])),TRUE,FALSE)</f>
        <v>0</v>
      </c>
      <c r="E3787" s="2" t="str">
        <f>IF(Table1[[#This Row],[Is Data Valid]]=TRUE,IF(Table1[[#This Row],[Fetal Sex (Male, Female or Unknown)]]="Male",Backend!$C$6,IF(Table1[[#This Row],[Fetal Sex (Male, Female or Unknown)]]="Female",Backend!$C$7,IF(Table1[[#This Row],[Fetal Sex (Male, Female or Unknown)]]="Unknown",Backend!$C$8,"Error"))),"")</f>
        <v/>
      </c>
      <c r="F3787" s="8" t="str">
        <f>IF(Table1[[#This Row],[Is Data Valid]]=TRUE,EXP(0.578+0.332*((Table1[[#This Row],[Gestation (days)]]+0.5)/7)-0.00354*((Table1[[#This Row],[Gestation (days)]]+0.5)/7)^2)*Table1[[#This Row],[BW40_3705]],"")</f>
        <v/>
      </c>
      <c r="G3787" s="2" t="str">
        <f>IF(Table1[[#This Row],[Is Data Valid]]=TRUE,((Table1[[#This Row],[Birthweight (grams)]]/Table1[[#This Row],[BW_GA]])-1)/(Backend!$B$4/100*Table1[[#This Row],[BW40_3705]]),"")</f>
        <v/>
      </c>
      <c r="H3787" s="7" t="str">
        <f>IF(Table1[[#This Row],[Is Data Valid]]=TRUE,((Table1[[#This Row],[Birthweight (grams)]]*0.9/Table1[[#This Row],[BW_GA]])-1)/(Backend!$B$4/100*Table1[[#This Row],[BW40_3705]]),"")</f>
        <v/>
      </c>
      <c r="I3787" s="7" t="str">
        <f>IF(Table1[[#This Row],[Is Data Valid]]=TRUE,((Table1[[#This Row],[Birthweight (grams)]]*1.1/Table1[[#This Row],[BW_GA]])-1)/(Backend!$B$4/100*Table1[[#This Row],[BW40_3705]]),"")</f>
        <v/>
      </c>
      <c r="J3787" s="7" t="str">
        <f>IF(Table1[[#This Row],[Is Data Valid]]=TRUE,_xlfn.NORM.S.DIST(Table1[[#This Row],[Birthweight Z-Score]],TRUE)*100,"")</f>
        <v/>
      </c>
      <c r="K3787" s="7" t="str">
        <f>IF(Table1[[#This Row],[Is Data Valid]]=TRUE,_xlfn.NORM.S.DIST(Table1[[#This Row],[Birthweight Z-Score (BW-10%)]],TRUE)*100,"")</f>
        <v/>
      </c>
      <c r="L3787" s="7" t="str">
        <f>IF(Table1[[#This Row],[Is Data Valid]]=TRUE,_xlfn.NORM.S.DIST(Table1[[#This Row],[Birthweight Z-Score (BW+10%)]],TRUE)*100,"")</f>
        <v/>
      </c>
    </row>
    <row r="3788" spans="1:12" x14ac:dyDescent="0.35">
      <c r="A3788" s="3"/>
      <c r="B3788" s="2"/>
      <c r="C3788" s="2"/>
      <c r="D3788" s="2" t="b">
        <f>IF(AND(NOT(ISBLANK(Table1[[#This Row],[Fetal Sex (Male, Female or Unknown)]])),ISNUMBER(Table1[[#This Row],[Birthweight (grams)]]),ISNUMBER(Table1[[#This Row],[Gestation (days)]])),TRUE,FALSE)</f>
        <v>0</v>
      </c>
      <c r="E3788" s="2" t="str">
        <f>IF(Table1[[#This Row],[Is Data Valid]]=TRUE,IF(Table1[[#This Row],[Fetal Sex (Male, Female or Unknown)]]="Male",Backend!$C$6,IF(Table1[[#This Row],[Fetal Sex (Male, Female or Unknown)]]="Female",Backend!$C$7,IF(Table1[[#This Row],[Fetal Sex (Male, Female or Unknown)]]="Unknown",Backend!$C$8,"Error"))),"")</f>
        <v/>
      </c>
      <c r="F3788" s="8" t="str">
        <f>IF(Table1[[#This Row],[Is Data Valid]]=TRUE,EXP(0.578+0.332*((Table1[[#This Row],[Gestation (days)]]+0.5)/7)-0.00354*((Table1[[#This Row],[Gestation (days)]]+0.5)/7)^2)*Table1[[#This Row],[BW40_3705]],"")</f>
        <v/>
      </c>
      <c r="G3788" s="2" t="str">
        <f>IF(Table1[[#This Row],[Is Data Valid]]=TRUE,((Table1[[#This Row],[Birthweight (grams)]]/Table1[[#This Row],[BW_GA]])-1)/(Backend!$B$4/100*Table1[[#This Row],[BW40_3705]]),"")</f>
        <v/>
      </c>
      <c r="H3788" s="7" t="str">
        <f>IF(Table1[[#This Row],[Is Data Valid]]=TRUE,((Table1[[#This Row],[Birthweight (grams)]]*0.9/Table1[[#This Row],[BW_GA]])-1)/(Backend!$B$4/100*Table1[[#This Row],[BW40_3705]]),"")</f>
        <v/>
      </c>
      <c r="I3788" s="7" t="str">
        <f>IF(Table1[[#This Row],[Is Data Valid]]=TRUE,((Table1[[#This Row],[Birthweight (grams)]]*1.1/Table1[[#This Row],[BW_GA]])-1)/(Backend!$B$4/100*Table1[[#This Row],[BW40_3705]]),"")</f>
        <v/>
      </c>
      <c r="J3788" s="7" t="str">
        <f>IF(Table1[[#This Row],[Is Data Valid]]=TRUE,_xlfn.NORM.S.DIST(Table1[[#This Row],[Birthweight Z-Score]],TRUE)*100,"")</f>
        <v/>
      </c>
      <c r="K3788" s="7" t="str">
        <f>IF(Table1[[#This Row],[Is Data Valid]]=TRUE,_xlfn.NORM.S.DIST(Table1[[#This Row],[Birthweight Z-Score (BW-10%)]],TRUE)*100,"")</f>
        <v/>
      </c>
      <c r="L3788" s="7" t="str">
        <f>IF(Table1[[#This Row],[Is Data Valid]]=TRUE,_xlfn.NORM.S.DIST(Table1[[#This Row],[Birthweight Z-Score (BW+10%)]],TRUE)*100,"")</f>
        <v/>
      </c>
    </row>
    <row r="3789" spans="1:12" x14ac:dyDescent="0.35">
      <c r="A3789" s="3"/>
      <c r="B3789" s="2"/>
      <c r="C3789" s="2"/>
      <c r="D3789" s="2" t="b">
        <f>IF(AND(NOT(ISBLANK(Table1[[#This Row],[Fetal Sex (Male, Female or Unknown)]])),ISNUMBER(Table1[[#This Row],[Birthweight (grams)]]),ISNUMBER(Table1[[#This Row],[Gestation (days)]])),TRUE,FALSE)</f>
        <v>0</v>
      </c>
      <c r="E3789" s="2" t="str">
        <f>IF(Table1[[#This Row],[Is Data Valid]]=TRUE,IF(Table1[[#This Row],[Fetal Sex (Male, Female or Unknown)]]="Male",Backend!$C$6,IF(Table1[[#This Row],[Fetal Sex (Male, Female or Unknown)]]="Female",Backend!$C$7,IF(Table1[[#This Row],[Fetal Sex (Male, Female or Unknown)]]="Unknown",Backend!$C$8,"Error"))),"")</f>
        <v/>
      </c>
      <c r="F3789" s="8" t="str">
        <f>IF(Table1[[#This Row],[Is Data Valid]]=TRUE,EXP(0.578+0.332*((Table1[[#This Row],[Gestation (days)]]+0.5)/7)-0.00354*((Table1[[#This Row],[Gestation (days)]]+0.5)/7)^2)*Table1[[#This Row],[BW40_3705]],"")</f>
        <v/>
      </c>
      <c r="G3789" s="2" t="str">
        <f>IF(Table1[[#This Row],[Is Data Valid]]=TRUE,((Table1[[#This Row],[Birthweight (grams)]]/Table1[[#This Row],[BW_GA]])-1)/(Backend!$B$4/100*Table1[[#This Row],[BW40_3705]]),"")</f>
        <v/>
      </c>
      <c r="H3789" s="7" t="str">
        <f>IF(Table1[[#This Row],[Is Data Valid]]=TRUE,((Table1[[#This Row],[Birthweight (grams)]]*0.9/Table1[[#This Row],[BW_GA]])-1)/(Backend!$B$4/100*Table1[[#This Row],[BW40_3705]]),"")</f>
        <v/>
      </c>
      <c r="I3789" s="7" t="str">
        <f>IF(Table1[[#This Row],[Is Data Valid]]=TRUE,((Table1[[#This Row],[Birthweight (grams)]]*1.1/Table1[[#This Row],[BW_GA]])-1)/(Backend!$B$4/100*Table1[[#This Row],[BW40_3705]]),"")</f>
        <v/>
      </c>
      <c r="J3789" s="7" t="str">
        <f>IF(Table1[[#This Row],[Is Data Valid]]=TRUE,_xlfn.NORM.S.DIST(Table1[[#This Row],[Birthweight Z-Score]],TRUE)*100,"")</f>
        <v/>
      </c>
      <c r="K3789" s="7" t="str">
        <f>IF(Table1[[#This Row],[Is Data Valid]]=TRUE,_xlfn.NORM.S.DIST(Table1[[#This Row],[Birthweight Z-Score (BW-10%)]],TRUE)*100,"")</f>
        <v/>
      </c>
      <c r="L3789" s="7" t="str">
        <f>IF(Table1[[#This Row],[Is Data Valid]]=TRUE,_xlfn.NORM.S.DIST(Table1[[#This Row],[Birthweight Z-Score (BW+10%)]],TRUE)*100,"")</f>
        <v/>
      </c>
    </row>
    <row r="3790" spans="1:12" x14ac:dyDescent="0.35">
      <c r="A3790" s="3"/>
      <c r="B3790" s="2"/>
      <c r="C3790" s="2"/>
      <c r="D3790" s="2" t="b">
        <f>IF(AND(NOT(ISBLANK(Table1[[#This Row],[Fetal Sex (Male, Female or Unknown)]])),ISNUMBER(Table1[[#This Row],[Birthweight (grams)]]),ISNUMBER(Table1[[#This Row],[Gestation (days)]])),TRUE,FALSE)</f>
        <v>0</v>
      </c>
      <c r="E3790" s="2" t="str">
        <f>IF(Table1[[#This Row],[Is Data Valid]]=TRUE,IF(Table1[[#This Row],[Fetal Sex (Male, Female or Unknown)]]="Male",Backend!$C$6,IF(Table1[[#This Row],[Fetal Sex (Male, Female or Unknown)]]="Female",Backend!$C$7,IF(Table1[[#This Row],[Fetal Sex (Male, Female or Unknown)]]="Unknown",Backend!$C$8,"Error"))),"")</f>
        <v/>
      </c>
      <c r="F3790" s="8" t="str">
        <f>IF(Table1[[#This Row],[Is Data Valid]]=TRUE,EXP(0.578+0.332*((Table1[[#This Row],[Gestation (days)]]+0.5)/7)-0.00354*((Table1[[#This Row],[Gestation (days)]]+0.5)/7)^2)*Table1[[#This Row],[BW40_3705]],"")</f>
        <v/>
      </c>
      <c r="G3790" s="2" t="str">
        <f>IF(Table1[[#This Row],[Is Data Valid]]=TRUE,((Table1[[#This Row],[Birthweight (grams)]]/Table1[[#This Row],[BW_GA]])-1)/(Backend!$B$4/100*Table1[[#This Row],[BW40_3705]]),"")</f>
        <v/>
      </c>
      <c r="H3790" s="7" t="str">
        <f>IF(Table1[[#This Row],[Is Data Valid]]=TRUE,((Table1[[#This Row],[Birthweight (grams)]]*0.9/Table1[[#This Row],[BW_GA]])-1)/(Backend!$B$4/100*Table1[[#This Row],[BW40_3705]]),"")</f>
        <v/>
      </c>
      <c r="I3790" s="7" t="str">
        <f>IF(Table1[[#This Row],[Is Data Valid]]=TRUE,((Table1[[#This Row],[Birthweight (grams)]]*1.1/Table1[[#This Row],[BW_GA]])-1)/(Backend!$B$4/100*Table1[[#This Row],[BW40_3705]]),"")</f>
        <v/>
      </c>
      <c r="J3790" s="7" t="str">
        <f>IF(Table1[[#This Row],[Is Data Valid]]=TRUE,_xlfn.NORM.S.DIST(Table1[[#This Row],[Birthweight Z-Score]],TRUE)*100,"")</f>
        <v/>
      </c>
      <c r="K3790" s="7" t="str">
        <f>IF(Table1[[#This Row],[Is Data Valid]]=TRUE,_xlfn.NORM.S.DIST(Table1[[#This Row],[Birthweight Z-Score (BW-10%)]],TRUE)*100,"")</f>
        <v/>
      </c>
      <c r="L3790" s="7" t="str">
        <f>IF(Table1[[#This Row],[Is Data Valid]]=TRUE,_xlfn.NORM.S.DIST(Table1[[#This Row],[Birthweight Z-Score (BW+10%)]],TRUE)*100,"")</f>
        <v/>
      </c>
    </row>
    <row r="3791" spans="1:12" x14ac:dyDescent="0.35">
      <c r="A3791" s="3"/>
      <c r="B3791" s="2"/>
      <c r="C3791" s="2"/>
      <c r="D3791" s="2" t="b">
        <f>IF(AND(NOT(ISBLANK(Table1[[#This Row],[Fetal Sex (Male, Female or Unknown)]])),ISNUMBER(Table1[[#This Row],[Birthweight (grams)]]),ISNUMBER(Table1[[#This Row],[Gestation (days)]])),TRUE,FALSE)</f>
        <v>0</v>
      </c>
      <c r="E3791" s="2" t="str">
        <f>IF(Table1[[#This Row],[Is Data Valid]]=TRUE,IF(Table1[[#This Row],[Fetal Sex (Male, Female or Unknown)]]="Male",Backend!$C$6,IF(Table1[[#This Row],[Fetal Sex (Male, Female or Unknown)]]="Female",Backend!$C$7,IF(Table1[[#This Row],[Fetal Sex (Male, Female or Unknown)]]="Unknown",Backend!$C$8,"Error"))),"")</f>
        <v/>
      </c>
      <c r="F3791" s="8" t="str">
        <f>IF(Table1[[#This Row],[Is Data Valid]]=TRUE,EXP(0.578+0.332*((Table1[[#This Row],[Gestation (days)]]+0.5)/7)-0.00354*((Table1[[#This Row],[Gestation (days)]]+0.5)/7)^2)*Table1[[#This Row],[BW40_3705]],"")</f>
        <v/>
      </c>
      <c r="G3791" s="2" t="str">
        <f>IF(Table1[[#This Row],[Is Data Valid]]=TRUE,((Table1[[#This Row],[Birthweight (grams)]]/Table1[[#This Row],[BW_GA]])-1)/(Backend!$B$4/100*Table1[[#This Row],[BW40_3705]]),"")</f>
        <v/>
      </c>
      <c r="H3791" s="7" t="str">
        <f>IF(Table1[[#This Row],[Is Data Valid]]=TRUE,((Table1[[#This Row],[Birthweight (grams)]]*0.9/Table1[[#This Row],[BW_GA]])-1)/(Backend!$B$4/100*Table1[[#This Row],[BW40_3705]]),"")</f>
        <v/>
      </c>
      <c r="I3791" s="7" t="str">
        <f>IF(Table1[[#This Row],[Is Data Valid]]=TRUE,((Table1[[#This Row],[Birthweight (grams)]]*1.1/Table1[[#This Row],[BW_GA]])-1)/(Backend!$B$4/100*Table1[[#This Row],[BW40_3705]]),"")</f>
        <v/>
      </c>
      <c r="J3791" s="7" t="str">
        <f>IF(Table1[[#This Row],[Is Data Valid]]=TRUE,_xlfn.NORM.S.DIST(Table1[[#This Row],[Birthweight Z-Score]],TRUE)*100,"")</f>
        <v/>
      </c>
      <c r="K3791" s="7" t="str">
        <f>IF(Table1[[#This Row],[Is Data Valid]]=TRUE,_xlfn.NORM.S.DIST(Table1[[#This Row],[Birthweight Z-Score (BW-10%)]],TRUE)*100,"")</f>
        <v/>
      </c>
      <c r="L3791" s="7" t="str">
        <f>IF(Table1[[#This Row],[Is Data Valid]]=TRUE,_xlfn.NORM.S.DIST(Table1[[#This Row],[Birthweight Z-Score (BW+10%)]],TRUE)*100,"")</f>
        <v/>
      </c>
    </row>
    <row r="3792" spans="1:12" x14ac:dyDescent="0.35">
      <c r="A3792" s="3"/>
      <c r="B3792" s="2"/>
      <c r="C3792" s="2"/>
      <c r="D3792" s="2" t="b">
        <f>IF(AND(NOT(ISBLANK(Table1[[#This Row],[Fetal Sex (Male, Female or Unknown)]])),ISNUMBER(Table1[[#This Row],[Birthweight (grams)]]),ISNUMBER(Table1[[#This Row],[Gestation (days)]])),TRUE,FALSE)</f>
        <v>0</v>
      </c>
      <c r="E3792" s="2" t="str">
        <f>IF(Table1[[#This Row],[Is Data Valid]]=TRUE,IF(Table1[[#This Row],[Fetal Sex (Male, Female or Unknown)]]="Male",Backend!$C$6,IF(Table1[[#This Row],[Fetal Sex (Male, Female or Unknown)]]="Female",Backend!$C$7,IF(Table1[[#This Row],[Fetal Sex (Male, Female or Unknown)]]="Unknown",Backend!$C$8,"Error"))),"")</f>
        <v/>
      </c>
      <c r="F3792" s="8" t="str">
        <f>IF(Table1[[#This Row],[Is Data Valid]]=TRUE,EXP(0.578+0.332*((Table1[[#This Row],[Gestation (days)]]+0.5)/7)-0.00354*((Table1[[#This Row],[Gestation (days)]]+0.5)/7)^2)*Table1[[#This Row],[BW40_3705]],"")</f>
        <v/>
      </c>
      <c r="G3792" s="2" t="str">
        <f>IF(Table1[[#This Row],[Is Data Valid]]=TRUE,((Table1[[#This Row],[Birthweight (grams)]]/Table1[[#This Row],[BW_GA]])-1)/(Backend!$B$4/100*Table1[[#This Row],[BW40_3705]]),"")</f>
        <v/>
      </c>
      <c r="H3792" s="7" t="str">
        <f>IF(Table1[[#This Row],[Is Data Valid]]=TRUE,((Table1[[#This Row],[Birthweight (grams)]]*0.9/Table1[[#This Row],[BW_GA]])-1)/(Backend!$B$4/100*Table1[[#This Row],[BW40_3705]]),"")</f>
        <v/>
      </c>
      <c r="I3792" s="7" t="str">
        <f>IF(Table1[[#This Row],[Is Data Valid]]=TRUE,((Table1[[#This Row],[Birthweight (grams)]]*1.1/Table1[[#This Row],[BW_GA]])-1)/(Backend!$B$4/100*Table1[[#This Row],[BW40_3705]]),"")</f>
        <v/>
      </c>
      <c r="J3792" s="7" t="str">
        <f>IF(Table1[[#This Row],[Is Data Valid]]=TRUE,_xlfn.NORM.S.DIST(Table1[[#This Row],[Birthweight Z-Score]],TRUE)*100,"")</f>
        <v/>
      </c>
      <c r="K3792" s="7" t="str">
        <f>IF(Table1[[#This Row],[Is Data Valid]]=TRUE,_xlfn.NORM.S.DIST(Table1[[#This Row],[Birthweight Z-Score (BW-10%)]],TRUE)*100,"")</f>
        <v/>
      </c>
      <c r="L3792" s="7" t="str">
        <f>IF(Table1[[#This Row],[Is Data Valid]]=TRUE,_xlfn.NORM.S.DIST(Table1[[#This Row],[Birthweight Z-Score (BW+10%)]],TRUE)*100,"")</f>
        <v/>
      </c>
    </row>
    <row r="3793" spans="1:12" x14ac:dyDescent="0.35">
      <c r="A3793" s="3"/>
      <c r="B3793" s="2"/>
      <c r="C3793" s="2"/>
      <c r="D3793" s="2" t="b">
        <f>IF(AND(NOT(ISBLANK(Table1[[#This Row],[Fetal Sex (Male, Female or Unknown)]])),ISNUMBER(Table1[[#This Row],[Birthweight (grams)]]),ISNUMBER(Table1[[#This Row],[Gestation (days)]])),TRUE,FALSE)</f>
        <v>0</v>
      </c>
      <c r="E3793" s="2" t="str">
        <f>IF(Table1[[#This Row],[Is Data Valid]]=TRUE,IF(Table1[[#This Row],[Fetal Sex (Male, Female or Unknown)]]="Male",Backend!$C$6,IF(Table1[[#This Row],[Fetal Sex (Male, Female or Unknown)]]="Female",Backend!$C$7,IF(Table1[[#This Row],[Fetal Sex (Male, Female or Unknown)]]="Unknown",Backend!$C$8,"Error"))),"")</f>
        <v/>
      </c>
      <c r="F3793" s="8" t="str">
        <f>IF(Table1[[#This Row],[Is Data Valid]]=TRUE,EXP(0.578+0.332*((Table1[[#This Row],[Gestation (days)]]+0.5)/7)-0.00354*((Table1[[#This Row],[Gestation (days)]]+0.5)/7)^2)*Table1[[#This Row],[BW40_3705]],"")</f>
        <v/>
      </c>
      <c r="G3793" s="2" t="str">
        <f>IF(Table1[[#This Row],[Is Data Valid]]=TRUE,((Table1[[#This Row],[Birthweight (grams)]]/Table1[[#This Row],[BW_GA]])-1)/(Backend!$B$4/100*Table1[[#This Row],[BW40_3705]]),"")</f>
        <v/>
      </c>
      <c r="H3793" s="7" t="str">
        <f>IF(Table1[[#This Row],[Is Data Valid]]=TRUE,((Table1[[#This Row],[Birthweight (grams)]]*0.9/Table1[[#This Row],[BW_GA]])-1)/(Backend!$B$4/100*Table1[[#This Row],[BW40_3705]]),"")</f>
        <v/>
      </c>
      <c r="I3793" s="7" t="str">
        <f>IF(Table1[[#This Row],[Is Data Valid]]=TRUE,((Table1[[#This Row],[Birthweight (grams)]]*1.1/Table1[[#This Row],[BW_GA]])-1)/(Backend!$B$4/100*Table1[[#This Row],[BW40_3705]]),"")</f>
        <v/>
      </c>
      <c r="J3793" s="7" t="str">
        <f>IF(Table1[[#This Row],[Is Data Valid]]=TRUE,_xlfn.NORM.S.DIST(Table1[[#This Row],[Birthweight Z-Score]],TRUE)*100,"")</f>
        <v/>
      </c>
      <c r="K3793" s="7" t="str">
        <f>IF(Table1[[#This Row],[Is Data Valid]]=TRUE,_xlfn.NORM.S.DIST(Table1[[#This Row],[Birthweight Z-Score (BW-10%)]],TRUE)*100,"")</f>
        <v/>
      </c>
      <c r="L3793" s="7" t="str">
        <f>IF(Table1[[#This Row],[Is Data Valid]]=TRUE,_xlfn.NORM.S.DIST(Table1[[#This Row],[Birthweight Z-Score (BW+10%)]],TRUE)*100,"")</f>
        <v/>
      </c>
    </row>
    <row r="3794" spans="1:12" x14ac:dyDescent="0.35">
      <c r="A3794" s="3"/>
      <c r="B3794" s="2"/>
      <c r="C3794" s="2"/>
      <c r="D3794" s="2" t="b">
        <f>IF(AND(NOT(ISBLANK(Table1[[#This Row],[Fetal Sex (Male, Female or Unknown)]])),ISNUMBER(Table1[[#This Row],[Birthweight (grams)]]),ISNUMBER(Table1[[#This Row],[Gestation (days)]])),TRUE,FALSE)</f>
        <v>0</v>
      </c>
      <c r="E3794" s="2" t="str">
        <f>IF(Table1[[#This Row],[Is Data Valid]]=TRUE,IF(Table1[[#This Row],[Fetal Sex (Male, Female or Unknown)]]="Male",Backend!$C$6,IF(Table1[[#This Row],[Fetal Sex (Male, Female or Unknown)]]="Female",Backend!$C$7,IF(Table1[[#This Row],[Fetal Sex (Male, Female or Unknown)]]="Unknown",Backend!$C$8,"Error"))),"")</f>
        <v/>
      </c>
      <c r="F3794" s="8" t="str">
        <f>IF(Table1[[#This Row],[Is Data Valid]]=TRUE,EXP(0.578+0.332*((Table1[[#This Row],[Gestation (days)]]+0.5)/7)-0.00354*((Table1[[#This Row],[Gestation (days)]]+0.5)/7)^2)*Table1[[#This Row],[BW40_3705]],"")</f>
        <v/>
      </c>
      <c r="G3794" s="2" t="str">
        <f>IF(Table1[[#This Row],[Is Data Valid]]=TRUE,((Table1[[#This Row],[Birthweight (grams)]]/Table1[[#This Row],[BW_GA]])-1)/(Backend!$B$4/100*Table1[[#This Row],[BW40_3705]]),"")</f>
        <v/>
      </c>
      <c r="H3794" s="7" t="str">
        <f>IF(Table1[[#This Row],[Is Data Valid]]=TRUE,((Table1[[#This Row],[Birthweight (grams)]]*0.9/Table1[[#This Row],[BW_GA]])-1)/(Backend!$B$4/100*Table1[[#This Row],[BW40_3705]]),"")</f>
        <v/>
      </c>
      <c r="I3794" s="7" t="str">
        <f>IF(Table1[[#This Row],[Is Data Valid]]=TRUE,((Table1[[#This Row],[Birthweight (grams)]]*1.1/Table1[[#This Row],[BW_GA]])-1)/(Backend!$B$4/100*Table1[[#This Row],[BW40_3705]]),"")</f>
        <v/>
      </c>
      <c r="J3794" s="7" t="str">
        <f>IF(Table1[[#This Row],[Is Data Valid]]=TRUE,_xlfn.NORM.S.DIST(Table1[[#This Row],[Birthweight Z-Score]],TRUE)*100,"")</f>
        <v/>
      </c>
      <c r="K3794" s="7" t="str">
        <f>IF(Table1[[#This Row],[Is Data Valid]]=TRUE,_xlfn.NORM.S.DIST(Table1[[#This Row],[Birthweight Z-Score (BW-10%)]],TRUE)*100,"")</f>
        <v/>
      </c>
      <c r="L3794" s="7" t="str">
        <f>IF(Table1[[#This Row],[Is Data Valid]]=TRUE,_xlfn.NORM.S.DIST(Table1[[#This Row],[Birthweight Z-Score (BW+10%)]],TRUE)*100,"")</f>
        <v/>
      </c>
    </row>
    <row r="3795" spans="1:12" x14ac:dyDescent="0.35">
      <c r="A3795" s="3"/>
      <c r="B3795" s="2"/>
      <c r="C3795" s="2"/>
      <c r="D3795" s="2" t="b">
        <f>IF(AND(NOT(ISBLANK(Table1[[#This Row],[Fetal Sex (Male, Female or Unknown)]])),ISNUMBER(Table1[[#This Row],[Birthweight (grams)]]),ISNUMBER(Table1[[#This Row],[Gestation (days)]])),TRUE,FALSE)</f>
        <v>0</v>
      </c>
      <c r="E3795" s="2" t="str">
        <f>IF(Table1[[#This Row],[Is Data Valid]]=TRUE,IF(Table1[[#This Row],[Fetal Sex (Male, Female or Unknown)]]="Male",Backend!$C$6,IF(Table1[[#This Row],[Fetal Sex (Male, Female or Unknown)]]="Female",Backend!$C$7,IF(Table1[[#This Row],[Fetal Sex (Male, Female or Unknown)]]="Unknown",Backend!$C$8,"Error"))),"")</f>
        <v/>
      </c>
      <c r="F3795" s="8" t="str">
        <f>IF(Table1[[#This Row],[Is Data Valid]]=TRUE,EXP(0.578+0.332*((Table1[[#This Row],[Gestation (days)]]+0.5)/7)-0.00354*((Table1[[#This Row],[Gestation (days)]]+0.5)/7)^2)*Table1[[#This Row],[BW40_3705]],"")</f>
        <v/>
      </c>
      <c r="G3795" s="2" t="str">
        <f>IF(Table1[[#This Row],[Is Data Valid]]=TRUE,((Table1[[#This Row],[Birthweight (grams)]]/Table1[[#This Row],[BW_GA]])-1)/(Backend!$B$4/100*Table1[[#This Row],[BW40_3705]]),"")</f>
        <v/>
      </c>
      <c r="H3795" s="7" t="str">
        <f>IF(Table1[[#This Row],[Is Data Valid]]=TRUE,((Table1[[#This Row],[Birthweight (grams)]]*0.9/Table1[[#This Row],[BW_GA]])-1)/(Backend!$B$4/100*Table1[[#This Row],[BW40_3705]]),"")</f>
        <v/>
      </c>
      <c r="I3795" s="7" t="str">
        <f>IF(Table1[[#This Row],[Is Data Valid]]=TRUE,((Table1[[#This Row],[Birthweight (grams)]]*1.1/Table1[[#This Row],[BW_GA]])-1)/(Backend!$B$4/100*Table1[[#This Row],[BW40_3705]]),"")</f>
        <v/>
      </c>
      <c r="J3795" s="7" t="str">
        <f>IF(Table1[[#This Row],[Is Data Valid]]=TRUE,_xlfn.NORM.S.DIST(Table1[[#This Row],[Birthweight Z-Score]],TRUE)*100,"")</f>
        <v/>
      </c>
      <c r="K3795" s="7" t="str">
        <f>IF(Table1[[#This Row],[Is Data Valid]]=TRUE,_xlfn.NORM.S.DIST(Table1[[#This Row],[Birthweight Z-Score (BW-10%)]],TRUE)*100,"")</f>
        <v/>
      </c>
      <c r="L3795" s="7" t="str">
        <f>IF(Table1[[#This Row],[Is Data Valid]]=TRUE,_xlfn.NORM.S.DIST(Table1[[#This Row],[Birthweight Z-Score (BW+10%)]],TRUE)*100,"")</f>
        <v/>
      </c>
    </row>
    <row r="3796" spans="1:12" x14ac:dyDescent="0.35">
      <c r="A3796" s="3"/>
      <c r="B3796" s="2"/>
      <c r="C3796" s="2"/>
      <c r="D3796" s="2" t="b">
        <f>IF(AND(NOT(ISBLANK(Table1[[#This Row],[Fetal Sex (Male, Female or Unknown)]])),ISNUMBER(Table1[[#This Row],[Birthweight (grams)]]),ISNUMBER(Table1[[#This Row],[Gestation (days)]])),TRUE,FALSE)</f>
        <v>0</v>
      </c>
      <c r="E3796" s="2" t="str">
        <f>IF(Table1[[#This Row],[Is Data Valid]]=TRUE,IF(Table1[[#This Row],[Fetal Sex (Male, Female or Unknown)]]="Male",Backend!$C$6,IF(Table1[[#This Row],[Fetal Sex (Male, Female or Unknown)]]="Female",Backend!$C$7,IF(Table1[[#This Row],[Fetal Sex (Male, Female or Unknown)]]="Unknown",Backend!$C$8,"Error"))),"")</f>
        <v/>
      </c>
      <c r="F3796" s="8" t="str">
        <f>IF(Table1[[#This Row],[Is Data Valid]]=TRUE,EXP(0.578+0.332*((Table1[[#This Row],[Gestation (days)]]+0.5)/7)-0.00354*((Table1[[#This Row],[Gestation (days)]]+0.5)/7)^2)*Table1[[#This Row],[BW40_3705]],"")</f>
        <v/>
      </c>
      <c r="G3796" s="2" t="str">
        <f>IF(Table1[[#This Row],[Is Data Valid]]=TRUE,((Table1[[#This Row],[Birthweight (grams)]]/Table1[[#This Row],[BW_GA]])-1)/(Backend!$B$4/100*Table1[[#This Row],[BW40_3705]]),"")</f>
        <v/>
      </c>
      <c r="H3796" s="7" t="str">
        <f>IF(Table1[[#This Row],[Is Data Valid]]=TRUE,((Table1[[#This Row],[Birthweight (grams)]]*0.9/Table1[[#This Row],[BW_GA]])-1)/(Backend!$B$4/100*Table1[[#This Row],[BW40_3705]]),"")</f>
        <v/>
      </c>
      <c r="I3796" s="7" t="str">
        <f>IF(Table1[[#This Row],[Is Data Valid]]=TRUE,((Table1[[#This Row],[Birthweight (grams)]]*1.1/Table1[[#This Row],[BW_GA]])-1)/(Backend!$B$4/100*Table1[[#This Row],[BW40_3705]]),"")</f>
        <v/>
      </c>
      <c r="J3796" s="7" t="str">
        <f>IF(Table1[[#This Row],[Is Data Valid]]=TRUE,_xlfn.NORM.S.DIST(Table1[[#This Row],[Birthweight Z-Score]],TRUE)*100,"")</f>
        <v/>
      </c>
      <c r="K3796" s="7" t="str">
        <f>IF(Table1[[#This Row],[Is Data Valid]]=TRUE,_xlfn.NORM.S.DIST(Table1[[#This Row],[Birthweight Z-Score (BW-10%)]],TRUE)*100,"")</f>
        <v/>
      </c>
      <c r="L3796" s="7" t="str">
        <f>IF(Table1[[#This Row],[Is Data Valid]]=TRUE,_xlfn.NORM.S.DIST(Table1[[#This Row],[Birthweight Z-Score (BW+10%)]],TRUE)*100,"")</f>
        <v/>
      </c>
    </row>
    <row r="3797" spans="1:12" x14ac:dyDescent="0.35">
      <c r="A3797" s="3"/>
      <c r="B3797" s="2"/>
      <c r="C3797" s="2"/>
      <c r="D3797" s="2" t="b">
        <f>IF(AND(NOT(ISBLANK(Table1[[#This Row],[Fetal Sex (Male, Female or Unknown)]])),ISNUMBER(Table1[[#This Row],[Birthweight (grams)]]),ISNUMBER(Table1[[#This Row],[Gestation (days)]])),TRUE,FALSE)</f>
        <v>0</v>
      </c>
      <c r="E3797" s="2" t="str">
        <f>IF(Table1[[#This Row],[Is Data Valid]]=TRUE,IF(Table1[[#This Row],[Fetal Sex (Male, Female or Unknown)]]="Male",Backend!$C$6,IF(Table1[[#This Row],[Fetal Sex (Male, Female or Unknown)]]="Female",Backend!$C$7,IF(Table1[[#This Row],[Fetal Sex (Male, Female or Unknown)]]="Unknown",Backend!$C$8,"Error"))),"")</f>
        <v/>
      </c>
      <c r="F3797" s="8" t="str">
        <f>IF(Table1[[#This Row],[Is Data Valid]]=TRUE,EXP(0.578+0.332*((Table1[[#This Row],[Gestation (days)]]+0.5)/7)-0.00354*((Table1[[#This Row],[Gestation (days)]]+0.5)/7)^2)*Table1[[#This Row],[BW40_3705]],"")</f>
        <v/>
      </c>
      <c r="G3797" s="2" t="str">
        <f>IF(Table1[[#This Row],[Is Data Valid]]=TRUE,((Table1[[#This Row],[Birthweight (grams)]]/Table1[[#This Row],[BW_GA]])-1)/(Backend!$B$4/100*Table1[[#This Row],[BW40_3705]]),"")</f>
        <v/>
      </c>
      <c r="H3797" s="7" t="str">
        <f>IF(Table1[[#This Row],[Is Data Valid]]=TRUE,((Table1[[#This Row],[Birthweight (grams)]]*0.9/Table1[[#This Row],[BW_GA]])-1)/(Backend!$B$4/100*Table1[[#This Row],[BW40_3705]]),"")</f>
        <v/>
      </c>
      <c r="I3797" s="7" t="str">
        <f>IF(Table1[[#This Row],[Is Data Valid]]=TRUE,((Table1[[#This Row],[Birthweight (grams)]]*1.1/Table1[[#This Row],[BW_GA]])-1)/(Backend!$B$4/100*Table1[[#This Row],[BW40_3705]]),"")</f>
        <v/>
      </c>
      <c r="J3797" s="7" t="str">
        <f>IF(Table1[[#This Row],[Is Data Valid]]=TRUE,_xlfn.NORM.S.DIST(Table1[[#This Row],[Birthweight Z-Score]],TRUE)*100,"")</f>
        <v/>
      </c>
      <c r="K3797" s="7" t="str">
        <f>IF(Table1[[#This Row],[Is Data Valid]]=TRUE,_xlfn.NORM.S.DIST(Table1[[#This Row],[Birthweight Z-Score (BW-10%)]],TRUE)*100,"")</f>
        <v/>
      </c>
      <c r="L3797" s="7" t="str">
        <f>IF(Table1[[#This Row],[Is Data Valid]]=TRUE,_xlfn.NORM.S.DIST(Table1[[#This Row],[Birthweight Z-Score (BW+10%)]],TRUE)*100,"")</f>
        <v/>
      </c>
    </row>
    <row r="3798" spans="1:12" x14ac:dyDescent="0.35">
      <c r="A3798" s="3"/>
      <c r="B3798" s="2"/>
      <c r="C3798" s="2"/>
      <c r="D3798" s="2" t="b">
        <f>IF(AND(NOT(ISBLANK(Table1[[#This Row],[Fetal Sex (Male, Female or Unknown)]])),ISNUMBER(Table1[[#This Row],[Birthweight (grams)]]),ISNUMBER(Table1[[#This Row],[Gestation (days)]])),TRUE,FALSE)</f>
        <v>0</v>
      </c>
      <c r="E3798" s="2" t="str">
        <f>IF(Table1[[#This Row],[Is Data Valid]]=TRUE,IF(Table1[[#This Row],[Fetal Sex (Male, Female or Unknown)]]="Male",Backend!$C$6,IF(Table1[[#This Row],[Fetal Sex (Male, Female or Unknown)]]="Female",Backend!$C$7,IF(Table1[[#This Row],[Fetal Sex (Male, Female or Unknown)]]="Unknown",Backend!$C$8,"Error"))),"")</f>
        <v/>
      </c>
      <c r="F3798" s="8" t="str">
        <f>IF(Table1[[#This Row],[Is Data Valid]]=TRUE,EXP(0.578+0.332*((Table1[[#This Row],[Gestation (days)]]+0.5)/7)-0.00354*((Table1[[#This Row],[Gestation (days)]]+0.5)/7)^2)*Table1[[#This Row],[BW40_3705]],"")</f>
        <v/>
      </c>
      <c r="G3798" s="2" t="str">
        <f>IF(Table1[[#This Row],[Is Data Valid]]=TRUE,((Table1[[#This Row],[Birthweight (grams)]]/Table1[[#This Row],[BW_GA]])-1)/(Backend!$B$4/100*Table1[[#This Row],[BW40_3705]]),"")</f>
        <v/>
      </c>
      <c r="H3798" s="7" t="str">
        <f>IF(Table1[[#This Row],[Is Data Valid]]=TRUE,((Table1[[#This Row],[Birthweight (grams)]]*0.9/Table1[[#This Row],[BW_GA]])-1)/(Backend!$B$4/100*Table1[[#This Row],[BW40_3705]]),"")</f>
        <v/>
      </c>
      <c r="I3798" s="7" t="str">
        <f>IF(Table1[[#This Row],[Is Data Valid]]=TRUE,((Table1[[#This Row],[Birthweight (grams)]]*1.1/Table1[[#This Row],[BW_GA]])-1)/(Backend!$B$4/100*Table1[[#This Row],[BW40_3705]]),"")</f>
        <v/>
      </c>
      <c r="J3798" s="7" t="str">
        <f>IF(Table1[[#This Row],[Is Data Valid]]=TRUE,_xlfn.NORM.S.DIST(Table1[[#This Row],[Birthweight Z-Score]],TRUE)*100,"")</f>
        <v/>
      </c>
      <c r="K3798" s="7" t="str">
        <f>IF(Table1[[#This Row],[Is Data Valid]]=TRUE,_xlfn.NORM.S.DIST(Table1[[#This Row],[Birthweight Z-Score (BW-10%)]],TRUE)*100,"")</f>
        <v/>
      </c>
      <c r="L3798" s="7" t="str">
        <f>IF(Table1[[#This Row],[Is Data Valid]]=TRUE,_xlfn.NORM.S.DIST(Table1[[#This Row],[Birthweight Z-Score (BW+10%)]],TRUE)*100,"")</f>
        <v/>
      </c>
    </row>
    <row r="3799" spans="1:12" x14ac:dyDescent="0.35">
      <c r="A3799" s="3"/>
      <c r="B3799" s="2"/>
      <c r="C3799" s="2"/>
      <c r="D3799" s="2" t="b">
        <f>IF(AND(NOT(ISBLANK(Table1[[#This Row],[Fetal Sex (Male, Female or Unknown)]])),ISNUMBER(Table1[[#This Row],[Birthweight (grams)]]),ISNUMBER(Table1[[#This Row],[Gestation (days)]])),TRUE,FALSE)</f>
        <v>0</v>
      </c>
      <c r="E3799" s="2" t="str">
        <f>IF(Table1[[#This Row],[Is Data Valid]]=TRUE,IF(Table1[[#This Row],[Fetal Sex (Male, Female or Unknown)]]="Male",Backend!$C$6,IF(Table1[[#This Row],[Fetal Sex (Male, Female or Unknown)]]="Female",Backend!$C$7,IF(Table1[[#This Row],[Fetal Sex (Male, Female or Unknown)]]="Unknown",Backend!$C$8,"Error"))),"")</f>
        <v/>
      </c>
      <c r="F3799" s="8" t="str">
        <f>IF(Table1[[#This Row],[Is Data Valid]]=TRUE,EXP(0.578+0.332*((Table1[[#This Row],[Gestation (days)]]+0.5)/7)-0.00354*((Table1[[#This Row],[Gestation (days)]]+0.5)/7)^2)*Table1[[#This Row],[BW40_3705]],"")</f>
        <v/>
      </c>
      <c r="G3799" s="2" t="str">
        <f>IF(Table1[[#This Row],[Is Data Valid]]=TRUE,((Table1[[#This Row],[Birthweight (grams)]]/Table1[[#This Row],[BW_GA]])-1)/(Backend!$B$4/100*Table1[[#This Row],[BW40_3705]]),"")</f>
        <v/>
      </c>
      <c r="H3799" s="7" t="str">
        <f>IF(Table1[[#This Row],[Is Data Valid]]=TRUE,((Table1[[#This Row],[Birthweight (grams)]]*0.9/Table1[[#This Row],[BW_GA]])-1)/(Backend!$B$4/100*Table1[[#This Row],[BW40_3705]]),"")</f>
        <v/>
      </c>
      <c r="I3799" s="7" t="str">
        <f>IF(Table1[[#This Row],[Is Data Valid]]=TRUE,((Table1[[#This Row],[Birthweight (grams)]]*1.1/Table1[[#This Row],[BW_GA]])-1)/(Backend!$B$4/100*Table1[[#This Row],[BW40_3705]]),"")</f>
        <v/>
      </c>
      <c r="J3799" s="7" t="str">
        <f>IF(Table1[[#This Row],[Is Data Valid]]=TRUE,_xlfn.NORM.S.DIST(Table1[[#This Row],[Birthweight Z-Score]],TRUE)*100,"")</f>
        <v/>
      </c>
      <c r="K3799" s="7" t="str">
        <f>IF(Table1[[#This Row],[Is Data Valid]]=TRUE,_xlfn.NORM.S.DIST(Table1[[#This Row],[Birthweight Z-Score (BW-10%)]],TRUE)*100,"")</f>
        <v/>
      </c>
      <c r="L3799" s="7" t="str">
        <f>IF(Table1[[#This Row],[Is Data Valid]]=TRUE,_xlfn.NORM.S.DIST(Table1[[#This Row],[Birthweight Z-Score (BW+10%)]],TRUE)*100,"")</f>
        <v/>
      </c>
    </row>
    <row r="3800" spans="1:12" x14ac:dyDescent="0.35">
      <c r="A3800" s="3"/>
      <c r="B3800" s="2"/>
      <c r="C3800" s="2"/>
      <c r="D3800" s="2" t="b">
        <f>IF(AND(NOT(ISBLANK(Table1[[#This Row],[Fetal Sex (Male, Female or Unknown)]])),ISNUMBER(Table1[[#This Row],[Birthweight (grams)]]),ISNUMBER(Table1[[#This Row],[Gestation (days)]])),TRUE,FALSE)</f>
        <v>0</v>
      </c>
      <c r="E3800" s="2" t="str">
        <f>IF(Table1[[#This Row],[Is Data Valid]]=TRUE,IF(Table1[[#This Row],[Fetal Sex (Male, Female or Unknown)]]="Male",Backend!$C$6,IF(Table1[[#This Row],[Fetal Sex (Male, Female or Unknown)]]="Female",Backend!$C$7,IF(Table1[[#This Row],[Fetal Sex (Male, Female or Unknown)]]="Unknown",Backend!$C$8,"Error"))),"")</f>
        <v/>
      </c>
      <c r="F3800" s="8" t="str">
        <f>IF(Table1[[#This Row],[Is Data Valid]]=TRUE,EXP(0.578+0.332*((Table1[[#This Row],[Gestation (days)]]+0.5)/7)-0.00354*((Table1[[#This Row],[Gestation (days)]]+0.5)/7)^2)*Table1[[#This Row],[BW40_3705]],"")</f>
        <v/>
      </c>
      <c r="G3800" s="2" t="str">
        <f>IF(Table1[[#This Row],[Is Data Valid]]=TRUE,((Table1[[#This Row],[Birthweight (grams)]]/Table1[[#This Row],[BW_GA]])-1)/(Backend!$B$4/100*Table1[[#This Row],[BW40_3705]]),"")</f>
        <v/>
      </c>
      <c r="H3800" s="7" t="str">
        <f>IF(Table1[[#This Row],[Is Data Valid]]=TRUE,((Table1[[#This Row],[Birthweight (grams)]]*0.9/Table1[[#This Row],[BW_GA]])-1)/(Backend!$B$4/100*Table1[[#This Row],[BW40_3705]]),"")</f>
        <v/>
      </c>
      <c r="I3800" s="7" t="str">
        <f>IF(Table1[[#This Row],[Is Data Valid]]=TRUE,((Table1[[#This Row],[Birthweight (grams)]]*1.1/Table1[[#This Row],[BW_GA]])-1)/(Backend!$B$4/100*Table1[[#This Row],[BW40_3705]]),"")</f>
        <v/>
      </c>
      <c r="J3800" s="7" t="str">
        <f>IF(Table1[[#This Row],[Is Data Valid]]=TRUE,_xlfn.NORM.S.DIST(Table1[[#This Row],[Birthweight Z-Score]],TRUE)*100,"")</f>
        <v/>
      </c>
      <c r="K3800" s="7" t="str">
        <f>IF(Table1[[#This Row],[Is Data Valid]]=TRUE,_xlfn.NORM.S.DIST(Table1[[#This Row],[Birthweight Z-Score (BW-10%)]],TRUE)*100,"")</f>
        <v/>
      </c>
      <c r="L3800" s="7" t="str">
        <f>IF(Table1[[#This Row],[Is Data Valid]]=TRUE,_xlfn.NORM.S.DIST(Table1[[#This Row],[Birthweight Z-Score (BW+10%)]],TRUE)*100,"")</f>
        <v/>
      </c>
    </row>
    <row r="3801" spans="1:12" x14ac:dyDescent="0.35">
      <c r="A3801" s="3"/>
      <c r="B3801" s="2"/>
      <c r="C3801" s="2"/>
      <c r="D3801" s="2" t="b">
        <f>IF(AND(NOT(ISBLANK(Table1[[#This Row],[Fetal Sex (Male, Female or Unknown)]])),ISNUMBER(Table1[[#This Row],[Birthweight (grams)]]),ISNUMBER(Table1[[#This Row],[Gestation (days)]])),TRUE,FALSE)</f>
        <v>0</v>
      </c>
      <c r="E3801" s="2" t="str">
        <f>IF(Table1[[#This Row],[Is Data Valid]]=TRUE,IF(Table1[[#This Row],[Fetal Sex (Male, Female or Unknown)]]="Male",Backend!$C$6,IF(Table1[[#This Row],[Fetal Sex (Male, Female or Unknown)]]="Female",Backend!$C$7,IF(Table1[[#This Row],[Fetal Sex (Male, Female or Unknown)]]="Unknown",Backend!$C$8,"Error"))),"")</f>
        <v/>
      </c>
      <c r="F3801" s="8" t="str">
        <f>IF(Table1[[#This Row],[Is Data Valid]]=TRUE,EXP(0.578+0.332*((Table1[[#This Row],[Gestation (days)]]+0.5)/7)-0.00354*((Table1[[#This Row],[Gestation (days)]]+0.5)/7)^2)*Table1[[#This Row],[BW40_3705]],"")</f>
        <v/>
      </c>
      <c r="G3801" s="2" t="str">
        <f>IF(Table1[[#This Row],[Is Data Valid]]=TRUE,((Table1[[#This Row],[Birthweight (grams)]]/Table1[[#This Row],[BW_GA]])-1)/(Backend!$B$4/100*Table1[[#This Row],[BW40_3705]]),"")</f>
        <v/>
      </c>
      <c r="H3801" s="7" t="str">
        <f>IF(Table1[[#This Row],[Is Data Valid]]=TRUE,((Table1[[#This Row],[Birthweight (grams)]]*0.9/Table1[[#This Row],[BW_GA]])-1)/(Backend!$B$4/100*Table1[[#This Row],[BW40_3705]]),"")</f>
        <v/>
      </c>
      <c r="I3801" s="7" t="str">
        <f>IF(Table1[[#This Row],[Is Data Valid]]=TRUE,((Table1[[#This Row],[Birthweight (grams)]]*1.1/Table1[[#This Row],[BW_GA]])-1)/(Backend!$B$4/100*Table1[[#This Row],[BW40_3705]]),"")</f>
        <v/>
      </c>
      <c r="J3801" s="7" t="str">
        <f>IF(Table1[[#This Row],[Is Data Valid]]=TRUE,_xlfn.NORM.S.DIST(Table1[[#This Row],[Birthweight Z-Score]],TRUE)*100,"")</f>
        <v/>
      </c>
      <c r="K3801" s="7" t="str">
        <f>IF(Table1[[#This Row],[Is Data Valid]]=TRUE,_xlfn.NORM.S.DIST(Table1[[#This Row],[Birthweight Z-Score (BW-10%)]],TRUE)*100,"")</f>
        <v/>
      </c>
      <c r="L3801" s="7" t="str">
        <f>IF(Table1[[#This Row],[Is Data Valid]]=TRUE,_xlfn.NORM.S.DIST(Table1[[#This Row],[Birthweight Z-Score (BW+10%)]],TRUE)*100,"")</f>
        <v/>
      </c>
    </row>
    <row r="3802" spans="1:12" x14ac:dyDescent="0.35">
      <c r="A3802" s="3"/>
      <c r="B3802" s="2"/>
      <c r="C3802" s="2"/>
      <c r="D3802" s="2" t="b">
        <f>IF(AND(NOT(ISBLANK(Table1[[#This Row],[Fetal Sex (Male, Female or Unknown)]])),ISNUMBER(Table1[[#This Row],[Birthweight (grams)]]),ISNUMBER(Table1[[#This Row],[Gestation (days)]])),TRUE,FALSE)</f>
        <v>0</v>
      </c>
      <c r="E3802" s="2" t="str">
        <f>IF(Table1[[#This Row],[Is Data Valid]]=TRUE,IF(Table1[[#This Row],[Fetal Sex (Male, Female or Unknown)]]="Male",Backend!$C$6,IF(Table1[[#This Row],[Fetal Sex (Male, Female or Unknown)]]="Female",Backend!$C$7,IF(Table1[[#This Row],[Fetal Sex (Male, Female or Unknown)]]="Unknown",Backend!$C$8,"Error"))),"")</f>
        <v/>
      </c>
      <c r="F3802" s="8" t="str">
        <f>IF(Table1[[#This Row],[Is Data Valid]]=TRUE,EXP(0.578+0.332*((Table1[[#This Row],[Gestation (days)]]+0.5)/7)-0.00354*((Table1[[#This Row],[Gestation (days)]]+0.5)/7)^2)*Table1[[#This Row],[BW40_3705]],"")</f>
        <v/>
      </c>
      <c r="G3802" s="2" t="str">
        <f>IF(Table1[[#This Row],[Is Data Valid]]=TRUE,((Table1[[#This Row],[Birthweight (grams)]]/Table1[[#This Row],[BW_GA]])-1)/(Backend!$B$4/100*Table1[[#This Row],[BW40_3705]]),"")</f>
        <v/>
      </c>
      <c r="H3802" s="7" t="str">
        <f>IF(Table1[[#This Row],[Is Data Valid]]=TRUE,((Table1[[#This Row],[Birthweight (grams)]]*0.9/Table1[[#This Row],[BW_GA]])-1)/(Backend!$B$4/100*Table1[[#This Row],[BW40_3705]]),"")</f>
        <v/>
      </c>
      <c r="I3802" s="7" t="str">
        <f>IF(Table1[[#This Row],[Is Data Valid]]=TRUE,((Table1[[#This Row],[Birthweight (grams)]]*1.1/Table1[[#This Row],[BW_GA]])-1)/(Backend!$B$4/100*Table1[[#This Row],[BW40_3705]]),"")</f>
        <v/>
      </c>
      <c r="J3802" s="7" t="str">
        <f>IF(Table1[[#This Row],[Is Data Valid]]=TRUE,_xlfn.NORM.S.DIST(Table1[[#This Row],[Birthweight Z-Score]],TRUE)*100,"")</f>
        <v/>
      </c>
      <c r="K3802" s="7" t="str">
        <f>IF(Table1[[#This Row],[Is Data Valid]]=TRUE,_xlfn.NORM.S.DIST(Table1[[#This Row],[Birthweight Z-Score (BW-10%)]],TRUE)*100,"")</f>
        <v/>
      </c>
      <c r="L3802" s="7" t="str">
        <f>IF(Table1[[#This Row],[Is Data Valid]]=TRUE,_xlfn.NORM.S.DIST(Table1[[#This Row],[Birthweight Z-Score (BW+10%)]],TRUE)*100,"")</f>
        <v/>
      </c>
    </row>
    <row r="3803" spans="1:12" x14ac:dyDescent="0.35">
      <c r="A3803" s="3"/>
      <c r="B3803" s="2"/>
      <c r="C3803" s="2"/>
      <c r="D3803" s="2" t="b">
        <f>IF(AND(NOT(ISBLANK(Table1[[#This Row],[Fetal Sex (Male, Female or Unknown)]])),ISNUMBER(Table1[[#This Row],[Birthweight (grams)]]),ISNUMBER(Table1[[#This Row],[Gestation (days)]])),TRUE,FALSE)</f>
        <v>0</v>
      </c>
      <c r="E3803" s="2" t="str">
        <f>IF(Table1[[#This Row],[Is Data Valid]]=TRUE,IF(Table1[[#This Row],[Fetal Sex (Male, Female or Unknown)]]="Male",Backend!$C$6,IF(Table1[[#This Row],[Fetal Sex (Male, Female or Unknown)]]="Female",Backend!$C$7,IF(Table1[[#This Row],[Fetal Sex (Male, Female or Unknown)]]="Unknown",Backend!$C$8,"Error"))),"")</f>
        <v/>
      </c>
      <c r="F3803" s="8" t="str">
        <f>IF(Table1[[#This Row],[Is Data Valid]]=TRUE,EXP(0.578+0.332*((Table1[[#This Row],[Gestation (days)]]+0.5)/7)-0.00354*((Table1[[#This Row],[Gestation (days)]]+0.5)/7)^2)*Table1[[#This Row],[BW40_3705]],"")</f>
        <v/>
      </c>
      <c r="G3803" s="2" t="str">
        <f>IF(Table1[[#This Row],[Is Data Valid]]=TRUE,((Table1[[#This Row],[Birthweight (grams)]]/Table1[[#This Row],[BW_GA]])-1)/(Backend!$B$4/100*Table1[[#This Row],[BW40_3705]]),"")</f>
        <v/>
      </c>
      <c r="H3803" s="7" t="str">
        <f>IF(Table1[[#This Row],[Is Data Valid]]=TRUE,((Table1[[#This Row],[Birthweight (grams)]]*0.9/Table1[[#This Row],[BW_GA]])-1)/(Backend!$B$4/100*Table1[[#This Row],[BW40_3705]]),"")</f>
        <v/>
      </c>
      <c r="I3803" s="7" t="str">
        <f>IF(Table1[[#This Row],[Is Data Valid]]=TRUE,((Table1[[#This Row],[Birthweight (grams)]]*1.1/Table1[[#This Row],[BW_GA]])-1)/(Backend!$B$4/100*Table1[[#This Row],[BW40_3705]]),"")</f>
        <v/>
      </c>
      <c r="J3803" s="7" t="str">
        <f>IF(Table1[[#This Row],[Is Data Valid]]=TRUE,_xlfn.NORM.S.DIST(Table1[[#This Row],[Birthweight Z-Score]],TRUE)*100,"")</f>
        <v/>
      </c>
      <c r="K3803" s="7" t="str">
        <f>IF(Table1[[#This Row],[Is Data Valid]]=TRUE,_xlfn.NORM.S.DIST(Table1[[#This Row],[Birthweight Z-Score (BW-10%)]],TRUE)*100,"")</f>
        <v/>
      </c>
      <c r="L3803" s="7" t="str">
        <f>IF(Table1[[#This Row],[Is Data Valid]]=TRUE,_xlfn.NORM.S.DIST(Table1[[#This Row],[Birthweight Z-Score (BW+10%)]],TRUE)*100,"")</f>
        <v/>
      </c>
    </row>
    <row r="3804" spans="1:12" x14ac:dyDescent="0.35">
      <c r="A3804" s="3"/>
      <c r="B3804" s="2"/>
      <c r="C3804" s="2"/>
      <c r="D3804" s="2" t="b">
        <f>IF(AND(NOT(ISBLANK(Table1[[#This Row],[Fetal Sex (Male, Female or Unknown)]])),ISNUMBER(Table1[[#This Row],[Birthweight (grams)]]),ISNUMBER(Table1[[#This Row],[Gestation (days)]])),TRUE,FALSE)</f>
        <v>0</v>
      </c>
      <c r="E3804" s="2" t="str">
        <f>IF(Table1[[#This Row],[Is Data Valid]]=TRUE,IF(Table1[[#This Row],[Fetal Sex (Male, Female or Unknown)]]="Male",Backend!$C$6,IF(Table1[[#This Row],[Fetal Sex (Male, Female or Unknown)]]="Female",Backend!$C$7,IF(Table1[[#This Row],[Fetal Sex (Male, Female or Unknown)]]="Unknown",Backend!$C$8,"Error"))),"")</f>
        <v/>
      </c>
      <c r="F3804" s="8" t="str">
        <f>IF(Table1[[#This Row],[Is Data Valid]]=TRUE,EXP(0.578+0.332*((Table1[[#This Row],[Gestation (days)]]+0.5)/7)-0.00354*((Table1[[#This Row],[Gestation (days)]]+0.5)/7)^2)*Table1[[#This Row],[BW40_3705]],"")</f>
        <v/>
      </c>
      <c r="G3804" s="2" t="str">
        <f>IF(Table1[[#This Row],[Is Data Valid]]=TRUE,((Table1[[#This Row],[Birthweight (grams)]]/Table1[[#This Row],[BW_GA]])-1)/(Backend!$B$4/100*Table1[[#This Row],[BW40_3705]]),"")</f>
        <v/>
      </c>
      <c r="H3804" s="7" t="str">
        <f>IF(Table1[[#This Row],[Is Data Valid]]=TRUE,((Table1[[#This Row],[Birthweight (grams)]]*0.9/Table1[[#This Row],[BW_GA]])-1)/(Backend!$B$4/100*Table1[[#This Row],[BW40_3705]]),"")</f>
        <v/>
      </c>
      <c r="I3804" s="7" t="str">
        <f>IF(Table1[[#This Row],[Is Data Valid]]=TRUE,((Table1[[#This Row],[Birthweight (grams)]]*1.1/Table1[[#This Row],[BW_GA]])-1)/(Backend!$B$4/100*Table1[[#This Row],[BW40_3705]]),"")</f>
        <v/>
      </c>
      <c r="J3804" s="7" t="str">
        <f>IF(Table1[[#This Row],[Is Data Valid]]=TRUE,_xlfn.NORM.S.DIST(Table1[[#This Row],[Birthweight Z-Score]],TRUE)*100,"")</f>
        <v/>
      </c>
      <c r="K3804" s="7" t="str">
        <f>IF(Table1[[#This Row],[Is Data Valid]]=TRUE,_xlfn.NORM.S.DIST(Table1[[#This Row],[Birthweight Z-Score (BW-10%)]],TRUE)*100,"")</f>
        <v/>
      </c>
      <c r="L3804" s="7" t="str">
        <f>IF(Table1[[#This Row],[Is Data Valid]]=TRUE,_xlfn.NORM.S.DIST(Table1[[#This Row],[Birthweight Z-Score (BW+10%)]],TRUE)*100,"")</f>
        <v/>
      </c>
    </row>
    <row r="3805" spans="1:12" x14ac:dyDescent="0.35">
      <c r="A3805" s="3"/>
      <c r="B3805" s="2"/>
      <c r="C3805" s="2"/>
      <c r="D3805" s="2" t="b">
        <f>IF(AND(NOT(ISBLANK(Table1[[#This Row],[Fetal Sex (Male, Female or Unknown)]])),ISNUMBER(Table1[[#This Row],[Birthweight (grams)]]),ISNUMBER(Table1[[#This Row],[Gestation (days)]])),TRUE,FALSE)</f>
        <v>0</v>
      </c>
      <c r="E3805" s="2" t="str">
        <f>IF(Table1[[#This Row],[Is Data Valid]]=TRUE,IF(Table1[[#This Row],[Fetal Sex (Male, Female or Unknown)]]="Male",Backend!$C$6,IF(Table1[[#This Row],[Fetal Sex (Male, Female or Unknown)]]="Female",Backend!$C$7,IF(Table1[[#This Row],[Fetal Sex (Male, Female or Unknown)]]="Unknown",Backend!$C$8,"Error"))),"")</f>
        <v/>
      </c>
      <c r="F3805" s="8" t="str">
        <f>IF(Table1[[#This Row],[Is Data Valid]]=TRUE,EXP(0.578+0.332*((Table1[[#This Row],[Gestation (days)]]+0.5)/7)-0.00354*((Table1[[#This Row],[Gestation (days)]]+0.5)/7)^2)*Table1[[#This Row],[BW40_3705]],"")</f>
        <v/>
      </c>
      <c r="G3805" s="2" t="str">
        <f>IF(Table1[[#This Row],[Is Data Valid]]=TRUE,((Table1[[#This Row],[Birthweight (grams)]]/Table1[[#This Row],[BW_GA]])-1)/(Backend!$B$4/100*Table1[[#This Row],[BW40_3705]]),"")</f>
        <v/>
      </c>
      <c r="H3805" s="7" t="str">
        <f>IF(Table1[[#This Row],[Is Data Valid]]=TRUE,((Table1[[#This Row],[Birthweight (grams)]]*0.9/Table1[[#This Row],[BW_GA]])-1)/(Backend!$B$4/100*Table1[[#This Row],[BW40_3705]]),"")</f>
        <v/>
      </c>
      <c r="I3805" s="7" t="str">
        <f>IF(Table1[[#This Row],[Is Data Valid]]=TRUE,((Table1[[#This Row],[Birthweight (grams)]]*1.1/Table1[[#This Row],[BW_GA]])-1)/(Backend!$B$4/100*Table1[[#This Row],[BW40_3705]]),"")</f>
        <v/>
      </c>
      <c r="J3805" s="7" t="str">
        <f>IF(Table1[[#This Row],[Is Data Valid]]=TRUE,_xlfn.NORM.S.DIST(Table1[[#This Row],[Birthweight Z-Score]],TRUE)*100,"")</f>
        <v/>
      </c>
      <c r="K3805" s="7" t="str">
        <f>IF(Table1[[#This Row],[Is Data Valid]]=TRUE,_xlfn.NORM.S.DIST(Table1[[#This Row],[Birthweight Z-Score (BW-10%)]],TRUE)*100,"")</f>
        <v/>
      </c>
      <c r="L3805" s="7" t="str">
        <f>IF(Table1[[#This Row],[Is Data Valid]]=TRUE,_xlfn.NORM.S.DIST(Table1[[#This Row],[Birthweight Z-Score (BW+10%)]],TRUE)*100,"")</f>
        <v/>
      </c>
    </row>
    <row r="3806" spans="1:12" x14ac:dyDescent="0.35">
      <c r="A3806" s="3"/>
      <c r="B3806" s="2"/>
      <c r="C3806" s="2"/>
      <c r="D3806" s="2" t="b">
        <f>IF(AND(NOT(ISBLANK(Table1[[#This Row],[Fetal Sex (Male, Female or Unknown)]])),ISNUMBER(Table1[[#This Row],[Birthweight (grams)]]),ISNUMBER(Table1[[#This Row],[Gestation (days)]])),TRUE,FALSE)</f>
        <v>0</v>
      </c>
      <c r="E3806" s="2" t="str">
        <f>IF(Table1[[#This Row],[Is Data Valid]]=TRUE,IF(Table1[[#This Row],[Fetal Sex (Male, Female or Unknown)]]="Male",Backend!$C$6,IF(Table1[[#This Row],[Fetal Sex (Male, Female or Unknown)]]="Female",Backend!$C$7,IF(Table1[[#This Row],[Fetal Sex (Male, Female or Unknown)]]="Unknown",Backend!$C$8,"Error"))),"")</f>
        <v/>
      </c>
      <c r="F3806" s="8" t="str">
        <f>IF(Table1[[#This Row],[Is Data Valid]]=TRUE,EXP(0.578+0.332*((Table1[[#This Row],[Gestation (days)]]+0.5)/7)-0.00354*((Table1[[#This Row],[Gestation (days)]]+0.5)/7)^2)*Table1[[#This Row],[BW40_3705]],"")</f>
        <v/>
      </c>
      <c r="G3806" s="2" t="str">
        <f>IF(Table1[[#This Row],[Is Data Valid]]=TRUE,((Table1[[#This Row],[Birthweight (grams)]]/Table1[[#This Row],[BW_GA]])-1)/(Backend!$B$4/100*Table1[[#This Row],[BW40_3705]]),"")</f>
        <v/>
      </c>
      <c r="H3806" s="7" t="str">
        <f>IF(Table1[[#This Row],[Is Data Valid]]=TRUE,((Table1[[#This Row],[Birthweight (grams)]]*0.9/Table1[[#This Row],[BW_GA]])-1)/(Backend!$B$4/100*Table1[[#This Row],[BW40_3705]]),"")</f>
        <v/>
      </c>
      <c r="I3806" s="7" t="str">
        <f>IF(Table1[[#This Row],[Is Data Valid]]=TRUE,((Table1[[#This Row],[Birthweight (grams)]]*1.1/Table1[[#This Row],[BW_GA]])-1)/(Backend!$B$4/100*Table1[[#This Row],[BW40_3705]]),"")</f>
        <v/>
      </c>
      <c r="J3806" s="7" t="str">
        <f>IF(Table1[[#This Row],[Is Data Valid]]=TRUE,_xlfn.NORM.S.DIST(Table1[[#This Row],[Birthweight Z-Score]],TRUE)*100,"")</f>
        <v/>
      </c>
      <c r="K3806" s="7" t="str">
        <f>IF(Table1[[#This Row],[Is Data Valid]]=TRUE,_xlfn.NORM.S.DIST(Table1[[#This Row],[Birthweight Z-Score (BW-10%)]],TRUE)*100,"")</f>
        <v/>
      </c>
      <c r="L3806" s="7" t="str">
        <f>IF(Table1[[#This Row],[Is Data Valid]]=TRUE,_xlfn.NORM.S.DIST(Table1[[#This Row],[Birthweight Z-Score (BW+10%)]],TRUE)*100,"")</f>
        <v/>
      </c>
    </row>
    <row r="3807" spans="1:12" x14ac:dyDescent="0.35">
      <c r="A3807" s="3"/>
      <c r="B3807" s="2"/>
      <c r="C3807" s="2"/>
      <c r="D3807" s="2" t="b">
        <f>IF(AND(NOT(ISBLANK(Table1[[#This Row],[Fetal Sex (Male, Female or Unknown)]])),ISNUMBER(Table1[[#This Row],[Birthweight (grams)]]),ISNUMBER(Table1[[#This Row],[Gestation (days)]])),TRUE,FALSE)</f>
        <v>0</v>
      </c>
      <c r="E3807" s="2" t="str">
        <f>IF(Table1[[#This Row],[Is Data Valid]]=TRUE,IF(Table1[[#This Row],[Fetal Sex (Male, Female or Unknown)]]="Male",Backend!$C$6,IF(Table1[[#This Row],[Fetal Sex (Male, Female or Unknown)]]="Female",Backend!$C$7,IF(Table1[[#This Row],[Fetal Sex (Male, Female or Unknown)]]="Unknown",Backend!$C$8,"Error"))),"")</f>
        <v/>
      </c>
      <c r="F3807" s="8" t="str">
        <f>IF(Table1[[#This Row],[Is Data Valid]]=TRUE,EXP(0.578+0.332*((Table1[[#This Row],[Gestation (days)]]+0.5)/7)-0.00354*((Table1[[#This Row],[Gestation (days)]]+0.5)/7)^2)*Table1[[#This Row],[BW40_3705]],"")</f>
        <v/>
      </c>
      <c r="G3807" s="2" t="str">
        <f>IF(Table1[[#This Row],[Is Data Valid]]=TRUE,((Table1[[#This Row],[Birthweight (grams)]]/Table1[[#This Row],[BW_GA]])-1)/(Backend!$B$4/100*Table1[[#This Row],[BW40_3705]]),"")</f>
        <v/>
      </c>
      <c r="H3807" s="7" t="str">
        <f>IF(Table1[[#This Row],[Is Data Valid]]=TRUE,((Table1[[#This Row],[Birthweight (grams)]]*0.9/Table1[[#This Row],[BW_GA]])-1)/(Backend!$B$4/100*Table1[[#This Row],[BW40_3705]]),"")</f>
        <v/>
      </c>
      <c r="I3807" s="7" t="str">
        <f>IF(Table1[[#This Row],[Is Data Valid]]=TRUE,((Table1[[#This Row],[Birthweight (grams)]]*1.1/Table1[[#This Row],[BW_GA]])-1)/(Backend!$B$4/100*Table1[[#This Row],[BW40_3705]]),"")</f>
        <v/>
      </c>
      <c r="J3807" s="7" t="str">
        <f>IF(Table1[[#This Row],[Is Data Valid]]=TRUE,_xlfn.NORM.S.DIST(Table1[[#This Row],[Birthweight Z-Score]],TRUE)*100,"")</f>
        <v/>
      </c>
      <c r="K3807" s="7" t="str">
        <f>IF(Table1[[#This Row],[Is Data Valid]]=TRUE,_xlfn.NORM.S.DIST(Table1[[#This Row],[Birthweight Z-Score (BW-10%)]],TRUE)*100,"")</f>
        <v/>
      </c>
      <c r="L3807" s="7" t="str">
        <f>IF(Table1[[#This Row],[Is Data Valid]]=TRUE,_xlfn.NORM.S.DIST(Table1[[#This Row],[Birthweight Z-Score (BW+10%)]],TRUE)*100,"")</f>
        <v/>
      </c>
    </row>
    <row r="3808" spans="1:12" x14ac:dyDescent="0.35">
      <c r="A3808" s="3"/>
      <c r="B3808" s="2"/>
      <c r="C3808" s="2"/>
      <c r="D3808" s="2" t="b">
        <f>IF(AND(NOT(ISBLANK(Table1[[#This Row],[Fetal Sex (Male, Female or Unknown)]])),ISNUMBER(Table1[[#This Row],[Birthweight (grams)]]),ISNUMBER(Table1[[#This Row],[Gestation (days)]])),TRUE,FALSE)</f>
        <v>0</v>
      </c>
      <c r="E3808" s="2" t="str">
        <f>IF(Table1[[#This Row],[Is Data Valid]]=TRUE,IF(Table1[[#This Row],[Fetal Sex (Male, Female or Unknown)]]="Male",Backend!$C$6,IF(Table1[[#This Row],[Fetal Sex (Male, Female or Unknown)]]="Female",Backend!$C$7,IF(Table1[[#This Row],[Fetal Sex (Male, Female or Unknown)]]="Unknown",Backend!$C$8,"Error"))),"")</f>
        <v/>
      </c>
      <c r="F3808" s="8" t="str">
        <f>IF(Table1[[#This Row],[Is Data Valid]]=TRUE,EXP(0.578+0.332*((Table1[[#This Row],[Gestation (days)]]+0.5)/7)-0.00354*((Table1[[#This Row],[Gestation (days)]]+0.5)/7)^2)*Table1[[#This Row],[BW40_3705]],"")</f>
        <v/>
      </c>
      <c r="G3808" s="2" t="str">
        <f>IF(Table1[[#This Row],[Is Data Valid]]=TRUE,((Table1[[#This Row],[Birthweight (grams)]]/Table1[[#This Row],[BW_GA]])-1)/(Backend!$B$4/100*Table1[[#This Row],[BW40_3705]]),"")</f>
        <v/>
      </c>
      <c r="H3808" s="7" t="str">
        <f>IF(Table1[[#This Row],[Is Data Valid]]=TRUE,((Table1[[#This Row],[Birthweight (grams)]]*0.9/Table1[[#This Row],[BW_GA]])-1)/(Backend!$B$4/100*Table1[[#This Row],[BW40_3705]]),"")</f>
        <v/>
      </c>
      <c r="I3808" s="7" t="str">
        <f>IF(Table1[[#This Row],[Is Data Valid]]=TRUE,((Table1[[#This Row],[Birthweight (grams)]]*1.1/Table1[[#This Row],[BW_GA]])-1)/(Backend!$B$4/100*Table1[[#This Row],[BW40_3705]]),"")</f>
        <v/>
      </c>
      <c r="J3808" s="7" t="str">
        <f>IF(Table1[[#This Row],[Is Data Valid]]=TRUE,_xlfn.NORM.S.DIST(Table1[[#This Row],[Birthweight Z-Score]],TRUE)*100,"")</f>
        <v/>
      </c>
      <c r="K3808" s="7" t="str">
        <f>IF(Table1[[#This Row],[Is Data Valid]]=TRUE,_xlfn.NORM.S.DIST(Table1[[#This Row],[Birthweight Z-Score (BW-10%)]],TRUE)*100,"")</f>
        <v/>
      </c>
      <c r="L3808" s="7" t="str">
        <f>IF(Table1[[#This Row],[Is Data Valid]]=TRUE,_xlfn.NORM.S.DIST(Table1[[#This Row],[Birthweight Z-Score (BW+10%)]],TRUE)*100,"")</f>
        <v/>
      </c>
    </row>
    <row r="3809" spans="1:12" x14ac:dyDescent="0.35">
      <c r="A3809" s="3"/>
      <c r="B3809" s="2"/>
      <c r="C3809" s="2"/>
      <c r="D3809" s="2" t="b">
        <f>IF(AND(NOT(ISBLANK(Table1[[#This Row],[Fetal Sex (Male, Female or Unknown)]])),ISNUMBER(Table1[[#This Row],[Birthweight (grams)]]),ISNUMBER(Table1[[#This Row],[Gestation (days)]])),TRUE,FALSE)</f>
        <v>0</v>
      </c>
      <c r="E3809" s="2" t="str">
        <f>IF(Table1[[#This Row],[Is Data Valid]]=TRUE,IF(Table1[[#This Row],[Fetal Sex (Male, Female or Unknown)]]="Male",Backend!$C$6,IF(Table1[[#This Row],[Fetal Sex (Male, Female or Unknown)]]="Female",Backend!$C$7,IF(Table1[[#This Row],[Fetal Sex (Male, Female or Unknown)]]="Unknown",Backend!$C$8,"Error"))),"")</f>
        <v/>
      </c>
      <c r="F3809" s="8" t="str">
        <f>IF(Table1[[#This Row],[Is Data Valid]]=TRUE,EXP(0.578+0.332*((Table1[[#This Row],[Gestation (days)]]+0.5)/7)-0.00354*((Table1[[#This Row],[Gestation (days)]]+0.5)/7)^2)*Table1[[#This Row],[BW40_3705]],"")</f>
        <v/>
      </c>
      <c r="G3809" s="2" t="str">
        <f>IF(Table1[[#This Row],[Is Data Valid]]=TRUE,((Table1[[#This Row],[Birthweight (grams)]]/Table1[[#This Row],[BW_GA]])-1)/(Backend!$B$4/100*Table1[[#This Row],[BW40_3705]]),"")</f>
        <v/>
      </c>
      <c r="H3809" s="7" t="str">
        <f>IF(Table1[[#This Row],[Is Data Valid]]=TRUE,((Table1[[#This Row],[Birthweight (grams)]]*0.9/Table1[[#This Row],[BW_GA]])-1)/(Backend!$B$4/100*Table1[[#This Row],[BW40_3705]]),"")</f>
        <v/>
      </c>
      <c r="I3809" s="7" t="str">
        <f>IF(Table1[[#This Row],[Is Data Valid]]=TRUE,((Table1[[#This Row],[Birthweight (grams)]]*1.1/Table1[[#This Row],[BW_GA]])-1)/(Backend!$B$4/100*Table1[[#This Row],[BW40_3705]]),"")</f>
        <v/>
      </c>
      <c r="J3809" s="7" t="str">
        <f>IF(Table1[[#This Row],[Is Data Valid]]=TRUE,_xlfn.NORM.S.DIST(Table1[[#This Row],[Birthweight Z-Score]],TRUE)*100,"")</f>
        <v/>
      </c>
      <c r="K3809" s="7" t="str">
        <f>IF(Table1[[#This Row],[Is Data Valid]]=TRUE,_xlfn.NORM.S.DIST(Table1[[#This Row],[Birthweight Z-Score (BW-10%)]],TRUE)*100,"")</f>
        <v/>
      </c>
      <c r="L3809" s="7" t="str">
        <f>IF(Table1[[#This Row],[Is Data Valid]]=TRUE,_xlfn.NORM.S.DIST(Table1[[#This Row],[Birthweight Z-Score (BW+10%)]],TRUE)*100,"")</f>
        <v/>
      </c>
    </row>
    <row r="3810" spans="1:12" x14ac:dyDescent="0.35">
      <c r="A3810" s="3"/>
      <c r="B3810" s="2"/>
      <c r="C3810" s="2"/>
      <c r="D3810" s="2" t="b">
        <f>IF(AND(NOT(ISBLANK(Table1[[#This Row],[Fetal Sex (Male, Female or Unknown)]])),ISNUMBER(Table1[[#This Row],[Birthweight (grams)]]),ISNUMBER(Table1[[#This Row],[Gestation (days)]])),TRUE,FALSE)</f>
        <v>0</v>
      </c>
      <c r="E3810" s="2" t="str">
        <f>IF(Table1[[#This Row],[Is Data Valid]]=TRUE,IF(Table1[[#This Row],[Fetal Sex (Male, Female or Unknown)]]="Male",Backend!$C$6,IF(Table1[[#This Row],[Fetal Sex (Male, Female or Unknown)]]="Female",Backend!$C$7,IF(Table1[[#This Row],[Fetal Sex (Male, Female or Unknown)]]="Unknown",Backend!$C$8,"Error"))),"")</f>
        <v/>
      </c>
      <c r="F3810" s="8" t="str">
        <f>IF(Table1[[#This Row],[Is Data Valid]]=TRUE,EXP(0.578+0.332*((Table1[[#This Row],[Gestation (days)]]+0.5)/7)-0.00354*((Table1[[#This Row],[Gestation (days)]]+0.5)/7)^2)*Table1[[#This Row],[BW40_3705]],"")</f>
        <v/>
      </c>
      <c r="G3810" s="2" t="str">
        <f>IF(Table1[[#This Row],[Is Data Valid]]=TRUE,((Table1[[#This Row],[Birthweight (grams)]]/Table1[[#This Row],[BW_GA]])-1)/(Backend!$B$4/100*Table1[[#This Row],[BW40_3705]]),"")</f>
        <v/>
      </c>
      <c r="H3810" s="7" t="str">
        <f>IF(Table1[[#This Row],[Is Data Valid]]=TRUE,((Table1[[#This Row],[Birthweight (grams)]]*0.9/Table1[[#This Row],[BW_GA]])-1)/(Backend!$B$4/100*Table1[[#This Row],[BW40_3705]]),"")</f>
        <v/>
      </c>
      <c r="I3810" s="7" t="str">
        <f>IF(Table1[[#This Row],[Is Data Valid]]=TRUE,((Table1[[#This Row],[Birthweight (grams)]]*1.1/Table1[[#This Row],[BW_GA]])-1)/(Backend!$B$4/100*Table1[[#This Row],[BW40_3705]]),"")</f>
        <v/>
      </c>
      <c r="J3810" s="7" t="str">
        <f>IF(Table1[[#This Row],[Is Data Valid]]=TRUE,_xlfn.NORM.S.DIST(Table1[[#This Row],[Birthweight Z-Score]],TRUE)*100,"")</f>
        <v/>
      </c>
      <c r="K3810" s="7" t="str">
        <f>IF(Table1[[#This Row],[Is Data Valid]]=TRUE,_xlfn.NORM.S.DIST(Table1[[#This Row],[Birthweight Z-Score (BW-10%)]],TRUE)*100,"")</f>
        <v/>
      </c>
      <c r="L3810" s="7" t="str">
        <f>IF(Table1[[#This Row],[Is Data Valid]]=TRUE,_xlfn.NORM.S.DIST(Table1[[#This Row],[Birthweight Z-Score (BW+10%)]],TRUE)*100,"")</f>
        <v/>
      </c>
    </row>
    <row r="3811" spans="1:12" x14ac:dyDescent="0.35">
      <c r="A3811" s="3"/>
      <c r="B3811" s="2"/>
      <c r="C3811" s="2"/>
      <c r="D3811" s="2" t="b">
        <f>IF(AND(NOT(ISBLANK(Table1[[#This Row],[Fetal Sex (Male, Female or Unknown)]])),ISNUMBER(Table1[[#This Row],[Birthweight (grams)]]),ISNUMBER(Table1[[#This Row],[Gestation (days)]])),TRUE,FALSE)</f>
        <v>0</v>
      </c>
      <c r="E3811" s="2" t="str">
        <f>IF(Table1[[#This Row],[Is Data Valid]]=TRUE,IF(Table1[[#This Row],[Fetal Sex (Male, Female or Unknown)]]="Male",Backend!$C$6,IF(Table1[[#This Row],[Fetal Sex (Male, Female or Unknown)]]="Female",Backend!$C$7,IF(Table1[[#This Row],[Fetal Sex (Male, Female or Unknown)]]="Unknown",Backend!$C$8,"Error"))),"")</f>
        <v/>
      </c>
      <c r="F3811" s="8" t="str">
        <f>IF(Table1[[#This Row],[Is Data Valid]]=TRUE,EXP(0.578+0.332*((Table1[[#This Row],[Gestation (days)]]+0.5)/7)-0.00354*((Table1[[#This Row],[Gestation (days)]]+0.5)/7)^2)*Table1[[#This Row],[BW40_3705]],"")</f>
        <v/>
      </c>
      <c r="G3811" s="2" t="str">
        <f>IF(Table1[[#This Row],[Is Data Valid]]=TRUE,((Table1[[#This Row],[Birthweight (grams)]]/Table1[[#This Row],[BW_GA]])-1)/(Backend!$B$4/100*Table1[[#This Row],[BW40_3705]]),"")</f>
        <v/>
      </c>
      <c r="H3811" s="7" t="str">
        <f>IF(Table1[[#This Row],[Is Data Valid]]=TRUE,((Table1[[#This Row],[Birthweight (grams)]]*0.9/Table1[[#This Row],[BW_GA]])-1)/(Backend!$B$4/100*Table1[[#This Row],[BW40_3705]]),"")</f>
        <v/>
      </c>
      <c r="I3811" s="7" t="str">
        <f>IF(Table1[[#This Row],[Is Data Valid]]=TRUE,((Table1[[#This Row],[Birthweight (grams)]]*1.1/Table1[[#This Row],[BW_GA]])-1)/(Backend!$B$4/100*Table1[[#This Row],[BW40_3705]]),"")</f>
        <v/>
      </c>
      <c r="J3811" s="7" t="str">
        <f>IF(Table1[[#This Row],[Is Data Valid]]=TRUE,_xlfn.NORM.S.DIST(Table1[[#This Row],[Birthweight Z-Score]],TRUE)*100,"")</f>
        <v/>
      </c>
      <c r="K3811" s="7" t="str">
        <f>IF(Table1[[#This Row],[Is Data Valid]]=TRUE,_xlfn.NORM.S.DIST(Table1[[#This Row],[Birthweight Z-Score (BW-10%)]],TRUE)*100,"")</f>
        <v/>
      </c>
      <c r="L3811" s="7" t="str">
        <f>IF(Table1[[#This Row],[Is Data Valid]]=TRUE,_xlfn.NORM.S.DIST(Table1[[#This Row],[Birthweight Z-Score (BW+10%)]],TRUE)*100,"")</f>
        <v/>
      </c>
    </row>
    <row r="3812" spans="1:12" x14ac:dyDescent="0.35">
      <c r="A3812" s="3"/>
      <c r="B3812" s="2"/>
      <c r="C3812" s="2"/>
      <c r="D3812" s="2" t="b">
        <f>IF(AND(NOT(ISBLANK(Table1[[#This Row],[Fetal Sex (Male, Female or Unknown)]])),ISNUMBER(Table1[[#This Row],[Birthweight (grams)]]),ISNUMBER(Table1[[#This Row],[Gestation (days)]])),TRUE,FALSE)</f>
        <v>0</v>
      </c>
      <c r="E3812" s="2" t="str">
        <f>IF(Table1[[#This Row],[Is Data Valid]]=TRUE,IF(Table1[[#This Row],[Fetal Sex (Male, Female or Unknown)]]="Male",Backend!$C$6,IF(Table1[[#This Row],[Fetal Sex (Male, Female or Unknown)]]="Female",Backend!$C$7,IF(Table1[[#This Row],[Fetal Sex (Male, Female or Unknown)]]="Unknown",Backend!$C$8,"Error"))),"")</f>
        <v/>
      </c>
      <c r="F3812" s="8" t="str">
        <f>IF(Table1[[#This Row],[Is Data Valid]]=TRUE,EXP(0.578+0.332*((Table1[[#This Row],[Gestation (days)]]+0.5)/7)-0.00354*((Table1[[#This Row],[Gestation (days)]]+0.5)/7)^2)*Table1[[#This Row],[BW40_3705]],"")</f>
        <v/>
      </c>
      <c r="G3812" s="2" t="str">
        <f>IF(Table1[[#This Row],[Is Data Valid]]=TRUE,((Table1[[#This Row],[Birthweight (grams)]]/Table1[[#This Row],[BW_GA]])-1)/(Backend!$B$4/100*Table1[[#This Row],[BW40_3705]]),"")</f>
        <v/>
      </c>
      <c r="H3812" s="7" t="str">
        <f>IF(Table1[[#This Row],[Is Data Valid]]=TRUE,((Table1[[#This Row],[Birthweight (grams)]]*0.9/Table1[[#This Row],[BW_GA]])-1)/(Backend!$B$4/100*Table1[[#This Row],[BW40_3705]]),"")</f>
        <v/>
      </c>
      <c r="I3812" s="7" t="str">
        <f>IF(Table1[[#This Row],[Is Data Valid]]=TRUE,((Table1[[#This Row],[Birthweight (grams)]]*1.1/Table1[[#This Row],[BW_GA]])-1)/(Backend!$B$4/100*Table1[[#This Row],[BW40_3705]]),"")</f>
        <v/>
      </c>
      <c r="J3812" s="7" t="str">
        <f>IF(Table1[[#This Row],[Is Data Valid]]=TRUE,_xlfn.NORM.S.DIST(Table1[[#This Row],[Birthweight Z-Score]],TRUE)*100,"")</f>
        <v/>
      </c>
      <c r="K3812" s="7" t="str">
        <f>IF(Table1[[#This Row],[Is Data Valid]]=TRUE,_xlfn.NORM.S.DIST(Table1[[#This Row],[Birthweight Z-Score (BW-10%)]],TRUE)*100,"")</f>
        <v/>
      </c>
      <c r="L3812" s="7" t="str">
        <f>IF(Table1[[#This Row],[Is Data Valid]]=TRUE,_xlfn.NORM.S.DIST(Table1[[#This Row],[Birthweight Z-Score (BW+10%)]],TRUE)*100,"")</f>
        <v/>
      </c>
    </row>
    <row r="3813" spans="1:12" x14ac:dyDescent="0.35">
      <c r="A3813" s="3"/>
      <c r="B3813" s="2"/>
      <c r="C3813" s="2"/>
      <c r="D3813" s="2" t="b">
        <f>IF(AND(NOT(ISBLANK(Table1[[#This Row],[Fetal Sex (Male, Female or Unknown)]])),ISNUMBER(Table1[[#This Row],[Birthweight (grams)]]),ISNUMBER(Table1[[#This Row],[Gestation (days)]])),TRUE,FALSE)</f>
        <v>0</v>
      </c>
      <c r="E3813" s="2" t="str">
        <f>IF(Table1[[#This Row],[Is Data Valid]]=TRUE,IF(Table1[[#This Row],[Fetal Sex (Male, Female or Unknown)]]="Male",Backend!$C$6,IF(Table1[[#This Row],[Fetal Sex (Male, Female or Unknown)]]="Female",Backend!$C$7,IF(Table1[[#This Row],[Fetal Sex (Male, Female or Unknown)]]="Unknown",Backend!$C$8,"Error"))),"")</f>
        <v/>
      </c>
      <c r="F3813" s="8" t="str">
        <f>IF(Table1[[#This Row],[Is Data Valid]]=TRUE,EXP(0.578+0.332*((Table1[[#This Row],[Gestation (days)]]+0.5)/7)-0.00354*((Table1[[#This Row],[Gestation (days)]]+0.5)/7)^2)*Table1[[#This Row],[BW40_3705]],"")</f>
        <v/>
      </c>
      <c r="G3813" s="2" t="str">
        <f>IF(Table1[[#This Row],[Is Data Valid]]=TRUE,((Table1[[#This Row],[Birthweight (grams)]]/Table1[[#This Row],[BW_GA]])-1)/(Backend!$B$4/100*Table1[[#This Row],[BW40_3705]]),"")</f>
        <v/>
      </c>
      <c r="H3813" s="7" t="str">
        <f>IF(Table1[[#This Row],[Is Data Valid]]=TRUE,((Table1[[#This Row],[Birthweight (grams)]]*0.9/Table1[[#This Row],[BW_GA]])-1)/(Backend!$B$4/100*Table1[[#This Row],[BW40_3705]]),"")</f>
        <v/>
      </c>
      <c r="I3813" s="7" t="str">
        <f>IF(Table1[[#This Row],[Is Data Valid]]=TRUE,((Table1[[#This Row],[Birthweight (grams)]]*1.1/Table1[[#This Row],[BW_GA]])-1)/(Backend!$B$4/100*Table1[[#This Row],[BW40_3705]]),"")</f>
        <v/>
      </c>
      <c r="J3813" s="7" t="str">
        <f>IF(Table1[[#This Row],[Is Data Valid]]=TRUE,_xlfn.NORM.S.DIST(Table1[[#This Row],[Birthweight Z-Score]],TRUE)*100,"")</f>
        <v/>
      </c>
      <c r="K3813" s="7" t="str">
        <f>IF(Table1[[#This Row],[Is Data Valid]]=TRUE,_xlfn.NORM.S.DIST(Table1[[#This Row],[Birthweight Z-Score (BW-10%)]],TRUE)*100,"")</f>
        <v/>
      </c>
      <c r="L3813" s="7" t="str">
        <f>IF(Table1[[#This Row],[Is Data Valid]]=TRUE,_xlfn.NORM.S.DIST(Table1[[#This Row],[Birthweight Z-Score (BW+10%)]],TRUE)*100,"")</f>
        <v/>
      </c>
    </row>
    <row r="3814" spans="1:12" x14ac:dyDescent="0.35">
      <c r="A3814" s="3"/>
      <c r="B3814" s="2"/>
      <c r="C3814" s="2"/>
      <c r="D3814" s="2" t="b">
        <f>IF(AND(NOT(ISBLANK(Table1[[#This Row],[Fetal Sex (Male, Female or Unknown)]])),ISNUMBER(Table1[[#This Row],[Birthweight (grams)]]),ISNUMBER(Table1[[#This Row],[Gestation (days)]])),TRUE,FALSE)</f>
        <v>0</v>
      </c>
      <c r="E3814" s="2" t="str">
        <f>IF(Table1[[#This Row],[Is Data Valid]]=TRUE,IF(Table1[[#This Row],[Fetal Sex (Male, Female or Unknown)]]="Male",Backend!$C$6,IF(Table1[[#This Row],[Fetal Sex (Male, Female or Unknown)]]="Female",Backend!$C$7,IF(Table1[[#This Row],[Fetal Sex (Male, Female or Unknown)]]="Unknown",Backend!$C$8,"Error"))),"")</f>
        <v/>
      </c>
      <c r="F3814" s="8" t="str">
        <f>IF(Table1[[#This Row],[Is Data Valid]]=TRUE,EXP(0.578+0.332*((Table1[[#This Row],[Gestation (days)]]+0.5)/7)-0.00354*((Table1[[#This Row],[Gestation (days)]]+0.5)/7)^2)*Table1[[#This Row],[BW40_3705]],"")</f>
        <v/>
      </c>
      <c r="G3814" s="2" t="str">
        <f>IF(Table1[[#This Row],[Is Data Valid]]=TRUE,((Table1[[#This Row],[Birthweight (grams)]]/Table1[[#This Row],[BW_GA]])-1)/(Backend!$B$4/100*Table1[[#This Row],[BW40_3705]]),"")</f>
        <v/>
      </c>
      <c r="H3814" s="7" t="str">
        <f>IF(Table1[[#This Row],[Is Data Valid]]=TRUE,((Table1[[#This Row],[Birthweight (grams)]]*0.9/Table1[[#This Row],[BW_GA]])-1)/(Backend!$B$4/100*Table1[[#This Row],[BW40_3705]]),"")</f>
        <v/>
      </c>
      <c r="I3814" s="7" t="str">
        <f>IF(Table1[[#This Row],[Is Data Valid]]=TRUE,((Table1[[#This Row],[Birthweight (grams)]]*1.1/Table1[[#This Row],[BW_GA]])-1)/(Backend!$B$4/100*Table1[[#This Row],[BW40_3705]]),"")</f>
        <v/>
      </c>
      <c r="J3814" s="7" t="str">
        <f>IF(Table1[[#This Row],[Is Data Valid]]=TRUE,_xlfn.NORM.S.DIST(Table1[[#This Row],[Birthweight Z-Score]],TRUE)*100,"")</f>
        <v/>
      </c>
      <c r="K3814" s="7" t="str">
        <f>IF(Table1[[#This Row],[Is Data Valid]]=TRUE,_xlfn.NORM.S.DIST(Table1[[#This Row],[Birthweight Z-Score (BW-10%)]],TRUE)*100,"")</f>
        <v/>
      </c>
      <c r="L3814" s="7" t="str">
        <f>IF(Table1[[#This Row],[Is Data Valid]]=TRUE,_xlfn.NORM.S.DIST(Table1[[#This Row],[Birthweight Z-Score (BW+10%)]],TRUE)*100,"")</f>
        <v/>
      </c>
    </row>
    <row r="3815" spans="1:12" x14ac:dyDescent="0.35">
      <c r="A3815" s="3"/>
      <c r="B3815" s="2"/>
      <c r="C3815" s="2"/>
      <c r="D3815" s="2" t="b">
        <f>IF(AND(NOT(ISBLANK(Table1[[#This Row],[Fetal Sex (Male, Female or Unknown)]])),ISNUMBER(Table1[[#This Row],[Birthweight (grams)]]),ISNUMBER(Table1[[#This Row],[Gestation (days)]])),TRUE,FALSE)</f>
        <v>0</v>
      </c>
      <c r="E3815" s="2" t="str">
        <f>IF(Table1[[#This Row],[Is Data Valid]]=TRUE,IF(Table1[[#This Row],[Fetal Sex (Male, Female or Unknown)]]="Male",Backend!$C$6,IF(Table1[[#This Row],[Fetal Sex (Male, Female or Unknown)]]="Female",Backend!$C$7,IF(Table1[[#This Row],[Fetal Sex (Male, Female or Unknown)]]="Unknown",Backend!$C$8,"Error"))),"")</f>
        <v/>
      </c>
      <c r="F3815" s="8" t="str">
        <f>IF(Table1[[#This Row],[Is Data Valid]]=TRUE,EXP(0.578+0.332*((Table1[[#This Row],[Gestation (days)]]+0.5)/7)-0.00354*((Table1[[#This Row],[Gestation (days)]]+0.5)/7)^2)*Table1[[#This Row],[BW40_3705]],"")</f>
        <v/>
      </c>
      <c r="G3815" s="2" t="str">
        <f>IF(Table1[[#This Row],[Is Data Valid]]=TRUE,((Table1[[#This Row],[Birthweight (grams)]]/Table1[[#This Row],[BW_GA]])-1)/(Backend!$B$4/100*Table1[[#This Row],[BW40_3705]]),"")</f>
        <v/>
      </c>
      <c r="H3815" s="7" t="str">
        <f>IF(Table1[[#This Row],[Is Data Valid]]=TRUE,((Table1[[#This Row],[Birthweight (grams)]]*0.9/Table1[[#This Row],[BW_GA]])-1)/(Backend!$B$4/100*Table1[[#This Row],[BW40_3705]]),"")</f>
        <v/>
      </c>
      <c r="I3815" s="7" t="str">
        <f>IF(Table1[[#This Row],[Is Data Valid]]=TRUE,((Table1[[#This Row],[Birthweight (grams)]]*1.1/Table1[[#This Row],[BW_GA]])-1)/(Backend!$B$4/100*Table1[[#This Row],[BW40_3705]]),"")</f>
        <v/>
      </c>
      <c r="J3815" s="7" t="str">
        <f>IF(Table1[[#This Row],[Is Data Valid]]=TRUE,_xlfn.NORM.S.DIST(Table1[[#This Row],[Birthweight Z-Score]],TRUE)*100,"")</f>
        <v/>
      </c>
      <c r="K3815" s="7" t="str">
        <f>IF(Table1[[#This Row],[Is Data Valid]]=TRUE,_xlfn.NORM.S.DIST(Table1[[#This Row],[Birthweight Z-Score (BW-10%)]],TRUE)*100,"")</f>
        <v/>
      </c>
      <c r="L3815" s="7" t="str">
        <f>IF(Table1[[#This Row],[Is Data Valid]]=TRUE,_xlfn.NORM.S.DIST(Table1[[#This Row],[Birthweight Z-Score (BW+10%)]],TRUE)*100,"")</f>
        <v/>
      </c>
    </row>
    <row r="3816" spans="1:12" x14ac:dyDescent="0.35">
      <c r="A3816" s="3"/>
      <c r="B3816" s="2"/>
      <c r="C3816" s="2"/>
      <c r="D3816" s="2" t="b">
        <f>IF(AND(NOT(ISBLANK(Table1[[#This Row],[Fetal Sex (Male, Female or Unknown)]])),ISNUMBER(Table1[[#This Row],[Birthweight (grams)]]),ISNUMBER(Table1[[#This Row],[Gestation (days)]])),TRUE,FALSE)</f>
        <v>0</v>
      </c>
      <c r="E3816" s="2" t="str">
        <f>IF(Table1[[#This Row],[Is Data Valid]]=TRUE,IF(Table1[[#This Row],[Fetal Sex (Male, Female or Unknown)]]="Male",Backend!$C$6,IF(Table1[[#This Row],[Fetal Sex (Male, Female or Unknown)]]="Female",Backend!$C$7,IF(Table1[[#This Row],[Fetal Sex (Male, Female or Unknown)]]="Unknown",Backend!$C$8,"Error"))),"")</f>
        <v/>
      </c>
      <c r="F3816" s="8" t="str">
        <f>IF(Table1[[#This Row],[Is Data Valid]]=TRUE,EXP(0.578+0.332*((Table1[[#This Row],[Gestation (days)]]+0.5)/7)-0.00354*((Table1[[#This Row],[Gestation (days)]]+0.5)/7)^2)*Table1[[#This Row],[BW40_3705]],"")</f>
        <v/>
      </c>
      <c r="G3816" s="2" t="str">
        <f>IF(Table1[[#This Row],[Is Data Valid]]=TRUE,((Table1[[#This Row],[Birthweight (grams)]]/Table1[[#This Row],[BW_GA]])-1)/(Backend!$B$4/100*Table1[[#This Row],[BW40_3705]]),"")</f>
        <v/>
      </c>
      <c r="H3816" s="7" t="str">
        <f>IF(Table1[[#This Row],[Is Data Valid]]=TRUE,((Table1[[#This Row],[Birthweight (grams)]]*0.9/Table1[[#This Row],[BW_GA]])-1)/(Backend!$B$4/100*Table1[[#This Row],[BW40_3705]]),"")</f>
        <v/>
      </c>
      <c r="I3816" s="7" t="str">
        <f>IF(Table1[[#This Row],[Is Data Valid]]=TRUE,((Table1[[#This Row],[Birthweight (grams)]]*1.1/Table1[[#This Row],[BW_GA]])-1)/(Backend!$B$4/100*Table1[[#This Row],[BW40_3705]]),"")</f>
        <v/>
      </c>
      <c r="J3816" s="7" t="str">
        <f>IF(Table1[[#This Row],[Is Data Valid]]=TRUE,_xlfn.NORM.S.DIST(Table1[[#This Row],[Birthweight Z-Score]],TRUE)*100,"")</f>
        <v/>
      </c>
      <c r="K3816" s="7" t="str">
        <f>IF(Table1[[#This Row],[Is Data Valid]]=TRUE,_xlfn.NORM.S.DIST(Table1[[#This Row],[Birthweight Z-Score (BW-10%)]],TRUE)*100,"")</f>
        <v/>
      </c>
      <c r="L3816" s="7" t="str">
        <f>IF(Table1[[#This Row],[Is Data Valid]]=TRUE,_xlfn.NORM.S.DIST(Table1[[#This Row],[Birthweight Z-Score (BW+10%)]],TRUE)*100,"")</f>
        <v/>
      </c>
    </row>
    <row r="3817" spans="1:12" x14ac:dyDescent="0.35">
      <c r="A3817" s="3"/>
      <c r="B3817" s="2"/>
      <c r="C3817" s="2"/>
      <c r="D3817" s="2" t="b">
        <f>IF(AND(NOT(ISBLANK(Table1[[#This Row],[Fetal Sex (Male, Female or Unknown)]])),ISNUMBER(Table1[[#This Row],[Birthweight (grams)]]),ISNUMBER(Table1[[#This Row],[Gestation (days)]])),TRUE,FALSE)</f>
        <v>0</v>
      </c>
      <c r="E3817" s="2" t="str">
        <f>IF(Table1[[#This Row],[Is Data Valid]]=TRUE,IF(Table1[[#This Row],[Fetal Sex (Male, Female or Unknown)]]="Male",Backend!$C$6,IF(Table1[[#This Row],[Fetal Sex (Male, Female or Unknown)]]="Female",Backend!$C$7,IF(Table1[[#This Row],[Fetal Sex (Male, Female or Unknown)]]="Unknown",Backend!$C$8,"Error"))),"")</f>
        <v/>
      </c>
      <c r="F3817" s="8" t="str">
        <f>IF(Table1[[#This Row],[Is Data Valid]]=TRUE,EXP(0.578+0.332*((Table1[[#This Row],[Gestation (days)]]+0.5)/7)-0.00354*((Table1[[#This Row],[Gestation (days)]]+0.5)/7)^2)*Table1[[#This Row],[BW40_3705]],"")</f>
        <v/>
      </c>
      <c r="G3817" s="2" t="str">
        <f>IF(Table1[[#This Row],[Is Data Valid]]=TRUE,((Table1[[#This Row],[Birthweight (grams)]]/Table1[[#This Row],[BW_GA]])-1)/(Backend!$B$4/100*Table1[[#This Row],[BW40_3705]]),"")</f>
        <v/>
      </c>
      <c r="H3817" s="7" t="str">
        <f>IF(Table1[[#This Row],[Is Data Valid]]=TRUE,((Table1[[#This Row],[Birthweight (grams)]]*0.9/Table1[[#This Row],[BW_GA]])-1)/(Backend!$B$4/100*Table1[[#This Row],[BW40_3705]]),"")</f>
        <v/>
      </c>
      <c r="I3817" s="7" t="str">
        <f>IF(Table1[[#This Row],[Is Data Valid]]=TRUE,((Table1[[#This Row],[Birthweight (grams)]]*1.1/Table1[[#This Row],[BW_GA]])-1)/(Backend!$B$4/100*Table1[[#This Row],[BW40_3705]]),"")</f>
        <v/>
      </c>
      <c r="J3817" s="7" t="str">
        <f>IF(Table1[[#This Row],[Is Data Valid]]=TRUE,_xlfn.NORM.S.DIST(Table1[[#This Row],[Birthweight Z-Score]],TRUE)*100,"")</f>
        <v/>
      </c>
      <c r="K3817" s="7" t="str">
        <f>IF(Table1[[#This Row],[Is Data Valid]]=TRUE,_xlfn.NORM.S.DIST(Table1[[#This Row],[Birthweight Z-Score (BW-10%)]],TRUE)*100,"")</f>
        <v/>
      </c>
      <c r="L3817" s="7" t="str">
        <f>IF(Table1[[#This Row],[Is Data Valid]]=TRUE,_xlfn.NORM.S.DIST(Table1[[#This Row],[Birthweight Z-Score (BW+10%)]],TRUE)*100,"")</f>
        <v/>
      </c>
    </row>
    <row r="3818" spans="1:12" x14ac:dyDescent="0.35">
      <c r="A3818" s="3"/>
      <c r="B3818" s="2"/>
      <c r="C3818" s="2"/>
      <c r="D3818" s="2" t="b">
        <f>IF(AND(NOT(ISBLANK(Table1[[#This Row],[Fetal Sex (Male, Female or Unknown)]])),ISNUMBER(Table1[[#This Row],[Birthweight (grams)]]),ISNUMBER(Table1[[#This Row],[Gestation (days)]])),TRUE,FALSE)</f>
        <v>0</v>
      </c>
      <c r="E3818" s="2" t="str">
        <f>IF(Table1[[#This Row],[Is Data Valid]]=TRUE,IF(Table1[[#This Row],[Fetal Sex (Male, Female or Unknown)]]="Male",Backend!$C$6,IF(Table1[[#This Row],[Fetal Sex (Male, Female or Unknown)]]="Female",Backend!$C$7,IF(Table1[[#This Row],[Fetal Sex (Male, Female or Unknown)]]="Unknown",Backend!$C$8,"Error"))),"")</f>
        <v/>
      </c>
      <c r="F3818" s="8" t="str">
        <f>IF(Table1[[#This Row],[Is Data Valid]]=TRUE,EXP(0.578+0.332*((Table1[[#This Row],[Gestation (days)]]+0.5)/7)-0.00354*((Table1[[#This Row],[Gestation (days)]]+0.5)/7)^2)*Table1[[#This Row],[BW40_3705]],"")</f>
        <v/>
      </c>
      <c r="G3818" s="2" t="str">
        <f>IF(Table1[[#This Row],[Is Data Valid]]=TRUE,((Table1[[#This Row],[Birthweight (grams)]]/Table1[[#This Row],[BW_GA]])-1)/(Backend!$B$4/100*Table1[[#This Row],[BW40_3705]]),"")</f>
        <v/>
      </c>
      <c r="H3818" s="7" t="str">
        <f>IF(Table1[[#This Row],[Is Data Valid]]=TRUE,((Table1[[#This Row],[Birthweight (grams)]]*0.9/Table1[[#This Row],[BW_GA]])-1)/(Backend!$B$4/100*Table1[[#This Row],[BW40_3705]]),"")</f>
        <v/>
      </c>
      <c r="I3818" s="7" t="str">
        <f>IF(Table1[[#This Row],[Is Data Valid]]=TRUE,((Table1[[#This Row],[Birthweight (grams)]]*1.1/Table1[[#This Row],[BW_GA]])-1)/(Backend!$B$4/100*Table1[[#This Row],[BW40_3705]]),"")</f>
        <v/>
      </c>
      <c r="J3818" s="7" t="str">
        <f>IF(Table1[[#This Row],[Is Data Valid]]=TRUE,_xlfn.NORM.S.DIST(Table1[[#This Row],[Birthweight Z-Score]],TRUE)*100,"")</f>
        <v/>
      </c>
      <c r="K3818" s="7" t="str">
        <f>IF(Table1[[#This Row],[Is Data Valid]]=TRUE,_xlfn.NORM.S.DIST(Table1[[#This Row],[Birthweight Z-Score (BW-10%)]],TRUE)*100,"")</f>
        <v/>
      </c>
      <c r="L3818" s="7" t="str">
        <f>IF(Table1[[#This Row],[Is Data Valid]]=TRUE,_xlfn.NORM.S.DIST(Table1[[#This Row],[Birthweight Z-Score (BW+10%)]],TRUE)*100,"")</f>
        <v/>
      </c>
    </row>
    <row r="3819" spans="1:12" x14ac:dyDescent="0.35">
      <c r="A3819" s="3"/>
      <c r="B3819" s="2"/>
      <c r="C3819" s="2"/>
      <c r="D3819" s="2" t="b">
        <f>IF(AND(NOT(ISBLANK(Table1[[#This Row],[Fetal Sex (Male, Female or Unknown)]])),ISNUMBER(Table1[[#This Row],[Birthweight (grams)]]),ISNUMBER(Table1[[#This Row],[Gestation (days)]])),TRUE,FALSE)</f>
        <v>0</v>
      </c>
      <c r="E3819" s="2" t="str">
        <f>IF(Table1[[#This Row],[Is Data Valid]]=TRUE,IF(Table1[[#This Row],[Fetal Sex (Male, Female or Unknown)]]="Male",Backend!$C$6,IF(Table1[[#This Row],[Fetal Sex (Male, Female or Unknown)]]="Female",Backend!$C$7,IF(Table1[[#This Row],[Fetal Sex (Male, Female or Unknown)]]="Unknown",Backend!$C$8,"Error"))),"")</f>
        <v/>
      </c>
      <c r="F3819" s="8" t="str">
        <f>IF(Table1[[#This Row],[Is Data Valid]]=TRUE,EXP(0.578+0.332*((Table1[[#This Row],[Gestation (days)]]+0.5)/7)-0.00354*((Table1[[#This Row],[Gestation (days)]]+0.5)/7)^2)*Table1[[#This Row],[BW40_3705]],"")</f>
        <v/>
      </c>
      <c r="G3819" s="2" t="str">
        <f>IF(Table1[[#This Row],[Is Data Valid]]=TRUE,((Table1[[#This Row],[Birthweight (grams)]]/Table1[[#This Row],[BW_GA]])-1)/(Backend!$B$4/100*Table1[[#This Row],[BW40_3705]]),"")</f>
        <v/>
      </c>
      <c r="H3819" s="7" t="str">
        <f>IF(Table1[[#This Row],[Is Data Valid]]=TRUE,((Table1[[#This Row],[Birthweight (grams)]]*0.9/Table1[[#This Row],[BW_GA]])-1)/(Backend!$B$4/100*Table1[[#This Row],[BW40_3705]]),"")</f>
        <v/>
      </c>
      <c r="I3819" s="7" t="str">
        <f>IF(Table1[[#This Row],[Is Data Valid]]=TRUE,((Table1[[#This Row],[Birthweight (grams)]]*1.1/Table1[[#This Row],[BW_GA]])-1)/(Backend!$B$4/100*Table1[[#This Row],[BW40_3705]]),"")</f>
        <v/>
      </c>
      <c r="J3819" s="7" t="str">
        <f>IF(Table1[[#This Row],[Is Data Valid]]=TRUE,_xlfn.NORM.S.DIST(Table1[[#This Row],[Birthweight Z-Score]],TRUE)*100,"")</f>
        <v/>
      </c>
      <c r="K3819" s="7" t="str">
        <f>IF(Table1[[#This Row],[Is Data Valid]]=TRUE,_xlfn.NORM.S.DIST(Table1[[#This Row],[Birthweight Z-Score (BW-10%)]],TRUE)*100,"")</f>
        <v/>
      </c>
      <c r="L3819" s="7" t="str">
        <f>IF(Table1[[#This Row],[Is Data Valid]]=TRUE,_xlfn.NORM.S.DIST(Table1[[#This Row],[Birthweight Z-Score (BW+10%)]],TRUE)*100,"")</f>
        <v/>
      </c>
    </row>
    <row r="3820" spans="1:12" x14ac:dyDescent="0.35">
      <c r="A3820" s="3"/>
      <c r="B3820" s="2"/>
      <c r="C3820" s="2"/>
      <c r="D3820" s="2" t="b">
        <f>IF(AND(NOT(ISBLANK(Table1[[#This Row],[Fetal Sex (Male, Female or Unknown)]])),ISNUMBER(Table1[[#This Row],[Birthweight (grams)]]),ISNUMBER(Table1[[#This Row],[Gestation (days)]])),TRUE,FALSE)</f>
        <v>0</v>
      </c>
      <c r="E3820" s="2" t="str">
        <f>IF(Table1[[#This Row],[Is Data Valid]]=TRUE,IF(Table1[[#This Row],[Fetal Sex (Male, Female or Unknown)]]="Male",Backend!$C$6,IF(Table1[[#This Row],[Fetal Sex (Male, Female or Unknown)]]="Female",Backend!$C$7,IF(Table1[[#This Row],[Fetal Sex (Male, Female or Unknown)]]="Unknown",Backend!$C$8,"Error"))),"")</f>
        <v/>
      </c>
      <c r="F3820" s="8" t="str">
        <f>IF(Table1[[#This Row],[Is Data Valid]]=TRUE,EXP(0.578+0.332*((Table1[[#This Row],[Gestation (days)]]+0.5)/7)-0.00354*((Table1[[#This Row],[Gestation (days)]]+0.5)/7)^2)*Table1[[#This Row],[BW40_3705]],"")</f>
        <v/>
      </c>
      <c r="G3820" s="2" t="str">
        <f>IF(Table1[[#This Row],[Is Data Valid]]=TRUE,((Table1[[#This Row],[Birthweight (grams)]]/Table1[[#This Row],[BW_GA]])-1)/(Backend!$B$4/100*Table1[[#This Row],[BW40_3705]]),"")</f>
        <v/>
      </c>
      <c r="H3820" s="7" t="str">
        <f>IF(Table1[[#This Row],[Is Data Valid]]=TRUE,((Table1[[#This Row],[Birthweight (grams)]]*0.9/Table1[[#This Row],[BW_GA]])-1)/(Backend!$B$4/100*Table1[[#This Row],[BW40_3705]]),"")</f>
        <v/>
      </c>
      <c r="I3820" s="7" t="str">
        <f>IF(Table1[[#This Row],[Is Data Valid]]=TRUE,((Table1[[#This Row],[Birthweight (grams)]]*1.1/Table1[[#This Row],[BW_GA]])-1)/(Backend!$B$4/100*Table1[[#This Row],[BW40_3705]]),"")</f>
        <v/>
      </c>
      <c r="J3820" s="7" t="str">
        <f>IF(Table1[[#This Row],[Is Data Valid]]=TRUE,_xlfn.NORM.S.DIST(Table1[[#This Row],[Birthweight Z-Score]],TRUE)*100,"")</f>
        <v/>
      </c>
      <c r="K3820" s="7" t="str">
        <f>IF(Table1[[#This Row],[Is Data Valid]]=TRUE,_xlfn.NORM.S.DIST(Table1[[#This Row],[Birthweight Z-Score (BW-10%)]],TRUE)*100,"")</f>
        <v/>
      </c>
      <c r="L3820" s="7" t="str">
        <f>IF(Table1[[#This Row],[Is Data Valid]]=TRUE,_xlfn.NORM.S.DIST(Table1[[#This Row],[Birthweight Z-Score (BW+10%)]],TRUE)*100,"")</f>
        <v/>
      </c>
    </row>
    <row r="3821" spans="1:12" x14ac:dyDescent="0.35">
      <c r="A3821" s="3"/>
      <c r="B3821" s="2"/>
      <c r="C3821" s="2"/>
      <c r="D3821" s="2" t="b">
        <f>IF(AND(NOT(ISBLANK(Table1[[#This Row],[Fetal Sex (Male, Female or Unknown)]])),ISNUMBER(Table1[[#This Row],[Birthweight (grams)]]),ISNUMBER(Table1[[#This Row],[Gestation (days)]])),TRUE,FALSE)</f>
        <v>0</v>
      </c>
      <c r="E3821" s="2" t="str">
        <f>IF(Table1[[#This Row],[Is Data Valid]]=TRUE,IF(Table1[[#This Row],[Fetal Sex (Male, Female or Unknown)]]="Male",Backend!$C$6,IF(Table1[[#This Row],[Fetal Sex (Male, Female or Unknown)]]="Female",Backend!$C$7,IF(Table1[[#This Row],[Fetal Sex (Male, Female or Unknown)]]="Unknown",Backend!$C$8,"Error"))),"")</f>
        <v/>
      </c>
      <c r="F3821" s="8" t="str">
        <f>IF(Table1[[#This Row],[Is Data Valid]]=TRUE,EXP(0.578+0.332*((Table1[[#This Row],[Gestation (days)]]+0.5)/7)-0.00354*((Table1[[#This Row],[Gestation (days)]]+0.5)/7)^2)*Table1[[#This Row],[BW40_3705]],"")</f>
        <v/>
      </c>
      <c r="G3821" s="2" t="str">
        <f>IF(Table1[[#This Row],[Is Data Valid]]=TRUE,((Table1[[#This Row],[Birthweight (grams)]]/Table1[[#This Row],[BW_GA]])-1)/(Backend!$B$4/100*Table1[[#This Row],[BW40_3705]]),"")</f>
        <v/>
      </c>
      <c r="H3821" s="7" t="str">
        <f>IF(Table1[[#This Row],[Is Data Valid]]=TRUE,((Table1[[#This Row],[Birthweight (grams)]]*0.9/Table1[[#This Row],[BW_GA]])-1)/(Backend!$B$4/100*Table1[[#This Row],[BW40_3705]]),"")</f>
        <v/>
      </c>
      <c r="I3821" s="7" t="str">
        <f>IF(Table1[[#This Row],[Is Data Valid]]=TRUE,((Table1[[#This Row],[Birthweight (grams)]]*1.1/Table1[[#This Row],[BW_GA]])-1)/(Backend!$B$4/100*Table1[[#This Row],[BW40_3705]]),"")</f>
        <v/>
      </c>
      <c r="J3821" s="7" t="str">
        <f>IF(Table1[[#This Row],[Is Data Valid]]=TRUE,_xlfn.NORM.S.DIST(Table1[[#This Row],[Birthweight Z-Score]],TRUE)*100,"")</f>
        <v/>
      </c>
      <c r="K3821" s="7" t="str">
        <f>IF(Table1[[#This Row],[Is Data Valid]]=TRUE,_xlfn.NORM.S.DIST(Table1[[#This Row],[Birthweight Z-Score (BW-10%)]],TRUE)*100,"")</f>
        <v/>
      </c>
      <c r="L3821" s="7" t="str">
        <f>IF(Table1[[#This Row],[Is Data Valid]]=TRUE,_xlfn.NORM.S.DIST(Table1[[#This Row],[Birthweight Z-Score (BW+10%)]],TRUE)*100,"")</f>
        <v/>
      </c>
    </row>
    <row r="3822" spans="1:12" x14ac:dyDescent="0.35">
      <c r="A3822" s="3"/>
      <c r="B3822" s="2"/>
      <c r="C3822" s="2"/>
      <c r="D3822" s="2" t="b">
        <f>IF(AND(NOT(ISBLANK(Table1[[#This Row],[Fetal Sex (Male, Female or Unknown)]])),ISNUMBER(Table1[[#This Row],[Birthweight (grams)]]),ISNUMBER(Table1[[#This Row],[Gestation (days)]])),TRUE,FALSE)</f>
        <v>0</v>
      </c>
      <c r="E3822" s="2" t="str">
        <f>IF(Table1[[#This Row],[Is Data Valid]]=TRUE,IF(Table1[[#This Row],[Fetal Sex (Male, Female or Unknown)]]="Male",Backend!$C$6,IF(Table1[[#This Row],[Fetal Sex (Male, Female or Unknown)]]="Female",Backend!$C$7,IF(Table1[[#This Row],[Fetal Sex (Male, Female or Unknown)]]="Unknown",Backend!$C$8,"Error"))),"")</f>
        <v/>
      </c>
      <c r="F3822" s="8" t="str">
        <f>IF(Table1[[#This Row],[Is Data Valid]]=TRUE,EXP(0.578+0.332*((Table1[[#This Row],[Gestation (days)]]+0.5)/7)-0.00354*((Table1[[#This Row],[Gestation (days)]]+0.5)/7)^2)*Table1[[#This Row],[BW40_3705]],"")</f>
        <v/>
      </c>
      <c r="G3822" s="2" t="str">
        <f>IF(Table1[[#This Row],[Is Data Valid]]=TRUE,((Table1[[#This Row],[Birthweight (grams)]]/Table1[[#This Row],[BW_GA]])-1)/(Backend!$B$4/100*Table1[[#This Row],[BW40_3705]]),"")</f>
        <v/>
      </c>
      <c r="H3822" s="7" t="str">
        <f>IF(Table1[[#This Row],[Is Data Valid]]=TRUE,((Table1[[#This Row],[Birthweight (grams)]]*0.9/Table1[[#This Row],[BW_GA]])-1)/(Backend!$B$4/100*Table1[[#This Row],[BW40_3705]]),"")</f>
        <v/>
      </c>
      <c r="I3822" s="7" t="str">
        <f>IF(Table1[[#This Row],[Is Data Valid]]=TRUE,((Table1[[#This Row],[Birthweight (grams)]]*1.1/Table1[[#This Row],[BW_GA]])-1)/(Backend!$B$4/100*Table1[[#This Row],[BW40_3705]]),"")</f>
        <v/>
      </c>
      <c r="J3822" s="7" t="str">
        <f>IF(Table1[[#This Row],[Is Data Valid]]=TRUE,_xlfn.NORM.S.DIST(Table1[[#This Row],[Birthweight Z-Score]],TRUE)*100,"")</f>
        <v/>
      </c>
      <c r="K3822" s="7" t="str">
        <f>IF(Table1[[#This Row],[Is Data Valid]]=TRUE,_xlfn.NORM.S.DIST(Table1[[#This Row],[Birthweight Z-Score (BW-10%)]],TRUE)*100,"")</f>
        <v/>
      </c>
      <c r="L3822" s="7" t="str">
        <f>IF(Table1[[#This Row],[Is Data Valid]]=TRUE,_xlfn.NORM.S.DIST(Table1[[#This Row],[Birthweight Z-Score (BW+10%)]],TRUE)*100,"")</f>
        <v/>
      </c>
    </row>
    <row r="3823" spans="1:12" x14ac:dyDescent="0.35">
      <c r="A3823" s="3"/>
      <c r="B3823" s="2"/>
      <c r="C3823" s="2"/>
      <c r="D3823" s="2" t="b">
        <f>IF(AND(NOT(ISBLANK(Table1[[#This Row],[Fetal Sex (Male, Female or Unknown)]])),ISNUMBER(Table1[[#This Row],[Birthweight (grams)]]),ISNUMBER(Table1[[#This Row],[Gestation (days)]])),TRUE,FALSE)</f>
        <v>0</v>
      </c>
      <c r="E3823" s="2" t="str">
        <f>IF(Table1[[#This Row],[Is Data Valid]]=TRUE,IF(Table1[[#This Row],[Fetal Sex (Male, Female or Unknown)]]="Male",Backend!$C$6,IF(Table1[[#This Row],[Fetal Sex (Male, Female or Unknown)]]="Female",Backend!$C$7,IF(Table1[[#This Row],[Fetal Sex (Male, Female or Unknown)]]="Unknown",Backend!$C$8,"Error"))),"")</f>
        <v/>
      </c>
      <c r="F3823" s="8" t="str">
        <f>IF(Table1[[#This Row],[Is Data Valid]]=TRUE,EXP(0.578+0.332*((Table1[[#This Row],[Gestation (days)]]+0.5)/7)-0.00354*((Table1[[#This Row],[Gestation (days)]]+0.5)/7)^2)*Table1[[#This Row],[BW40_3705]],"")</f>
        <v/>
      </c>
      <c r="G3823" s="2" t="str">
        <f>IF(Table1[[#This Row],[Is Data Valid]]=TRUE,((Table1[[#This Row],[Birthweight (grams)]]/Table1[[#This Row],[BW_GA]])-1)/(Backend!$B$4/100*Table1[[#This Row],[BW40_3705]]),"")</f>
        <v/>
      </c>
      <c r="H3823" s="7" t="str">
        <f>IF(Table1[[#This Row],[Is Data Valid]]=TRUE,((Table1[[#This Row],[Birthweight (grams)]]*0.9/Table1[[#This Row],[BW_GA]])-1)/(Backend!$B$4/100*Table1[[#This Row],[BW40_3705]]),"")</f>
        <v/>
      </c>
      <c r="I3823" s="7" t="str">
        <f>IF(Table1[[#This Row],[Is Data Valid]]=TRUE,((Table1[[#This Row],[Birthweight (grams)]]*1.1/Table1[[#This Row],[BW_GA]])-1)/(Backend!$B$4/100*Table1[[#This Row],[BW40_3705]]),"")</f>
        <v/>
      </c>
      <c r="J3823" s="7" t="str">
        <f>IF(Table1[[#This Row],[Is Data Valid]]=TRUE,_xlfn.NORM.S.DIST(Table1[[#This Row],[Birthweight Z-Score]],TRUE)*100,"")</f>
        <v/>
      </c>
      <c r="K3823" s="7" t="str">
        <f>IF(Table1[[#This Row],[Is Data Valid]]=TRUE,_xlfn.NORM.S.DIST(Table1[[#This Row],[Birthweight Z-Score (BW-10%)]],TRUE)*100,"")</f>
        <v/>
      </c>
      <c r="L3823" s="7" t="str">
        <f>IF(Table1[[#This Row],[Is Data Valid]]=TRUE,_xlfn.NORM.S.DIST(Table1[[#This Row],[Birthweight Z-Score (BW+10%)]],TRUE)*100,"")</f>
        <v/>
      </c>
    </row>
    <row r="3824" spans="1:12" x14ac:dyDescent="0.35">
      <c r="A3824" s="3"/>
      <c r="B3824" s="2"/>
      <c r="C3824" s="2"/>
      <c r="D3824" s="2" t="b">
        <f>IF(AND(NOT(ISBLANK(Table1[[#This Row],[Fetal Sex (Male, Female or Unknown)]])),ISNUMBER(Table1[[#This Row],[Birthweight (grams)]]),ISNUMBER(Table1[[#This Row],[Gestation (days)]])),TRUE,FALSE)</f>
        <v>0</v>
      </c>
      <c r="E3824" s="2" t="str">
        <f>IF(Table1[[#This Row],[Is Data Valid]]=TRUE,IF(Table1[[#This Row],[Fetal Sex (Male, Female or Unknown)]]="Male",Backend!$C$6,IF(Table1[[#This Row],[Fetal Sex (Male, Female or Unknown)]]="Female",Backend!$C$7,IF(Table1[[#This Row],[Fetal Sex (Male, Female or Unknown)]]="Unknown",Backend!$C$8,"Error"))),"")</f>
        <v/>
      </c>
      <c r="F3824" s="8" t="str">
        <f>IF(Table1[[#This Row],[Is Data Valid]]=TRUE,EXP(0.578+0.332*((Table1[[#This Row],[Gestation (days)]]+0.5)/7)-0.00354*((Table1[[#This Row],[Gestation (days)]]+0.5)/7)^2)*Table1[[#This Row],[BW40_3705]],"")</f>
        <v/>
      </c>
      <c r="G3824" s="2" t="str">
        <f>IF(Table1[[#This Row],[Is Data Valid]]=TRUE,((Table1[[#This Row],[Birthweight (grams)]]/Table1[[#This Row],[BW_GA]])-1)/(Backend!$B$4/100*Table1[[#This Row],[BW40_3705]]),"")</f>
        <v/>
      </c>
      <c r="H3824" s="7" t="str">
        <f>IF(Table1[[#This Row],[Is Data Valid]]=TRUE,((Table1[[#This Row],[Birthweight (grams)]]*0.9/Table1[[#This Row],[BW_GA]])-1)/(Backend!$B$4/100*Table1[[#This Row],[BW40_3705]]),"")</f>
        <v/>
      </c>
      <c r="I3824" s="7" t="str">
        <f>IF(Table1[[#This Row],[Is Data Valid]]=TRUE,((Table1[[#This Row],[Birthweight (grams)]]*1.1/Table1[[#This Row],[BW_GA]])-1)/(Backend!$B$4/100*Table1[[#This Row],[BW40_3705]]),"")</f>
        <v/>
      </c>
      <c r="J3824" s="7" t="str">
        <f>IF(Table1[[#This Row],[Is Data Valid]]=TRUE,_xlfn.NORM.S.DIST(Table1[[#This Row],[Birthweight Z-Score]],TRUE)*100,"")</f>
        <v/>
      </c>
      <c r="K3824" s="7" t="str">
        <f>IF(Table1[[#This Row],[Is Data Valid]]=TRUE,_xlfn.NORM.S.DIST(Table1[[#This Row],[Birthweight Z-Score (BW-10%)]],TRUE)*100,"")</f>
        <v/>
      </c>
      <c r="L3824" s="7" t="str">
        <f>IF(Table1[[#This Row],[Is Data Valid]]=TRUE,_xlfn.NORM.S.DIST(Table1[[#This Row],[Birthweight Z-Score (BW+10%)]],TRUE)*100,"")</f>
        <v/>
      </c>
    </row>
    <row r="3825" spans="1:12" x14ac:dyDescent="0.35">
      <c r="A3825" s="3"/>
      <c r="B3825" s="2"/>
      <c r="C3825" s="2"/>
      <c r="D3825" s="2" t="b">
        <f>IF(AND(NOT(ISBLANK(Table1[[#This Row],[Fetal Sex (Male, Female or Unknown)]])),ISNUMBER(Table1[[#This Row],[Birthweight (grams)]]),ISNUMBER(Table1[[#This Row],[Gestation (days)]])),TRUE,FALSE)</f>
        <v>0</v>
      </c>
      <c r="E3825" s="2" t="str">
        <f>IF(Table1[[#This Row],[Is Data Valid]]=TRUE,IF(Table1[[#This Row],[Fetal Sex (Male, Female or Unknown)]]="Male",Backend!$C$6,IF(Table1[[#This Row],[Fetal Sex (Male, Female or Unknown)]]="Female",Backend!$C$7,IF(Table1[[#This Row],[Fetal Sex (Male, Female or Unknown)]]="Unknown",Backend!$C$8,"Error"))),"")</f>
        <v/>
      </c>
      <c r="F3825" s="8" t="str">
        <f>IF(Table1[[#This Row],[Is Data Valid]]=TRUE,EXP(0.578+0.332*((Table1[[#This Row],[Gestation (days)]]+0.5)/7)-0.00354*((Table1[[#This Row],[Gestation (days)]]+0.5)/7)^2)*Table1[[#This Row],[BW40_3705]],"")</f>
        <v/>
      </c>
      <c r="G3825" s="2" t="str">
        <f>IF(Table1[[#This Row],[Is Data Valid]]=TRUE,((Table1[[#This Row],[Birthweight (grams)]]/Table1[[#This Row],[BW_GA]])-1)/(Backend!$B$4/100*Table1[[#This Row],[BW40_3705]]),"")</f>
        <v/>
      </c>
      <c r="H3825" s="7" t="str">
        <f>IF(Table1[[#This Row],[Is Data Valid]]=TRUE,((Table1[[#This Row],[Birthweight (grams)]]*0.9/Table1[[#This Row],[BW_GA]])-1)/(Backend!$B$4/100*Table1[[#This Row],[BW40_3705]]),"")</f>
        <v/>
      </c>
      <c r="I3825" s="7" t="str">
        <f>IF(Table1[[#This Row],[Is Data Valid]]=TRUE,((Table1[[#This Row],[Birthweight (grams)]]*1.1/Table1[[#This Row],[BW_GA]])-1)/(Backend!$B$4/100*Table1[[#This Row],[BW40_3705]]),"")</f>
        <v/>
      </c>
      <c r="J3825" s="7" t="str">
        <f>IF(Table1[[#This Row],[Is Data Valid]]=TRUE,_xlfn.NORM.S.DIST(Table1[[#This Row],[Birthweight Z-Score]],TRUE)*100,"")</f>
        <v/>
      </c>
      <c r="K3825" s="7" t="str">
        <f>IF(Table1[[#This Row],[Is Data Valid]]=TRUE,_xlfn.NORM.S.DIST(Table1[[#This Row],[Birthweight Z-Score (BW-10%)]],TRUE)*100,"")</f>
        <v/>
      </c>
      <c r="L3825" s="7" t="str">
        <f>IF(Table1[[#This Row],[Is Data Valid]]=TRUE,_xlfn.NORM.S.DIST(Table1[[#This Row],[Birthweight Z-Score (BW+10%)]],TRUE)*100,"")</f>
        <v/>
      </c>
    </row>
    <row r="3826" spans="1:12" x14ac:dyDescent="0.35">
      <c r="A3826" s="3"/>
      <c r="B3826" s="2"/>
      <c r="C3826" s="2"/>
      <c r="D3826" s="2" t="b">
        <f>IF(AND(NOT(ISBLANK(Table1[[#This Row],[Fetal Sex (Male, Female or Unknown)]])),ISNUMBER(Table1[[#This Row],[Birthweight (grams)]]),ISNUMBER(Table1[[#This Row],[Gestation (days)]])),TRUE,FALSE)</f>
        <v>0</v>
      </c>
      <c r="E3826" s="2" t="str">
        <f>IF(Table1[[#This Row],[Is Data Valid]]=TRUE,IF(Table1[[#This Row],[Fetal Sex (Male, Female or Unknown)]]="Male",Backend!$C$6,IF(Table1[[#This Row],[Fetal Sex (Male, Female or Unknown)]]="Female",Backend!$C$7,IF(Table1[[#This Row],[Fetal Sex (Male, Female or Unknown)]]="Unknown",Backend!$C$8,"Error"))),"")</f>
        <v/>
      </c>
      <c r="F3826" s="8" t="str">
        <f>IF(Table1[[#This Row],[Is Data Valid]]=TRUE,EXP(0.578+0.332*((Table1[[#This Row],[Gestation (days)]]+0.5)/7)-0.00354*((Table1[[#This Row],[Gestation (days)]]+0.5)/7)^2)*Table1[[#This Row],[BW40_3705]],"")</f>
        <v/>
      </c>
      <c r="G3826" s="2" t="str">
        <f>IF(Table1[[#This Row],[Is Data Valid]]=TRUE,((Table1[[#This Row],[Birthweight (grams)]]/Table1[[#This Row],[BW_GA]])-1)/(Backend!$B$4/100*Table1[[#This Row],[BW40_3705]]),"")</f>
        <v/>
      </c>
      <c r="H3826" s="7" t="str">
        <f>IF(Table1[[#This Row],[Is Data Valid]]=TRUE,((Table1[[#This Row],[Birthweight (grams)]]*0.9/Table1[[#This Row],[BW_GA]])-1)/(Backend!$B$4/100*Table1[[#This Row],[BW40_3705]]),"")</f>
        <v/>
      </c>
      <c r="I3826" s="7" t="str">
        <f>IF(Table1[[#This Row],[Is Data Valid]]=TRUE,((Table1[[#This Row],[Birthweight (grams)]]*1.1/Table1[[#This Row],[BW_GA]])-1)/(Backend!$B$4/100*Table1[[#This Row],[BW40_3705]]),"")</f>
        <v/>
      </c>
      <c r="J3826" s="7" t="str">
        <f>IF(Table1[[#This Row],[Is Data Valid]]=TRUE,_xlfn.NORM.S.DIST(Table1[[#This Row],[Birthweight Z-Score]],TRUE)*100,"")</f>
        <v/>
      </c>
      <c r="K3826" s="7" t="str">
        <f>IF(Table1[[#This Row],[Is Data Valid]]=TRUE,_xlfn.NORM.S.DIST(Table1[[#This Row],[Birthweight Z-Score (BW-10%)]],TRUE)*100,"")</f>
        <v/>
      </c>
      <c r="L3826" s="7" t="str">
        <f>IF(Table1[[#This Row],[Is Data Valid]]=TRUE,_xlfn.NORM.S.DIST(Table1[[#This Row],[Birthweight Z-Score (BW+10%)]],TRUE)*100,"")</f>
        <v/>
      </c>
    </row>
    <row r="3827" spans="1:12" x14ac:dyDescent="0.35">
      <c r="A3827" s="3"/>
      <c r="B3827" s="2"/>
      <c r="C3827" s="2"/>
      <c r="D3827" s="2" t="b">
        <f>IF(AND(NOT(ISBLANK(Table1[[#This Row],[Fetal Sex (Male, Female or Unknown)]])),ISNUMBER(Table1[[#This Row],[Birthweight (grams)]]),ISNUMBER(Table1[[#This Row],[Gestation (days)]])),TRUE,FALSE)</f>
        <v>0</v>
      </c>
      <c r="E3827" s="2" t="str">
        <f>IF(Table1[[#This Row],[Is Data Valid]]=TRUE,IF(Table1[[#This Row],[Fetal Sex (Male, Female or Unknown)]]="Male",Backend!$C$6,IF(Table1[[#This Row],[Fetal Sex (Male, Female or Unknown)]]="Female",Backend!$C$7,IF(Table1[[#This Row],[Fetal Sex (Male, Female or Unknown)]]="Unknown",Backend!$C$8,"Error"))),"")</f>
        <v/>
      </c>
      <c r="F3827" s="8" t="str">
        <f>IF(Table1[[#This Row],[Is Data Valid]]=TRUE,EXP(0.578+0.332*((Table1[[#This Row],[Gestation (days)]]+0.5)/7)-0.00354*((Table1[[#This Row],[Gestation (days)]]+0.5)/7)^2)*Table1[[#This Row],[BW40_3705]],"")</f>
        <v/>
      </c>
      <c r="G3827" s="2" t="str">
        <f>IF(Table1[[#This Row],[Is Data Valid]]=TRUE,((Table1[[#This Row],[Birthweight (grams)]]/Table1[[#This Row],[BW_GA]])-1)/(Backend!$B$4/100*Table1[[#This Row],[BW40_3705]]),"")</f>
        <v/>
      </c>
      <c r="H3827" s="7" t="str">
        <f>IF(Table1[[#This Row],[Is Data Valid]]=TRUE,((Table1[[#This Row],[Birthweight (grams)]]*0.9/Table1[[#This Row],[BW_GA]])-1)/(Backend!$B$4/100*Table1[[#This Row],[BW40_3705]]),"")</f>
        <v/>
      </c>
      <c r="I3827" s="7" t="str">
        <f>IF(Table1[[#This Row],[Is Data Valid]]=TRUE,((Table1[[#This Row],[Birthweight (grams)]]*1.1/Table1[[#This Row],[BW_GA]])-1)/(Backend!$B$4/100*Table1[[#This Row],[BW40_3705]]),"")</f>
        <v/>
      </c>
      <c r="J3827" s="7" t="str">
        <f>IF(Table1[[#This Row],[Is Data Valid]]=TRUE,_xlfn.NORM.S.DIST(Table1[[#This Row],[Birthweight Z-Score]],TRUE)*100,"")</f>
        <v/>
      </c>
      <c r="K3827" s="7" t="str">
        <f>IF(Table1[[#This Row],[Is Data Valid]]=TRUE,_xlfn.NORM.S.DIST(Table1[[#This Row],[Birthweight Z-Score (BW-10%)]],TRUE)*100,"")</f>
        <v/>
      </c>
      <c r="L3827" s="7" t="str">
        <f>IF(Table1[[#This Row],[Is Data Valid]]=TRUE,_xlfn.NORM.S.DIST(Table1[[#This Row],[Birthweight Z-Score (BW+10%)]],TRUE)*100,"")</f>
        <v/>
      </c>
    </row>
    <row r="3828" spans="1:12" x14ac:dyDescent="0.35">
      <c r="A3828" s="3"/>
      <c r="B3828" s="2"/>
      <c r="C3828" s="2"/>
      <c r="D3828" s="2" t="b">
        <f>IF(AND(NOT(ISBLANK(Table1[[#This Row],[Fetal Sex (Male, Female or Unknown)]])),ISNUMBER(Table1[[#This Row],[Birthweight (grams)]]),ISNUMBER(Table1[[#This Row],[Gestation (days)]])),TRUE,FALSE)</f>
        <v>0</v>
      </c>
      <c r="E3828" s="2" t="str">
        <f>IF(Table1[[#This Row],[Is Data Valid]]=TRUE,IF(Table1[[#This Row],[Fetal Sex (Male, Female or Unknown)]]="Male",Backend!$C$6,IF(Table1[[#This Row],[Fetal Sex (Male, Female or Unknown)]]="Female",Backend!$C$7,IF(Table1[[#This Row],[Fetal Sex (Male, Female or Unknown)]]="Unknown",Backend!$C$8,"Error"))),"")</f>
        <v/>
      </c>
      <c r="F3828" s="8" t="str">
        <f>IF(Table1[[#This Row],[Is Data Valid]]=TRUE,EXP(0.578+0.332*((Table1[[#This Row],[Gestation (days)]]+0.5)/7)-0.00354*((Table1[[#This Row],[Gestation (days)]]+0.5)/7)^2)*Table1[[#This Row],[BW40_3705]],"")</f>
        <v/>
      </c>
      <c r="G3828" s="2" t="str">
        <f>IF(Table1[[#This Row],[Is Data Valid]]=TRUE,((Table1[[#This Row],[Birthweight (grams)]]/Table1[[#This Row],[BW_GA]])-1)/(Backend!$B$4/100*Table1[[#This Row],[BW40_3705]]),"")</f>
        <v/>
      </c>
      <c r="H3828" s="7" t="str">
        <f>IF(Table1[[#This Row],[Is Data Valid]]=TRUE,((Table1[[#This Row],[Birthweight (grams)]]*0.9/Table1[[#This Row],[BW_GA]])-1)/(Backend!$B$4/100*Table1[[#This Row],[BW40_3705]]),"")</f>
        <v/>
      </c>
      <c r="I3828" s="7" t="str">
        <f>IF(Table1[[#This Row],[Is Data Valid]]=TRUE,((Table1[[#This Row],[Birthweight (grams)]]*1.1/Table1[[#This Row],[BW_GA]])-1)/(Backend!$B$4/100*Table1[[#This Row],[BW40_3705]]),"")</f>
        <v/>
      </c>
      <c r="J3828" s="7" t="str">
        <f>IF(Table1[[#This Row],[Is Data Valid]]=TRUE,_xlfn.NORM.S.DIST(Table1[[#This Row],[Birthweight Z-Score]],TRUE)*100,"")</f>
        <v/>
      </c>
      <c r="K3828" s="7" t="str">
        <f>IF(Table1[[#This Row],[Is Data Valid]]=TRUE,_xlfn.NORM.S.DIST(Table1[[#This Row],[Birthweight Z-Score (BW-10%)]],TRUE)*100,"")</f>
        <v/>
      </c>
      <c r="L3828" s="7" t="str">
        <f>IF(Table1[[#This Row],[Is Data Valid]]=TRUE,_xlfn.NORM.S.DIST(Table1[[#This Row],[Birthweight Z-Score (BW+10%)]],TRUE)*100,"")</f>
        <v/>
      </c>
    </row>
    <row r="3829" spans="1:12" x14ac:dyDescent="0.35">
      <c r="A3829" s="3"/>
      <c r="B3829" s="2"/>
      <c r="C3829" s="2"/>
      <c r="D3829" s="2" t="b">
        <f>IF(AND(NOT(ISBLANK(Table1[[#This Row],[Fetal Sex (Male, Female or Unknown)]])),ISNUMBER(Table1[[#This Row],[Birthweight (grams)]]),ISNUMBER(Table1[[#This Row],[Gestation (days)]])),TRUE,FALSE)</f>
        <v>0</v>
      </c>
      <c r="E3829" s="2" t="str">
        <f>IF(Table1[[#This Row],[Is Data Valid]]=TRUE,IF(Table1[[#This Row],[Fetal Sex (Male, Female or Unknown)]]="Male",Backend!$C$6,IF(Table1[[#This Row],[Fetal Sex (Male, Female or Unknown)]]="Female",Backend!$C$7,IF(Table1[[#This Row],[Fetal Sex (Male, Female or Unknown)]]="Unknown",Backend!$C$8,"Error"))),"")</f>
        <v/>
      </c>
      <c r="F3829" s="8" t="str">
        <f>IF(Table1[[#This Row],[Is Data Valid]]=TRUE,EXP(0.578+0.332*((Table1[[#This Row],[Gestation (days)]]+0.5)/7)-0.00354*((Table1[[#This Row],[Gestation (days)]]+0.5)/7)^2)*Table1[[#This Row],[BW40_3705]],"")</f>
        <v/>
      </c>
      <c r="G3829" s="2" t="str">
        <f>IF(Table1[[#This Row],[Is Data Valid]]=TRUE,((Table1[[#This Row],[Birthweight (grams)]]/Table1[[#This Row],[BW_GA]])-1)/(Backend!$B$4/100*Table1[[#This Row],[BW40_3705]]),"")</f>
        <v/>
      </c>
      <c r="H3829" s="7" t="str">
        <f>IF(Table1[[#This Row],[Is Data Valid]]=TRUE,((Table1[[#This Row],[Birthweight (grams)]]*0.9/Table1[[#This Row],[BW_GA]])-1)/(Backend!$B$4/100*Table1[[#This Row],[BW40_3705]]),"")</f>
        <v/>
      </c>
      <c r="I3829" s="7" t="str">
        <f>IF(Table1[[#This Row],[Is Data Valid]]=TRUE,((Table1[[#This Row],[Birthweight (grams)]]*1.1/Table1[[#This Row],[BW_GA]])-1)/(Backend!$B$4/100*Table1[[#This Row],[BW40_3705]]),"")</f>
        <v/>
      </c>
      <c r="J3829" s="7" t="str">
        <f>IF(Table1[[#This Row],[Is Data Valid]]=TRUE,_xlfn.NORM.S.DIST(Table1[[#This Row],[Birthweight Z-Score]],TRUE)*100,"")</f>
        <v/>
      </c>
      <c r="K3829" s="7" t="str">
        <f>IF(Table1[[#This Row],[Is Data Valid]]=TRUE,_xlfn.NORM.S.DIST(Table1[[#This Row],[Birthweight Z-Score (BW-10%)]],TRUE)*100,"")</f>
        <v/>
      </c>
      <c r="L3829" s="7" t="str">
        <f>IF(Table1[[#This Row],[Is Data Valid]]=TRUE,_xlfn.NORM.S.DIST(Table1[[#This Row],[Birthweight Z-Score (BW+10%)]],TRUE)*100,"")</f>
        <v/>
      </c>
    </row>
    <row r="3830" spans="1:12" x14ac:dyDescent="0.35">
      <c r="A3830" s="3"/>
      <c r="B3830" s="2"/>
      <c r="C3830" s="2"/>
      <c r="D3830" s="2" t="b">
        <f>IF(AND(NOT(ISBLANK(Table1[[#This Row],[Fetal Sex (Male, Female or Unknown)]])),ISNUMBER(Table1[[#This Row],[Birthweight (grams)]]),ISNUMBER(Table1[[#This Row],[Gestation (days)]])),TRUE,FALSE)</f>
        <v>0</v>
      </c>
      <c r="E3830" s="2" t="str">
        <f>IF(Table1[[#This Row],[Is Data Valid]]=TRUE,IF(Table1[[#This Row],[Fetal Sex (Male, Female or Unknown)]]="Male",Backend!$C$6,IF(Table1[[#This Row],[Fetal Sex (Male, Female or Unknown)]]="Female",Backend!$C$7,IF(Table1[[#This Row],[Fetal Sex (Male, Female or Unknown)]]="Unknown",Backend!$C$8,"Error"))),"")</f>
        <v/>
      </c>
      <c r="F3830" s="8" t="str">
        <f>IF(Table1[[#This Row],[Is Data Valid]]=TRUE,EXP(0.578+0.332*((Table1[[#This Row],[Gestation (days)]]+0.5)/7)-0.00354*((Table1[[#This Row],[Gestation (days)]]+0.5)/7)^2)*Table1[[#This Row],[BW40_3705]],"")</f>
        <v/>
      </c>
      <c r="G3830" s="2" t="str">
        <f>IF(Table1[[#This Row],[Is Data Valid]]=TRUE,((Table1[[#This Row],[Birthweight (grams)]]/Table1[[#This Row],[BW_GA]])-1)/(Backend!$B$4/100*Table1[[#This Row],[BW40_3705]]),"")</f>
        <v/>
      </c>
      <c r="H3830" s="7" t="str">
        <f>IF(Table1[[#This Row],[Is Data Valid]]=TRUE,((Table1[[#This Row],[Birthweight (grams)]]*0.9/Table1[[#This Row],[BW_GA]])-1)/(Backend!$B$4/100*Table1[[#This Row],[BW40_3705]]),"")</f>
        <v/>
      </c>
      <c r="I3830" s="7" t="str">
        <f>IF(Table1[[#This Row],[Is Data Valid]]=TRUE,((Table1[[#This Row],[Birthweight (grams)]]*1.1/Table1[[#This Row],[BW_GA]])-1)/(Backend!$B$4/100*Table1[[#This Row],[BW40_3705]]),"")</f>
        <v/>
      </c>
      <c r="J3830" s="7" t="str">
        <f>IF(Table1[[#This Row],[Is Data Valid]]=TRUE,_xlfn.NORM.S.DIST(Table1[[#This Row],[Birthweight Z-Score]],TRUE)*100,"")</f>
        <v/>
      </c>
      <c r="K3830" s="7" t="str">
        <f>IF(Table1[[#This Row],[Is Data Valid]]=TRUE,_xlfn.NORM.S.DIST(Table1[[#This Row],[Birthweight Z-Score (BW-10%)]],TRUE)*100,"")</f>
        <v/>
      </c>
      <c r="L3830" s="7" t="str">
        <f>IF(Table1[[#This Row],[Is Data Valid]]=TRUE,_xlfn.NORM.S.DIST(Table1[[#This Row],[Birthweight Z-Score (BW+10%)]],TRUE)*100,"")</f>
        <v/>
      </c>
    </row>
    <row r="3831" spans="1:12" x14ac:dyDescent="0.35">
      <c r="A3831" s="3"/>
      <c r="B3831" s="2"/>
      <c r="C3831" s="2"/>
      <c r="D3831" s="2" t="b">
        <f>IF(AND(NOT(ISBLANK(Table1[[#This Row],[Fetal Sex (Male, Female or Unknown)]])),ISNUMBER(Table1[[#This Row],[Birthweight (grams)]]),ISNUMBER(Table1[[#This Row],[Gestation (days)]])),TRUE,FALSE)</f>
        <v>0</v>
      </c>
      <c r="E3831" s="2" t="str">
        <f>IF(Table1[[#This Row],[Is Data Valid]]=TRUE,IF(Table1[[#This Row],[Fetal Sex (Male, Female or Unknown)]]="Male",Backend!$C$6,IF(Table1[[#This Row],[Fetal Sex (Male, Female or Unknown)]]="Female",Backend!$C$7,IF(Table1[[#This Row],[Fetal Sex (Male, Female or Unknown)]]="Unknown",Backend!$C$8,"Error"))),"")</f>
        <v/>
      </c>
      <c r="F3831" s="8" t="str">
        <f>IF(Table1[[#This Row],[Is Data Valid]]=TRUE,EXP(0.578+0.332*((Table1[[#This Row],[Gestation (days)]]+0.5)/7)-0.00354*((Table1[[#This Row],[Gestation (days)]]+0.5)/7)^2)*Table1[[#This Row],[BW40_3705]],"")</f>
        <v/>
      </c>
      <c r="G3831" s="2" t="str">
        <f>IF(Table1[[#This Row],[Is Data Valid]]=TRUE,((Table1[[#This Row],[Birthweight (grams)]]/Table1[[#This Row],[BW_GA]])-1)/(Backend!$B$4/100*Table1[[#This Row],[BW40_3705]]),"")</f>
        <v/>
      </c>
      <c r="H3831" s="7" t="str">
        <f>IF(Table1[[#This Row],[Is Data Valid]]=TRUE,((Table1[[#This Row],[Birthweight (grams)]]*0.9/Table1[[#This Row],[BW_GA]])-1)/(Backend!$B$4/100*Table1[[#This Row],[BW40_3705]]),"")</f>
        <v/>
      </c>
      <c r="I3831" s="7" t="str">
        <f>IF(Table1[[#This Row],[Is Data Valid]]=TRUE,((Table1[[#This Row],[Birthweight (grams)]]*1.1/Table1[[#This Row],[BW_GA]])-1)/(Backend!$B$4/100*Table1[[#This Row],[BW40_3705]]),"")</f>
        <v/>
      </c>
      <c r="J3831" s="7" t="str">
        <f>IF(Table1[[#This Row],[Is Data Valid]]=TRUE,_xlfn.NORM.S.DIST(Table1[[#This Row],[Birthweight Z-Score]],TRUE)*100,"")</f>
        <v/>
      </c>
      <c r="K3831" s="7" t="str">
        <f>IF(Table1[[#This Row],[Is Data Valid]]=TRUE,_xlfn.NORM.S.DIST(Table1[[#This Row],[Birthweight Z-Score (BW-10%)]],TRUE)*100,"")</f>
        <v/>
      </c>
      <c r="L3831" s="7" t="str">
        <f>IF(Table1[[#This Row],[Is Data Valid]]=TRUE,_xlfn.NORM.S.DIST(Table1[[#This Row],[Birthweight Z-Score (BW+10%)]],TRUE)*100,"")</f>
        <v/>
      </c>
    </row>
    <row r="3832" spans="1:12" x14ac:dyDescent="0.35">
      <c r="A3832" s="3"/>
      <c r="B3832" s="2"/>
      <c r="C3832" s="2"/>
      <c r="D3832" s="2" t="b">
        <f>IF(AND(NOT(ISBLANK(Table1[[#This Row],[Fetal Sex (Male, Female or Unknown)]])),ISNUMBER(Table1[[#This Row],[Birthweight (grams)]]),ISNUMBER(Table1[[#This Row],[Gestation (days)]])),TRUE,FALSE)</f>
        <v>0</v>
      </c>
      <c r="E3832" s="2" t="str">
        <f>IF(Table1[[#This Row],[Is Data Valid]]=TRUE,IF(Table1[[#This Row],[Fetal Sex (Male, Female or Unknown)]]="Male",Backend!$C$6,IF(Table1[[#This Row],[Fetal Sex (Male, Female or Unknown)]]="Female",Backend!$C$7,IF(Table1[[#This Row],[Fetal Sex (Male, Female or Unknown)]]="Unknown",Backend!$C$8,"Error"))),"")</f>
        <v/>
      </c>
      <c r="F3832" s="8" t="str">
        <f>IF(Table1[[#This Row],[Is Data Valid]]=TRUE,EXP(0.578+0.332*((Table1[[#This Row],[Gestation (days)]]+0.5)/7)-0.00354*((Table1[[#This Row],[Gestation (days)]]+0.5)/7)^2)*Table1[[#This Row],[BW40_3705]],"")</f>
        <v/>
      </c>
      <c r="G3832" s="2" t="str">
        <f>IF(Table1[[#This Row],[Is Data Valid]]=TRUE,((Table1[[#This Row],[Birthweight (grams)]]/Table1[[#This Row],[BW_GA]])-1)/(Backend!$B$4/100*Table1[[#This Row],[BW40_3705]]),"")</f>
        <v/>
      </c>
      <c r="H3832" s="7" t="str">
        <f>IF(Table1[[#This Row],[Is Data Valid]]=TRUE,((Table1[[#This Row],[Birthweight (grams)]]*0.9/Table1[[#This Row],[BW_GA]])-1)/(Backend!$B$4/100*Table1[[#This Row],[BW40_3705]]),"")</f>
        <v/>
      </c>
      <c r="I3832" s="7" t="str">
        <f>IF(Table1[[#This Row],[Is Data Valid]]=TRUE,((Table1[[#This Row],[Birthweight (grams)]]*1.1/Table1[[#This Row],[BW_GA]])-1)/(Backend!$B$4/100*Table1[[#This Row],[BW40_3705]]),"")</f>
        <v/>
      </c>
      <c r="J3832" s="7" t="str">
        <f>IF(Table1[[#This Row],[Is Data Valid]]=TRUE,_xlfn.NORM.S.DIST(Table1[[#This Row],[Birthweight Z-Score]],TRUE)*100,"")</f>
        <v/>
      </c>
      <c r="K3832" s="7" t="str">
        <f>IF(Table1[[#This Row],[Is Data Valid]]=TRUE,_xlfn.NORM.S.DIST(Table1[[#This Row],[Birthweight Z-Score (BW-10%)]],TRUE)*100,"")</f>
        <v/>
      </c>
      <c r="L3832" s="7" t="str">
        <f>IF(Table1[[#This Row],[Is Data Valid]]=TRUE,_xlfn.NORM.S.DIST(Table1[[#This Row],[Birthweight Z-Score (BW+10%)]],TRUE)*100,"")</f>
        <v/>
      </c>
    </row>
    <row r="3833" spans="1:12" x14ac:dyDescent="0.35">
      <c r="A3833" s="3"/>
      <c r="B3833" s="2"/>
      <c r="C3833" s="2"/>
      <c r="D3833" s="2" t="b">
        <f>IF(AND(NOT(ISBLANK(Table1[[#This Row],[Fetal Sex (Male, Female or Unknown)]])),ISNUMBER(Table1[[#This Row],[Birthweight (grams)]]),ISNUMBER(Table1[[#This Row],[Gestation (days)]])),TRUE,FALSE)</f>
        <v>0</v>
      </c>
      <c r="E3833" s="2" t="str">
        <f>IF(Table1[[#This Row],[Is Data Valid]]=TRUE,IF(Table1[[#This Row],[Fetal Sex (Male, Female or Unknown)]]="Male",Backend!$C$6,IF(Table1[[#This Row],[Fetal Sex (Male, Female or Unknown)]]="Female",Backend!$C$7,IF(Table1[[#This Row],[Fetal Sex (Male, Female or Unknown)]]="Unknown",Backend!$C$8,"Error"))),"")</f>
        <v/>
      </c>
      <c r="F3833" s="8" t="str">
        <f>IF(Table1[[#This Row],[Is Data Valid]]=TRUE,EXP(0.578+0.332*((Table1[[#This Row],[Gestation (days)]]+0.5)/7)-0.00354*((Table1[[#This Row],[Gestation (days)]]+0.5)/7)^2)*Table1[[#This Row],[BW40_3705]],"")</f>
        <v/>
      </c>
      <c r="G3833" s="2" t="str">
        <f>IF(Table1[[#This Row],[Is Data Valid]]=TRUE,((Table1[[#This Row],[Birthweight (grams)]]/Table1[[#This Row],[BW_GA]])-1)/(Backend!$B$4/100*Table1[[#This Row],[BW40_3705]]),"")</f>
        <v/>
      </c>
      <c r="H3833" s="7" t="str">
        <f>IF(Table1[[#This Row],[Is Data Valid]]=TRUE,((Table1[[#This Row],[Birthweight (grams)]]*0.9/Table1[[#This Row],[BW_GA]])-1)/(Backend!$B$4/100*Table1[[#This Row],[BW40_3705]]),"")</f>
        <v/>
      </c>
      <c r="I3833" s="7" t="str">
        <f>IF(Table1[[#This Row],[Is Data Valid]]=TRUE,((Table1[[#This Row],[Birthweight (grams)]]*1.1/Table1[[#This Row],[BW_GA]])-1)/(Backend!$B$4/100*Table1[[#This Row],[BW40_3705]]),"")</f>
        <v/>
      </c>
      <c r="J3833" s="7" t="str">
        <f>IF(Table1[[#This Row],[Is Data Valid]]=TRUE,_xlfn.NORM.S.DIST(Table1[[#This Row],[Birthweight Z-Score]],TRUE)*100,"")</f>
        <v/>
      </c>
      <c r="K3833" s="7" t="str">
        <f>IF(Table1[[#This Row],[Is Data Valid]]=TRUE,_xlfn.NORM.S.DIST(Table1[[#This Row],[Birthweight Z-Score (BW-10%)]],TRUE)*100,"")</f>
        <v/>
      </c>
      <c r="L3833" s="7" t="str">
        <f>IF(Table1[[#This Row],[Is Data Valid]]=TRUE,_xlfn.NORM.S.DIST(Table1[[#This Row],[Birthweight Z-Score (BW+10%)]],TRUE)*100,"")</f>
        <v/>
      </c>
    </row>
    <row r="3834" spans="1:12" x14ac:dyDescent="0.35">
      <c r="A3834" s="3"/>
      <c r="B3834" s="2"/>
      <c r="C3834" s="2"/>
      <c r="D3834" s="2" t="b">
        <f>IF(AND(NOT(ISBLANK(Table1[[#This Row],[Fetal Sex (Male, Female or Unknown)]])),ISNUMBER(Table1[[#This Row],[Birthweight (grams)]]),ISNUMBER(Table1[[#This Row],[Gestation (days)]])),TRUE,FALSE)</f>
        <v>0</v>
      </c>
      <c r="E3834" s="2" t="str">
        <f>IF(Table1[[#This Row],[Is Data Valid]]=TRUE,IF(Table1[[#This Row],[Fetal Sex (Male, Female or Unknown)]]="Male",Backend!$C$6,IF(Table1[[#This Row],[Fetal Sex (Male, Female or Unknown)]]="Female",Backend!$C$7,IF(Table1[[#This Row],[Fetal Sex (Male, Female or Unknown)]]="Unknown",Backend!$C$8,"Error"))),"")</f>
        <v/>
      </c>
      <c r="F3834" s="8" t="str">
        <f>IF(Table1[[#This Row],[Is Data Valid]]=TRUE,EXP(0.578+0.332*((Table1[[#This Row],[Gestation (days)]]+0.5)/7)-0.00354*((Table1[[#This Row],[Gestation (days)]]+0.5)/7)^2)*Table1[[#This Row],[BW40_3705]],"")</f>
        <v/>
      </c>
      <c r="G3834" s="2" t="str">
        <f>IF(Table1[[#This Row],[Is Data Valid]]=TRUE,((Table1[[#This Row],[Birthweight (grams)]]/Table1[[#This Row],[BW_GA]])-1)/(Backend!$B$4/100*Table1[[#This Row],[BW40_3705]]),"")</f>
        <v/>
      </c>
      <c r="H3834" s="7" t="str">
        <f>IF(Table1[[#This Row],[Is Data Valid]]=TRUE,((Table1[[#This Row],[Birthweight (grams)]]*0.9/Table1[[#This Row],[BW_GA]])-1)/(Backend!$B$4/100*Table1[[#This Row],[BW40_3705]]),"")</f>
        <v/>
      </c>
      <c r="I3834" s="7" t="str">
        <f>IF(Table1[[#This Row],[Is Data Valid]]=TRUE,((Table1[[#This Row],[Birthweight (grams)]]*1.1/Table1[[#This Row],[BW_GA]])-1)/(Backend!$B$4/100*Table1[[#This Row],[BW40_3705]]),"")</f>
        <v/>
      </c>
      <c r="J3834" s="7" t="str">
        <f>IF(Table1[[#This Row],[Is Data Valid]]=TRUE,_xlfn.NORM.S.DIST(Table1[[#This Row],[Birthweight Z-Score]],TRUE)*100,"")</f>
        <v/>
      </c>
      <c r="K3834" s="7" t="str">
        <f>IF(Table1[[#This Row],[Is Data Valid]]=TRUE,_xlfn.NORM.S.DIST(Table1[[#This Row],[Birthweight Z-Score (BW-10%)]],TRUE)*100,"")</f>
        <v/>
      </c>
      <c r="L3834" s="7" t="str">
        <f>IF(Table1[[#This Row],[Is Data Valid]]=TRUE,_xlfn.NORM.S.DIST(Table1[[#This Row],[Birthweight Z-Score (BW+10%)]],TRUE)*100,"")</f>
        <v/>
      </c>
    </row>
    <row r="3835" spans="1:12" x14ac:dyDescent="0.35">
      <c r="A3835" s="3"/>
      <c r="B3835" s="2"/>
      <c r="C3835" s="2"/>
      <c r="D3835" s="2" t="b">
        <f>IF(AND(NOT(ISBLANK(Table1[[#This Row],[Fetal Sex (Male, Female or Unknown)]])),ISNUMBER(Table1[[#This Row],[Birthweight (grams)]]),ISNUMBER(Table1[[#This Row],[Gestation (days)]])),TRUE,FALSE)</f>
        <v>0</v>
      </c>
      <c r="E3835" s="2" t="str">
        <f>IF(Table1[[#This Row],[Is Data Valid]]=TRUE,IF(Table1[[#This Row],[Fetal Sex (Male, Female or Unknown)]]="Male",Backend!$C$6,IF(Table1[[#This Row],[Fetal Sex (Male, Female or Unknown)]]="Female",Backend!$C$7,IF(Table1[[#This Row],[Fetal Sex (Male, Female or Unknown)]]="Unknown",Backend!$C$8,"Error"))),"")</f>
        <v/>
      </c>
      <c r="F3835" s="8" t="str">
        <f>IF(Table1[[#This Row],[Is Data Valid]]=TRUE,EXP(0.578+0.332*((Table1[[#This Row],[Gestation (days)]]+0.5)/7)-0.00354*((Table1[[#This Row],[Gestation (days)]]+0.5)/7)^2)*Table1[[#This Row],[BW40_3705]],"")</f>
        <v/>
      </c>
      <c r="G3835" s="2" t="str">
        <f>IF(Table1[[#This Row],[Is Data Valid]]=TRUE,((Table1[[#This Row],[Birthweight (grams)]]/Table1[[#This Row],[BW_GA]])-1)/(Backend!$B$4/100*Table1[[#This Row],[BW40_3705]]),"")</f>
        <v/>
      </c>
      <c r="H3835" s="7" t="str">
        <f>IF(Table1[[#This Row],[Is Data Valid]]=TRUE,((Table1[[#This Row],[Birthweight (grams)]]*0.9/Table1[[#This Row],[BW_GA]])-1)/(Backend!$B$4/100*Table1[[#This Row],[BW40_3705]]),"")</f>
        <v/>
      </c>
      <c r="I3835" s="7" t="str">
        <f>IF(Table1[[#This Row],[Is Data Valid]]=TRUE,((Table1[[#This Row],[Birthweight (grams)]]*1.1/Table1[[#This Row],[BW_GA]])-1)/(Backend!$B$4/100*Table1[[#This Row],[BW40_3705]]),"")</f>
        <v/>
      </c>
      <c r="J3835" s="7" t="str">
        <f>IF(Table1[[#This Row],[Is Data Valid]]=TRUE,_xlfn.NORM.S.DIST(Table1[[#This Row],[Birthweight Z-Score]],TRUE)*100,"")</f>
        <v/>
      </c>
      <c r="K3835" s="7" t="str">
        <f>IF(Table1[[#This Row],[Is Data Valid]]=TRUE,_xlfn.NORM.S.DIST(Table1[[#This Row],[Birthweight Z-Score (BW-10%)]],TRUE)*100,"")</f>
        <v/>
      </c>
      <c r="L3835" s="7" t="str">
        <f>IF(Table1[[#This Row],[Is Data Valid]]=TRUE,_xlfn.NORM.S.DIST(Table1[[#This Row],[Birthweight Z-Score (BW+10%)]],TRUE)*100,"")</f>
        <v/>
      </c>
    </row>
    <row r="3836" spans="1:12" x14ac:dyDescent="0.35">
      <c r="A3836" s="3"/>
      <c r="B3836" s="2"/>
      <c r="C3836" s="2"/>
      <c r="D3836" s="2" t="b">
        <f>IF(AND(NOT(ISBLANK(Table1[[#This Row],[Fetal Sex (Male, Female or Unknown)]])),ISNUMBER(Table1[[#This Row],[Birthweight (grams)]]),ISNUMBER(Table1[[#This Row],[Gestation (days)]])),TRUE,FALSE)</f>
        <v>0</v>
      </c>
      <c r="E3836" s="2" t="str">
        <f>IF(Table1[[#This Row],[Is Data Valid]]=TRUE,IF(Table1[[#This Row],[Fetal Sex (Male, Female or Unknown)]]="Male",Backend!$C$6,IF(Table1[[#This Row],[Fetal Sex (Male, Female or Unknown)]]="Female",Backend!$C$7,IF(Table1[[#This Row],[Fetal Sex (Male, Female or Unknown)]]="Unknown",Backend!$C$8,"Error"))),"")</f>
        <v/>
      </c>
      <c r="F3836" s="8" t="str">
        <f>IF(Table1[[#This Row],[Is Data Valid]]=TRUE,EXP(0.578+0.332*((Table1[[#This Row],[Gestation (days)]]+0.5)/7)-0.00354*((Table1[[#This Row],[Gestation (days)]]+0.5)/7)^2)*Table1[[#This Row],[BW40_3705]],"")</f>
        <v/>
      </c>
      <c r="G3836" s="2" t="str">
        <f>IF(Table1[[#This Row],[Is Data Valid]]=TRUE,((Table1[[#This Row],[Birthweight (grams)]]/Table1[[#This Row],[BW_GA]])-1)/(Backend!$B$4/100*Table1[[#This Row],[BW40_3705]]),"")</f>
        <v/>
      </c>
      <c r="H3836" s="7" t="str">
        <f>IF(Table1[[#This Row],[Is Data Valid]]=TRUE,((Table1[[#This Row],[Birthweight (grams)]]*0.9/Table1[[#This Row],[BW_GA]])-1)/(Backend!$B$4/100*Table1[[#This Row],[BW40_3705]]),"")</f>
        <v/>
      </c>
      <c r="I3836" s="7" t="str">
        <f>IF(Table1[[#This Row],[Is Data Valid]]=TRUE,((Table1[[#This Row],[Birthweight (grams)]]*1.1/Table1[[#This Row],[BW_GA]])-1)/(Backend!$B$4/100*Table1[[#This Row],[BW40_3705]]),"")</f>
        <v/>
      </c>
      <c r="J3836" s="7" t="str">
        <f>IF(Table1[[#This Row],[Is Data Valid]]=TRUE,_xlfn.NORM.S.DIST(Table1[[#This Row],[Birthweight Z-Score]],TRUE)*100,"")</f>
        <v/>
      </c>
      <c r="K3836" s="7" t="str">
        <f>IF(Table1[[#This Row],[Is Data Valid]]=TRUE,_xlfn.NORM.S.DIST(Table1[[#This Row],[Birthweight Z-Score (BW-10%)]],TRUE)*100,"")</f>
        <v/>
      </c>
      <c r="L3836" s="7" t="str">
        <f>IF(Table1[[#This Row],[Is Data Valid]]=TRUE,_xlfn.NORM.S.DIST(Table1[[#This Row],[Birthweight Z-Score (BW+10%)]],TRUE)*100,"")</f>
        <v/>
      </c>
    </row>
    <row r="3837" spans="1:12" x14ac:dyDescent="0.35">
      <c r="A3837" s="3"/>
      <c r="B3837" s="2"/>
      <c r="C3837" s="2"/>
      <c r="D3837" s="2" t="b">
        <f>IF(AND(NOT(ISBLANK(Table1[[#This Row],[Fetal Sex (Male, Female or Unknown)]])),ISNUMBER(Table1[[#This Row],[Birthweight (grams)]]),ISNUMBER(Table1[[#This Row],[Gestation (days)]])),TRUE,FALSE)</f>
        <v>0</v>
      </c>
      <c r="E3837" s="2" t="str">
        <f>IF(Table1[[#This Row],[Is Data Valid]]=TRUE,IF(Table1[[#This Row],[Fetal Sex (Male, Female or Unknown)]]="Male",Backend!$C$6,IF(Table1[[#This Row],[Fetal Sex (Male, Female or Unknown)]]="Female",Backend!$C$7,IF(Table1[[#This Row],[Fetal Sex (Male, Female or Unknown)]]="Unknown",Backend!$C$8,"Error"))),"")</f>
        <v/>
      </c>
      <c r="F3837" s="8" t="str">
        <f>IF(Table1[[#This Row],[Is Data Valid]]=TRUE,EXP(0.578+0.332*((Table1[[#This Row],[Gestation (days)]]+0.5)/7)-0.00354*((Table1[[#This Row],[Gestation (days)]]+0.5)/7)^2)*Table1[[#This Row],[BW40_3705]],"")</f>
        <v/>
      </c>
      <c r="G3837" s="2" t="str">
        <f>IF(Table1[[#This Row],[Is Data Valid]]=TRUE,((Table1[[#This Row],[Birthweight (grams)]]/Table1[[#This Row],[BW_GA]])-1)/(Backend!$B$4/100*Table1[[#This Row],[BW40_3705]]),"")</f>
        <v/>
      </c>
      <c r="H3837" s="7" t="str">
        <f>IF(Table1[[#This Row],[Is Data Valid]]=TRUE,((Table1[[#This Row],[Birthweight (grams)]]*0.9/Table1[[#This Row],[BW_GA]])-1)/(Backend!$B$4/100*Table1[[#This Row],[BW40_3705]]),"")</f>
        <v/>
      </c>
      <c r="I3837" s="7" t="str">
        <f>IF(Table1[[#This Row],[Is Data Valid]]=TRUE,((Table1[[#This Row],[Birthweight (grams)]]*1.1/Table1[[#This Row],[BW_GA]])-1)/(Backend!$B$4/100*Table1[[#This Row],[BW40_3705]]),"")</f>
        <v/>
      </c>
      <c r="J3837" s="7" t="str">
        <f>IF(Table1[[#This Row],[Is Data Valid]]=TRUE,_xlfn.NORM.S.DIST(Table1[[#This Row],[Birthweight Z-Score]],TRUE)*100,"")</f>
        <v/>
      </c>
      <c r="K3837" s="7" t="str">
        <f>IF(Table1[[#This Row],[Is Data Valid]]=TRUE,_xlfn.NORM.S.DIST(Table1[[#This Row],[Birthweight Z-Score (BW-10%)]],TRUE)*100,"")</f>
        <v/>
      </c>
      <c r="L3837" s="7" t="str">
        <f>IF(Table1[[#This Row],[Is Data Valid]]=TRUE,_xlfn.NORM.S.DIST(Table1[[#This Row],[Birthweight Z-Score (BW+10%)]],TRUE)*100,"")</f>
        <v/>
      </c>
    </row>
    <row r="3838" spans="1:12" x14ac:dyDescent="0.35">
      <c r="A3838" s="3"/>
      <c r="B3838" s="2"/>
      <c r="C3838" s="2"/>
      <c r="D3838" s="2" t="b">
        <f>IF(AND(NOT(ISBLANK(Table1[[#This Row],[Fetal Sex (Male, Female or Unknown)]])),ISNUMBER(Table1[[#This Row],[Birthweight (grams)]]),ISNUMBER(Table1[[#This Row],[Gestation (days)]])),TRUE,FALSE)</f>
        <v>0</v>
      </c>
      <c r="E3838" s="2" t="str">
        <f>IF(Table1[[#This Row],[Is Data Valid]]=TRUE,IF(Table1[[#This Row],[Fetal Sex (Male, Female or Unknown)]]="Male",Backend!$C$6,IF(Table1[[#This Row],[Fetal Sex (Male, Female or Unknown)]]="Female",Backend!$C$7,IF(Table1[[#This Row],[Fetal Sex (Male, Female or Unknown)]]="Unknown",Backend!$C$8,"Error"))),"")</f>
        <v/>
      </c>
      <c r="F3838" s="8" t="str">
        <f>IF(Table1[[#This Row],[Is Data Valid]]=TRUE,EXP(0.578+0.332*((Table1[[#This Row],[Gestation (days)]]+0.5)/7)-0.00354*((Table1[[#This Row],[Gestation (days)]]+0.5)/7)^2)*Table1[[#This Row],[BW40_3705]],"")</f>
        <v/>
      </c>
      <c r="G3838" s="2" t="str">
        <f>IF(Table1[[#This Row],[Is Data Valid]]=TRUE,((Table1[[#This Row],[Birthweight (grams)]]/Table1[[#This Row],[BW_GA]])-1)/(Backend!$B$4/100*Table1[[#This Row],[BW40_3705]]),"")</f>
        <v/>
      </c>
      <c r="H3838" s="7" t="str">
        <f>IF(Table1[[#This Row],[Is Data Valid]]=TRUE,((Table1[[#This Row],[Birthweight (grams)]]*0.9/Table1[[#This Row],[BW_GA]])-1)/(Backend!$B$4/100*Table1[[#This Row],[BW40_3705]]),"")</f>
        <v/>
      </c>
      <c r="I3838" s="7" t="str">
        <f>IF(Table1[[#This Row],[Is Data Valid]]=TRUE,((Table1[[#This Row],[Birthweight (grams)]]*1.1/Table1[[#This Row],[BW_GA]])-1)/(Backend!$B$4/100*Table1[[#This Row],[BW40_3705]]),"")</f>
        <v/>
      </c>
      <c r="J3838" s="7" t="str">
        <f>IF(Table1[[#This Row],[Is Data Valid]]=TRUE,_xlfn.NORM.S.DIST(Table1[[#This Row],[Birthweight Z-Score]],TRUE)*100,"")</f>
        <v/>
      </c>
      <c r="K3838" s="7" t="str">
        <f>IF(Table1[[#This Row],[Is Data Valid]]=TRUE,_xlfn.NORM.S.DIST(Table1[[#This Row],[Birthweight Z-Score (BW-10%)]],TRUE)*100,"")</f>
        <v/>
      </c>
      <c r="L3838" s="7" t="str">
        <f>IF(Table1[[#This Row],[Is Data Valid]]=TRUE,_xlfn.NORM.S.DIST(Table1[[#This Row],[Birthweight Z-Score (BW+10%)]],TRUE)*100,"")</f>
        <v/>
      </c>
    </row>
    <row r="3839" spans="1:12" x14ac:dyDescent="0.35">
      <c r="A3839" s="3"/>
      <c r="B3839" s="2"/>
      <c r="C3839" s="2"/>
      <c r="D3839" s="2" t="b">
        <f>IF(AND(NOT(ISBLANK(Table1[[#This Row],[Fetal Sex (Male, Female or Unknown)]])),ISNUMBER(Table1[[#This Row],[Birthweight (grams)]]),ISNUMBER(Table1[[#This Row],[Gestation (days)]])),TRUE,FALSE)</f>
        <v>0</v>
      </c>
      <c r="E3839" s="2" t="str">
        <f>IF(Table1[[#This Row],[Is Data Valid]]=TRUE,IF(Table1[[#This Row],[Fetal Sex (Male, Female or Unknown)]]="Male",Backend!$C$6,IF(Table1[[#This Row],[Fetal Sex (Male, Female or Unknown)]]="Female",Backend!$C$7,IF(Table1[[#This Row],[Fetal Sex (Male, Female or Unknown)]]="Unknown",Backend!$C$8,"Error"))),"")</f>
        <v/>
      </c>
      <c r="F3839" s="8" t="str">
        <f>IF(Table1[[#This Row],[Is Data Valid]]=TRUE,EXP(0.578+0.332*((Table1[[#This Row],[Gestation (days)]]+0.5)/7)-0.00354*((Table1[[#This Row],[Gestation (days)]]+0.5)/7)^2)*Table1[[#This Row],[BW40_3705]],"")</f>
        <v/>
      </c>
      <c r="G3839" s="2" t="str">
        <f>IF(Table1[[#This Row],[Is Data Valid]]=TRUE,((Table1[[#This Row],[Birthweight (grams)]]/Table1[[#This Row],[BW_GA]])-1)/(Backend!$B$4/100*Table1[[#This Row],[BW40_3705]]),"")</f>
        <v/>
      </c>
      <c r="H3839" s="7" t="str">
        <f>IF(Table1[[#This Row],[Is Data Valid]]=TRUE,((Table1[[#This Row],[Birthweight (grams)]]*0.9/Table1[[#This Row],[BW_GA]])-1)/(Backend!$B$4/100*Table1[[#This Row],[BW40_3705]]),"")</f>
        <v/>
      </c>
      <c r="I3839" s="7" t="str">
        <f>IF(Table1[[#This Row],[Is Data Valid]]=TRUE,((Table1[[#This Row],[Birthweight (grams)]]*1.1/Table1[[#This Row],[BW_GA]])-1)/(Backend!$B$4/100*Table1[[#This Row],[BW40_3705]]),"")</f>
        <v/>
      </c>
      <c r="J3839" s="7" t="str">
        <f>IF(Table1[[#This Row],[Is Data Valid]]=TRUE,_xlfn.NORM.S.DIST(Table1[[#This Row],[Birthweight Z-Score]],TRUE)*100,"")</f>
        <v/>
      </c>
      <c r="K3839" s="7" t="str">
        <f>IF(Table1[[#This Row],[Is Data Valid]]=TRUE,_xlfn.NORM.S.DIST(Table1[[#This Row],[Birthweight Z-Score (BW-10%)]],TRUE)*100,"")</f>
        <v/>
      </c>
      <c r="L3839" s="7" t="str">
        <f>IF(Table1[[#This Row],[Is Data Valid]]=TRUE,_xlfn.NORM.S.DIST(Table1[[#This Row],[Birthweight Z-Score (BW+10%)]],TRUE)*100,"")</f>
        <v/>
      </c>
    </row>
    <row r="3840" spans="1:12" x14ac:dyDescent="0.35">
      <c r="A3840" s="3"/>
      <c r="B3840" s="2"/>
      <c r="C3840" s="2"/>
      <c r="D3840" s="2" t="b">
        <f>IF(AND(NOT(ISBLANK(Table1[[#This Row],[Fetal Sex (Male, Female or Unknown)]])),ISNUMBER(Table1[[#This Row],[Birthweight (grams)]]),ISNUMBER(Table1[[#This Row],[Gestation (days)]])),TRUE,FALSE)</f>
        <v>0</v>
      </c>
      <c r="E3840" s="2" t="str">
        <f>IF(Table1[[#This Row],[Is Data Valid]]=TRUE,IF(Table1[[#This Row],[Fetal Sex (Male, Female or Unknown)]]="Male",Backend!$C$6,IF(Table1[[#This Row],[Fetal Sex (Male, Female or Unknown)]]="Female",Backend!$C$7,IF(Table1[[#This Row],[Fetal Sex (Male, Female or Unknown)]]="Unknown",Backend!$C$8,"Error"))),"")</f>
        <v/>
      </c>
      <c r="F3840" s="8" t="str">
        <f>IF(Table1[[#This Row],[Is Data Valid]]=TRUE,EXP(0.578+0.332*((Table1[[#This Row],[Gestation (days)]]+0.5)/7)-0.00354*((Table1[[#This Row],[Gestation (days)]]+0.5)/7)^2)*Table1[[#This Row],[BW40_3705]],"")</f>
        <v/>
      </c>
      <c r="G3840" s="2" t="str">
        <f>IF(Table1[[#This Row],[Is Data Valid]]=TRUE,((Table1[[#This Row],[Birthweight (grams)]]/Table1[[#This Row],[BW_GA]])-1)/(Backend!$B$4/100*Table1[[#This Row],[BW40_3705]]),"")</f>
        <v/>
      </c>
      <c r="H3840" s="7" t="str">
        <f>IF(Table1[[#This Row],[Is Data Valid]]=TRUE,((Table1[[#This Row],[Birthweight (grams)]]*0.9/Table1[[#This Row],[BW_GA]])-1)/(Backend!$B$4/100*Table1[[#This Row],[BW40_3705]]),"")</f>
        <v/>
      </c>
      <c r="I3840" s="7" t="str">
        <f>IF(Table1[[#This Row],[Is Data Valid]]=TRUE,((Table1[[#This Row],[Birthweight (grams)]]*1.1/Table1[[#This Row],[BW_GA]])-1)/(Backend!$B$4/100*Table1[[#This Row],[BW40_3705]]),"")</f>
        <v/>
      </c>
      <c r="J3840" s="7" t="str">
        <f>IF(Table1[[#This Row],[Is Data Valid]]=TRUE,_xlfn.NORM.S.DIST(Table1[[#This Row],[Birthweight Z-Score]],TRUE)*100,"")</f>
        <v/>
      </c>
      <c r="K3840" s="7" t="str">
        <f>IF(Table1[[#This Row],[Is Data Valid]]=TRUE,_xlfn.NORM.S.DIST(Table1[[#This Row],[Birthweight Z-Score (BW-10%)]],TRUE)*100,"")</f>
        <v/>
      </c>
      <c r="L3840" s="7" t="str">
        <f>IF(Table1[[#This Row],[Is Data Valid]]=TRUE,_xlfn.NORM.S.DIST(Table1[[#This Row],[Birthweight Z-Score (BW+10%)]],TRUE)*100,"")</f>
        <v/>
      </c>
    </row>
    <row r="3841" spans="1:12" x14ac:dyDescent="0.35">
      <c r="A3841" s="3"/>
      <c r="B3841" s="2"/>
      <c r="C3841" s="2"/>
      <c r="D3841" s="2" t="b">
        <f>IF(AND(NOT(ISBLANK(Table1[[#This Row],[Fetal Sex (Male, Female or Unknown)]])),ISNUMBER(Table1[[#This Row],[Birthweight (grams)]]),ISNUMBER(Table1[[#This Row],[Gestation (days)]])),TRUE,FALSE)</f>
        <v>0</v>
      </c>
      <c r="E3841" s="2" t="str">
        <f>IF(Table1[[#This Row],[Is Data Valid]]=TRUE,IF(Table1[[#This Row],[Fetal Sex (Male, Female or Unknown)]]="Male",Backend!$C$6,IF(Table1[[#This Row],[Fetal Sex (Male, Female or Unknown)]]="Female",Backend!$C$7,IF(Table1[[#This Row],[Fetal Sex (Male, Female or Unknown)]]="Unknown",Backend!$C$8,"Error"))),"")</f>
        <v/>
      </c>
      <c r="F3841" s="8" t="str">
        <f>IF(Table1[[#This Row],[Is Data Valid]]=TRUE,EXP(0.578+0.332*((Table1[[#This Row],[Gestation (days)]]+0.5)/7)-0.00354*((Table1[[#This Row],[Gestation (days)]]+0.5)/7)^2)*Table1[[#This Row],[BW40_3705]],"")</f>
        <v/>
      </c>
      <c r="G3841" s="2" t="str">
        <f>IF(Table1[[#This Row],[Is Data Valid]]=TRUE,((Table1[[#This Row],[Birthweight (grams)]]/Table1[[#This Row],[BW_GA]])-1)/(Backend!$B$4/100*Table1[[#This Row],[BW40_3705]]),"")</f>
        <v/>
      </c>
      <c r="H3841" s="7" t="str">
        <f>IF(Table1[[#This Row],[Is Data Valid]]=TRUE,((Table1[[#This Row],[Birthweight (grams)]]*0.9/Table1[[#This Row],[BW_GA]])-1)/(Backend!$B$4/100*Table1[[#This Row],[BW40_3705]]),"")</f>
        <v/>
      </c>
      <c r="I3841" s="7" t="str">
        <f>IF(Table1[[#This Row],[Is Data Valid]]=TRUE,((Table1[[#This Row],[Birthweight (grams)]]*1.1/Table1[[#This Row],[BW_GA]])-1)/(Backend!$B$4/100*Table1[[#This Row],[BW40_3705]]),"")</f>
        <v/>
      </c>
      <c r="J3841" s="7" t="str">
        <f>IF(Table1[[#This Row],[Is Data Valid]]=TRUE,_xlfn.NORM.S.DIST(Table1[[#This Row],[Birthweight Z-Score]],TRUE)*100,"")</f>
        <v/>
      </c>
      <c r="K3841" s="7" t="str">
        <f>IF(Table1[[#This Row],[Is Data Valid]]=TRUE,_xlfn.NORM.S.DIST(Table1[[#This Row],[Birthweight Z-Score (BW-10%)]],TRUE)*100,"")</f>
        <v/>
      </c>
      <c r="L3841" s="7" t="str">
        <f>IF(Table1[[#This Row],[Is Data Valid]]=TRUE,_xlfn.NORM.S.DIST(Table1[[#This Row],[Birthweight Z-Score (BW+10%)]],TRUE)*100,"")</f>
        <v/>
      </c>
    </row>
    <row r="3842" spans="1:12" x14ac:dyDescent="0.35">
      <c r="A3842" s="3"/>
      <c r="B3842" s="2"/>
      <c r="C3842" s="2"/>
      <c r="D3842" s="2" t="b">
        <f>IF(AND(NOT(ISBLANK(Table1[[#This Row],[Fetal Sex (Male, Female or Unknown)]])),ISNUMBER(Table1[[#This Row],[Birthweight (grams)]]),ISNUMBER(Table1[[#This Row],[Gestation (days)]])),TRUE,FALSE)</f>
        <v>0</v>
      </c>
      <c r="E3842" s="2" t="str">
        <f>IF(Table1[[#This Row],[Is Data Valid]]=TRUE,IF(Table1[[#This Row],[Fetal Sex (Male, Female or Unknown)]]="Male",Backend!$C$6,IF(Table1[[#This Row],[Fetal Sex (Male, Female or Unknown)]]="Female",Backend!$C$7,IF(Table1[[#This Row],[Fetal Sex (Male, Female or Unknown)]]="Unknown",Backend!$C$8,"Error"))),"")</f>
        <v/>
      </c>
      <c r="F3842" s="8" t="str">
        <f>IF(Table1[[#This Row],[Is Data Valid]]=TRUE,EXP(0.578+0.332*((Table1[[#This Row],[Gestation (days)]]+0.5)/7)-0.00354*((Table1[[#This Row],[Gestation (days)]]+0.5)/7)^2)*Table1[[#This Row],[BW40_3705]],"")</f>
        <v/>
      </c>
      <c r="G3842" s="2" t="str">
        <f>IF(Table1[[#This Row],[Is Data Valid]]=TRUE,((Table1[[#This Row],[Birthweight (grams)]]/Table1[[#This Row],[BW_GA]])-1)/(Backend!$B$4/100*Table1[[#This Row],[BW40_3705]]),"")</f>
        <v/>
      </c>
      <c r="H3842" s="7" t="str">
        <f>IF(Table1[[#This Row],[Is Data Valid]]=TRUE,((Table1[[#This Row],[Birthweight (grams)]]*0.9/Table1[[#This Row],[BW_GA]])-1)/(Backend!$B$4/100*Table1[[#This Row],[BW40_3705]]),"")</f>
        <v/>
      </c>
      <c r="I3842" s="7" t="str">
        <f>IF(Table1[[#This Row],[Is Data Valid]]=TRUE,((Table1[[#This Row],[Birthweight (grams)]]*1.1/Table1[[#This Row],[BW_GA]])-1)/(Backend!$B$4/100*Table1[[#This Row],[BW40_3705]]),"")</f>
        <v/>
      </c>
      <c r="J3842" s="7" t="str">
        <f>IF(Table1[[#This Row],[Is Data Valid]]=TRUE,_xlfn.NORM.S.DIST(Table1[[#This Row],[Birthweight Z-Score]],TRUE)*100,"")</f>
        <v/>
      </c>
      <c r="K3842" s="7" t="str">
        <f>IF(Table1[[#This Row],[Is Data Valid]]=TRUE,_xlfn.NORM.S.DIST(Table1[[#This Row],[Birthweight Z-Score (BW-10%)]],TRUE)*100,"")</f>
        <v/>
      </c>
      <c r="L3842" s="7" t="str">
        <f>IF(Table1[[#This Row],[Is Data Valid]]=TRUE,_xlfn.NORM.S.DIST(Table1[[#This Row],[Birthweight Z-Score (BW+10%)]],TRUE)*100,"")</f>
        <v/>
      </c>
    </row>
    <row r="3843" spans="1:12" x14ac:dyDescent="0.35">
      <c r="A3843" s="3"/>
      <c r="B3843" s="2"/>
      <c r="C3843" s="2"/>
      <c r="D3843" s="2" t="b">
        <f>IF(AND(NOT(ISBLANK(Table1[[#This Row],[Fetal Sex (Male, Female or Unknown)]])),ISNUMBER(Table1[[#This Row],[Birthweight (grams)]]),ISNUMBER(Table1[[#This Row],[Gestation (days)]])),TRUE,FALSE)</f>
        <v>0</v>
      </c>
      <c r="E3843" s="2" t="str">
        <f>IF(Table1[[#This Row],[Is Data Valid]]=TRUE,IF(Table1[[#This Row],[Fetal Sex (Male, Female or Unknown)]]="Male",Backend!$C$6,IF(Table1[[#This Row],[Fetal Sex (Male, Female or Unknown)]]="Female",Backend!$C$7,IF(Table1[[#This Row],[Fetal Sex (Male, Female or Unknown)]]="Unknown",Backend!$C$8,"Error"))),"")</f>
        <v/>
      </c>
      <c r="F3843" s="8" t="str">
        <f>IF(Table1[[#This Row],[Is Data Valid]]=TRUE,EXP(0.578+0.332*((Table1[[#This Row],[Gestation (days)]]+0.5)/7)-0.00354*((Table1[[#This Row],[Gestation (days)]]+0.5)/7)^2)*Table1[[#This Row],[BW40_3705]],"")</f>
        <v/>
      </c>
      <c r="G3843" s="2" t="str">
        <f>IF(Table1[[#This Row],[Is Data Valid]]=TRUE,((Table1[[#This Row],[Birthweight (grams)]]/Table1[[#This Row],[BW_GA]])-1)/(Backend!$B$4/100*Table1[[#This Row],[BW40_3705]]),"")</f>
        <v/>
      </c>
      <c r="H3843" s="7" t="str">
        <f>IF(Table1[[#This Row],[Is Data Valid]]=TRUE,((Table1[[#This Row],[Birthweight (grams)]]*0.9/Table1[[#This Row],[BW_GA]])-1)/(Backend!$B$4/100*Table1[[#This Row],[BW40_3705]]),"")</f>
        <v/>
      </c>
      <c r="I3843" s="7" t="str">
        <f>IF(Table1[[#This Row],[Is Data Valid]]=TRUE,((Table1[[#This Row],[Birthweight (grams)]]*1.1/Table1[[#This Row],[BW_GA]])-1)/(Backend!$B$4/100*Table1[[#This Row],[BW40_3705]]),"")</f>
        <v/>
      </c>
      <c r="J3843" s="7" t="str">
        <f>IF(Table1[[#This Row],[Is Data Valid]]=TRUE,_xlfn.NORM.S.DIST(Table1[[#This Row],[Birthweight Z-Score]],TRUE)*100,"")</f>
        <v/>
      </c>
      <c r="K3843" s="7" t="str">
        <f>IF(Table1[[#This Row],[Is Data Valid]]=TRUE,_xlfn.NORM.S.DIST(Table1[[#This Row],[Birthweight Z-Score (BW-10%)]],TRUE)*100,"")</f>
        <v/>
      </c>
      <c r="L3843" s="7" t="str">
        <f>IF(Table1[[#This Row],[Is Data Valid]]=TRUE,_xlfn.NORM.S.DIST(Table1[[#This Row],[Birthweight Z-Score (BW+10%)]],TRUE)*100,"")</f>
        <v/>
      </c>
    </row>
    <row r="3844" spans="1:12" x14ac:dyDescent="0.35">
      <c r="A3844" s="3"/>
      <c r="B3844" s="2"/>
      <c r="C3844" s="2"/>
      <c r="D3844" s="2" t="b">
        <f>IF(AND(NOT(ISBLANK(Table1[[#This Row],[Fetal Sex (Male, Female or Unknown)]])),ISNUMBER(Table1[[#This Row],[Birthweight (grams)]]),ISNUMBER(Table1[[#This Row],[Gestation (days)]])),TRUE,FALSE)</f>
        <v>0</v>
      </c>
      <c r="E3844" s="2" t="str">
        <f>IF(Table1[[#This Row],[Is Data Valid]]=TRUE,IF(Table1[[#This Row],[Fetal Sex (Male, Female or Unknown)]]="Male",Backend!$C$6,IF(Table1[[#This Row],[Fetal Sex (Male, Female or Unknown)]]="Female",Backend!$C$7,IF(Table1[[#This Row],[Fetal Sex (Male, Female or Unknown)]]="Unknown",Backend!$C$8,"Error"))),"")</f>
        <v/>
      </c>
      <c r="F3844" s="8" t="str">
        <f>IF(Table1[[#This Row],[Is Data Valid]]=TRUE,EXP(0.578+0.332*((Table1[[#This Row],[Gestation (days)]]+0.5)/7)-0.00354*((Table1[[#This Row],[Gestation (days)]]+0.5)/7)^2)*Table1[[#This Row],[BW40_3705]],"")</f>
        <v/>
      </c>
      <c r="G3844" s="2" t="str">
        <f>IF(Table1[[#This Row],[Is Data Valid]]=TRUE,((Table1[[#This Row],[Birthweight (grams)]]/Table1[[#This Row],[BW_GA]])-1)/(Backend!$B$4/100*Table1[[#This Row],[BW40_3705]]),"")</f>
        <v/>
      </c>
      <c r="H3844" s="7" t="str">
        <f>IF(Table1[[#This Row],[Is Data Valid]]=TRUE,((Table1[[#This Row],[Birthweight (grams)]]*0.9/Table1[[#This Row],[BW_GA]])-1)/(Backend!$B$4/100*Table1[[#This Row],[BW40_3705]]),"")</f>
        <v/>
      </c>
      <c r="I3844" s="7" t="str">
        <f>IF(Table1[[#This Row],[Is Data Valid]]=TRUE,((Table1[[#This Row],[Birthweight (grams)]]*1.1/Table1[[#This Row],[BW_GA]])-1)/(Backend!$B$4/100*Table1[[#This Row],[BW40_3705]]),"")</f>
        <v/>
      </c>
      <c r="J3844" s="7" t="str">
        <f>IF(Table1[[#This Row],[Is Data Valid]]=TRUE,_xlfn.NORM.S.DIST(Table1[[#This Row],[Birthweight Z-Score]],TRUE)*100,"")</f>
        <v/>
      </c>
      <c r="K3844" s="7" t="str">
        <f>IF(Table1[[#This Row],[Is Data Valid]]=TRUE,_xlfn.NORM.S.DIST(Table1[[#This Row],[Birthweight Z-Score (BW-10%)]],TRUE)*100,"")</f>
        <v/>
      </c>
      <c r="L3844" s="7" t="str">
        <f>IF(Table1[[#This Row],[Is Data Valid]]=TRUE,_xlfn.NORM.S.DIST(Table1[[#This Row],[Birthweight Z-Score (BW+10%)]],TRUE)*100,"")</f>
        <v/>
      </c>
    </row>
    <row r="3845" spans="1:12" x14ac:dyDescent="0.35">
      <c r="A3845" s="3"/>
      <c r="B3845" s="2"/>
      <c r="C3845" s="2"/>
      <c r="D3845" s="2" t="b">
        <f>IF(AND(NOT(ISBLANK(Table1[[#This Row],[Fetal Sex (Male, Female or Unknown)]])),ISNUMBER(Table1[[#This Row],[Birthweight (grams)]]),ISNUMBER(Table1[[#This Row],[Gestation (days)]])),TRUE,FALSE)</f>
        <v>0</v>
      </c>
      <c r="E3845" s="2" t="str">
        <f>IF(Table1[[#This Row],[Is Data Valid]]=TRUE,IF(Table1[[#This Row],[Fetal Sex (Male, Female or Unknown)]]="Male",Backend!$C$6,IF(Table1[[#This Row],[Fetal Sex (Male, Female or Unknown)]]="Female",Backend!$C$7,IF(Table1[[#This Row],[Fetal Sex (Male, Female or Unknown)]]="Unknown",Backend!$C$8,"Error"))),"")</f>
        <v/>
      </c>
      <c r="F3845" s="8" t="str">
        <f>IF(Table1[[#This Row],[Is Data Valid]]=TRUE,EXP(0.578+0.332*((Table1[[#This Row],[Gestation (days)]]+0.5)/7)-0.00354*((Table1[[#This Row],[Gestation (days)]]+0.5)/7)^2)*Table1[[#This Row],[BW40_3705]],"")</f>
        <v/>
      </c>
      <c r="G3845" s="2" t="str">
        <f>IF(Table1[[#This Row],[Is Data Valid]]=TRUE,((Table1[[#This Row],[Birthweight (grams)]]/Table1[[#This Row],[BW_GA]])-1)/(Backend!$B$4/100*Table1[[#This Row],[BW40_3705]]),"")</f>
        <v/>
      </c>
      <c r="H3845" s="7" t="str">
        <f>IF(Table1[[#This Row],[Is Data Valid]]=TRUE,((Table1[[#This Row],[Birthweight (grams)]]*0.9/Table1[[#This Row],[BW_GA]])-1)/(Backend!$B$4/100*Table1[[#This Row],[BW40_3705]]),"")</f>
        <v/>
      </c>
      <c r="I3845" s="7" t="str">
        <f>IF(Table1[[#This Row],[Is Data Valid]]=TRUE,((Table1[[#This Row],[Birthweight (grams)]]*1.1/Table1[[#This Row],[BW_GA]])-1)/(Backend!$B$4/100*Table1[[#This Row],[BW40_3705]]),"")</f>
        <v/>
      </c>
      <c r="J3845" s="7" t="str">
        <f>IF(Table1[[#This Row],[Is Data Valid]]=TRUE,_xlfn.NORM.S.DIST(Table1[[#This Row],[Birthweight Z-Score]],TRUE)*100,"")</f>
        <v/>
      </c>
      <c r="K3845" s="7" t="str">
        <f>IF(Table1[[#This Row],[Is Data Valid]]=TRUE,_xlfn.NORM.S.DIST(Table1[[#This Row],[Birthweight Z-Score (BW-10%)]],TRUE)*100,"")</f>
        <v/>
      </c>
      <c r="L3845" s="7" t="str">
        <f>IF(Table1[[#This Row],[Is Data Valid]]=TRUE,_xlfn.NORM.S.DIST(Table1[[#This Row],[Birthweight Z-Score (BW+10%)]],TRUE)*100,"")</f>
        <v/>
      </c>
    </row>
    <row r="3846" spans="1:12" x14ac:dyDescent="0.35">
      <c r="A3846" s="3"/>
      <c r="B3846" s="2"/>
      <c r="C3846" s="2"/>
      <c r="D3846" s="2" t="b">
        <f>IF(AND(NOT(ISBLANK(Table1[[#This Row],[Fetal Sex (Male, Female or Unknown)]])),ISNUMBER(Table1[[#This Row],[Birthweight (grams)]]),ISNUMBER(Table1[[#This Row],[Gestation (days)]])),TRUE,FALSE)</f>
        <v>0</v>
      </c>
      <c r="E3846" s="2" t="str">
        <f>IF(Table1[[#This Row],[Is Data Valid]]=TRUE,IF(Table1[[#This Row],[Fetal Sex (Male, Female or Unknown)]]="Male",Backend!$C$6,IF(Table1[[#This Row],[Fetal Sex (Male, Female or Unknown)]]="Female",Backend!$C$7,IF(Table1[[#This Row],[Fetal Sex (Male, Female or Unknown)]]="Unknown",Backend!$C$8,"Error"))),"")</f>
        <v/>
      </c>
      <c r="F3846" s="8" t="str">
        <f>IF(Table1[[#This Row],[Is Data Valid]]=TRUE,EXP(0.578+0.332*((Table1[[#This Row],[Gestation (days)]]+0.5)/7)-0.00354*((Table1[[#This Row],[Gestation (days)]]+0.5)/7)^2)*Table1[[#This Row],[BW40_3705]],"")</f>
        <v/>
      </c>
      <c r="G3846" s="2" t="str">
        <f>IF(Table1[[#This Row],[Is Data Valid]]=TRUE,((Table1[[#This Row],[Birthweight (grams)]]/Table1[[#This Row],[BW_GA]])-1)/(Backend!$B$4/100*Table1[[#This Row],[BW40_3705]]),"")</f>
        <v/>
      </c>
      <c r="H3846" s="7" t="str">
        <f>IF(Table1[[#This Row],[Is Data Valid]]=TRUE,((Table1[[#This Row],[Birthweight (grams)]]*0.9/Table1[[#This Row],[BW_GA]])-1)/(Backend!$B$4/100*Table1[[#This Row],[BW40_3705]]),"")</f>
        <v/>
      </c>
      <c r="I3846" s="7" t="str">
        <f>IF(Table1[[#This Row],[Is Data Valid]]=TRUE,((Table1[[#This Row],[Birthweight (grams)]]*1.1/Table1[[#This Row],[BW_GA]])-1)/(Backend!$B$4/100*Table1[[#This Row],[BW40_3705]]),"")</f>
        <v/>
      </c>
      <c r="J3846" s="7" t="str">
        <f>IF(Table1[[#This Row],[Is Data Valid]]=TRUE,_xlfn.NORM.S.DIST(Table1[[#This Row],[Birthweight Z-Score]],TRUE)*100,"")</f>
        <v/>
      </c>
      <c r="K3846" s="7" t="str">
        <f>IF(Table1[[#This Row],[Is Data Valid]]=TRUE,_xlfn.NORM.S.DIST(Table1[[#This Row],[Birthweight Z-Score (BW-10%)]],TRUE)*100,"")</f>
        <v/>
      </c>
      <c r="L3846" s="7" t="str">
        <f>IF(Table1[[#This Row],[Is Data Valid]]=TRUE,_xlfn.NORM.S.DIST(Table1[[#This Row],[Birthweight Z-Score (BW+10%)]],TRUE)*100,"")</f>
        <v/>
      </c>
    </row>
    <row r="3847" spans="1:12" x14ac:dyDescent="0.35">
      <c r="A3847" s="3"/>
      <c r="B3847" s="2"/>
      <c r="C3847" s="2"/>
      <c r="D3847" s="2" t="b">
        <f>IF(AND(NOT(ISBLANK(Table1[[#This Row],[Fetal Sex (Male, Female or Unknown)]])),ISNUMBER(Table1[[#This Row],[Birthweight (grams)]]),ISNUMBER(Table1[[#This Row],[Gestation (days)]])),TRUE,FALSE)</f>
        <v>0</v>
      </c>
      <c r="E3847" s="2" t="str">
        <f>IF(Table1[[#This Row],[Is Data Valid]]=TRUE,IF(Table1[[#This Row],[Fetal Sex (Male, Female or Unknown)]]="Male",Backend!$C$6,IF(Table1[[#This Row],[Fetal Sex (Male, Female or Unknown)]]="Female",Backend!$C$7,IF(Table1[[#This Row],[Fetal Sex (Male, Female or Unknown)]]="Unknown",Backend!$C$8,"Error"))),"")</f>
        <v/>
      </c>
      <c r="F3847" s="8" t="str">
        <f>IF(Table1[[#This Row],[Is Data Valid]]=TRUE,EXP(0.578+0.332*((Table1[[#This Row],[Gestation (days)]]+0.5)/7)-0.00354*((Table1[[#This Row],[Gestation (days)]]+0.5)/7)^2)*Table1[[#This Row],[BW40_3705]],"")</f>
        <v/>
      </c>
      <c r="G3847" s="2" t="str">
        <f>IF(Table1[[#This Row],[Is Data Valid]]=TRUE,((Table1[[#This Row],[Birthweight (grams)]]/Table1[[#This Row],[BW_GA]])-1)/(Backend!$B$4/100*Table1[[#This Row],[BW40_3705]]),"")</f>
        <v/>
      </c>
      <c r="H3847" s="7" t="str">
        <f>IF(Table1[[#This Row],[Is Data Valid]]=TRUE,((Table1[[#This Row],[Birthweight (grams)]]*0.9/Table1[[#This Row],[BW_GA]])-1)/(Backend!$B$4/100*Table1[[#This Row],[BW40_3705]]),"")</f>
        <v/>
      </c>
      <c r="I3847" s="7" t="str">
        <f>IF(Table1[[#This Row],[Is Data Valid]]=TRUE,((Table1[[#This Row],[Birthweight (grams)]]*1.1/Table1[[#This Row],[BW_GA]])-1)/(Backend!$B$4/100*Table1[[#This Row],[BW40_3705]]),"")</f>
        <v/>
      </c>
      <c r="J3847" s="7" t="str">
        <f>IF(Table1[[#This Row],[Is Data Valid]]=TRUE,_xlfn.NORM.S.DIST(Table1[[#This Row],[Birthweight Z-Score]],TRUE)*100,"")</f>
        <v/>
      </c>
      <c r="K3847" s="7" t="str">
        <f>IF(Table1[[#This Row],[Is Data Valid]]=TRUE,_xlfn.NORM.S.DIST(Table1[[#This Row],[Birthweight Z-Score (BW-10%)]],TRUE)*100,"")</f>
        <v/>
      </c>
      <c r="L3847" s="7" t="str">
        <f>IF(Table1[[#This Row],[Is Data Valid]]=TRUE,_xlfn.NORM.S.DIST(Table1[[#This Row],[Birthweight Z-Score (BW+10%)]],TRUE)*100,"")</f>
        <v/>
      </c>
    </row>
    <row r="3848" spans="1:12" x14ac:dyDescent="0.35">
      <c r="A3848" s="3"/>
      <c r="B3848" s="2"/>
      <c r="C3848" s="2"/>
      <c r="D3848" s="2" t="b">
        <f>IF(AND(NOT(ISBLANK(Table1[[#This Row],[Fetal Sex (Male, Female or Unknown)]])),ISNUMBER(Table1[[#This Row],[Birthweight (grams)]]),ISNUMBER(Table1[[#This Row],[Gestation (days)]])),TRUE,FALSE)</f>
        <v>0</v>
      </c>
      <c r="E3848" s="2" t="str">
        <f>IF(Table1[[#This Row],[Is Data Valid]]=TRUE,IF(Table1[[#This Row],[Fetal Sex (Male, Female or Unknown)]]="Male",Backend!$C$6,IF(Table1[[#This Row],[Fetal Sex (Male, Female or Unknown)]]="Female",Backend!$C$7,IF(Table1[[#This Row],[Fetal Sex (Male, Female or Unknown)]]="Unknown",Backend!$C$8,"Error"))),"")</f>
        <v/>
      </c>
      <c r="F3848" s="8" t="str">
        <f>IF(Table1[[#This Row],[Is Data Valid]]=TRUE,EXP(0.578+0.332*((Table1[[#This Row],[Gestation (days)]]+0.5)/7)-0.00354*((Table1[[#This Row],[Gestation (days)]]+0.5)/7)^2)*Table1[[#This Row],[BW40_3705]],"")</f>
        <v/>
      </c>
      <c r="G3848" s="2" t="str">
        <f>IF(Table1[[#This Row],[Is Data Valid]]=TRUE,((Table1[[#This Row],[Birthweight (grams)]]/Table1[[#This Row],[BW_GA]])-1)/(Backend!$B$4/100*Table1[[#This Row],[BW40_3705]]),"")</f>
        <v/>
      </c>
      <c r="H3848" s="7" t="str">
        <f>IF(Table1[[#This Row],[Is Data Valid]]=TRUE,((Table1[[#This Row],[Birthweight (grams)]]*0.9/Table1[[#This Row],[BW_GA]])-1)/(Backend!$B$4/100*Table1[[#This Row],[BW40_3705]]),"")</f>
        <v/>
      </c>
      <c r="I3848" s="7" t="str">
        <f>IF(Table1[[#This Row],[Is Data Valid]]=TRUE,((Table1[[#This Row],[Birthweight (grams)]]*1.1/Table1[[#This Row],[BW_GA]])-1)/(Backend!$B$4/100*Table1[[#This Row],[BW40_3705]]),"")</f>
        <v/>
      </c>
      <c r="J3848" s="7" t="str">
        <f>IF(Table1[[#This Row],[Is Data Valid]]=TRUE,_xlfn.NORM.S.DIST(Table1[[#This Row],[Birthweight Z-Score]],TRUE)*100,"")</f>
        <v/>
      </c>
      <c r="K3848" s="7" t="str">
        <f>IF(Table1[[#This Row],[Is Data Valid]]=TRUE,_xlfn.NORM.S.DIST(Table1[[#This Row],[Birthweight Z-Score (BW-10%)]],TRUE)*100,"")</f>
        <v/>
      </c>
      <c r="L3848" s="7" t="str">
        <f>IF(Table1[[#This Row],[Is Data Valid]]=TRUE,_xlfn.NORM.S.DIST(Table1[[#This Row],[Birthweight Z-Score (BW+10%)]],TRUE)*100,"")</f>
        <v/>
      </c>
    </row>
    <row r="3849" spans="1:12" x14ac:dyDescent="0.35">
      <c r="A3849" s="3"/>
      <c r="B3849" s="2"/>
      <c r="C3849" s="2"/>
      <c r="D3849" s="2" t="b">
        <f>IF(AND(NOT(ISBLANK(Table1[[#This Row],[Fetal Sex (Male, Female or Unknown)]])),ISNUMBER(Table1[[#This Row],[Birthweight (grams)]]),ISNUMBER(Table1[[#This Row],[Gestation (days)]])),TRUE,FALSE)</f>
        <v>0</v>
      </c>
      <c r="E3849" s="2" t="str">
        <f>IF(Table1[[#This Row],[Is Data Valid]]=TRUE,IF(Table1[[#This Row],[Fetal Sex (Male, Female or Unknown)]]="Male",Backend!$C$6,IF(Table1[[#This Row],[Fetal Sex (Male, Female or Unknown)]]="Female",Backend!$C$7,IF(Table1[[#This Row],[Fetal Sex (Male, Female or Unknown)]]="Unknown",Backend!$C$8,"Error"))),"")</f>
        <v/>
      </c>
      <c r="F3849" s="8" t="str">
        <f>IF(Table1[[#This Row],[Is Data Valid]]=TRUE,EXP(0.578+0.332*((Table1[[#This Row],[Gestation (days)]]+0.5)/7)-0.00354*((Table1[[#This Row],[Gestation (days)]]+0.5)/7)^2)*Table1[[#This Row],[BW40_3705]],"")</f>
        <v/>
      </c>
      <c r="G3849" s="2" t="str">
        <f>IF(Table1[[#This Row],[Is Data Valid]]=TRUE,((Table1[[#This Row],[Birthweight (grams)]]/Table1[[#This Row],[BW_GA]])-1)/(Backend!$B$4/100*Table1[[#This Row],[BW40_3705]]),"")</f>
        <v/>
      </c>
      <c r="H3849" s="7" t="str">
        <f>IF(Table1[[#This Row],[Is Data Valid]]=TRUE,((Table1[[#This Row],[Birthweight (grams)]]*0.9/Table1[[#This Row],[BW_GA]])-1)/(Backend!$B$4/100*Table1[[#This Row],[BW40_3705]]),"")</f>
        <v/>
      </c>
      <c r="I3849" s="7" t="str">
        <f>IF(Table1[[#This Row],[Is Data Valid]]=TRUE,((Table1[[#This Row],[Birthweight (grams)]]*1.1/Table1[[#This Row],[BW_GA]])-1)/(Backend!$B$4/100*Table1[[#This Row],[BW40_3705]]),"")</f>
        <v/>
      </c>
      <c r="J3849" s="7" t="str">
        <f>IF(Table1[[#This Row],[Is Data Valid]]=TRUE,_xlfn.NORM.S.DIST(Table1[[#This Row],[Birthweight Z-Score]],TRUE)*100,"")</f>
        <v/>
      </c>
      <c r="K3849" s="7" t="str">
        <f>IF(Table1[[#This Row],[Is Data Valid]]=TRUE,_xlfn.NORM.S.DIST(Table1[[#This Row],[Birthweight Z-Score (BW-10%)]],TRUE)*100,"")</f>
        <v/>
      </c>
      <c r="L3849" s="7" t="str">
        <f>IF(Table1[[#This Row],[Is Data Valid]]=TRUE,_xlfn.NORM.S.DIST(Table1[[#This Row],[Birthweight Z-Score (BW+10%)]],TRUE)*100,"")</f>
        <v/>
      </c>
    </row>
    <row r="3850" spans="1:12" x14ac:dyDescent="0.35">
      <c r="A3850" s="3"/>
      <c r="B3850" s="2"/>
      <c r="C3850" s="2"/>
      <c r="D3850" s="2" t="b">
        <f>IF(AND(NOT(ISBLANK(Table1[[#This Row],[Fetal Sex (Male, Female or Unknown)]])),ISNUMBER(Table1[[#This Row],[Birthweight (grams)]]),ISNUMBER(Table1[[#This Row],[Gestation (days)]])),TRUE,FALSE)</f>
        <v>0</v>
      </c>
      <c r="E3850" s="2" t="str">
        <f>IF(Table1[[#This Row],[Is Data Valid]]=TRUE,IF(Table1[[#This Row],[Fetal Sex (Male, Female or Unknown)]]="Male",Backend!$C$6,IF(Table1[[#This Row],[Fetal Sex (Male, Female or Unknown)]]="Female",Backend!$C$7,IF(Table1[[#This Row],[Fetal Sex (Male, Female or Unknown)]]="Unknown",Backend!$C$8,"Error"))),"")</f>
        <v/>
      </c>
      <c r="F3850" s="8" t="str">
        <f>IF(Table1[[#This Row],[Is Data Valid]]=TRUE,EXP(0.578+0.332*((Table1[[#This Row],[Gestation (days)]]+0.5)/7)-0.00354*((Table1[[#This Row],[Gestation (days)]]+0.5)/7)^2)*Table1[[#This Row],[BW40_3705]],"")</f>
        <v/>
      </c>
      <c r="G3850" s="2" t="str">
        <f>IF(Table1[[#This Row],[Is Data Valid]]=TRUE,((Table1[[#This Row],[Birthweight (grams)]]/Table1[[#This Row],[BW_GA]])-1)/(Backend!$B$4/100*Table1[[#This Row],[BW40_3705]]),"")</f>
        <v/>
      </c>
      <c r="H3850" s="7" t="str">
        <f>IF(Table1[[#This Row],[Is Data Valid]]=TRUE,((Table1[[#This Row],[Birthweight (grams)]]*0.9/Table1[[#This Row],[BW_GA]])-1)/(Backend!$B$4/100*Table1[[#This Row],[BW40_3705]]),"")</f>
        <v/>
      </c>
      <c r="I3850" s="7" t="str">
        <f>IF(Table1[[#This Row],[Is Data Valid]]=TRUE,((Table1[[#This Row],[Birthweight (grams)]]*1.1/Table1[[#This Row],[BW_GA]])-1)/(Backend!$B$4/100*Table1[[#This Row],[BW40_3705]]),"")</f>
        <v/>
      </c>
      <c r="J3850" s="7" t="str">
        <f>IF(Table1[[#This Row],[Is Data Valid]]=TRUE,_xlfn.NORM.S.DIST(Table1[[#This Row],[Birthweight Z-Score]],TRUE)*100,"")</f>
        <v/>
      </c>
      <c r="K3850" s="7" t="str">
        <f>IF(Table1[[#This Row],[Is Data Valid]]=TRUE,_xlfn.NORM.S.DIST(Table1[[#This Row],[Birthweight Z-Score (BW-10%)]],TRUE)*100,"")</f>
        <v/>
      </c>
      <c r="L3850" s="7" t="str">
        <f>IF(Table1[[#This Row],[Is Data Valid]]=TRUE,_xlfn.NORM.S.DIST(Table1[[#This Row],[Birthweight Z-Score (BW+10%)]],TRUE)*100,"")</f>
        <v/>
      </c>
    </row>
    <row r="3851" spans="1:12" x14ac:dyDescent="0.35">
      <c r="A3851" s="3"/>
      <c r="B3851" s="2"/>
      <c r="C3851" s="2"/>
      <c r="D3851" s="2" t="b">
        <f>IF(AND(NOT(ISBLANK(Table1[[#This Row],[Fetal Sex (Male, Female or Unknown)]])),ISNUMBER(Table1[[#This Row],[Birthweight (grams)]]),ISNUMBER(Table1[[#This Row],[Gestation (days)]])),TRUE,FALSE)</f>
        <v>0</v>
      </c>
      <c r="E3851" s="2" t="str">
        <f>IF(Table1[[#This Row],[Is Data Valid]]=TRUE,IF(Table1[[#This Row],[Fetal Sex (Male, Female or Unknown)]]="Male",Backend!$C$6,IF(Table1[[#This Row],[Fetal Sex (Male, Female or Unknown)]]="Female",Backend!$C$7,IF(Table1[[#This Row],[Fetal Sex (Male, Female or Unknown)]]="Unknown",Backend!$C$8,"Error"))),"")</f>
        <v/>
      </c>
      <c r="F3851" s="8" t="str">
        <f>IF(Table1[[#This Row],[Is Data Valid]]=TRUE,EXP(0.578+0.332*((Table1[[#This Row],[Gestation (days)]]+0.5)/7)-0.00354*((Table1[[#This Row],[Gestation (days)]]+0.5)/7)^2)*Table1[[#This Row],[BW40_3705]],"")</f>
        <v/>
      </c>
      <c r="G3851" s="2" t="str">
        <f>IF(Table1[[#This Row],[Is Data Valid]]=TRUE,((Table1[[#This Row],[Birthweight (grams)]]/Table1[[#This Row],[BW_GA]])-1)/(Backend!$B$4/100*Table1[[#This Row],[BW40_3705]]),"")</f>
        <v/>
      </c>
      <c r="H3851" s="7" t="str">
        <f>IF(Table1[[#This Row],[Is Data Valid]]=TRUE,((Table1[[#This Row],[Birthweight (grams)]]*0.9/Table1[[#This Row],[BW_GA]])-1)/(Backend!$B$4/100*Table1[[#This Row],[BW40_3705]]),"")</f>
        <v/>
      </c>
      <c r="I3851" s="7" t="str">
        <f>IF(Table1[[#This Row],[Is Data Valid]]=TRUE,((Table1[[#This Row],[Birthweight (grams)]]*1.1/Table1[[#This Row],[BW_GA]])-1)/(Backend!$B$4/100*Table1[[#This Row],[BW40_3705]]),"")</f>
        <v/>
      </c>
      <c r="J3851" s="7" t="str">
        <f>IF(Table1[[#This Row],[Is Data Valid]]=TRUE,_xlfn.NORM.S.DIST(Table1[[#This Row],[Birthweight Z-Score]],TRUE)*100,"")</f>
        <v/>
      </c>
      <c r="K3851" s="7" t="str">
        <f>IF(Table1[[#This Row],[Is Data Valid]]=TRUE,_xlfn.NORM.S.DIST(Table1[[#This Row],[Birthweight Z-Score (BW-10%)]],TRUE)*100,"")</f>
        <v/>
      </c>
      <c r="L3851" s="7" t="str">
        <f>IF(Table1[[#This Row],[Is Data Valid]]=TRUE,_xlfn.NORM.S.DIST(Table1[[#This Row],[Birthweight Z-Score (BW+10%)]],TRUE)*100,"")</f>
        <v/>
      </c>
    </row>
    <row r="3852" spans="1:12" x14ac:dyDescent="0.35">
      <c r="A3852" s="3"/>
      <c r="B3852" s="2"/>
      <c r="C3852" s="2"/>
      <c r="D3852" s="2" t="b">
        <f>IF(AND(NOT(ISBLANK(Table1[[#This Row],[Fetal Sex (Male, Female or Unknown)]])),ISNUMBER(Table1[[#This Row],[Birthweight (grams)]]),ISNUMBER(Table1[[#This Row],[Gestation (days)]])),TRUE,FALSE)</f>
        <v>0</v>
      </c>
      <c r="E3852" s="2" t="str">
        <f>IF(Table1[[#This Row],[Is Data Valid]]=TRUE,IF(Table1[[#This Row],[Fetal Sex (Male, Female or Unknown)]]="Male",Backend!$C$6,IF(Table1[[#This Row],[Fetal Sex (Male, Female or Unknown)]]="Female",Backend!$C$7,IF(Table1[[#This Row],[Fetal Sex (Male, Female or Unknown)]]="Unknown",Backend!$C$8,"Error"))),"")</f>
        <v/>
      </c>
      <c r="F3852" s="8" t="str">
        <f>IF(Table1[[#This Row],[Is Data Valid]]=TRUE,EXP(0.578+0.332*((Table1[[#This Row],[Gestation (days)]]+0.5)/7)-0.00354*((Table1[[#This Row],[Gestation (days)]]+0.5)/7)^2)*Table1[[#This Row],[BW40_3705]],"")</f>
        <v/>
      </c>
      <c r="G3852" s="2" t="str">
        <f>IF(Table1[[#This Row],[Is Data Valid]]=TRUE,((Table1[[#This Row],[Birthweight (grams)]]/Table1[[#This Row],[BW_GA]])-1)/(Backend!$B$4/100*Table1[[#This Row],[BW40_3705]]),"")</f>
        <v/>
      </c>
      <c r="H3852" s="7" t="str">
        <f>IF(Table1[[#This Row],[Is Data Valid]]=TRUE,((Table1[[#This Row],[Birthweight (grams)]]*0.9/Table1[[#This Row],[BW_GA]])-1)/(Backend!$B$4/100*Table1[[#This Row],[BW40_3705]]),"")</f>
        <v/>
      </c>
      <c r="I3852" s="7" t="str">
        <f>IF(Table1[[#This Row],[Is Data Valid]]=TRUE,((Table1[[#This Row],[Birthweight (grams)]]*1.1/Table1[[#This Row],[BW_GA]])-1)/(Backend!$B$4/100*Table1[[#This Row],[BW40_3705]]),"")</f>
        <v/>
      </c>
      <c r="J3852" s="7" t="str">
        <f>IF(Table1[[#This Row],[Is Data Valid]]=TRUE,_xlfn.NORM.S.DIST(Table1[[#This Row],[Birthweight Z-Score]],TRUE)*100,"")</f>
        <v/>
      </c>
      <c r="K3852" s="7" t="str">
        <f>IF(Table1[[#This Row],[Is Data Valid]]=TRUE,_xlfn.NORM.S.DIST(Table1[[#This Row],[Birthweight Z-Score (BW-10%)]],TRUE)*100,"")</f>
        <v/>
      </c>
      <c r="L3852" s="7" t="str">
        <f>IF(Table1[[#This Row],[Is Data Valid]]=TRUE,_xlfn.NORM.S.DIST(Table1[[#This Row],[Birthweight Z-Score (BW+10%)]],TRUE)*100,"")</f>
        <v/>
      </c>
    </row>
    <row r="3853" spans="1:12" x14ac:dyDescent="0.35">
      <c r="A3853" s="3"/>
      <c r="B3853" s="2"/>
      <c r="C3853" s="2"/>
      <c r="D3853" s="2" t="b">
        <f>IF(AND(NOT(ISBLANK(Table1[[#This Row],[Fetal Sex (Male, Female or Unknown)]])),ISNUMBER(Table1[[#This Row],[Birthweight (grams)]]),ISNUMBER(Table1[[#This Row],[Gestation (days)]])),TRUE,FALSE)</f>
        <v>0</v>
      </c>
      <c r="E3853" s="2" t="str">
        <f>IF(Table1[[#This Row],[Is Data Valid]]=TRUE,IF(Table1[[#This Row],[Fetal Sex (Male, Female or Unknown)]]="Male",Backend!$C$6,IF(Table1[[#This Row],[Fetal Sex (Male, Female or Unknown)]]="Female",Backend!$C$7,IF(Table1[[#This Row],[Fetal Sex (Male, Female or Unknown)]]="Unknown",Backend!$C$8,"Error"))),"")</f>
        <v/>
      </c>
      <c r="F3853" s="8" t="str">
        <f>IF(Table1[[#This Row],[Is Data Valid]]=TRUE,EXP(0.578+0.332*((Table1[[#This Row],[Gestation (days)]]+0.5)/7)-0.00354*((Table1[[#This Row],[Gestation (days)]]+0.5)/7)^2)*Table1[[#This Row],[BW40_3705]],"")</f>
        <v/>
      </c>
      <c r="G3853" s="2" t="str">
        <f>IF(Table1[[#This Row],[Is Data Valid]]=TRUE,((Table1[[#This Row],[Birthweight (grams)]]/Table1[[#This Row],[BW_GA]])-1)/(Backend!$B$4/100*Table1[[#This Row],[BW40_3705]]),"")</f>
        <v/>
      </c>
      <c r="H3853" s="7" t="str">
        <f>IF(Table1[[#This Row],[Is Data Valid]]=TRUE,((Table1[[#This Row],[Birthweight (grams)]]*0.9/Table1[[#This Row],[BW_GA]])-1)/(Backend!$B$4/100*Table1[[#This Row],[BW40_3705]]),"")</f>
        <v/>
      </c>
      <c r="I3853" s="7" t="str">
        <f>IF(Table1[[#This Row],[Is Data Valid]]=TRUE,((Table1[[#This Row],[Birthweight (grams)]]*1.1/Table1[[#This Row],[BW_GA]])-1)/(Backend!$B$4/100*Table1[[#This Row],[BW40_3705]]),"")</f>
        <v/>
      </c>
      <c r="J3853" s="7" t="str">
        <f>IF(Table1[[#This Row],[Is Data Valid]]=TRUE,_xlfn.NORM.S.DIST(Table1[[#This Row],[Birthweight Z-Score]],TRUE)*100,"")</f>
        <v/>
      </c>
      <c r="K3853" s="7" t="str">
        <f>IF(Table1[[#This Row],[Is Data Valid]]=TRUE,_xlfn.NORM.S.DIST(Table1[[#This Row],[Birthweight Z-Score (BW-10%)]],TRUE)*100,"")</f>
        <v/>
      </c>
      <c r="L3853" s="7" t="str">
        <f>IF(Table1[[#This Row],[Is Data Valid]]=TRUE,_xlfn.NORM.S.DIST(Table1[[#This Row],[Birthweight Z-Score (BW+10%)]],TRUE)*100,"")</f>
        <v/>
      </c>
    </row>
    <row r="3854" spans="1:12" x14ac:dyDescent="0.35">
      <c r="A3854" s="3"/>
      <c r="B3854" s="2"/>
      <c r="C3854" s="2"/>
      <c r="D3854" s="2" t="b">
        <f>IF(AND(NOT(ISBLANK(Table1[[#This Row],[Fetal Sex (Male, Female or Unknown)]])),ISNUMBER(Table1[[#This Row],[Birthweight (grams)]]),ISNUMBER(Table1[[#This Row],[Gestation (days)]])),TRUE,FALSE)</f>
        <v>0</v>
      </c>
      <c r="E3854" s="2" t="str">
        <f>IF(Table1[[#This Row],[Is Data Valid]]=TRUE,IF(Table1[[#This Row],[Fetal Sex (Male, Female or Unknown)]]="Male",Backend!$C$6,IF(Table1[[#This Row],[Fetal Sex (Male, Female or Unknown)]]="Female",Backend!$C$7,IF(Table1[[#This Row],[Fetal Sex (Male, Female or Unknown)]]="Unknown",Backend!$C$8,"Error"))),"")</f>
        <v/>
      </c>
      <c r="F3854" s="8" t="str">
        <f>IF(Table1[[#This Row],[Is Data Valid]]=TRUE,EXP(0.578+0.332*((Table1[[#This Row],[Gestation (days)]]+0.5)/7)-0.00354*((Table1[[#This Row],[Gestation (days)]]+0.5)/7)^2)*Table1[[#This Row],[BW40_3705]],"")</f>
        <v/>
      </c>
      <c r="G3854" s="2" t="str">
        <f>IF(Table1[[#This Row],[Is Data Valid]]=TRUE,((Table1[[#This Row],[Birthweight (grams)]]/Table1[[#This Row],[BW_GA]])-1)/(Backend!$B$4/100*Table1[[#This Row],[BW40_3705]]),"")</f>
        <v/>
      </c>
      <c r="H3854" s="7" t="str">
        <f>IF(Table1[[#This Row],[Is Data Valid]]=TRUE,((Table1[[#This Row],[Birthweight (grams)]]*0.9/Table1[[#This Row],[BW_GA]])-1)/(Backend!$B$4/100*Table1[[#This Row],[BW40_3705]]),"")</f>
        <v/>
      </c>
      <c r="I3854" s="7" t="str">
        <f>IF(Table1[[#This Row],[Is Data Valid]]=TRUE,((Table1[[#This Row],[Birthweight (grams)]]*1.1/Table1[[#This Row],[BW_GA]])-1)/(Backend!$B$4/100*Table1[[#This Row],[BW40_3705]]),"")</f>
        <v/>
      </c>
      <c r="J3854" s="7" t="str">
        <f>IF(Table1[[#This Row],[Is Data Valid]]=TRUE,_xlfn.NORM.S.DIST(Table1[[#This Row],[Birthweight Z-Score]],TRUE)*100,"")</f>
        <v/>
      </c>
      <c r="K3854" s="7" t="str">
        <f>IF(Table1[[#This Row],[Is Data Valid]]=TRUE,_xlfn.NORM.S.DIST(Table1[[#This Row],[Birthweight Z-Score (BW-10%)]],TRUE)*100,"")</f>
        <v/>
      </c>
      <c r="L3854" s="7" t="str">
        <f>IF(Table1[[#This Row],[Is Data Valid]]=TRUE,_xlfn.NORM.S.DIST(Table1[[#This Row],[Birthweight Z-Score (BW+10%)]],TRUE)*100,"")</f>
        <v/>
      </c>
    </row>
    <row r="3855" spans="1:12" x14ac:dyDescent="0.35">
      <c r="A3855" s="3"/>
      <c r="B3855" s="2"/>
      <c r="C3855" s="2"/>
      <c r="D3855" s="2" t="b">
        <f>IF(AND(NOT(ISBLANK(Table1[[#This Row],[Fetal Sex (Male, Female or Unknown)]])),ISNUMBER(Table1[[#This Row],[Birthweight (grams)]]),ISNUMBER(Table1[[#This Row],[Gestation (days)]])),TRUE,FALSE)</f>
        <v>0</v>
      </c>
      <c r="E3855" s="2" t="str">
        <f>IF(Table1[[#This Row],[Is Data Valid]]=TRUE,IF(Table1[[#This Row],[Fetal Sex (Male, Female or Unknown)]]="Male",Backend!$C$6,IF(Table1[[#This Row],[Fetal Sex (Male, Female or Unknown)]]="Female",Backend!$C$7,IF(Table1[[#This Row],[Fetal Sex (Male, Female or Unknown)]]="Unknown",Backend!$C$8,"Error"))),"")</f>
        <v/>
      </c>
      <c r="F3855" s="8" t="str">
        <f>IF(Table1[[#This Row],[Is Data Valid]]=TRUE,EXP(0.578+0.332*((Table1[[#This Row],[Gestation (days)]]+0.5)/7)-0.00354*((Table1[[#This Row],[Gestation (days)]]+0.5)/7)^2)*Table1[[#This Row],[BW40_3705]],"")</f>
        <v/>
      </c>
      <c r="G3855" s="2" t="str">
        <f>IF(Table1[[#This Row],[Is Data Valid]]=TRUE,((Table1[[#This Row],[Birthweight (grams)]]/Table1[[#This Row],[BW_GA]])-1)/(Backend!$B$4/100*Table1[[#This Row],[BW40_3705]]),"")</f>
        <v/>
      </c>
      <c r="H3855" s="7" t="str">
        <f>IF(Table1[[#This Row],[Is Data Valid]]=TRUE,((Table1[[#This Row],[Birthweight (grams)]]*0.9/Table1[[#This Row],[BW_GA]])-1)/(Backend!$B$4/100*Table1[[#This Row],[BW40_3705]]),"")</f>
        <v/>
      </c>
      <c r="I3855" s="7" t="str">
        <f>IF(Table1[[#This Row],[Is Data Valid]]=TRUE,((Table1[[#This Row],[Birthweight (grams)]]*1.1/Table1[[#This Row],[BW_GA]])-1)/(Backend!$B$4/100*Table1[[#This Row],[BW40_3705]]),"")</f>
        <v/>
      </c>
      <c r="J3855" s="7" t="str">
        <f>IF(Table1[[#This Row],[Is Data Valid]]=TRUE,_xlfn.NORM.S.DIST(Table1[[#This Row],[Birthweight Z-Score]],TRUE)*100,"")</f>
        <v/>
      </c>
      <c r="K3855" s="7" t="str">
        <f>IF(Table1[[#This Row],[Is Data Valid]]=TRUE,_xlfn.NORM.S.DIST(Table1[[#This Row],[Birthweight Z-Score (BW-10%)]],TRUE)*100,"")</f>
        <v/>
      </c>
      <c r="L3855" s="7" t="str">
        <f>IF(Table1[[#This Row],[Is Data Valid]]=TRUE,_xlfn.NORM.S.DIST(Table1[[#This Row],[Birthweight Z-Score (BW+10%)]],TRUE)*100,"")</f>
        <v/>
      </c>
    </row>
    <row r="3856" spans="1:12" x14ac:dyDescent="0.35">
      <c r="A3856" s="3"/>
      <c r="B3856" s="2"/>
      <c r="C3856" s="2"/>
      <c r="D3856" s="2" t="b">
        <f>IF(AND(NOT(ISBLANK(Table1[[#This Row],[Fetal Sex (Male, Female or Unknown)]])),ISNUMBER(Table1[[#This Row],[Birthweight (grams)]]),ISNUMBER(Table1[[#This Row],[Gestation (days)]])),TRUE,FALSE)</f>
        <v>0</v>
      </c>
      <c r="E3856" s="2" t="str">
        <f>IF(Table1[[#This Row],[Is Data Valid]]=TRUE,IF(Table1[[#This Row],[Fetal Sex (Male, Female or Unknown)]]="Male",Backend!$C$6,IF(Table1[[#This Row],[Fetal Sex (Male, Female or Unknown)]]="Female",Backend!$C$7,IF(Table1[[#This Row],[Fetal Sex (Male, Female or Unknown)]]="Unknown",Backend!$C$8,"Error"))),"")</f>
        <v/>
      </c>
      <c r="F3856" s="8" t="str">
        <f>IF(Table1[[#This Row],[Is Data Valid]]=TRUE,EXP(0.578+0.332*((Table1[[#This Row],[Gestation (days)]]+0.5)/7)-0.00354*((Table1[[#This Row],[Gestation (days)]]+0.5)/7)^2)*Table1[[#This Row],[BW40_3705]],"")</f>
        <v/>
      </c>
      <c r="G3856" s="2" t="str">
        <f>IF(Table1[[#This Row],[Is Data Valid]]=TRUE,((Table1[[#This Row],[Birthweight (grams)]]/Table1[[#This Row],[BW_GA]])-1)/(Backend!$B$4/100*Table1[[#This Row],[BW40_3705]]),"")</f>
        <v/>
      </c>
      <c r="H3856" s="7" t="str">
        <f>IF(Table1[[#This Row],[Is Data Valid]]=TRUE,((Table1[[#This Row],[Birthweight (grams)]]*0.9/Table1[[#This Row],[BW_GA]])-1)/(Backend!$B$4/100*Table1[[#This Row],[BW40_3705]]),"")</f>
        <v/>
      </c>
      <c r="I3856" s="7" t="str">
        <f>IF(Table1[[#This Row],[Is Data Valid]]=TRUE,((Table1[[#This Row],[Birthweight (grams)]]*1.1/Table1[[#This Row],[BW_GA]])-1)/(Backend!$B$4/100*Table1[[#This Row],[BW40_3705]]),"")</f>
        <v/>
      </c>
      <c r="J3856" s="7" t="str">
        <f>IF(Table1[[#This Row],[Is Data Valid]]=TRUE,_xlfn.NORM.S.DIST(Table1[[#This Row],[Birthweight Z-Score]],TRUE)*100,"")</f>
        <v/>
      </c>
      <c r="K3856" s="7" t="str">
        <f>IF(Table1[[#This Row],[Is Data Valid]]=TRUE,_xlfn.NORM.S.DIST(Table1[[#This Row],[Birthweight Z-Score (BW-10%)]],TRUE)*100,"")</f>
        <v/>
      </c>
      <c r="L3856" s="7" t="str">
        <f>IF(Table1[[#This Row],[Is Data Valid]]=TRUE,_xlfn.NORM.S.DIST(Table1[[#This Row],[Birthweight Z-Score (BW+10%)]],TRUE)*100,"")</f>
        <v/>
      </c>
    </row>
    <row r="3857" spans="1:12" x14ac:dyDescent="0.35">
      <c r="A3857" s="3"/>
      <c r="B3857" s="2"/>
      <c r="C3857" s="2"/>
      <c r="D3857" s="2" t="b">
        <f>IF(AND(NOT(ISBLANK(Table1[[#This Row],[Fetal Sex (Male, Female or Unknown)]])),ISNUMBER(Table1[[#This Row],[Birthweight (grams)]]),ISNUMBER(Table1[[#This Row],[Gestation (days)]])),TRUE,FALSE)</f>
        <v>0</v>
      </c>
      <c r="E3857" s="2" t="str">
        <f>IF(Table1[[#This Row],[Is Data Valid]]=TRUE,IF(Table1[[#This Row],[Fetal Sex (Male, Female or Unknown)]]="Male",Backend!$C$6,IF(Table1[[#This Row],[Fetal Sex (Male, Female or Unknown)]]="Female",Backend!$C$7,IF(Table1[[#This Row],[Fetal Sex (Male, Female or Unknown)]]="Unknown",Backend!$C$8,"Error"))),"")</f>
        <v/>
      </c>
      <c r="F3857" s="8" t="str">
        <f>IF(Table1[[#This Row],[Is Data Valid]]=TRUE,EXP(0.578+0.332*((Table1[[#This Row],[Gestation (days)]]+0.5)/7)-0.00354*((Table1[[#This Row],[Gestation (days)]]+0.5)/7)^2)*Table1[[#This Row],[BW40_3705]],"")</f>
        <v/>
      </c>
      <c r="G3857" s="2" t="str">
        <f>IF(Table1[[#This Row],[Is Data Valid]]=TRUE,((Table1[[#This Row],[Birthweight (grams)]]/Table1[[#This Row],[BW_GA]])-1)/(Backend!$B$4/100*Table1[[#This Row],[BW40_3705]]),"")</f>
        <v/>
      </c>
      <c r="H3857" s="7" t="str">
        <f>IF(Table1[[#This Row],[Is Data Valid]]=TRUE,((Table1[[#This Row],[Birthweight (grams)]]*0.9/Table1[[#This Row],[BW_GA]])-1)/(Backend!$B$4/100*Table1[[#This Row],[BW40_3705]]),"")</f>
        <v/>
      </c>
      <c r="I3857" s="7" t="str">
        <f>IF(Table1[[#This Row],[Is Data Valid]]=TRUE,((Table1[[#This Row],[Birthweight (grams)]]*1.1/Table1[[#This Row],[BW_GA]])-1)/(Backend!$B$4/100*Table1[[#This Row],[BW40_3705]]),"")</f>
        <v/>
      </c>
      <c r="J3857" s="7" t="str">
        <f>IF(Table1[[#This Row],[Is Data Valid]]=TRUE,_xlfn.NORM.S.DIST(Table1[[#This Row],[Birthweight Z-Score]],TRUE)*100,"")</f>
        <v/>
      </c>
      <c r="K3857" s="7" t="str">
        <f>IF(Table1[[#This Row],[Is Data Valid]]=TRUE,_xlfn.NORM.S.DIST(Table1[[#This Row],[Birthweight Z-Score (BW-10%)]],TRUE)*100,"")</f>
        <v/>
      </c>
      <c r="L3857" s="7" t="str">
        <f>IF(Table1[[#This Row],[Is Data Valid]]=TRUE,_xlfn.NORM.S.DIST(Table1[[#This Row],[Birthweight Z-Score (BW+10%)]],TRUE)*100,"")</f>
        <v/>
      </c>
    </row>
    <row r="3858" spans="1:12" x14ac:dyDescent="0.35">
      <c r="A3858" s="3"/>
      <c r="B3858" s="2"/>
      <c r="C3858" s="2"/>
      <c r="D3858" s="2" t="b">
        <f>IF(AND(NOT(ISBLANK(Table1[[#This Row],[Fetal Sex (Male, Female or Unknown)]])),ISNUMBER(Table1[[#This Row],[Birthweight (grams)]]),ISNUMBER(Table1[[#This Row],[Gestation (days)]])),TRUE,FALSE)</f>
        <v>0</v>
      </c>
      <c r="E3858" s="2" t="str">
        <f>IF(Table1[[#This Row],[Is Data Valid]]=TRUE,IF(Table1[[#This Row],[Fetal Sex (Male, Female or Unknown)]]="Male",Backend!$C$6,IF(Table1[[#This Row],[Fetal Sex (Male, Female or Unknown)]]="Female",Backend!$C$7,IF(Table1[[#This Row],[Fetal Sex (Male, Female or Unknown)]]="Unknown",Backend!$C$8,"Error"))),"")</f>
        <v/>
      </c>
      <c r="F3858" s="8" t="str">
        <f>IF(Table1[[#This Row],[Is Data Valid]]=TRUE,EXP(0.578+0.332*((Table1[[#This Row],[Gestation (days)]]+0.5)/7)-0.00354*((Table1[[#This Row],[Gestation (days)]]+0.5)/7)^2)*Table1[[#This Row],[BW40_3705]],"")</f>
        <v/>
      </c>
      <c r="G3858" s="2" t="str">
        <f>IF(Table1[[#This Row],[Is Data Valid]]=TRUE,((Table1[[#This Row],[Birthweight (grams)]]/Table1[[#This Row],[BW_GA]])-1)/(Backend!$B$4/100*Table1[[#This Row],[BW40_3705]]),"")</f>
        <v/>
      </c>
      <c r="H3858" s="7" t="str">
        <f>IF(Table1[[#This Row],[Is Data Valid]]=TRUE,((Table1[[#This Row],[Birthweight (grams)]]*0.9/Table1[[#This Row],[BW_GA]])-1)/(Backend!$B$4/100*Table1[[#This Row],[BW40_3705]]),"")</f>
        <v/>
      </c>
      <c r="I3858" s="7" t="str">
        <f>IF(Table1[[#This Row],[Is Data Valid]]=TRUE,((Table1[[#This Row],[Birthweight (grams)]]*1.1/Table1[[#This Row],[BW_GA]])-1)/(Backend!$B$4/100*Table1[[#This Row],[BW40_3705]]),"")</f>
        <v/>
      </c>
      <c r="J3858" s="7" t="str">
        <f>IF(Table1[[#This Row],[Is Data Valid]]=TRUE,_xlfn.NORM.S.DIST(Table1[[#This Row],[Birthweight Z-Score]],TRUE)*100,"")</f>
        <v/>
      </c>
      <c r="K3858" s="7" t="str">
        <f>IF(Table1[[#This Row],[Is Data Valid]]=TRUE,_xlfn.NORM.S.DIST(Table1[[#This Row],[Birthweight Z-Score (BW-10%)]],TRUE)*100,"")</f>
        <v/>
      </c>
      <c r="L3858" s="7" t="str">
        <f>IF(Table1[[#This Row],[Is Data Valid]]=TRUE,_xlfn.NORM.S.DIST(Table1[[#This Row],[Birthweight Z-Score (BW+10%)]],TRUE)*100,"")</f>
        <v/>
      </c>
    </row>
    <row r="3859" spans="1:12" x14ac:dyDescent="0.35">
      <c r="A3859" s="3"/>
      <c r="B3859" s="2"/>
      <c r="C3859" s="2"/>
      <c r="D3859" s="2" t="b">
        <f>IF(AND(NOT(ISBLANK(Table1[[#This Row],[Fetal Sex (Male, Female or Unknown)]])),ISNUMBER(Table1[[#This Row],[Birthweight (grams)]]),ISNUMBER(Table1[[#This Row],[Gestation (days)]])),TRUE,FALSE)</f>
        <v>0</v>
      </c>
      <c r="E3859" s="2" t="str">
        <f>IF(Table1[[#This Row],[Is Data Valid]]=TRUE,IF(Table1[[#This Row],[Fetal Sex (Male, Female or Unknown)]]="Male",Backend!$C$6,IF(Table1[[#This Row],[Fetal Sex (Male, Female or Unknown)]]="Female",Backend!$C$7,IF(Table1[[#This Row],[Fetal Sex (Male, Female or Unknown)]]="Unknown",Backend!$C$8,"Error"))),"")</f>
        <v/>
      </c>
      <c r="F3859" s="8" t="str">
        <f>IF(Table1[[#This Row],[Is Data Valid]]=TRUE,EXP(0.578+0.332*((Table1[[#This Row],[Gestation (days)]]+0.5)/7)-0.00354*((Table1[[#This Row],[Gestation (days)]]+0.5)/7)^2)*Table1[[#This Row],[BW40_3705]],"")</f>
        <v/>
      </c>
      <c r="G3859" s="2" t="str">
        <f>IF(Table1[[#This Row],[Is Data Valid]]=TRUE,((Table1[[#This Row],[Birthweight (grams)]]/Table1[[#This Row],[BW_GA]])-1)/(Backend!$B$4/100*Table1[[#This Row],[BW40_3705]]),"")</f>
        <v/>
      </c>
      <c r="H3859" s="7" t="str">
        <f>IF(Table1[[#This Row],[Is Data Valid]]=TRUE,((Table1[[#This Row],[Birthweight (grams)]]*0.9/Table1[[#This Row],[BW_GA]])-1)/(Backend!$B$4/100*Table1[[#This Row],[BW40_3705]]),"")</f>
        <v/>
      </c>
      <c r="I3859" s="7" t="str">
        <f>IF(Table1[[#This Row],[Is Data Valid]]=TRUE,((Table1[[#This Row],[Birthweight (grams)]]*1.1/Table1[[#This Row],[BW_GA]])-1)/(Backend!$B$4/100*Table1[[#This Row],[BW40_3705]]),"")</f>
        <v/>
      </c>
      <c r="J3859" s="7" t="str">
        <f>IF(Table1[[#This Row],[Is Data Valid]]=TRUE,_xlfn.NORM.S.DIST(Table1[[#This Row],[Birthweight Z-Score]],TRUE)*100,"")</f>
        <v/>
      </c>
      <c r="K3859" s="7" t="str">
        <f>IF(Table1[[#This Row],[Is Data Valid]]=TRUE,_xlfn.NORM.S.DIST(Table1[[#This Row],[Birthweight Z-Score (BW-10%)]],TRUE)*100,"")</f>
        <v/>
      </c>
      <c r="L3859" s="7" t="str">
        <f>IF(Table1[[#This Row],[Is Data Valid]]=TRUE,_xlfn.NORM.S.DIST(Table1[[#This Row],[Birthweight Z-Score (BW+10%)]],TRUE)*100,"")</f>
        <v/>
      </c>
    </row>
    <row r="3860" spans="1:12" x14ac:dyDescent="0.35">
      <c r="A3860" s="3"/>
      <c r="B3860" s="2"/>
      <c r="C3860" s="2"/>
      <c r="D3860" s="2" t="b">
        <f>IF(AND(NOT(ISBLANK(Table1[[#This Row],[Fetal Sex (Male, Female or Unknown)]])),ISNUMBER(Table1[[#This Row],[Birthweight (grams)]]),ISNUMBER(Table1[[#This Row],[Gestation (days)]])),TRUE,FALSE)</f>
        <v>0</v>
      </c>
      <c r="E3860" s="2" t="str">
        <f>IF(Table1[[#This Row],[Is Data Valid]]=TRUE,IF(Table1[[#This Row],[Fetal Sex (Male, Female or Unknown)]]="Male",Backend!$C$6,IF(Table1[[#This Row],[Fetal Sex (Male, Female or Unknown)]]="Female",Backend!$C$7,IF(Table1[[#This Row],[Fetal Sex (Male, Female or Unknown)]]="Unknown",Backend!$C$8,"Error"))),"")</f>
        <v/>
      </c>
      <c r="F3860" s="8" t="str">
        <f>IF(Table1[[#This Row],[Is Data Valid]]=TRUE,EXP(0.578+0.332*((Table1[[#This Row],[Gestation (days)]]+0.5)/7)-0.00354*((Table1[[#This Row],[Gestation (days)]]+0.5)/7)^2)*Table1[[#This Row],[BW40_3705]],"")</f>
        <v/>
      </c>
      <c r="G3860" s="2" t="str">
        <f>IF(Table1[[#This Row],[Is Data Valid]]=TRUE,((Table1[[#This Row],[Birthweight (grams)]]/Table1[[#This Row],[BW_GA]])-1)/(Backend!$B$4/100*Table1[[#This Row],[BW40_3705]]),"")</f>
        <v/>
      </c>
      <c r="H3860" s="7" t="str">
        <f>IF(Table1[[#This Row],[Is Data Valid]]=TRUE,((Table1[[#This Row],[Birthweight (grams)]]*0.9/Table1[[#This Row],[BW_GA]])-1)/(Backend!$B$4/100*Table1[[#This Row],[BW40_3705]]),"")</f>
        <v/>
      </c>
      <c r="I3860" s="7" t="str">
        <f>IF(Table1[[#This Row],[Is Data Valid]]=TRUE,((Table1[[#This Row],[Birthweight (grams)]]*1.1/Table1[[#This Row],[BW_GA]])-1)/(Backend!$B$4/100*Table1[[#This Row],[BW40_3705]]),"")</f>
        <v/>
      </c>
      <c r="J3860" s="7" t="str">
        <f>IF(Table1[[#This Row],[Is Data Valid]]=TRUE,_xlfn.NORM.S.DIST(Table1[[#This Row],[Birthweight Z-Score]],TRUE)*100,"")</f>
        <v/>
      </c>
      <c r="K3860" s="7" t="str">
        <f>IF(Table1[[#This Row],[Is Data Valid]]=TRUE,_xlfn.NORM.S.DIST(Table1[[#This Row],[Birthweight Z-Score (BW-10%)]],TRUE)*100,"")</f>
        <v/>
      </c>
      <c r="L3860" s="7" t="str">
        <f>IF(Table1[[#This Row],[Is Data Valid]]=TRUE,_xlfn.NORM.S.DIST(Table1[[#This Row],[Birthweight Z-Score (BW+10%)]],TRUE)*100,"")</f>
        <v/>
      </c>
    </row>
    <row r="3861" spans="1:12" x14ac:dyDescent="0.35">
      <c r="A3861" s="3"/>
      <c r="B3861" s="2"/>
      <c r="C3861" s="2"/>
      <c r="D3861" s="2" t="b">
        <f>IF(AND(NOT(ISBLANK(Table1[[#This Row],[Fetal Sex (Male, Female or Unknown)]])),ISNUMBER(Table1[[#This Row],[Birthweight (grams)]]),ISNUMBER(Table1[[#This Row],[Gestation (days)]])),TRUE,FALSE)</f>
        <v>0</v>
      </c>
      <c r="E3861" s="2" t="str">
        <f>IF(Table1[[#This Row],[Is Data Valid]]=TRUE,IF(Table1[[#This Row],[Fetal Sex (Male, Female or Unknown)]]="Male",Backend!$C$6,IF(Table1[[#This Row],[Fetal Sex (Male, Female or Unknown)]]="Female",Backend!$C$7,IF(Table1[[#This Row],[Fetal Sex (Male, Female or Unknown)]]="Unknown",Backend!$C$8,"Error"))),"")</f>
        <v/>
      </c>
      <c r="F3861" s="8" t="str">
        <f>IF(Table1[[#This Row],[Is Data Valid]]=TRUE,EXP(0.578+0.332*((Table1[[#This Row],[Gestation (days)]]+0.5)/7)-0.00354*((Table1[[#This Row],[Gestation (days)]]+0.5)/7)^2)*Table1[[#This Row],[BW40_3705]],"")</f>
        <v/>
      </c>
      <c r="G3861" s="2" t="str">
        <f>IF(Table1[[#This Row],[Is Data Valid]]=TRUE,((Table1[[#This Row],[Birthweight (grams)]]/Table1[[#This Row],[BW_GA]])-1)/(Backend!$B$4/100*Table1[[#This Row],[BW40_3705]]),"")</f>
        <v/>
      </c>
      <c r="H3861" s="7" t="str">
        <f>IF(Table1[[#This Row],[Is Data Valid]]=TRUE,((Table1[[#This Row],[Birthweight (grams)]]*0.9/Table1[[#This Row],[BW_GA]])-1)/(Backend!$B$4/100*Table1[[#This Row],[BW40_3705]]),"")</f>
        <v/>
      </c>
      <c r="I3861" s="7" t="str">
        <f>IF(Table1[[#This Row],[Is Data Valid]]=TRUE,((Table1[[#This Row],[Birthweight (grams)]]*1.1/Table1[[#This Row],[BW_GA]])-1)/(Backend!$B$4/100*Table1[[#This Row],[BW40_3705]]),"")</f>
        <v/>
      </c>
      <c r="J3861" s="7" t="str">
        <f>IF(Table1[[#This Row],[Is Data Valid]]=TRUE,_xlfn.NORM.S.DIST(Table1[[#This Row],[Birthweight Z-Score]],TRUE)*100,"")</f>
        <v/>
      </c>
      <c r="K3861" s="7" t="str">
        <f>IF(Table1[[#This Row],[Is Data Valid]]=TRUE,_xlfn.NORM.S.DIST(Table1[[#This Row],[Birthweight Z-Score (BW-10%)]],TRUE)*100,"")</f>
        <v/>
      </c>
      <c r="L3861" s="7" t="str">
        <f>IF(Table1[[#This Row],[Is Data Valid]]=TRUE,_xlfn.NORM.S.DIST(Table1[[#This Row],[Birthweight Z-Score (BW+10%)]],TRUE)*100,"")</f>
        <v/>
      </c>
    </row>
    <row r="3862" spans="1:12" x14ac:dyDescent="0.35">
      <c r="A3862" s="3"/>
      <c r="B3862" s="2"/>
      <c r="C3862" s="2"/>
      <c r="D3862" s="2" t="b">
        <f>IF(AND(NOT(ISBLANK(Table1[[#This Row],[Fetal Sex (Male, Female or Unknown)]])),ISNUMBER(Table1[[#This Row],[Birthweight (grams)]]),ISNUMBER(Table1[[#This Row],[Gestation (days)]])),TRUE,FALSE)</f>
        <v>0</v>
      </c>
      <c r="E3862" s="2" t="str">
        <f>IF(Table1[[#This Row],[Is Data Valid]]=TRUE,IF(Table1[[#This Row],[Fetal Sex (Male, Female or Unknown)]]="Male",Backend!$C$6,IF(Table1[[#This Row],[Fetal Sex (Male, Female or Unknown)]]="Female",Backend!$C$7,IF(Table1[[#This Row],[Fetal Sex (Male, Female or Unknown)]]="Unknown",Backend!$C$8,"Error"))),"")</f>
        <v/>
      </c>
      <c r="F3862" s="8" t="str">
        <f>IF(Table1[[#This Row],[Is Data Valid]]=TRUE,EXP(0.578+0.332*((Table1[[#This Row],[Gestation (days)]]+0.5)/7)-0.00354*((Table1[[#This Row],[Gestation (days)]]+0.5)/7)^2)*Table1[[#This Row],[BW40_3705]],"")</f>
        <v/>
      </c>
      <c r="G3862" s="2" t="str">
        <f>IF(Table1[[#This Row],[Is Data Valid]]=TRUE,((Table1[[#This Row],[Birthweight (grams)]]/Table1[[#This Row],[BW_GA]])-1)/(Backend!$B$4/100*Table1[[#This Row],[BW40_3705]]),"")</f>
        <v/>
      </c>
      <c r="H3862" s="7" t="str">
        <f>IF(Table1[[#This Row],[Is Data Valid]]=TRUE,((Table1[[#This Row],[Birthweight (grams)]]*0.9/Table1[[#This Row],[BW_GA]])-1)/(Backend!$B$4/100*Table1[[#This Row],[BW40_3705]]),"")</f>
        <v/>
      </c>
      <c r="I3862" s="7" t="str">
        <f>IF(Table1[[#This Row],[Is Data Valid]]=TRUE,((Table1[[#This Row],[Birthweight (grams)]]*1.1/Table1[[#This Row],[BW_GA]])-1)/(Backend!$B$4/100*Table1[[#This Row],[BW40_3705]]),"")</f>
        <v/>
      </c>
      <c r="J3862" s="7" t="str">
        <f>IF(Table1[[#This Row],[Is Data Valid]]=TRUE,_xlfn.NORM.S.DIST(Table1[[#This Row],[Birthweight Z-Score]],TRUE)*100,"")</f>
        <v/>
      </c>
      <c r="K3862" s="7" t="str">
        <f>IF(Table1[[#This Row],[Is Data Valid]]=TRUE,_xlfn.NORM.S.DIST(Table1[[#This Row],[Birthweight Z-Score (BW-10%)]],TRUE)*100,"")</f>
        <v/>
      </c>
      <c r="L3862" s="7" t="str">
        <f>IF(Table1[[#This Row],[Is Data Valid]]=TRUE,_xlfn.NORM.S.DIST(Table1[[#This Row],[Birthweight Z-Score (BW+10%)]],TRUE)*100,"")</f>
        <v/>
      </c>
    </row>
    <row r="3863" spans="1:12" x14ac:dyDescent="0.35">
      <c r="A3863" s="3"/>
      <c r="B3863" s="2"/>
      <c r="C3863" s="2"/>
      <c r="D3863" s="2" t="b">
        <f>IF(AND(NOT(ISBLANK(Table1[[#This Row],[Fetal Sex (Male, Female or Unknown)]])),ISNUMBER(Table1[[#This Row],[Birthweight (grams)]]),ISNUMBER(Table1[[#This Row],[Gestation (days)]])),TRUE,FALSE)</f>
        <v>0</v>
      </c>
      <c r="E3863" s="2" t="str">
        <f>IF(Table1[[#This Row],[Is Data Valid]]=TRUE,IF(Table1[[#This Row],[Fetal Sex (Male, Female or Unknown)]]="Male",Backend!$C$6,IF(Table1[[#This Row],[Fetal Sex (Male, Female or Unknown)]]="Female",Backend!$C$7,IF(Table1[[#This Row],[Fetal Sex (Male, Female or Unknown)]]="Unknown",Backend!$C$8,"Error"))),"")</f>
        <v/>
      </c>
      <c r="F3863" s="8" t="str">
        <f>IF(Table1[[#This Row],[Is Data Valid]]=TRUE,EXP(0.578+0.332*((Table1[[#This Row],[Gestation (days)]]+0.5)/7)-0.00354*((Table1[[#This Row],[Gestation (days)]]+0.5)/7)^2)*Table1[[#This Row],[BW40_3705]],"")</f>
        <v/>
      </c>
      <c r="G3863" s="2" t="str">
        <f>IF(Table1[[#This Row],[Is Data Valid]]=TRUE,((Table1[[#This Row],[Birthweight (grams)]]/Table1[[#This Row],[BW_GA]])-1)/(Backend!$B$4/100*Table1[[#This Row],[BW40_3705]]),"")</f>
        <v/>
      </c>
      <c r="H3863" s="7" t="str">
        <f>IF(Table1[[#This Row],[Is Data Valid]]=TRUE,((Table1[[#This Row],[Birthweight (grams)]]*0.9/Table1[[#This Row],[BW_GA]])-1)/(Backend!$B$4/100*Table1[[#This Row],[BW40_3705]]),"")</f>
        <v/>
      </c>
      <c r="I3863" s="7" t="str">
        <f>IF(Table1[[#This Row],[Is Data Valid]]=TRUE,((Table1[[#This Row],[Birthweight (grams)]]*1.1/Table1[[#This Row],[BW_GA]])-1)/(Backend!$B$4/100*Table1[[#This Row],[BW40_3705]]),"")</f>
        <v/>
      </c>
      <c r="J3863" s="7" t="str">
        <f>IF(Table1[[#This Row],[Is Data Valid]]=TRUE,_xlfn.NORM.S.DIST(Table1[[#This Row],[Birthweight Z-Score]],TRUE)*100,"")</f>
        <v/>
      </c>
      <c r="K3863" s="7" t="str">
        <f>IF(Table1[[#This Row],[Is Data Valid]]=TRUE,_xlfn.NORM.S.DIST(Table1[[#This Row],[Birthweight Z-Score (BW-10%)]],TRUE)*100,"")</f>
        <v/>
      </c>
      <c r="L3863" s="7" t="str">
        <f>IF(Table1[[#This Row],[Is Data Valid]]=TRUE,_xlfn.NORM.S.DIST(Table1[[#This Row],[Birthweight Z-Score (BW+10%)]],TRUE)*100,"")</f>
        <v/>
      </c>
    </row>
    <row r="3864" spans="1:12" x14ac:dyDescent="0.35">
      <c r="A3864" s="3"/>
      <c r="B3864" s="2"/>
      <c r="C3864" s="2"/>
      <c r="D3864" s="2" t="b">
        <f>IF(AND(NOT(ISBLANK(Table1[[#This Row],[Fetal Sex (Male, Female or Unknown)]])),ISNUMBER(Table1[[#This Row],[Birthweight (grams)]]),ISNUMBER(Table1[[#This Row],[Gestation (days)]])),TRUE,FALSE)</f>
        <v>0</v>
      </c>
      <c r="E3864" s="2" t="str">
        <f>IF(Table1[[#This Row],[Is Data Valid]]=TRUE,IF(Table1[[#This Row],[Fetal Sex (Male, Female or Unknown)]]="Male",Backend!$C$6,IF(Table1[[#This Row],[Fetal Sex (Male, Female or Unknown)]]="Female",Backend!$C$7,IF(Table1[[#This Row],[Fetal Sex (Male, Female or Unknown)]]="Unknown",Backend!$C$8,"Error"))),"")</f>
        <v/>
      </c>
      <c r="F3864" s="8" t="str">
        <f>IF(Table1[[#This Row],[Is Data Valid]]=TRUE,EXP(0.578+0.332*((Table1[[#This Row],[Gestation (days)]]+0.5)/7)-0.00354*((Table1[[#This Row],[Gestation (days)]]+0.5)/7)^2)*Table1[[#This Row],[BW40_3705]],"")</f>
        <v/>
      </c>
      <c r="G3864" s="2" t="str">
        <f>IF(Table1[[#This Row],[Is Data Valid]]=TRUE,((Table1[[#This Row],[Birthweight (grams)]]/Table1[[#This Row],[BW_GA]])-1)/(Backend!$B$4/100*Table1[[#This Row],[BW40_3705]]),"")</f>
        <v/>
      </c>
      <c r="H3864" s="7" t="str">
        <f>IF(Table1[[#This Row],[Is Data Valid]]=TRUE,((Table1[[#This Row],[Birthweight (grams)]]*0.9/Table1[[#This Row],[BW_GA]])-1)/(Backend!$B$4/100*Table1[[#This Row],[BW40_3705]]),"")</f>
        <v/>
      </c>
      <c r="I3864" s="7" t="str">
        <f>IF(Table1[[#This Row],[Is Data Valid]]=TRUE,((Table1[[#This Row],[Birthweight (grams)]]*1.1/Table1[[#This Row],[BW_GA]])-1)/(Backend!$B$4/100*Table1[[#This Row],[BW40_3705]]),"")</f>
        <v/>
      </c>
      <c r="J3864" s="7" t="str">
        <f>IF(Table1[[#This Row],[Is Data Valid]]=TRUE,_xlfn.NORM.S.DIST(Table1[[#This Row],[Birthweight Z-Score]],TRUE)*100,"")</f>
        <v/>
      </c>
      <c r="K3864" s="7" t="str">
        <f>IF(Table1[[#This Row],[Is Data Valid]]=TRUE,_xlfn.NORM.S.DIST(Table1[[#This Row],[Birthweight Z-Score (BW-10%)]],TRUE)*100,"")</f>
        <v/>
      </c>
      <c r="L3864" s="7" t="str">
        <f>IF(Table1[[#This Row],[Is Data Valid]]=TRUE,_xlfn.NORM.S.DIST(Table1[[#This Row],[Birthweight Z-Score (BW+10%)]],TRUE)*100,"")</f>
        <v/>
      </c>
    </row>
    <row r="3865" spans="1:12" x14ac:dyDescent="0.35">
      <c r="A3865" s="3"/>
      <c r="B3865" s="2"/>
      <c r="C3865" s="2"/>
      <c r="D3865" s="2" t="b">
        <f>IF(AND(NOT(ISBLANK(Table1[[#This Row],[Fetal Sex (Male, Female or Unknown)]])),ISNUMBER(Table1[[#This Row],[Birthweight (grams)]]),ISNUMBER(Table1[[#This Row],[Gestation (days)]])),TRUE,FALSE)</f>
        <v>0</v>
      </c>
      <c r="E3865" s="2" t="str">
        <f>IF(Table1[[#This Row],[Is Data Valid]]=TRUE,IF(Table1[[#This Row],[Fetal Sex (Male, Female or Unknown)]]="Male",Backend!$C$6,IF(Table1[[#This Row],[Fetal Sex (Male, Female or Unknown)]]="Female",Backend!$C$7,IF(Table1[[#This Row],[Fetal Sex (Male, Female or Unknown)]]="Unknown",Backend!$C$8,"Error"))),"")</f>
        <v/>
      </c>
      <c r="F3865" s="8" t="str">
        <f>IF(Table1[[#This Row],[Is Data Valid]]=TRUE,EXP(0.578+0.332*((Table1[[#This Row],[Gestation (days)]]+0.5)/7)-0.00354*((Table1[[#This Row],[Gestation (days)]]+0.5)/7)^2)*Table1[[#This Row],[BW40_3705]],"")</f>
        <v/>
      </c>
      <c r="G3865" s="2" t="str">
        <f>IF(Table1[[#This Row],[Is Data Valid]]=TRUE,((Table1[[#This Row],[Birthweight (grams)]]/Table1[[#This Row],[BW_GA]])-1)/(Backend!$B$4/100*Table1[[#This Row],[BW40_3705]]),"")</f>
        <v/>
      </c>
      <c r="H3865" s="7" t="str">
        <f>IF(Table1[[#This Row],[Is Data Valid]]=TRUE,((Table1[[#This Row],[Birthweight (grams)]]*0.9/Table1[[#This Row],[BW_GA]])-1)/(Backend!$B$4/100*Table1[[#This Row],[BW40_3705]]),"")</f>
        <v/>
      </c>
      <c r="I3865" s="7" t="str">
        <f>IF(Table1[[#This Row],[Is Data Valid]]=TRUE,((Table1[[#This Row],[Birthweight (grams)]]*1.1/Table1[[#This Row],[BW_GA]])-1)/(Backend!$B$4/100*Table1[[#This Row],[BW40_3705]]),"")</f>
        <v/>
      </c>
      <c r="J3865" s="7" t="str">
        <f>IF(Table1[[#This Row],[Is Data Valid]]=TRUE,_xlfn.NORM.S.DIST(Table1[[#This Row],[Birthweight Z-Score]],TRUE)*100,"")</f>
        <v/>
      </c>
      <c r="K3865" s="7" t="str">
        <f>IF(Table1[[#This Row],[Is Data Valid]]=TRUE,_xlfn.NORM.S.DIST(Table1[[#This Row],[Birthweight Z-Score (BW-10%)]],TRUE)*100,"")</f>
        <v/>
      </c>
      <c r="L3865" s="7" t="str">
        <f>IF(Table1[[#This Row],[Is Data Valid]]=TRUE,_xlfn.NORM.S.DIST(Table1[[#This Row],[Birthweight Z-Score (BW+10%)]],TRUE)*100,"")</f>
        <v/>
      </c>
    </row>
    <row r="3866" spans="1:12" x14ac:dyDescent="0.35">
      <c r="A3866" s="3"/>
      <c r="B3866" s="2"/>
      <c r="C3866" s="2"/>
      <c r="D3866" s="2" t="b">
        <f>IF(AND(NOT(ISBLANK(Table1[[#This Row],[Fetal Sex (Male, Female or Unknown)]])),ISNUMBER(Table1[[#This Row],[Birthweight (grams)]]),ISNUMBER(Table1[[#This Row],[Gestation (days)]])),TRUE,FALSE)</f>
        <v>0</v>
      </c>
      <c r="E3866" s="2" t="str">
        <f>IF(Table1[[#This Row],[Is Data Valid]]=TRUE,IF(Table1[[#This Row],[Fetal Sex (Male, Female or Unknown)]]="Male",Backend!$C$6,IF(Table1[[#This Row],[Fetal Sex (Male, Female or Unknown)]]="Female",Backend!$C$7,IF(Table1[[#This Row],[Fetal Sex (Male, Female or Unknown)]]="Unknown",Backend!$C$8,"Error"))),"")</f>
        <v/>
      </c>
      <c r="F3866" s="8" t="str">
        <f>IF(Table1[[#This Row],[Is Data Valid]]=TRUE,EXP(0.578+0.332*((Table1[[#This Row],[Gestation (days)]]+0.5)/7)-0.00354*((Table1[[#This Row],[Gestation (days)]]+0.5)/7)^2)*Table1[[#This Row],[BW40_3705]],"")</f>
        <v/>
      </c>
      <c r="G3866" s="2" t="str">
        <f>IF(Table1[[#This Row],[Is Data Valid]]=TRUE,((Table1[[#This Row],[Birthweight (grams)]]/Table1[[#This Row],[BW_GA]])-1)/(Backend!$B$4/100*Table1[[#This Row],[BW40_3705]]),"")</f>
        <v/>
      </c>
      <c r="H3866" s="7" t="str">
        <f>IF(Table1[[#This Row],[Is Data Valid]]=TRUE,((Table1[[#This Row],[Birthweight (grams)]]*0.9/Table1[[#This Row],[BW_GA]])-1)/(Backend!$B$4/100*Table1[[#This Row],[BW40_3705]]),"")</f>
        <v/>
      </c>
      <c r="I3866" s="7" t="str">
        <f>IF(Table1[[#This Row],[Is Data Valid]]=TRUE,((Table1[[#This Row],[Birthweight (grams)]]*1.1/Table1[[#This Row],[BW_GA]])-1)/(Backend!$B$4/100*Table1[[#This Row],[BW40_3705]]),"")</f>
        <v/>
      </c>
      <c r="J3866" s="7" t="str">
        <f>IF(Table1[[#This Row],[Is Data Valid]]=TRUE,_xlfn.NORM.S.DIST(Table1[[#This Row],[Birthweight Z-Score]],TRUE)*100,"")</f>
        <v/>
      </c>
      <c r="K3866" s="7" t="str">
        <f>IF(Table1[[#This Row],[Is Data Valid]]=TRUE,_xlfn.NORM.S.DIST(Table1[[#This Row],[Birthweight Z-Score (BW-10%)]],TRUE)*100,"")</f>
        <v/>
      </c>
      <c r="L3866" s="7" t="str">
        <f>IF(Table1[[#This Row],[Is Data Valid]]=TRUE,_xlfn.NORM.S.DIST(Table1[[#This Row],[Birthweight Z-Score (BW+10%)]],TRUE)*100,"")</f>
        <v/>
      </c>
    </row>
    <row r="3867" spans="1:12" x14ac:dyDescent="0.35">
      <c r="A3867" s="3"/>
      <c r="B3867" s="2"/>
      <c r="C3867" s="2"/>
      <c r="D3867" s="2" t="b">
        <f>IF(AND(NOT(ISBLANK(Table1[[#This Row],[Fetal Sex (Male, Female or Unknown)]])),ISNUMBER(Table1[[#This Row],[Birthweight (grams)]]),ISNUMBER(Table1[[#This Row],[Gestation (days)]])),TRUE,FALSE)</f>
        <v>0</v>
      </c>
      <c r="E3867" s="2" t="str">
        <f>IF(Table1[[#This Row],[Is Data Valid]]=TRUE,IF(Table1[[#This Row],[Fetal Sex (Male, Female or Unknown)]]="Male",Backend!$C$6,IF(Table1[[#This Row],[Fetal Sex (Male, Female or Unknown)]]="Female",Backend!$C$7,IF(Table1[[#This Row],[Fetal Sex (Male, Female or Unknown)]]="Unknown",Backend!$C$8,"Error"))),"")</f>
        <v/>
      </c>
      <c r="F3867" s="8" t="str">
        <f>IF(Table1[[#This Row],[Is Data Valid]]=TRUE,EXP(0.578+0.332*((Table1[[#This Row],[Gestation (days)]]+0.5)/7)-0.00354*((Table1[[#This Row],[Gestation (days)]]+0.5)/7)^2)*Table1[[#This Row],[BW40_3705]],"")</f>
        <v/>
      </c>
      <c r="G3867" s="2" t="str">
        <f>IF(Table1[[#This Row],[Is Data Valid]]=TRUE,((Table1[[#This Row],[Birthweight (grams)]]/Table1[[#This Row],[BW_GA]])-1)/(Backend!$B$4/100*Table1[[#This Row],[BW40_3705]]),"")</f>
        <v/>
      </c>
      <c r="H3867" s="7" t="str">
        <f>IF(Table1[[#This Row],[Is Data Valid]]=TRUE,((Table1[[#This Row],[Birthweight (grams)]]*0.9/Table1[[#This Row],[BW_GA]])-1)/(Backend!$B$4/100*Table1[[#This Row],[BW40_3705]]),"")</f>
        <v/>
      </c>
      <c r="I3867" s="7" t="str">
        <f>IF(Table1[[#This Row],[Is Data Valid]]=TRUE,((Table1[[#This Row],[Birthweight (grams)]]*1.1/Table1[[#This Row],[BW_GA]])-1)/(Backend!$B$4/100*Table1[[#This Row],[BW40_3705]]),"")</f>
        <v/>
      </c>
      <c r="J3867" s="7" t="str">
        <f>IF(Table1[[#This Row],[Is Data Valid]]=TRUE,_xlfn.NORM.S.DIST(Table1[[#This Row],[Birthweight Z-Score]],TRUE)*100,"")</f>
        <v/>
      </c>
      <c r="K3867" s="7" t="str">
        <f>IF(Table1[[#This Row],[Is Data Valid]]=TRUE,_xlfn.NORM.S.DIST(Table1[[#This Row],[Birthweight Z-Score (BW-10%)]],TRUE)*100,"")</f>
        <v/>
      </c>
      <c r="L3867" s="7" t="str">
        <f>IF(Table1[[#This Row],[Is Data Valid]]=TRUE,_xlfn.NORM.S.DIST(Table1[[#This Row],[Birthweight Z-Score (BW+10%)]],TRUE)*100,"")</f>
        <v/>
      </c>
    </row>
    <row r="3868" spans="1:12" x14ac:dyDescent="0.35">
      <c r="A3868" s="3"/>
      <c r="B3868" s="2"/>
      <c r="C3868" s="2"/>
      <c r="D3868" s="2" t="b">
        <f>IF(AND(NOT(ISBLANK(Table1[[#This Row],[Fetal Sex (Male, Female or Unknown)]])),ISNUMBER(Table1[[#This Row],[Birthweight (grams)]]),ISNUMBER(Table1[[#This Row],[Gestation (days)]])),TRUE,FALSE)</f>
        <v>0</v>
      </c>
      <c r="E3868" s="2" t="str">
        <f>IF(Table1[[#This Row],[Is Data Valid]]=TRUE,IF(Table1[[#This Row],[Fetal Sex (Male, Female or Unknown)]]="Male",Backend!$C$6,IF(Table1[[#This Row],[Fetal Sex (Male, Female or Unknown)]]="Female",Backend!$C$7,IF(Table1[[#This Row],[Fetal Sex (Male, Female or Unknown)]]="Unknown",Backend!$C$8,"Error"))),"")</f>
        <v/>
      </c>
      <c r="F3868" s="8" t="str">
        <f>IF(Table1[[#This Row],[Is Data Valid]]=TRUE,EXP(0.578+0.332*((Table1[[#This Row],[Gestation (days)]]+0.5)/7)-0.00354*((Table1[[#This Row],[Gestation (days)]]+0.5)/7)^2)*Table1[[#This Row],[BW40_3705]],"")</f>
        <v/>
      </c>
      <c r="G3868" s="2" t="str">
        <f>IF(Table1[[#This Row],[Is Data Valid]]=TRUE,((Table1[[#This Row],[Birthweight (grams)]]/Table1[[#This Row],[BW_GA]])-1)/(Backend!$B$4/100*Table1[[#This Row],[BW40_3705]]),"")</f>
        <v/>
      </c>
      <c r="H3868" s="7" t="str">
        <f>IF(Table1[[#This Row],[Is Data Valid]]=TRUE,((Table1[[#This Row],[Birthweight (grams)]]*0.9/Table1[[#This Row],[BW_GA]])-1)/(Backend!$B$4/100*Table1[[#This Row],[BW40_3705]]),"")</f>
        <v/>
      </c>
      <c r="I3868" s="7" t="str">
        <f>IF(Table1[[#This Row],[Is Data Valid]]=TRUE,((Table1[[#This Row],[Birthweight (grams)]]*1.1/Table1[[#This Row],[BW_GA]])-1)/(Backend!$B$4/100*Table1[[#This Row],[BW40_3705]]),"")</f>
        <v/>
      </c>
      <c r="J3868" s="7" t="str">
        <f>IF(Table1[[#This Row],[Is Data Valid]]=TRUE,_xlfn.NORM.S.DIST(Table1[[#This Row],[Birthweight Z-Score]],TRUE)*100,"")</f>
        <v/>
      </c>
      <c r="K3868" s="7" t="str">
        <f>IF(Table1[[#This Row],[Is Data Valid]]=TRUE,_xlfn.NORM.S.DIST(Table1[[#This Row],[Birthweight Z-Score (BW-10%)]],TRUE)*100,"")</f>
        <v/>
      </c>
      <c r="L3868" s="7" t="str">
        <f>IF(Table1[[#This Row],[Is Data Valid]]=TRUE,_xlfn.NORM.S.DIST(Table1[[#This Row],[Birthweight Z-Score (BW+10%)]],TRUE)*100,"")</f>
        <v/>
      </c>
    </row>
    <row r="3869" spans="1:12" x14ac:dyDescent="0.35">
      <c r="A3869" s="3"/>
      <c r="B3869" s="2"/>
      <c r="C3869" s="2"/>
      <c r="D3869" s="2" t="b">
        <f>IF(AND(NOT(ISBLANK(Table1[[#This Row],[Fetal Sex (Male, Female or Unknown)]])),ISNUMBER(Table1[[#This Row],[Birthweight (grams)]]),ISNUMBER(Table1[[#This Row],[Gestation (days)]])),TRUE,FALSE)</f>
        <v>0</v>
      </c>
      <c r="E3869" s="2" t="str">
        <f>IF(Table1[[#This Row],[Is Data Valid]]=TRUE,IF(Table1[[#This Row],[Fetal Sex (Male, Female or Unknown)]]="Male",Backend!$C$6,IF(Table1[[#This Row],[Fetal Sex (Male, Female or Unknown)]]="Female",Backend!$C$7,IF(Table1[[#This Row],[Fetal Sex (Male, Female or Unknown)]]="Unknown",Backend!$C$8,"Error"))),"")</f>
        <v/>
      </c>
      <c r="F3869" s="8" t="str">
        <f>IF(Table1[[#This Row],[Is Data Valid]]=TRUE,EXP(0.578+0.332*((Table1[[#This Row],[Gestation (days)]]+0.5)/7)-0.00354*((Table1[[#This Row],[Gestation (days)]]+0.5)/7)^2)*Table1[[#This Row],[BW40_3705]],"")</f>
        <v/>
      </c>
      <c r="G3869" s="2" t="str">
        <f>IF(Table1[[#This Row],[Is Data Valid]]=TRUE,((Table1[[#This Row],[Birthweight (grams)]]/Table1[[#This Row],[BW_GA]])-1)/(Backend!$B$4/100*Table1[[#This Row],[BW40_3705]]),"")</f>
        <v/>
      </c>
      <c r="H3869" s="7" t="str">
        <f>IF(Table1[[#This Row],[Is Data Valid]]=TRUE,((Table1[[#This Row],[Birthweight (grams)]]*0.9/Table1[[#This Row],[BW_GA]])-1)/(Backend!$B$4/100*Table1[[#This Row],[BW40_3705]]),"")</f>
        <v/>
      </c>
      <c r="I3869" s="7" t="str">
        <f>IF(Table1[[#This Row],[Is Data Valid]]=TRUE,((Table1[[#This Row],[Birthweight (grams)]]*1.1/Table1[[#This Row],[BW_GA]])-1)/(Backend!$B$4/100*Table1[[#This Row],[BW40_3705]]),"")</f>
        <v/>
      </c>
      <c r="J3869" s="7" t="str">
        <f>IF(Table1[[#This Row],[Is Data Valid]]=TRUE,_xlfn.NORM.S.DIST(Table1[[#This Row],[Birthweight Z-Score]],TRUE)*100,"")</f>
        <v/>
      </c>
      <c r="K3869" s="7" t="str">
        <f>IF(Table1[[#This Row],[Is Data Valid]]=TRUE,_xlfn.NORM.S.DIST(Table1[[#This Row],[Birthweight Z-Score (BW-10%)]],TRUE)*100,"")</f>
        <v/>
      </c>
      <c r="L3869" s="7" t="str">
        <f>IF(Table1[[#This Row],[Is Data Valid]]=TRUE,_xlfn.NORM.S.DIST(Table1[[#This Row],[Birthweight Z-Score (BW+10%)]],TRUE)*100,"")</f>
        <v/>
      </c>
    </row>
    <row r="3870" spans="1:12" x14ac:dyDescent="0.35">
      <c r="A3870" s="3"/>
      <c r="B3870" s="2"/>
      <c r="C3870" s="2"/>
      <c r="D3870" s="2" t="b">
        <f>IF(AND(NOT(ISBLANK(Table1[[#This Row],[Fetal Sex (Male, Female or Unknown)]])),ISNUMBER(Table1[[#This Row],[Birthweight (grams)]]),ISNUMBER(Table1[[#This Row],[Gestation (days)]])),TRUE,FALSE)</f>
        <v>0</v>
      </c>
      <c r="E3870" s="2" t="str">
        <f>IF(Table1[[#This Row],[Is Data Valid]]=TRUE,IF(Table1[[#This Row],[Fetal Sex (Male, Female or Unknown)]]="Male",Backend!$C$6,IF(Table1[[#This Row],[Fetal Sex (Male, Female or Unknown)]]="Female",Backend!$C$7,IF(Table1[[#This Row],[Fetal Sex (Male, Female or Unknown)]]="Unknown",Backend!$C$8,"Error"))),"")</f>
        <v/>
      </c>
      <c r="F3870" s="8" t="str">
        <f>IF(Table1[[#This Row],[Is Data Valid]]=TRUE,EXP(0.578+0.332*((Table1[[#This Row],[Gestation (days)]]+0.5)/7)-0.00354*((Table1[[#This Row],[Gestation (days)]]+0.5)/7)^2)*Table1[[#This Row],[BW40_3705]],"")</f>
        <v/>
      </c>
      <c r="G3870" s="2" t="str">
        <f>IF(Table1[[#This Row],[Is Data Valid]]=TRUE,((Table1[[#This Row],[Birthweight (grams)]]/Table1[[#This Row],[BW_GA]])-1)/(Backend!$B$4/100*Table1[[#This Row],[BW40_3705]]),"")</f>
        <v/>
      </c>
      <c r="H3870" s="7" t="str">
        <f>IF(Table1[[#This Row],[Is Data Valid]]=TRUE,((Table1[[#This Row],[Birthweight (grams)]]*0.9/Table1[[#This Row],[BW_GA]])-1)/(Backend!$B$4/100*Table1[[#This Row],[BW40_3705]]),"")</f>
        <v/>
      </c>
      <c r="I3870" s="7" t="str">
        <f>IF(Table1[[#This Row],[Is Data Valid]]=TRUE,((Table1[[#This Row],[Birthweight (grams)]]*1.1/Table1[[#This Row],[BW_GA]])-1)/(Backend!$B$4/100*Table1[[#This Row],[BW40_3705]]),"")</f>
        <v/>
      </c>
      <c r="J3870" s="7" t="str">
        <f>IF(Table1[[#This Row],[Is Data Valid]]=TRUE,_xlfn.NORM.S.DIST(Table1[[#This Row],[Birthweight Z-Score]],TRUE)*100,"")</f>
        <v/>
      </c>
      <c r="K3870" s="7" t="str">
        <f>IF(Table1[[#This Row],[Is Data Valid]]=TRUE,_xlfn.NORM.S.DIST(Table1[[#This Row],[Birthweight Z-Score (BW-10%)]],TRUE)*100,"")</f>
        <v/>
      </c>
      <c r="L3870" s="7" t="str">
        <f>IF(Table1[[#This Row],[Is Data Valid]]=TRUE,_xlfn.NORM.S.DIST(Table1[[#This Row],[Birthweight Z-Score (BW+10%)]],TRUE)*100,"")</f>
        <v/>
      </c>
    </row>
    <row r="3871" spans="1:12" x14ac:dyDescent="0.35">
      <c r="A3871" s="3"/>
      <c r="B3871" s="2"/>
      <c r="C3871" s="2"/>
      <c r="D3871" s="2" t="b">
        <f>IF(AND(NOT(ISBLANK(Table1[[#This Row],[Fetal Sex (Male, Female or Unknown)]])),ISNUMBER(Table1[[#This Row],[Birthweight (grams)]]),ISNUMBER(Table1[[#This Row],[Gestation (days)]])),TRUE,FALSE)</f>
        <v>0</v>
      </c>
      <c r="E3871" s="2" t="str">
        <f>IF(Table1[[#This Row],[Is Data Valid]]=TRUE,IF(Table1[[#This Row],[Fetal Sex (Male, Female or Unknown)]]="Male",Backend!$C$6,IF(Table1[[#This Row],[Fetal Sex (Male, Female or Unknown)]]="Female",Backend!$C$7,IF(Table1[[#This Row],[Fetal Sex (Male, Female or Unknown)]]="Unknown",Backend!$C$8,"Error"))),"")</f>
        <v/>
      </c>
      <c r="F3871" s="8" t="str">
        <f>IF(Table1[[#This Row],[Is Data Valid]]=TRUE,EXP(0.578+0.332*((Table1[[#This Row],[Gestation (days)]]+0.5)/7)-0.00354*((Table1[[#This Row],[Gestation (days)]]+0.5)/7)^2)*Table1[[#This Row],[BW40_3705]],"")</f>
        <v/>
      </c>
      <c r="G3871" s="2" t="str">
        <f>IF(Table1[[#This Row],[Is Data Valid]]=TRUE,((Table1[[#This Row],[Birthweight (grams)]]/Table1[[#This Row],[BW_GA]])-1)/(Backend!$B$4/100*Table1[[#This Row],[BW40_3705]]),"")</f>
        <v/>
      </c>
      <c r="H3871" s="7" t="str">
        <f>IF(Table1[[#This Row],[Is Data Valid]]=TRUE,((Table1[[#This Row],[Birthweight (grams)]]*0.9/Table1[[#This Row],[BW_GA]])-1)/(Backend!$B$4/100*Table1[[#This Row],[BW40_3705]]),"")</f>
        <v/>
      </c>
      <c r="I3871" s="7" t="str">
        <f>IF(Table1[[#This Row],[Is Data Valid]]=TRUE,((Table1[[#This Row],[Birthweight (grams)]]*1.1/Table1[[#This Row],[BW_GA]])-1)/(Backend!$B$4/100*Table1[[#This Row],[BW40_3705]]),"")</f>
        <v/>
      </c>
      <c r="J3871" s="7" t="str">
        <f>IF(Table1[[#This Row],[Is Data Valid]]=TRUE,_xlfn.NORM.S.DIST(Table1[[#This Row],[Birthweight Z-Score]],TRUE)*100,"")</f>
        <v/>
      </c>
      <c r="K3871" s="7" t="str">
        <f>IF(Table1[[#This Row],[Is Data Valid]]=TRUE,_xlfn.NORM.S.DIST(Table1[[#This Row],[Birthweight Z-Score (BW-10%)]],TRUE)*100,"")</f>
        <v/>
      </c>
      <c r="L3871" s="7" t="str">
        <f>IF(Table1[[#This Row],[Is Data Valid]]=TRUE,_xlfn.NORM.S.DIST(Table1[[#This Row],[Birthweight Z-Score (BW+10%)]],TRUE)*100,"")</f>
        <v/>
      </c>
    </row>
    <row r="3872" spans="1:12" x14ac:dyDescent="0.35">
      <c r="A3872" s="3"/>
      <c r="B3872" s="2"/>
      <c r="C3872" s="2"/>
      <c r="D3872" s="2" t="b">
        <f>IF(AND(NOT(ISBLANK(Table1[[#This Row],[Fetal Sex (Male, Female or Unknown)]])),ISNUMBER(Table1[[#This Row],[Birthweight (grams)]]),ISNUMBER(Table1[[#This Row],[Gestation (days)]])),TRUE,FALSE)</f>
        <v>0</v>
      </c>
      <c r="E3872" s="2" t="str">
        <f>IF(Table1[[#This Row],[Is Data Valid]]=TRUE,IF(Table1[[#This Row],[Fetal Sex (Male, Female or Unknown)]]="Male",Backend!$C$6,IF(Table1[[#This Row],[Fetal Sex (Male, Female or Unknown)]]="Female",Backend!$C$7,IF(Table1[[#This Row],[Fetal Sex (Male, Female or Unknown)]]="Unknown",Backend!$C$8,"Error"))),"")</f>
        <v/>
      </c>
      <c r="F3872" s="8" t="str">
        <f>IF(Table1[[#This Row],[Is Data Valid]]=TRUE,EXP(0.578+0.332*((Table1[[#This Row],[Gestation (days)]]+0.5)/7)-0.00354*((Table1[[#This Row],[Gestation (days)]]+0.5)/7)^2)*Table1[[#This Row],[BW40_3705]],"")</f>
        <v/>
      </c>
      <c r="G3872" s="2" t="str">
        <f>IF(Table1[[#This Row],[Is Data Valid]]=TRUE,((Table1[[#This Row],[Birthweight (grams)]]/Table1[[#This Row],[BW_GA]])-1)/(Backend!$B$4/100*Table1[[#This Row],[BW40_3705]]),"")</f>
        <v/>
      </c>
      <c r="H3872" s="7" t="str">
        <f>IF(Table1[[#This Row],[Is Data Valid]]=TRUE,((Table1[[#This Row],[Birthweight (grams)]]*0.9/Table1[[#This Row],[BW_GA]])-1)/(Backend!$B$4/100*Table1[[#This Row],[BW40_3705]]),"")</f>
        <v/>
      </c>
      <c r="I3872" s="7" t="str">
        <f>IF(Table1[[#This Row],[Is Data Valid]]=TRUE,((Table1[[#This Row],[Birthweight (grams)]]*1.1/Table1[[#This Row],[BW_GA]])-1)/(Backend!$B$4/100*Table1[[#This Row],[BW40_3705]]),"")</f>
        <v/>
      </c>
      <c r="J3872" s="7" t="str">
        <f>IF(Table1[[#This Row],[Is Data Valid]]=TRUE,_xlfn.NORM.S.DIST(Table1[[#This Row],[Birthweight Z-Score]],TRUE)*100,"")</f>
        <v/>
      </c>
      <c r="K3872" s="7" t="str">
        <f>IF(Table1[[#This Row],[Is Data Valid]]=TRUE,_xlfn.NORM.S.DIST(Table1[[#This Row],[Birthweight Z-Score (BW-10%)]],TRUE)*100,"")</f>
        <v/>
      </c>
      <c r="L3872" s="7" t="str">
        <f>IF(Table1[[#This Row],[Is Data Valid]]=TRUE,_xlfn.NORM.S.DIST(Table1[[#This Row],[Birthweight Z-Score (BW+10%)]],TRUE)*100,"")</f>
        <v/>
      </c>
    </row>
    <row r="3873" spans="1:12" x14ac:dyDescent="0.35">
      <c r="A3873" s="3"/>
      <c r="B3873" s="2"/>
      <c r="C3873" s="2"/>
      <c r="D3873" s="2" t="b">
        <f>IF(AND(NOT(ISBLANK(Table1[[#This Row],[Fetal Sex (Male, Female or Unknown)]])),ISNUMBER(Table1[[#This Row],[Birthweight (grams)]]),ISNUMBER(Table1[[#This Row],[Gestation (days)]])),TRUE,FALSE)</f>
        <v>0</v>
      </c>
      <c r="E3873" s="2" t="str">
        <f>IF(Table1[[#This Row],[Is Data Valid]]=TRUE,IF(Table1[[#This Row],[Fetal Sex (Male, Female or Unknown)]]="Male",Backend!$C$6,IF(Table1[[#This Row],[Fetal Sex (Male, Female or Unknown)]]="Female",Backend!$C$7,IF(Table1[[#This Row],[Fetal Sex (Male, Female or Unknown)]]="Unknown",Backend!$C$8,"Error"))),"")</f>
        <v/>
      </c>
      <c r="F3873" s="8" t="str">
        <f>IF(Table1[[#This Row],[Is Data Valid]]=TRUE,EXP(0.578+0.332*((Table1[[#This Row],[Gestation (days)]]+0.5)/7)-0.00354*((Table1[[#This Row],[Gestation (days)]]+0.5)/7)^2)*Table1[[#This Row],[BW40_3705]],"")</f>
        <v/>
      </c>
      <c r="G3873" s="2" t="str">
        <f>IF(Table1[[#This Row],[Is Data Valid]]=TRUE,((Table1[[#This Row],[Birthweight (grams)]]/Table1[[#This Row],[BW_GA]])-1)/(Backend!$B$4/100*Table1[[#This Row],[BW40_3705]]),"")</f>
        <v/>
      </c>
      <c r="H3873" s="7" t="str">
        <f>IF(Table1[[#This Row],[Is Data Valid]]=TRUE,((Table1[[#This Row],[Birthweight (grams)]]*0.9/Table1[[#This Row],[BW_GA]])-1)/(Backend!$B$4/100*Table1[[#This Row],[BW40_3705]]),"")</f>
        <v/>
      </c>
      <c r="I3873" s="7" t="str">
        <f>IF(Table1[[#This Row],[Is Data Valid]]=TRUE,((Table1[[#This Row],[Birthweight (grams)]]*1.1/Table1[[#This Row],[BW_GA]])-1)/(Backend!$B$4/100*Table1[[#This Row],[BW40_3705]]),"")</f>
        <v/>
      </c>
      <c r="J3873" s="7" t="str">
        <f>IF(Table1[[#This Row],[Is Data Valid]]=TRUE,_xlfn.NORM.S.DIST(Table1[[#This Row],[Birthweight Z-Score]],TRUE)*100,"")</f>
        <v/>
      </c>
      <c r="K3873" s="7" t="str">
        <f>IF(Table1[[#This Row],[Is Data Valid]]=TRUE,_xlfn.NORM.S.DIST(Table1[[#This Row],[Birthweight Z-Score (BW-10%)]],TRUE)*100,"")</f>
        <v/>
      </c>
      <c r="L3873" s="7" t="str">
        <f>IF(Table1[[#This Row],[Is Data Valid]]=TRUE,_xlfn.NORM.S.DIST(Table1[[#This Row],[Birthweight Z-Score (BW+10%)]],TRUE)*100,"")</f>
        <v/>
      </c>
    </row>
    <row r="3874" spans="1:12" x14ac:dyDescent="0.35">
      <c r="A3874" s="3"/>
      <c r="B3874" s="2"/>
      <c r="C3874" s="2"/>
      <c r="D3874" s="2" t="b">
        <f>IF(AND(NOT(ISBLANK(Table1[[#This Row],[Fetal Sex (Male, Female or Unknown)]])),ISNUMBER(Table1[[#This Row],[Birthweight (grams)]]),ISNUMBER(Table1[[#This Row],[Gestation (days)]])),TRUE,FALSE)</f>
        <v>0</v>
      </c>
      <c r="E3874" s="2" t="str">
        <f>IF(Table1[[#This Row],[Is Data Valid]]=TRUE,IF(Table1[[#This Row],[Fetal Sex (Male, Female or Unknown)]]="Male",Backend!$C$6,IF(Table1[[#This Row],[Fetal Sex (Male, Female or Unknown)]]="Female",Backend!$C$7,IF(Table1[[#This Row],[Fetal Sex (Male, Female or Unknown)]]="Unknown",Backend!$C$8,"Error"))),"")</f>
        <v/>
      </c>
      <c r="F3874" s="8" t="str">
        <f>IF(Table1[[#This Row],[Is Data Valid]]=TRUE,EXP(0.578+0.332*((Table1[[#This Row],[Gestation (days)]]+0.5)/7)-0.00354*((Table1[[#This Row],[Gestation (days)]]+0.5)/7)^2)*Table1[[#This Row],[BW40_3705]],"")</f>
        <v/>
      </c>
      <c r="G3874" s="2" t="str">
        <f>IF(Table1[[#This Row],[Is Data Valid]]=TRUE,((Table1[[#This Row],[Birthweight (grams)]]/Table1[[#This Row],[BW_GA]])-1)/(Backend!$B$4/100*Table1[[#This Row],[BW40_3705]]),"")</f>
        <v/>
      </c>
      <c r="H3874" s="7" t="str">
        <f>IF(Table1[[#This Row],[Is Data Valid]]=TRUE,((Table1[[#This Row],[Birthweight (grams)]]*0.9/Table1[[#This Row],[BW_GA]])-1)/(Backend!$B$4/100*Table1[[#This Row],[BW40_3705]]),"")</f>
        <v/>
      </c>
      <c r="I3874" s="7" t="str">
        <f>IF(Table1[[#This Row],[Is Data Valid]]=TRUE,((Table1[[#This Row],[Birthweight (grams)]]*1.1/Table1[[#This Row],[BW_GA]])-1)/(Backend!$B$4/100*Table1[[#This Row],[BW40_3705]]),"")</f>
        <v/>
      </c>
      <c r="J3874" s="7" t="str">
        <f>IF(Table1[[#This Row],[Is Data Valid]]=TRUE,_xlfn.NORM.S.DIST(Table1[[#This Row],[Birthweight Z-Score]],TRUE)*100,"")</f>
        <v/>
      </c>
      <c r="K3874" s="7" t="str">
        <f>IF(Table1[[#This Row],[Is Data Valid]]=TRUE,_xlfn.NORM.S.DIST(Table1[[#This Row],[Birthweight Z-Score (BW-10%)]],TRUE)*100,"")</f>
        <v/>
      </c>
      <c r="L3874" s="7" t="str">
        <f>IF(Table1[[#This Row],[Is Data Valid]]=TRUE,_xlfn.NORM.S.DIST(Table1[[#This Row],[Birthweight Z-Score (BW+10%)]],TRUE)*100,"")</f>
        <v/>
      </c>
    </row>
    <row r="3875" spans="1:12" x14ac:dyDescent="0.35">
      <c r="A3875" s="3"/>
      <c r="B3875" s="2"/>
      <c r="C3875" s="2"/>
      <c r="D3875" s="2" t="b">
        <f>IF(AND(NOT(ISBLANK(Table1[[#This Row],[Fetal Sex (Male, Female or Unknown)]])),ISNUMBER(Table1[[#This Row],[Birthweight (grams)]]),ISNUMBER(Table1[[#This Row],[Gestation (days)]])),TRUE,FALSE)</f>
        <v>0</v>
      </c>
      <c r="E3875" s="2" t="str">
        <f>IF(Table1[[#This Row],[Is Data Valid]]=TRUE,IF(Table1[[#This Row],[Fetal Sex (Male, Female or Unknown)]]="Male",Backend!$C$6,IF(Table1[[#This Row],[Fetal Sex (Male, Female or Unknown)]]="Female",Backend!$C$7,IF(Table1[[#This Row],[Fetal Sex (Male, Female or Unknown)]]="Unknown",Backend!$C$8,"Error"))),"")</f>
        <v/>
      </c>
      <c r="F3875" s="8" t="str">
        <f>IF(Table1[[#This Row],[Is Data Valid]]=TRUE,EXP(0.578+0.332*((Table1[[#This Row],[Gestation (days)]]+0.5)/7)-0.00354*((Table1[[#This Row],[Gestation (days)]]+0.5)/7)^2)*Table1[[#This Row],[BW40_3705]],"")</f>
        <v/>
      </c>
      <c r="G3875" s="2" t="str">
        <f>IF(Table1[[#This Row],[Is Data Valid]]=TRUE,((Table1[[#This Row],[Birthweight (grams)]]/Table1[[#This Row],[BW_GA]])-1)/(Backend!$B$4/100*Table1[[#This Row],[BW40_3705]]),"")</f>
        <v/>
      </c>
      <c r="H3875" s="7" t="str">
        <f>IF(Table1[[#This Row],[Is Data Valid]]=TRUE,((Table1[[#This Row],[Birthweight (grams)]]*0.9/Table1[[#This Row],[BW_GA]])-1)/(Backend!$B$4/100*Table1[[#This Row],[BW40_3705]]),"")</f>
        <v/>
      </c>
      <c r="I3875" s="7" t="str">
        <f>IF(Table1[[#This Row],[Is Data Valid]]=TRUE,((Table1[[#This Row],[Birthweight (grams)]]*1.1/Table1[[#This Row],[BW_GA]])-1)/(Backend!$B$4/100*Table1[[#This Row],[BW40_3705]]),"")</f>
        <v/>
      </c>
      <c r="J3875" s="7" t="str">
        <f>IF(Table1[[#This Row],[Is Data Valid]]=TRUE,_xlfn.NORM.S.DIST(Table1[[#This Row],[Birthweight Z-Score]],TRUE)*100,"")</f>
        <v/>
      </c>
      <c r="K3875" s="7" t="str">
        <f>IF(Table1[[#This Row],[Is Data Valid]]=TRUE,_xlfn.NORM.S.DIST(Table1[[#This Row],[Birthweight Z-Score (BW-10%)]],TRUE)*100,"")</f>
        <v/>
      </c>
      <c r="L3875" s="7" t="str">
        <f>IF(Table1[[#This Row],[Is Data Valid]]=TRUE,_xlfn.NORM.S.DIST(Table1[[#This Row],[Birthweight Z-Score (BW+10%)]],TRUE)*100,"")</f>
        <v/>
      </c>
    </row>
    <row r="3876" spans="1:12" x14ac:dyDescent="0.35">
      <c r="A3876" s="3"/>
      <c r="B3876" s="2"/>
      <c r="C3876" s="2"/>
      <c r="D3876" s="2" t="b">
        <f>IF(AND(NOT(ISBLANK(Table1[[#This Row],[Fetal Sex (Male, Female or Unknown)]])),ISNUMBER(Table1[[#This Row],[Birthweight (grams)]]),ISNUMBER(Table1[[#This Row],[Gestation (days)]])),TRUE,FALSE)</f>
        <v>0</v>
      </c>
      <c r="E3876" s="2" t="str">
        <f>IF(Table1[[#This Row],[Is Data Valid]]=TRUE,IF(Table1[[#This Row],[Fetal Sex (Male, Female or Unknown)]]="Male",Backend!$C$6,IF(Table1[[#This Row],[Fetal Sex (Male, Female or Unknown)]]="Female",Backend!$C$7,IF(Table1[[#This Row],[Fetal Sex (Male, Female or Unknown)]]="Unknown",Backend!$C$8,"Error"))),"")</f>
        <v/>
      </c>
      <c r="F3876" s="8" t="str">
        <f>IF(Table1[[#This Row],[Is Data Valid]]=TRUE,EXP(0.578+0.332*((Table1[[#This Row],[Gestation (days)]]+0.5)/7)-0.00354*((Table1[[#This Row],[Gestation (days)]]+0.5)/7)^2)*Table1[[#This Row],[BW40_3705]],"")</f>
        <v/>
      </c>
      <c r="G3876" s="2" t="str">
        <f>IF(Table1[[#This Row],[Is Data Valid]]=TRUE,((Table1[[#This Row],[Birthweight (grams)]]/Table1[[#This Row],[BW_GA]])-1)/(Backend!$B$4/100*Table1[[#This Row],[BW40_3705]]),"")</f>
        <v/>
      </c>
      <c r="H3876" s="7" t="str">
        <f>IF(Table1[[#This Row],[Is Data Valid]]=TRUE,((Table1[[#This Row],[Birthweight (grams)]]*0.9/Table1[[#This Row],[BW_GA]])-1)/(Backend!$B$4/100*Table1[[#This Row],[BW40_3705]]),"")</f>
        <v/>
      </c>
      <c r="I3876" s="7" t="str">
        <f>IF(Table1[[#This Row],[Is Data Valid]]=TRUE,((Table1[[#This Row],[Birthweight (grams)]]*1.1/Table1[[#This Row],[BW_GA]])-1)/(Backend!$B$4/100*Table1[[#This Row],[BW40_3705]]),"")</f>
        <v/>
      </c>
      <c r="J3876" s="7" t="str">
        <f>IF(Table1[[#This Row],[Is Data Valid]]=TRUE,_xlfn.NORM.S.DIST(Table1[[#This Row],[Birthweight Z-Score]],TRUE)*100,"")</f>
        <v/>
      </c>
      <c r="K3876" s="7" t="str">
        <f>IF(Table1[[#This Row],[Is Data Valid]]=TRUE,_xlfn.NORM.S.DIST(Table1[[#This Row],[Birthweight Z-Score (BW-10%)]],TRUE)*100,"")</f>
        <v/>
      </c>
      <c r="L3876" s="7" t="str">
        <f>IF(Table1[[#This Row],[Is Data Valid]]=TRUE,_xlfn.NORM.S.DIST(Table1[[#This Row],[Birthweight Z-Score (BW+10%)]],TRUE)*100,"")</f>
        <v/>
      </c>
    </row>
    <row r="3877" spans="1:12" x14ac:dyDescent="0.35">
      <c r="A3877" s="3"/>
      <c r="B3877" s="2"/>
      <c r="C3877" s="2"/>
      <c r="D3877" s="2" t="b">
        <f>IF(AND(NOT(ISBLANK(Table1[[#This Row],[Fetal Sex (Male, Female or Unknown)]])),ISNUMBER(Table1[[#This Row],[Birthweight (grams)]]),ISNUMBER(Table1[[#This Row],[Gestation (days)]])),TRUE,FALSE)</f>
        <v>0</v>
      </c>
      <c r="E3877" s="2" t="str">
        <f>IF(Table1[[#This Row],[Is Data Valid]]=TRUE,IF(Table1[[#This Row],[Fetal Sex (Male, Female or Unknown)]]="Male",Backend!$C$6,IF(Table1[[#This Row],[Fetal Sex (Male, Female or Unknown)]]="Female",Backend!$C$7,IF(Table1[[#This Row],[Fetal Sex (Male, Female or Unknown)]]="Unknown",Backend!$C$8,"Error"))),"")</f>
        <v/>
      </c>
      <c r="F3877" s="8" t="str">
        <f>IF(Table1[[#This Row],[Is Data Valid]]=TRUE,EXP(0.578+0.332*((Table1[[#This Row],[Gestation (days)]]+0.5)/7)-0.00354*((Table1[[#This Row],[Gestation (days)]]+0.5)/7)^2)*Table1[[#This Row],[BW40_3705]],"")</f>
        <v/>
      </c>
      <c r="G3877" s="2" t="str">
        <f>IF(Table1[[#This Row],[Is Data Valid]]=TRUE,((Table1[[#This Row],[Birthweight (grams)]]/Table1[[#This Row],[BW_GA]])-1)/(Backend!$B$4/100*Table1[[#This Row],[BW40_3705]]),"")</f>
        <v/>
      </c>
      <c r="H3877" s="7" t="str">
        <f>IF(Table1[[#This Row],[Is Data Valid]]=TRUE,((Table1[[#This Row],[Birthweight (grams)]]*0.9/Table1[[#This Row],[BW_GA]])-1)/(Backend!$B$4/100*Table1[[#This Row],[BW40_3705]]),"")</f>
        <v/>
      </c>
      <c r="I3877" s="7" t="str">
        <f>IF(Table1[[#This Row],[Is Data Valid]]=TRUE,((Table1[[#This Row],[Birthweight (grams)]]*1.1/Table1[[#This Row],[BW_GA]])-1)/(Backend!$B$4/100*Table1[[#This Row],[BW40_3705]]),"")</f>
        <v/>
      </c>
      <c r="J3877" s="7" t="str">
        <f>IF(Table1[[#This Row],[Is Data Valid]]=TRUE,_xlfn.NORM.S.DIST(Table1[[#This Row],[Birthweight Z-Score]],TRUE)*100,"")</f>
        <v/>
      </c>
      <c r="K3877" s="7" t="str">
        <f>IF(Table1[[#This Row],[Is Data Valid]]=TRUE,_xlfn.NORM.S.DIST(Table1[[#This Row],[Birthweight Z-Score (BW-10%)]],TRUE)*100,"")</f>
        <v/>
      </c>
      <c r="L3877" s="7" t="str">
        <f>IF(Table1[[#This Row],[Is Data Valid]]=TRUE,_xlfn.NORM.S.DIST(Table1[[#This Row],[Birthweight Z-Score (BW+10%)]],TRUE)*100,"")</f>
        <v/>
      </c>
    </row>
    <row r="3878" spans="1:12" x14ac:dyDescent="0.35">
      <c r="A3878" s="3"/>
      <c r="B3878" s="2"/>
      <c r="C3878" s="2"/>
      <c r="D3878" s="2" t="b">
        <f>IF(AND(NOT(ISBLANK(Table1[[#This Row],[Fetal Sex (Male, Female or Unknown)]])),ISNUMBER(Table1[[#This Row],[Birthweight (grams)]]),ISNUMBER(Table1[[#This Row],[Gestation (days)]])),TRUE,FALSE)</f>
        <v>0</v>
      </c>
      <c r="E3878" s="2" t="str">
        <f>IF(Table1[[#This Row],[Is Data Valid]]=TRUE,IF(Table1[[#This Row],[Fetal Sex (Male, Female or Unknown)]]="Male",Backend!$C$6,IF(Table1[[#This Row],[Fetal Sex (Male, Female or Unknown)]]="Female",Backend!$C$7,IF(Table1[[#This Row],[Fetal Sex (Male, Female or Unknown)]]="Unknown",Backend!$C$8,"Error"))),"")</f>
        <v/>
      </c>
      <c r="F3878" s="8" t="str">
        <f>IF(Table1[[#This Row],[Is Data Valid]]=TRUE,EXP(0.578+0.332*((Table1[[#This Row],[Gestation (days)]]+0.5)/7)-0.00354*((Table1[[#This Row],[Gestation (days)]]+0.5)/7)^2)*Table1[[#This Row],[BW40_3705]],"")</f>
        <v/>
      </c>
      <c r="G3878" s="2" t="str">
        <f>IF(Table1[[#This Row],[Is Data Valid]]=TRUE,((Table1[[#This Row],[Birthweight (grams)]]/Table1[[#This Row],[BW_GA]])-1)/(Backend!$B$4/100*Table1[[#This Row],[BW40_3705]]),"")</f>
        <v/>
      </c>
      <c r="H3878" s="7" t="str">
        <f>IF(Table1[[#This Row],[Is Data Valid]]=TRUE,((Table1[[#This Row],[Birthweight (grams)]]*0.9/Table1[[#This Row],[BW_GA]])-1)/(Backend!$B$4/100*Table1[[#This Row],[BW40_3705]]),"")</f>
        <v/>
      </c>
      <c r="I3878" s="7" t="str">
        <f>IF(Table1[[#This Row],[Is Data Valid]]=TRUE,((Table1[[#This Row],[Birthweight (grams)]]*1.1/Table1[[#This Row],[BW_GA]])-1)/(Backend!$B$4/100*Table1[[#This Row],[BW40_3705]]),"")</f>
        <v/>
      </c>
      <c r="J3878" s="7" t="str">
        <f>IF(Table1[[#This Row],[Is Data Valid]]=TRUE,_xlfn.NORM.S.DIST(Table1[[#This Row],[Birthweight Z-Score]],TRUE)*100,"")</f>
        <v/>
      </c>
      <c r="K3878" s="7" t="str">
        <f>IF(Table1[[#This Row],[Is Data Valid]]=TRUE,_xlfn.NORM.S.DIST(Table1[[#This Row],[Birthweight Z-Score (BW-10%)]],TRUE)*100,"")</f>
        <v/>
      </c>
      <c r="L3878" s="7" t="str">
        <f>IF(Table1[[#This Row],[Is Data Valid]]=TRUE,_xlfn.NORM.S.DIST(Table1[[#This Row],[Birthweight Z-Score (BW+10%)]],TRUE)*100,"")</f>
        <v/>
      </c>
    </row>
    <row r="3879" spans="1:12" x14ac:dyDescent="0.35">
      <c r="A3879" s="3"/>
      <c r="B3879" s="2"/>
      <c r="C3879" s="2"/>
      <c r="D3879" s="2" t="b">
        <f>IF(AND(NOT(ISBLANK(Table1[[#This Row],[Fetal Sex (Male, Female or Unknown)]])),ISNUMBER(Table1[[#This Row],[Birthweight (grams)]]),ISNUMBER(Table1[[#This Row],[Gestation (days)]])),TRUE,FALSE)</f>
        <v>0</v>
      </c>
      <c r="E3879" s="2" t="str">
        <f>IF(Table1[[#This Row],[Is Data Valid]]=TRUE,IF(Table1[[#This Row],[Fetal Sex (Male, Female or Unknown)]]="Male",Backend!$C$6,IF(Table1[[#This Row],[Fetal Sex (Male, Female or Unknown)]]="Female",Backend!$C$7,IF(Table1[[#This Row],[Fetal Sex (Male, Female or Unknown)]]="Unknown",Backend!$C$8,"Error"))),"")</f>
        <v/>
      </c>
      <c r="F3879" s="8" t="str">
        <f>IF(Table1[[#This Row],[Is Data Valid]]=TRUE,EXP(0.578+0.332*((Table1[[#This Row],[Gestation (days)]]+0.5)/7)-0.00354*((Table1[[#This Row],[Gestation (days)]]+0.5)/7)^2)*Table1[[#This Row],[BW40_3705]],"")</f>
        <v/>
      </c>
      <c r="G3879" s="2" t="str">
        <f>IF(Table1[[#This Row],[Is Data Valid]]=TRUE,((Table1[[#This Row],[Birthweight (grams)]]/Table1[[#This Row],[BW_GA]])-1)/(Backend!$B$4/100*Table1[[#This Row],[BW40_3705]]),"")</f>
        <v/>
      </c>
      <c r="H3879" s="7" t="str">
        <f>IF(Table1[[#This Row],[Is Data Valid]]=TRUE,((Table1[[#This Row],[Birthweight (grams)]]*0.9/Table1[[#This Row],[BW_GA]])-1)/(Backend!$B$4/100*Table1[[#This Row],[BW40_3705]]),"")</f>
        <v/>
      </c>
      <c r="I3879" s="7" t="str">
        <f>IF(Table1[[#This Row],[Is Data Valid]]=TRUE,((Table1[[#This Row],[Birthweight (grams)]]*1.1/Table1[[#This Row],[BW_GA]])-1)/(Backend!$B$4/100*Table1[[#This Row],[BW40_3705]]),"")</f>
        <v/>
      </c>
      <c r="J3879" s="7" t="str">
        <f>IF(Table1[[#This Row],[Is Data Valid]]=TRUE,_xlfn.NORM.S.DIST(Table1[[#This Row],[Birthweight Z-Score]],TRUE)*100,"")</f>
        <v/>
      </c>
      <c r="K3879" s="7" t="str">
        <f>IF(Table1[[#This Row],[Is Data Valid]]=TRUE,_xlfn.NORM.S.DIST(Table1[[#This Row],[Birthweight Z-Score (BW-10%)]],TRUE)*100,"")</f>
        <v/>
      </c>
      <c r="L3879" s="7" t="str">
        <f>IF(Table1[[#This Row],[Is Data Valid]]=TRUE,_xlfn.NORM.S.DIST(Table1[[#This Row],[Birthweight Z-Score (BW+10%)]],TRUE)*100,"")</f>
        <v/>
      </c>
    </row>
    <row r="3880" spans="1:12" x14ac:dyDescent="0.35">
      <c r="A3880" s="3"/>
      <c r="B3880" s="2"/>
      <c r="C3880" s="2"/>
      <c r="D3880" s="2" t="b">
        <f>IF(AND(NOT(ISBLANK(Table1[[#This Row],[Fetal Sex (Male, Female or Unknown)]])),ISNUMBER(Table1[[#This Row],[Birthweight (grams)]]),ISNUMBER(Table1[[#This Row],[Gestation (days)]])),TRUE,FALSE)</f>
        <v>0</v>
      </c>
      <c r="E3880" s="2" t="str">
        <f>IF(Table1[[#This Row],[Is Data Valid]]=TRUE,IF(Table1[[#This Row],[Fetal Sex (Male, Female or Unknown)]]="Male",Backend!$C$6,IF(Table1[[#This Row],[Fetal Sex (Male, Female or Unknown)]]="Female",Backend!$C$7,IF(Table1[[#This Row],[Fetal Sex (Male, Female or Unknown)]]="Unknown",Backend!$C$8,"Error"))),"")</f>
        <v/>
      </c>
      <c r="F3880" s="8" t="str">
        <f>IF(Table1[[#This Row],[Is Data Valid]]=TRUE,EXP(0.578+0.332*((Table1[[#This Row],[Gestation (days)]]+0.5)/7)-0.00354*((Table1[[#This Row],[Gestation (days)]]+0.5)/7)^2)*Table1[[#This Row],[BW40_3705]],"")</f>
        <v/>
      </c>
      <c r="G3880" s="2" t="str">
        <f>IF(Table1[[#This Row],[Is Data Valid]]=TRUE,((Table1[[#This Row],[Birthweight (grams)]]/Table1[[#This Row],[BW_GA]])-1)/(Backend!$B$4/100*Table1[[#This Row],[BW40_3705]]),"")</f>
        <v/>
      </c>
      <c r="H3880" s="7" t="str">
        <f>IF(Table1[[#This Row],[Is Data Valid]]=TRUE,((Table1[[#This Row],[Birthweight (grams)]]*0.9/Table1[[#This Row],[BW_GA]])-1)/(Backend!$B$4/100*Table1[[#This Row],[BW40_3705]]),"")</f>
        <v/>
      </c>
      <c r="I3880" s="7" t="str">
        <f>IF(Table1[[#This Row],[Is Data Valid]]=TRUE,((Table1[[#This Row],[Birthweight (grams)]]*1.1/Table1[[#This Row],[BW_GA]])-1)/(Backend!$B$4/100*Table1[[#This Row],[BW40_3705]]),"")</f>
        <v/>
      </c>
      <c r="J3880" s="7" t="str">
        <f>IF(Table1[[#This Row],[Is Data Valid]]=TRUE,_xlfn.NORM.S.DIST(Table1[[#This Row],[Birthweight Z-Score]],TRUE)*100,"")</f>
        <v/>
      </c>
      <c r="K3880" s="7" t="str">
        <f>IF(Table1[[#This Row],[Is Data Valid]]=TRUE,_xlfn.NORM.S.DIST(Table1[[#This Row],[Birthweight Z-Score (BW-10%)]],TRUE)*100,"")</f>
        <v/>
      </c>
      <c r="L3880" s="7" t="str">
        <f>IF(Table1[[#This Row],[Is Data Valid]]=TRUE,_xlfn.NORM.S.DIST(Table1[[#This Row],[Birthweight Z-Score (BW+10%)]],TRUE)*100,"")</f>
        <v/>
      </c>
    </row>
    <row r="3881" spans="1:12" x14ac:dyDescent="0.35">
      <c r="A3881" s="3"/>
      <c r="B3881" s="2"/>
      <c r="C3881" s="2"/>
      <c r="D3881" s="2" t="b">
        <f>IF(AND(NOT(ISBLANK(Table1[[#This Row],[Fetal Sex (Male, Female or Unknown)]])),ISNUMBER(Table1[[#This Row],[Birthweight (grams)]]),ISNUMBER(Table1[[#This Row],[Gestation (days)]])),TRUE,FALSE)</f>
        <v>0</v>
      </c>
      <c r="E3881" s="2" t="str">
        <f>IF(Table1[[#This Row],[Is Data Valid]]=TRUE,IF(Table1[[#This Row],[Fetal Sex (Male, Female or Unknown)]]="Male",Backend!$C$6,IF(Table1[[#This Row],[Fetal Sex (Male, Female or Unknown)]]="Female",Backend!$C$7,IF(Table1[[#This Row],[Fetal Sex (Male, Female or Unknown)]]="Unknown",Backend!$C$8,"Error"))),"")</f>
        <v/>
      </c>
      <c r="F3881" s="8" t="str">
        <f>IF(Table1[[#This Row],[Is Data Valid]]=TRUE,EXP(0.578+0.332*((Table1[[#This Row],[Gestation (days)]]+0.5)/7)-0.00354*((Table1[[#This Row],[Gestation (days)]]+0.5)/7)^2)*Table1[[#This Row],[BW40_3705]],"")</f>
        <v/>
      </c>
      <c r="G3881" s="2" t="str">
        <f>IF(Table1[[#This Row],[Is Data Valid]]=TRUE,((Table1[[#This Row],[Birthweight (grams)]]/Table1[[#This Row],[BW_GA]])-1)/(Backend!$B$4/100*Table1[[#This Row],[BW40_3705]]),"")</f>
        <v/>
      </c>
      <c r="H3881" s="7" t="str">
        <f>IF(Table1[[#This Row],[Is Data Valid]]=TRUE,((Table1[[#This Row],[Birthweight (grams)]]*0.9/Table1[[#This Row],[BW_GA]])-1)/(Backend!$B$4/100*Table1[[#This Row],[BW40_3705]]),"")</f>
        <v/>
      </c>
      <c r="I3881" s="7" t="str">
        <f>IF(Table1[[#This Row],[Is Data Valid]]=TRUE,((Table1[[#This Row],[Birthweight (grams)]]*1.1/Table1[[#This Row],[BW_GA]])-1)/(Backend!$B$4/100*Table1[[#This Row],[BW40_3705]]),"")</f>
        <v/>
      </c>
      <c r="J3881" s="7" t="str">
        <f>IF(Table1[[#This Row],[Is Data Valid]]=TRUE,_xlfn.NORM.S.DIST(Table1[[#This Row],[Birthweight Z-Score]],TRUE)*100,"")</f>
        <v/>
      </c>
      <c r="K3881" s="7" t="str">
        <f>IF(Table1[[#This Row],[Is Data Valid]]=TRUE,_xlfn.NORM.S.DIST(Table1[[#This Row],[Birthweight Z-Score (BW-10%)]],TRUE)*100,"")</f>
        <v/>
      </c>
      <c r="L3881" s="7" t="str">
        <f>IF(Table1[[#This Row],[Is Data Valid]]=TRUE,_xlfn.NORM.S.DIST(Table1[[#This Row],[Birthweight Z-Score (BW+10%)]],TRUE)*100,"")</f>
        <v/>
      </c>
    </row>
    <row r="3882" spans="1:12" x14ac:dyDescent="0.35">
      <c r="A3882" s="3"/>
      <c r="B3882" s="2"/>
      <c r="C3882" s="2"/>
      <c r="D3882" s="2" t="b">
        <f>IF(AND(NOT(ISBLANK(Table1[[#This Row],[Fetal Sex (Male, Female or Unknown)]])),ISNUMBER(Table1[[#This Row],[Birthweight (grams)]]),ISNUMBER(Table1[[#This Row],[Gestation (days)]])),TRUE,FALSE)</f>
        <v>0</v>
      </c>
      <c r="E3882" s="2" t="str">
        <f>IF(Table1[[#This Row],[Is Data Valid]]=TRUE,IF(Table1[[#This Row],[Fetal Sex (Male, Female or Unknown)]]="Male",Backend!$C$6,IF(Table1[[#This Row],[Fetal Sex (Male, Female or Unknown)]]="Female",Backend!$C$7,IF(Table1[[#This Row],[Fetal Sex (Male, Female or Unknown)]]="Unknown",Backend!$C$8,"Error"))),"")</f>
        <v/>
      </c>
      <c r="F3882" s="8" t="str">
        <f>IF(Table1[[#This Row],[Is Data Valid]]=TRUE,EXP(0.578+0.332*((Table1[[#This Row],[Gestation (days)]]+0.5)/7)-0.00354*((Table1[[#This Row],[Gestation (days)]]+0.5)/7)^2)*Table1[[#This Row],[BW40_3705]],"")</f>
        <v/>
      </c>
      <c r="G3882" s="2" t="str">
        <f>IF(Table1[[#This Row],[Is Data Valid]]=TRUE,((Table1[[#This Row],[Birthweight (grams)]]/Table1[[#This Row],[BW_GA]])-1)/(Backend!$B$4/100*Table1[[#This Row],[BW40_3705]]),"")</f>
        <v/>
      </c>
      <c r="H3882" s="7" t="str">
        <f>IF(Table1[[#This Row],[Is Data Valid]]=TRUE,((Table1[[#This Row],[Birthweight (grams)]]*0.9/Table1[[#This Row],[BW_GA]])-1)/(Backend!$B$4/100*Table1[[#This Row],[BW40_3705]]),"")</f>
        <v/>
      </c>
      <c r="I3882" s="7" t="str">
        <f>IF(Table1[[#This Row],[Is Data Valid]]=TRUE,((Table1[[#This Row],[Birthweight (grams)]]*1.1/Table1[[#This Row],[BW_GA]])-1)/(Backend!$B$4/100*Table1[[#This Row],[BW40_3705]]),"")</f>
        <v/>
      </c>
      <c r="J3882" s="7" t="str">
        <f>IF(Table1[[#This Row],[Is Data Valid]]=TRUE,_xlfn.NORM.S.DIST(Table1[[#This Row],[Birthweight Z-Score]],TRUE)*100,"")</f>
        <v/>
      </c>
      <c r="K3882" s="7" t="str">
        <f>IF(Table1[[#This Row],[Is Data Valid]]=TRUE,_xlfn.NORM.S.DIST(Table1[[#This Row],[Birthweight Z-Score (BW-10%)]],TRUE)*100,"")</f>
        <v/>
      </c>
      <c r="L3882" s="7" t="str">
        <f>IF(Table1[[#This Row],[Is Data Valid]]=TRUE,_xlfn.NORM.S.DIST(Table1[[#This Row],[Birthweight Z-Score (BW+10%)]],TRUE)*100,"")</f>
        <v/>
      </c>
    </row>
    <row r="3883" spans="1:12" x14ac:dyDescent="0.35">
      <c r="A3883" s="3"/>
      <c r="B3883" s="2"/>
      <c r="C3883" s="2"/>
      <c r="D3883" s="2" t="b">
        <f>IF(AND(NOT(ISBLANK(Table1[[#This Row],[Fetal Sex (Male, Female or Unknown)]])),ISNUMBER(Table1[[#This Row],[Birthweight (grams)]]),ISNUMBER(Table1[[#This Row],[Gestation (days)]])),TRUE,FALSE)</f>
        <v>0</v>
      </c>
      <c r="E3883" s="2" t="str">
        <f>IF(Table1[[#This Row],[Is Data Valid]]=TRUE,IF(Table1[[#This Row],[Fetal Sex (Male, Female or Unknown)]]="Male",Backend!$C$6,IF(Table1[[#This Row],[Fetal Sex (Male, Female or Unknown)]]="Female",Backend!$C$7,IF(Table1[[#This Row],[Fetal Sex (Male, Female or Unknown)]]="Unknown",Backend!$C$8,"Error"))),"")</f>
        <v/>
      </c>
      <c r="F3883" s="8" t="str">
        <f>IF(Table1[[#This Row],[Is Data Valid]]=TRUE,EXP(0.578+0.332*((Table1[[#This Row],[Gestation (days)]]+0.5)/7)-0.00354*((Table1[[#This Row],[Gestation (days)]]+0.5)/7)^2)*Table1[[#This Row],[BW40_3705]],"")</f>
        <v/>
      </c>
      <c r="G3883" s="2" t="str">
        <f>IF(Table1[[#This Row],[Is Data Valid]]=TRUE,((Table1[[#This Row],[Birthweight (grams)]]/Table1[[#This Row],[BW_GA]])-1)/(Backend!$B$4/100*Table1[[#This Row],[BW40_3705]]),"")</f>
        <v/>
      </c>
      <c r="H3883" s="7" t="str">
        <f>IF(Table1[[#This Row],[Is Data Valid]]=TRUE,((Table1[[#This Row],[Birthweight (grams)]]*0.9/Table1[[#This Row],[BW_GA]])-1)/(Backend!$B$4/100*Table1[[#This Row],[BW40_3705]]),"")</f>
        <v/>
      </c>
      <c r="I3883" s="7" t="str">
        <f>IF(Table1[[#This Row],[Is Data Valid]]=TRUE,((Table1[[#This Row],[Birthweight (grams)]]*1.1/Table1[[#This Row],[BW_GA]])-1)/(Backend!$B$4/100*Table1[[#This Row],[BW40_3705]]),"")</f>
        <v/>
      </c>
      <c r="J3883" s="7" t="str">
        <f>IF(Table1[[#This Row],[Is Data Valid]]=TRUE,_xlfn.NORM.S.DIST(Table1[[#This Row],[Birthweight Z-Score]],TRUE)*100,"")</f>
        <v/>
      </c>
      <c r="K3883" s="7" t="str">
        <f>IF(Table1[[#This Row],[Is Data Valid]]=TRUE,_xlfn.NORM.S.DIST(Table1[[#This Row],[Birthweight Z-Score (BW-10%)]],TRUE)*100,"")</f>
        <v/>
      </c>
      <c r="L3883" s="7" t="str">
        <f>IF(Table1[[#This Row],[Is Data Valid]]=TRUE,_xlfn.NORM.S.DIST(Table1[[#This Row],[Birthweight Z-Score (BW+10%)]],TRUE)*100,"")</f>
        <v/>
      </c>
    </row>
    <row r="3884" spans="1:12" x14ac:dyDescent="0.35">
      <c r="A3884" s="3"/>
      <c r="B3884" s="2"/>
      <c r="C3884" s="2"/>
      <c r="D3884" s="2" t="b">
        <f>IF(AND(NOT(ISBLANK(Table1[[#This Row],[Fetal Sex (Male, Female or Unknown)]])),ISNUMBER(Table1[[#This Row],[Birthweight (grams)]]),ISNUMBER(Table1[[#This Row],[Gestation (days)]])),TRUE,FALSE)</f>
        <v>0</v>
      </c>
      <c r="E3884" s="2" t="str">
        <f>IF(Table1[[#This Row],[Is Data Valid]]=TRUE,IF(Table1[[#This Row],[Fetal Sex (Male, Female or Unknown)]]="Male",Backend!$C$6,IF(Table1[[#This Row],[Fetal Sex (Male, Female or Unknown)]]="Female",Backend!$C$7,IF(Table1[[#This Row],[Fetal Sex (Male, Female or Unknown)]]="Unknown",Backend!$C$8,"Error"))),"")</f>
        <v/>
      </c>
      <c r="F3884" s="8" t="str">
        <f>IF(Table1[[#This Row],[Is Data Valid]]=TRUE,EXP(0.578+0.332*((Table1[[#This Row],[Gestation (days)]]+0.5)/7)-0.00354*((Table1[[#This Row],[Gestation (days)]]+0.5)/7)^2)*Table1[[#This Row],[BW40_3705]],"")</f>
        <v/>
      </c>
      <c r="G3884" s="2" t="str">
        <f>IF(Table1[[#This Row],[Is Data Valid]]=TRUE,((Table1[[#This Row],[Birthweight (grams)]]/Table1[[#This Row],[BW_GA]])-1)/(Backend!$B$4/100*Table1[[#This Row],[BW40_3705]]),"")</f>
        <v/>
      </c>
      <c r="H3884" s="7" t="str">
        <f>IF(Table1[[#This Row],[Is Data Valid]]=TRUE,((Table1[[#This Row],[Birthweight (grams)]]*0.9/Table1[[#This Row],[BW_GA]])-1)/(Backend!$B$4/100*Table1[[#This Row],[BW40_3705]]),"")</f>
        <v/>
      </c>
      <c r="I3884" s="7" t="str">
        <f>IF(Table1[[#This Row],[Is Data Valid]]=TRUE,((Table1[[#This Row],[Birthweight (grams)]]*1.1/Table1[[#This Row],[BW_GA]])-1)/(Backend!$B$4/100*Table1[[#This Row],[BW40_3705]]),"")</f>
        <v/>
      </c>
      <c r="J3884" s="7" t="str">
        <f>IF(Table1[[#This Row],[Is Data Valid]]=TRUE,_xlfn.NORM.S.DIST(Table1[[#This Row],[Birthweight Z-Score]],TRUE)*100,"")</f>
        <v/>
      </c>
      <c r="K3884" s="7" t="str">
        <f>IF(Table1[[#This Row],[Is Data Valid]]=TRUE,_xlfn.NORM.S.DIST(Table1[[#This Row],[Birthweight Z-Score (BW-10%)]],TRUE)*100,"")</f>
        <v/>
      </c>
      <c r="L3884" s="7" t="str">
        <f>IF(Table1[[#This Row],[Is Data Valid]]=TRUE,_xlfn.NORM.S.DIST(Table1[[#This Row],[Birthweight Z-Score (BW+10%)]],TRUE)*100,"")</f>
        <v/>
      </c>
    </row>
    <row r="3885" spans="1:12" x14ac:dyDescent="0.35">
      <c r="A3885" s="3"/>
      <c r="B3885" s="2"/>
      <c r="C3885" s="2"/>
      <c r="D3885" s="2" t="b">
        <f>IF(AND(NOT(ISBLANK(Table1[[#This Row],[Fetal Sex (Male, Female or Unknown)]])),ISNUMBER(Table1[[#This Row],[Birthweight (grams)]]),ISNUMBER(Table1[[#This Row],[Gestation (days)]])),TRUE,FALSE)</f>
        <v>0</v>
      </c>
      <c r="E3885" s="2" t="str">
        <f>IF(Table1[[#This Row],[Is Data Valid]]=TRUE,IF(Table1[[#This Row],[Fetal Sex (Male, Female or Unknown)]]="Male",Backend!$C$6,IF(Table1[[#This Row],[Fetal Sex (Male, Female or Unknown)]]="Female",Backend!$C$7,IF(Table1[[#This Row],[Fetal Sex (Male, Female or Unknown)]]="Unknown",Backend!$C$8,"Error"))),"")</f>
        <v/>
      </c>
      <c r="F3885" s="8" t="str">
        <f>IF(Table1[[#This Row],[Is Data Valid]]=TRUE,EXP(0.578+0.332*((Table1[[#This Row],[Gestation (days)]]+0.5)/7)-0.00354*((Table1[[#This Row],[Gestation (days)]]+0.5)/7)^2)*Table1[[#This Row],[BW40_3705]],"")</f>
        <v/>
      </c>
      <c r="G3885" s="2" t="str">
        <f>IF(Table1[[#This Row],[Is Data Valid]]=TRUE,((Table1[[#This Row],[Birthweight (grams)]]/Table1[[#This Row],[BW_GA]])-1)/(Backend!$B$4/100*Table1[[#This Row],[BW40_3705]]),"")</f>
        <v/>
      </c>
      <c r="H3885" s="7" t="str">
        <f>IF(Table1[[#This Row],[Is Data Valid]]=TRUE,((Table1[[#This Row],[Birthweight (grams)]]*0.9/Table1[[#This Row],[BW_GA]])-1)/(Backend!$B$4/100*Table1[[#This Row],[BW40_3705]]),"")</f>
        <v/>
      </c>
      <c r="I3885" s="7" t="str">
        <f>IF(Table1[[#This Row],[Is Data Valid]]=TRUE,((Table1[[#This Row],[Birthweight (grams)]]*1.1/Table1[[#This Row],[BW_GA]])-1)/(Backend!$B$4/100*Table1[[#This Row],[BW40_3705]]),"")</f>
        <v/>
      </c>
      <c r="J3885" s="7" t="str">
        <f>IF(Table1[[#This Row],[Is Data Valid]]=TRUE,_xlfn.NORM.S.DIST(Table1[[#This Row],[Birthweight Z-Score]],TRUE)*100,"")</f>
        <v/>
      </c>
      <c r="K3885" s="7" t="str">
        <f>IF(Table1[[#This Row],[Is Data Valid]]=TRUE,_xlfn.NORM.S.DIST(Table1[[#This Row],[Birthweight Z-Score (BW-10%)]],TRUE)*100,"")</f>
        <v/>
      </c>
      <c r="L3885" s="7" t="str">
        <f>IF(Table1[[#This Row],[Is Data Valid]]=TRUE,_xlfn.NORM.S.DIST(Table1[[#This Row],[Birthweight Z-Score (BW+10%)]],TRUE)*100,"")</f>
        <v/>
      </c>
    </row>
    <row r="3886" spans="1:12" x14ac:dyDescent="0.35">
      <c r="A3886" s="3"/>
      <c r="B3886" s="2"/>
      <c r="C3886" s="2"/>
      <c r="D3886" s="2" t="b">
        <f>IF(AND(NOT(ISBLANK(Table1[[#This Row],[Fetal Sex (Male, Female or Unknown)]])),ISNUMBER(Table1[[#This Row],[Birthweight (grams)]]),ISNUMBER(Table1[[#This Row],[Gestation (days)]])),TRUE,FALSE)</f>
        <v>0</v>
      </c>
      <c r="E3886" s="2" t="str">
        <f>IF(Table1[[#This Row],[Is Data Valid]]=TRUE,IF(Table1[[#This Row],[Fetal Sex (Male, Female or Unknown)]]="Male",Backend!$C$6,IF(Table1[[#This Row],[Fetal Sex (Male, Female or Unknown)]]="Female",Backend!$C$7,IF(Table1[[#This Row],[Fetal Sex (Male, Female or Unknown)]]="Unknown",Backend!$C$8,"Error"))),"")</f>
        <v/>
      </c>
      <c r="F3886" s="8" t="str">
        <f>IF(Table1[[#This Row],[Is Data Valid]]=TRUE,EXP(0.578+0.332*((Table1[[#This Row],[Gestation (days)]]+0.5)/7)-0.00354*((Table1[[#This Row],[Gestation (days)]]+0.5)/7)^2)*Table1[[#This Row],[BW40_3705]],"")</f>
        <v/>
      </c>
      <c r="G3886" s="2" t="str">
        <f>IF(Table1[[#This Row],[Is Data Valid]]=TRUE,((Table1[[#This Row],[Birthweight (grams)]]/Table1[[#This Row],[BW_GA]])-1)/(Backend!$B$4/100*Table1[[#This Row],[BW40_3705]]),"")</f>
        <v/>
      </c>
      <c r="H3886" s="7" t="str">
        <f>IF(Table1[[#This Row],[Is Data Valid]]=TRUE,((Table1[[#This Row],[Birthweight (grams)]]*0.9/Table1[[#This Row],[BW_GA]])-1)/(Backend!$B$4/100*Table1[[#This Row],[BW40_3705]]),"")</f>
        <v/>
      </c>
      <c r="I3886" s="7" t="str">
        <f>IF(Table1[[#This Row],[Is Data Valid]]=TRUE,((Table1[[#This Row],[Birthweight (grams)]]*1.1/Table1[[#This Row],[BW_GA]])-1)/(Backend!$B$4/100*Table1[[#This Row],[BW40_3705]]),"")</f>
        <v/>
      </c>
      <c r="J3886" s="7" t="str">
        <f>IF(Table1[[#This Row],[Is Data Valid]]=TRUE,_xlfn.NORM.S.DIST(Table1[[#This Row],[Birthweight Z-Score]],TRUE)*100,"")</f>
        <v/>
      </c>
      <c r="K3886" s="7" t="str">
        <f>IF(Table1[[#This Row],[Is Data Valid]]=TRUE,_xlfn.NORM.S.DIST(Table1[[#This Row],[Birthweight Z-Score (BW-10%)]],TRUE)*100,"")</f>
        <v/>
      </c>
      <c r="L3886" s="7" t="str">
        <f>IF(Table1[[#This Row],[Is Data Valid]]=TRUE,_xlfn.NORM.S.DIST(Table1[[#This Row],[Birthweight Z-Score (BW+10%)]],TRUE)*100,"")</f>
        <v/>
      </c>
    </row>
    <row r="3887" spans="1:12" x14ac:dyDescent="0.35">
      <c r="A3887" s="3"/>
      <c r="B3887" s="2"/>
      <c r="C3887" s="2"/>
      <c r="D3887" s="2" t="b">
        <f>IF(AND(NOT(ISBLANK(Table1[[#This Row],[Fetal Sex (Male, Female or Unknown)]])),ISNUMBER(Table1[[#This Row],[Birthweight (grams)]]),ISNUMBER(Table1[[#This Row],[Gestation (days)]])),TRUE,FALSE)</f>
        <v>0</v>
      </c>
      <c r="E3887" s="2" t="str">
        <f>IF(Table1[[#This Row],[Is Data Valid]]=TRUE,IF(Table1[[#This Row],[Fetal Sex (Male, Female or Unknown)]]="Male",Backend!$C$6,IF(Table1[[#This Row],[Fetal Sex (Male, Female or Unknown)]]="Female",Backend!$C$7,IF(Table1[[#This Row],[Fetal Sex (Male, Female or Unknown)]]="Unknown",Backend!$C$8,"Error"))),"")</f>
        <v/>
      </c>
      <c r="F3887" s="8" t="str">
        <f>IF(Table1[[#This Row],[Is Data Valid]]=TRUE,EXP(0.578+0.332*((Table1[[#This Row],[Gestation (days)]]+0.5)/7)-0.00354*((Table1[[#This Row],[Gestation (days)]]+0.5)/7)^2)*Table1[[#This Row],[BW40_3705]],"")</f>
        <v/>
      </c>
      <c r="G3887" s="2" t="str">
        <f>IF(Table1[[#This Row],[Is Data Valid]]=TRUE,((Table1[[#This Row],[Birthweight (grams)]]/Table1[[#This Row],[BW_GA]])-1)/(Backend!$B$4/100*Table1[[#This Row],[BW40_3705]]),"")</f>
        <v/>
      </c>
      <c r="H3887" s="7" t="str">
        <f>IF(Table1[[#This Row],[Is Data Valid]]=TRUE,((Table1[[#This Row],[Birthweight (grams)]]*0.9/Table1[[#This Row],[BW_GA]])-1)/(Backend!$B$4/100*Table1[[#This Row],[BW40_3705]]),"")</f>
        <v/>
      </c>
      <c r="I3887" s="7" t="str">
        <f>IF(Table1[[#This Row],[Is Data Valid]]=TRUE,((Table1[[#This Row],[Birthweight (grams)]]*1.1/Table1[[#This Row],[BW_GA]])-1)/(Backend!$B$4/100*Table1[[#This Row],[BW40_3705]]),"")</f>
        <v/>
      </c>
      <c r="J3887" s="7" t="str">
        <f>IF(Table1[[#This Row],[Is Data Valid]]=TRUE,_xlfn.NORM.S.DIST(Table1[[#This Row],[Birthweight Z-Score]],TRUE)*100,"")</f>
        <v/>
      </c>
      <c r="K3887" s="7" t="str">
        <f>IF(Table1[[#This Row],[Is Data Valid]]=TRUE,_xlfn.NORM.S.DIST(Table1[[#This Row],[Birthweight Z-Score (BW-10%)]],TRUE)*100,"")</f>
        <v/>
      </c>
      <c r="L3887" s="7" t="str">
        <f>IF(Table1[[#This Row],[Is Data Valid]]=TRUE,_xlfn.NORM.S.DIST(Table1[[#This Row],[Birthweight Z-Score (BW+10%)]],TRUE)*100,"")</f>
        <v/>
      </c>
    </row>
    <row r="3888" spans="1:12" x14ac:dyDescent="0.35">
      <c r="A3888" s="3"/>
      <c r="B3888" s="2"/>
      <c r="C3888" s="2"/>
      <c r="D3888" s="2" t="b">
        <f>IF(AND(NOT(ISBLANK(Table1[[#This Row],[Fetal Sex (Male, Female or Unknown)]])),ISNUMBER(Table1[[#This Row],[Birthweight (grams)]]),ISNUMBER(Table1[[#This Row],[Gestation (days)]])),TRUE,FALSE)</f>
        <v>0</v>
      </c>
      <c r="E3888" s="2" t="str">
        <f>IF(Table1[[#This Row],[Is Data Valid]]=TRUE,IF(Table1[[#This Row],[Fetal Sex (Male, Female or Unknown)]]="Male",Backend!$C$6,IF(Table1[[#This Row],[Fetal Sex (Male, Female or Unknown)]]="Female",Backend!$C$7,IF(Table1[[#This Row],[Fetal Sex (Male, Female or Unknown)]]="Unknown",Backend!$C$8,"Error"))),"")</f>
        <v/>
      </c>
      <c r="F3888" s="8" t="str">
        <f>IF(Table1[[#This Row],[Is Data Valid]]=TRUE,EXP(0.578+0.332*((Table1[[#This Row],[Gestation (days)]]+0.5)/7)-0.00354*((Table1[[#This Row],[Gestation (days)]]+0.5)/7)^2)*Table1[[#This Row],[BW40_3705]],"")</f>
        <v/>
      </c>
      <c r="G3888" s="2" t="str">
        <f>IF(Table1[[#This Row],[Is Data Valid]]=TRUE,((Table1[[#This Row],[Birthweight (grams)]]/Table1[[#This Row],[BW_GA]])-1)/(Backend!$B$4/100*Table1[[#This Row],[BW40_3705]]),"")</f>
        <v/>
      </c>
      <c r="H3888" s="7" t="str">
        <f>IF(Table1[[#This Row],[Is Data Valid]]=TRUE,((Table1[[#This Row],[Birthweight (grams)]]*0.9/Table1[[#This Row],[BW_GA]])-1)/(Backend!$B$4/100*Table1[[#This Row],[BW40_3705]]),"")</f>
        <v/>
      </c>
      <c r="I3888" s="7" t="str">
        <f>IF(Table1[[#This Row],[Is Data Valid]]=TRUE,((Table1[[#This Row],[Birthweight (grams)]]*1.1/Table1[[#This Row],[BW_GA]])-1)/(Backend!$B$4/100*Table1[[#This Row],[BW40_3705]]),"")</f>
        <v/>
      </c>
      <c r="J3888" s="7" t="str">
        <f>IF(Table1[[#This Row],[Is Data Valid]]=TRUE,_xlfn.NORM.S.DIST(Table1[[#This Row],[Birthweight Z-Score]],TRUE)*100,"")</f>
        <v/>
      </c>
      <c r="K3888" s="7" t="str">
        <f>IF(Table1[[#This Row],[Is Data Valid]]=TRUE,_xlfn.NORM.S.DIST(Table1[[#This Row],[Birthweight Z-Score (BW-10%)]],TRUE)*100,"")</f>
        <v/>
      </c>
      <c r="L3888" s="7" t="str">
        <f>IF(Table1[[#This Row],[Is Data Valid]]=TRUE,_xlfn.NORM.S.DIST(Table1[[#This Row],[Birthweight Z-Score (BW+10%)]],TRUE)*100,"")</f>
        <v/>
      </c>
    </row>
    <row r="3889" spans="1:12" x14ac:dyDescent="0.35">
      <c r="A3889" s="3"/>
      <c r="B3889" s="2"/>
      <c r="C3889" s="2"/>
      <c r="D3889" s="2" t="b">
        <f>IF(AND(NOT(ISBLANK(Table1[[#This Row],[Fetal Sex (Male, Female or Unknown)]])),ISNUMBER(Table1[[#This Row],[Birthweight (grams)]]),ISNUMBER(Table1[[#This Row],[Gestation (days)]])),TRUE,FALSE)</f>
        <v>0</v>
      </c>
      <c r="E3889" s="2" t="str">
        <f>IF(Table1[[#This Row],[Is Data Valid]]=TRUE,IF(Table1[[#This Row],[Fetal Sex (Male, Female or Unknown)]]="Male",Backend!$C$6,IF(Table1[[#This Row],[Fetal Sex (Male, Female or Unknown)]]="Female",Backend!$C$7,IF(Table1[[#This Row],[Fetal Sex (Male, Female or Unknown)]]="Unknown",Backend!$C$8,"Error"))),"")</f>
        <v/>
      </c>
      <c r="F3889" s="8" t="str">
        <f>IF(Table1[[#This Row],[Is Data Valid]]=TRUE,EXP(0.578+0.332*((Table1[[#This Row],[Gestation (days)]]+0.5)/7)-0.00354*((Table1[[#This Row],[Gestation (days)]]+0.5)/7)^2)*Table1[[#This Row],[BW40_3705]],"")</f>
        <v/>
      </c>
      <c r="G3889" s="2" t="str">
        <f>IF(Table1[[#This Row],[Is Data Valid]]=TRUE,((Table1[[#This Row],[Birthweight (grams)]]/Table1[[#This Row],[BW_GA]])-1)/(Backend!$B$4/100*Table1[[#This Row],[BW40_3705]]),"")</f>
        <v/>
      </c>
      <c r="H3889" s="7" t="str">
        <f>IF(Table1[[#This Row],[Is Data Valid]]=TRUE,((Table1[[#This Row],[Birthweight (grams)]]*0.9/Table1[[#This Row],[BW_GA]])-1)/(Backend!$B$4/100*Table1[[#This Row],[BW40_3705]]),"")</f>
        <v/>
      </c>
      <c r="I3889" s="7" t="str">
        <f>IF(Table1[[#This Row],[Is Data Valid]]=TRUE,((Table1[[#This Row],[Birthweight (grams)]]*1.1/Table1[[#This Row],[BW_GA]])-1)/(Backend!$B$4/100*Table1[[#This Row],[BW40_3705]]),"")</f>
        <v/>
      </c>
      <c r="J3889" s="7" t="str">
        <f>IF(Table1[[#This Row],[Is Data Valid]]=TRUE,_xlfn.NORM.S.DIST(Table1[[#This Row],[Birthweight Z-Score]],TRUE)*100,"")</f>
        <v/>
      </c>
      <c r="K3889" s="7" t="str">
        <f>IF(Table1[[#This Row],[Is Data Valid]]=TRUE,_xlfn.NORM.S.DIST(Table1[[#This Row],[Birthweight Z-Score (BW-10%)]],TRUE)*100,"")</f>
        <v/>
      </c>
      <c r="L3889" s="7" t="str">
        <f>IF(Table1[[#This Row],[Is Data Valid]]=TRUE,_xlfn.NORM.S.DIST(Table1[[#This Row],[Birthweight Z-Score (BW+10%)]],TRUE)*100,"")</f>
        <v/>
      </c>
    </row>
    <row r="3890" spans="1:12" x14ac:dyDescent="0.35">
      <c r="A3890" s="3"/>
      <c r="B3890" s="2"/>
      <c r="C3890" s="2"/>
      <c r="D3890" s="2" t="b">
        <f>IF(AND(NOT(ISBLANK(Table1[[#This Row],[Fetal Sex (Male, Female or Unknown)]])),ISNUMBER(Table1[[#This Row],[Birthweight (grams)]]),ISNUMBER(Table1[[#This Row],[Gestation (days)]])),TRUE,FALSE)</f>
        <v>0</v>
      </c>
      <c r="E3890" s="2" t="str">
        <f>IF(Table1[[#This Row],[Is Data Valid]]=TRUE,IF(Table1[[#This Row],[Fetal Sex (Male, Female or Unknown)]]="Male",Backend!$C$6,IF(Table1[[#This Row],[Fetal Sex (Male, Female or Unknown)]]="Female",Backend!$C$7,IF(Table1[[#This Row],[Fetal Sex (Male, Female or Unknown)]]="Unknown",Backend!$C$8,"Error"))),"")</f>
        <v/>
      </c>
      <c r="F3890" s="8" t="str">
        <f>IF(Table1[[#This Row],[Is Data Valid]]=TRUE,EXP(0.578+0.332*((Table1[[#This Row],[Gestation (days)]]+0.5)/7)-0.00354*((Table1[[#This Row],[Gestation (days)]]+0.5)/7)^2)*Table1[[#This Row],[BW40_3705]],"")</f>
        <v/>
      </c>
      <c r="G3890" s="2" t="str">
        <f>IF(Table1[[#This Row],[Is Data Valid]]=TRUE,((Table1[[#This Row],[Birthweight (grams)]]/Table1[[#This Row],[BW_GA]])-1)/(Backend!$B$4/100*Table1[[#This Row],[BW40_3705]]),"")</f>
        <v/>
      </c>
      <c r="H3890" s="7" t="str">
        <f>IF(Table1[[#This Row],[Is Data Valid]]=TRUE,((Table1[[#This Row],[Birthweight (grams)]]*0.9/Table1[[#This Row],[BW_GA]])-1)/(Backend!$B$4/100*Table1[[#This Row],[BW40_3705]]),"")</f>
        <v/>
      </c>
      <c r="I3890" s="7" t="str">
        <f>IF(Table1[[#This Row],[Is Data Valid]]=TRUE,((Table1[[#This Row],[Birthweight (grams)]]*1.1/Table1[[#This Row],[BW_GA]])-1)/(Backend!$B$4/100*Table1[[#This Row],[BW40_3705]]),"")</f>
        <v/>
      </c>
      <c r="J3890" s="7" t="str">
        <f>IF(Table1[[#This Row],[Is Data Valid]]=TRUE,_xlfn.NORM.S.DIST(Table1[[#This Row],[Birthweight Z-Score]],TRUE)*100,"")</f>
        <v/>
      </c>
      <c r="K3890" s="7" t="str">
        <f>IF(Table1[[#This Row],[Is Data Valid]]=TRUE,_xlfn.NORM.S.DIST(Table1[[#This Row],[Birthweight Z-Score (BW-10%)]],TRUE)*100,"")</f>
        <v/>
      </c>
      <c r="L3890" s="7" t="str">
        <f>IF(Table1[[#This Row],[Is Data Valid]]=TRUE,_xlfn.NORM.S.DIST(Table1[[#This Row],[Birthweight Z-Score (BW+10%)]],TRUE)*100,"")</f>
        <v/>
      </c>
    </row>
    <row r="3891" spans="1:12" x14ac:dyDescent="0.35">
      <c r="A3891" s="3"/>
      <c r="B3891" s="2"/>
      <c r="C3891" s="2"/>
      <c r="D3891" s="2" t="b">
        <f>IF(AND(NOT(ISBLANK(Table1[[#This Row],[Fetal Sex (Male, Female or Unknown)]])),ISNUMBER(Table1[[#This Row],[Birthweight (grams)]]),ISNUMBER(Table1[[#This Row],[Gestation (days)]])),TRUE,FALSE)</f>
        <v>0</v>
      </c>
      <c r="E3891" s="2" t="str">
        <f>IF(Table1[[#This Row],[Is Data Valid]]=TRUE,IF(Table1[[#This Row],[Fetal Sex (Male, Female or Unknown)]]="Male",Backend!$C$6,IF(Table1[[#This Row],[Fetal Sex (Male, Female or Unknown)]]="Female",Backend!$C$7,IF(Table1[[#This Row],[Fetal Sex (Male, Female or Unknown)]]="Unknown",Backend!$C$8,"Error"))),"")</f>
        <v/>
      </c>
      <c r="F3891" s="8" t="str">
        <f>IF(Table1[[#This Row],[Is Data Valid]]=TRUE,EXP(0.578+0.332*((Table1[[#This Row],[Gestation (days)]]+0.5)/7)-0.00354*((Table1[[#This Row],[Gestation (days)]]+0.5)/7)^2)*Table1[[#This Row],[BW40_3705]],"")</f>
        <v/>
      </c>
      <c r="G3891" s="2" t="str">
        <f>IF(Table1[[#This Row],[Is Data Valid]]=TRUE,((Table1[[#This Row],[Birthweight (grams)]]/Table1[[#This Row],[BW_GA]])-1)/(Backend!$B$4/100*Table1[[#This Row],[BW40_3705]]),"")</f>
        <v/>
      </c>
      <c r="H3891" s="7" t="str">
        <f>IF(Table1[[#This Row],[Is Data Valid]]=TRUE,((Table1[[#This Row],[Birthweight (grams)]]*0.9/Table1[[#This Row],[BW_GA]])-1)/(Backend!$B$4/100*Table1[[#This Row],[BW40_3705]]),"")</f>
        <v/>
      </c>
      <c r="I3891" s="7" t="str">
        <f>IF(Table1[[#This Row],[Is Data Valid]]=TRUE,((Table1[[#This Row],[Birthweight (grams)]]*1.1/Table1[[#This Row],[BW_GA]])-1)/(Backend!$B$4/100*Table1[[#This Row],[BW40_3705]]),"")</f>
        <v/>
      </c>
      <c r="J3891" s="7" t="str">
        <f>IF(Table1[[#This Row],[Is Data Valid]]=TRUE,_xlfn.NORM.S.DIST(Table1[[#This Row],[Birthweight Z-Score]],TRUE)*100,"")</f>
        <v/>
      </c>
      <c r="K3891" s="7" t="str">
        <f>IF(Table1[[#This Row],[Is Data Valid]]=TRUE,_xlfn.NORM.S.DIST(Table1[[#This Row],[Birthweight Z-Score (BW-10%)]],TRUE)*100,"")</f>
        <v/>
      </c>
      <c r="L3891" s="7" t="str">
        <f>IF(Table1[[#This Row],[Is Data Valid]]=TRUE,_xlfn.NORM.S.DIST(Table1[[#This Row],[Birthweight Z-Score (BW+10%)]],TRUE)*100,"")</f>
        <v/>
      </c>
    </row>
    <row r="3892" spans="1:12" x14ac:dyDescent="0.35">
      <c r="A3892" s="3"/>
      <c r="B3892" s="2"/>
      <c r="C3892" s="2"/>
      <c r="D3892" s="2" t="b">
        <f>IF(AND(NOT(ISBLANK(Table1[[#This Row],[Fetal Sex (Male, Female or Unknown)]])),ISNUMBER(Table1[[#This Row],[Birthweight (grams)]]),ISNUMBER(Table1[[#This Row],[Gestation (days)]])),TRUE,FALSE)</f>
        <v>0</v>
      </c>
      <c r="E3892" s="2" t="str">
        <f>IF(Table1[[#This Row],[Is Data Valid]]=TRUE,IF(Table1[[#This Row],[Fetal Sex (Male, Female or Unknown)]]="Male",Backend!$C$6,IF(Table1[[#This Row],[Fetal Sex (Male, Female or Unknown)]]="Female",Backend!$C$7,IF(Table1[[#This Row],[Fetal Sex (Male, Female or Unknown)]]="Unknown",Backend!$C$8,"Error"))),"")</f>
        <v/>
      </c>
      <c r="F3892" s="8" t="str">
        <f>IF(Table1[[#This Row],[Is Data Valid]]=TRUE,EXP(0.578+0.332*((Table1[[#This Row],[Gestation (days)]]+0.5)/7)-0.00354*((Table1[[#This Row],[Gestation (days)]]+0.5)/7)^2)*Table1[[#This Row],[BW40_3705]],"")</f>
        <v/>
      </c>
      <c r="G3892" s="2" t="str">
        <f>IF(Table1[[#This Row],[Is Data Valid]]=TRUE,((Table1[[#This Row],[Birthweight (grams)]]/Table1[[#This Row],[BW_GA]])-1)/(Backend!$B$4/100*Table1[[#This Row],[BW40_3705]]),"")</f>
        <v/>
      </c>
      <c r="H3892" s="7" t="str">
        <f>IF(Table1[[#This Row],[Is Data Valid]]=TRUE,((Table1[[#This Row],[Birthweight (grams)]]*0.9/Table1[[#This Row],[BW_GA]])-1)/(Backend!$B$4/100*Table1[[#This Row],[BW40_3705]]),"")</f>
        <v/>
      </c>
      <c r="I3892" s="7" t="str">
        <f>IF(Table1[[#This Row],[Is Data Valid]]=TRUE,((Table1[[#This Row],[Birthweight (grams)]]*1.1/Table1[[#This Row],[BW_GA]])-1)/(Backend!$B$4/100*Table1[[#This Row],[BW40_3705]]),"")</f>
        <v/>
      </c>
      <c r="J3892" s="7" t="str">
        <f>IF(Table1[[#This Row],[Is Data Valid]]=TRUE,_xlfn.NORM.S.DIST(Table1[[#This Row],[Birthweight Z-Score]],TRUE)*100,"")</f>
        <v/>
      </c>
      <c r="K3892" s="7" t="str">
        <f>IF(Table1[[#This Row],[Is Data Valid]]=TRUE,_xlfn.NORM.S.DIST(Table1[[#This Row],[Birthweight Z-Score (BW-10%)]],TRUE)*100,"")</f>
        <v/>
      </c>
      <c r="L3892" s="7" t="str">
        <f>IF(Table1[[#This Row],[Is Data Valid]]=TRUE,_xlfn.NORM.S.DIST(Table1[[#This Row],[Birthweight Z-Score (BW+10%)]],TRUE)*100,"")</f>
        <v/>
      </c>
    </row>
    <row r="3893" spans="1:12" x14ac:dyDescent="0.35">
      <c r="A3893" s="3"/>
      <c r="B3893" s="2"/>
      <c r="C3893" s="2"/>
      <c r="D3893" s="2" t="b">
        <f>IF(AND(NOT(ISBLANK(Table1[[#This Row],[Fetal Sex (Male, Female or Unknown)]])),ISNUMBER(Table1[[#This Row],[Birthweight (grams)]]),ISNUMBER(Table1[[#This Row],[Gestation (days)]])),TRUE,FALSE)</f>
        <v>0</v>
      </c>
      <c r="E3893" s="2" t="str">
        <f>IF(Table1[[#This Row],[Is Data Valid]]=TRUE,IF(Table1[[#This Row],[Fetal Sex (Male, Female or Unknown)]]="Male",Backend!$C$6,IF(Table1[[#This Row],[Fetal Sex (Male, Female or Unknown)]]="Female",Backend!$C$7,IF(Table1[[#This Row],[Fetal Sex (Male, Female or Unknown)]]="Unknown",Backend!$C$8,"Error"))),"")</f>
        <v/>
      </c>
      <c r="F3893" s="8" t="str">
        <f>IF(Table1[[#This Row],[Is Data Valid]]=TRUE,EXP(0.578+0.332*((Table1[[#This Row],[Gestation (days)]]+0.5)/7)-0.00354*((Table1[[#This Row],[Gestation (days)]]+0.5)/7)^2)*Table1[[#This Row],[BW40_3705]],"")</f>
        <v/>
      </c>
      <c r="G3893" s="2" t="str">
        <f>IF(Table1[[#This Row],[Is Data Valid]]=TRUE,((Table1[[#This Row],[Birthweight (grams)]]/Table1[[#This Row],[BW_GA]])-1)/(Backend!$B$4/100*Table1[[#This Row],[BW40_3705]]),"")</f>
        <v/>
      </c>
      <c r="H3893" s="7" t="str">
        <f>IF(Table1[[#This Row],[Is Data Valid]]=TRUE,((Table1[[#This Row],[Birthweight (grams)]]*0.9/Table1[[#This Row],[BW_GA]])-1)/(Backend!$B$4/100*Table1[[#This Row],[BW40_3705]]),"")</f>
        <v/>
      </c>
      <c r="I3893" s="7" t="str">
        <f>IF(Table1[[#This Row],[Is Data Valid]]=TRUE,((Table1[[#This Row],[Birthweight (grams)]]*1.1/Table1[[#This Row],[BW_GA]])-1)/(Backend!$B$4/100*Table1[[#This Row],[BW40_3705]]),"")</f>
        <v/>
      </c>
      <c r="J3893" s="7" t="str">
        <f>IF(Table1[[#This Row],[Is Data Valid]]=TRUE,_xlfn.NORM.S.DIST(Table1[[#This Row],[Birthweight Z-Score]],TRUE)*100,"")</f>
        <v/>
      </c>
      <c r="K3893" s="7" t="str">
        <f>IF(Table1[[#This Row],[Is Data Valid]]=TRUE,_xlfn.NORM.S.DIST(Table1[[#This Row],[Birthweight Z-Score (BW-10%)]],TRUE)*100,"")</f>
        <v/>
      </c>
      <c r="L3893" s="7" t="str">
        <f>IF(Table1[[#This Row],[Is Data Valid]]=TRUE,_xlfn.NORM.S.DIST(Table1[[#This Row],[Birthweight Z-Score (BW+10%)]],TRUE)*100,"")</f>
        <v/>
      </c>
    </row>
    <row r="3894" spans="1:12" x14ac:dyDescent="0.35">
      <c r="A3894" s="3"/>
      <c r="B3894" s="2"/>
      <c r="C3894" s="2"/>
      <c r="D3894" s="2" t="b">
        <f>IF(AND(NOT(ISBLANK(Table1[[#This Row],[Fetal Sex (Male, Female or Unknown)]])),ISNUMBER(Table1[[#This Row],[Birthweight (grams)]]),ISNUMBER(Table1[[#This Row],[Gestation (days)]])),TRUE,FALSE)</f>
        <v>0</v>
      </c>
      <c r="E3894" s="2" t="str">
        <f>IF(Table1[[#This Row],[Is Data Valid]]=TRUE,IF(Table1[[#This Row],[Fetal Sex (Male, Female or Unknown)]]="Male",Backend!$C$6,IF(Table1[[#This Row],[Fetal Sex (Male, Female or Unknown)]]="Female",Backend!$C$7,IF(Table1[[#This Row],[Fetal Sex (Male, Female or Unknown)]]="Unknown",Backend!$C$8,"Error"))),"")</f>
        <v/>
      </c>
      <c r="F3894" s="8" t="str">
        <f>IF(Table1[[#This Row],[Is Data Valid]]=TRUE,EXP(0.578+0.332*((Table1[[#This Row],[Gestation (days)]]+0.5)/7)-0.00354*((Table1[[#This Row],[Gestation (days)]]+0.5)/7)^2)*Table1[[#This Row],[BW40_3705]],"")</f>
        <v/>
      </c>
      <c r="G3894" s="2" t="str">
        <f>IF(Table1[[#This Row],[Is Data Valid]]=TRUE,((Table1[[#This Row],[Birthweight (grams)]]/Table1[[#This Row],[BW_GA]])-1)/(Backend!$B$4/100*Table1[[#This Row],[BW40_3705]]),"")</f>
        <v/>
      </c>
      <c r="H3894" s="7" t="str">
        <f>IF(Table1[[#This Row],[Is Data Valid]]=TRUE,((Table1[[#This Row],[Birthweight (grams)]]*0.9/Table1[[#This Row],[BW_GA]])-1)/(Backend!$B$4/100*Table1[[#This Row],[BW40_3705]]),"")</f>
        <v/>
      </c>
      <c r="I3894" s="7" t="str">
        <f>IF(Table1[[#This Row],[Is Data Valid]]=TRUE,((Table1[[#This Row],[Birthweight (grams)]]*1.1/Table1[[#This Row],[BW_GA]])-1)/(Backend!$B$4/100*Table1[[#This Row],[BW40_3705]]),"")</f>
        <v/>
      </c>
      <c r="J3894" s="7" t="str">
        <f>IF(Table1[[#This Row],[Is Data Valid]]=TRUE,_xlfn.NORM.S.DIST(Table1[[#This Row],[Birthweight Z-Score]],TRUE)*100,"")</f>
        <v/>
      </c>
      <c r="K3894" s="7" t="str">
        <f>IF(Table1[[#This Row],[Is Data Valid]]=TRUE,_xlfn.NORM.S.DIST(Table1[[#This Row],[Birthweight Z-Score (BW-10%)]],TRUE)*100,"")</f>
        <v/>
      </c>
      <c r="L3894" s="7" t="str">
        <f>IF(Table1[[#This Row],[Is Data Valid]]=TRUE,_xlfn.NORM.S.DIST(Table1[[#This Row],[Birthweight Z-Score (BW+10%)]],TRUE)*100,"")</f>
        <v/>
      </c>
    </row>
    <row r="3895" spans="1:12" x14ac:dyDescent="0.35">
      <c r="A3895" s="3"/>
      <c r="B3895" s="2"/>
      <c r="C3895" s="2"/>
      <c r="D3895" s="2" t="b">
        <f>IF(AND(NOT(ISBLANK(Table1[[#This Row],[Fetal Sex (Male, Female or Unknown)]])),ISNUMBER(Table1[[#This Row],[Birthweight (grams)]]),ISNUMBER(Table1[[#This Row],[Gestation (days)]])),TRUE,FALSE)</f>
        <v>0</v>
      </c>
      <c r="E3895" s="2" t="str">
        <f>IF(Table1[[#This Row],[Is Data Valid]]=TRUE,IF(Table1[[#This Row],[Fetal Sex (Male, Female or Unknown)]]="Male",Backend!$C$6,IF(Table1[[#This Row],[Fetal Sex (Male, Female or Unknown)]]="Female",Backend!$C$7,IF(Table1[[#This Row],[Fetal Sex (Male, Female or Unknown)]]="Unknown",Backend!$C$8,"Error"))),"")</f>
        <v/>
      </c>
      <c r="F3895" s="8" t="str">
        <f>IF(Table1[[#This Row],[Is Data Valid]]=TRUE,EXP(0.578+0.332*((Table1[[#This Row],[Gestation (days)]]+0.5)/7)-0.00354*((Table1[[#This Row],[Gestation (days)]]+0.5)/7)^2)*Table1[[#This Row],[BW40_3705]],"")</f>
        <v/>
      </c>
      <c r="G3895" s="2" t="str">
        <f>IF(Table1[[#This Row],[Is Data Valid]]=TRUE,((Table1[[#This Row],[Birthweight (grams)]]/Table1[[#This Row],[BW_GA]])-1)/(Backend!$B$4/100*Table1[[#This Row],[BW40_3705]]),"")</f>
        <v/>
      </c>
      <c r="H3895" s="7" t="str">
        <f>IF(Table1[[#This Row],[Is Data Valid]]=TRUE,((Table1[[#This Row],[Birthweight (grams)]]*0.9/Table1[[#This Row],[BW_GA]])-1)/(Backend!$B$4/100*Table1[[#This Row],[BW40_3705]]),"")</f>
        <v/>
      </c>
      <c r="I3895" s="7" t="str">
        <f>IF(Table1[[#This Row],[Is Data Valid]]=TRUE,((Table1[[#This Row],[Birthweight (grams)]]*1.1/Table1[[#This Row],[BW_GA]])-1)/(Backend!$B$4/100*Table1[[#This Row],[BW40_3705]]),"")</f>
        <v/>
      </c>
      <c r="J3895" s="7" t="str">
        <f>IF(Table1[[#This Row],[Is Data Valid]]=TRUE,_xlfn.NORM.S.DIST(Table1[[#This Row],[Birthweight Z-Score]],TRUE)*100,"")</f>
        <v/>
      </c>
      <c r="K3895" s="7" t="str">
        <f>IF(Table1[[#This Row],[Is Data Valid]]=TRUE,_xlfn.NORM.S.DIST(Table1[[#This Row],[Birthweight Z-Score (BW-10%)]],TRUE)*100,"")</f>
        <v/>
      </c>
      <c r="L3895" s="7" t="str">
        <f>IF(Table1[[#This Row],[Is Data Valid]]=TRUE,_xlfn.NORM.S.DIST(Table1[[#This Row],[Birthweight Z-Score (BW+10%)]],TRUE)*100,"")</f>
        <v/>
      </c>
    </row>
    <row r="3896" spans="1:12" x14ac:dyDescent="0.35">
      <c r="A3896" s="3"/>
      <c r="B3896" s="2"/>
      <c r="C3896" s="2"/>
      <c r="D3896" s="2" t="b">
        <f>IF(AND(NOT(ISBLANK(Table1[[#This Row],[Fetal Sex (Male, Female or Unknown)]])),ISNUMBER(Table1[[#This Row],[Birthweight (grams)]]),ISNUMBER(Table1[[#This Row],[Gestation (days)]])),TRUE,FALSE)</f>
        <v>0</v>
      </c>
      <c r="E3896" s="2" t="str">
        <f>IF(Table1[[#This Row],[Is Data Valid]]=TRUE,IF(Table1[[#This Row],[Fetal Sex (Male, Female or Unknown)]]="Male",Backend!$C$6,IF(Table1[[#This Row],[Fetal Sex (Male, Female or Unknown)]]="Female",Backend!$C$7,IF(Table1[[#This Row],[Fetal Sex (Male, Female or Unknown)]]="Unknown",Backend!$C$8,"Error"))),"")</f>
        <v/>
      </c>
      <c r="F3896" s="8" t="str">
        <f>IF(Table1[[#This Row],[Is Data Valid]]=TRUE,EXP(0.578+0.332*((Table1[[#This Row],[Gestation (days)]]+0.5)/7)-0.00354*((Table1[[#This Row],[Gestation (days)]]+0.5)/7)^2)*Table1[[#This Row],[BW40_3705]],"")</f>
        <v/>
      </c>
      <c r="G3896" s="2" t="str">
        <f>IF(Table1[[#This Row],[Is Data Valid]]=TRUE,((Table1[[#This Row],[Birthweight (grams)]]/Table1[[#This Row],[BW_GA]])-1)/(Backend!$B$4/100*Table1[[#This Row],[BW40_3705]]),"")</f>
        <v/>
      </c>
      <c r="H3896" s="7" t="str">
        <f>IF(Table1[[#This Row],[Is Data Valid]]=TRUE,((Table1[[#This Row],[Birthweight (grams)]]*0.9/Table1[[#This Row],[BW_GA]])-1)/(Backend!$B$4/100*Table1[[#This Row],[BW40_3705]]),"")</f>
        <v/>
      </c>
      <c r="I3896" s="7" t="str">
        <f>IF(Table1[[#This Row],[Is Data Valid]]=TRUE,((Table1[[#This Row],[Birthweight (grams)]]*1.1/Table1[[#This Row],[BW_GA]])-1)/(Backend!$B$4/100*Table1[[#This Row],[BW40_3705]]),"")</f>
        <v/>
      </c>
      <c r="J3896" s="7" t="str">
        <f>IF(Table1[[#This Row],[Is Data Valid]]=TRUE,_xlfn.NORM.S.DIST(Table1[[#This Row],[Birthweight Z-Score]],TRUE)*100,"")</f>
        <v/>
      </c>
      <c r="K3896" s="7" t="str">
        <f>IF(Table1[[#This Row],[Is Data Valid]]=TRUE,_xlfn.NORM.S.DIST(Table1[[#This Row],[Birthweight Z-Score (BW-10%)]],TRUE)*100,"")</f>
        <v/>
      </c>
      <c r="L3896" s="7" t="str">
        <f>IF(Table1[[#This Row],[Is Data Valid]]=TRUE,_xlfn.NORM.S.DIST(Table1[[#This Row],[Birthweight Z-Score (BW+10%)]],TRUE)*100,"")</f>
        <v/>
      </c>
    </row>
    <row r="3897" spans="1:12" x14ac:dyDescent="0.35">
      <c r="A3897" s="3"/>
      <c r="B3897" s="2"/>
      <c r="C3897" s="2"/>
      <c r="D3897" s="2" t="b">
        <f>IF(AND(NOT(ISBLANK(Table1[[#This Row],[Fetal Sex (Male, Female or Unknown)]])),ISNUMBER(Table1[[#This Row],[Birthweight (grams)]]),ISNUMBER(Table1[[#This Row],[Gestation (days)]])),TRUE,FALSE)</f>
        <v>0</v>
      </c>
      <c r="E3897" s="2" t="str">
        <f>IF(Table1[[#This Row],[Is Data Valid]]=TRUE,IF(Table1[[#This Row],[Fetal Sex (Male, Female or Unknown)]]="Male",Backend!$C$6,IF(Table1[[#This Row],[Fetal Sex (Male, Female or Unknown)]]="Female",Backend!$C$7,IF(Table1[[#This Row],[Fetal Sex (Male, Female or Unknown)]]="Unknown",Backend!$C$8,"Error"))),"")</f>
        <v/>
      </c>
      <c r="F3897" s="8" t="str">
        <f>IF(Table1[[#This Row],[Is Data Valid]]=TRUE,EXP(0.578+0.332*((Table1[[#This Row],[Gestation (days)]]+0.5)/7)-0.00354*((Table1[[#This Row],[Gestation (days)]]+0.5)/7)^2)*Table1[[#This Row],[BW40_3705]],"")</f>
        <v/>
      </c>
      <c r="G3897" s="2" t="str">
        <f>IF(Table1[[#This Row],[Is Data Valid]]=TRUE,((Table1[[#This Row],[Birthweight (grams)]]/Table1[[#This Row],[BW_GA]])-1)/(Backend!$B$4/100*Table1[[#This Row],[BW40_3705]]),"")</f>
        <v/>
      </c>
      <c r="H3897" s="7" t="str">
        <f>IF(Table1[[#This Row],[Is Data Valid]]=TRUE,((Table1[[#This Row],[Birthweight (grams)]]*0.9/Table1[[#This Row],[BW_GA]])-1)/(Backend!$B$4/100*Table1[[#This Row],[BW40_3705]]),"")</f>
        <v/>
      </c>
      <c r="I3897" s="7" t="str">
        <f>IF(Table1[[#This Row],[Is Data Valid]]=TRUE,((Table1[[#This Row],[Birthweight (grams)]]*1.1/Table1[[#This Row],[BW_GA]])-1)/(Backend!$B$4/100*Table1[[#This Row],[BW40_3705]]),"")</f>
        <v/>
      </c>
      <c r="J3897" s="7" t="str">
        <f>IF(Table1[[#This Row],[Is Data Valid]]=TRUE,_xlfn.NORM.S.DIST(Table1[[#This Row],[Birthweight Z-Score]],TRUE)*100,"")</f>
        <v/>
      </c>
      <c r="K3897" s="7" t="str">
        <f>IF(Table1[[#This Row],[Is Data Valid]]=TRUE,_xlfn.NORM.S.DIST(Table1[[#This Row],[Birthweight Z-Score (BW-10%)]],TRUE)*100,"")</f>
        <v/>
      </c>
      <c r="L3897" s="7" t="str">
        <f>IF(Table1[[#This Row],[Is Data Valid]]=TRUE,_xlfn.NORM.S.DIST(Table1[[#This Row],[Birthweight Z-Score (BW+10%)]],TRUE)*100,"")</f>
        <v/>
      </c>
    </row>
    <row r="3898" spans="1:12" x14ac:dyDescent="0.35">
      <c r="A3898" s="3"/>
      <c r="B3898" s="2"/>
      <c r="C3898" s="2"/>
      <c r="D3898" s="2" t="b">
        <f>IF(AND(NOT(ISBLANK(Table1[[#This Row],[Fetal Sex (Male, Female or Unknown)]])),ISNUMBER(Table1[[#This Row],[Birthweight (grams)]]),ISNUMBER(Table1[[#This Row],[Gestation (days)]])),TRUE,FALSE)</f>
        <v>0</v>
      </c>
      <c r="E3898" s="2" t="str">
        <f>IF(Table1[[#This Row],[Is Data Valid]]=TRUE,IF(Table1[[#This Row],[Fetal Sex (Male, Female or Unknown)]]="Male",Backend!$C$6,IF(Table1[[#This Row],[Fetal Sex (Male, Female or Unknown)]]="Female",Backend!$C$7,IF(Table1[[#This Row],[Fetal Sex (Male, Female or Unknown)]]="Unknown",Backend!$C$8,"Error"))),"")</f>
        <v/>
      </c>
      <c r="F3898" s="8" t="str">
        <f>IF(Table1[[#This Row],[Is Data Valid]]=TRUE,EXP(0.578+0.332*((Table1[[#This Row],[Gestation (days)]]+0.5)/7)-0.00354*((Table1[[#This Row],[Gestation (days)]]+0.5)/7)^2)*Table1[[#This Row],[BW40_3705]],"")</f>
        <v/>
      </c>
      <c r="G3898" s="2" t="str">
        <f>IF(Table1[[#This Row],[Is Data Valid]]=TRUE,((Table1[[#This Row],[Birthweight (grams)]]/Table1[[#This Row],[BW_GA]])-1)/(Backend!$B$4/100*Table1[[#This Row],[BW40_3705]]),"")</f>
        <v/>
      </c>
      <c r="H3898" s="7" t="str">
        <f>IF(Table1[[#This Row],[Is Data Valid]]=TRUE,((Table1[[#This Row],[Birthweight (grams)]]*0.9/Table1[[#This Row],[BW_GA]])-1)/(Backend!$B$4/100*Table1[[#This Row],[BW40_3705]]),"")</f>
        <v/>
      </c>
      <c r="I3898" s="7" t="str">
        <f>IF(Table1[[#This Row],[Is Data Valid]]=TRUE,((Table1[[#This Row],[Birthweight (grams)]]*1.1/Table1[[#This Row],[BW_GA]])-1)/(Backend!$B$4/100*Table1[[#This Row],[BW40_3705]]),"")</f>
        <v/>
      </c>
      <c r="J3898" s="7" t="str">
        <f>IF(Table1[[#This Row],[Is Data Valid]]=TRUE,_xlfn.NORM.S.DIST(Table1[[#This Row],[Birthweight Z-Score]],TRUE)*100,"")</f>
        <v/>
      </c>
      <c r="K3898" s="7" t="str">
        <f>IF(Table1[[#This Row],[Is Data Valid]]=TRUE,_xlfn.NORM.S.DIST(Table1[[#This Row],[Birthweight Z-Score (BW-10%)]],TRUE)*100,"")</f>
        <v/>
      </c>
      <c r="L3898" s="7" t="str">
        <f>IF(Table1[[#This Row],[Is Data Valid]]=TRUE,_xlfn.NORM.S.DIST(Table1[[#This Row],[Birthweight Z-Score (BW+10%)]],TRUE)*100,"")</f>
        <v/>
      </c>
    </row>
    <row r="3899" spans="1:12" x14ac:dyDescent="0.35">
      <c r="A3899" s="3"/>
      <c r="B3899" s="2"/>
      <c r="C3899" s="2"/>
      <c r="D3899" s="2" t="b">
        <f>IF(AND(NOT(ISBLANK(Table1[[#This Row],[Fetal Sex (Male, Female or Unknown)]])),ISNUMBER(Table1[[#This Row],[Birthweight (grams)]]),ISNUMBER(Table1[[#This Row],[Gestation (days)]])),TRUE,FALSE)</f>
        <v>0</v>
      </c>
      <c r="E3899" s="2" t="str">
        <f>IF(Table1[[#This Row],[Is Data Valid]]=TRUE,IF(Table1[[#This Row],[Fetal Sex (Male, Female or Unknown)]]="Male",Backend!$C$6,IF(Table1[[#This Row],[Fetal Sex (Male, Female or Unknown)]]="Female",Backend!$C$7,IF(Table1[[#This Row],[Fetal Sex (Male, Female or Unknown)]]="Unknown",Backend!$C$8,"Error"))),"")</f>
        <v/>
      </c>
      <c r="F3899" s="8" t="str">
        <f>IF(Table1[[#This Row],[Is Data Valid]]=TRUE,EXP(0.578+0.332*((Table1[[#This Row],[Gestation (days)]]+0.5)/7)-0.00354*((Table1[[#This Row],[Gestation (days)]]+0.5)/7)^2)*Table1[[#This Row],[BW40_3705]],"")</f>
        <v/>
      </c>
      <c r="G3899" s="2" t="str">
        <f>IF(Table1[[#This Row],[Is Data Valid]]=TRUE,((Table1[[#This Row],[Birthweight (grams)]]/Table1[[#This Row],[BW_GA]])-1)/(Backend!$B$4/100*Table1[[#This Row],[BW40_3705]]),"")</f>
        <v/>
      </c>
      <c r="H3899" s="7" t="str">
        <f>IF(Table1[[#This Row],[Is Data Valid]]=TRUE,((Table1[[#This Row],[Birthweight (grams)]]*0.9/Table1[[#This Row],[BW_GA]])-1)/(Backend!$B$4/100*Table1[[#This Row],[BW40_3705]]),"")</f>
        <v/>
      </c>
      <c r="I3899" s="7" t="str">
        <f>IF(Table1[[#This Row],[Is Data Valid]]=TRUE,((Table1[[#This Row],[Birthweight (grams)]]*1.1/Table1[[#This Row],[BW_GA]])-1)/(Backend!$B$4/100*Table1[[#This Row],[BW40_3705]]),"")</f>
        <v/>
      </c>
      <c r="J3899" s="7" t="str">
        <f>IF(Table1[[#This Row],[Is Data Valid]]=TRUE,_xlfn.NORM.S.DIST(Table1[[#This Row],[Birthweight Z-Score]],TRUE)*100,"")</f>
        <v/>
      </c>
      <c r="K3899" s="7" t="str">
        <f>IF(Table1[[#This Row],[Is Data Valid]]=TRUE,_xlfn.NORM.S.DIST(Table1[[#This Row],[Birthweight Z-Score (BW-10%)]],TRUE)*100,"")</f>
        <v/>
      </c>
      <c r="L3899" s="7" t="str">
        <f>IF(Table1[[#This Row],[Is Data Valid]]=TRUE,_xlfn.NORM.S.DIST(Table1[[#This Row],[Birthweight Z-Score (BW+10%)]],TRUE)*100,"")</f>
        <v/>
      </c>
    </row>
    <row r="3900" spans="1:12" x14ac:dyDescent="0.35">
      <c r="A3900" s="3"/>
      <c r="B3900" s="2"/>
      <c r="C3900" s="2"/>
      <c r="D3900" s="2" t="b">
        <f>IF(AND(NOT(ISBLANK(Table1[[#This Row],[Fetal Sex (Male, Female or Unknown)]])),ISNUMBER(Table1[[#This Row],[Birthweight (grams)]]),ISNUMBER(Table1[[#This Row],[Gestation (days)]])),TRUE,FALSE)</f>
        <v>0</v>
      </c>
      <c r="E3900" s="2" t="str">
        <f>IF(Table1[[#This Row],[Is Data Valid]]=TRUE,IF(Table1[[#This Row],[Fetal Sex (Male, Female or Unknown)]]="Male",Backend!$C$6,IF(Table1[[#This Row],[Fetal Sex (Male, Female or Unknown)]]="Female",Backend!$C$7,IF(Table1[[#This Row],[Fetal Sex (Male, Female or Unknown)]]="Unknown",Backend!$C$8,"Error"))),"")</f>
        <v/>
      </c>
      <c r="F3900" s="8" t="str">
        <f>IF(Table1[[#This Row],[Is Data Valid]]=TRUE,EXP(0.578+0.332*((Table1[[#This Row],[Gestation (days)]]+0.5)/7)-0.00354*((Table1[[#This Row],[Gestation (days)]]+0.5)/7)^2)*Table1[[#This Row],[BW40_3705]],"")</f>
        <v/>
      </c>
      <c r="G3900" s="2" t="str">
        <f>IF(Table1[[#This Row],[Is Data Valid]]=TRUE,((Table1[[#This Row],[Birthweight (grams)]]/Table1[[#This Row],[BW_GA]])-1)/(Backend!$B$4/100*Table1[[#This Row],[BW40_3705]]),"")</f>
        <v/>
      </c>
      <c r="H3900" s="7" t="str">
        <f>IF(Table1[[#This Row],[Is Data Valid]]=TRUE,((Table1[[#This Row],[Birthweight (grams)]]*0.9/Table1[[#This Row],[BW_GA]])-1)/(Backend!$B$4/100*Table1[[#This Row],[BW40_3705]]),"")</f>
        <v/>
      </c>
      <c r="I3900" s="7" t="str">
        <f>IF(Table1[[#This Row],[Is Data Valid]]=TRUE,((Table1[[#This Row],[Birthweight (grams)]]*1.1/Table1[[#This Row],[BW_GA]])-1)/(Backend!$B$4/100*Table1[[#This Row],[BW40_3705]]),"")</f>
        <v/>
      </c>
      <c r="J3900" s="7" t="str">
        <f>IF(Table1[[#This Row],[Is Data Valid]]=TRUE,_xlfn.NORM.S.DIST(Table1[[#This Row],[Birthweight Z-Score]],TRUE)*100,"")</f>
        <v/>
      </c>
      <c r="K3900" s="7" t="str">
        <f>IF(Table1[[#This Row],[Is Data Valid]]=TRUE,_xlfn.NORM.S.DIST(Table1[[#This Row],[Birthweight Z-Score (BW-10%)]],TRUE)*100,"")</f>
        <v/>
      </c>
      <c r="L3900" s="7" t="str">
        <f>IF(Table1[[#This Row],[Is Data Valid]]=TRUE,_xlfn.NORM.S.DIST(Table1[[#This Row],[Birthweight Z-Score (BW+10%)]],TRUE)*100,"")</f>
        <v/>
      </c>
    </row>
    <row r="3901" spans="1:12" x14ac:dyDescent="0.35">
      <c r="A3901" s="3"/>
      <c r="B3901" s="2"/>
      <c r="C3901" s="2"/>
      <c r="D3901" s="2" t="b">
        <f>IF(AND(NOT(ISBLANK(Table1[[#This Row],[Fetal Sex (Male, Female or Unknown)]])),ISNUMBER(Table1[[#This Row],[Birthweight (grams)]]),ISNUMBER(Table1[[#This Row],[Gestation (days)]])),TRUE,FALSE)</f>
        <v>0</v>
      </c>
      <c r="E3901" s="2" t="str">
        <f>IF(Table1[[#This Row],[Is Data Valid]]=TRUE,IF(Table1[[#This Row],[Fetal Sex (Male, Female or Unknown)]]="Male",Backend!$C$6,IF(Table1[[#This Row],[Fetal Sex (Male, Female or Unknown)]]="Female",Backend!$C$7,IF(Table1[[#This Row],[Fetal Sex (Male, Female or Unknown)]]="Unknown",Backend!$C$8,"Error"))),"")</f>
        <v/>
      </c>
      <c r="F3901" s="8" t="str">
        <f>IF(Table1[[#This Row],[Is Data Valid]]=TRUE,EXP(0.578+0.332*((Table1[[#This Row],[Gestation (days)]]+0.5)/7)-0.00354*((Table1[[#This Row],[Gestation (days)]]+0.5)/7)^2)*Table1[[#This Row],[BW40_3705]],"")</f>
        <v/>
      </c>
      <c r="G3901" s="2" t="str">
        <f>IF(Table1[[#This Row],[Is Data Valid]]=TRUE,((Table1[[#This Row],[Birthweight (grams)]]/Table1[[#This Row],[BW_GA]])-1)/(Backend!$B$4/100*Table1[[#This Row],[BW40_3705]]),"")</f>
        <v/>
      </c>
      <c r="H3901" s="7" t="str">
        <f>IF(Table1[[#This Row],[Is Data Valid]]=TRUE,((Table1[[#This Row],[Birthweight (grams)]]*0.9/Table1[[#This Row],[BW_GA]])-1)/(Backend!$B$4/100*Table1[[#This Row],[BW40_3705]]),"")</f>
        <v/>
      </c>
      <c r="I3901" s="7" t="str">
        <f>IF(Table1[[#This Row],[Is Data Valid]]=TRUE,((Table1[[#This Row],[Birthweight (grams)]]*1.1/Table1[[#This Row],[BW_GA]])-1)/(Backend!$B$4/100*Table1[[#This Row],[BW40_3705]]),"")</f>
        <v/>
      </c>
      <c r="J3901" s="7" t="str">
        <f>IF(Table1[[#This Row],[Is Data Valid]]=TRUE,_xlfn.NORM.S.DIST(Table1[[#This Row],[Birthweight Z-Score]],TRUE)*100,"")</f>
        <v/>
      </c>
      <c r="K3901" s="7" t="str">
        <f>IF(Table1[[#This Row],[Is Data Valid]]=TRUE,_xlfn.NORM.S.DIST(Table1[[#This Row],[Birthweight Z-Score (BW-10%)]],TRUE)*100,"")</f>
        <v/>
      </c>
      <c r="L3901" s="7" t="str">
        <f>IF(Table1[[#This Row],[Is Data Valid]]=TRUE,_xlfn.NORM.S.DIST(Table1[[#This Row],[Birthweight Z-Score (BW+10%)]],TRUE)*100,"")</f>
        <v/>
      </c>
    </row>
    <row r="3902" spans="1:12" x14ac:dyDescent="0.35">
      <c r="A3902" s="3"/>
      <c r="B3902" s="2"/>
      <c r="C3902" s="2"/>
      <c r="D3902" s="2" t="b">
        <f>IF(AND(NOT(ISBLANK(Table1[[#This Row],[Fetal Sex (Male, Female or Unknown)]])),ISNUMBER(Table1[[#This Row],[Birthweight (grams)]]),ISNUMBER(Table1[[#This Row],[Gestation (days)]])),TRUE,FALSE)</f>
        <v>0</v>
      </c>
      <c r="E3902" s="2" t="str">
        <f>IF(Table1[[#This Row],[Is Data Valid]]=TRUE,IF(Table1[[#This Row],[Fetal Sex (Male, Female or Unknown)]]="Male",Backend!$C$6,IF(Table1[[#This Row],[Fetal Sex (Male, Female or Unknown)]]="Female",Backend!$C$7,IF(Table1[[#This Row],[Fetal Sex (Male, Female or Unknown)]]="Unknown",Backend!$C$8,"Error"))),"")</f>
        <v/>
      </c>
      <c r="F3902" s="8" t="str">
        <f>IF(Table1[[#This Row],[Is Data Valid]]=TRUE,EXP(0.578+0.332*((Table1[[#This Row],[Gestation (days)]]+0.5)/7)-0.00354*((Table1[[#This Row],[Gestation (days)]]+0.5)/7)^2)*Table1[[#This Row],[BW40_3705]],"")</f>
        <v/>
      </c>
      <c r="G3902" s="2" t="str">
        <f>IF(Table1[[#This Row],[Is Data Valid]]=TRUE,((Table1[[#This Row],[Birthweight (grams)]]/Table1[[#This Row],[BW_GA]])-1)/(Backend!$B$4/100*Table1[[#This Row],[BW40_3705]]),"")</f>
        <v/>
      </c>
      <c r="H3902" s="7" t="str">
        <f>IF(Table1[[#This Row],[Is Data Valid]]=TRUE,((Table1[[#This Row],[Birthweight (grams)]]*0.9/Table1[[#This Row],[BW_GA]])-1)/(Backend!$B$4/100*Table1[[#This Row],[BW40_3705]]),"")</f>
        <v/>
      </c>
      <c r="I3902" s="7" t="str">
        <f>IF(Table1[[#This Row],[Is Data Valid]]=TRUE,((Table1[[#This Row],[Birthweight (grams)]]*1.1/Table1[[#This Row],[BW_GA]])-1)/(Backend!$B$4/100*Table1[[#This Row],[BW40_3705]]),"")</f>
        <v/>
      </c>
      <c r="J3902" s="7" t="str">
        <f>IF(Table1[[#This Row],[Is Data Valid]]=TRUE,_xlfn.NORM.S.DIST(Table1[[#This Row],[Birthweight Z-Score]],TRUE)*100,"")</f>
        <v/>
      </c>
      <c r="K3902" s="7" t="str">
        <f>IF(Table1[[#This Row],[Is Data Valid]]=TRUE,_xlfn.NORM.S.DIST(Table1[[#This Row],[Birthweight Z-Score (BW-10%)]],TRUE)*100,"")</f>
        <v/>
      </c>
      <c r="L3902" s="7" t="str">
        <f>IF(Table1[[#This Row],[Is Data Valid]]=TRUE,_xlfn.NORM.S.DIST(Table1[[#This Row],[Birthweight Z-Score (BW+10%)]],TRUE)*100,"")</f>
        <v/>
      </c>
    </row>
    <row r="3903" spans="1:12" x14ac:dyDescent="0.35">
      <c r="A3903" s="3"/>
      <c r="B3903" s="2"/>
      <c r="C3903" s="2"/>
      <c r="D3903" s="2" t="b">
        <f>IF(AND(NOT(ISBLANK(Table1[[#This Row],[Fetal Sex (Male, Female or Unknown)]])),ISNUMBER(Table1[[#This Row],[Birthweight (grams)]]),ISNUMBER(Table1[[#This Row],[Gestation (days)]])),TRUE,FALSE)</f>
        <v>0</v>
      </c>
      <c r="E3903" s="2" t="str">
        <f>IF(Table1[[#This Row],[Is Data Valid]]=TRUE,IF(Table1[[#This Row],[Fetal Sex (Male, Female or Unknown)]]="Male",Backend!$C$6,IF(Table1[[#This Row],[Fetal Sex (Male, Female or Unknown)]]="Female",Backend!$C$7,IF(Table1[[#This Row],[Fetal Sex (Male, Female or Unknown)]]="Unknown",Backend!$C$8,"Error"))),"")</f>
        <v/>
      </c>
      <c r="F3903" s="8" t="str">
        <f>IF(Table1[[#This Row],[Is Data Valid]]=TRUE,EXP(0.578+0.332*((Table1[[#This Row],[Gestation (days)]]+0.5)/7)-0.00354*((Table1[[#This Row],[Gestation (days)]]+0.5)/7)^2)*Table1[[#This Row],[BW40_3705]],"")</f>
        <v/>
      </c>
      <c r="G3903" s="2" t="str">
        <f>IF(Table1[[#This Row],[Is Data Valid]]=TRUE,((Table1[[#This Row],[Birthweight (grams)]]/Table1[[#This Row],[BW_GA]])-1)/(Backend!$B$4/100*Table1[[#This Row],[BW40_3705]]),"")</f>
        <v/>
      </c>
      <c r="H3903" s="7" t="str">
        <f>IF(Table1[[#This Row],[Is Data Valid]]=TRUE,((Table1[[#This Row],[Birthweight (grams)]]*0.9/Table1[[#This Row],[BW_GA]])-1)/(Backend!$B$4/100*Table1[[#This Row],[BW40_3705]]),"")</f>
        <v/>
      </c>
      <c r="I3903" s="7" t="str">
        <f>IF(Table1[[#This Row],[Is Data Valid]]=TRUE,((Table1[[#This Row],[Birthweight (grams)]]*1.1/Table1[[#This Row],[BW_GA]])-1)/(Backend!$B$4/100*Table1[[#This Row],[BW40_3705]]),"")</f>
        <v/>
      </c>
      <c r="J3903" s="7" t="str">
        <f>IF(Table1[[#This Row],[Is Data Valid]]=TRUE,_xlfn.NORM.S.DIST(Table1[[#This Row],[Birthweight Z-Score]],TRUE)*100,"")</f>
        <v/>
      </c>
      <c r="K3903" s="7" t="str">
        <f>IF(Table1[[#This Row],[Is Data Valid]]=TRUE,_xlfn.NORM.S.DIST(Table1[[#This Row],[Birthweight Z-Score (BW-10%)]],TRUE)*100,"")</f>
        <v/>
      </c>
      <c r="L3903" s="7" t="str">
        <f>IF(Table1[[#This Row],[Is Data Valid]]=TRUE,_xlfn.NORM.S.DIST(Table1[[#This Row],[Birthweight Z-Score (BW+10%)]],TRUE)*100,"")</f>
        <v/>
      </c>
    </row>
    <row r="3904" spans="1:12" x14ac:dyDescent="0.35">
      <c r="A3904" s="3"/>
      <c r="B3904" s="2"/>
      <c r="C3904" s="2"/>
      <c r="D3904" s="2" t="b">
        <f>IF(AND(NOT(ISBLANK(Table1[[#This Row],[Fetal Sex (Male, Female or Unknown)]])),ISNUMBER(Table1[[#This Row],[Birthweight (grams)]]),ISNUMBER(Table1[[#This Row],[Gestation (days)]])),TRUE,FALSE)</f>
        <v>0</v>
      </c>
      <c r="E3904" s="2" t="str">
        <f>IF(Table1[[#This Row],[Is Data Valid]]=TRUE,IF(Table1[[#This Row],[Fetal Sex (Male, Female or Unknown)]]="Male",Backend!$C$6,IF(Table1[[#This Row],[Fetal Sex (Male, Female or Unknown)]]="Female",Backend!$C$7,IF(Table1[[#This Row],[Fetal Sex (Male, Female or Unknown)]]="Unknown",Backend!$C$8,"Error"))),"")</f>
        <v/>
      </c>
      <c r="F3904" s="8" t="str">
        <f>IF(Table1[[#This Row],[Is Data Valid]]=TRUE,EXP(0.578+0.332*((Table1[[#This Row],[Gestation (days)]]+0.5)/7)-0.00354*((Table1[[#This Row],[Gestation (days)]]+0.5)/7)^2)*Table1[[#This Row],[BW40_3705]],"")</f>
        <v/>
      </c>
      <c r="G3904" s="2" t="str">
        <f>IF(Table1[[#This Row],[Is Data Valid]]=TRUE,((Table1[[#This Row],[Birthweight (grams)]]/Table1[[#This Row],[BW_GA]])-1)/(Backend!$B$4/100*Table1[[#This Row],[BW40_3705]]),"")</f>
        <v/>
      </c>
      <c r="H3904" s="7" t="str">
        <f>IF(Table1[[#This Row],[Is Data Valid]]=TRUE,((Table1[[#This Row],[Birthweight (grams)]]*0.9/Table1[[#This Row],[BW_GA]])-1)/(Backend!$B$4/100*Table1[[#This Row],[BW40_3705]]),"")</f>
        <v/>
      </c>
      <c r="I3904" s="7" t="str">
        <f>IF(Table1[[#This Row],[Is Data Valid]]=TRUE,((Table1[[#This Row],[Birthweight (grams)]]*1.1/Table1[[#This Row],[BW_GA]])-1)/(Backend!$B$4/100*Table1[[#This Row],[BW40_3705]]),"")</f>
        <v/>
      </c>
      <c r="J3904" s="7" t="str">
        <f>IF(Table1[[#This Row],[Is Data Valid]]=TRUE,_xlfn.NORM.S.DIST(Table1[[#This Row],[Birthweight Z-Score]],TRUE)*100,"")</f>
        <v/>
      </c>
      <c r="K3904" s="7" t="str">
        <f>IF(Table1[[#This Row],[Is Data Valid]]=TRUE,_xlfn.NORM.S.DIST(Table1[[#This Row],[Birthweight Z-Score (BW-10%)]],TRUE)*100,"")</f>
        <v/>
      </c>
      <c r="L3904" s="7" t="str">
        <f>IF(Table1[[#This Row],[Is Data Valid]]=TRUE,_xlfn.NORM.S.DIST(Table1[[#This Row],[Birthweight Z-Score (BW+10%)]],TRUE)*100,"")</f>
        <v/>
      </c>
    </row>
    <row r="3905" spans="1:12" x14ac:dyDescent="0.35">
      <c r="A3905" s="3"/>
      <c r="B3905" s="2"/>
      <c r="C3905" s="2"/>
      <c r="D3905" s="2" t="b">
        <f>IF(AND(NOT(ISBLANK(Table1[[#This Row],[Fetal Sex (Male, Female or Unknown)]])),ISNUMBER(Table1[[#This Row],[Birthweight (grams)]]),ISNUMBER(Table1[[#This Row],[Gestation (days)]])),TRUE,FALSE)</f>
        <v>0</v>
      </c>
      <c r="E3905" s="2" t="str">
        <f>IF(Table1[[#This Row],[Is Data Valid]]=TRUE,IF(Table1[[#This Row],[Fetal Sex (Male, Female or Unknown)]]="Male",Backend!$C$6,IF(Table1[[#This Row],[Fetal Sex (Male, Female or Unknown)]]="Female",Backend!$C$7,IF(Table1[[#This Row],[Fetal Sex (Male, Female or Unknown)]]="Unknown",Backend!$C$8,"Error"))),"")</f>
        <v/>
      </c>
      <c r="F3905" s="8" t="str">
        <f>IF(Table1[[#This Row],[Is Data Valid]]=TRUE,EXP(0.578+0.332*((Table1[[#This Row],[Gestation (days)]]+0.5)/7)-0.00354*((Table1[[#This Row],[Gestation (days)]]+0.5)/7)^2)*Table1[[#This Row],[BW40_3705]],"")</f>
        <v/>
      </c>
      <c r="G3905" s="2" t="str">
        <f>IF(Table1[[#This Row],[Is Data Valid]]=TRUE,((Table1[[#This Row],[Birthweight (grams)]]/Table1[[#This Row],[BW_GA]])-1)/(Backend!$B$4/100*Table1[[#This Row],[BW40_3705]]),"")</f>
        <v/>
      </c>
      <c r="H3905" s="7" t="str">
        <f>IF(Table1[[#This Row],[Is Data Valid]]=TRUE,((Table1[[#This Row],[Birthweight (grams)]]*0.9/Table1[[#This Row],[BW_GA]])-1)/(Backend!$B$4/100*Table1[[#This Row],[BW40_3705]]),"")</f>
        <v/>
      </c>
      <c r="I3905" s="7" t="str">
        <f>IF(Table1[[#This Row],[Is Data Valid]]=TRUE,((Table1[[#This Row],[Birthweight (grams)]]*1.1/Table1[[#This Row],[BW_GA]])-1)/(Backend!$B$4/100*Table1[[#This Row],[BW40_3705]]),"")</f>
        <v/>
      </c>
      <c r="J3905" s="7" t="str">
        <f>IF(Table1[[#This Row],[Is Data Valid]]=TRUE,_xlfn.NORM.S.DIST(Table1[[#This Row],[Birthweight Z-Score]],TRUE)*100,"")</f>
        <v/>
      </c>
      <c r="K3905" s="7" t="str">
        <f>IF(Table1[[#This Row],[Is Data Valid]]=TRUE,_xlfn.NORM.S.DIST(Table1[[#This Row],[Birthweight Z-Score (BW-10%)]],TRUE)*100,"")</f>
        <v/>
      </c>
      <c r="L3905" s="7" t="str">
        <f>IF(Table1[[#This Row],[Is Data Valid]]=TRUE,_xlfn.NORM.S.DIST(Table1[[#This Row],[Birthweight Z-Score (BW+10%)]],TRUE)*100,"")</f>
        <v/>
      </c>
    </row>
    <row r="3906" spans="1:12" x14ac:dyDescent="0.35">
      <c r="A3906" s="3"/>
      <c r="B3906" s="2"/>
      <c r="C3906" s="2"/>
      <c r="D3906" s="2" t="b">
        <f>IF(AND(NOT(ISBLANK(Table1[[#This Row],[Fetal Sex (Male, Female or Unknown)]])),ISNUMBER(Table1[[#This Row],[Birthweight (grams)]]),ISNUMBER(Table1[[#This Row],[Gestation (days)]])),TRUE,FALSE)</f>
        <v>0</v>
      </c>
      <c r="E3906" s="2" t="str">
        <f>IF(Table1[[#This Row],[Is Data Valid]]=TRUE,IF(Table1[[#This Row],[Fetal Sex (Male, Female or Unknown)]]="Male",Backend!$C$6,IF(Table1[[#This Row],[Fetal Sex (Male, Female or Unknown)]]="Female",Backend!$C$7,IF(Table1[[#This Row],[Fetal Sex (Male, Female or Unknown)]]="Unknown",Backend!$C$8,"Error"))),"")</f>
        <v/>
      </c>
      <c r="F3906" s="8" t="str">
        <f>IF(Table1[[#This Row],[Is Data Valid]]=TRUE,EXP(0.578+0.332*((Table1[[#This Row],[Gestation (days)]]+0.5)/7)-0.00354*((Table1[[#This Row],[Gestation (days)]]+0.5)/7)^2)*Table1[[#This Row],[BW40_3705]],"")</f>
        <v/>
      </c>
      <c r="G3906" s="2" t="str">
        <f>IF(Table1[[#This Row],[Is Data Valid]]=TRUE,((Table1[[#This Row],[Birthweight (grams)]]/Table1[[#This Row],[BW_GA]])-1)/(Backend!$B$4/100*Table1[[#This Row],[BW40_3705]]),"")</f>
        <v/>
      </c>
      <c r="H3906" s="7" t="str">
        <f>IF(Table1[[#This Row],[Is Data Valid]]=TRUE,((Table1[[#This Row],[Birthweight (grams)]]*0.9/Table1[[#This Row],[BW_GA]])-1)/(Backend!$B$4/100*Table1[[#This Row],[BW40_3705]]),"")</f>
        <v/>
      </c>
      <c r="I3906" s="7" t="str">
        <f>IF(Table1[[#This Row],[Is Data Valid]]=TRUE,((Table1[[#This Row],[Birthweight (grams)]]*1.1/Table1[[#This Row],[BW_GA]])-1)/(Backend!$B$4/100*Table1[[#This Row],[BW40_3705]]),"")</f>
        <v/>
      </c>
      <c r="J3906" s="7" t="str">
        <f>IF(Table1[[#This Row],[Is Data Valid]]=TRUE,_xlfn.NORM.S.DIST(Table1[[#This Row],[Birthweight Z-Score]],TRUE)*100,"")</f>
        <v/>
      </c>
      <c r="K3906" s="7" t="str">
        <f>IF(Table1[[#This Row],[Is Data Valid]]=TRUE,_xlfn.NORM.S.DIST(Table1[[#This Row],[Birthweight Z-Score (BW-10%)]],TRUE)*100,"")</f>
        <v/>
      </c>
      <c r="L3906" s="7" t="str">
        <f>IF(Table1[[#This Row],[Is Data Valid]]=TRUE,_xlfn.NORM.S.DIST(Table1[[#This Row],[Birthweight Z-Score (BW+10%)]],TRUE)*100,"")</f>
        <v/>
      </c>
    </row>
    <row r="3907" spans="1:12" x14ac:dyDescent="0.35">
      <c r="A3907" s="3"/>
      <c r="B3907" s="2"/>
      <c r="C3907" s="2"/>
      <c r="D3907" s="2" t="b">
        <f>IF(AND(NOT(ISBLANK(Table1[[#This Row],[Fetal Sex (Male, Female or Unknown)]])),ISNUMBER(Table1[[#This Row],[Birthweight (grams)]]),ISNUMBER(Table1[[#This Row],[Gestation (days)]])),TRUE,FALSE)</f>
        <v>0</v>
      </c>
      <c r="E3907" s="2" t="str">
        <f>IF(Table1[[#This Row],[Is Data Valid]]=TRUE,IF(Table1[[#This Row],[Fetal Sex (Male, Female or Unknown)]]="Male",Backend!$C$6,IF(Table1[[#This Row],[Fetal Sex (Male, Female or Unknown)]]="Female",Backend!$C$7,IF(Table1[[#This Row],[Fetal Sex (Male, Female or Unknown)]]="Unknown",Backend!$C$8,"Error"))),"")</f>
        <v/>
      </c>
      <c r="F3907" s="8" t="str">
        <f>IF(Table1[[#This Row],[Is Data Valid]]=TRUE,EXP(0.578+0.332*((Table1[[#This Row],[Gestation (days)]]+0.5)/7)-0.00354*((Table1[[#This Row],[Gestation (days)]]+0.5)/7)^2)*Table1[[#This Row],[BW40_3705]],"")</f>
        <v/>
      </c>
      <c r="G3907" s="2" t="str">
        <f>IF(Table1[[#This Row],[Is Data Valid]]=TRUE,((Table1[[#This Row],[Birthweight (grams)]]/Table1[[#This Row],[BW_GA]])-1)/(Backend!$B$4/100*Table1[[#This Row],[BW40_3705]]),"")</f>
        <v/>
      </c>
      <c r="H3907" s="7" t="str">
        <f>IF(Table1[[#This Row],[Is Data Valid]]=TRUE,((Table1[[#This Row],[Birthweight (grams)]]*0.9/Table1[[#This Row],[BW_GA]])-1)/(Backend!$B$4/100*Table1[[#This Row],[BW40_3705]]),"")</f>
        <v/>
      </c>
      <c r="I3907" s="7" t="str">
        <f>IF(Table1[[#This Row],[Is Data Valid]]=TRUE,((Table1[[#This Row],[Birthweight (grams)]]*1.1/Table1[[#This Row],[BW_GA]])-1)/(Backend!$B$4/100*Table1[[#This Row],[BW40_3705]]),"")</f>
        <v/>
      </c>
      <c r="J3907" s="7" t="str">
        <f>IF(Table1[[#This Row],[Is Data Valid]]=TRUE,_xlfn.NORM.S.DIST(Table1[[#This Row],[Birthweight Z-Score]],TRUE)*100,"")</f>
        <v/>
      </c>
      <c r="K3907" s="7" t="str">
        <f>IF(Table1[[#This Row],[Is Data Valid]]=TRUE,_xlfn.NORM.S.DIST(Table1[[#This Row],[Birthweight Z-Score (BW-10%)]],TRUE)*100,"")</f>
        <v/>
      </c>
      <c r="L3907" s="7" t="str">
        <f>IF(Table1[[#This Row],[Is Data Valid]]=TRUE,_xlfn.NORM.S.DIST(Table1[[#This Row],[Birthweight Z-Score (BW+10%)]],TRUE)*100,"")</f>
        <v/>
      </c>
    </row>
    <row r="3908" spans="1:12" x14ac:dyDescent="0.35">
      <c r="A3908" s="3"/>
      <c r="B3908" s="2"/>
      <c r="C3908" s="2"/>
      <c r="D3908" s="2" t="b">
        <f>IF(AND(NOT(ISBLANK(Table1[[#This Row],[Fetal Sex (Male, Female or Unknown)]])),ISNUMBER(Table1[[#This Row],[Birthweight (grams)]]),ISNUMBER(Table1[[#This Row],[Gestation (days)]])),TRUE,FALSE)</f>
        <v>0</v>
      </c>
      <c r="E3908" s="2" t="str">
        <f>IF(Table1[[#This Row],[Is Data Valid]]=TRUE,IF(Table1[[#This Row],[Fetal Sex (Male, Female or Unknown)]]="Male",Backend!$C$6,IF(Table1[[#This Row],[Fetal Sex (Male, Female or Unknown)]]="Female",Backend!$C$7,IF(Table1[[#This Row],[Fetal Sex (Male, Female or Unknown)]]="Unknown",Backend!$C$8,"Error"))),"")</f>
        <v/>
      </c>
      <c r="F3908" s="8" t="str">
        <f>IF(Table1[[#This Row],[Is Data Valid]]=TRUE,EXP(0.578+0.332*((Table1[[#This Row],[Gestation (days)]]+0.5)/7)-0.00354*((Table1[[#This Row],[Gestation (days)]]+0.5)/7)^2)*Table1[[#This Row],[BW40_3705]],"")</f>
        <v/>
      </c>
      <c r="G3908" s="2" t="str">
        <f>IF(Table1[[#This Row],[Is Data Valid]]=TRUE,((Table1[[#This Row],[Birthweight (grams)]]/Table1[[#This Row],[BW_GA]])-1)/(Backend!$B$4/100*Table1[[#This Row],[BW40_3705]]),"")</f>
        <v/>
      </c>
      <c r="H3908" s="7" t="str">
        <f>IF(Table1[[#This Row],[Is Data Valid]]=TRUE,((Table1[[#This Row],[Birthweight (grams)]]*0.9/Table1[[#This Row],[BW_GA]])-1)/(Backend!$B$4/100*Table1[[#This Row],[BW40_3705]]),"")</f>
        <v/>
      </c>
      <c r="I3908" s="7" t="str">
        <f>IF(Table1[[#This Row],[Is Data Valid]]=TRUE,((Table1[[#This Row],[Birthweight (grams)]]*1.1/Table1[[#This Row],[BW_GA]])-1)/(Backend!$B$4/100*Table1[[#This Row],[BW40_3705]]),"")</f>
        <v/>
      </c>
      <c r="J3908" s="7" t="str">
        <f>IF(Table1[[#This Row],[Is Data Valid]]=TRUE,_xlfn.NORM.S.DIST(Table1[[#This Row],[Birthweight Z-Score]],TRUE)*100,"")</f>
        <v/>
      </c>
      <c r="K3908" s="7" t="str">
        <f>IF(Table1[[#This Row],[Is Data Valid]]=TRUE,_xlfn.NORM.S.DIST(Table1[[#This Row],[Birthweight Z-Score (BW-10%)]],TRUE)*100,"")</f>
        <v/>
      </c>
      <c r="L3908" s="7" t="str">
        <f>IF(Table1[[#This Row],[Is Data Valid]]=TRUE,_xlfn.NORM.S.DIST(Table1[[#This Row],[Birthweight Z-Score (BW+10%)]],TRUE)*100,"")</f>
        <v/>
      </c>
    </row>
    <row r="3909" spans="1:12" x14ac:dyDescent="0.35">
      <c r="A3909" s="3"/>
      <c r="B3909" s="2"/>
      <c r="C3909" s="2"/>
      <c r="D3909" s="2" t="b">
        <f>IF(AND(NOT(ISBLANK(Table1[[#This Row],[Fetal Sex (Male, Female or Unknown)]])),ISNUMBER(Table1[[#This Row],[Birthweight (grams)]]),ISNUMBER(Table1[[#This Row],[Gestation (days)]])),TRUE,FALSE)</f>
        <v>0</v>
      </c>
      <c r="E3909" s="2" t="str">
        <f>IF(Table1[[#This Row],[Is Data Valid]]=TRUE,IF(Table1[[#This Row],[Fetal Sex (Male, Female or Unknown)]]="Male",Backend!$C$6,IF(Table1[[#This Row],[Fetal Sex (Male, Female or Unknown)]]="Female",Backend!$C$7,IF(Table1[[#This Row],[Fetal Sex (Male, Female or Unknown)]]="Unknown",Backend!$C$8,"Error"))),"")</f>
        <v/>
      </c>
      <c r="F3909" s="8" t="str">
        <f>IF(Table1[[#This Row],[Is Data Valid]]=TRUE,EXP(0.578+0.332*((Table1[[#This Row],[Gestation (days)]]+0.5)/7)-0.00354*((Table1[[#This Row],[Gestation (days)]]+0.5)/7)^2)*Table1[[#This Row],[BW40_3705]],"")</f>
        <v/>
      </c>
      <c r="G3909" s="2" t="str">
        <f>IF(Table1[[#This Row],[Is Data Valid]]=TRUE,((Table1[[#This Row],[Birthweight (grams)]]/Table1[[#This Row],[BW_GA]])-1)/(Backend!$B$4/100*Table1[[#This Row],[BW40_3705]]),"")</f>
        <v/>
      </c>
      <c r="H3909" s="7" t="str">
        <f>IF(Table1[[#This Row],[Is Data Valid]]=TRUE,((Table1[[#This Row],[Birthweight (grams)]]*0.9/Table1[[#This Row],[BW_GA]])-1)/(Backend!$B$4/100*Table1[[#This Row],[BW40_3705]]),"")</f>
        <v/>
      </c>
      <c r="I3909" s="7" t="str">
        <f>IF(Table1[[#This Row],[Is Data Valid]]=TRUE,((Table1[[#This Row],[Birthweight (grams)]]*1.1/Table1[[#This Row],[BW_GA]])-1)/(Backend!$B$4/100*Table1[[#This Row],[BW40_3705]]),"")</f>
        <v/>
      </c>
      <c r="J3909" s="7" t="str">
        <f>IF(Table1[[#This Row],[Is Data Valid]]=TRUE,_xlfn.NORM.S.DIST(Table1[[#This Row],[Birthweight Z-Score]],TRUE)*100,"")</f>
        <v/>
      </c>
      <c r="K3909" s="7" t="str">
        <f>IF(Table1[[#This Row],[Is Data Valid]]=TRUE,_xlfn.NORM.S.DIST(Table1[[#This Row],[Birthweight Z-Score (BW-10%)]],TRUE)*100,"")</f>
        <v/>
      </c>
      <c r="L3909" s="7" t="str">
        <f>IF(Table1[[#This Row],[Is Data Valid]]=TRUE,_xlfn.NORM.S.DIST(Table1[[#This Row],[Birthweight Z-Score (BW+10%)]],TRUE)*100,"")</f>
        <v/>
      </c>
    </row>
    <row r="3910" spans="1:12" x14ac:dyDescent="0.35">
      <c r="A3910" s="3"/>
      <c r="B3910" s="2"/>
      <c r="C3910" s="2"/>
      <c r="D3910" s="2" t="b">
        <f>IF(AND(NOT(ISBLANK(Table1[[#This Row],[Fetal Sex (Male, Female or Unknown)]])),ISNUMBER(Table1[[#This Row],[Birthweight (grams)]]),ISNUMBER(Table1[[#This Row],[Gestation (days)]])),TRUE,FALSE)</f>
        <v>0</v>
      </c>
      <c r="E3910" s="2" t="str">
        <f>IF(Table1[[#This Row],[Is Data Valid]]=TRUE,IF(Table1[[#This Row],[Fetal Sex (Male, Female or Unknown)]]="Male",Backend!$C$6,IF(Table1[[#This Row],[Fetal Sex (Male, Female or Unknown)]]="Female",Backend!$C$7,IF(Table1[[#This Row],[Fetal Sex (Male, Female or Unknown)]]="Unknown",Backend!$C$8,"Error"))),"")</f>
        <v/>
      </c>
      <c r="F3910" s="8" t="str">
        <f>IF(Table1[[#This Row],[Is Data Valid]]=TRUE,EXP(0.578+0.332*((Table1[[#This Row],[Gestation (days)]]+0.5)/7)-0.00354*((Table1[[#This Row],[Gestation (days)]]+0.5)/7)^2)*Table1[[#This Row],[BW40_3705]],"")</f>
        <v/>
      </c>
      <c r="G3910" s="2" t="str">
        <f>IF(Table1[[#This Row],[Is Data Valid]]=TRUE,((Table1[[#This Row],[Birthweight (grams)]]/Table1[[#This Row],[BW_GA]])-1)/(Backend!$B$4/100*Table1[[#This Row],[BW40_3705]]),"")</f>
        <v/>
      </c>
      <c r="H3910" s="7" t="str">
        <f>IF(Table1[[#This Row],[Is Data Valid]]=TRUE,((Table1[[#This Row],[Birthweight (grams)]]*0.9/Table1[[#This Row],[BW_GA]])-1)/(Backend!$B$4/100*Table1[[#This Row],[BW40_3705]]),"")</f>
        <v/>
      </c>
      <c r="I3910" s="7" t="str">
        <f>IF(Table1[[#This Row],[Is Data Valid]]=TRUE,((Table1[[#This Row],[Birthweight (grams)]]*1.1/Table1[[#This Row],[BW_GA]])-1)/(Backend!$B$4/100*Table1[[#This Row],[BW40_3705]]),"")</f>
        <v/>
      </c>
      <c r="J3910" s="7" t="str">
        <f>IF(Table1[[#This Row],[Is Data Valid]]=TRUE,_xlfn.NORM.S.DIST(Table1[[#This Row],[Birthweight Z-Score]],TRUE)*100,"")</f>
        <v/>
      </c>
      <c r="K3910" s="7" t="str">
        <f>IF(Table1[[#This Row],[Is Data Valid]]=TRUE,_xlfn.NORM.S.DIST(Table1[[#This Row],[Birthweight Z-Score (BW-10%)]],TRUE)*100,"")</f>
        <v/>
      </c>
      <c r="L3910" s="7" t="str">
        <f>IF(Table1[[#This Row],[Is Data Valid]]=TRUE,_xlfn.NORM.S.DIST(Table1[[#This Row],[Birthweight Z-Score (BW+10%)]],TRUE)*100,"")</f>
        <v/>
      </c>
    </row>
    <row r="3911" spans="1:12" x14ac:dyDescent="0.35">
      <c r="A3911" s="3"/>
      <c r="B3911" s="2"/>
      <c r="C3911" s="2"/>
      <c r="D3911" s="2" t="b">
        <f>IF(AND(NOT(ISBLANK(Table1[[#This Row],[Fetal Sex (Male, Female or Unknown)]])),ISNUMBER(Table1[[#This Row],[Birthweight (grams)]]),ISNUMBER(Table1[[#This Row],[Gestation (days)]])),TRUE,FALSE)</f>
        <v>0</v>
      </c>
      <c r="E3911" s="2" t="str">
        <f>IF(Table1[[#This Row],[Is Data Valid]]=TRUE,IF(Table1[[#This Row],[Fetal Sex (Male, Female or Unknown)]]="Male",Backend!$C$6,IF(Table1[[#This Row],[Fetal Sex (Male, Female or Unknown)]]="Female",Backend!$C$7,IF(Table1[[#This Row],[Fetal Sex (Male, Female or Unknown)]]="Unknown",Backend!$C$8,"Error"))),"")</f>
        <v/>
      </c>
      <c r="F3911" s="8" t="str">
        <f>IF(Table1[[#This Row],[Is Data Valid]]=TRUE,EXP(0.578+0.332*((Table1[[#This Row],[Gestation (days)]]+0.5)/7)-0.00354*((Table1[[#This Row],[Gestation (days)]]+0.5)/7)^2)*Table1[[#This Row],[BW40_3705]],"")</f>
        <v/>
      </c>
      <c r="G3911" s="2" t="str">
        <f>IF(Table1[[#This Row],[Is Data Valid]]=TRUE,((Table1[[#This Row],[Birthweight (grams)]]/Table1[[#This Row],[BW_GA]])-1)/(Backend!$B$4/100*Table1[[#This Row],[BW40_3705]]),"")</f>
        <v/>
      </c>
      <c r="H3911" s="7" t="str">
        <f>IF(Table1[[#This Row],[Is Data Valid]]=TRUE,((Table1[[#This Row],[Birthweight (grams)]]*0.9/Table1[[#This Row],[BW_GA]])-1)/(Backend!$B$4/100*Table1[[#This Row],[BW40_3705]]),"")</f>
        <v/>
      </c>
      <c r="I3911" s="7" t="str">
        <f>IF(Table1[[#This Row],[Is Data Valid]]=TRUE,((Table1[[#This Row],[Birthweight (grams)]]*1.1/Table1[[#This Row],[BW_GA]])-1)/(Backend!$B$4/100*Table1[[#This Row],[BW40_3705]]),"")</f>
        <v/>
      </c>
      <c r="J3911" s="7" t="str">
        <f>IF(Table1[[#This Row],[Is Data Valid]]=TRUE,_xlfn.NORM.S.DIST(Table1[[#This Row],[Birthweight Z-Score]],TRUE)*100,"")</f>
        <v/>
      </c>
      <c r="K3911" s="7" t="str">
        <f>IF(Table1[[#This Row],[Is Data Valid]]=TRUE,_xlfn.NORM.S.DIST(Table1[[#This Row],[Birthweight Z-Score (BW-10%)]],TRUE)*100,"")</f>
        <v/>
      </c>
      <c r="L3911" s="7" t="str">
        <f>IF(Table1[[#This Row],[Is Data Valid]]=TRUE,_xlfn.NORM.S.DIST(Table1[[#This Row],[Birthweight Z-Score (BW+10%)]],TRUE)*100,"")</f>
        <v/>
      </c>
    </row>
    <row r="3912" spans="1:12" x14ac:dyDescent="0.35">
      <c r="A3912" s="3"/>
      <c r="B3912" s="2"/>
      <c r="C3912" s="2"/>
      <c r="D3912" s="2" t="b">
        <f>IF(AND(NOT(ISBLANK(Table1[[#This Row],[Fetal Sex (Male, Female or Unknown)]])),ISNUMBER(Table1[[#This Row],[Birthweight (grams)]]),ISNUMBER(Table1[[#This Row],[Gestation (days)]])),TRUE,FALSE)</f>
        <v>0</v>
      </c>
      <c r="E3912" s="2" t="str">
        <f>IF(Table1[[#This Row],[Is Data Valid]]=TRUE,IF(Table1[[#This Row],[Fetal Sex (Male, Female or Unknown)]]="Male",Backend!$C$6,IF(Table1[[#This Row],[Fetal Sex (Male, Female or Unknown)]]="Female",Backend!$C$7,IF(Table1[[#This Row],[Fetal Sex (Male, Female or Unknown)]]="Unknown",Backend!$C$8,"Error"))),"")</f>
        <v/>
      </c>
      <c r="F3912" s="8" t="str">
        <f>IF(Table1[[#This Row],[Is Data Valid]]=TRUE,EXP(0.578+0.332*((Table1[[#This Row],[Gestation (days)]]+0.5)/7)-0.00354*((Table1[[#This Row],[Gestation (days)]]+0.5)/7)^2)*Table1[[#This Row],[BW40_3705]],"")</f>
        <v/>
      </c>
      <c r="G3912" s="2" t="str">
        <f>IF(Table1[[#This Row],[Is Data Valid]]=TRUE,((Table1[[#This Row],[Birthweight (grams)]]/Table1[[#This Row],[BW_GA]])-1)/(Backend!$B$4/100*Table1[[#This Row],[BW40_3705]]),"")</f>
        <v/>
      </c>
      <c r="H3912" s="7" t="str">
        <f>IF(Table1[[#This Row],[Is Data Valid]]=TRUE,((Table1[[#This Row],[Birthweight (grams)]]*0.9/Table1[[#This Row],[BW_GA]])-1)/(Backend!$B$4/100*Table1[[#This Row],[BW40_3705]]),"")</f>
        <v/>
      </c>
      <c r="I3912" s="7" t="str">
        <f>IF(Table1[[#This Row],[Is Data Valid]]=TRUE,((Table1[[#This Row],[Birthweight (grams)]]*1.1/Table1[[#This Row],[BW_GA]])-1)/(Backend!$B$4/100*Table1[[#This Row],[BW40_3705]]),"")</f>
        <v/>
      </c>
      <c r="J3912" s="7" t="str">
        <f>IF(Table1[[#This Row],[Is Data Valid]]=TRUE,_xlfn.NORM.S.DIST(Table1[[#This Row],[Birthweight Z-Score]],TRUE)*100,"")</f>
        <v/>
      </c>
      <c r="K3912" s="7" t="str">
        <f>IF(Table1[[#This Row],[Is Data Valid]]=TRUE,_xlfn.NORM.S.DIST(Table1[[#This Row],[Birthweight Z-Score (BW-10%)]],TRUE)*100,"")</f>
        <v/>
      </c>
      <c r="L3912" s="7" t="str">
        <f>IF(Table1[[#This Row],[Is Data Valid]]=TRUE,_xlfn.NORM.S.DIST(Table1[[#This Row],[Birthweight Z-Score (BW+10%)]],TRUE)*100,"")</f>
        <v/>
      </c>
    </row>
    <row r="3913" spans="1:12" x14ac:dyDescent="0.35">
      <c r="A3913" s="3"/>
      <c r="B3913" s="2"/>
      <c r="C3913" s="2"/>
      <c r="D3913" s="2" t="b">
        <f>IF(AND(NOT(ISBLANK(Table1[[#This Row],[Fetal Sex (Male, Female or Unknown)]])),ISNUMBER(Table1[[#This Row],[Birthweight (grams)]]),ISNUMBER(Table1[[#This Row],[Gestation (days)]])),TRUE,FALSE)</f>
        <v>0</v>
      </c>
      <c r="E3913" s="2" t="str">
        <f>IF(Table1[[#This Row],[Is Data Valid]]=TRUE,IF(Table1[[#This Row],[Fetal Sex (Male, Female or Unknown)]]="Male",Backend!$C$6,IF(Table1[[#This Row],[Fetal Sex (Male, Female or Unknown)]]="Female",Backend!$C$7,IF(Table1[[#This Row],[Fetal Sex (Male, Female or Unknown)]]="Unknown",Backend!$C$8,"Error"))),"")</f>
        <v/>
      </c>
      <c r="F3913" s="8" t="str">
        <f>IF(Table1[[#This Row],[Is Data Valid]]=TRUE,EXP(0.578+0.332*((Table1[[#This Row],[Gestation (days)]]+0.5)/7)-0.00354*((Table1[[#This Row],[Gestation (days)]]+0.5)/7)^2)*Table1[[#This Row],[BW40_3705]],"")</f>
        <v/>
      </c>
      <c r="G3913" s="2" t="str">
        <f>IF(Table1[[#This Row],[Is Data Valid]]=TRUE,((Table1[[#This Row],[Birthweight (grams)]]/Table1[[#This Row],[BW_GA]])-1)/(Backend!$B$4/100*Table1[[#This Row],[BW40_3705]]),"")</f>
        <v/>
      </c>
      <c r="H3913" s="7" t="str">
        <f>IF(Table1[[#This Row],[Is Data Valid]]=TRUE,((Table1[[#This Row],[Birthweight (grams)]]*0.9/Table1[[#This Row],[BW_GA]])-1)/(Backend!$B$4/100*Table1[[#This Row],[BW40_3705]]),"")</f>
        <v/>
      </c>
      <c r="I3913" s="7" t="str">
        <f>IF(Table1[[#This Row],[Is Data Valid]]=TRUE,((Table1[[#This Row],[Birthweight (grams)]]*1.1/Table1[[#This Row],[BW_GA]])-1)/(Backend!$B$4/100*Table1[[#This Row],[BW40_3705]]),"")</f>
        <v/>
      </c>
      <c r="J3913" s="7" t="str">
        <f>IF(Table1[[#This Row],[Is Data Valid]]=TRUE,_xlfn.NORM.S.DIST(Table1[[#This Row],[Birthweight Z-Score]],TRUE)*100,"")</f>
        <v/>
      </c>
      <c r="K3913" s="7" t="str">
        <f>IF(Table1[[#This Row],[Is Data Valid]]=TRUE,_xlfn.NORM.S.DIST(Table1[[#This Row],[Birthweight Z-Score (BW-10%)]],TRUE)*100,"")</f>
        <v/>
      </c>
      <c r="L3913" s="7" t="str">
        <f>IF(Table1[[#This Row],[Is Data Valid]]=TRUE,_xlfn.NORM.S.DIST(Table1[[#This Row],[Birthweight Z-Score (BW+10%)]],TRUE)*100,"")</f>
        <v/>
      </c>
    </row>
    <row r="3914" spans="1:12" x14ac:dyDescent="0.35">
      <c r="A3914" s="3"/>
      <c r="B3914" s="2"/>
      <c r="C3914" s="2"/>
      <c r="D3914" s="2" t="b">
        <f>IF(AND(NOT(ISBLANK(Table1[[#This Row],[Fetal Sex (Male, Female or Unknown)]])),ISNUMBER(Table1[[#This Row],[Birthweight (grams)]]),ISNUMBER(Table1[[#This Row],[Gestation (days)]])),TRUE,FALSE)</f>
        <v>0</v>
      </c>
      <c r="E3914" s="2" t="str">
        <f>IF(Table1[[#This Row],[Is Data Valid]]=TRUE,IF(Table1[[#This Row],[Fetal Sex (Male, Female or Unknown)]]="Male",Backend!$C$6,IF(Table1[[#This Row],[Fetal Sex (Male, Female or Unknown)]]="Female",Backend!$C$7,IF(Table1[[#This Row],[Fetal Sex (Male, Female or Unknown)]]="Unknown",Backend!$C$8,"Error"))),"")</f>
        <v/>
      </c>
      <c r="F3914" s="8" t="str">
        <f>IF(Table1[[#This Row],[Is Data Valid]]=TRUE,EXP(0.578+0.332*((Table1[[#This Row],[Gestation (days)]]+0.5)/7)-0.00354*((Table1[[#This Row],[Gestation (days)]]+0.5)/7)^2)*Table1[[#This Row],[BW40_3705]],"")</f>
        <v/>
      </c>
      <c r="G3914" s="2" t="str">
        <f>IF(Table1[[#This Row],[Is Data Valid]]=TRUE,((Table1[[#This Row],[Birthweight (grams)]]/Table1[[#This Row],[BW_GA]])-1)/(Backend!$B$4/100*Table1[[#This Row],[BW40_3705]]),"")</f>
        <v/>
      </c>
      <c r="H3914" s="7" t="str">
        <f>IF(Table1[[#This Row],[Is Data Valid]]=TRUE,((Table1[[#This Row],[Birthweight (grams)]]*0.9/Table1[[#This Row],[BW_GA]])-1)/(Backend!$B$4/100*Table1[[#This Row],[BW40_3705]]),"")</f>
        <v/>
      </c>
      <c r="I3914" s="7" t="str">
        <f>IF(Table1[[#This Row],[Is Data Valid]]=TRUE,((Table1[[#This Row],[Birthweight (grams)]]*1.1/Table1[[#This Row],[BW_GA]])-1)/(Backend!$B$4/100*Table1[[#This Row],[BW40_3705]]),"")</f>
        <v/>
      </c>
      <c r="J3914" s="7" t="str">
        <f>IF(Table1[[#This Row],[Is Data Valid]]=TRUE,_xlfn.NORM.S.DIST(Table1[[#This Row],[Birthweight Z-Score]],TRUE)*100,"")</f>
        <v/>
      </c>
      <c r="K3914" s="7" t="str">
        <f>IF(Table1[[#This Row],[Is Data Valid]]=TRUE,_xlfn.NORM.S.DIST(Table1[[#This Row],[Birthweight Z-Score (BW-10%)]],TRUE)*100,"")</f>
        <v/>
      </c>
      <c r="L3914" s="7" t="str">
        <f>IF(Table1[[#This Row],[Is Data Valid]]=TRUE,_xlfn.NORM.S.DIST(Table1[[#This Row],[Birthweight Z-Score (BW+10%)]],TRUE)*100,"")</f>
        <v/>
      </c>
    </row>
    <row r="3915" spans="1:12" x14ac:dyDescent="0.35">
      <c r="A3915" s="3"/>
      <c r="B3915" s="2"/>
      <c r="C3915" s="2"/>
      <c r="D3915" s="2" t="b">
        <f>IF(AND(NOT(ISBLANK(Table1[[#This Row],[Fetal Sex (Male, Female or Unknown)]])),ISNUMBER(Table1[[#This Row],[Birthweight (grams)]]),ISNUMBER(Table1[[#This Row],[Gestation (days)]])),TRUE,FALSE)</f>
        <v>0</v>
      </c>
      <c r="E3915" s="2" t="str">
        <f>IF(Table1[[#This Row],[Is Data Valid]]=TRUE,IF(Table1[[#This Row],[Fetal Sex (Male, Female or Unknown)]]="Male",Backend!$C$6,IF(Table1[[#This Row],[Fetal Sex (Male, Female or Unknown)]]="Female",Backend!$C$7,IF(Table1[[#This Row],[Fetal Sex (Male, Female or Unknown)]]="Unknown",Backend!$C$8,"Error"))),"")</f>
        <v/>
      </c>
      <c r="F3915" s="8" t="str">
        <f>IF(Table1[[#This Row],[Is Data Valid]]=TRUE,EXP(0.578+0.332*((Table1[[#This Row],[Gestation (days)]]+0.5)/7)-0.00354*((Table1[[#This Row],[Gestation (days)]]+0.5)/7)^2)*Table1[[#This Row],[BW40_3705]],"")</f>
        <v/>
      </c>
      <c r="G3915" s="2" t="str">
        <f>IF(Table1[[#This Row],[Is Data Valid]]=TRUE,((Table1[[#This Row],[Birthweight (grams)]]/Table1[[#This Row],[BW_GA]])-1)/(Backend!$B$4/100*Table1[[#This Row],[BW40_3705]]),"")</f>
        <v/>
      </c>
      <c r="H3915" s="7" t="str">
        <f>IF(Table1[[#This Row],[Is Data Valid]]=TRUE,((Table1[[#This Row],[Birthweight (grams)]]*0.9/Table1[[#This Row],[BW_GA]])-1)/(Backend!$B$4/100*Table1[[#This Row],[BW40_3705]]),"")</f>
        <v/>
      </c>
      <c r="I3915" s="7" t="str">
        <f>IF(Table1[[#This Row],[Is Data Valid]]=TRUE,((Table1[[#This Row],[Birthweight (grams)]]*1.1/Table1[[#This Row],[BW_GA]])-1)/(Backend!$B$4/100*Table1[[#This Row],[BW40_3705]]),"")</f>
        <v/>
      </c>
      <c r="J3915" s="7" t="str">
        <f>IF(Table1[[#This Row],[Is Data Valid]]=TRUE,_xlfn.NORM.S.DIST(Table1[[#This Row],[Birthweight Z-Score]],TRUE)*100,"")</f>
        <v/>
      </c>
      <c r="K3915" s="7" t="str">
        <f>IF(Table1[[#This Row],[Is Data Valid]]=TRUE,_xlfn.NORM.S.DIST(Table1[[#This Row],[Birthweight Z-Score (BW-10%)]],TRUE)*100,"")</f>
        <v/>
      </c>
      <c r="L3915" s="7" t="str">
        <f>IF(Table1[[#This Row],[Is Data Valid]]=TRUE,_xlfn.NORM.S.DIST(Table1[[#This Row],[Birthweight Z-Score (BW+10%)]],TRUE)*100,"")</f>
        <v/>
      </c>
    </row>
    <row r="3916" spans="1:12" x14ac:dyDescent="0.35">
      <c r="A3916" s="3"/>
      <c r="B3916" s="2"/>
      <c r="C3916" s="2"/>
      <c r="D3916" s="2" t="b">
        <f>IF(AND(NOT(ISBLANK(Table1[[#This Row],[Fetal Sex (Male, Female or Unknown)]])),ISNUMBER(Table1[[#This Row],[Birthweight (grams)]]),ISNUMBER(Table1[[#This Row],[Gestation (days)]])),TRUE,FALSE)</f>
        <v>0</v>
      </c>
      <c r="E3916" s="2" t="str">
        <f>IF(Table1[[#This Row],[Is Data Valid]]=TRUE,IF(Table1[[#This Row],[Fetal Sex (Male, Female or Unknown)]]="Male",Backend!$C$6,IF(Table1[[#This Row],[Fetal Sex (Male, Female or Unknown)]]="Female",Backend!$C$7,IF(Table1[[#This Row],[Fetal Sex (Male, Female or Unknown)]]="Unknown",Backend!$C$8,"Error"))),"")</f>
        <v/>
      </c>
      <c r="F3916" s="8" t="str">
        <f>IF(Table1[[#This Row],[Is Data Valid]]=TRUE,EXP(0.578+0.332*((Table1[[#This Row],[Gestation (days)]]+0.5)/7)-0.00354*((Table1[[#This Row],[Gestation (days)]]+0.5)/7)^2)*Table1[[#This Row],[BW40_3705]],"")</f>
        <v/>
      </c>
      <c r="G3916" s="2" t="str">
        <f>IF(Table1[[#This Row],[Is Data Valid]]=TRUE,((Table1[[#This Row],[Birthweight (grams)]]/Table1[[#This Row],[BW_GA]])-1)/(Backend!$B$4/100*Table1[[#This Row],[BW40_3705]]),"")</f>
        <v/>
      </c>
      <c r="H3916" s="7" t="str">
        <f>IF(Table1[[#This Row],[Is Data Valid]]=TRUE,((Table1[[#This Row],[Birthweight (grams)]]*0.9/Table1[[#This Row],[BW_GA]])-1)/(Backend!$B$4/100*Table1[[#This Row],[BW40_3705]]),"")</f>
        <v/>
      </c>
      <c r="I3916" s="7" t="str">
        <f>IF(Table1[[#This Row],[Is Data Valid]]=TRUE,((Table1[[#This Row],[Birthweight (grams)]]*1.1/Table1[[#This Row],[BW_GA]])-1)/(Backend!$B$4/100*Table1[[#This Row],[BW40_3705]]),"")</f>
        <v/>
      </c>
      <c r="J3916" s="7" t="str">
        <f>IF(Table1[[#This Row],[Is Data Valid]]=TRUE,_xlfn.NORM.S.DIST(Table1[[#This Row],[Birthweight Z-Score]],TRUE)*100,"")</f>
        <v/>
      </c>
      <c r="K3916" s="7" t="str">
        <f>IF(Table1[[#This Row],[Is Data Valid]]=TRUE,_xlfn.NORM.S.DIST(Table1[[#This Row],[Birthweight Z-Score (BW-10%)]],TRUE)*100,"")</f>
        <v/>
      </c>
      <c r="L3916" s="7" t="str">
        <f>IF(Table1[[#This Row],[Is Data Valid]]=TRUE,_xlfn.NORM.S.DIST(Table1[[#This Row],[Birthweight Z-Score (BW+10%)]],TRUE)*100,"")</f>
        <v/>
      </c>
    </row>
    <row r="3917" spans="1:12" x14ac:dyDescent="0.35">
      <c r="A3917" s="3"/>
      <c r="B3917" s="2"/>
      <c r="C3917" s="2"/>
      <c r="D3917" s="2" t="b">
        <f>IF(AND(NOT(ISBLANK(Table1[[#This Row],[Fetal Sex (Male, Female or Unknown)]])),ISNUMBER(Table1[[#This Row],[Birthweight (grams)]]),ISNUMBER(Table1[[#This Row],[Gestation (days)]])),TRUE,FALSE)</f>
        <v>0</v>
      </c>
      <c r="E3917" s="2" t="str">
        <f>IF(Table1[[#This Row],[Is Data Valid]]=TRUE,IF(Table1[[#This Row],[Fetal Sex (Male, Female or Unknown)]]="Male",Backend!$C$6,IF(Table1[[#This Row],[Fetal Sex (Male, Female or Unknown)]]="Female",Backend!$C$7,IF(Table1[[#This Row],[Fetal Sex (Male, Female or Unknown)]]="Unknown",Backend!$C$8,"Error"))),"")</f>
        <v/>
      </c>
      <c r="F3917" s="8" t="str">
        <f>IF(Table1[[#This Row],[Is Data Valid]]=TRUE,EXP(0.578+0.332*((Table1[[#This Row],[Gestation (days)]]+0.5)/7)-0.00354*((Table1[[#This Row],[Gestation (days)]]+0.5)/7)^2)*Table1[[#This Row],[BW40_3705]],"")</f>
        <v/>
      </c>
      <c r="G3917" s="2" t="str">
        <f>IF(Table1[[#This Row],[Is Data Valid]]=TRUE,((Table1[[#This Row],[Birthweight (grams)]]/Table1[[#This Row],[BW_GA]])-1)/(Backend!$B$4/100*Table1[[#This Row],[BW40_3705]]),"")</f>
        <v/>
      </c>
      <c r="H3917" s="7" t="str">
        <f>IF(Table1[[#This Row],[Is Data Valid]]=TRUE,((Table1[[#This Row],[Birthweight (grams)]]*0.9/Table1[[#This Row],[BW_GA]])-1)/(Backend!$B$4/100*Table1[[#This Row],[BW40_3705]]),"")</f>
        <v/>
      </c>
      <c r="I3917" s="7" t="str">
        <f>IF(Table1[[#This Row],[Is Data Valid]]=TRUE,((Table1[[#This Row],[Birthweight (grams)]]*1.1/Table1[[#This Row],[BW_GA]])-1)/(Backend!$B$4/100*Table1[[#This Row],[BW40_3705]]),"")</f>
        <v/>
      </c>
      <c r="J3917" s="7" t="str">
        <f>IF(Table1[[#This Row],[Is Data Valid]]=TRUE,_xlfn.NORM.S.DIST(Table1[[#This Row],[Birthweight Z-Score]],TRUE)*100,"")</f>
        <v/>
      </c>
      <c r="K3917" s="7" t="str">
        <f>IF(Table1[[#This Row],[Is Data Valid]]=TRUE,_xlfn.NORM.S.DIST(Table1[[#This Row],[Birthweight Z-Score (BW-10%)]],TRUE)*100,"")</f>
        <v/>
      </c>
      <c r="L3917" s="7" t="str">
        <f>IF(Table1[[#This Row],[Is Data Valid]]=TRUE,_xlfn.NORM.S.DIST(Table1[[#This Row],[Birthweight Z-Score (BW+10%)]],TRUE)*100,"")</f>
        <v/>
      </c>
    </row>
    <row r="3918" spans="1:12" x14ac:dyDescent="0.35">
      <c r="A3918" s="3"/>
      <c r="B3918" s="2"/>
      <c r="C3918" s="2"/>
      <c r="D3918" s="2" t="b">
        <f>IF(AND(NOT(ISBLANK(Table1[[#This Row],[Fetal Sex (Male, Female or Unknown)]])),ISNUMBER(Table1[[#This Row],[Birthweight (grams)]]),ISNUMBER(Table1[[#This Row],[Gestation (days)]])),TRUE,FALSE)</f>
        <v>0</v>
      </c>
      <c r="E3918" s="2" t="str">
        <f>IF(Table1[[#This Row],[Is Data Valid]]=TRUE,IF(Table1[[#This Row],[Fetal Sex (Male, Female or Unknown)]]="Male",Backend!$C$6,IF(Table1[[#This Row],[Fetal Sex (Male, Female or Unknown)]]="Female",Backend!$C$7,IF(Table1[[#This Row],[Fetal Sex (Male, Female or Unknown)]]="Unknown",Backend!$C$8,"Error"))),"")</f>
        <v/>
      </c>
      <c r="F3918" s="8" t="str">
        <f>IF(Table1[[#This Row],[Is Data Valid]]=TRUE,EXP(0.578+0.332*((Table1[[#This Row],[Gestation (days)]]+0.5)/7)-0.00354*((Table1[[#This Row],[Gestation (days)]]+0.5)/7)^2)*Table1[[#This Row],[BW40_3705]],"")</f>
        <v/>
      </c>
      <c r="G3918" s="2" t="str">
        <f>IF(Table1[[#This Row],[Is Data Valid]]=TRUE,((Table1[[#This Row],[Birthweight (grams)]]/Table1[[#This Row],[BW_GA]])-1)/(Backend!$B$4/100*Table1[[#This Row],[BW40_3705]]),"")</f>
        <v/>
      </c>
      <c r="H3918" s="7" t="str">
        <f>IF(Table1[[#This Row],[Is Data Valid]]=TRUE,((Table1[[#This Row],[Birthweight (grams)]]*0.9/Table1[[#This Row],[BW_GA]])-1)/(Backend!$B$4/100*Table1[[#This Row],[BW40_3705]]),"")</f>
        <v/>
      </c>
      <c r="I3918" s="7" t="str">
        <f>IF(Table1[[#This Row],[Is Data Valid]]=TRUE,((Table1[[#This Row],[Birthweight (grams)]]*1.1/Table1[[#This Row],[BW_GA]])-1)/(Backend!$B$4/100*Table1[[#This Row],[BW40_3705]]),"")</f>
        <v/>
      </c>
      <c r="J3918" s="7" t="str">
        <f>IF(Table1[[#This Row],[Is Data Valid]]=TRUE,_xlfn.NORM.S.DIST(Table1[[#This Row],[Birthweight Z-Score]],TRUE)*100,"")</f>
        <v/>
      </c>
      <c r="K3918" s="7" t="str">
        <f>IF(Table1[[#This Row],[Is Data Valid]]=TRUE,_xlfn.NORM.S.DIST(Table1[[#This Row],[Birthweight Z-Score (BW-10%)]],TRUE)*100,"")</f>
        <v/>
      </c>
      <c r="L3918" s="7" t="str">
        <f>IF(Table1[[#This Row],[Is Data Valid]]=TRUE,_xlfn.NORM.S.DIST(Table1[[#This Row],[Birthweight Z-Score (BW+10%)]],TRUE)*100,"")</f>
        <v/>
      </c>
    </row>
    <row r="3919" spans="1:12" x14ac:dyDescent="0.35">
      <c r="A3919" s="3"/>
      <c r="B3919" s="2"/>
      <c r="C3919" s="2"/>
      <c r="D3919" s="2" t="b">
        <f>IF(AND(NOT(ISBLANK(Table1[[#This Row],[Fetal Sex (Male, Female or Unknown)]])),ISNUMBER(Table1[[#This Row],[Birthweight (grams)]]),ISNUMBER(Table1[[#This Row],[Gestation (days)]])),TRUE,FALSE)</f>
        <v>0</v>
      </c>
      <c r="E3919" s="2" t="str">
        <f>IF(Table1[[#This Row],[Is Data Valid]]=TRUE,IF(Table1[[#This Row],[Fetal Sex (Male, Female or Unknown)]]="Male",Backend!$C$6,IF(Table1[[#This Row],[Fetal Sex (Male, Female or Unknown)]]="Female",Backend!$C$7,IF(Table1[[#This Row],[Fetal Sex (Male, Female or Unknown)]]="Unknown",Backend!$C$8,"Error"))),"")</f>
        <v/>
      </c>
      <c r="F3919" s="8" t="str">
        <f>IF(Table1[[#This Row],[Is Data Valid]]=TRUE,EXP(0.578+0.332*((Table1[[#This Row],[Gestation (days)]]+0.5)/7)-0.00354*((Table1[[#This Row],[Gestation (days)]]+0.5)/7)^2)*Table1[[#This Row],[BW40_3705]],"")</f>
        <v/>
      </c>
      <c r="G3919" s="2" t="str">
        <f>IF(Table1[[#This Row],[Is Data Valid]]=TRUE,((Table1[[#This Row],[Birthweight (grams)]]/Table1[[#This Row],[BW_GA]])-1)/(Backend!$B$4/100*Table1[[#This Row],[BW40_3705]]),"")</f>
        <v/>
      </c>
      <c r="H3919" s="7" t="str">
        <f>IF(Table1[[#This Row],[Is Data Valid]]=TRUE,((Table1[[#This Row],[Birthweight (grams)]]*0.9/Table1[[#This Row],[BW_GA]])-1)/(Backend!$B$4/100*Table1[[#This Row],[BW40_3705]]),"")</f>
        <v/>
      </c>
      <c r="I3919" s="7" t="str">
        <f>IF(Table1[[#This Row],[Is Data Valid]]=TRUE,((Table1[[#This Row],[Birthweight (grams)]]*1.1/Table1[[#This Row],[BW_GA]])-1)/(Backend!$B$4/100*Table1[[#This Row],[BW40_3705]]),"")</f>
        <v/>
      </c>
      <c r="J3919" s="7" t="str">
        <f>IF(Table1[[#This Row],[Is Data Valid]]=TRUE,_xlfn.NORM.S.DIST(Table1[[#This Row],[Birthweight Z-Score]],TRUE)*100,"")</f>
        <v/>
      </c>
      <c r="K3919" s="7" t="str">
        <f>IF(Table1[[#This Row],[Is Data Valid]]=TRUE,_xlfn.NORM.S.DIST(Table1[[#This Row],[Birthweight Z-Score (BW-10%)]],TRUE)*100,"")</f>
        <v/>
      </c>
      <c r="L3919" s="7" t="str">
        <f>IF(Table1[[#This Row],[Is Data Valid]]=TRUE,_xlfn.NORM.S.DIST(Table1[[#This Row],[Birthweight Z-Score (BW+10%)]],TRUE)*100,"")</f>
        <v/>
      </c>
    </row>
    <row r="3920" spans="1:12" x14ac:dyDescent="0.35">
      <c r="A3920" s="3"/>
      <c r="B3920" s="2"/>
      <c r="C3920" s="2"/>
      <c r="D3920" s="2" t="b">
        <f>IF(AND(NOT(ISBLANK(Table1[[#This Row],[Fetal Sex (Male, Female or Unknown)]])),ISNUMBER(Table1[[#This Row],[Birthweight (grams)]]),ISNUMBER(Table1[[#This Row],[Gestation (days)]])),TRUE,FALSE)</f>
        <v>0</v>
      </c>
      <c r="E3920" s="2" t="str">
        <f>IF(Table1[[#This Row],[Is Data Valid]]=TRUE,IF(Table1[[#This Row],[Fetal Sex (Male, Female or Unknown)]]="Male",Backend!$C$6,IF(Table1[[#This Row],[Fetal Sex (Male, Female or Unknown)]]="Female",Backend!$C$7,IF(Table1[[#This Row],[Fetal Sex (Male, Female or Unknown)]]="Unknown",Backend!$C$8,"Error"))),"")</f>
        <v/>
      </c>
      <c r="F3920" s="8" t="str">
        <f>IF(Table1[[#This Row],[Is Data Valid]]=TRUE,EXP(0.578+0.332*((Table1[[#This Row],[Gestation (days)]]+0.5)/7)-0.00354*((Table1[[#This Row],[Gestation (days)]]+0.5)/7)^2)*Table1[[#This Row],[BW40_3705]],"")</f>
        <v/>
      </c>
      <c r="G3920" s="2" t="str">
        <f>IF(Table1[[#This Row],[Is Data Valid]]=TRUE,((Table1[[#This Row],[Birthweight (grams)]]/Table1[[#This Row],[BW_GA]])-1)/(Backend!$B$4/100*Table1[[#This Row],[BW40_3705]]),"")</f>
        <v/>
      </c>
      <c r="H3920" s="7" t="str">
        <f>IF(Table1[[#This Row],[Is Data Valid]]=TRUE,((Table1[[#This Row],[Birthweight (grams)]]*0.9/Table1[[#This Row],[BW_GA]])-1)/(Backend!$B$4/100*Table1[[#This Row],[BW40_3705]]),"")</f>
        <v/>
      </c>
      <c r="I3920" s="7" t="str">
        <f>IF(Table1[[#This Row],[Is Data Valid]]=TRUE,((Table1[[#This Row],[Birthweight (grams)]]*1.1/Table1[[#This Row],[BW_GA]])-1)/(Backend!$B$4/100*Table1[[#This Row],[BW40_3705]]),"")</f>
        <v/>
      </c>
      <c r="J3920" s="7" t="str">
        <f>IF(Table1[[#This Row],[Is Data Valid]]=TRUE,_xlfn.NORM.S.DIST(Table1[[#This Row],[Birthweight Z-Score]],TRUE)*100,"")</f>
        <v/>
      </c>
      <c r="K3920" s="7" t="str">
        <f>IF(Table1[[#This Row],[Is Data Valid]]=TRUE,_xlfn.NORM.S.DIST(Table1[[#This Row],[Birthweight Z-Score (BW-10%)]],TRUE)*100,"")</f>
        <v/>
      </c>
      <c r="L3920" s="7" t="str">
        <f>IF(Table1[[#This Row],[Is Data Valid]]=TRUE,_xlfn.NORM.S.DIST(Table1[[#This Row],[Birthweight Z-Score (BW+10%)]],TRUE)*100,"")</f>
        <v/>
      </c>
    </row>
    <row r="3921" spans="1:12" x14ac:dyDescent="0.35">
      <c r="A3921" s="3"/>
      <c r="B3921" s="2"/>
      <c r="C3921" s="2"/>
      <c r="D3921" s="2" t="b">
        <f>IF(AND(NOT(ISBLANK(Table1[[#This Row],[Fetal Sex (Male, Female or Unknown)]])),ISNUMBER(Table1[[#This Row],[Birthweight (grams)]]),ISNUMBER(Table1[[#This Row],[Gestation (days)]])),TRUE,FALSE)</f>
        <v>0</v>
      </c>
      <c r="E3921" s="2" t="str">
        <f>IF(Table1[[#This Row],[Is Data Valid]]=TRUE,IF(Table1[[#This Row],[Fetal Sex (Male, Female or Unknown)]]="Male",Backend!$C$6,IF(Table1[[#This Row],[Fetal Sex (Male, Female or Unknown)]]="Female",Backend!$C$7,IF(Table1[[#This Row],[Fetal Sex (Male, Female or Unknown)]]="Unknown",Backend!$C$8,"Error"))),"")</f>
        <v/>
      </c>
      <c r="F3921" s="8" t="str">
        <f>IF(Table1[[#This Row],[Is Data Valid]]=TRUE,EXP(0.578+0.332*((Table1[[#This Row],[Gestation (days)]]+0.5)/7)-0.00354*((Table1[[#This Row],[Gestation (days)]]+0.5)/7)^2)*Table1[[#This Row],[BW40_3705]],"")</f>
        <v/>
      </c>
      <c r="G3921" s="2" t="str">
        <f>IF(Table1[[#This Row],[Is Data Valid]]=TRUE,((Table1[[#This Row],[Birthweight (grams)]]/Table1[[#This Row],[BW_GA]])-1)/(Backend!$B$4/100*Table1[[#This Row],[BW40_3705]]),"")</f>
        <v/>
      </c>
      <c r="H3921" s="7" t="str">
        <f>IF(Table1[[#This Row],[Is Data Valid]]=TRUE,((Table1[[#This Row],[Birthweight (grams)]]*0.9/Table1[[#This Row],[BW_GA]])-1)/(Backend!$B$4/100*Table1[[#This Row],[BW40_3705]]),"")</f>
        <v/>
      </c>
      <c r="I3921" s="7" t="str">
        <f>IF(Table1[[#This Row],[Is Data Valid]]=TRUE,((Table1[[#This Row],[Birthweight (grams)]]*1.1/Table1[[#This Row],[BW_GA]])-1)/(Backend!$B$4/100*Table1[[#This Row],[BW40_3705]]),"")</f>
        <v/>
      </c>
      <c r="J3921" s="7" t="str">
        <f>IF(Table1[[#This Row],[Is Data Valid]]=TRUE,_xlfn.NORM.S.DIST(Table1[[#This Row],[Birthweight Z-Score]],TRUE)*100,"")</f>
        <v/>
      </c>
      <c r="K3921" s="7" t="str">
        <f>IF(Table1[[#This Row],[Is Data Valid]]=TRUE,_xlfn.NORM.S.DIST(Table1[[#This Row],[Birthweight Z-Score (BW-10%)]],TRUE)*100,"")</f>
        <v/>
      </c>
      <c r="L3921" s="7" t="str">
        <f>IF(Table1[[#This Row],[Is Data Valid]]=TRUE,_xlfn.NORM.S.DIST(Table1[[#This Row],[Birthweight Z-Score (BW+10%)]],TRUE)*100,"")</f>
        <v/>
      </c>
    </row>
    <row r="3922" spans="1:12" x14ac:dyDescent="0.35">
      <c r="A3922" s="3"/>
      <c r="B3922" s="2"/>
      <c r="C3922" s="2"/>
      <c r="D3922" s="2" t="b">
        <f>IF(AND(NOT(ISBLANK(Table1[[#This Row],[Fetal Sex (Male, Female or Unknown)]])),ISNUMBER(Table1[[#This Row],[Birthweight (grams)]]),ISNUMBER(Table1[[#This Row],[Gestation (days)]])),TRUE,FALSE)</f>
        <v>0</v>
      </c>
      <c r="E3922" s="2" t="str">
        <f>IF(Table1[[#This Row],[Is Data Valid]]=TRUE,IF(Table1[[#This Row],[Fetal Sex (Male, Female or Unknown)]]="Male",Backend!$C$6,IF(Table1[[#This Row],[Fetal Sex (Male, Female or Unknown)]]="Female",Backend!$C$7,IF(Table1[[#This Row],[Fetal Sex (Male, Female or Unknown)]]="Unknown",Backend!$C$8,"Error"))),"")</f>
        <v/>
      </c>
      <c r="F3922" s="8" t="str">
        <f>IF(Table1[[#This Row],[Is Data Valid]]=TRUE,EXP(0.578+0.332*((Table1[[#This Row],[Gestation (days)]]+0.5)/7)-0.00354*((Table1[[#This Row],[Gestation (days)]]+0.5)/7)^2)*Table1[[#This Row],[BW40_3705]],"")</f>
        <v/>
      </c>
      <c r="G3922" s="2" t="str">
        <f>IF(Table1[[#This Row],[Is Data Valid]]=TRUE,((Table1[[#This Row],[Birthweight (grams)]]/Table1[[#This Row],[BW_GA]])-1)/(Backend!$B$4/100*Table1[[#This Row],[BW40_3705]]),"")</f>
        <v/>
      </c>
      <c r="H3922" s="7" t="str">
        <f>IF(Table1[[#This Row],[Is Data Valid]]=TRUE,((Table1[[#This Row],[Birthweight (grams)]]*0.9/Table1[[#This Row],[BW_GA]])-1)/(Backend!$B$4/100*Table1[[#This Row],[BW40_3705]]),"")</f>
        <v/>
      </c>
      <c r="I3922" s="7" t="str">
        <f>IF(Table1[[#This Row],[Is Data Valid]]=TRUE,((Table1[[#This Row],[Birthweight (grams)]]*1.1/Table1[[#This Row],[BW_GA]])-1)/(Backend!$B$4/100*Table1[[#This Row],[BW40_3705]]),"")</f>
        <v/>
      </c>
      <c r="J3922" s="7" t="str">
        <f>IF(Table1[[#This Row],[Is Data Valid]]=TRUE,_xlfn.NORM.S.DIST(Table1[[#This Row],[Birthweight Z-Score]],TRUE)*100,"")</f>
        <v/>
      </c>
      <c r="K3922" s="7" t="str">
        <f>IF(Table1[[#This Row],[Is Data Valid]]=TRUE,_xlfn.NORM.S.DIST(Table1[[#This Row],[Birthweight Z-Score (BW-10%)]],TRUE)*100,"")</f>
        <v/>
      </c>
      <c r="L3922" s="7" t="str">
        <f>IF(Table1[[#This Row],[Is Data Valid]]=TRUE,_xlfn.NORM.S.DIST(Table1[[#This Row],[Birthweight Z-Score (BW+10%)]],TRUE)*100,"")</f>
        <v/>
      </c>
    </row>
    <row r="3923" spans="1:12" x14ac:dyDescent="0.35">
      <c r="A3923" s="3"/>
      <c r="B3923" s="2"/>
      <c r="C3923" s="2"/>
      <c r="D3923" s="2" t="b">
        <f>IF(AND(NOT(ISBLANK(Table1[[#This Row],[Fetal Sex (Male, Female or Unknown)]])),ISNUMBER(Table1[[#This Row],[Birthweight (grams)]]),ISNUMBER(Table1[[#This Row],[Gestation (days)]])),TRUE,FALSE)</f>
        <v>0</v>
      </c>
      <c r="E3923" s="2" t="str">
        <f>IF(Table1[[#This Row],[Is Data Valid]]=TRUE,IF(Table1[[#This Row],[Fetal Sex (Male, Female or Unknown)]]="Male",Backend!$C$6,IF(Table1[[#This Row],[Fetal Sex (Male, Female or Unknown)]]="Female",Backend!$C$7,IF(Table1[[#This Row],[Fetal Sex (Male, Female or Unknown)]]="Unknown",Backend!$C$8,"Error"))),"")</f>
        <v/>
      </c>
      <c r="F3923" s="8" t="str">
        <f>IF(Table1[[#This Row],[Is Data Valid]]=TRUE,EXP(0.578+0.332*((Table1[[#This Row],[Gestation (days)]]+0.5)/7)-0.00354*((Table1[[#This Row],[Gestation (days)]]+0.5)/7)^2)*Table1[[#This Row],[BW40_3705]],"")</f>
        <v/>
      </c>
      <c r="G3923" s="2" t="str">
        <f>IF(Table1[[#This Row],[Is Data Valid]]=TRUE,((Table1[[#This Row],[Birthweight (grams)]]/Table1[[#This Row],[BW_GA]])-1)/(Backend!$B$4/100*Table1[[#This Row],[BW40_3705]]),"")</f>
        <v/>
      </c>
      <c r="H3923" s="7" t="str">
        <f>IF(Table1[[#This Row],[Is Data Valid]]=TRUE,((Table1[[#This Row],[Birthweight (grams)]]*0.9/Table1[[#This Row],[BW_GA]])-1)/(Backend!$B$4/100*Table1[[#This Row],[BW40_3705]]),"")</f>
        <v/>
      </c>
      <c r="I3923" s="7" t="str">
        <f>IF(Table1[[#This Row],[Is Data Valid]]=TRUE,((Table1[[#This Row],[Birthweight (grams)]]*1.1/Table1[[#This Row],[BW_GA]])-1)/(Backend!$B$4/100*Table1[[#This Row],[BW40_3705]]),"")</f>
        <v/>
      </c>
      <c r="J3923" s="7" t="str">
        <f>IF(Table1[[#This Row],[Is Data Valid]]=TRUE,_xlfn.NORM.S.DIST(Table1[[#This Row],[Birthweight Z-Score]],TRUE)*100,"")</f>
        <v/>
      </c>
      <c r="K3923" s="7" t="str">
        <f>IF(Table1[[#This Row],[Is Data Valid]]=TRUE,_xlfn.NORM.S.DIST(Table1[[#This Row],[Birthweight Z-Score (BW-10%)]],TRUE)*100,"")</f>
        <v/>
      </c>
      <c r="L3923" s="7" t="str">
        <f>IF(Table1[[#This Row],[Is Data Valid]]=TRUE,_xlfn.NORM.S.DIST(Table1[[#This Row],[Birthweight Z-Score (BW+10%)]],TRUE)*100,"")</f>
        <v/>
      </c>
    </row>
    <row r="3924" spans="1:12" x14ac:dyDescent="0.35">
      <c r="A3924" s="3"/>
      <c r="B3924" s="2"/>
      <c r="C3924" s="2"/>
      <c r="D3924" s="2" t="b">
        <f>IF(AND(NOT(ISBLANK(Table1[[#This Row],[Fetal Sex (Male, Female or Unknown)]])),ISNUMBER(Table1[[#This Row],[Birthweight (grams)]]),ISNUMBER(Table1[[#This Row],[Gestation (days)]])),TRUE,FALSE)</f>
        <v>0</v>
      </c>
      <c r="E3924" s="2" t="str">
        <f>IF(Table1[[#This Row],[Is Data Valid]]=TRUE,IF(Table1[[#This Row],[Fetal Sex (Male, Female or Unknown)]]="Male",Backend!$C$6,IF(Table1[[#This Row],[Fetal Sex (Male, Female or Unknown)]]="Female",Backend!$C$7,IF(Table1[[#This Row],[Fetal Sex (Male, Female or Unknown)]]="Unknown",Backend!$C$8,"Error"))),"")</f>
        <v/>
      </c>
      <c r="F3924" s="8" t="str">
        <f>IF(Table1[[#This Row],[Is Data Valid]]=TRUE,EXP(0.578+0.332*((Table1[[#This Row],[Gestation (days)]]+0.5)/7)-0.00354*((Table1[[#This Row],[Gestation (days)]]+0.5)/7)^2)*Table1[[#This Row],[BW40_3705]],"")</f>
        <v/>
      </c>
      <c r="G3924" s="2" t="str">
        <f>IF(Table1[[#This Row],[Is Data Valid]]=TRUE,((Table1[[#This Row],[Birthweight (grams)]]/Table1[[#This Row],[BW_GA]])-1)/(Backend!$B$4/100*Table1[[#This Row],[BW40_3705]]),"")</f>
        <v/>
      </c>
      <c r="H3924" s="7" t="str">
        <f>IF(Table1[[#This Row],[Is Data Valid]]=TRUE,((Table1[[#This Row],[Birthweight (grams)]]*0.9/Table1[[#This Row],[BW_GA]])-1)/(Backend!$B$4/100*Table1[[#This Row],[BW40_3705]]),"")</f>
        <v/>
      </c>
      <c r="I3924" s="7" t="str">
        <f>IF(Table1[[#This Row],[Is Data Valid]]=TRUE,((Table1[[#This Row],[Birthweight (grams)]]*1.1/Table1[[#This Row],[BW_GA]])-1)/(Backend!$B$4/100*Table1[[#This Row],[BW40_3705]]),"")</f>
        <v/>
      </c>
      <c r="J3924" s="7" t="str">
        <f>IF(Table1[[#This Row],[Is Data Valid]]=TRUE,_xlfn.NORM.S.DIST(Table1[[#This Row],[Birthweight Z-Score]],TRUE)*100,"")</f>
        <v/>
      </c>
      <c r="K3924" s="7" t="str">
        <f>IF(Table1[[#This Row],[Is Data Valid]]=TRUE,_xlfn.NORM.S.DIST(Table1[[#This Row],[Birthweight Z-Score (BW-10%)]],TRUE)*100,"")</f>
        <v/>
      </c>
      <c r="L3924" s="7" t="str">
        <f>IF(Table1[[#This Row],[Is Data Valid]]=TRUE,_xlfn.NORM.S.DIST(Table1[[#This Row],[Birthweight Z-Score (BW+10%)]],TRUE)*100,"")</f>
        <v/>
      </c>
    </row>
    <row r="3925" spans="1:12" x14ac:dyDescent="0.35">
      <c r="A3925" s="3"/>
      <c r="B3925" s="2"/>
      <c r="C3925" s="2"/>
      <c r="D3925" s="2" t="b">
        <f>IF(AND(NOT(ISBLANK(Table1[[#This Row],[Fetal Sex (Male, Female or Unknown)]])),ISNUMBER(Table1[[#This Row],[Birthweight (grams)]]),ISNUMBER(Table1[[#This Row],[Gestation (days)]])),TRUE,FALSE)</f>
        <v>0</v>
      </c>
      <c r="E3925" s="2" t="str">
        <f>IF(Table1[[#This Row],[Is Data Valid]]=TRUE,IF(Table1[[#This Row],[Fetal Sex (Male, Female or Unknown)]]="Male",Backend!$C$6,IF(Table1[[#This Row],[Fetal Sex (Male, Female or Unknown)]]="Female",Backend!$C$7,IF(Table1[[#This Row],[Fetal Sex (Male, Female or Unknown)]]="Unknown",Backend!$C$8,"Error"))),"")</f>
        <v/>
      </c>
      <c r="F3925" s="8" t="str">
        <f>IF(Table1[[#This Row],[Is Data Valid]]=TRUE,EXP(0.578+0.332*((Table1[[#This Row],[Gestation (days)]]+0.5)/7)-0.00354*((Table1[[#This Row],[Gestation (days)]]+0.5)/7)^2)*Table1[[#This Row],[BW40_3705]],"")</f>
        <v/>
      </c>
      <c r="G3925" s="2" t="str">
        <f>IF(Table1[[#This Row],[Is Data Valid]]=TRUE,((Table1[[#This Row],[Birthweight (grams)]]/Table1[[#This Row],[BW_GA]])-1)/(Backend!$B$4/100*Table1[[#This Row],[BW40_3705]]),"")</f>
        <v/>
      </c>
      <c r="H3925" s="7" t="str">
        <f>IF(Table1[[#This Row],[Is Data Valid]]=TRUE,((Table1[[#This Row],[Birthweight (grams)]]*0.9/Table1[[#This Row],[BW_GA]])-1)/(Backend!$B$4/100*Table1[[#This Row],[BW40_3705]]),"")</f>
        <v/>
      </c>
      <c r="I3925" s="7" t="str">
        <f>IF(Table1[[#This Row],[Is Data Valid]]=TRUE,((Table1[[#This Row],[Birthweight (grams)]]*1.1/Table1[[#This Row],[BW_GA]])-1)/(Backend!$B$4/100*Table1[[#This Row],[BW40_3705]]),"")</f>
        <v/>
      </c>
      <c r="J3925" s="7" t="str">
        <f>IF(Table1[[#This Row],[Is Data Valid]]=TRUE,_xlfn.NORM.S.DIST(Table1[[#This Row],[Birthweight Z-Score]],TRUE)*100,"")</f>
        <v/>
      </c>
      <c r="K3925" s="7" t="str">
        <f>IF(Table1[[#This Row],[Is Data Valid]]=TRUE,_xlfn.NORM.S.DIST(Table1[[#This Row],[Birthweight Z-Score (BW-10%)]],TRUE)*100,"")</f>
        <v/>
      </c>
      <c r="L3925" s="7" t="str">
        <f>IF(Table1[[#This Row],[Is Data Valid]]=TRUE,_xlfn.NORM.S.DIST(Table1[[#This Row],[Birthweight Z-Score (BW+10%)]],TRUE)*100,"")</f>
        <v/>
      </c>
    </row>
    <row r="3926" spans="1:12" x14ac:dyDescent="0.35">
      <c r="A3926" s="3"/>
      <c r="B3926" s="2"/>
      <c r="C3926" s="2"/>
      <c r="D3926" s="2" t="b">
        <f>IF(AND(NOT(ISBLANK(Table1[[#This Row],[Fetal Sex (Male, Female or Unknown)]])),ISNUMBER(Table1[[#This Row],[Birthweight (grams)]]),ISNUMBER(Table1[[#This Row],[Gestation (days)]])),TRUE,FALSE)</f>
        <v>0</v>
      </c>
      <c r="E3926" s="2" t="str">
        <f>IF(Table1[[#This Row],[Is Data Valid]]=TRUE,IF(Table1[[#This Row],[Fetal Sex (Male, Female or Unknown)]]="Male",Backend!$C$6,IF(Table1[[#This Row],[Fetal Sex (Male, Female or Unknown)]]="Female",Backend!$C$7,IF(Table1[[#This Row],[Fetal Sex (Male, Female or Unknown)]]="Unknown",Backend!$C$8,"Error"))),"")</f>
        <v/>
      </c>
      <c r="F3926" s="8" t="str">
        <f>IF(Table1[[#This Row],[Is Data Valid]]=TRUE,EXP(0.578+0.332*((Table1[[#This Row],[Gestation (days)]]+0.5)/7)-0.00354*((Table1[[#This Row],[Gestation (days)]]+0.5)/7)^2)*Table1[[#This Row],[BW40_3705]],"")</f>
        <v/>
      </c>
      <c r="G3926" s="2" t="str">
        <f>IF(Table1[[#This Row],[Is Data Valid]]=TRUE,((Table1[[#This Row],[Birthweight (grams)]]/Table1[[#This Row],[BW_GA]])-1)/(Backend!$B$4/100*Table1[[#This Row],[BW40_3705]]),"")</f>
        <v/>
      </c>
      <c r="H3926" s="7" t="str">
        <f>IF(Table1[[#This Row],[Is Data Valid]]=TRUE,((Table1[[#This Row],[Birthweight (grams)]]*0.9/Table1[[#This Row],[BW_GA]])-1)/(Backend!$B$4/100*Table1[[#This Row],[BW40_3705]]),"")</f>
        <v/>
      </c>
      <c r="I3926" s="7" t="str">
        <f>IF(Table1[[#This Row],[Is Data Valid]]=TRUE,((Table1[[#This Row],[Birthweight (grams)]]*1.1/Table1[[#This Row],[BW_GA]])-1)/(Backend!$B$4/100*Table1[[#This Row],[BW40_3705]]),"")</f>
        <v/>
      </c>
      <c r="J3926" s="7" t="str">
        <f>IF(Table1[[#This Row],[Is Data Valid]]=TRUE,_xlfn.NORM.S.DIST(Table1[[#This Row],[Birthweight Z-Score]],TRUE)*100,"")</f>
        <v/>
      </c>
      <c r="K3926" s="7" t="str">
        <f>IF(Table1[[#This Row],[Is Data Valid]]=TRUE,_xlfn.NORM.S.DIST(Table1[[#This Row],[Birthweight Z-Score (BW-10%)]],TRUE)*100,"")</f>
        <v/>
      </c>
      <c r="L3926" s="7" t="str">
        <f>IF(Table1[[#This Row],[Is Data Valid]]=TRUE,_xlfn.NORM.S.DIST(Table1[[#This Row],[Birthweight Z-Score (BW+10%)]],TRUE)*100,"")</f>
        <v/>
      </c>
    </row>
    <row r="3927" spans="1:12" x14ac:dyDescent="0.35">
      <c r="A3927" s="3"/>
      <c r="B3927" s="2"/>
      <c r="C3927" s="2"/>
      <c r="D3927" s="2" t="b">
        <f>IF(AND(NOT(ISBLANK(Table1[[#This Row],[Fetal Sex (Male, Female or Unknown)]])),ISNUMBER(Table1[[#This Row],[Birthweight (grams)]]),ISNUMBER(Table1[[#This Row],[Gestation (days)]])),TRUE,FALSE)</f>
        <v>0</v>
      </c>
      <c r="E3927" s="2" t="str">
        <f>IF(Table1[[#This Row],[Is Data Valid]]=TRUE,IF(Table1[[#This Row],[Fetal Sex (Male, Female or Unknown)]]="Male",Backend!$C$6,IF(Table1[[#This Row],[Fetal Sex (Male, Female or Unknown)]]="Female",Backend!$C$7,IF(Table1[[#This Row],[Fetal Sex (Male, Female or Unknown)]]="Unknown",Backend!$C$8,"Error"))),"")</f>
        <v/>
      </c>
      <c r="F3927" s="8" t="str">
        <f>IF(Table1[[#This Row],[Is Data Valid]]=TRUE,EXP(0.578+0.332*((Table1[[#This Row],[Gestation (days)]]+0.5)/7)-0.00354*((Table1[[#This Row],[Gestation (days)]]+0.5)/7)^2)*Table1[[#This Row],[BW40_3705]],"")</f>
        <v/>
      </c>
      <c r="G3927" s="2" t="str">
        <f>IF(Table1[[#This Row],[Is Data Valid]]=TRUE,((Table1[[#This Row],[Birthweight (grams)]]/Table1[[#This Row],[BW_GA]])-1)/(Backend!$B$4/100*Table1[[#This Row],[BW40_3705]]),"")</f>
        <v/>
      </c>
      <c r="H3927" s="7" t="str">
        <f>IF(Table1[[#This Row],[Is Data Valid]]=TRUE,((Table1[[#This Row],[Birthweight (grams)]]*0.9/Table1[[#This Row],[BW_GA]])-1)/(Backend!$B$4/100*Table1[[#This Row],[BW40_3705]]),"")</f>
        <v/>
      </c>
      <c r="I3927" s="7" t="str">
        <f>IF(Table1[[#This Row],[Is Data Valid]]=TRUE,((Table1[[#This Row],[Birthweight (grams)]]*1.1/Table1[[#This Row],[BW_GA]])-1)/(Backend!$B$4/100*Table1[[#This Row],[BW40_3705]]),"")</f>
        <v/>
      </c>
      <c r="J3927" s="7" t="str">
        <f>IF(Table1[[#This Row],[Is Data Valid]]=TRUE,_xlfn.NORM.S.DIST(Table1[[#This Row],[Birthweight Z-Score]],TRUE)*100,"")</f>
        <v/>
      </c>
      <c r="K3927" s="7" t="str">
        <f>IF(Table1[[#This Row],[Is Data Valid]]=TRUE,_xlfn.NORM.S.DIST(Table1[[#This Row],[Birthweight Z-Score (BW-10%)]],TRUE)*100,"")</f>
        <v/>
      </c>
      <c r="L3927" s="7" t="str">
        <f>IF(Table1[[#This Row],[Is Data Valid]]=TRUE,_xlfn.NORM.S.DIST(Table1[[#This Row],[Birthweight Z-Score (BW+10%)]],TRUE)*100,"")</f>
        <v/>
      </c>
    </row>
    <row r="3928" spans="1:12" x14ac:dyDescent="0.35">
      <c r="A3928" s="3"/>
      <c r="B3928" s="2"/>
      <c r="C3928" s="2"/>
      <c r="D3928" s="2" t="b">
        <f>IF(AND(NOT(ISBLANK(Table1[[#This Row],[Fetal Sex (Male, Female or Unknown)]])),ISNUMBER(Table1[[#This Row],[Birthweight (grams)]]),ISNUMBER(Table1[[#This Row],[Gestation (days)]])),TRUE,FALSE)</f>
        <v>0</v>
      </c>
      <c r="E3928" s="2" t="str">
        <f>IF(Table1[[#This Row],[Is Data Valid]]=TRUE,IF(Table1[[#This Row],[Fetal Sex (Male, Female or Unknown)]]="Male",Backend!$C$6,IF(Table1[[#This Row],[Fetal Sex (Male, Female or Unknown)]]="Female",Backend!$C$7,IF(Table1[[#This Row],[Fetal Sex (Male, Female or Unknown)]]="Unknown",Backend!$C$8,"Error"))),"")</f>
        <v/>
      </c>
      <c r="F3928" s="8" t="str">
        <f>IF(Table1[[#This Row],[Is Data Valid]]=TRUE,EXP(0.578+0.332*((Table1[[#This Row],[Gestation (days)]]+0.5)/7)-0.00354*((Table1[[#This Row],[Gestation (days)]]+0.5)/7)^2)*Table1[[#This Row],[BW40_3705]],"")</f>
        <v/>
      </c>
      <c r="G3928" s="2" t="str">
        <f>IF(Table1[[#This Row],[Is Data Valid]]=TRUE,((Table1[[#This Row],[Birthweight (grams)]]/Table1[[#This Row],[BW_GA]])-1)/(Backend!$B$4/100*Table1[[#This Row],[BW40_3705]]),"")</f>
        <v/>
      </c>
      <c r="H3928" s="7" t="str">
        <f>IF(Table1[[#This Row],[Is Data Valid]]=TRUE,((Table1[[#This Row],[Birthweight (grams)]]*0.9/Table1[[#This Row],[BW_GA]])-1)/(Backend!$B$4/100*Table1[[#This Row],[BW40_3705]]),"")</f>
        <v/>
      </c>
      <c r="I3928" s="7" t="str">
        <f>IF(Table1[[#This Row],[Is Data Valid]]=TRUE,((Table1[[#This Row],[Birthweight (grams)]]*1.1/Table1[[#This Row],[BW_GA]])-1)/(Backend!$B$4/100*Table1[[#This Row],[BW40_3705]]),"")</f>
        <v/>
      </c>
      <c r="J3928" s="7" t="str">
        <f>IF(Table1[[#This Row],[Is Data Valid]]=TRUE,_xlfn.NORM.S.DIST(Table1[[#This Row],[Birthweight Z-Score]],TRUE)*100,"")</f>
        <v/>
      </c>
      <c r="K3928" s="7" t="str">
        <f>IF(Table1[[#This Row],[Is Data Valid]]=TRUE,_xlfn.NORM.S.DIST(Table1[[#This Row],[Birthweight Z-Score (BW-10%)]],TRUE)*100,"")</f>
        <v/>
      </c>
      <c r="L3928" s="7" t="str">
        <f>IF(Table1[[#This Row],[Is Data Valid]]=TRUE,_xlfn.NORM.S.DIST(Table1[[#This Row],[Birthweight Z-Score (BW+10%)]],TRUE)*100,"")</f>
        <v/>
      </c>
    </row>
    <row r="3929" spans="1:12" x14ac:dyDescent="0.35">
      <c r="A3929" s="3"/>
      <c r="B3929" s="2"/>
      <c r="C3929" s="2"/>
      <c r="D3929" s="2" t="b">
        <f>IF(AND(NOT(ISBLANK(Table1[[#This Row],[Fetal Sex (Male, Female or Unknown)]])),ISNUMBER(Table1[[#This Row],[Birthweight (grams)]]),ISNUMBER(Table1[[#This Row],[Gestation (days)]])),TRUE,FALSE)</f>
        <v>0</v>
      </c>
      <c r="E3929" s="2" t="str">
        <f>IF(Table1[[#This Row],[Is Data Valid]]=TRUE,IF(Table1[[#This Row],[Fetal Sex (Male, Female or Unknown)]]="Male",Backend!$C$6,IF(Table1[[#This Row],[Fetal Sex (Male, Female or Unknown)]]="Female",Backend!$C$7,IF(Table1[[#This Row],[Fetal Sex (Male, Female or Unknown)]]="Unknown",Backend!$C$8,"Error"))),"")</f>
        <v/>
      </c>
      <c r="F3929" s="8" t="str">
        <f>IF(Table1[[#This Row],[Is Data Valid]]=TRUE,EXP(0.578+0.332*((Table1[[#This Row],[Gestation (days)]]+0.5)/7)-0.00354*((Table1[[#This Row],[Gestation (days)]]+0.5)/7)^2)*Table1[[#This Row],[BW40_3705]],"")</f>
        <v/>
      </c>
      <c r="G3929" s="2" t="str">
        <f>IF(Table1[[#This Row],[Is Data Valid]]=TRUE,((Table1[[#This Row],[Birthweight (grams)]]/Table1[[#This Row],[BW_GA]])-1)/(Backend!$B$4/100*Table1[[#This Row],[BW40_3705]]),"")</f>
        <v/>
      </c>
      <c r="H3929" s="7" t="str">
        <f>IF(Table1[[#This Row],[Is Data Valid]]=TRUE,((Table1[[#This Row],[Birthweight (grams)]]*0.9/Table1[[#This Row],[BW_GA]])-1)/(Backend!$B$4/100*Table1[[#This Row],[BW40_3705]]),"")</f>
        <v/>
      </c>
      <c r="I3929" s="7" t="str">
        <f>IF(Table1[[#This Row],[Is Data Valid]]=TRUE,((Table1[[#This Row],[Birthweight (grams)]]*1.1/Table1[[#This Row],[BW_GA]])-1)/(Backend!$B$4/100*Table1[[#This Row],[BW40_3705]]),"")</f>
        <v/>
      </c>
      <c r="J3929" s="7" t="str">
        <f>IF(Table1[[#This Row],[Is Data Valid]]=TRUE,_xlfn.NORM.S.DIST(Table1[[#This Row],[Birthweight Z-Score]],TRUE)*100,"")</f>
        <v/>
      </c>
      <c r="K3929" s="7" t="str">
        <f>IF(Table1[[#This Row],[Is Data Valid]]=TRUE,_xlfn.NORM.S.DIST(Table1[[#This Row],[Birthweight Z-Score (BW-10%)]],TRUE)*100,"")</f>
        <v/>
      </c>
      <c r="L3929" s="7" t="str">
        <f>IF(Table1[[#This Row],[Is Data Valid]]=TRUE,_xlfn.NORM.S.DIST(Table1[[#This Row],[Birthweight Z-Score (BW+10%)]],TRUE)*100,"")</f>
        <v/>
      </c>
    </row>
    <row r="3930" spans="1:12" x14ac:dyDescent="0.35">
      <c r="A3930" s="3"/>
      <c r="B3930" s="2"/>
      <c r="C3930" s="2"/>
      <c r="D3930" s="2" t="b">
        <f>IF(AND(NOT(ISBLANK(Table1[[#This Row],[Fetal Sex (Male, Female or Unknown)]])),ISNUMBER(Table1[[#This Row],[Birthweight (grams)]]),ISNUMBER(Table1[[#This Row],[Gestation (days)]])),TRUE,FALSE)</f>
        <v>0</v>
      </c>
      <c r="E3930" s="2" t="str">
        <f>IF(Table1[[#This Row],[Is Data Valid]]=TRUE,IF(Table1[[#This Row],[Fetal Sex (Male, Female or Unknown)]]="Male",Backend!$C$6,IF(Table1[[#This Row],[Fetal Sex (Male, Female or Unknown)]]="Female",Backend!$C$7,IF(Table1[[#This Row],[Fetal Sex (Male, Female or Unknown)]]="Unknown",Backend!$C$8,"Error"))),"")</f>
        <v/>
      </c>
      <c r="F3930" s="8" t="str">
        <f>IF(Table1[[#This Row],[Is Data Valid]]=TRUE,EXP(0.578+0.332*((Table1[[#This Row],[Gestation (days)]]+0.5)/7)-0.00354*((Table1[[#This Row],[Gestation (days)]]+0.5)/7)^2)*Table1[[#This Row],[BW40_3705]],"")</f>
        <v/>
      </c>
      <c r="G3930" s="2" t="str">
        <f>IF(Table1[[#This Row],[Is Data Valid]]=TRUE,((Table1[[#This Row],[Birthweight (grams)]]/Table1[[#This Row],[BW_GA]])-1)/(Backend!$B$4/100*Table1[[#This Row],[BW40_3705]]),"")</f>
        <v/>
      </c>
      <c r="H3930" s="7" t="str">
        <f>IF(Table1[[#This Row],[Is Data Valid]]=TRUE,((Table1[[#This Row],[Birthweight (grams)]]*0.9/Table1[[#This Row],[BW_GA]])-1)/(Backend!$B$4/100*Table1[[#This Row],[BW40_3705]]),"")</f>
        <v/>
      </c>
      <c r="I3930" s="7" t="str">
        <f>IF(Table1[[#This Row],[Is Data Valid]]=TRUE,((Table1[[#This Row],[Birthweight (grams)]]*1.1/Table1[[#This Row],[BW_GA]])-1)/(Backend!$B$4/100*Table1[[#This Row],[BW40_3705]]),"")</f>
        <v/>
      </c>
      <c r="J3930" s="7" t="str">
        <f>IF(Table1[[#This Row],[Is Data Valid]]=TRUE,_xlfn.NORM.S.DIST(Table1[[#This Row],[Birthweight Z-Score]],TRUE)*100,"")</f>
        <v/>
      </c>
      <c r="K3930" s="7" t="str">
        <f>IF(Table1[[#This Row],[Is Data Valid]]=TRUE,_xlfn.NORM.S.DIST(Table1[[#This Row],[Birthweight Z-Score (BW-10%)]],TRUE)*100,"")</f>
        <v/>
      </c>
      <c r="L3930" s="7" t="str">
        <f>IF(Table1[[#This Row],[Is Data Valid]]=TRUE,_xlfn.NORM.S.DIST(Table1[[#This Row],[Birthweight Z-Score (BW+10%)]],TRUE)*100,"")</f>
        <v/>
      </c>
    </row>
    <row r="3931" spans="1:12" x14ac:dyDescent="0.35">
      <c r="A3931" s="3"/>
      <c r="B3931" s="2"/>
      <c r="C3931" s="2"/>
      <c r="D3931" s="2" t="b">
        <f>IF(AND(NOT(ISBLANK(Table1[[#This Row],[Fetal Sex (Male, Female or Unknown)]])),ISNUMBER(Table1[[#This Row],[Birthweight (grams)]]),ISNUMBER(Table1[[#This Row],[Gestation (days)]])),TRUE,FALSE)</f>
        <v>0</v>
      </c>
      <c r="E3931" s="2" t="str">
        <f>IF(Table1[[#This Row],[Is Data Valid]]=TRUE,IF(Table1[[#This Row],[Fetal Sex (Male, Female or Unknown)]]="Male",Backend!$C$6,IF(Table1[[#This Row],[Fetal Sex (Male, Female or Unknown)]]="Female",Backend!$C$7,IF(Table1[[#This Row],[Fetal Sex (Male, Female or Unknown)]]="Unknown",Backend!$C$8,"Error"))),"")</f>
        <v/>
      </c>
      <c r="F3931" s="8" t="str">
        <f>IF(Table1[[#This Row],[Is Data Valid]]=TRUE,EXP(0.578+0.332*((Table1[[#This Row],[Gestation (days)]]+0.5)/7)-0.00354*((Table1[[#This Row],[Gestation (days)]]+0.5)/7)^2)*Table1[[#This Row],[BW40_3705]],"")</f>
        <v/>
      </c>
      <c r="G3931" s="2" t="str">
        <f>IF(Table1[[#This Row],[Is Data Valid]]=TRUE,((Table1[[#This Row],[Birthweight (grams)]]/Table1[[#This Row],[BW_GA]])-1)/(Backend!$B$4/100*Table1[[#This Row],[BW40_3705]]),"")</f>
        <v/>
      </c>
      <c r="H3931" s="7" t="str">
        <f>IF(Table1[[#This Row],[Is Data Valid]]=TRUE,((Table1[[#This Row],[Birthweight (grams)]]*0.9/Table1[[#This Row],[BW_GA]])-1)/(Backend!$B$4/100*Table1[[#This Row],[BW40_3705]]),"")</f>
        <v/>
      </c>
      <c r="I3931" s="7" t="str">
        <f>IF(Table1[[#This Row],[Is Data Valid]]=TRUE,((Table1[[#This Row],[Birthweight (grams)]]*1.1/Table1[[#This Row],[BW_GA]])-1)/(Backend!$B$4/100*Table1[[#This Row],[BW40_3705]]),"")</f>
        <v/>
      </c>
      <c r="J3931" s="7" t="str">
        <f>IF(Table1[[#This Row],[Is Data Valid]]=TRUE,_xlfn.NORM.S.DIST(Table1[[#This Row],[Birthweight Z-Score]],TRUE)*100,"")</f>
        <v/>
      </c>
      <c r="K3931" s="7" t="str">
        <f>IF(Table1[[#This Row],[Is Data Valid]]=TRUE,_xlfn.NORM.S.DIST(Table1[[#This Row],[Birthweight Z-Score (BW-10%)]],TRUE)*100,"")</f>
        <v/>
      </c>
      <c r="L3931" s="7" t="str">
        <f>IF(Table1[[#This Row],[Is Data Valid]]=TRUE,_xlfn.NORM.S.DIST(Table1[[#This Row],[Birthweight Z-Score (BW+10%)]],TRUE)*100,"")</f>
        <v/>
      </c>
    </row>
    <row r="3932" spans="1:12" x14ac:dyDescent="0.35">
      <c r="A3932" s="3"/>
      <c r="B3932" s="2"/>
      <c r="C3932" s="2"/>
      <c r="D3932" s="2" t="b">
        <f>IF(AND(NOT(ISBLANK(Table1[[#This Row],[Fetal Sex (Male, Female or Unknown)]])),ISNUMBER(Table1[[#This Row],[Birthweight (grams)]]),ISNUMBER(Table1[[#This Row],[Gestation (days)]])),TRUE,FALSE)</f>
        <v>0</v>
      </c>
      <c r="E3932" s="2" t="str">
        <f>IF(Table1[[#This Row],[Is Data Valid]]=TRUE,IF(Table1[[#This Row],[Fetal Sex (Male, Female or Unknown)]]="Male",Backend!$C$6,IF(Table1[[#This Row],[Fetal Sex (Male, Female or Unknown)]]="Female",Backend!$C$7,IF(Table1[[#This Row],[Fetal Sex (Male, Female or Unknown)]]="Unknown",Backend!$C$8,"Error"))),"")</f>
        <v/>
      </c>
      <c r="F3932" s="8" t="str">
        <f>IF(Table1[[#This Row],[Is Data Valid]]=TRUE,EXP(0.578+0.332*((Table1[[#This Row],[Gestation (days)]]+0.5)/7)-0.00354*((Table1[[#This Row],[Gestation (days)]]+0.5)/7)^2)*Table1[[#This Row],[BW40_3705]],"")</f>
        <v/>
      </c>
      <c r="G3932" s="2" t="str">
        <f>IF(Table1[[#This Row],[Is Data Valid]]=TRUE,((Table1[[#This Row],[Birthweight (grams)]]/Table1[[#This Row],[BW_GA]])-1)/(Backend!$B$4/100*Table1[[#This Row],[BW40_3705]]),"")</f>
        <v/>
      </c>
      <c r="H3932" s="7" t="str">
        <f>IF(Table1[[#This Row],[Is Data Valid]]=TRUE,((Table1[[#This Row],[Birthweight (grams)]]*0.9/Table1[[#This Row],[BW_GA]])-1)/(Backend!$B$4/100*Table1[[#This Row],[BW40_3705]]),"")</f>
        <v/>
      </c>
      <c r="I3932" s="7" t="str">
        <f>IF(Table1[[#This Row],[Is Data Valid]]=TRUE,((Table1[[#This Row],[Birthweight (grams)]]*1.1/Table1[[#This Row],[BW_GA]])-1)/(Backend!$B$4/100*Table1[[#This Row],[BW40_3705]]),"")</f>
        <v/>
      </c>
      <c r="J3932" s="7" t="str">
        <f>IF(Table1[[#This Row],[Is Data Valid]]=TRUE,_xlfn.NORM.S.DIST(Table1[[#This Row],[Birthweight Z-Score]],TRUE)*100,"")</f>
        <v/>
      </c>
      <c r="K3932" s="7" t="str">
        <f>IF(Table1[[#This Row],[Is Data Valid]]=TRUE,_xlfn.NORM.S.DIST(Table1[[#This Row],[Birthweight Z-Score (BW-10%)]],TRUE)*100,"")</f>
        <v/>
      </c>
      <c r="L3932" s="7" t="str">
        <f>IF(Table1[[#This Row],[Is Data Valid]]=TRUE,_xlfn.NORM.S.DIST(Table1[[#This Row],[Birthweight Z-Score (BW+10%)]],TRUE)*100,"")</f>
        <v/>
      </c>
    </row>
    <row r="3933" spans="1:12" x14ac:dyDescent="0.35">
      <c r="A3933" s="3"/>
      <c r="B3933" s="2"/>
      <c r="C3933" s="2"/>
      <c r="D3933" s="2" t="b">
        <f>IF(AND(NOT(ISBLANK(Table1[[#This Row],[Fetal Sex (Male, Female or Unknown)]])),ISNUMBER(Table1[[#This Row],[Birthweight (grams)]]),ISNUMBER(Table1[[#This Row],[Gestation (days)]])),TRUE,FALSE)</f>
        <v>0</v>
      </c>
      <c r="E3933" s="2" t="str">
        <f>IF(Table1[[#This Row],[Is Data Valid]]=TRUE,IF(Table1[[#This Row],[Fetal Sex (Male, Female or Unknown)]]="Male",Backend!$C$6,IF(Table1[[#This Row],[Fetal Sex (Male, Female or Unknown)]]="Female",Backend!$C$7,IF(Table1[[#This Row],[Fetal Sex (Male, Female or Unknown)]]="Unknown",Backend!$C$8,"Error"))),"")</f>
        <v/>
      </c>
      <c r="F3933" s="8" t="str">
        <f>IF(Table1[[#This Row],[Is Data Valid]]=TRUE,EXP(0.578+0.332*((Table1[[#This Row],[Gestation (days)]]+0.5)/7)-0.00354*((Table1[[#This Row],[Gestation (days)]]+0.5)/7)^2)*Table1[[#This Row],[BW40_3705]],"")</f>
        <v/>
      </c>
      <c r="G3933" s="2" t="str">
        <f>IF(Table1[[#This Row],[Is Data Valid]]=TRUE,((Table1[[#This Row],[Birthweight (grams)]]/Table1[[#This Row],[BW_GA]])-1)/(Backend!$B$4/100*Table1[[#This Row],[BW40_3705]]),"")</f>
        <v/>
      </c>
      <c r="H3933" s="7" t="str">
        <f>IF(Table1[[#This Row],[Is Data Valid]]=TRUE,((Table1[[#This Row],[Birthweight (grams)]]*0.9/Table1[[#This Row],[BW_GA]])-1)/(Backend!$B$4/100*Table1[[#This Row],[BW40_3705]]),"")</f>
        <v/>
      </c>
      <c r="I3933" s="7" t="str">
        <f>IF(Table1[[#This Row],[Is Data Valid]]=TRUE,((Table1[[#This Row],[Birthweight (grams)]]*1.1/Table1[[#This Row],[BW_GA]])-1)/(Backend!$B$4/100*Table1[[#This Row],[BW40_3705]]),"")</f>
        <v/>
      </c>
      <c r="J3933" s="7" t="str">
        <f>IF(Table1[[#This Row],[Is Data Valid]]=TRUE,_xlfn.NORM.S.DIST(Table1[[#This Row],[Birthweight Z-Score]],TRUE)*100,"")</f>
        <v/>
      </c>
      <c r="K3933" s="7" t="str">
        <f>IF(Table1[[#This Row],[Is Data Valid]]=TRUE,_xlfn.NORM.S.DIST(Table1[[#This Row],[Birthweight Z-Score (BW-10%)]],TRUE)*100,"")</f>
        <v/>
      </c>
      <c r="L3933" s="7" t="str">
        <f>IF(Table1[[#This Row],[Is Data Valid]]=TRUE,_xlfn.NORM.S.DIST(Table1[[#This Row],[Birthweight Z-Score (BW+10%)]],TRUE)*100,"")</f>
        <v/>
      </c>
    </row>
    <row r="3934" spans="1:12" x14ac:dyDescent="0.35">
      <c r="A3934" s="3"/>
      <c r="B3934" s="2"/>
      <c r="C3934" s="2"/>
      <c r="D3934" s="2" t="b">
        <f>IF(AND(NOT(ISBLANK(Table1[[#This Row],[Fetal Sex (Male, Female or Unknown)]])),ISNUMBER(Table1[[#This Row],[Birthweight (grams)]]),ISNUMBER(Table1[[#This Row],[Gestation (days)]])),TRUE,FALSE)</f>
        <v>0</v>
      </c>
      <c r="E3934" s="2" t="str">
        <f>IF(Table1[[#This Row],[Is Data Valid]]=TRUE,IF(Table1[[#This Row],[Fetal Sex (Male, Female or Unknown)]]="Male",Backend!$C$6,IF(Table1[[#This Row],[Fetal Sex (Male, Female or Unknown)]]="Female",Backend!$C$7,IF(Table1[[#This Row],[Fetal Sex (Male, Female or Unknown)]]="Unknown",Backend!$C$8,"Error"))),"")</f>
        <v/>
      </c>
      <c r="F3934" s="8" t="str">
        <f>IF(Table1[[#This Row],[Is Data Valid]]=TRUE,EXP(0.578+0.332*((Table1[[#This Row],[Gestation (days)]]+0.5)/7)-0.00354*((Table1[[#This Row],[Gestation (days)]]+0.5)/7)^2)*Table1[[#This Row],[BW40_3705]],"")</f>
        <v/>
      </c>
      <c r="G3934" s="2" t="str">
        <f>IF(Table1[[#This Row],[Is Data Valid]]=TRUE,((Table1[[#This Row],[Birthweight (grams)]]/Table1[[#This Row],[BW_GA]])-1)/(Backend!$B$4/100*Table1[[#This Row],[BW40_3705]]),"")</f>
        <v/>
      </c>
      <c r="H3934" s="7" t="str">
        <f>IF(Table1[[#This Row],[Is Data Valid]]=TRUE,((Table1[[#This Row],[Birthweight (grams)]]*0.9/Table1[[#This Row],[BW_GA]])-1)/(Backend!$B$4/100*Table1[[#This Row],[BW40_3705]]),"")</f>
        <v/>
      </c>
      <c r="I3934" s="7" t="str">
        <f>IF(Table1[[#This Row],[Is Data Valid]]=TRUE,((Table1[[#This Row],[Birthweight (grams)]]*1.1/Table1[[#This Row],[BW_GA]])-1)/(Backend!$B$4/100*Table1[[#This Row],[BW40_3705]]),"")</f>
        <v/>
      </c>
      <c r="J3934" s="7" t="str">
        <f>IF(Table1[[#This Row],[Is Data Valid]]=TRUE,_xlfn.NORM.S.DIST(Table1[[#This Row],[Birthweight Z-Score]],TRUE)*100,"")</f>
        <v/>
      </c>
      <c r="K3934" s="7" t="str">
        <f>IF(Table1[[#This Row],[Is Data Valid]]=TRUE,_xlfn.NORM.S.DIST(Table1[[#This Row],[Birthweight Z-Score (BW-10%)]],TRUE)*100,"")</f>
        <v/>
      </c>
      <c r="L3934" s="7" t="str">
        <f>IF(Table1[[#This Row],[Is Data Valid]]=TRUE,_xlfn.NORM.S.DIST(Table1[[#This Row],[Birthweight Z-Score (BW+10%)]],TRUE)*100,"")</f>
        <v/>
      </c>
    </row>
    <row r="3935" spans="1:12" x14ac:dyDescent="0.35">
      <c r="A3935" s="3"/>
      <c r="B3935" s="2"/>
      <c r="C3935" s="2"/>
      <c r="D3935" s="2" t="b">
        <f>IF(AND(NOT(ISBLANK(Table1[[#This Row],[Fetal Sex (Male, Female or Unknown)]])),ISNUMBER(Table1[[#This Row],[Birthweight (grams)]]),ISNUMBER(Table1[[#This Row],[Gestation (days)]])),TRUE,FALSE)</f>
        <v>0</v>
      </c>
      <c r="E3935" s="2" t="str">
        <f>IF(Table1[[#This Row],[Is Data Valid]]=TRUE,IF(Table1[[#This Row],[Fetal Sex (Male, Female or Unknown)]]="Male",Backend!$C$6,IF(Table1[[#This Row],[Fetal Sex (Male, Female or Unknown)]]="Female",Backend!$C$7,IF(Table1[[#This Row],[Fetal Sex (Male, Female or Unknown)]]="Unknown",Backend!$C$8,"Error"))),"")</f>
        <v/>
      </c>
      <c r="F3935" s="8" t="str">
        <f>IF(Table1[[#This Row],[Is Data Valid]]=TRUE,EXP(0.578+0.332*((Table1[[#This Row],[Gestation (days)]]+0.5)/7)-0.00354*((Table1[[#This Row],[Gestation (days)]]+0.5)/7)^2)*Table1[[#This Row],[BW40_3705]],"")</f>
        <v/>
      </c>
      <c r="G3935" s="2" t="str">
        <f>IF(Table1[[#This Row],[Is Data Valid]]=TRUE,((Table1[[#This Row],[Birthweight (grams)]]/Table1[[#This Row],[BW_GA]])-1)/(Backend!$B$4/100*Table1[[#This Row],[BW40_3705]]),"")</f>
        <v/>
      </c>
      <c r="H3935" s="7" t="str">
        <f>IF(Table1[[#This Row],[Is Data Valid]]=TRUE,((Table1[[#This Row],[Birthweight (grams)]]*0.9/Table1[[#This Row],[BW_GA]])-1)/(Backend!$B$4/100*Table1[[#This Row],[BW40_3705]]),"")</f>
        <v/>
      </c>
      <c r="I3935" s="7" t="str">
        <f>IF(Table1[[#This Row],[Is Data Valid]]=TRUE,((Table1[[#This Row],[Birthweight (grams)]]*1.1/Table1[[#This Row],[BW_GA]])-1)/(Backend!$B$4/100*Table1[[#This Row],[BW40_3705]]),"")</f>
        <v/>
      </c>
      <c r="J3935" s="7" t="str">
        <f>IF(Table1[[#This Row],[Is Data Valid]]=TRUE,_xlfn.NORM.S.DIST(Table1[[#This Row],[Birthweight Z-Score]],TRUE)*100,"")</f>
        <v/>
      </c>
      <c r="K3935" s="7" t="str">
        <f>IF(Table1[[#This Row],[Is Data Valid]]=TRUE,_xlfn.NORM.S.DIST(Table1[[#This Row],[Birthweight Z-Score (BW-10%)]],TRUE)*100,"")</f>
        <v/>
      </c>
      <c r="L3935" s="7" t="str">
        <f>IF(Table1[[#This Row],[Is Data Valid]]=TRUE,_xlfn.NORM.S.DIST(Table1[[#This Row],[Birthweight Z-Score (BW+10%)]],TRUE)*100,"")</f>
        <v/>
      </c>
    </row>
    <row r="3936" spans="1:12" x14ac:dyDescent="0.35">
      <c r="A3936" s="3"/>
      <c r="B3936" s="2"/>
      <c r="C3936" s="2"/>
      <c r="D3936" s="2" t="b">
        <f>IF(AND(NOT(ISBLANK(Table1[[#This Row],[Fetal Sex (Male, Female or Unknown)]])),ISNUMBER(Table1[[#This Row],[Birthweight (grams)]]),ISNUMBER(Table1[[#This Row],[Gestation (days)]])),TRUE,FALSE)</f>
        <v>0</v>
      </c>
      <c r="E3936" s="2" t="str">
        <f>IF(Table1[[#This Row],[Is Data Valid]]=TRUE,IF(Table1[[#This Row],[Fetal Sex (Male, Female or Unknown)]]="Male",Backend!$C$6,IF(Table1[[#This Row],[Fetal Sex (Male, Female or Unknown)]]="Female",Backend!$C$7,IF(Table1[[#This Row],[Fetal Sex (Male, Female or Unknown)]]="Unknown",Backend!$C$8,"Error"))),"")</f>
        <v/>
      </c>
      <c r="F3936" s="8" t="str">
        <f>IF(Table1[[#This Row],[Is Data Valid]]=TRUE,EXP(0.578+0.332*((Table1[[#This Row],[Gestation (days)]]+0.5)/7)-0.00354*((Table1[[#This Row],[Gestation (days)]]+0.5)/7)^2)*Table1[[#This Row],[BW40_3705]],"")</f>
        <v/>
      </c>
      <c r="G3936" s="2" t="str">
        <f>IF(Table1[[#This Row],[Is Data Valid]]=TRUE,((Table1[[#This Row],[Birthweight (grams)]]/Table1[[#This Row],[BW_GA]])-1)/(Backend!$B$4/100*Table1[[#This Row],[BW40_3705]]),"")</f>
        <v/>
      </c>
      <c r="H3936" s="7" t="str">
        <f>IF(Table1[[#This Row],[Is Data Valid]]=TRUE,((Table1[[#This Row],[Birthweight (grams)]]*0.9/Table1[[#This Row],[BW_GA]])-1)/(Backend!$B$4/100*Table1[[#This Row],[BW40_3705]]),"")</f>
        <v/>
      </c>
      <c r="I3936" s="7" t="str">
        <f>IF(Table1[[#This Row],[Is Data Valid]]=TRUE,((Table1[[#This Row],[Birthweight (grams)]]*1.1/Table1[[#This Row],[BW_GA]])-1)/(Backend!$B$4/100*Table1[[#This Row],[BW40_3705]]),"")</f>
        <v/>
      </c>
      <c r="J3936" s="7" t="str">
        <f>IF(Table1[[#This Row],[Is Data Valid]]=TRUE,_xlfn.NORM.S.DIST(Table1[[#This Row],[Birthweight Z-Score]],TRUE)*100,"")</f>
        <v/>
      </c>
      <c r="K3936" s="7" t="str">
        <f>IF(Table1[[#This Row],[Is Data Valid]]=TRUE,_xlfn.NORM.S.DIST(Table1[[#This Row],[Birthweight Z-Score (BW-10%)]],TRUE)*100,"")</f>
        <v/>
      </c>
      <c r="L3936" s="7" t="str">
        <f>IF(Table1[[#This Row],[Is Data Valid]]=TRUE,_xlfn.NORM.S.DIST(Table1[[#This Row],[Birthweight Z-Score (BW+10%)]],TRUE)*100,"")</f>
        <v/>
      </c>
    </row>
    <row r="3937" spans="1:12" x14ac:dyDescent="0.35">
      <c r="A3937" s="3"/>
      <c r="B3937" s="2"/>
      <c r="C3937" s="2"/>
      <c r="D3937" s="2" t="b">
        <f>IF(AND(NOT(ISBLANK(Table1[[#This Row],[Fetal Sex (Male, Female or Unknown)]])),ISNUMBER(Table1[[#This Row],[Birthweight (grams)]]),ISNUMBER(Table1[[#This Row],[Gestation (days)]])),TRUE,FALSE)</f>
        <v>0</v>
      </c>
      <c r="E3937" s="2" t="str">
        <f>IF(Table1[[#This Row],[Is Data Valid]]=TRUE,IF(Table1[[#This Row],[Fetal Sex (Male, Female or Unknown)]]="Male",Backend!$C$6,IF(Table1[[#This Row],[Fetal Sex (Male, Female or Unknown)]]="Female",Backend!$C$7,IF(Table1[[#This Row],[Fetal Sex (Male, Female or Unknown)]]="Unknown",Backend!$C$8,"Error"))),"")</f>
        <v/>
      </c>
      <c r="F3937" s="8" t="str">
        <f>IF(Table1[[#This Row],[Is Data Valid]]=TRUE,EXP(0.578+0.332*((Table1[[#This Row],[Gestation (days)]]+0.5)/7)-0.00354*((Table1[[#This Row],[Gestation (days)]]+0.5)/7)^2)*Table1[[#This Row],[BW40_3705]],"")</f>
        <v/>
      </c>
      <c r="G3937" s="2" t="str">
        <f>IF(Table1[[#This Row],[Is Data Valid]]=TRUE,((Table1[[#This Row],[Birthweight (grams)]]/Table1[[#This Row],[BW_GA]])-1)/(Backend!$B$4/100*Table1[[#This Row],[BW40_3705]]),"")</f>
        <v/>
      </c>
      <c r="H3937" s="7" t="str">
        <f>IF(Table1[[#This Row],[Is Data Valid]]=TRUE,((Table1[[#This Row],[Birthweight (grams)]]*0.9/Table1[[#This Row],[BW_GA]])-1)/(Backend!$B$4/100*Table1[[#This Row],[BW40_3705]]),"")</f>
        <v/>
      </c>
      <c r="I3937" s="7" t="str">
        <f>IF(Table1[[#This Row],[Is Data Valid]]=TRUE,((Table1[[#This Row],[Birthweight (grams)]]*1.1/Table1[[#This Row],[BW_GA]])-1)/(Backend!$B$4/100*Table1[[#This Row],[BW40_3705]]),"")</f>
        <v/>
      </c>
      <c r="J3937" s="7" t="str">
        <f>IF(Table1[[#This Row],[Is Data Valid]]=TRUE,_xlfn.NORM.S.DIST(Table1[[#This Row],[Birthweight Z-Score]],TRUE)*100,"")</f>
        <v/>
      </c>
      <c r="K3937" s="7" t="str">
        <f>IF(Table1[[#This Row],[Is Data Valid]]=TRUE,_xlfn.NORM.S.DIST(Table1[[#This Row],[Birthweight Z-Score (BW-10%)]],TRUE)*100,"")</f>
        <v/>
      </c>
      <c r="L3937" s="7" t="str">
        <f>IF(Table1[[#This Row],[Is Data Valid]]=TRUE,_xlfn.NORM.S.DIST(Table1[[#This Row],[Birthweight Z-Score (BW+10%)]],TRUE)*100,"")</f>
        <v/>
      </c>
    </row>
    <row r="3938" spans="1:12" x14ac:dyDescent="0.35">
      <c r="A3938" s="3"/>
      <c r="B3938" s="2"/>
      <c r="C3938" s="2"/>
      <c r="D3938" s="2" t="b">
        <f>IF(AND(NOT(ISBLANK(Table1[[#This Row],[Fetal Sex (Male, Female or Unknown)]])),ISNUMBER(Table1[[#This Row],[Birthweight (grams)]]),ISNUMBER(Table1[[#This Row],[Gestation (days)]])),TRUE,FALSE)</f>
        <v>0</v>
      </c>
      <c r="E3938" s="2" t="str">
        <f>IF(Table1[[#This Row],[Is Data Valid]]=TRUE,IF(Table1[[#This Row],[Fetal Sex (Male, Female or Unknown)]]="Male",Backend!$C$6,IF(Table1[[#This Row],[Fetal Sex (Male, Female or Unknown)]]="Female",Backend!$C$7,IF(Table1[[#This Row],[Fetal Sex (Male, Female or Unknown)]]="Unknown",Backend!$C$8,"Error"))),"")</f>
        <v/>
      </c>
      <c r="F3938" s="8" t="str">
        <f>IF(Table1[[#This Row],[Is Data Valid]]=TRUE,EXP(0.578+0.332*((Table1[[#This Row],[Gestation (days)]]+0.5)/7)-0.00354*((Table1[[#This Row],[Gestation (days)]]+0.5)/7)^2)*Table1[[#This Row],[BW40_3705]],"")</f>
        <v/>
      </c>
      <c r="G3938" s="2" t="str">
        <f>IF(Table1[[#This Row],[Is Data Valid]]=TRUE,((Table1[[#This Row],[Birthweight (grams)]]/Table1[[#This Row],[BW_GA]])-1)/(Backend!$B$4/100*Table1[[#This Row],[BW40_3705]]),"")</f>
        <v/>
      </c>
      <c r="H3938" s="7" t="str">
        <f>IF(Table1[[#This Row],[Is Data Valid]]=TRUE,((Table1[[#This Row],[Birthweight (grams)]]*0.9/Table1[[#This Row],[BW_GA]])-1)/(Backend!$B$4/100*Table1[[#This Row],[BW40_3705]]),"")</f>
        <v/>
      </c>
      <c r="I3938" s="7" t="str">
        <f>IF(Table1[[#This Row],[Is Data Valid]]=TRUE,((Table1[[#This Row],[Birthweight (grams)]]*1.1/Table1[[#This Row],[BW_GA]])-1)/(Backend!$B$4/100*Table1[[#This Row],[BW40_3705]]),"")</f>
        <v/>
      </c>
      <c r="J3938" s="7" t="str">
        <f>IF(Table1[[#This Row],[Is Data Valid]]=TRUE,_xlfn.NORM.S.DIST(Table1[[#This Row],[Birthweight Z-Score]],TRUE)*100,"")</f>
        <v/>
      </c>
      <c r="K3938" s="7" t="str">
        <f>IF(Table1[[#This Row],[Is Data Valid]]=TRUE,_xlfn.NORM.S.DIST(Table1[[#This Row],[Birthweight Z-Score (BW-10%)]],TRUE)*100,"")</f>
        <v/>
      </c>
      <c r="L3938" s="7" t="str">
        <f>IF(Table1[[#This Row],[Is Data Valid]]=TRUE,_xlfn.NORM.S.DIST(Table1[[#This Row],[Birthweight Z-Score (BW+10%)]],TRUE)*100,"")</f>
        <v/>
      </c>
    </row>
    <row r="3939" spans="1:12" x14ac:dyDescent="0.35">
      <c r="A3939" s="3"/>
      <c r="B3939" s="2"/>
      <c r="C3939" s="2"/>
      <c r="D3939" s="2" t="b">
        <f>IF(AND(NOT(ISBLANK(Table1[[#This Row],[Fetal Sex (Male, Female or Unknown)]])),ISNUMBER(Table1[[#This Row],[Birthweight (grams)]]),ISNUMBER(Table1[[#This Row],[Gestation (days)]])),TRUE,FALSE)</f>
        <v>0</v>
      </c>
      <c r="E3939" s="2" t="str">
        <f>IF(Table1[[#This Row],[Is Data Valid]]=TRUE,IF(Table1[[#This Row],[Fetal Sex (Male, Female or Unknown)]]="Male",Backend!$C$6,IF(Table1[[#This Row],[Fetal Sex (Male, Female or Unknown)]]="Female",Backend!$C$7,IF(Table1[[#This Row],[Fetal Sex (Male, Female or Unknown)]]="Unknown",Backend!$C$8,"Error"))),"")</f>
        <v/>
      </c>
      <c r="F3939" s="8" t="str">
        <f>IF(Table1[[#This Row],[Is Data Valid]]=TRUE,EXP(0.578+0.332*((Table1[[#This Row],[Gestation (days)]]+0.5)/7)-0.00354*((Table1[[#This Row],[Gestation (days)]]+0.5)/7)^2)*Table1[[#This Row],[BW40_3705]],"")</f>
        <v/>
      </c>
      <c r="G3939" s="2" t="str">
        <f>IF(Table1[[#This Row],[Is Data Valid]]=TRUE,((Table1[[#This Row],[Birthweight (grams)]]/Table1[[#This Row],[BW_GA]])-1)/(Backend!$B$4/100*Table1[[#This Row],[BW40_3705]]),"")</f>
        <v/>
      </c>
      <c r="H3939" s="7" t="str">
        <f>IF(Table1[[#This Row],[Is Data Valid]]=TRUE,((Table1[[#This Row],[Birthweight (grams)]]*0.9/Table1[[#This Row],[BW_GA]])-1)/(Backend!$B$4/100*Table1[[#This Row],[BW40_3705]]),"")</f>
        <v/>
      </c>
      <c r="I3939" s="7" t="str">
        <f>IF(Table1[[#This Row],[Is Data Valid]]=TRUE,((Table1[[#This Row],[Birthweight (grams)]]*1.1/Table1[[#This Row],[BW_GA]])-1)/(Backend!$B$4/100*Table1[[#This Row],[BW40_3705]]),"")</f>
        <v/>
      </c>
      <c r="J3939" s="7" t="str">
        <f>IF(Table1[[#This Row],[Is Data Valid]]=TRUE,_xlfn.NORM.S.DIST(Table1[[#This Row],[Birthweight Z-Score]],TRUE)*100,"")</f>
        <v/>
      </c>
      <c r="K3939" s="7" t="str">
        <f>IF(Table1[[#This Row],[Is Data Valid]]=TRUE,_xlfn.NORM.S.DIST(Table1[[#This Row],[Birthweight Z-Score (BW-10%)]],TRUE)*100,"")</f>
        <v/>
      </c>
      <c r="L3939" s="7" t="str">
        <f>IF(Table1[[#This Row],[Is Data Valid]]=TRUE,_xlfn.NORM.S.DIST(Table1[[#This Row],[Birthweight Z-Score (BW+10%)]],TRUE)*100,"")</f>
        <v/>
      </c>
    </row>
    <row r="3940" spans="1:12" x14ac:dyDescent="0.35">
      <c r="A3940" s="3"/>
      <c r="B3940" s="2"/>
      <c r="C3940" s="2"/>
      <c r="D3940" s="2" t="b">
        <f>IF(AND(NOT(ISBLANK(Table1[[#This Row],[Fetal Sex (Male, Female or Unknown)]])),ISNUMBER(Table1[[#This Row],[Birthweight (grams)]]),ISNUMBER(Table1[[#This Row],[Gestation (days)]])),TRUE,FALSE)</f>
        <v>0</v>
      </c>
      <c r="E3940" s="2" t="str">
        <f>IF(Table1[[#This Row],[Is Data Valid]]=TRUE,IF(Table1[[#This Row],[Fetal Sex (Male, Female or Unknown)]]="Male",Backend!$C$6,IF(Table1[[#This Row],[Fetal Sex (Male, Female or Unknown)]]="Female",Backend!$C$7,IF(Table1[[#This Row],[Fetal Sex (Male, Female or Unknown)]]="Unknown",Backend!$C$8,"Error"))),"")</f>
        <v/>
      </c>
      <c r="F3940" s="8" t="str">
        <f>IF(Table1[[#This Row],[Is Data Valid]]=TRUE,EXP(0.578+0.332*((Table1[[#This Row],[Gestation (days)]]+0.5)/7)-0.00354*((Table1[[#This Row],[Gestation (days)]]+0.5)/7)^2)*Table1[[#This Row],[BW40_3705]],"")</f>
        <v/>
      </c>
      <c r="G3940" s="2" t="str">
        <f>IF(Table1[[#This Row],[Is Data Valid]]=TRUE,((Table1[[#This Row],[Birthweight (grams)]]/Table1[[#This Row],[BW_GA]])-1)/(Backend!$B$4/100*Table1[[#This Row],[BW40_3705]]),"")</f>
        <v/>
      </c>
      <c r="H3940" s="7" t="str">
        <f>IF(Table1[[#This Row],[Is Data Valid]]=TRUE,((Table1[[#This Row],[Birthweight (grams)]]*0.9/Table1[[#This Row],[BW_GA]])-1)/(Backend!$B$4/100*Table1[[#This Row],[BW40_3705]]),"")</f>
        <v/>
      </c>
      <c r="I3940" s="7" t="str">
        <f>IF(Table1[[#This Row],[Is Data Valid]]=TRUE,((Table1[[#This Row],[Birthweight (grams)]]*1.1/Table1[[#This Row],[BW_GA]])-1)/(Backend!$B$4/100*Table1[[#This Row],[BW40_3705]]),"")</f>
        <v/>
      </c>
      <c r="J3940" s="7" t="str">
        <f>IF(Table1[[#This Row],[Is Data Valid]]=TRUE,_xlfn.NORM.S.DIST(Table1[[#This Row],[Birthweight Z-Score]],TRUE)*100,"")</f>
        <v/>
      </c>
      <c r="K3940" s="7" t="str">
        <f>IF(Table1[[#This Row],[Is Data Valid]]=TRUE,_xlfn.NORM.S.DIST(Table1[[#This Row],[Birthweight Z-Score (BW-10%)]],TRUE)*100,"")</f>
        <v/>
      </c>
      <c r="L3940" s="7" t="str">
        <f>IF(Table1[[#This Row],[Is Data Valid]]=TRUE,_xlfn.NORM.S.DIST(Table1[[#This Row],[Birthweight Z-Score (BW+10%)]],TRUE)*100,"")</f>
        <v/>
      </c>
    </row>
    <row r="3941" spans="1:12" x14ac:dyDescent="0.35">
      <c r="A3941" s="3"/>
      <c r="B3941" s="2"/>
      <c r="C3941" s="2"/>
      <c r="D3941" s="2" t="b">
        <f>IF(AND(NOT(ISBLANK(Table1[[#This Row],[Fetal Sex (Male, Female or Unknown)]])),ISNUMBER(Table1[[#This Row],[Birthweight (grams)]]),ISNUMBER(Table1[[#This Row],[Gestation (days)]])),TRUE,FALSE)</f>
        <v>0</v>
      </c>
      <c r="E3941" s="2" t="str">
        <f>IF(Table1[[#This Row],[Is Data Valid]]=TRUE,IF(Table1[[#This Row],[Fetal Sex (Male, Female or Unknown)]]="Male",Backend!$C$6,IF(Table1[[#This Row],[Fetal Sex (Male, Female or Unknown)]]="Female",Backend!$C$7,IF(Table1[[#This Row],[Fetal Sex (Male, Female or Unknown)]]="Unknown",Backend!$C$8,"Error"))),"")</f>
        <v/>
      </c>
      <c r="F3941" s="8" t="str">
        <f>IF(Table1[[#This Row],[Is Data Valid]]=TRUE,EXP(0.578+0.332*((Table1[[#This Row],[Gestation (days)]]+0.5)/7)-0.00354*((Table1[[#This Row],[Gestation (days)]]+0.5)/7)^2)*Table1[[#This Row],[BW40_3705]],"")</f>
        <v/>
      </c>
      <c r="G3941" s="2" t="str">
        <f>IF(Table1[[#This Row],[Is Data Valid]]=TRUE,((Table1[[#This Row],[Birthweight (grams)]]/Table1[[#This Row],[BW_GA]])-1)/(Backend!$B$4/100*Table1[[#This Row],[BW40_3705]]),"")</f>
        <v/>
      </c>
      <c r="H3941" s="7" t="str">
        <f>IF(Table1[[#This Row],[Is Data Valid]]=TRUE,((Table1[[#This Row],[Birthweight (grams)]]*0.9/Table1[[#This Row],[BW_GA]])-1)/(Backend!$B$4/100*Table1[[#This Row],[BW40_3705]]),"")</f>
        <v/>
      </c>
      <c r="I3941" s="7" t="str">
        <f>IF(Table1[[#This Row],[Is Data Valid]]=TRUE,((Table1[[#This Row],[Birthweight (grams)]]*1.1/Table1[[#This Row],[BW_GA]])-1)/(Backend!$B$4/100*Table1[[#This Row],[BW40_3705]]),"")</f>
        <v/>
      </c>
      <c r="J3941" s="7" t="str">
        <f>IF(Table1[[#This Row],[Is Data Valid]]=TRUE,_xlfn.NORM.S.DIST(Table1[[#This Row],[Birthweight Z-Score]],TRUE)*100,"")</f>
        <v/>
      </c>
      <c r="K3941" s="7" t="str">
        <f>IF(Table1[[#This Row],[Is Data Valid]]=TRUE,_xlfn.NORM.S.DIST(Table1[[#This Row],[Birthweight Z-Score (BW-10%)]],TRUE)*100,"")</f>
        <v/>
      </c>
      <c r="L3941" s="7" t="str">
        <f>IF(Table1[[#This Row],[Is Data Valid]]=TRUE,_xlfn.NORM.S.DIST(Table1[[#This Row],[Birthweight Z-Score (BW+10%)]],TRUE)*100,"")</f>
        <v/>
      </c>
    </row>
    <row r="3942" spans="1:12" x14ac:dyDescent="0.35">
      <c r="A3942" s="3"/>
      <c r="B3942" s="2"/>
      <c r="C3942" s="2"/>
      <c r="D3942" s="2" t="b">
        <f>IF(AND(NOT(ISBLANK(Table1[[#This Row],[Fetal Sex (Male, Female or Unknown)]])),ISNUMBER(Table1[[#This Row],[Birthweight (grams)]]),ISNUMBER(Table1[[#This Row],[Gestation (days)]])),TRUE,FALSE)</f>
        <v>0</v>
      </c>
      <c r="E3942" s="2" t="str">
        <f>IF(Table1[[#This Row],[Is Data Valid]]=TRUE,IF(Table1[[#This Row],[Fetal Sex (Male, Female or Unknown)]]="Male",Backend!$C$6,IF(Table1[[#This Row],[Fetal Sex (Male, Female or Unknown)]]="Female",Backend!$C$7,IF(Table1[[#This Row],[Fetal Sex (Male, Female or Unknown)]]="Unknown",Backend!$C$8,"Error"))),"")</f>
        <v/>
      </c>
      <c r="F3942" s="8" t="str">
        <f>IF(Table1[[#This Row],[Is Data Valid]]=TRUE,EXP(0.578+0.332*((Table1[[#This Row],[Gestation (days)]]+0.5)/7)-0.00354*((Table1[[#This Row],[Gestation (days)]]+0.5)/7)^2)*Table1[[#This Row],[BW40_3705]],"")</f>
        <v/>
      </c>
      <c r="G3942" s="2" t="str">
        <f>IF(Table1[[#This Row],[Is Data Valid]]=TRUE,((Table1[[#This Row],[Birthweight (grams)]]/Table1[[#This Row],[BW_GA]])-1)/(Backend!$B$4/100*Table1[[#This Row],[BW40_3705]]),"")</f>
        <v/>
      </c>
      <c r="H3942" s="7" t="str">
        <f>IF(Table1[[#This Row],[Is Data Valid]]=TRUE,((Table1[[#This Row],[Birthweight (grams)]]*0.9/Table1[[#This Row],[BW_GA]])-1)/(Backend!$B$4/100*Table1[[#This Row],[BW40_3705]]),"")</f>
        <v/>
      </c>
      <c r="I3942" s="7" t="str">
        <f>IF(Table1[[#This Row],[Is Data Valid]]=TRUE,((Table1[[#This Row],[Birthweight (grams)]]*1.1/Table1[[#This Row],[BW_GA]])-1)/(Backend!$B$4/100*Table1[[#This Row],[BW40_3705]]),"")</f>
        <v/>
      </c>
      <c r="J3942" s="7" t="str">
        <f>IF(Table1[[#This Row],[Is Data Valid]]=TRUE,_xlfn.NORM.S.DIST(Table1[[#This Row],[Birthweight Z-Score]],TRUE)*100,"")</f>
        <v/>
      </c>
      <c r="K3942" s="7" t="str">
        <f>IF(Table1[[#This Row],[Is Data Valid]]=TRUE,_xlfn.NORM.S.DIST(Table1[[#This Row],[Birthweight Z-Score (BW-10%)]],TRUE)*100,"")</f>
        <v/>
      </c>
      <c r="L3942" s="7" t="str">
        <f>IF(Table1[[#This Row],[Is Data Valid]]=TRUE,_xlfn.NORM.S.DIST(Table1[[#This Row],[Birthweight Z-Score (BW+10%)]],TRUE)*100,"")</f>
        <v/>
      </c>
    </row>
    <row r="3943" spans="1:12" x14ac:dyDescent="0.35">
      <c r="A3943" s="3"/>
      <c r="B3943" s="2"/>
      <c r="C3943" s="2"/>
      <c r="D3943" s="2" t="b">
        <f>IF(AND(NOT(ISBLANK(Table1[[#This Row],[Fetal Sex (Male, Female or Unknown)]])),ISNUMBER(Table1[[#This Row],[Birthweight (grams)]]),ISNUMBER(Table1[[#This Row],[Gestation (days)]])),TRUE,FALSE)</f>
        <v>0</v>
      </c>
      <c r="E3943" s="2" t="str">
        <f>IF(Table1[[#This Row],[Is Data Valid]]=TRUE,IF(Table1[[#This Row],[Fetal Sex (Male, Female or Unknown)]]="Male",Backend!$C$6,IF(Table1[[#This Row],[Fetal Sex (Male, Female or Unknown)]]="Female",Backend!$C$7,IF(Table1[[#This Row],[Fetal Sex (Male, Female or Unknown)]]="Unknown",Backend!$C$8,"Error"))),"")</f>
        <v/>
      </c>
      <c r="F3943" s="8" t="str">
        <f>IF(Table1[[#This Row],[Is Data Valid]]=TRUE,EXP(0.578+0.332*((Table1[[#This Row],[Gestation (days)]]+0.5)/7)-0.00354*((Table1[[#This Row],[Gestation (days)]]+0.5)/7)^2)*Table1[[#This Row],[BW40_3705]],"")</f>
        <v/>
      </c>
      <c r="G3943" s="2" t="str">
        <f>IF(Table1[[#This Row],[Is Data Valid]]=TRUE,((Table1[[#This Row],[Birthweight (grams)]]/Table1[[#This Row],[BW_GA]])-1)/(Backend!$B$4/100*Table1[[#This Row],[BW40_3705]]),"")</f>
        <v/>
      </c>
      <c r="H3943" s="7" t="str">
        <f>IF(Table1[[#This Row],[Is Data Valid]]=TRUE,((Table1[[#This Row],[Birthweight (grams)]]*0.9/Table1[[#This Row],[BW_GA]])-1)/(Backend!$B$4/100*Table1[[#This Row],[BW40_3705]]),"")</f>
        <v/>
      </c>
      <c r="I3943" s="7" t="str">
        <f>IF(Table1[[#This Row],[Is Data Valid]]=TRUE,((Table1[[#This Row],[Birthweight (grams)]]*1.1/Table1[[#This Row],[BW_GA]])-1)/(Backend!$B$4/100*Table1[[#This Row],[BW40_3705]]),"")</f>
        <v/>
      </c>
      <c r="J3943" s="7" t="str">
        <f>IF(Table1[[#This Row],[Is Data Valid]]=TRUE,_xlfn.NORM.S.DIST(Table1[[#This Row],[Birthweight Z-Score]],TRUE)*100,"")</f>
        <v/>
      </c>
      <c r="K3943" s="7" t="str">
        <f>IF(Table1[[#This Row],[Is Data Valid]]=TRUE,_xlfn.NORM.S.DIST(Table1[[#This Row],[Birthweight Z-Score (BW-10%)]],TRUE)*100,"")</f>
        <v/>
      </c>
      <c r="L3943" s="7" t="str">
        <f>IF(Table1[[#This Row],[Is Data Valid]]=TRUE,_xlfn.NORM.S.DIST(Table1[[#This Row],[Birthweight Z-Score (BW+10%)]],TRUE)*100,"")</f>
        <v/>
      </c>
    </row>
    <row r="3944" spans="1:12" x14ac:dyDescent="0.35">
      <c r="A3944" s="3"/>
      <c r="B3944" s="2"/>
      <c r="C3944" s="2"/>
      <c r="D3944" s="2" t="b">
        <f>IF(AND(NOT(ISBLANK(Table1[[#This Row],[Fetal Sex (Male, Female or Unknown)]])),ISNUMBER(Table1[[#This Row],[Birthweight (grams)]]),ISNUMBER(Table1[[#This Row],[Gestation (days)]])),TRUE,FALSE)</f>
        <v>0</v>
      </c>
      <c r="E3944" s="2" t="str">
        <f>IF(Table1[[#This Row],[Is Data Valid]]=TRUE,IF(Table1[[#This Row],[Fetal Sex (Male, Female or Unknown)]]="Male",Backend!$C$6,IF(Table1[[#This Row],[Fetal Sex (Male, Female or Unknown)]]="Female",Backend!$C$7,IF(Table1[[#This Row],[Fetal Sex (Male, Female or Unknown)]]="Unknown",Backend!$C$8,"Error"))),"")</f>
        <v/>
      </c>
      <c r="F3944" s="8" t="str">
        <f>IF(Table1[[#This Row],[Is Data Valid]]=TRUE,EXP(0.578+0.332*((Table1[[#This Row],[Gestation (days)]]+0.5)/7)-0.00354*((Table1[[#This Row],[Gestation (days)]]+0.5)/7)^2)*Table1[[#This Row],[BW40_3705]],"")</f>
        <v/>
      </c>
      <c r="G3944" s="2" t="str">
        <f>IF(Table1[[#This Row],[Is Data Valid]]=TRUE,((Table1[[#This Row],[Birthweight (grams)]]/Table1[[#This Row],[BW_GA]])-1)/(Backend!$B$4/100*Table1[[#This Row],[BW40_3705]]),"")</f>
        <v/>
      </c>
      <c r="H3944" s="7" t="str">
        <f>IF(Table1[[#This Row],[Is Data Valid]]=TRUE,((Table1[[#This Row],[Birthweight (grams)]]*0.9/Table1[[#This Row],[BW_GA]])-1)/(Backend!$B$4/100*Table1[[#This Row],[BW40_3705]]),"")</f>
        <v/>
      </c>
      <c r="I3944" s="7" t="str">
        <f>IF(Table1[[#This Row],[Is Data Valid]]=TRUE,((Table1[[#This Row],[Birthweight (grams)]]*1.1/Table1[[#This Row],[BW_GA]])-1)/(Backend!$B$4/100*Table1[[#This Row],[BW40_3705]]),"")</f>
        <v/>
      </c>
      <c r="J3944" s="7" t="str">
        <f>IF(Table1[[#This Row],[Is Data Valid]]=TRUE,_xlfn.NORM.S.DIST(Table1[[#This Row],[Birthweight Z-Score]],TRUE)*100,"")</f>
        <v/>
      </c>
      <c r="K3944" s="7" t="str">
        <f>IF(Table1[[#This Row],[Is Data Valid]]=TRUE,_xlfn.NORM.S.DIST(Table1[[#This Row],[Birthweight Z-Score (BW-10%)]],TRUE)*100,"")</f>
        <v/>
      </c>
      <c r="L3944" s="7" t="str">
        <f>IF(Table1[[#This Row],[Is Data Valid]]=TRUE,_xlfn.NORM.S.DIST(Table1[[#This Row],[Birthweight Z-Score (BW+10%)]],TRUE)*100,"")</f>
        <v/>
      </c>
    </row>
    <row r="3945" spans="1:12" x14ac:dyDescent="0.35">
      <c r="A3945" s="3"/>
      <c r="B3945" s="2"/>
      <c r="C3945" s="2"/>
      <c r="D3945" s="2" t="b">
        <f>IF(AND(NOT(ISBLANK(Table1[[#This Row],[Fetal Sex (Male, Female or Unknown)]])),ISNUMBER(Table1[[#This Row],[Birthweight (grams)]]),ISNUMBER(Table1[[#This Row],[Gestation (days)]])),TRUE,FALSE)</f>
        <v>0</v>
      </c>
      <c r="E3945" s="2" t="str">
        <f>IF(Table1[[#This Row],[Is Data Valid]]=TRUE,IF(Table1[[#This Row],[Fetal Sex (Male, Female or Unknown)]]="Male",Backend!$C$6,IF(Table1[[#This Row],[Fetal Sex (Male, Female or Unknown)]]="Female",Backend!$C$7,IF(Table1[[#This Row],[Fetal Sex (Male, Female or Unknown)]]="Unknown",Backend!$C$8,"Error"))),"")</f>
        <v/>
      </c>
      <c r="F3945" s="8" t="str">
        <f>IF(Table1[[#This Row],[Is Data Valid]]=TRUE,EXP(0.578+0.332*((Table1[[#This Row],[Gestation (days)]]+0.5)/7)-0.00354*((Table1[[#This Row],[Gestation (days)]]+0.5)/7)^2)*Table1[[#This Row],[BW40_3705]],"")</f>
        <v/>
      </c>
      <c r="G3945" s="2" t="str">
        <f>IF(Table1[[#This Row],[Is Data Valid]]=TRUE,((Table1[[#This Row],[Birthweight (grams)]]/Table1[[#This Row],[BW_GA]])-1)/(Backend!$B$4/100*Table1[[#This Row],[BW40_3705]]),"")</f>
        <v/>
      </c>
      <c r="H3945" s="7" t="str">
        <f>IF(Table1[[#This Row],[Is Data Valid]]=TRUE,((Table1[[#This Row],[Birthweight (grams)]]*0.9/Table1[[#This Row],[BW_GA]])-1)/(Backend!$B$4/100*Table1[[#This Row],[BW40_3705]]),"")</f>
        <v/>
      </c>
      <c r="I3945" s="7" t="str">
        <f>IF(Table1[[#This Row],[Is Data Valid]]=TRUE,((Table1[[#This Row],[Birthweight (grams)]]*1.1/Table1[[#This Row],[BW_GA]])-1)/(Backend!$B$4/100*Table1[[#This Row],[BW40_3705]]),"")</f>
        <v/>
      </c>
      <c r="J3945" s="7" t="str">
        <f>IF(Table1[[#This Row],[Is Data Valid]]=TRUE,_xlfn.NORM.S.DIST(Table1[[#This Row],[Birthweight Z-Score]],TRUE)*100,"")</f>
        <v/>
      </c>
      <c r="K3945" s="7" t="str">
        <f>IF(Table1[[#This Row],[Is Data Valid]]=TRUE,_xlfn.NORM.S.DIST(Table1[[#This Row],[Birthweight Z-Score (BW-10%)]],TRUE)*100,"")</f>
        <v/>
      </c>
      <c r="L3945" s="7" t="str">
        <f>IF(Table1[[#This Row],[Is Data Valid]]=TRUE,_xlfn.NORM.S.DIST(Table1[[#This Row],[Birthweight Z-Score (BW+10%)]],TRUE)*100,"")</f>
        <v/>
      </c>
    </row>
    <row r="3946" spans="1:12" x14ac:dyDescent="0.35">
      <c r="A3946" s="3"/>
      <c r="B3946" s="2"/>
      <c r="C3946" s="2"/>
      <c r="D3946" s="2" t="b">
        <f>IF(AND(NOT(ISBLANK(Table1[[#This Row],[Fetal Sex (Male, Female or Unknown)]])),ISNUMBER(Table1[[#This Row],[Birthweight (grams)]]),ISNUMBER(Table1[[#This Row],[Gestation (days)]])),TRUE,FALSE)</f>
        <v>0</v>
      </c>
      <c r="E3946" s="2" t="str">
        <f>IF(Table1[[#This Row],[Is Data Valid]]=TRUE,IF(Table1[[#This Row],[Fetal Sex (Male, Female or Unknown)]]="Male",Backend!$C$6,IF(Table1[[#This Row],[Fetal Sex (Male, Female or Unknown)]]="Female",Backend!$C$7,IF(Table1[[#This Row],[Fetal Sex (Male, Female or Unknown)]]="Unknown",Backend!$C$8,"Error"))),"")</f>
        <v/>
      </c>
      <c r="F3946" s="8" t="str">
        <f>IF(Table1[[#This Row],[Is Data Valid]]=TRUE,EXP(0.578+0.332*((Table1[[#This Row],[Gestation (days)]]+0.5)/7)-0.00354*((Table1[[#This Row],[Gestation (days)]]+0.5)/7)^2)*Table1[[#This Row],[BW40_3705]],"")</f>
        <v/>
      </c>
      <c r="G3946" s="2" t="str">
        <f>IF(Table1[[#This Row],[Is Data Valid]]=TRUE,((Table1[[#This Row],[Birthweight (grams)]]/Table1[[#This Row],[BW_GA]])-1)/(Backend!$B$4/100*Table1[[#This Row],[BW40_3705]]),"")</f>
        <v/>
      </c>
      <c r="H3946" s="7" t="str">
        <f>IF(Table1[[#This Row],[Is Data Valid]]=TRUE,((Table1[[#This Row],[Birthweight (grams)]]*0.9/Table1[[#This Row],[BW_GA]])-1)/(Backend!$B$4/100*Table1[[#This Row],[BW40_3705]]),"")</f>
        <v/>
      </c>
      <c r="I3946" s="7" t="str">
        <f>IF(Table1[[#This Row],[Is Data Valid]]=TRUE,((Table1[[#This Row],[Birthweight (grams)]]*1.1/Table1[[#This Row],[BW_GA]])-1)/(Backend!$B$4/100*Table1[[#This Row],[BW40_3705]]),"")</f>
        <v/>
      </c>
      <c r="J3946" s="7" t="str">
        <f>IF(Table1[[#This Row],[Is Data Valid]]=TRUE,_xlfn.NORM.S.DIST(Table1[[#This Row],[Birthweight Z-Score]],TRUE)*100,"")</f>
        <v/>
      </c>
      <c r="K3946" s="7" t="str">
        <f>IF(Table1[[#This Row],[Is Data Valid]]=TRUE,_xlfn.NORM.S.DIST(Table1[[#This Row],[Birthweight Z-Score (BW-10%)]],TRUE)*100,"")</f>
        <v/>
      </c>
      <c r="L3946" s="7" t="str">
        <f>IF(Table1[[#This Row],[Is Data Valid]]=TRUE,_xlfn.NORM.S.DIST(Table1[[#This Row],[Birthweight Z-Score (BW+10%)]],TRUE)*100,"")</f>
        <v/>
      </c>
    </row>
    <row r="3947" spans="1:12" x14ac:dyDescent="0.35">
      <c r="A3947" s="3"/>
      <c r="B3947" s="2"/>
      <c r="C3947" s="2"/>
      <c r="D3947" s="2" t="b">
        <f>IF(AND(NOT(ISBLANK(Table1[[#This Row],[Fetal Sex (Male, Female or Unknown)]])),ISNUMBER(Table1[[#This Row],[Birthweight (grams)]]),ISNUMBER(Table1[[#This Row],[Gestation (days)]])),TRUE,FALSE)</f>
        <v>0</v>
      </c>
      <c r="E3947" s="2" t="str">
        <f>IF(Table1[[#This Row],[Is Data Valid]]=TRUE,IF(Table1[[#This Row],[Fetal Sex (Male, Female or Unknown)]]="Male",Backend!$C$6,IF(Table1[[#This Row],[Fetal Sex (Male, Female or Unknown)]]="Female",Backend!$C$7,IF(Table1[[#This Row],[Fetal Sex (Male, Female or Unknown)]]="Unknown",Backend!$C$8,"Error"))),"")</f>
        <v/>
      </c>
      <c r="F3947" s="8" t="str">
        <f>IF(Table1[[#This Row],[Is Data Valid]]=TRUE,EXP(0.578+0.332*((Table1[[#This Row],[Gestation (days)]]+0.5)/7)-0.00354*((Table1[[#This Row],[Gestation (days)]]+0.5)/7)^2)*Table1[[#This Row],[BW40_3705]],"")</f>
        <v/>
      </c>
      <c r="G3947" s="2" t="str">
        <f>IF(Table1[[#This Row],[Is Data Valid]]=TRUE,((Table1[[#This Row],[Birthweight (grams)]]/Table1[[#This Row],[BW_GA]])-1)/(Backend!$B$4/100*Table1[[#This Row],[BW40_3705]]),"")</f>
        <v/>
      </c>
      <c r="H3947" s="7" t="str">
        <f>IF(Table1[[#This Row],[Is Data Valid]]=TRUE,((Table1[[#This Row],[Birthweight (grams)]]*0.9/Table1[[#This Row],[BW_GA]])-1)/(Backend!$B$4/100*Table1[[#This Row],[BW40_3705]]),"")</f>
        <v/>
      </c>
      <c r="I3947" s="7" t="str">
        <f>IF(Table1[[#This Row],[Is Data Valid]]=TRUE,((Table1[[#This Row],[Birthweight (grams)]]*1.1/Table1[[#This Row],[BW_GA]])-1)/(Backend!$B$4/100*Table1[[#This Row],[BW40_3705]]),"")</f>
        <v/>
      </c>
      <c r="J3947" s="7" t="str">
        <f>IF(Table1[[#This Row],[Is Data Valid]]=TRUE,_xlfn.NORM.S.DIST(Table1[[#This Row],[Birthweight Z-Score]],TRUE)*100,"")</f>
        <v/>
      </c>
      <c r="K3947" s="7" t="str">
        <f>IF(Table1[[#This Row],[Is Data Valid]]=TRUE,_xlfn.NORM.S.DIST(Table1[[#This Row],[Birthweight Z-Score (BW-10%)]],TRUE)*100,"")</f>
        <v/>
      </c>
      <c r="L3947" s="7" t="str">
        <f>IF(Table1[[#This Row],[Is Data Valid]]=TRUE,_xlfn.NORM.S.DIST(Table1[[#This Row],[Birthweight Z-Score (BW+10%)]],TRUE)*100,"")</f>
        <v/>
      </c>
    </row>
    <row r="3948" spans="1:12" x14ac:dyDescent="0.35">
      <c r="A3948" s="3"/>
      <c r="B3948" s="2"/>
      <c r="C3948" s="2"/>
      <c r="D3948" s="2" t="b">
        <f>IF(AND(NOT(ISBLANK(Table1[[#This Row],[Fetal Sex (Male, Female or Unknown)]])),ISNUMBER(Table1[[#This Row],[Birthweight (grams)]]),ISNUMBER(Table1[[#This Row],[Gestation (days)]])),TRUE,FALSE)</f>
        <v>0</v>
      </c>
      <c r="E3948" s="2" t="str">
        <f>IF(Table1[[#This Row],[Is Data Valid]]=TRUE,IF(Table1[[#This Row],[Fetal Sex (Male, Female or Unknown)]]="Male",Backend!$C$6,IF(Table1[[#This Row],[Fetal Sex (Male, Female or Unknown)]]="Female",Backend!$C$7,IF(Table1[[#This Row],[Fetal Sex (Male, Female or Unknown)]]="Unknown",Backend!$C$8,"Error"))),"")</f>
        <v/>
      </c>
      <c r="F3948" s="8" t="str">
        <f>IF(Table1[[#This Row],[Is Data Valid]]=TRUE,EXP(0.578+0.332*((Table1[[#This Row],[Gestation (days)]]+0.5)/7)-0.00354*((Table1[[#This Row],[Gestation (days)]]+0.5)/7)^2)*Table1[[#This Row],[BW40_3705]],"")</f>
        <v/>
      </c>
      <c r="G3948" s="2" t="str">
        <f>IF(Table1[[#This Row],[Is Data Valid]]=TRUE,((Table1[[#This Row],[Birthweight (grams)]]/Table1[[#This Row],[BW_GA]])-1)/(Backend!$B$4/100*Table1[[#This Row],[BW40_3705]]),"")</f>
        <v/>
      </c>
      <c r="H3948" s="7" t="str">
        <f>IF(Table1[[#This Row],[Is Data Valid]]=TRUE,((Table1[[#This Row],[Birthweight (grams)]]*0.9/Table1[[#This Row],[BW_GA]])-1)/(Backend!$B$4/100*Table1[[#This Row],[BW40_3705]]),"")</f>
        <v/>
      </c>
      <c r="I3948" s="7" t="str">
        <f>IF(Table1[[#This Row],[Is Data Valid]]=TRUE,((Table1[[#This Row],[Birthweight (grams)]]*1.1/Table1[[#This Row],[BW_GA]])-1)/(Backend!$B$4/100*Table1[[#This Row],[BW40_3705]]),"")</f>
        <v/>
      </c>
      <c r="J3948" s="7" t="str">
        <f>IF(Table1[[#This Row],[Is Data Valid]]=TRUE,_xlfn.NORM.S.DIST(Table1[[#This Row],[Birthweight Z-Score]],TRUE)*100,"")</f>
        <v/>
      </c>
      <c r="K3948" s="7" t="str">
        <f>IF(Table1[[#This Row],[Is Data Valid]]=TRUE,_xlfn.NORM.S.DIST(Table1[[#This Row],[Birthweight Z-Score (BW-10%)]],TRUE)*100,"")</f>
        <v/>
      </c>
      <c r="L3948" s="7" t="str">
        <f>IF(Table1[[#This Row],[Is Data Valid]]=TRUE,_xlfn.NORM.S.DIST(Table1[[#This Row],[Birthweight Z-Score (BW+10%)]],TRUE)*100,"")</f>
        <v/>
      </c>
    </row>
    <row r="3949" spans="1:12" x14ac:dyDescent="0.35">
      <c r="A3949" s="3"/>
      <c r="B3949" s="2"/>
      <c r="C3949" s="2"/>
      <c r="D3949" s="2" t="b">
        <f>IF(AND(NOT(ISBLANK(Table1[[#This Row],[Fetal Sex (Male, Female or Unknown)]])),ISNUMBER(Table1[[#This Row],[Birthweight (grams)]]),ISNUMBER(Table1[[#This Row],[Gestation (days)]])),TRUE,FALSE)</f>
        <v>0</v>
      </c>
      <c r="E3949" s="2" t="str">
        <f>IF(Table1[[#This Row],[Is Data Valid]]=TRUE,IF(Table1[[#This Row],[Fetal Sex (Male, Female or Unknown)]]="Male",Backend!$C$6,IF(Table1[[#This Row],[Fetal Sex (Male, Female or Unknown)]]="Female",Backend!$C$7,IF(Table1[[#This Row],[Fetal Sex (Male, Female or Unknown)]]="Unknown",Backend!$C$8,"Error"))),"")</f>
        <v/>
      </c>
      <c r="F3949" s="8" t="str">
        <f>IF(Table1[[#This Row],[Is Data Valid]]=TRUE,EXP(0.578+0.332*((Table1[[#This Row],[Gestation (days)]]+0.5)/7)-0.00354*((Table1[[#This Row],[Gestation (days)]]+0.5)/7)^2)*Table1[[#This Row],[BW40_3705]],"")</f>
        <v/>
      </c>
      <c r="G3949" s="2" t="str">
        <f>IF(Table1[[#This Row],[Is Data Valid]]=TRUE,((Table1[[#This Row],[Birthweight (grams)]]/Table1[[#This Row],[BW_GA]])-1)/(Backend!$B$4/100*Table1[[#This Row],[BW40_3705]]),"")</f>
        <v/>
      </c>
      <c r="H3949" s="7" t="str">
        <f>IF(Table1[[#This Row],[Is Data Valid]]=TRUE,((Table1[[#This Row],[Birthweight (grams)]]*0.9/Table1[[#This Row],[BW_GA]])-1)/(Backend!$B$4/100*Table1[[#This Row],[BW40_3705]]),"")</f>
        <v/>
      </c>
      <c r="I3949" s="7" t="str">
        <f>IF(Table1[[#This Row],[Is Data Valid]]=TRUE,((Table1[[#This Row],[Birthweight (grams)]]*1.1/Table1[[#This Row],[BW_GA]])-1)/(Backend!$B$4/100*Table1[[#This Row],[BW40_3705]]),"")</f>
        <v/>
      </c>
      <c r="J3949" s="7" t="str">
        <f>IF(Table1[[#This Row],[Is Data Valid]]=TRUE,_xlfn.NORM.S.DIST(Table1[[#This Row],[Birthweight Z-Score]],TRUE)*100,"")</f>
        <v/>
      </c>
      <c r="K3949" s="7" t="str">
        <f>IF(Table1[[#This Row],[Is Data Valid]]=TRUE,_xlfn.NORM.S.DIST(Table1[[#This Row],[Birthweight Z-Score (BW-10%)]],TRUE)*100,"")</f>
        <v/>
      </c>
      <c r="L3949" s="7" t="str">
        <f>IF(Table1[[#This Row],[Is Data Valid]]=TRUE,_xlfn.NORM.S.DIST(Table1[[#This Row],[Birthweight Z-Score (BW+10%)]],TRUE)*100,"")</f>
        <v/>
      </c>
    </row>
    <row r="3950" spans="1:12" x14ac:dyDescent="0.35">
      <c r="A3950" s="3"/>
      <c r="B3950" s="2"/>
      <c r="C3950" s="2"/>
      <c r="D3950" s="2" t="b">
        <f>IF(AND(NOT(ISBLANK(Table1[[#This Row],[Fetal Sex (Male, Female or Unknown)]])),ISNUMBER(Table1[[#This Row],[Birthweight (grams)]]),ISNUMBER(Table1[[#This Row],[Gestation (days)]])),TRUE,FALSE)</f>
        <v>0</v>
      </c>
      <c r="E3950" s="2" t="str">
        <f>IF(Table1[[#This Row],[Is Data Valid]]=TRUE,IF(Table1[[#This Row],[Fetal Sex (Male, Female or Unknown)]]="Male",Backend!$C$6,IF(Table1[[#This Row],[Fetal Sex (Male, Female or Unknown)]]="Female",Backend!$C$7,IF(Table1[[#This Row],[Fetal Sex (Male, Female or Unknown)]]="Unknown",Backend!$C$8,"Error"))),"")</f>
        <v/>
      </c>
      <c r="F3950" s="8" t="str">
        <f>IF(Table1[[#This Row],[Is Data Valid]]=TRUE,EXP(0.578+0.332*((Table1[[#This Row],[Gestation (days)]]+0.5)/7)-0.00354*((Table1[[#This Row],[Gestation (days)]]+0.5)/7)^2)*Table1[[#This Row],[BW40_3705]],"")</f>
        <v/>
      </c>
      <c r="G3950" s="2" t="str">
        <f>IF(Table1[[#This Row],[Is Data Valid]]=TRUE,((Table1[[#This Row],[Birthweight (grams)]]/Table1[[#This Row],[BW_GA]])-1)/(Backend!$B$4/100*Table1[[#This Row],[BW40_3705]]),"")</f>
        <v/>
      </c>
      <c r="H3950" s="7" t="str">
        <f>IF(Table1[[#This Row],[Is Data Valid]]=TRUE,((Table1[[#This Row],[Birthweight (grams)]]*0.9/Table1[[#This Row],[BW_GA]])-1)/(Backend!$B$4/100*Table1[[#This Row],[BW40_3705]]),"")</f>
        <v/>
      </c>
      <c r="I3950" s="7" t="str">
        <f>IF(Table1[[#This Row],[Is Data Valid]]=TRUE,((Table1[[#This Row],[Birthweight (grams)]]*1.1/Table1[[#This Row],[BW_GA]])-1)/(Backend!$B$4/100*Table1[[#This Row],[BW40_3705]]),"")</f>
        <v/>
      </c>
      <c r="J3950" s="7" t="str">
        <f>IF(Table1[[#This Row],[Is Data Valid]]=TRUE,_xlfn.NORM.S.DIST(Table1[[#This Row],[Birthweight Z-Score]],TRUE)*100,"")</f>
        <v/>
      </c>
      <c r="K3950" s="7" t="str">
        <f>IF(Table1[[#This Row],[Is Data Valid]]=TRUE,_xlfn.NORM.S.DIST(Table1[[#This Row],[Birthweight Z-Score (BW-10%)]],TRUE)*100,"")</f>
        <v/>
      </c>
      <c r="L3950" s="7" t="str">
        <f>IF(Table1[[#This Row],[Is Data Valid]]=TRUE,_xlfn.NORM.S.DIST(Table1[[#This Row],[Birthweight Z-Score (BW+10%)]],TRUE)*100,"")</f>
        <v/>
      </c>
    </row>
    <row r="3951" spans="1:12" x14ac:dyDescent="0.35">
      <c r="A3951" s="3"/>
      <c r="B3951" s="2"/>
      <c r="C3951" s="2"/>
      <c r="D3951" s="2" t="b">
        <f>IF(AND(NOT(ISBLANK(Table1[[#This Row],[Fetal Sex (Male, Female or Unknown)]])),ISNUMBER(Table1[[#This Row],[Birthweight (grams)]]),ISNUMBER(Table1[[#This Row],[Gestation (days)]])),TRUE,FALSE)</f>
        <v>0</v>
      </c>
      <c r="E3951" s="2" t="str">
        <f>IF(Table1[[#This Row],[Is Data Valid]]=TRUE,IF(Table1[[#This Row],[Fetal Sex (Male, Female or Unknown)]]="Male",Backend!$C$6,IF(Table1[[#This Row],[Fetal Sex (Male, Female or Unknown)]]="Female",Backend!$C$7,IF(Table1[[#This Row],[Fetal Sex (Male, Female or Unknown)]]="Unknown",Backend!$C$8,"Error"))),"")</f>
        <v/>
      </c>
      <c r="F3951" s="8" t="str">
        <f>IF(Table1[[#This Row],[Is Data Valid]]=TRUE,EXP(0.578+0.332*((Table1[[#This Row],[Gestation (days)]]+0.5)/7)-0.00354*((Table1[[#This Row],[Gestation (days)]]+0.5)/7)^2)*Table1[[#This Row],[BW40_3705]],"")</f>
        <v/>
      </c>
      <c r="G3951" s="2" t="str">
        <f>IF(Table1[[#This Row],[Is Data Valid]]=TRUE,((Table1[[#This Row],[Birthweight (grams)]]/Table1[[#This Row],[BW_GA]])-1)/(Backend!$B$4/100*Table1[[#This Row],[BW40_3705]]),"")</f>
        <v/>
      </c>
      <c r="H3951" s="7" t="str">
        <f>IF(Table1[[#This Row],[Is Data Valid]]=TRUE,((Table1[[#This Row],[Birthweight (grams)]]*0.9/Table1[[#This Row],[BW_GA]])-1)/(Backend!$B$4/100*Table1[[#This Row],[BW40_3705]]),"")</f>
        <v/>
      </c>
      <c r="I3951" s="7" t="str">
        <f>IF(Table1[[#This Row],[Is Data Valid]]=TRUE,((Table1[[#This Row],[Birthweight (grams)]]*1.1/Table1[[#This Row],[BW_GA]])-1)/(Backend!$B$4/100*Table1[[#This Row],[BW40_3705]]),"")</f>
        <v/>
      </c>
      <c r="J3951" s="7" t="str">
        <f>IF(Table1[[#This Row],[Is Data Valid]]=TRUE,_xlfn.NORM.S.DIST(Table1[[#This Row],[Birthweight Z-Score]],TRUE)*100,"")</f>
        <v/>
      </c>
      <c r="K3951" s="7" t="str">
        <f>IF(Table1[[#This Row],[Is Data Valid]]=TRUE,_xlfn.NORM.S.DIST(Table1[[#This Row],[Birthweight Z-Score (BW-10%)]],TRUE)*100,"")</f>
        <v/>
      </c>
      <c r="L3951" s="7" t="str">
        <f>IF(Table1[[#This Row],[Is Data Valid]]=TRUE,_xlfn.NORM.S.DIST(Table1[[#This Row],[Birthweight Z-Score (BW+10%)]],TRUE)*100,"")</f>
        <v/>
      </c>
    </row>
    <row r="3952" spans="1:12" x14ac:dyDescent="0.35">
      <c r="A3952" s="3"/>
      <c r="B3952" s="2"/>
      <c r="C3952" s="2"/>
      <c r="D3952" s="2" t="b">
        <f>IF(AND(NOT(ISBLANK(Table1[[#This Row],[Fetal Sex (Male, Female or Unknown)]])),ISNUMBER(Table1[[#This Row],[Birthweight (grams)]]),ISNUMBER(Table1[[#This Row],[Gestation (days)]])),TRUE,FALSE)</f>
        <v>0</v>
      </c>
      <c r="E3952" s="2" t="str">
        <f>IF(Table1[[#This Row],[Is Data Valid]]=TRUE,IF(Table1[[#This Row],[Fetal Sex (Male, Female or Unknown)]]="Male",Backend!$C$6,IF(Table1[[#This Row],[Fetal Sex (Male, Female or Unknown)]]="Female",Backend!$C$7,IF(Table1[[#This Row],[Fetal Sex (Male, Female or Unknown)]]="Unknown",Backend!$C$8,"Error"))),"")</f>
        <v/>
      </c>
      <c r="F3952" s="8" t="str">
        <f>IF(Table1[[#This Row],[Is Data Valid]]=TRUE,EXP(0.578+0.332*((Table1[[#This Row],[Gestation (days)]]+0.5)/7)-0.00354*((Table1[[#This Row],[Gestation (days)]]+0.5)/7)^2)*Table1[[#This Row],[BW40_3705]],"")</f>
        <v/>
      </c>
      <c r="G3952" s="2" t="str">
        <f>IF(Table1[[#This Row],[Is Data Valid]]=TRUE,((Table1[[#This Row],[Birthweight (grams)]]/Table1[[#This Row],[BW_GA]])-1)/(Backend!$B$4/100*Table1[[#This Row],[BW40_3705]]),"")</f>
        <v/>
      </c>
      <c r="H3952" s="7" t="str">
        <f>IF(Table1[[#This Row],[Is Data Valid]]=TRUE,((Table1[[#This Row],[Birthweight (grams)]]*0.9/Table1[[#This Row],[BW_GA]])-1)/(Backend!$B$4/100*Table1[[#This Row],[BW40_3705]]),"")</f>
        <v/>
      </c>
      <c r="I3952" s="7" t="str">
        <f>IF(Table1[[#This Row],[Is Data Valid]]=TRUE,((Table1[[#This Row],[Birthweight (grams)]]*1.1/Table1[[#This Row],[BW_GA]])-1)/(Backend!$B$4/100*Table1[[#This Row],[BW40_3705]]),"")</f>
        <v/>
      </c>
      <c r="J3952" s="7" t="str">
        <f>IF(Table1[[#This Row],[Is Data Valid]]=TRUE,_xlfn.NORM.S.DIST(Table1[[#This Row],[Birthweight Z-Score]],TRUE)*100,"")</f>
        <v/>
      </c>
      <c r="K3952" s="7" t="str">
        <f>IF(Table1[[#This Row],[Is Data Valid]]=TRUE,_xlfn.NORM.S.DIST(Table1[[#This Row],[Birthweight Z-Score (BW-10%)]],TRUE)*100,"")</f>
        <v/>
      </c>
      <c r="L3952" s="7" t="str">
        <f>IF(Table1[[#This Row],[Is Data Valid]]=TRUE,_xlfn.NORM.S.DIST(Table1[[#This Row],[Birthweight Z-Score (BW+10%)]],TRUE)*100,"")</f>
        <v/>
      </c>
    </row>
    <row r="3953" spans="1:12" x14ac:dyDescent="0.35">
      <c r="A3953" s="3"/>
      <c r="B3953" s="2"/>
      <c r="C3953" s="2"/>
      <c r="D3953" s="2" t="b">
        <f>IF(AND(NOT(ISBLANK(Table1[[#This Row],[Fetal Sex (Male, Female or Unknown)]])),ISNUMBER(Table1[[#This Row],[Birthweight (grams)]]),ISNUMBER(Table1[[#This Row],[Gestation (days)]])),TRUE,FALSE)</f>
        <v>0</v>
      </c>
      <c r="E3953" s="2" t="str">
        <f>IF(Table1[[#This Row],[Is Data Valid]]=TRUE,IF(Table1[[#This Row],[Fetal Sex (Male, Female or Unknown)]]="Male",Backend!$C$6,IF(Table1[[#This Row],[Fetal Sex (Male, Female or Unknown)]]="Female",Backend!$C$7,IF(Table1[[#This Row],[Fetal Sex (Male, Female or Unknown)]]="Unknown",Backend!$C$8,"Error"))),"")</f>
        <v/>
      </c>
      <c r="F3953" s="8" t="str">
        <f>IF(Table1[[#This Row],[Is Data Valid]]=TRUE,EXP(0.578+0.332*((Table1[[#This Row],[Gestation (days)]]+0.5)/7)-0.00354*((Table1[[#This Row],[Gestation (days)]]+0.5)/7)^2)*Table1[[#This Row],[BW40_3705]],"")</f>
        <v/>
      </c>
      <c r="G3953" s="2" t="str">
        <f>IF(Table1[[#This Row],[Is Data Valid]]=TRUE,((Table1[[#This Row],[Birthweight (grams)]]/Table1[[#This Row],[BW_GA]])-1)/(Backend!$B$4/100*Table1[[#This Row],[BW40_3705]]),"")</f>
        <v/>
      </c>
      <c r="H3953" s="7" t="str">
        <f>IF(Table1[[#This Row],[Is Data Valid]]=TRUE,((Table1[[#This Row],[Birthweight (grams)]]*0.9/Table1[[#This Row],[BW_GA]])-1)/(Backend!$B$4/100*Table1[[#This Row],[BW40_3705]]),"")</f>
        <v/>
      </c>
      <c r="I3953" s="7" t="str">
        <f>IF(Table1[[#This Row],[Is Data Valid]]=TRUE,((Table1[[#This Row],[Birthweight (grams)]]*1.1/Table1[[#This Row],[BW_GA]])-1)/(Backend!$B$4/100*Table1[[#This Row],[BW40_3705]]),"")</f>
        <v/>
      </c>
      <c r="J3953" s="7" t="str">
        <f>IF(Table1[[#This Row],[Is Data Valid]]=TRUE,_xlfn.NORM.S.DIST(Table1[[#This Row],[Birthweight Z-Score]],TRUE)*100,"")</f>
        <v/>
      </c>
      <c r="K3953" s="7" t="str">
        <f>IF(Table1[[#This Row],[Is Data Valid]]=TRUE,_xlfn.NORM.S.DIST(Table1[[#This Row],[Birthweight Z-Score (BW-10%)]],TRUE)*100,"")</f>
        <v/>
      </c>
      <c r="L3953" s="7" t="str">
        <f>IF(Table1[[#This Row],[Is Data Valid]]=TRUE,_xlfn.NORM.S.DIST(Table1[[#This Row],[Birthweight Z-Score (BW+10%)]],TRUE)*100,"")</f>
        <v/>
      </c>
    </row>
    <row r="3954" spans="1:12" x14ac:dyDescent="0.35">
      <c r="A3954" s="3"/>
      <c r="B3954" s="2"/>
      <c r="C3954" s="2"/>
      <c r="D3954" s="2" t="b">
        <f>IF(AND(NOT(ISBLANK(Table1[[#This Row],[Fetal Sex (Male, Female or Unknown)]])),ISNUMBER(Table1[[#This Row],[Birthweight (grams)]]),ISNUMBER(Table1[[#This Row],[Gestation (days)]])),TRUE,FALSE)</f>
        <v>0</v>
      </c>
      <c r="E3954" s="2" t="str">
        <f>IF(Table1[[#This Row],[Is Data Valid]]=TRUE,IF(Table1[[#This Row],[Fetal Sex (Male, Female or Unknown)]]="Male",Backend!$C$6,IF(Table1[[#This Row],[Fetal Sex (Male, Female or Unknown)]]="Female",Backend!$C$7,IF(Table1[[#This Row],[Fetal Sex (Male, Female or Unknown)]]="Unknown",Backend!$C$8,"Error"))),"")</f>
        <v/>
      </c>
      <c r="F3954" s="8" t="str">
        <f>IF(Table1[[#This Row],[Is Data Valid]]=TRUE,EXP(0.578+0.332*((Table1[[#This Row],[Gestation (days)]]+0.5)/7)-0.00354*((Table1[[#This Row],[Gestation (days)]]+0.5)/7)^2)*Table1[[#This Row],[BW40_3705]],"")</f>
        <v/>
      </c>
      <c r="G3954" s="2" t="str">
        <f>IF(Table1[[#This Row],[Is Data Valid]]=TRUE,((Table1[[#This Row],[Birthweight (grams)]]/Table1[[#This Row],[BW_GA]])-1)/(Backend!$B$4/100*Table1[[#This Row],[BW40_3705]]),"")</f>
        <v/>
      </c>
      <c r="H3954" s="7" t="str">
        <f>IF(Table1[[#This Row],[Is Data Valid]]=TRUE,((Table1[[#This Row],[Birthweight (grams)]]*0.9/Table1[[#This Row],[BW_GA]])-1)/(Backend!$B$4/100*Table1[[#This Row],[BW40_3705]]),"")</f>
        <v/>
      </c>
      <c r="I3954" s="7" t="str">
        <f>IF(Table1[[#This Row],[Is Data Valid]]=TRUE,((Table1[[#This Row],[Birthweight (grams)]]*1.1/Table1[[#This Row],[BW_GA]])-1)/(Backend!$B$4/100*Table1[[#This Row],[BW40_3705]]),"")</f>
        <v/>
      </c>
      <c r="J3954" s="7" t="str">
        <f>IF(Table1[[#This Row],[Is Data Valid]]=TRUE,_xlfn.NORM.S.DIST(Table1[[#This Row],[Birthweight Z-Score]],TRUE)*100,"")</f>
        <v/>
      </c>
      <c r="K3954" s="7" t="str">
        <f>IF(Table1[[#This Row],[Is Data Valid]]=TRUE,_xlfn.NORM.S.DIST(Table1[[#This Row],[Birthweight Z-Score (BW-10%)]],TRUE)*100,"")</f>
        <v/>
      </c>
      <c r="L3954" s="7" t="str">
        <f>IF(Table1[[#This Row],[Is Data Valid]]=TRUE,_xlfn.NORM.S.DIST(Table1[[#This Row],[Birthweight Z-Score (BW+10%)]],TRUE)*100,"")</f>
        <v/>
      </c>
    </row>
    <row r="3955" spans="1:12" x14ac:dyDescent="0.35">
      <c r="A3955" s="3"/>
      <c r="B3955" s="2"/>
      <c r="C3955" s="2"/>
      <c r="D3955" s="2" t="b">
        <f>IF(AND(NOT(ISBLANK(Table1[[#This Row],[Fetal Sex (Male, Female or Unknown)]])),ISNUMBER(Table1[[#This Row],[Birthweight (grams)]]),ISNUMBER(Table1[[#This Row],[Gestation (days)]])),TRUE,FALSE)</f>
        <v>0</v>
      </c>
      <c r="E3955" s="2" t="str">
        <f>IF(Table1[[#This Row],[Is Data Valid]]=TRUE,IF(Table1[[#This Row],[Fetal Sex (Male, Female or Unknown)]]="Male",Backend!$C$6,IF(Table1[[#This Row],[Fetal Sex (Male, Female or Unknown)]]="Female",Backend!$C$7,IF(Table1[[#This Row],[Fetal Sex (Male, Female or Unknown)]]="Unknown",Backend!$C$8,"Error"))),"")</f>
        <v/>
      </c>
      <c r="F3955" s="8" t="str">
        <f>IF(Table1[[#This Row],[Is Data Valid]]=TRUE,EXP(0.578+0.332*((Table1[[#This Row],[Gestation (days)]]+0.5)/7)-0.00354*((Table1[[#This Row],[Gestation (days)]]+0.5)/7)^2)*Table1[[#This Row],[BW40_3705]],"")</f>
        <v/>
      </c>
      <c r="G3955" s="2" t="str">
        <f>IF(Table1[[#This Row],[Is Data Valid]]=TRUE,((Table1[[#This Row],[Birthweight (grams)]]/Table1[[#This Row],[BW_GA]])-1)/(Backend!$B$4/100*Table1[[#This Row],[BW40_3705]]),"")</f>
        <v/>
      </c>
      <c r="H3955" s="7" t="str">
        <f>IF(Table1[[#This Row],[Is Data Valid]]=TRUE,((Table1[[#This Row],[Birthweight (grams)]]*0.9/Table1[[#This Row],[BW_GA]])-1)/(Backend!$B$4/100*Table1[[#This Row],[BW40_3705]]),"")</f>
        <v/>
      </c>
      <c r="I3955" s="7" t="str">
        <f>IF(Table1[[#This Row],[Is Data Valid]]=TRUE,((Table1[[#This Row],[Birthweight (grams)]]*1.1/Table1[[#This Row],[BW_GA]])-1)/(Backend!$B$4/100*Table1[[#This Row],[BW40_3705]]),"")</f>
        <v/>
      </c>
      <c r="J3955" s="7" t="str">
        <f>IF(Table1[[#This Row],[Is Data Valid]]=TRUE,_xlfn.NORM.S.DIST(Table1[[#This Row],[Birthweight Z-Score]],TRUE)*100,"")</f>
        <v/>
      </c>
      <c r="K3955" s="7" t="str">
        <f>IF(Table1[[#This Row],[Is Data Valid]]=TRUE,_xlfn.NORM.S.DIST(Table1[[#This Row],[Birthweight Z-Score (BW-10%)]],TRUE)*100,"")</f>
        <v/>
      </c>
      <c r="L3955" s="7" t="str">
        <f>IF(Table1[[#This Row],[Is Data Valid]]=TRUE,_xlfn.NORM.S.DIST(Table1[[#This Row],[Birthweight Z-Score (BW+10%)]],TRUE)*100,"")</f>
        <v/>
      </c>
    </row>
    <row r="3956" spans="1:12" x14ac:dyDescent="0.35">
      <c r="A3956" s="3"/>
      <c r="B3956" s="2"/>
      <c r="C3956" s="2"/>
      <c r="D3956" s="2" t="b">
        <f>IF(AND(NOT(ISBLANK(Table1[[#This Row],[Fetal Sex (Male, Female or Unknown)]])),ISNUMBER(Table1[[#This Row],[Birthweight (grams)]]),ISNUMBER(Table1[[#This Row],[Gestation (days)]])),TRUE,FALSE)</f>
        <v>0</v>
      </c>
      <c r="E3956" s="2" t="str">
        <f>IF(Table1[[#This Row],[Is Data Valid]]=TRUE,IF(Table1[[#This Row],[Fetal Sex (Male, Female or Unknown)]]="Male",Backend!$C$6,IF(Table1[[#This Row],[Fetal Sex (Male, Female or Unknown)]]="Female",Backend!$C$7,IF(Table1[[#This Row],[Fetal Sex (Male, Female or Unknown)]]="Unknown",Backend!$C$8,"Error"))),"")</f>
        <v/>
      </c>
      <c r="F3956" s="8" t="str">
        <f>IF(Table1[[#This Row],[Is Data Valid]]=TRUE,EXP(0.578+0.332*((Table1[[#This Row],[Gestation (days)]]+0.5)/7)-0.00354*((Table1[[#This Row],[Gestation (days)]]+0.5)/7)^2)*Table1[[#This Row],[BW40_3705]],"")</f>
        <v/>
      </c>
      <c r="G3956" s="2" t="str">
        <f>IF(Table1[[#This Row],[Is Data Valid]]=TRUE,((Table1[[#This Row],[Birthweight (grams)]]/Table1[[#This Row],[BW_GA]])-1)/(Backend!$B$4/100*Table1[[#This Row],[BW40_3705]]),"")</f>
        <v/>
      </c>
      <c r="H3956" s="7" t="str">
        <f>IF(Table1[[#This Row],[Is Data Valid]]=TRUE,((Table1[[#This Row],[Birthweight (grams)]]*0.9/Table1[[#This Row],[BW_GA]])-1)/(Backend!$B$4/100*Table1[[#This Row],[BW40_3705]]),"")</f>
        <v/>
      </c>
      <c r="I3956" s="7" t="str">
        <f>IF(Table1[[#This Row],[Is Data Valid]]=TRUE,((Table1[[#This Row],[Birthweight (grams)]]*1.1/Table1[[#This Row],[BW_GA]])-1)/(Backend!$B$4/100*Table1[[#This Row],[BW40_3705]]),"")</f>
        <v/>
      </c>
      <c r="J3956" s="7" t="str">
        <f>IF(Table1[[#This Row],[Is Data Valid]]=TRUE,_xlfn.NORM.S.DIST(Table1[[#This Row],[Birthweight Z-Score]],TRUE)*100,"")</f>
        <v/>
      </c>
      <c r="K3956" s="7" t="str">
        <f>IF(Table1[[#This Row],[Is Data Valid]]=TRUE,_xlfn.NORM.S.DIST(Table1[[#This Row],[Birthweight Z-Score (BW-10%)]],TRUE)*100,"")</f>
        <v/>
      </c>
      <c r="L3956" s="7" t="str">
        <f>IF(Table1[[#This Row],[Is Data Valid]]=TRUE,_xlfn.NORM.S.DIST(Table1[[#This Row],[Birthweight Z-Score (BW+10%)]],TRUE)*100,"")</f>
        <v/>
      </c>
    </row>
    <row r="3957" spans="1:12" x14ac:dyDescent="0.35">
      <c r="A3957" s="3"/>
      <c r="B3957" s="2"/>
      <c r="C3957" s="2"/>
      <c r="D3957" s="2" t="b">
        <f>IF(AND(NOT(ISBLANK(Table1[[#This Row],[Fetal Sex (Male, Female or Unknown)]])),ISNUMBER(Table1[[#This Row],[Birthweight (grams)]]),ISNUMBER(Table1[[#This Row],[Gestation (days)]])),TRUE,FALSE)</f>
        <v>0</v>
      </c>
      <c r="E3957" s="2" t="str">
        <f>IF(Table1[[#This Row],[Is Data Valid]]=TRUE,IF(Table1[[#This Row],[Fetal Sex (Male, Female or Unknown)]]="Male",Backend!$C$6,IF(Table1[[#This Row],[Fetal Sex (Male, Female or Unknown)]]="Female",Backend!$C$7,IF(Table1[[#This Row],[Fetal Sex (Male, Female or Unknown)]]="Unknown",Backend!$C$8,"Error"))),"")</f>
        <v/>
      </c>
      <c r="F3957" s="8" t="str">
        <f>IF(Table1[[#This Row],[Is Data Valid]]=TRUE,EXP(0.578+0.332*((Table1[[#This Row],[Gestation (days)]]+0.5)/7)-0.00354*((Table1[[#This Row],[Gestation (days)]]+0.5)/7)^2)*Table1[[#This Row],[BW40_3705]],"")</f>
        <v/>
      </c>
      <c r="G3957" s="2" t="str">
        <f>IF(Table1[[#This Row],[Is Data Valid]]=TRUE,((Table1[[#This Row],[Birthweight (grams)]]/Table1[[#This Row],[BW_GA]])-1)/(Backend!$B$4/100*Table1[[#This Row],[BW40_3705]]),"")</f>
        <v/>
      </c>
      <c r="H3957" s="7" t="str">
        <f>IF(Table1[[#This Row],[Is Data Valid]]=TRUE,((Table1[[#This Row],[Birthweight (grams)]]*0.9/Table1[[#This Row],[BW_GA]])-1)/(Backend!$B$4/100*Table1[[#This Row],[BW40_3705]]),"")</f>
        <v/>
      </c>
      <c r="I3957" s="7" t="str">
        <f>IF(Table1[[#This Row],[Is Data Valid]]=TRUE,((Table1[[#This Row],[Birthweight (grams)]]*1.1/Table1[[#This Row],[BW_GA]])-1)/(Backend!$B$4/100*Table1[[#This Row],[BW40_3705]]),"")</f>
        <v/>
      </c>
      <c r="J3957" s="7" t="str">
        <f>IF(Table1[[#This Row],[Is Data Valid]]=TRUE,_xlfn.NORM.S.DIST(Table1[[#This Row],[Birthweight Z-Score]],TRUE)*100,"")</f>
        <v/>
      </c>
      <c r="K3957" s="7" t="str">
        <f>IF(Table1[[#This Row],[Is Data Valid]]=TRUE,_xlfn.NORM.S.DIST(Table1[[#This Row],[Birthweight Z-Score (BW-10%)]],TRUE)*100,"")</f>
        <v/>
      </c>
      <c r="L3957" s="7" t="str">
        <f>IF(Table1[[#This Row],[Is Data Valid]]=TRUE,_xlfn.NORM.S.DIST(Table1[[#This Row],[Birthweight Z-Score (BW+10%)]],TRUE)*100,"")</f>
        <v/>
      </c>
    </row>
    <row r="3958" spans="1:12" x14ac:dyDescent="0.35">
      <c r="A3958" s="3"/>
      <c r="B3958" s="2"/>
      <c r="C3958" s="2"/>
      <c r="D3958" s="2" t="b">
        <f>IF(AND(NOT(ISBLANK(Table1[[#This Row],[Fetal Sex (Male, Female or Unknown)]])),ISNUMBER(Table1[[#This Row],[Birthweight (grams)]]),ISNUMBER(Table1[[#This Row],[Gestation (days)]])),TRUE,FALSE)</f>
        <v>0</v>
      </c>
      <c r="E3958" s="2" t="str">
        <f>IF(Table1[[#This Row],[Is Data Valid]]=TRUE,IF(Table1[[#This Row],[Fetal Sex (Male, Female or Unknown)]]="Male",Backend!$C$6,IF(Table1[[#This Row],[Fetal Sex (Male, Female or Unknown)]]="Female",Backend!$C$7,IF(Table1[[#This Row],[Fetal Sex (Male, Female or Unknown)]]="Unknown",Backend!$C$8,"Error"))),"")</f>
        <v/>
      </c>
      <c r="F3958" s="8" t="str">
        <f>IF(Table1[[#This Row],[Is Data Valid]]=TRUE,EXP(0.578+0.332*((Table1[[#This Row],[Gestation (days)]]+0.5)/7)-0.00354*((Table1[[#This Row],[Gestation (days)]]+0.5)/7)^2)*Table1[[#This Row],[BW40_3705]],"")</f>
        <v/>
      </c>
      <c r="G3958" s="2" t="str">
        <f>IF(Table1[[#This Row],[Is Data Valid]]=TRUE,((Table1[[#This Row],[Birthweight (grams)]]/Table1[[#This Row],[BW_GA]])-1)/(Backend!$B$4/100*Table1[[#This Row],[BW40_3705]]),"")</f>
        <v/>
      </c>
      <c r="H3958" s="7" t="str">
        <f>IF(Table1[[#This Row],[Is Data Valid]]=TRUE,((Table1[[#This Row],[Birthweight (grams)]]*0.9/Table1[[#This Row],[BW_GA]])-1)/(Backend!$B$4/100*Table1[[#This Row],[BW40_3705]]),"")</f>
        <v/>
      </c>
      <c r="I3958" s="7" t="str">
        <f>IF(Table1[[#This Row],[Is Data Valid]]=TRUE,((Table1[[#This Row],[Birthweight (grams)]]*1.1/Table1[[#This Row],[BW_GA]])-1)/(Backend!$B$4/100*Table1[[#This Row],[BW40_3705]]),"")</f>
        <v/>
      </c>
      <c r="J3958" s="7" t="str">
        <f>IF(Table1[[#This Row],[Is Data Valid]]=TRUE,_xlfn.NORM.S.DIST(Table1[[#This Row],[Birthweight Z-Score]],TRUE)*100,"")</f>
        <v/>
      </c>
      <c r="K3958" s="7" t="str">
        <f>IF(Table1[[#This Row],[Is Data Valid]]=TRUE,_xlfn.NORM.S.DIST(Table1[[#This Row],[Birthweight Z-Score (BW-10%)]],TRUE)*100,"")</f>
        <v/>
      </c>
      <c r="L3958" s="7" t="str">
        <f>IF(Table1[[#This Row],[Is Data Valid]]=TRUE,_xlfn.NORM.S.DIST(Table1[[#This Row],[Birthweight Z-Score (BW+10%)]],TRUE)*100,"")</f>
        <v/>
      </c>
    </row>
    <row r="3959" spans="1:12" x14ac:dyDescent="0.35">
      <c r="A3959" s="3"/>
      <c r="B3959" s="2"/>
      <c r="C3959" s="2"/>
      <c r="D3959" s="2" t="b">
        <f>IF(AND(NOT(ISBLANK(Table1[[#This Row],[Fetal Sex (Male, Female or Unknown)]])),ISNUMBER(Table1[[#This Row],[Birthweight (grams)]]),ISNUMBER(Table1[[#This Row],[Gestation (days)]])),TRUE,FALSE)</f>
        <v>0</v>
      </c>
      <c r="E3959" s="2" t="str">
        <f>IF(Table1[[#This Row],[Is Data Valid]]=TRUE,IF(Table1[[#This Row],[Fetal Sex (Male, Female or Unknown)]]="Male",Backend!$C$6,IF(Table1[[#This Row],[Fetal Sex (Male, Female or Unknown)]]="Female",Backend!$C$7,IF(Table1[[#This Row],[Fetal Sex (Male, Female or Unknown)]]="Unknown",Backend!$C$8,"Error"))),"")</f>
        <v/>
      </c>
      <c r="F3959" s="8" t="str">
        <f>IF(Table1[[#This Row],[Is Data Valid]]=TRUE,EXP(0.578+0.332*((Table1[[#This Row],[Gestation (days)]]+0.5)/7)-0.00354*((Table1[[#This Row],[Gestation (days)]]+0.5)/7)^2)*Table1[[#This Row],[BW40_3705]],"")</f>
        <v/>
      </c>
      <c r="G3959" s="2" t="str">
        <f>IF(Table1[[#This Row],[Is Data Valid]]=TRUE,((Table1[[#This Row],[Birthweight (grams)]]/Table1[[#This Row],[BW_GA]])-1)/(Backend!$B$4/100*Table1[[#This Row],[BW40_3705]]),"")</f>
        <v/>
      </c>
      <c r="H3959" s="7" t="str">
        <f>IF(Table1[[#This Row],[Is Data Valid]]=TRUE,((Table1[[#This Row],[Birthweight (grams)]]*0.9/Table1[[#This Row],[BW_GA]])-1)/(Backend!$B$4/100*Table1[[#This Row],[BW40_3705]]),"")</f>
        <v/>
      </c>
      <c r="I3959" s="7" t="str">
        <f>IF(Table1[[#This Row],[Is Data Valid]]=TRUE,((Table1[[#This Row],[Birthweight (grams)]]*1.1/Table1[[#This Row],[BW_GA]])-1)/(Backend!$B$4/100*Table1[[#This Row],[BW40_3705]]),"")</f>
        <v/>
      </c>
      <c r="J3959" s="7" t="str">
        <f>IF(Table1[[#This Row],[Is Data Valid]]=TRUE,_xlfn.NORM.S.DIST(Table1[[#This Row],[Birthweight Z-Score]],TRUE)*100,"")</f>
        <v/>
      </c>
      <c r="K3959" s="7" t="str">
        <f>IF(Table1[[#This Row],[Is Data Valid]]=TRUE,_xlfn.NORM.S.DIST(Table1[[#This Row],[Birthweight Z-Score (BW-10%)]],TRUE)*100,"")</f>
        <v/>
      </c>
      <c r="L3959" s="7" t="str">
        <f>IF(Table1[[#This Row],[Is Data Valid]]=TRUE,_xlfn.NORM.S.DIST(Table1[[#This Row],[Birthweight Z-Score (BW+10%)]],TRUE)*100,"")</f>
        <v/>
      </c>
    </row>
    <row r="3960" spans="1:12" x14ac:dyDescent="0.35">
      <c r="A3960" s="3"/>
      <c r="B3960" s="2"/>
      <c r="C3960" s="2"/>
      <c r="D3960" s="2" t="b">
        <f>IF(AND(NOT(ISBLANK(Table1[[#This Row],[Fetal Sex (Male, Female or Unknown)]])),ISNUMBER(Table1[[#This Row],[Birthweight (grams)]]),ISNUMBER(Table1[[#This Row],[Gestation (days)]])),TRUE,FALSE)</f>
        <v>0</v>
      </c>
      <c r="E3960" s="2" t="str">
        <f>IF(Table1[[#This Row],[Is Data Valid]]=TRUE,IF(Table1[[#This Row],[Fetal Sex (Male, Female or Unknown)]]="Male",Backend!$C$6,IF(Table1[[#This Row],[Fetal Sex (Male, Female or Unknown)]]="Female",Backend!$C$7,IF(Table1[[#This Row],[Fetal Sex (Male, Female or Unknown)]]="Unknown",Backend!$C$8,"Error"))),"")</f>
        <v/>
      </c>
      <c r="F3960" s="8" t="str">
        <f>IF(Table1[[#This Row],[Is Data Valid]]=TRUE,EXP(0.578+0.332*((Table1[[#This Row],[Gestation (days)]]+0.5)/7)-0.00354*((Table1[[#This Row],[Gestation (days)]]+0.5)/7)^2)*Table1[[#This Row],[BW40_3705]],"")</f>
        <v/>
      </c>
      <c r="G3960" s="2" t="str">
        <f>IF(Table1[[#This Row],[Is Data Valid]]=TRUE,((Table1[[#This Row],[Birthweight (grams)]]/Table1[[#This Row],[BW_GA]])-1)/(Backend!$B$4/100*Table1[[#This Row],[BW40_3705]]),"")</f>
        <v/>
      </c>
      <c r="H3960" s="7" t="str">
        <f>IF(Table1[[#This Row],[Is Data Valid]]=TRUE,((Table1[[#This Row],[Birthweight (grams)]]*0.9/Table1[[#This Row],[BW_GA]])-1)/(Backend!$B$4/100*Table1[[#This Row],[BW40_3705]]),"")</f>
        <v/>
      </c>
      <c r="I3960" s="7" t="str">
        <f>IF(Table1[[#This Row],[Is Data Valid]]=TRUE,((Table1[[#This Row],[Birthweight (grams)]]*1.1/Table1[[#This Row],[BW_GA]])-1)/(Backend!$B$4/100*Table1[[#This Row],[BW40_3705]]),"")</f>
        <v/>
      </c>
      <c r="J3960" s="7" t="str">
        <f>IF(Table1[[#This Row],[Is Data Valid]]=TRUE,_xlfn.NORM.S.DIST(Table1[[#This Row],[Birthweight Z-Score]],TRUE)*100,"")</f>
        <v/>
      </c>
      <c r="K3960" s="7" t="str">
        <f>IF(Table1[[#This Row],[Is Data Valid]]=TRUE,_xlfn.NORM.S.DIST(Table1[[#This Row],[Birthweight Z-Score (BW-10%)]],TRUE)*100,"")</f>
        <v/>
      </c>
      <c r="L3960" s="7" t="str">
        <f>IF(Table1[[#This Row],[Is Data Valid]]=TRUE,_xlfn.NORM.S.DIST(Table1[[#This Row],[Birthweight Z-Score (BW+10%)]],TRUE)*100,"")</f>
        <v/>
      </c>
    </row>
    <row r="3961" spans="1:12" x14ac:dyDescent="0.35">
      <c r="A3961" s="3"/>
      <c r="B3961" s="2"/>
      <c r="C3961" s="2"/>
      <c r="D3961" s="2" t="b">
        <f>IF(AND(NOT(ISBLANK(Table1[[#This Row],[Fetal Sex (Male, Female or Unknown)]])),ISNUMBER(Table1[[#This Row],[Birthweight (grams)]]),ISNUMBER(Table1[[#This Row],[Gestation (days)]])),TRUE,FALSE)</f>
        <v>0</v>
      </c>
      <c r="E3961" s="2" t="str">
        <f>IF(Table1[[#This Row],[Is Data Valid]]=TRUE,IF(Table1[[#This Row],[Fetal Sex (Male, Female or Unknown)]]="Male",Backend!$C$6,IF(Table1[[#This Row],[Fetal Sex (Male, Female or Unknown)]]="Female",Backend!$C$7,IF(Table1[[#This Row],[Fetal Sex (Male, Female or Unknown)]]="Unknown",Backend!$C$8,"Error"))),"")</f>
        <v/>
      </c>
      <c r="F3961" s="8" t="str">
        <f>IF(Table1[[#This Row],[Is Data Valid]]=TRUE,EXP(0.578+0.332*((Table1[[#This Row],[Gestation (days)]]+0.5)/7)-0.00354*((Table1[[#This Row],[Gestation (days)]]+0.5)/7)^2)*Table1[[#This Row],[BW40_3705]],"")</f>
        <v/>
      </c>
      <c r="G3961" s="2" t="str">
        <f>IF(Table1[[#This Row],[Is Data Valid]]=TRUE,((Table1[[#This Row],[Birthweight (grams)]]/Table1[[#This Row],[BW_GA]])-1)/(Backend!$B$4/100*Table1[[#This Row],[BW40_3705]]),"")</f>
        <v/>
      </c>
      <c r="H3961" s="7" t="str">
        <f>IF(Table1[[#This Row],[Is Data Valid]]=TRUE,((Table1[[#This Row],[Birthweight (grams)]]*0.9/Table1[[#This Row],[BW_GA]])-1)/(Backend!$B$4/100*Table1[[#This Row],[BW40_3705]]),"")</f>
        <v/>
      </c>
      <c r="I3961" s="7" t="str">
        <f>IF(Table1[[#This Row],[Is Data Valid]]=TRUE,((Table1[[#This Row],[Birthweight (grams)]]*1.1/Table1[[#This Row],[BW_GA]])-1)/(Backend!$B$4/100*Table1[[#This Row],[BW40_3705]]),"")</f>
        <v/>
      </c>
      <c r="J3961" s="7" t="str">
        <f>IF(Table1[[#This Row],[Is Data Valid]]=TRUE,_xlfn.NORM.S.DIST(Table1[[#This Row],[Birthweight Z-Score]],TRUE)*100,"")</f>
        <v/>
      </c>
      <c r="K3961" s="7" t="str">
        <f>IF(Table1[[#This Row],[Is Data Valid]]=TRUE,_xlfn.NORM.S.DIST(Table1[[#This Row],[Birthweight Z-Score (BW-10%)]],TRUE)*100,"")</f>
        <v/>
      </c>
      <c r="L3961" s="7" t="str">
        <f>IF(Table1[[#This Row],[Is Data Valid]]=TRUE,_xlfn.NORM.S.DIST(Table1[[#This Row],[Birthweight Z-Score (BW+10%)]],TRUE)*100,"")</f>
        <v/>
      </c>
    </row>
    <row r="3962" spans="1:12" x14ac:dyDescent="0.35">
      <c r="A3962" s="3"/>
      <c r="B3962" s="2"/>
      <c r="C3962" s="2"/>
      <c r="D3962" s="2" t="b">
        <f>IF(AND(NOT(ISBLANK(Table1[[#This Row],[Fetal Sex (Male, Female or Unknown)]])),ISNUMBER(Table1[[#This Row],[Birthweight (grams)]]),ISNUMBER(Table1[[#This Row],[Gestation (days)]])),TRUE,FALSE)</f>
        <v>0</v>
      </c>
      <c r="E3962" s="2" t="str">
        <f>IF(Table1[[#This Row],[Is Data Valid]]=TRUE,IF(Table1[[#This Row],[Fetal Sex (Male, Female or Unknown)]]="Male",Backend!$C$6,IF(Table1[[#This Row],[Fetal Sex (Male, Female or Unknown)]]="Female",Backend!$C$7,IF(Table1[[#This Row],[Fetal Sex (Male, Female or Unknown)]]="Unknown",Backend!$C$8,"Error"))),"")</f>
        <v/>
      </c>
      <c r="F3962" s="8" t="str">
        <f>IF(Table1[[#This Row],[Is Data Valid]]=TRUE,EXP(0.578+0.332*((Table1[[#This Row],[Gestation (days)]]+0.5)/7)-0.00354*((Table1[[#This Row],[Gestation (days)]]+0.5)/7)^2)*Table1[[#This Row],[BW40_3705]],"")</f>
        <v/>
      </c>
      <c r="G3962" s="2" t="str">
        <f>IF(Table1[[#This Row],[Is Data Valid]]=TRUE,((Table1[[#This Row],[Birthweight (grams)]]/Table1[[#This Row],[BW_GA]])-1)/(Backend!$B$4/100*Table1[[#This Row],[BW40_3705]]),"")</f>
        <v/>
      </c>
      <c r="H3962" s="7" t="str">
        <f>IF(Table1[[#This Row],[Is Data Valid]]=TRUE,((Table1[[#This Row],[Birthweight (grams)]]*0.9/Table1[[#This Row],[BW_GA]])-1)/(Backend!$B$4/100*Table1[[#This Row],[BW40_3705]]),"")</f>
        <v/>
      </c>
      <c r="I3962" s="7" t="str">
        <f>IF(Table1[[#This Row],[Is Data Valid]]=TRUE,((Table1[[#This Row],[Birthweight (grams)]]*1.1/Table1[[#This Row],[BW_GA]])-1)/(Backend!$B$4/100*Table1[[#This Row],[BW40_3705]]),"")</f>
        <v/>
      </c>
      <c r="J3962" s="7" t="str">
        <f>IF(Table1[[#This Row],[Is Data Valid]]=TRUE,_xlfn.NORM.S.DIST(Table1[[#This Row],[Birthweight Z-Score]],TRUE)*100,"")</f>
        <v/>
      </c>
      <c r="K3962" s="7" t="str">
        <f>IF(Table1[[#This Row],[Is Data Valid]]=TRUE,_xlfn.NORM.S.DIST(Table1[[#This Row],[Birthweight Z-Score (BW-10%)]],TRUE)*100,"")</f>
        <v/>
      </c>
      <c r="L3962" s="7" t="str">
        <f>IF(Table1[[#This Row],[Is Data Valid]]=TRUE,_xlfn.NORM.S.DIST(Table1[[#This Row],[Birthweight Z-Score (BW+10%)]],TRUE)*100,"")</f>
        <v/>
      </c>
    </row>
    <row r="3963" spans="1:12" x14ac:dyDescent="0.35">
      <c r="A3963" s="3"/>
      <c r="B3963" s="2"/>
      <c r="C3963" s="2"/>
      <c r="D3963" s="2" t="b">
        <f>IF(AND(NOT(ISBLANK(Table1[[#This Row],[Fetal Sex (Male, Female or Unknown)]])),ISNUMBER(Table1[[#This Row],[Birthweight (grams)]]),ISNUMBER(Table1[[#This Row],[Gestation (days)]])),TRUE,FALSE)</f>
        <v>0</v>
      </c>
      <c r="E3963" s="2" t="str">
        <f>IF(Table1[[#This Row],[Is Data Valid]]=TRUE,IF(Table1[[#This Row],[Fetal Sex (Male, Female or Unknown)]]="Male",Backend!$C$6,IF(Table1[[#This Row],[Fetal Sex (Male, Female or Unknown)]]="Female",Backend!$C$7,IF(Table1[[#This Row],[Fetal Sex (Male, Female or Unknown)]]="Unknown",Backend!$C$8,"Error"))),"")</f>
        <v/>
      </c>
      <c r="F3963" s="8" t="str">
        <f>IF(Table1[[#This Row],[Is Data Valid]]=TRUE,EXP(0.578+0.332*((Table1[[#This Row],[Gestation (days)]]+0.5)/7)-0.00354*((Table1[[#This Row],[Gestation (days)]]+0.5)/7)^2)*Table1[[#This Row],[BW40_3705]],"")</f>
        <v/>
      </c>
      <c r="G3963" s="2" t="str">
        <f>IF(Table1[[#This Row],[Is Data Valid]]=TRUE,((Table1[[#This Row],[Birthweight (grams)]]/Table1[[#This Row],[BW_GA]])-1)/(Backend!$B$4/100*Table1[[#This Row],[BW40_3705]]),"")</f>
        <v/>
      </c>
      <c r="H3963" s="7" t="str">
        <f>IF(Table1[[#This Row],[Is Data Valid]]=TRUE,((Table1[[#This Row],[Birthweight (grams)]]*0.9/Table1[[#This Row],[BW_GA]])-1)/(Backend!$B$4/100*Table1[[#This Row],[BW40_3705]]),"")</f>
        <v/>
      </c>
      <c r="I3963" s="7" t="str">
        <f>IF(Table1[[#This Row],[Is Data Valid]]=TRUE,((Table1[[#This Row],[Birthweight (grams)]]*1.1/Table1[[#This Row],[BW_GA]])-1)/(Backend!$B$4/100*Table1[[#This Row],[BW40_3705]]),"")</f>
        <v/>
      </c>
      <c r="J3963" s="7" t="str">
        <f>IF(Table1[[#This Row],[Is Data Valid]]=TRUE,_xlfn.NORM.S.DIST(Table1[[#This Row],[Birthweight Z-Score]],TRUE)*100,"")</f>
        <v/>
      </c>
      <c r="K3963" s="7" t="str">
        <f>IF(Table1[[#This Row],[Is Data Valid]]=TRUE,_xlfn.NORM.S.DIST(Table1[[#This Row],[Birthweight Z-Score (BW-10%)]],TRUE)*100,"")</f>
        <v/>
      </c>
      <c r="L3963" s="7" t="str">
        <f>IF(Table1[[#This Row],[Is Data Valid]]=TRUE,_xlfn.NORM.S.DIST(Table1[[#This Row],[Birthweight Z-Score (BW+10%)]],TRUE)*100,"")</f>
        <v/>
      </c>
    </row>
    <row r="3964" spans="1:12" x14ac:dyDescent="0.35">
      <c r="A3964" s="3"/>
      <c r="B3964" s="2"/>
      <c r="C3964" s="2"/>
      <c r="D3964" s="2" t="b">
        <f>IF(AND(NOT(ISBLANK(Table1[[#This Row],[Fetal Sex (Male, Female or Unknown)]])),ISNUMBER(Table1[[#This Row],[Birthweight (grams)]]),ISNUMBER(Table1[[#This Row],[Gestation (days)]])),TRUE,FALSE)</f>
        <v>0</v>
      </c>
      <c r="E3964" s="2" t="str">
        <f>IF(Table1[[#This Row],[Is Data Valid]]=TRUE,IF(Table1[[#This Row],[Fetal Sex (Male, Female or Unknown)]]="Male",Backend!$C$6,IF(Table1[[#This Row],[Fetal Sex (Male, Female or Unknown)]]="Female",Backend!$C$7,IF(Table1[[#This Row],[Fetal Sex (Male, Female or Unknown)]]="Unknown",Backend!$C$8,"Error"))),"")</f>
        <v/>
      </c>
      <c r="F3964" s="8" t="str">
        <f>IF(Table1[[#This Row],[Is Data Valid]]=TRUE,EXP(0.578+0.332*((Table1[[#This Row],[Gestation (days)]]+0.5)/7)-0.00354*((Table1[[#This Row],[Gestation (days)]]+0.5)/7)^2)*Table1[[#This Row],[BW40_3705]],"")</f>
        <v/>
      </c>
      <c r="G3964" s="2" t="str">
        <f>IF(Table1[[#This Row],[Is Data Valid]]=TRUE,((Table1[[#This Row],[Birthweight (grams)]]/Table1[[#This Row],[BW_GA]])-1)/(Backend!$B$4/100*Table1[[#This Row],[BW40_3705]]),"")</f>
        <v/>
      </c>
      <c r="H3964" s="7" t="str">
        <f>IF(Table1[[#This Row],[Is Data Valid]]=TRUE,((Table1[[#This Row],[Birthweight (grams)]]*0.9/Table1[[#This Row],[BW_GA]])-1)/(Backend!$B$4/100*Table1[[#This Row],[BW40_3705]]),"")</f>
        <v/>
      </c>
      <c r="I3964" s="7" t="str">
        <f>IF(Table1[[#This Row],[Is Data Valid]]=TRUE,((Table1[[#This Row],[Birthweight (grams)]]*1.1/Table1[[#This Row],[BW_GA]])-1)/(Backend!$B$4/100*Table1[[#This Row],[BW40_3705]]),"")</f>
        <v/>
      </c>
      <c r="J3964" s="7" t="str">
        <f>IF(Table1[[#This Row],[Is Data Valid]]=TRUE,_xlfn.NORM.S.DIST(Table1[[#This Row],[Birthweight Z-Score]],TRUE)*100,"")</f>
        <v/>
      </c>
      <c r="K3964" s="7" t="str">
        <f>IF(Table1[[#This Row],[Is Data Valid]]=TRUE,_xlfn.NORM.S.DIST(Table1[[#This Row],[Birthweight Z-Score (BW-10%)]],TRUE)*100,"")</f>
        <v/>
      </c>
      <c r="L3964" s="7" t="str">
        <f>IF(Table1[[#This Row],[Is Data Valid]]=TRUE,_xlfn.NORM.S.DIST(Table1[[#This Row],[Birthweight Z-Score (BW+10%)]],TRUE)*100,"")</f>
        <v/>
      </c>
    </row>
    <row r="3965" spans="1:12" x14ac:dyDescent="0.35">
      <c r="A3965" s="3"/>
      <c r="B3965" s="2"/>
      <c r="C3965" s="2"/>
      <c r="D3965" s="2" t="b">
        <f>IF(AND(NOT(ISBLANK(Table1[[#This Row],[Fetal Sex (Male, Female or Unknown)]])),ISNUMBER(Table1[[#This Row],[Birthweight (grams)]]),ISNUMBER(Table1[[#This Row],[Gestation (days)]])),TRUE,FALSE)</f>
        <v>0</v>
      </c>
      <c r="E3965" s="2" t="str">
        <f>IF(Table1[[#This Row],[Is Data Valid]]=TRUE,IF(Table1[[#This Row],[Fetal Sex (Male, Female or Unknown)]]="Male",Backend!$C$6,IF(Table1[[#This Row],[Fetal Sex (Male, Female or Unknown)]]="Female",Backend!$C$7,IF(Table1[[#This Row],[Fetal Sex (Male, Female or Unknown)]]="Unknown",Backend!$C$8,"Error"))),"")</f>
        <v/>
      </c>
      <c r="F3965" s="8" t="str">
        <f>IF(Table1[[#This Row],[Is Data Valid]]=TRUE,EXP(0.578+0.332*((Table1[[#This Row],[Gestation (days)]]+0.5)/7)-0.00354*((Table1[[#This Row],[Gestation (days)]]+0.5)/7)^2)*Table1[[#This Row],[BW40_3705]],"")</f>
        <v/>
      </c>
      <c r="G3965" s="2" t="str">
        <f>IF(Table1[[#This Row],[Is Data Valid]]=TRUE,((Table1[[#This Row],[Birthweight (grams)]]/Table1[[#This Row],[BW_GA]])-1)/(Backend!$B$4/100*Table1[[#This Row],[BW40_3705]]),"")</f>
        <v/>
      </c>
      <c r="H3965" s="7" t="str">
        <f>IF(Table1[[#This Row],[Is Data Valid]]=TRUE,((Table1[[#This Row],[Birthweight (grams)]]*0.9/Table1[[#This Row],[BW_GA]])-1)/(Backend!$B$4/100*Table1[[#This Row],[BW40_3705]]),"")</f>
        <v/>
      </c>
      <c r="I3965" s="7" t="str">
        <f>IF(Table1[[#This Row],[Is Data Valid]]=TRUE,((Table1[[#This Row],[Birthweight (grams)]]*1.1/Table1[[#This Row],[BW_GA]])-1)/(Backend!$B$4/100*Table1[[#This Row],[BW40_3705]]),"")</f>
        <v/>
      </c>
      <c r="J3965" s="7" t="str">
        <f>IF(Table1[[#This Row],[Is Data Valid]]=TRUE,_xlfn.NORM.S.DIST(Table1[[#This Row],[Birthweight Z-Score]],TRUE)*100,"")</f>
        <v/>
      </c>
      <c r="K3965" s="7" t="str">
        <f>IF(Table1[[#This Row],[Is Data Valid]]=TRUE,_xlfn.NORM.S.DIST(Table1[[#This Row],[Birthweight Z-Score (BW-10%)]],TRUE)*100,"")</f>
        <v/>
      </c>
      <c r="L3965" s="7" t="str">
        <f>IF(Table1[[#This Row],[Is Data Valid]]=TRUE,_xlfn.NORM.S.DIST(Table1[[#This Row],[Birthweight Z-Score (BW+10%)]],TRUE)*100,"")</f>
        <v/>
      </c>
    </row>
    <row r="3966" spans="1:12" x14ac:dyDescent="0.35">
      <c r="A3966" s="3"/>
      <c r="B3966" s="2"/>
      <c r="C3966" s="2"/>
      <c r="D3966" s="2" t="b">
        <f>IF(AND(NOT(ISBLANK(Table1[[#This Row],[Fetal Sex (Male, Female or Unknown)]])),ISNUMBER(Table1[[#This Row],[Birthweight (grams)]]),ISNUMBER(Table1[[#This Row],[Gestation (days)]])),TRUE,FALSE)</f>
        <v>0</v>
      </c>
      <c r="E3966" s="2" t="str">
        <f>IF(Table1[[#This Row],[Is Data Valid]]=TRUE,IF(Table1[[#This Row],[Fetal Sex (Male, Female or Unknown)]]="Male",Backend!$C$6,IF(Table1[[#This Row],[Fetal Sex (Male, Female or Unknown)]]="Female",Backend!$C$7,IF(Table1[[#This Row],[Fetal Sex (Male, Female or Unknown)]]="Unknown",Backend!$C$8,"Error"))),"")</f>
        <v/>
      </c>
      <c r="F3966" s="8" t="str">
        <f>IF(Table1[[#This Row],[Is Data Valid]]=TRUE,EXP(0.578+0.332*((Table1[[#This Row],[Gestation (days)]]+0.5)/7)-0.00354*((Table1[[#This Row],[Gestation (days)]]+0.5)/7)^2)*Table1[[#This Row],[BW40_3705]],"")</f>
        <v/>
      </c>
      <c r="G3966" s="2" t="str">
        <f>IF(Table1[[#This Row],[Is Data Valid]]=TRUE,((Table1[[#This Row],[Birthweight (grams)]]/Table1[[#This Row],[BW_GA]])-1)/(Backend!$B$4/100*Table1[[#This Row],[BW40_3705]]),"")</f>
        <v/>
      </c>
      <c r="H3966" s="7" t="str">
        <f>IF(Table1[[#This Row],[Is Data Valid]]=TRUE,((Table1[[#This Row],[Birthweight (grams)]]*0.9/Table1[[#This Row],[BW_GA]])-1)/(Backend!$B$4/100*Table1[[#This Row],[BW40_3705]]),"")</f>
        <v/>
      </c>
      <c r="I3966" s="7" t="str">
        <f>IF(Table1[[#This Row],[Is Data Valid]]=TRUE,((Table1[[#This Row],[Birthweight (grams)]]*1.1/Table1[[#This Row],[BW_GA]])-1)/(Backend!$B$4/100*Table1[[#This Row],[BW40_3705]]),"")</f>
        <v/>
      </c>
      <c r="J3966" s="7" t="str">
        <f>IF(Table1[[#This Row],[Is Data Valid]]=TRUE,_xlfn.NORM.S.DIST(Table1[[#This Row],[Birthweight Z-Score]],TRUE)*100,"")</f>
        <v/>
      </c>
      <c r="K3966" s="7" t="str">
        <f>IF(Table1[[#This Row],[Is Data Valid]]=TRUE,_xlfn.NORM.S.DIST(Table1[[#This Row],[Birthweight Z-Score (BW-10%)]],TRUE)*100,"")</f>
        <v/>
      </c>
      <c r="L3966" s="7" t="str">
        <f>IF(Table1[[#This Row],[Is Data Valid]]=TRUE,_xlfn.NORM.S.DIST(Table1[[#This Row],[Birthweight Z-Score (BW+10%)]],TRUE)*100,"")</f>
        <v/>
      </c>
    </row>
    <row r="3967" spans="1:12" x14ac:dyDescent="0.35">
      <c r="A3967" s="3"/>
      <c r="B3967" s="2"/>
      <c r="C3967" s="2"/>
      <c r="D3967" s="2" t="b">
        <f>IF(AND(NOT(ISBLANK(Table1[[#This Row],[Fetal Sex (Male, Female or Unknown)]])),ISNUMBER(Table1[[#This Row],[Birthweight (grams)]]),ISNUMBER(Table1[[#This Row],[Gestation (days)]])),TRUE,FALSE)</f>
        <v>0</v>
      </c>
      <c r="E3967" s="2" t="str">
        <f>IF(Table1[[#This Row],[Is Data Valid]]=TRUE,IF(Table1[[#This Row],[Fetal Sex (Male, Female or Unknown)]]="Male",Backend!$C$6,IF(Table1[[#This Row],[Fetal Sex (Male, Female or Unknown)]]="Female",Backend!$C$7,IF(Table1[[#This Row],[Fetal Sex (Male, Female or Unknown)]]="Unknown",Backend!$C$8,"Error"))),"")</f>
        <v/>
      </c>
      <c r="F3967" s="8" t="str">
        <f>IF(Table1[[#This Row],[Is Data Valid]]=TRUE,EXP(0.578+0.332*((Table1[[#This Row],[Gestation (days)]]+0.5)/7)-0.00354*((Table1[[#This Row],[Gestation (days)]]+0.5)/7)^2)*Table1[[#This Row],[BW40_3705]],"")</f>
        <v/>
      </c>
      <c r="G3967" s="2" t="str">
        <f>IF(Table1[[#This Row],[Is Data Valid]]=TRUE,((Table1[[#This Row],[Birthweight (grams)]]/Table1[[#This Row],[BW_GA]])-1)/(Backend!$B$4/100*Table1[[#This Row],[BW40_3705]]),"")</f>
        <v/>
      </c>
      <c r="H3967" s="7" t="str">
        <f>IF(Table1[[#This Row],[Is Data Valid]]=TRUE,((Table1[[#This Row],[Birthweight (grams)]]*0.9/Table1[[#This Row],[BW_GA]])-1)/(Backend!$B$4/100*Table1[[#This Row],[BW40_3705]]),"")</f>
        <v/>
      </c>
      <c r="I3967" s="7" t="str">
        <f>IF(Table1[[#This Row],[Is Data Valid]]=TRUE,((Table1[[#This Row],[Birthweight (grams)]]*1.1/Table1[[#This Row],[BW_GA]])-1)/(Backend!$B$4/100*Table1[[#This Row],[BW40_3705]]),"")</f>
        <v/>
      </c>
      <c r="J3967" s="7" t="str">
        <f>IF(Table1[[#This Row],[Is Data Valid]]=TRUE,_xlfn.NORM.S.DIST(Table1[[#This Row],[Birthweight Z-Score]],TRUE)*100,"")</f>
        <v/>
      </c>
      <c r="K3967" s="7" t="str">
        <f>IF(Table1[[#This Row],[Is Data Valid]]=TRUE,_xlfn.NORM.S.DIST(Table1[[#This Row],[Birthweight Z-Score (BW-10%)]],TRUE)*100,"")</f>
        <v/>
      </c>
      <c r="L3967" s="7" t="str">
        <f>IF(Table1[[#This Row],[Is Data Valid]]=TRUE,_xlfn.NORM.S.DIST(Table1[[#This Row],[Birthweight Z-Score (BW+10%)]],TRUE)*100,"")</f>
        <v/>
      </c>
    </row>
    <row r="3968" spans="1:12" x14ac:dyDescent="0.35">
      <c r="A3968" s="3"/>
      <c r="B3968" s="2"/>
      <c r="C3968" s="2"/>
      <c r="D3968" s="2" t="b">
        <f>IF(AND(NOT(ISBLANK(Table1[[#This Row],[Fetal Sex (Male, Female or Unknown)]])),ISNUMBER(Table1[[#This Row],[Birthweight (grams)]]),ISNUMBER(Table1[[#This Row],[Gestation (days)]])),TRUE,FALSE)</f>
        <v>0</v>
      </c>
      <c r="E3968" s="2" t="str">
        <f>IF(Table1[[#This Row],[Is Data Valid]]=TRUE,IF(Table1[[#This Row],[Fetal Sex (Male, Female or Unknown)]]="Male",Backend!$C$6,IF(Table1[[#This Row],[Fetal Sex (Male, Female or Unknown)]]="Female",Backend!$C$7,IF(Table1[[#This Row],[Fetal Sex (Male, Female or Unknown)]]="Unknown",Backend!$C$8,"Error"))),"")</f>
        <v/>
      </c>
      <c r="F3968" s="8" t="str">
        <f>IF(Table1[[#This Row],[Is Data Valid]]=TRUE,EXP(0.578+0.332*((Table1[[#This Row],[Gestation (days)]]+0.5)/7)-0.00354*((Table1[[#This Row],[Gestation (days)]]+0.5)/7)^2)*Table1[[#This Row],[BW40_3705]],"")</f>
        <v/>
      </c>
      <c r="G3968" s="2" t="str">
        <f>IF(Table1[[#This Row],[Is Data Valid]]=TRUE,((Table1[[#This Row],[Birthweight (grams)]]/Table1[[#This Row],[BW_GA]])-1)/(Backend!$B$4/100*Table1[[#This Row],[BW40_3705]]),"")</f>
        <v/>
      </c>
      <c r="H3968" s="7" t="str">
        <f>IF(Table1[[#This Row],[Is Data Valid]]=TRUE,((Table1[[#This Row],[Birthweight (grams)]]*0.9/Table1[[#This Row],[BW_GA]])-1)/(Backend!$B$4/100*Table1[[#This Row],[BW40_3705]]),"")</f>
        <v/>
      </c>
      <c r="I3968" s="7" t="str">
        <f>IF(Table1[[#This Row],[Is Data Valid]]=TRUE,((Table1[[#This Row],[Birthweight (grams)]]*1.1/Table1[[#This Row],[BW_GA]])-1)/(Backend!$B$4/100*Table1[[#This Row],[BW40_3705]]),"")</f>
        <v/>
      </c>
      <c r="J3968" s="7" t="str">
        <f>IF(Table1[[#This Row],[Is Data Valid]]=TRUE,_xlfn.NORM.S.DIST(Table1[[#This Row],[Birthweight Z-Score]],TRUE)*100,"")</f>
        <v/>
      </c>
      <c r="K3968" s="7" t="str">
        <f>IF(Table1[[#This Row],[Is Data Valid]]=TRUE,_xlfn.NORM.S.DIST(Table1[[#This Row],[Birthweight Z-Score (BW-10%)]],TRUE)*100,"")</f>
        <v/>
      </c>
      <c r="L3968" s="7" t="str">
        <f>IF(Table1[[#This Row],[Is Data Valid]]=TRUE,_xlfn.NORM.S.DIST(Table1[[#This Row],[Birthweight Z-Score (BW+10%)]],TRUE)*100,"")</f>
        <v/>
      </c>
    </row>
    <row r="3969" spans="1:12" x14ac:dyDescent="0.35">
      <c r="A3969" s="3"/>
      <c r="B3969" s="2"/>
      <c r="C3969" s="2"/>
      <c r="D3969" s="2" t="b">
        <f>IF(AND(NOT(ISBLANK(Table1[[#This Row],[Fetal Sex (Male, Female or Unknown)]])),ISNUMBER(Table1[[#This Row],[Birthweight (grams)]]),ISNUMBER(Table1[[#This Row],[Gestation (days)]])),TRUE,FALSE)</f>
        <v>0</v>
      </c>
      <c r="E3969" s="2" t="str">
        <f>IF(Table1[[#This Row],[Is Data Valid]]=TRUE,IF(Table1[[#This Row],[Fetal Sex (Male, Female or Unknown)]]="Male",Backend!$C$6,IF(Table1[[#This Row],[Fetal Sex (Male, Female or Unknown)]]="Female",Backend!$C$7,IF(Table1[[#This Row],[Fetal Sex (Male, Female or Unknown)]]="Unknown",Backend!$C$8,"Error"))),"")</f>
        <v/>
      </c>
      <c r="F3969" s="8" t="str">
        <f>IF(Table1[[#This Row],[Is Data Valid]]=TRUE,EXP(0.578+0.332*((Table1[[#This Row],[Gestation (days)]]+0.5)/7)-0.00354*((Table1[[#This Row],[Gestation (days)]]+0.5)/7)^2)*Table1[[#This Row],[BW40_3705]],"")</f>
        <v/>
      </c>
      <c r="G3969" s="2" t="str">
        <f>IF(Table1[[#This Row],[Is Data Valid]]=TRUE,((Table1[[#This Row],[Birthweight (grams)]]/Table1[[#This Row],[BW_GA]])-1)/(Backend!$B$4/100*Table1[[#This Row],[BW40_3705]]),"")</f>
        <v/>
      </c>
      <c r="H3969" s="7" t="str">
        <f>IF(Table1[[#This Row],[Is Data Valid]]=TRUE,((Table1[[#This Row],[Birthweight (grams)]]*0.9/Table1[[#This Row],[BW_GA]])-1)/(Backend!$B$4/100*Table1[[#This Row],[BW40_3705]]),"")</f>
        <v/>
      </c>
      <c r="I3969" s="7" t="str">
        <f>IF(Table1[[#This Row],[Is Data Valid]]=TRUE,((Table1[[#This Row],[Birthweight (grams)]]*1.1/Table1[[#This Row],[BW_GA]])-1)/(Backend!$B$4/100*Table1[[#This Row],[BW40_3705]]),"")</f>
        <v/>
      </c>
      <c r="J3969" s="7" t="str">
        <f>IF(Table1[[#This Row],[Is Data Valid]]=TRUE,_xlfn.NORM.S.DIST(Table1[[#This Row],[Birthweight Z-Score]],TRUE)*100,"")</f>
        <v/>
      </c>
      <c r="K3969" s="7" t="str">
        <f>IF(Table1[[#This Row],[Is Data Valid]]=TRUE,_xlfn.NORM.S.DIST(Table1[[#This Row],[Birthweight Z-Score (BW-10%)]],TRUE)*100,"")</f>
        <v/>
      </c>
      <c r="L3969" s="7" t="str">
        <f>IF(Table1[[#This Row],[Is Data Valid]]=TRUE,_xlfn.NORM.S.DIST(Table1[[#This Row],[Birthweight Z-Score (BW+10%)]],TRUE)*100,"")</f>
        <v/>
      </c>
    </row>
    <row r="3970" spans="1:12" x14ac:dyDescent="0.35">
      <c r="A3970" s="3"/>
      <c r="B3970" s="2"/>
      <c r="C3970" s="2"/>
      <c r="D3970" s="2" t="b">
        <f>IF(AND(NOT(ISBLANK(Table1[[#This Row],[Fetal Sex (Male, Female or Unknown)]])),ISNUMBER(Table1[[#This Row],[Birthweight (grams)]]),ISNUMBER(Table1[[#This Row],[Gestation (days)]])),TRUE,FALSE)</f>
        <v>0</v>
      </c>
      <c r="E3970" s="2" t="str">
        <f>IF(Table1[[#This Row],[Is Data Valid]]=TRUE,IF(Table1[[#This Row],[Fetal Sex (Male, Female or Unknown)]]="Male",Backend!$C$6,IF(Table1[[#This Row],[Fetal Sex (Male, Female or Unknown)]]="Female",Backend!$C$7,IF(Table1[[#This Row],[Fetal Sex (Male, Female or Unknown)]]="Unknown",Backend!$C$8,"Error"))),"")</f>
        <v/>
      </c>
      <c r="F3970" s="8" t="str">
        <f>IF(Table1[[#This Row],[Is Data Valid]]=TRUE,EXP(0.578+0.332*((Table1[[#This Row],[Gestation (days)]]+0.5)/7)-0.00354*((Table1[[#This Row],[Gestation (days)]]+0.5)/7)^2)*Table1[[#This Row],[BW40_3705]],"")</f>
        <v/>
      </c>
      <c r="G3970" s="2" t="str">
        <f>IF(Table1[[#This Row],[Is Data Valid]]=TRUE,((Table1[[#This Row],[Birthweight (grams)]]/Table1[[#This Row],[BW_GA]])-1)/(Backend!$B$4/100*Table1[[#This Row],[BW40_3705]]),"")</f>
        <v/>
      </c>
      <c r="H3970" s="7" t="str">
        <f>IF(Table1[[#This Row],[Is Data Valid]]=TRUE,((Table1[[#This Row],[Birthweight (grams)]]*0.9/Table1[[#This Row],[BW_GA]])-1)/(Backend!$B$4/100*Table1[[#This Row],[BW40_3705]]),"")</f>
        <v/>
      </c>
      <c r="I3970" s="7" t="str">
        <f>IF(Table1[[#This Row],[Is Data Valid]]=TRUE,((Table1[[#This Row],[Birthweight (grams)]]*1.1/Table1[[#This Row],[BW_GA]])-1)/(Backend!$B$4/100*Table1[[#This Row],[BW40_3705]]),"")</f>
        <v/>
      </c>
      <c r="J3970" s="7" t="str">
        <f>IF(Table1[[#This Row],[Is Data Valid]]=TRUE,_xlfn.NORM.S.DIST(Table1[[#This Row],[Birthweight Z-Score]],TRUE)*100,"")</f>
        <v/>
      </c>
      <c r="K3970" s="7" t="str">
        <f>IF(Table1[[#This Row],[Is Data Valid]]=TRUE,_xlfn.NORM.S.DIST(Table1[[#This Row],[Birthweight Z-Score (BW-10%)]],TRUE)*100,"")</f>
        <v/>
      </c>
      <c r="L3970" s="7" t="str">
        <f>IF(Table1[[#This Row],[Is Data Valid]]=TRUE,_xlfn.NORM.S.DIST(Table1[[#This Row],[Birthweight Z-Score (BW+10%)]],TRUE)*100,"")</f>
        <v/>
      </c>
    </row>
    <row r="3971" spans="1:12" x14ac:dyDescent="0.35">
      <c r="A3971" s="3"/>
      <c r="B3971" s="2"/>
      <c r="C3971" s="2"/>
      <c r="D3971" s="2" t="b">
        <f>IF(AND(NOT(ISBLANK(Table1[[#This Row],[Fetal Sex (Male, Female or Unknown)]])),ISNUMBER(Table1[[#This Row],[Birthweight (grams)]]),ISNUMBER(Table1[[#This Row],[Gestation (days)]])),TRUE,FALSE)</f>
        <v>0</v>
      </c>
      <c r="E3971" s="2" t="str">
        <f>IF(Table1[[#This Row],[Is Data Valid]]=TRUE,IF(Table1[[#This Row],[Fetal Sex (Male, Female or Unknown)]]="Male",Backend!$C$6,IF(Table1[[#This Row],[Fetal Sex (Male, Female or Unknown)]]="Female",Backend!$C$7,IF(Table1[[#This Row],[Fetal Sex (Male, Female or Unknown)]]="Unknown",Backend!$C$8,"Error"))),"")</f>
        <v/>
      </c>
      <c r="F3971" s="8" t="str">
        <f>IF(Table1[[#This Row],[Is Data Valid]]=TRUE,EXP(0.578+0.332*((Table1[[#This Row],[Gestation (days)]]+0.5)/7)-0.00354*((Table1[[#This Row],[Gestation (days)]]+0.5)/7)^2)*Table1[[#This Row],[BW40_3705]],"")</f>
        <v/>
      </c>
      <c r="G3971" s="2" t="str">
        <f>IF(Table1[[#This Row],[Is Data Valid]]=TRUE,((Table1[[#This Row],[Birthweight (grams)]]/Table1[[#This Row],[BW_GA]])-1)/(Backend!$B$4/100*Table1[[#This Row],[BW40_3705]]),"")</f>
        <v/>
      </c>
      <c r="H3971" s="7" t="str">
        <f>IF(Table1[[#This Row],[Is Data Valid]]=TRUE,((Table1[[#This Row],[Birthweight (grams)]]*0.9/Table1[[#This Row],[BW_GA]])-1)/(Backend!$B$4/100*Table1[[#This Row],[BW40_3705]]),"")</f>
        <v/>
      </c>
      <c r="I3971" s="7" t="str">
        <f>IF(Table1[[#This Row],[Is Data Valid]]=TRUE,((Table1[[#This Row],[Birthweight (grams)]]*1.1/Table1[[#This Row],[BW_GA]])-1)/(Backend!$B$4/100*Table1[[#This Row],[BW40_3705]]),"")</f>
        <v/>
      </c>
      <c r="J3971" s="7" t="str">
        <f>IF(Table1[[#This Row],[Is Data Valid]]=TRUE,_xlfn.NORM.S.DIST(Table1[[#This Row],[Birthweight Z-Score]],TRUE)*100,"")</f>
        <v/>
      </c>
      <c r="K3971" s="7" t="str">
        <f>IF(Table1[[#This Row],[Is Data Valid]]=TRUE,_xlfn.NORM.S.DIST(Table1[[#This Row],[Birthweight Z-Score (BW-10%)]],TRUE)*100,"")</f>
        <v/>
      </c>
      <c r="L3971" s="7" t="str">
        <f>IF(Table1[[#This Row],[Is Data Valid]]=TRUE,_xlfn.NORM.S.DIST(Table1[[#This Row],[Birthweight Z-Score (BW+10%)]],TRUE)*100,"")</f>
        <v/>
      </c>
    </row>
    <row r="3972" spans="1:12" x14ac:dyDescent="0.35">
      <c r="A3972" s="3"/>
      <c r="B3972" s="2"/>
      <c r="C3972" s="2"/>
      <c r="D3972" s="2" t="b">
        <f>IF(AND(NOT(ISBLANK(Table1[[#This Row],[Fetal Sex (Male, Female or Unknown)]])),ISNUMBER(Table1[[#This Row],[Birthweight (grams)]]),ISNUMBER(Table1[[#This Row],[Gestation (days)]])),TRUE,FALSE)</f>
        <v>0</v>
      </c>
      <c r="E3972" s="2" t="str">
        <f>IF(Table1[[#This Row],[Is Data Valid]]=TRUE,IF(Table1[[#This Row],[Fetal Sex (Male, Female or Unknown)]]="Male",Backend!$C$6,IF(Table1[[#This Row],[Fetal Sex (Male, Female or Unknown)]]="Female",Backend!$C$7,IF(Table1[[#This Row],[Fetal Sex (Male, Female or Unknown)]]="Unknown",Backend!$C$8,"Error"))),"")</f>
        <v/>
      </c>
      <c r="F3972" s="8" t="str">
        <f>IF(Table1[[#This Row],[Is Data Valid]]=TRUE,EXP(0.578+0.332*((Table1[[#This Row],[Gestation (days)]]+0.5)/7)-0.00354*((Table1[[#This Row],[Gestation (days)]]+0.5)/7)^2)*Table1[[#This Row],[BW40_3705]],"")</f>
        <v/>
      </c>
      <c r="G3972" s="2" t="str">
        <f>IF(Table1[[#This Row],[Is Data Valid]]=TRUE,((Table1[[#This Row],[Birthweight (grams)]]/Table1[[#This Row],[BW_GA]])-1)/(Backend!$B$4/100*Table1[[#This Row],[BW40_3705]]),"")</f>
        <v/>
      </c>
      <c r="H3972" s="7" t="str">
        <f>IF(Table1[[#This Row],[Is Data Valid]]=TRUE,((Table1[[#This Row],[Birthweight (grams)]]*0.9/Table1[[#This Row],[BW_GA]])-1)/(Backend!$B$4/100*Table1[[#This Row],[BW40_3705]]),"")</f>
        <v/>
      </c>
      <c r="I3972" s="7" t="str">
        <f>IF(Table1[[#This Row],[Is Data Valid]]=TRUE,((Table1[[#This Row],[Birthweight (grams)]]*1.1/Table1[[#This Row],[BW_GA]])-1)/(Backend!$B$4/100*Table1[[#This Row],[BW40_3705]]),"")</f>
        <v/>
      </c>
      <c r="J3972" s="7" t="str">
        <f>IF(Table1[[#This Row],[Is Data Valid]]=TRUE,_xlfn.NORM.S.DIST(Table1[[#This Row],[Birthweight Z-Score]],TRUE)*100,"")</f>
        <v/>
      </c>
      <c r="K3972" s="7" t="str">
        <f>IF(Table1[[#This Row],[Is Data Valid]]=TRUE,_xlfn.NORM.S.DIST(Table1[[#This Row],[Birthweight Z-Score (BW-10%)]],TRUE)*100,"")</f>
        <v/>
      </c>
      <c r="L3972" s="7" t="str">
        <f>IF(Table1[[#This Row],[Is Data Valid]]=TRUE,_xlfn.NORM.S.DIST(Table1[[#This Row],[Birthweight Z-Score (BW+10%)]],TRUE)*100,"")</f>
        <v/>
      </c>
    </row>
    <row r="3973" spans="1:12" x14ac:dyDescent="0.35">
      <c r="A3973" s="3"/>
      <c r="B3973" s="2"/>
      <c r="C3973" s="2"/>
      <c r="D3973" s="2" t="b">
        <f>IF(AND(NOT(ISBLANK(Table1[[#This Row],[Fetal Sex (Male, Female or Unknown)]])),ISNUMBER(Table1[[#This Row],[Birthweight (grams)]]),ISNUMBER(Table1[[#This Row],[Gestation (days)]])),TRUE,FALSE)</f>
        <v>0</v>
      </c>
      <c r="E3973" s="2" t="str">
        <f>IF(Table1[[#This Row],[Is Data Valid]]=TRUE,IF(Table1[[#This Row],[Fetal Sex (Male, Female or Unknown)]]="Male",Backend!$C$6,IF(Table1[[#This Row],[Fetal Sex (Male, Female or Unknown)]]="Female",Backend!$C$7,IF(Table1[[#This Row],[Fetal Sex (Male, Female or Unknown)]]="Unknown",Backend!$C$8,"Error"))),"")</f>
        <v/>
      </c>
      <c r="F3973" s="8" t="str">
        <f>IF(Table1[[#This Row],[Is Data Valid]]=TRUE,EXP(0.578+0.332*((Table1[[#This Row],[Gestation (days)]]+0.5)/7)-0.00354*((Table1[[#This Row],[Gestation (days)]]+0.5)/7)^2)*Table1[[#This Row],[BW40_3705]],"")</f>
        <v/>
      </c>
      <c r="G3973" s="2" t="str">
        <f>IF(Table1[[#This Row],[Is Data Valid]]=TRUE,((Table1[[#This Row],[Birthweight (grams)]]/Table1[[#This Row],[BW_GA]])-1)/(Backend!$B$4/100*Table1[[#This Row],[BW40_3705]]),"")</f>
        <v/>
      </c>
      <c r="H3973" s="7" t="str">
        <f>IF(Table1[[#This Row],[Is Data Valid]]=TRUE,((Table1[[#This Row],[Birthweight (grams)]]*0.9/Table1[[#This Row],[BW_GA]])-1)/(Backend!$B$4/100*Table1[[#This Row],[BW40_3705]]),"")</f>
        <v/>
      </c>
      <c r="I3973" s="7" t="str">
        <f>IF(Table1[[#This Row],[Is Data Valid]]=TRUE,((Table1[[#This Row],[Birthweight (grams)]]*1.1/Table1[[#This Row],[BW_GA]])-1)/(Backend!$B$4/100*Table1[[#This Row],[BW40_3705]]),"")</f>
        <v/>
      </c>
      <c r="J3973" s="7" t="str">
        <f>IF(Table1[[#This Row],[Is Data Valid]]=TRUE,_xlfn.NORM.S.DIST(Table1[[#This Row],[Birthweight Z-Score]],TRUE)*100,"")</f>
        <v/>
      </c>
      <c r="K3973" s="7" t="str">
        <f>IF(Table1[[#This Row],[Is Data Valid]]=TRUE,_xlfn.NORM.S.DIST(Table1[[#This Row],[Birthweight Z-Score (BW-10%)]],TRUE)*100,"")</f>
        <v/>
      </c>
      <c r="L3973" s="7" t="str">
        <f>IF(Table1[[#This Row],[Is Data Valid]]=TRUE,_xlfn.NORM.S.DIST(Table1[[#This Row],[Birthweight Z-Score (BW+10%)]],TRUE)*100,"")</f>
        <v/>
      </c>
    </row>
    <row r="3974" spans="1:12" x14ac:dyDescent="0.35">
      <c r="A3974" s="3"/>
      <c r="B3974" s="2"/>
      <c r="C3974" s="2"/>
      <c r="D3974" s="2" t="b">
        <f>IF(AND(NOT(ISBLANK(Table1[[#This Row],[Fetal Sex (Male, Female or Unknown)]])),ISNUMBER(Table1[[#This Row],[Birthweight (grams)]]),ISNUMBER(Table1[[#This Row],[Gestation (days)]])),TRUE,FALSE)</f>
        <v>0</v>
      </c>
      <c r="E3974" s="2" t="str">
        <f>IF(Table1[[#This Row],[Is Data Valid]]=TRUE,IF(Table1[[#This Row],[Fetal Sex (Male, Female or Unknown)]]="Male",Backend!$C$6,IF(Table1[[#This Row],[Fetal Sex (Male, Female or Unknown)]]="Female",Backend!$C$7,IF(Table1[[#This Row],[Fetal Sex (Male, Female or Unknown)]]="Unknown",Backend!$C$8,"Error"))),"")</f>
        <v/>
      </c>
      <c r="F3974" s="8" t="str">
        <f>IF(Table1[[#This Row],[Is Data Valid]]=TRUE,EXP(0.578+0.332*((Table1[[#This Row],[Gestation (days)]]+0.5)/7)-0.00354*((Table1[[#This Row],[Gestation (days)]]+0.5)/7)^2)*Table1[[#This Row],[BW40_3705]],"")</f>
        <v/>
      </c>
      <c r="G3974" s="2" t="str">
        <f>IF(Table1[[#This Row],[Is Data Valid]]=TRUE,((Table1[[#This Row],[Birthweight (grams)]]/Table1[[#This Row],[BW_GA]])-1)/(Backend!$B$4/100*Table1[[#This Row],[BW40_3705]]),"")</f>
        <v/>
      </c>
      <c r="H3974" s="7" t="str">
        <f>IF(Table1[[#This Row],[Is Data Valid]]=TRUE,((Table1[[#This Row],[Birthweight (grams)]]*0.9/Table1[[#This Row],[BW_GA]])-1)/(Backend!$B$4/100*Table1[[#This Row],[BW40_3705]]),"")</f>
        <v/>
      </c>
      <c r="I3974" s="7" t="str">
        <f>IF(Table1[[#This Row],[Is Data Valid]]=TRUE,((Table1[[#This Row],[Birthweight (grams)]]*1.1/Table1[[#This Row],[BW_GA]])-1)/(Backend!$B$4/100*Table1[[#This Row],[BW40_3705]]),"")</f>
        <v/>
      </c>
      <c r="J3974" s="7" t="str">
        <f>IF(Table1[[#This Row],[Is Data Valid]]=TRUE,_xlfn.NORM.S.DIST(Table1[[#This Row],[Birthweight Z-Score]],TRUE)*100,"")</f>
        <v/>
      </c>
      <c r="K3974" s="7" t="str">
        <f>IF(Table1[[#This Row],[Is Data Valid]]=TRUE,_xlfn.NORM.S.DIST(Table1[[#This Row],[Birthweight Z-Score (BW-10%)]],TRUE)*100,"")</f>
        <v/>
      </c>
      <c r="L3974" s="7" t="str">
        <f>IF(Table1[[#This Row],[Is Data Valid]]=TRUE,_xlfn.NORM.S.DIST(Table1[[#This Row],[Birthweight Z-Score (BW+10%)]],TRUE)*100,"")</f>
        <v/>
      </c>
    </row>
    <row r="3975" spans="1:12" x14ac:dyDescent="0.35">
      <c r="A3975" s="3"/>
      <c r="B3975" s="2"/>
      <c r="C3975" s="2"/>
      <c r="D3975" s="2" t="b">
        <f>IF(AND(NOT(ISBLANK(Table1[[#This Row],[Fetal Sex (Male, Female or Unknown)]])),ISNUMBER(Table1[[#This Row],[Birthweight (grams)]]),ISNUMBER(Table1[[#This Row],[Gestation (days)]])),TRUE,FALSE)</f>
        <v>0</v>
      </c>
      <c r="E3975" s="2" t="str">
        <f>IF(Table1[[#This Row],[Is Data Valid]]=TRUE,IF(Table1[[#This Row],[Fetal Sex (Male, Female or Unknown)]]="Male",Backend!$C$6,IF(Table1[[#This Row],[Fetal Sex (Male, Female or Unknown)]]="Female",Backend!$C$7,IF(Table1[[#This Row],[Fetal Sex (Male, Female or Unknown)]]="Unknown",Backend!$C$8,"Error"))),"")</f>
        <v/>
      </c>
      <c r="F3975" s="8" t="str">
        <f>IF(Table1[[#This Row],[Is Data Valid]]=TRUE,EXP(0.578+0.332*((Table1[[#This Row],[Gestation (days)]]+0.5)/7)-0.00354*((Table1[[#This Row],[Gestation (days)]]+0.5)/7)^2)*Table1[[#This Row],[BW40_3705]],"")</f>
        <v/>
      </c>
      <c r="G3975" s="2" t="str">
        <f>IF(Table1[[#This Row],[Is Data Valid]]=TRUE,((Table1[[#This Row],[Birthweight (grams)]]/Table1[[#This Row],[BW_GA]])-1)/(Backend!$B$4/100*Table1[[#This Row],[BW40_3705]]),"")</f>
        <v/>
      </c>
      <c r="H3975" s="7" t="str">
        <f>IF(Table1[[#This Row],[Is Data Valid]]=TRUE,((Table1[[#This Row],[Birthweight (grams)]]*0.9/Table1[[#This Row],[BW_GA]])-1)/(Backend!$B$4/100*Table1[[#This Row],[BW40_3705]]),"")</f>
        <v/>
      </c>
      <c r="I3975" s="7" t="str">
        <f>IF(Table1[[#This Row],[Is Data Valid]]=TRUE,((Table1[[#This Row],[Birthweight (grams)]]*1.1/Table1[[#This Row],[BW_GA]])-1)/(Backend!$B$4/100*Table1[[#This Row],[BW40_3705]]),"")</f>
        <v/>
      </c>
      <c r="J3975" s="7" t="str">
        <f>IF(Table1[[#This Row],[Is Data Valid]]=TRUE,_xlfn.NORM.S.DIST(Table1[[#This Row],[Birthweight Z-Score]],TRUE)*100,"")</f>
        <v/>
      </c>
      <c r="K3975" s="7" t="str">
        <f>IF(Table1[[#This Row],[Is Data Valid]]=TRUE,_xlfn.NORM.S.DIST(Table1[[#This Row],[Birthweight Z-Score (BW-10%)]],TRUE)*100,"")</f>
        <v/>
      </c>
      <c r="L3975" s="7" t="str">
        <f>IF(Table1[[#This Row],[Is Data Valid]]=TRUE,_xlfn.NORM.S.DIST(Table1[[#This Row],[Birthweight Z-Score (BW+10%)]],TRUE)*100,"")</f>
        <v/>
      </c>
    </row>
    <row r="3976" spans="1:12" x14ac:dyDescent="0.35">
      <c r="A3976" s="3"/>
      <c r="B3976" s="2"/>
      <c r="C3976" s="2"/>
      <c r="D3976" s="2" t="b">
        <f>IF(AND(NOT(ISBLANK(Table1[[#This Row],[Fetal Sex (Male, Female or Unknown)]])),ISNUMBER(Table1[[#This Row],[Birthweight (grams)]]),ISNUMBER(Table1[[#This Row],[Gestation (days)]])),TRUE,FALSE)</f>
        <v>0</v>
      </c>
      <c r="E3976" s="2" t="str">
        <f>IF(Table1[[#This Row],[Is Data Valid]]=TRUE,IF(Table1[[#This Row],[Fetal Sex (Male, Female or Unknown)]]="Male",Backend!$C$6,IF(Table1[[#This Row],[Fetal Sex (Male, Female or Unknown)]]="Female",Backend!$C$7,IF(Table1[[#This Row],[Fetal Sex (Male, Female or Unknown)]]="Unknown",Backend!$C$8,"Error"))),"")</f>
        <v/>
      </c>
      <c r="F3976" s="8" t="str">
        <f>IF(Table1[[#This Row],[Is Data Valid]]=TRUE,EXP(0.578+0.332*((Table1[[#This Row],[Gestation (days)]]+0.5)/7)-0.00354*((Table1[[#This Row],[Gestation (days)]]+0.5)/7)^2)*Table1[[#This Row],[BW40_3705]],"")</f>
        <v/>
      </c>
      <c r="G3976" s="2" t="str">
        <f>IF(Table1[[#This Row],[Is Data Valid]]=TRUE,((Table1[[#This Row],[Birthweight (grams)]]/Table1[[#This Row],[BW_GA]])-1)/(Backend!$B$4/100*Table1[[#This Row],[BW40_3705]]),"")</f>
        <v/>
      </c>
      <c r="H3976" s="7" t="str">
        <f>IF(Table1[[#This Row],[Is Data Valid]]=TRUE,((Table1[[#This Row],[Birthweight (grams)]]*0.9/Table1[[#This Row],[BW_GA]])-1)/(Backend!$B$4/100*Table1[[#This Row],[BW40_3705]]),"")</f>
        <v/>
      </c>
      <c r="I3976" s="7" t="str">
        <f>IF(Table1[[#This Row],[Is Data Valid]]=TRUE,((Table1[[#This Row],[Birthweight (grams)]]*1.1/Table1[[#This Row],[BW_GA]])-1)/(Backend!$B$4/100*Table1[[#This Row],[BW40_3705]]),"")</f>
        <v/>
      </c>
      <c r="J3976" s="7" t="str">
        <f>IF(Table1[[#This Row],[Is Data Valid]]=TRUE,_xlfn.NORM.S.DIST(Table1[[#This Row],[Birthweight Z-Score]],TRUE)*100,"")</f>
        <v/>
      </c>
      <c r="K3976" s="7" t="str">
        <f>IF(Table1[[#This Row],[Is Data Valid]]=TRUE,_xlfn.NORM.S.DIST(Table1[[#This Row],[Birthweight Z-Score (BW-10%)]],TRUE)*100,"")</f>
        <v/>
      </c>
      <c r="L3976" s="7" t="str">
        <f>IF(Table1[[#This Row],[Is Data Valid]]=TRUE,_xlfn.NORM.S.DIST(Table1[[#This Row],[Birthweight Z-Score (BW+10%)]],TRUE)*100,"")</f>
        <v/>
      </c>
    </row>
    <row r="3977" spans="1:12" x14ac:dyDescent="0.35">
      <c r="A3977" s="3"/>
      <c r="B3977" s="2"/>
      <c r="C3977" s="2"/>
      <c r="D3977" s="2" t="b">
        <f>IF(AND(NOT(ISBLANK(Table1[[#This Row],[Fetal Sex (Male, Female or Unknown)]])),ISNUMBER(Table1[[#This Row],[Birthweight (grams)]]),ISNUMBER(Table1[[#This Row],[Gestation (days)]])),TRUE,FALSE)</f>
        <v>0</v>
      </c>
      <c r="E3977" s="2" t="str">
        <f>IF(Table1[[#This Row],[Is Data Valid]]=TRUE,IF(Table1[[#This Row],[Fetal Sex (Male, Female or Unknown)]]="Male",Backend!$C$6,IF(Table1[[#This Row],[Fetal Sex (Male, Female or Unknown)]]="Female",Backend!$C$7,IF(Table1[[#This Row],[Fetal Sex (Male, Female or Unknown)]]="Unknown",Backend!$C$8,"Error"))),"")</f>
        <v/>
      </c>
      <c r="F3977" s="8" t="str">
        <f>IF(Table1[[#This Row],[Is Data Valid]]=TRUE,EXP(0.578+0.332*((Table1[[#This Row],[Gestation (days)]]+0.5)/7)-0.00354*((Table1[[#This Row],[Gestation (days)]]+0.5)/7)^2)*Table1[[#This Row],[BW40_3705]],"")</f>
        <v/>
      </c>
      <c r="G3977" s="2" t="str">
        <f>IF(Table1[[#This Row],[Is Data Valid]]=TRUE,((Table1[[#This Row],[Birthweight (grams)]]/Table1[[#This Row],[BW_GA]])-1)/(Backend!$B$4/100*Table1[[#This Row],[BW40_3705]]),"")</f>
        <v/>
      </c>
      <c r="H3977" s="7" t="str">
        <f>IF(Table1[[#This Row],[Is Data Valid]]=TRUE,((Table1[[#This Row],[Birthweight (grams)]]*0.9/Table1[[#This Row],[BW_GA]])-1)/(Backend!$B$4/100*Table1[[#This Row],[BW40_3705]]),"")</f>
        <v/>
      </c>
      <c r="I3977" s="7" t="str">
        <f>IF(Table1[[#This Row],[Is Data Valid]]=TRUE,((Table1[[#This Row],[Birthweight (grams)]]*1.1/Table1[[#This Row],[BW_GA]])-1)/(Backend!$B$4/100*Table1[[#This Row],[BW40_3705]]),"")</f>
        <v/>
      </c>
      <c r="J3977" s="7" t="str">
        <f>IF(Table1[[#This Row],[Is Data Valid]]=TRUE,_xlfn.NORM.S.DIST(Table1[[#This Row],[Birthweight Z-Score]],TRUE)*100,"")</f>
        <v/>
      </c>
      <c r="K3977" s="7" t="str">
        <f>IF(Table1[[#This Row],[Is Data Valid]]=TRUE,_xlfn.NORM.S.DIST(Table1[[#This Row],[Birthweight Z-Score (BW-10%)]],TRUE)*100,"")</f>
        <v/>
      </c>
      <c r="L3977" s="7" t="str">
        <f>IF(Table1[[#This Row],[Is Data Valid]]=TRUE,_xlfn.NORM.S.DIST(Table1[[#This Row],[Birthweight Z-Score (BW+10%)]],TRUE)*100,"")</f>
        <v/>
      </c>
    </row>
    <row r="3978" spans="1:12" x14ac:dyDescent="0.35">
      <c r="A3978" s="3"/>
      <c r="B3978" s="2"/>
      <c r="C3978" s="2"/>
      <c r="D3978" s="2" t="b">
        <f>IF(AND(NOT(ISBLANK(Table1[[#This Row],[Fetal Sex (Male, Female or Unknown)]])),ISNUMBER(Table1[[#This Row],[Birthweight (grams)]]),ISNUMBER(Table1[[#This Row],[Gestation (days)]])),TRUE,FALSE)</f>
        <v>0</v>
      </c>
      <c r="E3978" s="2" t="str">
        <f>IF(Table1[[#This Row],[Is Data Valid]]=TRUE,IF(Table1[[#This Row],[Fetal Sex (Male, Female or Unknown)]]="Male",Backend!$C$6,IF(Table1[[#This Row],[Fetal Sex (Male, Female or Unknown)]]="Female",Backend!$C$7,IF(Table1[[#This Row],[Fetal Sex (Male, Female or Unknown)]]="Unknown",Backend!$C$8,"Error"))),"")</f>
        <v/>
      </c>
      <c r="F3978" s="8" t="str">
        <f>IF(Table1[[#This Row],[Is Data Valid]]=TRUE,EXP(0.578+0.332*((Table1[[#This Row],[Gestation (days)]]+0.5)/7)-0.00354*((Table1[[#This Row],[Gestation (days)]]+0.5)/7)^2)*Table1[[#This Row],[BW40_3705]],"")</f>
        <v/>
      </c>
      <c r="G3978" s="2" t="str">
        <f>IF(Table1[[#This Row],[Is Data Valid]]=TRUE,((Table1[[#This Row],[Birthweight (grams)]]/Table1[[#This Row],[BW_GA]])-1)/(Backend!$B$4/100*Table1[[#This Row],[BW40_3705]]),"")</f>
        <v/>
      </c>
      <c r="H3978" s="7" t="str">
        <f>IF(Table1[[#This Row],[Is Data Valid]]=TRUE,((Table1[[#This Row],[Birthweight (grams)]]*0.9/Table1[[#This Row],[BW_GA]])-1)/(Backend!$B$4/100*Table1[[#This Row],[BW40_3705]]),"")</f>
        <v/>
      </c>
      <c r="I3978" s="7" t="str">
        <f>IF(Table1[[#This Row],[Is Data Valid]]=TRUE,((Table1[[#This Row],[Birthweight (grams)]]*1.1/Table1[[#This Row],[BW_GA]])-1)/(Backend!$B$4/100*Table1[[#This Row],[BW40_3705]]),"")</f>
        <v/>
      </c>
      <c r="J3978" s="7" t="str">
        <f>IF(Table1[[#This Row],[Is Data Valid]]=TRUE,_xlfn.NORM.S.DIST(Table1[[#This Row],[Birthweight Z-Score]],TRUE)*100,"")</f>
        <v/>
      </c>
      <c r="K3978" s="7" t="str">
        <f>IF(Table1[[#This Row],[Is Data Valid]]=TRUE,_xlfn.NORM.S.DIST(Table1[[#This Row],[Birthweight Z-Score (BW-10%)]],TRUE)*100,"")</f>
        <v/>
      </c>
      <c r="L3978" s="7" t="str">
        <f>IF(Table1[[#This Row],[Is Data Valid]]=TRUE,_xlfn.NORM.S.DIST(Table1[[#This Row],[Birthweight Z-Score (BW+10%)]],TRUE)*100,"")</f>
        <v/>
      </c>
    </row>
    <row r="3979" spans="1:12" x14ac:dyDescent="0.35">
      <c r="A3979" s="3"/>
      <c r="B3979" s="2"/>
      <c r="C3979" s="2"/>
      <c r="D3979" s="2" t="b">
        <f>IF(AND(NOT(ISBLANK(Table1[[#This Row],[Fetal Sex (Male, Female or Unknown)]])),ISNUMBER(Table1[[#This Row],[Birthweight (grams)]]),ISNUMBER(Table1[[#This Row],[Gestation (days)]])),TRUE,FALSE)</f>
        <v>0</v>
      </c>
      <c r="E3979" s="2" t="str">
        <f>IF(Table1[[#This Row],[Is Data Valid]]=TRUE,IF(Table1[[#This Row],[Fetal Sex (Male, Female or Unknown)]]="Male",Backend!$C$6,IF(Table1[[#This Row],[Fetal Sex (Male, Female or Unknown)]]="Female",Backend!$C$7,IF(Table1[[#This Row],[Fetal Sex (Male, Female or Unknown)]]="Unknown",Backend!$C$8,"Error"))),"")</f>
        <v/>
      </c>
      <c r="F3979" s="8" t="str">
        <f>IF(Table1[[#This Row],[Is Data Valid]]=TRUE,EXP(0.578+0.332*((Table1[[#This Row],[Gestation (days)]]+0.5)/7)-0.00354*((Table1[[#This Row],[Gestation (days)]]+0.5)/7)^2)*Table1[[#This Row],[BW40_3705]],"")</f>
        <v/>
      </c>
      <c r="G3979" s="2" t="str">
        <f>IF(Table1[[#This Row],[Is Data Valid]]=TRUE,((Table1[[#This Row],[Birthweight (grams)]]/Table1[[#This Row],[BW_GA]])-1)/(Backend!$B$4/100*Table1[[#This Row],[BW40_3705]]),"")</f>
        <v/>
      </c>
      <c r="H3979" s="7" t="str">
        <f>IF(Table1[[#This Row],[Is Data Valid]]=TRUE,((Table1[[#This Row],[Birthweight (grams)]]*0.9/Table1[[#This Row],[BW_GA]])-1)/(Backend!$B$4/100*Table1[[#This Row],[BW40_3705]]),"")</f>
        <v/>
      </c>
      <c r="I3979" s="7" t="str">
        <f>IF(Table1[[#This Row],[Is Data Valid]]=TRUE,((Table1[[#This Row],[Birthweight (grams)]]*1.1/Table1[[#This Row],[BW_GA]])-1)/(Backend!$B$4/100*Table1[[#This Row],[BW40_3705]]),"")</f>
        <v/>
      </c>
      <c r="J3979" s="7" t="str">
        <f>IF(Table1[[#This Row],[Is Data Valid]]=TRUE,_xlfn.NORM.S.DIST(Table1[[#This Row],[Birthweight Z-Score]],TRUE)*100,"")</f>
        <v/>
      </c>
      <c r="K3979" s="7" t="str">
        <f>IF(Table1[[#This Row],[Is Data Valid]]=TRUE,_xlfn.NORM.S.DIST(Table1[[#This Row],[Birthweight Z-Score (BW-10%)]],TRUE)*100,"")</f>
        <v/>
      </c>
      <c r="L3979" s="7" t="str">
        <f>IF(Table1[[#This Row],[Is Data Valid]]=TRUE,_xlfn.NORM.S.DIST(Table1[[#This Row],[Birthweight Z-Score (BW+10%)]],TRUE)*100,"")</f>
        <v/>
      </c>
    </row>
    <row r="3980" spans="1:12" x14ac:dyDescent="0.35">
      <c r="A3980" s="3"/>
      <c r="B3980" s="2"/>
      <c r="C3980" s="2"/>
      <c r="D3980" s="2" t="b">
        <f>IF(AND(NOT(ISBLANK(Table1[[#This Row],[Fetal Sex (Male, Female or Unknown)]])),ISNUMBER(Table1[[#This Row],[Birthweight (grams)]]),ISNUMBER(Table1[[#This Row],[Gestation (days)]])),TRUE,FALSE)</f>
        <v>0</v>
      </c>
      <c r="E3980" s="2" t="str">
        <f>IF(Table1[[#This Row],[Is Data Valid]]=TRUE,IF(Table1[[#This Row],[Fetal Sex (Male, Female or Unknown)]]="Male",Backend!$C$6,IF(Table1[[#This Row],[Fetal Sex (Male, Female or Unknown)]]="Female",Backend!$C$7,IF(Table1[[#This Row],[Fetal Sex (Male, Female or Unknown)]]="Unknown",Backend!$C$8,"Error"))),"")</f>
        <v/>
      </c>
      <c r="F3980" s="8" t="str">
        <f>IF(Table1[[#This Row],[Is Data Valid]]=TRUE,EXP(0.578+0.332*((Table1[[#This Row],[Gestation (days)]]+0.5)/7)-0.00354*((Table1[[#This Row],[Gestation (days)]]+0.5)/7)^2)*Table1[[#This Row],[BW40_3705]],"")</f>
        <v/>
      </c>
      <c r="G3980" s="2" t="str">
        <f>IF(Table1[[#This Row],[Is Data Valid]]=TRUE,((Table1[[#This Row],[Birthweight (grams)]]/Table1[[#This Row],[BW_GA]])-1)/(Backend!$B$4/100*Table1[[#This Row],[BW40_3705]]),"")</f>
        <v/>
      </c>
      <c r="H3980" s="7" t="str">
        <f>IF(Table1[[#This Row],[Is Data Valid]]=TRUE,((Table1[[#This Row],[Birthweight (grams)]]*0.9/Table1[[#This Row],[BW_GA]])-1)/(Backend!$B$4/100*Table1[[#This Row],[BW40_3705]]),"")</f>
        <v/>
      </c>
      <c r="I3980" s="7" t="str">
        <f>IF(Table1[[#This Row],[Is Data Valid]]=TRUE,((Table1[[#This Row],[Birthweight (grams)]]*1.1/Table1[[#This Row],[BW_GA]])-1)/(Backend!$B$4/100*Table1[[#This Row],[BW40_3705]]),"")</f>
        <v/>
      </c>
      <c r="J3980" s="7" t="str">
        <f>IF(Table1[[#This Row],[Is Data Valid]]=TRUE,_xlfn.NORM.S.DIST(Table1[[#This Row],[Birthweight Z-Score]],TRUE)*100,"")</f>
        <v/>
      </c>
      <c r="K3980" s="7" t="str">
        <f>IF(Table1[[#This Row],[Is Data Valid]]=TRUE,_xlfn.NORM.S.DIST(Table1[[#This Row],[Birthweight Z-Score (BW-10%)]],TRUE)*100,"")</f>
        <v/>
      </c>
      <c r="L3980" s="7" t="str">
        <f>IF(Table1[[#This Row],[Is Data Valid]]=TRUE,_xlfn.NORM.S.DIST(Table1[[#This Row],[Birthweight Z-Score (BW+10%)]],TRUE)*100,"")</f>
        <v/>
      </c>
    </row>
    <row r="3981" spans="1:12" x14ac:dyDescent="0.35">
      <c r="A3981" s="3"/>
      <c r="B3981" s="2"/>
      <c r="C3981" s="2"/>
      <c r="D3981" s="2" t="b">
        <f>IF(AND(NOT(ISBLANK(Table1[[#This Row],[Fetal Sex (Male, Female or Unknown)]])),ISNUMBER(Table1[[#This Row],[Birthweight (grams)]]),ISNUMBER(Table1[[#This Row],[Gestation (days)]])),TRUE,FALSE)</f>
        <v>0</v>
      </c>
      <c r="E3981" s="2" t="str">
        <f>IF(Table1[[#This Row],[Is Data Valid]]=TRUE,IF(Table1[[#This Row],[Fetal Sex (Male, Female or Unknown)]]="Male",Backend!$C$6,IF(Table1[[#This Row],[Fetal Sex (Male, Female or Unknown)]]="Female",Backend!$C$7,IF(Table1[[#This Row],[Fetal Sex (Male, Female or Unknown)]]="Unknown",Backend!$C$8,"Error"))),"")</f>
        <v/>
      </c>
      <c r="F3981" s="8" t="str">
        <f>IF(Table1[[#This Row],[Is Data Valid]]=TRUE,EXP(0.578+0.332*((Table1[[#This Row],[Gestation (days)]]+0.5)/7)-0.00354*((Table1[[#This Row],[Gestation (days)]]+0.5)/7)^2)*Table1[[#This Row],[BW40_3705]],"")</f>
        <v/>
      </c>
      <c r="G3981" s="2" t="str">
        <f>IF(Table1[[#This Row],[Is Data Valid]]=TRUE,((Table1[[#This Row],[Birthweight (grams)]]/Table1[[#This Row],[BW_GA]])-1)/(Backend!$B$4/100*Table1[[#This Row],[BW40_3705]]),"")</f>
        <v/>
      </c>
      <c r="H3981" s="7" t="str">
        <f>IF(Table1[[#This Row],[Is Data Valid]]=TRUE,((Table1[[#This Row],[Birthweight (grams)]]*0.9/Table1[[#This Row],[BW_GA]])-1)/(Backend!$B$4/100*Table1[[#This Row],[BW40_3705]]),"")</f>
        <v/>
      </c>
      <c r="I3981" s="7" t="str">
        <f>IF(Table1[[#This Row],[Is Data Valid]]=TRUE,((Table1[[#This Row],[Birthweight (grams)]]*1.1/Table1[[#This Row],[BW_GA]])-1)/(Backend!$B$4/100*Table1[[#This Row],[BW40_3705]]),"")</f>
        <v/>
      </c>
      <c r="J3981" s="7" t="str">
        <f>IF(Table1[[#This Row],[Is Data Valid]]=TRUE,_xlfn.NORM.S.DIST(Table1[[#This Row],[Birthweight Z-Score]],TRUE)*100,"")</f>
        <v/>
      </c>
      <c r="K3981" s="7" t="str">
        <f>IF(Table1[[#This Row],[Is Data Valid]]=TRUE,_xlfn.NORM.S.DIST(Table1[[#This Row],[Birthweight Z-Score (BW-10%)]],TRUE)*100,"")</f>
        <v/>
      </c>
      <c r="L3981" s="7" t="str">
        <f>IF(Table1[[#This Row],[Is Data Valid]]=TRUE,_xlfn.NORM.S.DIST(Table1[[#This Row],[Birthweight Z-Score (BW+10%)]],TRUE)*100,"")</f>
        <v/>
      </c>
    </row>
    <row r="3982" spans="1:12" x14ac:dyDescent="0.35">
      <c r="A3982" s="3"/>
      <c r="B3982" s="2"/>
      <c r="C3982" s="2"/>
      <c r="D3982" s="2" t="b">
        <f>IF(AND(NOT(ISBLANK(Table1[[#This Row],[Fetal Sex (Male, Female or Unknown)]])),ISNUMBER(Table1[[#This Row],[Birthweight (grams)]]),ISNUMBER(Table1[[#This Row],[Gestation (days)]])),TRUE,FALSE)</f>
        <v>0</v>
      </c>
      <c r="E3982" s="2" t="str">
        <f>IF(Table1[[#This Row],[Is Data Valid]]=TRUE,IF(Table1[[#This Row],[Fetal Sex (Male, Female or Unknown)]]="Male",Backend!$C$6,IF(Table1[[#This Row],[Fetal Sex (Male, Female or Unknown)]]="Female",Backend!$C$7,IF(Table1[[#This Row],[Fetal Sex (Male, Female or Unknown)]]="Unknown",Backend!$C$8,"Error"))),"")</f>
        <v/>
      </c>
      <c r="F3982" s="8" t="str">
        <f>IF(Table1[[#This Row],[Is Data Valid]]=TRUE,EXP(0.578+0.332*((Table1[[#This Row],[Gestation (days)]]+0.5)/7)-0.00354*((Table1[[#This Row],[Gestation (days)]]+0.5)/7)^2)*Table1[[#This Row],[BW40_3705]],"")</f>
        <v/>
      </c>
      <c r="G3982" s="2" t="str">
        <f>IF(Table1[[#This Row],[Is Data Valid]]=TRUE,((Table1[[#This Row],[Birthweight (grams)]]/Table1[[#This Row],[BW_GA]])-1)/(Backend!$B$4/100*Table1[[#This Row],[BW40_3705]]),"")</f>
        <v/>
      </c>
      <c r="H3982" s="7" t="str">
        <f>IF(Table1[[#This Row],[Is Data Valid]]=TRUE,((Table1[[#This Row],[Birthweight (grams)]]*0.9/Table1[[#This Row],[BW_GA]])-1)/(Backend!$B$4/100*Table1[[#This Row],[BW40_3705]]),"")</f>
        <v/>
      </c>
      <c r="I3982" s="7" t="str">
        <f>IF(Table1[[#This Row],[Is Data Valid]]=TRUE,((Table1[[#This Row],[Birthweight (grams)]]*1.1/Table1[[#This Row],[BW_GA]])-1)/(Backend!$B$4/100*Table1[[#This Row],[BW40_3705]]),"")</f>
        <v/>
      </c>
      <c r="J3982" s="7" t="str">
        <f>IF(Table1[[#This Row],[Is Data Valid]]=TRUE,_xlfn.NORM.S.DIST(Table1[[#This Row],[Birthweight Z-Score]],TRUE)*100,"")</f>
        <v/>
      </c>
      <c r="K3982" s="7" t="str">
        <f>IF(Table1[[#This Row],[Is Data Valid]]=TRUE,_xlfn.NORM.S.DIST(Table1[[#This Row],[Birthweight Z-Score (BW-10%)]],TRUE)*100,"")</f>
        <v/>
      </c>
      <c r="L3982" s="7" t="str">
        <f>IF(Table1[[#This Row],[Is Data Valid]]=TRUE,_xlfn.NORM.S.DIST(Table1[[#This Row],[Birthweight Z-Score (BW+10%)]],TRUE)*100,"")</f>
        <v/>
      </c>
    </row>
    <row r="3983" spans="1:12" x14ac:dyDescent="0.35">
      <c r="A3983" s="3"/>
      <c r="B3983" s="2"/>
      <c r="C3983" s="2"/>
      <c r="D3983" s="2" t="b">
        <f>IF(AND(NOT(ISBLANK(Table1[[#This Row],[Fetal Sex (Male, Female or Unknown)]])),ISNUMBER(Table1[[#This Row],[Birthweight (grams)]]),ISNUMBER(Table1[[#This Row],[Gestation (days)]])),TRUE,FALSE)</f>
        <v>0</v>
      </c>
      <c r="E3983" s="2" t="str">
        <f>IF(Table1[[#This Row],[Is Data Valid]]=TRUE,IF(Table1[[#This Row],[Fetal Sex (Male, Female or Unknown)]]="Male",Backend!$C$6,IF(Table1[[#This Row],[Fetal Sex (Male, Female or Unknown)]]="Female",Backend!$C$7,IF(Table1[[#This Row],[Fetal Sex (Male, Female or Unknown)]]="Unknown",Backend!$C$8,"Error"))),"")</f>
        <v/>
      </c>
      <c r="F3983" s="8" t="str">
        <f>IF(Table1[[#This Row],[Is Data Valid]]=TRUE,EXP(0.578+0.332*((Table1[[#This Row],[Gestation (days)]]+0.5)/7)-0.00354*((Table1[[#This Row],[Gestation (days)]]+0.5)/7)^2)*Table1[[#This Row],[BW40_3705]],"")</f>
        <v/>
      </c>
      <c r="G3983" s="2" t="str">
        <f>IF(Table1[[#This Row],[Is Data Valid]]=TRUE,((Table1[[#This Row],[Birthweight (grams)]]/Table1[[#This Row],[BW_GA]])-1)/(Backend!$B$4/100*Table1[[#This Row],[BW40_3705]]),"")</f>
        <v/>
      </c>
      <c r="H3983" s="7" t="str">
        <f>IF(Table1[[#This Row],[Is Data Valid]]=TRUE,((Table1[[#This Row],[Birthweight (grams)]]*0.9/Table1[[#This Row],[BW_GA]])-1)/(Backend!$B$4/100*Table1[[#This Row],[BW40_3705]]),"")</f>
        <v/>
      </c>
      <c r="I3983" s="7" t="str">
        <f>IF(Table1[[#This Row],[Is Data Valid]]=TRUE,((Table1[[#This Row],[Birthweight (grams)]]*1.1/Table1[[#This Row],[BW_GA]])-1)/(Backend!$B$4/100*Table1[[#This Row],[BW40_3705]]),"")</f>
        <v/>
      </c>
      <c r="J3983" s="7" t="str">
        <f>IF(Table1[[#This Row],[Is Data Valid]]=TRUE,_xlfn.NORM.S.DIST(Table1[[#This Row],[Birthweight Z-Score]],TRUE)*100,"")</f>
        <v/>
      </c>
      <c r="K3983" s="7" t="str">
        <f>IF(Table1[[#This Row],[Is Data Valid]]=TRUE,_xlfn.NORM.S.DIST(Table1[[#This Row],[Birthweight Z-Score (BW-10%)]],TRUE)*100,"")</f>
        <v/>
      </c>
      <c r="L3983" s="7" t="str">
        <f>IF(Table1[[#This Row],[Is Data Valid]]=TRUE,_xlfn.NORM.S.DIST(Table1[[#This Row],[Birthweight Z-Score (BW+10%)]],TRUE)*100,"")</f>
        <v/>
      </c>
    </row>
    <row r="3984" spans="1:12" x14ac:dyDescent="0.35">
      <c r="A3984" s="3"/>
      <c r="B3984" s="2"/>
      <c r="C3984" s="2"/>
      <c r="D3984" s="2" t="b">
        <f>IF(AND(NOT(ISBLANK(Table1[[#This Row],[Fetal Sex (Male, Female or Unknown)]])),ISNUMBER(Table1[[#This Row],[Birthweight (grams)]]),ISNUMBER(Table1[[#This Row],[Gestation (days)]])),TRUE,FALSE)</f>
        <v>0</v>
      </c>
      <c r="E3984" s="2" t="str">
        <f>IF(Table1[[#This Row],[Is Data Valid]]=TRUE,IF(Table1[[#This Row],[Fetal Sex (Male, Female or Unknown)]]="Male",Backend!$C$6,IF(Table1[[#This Row],[Fetal Sex (Male, Female or Unknown)]]="Female",Backend!$C$7,IF(Table1[[#This Row],[Fetal Sex (Male, Female or Unknown)]]="Unknown",Backend!$C$8,"Error"))),"")</f>
        <v/>
      </c>
      <c r="F3984" s="8" t="str">
        <f>IF(Table1[[#This Row],[Is Data Valid]]=TRUE,EXP(0.578+0.332*((Table1[[#This Row],[Gestation (days)]]+0.5)/7)-0.00354*((Table1[[#This Row],[Gestation (days)]]+0.5)/7)^2)*Table1[[#This Row],[BW40_3705]],"")</f>
        <v/>
      </c>
      <c r="G3984" s="2" t="str">
        <f>IF(Table1[[#This Row],[Is Data Valid]]=TRUE,((Table1[[#This Row],[Birthweight (grams)]]/Table1[[#This Row],[BW_GA]])-1)/(Backend!$B$4/100*Table1[[#This Row],[BW40_3705]]),"")</f>
        <v/>
      </c>
      <c r="H3984" s="7" t="str">
        <f>IF(Table1[[#This Row],[Is Data Valid]]=TRUE,((Table1[[#This Row],[Birthweight (grams)]]*0.9/Table1[[#This Row],[BW_GA]])-1)/(Backend!$B$4/100*Table1[[#This Row],[BW40_3705]]),"")</f>
        <v/>
      </c>
      <c r="I3984" s="7" t="str">
        <f>IF(Table1[[#This Row],[Is Data Valid]]=TRUE,((Table1[[#This Row],[Birthweight (grams)]]*1.1/Table1[[#This Row],[BW_GA]])-1)/(Backend!$B$4/100*Table1[[#This Row],[BW40_3705]]),"")</f>
        <v/>
      </c>
      <c r="J3984" s="7" t="str">
        <f>IF(Table1[[#This Row],[Is Data Valid]]=TRUE,_xlfn.NORM.S.DIST(Table1[[#This Row],[Birthweight Z-Score]],TRUE)*100,"")</f>
        <v/>
      </c>
      <c r="K3984" s="7" t="str">
        <f>IF(Table1[[#This Row],[Is Data Valid]]=TRUE,_xlfn.NORM.S.DIST(Table1[[#This Row],[Birthweight Z-Score (BW-10%)]],TRUE)*100,"")</f>
        <v/>
      </c>
      <c r="L3984" s="7" t="str">
        <f>IF(Table1[[#This Row],[Is Data Valid]]=TRUE,_xlfn.NORM.S.DIST(Table1[[#This Row],[Birthweight Z-Score (BW+10%)]],TRUE)*100,"")</f>
        <v/>
      </c>
    </row>
    <row r="3985" spans="1:12" x14ac:dyDescent="0.35">
      <c r="A3985" s="3"/>
      <c r="B3985" s="2"/>
      <c r="C3985" s="2"/>
      <c r="D3985" s="2" t="b">
        <f>IF(AND(NOT(ISBLANK(Table1[[#This Row],[Fetal Sex (Male, Female or Unknown)]])),ISNUMBER(Table1[[#This Row],[Birthweight (grams)]]),ISNUMBER(Table1[[#This Row],[Gestation (days)]])),TRUE,FALSE)</f>
        <v>0</v>
      </c>
      <c r="E3985" s="2" t="str">
        <f>IF(Table1[[#This Row],[Is Data Valid]]=TRUE,IF(Table1[[#This Row],[Fetal Sex (Male, Female or Unknown)]]="Male",Backend!$C$6,IF(Table1[[#This Row],[Fetal Sex (Male, Female or Unknown)]]="Female",Backend!$C$7,IF(Table1[[#This Row],[Fetal Sex (Male, Female or Unknown)]]="Unknown",Backend!$C$8,"Error"))),"")</f>
        <v/>
      </c>
      <c r="F3985" s="8" t="str">
        <f>IF(Table1[[#This Row],[Is Data Valid]]=TRUE,EXP(0.578+0.332*((Table1[[#This Row],[Gestation (days)]]+0.5)/7)-0.00354*((Table1[[#This Row],[Gestation (days)]]+0.5)/7)^2)*Table1[[#This Row],[BW40_3705]],"")</f>
        <v/>
      </c>
      <c r="G3985" s="2" t="str">
        <f>IF(Table1[[#This Row],[Is Data Valid]]=TRUE,((Table1[[#This Row],[Birthweight (grams)]]/Table1[[#This Row],[BW_GA]])-1)/(Backend!$B$4/100*Table1[[#This Row],[BW40_3705]]),"")</f>
        <v/>
      </c>
      <c r="H3985" s="7" t="str">
        <f>IF(Table1[[#This Row],[Is Data Valid]]=TRUE,((Table1[[#This Row],[Birthweight (grams)]]*0.9/Table1[[#This Row],[BW_GA]])-1)/(Backend!$B$4/100*Table1[[#This Row],[BW40_3705]]),"")</f>
        <v/>
      </c>
      <c r="I3985" s="7" t="str">
        <f>IF(Table1[[#This Row],[Is Data Valid]]=TRUE,((Table1[[#This Row],[Birthweight (grams)]]*1.1/Table1[[#This Row],[BW_GA]])-1)/(Backend!$B$4/100*Table1[[#This Row],[BW40_3705]]),"")</f>
        <v/>
      </c>
      <c r="J3985" s="7" t="str">
        <f>IF(Table1[[#This Row],[Is Data Valid]]=TRUE,_xlfn.NORM.S.DIST(Table1[[#This Row],[Birthweight Z-Score]],TRUE)*100,"")</f>
        <v/>
      </c>
      <c r="K3985" s="7" t="str">
        <f>IF(Table1[[#This Row],[Is Data Valid]]=TRUE,_xlfn.NORM.S.DIST(Table1[[#This Row],[Birthweight Z-Score (BW-10%)]],TRUE)*100,"")</f>
        <v/>
      </c>
      <c r="L3985" s="7" t="str">
        <f>IF(Table1[[#This Row],[Is Data Valid]]=TRUE,_xlfn.NORM.S.DIST(Table1[[#This Row],[Birthweight Z-Score (BW+10%)]],TRUE)*100,"")</f>
        <v/>
      </c>
    </row>
    <row r="3986" spans="1:12" x14ac:dyDescent="0.35">
      <c r="A3986" s="3"/>
      <c r="B3986" s="2"/>
      <c r="C3986" s="2"/>
      <c r="D3986" s="2" t="b">
        <f>IF(AND(NOT(ISBLANK(Table1[[#This Row],[Fetal Sex (Male, Female or Unknown)]])),ISNUMBER(Table1[[#This Row],[Birthweight (grams)]]),ISNUMBER(Table1[[#This Row],[Gestation (days)]])),TRUE,FALSE)</f>
        <v>0</v>
      </c>
      <c r="E3986" s="2" t="str">
        <f>IF(Table1[[#This Row],[Is Data Valid]]=TRUE,IF(Table1[[#This Row],[Fetal Sex (Male, Female or Unknown)]]="Male",Backend!$C$6,IF(Table1[[#This Row],[Fetal Sex (Male, Female or Unknown)]]="Female",Backend!$C$7,IF(Table1[[#This Row],[Fetal Sex (Male, Female or Unknown)]]="Unknown",Backend!$C$8,"Error"))),"")</f>
        <v/>
      </c>
      <c r="F3986" s="8" t="str">
        <f>IF(Table1[[#This Row],[Is Data Valid]]=TRUE,EXP(0.578+0.332*((Table1[[#This Row],[Gestation (days)]]+0.5)/7)-0.00354*((Table1[[#This Row],[Gestation (days)]]+0.5)/7)^2)*Table1[[#This Row],[BW40_3705]],"")</f>
        <v/>
      </c>
      <c r="G3986" s="2" t="str">
        <f>IF(Table1[[#This Row],[Is Data Valid]]=TRUE,((Table1[[#This Row],[Birthweight (grams)]]/Table1[[#This Row],[BW_GA]])-1)/(Backend!$B$4/100*Table1[[#This Row],[BW40_3705]]),"")</f>
        <v/>
      </c>
      <c r="H3986" s="7" t="str">
        <f>IF(Table1[[#This Row],[Is Data Valid]]=TRUE,((Table1[[#This Row],[Birthweight (grams)]]*0.9/Table1[[#This Row],[BW_GA]])-1)/(Backend!$B$4/100*Table1[[#This Row],[BW40_3705]]),"")</f>
        <v/>
      </c>
      <c r="I3986" s="7" t="str">
        <f>IF(Table1[[#This Row],[Is Data Valid]]=TRUE,((Table1[[#This Row],[Birthweight (grams)]]*1.1/Table1[[#This Row],[BW_GA]])-1)/(Backend!$B$4/100*Table1[[#This Row],[BW40_3705]]),"")</f>
        <v/>
      </c>
      <c r="J3986" s="7" t="str">
        <f>IF(Table1[[#This Row],[Is Data Valid]]=TRUE,_xlfn.NORM.S.DIST(Table1[[#This Row],[Birthweight Z-Score]],TRUE)*100,"")</f>
        <v/>
      </c>
      <c r="K3986" s="7" t="str">
        <f>IF(Table1[[#This Row],[Is Data Valid]]=TRUE,_xlfn.NORM.S.DIST(Table1[[#This Row],[Birthweight Z-Score (BW-10%)]],TRUE)*100,"")</f>
        <v/>
      </c>
      <c r="L3986" s="7" t="str">
        <f>IF(Table1[[#This Row],[Is Data Valid]]=TRUE,_xlfn.NORM.S.DIST(Table1[[#This Row],[Birthweight Z-Score (BW+10%)]],TRUE)*100,"")</f>
        <v/>
      </c>
    </row>
    <row r="3987" spans="1:12" x14ac:dyDescent="0.35">
      <c r="A3987" s="3"/>
      <c r="B3987" s="2"/>
      <c r="C3987" s="2"/>
      <c r="D3987" s="2" t="b">
        <f>IF(AND(NOT(ISBLANK(Table1[[#This Row],[Fetal Sex (Male, Female or Unknown)]])),ISNUMBER(Table1[[#This Row],[Birthweight (grams)]]),ISNUMBER(Table1[[#This Row],[Gestation (days)]])),TRUE,FALSE)</f>
        <v>0</v>
      </c>
      <c r="E3987" s="2" t="str">
        <f>IF(Table1[[#This Row],[Is Data Valid]]=TRUE,IF(Table1[[#This Row],[Fetal Sex (Male, Female or Unknown)]]="Male",Backend!$C$6,IF(Table1[[#This Row],[Fetal Sex (Male, Female or Unknown)]]="Female",Backend!$C$7,IF(Table1[[#This Row],[Fetal Sex (Male, Female or Unknown)]]="Unknown",Backend!$C$8,"Error"))),"")</f>
        <v/>
      </c>
      <c r="F3987" s="8" t="str">
        <f>IF(Table1[[#This Row],[Is Data Valid]]=TRUE,EXP(0.578+0.332*((Table1[[#This Row],[Gestation (days)]]+0.5)/7)-0.00354*((Table1[[#This Row],[Gestation (days)]]+0.5)/7)^2)*Table1[[#This Row],[BW40_3705]],"")</f>
        <v/>
      </c>
      <c r="G3987" s="2" t="str">
        <f>IF(Table1[[#This Row],[Is Data Valid]]=TRUE,((Table1[[#This Row],[Birthweight (grams)]]/Table1[[#This Row],[BW_GA]])-1)/(Backend!$B$4/100*Table1[[#This Row],[BW40_3705]]),"")</f>
        <v/>
      </c>
      <c r="H3987" s="7" t="str">
        <f>IF(Table1[[#This Row],[Is Data Valid]]=TRUE,((Table1[[#This Row],[Birthweight (grams)]]*0.9/Table1[[#This Row],[BW_GA]])-1)/(Backend!$B$4/100*Table1[[#This Row],[BW40_3705]]),"")</f>
        <v/>
      </c>
      <c r="I3987" s="7" t="str">
        <f>IF(Table1[[#This Row],[Is Data Valid]]=TRUE,((Table1[[#This Row],[Birthweight (grams)]]*1.1/Table1[[#This Row],[BW_GA]])-1)/(Backend!$B$4/100*Table1[[#This Row],[BW40_3705]]),"")</f>
        <v/>
      </c>
      <c r="J3987" s="7" t="str">
        <f>IF(Table1[[#This Row],[Is Data Valid]]=TRUE,_xlfn.NORM.S.DIST(Table1[[#This Row],[Birthweight Z-Score]],TRUE)*100,"")</f>
        <v/>
      </c>
      <c r="K3987" s="7" t="str">
        <f>IF(Table1[[#This Row],[Is Data Valid]]=TRUE,_xlfn.NORM.S.DIST(Table1[[#This Row],[Birthweight Z-Score (BW-10%)]],TRUE)*100,"")</f>
        <v/>
      </c>
      <c r="L3987" s="7" t="str">
        <f>IF(Table1[[#This Row],[Is Data Valid]]=TRUE,_xlfn.NORM.S.DIST(Table1[[#This Row],[Birthweight Z-Score (BW+10%)]],TRUE)*100,"")</f>
        <v/>
      </c>
    </row>
    <row r="3988" spans="1:12" x14ac:dyDescent="0.35">
      <c r="A3988" s="3"/>
      <c r="B3988" s="2"/>
      <c r="C3988" s="2"/>
      <c r="D3988" s="2" t="b">
        <f>IF(AND(NOT(ISBLANK(Table1[[#This Row],[Fetal Sex (Male, Female or Unknown)]])),ISNUMBER(Table1[[#This Row],[Birthweight (grams)]]),ISNUMBER(Table1[[#This Row],[Gestation (days)]])),TRUE,FALSE)</f>
        <v>0</v>
      </c>
      <c r="E3988" s="2" t="str">
        <f>IF(Table1[[#This Row],[Is Data Valid]]=TRUE,IF(Table1[[#This Row],[Fetal Sex (Male, Female or Unknown)]]="Male",Backend!$C$6,IF(Table1[[#This Row],[Fetal Sex (Male, Female or Unknown)]]="Female",Backend!$C$7,IF(Table1[[#This Row],[Fetal Sex (Male, Female or Unknown)]]="Unknown",Backend!$C$8,"Error"))),"")</f>
        <v/>
      </c>
      <c r="F3988" s="8" t="str">
        <f>IF(Table1[[#This Row],[Is Data Valid]]=TRUE,EXP(0.578+0.332*((Table1[[#This Row],[Gestation (days)]]+0.5)/7)-0.00354*((Table1[[#This Row],[Gestation (days)]]+0.5)/7)^2)*Table1[[#This Row],[BW40_3705]],"")</f>
        <v/>
      </c>
      <c r="G3988" s="2" t="str">
        <f>IF(Table1[[#This Row],[Is Data Valid]]=TRUE,((Table1[[#This Row],[Birthweight (grams)]]/Table1[[#This Row],[BW_GA]])-1)/(Backend!$B$4/100*Table1[[#This Row],[BW40_3705]]),"")</f>
        <v/>
      </c>
      <c r="H3988" s="7" t="str">
        <f>IF(Table1[[#This Row],[Is Data Valid]]=TRUE,((Table1[[#This Row],[Birthweight (grams)]]*0.9/Table1[[#This Row],[BW_GA]])-1)/(Backend!$B$4/100*Table1[[#This Row],[BW40_3705]]),"")</f>
        <v/>
      </c>
      <c r="I3988" s="7" t="str">
        <f>IF(Table1[[#This Row],[Is Data Valid]]=TRUE,((Table1[[#This Row],[Birthweight (grams)]]*1.1/Table1[[#This Row],[BW_GA]])-1)/(Backend!$B$4/100*Table1[[#This Row],[BW40_3705]]),"")</f>
        <v/>
      </c>
      <c r="J3988" s="7" t="str">
        <f>IF(Table1[[#This Row],[Is Data Valid]]=TRUE,_xlfn.NORM.S.DIST(Table1[[#This Row],[Birthweight Z-Score]],TRUE)*100,"")</f>
        <v/>
      </c>
      <c r="K3988" s="7" t="str">
        <f>IF(Table1[[#This Row],[Is Data Valid]]=TRUE,_xlfn.NORM.S.DIST(Table1[[#This Row],[Birthweight Z-Score (BW-10%)]],TRUE)*100,"")</f>
        <v/>
      </c>
      <c r="L3988" s="7" t="str">
        <f>IF(Table1[[#This Row],[Is Data Valid]]=TRUE,_xlfn.NORM.S.DIST(Table1[[#This Row],[Birthweight Z-Score (BW+10%)]],TRUE)*100,"")</f>
        <v/>
      </c>
    </row>
    <row r="3989" spans="1:12" x14ac:dyDescent="0.35">
      <c r="A3989" s="3"/>
      <c r="B3989" s="2"/>
      <c r="C3989" s="2"/>
      <c r="D3989" s="2" t="b">
        <f>IF(AND(NOT(ISBLANK(Table1[[#This Row],[Fetal Sex (Male, Female or Unknown)]])),ISNUMBER(Table1[[#This Row],[Birthweight (grams)]]),ISNUMBER(Table1[[#This Row],[Gestation (days)]])),TRUE,FALSE)</f>
        <v>0</v>
      </c>
      <c r="E3989" s="2" t="str">
        <f>IF(Table1[[#This Row],[Is Data Valid]]=TRUE,IF(Table1[[#This Row],[Fetal Sex (Male, Female or Unknown)]]="Male",Backend!$C$6,IF(Table1[[#This Row],[Fetal Sex (Male, Female or Unknown)]]="Female",Backend!$C$7,IF(Table1[[#This Row],[Fetal Sex (Male, Female or Unknown)]]="Unknown",Backend!$C$8,"Error"))),"")</f>
        <v/>
      </c>
      <c r="F3989" s="8" t="str">
        <f>IF(Table1[[#This Row],[Is Data Valid]]=TRUE,EXP(0.578+0.332*((Table1[[#This Row],[Gestation (days)]]+0.5)/7)-0.00354*((Table1[[#This Row],[Gestation (days)]]+0.5)/7)^2)*Table1[[#This Row],[BW40_3705]],"")</f>
        <v/>
      </c>
      <c r="G3989" s="2" t="str">
        <f>IF(Table1[[#This Row],[Is Data Valid]]=TRUE,((Table1[[#This Row],[Birthweight (grams)]]/Table1[[#This Row],[BW_GA]])-1)/(Backend!$B$4/100*Table1[[#This Row],[BW40_3705]]),"")</f>
        <v/>
      </c>
      <c r="H3989" s="7" t="str">
        <f>IF(Table1[[#This Row],[Is Data Valid]]=TRUE,((Table1[[#This Row],[Birthweight (grams)]]*0.9/Table1[[#This Row],[BW_GA]])-1)/(Backend!$B$4/100*Table1[[#This Row],[BW40_3705]]),"")</f>
        <v/>
      </c>
      <c r="I3989" s="7" t="str">
        <f>IF(Table1[[#This Row],[Is Data Valid]]=TRUE,((Table1[[#This Row],[Birthweight (grams)]]*1.1/Table1[[#This Row],[BW_GA]])-1)/(Backend!$B$4/100*Table1[[#This Row],[BW40_3705]]),"")</f>
        <v/>
      </c>
      <c r="J3989" s="7" t="str">
        <f>IF(Table1[[#This Row],[Is Data Valid]]=TRUE,_xlfn.NORM.S.DIST(Table1[[#This Row],[Birthweight Z-Score]],TRUE)*100,"")</f>
        <v/>
      </c>
      <c r="K3989" s="7" t="str">
        <f>IF(Table1[[#This Row],[Is Data Valid]]=TRUE,_xlfn.NORM.S.DIST(Table1[[#This Row],[Birthweight Z-Score (BW-10%)]],TRUE)*100,"")</f>
        <v/>
      </c>
      <c r="L3989" s="7" t="str">
        <f>IF(Table1[[#This Row],[Is Data Valid]]=TRUE,_xlfn.NORM.S.DIST(Table1[[#This Row],[Birthweight Z-Score (BW+10%)]],TRUE)*100,"")</f>
        <v/>
      </c>
    </row>
    <row r="3990" spans="1:12" x14ac:dyDescent="0.35">
      <c r="A3990" s="3"/>
      <c r="B3990" s="2"/>
      <c r="C3990" s="2"/>
      <c r="D3990" s="2" t="b">
        <f>IF(AND(NOT(ISBLANK(Table1[[#This Row],[Fetal Sex (Male, Female or Unknown)]])),ISNUMBER(Table1[[#This Row],[Birthweight (grams)]]),ISNUMBER(Table1[[#This Row],[Gestation (days)]])),TRUE,FALSE)</f>
        <v>0</v>
      </c>
      <c r="E3990" s="2" t="str">
        <f>IF(Table1[[#This Row],[Is Data Valid]]=TRUE,IF(Table1[[#This Row],[Fetal Sex (Male, Female or Unknown)]]="Male",Backend!$C$6,IF(Table1[[#This Row],[Fetal Sex (Male, Female or Unknown)]]="Female",Backend!$C$7,IF(Table1[[#This Row],[Fetal Sex (Male, Female or Unknown)]]="Unknown",Backend!$C$8,"Error"))),"")</f>
        <v/>
      </c>
      <c r="F3990" s="8" t="str">
        <f>IF(Table1[[#This Row],[Is Data Valid]]=TRUE,EXP(0.578+0.332*((Table1[[#This Row],[Gestation (days)]]+0.5)/7)-0.00354*((Table1[[#This Row],[Gestation (days)]]+0.5)/7)^2)*Table1[[#This Row],[BW40_3705]],"")</f>
        <v/>
      </c>
      <c r="G3990" s="2" t="str">
        <f>IF(Table1[[#This Row],[Is Data Valid]]=TRUE,((Table1[[#This Row],[Birthweight (grams)]]/Table1[[#This Row],[BW_GA]])-1)/(Backend!$B$4/100*Table1[[#This Row],[BW40_3705]]),"")</f>
        <v/>
      </c>
      <c r="H3990" s="7" t="str">
        <f>IF(Table1[[#This Row],[Is Data Valid]]=TRUE,((Table1[[#This Row],[Birthweight (grams)]]*0.9/Table1[[#This Row],[BW_GA]])-1)/(Backend!$B$4/100*Table1[[#This Row],[BW40_3705]]),"")</f>
        <v/>
      </c>
      <c r="I3990" s="7" t="str">
        <f>IF(Table1[[#This Row],[Is Data Valid]]=TRUE,((Table1[[#This Row],[Birthweight (grams)]]*1.1/Table1[[#This Row],[BW_GA]])-1)/(Backend!$B$4/100*Table1[[#This Row],[BW40_3705]]),"")</f>
        <v/>
      </c>
      <c r="J3990" s="7" t="str">
        <f>IF(Table1[[#This Row],[Is Data Valid]]=TRUE,_xlfn.NORM.S.DIST(Table1[[#This Row],[Birthweight Z-Score]],TRUE)*100,"")</f>
        <v/>
      </c>
      <c r="K3990" s="7" t="str">
        <f>IF(Table1[[#This Row],[Is Data Valid]]=TRUE,_xlfn.NORM.S.DIST(Table1[[#This Row],[Birthweight Z-Score (BW-10%)]],TRUE)*100,"")</f>
        <v/>
      </c>
      <c r="L3990" s="7" t="str">
        <f>IF(Table1[[#This Row],[Is Data Valid]]=TRUE,_xlfn.NORM.S.DIST(Table1[[#This Row],[Birthweight Z-Score (BW+10%)]],TRUE)*100,"")</f>
        <v/>
      </c>
    </row>
    <row r="3991" spans="1:12" x14ac:dyDescent="0.35">
      <c r="A3991" s="3"/>
      <c r="B3991" s="2"/>
      <c r="C3991" s="2"/>
      <c r="D3991" s="2" t="b">
        <f>IF(AND(NOT(ISBLANK(Table1[[#This Row],[Fetal Sex (Male, Female or Unknown)]])),ISNUMBER(Table1[[#This Row],[Birthweight (grams)]]),ISNUMBER(Table1[[#This Row],[Gestation (days)]])),TRUE,FALSE)</f>
        <v>0</v>
      </c>
      <c r="E3991" s="2" t="str">
        <f>IF(Table1[[#This Row],[Is Data Valid]]=TRUE,IF(Table1[[#This Row],[Fetal Sex (Male, Female or Unknown)]]="Male",Backend!$C$6,IF(Table1[[#This Row],[Fetal Sex (Male, Female or Unknown)]]="Female",Backend!$C$7,IF(Table1[[#This Row],[Fetal Sex (Male, Female or Unknown)]]="Unknown",Backend!$C$8,"Error"))),"")</f>
        <v/>
      </c>
      <c r="F3991" s="8" t="str">
        <f>IF(Table1[[#This Row],[Is Data Valid]]=TRUE,EXP(0.578+0.332*((Table1[[#This Row],[Gestation (days)]]+0.5)/7)-0.00354*((Table1[[#This Row],[Gestation (days)]]+0.5)/7)^2)*Table1[[#This Row],[BW40_3705]],"")</f>
        <v/>
      </c>
      <c r="G3991" s="2" t="str">
        <f>IF(Table1[[#This Row],[Is Data Valid]]=TRUE,((Table1[[#This Row],[Birthweight (grams)]]/Table1[[#This Row],[BW_GA]])-1)/(Backend!$B$4/100*Table1[[#This Row],[BW40_3705]]),"")</f>
        <v/>
      </c>
      <c r="H3991" s="7" t="str">
        <f>IF(Table1[[#This Row],[Is Data Valid]]=TRUE,((Table1[[#This Row],[Birthweight (grams)]]*0.9/Table1[[#This Row],[BW_GA]])-1)/(Backend!$B$4/100*Table1[[#This Row],[BW40_3705]]),"")</f>
        <v/>
      </c>
      <c r="I3991" s="7" t="str">
        <f>IF(Table1[[#This Row],[Is Data Valid]]=TRUE,((Table1[[#This Row],[Birthweight (grams)]]*1.1/Table1[[#This Row],[BW_GA]])-1)/(Backend!$B$4/100*Table1[[#This Row],[BW40_3705]]),"")</f>
        <v/>
      </c>
      <c r="J3991" s="7" t="str">
        <f>IF(Table1[[#This Row],[Is Data Valid]]=TRUE,_xlfn.NORM.S.DIST(Table1[[#This Row],[Birthweight Z-Score]],TRUE)*100,"")</f>
        <v/>
      </c>
      <c r="K3991" s="7" t="str">
        <f>IF(Table1[[#This Row],[Is Data Valid]]=TRUE,_xlfn.NORM.S.DIST(Table1[[#This Row],[Birthweight Z-Score (BW-10%)]],TRUE)*100,"")</f>
        <v/>
      </c>
      <c r="L3991" s="7" t="str">
        <f>IF(Table1[[#This Row],[Is Data Valid]]=TRUE,_xlfn.NORM.S.DIST(Table1[[#This Row],[Birthweight Z-Score (BW+10%)]],TRUE)*100,"")</f>
        <v/>
      </c>
    </row>
    <row r="3992" spans="1:12" x14ac:dyDescent="0.35">
      <c r="A3992" s="3"/>
      <c r="B3992" s="2"/>
      <c r="C3992" s="2"/>
      <c r="D3992" s="2" t="b">
        <f>IF(AND(NOT(ISBLANK(Table1[[#This Row],[Fetal Sex (Male, Female or Unknown)]])),ISNUMBER(Table1[[#This Row],[Birthweight (grams)]]),ISNUMBER(Table1[[#This Row],[Gestation (days)]])),TRUE,FALSE)</f>
        <v>0</v>
      </c>
      <c r="E3992" s="2" t="str">
        <f>IF(Table1[[#This Row],[Is Data Valid]]=TRUE,IF(Table1[[#This Row],[Fetal Sex (Male, Female or Unknown)]]="Male",Backend!$C$6,IF(Table1[[#This Row],[Fetal Sex (Male, Female or Unknown)]]="Female",Backend!$C$7,IF(Table1[[#This Row],[Fetal Sex (Male, Female or Unknown)]]="Unknown",Backend!$C$8,"Error"))),"")</f>
        <v/>
      </c>
      <c r="F3992" s="8" t="str">
        <f>IF(Table1[[#This Row],[Is Data Valid]]=TRUE,EXP(0.578+0.332*((Table1[[#This Row],[Gestation (days)]]+0.5)/7)-0.00354*((Table1[[#This Row],[Gestation (days)]]+0.5)/7)^2)*Table1[[#This Row],[BW40_3705]],"")</f>
        <v/>
      </c>
      <c r="G3992" s="2" t="str">
        <f>IF(Table1[[#This Row],[Is Data Valid]]=TRUE,((Table1[[#This Row],[Birthweight (grams)]]/Table1[[#This Row],[BW_GA]])-1)/(Backend!$B$4/100*Table1[[#This Row],[BW40_3705]]),"")</f>
        <v/>
      </c>
      <c r="H3992" s="7" t="str">
        <f>IF(Table1[[#This Row],[Is Data Valid]]=TRUE,((Table1[[#This Row],[Birthweight (grams)]]*0.9/Table1[[#This Row],[BW_GA]])-1)/(Backend!$B$4/100*Table1[[#This Row],[BW40_3705]]),"")</f>
        <v/>
      </c>
      <c r="I3992" s="7" t="str">
        <f>IF(Table1[[#This Row],[Is Data Valid]]=TRUE,((Table1[[#This Row],[Birthweight (grams)]]*1.1/Table1[[#This Row],[BW_GA]])-1)/(Backend!$B$4/100*Table1[[#This Row],[BW40_3705]]),"")</f>
        <v/>
      </c>
      <c r="J3992" s="7" t="str">
        <f>IF(Table1[[#This Row],[Is Data Valid]]=TRUE,_xlfn.NORM.S.DIST(Table1[[#This Row],[Birthweight Z-Score]],TRUE)*100,"")</f>
        <v/>
      </c>
      <c r="K3992" s="7" t="str">
        <f>IF(Table1[[#This Row],[Is Data Valid]]=TRUE,_xlfn.NORM.S.DIST(Table1[[#This Row],[Birthweight Z-Score (BW-10%)]],TRUE)*100,"")</f>
        <v/>
      </c>
      <c r="L3992" s="7" t="str">
        <f>IF(Table1[[#This Row],[Is Data Valid]]=TRUE,_xlfn.NORM.S.DIST(Table1[[#This Row],[Birthweight Z-Score (BW+10%)]],TRUE)*100,"")</f>
        <v/>
      </c>
    </row>
    <row r="3993" spans="1:12" x14ac:dyDescent="0.35">
      <c r="A3993" s="3"/>
      <c r="B3993" s="2"/>
      <c r="C3993" s="2"/>
      <c r="D3993" s="2" t="b">
        <f>IF(AND(NOT(ISBLANK(Table1[[#This Row],[Fetal Sex (Male, Female or Unknown)]])),ISNUMBER(Table1[[#This Row],[Birthweight (grams)]]),ISNUMBER(Table1[[#This Row],[Gestation (days)]])),TRUE,FALSE)</f>
        <v>0</v>
      </c>
      <c r="E3993" s="2" t="str">
        <f>IF(Table1[[#This Row],[Is Data Valid]]=TRUE,IF(Table1[[#This Row],[Fetal Sex (Male, Female or Unknown)]]="Male",Backend!$C$6,IF(Table1[[#This Row],[Fetal Sex (Male, Female or Unknown)]]="Female",Backend!$C$7,IF(Table1[[#This Row],[Fetal Sex (Male, Female or Unknown)]]="Unknown",Backend!$C$8,"Error"))),"")</f>
        <v/>
      </c>
      <c r="F3993" s="8" t="str">
        <f>IF(Table1[[#This Row],[Is Data Valid]]=TRUE,EXP(0.578+0.332*((Table1[[#This Row],[Gestation (days)]]+0.5)/7)-0.00354*((Table1[[#This Row],[Gestation (days)]]+0.5)/7)^2)*Table1[[#This Row],[BW40_3705]],"")</f>
        <v/>
      </c>
      <c r="G3993" s="2" t="str">
        <f>IF(Table1[[#This Row],[Is Data Valid]]=TRUE,((Table1[[#This Row],[Birthweight (grams)]]/Table1[[#This Row],[BW_GA]])-1)/(Backend!$B$4/100*Table1[[#This Row],[BW40_3705]]),"")</f>
        <v/>
      </c>
      <c r="H3993" s="7" t="str">
        <f>IF(Table1[[#This Row],[Is Data Valid]]=TRUE,((Table1[[#This Row],[Birthweight (grams)]]*0.9/Table1[[#This Row],[BW_GA]])-1)/(Backend!$B$4/100*Table1[[#This Row],[BW40_3705]]),"")</f>
        <v/>
      </c>
      <c r="I3993" s="7" t="str">
        <f>IF(Table1[[#This Row],[Is Data Valid]]=TRUE,((Table1[[#This Row],[Birthweight (grams)]]*1.1/Table1[[#This Row],[BW_GA]])-1)/(Backend!$B$4/100*Table1[[#This Row],[BW40_3705]]),"")</f>
        <v/>
      </c>
      <c r="J3993" s="7" t="str">
        <f>IF(Table1[[#This Row],[Is Data Valid]]=TRUE,_xlfn.NORM.S.DIST(Table1[[#This Row],[Birthweight Z-Score]],TRUE)*100,"")</f>
        <v/>
      </c>
      <c r="K3993" s="7" t="str">
        <f>IF(Table1[[#This Row],[Is Data Valid]]=TRUE,_xlfn.NORM.S.DIST(Table1[[#This Row],[Birthweight Z-Score (BW-10%)]],TRUE)*100,"")</f>
        <v/>
      </c>
      <c r="L3993" s="7" t="str">
        <f>IF(Table1[[#This Row],[Is Data Valid]]=TRUE,_xlfn.NORM.S.DIST(Table1[[#This Row],[Birthweight Z-Score (BW+10%)]],TRUE)*100,"")</f>
        <v/>
      </c>
    </row>
    <row r="3994" spans="1:12" x14ac:dyDescent="0.35">
      <c r="A3994" s="3"/>
      <c r="B3994" s="2"/>
      <c r="C3994" s="2"/>
      <c r="D3994" s="2" t="b">
        <f>IF(AND(NOT(ISBLANK(Table1[[#This Row],[Fetal Sex (Male, Female or Unknown)]])),ISNUMBER(Table1[[#This Row],[Birthweight (grams)]]),ISNUMBER(Table1[[#This Row],[Gestation (days)]])),TRUE,FALSE)</f>
        <v>0</v>
      </c>
      <c r="E3994" s="2" t="str">
        <f>IF(Table1[[#This Row],[Is Data Valid]]=TRUE,IF(Table1[[#This Row],[Fetal Sex (Male, Female or Unknown)]]="Male",Backend!$C$6,IF(Table1[[#This Row],[Fetal Sex (Male, Female or Unknown)]]="Female",Backend!$C$7,IF(Table1[[#This Row],[Fetal Sex (Male, Female or Unknown)]]="Unknown",Backend!$C$8,"Error"))),"")</f>
        <v/>
      </c>
      <c r="F3994" s="8" t="str">
        <f>IF(Table1[[#This Row],[Is Data Valid]]=TRUE,EXP(0.578+0.332*((Table1[[#This Row],[Gestation (days)]]+0.5)/7)-0.00354*((Table1[[#This Row],[Gestation (days)]]+0.5)/7)^2)*Table1[[#This Row],[BW40_3705]],"")</f>
        <v/>
      </c>
      <c r="G3994" s="2" t="str">
        <f>IF(Table1[[#This Row],[Is Data Valid]]=TRUE,((Table1[[#This Row],[Birthweight (grams)]]/Table1[[#This Row],[BW_GA]])-1)/(Backend!$B$4/100*Table1[[#This Row],[BW40_3705]]),"")</f>
        <v/>
      </c>
      <c r="H3994" s="7" t="str">
        <f>IF(Table1[[#This Row],[Is Data Valid]]=TRUE,((Table1[[#This Row],[Birthweight (grams)]]*0.9/Table1[[#This Row],[BW_GA]])-1)/(Backend!$B$4/100*Table1[[#This Row],[BW40_3705]]),"")</f>
        <v/>
      </c>
      <c r="I3994" s="7" t="str">
        <f>IF(Table1[[#This Row],[Is Data Valid]]=TRUE,((Table1[[#This Row],[Birthweight (grams)]]*1.1/Table1[[#This Row],[BW_GA]])-1)/(Backend!$B$4/100*Table1[[#This Row],[BW40_3705]]),"")</f>
        <v/>
      </c>
      <c r="J3994" s="7" t="str">
        <f>IF(Table1[[#This Row],[Is Data Valid]]=TRUE,_xlfn.NORM.S.DIST(Table1[[#This Row],[Birthweight Z-Score]],TRUE)*100,"")</f>
        <v/>
      </c>
      <c r="K3994" s="7" t="str">
        <f>IF(Table1[[#This Row],[Is Data Valid]]=TRUE,_xlfn.NORM.S.DIST(Table1[[#This Row],[Birthweight Z-Score (BW-10%)]],TRUE)*100,"")</f>
        <v/>
      </c>
      <c r="L3994" s="7" t="str">
        <f>IF(Table1[[#This Row],[Is Data Valid]]=TRUE,_xlfn.NORM.S.DIST(Table1[[#This Row],[Birthweight Z-Score (BW+10%)]],TRUE)*100,"")</f>
        <v/>
      </c>
    </row>
    <row r="3995" spans="1:12" x14ac:dyDescent="0.35">
      <c r="A3995" s="3"/>
      <c r="B3995" s="2"/>
      <c r="C3995" s="2"/>
      <c r="D3995" s="2" t="b">
        <f>IF(AND(NOT(ISBLANK(Table1[[#This Row],[Fetal Sex (Male, Female or Unknown)]])),ISNUMBER(Table1[[#This Row],[Birthweight (grams)]]),ISNUMBER(Table1[[#This Row],[Gestation (days)]])),TRUE,FALSE)</f>
        <v>0</v>
      </c>
      <c r="E3995" s="2" t="str">
        <f>IF(Table1[[#This Row],[Is Data Valid]]=TRUE,IF(Table1[[#This Row],[Fetal Sex (Male, Female or Unknown)]]="Male",Backend!$C$6,IF(Table1[[#This Row],[Fetal Sex (Male, Female or Unknown)]]="Female",Backend!$C$7,IF(Table1[[#This Row],[Fetal Sex (Male, Female or Unknown)]]="Unknown",Backend!$C$8,"Error"))),"")</f>
        <v/>
      </c>
      <c r="F3995" s="8" t="str">
        <f>IF(Table1[[#This Row],[Is Data Valid]]=TRUE,EXP(0.578+0.332*((Table1[[#This Row],[Gestation (days)]]+0.5)/7)-0.00354*((Table1[[#This Row],[Gestation (days)]]+0.5)/7)^2)*Table1[[#This Row],[BW40_3705]],"")</f>
        <v/>
      </c>
      <c r="G3995" s="2" t="str">
        <f>IF(Table1[[#This Row],[Is Data Valid]]=TRUE,((Table1[[#This Row],[Birthweight (grams)]]/Table1[[#This Row],[BW_GA]])-1)/(Backend!$B$4/100*Table1[[#This Row],[BW40_3705]]),"")</f>
        <v/>
      </c>
      <c r="H3995" s="7" t="str">
        <f>IF(Table1[[#This Row],[Is Data Valid]]=TRUE,((Table1[[#This Row],[Birthweight (grams)]]*0.9/Table1[[#This Row],[BW_GA]])-1)/(Backend!$B$4/100*Table1[[#This Row],[BW40_3705]]),"")</f>
        <v/>
      </c>
      <c r="I3995" s="7" t="str">
        <f>IF(Table1[[#This Row],[Is Data Valid]]=TRUE,((Table1[[#This Row],[Birthweight (grams)]]*1.1/Table1[[#This Row],[BW_GA]])-1)/(Backend!$B$4/100*Table1[[#This Row],[BW40_3705]]),"")</f>
        <v/>
      </c>
      <c r="J3995" s="7" t="str">
        <f>IF(Table1[[#This Row],[Is Data Valid]]=TRUE,_xlfn.NORM.S.DIST(Table1[[#This Row],[Birthweight Z-Score]],TRUE)*100,"")</f>
        <v/>
      </c>
      <c r="K3995" s="7" t="str">
        <f>IF(Table1[[#This Row],[Is Data Valid]]=TRUE,_xlfn.NORM.S.DIST(Table1[[#This Row],[Birthweight Z-Score (BW-10%)]],TRUE)*100,"")</f>
        <v/>
      </c>
      <c r="L3995" s="7" t="str">
        <f>IF(Table1[[#This Row],[Is Data Valid]]=TRUE,_xlfn.NORM.S.DIST(Table1[[#This Row],[Birthweight Z-Score (BW+10%)]],TRUE)*100,"")</f>
        <v/>
      </c>
    </row>
    <row r="3996" spans="1:12" x14ac:dyDescent="0.35">
      <c r="A3996" s="3"/>
      <c r="B3996" s="2"/>
      <c r="C3996" s="2"/>
      <c r="D3996" s="2" t="b">
        <f>IF(AND(NOT(ISBLANK(Table1[[#This Row],[Fetal Sex (Male, Female or Unknown)]])),ISNUMBER(Table1[[#This Row],[Birthweight (grams)]]),ISNUMBER(Table1[[#This Row],[Gestation (days)]])),TRUE,FALSE)</f>
        <v>0</v>
      </c>
      <c r="E3996" s="2" t="str">
        <f>IF(Table1[[#This Row],[Is Data Valid]]=TRUE,IF(Table1[[#This Row],[Fetal Sex (Male, Female or Unknown)]]="Male",Backend!$C$6,IF(Table1[[#This Row],[Fetal Sex (Male, Female or Unknown)]]="Female",Backend!$C$7,IF(Table1[[#This Row],[Fetal Sex (Male, Female or Unknown)]]="Unknown",Backend!$C$8,"Error"))),"")</f>
        <v/>
      </c>
      <c r="F3996" s="8" t="str">
        <f>IF(Table1[[#This Row],[Is Data Valid]]=TRUE,EXP(0.578+0.332*((Table1[[#This Row],[Gestation (days)]]+0.5)/7)-0.00354*((Table1[[#This Row],[Gestation (days)]]+0.5)/7)^2)*Table1[[#This Row],[BW40_3705]],"")</f>
        <v/>
      </c>
      <c r="G3996" s="2" t="str">
        <f>IF(Table1[[#This Row],[Is Data Valid]]=TRUE,((Table1[[#This Row],[Birthweight (grams)]]/Table1[[#This Row],[BW_GA]])-1)/(Backend!$B$4/100*Table1[[#This Row],[BW40_3705]]),"")</f>
        <v/>
      </c>
      <c r="H3996" s="7" t="str">
        <f>IF(Table1[[#This Row],[Is Data Valid]]=TRUE,((Table1[[#This Row],[Birthweight (grams)]]*0.9/Table1[[#This Row],[BW_GA]])-1)/(Backend!$B$4/100*Table1[[#This Row],[BW40_3705]]),"")</f>
        <v/>
      </c>
      <c r="I3996" s="7" t="str">
        <f>IF(Table1[[#This Row],[Is Data Valid]]=TRUE,((Table1[[#This Row],[Birthweight (grams)]]*1.1/Table1[[#This Row],[BW_GA]])-1)/(Backend!$B$4/100*Table1[[#This Row],[BW40_3705]]),"")</f>
        <v/>
      </c>
      <c r="J3996" s="7" t="str">
        <f>IF(Table1[[#This Row],[Is Data Valid]]=TRUE,_xlfn.NORM.S.DIST(Table1[[#This Row],[Birthweight Z-Score]],TRUE)*100,"")</f>
        <v/>
      </c>
      <c r="K3996" s="7" t="str">
        <f>IF(Table1[[#This Row],[Is Data Valid]]=TRUE,_xlfn.NORM.S.DIST(Table1[[#This Row],[Birthweight Z-Score (BW-10%)]],TRUE)*100,"")</f>
        <v/>
      </c>
      <c r="L3996" s="7" t="str">
        <f>IF(Table1[[#This Row],[Is Data Valid]]=TRUE,_xlfn.NORM.S.DIST(Table1[[#This Row],[Birthweight Z-Score (BW+10%)]],TRUE)*100,"")</f>
        <v/>
      </c>
    </row>
    <row r="3997" spans="1:12" x14ac:dyDescent="0.35">
      <c r="A3997" s="3"/>
      <c r="B3997" s="2"/>
      <c r="C3997" s="2"/>
      <c r="D3997" s="2" t="b">
        <f>IF(AND(NOT(ISBLANK(Table1[[#This Row],[Fetal Sex (Male, Female or Unknown)]])),ISNUMBER(Table1[[#This Row],[Birthweight (grams)]]),ISNUMBER(Table1[[#This Row],[Gestation (days)]])),TRUE,FALSE)</f>
        <v>0</v>
      </c>
      <c r="E3997" s="2" t="str">
        <f>IF(Table1[[#This Row],[Is Data Valid]]=TRUE,IF(Table1[[#This Row],[Fetal Sex (Male, Female or Unknown)]]="Male",Backend!$C$6,IF(Table1[[#This Row],[Fetal Sex (Male, Female or Unknown)]]="Female",Backend!$C$7,IF(Table1[[#This Row],[Fetal Sex (Male, Female or Unknown)]]="Unknown",Backend!$C$8,"Error"))),"")</f>
        <v/>
      </c>
      <c r="F3997" s="8" t="str">
        <f>IF(Table1[[#This Row],[Is Data Valid]]=TRUE,EXP(0.578+0.332*((Table1[[#This Row],[Gestation (days)]]+0.5)/7)-0.00354*((Table1[[#This Row],[Gestation (days)]]+0.5)/7)^2)*Table1[[#This Row],[BW40_3705]],"")</f>
        <v/>
      </c>
      <c r="G3997" s="2" t="str">
        <f>IF(Table1[[#This Row],[Is Data Valid]]=TRUE,((Table1[[#This Row],[Birthweight (grams)]]/Table1[[#This Row],[BW_GA]])-1)/(Backend!$B$4/100*Table1[[#This Row],[BW40_3705]]),"")</f>
        <v/>
      </c>
      <c r="H3997" s="7" t="str">
        <f>IF(Table1[[#This Row],[Is Data Valid]]=TRUE,((Table1[[#This Row],[Birthweight (grams)]]*0.9/Table1[[#This Row],[BW_GA]])-1)/(Backend!$B$4/100*Table1[[#This Row],[BW40_3705]]),"")</f>
        <v/>
      </c>
      <c r="I3997" s="7" t="str">
        <f>IF(Table1[[#This Row],[Is Data Valid]]=TRUE,((Table1[[#This Row],[Birthweight (grams)]]*1.1/Table1[[#This Row],[BW_GA]])-1)/(Backend!$B$4/100*Table1[[#This Row],[BW40_3705]]),"")</f>
        <v/>
      </c>
      <c r="J3997" s="7" t="str">
        <f>IF(Table1[[#This Row],[Is Data Valid]]=TRUE,_xlfn.NORM.S.DIST(Table1[[#This Row],[Birthweight Z-Score]],TRUE)*100,"")</f>
        <v/>
      </c>
      <c r="K3997" s="7" t="str">
        <f>IF(Table1[[#This Row],[Is Data Valid]]=TRUE,_xlfn.NORM.S.DIST(Table1[[#This Row],[Birthweight Z-Score (BW-10%)]],TRUE)*100,"")</f>
        <v/>
      </c>
      <c r="L3997" s="7" t="str">
        <f>IF(Table1[[#This Row],[Is Data Valid]]=TRUE,_xlfn.NORM.S.DIST(Table1[[#This Row],[Birthweight Z-Score (BW+10%)]],TRUE)*100,"")</f>
        <v/>
      </c>
    </row>
    <row r="3998" spans="1:12" x14ac:dyDescent="0.35">
      <c r="A3998" s="3"/>
      <c r="B3998" s="2"/>
      <c r="C3998" s="2"/>
      <c r="D3998" s="2" t="b">
        <f>IF(AND(NOT(ISBLANK(Table1[[#This Row],[Fetal Sex (Male, Female or Unknown)]])),ISNUMBER(Table1[[#This Row],[Birthweight (grams)]]),ISNUMBER(Table1[[#This Row],[Gestation (days)]])),TRUE,FALSE)</f>
        <v>0</v>
      </c>
      <c r="E3998" s="2" t="str">
        <f>IF(Table1[[#This Row],[Is Data Valid]]=TRUE,IF(Table1[[#This Row],[Fetal Sex (Male, Female or Unknown)]]="Male",Backend!$C$6,IF(Table1[[#This Row],[Fetal Sex (Male, Female or Unknown)]]="Female",Backend!$C$7,IF(Table1[[#This Row],[Fetal Sex (Male, Female or Unknown)]]="Unknown",Backend!$C$8,"Error"))),"")</f>
        <v/>
      </c>
      <c r="F3998" s="8" t="str">
        <f>IF(Table1[[#This Row],[Is Data Valid]]=TRUE,EXP(0.578+0.332*((Table1[[#This Row],[Gestation (days)]]+0.5)/7)-0.00354*((Table1[[#This Row],[Gestation (days)]]+0.5)/7)^2)*Table1[[#This Row],[BW40_3705]],"")</f>
        <v/>
      </c>
      <c r="G3998" s="2" t="str">
        <f>IF(Table1[[#This Row],[Is Data Valid]]=TRUE,((Table1[[#This Row],[Birthweight (grams)]]/Table1[[#This Row],[BW_GA]])-1)/(Backend!$B$4/100*Table1[[#This Row],[BW40_3705]]),"")</f>
        <v/>
      </c>
      <c r="H3998" s="7" t="str">
        <f>IF(Table1[[#This Row],[Is Data Valid]]=TRUE,((Table1[[#This Row],[Birthweight (grams)]]*0.9/Table1[[#This Row],[BW_GA]])-1)/(Backend!$B$4/100*Table1[[#This Row],[BW40_3705]]),"")</f>
        <v/>
      </c>
      <c r="I3998" s="7" t="str">
        <f>IF(Table1[[#This Row],[Is Data Valid]]=TRUE,((Table1[[#This Row],[Birthweight (grams)]]*1.1/Table1[[#This Row],[BW_GA]])-1)/(Backend!$B$4/100*Table1[[#This Row],[BW40_3705]]),"")</f>
        <v/>
      </c>
      <c r="J3998" s="7" t="str">
        <f>IF(Table1[[#This Row],[Is Data Valid]]=TRUE,_xlfn.NORM.S.DIST(Table1[[#This Row],[Birthweight Z-Score]],TRUE)*100,"")</f>
        <v/>
      </c>
      <c r="K3998" s="7" t="str">
        <f>IF(Table1[[#This Row],[Is Data Valid]]=TRUE,_xlfn.NORM.S.DIST(Table1[[#This Row],[Birthweight Z-Score (BW-10%)]],TRUE)*100,"")</f>
        <v/>
      </c>
      <c r="L3998" s="7" t="str">
        <f>IF(Table1[[#This Row],[Is Data Valid]]=TRUE,_xlfn.NORM.S.DIST(Table1[[#This Row],[Birthweight Z-Score (BW+10%)]],TRUE)*100,"")</f>
        <v/>
      </c>
    </row>
    <row r="3999" spans="1:12" x14ac:dyDescent="0.35">
      <c r="A3999" s="3"/>
      <c r="B3999" s="2"/>
      <c r="C3999" s="2"/>
      <c r="D3999" s="2" t="b">
        <f>IF(AND(NOT(ISBLANK(Table1[[#This Row],[Fetal Sex (Male, Female or Unknown)]])),ISNUMBER(Table1[[#This Row],[Birthweight (grams)]]),ISNUMBER(Table1[[#This Row],[Gestation (days)]])),TRUE,FALSE)</f>
        <v>0</v>
      </c>
      <c r="E3999" s="2" t="str">
        <f>IF(Table1[[#This Row],[Is Data Valid]]=TRUE,IF(Table1[[#This Row],[Fetal Sex (Male, Female or Unknown)]]="Male",Backend!$C$6,IF(Table1[[#This Row],[Fetal Sex (Male, Female or Unknown)]]="Female",Backend!$C$7,IF(Table1[[#This Row],[Fetal Sex (Male, Female or Unknown)]]="Unknown",Backend!$C$8,"Error"))),"")</f>
        <v/>
      </c>
      <c r="F3999" s="8" t="str">
        <f>IF(Table1[[#This Row],[Is Data Valid]]=TRUE,EXP(0.578+0.332*((Table1[[#This Row],[Gestation (days)]]+0.5)/7)-0.00354*((Table1[[#This Row],[Gestation (days)]]+0.5)/7)^2)*Table1[[#This Row],[BW40_3705]],"")</f>
        <v/>
      </c>
      <c r="G3999" s="2" t="str">
        <f>IF(Table1[[#This Row],[Is Data Valid]]=TRUE,((Table1[[#This Row],[Birthweight (grams)]]/Table1[[#This Row],[BW_GA]])-1)/(Backend!$B$4/100*Table1[[#This Row],[BW40_3705]]),"")</f>
        <v/>
      </c>
      <c r="H3999" s="7" t="str">
        <f>IF(Table1[[#This Row],[Is Data Valid]]=TRUE,((Table1[[#This Row],[Birthweight (grams)]]*0.9/Table1[[#This Row],[BW_GA]])-1)/(Backend!$B$4/100*Table1[[#This Row],[BW40_3705]]),"")</f>
        <v/>
      </c>
      <c r="I3999" s="7" t="str">
        <f>IF(Table1[[#This Row],[Is Data Valid]]=TRUE,((Table1[[#This Row],[Birthweight (grams)]]*1.1/Table1[[#This Row],[BW_GA]])-1)/(Backend!$B$4/100*Table1[[#This Row],[BW40_3705]]),"")</f>
        <v/>
      </c>
      <c r="J3999" s="7" t="str">
        <f>IF(Table1[[#This Row],[Is Data Valid]]=TRUE,_xlfn.NORM.S.DIST(Table1[[#This Row],[Birthweight Z-Score]],TRUE)*100,"")</f>
        <v/>
      </c>
      <c r="K3999" s="7" t="str">
        <f>IF(Table1[[#This Row],[Is Data Valid]]=TRUE,_xlfn.NORM.S.DIST(Table1[[#This Row],[Birthweight Z-Score (BW-10%)]],TRUE)*100,"")</f>
        <v/>
      </c>
      <c r="L3999" s="7" t="str">
        <f>IF(Table1[[#This Row],[Is Data Valid]]=TRUE,_xlfn.NORM.S.DIST(Table1[[#This Row],[Birthweight Z-Score (BW+10%)]],TRUE)*100,"")</f>
        <v/>
      </c>
    </row>
    <row r="4000" spans="1:12" x14ac:dyDescent="0.35">
      <c r="A4000" s="3"/>
      <c r="B4000" s="2"/>
      <c r="C4000" s="2"/>
      <c r="D4000" s="2" t="b">
        <f>IF(AND(NOT(ISBLANK(Table1[[#This Row],[Fetal Sex (Male, Female or Unknown)]])),ISNUMBER(Table1[[#This Row],[Birthweight (grams)]]),ISNUMBER(Table1[[#This Row],[Gestation (days)]])),TRUE,FALSE)</f>
        <v>0</v>
      </c>
      <c r="E4000" s="2" t="str">
        <f>IF(Table1[[#This Row],[Is Data Valid]]=TRUE,IF(Table1[[#This Row],[Fetal Sex (Male, Female or Unknown)]]="Male",Backend!$C$6,IF(Table1[[#This Row],[Fetal Sex (Male, Female or Unknown)]]="Female",Backend!$C$7,IF(Table1[[#This Row],[Fetal Sex (Male, Female or Unknown)]]="Unknown",Backend!$C$8,"Error"))),"")</f>
        <v/>
      </c>
      <c r="F4000" s="8" t="str">
        <f>IF(Table1[[#This Row],[Is Data Valid]]=TRUE,EXP(0.578+0.332*((Table1[[#This Row],[Gestation (days)]]+0.5)/7)-0.00354*((Table1[[#This Row],[Gestation (days)]]+0.5)/7)^2)*Table1[[#This Row],[BW40_3705]],"")</f>
        <v/>
      </c>
      <c r="G4000" s="2" t="str">
        <f>IF(Table1[[#This Row],[Is Data Valid]]=TRUE,((Table1[[#This Row],[Birthweight (grams)]]/Table1[[#This Row],[BW_GA]])-1)/(Backend!$B$4/100*Table1[[#This Row],[BW40_3705]]),"")</f>
        <v/>
      </c>
      <c r="H4000" s="7" t="str">
        <f>IF(Table1[[#This Row],[Is Data Valid]]=TRUE,((Table1[[#This Row],[Birthweight (grams)]]*0.9/Table1[[#This Row],[BW_GA]])-1)/(Backend!$B$4/100*Table1[[#This Row],[BW40_3705]]),"")</f>
        <v/>
      </c>
      <c r="I4000" s="7" t="str">
        <f>IF(Table1[[#This Row],[Is Data Valid]]=TRUE,((Table1[[#This Row],[Birthweight (grams)]]*1.1/Table1[[#This Row],[BW_GA]])-1)/(Backend!$B$4/100*Table1[[#This Row],[BW40_3705]]),"")</f>
        <v/>
      </c>
      <c r="J4000" s="7" t="str">
        <f>IF(Table1[[#This Row],[Is Data Valid]]=TRUE,_xlfn.NORM.S.DIST(Table1[[#This Row],[Birthweight Z-Score]],TRUE)*100,"")</f>
        <v/>
      </c>
      <c r="K4000" s="7" t="str">
        <f>IF(Table1[[#This Row],[Is Data Valid]]=TRUE,_xlfn.NORM.S.DIST(Table1[[#This Row],[Birthweight Z-Score (BW-10%)]],TRUE)*100,"")</f>
        <v/>
      </c>
      <c r="L4000" s="7" t="str">
        <f>IF(Table1[[#This Row],[Is Data Valid]]=TRUE,_xlfn.NORM.S.DIST(Table1[[#This Row],[Birthweight Z-Score (BW+10%)]],TRUE)*100,"")</f>
        <v/>
      </c>
    </row>
    <row r="4001" spans="1:12" x14ac:dyDescent="0.35">
      <c r="A4001" s="3"/>
      <c r="B4001" s="2"/>
      <c r="C4001" s="2"/>
      <c r="D4001" s="2" t="b">
        <f>IF(AND(NOT(ISBLANK(Table1[[#This Row],[Fetal Sex (Male, Female or Unknown)]])),ISNUMBER(Table1[[#This Row],[Birthweight (grams)]]),ISNUMBER(Table1[[#This Row],[Gestation (days)]])),TRUE,FALSE)</f>
        <v>0</v>
      </c>
      <c r="E4001" s="2" t="str">
        <f>IF(Table1[[#This Row],[Is Data Valid]]=TRUE,IF(Table1[[#This Row],[Fetal Sex (Male, Female or Unknown)]]="Male",Backend!$C$6,IF(Table1[[#This Row],[Fetal Sex (Male, Female or Unknown)]]="Female",Backend!$C$7,IF(Table1[[#This Row],[Fetal Sex (Male, Female or Unknown)]]="Unknown",Backend!$C$8,"Error"))),"")</f>
        <v/>
      </c>
      <c r="F4001" s="8" t="str">
        <f>IF(Table1[[#This Row],[Is Data Valid]]=TRUE,EXP(0.578+0.332*((Table1[[#This Row],[Gestation (days)]]+0.5)/7)-0.00354*((Table1[[#This Row],[Gestation (days)]]+0.5)/7)^2)*Table1[[#This Row],[BW40_3705]],"")</f>
        <v/>
      </c>
      <c r="G4001" s="2" t="str">
        <f>IF(Table1[[#This Row],[Is Data Valid]]=TRUE,((Table1[[#This Row],[Birthweight (grams)]]/Table1[[#This Row],[BW_GA]])-1)/(Backend!$B$4/100*Table1[[#This Row],[BW40_3705]]),"")</f>
        <v/>
      </c>
      <c r="H4001" s="7" t="str">
        <f>IF(Table1[[#This Row],[Is Data Valid]]=TRUE,((Table1[[#This Row],[Birthweight (grams)]]*0.9/Table1[[#This Row],[BW_GA]])-1)/(Backend!$B$4/100*Table1[[#This Row],[BW40_3705]]),"")</f>
        <v/>
      </c>
      <c r="I4001" s="7" t="str">
        <f>IF(Table1[[#This Row],[Is Data Valid]]=TRUE,((Table1[[#This Row],[Birthweight (grams)]]*1.1/Table1[[#This Row],[BW_GA]])-1)/(Backend!$B$4/100*Table1[[#This Row],[BW40_3705]]),"")</f>
        <v/>
      </c>
      <c r="J4001" s="7" t="str">
        <f>IF(Table1[[#This Row],[Is Data Valid]]=TRUE,_xlfn.NORM.S.DIST(Table1[[#This Row],[Birthweight Z-Score]],TRUE)*100,"")</f>
        <v/>
      </c>
      <c r="K4001" s="7" t="str">
        <f>IF(Table1[[#This Row],[Is Data Valid]]=TRUE,_xlfn.NORM.S.DIST(Table1[[#This Row],[Birthweight Z-Score (BW-10%)]],TRUE)*100,"")</f>
        <v/>
      </c>
      <c r="L4001" s="7" t="str">
        <f>IF(Table1[[#This Row],[Is Data Valid]]=TRUE,_xlfn.NORM.S.DIST(Table1[[#This Row],[Birthweight Z-Score (BW+10%)]],TRUE)*100,"")</f>
        <v/>
      </c>
    </row>
    <row r="4002" spans="1:12" x14ac:dyDescent="0.35">
      <c r="A4002" s="3"/>
      <c r="B4002" s="2"/>
      <c r="C4002" s="2"/>
      <c r="D4002" s="2" t="b">
        <f>IF(AND(NOT(ISBLANK(Table1[[#This Row],[Fetal Sex (Male, Female or Unknown)]])),ISNUMBER(Table1[[#This Row],[Birthweight (grams)]]),ISNUMBER(Table1[[#This Row],[Gestation (days)]])),TRUE,FALSE)</f>
        <v>0</v>
      </c>
      <c r="E4002" s="2" t="str">
        <f>IF(Table1[[#This Row],[Is Data Valid]]=TRUE,IF(Table1[[#This Row],[Fetal Sex (Male, Female or Unknown)]]="Male",Backend!$C$6,IF(Table1[[#This Row],[Fetal Sex (Male, Female or Unknown)]]="Female",Backend!$C$7,IF(Table1[[#This Row],[Fetal Sex (Male, Female or Unknown)]]="Unknown",Backend!$C$8,"Error"))),"")</f>
        <v/>
      </c>
      <c r="F4002" s="8" t="str">
        <f>IF(Table1[[#This Row],[Is Data Valid]]=TRUE,EXP(0.578+0.332*((Table1[[#This Row],[Gestation (days)]]+0.5)/7)-0.00354*((Table1[[#This Row],[Gestation (days)]]+0.5)/7)^2)*Table1[[#This Row],[BW40_3705]],"")</f>
        <v/>
      </c>
      <c r="G4002" s="2" t="str">
        <f>IF(Table1[[#This Row],[Is Data Valid]]=TRUE,((Table1[[#This Row],[Birthweight (grams)]]/Table1[[#This Row],[BW_GA]])-1)/(Backend!$B$4/100*Table1[[#This Row],[BW40_3705]]),"")</f>
        <v/>
      </c>
      <c r="H4002" s="7" t="str">
        <f>IF(Table1[[#This Row],[Is Data Valid]]=TRUE,((Table1[[#This Row],[Birthweight (grams)]]*0.9/Table1[[#This Row],[BW_GA]])-1)/(Backend!$B$4/100*Table1[[#This Row],[BW40_3705]]),"")</f>
        <v/>
      </c>
      <c r="I4002" s="7" t="str">
        <f>IF(Table1[[#This Row],[Is Data Valid]]=TRUE,((Table1[[#This Row],[Birthweight (grams)]]*1.1/Table1[[#This Row],[BW_GA]])-1)/(Backend!$B$4/100*Table1[[#This Row],[BW40_3705]]),"")</f>
        <v/>
      </c>
      <c r="J4002" s="7" t="str">
        <f>IF(Table1[[#This Row],[Is Data Valid]]=TRUE,_xlfn.NORM.S.DIST(Table1[[#This Row],[Birthweight Z-Score]],TRUE)*100,"")</f>
        <v/>
      </c>
      <c r="K4002" s="7" t="str">
        <f>IF(Table1[[#This Row],[Is Data Valid]]=TRUE,_xlfn.NORM.S.DIST(Table1[[#This Row],[Birthweight Z-Score (BW-10%)]],TRUE)*100,"")</f>
        <v/>
      </c>
      <c r="L4002" s="7" t="str">
        <f>IF(Table1[[#This Row],[Is Data Valid]]=TRUE,_xlfn.NORM.S.DIST(Table1[[#This Row],[Birthweight Z-Score (BW+10%)]],TRUE)*100,"")</f>
        <v/>
      </c>
    </row>
    <row r="4003" spans="1:12" x14ac:dyDescent="0.35">
      <c r="A4003" s="3"/>
      <c r="B4003" s="2"/>
      <c r="C4003" s="2"/>
      <c r="D4003" s="2" t="b">
        <f>IF(AND(NOT(ISBLANK(Table1[[#This Row],[Fetal Sex (Male, Female or Unknown)]])),ISNUMBER(Table1[[#This Row],[Birthweight (grams)]]),ISNUMBER(Table1[[#This Row],[Gestation (days)]])),TRUE,FALSE)</f>
        <v>0</v>
      </c>
      <c r="E4003" s="2" t="str">
        <f>IF(Table1[[#This Row],[Is Data Valid]]=TRUE,IF(Table1[[#This Row],[Fetal Sex (Male, Female or Unknown)]]="Male",Backend!$C$6,IF(Table1[[#This Row],[Fetal Sex (Male, Female or Unknown)]]="Female",Backend!$C$7,IF(Table1[[#This Row],[Fetal Sex (Male, Female or Unknown)]]="Unknown",Backend!$C$8,"Error"))),"")</f>
        <v/>
      </c>
      <c r="F4003" s="8" t="str">
        <f>IF(Table1[[#This Row],[Is Data Valid]]=TRUE,EXP(0.578+0.332*((Table1[[#This Row],[Gestation (days)]]+0.5)/7)-0.00354*((Table1[[#This Row],[Gestation (days)]]+0.5)/7)^2)*Table1[[#This Row],[BW40_3705]],"")</f>
        <v/>
      </c>
      <c r="G4003" s="2" t="str">
        <f>IF(Table1[[#This Row],[Is Data Valid]]=TRUE,((Table1[[#This Row],[Birthweight (grams)]]/Table1[[#This Row],[BW_GA]])-1)/(Backend!$B$4/100*Table1[[#This Row],[BW40_3705]]),"")</f>
        <v/>
      </c>
      <c r="H4003" s="7" t="str">
        <f>IF(Table1[[#This Row],[Is Data Valid]]=TRUE,((Table1[[#This Row],[Birthweight (grams)]]*0.9/Table1[[#This Row],[BW_GA]])-1)/(Backend!$B$4/100*Table1[[#This Row],[BW40_3705]]),"")</f>
        <v/>
      </c>
      <c r="I4003" s="7" t="str">
        <f>IF(Table1[[#This Row],[Is Data Valid]]=TRUE,((Table1[[#This Row],[Birthweight (grams)]]*1.1/Table1[[#This Row],[BW_GA]])-1)/(Backend!$B$4/100*Table1[[#This Row],[BW40_3705]]),"")</f>
        <v/>
      </c>
      <c r="J4003" s="7" t="str">
        <f>IF(Table1[[#This Row],[Is Data Valid]]=TRUE,_xlfn.NORM.S.DIST(Table1[[#This Row],[Birthweight Z-Score]],TRUE)*100,"")</f>
        <v/>
      </c>
      <c r="K4003" s="7" t="str">
        <f>IF(Table1[[#This Row],[Is Data Valid]]=TRUE,_xlfn.NORM.S.DIST(Table1[[#This Row],[Birthweight Z-Score (BW-10%)]],TRUE)*100,"")</f>
        <v/>
      </c>
      <c r="L4003" s="7" t="str">
        <f>IF(Table1[[#This Row],[Is Data Valid]]=TRUE,_xlfn.NORM.S.DIST(Table1[[#This Row],[Birthweight Z-Score (BW+10%)]],TRUE)*100,"")</f>
        <v/>
      </c>
    </row>
    <row r="4004" spans="1:12" x14ac:dyDescent="0.35">
      <c r="A4004" s="3"/>
      <c r="B4004" s="2"/>
      <c r="C4004" s="2"/>
      <c r="D4004" s="2" t="b">
        <f>IF(AND(NOT(ISBLANK(Table1[[#This Row],[Fetal Sex (Male, Female or Unknown)]])),ISNUMBER(Table1[[#This Row],[Birthweight (grams)]]),ISNUMBER(Table1[[#This Row],[Gestation (days)]])),TRUE,FALSE)</f>
        <v>0</v>
      </c>
      <c r="E4004" s="2" t="str">
        <f>IF(Table1[[#This Row],[Is Data Valid]]=TRUE,IF(Table1[[#This Row],[Fetal Sex (Male, Female or Unknown)]]="Male",Backend!$C$6,IF(Table1[[#This Row],[Fetal Sex (Male, Female or Unknown)]]="Female",Backend!$C$7,IF(Table1[[#This Row],[Fetal Sex (Male, Female or Unknown)]]="Unknown",Backend!$C$8,"Error"))),"")</f>
        <v/>
      </c>
      <c r="F4004" s="8" t="str">
        <f>IF(Table1[[#This Row],[Is Data Valid]]=TRUE,EXP(0.578+0.332*((Table1[[#This Row],[Gestation (days)]]+0.5)/7)-0.00354*((Table1[[#This Row],[Gestation (days)]]+0.5)/7)^2)*Table1[[#This Row],[BW40_3705]],"")</f>
        <v/>
      </c>
      <c r="G4004" s="2" t="str">
        <f>IF(Table1[[#This Row],[Is Data Valid]]=TRUE,((Table1[[#This Row],[Birthweight (grams)]]/Table1[[#This Row],[BW_GA]])-1)/(Backend!$B$4/100*Table1[[#This Row],[BW40_3705]]),"")</f>
        <v/>
      </c>
      <c r="H4004" s="7" t="str">
        <f>IF(Table1[[#This Row],[Is Data Valid]]=TRUE,((Table1[[#This Row],[Birthweight (grams)]]*0.9/Table1[[#This Row],[BW_GA]])-1)/(Backend!$B$4/100*Table1[[#This Row],[BW40_3705]]),"")</f>
        <v/>
      </c>
      <c r="I4004" s="7" t="str">
        <f>IF(Table1[[#This Row],[Is Data Valid]]=TRUE,((Table1[[#This Row],[Birthweight (grams)]]*1.1/Table1[[#This Row],[BW_GA]])-1)/(Backend!$B$4/100*Table1[[#This Row],[BW40_3705]]),"")</f>
        <v/>
      </c>
      <c r="J4004" s="7" t="str">
        <f>IF(Table1[[#This Row],[Is Data Valid]]=TRUE,_xlfn.NORM.S.DIST(Table1[[#This Row],[Birthweight Z-Score]],TRUE)*100,"")</f>
        <v/>
      </c>
      <c r="K4004" s="7" t="str">
        <f>IF(Table1[[#This Row],[Is Data Valid]]=TRUE,_xlfn.NORM.S.DIST(Table1[[#This Row],[Birthweight Z-Score (BW-10%)]],TRUE)*100,"")</f>
        <v/>
      </c>
      <c r="L4004" s="7" t="str">
        <f>IF(Table1[[#This Row],[Is Data Valid]]=TRUE,_xlfn.NORM.S.DIST(Table1[[#This Row],[Birthweight Z-Score (BW+10%)]],TRUE)*100,"")</f>
        <v/>
      </c>
    </row>
    <row r="4005" spans="1:12" x14ac:dyDescent="0.35">
      <c r="A4005" s="3"/>
      <c r="B4005" s="2"/>
      <c r="C4005" s="2"/>
      <c r="D4005" s="2" t="b">
        <f>IF(AND(NOT(ISBLANK(Table1[[#This Row],[Fetal Sex (Male, Female or Unknown)]])),ISNUMBER(Table1[[#This Row],[Birthweight (grams)]]),ISNUMBER(Table1[[#This Row],[Gestation (days)]])),TRUE,FALSE)</f>
        <v>0</v>
      </c>
      <c r="E4005" s="2" t="str">
        <f>IF(Table1[[#This Row],[Is Data Valid]]=TRUE,IF(Table1[[#This Row],[Fetal Sex (Male, Female or Unknown)]]="Male",Backend!$C$6,IF(Table1[[#This Row],[Fetal Sex (Male, Female or Unknown)]]="Female",Backend!$C$7,IF(Table1[[#This Row],[Fetal Sex (Male, Female or Unknown)]]="Unknown",Backend!$C$8,"Error"))),"")</f>
        <v/>
      </c>
      <c r="F4005" s="8" t="str">
        <f>IF(Table1[[#This Row],[Is Data Valid]]=TRUE,EXP(0.578+0.332*((Table1[[#This Row],[Gestation (days)]]+0.5)/7)-0.00354*((Table1[[#This Row],[Gestation (days)]]+0.5)/7)^2)*Table1[[#This Row],[BW40_3705]],"")</f>
        <v/>
      </c>
      <c r="G4005" s="2" t="str">
        <f>IF(Table1[[#This Row],[Is Data Valid]]=TRUE,((Table1[[#This Row],[Birthweight (grams)]]/Table1[[#This Row],[BW_GA]])-1)/(Backend!$B$4/100*Table1[[#This Row],[BW40_3705]]),"")</f>
        <v/>
      </c>
      <c r="H4005" s="7" t="str">
        <f>IF(Table1[[#This Row],[Is Data Valid]]=TRUE,((Table1[[#This Row],[Birthweight (grams)]]*0.9/Table1[[#This Row],[BW_GA]])-1)/(Backend!$B$4/100*Table1[[#This Row],[BW40_3705]]),"")</f>
        <v/>
      </c>
      <c r="I4005" s="7" t="str">
        <f>IF(Table1[[#This Row],[Is Data Valid]]=TRUE,((Table1[[#This Row],[Birthweight (grams)]]*1.1/Table1[[#This Row],[BW_GA]])-1)/(Backend!$B$4/100*Table1[[#This Row],[BW40_3705]]),"")</f>
        <v/>
      </c>
      <c r="J4005" s="7" t="str">
        <f>IF(Table1[[#This Row],[Is Data Valid]]=TRUE,_xlfn.NORM.S.DIST(Table1[[#This Row],[Birthweight Z-Score]],TRUE)*100,"")</f>
        <v/>
      </c>
      <c r="K4005" s="7" t="str">
        <f>IF(Table1[[#This Row],[Is Data Valid]]=TRUE,_xlfn.NORM.S.DIST(Table1[[#This Row],[Birthweight Z-Score (BW-10%)]],TRUE)*100,"")</f>
        <v/>
      </c>
      <c r="L4005" s="7" t="str">
        <f>IF(Table1[[#This Row],[Is Data Valid]]=TRUE,_xlfn.NORM.S.DIST(Table1[[#This Row],[Birthweight Z-Score (BW+10%)]],TRUE)*100,"")</f>
        <v/>
      </c>
    </row>
    <row r="4006" spans="1:12" x14ac:dyDescent="0.35">
      <c r="A4006" s="3"/>
      <c r="B4006" s="2"/>
      <c r="C4006" s="2"/>
      <c r="D4006" s="2" t="b">
        <f>IF(AND(NOT(ISBLANK(Table1[[#This Row],[Fetal Sex (Male, Female or Unknown)]])),ISNUMBER(Table1[[#This Row],[Birthweight (grams)]]),ISNUMBER(Table1[[#This Row],[Gestation (days)]])),TRUE,FALSE)</f>
        <v>0</v>
      </c>
      <c r="E4006" s="2" t="str">
        <f>IF(Table1[[#This Row],[Is Data Valid]]=TRUE,IF(Table1[[#This Row],[Fetal Sex (Male, Female or Unknown)]]="Male",Backend!$C$6,IF(Table1[[#This Row],[Fetal Sex (Male, Female or Unknown)]]="Female",Backend!$C$7,IF(Table1[[#This Row],[Fetal Sex (Male, Female or Unknown)]]="Unknown",Backend!$C$8,"Error"))),"")</f>
        <v/>
      </c>
      <c r="F4006" s="8" t="str">
        <f>IF(Table1[[#This Row],[Is Data Valid]]=TRUE,EXP(0.578+0.332*((Table1[[#This Row],[Gestation (days)]]+0.5)/7)-0.00354*((Table1[[#This Row],[Gestation (days)]]+0.5)/7)^2)*Table1[[#This Row],[BW40_3705]],"")</f>
        <v/>
      </c>
      <c r="G4006" s="2" t="str">
        <f>IF(Table1[[#This Row],[Is Data Valid]]=TRUE,((Table1[[#This Row],[Birthweight (grams)]]/Table1[[#This Row],[BW_GA]])-1)/(Backend!$B$4/100*Table1[[#This Row],[BW40_3705]]),"")</f>
        <v/>
      </c>
      <c r="H4006" s="7" t="str">
        <f>IF(Table1[[#This Row],[Is Data Valid]]=TRUE,((Table1[[#This Row],[Birthweight (grams)]]*0.9/Table1[[#This Row],[BW_GA]])-1)/(Backend!$B$4/100*Table1[[#This Row],[BW40_3705]]),"")</f>
        <v/>
      </c>
      <c r="I4006" s="7" t="str">
        <f>IF(Table1[[#This Row],[Is Data Valid]]=TRUE,((Table1[[#This Row],[Birthweight (grams)]]*1.1/Table1[[#This Row],[BW_GA]])-1)/(Backend!$B$4/100*Table1[[#This Row],[BW40_3705]]),"")</f>
        <v/>
      </c>
      <c r="J4006" s="7" t="str">
        <f>IF(Table1[[#This Row],[Is Data Valid]]=TRUE,_xlfn.NORM.S.DIST(Table1[[#This Row],[Birthweight Z-Score]],TRUE)*100,"")</f>
        <v/>
      </c>
      <c r="K4006" s="7" t="str">
        <f>IF(Table1[[#This Row],[Is Data Valid]]=TRUE,_xlfn.NORM.S.DIST(Table1[[#This Row],[Birthweight Z-Score (BW-10%)]],TRUE)*100,"")</f>
        <v/>
      </c>
      <c r="L4006" s="7" t="str">
        <f>IF(Table1[[#This Row],[Is Data Valid]]=TRUE,_xlfn.NORM.S.DIST(Table1[[#This Row],[Birthweight Z-Score (BW+10%)]],TRUE)*100,"")</f>
        <v/>
      </c>
    </row>
    <row r="4007" spans="1:12" x14ac:dyDescent="0.35">
      <c r="A4007" s="3"/>
      <c r="B4007" s="2"/>
      <c r="C4007" s="2"/>
      <c r="D4007" s="2" t="b">
        <f>IF(AND(NOT(ISBLANK(Table1[[#This Row],[Fetal Sex (Male, Female or Unknown)]])),ISNUMBER(Table1[[#This Row],[Birthweight (grams)]]),ISNUMBER(Table1[[#This Row],[Gestation (days)]])),TRUE,FALSE)</f>
        <v>0</v>
      </c>
      <c r="E4007" s="2" t="str">
        <f>IF(Table1[[#This Row],[Is Data Valid]]=TRUE,IF(Table1[[#This Row],[Fetal Sex (Male, Female or Unknown)]]="Male",Backend!$C$6,IF(Table1[[#This Row],[Fetal Sex (Male, Female or Unknown)]]="Female",Backend!$C$7,IF(Table1[[#This Row],[Fetal Sex (Male, Female or Unknown)]]="Unknown",Backend!$C$8,"Error"))),"")</f>
        <v/>
      </c>
      <c r="F4007" s="8" t="str">
        <f>IF(Table1[[#This Row],[Is Data Valid]]=TRUE,EXP(0.578+0.332*((Table1[[#This Row],[Gestation (days)]]+0.5)/7)-0.00354*((Table1[[#This Row],[Gestation (days)]]+0.5)/7)^2)*Table1[[#This Row],[BW40_3705]],"")</f>
        <v/>
      </c>
      <c r="G4007" s="2" t="str">
        <f>IF(Table1[[#This Row],[Is Data Valid]]=TRUE,((Table1[[#This Row],[Birthweight (grams)]]/Table1[[#This Row],[BW_GA]])-1)/(Backend!$B$4/100*Table1[[#This Row],[BW40_3705]]),"")</f>
        <v/>
      </c>
      <c r="H4007" s="7" t="str">
        <f>IF(Table1[[#This Row],[Is Data Valid]]=TRUE,((Table1[[#This Row],[Birthweight (grams)]]*0.9/Table1[[#This Row],[BW_GA]])-1)/(Backend!$B$4/100*Table1[[#This Row],[BW40_3705]]),"")</f>
        <v/>
      </c>
      <c r="I4007" s="7" t="str">
        <f>IF(Table1[[#This Row],[Is Data Valid]]=TRUE,((Table1[[#This Row],[Birthweight (grams)]]*1.1/Table1[[#This Row],[BW_GA]])-1)/(Backend!$B$4/100*Table1[[#This Row],[BW40_3705]]),"")</f>
        <v/>
      </c>
      <c r="J4007" s="7" t="str">
        <f>IF(Table1[[#This Row],[Is Data Valid]]=TRUE,_xlfn.NORM.S.DIST(Table1[[#This Row],[Birthweight Z-Score]],TRUE)*100,"")</f>
        <v/>
      </c>
      <c r="K4007" s="7" t="str">
        <f>IF(Table1[[#This Row],[Is Data Valid]]=TRUE,_xlfn.NORM.S.DIST(Table1[[#This Row],[Birthweight Z-Score (BW-10%)]],TRUE)*100,"")</f>
        <v/>
      </c>
      <c r="L4007" s="7" t="str">
        <f>IF(Table1[[#This Row],[Is Data Valid]]=TRUE,_xlfn.NORM.S.DIST(Table1[[#This Row],[Birthweight Z-Score (BW+10%)]],TRUE)*100,"")</f>
        <v/>
      </c>
    </row>
    <row r="4008" spans="1:12" x14ac:dyDescent="0.35">
      <c r="A4008" s="3"/>
      <c r="B4008" s="2"/>
      <c r="C4008" s="2"/>
      <c r="D4008" s="2" t="b">
        <f>IF(AND(NOT(ISBLANK(Table1[[#This Row],[Fetal Sex (Male, Female or Unknown)]])),ISNUMBER(Table1[[#This Row],[Birthweight (grams)]]),ISNUMBER(Table1[[#This Row],[Gestation (days)]])),TRUE,FALSE)</f>
        <v>0</v>
      </c>
      <c r="E4008" s="2" t="str">
        <f>IF(Table1[[#This Row],[Is Data Valid]]=TRUE,IF(Table1[[#This Row],[Fetal Sex (Male, Female or Unknown)]]="Male",Backend!$C$6,IF(Table1[[#This Row],[Fetal Sex (Male, Female or Unknown)]]="Female",Backend!$C$7,IF(Table1[[#This Row],[Fetal Sex (Male, Female or Unknown)]]="Unknown",Backend!$C$8,"Error"))),"")</f>
        <v/>
      </c>
      <c r="F4008" s="8" t="str">
        <f>IF(Table1[[#This Row],[Is Data Valid]]=TRUE,EXP(0.578+0.332*((Table1[[#This Row],[Gestation (days)]]+0.5)/7)-0.00354*((Table1[[#This Row],[Gestation (days)]]+0.5)/7)^2)*Table1[[#This Row],[BW40_3705]],"")</f>
        <v/>
      </c>
      <c r="G4008" s="2" t="str">
        <f>IF(Table1[[#This Row],[Is Data Valid]]=TRUE,((Table1[[#This Row],[Birthweight (grams)]]/Table1[[#This Row],[BW_GA]])-1)/(Backend!$B$4/100*Table1[[#This Row],[BW40_3705]]),"")</f>
        <v/>
      </c>
      <c r="H4008" s="7" t="str">
        <f>IF(Table1[[#This Row],[Is Data Valid]]=TRUE,((Table1[[#This Row],[Birthweight (grams)]]*0.9/Table1[[#This Row],[BW_GA]])-1)/(Backend!$B$4/100*Table1[[#This Row],[BW40_3705]]),"")</f>
        <v/>
      </c>
      <c r="I4008" s="7" t="str">
        <f>IF(Table1[[#This Row],[Is Data Valid]]=TRUE,((Table1[[#This Row],[Birthweight (grams)]]*1.1/Table1[[#This Row],[BW_GA]])-1)/(Backend!$B$4/100*Table1[[#This Row],[BW40_3705]]),"")</f>
        <v/>
      </c>
      <c r="J4008" s="7" t="str">
        <f>IF(Table1[[#This Row],[Is Data Valid]]=TRUE,_xlfn.NORM.S.DIST(Table1[[#This Row],[Birthweight Z-Score]],TRUE)*100,"")</f>
        <v/>
      </c>
      <c r="K4008" s="7" t="str">
        <f>IF(Table1[[#This Row],[Is Data Valid]]=TRUE,_xlfn.NORM.S.DIST(Table1[[#This Row],[Birthweight Z-Score (BW-10%)]],TRUE)*100,"")</f>
        <v/>
      </c>
      <c r="L4008" s="7" t="str">
        <f>IF(Table1[[#This Row],[Is Data Valid]]=TRUE,_xlfn.NORM.S.DIST(Table1[[#This Row],[Birthweight Z-Score (BW+10%)]],TRUE)*100,"")</f>
        <v/>
      </c>
    </row>
    <row r="4009" spans="1:12" x14ac:dyDescent="0.35">
      <c r="A4009" s="3"/>
      <c r="B4009" s="2"/>
      <c r="C4009" s="2"/>
      <c r="D4009" s="2" t="b">
        <f>IF(AND(NOT(ISBLANK(Table1[[#This Row],[Fetal Sex (Male, Female or Unknown)]])),ISNUMBER(Table1[[#This Row],[Birthweight (grams)]]),ISNUMBER(Table1[[#This Row],[Gestation (days)]])),TRUE,FALSE)</f>
        <v>0</v>
      </c>
      <c r="E4009" s="2" t="str">
        <f>IF(Table1[[#This Row],[Is Data Valid]]=TRUE,IF(Table1[[#This Row],[Fetal Sex (Male, Female or Unknown)]]="Male",Backend!$C$6,IF(Table1[[#This Row],[Fetal Sex (Male, Female or Unknown)]]="Female",Backend!$C$7,IF(Table1[[#This Row],[Fetal Sex (Male, Female or Unknown)]]="Unknown",Backend!$C$8,"Error"))),"")</f>
        <v/>
      </c>
      <c r="F4009" s="8" t="str">
        <f>IF(Table1[[#This Row],[Is Data Valid]]=TRUE,EXP(0.578+0.332*((Table1[[#This Row],[Gestation (days)]]+0.5)/7)-0.00354*((Table1[[#This Row],[Gestation (days)]]+0.5)/7)^2)*Table1[[#This Row],[BW40_3705]],"")</f>
        <v/>
      </c>
      <c r="G4009" s="2" t="str">
        <f>IF(Table1[[#This Row],[Is Data Valid]]=TRUE,((Table1[[#This Row],[Birthweight (grams)]]/Table1[[#This Row],[BW_GA]])-1)/(Backend!$B$4/100*Table1[[#This Row],[BW40_3705]]),"")</f>
        <v/>
      </c>
      <c r="H4009" s="7" t="str">
        <f>IF(Table1[[#This Row],[Is Data Valid]]=TRUE,((Table1[[#This Row],[Birthweight (grams)]]*0.9/Table1[[#This Row],[BW_GA]])-1)/(Backend!$B$4/100*Table1[[#This Row],[BW40_3705]]),"")</f>
        <v/>
      </c>
      <c r="I4009" s="7" t="str">
        <f>IF(Table1[[#This Row],[Is Data Valid]]=TRUE,((Table1[[#This Row],[Birthweight (grams)]]*1.1/Table1[[#This Row],[BW_GA]])-1)/(Backend!$B$4/100*Table1[[#This Row],[BW40_3705]]),"")</f>
        <v/>
      </c>
      <c r="J4009" s="7" t="str">
        <f>IF(Table1[[#This Row],[Is Data Valid]]=TRUE,_xlfn.NORM.S.DIST(Table1[[#This Row],[Birthweight Z-Score]],TRUE)*100,"")</f>
        <v/>
      </c>
      <c r="K4009" s="7" t="str">
        <f>IF(Table1[[#This Row],[Is Data Valid]]=TRUE,_xlfn.NORM.S.DIST(Table1[[#This Row],[Birthweight Z-Score (BW-10%)]],TRUE)*100,"")</f>
        <v/>
      </c>
      <c r="L4009" s="7" t="str">
        <f>IF(Table1[[#This Row],[Is Data Valid]]=TRUE,_xlfn.NORM.S.DIST(Table1[[#This Row],[Birthweight Z-Score (BW+10%)]],TRUE)*100,"")</f>
        <v/>
      </c>
    </row>
    <row r="4010" spans="1:12" x14ac:dyDescent="0.35">
      <c r="A4010" s="3"/>
      <c r="B4010" s="2"/>
      <c r="C4010" s="2"/>
      <c r="D4010" s="2" t="b">
        <f>IF(AND(NOT(ISBLANK(Table1[[#This Row],[Fetal Sex (Male, Female or Unknown)]])),ISNUMBER(Table1[[#This Row],[Birthweight (grams)]]),ISNUMBER(Table1[[#This Row],[Gestation (days)]])),TRUE,FALSE)</f>
        <v>0</v>
      </c>
      <c r="E4010" s="2" t="str">
        <f>IF(Table1[[#This Row],[Is Data Valid]]=TRUE,IF(Table1[[#This Row],[Fetal Sex (Male, Female or Unknown)]]="Male",Backend!$C$6,IF(Table1[[#This Row],[Fetal Sex (Male, Female or Unknown)]]="Female",Backend!$C$7,IF(Table1[[#This Row],[Fetal Sex (Male, Female or Unknown)]]="Unknown",Backend!$C$8,"Error"))),"")</f>
        <v/>
      </c>
      <c r="F4010" s="8" t="str">
        <f>IF(Table1[[#This Row],[Is Data Valid]]=TRUE,EXP(0.578+0.332*((Table1[[#This Row],[Gestation (days)]]+0.5)/7)-0.00354*((Table1[[#This Row],[Gestation (days)]]+0.5)/7)^2)*Table1[[#This Row],[BW40_3705]],"")</f>
        <v/>
      </c>
      <c r="G4010" s="2" t="str">
        <f>IF(Table1[[#This Row],[Is Data Valid]]=TRUE,((Table1[[#This Row],[Birthweight (grams)]]/Table1[[#This Row],[BW_GA]])-1)/(Backend!$B$4/100*Table1[[#This Row],[BW40_3705]]),"")</f>
        <v/>
      </c>
      <c r="H4010" s="7" t="str">
        <f>IF(Table1[[#This Row],[Is Data Valid]]=TRUE,((Table1[[#This Row],[Birthweight (grams)]]*0.9/Table1[[#This Row],[BW_GA]])-1)/(Backend!$B$4/100*Table1[[#This Row],[BW40_3705]]),"")</f>
        <v/>
      </c>
      <c r="I4010" s="7" t="str">
        <f>IF(Table1[[#This Row],[Is Data Valid]]=TRUE,((Table1[[#This Row],[Birthweight (grams)]]*1.1/Table1[[#This Row],[BW_GA]])-1)/(Backend!$B$4/100*Table1[[#This Row],[BW40_3705]]),"")</f>
        <v/>
      </c>
      <c r="J4010" s="7" t="str">
        <f>IF(Table1[[#This Row],[Is Data Valid]]=TRUE,_xlfn.NORM.S.DIST(Table1[[#This Row],[Birthweight Z-Score]],TRUE)*100,"")</f>
        <v/>
      </c>
      <c r="K4010" s="7" t="str">
        <f>IF(Table1[[#This Row],[Is Data Valid]]=TRUE,_xlfn.NORM.S.DIST(Table1[[#This Row],[Birthweight Z-Score (BW-10%)]],TRUE)*100,"")</f>
        <v/>
      </c>
      <c r="L4010" s="7" t="str">
        <f>IF(Table1[[#This Row],[Is Data Valid]]=TRUE,_xlfn.NORM.S.DIST(Table1[[#This Row],[Birthweight Z-Score (BW+10%)]],TRUE)*100,"")</f>
        <v/>
      </c>
    </row>
    <row r="4011" spans="1:12" x14ac:dyDescent="0.35">
      <c r="A4011" s="3"/>
      <c r="B4011" s="2"/>
      <c r="C4011" s="2"/>
      <c r="D4011" s="2" t="b">
        <f>IF(AND(NOT(ISBLANK(Table1[[#This Row],[Fetal Sex (Male, Female or Unknown)]])),ISNUMBER(Table1[[#This Row],[Birthweight (grams)]]),ISNUMBER(Table1[[#This Row],[Gestation (days)]])),TRUE,FALSE)</f>
        <v>0</v>
      </c>
      <c r="E4011" s="2" t="str">
        <f>IF(Table1[[#This Row],[Is Data Valid]]=TRUE,IF(Table1[[#This Row],[Fetal Sex (Male, Female or Unknown)]]="Male",Backend!$C$6,IF(Table1[[#This Row],[Fetal Sex (Male, Female or Unknown)]]="Female",Backend!$C$7,IF(Table1[[#This Row],[Fetal Sex (Male, Female or Unknown)]]="Unknown",Backend!$C$8,"Error"))),"")</f>
        <v/>
      </c>
      <c r="F4011" s="8" t="str">
        <f>IF(Table1[[#This Row],[Is Data Valid]]=TRUE,EXP(0.578+0.332*((Table1[[#This Row],[Gestation (days)]]+0.5)/7)-0.00354*((Table1[[#This Row],[Gestation (days)]]+0.5)/7)^2)*Table1[[#This Row],[BW40_3705]],"")</f>
        <v/>
      </c>
      <c r="G4011" s="2" t="str">
        <f>IF(Table1[[#This Row],[Is Data Valid]]=TRUE,((Table1[[#This Row],[Birthweight (grams)]]/Table1[[#This Row],[BW_GA]])-1)/(Backend!$B$4/100*Table1[[#This Row],[BW40_3705]]),"")</f>
        <v/>
      </c>
      <c r="H4011" s="7" t="str">
        <f>IF(Table1[[#This Row],[Is Data Valid]]=TRUE,((Table1[[#This Row],[Birthweight (grams)]]*0.9/Table1[[#This Row],[BW_GA]])-1)/(Backend!$B$4/100*Table1[[#This Row],[BW40_3705]]),"")</f>
        <v/>
      </c>
      <c r="I4011" s="7" t="str">
        <f>IF(Table1[[#This Row],[Is Data Valid]]=TRUE,((Table1[[#This Row],[Birthweight (grams)]]*1.1/Table1[[#This Row],[BW_GA]])-1)/(Backend!$B$4/100*Table1[[#This Row],[BW40_3705]]),"")</f>
        <v/>
      </c>
      <c r="J4011" s="7" t="str">
        <f>IF(Table1[[#This Row],[Is Data Valid]]=TRUE,_xlfn.NORM.S.DIST(Table1[[#This Row],[Birthweight Z-Score]],TRUE)*100,"")</f>
        <v/>
      </c>
      <c r="K4011" s="7" t="str">
        <f>IF(Table1[[#This Row],[Is Data Valid]]=TRUE,_xlfn.NORM.S.DIST(Table1[[#This Row],[Birthweight Z-Score (BW-10%)]],TRUE)*100,"")</f>
        <v/>
      </c>
      <c r="L4011" s="7" t="str">
        <f>IF(Table1[[#This Row],[Is Data Valid]]=TRUE,_xlfn.NORM.S.DIST(Table1[[#This Row],[Birthweight Z-Score (BW+10%)]],TRUE)*100,"")</f>
        <v/>
      </c>
    </row>
    <row r="4012" spans="1:12" x14ac:dyDescent="0.35">
      <c r="A4012" s="3"/>
      <c r="B4012" s="2"/>
      <c r="C4012" s="2"/>
      <c r="D4012" s="2" t="b">
        <f>IF(AND(NOT(ISBLANK(Table1[[#This Row],[Fetal Sex (Male, Female or Unknown)]])),ISNUMBER(Table1[[#This Row],[Birthweight (grams)]]),ISNUMBER(Table1[[#This Row],[Gestation (days)]])),TRUE,FALSE)</f>
        <v>0</v>
      </c>
      <c r="E4012" s="2" t="str">
        <f>IF(Table1[[#This Row],[Is Data Valid]]=TRUE,IF(Table1[[#This Row],[Fetal Sex (Male, Female or Unknown)]]="Male",Backend!$C$6,IF(Table1[[#This Row],[Fetal Sex (Male, Female or Unknown)]]="Female",Backend!$C$7,IF(Table1[[#This Row],[Fetal Sex (Male, Female or Unknown)]]="Unknown",Backend!$C$8,"Error"))),"")</f>
        <v/>
      </c>
      <c r="F4012" s="8" t="str">
        <f>IF(Table1[[#This Row],[Is Data Valid]]=TRUE,EXP(0.578+0.332*((Table1[[#This Row],[Gestation (days)]]+0.5)/7)-0.00354*((Table1[[#This Row],[Gestation (days)]]+0.5)/7)^2)*Table1[[#This Row],[BW40_3705]],"")</f>
        <v/>
      </c>
      <c r="G4012" s="2" t="str">
        <f>IF(Table1[[#This Row],[Is Data Valid]]=TRUE,((Table1[[#This Row],[Birthweight (grams)]]/Table1[[#This Row],[BW_GA]])-1)/(Backend!$B$4/100*Table1[[#This Row],[BW40_3705]]),"")</f>
        <v/>
      </c>
      <c r="H4012" s="7" t="str">
        <f>IF(Table1[[#This Row],[Is Data Valid]]=TRUE,((Table1[[#This Row],[Birthweight (grams)]]*0.9/Table1[[#This Row],[BW_GA]])-1)/(Backend!$B$4/100*Table1[[#This Row],[BW40_3705]]),"")</f>
        <v/>
      </c>
      <c r="I4012" s="7" t="str">
        <f>IF(Table1[[#This Row],[Is Data Valid]]=TRUE,((Table1[[#This Row],[Birthweight (grams)]]*1.1/Table1[[#This Row],[BW_GA]])-1)/(Backend!$B$4/100*Table1[[#This Row],[BW40_3705]]),"")</f>
        <v/>
      </c>
      <c r="J4012" s="7" t="str">
        <f>IF(Table1[[#This Row],[Is Data Valid]]=TRUE,_xlfn.NORM.S.DIST(Table1[[#This Row],[Birthweight Z-Score]],TRUE)*100,"")</f>
        <v/>
      </c>
      <c r="K4012" s="7" t="str">
        <f>IF(Table1[[#This Row],[Is Data Valid]]=TRUE,_xlfn.NORM.S.DIST(Table1[[#This Row],[Birthweight Z-Score (BW-10%)]],TRUE)*100,"")</f>
        <v/>
      </c>
      <c r="L4012" s="7" t="str">
        <f>IF(Table1[[#This Row],[Is Data Valid]]=TRUE,_xlfn.NORM.S.DIST(Table1[[#This Row],[Birthweight Z-Score (BW+10%)]],TRUE)*100,"")</f>
        <v/>
      </c>
    </row>
    <row r="4013" spans="1:12" x14ac:dyDescent="0.35">
      <c r="A4013" s="3"/>
      <c r="B4013" s="2"/>
      <c r="C4013" s="2"/>
      <c r="D4013" s="2" t="b">
        <f>IF(AND(NOT(ISBLANK(Table1[[#This Row],[Fetal Sex (Male, Female or Unknown)]])),ISNUMBER(Table1[[#This Row],[Birthweight (grams)]]),ISNUMBER(Table1[[#This Row],[Gestation (days)]])),TRUE,FALSE)</f>
        <v>0</v>
      </c>
      <c r="E4013" s="2" t="str">
        <f>IF(Table1[[#This Row],[Is Data Valid]]=TRUE,IF(Table1[[#This Row],[Fetal Sex (Male, Female or Unknown)]]="Male",Backend!$C$6,IF(Table1[[#This Row],[Fetal Sex (Male, Female or Unknown)]]="Female",Backend!$C$7,IF(Table1[[#This Row],[Fetal Sex (Male, Female or Unknown)]]="Unknown",Backend!$C$8,"Error"))),"")</f>
        <v/>
      </c>
      <c r="F4013" s="8" t="str">
        <f>IF(Table1[[#This Row],[Is Data Valid]]=TRUE,EXP(0.578+0.332*((Table1[[#This Row],[Gestation (days)]]+0.5)/7)-0.00354*((Table1[[#This Row],[Gestation (days)]]+0.5)/7)^2)*Table1[[#This Row],[BW40_3705]],"")</f>
        <v/>
      </c>
      <c r="G4013" s="2" t="str">
        <f>IF(Table1[[#This Row],[Is Data Valid]]=TRUE,((Table1[[#This Row],[Birthweight (grams)]]/Table1[[#This Row],[BW_GA]])-1)/(Backend!$B$4/100*Table1[[#This Row],[BW40_3705]]),"")</f>
        <v/>
      </c>
      <c r="H4013" s="7" t="str">
        <f>IF(Table1[[#This Row],[Is Data Valid]]=TRUE,((Table1[[#This Row],[Birthweight (grams)]]*0.9/Table1[[#This Row],[BW_GA]])-1)/(Backend!$B$4/100*Table1[[#This Row],[BW40_3705]]),"")</f>
        <v/>
      </c>
      <c r="I4013" s="7" t="str">
        <f>IF(Table1[[#This Row],[Is Data Valid]]=TRUE,((Table1[[#This Row],[Birthweight (grams)]]*1.1/Table1[[#This Row],[BW_GA]])-1)/(Backend!$B$4/100*Table1[[#This Row],[BW40_3705]]),"")</f>
        <v/>
      </c>
      <c r="J4013" s="7" t="str">
        <f>IF(Table1[[#This Row],[Is Data Valid]]=TRUE,_xlfn.NORM.S.DIST(Table1[[#This Row],[Birthweight Z-Score]],TRUE)*100,"")</f>
        <v/>
      </c>
      <c r="K4013" s="7" t="str">
        <f>IF(Table1[[#This Row],[Is Data Valid]]=TRUE,_xlfn.NORM.S.DIST(Table1[[#This Row],[Birthweight Z-Score (BW-10%)]],TRUE)*100,"")</f>
        <v/>
      </c>
      <c r="L4013" s="7" t="str">
        <f>IF(Table1[[#This Row],[Is Data Valid]]=TRUE,_xlfn.NORM.S.DIST(Table1[[#This Row],[Birthweight Z-Score (BW+10%)]],TRUE)*100,"")</f>
        <v/>
      </c>
    </row>
    <row r="4014" spans="1:12" x14ac:dyDescent="0.35">
      <c r="A4014" s="3"/>
      <c r="B4014" s="2"/>
      <c r="C4014" s="2"/>
      <c r="D4014" s="2" t="b">
        <f>IF(AND(NOT(ISBLANK(Table1[[#This Row],[Fetal Sex (Male, Female or Unknown)]])),ISNUMBER(Table1[[#This Row],[Birthweight (grams)]]),ISNUMBER(Table1[[#This Row],[Gestation (days)]])),TRUE,FALSE)</f>
        <v>0</v>
      </c>
      <c r="E4014" s="2" t="str">
        <f>IF(Table1[[#This Row],[Is Data Valid]]=TRUE,IF(Table1[[#This Row],[Fetal Sex (Male, Female or Unknown)]]="Male",Backend!$C$6,IF(Table1[[#This Row],[Fetal Sex (Male, Female or Unknown)]]="Female",Backend!$C$7,IF(Table1[[#This Row],[Fetal Sex (Male, Female or Unknown)]]="Unknown",Backend!$C$8,"Error"))),"")</f>
        <v/>
      </c>
      <c r="F4014" s="8" t="str">
        <f>IF(Table1[[#This Row],[Is Data Valid]]=TRUE,EXP(0.578+0.332*((Table1[[#This Row],[Gestation (days)]]+0.5)/7)-0.00354*((Table1[[#This Row],[Gestation (days)]]+0.5)/7)^2)*Table1[[#This Row],[BW40_3705]],"")</f>
        <v/>
      </c>
      <c r="G4014" s="2" t="str">
        <f>IF(Table1[[#This Row],[Is Data Valid]]=TRUE,((Table1[[#This Row],[Birthweight (grams)]]/Table1[[#This Row],[BW_GA]])-1)/(Backend!$B$4/100*Table1[[#This Row],[BW40_3705]]),"")</f>
        <v/>
      </c>
      <c r="H4014" s="7" t="str">
        <f>IF(Table1[[#This Row],[Is Data Valid]]=TRUE,((Table1[[#This Row],[Birthweight (grams)]]*0.9/Table1[[#This Row],[BW_GA]])-1)/(Backend!$B$4/100*Table1[[#This Row],[BW40_3705]]),"")</f>
        <v/>
      </c>
      <c r="I4014" s="7" t="str">
        <f>IF(Table1[[#This Row],[Is Data Valid]]=TRUE,((Table1[[#This Row],[Birthweight (grams)]]*1.1/Table1[[#This Row],[BW_GA]])-1)/(Backend!$B$4/100*Table1[[#This Row],[BW40_3705]]),"")</f>
        <v/>
      </c>
      <c r="J4014" s="7" t="str">
        <f>IF(Table1[[#This Row],[Is Data Valid]]=TRUE,_xlfn.NORM.S.DIST(Table1[[#This Row],[Birthweight Z-Score]],TRUE)*100,"")</f>
        <v/>
      </c>
      <c r="K4014" s="7" t="str">
        <f>IF(Table1[[#This Row],[Is Data Valid]]=TRUE,_xlfn.NORM.S.DIST(Table1[[#This Row],[Birthweight Z-Score (BW-10%)]],TRUE)*100,"")</f>
        <v/>
      </c>
      <c r="L4014" s="7" t="str">
        <f>IF(Table1[[#This Row],[Is Data Valid]]=TRUE,_xlfn.NORM.S.DIST(Table1[[#This Row],[Birthweight Z-Score (BW+10%)]],TRUE)*100,"")</f>
        <v/>
      </c>
    </row>
    <row r="4015" spans="1:12" x14ac:dyDescent="0.35">
      <c r="A4015" s="3"/>
      <c r="B4015" s="2"/>
      <c r="C4015" s="2"/>
      <c r="D4015" s="2" t="b">
        <f>IF(AND(NOT(ISBLANK(Table1[[#This Row],[Fetal Sex (Male, Female or Unknown)]])),ISNUMBER(Table1[[#This Row],[Birthweight (grams)]]),ISNUMBER(Table1[[#This Row],[Gestation (days)]])),TRUE,FALSE)</f>
        <v>0</v>
      </c>
      <c r="E4015" s="2" t="str">
        <f>IF(Table1[[#This Row],[Is Data Valid]]=TRUE,IF(Table1[[#This Row],[Fetal Sex (Male, Female or Unknown)]]="Male",Backend!$C$6,IF(Table1[[#This Row],[Fetal Sex (Male, Female or Unknown)]]="Female",Backend!$C$7,IF(Table1[[#This Row],[Fetal Sex (Male, Female or Unknown)]]="Unknown",Backend!$C$8,"Error"))),"")</f>
        <v/>
      </c>
      <c r="F4015" s="8" t="str">
        <f>IF(Table1[[#This Row],[Is Data Valid]]=TRUE,EXP(0.578+0.332*((Table1[[#This Row],[Gestation (days)]]+0.5)/7)-0.00354*((Table1[[#This Row],[Gestation (days)]]+0.5)/7)^2)*Table1[[#This Row],[BW40_3705]],"")</f>
        <v/>
      </c>
      <c r="G4015" s="2" t="str">
        <f>IF(Table1[[#This Row],[Is Data Valid]]=TRUE,((Table1[[#This Row],[Birthweight (grams)]]/Table1[[#This Row],[BW_GA]])-1)/(Backend!$B$4/100*Table1[[#This Row],[BW40_3705]]),"")</f>
        <v/>
      </c>
      <c r="H4015" s="7" t="str">
        <f>IF(Table1[[#This Row],[Is Data Valid]]=TRUE,((Table1[[#This Row],[Birthweight (grams)]]*0.9/Table1[[#This Row],[BW_GA]])-1)/(Backend!$B$4/100*Table1[[#This Row],[BW40_3705]]),"")</f>
        <v/>
      </c>
      <c r="I4015" s="7" t="str">
        <f>IF(Table1[[#This Row],[Is Data Valid]]=TRUE,((Table1[[#This Row],[Birthweight (grams)]]*1.1/Table1[[#This Row],[BW_GA]])-1)/(Backend!$B$4/100*Table1[[#This Row],[BW40_3705]]),"")</f>
        <v/>
      </c>
      <c r="J4015" s="7" t="str">
        <f>IF(Table1[[#This Row],[Is Data Valid]]=TRUE,_xlfn.NORM.S.DIST(Table1[[#This Row],[Birthweight Z-Score]],TRUE)*100,"")</f>
        <v/>
      </c>
      <c r="K4015" s="7" t="str">
        <f>IF(Table1[[#This Row],[Is Data Valid]]=TRUE,_xlfn.NORM.S.DIST(Table1[[#This Row],[Birthweight Z-Score (BW-10%)]],TRUE)*100,"")</f>
        <v/>
      </c>
      <c r="L4015" s="7" t="str">
        <f>IF(Table1[[#This Row],[Is Data Valid]]=TRUE,_xlfn.NORM.S.DIST(Table1[[#This Row],[Birthweight Z-Score (BW+10%)]],TRUE)*100,"")</f>
        <v/>
      </c>
    </row>
    <row r="4016" spans="1:12" x14ac:dyDescent="0.35">
      <c r="A4016" s="3"/>
      <c r="B4016" s="2"/>
      <c r="C4016" s="2"/>
      <c r="D4016" s="2" t="b">
        <f>IF(AND(NOT(ISBLANK(Table1[[#This Row],[Fetal Sex (Male, Female or Unknown)]])),ISNUMBER(Table1[[#This Row],[Birthweight (grams)]]),ISNUMBER(Table1[[#This Row],[Gestation (days)]])),TRUE,FALSE)</f>
        <v>0</v>
      </c>
      <c r="E4016" s="2" t="str">
        <f>IF(Table1[[#This Row],[Is Data Valid]]=TRUE,IF(Table1[[#This Row],[Fetal Sex (Male, Female or Unknown)]]="Male",Backend!$C$6,IF(Table1[[#This Row],[Fetal Sex (Male, Female or Unknown)]]="Female",Backend!$C$7,IF(Table1[[#This Row],[Fetal Sex (Male, Female or Unknown)]]="Unknown",Backend!$C$8,"Error"))),"")</f>
        <v/>
      </c>
      <c r="F4016" s="8" t="str">
        <f>IF(Table1[[#This Row],[Is Data Valid]]=TRUE,EXP(0.578+0.332*((Table1[[#This Row],[Gestation (days)]]+0.5)/7)-0.00354*((Table1[[#This Row],[Gestation (days)]]+0.5)/7)^2)*Table1[[#This Row],[BW40_3705]],"")</f>
        <v/>
      </c>
      <c r="G4016" s="2" t="str">
        <f>IF(Table1[[#This Row],[Is Data Valid]]=TRUE,((Table1[[#This Row],[Birthweight (grams)]]/Table1[[#This Row],[BW_GA]])-1)/(Backend!$B$4/100*Table1[[#This Row],[BW40_3705]]),"")</f>
        <v/>
      </c>
      <c r="H4016" s="7" t="str">
        <f>IF(Table1[[#This Row],[Is Data Valid]]=TRUE,((Table1[[#This Row],[Birthweight (grams)]]*0.9/Table1[[#This Row],[BW_GA]])-1)/(Backend!$B$4/100*Table1[[#This Row],[BW40_3705]]),"")</f>
        <v/>
      </c>
      <c r="I4016" s="7" t="str">
        <f>IF(Table1[[#This Row],[Is Data Valid]]=TRUE,((Table1[[#This Row],[Birthweight (grams)]]*1.1/Table1[[#This Row],[BW_GA]])-1)/(Backend!$B$4/100*Table1[[#This Row],[BW40_3705]]),"")</f>
        <v/>
      </c>
      <c r="J4016" s="7" t="str">
        <f>IF(Table1[[#This Row],[Is Data Valid]]=TRUE,_xlfn.NORM.S.DIST(Table1[[#This Row],[Birthweight Z-Score]],TRUE)*100,"")</f>
        <v/>
      </c>
      <c r="K4016" s="7" t="str">
        <f>IF(Table1[[#This Row],[Is Data Valid]]=TRUE,_xlfn.NORM.S.DIST(Table1[[#This Row],[Birthweight Z-Score (BW-10%)]],TRUE)*100,"")</f>
        <v/>
      </c>
      <c r="L4016" s="7" t="str">
        <f>IF(Table1[[#This Row],[Is Data Valid]]=TRUE,_xlfn.NORM.S.DIST(Table1[[#This Row],[Birthweight Z-Score (BW+10%)]],TRUE)*100,"")</f>
        <v/>
      </c>
    </row>
    <row r="4017" spans="1:12" x14ac:dyDescent="0.35">
      <c r="A4017" s="3"/>
      <c r="B4017" s="2"/>
      <c r="C4017" s="2"/>
      <c r="D4017" s="2" t="b">
        <f>IF(AND(NOT(ISBLANK(Table1[[#This Row],[Fetal Sex (Male, Female or Unknown)]])),ISNUMBER(Table1[[#This Row],[Birthweight (grams)]]),ISNUMBER(Table1[[#This Row],[Gestation (days)]])),TRUE,FALSE)</f>
        <v>0</v>
      </c>
      <c r="E4017" s="2" t="str">
        <f>IF(Table1[[#This Row],[Is Data Valid]]=TRUE,IF(Table1[[#This Row],[Fetal Sex (Male, Female or Unknown)]]="Male",Backend!$C$6,IF(Table1[[#This Row],[Fetal Sex (Male, Female or Unknown)]]="Female",Backend!$C$7,IF(Table1[[#This Row],[Fetal Sex (Male, Female or Unknown)]]="Unknown",Backend!$C$8,"Error"))),"")</f>
        <v/>
      </c>
      <c r="F4017" s="8" t="str">
        <f>IF(Table1[[#This Row],[Is Data Valid]]=TRUE,EXP(0.578+0.332*((Table1[[#This Row],[Gestation (days)]]+0.5)/7)-0.00354*((Table1[[#This Row],[Gestation (days)]]+0.5)/7)^2)*Table1[[#This Row],[BW40_3705]],"")</f>
        <v/>
      </c>
      <c r="G4017" s="2" t="str">
        <f>IF(Table1[[#This Row],[Is Data Valid]]=TRUE,((Table1[[#This Row],[Birthweight (grams)]]/Table1[[#This Row],[BW_GA]])-1)/(Backend!$B$4/100*Table1[[#This Row],[BW40_3705]]),"")</f>
        <v/>
      </c>
      <c r="H4017" s="7" t="str">
        <f>IF(Table1[[#This Row],[Is Data Valid]]=TRUE,((Table1[[#This Row],[Birthweight (grams)]]*0.9/Table1[[#This Row],[BW_GA]])-1)/(Backend!$B$4/100*Table1[[#This Row],[BW40_3705]]),"")</f>
        <v/>
      </c>
      <c r="I4017" s="7" t="str">
        <f>IF(Table1[[#This Row],[Is Data Valid]]=TRUE,((Table1[[#This Row],[Birthweight (grams)]]*1.1/Table1[[#This Row],[BW_GA]])-1)/(Backend!$B$4/100*Table1[[#This Row],[BW40_3705]]),"")</f>
        <v/>
      </c>
      <c r="J4017" s="7" t="str">
        <f>IF(Table1[[#This Row],[Is Data Valid]]=TRUE,_xlfn.NORM.S.DIST(Table1[[#This Row],[Birthweight Z-Score]],TRUE)*100,"")</f>
        <v/>
      </c>
      <c r="K4017" s="7" t="str">
        <f>IF(Table1[[#This Row],[Is Data Valid]]=TRUE,_xlfn.NORM.S.DIST(Table1[[#This Row],[Birthweight Z-Score (BW-10%)]],TRUE)*100,"")</f>
        <v/>
      </c>
      <c r="L4017" s="7" t="str">
        <f>IF(Table1[[#This Row],[Is Data Valid]]=TRUE,_xlfn.NORM.S.DIST(Table1[[#This Row],[Birthweight Z-Score (BW+10%)]],TRUE)*100,"")</f>
        <v/>
      </c>
    </row>
    <row r="4018" spans="1:12" x14ac:dyDescent="0.35">
      <c r="A4018" s="3"/>
      <c r="B4018" s="2"/>
      <c r="C4018" s="2"/>
      <c r="D4018" s="2" t="b">
        <f>IF(AND(NOT(ISBLANK(Table1[[#This Row],[Fetal Sex (Male, Female or Unknown)]])),ISNUMBER(Table1[[#This Row],[Birthweight (grams)]]),ISNUMBER(Table1[[#This Row],[Gestation (days)]])),TRUE,FALSE)</f>
        <v>0</v>
      </c>
      <c r="E4018" s="2" t="str">
        <f>IF(Table1[[#This Row],[Is Data Valid]]=TRUE,IF(Table1[[#This Row],[Fetal Sex (Male, Female or Unknown)]]="Male",Backend!$C$6,IF(Table1[[#This Row],[Fetal Sex (Male, Female or Unknown)]]="Female",Backend!$C$7,IF(Table1[[#This Row],[Fetal Sex (Male, Female or Unknown)]]="Unknown",Backend!$C$8,"Error"))),"")</f>
        <v/>
      </c>
      <c r="F4018" s="8" t="str">
        <f>IF(Table1[[#This Row],[Is Data Valid]]=TRUE,EXP(0.578+0.332*((Table1[[#This Row],[Gestation (days)]]+0.5)/7)-0.00354*((Table1[[#This Row],[Gestation (days)]]+0.5)/7)^2)*Table1[[#This Row],[BW40_3705]],"")</f>
        <v/>
      </c>
      <c r="G4018" s="2" t="str">
        <f>IF(Table1[[#This Row],[Is Data Valid]]=TRUE,((Table1[[#This Row],[Birthweight (grams)]]/Table1[[#This Row],[BW_GA]])-1)/(Backend!$B$4/100*Table1[[#This Row],[BW40_3705]]),"")</f>
        <v/>
      </c>
      <c r="H4018" s="7" t="str">
        <f>IF(Table1[[#This Row],[Is Data Valid]]=TRUE,((Table1[[#This Row],[Birthweight (grams)]]*0.9/Table1[[#This Row],[BW_GA]])-1)/(Backend!$B$4/100*Table1[[#This Row],[BW40_3705]]),"")</f>
        <v/>
      </c>
      <c r="I4018" s="7" t="str">
        <f>IF(Table1[[#This Row],[Is Data Valid]]=TRUE,((Table1[[#This Row],[Birthweight (grams)]]*1.1/Table1[[#This Row],[BW_GA]])-1)/(Backend!$B$4/100*Table1[[#This Row],[BW40_3705]]),"")</f>
        <v/>
      </c>
      <c r="J4018" s="7" t="str">
        <f>IF(Table1[[#This Row],[Is Data Valid]]=TRUE,_xlfn.NORM.S.DIST(Table1[[#This Row],[Birthweight Z-Score]],TRUE)*100,"")</f>
        <v/>
      </c>
      <c r="K4018" s="7" t="str">
        <f>IF(Table1[[#This Row],[Is Data Valid]]=TRUE,_xlfn.NORM.S.DIST(Table1[[#This Row],[Birthweight Z-Score (BW-10%)]],TRUE)*100,"")</f>
        <v/>
      </c>
      <c r="L4018" s="7" t="str">
        <f>IF(Table1[[#This Row],[Is Data Valid]]=TRUE,_xlfn.NORM.S.DIST(Table1[[#This Row],[Birthweight Z-Score (BW+10%)]],TRUE)*100,"")</f>
        <v/>
      </c>
    </row>
    <row r="4019" spans="1:12" x14ac:dyDescent="0.35">
      <c r="A4019" s="3"/>
      <c r="B4019" s="2"/>
      <c r="C4019" s="2"/>
      <c r="D4019" s="2" t="b">
        <f>IF(AND(NOT(ISBLANK(Table1[[#This Row],[Fetal Sex (Male, Female or Unknown)]])),ISNUMBER(Table1[[#This Row],[Birthweight (grams)]]),ISNUMBER(Table1[[#This Row],[Gestation (days)]])),TRUE,FALSE)</f>
        <v>0</v>
      </c>
      <c r="E4019" s="2" t="str">
        <f>IF(Table1[[#This Row],[Is Data Valid]]=TRUE,IF(Table1[[#This Row],[Fetal Sex (Male, Female or Unknown)]]="Male",Backend!$C$6,IF(Table1[[#This Row],[Fetal Sex (Male, Female or Unknown)]]="Female",Backend!$C$7,IF(Table1[[#This Row],[Fetal Sex (Male, Female or Unknown)]]="Unknown",Backend!$C$8,"Error"))),"")</f>
        <v/>
      </c>
      <c r="F4019" s="8" t="str">
        <f>IF(Table1[[#This Row],[Is Data Valid]]=TRUE,EXP(0.578+0.332*((Table1[[#This Row],[Gestation (days)]]+0.5)/7)-0.00354*((Table1[[#This Row],[Gestation (days)]]+0.5)/7)^2)*Table1[[#This Row],[BW40_3705]],"")</f>
        <v/>
      </c>
      <c r="G4019" s="2" t="str">
        <f>IF(Table1[[#This Row],[Is Data Valid]]=TRUE,((Table1[[#This Row],[Birthweight (grams)]]/Table1[[#This Row],[BW_GA]])-1)/(Backend!$B$4/100*Table1[[#This Row],[BW40_3705]]),"")</f>
        <v/>
      </c>
      <c r="H4019" s="7" t="str">
        <f>IF(Table1[[#This Row],[Is Data Valid]]=TRUE,((Table1[[#This Row],[Birthweight (grams)]]*0.9/Table1[[#This Row],[BW_GA]])-1)/(Backend!$B$4/100*Table1[[#This Row],[BW40_3705]]),"")</f>
        <v/>
      </c>
      <c r="I4019" s="7" t="str">
        <f>IF(Table1[[#This Row],[Is Data Valid]]=TRUE,((Table1[[#This Row],[Birthweight (grams)]]*1.1/Table1[[#This Row],[BW_GA]])-1)/(Backend!$B$4/100*Table1[[#This Row],[BW40_3705]]),"")</f>
        <v/>
      </c>
      <c r="J4019" s="7" t="str">
        <f>IF(Table1[[#This Row],[Is Data Valid]]=TRUE,_xlfn.NORM.S.DIST(Table1[[#This Row],[Birthweight Z-Score]],TRUE)*100,"")</f>
        <v/>
      </c>
      <c r="K4019" s="7" t="str">
        <f>IF(Table1[[#This Row],[Is Data Valid]]=TRUE,_xlfn.NORM.S.DIST(Table1[[#This Row],[Birthweight Z-Score (BW-10%)]],TRUE)*100,"")</f>
        <v/>
      </c>
      <c r="L4019" s="7" t="str">
        <f>IF(Table1[[#This Row],[Is Data Valid]]=TRUE,_xlfn.NORM.S.DIST(Table1[[#This Row],[Birthweight Z-Score (BW+10%)]],TRUE)*100,"")</f>
        <v/>
      </c>
    </row>
    <row r="4020" spans="1:12" x14ac:dyDescent="0.35">
      <c r="A4020" s="3"/>
      <c r="B4020" s="2"/>
      <c r="C4020" s="2"/>
      <c r="D4020" s="2" t="b">
        <f>IF(AND(NOT(ISBLANK(Table1[[#This Row],[Fetal Sex (Male, Female or Unknown)]])),ISNUMBER(Table1[[#This Row],[Birthweight (grams)]]),ISNUMBER(Table1[[#This Row],[Gestation (days)]])),TRUE,FALSE)</f>
        <v>0</v>
      </c>
      <c r="E4020" s="2" t="str">
        <f>IF(Table1[[#This Row],[Is Data Valid]]=TRUE,IF(Table1[[#This Row],[Fetal Sex (Male, Female or Unknown)]]="Male",Backend!$C$6,IF(Table1[[#This Row],[Fetal Sex (Male, Female or Unknown)]]="Female",Backend!$C$7,IF(Table1[[#This Row],[Fetal Sex (Male, Female or Unknown)]]="Unknown",Backend!$C$8,"Error"))),"")</f>
        <v/>
      </c>
      <c r="F4020" s="8" t="str">
        <f>IF(Table1[[#This Row],[Is Data Valid]]=TRUE,EXP(0.578+0.332*((Table1[[#This Row],[Gestation (days)]]+0.5)/7)-0.00354*((Table1[[#This Row],[Gestation (days)]]+0.5)/7)^2)*Table1[[#This Row],[BW40_3705]],"")</f>
        <v/>
      </c>
      <c r="G4020" s="2" t="str">
        <f>IF(Table1[[#This Row],[Is Data Valid]]=TRUE,((Table1[[#This Row],[Birthweight (grams)]]/Table1[[#This Row],[BW_GA]])-1)/(Backend!$B$4/100*Table1[[#This Row],[BW40_3705]]),"")</f>
        <v/>
      </c>
      <c r="H4020" s="7" t="str">
        <f>IF(Table1[[#This Row],[Is Data Valid]]=TRUE,((Table1[[#This Row],[Birthweight (grams)]]*0.9/Table1[[#This Row],[BW_GA]])-1)/(Backend!$B$4/100*Table1[[#This Row],[BW40_3705]]),"")</f>
        <v/>
      </c>
      <c r="I4020" s="7" t="str">
        <f>IF(Table1[[#This Row],[Is Data Valid]]=TRUE,((Table1[[#This Row],[Birthweight (grams)]]*1.1/Table1[[#This Row],[BW_GA]])-1)/(Backend!$B$4/100*Table1[[#This Row],[BW40_3705]]),"")</f>
        <v/>
      </c>
      <c r="J4020" s="7" t="str">
        <f>IF(Table1[[#This Row],[Is Data Valid]]=TRUE,_xlfn.NORM.S.DIST(Table1[[#This Row],[Birthweight Z-Score]],TRUE)*100,"")</f>
        <v/>
      </c>
      <c r="K4020" s="7" t="str">
        <f>IF(Table1[[#This Row],[Is Data Valid]]=TRUE,_xlfn.NORM.S.DIST(Table1[[#This Row],[Birthweight Z-Score (BW-10%)]],TRUE)*100,"")</f>
        <v/>
      </c>
      <c r="L4020" s="7" t="str">
        <f>IF(Table1[[#This Row],[Is Data Valid]]=TRUE,_xlfn.NORM.S.DIST(Table1[[#This Row],[Birthweight Z-Score (BW+10%)]],TRUE)*100,"")</f>
        <v/>
      </c>
    </row>
    <row r="4021" spans="1:12" x14ac:dyDescent="0.35">
      <c r="A4021" s="3"/>
      <c r="B4021" s="2"/>
      <c r="C4021" s="2"/>
      <c r="D4021" s="2" t="b">
        <f>IF(AND(NOT(ISBLANK(Table1[[#This Row],[Fetal Sex (Male, Female or Unknown)]])),ISNUMBER(Table1[[#This Row],[Birthweight (grams)]]),ISNUMBER(Table1[[#This Row],[Gestation (days)]])),TRUE,FALSE)</f>
        <v>0</v>
      </c>
      <c r="E4021" s="2" t="str">
        <f>IF(Table1[[#This Row],[Is Data Valid]]=TRUE,IF(Table1[[#This Row],[Fetal Sex (Male, Female or Unknown)]]="Male",Backend!$C$6,IF(Table1[[#This Row],[Fetal Sex (Male, Female or Unknown)]]="Female",Backend!$C$7,IF(Table1[[#This Row],[Fetal Sex (Male, Female or Unknown)]]="Unknown",Backend!$C$8,"Error"))),"")</f>
        <v/>
      </c>
      <c r="F4021" s="8" t="str">
        <f>IF(Table1[[#This Row],[Is Data Valid]]=TRUE,EXP(0.578+0.332*((Table1[[#This Row],[Gestation (days)]]+0.5)/7)-0.00354*((Table1[[#This Row],[Gestation (days)]]+0.5)/7)^2)*Table1[[#This Row],[BW40_3705]],"")</f>
        <v/>
      </c>
      <c r="G4021" s="2" t="str">
        <f>IF(Table1[[#This Row],[Is Data Valid]]=TRUE,((Table1[[#This Row],[Birthweight (grams)]]/Table1[[#This Row],[BW_GA]])-1)/(Backend!$B$4/100*Table1[[#This Row],[BW40_3705]]),"")</f>
        <v/>
      </c>
      <c r="H4021" s="7" t="str">
        <f>IF(Table1[[#This Row],[Is Data Valid]]=TRUE,((Table1[[#This Row],[Birthweight (grams)]]*0.9/Table1[[#This Row],[BW_GA]])-1)/(Backend!$B$4/100*Table1[[#This Row],[BW40_3705]]),"")</f>
        <v/>
      </c>
      <c r="I4021" s="7" t="str">
        <f>IF(Table1[[#This Row],[Is Data Valid]]=TRUE,((Table1[[#This Row],[Birthweight (grams)]]*1.1/Table1[[#This Row],[BW_GA]])-1)/(Backend!$B$4/100*Table1[[#This Row],[BW40_3705]]),"")</f>
        <v/>
      </c>
      <c r="J4021" s="7" t="str">
        <f>IF(Table1[[#This Row],[Is Data Valid]]=TRUE,_xlfn.NORM.S.DIST(Table1[[#This Row],[Birthweight Z-Score]],TRUE)*100,"")</f>
        <v/>
      </c>
      <c r="K4021" s="7" t="str">
        <f>IF(Table1[[#This Row],[Is Data Valid]]=TRUE,_xlfn.NORM.S.DIST(Table1[[#This Row],[Birthweight Z-Score (BW-10%)]],TRUE)*100,"")</f>
        <v/>
      </c>
      <c r="L4021" s="7" t="str">
        <f>IF(Table1[[#This Row],[Is Data Valid]]=TRUE,_xlfn.NORM.S.DIST(Table1[[#This Row],[Birthweight Z-Score (BW+10%)]],TRUE)*100,"")</f>
        <v/>
      </c>
    </row>
    <row r="4022" spans="1:12" x14ac:dyDescent="0.35">
      <c r="A4022" s="3"/>
      <c r="B4022" s="2"/>
      <c r="C4022" s="2"/>
      <c r="D4022" s="2" t="b">
        <f>IF(AND(NOT(ISBLANK(Table1[[#This Row],[Fetal Sex (Male, Female or Unknown)]])),ISNUMBER(Table1[[#This Row],[Birthweight (grams)]]),ISNUMBER(Table1[[#This Row],[Gestation (days)]])),TRUE,FALSE)</f>
        <v>0</v>
      </c>
      <c r="E4022" s="2" t="str">
        <f>IF(Table1[[#This Row],[Is Data Valid]]=TRUE,IF(Table1[[#This Row],[Fetal Sex (Male, Female or Unknown)]]="Male",Backend!$C$6,IF(Table1[[#This Row],[Fetal Sex (Male, Female or Unknown)]]="Female",Backend!$C$7,IF(Table1[[#This Row],[Fetal Sex (Male, Female or Unknown)]]="Unknown",Backend!$C$8,"Error"))),"")</f>
        <v/>
      </c>
      <c r="F4022" s="8" t="str">
        <f>IF(Table1[[#This Row],[Is Data Valid]]=TRUE,EXP(0.578+0.332*((Table1[[#This Row],[Gestation (days)]]+0.5)/7)-0.00354*((Table1[[#This Row],[Gestation (days)]]+0.5)/7)^2)*Table1[[#This Row],[BW40_3705]],"")</f>
        <v/>
      </c>
      <c r="G4022" s="2" t="str">
        <f>IF(Table1[[#This Row],[Is Data Valid]]=TRUE,((Table1[[#This Row],[Birthweight (grams)]]/Table1[[#This Row],[BW_GA]])-1)/(Backend!$B$4/100*Table1[[#This Row],[BW40_3705]]),"")</f>
        <v/>
      </c>
      <c r="H4022" s="7" t="str">
        <f>IF(Table1[[#This Row],[Is Data Valid]]=TRUE,((Table1[[#This Row],[Birthweight (grams)]]*0.9/Table1[[#This Row],[BW_GA]])-1)/(Backend!$B$4/100*Table1[[#This Row],[BW40_3705]]),"")</f>
        <v/>
      </c>
      <c r="I4022" s="7" t="str">
        <f>IF(Table1[[#This Row],[Is Data Valid]]=TRUE,((Table1[[#This Row],[Birthweight (grams)]]*1.1/Table1[[#This Row],[BW_GA]])-1)/(Backend!$B$4/100*Table1[[#This Row],[BW40_3705]]),"")</f>
        <v/>
      </c>
      <c r="J4022" s="7" t="str">
        <f>IF(Table1[[#This Row],[Is Data Valid]]=TRUE,_xlfn.NORM.S.DIST(Table1[[#This Row],[Birthweight Z-Score]],TRUE)*100,"")</f>
        <v/>
      </c>
      <c r="K4022" s="7" t="str">
        <f>IF(Table1[[#This Row],[Is Data Valid]]=TRUE,_xlfn.NORM.S.DIST(Table1[[#This Row],[Birthweight Z-Score (BW-10%)]],TRUE)*100,"")</f>
        <v/>
      </c>
      <c r="L4022" s="7" t="str">
        <f>IF(Table1[[#This Row],[Is Data Valid]]=TRUE,_xlfn.NORM.S.DIST(Table1[[#This Row],[Birthweight Z-Score (BW+10%)]],TRUE)*100,"")</f>
        <v/>
      </c>
    </row>
    <row r="4023" spans="1:12" x14ac:dyDescent="0.35">
      <c r="A4023" s="3"/>
      <c r="B4023" s="2"/>
      <c r="C4023" s="2"/>
      <c r="D4023" s="2" t="b">
        <f>IF(AND(NOT(ISBLANK(Table1[[#This Row],[Fetal Sex (Male, Female or Unknown)]])),ISNUMBER(Table1[[#This Row],[Birthweight (grams)]]),ISNUMBER(Table1[[#This Row],[Gestation (days)]])),TRUE,FALSE)</f>
        <v>0</v>
      </c>
      <c r="E4023" s="2" t="str">
        <f>IF(Table1[[#This Row],[Is Data Valid]]=TRUE,IF(Table1[[#This Row],[Fetal Sex (Male, Female or Unknown)]]="Male",Backend!$C$6,IF(Table1[[#This Row],[Fetal Sex (Male, Female or Unknown)]]="Female",Backend!$C$7,IF(Table1[[#This Row],[Fetal Sex (Male, Female or Unknown)]]="Unknown",Backend!$C$8,"Error"))),"")</f>
        <v/>
      </c>
      <c r="F4023" s="8" t="str">
        <f>IF(Table1[[#This Row],[Is Data Valid]]=TRUE,EXP(0.578+0.332*((Table1[[#This Row],[Gestation (days)]]+0.5)/7)-0.00354*((Table1[[#This Row],[Gestation (days)]]+0.5)/7)^2)*Table1[[#This Row],[BW40_3705]],"")</f>
        <v/>
      </c>
      <c r="G4023" s="2" t="str">
        <f>IF(Table1[[#This Row],[Is Data Valid]]=TRUE,((Table1[[#This Row],[Birthweight (grams)]]/Table1[[#This Row],[BW_GA]])-1)/(Backend!$B$4/100*Table1[[#This Row],[BW40_3705]]),"")</f>
        <v/>
      </c>
      <c r="H4023" s="7" t="str">
        <f>IF(Table1[[#This Row],[Is Data Valid]]=TRUE,((Table1[[#This Row],[Birthweight (grams)]]*0.9/Table1[[#This Row],[BW_GA]])-1)/(Backend!$B$4/100*Table1[[#This Row],[BW40_3705]]),"")</f>
        <v/>
      </c>
      <c r="I4023" s="7" t="str">
        <f>IF(Table1[[#This Row],[Is Data Valid]]=TRUE,((Table1[[#This Row],[Birthweight (grams)]]*1.1/Table1[[#This Row],[BW_GA]])-1)/(Backend!$B$4/100*Table1[[#This Row],[BW40_3705]]),"")</f>
        <v/>
      </c>
      <c r="J4023" s="7" t="str">
        <f>IF(Table1[[#This Row],[Is Data Valid]]=TRUE,_xlfn.NORM.S.DIST(Table1[[#This Row],[Birthweight Z-Score]],TRUE)*100,"")</f>
        <v/>
      </c>
      <c r="K4023" s="7" t="str">
        <f>IF(Table1[[#This Row],[Is Data Valid]]=TRUE,_xlfn.NORM.S.DIST(Table1[[#This Row],[Birthweight Z-Score (BW-10%)]],TRUE)*100,"")</f>
        <v/>
      </c>
      <c r="L4023" s="7" t="str">
        <f>IF(Table1[[#This Row],[Is Data Valid]]=TRUE,_xlfn.NORM.S.DIST(Table1[[#This Row],[Birthweight Z-Score (BW+10%)]],TRUE)*100,"")</f>
        <v/>
      </c>
    </row>
    <row r="4024" spans="1:12" x14ac:dyDescent="0.35">
      <c r="A4024" s="3"/>
      <c r="B4024" s="2"/>
      <c r="C4024" s="2"/>
      <c r="D4024" s="2" t="b">
        <f>IF(AND(NOT(ISBLANK(Table1[[#This Row],[Fetal Sex (Male, Female or Unknown)]])),ISNUMBER(Table1[[#This Row],[Birthweight (grams)]]),ISNUMBER(Table1[[#This Row],[Gestation (days)]])),TRUE,FALSE)</f>
        <v>0</v>
      </c>
      <c r="E4024" s="2" t="str">
        <f>IF(Table1[[#This Row],[Is Data Valid]]=TRUE,IF(Table1[[#This Row],[Fetal Sex (Male, Female or Unknown)]]="Male",Backend!$C$6,IF(Table1[[#This Row],[Fetal Sex (Male, Female or Unknown)]]="Female",Backend!$C$7,IF(Table1[[#This Row],[Fetal Sex (Male, Female or Unknown)]]="Unknown",Backend!$C$8,"Error"))),"")</f>
        <v/>
      </c>
      <c r="F4024" s="8" t="str">
        <f>IF(Table1[[#This Row],[Is Data Valid]]=TRUE,EXP(0.578+0.332*((Table1[[#This Row],[Gestation (days)]]+0.5)/7)-0.00354*((Table1[[#This Row],[Gestation (days)]]+0.5)/7)^2)*Table1[[#This Row],[BW40_3705]],"")</f>
        <v/>
      </c>
      <c r="G4024" s="2" t="str">
        <f>IF(Table1[[#This Row],[Is Data Valid]]=TRUE,((Table1[[#This Row],[Birthweight (grams)]]/Table1[[#This Row],[BW_GA]])-1)/(Backend!$B$4/100*Table1[[#This Row],[BW40_3705]]),"")</f>
        <v/>
      </c>
      <c r="H4024" s="7" t="str">
        <f>IF(Table1[[#This Row],[Is Data Valid]]=TRUE,((Table1[[#This Row],[Birthweight (grams)]]*0.9/Table1[[#This Row],[BW_GA]])-1)/(Backend!$B$4/100*Table1[[#This Row],[BW40_3705]]),"")</f>
        <v/>
      </c>
      <c r="I4024" s="7" t="str">
        <f>IF(Table1[[#This Row],[Is Data Valid]]=TRUE,((Table1[[#This Row],[Birthweight (grams)]]*1.1/Table1[[#This Row],[BW_GA]])-1)/(Backend!$B$4/100*Table1[[#This Row],[BW40_3705]]),"")</f>
        <v/>
      </c>
      <c r="J4024" s="7" t="str">
        <f>IF(Table1[[#This Row],[Is Data Valid]]=TRUE,_xlfn.NORM.S.DIST(Table1[[#This Row],[Birthweight Z-Score]],TRUE)*100,"")</f>
        <v/>
      </c>
      <c r="K4024" s="7" t="str">
        <f>IF(Table1[[#This Row],[Is Data Valid]]=TRUE,_xlfn.NORM.S.DIST(Table1[[#This Row],[Birthweight Z-Score (BW-10%)]],TRUE)*100,"")</f>
        <v/>
      </c>
      <c r="L4024" s="7" t="str">
        <f>IF(Table1[[#This Row],[Is Data Valid]]=TRUE,_xlfn.NORM.S.DIST(Table1[[#This Row],[Birthweight Z-Score (BW+10%)]],TRUE)*100,"")</f>
        <v/>
      </c>
    </row>
    <row r="4025" spans="1:12" x14ac:dyDescent="0.35">
      <c r="A4025" s="3"/>
      <c r="B4025" s="2"/>
      <c r="C4025" s="2"/>
      <c r="D4025" s="2" t="b">
        <f>IF(AND(NOT(ISBLANK(Table1[[#This Row],[Fetal Sex (Male, Female or Unknown)]])),ISNUMBER(Table1[[#This Row],[Birthweight (grams)]]),ISNUMBER(Table1[[#This Row],[Gestation (days)]])),TRUE,FALSE)</f>
        <v>0</v>
      </c>
      <c r="E4025" s="2" t="str">
        <f>IF(Table1[[#This Row],[Is Data Valid]]=TRUE,IF(Table1[[#This Row],[Fetal Sex (Male, Female or Unknown)]]="Male",Backend!$C$6,IF(Table1[[#This Row],[Fetal Sex (Male, Female or Unknown)]]="Female",Backend!$C$7,IF(Table1[[#This Row],[Fetal Sex (Male, Female or Unknown)]]="Unknown",Backend!$C$8,"Error"))),"")</f>
        <v/>
      </c>
      <c r="F4025" s="8" t="str">
        <f>IF(Table1[[#This Row],[Is Data Valid]]=TRUE,EXP(0.578+0.332*((Table1[[#This Row],[Gestation (days)]]+0.5)/7)-0.00354*((Table1[[#This Row],[Gestation (days)]]+0.5)/7)^2)*Table1[[#This Row],[BW40_3705]],"")</f>
        <v/>
      </c>
      <c r="G4025" s="2" t="str">
        <f>IF(Table1[[#This Row],[Is Data Valid]]=TRUE,((Table1[[#This Row],[Birthweight (grams)]]/Table1[[#This Row],[BW_GA]])-1)/(Backend!$B$4/100*Table1[[#This Row],[BW40_3705]]),"")</f>
        <v/>
      </c>
      <c r="H4025" s="7" t="str">
        <f>IF(Table1[[#This Row],[Is Data Valid]]=TRUE,((Table1[[#This Row],[Birthweight (grams)]]*0.9/Table1[[#This Row],[BW_GA]])-1)/(Backend!$B$4/100*Table1[[#This Row],[BW40_3705]]),"")</f>
        <v/>
      </c>
      <c r="I4025" s="7" t="str">
        <f>IF(Table1[[#This Row],[Is Data Valid]]=TRUE,((Table1[[#This Row],[Birthweight (grams)]]*1.1/Table1[[#This Row],[BW_GA]])-1)/(Backend!$B$4/100*Table1[[#This Row],[BW40_3705]]),"")</f>
        <v/>
      </c>
      <c r="J4025" s="7" t="str">
        <f>IF(Table1[[#This Row],[Is Data Valid]]=TRUE,_xlfn.NORM.S.DIST(Table1[[#This Row],[Birthweight Z-Score]],TRUE)*100,"")</f>
        <v/>
      </c>
      <c r="K4025" s="7" t="str">
        <f>IF(Table1[[#This Row],[Is Data Valid]]=TRUE,_xlfn.NORM.S.DIST(Table1[[#This Row],[Birthweight Z-Score (BW-10%)]],TRUE)*100,"")</f>
        <v/>
      </c>
      <c r="L4025" s="7" t="str">
        <f>IF(Table1[[#This Row],[Is Data Valid]]=TRUE,_xlfn.NORM.S.DIST(Table1[[#This Row],[Birthweight Z-Score (BW+10%)]],TRUE)*100,"")</f>
        <v/>
      </c>
    </row>
    <row r="4026" spans="1:12" x14ac:dyDescent="0.35">
      <c r="A4026" s="3"/>
      <c r="B4026" s="2"/>
      <c r="C4026" s="2"/>
      <c r="D4026" s="2" t="b">
        <f>IF(AND(NOT(ISBLANK(Table1[[#This Row],[Fetal Sex (Male, Female or Unknown)]])),ISNUMBER(Table1[[#This Row],[Birthweight (grams)]]),ISNUMBER(Table1[[#This Row],[Gestation (days)]])),TRUE,FALSE)</f>
        <v>0</v>
      </c>
      <c r="E4026" s="2" t="str">
        <f>IF(Table1[[#This Row],[Is Data Valid]]=TRUE,IF(Table1[[#This Row],[Fetal Sex (Male, Female or Unknown)]]="Male",Backend!$C$6,IF(Table1[[#This Row],[Fetal Sex (Male, Female or Unknown)]]="Female",Backend!$C$7,IF(Table1[[#This Row],[Fetal Sex (Male, Female or Unknown)]]="Unknown",Backend!$C$8,"Error"))),"")</f>
        <v/>
      </c>
      <c r="F4026" s="8" t="str">
        <f>IF(Table1[[#This Row],[Is Data Valid]]=TRUE,EXP(0.578+0.332*((Table1[[#This Row],[Gestation (days)]]+0.5)/7)-0.00354*((Table1[[#This Row],[Gestation (days)]]+0.5)/7)^2)*Table1[[#This Row],[BW40_3705]],"")</f>
        <v/>
      </c>
      <c r="G4026" s="2" t="str">
        <f>IF(Table1[[#This Row],[Is Data Valid]]=TRUE,((Table1[[#This Row],[Birthweight (grams)]]/Table1[[#This Row],[BW_GA]])-1)/(Backend!$B$4/100*Table1[[#This Row],[BW40_3705]]),"")</f>
        <v/>
      </c>
      <c r="H4026" s="7" t="str">
        <f>IF(Table1[[#This Row],[Is Data Valid]]=TRUE,((Table1[[#This Row],[Birthweight (grams)]]*0.9/Table1[[#This Row],[BW_GA]])-1)/(Backend!$B$4/100*Table1[[#This Row],[BW40_3705]]),"")</f>
        <v/>
      </c>
      <c r="I4026" s="7" t="str">
        <f>IF(Table1[[#This Row],[Is Data Valid]]=TRUE,((Table1[[#This Row],[Birthweight (grams)]]*1.1/Table1[[#This Row],[BW_GA]])-1)/(Backend!$B$4/100*Table1[[#This Row],[BW40_3705]]),"")</f>
        <v/>
      </c>
      <c r="J4026" s="7" t="str">
        <f>IF(Table1[[#This Row],[Is Data Valid]]=TRUE,_xlfn.NORM.S.DIST(Table1[[#This Row],[Birthweight Z-Score]],TRUE)*100,"")</f>
        <v/>
      </c>
      <c r="K4026" s="7" t="str">
        <f>IF(Table1[[#This Row],[Is Data Valid]]=TRUE,_xlfn.NORM.S.DIST(Table1[[#This Row],[Birthweight Z-Score (BW-10%)]],TRUE)*100,"")</f>
        <v/>
      </c>
      <c r="L4026" s="7" t="str">
        <f>IF(Table1[[#This Row],[Is Data Valid]]=TRUE,_xlfn.NORM.S.DIST(Table1[[#This Row],[Birthweight Z-Score (BW+10%)]],TRUE)*100,"")</f>
        <v/>
      </c>
    </row>
    <row r="4027" spans="1:12" x14ac:dyDescent="0.35">
      <c r="A4027" s="3"/>
      <c r="B4027" s="2"/>
      <c r="C4027" s="2"/>
      <c r="D4027" s="2" t="b">
        <f>IF(AND(NOT(ISBLANK(Table1[[#This Row],[Fetal Sex (Male, Female or Unknown)]])),ISNUMBER(Table1[[#This Row],[Birthweight (grams)]]),ISNUMBER(Table1[[#This Row],[Gestation (days)]])),TRUE,FALSE)</f>
        <v>0</v>
      </c>
      <c r="E4027" s="2" t="str">
        <f>IF(Table1[[#This Row],[Is Data Valid]]=TRUE,IF(Table1[[#This Row],[Fetal Sex (Male, Female or Unknown)]]="Male",Backend!$C$6,IF(Table1[[#This Row],[Fetal Sex (Male, Female or Unknown)]]="Female",Backend!$C$7,IF(Table1[[#This Row],[Fetal Sex (Male, Female or Unknown)]]="Unknown",Backend!$C$8,"Error"))),"")</f>
        <v/>
      </c>
      <c r="F4027" s="8" t="str">
        <f>IF(Table1[[#This Row],[Is Data Valid]]=TRUE,EXP(0.578+0.332*((Table1[[#This Row],[Gestation (days)]]+0.5)/7)-0.00354*((Table1[[#This Row],[Gestation (days)]]+0.5)/7)^2)*Table1[[#This Row],[BW40_3705]],"")</f>
        <v/>
      </c>
      <c r="G4027" s="2" t="str">
        <f>IF(Table1[[#This Row],[Is Data Valid]]=TRUE,((Table1[[#This Row],[Birthweight (grams)]]/Table1[[#This Row],[BW_GA]])-1)/(Backend!$B$4/100*Table1[[#This Row],[BW40_3705]]),"")</f>
        <v/>
      </c>
      <c r="H4027" s="7" t="str">
        <f>IF(Table1[[#This Row],[Is Data Valid]]=TRUE,((Table1[[#This Row],[Birthweight (grams)]]*0.9/Table1[[#This Row],[BW_GA]])-1)/(Backend!$B$4/100*Table1[[#This Row],[BW40_3705]]),"")</f>
        <v/>
      </c>
      <c r="I4027" s="7" t="str">
        <f>IF(Table1[[#This Row],[Is Data Valid]]=TRUE,((Table1[[#This Row],[Birthweight (grams)]]*1.1/Table1[[#This Row],[BW_GA]])-1)/(Backend!$B$4/100*Table1[[#This Row],[BW40_3705]]),"")</f>
        <v/>
      </c>
      <c r="J4027" s="7" t="str">
        <f>IF(Table1[[#This Row],[Is Data Valid]]=TRUE,_xlfn.NORM.S.DIST(Table1[[#This Row],[Birthweight Z-Score]],TRUE)*100,"")</f>
        <v/>
      </c>
      <c r="K4027" s="7" t="str">
        <f>IF(Table1[[#This Row],[Is Data Valid]]=TRUE,_xlfn.NORM.S.DIST(Table1[[#This Row],[Birthweight Z-Score (BW-10%)]],TRUE)*100,"")</f>
        <v/>
      </c>
      <c r="L4027" s="7" t="str">
        <f>IF(Table1[[#This Row],[Is Data Valid]]=TRUE,_xlfn.NORM.S.DIST(Table1[[#This Row],[Birthweight Z-Score (BW+10%)]],TRUE)*100,"")</f>
        <v/>
      </c>
    </row>
    <row r="4028" spans="1:12" x14ac:dyDescent="0.35">
      <c r="A4028" s="3"/>
      <c r="B4028" s="2"/>
      <c r="C4028" s="2"/>
      <c r="D4028" s="2" t="b">
        <f>IF(AND(NOT(ISBLANK(Table1[[#This Row],[Fetal Sex (Male, Female or Unknown)]])),ISNUMBER(Table1[[#This Row],[Birthweight (grams)]]),ISNUMBER(Table1[[#This Row],[Gestation (days)]])),TRUE,FALSE)</f>
        <v>0</v>
      </c>
      <c r="E4028" s="2" t="str">
        <f>IF(Table1[[#This Row],[Is Data Valid]]=TRUE,IF(Table1[[#This Row],[Fetal Sex (Male, Female or Unknown)]]="Male",Backend!$C$6,IF(Table1[[#This Row],[Fetal Sex (Male, Female or Unknown)]]="Female",Backend!$C$7,IF(Table1[[#This Row],[Fetal Sex (Male, Female or Unknown)]]="Unknown",Backend!$C$8,"Error"))),"")</f>
        <v/>
      </c>
      <c r="F4028" s="8" t="str">
        <f>IF(Table1[[#This Row],[Is Data Valid]]=TRUE,EXP(0.578+0.332*((Table1[[#This Row],[Gestation (days)]]+0.5)/7)-0.00354*((Table1[[#This Row],[Gestation (days)]]+0.5)/7)^2)*Table1[[#This Row],[BW40_3705]],"")</f>
        <v/>
      </c>
      <c r="G4028" s="2" t="str">
        <f>IF(Table1[[#This Row],[Is Data Valid]]=TRUE,((Table1[[#This Row],[Birthweight (grams)]]/Table1[[#This Row],[BW_GA]])-1)/(Backend!$B$4/100*Table1[[#This Row],[BW40_3705]]),"")</f>
        <v/>
      </c>
      <c r="H4028" s="7" t="str">
        <f>IF(Table1[[#This Row],[Is Data Valid]]=TRUE,((Table1[[#This Row],[Birthweight (grams)]]*0.9/Table1[[#This Row],[BW_GA]])-1)/(Backend!$B$4/100*Table1[[#This Row],[BW40_3705]]),"")</f>
        <v/>
      </c>
      <c r="I4028" s="7" t="str">
        <f>IF(Table1[[#This Row],[Is Data Valid]]=TRUE,((Table1[[#This Row],[Birthweight (grams)]]*1.1/Table1[[#This Row],[BW_GA]])-1)/(Backend!$B$4/100*Table1[[#This Row],[BW40_3705]]),"")</f>
        <v/>
      </c>
      <c r="J4028" s="7" t="str">
        <f>IF(Table1[[#This Row],[Is Data Valid]]=TRUE,_xlfn.NORM.S.DIST(Table1[[#This Row],[Birthweight Z-Score]],TRUE)*100,"")</f>
        <v/>
      </c>
      <c r="K4028" s="7" t="str">
        <f>IF(Table1[[#This Row],[Is Data Valid]]=TRUE,_xlfn.NORM.S.DIST(Table1[[#This Row],[Birthweight Z-Score (BW-10%)]],TRUE)*100,"")</f>
        <v/>
      </c>
      <c r="L4028" s="7" t="str">
        <f>IF(Table1[[#This Row],[Is Data Valid]]=TRUE,_xlfn.NORM.S.DIST(Table1[[#This Row],[Birthweight Z-Score (BW+10%)]],TRUE)*100,"")</f>
        <v/>
      </c>
    </row>
    <row r="4029" spans="1:12" x14ac:dyDescent="0.35">
      <c r="A4029" s="3"/>
      <c r="B4029" s="2"/>
      <c r="C4029" s="2"/>
      <c r="D4029" s="2" t="b">
        <f>IF(AND(NOT(ISBLANK(Table1[[#This Row],[Fetal Sex (Male, Female or Unknown)]])),ISNUMBER(Table1[[#This Row],[Birthweight (grams)]]),ISNUMBER(Table1[[#This Row],[Gestation (days)]])),TRUE,FALSE)</f>
        <v>0</v>
      </c>
      <c r="E4029" s="2" t="str">
        <f>IF(Table1[[#This Row],[Is Data Valid]]=TRUE,IF(Table1[[#This Row],[Fetal Sex (Male, Female or Unknown)]]="Male",Backend!$C$6,IF(Table1[[#This Row],[Fetal Sex (Male, Female or Unknown)]]="Female",Backend!$C$7,IF(Table1[[#This Row],[Fetal Sex (Male, Female or Unknown)]]="Unknown",Backend!$C$8,"Error"))),"")</f>
        <v/>
      </c>
      <c r="F4029" s="8" t="str">
        <f>IF(Table1[[#This Row],[Is Data Valid]]=TRUE,EXP(0.578+0.332*((Table1[[#This Row],[Gestation (days)]]+0.5)/7)-0.00354*((Table1[[#This Row],[Gestation (days)]]+0.5)/7)^2)*Table1[[#This Row],[BW40_3705]],"")</f>
        <v/>
      </c>
      <c r="G4029" s="2" t="str">
        <f>IF(Table1[[#This Row],[Is Data Valid]]=TRUE,((Table1[[#This Row],[Birthweight (grams)]]/Table1[[#This Row],[BW_GA]])-1)/(Backend!$B$4/100*Table1[[#This Row],[BW40_3705]]),"")</f>
        <v/>
      </c>
      <c r="H4029" s="7" t="str">
        <f>IF(Table1[[#This Row],[Is Data Valid]]=TRUE,((Table1[[#This Row],[Birthweight (grams)]]*0.9/Table1[[#This Row],[BW_GA]])-1)/(Backend!$B$4/100*Table1[[#This Row],[BW40_3705]]),"")</f>
        <v/>
      </c>
      <c r="I4029" s="7" t="str">
        <f>IF(Table1[[#This Row],[Is Data Valid]]=TRUE,((Table1[[#This Row],[Birthweight (grams)]]*1.1/Table1[[#This Row],[BW_GA]])-1)/(Backend!$B$4/100*Table1[[#This Row],[BW40_3705]]),"")</f>
        <v/>
      </c>
      <c r="J4029" s="7" t="str">
        <f>IF(Table1[[#This Row],[Is Data Valid]]=TRUE,_xlfn.NORM.S.DIST(Table1[[#This Row],[Birthweight Z-Score]],TRUE)*100,"")</f>
        <v/>
      </c>
      <c r="K4029" s="7" t="str">
        <f>IF(Table1[[#This Row],[Is Data Valid]]=TRUE,_xlfn.NORM.S.DIST(Table1[[#This Row],[Birthweight Z-Score (BW-10%)]],TRUE)*100,"")</f>
        <v/>
      </c>
      <c r="L4029" s="7" t="str">
        <f>IF(Table1[[#This Row],[Is Data Valid]]=TRUE,_xlfn.NORM.S.DIST(Table1[[#This Row],[Birthweight Z-Score (BW+10%)]],TRUE)*100,"")</f>
        <v/>
      </c>
    </row>
    <row r="4030" spans="1:12" x14ac:dyDescent="0.35">
      <c r="A4030" s="3"/>
      <c r="B4030" s="2"/>
      <c r="C4030" s="2"/>
      <c r="D4030" s="2" t="b">
        <f>IF(AND(NOT(ISBLANK(Table1[[#This Row],[Fetal Sex (Male, Female or Unknown)]])),ISNUMBER(Table1[[#This Row],[Birthweight (grams)]]),ISNUMBER(Table1[[#This Row],[Gestation (days)]])),TRUE,FALSE)</f>
        <v>0</v>
      </c>
      <c r="E4030" s="2" t="str">
        <f>IF(Table1[[#This Row],[Is Data Valid]]=TRUE,IF(Table1[[#This Row],[Fetal Sex (Male, Female or Unknown)]]="Male",Backend!$C$6,IF(Table1[[#This Row],[Fetal Sex (Male, Female or Unknown)]]="Female",Backend!$C$7,IF(Table1[[#This Row],[Fetal Sex (Male, Female or Unknown)]]="Unknown",Backend!$C$8,"Error"))),"")</f>
        <v/>
      </c>
      <c r="F4030" s="8" t="str">
        <f>IF(Table1[[#This Row],[Is Data Valid]]=TRUE,EXP(0.578+0.332*((Table1[[#This Row],[Gestation (days)]]+0.5)/7)-0.00354*((Table1[[#This Row],[Gestation (days)]]+0.5)/7)^2)*Table1[[#This Row],[BW40_3705]],"")</f>
        <v/>
      </c>
      <c r="G4030" s="2" t="str">
        <f>IF(Table1[[#This Row],[Is Data Valid]]=TRUE,((Table1[[#This Row],[Birthweight (grams)]]/Table1[[#This Row],[BW_GA]])-1)/(Backend!$B$4/100*Table1[[#This Row],[BW40_3705]]),"")</f>
        <v/>
      </c>
      <c r="H4030" s="7" t="str">
        <f>IF(Table1[[#This Row],[Is Data Valid]]=TRUE,((Table1[[#This Row],[Birthweight (grams)]]*0.9/Table1[[#This Row],[BW_GA]])-1)/(Backend!$B$4/100*Table1[[#This Row],[BW40_3705]]),"")</f>
        <v/>
      </c>
      <c r="I4030" s="7" t="str">
        <f>IF(Table1[[#This Row],[Is Data Valid]]=TRUE,((Table1[[#This Row],[Birthweight (grams)]]*1.1/Table1[[#This Row],[BW_GA]])-1)/(Backend!$B$4/100*Table1[[#This Row],[BW40_3705]]),"")</f>
        <v/>
      </c>
      <c r="J4030" s="7" t="str">
        <f>IF(Table1[[#This Row],[Is Data Valid]]=TRUE,_xlfn.NORM.S.DIST(Table1[[#This Row],[Birthweight Z-Score]],TRUE)*100,"")</f>
        <v/>
      </c>
      <c r="K4030" s="7" t="str">
        <f>IF(Table1[[#This Row],[Is Data Valid]]=TRUE,_xlfn.NORM.S.DIST(Table1[[#This Row],[Birthweight Z-Score (BW-10%)]],TRUE)*100,"")</f>
        <v/>
      </c>
      <c r="L4030" s="7" t="str">
        <f>IF(Table1[[#This Row],[Is Data Valid]]=TRUE,_xlfn.NORM.S.DIST(Table1[[#This Row],[Birthweight Z-Score (BW+10%)]],TRUE)*100,"")</f>
        <v/>
      </c>
    </row>
    <row r="4031" spans="1:12" x14ac:dyDescent="0.35">
      <c r="A4031" s="3"/>
      <c r="B4031" s="2"/>
      <c r="C4031" s="2"/>
      <c r="D4031" s="2" t="b">
        <f>IF(AND(NOT(ISBLANK(Table1[[#This Row],[Fetal Sex (Male, Female or Unknown)]])),ISNUMBER(Table1[[#This Row],[Birthweight (grams)]]),ISNUMBER(Table1[[#This Row],[Gestation (days)]])),TRUE,FALSE)</f>
        <v>0</v>
      </c>
      <c r="E4031" s="2" t="str">
        <f>IF(Table1[[#This Row],[Is Data Valid]]=TRUE,IF(Table1[[#This Row],[Fetal Sex (Male, Female or Unknown)]]="Male",Backend!$C$6,IF(Table1[[#This Row],[Fetal Sex (Male, Female or Unknown)]]="Female",Backend!$C$7,IF(Table1[[#This Row],[Fetal Sex (Male, Female or Unknown)]]="Unknown",Backend!$C$8,"Error"))),"")</f>
        <v/>
      </c>
      <c r="F4031" s="8" t="str">
        <f>IF(Table1[[#This Row],[Is Data Valid]]=TRUE,EXP(0.578+0.332*((Table1[[#This Row],[Gestation (days)]]+0.5)/7)-0.00354*((Table1[[#This Row],[Gestation (days)]]+0.5)/7)^2)*Table1[[#This Row],[BW40_3705]],"")</f>
        <v/>
      </c>
      <c r="G4031" s="2" t="str">
        <f>IF(Table1[[#This Row],[Is Data Valid]]=TRUE,((Table1[[#This Row],[Birthweight (grams)]]/Table1[[#This Row],[BW_GA]])-1)/(Backend!$B$4/100*Table1[[#This Row],[BW40_3705]]),"")</f>
        <v/>
      </c>
      <c r="H4031" s="7" t="str">
        <f>IF(Table1[[#This Row],[Is Data Valid]]=TRUE,((Table1[[#This Row],[Birthweight (grams)]]*0.9/Table1[[#This Row],[BW_GA]])-1)/(Backend!$B$4/100*Table1[[#This Row],[BW40_3705]]),"")</f>
        <v/>
      </c>
      <c r="I4031" s="7" t="str">
        <f>IF(Table1[[#This Row],[Is Data Valid]]=TRUE,((Table1[[#This Row],[Birthweight (grams)]]*1.1/Table1[[#This Row],[BW_GA]])-1)/(Backend!$B$4/100*Table1[[#This Row],[BW40_3705]]),"")</f>
        <v/>
      </c>
      <c r="J4031" s="7" t="str">
        <f>IF(Table1[[#This Row],[Is Data Valid]]=TRUE,_xlfn.NORM.S.DIST(Table1[[#This Row],[Birthweight Z-Score]],TRUE)*100,"")</f>
        <v/>
      </c>
      <c r="K4031" s="7" t="str">
        <f>IF(Table1[[#This Row],[Is Data Valid]]=TRUE,_xlfn.NORM.S.DIST(Table1[[#This Row],[Birthweight Z-Score (BW-10%)]],TRUE)*100,"")</f>
        <v/>
      </c>
      <c r="L4031" s="7" t="str">
        <f>IF(Table1[[#This Row],[Is Data Valid]]=TRUE,_xlfn.NORM.S.DIST(Table1[[#This Row],[Birthweight Z-Score (BW+10%)]],TRUE)*100,"")</f>
        <v/>
      </c>
    </row>
    <row r="4032" spans="1:12" x14ac:dyDescent="0.35">
      <c r="A4032" s="3"/>
      <c r="B4032" s="2"/>
      <c r="C4032" s="2"/>
      <c r="D4032" s="2" t="b">
        <f>IF(AND(NOT(ISBLANK(Table1[[#This Row],[Fetal Sex (Male, Female or Unknown)]])),ISNUMBER(Table1[[#This Row],[Birthweight (grams)]]),ISNUMBER(Table1[[#This Row],[Gestation (days)]])),TRUE,FALSE)</f>
        <v>0</v>
      </c>
      <c r="E4032" s="2" t="str">
        <f>IF(Table1[[#This Row],[Is Data Valid]]=TRUE,IF(Table1[[#This Row],[Fetal Sex (Male, Female or Unknown)]]="Male",Backend!$C$6,IF(Table1[[#This Row],[Fetal Sex (Male, Female or Unknown)]]="Female",Backend!$C$7,IF(Table1[[#This Row],[Fetal Sex (Male, Female or Unknown)]]="Unknown",Backend!$C$8,"Error"))),"")</f>
        <v/>
      </c>
      <c r="F4032" s="8" t="str">
        <f>IF(Table1[[#This Row],[Is Data Valid]]=TRUE,EXP(0.578+0.332*((Table1[[#This Row],[Gestation (days)]]+0.5)/7)-0.00354*((Table1[[#This Row],[Gestation (days)]]+0.5)/7)^2)*Table1[[#This Row],[BW40_3705]],"")</f>
        <v/>
      </c>
      <c r="G4032" s="2" t="str">
        <f>IF(Table1[[#This Row],[Is Data Valid]]=TRUE,((Table1[[#This Row],[Birthweight (grams)]]/Table1[[#This Row],[BW_GA]])-1)/(Backend!$B$4/100*Table1[[#This Row],[BW40_3705]]),"")</f>
        <v/>
      </c>
      <c r="H4032" s="7" t="str">
        <f>IF(Table1[[#This Row],[Is Data Valid]]=TRUE,((Table1[[#This Row],[Birthweight (grams)]]*0.9/Table1[[#This Row],[BW_GA]])-1)/(Backend!$B$4/100*Table1[[#This Row],[BW40_3705]]),"")</f>
        <v/>
      </c>
      <c r="I4032" s="7" t="str">
        <f>IF(Table1[[#This Row],[Is Data Valid]]=TRUE,((Table1[[#This Row],[Birthweight (grams)]]*1.1/Table1[[#This Row],[BW_GA]])-1)/(Backend!$B$4/100*Table1[[#This Row],[BW40_3705]]),"")</f>
        <v/>
      </c>
      <c r="J4032" s="7" t="str">
        <f>IF(Table1[[#This Row],[Is Data Valid]]=TRUE,_xlfn.NORM.S.DIST(Table1[[#This Row],[Birthweight Z-Score]],TRUE)*100,"")</f>
        <v/>
      </c>
      <c r="K4032" s="7" t="str">
        <f>IF(Table1[[#This Row],[Is Data Valid]]=TRUE,_xlfn.NORM.S.DIST(Table1[[#This Row],[Birthweight Z-Score (BW-10%)]],TRUE)*100,"")</f>
        <v/>
      </c>
      <c r="L4032" s="7" t="str">
        <f>IF(Table1[[#This Row],[Is Data Valid]]=TRUE,_xlfn.NORM.S.DIST(Table1[[#This Row],[Birthweight Z-Score (BW+10%)]],TRUE)*100,"")</f>
        <v/>
      </c>
    </row>
    <row r="4033" spans="1:12" x14ac:dyDescent="0.35">
      <c r="A4033" s="3"/>
      <c r="B4033" s="2"/>
      <c r="C4033" s="2"/>
      <c r="D4033" s="2" t="b">
        <f>IF(AND(NOT(ISBLANK(Table1[[#This Row],[Fetal Sex (Male, Female or Unknown)]])),ISNUMBER(Table1[[#This Row],[Birthweight (grams)]]),ISNUMBER(Table1[[#This Row],[Gestation (days)]])),TRUE,FALSE)</f>
        <v>0</v>
      </c>
      <c r="E4033" s="2" t="str">
        <f>IF(Table1[[#This Row],[Is Data Valid]]=TRUE,IF(Table1[[#This Row],[Fetal Sex (Male, Female or Unknown)]]="Male",Backend!$C$6,IF(Table1[[#This Row],[Fetal Sex (Male, Female or Unknown)]]="Female",Backend!$C$7,IF(Table1[[#This Row],[Fetal Sex (Male, Female or Unknown)]]="Unknown",Backend!$C$8,"Error"))),"")</f>
        <v/>
      </c>
      <c r="F4033" s="8" t="str">
        <f>IF(Table1[[#This Row],[Is Data Valid]]=TRUE,EXP(0.578+0.332*((Table1[[#This Row],[Gestation (days)]]+0.5)/7)-0.00354*((Table1[[#This Row],[Gestation (days)]]+0.5)/7)^2)*Table1[[#This Row],[BW40_3705]],"")</f>
        <v/>
      </c>
      <c r="G4033" s="2" t="str">
        <f>IF(Table1[[#This Row],[Is Data Valid]]=TRUE,((Table1[[#This Row],[Birthweight (grams)]]/Table1[[#This Row],[BW_GA]])-1)/(Backend!$B$4/100*Table1[[#This Row],[BW40_3705]]),"")</f>
        <v/>
      </c>
      <c r="H4033" s="7" t="str">
        <f>IF(Table1[[#This Row],[Is Data Valid]]=TRUE,((Table1[[#This Row],[Birthweight (grams)]]*0.9/Table1[[#This Row],[BW_GA]])-1)/(Backend!$B$4/100*Table1[[#This Row],[BW40_3705]]),"")</f>
        <v/>
      </c>
      <c r="I4033" s="7" t="str">
        <f>IF(Table1[[#This Row],[Is Data Valid]]=TRUE,((Table1[[#This Row],[Birthweight (grams)]]*1.1/Table1[[#This Row],[BW_GA]])-1)/(Backend!$B$4/100*Table1[[#This Row],[BW40_3705]]),"")</f>
        <v/>
      </c>
      <c r="J4033" s="7" t="str">
        <f>IF(Table1[[#This Row],[Is Data Valid]]=TRUE,_xlfn.NORM.S.DIST(Table1[[#This Row],[Birthweight Z-Score]],TRUE)*100,"")</f>
        <v/>
      </c>
      <c r="K4033" s="7" t="str">
        <f>IF(Table1[[#This Row],[Is Data Valid]]=TRUE,_xlfn.NORM.S.DIST(Table1[[#This Row],[Birthweight Z-Score (BW-10%)]],TRUE)*100,"")</f>
        <v/>
      </c>
      <c r="L4033" s="7" t="str">
        <f>IF(Table1[[#This Row],[Is Data Valid]]=TRUE,_xlfn.NORM.S.DIST(Table1[[#This Row],[Birthweight Z-Score (BW+10%)]],TRUE)*100,"")</f>
        <v/>
      </c>
    </row>
    <row r="4034" spans="1:12" x14ac:dyDescent="0.35">
      <c r="A4034" s="3"/>
      <c r="B4034" s="2"/>
      <c r="C4034" s="2"/>
      <c r="D4034" s="2" t="b">
        <f>IF(AND(NOT(ISBLANK(Table1[[#This Row],[Fetal Sex (Male, Female or Unknown)]])),ISNUMBER(Table1[[#This Row],[Birthweight (grams)]]),ISNUMBER(Table1[[#This Row],[Gestation (days)]])),TRUE,FALSE)</f>
        <v>0</v>
      </c>
      <c r="E4034" s="2" t="str">
        <f>IF(Table1[[#This Row],[Is Data Valid]]=TRUE,IF(Table1[[#This Row],[Fetal Sex (Male, Female or Unknown)]]="Male",Backend!$C$6,IF(Table1[[#This Row],[Fetal Sex (Male, Female or Unknown)]]="Female",Backend!$C$7,IF(Table1[[#This Row],[Fetal Sex (Male, Female or Unknown)]]="Unknown",Backend!$C$8,"Error"))),"")</f>
        <v/>
      </c>
      <c r="F4034" s="8" t="str">
        <f>IF(Table1[[#This Row],[Is Data Valid]]=TRUE,EXP(0.578+0.332*((Table1[[#This Row],[Gestation (days)]]+0.5)/7)-0.00354*((Table1[[#This Row],[Gestation (days)]]+0.5)/7)^2)*Table1[[#This Row],[BW40_3705]],"")</f>
        <v/>
      </c>
      <c r="G4034" s="2" t="str">
        <f>IF(Table1[[#This Row],[Is Data Valid]]=TRUE,((Table1[[#This Row],[Birthweight (grams)]]/Table1[[#This Row],[BW_GA]])-1)/(Backend!$B$4/100*Table1[[#This Row],[BW40_3705]]),"")</f>
        <v/>
      </c>
      <c r="H4034" s="7" t="str">
        <f>IF(Table1[[#This Row],[Is Data Valid]]=TRUE,((Table1[[#This Row],[Birthweight (grams)]]*0.9/Table1[[#This Row],[BW_GA]])-1)/(Backend!$B$4/100*Table1[[#This Row],[BW40_3705]]),"")</f>
        <v/>
      </c>
      <c r="I4034" s="7" t="str">
        <f>IF(Table1[[#This Row],[Is Data Valid]]=TRUE,((Table1[[#This Row],[Birthweight (grams)]]*1.1/Table1[[#This Row],[BW_GA]])-1)/(Backend!$B$4/100*Table1[[#This Row],[BW40_3705]]),"")</f>
        <v/>
      </c>
      <c r="J4034" s="7" t="str">
        <f>IF(Table1[[#This Row],[Is Data Valid]]=TRUE,_xlfn.NORM.S.DIST(Table1[[#This Row],[Birthweight Z-Score]],TRUE)*100,"")</f>
        <v/>
      </c>
      <c r="K4034" s="7" t="str">
        <f>IF(Table1[[#This Row],[Is Data Valid]]=TRUE,_xlfn.NORM.S.DIST(Table1[[#This Row],[Birthweight Z-Score (BW-10%)]],TRUE)*100,"")</f>
        <v/>
      </c>
      <c r="L4034" s="7" t="str">
        <f>IF(Table1[[#This Row],[Is Data Valid]]=TRUE,_xlfn.NORM.S.DIST(Table1[[#This Row],[Birthweight Z-Score (BW+10%)]],TRUE)*100,"")</f>
        <v/>
      </c>
    </row>
    <row r="4035" spans="1:12" x14ac:dyDescent="0.35">
      <c r="A4035" s="3"/>
      <c r="B4035" s="2"/>
      <c r="C4035" s="2"/>
      <c r="D4035" s="2" t="b">
        <f>IF(AND(NOT(ISBLANK(Table1[[#This Row],[Fetal Sex (Male, Female or Unknown)]])),ISNUMBER(Table1[[#This Row],[Birthweight (grams)]]),ISNUMBER(Table1[[#This Row],[Gestation (days)]])),TRUE,FALSE)</f>
        <v>0</v>
      </c>
      <c r="E4035" s="2" t="str">
        <f>IF(Table1[[#This Row],[Is Data Valid]]=TRUE,IF(Table1[[#This Row],[Fetal Sex (Male, Female or Unknown)]]="Male",Backend!$C$6,IF(Table1[[#This Row],[Fetal Sex (Male, Female or Unknown)]]="Female",Backend!$C$7,IF(Table1[[#This Row],[Fetal Sex (Male, Female or Unknown)]]="Unknown",Backend!$C$8,"Error"))),"")</f>
        <v/>
      </c>
      <c r="F4035" s="8" t="str">
        <f>IF(Table1[[#This Row],[Is Data Valid]]=TRUE,EXP(0.578+0.332*((Table1[[#This Row],[Gestation (days)]]+0.5)/7)-0.00354*((Table1[[#This Row],[Gestation (days)]]+0.5)/7)^2)*Table1[[#This Row],[BW40_3705]],"")</f>
        <v/>
      </c>
      <c r="G4035" s="2" t="str">
        <f>IF(Table1[[#This Row],[Is Data Valid]]=TRUE,((Table1[[#This Row],[Birthweight (grams)]]/Table1[[#This Row],[BW_GA]])-1)/(Backend!$B$4/100*Table1[[#This Row],[BW40_3705]]),"")</f>
        <v/>
      </c>
      <c r="H4035" s="7" t="str">
        <f>IF(Table1[[#This Row],[Is Data Valid]]=TRUE,((Table1[[#This Row],[Birthweight (grams)]]*0.9/Table1[[#This Row],[BW_GA]])-1)/(Backend!$B$4/100*Table1[[#This Row],[BW40_3705]]),"")</f>
        <v/>
      </c>
      <c r="I4035" s="7" t="str">
        <f>IF(Table1[[#This Row],[Is Data Valid]]=TRUE,((Table1[[#This Row],[Birthweight (grams)]]*1.1/Table1[[#This Row],[BW_GA]])-1)/(Backend!$B$4/100*Table1[[#This Row],[BW40_3705]]),"")</f>
        <v/>
      </c>
      <c r="J4035" s="7" t="str">
        <f>IF(Table1[[#This Row],[Is Data Valid]]=TRUE,_xlfn.NORM.S.DIST(Table1[[#This Row],[Birthweight Z-Score]],TRUE)*100,"")</f>
        <v/>
      </c>
      <c r="K4035" s="7" t="str">
        <f>IF(Table1[[#This Row],[Is Data Valid]]=TRUE,_xlfn.NORM.S.DIST(Table1[[#This Row],[Birthweight Z-Score (BW-10%)]],TRUE)*100,"")</f>
        <v/>
      </c>
      <c r="L4035" s="7" t="str">
        <f>IF(Table1[[#This Row],[Is Data Valid]]=TRUE,_xlfn.NORM.S.DIST(Table1[[#This Row],[Birthweight Z-Score (BW+10%)]],TRUE)*100,"")</f>
        <v/>
      </c>
    </row>
    <row r="4036" spans="1:12" x14ac:dyDescent="0.35">
      <c r="A4036" s="3"/>
      <c r="B4036" s="2"/>
      <c r="C4036" s="2"/>
      <c r="D4036" s="2" t="b">
        <f>IF(AND(NOT(ISBLANK(Table1[[#This Row],[Fetal Sex (Male, Female or Unknown)]])),ISNUMBER(Table1[[#This Row],[Birthweight (grams)]]),ISNUMBER(Table1[[#This Row],[Gestation (days)]])),TRUE,FALSE)</f>
        <v>0</v>
      </c>
      <c r="E4036" s="2" t="str">
        <f>IF(Table1[[#This Row],[Is Data Valid]]=TRUE,IF(Table1[[#This Row],[Fetal Sex (Male, Female or Unknown)]]="Male",Backend!$C$6,IF(Table1[[#This Row],[Fetal Sex (Male, Female or Unknown)]]="Female",Backend!$C$7,IF(Table1[[#This Row],[Fetal Sex (Male, Female or Unknown)]]="Unknown",Backend!$C$8,"Error"))),"")</f>
        <v/>
      </c>
      <c r="F4036" s="8" t="str">
        <f>IF(Table1[[#This Row],[Is Data Valid]]=TRUE,EXP(0.578+0.332*((Table1[[#This Row],[Gestation (days)]]+0.5)/7)-0.00354*((Table1[[#This Row],[Gestation (days)]]+0.5)/7)^2)*Table1[[#This Row],[BW40_3705]],"")</f>
        <v/>
      </c>
      <c r="G4036" s="2" t="str">
        <f>IF(Table1[[#This Row],[Is Data Valid]]=TRUE,((Table1[[#This Row],[Birthweight (grams)]]/Table1[[#This Row],[BW_GA]])-1)/(Backend!$B$4/100*Table1[[#This Row],[BW40_3705]]),"")</f>
        <v/>
      </c>
      <c r="H4036" s="7" t="str">
        <f>IF(Table1[[#This Row],[Is Data Valid]]=TRUE,((Table1[[#This Row],[Birthweight (grams)]]*0.9/Table1[[#This Row],[BW_GA]])-1)/(Backend!$B$4/100*Table1[[#This Row],[BW40_3705]]),"")</f>
        <v/>
      </c>
      <c r="I4036" s="7" t="str">
        <f>IF(Table1[[#This Row],[Is Data Valid]]=TRUE,((Table1[[#This Row],[Birthweight (grams)]]*1.1/Table1[[#This Row],[BW_GA]])-1)/(Backend!$B$4/100*Table1[[#This Row],[BW40_3705]]),"")</f>
        <v/>
      </c>
      <c r="J4036" s="7" t="str">
        <f>IF(Table1[[#This Row],[Is Data Valid]]=TRUE,_xlfn.NORM.S.DIST(Table1[[#This Row],[Birthweight Z-Score]],TRUE)*100,"")</f>
        <v/>
      </c>
      <c r="K4036" s="7" t="str">
        <f>IF(Table1[[#This Row],[Is Data Valid]]=TRUE,_xlfn.NORM.S.DIST(Table1[[#This Row],[Birthweight Z-Score (BW-10%)]],TRUE)*100,"")</f>
        <v/>
      </c>
      <c r="L4036" s="7" t="str">
        <f>IF(Table1[[#This Row],[Is Data Valid]]=TRUE,_xlfn.NORM.S.DIST(Table1[[#This Row],[Birthweight Z-Score (BW+10%)]],TRUE)*100,"")</f>
        <v/>
      </c>
    </row>
    <row r="4037" spans="1:12" x14ac:dyDescent="0.35">
      <c r="A4037" s="3"/>
      <c r="B4037" s="2"/>
      <c r="C4037" s="2"/>
      <c r="D4037" s="2" t="b">
        <f>IF(AND(NOT(ISBLANK(Table1[[#This Row],[Fetal Sex (Male, Female or Unknown)]])),ISNUMBER(Table1[[#This Row],[Birthweight (grams)]]),ISNUMBER(Table1[[#This Row],[Gestation (days)]])),TRUE,FALSE)</f>
        <v>0</v>
      </c>
      <c r="E4037" s="2" t="str">
        <f>IF(Table1[[#This Row],[Is Data Valid]]=TRUE,IF(Table1[[#This Row],[Fetal Sex (Male, Female or Unknown)]]="Male",Backend!$C$6,IF(Table1[[#This Row],[Fetal Sex (Male, Female or Unknown)]]="Female",Backend!$C$7,IF(Table1[[#This Row],[Fetal Sex (Male, Female or Unknown)]]="Unknown",Backend!$C$8,"Error"))),"")</f>
        <v/>
      </c>
      <c r="F4037" s="8" t="str">
        <f>IF(Table1[[#This Row],[Is Data Valid]]=TRUE,EXP(0.578+0.332*((Table1[[#This Row],[Gestation (days)]]+0.5)/7)-0.00354*((Table1[[#This Row],[Gestation (days)]]+0.5)/7)^2)*Table1[[#This Row],[BW40_3705]],"")</f>
        <v/>
      </c>
      <c r="G4037" s="2" t="str">
        <f>IF(Table1[[#This Row],[Is Data Valid]]=TRUE,((Table1[[#This Row],[Birthweight (grams)]]/Table1[[#This Row],[BW_GA]])-1)/(Backend!$B$4/100*Table1[[#This Row],[BW40_3705]]),"")</f>
        <v/>
      </c>
      <c r="H4037" s="7" t="str">
        <f>IF(Table1[[#This Row],[Is Data Valid]]=TRUE,((Table1[[#This Row],[Birthweight (grams)]]*0.9/Table1[[#This Row],[BW_GA]])-1)/(Backend!$B$4/100*Table1[[#This Row],[BW40_3705]]),"")</f>
        <v/>
      </c>
      <c r="I4037" s="7" t="str">
        <f>IF(Table1[[#This Row],[Is Data Valid]]=TRUE,((Table1[[#This Row],[Birthweight (grams)]]*1.1/Table1[[#This Row],[BW_GA]])-1)/(Backend!$B$4/100*Table1[[#This Row],[BW40_3705]]),"")</f>
        <v/>
      </c>
      <c r="J4037" s="7" t="str">
        <f>IF(Table1[[#This Row],[Is Data Valid]]=TRUE,_xlfn.NORM.S.DIST(Table1[[#This Row],[Birthweight Z-Score]],TRUE)*100,"")</f>
        <v/>
      </c>
      <c r="K4037" s="7" t="str">
        <f>IF(Table1[[#This Row],[Is Data Valid]]=TRUE,_xlfn.NORM.S.DIST(Table1[[#This Row],[Birthweight Z-Score (BW-10%)]],TRUE)*100,"")</f>
        <v/>
      </c>
      <c r="L4037" s="7" t="str">
        <f>IF(Table1[[#This Row],[Is Data Valid]]=TRUE,_xlfn.NORM.S.DIST(Table1[[#This Row],[Birthweight Z-Score (BW+10%)]],TRUE)*100,"")</f>
        <v/>
      </c>
    </row>
    <row r="4038" spans="1:12" x14ac:dyDescent="0.35">
      <c r="A4038" s="3"/>
      <c r="B4038" s="2"/>
      <c r="C4038" s="2"/>
      <c r="D4038" s="2" t="b">
        <f>IF(AND(NOT(ISBLANK(Table1[[#This Row],[Fetal Sex (Male, Female or Unknown)]])),ISNUMBER(Table1[[#This Row],[Birthweight (grams)]]),ISNUMBER(Table1[[#This Row],[Gestation (days)]])),TRUE,FALSE)</f>
        <v>0</v>
      </c>
      <c r="E4038" s="2" t="str">
        <f>IF(Table1[[#This Row],[Is Data Valid]]=TRUE,IF(Table1[[#This Row],[Fetal Sex (Male, Female or Unknown)]]="Male",Backend!$C$6,IF(Table1[[#This Row],[Fetal Sex (Male, Female or Unknown)]]="Female",Backend!$C$7,IF(Table1[[#This Row],[Fetal Sex (Male, Female or Unknown)]]="Unknown",Backend!$C$8,"Error"))),"")</f>
        <v/>
      </c>
      <c r="F4038" s="8" t="str">
        <f>IF(Table1[[#This Row],[Is Data Valid]]=TRUE,EXP(0.578+0.332*((Table1[[#This Row],[Gestation (days)]]+0.5)/7)-0.00354*((Table1[[#This Row],[Gestation (days)]]+0.5)/7)^2)*Table1[[#This Row],[BW40_3705]],"")</f>
        <v/>
      </c>
      <c r="G4038" s="2" t="str">
        <f>IF(Table1[[#This Row],[Is Data Valid]]=TRUE,((Table1[[#This Row],[Birthweight (grams)]]/Table1[[#This Row],[BW_GA]])-1)/(Backend!$B$4/100*Table1[[#This Row],[BW40_3705]]),"")</f>
        <v/>
      </c>
      <c r="H4038" s="7" t="str">
        <f>IF(Table1[[#This Row],[Is Data Valid]]=TRUE,((Table1[[#This Row],[Birthweight (grams)]]*0.9/Table1[[#This Row],[BW_GA]])-1)/(Backend!$B$4/100*Table1[[#This Row],[BW40_3705]]),"")</f>
        <v/>
      </c>
      <c r="I4038" s="7" t="str">
        <f>IF(Table1[[#This Row],[Is Data Valid]]=TRUE,((Table1[[#This Row],[Birthweight (grams)]]*1.1/Table1[[#This Row],[BW_GA]])-1)/(Backend!$B$4/100*Table1[[#This Row],[BW40_3705]]),"")</f>
        <v/>
      </c>
      <c r="J4038" s="7" t="str">
        <f>IF(Table1[[#This Row],[Is Data Valid]]=TRUE,_xlfn.NORM.S.DIST(Table1[[#This Row],[Birthweight Z-Score]],TRUE)*100,"")</f>
        <v/>
      </c>
      <c r="K4038" s="7" t="str">
        <f>IF(Table1[[#This Row],[Is Data Valid]]=TRUE,_xlfn.NORM.S.DIST(Table1[[#This Row],[Birthweight Z-Score (BW-10%)]],TRUE)*100,"")</f>
        <v/>
      </c>
      <c r="L4038" s="7" t="str">
        <f>IF(Table1[[#This Row],[Is Data Valid]]=TRUE,_xlfn.NORM.S.DIST(Table1[[#This Row],[Birthweight Z-Score (BW+10%)]],TRUE)*100,"")</f>
        <v/>
      </c>
    </row>
    <row r="4039" spans="1:12" x14ac:dyDescent="0.35">
      <c r="A4039" s="3"/>
      <c r="B4039" s="2"/>
      <c r="C4039" s="2"/>
      <c r="D4039" s="2" t="b">
        <f>IF(AND(NOT(ISBLANK(Table1[[#This Row],[Fetal Sex (Male, Female or Unknown)]])),ISNUMBER(Table1[[#This Row],[Birthweight (grams)]]),ISNUMBER(Table1[[#This Row],[Gestation (days)]])),TRUE,FALSE)</f>
        <v>0</v>
      </c>
      <c r="E4039" s="2" t="str">
        <f>IF(Table1[[#This Row],[Is Data Valid]]=TRUE,IF(Table1[[#This Row],[Fetal Sex (Male, Female or Unknown)]]="Male",Backend!$C$6,IF(Table1[[#This Row],[Fetal Sex (Male, Female or Unknown)]]="Female",Backend!$C$7,IF(Table1[[#This Row],[Fetal Sex (Male, Female or Unknown)]]="Unknown",Backend!$C$8,"Error"))),"")</f>
        <v/>
      </c>
      <c r="F4039" s="8" t="str">
        <f>IF(Table1[[#This Row],[Is Data Valid]]=TRUE,EXP(0.578+0.332*((Table1[[#This Row],[Gestation (days)]]+0.5)/7)-0.00354*((Table1[[#This Row],[Gestation (days)]]+0.5)/7)^2)*Table1[[#This Row],[BW40_3705]],"")</f>
        <v/>
      </c>
      <c r="G4039" s="2" t="str">
        <f>IF(Table1[[#This Row],[Is Data Valid]]=TRUE,((Table1[[#This Row],[Birthweight (grams)]]/Table1[[#This Row],[BW_GA]])-1)/(Backend!$B$4/100*Table1[[#This Row],[BW40_3705]]),"")</f>
        <v/>
      </c>
      <c r="H4039" s="7" t="str">
        <f>IF(Table1[[#This Row],[Is Data Valid]]=TRUE,((Table1[[#This Row],[Birthweight (grams)]]*0.9/Table1[[#This Row],[BW_GA]])-1)/(Backend!$B$4/100*Table1[[#This Row],[BW40_3705]]),"")</f>
        <v/>
      </c>
      <c r="I4039" s="7" t="str">
        <f>IF(Table1[[#This Row],[Is Data Valid]]=TRUE,((Table1[[#This Row],[Birthweight (grams)]]*1.1/Table1[[#This Row],[BW_GA]])-1)/(Backend!$B$4/100*Table1[[#This Row],[BW40_3705]]),"")</f>
        <v/>
      </c>
      <c r="J4039" s="7" t="str">
        <f>IF(Table1[[#This Row],[Is Data Valid]]=TRUE,_xlfn.NORM.S.DIST(Table1[[#This Row],[Birthweight Z-Score]],TRUE)*100,"")</f>
        <v/>
      </c>
      <c r="K4039" s="7" t="str">
        <f>IF(Table1[[#This Row],[Is Data Valid]]=TRUE,_xlfn.NORM.S.DIST(Table1[[#This Row],[Birthweight Z-Score (BW-10%)]],TRUE)*100,"")</f>
        <v/>
      </c>
      <c r="L4039" s="7" t="str">
        <f>IF(Table1[[#This Row],[Is Data Valid]]=TRUE,_xlfn.NORM.S.DIST(Table1[[#This Row],[Birthweight Z-Score (BW+10%)]],TRUE)*100,"")</f>
        <v/>
      </c>
    </row>
    <row r="4040" spans="1:12" x14ac:dyDescent="0.35">
      <c r="A4040" s="3"/>
      <c r="B4040" s="2"/>
      <c r="C4040" s="2"/>
      <c r="D4040" s="2" t="b">
        <f>IF(AND(NOT(ISBLANK(Table1[[#This Row],[Fetal Sex (Male, Female or Unknown)]])),ISNUMBER(Table1[[#This Row],[Birthweight (grams)]]),ISNUMBER(Table1[[#This Row],[Gestation (days)]])),TRUE,FALSE)</f>
        <v>0</v>
      </c>
      <c r="E4040" s="2" t="str">
        <f>IF(Table1[[#This Row],[Is Data Valid]]=TRUE,IF(Table1[[#This Row],[Fetal Sex (Male, Female or Unknown)]]="Male",Backend!$C$6,IF(Table1[[#This Row],[Fetal Sex (Male, Female or Unknown)]]="Female",Backend!$C$7,IF(Table1[[#This Row],[Fetal Sex (Male, Female or Unknown)]]="Unknown",Backend!$C$8,"Error"))),"")</f>
        <v/>
      </c>
      <c r="F4040" s="8" t="str">
        <f>IF(Table1[[#This Row],[Is Data Valid]]=TRUE,EXP(0.578+0.332*((Table1[[#This Row],[Gestation (days)]]+0.5)/7)-0.00354*((Table1[[#This Row],[Gestation (days)]]+0.5)/7)^2)*Table1[[#This Row],[BW40_3705]],"")</f>
        <v/>
      </c>
      <c r="G4040" s="2" t="str">
        <f>IF(Table1[[#This Row],[Is Data Valid]]=TRUE,((Table1[[#This Row],[Birthweight (grams)]]/Table1[[#This Row],[BW_GA]])-1)/(Backend!$B$4/100*Table1[[#This Row],[BW40_3705]]),"")</f>
        <v/>
      </c>
      <c r="H4040" s="7" t="str">
        <f>IF(Table1[[#This Row],[Is Data Valid]]=TRUE,((Table1[[#This Row],[Birthweight (grams)]]*0.9/Table1[[#This Row],[BW_GA]])-1)/(Backend!$B$4/100*Table1[[#This Row],[BW40_3705]]),"")</f>
        <v/>
      </c>
      <c r="I4040" s="7" t="str">
        <f>IF(Table1[[#This Row],[Is Data Valid]]=TRUE,((Table1[[#This Row],[Birthweight (grams)]]*1.1/Table1[[#This Row],[BW_GA]])-1)/(Backend!$B$4/100*Table1[[#This Row],[BW40_3705]]),"")</f>
        <v/>
      </c>
      <c r="J4040" s="7" t="str">
        <f>IF(Table1[[#This Row],[Is Data Valid]]=TRUE,_xlfn.NORM.S.DIST(Table1[[#This Row],[Birthweight Z-Score]],TRUE)*100,"")</f>
        <v/>
      </c>
      <c r="K4040" s="7" t="str">
        <f>IF(Table1[[#This Row],[Is Data Valid]]=TRUE,_xlfn.NORM.S.DIST(Table1[[#This Row],[Birthweight Z-Score (BW-10%)]],TRUE)*100,"")</f>
        <v/>
      </c>
      <c r="L4040" s="7" t="str">
        <f>IF(Table1[[#This Row],[Is Data Valid]]=TRUE,_xlfn.NORM.S.DIST(Table1[[#This Row],[Birthweight Z-Score (BW+10%)]],TRUE)*100,"")</f>
        <v/>
      </c>
    </row>
    <row r="4041" spans="1:12" x14ac:dyDescent="0.35">
      <c r="A4041" s="3"/>
      <c r="B4041" s="2"/>
      <c r="C4041" s="2"/>
      <c r="D4041" s="2" t="b">
        <f>IF(AND(NOT(ISBLANK(Table1[[#This Row],[Fetal Sex (Male, Female or Unknown)]])),ISNUMBER(Table1[[#This Row],[Birthweight (grams)]]),ISNUMBER(Table1[[#This Row],[Gestation (days)]])),TRUE,FALSE)</f>
        <v>0</v>
      </c>
      <c r="E4041" s="2" t="str">
        <f>IF(Table1[[#This Row],[Is Data Valid]]=TRUE,IF(Table1[[#This Row],[Fetal Sex (Male, Female or Unknown)]]="Male",Backend!$C$6,IF(Table1[[#This Row],[Fetal Sex (Male, Female or Unknown)]]="Female",Backend!$C$7,IF(Table1[[#This Row],[Fetal Sex (Male, Female or Unknown)]]="Unknown",Backend!$C$8,"Error"))),"")</f>
        <v/>
      </c>
      <c r="F4041" s="8" t="str">
        <f>IF(Table1[[#This Row],[Is Data Valid]]=TRUE,EXP(0.578+0.332*((Table1[[#This Row],[Gestation (days)]]+0.5)/7)-0.00354*((Table1[[#This Row],[Gestation (days)]]+0.5)/7)^2)*Table1[[#This Row],[BW40_3705]],"")</f>
        <v/>
      </c>
      <c r="G4041" s="2" t="str">
        <f>IF(Table1[[#This Row],[Is Data Valid]]=TRUE,((Table1[[#This Row],[Birthweight (grams)]]/Table1[[#This Row],[BW_GA]])-1)/(Backend!$B$4/100*Table1[[#This Row],[BW40_3705]]),"")</f>
        <v/>
      </c>
      <c r="H4041" s="7" t="str">
        <f>IF(Table1[[#This Row],[Is Data Valid]]=TRUE,((Table1[[#This Row],[Birthweight (grams)]]*0.9/Table1[[#This Row],[BW_GA]])-1)/(Backend!$B$4/100*Table1[[#This Row],[BW40_3705]]),"")</f>
        <v/>
      </c>
      <c r="I4041" s="7" t="str">
        <f>IF(Table1[[#This Row],[Is Data Valid]]=TRUE,((Table1[[#This Row],[Birthweight (grams)]]*1.1/Table1[[#This Row],[BW_GA]])-1)/(Backend!$B$4/100*Table1[[#This Row],[BW40_3705]]),"")</f>
        <v/>
      </c>
      <c r="J4041" s="7" t="str">
        <f>IF(Table1[[#This Row],[Is Data Valid]]=TRUE,_xlfn.NORM.S.DIST(Table1[[#This Row],[Birthweight Z-Score]],TRUE)*100,"")</f>
        <v/>
      </c>
      <c r="K4041" s="7" t="str">
        <f>IF(Table1[[#This Row],[Is Data Valid]]=TRUE,_xlfn.NORM.S.DIST(Table1[[#This Row],[Birthweight Z-Score (BW-10%)]],TRUE)*100,"")</f>
        <v/>
      </c>
      <c r="L4041" s="7" t="str">
        <f>IF(Table1[[#This Row],[Is Data Valid]]=TRUE,_xlfn.NORM.S.DIST(Table1[[#This Row],[Birthweight Z-Score (BW+10%)]],TRUE)*100,"")</f>
        <v/>
      </c>
    </row>
    <row r="4042" spans="1:12" x14ac:dyDescent="0.35">
      <c r="A4042" s="3"/>
      <c r="B4042" s="2"/>
      <c r="C4042" s="2"/>
      <c r="D4042" s="2" t="b">
        <f>IF(AND(NOT(ISBLANK(Table1[[#This Row],[Fetal Sex (Male, Female or Unknown)]])),ISNUMBER(Table1[[#This Row],[Birthweight (grams)]]),ISNUMBER(Table1[[#This Row],[Gestation (days)]])),TRUE,FALSE)</f>
        <v>0</v>
      </c>
      <c r="E4042" s="2" t="str">
        <f>IF(Table1[[#This Row],[Is Data Valid]]=TRUE,IF(Table1[[#This Row],[Fetal Sex (Male, Female or Unknown)]]="Male",Backend!$C$6,IF(Table1[[#This Row],[Fetal Sex (Male, Female or Unknown)]]="Female",Backend!$C$7,IF(Table1[[#This Row],[Fetal Sex (Male, Female or Unknown)]]="Unknown",Backend!$C$8,"Error"))),"")</f>
        <v/>
      </c>
      <c r="F4042" s="8" t="str">
        <f>IF(Table1[[#This Row],[Is Data Valid]]=TRUE,EXP(0.578+0.332*((Table1[[#This Row],[Gestation (days)]]+0.5)/7)-0.00354*((Table1[[#This Row],[Gestation (days)]]+0.5)/7)^2)*Table1[[#This Row],[BW40_3705]],"")</f>
        <v/>
      </c>
      <c r="G4042" s="2" t="str">
        <f>IF(Table1[[#This Row],[Is Data Valid]]=TRUE,((Table1[[#This Row],[Birthweight (grams)]]/Table1[[#This Row],[BW_GA]])-1)/(Backend!$B$4/100*Table1[[#This Row],[BW40_3705]]),"")</f>
        <v/>
      </c>
      <c r="H4042" s="7" t="str">
        <f>IF(Table1[[#This Row],[Is Data Valid]]=TRUE,((Table1[[#This Row],[Birthweight (grams)]]*0.9/Table1[[#This Row],[BW_GA]])-1)/(Backend!$B$4/100*Table1[[#This Row],[BW40_3705]]),"")</f>
        <v/>
      </c>
      <c r="I4042" s="7" t="str">
        <f>IF(Table1[[#This Row],[Is Data Valid]]=TRUE,((Table1[[#This Row],[Birthweight (grams)]]*1.1/Table1[[#This Row],[BW_GA]])-1)/(Backend!$B$4/100*Table1[[#This Row],[BW40_3705]]),"")</f>
        <v/>
      </c>
      <c r="J4042" s="7" t="str">
        <f>IF(Table1[[#This Row],[Is Data Valid]]=TRUE,_xlfn.NORM.S.DIST(Table1[[#This Row],[Birthweight Z-Score]],TRUE)*100,"")</f>
        <v/>
      </c>
      <c r="K4042" s="7" t="str">
        <f>IF(Table1[[#This Row],[Is Data Valid]]=TRUE,_xlfn.NORM.S.DIST(Table1[[#This Row],[Birthweight Z-Score (BW-10%)]],TRUE)*100,"")</f>
        <v/>
      </c>
      <c r="L4042" s="7" t="str">
        <f>IF(Table1[[#This Row],[Is Data Valid]]=TRUE,_xlfn.NORM.S.DIST(Table1[[#This Row],[Birthweight Z-Score (BW+10%)]],TRUE)*100,"")</f>
        <v/>
      </c>
    </row>
    <row r="4043" spans="1:12" x14ac:dyDescent="0.35">
      <c r="A4043" s="3"/>
      <c r="B4043" s="2"/>
      <c r="C4043" s="2"/>
      <c r="D4043" s="2" t="b">
        <f>IF(AND(NOT(ISBLANK(Table1[[#This Row],[Fetal Sex (Male, Female or Unknown)]])),ISNUMBER(Table1[[#This Row],[Birthweight (grams)]]),ISNUMBER(Table1[[#This Row],[Gestation (days)]])),TRUE,FALSE)</f>
        <v>0</v>
      </c>
      <c r="E4043" s="2" t="str">
        <f>IF(Table1[[#This Row],[Is Data Valid]]=TRUE,IF(Table1[[#This Row],[Fetal Sex (Male, Female or Unknown)]]="Male",Backend!$C$6,IF(Table1[[#This Row],[Fetal Sex (Male, Female or Unknown)]]="Female",Backend!$C$7,IF(Table1[[#This Row],[Fetal Sex (Male, Female or Unknown)]]="Unknown",Backend!$C$8,"Error"))),"")</f>
        <v/>
      </c>
      <c r="F4043" s="8" t="str">
        <f>IF(Table1[[#This Row],[Is Data Valid]]=TRUE,EXP(0.578+0.332*((Table1[[#This Row],[Gestation (days)]]+0.5)/7)-0.00354*((Table1[[#This Row],[Gestation (days)]]+0.5)/7)^2)*Table1[[#This Row],[BW40_3705]],"")</f>
        <v/>
      </c>
      <c r="G4043" s="2" t="str">
        <f>IF(Table1[[#This Row],[Is Data Valid]]=TRUE,((Table1[[#This Row],[Birthweight (grams)]]/Table1[[#This Row],[BW_GA]])-1)/(Backend!$B$4/100*Table1[[#This Row],[BW40_3705]]),"")</f>
        <v/>
      </c>
      <c r="H4043" s="7" t="str">
        <f>IF(Table1[[#This Row],[Is Data Valid]]=TRUE,((Table1[[#This Row],[Birthweight (grams)]]*0.9/Table1[[#This Row],[BW_GA]])-1)/(Backend!$B$4/100*Table1[[#This Row],[BW40_3705]]),"")</f>
        <v/>
      </c>
      <c r="I4043" s="7" t="str">
        <f>IF(Table1[[#This Row],[Is Data Valid]]=TRUE,((Table1[[#This Row],[Birthweight (grams)]]*1.1/Table1[[#This Row],[BW_GA]])-1)/(Backend!$B$4/100*Table1[[#This Row],[BW40_3705]]),"")</f>
        <v/>
      </c>
      <c r="J4043" s="7" t="str">
        <f>IF(Table1[[#This Row],[Is Data Valid]]=TRUE,_xlfn.NORM.S.DIST(Table1[[#This Row],[Birthweight Z-Score]],TRUE)*100,"")</f>
        <v/>
      </c>
      <c r="K4043" s="7" t="str">
        <f>IF(Table1[[#This Row],[Is Data Valid]]=TRUE,_xlfn.NORM.S.DIST(Table1[[#This Row],[Birthweight Z-Score (BW-10%)]],TRUE)*100,"")</f>
        <v/>
      </c>
      <c r="L4043" s="7" t="str">
        <f>IF(Table1[[#This Row],[Is Data Valid]]=TRUE,_xlfn.NORM.S.DIST(Table1[[#This Row],[Birthweight Z-Score (BW+10%)]],TRUE)*100,"")</f>
        <v/>
      </c>
    </row>
    <row r="4044" spans="1:12" x14ac:dyDescent="0.35">
      <c r="A4044" s="3"/>
      <c r="B4044" s="2"/>
      <c r="C4044" s="2"/>
      <c r="D4044" s="2" t="b">
        <f>IF(AND(NOT(ISBLANK(Table1[[#This Row],[Fetal Sex (Male, Female or Unknown)]])),ISNUMBER(Table1[[#This Row],[Birthweight (grams)]]),ISNUMBER(Table1[[#This Row],[Gestation (days)]])),TRUE,FALSE)</f>
        <v>0</v>
      </c>
      <c r="E4044" s="2" t="str">
        <f>IF(Table1[[#This Row],[Is Data Valid]]=TRUE,IF(Table1[[#This Row],[Fetal Sex (Male, Female or Unknown)]]="Male",Backend!$C$6,IF(Table1[[#This Row],[Fetal Sex (Male, Female or Unknown)]]="Female",Backend!$C$7,IF(Table1[[#This Row],[Fetal Sex (Male, Female or Unknown)]]="Unknown",Backend!$C$8,"Error"))),"")</f>
        <v/>
      </c>
      <c r="F4044" s="8" t="str">
        <f>IF(Table1[[#This Row],[Is Data Valid]]=TRUE,EXP(0.578+0.332*((Table1[[#This Row],[Gestation (days)]]+0.5)/7)-0.00354*((Table1[[#This Row],[Gestation (days)]]+0.5)/7)^2)*Table1[[#This Row],[BW40_3705]],"")</f>
        <v/>
      </c>
      <c r="G4044" s="2" t="str">
        <f>IF(Table1[[#This Row],[Is Data Valid]]=TRUE,((Table1[[#This Row],[Birthweight (grams)]]/Table1[[#This Row],[BW_GA]])-1)/(Backend!$B$4/100*Table1[[#This Row],[BW40_3705]]),"")</f>
        <v/>
      </c>
      <c r="H4044" s="7" t="str">
        <f>IF(Table1[[#This Row],[Is Data Valid]]=TRUE,((Table1[[#This Row],[Birthweight (grams)]]*0.9/Table1[[#This Row],[BW_GA]])-1)/(Backend!$B$4/100*Table1[[#This Row],[BW40_3705]]),"")</f>
        <v/>
      </c>
      <c r="I4044" s="7" t="str">
        <f>IF(Table1[[#This Row],[Is Data Valid]]=TRUE,((Table1[[#This Row],[Birthweight (grams)]]*1.1/Table1[[#This Row],[BW_GA]])-1)/(Backend!$B$4/100*Table1[[#This Row],[BW40_3705]]),"")</f>
        <v/>
      </c>
      <c r="J4044" s="7" t="str">
        <f>IF(Table1[[#This Row],[Is Data Valid]]=TRUE,_xlfn.NORM.S.DIST(Table1[[#This Row],[Birthweight Z-Score]],TRUE)*100,"")</f>
        <v/>
      </c>
      <c r="K4044" s="7" t="str">
        <f>IF(Table1[[#This Row],[Is Data Valid]]=TRUE,_xlfn.NORM.S.DIST(Table1[[#This Row],[Birthweight Z-Score (BW-10%)]],TRUE)*100,"")</f>
        <v/>
      </c>
      <c r="L4044" s="7" t="str">
        <f>IF(Table1[[#This Row],[Is Data Valid]]=TRUE,_xlfn.NORM.S.DIST(Table1[[#This Row],[Birthweight Z-Score (BW+10%)]],TRUE)*100,"")</f>
        <v/>
      </c>
    </row>
    <row r="4045" spans="1:12" x14ac:dyDescent="0.35">
      <c r="A4045" s="3"/>
      <c r="B4045" s="2"/>
      <c r="C4045" s="2"/>
      <c r="D4045" s="2" t="b">
        <f>IF(AND(NOT(ISBLANK(Table1[[#This Row],[Fetal Sex (Male, Female or Unknown)]])),ISNUMBER(Table1[[#This Row],[Birthweight (grams)]]),ISNUMBER(Table1[[#This Row],[Gestation (days)]])),TRUE,FALSE)</f>
        <v>0</v>
      </c>
      <c r="E4045" s="2" t="str">
        <f>IF(Table1[[#This Row],[Is Data Valid]]=TRUE,IF(Table1[[#This Row],[Fetal Sex (Male, Female or Unknown)]]="Male",Backend!$C$6,IF(Table1[[#This Row],[Fetal Sex (Male, Female or Unknown)]]="Female",Backend!$C$7,IF(Table1[[#This Row],[Fetal Sex (Male, Female or Unknown)]]="Unknown",Backend!$C$8,"Error"))),"")</f>
        <v/>
      </c>
      <c r="F4045" s="8" t="str">
        <f>IF(Table1[[#This Row],[Is Data Valid]]=TRUE,EXP(0.578+0.332*((Table1[[#This Row],[Gestation (days)]]+0.5)/7)-0.00354*((Table1[[#This Row],[Gestation (days)]]+0.5)/7)^2)*Table1[[#This Row],[BW40_3705]],"")</f>
        <v/>
      </c>
      <c r="G4045" s="2" t="str">
        <f>IF(Table1[[#This Row],[Is Data Valid]]=TRUE,((Table1[[#This Row],[Birthweight (grams)]]/Table1[[#This Row],[BW_GA]])-1)/(Backend!$B$4/100*Table1[[#This Row],[BW40_3705]]),"")</f>
        <v/>
      </c>
      <c r="H4045" s="7" t="str">
        <f>IF(Table1[[#This Row],[Is Data Valid]]=TRUE,((Table1[[#This Row],[Birthweight (grams)]]*0.9/Table1[[#This Row],[BW_GA]])-1)/(Backend!$B$4/100*Table1[[#This Row],[BW40_3705]]),"")</f>
        <v/>
      </c>
      <c r="I4045" s="7" t="str">
        <f>IF(Table1[[#This Row],[Is Data Valid]]=TRUE,((Table1[[#This Row],[Birthweight (grams)]]*1.1/Table1[[#This Row],[BW_GA]])-1)/(Backend!$B$4/100*Table1[[#This Row],[BW40_3705]]),"")</f>
        <v/>
      </c>
      <c r="J4045" s="7" t="str">
        <f>IF(Table1[[#This Row],[Is Data Valid]]=TRUE,_xlfn.NORM.S.DIST(Table1[[#This Row],[Birthweight Z-Score]],TRUE)*100,"")</f>
        <v/>
      </c>
      <c r="K4045" s="7" t="str">
        <f>IF(Table1[[#This Row],[Is Data Valid]]=TRUE,_xlfn.NORM.S.DIST(Table1[[#This Row],[Birthweight Z-Score (BW-10%)]],TRUE)*100,"")</f>
        <v/>
      </c>
      <c r="L4045" s="7" t="str">
        <f>IF(Table1[[#This Row],[Is Data Valid]]=TRUE,_xlfn.NORM.S.DIST(Table1[[#This Row],[Birthweight Z-Score (BW+10%)]],TRUE)*100,"")</f>
        <v/>
      </c>
    </row>
    <row r="4046" spans="1:12" x14ac:dyDescent="0.35">
      <c r="A4046" s="3"/>
      <c r="B4046" s="2"/>
      <c r="C4046" s="2"/>
      <c r="D4046" s="2" t="b">
        <f>IF(AND(NOT(ISBLANK(Table1[[#This Row],[Fetal Sex (Male, Female or Unknown)]])),ISNUMBER(Table1[[#This Row],[Birthweight (grams)]]),ISNUMBER(Table1[[#This Row],[Gestation (days)]])),TRUE,FALSE)</f>
        <v>0</v>
      </c>
      <c r="E4046" s="2" t="str">
        <f>IF(Table1[[#This Row],[Is Data Valid]]=TRUE,IF(Table1[[#This Row],[Fetal Sex (Male, Female or Unknown)]]="Male",Backend!$C$6,IF(Table1[[#This Row],[Fetal Sex (Male, Female or Unknown)]]="Female",Backend!$C$7,IF(Table1[[#This Row],[Fetal Sex (Male, Female or Unknown)]]="Unknown",Backend!$C$8,"Error"))),"")</f>
        <v/>
      </c>
      <c r="F4046" s="8" t="str">
        <f>IF(Table1[[#This Row],[Is Data Valid]]=TRUE,EXP(0.578+0.332*((Table1[[#This Row],[Gestation (days)]]+0.5)/7)-0.00354*((Table1[[#This Row],[Gestation (days)]]+0.5)/7)^2)*Table1[[#This Row],[BW40_3705]],"")</f>
        <v/>
      </c>
      <c r="G4046" s="2" t="str">
        <f>IF(Table1[[#This Row],[Is Data Valid]]=TRUE,((Table1[[#This Row],[Birthweight (grams)]]/Table1[[#This Row],[BW_GA]])-1)/(Backend!$B$4/100*Table1[[#This Row],[BW40_3705]]),"")</f>
        <v/>
      </c>
      <c r="H4046" s="7" t="str">
        <f>IF(Table1[[#This Row],[Is Data Valid]]=TRUE,((Table1[[#This Row],[Birthweight (grams)]]*0.9/Table1[[#This Row],[BW_GA]])-1)/(Backend!$B$4/100*Table1[[#This Row],[BW40_3705]]),"")</f>
        <v/>
      </c>
      <c r="I4046" s="7" t="str">
        <f>IF(Table1[[#This Row],[Is Data Valid]]=TRUE,((Table1[[#This Row],[Birthweight (grams)]]*1.1/Table1[[#This Row],[BW_GA]])-1)/(Backend!$B$4/100*Table1[[#This Row],[BW40_3705]]),"")</f>
        <v/>
      </c>
      <c r="J4046" s="7" t="str">
        <f>IF(Table1[[#This Row],[Is Data Valid]]=TRUE,_xlfn.NORM.S.DIST(Table1[[#This Row],[Birthweight Z-Score]],TRUE)*100,"")</f>
        <v/>
      </c>
      <c r="K4046" s="7" t="str">
        <f>IF(Table1[[#This Row],[Is Data Valid]]=TRUE,_xlfn.NORM.S.DIST(Table1[[#This Row],[Birthweight Z-Score (BW-10%)]],TRUE)*100,"")</f>
        <v/>
      </c>
      <c r="L4046" s="7" t="str">
        <f>IF(Table1[[#This Row],[Is Data Valid]]=TRUE,_xlfn.NORM.S.DIST(Table1[[#This Row],[Birthweight Z-Score (BW+10%)]],TRUE)*100,"")</f>
        <v/>
      </c>
    </row>
    <row r="4047" spans="1:12" x14ac:dyDescent="0.35">
      <c r="A4047" s="3"/>
      <c r="B4047" s="2"/>
      <c r="C4047" s="2"/>
      <c r="D4047" s="2" t="b">
        <f>IF(AND(NOT(ISBLANK(Table1[[#This Row],[Fetal Sex (Male, Female or Unknown)]])),ISNUMBER(Table1[[#This Row],[Birthweight (grams)]]),ISNUMBER(Table1[[#This Row],[Gestation (days)]])),TRUE,FALSE)</f>
        <v>0</v>
      </c>
      <c r="E4047" s="2" t="str">
        <f>IF(Table1[[#This Row],[Is Data Valid]]=TRUE,IF(Table1[[#This Row],[Fetal Sex (Male, Female or Unknown)]]="Male",Backend!$C$6,IF(Table1[[#This Row],[Fetal Sex (Male, Female or Unknown)]]="Female",Backend!$C$7,IF(Table1[[#This Row],[Fetal Sex (Male, Female or Unknown)]]="Unknown",Backend!$C$8,"Error"))),"")</f>
        <v/>
      </c>
      <c r="F4047" s="8" t="str">
        <f>IF(Table1[[#This Row],[Is Data Valid]]=TRUE,EXP(0.578+0.332*((Table1[[#This Row],[Gestation (days)]]+0.5)/7)-0.00354*((Table1[[#This Row],[Gestation (days)]]+0.5)/7)^2)*Table1[[#This Row],[BW40_3705]],"")</f>
        <v/>
      </c>
      <c r="G4047" s="2" t="str">
        <f>IF(Table1[[#This Row],[Is Data Valid]]=TRUE,((Table1[[#This Row],[Birthweight (grams)]]/Table1[[#This Row],[BW_GA]])-1)/(Backend!$B$4/100*Table1[[#This Row],[BW40_3705]]),"")</f>
        <v/>
      </c>
      <c r="H4047" s="7" t="str">
        <f>IF(Table1[[#This Row],[Is Data Valid]]=TRUE,((Table1[[#This Row],[Birthweight (grams)]]*0.9/Table1[[#This Row],[BW_GA]])-1)/(Backend!$B$4/100*Table1[[#This Row],[BW40_3705]]),"")</f>
        <v/>
      </c>
      <c r="I4047" s="7" t="str">
        <f>IF(Table1[[#This Row],[Is Data Valid]]=TRUE,((Table1[[#This Row],[Birthweight (grams)]]*1.1/Table1[[#This Row],[BW_GA]])-1)/(Backend!$B$4/100*Table1[[#This Row],[BW40_3705]]),"")</f>
        <v/>
      </c>
      <c r="J4047" s="7" t="str">
        <f>IF(Table1[[#This Row],[Is Data Valid]]=TRUE,_xlfn.NORM.S.DIST(Table1[[#This Row],[Birthweight Z-Score]],TRUE)*100,"")</f>
        <v/>
      </c>
      <c r="K4047" s="7" t="str">
        <f>IF(Table1[[#This Row],[Is Data Valid]]=TRUE,_xlfn.NORM.S.DIST(Table1[[#This Row],[Birthweight Z-Score (BW-10%)]],TRUE)*100,"")</f>
        <v/>
      </c>
      <c r="L4047" s="7" t="str">
        <f>IF(Table1[[#This Row],[Is Data Valid]]=TRUE,_xlfn.NORM.S.DIST(Table1[[#This Row],[Birthweight Z-Score (BW+10%)]],TRUE)*100,"")</f>
        <v/>
      </c>
    </row>
    <row r="4048" spans="1:12" x14ac:dyDescent="0.35">
      <c r="A4048" s="3"/>
      <c r="B4048" s="2"/>
      <c r="C4048" s="2"/>
      <c r="D4048" s="2" t="b">
        <f>IF(AND(NOT(ISBLANK(Table1[[#This Row],[Fetal Sex (Male, Female or Unknown)]])),ISNUMBER(Table1[[#This Row],[Birthweight (grams)]]),ISNUMBER(Table1[[#This Row],[Gestation (days)]])),TRUE,FALSE)</f>
        <v>0</v>
      </c>
      <c r="E4048" s="2" t="str">
        <f>IF(Table1[[#This Row],[Is Data Valid]]=TRUE,IF(Table1[[#This Row],[Fetal Sex (Male, Female or Unknown)]]="Male",Backend!$C$6,IF(Table1[[#This Row],[Fetal Sex (Male, Female or Unknown)]]="Female",Backend!$C$7,IF(Table1[[#This Row],[Fetal Sex (Male, Female or Unknown)]]="Unknown",Backend!$C$8,"Error"))),"")</f>
        <v/>
      </c>
      <c r="F4048" s="8" t="str">
        <f>IF(Table1[[#This Row],[Is Data Valid]]=TRUE,EXP(0.578+0.332*((Table1[[#This Row],[Gestation (days)]]+0.5)/7)-0.00354*((Table1[[#This Row],[Gestation (days)]]+0.5)/7)^2)*Table1[[#This Row],[BW40_3705]],"")</f>
        <v/>
      </c>
      <c r="G4048" s="2" t="str">
        <f>IF(Table1[[#This Row],[Is Data Valid]]=TRUE,((Table1[[#This Row],[Birthweight (grams)]]/Table1[[#This Row],[BW_GA]])-1)/(Backend!$B$4/100*Table1[[#This Row],[BW40_3705]]),"")</f>
        <v/>
      </c>
      <c r="H4048" s="7" t="str">
        <f>IF(Table1[[#This Row],[Is Data Valid]]=TRUE,((Table1[[#This Row],[Birthweight (grams)]]*0.9/Table1[[#This Row],[BW_GA]])-1)/(Backend!$B$4/100*Table1[[#This Row],[BW40_3705]]),"")</f>
        <v/>
      </c>
      <c r="I4048" s="7" t="str">
        <f>IF(Table1[[#This Row],[Is Data Valid]]=TRUE,((Table1[[#This Row],[Birthweight (grams)]]*1.1/Table1[[#This Row],[BW_GA]])-1)/(Backend!$B$4/100*Table1[[#This Row],[BW40_3705]]),"")</f>
        <v/>
      </c>
      <c r="J4048" s="7" t="str">
        <f>IF(Table1[[#This Row],[Is Data Valid]]=TRUE,_xlfn.NORM.S.DIST(Table1[[#This Row],[Birthweight Z-Score]],TRUE)*100,"")</f>
        <v/>
      </c>
      <c r="K4048" s="7" t="str">
        <f>IF(Table1[[#This Row],[Is Data Valid]]=TRUE,_xlfn.NORM.S.DIST(Table1[[#This Row],[Birthweight Z-Score (BW-10%)]],TRUE)*100,"")</f>
        <v/>
      </c>
      <c r="L4048" s="7" t="str">
        <f>IF(Table1[[#This Row],[Is Data Valid]]=TRUE,_xlfn.NORM.S.DIST(Table1[[#This Row],[Birthweight Z-Score (BW+10%)]],TRUE)*100,"")</f>
        <v/>
      </c>
    </row>
    <row r="4049" spans="1:12" x14ac:dyDescent="0.35">
      <c r="A4049" s="3"/>
      <c r="B4049" s="2"/>
      <c r="C4049" s="2"/>
      <c r="D4049" s="2" t="b">
        <f>IF(AND(NOT(ISBLANK(Table1[[#This Row],[Fetal Sex (Male, Female or Unknown)]])),ISNUMBER(Table1[[#This Row],[Birthweight (grams)]]),ISNUMBER(Table1[[#This Row],[Gestation (days)]])),TRUE,FALSE)</f>
        <v>0</v>
      </c>
      <c r="E4049" s="2" t="str">
        <f>IF(Table1[[#This Row],[Is Data Valid]]=TRUE,IF(Table1[[#This Row],[Fetal Sex (Male, Female or Unknown)]]="Male",Backend!$C$6,IF(Table1[[#This Row],[Fetal Sex (Male, Female or Unknown)]]="Female",Backend!$C$7,IF(Table1[[#This Row],[Fetal Sex (Male, Female or Unknown)]]="Unknown",Backend!$C$8,"Error"))),"")</f>
        <v/>
      </c>
      <c r="F4049" s="8" t="str">
        <f>IF(Table1[[#This Row],[Is Data Valid]]=TRUE,EXP(0.578+0.332*((Table1[[#This Row],[Gestation (days)]]+0.5)/7)-0.00354*((Table1[[#This Row],[Gestation (days)]]+0.5)/7)^2)*Table1[[#This Row],[BW40_3705]],"")</f>
        <v/>
      </c>
      <c r="G4049" s="2" t="str">
        <f>IF(Table1[[#This Row],[Is Data Valid]]=TRUE,((Table1[[#This Row],[Birthweight (grams)]]/Table1[[#This Row],[BW_GA]])-1)/(Backend!$B$4/100*Table1[[#This Row],[BW40_3705]]),"")</f>
        <v/>
      </c>
      <c r="H4049" s="7" t="str">
        <f>IF(Table1[[#This Row],[Is Data Valid]]=TRUE,((Table1[[#This Row],[Birthweight (grams)]]*0.9/Table1[[#This Row],[BW_GA]])-1)/(Backend!$B$4/100*Table1[[#This Row],[BW40_3705]]),"")</f>
        <v/>
      </c>
      <c r="I4049" s="7" t="str">
        <f>IF(Table1[[#This Row],[Is Data Valid]]=TRUE,((Table1[[#This Row],[Birthweight (grams)]]*1.1/Table1[[#This Row],[BW_GA]])-1)/(Backend!$B$4/100*Table1[[#This Row],[BW40_3705]]),"")</f>
        <v/>
      </c>
      <c r="J4049" s="7" t="str">
        <f>IF(Table1[[#This Row],[Is Data Valid]]=TRUE,_xlfn.NORM.S.DIST(Table1[[#This Row],[Birthweight Z-Score]],TRUE)*100,"")</f>
        <v/>
      </c>
      <c r="K4049" s="7" t="str">
        <f>IF(Table1[[#This Row],[Is Data Valid]]=TRUE,_xlfn.NORM.S.DIST(Table1[[#This Row],[Birthweight Z-Score (BW-10%)]],TRUE)*100,"")</f>
        <v/>
      </c>
      <c r="L4049" s="7" t="str">
        <f>IF(Table1[[#This Row],[Is Data Valid]]=TRUE,_xlfn.NORM.S.DIST(Table1[[#This Row],[Birthweight Z-Score (BW+10%)]],TRUE)*100,"")</f>
        <v/>
      </c>
    </row>
    <row r="4050" spans="1:12" x14ac:dyDescent="0.35">
      <c r="A4050" s="3"/>
      <c r="B4050" s="2"/>
      <c r="C4050" s="2"/>
      <c r="D4050" s="2" t="b">
        <f>IF(AND(NOT(ISBLANK(Table1[[#This Row],[Fetal Sex (Male, Female or Unknown)]])),ISNUMBER(Table1[[#This Row],[Birthweight (grams)]]),ISNUMBER(Table1[[#This Row],[Gestation (days)]])),TRUE,FALSE)</f>
        <v>0</v>
      </c>
      <c r="E4050" s="2" t="str">
        <f>IF(Table1[[#This Row],[Is Data Valid]]=TRUE,IF(Table1[[#This Row],[Fetal Sex (Male, Female or Unknown)]]="Male",Backend!$C$6,IF(Table1[[#This Row],[Fetal Sex (Male, Female or Unknown)]]="Female",Backend!$C$7,IF(Table1[[#This Row],[Fetal Sex (Male, Female or Unknown)]]="Unknown",Backend!$C$8,"Error"))),"")</f>
        <v/>
      </c>
      <c r="F4050" s="8" t="str">
        <f>IF(Table1[[#This Row],[Is Data Valid]]=TRUE,EXP(0.578+0.332*((Table1[[#This Row],[Gestation (days)]]+0.5)/7)-0.00354*((Table1[[#This Row],[Gestation (days)]]+0.5)/7)^2)*Table1[[#This Row],[BW40_3705]],"")</f>
        <v/>
      </c>
      <c r="G4050" s="2" t="str">
        <f>IF(Table1[[#This Row],[Is Data Valid]]=TRUE,((Table1[[#This Row],[Birthweight (grams)]]/Table1[[#This Row],[BW_GA]])-1)/(Backend!$B$4/100*Table1[[#This Row],[BW40_3705]]),"")</f>
        <v/>
      </c>
      <c r="H4050" s="7" t="str">
        <f>IF(Table1[[#This Row],[Is Data Valid]]=TRUE,((Table1[[#This Row],[Birthweight (grams)]]*0.9/Table1[[#This Row],[BW_GA]])-1)/(Backend!$B$4/100*Table1[[#This Row],[BW40_3705]]),"")</f>
        <v/>
      </c>
      <c r="I4050" s="7" t="str">
        <f>IF(Table1[[#This Row],[Is Data Valid]]=TRUE,((Table1[[#This Row],[Birthweight (grams)]]*1.1/Table1[[#This Row],[BW_GA]])-1)/(Backend!$B$4/100*Table1[[#This Row],[BW40_3705]]),"")</f>
        <v/>
      </c>
      <c r="J4050" s="7" t="str">
        <f>IF(Table1[[#This Row],[Is Data Valid]]=TRUE,_xlfn.NORM.S.DIST(Table1[[#This Row],[Birthweight Z-Score]],TRUE)*100,"")</f>
        <v/>
      </c>
      <c r="K4050" s="7" t="str">
        <f>IF(Table1[[#This Row],[Is Data Valid]]=TRUE,_xlfn.NORM.S.DIST(Table1[[#This Row],[Birthweight Z-Score (BW-10%)]],TRUE)*100,"")</f>
        <v/>
      </c>
      <c r="L4050" s="7" t="str">
        <f>IF(Table1[[#This Row],[Is Data Valid]]=TRUE,_xlfn.NORM.S.DIST(Table1[[#This Row],[Birthweight Z-Score (BW+10%)]],TRUE)*100,"")</f>
        <v/>
      </c>
    </row>
    <row r="4051" spans="1:12" x14ac:dyDescent="0.35">
      <c r="A4051" s="3"/>
      <c r="B4051" s="2"/>
      <c r="C4051" s="2"/>
      <c r="D4051" s="2" t="b">
        <f>IF(AND(NOT(ISBLANK(Table1[[#This Row],[Fetal Sex (Male, Female or Unknown)]])),ISNUMBER(Table1[[#This Row],[Birthweight (grams)]]),ISNUMBER(Table1[[#This Row],[Gestation (days)]])),TRUE,FALSE)</f>
        <v>0</v>
      </c>
      <c r="E4051" s="2" t="str">
        <f>IF(Table1[[#This Row],[Is Data Valid]]=TRUE,IF(Table1[[#This Row],[Fetal Sex (Male, Female or Unknown)]]="Male",Backend!$C$6,IF(Table1[[#This Row],[Fetal Sex (Male, Female or Unknown)]]="Female",Backend!$C$7,IF(Table1[[#This Row],[Fetal Sex (Male, Female or Unknown)]]="Unknown",Backend!$C$8,"Error"))),"")</f>
        <v/>
      </c>
      <c r="F4051" s="8" t="str">
        <f>IF(Table1[[#This Row],[Is Data Valid]]=TRUE,EXP(0.578+0.332*((Table1[[#This Row],[Gestation (days)]]+0.5)/7)-0.00354*((Table1[[#This Row],[Gestation (days)]]+0.5)/7)^2)*Table1[[#This Row],[BW40_3705]],"")</f>
        <v/>
      </c>
      <c r="G4051" s="2" t="str">
        <f>IF(Table1[[#This Row],[Is Data Valid]]=TRUE,((Table1[[#This Row],[Birthweight (grams)]]/Table1[[#This Row],[BW_GA]])-1)/(Backend!$B$4/100*Table1[[#This Row],[BW40_3705]]),"")</f>
        <v/>
      </c>
      <c r="H4051" s="7" t="str">
        <f>IF(Table1[[#This Row],[Is Data Valid]]=TRUE,((Table1[[#This Row],[Birthweight (grams)]]*0.9/Table1[[#This Row],[BW_GA]])-1)/(Backend!$B$4/100*Table1[[#This Row],[BW40_3705]]),"")</f>
        <v/>
      </c>
      <c r="I4051" s="7" t="str">
        <f>IF(Table1[[#This Row],[Is Data Valid]]=TRUE,((Table1[[#This Row],[Birthweight (grams)]]*1.1/Table1[[#This Row],[BW_GA]])-1)/(Backend!$B$4/100*Table1[[#This Row],[BW40_3705]]),"")</f>
        <v/>
      </c>
      <c r="J4051" s="7" t="str">
        <f>IF(Table1[[#This Row],[Is Data Valid]]=TRUE,_xlfn.NORM.S.DIST(Table1[[#This Row],[Birthweight Z-Score]],TRUE)*100,"")</f>
        <v/>
      </c>
      <c r="K4051" s="7" t="str">
        <f>IF(Table1[[#This Row],[Is Data Valid]]=TRUE,_xlfn.NORM.S.DIST(Table1[[#This Row],[Birthweight Z-Score (BW-10%)]],TRUE)*100,"")</f>
        <v/>
      </c>
      <c r="L4051" s="7" t="str">
        <f>IF(Table1[[#This Row],[Is Data Valid]]=TRUE,_xlfn.NORM.S.DIST(Table1[[#This Row],[Birthweight Z-Score (BW+10%)]],TRUE)*100,"")</f>
        <v/>
      </c>
    </row>
    <row r="4052" spans="1:12" x14ac:dyDescent="0.35">
      <c r="A4052" s="3"/>
      <c r="B4052" s="2"/>
      <c r="C4052" s="2"/>
      <c r="D4052" s="2" t="b">
        <f>IF(AND(NOT(ISBLANK(Table1[[#This Row],[Fetal Sex (Male, Female or Unknown)]])),ISNUMBER(Table1[[#This Row],[Birthweight (grams)]]),ISNUMBER(Table1[[#This Row],[Gestation (days)]])),TRUE,FALSE)</f>
        <v>0</v>
      </c>
      <c r="E4052" s="2" t="str">
        <f>IF(Table1[[#This Row],[Is Data Valid]]=TRUE,IF(Table1[[#This Row],[Fetal Sex (Male, Female or Unknown)]]="Male",Backend!$C$6,IF(Table1[[#This Row],[Fetal Sex (Male, Female or Unknown)]]="Female",Backend!$C$7,IF(Table1[[#This Row],[Fetal Sex (Male, Female or Unknown)]]="Unknown",Backend!$C$8,"Error"))),"")</f>
        <v/>
      </c>
      <c r="F4052" s="8" t="str">
        <f>IF(Table1[[#This Row],[Is Data Valid]]=TRUE,EXP(0.578+0.332*((Table1[[#This Row],[Gestation (days)]]+0.5)/7)-0.00354*((Table1[[#This Row],[Gestation (days)]]+0.5)/7)^2)*Table1[[#This Row],[BW40_3705]],"")</f>
        <v/>
      </c>
      <c r="G4052" s="2" t="str">
        <f>IF(Table1[[#This Row],[Is Data Valid]]=TRUE,((Table1[[#This Row],[Birthweight (grams)]]/Table1[[#This Row],[BW_GA]])-1)/(Backend!$B$4/100*Table1[[#This Row],[BW40_3705]]),"")</f>
        <v/>
      </c>
      <c r="H4052" s="7" t="str">
        <f>IF(Table1[[#This Row],[Is Data Valid]]=TRUE,((Table1[[#This Row],[Birthweight (grams)]]*0.9/Table1[[#This Row],[BW_GA]])-1)/(Backend!$B$4/100*Table1[[#This Row],[BW40_3705]]),"")</f>
        <v/>
      </c>
      <c r="I4052" s="7" t="str">
        <f>IF(Table1[[#This Row],[Is Data Valid]]=TRUE,((Table1[[#This Row],[Birthweight (grams)]]*1.1/Table1[[#This Row],[BW_GA]])-1)/(Backend!$B$4/100*Table1[[#This Row],[BW40_3705]]),"")</f>
        <v/>
      </c>
      <c r="J4052" s="7" t="str">
        <f>IF(Table1[[#This Row],[Is Data Valid]]=TRUE,_xlfn.NORM.S.DIST(Table1[[#This Row],[Birthweight Z-Score]],TRUE)*100,"")</f>
        <v/>
      </c>
      <c r="K4052" s="7" t="str">
        <f>IF(Table1[[#This Row],[Is Data Valid]]=TRUE,_xlfn.NORM.S.DIST(Table1[[#This Row],[Birthweight Z-Score (BW-10%)]],TRUE)*100,"")</f>
        <v/>
      </c>
      <c r="L4052" s="7" t="str">
        <f>IF(Table1[[#This Row],[Is Data Valid]]=TRUE,_xlfn.NORM.S.DIST(Table1[[#This Row],[Birthweight Z-Score (BW+10%)]],TRUE)*100,"")</f>
        <v/>
      </c>
    </row>
    <row r="4053" spans="1:12" x14ac:dyDescent="0.35">
      <c r="A4053" s="3"/>
      <c r="B4053" s="2"/>
      <c r="C4053" s="2"/>
      <c r="D4053" s="2" t="b">
        <f>IF(AND(NOT(ISBLANK(Table1[[#This Row],[Fetal Sex (Male, Female or Unknown)]])),ISNUMBER(Table1[[#This Row],[Birthweight (grams)]]),ISNUMBER(Table1[[#This Row],[Gestation (days)]])),TRUE,FALSE)</f>
        <v>0</v>
      </c>
      <c r="E4053" s="2" t="str">
        <f>IF(Table1[[#This Row],[Is Data Valid]]=TRUE,IF(Table1[[#This Row],[Fetal Sex (Male, Female or Unknown)]]="Male",Backend!$C$6,IF(Table1[[#This Row],[Fetal Sex (Male, Female or Unknown)]]="Female",Backend!$C$7,IF(Table1[[#This Row],[Fetal Sex (Male, Female or Unknown)]]="Unknown",Backend!$C$8,"Error"))),"")</f>
        <v/>
      </c>
      <c r="F4053" s="8" t="str">
        <f>IF(Table1[[#This Row],[Is Data Valid]]=TRUE,EXP(0.578+0.332*((Table1[[#This Row],[Gestation (days)]]+0.5)/7)-0.00354*((Table1[[#This Row],[Gestation (days)]]+0.5)/7)^2)*Table1[[#This Row],[BW40_3705]],"")</f>
        <v/>
      </c>
      <c r="G4053" s="2" t="str">
        <f>IF(Table1[[#This Row],[Is Data Valid]]=TRUE,((Table1[[#This Row],[Birthweight (grams)]]/Table1[[#This Row],[BW_GA]])-1)/(Backend!$B$4/100*Table1[[#This Row],[BW40_3705]]),"")</f>
        <v/>
      </c>
      <c r="H4053" s="7" t="str">
        <f>IF(Table1[[#This Row],[Is Data Valid]]=TRUE,((Table1[[#This Row],[Birthweight (grams)]]*0.9/Table1[[#This Row],[BW_GA]])-1)/(Backend!$B$4/100*Table1[[#This Row],[BW40_3705]]),"")</f>
        <v/>
      </c>
      <c r="I4053" s="7" t="str">
        <f>IF(Table1[[#This Row],[Is Data Valid]]=TRUE,((Table1[[#This Row],[Birthweight (grams)]]*1.1/Table1[[#This Row],[BW_GA]])-1)/(Backend!$B$4/100*Table1[[#This Row],[BW40_3705]]),"")</f>
        <v/>
      </c>
      <c r="J4053" s="7" t="str">
        <f>IF(Table1[[#This Row],[Is Data Valid]]=TRUE,_xlfn.NORM.S.DIST(Table1[[#This Row],[Birthweight Z-Score]],TRUE)*100,"")</f>
        <v/>
      </c>
      <c r="K4053" s="7" t="str">
        <f>IF(Table1[[#This Row],[Is Data Valid]]=TRUE,_xlfn.NORM.S.DIST(Table1[[#This Row],[Birthweight Z-Score (BW-10%)]],TRUE)*100,"")</f>
        <v/>
      </c>
      <c r="L4053" s="7" t="str">
        <f>IF(Table1[[#This Row],[Is Data Valid]]=TRUE,_xlfn.NORM.S.DIST(Table1[[#This Row],[Birthweight Z-Score (BW+10%)]],TRUE)*100,"")</f>
        <v/>
      </c>
    </row>
    <row r="4054" spans="1:12" x14ac:dyDescent="0.35">
      <c r="A4054" s="3"/>
      <c r="B4054" s="2"/>
      <c r="C4054" s="2"/>
      <c r="D4054" s="2" t="b">
        <f>IF(AND(NOT(ISBLANK(Table1[[#This Row],[Fetal Sex (Male, Female or Unknown)]])),ISNUMBER(Table1[[#This Row],[Birthweight (grams)]]),ISNUMBER(Table1[[#This Row],[Gestation (days)]])),TRUE,FALSE)</f>
        <v>0</v>
      </c>
      <c r="E4054" s="2" t="str">
        <f>IF(Table1[[#This Row],[Is Data Valid]]=TRUE,IF(Table1[[#This Row],[Fetal Sex (Male, Female or Unknown)]]="Male",Backend!$C$6,IF(Table1[[#This Row],[Fetal Sex (Male, Female or Unknown)]]="Female",Backend!$C$7,IF(Table1[[#This Row],[Fetal Sex (Male, Female or Unknown)]]="Unknown",Backend!$C$8,"Error"))),"")</f>
        <v/>
      </c>
      <c r="F4054" s="8" t="str">
        <f>IF(Table1[[#This Row],[Is Data Valid]]=TRUE,EXP(0.578+0.332*((Table1[[#This Row],[Gestation (days)]]+0.5)/7)-0.00354*((Table1[[#This Row],[Gestation (days)]]+0.5)/7)^2)*Table1[[#This Row],[BW40_3705]],"")</f>
        <v/>
      </c>
      <c r="G4054" s="2" t="str">
        <f>IF(Table1[[#This Row],[Is Data Valid]]=TRUE,((Table1[[#This Row],[Birthweight (grams)]]/Table1[[#This Row],[BW_GA]])-1)/(Backend!$B$4/100*Table1[[#This Row],[BW40_3705]]),"")</f>
        <v/>
      </c>
      <c r="H4054" s="7" t="str">
        <f>IF(Table1[[#This Row],[Is Data Valid]]=TRUE,((Table1[[#This Row],[Birthweight (grams)]]*0.9/Table1[[#This Row],[BW_GA]])-1)/(Backend!$B$4/100*Table1[[#This Row],[BW40_3705]]),"")</f>
        <v/>
      </c>
      <c r="I4054" s="7" t="str">
        <f>IF(Table1[[#This Row],[Is Data Valid]]=TRUE,((Table1[[#This Row],[Birthweight (grams)]]*1.1/Table1[[#This Row],[BW_GA]])-1)/(Backend!$B$4/100*Table1[[#This Row],[BW40_3705]]),"")</f>
        <v/>
      </c>
      <c r="J4054" s="7" t="str">
        <f>IF(Table1[[#This Row],[Is Data Valid]]=TRUE,_xlfn.NORM.S.DIST(Table1[[#This Row],[Birthweight Z-Score]],TRUE)*100,"")</f>
        <v/>
      </c>
      <c r="K4054" s="7" t="str">
        <f>IF(Table1[[#This Row],[Is Data Valid]]=TRUE,_xlfn.NORM.S.DIST(Table1[[#This Row],[Birthweight Z-Score (BW-10%)]],TRUE)*100,"")</f>
        <v/>
      </c>
      <c r="L4054" s="7" t="str">
        <f>IF(Table1[[#This Row],[Is Data Valid]]=TRUE,_xlfn.NORM.S.DIST(Table1[[#This Row],[Birthweight Z-Score (BW+10%)]],TRUE)*100,"")</f>
        <v/>
      </c>
    </row>
    <row r="4055" spans="1:12" x14ac:dyDescent="0.35">
      <c r="A4055" s="3"/>
      <c r="B4055" s="2"/>
      <c r="C4055" s="2"/>
      <c r="D4055" s="2" t="b">
        <f>IF(AND(NOT(ISBLANK(Table1[[#This Row],[Fetal Sex (Male, Female or Unknown)]])),ISNUMBER(Table1[[#This Row],[Birthweight (grams)]]),ISNUMBER(Table1[[#This Row],[Gestation (days)]])),TRUE,FALSE)</f>
        <v>0</v>
      </c>
      <c r="E4055" s="2" t="str">
        <f>IF(Table1[[#This Row],[Is Data Valid]]=TRUE,IF(Table1[[#This Row],[Fetal Sex (Male, Female or Unknown)]]="Male",Backend!$C$6,IF(Table1[[#This Row],[Fetal Sex (Male, Female or Unknown)]]="Female",Backend!$C$7,IF(Table1[[#This Row],[Fetal Sex (Male, Female or Unknown)]]="Unknown",Backend!$C$8,"Error"))),"")</f>
        <v/>
      </c>
      <c r="F4055" s="8" t="str">
        <f>IF(Table1[[#This Row],[Is Data Valid]]=TRUE,EXP(0.578+0.332*((Table1[[#This Row],[Gestation (days)]]+0.5)/7)-0.00354*((Table1[[#This Row],[Gestation (days)]]+0.5)/7)^2)*Table1[[#This Row],[BW40_3705]],"")</f>
        <v/>
      </c>
      <c r="G4055" s="2" t="str">
        <f>IF(Table1[[#This Row],[Is Data Valid]]=TRUE,((Table1[[#This Row],[Birthweight (grams)]]/Table1[[#This Row],[BW_GA]])-1)/(Backend!$B$4/100*Table1[[#This Row],[BW40_3705]]),"")</f>
        <v/>
      </c>
      <c r="H4055" s="7" t="str">
        <f>IF(Table1[[#This Row],[Is Data Valid]]=TRUE,((Table1[[#This Row],[Birthweight (grams)]]*0.9/Table1[[#This Row],[BW_GA]])-1)/(Backend!$B$4/100*Table1[[#This Row],[BW40_3705]]),"")</f>
        <v/>
      </c>
      <c r="I4055" s="7" t="str">
        <f>IF(Table1[[#This Row],[Is Data Valid]]=TRUE,((Table1[[#This Row],[Birthweight (grams)]]*1.1/Table1[[#This Row],[BW_GA]])-1)/(Backend!$B$4/100*Table1[[#This Row],[BW40_3705]]),"")</f>
        <v/>
      </c>
      <c r="J4055" s="7" t="str">
        <f>IF(Table1[[#This Row],[Is Data Valid]]=TRUE,_xlfn.NORM.S.DIST(Table1[[#This Row],[Birthweight Z-Score]],TRUE)*100,"")</f>
        <v/>
      </c>
      <c r="K4055" s="7" t="str">
        <f>IF(Table1[[#This Row],[Is Data Valid]]=TRUE,_xlfn.NORM.S.DIST(Table1[[#This Row],[Birthweight Z-Score (BW-10%)]],TRUE)*100,"")</f>
        <v/>
      </c>
      <c r="L4055" s="7" t="str">
        <f>IF(Table1[[#This Row],[Is Data Valid]]=TRUE,_xlfn.NORM.S.DIST(Table1[[#This Row],[Birthweight Z-Score (BW+10%)]],TRUE)*100,"")</f>
        <v/>
      </c>
    </row>
    <row r="4056" spans="1:12" x14ac:dyDescent="0.35">
      <c r="A4056" s="3"/>
      <c r="B4056" s="2"/>
      <c r="C4056" s="2"/>
      <c r="D4056" s="2" t="b">
        <f>IF(AND(NOT(ISBLANK(Table1[[#This Row],[Fetal Sex (Male, Female or Unknown)]])),ISNUMBER(Table1[[#This Row],[Birthweight (grams)]]),ISNUMBER(Table1[[#This Row],[Gestation (days)]])),TRUE,FALSE)</f>
        <v>0</v>
      </c>
      <c r="E4056" s="2" t="str">
        <f>IF(Table1[[#This Row],[Is Data Valid]]=TRUE,IF(Table1[[#This Row],[Fetal Sex (Male, Female or Unknown)]]="Male",Backend!$C$6,IF(Table1[[#This Row],[Fetal Sex (Male, Female or Unknown)]]="Female",Backend!$C$7,IF(Table1[[#This Row],[Fetal Sex (Male, Female or Unknown)]]="Unknown",Backend!$C$8,"Error"))),"")</f>
        <v/>
      </c>
      <c r="F4056" s="8" t="str">
        <f>IF(Table1[[#This Row],[Is Data Valid]]=TRUE,EXP(0.578+0.332*((Table1[[#This Row],[Gestation (days)]]+0.5)/7)-0.00354*((Table1[[#This Row],[Gestation (days)]]+0.5)/7)^2)*Table1[[#This Row],[BW40_3705]],"")</f>
        <v/>
      </c>
      <c r="G4056" s="2" t="str">
        <f>IF(Table1[[#This Row],[Is Data Valid]]=TRUE,((Table1[[#This Row],[Birthweight (grams)]]/Table1[[#This Row],[BW_GA]])-1)/(Backend!$B$4/100*Table1[[#This Row],[BW40_3705]]),"")</f>
        <v/>
      </c>
      <c r="H4056" s="7" t="str">
        <f>IF(Table1[[#This Row],[Is Data Valid]]=TRUE,((Table1[[#This Row],[Birthweight (grams)]]*0.9/Table1[[#This Row],[BW_GA]])-1)/(Backend!$B$4/100*Table1[[#This Row],[BW40_3705]]),"")</f>
        <v/>
      </c>
      <c r="I4056" s="7" t="str">
        <f>IF(Table1[[#This Row],[Is Data Valid]]=TRUE,((Table1[[#This Row],[Birthweight (grams)]]*1.1/Table1[[#This Row],[BW_GA]])-1)/(Backend!$B$4/100*Table1[[#This Row],[BW40_3705]]),"")</f>
        <v/>
      </c>
      <c r="J4056" s="7" t="str">
        <f>IF(Table1[[#This Row],[Is Data Valid]]=TRUE,_xlfn.NORM.S.DIST(Table1[[#This Row],[Birthweight Z-Score]],TRUE)*100,"")</f>
        <v/>
      </c>
      <c r="K4056" s="7" t="str">
        <f>IF(Table1[[#This Row],[Is Data Valid]]=TRUE,_xlfn.NORM.S.DIST(Table1[[#This Row],[Birthweight Z-Score (BW-10%)]],TRUE)*100,"")</f>
        <v/>
      </c>
      <c r="L4056" s="7" t="str">
        <f>IF(Table1[[#This Row],[Is Data Valid]]=TRUE,_xlfn.NORM.S.DIST(Table1[[#This Row],[Birthweight Z-Score (BW+10%)]],TRUE)*100,"")</f>
        <v/>
      </c>
    </row>
    <row r="4057" spans="1:12" x14ac:dyDescent="0.35">
      <c r="A4057" s="3"/>
      <c r="B4057" s="2"/>
      <c r="C4057" s="2"/>
      <c r="D4057" s="2" t="b">
        <f>IF(AND(NOT(ISBLANK(Table1[[#This Row],[Fetal Sex (Male, Female or Unknown)]])),ISNUMBER(Table1[[#This Row],[Birthweight (grams)]]),ISNUMBER(Table1[[#This Row],[Gestation (days)]])),TRUE,FALSE)</f>
        <v>0</v>
      </c>
      <c r="E4057" s="2" t="str">
        <f>IF(Table1[[#This Row],[Is Data Valid]]=TRUE,IF(Table1[[#This Row],[Fetal Sex (Male, Female or Unknown)]]="Male",Backend!$C$6,IF(Table1[[#This Row],[Fetal Sex (Male, Female or Unknown)]]="Female",Backend!$C$7,IF(Table1[[#This Row],[Fetal Sex (Male, Female or Unknown)]]="Unknown",Backend!$C$8,"Error"))),"")</f>
        <v/>
      </c>
      <c r="F4057" s="8" t="str">
        <f>IF(Table1[[#This Row],[Is Data Valid]]=TRUE,EXP(0.578+0.332*((Table1[[#This Row],[Gestation (days)]]+0.5)/7)-0.00354*((Table1[[#This Row],[Gestation (days)]]+0.5)/7)^2)*Table1[[#This Row],[BW40_3705]],"")</f>
        <v/>
      </c>
      <c r="G4057" s="2" t="str">
        <f>IF(Table1[[#This Row],[Is Data Valid]]=TRUE,((Table1[[#This Row],[Birthweight (grams)]]/Table1[[#This Row],[BW_GA]])-1)/(Backend!$B$4/100*Table1[[#This Row],[BW40_3705]]),"")</f>
        <v/>
      </c>
      <c r="H4057" s="7" t="str">
        <f>IF(Table1[[#This Row],[Is Data Valid]]=TRUE,((Table1[[#This Row],[Birthweight (grams)]]*0.9/Table1[[#This Row],[BW_GA]])-1)/(Backend!$B$4/100*Table1[[#This Row],[BW40_3705]]),"")</f>
        <v/>
      </c>
      <c r="I4057" s="7" t="str">
        <f>IF(Table1[[#This Row],[Is Data Valid]]=TRUE,((Table1[[#This Row],[Birthweight (grams)]]*1.1/Table1[[#This Row],[BW_GA]])-1)/(Backend!$B$4/100*Table1[[#This Row],[BW40_3705]]),"")</f>
        <v/>
      </c>
      <c r="J4057" s="7" t="str">
        <f>IF(Table1[[#This Row],[Is Data Valid]]=TRUE,_xlfn.NORM.S.DIST(Table1[[#This Row],[Birthweight Z-Score]],TRUE)*100,"")</f>
        <v/>
      </c>
      <c r="K4057" s="7" t="str">
        <f>IF(Table1[[#This Row],[Is Data Valid]]=TRUE,_xlfn.NORM.S.DIST(Table1[[#This Row],[Birthweight Z-Score (BW-10%)]],TRUE)*100,"")</f>
        <v/>
      </c>
      <c r="L4057" s="7" t="str">
        <f>IF(Table1[[#This Row],[Is Data Valid]]=TRUE,_xlfn.NORM.S.DIST(Table1[[#This Row],[Birthweight Z-Score (BW+10%)]],TRUE)*100,"")</f>
        <v/>
      </c>
    </row>
    <row r="4058" spans="1:12" x14ac:dyDescent="0.35">
      <c r="A4058" s="3"/>
      <c r="B4058" s="2"/>
      <c r="C4058" s="2"/>
      <c r="D4058" s="2" t="b">
        <f>IF(AND(NOT(ISBLANK(Table1[[#This Row],[Fetal Sex (Male, Female or Unknown)]])),ISNUMBER(Table1[[#This Row],[Birthweight (grams)]]),ISNUMBER(Table1[[#This Row],[Gestation (days)]])),TRUE,FALSE)</f>
        <v>0</v>
      </c>
      <c r="E4058" s="2" t="str">
        <f>IF(Table1[[#This Row],[Is Data Valid]]=TRUE,IF(Table1[[#This Row],[Fetal Sex (Male, Female or Unknown)]]="Male",Backend!$C$6,IF(Table1[[#This Row],[Fetal Sex (Male, Female or Unknown)]]="Female",Backend!$C$7,IF(Table1[[#This Row],[Fetal Sex (Male, Female or Unknown)]]="Unknown",Backend!$C$8,"Error"))),"")</f>
        <v/>
      </c>
      <c r="F4058" s="8" t="str">
        <f>IF(Table1[[#This Row],[Is Data Valid]]=TRUE,EXP(0.578+0.332*((Table1[[#This Row],[Gestation (days)]]+0.5)/7)-0.00354*((Table1[[#This Row],[Gestation (days)]]+0.5)/7)^2)*Table1[[#This Row],[BW40_3705]],"")</f>
        <v/>
      </c>
      <c r="G4058" s="2" t="str">
        <f>IF(Table1[[#This Row],[Is Data Valid]]=TRUE,((Table1[[#This Row],[Birthweight (grams)]]/Table1[[#This Row],[BW_GA]])-1)/(Backend!$B$4/100*Table1[[#This Row],[BW40_3705]]),"")</f>
        <v/>
      </c>
      <c r="H4058" s="7" t="str">
        <f>IF(Table1[[#This Row],[Is Data Valid]]=TRUE,((Table1[[#This Row],[Birthweight (grams)]]*0.9/Table1[[#This Row],[BW_GA]])-1)/(Backend!$B$4/100*Table1[[#This Row],[BW40_3705]]),"")</f>
        <v/>
      </c>
      <c r="I4058" s="7" t="str">
        <f>IF(Table1[[#This Row],[Is Data Valid]]=TRUE,((Table1[[#This Row],[Birthweight (grams)]]*1.1/Table1[[#This Row],[BW_GA]])-1)/(Backend!$B$4/100*Table1[[#This Row],[BW40_3705]]),"")</f>
        <v/>
      </c>
      <c r="J4058" s="7" t="str">
        <f>IF(Table1[[#This Row],[Is Data Valid]]=TRUE,_xlfn.NORM.S.DIST(Table1[[#This Row],[Birthweight Z-Score]],TRUE)*100,"")</f>
        <v/>
      </c>
      <c r="K4058" s="7" t="str">
        <f>IF(Table1[[#This Row],[Is Data Valid]]=TRUE,_xlfn.NORM.S.DIST(Table1[[#This Row],[Birthweight Z-Score (BW-10%)]],TRUE)*100,"")</f>
        <v/>
      </c>
      <c r="L4058" s="7" t="str">
        <f>IF(Table1[[#This Row],[Is Data Valid]]=TRUE,_xlfn.NORM.S.DIST(Table1[[#This Row],[Birthweight Z-Score (BW+10%)]],TRUE)*100,"")</f>
        <v/>
      </c>
    </row>
    <row r="4059" spans="1:12" x14ac:dyDescent="0.35">
      <c r="A4059" s="3"/>
      <c r="B4059" s="2"/>
      <c r="C4059" s="2"/>
      <c r="D4059" s="2" t="b">
        <f>IF(AND(NOT(ISBLANK(Table1[[#This Row],[Fetal Sex (Male, Female or Unknown)]])),ISNUMBER(Table1[[#This Row],[Birthweight (grams)]]),ISNUMBER(Table1[[#This Row],[Gestation (days)]])),TRUE,FALSE)</f>
        <v>0</v>
      </c>
      <c r="E4059" s="2" t="str">
        <f>IF(Table1[[#This Row],[Is Data Valid]]=TRUE,IF(Table1[[#This Row],[Fetal Sex (Male, Female or Unknown)]]="Male",Backend!$C$6,IF(Table1[[#This Row],[Fetal Sex (Male, Female or Unknown)]]="Female",Backend!$C$7,IF(Table1[[#This Row],[Fetal Sex (Male, Female or Unknown)]]="Unknown",Backend!$C$8,"Error"))),"")</f>
        <v/>
      </c>
      <c r="F4059" s="8" t="str">
        <f>IF(Table1[[#This Row],[Is Data Valid]]=TRUE,EXP(0.578+0.332*((Table1[[#This Row],[Gestation (days)]]+0.5)/7)-0.00354*((Table1[[#This Row],[Gestation (days)]]+0.5)/7)^2)*Table1[[#This Row],[BW40_3705]],"")</f>
        <v/>
      </c>
      <c r="G4059" s="2" t="str">
        <f>IF(Table1[[#This Row],[Is Data Valid]]=TRUE,((Table1[[#This Row],[Birthweight (grams)]]/Table1[[#This Row],[BW_GA]])-1)/(Backend!$B$4/100*Table1[[#This Row],[BW40_3705]]),"")</f>
        <v/>
      </c>
      <c r="H4059" s="7" t="str">
        <f>IF(Table1[[#This Row],[Is Data Valid]]=TRUE,((Table1[[#This Row],[Birthweight (grams)]]*0.9/Table1[[#This Row],[BW_GA]])-1)/(Backend!$B$4/100*Table1[[#This Row],[BW40_3705]]),"")</f>
        <v/>
      </c>
      <c r="I4059" s="7" t="str">
        <f>IF(Table1[[#This Row],[Is Data Valid]]=TRUE,((Table1[[#This Row],[Birthweight (grams)]]*1.1/Table1[[#This Row],[BW_GA]])-1)/(Backend!$B$4/100*Table1[[#This Row],[BW40_3705]]),"")</f>
        <v/>
      </c>
      <c r="J4059" s="7" t="str">
        <f>IF(Table1[[#This Row],[Is Data Valid]]=TRUE,_xlfn.NORM.S.DIST(Table1[[#This Row],[Birthweight Z-Score]],TRUE)*100,"")</f>
        <v/>
      </c>
      <c r="K4059" s="7" t="str">
        <f>IF(Table1[[#This Row],[Is Data Valid]]=TRUE,_xlfn.NORM.S.DIST(Table1[[#This Row],[Birthweight Z-Score (BW-10%)]],TRUE)*100,"")</f>
        <v/>
      </c>
      <c r="L4059" s="7" t="str">
        <f>IF(Table1[[#This Row],[Is Data Valid]]=TRUE,_xlfn.NORM.S.DIST(Table1[[#This Row],[Birthweight Z-Score (BW+10%)]],TRUE)*100,"")</f>
        <v/>
      </c>
    </row>
    <row r="4060" spans="1:12" x14ac:dyDescent="0.35">
      <c r="A4060" s="3"/>
      <c r="B4060" s="2"/>
      <c r="C4060" s="2"/>
      <c r="D4060" s="2" t="b">
        <f>IF(AND(NOT(ISBLANK(Table1[[#This Row],[Fetal Sex (Male, Female or Unknown)]])),ISNUMBER(Table1[[#This Row],[Birthweight (grams)]]),ISNUMBER(Table1[[#This Row],[Gestation (days)]])),TRUE,FALSE)</f>
        <v>0</v>
      </c>
      <c r="E4060" s="2" t="str">
        <f>IF(Table1[[#This Row],[Is Data Valid]]=TRUE,IF(Table1[[#This Row],[Fetal Sex (Male, Female or Unknown)]]="Male",Backend!$C$6,IF(Table1[[#This Row],[Fetal Sex (Male, Female or Unknown)]]="Female",Backend!$C$7,IF(Table1[[#This Row],[Fetal Sex (Male, Female or Unknown)]]="Unknown",Backend!$C$8,"Error"))),"")</f>
        <v/>
      </c>
      <c r="F4060" s="8" t="str">
        <f>IF(Table1[[#This Row],[Is Data Valid]]=TRUE,EXP(0.578+0.332*((Table1[[#This Row],[Gestation (days)]]+0.5)/7)-0.00354*((Table1[[#This Row],[Gestation (days)]]+0.5)/7)^2)*Table1[[#This Row],[BW40_3705]],"")</f>
        <v/>
      </c>
      <c r="G4060" s="2" t="str">
        <f>IF(Table1[[#This Row],[Is Data Valid]]=TRUE,((Table1[[#This Row],[Birthweight (grams)]]/Table1[[#This Row],[BW_GA]])-1)/(Backend!$B$4/100*Table1[[#This Row],[BW40_3705]]),"")</f>
        <v/>
      </c>
      <c r="H4060" s="7" t="str">
        <f>IF(Table1[[#This Row],[Is Data Valid]]=TRUE,((Table1[[#This Row],[Birthweight (grams)]]*0.9/Table1[[#This Row],[BW_GA]])-1)/(Backend!$B$4/100*Table1[[#This Row],[BW40_3705]]),"")</f>
        <v/>
      </c>
      <c r="I4060" s="7" t="str">
        <f>IF(Table1[[#This Row],[Is Data Valid]]=TRUE,((Table1[[#This Row],[Birthweight (grams)]]*1.1/Table1[[#This Row],[BW_GA]])-1)/(Backend!$B$4/100*Table1[[#This Row],[BW40_3705]]),"")</f>
        <v/>
      </c>
      <c r="J4060" s="7" t="str">
        <f>IF(Table1[[#This Row],[Is Data Valid]]=TRUE,_xlfn.NORM.S.DIST(Table1[[#This Row],[Birthweight Z-Score]],TRUE)*100,"")</f>
        <v/>
      </c>
      <c r="K4060" s="7" t="str">
        <f>IF(Table1[[#This Row],[Is Data Valid]]=TRUE,_xlfn.NORM.S.DIST(Table1[[#This Row],[Birthweight Z-Score (BW-10%)]],TRUE)*100,"")</f>
        <v/>
      </c>
      <c r="L4060" s="7" t="str">
        <f>IF(Table1[[#This Row],[Is Data Valid]]=TRUE,_xlfn.NORM.S.DIST(Table1[[#This Row],[Birthweight Z-Score (BW+10%)]],TRUE)*100,"")</f>
        <v/>
      </c>
    </row>
    <row r="4061" spans="1:12" x14ac:dyDescent="0.35">
      <c r="A4061" s="3"/>
      <c r="B4061" s="2"/>
      <c r="C4061" s="2"/>
      <c r="D4061" s="2" t="b">
        <f>IF(AND(NOT(ISBLANK(Table1[[#This Row],[Fetal Sex (Male, Female or Unknown)]])),ISNUMBER(Table1[[#This Row],[Birthweight (grams)]]),ISNUMBER(Table1[[#This Row],[Gestation (days)]])),TRUE,FALSE)</f>
        <v>0</v>
      </c>
      <c r="E4061" s="2" t="str">
        <f>IF(Table1[[#This Row],[Is Data Valid]]=TRUE,IF(Table1[[#This Row],[Fetal Sex (Male, Female or Unknown)]]="Male",Backend!$C$6,IF(Table1[[#This Row],[Fetal Sex (Male, Female or Unknown)]]="Female",Backend!$C$7,IF(Table1[[#This Row],[Fetal Sex (Male, Female or Unknown)]]="Unknown",Backend!$C$8,"Error"))),"")</f>
        <v/>
      </c>
      <c r="F4061" s="8" t="str">
        <f>IF(Table1[[#This Row],[Is Data Valid]]=TRUE,EXP(0.578+0.332*((Table1[[#This Row],[Gestation (days)]]+0.5)/7)-0.00354*((Table1[[#This Row],[Gestation (days)]]+0.5)/7)^2)*Table1[[#This Row],[BW40_3705]],"")</f>
        <v/>
      </c>
      <c r="G4061" s="2" t="str">
        <f>IF(Table1[[#This Row],[Is Data Valid]]=TRUE,((Table1[[#This Row],[Birthweight (grams)]]/Table1[[#This Row],[BW_GA]])-1)/(Backend!$B$4/100*Table1[[#This Row],[BW40_3705]]),"")</f>
        <v/>
      </c>
      <c r="H4061" s="7" t="str">
        <f>IF(Table1[[#This Row],[Is Data Valid]]=TRUE,((Table1[[#This Row],[Birthweight (grams)]]*0.9/Table1[[#This Row],[BW_GA]])-1)/(Backend!$B$4/100*Table1[[#This Row],[BW40_3705]]),"")</f>
        <v/>
      </c>
      <c r="I4061" s="7" t="str">
        <f>IF(Table1[[#This Row],[Is Data Valid]]=TRUE,((Table1[[#This Row],[Birthweight (grams)]]*1.1/Table1[[#This Row],[BW_GA]])-1)/(Backend!$B$4/100*Table1[[#This Row],[BW40_3705]]),"")</f>
        <v/>
      </c>
      <c r="J4061" s="7" t="str">
        <f>IF(Table1[[#This Row],[Is Data Valid]]=TRUE,_xlfn.NORM.S.DIST(Table1[[#This Row],[Birthweight Z-Score]],TRUE)*100,"")</f>
        <v/>
      </c>
      <c r="K4061" s="7" t="str">
        <f>IF(Table1[[#This Row],[Is Data Valid]]=TRUE,_xlfn.NORM.S.DIST(Table1[[#This Row],[Birthweight Z-Score (BW-10%)]],TRUE)*100,"")</f>
        <v/>
      </c>
      <c r="L4061" s="7" t="str">
        <f>IF(Table1[[#This Row],[Is Data Valid]]=TRUE,_xlfn.NORM.S.DIST(Table1[[#This Row],[Birthweight Z-Score (BW+10%)]],TRUE)*100,"")</f>
        <v/>
      </c>
    </row>
    <row r="4062" spans="1:12" x14ac:dyDescent="0.35">
      <c r="A4062" s="3"/>
      <c r="B4062" s="2"/>
      <c r="C4062" s="2"/>
      <c r="D4062" s="2" t="b">
        <f>IF(AND(NOT(ISBLANK(Table1[[#This Row],[Fetal Sex (Male, Female or Unknown)]])),ISNUMBER(Table1[[#This Row],[Birthweight (grams)]]),ISNUMBER(Table1[[#This Row],[Gestation (days)]])),TRUE,FALSE)</f>
        <v>0</v>
      </c>
      <c r="E4062" s="2" t="str">
        <f>IF(Table1[[#This Row],[Is Data Valid]]=TRUE,IF(Table1[[#This Row],[Fetal Sex (Male, Female or Unknown)]]="Male",Backend!$C$6,IF(Table1[[#This Row],[Fetal Sex (Male, Female or Unknown)]]="Female",Backend!$C$7,IF(Table1[[#This Row],[Fetal Sex (Male, Female or Unknown)]]="Unknown",Backend!$C$8,"Error"))),"")</f>
        <v/>
      </c>
      <c r="F4062" s="8" t="str">
        <f>IF(Table1[[#This Row],[Is Data Valid]]=TRUE,EXP(0.578+0.332*((Table1[[#This Row],[Gestation (days)]]+0.5)/7)-0.00354*((Table1[[#This Row],[Gestation (days)]]+0.5)/7)^2)*Table1[[#This Row],[BW40_3705]],"")</f>
        <v/>
      </c>
      <c r="G4062" s="2" t="str">
        <f>IF(Table1[[#This Row],[Is Data Valid]]=TRUE,((Table1[[#This Row],[Birthweight (grams)]]/Table1[[#This Row],[BW_GA]])-1)/(Backend!$B$4/100*Table1[[#This Row],[BW40_3705]]),"")</f>
        <v/>
      </c>
      <c r="H4062" s="7" t="str">
        <f>IF(Table1[[#This Row],[Is Data Valid]]=TRUE,((Table1[[#This Row],[Birthweight (grams)]]*0.9/Table1[[#This Row],[BW_GA]])-1)/(Backend!$B$4/100*Table1[[#This Row],[BW40_3705]]),"")</f>
        <v/>
      </c>
      <c r="I4062" s="7" t="str">
        <f>IF(Table1[[#This Row],[Is Data Valid]]=TRUE,((Table1[[#This Row],[Birthweight (grams)]]*1.1/Table1[[#This Row],[BW_GA]])-1)/(Backend!$B$4/100*Table1[[#This Row],[BW40_3705]]),"")</f>
        <v/>
      </c>
      <c r="J4062" s="7" t="str">
        <f>IF(Table1[[#This Row],[Is Data Valid]]=TRUE,_xlfn.NORM.S.DIST(Table1[[#This Row],[Birthweight Z-Score]],TRUE)*100,"")</f>
        <v/>
      </c>
      <c r="K4062" s="7" t="str">
        <f>IF(Table1[[#This Row],[Is Data Valid]]=TRUE,_xlfn.NORM.S.DIST(Table1[[#This Row],[Birthweight Z-Score (BW-10%)]],TRUE)*100,"")</f>
        <v/>
      </c>
      <c r="L4062" s="7" t="str">
        <f>IF(Table1[[#This Row],[Is Data Valid]]=TRUE,_xlfn.NORM.S.DIST(Table1[[#This Row],[Birthweight Z-Score (BW+10%)]],TRUE)*100,"")</f>
        <v/>
      </c>
    </row>
    <row r="4063" spans="1:12" x14ac:dyDescent="0.35">
      <c r="A4063" s="3"/>
      <c r="B4063" s="2"/>
      <c r="C4063" s="2"/>
      <c r="D4063" s="2" t="b">
        <f>IF(AND(NOT(ISBLANK(Table1[[#This Row],[Fetal Sex (Male, Female or Unknown)]])),ISNUMBER(Table1[[#This Row],[Birthweight (grams)]]),ISNUMBER(Table1[[#This Row],[Gestation (days)]])),TRUE,FALSE)</f>
        <v>0</v>
      </c>
      <c r="E4063" s="2" t="str">
        <f>IF(Table1[[#This Row],[Is Data Valid]]=TRUE,IF(Table1[[#This Row],[Fetal Sex (Male, Female or Unknown)]]="Male",Backend!$C$6,IF(Table1[[#This Row],[Fetal Sex (Male, Female or Unknown)]]="Female",Backend!$C$7,IF(Table1[[#This Row],[Fetal Sex (Male, Female or Unknown)]]="Unknown",Backend!$C$8,"Error"))),"")</f>
        <v/>
      </c>
      <c r="F4063" s="8" t="str">
        <f>IF(Table1[[#This Row],[Is Data Valid]]=TRUE,EXP(0.578+0.332*((Table1[[#This Row],[Gestation (days)]]+0.5)/7)-0.00354*((Table1[[#This Row],[Gestation (days)]]+0.5)/7)^2)*Table1[[#This Row],[BW40_3705]],"")</f>
        <v/>
      </c>
      <c r="G4063" s="2" t="str">
        <f>IF(Table1[[#This Row],[Is Data Valid]]=TRUE,((Table1[[#This Row],[Birthweight (grams)]]/Table1[[#This Row],[BW_GA]])-1)/(Backend!$B$4/100*Table1[[#This Row],[BW40_3705]]),"")</f>
        <v/>
      </c>
      <c r="H4063" s="7" t="str">
        <f>IF(Table1[[#This Row],[Is Data Valid]]=TRUE,((Table1[[#This Row],[Birthweight (grams)]]*0.9/Table1[[#This Row],[BW_GA]])-1)/(Backend!$B$4/100*Table1[[#This Row],[BW40_3705]]),"")</f>
        <v/>
      </c>
      <c r="I4063" s="7" t="str">
        <f>IF(Table1[[#This Row],[Is Data Valid]]=TRUE,((Table1[[#This Row],[Birthweight (grams)]]*1.1/Table1[[#This Row],[BW_GA]])-1)/(Backend!$B$4/100*Table1[[#This Row],[BW40_3705]]),"")</f>
        <v/>
      </c>
      <c r="J4063" s="7" t="str">
        <f>IF(Table1[[#This Row],[Is Data Valid]]=TRUE,_xlfn.NORM.S.DIST(Table1[[#This Row],[Birthweight Z-Score]],TRUE)*100,"")</f>
        <v/>
      </c>
      <c r="K4063" s="7" t="str">
        <f>IF(Table1[[#This Row],[Is Data Valid]]=TRUE,_xlfn.NORM.S.DIST(Table1[[#This Row],[Birthweight Z-Score (BW-10%)]],TRUE)*100,"")</f>
        <v/>
      </c>
      <c r="L4063" s="7" t="str">
        <f>IF(Table1[[#This Row],[Is Data Valid]]=TRUE,_xlfn.NORM.S.DIST(Table1[[#This Row],[Birthweight Z-Score (BW+10%)]],TRUE)*100,"")</f>
        <v/>
      </c>
    </row>
    <row r="4064" spans="1:12" x14ac:dyDescent="0.35">
      <c r="A4064" s="3"/>
      <c r="B4064" s="2"/>
      <c r="C4064" s="2"/>
      <c r="D4064" s="2" t="b">
        <f>IF(AND(NOT(ISBLANK(Table1[[#This Row],[Fetal Sex (Male, Female or Unknown)]])),ISNUMBER(Table1[[#This Row],[Birthweight (grams)]]),ISNUMBER(Table1[[#This Row],[Gestation (days)]])),TRUE,FALSE)</f>
        <v>0</v>
      </c>
      <c r="E4064" s="2" t="str">
        <f>IF(Table1[[#This Row],[Is Data Valid]]=TRUE,IF(Table1[[#This Row],[Fetal Sex (Male, Female or Unknown)]]="Male",Backend!$C$6,IF(Table1[[#This Row],[Fetal Sex (Male, Female or Unknown)]]="Female",Backend!$C$7,IF(Table1[[#This Row],[Fetal Sex (Male, Female or Unknown)]]="Unknown",Backend!$C$8,"Error"))),"")</f>
        <v/>
      </c>
      <c r="F4064" s="8" t="str">
        <f>IF(Table1[[#This Row],[Is Data Valid]]=TRUE,EXP(0.578+0.332*((Table1[[#This Row],[Gestation (days)]]+0.5)/7)-0.00354*((Table1[[#This Row],[Gestation (days)]]+0.5)/7)^2)*Table1[[#This Row],[BW40_3705]],"")</f>
        <v/>
      </c>
      <c r="G4064" s="2" t="str">
        <f>IF(Table1[[#This Row],[Is Data Valid]]=TRUE,((Table1[[#This Row],[Birthweight (grams)]]/Table1[[#This Row],[BW_GA]])-1)/(Backend!$B$4/100*Table1[[#This Row],[BW40_3705]]),"")</f>
        <v/>
      </c>
      <c r="H4064" s="7" t="str">
        <f>IF(Table1[[#This Row],[Is Data Valid]]=TRUE,((Table1[[#This Row],[Birthweight (grams)]]*0.9/Table1[[#This Row],[BW_GA]])-1)/(Backend!$B$4/100*Table1[[#This Row],[BW40_3705]]),"")</f>
        <v/>
      </c>
      <c r="I4064" s="7" t="str">
        <f>IF(Table1[[#This Row],[Is Data Valid]]=TRUE,((Table1[[#This Row],[Birthweight (grams)]]*1.1/Table1[[#This Row],[BW_GA]])-1)/(Backend!$B$4/100*Table1[[#This Row],[BW40_3705]]),"")</f>
        <v/>
      </c>
      <c r="J4064" s="7" t="str">
        <f>IF(Table1[[#This Row],[Is Data Valid]]=TRUE,_xlfn.NORM.S.DIST(Table1[[#This Row],[Birthweight Z-Score]],TRUE)*100,"")</f>
        <v/>
      </c>
      <c r="K4064" s="7" t="str">
        <f>IF(Table1[[#This Row],[Is Data Valid]]=TRUE,_xlfn.NORM.S.DIST(Table1[[#This Row],[Birthweight Z-Score (BW-10%)]],TRUE)*100,"")</f>
        <v/>
      </c>
      <c r="L4064" s="7" t="str">
        <f>IF(Table1[[#This Row],[Is Data Valid]]=TRUE,_xlfn.NORM.S.DIST(Table1[[#This Row],[Birthweight Z-Score (BW+10%)]],TRUE)*100,"")</f>
        <v/>
      </c>
    </row>
    <row r="4065" spans="1:12" x14ac:dyDescent="0.35">
      <c r="A4065" s="3"/>
      <c r="B4065" s="2"/>
      <c r="C4065" s="2"/>
      <c r="D4065" s="2" t="b">
        <f>IF(AND(NOT(ISBLANK(Table1[[#This Row],[Fetal Sex (Male, Female or Unknown)]])),ISNUMBER(Table1[[#This Row],[Birthweight (grams)]]),ISNUMBER(Table1[[#This Row],[Gestation (days)]])),TRUE,FALSE)</f>
        <v>0</v>
      </c>
      <c r="E4065" s="2" t="str">
        <f>IF(Table1[[#This Row],[Is Data Valid]]=TRUE,IF(Table1[[#This Row],[Fetal Sex (Male, Female or Unknown)]]="Male",Backend!$C$6,IF(Table1[[#This Row],[Fetal Sex (Male, Female or Unknown)]]="Female",Backend!$C$7,IF(Table1[[#This Row],[Fetal Sex (Male, Female or Unknown)]]="Unknown",Backend!$C$8,"Error"))),"")</f>
        <v/>
      </c>
      <c r="F4065" s="8" t="str">
        <f>IF(Table1[[#This Row],[Is Data Valid]]=TRUE,EXP(0.578+0.332*((Table1[[#This Row],[Gestation (days)]]+0.5)/7)-0.00354*((Table1[[#This Row],[Gestation (days)]]+0.5)/7)^2)*Table1[[#This Row],[BW40_3705]],"")</f>
        <v/>
      </c>
      <c r="G4065" s="2" t="str">
        <f>IF(Table1[[#This Row],[Is Data Valid]]=TRUE,((Table1[[#This Row],[Birthweight (grams)]]/Table1[[#This Row],[BW_GA]])-1)/(Backend!$B$4/100*Table1[[#This Row],[BW40_3705]]),"")</f>
        <v/>
      </c>
      <c r="H4065" s="7" t="str">
        <f>IF(Table1[[#This Row],[Is Data Valid]]=TRUE,((Table1[[#This Row],[Birthweight (grams)]]*0.9/Table1[[#This Row],[BW_GA]])-1)/(Backend!$B$4/100*Table1[[#This Row],[BW40_3705]]),"")</f>
        <v/>
      </c>
      <c r="I4065" s="7" t="str">
        <f>IF(Table1[[#This Row],[Is Data Valid]]=TRUE,((Table1[[#This Row],[Birthweight (grams)]]*1.1/Table1[[#This Row],[BW_GA]])-1)/(Backend!$B$4/100*Table1[[#This Row],[BW40_3705]]),"")</f>
        <v/>
      </c>
      <c r="J4065" s="7" t="str">
        <f>IF(Table1[[#This Row],[Is Data Valid]]=TRUE,_xlfn.NORM.S.DIST(Table1[[#This Row],[Birthweight Z-Score]],TRUE)*100,"")</f>
        <v/>
      </c>
      <c r="K4065" s="7" t="str">
        <f>IF(Table1[[#This Row],[Is Data Valid]]=TRUE,_xlfn.NORM.S.DIST(Table1[[#This Row],[Birthweight Z-Score (BW-10%)]],TRUE)*100,"")</f>
        <v/>
      </c>
      <c r="L4065" s="7" t="str">
        <f>IF(Table1[[#This Row],[Is Data Valid]]=TRUE,_xlfn.NORM.S.DIST(Table1[[#This Row],[Birthweight Z-Score (BW+10%)]],TRUE)*100,"")</f>
        <v/>
      </c>
    </row>
    <row r="4066" spans="1:12" x14ac:dyDescent="0.35">
      <c r="A4066" s="3"/>
      <c r="B4066" s="2"/>
      <c r="C4066" s="2"/>
      <c r="D4066" s="2" t="b">
        <f>IF(AND(NOT(ISBLANK(Table1[[#This Row],[Fetal Sex (Male, Female or Unknown)]])),ISNUMBER(Table1[[#This Row],[Birthweight (grams)]]),ISNUMBER(Table1[[#This Row],[Gestation (days)]])),TRUE,FALSE)</f>
        <v>0</v>
      </c>
      <c r="E4066" s="2" t="str">
        <f>IF(Table1[[#This Row],[Is Data Valid]]=TRUE,IF(Table1[[#This Row],[Fetal Sex (Male, Female or Unknown)]]="Male",Backend!$C$6,IF(Table1[[#This Row],[Fetal Sex (Male, Female or Unknown)]]="Female",Backend!$C$7,IF(Table1[[#This Row],[Fetal Sex (Male, Female or Unknown)]]="Unknown",Backend!$C$8,"Error"))),"")</f>
        <v/>
      </c>
      <c r="F4066" s="8" t="str">
        <f>IF(Table1[[#This Row],[Is Data Valid]]=TRUE,EXP(0.578+0.332*((Table1[[#This Row],[Gestation (days)]]+0.5)/7)-0.00354*((Table1[[#This Row],[Gestation (days)]]+0.5)/7)^2)*Table1[[#This Row],[BW40_3705]],"")</f>
        <v/>
      </c>
      <c r="G4066" s="2" t="str">
        <f>IF(Table1[[#This Row],[Is Data Valid]]=TRUE,((Table1[[#This Row],[Birthweight (grams)]]/Table1[[#This Row],[BW_GA]])-1)/(Backend!$B$4/100*Table1[[#This Row],[BW40_3705]]),"")</f>
        <v/>
      </c>
      <c r="H4066" s="7" t="str">
        <f>IF(Table1[[#This Row],[Is Data Valid]]=TRUE,((Table1[[#This Row],[Birthweight (grams)]]*0.9/Table1[[#This Row],[BW_GA]])-1)/(Backend!$B$4/100*Table1[[#This Row],[BW40_3705]]),"")</f>
        <v/>
      </c>
      <c r="I4066" s="7" t="str">
        <f>IF(Table1[[#This Row],[Is Data Valid]]=TRUE,((Table1[[#This Row],[Birthweight (grams)]]*1.1/Table1[[#This Row],[BW_GA]])-1)/(Backend!$B$4/100*Table1[[#This Row],[BW40_3705]]),"")</f>
        <v/>
      </c>
      <c r="J4066" s="7" t="str">
        <f>IF(Table1[[#This Row],[Is Data Valid]]=TRUE,_xlfn.NORM.S.DIST(Table1[[#This Row],[Birthweight Z-Score]],TRUE)*100,"")</f>
        <v/>
      </c>
      <c r="K4066" s="7" t="str">
        <f>IF(Table1[[#This Row],[Is Data Valid]]=TRUE,_xlfn.NORM.S.DIST(Table1[[#This Row],[Birthweight Z-Score (BW-10%)]],TRUE)*100,"")</f>
        <v/>
      </c>
      <c r="L4066" s="7" t="str">
        <f>IF(Table1[[#This Row],[Is Data Valid]]=TRUE,_xlfn.NORM.S.DIST(Table1[[#This Row],[Birthweight Z-Score (BW+10%)]],TRUE)*100,"")</f>
        <v/>
      </c>
    </row>
    <row r="4067" spans="1:12" x14ac:dyDescent="0.35">
      <c r="A4067" s="3"/>
      <c r="B4067" s="2"/>
      <c r="C4067" s="2"/>
      <c r="D4067" s="2" t="b">
        <f>IF(AND(NOT(ISBLANK(Table1[[#This Row],[Fetal Sex (Male, Female or Unknown)]])),ISNUMBER(Table1[[#This Row],[Birthweight (grams)]]),ISNUMBER(Table1[[#This Row],[Gestation (days)]])),TRUE,FALSE)</f>
        <v>0</v>
      </c>
      <c r="E4067" s="2" t="str">
        <f>IF(Table1[[#This Row],[Is Data Valid]]=TRUE,IF(Table1[[#This Row],[Fetal Sex (Male, Female or Unknown)]]="Male",Backend!$C$6,IF(Table1[[#This Row],[Fetal Sex (Male, Female or Unknown)]]="Female",Backend!$C$7,IF(Table1[[#This Row],[Fetal Sex (Male, Female or Unknown)]]="Unknown",Backend!$C$8,"Error"))),"")</f>
        <v/>
      </c>
      <c r="F4067" s="8" t="str">
        <f>IF(Table1[[#This Row],[Is Data Valid]]=TRUE,EXP(0.578+0.332*((Table1[[#This Row],[Gestation (days)]]+0.5)/7)-0.00354*((Table1[[#This Row],[Gestation (days)]]+0.5)/7)^2)*Table1[[#This Row],[BW40_3705]],"")</f>
        <v/>
      </c>
      <c r="G4067" s="2" t="str">
        <f>IF(Table1[[#This Row],[Is Data Valid]]=TRUE,((Table1[[#This Row],[Birthweight (grams)]]/Table1[[#This Row],[BW_GA]])-1)/(Backend!$B$4/100*Table1[[#This Row],[BW40_3705]]),"")</f>
        <v/>
      </c>
      <c r="H4067" s="7" t="str">
        <f>IF(Table1[[#This Row],[Is Data Valid]]=TRUE,((Table1[[#This Row],[Birthweight (grams)]]*0.9/Table1[[#This Row],[BW_GA]])-1)/(Backend!$B$4/100*Table1[[#This Row],[BW40_3705]]),"")</f>
        <v/>
      </c>
      <c r="I4067" s="7" t="str">
        <f>IF(Table1[[#This Row],[Is Data Valid]]=TRUE,((Table1[[#This Row],[Birthweight (grams)]]*1.1/Table1[[#This Row],[BW_GA]])-1)/(Backend!$B$4/100*Table1[[#This Row],[BW40_3705]]),"")</f>
        <v/>
      </c>
      <c r="J4067" s="7" t="str">
        <f>IF(Table1[[#This Row],[Is Data Valid]]=TRUE,_xlfn.NORM.S.DIST(Table1[[#This Row],[Birthweight Z-Score]],TRUE)*100,"")</f>
        <v/>
      </c>
      <c r="K4067" s="7" t="str">
        <f>IF(Table1[[#This Row],[Is Data Valid]]=TRUE,_xlfn.NORM.S.DIST(Table1[[#This Row],[Birthweight Z-Score (BW-10%)]],TRUE)*100,"")</f>
        <v/>
      </c>
      <c r="L4067" s="7" t="str">
        <f>IF(Table1[[#This Row],[Is Data Valid]]=TRUE,_xlfn.NORM.S.DIST(Table1[[#This Row],[Birthweight Z-Score (BW+10%)]],TRUE)*100,"")</f>
        <v/>
      </c>
    </row>
    <row r="4068" spans="1:12" x14ac:dyDescent="0.35">
      <c r="A4068" s="3"/>
      <c r="B4068" s="2"/>
      <c r="C4068" s="2"/>
      <c r="D4068" s="2" t="b">
        <f>IF(AND(NOT(ISBLANK(Table1[[#This Row],[Fetal Sex (Male, Female or Unknown)]])),ISNUMBER(Table1[[#This Row],[Birthweight (grams)]]),ISNUMBER(Table1[[#This Row],[Gestation (days)]])),TRUE,FALSE)</f>
        <v>0</v>
      </c>
      <c r="E4068" s="2" t="str">
        <f>IF(Table1[[#This Row],[Is Data Valid]]=TRUE,IF(Table1[[#This Row],[Fetal Sex (Male, Female or Unknown)]]="Male",Backend!$C$6,IF(Table1[[#This Row],[Fetal Sex (Male, Female or Unknown)]]="Female",Backend!$C$7,IF(Table1[[#This Row],[Fetal Sex (Male, Female or Unknown)]]="Unknown",Backend!$C$8,"Error"))),"")</f>
        <v/>
      </c>
      <c r="F4068" s="8" t="str">
        <f>IF(Table1[[#This Row],[Is Data Valid]]=TRUE,EXP(0.578+0.332*((Table1[[#This Row],[Gestation (days)]]+0.5)/7)-0.00354*((Table1[[#This Row],[Gestation (days)]]+0.5)/7)^2)*Table1[[#This Row],[BW40_3705]],"")</f>
        <v/>
      </c>
      <c r="G4068" s="2" t="str">
        <f>IF(Table1[[#This Row],[Is Data Valid]]=TRUE,((Table1[[#This Row],[Birthweight (grams)]]/Table1[[#This Row],[BW_GA]])-1)/(Backend!$B$4/100*Table1[[#This Row],[BW40_3705]]),"")</f>
        <v/>
      </c>
      <c r="H4068" s="7" t="str">
        <f>IF(Table1[[#This Row],[Is Data Valid]]=TRUE,((Table1[[#This Row],[Birthweight (grams)]]*0.9/Table1[[#This Row],[BW_GA]])-1)/(Backend!$B$4/100*Table1[[#This Row],[BW40_3705]]),"")</f>
        <v/>
      </c>
      <c r="I4068" s="7" t="str">
        <f>IF(Table1[[#This Row],[Is Data Valid]]=TRUE,((Table1[[#This Row],[Birthweight (grams)]]*1.1/Table1[[#This Row],[BW_GA]])-1)/(Backend!$B$4/100*Table1[[#This Row],[BW40_3705]]),"")</f>
        <v/>
      </c>
      <c r="J4068" s="7" t="str">
        <f>IF(Table1[[#This Row],[Is Data Valid]]=TRUE,_xlfn.NORM.S.DIST(Table1[[#This Row],[Birthweight Z-Score]],TRUE)*100,"")</f>
        <v/>
      </c>
      <c r="K4068" s="7" t="str">
        <f>IF(Table1[[#This Row],[Is Data Valid]]=TRUE,_xlfn.NORM.S.DIST(Table1[[#This Row],[Birthweight Z-Score (BW-10%)]],TRUE)*100,"")</f>
        <v/>
      </c>
      <c r="L4068" s="7" t="str">
        <f>IF(Table1[[#This Row],[Is Data Valid]]=TRUE,_xlfn.NORM.S.DIST(Table1[[#This Row],[Birthweight Z-Score (BW+10%)]],TRUE)*100,"")</f>
        <v/>
      </c>
    </row>
    <row r="4069" spans="1:12" x14ac:dyDescent="0.35">
      <c r="A4069" s="3"/>
      <c r="B4069" s="2"/>
      <c r="C4069" s="2"/>
      <c r="D4069" s="2" t="b">
        <f>IF(AND(NOT(ISBLANK(Table1[[#This Row],[Fetal Sex (Male, Female or Unknown)]])),ISNUMBER(Table1[[#This Row],[Birthweight (grams)]]),ISNUMBER(Table1[[#This Row],[Gestation (days)]])),TRUE,FALSE)</f>
        <v>0</v>
      </c>
      <c r="E4069" s="2" t="str">
        <f>IF(Table1[[#This Row],[Is Data Valid]]=TRUE,IF(Table1[[#This Row],[Fetal Sex (Male, Female or Unknown)]]="Male",Backend!$C$6,IF(Table1[[#This Row],[Fetal Sex (Male, Female or Unknown)]]="Female",Backend!$C$7,IF(Table1[[#This Row],[Fetal Sex (Male, Female or Unknown)]]="Unknown",Backend!$C$8,"Error"))),"")</f>
        <v/>
      </c>
      <c r="F4069" s="8" t="str">
        <f>IF(Table1[[#This Row],[Is Data Valid]]=TRUE,EXP(0.578+0.332*((Table1[[#This Row],[Gestation (days)]]+0.5)/7)-0.00354*((Table1[[#This Row],[Gestation (days)]]+0.5)/7)^2)*Table1[[#This Row],[BW40_3705]],"")</f>
        <v/>
      </c>
      <c r="G4069" s="2" t="str">
        <f>IF(Table1[[#This Row],[Is Data Valid]]=TRUE,((Table1[[#This Row],[Birthweight (grams)]]/Table1[[#This Row],[BW_GA]])-1)/(Backend!$B$4/100*Table1[[#This Row],[BW40_3705]]),"")</f>
        <v/>
      </c>
      <c r="H4069" s="7" t="str">
        <f>IF(Table1[[#This Row],[Is Data Valid]]=TRUE,((Table1[[#This Row],[Birthweight (grams)]]*0.9/Table1[[#This Row],[BW_GA]])-1)/(Backend!$B$4/100*Table1[[#This Row],[BW40_3705]]),"")</f>
        <v/>
      </c>
      <c r="I4069" s="7" t="str">
        <f>IF(Table1[[#This Row],[Is Data Valid]]=TRUE,((Table1[[#This Row],[Birthweight (grams)]]*1.1/Table1[[#This Row],[BW_GA]])-1)/(Backend!$B$4/100*Table1[[#This Row],[BW40_3705]]),"")</f>
        <v/>
      </c>
      <c r="J4069" s="7" t="str">
        <f>IF(Table1[[#This Row],[Is Data Valid]]=TRUE,_xlfn.NORM.S.DIST(Table1[[#This Row],[Birthweight Z-Score]],TRUE)*100,"")</f>
        <v/>
      </c>
      <c r="K4069" s="7" t="str">
        <f>IF(Table1[[#This Row],[Is Data Valid]]=TRUE,_xlfn.NORM.S.DIST(Table1[[#This Row],[Birthweight Z-Score (BW-10%)]],TRUE)*100,"")</f>
        <v/>
      </c>
      <c r="L4069" s="7" t="str">
        <f>IF(Table1[[#This Row],[Is Data Valid]]=TRUE,_xlfn.NORM.S.DIST(Table1[[#This Row],[Birthweight Z-Score (BW+10%)]],TRUE)*100,"")</f>
        <v/>
      </c>
    </row>
    <row r="4070" spans="1:12" x14ac:dyDescent="0.35">
      <c r="A4070" s="3"/>
      <c r="B4070" s="2"/>
      <c r="C4070" s="2"/>
      <c r="D4070" s="2" t="b">
        <f>IF(AND(NOT(ISBLANK(Table1[[#This Row],[Fetal Sex (Male, Female or Unknown)]])),ISNUMBER(Table1[[#This Row],[Birthweight (grams)]]),ISNUMBER(Table1[[#This Row],[Gestation (days)]])),TRUE,FALSE)</f>
        <v>0</v>
      </c>
      <c r="E4070" s="2" t="str">
        <f>IF(Table1[[#This Row],[Is Data Valid]]=TRUE,IF(Table1[[#This Row],[Fetal Sex (Male, Female or Unknown)]]="Male",Backend!$C$6,IF(Table1[[#This Row],[Fetal Sex (Male, Female or Unknown)]]="Female",Backend!$C$7,IF(Table1[[#This Row],[Fetal Sex (Male, Female or Unknown)]]="Unknown",Backend!$C$8,"Error"))),"")</f>
        <v/>
      </c>
      <c r="F4070" s="8" t="str">
        <f>IF(Table1[[#This Row],[Is Data Valid]]=TRUE,EXP(0.578+0.332*((Table1[[#This Row],[Gestation (days)]]+0.5)/7)-0.00354*((Table1[[#This Row],[Gestation (days)]]+0.5)/7)^2)*Table1[[#This Row],[BW40_3705]],"")</f>
        <v/>
      </c>
      <c r="G4070" s="2" t="str">
        <f>IF(Table1[[#This Row],[Is Data Valid]]=TRUE,((Table1[[#This Row],[Birthweight (grams)]]/Table1[[#This Row],[BW_GA]])-1)/(Backend!$B$4/100*Table1[[#This Row],[BW40_3705]]),"")</f>
        <v/>
      </c>
      <c r="H4070" s="7" t="str">
        <f>IF(Table1[[#This Row],[Is Data Valid]]=TRUE,((Table1[[#This Row],[Birthweight (grams)]]*0.9/Table1[[#This Row],[BW_GA]])-1)/(Backend!$B$4/100*Table1[[#This Row],[BW40_3705]]),"")</f>
        <v/>
      </c>
      <c r="I4070" s="7" t="str">
        <f>IF(Table1[[#This Row],[Is Data Valid]]=TRUE,((Table1[[#This Row],[Birthweight (grams)]]*1.1/Table1[[#This Row],[BW_GA]])-1)/(Backend!$B$4/100*Table1[[#This Row],[BW40_3705]]),"")</f>
        <v/>
      </c>
      <c r="J4070" s="7" t="str">
        <f>IF(Table1[[#This Row],[Is Data Valid]]=TRUE,_xlfn.NORM.S.DIST(Table1[[#This Row],[Birthweight Z-Score]],TRUE)*100,"")</f>
        <v/>
      </c>
      <c r="K4070" s="7" t="str">
        <f>IF(Table1[[#This Row],[Is Data Valid]]=TRUE,_xlfn.NORM.S.DIST(Table1[[#This Row],[Birthweight Z-Score (BW-10%)]],TRUE)*100,"")</f>
        <v/>
      </c>
      <c r="L4070" s="7" t="str">
        <f>IF(Table1[[#This Row],[Is Data Valid]]=TRUE,_xlfn.NORM.S.DIST(Table1[[#This Row],[Birthweight Z-Score (BW+10%)]],TRUE)*100,"")</f>
        <v/>
      </c>
    </row>
    <row r="4071" spans="1:12" x14ac:dyDescent="0.35">
      <c r="A4071" s="3"/>
      <c r="B4071" s="2"/>
      <c r="C4071" s="2"/>
      <c r="D4071" s="2" t="b">
        <f>IF(AND(NOT(ISBLANK(Table1[[#This Row],[Fetal Sex (Male, Female or Unknown)]])),ISNUMBER(Table1[[#This Row],[Birthweight (grams)]]),ISNUMBER(Table1[[#This Row],[Gestation (days)]])),TRUE,FALSE)</f>
        <v>0</v>
      </c>
      <c r="E4071" s="2" t="str">
        <f>IF(Table1[[#This Row],[Is Data Valid]]=TRUE,IF(Table1[[#This Row],[Fetal Sex (Male, Female or Unknown)]]="Male",Backend!$C$6,IF(Table1[[#This Row],[Fetal Sex (Male, Female or Unknown)]]="Female",Backend!$C$7,IF(Table1[[#This Row],[Fetal Sex (Male, Female or Unknown)]]="Unknown",Backend!$C$8,"Error"))),"")</f>
        <v/>
      </c>
      <c r="F4071" s="8" t="str">
        <f>IF(Table1[[#This Row],[Is Data Valid]]=TRUE,EXP(0.578+0.332*((Table1[[#This Row],[Gestation (days)]]+0.5)/7)-0.00354*((Table1[[#This Row],[Gestation (days)]]+0.5)/7)^2)*Table1[[#This Row],[BW40_3705]],"")</f>
        <v/>
      </c>
      <c r="G4071" s="2" t="str">
        <f>IF(Table1[[#This Row],[Is Data Valid]]=TRUE,((Table1[[#This Row],[Birthweight (grams)]]/Table1[[#This Row],[BW_GA]])-1)/(Backend!$B$4/100*Table1[[#This Row],[BW40_3705]]),"")</f>
        <v/>
      </c>
      <c r="H4071" s="7" t="str">
        <f>IF(Table1[[#This Row],[Is Data Valid]]=TRUE,((Table1[[#This Row],[Birthweight (grams)]]*0.9/Table1[[#This Row],[BW_GA]])-1)/(Backend!$B$4/100*Table1[[#This Row],[BW40_3705]]),"")</f>
        <v/>
      </c>
      <c r="I4071" s="7" t="str">
        <f>IF(Table1[[#This Row],[Is Data Valid]]=TRUE,((Table1[[#This Row],[Birthweight (grams)]]*1.1/Table1[[#This Row],[BW_GA]])-1)/(Backend!$B$4/100*Table1[[#This Row],[BW40_3705]]),"")</f>
        <v/>
      </c>
      <c r="J4071" s="7" t="str">
        <f>IF(Table1[[#This Row],[Is Data Valid]]=TRUE,_xlfn.NORM.S.DIST(Table1[[#This Row],[Birthweight Z-Score]],TRUE)*100,"")</f>
        <v/>
      </c>
      <c r="K4071" s="7" t="str">
        <f>IF(Table1[[#This Row],[Is Data Valid]]=TRUE,_xlfn.NORM.S.DIST(Table1[[#This Row],[Birthweight Z-Score (BW-10%)]],TRUE)*100,"")</f>
        <v/>
      </c>
      <c r="L4071" s="7" t="str">
        <f>IF(Table1[[#This Row],[Is Data Valid]]=TRUE,_xlfn.NORM.S.DIST(Table1[[#This Row],[Birthweight Z-Score (BW+10%)]],TRUE)*100,"")</f>
        <v/>
      </c>
    </row>
    <row r="4072" spans="1:12" x14ac:dyDescent="0.35">
      <c r="A4072" s="3"/>
      <c r="B4072" s="2"/>
      <c r="C4072" s="2"/>
      <c r="D4072" s="2" t="b">
        <f>IF(AND(NOT(ISBLANK(Table1[[#This Row],[Fetal Sex (Male, Female or Unknown)]])),ISNUMBER(Table1[[#This Row],[Birthweight (grams)]]),ISNUMBER(Table1[[#This Row],[Gestation (days)]])),TRUE,FALSE)</f>
        <v>0</v>
      </c>
      <c r="E4072" s="2" t="str">
        <f>IF(Table1[[#This Row],[Is Data Valid]]=TRUE,IF(Table1[[#This Row],[Fetal Sex (Male, Female or Unknown)]]="Male",Backend!$C$6,IF(Table1[[#This Row],[Fetal Sex (Male, Female or Unknown)]]="Female",Backend!$C$7,IF(Table1[[#This Row],[Fetal Sex (Male, Female or Unknown)]]="Unknown",Backend!$C$8,"Error"))),"")</f>
        <v/>
      </c>
      <c r="F4072" s="8" t="str">
        <f>IF(Table1[[#This Row],[Is Data Valid]]=TRUE,EXP(0.578+0.332*((Table1[[#This Row],[Gestation (days)]]+0.5)/7)-0.00354*((Table1[[#This Row],[Gestation (days)]]+0.5)/7)^2)*Table1[[#This Row],[BW40_3705]],"")</f>
        <v/>
      </c>
      <c r="G4072" s="2" t="str">
        <f>IF(Table1[[#This Row],[Is Data Valid]]=TRUE,((Table1[[#This Row],[Birthweight (grams)]]/Table1[[#This Row],[BW_GA]])-1)/(Backend!$B$4/100*Table1[[#This Row],[BW40_3705]]),"")</f>
        <v/>
      </c>
      <c r="H4072" s="7" t="str">
        <f>IF(Table1[[#This Row],[Is Data Valid]]=TRUE,((Table1[[#This Row],[Birthweight (grams)]]*0.9/Table1[[#This Row],[BW_GA]])-1)/(Backend!$B$4/100*Table1[[#This Row],[BW40_3705]]),"")</f>
        <v/>
      </c>
      <c r="I4072" s="7" t="str">
        <f>IF(Table1[[#This Row],[Is Data Valid]]=TRUE,((Table1[[#This Row],[Birthweight (grams)]]*1.1/Table1[[#This Row],[BW_GA]])-1)/(Backend!$B$4/100*Table1[[#This Row],[BW40_3705]]),"")</f>
        <v/>
      </c>
      <c r="J4072" s="7" t="str">
        <f>IF(Table1[[#This Row],[Is Data Valid]]=TRUE,_xlfn.NORM.S.DIST(Table1[[#This Row],[Birthweight Z-Score]],TRUE)*100,"")</f>
        <v/>
      </c>
      <c r="K4072" s="7" t="str">
        <f>IF(Table1[[#This Row],[Is Data Valid]]=TRUE,_xlfn.NORM.S.DIST(Table1[[#This Row],[Birthweight Z-Score (BW-10%)]],TRUE)*100,"")</f>
        <v/>
      </c>
      <c r="L4072" s="7" t="str">
        <f>IF(Table1[[#This Row],[Is Data Valid]]=TRUE,_xlfn.NORM.S.DIST(Table1[[#This Row],[Birthweight Z-Score (BW+10%)]],TRUE)*100,"")</f>
        <v/>
      </c>
    </row>
    <row r="4073" spans="1:12" x14ac:dyDescent="0.35">
      <c r="A4073" s="3"/>
      <c r="B4073" s="2"/>
      <c r="C4073" s="2"/>
      <c r="D4073" s="2" t="b">
        <f>IF(AND(NOT(ISBLANK(Table1[[#This Row],[Fetal Sex (Male, Female or Unknown)]])),ISNUMBER(Table1[[#This Row],[Birthweight (grams)]]),ISNUMBER(Table1[[#This Row],[Gestation (days)]])),TRUE,FALSE)</f>
        <v>0</v>
      </c>
      <c r="E4073" s="2" t="str">
        <f>IF(Table1[[#This Row],[Is Data Valid]]=TRUE,IF(Table1[[#This Row],[Fetal Sex (Male, Female or Unknown)]]="Male",Backend!$C$6,IF(Table1[[#This Row],[Fetal Sex (Male, Female or Unknown)]]="Female",Backend!$C$7,IF(Table1[[#This Row],[Fetal Sex (Male, Female or Unknown)]]="Unknown",Backend!$C$8,"Error"))),"")</f>
        <v/>
      </c>
      <c r="F4073" s="8" t="str">
        <f>IF(Table1[[#This Row],[Is Data Valid]]=TRUE,EXP(0.578+0.332*((Table1[[#This Row],[Gestation (days)]]+0.5)/7)-0.00354*((Table1[[#This Row],[Gestation (days)]]+0.5)/7)^2)*Table1[[#This Row],[BW40_3705]],"")</f>
        <v/>
      </c>
      <c r="G4073" s="2" t="str">
        <f>IF(Table1[[#This Row],[Is Data Valid]]=TRUE,((Table1[[#This Row],[Birthweight (grams)]]/Table1[[#This Row],[BW_GA]])-1)/(Backend!$B$4/100*Table1[[#This Row],[BW40_3705]]),"")</f>
        <v/>
      </c>
      <c r="H4073" s="7" t="str">
        <f>IF(Table1[[#This Row],[Is Data Valid]]=TRUE,((Table1[[#This Row],[Birthweight (grams)]]*0.9/Table1[[#This Row],[BW_GA]])-1)/(Backend!$B$4/100*Table1[[#This Row],[BW40_3705]]),"")</f>
        <v/>
      </c>
      <c r="I4073" s="7" t="str">
        <f>IF(Table1[[#This Row],[Is Data Valid]]=TRUE,((Table1[[#This Row],[Birthweight (grams)]]*1.1/Table1[[#This Row],[BW_GA]])-1)/(Backend!$B$4/100*Table1[[#This Row],[BW40_3705]]),"")</f>
        <v/>
      </c>
      <c r="J4073" s="7" t="str">
        <f>IF(Table1[[#This Row],[Is Data Valid]]=TRUE,_xlfn.NORM.S.DIST(Table1[[#This Row],[Birthweight Z-Score]],TRUE)*100,"")</f>
        <v/>
      </c>
      <c r="K4073" s="7" t="str">
        <f>IF(Table1[[#This Row],[Is Data Valid]]=TRUE,_xlfn.NORM.S.DIST(Table1[[#This Row],[Birthweight Z-Score (BW-10%)]],TRUE)*100,"")</f>
        <v/>
      </c>
      <c r="L4073" s="7" t="str">
        <f>IF(Table1[[#This Row],[Is Data Valid]]=TRUE,_xlfn.NORM.S.DIST(Table1[[#This Row],[Birthweight Z-Score (BW+10%)]],TRUE)*100,"")</f>
        <v/>
      </c>
    </row>
    <row r="4074" spans="1:12" x14ac:dyDescent="0.35">
      <c r="A4074" s="3"/>
      <c r="B4074" s="2"/>
      <c r="C4074" s="2"/>
      <c r="D4074" s="2" t="b">
        <f>IF(AND(NOT(ISBLANK(Table1[[#This Row],[Fetal Sex (Male, Female or Unknown)]])),ISNUMBER(Table1[[#This Row],[Birthweight (grams)]]),ISNUMBER(Table1[[#This Row],[Gestation (days)]])),TRUE,FALSE)</f>
        <v>0</v>
      </c>
      <c r="E4074" s="2" t="str">
        <f>IF(Table1[[#This Row],[Is Data Valid]]=TRUE,IF(Table1[[#This Row],[Fetal Sex (Male, Female or Unknown)]]="Male",Backend!$C$6,IF(Table1[[#This Row],[Fetal Sex (Male, Female or Unknown)]]="Female",Backend!$C$7,IF(Table1[[#This Row],[Fetal Sex (Male, Female or Unknown)]]="Unknown",Backend!$C$8,"Error"))),"")</f>
        <v/>
      </c>
      <c r="F4074" s="8" t="str">
        <f>IF(Table1[[#This Row],[Is Data Valid]]=TRUE,EXP(0.578+0.332*((Table1[[#This Row],[Gestation (days)]]+0.5)/7)-0.00354*((Table1[[#This Row],[Gestation (days)]]+0.5)/7)^2)*Table1[[#This Row],[BW40_3705]],"")</f>
        <v/>
      </c>
      <c r="G4074" s="2" t="str">
        <f>IF(Table1[[#This Row],[Is Data Valid]]=TRUE,((Table1[[#This Row],[Birthweight (grams)]]/Table1[[#This Row],[BW_GA]])-1)/(Backend!$B$4/100*Table1[[#This Row],[BW40_3705]]),"")</f>
        <v/>
      </c>
      <c r="H4074" s="7" t="str">
        <f>IF(Table1[[#This Row],[Is Data Valid]]=TRUE,((Table1[[#This Row],[Birthweight (grams)]]*0.9/Table1[[#This Row],[BW_GA]])-1)/(Backend!$B$4/100*Table1[[#This Row],[BW40_3705]]),"")</f>
        <v/>
      </c>
      <c r="I4074" s="7" t="str">
        <f>IF(Table1[[#This Row],[Is Data Valid]]=TRUE,((Table1[[#This Row],[Birthweight (grams)]]*1.1/Table1[[#This Row],[BW_GA]])-1)/(Backend!$B$4/100*Table1[[#This Row],[BW40_3705]]),"")</f>
        <v/>
      </c>
      <c r="J4074" s="7" t="str">
        <f>IF(Table1[[#This Row],[Is Data Valid]]=TRUE,_xlfn.NORM.S.DIST(Table1[[#This Row],[Birthweight Z-Score]],TRUE)*100,"")</f>
        <v/>
      </c>
      <c r="K4074" s="7" t="str">
        <f>IF(Table1[[#This Row],[Is Data Valid]]=TRUE,_xlfn.NORM.S.DIST(Table1[[#This Row],[Birthweight Z-Score (BW-10%)]],TRUE)*100,"")</f>
        <v/>
      </c>
      <c r="L4074" s="7" t="str">
        <f>IF(Table1[[#This Row],[Is Data Valid]]=TRUE,_xlfn.NORM.S.DIST(Table1[[#This Row],[Birthweight Z-Score (BW+10%)]],TRUE)*100,"")</f>
        <v/>
      </c>
    </row>
    <row r="4075" spans="1:12" x14ac:dyDescent="0.35">
      <c r="A4075" s="3"/>
      <c r="B4075" s="2"/>
      <c r="C4075" s="2"/>
      <c r="D4075" s="2" t="b">
        <f>IF(AND(NOT(ISBLANK(Table1[[#This Row],[Fetal Sex (Male, Female or Unknown)]])),ISNUMBER(Table1[[#This Row],[Birthweight (grams)]]),ISNUMBER(Table1[[#This Row],[Gestation (days)]])),TRUE,FALSE)</f>
        <v>0</v>
      </c>
      <c r="E4075" s="2" t="str">
        <f>IF(Table1[[#This Row],[Is Data Valid]]=TRUE,IF(Table1[[#This Row],[Fetal Sex (Male, Female or Unknown)]]="Male",Backend!$C$6,IF(Table1[[#This Row],[Fetal Sex (Male, Female or Unknown)]]="Female",Backend!$C$7,IF(Table1[[#This Row],[Fetal Sex (Male, Female or Unknown)]]="Unknown",Backend!$C$8,"Error"))),"")</f>
        <v/>
      </c>
      <c r="F4075" s="8" t="str">
        <f>IF(Table1[[#This Row],[Is Data Valid]]=TRUE,EXP(0.578+0.332*((Table1[[#This Row],[Gestation (days)]]+0.5)/7)-0.00354*((Table1[[#This Row],[Gestation (days)]]+0.5)/7)^2)*Table1[[#This Row],[BW40_3705]],"")</f>
        <v/>
      </c>
      <c r="G4075" s="2" t="str">
        <f>IF(Table1[[#This Row],[Is Data Valid]]=TRUE,((Table1[[#This Row],[Birthweight (grams)]]/Table1[[#This Row],[BW_GA]])-1)/(Backend!$B$4/100*Table1[[#This Row],[BW40_3705]]),"")</f>
        <v/>
      </c>
      <c r="H4075" s="7" t="str">
        <f>IF(Table1[[#This Row],[Is Data Valid]]=TRUE,((Table1[[#This Row],[Birthweight (grams)]]*0.9/Table1[[#This Row],[BW_GA]])-1)/(Backend!$B$4/100*Table1[[#This Row],[BW40_3705]]),"")</f>
        <v/>
      </c>
      <c r="I4075" s="7" t="str">
        <f>IF(Table1[[#This Row],[Is Data Valid]]=TRUE,((Table1[[#This Row],[Birthweight (grams)]]*1.1/Table1[[#This Row],[BW_GA]])-1)/(Backend!$B$4/100*Table1[[#This Row],[BW40_3705]]),"")</f>
        <v/>
      </c>
      <c r="J4075" s="7" t="str">
        <f>IF(Table1[[#This Row],[Is Data Valid]]=TRUE,_xlfn.NORM.S.DIST(Table1[[#This Row],[Birthweight Z-Score]],TRUE)*100,"")</f>
        <v/>
      </c>
      <c r="K4075" s="7" t="str">
        <f>IF(Table1[[#This Row],[Is Data Valid]]=TRUE,_xlfn.NORM.S.DIST(Table1[[#This Row],[Birthweight Z-Score (BW-10%)]],TRUE)*100,"")</f>
        <v/>
      </c>
      <c r="L4075" s="7" t="str">
        <f>IF(Table1[[#This Row],[Is Data Valid]]=TRUE,_xlfn.NORM.S.DIST(Table1[[#This Row],[Birthweight Z-Score (BW+10%)]],TRUE)*100,"")</f>
        <v/>
      </c>
    </row>
    <row r="4076" spans="1:12" x14ac:dyDescent="0.35">
      <c r="A4076" s="3"/>
      <c r="B4076" s="2"/>
      <c r="C4076" s="2"/>
      <c r="D4076" s="2" t="b">
        <f>IF(AND(NOT(ISBLANK(Table1[[#This Row],[Fetal Sex (Male, Female or Unknown)]])),ISNUMBER(Table1[[#This Row],[Birthweight (grams)]]),ISNUMBER(Table1[[#This Row],[Gestation (days)]])),TRUE,FALSE)</f>
        <v>0</v>
      </c>
      <c r="E4076" s="2" t="str">
        <f>IF(Table1[[#This Row],[Is Data Valid]]=TRUE,IF(Table1[[#This Row],[Fetal Sex (Male, Female or Unknown)]]="Male",Backend!$C$6,IF(Table1[[#This Row],[Fetal Sex (Male, Female or Unknown)]]="Female",Backend!$C$7,IF(Table1[[#This Row],[Fetal Sex (Male, Female or Unknown)]]="Unknown",Backend!$C$8,"Error"))),"")</f>
        <v/>
      </c>
      <c r="F4076" s="8" t="str">
        <f>IF(Table1[[#This Row],[Is Data Valid]]=TRUE,EXP(0.578+0.332*((Table1[[#This Row],[Gestation (days)]]+0.5)/7)-0.00354*((Table1[[#This Row],[Gestation (days)]]+0.5)/7)^2)*Table1[[#This Row],[BW40_3705]],"")</f>
        <v/>
      </c>
      <c r="G4076" s="2" t="str">
        <f>IF(Table1[[#This Row],[Is Data Valid]]=TRUE,((Table1[[#This Row],[Birthweight (grams)]]/Table1[[#This Row],[BW_GA]])-1)/(Backend!$B$4/100*Table1[[#This Row],[BW40_3705]]),"")</f>
        <v/>
      </c>
      <c r="H4076" s="7" t="str">
        <f>IF(Table1[[#This Row],[Is Data Valid]]=TRUE,((Table1[[#This Row],[Birthweight (grams)]]*0.9/Table1[[#This Row],[BW_GA]])-1)/(Backend!$B$4/100*Table1[[#This Row],[BW40_3705]]),"")</f>
        <v/>
      </c>
      <c r="I4076" s="7" t="str">
        <f>IF(Table1[[#This Row],[Is Data Valid]]=TRUE,((Table1[[#This Row],[Birthweight (grams)]]*1.1/Table1[[#This Row],[BW_GA]])-1)/(Backend!$B$4/100*Table1[[#This Row],[BW40_3705]]),"")</f>
        <v/>
      </c>
      <c r="J4076" s="7" t="str">
        <f>IF(Table1[[#This Row],[Is Data Valid]]=TRUE,_xlfn.NORM.S.DIST(Table1[[#This Row],[Birthweight Z-Score]],TRUE)*100,"")</f>
        <v/>
      </c>
      <c r="K4076" s="7" t="str">
        <f>IF(Table1[[#This Row],[Is Data Valid]]=TRUE,_xlfn.NORM.S.DIST(Table1[[#This Row],[Birthweight Z-Score (BW-10%)]],TRUE)*100,"")</f>
        <v/>
      </c>
      <c r="L4076" s="7" t="str">
        <f>IF(Table1[[#This Row],[Is Data Valid]]=TRUE,_xlfn.NORM.S.DIST(Table1[[#This Row],[Birthweight Z-Score (BW+10%)]],TRUE)*100,"")</f>
        <v/>
      </c>
    </row>
    <row r="4077" spans="1:12" x14ac:dyDescent="0.35">
      <c r="A4077" s="3"/>
      <c r="B4077" s="2"/>
      <c r="C4077" s="2"/>
      <c r="D4077" s="2" t="b">
        <f>IF(AND(NOT(ISBLANK(Table1[[#This Row],[Fetal Sex (Male, Female or Unknown)]])),ISNUMBER(Table1[[#This Row],[Birthweight (grams)]]),ISNUMBER(Table1[[#This Row],[Gestation (days)]])),TRUE,FALSE)</f>
        <v>0</v>
      </c>
      <c r="E4077" s="2" t="str">
        <f>IF(Table1[[#This Row],[Is Data Valid]]=TRUE,IF(Table1[[#This Row],[Fetal Sex (Male, Female or Unknown)]]="Male",Backend!$C$6,IF(Table1[[#This Row],[Fetal Sex (Male, Female or Unknown)]]="Female",Backend!$C$7,IF(Table1[[#This Row],[Fetal Sex (Male, Female or Unknown)]]="Unknown",Backend!$C$8,"Error"))),"")</f>
        <v/>
      </c>
      <c r="F4077" s="8" t="str">
        <f>IF(Table1[[#This Row],[Is Data Valid]]=TRUE,EXP(0.578+0.332*((Table1[[#This Row],[Gestation (days)]]+0.5)/7)-0.00354*((Table1[[#This Row],[Gestation (days)]]+0.5)/7)^2)*Table1[[#This Row],[BW40_3705]],"")</f>
        <v/>
      </c>
      <c r="G4077" s="2" t="str">
        <f>IF(Table1[[#This Row],[Is Data Valid]]=TRUE,((Table1[[#This Row],[Birthweight (grams)]]/Table1[[#This Row],[BW_GA]])-1)/(Backend!$B$4/100*Table1[[#This Row],[BW40_3705]]),"")</f>
        <v/>
      </c>
      <c r="H4077" s="7" t="str">
        <f>IF(Table1[[#This Row],[Is Data Valid]]=TRUE,((Table1[[#This Row],[Birthweight (grams)]]*0.9/Table1[[#This Row],[BW_GA]])-1)/(Backend!$B$4/100*Table1[[#This Row],[BW40_3705]]),"")</f>
        <v/>
      </c>
      <c r="I4077" s="7" t="str">
        <f>IF(Table1[[#This Row],[Is Data Valid]]=TRUE,((Table1[[#This Row],[Birthweight (grams)]]*1.1/Table1[[#This Row],[BW_GA]])-1)/(Backend!$B$4/100*Table1[[#This Row],[BW40_3705]]),"")</f>
        <v/>
      </c>
      <c r="J4077" s="7" t="str">
        <f>IF(Table1[[#This Row],[Is Data Valid]]=TRUE,_xlfn.NORM.S.DIST(Table1[[#This Row],[Birthweight Z-Score]],TRUE)*100,"")</f>
        <v/>
      </c>
      <c r="K4077" s="7" t="str">
        <f>IF(Table1[[#This Row],[Is Data Valid]]=TRUE,_xlfn.NORM.S.DIST(Table1[[#This Row],[Birthweight Z-Score (BW-10%)]],TRUE)*100,"")</f>
        <v/>
      </c>
      <c r="L4077" s="7" t="str">
        <f>IF(Table1[[#This Row],[Is Data Valid]]=TRUE,_xlfn.NORM.S.DIST(Table1[[#This Row],[Birthweight Z-Score (BW+10%)]],TRUE)*100,"")</f>
        <v/>
      </c>
    </row>
    <row r="4078" spans="1:12" x14ac:dyDescent="0.35">
      <c r="A4078" s="3"/>
      <c r="B4078" s="2"/>
      <c r="C4078" s="2"/>
      <c r="D4078" s="2" t="b">
        <f>IF(AND(NOT(ISBLANK(Table1[[#This Row],[Fetal Sex (Male, Female or Unknown)]])),ISNUMBER(Table1[[#This Row],[Birthweight (grams)]]),ISNUMBER(Table1[[#This Row],[Gestation (days)]])),TRUE,FALSE)</f>
        <v>0</v>
      </c>
      <c r="E4078" s="2" t="str">
        <f>IF(Table1[[#This Row],[Is Data Valid]]=TRUE,IF(Table1[[#This Row],[Fetal Sex (Male, Female or Unknown)]]="Male",Backend!$C$6,IF(Table1[[#This Row],[Fetal Sex (Male, Female or Unknown)]]="Female",Backend!$C$7,IF(Table1[[#This Row],[Fetal Sex (Male, Female or Unknown)]]="Unknown",Backend!$C$8,"Error"))),"")</f>
        <v/>
      </c>
      <c r="F4078" s="8" t="str">
        <f>IF(Table1[[#This Row],[Is Data Valid]]=TRUE,EXP(0.578+0.332*((Table1[[#This Row],[Gestation (days)]]+0.5)/7)-0.00354*((Table1[[#This Row],[Gestation (days)]]+0.5)/7)^2)*Table1[[#This Row],[BW40_3705]],"")</f>
        <v/>
      </c>
      <c r="G4078" s="2" t="str">
        <f>IF(Table1[[#This Row],[Is Data Valid]]=TRUE,((Table1[[#This Row],[Birthweight (grams)]]/Table1[[#This Row],[BW_GA]])-1)/(Backend!$B$4/100*Table1[[#This Row],[BW40_3705]]),"")</f>
        <v/>
      </c>
      <c r="H4078" s="7" t="str">
        <f>IF(Table1[[#This Row],[Is Data Valid]]=TRUE,((Table1[[#This Row],[Birthweight (grams)]]*0.9/Table1[[#This Row],[BW_GA]])-1)/(Backend!$B$4/100*Table1[[#This Row],[BW40_3705]]),"")</f>
        <v/>
      </c>
      <c r="I4078" s="7" t="str">
        <f>IF(Table1[[#This Row],[Is Data Valid]]=TRUE,((Table1[[#This Row],[Birthweight (grams)]]*1.1/Table1[[#This Row],[BW_GA]])-1)/(Backend!$B$4/100*Table1[[#This Row],[BW40_3705]]),"")</f>
        <v/>
      </c>
      <c r="J4078" s="7" t="str">
        <f>IF(Table1[[#This Row],[Is Data Valid]]=TRUE,_xlfn.NORM.S.DIST(Table1[[#This Row],[Birthweight Z-Score]],TRUE)*100,"")</f>
        <v/>
      </c>
      <c r="K4078" s="7" t="str">
        <f>IF(Table1[[#This Row],[Is Data Valid]]=TRUE,_xlfn.NORM.S.DIST(Table1[[#This Row],[Birthweight Z-Score (BW-10%)]],TRUE)*100,"")</f>
        <v/>
      </c>
      <c r="L4078" s="7" t="str">
        <f>IF(Table1[[#This Row],[Is Data Valid]]=TRUE,_xlfn.NORM.S.DIST(Table1[[#This Row],[Birthweight Z-Score (BW+10%)]],TRUE)*100,"")</f>
        <v/>
      </c>
    </row>
    <row r="4079" spans="1:12" x14ac:dyDescent="0.35">
      <c r="A4079" s="3"/>
      <c r="B4079" s="2"/>
      <c r="C4079" s="2"/>
      <c r="D4079" s="2" t="b">
        <f>IF(AND(NOT(ISBLANK(Table1[[#This Row],[Fetal Sex (Male, Female or Unknown)]])),ISNUMBER(Table1[[#This Row],[Birthweight (grams)]]),ISNUMBER(Table1[[#This Row],[Gestation (days)]])),TRUE,FALSE)</f>
        <v>0</v>
      </c>
      <c r="E4079" s="2" t="str">
        <f>IF(Table1[[#This Row],[Is Data Valid]]=TRUE,IF(Table1[[#This Row],[Fetal Sex (Male, Female or Unknown)]]="Male",Backend!$C$6,IF(Table1[[#This Row],[Fetal Sex (Male, Female or Unknown)]]="Female",Backend!$C$7,IF(Table1[[#This Row],[Fetal Sex (Male, Female or Unknown)]]="Unknown",Backend!$C$8,"Error"))),"")</f>
        <v/>
      </c>
      <c r="F4079" s="8" t="str">
        <f>IF(Table1[[#This Row],[Is Data Valid]]=TRUE,EXP(0.578+0.332*((Table1[[#This Row],[Gestation (days)]]+0.5)/7)-0.00354*((Table1[[#This Row],[Gestation (days)]]+0.5)/7)^2)*Table1[[#This Row],[BW40_3705]],"")</f>
        <v/>
      </c>
      <c r="G4079" s="2" t="str">
        <f>IF(Table1[[#This Row],[Is Data Valid]]=TRUE,((Table1[[#This Row],[Birthweight (grams)]]/Table1[[#This Row],[BW_GA]])-1)/(Backend!$B$4/100*Table1[[#This Row],[BW40_3705]]),"")</f>
        <v/>
      </c>
      <c r="H4079" s="7" t="str">
        <f>IF(Table1[[#This Row],[Is Data Valid]]=TRUE,((Table1[[#This Row],[Birthweight (grams)]]*0.9/Table1[[#This Row],[BW_GA]])-1)/(Backend!$B$4/100*Table1[[#This Row],[BW40_3705]]),"")</f>
        <v/>
      </c>
      <c r="I4079" s="7" t="str">
        <f>IF(Table1[[#This Row],[Is Data Valid]]=TRUE,((Table1[[#This Row],[Birthweight (grams)]]*1.1/Table1[[#This Row],[BW_GA]])-1)/(Backend!$B$4/100*Table1[[#This Row],[BW40_3705]]),"")</f>
        <v/>
      </c>
      <c r="J4079" s="7" t="str">
        <f>IF(Table1[[#This Row],[Is Data Valid]]=TRUE,_xlfn.NORM.S.DIST(Table1[[#This Row],[Birthweight Z-Score]],TRUE)*100,"")</f>
        <v/>
      </c>
      <c r="K4079" s="7" t="str">
        <f>IF(Table1[[#This Row],[Is Data Valid]]=TRUE,_xlfn.NORM.S.DIST(Table1[[#This Row],[Birthweight Z-Score (BW-10%)]],TRUE)*100,"")</f>
        <v/>
      </c>
      <c r="L4079" s="7" t="str">
        <f>IF(Table1[[#This Row],[Is Data Valid]]=TRUE,_xlfn.NORM.S.DIST(Table1[[#This Row],[Birthweight Z-Score (BW+10%)]],TRUE)*100,"")</f>
        <v/>
      </c>
    </row>
    <row r="4080" spans="1:12" x14ac:dyDescent="0.35">
      <c r="A4080" s="3"/>
      <c r="B4080" s="2"/>
      <c r="C4080" s="2"/>
      <c r="D4080" s="2" t="b">
        <f>IF(AND(NOT(ISBLANK(Table1[[#This Row],[Fetal Sex (Male, Female or Unknown)]])),ISNUMBER(Table1[[#This Row],[Birthweight (grams)]]),ISNUMBER(Table1[[#This Row],[Gestation (days)]])),TRUE,FALSE)</f>
        <v>0</v>
      </c>
      <c r="E4080" s="2" t="str">
        <f>IF(Table1[[#This Row],[Is Data Valid]]=TRUE,IF(Table1[[#This Row],[Fetal Sex (Male, Female or Unknown)]]="Male",Backend!$C$6,IF(Table1[[#This Row],[Fetal Sex (Male, Female or Unknown)]]="Female",Backend!$C$7,IF(Table1[[#This Row],[Fetal Sex (Male, Female or Unknown)]]="Unknown",Backend!$C$8,"Error"))),"")</f>
        <v/>
      </c>
      <c r="F4080" s="8" t="str">
        <f>IF(Table1[[#This Row],[Is Data Valid]]=TRUE,EXP(0.578+0.332*((Table1[[#This Row],[Gestation (days)]]+0.5)/7)-0.00354*((Table1[[#This Row],[Gestation (days)]]+0.5)/7)^2)*Table1[[#This Row],[BW40_3705]],"")</f>
        <v/>
      </c>
      <c r="G4080" s="2" t="str">
        <f>IF(Table1[[#This Row],[Is Data Valid]]=TRUE,((Table1[[#This Row],[Birthweight (grams)]]/Table1[[#This Row],[BW_GA]])-1)/(Backend!$B$4/100*Table1[[#This Row],[BW40_3705]]),"")</f>
        <v/>
      </c>
      <c r="H4080" s="7" t="str">
        <f>IF(Table1[[#This Row],[Is Data Valid]]=TRUE,((Table1[[#This Row],[Birthweight (grams)]]*0.9/Table1[[#This Row],[BW_GA]])-1)/(Backend!$B$4/100*Table1[[#This Row],[BW40_3705]]),"")</f>
        <v/>
      </c>
      <c r="I4080" s="7" t="str">
        <f>IF(Table1[[#This Row],[Is Data Valid]]=TRUE,((Table1[[#This Row],[Birthweight (grams)]]*1.1/Table1[[#This Row],[BW_GA]])-1)/(Backend!$B$4/100*Table1[[#This Row],[BW40_3705]]),"")</f>
        <v/>
      </c>
      <c r="J4080" s="7" t="str">
        <f>IF(Table1[[#This Row],[Is Data Valid]]=TRUE,_xlfn.NORM.S.DIST(Table1[[#This Row],[Birthweight Z-Score]],TRUE)*100,"")</f>
        <v/>
      </c>
      <c r="K4080" s="7" t="str">
        <f>IF(Table1[[#This Row],[Is Data Valid]]=TRUE,_xlfn.NORM.S.DIST(Table1[[#This Row],[Birthweight Z-Score (BW-10%)]],TRUE)*100,"")</f>
        <v/>
      </c>
      <c r="L4080" s="7" t="str">
        <f>IF(Table1[[#This Row],[Is Data Valid]]=TRUE,_xlfn.NORM.S.DIST(Table1[[#This Row],[Birthweight Z-Score (BW+10%)]],TRUE)*100,"")</f>
        <v/>
      </c>
    </row>
    <row r="4081" spans="1:12" x14ac:dyDescent="0.35">
      <c r="A4081" s="3"/>
      <c r="B4081" s="2"/>
      <c r="C4081" s="2"/>
      <c r="D4081" s="2" t="b">
        <f>IF(AND(NOT(ISBLANK(Table1[[#This Row],[Fetal Sex (Male, Female or Unknown)]])),ISNUMBER(Table1[[#This Row],[Birthweight (grams)]]),ISNUMBER(Table1[[#This Row],[Gestation (days)]])),TRUE,FALSE)</f>
        <v>0</v>
      </c>
      <c r="E4081" s="2" t="str">
        <f>IF(Table1[[#This Row],[Is Data Valid]]=TRUE,IF(Table1[[#This Row],[Fetal Sex (Male, Female or Unknown)]]="Male",Backend!$C$6,IF(Table1[[#This Row],[Fetal Sex (Male, Female or Unknown)]]="Female",Backend!$C$7,IF(Table1[[#This Row],[Fetal Sex (Male, Female or Unknown)]]="Unknown",Backend!$C$8,"Error"))),"")</f>
        <v/>
      </c>
      <c r="F4081" s="8" t="str">
        <f>IF(Table1[[#This Row],[Is Data Valid]]=TRUE,EXP(0.578+0.332*((Table1[[#This Row],[Gestation (days)]]+0.5)/7)-0.00354*((Table1[[#This Row],[Gestation (days)]]+0.5)/7)^2)*Table1[[#This Row],[BW40_3705]],"")</f>
        <v/>
      </c>
      <c r="G4081" s="2" t="str">
        <f>IF(Table1[[#This Row],[Is Data Valid]]=TRUE,((Table1[[#This Row],[Birthweight (grams)]]/Table1[[#This Row],[BW_GA]])-1)/(Backend!$B$4/100*Table1[[#This Row],[BW40_3705]]),"")</f>
        <v/>
      </c>
      <c r="H4081" s="7" t="str">
        <f>IF(Table1[[#This Row],[Is Data Valid]]=TRUE,((Table1[[#This Row],[Birthweight (grams)]]*0.9/Table1[[#This Row],[BW_GA]])-1)/(Backend!$B$4/100*Table1[[#This Row],[BW40_3705]]),"")</f>
        <v/>
      </c>
      <c r="I4081" s="7" t="str">
        <f>IF(Table1[[#This Row],[Is Data Valid]]=TRUE,((Table1[[#This Row],[Birthweight (grams)]]*1.1/Table1[[#This Row],[BW_GA]])-1)/(Backend!$B$4/100*Table1[[#This Row],[BW40_3705]]),"")</f>
        <v/>
      </c>
      <c r="J4081" s="7" t="str">
        <f>IF(Table1[[#This Row],[Is Data Valid]]=TRUE,_xlfn.NORM.S.DIST(Table1[[#This Row],[Birthweight Z-Score]],TRUE)*100,"")</f>
        <v/>
      </c>
      <c r="K4081" s="7" t="str">
        <f>IF(Table1[[#This Row],[Is Data Valid]]=TRUE,_xlfn.NORM.S.DIST(Table1[[#This Row],[Birthweight Z-Score (BW-10%)]],TRUE)*100,"")</f>
        <v/>
      </c>
      <c r="L4081" s="7" t="str">
        <f>IF(Table1[[#This Row],[Is Data Valid]]=TRUE,_xlfn.NORM.S.DIST(Table1[[#This Row],[Birthweight Z-Score (BW+10%)]],TRUE)*100,"")</f>
        <v/>
      </c>
    </row>
    <row r="4082" spans="1:12" x14ac:dyDescent="0.35">
      <c r="A4082" s="3"/>
      <c r="B4082" s="2"/>
      <c r="C4082" s="2"/>
      <c r="D4082" s="2" t="b">
        <f>IF(AND(NOT(ISBLANK(Table1[[#This Row],[Fetal Sex (Male, Female or Unknown)]])),ISNUMBER(Table1[[#This Row],[Birthweight (grams)]]),ISNUMBER(Table1[[#This Row],[Gestation (days)]])),TRUE,FALSE)</f>
        <v>0</v>
      </c>
      <c r="E4082" s="2" t="str">
        <f>IF(Table1[[#This Row],[Is Data Valid]]=TRUE,IF(Table1[[#This Row],[Fetal Sex (Male, Female or Unknown)]]="Male",Backend!$C$6,IF(Table1[[#This Row],[Fetal Sex (Male, Female or Unknown)]]="Female",Backend!$C$7,IF(Table1[[#This Row],[Fetal Sex (Male, Female or Unknown)]]="Unknown",Backend!$C$8,"Error"))),"")</f>
        <v/>
      </c>
      <c r="F4082" s="8" t="str">
        <f>IF(Table1[[#This Row],[Is Data Valid]]=TRUE,EXP(0.578+0.332*((Table1[[#This Row],[Gestation (days)]]+0.5)/7)-0.00354*((Table1[[#This Row],[Gestation (days)]]+0.5)/7)^2)*Table1[[#This Row],[BW40_3705]],"")</f>
        <v/>
      </c>
      <c r="G4082" s="2" t="str">
        <f>IF(Table1[[#This Row],[Is Data Valid]]=TRUE,((Table1[[#This Row],[Birthweight (grams)]]/Table1[[#This Row],[BW_GA]])-1)/(Backend!$B$4/100*Table1[[#This Row],[BW40_3705]]),"")</f>
        <v/>
      </c>
      <c r="H4082" s="7" t="str">
        <f>IF(Table1[[#This Row],[Is Data Valid]]=TRUE,((Table1[[#This Row],[Birthweight (grams)]]*0.9/Table1[[#This Row],[BW_GA]])-1)/(Backend!$B$4/100*Table1[[#This Row],[BW40_3705]]),"")</f>
        <v/>
      </c>
      <c r="I4082" s="7" t="str">
        <f>IF(Table1[[#This Row],[Is Data Valid]]=TRUE,((Table1[[#This Row],[Birthweight (grams)]]*1.1/Table1[[#This Row],[BW_GA]])-1)/(Backend!$B$4/100*Table1[[#This Row],[BW40_3705]]),"")</f>
        <v/>
      </c>
      <c r="J4082" s="7" t="str">
        <f>IF(Table1[[#This Row],[Is Data Valid]]=TRUE,_xlfn.NORM.S.DIST(Table1[[#This Row],[Birthweight Z-Score]],TRUE)*100,"")</f>
        <v/>
      </c>
      <c r="K4082" s="7" t="str">
        <f>IF(Table1[[#This Row],[Is Data Valid]]=TRUE,_xlfn.NORM.S.DIST(Table1[[#This Row],[Birthweight Z-Score (BW-10%)]],TRUE)*100,"")</f>
        <v/>
      </c>
      <c r="L4082" s="7" t="str">
        <f>IF(Table1[[#This Row],[Is Data Valid]]=TRUE,_xlfn.NORM.S.DIST(Table1[[#This Row],[Birthweight Z-Score (BW+10%)]],TRUE)*100,"")</f>
        <v/>
      </c>
    </row>
    <row r="4083" spans="1:12" x14ac:dyDescent="0.35">
      <c r="A4083" s="3"/>
      <c r="B4083" s="2"/>
      <c r="C4083" s="2"/>
      <c r="D4083" s="2" t="b">
        <f>IF(AND(NOT(ISBLANK(Table1[[#This Row],[Fetal Sex (Male, Female or Unknown)]])),ISNUMBER(Table1[[#This Row],[Birthweight (grams)]]),ISNUMBER(Table1[[#This Row],[Gestation (days)]])),TRUE,FALSE)</f>
        <v>0</v>
      </c>
      <c r="E4083" s="2" t="str">
        <f>IF(Table1[[#This Row],[Is Data Valid]]=TRUE,IF(Table1[[#This Row],[Fetal Sex (Male, Female or Unknown)]]="Male",Backend!$C$6,IF(Table1[[#This Row],[Fetal Sex (Male, Female or Unknown)]]="Female",Backend!$C$7,IF(Table1[[#This Row],[Fetal Sex (Male, Female or Unknown)]]="Unknown",Backend!$C$8,"Error"))),"")</f>
        <v/>
      </c>
      <c r="F4083" s="8" t="str">
        <f>IF(Table1[[#This Row],[Is Data Valid]]=TRUE,EXP(0.578+0.332*((Table1[[#This Row],[Gestation (days)]]+0.5)/7)-0.00354*((Table1[[#This Row],[Gestation (days)]]+0.5)/7)^2)*Table1[[#This Row],[BW40_3705]],"")</f>
        <v/>
      </c>
      <c r="G4083" s="2" t="str">
        <f>IF(Table1[[#This Row],[Is Data Valid]]=TRUE,((Table1[[#This Row],[Birthweight (grams)]]/Table1[[#This Row],[BW_GA]])-1)/(Backend!$B$4/100*Table1[[#This Row],[BW40_3705]]),"")</f>
        <v/>
      </c>
      <c r="H4083" s="7" t="str">
        <f>IF(Table1[[#This Row],[Is Data Valid]]=TRUE,((Table1[[#This Row],[Birthweight (grams)]]*0.9/Table1[[#This Row],[BW_GA]])-1)/(Backend!$B$4/100*Table1[[#This Row],[BW40_3705]]),"")</f>
        <v/>
      </c>
      <c r="I4083" s="7" t="str">
        <f>IF(Table1[[#This Row],[Is Data Valid]]=TRUE,((Table1[[#This Row],[Birthweight (grams)]]*1.1/Table1[[#This Row],[BW_GA]])-1)/(Backend!$B$4/100*Table1[[#This Row],[BW40_3705]]),"")</f>
        <v/>
      </c>
      <c r="J4083" s="7" t="str">
        <f>IF(Table1[[#This Row],[Is Data Valid]]=TRUE,_xlfn.NORM.S.DIST(Table1[[#This Row],[Birthweight Z-Score]],TRUE)*100,"")</f>
        <v/>
      </c>
      <c r="K4083" s="7" t="str">
        <f>IF(Table1[[#This Row],[Is Data Valid]]=TRUE,_xlfn.NORM.S.DIST(Table1[[#This Row],[Birthweight Z-Score (BW-10%)]],TRUE)*100,"")</f>
        <v/>
      </c>
      <c r="L4083" s="7" t="str">
        <f>IF(Table1[[#This Row],[Is Data Valid]]=TRUE,_xlfn.NORM.S.DIST(Table1[[#This Row],[Birthweight Z-Score (BW+10%)]],TRUE)*100,"")</f>
        <v/>
      </c>
    </row>
    <row r="4084" spans="1:12" x14ac:dyDescent="0.35">
      <c r="A4084" s="3"/>
      <c r="B4084" s="2"/>
      <c r="C4084" s="2"/>
      <c r="D4084" s="2" t="b">
        <f>IF(AND(NOT(ISBLANK(Table1[[#This Row],[Fetal Sex (Male, Female or Unknown)]])),ISNUMBER(Table1[[#This Row],[Birthweight (grams)]]),ISNUMBER(Table1[[#This Row],[Gestation (days)]])),TRUE,FALSE)</f>
        <v>0</v>
      </c>
      <c r="E4084" s="2" t="str">
        <f>IF(Table1[[#This Row],[Is Data Valid]]=TRUE,IF(Table1[[#This Row],[Fetal Sex (Male, Female or Unknown)]]="Male",Backend!$C$6,IF(Table1[[#This Row],[Fetal Sex (Male, Female or Unknown)]]="Female",Backend!$C$7,IF(Table1[[#This Row],[Fetal Sex (Male, Female or Unknown)]]="Unknown",Backend!$C$8,"Error"))),"")</f>
        <v/>
      </c>
      <c r="F4084" s="8" t="str">
        <f>IF(Table1[[#This Row],[Is Data Valid]]=TRUE,EXP(0.578+0.332*((Table1[[#This Row],[Gestation (days)]]+0.5)/7)-0.00354*((Table1[[#This Row],[Gestation (days)]]+0.5)/7)^2)*Table1[[#This Row],[BW40_3705]],"")</f>
        <v/>
      </c>
      <c r="G4084" s="2" t="str">
        <f>IF(Table1[[#This Row],[Is Data Valid]]=TRUE,((Table1[[#This Row],[Birthweight (grams)]]/Table1[[#This Row],[BW_GA]])-1)/(Backend!$B$4/100*Table1[[#This Row],[BW40_3705]]),"")</f>
        <v/>
      </c>
      <c r="H4084" s="7" t="str">
        <f>IF(Table1[[#This Row],[Is Data Valid]]=TRUE,((Table1[[#This Row],[Birthweight (grams)]]*0.9/Table1[[#This Row],[BW_GA]])-1)/(Backend!$B$4/100*Table1[[#This Row],[BW40_3705]]),"")</f>
        <v/>
      </c>
      <c r="I4084" s="7" t="str">
        <f>IF(Table1[[#This Row],[Is Data Valid]]=TRUE,((Table1[[#This Row],[Birthweight (grams)]]*1.1/Table1[[#This Row],[BW_GA]])-1)/(Backend!$B$4/100*Table1[[#This Row],[BW40_3705]]),"")</f>
        <v/>
      </c>
      <c r="J4084" s="7" t="str">
        <f>IF(Table1[[#This Row],[Is Data Valid]]=TRUE,_xlfn.NORM.S.DIST(Table1[[#This Row],[Birthweight Z-Score]],TRUE)*100,"")</f>
        <v/>
      </c>
      <c r="K4084" s="7" t="str">
        <f>IF(Table1[[#This Row],[Is Data Valid]]=TRUE,_xlfn.NORM.S.DIST(Table1[[#This Row],[Birthweight Z-Score (BW-10%)]],TRUE)*100,"")</f>
        <v/>
      </c>
      <c r="L4084" s="7" t="str">
        <f>IF(Table1[[#This Row],[Is Data Valid]]=TRUE,_xlfn.NORM.S.DIST(Table1[[#This Row],[Birthweight Z-Score (BW+10%)]],TRUE)*100,"")</f>
        <v/>
      </c>
    </row>
    <row r="4085" spans="1:12" x14ac:dyDescent="0.35">
      <c r="A4085" s="3"/>
      <c r="B4085" s="2"/>
      <c r="C4085" s="2"/>
      <c r="D4085" s="2" t="b">
        <f>IF(AND(NOT(ISBLANK(Table1[[#This Row],[Fetal Sex (Male, Female or Unknown)]])),ISNUMBER(Table1[[#This Row],[Birthweight (grams)]]),ISNUMBER(Table1[[#This Row],[Gestation (days)]])),TRUE,FALSE)</f>
        <v>0</v>
      </c>
      <c r="E4085" s="2" t="str">
        <f>IF(Table1[[#This Row],[Is Data Valid]]=TRUE,IF(Table1[[#This Row],[Fetal Sex (Male, Female or Unknown)]]="Male",Backend!$C$6,IF(Table1[[#This Row],[Fetal Sex (Male, Female or Unknown)]]="Female",Backend!$C$7,IF(Table1[[#This Row],[Fetal Sex (Male, Female or Unknown)]]="Unknown",Backend!$C$8,"Error"))),"")</f>
        <v/>
      </c>
      <c r="F4085" s="8" t="str">
        <f>IF(Table1[[#This Row],[Is Data Valid]]=TRUE,EXP(0.578+0.332*((Table1[[#This Row],[Gestation (days)]]+0.5)/7)-0.00354*((Table1[[#This Row],[Gestation (days)]]+0.5)/7)^2)*Table1[[#This Row],[BW40_3705]],"")</f>
        <v/>
      </c>
      <c r="G4085" s="2" t="str">
        <f>IF(Table1[[#This Row],[Is Data Valid]]=TRUE,((Table1[[#This Row],[Birthweight (grams)]]/Table1[[#This Row],[BW_GA]])-1)/(Backend!$B$4/100*Table1[[#This Row],[BW40_3705]]),"")</f>
        <v/>
      </c>
      <c r="H4085" s="7" t="str">
        <f>IF(Table1[[#This Row],[Is Data Valid]]=TRUE,((Table1[[#This Row],[Birthweight (grams)]]*0.9/Table1[[#This Row],[BW_GA]])-1)/(Backend!$B$4/100*Table1[[#This Row],[BW40_3705]]),"")</f>
        <v/>
      </c>
      <c r="I4085" s="7" t="str">
        <f>IF(Table1[[#This Row],[Is Data Valid]]=TRUE,((Table1[[#This Row],[Birthweight (grams)]]*1.1/Table1[[#This Row],[BW_GA]])-1)/(Backend!$B$4/100*Table1[[#This Row],[BW40_3705]]),"")</f>
        <v/>
      </c>
      <c r="J4085" s="7" t="str">
        <f>IF(Table1[[#This Row],[Is Data Valid]]=TRUE,_xlfn.NORM.S.DIST(Table1[[#This Row],[Birthweight Z-Score]],TRUE)*100,"")</f>
        <v/>
      </c>
      <c r="K4085" s="7" t="str">
        <f>IF(Table1[[#This Row],[Is Data Valid]]=TRUE,_xlfn.NORM.S.DIST(Table1[[#This Row],[Birthweight Z-Score (BW-10%)]],TRUE)*100,"")</f>
        <v/>
      </c>
      <c r="L4085" s="7" t="str">
        <f>IF(Table1[[#This Row],[Is Data Valid]]=TRUE,_xlfn.NORM.S.DIST(Table1[[#This Row],[Birthweight Z-Score (BW+10%)]],TRUE)*100,"")</f>
        <v/>
      </c>
    </row>
    <row r="4086" spans="1:12" x14ac:dyDescent="0.35">
      <c r="A4086" s="3"/>
      <c r="B4086" s="2"/>
      <c r="C4086" s="2"/>
      <c r="D4086" s="2" t="b">
        <f>IF(AND(NOT(ISBLANK(Table1[[#This Row],[Fetal Sex (Male, Female or Unknown)]])),ISNUMBER(Table1[[#This Row],[Birthweight (grams)]]),ISNUMBER(Table1[[#This Row],[Gestation (days)]])),TRUE,FALSE)</f>
        <v>0</v>
      </c>
      <c r="E4086" s="2" t="str">
        <f>IF(Table1[[#This Row],[Is Data Valid]]=TRUE,IF(Table1[[#This Row],[Fetal Sex (Male, Female or Unknown)]]="Male",Backend!$C$6,IF(Table1[[#This Row],[Fetal Sex (Male, Female or Unknown)]]="Female",Backend!$C$7,IF(Table1[[#This Row],[Fetal Sex (Male, Female or Unknown)]]="Unknown",Backend!$C$8,"Error"))),"")</f>
        <v/>
      </c>
      <c r="F4086" s="8" t="str">
        <f>IF(Table1[[#This Row],[Is Data Valid]]=TRUE,EXP(0.578+0.332*((Table1[[#This Row],[Gestation (days)]]+0.5)/7)-0.00354*((Table1[[#This Row],[Gestation (days)]]+0.5)/7)^2)*Table1[[#This Row],[BW40_3705]],"")</f>
        <v/>
      </c>
      <c r="G4086" s="2" t="str">
        <f>IF(Table1[[#This Row],[Is Data Valid]]=TRUE,((Table1[[#This Row],[Birthweight (grams)]]/Table1[[#This Row],[BW_GA]])-1)/(Backend!$B$4/100*Table1[[#This Row],[BW40_3705]]),"")</f>
        <v/>
      </c>
      <c r="H4086" s="7" t="str">
        <f>IF(Table1[[#This Row],[Is Data Valid]]=TRUE,((Table1[[#This Row],[Birthweight (grams)]]*0.9/Table1[[#This Row],[BW_GA]])-1)/(Backend!$B$4/100*Table1[[#This Row],[BW40_3705]]),"")</f>
        <v/>
      </c>
      <c r="I4086" s="7" t="str">
        <f>IF(Table1[[#This Row],[Is Data Valid]]=TRUE,((Table1[[#This Row],[Birthweight (grams)]]*1.1/Table1[[#This Row],[BW_GA]])-1)/(Backend!$B$4/100*Table1[[#This Row],[BW40_3705]]),"")</f>
        <v/>
      </c>
      <c r="J4086" s="7" t="str">
        <f>IF(Table1[[#This Row],[Is Data Valid]]=TRUE,_xlfn.NORM.S.DIST(Table1[[#This Row],[Birthweight Z-Score]],TRUE)*100,"")</f>
        <v/>
      </c>
      <c r="K4086" s="7" t="str">
        <f>IF(Table1[[#This Row],[Is Data Valid]]=TRUE,_xlfn.NORM.S.DIST(Table1[[#This Row],[Birthweight Z-Score (BW-10%)]],TRUE)*100,"")</f>
        <v/>
      </c>
      <c r="L4086" s="7" t="str">
        <f>IF(Table1[[#This Row],[Is Data Valid]]=TRUE,_xlfn.NORM.S.DIST(Table1[[#This Row],[Birthweight Z-Score (BW+10%)]],TRUE)*100,"")</f>
        <v/>
      </c>
    </row>
    <row r="4087" spans="1:12" x14ac:dyDescent="0.35">
      <c r="A4087" s="3"/>
      <c r="B4087" s="2"/>
      <c r="C4087" s="2"/>
      <c r="D4087" s="2" t="b">
        <f>IF(AND(NOT(ISBLANK(Table1[[#This Row],[Fetal Sex (Male, Female or Unknown)]])),ISNUMBER(Table1[[#This Row],[Birthweight (grams)]]),ISNUMBER(Table1[[#This Row],[Gestation (days)]])),TRUE,FALSE)</f>
        <v>0</v>
      </c>
      <c r="E4087" s="2" t="str">
        <f>IF(Table1[[#This Row],[Is Data Valid]]=TRUE,IF(Table1[[#This Row],[Fetal Sex (Male, Female or Unknown)]]="Male",Backend!$C$6,IF(Table1[[#This Row],[Fetal Sex (Male, Female or Unknown)]]="Female",Backend!$C$7,IF(Table1[[#This Row],[Fetal Sex (Male, Female or Unknown)]]="Unknown",Backend!$C$8,"Error"))),"")</f>
        <v/>
      </c>
      <c r="F4087" s="8" t="str">
        <f>IF(Table1[[#This Row],[Is Data Valid]]=TRUE,EXP(0.578+0.332*((Table1[[#This Row],[Gestation (days)]]+0.5)/7)-0.00354*((Table1[[#This Row],[Gestation (days)]]+0.5)/7)^2)*Table1[[#This Row],[BW40_3705]],"")</f>
        <v/>
      </c>
      <c r="G4087" s="2" t="str">
        <f>IF(Table1[[#This Row],[Is Data Valid]]=TRUE,((Table1[[#This Row],[Birthweight (grams)]]/Table1[[#This Row],[BW_GA]])-1)/(Backend!$B$4/100*Table1[[#This Row],[BW40_3705]]),"")</f>
        <v/>
      </c>
      <c r="H4087" s="7" t="str">
        <f>IF(Table1[[#This Row],[Is Data Valid]]=TRUE,((Table1[[#This Row],[Birthweight (grams)]]*0.9/Table1[[#This Row],[BW_GA]])-1)/(Backend!$B$4/100*Table1[[#This Row],[BW40_3705]]),"")</f>
        <v/>
      </c>
      <c r="I4087" s="7" t="str">
        <f>IF(Table1[[#This Row],[Is Data Valid]]=TRUE,((Table1[[#This Row],[Birthweight (grams)]]*1.1/Table1[[#This Row],[BW_GA]])-1)/(Backend!$B$4/100*Table1[[#This Row],[BW40_3705]]),"")</f>
        <v/>
      </c>
      <c r="J4087" s="7" t="str">
        <f>IF(Table1[[#This Row],[Is Data Valid]]=TRUE,_xlfn.NORM.S.DIST(Table1[[#This Row],[Birthweight Z-Score]],TRUE)*100,"")</f>
        <v/>
      </c>
      <c r="K4087" s="7" t="str">
        <f>IF(Table1[[#This Row],[Is Data Valid]]=TRUE,_xlfn.NORM.S.DIST(Table1[[#This Row],[Birthweight Z-Score (BW-10%)]],TRUE)*100,"")</f>
        <v/>
      </c>
      <c r="L4087" s="7" t="str">
        <f>IF(Table1[[#This Row],[Is Data Valid]]=TRUE,_xlfn.NORM.S.DIST(Table1[[#This Row],[Birthweight Z-Score (BW+10%)]],TRUE)*100,"")</f>
        <v/>
      </c>
    </row>
    <row r="4088" spans="1:12" x14ac:dyDescent="0.35">
      <c r="A4088" s="3"/>
      <c r="B4088" s="2"/>
      <c r="C4088" s="2"/>
      <c r="D4088" s="2" t="b">
        <f>IF(AND(NOT(ISBLANK(Table1[[#This Row],[Fetal Sex (Male, Female or Unknown)]])),ISNUMBER(Table1[[#This Row],[Birthweight (grams)]]),ISNUMBER(Table1[[#This Row],[Gestation (days)]])),TRUE,FALSE)</f>
        <v>0</v>
      </c>
      <c r="E4088" s="2" t="str">
        <f>IF(Table1[[#This Row],[Is Data Valid]]=TRUE,IF(Table1[[#This Row],[Fetal Sex (Male, Female or Unknown)]]="Male",Backend!$C$6,IF(Table1[[#This Row],[Fetal Sex (Male, Female or Unknown)]]="Female",Backend!$C$7,IF(Table1[[#This Row],[Fetal Sex (Male, Female or Unknown)]]="Unknown",Backend!$C$8,"Error"))),"")</f>
        <v/>
      </c>
      <c r="F4088" s="8" t="str">
        <f>IF(Table1[[#This Row],[Is Data Valid]]=TRUE,EXP(0.578+0.332*((Table1[[#This Row],[Gestation (days)]]+0.5)/7)-0.00354*((Table1[[#This Row],[Gestation (days)]]+0.5)/7)^2)*Table1[[#This Row],[BW40_3705]],"")</f>
        <v/>
      </c>
      <c r="G4088" s="2" t="str">
        <f>IF(Table1[[#This Row],[Is Data Valid]]=TRUE,((Table1[[#This Row],[Birthweight (grams)]]/Table1[[#This Row],[BW_GA]])-1)/(Backend!$B$4/100*Table1[[#This Row],[BW40_3705]]),"")</f>
        <v/>
      </c>
      <c r="H4088" s="7" t="str">
        <f>IF(Table1[[#This Row],[Is Data Valid]]=TRUE,((Table1[[#This Row],[Birthweight (grams)]]*0.9/Table1[[#This Row],[BW_GA]])-1)/(Backend!$B$4/100*Table1[[#This Row],[BW40_3705]]),"")</f>
        <v/>
      </c>
      <c r="I4088" s="7" t="str">
        <f>IF(Table1[[#This Row],[Is Data Valid]]=TRUE,((Table1[[#This Row],[Birthweight (grams)]]*1.1/Table1[[#This Row],[BW_GA]])-1)/(Backend!$B$4/100*Table1[[#This Row],[BW40_3705]]),"")</f>
        <v/>
      </c>
      <c r="J4088" s="7" t="str">
        <f>IF(Table1[[#This Row],[Is Data Valid]]=TRUE,_xlfn.NORM.S.DIST(Table1[[#This Row],[Birthweight Z-Score]],TRUE)*100,"")</f>
        <v/>
      </c>
      <c r="K4088" s="7" t="str">
        <f>IF(Table1[[#This Row],[Is Data Valid]]=TRUE,_xlfn.NORM.S.DIST(Table1[[#This Row],[Birthweight Z-Score (BW-10%)]],TRUE)*100,"")</f>
        <v/>
      </c>
      <c r="L4088" s="7" t="str">
        <f>IF(Table1[[#This Row],[Is Data Valid]]=TRUE,_xlfn.NORM.S.DIST(Table1[[#This Row],[Birthweight Z-Score (BW+10%)]],TRUE)*100,"")</f>
        <v/>
      </c>
    </row>
    <row r="4089" spans="1:12" x14ac:dyDescent="0.35">
      <c r="A4089" s="3"/>
      <c r="B4089" s="2"/>
      <c r="C4089" s="2"/>
      <c r="D4089" s="2" t="b">
        <f>IF(AND(NOT(ISBLANK(Table1[[#This Row],[Fetal Sex (Male, Female or Unknown)]])),ISNUMBER(Table1[[#This Row],[Birthweight (grams)]]),ISNUMBER(Table1[[#This Row],[Gestation (days)]])),TRUE,FALSE)</f>
        <v>0</v>
      </c>
      <c r="E4089" s="2" t="str">
        <f>IF(Table1[[#This Row],[Is Data Valid]]=TRUE,IF(Table1[[#This Row],[Fetal Sex (Male, Female or Unknown)]]="Male",Backend!$C$6,IF(Table1[[#This Row],[Fetal Sex (Male, Female or Unknown)]]="Female",Backend!$C$7,IF(Table1[[#This Row],[Fetal Sex (Male, Female or Unknown)]]="Unknown",Backend!$C$8,"Error"))),"")</f>
        <v/>
      </c>
      <c r="F4089" s="8" t="str">
        <f>IF(Table1[[#This Row],[Is Data Valid]]=TRUE,EXP(0.578+0.332*((Table1[[#This Row],[Gestation (days)]]+0.5)/7)-0.00354*((Table1[[#This Row],[Gestation (days)]]+0.5)/7)^2)*Table1[[#This Row],[BW40_3705]],"")</f>
        <v/>
      </c>
      <c r="G4089" s="2" t="str">
        <f>IF(Table1[[#This Row],[Is Data Valid]]=TRUE,((Table1[[#This Row],[Birthweight (grams)]]/Table1[[#This Row],[BW_GA]])-1)/(Backend!$B$4/100*Table1[[#This Row],[BW40_3705]]),"")</f>
        <v/>
      </c>
      <c r="H4089" s="7" t="str">
        <f>IF(Table1[[#This Row],[Is Data Valid]]=TRUE,((Table1[[#This Row],[Birthweight (grams)]]*0.9/Table1[[#This Row],[BW_GA]])-1)/(Backend!$B$4/100*Table1[[#This Row],[BW40_3705]]),"")</f>
        <v/>
      </c>
      <c r="I4089" s="7" t="str">
        <f>IF(Table1[[#This Row],[Is Data Valid]]=TRUE,((Table1[[#This Row],[Birthweight (grams)]]*1.1/Table1[[#This Row],[BW_GA]])-1)/(Backend!$B$4/100*Table1[[#This Row],[BW40_3705]]),"")</f>
        <v/>
      </c>
      <c r="J4089" s="7" t="str">
        <f>IF(Table1[[#This Row],[Is Data Valid]]=TRUE,_xlfn.NORM.S.DIST(Table1[[#This Row],[Birthweight Z-Score]],TRUE)*100,"")</f>
        <v/>
      </c>
      <c r="K4089" s="7" t="str">
        <f>IF(Table1[[#This Row],[Is Data Valid]]=TRUE,_xlfn.NORM.S.DIST(Table1[[#This Row],[Birthweight Z-Score (BW-10%)]],TRUE)*100,"")</f>
        <v/>
      </c>
      <c r="L4089" s="7" t="str">
        <f>IF(Table1[[#This Row],[Is Data Valid]]=TRUE,_xlfn.NORM.S.DIST(Table1[[#This Row],[Birthweight Z-Score (BW+10%)]],TRUE)*100,"")</f>
        <v/>
      </c>
    </row>
    <row r="4090" spans="1:12" x14ac:dyDescent="0.35">
      <c r="A4090" s="3"/>
      <c r="B4090" s="2"/>
      <c r="C4090" s="2"/>
      <c r="D4090" s="2" t="b">
        <f>IF(AND(NOT(ISBLANK(Table1[[#This Row],[Fetal Sex (Male, Female or Unknown)]])),ISNUMBER(Table1[[#This Row],[Birthweight (grams)]]),ISNUMBER(Table1[[#This Row],[Gestation (days)]])),TRUE,FALSE)</f>
        <v>0</v>
      </c>
      <c r="E4090" s="2" t="str">
        <f>IF(Table1[[#This Row],[Is Data Valid]]=TRUE,IF(Table1[[#This Row],[Fetal Sex (Male, Female or Unknown)]]="Male",Backend!$C$6,IF(Table1[[#This Row],[Fetal Sex (Male, Female or Unknown)]]="Female",Backend!$C$7,IF(Table1[[#This Row],[Fetal Sex (Male, Female or Unknown)]]="Unknown",Backend!$C$8,"Error"))),"")</f>
        <v/>
      </c>
      <c r="F4090" s="8" t="str">
        <f>IF(Table1[[#This Row],[Is Data Valid]]=TRUE,EXP(0.578+0.332*((Table1[[#This Row],[Gestation (days)]]+0.5)/7)-0.00354*((Table1[[#This Row],[Gestation (days)]]+0.5)/7)^2)*Table1[[#This Row],[BW40_3705]],"")</f>
        <v/>
      </c>
      <c r="G4090" s="2" t="str">
        <f>IF(Table1[[#This Row],[Is Data Valid]]=TRUE,((Table1[[#This Row],[Birthweight (grams)]]/Table1[[#This Row],[BW_GA]])-1)/(Backend!$B$4/100*Table1[[#This Row],[BW40_3705]]),"")</f>
        <v/>
      </c>
      <c r="H4090" s="7" t="str">
        <f>IF(Table1[[#This Row],[Is Data Valid]]=TRUE,((Table1[[#This Row],[Birthweight (grams)]]*0.9/Table1[[#This Row],[BW_GA]])-1)/(Backend!$B$4/100*Table1[[#This Row],[BW40_3705]]),"")</f>
        <v/>
      </c>
      <c r="I4090" s="7" t="str">
        <f>IF(Table1[[#This Row],[Is Data Valid]]=TRUE,((Table1[[#This Row],[Birthweight (grams)]]*1.1/Table1[[#This Row],[BW_GA]])-1)/(Backend!$B$4/100*Table1[[#This Row],[BW40_3705]]),"")</f>
        <v/>
      </c>
      <c r="J4090" s="7" t="str">
        <f>IF(Table1[[#This Row],[Is Data Valid]]=TRUE,_xlfn.NORM.S.DIST(Table1[[#This Row],[Birthweight Z-Score]],TRUE)*100,"")</f>
        <v/>
      </c>
      <c r="K4090" s="7" t="str">
        <f>IF(Table1[[#This Row],[Is Data Valid]]=TRUE,_xlfn.NORM.S.DIST(Table1[[#This Row],[Birthweight Z-Score (BW-10%)]],TRUE)*100,"")</f>
        <v/>
      </c>
      <c r="L4090" s="7" t="str">
        <f>IF(Table1[[#This Row],[Is Data Valid]]=TRUE,_xlfn.NORM.S.DIST(Table1[[#This Row],[Birthweight Z-Score (BW+10%)]],TRUE)*100,"")</f>
        <v/>
      </c>
    </row>
    <row r="4091" spans="1:12" x14ac:dyDescent="0.35">
      <c r="A4091" s="3"/>
      <c r="B4091" s="2"/>
      <c r="C4091" s="2"/>
      <c r="D4091" s="2" t="b">
        <f>IF(AND(NOT(ISBLANK(Table1[[#This Row],[Fetal Sex (Male, Female or Unknown)]])),ISNUMBER(Table1[[#This Row],[Birthweight (grams)]]),ISNUMBER(Table1[[#This Row],[Gestation (days)]])),TRUE,FALSE)</f>
        <v>0</v>
      </c>
      <c r="E4091" s="2" t="str">
        <f>IF(Table1[[#This Row],[Is Data Valid]]=TRUE,IF(Table1[[#This Row],[Fetal Sex (Male, Female or Unknown)]]="Male",Backend!$C$6,IF(Table1[[#This Row],[Fetal Sex (Male, Female or Unknown)]]="Female",Backend!$C$7,IF(Table1[[#This Row],[Fetal Sex (Male, Female or Unknown)]]="Unknown",Backend!$C$8,"Error"))),"")</f>
        <v/>
      </c>
      <c r="F4091" s="8" t="str">
        <f>IF(Table1[[#This Row],[Is Data Valid]]=TRUE,EXP(0.578+0.332*((Table1[[#This Row],[Gestation (days)]]+0.5)/7)-0.00354*((Table1[[#This Row],[Gestation (days)]]+0.5)/7)^2)*Table1[[#This Row],[BW40_3705]],"")</f>
        <v/>
      </c>
      <c r="G4091" s="2" t="str">
        <f>IF(Table1[[#This Row],[Is Data Valid]]=TRUE,((Table1[[#This Row],[Birthweight (grams)]]/Table1[[#This Row],[BW_GA]])-1)/(Backend!$B$4/100*Table1[[#This Row],[BW40_3705]]),"")</f>
        <v/>
      </c>
      <c r="H4091" s="7" t="str">
        <f>IF(Table1[[#This Row],[Is Data Valid]]=TRUE,((Table1[[#This Row],[Birthweight (grams)]]*0.9/Table1[[#This Row],[BW_GA]])-1)/(Backend!$B$4/100*Table1[[#This Row],[BW40_3705]]),"")</f>
        <v/>
      </c>
      <c r="I4091" s="7" t="str">
        <f>IF(Table1[[#This Row],[Is Data Valid]]=TRUE,((Table1[[#This Row],[Birthweight (grams)]]*1.1/Table1[[#This Row],[BW_GA]])-1)/(Backend!$B$4/100*Table1[[#This Row],[BW40_3705]]),"")</f>
        <v/>
      </c>
      <c r="J4091" s="7" t="str">
        <f>IF(Table1[[#This Row],[Is Data Valid]]=TRUE,_xlfn.NORM.S.DIST(Table1[[#This Row],[Birthweight Z-Score]],TRUE)*100,"")</f>
        <v/>
      </c>
      <c r="K4091" s="7" t="str">
        <f>IF(Table1[[#This Row],[Is Data Valid]]=TRUE,_xlfn.NORM.S.DIST(Table1[[#This Row],[Birthweight Z-Score (BW-10%)]],TRUE)*100,"")</f>
        <v/>
      </c>
      <c r="L4091" s="7" t="str">
        <f>IF(Table1[[#This Row],[Is Data Valid]]=TRUE,_xlfn.NORM.S.DIST(Table1[[#This Row],[Birthweight Z-Score (BW+10%)]],TRUE)*100,"")</f>
        <v/>
      </c>
    </row>
    <row r="4092" spans="1:12" x14ac:dyDescent="0.35">
      <c r="A4092" s="3"/>
      <c r="B4092" s="2"/>
      <c r="C4092" s="2"/>
      <c r="D4092" s="2" t="b">
        <f>IF(AND(NOT(ISBLANK(Table1[[#This Row],[Fetal Sex (Male, Female or Unknown)]])),ISNUMBER(Table1[[#This Row],[Birthweight (grams)]]),ISNUMBER(Table1[[#This Row],[Gestation (days)]])),TRUE,FALSE)</f>
        <v>0</v>
      </c>
      <c r="E4092" s="2" t="str">
        <f>IF(Table1[[#This Row],[Is Data Valid]]=TRUE,IF(Table1[[#This Row],[Fetal Sex (Male, Female or Unknown)]]="Male",Backend!$C$6,IF(Table1[[#This Row],[Fetal Sex (Male, Female or Unknown)]]="Female",Backend!$C$7,IF(Table1[[#This Row],[Fetal Sex (Male, Female or Unknown)]]="Unknown",Backend!$C$8,"Error"))),"")</f>
        <v/>
      </c>
      <c r="F4092" s="8" t="str">
        <f>IF(Table1[[#This Row],[Is Data Valid]]=TRUE,EXP(0.578+0.332*((Table1[[#This Row],[Gestation (days)]]+0.5)/7)-0.00354*((Table1[[#This Row],[Gestation (days)]]+0.5)/7)^2)*Table1[[#This Row],[BW40_3705]],"")</f>
        <v/>
      </c>
      <c r="G4092" s="2" t="str">
        <f>IF(Table1[[#This Row],[Is Data Valid]]=TRUE,((Table1[[#This Row],[Birthweight (grams)]]/Table1[[#This Row],[BW_GA]])-1)/(Backend!$B$4/100*Table1[[#This Row],[BW40_3705]]),"")</f>
        <v/>
      </c>
      <c r="H4092" s="7" t="str">
        <f>IF(Table1[[#This Row],[Is Data Valid]]=TRUE,((Table1[[#This Row],[Birthweight (grams)]]*0.9/Table1[[#This Row],[BW_GA]])-1)/(Backend!$B$4/100*Table1[[#This Row],[BW40_3705]]),"")</f>
        <v/>
      </c>
      <c r="I4092" s="7" t="str">
        <f>IF(Table1[[#This Row],[Is Data Valid]]=TRUE,((Table1[[#This Row],[Birthweight (grams)]]*1.1/Table1[[#This Row],[BW_GA]])-1)/(Backend!$B$4/100*Table1[[#This Row],[BW40_3705]]),"")</f>
        <v/>
      </c>
      <c r="J4092" s="7" t="str">
        <f>IF(Table1[[#This Row],[Is Data Valid]]=TRUE,_xlfn.NORM.S.DIST(Table1[[#This Row],[Birthweight Z-Score]],TRUE)*100,"")</f>
        <v/>
      </c>
      <c r="K4092" s="7" t="str">
        <f>IF(Table1[[#This Row],[Is Data Valid]]=TRUE,_xlfn.NORM.S.DIST(Table1[[#This Row],[Birthweight Z-Score (BW-10%)]],TRUE)*100,"")</f>
        <v/>
      </c>
      <c r="L4092" s="7" t="str">
        <f>IF(Table1[[#This Row],[Is Data Valid]]=TRUE,_xlfn.NORM.S.DIST(Table1[[#This Row],[Birthweight Z-Score (BW+10%)]],TRUE)*100,"")</f>
        <v/>
      </c>
    </row>
    <row r="4093" spans="1:12" x14ac:dyDescent="0.35">
      <c r="A4093" s="3"/>
      <c r="B4093" s="2"/>
      <c r="C4093" s="2"/>
      <c r="D4093" s="2" t="b">
        <f>IF(AND(NOT(ISBLANK(Table1[[#This Row],[Fetal Sex (Male, Female or Unknown)]])),ISNUMBER(Table1[[#This Row],[Birthweight (grams)]]),ISNUMBER(Table1[[#This Row],[Gestation (days)]])),TRUE,FALSE)</f>
        <v>0</v>
      </c>
      <c r="E4093" s="2" t="str">
        <f>IF(Table1[[#This Row],[Is Data Valid]]=TRUE,IF(Table1[[#This Row],[Fetal Sex (Male, Female or Unknown)]]="Male",Backend!$C$6,IF(Table1[[#This Row],[Fetal Sex (Male, Female or Unknown)]]="Female",Backend!$C$7,IF(Table1[[#This Row],[Fetal Sex (Male, Female or Unknown)]]="Unknown",Backend!$C$8,"Error"))),"")</f>
        <v/>
      </c>
      <c r="F4093" s="8" t="str">
        <f>IF(Table1[[#This Row],[Is Data Valid]]=TRUE,EXP(0.578+0.332*((Table1[[#This Row],[Gestation (days)]]+0.5)/7)-0.00354*((Table1[[#This Row],[Gestation (days)]]+0.5)/7)^2)*Table1[[#This Row],[BW40_3705]],"")</f>
        <v/>
      </c>
      <c r="G4093" s="2" t="str">
        <f>IF(Table1[[#This Row],[Is Data Valid]]=TRUE,((Table1[[#This Row],[Birthweight (grams)]]/Table1[[#This Row],[BW_GA]])-1)/(Backend!$B$4/100*Table1[[#This Row],[BW40_3705]]),"")</f>
        <v/>
      </c>
      <c r="H4093" s="7" t="str">
        <f>IF(Table1[[#This Row],[Is Data Valid]]=TRUE,((Table1[[#This Row],[Birthweight (grams)]]*0.9/Table1[[#This Row],[BW_GA]])-1)/(Backend!$B$4/100*Table1[[#This Row],[BW40_3705]]),"")</f>
        <v/>
      </c>
      <c r="I4093" s="7" t="str">
        <f>IF(Table1[[#This Row],[Is Data Valid]]=TRUE,((Table1[[#This Row],[Birthweight (grams)]]*1.1/Table1[[#This Row],[BW_GA]])-1)/(Backend!$B$4/100*Table1[[#This Row],[BW40_3705]]),"")</f>
        <v/>
      </c>
      <c r="J4093" s="7" t="str">
        <f>IF(Table1[[#This Row],[Is Data Valid]]=TRUE,_xlfn.NORM.S.DIST(Table1[[#This Row],[Birthweight Z-Score]],TRUE)*100,"")</f>
        <v/>
      </c>
      <c r="K4093" s="7" t="str">
        <f>IF(Table1[[#This Row],[Is Data Valid]]=TRUE,_xlfn.NORM.S.DIST(Table1[[#This Row],[Birthweight Z-Score (BW-10%)]],TRUE)*100,"")</f>
        <v/>
      </c>
      <c r="L4093" s="7" t="str">
        <f>IF(Table1[[#This Row],[Is Data Valid]]=TRUE,_xlfn.NORM.S.DIST(Table1[[#This Row],[Birthweight Z-Score (BW+10%)]],TRUE)*100,"")</f>
        <v/>
      </c>
    </row>
    <row r="4094" spans="1:12" x14ac:dyDescent="0.35">
      <c r="A4094" s="3"/>
      <c r="B4094" s="2"/>
      <c r="C4094" s="2"/>
      <c r="D4094" s="2" t="b">
        <f>IF(AND(NOT(ISBLANK(Table1[[#This Row],[Fetal Sex (Male, Female or Unknown)]])),ISNUMBER(Table1[[#This Row],[Birthweight (grams)]]),ISNUMBER(Table1[[#This Row],[Gestation (days)]])),TRUE,FALSE)</f>
        <v>0</v>
      </c>
      <c r="E4094" s="2" t="str">
        <f>IF(Table1[[#This Row],[Is Data Valid]]=TRUE,IF(Table1[[#This Row],[Fetal Sex (Male, Female or Unknown)]]="Male",Backend!$C$6,IF(Table1[[#This Row],[Fetal Sex (Male, Female or Unknown)]]="Female",Backend!$C$7,IF(Table1[[#This Row],[Fetal Sex (Male, Female or Unknown)]]="Unknown",Backend!$C$8,"Error"))),"")</f>
        <v/>
      </c>
      <c r="F4094" s="8" t="str">
        <f>IF(Table1[[#This Row],[Is Data Valid]]=TRUE,EXP(0.578+0.332*((Table1[[#This Row],[Gestation (days)]]+0.5)/7)-0.00354*((Table1[[#This Row],[Gestation (days)]]+0.5)/7)^2)*Table1[[#This Row],[BW40_3705]],"")</f>
        <v/>
      </c>
      <c r="G4094" s="2" t="str">
        <f>IF(Table1[[#This Row],[Is Data Valid]]=TRUE,((Table1[[#This Row],[Birthweight (grams)]]/Table1[[#This Row],[BW_GA]])-1)/(Backend!$B$4/100*Table1[[#This Row],[BW40_3705]]),"")</f>
        <v/>
      </c>
      <c r="H4094" s="7" t="str">
        <f>IF(Table1[[#This Row],[Is Data Valid]]=TRUE,((Table1[[#This Row],[Birthweight (grams)]]*0.9/Table1[[#This Row],[BW_GA]])-1)/(Backend!$B$4/100*Table1[[#This Row],[BW40_3705]]),"")</f>
        <v/>
      </c>
      <c r="I4094" s="7" t="str">
        <f>IF(Table1[[#This Row],[Is Data Valid]]=TRUE,((Table1[[#This Row],[Birthweight (grams)]]*1.1/Table1[[#This Row],[BW_GA]])-1)/(Backend!$B$4/100*Table1[[#This Row],[BW40_3705]]),"")</f>
        <v/>
      </c>
      <c r="J4094" s="7" t="str">
        <f>IF(Table1[[#This Row],[Is Data Valid]]=TRUE,_xlfn.NORM.S.DIST(Table1[[#This Row],[Birthweight Z-Score]],TRUE)*100,"")</f>
        <v/>
      </c>
      <c r="K4094" s="7" t="str">
        <f>IF(Table1[[#This Row],[Is Data Valid]]=TRUE,_xlfn.NORM.S.DIST(Table1[[#This Row],[Birthweight Z-Score (BW-10%)]],TRUE)*100,"")</f>
        <v/>
      </c>
      <c r="L4094" s="7" t="str">
        <f>IF(Table1[[#This Row],[Is Data Valid]]=TRUE,_xlfn.NORM.S.DIST(Table1[[#This Row],[Birthweight Z-Score (BW+10%)]],TRUE)*100,"")</f>
        <v/>
      </c>
    </row>
    <row r="4095" spans="1:12" x14ac:dyDescent="0.35">
      <c r="A4095" s="3"/>
      <c r="B4095" s="2"/>
      <c r="C4095" s="2"/>
      <c r="D4095" s="2" t="b">
        <f>IF(AND(NOT(ISBLANK(Table1[[#This Row],[Fetal Sex (Male, Female or Unknown)]])),ISNUMBER(Table1[[#This Row],[Birthweight (grams)]]),ISNUMBER(Table1[[#This Row],[Gestation (days)]])),TRUE,FALSE)</f>
        <v>0</v>
      </c>
      <c r="E4095" s="2" t="str">
        <f>IF(Table1[[#This Row],[Is Data Valid]]=TRUE,IF(Table1[[#This Row],[Fetal Sex (Male, Female or Unknown)]]="Male",Backend!$C$6,IF(Table1[[#This Row],[Fetal Sex (Male, Female or Unknown)]]="Female",Backend!$C$7,IF(Table1[[#This Row],[Fetal Sex (Male, Female or Unknown)]]="Unknown",Backend!$C$8,"Error"))),"")</f>
        <v/>
      </c>
      <c r="F4095" s="8" t="str">
        <f>IF(Table1[[#This Row],[Is Data Valid]]=TRUE,EXP(0.578+0.332*((Table1[[#This Row],[Gestation (days)]]+0.5)/7)-0.00354*((Table1[[#This Row],[Gestation (days)]]+0.5)/7)^2)*Table1[[#This Row],[BW40_3705]],"")</f>
        <v/>
      </c>
      <c r="G4095" s="2" t="str">
        <f>IF(Table1[[#This Row],[Is Data Valid]]=TRUE,((Table1[[#This Row],[Birthweight (grams)]]/Table1[[#This Row],[BW_GA]])-1)/(Backend!$B$4/100*Table1[[#This Row],[BW40_3705]]),"")</f>
        <v/>
      </c>
      <c r="H4095" s="7" t="str">
        <f>IF(Table1[[#This Row],[Is Data Valid]]=TRUE,((Table1[[#This Row],[Birthweight (grams)]]*0.9/Table1[[#This Row],[BW_GA]])-1)/(Backend!$B$4/100*Table1[[#This Row],[BW40_3705]]),"")</f>
        <v/>
      </c>
      <c r="I4095" s="7" t="str">
        <f>IF(Table1[[#This Row],[Is Data Valid]]=TRUE,((Table1[[#This Row],[Birthweight (grams)]]*1.1/Table1[[#This Row],[BW_GA]])-1)/(Backend!$B$4/100*Table1[[#This Row],[BW40_3705]]),"")</f>
        <v/>
      </c>
      <c r="J4095" s="7" t="str">
        <f>IF(Table1[[#This Row],[Is Data Valid]]=TRUE,_xlfn.NORM.S.DIST(Table1[[#This Row],[Birthweight Z-Score]],TRUE)*100,"")</f>
        <v/>
      </c>
      <c r="K4095" s="7" t="str">
        <f>IF(Table1[[#This Row],[Is Data Valid]]=TRUE,_xlfn.NORM.S.DIST(Table1[[#This Row],[Birthweight Z-Score (BW-10%)]],TRUE)*100,"")</f>
        <v/>
      </c>
      <c r="L4095" s="7" t="str">
        <f>IF(Table1[[#This Row],[Is Data Valid]]=TRUE,_xlfn.NORM.S.DIST(Table1[[#This Row],[Birthweight Z-Score (BW+10%)]],TRUE)*100,"")</f>
        <v/>
      </c>
    </row>
    <row r="4096" spans="1:12" x14ac:dyDescent="0.35">
      <c r="A4096" s="3"/>
      <c r="B4096" s="2"/>
      <c r="C4096" s="2"/>
      <c r="D4096" s="2" t="b">
        <f>IF(AND(NOT(ISBLANK(Table1[[#This Row],[Fetal Sex (Male, Female or Unknown)]])),ISNUMBER(Table1[[#This Row],[Birthweight (grams)]]),ISNUMBER(Table1[[#This Row],[Gestation (days)]])),TRUE,FALSE)</f>
        <v>0</v>
      </c>
      <c r="E4096" s="2" t="str">
        <f>IF(Table1[[#This Row],[Is Data Valid]]=TRUE,IF(Table1[[#This Row],[Fetal Sex (Male, Female or Unknown)]]="Male",Backend!$C$6,IF(Table1[[#This Row],[Fetal Sex (Male, Female or Unknown)]]="Female",Backend!$C$7,IF(Table1[[#This Row],[Fetal Sex (Male, Female or Unknown)]]="Unknown",Backend!$C$8,"Error"))),"")</f>
        <v/>
      </c>
      <c r="F4096" s="8" t="str">
        <f>IF(Table1[[#This Row],[Is Data Valid]]=TRUE,EXP(0.578+0.332*((Table1[[#This Row],[Gestation (days)]]+0.5)/7)-0.00354*((Table1[[#This Row],[Gestation (days)]]+0.5)/7)^2)*Table1[[#This Row],[BW40_3705]],"")</f>
        <v/>
      </c>
      <c r="G4096" s="2" t="str">
        <f>IF(Table1[[#This Row],[Is Data Valid]]=TRUE,((Table1[[#This Row],[Birthweight (grams)]]/Table1[[#This Row],[BW_GA]])-1)/(Backend!$B$4/100*Table1[[#This Row],[BW40_3705]]),"")</f>
        <v/>
      </c>
      <c r="H4096" s="7" t="str">
        <f>IF(Table1[[#This Row],[Is Data Valid]]=TRUE,((Table1[[#This Row],[Birthweight (grams)]]*0.9/Table1[[#This Row],[BW_GA]])-1)/(Backend!$B$4/100*Table1[[#This Row],[BW40_3705]]),"")</f>
        <v/>
      </c>
      <c r="I4096" s="7" t="str">
        <f>IF(Table1[[#This Row],[Is Data Valid]]=TRUE,((Table1[[#This Row],[Birthweight (grams)]]*1.1/Table1[[#This Row],[BW_GA]])-1)/(Backend!$B$4/100*Table1[[#This Row],[BW40_3705]]),"")</f>
        <v/>
      </c>
      <c r="J4096" s="7" t="str">
        <f>IF(Table1[[#This Row],[Is Data Valid]]=TRUE,_xlfn.NORM.S.DIST(Table1[[#This Row],[Birthweight Z-Score]],TRUE)*100,"")</f>
        <v/>
      </c>
      <c r="K4096" s="7" t="str">
        <f>IF(Table1[[#This Row],[Is Data Valid]]=TRUE,_xlfn.NORM.S.DIST(Table1[[#This Row],[Birthweight Z-Score (BW-10%)]],TRUE)*100,"")</f>
        <v/>
      </c>
      <c r="L4096" s="7" t="str">
        <f>IF(Table1[[#This Row],[Is Data Valid]]=TRUE,_xlfn.NORM.S.DIST(Table1[[#This Row],[Birthweight Z-Score (BW+10%)]],TRUE)*100,"")</f>
        <v/>
      </c>
    </row>
    <row r="4097" spans="1:12" x14ac:dyDescent="0.35">
      <c r="A4097" s="3"/>
      <c r="B4097" s="2"/>
      <c r="C4097" s="2"/>
      <c r="D4097" s="2" t="b">
        <f>IF(AND(NOT(ISBLANK(Table1[[#This Row],[Fetal Sex (Male, Female or Unknown)]])),ISNUMBER(Table1[[#This Row],[Birthweight (grams)]]),ISNUMBER(Table1[[#This Row],[Gestation (days)]])),TRUE,FALSE)</f>
        <v>0</v>
      </c>
      <c r="E4097" s="2" t="str">
        <f>IF(Table1[[#This Row],[Is Data Valid]]=TRUE,IF(Table1[[#This Row],[Fetal Sex (Male, Female or Unknown)]]="Male",Backend!$C$6,IF(Table1[[#This Row],[Fetal Sex (Male, Female or Unknown)]]="Female",Backend!$C$7,IF(Table1[[#This Row],[Fetal Sex (Male, Female or Unknown)]]="Unknown",Backend!$C$8,"Error"))),"")</f>
        <v/>
      </c>
      <c r="F4097" s="8" t="str">
        <f>IF(Table1[[#This Row],[Is Data Valid]]=TRUE,EXP(0.578+0.332*((Table1[[#This Row],[Gestation (days)]]+0.5)/7)-0.00354*((Table1[[#This Row],[Gestation (days)]]+0.5)/7)^2)*Table1[[#This Row],[BW40_3705]],"")</f>
        <v/>
      </c>
      <c r="G4097" s="2" t="str">
        <f>IF(Table1[[#This Row],[Is Data Valid]]=TRUE,((Table1[[#This Row],[Birthweight (grams)]]/Table1[[#This Row],[BW_GA]])-1)/(Backend!$B$4/100*Table1[[#This Row],[BW40_3705]]),"")</f>
        <v/>
      </c>
      <c r="H4097" s="7" t="str">
        <f>IF(Table1[[#This Row],[Is Data Valid]]=TRUE,((Table1[[#This Row],[Birthweight (grams)]]*0.9/Table1[[#This Row],[BW_GA]])-1)/(Backend!$B$4/100*Table1[[#This Row],[BW40_3705]]),"")</f>
        <v/>
      </c>
      <c r="I4097" s="7" t="str">
        <f>IF(Table1[[#This Row],[Is Data Valid]]=TRUE,((Table1[[#This Row],[Birthweight (grams)]]*1.1/Table1[[#This Row],[BW_GA]])-1)/(Backend!$B$4/100*Table1[[#This Row],[BW40_3705]]),"")</f>
        <v/>
      </c>
      <c r="J4097" s="7" t="str">
        <f>IF(Table1[[#This Row],[Is Data Valid]]=TRUE,_xlfn.NORM.S.DIST(Table1[[#This Row],[Birthweight Z-Score]],TRUE)*100,"")</f>
        <v/>
      </c>
      <c r="K4097" s="7" t="str">
        <f>IF(Table1[[#This Row],[Is Data Valid]]=TRUE,_xlfn.NORM.S.DIST(Table1[[#This Row],[Birthweight Z-Score (BW-10%)]],TRUE)*100,"")</f>
        <v/>
      </c>
      <c r="L4097" s="7" t="str">
        <f>IF(Table1[[#This Row],[Is Data Valid]]=TRUE,_xlfn.NORM.S.DIST(Table1[[#This Row],[Birthweight Z-Score (BW+10%)]],TRUE)*100,"")</f>
        <v/>
      </c>
    </row>
    <row r="4098" spans="1:12" x14ac:dyDescent="0.35">
      <c r="A4098" s="3"/>
      <c r="B4098" s="2"/>
      <c r="C4098" s="2"/>
      <c r="D4098" s="2" t="b">
        <f>IF(AND(NOT(ISBLANK(Table1[[#This Row],[Fetal Sex (Male, Female or Unknown)]])),ISNUMBER(Table1[[#This Row],[Birthweight (grams)]]),ISNUMBER(Table1[[#This Row],[Gestation (days)]])),TRUE,FALSE)</f>
        <v>0</v>
      </c>
      <c r="E4098" s="2" t="str">
        <f>IF(Table1[[#This Row],[Is Data Valid]]=TRUE,IF(Table1[[#This Row],[Fetal Sex (Male, Female or Unknown)]]="Male",Backend!$C$6,IF(Table1[[#This Row],[Fetal Sex (Male, Female or Unknown)]]="Female",Backend!$C$7,IF(Table1[[#This Row],[Fetal Sex (Male, Female or Unknown)]]="Unknown",Backend!$C$8,"Error"))),"")</f>
        <v/>
      </c>
      <c r="F4098" s="8" t="str">
        <f>IF(Table1[[#This Row],[Is Data Valid]]=TRUE,EXP(0.578+0.332*((Table1[[#This Row],[Gestation (days)]]+0.5)/7)-0.00354*((Table1[[#This Row],[Gestation (days)]]+0.5)/7)^2)*Table1[[#This Row],[BW40_3705]],"")</f>
        <v/>
      </c>
      <c r="G4098" s="2" t="str">
        <f>IF(Table1[[#This Row],[Is Data Valid]]=TRUE,((Table1[[#This Row],[Birthweight (grams)]]/Table1[[#This Row],[BW_GA]])-1)/(Backend!$B$4/100*Table1[[#This Row],[BW40_3705]]),"")</f>
        <v/>
      </c>
      <c r="H4098" s="7" t="str">
        <f>IF(Table1[[#This Row],[Is Data Valid]]=TRUE,((Table1[[#This Row],[Birthweight (grams)]]*0.9/Table1[[#This Row],[BW_GA]])-1)/(Backend!$B$4/100*Table1[[#This Row],[BW40_3705]]),"")</f>
        <v/>
      </c>
      <c r="I4098" s="7" t="str">
        <f>IF(Table1[[#This Row],[Is Data Valid]]=TRUE,((Table1[[#This Row],[Birthweight (grams)]]*1.1/Table1[[#This Row],[BW_GA]])-1)/(Backend!$B$4/100*Table1[[#This Row],[BW40_3705]]),"")</f>
        <v/>
      </c>
      <c r="J4098" s="7" t="str">
        <f>IF(Table1[[#This Row],[Is Data Valid]]=TRUE,_xlfn.NORM.S.DIST(Table1[[#This Row],[Birthweight Z-Score]],TRUE)*100,"")</f>
        <v/>
      </c>
      <c r="K4098" s="7" t="str">
        <f>IF(Table1[[#This Row],[Is Data Valid]]=TRUE,_xlfn.NORM.S.DIST(Table1[[#This Row],[Birthweight Z-Score (BW-10%)]],TRUE)*100,"")</f>
        <v/>
      </c>
      <c r="L4098" s="7" t="str">
        <f>IF(Table1[[#This Row],[Is Data Valid]]=TRUE,_xlfn.NORM.S.DIST(Table1[[#This Row],[Birthweight Z-Score (BW+10%)]],TRUE)*100,"")</f>
        <v/>
      </c>
    </row>
    <row r="4099" spans="1:12" x14ac:dyDescent="0.35">
      <c r="A4099" s="3"/>
      <c r="B4099" s="2"/>
      <c r="C4099" s="2"/>
      <c r="D4099" s="2" t="b">
        <f>IF(AND(NOT(ISBLANK(Table1[[#This Row],[Fetal Sex (Male, Female or Unknown)]])),ISNUMBER(Table1[[#This Row],[Birthweight (grams)]]),ISNUMBER(Table1[[#This Row],[Gestation (days)]])),TRUE,FALSE)</f>
        <v>0</v>
      </c>
      <c r="E4099" s="2" t="str">
        <f>IF(Table1[[#This Row],[Is Data Valid]]=TRUE,IF(Table1[[#This Row],[Fetal Sex (Male, Female or Unknown)]]="Male",Backend!$C$6,IF(Table1[[#This Row],[Fetal Sex (Male, Female or Unknown)]]="Female",Backend!$C$7,IF(Table1[[#This Row],[Fetal Sex (Male, Female or Unknown)]]="Unknown",Backend!$C$8,"Error"))),"")</f>
        <v/>
      </c>
      <c r="F4099" s="8" t="str">
        <f>IF(Table1[[#This Row],[Is Data Valid]]=TRUE,EXP(0.578+0.332*((Table1[[#This Row],[Gestation (days)]]+0.5)/7)-0.00354*((Table1[[#This Row],[Gestation (days)]]+0.5)/7)^2)*Table1[[#This Row],[BW40_3705]],"")</f>
        <v/>
      </c>
      <c r="G4099" s="2" t="str">
        <f>IF(Table1[[#This Row],[Is Data Valid]]=TRUE,((Table1[[#This Row],[Birthweight (grams)]]/Table1[[#This Row],[BW_GA]])-1)/(Backend!$B$4/100*Table1[[#This Row],[BW40_3705]]),"")</f>
        <v/>
      </c>
      <c r="H4099" s="7" t="str">
        <f>IF(Table1[[#This Row],[Is Data Valid]]=TRUE,((Table1[[#This Row],[Birthweight (grams)]]*0.9/Table1[[#This Row],[BW_GA]])-1)/(Backend!$B$4/100*Table1[[#This Row],[BW40_3705]]),"")</f>
        <v/>
      </c>
      <c r="I4099" s="7" t="str">
        <f>IF(Table1[[#This Row],[Is Data Valid]]=TRUE,((Table1[[#This Row],[Birthweight (grams)]]*1.1/Table1[[#This Row],[BW_GA]])-1)/(Backend!$B$4/100*Table1[[#This Row],[BW40_3705]]),"")</f>
        <v/>
      </c>
      <c r="J4099" s="7" t="str">
        <f>IF(Table1[[#This Row],[Is Data Valid]]=TRUE,_xlfn.NORM.S.DIST(Table1[[#This Row],[Birthweight Z-Score]],TRUE)*100,"")</f>
        <v/>
      </c>
      <c r="K4099" s="7" t="str">
        <f>IF(Table1[[#This Row],[Is Data Valid]]=TRUE,_xlfn.NORM.S.DIST(Table1[[#This Row],[Birthweight Z-Score (BW-10%)]],TRUE)*100,"")</f>
        <v/>
      </c>
      <c r="L4099" s="7" t="str">
        <f>IF(Table1[[#This Row],[Is Data Valid]]=TRUE,_xlfn.NORM.S.DIST(Table1[[#This Row],[Birthweight Z-Score (BW+10%)]],TRUE)*100,"")</f>
        <v/>
      </c>
    </row>
    <row r="4100" spans="1:12" x14ac:dyDescent="0.35">
      <c r="A4100" s="3"/>
      <c r="B4100" s="2"/>
      <c r="C4100" s="2"/>
      <c r="D4100" s="2" t="b">
        <f>IF(AND(NOT(ISBLANK(Table1[[#This Row],[Fetal Sex (Male, Female or Unknown)]])),ISNUMBER(Table1[[#This Row],[Birthweight (grams)]]),ISNUMBER(Table1[[#This Row],[Gestation (days)]])),TRUE,FALSE)</f>
        <v>0</v>
      </c>
      <c r="E4100" s="2" t="str">
        <f>IF(Table1[[#This Row],[Is Data Valid]]=TRUE,IF(Table1[[#This Row],[Fetal Sex (Male, Female or Unknown)]]="Male",Backend!$C$6,IF(Table1[[#This Row],[Fetal Sex (Male, Female or Unknown)]]="Female",Backend!$C$7,IF(Table1[[#This Row],[Fetal Sex (Male, Female or Unknown)]]="Unknown",Backend!$C$8,"Error"))),"")</f>
        <v/>
      </c>
      <c r="F4100" s="8" t="str">
        <f>IF(Table1[[#This Row],[Is Data Valid]]=TRUE,EXP(0.578+0.332*((Table1[[#This Row],[Gestation (days)]]+0.5)/7)-0.00354*((Table1[[#This Row],[Gestation (days)]]+0.5)/7)^2)*Table1[[#This Row],[BW40_3705]],"")</f>
        <v/>
      </c>
      <c r="G4100" s="2" t="str">
        <f>IF(Table1[[#This Row],[Is Data Valid]]=TRUE,((Table1[[#This Row],[Birthweight (grams)]]/Table1[[#This Row],[BW_GA]])-1)/(Backend!$B$4/100*Table1[[#This Row],[BW40_3705]]),"")</f>
        <v/>
      </c>
      <c r="H4100" s="7" t="str">
        <f>IF(Table1[[#This Row],[Is Data Valid]]=TRUE,((Table1[[#This Row],[Birthweight (grams)]]*0.9/Table1[[#This Row],[BW_GA]])-1)/(Backend!$B$4/100*Table1[[#This Row],[BW40_3705]]),"")</f>
        <v/>
      </c>
      <c r="I4100" s="7" t="str">
        <f>IF(Table1[[#This Row],[Is Data Valid]]=TRUE,((Table1[[#This Row],[Birthweight (grams)]]*1.1/Table1[[#This Row],[BW_GA]])-1)/(Backend!$B$4/100*Table1[[#This Row],[BW40_3705]]),"")</f>
        <v/>
      </c>
      <c r="J4100" s="7" t="str">
        <f>IF(Table1[[#This Row],[Is Data Valid]]=TRUE,_xlfn.NORM.S.DIST(Table1[[#This Row],[Birthweight Z-Score]],TRUE)*100,"")</f>
        <v/>
      </c>
      <c r="K4100" s="7" t="str">
        <f>IF(Table1[[#This Row],[Is Data Valid]]=TRUE,_xlfn.NORM.S.DIST(Table1[[#This Row],[Birthweight Z-Score (BW-10%)]],TRUE)*100,"")</f>
        <v/>
      </c>
      <c r="L4100" s="7" t="str">
        <f>IF(Table1[[#This Row],[Is Data Valid]]=TRUE,_xlfn.NORM.S.DIST(Table1[[#This Row],[Birthweight Z-Score (BW+10%)]],TRUE)*100,"")</f>
        <v/>
      </c>
    </row>
    <row r="4101" spans="1:12" x14ac:dyDescent="0.35">
      <c r="A4101" s="3"/>
      <c r="B4101" s="2"/>
      <c r="C4101" s="2"/>
      <c r="D4101" s="2" t="b">
        <f>IF(AND(NOT(ISBLANK(Table1[[#This Row],[Fetal Sex (Male, Female or Unknown)]])),ISNUMBER(Table1[[#This Row],[Birthweight (grams)]]),ISNUMBER(Table1[[#This Row],[Gestation (days)]])),TRUE,FALSE)</f>
        <v>0</v>
      </c>
      <c r="E4101" s="2" t="str">
        <f>IF(Table1[[#This Row],[Is Data Valid]]=TRUE,IF(Table1[[#This Row],[Fetal Sex (Male, Female or Unknown)]]="Male",Backend!$C$6,IF(Table1[[#This Row],[Fetal Sex (Male, Female or Unknown)]]="Female",Backend!$C$7,IF(Table1[[#This Row],[Fetal Sex (Male, Female or Unknown)]]="Unknown",Backend!$C$8,"Error"))),"")</f>
        <v/>
      </c>
      <c r="F4101" s="8" t="str">
        <f>IF(Table1[[#This Row],[Is Data Valid]]=TRUE,EXP(0.578+0.332*((Table1[[#This Row],[Gestation (days)]]+0.5)/7)-0.00354*((Table1[[#This Row],[Gestation (days)]]+0.5)/7)^2)*Table1[[#This Row],[BW40_3705]],"")</f>
        <v/>
      </c>
      <c r="G4101" s="2" t="str">
        <f>IF(Table1[[#This Row],[Is Data Valid]]=TRUE,((Table1[[#This Row],[Birthweight (grams)]]/Table1[[#This Row],[BW_GA]])-1)/(Backend!$B$4/100*Table1[[#This Row],[BW40_3705]]),"")</f>
        <v/>
      </c>
      <c r="H4101" s="7" t="str">
        <f>IF(Table1[[#This Row],[Is Data Valid]]=TRUE,((Table1[[#This Row],[Birthweight (grams)]]*0.9/Table1[[#This Row],[BW_GA]])-1)/(Backend!$B$4/100*Table1[[#This Row],[BW40_3705]]),"")</f>
        <v/>
      </c>
      <c r="I4101" s="7" t="str">
        <f>IF(Table1[[#This Row],[Is Data Valid]]=TRUE,((Table1[[#This Row],[Birthweight (grams)]]*1.1/Table1[[#This Row],[BW_GA]])-1)/(Backend!$B$4/100*Table1[[#This Row],[BW40_3705]]),"")</f>
        <v/>
      </c>
      <c r="J4101" s="7" t="str">
        <f>IF(Table1[[#This Row],[Is Data Valid]]=TRUE,_xlfn.NORM.S.DIST(Table1[[#This Row],[Birthweight Z-Score]],TRUE)*100,"")</f>
        <v/>
      </c>
      <c r="K4101" s="7" t="str">
        <f>IF(Table1[[#This Row],[Is Data Valid]]=TRUE,_xlfn.NORM.S.DIST(Table1[[#This Row],[Birthweight Z-Score (BW-10%)]],TRUE)*100,"")</f>
        <v/>
      </c>
      <c r="L4101" s="7" t="str">
        <f>IF(Table1[[#This Row],[Is Data Valid]]=TRUE,_xlfn.NORM.S.DIST(Table1[[#This Row],[Birthweight Z-Score (BW+10%)]],TRUE)*100,"")</f>
        <v/>
      </c>
    </row>
    <row r="4102" spans="1:12" x14ac:dyDescent="0.35">
      <c r="A4102" s="3"/>
      <c r="B4102" s="2"/>
      <c r="C4102" s="2"/>
      <c r="D4102" s="2" t="b">
        <f>IF(AND(NOT(ISBLANK(Table1[[#This Row],[Fetal Sex (Male, Female or Unknown)]])),ISNUMBER(Table1[[#This Row],[Birthweight (grams)]]),ISNUMBER(Table1[[#This Row],[Gestation (days)]])),TRUE,FALSE)</f>
        <v>0</v>
      </c>
      <c r="E4102" s="2" t="str">
        <f>IF(Table1[[#This Row],[Is Data Valid]]=TRUE,IF(Table1[[#This Row],[Fetal Sex (Male, Female or Unknown)]]="Male",Backend!$C$6,IF(Table1[[#This Row],[Fetal Sex (Male, Female or Unknown)]]="Female",Backend!$C$7,IF(Table1[[#This Row],[Fetal Sex (Male, Female or Unknown)]]="Unknown",Backend!$C$8,"Error"))),"")</f>
        <v/>
      </c>
      <c r="F4102" s="8" t="str">
        <f>IF(Table1[[#This Row],[Is Data Valid]]=TRUE,EXP(0.578+0.332*((Table1[[#This Row],[Gestation (days)]]+0.5)/7)-0.00354*((Table1[[#This Row],[Gestation (days)]]+0.5)/7)^2)*Table1[[#This Row],[BW40_3705]],"")</f>
        <v/>
      </c>
      <c r="G4102" s="2" t="str">
        <f>IF(Table1[[#This Row],[Is Data Valid]]=TRUE,((Table1[[#This Row],[Birthweight (grams)]]/Table1[[#This Row],[BW_GA]])-1)/(Backend!$B$4/100*Table1[[#This Row],[BW40_3705]]),"")</f>
        <v/>
      </c>
      <c r="H4102" s="7" t="str">
        <f>IF(Table1[[#This Row],[Is Data Valid]]=TRUE,((Table1[[#This Row],[Birthweight (grams)]]*0.9/Table1[[#This Row],[BW_GA]])-1)/(Backend!$B$4/100*Table1[[#This Row],[BW40_3705]]),"")</f>
        <v/>
      </c>
      <c r="I4102" s="7" t="str">
        <f>IF(Table1[[#This Row],[Is Data Valid]]=TRUE,((Table1[[#This Row],[Birthweight (grams)]]*1.1/Table1[[#This Row],[BW_GA]])-1)/(Backend!$B$4/100*Table1[[#This Row],[BW40_3705]]),"")</f>
        <v/>
      </c>
      <c r="J4102" s="7" t="str">
        <f>IF(Table1[[#This Row],[Is Data Valid]]=TRUE,_xlfn.NORM.S.DIST(Table1[[#This Row],[Birthweight Z-Score]],TRUE)*100,"")</f>
        <v/>
      </c>
      <c r="K4102" s="7" t="str">
        <f>IF(Table1[[#This Row],[Is Data Valid]]=TRUE,_xlfn.NORM.S.DIST(Table1[[#This Row],[Birthweight Z-Score (BW-10%)]],TRUE)*100,"")</f>
        <v/>
      </c>
      <c r="L4102" s="7" t="str">
        <f>IF(Table1[[#This Row],[Is Data Valid]]=TRUE,_xlfn.NORM.S.DIST(Table1[[#This Row],[Birthweight Z-Score (BW+10%)]],TRUE)*100,"")</f>
        <v/>
      </c>
    </row>
    <row r="4103" spans="1:12" x14ac:dyDescent="0.35">
      <c r="A4103" s="3"/>
      <c r="B4103" s="2"/>
      <c r="C4103" s="2"/>
      <c r="D4103" s="2" t="b">
        <f>IF(AND(NOT(ISBLANK(Table1[[#This Row],[Fetal Sex (Male, Female or Unknown)]])),ISNUMBER(Table1[[#This Row],[Birthweight (grams)]]),ISNUMBER(Table1[[#This Row],[Gestation (days)]])),TRUE,FALSE)</f>
        <v>0</v>
      </c>
      <c r="E4103" s="2" t="str">
        <f>IF(Table1[[#This Row],[Is Data Valid]]=TRUE,IF(Table1[[#This Row],[Fetal Sex (Male, Female or Unknown)]]="Male",Backend!$C$6,IF(Table1[[#This Row],[Fetal Sex (Male, Female or Unknown)]]="Female",Backend!$C$7,IF(Table1[[#This Row],[Fetal Sex (Male, Female or Unknown)]]="Unknown",Backend!$C$8,"Error"))),"")</f>
        <v/>
      </c>
      <c r="F4103" s="8" t="str">
        <f>IF(Table1[[#This Row],[Is Data Valid]]=TRUE,EXP(0.578+0.332*((Table1[[#This Row],[Gestation (days)]]+0.5)/7)-0.00354*((Table1[[#This Row],[Gestation (days)]]+0.5)/7)^2)*Table1[[#This Row],[BW40_3705]],"")</f>
        <v/>
      </c>
      <c r="G4103" s="2" t="str">
        <f>IF(Table1[[#This Row],[Is Data Valid]]=TRUE,((Table1[[#This Row],[Birthweight (grams)]]/Table1[[#This Row],[BW_GA]])-1)/(Backend!$B$4/100*Table1[[#This Row],[BW40_3705]]),"")</f>
        <v/>
      </c>
      <c r="H4103" s="7" t="str">
        <f>IF(Table1[[#This Row],[Is Data Valid]]=TRUE,((Table1[[#This Row],[Birthweight (grams)]]*0.9/Table1[[#This Row],[BW_GA]])-1)/(Backend!$B$4/100*Table1[[#This Row],[BW40_3705]]),"")</f>
        <v/>
      </c>
      <c r="I4103" s="7" t="str">
        <f>IF(Table1[[#This Row],[Is Data Valid]]=TRUE,((Table1[[#This Row],[Birthweight (grams)]]*1.1/Table1[[#This Row],[BW_GA]])-1)/(Backend!$B$4/100*Table1[[#This Row],[BW40_3705]]),"")</f>
        <v/>
      </c>
      <c r="J4103" s="7" t="str">
        <f>IF(Table1[[#This Row],[Is Data Valid]]=TRUE,_xlfn.NORM.S.DIST(Table1[[#This Row],[Birthweight Z-Score]],TRUE)*100,"")</f>
        <v/>
      </c>
      <c r="K4103" s="7" t="str">
        <f>IF(Table1[[#This Row],[Is Data Valid]]=TRUE,_xlfn.NORM.S.DIST(Table1[[#This Row],[Birthweight Z-Score (BW-10%)]],TRUE)*100,"")</f>
        <v/>
      </c>
      <c r="L4103" s="7" t="str">
        <f>IF(Table1[[#This Row],[Is Data Valid]]=TRUE,_xlfn.NORM.S.DIST(Table1[[#This Row],[Birthweight Z-Score (BW+10%)]],TRUE)*100,"")</f>
        <v/>
      </c>
    </row>
    <row r="4104" spans="1:12" x14ac:dyDescent="0.35">
      <c r="A4104" s="3"/>
      <c r="B4104" s="2"/>
      <c r="C4104" s="2"/>
      <c r="D4104" s="2" t="b">
        <f>IF(AND(NOT(ISBLANK(Table1[[#This Row],[Fetal Sex (Male, Female or Unknown)]])),ISNUMBER(Table1[[#This Row],[Birthweight (grams)]]),ISNUMBER(Table1[[#This Row],[Gestation (days)]])),TRUE,FALSE)</f>
        <v>0</v>
      </c>
      <c r="E4104" s="2" t="str">
        <f>IF(Table1[[#This Row],[Is Data Valid]]=TRUE,IF(Table1[[#This Row],[Fetal Sex (Male, Female or Unknown)]]="Male",Backend!$C$6,IF(Table1[[#This Row],[Fetal Sex (Male, Female or Unknown)]]="Female",Backend!$C$7,IF(Table1[[#This Row],[Fetal Sex (Male, Female or Unknown)]]="Unknown",Backend!$C$8,"Error"))),"")</f>
        <v/>
      </c>
      <c r="F4104" s="8" t="str">
        <f>IF(Table1[[#This Row],[Is Data Valid]]=TRUE,EXP(0.578+0.332*((Table1[[#This Row],[Gestation (days)]]+0.5)/7)-0.00354*((Table1[[#This Row],[Gestation (days)]]+0.5)/7)^2)*Table1[[#This Row],[BW40_3705]],"")</f>
        <v/>
      </c>
      <c r="G4104" s="2" t="str">
        <f>IF(Table1[[#This Row],[Is Data Valid]]=TRUE,((Table1[[#This Row],[Birthweight (grams)]]/Table1[[#This Row],[BW_GA]])-1)/(Backend!$B$4/100*Table1[[#This Row],[BW40_3705]]),"")</f>
        <v/>
      </c>
      <c r="H4104" s="7" t="str">
        <f>IF(Table1[[#This Row],[Is Data Valid]]=TRUE,((Table1[[#This Row],[Birthweight (grams)]]*0.9/Table1[[#This Row],[BW_GA]])-1)/(Backend!$B$4/100*Table1[[#This Row],[BW40_3705]]),"")</f>
        <v/>
      </c>
      <c r="I4104" s="7" t="str">
        <f>IF(Table1[[#This Row],[Is Data Valid]]=TRUE,((Table1[[#This Row],[Birthweight (grams)]]*1.1/Table1[[#This Row],[BW_GA]])-1)/(Backend!$B$4/100*Table1[[#This Row],[BW40_3705]]),"")</f>
        <v/>
      </c>
      <c r="J4104" s="7" t="str">
        <f>IF(Table1[[#This Row],[Is Data Valid]]=TRUE,_xlfn.NORM.S.DIST(Table1[[#This Row],[Birthweight Z-Score]],TRUE)*100,"")</f>
        <v/>
      </c>
      <c r="K4104" s="7" t="str">
        <f>IF(Table1[[#This Row],[Is Data Valid]]=TRUE,_xlfn.NORM.S.DIST(Table1[[#This Row],[Birthweight Z-Score (BW-10%)]],TRUE)*100,"")</f>
        <v/>
      </c>
      <c r="L4104" s="7" t="str">
        <f>IF(Table1[[#This Row],[Is Data Valid]]=TRUE,_xlfn.NORM.S.DIST(Table1[[#This Row],[Birthweight Z-Score (BW+10%)]],TRUE)*100,"")</f>
        <v/>
      </c>
    </row>
    <row r="4105" spans="1:12" x14ac:dyDescent="0.35">
      <c r="A4105" s="3"/>
      <c r="B4105" s="2"/>
      <c r="C4105" s="2"/>
      <c r="D4105" s="2" t="b">
        <f>IF(AND(NOT(ISBLANK(Table1[[#This Row],[Fetal Sex (Male, Female or Unknown)]])),ISNUMBER(Table1[[#This Row],[Birthweight (grams)]]),ISNUMBER(Table1[[#This Row],[Gestation (days)]])),TRUE,FALSE)</f>
        <v>0</v>
      </c>
      <c r="E4105" s="2" t="str">
        <f>IF(Table1[[#This Row],[Is Data Valid]]=TRUE,IF(Table1[[#This Row],[Fetal Sex (Male, Female or Unknown)]]="Male",Backend!$C$6,IF(Table1[[#This Row],[Fetal Sex (Male, Female or Unknown)]]="Female",Backend!$C$7,IF(Table1[[#This Row],[Fetal Sex (Male, Female or Unknown)]]="Unknown",Backend!$C$8,"Error"))),"")</f>
        <v/>
      </c>
      <c r="F4105" s="8" t="str">
        <f>IF(Table1[[#This Row],[Is Data Valid]]=TRUE,EXP(0.578+0.332*((Table1[[#This Row],[Gestation (days)]]+0.5)/7)-0.00354*((Table1[[#This Row],[Gestation (days)]]+0.5)/7)^2)*Table1[[#This Row],[BW40_3705]],"")</f>
        <v/>
      </c>
      <c r="G4105" s="2" t="str">
        <f>IF(Table1[[#This Row],[Is Data Valid]]=TRUE,((Table1[[#This Row],[Birthweight (grams)]]/Table1[[#This Row],[BW_GA]])-1)/(Backend!$B$4/100*Table1[[#This Row],[BW40_3705]]),"")</f>
        <v/>
      </c>
      <c r="H4105" s="7" t="str">
        <f>IF(Table1[[#This Row],[Is Data Valid]]=TRUE,((Table1[[#This Row],[Birthweight (grams)]]*0.9/Table1[[#This Row],[BW_GA]])-1)/(Backend!$B$4/100*Table1[[#This Row],[BW40_3705]]),"")</f>
        <v/>
      </c>
      <c r="I4105" s="7" t="str">
        <f>IF(Table1[[#This Row],[Is Data Valid]]=TRUE,((Table1[[#This Row],[Birthweight (grams)]]*1.1/Table1[[#This Row],[BW_GA]])-1)/(Backend!$B$4/100*Table1[[#This Row],[BW40_3705]]),"")</f>
        <v/>
      </c>
      <c r="J4105" s="7" t="str">
        <f>IF(Table1[[#This Row],[Is Data Valid]]=TRUE,_xlfn.NORM.S.DIST(Table1[[#This Row],[Birthweight Z-Score]],TRUE)*100,"")</f>
        <v/>
      </c>
      <c r="K4105" s="7" t="str">
        <f>IF(Table1[[#This Row],[Is Data Valid]]=TRUE,_xlfn.NORM.S.DIST(Table1[[#This Row],[Birthweight Z-Score (BW-10%)]],TRUE)*100,"")</f>
        <v/>
      </c>
      <c r="L4105" s="7" t="str">
        <f>IF(Table1[[#This Row],[Is Data Valid]]=TRUE,_xlfn.NORM.S.DIST(Table1[[#This Row],[Birthweight Z-Score (BW+10%)]],TRUE)*100,"")</f>
        <v/>
      </c>
    </row>
    <row r="4106" spans="1:12" x14ac:dyDescent="0.35">
      <c r="A4106" s="3"/>
      <c r="B4106" s="2"/>
      <c r="C4106" s="2"/>
      <c r="D4106" s="2" t="b">
        <f>IF(AND(NOT(ISBLANK(Table1[[#This Row],[Fetal Sex (Male, Female or Unknown)]])),ISNUMBER(Table1[[#This Row],[Birthweight (grams)]]),ISNUMBER(Table1[[#This Row],[Gestation (days)]])),TRUE,FALSE)</f>
        <v>0</v>
      </c>
      <c r="E4106" s="2" t="str">
        <f>IF(Table1[[#This Row],[Is Data Valid]]=TRUE,IF(Table1[[#This Row],[Fetal Sex (Male, Female or Unknown)]]="Male",Backend!$C$6,IF(Table1[[#This Row],[Fetal Sex (Male, Female or Unknown)]]="Female",Backend!$C$7,IF(Table1[[#This Row],[Fetal Sex (Male, Female or Unknown)]]="Unknown",Backend!$C$8,"Error"))),"")</f>
        <v/>
      </c>
      <c r="F4106" s="8" t="str">
        <f>IF(Table1[[#This Row],[Is Data Valid]]=TRUE,EXP(0.578+0.332*((Table1[[#This Row],[Gestation (days)]]+0.5)/7)-0.00354*((Table1[[#This Row],[Gestation (days)]]+0.5)/7)^2)*Table1[[#This Row],[BW40_3705]],"")</f>
        <v/>
      </c>
      <c r="G4106" s="2" t="str">
        <f>IF(Table1[[#This Row],[Is Data Valid]]=TRUE,((Table1[[#This Row],[Birthweight (grams)]]/Table1[[#This Row],[BW_GA]])-1)/(Backend!$B$4/100*Table1[[#This Row],[BW40_3705]]),"")</f>
        <v/>
      </c>
      <c r="H4106" s="7" t="str">
        <f>IF(Table1[[#This Row],[Is Data Valid]]=TRUE,((Table1[[#This Row],[Birthweight (grams)]]*0.9/Table1[[#This Row],[BW_GA]])-1)/(Backend!$B$4/100*Table1[[#This Row],[BW40_3705]]),"")</f>
        <v/>
      </c>
      <c r="I4106" s="7" t="str">
        <f>IF(Table1[[#This Row],[Is Data Valid]]=TRUE,((Table1[[#This Row],[Birthweight (grams)]]*1.1/Table1[[#This Row],[BW_GA]])-1)/(Backend!$B$4/100*Table1[[#This Row],[BW40_3705]]),"")</f>
        <v/>
      </c>
      <c r="J4106" s="7" t="str">
        <f>IF(Table1[[#This Row],[Is Data Valid]]=TRUE,_xlfn.NORM.S.DIST(Table1[[#This Row],[Birthweight Z-Score]],TRUE)*100,"")</f>
        <v/>
      </c>
      <c r="K4106" s="7" t="str">
        <f>IF(Table1[[#This Row],[Is Data Valid]]=TRUE,_xlfn.NORM.S.DIST(Table1[[#This Row],[Birthweight Z-Score (BW-10%)]],TRUE)*100,"")</f>
        <v/>
      </c>
      <c r="L4106" s="7" t="str">
        <f>IF(Table1[[#This Row],[Is Data Valid]]=TRUE,_xlfn.NORM.S.DIST(Table1[[#This Row],[Birthweight Z-Score (BW+10%)]],TRUE)*100,"")</f>
        <v/>
      </c>
    </row>
    <row r="4107" spans="1:12" x14ac:dyDescent="0.35">
      <c r="A4107" s="3"/>
      <c r="B4107" s="2"/>
      <c r="C4107" s="2"/>
      <c r="D4107" s="2" t="b">
        <f>IF(AND(NOT(ISBLANK(Table1[[#This Row],[Fetal Sex (Male, Female or Unknown)]])),ISNUMBER(Table1[[#This Row],[Birthweight (grams)]]),ISNUMBER(Table1[[#This Row],[Gestation (days)]])),TRUE,FALSE)</f>
        <v>0</v>
      </c>
      <c r="E4107" s="2" t="str">
        <f>IF(Table1[[#This Row],[Is Data Valid]]=TRUE,IF(Table1[[#This Row],[Fetal Sex (Male, Female or Unknown)]]="Male",Backend!$C$6,IF(Table1[[#This Row],[Fetal Sex (Male, Female or Unknown)]]="Female",Backend!$C$7,IF(Table1[[#This Row],[Fetal Sex (Male, Female or Unknown)]]="Unknown",Backend!$C$8,"Error"))),"")</f>
        <v/>
      </c>
      <c r="F4107" s="8" t="str">
        <f>IF(Table1[[#This Row],[Is Data Valid]]=TRUE,EXP(0.578+0.332*((Table1[[#This Row],[Gestation (days)]]+0.5)/7)-0.00354*((Table1[[#This Row],[Gestation (days)]]+0.5)/7)^2)*Table1[[#This Row],[BW40_3705]],"")</f>
        <v/>
      </c>
      <c r="G4107" s="2" t="str">
        <f>IF(Table1[[#This Row],[Is Data Valid]]=TRUE,((Table1[[#This Row],[Birthweight (grams)]]/Table1[[#This Row],[BW_GA]])-1)/(Backend!$B$4/100*Table1[[#This Row],[BW40_3705]]),"")</f>
        <v/>
      </c>
      <c r="H4107" s="7" t="str">
        <f>IF(Table1[[#This Row],[Is Data Valid]]=TRUE,((Table1[[#This Row],[Birthweight (grams)]]*0.9/Table1[[#This Row],[BW_GA]])-1)/(Backend!$B$4/100*Table1[[#This Row],[BW40_3705]]),"")</f>
        <v/>
      </c>
      <c r="I4107" s="7" t="str">
        <f>IF(Table1[[#This Row],[Is Data Valid]]=TRUE,((Table1[[#This Row],[Birthweight (grams)]]*1.1/Table1[[#This Row],[BW_GA]])-1)/(Backend!$B$4/100*Table1[[#This Row],[BW40_3705]]),"")</f>
        <v/>
      </c>
      <c r="J4107" s="7" t="str">
        <f>IF(Table1[[#This Row],[Is Data Valid]]=TRUE,_xlfn.NORM.S.DIST(Table1[[#This Row],[Birthweight Z-Score]],TRUE)*100,"")</f>
        <v/>
      </c>
      <c r="K4107" s="7" t="str">
        <f>IF(Table1[[#This Row],[Is Data Valid]]=TRUE,_xlfn.NORM.S.DIST(Table1[[#This Row],[Birthweight Z-Score (BW-10%)]],TRUE)*100,"")</f>
        <v/>
      </c>
      <c r="L4107" s="7" t="str">
        <f>IF(Table1[[#This Row],[Is Data Valid]]=TRUE,_xlfn.NORM.S.DIST(Table1[[#This Row],[Birthweight Z-Score (BW+10%)]],TRUE)*100,"")</f>
        <v/>
      </c>
    </row>
    <row r="4108" spans="1:12" x14ac:dyDescent="0.35">
      <c r="A4108" s="3"/>
      <c r="B4108" s="2"/>
      <c r="C4108" s="2"/>
      <c r="D4108" s="2" t="b">
        <f>IF(AND(NOT(ISBLANK(Table1[[#This Row],[Fetal Sex (Male, Female or Unknown)]])),ISNUMBER(Table1[[#This Row],[Birthweight (grams)]]),ISNUMBER(Table1[[#This Row],[Gestation (days)]])),TRUE,FALSE)</f>
        <v>0</v>
      </c>
      <c r="E4108" s="2" t="str">
        <f>IF(Table1[[#This Row],[Is Data Valid]]=TRUE,IF(Table1[[#This Row],[Fetal Sex (Male, Female or Unknown)]]="Male",Backend!$C$6,IF(Table1[[#This Row],[Fetal Sex (Male, Female or Unknown)]]="Female",Backend!$C$7,IF(Table1[[#This Row],[Fetal Sex (Male, Female or Unknown)]]="Unknown",Backend!$C$8,"Error"))),"")</f>
        <v/>
      </c>
      <c r="F4108" s="8" t="str">
        <f>IF(Table1[[#This Row],[Is Data Valid]]=TRUE,EXP(0.578+0.332*((Table1[[#This Row],[Gestation (days)]]+0.5)/7)-0.00354*((Table1[[#This Row],[Gestation (days)]]+0.5)/7)^2)*Table1[[#This Row],[BW40_3705]],"")</f>
        <v/>
      </c>
      <c r="G4108" s="2" t="str">
        <f>IF(Table1[[#This Row],[Is Data Valid]]=TRUE,((Table1[[#This Row],[Birthweight (grams)]]/Table1[[#This Row],[BW_GA]])-1)/(Backend!$B$4/100*Table1[[#This Row],[BW40_3705]]),"")</f>
        <v/>
      </c>
      <c r="H4108" s="7" t="str">
        <f>IF(Table1[[#This Row],[Is Data Valid]]=TRUE,((Table1[[#This Row],[Birthweight (grams)]]*0.9/Table1[[#This Row],[BW_GA]])-1)/(Backend!$B$4/100*Table1[[#This Row],[BW40_3705]]),"")</f>
        <v/>
      </c>
      <c r="I4108" s="7" t="str">
        <f>IF(Table1[[#This Row],[Is Data Valid]]=TRUE,((Table1[[#This Row],[Birthweight (grams)]]*1.1/Table1[[#This Row],[BW_GA]])-1)/(Backend!$B$4/100*Table1[[#This Row],[BW40_3705]]),"")</f>
        <v/>
      </c>
      <c r="J4108" s="7" t="str">
        <f>IF(Table1[[#This Row],[Is Data Valid]]=TRUE,_xlfn.NORM.S.DIST(Table1[[#This Row],[Birthweight Z-Score]],TRUE)*100,"")</f>
        <v/>
      </c>
      <c r="K4108" s="7" t="str">
        <f>IF(Table1[[#This Row],[Is Data Valid]]=TRUE,_xlfn.NORM.S.DIST(Table1[[#This Row],[Birthweight Z-Score (BW-10%)]],TRUE)*100,"")</f>
        <v/>
      </c>
      <c r="L4108" s="7" t="str">
        <f>IF(Table1[[#This Row],[Is Data Valid]]=TRUE,_xlfn.NORM.S.DIST(Table1[[#This Row],[Birthweight Z-Score (BW+10%)]],TRUE)*100,"")</f>
        <v/>
      </c>
    </row>
    <row r="4109" spans="1:12" x14ac:dyDescent="0.35">
      <c r="A4109" s="3"/>
      <c r="B4109" s="2"/>
      <c r="C4109" s="2"/>
      <c r="D4109" s="2" t="b">
        <f>IF(AND(NOT(ISBLANK(Table1[[#This Row],[Fetal Sex (Male, Female or Unknown)]])),ISNUMBER(Table1[[#This Row],[Birthweight (grams)]]),ISNUMBER(Table1[[#This Row],[Gestation (days)]])),TRUE,FALSE)</f>
        <v>0</v>
      </c>
      <c r="E4109" s="2" t="str">
        <f>IF(Table1[[#This Row],[Is Data Valid]]=TRUE,IF(Table1[[#This Row],[Fetal Sex (Male, Female or Unknown)]]="Male",Backend!$C$6,IF(Table1[[#This Row],[Fetal Sex (Male, Female or Unknown)]]="Female",Backend!$C$7,IF(Table1[[#This Row],[Fetal Sex (Male, Female or Unknown)]]="Unknown",Backend!$C$8,"Error"))),"")</f>
        <v/>
      </c>
      <c r="F4109" s="8" t="str">
        <f>IF(Table1[[#This Row],[Is Data Valid]]=TRUE,EXP(0.578+0.332*((Table1[[#This Row],[Gestation (days)]]+0.5)/7)-0.00354*((Table1[[#This Row],[Gestation (days)]]+0.5)/7)^2)*Table1[[#This Row],[BW40_3705]],"")</f>
        <v/>
      </c>
      <c r="G4109" s="2" t="str">
        <f>IF(Table1[[#This Row],[Is Data Valid]]=TRUE,((Table1[[#This Row],[Birthweight (grams)]]/Table1[[#This Row],[BW_GA]])-1)/(Backend!$B$4/100*Table1[[#This Row],[BW40_3705]]),"")</f>
        <v/>
      </c>
      <c r="H4109" s="7" t="str">
        <f>IF(Table1[[#This Row],[Is Data Valid]]=TRUE,((Table1[[#This Row],[Birthweight (grams)]]*0.9/Table1[[#This Row],[BW_GA]])-1)/(Backend!$B$4/100*Table1[[#This Row],[BW40_3705]]),"")</f>
        <v/>
      </c>
      <c r="I4109" s="7" t="str">
        <f>IF(Table1[[#This Row],[Is Data Valid]]=TRUE,((Table1[[#This Row],[Birthweight (grams)]]*1.1/Table1[[#This Row],[BW_GA]])-1)/(Backend!$B$4/100*Table1[[#This Row],[BW40_3705]]),"")</f>
        <v/>
      </c>
      <c r="J4109" s="7" t="str">
        <f>IF(Table1[[#This Row],[Is Data Valid]]=TRUE,_xlfn.NORM.S.DIST(Table1[[#This Row],[Birthweight Z-Score]],TRUE)*100,"")</f>
        <v/>
      </c>
      <c r="K4109" s="7" t="str">
        <f>IF(Table1[[#This Row],[Is Data Valid]]=TRUE,_xlfn.NORM.S.DIST(Table1[[#This Row],[Birthweight Z-Score (BW-10%)]],TRUE)*100,"")</f>
        <v/>
      </c>
      <c r="L4109" s="7" t="str">
        <f>IF(Table1[[#This Row],[Is Data Valid]]=TRUE,_xlfn.NORM.S.DIST(Table1[[#This Row],[Birthweight Z-Score (BW+10%)]],TRUE)*100,"")</f>
        <v/>
      </c>
    </row>
    <row r="4110" spans="1:12" x14ac:dyDescent="0.35">
      <c r="A4110" s="3"/>
      <c r="B4110" s="2"/>
      <c r="C4110" s="2"/>
      <c r="D4110" s="2" t="b">
        <f>IF(AND(NOT(ISBLANK(Table1[[#This Row],[Fetal Sex (Male, Female or Unknown)]])),ISNUMBER(Table1[[#This Row],[Birthweight (grams)]]),ISNUMBER(Table1[[#This Row],[Gestation (days)]])),TRUE,FALSE)</f>
        <v>0</v>
      </c>
      <c r="E4110" s="2" t="str">
        <f>IF(Table1[[#This Row],[Is Data Valid]]=TRUE,IF(Table1[[#This Row],[Fetal Sex (Male, Female or Unknown)]]="Male",Backend!$C$6,IF(Table1[[#This Row],[Fetal Sex (Male, Female or Unknown)]]="Female",Backend!$C$7,IF(Table1[[#This Row],[Fetal Sex (Male, Female or Unknown)]]="Unknown",Backend!$C$8,"Error"))),"")</f>
        <v/>
      </c>
      <c r="F4110" s="8" t="str">
        <f>IF(Table1[[#This Row],[Is Data Valid]]=TRUE,EXP(0.578+0.332*((Table1[[#This Row],[Gestation (days)]]+0.5)/7)-0.00354*((Table1[[#This Row],[Gestation (days)]]+0.5)/7)^2)*Table1[[#This Row],[BW40_3705]],"")</f>
        <v/>
      </c>
      <c r="G4110" s="2" t="str">
        <f>IF(Table1[[#This Row],[Is Data Valid]]=TRUE,((Table1[[#This Row],[Birthweight (grams)]]/Table1[[#This Row],[BW_GA]])-1)/(Backend!$B$4/100*Table1[[#This Row],[BW40_3705]]),"")</f>
        <v/>
      </c>
      <c r="H4110" s="7" t="str">
        <f>IF(Table1[[#This Row],[Is Data Valid]]=TRUE,((Table1[[#This Row],[Birthweight (grams)]]*0.9/Table1[[#This Row],[BW_GA]])-1)/(Backend!$B$4/100*Table1[[#This Row],[BW40_3705]]),"")</f>
        <v/>
      </c>
      <c r="I4110" s="7" t="str">
        <f>IF(Table1[[#This Row],[Is Data Valid]]=TRUE,((Table1[[#This Row],[Birthweight (grams)]]*1.1/Table1[[#This Row],[BW_GA]])-1)/(Backend!$B$4/100*Table1[[#This Row],[BW40_3705]]),"")</f>
        <v/>
      </c>
      <c r="J4110" s="7" t="str">
        <f>IF(Table1[[#This Row],[Is Data Valid]]=TRUE,_xlfn.NORM.S.DIST(Table1[[#This Row],[Birthweight Z-Score]],TRUE)*100,"")</f>
        <v/>
      </c>
      <c r="K4110" s="7" t="str">
        <f>IF(Table1[[#This Row],[Is Data Valid]]=TRUE,_xlfn.NORM.S.DIST(Table1[[#This Row],[Birthweight Z-Score (BW-10%)]],TRUE)*100,"")</f>
        <v/>
      </c>
      <c r="L4110" s="7" t="str">
        <f>IF(Table1[[#This Row],[Is Data Valid]]=TRUE,_xlfn.NORM.S.DIST(Table1[[#This Row],[Birthweight Z-Score (BW+10%)]],TRUE)*100,"")</f>
        <v/>
      </c>
    </row>
    <row r="4111" spans="1:12" x14ac:dyDescent="0.35">
      <c r="A4111" s="3"/>
      <c r="B4111" s="2"/>
      <c r="C4111" s="2"/>
      <c r="D4111" s="2" t="b">
        <f>IF(AND(NOT(ISBLANK(Table1[[#This Row],[Fetal Sex (Male, Female or Unknown)]])),ISNUMBER(Table1[[#This Row],[Birthweight (grams)]]),ISNUMBER(Table1[[#This Row],[Gestation (days)]])),TRUE,FALSE)</f>
        <v>0</v>
      </c>
      <c r="E4111" s="2" t="str">
        <f>IF(Table1[[#This Row],[Is Data Valid]]=TRUE,IF(Table1[[#This Row],[Fetal Sex (Male, Female or Unknown)]]="Male",Backend!$C$6,IF(Table1[[#This Row],[Fetal Sex (Male, Female or Unknown)]]="Female",Backend!$C$7,IF(Table1[[#This Row],[Fetal Sex (Male, Female or Unknown)]]="Unknown",Backend!$C$8,"Error"))),"")</f>
        <v/>
      </c>
      <c r="F4111" s="8" t="str">
        <f>IF(Table1[[#This Row],[Is Data Valid]]=TRUE,EXP(0.578+0.332*((Table1[[#This Row],[Gestation (days)]]+0.5)/7)-0.00354*((Table1[[#This Row],[Gestation (days)]]+0.5)/7)^2)*Table1[[#This Row],[BW40_3705]],"")</f>
        <v/>
      </c>
      <c r="G4111" s="2" t="str">
        <f>IF(Table1[[#This Row],[Is Data Valid]]=TRUE,((Table1[[#This Row],[Birthweight (grams)]]/Table1[[#This Row],[BW_GA]])-1)/(Backend!$B$4/100*Table1[[#This Row],[BW40_3705]]),"")</f>
        <v/>
      </c>
      <c r="H4111" s="7" t="str">
        <f>IF(Table1[[#This Row],[Is Data Valid]]=TRUE,((Table1[[#This Row],[Birthweight (grams)]]*0.9/Table1[[#This Row],[BW_GA]])-1)/(Backend!$B$4/100*Table1[[#This Row],[BW40_3705]]),"")</f>
        <v/>
      </c>
      <c r="I4111" s="7" t="str">
        <f>IF(Table1[[#This Row],[Is Data Valid]]=TRUE,((Table1[[#This Row],[Birthweight (grams)]]*1.1/Table1[[#This Row],[BW_GA]])-1)/(Backend!$B$4/100*Table1[[#This Row],[BW40_3705]]),"")</f>
        <v/>
      </c>
      <c r="J4111" s="7" t="str">
        <f>IF(Table1[[#This Row],[Is Data Valid]]=TRUE,_xlfn.NORM.S.DIST(Table1[[#This Row],[Birthweight Z-Score]],TRUE)*100,"")</f>
        <v/>
      </c>
      <c r="K4111" s="7" t="str">
        <f>IF(Table1[[#This Row],[Is Data Valid]]=TRUE,_xlfn.NORM.S.DIST(Table1[[#This Row],[Birthweight Z-Score (BW-10%)]],TRUE)*100,"")</f>
        <v/>
      </c>
      <c r="L4111" s="7" t="str">
        <f>IF(Table1[[#This Row],[Is Data Valid]]=TRUE,_xlfn.NORM.S.DIST(Table1[[#This Row],[Birthweight Z-Score (BW+10%)]],TRUE)*100,"")</f>
        <v/>
      </c>
    </row>
    <row r="4112" spans="1:12" x14ac:dyDescent="0.35">
      <c r="A4112" s="3"/>
      <c r="B4112" s="2"/>
      <c r="C4112" s="2"/>
      <c r="D4112" s="2" t="b">
        <f>IF(AND(NOT(ISBLANK(Table1[[#This Row],[Fetal Sex (Male, Female or Unknown)]])),ISNUMBER(Table1[[#This Row],[Birthweight (grams)]]),ISNUMBER(Table1[[#This Row],[Gestation (days)]])),TRUE,FALSE)</f>
        <v>0</v>
      </c>
      <c r="E4112" s="2" t="str">
        <f>IF(Table1[[#This Row],[Is Data Valid]]=TRUE,IF(Table1[[#This Row],[Fetal Sex (Male, Female or Unknown)]]="Male",Backend!$C$6,IF(Table1[[#This Row],[Fetal Sex (Male, Female or Unknown)]]="Female",Backend!$C$7,IF(Table1[[#This Row],[Fetal Sex (Male, Female or Unknown)]]="Unknown",Backend!$C$8,"Error"))),"")</f>
        <v/>
      </c>
      <c r="F4112" s="8" t="str">
        <f>IF(Table1[[#This Row],[Is Data Valid]]=TRUE,EXP(0.578+0.332*((Table1[[#This Row],[Gestation (days)]]+0.5)/7)-0.00354*((Table1[[#This Row],[Gestation (days)]]+0.5)/7)^2)*Table1[[#This Row],[BW40_3705]],"")</f>
        <v/>
      </c>
      <c r="G4112" s="2" t="str">
        <f>IF(Table1[[#This Row],[Is Data Valid]]=TRUE,((Table1[[#This Row],[Birthweight (grams)]]/Table1[[#This Row],[BW_GA]])-1)/(Backend!$B$4/100*Table1[[#This Row],[BW40_3705]]),"")</f>
        <v/>
      </c>
      <c r="H4112" s="7" t="str">
        <f>IF(Table1[[#This Row],[Is Data Valid]]=TRUE,((Table1[[#This Row],[Birthweight (grams)]]*0.9/Table1[[#This Row],[BW_GA]])-1)/(Backend!$B$4/100*Table1[[#This Row],[BW40_3705]]),"")</f>
        <v/>
      </c>
      <c r="I4112" s="7" t="str">
        <f>IF(Table1[[#This Row],[Is Data Valid]]=TRUE,((Table1[[#This Row],[Birthweight (grams)]]*1.1/Table1[[#This Row],[BW_GA]])-1)/(Backend!$B$4/100*Table1[[#This Row],[BW40_3705]]),"")</f>
        <v/>
      </c>
      <c r="J4112" s="7" t="str">
        <f>IF(Table1[[#This Row],[Is Data Valid]]=TRUE,_xlfn.NORM.S.DIST(Table1[[#This Row],[Birthweight Z-Score]],TRUE)*100,"")</f>
        <v/>
      </c>
      <c r="K4112" s="7" t="str">
        <f>IF(Table1[[#This Row],[Is Data Valid]]=TRUE,_xlfn.NORM.S.DIST(Table1[[#This Row],[Birthweight Z-Score (BW-10%)]],TRUE)*100,"")</f>
        <v/>
      </c>
      <c r="L4112" s="7" t="str">
        <f>IF(Table1[[#This Row],[Is Data Valid]]=TRUE,_xlfn.NORM.S.DIST(Table1[[#This Row],[Birthweight Z-Score (BW+10%)]],TRUE)*100,"")</f>
        <v/>
      </c>
    </row>
    <row r="4113" spans="1:12" x14ac:dyDescent="0.35">
      <c r="A4113" s="3"/>
      <c r="B4113" s="2"/>
      <c r="C4113" s="2"/>
      <c r="D4113" s="2" t="b">
        <f>IF(AND(NOT(ISBLANK(Table1[[#This Row],[Fetal Sex (Male, Female or Unknown)]])),ISNUMBER(Table1[[#This Row],[Birthweight (grams)]]),ISNUMBER(Table1[[#This Row],[Gestation (days)]])),TRUE,FALSE)</f>
        <v>0</v>
      </c>
      <c r="E4113" s="2" t="str">
        <f>IF(Table1[[#This Row],[Is Data Valid]]=TRUE,IF(Table1[[#This Row],[Fetal Sex (Male, Female or Unknown)]]="Male",Backend!$C$6,IF(Table1[[#This Row],[Fetal Sex (Male, Female or Unknown)]]="Female",Backend!$C$7,IF(Table1[[#This Row],[Fetal Sex (Male, Female or Unknown)]]="Unknown",Backend!$C$8,"Error"))),"")</f>
        <v/>
      </c>
      <c r="F4113" s="8" t="str">
        <f>IF(Table1[[#This Row],[Is Data Valid]]=TRUE,EXP(0.578+0.332*((Table1[[#This Row],[Gestation (days)]]+0.5)/7)-0.00354*((Table1[[#This Row],[Gestation (days)]]+0.5)/7)^2)*Table1[[#This Row],[BW40_3705]],"")</f>
        <v/>
      </c>
      <c r="G4113" s="2" t="str">
        <f>IF(Table1[[#This Row],[Is Data Valid]]=TRUE,((Table1[[#This Row],[Birthweight (grams)]]/Table1[[#This Row],[BW_GA]])-1)/(Backend!$B$4/100*Table1[[#This Row],[BW40_3705]]),"")</f>
        <v/>
      </c>
      <c r="H4113" s="7" t="str">
        <f>IF(Table1[[#This Row],[Is Data Valid]]=TRUE,((Table1[[#This Row],[Birthweight (grams)]]*0.9/Table1[[#This Row],[BW_GA]])-1)/(Backend!$B$4/100*Table1[[#This Row],[BW40_3705]]),"")</f>
        <v/>
      </c>
      <c r="I4113" s="7" t="str">
        <f>IF(Table1[[#This Row],[Is Data Valid]]=TRUE,((Table1[[#This Row],[Birthweight (grams)]]*1.1/Table1[[#This Row],[BW_GA]])-1)/(Backend!$B$4/100*Table1[[#This Row],[BW40_3705]]),"")</f>
        <v/>
      </c>
      <c r="J4113" s="7" t="str">
        <f>IF(Table1[[#This Row],[Is Data Valid]]=TRUE,_xlfn.NORM.S.DIST(Table1[[#This Row],[Birthweight Z-Score]],TRUE)*100,"")</f>
        <v/>
      </c>
      <c r="K4113" s="7" t="str">
        <f>IF(Table1[[#This Row],[Is Data Valid]]=TRUE,_xlfn.NORM.S.DIST(Table1[[#This Row],[Birthweight Z-Score (BW-10%)]],TRUE)*100,"")</f>
        <v/>
      </c>
      <c r="L4113" s="7" t="str">
        <f>IF(Table1[[#This Row],[Is Data Valid]]=TRUE,_xlfn.NORM.S.DIST(Table1[[#This Row],[Birthweight Z-Score (BW+10%)]],TRUE)*100,"")</f>
        <v/>
      </c>
    </row>
    <row r="4114" spans="1:12" x14ac:dyDescent="0.35">
      <c r="A4114" s="3"/>
      <c r="B4114" s="2"/>
      <c r="C4114" s="2"/>
      <c r="D4114" s="2" t="b">
        <f>IF(AND(NOT(ISBLANK(Table1[[#This Row],[Fetal Sex (Male, Female or Unknown)]])),ISNUMBER(Table1[[#This Row],[Birthweight (grams)]]),ISNUMBER(Table1[[#This Row],[Gestation (days)]])),TRUE,FALSE)</f>
        <v>0</v>
      </c>
      <c r="E4114" s="2" t="str">
        <f>IF(Table1[[#This Row],[Is Data Valid]]=TRUE,IF(Table1[[#This Row],[Fetal Sex (Male, Female or Unknown)]]="Male",Backend!$C$6,IF(Table1[[#This Row],[Fetal Sex (Male, Female or Unknown)]]="Female",Backend!$C$7,IF(Table1[[#This Row],[Fetal Sex (Male, Female or Unknown)]]="Unknown",Backend!$C$8,"Error"))),"")</f>
        <v/>
      </c>
      <c r="F4114" s="8" t="str">
        <f>IF(Table1[[#This Row],[Is Data Valid]]=TRUE,EXP(0.578+0.332*((Table1[[#This Row],[Gestation (days)]]+0.5)/7)-0.00354*((Table1[[#This Row],[Gestation (days)]]+0.5)/7)^2)*Table1[[#This Row],[BW40_3705]],"")</f>
        <v/>
      </c>
      <c r="G4114" s="2" t="str">
        <f>IF(Table1[[#This Row],[Is Data Valid]]=TRUE,((Table1[[#This Row],[Birthweight (grams)]]/Table1[[#This Row],[BW_GA]])-1)/(Backend!$B$4/100*Table1[[#This Row],[BW40_3705]]),"")</f>
        <v/>
      </c>
      <c r="H4114" s="7" t="str">
        <f>IF(Table1[[#This Row],[Is Data Valid]]=TRUE,((Table1[[#This Row],[Birthweight (grams)]]*0.9/Table1[[#This Row],[BW_GA]])-1)/(Backend!$B$4/100*Table1[[#This Row],[BW40_3705]]),"")</f>
        <v/>
      </c>
      <c r="I4114" s="7" t="str">
        <f>IF(Table1[[#This Row],[Is Data Valid]]=TRUE,((Table1[[#This Row],[Birthweight (grams)]]*1.1/Table1[[#This Row],[BW_GA]])-1)/(Backend!$B$4/100*Table1[[#This Row],[BW40_3705]]),"")</f>
        <v/>
      </c>
      <c r="J4114" s="7" t="str">
        <f>IF(Table1[[#This Row],[Is Data Valid]]=TRUE,_xlfn.NORM.S.DIST(Table1[[#This Row],[Birthweight Z-Score]],TRUE)*100,"")</f>
        <v/>
      </c>
      <c r="K4114" s="7" t="str">
        <f>IF(Table1[[#This Row],[Is Data Valid]]=TRUE,_xlfn.NORM.S.DIST(Table1[[#This Row],[Birthweight Z-Score (BW-10%)]],TRUE)*100,"")</f>
        <v/>
      </c>
      <c r="L4114" s="7" t="str">
        <f>IF(Table1[[#This Row],[Is Data Valid]]=TRUE,_xlfn.NORM.S.DIST(Table1[[#This Row],[Birthweight Z-Score (BW+10%)]],TRUE)*100,"")</f>
        <v/>
      </c>
    </row>
    <row r="4115" spans="1:12" x14ac:dyDescent="0.35">
      <c r="A4115" s="3"/>
      <c r="B4115" s="2"/>
      <c r="C4115" s="2"/>
      <c r="D4115" s="2" t="b">
        <f>IF(AND(NOT(ISBLANK(Table1[[#This Row],[Fetal Sex (Male, Female or Unknown)]])),ISNUMBER(Table1[[#This Row],[Birthweight (grams)]]),ISNUMBER(Table1[[#This Row],[Gestation (days)]])),TRUE,FALSE)</f>
        <v>0</v>
      </c>
      <c r="E4115" s="2" t="str">
        <f>IF(Table1[[#This Row],[Is Data Valid]]=TRUE,IF(Table1[[#This Row],[Fetal Sex (Male, Female or Unknown)]]="Male",Backend!$C$6,IF(Table1[[#This Row],[Fetal Sex (Male, Female or Unknown)]]="Female",Backend!$C$7,IF(Table1[[#This Row],[Fetal Sex (Male, Female or Unknown)]]="Unknown",Backend!$C$8,"Error"))),"")</f>
        <v/>
      </c>
      <c r="F4115" s="8" t="str">
        <f>IF(Table1[[#This Row],[Is Data Valid]]=TRUE,EXP(0.578+0.332*((Table1[[#This Row],[Gestation (days)]]+0.5)/7)-0.00354*((Table1[[#This Row],[Gestation (days)]]+0.5)/7)^2)*Table1[[#This Row],[BW40_3705]],"")</f>
        <v/>
      </c>
      <c r="G4115" s="2" t="str">
        <f>IF(Table1[[#This Row],[Is Data Valid]]=TRUE,((Table1[[#This Row],[Birthweight (grams)]]/Table1[[#This Row],[BW_GA]])-1)/(Backend!$B$4/100*Table1[[#This Row],[BW40_3705]]),"")</f>
        <v/>
      </c>
      <c r="H4115" s="7" t="str">
        <f>IF(Table1[[#This Row],[Is Data Valid]]=TRUE,((Table1[[#This Row],[Birthweight (grams)]]*0.9/Table1[[#This Row],[BW_GA]])-1)/(Backend!$B$4/100*Table1[[#This Row],[BW40_3705]]),"")</f>
        <v/>
      </c>
      <c r="I4115" s="7" t="str">
        <f>IF(Table1[[#This Row],[Is Data Valid]]=TRUE,((Table1[[#This Row],[Birthweight (grams)]]*1.1/Table1[[#This Row],[BW_GA]])-1)/(Backend!$B$4/100*Table1[[#This Row],[BW40_3705]]),"")</f>
        <v/>
      </c>
      <c r="J4115" s="7" t="str">
        <f>IF(Table1[[#This Row],[Is Data Valid]]=TRUE,_xlfn.NORM.S.DIST(Table1[[#This Row],[Birthweight Z-Score]],TRUE)*100,"")</f>
        <v/>
      </c>
      <c r="K4115" s="7" t="str">
        <f>IF(Table1[[#This Row],[Is Data Valid]]=TRUE,_xlfn.NORM.S.DIST(Table1[[#This Row],[Birthweight Z-Score (BW-10%)]],TRUE)*100,"")</f>
        <v/>
      </c>
      <c r="L4115" s="7" t="str">
        <f>IF(Table1[[#This Row],[Is Data Valid]]=TRUE,_xlfn.NORM.S.DIST(Table1[[#This Row],[Birthweight Z-Score (BW+10%)]],TRUE)*100,"")</f>
        <v/>
      </c>
    </row>
    <row r="4116" spans="1:12" x14ac:dyDescent="0.35">
      <c r="A4116" s="3"/>
      <c r="B4116" s="2"/>
      <c r="C4116" s="2"/>
      <c r="D4116" s="2" t="b">
        <f>IF(AND(NOT(ISBLANK(Table1[[#This Row],[Fetal Sex (Male, Female or Unknown)]])),ISNUMBER(Table1[[#This Row],[Birthweight (grams)]]),ISNUMBER(Table1[[#This Row],[Gestation (days)]])),TRUE,FALSE)</f>
        <v>0</v>
      </c>
      <c r="E4116" s="2" t="str">
        <f>IF(Table1[[#This Row],[Is Data Valid]]=TRUE,IF(Table1[[#This Row],[Fetal Sex (Male, Female or Unknown)]]="Male",Backend!$C$6,IF(Table1[[#This Row],[Fetal Sex (Male, Female or Unknown)]]="Female",Backend!$C$7,IF(Table1[[#This Row],[Fetal Sex (Male, Female or Unknown)]]="Unknown",Backend!$C$8,"Error"))),"")</f>
        <v/>
      </c>
      <c r="F4116" s="8" t="str">
        <f>IF(Table1[[#This Row],[Is Data Valid]]=TRUE,EXP(0.578+0.332*((Table1[[#This Row],[Gestation (days)]]+0.5)/7)-0.00354*((Table1[[#This Row],[Gestation (days)]]+0.5)/7)^2)*Table1[[#This Row],[BW40_3705]],"")</f>
        <v/>
      </c>
      <c r="G4116" s="2" t="str">
        <f>IF(Table1[[#This Row],[Is Data Valid]]=TRUE,((Table1[[#This Row],[Birthweight (grams)]]/Table1[[#This Row],[BW_GA]])-1)/(Backend!$B$4/100*Table1[[#This Row],[BW40_3705]]),"")</f>
        <v/>
      </c>
      <c r="H4116" s="7" t="str">
        <f>IF(Table1[[#This Row],[Is Data Valid]]=TRUE,((Table1[[#This Row],[Birthweight (grams)]]*0.9/Table1[[#This Row],[BW_GA]])-1)/(Backend!$B$4/100*Table1[[#This Row],[BW40_3705]]),"")</f>
        <v/>
      </c>
      <c r="I4116" s="7" t="str">
        <f>IF(Table1[[#This Row],[Is Data Valid]]=TRUE,((Table1[[#This Row],[Birthweight (grams)]]*1.1/Table1[[#This Row],[BW_GA]])-1)/(Backend!$B$4/100*Table1[[#This Row],[BW40_3705]]),"")</f>
        <v/>
      </c>
      <c r="J4116" s="7" t="str">
        <f>IF(Table1[[#This Row],[Is Data Valid]]=TRUE,_xlfn.NORM.S.DIST(Table1[[#This Row],[Birthweight Z-Score]],TRUE)*100,"")</f>
        <v/>
      </c>
      <c r="K4116" s="7" t="str">
        <f>IF(Table1[[#This Row],[Is Data Valid]]=TRUE,_xlfn.NORM.S.DIST(Table1[[#This Row],[Birthweight Z-Score (BW-10%)]],TRUE)*100,"")</f>
        <v/>
      </c>
      <c r="L4116" s="7" t="str">
        <f>IF(Table1[[#This Row],[Is Data Valid]]=TRUE,_xlfn.NORM.S.DIST(Table1[[#This Row],[Birthweight Z-Score (BW+10%)]],TRUE)*100,"")</f>
        <v/>
      </c>
    </row>
    <row r="4117" spans="1:12" x14ac:dyDescent="0.35">
      <c r="A4117" s="3"/>
      <c r="B4117" s="2"/>
      <c r="C4117" s="2"/>
      <c r="D4117" s="2" t="b">
        <f>IF(AND(NOT(ISBLANK(Table1[[#This Row],[Fetal Sex (Male, Female or Unknown)]])),ISNUMBER(Table1[[#This Row],[Birthweight (grams)]]),ISNUMBER(Table1[[#This Row],[Gestation (days)]])),TRUE,FALSE)</f>
        <v>0</v>
      </c>
      <c r="E4117" s="2" t="str">
        <f>IF(Table1[[#This Row],[Is Data Valid]]=TRUE,IF(Table1[[#This Row],[Fetal Sex (Male, Female or Unknown)]]="Male",Backend!$C$6,IF(Table1[[#This Row],[Fetal Sex (Male, Female or Unknown)]]="Female",Backend!$C$7,IF(Table1[[#This Row],[Fetal Sex (Male, Female or Unknown)]]="Unknown",Backend!$C$8,"Error"))),"")</f>
        <v/>
      </c>
      <c r="F4117" s="8" t="str">
        <f>IF(Table1[[#This Row],[Is Data Valid]]=TRUE,EXP(0.578+0.332*((Table1[[#This Row],[Gestation (days)]]+0.5)/7)-0.00354*((Table1[[#This Row],[Gestation (days)]]+0.5)/7)^2)*Table1[[#This Row],[BW40_3705]],"")</f>
        <v/>
      </c>
      <c r="G4117" s="2" t="str">
        <f>IF(Table1[[#This Row],[Is Data Valid]]=TRUE,((Table1[[#This Row],[Birthweight (grams)]]/Table1[[#This Row],[BW_GA]])-1)/(Backend!$B$4/100*Table1[[#This Row],[BW40_3705]]),"")</f>
        <v/>
      </c>
      <c r="H4117" s="7" t="str">
        <f>IF(Table1[[#This Row],[Is Data Valid]]=TRUE,((Table1[[#This Row],[Birthweight (grams)]]*0.9/Table1[[#This Row],[BW_GA]])-1)/(Backend!$B$4/100*Table1[[#This Row],[BW40_3705]]),"")</f>
        <v/>
      </c>
      <c r="I4117" s="7" t="str">
        <f>IF(Table1[[#This Row],[Is Data Valid]]=TRUE,((Table1[[#This Row],[Birthweight (grams)]]*1.1/Table1[[#This Row],[BW_GA]])-1)/(Backend!$B$4/100*Table1[[#This Row],[BW40_3705]]),"")</f>
        <v/>
      </c>
      <c r="J4117" s="7" t="str">
        <f>IF(Table1[[#This Row],[Is Data Valid]]=TRUE,_xlfn.NORM.S.DIST(Table1[[#This Row],[Birthweight Z-Score]],TRUE)*100,"")</f>
        <v/>
      </c>
      <c r="K4117" s="7" t="str">
        <f>IF(Table1[[#This Row],[Is Data Valid]]=TRUE,_xlfn.NORM.S.DIST(Table1[[#This Row],[Birthweight Z-Score (BW-10%)]],TRUE)*100,"")</f>
        <v/>
      </c>
      <c r="L4117" s="7" t="str">
        <f>IF(Table1[[#This Row],[Is Data Valid]]=TRUE,_xlfn.NORM.S.DIST(Table1[[#This Row],[Birthweight Z-Score (BW+10%)]],TRUE)*100,"")</f>
        <v/>
      </c>
    </row>
    <row r="4118" spans="1:12" x14ac:dyDescent="0.35">
      <c r="A4118" s="3"/>
      <c r="B4118" s="2"/>
      <c r="C4118" s="2"/>
      <c r="D4118" s="2" t="b">
        <f>IF(AND(NOT(ISBLANK(Table1[[#This Row],[Fetal Sex (Male, Female or Unknown)]])),ISNUMBER(Table1[[#This Row],[Birthweight (grams)]]),ISNUMBER(Table1[[#This Row],[Gestation (days)]])),TRUE,FALSE)</f>
        <v>0</v>
      </c>
      <c r="E4118" s="2" t="str">
        <f>IF(Table1[[#This Row],[Is Data Valid]]=TRUE,IF(Table1[[#This Row],[Fetal Sex (Male, Female or Unknown)]]="Male",Backend!$C$6,IF(Table1[[#This Row],[Fetal Sex (Male, Female or Unknown)]]="Female",Backend!$C$7,IF(Table1[[#This Row],[Fetal Sex (Male, Female or Unknown)]]="Unknown",Backend!$C$8,"Error"))),"")</f>
        <v/>
      </c>
      <c r="F4118" s="8" t="str">
        <f>IF(Table1[[#This Row],[Is Data Valid]]=TRUE,EXP(0.578+0.332*((Table1[[#This Row],[Gestation (days)]]+0.5)/7)-0.00354*((Table1[[#This Row],[Gestation (days)]]+0.5)/7)^2)*Table1[[#This Row],[BW40_3705]],"")</f>
        <v/>
      </c>
      <c r="G4118" s="2" t="str">
        <f>IF(Table1[[#This Row],[Is Data Valid]]=TRUE,((Table1[[#This Row],[Birthweight (grams)]]/Table1[[#This Row],[BW_GA]])-1)/(Backend!$B$4/100*Table1[[#This Row],[BW40_3705]]),"")</f>
        <v/>
      </c>
      <c r="H4118" s="7" t="str">
        <f>IF(Table1[[#This Row],[Is Data Valid]]=TRUE,((Table1[[#This Row],[Birthweight (grams)]]*0.9/Table1[[#This Row],[BW_GA]])-1)/(Backend!$B$4/100*Table1[[#This Row],[BW40_3705]]),"")</f>
        <v/>
      </c>
      <c r="I4118" s="7" t="str">
        <f>IF(Table1[[#This Row],[Is Data Valid]]=TRUE,((Table1[[#This Row],[Birthweight (grams)]]*1.1/Table1[[#This Row],[BW_GA]])-1)/(Backend!$B$4/100*Table1[[#This Row],[BW40_3705]]),"")</f>
        <v/>
      </c>
      <c r="J4118" s="7" t="str">
        <f>IF(Table1[[#This Row],[Is Data Valid]]=TRUE,_xlfn.NORM.S.DIST(Table1[[#This Row],[Birthweight Z-Score]],TRUE)*100,"")</f>
        <v/>
      </c>
      <c r="K4118" s="7" t="str">
        <f>IF(Table1[[#This Row],[Is Data Valid]]=TRUE,_xlfn.NORM.S.DIST(Table1[[#This Row],[Birthweight Z-Score (BW-10%)]],TRUE)*100,"")</f>
        <v/>
      </c>
      <c r="L4118" s="7" t="str">
        <f>IF(Table1[[#This Row],[Is Data Valid]]=TRUE,_xlfn.NORM.S.DIST(Table1[[#This Row],[Birthweight Z-Score (BW+10%)]],TRUE)*100,"")</f>
        <v/>
      </c>
    </row>
    <row r="4119" spans="1:12" x14ac:dyDescent="0.35">
      <c r="A4119" s="3"/>
      <c r="B4119" s="2"/>
      <c r="C4119" s="2"/>
      <c r="D4119" s="2" t="b">
        <f>IF(AND(NOT(ISBLANK(Table1[[#This Row],[Fetal Sex (Male, Female or Unknown)]])),ISNUMBER(Table1[[#This Row],[Birthweight (grams)]]),ISNUMBER(Table1[[#This Row],[Gestation (days)]])),TRUE,FALSE)</f>
        <v>0</v>
      </c>
      <c r="E4119" s="2" t="str">
        <f>IF(Table1[[#This Row],[Is Data Valid]]=TRUE,IF(Table1[[#This Row],[Fetal Sex (Male, Female or Unknown)]]="Male",Backend!$C$6,IF(Table1[[#This Row],[Fetal Sex (Male, Female or Unknown)]]="Female",Backend!$C$7,IF(Table1[[#This Row],[Fetal Sex (Male, Female or Unknown)]]="Unknown",Backend!$C$8,"Error"))),"")</f>
        <v/>
      </c>
      <c r="F4119" s="8" t="str">
        <f>IF(Table1[[#This Row],[Is Data Valid]]=TRUE,EXP(0.578+0.332*((Table1[[#This Row],[Gestation (days)]]+0.5)/7)-0.00354*((Table1[[#This Row],[Gestation (days)]]+0.5)/7)^2)*Table1[[#This Row],[BW40_3705]],"")</f>
        <v/>
      </c>
      <c r="G4119" s="2" t="str">
        <f>IF(Table1[[#This Row],[Is Data Valid]]=TRUE,((Table1[[#This Row],[Birthweight (grams)]]/Table1[[#This Row],[BW_GA]])-1)/(Backend!$B$4/100*Table1[[#This Row],[BW40_3705]]),"")</f>
        <v/>
      </c>
      <c r="H4119" s="7" t="str">
        <f>IF(Table1[[#This Row],[Is Data Valid]]=TRUE,((Table1[[#This Row],[Birthweight (grams)]]*0.9/Table1[[#This Row],[BW_GA]])-1)/(Backend!$B$4/100*Table1[[#This Row],[BW40_3705]]),"")</f>
        <v/>
      </c>
      <c r="I4119" s="7" t="str">
        <f>IF(Table1[[#This Row],[Is Data Valid]]=TRUE,((Table1[[#This Row],[Birthweight (grams)]]*1.1/Table1[[#This Row],[BW_GA]])-1)/(Backend!$B$4/100*Table1[[#This Row],[BW40_3705]]),"")</f>
        <v/>
      </c>
      <c r="J4119" s="7" t="str">
        <f>IF(Table1[[#This Row],[Is Data Valid]]=TRUE,_xlfn.NORM.S.DIST(Table1[[#This Row],[Birthweight Z-Score]],TRUE)*100,"")</f>
        <v/>
      </c>
      <c r="K4119" s="7" t="str">
        <f>IF(Table1[[#This Row],[Is Data Valid]]=TRUE,_xlfn.NORM.S.DIST(Table1[[#This Row],[Birthweight Z-Score (BW-10%)]],TRUE)*100,"")</f>
        <v/>
      </c>
      <c r="L4119" s="7" t="str">
        <f>IF(Table1[[#This Row],[Is Data Valid]]=TRUE,_xlfn.NORM.S.DIST(Table1[[#This Row],[Birthweight Z-Score (BW+10%)]],TRUE)*100,"")</f>
        <v/>
      </c>
    </row>
    <row r="4120" spans="1:12" x14ac:dyDescent="0.35">
      <c r="A4120" s="3"/>
      <c r="B4120" s="2"/>
      <c r="C4120" s="2"/>
      <c r="D4120" s="2" t="b">
        <f>IF(AND(NOT(ISBLANK(Table1[[#This Row],[Fetal Sex (Male, Female or Unknown)]])),ISNUMBER(Table1[[#This Row],[Birthweight (grams)]]),ISNUMBER(Table1[[#This Row],[Gestation (days)]])),TRUE,FALSE)</f>
        <v>0</v>
      </c>
      <c r="E4120" s="2" t="str">
        <f>IF(Table1[[#This Row],[Is Data Valid]]=TRUE,IF(Table1[[#This Row],[Fetal Sex (Male, Female or Unknown)]]="Male",Backend!$C$6,IF(Table1[[#This Row],[Fetal Sex (Male, Female or Unknown)]]="Female",Backend!$C$7,IF(Table1[[#This Row],[Fetal Sex (Male, Female or Unknown)]]="Unknown",Backend!$C$8,"Error"))),"")</f>
        <v/>
      </c>
      <c r="F4120" s="8" t="str">
        <f>IF(Table1[[#This Row],[Is Data Valid]]=TRUE,EXP(0.578+0.332*((Table1[[#This Row],[Gestation (days)]]+0.5)/7)-0.00354*((Table1[[#This Row],[Gestation (days)]]+0.5)/7)^2)*Table1[[#This Row],[BW40_3705]],"")</f>
        <v/>
      </c>
      <c r="G4120" s="2" t="str">
        <f>IF(Table1[[#This Row],[Is Data Valid]]=TRUE,((Table1[[#This Row],[Birthweight (grams)]]/Table1[[#This Row],[BW_GA]])-1)/(Backend!$B$4/100*Table1[[#This Row],[BW40_3705]]),"")</f>
        <v/>
      </c>
      <c r="H4120" s="7" t="str">
        <f>IF(Table1[[#This Row],[Is Data Valid]]=TRUE,((Table1[[#This Row],[Birthweight (grams)]]*0.9/Table1[[#This Row],[BW_GA]])-1)/(Backend!$B$4/100*Table1[[#This Row],[BW40_3705]]),"")</f>
        <v/>
      </c>
      <c r="I4120" s="7" t="str">
        <f>IF(Table1[[#This Row],[Is Data Valid]]=TRUE,((Table1[[#This Row],[Birthweight (grams)]]*1.1/Table1[[#This Row],[BW_GA]])-1)/(Backend!$B$4/100*Table1[[#This Row],[BW40_3705]]),"")</f>
        <v/>
      </c>
      <c r="J4120" s="7" t="str">
        <f>IF(Table1[[#This Row],[Is Data Valid]]=TRUE,_xlfn.NORM.S.DIST(Table1[[#This Row],[Birthweight Z-Score]],TRUE)*100,"")</f>
        <v/>
      </c>
      <c r="K4120" s="7" t="str">
        <f>IF(Table1[[#This Row],[Is Data Valid]]=TRUE,_xlfn.NORM.S.DIST(Table1[[#This Row],[Birthweight Z-Score (BW-10%)]],TRUE)*100,"")</f>
        <v/>
      </c>
      <c r="L4120" s="7" t="str">
        <f>IF(Table1[[#This Row],[Is Data Valid]]=TRUE,_xlfn.NORM.S.DIST(Table1[[#This Row],[Birthweight Z-Score (BW+10%)]],TRUE)*100,"")</f>
        <v/>
      </c>
    </row>
    <row r="4121" spans="1:12" x14ac:dyDescent="0.35">
      <c r="A4121" s="3"/>
      <c r="B4121" s="2"/>
      <c r="C4121" s="2"/>
      <c r="D4121" s="2" t="b">
        <f>IF(AND(NOT(ISBLANK(Table1[[#This Row],[Fetal Sex (Male, Female or Unknown)]])),ISNUMBER(Table1[[#This Row],[Birthweight (grams)]]),ISNUMBER(Table1[[#This Row],[Gestation (days)]])),TRUE,FALSE)</f>
        <v>0</v>
      </c>
      <c r="E4121" s="2" t="str">
        <f>IF(Table1[[#This Row],[Is Data Valid]]=TRUE,IF(Table1[[#This Row],[Fetal Sex (Male, Female or Unknown)]]="Male",Backend!$C$6,IF(Table1[[#This Row],[Fetal Sex (Male, Female or Unknown)]]="Female",Backend!$C$7,IF(Table1[[#This Row],[Fetal Sex (Male, Female or Unknown)]]="Unknown",Backend!$C$8,"Error"))),"")</f>
        <v/>
      </c>
      <c r="F4121" s="8" t="str">
        <f>IF(Table1[[#This Row],[Is Data Valid]]=TRUE,EXP(0.578+0.332*((Table1[[#This Row],[Gestation (days)]]+0.5)/7)-0.00354*((Table1[[#This Row],[Gestation (days)]]+0.5)/7)^2)*Table1[[#This Row],[BW40_3705]],"")</f>
        <v/>
      </c>
      <c r="G4121" s="2" t="str">
        <f>IF(Table1[[#This Row],[Is Data Valid]]=TRUE,((Table1[[#This Row],[Birthweight (grams)]]/Table1[[#This Row],[BW_GA]])-1)/(Backend!$B$4/100*Table1[[#This Row],[BW40_3705]]),"")</f>
        <v/>
      </c>
      <c r="H4121" s="7" t="str">
        <f>IF(Table1[[#This Row],[Is Data Valid]]=TRUE,((Table1[[#This Row],[Birthweight (grams)]]*0.9/Table1[[#This Row],[BW_GA]])-1)/(Backend!$B$4/100*Table1[[#This Row],[BW40_3705]]),"")</f>
        <v/>
      </c>
      <c r="I4121" s="7" t="str">
        <f>IF(Table1[[#This Row],[Is Data Valid]]=TRUE,((Table1[[#This Row],[Birthweight (grams)]]*1.1/Table1[[#This Row],[BW_GA]])-1)/(Backend!$B$4/100*Table1[[#This Row],[BW40_3705]]),"")</f>
        <v/>
      </c>
      <c r="J4121" s="7" t="str">
        <f>IF(Table1[[#This Row],[Is Data Valid]]=TRUE,_xlfn.NORM.S.DIST(Table1[[#This Row],[Birthweight Z-Score]],TRUE)*100,"")</f>
        <v/>
      </c>
      <c r="K4121" s="7" t="str">
        <f>IF(Table1[[#This Row],[Is Data Valid]]=TRUE,_xlfn.NORM.S.DIST(Table1[[#This Row],[Birthweight Z-Score (BW-10%)]],TRUE)*100,"")</f>
        <v/>
      </c>
      <c r="L4121" s="7" t="str">
        <f>IF(Table1[[#This Row],[Is Data Valid]]=TRUE,_xlfn.NORM.S.DIST(Table1[[#This Row],[Birthweight Z-Score (BW+10%)]],TRUE)*100,"")</f>
        <v/>
      </c>
    </row>
    <row r="4122" spans="1:12" x14ac:dyDescent="0.35">
      <c r="A4122" s="3"/>
      <c r="B4122" s="2"/>
      <c r="C4122" s="2"/>
      <c r="D4122" s="2" t="b">
        <f>IF(AND(NOT(ISBLANK(Table1[[#This Row],[Fetal Sex (Male, Female or Unknown)]])),ISNUMBER(Table1[[#This Row],[Birthweight (grams)]]),ISNUMBER(Table1[[#This Row],[Gestation (days)]])),TRUE,FALSE)</f>
        <v>0</v>
      </c>
      <c r="E4122" s="2" t="str">
        <f>IF(Table1[[#This Row],[Is Data Valid]]=TRUE,IF(Table1[[#This Row],[Fetal Sex (Male, Female or Unknown)]]="Male",Backend!$C$6,IF(Table1[[#This Row],[Fetal Sex (Male, Female or Unknown)]]="Female",Backend!$C$7,IF(Table1[[#This Row],[Fetal Sex (Male, Female or Unknown)]]="Unknown",Backend!$C$8,"Error"))),"")</f>
        <v/>
      </c>
      <c r="F4122" s="8" t="str">
        <f>IF(Table1[[#This Row],[Is Data Valid]]=TRUE,EXP(0.578+0.332*((Table1[[#This Row],[Gestation (days)]]+0.5)/7)-0.00354*((Table1[[#This Row],[Gestation (days)]]+0.5)/7)^2)*Table1[[#This Row],[BW40_3705]],"")</f>
        <v/>
      </c>
      <c r="G4122" s="2" t="str">
        <f>IF(Table1[[#This Row],[Is Data Valid]]=TRUE,((Table1[[#This Row],[Birthweight (grams)]]/Table1[[#This Row],[BW_GA]])-1)/(Backend!$B$4/100*Table1[[#This Row],[BW40_3705]]),"")</f>
        <v/>
      </c>
      <c r="H4122" s="7" t="str">
        <f>IF(Table1[[#This Row],[Is Data Valid]]=TRUE,((Table1[[#This Row],[Birthweight (grams)]]*0.9/Table1[[#This Row],[BW_GA]])-1)/(Backend!$B$4/100*Table1[[#This Row],[BW40_3705]]),"")</f>
        <v/>
      </c>
      <c r="I4122" s="7" t="str">
        <f>IF(Table1[[#This Row],[Is Data Valid]]=TRUE,((Table1[[#This Row],[Birthweight (grams)]]*1.1/Table1[[#This Row],[BW_GA]])-1)/(Backend!$B$4/100*Table1[[#This Row],[BW40_3705]]),"")</f>
        <v/>
      </c>
      <c r="J4122" s="7" t="str">
        <f>IF(Table1[[#This Row],[Is Data Valid]]=TRUE,_xlfn.NORM.S.DIST(Table1[[#This Row],[Birthweight Z-Score]],TRUE)*100,"")</f>
        <v/>
      </c>
      <c r="K4122" s="7" t="str">
        <f>IF(Table1[[#This Row],[Is Data Valid]]=TRUE,_xlfn.NORM.S.DIST(Table1[[#This Row],[Birthweight Z-Score (BW-10%)]],TRUE)*100,"")</f>
        <v/>
      </c>
      <c r="L4122" s="7" t="str">
        <f>IF(Table1[[#This Row],[Is Data Valid]]=TRUE,_xlfn.NORM.S.DIST(Table1[[#This Row],[Birthweight Z-Score (BW+10%)]],TRUE)*100,"")</f>
        <v/>
      </c>
    </row>
    <row r="4123" spans="1:12" x14ac:dyDescent="0.35">
      <c r="A4123" s="3"/>
      <c r="B4123" s="2"/>
      <c r="C4123" s="2"/>
      <c r="D4123" s="2" t="b">
        <f>IF(AND(NOT(ISBLANK(Table1[[#This Row],[Fetal Sex (Male, Female or Unknown)]])),ISNUMBER(Table1[[#This Row],[Birthweight (grams)]]),ISNUMBER(Table1[[#This Row],[Gestation (days)]])),TRUE,FALSE)</f>
        <v>0</v>
      </c>
      <c r="E4123" s="2" t="str">
        <f>IF(Table1[[#This Row],[Is Data Valid]]=TRUE,IF(Table1[[#This Row],[Fetal Sex (Male, Female or Unknown)]]="Male",Backend!$C$6,IF(Table1[[#This Row],[Fetal Sex (Male, Female or Unknown)]]="Female",Backend!$C$7,IF(Table1[[#This Row],[Fetal Sex (Male, Female or Unknown)]]="Unknown",Backend!$C$8,"Error"))),"")</f>
        <v/>
      </c>
      <c r="F4123" s="8" t="str">
        <f>IF(Table1[[#This Row],[Is Data Valid]]=TRUE,EXP(0.578+0.332*((Table1[[#This Row],[Gestation (days)]]+0.5)/7)-0.00354*((Table1[[#This Row],[Gestation (days)]]+0.5)/7)^2)*Table1[[#This Row],[BW40_3705]],"")</f>
        <v/>
      </c>
      <c r="G4123" s="2" t="str">
        <f>IF(Table1[[#This Row],[Is Data Valid]]=TRUE,((Table1[[#This Row],[Birthweight (grams)]]/Table1[[#This Row],[BW_GA]])-1)/(Backend!$B$4/100*Table1[[#This Row],[BW40_3705]]),"")</f>
        <v/>
      </c>
      <c r="H4123" s="7" t="str">
        <f>IF(Table1[[#This Row],[Is Data Valid]]=TRUE,((Table1[[#This Row],[Birthweight (grams)]]*0.9/Table1[[#This Row],[BW_GA]])-1)/(Backend!$B$4/100*Table1[[#This Row],[BW40_3705]]),"")</f>
        <v/>
      </c>
      <c r="I4123" s="7" t="str">
        <f>IF(Table1[[#This Row],[Is Data Valid]]=TRUE,((Table1[[#This Row],[Birthweight (grams)]]*1.1/Table1[[#This Row],[BW_GA]])-1)/(Backend!$B$4/100*Table1[[#This Row],[BW40_3705]]),"")</f>
        <v/>
      </c>
      <c r="J4123" s="7" t="str">
        <f>IF(Table1[[#This Row],[Is Data Valid]]=TRUE,_xlfn.NORM.S.DIST(Table1[[#This Row],[Birthweight Z-Score]],TRUE)*100,"")</f>
        <v/>
      </c>
      <c r="K4123" s="7" t="str">
        <f>IF(Table1[[#This Row],[Is Data Valid]]=TRUE,_xlfn.NORM.S.DIST(Table1[[#This Row],[Birthweight Z-Score (BW-10%)]],TRUE)*100,"")</f>
        <v/>
      </c>
      <c r="L4123" s="7" t="str">
        <f>IF(Table1[[#This Row],[Is Data Valid]]=TRUE,_xlfn.NORM.S.DIST(Table1[[#This Row],[Birthweight Z-Score (BW+10%)]],TRUE)*100,"")</f>
        <v/>
      </c>
    </row>
    <row r="4124" spans="1:12" x14ac:dyDescent="0.35">
      <c r="A4124" s="3"/>
      <c r="B4124" s="2"/>
      <c r="C4124" s="2"/>
      <c r="D4124" s="2" t="b">
        <f>IF(AND(NOT(ISBLANK(Table1[[#This Row],[Fetal Sex (Male, Female or Unknown)]])),ISNUMBER(Table1[[#This Row],[Birthweight (grams)]]),ISNUMBER(Table1[[#This Row],[Gestation (days)]])),TRUE,FALSE)</f>
        <v>0</v>
      </c>
      <c r="E4124" s="2" t="str">
        <f>IF(Table1[[#This Row],[Is Data Valid]]=TRUE,IF(Table1[[#This Row],[Fetal Sex (Male, Female or Unknown)]]="Male",Backend!$C$6,IF(Table1[[#This Row],[Fetal Sex (Male, Female or Unknown)]]="Female",Backend!$C$7,IF(Table1[[#This Row],[Fetal Sex (Male, Female or Unknown)]]="Unknown",Backend!$C$8,"Error"))),"")</f>
        <v/>
      </c>
      <c r="F4124" s="8" t="str">
        <f>IF(Table1[[#This Row],[Is Data Valid]]=TRUE,EXP(0.578+0.332*((Table1[[#This Row],[Gestation (days)]]+0.5)/7)-0.00354*((Table1[[#This Row],[Gestation (days)]]+0.5)/7)^2)*Table1[[#This Row],[BW40_3705]],"")</f>
        <v/>
      </c>
      <c r="G4124" s="2" t="str">
        <f>IF(Table1[[#This Row],[Is Data Valid]]=TRUE,((Table1[[#This Row],[Birthweight (grams)]]/Table1[[#This Row],[BW_GA]])-1)/(Backend!$B$4/100*Table1[[#This Row],[BW40_3705]]),"")</f>
        <v/>
      </c>
      <c r="H4124" s="7" t="str">
        <f>IF(Table1[[#This Row],[Is Data Valid]]=TRUE,((Table1[[#This Row],[Birthweight (grams)]]*0.9/Table1[[#This Row],[BW_GA]])-1)/(Backend!$B$4/100*Table1[[#This Row],[BW40_3705]]),"")</f>
        <v/>
      </c>
      <c r="I4124" s="7" t="str">
        <f>IF(Table1[[#This Row],[Is Data Valid]]=TRUE,((Table1[[#This Row],[Birthweight (grams)]]*1.1/Table1[[#This Row],[BW_GA]])-1)/(Backend!$B$4/100*Table1[[#This Row],[BW40_3705]]),"")</f>
        <v/>
      </c>
      <c r="J4124" s="7" t="str">
        <f>IF(Table1[[#This Row],[Is Data Valid]]=TRUE,_xlfn.NORM.S.DIST(Table1[[#This Row],[Birthweight Z-Score]],TRUE)*100,"")</f>
        <v/>
      </c>
      <c r="K4124" s="7" t="str">
        <f>IF(Table1[[#This Row],[Is Data Valid]]=TRUE,_xlfn.NORM.S.DIST(Table1[[#This Row],[Birthweight Z-Score (BW-10%)]],TRUE)*100,"")</f>
        <v/>
      </c>
      <c r="L4124" s="7" t="str">
        <f>IF(Table1[[#This Row],[Is Data Valid]]=TRUE,_xlfn.NORM.S.DIST(Table1[[#This Row],[Birthweight Z-Score (BW+10%)]],TRUE)*100,"")</f>
        <v/>
      </c>
    </row>
    <row r="4125" spans="1:12" x14ac:dyDescent="0.35">
      <c r="A4125" s="3"/>
      <c r="B4125" s="2"/>
      <c r="C4125" s="2"/>
      <c r="D4125" s="2" t="b">
        <f>IF(AND(NOT(ISBLANK(Table1[[#This Row],[Fetal Sex (Male, Female or Unknown)]])),ISNUMBER(Table1[[#This Row],[Birthweight (grams)]]),ISNUMBER(Table1[[#This Row],[Gestation (days)]])),TRUE,FALSE)</f>
        <v>0</v>
      </c>
      <c r="E4125" s="2" t="str">
        <f>IF(Table1[[#This Row],[Is Data Valid]]=TRUE,IF(Table1[[#This Row],[Fetal Sex (Male, Female or Unknown)]]="Male",Backend!$C$6,IF(Table1[[#This Row],[Fetal Sex (Male, Female or Unknown)]]="Female",Backend!$C$7,IF(Table1[[#This Row],[Fetal Sex (Male, Female or Unknown)]]="Unknown",Backend!$C$8,"Error"))),"")</f>
        <v/>
      </c>
      <c r="F4125" s="8" t="str">
        <f>IF(Table1[[#This Row],[Is Data Valid]]=TRUE,EXP(0.578+0.332*((Table1[[#This Row],[Gestation (days)]]+0.5)/7)-0.00354*((Table1[[#This Row],[Gestation (days)]]+0.5)/7)^2)*Table1[[#This Row],[BW40_3705]],"")</f>
        <v/>
      </c>
      <c r="G4125" s="2" t="str">
        <f>IF(Table1[[#This Row],[Is Data Valid]]=TRUE,((Table1[[#This Row],[Birthweight (grams)]]/Table1[[#This Row],[BW_GA]])-1)/(Backend!$B$4/100*Table1[[#This Row],[BW40_3705]]),"")</f>
        <v/>
      </c>
      <c r="H4125" s="7" t="str">
        <f>IF(Table1[[#This Row],[Is Data Valid]]=TRUE,((Table1[[#This Row],[Birthweight (grams)]]*0.9/Table1[[#This Row],[BW_GA]])-1)/(Backend!$B$4/100*Table1[[#This Row],[BW40_3705]]),"")</f>
        <v/>
      </c>
      <c r="I4125" s="7" t="str">
        <f>IF(Table1[[#This Row],[Is Data Valid]]=TRUE,((Table1[[#This Row],[Birthweight (grams)]]*1.1/Table1[[#This Row],[BW_GA]])-1)/(Backend!$B$4/100*Table1[[#This Row],[BW40_3705]]),"")</f>
        <v/>
      </c>
      <c r="J4125" s="7" t="str">
        <f>IF(Table1[[#This Row],[Is Data Valid]]=TRUE,_xlfn.NORM.S.DIST(Table1[[#This Row],[Birthweight Z-Score]],TRUE)*100,"")</f>
        <v/>
      </c>
      <c r="K4125" s="7" t="str">
        <f>IF(Table1[[#This Row],[Is Data Valid]]=TRUE,_xlfn.NORM.S.DIST(Table1[[#This Row],[Birthweight Z-Score (BW-10%)]],TRUE)*100,"")</f>
        <v/>
      </c>
      <c r="L4125" s="7" t="str">
        <f>IF(Table1[[#This Row],[Is Data Valid]]=TRUE,_xlfn.NORM.S.DIST(Table1[[#This Row],[Birthweight Z-Score (BW+10%)]],TRUE)*100,"")</f>
        <v/>
      </c>
    </row>
    <row r="4126" spans="1:12" x14ac:dyDescent="0.35">
      <c r="A4126" s="3"/>
      <c r="B4126" s="2"/>
      <c r="C4126" s="2"/>
      <c r="D4126" s="2" t="b">
        <f>IF(AND(NOT(ISBLANK(Table1[[#This Row],[Fetal Sex (Male, Female or Unknown)]])),ISNUMBER(Table1[[#This Row],[Birthweight (grams)]]),ISNUMBER(Table1[[#This Row],[Gestation (days)]])),TRUE,FALSE)</f>
        <v>0</v>
      </c>
      <c r="E4126" s="2" t="str">
        <f>IF(Table1[[#This Row],[Is Data Valid]]=TRUE,IF(Table1[[#This Row],[Fetal Sex (Male, Female or Unknown)]]="Male",Backend!$C$6,IF(Table1[[#This Row],[Fetal Sex (Male, Female or Unknown)]]="Female",Backend!$C$7,IF(Table1[[#This Row],[Fetal Sex (Male, Female or Unknown)]]="Unknown",Backend!$C$8,"Error"))),"")</f>
        <v/>
      </c>
      <c r="F4126" s="8" t="str">
        <f>IF(Table1[[#This Row],[Is Data Valid]]=TRUE,EXP(0.578+0.332*((Table1[[#This Row],[Gestation (days)]]+0.5)/7)-0.00354*((Table1[[#This Row],[Gestation (days)]]+0.5)/7)^2)*Table1[[#This Row],[BW40_3705]],"")</f>
        <v/>
      </c>
      <c r="G4126" s="2" t="str">
        <f>IF(Table1[[#This Row],[Is Data Valid]]=TRUE,((Table1[[#This Row],[Birthweight (grams)]]/Table1[[#This Row],[BW_GA]])-1)/(Backend!$B$4/100*Table1[[#This Row],[BW40_3705]]),"")</f>
        <v/>
      </c>
      <c r="H4126" s="7" t="str">
        <f>IF(Table1[[#This Row],[Is Data Valid]]=TRUE,((Table1[[#This Row],[Birthweight (grams)]]*0.9/Table1[[#This Row],[BW_GA]])-1)/(Backend!$B$4/100*Table1[[#This Row],[BW40_3705]]),"")</f>
        <v/>
      </c>
      <c r="I4126" s="7" t="str">
        <f>IF(Table1[[#This Row],[Is Data Valid]]=TRUE,((Table1[[#This Row],[Birthweight (grams)]]*1.1/Table1[[#This Row],[BW_GA]])-1)/(Backend!$B$4/100*Table1[[#This Row],[BW40_3705]]),"")</f>
        <v/>
      </c>
      <c r="J4126" s="7" t="str">
        <f>IF(Table1[[#This Row],[Is Data Valid]]=TRUE,_xlfn.NORM.S.DIST(Table1[[#This Row],[Birthweight Z-Score]],TRUE)*100,"")</f>
        <v/>
      </c>
      <c r="K4126" s="7" t="str">
        <f>IF(Table1[[#This Row],[Is Data Valid]]=TRUE,_xlfn.NORM.S.DIST(Table1[[#This Row],[Birthweight Z-Score (BW-10%)]],TRUE)*100,"")</f>
        <v/>
      </c>
      <c r="L4126" s="7" t="str">
        <f>IF(Table1[[#This Row],[Is Data Valid]]=TRUE,_xlfn.NORM.S.DIST(Table1[[#This Row],[Birthweight Z-Score (BW+10%)]],TRUE)*100,"")</f>
        <v/>
      </c>
    </row>
    <row r="4127" spans="1:12" x14ac:dyDescent="0.35">
      <c r="A4127" s="3"/>
      <c r="B4127" s="2"/>
      <c r="C4127" s="2"/>
      <c r="D4127" s="2" t="b">
        <f>IF(AND(NOT(ISBLANK(Table1[[#This Row],[Fetal Sex (Male, Female or Unknown)]])),ISNUMBER(Table1[[#This Row],[Birthweight (grams)]]),ISNUMBER(Table1[[#This Row],[Gestation (days)]])),TRUE,FALSE)</f>
        <v>0</v>
      </c>
      <c r="E4127" s="2" t="str">
        <f>IF(Table1[[#This Row],[Is Data Valid]]=TRUE,IF(Table1[[#This Row],[Fetal Sex (Male, Female or Unknown)]]="Male",Backend!$C$6,IF(Table1[[#This Row],[Fetal Sex (Male, Female or Unknown)]]="Female",Backend!$C$7,IF(Table1[[#This Row],[Fetal Sex (Male, Female or Unknown)]]="Unknown",Backend!$C$8,"Error"))),"")</f>
        <v/>
      </c>
      <c r="F4127" s="8" t="str">
        <f>IF(Table1[[#This Row],[Is Data Valid]]=TRUE,EXP(0.578+0.332*((Table1[[#This Row],[Gestation (days)]]+0.5)/7)-0.00354*((Table1[[#This Row],[Gestation (days)]]+0.5)/7)^2)*Table1[[#This Row],[BW40_3705]],"")</f>
        <v/>
      </c>
      <c r="G4127" s="2" t="str">
        <f>IF(Table1[[#This Row],[Is Data Valid]]=TRUE,((Table1[[#This Row],[Birthweight (grams)]]/Table1[[#This Row],[BW_GA]])-1)/(Backend!$B$4/100*Table1[[#This Row],[BW40_3705]]),"")</f>
        <v/>
      </c>
      <c r="H4127" s="7" t="str">
        <f>IF(Table1[[#This Row],[Is Data Valid]]=TRUE,((Table1[[#This Row],[Birthweight (grams)]]*0.9/Table1[[#This Row],[BW_GA]])-1)/(Backend!$B$4/100*Table1[[#This Row],[BW40_3705]]),"")</f>
        <v/>
      </c>
      <c r="I4127" s="7" t="str">
        <f>IF(Table1[[#This Row],[Is Data Valid]]=TRUE,((Table1[[#This Row],[Birthweight (grams)]]*1.1/Table1[[#This Row],[BW_GA]])-1)/(Backend!$B$4/100*Table1[[#This Row],[BW40_3705]]),"")</f>
        <v/>
      </c>
      <c r="J4127" s="7" t="str">
        <f>IF(Table1[[#This Row],[Is Data Valid]]=TRUE,_xlfn.NORM.S.DIST(Table1[[#This Row],[Birthweight Z-Score]],TRUE)*100,"")</f>
        <v/>
      </c>
      <c r="K4127" s="7" t="str">
        <f>IF(Table1[[#This Row],[Is Data Valid]]=TRUE,_xlfn.NORM.S.DIST(Table1[[#This Row],[Birthweight Z-Score (BW-10%)]],TRUE)*100,"")</f>
        <v/>
      </c>
      <c r="L4127" s="7" t="str">
        <f>IF(Table1[[#This Row],[Is Data Valid]]=TRUE,_xlfn.NORM.S.DIST(Table1[[#This Row],[Birthweight Z-Score (BW+10%)]],TRUE)*100,"")</f>
        <v/>
      </c>
    </row>
    <row r="4128" spans="1:12" x14ac:dyDescent="0.35">
      <c r="A4128" s="3"/>
      <c r="B4128" s="2"/>
      <c r="C4128" s="2"/>
      <c r="D4128" s="2" t="b">
        <f>IF(AND(NOT(ISBLANK(Table1[[#This Row],[Fetal Sex (Male, Female or Unknown)]])),ISNUMBER(Table1[[#This Row],[Birthweight (grams)]]),ISNUMBER(Table1[[#This Row],[Gestation (days)]])),TRUE,FALSE)</f>
        <v>0</v>
      </c>
      <c r="E4128" s="2" t="str">
        <f>IF(Table1[[#This Row],[Is Data Valid]]=TRUE,IF(Table1[[#This Row],[Fetal Sex (Male, Female or Unknown)]]="Male",Backend!$C$6,IF(Table1[[#This Row],[Fetal Sex (Male, Female or Unknown)]]="Female",Backend!$C$7,IF(Table1[[#This Row],[Fetal Sex (Male, Female or Unknown)]]="Unknown",Backend!$C$8,"Error"))),"")</f>
        <v/>
      </c>
      <c r="F4128" s="8" t="str">
        <f>IF(Table1[[#This Row],[Is Data Valid]]=TRUE,EXP(0.578+0.332*((Table1[[#This Row],[Gestation (days)]]+0.5)/7)-0.00354*((Table1[[#This Row],[Gestation (days)]]+0.5)/7)^2)*Table1[[#This Row],[BW40_3705]],"")</f>
        <v/>
      </c>
      <c r="G4128" s="2" t="str">
        <f>IF(Table1[[#This Row],[Is Data Valid]]=TRUE,((Table1[[#This Row],[Birthweight (grams)]]/Table1[[#This Row],[BW_GA]])-1)/(Backend!$B$4/100*Table1[[#This Row],[BW40_3705]]),"")</f>
        <v/>
      </c>
      <c r="H4128" s="7" t="str">
        <f>IF(Table1[[#This Row],[Is Data Valid]]=TRUE,((Table1[[#This Row],[Birthweight (grams)]]*0.9/Table1[[#This Row],[BW_GA]])-1)/(Backend!$B$4/100*Table1[[#This Row],[BW40_3705]]),"")</f>
        <v/>
      </c>
      <c r="I4128" s="7" t="str">
        <f>IF(Table1[[#This Row],[Is Data Valid]]=TRUE,((Table1[[#This Row],[Birthweight (grams)]]*1.1/Table1[[#This Row],[BW_GA]])-1)/(Backend!$B$4/100*Table1[[#This Row],[BW40_3705]]),"")</f>
        <v/>
      </c>
      <c r="J4128" s="7" t="str">
        <f>IF(Table1[[#This Row],[Is Data Valid]]=TRUE,_xlfn.NORM.S.DIST(Table1[[#This Row],[Birthweight Z-Score]],TRUE)*100,"")</f>
        <v/>
      </c>
      <c r="K4128" s="7" t="str">
        <f>IF(Table1[[#This Row],[Is Data Valid]]=TRUE,_xlfn.NORM.S.DIST(Table1[[#This Row],[Birthweight Z-Score (BW-10%)]],TRUE)*100,"")</f>
        <v/>
      </c>
      <c r="L4128" s="7" t="str">
        <f>IF(Table1[[#This Row],[Is Data Valid]]=TRUE,_xlfn.NORM.S.DIST(Table1[[#This Row],[Birthweight Z-Score (BW+10%)]],TRUE)*100,"")</f>
        <v/>
      </c>
    </row>
    <row r="4129" spans="1:12" x14ac:dyDescent="0.35">
      <c r="A4129" s="3"/>
      <c r="B4129" s="2"/>
      <c r="C4129" s="2"/>
      <c r="D4129" s="2" t="b">
        <f>IF(AND(NOT(ISBLANK(Table1[[#This Row],[Fetal Sex (Male, Female or Unknown)]])),ISNUMBER(Table1[[#This Row],[Birthweight (grams)]]),ISNUMBER(Table1[[#This Row],[Gestation (days)]])),TRUE,FALSE)</f>
        <v>0</v>
      </c>
      <c r="E4129" s="2" t="str">
        <f>IF(Table1[[#This Row],[Is Data Valid]]=TRUE,IF(Table1[[#This Row],[Fetal Sex (Male, Female or Unknown)]]="Male",Backend!$C$6,IF(Table1[[#This Row],[Fetal Sex (Male, Female or Unknown)]]="Female",Backend!$C$7,IF(Table1[[#This Row],[Fetal Sex (Male, Female or Unknown)]]="Unknown",Backend!$C$8,"Error"))),"")</f>
        <v/>
      </c>
      <c r="F4129" s="8" t="str">
        <f>IF(Table1[[#This Row],[Is Data Valid]]=TRUE,EXP(0.578+0.332*((Table1[[#This Row],[Gestation (days)]]+0.5)/7)-0.00354*((Table1[[#This Row],[Gestation (days)]]+0.5)/7)^2)*Table1[[#This Row],[BW40_3705]],"")</f>
        <v/>
      </c>
      <c r="G4129" s="2" t="str">
        <f>IF(Table1[[#This Row],[Is Data Valid]]=TRUE,((Table1[[#This Row],[Birthweight (grams)]]/Table1[[#This Row],[BW_GA]])-1)/(Backend!$B$4/100*Table1[[#This Row],[BW40_3705]]),"")</f>
        <v/>
      </c>
      <c r="H4129" s="7" t="str">
        <f>IF(Table1[[#This Row],[Is Data Valid]]=TRUE,((Table1[[#This Row],[Birthweight (grams)]]*0.9/Table1[[#This Row],[BW_GA]])-1)/(Backend!$B$4/100*Table1[[#This Row],[BW40_3705]]),"")</f>
        <v/>
      </c>
      <c r="I4129" s="7" t="str">
        <f>IF(Table1[[#This Row],[Is Data Valid]]=TRUE,((Table1[[#This Row],[Birthweight (grams)]]*1.1/Table1[[#This Row],[BW_GA]])-1)/(Backend!$B$4/100*Table1[[#This Row],[BW40_3705]]),"")</f>
        <v/>
      </c>
      <c r="J4129" s="7" t="str">
        <f>IF(Table1[[#This Row],[Is Data Valid]]=TRUE,_xlfn.NORM.S.DIST(Table1[[#This Row],[Birthweight Z-Score]],TRUE)*100,"")</f>
        <v/>
      </c>
      <c r="K4129" s="7" t="str">
        <f>IF(Table1[[#This Row],[Is Data Valid]]=TRUE,_xlfn.NORM.S.DIST(Table1[[#This Row],[Birthweight Z-Score (BW-10%)]],TRUE)*100,"")</f>
        <v/>
      </c>
      <c r="L4129" s="7" t="str">
        <f>IF(Table1[[#This Row],[Is Data Valid]]=TRUE,_xlfn.NORM.S.DIST(Table1[[#This Row],[Birthweight Z-Score (BW+10%)]],TRUE)*100,"")</f>
        <v/>
      </c>
    </row>
    <row r="4130" spans="1:12" x14ac:dyDescent="0.35">
      <c r="A4130" s="3"/>
      <c r="B4130" s="2"/>
      <c r="C4130" s="2"/>
      <c r="D4130" s="2" t="b">
        <f>IF(AND(NOT(ISBLANK(Table1[[#This Row],[Fetal Sex (Male, Female or Unknown)]])),ISNUMBER(Table1[[#This Row],[Birthweight (grams)]]),ISNUMBER(Table1[[#This Row],[Gestation (days)]])),TRUE,FALSE)</f>
        <v>0</v>
      </c>
      <c r="E4130" s="2" t="str">
        <f>IF(Table1[[#This Row],[Is Data Valid]]=TRUE,IF(Table1[[#This Row],[Fetal Sex (Male, Female or Unknown)]]="Male",Backend!$C$6,IF(Table1[[#This Row],[Fetal Sex (Male, Female or Unknown)]]="Female",Backend!$C$7,IF(Table1[[#This Row],[Fetal Sex (Male, Female or Unknown)]]="Unknown",Backend!$C$8,"Error"))),"")</f>
        <v/>
      </c>
      <c r="F4130" s="8" t="str">
        <f>IF(Table1[[#This Row],[Is Data Valid]]=TRUE,EXP(0.578+0.332*((Table1[[#This Row],[Gestation (days)]]+0.5)/7)-0.00354*((Table1[[#This Row],[Gestation (days)]]+0.5)/7)^2)*Table1[[#This Row],[BW40_3705]],"")</f>
        <v/>
      </c>
      <c r="G4130" s="2" t="str">
        <f>IF(Table1[[#This Row],[Is Data Valid]]=TRUE,((Table1[[#This Row],[Birthweight (grams)]]/Table1[[#This Row],[BW_GA]])-1)/(Backend!$B$4/100*Table1[[#This Row],[BW40_3705]]),"")</f>
        <v/>
      </c>
      <c r="H4130" s="7" t="str">
        <f>IF(Table1[[#This Row],[Is Data Valid]]=TRUE,((Table1[[#This Row],[Birthweight (grams)]]*0.9/Table1[[#This Row],[BW_GA]])-1)/(Backend!$B$4/100*Table1[[#This Row],[BW40_3705]]),"")</f>
        <v/>
      </c>
      <c r="I4130" s="7" t="str">
        <f>IF(Table1[[#This Row],[Is Data Valid]]=TRUE,((Table1[[#This Row],[Birthweight (grams)]]*1.1/Table1[[#This Row],[BW_GA]])-1)/(Backend!$B$4/100*Table1[[#This Row],[BW40_3705]]),"")</f>
        <v/>
      </c>
      <c r="J4130" s="7" t="str">
        <f>IF(Table1[[#This Row],[Is Data Valid]]=TRUE,_xlfn.NORM.S.DIST(Table1[[#This Row],[Birthweight Z-Score]],TRUE)*100,"")</f>
        <v/>
      </c>
      <c r="K4130" s="7" t="str">
        <f>IF(Table1[[#This Row],[Is Data Valid]]=TRUE,_xlfn.NORM.S.DIST(Table1[[#This Row],[Birthweight Z-Score (BW-10%)]],TRUE)*100,"")</f>
        <v/>
      </c>
      <c r="L4130" s="7" t="str">
        <f>IF(Table1[[#This Row],[Is Data Valid]]=TRUE,_xlfn.NORM.S.DIST(Table1[[#This Row],[Birthweight Z-Score (BW+10%)]],TRUE)*100,"")</f>
        <v/>
      </c>
    </row>
    <row r="4131" spans="1:12" x14ac:dyDescent="0.35">
      <c r="A4131" s="3"/>
      <c r="B4131" s="2"/>
      <c r="C4131" s="2"/>
      <c r="D4131" s="2" t="b">
        <f>IF(AND(NOT(ISBLANK(Table1[[#This Row],[Fetal Sex (Male, Female or Unknown)]])),ISNUMBER(Table1[[#This Row],[Birthweight (grams)]]),ISNUMBER(Table1[[#This Row],[Gestation (days)]])),TRUE,FALSE)</f>
        <v>0</v>
      </c>
      <c r="E4131" s="2" t="str">
        <f>IF(Table1[[#This Row],[Is Data Valid]]=TRUE,IF(Table1[[#This Row],[Fetal Sex (Male, Female or Unknown)]]="Male",Backend!$C$6,IF(Table1[[#This Row],[Fetal Sex (Male, Female or Unknown)]]="Female",Backend!$C$7,IF(Table1[[#This Row],[Fetal Sex (Male, Female or Unknown)]]="Unknown",Backend!$C$8,"Error"))),"")</f>
        <v/>
      </c>
      <c r="F4131" s="8" t="str">
        <f>IF(Table1[[#This Row],[Is Data Valid]]=TRUE,EXP(0.578+0.332*((Table1[[#This Row],[Gestation (days)]]+0.5)/7)-0.00354*((Table1[[#This Row],[Gestation (days)]]+0.5)/7)^2)*Table1[[#This Row],[BW40_3705]],"")</f>
        <v/>
      </c>
      <c r="G4131" s="2" t="str">
        <f>IF(Table1[[#This Row],[Is Data Valid]]=TRUE,((Table1[[#This Row],[Birthweight (grams)]]/Table1[[#This Row],[BW_GA]])-1)/(Backend!$B$4/100*Table1[[#This Row],[BW40_3705]]),"")</f>
        <v/>
      </c>
      <c r="H4131" s="7" t="str">
        <f>IF(Table1[[#This Row],[Is Data Valid]]=TRUE,((Table1[[#This Row],[Birthweight (grams)]]*0.9/Table1[[#This Row],[BW_GA]])-1)/(Backend!$B$4/100*Table1[[#This Row],[BW40_3705]]),"")</f>
        <v/>
      </c>
      <c r="I4131" s="7" t="str">
        <f>IF(Table1[[#This Row],[Is Data Valid]]=TRUE,((Table1[[#This Row],[Birthweight (grams)]]*1.1/Table1[[#This Row],[BW_GA]])-1)/(Backend!$B$4/100*Table1[[#This Row],[BW40_3705]]),"")</f>
        <v/>
      </c>
      <c r="J4131" s="7" t="str">
        <f>IF(Table1[[#This Row],[Is Data Valid]]=TRUE,_xlfn.NORM.S.DIST(Table1[[#This Row],[Birthweight Z-Score]],TRUE)*100,"")</f>
        <v/>
      </c>
      <c r="K4131" s="7" t="str">
        <f>IF(Table1[[#This Row],[Is Data Valid]]=TRUE,_xlfn.NORM.S.DIST(Table1[[#This Row],[Birthweight Z-Score (BW-10%)]],TRUE)*100,"")</f>
        <v/>
      </c>
      <c r="L4131" s="7" t="str">
        <f>IF(Table1[[#This Row],[Is Data Valid]]=TRUE,_xlfn.NORM.S.DIST(Table1[[#This Row],[Birthweight Z-Score (BW+10%)]],TRUE)*100,"")</f>
        <v/>
      </c>
    </row>
    <row r="4132" spans="1:12" x14ac:dyDescent="0.35">
      <c r="A4132" s="3"/>
      <c r="B4132" s="2"/>
      <c r="C4132" s="2"/>
      <c r="D4132" s="2" t="b">
        <f>IF(AND(NOT(ISBLANK(Table1[[#This Row],[Fetal Sex (Male, Female or Unknown)]])),ISNUMBER(Table1[[#This Row],[Birthweight (grams)]]),ISNUMBER(Table1[[#This Row],[Gestation (days)]])),TRUE,FALSE)</f>
        <v>0</v>
      </c>
      <c r="E4132" s="2" t="str">
        <f>IF(Table1[[#This Row],[Is Data Valid]]=TRUE,IF(Table1[[#This Row],[Fetal Sex (Male, Female or Unknown)]]="Male",Backend!$C$6,IF(Table1[[#This Row],[Fetal Sex (Male, Female or Unknown)]]="Female",Backend!$C$7,IF(Table1[[#This Row],[Fetal Sex (Male, Female or Unknown)]]="Unknown",Backend!$C$8,"Error"))),"")</f>
        <v/>
      </c>
      <c r="F4132" s="8" t="str">
        <f>IF(Table1[[#This Row],[Is Data Valid]]=TRUE,EXP(0.578+0.332*((Table1[[#This Row],[Gestation (days)]]+0.5)/7)-0.00354*((Table1[[#This Row],[Gestation (days)]]+0.5)/7)^2)*Table1[[#This Row],[BW40_3705]],"")</f>
        <v/>
      </c>
      <c r="G4132" s="2" t="str">
        <f>IF(Table1[[#This Row],[Is Data Valid]]=TRUE,((Table1[[#This Row],[Birthweight (grams)]]/Table1[[#This Row],[BW_GA]])-1)/(Backend!$B$4/100*Table1[[#This Row],[BW40_3705]]),"")</f>
        <v/>
      </c>
      <c r="H4132" s="7" t="str">
        <f>IF(Table1[[#This Row],[Is Data Valid]]=TRUE,((Table1[[#This Row],[Birthweight (grams)]]*0.9/Table1[[#This Row],[BW_GA]])-1)/(Backend!$B$4/100*Table1[[#This Row],[BW40_3705]]),"")</f>
        <v/>
      </c>
      <c r="I4132" s="7" t="str">
        <f>IF(Table1[[#This Row],[Is Data Valid]]=TRUE,((Table1[[#This Row],[Birthweight (grams)]]*1.1/Table1[[#This Row],[BW_GA]])-1)/(Backend!$B$4/100*Table1[[#This Row],[BW40_3705]]),"")</f>
        <v/>
      </c>
      <c r="J4132" s="7" t="str">
        <f>IF(Table1[[#This Row],[Is Data Valid]]=TRUE,_xlfn.NORM.S.DIST(Table1[[#This Row],[Birthweight Z-Score]],TRUE)*100,"")</f>
        <v/>
      </c>
      <c r="K4132" s="7" t="str">
        <f>IF(Table1[[#This Row],[Is Data Valid]]=TRUE,_xlfn.NORM.S.DIST(Table1[[#This Row],[Birthweight Z-Score (BW-10%)]],TRUE)*100,"")</f>
        <v/>
      </c>
      <c r="L4132" s="7" t="str">
        <f>IF(Table1[[#This Row],[Is Data Valid]]=TRUE,_xlfn.NORM.S.DIST(Table1[[#This Row],[Birthweight Z-Score (BW+10%)]],TRUE)*100,"")</f>
        <v/>
      </c>
    </row>
    <row r="4133" spans="1:12" x14ac:dyDescent="0.35">
      <c r="A4133" s="3"/>
      <c r="B4133" s="2"/>
      <c r="C4133" s="2"/>
      <c r="D4133" s="2" t="b">
        <f>IF(AND(NOT(ISBLANK(Table1[[#This Row],[Fetal Sex (Male, Female or Unknown)]])),ISNUMBER(Table1[[#This Row],[Birthweight (grams)]]),ISNUMBER(Table1[[#This Row],[Gestation (days)]])),TRUE,FALSE)</f>
        <v>0</v>
      </c>
      <c r="E4133" s="2" t="str">
        <f>IF(Table1[[#This Row],[Is Data Valid]]=TRUE,IF(Table1[[#This Row],[Fetal Sex (Male, Female or Unknown)]]="Male",Backend!$C$6,IF(Table1[[#This Row],[Fetal Sex (Male, Female or Unknown)]]="Female",Backend!$C$7,IF(Table1[[#This Row],[Fetal Sex (Male, Female or Unknown)]]="Unknown",Backend!$C$8,"Error"))),"")</f>
        <v/>
      </c>
      <c r="F4133" s="8" t="str">
        <f>IF(Table1[[#This Row],[Is Data Valid]]=TRUE,EXP(0.578+0.332*((Table1[[#This Row],[Gestation (days)]]+0.5)/7)-0.00354*((Table1[[#This Row],[Gestation (days)]]+0.5)/7)^2)*Table1[[#This Row],[BW40_3705]],"")</f>
        <v/>
      </c>
      <c r="G4133" s="2" t="str">
        <f>IF(Table1[[#This Row],[Is Data Valid]]=TRUE,((Table1[[#This Row],[Birthweight (grams)]]/Table1[[#This Row],[BW_GA]])-1)/(Backend!$B$4/100*Table1[[#This Row],[BW40_3705]]),"")</f>
        <v/>
      </c>
      <c r="H4133" s="7" t="str">
        <f>IF(Table1[[#This Row],[Is Data Valid]]=TRUE,((Table1[[#This Row],[Birthweight (grams)]]*0.9/Table1[[#This Row],[BW_GA]])-1)/(Backend!$B$4/100*Table1[[#This Row],[BW40_3705]]),"")</f>
        <v/>
      </c>
      <c r="I4133" s="7" t="str">
        <f>IF(Table1[[#This Row],[Is Data Valid]]=TRUE,((Table1[[#This Row],[Birthweight (grams)]]*1.1/Table1[[#This Row],[BW_GA]])-1)/(Backend!$B$4/100*Table1[[#This Row],[BW40_3705]]),"")</f>
        <v/>
      </c>
      <c r="J4133" s="7" t="str">
        <f>IF(Table1[[#This Row],[Is Data Valid]]=TRUE,_xlfn.NORM.S.DIST(Table1[[#This Row],[Birthweight Z-Score]],TRUE)*100,"")</f>
        <v/>
      </c>
      <c r="K4133" s="7" t="str">
        <f>IF(Table1[[#This Row],[Is Data Valid]]=TRUE,_xlfn.NORM.S.DIST(Table1[[#This Row],[Birthweight Z-Score (BW-10%)]],TRUE)*100,"")</f>
        <v/>
      </c>
      <c r="L4133" s="7" t="str">
        <f>IF(Table1[[#This Row],[Is Data Valid]]=TRUE,_xlfn.NORM.S.DIST(Table1[[#This Row],[Birthweight Z-Score (BW+10%)]],TRUE)*100,"")</f>
        <v/>
      </c>
    </row>
    <row r="4134" spans="1:12" x14ac:dyDescent="0.35">
      <c r="A4134" s="3"/>
      <c r="B4134" s="2"/>
      <c r="C4134" s="2"/>
      <c r="D4134" s="2" t="b">
        <f>IF(AND(NOT(ISBLANK(Table1[[#This Row],[Fetal Sex (Male, Female or Unknown)]])),ISNUMBER(Table1[[#This Row],[Birthweight (grams)]]),ISNUMBER(Table1[[#This Row],[Gestation (days)]])),TRUE,FALSE)</f>
        <v>0</v>
      </c>
      <c r="E4134" s="2" t="str">
        <f>IF(Table1[[#This Row],[Is Data Valid]]=TRUE,IF(Table1[[#This Row],[Fetal Sex (Male, Female or Unknown)]]="Male",Backend!$C$6,IF(Table1[[#This Row],[Fetal Sex (Male, Female or Unknown)]]="Female",Backend!$C$7,IF(Table1[[#This Row],[Fetal Sex (Male, Female or Unknown)]]="Unknown",Backend!$C$8,"Error"))),"")</f>
        <v/>
      </c>
      <c r="F4134" s="8" t="str">
        <f>IF(Table1[[#This Row],[Is Data Valid]]=TRUE,EXP(0.578+0.332*((Table1[[#This Row],[Gestation (days)]]+0.5)/7)-0.00354*((Table1[[#This Row],[Gestation (days)]]+0.5)/7)^2)*Table1[[#This Row],[BW40_3705]],"")</f>
        <v/>
      </c>
      <c r="G4134" s="2" t="str">
        <f>IF(Table1[[#This Row],[Is Data Valid]]=TRUE,((Table1[[#This Row],[Birthweight (grams)]]/Table1[[#This Row],[BW_GA]])-1)/(Backend!$B$4/100*Table1[[#This Row],[BW40_3705]]),"")</f>
        <v/>
      </c>
      <c r="H4134" s="7" t="str">
        <f>IF(Table1[[#This Row],[Is Data Valid]]=TRUE,((Table1[[#This Row],[Birthweight (grams)]]*0.9/Table1[[#This Row],[BW_GA]])-1)/(Backend!$B$4/100*Table1[[#This Row],[BW40_3705]]),"")</f>
        <v/>
      </c>
      <c r="I4134" s="7" t="str">
        <f>IF(Table1[[#This Row],[Is Data Valid]]=TRUE,((Table1[[#This Row],[Birthweight (grams)]]*1.1/Table1[[#This Row],[BW_GA]])-1)/(Backend!$B$4/100*Table1[[#This Row],[BW40_3705]]),"")</f>
        <v/>
      </c>
      <c r="J4134" s="7" t="str">
        <f>IF(Table1[[#This Row],[Is Data Valid]]=TRUE,_xlfn.NORM.S.DIST(Table1[[#This Row],[Birthweight Z-Score]],TRUE)*100,"")</f>
        <v/>
      </c>
      <c r="K4134" s="7" t="str">
        <f>IF(Table1[[#This Row],[Is Data Valid]]=TRUE,_xlfn.NORM.S.DIST(Table1[[#This Row],[Birthweight Z-Score (BW-10%)]],TRUE)*100,"")</f>
        <v/>
      </c>
      <c r="L4134" s="7" t="str">
        <f>IF(Table1[[#This Row],[Is Data Valid]]=TRUE,_xlfn.NORM.S.DIST(Table1[[#This Row],[Birthweight Z-Score (BW+10%)]],TRUE)*100,"")</f>
        <v/>
      </c>
    </row>
    <row r="4135" spans="1:12" x14ac:dyDescent="0.35">
      <c r="A4135" s="3"/>
      <c r="B4135" s="2"/>
      <c r="C4135" s="2"/>
      <c r="D4135" s="2" t="b">
        <f>IF(AND(NOT(ISBLANK(Table1[[#This Row],[Fetal Sex (Male, Female or Unknown)]])),ISNUMBER(Table1[[#This Row],[Birthweight (grams)]]),ISNUMBER(Table1[[#This Row],[Gestation (days)]])),TRUE,FALSE)</f>
        <v>0</v>
      </c>
      <c r="E4135" s="2" t="str">
        <f>IF(Table1[[#This Row],[Is Data Valid]]=TRUE,IF(Table1[[#This Row],[Fetal Sex (Male, Female or Unknown)]]="Male",Backend!$C$6,IF(Table1[[#This Row],[Fetal Sex (Male, Female or Unknown)]]="Female",Backend!$C$7,IF(Table1[[#This Row],[Fetal Sex (Male, Female or Unknown)]]="Unknown",Backend!$C$8,"Error"))),"")</f>
        <v/>
      </c>
      <c r="F4135" s="8" t="str">
        <f>IF(Table1[[#This Row],[Is Data Valid]]=TRUE,EXP(0.578+0.332*((Table1[[#This Row],[Gestation (days)]]+0.5)/7)-0.00354*((Table1[[#This Row],[Gestation (days)]]+0.5)/7)^2)*Table1[[#This Row],[BW40_3705]],"")</f>
        <v/>
      </c>
      <c r="G4135" s="2" t="str">
        <f>IF(Table1[[#This Row],[Is Data Valid]]=TRUE,((Table1[[#This Row],[Birthweight (grams)]]/Table1[[#This Row],[BW_GA]])-1)/(Backend!$B$4/100*Table1[[#This Row],[BW40_3705]]),"")</f>
        <v/>
      </c>
      <c r="H4135" s="7" t="str">
        <f>IF(Table1[[#This Row],[Is Data Valid]]=TRUE,((Table1[[#This Row],[Birthweight (grams)]]*0.9/Table1[[#This Row],[BW_GA]])-1)/(Backend!$B$4/100*Table1[[#This Row],[BW40_3705]]),"")</f>
        <v/>
      </c>
      <c r="I4135" s="7" t="str">
        <f>IF(Table1[[#This Row],[Is Data Valid]]=TRUE,((Table1[[#This Row],[Birthweight (grams)]]*1.1/Table1[[#This Row],[BW_GA]])-1)/(Backend!$B$4/100*Table1[[#This Row],[BW40_3705]]),"")</f>
        <v/>
      </c>
      <c r="J4135" s="7" t="str">
        <f>IF(Table1[[#This Row],[Is Data Valid]]=TRUE,_xlfn.NORM.S.DIST(Table1[[#This Row],[Birthweight Z-Score]],TRUE)*100,"")</f>
        <v/>
      </c>
      <c r="K4135" s="7" t="str">
        <f>IF(Table1[[#This Row],[Is Data Valid]]=TRUE,_xlfn.NORM.S.DIST(Table1[[#This Row],[Birthweight Z-Score (BW-10%)]],TRUE)*100,"")</f>
        <v/>
      </c>
      <c r="L4135" s="7" t="str">
        <f>IF(Table1[[#This Row],[Is Data Valid]]=TRUE,_xlfn.NORM.S.DIST(Table1[[#This Row],[Birthweight Z-Score (BW+10%)]],TRUE)*100,"")</f>
        <v/>
      </c>
    </row>
    <row r="4136" spans="1:12" x14ac:dyDescent="0.35">
      <c r="A4136" s="3"/>
      <c r="B4136" s="2"/>
      <c r="C4136" s="2"/>
      <c r="D4136" s="2" t="b">
        <f>IF(AND(NOT(ISBLANK(Table1[[#This Row],[Fetal Sex (Male, Female or Unknown)]])),ISNUMBER(Table1[[#This Row],[Birthweight (grams)]]),ISNUMBER(Table1[[#This Row],[Gestation (days)]])),TRUE,FALSE)</f>
        <v>0</v>
      </c>
      <c r="E4136" s="2" t="str">
        <f>IF(Table1[[#This Row],[Is Data Valid]]=TRUE,IF(Table1[[#This Row],[Fetal Sex (Male, Female or Unknown)]]="Male",Backend!$C$6,IF(Table1[[#This Row],[Fetal Sex (Male, Female or Unknown)]]="Female",Backend!$C$7,IF(Table1[[#This Row],[Fetal Sex (Male, Female or Unknown)]]="Unknown",Backend!$C$8,"Error"))),"")</f>
        <v/>
      </c>
      <c r="F4136" s="8" t="str">
        <f>IF(Table1[[#This Row],[Is Data Valid]]=TRUE,EXP(0.578+0.332*((Table1[[#This Row],[Gestation (days)]]+0.5)/7)-0.00354*((Table1[[#This Row],[Gestation (days)]]+0.5)/7)^2)*Table1[[#This Row],[BW40_3705]],"")</f>
        <v/>
      </c>
      <c r="G4136" s="2" t="str">
        <f>IF(Table1[[#This Row],[Is Data Valid]]=TRUE,((Table1[[#This Row],[Birthweight (grams)]]/Table1[[#This Row],[BW_GA]])-1)/(Backend!$B$4/100*Table1[[#This Row],[BW40_3705]]),"")</f>
        <v/>
      </c>
      <c r="H4136" s="7" t="str">
        <f>IF(Table1[[#This Row],[Is Data Valid]]=TRUE,((Table1[[#This Row],[Birthweight (grams)]]*0.9/Table1[[#This Row],[BW_GA]])-1)/(Backend!$B$4/100*Table1[[#This Row],[BW40_3705]]),"")</f>
        <v/>
      </c>
      <c r="I4136" s="7" t="str">
        <f>IF(Table1[[#This Row],[Is Data Valid]]=TRUE,((Table1[[#This Row],[Birthweight (grams)]]*1.1/Table1[[#This Row],[BW_GA]])-1)/(Backend!$B$4/100*Table1[[#This Row],[BW40_3705]]),"")</f>
        <v/>
      </c>
      <c r="J4136" s="7" t="str">
        <f>IF(Table1[[#This Row],[Is Data Valid]]=TRUE,_xlfn.NORM.S.DIST(Table1[[#This Row],[Birthweight Z-Score]],TRUE)*100,"")</f>
        <v/>
      </c>
      <c r="K4136" s="7" t="str">
        <f>IF(Table1[[#This Row],[Is Data Valid]]=TRUE,_xlfn.NORM.S.DIST(Table1[[#This Row],[Birthweight Z-Score (BW-10%)]],TRUE)*100,"")</f>
        <v/>
      </c>
      <c r="L4136" s="7" t="str">
        <f>IF(Table1[[#This Row],[Is Data Valid]]=TRUE,_xlfn.NORM.S.DIST(Table1[[#This Row],[Birthweight Z-Score (BW+10%)]],TRUE)*100,"")</f>
        <v/>
      </c>
    </row>
    <row r="4137" spans="1:12" x14ac:dyDescent="0.35">
      <c r="A4137" s="3"/>
      <c r="B4137" s="2"/>
      <c r="C4137" s="2"/>
      <c r="D4137" s="2" t="b">
        <f>IF(AND(NOT(ISBLANK(Table1[[#This Row],[Fetal Sex (Male, Female or Unknown)]])),ISNUMBER(Table1[[#This Row],[Birthweight (grams)]]),ISNUMBER(Table1[[#This Row],[Gestation (days)]])),TRUE,FALSE)</f>
        <v>0</v>
      </c>
      <c r="E4137" s="2" t="str">
        <f>IF(Table1[[#This Row],[Is Data Valid]]=TRUE,IF(Table1[[#This Row],[Fetal Sex (Male, Female or Unknown)]]="Male",Backend!$C$6,IF(Table1[[#This Row],[Fetal Sex (Male, Female or Unknown)]]="Female",Backend!$C$7,IF(Table1[[#This Row],[Fetal Sex (Male, Female or Unknown)]]="Unknown",Backend!$C$8,"Error"))),"")</f>
        <v/>
      </c>
      <c r="F4137" s="8" t="str">
        <f>IF(Table1[[#This Row],[Is Data Valid]]=TRUE,EXP(0.578+0.332*((Table1[[#This Row],[Gestation (days)]]+0.5)/7)-0.00354*((Table1[[#This Row],[Gestation (days)]]+0.5)/7)^2)*Table1[[#This Row],[BW40_3705]],"")</f>
        <v/>
      </c>
      <c r="G4137" s="2" t="str">
        <f>IF(Table1[[#This Row],[Is Data Valid]]=TRUE,((Table1[[#This Row],[Birthweight (grams)]]/Table1[[#This Row],[BW_GA]])-1)/(Backend!$B$4/100*Table1[[#This Row],[BW40_3705]]),"")</f>
        <v/>
      </c>
      <c r="H4137" s="7" t="str">
        <f>IF(Table1[[#This Row],[Is Data Valid]]=TRUE,((Table1[[#This Row],[Birthweight (grams)]]*0.9/Table1[[#This Row],[BW_GA]])-1)/(Backend!$B$4/100*Table1[[#This Row],[BW40_3705]]),"")</f>
        <v/>
      </c>
      <c r="I4137" s="7" t="str">
        <f>IF(Table1[[#This Row],[Is Data Valid]]=TRUE,((Table1[[#This Row],[Birthweight (grams)]]*1.1/Table1[[#This Row],[BW_GA]])-1)/(Backend!$B$4/100*Table1[[#This Row],[BW40_3705]]),"")</f>
        <v/>
      </c>
      <c r="J4137" s="7" t="str">
        <f>IF(Table1[[#This Row],[Is Data Valid]]=TRUE,_xlfn.NORM.S.DIST(Table1[[#This Row],[Birthweight Z-Score]],TRUE)*100,"")</f>
        <v/>
      </c>
      <c r="K4137" s="7" t="str">
        <f>IF(Table1[[#This Row],[Is Data Valid]]=TRUE,_xlfn.NORM.S.DIST(Table1[[#This Row],[Birthweight Z-Score (BW-10%)]],TRUE)*100,"")</f>
        <v/>
      </c>
      <c r="L4137" s="7" t="str">
        <f>IF(Table1[[#This Row],[Is Data Valid]]=TRUE,_xlfn.NORM.S.DIST(Table1[[#This Row],[Birthweight Z-Score (BW+10%)]],TRUE)*100,"")</f>
        <v/>
      </c>
    </row>
    <row r="4138" spans="1:12" x14ac:dyDescent="0.35">
      <c r="A4138" s="3"/>
      <c r="B4138" s="2"/>
      <c r="C4138" s="2"/>
      <c r="D4138" s="2" t="b">
        <f>IF(AND(NOT(ISBLANK(Table1[[#This Row],[Fetal Sex (Male, Female or Unknown)]])),ISNUMBER(Table1[[#This Row],[Birthweight (grams)]]),ISNUMBER(Table1[[#This Row],[Gestation (days)]])),TRUE,FALSE)</f>
        <v>0</v>
      </c>
      <c r="E4138" s="2" t="str">
        <f>IF(Table1[[#This Row],[Is Data Valid]]=TRUE,IF(Table1[[#This Row],[Fetal Sex (Male, Female or Unknown)]]="Male",Backend!$C$6,IF(Table1[[#This Row],[Fetal Sex (Male, Female or Unknown)]]="Female",Backend!$C$7,IF(Table1[[#This Row],[Fetal Sex (Male, Female or Unknown)]]="Unknown",Backend!$C$8,"Error"))),"")</f>
        <v/>
      </c>
      <c r="F4138" s="8" t="str">
        <f>IF(Table1[[#This Row],[Is Data Valid]]=TRUE,EXP(0.578+0.332*((Table1[[#This Row],[Gestation (days)]]+0.5)/7)-0.00354*((Table1[[#This Row],[Gestation (days)]]+0.5)/7)^2)*Table1[[#This Row],[BW40_3705]],"")</f>
        <v/>
      </c>
      <c r="G4138" s="2" t="str">
        <f>IF(Table1[[#This Row],[Is Data Valid]]=TRUE,((Table1[[#This Row],[Birthweight (grams)]]/Table1[[#This Row],[BW_GA]])-1)/(Backend!$B$4/100*Table1[[#This Row],[BW40_3705]]),"")</f>
        <v/>
      </c>
      <c r="H4138" s="7" t="str">
        <f>IF(Table1[[#This Row],[Is Data Valid]]=TRUE,((Table1[[#This Row],[Birthweight (grams)]]*0.9/Table1[[#This Row],[BW_GA]])-1)/(Backend!$B$4/100*Table1[[#This Row],[BW40_3705]]),"")</f>
        <v/>
      </c>
      <c r="I4138" s="7" t="str">
        <f>IF(Table1[[#This Row],[Is Data Valid]]=TRUE,((Table1[[#This Row],[Birthweight (grams)]]*1.1/Table1[[#This Row],[BW_GA]])-1)/(Backend!$B$4/100*Table1[[#This Row],[BW40_3705]]),"")</f>
        <v/>
      </c>
      <c r="J4138" s="7" t="str">
        <f>IF(Table1[[#This Row],[Is Data Valid]]=TRUE,_xlfn.NORM.S.DIST(Table1[[#This Row],[Birthweight Z-Score]],TRUE)*100,"")</f>
        <v/>
      </c>
      <c r="K4138" s="7" t="str">
        <f>IF(Table1[[#This Row],[Is Data Valid]]=TRUE,_xlfn.NORM.S.DIST(Table1[[#This Row],[Birthweight Z-Score (BW-10%)]],TRUE)*100,"")</f>
        <v/>
      </c>
      <c r="L4138" s="7" t="str">
        <f>IF(Table1[[#This Row],[Is Data Valid]]=TRUE,_xlfn.NORM.S.DIST(Table1[[#This Row],[Birthweight Z-Score (BW+10%)]],TRUE)*100,"")</f>
        <v/>
      </c>
    </row>
    <row r="4139" spans="1:12" x14ac:dyDescent="0.35">
      <c r="A4139" s="3"/>
      <c r="B4139" s="2"/>
      <c r="C4139" s="2"/>
      <c r="D4139" s="2" t="b">
        <f>IF(AND(NOT(ISBLANK(Table1[[#This Row],[Fetal Sex (Male, Female or Unknown)]])),ISNUMBER(Table1[[#This Row],[Birthweight (grams)]]),ISNUMBER(Table1[[#This Row],[Gestation (days)]])),TRUE,FALSE)</f>
        <v>0</v>
      </c>
      <c r="E4139" s="2" t="str">
        <f>IF(Table1[[#This Row],[Is Data Valid]]=TRUE,IF(Table1[[#This Row],[Fetal Sex (Male, Female or Unknown)]]="Male",Backend!$C$6,IF(Table1[[#This Row],[Fetal Sex (Male, Female or Unknown)]]="Female",Backend!$C$7,IF(Table1[[#This Row],[Fetal Sex (Male, Female or Unknown)]]="Unknown",Backend!$C$8,"Error"))),"")</f>
        <v/>
      </c>
      <c r="F4139" s="8" t="str">
        <f>IF(Table1[[#This Row],[Is Data Valid]]=TRUE,EXP(0.578+0.332*((Table1[[#This Row],[Gestation (days)]]+0.5)/7)-0.00354*((Table1[[#This Row],[Gestation (days)]]+0.5)/7)^2)*Table1[[#This Row],[BW40_3705]],"")</f>
        <v/>
      </c>
      <c r="G4139" s="2" t="str">
        <f>IF(Table1[[#This Row],[Is Data Valid]]=TRUE,((Table1[[#This Row],[Birthweight (grams)]]/Table1[[#This Row],[BW_GA]])-1)/(Backend!$B$4/100*Table1[[#This Row],[BW40_3705]]),"")</f>
        <v/>
      </c>
      <c r="H4139" s="7" t="str">
        <f>IF(Table1[[#This Row],[Is Data Valid]]=TRUE,((Table1[[#This Row],[Birthweight (grams)]]*0.9/Table1[[#This Row],[BW_GA]])-1)/(Backend!$B$4/100*Table1[[#This Row],[BW40_3705]]),"")</f>
        <v/>
      </c>
      <c r="I4139" s="7" t="str">
        <f>IF(Table1[[#This Row],[Is Data Valid]]=TRUE,((Table1[[#This Row],[Birthweight (grams)]]*1.1/Table1[[#This Row],[BW_GA]])-1)/(Backend!$B$4/100*Table1[[#This Row],[BW40_3705]]),"")</f>
        <v/>
      </c>
      <c r="J4139" s="7" t="str">
        <f>IF(Table1[[#This Row],[Is Data Valid]]=TRUE,_xlfn.NORM.S.DIST(Table1[[#This Row],[Birthweight Z-Score]],TRUE)*100,"")</f>
        <v/>
      </c>
      <c r="K4139" s="7" t="str">
        <f>IF(Table1[[#This Row],[Is Data Valid]]=TRUE,_xlfn.NORM.S.DIST(Table1[[#This Row],[Birthweight Z-Score (BW-10%)]],TRUE)*100,"")</f>
        <v/>
      </c>
      <c r="L4139" s="7" t="str">
        <f>IF(Table1[[#This Row],[Is Data Valid]]=TRUE,_xlfn.NORM.S.DIST(Table1[[#This Row],[Birthweight Z-Score (BW+10%)]],TRUE)*100,"")</f>
        <v/>
      </c>
    </row>
    <row r="4140" spans="1:12" x14ac:dyDescent="0.35">
      <c r="A4140" s="3"/>
      <c r="B4140" s="2"/>
      <c r="C4140" s="2"/>
      <c r="D4140" s="2" t="b">
        <f>IF(AND(NOT(ISBLANK(Table1[[#This Row],[Fetal Sex (Male, Female or Unknown)]])),ISNUMBER(Table1[[#This Row],[Birthweight (grams)]]),ISNUMBER(Table1[[#This Row],[Gestation (days)]])),TRUE,FALSE)</f>
        <v>0</v>
      </c>
      <c r="E4140" s="2" t="str">
        <f>IF(Table1[[#This Row],[Is Data Valid]]=TRUE,IF(Table1[[#This Row],[Fetal Sex (Male, Female or Unknown)]]="Male",Backend!$C$6,IF(Table1[[#This Row],[Fetal Sex (Male, Female or Unknown)]]="Female",Backend!$C$7,IF(Table1[[#This Row],[Fetal Sex (Male, Female or Unknown)]]="Unknown",Backend!$C$8,"Error"))),"")</f>
        <v/>
      </c>
      <c r="F4140" s="8" t="str">
        <f>IF(Table1[[#This Row],[Is Data Valid]]=TRUE,EXP(0.578+0.332*((Table1[[#This Row],[Gestation (days)]]+0.5)/7)-0.00354*((Table1[[#This Row],[Gestation (days)]]+0.5)/7)^2)*Table1[[#This Row],[BW40_3705]],"")</f>
        <v/>
      </c>
      <c r="G4140" s="2" t="str">
        <f>IF(Table1[[#This Row],[Is Data Valid]]=TRUE,((Table1[[#This Row],[Birthweight (grams)]]/Table1[[#This Row],[BW_GA]])-1)/(Backend!$B$4/100*Table1[[#This Row],[BW40_3705]]),"")</f>
        <v/>
      </c>
      <c r="H4140" s="7" t="str">
        <f>IF(Table1[[#This Row],[Is Data Valid]]=TRUE,((Table1[[#This Row],[Birthweight (grams)]]*0.9/Table1[[#This Row],[BW_GA]])-1)/(Backend!$B$4/100*Table1[[#This Row],[BW40_3705]]),"")</f>
        <v/>
      </c>
      <c r="I4140" s="7" t="str">
        <f>IF(Table1[[#This Row],[Is Data Valid]]=TRUE,((Table1[[#This Row],[Birthweight (grams)]]*1.1/Table1[[#This Row],[BW_GA]])-1)/(Backend!$B$4/100*Table1[[#This Row],[BW40_3705]]),"")</f>
        <v/>
      </c>
      <c r="J4140" s="7" t="str">
        <f>IF(Table1[[#This Row],[Is Data Valid]]=TRUE,_xlfn.NORM.S.DIST(Table1[[#This Row],[Birthweight Z-Score]],TRUE)*100,"")</f>
        <v/>
      </c>
      <c r="K4140" s="7" t="str">
        <f>IF(Table1[[#This Row],[Is Data Valid]]=TRUE,_xlfn.NORM.S.DIST(Table1[[#This Row],[Birthweight Z-Score (BW-10%)]],TRUE)*100,"")</f>
        <v/>
      </c>
      <c r="L4140" s="7" t="str">
        <f>IF(Table1[[#This Row],[Is Data Valid]]=TRUE,_xlfn.NORM.S.DIST(Table1[[#This Row],[Birthweight Z-Score (BW+10%)]],TRUE)*100,"")</f>
        <v/>
      </c>
    </row>
    <row r="4141" spans="1:12" x14ac:dyDescent="0.35">
      <c r="A4141" s="3"/>
      <c r="B4141" s="2"/>
      <c r="C4141" s="2"/>
      <c r="D4141" s="2" t="b">
        <f>IF(AND(NOT(ISBLANK(Table1[[#This Row],[Fetal Sex (Male, Female or Unknown)]])),ISNUMBER(Table1[[#This Row],[Birthweight (grams)]]),ISNUMBER(Table1[[#This Row],[Gestation (days)]])),TRUE,FALSE)</f>
        <v>0</v>
      </c>
      <c r="E4141" s="2" t="str">
        <f>IF(Table1[[#This Row],[Is Data Valid]]=TRUE,IF(Table1[[#This Row],[Fetal Sex (Male, Female or Unknown)]]="Male",Backend!$C$6,IF(Table1[[#This Row],[Fetal Sex (Male, Female or Unknown)]]="Female",Backend!$C$7,IF(Table1[[#This Row],[Fetal Sex (Male, Female or Unknown)]]="Unknown",Backend!$C$8,"Error"))),"")</f>
        <v/>
      </c>
      <c r="F4141" s="8" t="str">
        <f>IF(Table1[[#This Row],[Is Data Valid]]=TRUE,EXP(0.578+0.332*((Table1[[#This Row],[Gestation (days)]]+0.5)/7)-0.00354*((Table1[[#This Row],[Gestation (days)]]+0.5)/7)^2)*Table1[[#This Row],[BW40_3705]],"")</f>
        <v/>
      </c>
      <c r="G4141" s="2" t="str">
        <f>IF(Table1[[#This Row],[Is Data Valid]]=TRUE,((Table1[[#This Row],[Birthweight (grams)]]/Table1[[#This Row],[BW_GA]])-1)/(Backend!$B$4/100*Table1[[#This Row],[BW40_3705]]),"")</f>
        <v/>
      </c>
      <c r="H4141" s="7" t="str">
        <f>IF(Table1[[#This Row],[Is Data Valid]]=TRUE,((Table1[[#This Row],[Birthweight (grams)]]*0.9/Table1[[#This Row],[BW_GA]])-1)/(Backend!$B$4/100*Table1[[#This Row],[BW40_3705]]),"")</f>
        <v/>
      </c>
      <c r="I4141" s="7" t="str">
        <f>IF(Table1[[#This Row],[Is Data Valid]]=TRUE,((Table1[[#This Row],[Birthweight (grams)]]*1.1/Table1[[#This Row],[BW_GA]])-1)/(Backend!$B$4/100*Table1[[#This Row],[BW40_3705]]),"")</f>
        <v/>
      </c>
      <c r="J4141" s="7" t="str">
        <f>IF(Table1[[#This Row],[Is Data Valid]]=TRUE,_xlfn.NORM.S.DIST(Table1[[#This Row],[Birthweight Z-Score]],TRUE)*100,"")</f>
        <v/>
      </c>
      <c r="K4141" s="7" t="str">
        <f>IF(Table1[[#This Row],[Is Data Valid]]=TRUE,_xlfn.NORM.S.DIST(Table1[[#This Row],[Birthweight Z-Score (BW-10%)]],TRUE)*100,"")</f>
        <v/>
      </c>
      <c r="L4141" s="7" t="str">
        <f>IF(Table1[[#This Row],[Is Data Valid]]=TRUE,_xlfn.NORM.S.DIST(Table1[[#This Row],[Birthweight Z-Score (BW+10%)]],TRUE)*100,"")</f>
        <v/>
      </c>
    </row>
    <row r="4142" spans="1:12" x14ac:dyDescent="0.35">
      <c r="A4142" s="3"/>
      <c r="B4142" s="2"/>
      <c r="C4142" s="2"/>
      <c r="D4142" s="2" t="b">
        <f>IF(AND(NOT(ISBLANK(Table1[[#This Row],[Fetal Sex (Male, Female or Unknown)]])),ISNUMBER(Table1[[#This Row],[Birthweight (grams)]]),ISNUMBER(Table1[[#This Row],[Gestation (days)]])),TRUE,FALSE)</f>
        <v>0</v>
      </c>
      <c r="E4142" s="2" t="str">
        <f>IF(Table1[[#This Row],[Is Data Valid]]=TRUE,IF(Table1[[#This Row],[Fetal Sex (Male, Female or Unknown)]]="Male",Backend!$C$6,IF(Table1[[#This Row],[Fetal Sex (Male, Female or Unknown)]]="Female",Backend!$C$7,IF(Table1[[#This Row],[Fetal Sex (Male, Female or Unknown)]]="Unknown",Backend!$C$8,"Error"))),"")</f>
        <v/>
      </c>
      <c r="F4142" s="8" t="str">
        <f>IF(Table1[[#This Row],[Is Data Valid]]=TRUE,EXP(0.578+0.332*((Table1[[#This Row],[Gestation (days)]]+0.5)/7)-0.00354*((Table1[[#This Row],[Gestation (days)]]+0.5)/7)^2)*Table1[[#This Row],[BW40_3705]],"")</f>
        <v/>
      </c>
      <c r="G4142" s="2" t="str">
        <f>IF(Table1[[#This Row],[Is Data Valid]]=TRUE,((Table1[[#This Row],[Birthweight (grams)]]/Table1[[#This Row],[BW_GA]])-1)/(Backend!$B$4/100*Table1[[#This Row],[BW40_3705]]),"")</f>
        <v/>
      </c>
      <c r="H4142" s="7" t="str">
        <f>IF(Table1[[#This Row],[Is Data Valid]]=TRUE,((Table1[[#This Row],[Birthweight (grams)]]*0.9/Table1[[#This Row],[BW_GA]])-1)/(Backend!$B$4/100*Table1[[#This Row],[BW40_3705]]),"")</f>
        <v/>
      </c>
      <c r="I4142" s="7" t="str">
        <f>IF(Table1[[#This Row],[Is Data Valid]]=TRUE,((Table1[[#This Row],[Birthweight (grams)]]*1.1/Table1[[#This Row],[BW_GA]])-1)/(Backend!$B$4/100*Table1[[#This Row],[BW40_3705]]),"")</f>
        <v/>
      </c>
      <c r="J4142" s="7" t="str">
        <f>IF(Table1[[#This Row],[Is Data Valid]]=TRUE,_xlfn.NORM.S.DIST(Table1[[#This Row],[Birthweight Z-Score]],TRUE)*100,"")</f>
        <v/>
      </c>
      <c r="K4142" s="7" t="str">
        <f>IF(Table1[[#This Row],[Is Data Valid]]=TRUE,_xlfn.NORM.S.DIST(Table1[[#This Row],[Birthweight Z-Score (BW-10%)]],TRUE)*100,"")</f>
        <v/>
      </c>
      <c r="L4142" s="7" t="str">
        <f>IF(Table1[[#This Row],[Is Data Valid]]=TRUE,_xlfn.NORM.S.DIST(Table1[[#This Row],[Birthweight Z-Score (BW+10%)]],TRUE)*100,"")</f>
        <v/>
      </c>
    </row>
    <row r="4143" spans="1:12" x14ac:dyDescent="0.35">
      <c r="A4143" s="3"/>
      <c r="B4143" s="2"/>
      <c r="C4143" s="2"/>
      <c r="D4143" s="2" t="b">
        <f>IF(AND(NOT(ISBLANK(Table1[[#This Row],[Fetal Sex (Male, Female or Unknown)]])),ISNUMBER(Table1[[#This Row],[Birthweight (grams)]]),ISNUMBER(Table1[[#This Row],[Gestation (days)]])),TRUE,FALSE)</f>
        <v>0</v>
      </c>
      <c r="E4143" s="2" t="str">
        <f>IF(Table1[[#This Row],[Is Data Valid]]=TRUE,IF(Table1[[#This Row],[Fetal Sex (Male, Female or Unknown)]]="Male",Backend!$C$6,IF(Table1[[#This Row],[Fetal Sex (Male, Female or Unknown)]]="Female",Backend!$C$7,IF(Table1[[#This Row],[Fetal Sex (Male, Female or Unknown)]]="Unknown",Backend!$C$8,"Error"))),"")</f>
        <v/>
      </c>
      <c r="F4143" s="8" t="str">
        <f>IF(Table1[[#This Row],[Is Data Valid]]=TRUE,EXP(0.578+0.332*((Table1[[#This Row],[Gestation (days)]]+0.5)/7)-0.00354*((Table1[[#This Row],[Gestation (days)]]+0.5)/7)^2)*Table1[[#This Row],[BW40_3705]],"")</f>
        <v/>
      </c>
      <c r="G4143" s="2" t="str">
        <f>IF(Table1[[#This Row],[Is Data Valid]]=TRUE,((Table1[[#This Row],[Birthweight (grams)]]/Table1[[#This Row],[BW_GA]])-1)/(Backend!$B$4/100*Table1[[#This Row],[BW40_3705]]),"")</f>
        <v/>
      </c>
      <c r="H4143" s="7" t="str">
        <f>IF(Table1[[#This Row],[Is Data Valid]]=TRUE,((Table1[[#This Row],[Birthweight (grams)]]*0.9/Table1[[#This Row],[BW_GA]])-1)/(Backend!$B$4/100*Table1[[#This Row],[BW40_3705]]),"")</f>
        <v/>
      </c>
      <c r="I4143" s="7" t="str">
        <f>IF(Table1[[#This Row],[Is Data Valid]]=TRUE,((Table1[[#This Row],[Birthweight (grams)]]*1.1/Table1[[#This Row],[BW_GA]])-1)/(Backend!$B$4/100*Table1[[#This Row],[BW40_3705]]),"")</f>
        <v/>
      </c>
      <c r="J4143" s="7" t="str">
        <f>IF(Table1[[#This Row],[Is Data Valid]]=TRUE,_xlfn.NORM.S.DIST(Table1[[#This Row],[Birthweight Z-Score]],TRUE)*100,"")</f>
        <v/>
      </c>
      <c r="K4143" s="7" t="str">
        <f>IF(Table1[[#This Row],[Is Data Valid]]=TRUE,_xlfn.NORM.S.DIST(Table1[[#This Row],[Birthweight Z-Score (BW-10%)]],TRUE)*100,"")</f>
        <v/>
      </c>
      <c r="L4143" s="7" t="str">
        <f>IF(Table1[[#This Row],[Is Data Valid]]=TRUE,_xlfn.NORM.S.DIST(Table1[[#This Row],[Birthweight Z-Score (BW+10%)]],TRUE)*100,"")</f>
        <v/>
      </c>
    </row>
    <row r="4144" spans="1:12" x14ac:dyDescent="0.35">
      <c r="A4144" s="3"/>
      <c r="B4144" s="2"/>
      <c r="C4144" s="2"/>
      <c r="D4144" s="2" t="b">
        <f>IF(AND(NOT(ISBLANK(Table1[[#This Row],[Fetal Sex (Male, Female or Unknown)]])),ISNUMBER(Table1[[#This Row],[Birthweight (grams)]]),ISNUMBER(Table1[[#This Row],[Gestation (days)]])),TRUE,FALSE)</f>
        <v>0</v>
      </c>
      <c r="E4144" s="2" t="str">
        <f>IF(Table1[[#This Row],[Is Data Valid]]=TRUE,IF(Table1[[#This Row],[Fetal Sex (Male, Female or Unknown)]]="Male",Backend!$C$6,IF(Table1[[#This Row],[Fetal Sex (Male, Female or Unknown)]]="Female",Backend!$C$7,IF(Table1[[#This Row],[Fetal Sex (Male, Female or Unknown)]]="Unknown",Backend!$C$8,"Error"))),"")</f>
        <v/>
      </c>
      <c r="F4144" s="8" t="str">
        <f>IF(Table1[[#This Row],[Is Data Valid]]=TRUE,EXP(0.578+0.332*((Table1[[#This Row],[Gestation (days)]]+0.5)/7)-0.00354*((Table1[[#This Row],[Gestation (days)]]+0.5)/7)^2)*Table1[[#This Row],[BW40_3705]],"")</f>
        <v/>
      </c>
      <c r="G4144" s="2" t="str">
        <f>IF(Table1[[#This Row],[Is Data Valid]]=TRUE,((Table1[[#This Row],[Birthweight (grams)]]/Table1[[#This Row],[BW_GA]])-1)/(Backend!$B$4/100*Table1[[#This Row],[BW40_3705]]),"")</f>
        <v/>
      </c>
      <c r="H4144" s="7" t="str">
        <f>IF(Table1[[#This Row],[Is Data Valid]]=TRUE,((Table1[[#This Row],[Birthweight (grams)]]*0.9/Table1[[#This Row],[BW_GA]])-1)/(Backend!$B$4/100*Table1[[#This Row],[BW40_3705]]),"")</f>
        <v/>
      </c>
      <c r="I4144" s="7" t="str">
        <f>IF(Table1[[#This Row],[Is Data Valid]]=TRUE,((Table1[[#This Row],[Birthweight (grams)]]*1.1/Table1[[#This Row],[BW_GA]])-1)/(Backend!$B$4/100*Table1[[#This Row],[BW40_3705]]),"")</f>
        <v/>
      </c>
      <c r="J4144" s="7" t="str">
        <f>IF(Table1[[#This Row],[Is Data Valid]]=TRUE,_xlfn.NORM.S.DIST(Table1[[#This Row],[Birthweight Z-Score]],TRUE)*100,"")</f>
        <v/>
      </c>
      <c r="K4144" s="7" t="str">
        <f>IF(Table1[[#This Row],[Is Data Valid]]=TRUE,_xlfn.NORM.S.DIST(Table1[[#This Row],[Birthweight Z-Score (BW-10%)]],TRUE)*100,"")</f>
        <v/>
      </c>
      <c r="L4144" s="7" t="str">
        <f>IF(Table1[[#This Row],[Is Data Valid]]=TRUE,_xlfn.NORM.S.DIST(Table1[[#This Row],[Birthweight Z-Score (BW+10%)]],TRUE)*100,"")</f>
        <v/>
      </c>
    </row>
    <row r="4145" spans="1:12" x14ac:dyDescent="0.35">
      <c r="A4145" s="3"/>
      <c r="B4145" s="2"/>
      <c r="C4145" s="2"/>
      <c r="D4145" s="2" t="b">
        <f>IF(AND(NOT(ISBLANK(Table1[[#This Row],[Fetal Sex (Male, Female or Unknown)]])),ISNUMBER(Table1[[#This Row],[Birthweight (grams)]]),ISNUMBER(Table1[[#This Row],[Gestation (days)]])),TRUE,FALSE)</f>
        <v>0</v>
      </c>
      <c r="E4145" s="2" t="str">
        <f>IF(Table1[[#This Row],[Is Data Valid]]=TRUE,IF(Table1[[#This Row],[Fetal Sex (Male, Female or Unknown)]]="Male",Backend!$C$6,IF(Table1[[#This Row],[Fetal Sex (Male, Female or Unknown)]]="Female",Backend!$C$7,IF(Table1[[#This Row],[Fetal Sex (Male, Female or Unknown)]]="Unknown",Backend!$C$8,"Error"))),"")</f>
        <v/>
      </c>
      <c r="F4145" s="8" t="str">
        <f>IF(Table1[[#This Row],[Is Data Valid]]=TRUE,EXP(0.578+0.332*((Table1[[#This Row],[Gestation (days)]]+0.5)/7)-0.00354*((Table1[[#This Row],[Gestation (days)]]+0.5)/7)^2)*Table1[[#This Row],[BW40_3705]],"")</f>
        <v/>
      </c>
      <c r="G4145" s="2" t="str">
        <f>IF(Table1[[#This Row],[Is Data Valid]]=TRUE,((Table1[[#This Row],[Birthweight (grams)]]/Table1[[#This Row],[BW_GA]])-1)/(Backend!$B$4/100*Table1[[#This Row],[BW40_3705]]),"")</f>
        <v/>
      </c>
      <c r="H4145" s="7" t="str">
        <f>IF(Table1[[#This Row],[Is Data Valid]]=TRUE,((Table1[[#This Row],[Birthweight (grams)]]*0.9/Table1[[#This Row],[BW_GA]])-1)/(Backend!$B$4/100*Table1[[#This Row],[BW40_3705]]),"")</f>
        <v/>
      </c>
      <c r="I4145" s="7" t="str">
        <f>IF(Table1[[#This Row],[Is Data Valid]]=TRUE,((Table1[[#This Row],[Birthweight (grams)]]*1.1/Table1[[#This Row],[BW_GA]])-1)/(Backend!$B$4/100*Table1[[#This Row],[BW40_3705]]),"")</f>
        <v/>
      </c>
      <c r="J4145" s="7" t="str">
        <f>IF(Table1[[#This Row],[Is Data Valid]]=TRUE,_xlfn.NORM.S.DIST(Table1[[#This Row],[Birthweight Z-Score]],TRUE)*100,"")</f>
        <v/>
      </c>
      <c r="K4145" s="7" t="str">
        <f>IF(Table1[[#This Row],[Is Data Valid]]=TRUE,_xlfn.NORM.S.DIST(Table1[[#This Row],[Birthweight Z-Score (BW-10%)]],TRUE)*100,"")</f>
        <v/>
      </c>
      <c r="L4145" s="7" t="str">
        <f>IF(Table1[[#This Row],[Is Data Valid]]=TRUE,_xlfn.NORM.S.DIST(Table1[[#This Row],[Birthweight Z-Score (BW+10%)]],TRUE)*100,"")</f>
        <v/>
      </c>
    </row>
    <row r="4146" spans="1:12" x14ac:dyDescent="0.35">
      <c r="A4146" s="3"/>
      <c r="B4146" s="2"/>
      <c r="C4146" s="2"/>
      <c r="D4146" s="2" t="b">
        <f>IF(AND(NOT(ISBLANK(Table1[[#This Row],[Fetal Sex (Male, Female or Unknown)]])),ISNUMBER(Table1[[#This Row],[Birthweight (grams)]]),ISNUMBER(Table1[[#This Row],[Gestation (days)]])),TRUE,FALSE)</f>
        <v>0</v>
      </c>
      <c r="E4146" s="2" t="str">
        <f>IF(Table1[[#This Row],[Is Data Valid]]=TRUE,IF(Table1[[#This Row],[Fetal Sex (Male, Female or Unknown)]]="Male",Backend!$C$6,IF(Table1[[#This Row],[Fetal Sex (Male, Female or Unknown)]]="Female",Backend!$C$7,IF(Table1[[#This Row],[Fetal Sex (Male, Female or Unknown)]]="Unknown",Backend!$C$8,"Error"))),"")</f>
        <v/>
      </c>
      <c r="F4146" s="8" t="str">
        <f>IF(Table1[[#This Row],[Is Data Valid]]=TRUE,EXP(0.578+0.332*((Table1[[#This Row],[Gestation (days)]]+0.5)/7)-0.00354*((Table1[[#This Row],[Gestation (days)]]+0.5)/7)^2)*Table1[[#This Row],[BW40_3705]],"")</f>
        <v/>
      </c>
      <c r="G4146" s="2" t="str">
        <f>IF(Table1[[#This Row],[Is Data Valid]]=TRUE,((Table1[[#This Row],[Birthweight (grams)]]/Table1[[#This Row],[BW_GA]])-1)/(Backend!$B$4/100*Table1[[#This Row],[BW40_3705]]),"")</f>
        <v/>
      </c>
      <c r="H4146" s="7" t="str">
        <f>IF(Table1[[#This Row],[Is Data Valid]]=TRUE,((Table1[[#This Row],[Birthweight (grams)]]*0.9/Table1[[#This Row],[BW_GA]])-1)/(Backend!$B$4/100*Table1[[#This Row],[BW40_3705]]),"")</f>
        <v/>
      </c>
      <c r="I4146" s="7" t="str">
        <f>IF(Table1[[#This Row],[Is Data Valid]]=TRUE,((Table1[[#This Row],[Birthweight (grams)]]*1.1/Table1[[#This Row],[BW_GA]])-1)/(Backend!$B$4/100*Table1[[#This Row],[BW40_3705]]),"")</f>
        <v/>
      </c>
      <c r="J4146" s="7" t="str">
        <f>IF(Table1[[#This Row],[Is Data Valid]]=TRUE,_xlfn.NORM.S.DIST(Table1[[#This Row],[Birthweight Z-Score]],TRUE)*100,"")</f>
        <v/>
      </c>
      <c r="K4146" s="7" t="str">
        <f>IF(Table1[[#This Row],[Is Data Valid]]=TRUE,_xlfn.NORM.S.DIST(Table1[[#This Row],[Birthweight Z-Score (BW-10%)]],TRUE)*100,"")</f>
        <v/>
      </c>
      <c r="L4146" s="7" t="str">
        <f>IF(Table1[[#This Row],[Is Data Valid]]=TRUE,_xlfn.NORM.S.DIST(Table1[[#This Row],[Birthweight Z-Score (BW+10%)]],TRUE)*100,"")</f>
        <v/>
      </c>
    </row>
    <row r="4147" spans="1:12" x14ac:dyDescent="0.35">
      <c r="A4147" s="3"/>
      <c r="B4147" s="2"/>
      <c r="C4147" s="2"/>
      <c r="D4147" s="2" t="b">
        <f>IF(AND(NOT(ISBLANK(Table1[[#This Row],[Fetal Sex (Male, Female or Unknown)]])),ISNUMBER(Table1[[#This Row],[Birthweight (grams)]]),ISNUMBER(Table1[[#This Row],[Gestation (days)]])),TRUE,FALSE)</f>
        <v>0</v>
      </c>
      <c r="E4147" s="2" t="str">
        <f>IF(Table1[[#This Row],[Is Data Valid]]=TRUE,IF(Table1[[#This Row],[Fetal Sex (Male, Female or Unknown)]]="Male",Backend!$C$6,IF(Table1[[#This Row],[Fetal Sex (Male, Female or Unknown)]]="Female",Backend!$C$7,IF(Table1[[#This Row],[Fetal Sex (Male, Female or Unknown)]]="Unknown",Backend!$C$8,"Error"))),"")</f>
        <v/>
      </c>
      <c r="F4147" s="8" t="str">
        <f>IF(Table1[[#This Row],[Is Data Valid]]=TRUE,EXP(0.578+0.332*((Table1[[#This Row],[Gestation (days)]]+0.5)/7)-0.00354*((Table1[[#This Row],[Gestation (days)]]+0.5)/7)^2)*Table1[[#This Row],[BW40_3705]],"")</f>
        <v/>
      </c>
      <c r="G4147" s="2" t="str">
        <f>IF(Table1[[#This Row],[Is Data Valid]]=TRUE,((Table1[[#This Row],[Birthweight (grams)]]/Table1[[#This Row],[BW_GA]])-1)/(Backend!$B$4/100*Table1[[#This Row],[BW40_3705]]),"")</f>
        <v/>
      </c>
      <c r="H4147" s="7" t="str">
        <f>IF(Table1[[#This Row],[Is Data Valid]]=TRUE,((Table1[[#This Row],[Birthweight (grams)]]*0.9/Table1[[#This Row],[BW_GA]])-1)/(Backend!$B$4/100*Table1[[#This Row],[BW40_3705]]),"")</f>
        <v/>
      </c>
      <c r="I4147" s="7" t="str">
        <f>IF(Table1[[#This Row],[Is Data Valid]]=TRUE,((Table1[[#This Row],[Birthweight (grams)]]*1.1/Table1[[#This Row],[BW_GA]])-1)/(Backend!$B$4/100*Table1[[#This Row],[BW40_3705]]),"")</f>
        <v/>
      </c>
      <c r="J4147" s="7" t="str">
        <f>IF(Table1[[#This Row],[Is Data Valid]]=TRUE,_xlfn.NORM.S.DIST(Table1[[#This Row],[Birthweight Z-Score]],TRUE)*100,"")</f>
        <v/>
      </c>
      <c r="K4147" s="7" t="str">
        <f>IF(Table1[[#This Row],[Is Data Valid]]=TRUE,_xlfn.NORM.S.DIST(Table1[[#This Row],[Birthweight Z-Score (BW-10%)]],TRUE)*100,"")</f>
        <v/>
      </c>
      <c r="L4147" s="7" t="str">
        <f>IF(Table1[[#This Row],[Is Data Valid]]=TRUE,_xlfn.NORM.S.DIST(Table1[[#This Row],[Birthweight Z-Score (BW+10%)]],TRUE)*100,"")</f>
        <v/>
      </c>
    </row>
    <row r="4148" spans="1:12" x14ac:dyDescent="0.35">
      <c r="A4148" s="3"/>
      <c r="B4148" s="2"/>
      <c r="C4148" s="2"/>
      <c r="D4148" s="2" t="b">
        <f>IF(AND(NOT(ISBLANK(Table1[[#This Row],[Fetal Sex (Male, Female or Unknown)]])),ISNUMBER(Table1[[#This Row],[Birthweight (grams)]]),ISNUMBER(Table1[[#This Row],[Gestation (days)]])),TRUE,FALSE)</f>
        <v>0</v>
      </c>
      <c r="E4148" s="2" t="str">
        <f>IF(Table1[[#This Row],[Is Data Valid]]=TRUE,IF(Table1[[#This Row],[Fetal Sex (Male, Female or Unknown)]]="Male",Backend!$C$6,IF(Table1[[#This Row],[Fetal Sex (Male, Female or Unknown)]]="Female",Backend!$C$7,IF(Table1[[#This Row],[Fetal Sex (Male, Female or Unknown)]]="Unknown",Backend!$C$8,"Error"))),"")</f>
        <v/>
      </c>
      <c r="F4148" s="8" t="str">
        <f>IF(Table1[[#This Row],[Is Data Valid]]=TRUE,EXP(0.578+0.332*((Table1[[#This Row],[Gestation (days)]]+0.5)/7)-0.00354*((Table1[[#This Row],[Gestation (days)]]+0.5)/7)^2)*Table1[[#This Row],[BW40_3705]],"")</f>
        <v/>
      </c>
      <c r="G4148" s="2" t="str">
        <f>IF(Table1[[#This Row],[Is Data Valid]]=TRUE,((Table1[[#This Row],[Birthweight (grams)]]/Table1[[#This Row],[BW_GA]])-1)/(Backend!$B$4/100*Table1[[#This Row],[BW40_3705]]),"")</f>
        <v/>
      </c>
      <c r="H4148" s="7" t="str">
        <f>IF(Table1[[#This Row],[Is Data Valid]]=TRUE,((Table1[[#This Row],[Birthweight (grams)]]*0.9/Table1[[#This Row],[BW_GA]])-1)/(Backend!$B$4/100*Table1[[#This Row],[BW40_3705]]),"")</f>
        <v/>
      </c>
      <c r="I4148" s="7" t="str">
        <f>IF(Table1[[#This Row],[Is Data Valid]]=TRUE,((Table1[[#This Row],[Birthweight (grams)]]*1.1/Table1[[#This Row],[BW_GA]])-1)/(Backend!$B$4/100*Table1[[#This Row],[BW40_3705]]),"")</f>
        <v/>
      </c>
      <c r="J4148" s="7" t="str">
        <f>IF(Table1[[#This Row],[Is Data Valid]]=TRUE,_xlfn.NORM.S.DIST(Table1[[#This Row],[Birthweight Z-Score]],TRUE)*100,"")</f>
        <v/>
      </c>
      <c r="K4148" s="7" t="str">
        <f>IF(Table1[[#This Row],[Is Data Valid]]=TRUE,_xlfn.NORM.S.DIST(Table1[[#This Row],[Birthweight Z-Score (BW-10%)]],TRUE)*100,"")</f>
        <v/>
      </c>
      <c r="L4148" s="7" t="str">
        <f>IF(Table1[[#This Row],[Is Data Valid]]=TRUE,_xlfn.NORM.S.DIST(Table1[[#This Row],[Birthweight Z-Score (BW+10%)]],TRUE)*100,"")</f>
        <v/>
      </c>
    </row>
    <row r="4149" spans="1:12" x14ac:dyDescent="0.35">
      <c r="A4149" s="3"/>
      <c r="B4149" s="2"/>
      <c r="C4149" s="2"/>
      <c r="D4149" s="2" t="b">
        <f>IF(AND(NOT(ISBLANK(Table1[[#This Row],[Fetal Sex (Male, Female or Unknown)]])),ISNUMBER(Table1[[#This Row],[Birthweight (grams)]]),ISNUMBER(Table1[[#This Row],[Gestation (days)]])),TRUE,FALSE)</f>
        <v>0</v>
      </c>
      <c r="E4149" s="2" t="str">
        <f>IF(Table1[[#This Row],[Is Data Valid]]=TRUE,IF(Table1[[#This Row],[Fetal Sex (Male, Female or Unknown)]]="Male",Backend!$C$6,IF(Table1[[#This Row],[Fetal Sex (Male, Female or Unknown)]]="Female",Backend!$C$7,IF(Table1[[#This Row],[Fetal Sex (Male, Female or Unknown)]]="Unknown",Backend!$C$8,"Error"))),"")</f>
        <v/>
      </c>
      <c r="F4149" s="8" t="str">
        <f>IF(Table1[[#This Row],[Is Data Valid]]=TRUE,EXP(0.578+0.332*((Table1[[#This Row],[Gestation (days)]]+0.5)/7)-0.00354*((Table1[[#This Row],[Gestation (days)]]+0.5)/7)^2)*Table1[[#This Row],[BW40_3705]],"")</f>
        <v/>
      </c>
      <c r="G4149" s="2" t="str">
        <f>IF(Table1[[#This Row],[Is Data Valid]]=TRUE,((Table1[[#This Row],[Birthweight (grams)]]/Table1[[#This Row],[BW_GA]])-1)/(Backend!$B$4/100*Table1[[#This Row],[BW40_3705]]),"")</f>
        <v/>
      </c>
      <c r="H4149" s="7" t="str">
        <f>IF(Table1[[#This Row],[Is Data Valid]]=TRUE,((Table1[[#This Row],[Birthweight (grams)]]*0.9/Table1[[#This Row],[BW_GA]])-1)/(Backend!$B$4/100*Table1[[#This Row],[BW40_3705]]),"")</f>
        <v/>
      </c>
      <c r="I4149" s="7" t="str">
        <f>IF(Table1[[#This Row],[Is Data Valid]]=TRUE,((Table1[[#This Row],[Birthweight (grams)]]*1.1/Table1[[#This Row],[BW_GA]])-1)/(Backend!$B$4/100*Table1[[#This Row],[BW40_3705]]),"")</f>
        <v/>
      </c>
      <c r="J4149" s="7" t="str">
        <f>IF(Table1[[#This Row],[Is Data Valid]]=TRUE,_xlfn.NORM.S.DIST(Table1[[#This Row],[Birthweight Z-Score]],TRUE)*100,"")</f>
        <v/>
      </c>
      <c r="K4149" s="7" t="str">
        <f>IF(Table1[[#This Row],[Is Data Valid]]=TRUE,_xlfn.NORM.S.DIST(Table1[[#This Row],[Birthweight Z-Score (BW-10%)]],TRUE)*100,"")</f>
        <v/>
      </c>
      <c r="L4149" s="7" t="str">
        <f>IF(Table1[[#This Row],[Is Data Valid]]=TRUE,_xlfn.NORM.S.DIST(Table1[[#This Row],[Birthweight Z-Score (BW+10%)]],TRUE)*100,"")</f>
        <v/>
      </c>
    </row>
    <row r="4150" spans="1:12" x14ac:dyDescent="0.35">
      <c r="A4150" s="3"/>
      <c r="B4150" s="2"/>
      <c r="C4150" s="2"/>
      <c r="D4150" s="2" t="b">
        <f>IF(AND(NOT(ISBLANK(Table1[[#This Row],[Fetal Sex (Male, Female or Unknown)]])),ISNUMBER(Table1[[#This Row],[Birthweight (grams)]]),ISNUMBER(Table1[[#This Row],[Gestation (days)]])),TRUE,FALSE)</f>
        <v>0</v>
      </c>
      <c r="E4150" s="2" t="str">
        <f>IF(Table1[[#This Row],[Is Data Valid]]=TRUE,IF(Table1[[#This Row],[Fetal Sex (Male, Female or Unknown)]]="Male",Backend!$C$6,IF(Table1[[#This Row],[Fetal Sex (Male, Female or Unknown)]]="Female",Backend!$C$7,IF(Table1[[#This Row],[Fetal Sex (Male, Female or Unknown)]]="Unknown",Backend!$C$8,"Error"))),"")</f>
        <v/>
      </c>
      <c r="F4150" s="8" t="str">
        <f>IF(Table1[[#This Row],[Is Data Valid]]=TRUE,EXP(0.578+0.332*((Table1[[#This Row],[Gestation (days)]]+0.5)/7)-0.00354*((Table1[[#This Row],[Gestation (days)]]+0.5)/7)^2)*Table1[[#This Row],[BW40_3705]],"")</f>
        <v/>
      </c>
      <c r="G4150" s="2" t="str">
        <f>IF(Table1[[#This Row],[Is Data Valid]]=TRUE,((Table1[[#This Row],[Birthweight (grams)]]/Table1[[#This Row],[BW_GA]])-1)/(Backend!$B$4/100*Table1[[#This Row],[BW40_3705]]),"")</f>
        <v/>
      </c>
      <c r="H4150" s="7" t="str">
        <f>IF(Table1[[#This Row],[Is Data Valid]]=TRUE,((Table1[[#This Row],[Birthweight (grams)]]*0.9/Table1[[#This Row],[BW_GA]])-1)/(Backend!$B$4/100*Table1[[#This Row],[BW40_3705]]),"")</f>
        <v/>
      </c>
      <c r="I4150" s="7" t="str">
        <f>IF(Table1[[#This Row],[Is Data Valid]]=TRUE,((Table1[[#This Row],[Birthweight (grams)]]*1.1/Table1[[#This Row],[BW_GA]])-1)/(Backend!$B$4/100*Table1[[#This Row],[BW40_3705]]),"")</f>
        <v/>
      </c>
      <c r="J4150" s="7" t="str">
        <f>IF(Table1[[#This Row],[Is Data Valid]]=TRUE,_xlfn.NORM.S.DIST(Table1[[#This Row],[Birthweight Z-Score]],TRUE)*100,"")</f>
        <v/>
      </c>
      <c r="K4150" s="7" t="str">
        <f>IF(Table1[[#This Row],[Is Data Valid]]=TRUE,_xlfn.NORM.S.DIST(Table1[[#This Row],[Birthweight Z-Score (BW-10%)]],TRUE)*100,"")</f>
        <v/>
      </c>
      <c r="L4150" s="7" t="str">
        <f>IF(Table1[[#This Row],[Is Data Valid]]=TRUE,_xlfn.NORM.S.DIST(Table1[[#This Row],[Birthweight Z-Score (BW+10%)]],TRUE)*100,"")</f>
        <v/>
      </c>
    </row>
    <row r="4151" spans="1:12" x14ac:dyDescent="0.35">
      <c r="A4151" s="3"/>
      <c r="B4151" s="2"/>
      <c r="C4151" s="2"/>
      <c r="D4151" s="2" t="b">
        <f>IF(AND(NOT(ISBLANK(Table1[[#This Row],[Fetal Sex (Male, Female or Unknown)]])),ISNUMBER(Table1[[#This Row],[Birthweight (grams)]]),ISNUMBER(Table1[[#This Row],[Gestation (days)]])),TRUE,FALSE)</f>
        <v>0</v>
      </c>
      <c r="E4151" s="2" t="str">
        <f>IF(Table1[[#This Row],[Is Data Valid]]=TRUE,IF(Table1[[#This Row],[Fetal Sex (Male, Female or Unknown)]]="Male",Backend!$C$6,IF(Table1[[#This Row],[Fetal Sex (Male, Female or Unknown)]]="Female",Backend!$C$7,IF(Table1[[#This Row],[Fetal Sex (Male, Female or Unknown)]]="Unknown",Backend!$C$8,"Error"))),"")</f>
        <v/>
      </c>
      <c r="F4151" s="8" t="str">
        <f>IF(Table1[[#This Row],[Is Data Valid]]=TRUE,EXP(0.578+0.332*((Table1[[#This Row],[Gestation (days)]]+0.5)/7)-0.00354*((Table1[[#This Row],[Gestation (days)]]+0.5)/7)^2)*Table1[[#This Row],[BW40_3705]],"")</f>
        <v/>
      </c>
      <c r="G4151" s="2" t="str">
        <f>IF(Table1[[#This Row],[Is Data Valid]]=TRUE,((Table1[[#This Row],[Birthweight (grams)]]/Table1[[#This Row],[BW_GA]])-1)/(Backend!$B$4/100*Table1[[#This Row],[BW40_3705]]),"")</f>
        <v/>
      </c>
      <c r="H4151" s="7" t="str">
        <f>IF(Table1[[#This Row],[Is Data Valid]]=TRUE,((Table1[[#This Row],[Birthweight (grams)]]*0.9/Table1[[#This Row],[BW_GA]])-1)/(Backend!$B$4/100*Table1[[#This Row],[BW40_3705]]),"")</f>
        <v/>
      </c>
      <c r="I4151" s="7" t="str">
        <f>IF(Table1[[#This Row],[Is Data Valid]]=TRUE,((Table1[[#This Row],[Birthweight (grams)]]*1.1/Table1[[#This Row],[BW_GA]])-1)/(Backend!$B$4/100*Table1[[#This Row],[BW40_3705]]),"")</f>
        <v/>
      </c>
      <c r="J4151" s="7" t="str">
        <f>IF(Table1[[#This Row],[Is Data Valid]]=TRUE,_xlfn.NORM.S.DIST(Table1[[#This Row],[Birthweight Z-Score]],TRUE)*100,"")</f>
        <v/>
      </c>
      <c r="K4151" s="7" t="str">
        <f>IF(Table1[[#This Row],[Is Data Valid]]=TRUE,_xlfn.NORM.S.DIST(Table1[[#This Row],[Birthweight Z-Score (BW-10%)]],TRUE)*100,"")</f>
        <v/>
      </c>
      <c r="L4151" s="7" t="str">
        <f>IF(Table1[[#This Row],[Is Data Valid]]=TRUE,_xlfn.NORM.S.DIST(Table1[[#This Row],[Birthweight Z-Score (BW+10%)]],TRUE)*100,"")</f>
        <v/>
      </c>
    </row>
    <row r="4152" spans="1:12" x14ac:dyDescent="0.35">
      <c r="A4152" s="3"/>
      <c r="B4152" s="2"/>
      <c r="C4152" s="2"/>
      <c r="D4152" s="2" t="b">
        <f>IF(AND(NOT(ISBLANK(Table1[[#This Row],[Fetal Sex (Male, Female or Unknown)]])),ISNUMBER(Table1[[#This Row],[Birthweight (grams)]]),ISNUMBER(Table1[[#This Row],[Gestation (days)]])),TRUE,FALSE)</f>
        <v>0</v>
      </c>
      <c r="E4152" s="2" t="str">
        <f>IF(Table1[[#This Row],[Is Data Valid]]=TRUE,IF(Table1[[#This Row],[Fetal Sex (Male, Female or Unknown)]]="Male",Backend!$C$6,IF(Table1[[#This Row],[Fetal Sex (Male, Female or Unknown)]]="Female",Backend!$C$7,IF(Table1[[#This Row],[Fetal Sex (Male, Female or Unknown)]]="Unknown",Backend!$C$8,"Error"))),"")</f>
        <v/>
      </c>
      <c r="F4152" s="8" t="str">
        <f>IF(Table1[[#This Row],[Is Data Valid]]=TRUE,EXP(0.578+0.332*((Table1[[#This Row],[Gestation (days)]]+0.5)/7)-0.00354*((Table1[[#This Row],[Gestation (days)]]+0.5)/7)^2)*Table1[[#This Row],[BW40_3705]],"")</f>
        <v/>
      </c>
      <c r="G4152" s="2" t="str">
        <f>IF(Table1[[#This Row],[Is Data Valid]]=TRUE,((Table1[[#This Row],[Birthweight (grams)]]/Table1[[#This Row],[BW_GA]])-1)/(Backend!$B$4/100*Table1[[#This Row],[BW40_3705]]),"")</f>
        <v/>
      </c>
      <c r="H4152" s="7" t="str">
        <f>IF(Table1[[#This Row],[Is Data Valid]]=TRUE,((Table1[[#This Row],[Birthweight (grams)]]*0.9/Table1[[#This Row],[BW_GA]])-1)/(Backend!$B$4/100*Table1[[#This Row],[BW40_3705]]),"")</f>
        <v/>
      </c>
      <c r="I4152" s="7" t="str">
        <f>IF(Table1[[#This Row],[Is Data Valid]]=TRUE,((Table1[[#This Row],[Birthweight (grams)]]*1.1/Table1[[#This Row],[BW_GA]])-1)/(Backend!$B$4/100*Table1[[#This Row],[BW40_3705]]),"")</f>
        <v/>
      </c>
      <c r="J4152" s="7" t="str">
        <f>IF(Table1[[#This Row],[Is Data Valid]]=TRUE,_xlfn.NORM.S.DIST(Table1[[#This Row],[Birthweight Z-Score]],TRUE)*100,"")</f>
        <v/>
      </c>
      <c r="K4152" s="7" t="str">
        <f>IF(Table1[[#This Row],[Is Data Valid]]=TRUE,_xlfn.NORM.S.DIST(Table1[[#This Row],[Birthweight Z-Score (BW-10%)]],TRUE)*100,"")</f>
        <v/>
      </c>
      <c r="L4152" s="7" t="str">
        <f>IF(Table1[[#This Row],[Is Data Valid]]=TRUE,_xlfn.NORM.S.DIST(Table1[[#This Row],[Birthweight Z-Score (BW+10%)]],TRUE)*100,"")</f>
        <v/>
      </c>
    </row>
    <row r="4153" spans="1:12" x14ac:dyDescent="0.35">
      <c r="A4153" s="3"/>
      <c r="B4153" s="2"/>
      <c r="C4153" s="2"/>
      <c r="D4153" s="2" t="b">
        <f>IF(AND(NOT(ISBLANK(Table1[[#This Row],[Fetal Sex (Male, Female or Unknown)]])),ISNUMBER(Table1[[#This Row],[Birthweight (grams)]]),ISNUMBER(Table1[[#This Row],[Gestation (days)]])),TRUE,FALSE)</f>
        <v>0</v>
      </c>
      <c r="E4153" s="2" t="str">
        <f>IF(Table1[[#This Row],[Is Data Valid]]=TRUE,IF(Table1[[#This Row],[Fetal Sex (Male, Female or Unknown)]]="Male",Backend!$C$6,IF(Table1[[#This Row],[Fetal Sex (Male, Female or Unknown)]]="Female",Backend!$C$7,IF(Table1[[#This Row],[Fetal Sex (Male, Female or Unknown)]]="Unknown",Backend!$C$8,"Error"))),"")</f>
        <v/>
      </c>
      <c r="F4153" s="8" t="str">
        <f>IF(Table1[[#This Row],[Is Data Valid]]=TRUE,EXP(0.578+0.332*((Table1[[#This Row],[Gestation (days)]]+0.5)/7)-0.00354*((Table1[[#This Row],[Gestation (days)]]+0.5)/7)^2)*Table1[[#This Row],[BW40_3705]],"")</f>
        <v/>
      </c>
      <c r="G4153" s="2" t="str">
        <f>IF(Table1[[#This Row],[Is Data Valid]]=TRUE,((Table1[[#This Row],[Birthweight (grams)]]/Table1[[#This Row],[BW_GA]])-1)/(Backend!$B$4/100*Table1[[#This Row],[BW40_3705]]),"")</f>
        <v/>
      </c>
      <c r="H4153" s="7" t="str">
        <f>IF(Table1[[#This Row],[Is Data Valid]]=TRUE,((Table1[[#This Row],[Birthweight (grams)]]*0.9/Table1[[#This Row],[BW_GA]])-1)/(Backend!$B$4/100*Table1[[#This Row],[BW40_3705]]),"")</f>
        <v/>
      </c>
      <c r="I4153" s="7" t="str">
        <f>IF(Table1[[#This Row],[Is Data Valid]]=TRUE,((Table1[[#This Row],[Birthweight (grams)]]*1.1/Table1[[#This Row],[BW_GA]])-1)/(Backend!$B$4/100*Table1[[#This Row],[BW40_3705]]),"")</f>
        <v/>
      </c>
      <c r="J4153" s="7" t="str">
        <f>IF(Table1[[#This Row],[Is Data Valid]]=TRUE,_xlfn.NORM.S.DIST(Table1[[#This Row],[Birthweight Z-Score]],TRUE)*100,"")</f>
        <v/>
      </c>
      <c r="K4153" s="7" t="str">
        <f>IF(Table1[[#This Row],[Is Data Valid]]=TRUE,_xlfn.NORM.S.DIST(Table1[[#This Row],[Birthweight Z-Score (BW-10%)]],TRUE)*100,"")</f>
        <v/>
      </c>
      <c r="L4153" s="7" t="str">
        <f>IF(Table1[[#This Row],[Is Data Valid]]=TRUE,_xlfn.NORM.S.DIST(Table1[[#This Row],[Birthweight Z-Score (BW+10%)]],TRUE)*100,"")</f>
        <v/>
      </c>
    </row>
    <row r="4154" spans="1:12" x14ac:dyDescent="0.35">
      <c r="A4154" s="3"/>
      <c r="B4154" s="2"/>
      <c r="C4154" s="2"/>
      <c r="D4154" s="2" t="b">
        <f>IF(AND(NOT(ISBLANK(Table1[[#This Row],[Fetal Sex (Male, Female or Unknown)]])),ISNUMBER(Table1[[#This Row],[Birthweight (grams)]]),ISNUMBER(Table1[[#This Row],[Gestation (days)]])),TRUE,FALSE)</f>
        <v>0</v>
      </c>
      <c r="E4154" s="2" t="str">
        <f>IF(Table1[[#This Row],[Is Data Valid]]=TRUE,IF(Table1[[#This Row],[Fetal Sex (Male, Female or Unknown)]]="Male",Backend!$C$6,IF(Table1[[#This Row],[Fetal Sex (Male, Female or Unknown)]]="Female",Backend!$C$7,IF(Table1[[#This Row],[Fetal Sex (Male, Female or Unknown)]]="Unknown",Backend!$C$8,"Error"))),"")</f>
        <v/>
      </c>
      <c r="F4154" s="8" t="str">
        <f>IF(Table1[[#This Row],[Is Data Valid]]=TRUE,EXP(0.578+0.332*((Table1[[#This Row],[Gestation (days)]]+0.5)/7)-0.00354*((Table1[[#This Row],[Gestation (days)]]+0.5)/7)^2)*Table1[[#This Row],[BW40_3705]],"")</f>
        <v/>
      </c>
      <c r="G4154" s="2" t="str">
        <f>IF(Table1[[#This Row],[Is Data Valid]]=TRUE,((Table1[[#This Row],[Birthweight (grams)]]/Table1[[#This Row],[BW_GA]])-1)/(Backend!$B$4/100*Table1[[#This Row],[BW40_3705]]),"")</f>
        <v/>
      </c>
      <c r="H4154" s="7" t="str">
        <f>IF(Table1[[#This Row],[Is Data Valid]]=TRUE,((Table1[[#This Row],[Birthweight (grams)]]*0.9/Table1[[#This Row],[BW_GA]])-1)/(Backend!$B$4/100*Table1[[#This Row],[BW40_3705]]),"")</f>
        <v/>
      </c>
      <c r="I4154" s="7" t="str">
        <f>IF(Table1[[#This Row],[Is Data Valid]]=TRUE,((Table1[[#This Row],[Birthweight (grams)]]*1.1/Table1[[#This Row],[BW_GA]])-1)/(Backend!$B$4/100*Table1[[#This Row],[BW40_3705]]),"")</f>
        <v/>
      </c>
      <c r="J4154" s="7" t="str">
        <f>IF(Table1[[#This Row],[Is Data Valid]]=TRUE,_xlfn.NORM.S.DIST(Table1[[#This Row],[Birthweight Z-Score]],TRUE)*100,"")</f>
        <v/>
      </c>
      <c r="K4154" s="7" t="str">
        <f>IF(Table1[[#This Row],[Is Data Valid]]=TRUE,_xlfn.NORM.S.DIST(Table1[[#This Row],[Birthweight Z-Score (BW-10%)]],TRUE)*100,"")</f>
        <v/>
      </c>
      <c r="L4154" s="7" t="str">
        <f>IF(Table1[[#This Row],[Is Data Valid]]=TRUE,_xlfn.NORM.S.DIST(Table1[[#This Row],[Birthweight Z-Score (BW+10%)]],TRUE)*100,"")</f>
        <v/>
      </c>
    </row>
    <row r="4155" spans="1:12" x14ac:dyDescent="0.35">
      <c r="A4155" s="3"/>
      <c r="B4155" s="2"/>
      <c r="C4155" s="2"/>
      <c r="D4155" s="2" t="b">
        <f>IF(AND(NOT(ISBLANK(Table1[[#This Row],[Fetal Sex (Male, Female or Unknown)]])),ISNUMBER(Table1[[#This Row],[Birthweight (grams)]]),ISNUMBER(Table1[[#This Row],[Gestation (days)]])),TRUE,FALSE)</f>
        <v>0</v>
      </c>
      <c r="E4155" s="2" t="str">
        <f>IF(Table1[[#This Row],[Is Data Valid]]=TRUE,IF(Table1[[#This Row],[Fetal Sex (Male, Female or Unknown)]]="Male",Backend!$C$6,IF(Table1[[#This Row],[Fetal Sex (Male, Female or Unknown)]]="Female",Backend!$C$7,IF(Table1[[#This Row],[Fetal Sex (Male, Female or Unknown)]]="Unknown",Backend!$C$8,"Error"))),"")</f>
        <v/>
      </c>
      <c r="F4155" s="8" t="str">
        <f>IF(Table1[[#This Row],[Is Data Valid]]=TRUE,EXP(0.578+0.332*((Table1[[#This Row],[Gestation (days)]]+0.5)/7)-0.00354*((Table1[[#This Row],[Gestation (days)]]+0.5)/7)^2)*Table1[[#This Row],[BW40_3705]],"")</f>
        <v/>
      </c>
      <c r="G4155" s="2" t="str">
        <f>IF(Table1[[#This Row],[Is Data Valid]]=TRUE,((Table1[[#This Row],[Birthweight (grams)]]/Table1[[#This Row],[BW_GA]])-1)/(Backend!$B$4/100*Table1[[#This Row],[BW40_3705]]),"")</f>
        <v/>
      </c>
      <c r="H4155" s="7" t="str">
        <f>IF(Table1[[#This Row],[Is Data Valid]]=TRUE,((Table1[[#This Row],[Birthweight (grams)]]*0.9/Table1[[#This Row],[BW_GA]])-1)/(Backend!$B$4/100*Table1[[#This Row],[BW40_3705]]),"")</f>
        <v/>
      </c>
      <c r="I4155" s="7" t="str">
        <f>IF(Table1[[#This Row],[Is Data Valid]]=TRUE,((Table1[[#This Row],[Birthweight (grams)]]*1.1/Table1[[#This Row],[BW_GA]])-1)/(Backend!$B$4/100*Table1[[#This Row],[BW40_3705]]),"")</f>
        <v/>
      </c>
      <c r="J4155" s="7" t="str">
        <f>IF(Table1[[#This Row],[Is Data Valid]]=TRUE,_xlfn.NORM.S.DIST(Table1[[#This Row],[Birthweight Z-Score]],TRUE)*100,"")</f>
        <v/>
      </c>
      <c r="K4155" s="7" t="str">
        <f>IF(Table1[[#This Row],[Is Data Valid]]=TRUE,_xlfn.NORM.S.DIST(Table1[[#This Row],[Birthweight Z-Score (BW-10%)]],TRUE)*100,"")</f>
        <v/>
      </c>
      <c r="L4155" s="7" t="str">
        <f>IF(Table1[[#This Row],[Is Data Valid]]=TRUE,_xlfn.NORM.S.DIST(Table1[[#This Row],[Birthweight Z-Score (BW+10%)]],TRUE)*100,"")</f>
        <v/>
      </c>
    </row>
    <row r="4156" spans="1:12" x14ac:dyDescent="0.35">
      <c r="A4156" s="3"/>
      <c r="B4156" s="2"/>
      <c r="C4156" s="2"/>
      <c r="D4156" s="2" t="b">
        <f>IF(AND(NOT(ISBLANK(Table1[[#This Row],[Fetal Sex (Male, Female or Unknown)]])),ISNUMBER(Table1[[#This Row],[Birthweight (grams)]]),ISNUMBER(Table1[[#This Row],[Gestation (days)]])),TRUE,FALSE)</f>
        <v>0</v>
      </c>
      <c r="E4156" s="2" t="str">
        <f>IF(Table1[[#This Row],[Is Data Valid]]=TRUE,IF(Table1[[#This Row],[Fetal Sex (Male, Female or Unknown)]]="Male",Backend!$C$6,IF(Table1[[#This Row],[Fetal Sex (Male, Female or Unknown)]]="Female",Backend!$C$7,IF(Table1[[#This Row],[Fetal Sex (Male, Female or Unknown)]]="Unknown",Backend!$C$8,"Error"))),"")</f>
        <v/>
      </c>
      <c r="F4156" s="8" t="str">
        <f>IF(Table1[[#This Row],[Is Data Valid]]=TRUE,EXP(0.578+0.332*((Table1[[#This Row],[Gestation (days)]]+0.5)/7)-0.00354*((Table1[[#This Row],[Gestation (days)]]+0.5)/7)^2)*Table1[[#This Row],[BW40_3705]],"")</f>
        <v/>
      </c>
      <c r="G4156" s="2" t="str">
        <f>IF(Table1[[#This Row],[Is Data Valid]]=TRUE,((Table1[[#This Row],[Birthweight (grams)]]/Table1[[#This Row],[BW_GA]])-1)/(Backend!$B$4/100*Table1[[#This Row],[BW40_3705]]),"")</f>
        <v/>
      </c>
      <c r="H4156" s="7" t="str">
        <f>IF(Table1[[#This Row],[Is Data Valid]]=TRUE,((Table1[[#This Row],[Birthweight (grams)]]*0.9/Table1[[#This Row],[BW_GA]])-1)/(Backend!$B$4/100*Table1[[#This Row],[BW40_3705]]),"")</f>
        <v/>
      </c>
      <c r="I4156" s="7" t="str">
        <f>IF(Table1[[#This Row],[Is Data Valid]]=TRUE,((Table1[[#This Row],[Birthweight (grams)]]*1.1/Table1[[#This Row],[BW_GA]])-1)/(Backend!$B$4/100*Table1[[#This Row],[BW40_3705]]),"")</f>
        <v/>
      </c>
      <c r="J4156" s="7" t="str">
        <f>IF(Table1[[#This Row],[Is Data Valid]]=TRUE,_xlfn.NORM.S.DIST(Table1[[#This Row],[Birthweight Z-Score]],TRUE)*100,"")</f>
        <v/>
      </c>
      <c r="K4156" s="7" t="str">
        <f>IF(Table1[[#This Row],[Is Data Valid]]=TRUE,_xlfn.NORM.S.DIST(Table1[[#This Row],[Birthweight Z-Score (BW-10%)]],TRUE)*100,"")</f>
        <v/>
      </c>
      <c r="L4156" s="7" t="str">
        <f>IF(Table1[[#This Row],[Is Data Valid]]=TRUE,_xlfn.NORM.S.DIST(Table1[[#This Row],[Birthweight Z-Score (BW+10%)]],TRUE)*100,"")</f>
        <v/>
      </c>
    </row>
    <row r="4157" spans="1:12" x14ac:dyDescent="0.35">
      <c r="A4157" s="3"/>
      <c r="B4157" s="2"/>
      <c r="C4157" s="2"/>
      <c r="D4157" s="2" t="b">
        <f>IF(AND(NOT(ISBLANK(Table1[[#This Row],[Fetal Sex (Male, Female or Unknown)]])),ISNUMBER(Table1[[#This Row],[Birthweight (grams)]]),ISNUMBER(Table1[[#This Row],[Gestation (days)]])),TRUE,FALSE)</f>
        <v>0</v>
      </c>
      <c r="E4157" s="2" t="str">
        <f>IF(Table1[[#This Row],[Is Data Valid]]=TRUE,IF(Table1[[#This Row],[Fetal Sex (Male, Female or Unknown)]]="Male",Backend!$C$6,IF(Table1[[#This Row],[Fetal Sex (Male, Female or Unknown)]]="Female",Backend!$C$7,IF(Table1[[#This Row],[Fetal Sex (Male, Female or Unknown)]]="Unknown",Backend!$C$8,"Error"))),"")</f>
        <v/>
      </c>
      <c r="F4157" s="8" t="str">
        <f>IF(Table1[[#This Row],[Is Data Valid]]=TRUE,EXP(0.578+0.332*((Table1[[#This Row],[Gestation (days)]]+0.5)/7)-0.00354*((Table1[[#This Row],[Gestation (days)]]+0.5)/7)^2)*Table1[[#This Row],[BW40_3705]],"")</f>
        <v/>
      </c>
      <c r="G4157" s="2" t="str">
        <f>IF(Table1[[#This Row],[Is Data Valid]]=TRUE,((Table1[[#This Row],[Birthweight (grams)]]/Table1[[#This Row],[BW_GA]])-1)/(Backend!$B$4/100*Table1[[#This Row],[BW40_3705]]),"")</f>
        <v/>
      </c>
      <c r="H4157" s="7" t="str">
        <f>IF(Table1[[#This Row],[Is Data Valid]]=TRUE,((Table1[[#This Row],[Birthweight (grams)]]*0.9/Table1[[#This Row],[BW_GA]])-1)/(Backend!$B$4/100*Table1[[#This Row],[BW40_3705]]),"")</f>
        <v/>
      </c>
      <c r="I4157" s="7" t="str">
        <f>IF(Table1[[#This Row],[Is Data Valid]]=TRUE,((Table1[[#This Row],[Birthweight (grams)]]*1.1/Table1[[#This Row],[BW_GA]])-1)/(Backend!$B$4/100*Table1[[#This Row],[BW40_3705]]),"")</f>
        <v/>
      </c>
      <c r="J4157" s="7" t="str">
        <f>IF(Table1[[#This Row],[Is Data Valid]]=TRUE,_xlfn.NORM.S.DIST(Table1[[#This Row],[Birthweight Z-Score]],TRUE)*100,"")</f>
        <v/>
      </c>
      <c r="K4157" s="7" t="str">
        <f>IF(Table1[[#This Row],[Is Data Valid]]=TRUE,_xlfn.NORM.S.DIST(Table1[[#This Row],[Birthweight Z-Score (BW-10%)]],TRUE)*100,"")</f>
        <v/>
      </c>
      <c r="L4157" s="7" t="str">
        <f>IF(Table1[[#This Row],[Is Data Valid]]=TRUE,_xlfn.NORM.S.DIST(Table1[[#This Row],[Birthweight Z-Score (BW+10%)]],TRUE)*100,"")</f>
        <v/>
      </c>
    </row>
    <row r="4158" spans="1:12" x14ac:dyDescent="0.35">
      <c r="A4158" s="3"/>
      <c r="B4158" s="2"/>
      <c r="C4158" s="2"/>
      <c r="D4158" s="2" t="b">
        <f>IF(AND(NOT(ISBLANK(Table1[[#This Row],[Fetal Sex (Male, Female or Unknown)]])),ISNUMBER(Table1[[#This Row],[Birthweight (grams)]]),ISNUMBER(Table1[[#This Row],[Gestation (days)]])),TRUE,FALSE)</f>
        <v>0</v>
      </c>
      <c r="E4158" s="2" t="str">
        <f>IF(Table1[[#This Row],[Is Data Valid]]=TRUE,IF(Table1[[#This Row],[Fetal Sex (Male, Female or Unknown)]]="Male",Backend!$C$6,IF(Table1[[#This Row],[Fetal Sex (Male, Female or Unknown)]]="Female",Backend!$C$7,IF(Table1[[#This Row],[Fetal Sex (Male, Female or Unknown)]]="Unknown",Backend!$C$8,"Error"))),"")</f>
        <v/>
      </c>
      <c r="F4158" s="8" t="str">
        <f>IF(Table1[[#This Row],[Is Data Valid]]=TRUE,EXP(0.578+0.332*((Table1[[#This Row],[Gestation (days)]]+0.5)/7)-0.00354*((Table1[[#This Row],[Gestation (days)]]+0.5)/7)^2)*Table1[[#This Row],[BW40_3705]],"")</f>
        <v/>
      </c>
      <c r="G4158" s="2" t="str">
        <f>IF(Table1[[#This Row],[Is Data Valid]]=TRUE,((Table1[[#This Row],[Birthweight (grams)]]/Table1[[#This Row],[BW_GA]])-1)/(Backend!$B$4/100*Table1[[#This Row],[BW40_3705]]),"")</f>
        <v/>
      </c>
      <c r="H4158" s="7" t="str">
        <f>IF(Table1[[#This Row],[Is Data Valid]]=TRUE,((Table1[[#This Row],[Birthweight (grams)]]*0.9/Table1[[#This Row],[BW_GA]])-1)/(Backend!$B$4/100*Table1[[#This Row],[BW40_3705]]),"")</f>
        <v/>
      </c>
      <c r="I4158" s="7" t="str">
        <f>IF(Table1[[#This Row],[Is Data Valid]]=TRUE,((Table1[[#This Row],[Birthweight (grams)]]*1.1/Table1[[#This Row],[BW_GA]])-1)/(Backend!$B$4/100*Table1[[#This Row],[BW40_3705]]),"")</f>
        <v/>
      </c>
      <c r="J4158" s="7" t="str">
        <f>IF(Table1[[#This Row],[Is Data Valid]]=TRUE,_xlfn.NORM.S.DIST(Table1[[#This Row],[Birthweight Z-Score]],TRUE)*100,"")</f>
        <v/>
      </c>
      <c r="K4158" s="7" t="str">
        <f>IF(Table1[[#This Row],[Is Data Valid]]=TRUE,_xlfn.NORM.S.DIST(Table1[[#This Row],[Birthweight Z-Score (BW-10%)]],TRUE)*100,"")</f>
        <v/>
      </c>
      <c r="L4158" s="7" t="str">
        <f>IF(Table1[[#This Row],[Is Data Valid]]=TRUE,_xlfn.NORM.S.DIST(Table1[[#This Row],[Birthweight Z-Score (BW+10%)]],TRUE)*100,"")</f>
        <v/>
      </c>
    </row>
    <row r="4159" spans="1:12" x14ac:dyDescent="0.35">
      <c r="A4159" s="3"/>
      <c r="B4159" s="2"/>
      <c r="C4159" s="2"/>
      <c r="D4159" s="2" t="b">
        <f>IF(AND(NOT(ISBLANK(Table1[[#This Row],[Fetal Sex (Male, Female or Unknown)]])),ISNUMBER(Table1[[#This Row],[Birthweight (grams)]]),ISNUMBER(Table1[[#This Row],[Gestation (days)]])),TRUE,FALSE)</f>
        <v>0</v>
      </c>
      <c r="E4159" s="2" t="str">
        <f>IF(Table1[[#This Row],[Is Data Valid]]=TRUE,IF(Table1[[#This Row],[Fetal Sex (Male, Female or Unknown)]]="Male",Backend!$C$6,IF(Table1[[#This Row],[Fetal Sex (Male, Female or Unknown)]]="Female",Backend!$C$7,IF(Table1[[#This Row],[Fetal Sex (Male, Female or Unknown)]]="Unknown",Backend!$C$8,"Error"))),"")</f>
        <v/>
      </c>
      <c r="F4159" s="8" t="str">
        <f>IF(Table1[[#This Row],[Is Data Valid]]=TRUE,EXP(0.578+0.332*((Table1[[#This Row],[Gestation (days)]]+0.5)/7)-0.00354*((Table1[[#This Row],[Gestation (days)]]+0.5)/7)^2)*Table1[[#This Row],[BW40_3705]],"")</f>
        <v/>
      </c>
      <c r="G4159" s="2" t="str">
        <f>IF(Table1[[#This Row],[Is Data Valid]]=TRUE,((Table1[[#This Row],[Birthweight (grams)]]/Table1[[#This Row],[BW_GA]])-1)/(Backend!$B$4/100*Table1[[#This Row],[BW40_3705]]),"")</f>
        <v/>
      </c>
      <c r="H4159" s="7" t="str">
        <f>IF(Table1[[#This Row],[Is Data Valid]]=TRUE,((Table1[[#This Row],[Birthweight (grams)]]*0.9/Table1[[#This Row],[BW_GA]])-1)/(Backend!$B$4/100*Table1[[#This Row],[BW40_3705]]),"")</f>
        <v/>
      </c>
      <c r="I4159" s="7" t="str">
        <f>IF(Table1[[#This Row],[Is Data Valid]]=TRUE,((Table1[[#This Row],[Birthweight (grams)]]*1.1/Table1[[#This Row],[BW_GA]])-1)/(Backend!$B$4/100*Table1[[#This Row],[BW40_3705]]),"")</f>
        <v/>
      </c>
      <c r="J4159" s="7" t="str">
        <f>IF(Table1[[#This Row],[Is Data Valid]]=TRUE,_xlfn.NORM.S.DIST(Table1[[#This Row],[Birthweight Z-Score]],TRUE)*100,"")</f>
        <v/>
      </c>
      <c r="K4159" s="7" t="str">
        <f>IF(Table1[[#This Row],[Is Data Valid]]=TRUE,_xlfn.NORM.S.DIST(Table1[[#This Row],[Birthweight Z-Score (BW-10%)]],TRUE)*100,"")</f>
        <v/>
      </c>
      <c r="L4159" s="7" t="str">
        <f>IF(Table1[[#This Row],[Is Data Valid]]=TRUE,_xlfn.NORM.S.DIST(Table1[[#This Row],[Birthweight Z-Score (BW+10%)]],TRUE)*100,"")</f>
        <v/>
      </c>
    </row>
    <row r="4160" spans="1:12" x14ac:dyDescent="0.35">
      <c r="A4160" s="3"/>
      <c r="B4160" s="2"/>
      <c r="C4160" s="2"/>
      <c r="D4160" s="2" t="b">
        <f>IF(AND(NOT(ISBLANK(Table1[[#This Row],[Fetal Sex (Male, Female or Unknown)]])),ISNUMBER(Table1[[#This Row],[Birthweight (grams)]]),ISNUMBER(Table1[[#This Row],[Gestation (days)]])),TRUE,FALSE)</f>
        <v>0</v>
      </c>
      <c r="E4160" s="2" t="str">
        <f>IF(Table1[[#This Row],[Is Data Valid]]=TRUE,IF(Table1[[#This Row],[Fetal Sex (Male, Female or Unknown)]]="Male",Backend!$C$6,IF(Table1[[#This Row],[Fetal Sex (Male, Female or Unknown)]]="Female",Backend!$C$7,IF(Table1[[#This Row],[Fetal Sex (Male, Female or Unknown)]]="Unknown",Backend!$C$8,"Error"))),"")</f>
        <v/>
      </c>
      <c r="F4160" s="8" t="str">
        <f>IF(Table1[[#This Row],[Is Data Valid]]=TRUE,EXP(0.578+0.332*((Table1[[#This Row],[Gestation (days)]]+0.5)/7)-0.00354*((Table1[[#This Row],[Gestation (days)]]+0.5)/7)^2)*Table1[[#This Row],[BW40_3705]],"")</f>
        <v/>
      </c>
      <c r="G4160" s="2" t="str">
        <f>IF(Table1[[#This Row],[Is Data Valid]]=TRUE,((Table1[[#This Row],[Birthweight (grams)]]/Table1[[#This Row],[BW_GA]])-1)/(Backend!$B$4/100*Table1[[#This Row],[BW40_3705]]),"")</f>
        <v/>
      </c>
      <c r="H4160" s="7" t="str">
        <f>IF(Table1[[#This Row],[Is Data Valid]]=TRUE,((Table1[[#This Row],[Birthweight (grams)]]*0.9/Table1[[#This Row],[BW_GA]])-1)/(Backend!$B$4/100*Table1[[#This Row],[BW40_3705]]),"")</f>
        <v/>
      </c>
      <c r="I4160" s="7" t="str">
        <f>IF(Table1[[#This Row],[Is Data Valid]]=TRUE,((Table1[[#This Row],[Birthweight (grams)]]*1.1/Table1[[#This Row],[BW_GA]])-1)/(Backend!$B$4/100*Table1[[#This Row],[BW40_3705]]),"")</f>
        <v/>
      </c>
      <c r="J4160" s="7" t="str">
        <f>IF(Table1[[#This Row],[Is Data Valid]]=TRUE,_xlfn.NORM.S.DIST(Table1[[#This Row],[Birthweight Z-Score]],TRUE)*100,"")</f>
        <v/>
      </c>
      <c r="K4160" s="7" t="str">
        <f>IF(Table1[[#This Row],[Is Data Valid]]=TRUE,_xlfn.NORM.S.DIST(Table1[[#This Row],[Birthweight Z-Score (BW-10%)]],TRUE)*100,"")</f>
        <v/>
      </c>
      <c r="L4160" s="7" t="str">
        <f>IF(Table1[[#This Row],[Is Data Valid]]=TRUE,_xlfn.NORM.S.DIST(Table1[[#This Row],[Birthweight Z-Score (BW+10%)]],TRUE)*100,"")</f>
        <v/>
      </c>
    </row>
    <row r="4161" spans="1:12" x14ac:dyDescent="0.35">
      <c r="A4161" s="3"/>
      <c r="B4161" s="2"/>
      <c r="C4161" s="2"/>
      <c r="D4161" s="2" t="b">
        <f>IF(AND(NOT(ISBLANK(Table1[[#This Row],[Fetal Sex (Male, Female or Unknown)]])),ISNUMBER(Table1[[#This Row],[Birthweight (grams)]]),ISNUMBER(Table1[[#This Row],[Gestation (days)]])),TRUE,FALSE)</f>
        <v>0</v>
      </c>
      <c r="E4161" s="2" t="str">
        <f>IF(Table1[[#This Row],[Is Data Valid]]=TRUE,IF(Table1[[#This Row],[Fetal Sex (Male, Female or Unknown)]]="Male",Backend!$C$6,IF(Table1[[#This Row],[Fetal Sex (Male, Female or Unknown)]]="Female",Backend!$C$7,IF(Table1[[#This Row],[Fetal Sex (Male, Female or Unknown)]]="Unknown",Backend!$C$8,"Error"))),"")</f>
        <v/>
      </c>
      <c r="F4161" s="8" t="str">
        <f>IF(Table1[[#This Row],[Is Data Valid]]=TRUE,EXP(0.578+0.332*((Table1[[#This Row],[Gestation (days)]]+0.5)/7)-0.00354*((Table1[[#This Row],[Gestation (days)]]+0.5)/7)^2)*Table1[[#This Row],[BW40_3705]],"")</f>
        <v/>
      </c>
      <c r="G4161" s="2" t="str">
        <f>IF(Table1[[#This Row],[Is Data Valid]]=TRUE,((Table1[[#This Row],[Birthweight (grams)]]/Table1[[#This Row],[BW_GA]])-1)/(Backend!$B$4/100*Table1[[#This Row],[BW40_3705]]),"")</f>
        <v/>
      </c>
      <c r="H4161" s="7" t="str">
        <f>IF(Table1[[#This Row],[Is Data Valid]]=TRUE,((Table1[[#This Row],[Birthweight (grams)]]*0.9/Table1[[#This Row],[BW_GA]])-1)/(Backend!$B$4/100*Table1[[#This Row],[BW40_3705]]),"")</f>
        <v/>
      </c>
      <c r="I4161" s="7" t="str">
        <f>IF(Table1[[#This Row],[Is Data Valid]]=TRUE,((Table1[[#This Row],[Birthweight (grams)]]*1.1/Table1[[#This Row],[BW_GA]])-1)/(Backend!$B$4/100*Table1[[#This Row],[BW40_3705]]),"")</f>
        <v/>
      </c>
      <c r="J4161" s="7" t="str">
        <f>IF(Table1[[#This Row],[Is Data Valid]]=TRUE,_xlfn.NORM.S.DIST(Table1[[#This Row],[Birthweight Z-Score]],TRUE)*100,"")</f>
        <v/>
      </c>
      <c r="K4161" s="7" t="str">
        <f>IF(Table1[[#This Row],[Is Data Valid]]=TRUE,_xlfn.NORM.S.DIST(Table1[[#This Row],[Birthweight Z-Score (BW-10%)]],TRUE)*100,"")</f>
        <v/>
      </c>
      <c r="L4161" s="7" t="str">
        <f>IF(Table1[[#This Row],[Is Data Valid]]=TRUE,_xlfn.NORM.S.DIST(Table1[[#This Row],[Birthweight Z-Score (BW+10%)]],TRUE)*100,"")</f>
        <v/>
      </c>
    </row>
    <row r="4162" spans="1:12" x14ac:dyDescent="0.35">
      <c r="A4162" s="3"/>
      <c r="B4162" s="2"/>
      <c r="C4162" s="2"/>
      <c r="D4162" s="2" t="b">
        <f>IF(AND(NOT(ISBLANK(Table1[[#This Row],[Fetal Sex (Male, Female or Unknown)]])),ISNUMBER(Table1[[#This Row],[Birthweight (grams)]]),ISNUMBER(Table1[[#This Row],[Gestation (days)]])),TRUE,FALSE)</f>
        <v>0</v>
      </c>
      <c r="E4162" s="2" t="str">
        <f>IF(Table1[[#This Row],[Is Data Valid]]=TRUE,IF(Table1[[#This Row],[Fetal Sex (Male, Female or Unknown)]]="Male",Backend!$C$6,IF(Table1[[#This Row],[Fetal Sex (Male, Female or Unknown)]]="Female",Backend!$C$7,IF(Table1[[#This Row],[Fetal Sex (Male, Female or Unknown)]]="Unknown",Backend!$C$8,"Error"))),"")</f>
        <v/>
      </c>
      <c r="F4162" s="8" t="str">
        <f>IF(Table1[[#This Row],[Is Data Valid]]=TRUE,EXP(0.578+0.332*((Table1[[#This Row],[Gestation (days)]]+0.5)/7)-0.00354*((Table1[[#This Row],[Gestation (days)]]+0.5)/7)^2)*Table1[[#This Row],[BW40_3705]],"")</f>
        <v/>
      </c>
      <c r="G4162" s="2" t="str">
        <f>IF(Table1[[#This Row],[Is Data Valid]]=TRUE,((Table1[[#This Row],[Birthweight (grams)]]/Table1[[#This Row],[BW_GA]])-1)/(Backend!$B$4/100*Table1[[#This Row],[BW40_3705]]),"")</f>
        <v/>
      </c>
      <c r="H4162" s="7" t="str">
        <f>IF(Table1[[#This Row],[Is Data Valid]]=TRUE,((Table1[[#This Row],[Birthweight (grams)]]*0.9/Table1[[#This Row],[BW_GA]])-1)/(Backend!$B$4/100*Table1[[#This Row],[BW40_3705]]),"")</f>
        <v/>
      </c>
      <c r="I4162" s="7" t="str">
        <f>IF(Table1[[#This Row],[Is Data Valid]]=TRUE,((Table1[[#This Row],[Birthweight (grams)]]*1.1/Table1[[#This Row],[BW_GA]])-1)/(Backend!$B$4/100*Table1[[#This Row],[BW40_3705]]),"")</f>
        <v/>
      </c>
      <c r="J4162" s="7" t="str">
        <f>IF(Table1[[#This Row],[Is Data Valid]]=TRUE,_xlfn.NORM.S.DIST(Table1[[#This Row],[Birthweight Z-Score]],TRUE)*100,"")</f>
        <v/>
      </c>
      <c r="K4162" s="7" t="str">
        <f>IF(Table1[[#This Row],[Is Data Valid]]=TRUE,_xlfn.NORM.S.DIST(Table1[[#This Row],[Birthweight Z-Score (BW-10%)]],TRUE)*100,"")</f>
        <v/>
      </c>
      <c r="L4162" s="7" t="str">
        <f>IF(Table1[[#This Row],[Is Data Valid]]=TRUE,_xlfn.NORM.S.DIST(Table1[[#This Row],[Birthweight Z-Score (BW+10%)]],TRUE)*100,"")</f>
        <v/>
      </c>
    </row>
    <row r="4163" spans="1:12" x14ac:dyDescent="0.35">
      <c r="A4163" s="3"/>
      <c r="B4163" s="2"/>
      <c r="C4163" s="2"/>
      <c r="D4163" s="2" t="b">
        <f>IF(AND(NOT(ISBLANK(Table1[[#This Row],[Fetal Sex (Male, Female or Unknown)]])),ISNUMBER(Table1[[#This Row],[Birthweight (grams)]]),ISNUMBER(Table1[[#This Row],[Gestation (days)]])),TRUE,FALSE)</f>
        <v>0</v>
      </c>
      <c r="E4163" s="2" t="str">
        <f>IF(Table1[[#This Row],[Is Data Valid]]=TRUE,IF(Table1[[#This Row],[Fetal Sex (Male, Female or Unknown)]]="Male",Backend!$C$6,IF(Table1[[#This Row],[Fetal Sex (Male, Female or Unknown)]]="Female",Backend!$C$7,IF(Table1[[#This Row],[Fetal Sex (Male, Female or Unknown)]]="Unknown",Backend!$C$8,"Error"))),"")</f>
        <v/>
      </c>
      <c r="F4163" s="8" t="str">
        <f>IF(Table1[[#This Row],[Is Data Valid]]=TRUE,EXP(0.578+0.332*((Table1[[#This Row],[Gestation (days)]]+0.5)/7)-0.00354*((Table1[[#This Row],[Gestation (days)]]+0.5)/7)^2)*Table1[[#This Row],[BW40_3705]],"")</f>
        <v/>
      </c>
      <c r="G4163" s="2" t="str">
        <f>IF(Table1[[#This Row],[Is Data Valid]]=TRUE,((Table1[[#This Row],[Birthweight (grams)]]/Table1[[#This Row],[BW_GA]])-1)/(Backend!$B$4/100*Table1[[#This Row],[BW40_3705]]),"")</f>
        <v/>
      </c>
      <c r="H4163" s="7" t="str">
        <f>IF(Table1[[#This Row],[Is Data Valid]]=TRUE,((Table1[[#This Row],[Birthweight (grams)]]*0.9/Table1[[#This Row],[BW_GA]])-1)/(Backend!$B$4/100*Table1[[#This Row],[BW40_3705]]),"")</f>
        <v/>
      </c>
      <c r="I4163" s="7" t="str">
        <f>IF(Table1[[#This Row],[Is Data Valid]]=TRUE,((Table1[[#This Row],[Birthweight (grams)]]*1.1/Table1[[#This Row],[BW_GA]])-1)/(Backend!$B$4/100*Table1[[#This Row],[BW40_3705]]),"")</f>
        <v/>
      </c>
      <c r="J4163" s="7" t="str">
        <f>IF(Table1[[#This Row],[Is Data Valid]]=TRUE,_xlfn.NORM.S.DIST(Table1[[#This Row],[Birthweight Z-Score]],TRUE)*100,"")</f>
        <v/>
      </c>
      <c r="K4163" s="7" t="str">
        <f>IF(Table1[[#This Row],[Is Data Valid]]=TRUE,_xlfn.NORM.S.DIST(Table1[[#This Row],[Birthweight Z-Score (BW-10%)]],TRUE)*100,"")</f>
        <v/>
      </c>
      <c r="L4163" s="7" t="str">
        <f>IF(Table1[[#This Row],[Is Data Valid]]=TRUE,_xlfn.NORM.S.DIST(Table1[[#This Row],[Birthweight Z-Score (BW+10%)]],TRUE)*100,"")</f>
        <v/>
      </c>
    </row>
    <row r="4164" spans="1:12" x14ac:dyDescent="0.35">
      <c r="A4164" s="3"/>
      <c r="B4164" s="2"/>
      <c r="C4164" s="2"/>
      <c r="D4164" s="2" t="b">
        <f>IF(AND(NOT(ISBLANK(Table1[[#This Row],[Fetal Sex (Male, Female or Unknown)]])),ISNUMBER(Table1[[#This Row],[Birthweight (grams)]]),ISNUMBER(Table1[[#This Row],[Gestation (days)]])),TRUE,FALSE)</f>
        <v>0</v>
      </c>
      <c r="E4164" s="2" t="str">
        <f>IF(Table1[[#This Row],[Is Data Valid]]=TRUE,IF(Table1[[#This Row],[Fetal Sex (Male, Female or Unknown)]]="Male",Backend!$C$6,IF(Table1[[#This Row],[Fetal Sex (Male, Female or Unknown)]]="Female",Backend!$C$7,IF(Table1[[#This Row],[Fetal Sex (Male, Female or Unknown)]]="Unknown",Backend!$C$8,"Error"))),"")</f>
        <v/>
      </c>
      <c r="F4164" s="8" t="str">
        <f>IF(Table1[[#This Row],[Is Data Valid]]=TRUE,EXP(0.578+0.332*((Table1[[#This Row],[Gestation (days)]]+0.5)/7)-0.00354*((Table1[[#This Row],[Gestation (days)]]+0.5)/7)^2)*Table1[[#This Row],[BW40_3705]],"")</f>
        <v/>
      </c>
      <c r="G4164" s="2" t="str">
        <f>IF(Table1[[#This Row],[Is Data Valid]]=TRUE,((Table1[[#This Row],[Birthweight (grams)]]/Table1[[#This Row],[BW_GA]])-1)/(Backend!$B$4/100*Table1[[#This Row],[BW40_3705]]),"")</f>
        <v/>
      </c>
      <c r="H4164" s="7" t="str">
        <f>IF(Table1[[#This Row],[Is Data Valid]]=TRUE,((Table1[[#This Row],[Birthweight (grams)]]*0.9/Table1[[#This Row],[BW_GA]])-1)/(Backend!$B$4/100*Table1[[#This Row],[BW40_3705]]),"")</f>
        <v/>
      </c>
      <c r="I4164" s="7" t="str">
        <f>IF(Table1[[#This Row],[Is Data Valid]]=TRUE,((Table1[[#This Row],[Birthweight (grams)]]*1.1/Table1[[#This Row],[BW_GA]])-1)/(Backend!$B$4/100*Table1[[#This Row],[BW40_3705]]),"")</f>
        <v/>
      </c>
      <c r="J4164" s="7" t="str">
        <f>IF(Table1[[#This Row],[Is Data Valid]]=TRUE,_xlfn.NORM.S.DIST(Table1[[#This Row],[Birthweight Z-Score]],TRUE)*100,"")</f>
        <v/>
      </c>
      <c r="K4164" s="7" t="str">
        <f>IF(Table1[[#This Row],[Is Data Valid]]=TRUE,_xlfn.NORM.S.DIST(Table1[[#This Row],[Birthweight Z-Score (BW-10%)]],TRUE)*100,"")</f>
        <v/>
      </c>
      <c r="L4164" s="7" t="str">
        <f>IF(Table1[[#This Row],[Is Data Valid]]=TRUE,_xlfn.NORM.S.DIST(Table1[[#This Row],[Birthweight Z-Score (BW+10%)]],TRUE)*100,"")</f>
        <v/>
      </c>
    </row>
    <row r="4165" spans="1:12" x14ac:dyDescent="0.35">
      <c r="A4165" s="3"/>
      <c r="B4165" s="2"/>
      <c r="C4165" s="2"/>
      <c r="D4165" s="2" t="b">
        <f>IF(AND(NOT(ISBLANK(Table1[[#This Row],[Fetal Sex (Male, Female or Unknown)]])),ISNUMBER(Table1[[#This Row],[Birthweight (grams)]]),ISNUMBER(Table1[[#This Row],[Gestation (days)]])),TRUE,FALSE)</f>
        <v>0</v>
      </c>
      <c r="E4165" s="2" t="str">
        <f>IF(Table1[[#This Row],[Is Data Valid]]=TRUE,IF(Table1[[#This Row],[Fetal Sex (Male, Female or Unknown)]]="Male",Backend!$C$6,IF(Table1[[#This Row],[Fetal Sex (Male, Female or Unknown)]]="Female",Backend!$C$7,IF(Table1[[#This Row],[Fetal Sex (Male, Female or Unknown)]]="Unknown",Backend!$C$8,"Error"))),"")</f>
        <v/>
      </c>
      <c r="F4165" s="8" t="str">
        <f>IF(Table1[[#This Row],[Is Data Valid]]=TRUE,EXP(0.578+0.332*((Table1[[#This Row],[Gestation (days)]]+0.5)/7)-0.00354*((Table1[[#This Row],[Gestation (days)]]+0.5)/7)^2)*Table1[[#This Row],[BW40_3705]],"")</f>
        <v/>
      </c>
      <c r="G4165" s="2" t="str">
        <f>IF(Table1[[#This Row],[Is Data Valid]]=TRUE,((Table1[[#This Row],[Birthweight (grams)]]/Table1[[#This Row],[BW_GA]])-1)/(Backend!$B$4/100*Table1[[#This Row],[BW40_3705]]),"")</f>
        <v/>
      </c>
      <c r="H4165" s="7" t="str">
        <f>IF(Table1[[#This Row],[Is Data Valid]]=TRUE,((Table1[[#This Row],[Birthweight (grams)]]*0.9/Table1[[#This Row],[BW_GA]])-1)/(Backend!$B$4/100*Table1[[#This Row],[BW40_3705]]),"")</f>
        <v/>
      </c>
      <c r="I4165" s="7" t="str">
        <f>IF(Table1[[#This Row],[Is Data Valid]]=TRUE,((Table1[[#This Row],[Birthweight (grams)]]*1.1/Table1[[#This Row],[BW_GA]])-1)/(Backend!$B$4/100*Table1[[#This Row],[BW40_3705]]),"")</f>
        <v/>
      </c>
      <c r="J4165" s="7" t="str">
        <f>IF(Table1[[#This Row],[Is Data Valid]]=TRUE,_xlfn.NORM.S.DIST(Table1[[#This Row],[Birthweight Z-Score]],TRUE)*100,"")</f>
        <v/>
      </c>
      <c r="K4165" s="7" t="str">
        <f>IF(Table1[[#This Row],[Is Data Valid]]=TRUE,_xlfn.NORM.S.DIST(Table1[[#This Row],[Birthweight Z-Score (BW-10%)]],TRUE)*100,"")</f>
        <v/>
      </c>
      <c r="L4165" s="7" t="str">
        <f>IF(Table1[[#This Row],[Is Data Valid]]=TRUE,_xlfn.NORM.S.DIST(Table1[[#This Row],[Birthweight Z-Score (BW+10%)]],TRUE)*100,"")</f>
        <v/>
      </c>
    </row>
    <row r="4166" spans="1:12" x14ac:dyDescent="0.35">
      <c r="A4166" s="3"/>
      <c r="B4166" s="2"/>
      <c r="C4166" s="2"/>
      <c r="D4166" s="2" t="b">
        <f>IF(AND(NOT(ISBLANK(Table1[[#This Row],[Fetal Sex (Male, Female or Unknown)]])),ISNUMBER(Table1[[#This Row],[Birthweight (grams)]]),ISNUMBER(Table1[[#This Row],[Gestation (days)]])),TRUE,FALSE)</f>
        <v>0</v>
      </c>
      <c r="E4166" s="2" t="str">
        <f>IF(Table1[[#This Row],[Is Data Valid]]=TRUE,IF(Table1[[#This Row],[Fetal Sex (Male, Female or Unknown)]]="Male",Backend!$C$6,IF(Table1[[#This Row],[Fetal Sex (Male, Female or Unknown)]]="Female",Backend!$C$7,IF(Table1[[#This Row],[Fetal Sex (Male, Female or Unknown)]]="Unknown",Backend!$C$8,"Error"))),"")</f>
        <v/>
      </c>
      <c r="F4166" s="8" t="str">
        <f>IF(Table1[[#This Row],[Is Data Valid]]=TRUE,EXP(0.578+0.332*((Table1[[#This Row],[Gestation (days)]]+0.5)/7)-0.00354*((Table1[[#This Row],[Gestation (days)]]+0.5)/7)^2)*Table1[[#This Row],[BW40_3705]],"")</f>
        <v/>
      </c>
      <c r="G4166" s="2" t="str">
        <f>IF(Table1[[#This Row],[Is Data Valid]]=TRUE,((Table1[[#This Row],[Birthweight (grams)]]/Table1[[#This Row],[BW_GA]])-1)/(Backend!$B$4/100*Table1[[#This Row],[BW40_3705]]),"")</f>
        <v/>
      </c>
      <c r="H4166" s="7" t="str">
        <f>IF(Table1[[#This Row],[Is Data Valid]]=TRUE,((Table1[[#This Row],[Birthweight (grams)]]*0.9/Table1[[#This Row],[BW_GA]])-1)/(Backend!$B$4/100*Table1[[#This Row],[BW40_3705]]),"")</f>
        <v/>
      </c>
      <c r="I4166" s="7" t="str">
        <f>IF(Table1[[#This Row],[Is Data Valid]]=TRUE,((Table1[[#This Row],[Birthweight (grams)]]*1.1/Table1[[#This Row],[BW_GA]])-1)/(Backend!$B$4/100*Table1[[#This Row],[BW40_3705]]),"")</f>
        <v/>
      </c>
      <c r="J4166" s="7" t="str">
        <f>IF(Table1[[#This Row],[Is Data Valid]]=TRUE,_xlfn.NORM.S.DIST(Table1[[#This Row],[Birthweight Z-Score]],TRUE)*100,"")</f>
        <v/>
      </c>
      <c r="K4166" s="7" t="str">
        <f>IF(Table1[[#This Row],[Is Data Valid]]=TRUE,_xlfn.NORM.S.DIST(Table1[[#This Row],[Birthweight Z-Score (BW-10%)]],TRUE)*100,"")</f>
        <v/>
      </c>
      <c r="L4166" s="7" t="str">
        <f>IF(Table1[[#This Row],[Is Data Valid]]=TRUE,_xlfn.NORM.S.DIST(Table1[[#This Row],[Birthweight Z-Score (BW+10%)]],TRUE)*100,"")</f>
        <v/>
      </c>
    </row>
    <row r="4167" spans="1:12" x14ac:dyDescent="0.35">
      <c r="A4167" s="3"/>
      <c r="B4167" s="2"/>
      <c r="C4167" s="2"/>
      <c r="D4167" s="2" t="b">
        <f>IF(AND(NOT(ISBLANK(Table1[[#This Row],[Fetal Sex (Male, Female or Unknown)]])),ISNUMBER(Table1[[#This Row],[Birthweight (grams)]]),ISNUMBER(Table1[[#This Row],[Gestation (days)]])),TRUE,FALSE)</f>
        <v>0</v>
      </c>
      <c r="E4167" s="2" t="str">
        <f>IF(Table1[[#This Row],[Is Data Valid]]=TRUE,IF(Table1[[#This Row],[Fetal Sex (Male, Female or Unknown)]]="Male",Backend!$C$6,IF(Table1[[#This Row],[Fetal Sex (Male, Female or Unknown)]]="Female",Backend!$C$7,IF(Table1[[#This Row],[Fetal Sex (Male, Female or Unknown)]]="Unknown",Backend!$C$8,"Error"))),"")</f>
        <v/>
      </c>
      <c r="F4167" s="8" t="str">
        <f>IF(Table1[[#This Row],[Is Data Valid]]=TRUE,EXP(0.578+0.332*((Table1[[#This Row],[Gestation (days)]]+0.5)/7)-0.00354*((Table1[[#This Row],[Gestation (days)]]+0.5)/7)^2)*Table1[[#This Row],[BW40_3705]],"")</f>
        <v/>
      </c>
      <c r="G4167" s="2" t="str">
        <f>IF(Table1[[#This Row],[Is Data Valid]]=TRUE,((Table1[[#This Row],[Birthweight (grams)]]/Table1[[#This Row],[BW_GA]])-1)/(Backend!$B$4/100*Table1[[#This Row],[BW40_3705]]),"")</f>
        <v/>
      </c>
      <c r="H4167" s="7" t="str">
        <f>IF(Table1[[#This Row],[Is Data Valid]]=TRUE,((Table1[[#This Row],[Birthweight (grams)]]*0.9/Table1[[#This Row],[BW_GA]])-1)/(Backend!$B$4/100*Table1[[#This Row],[BW40_3705]]),"")</f>
        <v/>
      </c>
      <c r="I4167" s="7" t="str">
        <f>IF(Table1[[#This Row],[Is Data Valid]]=TRUE,((Table1[[#This Row],[Birthweight (grams)]]*1.1/Table1[[#This Row],[BW_GA]])-1)/(Backend!$B$4/100*Table1[[#This Row],[BW40_3705]]),"")</f>
        <v/>
      </c>
      <c r="J4167" s="7" t="str">
        <f>IF(Table1[[#This Row],[Is Data Valid]]=TRUE,_xlfn.NORM.S.DIST(Table1[[#This Row],[Birthweight Z-Score]],TRUE)*100,"")</f>
        <v/>
      </c>
      <c r="K4167" s="7" t="str">
        <f>IF(Table1[[#This Row],[Is Data Valid]]=TRUE,_xlfn.NORM.S.DIST(Table1[[#This Row],[Birthweight Z-Score (BW-10%)]],TRUE)*100,"")</f>
        <v/>
      </c>
      <c r="L4167" s="7" t="str">
        <f>IF(Table1[[#This Row],[Is Data Valid]]=TRUE,_xlfn.NORM.S.DIST(Table1[[#This Row],[Birthweight Z-Score (BW+10%)]],TRUE)*100,"")</f>
        <v/>
      </c>
    </row>
    <row r="4168" spans="1:12" x14ac:dyDescent="0.35">
      <c r="A4168" s="3"/>
      <c r="B4168" s="2"/>
      <c r="C4168" s="2"/>
      <c r="D4168" s="2" t="b">
        <f>IF(AND(NOT(ISBLANK(Table1[[#This Row],[Fetal Sex (Male, Female or Unknown)]])),ISNUMBER(Table1[[#This Row],[Birthweight (grams)]]),ISNUMBER(Table1[[#This Row],[Gestation (days)]])),TRUE,FALSE)</f>
        <v>0</v>
      </c>
      <c r="E4168" s="2" t="str">
        <f>IF(Table1[[#This Row],[Is Data Valid]]=TRUE,IF(Table1[[#This Row],[Fetal Sex (Male, Female or Unknown)]]="Male",Backend!$C$6,IF(Table1[[#This Row],[Fetal Sex (Male, Female or Unknown)]]="Female",Backend!$C$7,IF(Table1[[#This Row],[Fetal Sex (Male, Female or Unknown)]]="Unknown",Backend!$C$8,"Error"))),"")</f>
        <v/>
      </c>
      <c r="F4168" s="8" t="str">
        <f>IF(Table1[[#This Row],[Is Data Valid]]=TRUE,EXP(0.578+0.332*((Table1[[#This Row],[Gestation (days)]]+0.5)/7)-0.00354*((Table1[[#This Row],[Gestation (days)]]+0.5)/7)^2)*Table1[[#This Row],[BW40_3705]],"")</f>
        <v/>
      </c>
      <c r="G4168" s="2" t="str">
        <f>IF(Table1[[#This Row],[Is Data Valid]]=TRUE,((Table1[[#This Row],[Birthweight (grams)]]/Table1[[#This Row],[BW_GA]])-1)/(Backend!$B$4/100*Table1[[#This Row],[BW40_3705]]),"")</f>
        <v/>
      </c>
      <c r="H4168" s="7" t="str">
        <f>IF(Table1[[#This Row],[Is Data Valid]]=TRUE,((Table1[[#This Row],[Birthweight (grams)]]*0.9/Table1[[#This Row],[BW_GA]])-1)/(Backend!$B$4/100*Table1[[#This Row],[BW40_3705]]),"")</f>
        <v/>
      </c>
      <c r="I4168" s="7" t="str">
        <f>IF(Table1[[#This Row],[Is Data Valid]]=TRUE,((Table1[[#This Row],[Birthweight (grams)]]*1.1/Table1[[#This Row],[BW_GA]])-1)/(Backend!$B$4/100*Table1[[#This Row],[BW40_3705]]),"")</f>
        <v/>
      </c>
      <c r="J4168" s="7" t="str">
        <f>IF(Table1[[#This Row],[Is Data Valid]]=TRUE,_xlfn.NORM.S.DIST(Table1[[#This Row],[Birthweight Z-Score]],TRUE)*100,"")</f>
        <v/>
      </c>
      <c r="K4168" s="7" t="str">
        <f>IF(Table1[[#This Row],[Is Data Valid]]=TRUE,_xlfn.NORM.S.DIST(Table1[[#This Row],[Birthweight Z-Score (BW-10%)]],TRUE)*100,"")</f>
        <v/>
      </c>
      <c r="L4168" s="7" t="str">
        <f>IF(Table1[[#This Row],[Is Data Valid]]=TRUE,_xlfn.NORM.S.DIST(Table1[[#This Row],[Birthweight Z-Score (BW+10%)]],TRUE)*100,"")</f>
        <v/>
      </c>
    </row>
    <row r="4169" spans="1:12" x14ac:dyDescent="0.35">
      <c r="A4169" s="3"/>
      <c r="B4169" s="2"/>
      <c r="C4169" s="2"/>
      <c r="D4169" s="2" t="b">
        <f>IF(AND(NOT(ISBLANK(Table1[[#This Row],[Fetal Sex (Male, Female or Unknown)]])),ISNUMBER(Table1[[#This Row],[Birthweight (grams)]]),ISNUMBER(Table1[[#This Row],[Gestation (days)]])),TRUE,FALSE)</f>
        <v>0</v>
      </c>
      <c r="E4169" s="2" t="str">
        <f>IF(Table1[[#This Row],[Is Data Valid]]=TRUE,IF(Table1[[#This Row],[Fetal Sex (Male, Female or Unknown)]]="Male",Backend!$C$6,IF(Table1[[#This Row],[Fetal Sex (Male, Female or Unknown)]]="Female",Backend!$C$7,IF(Table1[[#This Row],[Fetal Sex (Male, Female or Unknown)]]="Unknown",Backend!$C$8,"Error"))),"")</f>
        <v/>
      </c>
      <c r="F4169" s="8" t="str">
        <f>IF(Table1[[#This Row],[Is Data Valid]]=TRUE,EXP(0.578+0.332*((Table1[[#This Row],[Gestation (days)]]+0.5)/7)-0.00354*((Table1[[#This Row],[Gestation (days)]]+0.5)/7)^2)*Table1[[#This Row],[BW40_3705]],"")</f>
        <v/>
      </c>
      <c r="G4169" s="2" t="str">
        <f>IF(Table1[[#This Row],[Is Data Valid]]=TRUE,((Table1[[#This Row],[Birthweight (grams)]]/Table1[[#This Row],[BW_GA]])-1)/(Backend!$B$4/100*Table1[[#This Row],[BW40_3705]]),"")</f>
        <v/>
      </c>
      <c r="H4169" s="7" t="str">
        <f>IF(Table1[[#This Row],[Is Data Valid]]=TRUE,((Table1[[#This Row],[Birthweight (grams)]]*0.9/Table1[[#This Row],[BW_GA]])-1)/(Backend!$B$4/100*Table1[[#This Row],[BW40_3705]]),"")</f>
        <v/>
      </c>
      <c r="I4169" s="7" t="str">
        <f>IF(Table1[[#This Row],[Is Data Valid]]=TRUE,((Table1[[#This Row],[Birthweight (grams)]]*1.1/Table1[[#This Row],[BW_GA]])-1)/(Backend!$B$4/100*Table1[[#This Row],[BW40_3705]]),"")</f>
        <v/>
      </c>
      <c r="J4169" s="7" t="str">
        <f>IF(Table1[[#This Row],[Is Data Valid]]=TRUE,_xlfn.NORM.S.DIST(Table1[[#This Row],[Birthweight Z-Score]],TRUE)*100,"")</f>
        <v/>
      </c>
      <c r="K4169" s="7" t="str">
        <f>IF(Table1[[#This Row],[Is Data Valid]]=TRUE,_xlfn.NORM.S.DIST(Table1[[#This Row],[Birthweight Z-Score (BW-10%)]],TRUE)*100,"")</f>
        <v/>
      </c>
      <c r="L4169" s="7" t="str">
        <f>IF(Table1[[#This Row],[Is Data Valid]]=TRUE,_xlfn.NORM.S.DIST(Table1[[#This Row],[Birthweight Z-Score (BW+10%)]],TRUE)*100,"")</f>
        <v/>
      </c>
    </row>
    <row r="4170" spans="1:12" x14ac:dyDescent="0.35">
      <c r="A4170" s="3"/>
      <c r="B4170" s="2"/>
      <c r="C4170" s="2"/>
      <c r="D4170" s="2" t="b">
        <f>IF(AND(NOT(ISBLANK(Table1[[#This Row],[Fetal Sex (Male, Female or Unknown)]])),ISNUMBER(Table1[[#This Row],[Birthweight (grams)]]),ISNUMBER(Table1[[#This Row],[Gestation (days)]])),TRUE,FALSE)</f>
        <v>0</v>
      </c>
      <c r="E4170" s="2" t="str">
        <f>IF(Table1[[#This Row],[Is Data Valid]]=TRUE,IF(Table1[[#This Row],[Fetal Sex (Male, Female or Unknown)]]="Male",Backend!$C$6,IF(Table1[[#This Row],[Fetal Sex (Male, Female or Unknown)]]="Female",Backend!$C$7,IF(Table1[[#This Row],[Fetal Sex (Male, Female or Unknown)]]="Unknown",Backend!$C$8,"Error"))),"")</f>
        <v/>
      </c>
      <c r="F4170" s="8" t="str">
        <f>IF(Table1[[#This Row],[Is Data Valid]]=TRUE,EXP(0.578+0.332*((Table1[[#This Row],[Gestation (days)]]+0.5)/7)-0.00354*((Table1[[#This Row],[Gestation (days)]]+0.5)/7)^2)*Table1[[#This Row],[BW40_3705]],"")</f>
        <v/>
      </c>
      <c r="G4170" s="2" t="str">
        <f>IF(Table1[[#This Row],[Is Data Valid]]=TRUE,((Table1[[#This Row],[Birthweight (grams)]]/Table1[[#This Row],[BW_GA]])-1)/(Backend!$B$4/100*Table1[[#This Row],[BW40_3705]]),"")</f>
        <v/>
      </c>
      <c r="H4170" s="7" t="str">
        <f>IF(Table1[[#This Row],[Is Data Valid]]=TRUE,((Table1[[#This Row],[Birthweight (grams)]]*0.9/Table1[[#This Row],[BW_GA]])-1)/(Backend!$B$4/100*Table1[[#This Row],[BW40_3705]]),"")</f>
        <v/>
      </c>
      <c r="I4170" s="7" t="str">
        <f>IF(Table1[[#This Row],[Is Data Valid]]=TRUE,((Table1[[#This Row],[Birthweight (grams)]]*1.1/Table1[[#This Row],[BW_GA]])-1)/(Backend!$B$4/100*Table1[[#This Row],[BW40_3705]]),"")</f>
        <v/>
      </c>
      <c r="J4170" s="7" t="str">
        <f>IF(Table1[[#This Row],[Is Data Valid]]=TRUE,_xlfn.NORM.S.DIST(Table1[[#This Row],[Birthweight Z-Score]],TRUE)*100,"")</f>
        <v/>
      </c>
      <c r="K4170" s="7" t="str">
        <f>IF(Table1[[#This Row],[Is Data Valid]]=TRUE,_xlfn.NORM.S.DIST(Table1[[#This Row],[Birthweight Z-Score (BW-10%)]],TRUE)*100,"")</f>
        <v/>
      </c>
      <c r="L4170" s="7" t="str">
        <f>IF(Table1[[#This Row],[Is Data Valid]]=TRUE,_xlfn.NORM.S.DIST(Table1[[#This Row],[Birthweight Z-Score (BW+10%)]],TRUE)*100,"")</f>
        <v/>
      </c>
    </row>
    <row r="4171" spans="1:12" x14ac:dyDescent="0.35">
      <c r="A4171" s="3"/>
      <c r="B4171" s="2"/>
      <c r="C4171" s="2"/>
      <c r="D4171" s="2" t="b">
        <f>IF(AND(NOT(ISBLANK(Table1[[#This Row],[Fetal Sex (Male, Female or Unknown)]])),ISNUMBER(Table1[[#This Row],[Birthweight (grams)]]),ISNUMBER(Table1[[#This Row],[Gestation (days)]])),TRUE,FALSE)</f>
        <v>0</v>
      </c>
      <c r="E4171" s="2" t="str">
        <f>IF(Table1[[#This Row],[Is Data Valid]]=TRUE,IF(Table1[[#This Row],[Fetal Sex (Male, Female or Unknown)]]="Male",Backend!$C$6,IF(Table1[[#This Row],[Fetal Sex (Male, Female or Unknown)]]="Female",Backend!$C$7,IF(Table1[[#This Row],[Fetal Sex (Male, Female or Unknown)]]="Unknown",Backend!$C$8,"Error"))),"")</f>
        <v/>
      </c>
      <c r="F4171" s="8" t="str">
        <f>IF(Table1[[#This Row],[Is Data Valid]]=TRUE,EXP(0.578+0.332*((Table1[[#This Row],[Gestation (days)]]+0.5)/7)-0.00354*((Table1[[#This Row],[Gestation (days)]]+0.5)/7)^2)*Table1[[#This Row],[BW40_3705]],"")</f>
        <v/>
      </c>
      <c r="G4171" s="2" t="str">
        <f>IF(Table1[[#This Row],[Is Data Valid]]=TRUE,((Table1[[#This Row],[Birthweight (grams)]]/Table1[[#This Row],[BW_GA]])-1)/(Backend!$B$4/100*Table1[[#This Row],[BW40_3705]]),"")</f>
        <v/>
      </c>
      <c r="H4171" s="7" t="str">
        <f>IF(Table1[[#This Row],[Is Data Valid]]=TRUE,((Table1[[#This Row],[Birthweight (grams)]]*0.9/Table1[[#This Row],[BW_GA]])-1)/(Backend!$B$4/100*Table1[[#This Row],[BW40_3705]]),"")</f>
        <v/>
      </c>
      <c r="I4171" s="7" t="str">
        <f>IF(Table1[[#This Row],[Is Data Valid]]=TRUE,((Table1[[#This Row],[Birthweight (grams)]]*1.1/Table1[[#This Row],[BW_GA]])-1)/(Backend!$B$4/100*Table1[[#This Row],[BW40_3705]]),"")</f>
        <v/>
      </c>
      <c r="J4171" s="7" t="str">
        <f>IF(Table1[[#This Row],[Is Data Valid]]=TRUE,_xlfn.NORM.S.DIST(Table1[[#This Row],[Birthweight Z-Score]],TRUE)*100,"")</f>
        <v/>
      </c>
      <c r="K4171" s="7" t="str">
        <f>IF(Table1[[#This Row],[Is Data Valid]]=TRUE,_xlfn.NORM.S.DIST(Table1[[#This Row],[Birthweight Z-Score (BW-10%)]],TRUE)*100,"")</f>
        <v/>
      </c>
      <c r="L4171" s="7" t="str">
        <f>IF(Table1[[#This Row],[Is Data Valid]]=TRUE,_xlfn.NORM.S.DIST(Table1[[#This Row],[Birthweight Z-Score (BW+10%)]],TRUE)*100,"")</f>
        <v/>
      </c>
    </row>
    <row r="4172" spans="1:12" x14ac:dyDescent="0.35">
      <c r="A4172" s="3"/>
      <c r="B4172" s="2"/>
      <c r="C4172" s="2"/>
      <c r="D4172" s="2" t="b">
        <f>IF(AND(NOT(ISBLANK(Table1[[#This Row],[Fetal Sex (Male, Female or Unknown)]])),ISNUMBER(Table1[[#This Row],[Birthweight (grams)]]),ISNUMBER(Table1[[#This Row],[Gestation (days)]])),TRUE,FALSE)</f>
        <v>0</v>
      </c>
      <c r="E4172" s="2" t="str">
        <f>IF(Table1[[#This Row],[Is Data Valid]]=TRUE,IF(Table1[[#This Row],[Fetal Sex (Male, Female or Unknown)]]="Male",Backend!$C$6,IF(Table1[[#This Row],[Fetal Sex (Male, Female or Unknown)]]="Female",Backend!$C$7,IF(Table1[[#This Row],[Fetal Sex (Male, Female or Unknown)]]="Unknown",Backend!$C$8,"Error"))),"")</f>
        <v/>
      </c>
      <c r="F4172" s="8" t="str">
        <f>IF(Table1[[#This Row],[Is Data Valid]]=TRUE,EXP(0.578+0.332*((Table1[[#This Row],[Gestation (days)]]+0.5)/7)-0.00354*((Table1[[#This Row],[Gestation (days)]]+0.5)/7)^2)*Table1[[#This Row],[BW40_3705]],"")</f>
        <v/>
      </c>
      <c r="G4172" s="2" t="str">
        <f>IF(Table1[[#This Row],[Is Data Valid]]=TRUE,((Table1[[#This Row],[Birthweight (grams)]]/Table1[[#This Row],[BW_GA]])-1)/(Backend!$B$4/100*Table1[[#This Row],[BW40_3705]]),"")</f>
        <v/>
      </c>
      <c r="H4172" s="7" t="str">
        <f>IF(Table1[[#This Row],[Is Data Valid]]=TRUE,((Table1[[#This Row],[Birthweight (grams)]]*0.9/Table1[[#This Row],[BW_GA]])-1)/(Backend!$B$4/100*Table1[[#This Row],[BW40_3705]]),"")</f>
        <v/>
      </c>
      <c r="I4172" s="7" t="str">
        <f>IF(Table1[[#This Row],[Is Data Valid]]=TRUE,((Table1[[#This Row],[Birthweight (grams)]]*1.1/Table1[[#This Row],[BW_GA]])-1)/(Backend!$B$4/100*Table1[[#This Row],[BW40_3705]]),"")</f>
        <v/>
      </c>
      <c r="J4172" s="7" t="str">
        <f>IF(Table1[[#This Row],[Is Data Valid]]=TRUE,_xlfn.NORM.S.DIST(Table1[[#This Row],[Birthweight Z-Score]],TRUE)*100,"")</f>
        <v/>
      </c>
      <c r="K4172" s="7" t="str">
        <f>IF(Table1[[#This Row],[Is Data Valid]]=TRUE,_xlfn.NORM.S.DIST(Table1[[#This Row],[Birthweight Z-Score (BW-10%)]],TRUE)*100,"")</f>
        <v/>
      </c>
      <c r="L4172" s="7" t="str">
        <f>IF(Table1[[#This Row],[Is Data Valid]]=TRUE,_xlfn.NORM.S.DIST(Table1[[#This Row],[Birthweight Z-Score (BW+10%)]],TRUE)*100,"")</f>
        <v/>
      </c>
    </row>
    <row r="4173" spans="1:12" x14ac:dyDescent="0.35">
      <c r="A4173" s="3"/>
      <c r="B4173" s="2"/>
      <c r="C4173" s="2"/>
      <c r="D4173" s="2" t="b">
        <f>IF(AND(NOT(ISBLANK(Table1[[#This Row],[Fetal Sex (Male, Female or Unknown)]])),ISNUMBER(Table1[[#This Row],[Birthweight (grams)]]),ISNUMBER(Table1[[#This Row],[Gestation (days)]])),TRUE,FALSE)</f>
        <v>0</v>
      </c>
      <c r="E4173" s="2" t="str">
        <f>IF(Table1[[#This Row],[Is Data Valid]]=TRUE,IF(Table1[[#This Row],[Fetal Sex (Male, Female or Unknown)]]="Male",Backend!$C$6,IF(Table1[[#This Row],[Fetal Sex (Male, Female or Unknown)]]="Female",Backend!$C$7,IF(Table1[[#This Row],[Fetal Sex (Male, Female or Unknown)]]="Unknown",Backend!$C$8,"Error"))),"")</f>
        <v/>
      </c>
      <c r="F4173" s="8" t="str">
        <f>IF(Table1[[#This Row],[Is Data Valid]]=TRUE,EXP(0.578+0.332*((Table1[[#This Row],[Gestation (days)]]+0.5)/7)-0.00354*((Table1[[#This Row],[Gestation (days)]]+0.5)/7)^2)*Table1[[#This Row],[BW40_3705]],"")</f>
        <v/>
      </c>
      <c r="G4173" s="2" t="str">
        <f>IF(Table1[[#This Row],[Is Data Valid]]=TRUE,((Table1[[#This Row],[Birthweight (grams)]]/Table1[[#This Row],[BW_GA]])-1)/(Backend!$B$4/100*Table1[[#This Row],[BW40_3705]]),"")</f>
        <v/>
      </c>
      <c r="H4173" s="7" t="str">
        <f>IF(Table1[[#This Row],[Is Data Valid]]=TRUE,((Table1[[#This Row],[Birthweight (grams)]]*0.9/Table1[[#This Row],[BW_GA]])-1)/(Backend!$B$4/100*Table1[[#This Row],[BW40_3705]]),"")</f>
        <v/>
      </c>
      <c r="I4173" s="7" t="str">
        <f>IF(Table1[[#This Row],[Is Data Valid]]=TRUE,((Table1[[#This Row],[Birthweight (grams)]]*1.1/Table1[[#This Row],[BW_GA]])-1)/(Backend!$B$4/100*Table1[[#This Row],[BW40_3705]]),"")</f>
        <v/>
      </c>
      <c r="J4173" s="7" t="str">
        <f>IF(Table1[[#This Row],[Is Data Valid]]=TRUE,_xlfn.NORM.S.DIST(Table1[[#This Row],[Birthweight Z-Score]],TRUE)*100,"")</f>
        <v/>
      </c>
      <c r="K4173" s="7" t="str">
        <f>IF(Table1[[#This Row],[Is Data Valid]]=TRUE,_xlfn.NORM.S.DIST(Table1[[#This Row],[Birthweight Z-Score (BW-10%)]],TRUE)*100,"")</f>
        <v/>
      </c>
      <c r="L4173" s="7" t="str">
        <f>IF(Table1[[#This Row],[Is Data Valid]]=TRUE,_xlfn.NORM.S.DIST(Table1[[#This Row],[Birthweight Z-Score (BW+10%)]],TRUE)*100,"")</f>
        <v/>
      </c>
    </row>
    <row r="4174" spans="1:12" x14ac:dyDescent="0.35">
      <c r="A4174" s="3"/>
      <c r="B4174" s="2"/>
      <c r="C4174" s="2"/>
      <c r="D4174" s="2" t="b">
        <f>IF(AND(NOT(ISBLANK(Table1[[#This Row],[Fetal Sex (Male, Female or Unknown)]])),ISNUMBER(Table1[[#This Row],[Birthweight (grams)]]),ISNUMBER(Table1[[#This Row],[Gestation (days)]])),TRUE,FALSE)</f>
        <v>0</v>
      </c>
      <c r="E4174" s="2" t="str">
        <f>IF(Table1[[#This Row],[Is Data Valid]]=TRUE,IF(Table1[[#This Row],[Fetal Sex (Male, Female or Unknown)]]="Male",Backend!$C$6,IF(Table1[[#This Row],[Fetal Sex (Male, Female or Unknown)]]="Female",Backend!$C$7,IF(Table1[[#This Row],[Fetal Sex (Male, Female or Unknown)]]="Unknown",Backend!$C$8,"Error"))),"")</f>
        <v/>
      </c>
      <c r="F4174" s="8" t="str">
        <f>IF(Table1[[#This Row],[Is Data Valid]]=TRUE,EXP(0.578+0.332*((Table1[[#This Row],[Gestation (days)]]+0.5)/7)-0.00354*((Table1[[#This Row],[Gestation (days)]]+0.5)/7)^2)*Table1[[#This Row],[BW40_3705]],"")</f>
        <v/>
      </c>
      <c r="G4174" s="2" t="str">
        <f>IF(Table1[[#This Row],[Is Data Valid]]=TRUE,((Table1[[#This Row],[Birthweight (grams)]]/Table1[[#This Row],[BW_GA]])-1)/(Backend!$B$4/100*Table1[[#This Row],[BW40_3705]]),"")</f>
        <v/>
      </c>
      <c r="H4174" s="7" t="str">
        <f>IF(Table1[[#This Row],[Is Data Valid]]=TRUE,((Table1[[#This Row],[Birthweight (grams)]]*0.9/Table1[[#This Row],[BW_GA]])-1)/(Backend!$B$4/100*Table1[[#This Row],[BW40_3705]]),"")</f>
        <v/>
      </c>
      <c r="I4174" s="7" t="str">
        <f>IF(Table1[[#This Row],[Is Data Valid]]=TRUE,((Table1[[#This Row],[Birthweight (grams)]]*1.1/Table1[[#This Row],[BW_GA]])-1)/(Backend!$B$4/100*Table1[[#This Row],[BW40_3705]]),"")</f>
        <v/>
      </c>
      <c r="J4174" s="7" t="str">
        <f>IF(Table1[[#This Row],[Is Data Valid]]=TRUE,_xlfn.NORM.S.DIST(Table1[[#This Row],[Birthweight Z-Score]],TRUE)*100,"")</f>
        <v/>
      </c>
      <c r="K4174" s="7" t="str">
        <f>IF(Table1[[#This Row],[Is Data Valid]]=TRUE,_xlfn.NORM.S.DIST(Table1[[#This Row],[Birthweight Z-Score (BW-10%)]],TRUE)*100,"")</f>
        <v/>
      </c>
      <c r="L4174" s="7" t="str">
        <f>IF(Table1[[#This Row],[Is Data Valid]]=TRUE,_xlfn.NORM.S.DIST(Table1[[#This Row],[Birthweight Z-Score (BW+10%)]],TRUE)*100,"")</f>
        <v/>
      </c>
    </row>
    <row r="4175" spans="1:12" x14ac:dyDescent="0.35">
      <c r="A4175" s="3"/>
      <c r="B4175" s="2"/>
      <c r="C4175" s="2"/>
      <c r="D4175" s="2" t="b">
        <f>IF(AND(NOT(ISBLANK(Table1[[#This Row],[Fetal Sex (Male, Female or Unknown)]])),ISNUMBER(Table1[[#This Row],[Birthweight (grams)]]),ISNUMBER(Table1[[#This Row],[Gestation (days)]])),TRUE,FALSE)</f>
        <v>0</v>
      </c>
      <c r="E4175" s="2" t="str">
        <f>IF(Table1[[#This Row],[Is Data Valid]]=TRUE,IF(Table1[[#This Row],[Fetal Sex (Male, Female or Unknown)]]="Male",Backend!$C$6,IF(Table1[[#This Row],[Fetal Sex (Male, Female or Unknown)]]="Female",Backend!$C$7,IF(Table1[[#This Row],[Fetal Sex (Male, Female or Unknown)]]="Unknown",Backend!$C$8,"Error"))),"")</f>
        <v/>
      </c>
      <c r="F4175" s="8" t="str">
        <f>IF(Table1[[#This Row],[Is Data Valid]]=TRUE,EXP(0.578+0.332*((Table1[[#This Row],[Gestation (days)]]+0.5)/7)-0.00354*((Table1[[#This Row],[Gestation (days)]]+0.5)/7)^2)*Table1[[#This Row],[BW40_3705]],"")</f>
        <v/>
      </c>
      <c r="G4175" s="2" t="str">
        <f>IF(Table1[[#This Row],[Is Data Valid]]=TRUE,((Table1[[#This Row],[Birthweight (grams)]]/Table1[[#This Row],[BW_GA]])-1)/(Backend!$B$4/100*Table1[[#This Row],[BW40_3705]]),"")</f>
        <v/>
      </c>
      <c r="H4175" s="7" t="str">
        <f>IF(Table1[[#This Row],[Is Data Valid]]=TRUE,((Table1[[#This Row],[Birthweight (grams)]]*0.9/Table1[[#This Row],[BW_GA]])-1)/(Backend!$B$4/100*Table1[[#This Row],[BW40_3705]]),"")</f>
        <v/>
      </c>
      <c r="I4175" s="7" t="str">
        <f>IF(Table1[[#This Row],[Is Data Valid]]=TRUE,((Table1[[#This Row],[Birthweight (grams)]]*1.1/Table1[[#This Row],[BW_GA]])-1)/(Backend!$B$4/100*Table1[[#This Row],[BW40_3705]]),"")</f>
        <v/>
      </c>
      <c r="J4175" s="7" t="str">
        <f>IF(Table1[[#This Row],[Is Data Valid]]=TRUE,_xlfn.NORM.S.DIST(Table1[[#This Row],[Birthweight Z-Score]],TRUE)*100,"")</f>
        <v/>
      </c>
      <c r="K4175" s="7" t="str">
        <f>IF(Table1[[#This Row],[Is Data Valid]]=TRUE,_xlfn.NORM.S.DIST(Table1[[#This Row],[Birthweight Z-Score (BW-10%)]],TRUE)*100,"")</f>
        <v/>
      </c>
      <c r="L4175" s="7" t="str">
        <f>IF(Table1[[#This Row],[Is Data Valid]]=TRUE,_xlfn.NORM.S.DIST(Table1[[#This Row],[Birthweight Z-Score (BW+10%)]],TRUE)*100,"")</f>
        <v/>
      </c>
    </row>
    <row r="4176" spans="1:12" x14ac:dyDescent="0.35">
      <c r="A4176" s="3"/>
      <c r="B4176" s="2"/>
      <c r="C4176" s="2"/>
      <c r="D4176" s="2" t="b">
        <f>IF(AND(NOT(ISBLANK(Table1[[#This Row],[Fetal Sex (Male, Female or Unknown)]])),ISNUMBER(Table1[[#This Row],[Birthweight (grams)]]),ISNUMBER(Table1[[#This Row],[Gestation (days)]])),TRUE,FALSE)</f>
        <v>0</v>
      </c>
      <c r="E4176" s="2" t="str">
        <f>IF(Table1[[#This Row],[Is Data Valid]]=TRUE,IF(Table1[[#This Row],[Fetal Sex (Male, Female or Unknown)]]="Male",Backend!$C$6,IF(Table1[[#This Row],[Fetal Sex (Male, Female or Unknown)]]="Female",Backend!$C$7,IF(Table1[[#This Row],[Fetal Sex (Male, Female or Unknown)]]="Unknown",Backend!$C$8,"Error"))),"")</f>
        <v/>
      </c>
      <c r="F4176" s="8" t="str">
        <f>IF(Table1[[#This Row],[Is Data Valid]]=TRUE,EXP(0.578+0.332*((Table1[[#This Row],[Gestation (days)]]+0.5)/7)-0.00354*((Table1[[#This Row],[Gestation (days)]]+0.5)/7)^2)*Table1[[#This Row],[BW40_3705]],"")</f>
        <v/>
      </c>
      <c r="G4176" s="2" t="str">
        <f>IF(Table1[[#This Row],[Is Data Valid]]=TRUE,((Table1[[#This Row],[Birthweight (grams)]]/Table1[[#This Row],[BW_GA]])-1)/(Backend!$B$4/100*Table1[[#This Row],[BW40_3705]]),"")</f>
        <v/>
      </c>
      <c r="H4176" s="7" t="str">
        <f>IF(Table1[[#This Row],[Is Data Valid]]=TRUE,((Table1[[#This Row],[Birthweight (grams)]]*0.9/Table1[[#This Row],[BW_GA]])-1)/(Backend!$B$4/100*Table1[[#This Row],[BW40_3705]]),"")</f>
        <v/>
      </c>
      <c r="I4176" s="7" t="str">
        <f>IF(Table1[[#This Row],[Is Data Valid]]=TRUE,((Table1[[#This Row],[Birthweight (grams)]]*1.1/Table1[[#This Row],[BW_GA]])-1)/(Backend!$B$4/100*Table1[[#This Row],[BW40_3705]]),"")</f>
        <v/>
      </c>
      <c r="J4176" s="7" t="str">
        <f>IF(Table1[[#This Row],[Is Data Valid]]=TRUE,_xlfn.NORM.S.DIST(Table1[[#This Row],[Birthweight Z-Score]],TRUE)*100,"")</f>
        <v/>
      </c>
      <c r="K4176" s="7" t="str">
        <f>IF(Table1[[#This Row],[Is Data Valid]]=TRUE,_xlfn.NORM.S.DIST(Table1[[#This Row],[Birthweight Z-Score (BW-10%)]],TRUE)*100,"")</f>
        <v/>
      </c>
      <c r="L4176" s="7" t="str">
        <f>IF(Table1[[#This Row],[Is Data Valid]]=TRUE,_xlfn.NORM.S.DIST(Table1[[#This Row],[Birthweight Z-Score (BW+10%)]],TRUE)*100,"")</f>
        <v/>
      </c>
    </row>
    <row r="4177" spans="1:12" x14ac:dyDescent="0.35">
      <c r="A4177" s="3"/>
      <c r="B4177" s="2"/>
      <c r="C4177" s="2"/>
      <c r="D4177" s="2" t="b">
        <f>IF(AND(NOT(ISBLANK(Table1[[#This Row],[Fetal Sex (Male, Female or Unknown)]])),ISNUMBER(Table1[[#This Row],[Birthweight (grams)]]),ISNUMBER(Table1[[#This Row],[Gestation (days)]])),TRUE,FALSE)</f>
        <v>0</v>
      </c>
      <c r="E4177" s="2" t="str">
        <f>IF(Table1[[#This Row],[Is Data Valid]]=TRUE,IF(Table1[[#This Row],[Fetal Sex (Male, Female or Unknown)]]="Male",Backend!$C$6,IF(Table1[[#This Row],[Fetal Sex (Male, Female or Unknown)]]="Female",Backend!$C$7,IF(Table1[[#This Row],[Fetal Sex (Male, Female or Unknown)]]="Unknown",Backend!$C$8,"Error"))),"")</f>
        <v/>
      </c>
      <c r="F4177" s="8" t="str">
        <f>IF(Table1[[#This Row],[Is Data Valid]]=TRUE,EXP(0.578+0.332*((Table1[[#This Row],[Gestation (days)]]+0.5)/7)-0.00354*((Table1[[#This Row],[Gestation (days)]]+0.5)/7)^2)*Table1[[#This Row],[BW40_3705]],"")</f>
        <v/>
      </c>
      <c r="G4177" s="2" t="str">
        <f>IF(Table1[[#This Row],[Is Data Valid]]=TRUE,((Table1[[#This Row],[Birthweight (grams)]]/Table1[[#This Row],[BW_GA]])-1)/(Backend!$B$4/100*Table1[[#This Row],[BW40_3705]]),"")</f>
        <v/>
      </c>
      <c r="H4177" s="7" t="str">
        <f>IF(Table1[[#This Row],[Is Data Valid]]=TRUE,((Table1[[#This Row],[Birthweight (grams)]]*0.9/Table1[[#This Row],[BW_GA]])-1)/(Backend!$B$4/100*Table1[[#This Row],[BW40_3705]]),"")</f>
        <v/>
      </c>
      <c r="I4177" s="7" t="str">
        <f>IF(Table1[[#This Row],[Is Data Valid]]=TRUE,((Table1[[#This Row],[Birthweight (grams)]]*1.1/Table1[[#This Row],[BW_GA]])-1)/(Backend!$B$4/100*Table1[[#This Row],[BW40_3705]]),"")</f>
        <v/>
      </c>
      <c r="J4177" s="7" t="str">
        <f>IF(Table1[[#This Row],[Is Data Valid]]=TRUE,_xlfn.NORM.S.DIST(Table1[[#This Row],[Birthweight Z-Score]],TRUE)*100,"")</f>
        <v/>
      </c>
      <c r="K4177" s="7" t="str">
        <f>IF(Table1[[#This Row],[Is Data Valid]]=TRUE,_xlfn.NORM.S.DIST(Table1[[#This Row],[Birthweight Z-Score (BW-10%)]],TRUE)*100,"")</f>
        <v/>
      </c>
      <c r="L4177" s="7" t="str">
        <f>IF(Table1[[#This Row],[Is Data Valid]]=TRUE,_xlfn.NORM.S.DIST(Table1[[#This Row],[Birthweight Z-Score (BW+10%)]],TRUE)*100,"")</f>
        <v/>
      </c>
    </row>
    <row r="4178" spans="1:12" x14ac:dyDescent="0.35">
      <c r="A4178" s="3"/>
      <c r="B4178" s="2"/>
      <c r="C4178" s="2"/>
      <c r="D4178" s="2" t="b">
        <f>IF(AND(NOT(ISBLANK(Table1[[#This Row],[Fetal Sex (Male, Female or Unknown)]])),ISNUMBER(Table1[[#This Row],[Birthweight (grams)]]),ISNUMBER(Table1[[#This Row],[Gestation (days)]])),TRUE,FALSE)</f>
        <v>0</v>
      </c>
      <c r="E4178" s="2" t="str">
        <f>IF(Table1[[#This Row],[Is Data Valid]]=TRUE,IF(Table1[[#This Row],[Fetal Sex (Male, Female or Unknown)]]="Male",Backend!$C$6,IF(Table1[[#This Row],[Fetal Sex (Male, Female or Unknown)]]="Female",Backend!$C$7,IF(Table1[[#This Row],[Fetal Sex (Male, Female or Unknown)]]="Unknown",Backend!$C$8,"Error"))),"")</f>
        <v/>
      </c>
      <c r="F4178" s="8" t="str">
        <f>IF(Table1[[#This Row],[Is Data Valid]]=TRUE,EXP(0.578+0.332*((Table1[[#This Row],[Gestation (days)]]+0.5)/7)-0.00354*((Table1[[#This Row],[Gestation (days)]]+0.5)/7)^2)*Table1[[#This Row],[BW40_3705]],"")</f>
        <v/>
      </c>
      <c r="G4178" s="2" t="str">
        <f>IF(Table1[[#This Row],[Is Data Valid]]=TRUE,((Table1[[#This Row],[Birthweight (grams)]]/Table1[[#This Row],[BW_GA]])-1)/(Backend!$B$4/100*Table1[[#This Row],[BW40_3705]]),"")</f>
        <v/>
      </c>
      <c r="H4178" s="7" t="str">
        <f>IF(Table1[[#This Row],[Is Data Valid]]=TRUE,((Table1[[#This Row],[Birthweight (grams)]]*0.9/Table1[[#This Row],[BW_GA]])-1)/(Backend!$B$4/100*Table1[[#This Row],[BW40_3705]]),"")</f>
        <v/>
      </c>
      <c r="I4178" s="7" t="str">
        <f>IF(Table1[[#This Row],[Is Data Valid]]=TRUE,((Table1[[#This Row],[Birthweight (grams)]]*1.1/Table1[[#This Row],[BW_GA]])-1)/(Backend!$B$4/100*Table1[[#This Row],[BW40_3705]]),"")</f>
        <v/>
      </c>
      <c r="J4178" s="7" t="str">
        <f>IF(Table1[[#This Row],[Is Data Valid]]=TRUE,_xlfn.NORM.S.DIST(Table1[[#This Row],[Birthweight Z-Score]],TRUE)*100,"")</f>
        <v/>
      </c>
      <c r="K4178" s="7" t="str">
        <f>IF(Table1[[#This Row],[Is Data Valid]]=TRUE,_xlfn.NORM.S.DIST(Table1[[#This Row],[Birthweight Z-Score (BW-10%)]],TRUE)*100,"")</f>
        <v/>
      </c>
      <c r="L4178" s="7" t="str">
        <f>IF(Table1[[#This Row],[Is Data Valid]]=TRUE,_xlfn.NORM.S.DIST(Table1[[#This Row],[Birthweight Z-Score (BW+10%)]],TRUE)*100,"")</f>
        <v/>
      </c>
    </row>
    <row r="4179" spans="1:12" x14ac:dyDescent="0.35">
      <c r="A4179" s="3"/>
      <c r="B4179" s="2"/>
      <c r="C4179" s="2"/>
      <c r="D4179" s="2" t="b">
        <f>IF(AND(NOT(ISBLANK(Table1[[#This Row],[Fetal Sex (Male, Female or Unknown)]])),ISNUMBER(Table1[[#This Row],[Birthweight (grams)]]),ISNUMBER(Table1[[#This Row],[Gestation (days)]])),TRUE,FALSE)</f>
        <v>0</v>
      </c>
      <c r="E4179" s="2" t="str">
        <f>IF(Table1[[#This Row],[Is Data Valid]]=TRUE,IF(Table1[[#This Row],[Fetal Sex (Male, Female or Unknown)]]="Male",Backend!$C$6,IF(Table1[[#This Row],[Fetal Sex (Male, Female or Unknown)]]="Female",Backend!$C$7,IF(Table1[[#This Row],[Fetal Sex (Male, Female or Unknown)]]="Unknown",Backend!$C$8,"Error"))),"")</f>
        <v/>
      </c>
      <c r="F4179" s="8" t="str">
        <f>IF(Table1[[#This Row],[Is Data Valid]]=TRUE,EXP(0.578+0.332*((Table1[[#This Row],[Gestation (days)]]+0.5)/7)-0.00354*((Table1[[#This Row],[Gestation (days)]]+0.5)/7)^2)*Table1[[#This Row],[BW40_3705]],"")</f>
        <v/>
      </c>
      <c r="G4179" s="2" t="str">
        <f>IF(Table1[[#This Row],[Is Data Valid]]=TRUE,((Table1[[#This Row],[Birthweight (grams)]]/Table1[[#This Row],[BW_GA]])-1)/(Backend!$B$4/100*Table1[[#This Row],[BW40_3705]]),"")</f>
        <v/>
      </c>
      <c r="H4179" s="7" t="str">
        <f>IF(Table1[[#This Row],[Is Data Valid]]=TRUE,((Table1[[#This Row],[Birthweight (grams)]]*0.9/Table1[[#This Row],[BW_GA]])-1)/(Backend!$B$4/100*Table1[[#This Row],[BW40_3705]]),"")</f>
        <v/>
      </c>
      <c r="I4179" s="7" t="str">
        <f>IF(Table1[[#This Row],[Is Data Valid]]=TRUE,((Table1[[#This Row],[Birthweight (grams)]]*1.1/Table1[[#This Row],[BW_GA]])-1)/(Backend!$B$4/100*Table1[[#This Row],[BW40_3705]]),"")</f>
        <v/>
      </c>
      <c r="J4179" s="7" t="str">
        <f>IF(Table1[[#This Row],[Is Data Valid]]=TRUE,_xlfn.NORM.S.DIST(Table1[[#This Row],[Birthweight Z-Score]],TRUE)*100,"")</f>
        <v/>
      </c>
      <c r="K4179" s="7" t="str">
        <f>IF(Table1[[#This Row],[Is Data Valid]]=TRUE,_xlfn.NORM.S.DIST(Table1[[#This Row],[Birthweight Z-Score (BW-10%)]],TRUE)*100,"")</f>
        <v/>
      </c>
      <c r="L4179" s="7" t="str">
        <f>IF(Table1[[#This Row],[Is Data Valid]]=TRUE,_xlfn.NORM.S.DIST(Table1[[#This Row],[Birthweight Z-Score (BW+10%)]],TRUE)*100,"")</f>
        <v/>
      </c>
    </row>
    <row r="4180" spans="1:12" x14ac:dyDescent="0.35">
      <c r="A4180" s="3"/>
      <c r="B4180" s="2"/>
      <c r="C4180" s="2"/>
      <c r="D4180" s="2" t="b">
        <f>IF(AND(NOT(ISBLANK(Table1[[#This Row],[Fetal Sex (Male, Female or Unknown)]])),ISNUMBER(Table1[[#This Row],[Birthweight (grams)]]),ISNUMBER(Table1[[#This Row],[Gestation (days)]])),TRUE,FALSE)</f>
        <v>0</v>
      </c>
      <c r="E4180" s="2" t="str">
        <f>IF(Table1[[#This Row],[Is Data Valid]]=TRUE,IF(Table1[[#This Row],[Fetal Sex (Male, Female or Unknown)]]="Male",Backend!$C$6,IF(Table1[[#This Row],[Fetal Sex (Male, Female or Unknown)]]="Female",Backend!$C$7,IF(Table1[[#This Row],[Fetal Sex (Male, Female or Unknown)]]="Unknown",Backend!$C$8,"Error"))),"")</f>
        <v/>
      </c>
      <c r="F4180" s="8" t="str">
        <f>IF(Table1[[#This Row],[Is Data Valid]]=TRUE,EXP(0.578+0.332*((Table1[[#This Row],[Gestation (days)]]+0.5)/7)-0.00354*((Table1[[#This Row],[Gestation (days)]]+0.5)/7)^2)*Table1[[#This Row],[BW40_3705]],"")</f>
        <v/>
      </c>
      <c r="G4180" s="2" t="str">
        <f>IF(Table1[[#This Row],[Is Data Valid]]=TRUE,((Table1[[#This Row],[Birthweight (grams)]]/Table1[[#This Row],[BW_GA]])-1)/(Backend!$B$4/100*Table1[[#This Row],[BW40_3705]]),"")</f>
        <v/>
      </c>
      <c r="H4180" s="7" t="str">
        <f>IF(Table1[[#This Row],[Is Data Valid]]=TRUE,((Table1[[#This Row],[Birthweight (grams)]]*0.9/Table1[[#This Row],[BW_GA]])-1)/(Backend!$B$4/100*Table1[[#This Row],[BW40_3705]]),"")</f>
        <v/>
      </c>
      <c r="I4180" s="7" t="str">
        <f>IF(Table1[[#This Row],[Is Data Valid]]=TRUE,((Table1[[#This Row],[Birthweight (grams)]]*1.1/Table1[[#This Row],[BW_GA]])-1)/(Backend!$B$4/100*Table1[[#This Row],[BW40_3705]]),"")</f>
        <v/>
      </c>
      <c r="J4180" s="7" t="str">
        <f>IF(Table1[[#This Row],[Is Data Valid]]=TRUE,_xlfn.NORM.S.DIST(Table1[[#This Row],[Birthweight Z-Score]],TRUE)*100,"")</f>
        <v/>
      </c>
      <c r="K4180" s="7" t="str">
        <f>IF(Table1[[#This Row],[Is Data Valid]]=TRUE,_xlfn.NORM.S.DIST(Table1[[#This Row],[Birthweight Z-Score (BW-10%)]],TRUE)*100,"")</f>
        <v/>
      </c>
      <c r="L4180" s="7" t="str">
        <f>IF(Table1[[#This Row],[Is Data Valid]]=TRUE,_xlfn.NORM.S.DIST(Table1[[#This Row],[Birthweight Z-Score (BW+10%)]],TRUE)*100,"")</f>
        <v/>
      </c>
    </row>
    <row r="4181" spans="1:12" x14ac:dyDescent="0.35">
      <c r="A4181" s="3"/>
      <c r="B4181" s="2"/>
      <c r="C4181" s="2"/>
      <c r="D4181" s="2" t="b">
        <f>IF(AND(NOT(ISBLANK(Table1[[#This Row],[Fetal Sex (Male, Female or Unknown)]])),ISNUMBER(Table1[[#This Row],[Birthweight (grams)]]),ISNUMBER(Table1[[#This Row],[Gestation (days)]])),TRUE,FALSE)</f>
        <v>0</v>
      </c>
      <c r="E4181" s="2" t="str">
        <f>IF(Table1[[#This Row],[Is Data Valid]]=TRUE,IF(Table1[[#This Row],[Fetal Sex (Male, Female or Unknown)]]="Male",Backend!$C$6,IF(Table1[[#This Row],[Fetal Sex (Male, Female or Unknown)]]="Female",Backend!$C$7,IF(Table1[[#This Row],[Fetal Sex (Male, Female or Unknown)]]="Unknown",Backend!$C$8,"Error"))),"")</f>
        <v/>
      </c>
      <c r="F4181" s="8" t="str">
        <f>IF(Table1[[#This Row],[Is Data Valid]]=TRUE,EXP(0.578+0.332*((Table1[[#This Row],[Gestation (days)]]+0.5)/7)-0.00354*((Table1[[#This Row],[Gestation (days)]]+0.5)/7)^2)*Table1[[#This Row],[BW40_3705]],"")</f>
        <v/>
      </c>
      <c r="G4181" s="2" t="str">
        <f>IF(Table1[[#This Row],[Is Data Valid]]=TRUE,((Table1[[#This Row],[Birthweight (grams)]]/Table1[[#This Row],[BW_GA]])-1)/(Backend!$B$4/100*Table1[[#This Row],[BW40_3705]]),"")</f>
        <v/>
      </c>
      <c r="H4181" s="7" t="str">
        <f>IF(Table1[[#This Row],[Is Data Valid]]=TRUE,((Table1[[#This Row],[Birthweight (grams)]]*0.9/Table1[[#This Row],[BW_GA]])-1)/(Backend!$B$4/100*Table1[[#This Row],[BW40_3705]]),"")</f>
        <v/>
      </c>
      <c r="I4181" s="7" t="str">
        <f>IF(Table1[[#This Row],[Is Data Valid]]=TRUE,((Table1[[#This Row],[Birthweight (grams)]]*1.1/Table1[[#This Row],[BW_GA]])-1)/(Backend!$B$4/100*Table1[[#This Row],[BW40_3705]]),"")</f>
        <v/>
      </c>
      <c r="J4181" s="7" t="str">
        <f>IF(Table1[[#This Row],[Is Data Valid]]=TRUE,_xlfn.NORM.S.DIST(Table1[[#This Row],[Birthweight Z-Score]],TRUE)*100,"")</f>
        <v/>
      </c>
      <c r="K4181" s="7" t="str">
        <f>IF(Table1[[#This Row],[Is Data Valid]]=TRUE,_xlfn.NORM.S.DIST(Table1[[#This Row],[Birthweight Z-Score (BW-10%)]],TRUE)*100,"")</f>
        <v/>
      </c>
      <c r="L4181" s="7" t="str">
        <f>IF(Table1[[#This Row],[Is Data Valid]]=TRUE,_xlfn.NORM.S.DIST(Table1[[#This Row],[Birthweight Z-Score (BW+10%)]],TRUE)*100,"")</f>
        <v/>
      </c>
    </row>
    <row r="4182" spans="1:12" x14ac:dyDescent="0.35">
      <c r="A4182" s="3"/>
      <c r="B4182" s="2"/>
      <c r="C4182" s="2"/>
      <c r="D4182" s="2" t="b">
        <f>IF(AND(NOT(ISBLANK(Table1[[#This Row],[Fetal Sex (Male, Female or Unknown)]])),ISNUMBER(Table1[[#This Row],[Birthweight (grams)]]),ISNUMBER(Table1[[#This Row],[Gestation (days)]])),TRUE,FALSE)</f>
        <v>0</v>
      </c>
      <c r="E4182" s="2" t="str">
        <f>IF(Table1[[#This Row],[Is Data Valid]]=TRUE,IF(Table1[[#This Row],[Fetal Sex (Male, Female or Unknown)]]="Male",Backend!$C$6,IF(Table1[[#This Row],[Fetal Sex (Male, Female or Unknown)]]="Female",Backend!$C$7,IF(Table1[[#This Row],[Fetal Sex (Male, Female or Unknown)]]="Unknown",Backend!$C$8,"Error"))),"")</f>
        <v/>
      </c>
      <c r="F4182" s="8" t="str">
        <f>IF(Table1[[#This Row],[Is Data Valid]]=TRUE,EXP(0.578+0.332*((Table1[[#This Row],[Gestation (days)]]+0.5)/7)-0.00354*((Table1[[#This Row],[Gestation (days)]]+0.5)/7)^2)*Table1[[#This Row],[BW40_3705]],"")</f>
        <v/>
      </c>
      <c r="G4182" s="2" t="str">
        <f>IF(Table1[[#This Row],[Is Data Valid]]=TRUE,((Table1[[#This Row],[Birthweight (grams)]]/Table1[[#This Row],[BW_GA]])-1)/(Backend!$B$4/100*Table1[[#This Row],[BW40_3705]]),"")</f>
        <v/>
      </c>
      <c r="H4182" s="7" t="str">
        <f>IF(Table1[[#This Row],[Is Data Valid]]=TRUE,((Table1[[#This Row],[Birthweight (grams)]]*0.9/Table1[[#This Row],[BW_GA]])-1)/(Backend!$B$4/100*Table1[[#This Row],[BW40_3705]]),"")</f>
        <v/>
      </c>
      <c r="I4182" s="7" t="str">
        <f>IF(Table1[[#This Row],[Is Data Valid]]=TRUE,((Table1[[#This Row],[Birthweight (grams)]]*1.1/Table1[[#This Row],[BW_GA]])-1)/(Backend!$B$4/100*Table1[[#This Row],[BW40_3705]]),"")</f>
        <v/>
      </c>
      <c r="J4182" s="7" t="str">
        <f>IF(Table1[[#This Row],[Is Data Valid]]=TRUE,_xlfn.NORM.S.DIST(Table1[[#This Row],[Birthweight Z-Score]],TRUE)*100,"")</f>
        <v/>
      </c>
      <c r="K4182" s="7" t="str">
        <f>IF(Table1[[#This Row],[Is Data Valid]]=TRUE,_xlfn.NORM.S.DIST(Table1[[#This Row],[Birthweight Z-Score (BW-10%)]],TRUE)*100,"")</f>
        <v/>
      </c>
      <c r="L4182" s="7" t="str">
        <f>IF(Table1[[#This Row],[Is Data Valid]]=TRUE,_xlfn.NORM.S.DIST(Table1[[#This Row],[Birthweight Z-Score (BW+10%)]],TRUE)*100,"")</f>
        <v/>
      </c>
    </row>
    <row r="4183" spans="1:12" x14ac:dyDescent="0.35">
      <c r="A4183" s="3"/>
      <c r="B4183" s="2"/>
      <c r="C4183" s="2"/>
      <c r="D4183" s="2" t="b">
        <f>IF(AND(NOT(ISBLANK(Table1[[#This Row],[Fetal Sex (Male, Female or Unknown)]])),ISNUMBER(Table1[[#This Row],[Birthweight (grams)]]),ISNUMBER(Table1[[#This Row],[Gestation (days)]])),TRUE,FALSE)</f>
        <v>0</v>
      </c>
      <c r="E4183" s="2" t="str">
        <f>IF(Table1[[#This Row],[Is Data Valid]]=TRUE,IF(Table1[[#This Row],[Fetal Sex (Male, Female or Unknown)]]="Male",Backend!$C$6,IF(Table1[[#This Row],[Fetal Sex (Male, Female or Unknown)]]="Female",Backend!$C$7,IF(Table1[[#This Row],[Fetal Sex (Male, Female or Unknown)]]="Unknown",Backend!$C$8,"Error"))),"")</f>
        <v/>
      </c>
      <c r="F4183" s="8" t="str">
        <f>IF(Table1[[#This Row],[Is Data Valid]]=TRUE,EXP(0.578+0.332*((Table1[[#This Row],[Gestation (days)]]+0.5)/7)-0.00354*((Table1[[#This Row],[Gestation (days)]]+0.5)/7)^2)*Table1[[#This Row],[BW40_3705]],"")</f>
        <v/>
      </c>
      <c r="G4183" s="2" t="str">
        <f>IF(Table1[[#This Row],[Is Data Valid]]=TRUE,((Table1[[#This Row],[Birthweight (grams)]]/Table1[[#This Row],[BW_GA]])-1)/(Backend!$B$4/100*Table1[[#This Row],[BW40_3705]]),"")</f>
        <v/>
      </c>
      <c r="H4183" s="7" t="str">
        <f>IF(Table1[[#This Row],[Is Data Valid]]=TRUE,((Table1[[#This Row],[Birthweight (grams)]]*0.9/Table1[[#This Row],[BW_GA]])-1)/(Backend!$B$4/100*Table1[[#This Row],[BW40_3705]]),"")</f>
        <v/>
      </c>
      <c r="I4183" s="7" t="str">
        <f>IF(Table1[[#This Row],[Is Data Valid]]=TRUE,((Table1[[#This Row],[Birthweight (grams)]]*1.1/Table1[[#This Row],[BW_GA]])-1)/(Backend!$B$4/100*Table1[[#This Row],[BW40_3705]]),"")</f>
        <v/>
      </c>
      <c r="J4183" s="7" t="str">
        <f>IF(Table1[[#This Row],[Is Data Valid]]=TRUE,_xlfn.NORM.S.DIST(Table1[[#This Row],[Birthweight Z-Score]],TRUE)*100,"")</f>
        <v/>
      </c>
      <c r="K4183" s="7" t="str">
        <f>IF(Table1[[#This Row],[Is Data Valid]]=TRUE,_xlfn.NORM.S.DIST(Table1[[#This Row],[Birthweight Z-Score (BW-10%)]],TRUE)*100,"")</f>
        <v/>
      </c>
      <c r="L4183" s="7" t="str">
        <f>IF(Table1[[#This Row],[Is Data Valid]]=TRUE,_xlfn.NORM.S.DIST(Table1[[#This Row],[Birthweight Z-Score (BW+10%)]],TRUE)*100,"")</f>
        <v/>
      </c>
    </row>
    <row r="4184" spans="1:12" x14ac:dyDescent="0.35">
      <c r="A4184" s="3"/>
      <c r="B4184" s="2"/>
      <c r="C4184" s="2"/>
      <c r="D4184" s="2" t="b">
        <f>IF(AND(NOT(ISBLANK(Table1[[#This Row],[Fetal Sex (Male, Female or Unknown)]])),ISNUMBER(Table1[[#This Row],[Birthweight (grams)]]),ISNUMBER(Table1[[#This Row],[Gestation (days)]])),TRUE,FALSE)</f>
        <v>0</v>
      </c>
      <c r="E4184" s="2" t="str">
        <f>IF(Table1[[#This Row],[Is Data Valid]]=TRUE,IF(Table1[[#This Row],[Fetal Sex (Male, Female or Unknown)]]="Male",Backend!$C$6,IF(Table1[[#This Row],[Fetal Sex (Male, Female or Unknown)]]="Female",Backend!$C$7,IF(Table1[[#This Row],[Fetal Sex (Male, Female or Unknown)]]="Unknown",Backend!$C$8,"Error"))),"")</f>
        <v/>
      </c>
      <c r="F4184" s="8" t="str">
        <f>IF(Table1[[#This Row],[Is Data Valid]]=TRUE,EXP(0.578+0.332*((Table1[[#This Row],[Gestation (days)]]+0.5)/7)-0.00354*((Table1[[#This Row],[Gestation (days)]]+0.5)/7)^2)*Table1[[#This Row],[BW40_3705]],"")</f>
        <v/>
      </c>
      <c r="G4184" s="2" t="str">
        <f>IF(Table1[[#This Row],[Is Data Valid]]=TRUE,((Table1[[#This Row],[Birthweight (grams)]]/Table1[[#This Row],[BW_GA]])-1)/(Backend!$B$4/100*Table1[[#This Row],[BW40_3705]]),"")</f>
        <v/>
      </c>
      <c r="H4184" s="7" t="str">
        <f>IF(Table1[[#This Row],[Is Data Valid]]=TRUE,((Table1[[#This Row],[Birthweight (grams)]]*0.9/Table1[[#This Row],[BW_GA]])-1)/(Backend!$B$4/100*Table1[[#This Row],[BW40_3705]]),"")</f>
        <v/>
      </c>
      <c r="I4184" s="7" t="str">
        <f>IF(Table1[[#This Row],[Is Data Valid]]=TRUE,((Table1[[#This Row],[Birthweight (grams)]]*1.1/Table1[[#This Row],[BW_GA]])-1)/(Backend!$B$4/100*Table1[[#This Row],[BW40_3705]]),"")</f>
        <v/>
      </c>
      <c r="J4184" s="7" t="str">
        <f>IF(Table1[[#This Row],[Is Data Valid]]=TRUE,_xlfn.NORM.S.DIST(Table1[[#This Row],[Birthweight Z-Score]],TRUE)*100,"")</f>
        <v/>
      </c>
      <c r="K4184" s="7" t="str">
        <f>IF(Table1[[#This Row],[Is Data Valid]]=TRUE,_xlfn.NORM.S.DIST(Table1[[#This Row],[Birthweight Z-Score (BW-10%)]],TRUE)*100,"")</f>
        <v/>
      </c>
      <c r="L4184" s="7" t="str">
        <f>IF(Table1[[#This Row],[Is Data Valid]]=TRUE,_xlfn.NORM.S.DIST(Table1[[#This Row],[Birthweight Z-Score (BW+10%)]],TRUE)*100,"")</f>
        <v/>
      </c>
    </row>
    <row r="4185" spans="1:12" x14ac:dyDescent="0.35">
      <c r="A4185" s="3"/>
      <c r="B4185" s="2"/>
      <c r="C4185" s="2"/>
      <c r="D4185" s="2" t="b">
        <f>IF(AND(NOT(ISBLANK(Table1[[#This Row],[Fetal Sex (Male, Female or Unknown)]])),ISNUMBER(Table1[[#This Row],[Birthweight (grams)]]),ISNUMBER(Table1[[#This Row],[Gestation (days)]])),TRUE,FALSE)</f>
        <v>0</v>
      </c>
      <c r="E4185" s="2" t="str">
        <f>IF(Table1[[#This Row],[Is Data Valid]]=TRUE,IF(Table1[[#This Row],[Fetal Sex (Male, Female or Unknown)]]="Male",Backend!$C$6,IF(Table1[[#This Row],[Fetal Sex (Male, Female or Unknown)]]="Female",Backend!$C$7,IF(Table1[[#This Row],[Fetal Sex (Male, Female or Unknown)]]="Unknown",Backend!$C$8,"Error"))),"")</f>
        <v/>
      </c>
      <c r="F4185" s="8" t="str">
        <f>IF(Table1[[#This Row],[Is Data Valid]]=TRUE,EXP(0.578+0.332*((Table1[[#This Row],[Gestation (days)]]+0.5)/7)-0.00354*((Table1[[#This Row],[Gestation (days)]]+0.5)/7)^2)*Table1[[#This Row],[BW40_3705]],"")</f>
        <v/>
      </c>
      <c r="G4185" s="2" t="str">
        <f>IF(Table1[[#This Row],[Is Data Valid]]=TRUE,((Table1[[#This Row],[Birthweight (grams)]]/Table1[[#This Row],[BW_GA]])-1)/(Backend!$B$4/100*Table1[[#This Row],[BW40_3705]]),"")</f>
        <v/>
      </c>
      <c r="H4185" s="7" t="str">
        <f>IF(Table1[[#This Row],[Is Data Valid]]=TRUE,((Table1[[#This Row],[Birthweight (grams)]]*0.9/Table1[[#This Row],[BW_GA]])-1)/(Backend!$B$4/100*Table1[[#This Row],[BW40_3705]]),"")</f>
        <v/>
      </c>
      <c r="I4185" s="7" t="str">
        <f>IF(Table1[[#This Row],[Is Data Valid]]=TRUE,((Table1[[#This Row],[Birthweight (grams)]]*1.1/Table1[[#This Row],[BW_GA]])-1)/(Backend!$B$4/100*Table1[[#This Row],[BW40_3705]]),"")</f>
        <v/>
      </c>
      <c r="J4185" s="7" t="str">
        <f>IF(Table1[[#This Row],[Is Data Valid]]=TRUE,_xlfn.NORM.S.DIST(Table1[[#This Row],[Birthweight Z-Score]],TRUE)*100,"")</f>
        <v/>
      </c>
      <c r="K4185" s="7" t="str">
        <f>IF(Table1[[#This Row],[Is Data Valid]]=TRUE,_xlfn.NORM.S.DIST(Table1[[#This Row],[Birthweight Z-Score (BW-10%)]],TRUE)*100,"")</f>
        <v/>
      </c>
      <c r="L4185" s="7" t="str">
        <f>IF(Table1[[#This Row],[Is Data Valid]]=TRUE,_xlfn.NORM.S.DIST(Table1[[#This Row],[Birthweight Z-Score (BW+10%)]],TRUE)*100,"")</f>
        <v/>
      </c>
    </row>
    <row r="4186" spans="1:12" x14ac:dyDescent="0.35">
      <c r="A4186" s="3"/>
      <c r="B4186" s="2"/>
      <c r="C4186" s="2"/>
      <c r="D4186" s="2" t="b">
        <f>IF(AND(NOT(ISBLANK(Table1[[#This Row],[Fetal Sex (Male, Female or Unknown)]])),ISNUMBER(Table1[[#This Row],[Birthweight (grams)]]),ISNUMBER(Table1[[#This Row],[Gestation (days)]])),TRUE,FALSE)</f>
        <v>0</v>
      </c>
      <c r="E4186" s="2" t="str">
        <f>IF(Table1[[#This Row],[Is Data Valid]]=TRUE,IF(Table1[[#This Row],[Fetal Sex (Male, Female or Unknown)]]="Male",Backend!$C$6,IF(Table1[[#This Row],[Fetal Sex (Male, Female or Unknown)]]="Female",Backend!$C$7,IF(Table1[[#This Row],[Fetal Sex (Male, Female or Unknown)]]="Unknown",Backend!$C$8,"Error"))),"")</f>
        <v/>
      </c>
      <c r="F4186" s="8" t="str">
        <f>IF(Table1[[#This Row],[Is Data Valid]]=TRUE,EXP(0.578+0.332*((Table1[[#This Row],[Gestation (days)]]+0.5)/7)-0.00354*((Table1[[#This Row],[Gestation (days)]]+0.5)/7)^2)*Table1[[#This Row],[BW40_3705]],"")</f>
        <v/>
      </c>
      <c r="G4186" s="2" t="str">
        <f>IF(Table1[[#This Row],[Is Data Valid]]=TRUE,((Table1[[#This Row],[Birthweight (grams)]]/Table1[[#This Row],[BW_GA]])-1)/(Backend!$B$4/100*Table1[[#This Row],[BW40_3705]]),"")</f>
        <v/>
      </c>
      <c r="H4186" s="7" t="str">
        <f>IF(Table1[[#This Row],[Is Data Valid]]=TRUE,((Table1[[#This Row],[Birthweight (grams)]]*0.9/Table1[[#This Row],[BW_GA]])-1)/(Backend!$B$4/100*Table1[[#This Row],[BW40_3705]]),"")</f>
        <v/>
      </c>
      <c r="I4186" s="7" t="str">
        <f>IF(Table1[[#This Row],[Is Data Valid]]=TRUE,((Table1[[#This Row],[Birthweight (grams)]]*1.1/Table1[[#This Row],[BW_GA]])-1)/(Backend!$B$4/100*Table1[[#This Row],[BW40_3705]]),"")</f>
        <v/>
      </c>
      <c r="J4186" s="7" t="str">
        <f>IF(Table1[[#This Row],[Is Data Valid]]=TRUE,_xlfn.NORM.S.DIST(Table1[[#This Row],[Birthweight Z-Score]],TRUE)*100,"")</f>
        <v/>
      </c>
      <c r="K4186" s="7" t="str">
        <f>IF(Table1[[#This Row],[Is Data Valid]]=TRUE,_xlfn.NORM.S.DIST(Table1[[#This Row],[Birthweight Z-Score (BW-10%)]],TRUE)*100,"")</f>
        <v/>
      </c>
      <c r="L4186" s="7" t="str">
        <f>IF(Table1[[#This Row],[Is Data Valid]]=TRUE,_xlfn.NORM.S.DIST(Table1[[#This Row],[Birthweight Z-Score (BW+10%)]],TRUE)*100,"")</f>
        <v/>
      </c>
    </row>
    <row r="4187" spans="1:12" x14ac:dyDescent="0.35">
      <c r="A4187" s="3"/>
      <c r="B4187" s="2"/>
      <c r="C4187" s="2"/>
      <c r="D4187" s="2" t="b">
        <f>IF(AND(NOT(ISBLANK(Table1[[#This Row],[Fetal Sex (Male, Female or Unknown)]])),ISNUMBER(Table1[[#This Row],[Birthweight (grams)]]),ISNUMBER(Table1[[#This Row],[Gestation (days)]])),TRUE,FALSE)</f>
        <v>0</v>
      </c>
      <c r="E4187" s="2" t="str">
        <f>IF(Table1[[#This Row],[Is Data Valid]]=TRUE,IF(Table1[[#This Row],[Fetal Sex (Male, Female or Unknown)]]="Male",Backend!$C$6,IF(Table1[[#This Row],[Fetal Sex (Male, Female or Unknown)]]="Female",Backend!$C$7,IF(Table1[[#This Row],[Fetal Sex (Male, Female or Unknown)]]="Unknown",Backend!$C$8,"Error"))),"")</f>
        <v/>
      </c>
      <c r="F4187" s="8" t="str">
        <f>IF(Table1[[#This Row],[Is Data Valid]]=TRUE,EXP(0.578+0.332*((Table1[[#This Row],[Gestation (days)]]+0.5)/7)-0.00354*((Table1[[#This Row],[Gestation (days)]]+0.5)/7)^2)*Table1[[#This Row],[BW40_3705]],"")</f>
        <v/>
      </c>
      <c r="G4187" s="2" t="str">
        <f>IF(Table1[[#This Row],[Is Data Valid]]=TRUE,((Table1[[#This Row],[Birthweight (grams)]]/Table1[[#This Row],[BW_GA]])-1)/(Backend!$B$4/100*Table1[[#This Row],[BW40_3705]]),"")</f>
        <v/>
      </c>
      <c r="H4187" s="7" t="str">
        <f>IF(Table1[[#This Row],[Is Data Valid]]=TRUE,((Table1[[#This Row],[Birthweight (grams)]]*0.9/Table1[[#This Row],[BW_GA]])-1)/(Backend!$B$4/100*Table1[[#This Row],[BW40_3705]]),"")</f>
        <v/>
      </c>
      <c r="I4187" s="7" t="str">
        <f>IF(Table1[[#This Row],[Is Data Valid]]=TRUE,((Table1[[#This Row],[Birthweight (grams)]]*1.1/Table1[[#This Row],[BW_GA]])-1)/(Backend!$B$4/100*Table1[[#This Row],[BW40_3705]]),"")</f>
        <v/>
      </c>
      <c r="J4187" s="7" t="str">
        <f>IF(Table1[[#This Row],[Is Data Valid]]=TRUE,_xlfn.NORM.S.DIST(Table1[[#This Row],[Birthweight Z-Score]],TRUE)*100,"")</f>
        <v/>
      </c>
      <c r="K4187" s="7" t="str">
        <f>IF(Table1[[#This Row],[Is Data Valid]]=TRUE,_xlfn.NORM.S.DIST(Table1[[#This Row],[Birthweight Z-Score (BW-10%)]],TRUE)*100,"")</f>
        <v/>
      </c>
      <c r="L4187" s="7" t="str">
        <f>IF(Table1[[#This Row],[Is Data Valid]]=TRUE,_xlfn.NORM.S.DIST(Table1[[#This Row],[Birthweight Z-Score (BW+10%)]],TRUE)*100,"")</f>
        <v/>
      </c>
    </row>
    <row r="4188" spans="1:12" x14ac:dyDescent="0.35">
      <c r="A4188" s="3"/>
      <c r="B4188" s="2"/>
      <c r="C4188" s="2"/>
      <c r="D4188" s="2" t="b">
        <f>IF(AND(NOT(ISBLANK(Table1[[#This Row],[Fetal Sex (Male, Female or Unknown)]])),ISNUMBER(Table1[[#This Row],[Birthweight (grams)]]),ISNUMBER(Table1[[#This Row],[Gestation (days)]])),TRUE,FALSE)</f>
        <v>0</v>
      </c>
      <c r="E4188" s="2" t="str">
        <f>IF(Table1[[#This Row],[Is Data Valid]]=TRUE,IF(Table1[[#This Row],[Fetal Sex (Male, Female or Unknown)]]="Male",Backend!$C$6,IF(Table1[[#This Row],[Fetal Sex (Male, Female or Unknown)]]="Female",Backend!$C$7,IF(Table1[[#This Row],[Fetal Sex (Male, Female or Unknown)]]="Unknown",Backend!$C$8,"Error"))),"")</f>
        <v/>
      </c>
      <c r="F4188" s="8" t="str">
        <f>IF(Table1[[#This Row],[Is Data Valid]]=TRUE,EXP(0.578+0.332*((Table1[[#This Row],[Gestation (days)]]+0.5)/7)-0.00354*((Table1[[#This Row],[Gestation (days)]]+0.5)/7)^2)*Table1[[#This Row],[BW40_3705]],"")</f>
        <v/>
      </c>
      <c r="G4188" s="2" t="str">
        <f>IF(Table1[[#This Row],[Is Data Valid]]=TRUE,((Table1[[#This Row],[Birthweight (grams)]]/Table1[[#This Row],[BW_GA]])-1)/(Backend!$B$4/100*Table1[[#This Row],[BW40_3705]]),"")</f>
        <v/>
      </c>
      <c r="H4188" s="7" t="str">
        <f>IF(Table1[[#This Row],[Is Data Valid]]=TRUE,((Table1[[#This Row],[Birthweight (grams)]]*0.9/Table1[[#This Row],[BW_GA]])-1)/(Backend!$B$4/100*Table1[[#This Row],[BW40_3705]]),"")</f>
        <v/>
      </c>
      <c r="I4188" s="7" t="str">
        <f>IF(Table1[[#This Row],[Is Data Valid]]=TRUE,((Table1[[#This Row],[Birthweight (grams)]]*1.1/Table1[[#This Row],[BW_GA]])-1)/(Backend!$B$4/100*Table1[[#This Row],[BW40_3705]]),"")</f>
        <v/>
      </c>
      <c r="J4188" s="7" t="str">
        <f>IF(Table1[[#This Row],[Is Data Valid]]=TRUE,_xlfn.NORM.S.DIST(Table1[[#This Row],[Birthweight Z-Score]],TRUE)*100,"")</f>
        <v/>
      </c>
      <c r="K4188" s="7" t="str">
        <f>IF(Table1[[#This Row],[Is Data Valid]]=TRUE,_xlfn.NORM.S.DIST(Table1[[#This Row],[Birthweight Z-Score (BW-10%)]],TRUE)*100,"")</f>
        <v/>
      </c>
      <c r="L4188" s="7" t="str">
        <f>IF(Table1[[#This Row],[Is Data Valid]]=TRUE,_xlfn.NORM.S.DIST(Table1[[#This Row],[Birthweight Z-Score (BW+10%)]],TRUE)*100,"")</f>
        <v/>
      </c>
    </row>
    <row r="4189" spans="1:12" x14ac:dyDescent="0.35">
      <c r="A4189" s="3"/>
      <c r="B4189" s="2"/>
      <c r="C4189" s="2"/>
      <c r="D4189" s="2" t="b">
        <f>IF(AND(NOT(ISBLANK(Table1[[#This Row],[Fetal Sex (Male, Female or Unknown)]])),ISNUMBER(Table1[[#This Row],[Birthweight (grams)]]),ISNUMBER(Table1[[#This Row],[Gestation (days)]])),TRUE,FALSE)</f>
        <v>0</v>
      </c>
      <c r="E4189" s="2" t="str">
        <f>IF(Table1[[#This Row],[Is Data Valid]]=TRUE,IF(Table1[[#This Row],[Fetal Sex (Male, Female or Unknown)]]="Male",Backend!$C$6,IF(Table1[[#This Row],[Fetal Sex (Male, Female or Unknown)]]="Female",Backend!$C$7,IF(Table1[[#This Row],[Fetal Sex (Male, Female or Unknown)]]="Unknown",Backend!$C$8,"Error"))),"")</f>
        <v/>
      </c>
      <c r="F4189" s="8" t="str">
        <f>IF(Table1[[#This Row],[Is Data Valid]]=TRUE,EXP(0.578+0.332*((Table1[[#This Row],[Gestation (days)]]+0.5)/7)-0.00354*((Table1[[#This Row],[Gestation (days)]]+0.5)/7)^2)*Table1[[#This Row],[BW40_3705]],"")</f>
        <v/>
      </c>
      <c r="G4189" s="2" t="str">
        <f>IF(Table1[[#This Row],[Is Data Valid]]=TRUE,((Table1[[#This Row],[Birthweight (grams)]]/Table1[[#This Row],[BW_GA]])-1)/(Backend!$B$4/100*Table1[[#This Row],[BW40_3705]]),"")</f>
        <v/>
      </c>
      <c r="H4189" s="7" t="str">
        <f>IF(Table1[[#This Row],[Is Data Valid]]=TRUE,((Table1[[#This Row],[Birthweight (grams)]]*0.9/Table1[[#This Row],[BW_GA]])-1)/(Backend!$B$4/100*Table1[[#This Row],[BW40_3705]]),"")</f>
        <v/>
      </c>
      <c r="I4189" s="7" t="str">
        <f>IF(Table1[[#This Row],[Is Data Valid]]=TRUE,((Table1[[#This Row],[Birthweight (grams)]]*1.1/Table1[[#This Row],[BW_GA]])-1)/(Backend!$B$4/100*Table1[[#This Row],[BW40_3705]]),"")</f>
        <v/>
      </c>
      <c r="J4189" s="7" t="str">
        <f>IF(Table1[[#This Row],[Is Data Valid]]=TRUE,_xlfn.NORM.S.DIST(Table1[[#This Row],[Birthweight Z-Score]],TRUE)*100,"")</f>
        <v/>
      </c>
      <c r="K4189" s="7" t="str">
        <f>IF(Table1[[#This Row],[Is Data Valid]]=TRUE,_xlfn.NORM.S.DIST(Table1[[#This Row],[Birthweight Z-Score (BW-10%)]],TRUE)*100,"")</f>
        <v/>
      </c>
      <c r="L4189" s="7" t="str">
        <f>IF(Table1[[#This Row],[Is Data Valid]]=TRUE,_xlfn.NORM.S.DIST(Table1[[#This Row],[Birthweight Z-Score (BW+10%)]],TRUE)*100,"")</f>
        <v/>
      </c>
    </row>
    <row r="4190" spans="1:12" x14ac:dyDescent="0.35">
      <c r="A4190" s="3"/>
      <c r="B4190" s="2"/>
      <c r="C4190" s="2"/>
      <c r="D4190" s="2" t="b">
        <f>IF(AND(NOT(ISBLANK(Table1[[#This Row],[Fetal Sex (Male, Female or Unknown)]])),ISNUMBER(Table1[[#This Row],[Birthweight (grams)]]),ISNUMBER(Table1[[#This Row],[Gestation (days)]])),TRUE,FALSE)</f>
        <v>0</v>
      </c>
      <c r="E4190" s="2" t="str">
        <f>IF(Table1[[#This Row],[Is Data Valid]]=TRUE,IF(Table1[[#This Row],[Fetal Sex (Male, Female or Unknown)]]="Male",Backend!$C$6,IF(Table1[[#This Row],[Fetal Sex (Male, Female or Unknown)]]="Female",Backend!$C$7,IF(Table1[[#This Row],[Fetal Sex (Male, Female or Unknown)]]="Unknown",Backend!$C$8,"Error"))),"")</f>
        <v/>
      </c>
      <c r="F4190" s="8" t="str">
        <f>IF(Table1[[#This Row],[Is Data Valid]]=TRUE,EXP(0.578+0.332*((Table1[[#This Row],[Gestation (days)]]+0.5)/7)-0.00354*((Table1[[#This Row],[Gestation (days)]]+0.5)/7)^2)*Table1[[#This Row],[BW40_3705]],"")</f>
        <v/>
      </c>
      <c r="G4190" s="2" t="str">
        <f>IF(Table1[[#This Row],[Is Data Valid]]=TRUE,((Table1[[#This Row],[Birthweight (grams)]]/Table1[[#This Row],[BW_GA]])-1)/(Backend!$B$4/100*Table1[[#This Row],[BW40_3705]]),"")</f>
        <v/>
      </c>
      <c r="H4190" s="7" t="str">
        <f>IF(Table1[[#This Row],[Is Data Valid]]=TRUE,((Table1[[#This Row],[Birthweight (grams)]]*0.9/Table1[[#This Row],[BW_GA]])-1)/(Backend!$B$4/100*Table1[[#This Row],[BW40_3705]]),"")</f>
        <v/>
      </c>
      <c r="I4190" s="7" t="str">
        <f>IF(Table1[[#This Row],[Is Data Valid]]=TRUE,((Table1[[#This Row],[Birthweight (grams)]]*1.1/Table1[[#This Row],[BW_GA]])-1)/(Backend!$B$4/100*Table1[[#This Row],[BW40_3705]]),"")</f>
        <v/>
      </c>
      <c r="J4190" s="7" t="str">
        <f>IF(Table1[[#This Row],[Is Data Valid]]=TRUE,_xlfn.NORM.S.DIST(Table1[[#This Row],[Birthweight Z-Score]],TRUE)*100,"")</f>
        <v/>
      </c>
      <c r="K4190" s="7" t="str">
        <f>IF(Table1[[#This Row],[Is Data Valid]]=TRUE,_xlfn.NORM.S.DIST(Table1[[#This Row],[Birthweight Z-Score (BW-10%)]],TRUE)*100,"")</f>
        <v/>
      </c>
      <c r="L4190" s="7" t="str">
        <f>IF(Table1[[#This Row],[Is Data Valid]]=TRUE,_xlfn.NORM.S.DIST(Table1[[#This Row],[Birthweight Z-Score (BW+10%)]],TRUE)*100,"")</f>
        <v/>
      </c>
    </row>
    <row r="4191" spans="1:12" x14ac:dyDescent="0.35">
      <c r="A4191" s="3"/>
      <c r="B4191" s="2"/>
      <c r="C4191" s="2"/>
      <c r="D4191" s="2" t="b">
        <f>IF(AND(NOT(ISBLANK(Table1[[#This Row],[Fetal Sex (Male, Female or Unknown)]])),ISNUMBER(Table1[[#This Row],[Birthweight (grams)]]),ISNUMBER(Table1[[#This Row],[Gestation (days)]])),TRUE,FALSE)</f>
        <v>0</v>
      </c>
      <c r="E4191" s="2" t="str">
        <f>IF(Table1[[#This Row],[Is Data Valid]]=TRUE,IF(Table1[[#This Row],[Fetal Sex (Male, Female or Unknown)]]="Male",Backend!$C$6,IF(Table1[[#This Row],[Fetal Sex (Male, Female or Unknown)]]="Female",Backend!$C$7,IF(Table1[[#This Row],[Fetal Sex (Male, Female or Unknown)]]="Unknown",Backend!$C$8,"Error"))),"")</f>
        <v/>
      </c>
      <c r="F4191" s="8" t="str">
        <f>IF(Table1[[#This Row],[Is Data Valid]]=TRUE,EXP(0.578+0.332*((Table1[[#This Row],[Gestation (days)]]+0.5)/7)-0.00354*((Table1[[#This Row],[Gestation (days)]]+0.5)/7)^2)*Table1[[#This Row],[BW40_3705]],"")</f>
        <v/>
      </c>
      <c r="G4191" s="2" t="str">
        <f>IF(Table1[[#This Row],[Is Data Valid]]=TRUE,((Table1[[#This Row],[Birthweight (grams)]]/Table1[[#This Row],[BW_GA]])-1)/(Backend!$B$4/100*Table1[[#This Row],[BW40_3705]]),"")</f>
        <v/>
      </c>
      <c r="H4191" s="7" t="str">
        <f>IF(Table1[[#This Row],[Is Data Valid]]=TRUE,((Table1[[#This Row],[Birthweight (grams)]]*0.9/Table1[[#This Row],[BW_GA]])-1)/(Backend!$B$4/100*Table1[[#This Row],[BW40_3705]]),"")</f>
        <v/>
      </c>
      <c r="I4191" s="7" t="str">
        <f>IF(Table1[[#This Row],[Is Data Valid]]=TRUE,((Table1[[#This Row],[Birthweight (grams)]]*1.1/Table1[[#This Row],[BW_GA]])-1)/(Backend!$B$4/100*Table1[[#This Row],[BW40_3705]]),"")</f>
        <v/>
      </c>
      <c r="J4191" s="7" t="str">
        <f>IF(Table1[[#This Row],[Is Data Valid]]=TRUE,_xlfn.NORM.S.DIST(Table1[[#This Row],[Birthweight Z-Score]],TRUE)*100,"")</f>
        <v/>
      </c>
      <c r="K4191" s="7" t="str">
        <f>IF(Table1[[#This Row],[Is Data Valid]]=TRUE,_xlfn.NORM.S.DIST(Table1[[#This Row],[Birthweight Z-Score (BW-10%)]],TRUE)*100,"")</f>
        <v/>
      </c>
      <c r="L4191" s="7" t="str">
        <f>IF(Table1[[#This Row],[Is Data Valid]]=TRUE,_xlfn.NORM.S.DIST(Table1[[#This Row],[Birthweight Z-Score (BW+10%)]],TRUE)*100,"")</f>
        <v/>
      </c>
    </row>
    <row r="4192" spans="1:12" x14ac:dyDescent="0.35">
      <c r="A4192" s="3"/>
      <c r="B4192" s="2"/>
      <c r="C4192" s="2"/>
      <c r="D4192" s="2" t="b">
        <f>IF(AND(NOT(ISBLANK(Table1[[#This Row],[Fetal Sex (Male, Female or Unknown)]])),ISNUMBER(Table1[[#This Row],[Birthweight (grams)]]),ISNUMBER(Table1[[#This Row],[Gestation (days)]])),TRUE,FALSE)</f>
        <v>0</v>
      </c>
      <c r="E4192" s="2" t="str">
        <f>IF(Table1[[#This Row],[Is Data Valid]]=TRUE,IF(Table1[[#This Row],[Fetal Sex (Male, Female or Unknown)]]="Male",Backend!$C$6,IF(Table1[[#This Row],[Fetal Sex (Male, Female or Unknown)]]="Female",Backend!$C$7,IF(Table1[[#This Row],[Fetal Sex (Male, Female or Unknown)]]="Unknown",Backend!$C$8,"Error"))),"")</f>
        <v/>
      </c>
      <c r="F4192" s="8" t="str">
        <f>IF(Table1[[#This Row],[Is Data Valid]]=TRUE,EXP(0.578+0.332*((Table1[[#This Row],[Gestation (days)]]+0.5)/7)-0.00354*((Table1[[#This Row],[Gestation (days)]]+0.5)/7)^2)*Table1[[#This Row],[BW40_3705]],"")</f>
        <v/>
      </c>
      <c r="G4192" s="2" t="str">
        <f>IF(Table1[[#This Row],[Is Data Valid]]=TRUE,((Table1[[#This Row],[Birthweight (grams)]]/Table1[[#This Row],[BW_GA]])-1)/(Backend!$B$4/100*Table1[[#This Row],[BW40_3705]]),"")</f>
        <v/>
      </c>
      <c r="H4192" s="7" t="str">
        <f>IF(Table1[[#This Row],[Is Data Valid]]=TRUE,((Table1[[#This Row],[Birthweight (grams)]]*0.9/Table1[[#This Row],[BW_GA]])-1)/(Backend!$B$4/100*Table1[[#This Row],[BW40_3705]]),"")</f>
        <v/>
      </c>
      <c r="I4192" s="7" t="str">
        <f>IF(Table1[[#This Row],[Is Data Valid]]=TRUE,((Table1[[#This Row],[Birthweight (grams)]]*1.1/Table1[[#This Row],[BW_GA]])-1)/(Backend!$B$4/100*Table1[[#This Row],[BW40_3705]]),"")</f>
        <v/>
      </c>
      <c r="J4192" s="7" t="str">
        <f>IF(Table1[[#This Row],[Is Data Valid]]=TRUE,_xlfn.NORM.S.DIST(Table1[[#This Row],[Birthweight Z-Score]],TRUE)*100,"")</f>
        <v/>
      </c>
      <c r="K4192" s="7" t="str">
        <f>IF(Table1[[#This Row],[Is Data Valid]]=TRUE,_xlfn.NORM.S.DIST(Table1[[#This Row],[Birthweight Z-Score (BW-10%)]],TRUE)*100,"")</f>
        <v/>
      </c>
      <c r="L4192" s="7" t="str">
        <f>IF(Table1[[#This Row],[Is Data Valid]]=TRUE,_xlfn.NORM.S.DIST(Table1[[#This Row],[Birthweight Z-Score (BW+10%)]],TRUE)*100,"")</f>
        <v/>
      </c>
    </row>
    <row r="4193" spans="1:12" x14ac:dyDescent="0.35">
      <c r="A4193" s="3"/>
      <c r="B4193" s="2"/>
      <c r="C4193" s="2"/>
      <c r="D4193" s="2" t="b">
        <f>IF(AND(NOT(ISBLANK(Table1[[#This Row],[Fetal Sex (Male, Female or Unknown)]])),ISNUMBER(Table1[[#This Row],[Birthweight (grams)]]),ISNUMBER(Table1[[#This Row],[Gestation (days)]])),TRUE,FALSE)</f>
        <v>0</v>
      </c>
      <c r="E4193" s="2" t="str">
        <f>IF(Table1[[#This Row],[Is Data Valid]]=TRUE,IF(Table1[[#This Row],[Fetal Sex (Male, Female or Unknown)]]="Male",Backend!$C$6,IF(Table1[[#This Row],[Fetal Sex (Male, Female or Unknown)]]="Female",Backend!$C$7,IF(Table1[[#This Row],[Fetal Sex (Male, Female or Unknown)]]="Unknown",Backend!$C$8,"Error"))),"")</f>
        <v/>
      </c>
      <c r="F4193" s="8" t="str">
        <f>IF(Table1[[#This Row],[Is Data Valid]]=TRUE,EXP(0.578+0.332*((Table1[[#This Row],[Gestation (days)]]+0.5)/7)-0.00354*((Table1[[#This Row],[Gestation (days)]]+0.5)/7)^2)*Table1[[#This Row],[BW40_3705]],"")</f>
        <v/>
      </c>
      <c r="G4193" s="2" t="str">
        <f>IF(Table1[[#This Row],[Is Data Valid]]=TRUE,((Table1[[#This Row],[Birthweight (grams)]]/Table1[[#This Row],[BW_GA]])-1)/(Backend!$B$4/100*Table1[[#This Row],[BW40_3705]]),"")</f>
        <v/>
      </c>
      <c r="H4193" s="7" t="str">
        <f>IF(Table1[[#This Row],[Is Data Valid]]=TRUE,((Table1[[#This Row],[Birthweight (grams)]]*0.9/Table1[[#This Row],[BW_GA]])-1)/(Backend!$B$4/100*Table1[[#This Row],[BW40_3705]]),"")</f>
        <v/>
      </c>
      <c r="I4193" s="7" t="str">
        <f>IF(Table1[[#This Row],[Is Data Valid]]=TRUE,((Table1[[#This Row],[Birthweight (grams)]]*1.1/Table1[[#This Row],[BW_GA]])-1)/(Backend!$B$4/100*Table1[[#This Row],[BW40_3705]]),"")</f>
        <v/>
      </c>
      <c r="J4193" s="7" t="str">
        <f>IF(Table1[[#This Row],[Is Data Valid]]=TRUE,_xlfn.NORM.S.DIST(Table1[[#This Row],[Birthweight Z-Score]],TRUE)*100,"")</f>
        <v/>
      </c>
      <c r="K4193" s="7" t="str">
        <f>IF(Table1[[#This Row],[Is Data Valid]]=TRUE,_xlfn.NORM.S.DIST(Table1[[#This Row],[Birthweight Z-Score (BW-10%)]],TRUE)*100,"")</f>
        <v/>
      </c>
      <c r="L4193" s="7" t="str">
        <f>IF(Table1[[#This Row],[Is Data Valid]]=TRUE,_xlfn.NORM.S.DIST(Table1[[#This Row],[Birthweight Z-Score (BW+10%)]],TRUE)*100,"")</f>
        <v/>
      </c>
    </row>
    <row r="4194" spans="1:12" x14ac:dyDescent="0.35">
      <c r="A4194" s="3"/>
      <c r="B4194" s="2"/>
      <c r="C4194" s="2"/>
      <c r="D4194" s="2" t="b">
        <f>IF(AND(NOT(ISBLANK(Table1[[#This Row],[Fetal Sex (Male, Female or Unknown)]])),ISNUMBER(Table1[[#This Row],[Birthweight (grams)]]),ISNUMBER(Table1[[#This Row],[Gestation (days)]])),TRUE,FALSE)</f>
        <v>0</v>
      </c>
      <c r="E4194" s="2" t="str">
        <f>IF(Table1[[#This Row],[Is Data Valid]]=TRUE,IF(Table1[[#This Row],[Fetal Sex (Male, Female or Unknown)]]="Male",Backend!$C$6,IF(Table1[[#This Row],[Fetal Sex (Male, Female or Unknown)]]="Female",Backend!$C$7,IF(Table1[[#This Row],[Fetal Sex (Male, Female or Unknown)]]="Unknown",Backend!$C$8,"Error"))),"")</f>
        <v/>
      </c>
      <c r="F4194" s="8" t="str">
        <f>IF(Table1[[#This Row],[Is Data Valid]]=TRUE,EXP(0.578+0.332*((Table1[[#This Row],[Gestation (days)]]+0.5)/7)-0.00354*((Table1[[#This Row],[Gestation (days)]]+0.5)/7)^2)*Table1[[#This Row],[BW40_3705]],"")</f>
        <v/>
      </c>
      <c r="G4194" s="2" t="str">
        <f>IF(Table1[[#This Row],[Is Data Valid]]=TRUE,((Table1[[#This Row],[Birthweight (grams)]]/Table1[[#This Row],[BW_GA]])-1)/(Backend!$B$4/100*Table1[[#This Row],[BW40_3705]]),"")</f>
        <v/>
      </c>
      <c r="H4194" s="7" t="str">
        <f>IF(Table1[[#This Row],[Is Data Valid]]=TRUE,((Table1[[#This Row],[Birthweight (grams)]]*0.9/Table1[[#This Row],[BW_GA]])-1)/(Backend!$B$4/100*Table1[[#This Row],[BW40_3705]]),"")</f>
        <v/>
      </c>
      <c r="I4194" s="7" t="str">
        <f>IF(Table1[[#This Row],[Is Data Valid]]=TRUE,((Table1[[#This Row],[Birthweight (grams)]]*1.1/Table1[[#This Row],[BW_GA]])-1)/(Backend!$B$4/100*Table1[[#This Row],[BW40_3705]]),"")</f>
        <v/>
      </c>
      <c r="J4194" s="7" t="str">
        <f>IF(Table1[[#This Row],[Is Data Valid]]=TRUE,_xlfn.NORM.S.DIST(Table1[[#This Row],[Birthweight Z-Score]],TRUE)*100,"")</f>
        <v/>
      </c>
      <c r="K4194" s="7" t="str">
        <f>IF(Table1[[#This Row],[Is Data Valid]]=TRUE,_xlfn.NORM.S.DIST(Table1[[#This Row],[Birthweight Z-Score (BW-10%)]],TRUE)*100,"")</f>
        <v/>
      </c>
      <c r="L4194" s="7" t="str">
        <f>IF(Table1[[#This Row],[Is Data Valid]]=TRUE,_xlfn.NORM.S.DIST(Table1[[#This Row],[Birthweight Z-Score (BW+10%)]],TRUE)*100,"")</f>
        <v/>
      </c>
    </row>
    <row r="4195" spans="1:12" x14ac:dyDescent="0.35">
      <c r="A4195" s="3"/>
      <c r="B4195" s="2"/>
      <c r="C4195" s="2"/>
      <c r="D4195" s="2" t="b">
        <f>IF(AND(NOT(ISBLANK(Table1[[#This Row],[Fetal Sex (Male, Female or Unknown)]])),ISNUMBER(Table1[[#This Row],[Birthweight (grams)]]),ISNUMBER(Table1[[#This Row],[Gestation (days)]])),TRUE,FALSE)</f>
        <v>0</v>
      </c>
      <c r="E4195" s="2" t="str">
        <f>IF(Table1[[#This Row],[Is Data Valid]]=TRUE,IF(Table1[[#This Row],[Fetal Sex (Male, Female or Unknown)]]="Male",Backend!$C$6,IF(Table1[[#This Row],[Fetal Sex (Male, Female or Unknown)]]="Female",Backend!$C$7,IF(Table1[[#This Row],[Fetal Sex (Male, Female or Unknown)]]="Unknown",Backend!$C$8,"Error"))),"")</f>
        <v/>
      </c>
      <c r="F4195" s="8" t="str">
        <f>IF(Table1[[#This Row],[Is Data Valid]]=TRUE,EXP(0.578+0.332*((Table1[[#This Row],[Gestation (days)]]+0.5)/7)-0.00354*((Table1[[#This Row],[Gestation (days)]]+0.5)/7)^2)*Table1[[#This Row],[BW40_3705]],"")</f>
        <v/>
      </c>
      <c r="G4195" s="2" t="str">
        <f>IF(Table1[[#This Row],[Is Data Valid]]=TRUE,((Table1[[#This Row],[Birthweight (grams)]]/Table1[[#This Row],[BW_GA]])-1)/(Backend!$B$4/100*Table1[[#This Row],[BW40_3705]]),"")</f>
        <v/>
      </c>
      <c r="H4195" s="7" t="str">
        <f>IF(Table1[[#This Row],[Is Data Valid]]=TRUE,((Table1[[#This Row],[Birthweight (grams)]]*0.9/Table1[[#This Row],[BW_GA]])-1)/(Backend!$B$4/100*Table1[[#This Row],[BW40_3705]]),"")</f>
        <v/>
      </c>
      <c r="I4195" s="7" t="str">
        <f>IF(Table1[[#This Row],[Is Data Valid]]=TRUE,((Table1[[#This Row],[Birthweight (grams)]]*1.1/Table1[[#This Row],[BW_GA]])-1)/(Backend!$B$4/100*Table1[[#This Row],[BW40_3705]]),"")</f>
        <v/>
      </c>
      <c r="J4195" s="7" t="str">
        <f>IF(Table1[[#This Row],[Is Data Valid]]=TRUE,_xlfn.NORM.S.DIST(Table1[[#This Row],[Birthweight Z-Score]],TRUE)*100,"")</f>
        <v/>
      </c>
      <c r="K4195" s="7" t="str">
        <f>IF(Table1[[#This Row],[Is Data Valid]]=TRUE,_xlfn.NORM.S.DIST(Table1[[#This Row],[Birthweight Z-Score (BW-10%)]],TRUE)*100,"")</f>
        <v/>
      </c>
      <c r="L4195" s="7" t="str">
        <f>IF(Table1[[#This Row],[Is Data Valid]]=TRUE,_xlfn.NORM.S.DIST(Table1[[#This Row],[Birthweight Z-Score (BW+10%)]],TRUE)*100,"")</f>
        <v/>
      </c>
    </row>
    <row r="4196" spans="1:12" x14ac:dyDescent="0.35">
      <c r="A4196" s="3"/>
      <c r="B4196" s="2"/>
      <c r="C4196" s="2"/>
      <c r="D4196" s="2" t="b">
        <f>IF(AND(NOT(ISBLANK(Table1[[#This Row],[Fetal Sex (Male, Female or Unknown)]])),ISNUMBER(Table1[[#This Row],[Birthweight (grams)]]),ISNUMBER(Table1[[#This Row],[Gestation (days)]])),TRUE,FALSE)</f>
        <v>0</v>
      </c>
      <c r="E4196" s="2" t="str">
        <f>IF(Table1[[#This Row],[Is Data Valid]]=TRUE,IF(Table1[[#This Row],[Fetal Sex (Male, Female or Unknown)]]="Male",Backend!$C$6,IF(Table1[[#This Row],[Fetal Sex (Male, Female or Unknown)]]="Female",Backend!$C$7,IF(Table1[[#This Row],[Fetal Sex (Male, Female or Unknown)]]="Unknown",Backend!$C$8,"Error"))),"")</f>
        <v/>
      </c>
      <c r="F4196" s="8" t="str">
        <f>IF(Table1[[#This Row],[Is Data Valid]]=TRUE,EXP(0.578+0.332*((Table1[[#This Row],[Gestation (days)]]+0.5)/7)-0.00354*((Table1[[#This Row],[Gestation (days)]]+0.5)/7)^2)*Table1[[#This Row],[BW40_3705]],"")</f>
        <v/>
      </c>
      <c r="G4196" s="2" t="str">
        <f>IF(Table1[[#This Row],[Is Data Valid]]=TRUE,((Table1[[#This Row],[Birthweight (grams)]]/Table1[[#This Row],[BW_GA]])-1)/(Backend!$B$4/100*Table1[[#This Row],[BW40_3705]]),"")</f>
        <v/>
      </c>
      <c r="H4196" s="7" t="str">
        <f>IF(Table1[[#This Row],[Is Data Valid]]=TRUE,((Table1[[#This Row],[Birthweight (grams)]]*0.9/Table1[[#This Row],[BW_GA]])-1)/(Backend!$B$4/100*Table1[[#This Row],[BW40_3705]]),"")</f>
        <v/>
      </c>
      <c r="I4196" s="7" t="str">
        <f>IF(Table1[[#This Row],[Is Data Valid]]=TRUE,((Table1[[#This Row],[Birthweight (grams)]]*1.1/Table1[[#This Row],[BW_GA]])-1)/(Backend!$B$4/100*Table1[[#This Row],[BW40_3705]]),"")</f>
        <v/>
      </c>
      <c r="J4196" s="7" t="str">
        <f>IF(Table1[[#This Row],[Is Data Valid]]=TRUE,_xlfn.NORM.S.DIST(Table1[[#This Row],[Birthweight Z-Score]],TRUE)*100,"")</f>
        <v/>
      </c>
      <c r="K4196" s="7" t="str">
        <f>IF(Table1[[#This Row],[Is Data Valid]]=TRUE,_xlfn.NORM.S.DIST(Table1[[#This Row],[Birthweight Z-Score (BW-10%)]],TRUE)*100,"")</f>
        <v/>
      </c>
      <c r="L4196" s="7" t="str">
        <f>IF(Table1[[#This Row],[Is Data Valid]]=TRUE,_xlfn.NORM.S.DIST(Table1[[#This Row],[Birthweight Z-Score (BW+10%)]],TRUE)*100,"")</f>
        <v/>
      </c>
    </row>
    <row r="4197" spans="1:12" x14ac:dyDescent="0.35">
      <c r="A4197" s="3"/>
      <c r="B4197" s="2"/>
      <c r="C4197" s="2"/>
      <c r="D4197" s="2" t="b">
        <f>IF(AND(NOT(ISBLANK(Table1[[#This Row],[Fetal Sex (Male, Female or Unknown)]])),ISNUMBER(Table1[[#This Row],[Birthweight (grams)]]),ISNUMBER(Table1[[#This Row],[Gestation (days)]])),TRUE,FALSE)</f>
        <v>0</v>
      </c>
      <c r="E4197" s="2" t="str">
        <f>IF(Table1[[#This Row],[Is Data Valid]]=TRUE,IF(Table1[[#This Row],[Fetal Sex (Male, Female or Unknown)]]="Male",Backend!$C$6,IF(Table1[[#This Row],[Fetal Sex (Male, Female or Unknown)]]="Female",Backend!$C$7,IF(Table1[[#This Row],[Fetal Sex (Male, Female or Unknown)]]="Unknown",Backend!$C$8,"Error"))),"")</f>
        <v/>
      </c>
      <c r="F4197" s="8" t="str">
        <f>IF(Table1[[#This Row],[Is Data Valid]]=TRUE,EXP(0.578+0.332*((Table1[[#This Row],[Gestation (days)]]+0.5)/7)-0.00354*((Table1[[#This Row],[Gestation (days)]]+0.5)/7)^2)*Table1[[#This Row],[BW40_3705]],"")</f>
        <v/>
      </c>
      <c r="G4197" s="2" t="str">
        <f>IF(Table1[[#This Row],[Is Data Valid]]=TRUE,((Table1[[#This Row],[Birthweight (grams)]]/Table1[[#This Row],[BW_GA]])-1)/(Backend!$B$4/100*Table1[[#This Row],[BW40_3705]]),"")</f>
        <v/>
      </c>
      <c r="H4197" s="7" t="str">
        <f>IF(Table1[[#This Row],[Is Data Valid]]=TRUE,((Table1[[#This Row],[Birthweight (grams)]]*0.9/Table1[[#This Row],[BW_GA]])-1)/(Backend!$B$4/100*Table1[[#This Row],[BW40_3705]]),"")</f>
        <v/>
      </c>
      <c r="I4197" s="7" t="str">
        <f>IF(Table1[[#This Row],[Is Data Valid]]=TRUE,((Table1[[#This Row],[Birthweight (grams)]]*1.1/Table1[[#This Row],[BW_GA]])-1)/(Backend!$B$4/100*Table1[[#This Row],[BW40_3705]]),"")</f>
        <v/>
      </c>
      <c r="J4197" s="7" t="str">
        <f>IF(Table1[[#This Row],[Is Data Valid]]=TRUE,_xlfn.NORM.S.DIST(Table1[[#This Row],[Birthweight Z-Score]],TRUE)*100,"")</f>
        <v/>
      </c>
      <c r="K4197" s="7" t="str">
        <f>IF(Table1[[#This Row],[Is Data Valid]]=TRUE,_xlfn.NORM.S.DIST(Table1[[#This Row],[Birthweight Z-Score (BW-10%)]],TRUE)*100,"")</f>
        <v/>
      </c>
      <c r="L4197" s="7" t="str">
        <f>IF(Table1[[#This Row],[Is Data Valid]]=TRUE,_xlfn.NORM.S.DIST(Table1[[#This Row],[Birthweight Z-Score (BW+10%)]],TRUE)*100,"")</f>
        <v/>
      </c>
    </row>
    <row r="4198" spans="1:12" x14ac:dyDescent="0.35">
      <c r="A4198" s="3"/>
      <c r="B4198" s="2"/>
      <c r="C4198" s="2"/>
      <c r="D4198" s="2" t="b">
        <f>IF(AND(NOT(ISBLANK(Table1[[#This Row],[Fetal Sex (Male, Female or Unknown)]])),ISNUMBER(Table1[[#This Row],[Birthweight (grams)]]),ISNUMBER(Table1[[#This Row],[Gestation (days)]])),TRUE,FALSE)</f>
        <v>0</v>
      </c>
      <c r="E4198" s="2" t="str">
        <f>IF(Table1[[#This Row],[Is Data Valid]]=TRUE,IF(Table1[[#This Row],[Fetal Sex (Male, Female or Unknown)]]="Male",Backend!$C$6,IF(Table1[[#This Row],[Fetal Sex (Male, Female or Unknown)]]="Female",Backend!$C$7,IF(Table1[[#This Row],[Fetal Sex (Male, Female or Unknown)]]="Unknown",Backend!$C$8,"Error"))),"")</f>
        <v/>
      </c>
      <c r="F4198" s="8" t="str">
        <f>IF(Table1[[#This Row],[Is Data Valid]]=TRUE,EXP(0.578+0.332*((Table1[[#This Row],[Gestation (days)]]+0.5)/7)-0.00354*((Table1[[#This Row],[Gestation (days)]]+0.5)/7)^2)*Table1[[#This Row],[BW40_3705]],"")</f>
        <v/>
      </c>
      <c r="G4198" s="2" t="str">
        <f>IF(Table1[[#This Row],[Is Data Valid]]=TRUE,((Table1[[#This Row],[Birthweight (grams)]]/Table1[[#This Row],[BW_GA]])-1)/(Backend!$B$4/100*Table1[[#This Row],[BW40_3705]]),"")</f>
        <v/>
      </c>
      <c r="H4198" s="7" t="str">
        <f>IF(Table1[[#This Row],[Is Data Valid]]=TRUE,((Table1[[#This Row],[Birthweight (grams)]]*0.9/Table1[[#This Row],[BW_GA]])-1)/(Backend!$B$4/100*Table1[[#This Row],[BW40_3705]]),"")</f>
        <v/>
      </c>
      <c r="I4198" s="7" t="str">
        <f>IF(Table1[[#This Row],[Is Data Valid]]=TRUE,((Table1[[#This Row],[Birthweight (grams)]]*1.1/Table1[[#This Row],[BW_GA]])-1)/(Backend!$B$4/100*Table1[[#This Row],[BW40_3705]]),"")</f>
        <v/>
      </c>
      <c r="J4198" s="7" t="str">
        <f>IF(Table1[[#This Row],[Is Data Valid]]=TRUE,_xlfn.NORM.S.DIST(Table1[[#This Row],[Birthweight Z-Score]],TRUE)*100,"")</f>
        <v/>
      </c>
      <c r="K4198" s="7" t="str">
        <f>IF(Table1[[#This Row],[Is Data Valid]]=TRUE,_xlfn.NORM.S.DIST(Table1[[#This Row],[Birthweight Z-Score (BW-10%)]],TRUE)*100,"")</f>
        <v/>
      </c>
      <c r="L4198" s="7" t="str">
        <f>IF(Table1[[#This Row],[Is Data Valid]]=TRUE,_xlfn.NORM.S.DIST(Table1[[#This Row],[Birthweight Z-Score (BW+10%)]],TRUE)*100,"")</f>
        <v/>
      </c>
    </row>
    <row r="4199" spans="1:12" x14ac:dyDescent="0.35">
      <c r="A4199" s="3"/>
      <c r="B4199" s="2"/>
      <c r="C4199" s="2"/>
      <c r="D4199" s="2" t="b">
        <f>IF(AND(NOT(ISBLANK(Table1[[#This Row],[Fetal Sex (Male, Female or Unknown)]])),ISNUMBER(Table1[[#This Row],[Birthweight (grams)]]),ISNUMBER(Table1[[#This Row],[Gestation (days)]])),TRUE,FALSE)</f>
        <v>0</v>
      </c>
      <c r="E4199" s="2" t="str">
        <f>IF(Table1[[#This Row],[Is Data Valid]]=TRUE,IF(Table1[[#This Row],[Fetal Sex (Male, Female or Unknown)]]="Male",Backend!$C$6,IF(Table1[[#This Row],[Fetal Sex (Male, Female or Unknown)]]="Female",Backend!$C$7,IF(Table1[[#This Row],[Fetal Sex (Male, Female or Unknown)]]="Unknown",Backend!$C$8,"Error"))),"")</f>
        <v/>
      </c>
      <c r="F4199" s="8" t="str">
        <f>IF(Table1[[#This Row],[Is Data Valid]]=TRUE,EXP(0.578+0.332*((Table1[[#This Row],[Gestation (days)]]+0.5)/7)-0.00354*((Table1[[#This Row],[Gestation (days)]]+0.5)/7)^2)*Table1[[#This Row],[BW40_3705]],"")</f>
        <v/>
      </c>
      <c r="G4199" s="2" t="str">
        <f>IF(Table1[[#This Row],[Is Data Valid]]=TRUE,((Table1[[#This Row],[Birthweight (grams)]]/Table1[[#This Row],[BW_GA]])-1)/(Backend!$B$4/100*Table1[[#This Row],[BW40_3705]]),"")</f>
        <v/>
      </c>
      <c r="H4199" s="7" t="str">
        <f>IF(Table1[[#This Row],[Is Data Valid]]=TRUE,((Table1[[#This Row],[Birthweight (grams)]]*0.9/Table1[[#This Row],[BW_GA]])-1)/(Backend!$B$4/100*Table1[[#This Row],[BW40_3705]]),"")</f>
        <v/>
      </c>
      <c r="I4199" s="7" t="str">
        <f>IF(Table1[[#This Row],[Is Data Valid]]=TRUE,((Table1[[#This Row],[Birthweight (grams)]]*1.1/Table1[[#This Row],[BW_GA]])-1)/(Backend!$B$4/100*Table1[[#This Row],[BW40_3705]]),"")</f>
        <v/>
      </c>
      <c r="J4199" s="7" t="str">
        <f>IF(Table1[[#This Row],[Is Data Valid]]=TRUE,_xlfn.NORM.S.DIST(Table1[[#This Row],[Birthweight Z-Score]],TRUE)*100,"")</f>
        <v/>
      </c>
      <c r="K4199" s="7" t="str">
        <f>IF(Table1[[#This Row],[Is Data Valid]]=TRUE,_xlfn.NORM.S.DIST(Table1[[#This Row],[Birthweight Z-Score (BW-10%)]],TRUE)*100,"")</f>
        <v/>
      </c>
      <c r="L4199" s="7" t="str">
        <f>IF(Table1[[#This Row],[Is Data Valid]]=TRUE,_xlfn.NORM.S.DIST(Table1[[#This Row],[Birthweight Z-Score (BW+10%)]],TRUE)*100,"")</f>
        <v/>
      </c>
    </row>
    <row r="4200" spans="1:12" x14ac:dyDescent="0.35">
      <c r="A4200" s="3"/>
      <c r="B4200" s="2"/>
      <c r="C4200" s="2"/>
      <c r="D4200" s="2" t="b">
        <f>IF(AND(NOT(ISBLANK(Table1[[#This Row],[Fetal Sex (Male, Female or Unknown)]])),ISNUMBER(Table1[[#This Row],[Birthweight (grams)]]),ISNUMBER(Table1[[#This Row],[Gestation (days)]])),TRUE,FALSE)</f>
        <v>0</v>
      </c>
      <c r="E4200" s="2" t="str">
        <f>IF(Table1[[#This Row],[Is Data Valid]]=TRUE,IF(Table1[[#This Row],[Fetal Sex (Male, Female or Unknown)]]="Male",Backend!$C$6,IF(Table1[[#This Row],[Fetal Sex (Male, Female or Unknown)]]="Female",Backend!$C$7,IF(Table1[[#This Row],[Fetal Sex (Male, Female or Unknown)]]="Unknown",Backend!$C$8,"Error"))),"")</f>
        <v/>
      </c>
      <c r="F4200" s="8" t="str">
        <f>IF(Table1[[#This Row],[Is Data Valid]]=TRUE,EXP(0.578+0.332*((Table1[[#This Row],[Gestation (days)]]+0.5)/7)-0.00354*((Table1[[#This Row],[Gestation (days)]]+0.5)/7)^2)*Table1[[#This Row],[BW40_3705]],"")</f>
        <v/>
      </c>
      <c r="G4200" s="2" t="str">
        <f>IF(Table1[[#This Row],[Is Data Valid]]=TRUE,((Table1[[#This Row],[Birthweight (grams)]]/Table1[[#This Row],[BW_GA]])-1)/(Backend!$B$4/100*Table1[[#This Row],[BW40_3705]]),"")</f>
        <v/>
      </c>
      <c r="H4200" s="7" t="str">
        <f>IF(Table1[[#This Row],[Is Data Valid]]=TRUE,((Table1[[#This Row],[Birthweight (grams)]]*0.9/Table1[[#This Row],[BW_GA]])-1)/(Backend!$B$4/100*Table1[[#This Row],[BW40_3705]]),"")</f>
        <v/>
      </c>
      <c r="I4200" s="7" t="str">
        <f>IF(Table1[[#This Row],[Is Data Valid]]=TRUE,((Table1[[#This Row],[Birthweight (grams)]]*1.1/Table1[[#This Row],[BW_GA]])-1)/(Backend!$B$4/100*Table1[[#This Row],[BW40_3705]]),"")</f>
        <v/>
      </c>
      <c r="J4200" s="7" t="str">
        <f>IF(Table1[[#This Row],[Is Data Valid]]=TRUE,_xlfn.NORM.S.DIST(Table1[[#This Row],[Birthweight Z-Score]],TRUE)*100,"")</f>
        <v/>
      </c>
      <c r="K4200" s="7" t="str">
        <f>IF(Table1[[#This Row],[Is Data Valid]]=TRUE,_xlfn.NORM.S.DIST(Table1[[#This Row],[Birthweight Z-Score (BW-10%)]],TRUE)*100,"")</f>
        <v/>
      </c>
      <c r="L4200" s="7" t="str">
        <f>IF(Table1[[#This Row],[Is Data Valid]]=TRUE,_xlfn.NORM.S.DIST(Table1[[#This Row],[Birthweight Z-Score (BW+10%)]],TRUE)*100,"")</f>
        <v/>
      </c>
    </row>
    <row r="4201" spans="1:12" x14ac:dyDescent="0.35">
      <c r="A4201" s="3"/>
      <c r="B4201" s="2"/>
      <c r="C4201" s="2"/>
      <c r="D4201" s="2" t="b">
        <f>IF(AND(NOT(ISBLANK(Table1[[#This Row],[Fetal Sex (Male, Female or Unknown)]])),ISNUMBER(Table1[[#This Row],[Birthweight (grams)]]),ISNUMBER(Table1[[#This Row],[Gestation (days)]])),TRUE,FALSE)</f>
        <v>0</v>
      </c>
      <c r="E4201" s="2" t="str">
        <f>IF(Table1[[#This Row],[Is Data Valid]]=TRUE,IF(Table1[[#This Row],[Fetal Sex (Male, Female or Unknown)]]="Male",Backend!$C$6,IF(Table1[[#This Row],[Fetal Sex (Male, Female or Unknown)]]="Female",Backend!$C$7,IF(Table1[[#This Row],[Fetal Sex (Male, Female or Unknown)]]="Unknown",Backend!$C$8,"Error"))),"")</f>
        <v/>
      </c>
      <c r="F4201" s="8" t="str">
        <f>IF(Table1[[#This Row],[Is Data Valid]]=TRUE,EXP(0.578+0.332*((Table1[[#This Row],[Gestation (days)]]+0.5)/7)-0.00354*((Table1[[#This Row],[Gestation (days)]]+0.5)/7)^2)*Table1[[#This Row],[BW40_3705]],"")</f>
        <v/>
      </c>
      <c r="G4201" s="2" t="str">
        <f>IF(Table1[[#This Row],[Is Data Valid]]=TRUE,((Table1[[#This Row],[Birthweight (grams)]]/Table1[[#This Row],[BW_GA]])-1)/(Backend!$B$4/100*Table1[[#This Row],[BW40_3705]]),"")</f>
        <v/>
      </c>
      <c r="H4201" s="7" t="str">
        <f>IF(Table1[[#This Row],[Is Data Valid]]=TRUE,((Table1[[#This Row],[Birthweight (grams)]]*0.9/Table1[[#This Row],[BW_GA]])-1)/(Backend!$B$4/100*Table1[[#This Row],[BW40_3705]]),"")</f>
        <v/>
      </c>
      <c r="I4201" s="7" t="str">
        <f>IF(Table1[[#This Row],[Is Data Valid]]=TRUE,((Table1[[#This Row],[Birthweight (grams)]]*1.1/Table1[[#This Row],[BW_GA]])-1)/(Backend!$B$4/100*Table1[[#This Row],[BW40_3705]]),"")</f>
        <v/>
      </c>
      <c r="J4201" s="7" t="str">
        <f>IF(Table1[[#This Row],[Is Data Valid]]=TRUE,_xlfn.NORM.S.DIST(Table1[[#This Row],[Birthweight Z-Score]],TRUE)*100,"")</f>
        <v/>
      </c>
      <c r="K4201" s="7" t="str">
        <f>IF(Table1[[#This Row],[Is Data Valid]]=TRUE,_xlfn.NORM.S.DIST(Table1[[#This Row],[Birthweight Z-Score (BW-10%)]],TRUE)*100,"")</f>
        <v/>
      </c>
      <c r="L4201" s="7" t="str">
        <f>IF(Table1[[#This Row],[Is Data Valid]]=TRUE,_xlfn.NORM.S.DIST(Table1[[#This Row],[Birthweight Z-Score (BW+10%)]],TRUE)*100,"")</f>
        <v/>
      </c>
    </row>
    <row r="4202" spans="1:12" x14ac:dyDescent="0.35">
      <c r="A4202" s="3"/>
      <c r="B4202" s="2"/>
      <c r="C4202" s="2"/>
      <c r="D4202" s="2" t="b">
        <f>IF(AND(NOT(ISBLANK(Table1[[#This Row],[Fetal Sex (Male, Female or Unknown)]])),ISNUMBER(Table1[[#This Row],[Birthweight (grams)]]),ISNUMBER(Table1[[#This Row],[Gestation (days)]])),TRUE,FALSE)</f>
        <v>0</v>
      </c>
      <c r="E4202" s="2" t="str">
        <f>IF(Table1[[#This Row],[Is Data Valid]]=TRUE,IF(Table1[[#This Row],[Fetal Sex (Male, Female or Unknown)]]="Male",Backend!$C$6,IF(Table1[[#This Row],[Fetal Sex (Male, Female or Unknown)]]="Female",Backend!$C$7,IF(Table1[[#This Row],[Fetal Sex (Male, Female or Unknown)]]="Unknown",Backend!$C$8,"Error"))),"")</f>
        <v/>
      </c>
      <c r="F4202" s="8" t="str">
        <f>IF(Table1[[#This Row],[Is Data Valid]]=TRUE,EXP(0.578+0.332*((Table1[[#This Row],[Gestation (days)]]+0.5)/7)-0.00354*((Table1[[#This Row],[Gestation (days)]]+0.5)/7)^2)*Table1[[#This Row],[BW40_3705]],"")</f>
        <v/>
      </c>
      <c r="G4202" s="2" t="str">
        <f>IF(Table1[[#This Row],[Is Data Valid]]=TRUE,((Table1[[#This Row],[Birthweight (grams)]]/Table1[[#This Row],[BW_GA]])-1)/(Backend!$B$4/100*Table1[[#This Row],[BW40_3705]]),"")</f>
        <v/>
      </c>
      <c r="H4202" s="7" t="str">
        <f>IF(Table1[[#This Row],[Is Data Valid]]=TRUE,((Table1[[#This Row],[Birthweight (grams)]]*0.9/Table1[[#This Row],[BW_GA]])-1)/(Backend!$B$4/100*Table1[[#This Row],[BW40_3705]]),"")</f>
        <v/>
      </c>
      <c r="I4202" s="7" t="str">
        <f>IF(Table1[[#This Row],[Is Data Valid]]=TRUE,((Table1[[#This Row],[Birthweight (grams)]]*1.1/Table1[[#This Row],[BW_GA]])-1)/(Backend!$B$4/100*Table1[[#This Row],[BW40_3705]]),"")</f>
        <v/>
      </c>
      <c r="J4202" s="7" t="str">
        <f>IF(Table1[[#This Row],[Is Data Valid]]=TRUE,_xlfn.NORM.S.DIST(Table1[[#This Row],[Birthweight Z-Score]],TRUE)*100,"")</f>
        <v/>
      </c>
      <c r="K4202" s="7" t="str">
        <f>IF(Table1[[#This Row],[Is Data Valid]]=TRUE,_xlfn.NORM.S.DIST(Table1[[#This Row],[Birthweight Z-Score (BW-10%)]],TRUE)*100,"")</f>
        <v/>
      </c>
      <c r="L4202" s="7" t="str">
        <f>IF(Table1[[#This Row],[Is Data Valid]]=TRUE,_xlfn.NORM.S.DIST(Table1[[#This Row],[Birthweight Z-Score (BW+10%)]],TRUE)*100,"")</f>
        <v/>
      </c>
    </row>
    <row r="4203" spans="1:12" x14ac:dyDescent="0.35">
      <c r="A4203" s="3"/>
      <c r="B4203" s="2"/>
      <c r="C4203" s="2"/>
      <c r="D4203" s="2" t="b">
        <f>IF(AND(NOT(ISBLANK(Table1[[#This Row],[Fetal Sex (Male, Female or Unknown)]])),ISNUMBER(Table1[[#This Row],[Birthweight (grams)]]),ISNUMBER(Table1[[#This Row],[Gestation (days)]])),TRUE,FALSE)</f>
        <v>0</v>
      </c>
      <c r="E4203" s="2" t="str">
        <f>IF(Table1[[#This Row],[Is Data Valid]]=TRUE,IF(Table1[[#This Row],[Fetal Sex (Male, Female or Unknown)]]="Male",Backend!$C$6,IF(Table1[[#This Row],[Fetal Sex (Male, Female or Unknown)]]="Female",Backend!$C$7,IF(Table1[[#This Row],[Fetal Sex (Male, Female or Unknown)]]="Unknown",Backend!$C$8,"Error"))),"")</f>
        <v/>
      </c>
      <c r="F4203" s="8" t="str">
        <f>IF(Table1[[#This Row],[Is Data Valid]]=TRUE,EXP(0.578+0.332*((Table1[[#This Row],[Gestation (days)]]+0.5)/7)-0.00354*((Table1[[#This Row],[Gestation (days)]]+0.5)/7)^2)*Table1[[#This Row],[BW40_3705]],"")</f>
        <v/>
      </c>
      <c r="G4203" s="2" t="str">
        <f>IF(Table1[[#This Row],[Is Data Valid]]=TRUE,((Table1[[#This Row],[Birthweight (grams)]]/Table1[[#This Row],[BW_GA]])-1)/(Backend!$B$4/100*Table1[[#This Row],[BW40_3705]]),"")</f>
        <v/>
      </c>
      <c r="H4203" s="7" t="str">
        <f>IF(Table1[[#This Row],[Is Data Valid]]=TRUE,((Table1[[#This Row],[Birthweight (grams)]]*0.9/Table1[[#This Row],[BW_GA]])-1)/(Backend!$B$4/100*Table1[[#This Row],[BW40_3705]]),"")</f>
        <v/>
      </c>
      <c r="I4203" s="7" t="str">
        <f>IF(Table1[[#This Row],[Is Data Valid]]=TRUE,((Table1[[#This Row],[Birthweight (grams)]]*1.1/Table1[[#This Row],[BW_GA]])-1)/(Backend!$B$4/100*Table1[[#This Row],[BW40_3705]]),"")</f>
        <v/>
      </c>
      <c r="J4203" s="7" t="str">
        <f>IF(Table1[[#This Row],[Is Data Valid]]=TRUE,_xlfn.NORM.S.DIST(Table1[[#This Row],[Birthweight Z-Score]],TRUE)*100,"")</f>
        <v/>
      </c>
      <c r="K4203" s="7" t="str">
        <f>IF(Table1[[#This Row],[Is Data Valid]]=TRUE,_xlfn.NORM.S.DIST(Table1[[#This Row],[Birthweight Z-Score (BW-10%)]],TRUE)*100,"")</f>
        <v/>
      </c>
      <c r="L4203" s="7" t="str">
        <f>IF(Table1[[#This Row],[Is Data Valid]]=TRUE,_xlfn.NORM.S.DIST(Table1[[#This Row],[Birthweight Z-Score (BW+10%)]],TRUE)*100,"")</f>
        <v/>
      </c>
    </row>
    <row r="4204" spans="1:12" x14ac:dyDescent="0.35">
      <c r="A4204" s="3"/>
      <c r="B4204" s="2"/>
      <c r="C4204" s="2"/>
      <c r="D4204" s="2" t="b">
        <f>IF(AND(NOT(ISBLANK(Table1[[#This Row],[Fetal Sex (Male, Female or Unknown)]])),ISNUMBER(Table1[[#This Row],[Birthweight (grams)]]),ISNUMBER(Table1[[#This Row],[Gestation (days)]])),TRUE,FALSE)</f>
        <v>0</v>
      </c>
      <c r="E4204" s="2" t="str">
        <f>IF(Table1[[#This Row],[Is Data Valid]]=TRUE,IF(Table1[[#This Row],[Fetal Sex (Male, Female or Unknown)]]="Male",Backend!$C$6,IF(Table1[[#This Row],[Fetal Sex (Male, Female or Unknown)]]="Female",Backend!$C$7,IF(Table1[[#This Row],[Fetal Sex (Male, Female or Unknown)]]="Unknown",Backend!$C$8,"Error"))),"")</f>
        <v/>
      </c>
      <c r="F4204" s="8" t="str">
        <f>IF(Table1[[#This Row],[Is Data Valid]]=TRUE,EXP(0.578+0.332*((Table1[[#This Row],[Gestation (days)]]+0.5)/7)-0.00354*((Table1[[#This Row],[Gestation (days)]]+0.5)/7)^2)*Table1[[#This Row],[BW40_3705]],"")</f>
        <v/>
      </c>
      <c r="G4204" s="2" t="str">
        <f>IF(Table1[[#This Row],[Is Data Valid]]=TRUE,((Table1[[#This Row],[Birthweight (grams)]]/Table1[[#This Row],[BW_GA]])-1)/(Backend!$B$4/100*Table1[[#This Row],[BW40_3705]]),"")</f>
        <v/>
      </c>
      <c r="H4204" s="7" t="str">
        <f>IF(Table1[[#This Row],[Is Data Valid]]=TRUE,((Table1[[#This Row],[Birthweight (grams)]]*0.9/Table1[[#This Row],[BW_GA]])-1)/(Backend!$B$4/100*Table1[[#This Row],[BW40_3705]]),"")</f>
        <v/>
      </c>
      <c r="I4204" s="7" t="str">
        <f>IF(Table1[[#This Row],[Is Data Valid]]=TRUE,((Table1[[#This Row],[Birthweight (grams)]]*1.1/Table1[[#This Row],[BW_GA]])-1)/(Backend!$B$4/100*Table1[[#This Row],[BW40_3705]]),"")</f>
        <v/>
      </c>
      <c r="J4204" s="7" t="str">
        <f>IF(Table1[[#This Row],[Is Data Valid]]=TRUE,_xlfn.NORM.S.DIST(Table1[[#This Row],[Birthweight Z-Score]],TRUE)*100,"")</f>
        <v/>
      </c>
      <c r="K4204" s="7" t="str">
        <f>IF(Table1[[#This Row],[Is Data Valid]]=TRUE,_xlfn.NORM.S.DIST(Table1[[#This Row],[Birthweight Z-Score (BW-10%)]],TRUE)*100,"")</f>
        <v/>
      </c>
      <c r="L4204" s="7" t="str">
        <f>IF(Table1[[#This Row],[Is Data Valid]]=TRUE,_xlfn.NORM.S.DIST(Table1[[#This Row],[Birthweight Z-Score (BW+10%)]],TRUE)*100,"")</f>
        <v/>
      </c>
    </row>
    <row r="4205" spans="1:12" x14ac:dyDescent="0.35">
      <c r="A4205" s="3"/>
      <c r="B4205" s="2"/>
      <c r="C4205" s="2"/>
      <c r="D4205" s="2" t="b">
        <f>IF(AND(NOT(ISBLANK(Table1[[#This Row],[Fetal Sex (Male, Female or Unknown)]])),ISNUMBER(Table1[[#This Row],[Birthweight (grams)]]),ISNUMBER(Table1[[#This Row],[Gestation (days)]])),TRUE,FALSE)</f>
        <v>0</v>
      </c>
      <c r="E4205" s="2" t="str">
        <f>IF(Table1[[#This Row],[Is Data Valid]]=TRUE,IF(Table1[[#This Row],[Fetal Sex (Male, Female or Unknown)]]="Male",Backend!$C$6,IF(Table1[[#This Row],[Fetal Sex (Male, Female or Unknown)]]="Female",Backend!$C$7,IF(Table1[[#This Row],[Fetal Sex (Male, Female or Unknown)]]="Unknown",Backend!$C$8,"Error"))),"")</f>
        <v/>
      </c>
      <c r="F4205" s="8" t="str">
        <f>IF(Table1[[#This Row],[Is Data Valid]]=TRUE,EXP(0.578+0.332*((Table1[[#This Row],[Gestation (days)]]+0.5)/7)-0.00354*((Table1[[#This Row],[Gestation (days)]]+0.5)/7)^2)*Table1[[#This Row],[BW40_3705]],"")</f>
        <v/>
      </c>
      <c r="G4205" s="2" t="str">
        <f>IF(Table1[[#This Row],[Is Data Valid]]=TRUE,((Table1[[#This Row],[Birthweight (grams)]]/Table1[[#This Row],[BW_GA]])-1)/(Backend!$B$4/100*Table1[[#This Row],[BW40_3705]]),"")</f>
        <v/>
      </c>
      <c r="H4205" s="7" t="str">
        <f>IF(Table1[[#This Row],[Is Data Valid]]=TRUE,((Table1[[#This Row],[Birthweight (grams)]]*0.9/Table1[[#This Row],[BW_GA]])-1)/(Backend!$B$4/100*Table1[[#This Row],[BW40_3705]]),"")</f>
        <v/>
      </c>
      <c r="I4205" s="7" t="str">
        <f>IF(Table1[[#This Row],[Is Data Valid]]=TRUE,((Table1[[#This Row],[Birthweight (grams)]]*1.1/Table1[[#This Row],[BW_GA]])-1)/(Backend!$B$4/100*Table1[[#This Row],[BW40_3705]]),"")</f>
        <v/>
      </c>
      <c r="J4205" s="7" t="str">
        <f>IF(Table1[[#This Row],[Is Data Valid]]=TRUE,_xlfn.NORM.S.DIST(Table1[[#This Row],[Birthweight Z-Score]],TRUE)*100,"")</f>
        <v/>
      </c>
      <c r="K4205" s="7" t="str">
        <f>IF(Table1[[#This Row],[Is Data Valid]]=TRUE,_xlfn.NORM.S.DIST(Table1[[#This Row],[Birthweight Z-Score (BW-10%)]],TRUE)*100,"")</f>
        <v/>
      </c>
      <c r="L4205" s="7" t="str">
        <f>IF(Table1[[#This Row],[Is Data Valid]]=TRUE,_xlfn.NORM.S.DIST(Table1[[#This Row],[Birthweight Z-Score (BW+10%)]],TRUE)*100,"")</f>
        <v/>
      </c>
    </row>
    <row r="4206" spans="1:12" x14ac:dyDescent="0.35">
      <c r="A4206" s="3"/>
      <c r="B4206" s="2"/>
      <c r="C4206" s="2"/>
      <c r="D4206" s="2" t="b">
        <f>IF(AND(NOT(ISBLANK(Table1[[#This Row],[Fetal Sex (Male, Female or Unknown)]])),ISNUMBER(Table1[[#This Row],[Birthweight (grams)]]),ISNUMBER(Table1[[#This Row],[Gestation (days)]])),TRUE,FALSE)</f>
        <v>0</v>
      </c>
      <c r="E4206" s="2" t="str">
        <f>IF(Table1[[#This Row],[Is Data Valid]]=TRUE,IF(Table1[[#This Row],[Fetal Sex (Male, Female or Unknown)]]="Male",Backend!$C$6,IF(Table1[[#This Row],[Fetal Sex (Male, Female or Unknown)]]="Female",Backend!$C$7,IF(Table1[[#This Row],[Fetal Sex (Male, Female or Unknown)]]="Unknown",Backend!$C$8,"Error"))),"")</f>
        <v/>
      </c>
      <c r="F4206" s="8" t="str">
        <f>IF(Table1[[#This Row],[Is Data Valid]]=TRUE,EXP(0.578+0.332*((Table1[[#This Row],[Gestation (days)]]+0.5)/7)-0.00354*((Table1[[#This Row],[Gestation (days)]]+0.5)/7)^2)*Table1[[#This Row],[BW40_3705]],"")</f>
        <v/>
      </c>
      <c r="G4206" s="2" t="str">
        <f>IF(Table1[[#This Row],[Is Data Valid]]=TRUE,((Table1[[#This Row],[Birthweight (grams)]]/Table1[[#This Row],[BW_GA]])-1)/(Backend!$B$4/100*Table1[[#This Row],[BW40_3705]]),"")</f>
        <v/>
      </c>
      <c r="H4206" s="7" t="str">
        <f>IF(Table1[[#This Row],[Is Data Valid]]=TRUE,((Table1[[#This Row],[Birthweight (grams)]]*0.9/Table1[[#This Row],[BW_GA]])-1)/(Backend!$B$4/100*Table1[[#This Row],[BW40_3705]]),"")</f>
        <v/>
      </c>
      <c r="I4206" s="7" t="str">
        <f>IF(Table1[[#This Row],[Is Data Valid]]=TRUE,((Table1[[#This Row],[Birthweight (grams)]]*1.1/Table1[[#This Row],[BW_GA]])-1)/(Backend!$B$4/100*Table1[[#This Row],[BW40_3705]]),"")</f>
        <v/>
      </c>
      <c r="J4206" s="7" t="str">
        <f>IF(Table1[[#This Row],[Is Data Valid]]=TRUE,_xlfn.NORM.S.DIST(Table1[[#This Row],[Birthweight Z-Score]],TRUE)*100,"")</f>
        <v/>
      </c>
      <c r="K4206" s="7" t="str">
        <f>IF(Table1[[#This Row],[Is Data Valid]]=TRUE,_xlfn.NORM.S.DIST(Table1[[#This Row],[Birthweight Z-Score (BW-10%)]],TRUE)*100,"")</f>
        <v/>
      </c>
      <c r="L4206" s="7" t="str">
        <f>IF(Table1[[#This Row],[Is Data Valid]]=TRUE,_xlfn.NORM.S.DIST(Table1[[#This Row],[Birthweight Z-Score (BW+10%)]],TRUE)*100,"")</f>
        <v/>
      </c>
    </row>
    <row r="4207" spans="1:12" x14ac:dyDescent="0.35">
      <c r="A4207" s="3"/>
      <c r="B4207" s="2"/>
      <c r="C4207" s="2"/>
      <c r="D4207" s="2" t="b">
        <f>IF(AND(NOT(ISBLANK(Table1[[#This Row],[Fetal Sex (Male, Female or Unknown)]])),ISNUMBER(Table1[[#This Row],[Birthweight (grams)]]),ISNUMBER(Table1[[#This Row],[Gestation (days)]])),TRUE,FALSE)</f>
        <v>0</v>
      </c>
      <c r="E4207" s="2" t="str">
        <f>IF(Table1[[#This Row],[Is Data Valid]]=TRUE,IF(Table1[[#This Row],[Fetal Sex (Male, Female or Unknown)]]="Male",Backend!$C$6,IF(Table1[[#This Row],[Fetal Sex (Male, Female or Unknown)]]="Female",Backend!$C$7,IF(Table1[[#This Row],[Fetal Sex (Male, Female or Unknown)]]="Unknown",Backend!$C$8,"Error"))),"")</f>
        <v/>
      </c>
      <c r="F4207" s="8" t="str">
        <f>IF(Table1[[#This Row],[Is Data Valid]]=TRUE,EXP(0.578+0.332*((Table1[[#This Row],[Gestation (days)]]+0.5)/7)-0.00354*((Table1[[#This Row],[Gestation (days)]]+0.5)/7)^2)*Table1[[#This Row],[BW40_3705]],"")</f>
        <v/>
      </c>
      <c r="G4207" s="2" t="str">
        <f>IF(Table1[[#This Row],[Is Data Valid]]=TRUE,((Table1[[#This Row],[Birthweight (grams)]]/Table1[[#This Row],[BW_GA]])-1)/(Backend!$B$4/100*Table1[[#This Row],[BW40_3705]]),"")</f>
        <v/>
      </c>
      <c r="H4207" s="7" t="str">
        <f>IF(Table1[[#This Row],[Is Data Valid]]=TRUE,((Table1[[#This Row],[Birthweight (grams)]]*0.9/Table1[[#This Row],[BW_GA]])-1)/(Backend!$B$4/100*Table1[[#This Row],[BW40_3705]]),"")</f>
        <v/>
      </c>
      <c r="I4207" s="7" t="str">
        <f>IF(Table1[[#This Row],[Is Data Valid]]=TRUE,((Table1[[#This Row],[Birthweight (grams)]]*1.1/Table1[[#This Row],[BW_GA]])-1)/(Backend!$B$4/100*Table1[[#This Row],[BW40_3705]]),"")</f>
        <v/>
      </c>
      <c r="J4207" s="7" t="str">
        <f>IF(Table1[[#This Row],[Is Data Valid]]=TRUE,_xlfn.NORM.S.DIST(Table1[[#This Row],[Birthweight Z-Score]],TRUE)*100,"")</f>
        <v/>
      </c>
      <c r="K4207" s="7" t="str">
        <f>IF(Table1[[#This Row],[Is Data Valid]]=TRUE,_xlfn.NORM.S.DIST(Table1[[#This Row],[Birthweight Z-Score (BW-10%)]],TRUE)*100,"")</f>
        <v/>
      </c>
      <c r="L4207" s="7" t="str">
        <f>IF(Table1[[#This Row],[Is Data Valid]]=TRUE,_xlfn.NORM.S.DIST(Table1[[#This Row],[Birthweight Z-Score (BW+10%)]],TRUE)*100,"")</f>
        <v/>
      </c>
    </row>
    <row r="4208" spans="1:12" x14ac:dyDescent="0.35">
      <c r="A4208" s="3"/>
      <c r="B4208" s="2"/>
      <c r="C4208" s="2"/>
      <c r="D4208" s="2" t="b">
        <f>IF(AND(NOT(ISBLANK(Table1[[#This Row],[Fetal Sex (Male, Female or Unknown)]])),ISNUMBER(Table1[[#This Row],[Birthweight (grams)]]),ISNUMBER(Table1[[#This Row],[Gestation (days)]])),TRUE,FALSE)</f>
        <v>0</v>
      </c>
      <c r="E4208" s="2" t="str">
        <f>IF(Table1[[#This Row],[Is Data Valid]]=TRUE,IF(Table1[[#This Row],[Fetal Sex (Male, Female or Unknown)]]="Male",Backend!$C$6,IF(Table1[[#This Row],[Fetal Sex (Male, Female or Unknown)]]="Female",Backend!$C$7,IF(Table1[[#This Row],[Fetal Sex (Male, Female or Unknown)]]="Unknown",Backend!$C$8,"Error"))),"")</f>
        <v/>
      </c>
      <c r="F4208" s="8" t="str">
        <f>IF(Table1[[#This Row],[Is Data Valid]]=TRUE,EXP(0.578+0.332*((Table1[[#This Row],[Gestation (days)]]+0.5)/7)-0.00354*((Table1[[#This Row],[Gestation (days)]]+0.5)/7)^2)*Table1[[#This Row],[BW40_3705]],"")</f>
        <v/>
      </c>
      <c r="G4208" s="2" t="str">
        <f>IF(Table1[[#This Row],[Is Data Valid]]=TRUE,((Table1[[#This Row],[Birthweight (grams)]]/Table1[[#This Row],[BW_GA]])-1)/(Backend!$B$4/100*Table1[[#This Row],[BW40_3705]]),"")</f>
        <v/>
      </c>
      <c r="H4208" s="7" t="str">
        <f>IF(Table1[[#This Row],[Is Data Valid]]=TRUE,((Table1[[#This Row],[Birthweight (grams)]]*0.9/Table1[[#This Row],[BW_GA]])-1)/(Backend!$B$4/100*Table1[[#This Row],[BW40_3705]]),"")</f>
        <v/>
      </c>
      <c r="I4208" s="7" t="str">
        <f>IF(Table1[[#This Row],[Is Data Valid]]=TRUE,((Table1[[#This Row],[Birthweight (grams)]]*1.1/Table1[[#This Row],[BW_GA]])-1)/(Backend!$B$4/100*Table1[[#This Row],[BW40_3705]]),"")</f>
        <v/>
      </c>
      <c r="J4208" s="7" t="str">
        <f>IF(Table1[[#This Row],[Is Data Valid]]=TRUE,_xlfn.NORM.S.DIST(Table1[[#This Row],[Birthweight Z-Score]],TRUE)*100,"")</f>
        <v/>
      </c>
      <c r="K4208" s="7" t="str">
        <f>IF(Table1[[#This Row],[Is Data Valid]]=TRUE,_xlfn.NORM.S.DIST(Table1[[#This Row],[Birthweight Z-Score (BW-10%)]],TRUE)*100,"")</f>
        <v/>
      </c>
      <c r="L4208" s="7" t="str">
        <f>IF(Table1[[#This Row],[Is Data Valid]]=TRUE,_xlfn.NORM.S.DIST(Table1[[#This Row],[Birthweight Z-Score (BW+10%)]],TRUE)*100,"")</f>
        <v/>
      </c>
    </row>
    <row r="4209" spans="1:12" x14ac:dyDescent="0.35">
      <c r="A4209" s="3"/>
      <c r="B4209" s="2"/>
      <c r="C4209" s="2"/>
      <c r="D4209" s="2" t="b">
        <f>IF(AND(NOT(ISBLANK(Table1[[#This Row],[Fetal Sex (Male, Female or Unknown)]])),ISNUMBER(Table1[[#This Row],[Birthweight (grams)]]),ISNUMBER(Table1[[#This Row],[Gestation (days)]])),TRUE,FALSE)</f>
        <v>0</v>
      </c>
      <c r="E4209" s="2" t="str">
        <f>IF(Table1[[#This Row],[Is Data Valid]]=TRUE,IF(Table1[[#This Row],[Fetal Sex (Male, Female or Unknown)]]="Male",Backend!$C$6,IF(Table1[[#This Row],[Fetal Sex (Male, Female or Unknown)]]="Female",Backend!$C$7,IF(Table1[[#This Row],[Fetal Sex (Male, Female or Unknown)]]="Unknown",Backend!$C$8,"Error"))),"")</f>
        <v/>
      </c>
      <c r="F4209" s="8" t="str">
        <f>IF(Table1[[#This Row],[Is Data Valid]]=TRUE,EXP(0.578+0.332*((Table1[[#This Row],[Gestation (days)]]+0.5)/7)-0.00354*((Table1[[#This Row],[Gestation (days)]]+0.5)/7)^2)*Table1[[#This Row],[BW40_3705]],"")</f>
        <v/>
      </c>
      <c r="G4209" s="2" t="str">
        <f>IF(Table1[[#This Row],[Is Data Valid]]=TRUE,((Table1[[#This Row],[Birthweight (grams)]]/Table1[[#This Row],[BW_GA]])-1)/(Backend!$B$4/100*Table1[[#This Row],[BW40_3705]]),"")</f>
        <v/>
      </c>
      <c r="H4209" s="7" t="str">
        <f>IF(Table1[[#This Row],[Is Data Valid]]=TRUE,((Table1[[#This Row],[Birthweight (grams)]]*0.9/Table1[[#This Row],[BW_GA]])-1)/(Backend!$B$4/100*Table1[[#This Row],[BW40_3705]]),"")</f>
        <v/>
      </c>
      <c r="I4209" s="7" t="str">
        <f>IF(Table1[[#This Row],[Is Data Valid]]=TRUE,((Table1[[#This Row],[Birthweight (grams)]]*1.1/Table1[[#This Row],[BW_GA]])-1)/(Backend!$B$4/100*Table1[[#This Row],[BW40_3705]]),"")</f>
        <v/>
      </c>
      <c r="J4209" s="7" t="str">
        <f>IF(Table1[[#This Row],[Is Data Valid]]=TRUE,_xlfn.NORM.S.DIST(Table1[[#This Row],[Birthweight Z-Score]],TRUE)*100,"")</f>
        <v/>
      </c>
      <c r="K4209" s="7" t="str">
        <f>IF(Table1[[#This Row],[Is Data Valid]]=TRUE,_xlfn.NORM.S.DIST(Table1[[#This Row],[Birthweight Z-Score (BW-10%)]],TRUE)*100,"")</f>
        <v/>
      </c>
      <c r="L4209" s="7" t="str">
        <f>IF(Table1[[#This Row],[Is Data Valid]]=TRUE,_xlfn.NORM.S.DIST(Table1[[#This Row],[Birthweight Z-Score (BW+10%)]],TRUE)*100,"")</f>
        <v/>
      </c>
    </row>
    <row r="4210" spans="1:12" x14ac:dyDescent="0.35">
      <c r="A4210" s="3"/>
      <c r="B4210" s="2"/>
      <c r="C4210" s="2"/>
      <c r="D4210" s="2" t="b">
        <f>IF(AND(NOT(ISBLANK(Table1[[#This Row],[Fetal Sex (Male, Female or Unknown)]])),ISNUMBER(Table1[[#This Row],[Birthweight (grams)]]),ISNUMBER(Table1[[#This Row],[Gestation (days)]])),TRUE,FALSE)</f>
        <v>0</v>
      </c>
      <c r="E4210" s="2" t="str">
        <f>IF(Table1[[#This Row],[Is Data Valid]]=TRUE,IF(Table1[[#This Row],[Fetal Sex (Male, Female or Unknown)]]="Male",Backend!$C$6,IF(Table1[[#This Row],[Fetal Sex (Male, Female or Unknown)]]="Female",Backend!$C$7,IF(Table1[[#This Row],[Fetal Sex (Male, Female or Unknown)]]="Unknown",Backend!$C$8,"Error"))),"")</f>
        <v/>
      </c>
      <c r="F4210" s="8" t="str">
        <f>IF(Table1[[#This Row],[Is Data Valid]]=TRUE,EXP(0.578+0.332*((Table1[[#This Row],[Gestation (days)]]+0.5)/7)-0.00354*((Table1[[#This Row],[Gestation (days)]]+0.5)/7)^2)*Table1[[#This Row],[BW40_3705]],"")</f>
        <v/>
      </c>
      <c r="G4210" s="2" t="str">
        <f>IF(Table1[[#This Row],[Is Data Valid]]=TRUE,((Table1[[#This Row],[Birthweight (grams)]]/Table1[[#This Row],[BW_GA]])-1)/(Backend!$B$4/100*Table1[[#This Row],[BW40_3705]]),"")</f>
        <v/>
      </c>
      <c r="H4210" s="7" t="str">
        <f>IF(Table1[[#This Row],[Is Data Valid]]=TRUE,((Table1[[#This Row],[Birthweight (grams)]]*0.9/Table1[[#This Row],[BW_GA]])-1)/(Backend!$B$4/100*Table1[[#This Row],[BW40_3705]]),"")</f>
        <v/>
      </c>
      <c r="I4210" s="7" t="str">
        <f>IF(Table1[[#This Row],[Is Data Valid]]=TRUE,((Table1[[#This Row],[Birthweight (grams)]]*1.1/Table1[[#This Row],[BW_GA]])-1)/(Backend!$B$4/100*Table1[[#This Row],[BW40_3705]]),"")</f>
        <v/>
      </c>
      <c r="J4210" s="7" t="str">
        <f>IF(Table1[[#This Row],[Is Data Valid]]=TRUE,_xlfn.NORM.S.DIST(Table1[[#This Row],[Birthweight Z-Score]],TRUE)*100,"")</f>
        <v/>
      </c>
      <c r="K4210" s="7" t="str">
        <f>IF(Table1[[#This Row],[Is Data Valid]]=TRUE,_xlfn.NORM.S.DIST(Table1[[#This Row],[Birthweight Z-Score (BW-10%)]],TRUE)*100,"")</f>
        <v/>
      </c>
      <c r="L4210" s="7" t="str">
        <f>IF(Table1[[#This Row],[Is Data Valid]]=TRUE,_xlfn.NORM.S.DIST(Table1[[#This Row],[Birthweight Z-Score (BW+10%)]],TRUE)*100,"")</f>
        <v/>
      </c>
    </row>
    <row r="4211" spans="1:12" x14ac:dyDescent="0.35">
      <c r="A4211" s="3"/>
      <c r="B4211" s="2"/>
      <c r="C4211" s="2"/>
      <c r="D4211" s="2" t="b">
        <f>IF(AND(NOT(ISBLANK(Table1[[#This Row],[Fetal Sex (Male, Female or Unknown)]])),ISNUMBER(Table1[[#This Row],[Birthweight (grams)]]),ISNUMBER(Table1[[#This Row],[Gestation (days)]])),TRUE,FALSE)</f>
        <v>0</v>
      </c>
      <c r="E4211" s="2" t="str">
        <f>IF(Table1[[#This Row],[Is Data Valid]]=TRUE,IF(Table1[[#This Row],[Fetal Sex (Male, Female or Unknown)]]="Male",Backend!$C$6,IF(Table1[[#This Row],[Fetal Sex (Male, Female or Unknown)]]="Female",Backend!$C$7,IF(Table1[[#This Row],[Fetal Sex (Male, Female or Unknown)]]="Unknown",Backend!$C$8,"Error"))),"")</f>
        <v/>
      </c>
      <c r="F4211" s="8" t="str">
        <f>IF(Table1[[#This Row],[Is Data Valid]]=TRUE,EXP(0.578+0.332*((Table1[[#This Row],[Gestation (days)]]+0.5)/7)-0.00354*((Table1[[#This Row],[Gestation (days)]]+0.5)/7)^2)*Table1[[#This Row],[BW40_3705]],"")</f>
        <v/>
      </c>
      <c r="G4211" s="2" t="str">
        <f>IF(Table1[[#This Row],[Is Data Valid]]=TRUE,((Table1[[#This Row],[Birthweight (grams)]]/Table1[[#This Row],[BW_GA]])-1)/(Backend!$B$4/100*Table1[[#This Row],[BW40_3705]]),"")</f>
        <v/>
      </c>
      <c r="H4211" s="7" t="str">
        <f>IF(Table1[[#This Row],[Is Data Valid]]=TRUE,((Table1[[#This Row],[Birthweight (grams)]]*0.9/Table1[[#This Row],[BW_GA]])-1)/(Backend!$B$4/100*Table1[[#This Row],[BW40_3705]]),"")</f>
        <v/>
      </c>
      <c r="I4211" s="7" t="str">
        <f>IF(Table1[[#This Row],[Is Data Valid]]=TRUE,((Table1[[#This Row],[Birthweight (grams)]]*1.1/Table1[[#This Row],[BW_GA]])-1)/(Backend!$B$4/100*Table1[[#This Row],[BW40_3705]]),"")</f>
        <v/>
      </c>
      <c r="J4211" s="7" t="str">
        <f>IF(Table1[[#This Row],[Is Data Valid]]=TRUE,_xlfn.NORM.S.DIST(Table1[[#This Row],[Birthweight Z-Score]],TRUE)*100,"")</f>
        <v/>
      </c>
      <c r="K4211" s="7" t="str">
        <f>IF(Table1[[#This Row],[Is Data Valid]]=TRUE,_xlfn.NORM.S.DIST(Table1[[#This Row],[Birthweight Z-Score (BW-10%)]],TRUE)*100,"")</f>
        <v/>
      </c>
      <c r="L4211" s="7" t="str">
        <f>IF(Table1[[#This Row],[Is Data Valid]]=TRUE,_xlfn.NORM.S.DIST(Table1[[#This Row],[Birthweight Z-Score (BW+10%)]],TRUE)*100,"")</f>
        <v/>
      </c>
    </row>
    <row r="4212" spans="1:12" x14ac:dyDescent="0.35">
      <c r="A4212" s="3"/>
      <c r="B4212" s="2"/>
      <c r="C4212" s="2"/>
      <c r="D4212" s="2" t="b">
        <f>IF(AND(NOT(ISBLANK(Table1[[#This Row],[Fetal Sex (Male, Female or Unknown)]])),ISNUMBER(Table1[[#This Row],[Birthweight (grams)]]),ISNUMBER(Table1[[#This Row],[Gestation (days)]])),TRUE,FALSE)</f>
        <v>0</v>
      </c>
      <c r="E4212" s="2" t="str">
        <f>IF(Table1[[#This Row],[Is Data Valid]]=TRUE,IF(Table1[[#This Row],[Fetal Sex (Male, Female or Unknown)]]="Male",Backend!$C$6,IF(Table1[[#This Row],[Fetal Sex (Male, Female or Unknown)]]="Female",Backend!$C$7,IF(Table1[[#This Row],[Fetal Sex (Male, Female or Unknown)]]="Unknown",Backend!$C$8,"Error"))),"")</f>
        <v/>
      </c>
      <c r="F4212" s="8" t="str">
        <f>IF(Table1[[#This Row],[Is Data Valid]]=TRUE,EXP(0.578+0.332*((Table1[[#This Row],[Gestation (days)]]+0.5)/7)-0.00354*((Table1[[#This Row],[Gestation (days)]]+0.5)/7)^2)*Table1[[#This Row],[BW40_3705]],"")</f>
        <v/>
      </c>
      <c r="G4212" s="2" t="str">
        <f>IF(Table1[[#This Row],[Is Data Valid]]=TRUE,((Table1[[#This Row],[Birthweight (grams)]]/Table1[[#This Row],[BW_GA]])-1)/(Backend!$B$4/100*Table1[[#This Row],[BW40_3705]]),"")</f>
        <v/>
      </c>
      <c r="H4212" s="7" t="str">
        <f>IF(Table1[[#This Row],[Is Data Valid]]=TRUE,((Table1[[#This Row],[Birthweight (grams)]]*0.9/Table1[[#This Row],[BW_GA]])-1)/(Backend!$B$4/100*Table1[[#This Row],[BW40_3705]]),"")</f>
        <v/>
      </c>
      <c r="I4212" s="7" t="str">
        <f>IF(Table1[[#This Row],[Is Data Valid]]=TRUE,((Table1[[#This Row],[Birthweight (grams)]]*1.1/Table1[[#This Row],[BW_GA]])-1)/(Backend!$B$4/100*Table1[[#This Row],[BW40_3705]]),"")</f>
        <v/>
      </c>
      <c r="J4212" s="7" t="str">
        <f>IF(Table1[[#This Row],[Is Data Valid]]=TRUE,_xlfn.NORM.S.DIST(Table1[[#This Row],[Birthweight Z-Score]],TRUE)*100,"")</f>
        <v/>
      </c>
      <c r="K4212" s="7" t="str">
        <f>IF(Table1[[#This Row],[Is Data Valid]]=TRUE,_xlfn.NORM.S.DIST(Table1[[#This Row],[Birthweight Z-Score (BW-10%)]],TRUE)*100,"")</f>
        <v/>
      </c>
      <c r="L4212" s="7" t="str">
        <f>IF(Table1[[#This Row],[Is Data Valid]]=TRUE,_xlfn.NORM.S.DIST(Table1[[#This Row],[Birthweight Z-Score (BW+10%)]],TRUE)*100,"")</f>
        <v/>
      </c>
    </row>
    <row r="4213" spans="1:12" x14ac:dyDescent="0.35">
      <c r="A4213" s="3"/>
      <c r="B4213" s="2"/>
      <c r="C4213" s="2"/>
      <c r="D4213" s="2" t="b">
        <f>IF(AND(NOT(ISBLANK(Table1[[#This Row],[Fetal Sex (Male, Female or Unknown)]])),ISNUMBER(Table1[[#This Row],[Birthweight (grams)]]),ISNUMBER(Table1[[#This Row],[Gestation (days)]])),TRUE,FALSE)</f>
        <v>0</v>
      </c>
      <c r="E4213" s="2" t="str">
        <f>IF(Table1[[#This Row],[Is Data Valid]]=TRUE,IF(Table1[[#This Row],[Fetal Sex (Male, Female or Unknown)]]="Male",Backend!$C$6,IF(Table1[[#This Row],[Fetal Sex (Male, Female or Unknown)]]="Female",Backend!$C$7,IF(Table1[[#This Row],[Fetal Sex (Male, Female or Unknown)]]="Unknown",Backend!$C$8,"Error"))),"")</f>
        <v/>
      </c>
      <c r="F4213" s="8" t="str">
        <f>IF(Table1[[#This Row],[Is Data Valid]]=TRUE,EXP(0.578+0.332*((Table1[[#This Row],[Gestation (days)]]+0.5)/7)-0.00354*((Table1[[#This Row],[Gestation (days)]]+0.5)/7)^2)*Table1[[#This Row],[BW40_3705]],"")</f>
        <v/>
      </c>
      <c r="G4213" s="2" t="str">
        <f>IF(Table1[[#This Row],[Is Data Valid]]=TRUE,((Table1[[#This Row],[Birthweight (grams)]]/Table1[[#This Row],[BW_GA]])-1)/(Backend!$B$4/100*Table1[[#This Row],[BW40_3705]]),"")</f>
        <v/>
      </c>
      <c r="H4213" s="7" t="str">
        <f>IF(Table1[[#This Row],[Is Data Valid]]=TRUE,((Table1[[#This Row],[Birthweight (grams)]]*0.9/Table1[[#This Row],[BW_GA]])-1)/(Backend!$B$4/100*Table1[[#This Row],[BW40_3705]]),"")</f>
        <v/>
      </c>
      <c r="I4213" s="7" t="str">
        <f>IF(Table1[[#This Row],[Is Data Valid]]=TRUE,((Table1[[#This Row],[Birthweight (grams)]]*1.1/Table1[[#This Row],[BW_GA]])-1)/(Backend!$B$4/100*Table1[[#This Row],[BW40_3705]]),"")</f>
        <v/>
      </c>
      <c r="J4213" s="7" t="str">
        <f>IF(Table1[[#This Row],[Is Data Valid]]=TRUE,_xlfn.NORM.S.DIST(Table1[[#This Row],[Birthweight Z-Score]],TRUE)*100,"")</f>
        <v/>
      </c>
      <c r="K4213" s="7" t="str">
        <f>IF(Table1[[#This Row],[Is Data Valid]]=TRUE,_xlfn.NORM.S.DIST(Table1[[#This Row],[Birthweight Z-Score (BW-10%)]],TRUE)*100,"")</f>
        <v/>
      </c>
      <c r="L4213" s="7" t="str">
        <f>IF(Table1[[#This Row],[Is Data Valid]]=TRUE,_xlfn.NORM.S.DIST(Table1[[#This Row],[Birthweight Z-Score (BW+10%)]],TRUE)*100,"")</f>
        <v/>
      </c>
    </row>
    <row r="4214" spans="1:12" x14ac:dyDescent="0.35">
      <c r="A4214" s="3"/>
      <c r="B4214" s="2"/>
      <c r="C4214" s="2"/>
      <c r="D4214" s="2" t="b">
        <f>IF(AND(NOT(ISBLANK(Table1[[#This Row],[Fetal Sex (Male, Female or Unknown)]])),ISNUMBER(Table1[[#This Row],[Birthweight (grams)]]),ISNUMBER(Table1[[#This Row],[Gestation (days)]])),TRUE,FALSE)</f>
        <v>0</v>
      </c>
      <c r="E4214" s="2" t="str">
        <f>IF(Table1[[#This Row],[Is Data Valid]]=TRUE,IF(Table1[[#This Row],[Fetal Sex (Male, Female or Unknown)]]="Male",Backend!$C$6,IF(Table1[[#This Row],[Fetal Sex (Male, Female or Unknown)]]="Female",Backend!$C$7,IF(Table1[[#This Row],[Fetal Sex (Male, Female or Unknown)]]="Unknown",Backend!$C$8,"Error"))),"")</f>
        <v/>
      </c>
      <c r="F4214" s="8" t="str">
        <f>IF(Table1[[#This Row],[Is Data Valid]]=TRUE,EXP(0.578+0.332*((Table1[[#This Row],[Gestation (days)]]+0.5)/7)-0.00354*((Table1[[#This Row],[Gestation (days)]]+0.5)/7)^2)*Table1[[#This Row],[BW40_3705]],"")</f>
        <v/>
      </c>
      <c r="G4214" s="2" t="str">
        <f>IF(Table1[[#This Row],[Is Data Valid]]=TRUE,((Table1[[#This Row],[Birthweight (grams)]]/Table1[[#This Row],[BW_GA]])-1)/(Backend!$B$4/100*Table1[[#This Row],[BW40_3705]]),"")</f>
        <v/>
      </c>
      <c r="H4214" s="7" t="str">
        <f>IF(Table1[[#This Row],[Is Data Valid]]=TRUE,((Table1[[#This Row],[Birthweight (grams)]]*0.9/Table1[[#This Row],[BW_GA]])-1)/(Backend!$B$4/100*Table1[[#This Row],[BW40_3705]]),"")</f>
        <v/>
      </c>
      <c r="I4214" s="7" t="str">
        <f>IF(Table1[[#This Row],[Is Data Valid]]=TRUE,((Table1[[#This Row],[Birthweight (grams)]]*1.1/Table1[[#This Row],[BW_GA]])-1)/(Backend!$B$4/100*Table1[[#This Row],[BW40_3705]]),"")</f>
        <v/>
      </c>
      <c r="J4214" s="7" t="str">
        <f>IF(Table1[[#This Row],[Is Data Valid]]=TRUE,_xlfn.NORM.S.DIST(Table1[[#This Row],[Birthweight Z-Score]],TRUE)*100,"")</f>
        <v/>
      </c>
      <c r="K4214" s="7" t="str">
        <f>IF(Table1[[#This Row],[Is Data Valid]]=TRUE,_xlfn.NORM.S.DIST(Table1[[#This Row],[Birthweight Z-Score (BW-10%)]],TRUE)*100,"")</f>
        <v/>
      </c>
      <c r="L4214" s="7" t="str">
        <f>IF(Table1[[#This Row],[Is Data Valid]]=TRUE,_xlfn.NORM.S.DIST(Table1[[#This Row],[Birthweight Z-Score (BW+10%)]],TRUE)*100,"")</f>
        <v/>
      </c>
    </row>
    <row r="4215" spans="1:12" x14ac:dyDescent="0.35">
      <c r="A4215" s="3"/>
      <c r="B4215" s="2"/>
      <c r="C4215" s="2"/>
      <c r="D4215" s="2" t="b">
        <f>IF(AND(NOT(ISBLANK(Table1[[#This Row],[Fetal Sex (Male, Female or Unknown)]])),ISNUMBER(Table1[[#This Row],[Birthweight (grams)]]),ISNUMBER(Table1[[#This Row],[Gestation (days)]])),TRUE,FALSE)</f>
        <v>0</v>
      </c>
      <c r="E4215" s="2" t="str">
        <f>IF(Table1[[#This Row],[Is Data Valid]]=TRUE,IF(Table1[[#This Row],[Fetal Sex (Male, Female or Unknown)]]="Male",Backend!$C$6,IF(Table1[[#This Row],[Fetal Sex (Male, Female or Unknown)]]="Female",Backend!$C$7,IF(Table1[[#This Row],[Fetal Sex (Male, Female or Unknown)]]="Unknown",Backend!$C$8,"Error"))),"")</f>
        <v/>
      </c>
      <c r="F4215" s="8" t="str">
        <f>IF(Table1[[#This Row],[Is Data Valid]]=TRUE,EXP(0.578+0.332*((Table1[[#This Row],[Gestation (days)]]+0.5)/7)-0.00354*((Table1[[#This Row],[Gestation (days)]]+0.5)/7)^2)*Table1[[#This Row],[BW40_3705]],"")</f>
        <v/>
      </c>
      <c r="G4215" s="2" t="str">
        <f>IF(Table1[[#This Row],[Is Data Valid]]=TRUE,((Table1[[#This Row],[Birthweight (grams)]]/Table1[[#This Row],[BW_GA]])-1)/(Backend!$B$4/100*Table1[[#This Row],[BW40_3705]]),"")</f>
        <v/>
      </c>
      <c r="H4215" s="7" t="str">
        <f>IF(Table1[[#This Row],[Is Data Valid]]=TRUE,((Table1[[#This Row],[Birthweight (grams)]]*0.9/Table1[[#This Row],[BW_GA]])-1)/(Backend!$B$4/100*Table1[[#This Row],[BW40_3705]]),"")</f>
        <v/>
      </c>
      <c r="I4215" s="7" t="str">
        <f>IF(Table1[[#This Row],[Is Data Valid]]=TRUE,((Table1[[#This Row],[Birthweight (grams)]]*1.1/Table1[[#This Row],[BW_GA]])-1)/(Backend!$B$4/100*Table1[[#This Row],[BW40_3705]]),"")</f>
        <v/>
      </c>
      <c r="J4215" s="7" t="str">
        <f>IF(Table1[[#This Row],[Is Data Valid]]=TRUE,_xlfn.NORM.S.DIST(Table1[[#This Row],[Birthweight Z-Score]],TRUE)*100,"")</f>
        <v/>
      </c>
      <c r="K4215" s="7" t="str">
        <f>IF(Table1[[#This Row],[Is Data Valid]]=TRUE,_xlfn.NORM.S.DIST(Table1[[#This Row],[Birthweight Z-Score (BW-10%)]],TRUE)*100,"")</f>
        <v/>
      </c>
      <c r="L4215" s="7" t="str">
        <f>IF(Table1[[#This Row],[Is Data Valid]]=TRUE,_xlfn.NORM.S.DIST(Table1[[#This Row],[Birthweight Z-Score (BW+10%)]],TRUE)*100,"")</f>
        <v/>
      </c>
    </row>
    <row r="4216" spans="1:12" x14ac:dyDescent="0.35">
      <c r="A4216" s="3"/>
      <c r="B4216" s="2"/>
      <c r="C4216" s="2"/>
      <c r="D4216" s="2" t="b">
        <f>IF(AND(NOT(ISBLANK(Table1[[#This Row],[Fetal Sex (Male, Female or Unknown)]])),ISNUMBER(Table1[[#This Row],[Birthweight (grams)]]),ISNUMBER(Table1[[#This Row],[Gestation (days)]])),TRUE,FALSE)</f>
        <v>0</v>
      </c>
      <c r="E4216" s="2" t="str">
        <f>IF(Table1[[#This Row],[Is Data Valid]]=TRUE,IF(Table1[[#This Row],[Fetal Sex (Male, Female or Unknown)]]="Male",Backend!$C$6,IF(Table1[[#This Row],[Fetal Sex (Male, Female or Unknown)]]="Female",Backend!$C$7,IF(Table1[[#This Row],[Fetal Sex (Male, Female or Unknown)]]="Unknown",Backend!$C$8,"Error"))),"")</f>
        <v/>
      </c>
      <c r="F4216" s="8" t="str">
        <f>IF(Table1[[#This Row],[Is Data Valid]]=TRUE,EXP(0.578+0.332*((Table1[[#This Row],[Gestation (days)]]+0.5)/7)-0.00354*((Table1[[#This Row],[Gestation (days)]]+0.5)/7)^2)*Table1[[#This Row],[BW40_3705]],"")</f>
        <v/>
      </c>
      <c r="G4216" s="2" t="str">
        <f>IF(Table1[[#This Row],[Is Data Valid]]=TRUE,((Table1[[#This Row],[Birthweight (grams)]]/Table1[[#This Row],[BW_GA]])-1)/(Backend!$B$4/100*Table1[[#This Row],[BW40_3705]]),"")</f>
        <v/>
      </c>
      <c r="H4216" s="7" t="str">
        <f>IF(Table1[[#This Row],[Is Data Valid]]=TRUE,((Table1[[#This Row],[Birthweight (grams)]]*0.9/Table1[[#This Row],[BW_GA]])-1)/(Backend!$B$4/100*Table1[[#This Row],[BW40_3705]]),"")</f>
        <v/>
      </c>
      <c r="I4216" s="7" t="str">
        <f>IF(Table1[[#This Row],[Is Data Valid]]=TRUE,((Table1[[#This Row],[Birthweight (grams)]]*1.1/Table1[[#This Row],[BW_GA]])-1)/(Backend!$B$4/100*Table1[[#This Row],[BW40_3705]]),"")</f>
        <v/>
      </c>
      <c r="J4216" s="7" t="str">
        <f>IF(Table1[[#This Row],[Is Data Valid]]=TRUE,_xlfn.NORM.S.DIST(Table1[[#This Row],[Birthweight Z-Score]],TRUE)*100,"")</f>
        <v/>
      </c>
      <c r="K4216" s="7" t="str">
        <f>IF(Table1[[#This Row],[Is Data Valid]]=TRUE,_xlfn.NORM.S.DIST(Table1[[#This Row],[Birthweight Z-Score (BW-10%)]],TRUE)*100,"")</f>
        <v/>
      </c>
      <c r="L4216" s="7" t="str">
        <f>IF(Table1[[#This Row],[Is Data Valid]]=TRUE,_xlfn.NORM.S.DIST(Table1[[#This Row],[Birthweight Z-Score (BW+10%)]],TRUE)*100,"")</f>
        <v/>
      </c>
    </row>
    <row r="4217" spans="1:12" x14ac:dyDescent="0.35">
      <c r="A4217" s="3"/>
      <c r="B4217" s="2"/>
      <c r="C4217" s="2"/>
      <c r="D4217" s="2" t="b">
        <f>IF(AND(NOT(ISBLANK(Table1[[#This Row],[Fetal Sex (Male, Female or Unknown)]])),ISNUMBER(Table1[[#This Row],[Birthweight (grams)]]),ISNUMBER(Table1[[#This Row],[Gestation (days)]])),TRUE,FALSE)</f>
        <v>0</v>
      </c>
      <c r="E4217" s="2" t="str">
        <f>IF(Table1[[#This Row],[Is Data Valid]]=TRUE,IF(Table1[[#This Row],[Fetal Sex (Male, Female or Unknown)]]="Male",Backend!$C$6,IF(Table1[[#This Row],[Fetal Sex (Male, Female or Unknown)]]="Female",Backend!$C$7,IF(Table1[[#This Row],[Fetal Sex (Male, Female or Unknown)]]="Unknown",Backend!$C$8,"Error"))),"")</f>
        <v/>
      </c>
      <c r="F4217" s="8" t="str">
        <f>IF(Table1[[#This Row],[Is Data Valid]]=TRUE,EXP(0.578+0.332*((Table1[[#This Row],[Gestation (days)]]+0.5)/7)-0.00354*((Table1[[#This Row],[Gestation (days)]]+0.5)/7)^2)*Table1[[#This Row],[BW40_3705]],"")</f>
        <v/>
      </c>
      <c r="G4217" s="2" t="str">
        <f>IF(Table1[[#This Row],[Is Data Valid]]=TRUE,((Table1[[#This Row],[Birthweight (grams)]]/Table1[[#This Row],[BW_GA]])-1)/(Backend!$B$4/100*Table1[[#This Row],[BW40_3705]]),"")</f>
        <v/>
      </c>
      <c r="H4217" s="7" t="str">
        <f>IF(Table1[[#This Row],[Is Data Valid]]=TRUE,((Table1[[#This Row],[Birthweight (grams)]]*0.9/Table1[[#This Row],[BW_GA]])-1)/(Backend!$B$4/100*Table1[[#This Row],[BW40_3705]]),"")</f>
        <v/>
      </c>
      <c r="I4217" s="7" t="str">
        <f>IF(Table1[[#This Row],[Is Data Valid]]=TRUE,((Table1[[#This Row],[Birthweight (grams)]]*1.1/Table1[[#This Row],[BW_GA]])-1)/(Backend!$B$4/100*Table1[[#This Row],[BW40_3705]]),"")</f>
        <v/>
      </c>
      <c r="J4217" s="7" t="str">
        <f>IF(Table1[[#This Row],[Is Data Valid]]=TRUE,_xlfn.NORM.S.DIST(Table1[[#This Row],[Birthweight Z-Score]],TRUE)*100,"")</f>
        <v/>
      </c>
      <c r="K4217" s="7" t="str">
        <f>IF(Table1[[#This Row],[Is Data Valid]]=TRUE,_xlfn.NORM.S.DIST(Table1[[#This Row],[Birthweight Z-Score (BW-10%)]],TRUE)*100,"")</f>
        <v/>
      </c>
      <c r="L4217" s="7" t="str">
        <f>IF(Table1[[#This Row],[Is Data Valid]]=TRUE,_xlfn.NORM.S.DIST(Table1[[#This Row],[Birthweight Z-Score (BW+10%)]],TRUE)*100,"")</f>
        <v/>
      </c>
    </row>
    <row r="4218" spans="1:12" x14ac:dyDescent="0.35">
      <c r="A4218" s="3"/>
      <c r="B4218" s="2"/>
      <c r="C4218" s="2"/>
      <c r="D4218" s="2" t="b">
        <f>IF(AND(NOT(ISBLANK(Table1[[#This Row],[Fetal Sex (Male, Female or Unknown)]])),ISNUMBER(Table1[[#This Row],[Birthweight (grams)]]),ISNUMBER(Table1[[#This Row],[Gestation (days)]])),TRUE,FALSE)</f>
        <v>0</v>
      </c>
      <c r="E4218" s="2" t="str">
        <f>IF(Table1[[#This Row],[Is Data Valid]]=TRUE,IF(Table1[[#This Row],[Fetal Sex (Male, Female or Unknown)]]="Male",Backend!$C$6,IF(Table1[[#This Row],[Fetal Sex (Male, Female or Unknown)]]="Female",Backend!$C$7,IF(Table1[[#This Row],[Fetal Sex (Male, Female or Unknown)]]="Unknown",Backend!$C$8,"Error"))),"")</f>
        <v/>
      </c>
      <c r="F4218" s="8" t="str">
        <f>IF(Table1[[#This Row],[Is Data Valid]]=TRUE,EXP(0.578+0.332*((Table1[[#This Row],[Gestation (days)]]+0.5)/7)-0.00354*((Table1[[#This Row],[Gestation (days)]]+0.5)/7)^2)*Table1[[#This Row],[BW40_3705]],"")</f>
        <v/>
      </c>
      <c r="G4218" s="2" t="str">
        <f>IF(Table1[[#This Row],[Is Data Valid]]=TRUE,((Table1[[#This Row],[Birthweight (grams)]]/Table1[[#This Row],[BW_GA]])-1)/(Backend!$B$4/100*Table1[[#This Row],[BW40_3705]]),"")</f>
        <v/>
      </c>
      <c r="H4218" s="7" t="str">
        <f>IF(Table1[[#This Row],[Is Data Valid]]=TRUE,((Table1[[#This Row],[Birthweight (grams)]]*0.9/Table1[[#This Row],[BW_GA]])-1)/(Backend!$B$4/100*Table1[[#This Row],[BW40_3705]]),"")</f>
        <v/>
      </c>
      <c r="I4218" s="7" t="str">
        <f>IF(Table1[[#This Row],[Is Data Valid]]=TRUE,((Table1[[#This Row],[Birthweight (grams)]]*1.1/Table1[[#This Row],[BW_GA]])-1)/(Backend!$B$4/100*Table1[[#This Row],[BW40_3705]]),"")</f>
        <v/>
      </c>
      <c r="J4218" s="7" t="str">
        <f>IF(Table1[[#This Row],[Is Data Valid]]=TRUE,_xlfn.NORM.S.DIST(Table1[[#This Row],[Birthweight Z-Score]],TRUE)*100,"")</f>
        <v/>
      </c>
      <c r="K4218" s="7" t="str">
        <f>IF(Table1[[#This Row],[Is Data Valid]]=TRUE,_xlfn.NORM.S.DIST(Table1[[#This Row],[Birthweight Z-Score (BW-10%)]],TRUE)*100,"")</f>
        <v/>
      </c>
      <c r="L4218" s="7" t="str">
        <f>IF(Table1[[#This Row],[Is Data Valid]]=TRUE,_xlfn.NORM.S.DIST(Table1[[#This Row],[Birthweight Z-Score (BW+10%)]],TRUE)*100,"")</f>
        <v/>
      </c>
    </row>
    <row r="4219" spans="1:12" x14ac:dyDescent="0.35">
      <c r="A4219" s="3"/>
      <c r="B4219" s="2"/>
      <c r="C4219" s="2"/>
      <c r="D4219" s="2" t="b">
        <f>IF(AND(NOT(ISBLANK(Table1[[#This Row],[Fetal Sex (Male, Female or Unknown)]])),ISNUMBER(Table1[[#This Row],[Birthweight (grams)]]),ISNUMBER(Table1[[#This Row],[Gestation (days)]])),TRUE,FALSE)</f>
        <v>0</v>
      </c>
      <c r="E4219" s="2" t="str">
        <f>IF(Table1[[#This Row],[Is Data Valid]]=TRUE,IF(Table1[[#This Row],[Fetal Sex (Male, Female or Unknown)]]="Male",Backend!$C$6,IF(Table1[[#This Row],[Fetal Sex (Male, Female or Unknown)]]="Female",Backend!$C$7,IF(Table1[[#This Row],[Fetal Sex (Male, Female or Unknown)]]="Unknown",Backend!$C$8,"Error"))),"")</f>
        <v/>
      </c>
      <c r="F4219" s="8" t="str">
        <f>IF(Table1[[#This Row],[Is Data Valid]]=TRUE,EXP(0.578+0.332*((Table1[[#This Row],[Gestation (days)]]+0.5)/7)-0.00354*((Table1[[#This Row],[Gestation (days)]]+0.5)/7)^2)*Table1[[#This Row],[BW40_3705]],"")</f>
        <v/>
      </c>
      <c r="G4219" s="2" t="str">
        <f>IF(Table1[[#This Row],[Is Data Valid]]=TRUE,((Table1[[#This Row],[Birthweight (grams)]]/Table1[[#This Row],[BW_GA]])-1)/(Backend!$B$4/100*Table1[[#This Row],[BW40_3705]]),"")</f>
        <v/>
      </c>
      <c r="H4219" s="7" t="str">
        <f>IF(Table1[[#This Row],[Is Data Valid]]=TRUE,((Table1[[#This Row],[Birthweight (grams)]]*0.9/Table1[[#This Row],[BW_GA]])-1)/(Backend!$B$4/100*Table1[[#This Row],[BW40_3705]]),"")</f>
        <v/>
      </c>
      <c r="I4219" s="7" t="str">
        <f>IF(Table1[[#This Row],[Is Data Valid]]=TRUE,((Table1[[#This Row],[Birthweight (grams)]]*1.1/Table1[[#This Row],[BW_GA]])-1)/(Backend!$B$4/100*Table1[[#This Row],[BW40_3705]]),"")</f>
        <v/>
      </c>
      <c r="J4219" s="7" t="str">
        <f>IF(Table1[[#This Row],[Is Data Valid]]=TRUE,_xlfn.NORM.S.DIST(Table1[[#This Row],[Birthweight Z-Score]],TRUE)*100,"")</f>
        <v/>
      </c>
      <c r="K4219" s="7" t="str">
        <f>IF(Table1[[#This Row],[Is Data Valid]]=TRUE,_xlfn.NORM.S.DIST(Table1[[#This Row],[Birthweight Z-Score (BW-10%)]],TRUE)*100,"")</f>
        <v/>
      </c>
      <c r="L4219" s="7" t="str">
        <f>IF(Table1[[#This Row],[Is Data Valid]]=TRUE,_xlfn.NORM.S.DIST(Table1[[#This Row],[Birthweight Z-Score (BW+10%)]],TRUE)*100,"")</f>
        <v/>
      </c>
    </row>
    <row r="4220" spans="1:12" x14ac:dyDescent="0.35">
      <c r="A4220" s="3"/>
      <c r="B4220" s="2"/>
      <c r="C4220" s="2"/>
      <c r="D4220" s="2" t="b">
        <f>IF(AND(NOT(ISBLANK(Table1[[#This Row],[Fetal Sex (Male, Female or Unknown)]])),ISNUMBER(Table1[[#This Row],[Birthweight (grams)]]),ISNUMBER(Table1[[#This Row],[Gestation (days)]])),TRUE,FALSE)</f>
        <v>0</v>
      </c>
      <c r="E4220" s="2" t="str">
        <f>IF(Table1[[#This Row],[Is Data Valid]]=TRUE,IF(Table1[[#This Row],[Fetal Sex (Male, Female or Unknown)]]="Male",Backend!$C$6,IF(Table1[[#This Row],[Fetal Sex (Male, Female or Unknown)]]="Female",Backend!$C$7,IF(Table1[[#This Row],[Fetal Sex (Male, Female or Unknown)]]="Unknown",Backend!$C$8,"Error"))),"")</f>
        <v/>
      </c>
      <c r="F4220" s="8" t="str">
        <f>IF(Table1[[#This Row],[Is Data Valid]]=TRUE,EXP(0.578+0.332*((Table1[[#This Row],[Gestation (days)]]+0.5)/7)-0.00354*((Table1[[#This Row],[Gestation (days)]]+0.5)/7)^2)*Table1[[#This Row],[BW40_3705]],"")</f>
        <v/>
      </c>
      <c r="G4220" s="2" t="str">
        <f>IF(Table1[[#This Row],[Is Data Valid]]=TRUE,((Table1[[#This Row],[Birthweight (grams)]]/Table1[[#This Row],[BW_GA]])-1)/(Backend!$B$4/100*Table1[[#This Row],[BW40_3705]]),"")</f>
        <v/>
      </c>
      <c r="H4220" s="7" t="str">
        <f>IF(Table1[[#This Row],[Is Data Valid]]=TRUE,((Table1[[#This Row],[Birthweight (grams)]]*0.9/Table1[[#This Row],[BW_GA]])-1)/(Backend!$B$4/100*Table1[[#This Row],[BW40_3705]]),"")</f>
        <v/>
      </c>
      <c r="I4220" s="7" t="str">
        <f>IF(Table1[[#This Row],[Is Data Valid]]=TRUE,((Table1[[#This Row],[Birthweight (grams)]]*1.1/Table1[[#This Row],[BW_GA]])-1)/(Backend!$B$4/100*Table1[[#This Row],[BW40_3705]]),"")</f>
        <v/>
      </c>
      <c r="J4220" s="7" t="str">
        <f>IF(Table1[[#This Row],[Is Data Valid]]=TRUE,_xlfn.NORM.S.DIST(Table1[[#This Row],[Birthweight Z-Score]],TRUE)*100,"")</f>
        <v/>
      </c>
      <c r="K4220" s="7" t="str">
        <f>IF(Table1[[#This Row],[Is Data Valid]]=TRUE,_xlfn.NORM.S.DIST(Table1[[#This Row],[Birthweight Z-Score (BW-10%)]],TRUE)*100,"")</f>
        <v/>
      </c>
      <c r="L4220" s="7" t="str">
        <f>IF(Table1[[#This Row],[Is Data Valid]]=TRUE,_xlfn.NORM.S.DIST(Table1[[#This Row],[Birthweight Z-Score (BW+10%)]],TRUE)*100,"")</f>
        <v/>
      </c>
    </row>
    <row r="4221" spans="1:12" x14ac:dyDescent="0.35">
      <c r="A4221" s="3"/>
      <c r="B4221" s="2"/>
      <c r="C4221" s="2"/>
      <c r="D4221" s="2" t="b">
        <f>IF(AND(NOT(ISBLANK(Table1[[#This Row],[Fetal Sex (Male, Female or Unknown)]])),ISNUMBER(Table1[[#This Row],[Birthweight (grams)]]),ISNUMBER(Table1[[#This Row],[Gestation (days)]])),TRUE,FALSE)</f>
        <v>0</v>
      </c>
      <c r="E4221" s="2" t="str">
        <f>IF(Table1[[#This Row],[Is Data Valid]]=TRUE,IF(Table1[[#This Row],[Fetal Sex (Male, Female or Unknown)]]="Male",Backend!$C$6,IF(Table1[[#This Row],[Fetal Sex (Male, Female or Unknown)]]="Female",Backend!$C$7,IF(Table1[[#This Row],[Fetal Sex (Male, Female or Unknown)]]="Unknown",Backend!$C$8,"Error"))),"")</f>
        <v/>
      </c>
      <c r="F4221" s="8" t="str">
        <f>IF(Table1[[#This Row],[Is Data Valid]]=TRUE,EXP(0.578+0.332*((Table1[[#This Row],[Gestation (days)]]+0.5)/7)-0.00354*((Table1[[#This Row],[Gestation (days)]]+0.5)/7)^2)*Table1[[#This Row],[BW40_3705]],"")</f>
        <v/>
      </c>
      <c r="G4221" s="2" t="str">
        <f>IF(Table1[[#This Row],[Is Data Valid]]=TRUE,((Table1[[#This Row],[Birthweight (grams)]]/Table1[[#This Row],[BW_GA]])-1)/(Backend!$B$4/100*Table1[[#This Row],[BW40_3705]]),"")</f>
        <v/>
      </c>
      <c r="H4221" s="7" t="str">
        <f>IF(Table1[[#This Row],[Is Data Valid]]=TRUE,((Table1[[#This Row],[Birthweight (grams)]]*0.9/Table1[[#This Row],[BW_GA]])-1)/(Backend!$B$4/100*Table1[[#This Row],[BW40_3705]]),"")</f>
        <v/>
      </c>
      <c r="I4221" s="7" t="str">
        <f>IF(Table1[[#This Row],[Is Data Valid]]=TRUE,((Table1[[#This Row],[Birthweight (grams)]]*1.1/Table1[[#This Row],[BW_GA]])-1)/(Backend!$B$4/100*Table1[[#This Row],[BW40_3705]]),"")</f>
        <v/>
      </c>
      <c r="J4221" s="7" t="str">
        <f>IF(Table1[[#This Row],[Is Data Valid]]=TRUE,_xlfn.NORM.S.DIST(Table1[[#This Row],[Birthweight Z-Score]],TRUE)*100,"")</f>
        <v/>
      </c>
      <c r="K4221" s="7" t="str">
        <f>IF(Table1[[#This Row],[Is Data Valid]]=TRUE,_xlfn.NORM.S.DIST(Table1[[#This Row],[Birthweight Z-Score (BW-10%)]],TRUE)*100,"")</f>
        <v/>
      </c>
      <c r="L4221" s="7" t="str">
        <f>IF(Table1[[#This Row],[Is Data Valid]]=TRUE,_xlfn.NORM.S.DIST(Table1[[#This Row],[Birthweight Z-Score (BW+10%)]],TRUE)*100,"")</f>
        <v/>
      </c>
    </row>
    <row r="4222" spans="1:12" x14ac:dyDescent="0.35">
      <c r="A4222" s="3"/>
      <c r="B4222" s="2"/>
      <c r="C4222" s="2"/>
      <c r="D4222" s="2" t="b">
        <f>IF(AND(NOT(ISBLANK(Table1[[#This Row],[Fetal Sex (Male, Female or Unknown)]])),ISNUMBER(Table1[[#This Row],[Birthweight (grams)]]),ISNUMBER(Table1[[#This Row],[Gestation (days)]])),TRUE,FALSE)</f>
        <v>0</v>
      </c>
      <c r="E4222" s="2" t="str">
        <f>IF(Table1[[#This Row],[Is Data Valid]]=TRUE,IF(Table1[[#This Row],[Fetal Sex (Male, Female or Unknown)]]="Male",Backend!$C$6,IF(Table1[[#This Row],[Fetal Sex (Male, Female or Unknown)]]="Female",Backend!$C$7,IF(Table1[[#This Row],[Fetal Sex (Male, Female or Unknown)]]="Unknown",Backend!$C$8,"Error"))),"")</f>
        <v/>
      </c>
      <c r="F4222" s="8" t="str">
        <f>IF(Table1[[#This Row],[Is Data Valid]]=TRUE,EXP(0.578+0.332*((Table1[[#This Row],[Gestation (days)]]+0.5)/7)-0.00354*((Table1[[#This Row],[Gestation (days)]]+0.5)/7)^2)*Table1[[#This Row],[BW40_3705]],"")</f>
        <v/>
      </c>
      <c r="G4222" s="2" t="str">
        <f>IF(Table1[[#This Row],[Is Data Valid]]=TRUE,((Table1[[#This Row],[Birthweight (grams)]]/Table1[[#This Row],[BW_GA]])-1)/(Backend!$B$4/100*Table1[[#This Row],[BW40_3705]]),"")</f>
        <v/>
      </c>
      <c r="H4222" s="7" t="str">
        <f>IF(Table1[[#This Row],[Is Data Valid]]=TRUE,((Table1[[#This Row],[Birthweight (grams)]]*0.9/Table1[[#This Row],[BW_GA]])-1)/(Backend!$B$4/100*Table1[[#This Row],[BW40_3705]]),"")</f>
        <v/>
      </c>
      <c r="I4222" s="7" t="str">
        <f>IF(Table1[[#This Row],[Is Data Valid]]=TRUE,((Table1[[#This Row],[Birthweight (grams)]]*1.1/Table1[[#This Row],[BW_GA]])-1)/(Backend!$B$4/100*Table1[[#This Row],[BW40_3705]]),"")</f>
        <v/>
      </c>
      <c r="J4222" s="7" t="str">
        <f>IF(Table1[[#This Row],[Is Data Valid]]=TRUE,_xlfn.NORM.S.DIST(Table1[[#This Row],[Birthweight Z-Score]],TRUE)*100,"")</f>
        <v/>
      </c>
      <c r="K4222" s="7" t="str">
        <f>IF(Table1[[#This Row],[Is Data Valid]]=TRUE,_xlfn.NORM.S.DIST(Table1[[#This Row],[Birthweight Z-Score (BW-10%)]],TRUE)*100,"")</f>
        <v/>
      </c>
      <c r="L4222" s="7" t="str">
        <f>IF(Table1[[#This Row],[Is Data Valid]]=TRUE,_xlfn.NORM.S.DIST(Table1[[#This Row],[Birthweight Z-Score (BW+10%)]],TRUE)*100,"")</f>
        <v/>
      </c>
    </row>
    <row r="4223" spans="1:12" x14ac:dyDescent="0.35">
      <c r="A4223" s="3"/>
      <c r="B4223" s="2"/>
      <c r="C4223" s="2"/>
      <c r="D4223" s="2" t="b">
        <f>IF(AND(NOT(ISBLANK(Table1[[#This Row],[Fetal Sex (Male, Female or Unknown)]])),ISNUMBER(Table1[[#This Row],[Birthweight (grams)]]),ISNUMBER(Table1[[#This Row],[Gestation (days)]])),TRUE,FALSE)</f>
        <v>0</v>
      </c>
      <c r="E4223" s="2" t="str">
        <f>IF(Table1[[#This Row],[Is Data Valid]]=TRUE,IF(Table1[[#This Row],[Fetal Sex (Male, Female or Unknown)]]="Male",Backend!$C$6,IF(Table1[[#This Row],[Fetal Sex (Male, Female or Unknown)]]="Female",Backend!$C$7,IF(Table1[[#This Row],[Fetal Sex (Male, Female or Unknown)]]="Unknown",Backend!$C$8,"Error"))),"")</f>
        <v/>
      </c>
      <c r="F4223" s="8" t="str">
        <f>IF(Table1[[#This Row],[Is Data Valid]]=TRUE,EXP(0.578+0.332*((Table1[[#This Row],[Gestation (days)]]+0.5)/7)-0.00354*((Table1[[#This Row],[Gestation (days)]]+0.5)/7)^2)*Table1[[#This Row],[BW40_3705]],"")</f>
        <v/>
      </c>
      <c r="G4223" s="2" t="str">
        <f>IF(Table1[[#This Row],[Is Data Valid]]=TRUE,((Table1[[#This Row],[Birthweight (grams)]]/Table1[[#This Row],[BW_GA]])-1)/(Backend!$B$4/100*Table1[[#This Row],[BW40_3705]]),"")</f>
        <v/>
      </c>
      <c r="H4223" s="7" t="str">
        <f>IF(Table1[[#This Row],[Is Data Valid]]=TRUE,((Table1[[#This Row],[Birthweight (grams)]]*0.9/Table1[[#This Row],[BW_GA]])-1)/(Backend!$B$4/100*Table1[[#This Row],[BW40_3705]]),"")</f>
        <v/>
      </c>
      <c r="I4223" s="7" t="str">
        <f>IF(Table1[[#This Row],[Is Data Valid]]=TRUE,((Table1[[#This Row],[Birthweight (grams)]]*1.1/Table1[[#This Row],[BW_GA]])-1)/(Backend!$B$4/100*Table1[[#This Row],[BW40_3705]]),"")</f>
        <v/>
      </c>
      <c r="J4223" s="7" t="str">
        <f>IF(Table1[[#This Row],[Is Data Valid]]=TRUE,_xlfn.NORM.S.DIST(Table1[[#This Row],[Birthweight Z-Score]],TRUE)*100,"")</f>
        <v/>
      </c>
      <c r="K4223" s="7" t="str">
        <f>IF(Table1[[#This Row],[Is Data Valid]]=TRUE,_xlfn.NORM.S.DIST(Table1[[#This Row],[Birthweight Z-Score (BW-10%)]],TRUE)*100,"")</f>
        <v/>
      </c>
      <c r="L4223" s="7" t="str">
        <f>IF(Table1[[#This Row],[Is Data Valid]]=TRUE,_xlfn.NORM.S.DIST(Table1[[#This Row],[Birthweight Z-Score (BW+10%)]],TRUE)*100,"")</f>
        <v/>
      </c>
    </row>
    <row r="4224" spans="1:12" x14ac:dyDescent="0.35">
      <c r="A4224" s="3"/>
      <c r="B4224" s="2"/>
      <c r="C4224" s="2"/>
      <c r="D4224" s="2" t="b">
        <f>IF(AND(NOT(ISBLANK(Table1[[#This Row],[Fetal Sex (Male, Female or Unknown)]])),ISNUMBER(Table1[[#This Row],[Birthweight (grams)]]),ISNUMBER(Table1[[#This Row],[Gestation (days)]])),TRUE,FALSE)</f>
        <v>0</v>
      </c>
      <c r="E4224" s="2" t="str">
        <f>IF(Table1[[#This Row],[Is Data Valid]]=TRUE,IF(Table1[[#This Row],[Fetal Sex (Male, Female or Unknown)]]="Male",Backend!$C$6,IF(Table1[[#This Row],[Fetal Sex (Male, Female or Unknown)]]="Female",Backend!$C$7,IF(Table1[[#This Row],[Fetal Sex (Male, Female or Unknown)]]="Unknown",Backend!$C$8,"Error"))),"")</f>
        <v/>
      </c>
      <c r="F4224" s="8" t="str">
        <f>IF(Table1[[#This Row],[Is Data Valid]]=TRUE,EXP(0.578+0.332*((Table1[[#This Row],[Gestation (days)]]+0.5)/7)-0.00354*((Table1[[#This Row],[Gestation (days)]]+0.5)/7)^2)*Table1[[#This Row],[BW40_3705]],"")</f>
        <v/>
      </c>
      <c r="G4224" s="2" t="str">
        <f>IF(Table1[[#This Row],[Is Data Valid]]=TRUE,((Table1[[#This Row],[Birthweight (grams)]]/Table1[[#This Row],[BW_GA]])-1)/(Backend!$B$4/100*Table1[[#This Row],[BW40_3705]]),"")</f>
        <v/>
      </c>
      <c r="H4224" s="7" t="str">
        <f>IF(Table1[[#This Row],[Is Data Valid]]=TRUE,((Table1[[#This Row],[Birthweight (grams)]]*0.9/Table1[[#This Row],[BW_GA]])-1)/(Backend!$B$4/100*Table1[[#This Row],[BW40_3705]]),"")</f>
        <v/>
      </c>
      <c r="I4224" s="7" t="str">
        <f>IF(Table1[[#This Row],[Is Data Valid]]=TRUE,((Table1[[#This Row],[Birthweight (grams)]]*1.1/Table1[[#This Row],[BW_GA]])-1)/(Backend!$B$4/100*Table1[[#This Row],[BW40_3705]]),"")</f>
        <v/>
      </c>
      <c r="J4224" s="7" t="str">
        <f>IF(Table1[[#This Row],[Is Data Valid]]=TRUE,_xlfn.NORM.S.DIST(Table1[[#This Row],[Birthweight Z-Score]],TRUE)*100,"")</f>
        <v/>
      </c>
      <c r="K4224" s="7" t="str">
        <f>IF(Table1[[#This Row],[Is Data Valid]]=TRUE,_xlfn.NORM.S.DIST(Table1[[#This Row],[Birthweight Z-Score (BW-10%)]],TRUE)*100,"")</f>
        <v/>
      </c>
      <c r="L4224" s="7" t="str">
        <f>IF(Table1[[#This Row],[Is Data Valid]]=TRUE,_xlfn.NORM.S.DIST(Table1[[#This Row],[Birthweight Z-Score (BW+10%)]],TRUE)*100,"")</f>
        <v/>
      </c>
    </row>
    <row r="4225" spans="1:12" x14ac:dyDescent="0.35">
      <c r="A4225" s="3"/>
      <c r="B4225" s="2"/>
      <c r="C4225" s="2"/>
      <c r="D4225" s="2" t="b">
        <f>IF(AND(NOT(ISBLANK(Table1[[#This Row],[Fetal Sex (Male, Female or Unknown)]])),ISNUMBER(Table1[[#This Row],[Birthweight (grams)]]),ISNUMBER(Table1[[#This Row],[Gestation (days)]])),TRUE,FALSE)</f>
        <v>0</v>
      </c>
      <c r="E4225" s="2" t="str">
        <f>IF(Table1[[#This Row],[Is Data Valid]]=TRUE,IF(Table1[[#This Row],[Fetal Sex (Male, Female or Unknown)]]="Male",Backend!$C$6,IF(Table1[[#This Row],[Fetal Sex (Male, Female or Unknown)]]="Female",Backend!$C$7,IF(Table1[[#This Row],[Fetal Sex (Male, Female or Unknown)]]="Unknown",Backend!$C$8,"Error"))),"")</f>
        <v/>
      </c>
      <c r="F4225" s="8" t="str">
        <f>IF(Table1[[#This Row],[Is Data Valid]]=TRUE,EXP(0.578+0.332*((Table1[[#This Row],[Gestation (days)]]+0.5)/7)-0.00354*((Table1[[#This Row],[Gestation (days)]]+0.5)/7)^2)*Table1[[#This Row],[BW40_3705]],"")</f>
        <v/>
      </c>
      <c r="G4225" s="2" t="str">
        <f>IF(Table1[[#This Row],[Is Data Valid]]=TRUE,((Table1[[#This Row],[Birthweight (grams)]]/Table1[[#This Row],[BW_GA]])-1)/(Backend!$B$4/100*Table1[[#This Row],[BW40_3705]]),"")</f>
        <v/>
      </c>
      <c r="H4225" s="7" t="str">
        <f>IF(Table1[[#This Row],[Is Data Valid]]=TRUE,((Table1[[#This Row],[Birthweight (grams)]]*0.9/Table1[[#This Row],[BW_GA]])-1)/(Backend!$B$4/100*Table1[[#This Row],[BW40_3705]]),"")</f>
        <v/>
      </c>
      <c r="I4225" s="7" t="str">
        <f>IF(Table1[[#This Row],[Is Data Valid]]=TRUE,((Table1[[#This Row],[Birthweight (grams)]]*1.1/Table1[[#This Row],[BW_GA]])-1)/(Backend!$B$4/100*Table1[[#This Row],[BW40_3705]]),"")</f>
        <v/>
      </c>
      <c r="J4225" s="7" t="str">
        <f>IF(Table1[[#This Row],[Is Data Valid]]=TRUE,_xlfn.NORM.S.DIST(Table1[[#This Row],[Birthweight Z-Score]],TRUE)*100,"")</f>
        <v/>
      </c>
      <c r="K4225" s="7" t="str">
        <f>IF(Table1[[#This Row],[Is Data Valid]]=TRUE,_xlfn.NORM.S.DIST(Table1[[#This Row],[Birthweight Z-Score (BW-10%)]],TRUE)*100,"")</f>
        <v/>
      </c>
      <c r="L4225" s="7" t="str">
        <f>IF(Table1[[#This Row],[Is Data Valid]]=TRUE,_xlfn.NORM.S.DIST(Table1[[#This Row],[Birthweight Z-Score (BW+10%)]],TRUE)*100,"")</f>
        <v/>
      </c>
    </row>
    <row r="4226" spans="1:12" x14ac:dyDescent="0.35">
      <c r="A4226" s="3"/>
      <c r="B4226" s="2"/>
      <c r="C4226" s="2"/>
      <c r="D4226" s="2" t="b">
        <f>IF(AND(NOT(ISBLANK(Table1[[#This Row],[Fetal Sex (Male, Female or Unknown)]])),ISNUMBER(Table1[[#This Row],[Birthweight (grams)]]),ISNUMBER(Table1[[#This Row],[Gestation (days)]])),TRUE,FALSE)</f>
        <v>0</v>
      </c>
      <c r="E4226" s="2" t="str">
        <f>IF(Table1[[#This Row],[Is Data Valid]]=TRUE,IF(Table1[[#This Row],[Fetal Sex (Male, Female or Unknown)]]="Male",Backend!$C$6,IF(Table1[[#This Row],[Fetal Sex (Male, Female or Unknown)]]="Female",Backend!$C$7,IF(Table1[[#This Row],[Fetal Sex (Male, Female or Unknown)]]="Unknown",Backend!$C$8,"Error"))),"")</f>
        <v/>
      </c>
      <c r="F4226" s="8" t="str">
        <f>IF(Table1[[#This Row],[Is Data Valid]]=TRUE,EXP(0.578+0.332*((Table1[[#This Row],[Gestation (days)]]+0.5)/7)-0.00354*((Table1[[#This Row],[Gestation (days)]]+0.5)/7)^2)*Table1[[#This Row],[BW40_3705]],"")</f>
        <v/>
      </c>
      <c r="G4226" s="2" t="str">
        <f>IF(Table1[[#This Row],[Is Data Valid]]=TRUE,((Table1[[#This Row],[Birthweight (grams)]]/Table1[[#This Row],[BW_GA]])-1)/(Backend!$B$4/100*Table1[[#This Row],[BW40_3705]]),"")</f>
        <v/>
      </c>
      <c r="H4226" s="7" t="str">
        <f>IF(Table1[[#This Row],[Is Data Valid]]=TRUE,((Table1[[#This Row],[Birthweight (grams)]]*0.9/Table1[[#This Row],[BW_GA]])-1)/(Backend!$B$4/100*Table1[[#This Row],[BW40_3705]]),"")</f>
        <v/>
      </c>
      <c r="I4226" s="7" t="str">
        <f>IF(Table1[[#This Row],[Is Data Valid]]=TRUE,((Table1[[#This Row],[Birthweight (grams)]]*1.1/Table1[[#This Row],[BW_GA]])-1)/(Backend!$B$4/100*Table1[[#This Row],[BW40_3705]]),"")</f>
        <v/>
      </c>
      <c r="J4226" s="7" t="str">
        <f>IF(Table1[[#This Row],[Is Data Valid]]=TRUE,_xlfn.NORM.S.DIST(Table1[[#This Row],[Birthweight Z-Score]],TRUE)*100,"")</f>
        <v/>
      </c>
      <c r="K4226" s="7" t="str">
        <f>IF(Table1[[#This Row],[Is Data Valid]]=TRUE,_xlfn.NORM.S.DIST(Table1[[#This Row],[Birthweight Z-Score (BW-10%)]],TRUE)*100,"")</f>
        <v/>
      </c>
      <c r="L4226" s="7" t="str">
        <f>IF(Table1[[#This Row],[Is Data Valid]]=TRUE,_xlfn.NORM.S.DIST(Table1[[#This Row],[Birthweight Z-Score (BW+10%)]],TRUE)*100,"")</f>
        <v/>
      </c>
    </row>
    <row r="4227" spans="1:12" x14ac:dyDescent="0.35">
      <c r="A4227" s="3"/>
      <c r="B4227" s="2"/>
      <c r="C4227" s="2"/>
      <c r="D4227" s="2" t="b">
        <f>IF(AND(NOT(ISBLANK(Table1[[#This Row],[Fetal Sex (Male, Female or Unknown)]])),ISNUMBER(Table1[[#This Row],[Birthweight (grams)]]),ISNUMBER(Table1[[#This Row],[Gestation (days)]])),TRUE,FALSE)</f>
        <v>0</v>
      </c>
      <c r="E4227" s="2" t="str">
        <f>IF(Table1[[#This Row],[Is Data Valid]]=TRUE,IF(Table1[[#This Row],[Fetal Sex (Male, Female or Unknown)]]="Male",Backend!$C$6,IF(Table1[[#This Row],[Fetal Sex (Male, Female or Unknown)]]="Female",Backend!$C$7,IF(Table1[[#This Row],[Fetal Sex (Male, Female or Unknown)]]="Unknown",Backend!$C$8,"Error"))),"")</f>
        <v/>
      </c>
      <c r="F4227" s="8" t="str">
        <f>IF(Table1[[#This Row],[Is Data Valid]]=TRUE,EXP(0.578+0.332*((Table1[[#This Row],[Gestation (days)]]+0.5)/7)-0.00354*((Table1[[#This Row],[Gestation (days)]]+0.5)/7)^2)*Table1[[#This Row],[BW40_3705]],"")</f>
        <v/>
      </c>
      <c r="G4227" s="2" t="str">
        <f>IF(Table1[[#This Row],[Is Data Valid]]=TRUE,((Table1[[#This Row],[Birthweight (grams)]]/Table1[[#This Row],[BW_GA]])-1)/(Backend!$B$4/100*Table1[[#This Row],[BW40_3705]]),"")</f>
        <v/>
      </c>
      <c r="H4227" s="7" t="str">
        <f>IF(Table1[[#This Row],[Is Data Valid]]=TRUE,((Table1[[#This Row],[Birthweight (grams)]]*0.9/Table1[[#This Row],[BW_GA]])-1)/(Backend!$B$4/100*Table1[[#This Row],[BW40_3705]]),"")</f>
        <v/>
      </c>
      <c r="I4227" s="7" t="str">
        <f>IF(Table1[[#This Row],[Is Data Valid]]=TRUE,((Table1[[#This Row],[Birthweight (grams)]]*1.1/Table1[[#This Row],[BW_GA]])-1)/(Backend!$B$4/100*Table1[[#This Row],[BW40_3705]]),"")</f>
        <v/>
      </c>
      <c r="J4227" s="7" t="str">
        <f>IF(Table1[[#This Row],[Is Data Valid]]=TRUE,_xlfn.NORM.S.DIST(Table1[[#This Row],[Birthweight Z-Score]],TRUE)*100,"")</f>
        <v/>
      </c>
      <c r="K4227" s="7" t="str">
        <f>IF(Table1[[#This Row],[Is Data Valid]]=TRUE,_xlfn.NORM.S.DIST(Table1[[#This Row],[Birthweight Z-Score (BW-10%)]],TRUE)*100,"")</f>
        <v/>
      </c>
      <c r="L4227" s="7" t="str">
        <f>IF(Table1[[#This Row],[Is Data Valid]]=TRUE,_xlfn.NORM.S.DIST(Table1[[#This Row],[Birthweight Z-Score (BW+10%)]],TRUE)*100,"")</f>
        <v/>
      </c>
    </row>
    <row r="4228" spans="1:12" x14ac:dyDescent="0.35">
      <c r="A4228" s="3"/>
      <c r="B4228" s="2"/>
      <c r="C4228" s="2"/>
      <c r="D4228" s="2" t="b">
        <f>IF(AND(NOT(ISBLANK(Table1[[#This Row],[Fetal Sex (Male, Female or Unknown)]])),ISNUMBER(Table1[[#This Row],[Birthweight (grams)]]),ISNUMBER(Table1[[#This Row],[Gestation (days)]])),TRUE,FALSE)</f>
        <v>0</v>
      </c>
      <c r="E4228" s="2" t="str">
        <f>IF(Table1[[#This Row],[Is Data Valid]]=TRUE,IF(Table1[[#This Row],[Fetal Sex (Male, Female or Unknown)]]="Male",Backend!$C$6,IF(Table1[[#This Row],[Fetal Sex (Male, Female or Unknown)]]="Female",Backend!$C$7,IF(Table1[[#This Row],[Fetal Sex (Male, Female or Unknown)]]="Unknown",Backend!$C$8,"Error"))),"")</f>
        <v/>
      </c>
      <c r="F4228" s="8" t="str">
        <f>IF(Table1[[#This Row],[Is Data Valid]]=TRUE,EXP(0.578+0.332*((Table1[[#This Row],[Gestation (days)]]+0.5)/7)-0.00354*((Table1[[#This Row],[Gestation (days)]]+0.5)/7)^2)*Table1[[#This Row],[BW40_3705]],"")</f>
        <v/>
      </c>
      <c r="G4228" s="2" t="str">
        <f>IF(Table1[[#This Row],[Is Data Valid]]=TRUE,((Table1[[#This Row],[Birthweight (grams)]]/Table1[[#This Row],[BW_GA]])-1)/(Backend!$B$4/100*Table1[[#This Row],[BW40_3705]]),"")</f>
        <v/>
      </c>
      <c r="H4228" s="7" t="str">
        <f>IF(Table1[[#This Row],[Is Data Valid]]=TRUE,((Table1[[#This Row],[Birthweight (grams)]]*0.9/Table1[[#This Row],[BW_GA]])-1)/(Backend!$B$4/100*Table1[[#This Row],[BW40_3705]]),"")</f>
        <v/>
      </c>
      <c r="I4228" s="7" t="str">
        <f>IF(Table1[[#This Row],[Is Data Valid]]=TRUE,((Table1[[#This Row],[Birthweight (grams)]]*1.1/Table1[[#This Row],[BW_GA]])-1)/(Backend!$B$4/100*Table1[[#This Row],[BW40_3705]]),"")</f>
        <v/>
      </c>
      <c r="J4228" s="7" t="str">
        <f>IF(Table1[[#This Row],[Is Data Valid]]=TRUE,_xlfn.NORM.S.DIST(Table1[[#This Row],[Birthweight Z-Score]],TRUE)*100,"")</f>
        <v/>
      </c>
      <c r="K4228" s="7" t="str">
        <f>IF(Table1[[#This Row],[Is Data Valid]]=TRUE,_xlfn.NORM.S.DIST(Table1[[#This Row],[Birthweight Z-Score (BW-10%)]],TRUE)*100,"")</f>
        <v/>
      </c>
      <c r="L4228" s="7" t="str">
        <f>IF(Table1[[#This Row],[Is Data Valid]]=TRUE,_xlfn.NORM.S.DIST(Table1[[#This Row],[Birthweight Z-Score (BW+10%)]],TRUE)*100,"")</f>
        <v/>
      </c>
    </row>
    <row r="4229" spans="1:12" x14ac:dyDescent="0.35">
      <c r="A4229" s="3"/>
      <c r="B4229" s="2"/>
      <c r="C4229" s="2"/>
      <c r="D4229" s="2" t="b">
        <f>IF(AND(NOT(ISBLANK(Table1[[#This Row],[Fetal Sex (Male, Female or Unknown)]])),ISNUMBER(Table1[[#This Row],[Birthweight (grams)]]),ISNUMBER(Table1[[#This Row],[Gestation (days)]])),TRUE,FALSE)</f>
        <v>0</v>
      </c>
      <c r="E4229" s="2" t="str">
        <f>IF(Table1[[#This Row],[Is Data Valid]]=TRUE,IF(Table1[[#This Row],[Fetal Sex (Male, Female or Unknown)]]="Male",Backend!$C$6,IF(Table1[[#This Row],[Fetal Sex (Male, Female or Unknown)]]="Female",Backend!$C$7,IF(Table1[[#This Row],[Fetal Sex (Male, Female or Unknown)]]="Unknown",Backend!$C$8,"Error"))),"")</f>
        <v/>
      </c>
      <c r="F4229" s="8" t="str">
        <f>IF(Table1[[#This Row],[Is Data Valid]]=TRUE,EXP(0.578+0.332*((Table1[[#This Row],[Gestation (days)]]+0.5)/7)-0.00354*((Table1[[#This Row],[Gestation (days)]]+0.5)/7)^2)*Table1[[#This Row],[BW40_3705]],"")</f>
        <v/>
      </c>
      <c r="G4229" s="2" t="str">
        <f>IF(Table1[[#This Row],[Is Data Valid]]=TRUE,((Table1[[#This Row],[Birthweight (grams)]]/Table1[[#This Row],[BW_GA]])-1)/(Backend!$B$4/100*Table1[[#This Row],[BW40_3705]]),"")</f>
        <v/>
      </c>
      <c r="H4229" s="7" t="str">
        <f>IF(Table1[[#This Row],[Is Data Valid]]=TRUE,((Table1[[#This Row],[Birthweight (grams)]]*0.9/Table1[[#This Row],[BW_GA]])-1)/(Backend!$B$4/100*Table1[[#This Row],[BW40_3705]]),"")</f>
        <v/>
      </c>
      <c r="I4229" s="7" t="str">
        <f>IF(Table1[[#This Row],[Is Data Valid]]=TRUE,((Table1[[#This Row],[Birthweight (grams)]]*1.1/Table1[[#This Row],[BW_GA]])-1)/(Backend!$B$4/100*Table1[[#This Row],[BW40_3705]]),"")</f>
        <v/>
      </c>
      <c r="J4229" s="7" t="str">
        <f>IF(Table1[[#This Row],[Is Data Valid]]=TRUE,_xlfn.NORM.S.DIST(Table1[[#This Row],[Birthweight Z-Score]],TRUE)*100,"")</f>
        <v/>
      </c>
      <c r="K4229" s="7" t="str">
        <f>IF(Table1[[#This Row],[Is Data Valid]]=TRUE,_xlfn.NORM.S.DIST(Table1[[#This Row],[Birthweight Z-Score (BW-10%)]],TRUE)*100,"")</f>
        <v/>
      </c>
      <c r="L4229" s="7" t="str">
        <f>IF(Table1[[#This Row],[Is Data Valid]]=TRUE,_xlfn.NORM.S.DIST(Table1[[#This Row],[Birthweight Z-Score (BW+10%)]],TRUE)*100,"")</f>
        <v/>
      </c>
    </row>
    <row r="4230" spans="1:12" x14ac:dyDescent="0.35">
      <c r="A4230" s="3"/>
      <c r="B4230" s="2"/>
      <c r="C4230" s="2"/>
      <c r="D4230" s="2" t="b">
        <f>IF(AND(NOT(ISBLANK(Table1[[#This Row],[Fetal Sex (Male, Female or Unknown)]])),ISNUMBER(Table1[[#This Row],[Birthweight (grams)]]),ISNUMBER(Table1[[#This Row],[Gestation (days)]])),TRUE,FALSE)</f>
        <v>0</v>
      </c>
      <c r="E4230" s="2" t="str">
        <f>IF(Table1[[#This Row],[Is Data Valid]]=TRUE,IF(Table1[[#This Row],[Fetal Sex (Male, Female or Unknown)]]="Male",Backend!$C$6,IF(Table1[[#This Row],[Fetal Sex (Male, Female or Unknown)]]="Female",Backend!$C$7,IF(Table1[[#This Row],[Fetal Sex (Male, Female or Unknown)]]="Unknown",Backend!$C$8,"Error"))),"")</f>
        <v/>
      </c>
      <c r="F4230" s="8" t="str">
        <f>IF(Table1[[#This Row],[Is Data Valid]]=TRUE,EXP(0.578+0.332*((Table1[[#This Row],[Gestation (days)]]+0.5)/7)-0.00354*((Table1[[#This Row],[Gestation (days)]]+0.5)/7)^2)*Table1[[#This Row],[BW40_3705]],"")</f>
        <v/>
      </c>
      <c r="G4230" s="2" t="str">
        <f>IF(Table1[[#This Row],[Is Data Valid]]=TRUE,((Table1[[#This Row],[Birthweight (grams)]]/Table1[[#This Row],[BW_GA]])-1)/(Backend!$B$4/100*Table1[[#This Row],[BW40_3705]]),"")</f>
        <v/>
      </c>
      <c r="H4230" s="7" t="str">
        <f>IF(Table1[[#This Row],[Is Data Valid]]=TRUE,((Table1[[#This Row],[Birthweight (grams)]]*0.9/Table1[[#This Row],[BW_GA]])-1)/(Backend!$B$4/100*Table1[[#This Row],[BW40_3705]]),"")</f>
        <v/>
      </c>
      <c r="I4230" s="7" t="str">
        <f>IF(Table1[[#This Row],[Is Data Valid]]=TRUE,((Table1[[#This Row],[Birthweight (grams)]]*1.1/Table1[[#This Row],[BW_GA]])-1)/(Backend!$B$4/100*Table1[[#This Row],[BW40_3705]]),"")</f>
        <v/>
      </c>
      <c r="J4230" s="7" t="str">
        <f>IF(Table1[[#This Row],[Is Data Valid]]=TRUE,_xlfn.NORM.S.DIST(Table1[[#This Row],[Birthweight Z-Score]],TRUE)*100,"")</f>
        <v/>
      </c>
      <c r="K4230" s="7" t="str">
        <f>IF(Table1[[#This Row],[Is Data Valid]]=TRUE,_xlfn.NORM.S.DIST(Table1[[#This Row],[Birthweight Z-Score (BW-10%)]],TRUE)*100,"")</f>
        <v/>
      </c>
      <c r="L4230" s="7" t="str">
        <f>IF(Table1[[#This Row],[Is Data Valid]]=TRUE,_xlfn.NORM.S.DIST(Table1[[#This Row],[Birthweight Z-Score (BW+10%)]],TRUE)*100,"")</f>
        <v/>
      </c>
    </row>
    <row r="4231" spans="1:12" x14ac:dyDescent="0.35">
      <c r="A4231" s="3"/>
      <c r="B4231" s="2"/>
      <c r="C4231" s="2"/>
      <c r="D4231" s="2" t="b">
        <f>IF(AND(NOT(ISBLANK(Table1[[#This Row],[Fetal Sex (Male, Female or Unknown)]])),ISNUMBER(Table1[[#This Row],[Birthweight (grams)]]),ISNUMBER(Table1[[#This Row],[Gestation (days)]])),TRUE,FALSE)</f>
        <v>0</v>
      </c>
      <c r="E4231" s="2" t="str">
        <f>IF(Table1[[#This Row],[Is Data Valid]]=TRUE,IF(Table1[[#This Row],[Fetal Sex (Male, Female or Unknown)]]="Male",Backend!$C$6,IF(Table1[[#This Row],[Fetal Sex (Male, Female or Unknown)]]="Female",Backend!$C$7,IF(Table1[[#This Row],[Fetal Sex (Male, Female or Unknown)]]="Unknown",Backend!$C$8,"Error"))),"")</f>
        <v/>
      </c>
      <c r="F4231" s="8" t="str">
        <f>IF(Table1[[#This Row],[Is Data Valid]]=TRUE,EXP(0.578+0.332*((Table1[[#This Row],[Gestation (days)]]+0.5)/7)-0.00354*((Table1[[#This Row],[Gestation (days)]]+0.5)/7)^2)*Table1[[#This Row],[BW40_3705]],"")</f>
        <v/>
      </c>
      <c r="G4231" s="2" t="str">
        <f>IF(Table1[[#This Row],[Is Data Valid]]=TRUE,((Table1[[#This Row],[Birthweight (grams)]]/Table1[[#This Row],[BW_GA]])-1)/(Backend!$B$4/100*Table1[[#This Row],[BW40_3705]]),"")</f>
        <v/>
      </c>
      <c r="H4231" s="7" t="str">
        <f>IF(Table1[[#This Row],[Is Data Valid]]=TRUE,((Table1[[#This Row],[Birthweight (grams)]]*0.9/Table1[[#This Row],[BW_GA]])-1)/(Backend!$B$4/100*Table1[[#This Row],[BW40_3705]]),"")</f>
        <v/>
      </c>
      <c r="I4231" s="7" t="str">
        <f>IF(Table1[[#This Row],[Is Data Valid]]=TRUE,((Table1[[#This Row],[Birthweight (grams)]]*1.1/Table1[[#This Row],[BW_GA]])-1)/(Backend!$B$4/100*Table1[[#This Row],[BW40_3705]]),"")</f>
        <v/>
      </c>
      <c r="J4231" s="7" t="str">
        <f>IF(Table1[[#This Row],[Is Data Valid]]=TRUE,_xlfn.NORM.S.DIST(Table1[[#This Row],[Birthweight Z-Score]],TRUE)*100,"")</f>
        <v/>
      </c>
      <c r="K4231" s="7" t="str">
        <f>IF(Table1[[#This Row],[Is Data Valid]]=TRUE,_xlfn.NORM.S.DIST(Table1[[#This Row],[Birthweight Z-Score (BW-10%)]],TRUE)*100,"")</f>
        <v/>
      </c>
      <c r="L4231" s="7" t="str">
        <f>IF(Table1[[#This Row],[Is Data Valid]]=TRUE,_xlfn.NORM.S.DIST(Table1[[#This Row],[Birthweight Z-Score (BW+10%)]],TRUE)*100,"")</f>
        <v/>
      </c>
    </row>
    <row r="4232" spans="1:12" x14ac:dyDescent="0.35">
      <c r="A4232" s="3"/>
      <c r="B4232" s="2"/>
      <c r="C4232" s="2"/>
      <c r="D4232" s="2" t="b">
        <f>IF(AND(NOT(ISBLANK(Table1[[#This Row],[Fetal Sex (Male, Female or Unknown)]])),ISNUMBER(Table1[[#This Row],[Birthweight (grams)]]),ISNUMBER(Table1[[#This Row],[Gestation (days)]])),TRUE,FALSE)</f>
        <v>0</v>
      </c>
      <c r="E4232" s="2" t="str">
        <f>IF(Table1[[#This Row],[Is Data Valid]]=TRUE,IF(Table1[[#This Row],[Fetal Sex (Male, Female or Unknown)]]="Male",Backend!$C$6,IF(Table1[[#This Row],[Fetal Sex (Male, Female or Unknown)]]="Female",Backend!$C$7,IF(Table1[[#This Row],[Fetal Sex (Male, Female or Unknown)]]="Unknown",Backend!$C$8,"Error"))),"")</f>
        <v/>
      </c>
      <c r="F4232" s="8" t="str">
        <f>IF(Table1[[#This Row],[Is Data Valid]]=TRUE,EXP(0.578+0.332*((Table1[[#This Row],[Gestation (days)]]+0.5)/7)-0.00354*((Table1[[#This Row],[Gestation (days)]]+0.5)/7)^2)*Table1[[#This Row],[BW40_3705]],"")</f>
        <v/>
      </c>
      <c r="G4232" s="2" t="str">
        <f>IF(Table1[[#This Row],[Is Data Valid]]=TRUE,((Table1[[#This Row],[Birthweight (grams)]]/Table1[[#This Row],[BW_GA]])-1)/(Backend!$B$4/100*Table1[[#This Row],[BW40_3705]]),"")</f>
        <v/>
      </c>
      <c r="H4232" s="7" t="str">
        <f>IF(Table1[[#This Row],[Is Data Valid]]=TRUE,((Table1[[#This Row],[Birthweight (grams)]]*0.9/Table1[[#This Row],[BW_GA]])-1)/(Backend!$B$4/100*Table1[[#This Row],[BW40_3705]]),"")</f>
        <v/>
      </c>
      <c r="I4232" s="7" t="str">
        <f>IF(Table1[[#This Row],[Is Data Valid]]=TRUE,((Table1[[#This Row],[Birthweight (grams)]]*1.1/Table1[[#This Row],[BW_GA]])-1)/(Backend!$B$4/100*Table1[[#This Row],[BW40_3705]]),"")</f>
        <v/>
      </c>
      <c r="J4232" s="7" t="str">
        <f>IF(Table1[[#This Row],[Is Data Valid]]=TRUE,_xlfn.NORM.S.DIST(Table1[[#This Row],[Birthweight Z-Score]],TRUE)*100,"")</f>
        <v/>
      </c>
      <c r="K4232" s="7" t="str">
        <f>IF(Table1[[#This Row],[Is Data Valid]]=TRUE,_xlfn.NORM.S.DIST(Table1[[#This Row],[Birthweight Z-Score (BW-10%)]],TRUE)*100,"")</f>
        <v/>
      </c>
      <c r="L4232" s="7" t="str">
        <f>IF(Table1[[#This Row],[Is Data Valid]]=TRUE,_xlfn.NORM.S.DIST(Table1[[#This Row],[Birthweight Z-Score (BW+10%)]],TRUE)*100,"")</f>
        <v/>
      </c>
    </row>
    <row r="4233" spans="1:12" x14ac:dyDescent="0.35">
      <c r="A4233" s="3"/>
      <c r="B4233" s="2"/>
      <c r="C4233" s="2"/>
      <c r="D4233" s="2" t="b">
        <f>IF(AND(NOT(ISBLANK(Table1[[#This Row],[Fetal Sex (Male, Female or Unknown)]])),ISNUMBER(Table1[[#This Row],[Birthweight (grams)]]),ISNUMBER(Table1[[#This Row],[Gestation (days)]])),TRUE,FALSE)</f>
        <v>0</v>
      </c>
      <c r="E4233" s="2" t="str">
        <f>IF(Table1[[#This Row],[Is Data Valid]]=TRUE,IF(Table1[[#This Row],[Fetal Sex (Male, Female or Unknown)]]="Male",Backend!$C$6,IF(Table1[[#This Row],[Fetal Sex (Male, Female or Unknown)]]="Female",Backend!$C$7,IF(Table1[[#This Row],[Fetal Sex (Male, Female or Unknown)]]="Unknown",Backend!$C$8,"Error"))),"")</f>
        <v/>
      </c>
      <c r="F4233" s="8" t="str">
        <f>IF(Table1[[#This Row],[Is Data Valid]]=TRUE,EXP(0.578+0.332*((Table1[[#This Row],[Gestation (days)]]+0.5)/7)-0.00354*((Table1[[#This Row],[Gestation (days)]]+0.5)/7)^2)*Table1[[#This Row],[BW40_3705]],"")</f>
        <v/>
      </c>
      <c r="G4233" s="2" t="str">
        <f>IF(Table1[[#This Row],[Is Data Valid]]=TRUE,((Table1[[#This Row],[Birthweight (grams)]]/Table1[[#This Row],[BW_GA]])-1)/(Backend!$B$4/100*Table1[[#This Row],[BW40_3705]]),"")</f>
        <v/>
      </c>
      <c r="H4233" s="7" t="str">
        <f>IF(Table1[[#This Row],[Is Data Valid]]=TRUE,((Table1[[#This Row],[Birthweight (grams)]]*0.9/Table1[[#This Row],[BW_GA]])-1)/(Backend!$B$4/100*Table1[[#This Row],[BW40_3705]]),"")</f>
        <v/>
      </c>
      <c r="I4233" s="7" t="str">
        <f>IF(Table1[[#This Row],[Is Data Valid]]=TRUE,((Table1[[#This Row],[Birthweight (grams)]]*1.1/Table1[[#This Row],[BW_GA]])-1)/(Backend!$B$4/100*Table1[[#This Row],[BW40_3705]]),"")</f>
        <v/>
      </c>
      <c r="J4233" s="7" t="str">
        <f>IF(Table1[[#This Row],[Is Data Valid]]=TRUE,_xlfn.NORM.S.DIST(Table1[[#This Row],[Birthweight Z-Score]],TRUE)*100,"")</f>
        <v/>
      </c>
      <c r="K4233" s="7" t="str">
        <f>IF(Table1[[#This Row],[Is Data Valid]]=TRUE,_xlfn.NORM.S.DIST(Table1[[#This Row],[Birthweight Z-Score (BW-10%)]],TRUE)*100,"")</f>
        <v/>
      </c>
      <c r="L4233" s="7" t="str">
        <f>IF(Table1[[#This Row],[Is Data Valid]]=TRUE,_xlfn.NORM.S.DIST(Table1[[#This Row],[Birthweight Z-Score (BW+10%)]],TRUE)*100,"")</f>
        <v/>
      </c>
    </row>
    <row r="4234" spans="1:12" x14ac:dyDescent="0.35">
      <c r="A4234" s="3"/>
      <c r="B4234" s="2"/>
      <c r="C4234" s="2"/>
      <c r="D4234" s="2" t="b">
        <f>IF(AND(NOT(ISBLANK(Table1[[#This Row],[Fetal Sex (Male, Female or Unknown)]])),ISNUMBER(Table1[[#This Row],[Birthweight (grams)]]),ISNUMBER(Table1[[#This Row],[Gestation (days)]])),TRUE,FALSE)</f>
        <v>0</v>
      </c>
      <c r="E4234" s="2" t="str">
        <f>IF(Table1[[#This Row],[Is Data Valid]]=TRUE,IF(Table1[[#This Row],[Fetal Sex (Male, Female or Unknown)]]="Male",Backend!$C$6,IF(Table1[[#This Row],[Fetal Sex (Male, Female or Unknown)]]="Female",Backend!$C$7,IF(Table1[[#This Row],[Fetal Sex (Male, Female or Unknown)]]="Unknown",Backend!$C$8,"Error"))),"")</f>
        <v/>
      </c>
      <c r="F4234" s="8" t="str">
        <f>IF(Table1[[#This Row],[Is Data Valid]]=TRUE,EXP(0.578+0.332*((Table1[[#This Row],[Gestation (days)]]+0.5)/7)-0.00354*((Table1[[#This Row],[Gestation (days)]]+0.5)/7)^2)*Table1[[#This Row],[BW40_3705]],"")</f>
        <v/>
      </c>
      <c r="G4234" s="2" t="str">
        <f>IF(Table1[[#This Row],[Is Data Valid]]=TRUE,((Table1[[#This Row],[Birthweight (grams)]]/Table1[[#This Row],[BW_GA]])-1)/(Backend!$B$4/100*Table1[[#This Row],[BW40_3705]]),"")</f>
        <v/>
      </c>
      <c r="H4234" s="7" t="str">
        <f>IF(Table1[[#This Row],[Is Data Valid]]=TRUE,((Table1[[#This Row],[Birthweight (grams)]]*0.9/Table1[[#This Row],[BW_GA]])-1)/(Backend!$B$4/100*Table1[[#This Row],[BW40_3705]]),"")</f>
        <v/>
      </c>
      <c r="I4234" s="7" t="str">
        <f>IF(Table1[[#This Row],[Is Data Valid]]=TRUE,((Table1[[#This Row],[Birthweight (grams)]]*1.1/Table1[[#This Row],[BW_GA]])-1)/(Backend!$B$4/100*Table1[[#This Row],[BW40_3705]]),"")</f>
        <v/>
      </c>
      <c r="J4234" s="7" t="str">
        <f>IF(Table1[[#This Row],[Is Data Valid]]=TRUE,_xlfn.NORM.S.DIST(Table1[[#This Row],[Birthweight Z-Score]],TRUE)*100,"")</f>
        <v/>
      </c>
      <c r="K4234" s="7" t="str">
        <f>IF(Table1[[#This Row],[Is Data Valid]]=TRUE,_xlfn.NORM.S.DIST(Table1[[#This Row],[Birthweight Z-Score (BW-10%)]],TRUE)*100,"")</f>
        <v/>
      </c>
      <c r="L4234" s="7" t="str">
        <f>IF(Table1[[#This Row],[Is Data Valid]]=TRUE,_xlfn.NORM.S.DIST(Table1[[#This Row],[Birthweight Z-Score (BW+10%)]],TRUE)*100,"")</f>
        <v/>
      </c>
    </row>
    <row r="4235" spans="1:12" x14ac:dyDescent="0.35">
      <c r="A4235" s="3"/>
      <c r="B4235" s="2"/>
      <c r="C4235" s="2"/>
      <c r="D4235" s="2" t="b">
        <f>IF(AND(NOT(ISBLANK(Table1[[#This Row],[Fetal Sex (Male, Female or Unknown)]])),ISNUMBER(Table1[[#This Row],[Birthweight (grams)]]),ISNUMBER(Table1[[#This Row],[Gestation (days)]])),TRUE,FALSE)</f>
        <v>0</v>
      </c>
      <c r="E4235" s="2" t="str">
        <f>IF(Table1[[#This Row],[Is Data Valid]]=TRUE,IF(Table1[[#This Row],[Fetal Sex (Male, Female or Unknown)]]="Male",Backend!$C$6,IF(Table1[[#This Row],[Fetal Sex (Male, Female or Unknown)]]="Female",Backend!$C$7,IF(Table1[[#This Row],[Fetal Sex (Male, Female or Unknown)]]="Unknown",Backend!$C$8,"Error"))),"")</f>
        <v/>
      </c>
      <c r="F4235" s="8" t="str">
        <f>IF(Table1[[#This Row],[Is Data Valid]]=TRUE,EXP(0.578+0.332*((Table1[[#This Row],[Gestation (days)]]+0.5)/7)-0.00354*((Table1[[#This Row],[Gestation (days)]]+0.5)/7)^2)*Table1[[#This Row],[BW40_3705]],"")</f>
        <v/>
      </c>
      <c r="G4235" s="2" t="str">
        <f>IF(Table1[[#This Row],[Is Data Valid]]=TRUE,((Table1[[#This Row],[Birthweight (grams)]]/Table1[[#This Row],[BW_GA]])-1)/(Backend!$B$4/100*Table1[[#This Row],[BW40_3705]]),"")</f>
        <v/>
      </c>
      <c r="H4235" s="7" t="str">
        <f>IF(Table1[[#This Row],[Is Data Valid]]=TRUE,((Table1[[#This Row],[Birthweight (grams)]]*0.9/Table1[[#This Row],[BW_GA]])-1)/(Backend!$B$4/100*Table1[[#This Row],[BW40_3705]]),"")</f>
        <v/>
      </c>
      <c r="I4235" s="7" t="str">
        <f>IF(Table1[[#This Row],[Is Data Valid]]=TRUE,((Table1[[#This Row],[Birthweight (grams)]]*1.1/Table1[[#This Row],[BW_GA]])-1)/(Backend!$B$4/100*Table1[[#This Row],[BW40_3705]]),"")</f>
        <v/>
      </c>
      <c r="J4235" s="7" t="str">
        <f>IF(Table1[[#This Row],[Is Data Valid]]=TRUE,_xlfn.NORM.S.DIST(Table1[[#This Row],[Birthweight Z-Score]],TRUE)*100,"")</f>
        <v/>
      </c>
      <c r="K4235" s="7" t="str">
        <f>IF(Table1[[#This Row],[Is Data Valid]]=TRUE,_xlfn.NORM.S.DIST(Table1[[#This Row],[Birthweight Z-Score (BW-10%)]],TRUE)*100,"")</f>
        <v/>
      </c>
      <c r="L4235" s="7" t="str">
        <f>IF(Table1[[#This Row],[Is Data Valid]]=TRUE,_xlfn.NORM.S.DIST(Table1[[#This Row],[Birthweight Z-Score (BW+10%)]],TRUE)*100,"")</f>
        <v/>
      </c>
    </row>
    <row r="4236" spans="1:12" x14ac:dyDescent="0.35">
      <c r="A4236" s="3"/>
      <c r="B4236" s="2"/>
      <c r="C4236" s="2"/>
      <c r="D4236" s="2" t="b">
        <f>IF(AND(NOT(ISBLANK(Table1[[#This Row],[Fetal Sex (Male, Female or Unknown)]])),ISNUMBER(Table1[[#This Row],[Birthweight (grams)]]),ISNUMBER(Table1[[#This Row],[Gestation (days)]])),TRUE,FALSE)</f>
        <v>0</v>
      </c>
      <c r="E4236" s="2" t="str">
        <f>IF(Table1[[#This Row],[Is Data Valid]]=TRUE,IF(Table1[[#This Row],[Fetal Sex (Male, Female or Unknown)]]="Male",Backend!$C$6,IF(Table1[[#This Row],[Fetal Sex (Male, Female or Unknown)]]="Female",Backend!$C$7,IF(Table1[[#This Row],[Fetal Sex (Male, Female or Unknown)]]="Unknown",Backend!$C$8,"Error"))),"")</f>
        <v/>
      </c>
      <c r="F4236" s="8" t="str">
        <f>IF(Table1[[#This Row],[Is Data Valid]]=TRUE,EXP(0.578+0.332*((Table1[[#This Row],[Gestation (days)]]+0.5)/7)-0.00354*((Table1[[#This Row],[Gestation (days)]]+0.5)/7)^2)*Table1[[#This Row],[BW40_3705]],"")</f>
        <v/>
      </c>
      <c r="G4236" s="2" t="str">
        <f>IF(Table1[[#This Row],[Is Data Valid]]=TRUE,((Table1[[#This Row],[Birthweight (grams)]]/Table1[[#This Row],[BW_GA]])-1)/(Backend!$B$4/100*Table1[[#This Row],[BW40_3705]]),"")</f>
        <v/>
      </c>
      <c r="H4236" s="7" t="str">
        <f>IF(Table1[[#This Row],[Is Data Valid]]=TRUE,((Table1[[#This Row],[Birthweight (grams)]]*0.9/Table1[[#This Row],[BW_GA]])-1)/(Backend!$B$4/100*Table1[[#This Row],[BW40_3705]]),"")</f>
        <v/>
      </c>
      <c r="I4236" s="7" t="str">
        <f>IF(Table1[[#This Row],[Is Data Valid]]=TRUE,((Table1[[#This Row],[Birthweight (grams)]]*1.1/Table1[[#This Row],[BW_GA]])-1)/(Backend!$B$4/100*Table1[[#This Row],[BW40_3705]]),"")</f>
        <v/>
      </c>
      <c r="J4236" s="7" t="str">
        <f>IF(Table1[[#This Row],[Is Data Valid]]=TRUE,_xlfn.NORM.S.DIST(Table1[[#This Row],[Birthweight Z-Score]],TRUE)*100,"")</f>
        <v/>
      </c>
      <c r="K4236" s="7" t="str">
        <f>IF(Table1[[#This Row],[Is Data Valid]]=TRUE,_xlfn.NORM.S.DIST(Table1[[#This Row],[Birthweight Z-Score (BW-10%)]],TRUE)*100,"")</f>
        <v/>
      </c>
      <c r="L4236" s="7" t="str">
        <f>IF(Table1[[#This Row],[Is Data Valid]]=TRUE,_xlfn.NORM.S.DIST(Table1[[#This Row],[Birthweight Z-Score (BW+10%)]],TRUE)*100,"")</f>
        <v/>
      </c>
    </row>
    <row r="4237" spans="1:12" x14ac:dyDescent="0.35">
      <c r="A4237" s="3"/>
      <c r="B4237" s="2"/>
      <c r="C4237" s="2"/>
      <c r="D4237" s="2" t="b">
        <f>IF(AND(NOT(ISBLANK(Table1[[#This Row],[Fetal Sex (Male, Female or Unknown)]])),ISNUMBER(Table1[[#This Row],[Birthweight (grams)]]),ISNUMBER(Table1[[#This Row],[Gestation (days)]])),TRUE,FALSE)</f>
        <v>0</v>
      </c>
      <c r="E4237" s="2" t="str">
        <f>IF(Table1[[#This Row],[Is Data Valid]]=TRUE,IF(Table1[[#This Row],[Fetal Sex (Male, Female or Unknown)]]="Male",Backend!$C$6,IF(Table1[[#This Row],[Fetal Sex (Male, Female or Unknown)]]="Female",Backend!$C$7,IF(Table1[[#This Row],[Fetal Sex (Male, Female or Unknown)]]="Unknown",Backend!$C$8,"Error"))),"")</f>
        <v/>
      </c>
      <c r="F4237" s="8" t="str">
        <f>IF(Table1[[#This Row],[Is Data Valid]]=TRUE,EXP(0.578+0.332*((Table1[[#This Row],[Gestation (days)]]+0.5)/7)-0.00354*((Table1[[#This Row],[Gestation (days)]]+0.5)/7)^2)*Table1[[#This Row],[BW40_3705]],"")</f>
        <v/>
      </c>
      <c r="G4237" s="2" t="str">
        <f>IF(Table1[[#This Row],[Is Data Valid]]=TRUE,((Table1[[#This Row],[Birthweight (grams)]]/Table1[[#This Row],[BW_GA]])-1)/(Backend!$B$4/100*Table1[[#This Row],[BW40_3705]]),"")</f>
        <v/>
      </c>
      <c r="H4237" s="7" t="str">
        <f>IF(Table1[[#This Row],[Is Data Valid]]=TRUE,((Table1[[#This Row],[Birthweight (grams)]]*0.9/Table1[[#This Row],[BW_GA]])-1)/(Backend!$B$4/100*Table1[[#This Row],[BW40_3705]]),"")</f>
        <v/>
      </c>
      <c r="I4237" s="7" t="str">
        <f>IF(Table1[[#This Row],[Is Data Valid]]=TRUE,((Table1[[#This Row],[Birthweight (grams)]]*1.1/Table1[[#This Row],[BW_GA]])-1)/(Backend!$B$4/100*Table1[[#This Row],[BW40_3705]]),"")</f>
        <v/>
      </c>
      <c r="J4237" s="7" t="str">
        <f>IF(Table1[[#This Row],[Is Data Valid]]=TRUE,_xlfn.NORM.S.DIST(Table1[[#This Row],[Birthweight Z-Score]],TRUE)*100,"")</f>
        <v/>
      </c>
      <c r="K4237" s="7" t="str">
        <f>IF(Table1[[#This Row],[Is Data Valid]]=TRUE,_xlfn.NORM.S.DIST(Table1[[#This Row],[Birthweight Z-Score (BW-10%)]],TRUE)*100,"")</f>
        <v/>
      </c>
      <c r="L4237" s="7" t="str">
        <f>IF(Table1[[#This Row],[Is Data Valid]]=TRUE,_xlfn.NORM.S.DIST(Table1[[#This Row],[Birthweight Z-Score (BW+10%)]],TRUE)*100,"")</f>
        <v/>
      </c>
    </row>
    <row r="4238" spans="1:12" x14ac:dyDescent="0.35">
      <c r="A4238" s="3"/>
      <c r="B4238" s="2"/>
      <c r="C4238" s="2"/>
      <c r="D4238" s="2" t="b">
        <f>IF(AND(NOT(ISBLANK(Table1[[#This Row],[Fetal Sex (Male, Female or Unknown)]])),ISNUMBER(Table1[[#This Row],[Birthweight (grams)]]),ISNUMBER(Table1[[#This Row],[Gestation (days)]])),TRUE,FALSE)</f>
        <v>0</v>
      </c>
      <c r="E4238" s="2" t="str">
        <f>IF(Table1[[#This Row],[Is Data Valid]]=TRUE,IF(Table1[[#This Row],[Fetal Sex (Male, Female or Unknown)]]="Male",Backend!$C$6,IF(Table1[[#This Row],[Fetal Sex (Male, Female or Unknown)]]="Female",Backend!$C$7,IF(Table1[[#This Row],[Fetal Sex (Male, Female or Unknown)]]="Unknown",Backend!$C$8,"Error"))),"")</f>
        <v/>
      </c>
      <c r="F4238" s="8" t="str">
        <f>IF(Table1[[#This Row],[Is Data Valid]]=TRUE,EXP(0.578+0.332*((Table1[[#This Row],[Gestation (days)]]+0.5)/7)-0.00354*((Table1[[#This Row],[Gestation (days)]]+0.5)/7)^2)*Table1[[#This Row],[BW40_3705]],"")</f>
        <v/>
      </c>
      <c r="G4238" s="2" t="str">
        <f>IF(Table1[[#This Row],[Is Data Valid]]=TRUE,((Table1[[#This Row],[Birthweight (grams)]]/Table1[[#This Row],[BW_GA]])-1)/(Backend!$B$4/100*Table1[[#This Row],[BW40_3705]]),"")</f>
        <v/>
      </c>
      <c r="H4238" s="7" t="str">
        <f>IF(Table1[[#This Row],[Is Data Valid]]=TRUE,((Table1[[#This Row],[Birthweight (grams)]]*0.9/Table1[[#This Row],[BW_GA]])-1)/(Backend!$B$4/100*Table1[[#This Row],[BW40_3705]]),"")</f>
        <v/>
      </c>
      <c r="I4238" s="7" t="str">
        <f>IF(Table1[[#This Row],[Is Data Valid]]=TRUE,((Table1[[#This Row],[Birthweight (grams)]]*1.1/Table1[[#This Row],[BW_GA]])-1)/(Backend!$B$4/100*Table1[[#This Row],[BW40_3705]]),"")</f>
        <v/>
      </c>
      <c r="J4238" s="7" t="str">
        <f>IF(Table1[[#This Row],[Is Data Valid]]=TRUE,_xlfn.NORM.S.DIST(Table1[[#This Row],[Birthweight Z-Score]],TRUE)*100,"")</f>
        <v/>
      </c>
      <c r="K4238" s="7" t="str">
        <f>IF(Table1[[#This Row],[Is Data Valid]]=TRUE,_xlfn.NORM.S.DIST(Table1[[#This Row],[Birthweight Z-Score (BW-10%)]],TRUE)*100,"")</f>
        <v/>
      </c>
      <c r="L4238" s="7" t="str">
        <f>IF(Table1[[#This Row],[Is Data Valid]]=TRUE,_xlfn.NORM.S.DIST(Table1[[#This Row],[Birthweight Z-Score (BW+10%)]],TRUE)*100,"")</f>
        <v/>
      </c>
    </row>
    <row r="4239" spans="1:12" x14ac:dyDescent="0.35">
      <c r="A4239" s="3"/>
      <c r="B4239" s="2"/>
      <c r="C4239" s="2"/>
      <c r="D4239" s="2" t="b">
        <f>IF(AND(NOT(ISBLANK(Table1[[#This Row],[Fetal Sex (Male, Female or Unknown)]])),ISNUMBER(Table1[[#This Row],[Birthweight (grams)]]),ISNUMBER(Table1[[#This Row],[Gestation (days)]])),TRUE,FALSE)</f>
        <v>0</v>
      </c>
      <c r="E4239" s="2" t="str">
        <f>IF(Table1[[#This Row],[Is Data Valid]]=TRUE,IF(Table1[[#This Row],[Fetal Sex (Male, Female or Unknown)]]="Male",Backend!$C$6,IF(Table1[[#This Row],[Fetal Sex (Male, Female or Unknown)]]="Female",Backend!$C$7,IF(Table1[[#This Row],[Fetal Sex (Male, Female or Unknown)]]="Unknown",Backend!$C$8,"Error"))),"")</f>
        <v/>
      </c>
      <c r="F4239" s="8" t="str">
        <f>IF(Table1[[#This Row],[Is Data Valid]]=TRUE,EXP(0.578+0.332*((Table1[[#This Row],[Gestation (days)]]+0.5)/7)-0.00354*((Table1[[#This Row],[Gestation (days)]]+0.5)/7)^2)*Table1[[#This Row],[BW40_3705]],"")</f>
        <v/>
      </c>
      <c r="G4239" s="2" t="str">
        <f>IF(Table1[[#This Row],[Is Data Valid]]=TRUE,((Table1[[#This Row],[Birthweight (grams)]]/Table1[[#This Row],[BW_GA]])-1)/(Backend!$B$4/100*Table1[[#This Row],[BW40_3705]]),"")</f>
        <v/>
      </c>
      <c r="H4239" s="7" t="str">
        <f>IF(Table1[[#This Row],[Is Data Valid]]=TRUE,((Table1[[#This Row],[Birthweight (grams)]]*0.9/Table1[[#This Row],[BW_GA]])-1)/(Backend!$B$4/100*Table1[[#This Row],[BW40_3705]]),"")</f>
        <v/>
      </c>
      <c r="I4239" s="7" t="str">
        <f>IF(Table1[[#This Row],[Is Data Valid]]=TRUE,((Table1[[#This Row],[Birthweight (grams)]]*1.1/Table1[[#This Row],[BW_GA]])-1)/(Backend!$B$4/100*Table1[[#This Row],[BW40_3705]]),"")</f>
        <v/>
      </c>
      <c r="J4239" s="7" t="str">
        <f>IF(Table1[[#This Row],[Is Data Valid]]=TRUE,_xlfn.NORM.S.DIST(Table1[[#This Row],[Birthweight Z-Score]],TRUE)*100,"")</f>
        <v/>
      </c>
      <c r="K4239" s="7" t="str">
        <f>IF(Table1[[#This Row],[Is Data Valid]]=TRUE,_xlfn.NORM.S.DIST(Table1[[#This Row],[Birthweight Z-Score (BW-10%)]],TRUE)*100,"")</f>
        <v/>
      </c>
      <c r="L4239" s="7" t="str">
        <f>IF(Table1[[#This Row],[Is Data Valid]]=TRUE,_xlfn.NORM.S.DIST(Table1[[#This Row],[Birthweight Z-Score (BW+10%)]],TRUE)*100,"")</f>
        <v/>
      </c>
    </row>
    <row r="4240" spans="1:12" x14ac:dyDescent="0.35">
      <c r="A4240" s="3"/>
      <c r="B4240" s="2"/>
      <c r="C4240" s="2"/>
      <c r="D4240" s="2" t="b">
        <f>IF(AND(NOT(ISBLANK(Table1[[#This Row],[Fetal Sex (Male, Female or Unknown)]])),ISNUMBER(Table1[[#This Row],[Birthweight (grams)]]),ISNUMBER(Table1[[#This Row],[Gestation (days)]])),TRUE,FALSE)</f>
        <v>0</v>
      </c>
      <c r="E4240" s="2" t="str">
        <f>IF(Table1[[#This Row],[Is Data Valid]]=TRUE,IF(Table1[[#This Row],[Fetal Sex (Male, Female or Unknown)]]="Male",Backend!$C$6,IF(Table1[[#This Row],[Fetal Sex (Male, Female or Unknown)]]="Female",Backend!$C$7,IF(Table1[[#This Row],[Fetal Sex (Male, Female or Unknown)]]="Unknown",Backend!$C$8,"Error"))),"")</f>
        <v/>
      </c>
      <c r="F4240" s="8" t="str">
        <f>IF(Table1[[#This Row],[Is Data Valid]]=TRUE,EXP(0.578+0.332*((Table1[[#This Row],[Gestation (days)]]+0.5)/7)-0.00354*((Table1[[#This Row],[Gestation (days)]]+0.5)/7)^2)*Table1[[#This Row],[BW40_3705]],"")</f>
        <v/>
      </c>
      <c r="G4240" s="2" t="str">
        <f>IF(Table1[[#This Row],[Is Data Valid]]=TRUE,((Table1[[#This Row],[Birthweight (grams)]]/Table1[[#This Row],[BW_GA]])-1)/(Backend!$B$4/100*Table1[[#This Row],[BW40_3705]]),"")</f>
        <v/>
      </c>
      <c r="H4240" s="7" t="str">
        <f>IF(Table1[[#This Row],[Is Data Valid]]=TRUE,((Table1[[#This Row],[Birthweight (grams)]]*0.9/Table1[[#This Row],[BW_GA]])-1)/(Backend!$B$4/100*Table1[[#This Row],[BW40_3705]]),"")</f>
        <v/>
      </c>
      <c r="I4240" s="7" t="str">
        <f>IF(Table1[[#This Row],[Is Data Valid]]=TRUE,((Table1[[#This Row],[Birthweight (grams)]]*1.1/Table1[[#This Row],[BW_GA]])-1)/(Backend!$B$4/100*Table1[[#This Row],[BW40_3705]]),"")</f>
        <v/>
      </c>
      <c r="J4240" s="7" t="str">
        <f>IF(Table1[[#This Row],[Is Data Valid]]=TRUE,_xlfn.NORM.S.DIST(Table1[[#This Row],[Birthweight Z-Score]],TRUE)*100,"")</f>
        <v/>
      </c>
      <c r="K4240" s="7" t="str">
        <f>IF(Table1[[#This Row],[Is Data Valid]]=TRUE,_xlfn.NORM.S.DIST(Table1[[#This Row],[Birthweight Z-Score (BW-10%)]],TRUE)*100,"")</f>
        <v/>
      </c>
      <c r="L4240" s="7" t="str">
        <f>IF(Table1[[#This Row],[Is Data Valid]]=TRUE,_xlfn.NORM.S.DIST(Table1[[#This Row],[Birthweight Z-Score (BW+10%)]],TRUE)*100,"")</f>
        <v/>
      </c>
    </row>
    <row r="4241" spans="1:12" x14ac:dyDescent="0.35">
      <c r="A4241" s="3"/>
      <c r="B4241" s="2"/>
      <c r="C4241" s="2"/>
      <c r="D4241" s="2" t="b">
        <f>IF(AND(NOT(ISBLANK(Table1[[#This Row],[Fetal Sex (Male, Female or Unknown)]])),ISNUMBER(Table1[[#This Row],[Birthweight (grams)]]),ISNUMBER(Table1[[#This Row],[Gestation (days)]])),TRUE,FALSE)</f>
        <v>0</v>
      </c>
      <c r="E4241" s="2" t="str">
        <f>IF(Table1[[#This Row],[Is Data Valid]]=TRUE,IF(Table1[[#This Row],[Fetal Sex (Male, Female or Unknown)]]="Male",Backend!$C$6,IF(Table1[[#This Row],[Fetal Sex (Male, Female or Unknown)]]="Female",Backend!$C$7,IF(Table1[[#This Row],[Fetal Sex (Male, Female or Unknown)]]="Unknown",Backend!$C$8,"Error"))),"")</f>
        <v/>
      </c>
      <c r="F4241" s="8" t="str">
        <f>IF(Table1[[#This Row],[Is Data Valid]]=TRUE,EXP(0.578+0.332*((Table1[[#This Row],[Gestation (days)]]+0.5)/7)-0.00354*((Table1[[#This Row],[Gestation (days)]]+0.5)/7)^2)*Table1[[#This Row],[BW40_3705]],"")</f>
        <v/>
      </c>
      <c r="G4241" s="2" t="str">
        <f>IF(Table1[[#This Row],[Is Data Valid]]=TRUE,((Table1[[#This Row],[Birthweight (grams)]]/Table1[[#This Row],[BW_GA]])-1)/(Backend!$B$4/100*Table1[[#This Row],[BW40_3705]]),"")</f>
        <v/>
      </c>
      <c r="H4241" s="7" t="str">
        <f>IF(Table1[[#This Row],[Is Data Valid]]=TRUE,((Table1[[#This Row],[Birthweight (grams)]]*0.9/Table1[[#This Row],[BW_GA]])-1)/(Backend!$B$4/100*Table1[[#This Row],[BW40_3705]]),"")</f>
        <v/>
      </c>
      <c r="I4241" s="7" t="str">
        <f>IF(Table1[[#This Row],[Is Data Valid]]=TRUE,((Table1[[#This Row],[Birthweight (grams)]]*1.1/Table1[[#This Row],[BW_GA]])-1)/(Backend!$B$4/100*Table1[[#This Row],[BW40_3705]]),"")</f>
        <v/>
      </c>
      <c r="J4241" s="7" t="str">
        <f>IF(Table1[[#This Row],[Is Data Valid]]=TRUE,_xlfn.NORM.S.DIST(Table1[[#This Row],[Birthweight Z-Score]],TRUE)*100,"")</f>
        <v/>
      </c>
      <c r="K4241" s="7" t="str">
        <f>IF(Table1[[#This Row],[Is Data Valid]]=TRUE,_xlfn.NORM.S.DIST(Table1[[#This Row],[Birthweight Z-Score (BW-10%)]],TRUE)*100,"")</f>
        <v/>
      </c>
      <c r="L4241" s="7" t="str">
        <f>IF(Table1[[#This Row],[Is Data Valid]]=TRUE,_xlfn.NORM.S.DIST(Table1[[#This Row],[Birthweight Z-Score (BW+10%)]],TRUE)*100,"")</f>
        <v/>
      </c>
    </row>
    <row r="4242" spans="1:12" x14ac:dyDescent="0.35">
      <c r="A4242" s="3"/>
      <c r="B4242" s="2"/>
      <c r="C4242" s="2"/>
      <c r="D4242" s="2" t="b">
        <f>IF(AND(NOT(ISBLANK(Table1[[#This Row],[Fetal Sex (Male, Female or Unknown)]])),ISNUMBER(Table1[[#This Row],[Birthweight (grams)]]),ISNUMBER(Table1[[#This Row],[Gestation (days)]])),TRUE,FALSE)</f>
        <v>0</v>
      </c>
      <c r="E4242" s="2" t="str">
        <f>IF(Table1[[#This Row],[Is Data Valid]]=TRUE,IF(Table1[[#This Row],[Fetal Sex (Male, Female or Unknown)]]="Male",Backend!$C$6,IF(Table1[[#This Row],[Fetal Sex (Male, Female or Unknown)]]="Female",Backend!$C$7,IF(Table1[[#This Row],[Fetal Sex (Male, Female or Unknown)]]="Unknown",Backend!$C$8,"Error"))),"")</f>
        <v/>
      </c>
      <c r="F4242" s="8" t="str">
        <f>IF(Table1[[#This Row],[Is Data Valid]]=TRUE,EXP(0.578+0.332*((Table1[[#This Row],[Gestation (days)]]+0.5)/7)-0.00354*((Table1[[#This Row],[Gestation (days)]]+0.5)/7)^2)*Table1[[#This Row],[BW40_3705]],"")</f>
        <v/>
      </c>
      <c r="G4242" s="2" t="str">
        <f>IF(Table1[[#This Row],[Is Data Valid]]=TRUE,((Table1[[#This Row],[Birthweight (grams)]]/Table1[[#This Row],[BW_GA]])-1)/(Backend!$B$4/100*Table1[[#This Row],[BW40_3705]]),"")</f>
        <v/>
      </c>
      <c r="H4242" s="7" t="str">
        <f>IF(Table1[[#This Row],[Is Data Valid]]=TRUE,((Table1[[#This Row],[Birthweight (grams)]]*0.9/Table1[[#This Row],[BW_GA]])-1)/(Backend!$B$4/100*Table1[[#This Row],[BW40_3705]]),"")</f>
        <v/>
      </c>
      <c r="I4242" s="7" t="str">
        <f>IF(Table1[[#This Row],[Is Data Valid]]=TRUE,((Table1[[#This Row],[Birthweight (grams)]]*1.1/Table1[[#This Row],[BW_GA]])-1)/(Backend!$B$4/100*Table1[[#This Row],[BW40_3705]]),"")</f>
        <v/>
      </c>
      <c r="J4242" s="7" t="str">
        <f>IF(Table1[[#This Row],[Is Data Valid]]=TRUE,_xlfn.NORM.S.DIST(Table1[[#This Row],[Birthweight Z-Score]],TRUE)*100,"")</f>
        <v/>
      </c>
      <c r="K4242" s="7" t="str">
        <f>IF(Table1[[#This Row],[Is Data Valid]]=TRUE,_xlfn.NORM.S.DIST(Table1[[#This Row],[Birthweight Z-Score (BW-10%)]],TRUE)*100,"")</f>
        <v/>
      </c>
      <c r="L4242" s="7" t="str">
        <f>IF(Table1[[#This Row],[Is Data Valid]]=TRUE,_xlfn.NORM.S.DIST(Table1[[#This Row],[Birthweight Z-Score (BW+10%)]],TRUE)*100,"")</f>
        <v/>
      </c>
    </row>
    <row r="4243" spans="1:12" x14ac:dyDescent="0.35">
      <c r="A4243" s="3"/>
      <c r="B4243" s="2"/>
      <c r="C4243" s="2"/>
      <c r="D4243" s="2" t="b">
        <f>IF(AND(NOT(ISBLANK(Table1[[#This Row],[Fetal Sex (Male, Female or Unknown)]])),ISNUMBER(Table1[[#This Row],[Birthweight (grams)]]),ISNUMBER(Table1[[#This Row],[Gestation (days)]])),TRUE,FALSE)</f>
        <v>0</v>
      </c>
      <c r="E4243" s="2" t="str">
        <f>IF(Table1[[#This Row],[Is Data Valid]]=TRUE,IF(Table1[[#This Row],[Fetal Sex (Male, Female or Unknown)]]="Male",Backend!$C$6,IF(Table1[[#This Row],[Fetal Sex (Male, Female or Unknown)]]="Female",Backend!$C$7,IF(Table1[[#This Row],[Fetal Sex (Male, Female or Unknown)]]="Unknown",Backend!$C$8,"Error"))),"")</f>
        <v/>
      </c>
      <c r="F4243" s="8" t="str">
        <f>IF(Table1[[#This Row],[Is Data Valid]]=TRUE,EXP(0.578+0.332*((Table1[[#This Row],[Gestation (days)]]+0.5)/7)-0.00354*((Table1[[#This Row],[Gestation (days)]]+0.5)/7)^2)*Table1[[#This Row],[BW40_3705]],"")</f>
        <v/>
      </c>
      <c r="G4243" s="2" t="str">
        <f>IF(Table1[[#This Row],[Is Data Valid]]=TRUE,((Table1[[#This Row],[Birthweight (grams)]]/Table1[[#This Row],[BW_GA]])-1)/(Backend!$B$4/100*Table1[[#This Row],[BW40_3705]]),"")</f>
        <v/>
      </c>
      <c r="H4243" s="7" t="str">
        <f>IF(Table1[[#This Row],[Is Data Valid]]=TRUE,((Table1[[#This Row],[Birthweight (grams)]]*0.9/Table1[[#This Row],[BW_GA]])-1)/(Backend!$B$4/100*Table1[[#This Row],[BW40_3705]]),"")</f>
        <v/>
      </c>
      <c r="I4243" s="7" t="str">
        <f>IF(Table1[[#This Row],[Is Data Valid]]=TRUE,((Table1[[#This Row],[Birthweight (grams)]]*1.1/Table1[[#This Row],[BW_GA]])-1)/(Backend!$B$4/100*Table1[[#This Row],[BW40_3705]]),"")</f>
        <v/>
      </c>
      <c r="J4243" s="7" t="str">
        <f>IF(Table1[[#This Row],[Is Data Valid]]=TRUE,_xlfn.NORM.S.DIST(Table1[[#This Row],[Birthweight Z-Score]],TRUE)*100,"")</f>
        <v/>
      </c>
      <c r="K4243" s="7" t="str">
        <f>IF(Table1[[#This Row],[Is Data Valid]]=TRUE,_xlfn.NORM.S.DIST(Table1[[#This Row],[Birthweight Z-Score (BW-10%)]],TRUE)*100,"")</f>
        <v/>
      </c>
      <c r="L4243" s="7" t="str">
        <f>IF(Table1[[#This Row],[Is Data Valid]]=TRUE,_xlfn.NORM.S.DIST(Table1[[#This Row],[Birthweight Z-Score (BW+10%)]],TRUE)*100,"")</f>
        <v/>
      </c>
    </row>
    <row r="4244" spans="1:12" x14ac:dyDescent="0.35">
      <c r="A4244" s="3"/>
      <c r="B4244" s="2"/>
      <c r="C4244" s="2"/>
      <c r="D4244" s="2" t="b">
        <f>IF(AND(NOT(ISBLANK(Table1[[#This Row],[Fetal Sex (Male, Female or Unknown)]])),ISNUMBER(Table1[[#This Row],[Birthweight (grams)]]),ISNUMBER(Table1[[#This Row],[Gestation (days)]])),TRUE,FALSE)</f>
        <v>0</v>
      </c>
      <c r="E4244" s="2" t="str">
        <f>IF(Table1[[#This Row],[Is Data Valid]]=TRUE,IF(Table1[[#This Row],[Fetal Sex (Male, Female or Unknown)]]="Male",Backend!$C$6,IF(Table1[[#This Row],[Fetal Sex (Male, Female or Unknown)]]="Female",Backend!$C$7,IF(Table1[[#This Row],[Fetal Sex (Male, Female or Unknown)]]="Unknown",Backend!$C$8,"Error"))),"")</f>
        <v/>
      </c>
      <c r="F4244" s="8" t="str">
        <f>IF(Table1[[#This Row],[Is Data Valid]]=TRUE,EXP(0.578+0.332*((Table1[[#This Row],[Gestation (days)]]+0.5)/7)-0.00354*((Table1[[#This Row],[Gestation (days)]]+0.5)/7)^2)*Table1[[#This Row],[BW40_3705]],"")</f>
        <v/>
      </c>
      <c r="G4244" s="2" t="str">
        <f>IF(Table1[[#This Row],[Is Data Valid]]=TRUE,((Table1[[#This Row],[Birthweight (grams)]]/Table1[[#This Row],[BW_GA]])-1)/(Backend!$B$4/100*Table1[[#This Row],[BW40_3705]]),"")</f>
        <v/>
      </c>
      <c r="H4244" s="7" t="str">
        <f>IF(Table1[[#This Row],[Is Data Valid]]=TRUE,((Table1[[#This Row],[Birthweight (grams)]]*0.9/Table1[[#This Row],[BW_GA]])-1)/(Backend!$B$4/100*Table1[[#This Row],[BW40_3705]]),"")</f>
        <v/>
      </c>
      <c r="I4244" s="7" t="str">
        <f>IF(Table1[[#This Row],[Is Data Valid]]=TRUE,((Table1[[#This Row],[Birthweight (grams)]]*1.1/Table1[[#This Row],[BW_GA]])-1)/(Backend!$B$4/100*Table1[[#This Row],[BW40_3705]]),"")</f>
        <v/>
      </c>
      <c r="J4244" s="7" t="str">
        <f>IF(Table1[[#This Row],[Is Data Valid]]=TRUE,_xlfn.NORM.S.DIST(Table1[[#This Row],[Birthweight Z-Score]],TRUE)*100,"")</f>
        <v/>
      </c>
      <c r="K4244" s="7" t="str">
        <f>IF(Table1[[#This Row],[Is Data Valid]]=TRUE,_xlfn.NORM.S.DIST(Table1[[#This Row],[Birthweight Z-Score (BW-10%)]],TRUE)*100,"")</f>
        <v/>
      </c>
      <c r="L4244" s="7" t="str">
        <f>IF(Table1[[#This Row],[Is Data Valid]]=TRUE,_xlfn.NORM.S.DIST(Table1[[#This Row],[Birthweight Z-Score (BW+10%)]],TRUE)*100,"")</f>
        <v/>
      </c>
    </row>
    <row r="4245" spans="1:12" x14ac:dyDescent="0.35">
      <c r="A4245" s="3"/>
      <c r="B4245" s="2"/>
      <c r="C4245" s="2"/>
      <c r="D4245" s="2" t="b">
        <f>IF(AND(NOT(ISBLANK(Table1[[#This Row],[Fetal Sex (Male, Female or Unknown)]])),ISNUMBER(Table1[[#This Row],[Birthweight (grams)]]),ISNUMBER(Table1[[#This Row],[Gestation (days)]])),TRUE,FALSE)</f>
        <v>0</v>
      </c>
      <c r="E4245" s="2" t="str">
        <f>IF(Table1[[#This Row],[Is Data Valid]]=TRUE,IF(Table1[[#This Row],[Fetal Sex (Male, Female or Unknown)]]="Male",Backend!$C$6,IF(Table1[[#This Row],[Fetal Sex (Male, Female or Unknown)]]="Female",Backend!$C$7,IF(Table1[[#This Row],[Fetal Sex (Male, Female or Unknown)]]="Unknown",Backend!$C$8,"Error"))),"")</f>
        <v/>
      </c>
      <c r="F4245" s="8" t="str">
        <f>IF(Table1[[#This Row],[Is Data Valid]]=TRUE,EXP(0.578+0.332*((Table1[[#This Row],[Gestation (days)]]+0.5)/7)-0.00354*((Table1[[#This Row],[Gestation (days)]]+0.5)/7)^2)*Table1[[#This Row],[BW40_3705]],"")</f>
        <v/>
      </c>
      <c r="G4245" s="2" t="str">
        <f>IF(Table1[[#This Row],[Is Data Valid]]=TRUE,((Table1[[#This Row],[Birthweight (grams)]]/Table1[[#This Row],[BW_GA]])-1)/(Backend!$B$4/100*Table1[[#This Row],[BW40_3705]]),"")</f>
        <v/>
      </c>
      <c r="H4245" s="7" t="str">
        <f>IF(Table1[[#This Row],[Is Data Valid]]=TRUE,((Table1[[#This Row],[Birthweight (grams)]]*0.9/Table1[[#This Row],[BW_GA]])-1)/(Backend!$B$4/100*Table1[[#This Row],[BW40_3705]]),"")</f>
        <v/>
      </c>
      <c r="I4245" s="7" t="str">
        <f>IF(Table1[[#This Row],[Is Data Valid]]=TRUE,((Table1[[#This Row],[Birthweight (grams)]]*1.1/Table1[[#This Row],[BW_GA]])-1)/(Backend!$B$4/100*Table1[[#This Row],[BW40_3705]]),"")</f>
        <v/>
      </c>
      <c r="J4245" s="7" t="str">
        <f>IF(Table1[[#This Row],[Is Data Valid]]=TRUE,_xlfn.NORM.S.DIST(Table1[[#This Row],[Birthweight Z-Score]],TRUE)*100,"")</f>
        <v/>
      </c>
      <c r="K4245" s="7" t="str">
        <f>IF(Table1[[#This Row],[Is Data Valid]]=TRUE,_xlfn.NORM.S.DIST(Table1[[#This Row],[Birthweight Z-Score (BW-10%)]],TRUE)*100,"")</f>
        <v/>
      </c>
      <c r="L4245" s="7" t="str">
        <f>IF(Table1[[#This Row],[Is Data Valid]]=TRUE,_xlfn.NORM.S.DIST(Table1[[#This Row],[Birthweight Z-Score (BW+10%)]],TRUE)*100,"")</f>
        <v/>
      </c>
    </row>
    <row r="4246" spans="1:12" x14ac:dyDescent="0.35">
      <c r="A4246" s="3"/>
      <c r="B4246" s="2"/>
      <c r="C4246" s="2"/>
      <c r="D4246" s="2" t="b">
        <f>IF(AND(NOT(ISBLANK(Table1[[#This Row],[Fetal Sex (Male, Female or Unknown)]])),ISNUMBER(Table1[[#This Row],[Birthweight (grams)]]),ISNUMBER(Table1[[#This Row],[Gestation (days)]])),TRUE,FALSE)</f>
        <v>0</v>
      </c>
      <c r="E4246" s="2" t="str">
        <f>IF(Table1[[#This Row],[Is Data Valid]]=TRUE,IF(Table1[[#This Row],[Fetal Sex (Male, Female or Unknown)]]="Male",Backend!$C$6,IF(Table1[[#This Row],[Fetal Sex (Male, Female or Unknown)]]="Female",Backend!$C$7,IF(Table1[[#This Row],[Fetal Sex (Male, Female or Unknown)]]="Unknown",Backend!$C$8,"Error"))),"")</f>
        <v/>
      </c>
      <c r="F4246" s="8" t="str">
        <f>IF(Table1[[#This Row],[Is Data Valid]]=TRUE,EXP(0.578+0.332*((Table1[[#This Row],[Gestation (days)]]+0.5)/7)-0.00354*((Table1[[#This Row],[Gestation (days)]]+0.5)/7)^2)*Table1[[#This Row],[BW40_3705]],"")</f>
        <v/>
      </c>
      <c r="G4246" s="2" t="str">
        <f>IF(Table1[[#This Row],[Is Data Valid]]=TRUE,((Table1[[#This Row],[Birthweight (grams)]]/Table1[[#This Row],[BW_GA]])-1)/(Backend!$B$4/100*Table1[[#This Row],[BW40_3705]]),"")</f>
        <v/>
      </c>
      <c r="H4246" s="7" t="str">
        <f>IF(Table1[[#This Row],[Is Data Valid]]=TRUE,((Table1[[#This Row],[Birthweight (grams)]]*0.9/Table1[[#This Row],[BW_GA]])-1)/(Backend!$B$4/100*Table1[[#This Row],[BW40_3705]]),"")</f>
        <v/>
      </c>
      <c r="I4246" s="7" t="str">
        <f>IF(Table1[[#This Row],[Is Data Valid]]=TRUE,((Table1[[#This Row],[Birthweight (grams)]]*1.1/Table1[[#This Row],[BW_GA]])-1)/(Backend!$B$4/100*Table1[[#This Row],[BW40_3705]]),"")</f>
        <v/>
      </c>
      <c r="J4246" s="7" t="str">
        <f>IF(Table1[[#This Row],[Is Data Valid]]=TRUE,_xlfn.NORM.S.DIST(Table1[[#This Row],[Birthweight Z-Score]],TRUE)*100,"")</f>
        <v/>
      </c>
      <c r="K4246" s="7" t="str">
        <f>IF(Table1[[#This Row],[Is Data Valid]]=TRUE,_xlfn.NORM.S.DIST(Table1[[#This Row],[Birthweight Z-Score (BW-10%)]],TRUE)*100,"")</f>
        <v/>
      </c>
      <c r="L4246" s="7" t="str">
        <f>IF(Table1[[#This Row],[Is Data Valid]]=TRUE,_xlfn.NORM.S.DIST(Table1[[#This Row],[Birthweight Z-Score (BW+10%)]],TRUE)*100,"")</f>
        <v/>
      </c>
    </row>
    <row r="4247" spans="1:12" x14ac:dyDescent="0.35">
      <c r="A4247" s="3"/>
      <c r="B4247" s="2"/>
      <c r="C4247" s="2"/>
      <c r="D4247" s="2" t="b">
        <f>IF(AND(NOT(ISBLANK(Table1[[#This Row],[Fetal Sex (Male, Female or Unknown)]])),ISNUMBER(Table1[[#This Row],[Birthweight (grams)]]),ISNUMBER(Table1[[#This Row],[Gestation (days)]])),TRUE,FALSE)</f>
        <v>0</v>
      </c>
      <c r="E4247" s="2" t="str">
        <f>IF(Table1[[#This Row],[Is Data Valid]]=TRUE,IF(Table1[[#This Row],[Fetal Sex (Male, Female or Unknown)]]="Male",Backend!$C$6,IF(Table1[[#This Row],[Fetal Sex (Male, Female or Unknown)]]="Female",Backend!$C$7,IF(Table1[[#This Row],[Fetal Sex (Male, Female or Unknown)]]="Unknown",Backend!$C$8,"Error"))),"")</f>
        <v/>
      </c>
      <c r="F4247" s="8" t="str">
        <f>IF(Table1[[#This Row],[Is Data Valid]]=TRUE,EXP(0.578+0.332*((Table1[[#This Row],[Gestation (days)]]+0.5)/7)-0.00354*((Table1[[#This Row],[Gestation (days)]]+0.5)/7)^2)*Table1[[#This Row],[BW40_3705]],"")</f>
        <v/>
      </c>
      <c r="G4247" s="2" t="str">
        <f>IF(Table1[[#This Row],[Is Data Valid]]=TRUE,((Table1[[#This Row],[Birthweight (grams)]]/Table1[[#This Row],[BW_GA]])-1)/(Backend!$B$4/100*Table1[[#This Row],[BW40_3705]]),"")</f>
        <v/>
      </c>
      <c r="H4247" s="7" t="str">
        <f>IF(Table1[[#This Row],[Is Data Valid]]=TRUE,((Table1[[#This Row],[Birthweight (grams)]]*0.9/Table1[[#This Row],[BW_GA]])-1)/(Backend!$B$4/100*Table1[[#This Row],[BW40_3705]]),"")</f>
        <v/>
      </c>
      <c r="I4247" s="7" t="str">
        <f>IF(Table1[[#This Row],[Is Data Valid]]=TRUE,((Table1[[#This Row],[Birthweight (grams)]]*1.1/Table1[[#This Row],[BW_GA]])-1)/(Backend!$B$4/100*Table1[[#This Row],[BW40_3705]]),"")</f>
        <v/>
      </c>
      <c r="J4247" s="7" t="str">
        <f>IF(Table1[[#This Row],[Is Data Valid]]=TRUE,_xlfn.NORM.S.DIST(Table1[[#This Row],[Birthweight Z-Score]],TRUE)*100,"")</f>
        <v/>
      </c>
      <c r="K4247" s="7" t="str">
        <f>IF(Table1[[#This Row],[Is Data Valid]]=TRUE,_xlfn.NORM.S.DIST(Table1[[#This Row],[Birthweight Z-Score (BW-10%)]],TRUE)*100,"")</f>
        <v/>
      </c>
      <c r="L4247" s="7" t="str">
        <f>IF(Table1[[#This Row],[Is Data Valid]]=TRUE,_xlfn.NORM.S.DIST(Table1[[#This Row],[Birthweight Z-Score (BW+10%)]],TRUE)*100,"")</f>
        <v/>
      </c>
    </row>
    <row r="4248" spans="1:12" x14ac:dyDescent="0.35">
      <c r="A4248" s="3"/>
      <c r="B4248" s="2"/>
      <c r="C4248" s="2"/>
      <c r="D4248" s="2" t="b">
        <f>IF(AND(NOT(ISBLANK(Table1[[#This Row],[Fetal Sex (Male, Female or Unknown)]])),ISNUMBER(Table1[[#This Row],[Birthweight (grams)]]),ISNUMBER(Table1[[#This Row],[Gestation (days)]])),TRUE,FALSE)</f>
        <v>0</v>
      </c>
      <c r="E4248" s="2" t="str">
        <f>IF(Table1[[#This Row],[Is Data Valid]]=TRUE,IF(Table1[[#This Row],[Fetal Sex (Male, Female or Unknown)]]="Male",Backend!$C$6,IF(Table1[[#This Row],[Fetal Sex (Male, Female or Unknown)]]="Female",Backend!$C$7,IF(Table1[[#This Row],[Fetal Sex (Male, Female or Unknown)]]="Unknown",Backend!$C$8,"Error"))),"")</f>
        <v/>
      </c>
      <c r="F4248" s="8" t="str">
        <f>IF(Table1[[#This Row],[Is Data Valid]]=TRUE,EXP(0.578+0.332*((Table1[[#This Row],[Gestation (days)]]+0.5)/7)-0.00354*((Table1[[#This Row],[Gestation (days)]]+0.5)/7)^2)*Table1[[#This Row],[BW40_3705]],"")</f>
        <v/>
      </c>
      <c r="G4248" s="2" t="str">
        <f>IF(Table1[[#This Row],[Is Data Valid]]=TRUE,((Table1[[#This Row],[Birthweight (grams)]]/Table1[[#This Row],[BW_GA]])-1)/(Backend!$B$4/100*Table1[[#This Row],[BW40_3705]]),"")</f>
        <v/>
      </c>
      <c r="H4248" s="7" t="str">
        <f>IF(Table1[[#This Row],[Is Data Valid]]=TRUE,((Table1[[#This Row],[Birthweight (grams)]]*0.9/Table1[[#This Row],[BW_GA]])-1)/(Backend!$B$4/100*Table1[[#This Row],[BW40_3705]]),"")</f>
        <v/>
      </c>
      <c r="I4248" s="7" t="str">
        <f>IF(Table1[[#This Row],[Is Data Valid]]=TRUE,((Table1[[#This Row],[Birthweight (grams)]]*1.1/Table1[[#This Row],[BW_GA]])-1)/(Backend!$B$4/100*Table1[[#This Row],[BW40_3705]]),"")</f>
        <v/>
      </c>
      <c r="J4248" s="7" t="str">
        <f>IF(Table1[[#This Row],[Is Data Valid]]=TRUE,_xlfn.NORM.S.DIST(Table1[[#This Row],[Birthweight Z-Score]],TRUE)*100,"")</f>
        <v/>
      </c>
      <c r="K4248" s="7" t="str">
        <f>IF(Table1[[#This Row],[Is Data Valid]]=TRUE,_xlfn.NORM.S.DIST(Table1[[#This Row],[Birthweight Z-Score (BW-10%)]],TRUE)*100,"")</f>
        <v/>
      </c>
      <c r="L4248" s="7" t="str">
        <f>IF(Table1[[#This Row],[Is Data Valid]]=TRUE,_xlfn.NORM.S.DIST(Table1[[#This Row],[Birthweight Z-Score (BW+10%)]],TRUE)*100,"")</f>
        <v/>
      </c>
    </row>
    <row r="4249" spans="1:12" x14ac:dyDescent="0.35">
      <c r="A4249" s="3"/>
      <c r="B4249" s="2"/>
      <c r="C4249" s="2"/>
      <c r="D4249" s="2" t="b">
        <f>IF(AND(NOT(ISBLANK(Table1[[#This Row],[Fetal Sex (Male, Female or Unknown)]])),ISNUMBER(Table1[[#This Row],[Birthweight (grams)]]),ISNUMBER(Table1[[#This Row],[Gestation (days)]])),TRUE,FALSE)</f>
        <v>0</v>
      </c>
      <c r="E4249" s="2" t="str">
        <f>IF(Table1[[#This Row],[Is Data Valid]]=TRUE,IF(Table1[[#This Row],[Fetal Sex (Male, Female or Unknown)]]="Male",Backend!$C$6,IF(Table1[[#This Row],[Fetal Sex (Male, Female or Unknown)]]="Female",Backend!$C$7,IF(Table1[[#This Row],[Fetal Sex (Male, Female or Unknown)]]="Unknown",Backend!$C$8,"Error"))),"")</f>
        <v/>
      </c>
      <c r="F4249" s="8" t="str">
        <f>IF(Table1[[#This Row],[Is Data Valid]]=TRUE,EXP(0.578+0.332*((Table1[[#This Row],[Gestation (days)]]+0.5)/7)-0.00354*((Table1[[#This Row],[Gestation (days)]]+0.5)/7)^2)*Table1[[#This Row],[BW40_3705]],"")</f>
        <v/>
      </c>
      <c r="G4249" s="2" t="str">
        <f>IF(Table1[[#This Row],[Is Data Valid]]=TRUE,((Table1[[#This Row],[Birthweight (grams)]]/Table1[[#This Row],[BW_GA]])-1)/(Backend!$B$4/100*Table1[[#This Row],[BW40_3705]]),"")</f>
        <v/>
      </c>
      <c r="H4249" s="7" t="str">
        <f>IF(Table1[[#This Row],[Is Data Valid]]=TRUE,((Table1[[#This Row],[Birthweight (grams)]]*0.9/Table1[[#This Row],[BW_GA]])-1)/(Backend!$B$4/100*Table1[[#This Row],[BW40_3705]]),"")</f>
        <v/>
      </c>
      <c r="I4249" s="7" t="str">
        <f>IF(Table1[[#This Row],[Is Data Valid]]=TRUE,((Table1[[#This Row],[Birthweight (grams)]]*1.1/Table1[[#This Row],[BW_GA]])-1)/(Backend!$B$4/100*Table1[[#This Row],[BW40_3705]]),"")</f>
        <v/>
      </c>
      <c r="J4249" s="7" t="str">
        <f>IF(Table1[[#This Row],[Is Data Valid]]=TRUE,_xlfn.NORM.S.DIST(Table1[[#This Row],[Birthweight Z-Score]],TRUE)*100,"")</f>
        <v/>
      </c>
      <c r="K4249" s="7" t="str">
        <f>IF(Table1[[#This Row],[Is Data Valid]]=TRUE,_xlfn.NORM.S.DIST(Table1[[#This Row],[Birthweight Z-Score (BW-10%)]],TRUE)*100,"")</f>
        <v/>
      </c>
      <c r="L4249" s="7" t="str">
        <f>IF(Table1[[#This Row],[Is Data Valid]]=TRUE,_xlfn.NORM.S.DIST(Table1[[#This Row],[Birthweight Z-Score (BW+10%)]],TRUE)*100,"")</f>
        <v/>
      </c>
    </row>
    <row r="4250" spans="1:12" x14ac:dyDescent="0.35">
      <c r="A4250" s="3"/>
      <c r="B4250" s="2"/>
      <c r="C4250" s="2"/>
      <c r="D4250" s="2" t="b">
        <f>IF(AND(NOT(ISBLANK(Table1[[#This Row],[Fetal Sex (Male, Female or Unknown)]])),ISNUMBER(Table1[[#This Row],[Birthweight (grams)]]),ISNUMBER(Table1[[#This Row],[Gestation (days)]])),TRUE,FALSE)</f>
        <v>0</v>
      </c>
      <c r="E4250" s="2" t="str">
        <f>IF(Table1[[#This Row],[Is Data Valid]]=TRUE,IF(Table1[[#This Row],[Fetal Sex (Male, Female or Unknown)]]="Male",Backend!$C$6,IF(Table1[[#This Row],[Fetal Sex (Male, Female or Unknown)]]="Female",Backend!$C$7,IF(Table1[[#This Row],[Fetal Sex (Male, Female or Unknown)]]="Unknown",Backend!$C$8,"Error"))),"")</f>
        <v/>
      </c>
      <c r="F4250" s="8" t="str">
        <f>IF(Table1[[#This Row],[Is Data Valid]]=TRUE,EXP(0.578+0.332*((Table1[[#This Row],[Gestation (days)]]+0.5)/7)-0.00354*((Table1[[#This Row],[Gestation (days)]]+0.5)/7)^2)*Table1[[#This Row],[BW40_3705]],"")</f>
        <v/>
      </c>
      <c r="G4250" s="2" t="str">
        <f>IF(Table1[[#This Row],[Is Data Valid]]=TRUE,((Table1[[#This Row],[Birthweight (grams)]]/Table1[[#This Row],[BW_GA]])-1)/(Backend!$B$4/100*Table1[[#This Row],[BW40_3705]]),"")</f>
        <v/>
      </c>
      <c r="H4250" s="7" t="str">
        <f>IF(Table1[[#This Row],[Is Data Valid]]=TRUE,((Table1[[#This Row],[Birthweight (grams)]]*0.9/Table1[[#This Row],[BW_GA]])-1)/(Backend!$B$4/100*Table1[[#This Row],[BW40_3705]]),"")</f>
        <v/>
      </c>
      <c r="I4250" s="7" t="str">
        <f>IF(Table1[[#This Row],[Is Data Valid]]=TRUE,((Table1[[#This Row],[Birthweight (grams)]]*1.1/Table1[[#This Row],[BW_GA]])-1)/(Backend!$B$4/100*Table1[[#This Row],[BW40_3705]]),"")</f>
        <v/>
      </c>
      <c r="J4250" s="7" t="str">
        <f>IF(Table1[[#This Row],[Is Data Valid]]=TRUE,_xlfn.NORM.S.DIST(Table1[[#This Row],[Birthweight Z-Score]],TRUE)*100,"")</f>
        <v/>
      </c>
      <c r="K4250" s="7" t="str">
        <f>IF(Table1[[#This Row],[Is Data Valid]]=TRUE,_xlfn.NORM.S.DIST(Table1[[#This Row],[Birthweight Z-Score (BW-10%)]],TRUE)*100,"")</f>
        <v/>
      </c>
      <c r="L4250" s="7" t="str">
        <f>IF(Table1[[#This Row],[Is Data Valid]]=TRUE,_xlfn.NORM.S.DIST(Table1[[#This Row],[Birthweight Z-Score (BW+10%)]],TRUE)*100,"")</f>
        <v/>
      </c>
    </row>
    <row r="4251" spans="1:12" x14ac:dyDescent="0.35">
      <c r="A4251" s="3"/>
      <c r="B4251" s="2"/>
      <c r="C4251" s="2"/>
      <c r="D4251" s="2" t="b">
        <f>IF(AND(NOT(ISBLANK(Table1[[#This Row],[Fetal Sex (Male, Female or Unknown)]])),ISNUMBER(Table1[[#This Row],[Birthweight (grams)]]),ISNUMBER(Table1[[#This Row],[Gestation (days)]])),TRUE,FALSE)</f>
        <v>0</v>
      </c>
      <c r="E4251" s="2" t="str">
        <f>IF(Table1[[#This Row],[Is Data Valid]]=TRUE,IF(Table1[[#This Row],[Fetal Sex (Male, Female or Unknown)]]="Male",Backend!$C$6,IF(Table1[[#This Row],[Fetal Sex (Male, Female or Unknown)]]="Female",Backend!$C$7,IF(Table1[[#This Row],[Fetal Sex (Male, Female or Unknown)]]="Unknown",Backend!$C$8,"Error"))),"")</f>
        <v/>
      </c>
      <c r="F4251" s="8" t="str">
        <f>IF(Table1[[#This Row],[Is Data Valid]]=TRUE,EXP(0.578+0.332*((Table1[[#This Row],[Gestation (days)]]+0.5)/7)-0.00354*((Table1[[#This Row],[Gestation (days)]]+0.5)/7)^2)*Table1[[#This Row],[BW40_3705]],"")</f>
        <v/>
      </c>
      <c r="G4251" s="2" t="str">
        <f>IF(Table1[[#This Row],[Is Data Valid]]=TRUE,((Table1[[#This Row],[Birthweight (grams)]]/Table1[[#This Row],[BW_GA]])-1)/(Backend!$B$4/100*Table1[[#This Row],[BW40_3705]]),"")</f>
        <v/>
      </c>
      <c r="H4251" s="7" t="str">
        <f>IF(Table1[[#This Row],[Is Data Valid]]=TRUE,((Table1[[#This Row],[Birthweight (grams)]]*0.9/Table1[[#This Row],[BW_GA]])-1)/(Backend!$B$4/100*Table1[[#This Row],[BW40_3705]]),"")</f>
        <v/>
      </c>
      <c r="I4251" s="7" t="str">
        <f>IF(Table1[[#This Row],[Is Data Valid]]=TRUE,((Table1[[#This Row],[Birthweight (grams)]]*1.1/Table1[[#This Row],[BW_GA]])-1)/(Backend!$B$4/100*Table1[[#This Row],[BW40_3705]]),"")</f>
        <v/>
      </c>
      <c r="J4251" s="7" t="str">
        <f>IF(Table1[[#This Row],[Is Data Valid]]=TRUE,_xlfn.NORM.S.DIST(Table1[[#This Row],[Birthweight Z-Score]],TRUE)*100,"")</f>
        <v/>
      </c>
      <c r="K4251" s="7" t="str">
        <f>IF(Table1[[#This Row],[Is Data Valid]]=TRUE,_xlfn.NORM.S.DIST(Table1[[#This Row],[Birthweight Z-Score (BW-10%)]],TRUE)*100,"")</f>
        <v/>
      </c>
      <c r="L4251" s="7" t="str">
        <f>IF(Table1[[#This Row],[Is Data Valid]]=TRUE,_xlfn.NORM.S.DIST(Table1[[#This Row],[Birthweight Z-Score (BW+10%)]],TRUE)*100,"")</f>
        <v/>
      </c>
    </row>
    <row r="4252" spans="1:12" x14ac:dyDescent="0.35">
      <c r="A4252" s="3"/>
      <c r="B4252" s="2"/>
      <c r="C4252" s="2"/>
      <c r="D4252" s="2" t="b">
        <f>IF(AND(NOT(ISBLANK(Table1[[#This Row],[Fetal Sex (Male, Female or Unknown)]])),ISNUMBER(Table1[[#This Row],[Birthweight (grams)]]),ISNUMBER(Table1[[#This Row],[Gestation (days)]])),TRUE,FALSE)</f>
        <v>0</v>
      </c>
      <c r="E4252" s="2" t="str">
        <f>IF(Table1[[#This Row],[Is Data Valid]]=TRUE,IF(Table1[[#This Row],[Fetal Sex (Male, Female or Unknown)]]="Male",Backend!$C$6,IF(Table1[[#This Row],[Fetal Sex (Male, Female or Unknown)]]="Female",Backend!$C$7,IF(Table1[[#This Row],[Fetal Sex (Male, Female or Unknown)]]="Unknown",Backend!$C$8,"Error"))),"")</f>
        <v/>
      </c>
      <c r="F4252" s="8" t="str">
        <f>IF(Table1[[#This Row],[Is Data Valid]]=TRUE,EXP(0.578+0.332*((Table1[[#This Row],[Gestation (days)]]+0.5)/7)-0.00354*((Table1[[#This Row],[Gestation (days)]]+0.5)/7)^2)*Table1[[#This Row],[BW40_3705]],"")</f>
        <v/>
      </c>
      <c r="G4252" s="2" t="str">
        <f>IF(Table1[[#This Row],[Is Data Valid]]=TRUE,((Table1[[#This Row],[Birthweight (grams)]]/Table1[[#This Row],[BW_GA]])-1)/(Backend!$B$4/100*Table1[[#This Row],[BW40_3705]]),"")</f>
        <v/>
      </c>
      <c r="H4252" s="7" t="str">
        <f>IF(Table1[[#This Row],[Is Data Valid]]=TRUE,((Table1[[#This Row],[Birthweight (grams)]]*0.9/Table1[[#This Row],[BW_GA]])-1)/(Backend!$B$4/100*Table1[[#This Row],[BW40_3705]]),"")</f>
        <v/>
      </c>
      <c r="I4252" s="7" t="str">
        <f>IF(Table1[[#This Row],[Is Data Valid]]=TRUE,((Table1[[#This Row],[Birthweight (grams)]]*1.1/Table1[[#This Row],[BW_GA]])-1)/(Backend!$B$4/100*Table1[[#This Row],[BW40_3705]]),"")</f>
        <v/>
      </c>
      <c r="J4252" s="7" t="str">
        <f>IF(Table1[[#This Row],[Is Data Valid]]=TRUE,_xlfn.NORM.S.DIST(Table1[[#This Row],[Birthweight Z-Score]],TRUE)*100,"")</f>
        <v/>
      </c>
      <c r="K4252" s="7" t="str">
        <f>IF(Table1[[#This Row],[Is Data Valid]]=TRUE,_xlfn.NORM.S.DIST(Table1[[#This Row],[Birthweight Z-Score (BW-10%)]],TRUE)*100,"")</f>
        <v/>
      </c>
      <c r="L4252" s="7" t="str">
        <f>IF(Table1[[#This Row],[Is Data Valid]]=TRUE,_xlfn.NORM.S.DIST(Table1[[#This Row],[Birthweight Z-Score (BW+10%)]],TRUE)*100,"")</f>
        <v/>
      </c>
    </row>
    <row r="4253" spans="1:12" x14ac:dyDescent="0.35">
      <c r="A4253" s="3"/>
      <c r="B4253" s="2"/>
      <c r="C4253" s="2"/>
      <c r="D4253" s="2" t="b">
        <f>IF(AND(NOT(ISBLANK(Table1[[#This Row],[Fetal Sex (Male, Female or Unknown)]])),ISNUMBER(Table1[[#This Row],[Birthweight (grams)]]),ISNUMBER(Table1[[#This Row],[Gestation (days)]])),TRUE,FALSE)</f>
        <v>0</v>
      </c>
      <c r="E4253" s="2" t="str">
        <f>IF(Table1[[#This Row],[Is Data Valid]]=TRUE,IF(Table1[[#This Row],[Fetal Sex (Male, Female or Unknown)]]="Male",Backend!$C$6,IF(Table1[[#This Row],[Fetal Sex (Male, Female or Unknown)]]="Female",Backend!$C$7,IF(Table1[[#This Row],[Fetal Sex (Male, Female or Unknown)]]="Unknown",Backend!$C$8,"Error"))),"")</f>
        <v/>
      </c>
      <c r="F4253" s="8" t="str">
        <f>IF(Table1[[#This Row],[Is Data Valid]]=TRUE,EXP(0.578+0.332*((Table1[[#This Row],[Gestation (days)]]+0.5)/7)-0.00354*((Table1[[#This Row],[Gestation (days)]]+0.5)/7)^2)*Table1[[#This Row],[BW40_3705]],"")</f>
        <v/>
      </c>
      <c r="G4253" s="2" t="str">
        <f>IF(Table1[[#This Row],[Is Data Valid]]=TRUE,((Table1[[#This Row],[Birthweight (grams)]]/Table1[[#This Row],[BW_GA]])-1)/(Backend!$B$4/100*Table1[[#This Row],[BW40_3705]]),"")</f>
        <v/>
      </c>
      <c r="H4253" s="7" t="str">
        <f>IF(Table1[[#This Row],[Is Data Valid]]=TRUE,((Table1[[#This Row],[Birthweight (grams)]]*0.9/Table1[[#This Row],[BW_GA]])-1)/(Backend!$B$4/100*Table1[[#This Row],[BW40_3705]]),"")</f>
        <v/>
      </c>
      <c r="I4253" s="7" t="str">
        <f>IF(Table1[[#This Row],[Is Data Valid]]=TRUE,((Table1[[#This Row],[Birthweight (grams)]]*1.1/Table1[[#This Row],[BW_GA]])-1)/(Backend!$B$4/100*Table1[[#This Row],[BW40_3705]]),"")</f>
        <v/>
      </c>
      <c r="J4253" s="7" t="str">
        <f>IF(Table1[[#This Row],[Is Data Valid]]=TRUE,_xlfn.NORM.S.DIST(Table1[[#This Row],[Birthweight Z-Score]],TRUE)*100,"")</f>
        <v/>
      </c>
      <c r="K4253" s="7" t="str">
        <f>IF(Table1[[#This Row],[Is Data Valid]]=TRUE,_xlfn.NORM.S.DIST(Table1[[#This Row],[Birthweight Z-Score (BW-10%)]],TRUE)*100,"")</f>
        <v/>
      </c>
      <c r="L4253" s="7" t="str">
        <f>IF(Table1[[#This Row],[Is Data Valid]]=TRUE,_xlfn.NORM.S.DIST(Table1[[#This Row],[Birthweight Z-Score (BW+10%)]],TRUE)*100,"")</f>
        <v/>
      </c>
    </row>
    <row r="4254" spans="1:12" x14ac:dyDescent="0.35">
      <c r="A4254" s="3"/>
      <c r="B4254" s="2"/>
      <c r="C4254" s="2"/>
      <c r="D4254" s="2" t="b">
        <f>IF(AND(NOT(ISBLANK(Table1[[#This Row],[Fetal Sex (Male, Female or Unknown)]])),ISNUMBER(Table1[[#This Row],[Birthweight (grams)]]),ISNUMBER(Table1[[#This Row],[Gestation (days)]])),TRUE,FALSE)</f>
        <v>0</v>
      </c>
      <c r="E4254" s="2" t="str">
        <f>IF(Table1[[#This Row],[Is Data Valid]]=TRUE,IF(Table1[[#This Row],[Fetal Sex (Male, Female or Unknown)]]="Male",Backend!$C$6,IF(Table1[[#This Row],[Fetal Sex (Male, Female or Unknown)]]="Female",Backend!$C$7,IF(Table1[[#This Row],[Fetal Sex (Male, Female or Unknown)]]="Unknown",Backend!$C$8,"Error"))),"")</f>
        <v/>
      </c>
      <c r="F4254" s="8" t="str">
        <f>IF(Table1[[#This Row],[Is Data Valid]]=TRUE,EXP(0.578+0.332*((Table1[[#This Row],[Gestation (days)]]+0.5)/7)-0.00354*((Table1[[#This Row],[Gestation (days)]]+0.5)/7)^2)*Table1[[#This Row],[BW40_3705]],"")</f>
        <v/>
      </c>
      <c r="G4254" s="2" t="str">
        <f>IF(Table1[[#This Row],[Is Data Valid]]=TRUE,((Table1[[#This Row],[Birthweight (grams)]]/Table1[[#This Row],[BW_GA]])-1)/(Backend!$B$4/100*Table1[[#This Row],[BW40_3705]]),"")</f>
        <v/>
      </c>
      <c r="H4254" s="7" t="str">
        <f>IF(Table1[[#This Row],[Is Data Valid]]=TRUE,((Table1[[#This Row],[Birthweight (grams)]]*0.9/Table1[[#This Row],[BW_GA]])-1)/(Backend!$B$4/100*Table1[[#This Row],[BW40_3705]]),"")</f>
        <v/>
      </c>
      <c r="I4254" s="7" t="str">
        <f>IF(Table1[[#This Row],[Is Data Valid]]=TRUE,((Table1[[#This Row],[Birthweight (grams)]]*1.1/Table1[[#This Row],[BW_GA]])-1)/(Backend!$B$4/100*Table1[[#This Row],[BW40_3705]]),"")</f>
        <v/>
      </c>
      <c r="J4254" s="7" t="str">
        <f>IF(Table1[[#This Row],[Is Data Valid]]=TRUE,_xlfn.NORM.S.DIST(Table1[[#This Row],[Birthweight Z-Score]],TRUE)*100,"")</f>
        <v/>
      </c>
      <c r="K4254" s="7" t="str">
        <f>IF(Table1[[#This Row],[Is Data Valid]]=TRUE,_xlfn.NORM.S.DIST(Table1[[#This Row],[Birthweight Z-Score (BW-10%)]],TRUE)*100,"")</f>
        <v/>
      </c>
      <c r="L4254" s="7" t="str">
        <f>IF(Table1[[#This Row],[Is Data Valid]]=TRUE,_xlfn.NORM.S.DIST(Table1[[#This Row],[Birthweight Z-Score (BW+10%)]],TRUE)*100,"")</f>
        <v/>
      </c>
    </row>
    <row r="4255" spans="1:12" x14ac:dyDescent="0.35">
      <c r="A4255" s="3"/>
      <c r="B4255" s="2"/>
      <c r="C4255" s="2"/>
      <c r="D4255" s="2" t="b">
        <f>IF(AND(NOT(ISBLANK(Table1[[#This Row],[Fetal Sex (Male, Female or Unknown)]])),ISNUMBER(Table1[[#This Row],[Birthweight (grams)]]),ISNUMBER(Table1[[#This Row],[Gestation (days)]])),TRUE,FALSE)</f>
        <v>0</v>
      </c>
      <c r="E4255" s="2" t="str">
        <f>IF(Table1[[#This Row],[Is Data Valid]]=TRUE,IF(Table1[[#This Row],[Fetal Sex (Male, Female or Unknown)]]="Male",Backend!$C$6,IF(Table1[[#This Row],[Fetal Sex (Male, Female or Unknown)]]="Female",Backend!$C$7,IF(Table1[[#This Row],[Fetal Sex (Male, Female or Unknown)]]="Unknown",Backend!$C$8,"Error"))),"")</f>
        <v/>
      </c>
      <c r="F4255" s="8" t="str">
        <f>IF(Table1[[#This Row],[Is Data Valid]]=TRUE,EXP(0.578+0.332*((Table1[[#This Row],[Gestation (days)]]+0.5)/7)-0.00354*((Table1[[#This Row],[Gestation (days)]]+0.5)/7)^2)*Table1[[#This Row],[BW40_3705]],"")</f>
        <v/>
      </c>
      <c r="G4255" s="2" t="str">
        <f>IF(Table1[[#This Row],[Is Data Valid]]=TRUE,((Table1[[#This Row],[Birthweight (grams)]]/Table1[[#This Row],[BW_GA]])-1)/(Backend!$B$4/100*Table1[[#This Row],[BW40_3705]]),"")</f>
        <v/>
      </c>
      <c r="H4255" s="7" t="str">
        <f>IF(Table1[[#This Row],[Is Data Valid]]=TRUE,((Table1[[#This Row],[Birthweight (grams)]]*0.9/Table1[[#This Row],[BW_GA]])-1)/(Backend!$B$4/100*Table1[[#This Row],[BW40_3705]]),"")</f>
        <v/>
      </c>
      <c r="I4255" s="7" t="str">
        <f>IF(Table1[[#This Row],[Is Data Valid]]=TRUE,((Table1[[#This Row],[Birthweight (grams)]]*1.1/Table1[[#This Row],[BW_GA]])-1)/(Backend!$B$4/100*Table1[[#This Row],[BW40_3705]]),"")</f>
        <v/>
      </c>
      <c r="J4255" s="7" t="str">
        <f>IF(Table1[[#This Row],[Is Data Valid]]=TRUE,_xlfn.NORM.S.DIST(Table1[[#This Row],[Birthweight Z-Score]],TRUE)*100,"")</f>
        <v/>
      </c>
      <c r="K4255" s="7" t="str">
        <f>IF(Table1[[#This Row],[Is Data Valid]]=TRUE,_xlfn.NORM.S.DIST(Table1[[#This Row],[Birthweight Z-Score (BW-10%)]],TRUE)*100,"")</f>
        <v/>
      </c>
      <c r="L4255" s="7" t="str">
        <f>IF(Table1[[#This Row],[Is Data Valid]]=TRUE,_xlfn.NORM.S.DIST(Table1[[#This Row],[Birthweight Z-Score (BW+10%)]],TRUE)*100,"")</f>
        <v/>
      </c>
    </row>
    <row r="4256" spans="1:12" x14ac:dyDescent="0.35">
      <c r="A4256" s="3"/>
      <c r="B4256" s="2"/>
      <c r="C4256" s="2"/>
      <c r="D4256" s="2" t="b">
        <f>IF(AND(NOT(ISBLANK(Table1[[#This Row],[Fetal Sex (Male, Female or Unknown)]])),ISNUMBER(Table1[[#This Row],[Birthweight (grams)]]),ISNUMBER(Table1[[#This Row],[Gestation (days)]])),TRUE,FALSE)</f>
        <v>0</v>
      </c>
      <c r="E4256" s="2" t="str">
        <f>IF(Table1[[#This Row],[Is Data Valid]]=TRUE,IF(Table1[[#This Row],[Fetal Sex (Male, Female or Unknown)]]="Male",Backend!$C$6,IF(Table1[[#This Row],[Fetal Sex (Male, Female or Unknown)]]="Female",Backend!$C$7,IF(Table1[[#This Row],[Fetal Sex (Male, Female or Unknown)]]="Unknown",Backend!$C$8,"Error"))),"")</f>
        <v/>
      </c>
      <c r="F4256" s="8" t="str">
        <f>IF(Table1[[#This Row],[Is Data Valid]]=TRUE,EXP(0.578+0.332*((Table1[[#This Row],[Gestation (days)]]+0.5)/7)-0.00354*((Table1[[#This Row],[Gestation (days)]]+0.5)/7)^2)*Table1[[#This Row],[BW40_3705]],"")</f>
        <v/>
      </c>
      <c r="G4256" s="2" t="str">
        <f>IF(Table1[[#This Row],[Is Data Valid]]=TRUE,((Table1[[#This Row],[Birthweight (grams)]]/Table1[[#This Row],[BW_GA]])-1)/(Backend!$B$4/100*Table1[[#This Row],[BW40_3705]]),"")</f>
        <v/>
      </c>
      <c r="H4256" s="7" t="str">
        <f>IF(Table1[[#This Row],[Is Data Valid]]=TRUE,((Table1[[#This Row],[Birthweight (grams)]]*0.9/Table1[[#This Row],[BW_GA]])-1)/(Backend!$B$4/100*Table1[[#This Row],[BW40_3705]]),"")</f>
        <v/>
      </c>
      <c r="I4256" s="7" t="str">
        <f>IF(Table1[[#This Row],[Is Data Valid]]=TRUE,((Table1[[#This Row],[Birthweight (grams)]]*1.1/Table1[[#This Row],[BW_GA]])-1)/(Backend!$B$4/100*Table1[[#This Row],[BW40_3705]]),"")</f>
        <v/>
      </c>
      <c r="J4256" s="7" t="str">
        <f>IF(Table1[[#This Row],[Is Data Valid]]=TRUE,_xlfn.NORM.S.DIST(Table1[[#This Row],[Birthweight Z-Score]],TRUE)*100,"")</f>
        <v/>
      </c>
      <c r="K4256" s="7" t="str">
        <f>IF(Table1[[#This Row],[Is Data Valid]]=TRUE,_xlfn.NORM.S.DIST(Table1[[#This Row],[Birthweight Z-Score (BW-10%)]],TRUE)*100,"")</f>
        <v/>
      </c>
      <c r="L4256" s="7" t="str">
        <f>IF(Table1[[#This Row],[Is Data Valid]]=TRUE,_xlfn.NORM.S.DIST(Table1[[#This Row],[Birthweight Z-Score (BW+10%)]],TRUE)*100,"")</f>
        <v/>
      </c>
    </row>
    <row r="4257" spans="1:12" x14ac:dyDescent="0.35">
      <c r="A4257" s="3"/>
      <c r="B4257" s="2"/>
      <c r="C4257" s="2"/>
      <c r="D4257" s="2" t="b">
        <f>IF(AND(NOT(ISBLANK(Table1[[#This Row],[Fetal Sex (Male, Female or Unknown)]])),ISNUMBER(Table1[[#This Row],[Birthweight (grams)]]),ISNUMBER(Table1[[#This Row],[Gestation (days)]])),TRUE,FALSE)</f>
        <v>0</v>
      </c>
      <c r="E4257" s="2" t="str">
        <f>IF(Table1[[#This Row],[Is Data Valid]]=TRUE,IF(Table1[[#This Row],[Fetal Sex (Male, Female or Unknown)]]="Male",Backend!$C$6,IF(Table1[[#This Row],[Fetal Sex (Male, Female or Unknown)]]="Female",Backend!$C$7,IF(Table1[[#This Row],[Fetal Sex (Male, Female or Unknown)]]="Unknown",Backend!$C$8,"Error"))),"")</f>
        <v/>
      </c>
      <c r="F4257" s="8" t="str">
        <f>IF(Table1[[#This Row],[Is Data Valid]]=TRUE,EXP(0.578+0.332*((Table1[[#This Row],[Gestation (days)]]+0.5)/7)-0.00354*((Table1[[#This Row],[Gestation (days)]]+0.5)/7)^2)*Table1[[#This Row],[BW40_3705]],"")</f>
        <v/>
      </c>
      <c r="G4257" s="2" t="str">
        <f>IF(Table1[[#This Row],[Is Data Valid]]=TRUE,((Table1[[#This Row],[Birthweight (grams)]]/Table1[[#This Row],[BW_GA]])-1)/(Backend!$B$4/100*Table1[[#This Row],[BW40_3705]]),"")</f>
        <v/>
      </c>
      <c r="H4257" s="7" t="str">
        <f>IF(Table1[[#This Row],[Is Data Valid]]=TRUE,((Table1[[#This Row],[Birthweight (grams)]]*0.9/Table1[[#This Row],[BW_GA]])-1)/(Backend!$B$4/100*Table1[[#This Row],[BW40_3705]]),"")</f>
        <v/>
      </c>
      <c r="I4257" s="7" t="str">
        <f>IF(Table1[[#This Row],[Is Data Valid]]=TRUE,((Table1[[#This Row],[Birthweight (grams)]]*1.1/Table1[[#This Row],[BW_GA]])-1)/(Backend!$B$4/100*Table1[[#This Row],[BW40_3705]]),"")</f>
        <v/>
      </c>
      <c r="J4257" s="7" t="str">
        <f>IF(Table1[[#This Row],[Is Data Valid]]=TRUE,_xlfn.NORM.S.DIST(Table1[[#This Row],[Birthweight Z-Score]],TRUE)*100,"")</f>
        <v/>
      </c>
      <c r="K4257" s="7" t="str">
        <f>IF(Table1[[#This Row],[Is Data Valid]]=TRUE,_xlfn.NORM.S.DIST(Table1[[#This Row],[Birthweight Z-Score (BW-10%)]],TRUE)*100,"")</f>
        <v/>
      </c>
      <c r="L4257" s="7" t="str">
        <f>IF(Table1[[#This Row],[Is Data Valid]]=TRUE,_xlfn.NORM.S.DIST(Table1[[#This Row],[Birthweight Z-Score (BW+10%)]],TRUE)*100,"")</f>
        <v/>
      </c>
    </row>
    <row r="4258" spans="1:12" x14ac:dyDescent="0.35">
      <c r="A4258" s="3"/>
      <c r="B4258" s="2"/>
      <c r="C4258" s="2"/>
      <c r="D4258" s="2" t="b">
        <f>IF(AND(NOT(ISBLANK(Table1[[#This Row],[Fetal Sex (Male, Female or Unknown)]])),ISNUMBER(Table1[[#This Row],[Birthweight (grams)]]),ISNUMBER(Table1[[#This Row],[Gestation (days)]])),TRUE,FALSE)</f>
        <v>0</v>
      </c>
      <c r="E4258" s="2" t="str">
        <f>IF(Table1[[#This Row],[Is Data Valid]]=TRUE,IF(Table1[[#This Row],[Fetal Sex (Male, Female or Unknown)]]="Male",Backend!$C$6,IF(Table1[[#This Row],[Fetal Sex (Male, Female or Unknown)]]="Female",Backend!$C$7,IF(Table1[[#This Row],[Fetal Sex (Male, Female or Unknown)]]="Unknown",Backend!$C$8,"Error"))),"")</f>
        <v/>
      </c>
      <c r="F4258" s="8" t="str">
        <f>IF(Table1[[#This Row],[Is Data Valid]]=TRUE,EXP(0.578+0.332*((Table1[[#This Row],[Gestation (days)]]+0.5)/7)-0.00354*((Table1[[#This Row],[Gestation (days)]]+0.5)/7)^2)*Table1[[#This Row],[BW40_3705]],"")</f>
        <v/>
      </c>
      <c r="G4258" s="2" t="str">
        <f>IF(Table1[[#This Row],[Is Data Valid]]=TRUE,((Table1[[#This Row],[Birthweight (grams)]]/Table1[[#This Row],[BW_GA]])-1)/(Backend!$B$4/100*Table1[[#This Row],[BW40_3705]]),"")</f>
        <v/>
      </c>
      <c r="H4258" s="7" t="str">
        <f>IF(Table1[[#This Row],[Is Data Valid]]=TRUE,((Table1[[#This Row],[Birthweight (grams)]]*0.9/Table1[[#This Row],[BW_GA]])-1)/(Backend!$B$4/100*Table1[[#This Row],[BW40_3705]]),"")</f>
        <v/>
      </c>
      <c r="I4258" s="7" t="str">
        <f>IF(Table1[[#This Row],[Is Data Valid]]=TRUE,((Table1[[#This Row],[Birthweight (grams)]]*1.1/Table1[[#This Row],[BW_GA]])-1)/(Backend!$B$4/100*Table1[[#This Row],[BW40_3705]]),"")</f>
        <v/>
      </c>
      <c r="J4258" s="7" t="str">
        <f>IF(Table1[[#This Row],[Is Data Valid]]=TRUE,_xlfn.NORM.S.DIST(Table1[[#This Row],[Birthweight Z-Score]],TRUE)*100,"")</f>
        <v/>
      </c>
      <c r="K4258" s="7" t="str">
        <f>IF(Table1[[#This Row],[Is Data Valid]]=TRUE,_xlfn.NORM.S.DIST(Table1[[#This Row],[Birthweight Z-Score (BW-10%)]],TRUE)*100,"")</f>
        <v/>
      </c>
      <c r="L4258" s="7" t="str">
        <f>IF(Table1[[#This Row],[Is Data Valid]]=TRUE,_xlfn.NORM.S.DIST(Table1[[#This Row],[Birthweight Z-Score (BW+10%)]],TRUE)*100,"")</f>
        <v/>
      </c>
    </row>
    <row r="4259" spans="1:12" x14ac:dyDescent="0.35">
      <c r="A4259" s="3"/>
      <c r="B4259" s="2"/>
      <c r="C4259" s="2"/>
      <c r="D4259" s="2" t="b">
        <f>IF(AND(NOT(ISBLANK(Table1[[#This Row],[Fetal Sex (Male, Female or Unknown)]])),ISNUMBER(Table1[[#This Row],[Birthweight (grams)]]),ISNUMBER(Table1[[#This Row],[Gestation (days)]])),TRUE,FALSE)</f>
        <v>0</v>
      </c>
      <c r="E4259" s="2" t="str">
        <f>IF(Table1[[#This Row],[Is Data Valid]]=TRUE,IF(Table1[[#This Row],[Fetal Sex (Male, Female or Unknown)]]="Male",Backend!$C$6,IF(Table1[[#This Row],[Fetal Sex (Male, Female or Unknown)]]="Female",Backend!$C$7,IF(Table1[[#This Row],[Fetal Sex (Male, Female or Unknown)]]="Unknown",Backend!$C$8,"Error"))),"")</f>
        <v/>
      </c>
      <c r="F4259" s="8" t="str">
        <f>IF(Table1[[#This Row],[Is Data Valid]]=TRUE,EXP(0.578+0.332*((Table1[[#This Row],[Gestation (days)]]+0.5)/7)-0.00354*((Table1[[#This Row],[Gestation (days)]]+0.5)/7)^2)*Table1[[#This Row],[BW40_3705]],"")</f>
        <v/>
      </c>
      <c r="G4259" s="2" t="str">
        <f>IF(Table1[[#This Row],[Is Data Valid]]=TRUE,((Table1[[#This Row],[Birthweight (grams)]]/Table1[[#This Row],[BW_GA]])-1)/(Backend!$B$4/100*Table1[[#This Row],[BW40_3705]]),"")</f>
        <v/>
      </c>
      <c r="H4259" s="7" t="str">
        <f>IF(Table1[[#This Row],[Is Data Valid]]=TRUE,((Table1[[#This Row],[Birthweight (grams)]]*0.9/Table1[[#This Row],[BW_GA]])-1)/(Backend!$B$4/100*Table1[[#This Row],[BW40_3705]]),"")</f>
        <v/>
      </c>
      <c r="I4259" s="7" t="str">
        <f>IF(Table1[[#This Row],[Is Data Valid]]=TRUE,((Table1[[#This Row],[Birthweight (grams)]]*1.1/Table1[[#This Row],[BW_GA]])-1)/(Backend!$B$4/100*Table1[[#This Row],[BW40_3705]]),"")</f>
        <v/>
      </c>
      <c r="J4259" s="7" t="str">
        <f>IF(Table1[[#This Row],[Is Data Valid]]=TRUE,_xlfn.NORM.S.DIST(Table1[[#This Row],[Birthweight Z-Score]],TRUE)*100,"")</f>
        <v/>
      </c>
      <c r="K4259" s="7" t="str">
        <f>IF(Table1[[#This Row],[Is Data Valid]]=TRUE,_xlfn.NORM.S.DIST(Table1[[#This Row],[Birthweight Z-Score (BW-10%)]],TRUE)*100,"")</f>
        <v/>
      </c>
      <c r="L4259" s="7" t="str">
        <f>IF(Table1[[#This Row],[Is Data Valid]]=TRUE,_xlfn.NORM.S.DIST(Table1[[#This Row],[Birthweight Z-Score (BW+10%)]],TRUE)*100,"")</f>
        <v/>
      </c>
    </row>
    <row r="4260" spans="1:12" x14ac:dyDescent="0.35">
      <c r="A4260" s="3"/>
      <c r="B4260" s="2"/>
      <c r="C4260" s="2"/>
      <c r="D4260" s="2" t="b">
        <f>IF(AND(NOT(ISBLANK(Table1[[#This Row],[Fetal Sex (Male, Female or Unknown)]])),ISNUMBER(Table1[[#This Row],[Birthweight (grams)]]),ISNUMBER(Table1[[#This Row],[Gestation (days)]])),TRUE,FALSE)</f>
        <v>0</v>
      </c>
      <c r="E4260" s="2" t="str">
        <f>IF(Table1[[#This Row],[Is Data Valid]]=TRUE,IF(Table1[[#This Row],[Fetal Sex (Male, Female or Unknown)]]="Male",Backend!$C$6,IF(Table1[[#This Row],[Fetal Sex (Male, Female or Unknown)]]="Female",Backend!$C$7,IF(Table1[[#This Row],[Fetal Sex (Male, Female or Unknown)]]="Unknown",Backend!$C$8,"Error"))),"")</f>
        <v/>
      </c>
      <c r="F4260" s="8" t="str">
        <f>IF(Table1[[#This Row],[Is Data Valid]]=TRUE,EXP(0.578+0.332*((Table1[[#This Row],[Gestation (days)]]+0.5)/7)-0.00354*((Table1[[#This Row],[Gestation (days)]]+0.5)/7)^2)*Table1[[#This Row],[BW40_3705]],"")</f>
        <v/>
      </c>
      <c r="G4260" s="2" t="str">
        <f>IF(Table1[[#This Row],[Is Data Valid]]=TRUE,((Table1[[#This Row],[Birthweight (grams)]]/Table1[[#This Row],[BW_GA]])-1)/(Backend!$B$4/100*Table1[[#This Row],[BW40_3705]]),"")</f>
        <v/>
      </c>
      <c r="H4260" s="7" t="str">
        <f>IF(Table1[[#This Row],[Is Data Valid]]=TRUE,((Table1[[#This Row],[Birthweight (grams)]]*0.9/Table1[[#This Row],[BW_GA]])-1)/(Backend!$B$4/100*Table1[[#This Row],[BW40_3705]]),"")</f>
        <v/>
      </c>
      <c r="I4260" s="7" t="str">
        <f>IF(Table1[[#This Row],[Is Data Valid]]=TRUE,((Table1[[#This Row],[Birthweight (grams)]]*1.1/Table1[[#This Row],[BW_GA]])-1)/(Backend!$B$4/100*Table1[[#This Row],[BW40_3705]]),"")</f>
        <v/>
      </c>
      <c r="J4260" s="7" t="str">
        <f>IF(Table1[[#This Row],[Is Data Valid]]=TRUE,_xlfn.NORM.S.DIST(Table1[[#This Row],[Birthweight Z-Score]],TRUE)*100,"")</f>
        <v/>
      </c>
      <c r="K4260" s="7" t="str">
        <f>IF(Table1[[#This Row],[Is Data Valid]]=TRUE,_xlfn.NORM.S.DIST(Table1[[#This Row],[Birthweight Z-Score (BW-10%)]],TRUE)*100,"")</f>
        <v/>
      </c>
      <c r="L4260" s="7" t="str">
        <f>IF(Table1[[#This Row],[Is Data Valid]]=TRUE,_xlfn.NORM.S.DIST(Table1[[#This Row],[Birthweight Z-Score (BW+10%)]],TRUE)*100,"")</f>
        <v/>
      </c>
    </row>
    <row r="4261" spans="1:12" x14ac:dyDescent="0.35">
      <c r="A4261" s="3"/>
      <c r="B4261" s="2"/>
      <c r="C4261" s="2"/>
      <c r="D4261" s="2" t="b">
        <f>IF(AND(NOT(ISBLANK(Table1[[#This Row],[Fetal Sex (Male, Female or Unknown)]])),ISNUMBER(Table1[[#This Row],[Birthweight (grams)]]),ISNUMBER(Table1[[#This Row],[Gestation (days)]])),TRUE,FALSE)</f>
        <v>0</v>
      </c>
      <c r="E4261" s="2" t="str">
        <f>IF(Table1[[#This Row],[Is Data Valid]]=TRUE,IF(Table1[[#This Row],[Fetal Sex (Male, Female or Unknown)]]="Male",Backend!$C$6,IF(Table1[[#This Row],[Fetal Sex (Male, Female or Unknown)]]="Female",Backend!$C$7,IF(Table1[[#This Row],[Fetal Sex (Male, Female or Unknown)]]="Unknown",Backend!$C$8,"Error"))),"")</f>
        <v/>
      </c>
      <c r="F4261" s="8" t="str">
        <f>IF(Table1[[#This Row],[Is Data Valid]]=TRUE,EXP(0.578+0.332*((Table1[[#This Row],[Gestation (days)]]+0.5)/7)-0.00354*((Table1[[#This Row],[Gestation (days)]]+0.5)/7)^2)*Table1[[#This Row],[BW40_3705]],"")</f>
        <v/>
      </c>
      <c r="G4261" s="2" t="str">
        <f>IF(Table1[[#This Row],[Is Data Valid]]=TRUE,((Table1[[#This Row],[Birthweight (grams)]]/Table1[[#This Row],[BW_GA]])-1)/(Backend!$B$4/100*Table1[[#This Row],[BW40_3705]]),"")</f>
        <v/>
      </c>
      <c r="H4261" s="7" t="str">
        <f>IF(Table1[[#This Row],[Is Data Valid]]=TRUE,((Table1[[#This Row],[Birthweight (grams)]]*0.9/Table1[[#This Row],[BW_GA]])-1)/(Backend!$B$4/100*Table1[[#This Row],[BW40_3705]]),"")</f>
        <v/>
      </c>
      <c r="I4261" s="7" t="str">
        <f>IF(Table1[[#This Row],[Is Data Valid]]=TRUE,((Table1[[#This Row],[Birthweight (grams)]]*1.1/Table1[[#This Row],[BW_GA]])-1)/(Backend!$B$4/100*Table1[[#This Row],[BW40_3705]]),"")</f>
        <v/>
      </c>
      <c r="J4261" s="7" t="str">
        <f>IF(Table1[[#This Row],[Is Data Valid]]=TRUE,_xlfn.NORM.S.DIST(Table1[[#This Row],[Birthweight Z-Score]],TRUE)*100,"")</f>
        <v/>
      </c>
      <c r="K4261" s="7" t="str">
        <f>IF(Table1[[#This Row],[Is Data Valid]]=TRUE,_xlfn.NORM.S.DIST(Table1[[#This Row],[Birthweight Z-Score (BW-10%)]],TRUE)*100,"")</f>
        <v/>
      </c>
      <c r="L4261" s="7" t="str">
        <f>IF(Table1[[#This Row],[Is Data Valid]]=TRUE,_xlfn.NORM.S.DIST(Table1[[#This Row],[Birthweight Z-Score (BW+10%)]],TRUE)*100,"")</f>
        <v/>
      </c>
    </row>
    <row r="4262" spans="1:12" x14ac:dyDescent="0.35">
      <c r="A4262" s="3"/>
      <c r="B4262" s="2"/>
      <c r="C4262" s="2"/>
      <c r="D4262" s="2" t="b">
        <f>IF(AND(NOT(ISBLANK(Table1[[#This Row],[Fetal Sex (Male, Female or Unknown)]])),ISNUMBER(Table1[[#This Row],[Birthweight (grams)]]),ISNUMBER(Table1[[#This Row],[Gestation (days)]])),TRUE,FALSE)</f>
        <v>0</v>
      </c>
      <c r="E4262" s="2" t="str">
        <f>IF(Table1[[#This Row],[Is Data Valid]]=TRUE,IF(Table1[[#This Row],[Fetal Sex (Male, Female or Unknown)]]="Male",Backend!$C$6,IF(Table1[[#This Row],[Fetal Sex (Male, Female or Unknown)]]="Female",Backend!$C$7,IF(Table1[[#This Row],[Fetal Sex (Male, Female or Unknown)]]="Unknown",Backend!$C$8,"Error"))),"")</f>
        <v/>
      </c>
      <c r="F4262" s="8" t="str">
        <f>IF(Table1[[#This Row],[Is Data Valid]]=TRUE,EXP(0.578+0.332*((Table1[[#This Row],[Gestation (days)]]+0.5)/7)-0.00354*((Table1[[#This Row],[Gestation (days)]]+0.5)/7)^2)*Table1[[#This Row],[BW40_3705]],"")</f>
        <v/>
      </c>
      <c r="G4262" s="2" t="str">
        <f>IF(Table1[[#This Row],[Is Data Valid]]=TRUE,((Table1[[#This Row],[Birthweight (grams)]]/Table1[[#This Row],[BW_GA]])-1)/(Backend!$B$4/100*Table1[[#This Row],[BW40_3705]]),"")</f>
        <v/>
      </c>
      <c r="H4262" s="7" t="str">
        <f>IF(Table1[[#This Row],[Is Data Valid]]=TRUE,((Table1[[#This Row],[Birthweight (grams)]]*0.9/Table1[[#This Row],[BW_GA]])-1)/(Backend!$B$4/100*Table1[[#This Row],[BW40_3705]]),"")</f>
        <v/>
      </c>
      <c r="I4262" s="7" t="str">
        <f>IF(Table1[[#This Row],[Is Data Valid]]=TRUE,((Table1[[#This Row],[Birthweight (grams)]]*1.1/Table1[[#This Row],[BW_GA]])-1)/(Backend!$B$4/100*Table1[[#This Row],[BW40_3705]]),"")</f>
        <v/>
      </c>
      <c r="J4262" s="7" t="str">
        <f>IF(Table1[[#This Row],[Is Data Valid]]=TRUE,_xlfn.NORM.S.DIST(Table1[[#This Row],[Birthweight Z-Score]],TRUE)*100,"")</f>
        <v/>
      </c>
      <c r="K4262" s="7" t="str">
        <f>IF(Table1[[#This Row],[Is Data Valid]]=TRUE,_xlfn.NORM.S.DIST(Table1[[#This Row],[Birthweight Z-Score (BW-10%)]],TRUE)*100,"")</f>
        <v/>
      </c>
      <c r="L4262" s="7" t="str">
        <f>IF(Table1[[#This Row],[Is Data Valid]]=TRUE,_xlfn.NORM.S.DIST(Table1[[#This Row],[Birthweight Z-Score (BW+10%)]],TRUE)*100,"")</f>
        <v/>
      </c>
    </row>
    <row r="4263" spans="1:12" x14ac:dyDescent="0.35">
      <c r="A4263" s="3"/>
      <c r="B4263" s="2"/>
      <c r="C4263" s="2"/>
      <c r="D4263" s="2" t="b">
        <f>IF(AND(NOT(ISBLANK(Table1[[#This Row],[Fetal Sex (Male, Female or Unknown)]])),ISNUMBER(Table1[[#This Row],[Birthweight (grams)]]),ISNUMBER(Table1[[#This Row],[Gestation (days)]])),TRUE,FALSE)</f>
        <v>0</v>
      </c>
      <c r="E4263" s="2" t="str">
        <f>IF(Table1[[#This Row],[Is Data Valid]]=TRUE,IF(Table1[[#This Row],[Fetal Sex (Male, Female or Unknown)]]="Male",Backend!$C$6,IF(Table1[[#This Row],[Fetal Sex (Male, Female or Unknown)]]="Female",Backend!$C$7,IF(Table1[[#This Row],[Fetal Sex (Male, Female or Unknown)]]="Unknown",Backend!$C$8,"Error"))),"")</f>
        <v/>
      </c>
      <c r="F4263" s="8" t="str">
        <f>IF(Table1[[#This Row],[Is Data Valid]]=TRUE,EXP(0.578+0.332*((Table1[[#This Row],[Gestation (days)]]+0.5)/7)-0.00354*((Table1[[#This Row],[Gestation (days)]]+0.5)/7)^2)*Table1[[#This Row],[BW40_3705]],"")</f>
        <v/>
      </c>
      <c r="G4263" s="2" t="str">
        <f>IF(Table1[[#This Row],[Is Data Valid]]=TRUE,((Table1[[#This Row],[Birthweight (grams)]]/Table1[[#This Row],[BW_GA]])-1)/(Backend!$B$4/100*Table1[[#This Row],[BW40_3705]]),"")</f>
        <v/>
      </c>
      <c r="H4263" s="7" t="str">
        <f>IF(Table1[[#This Row],[Is Data Valid]]=TRUE,((Table1[[#This Row],[Birthweight (grams)]]*0.9/Table1[[#This Row],[BW_GA]])-1)/(Backend!$B$4/100*Table1[[#This Row],[BW40_3705]]),"")</f>
        <v/>
      </c>
      <c r="I4263" s="7" t="str">
        <f>IF(Table1[[#This Row],[Is Data Valid]]=TRUE,((Table1[[#This Row],[Birthweight (grams)]]*1.1/Table1[[#This Row],[BW_GA]])-1)/(Backend!$B$4/100*Table1[[#This Row],[BW40_3705]]),"")</f>
        <v/>
      </c>
      <c r="J4263" s="7" t="str">
        <f>IF(Table1[[#This Row],[Is Data Valid]]=TRUE,_xlfn.NORM.S.DIST(Table1[[#This Row],[Birthweight Z-Score]],TRUE)*100,"")</f>
        <v/>
      </c>
      <c r="K4263" s="7" t="str">
        <f>IF(Table1[[#This Row],[Is Data Valid]]=TRUE,_xlfn.NORM.S.DIST(Table1[[#This Row],[Birthweight Z-Score (BW-10%)]],TRUE)*100,"")</f>
        <v/>
      </c>
      <c r="L4263" s="7" t="str">
        <f>IF(Table1[[#This Row],[Is Data Valid]]=TRUE,_xlfn.NORM.S.DIST(Table1[[#This Row],[Birthweight Z-Score (BW+10%)]],TRUE)*100,"")</f>
        <v/>
      </c>
    </row>
    <row r="4264" spans="1:12" x14ac:dyDescent="0.35">
      <c r="A4264" s="3"/>
      <c r="B4264" s="2"/>
      <c r="C4264" s="2"/>
      <c r="D4264" s="2" t="b">
        <f>IF(AND(NOT(ISBLANK(Table1[[#This Row],[Fetal Sex (Male, Female or Unknown)]])),ISNUMBER(Table1[[#This Row],[Birthweight (grams)]]),ISNUMBER(Table1[[#This Row],[Gestation (days)]])),TRUE,FALSE)</f>
        <v>0</v>
      </c>
      <c r="E4264" s="2" t="str">
        <f>IF(Table1[[#This Row],[Is Data Valid]]=TRUE,IF(Table1[[#This Row],[Fetal Sex (Male, Female or Unknown)]]="Male",Backend!$C$6,IF(Table1[[#This Row],[Fetal Sex (Male, Female or Unknown)]]="Female",Backend!$C$7,IF(Table1[[#This Row],[Fetal Sex (Male, Female or Unknown)]]="Unknown",Backend!$C$8,"Error"))),"")</f>
        <v/>
      </c>
      <c r="F4264" s="8" t="str">
        <f>IF(Table1[[#This Row],[Is Data Valid]]=TRUE,EXP(0.578+0.332*((Table1[[#This Row],[Gestation (days)]]+0.5)/7)-0.00354*((Table1[[#This Row],[Gestation (days)]]+0.5)/7)^2)*Table1[[#This Row],[BW40_3705]],"")</f>
        <v/>
      </c>
      <c r="G4264" s="2" t="str">
        <f>IF(Table1[[#This Row],[Is Data Valid]]=TRUE,((Table1[[#This Row],[Birthweight (grams)]]/Table1[[#This Row],[BW_GA]])-1)/(Backend!$B$4/100*Table1[[#This Row],[BW40_3705]]),"")</f>
        <v/>
      </c>
      <c r="H4264" s="7" t="str">
        <f>IF(Table1[[#This Row],[Is Data Valid]]=TRUE,((Table1[[#This Row],[Birthweight (grams)]]*0.9/Table1[[#This Row],[BW_GA]])-1)/(Backend!$B$4/100*Table1[[#This Row],[BW40_3705]]),"")</f>
        <v/>
      </c>
      <c r="I4264" s="7" t="str">
        <f>IF(Table1[[#This Row],[Is Data Valid]]=TRUE,((Table1[[#This Row],[Birthweight (grams)]]*1.1/Table1[[#This Row],[BW_GA]])-1)/(Backend!$B$4/100*Table1[[#This Row],[BW40_3705]]),"")</f>
        <v/>
      </c>
      <c r="J4264" s="7" t="str">
        <f>IF(Table1[[#This Row],[Is Data Valid]]=TRUE,_xlfn.NORM.S.DIST(Table1[[#This Row],[Birthweight Z-Score]],TRUE)*100,"")</f>
        <v/>
      </c>
      <c r="K4264" s="7" t="str">
        <f>IF(Table1[[#This Row],[Is Data Valid]]=TRUE,_xlfn.NORM.S.DIST(Table1[[#This Row],[Birthweight Z-Score (BW-10%)]],TRUE)*100,"")</f>
        <v/>
      </c>
      <c r="L4264" s="7" t="str">
        <f>IF(Table1[[#This Row],[Is Data Valid]]=TRUE,_xlfn.NORM.S.DIST(Table1[[#This Row],[Birthweight Z-Score (BW+10%)]],TRUE)*100,"")</f>
        <v/>
      </c>
    </row>
    <row r="4265" spans="1:12" x14ac:dyDescent="0.35">
      <c r="A4265" s="3"/>
      <c r="B4265" s="2"/>
      <c r="C4265" s="2"/>
      <c r="D4265" s="2" t="b">
        <f>IF(AND(NOT(ISBLANK(Table1[[#This Row],[Fetal Sex (Male, Female or Unknown)]])),ISNUMBER(Table1[[#This Row],[Birthweight (grams)]]),ISNUMBER(Table1[[#This Row],[Gestation (days)]])),TRUE,FALSE)</f>
        <v>0</v>
      </c>
      <c r="E4265" s="2" t="str">
        <f>IF(Table1[[#This Row],[Is Data Valid]]=TRUE,IF(Table1[[#This Row],[Fetal Sex (Male, Female or Unknown)]]="Male",Backend!$C$6,IF(Table1[[#This Row],[Fetal Sex (Male, Female or Unknown)]]="Female",Backend!$C$7,IF(Table1[[#This Row],[Fetal Sex (Male, Female or Unknown)]]="Unknown",Backend!$C$8,"Error"))),"")</f>
        <v/>
      </c>
      <c r="F4265" s="8" t="str">
        <f>IF(Table1[[#This Row],[Is Data Valid]]=TRUE,EXP(0.578+0.332*((Table1[[#This Row],[Gestation (days)]]+0.5)/7)-0.00354*((Table1[[#This Row],[Gestation (days)]]+0.5)/7)^2)*Table1[[#This Row],[BW40_3705]],"")</f>
        <v/>
      </c>
      <c r="G4265" s="2" t="str">
        <f>IF(Table1[[#This Row],[Is Data Valid]]=TRUE,((Table1[[#This Row],[Birthweight (grams)]]/Table1[[#This Row],[BW_GA]])-1)/(Backend!$B$4/100*Table1[[#This Row],[BW40_3705]]),"")</f>
        <v/>
      </c>
      <c r="H4265" s="7" t="str">
        <f>IF(Table1[[#This Row],[Is Data Valid]]=TRUE,((Table1[[#This Row],[Birthweight (grams)]]*0.9/Table1[[#This Row],[BW_GA]])-1)/(Backend!$B$4/100*Table1[[#This Row],[BW40_3705]]),"")</f>
        <v/>
      </c>
      <c r="I4265" s="7" t="str">
        <f>IF(Table1[[#This Row],[Is Data Valid]]=TRUE,((Table1[[#This Row],[Birthweight (grams)]]*1.1/Table1[[#This Row],[BW_GA]])-1)/(Backend!$B$4/100*Table1[[#This Row],[BW40_3705]]),"")</f>
        <v/>
      </c>
      <c r="J4265" s="7" t="str">
        <f>IF(Table1[[#This Row],[Is Data Valid]]=TRUE,_xlfn.NORM.S.DIST(Table1[[#This Row],[Birthweight Z-Score]],TRUE)*100,"")</f>
        <v/>
      </c>
      <c r="K4265" s="7" t="str">
        <f>IF(Table1[[#This Row],[Is Data Valid]]=TRUE,_xlfn.NORM.S.DIST(Table1[[#This Row],[Birthweight Z-Score (BW-10%)]],TRUE)*100,"")</f>
        <v/>
      </c>
      <c r="L4265" s="7" t="str">
        <f>IF(Table1[[#This Row],[Is Data Valid]]=TRUE,_xlfn.NORM.S.DIST(Table1[[#This Row],[Birthweight Z-Score (BW+10%)]],TRUE)*100,"")</f>
        <v/>
      </c>
    </row>
    <row r="4266" spans="1:12" x14ac:dyDescent="0.35">
      <c r="A4266" s="3"/>
      <c r="B4266" s="2"/>
      <c r="C4266" s="2"/>
      <c r="D4266" s="2" t="b">
        <f>IF(AND(NOT(ISBLANK(Table1[[#This Row],[Fetal Sex (Male, Female or Unknown)]])),ISNUMBER(Table1[[#This Row],[Birthweight (grams)]]),ISNUMBER(Table1[[#This Row],[Gestation (days)]])),TRUE,FALSE)</f>
        <v>0</v>
      </c>
      <c r="E4266" s="2" t="str">
        <f>IF(Table1[[#This Row],[Is Data Valid]]=TRUE,IF(Table1[[#This Row],[Fetal Sex (Male, Female or Unknown)]]="Male",Backend!$C$6,IF(Table1[[#This Row],[Fetal Sex (Male, Female or Unknown)]]="Female",Backend!$C$7,IF(Table1[[#This Row],[Fetal Sex (Male, Female or Unknown)]]="Unknown",Backend!$C$8,"Error"))),"")</f>
        <v/>
      </c>
      <c r="F4266" s="8" t="str">
        <f>IF(Table1[[#This Row],[Is Data Valid]]=TRUE,EXP(0.578+0.332*((Table1[[#This Row],[Gestation (days)]]+0.5)/7)-0.00354*((Table1[[#This Row],[Gestation (days)]]+0.5)/7)^2)*Table1[[#This Row],[BW40_3705]],"")</f>
        <v/>
      </c>
      <c r="G4266" s="2" t="str">
        <f>IF(Table1[[#This Row],[Is Data Valid]]=TRUE,((Table1[[#This Row],[Birthweight (grams)]]/Table1[[#This Row],[BW_GA]])-1)/(Backend!$B$4/100*Table1[[#This Row],[BW40_3705]]),"")</f>
        <v/>
      </c>
      <c r="H4266" s="7" t="str">
        <f>IF(Table1[[#This Row],[Is Data Valid]]=TRUE,((Table1[[#This Row],[Birthweight (grams)]]*0.9/Table1[[#This Row],[BW_GA]])-1)/(Backend!$B$4/100*Table1[[#This Row],[BW40_3705]]),"")</f>
        <v/>
      </c>
      <c r="I4266" s="7" t="str">
        <f>IF(Table1[[#This Row],[Is Data Valid]]=TRUE,((Table1[[#This Row],[Birthweight (grams)]]*1.1/Table1[[#This Row],[BW_GA]])-1)/(Backend!$B$4/100*Table1[[#This Row],[BW40_3705]]),"")</f>
        <v/>
      </c>
      <c r="J4266" s="7" t="str">
        <f>IF(Table1[[#This Row],[Is Data Valid]]=TRUE,_xlfn.NORM.S.DIST(Table1[[#This Row],[Birthweight Z-Score]],TRUE)*100,"")</f>
        <v/>
      </c>
      <c r="K4266" s="7" t="str">
        <f>IF(Table1[[#This Row],[Is Data Valid]]=TRUE,_xlfn.NORM.S.DIST(Table1[[#This Row],[Birthweight Z-Score (BW-10%)]],TRUE)*100,"")</f>
        <v/>
      </c>
      <c r="L4266" s="7" t="str">
        <f>IF(Table1[[#This Row],[Is Data Valid]]=TRUE,_xlfn.NORM.S.DIST(Table1[[#This Row],[Birthweight Z-Score (BW+10%)]],TRUE)*100,"")</f>
        <v/>
      </c>
    </row>
    <row r="4267" spans="1:12" x14ac:dyDescent="0.35">
      <c r="A4267" s="3"/>
      <c r="B4267" s="2"/>
      <c r="C4267" s="2"/>
      <c r="D4267" s="2" t="b">
        <f>IF(AND(NOT(ISBLANK(Table1[[#This Row],[Fetal Sex (Male, Female or Unknown)]])),ISNUMBER(Table1[[#This Row],[Birthweight (grams)]]),ISNUMBER(Table1[[#This Row],[Gestation (days)]])),TRUE,FALSE)</f>
        <v>0</v>
      </c>
      <c r="E4267" s="2" t="str">
        <f>IF(Table1[[#This Row],[Is Data Valid]]=TRUE,IF(Table1[[#This Row],[Fetal Sex (Male, Female or Unknown)]]="Male",Backend!$C$6,IF(Table1[[#This Row],[Fetal Sex (Male, Female or Unknown)]]="Female",Backend!$C$7,IF(Table1[[#This Row],[Fetal Sex (Male, Female or Unknown)]]="Unknown",Backend!$C$8,"Error"))),"")</f>
        <v/>
      </c>
      <c r="F4267" s="8" t="str">
        <f>IF(Table1[[#This Row],[Is Data Valid]]=TRUE,EXP(0.578+0.332*((Table1[[#This Row],[Gestation (days)]]+0.5)/7)-0.00354*((Table1[[#This Row],[Gestation (days)]]+0.5)/7)^2)*Table1[[#This Row],[BW40_3705]],"")</f>
        <v/>
      </c>
      <c r="G4267" s="2" t="str">
        <f>IF(Table1[[#This Row],[Is Data Valid]]=TRUE,((Table1[[#This Row],[Birthweight (grams)]]/Table1[[#This Row],[BW_GA]])-1)/(Backend!$B$4/100*Table1[[#This Row],[BW40_3705]]),"")</f>
        <v/>
      </c>
      <c r="H4267" s="7" t="str">
        <f>IF(Table1[[#This Row],[Is Data Valid]]=TRUE,((Table1[[#This Row],[Birthweight (grams)]]*0.9/Table1[[#This Row],[BW_GA]])-1)/(Backend!$B$4/100*Table1[[#This Row],[BW40_3705]]),"")</f>
        <v/>
      </c>
      <c r="I4267" s="7" t="str">
        <f>IF(Table1[[#This Row],[Is Data Valid]]=TRUE,((Table1[[#This Row],[Birthweight (grams)]]*1.1/Table1[[#This Row],[BW_GA]])-1)/(Backend!$B$4/100*Table1[[#This Row],[BW40_3705]]),"")</f>
        <v/>
      </c>
      <c r="J4267" s="7" t="str">
        <f>IF(Table1[[#This Row],[Is Data Valid]]=TRUE,_xlfn.NORM.S.DIST(Table1[[#This Row],[Birthweight Z-Score]],TRUE)*100,"")</f>
        <v/>
      </c>
      <c r="K4267" s="7" t="str">
        <f>IF(Table1[[#This Row],[Is Data Valid]]=TRUE,_xlfn.NORM.S.DIST(Table1[[#This Row],[Birthweight Z-Score (BW-10%)]],TRUE)*100,"")</f>
        <v/>
      </c>
      <c r="L4267" s="7" t="str">
        <f>IF(Table1[[#This Row],[Is Data Valid]]=TRUE,_xlfn.NORM.S.DIST(Table1[[#This Row],[Birthweight Z-Score (BW+10%)]],TRUE)*100,"")</f>
        <v/>
      </c>
    </row>
    <row r="4268" spans="1:12" x14ac:dyDescent="0.35">
      <c r="A4268" s="3"/>
      <c r="B4268" s="2"/>
      <c r="C4268" s="2"/>
      <c r="D4268" s="2" t="b">
        <f>IF(AND(NOT(ISBLANK(Table1[[#This Row],[Fetal Sex (Male, Female or Unknown)]])),ISNUMBER(Table1[[#This Row],[Birthweight (grams)]]),ISNUMBER(Table1[[#This Row],[Gestation (days)]])),TRUE,FALSE)</f>
        <v>0</v>
      </c>
      <c r="E4268" s="2" t="str">
        <f>IF(Table1[[#This Row],[Is Data Valid]]=TRUE,IF(Table1[[#This Row],[Fetal Sex (Male, Female or Unknown)]]="Male",Backend!$C$6,IF(Table1[[#This Row],[Fetal Sex (Male, Female or Unknown)]]="Female",Backend!$C$7,IF(Table1[[#This Row],[Fetal Sex (Male, Female or Unknown)]]="Unknown",Backend!$C$8,"Error"))),"")</f>
        <v/>
      </c>
      <c r="F4268" s="8" t="str">
        <f>IF(Table1[[#This Row],[Is Data Valid]]=TRUE,EXP(0.578+0.332*((Table1[[#This Row],[Gestation (days)]]+0.5)/7)-0.00354*((Table1[[#This Row],[Gestation (days)]]+0.5)/7)^2)*Table1[[#This Row],[BW40_3705]],"")</f>
        <v/>
      </c>
      <c r="G4268" s="2" t="str">
        <f>IF(Table1[[#This Row],[Is Data Valid]]=TRUE,((Table1[[#This Row],[Birthweight (grams)]]/Table1[[#This Row],[BW_GA]])-1)/(Backend!$B$4/100*Table1[[#This Row],[BW40_3705]]),"")</f>
        <v/>
      </c>
      <c r="H4268" s="7" t="str">
        <f>IF(Table1[[#This Row],[Is Data Valid]]=TRUE,((Table1[[#This Row],[Birthweight (grams)]]*0.9/Table1[[#This Row],[BW_GA]])-1)/(Backend!$B$4/100*Table1[[#This Row],[BW40_3705]]),"")</f>
        <v/>
      </c>
      <c r="I4268" s="7" t="str">
        <f>IF(Table1[[#This Row],[Is Data Valid]]=TRUE,((Table1[[#This Row],[Birthweight (grams)]]*1.1/Table1[[#This Row],[BW_GA]])-1)/(Backend!$B$4/100*Table1[[#This Row],[BW40_3705]]),"")</f>
        <v/>
      </c>
      <c r="J4268" s="7" t="str">
        <f>IF(Table1[[#This Row],[Is Data Valid]]=TRUE,_xlfn.NORM.S.DIST(Table1[[#This Row],[Birthweight Z-Score]],TRUE)*100,"")</f>
        <v/>
      </c>
      <c r="K4268" s="7" t="str">
        <f>IF(Table1[[#This Row],[Is Data Valid]]=TRUE,_xlfn.NORM.S.DIST(Table1[[#This Row],[Birthweight Z-Score (BW-10%)]],TRUE)*100,"")</f>
        <v/>
      </c>
      <c r="L4268" s="7" t="str">
        <f>IF(Table1[[#This Row],[Is Data Valid]]=TRUE,_xlfn.NORM.S.DIST(Table1[[#This Row],[Birthweight Z-Score (BW+10%)]],TRUE)*100,"")</f>
        <v/>
      </c>
    </row>
    <row r="4269" spans="1:12" x14ac:dyDescent="0.35">
      <c r="A4269" s="3"/>
      <c r="B4269" s="2"/>
      <c r="C4269" s="2"/>
      <c r="D4269" s="2" t="b">
        <f>IF(AND(NOT(ISBLANK(Table1[[#This Row],[Fetal Sex (Male, Female or Unknown)]])),ISNUMBER(Table1[[#This Row],[Birthweight (grams)]]),ISNUMBER(Table1[[#This Row],[Gestation (days)]])),TRUE,FALSE)</f>
        <v>0</v>
      </c>
      <c r="E4269" s="2" t="str">
        <f>IF(Table1[[#This Row],[Is Data Valid]]=TRUE,IF(Table1[[#This Row],[Fetal Sex (Male, Female or Unknown)]]="Male",Backend!$C$6,IF(Table1[[#This Row],[Fetal Sex (Male, Female or Unknown)]]="Female",Backend!$C$7,IF(Table1[[#This Row],[Fetal Sex (Male, Female or Unknown)]]="Unknown",Backend!$C$8,"Error"))),"")</f>
        <v/>
      </c>
      <c r="F4269" s="8" t="str">
        <f>IF(Table1[[#This Row],[Is Data Valid]]=TRUE,EXP(0.578+0.332*((Table1[[#This Row],[Gestation (days)]]+0.5)/7)-0.00354*((Table1[[#This Row],[Gestation (days)]]+0.5)/7)^2)*Table1[[#This Row],[BW40_3705]],"")</f>
        <v/>
      </c>
      <c r="G4269" s="2" t="str">
        <f>IF(Table1[[#This Row],[Is Data Valid]]=TRUE,((Table1[[#This Row],[Birthweight (grams)]]/Table1[[#This Row],[BW_GA]])-1)/(Backend!$B$4/100*Table1[[#This Row],[BW40_3705]]),"")</f>
        <v/>
      </c>
      <c r="H4269" s="7" t="str">
        <f>IF(Table1[[#This Row],[Is Data Valid]]=TRUE,((Table1[[#This Row],[Birthweight (grams)]]*0.9/Table1[[#This Row],[BW_GA]])-1)/(Backend!$B$4/100*Table1[[#This Row],[BW40_3705]]),"")</f>
        <v/>
      </c>
      <c r="I4269" s="7" t="str">
        <f>IF(Table1[[#This Row],[Is Data Valid]]=TRUE,((Table1[[#This Row],[Birthweight (grams)]]*1.1/Table1[[#This Row],[BW_GA]])-1)/(Backend!$B$4/100*Table1[[#This Row],[BW40_3705]]),"")</f>
        <v/>
      </c>
      <c r="J4269" s="7" t="str">
        <f>IF(Table1[[#This Row],[Is Data Valid]]=TRUE,_xlfn.NORM.S.DIST(Table1[[#This Row],[Birthweight Z-Score]],TRUE)*100,"")</f>
        <v/>
      </c>
      <c r="K4269" s="7" t="str">
        <f>IF(Table1[[#This Row],[Is Data Valid]]=TRUE,_xlfn.NORM.S.DIST(Table1[[#This Row],[Birthweight Z-Score (BW-10%)]],TRUE)*100,"")</f>
        <v/>
      </c>
      <c r="L4269" s="7" t="str">
        <f>IF(Table1[[#This Row],[Is Data Valid]]=TRUE,_xlfn.NORM.S.DIST(Table1[[#This Row],[Birthweight Z-Score (BW+10%)]],TRUE)*100,"")</f>
        <v/>
      </c>
    </row>
    <row r="4270" spans="1:12" x14ac:dyDescent="0.35">
      <c r="A4270" s="3"/>
      <c r="B4270" s="2"/>
      <c r="C4270" s="2"/>
      <c r="D4270" s="2" t="b">
        <f>IF(AND(NOT(ISBLANK(Table1[[#This Row],[Fetal Sex (Male, Female or Unknown)]])),ISNUMBER(Table1[[#This Row],[Birthweight (grams)]]),ISNUMBER(Table1[[#This Row],[Gestation (days)]])),TRUE,FALSE)</f>
        <v>0</v>
      </c>
      <c r="E4270" s="2" t="str">
        <f>IF(Table1[[#This Row],[Is Data Valid]]=TRUE,IF(Table1[[#This Row],[Fetal Sex (Male, Female or Unknown)]]="Male",Backend!$C$6,IF(Table1[[#This Row],[Fetal Sex (Male, Female or Unknown)]]="Female",Backend!$C$7,IF(Table1[[#This Row],[Fetal Sex (Male, Female or Unknown)]]="Unknown",Backend!$C$8,"Error"))),"")</f>
        <v/>
      </c>
      <c r="F4270" s="8" t="str">
        <f>IF(Table1[[#This Row],[Is Data Valid]]=TRUE,EXP(0.578+0.332*((Table1[[#This Row],[Gestation (days)]]+0.5)/7)-0.00354*((Table1[[#This Row],[Gestation (days)]]+0.5)/7)^2)*Table1[[#This Row],[BW40_3705]],"")</f>
        <v/>
      </c>
      <c r="G4270" s="2" t="str">
        <f>IF(Table1[[#This Row],[Is Data Valid]]=TRUE,((Table1[[#This Row],[Birthweight (grams)]]/Table1[[#This Row],[BW_GA]])-1)/(Backend!$B$4/100*Table1[[#This Row],[BW40_3705]]),"")</f>
        <v/>
      </c>
      <c r="H4270" s="7" t="str">
        <f>IF(Table1[[#This Row],[Is Data Valid]]=TRUE,((Table1[[#This Row],[Birthweight (grams)]]*0.9/Table1[[#This Row],[BW_GA]])-1)/(Backend!$B$4/100*Table1[[#This Row],[BW40_3705]]),"")</f>
        <v/>
      </c>
      <c r="I4270" s="7" t="str">
        <f>IF(Table1[[#This Row],[Is Data Valid]]=TRUE,((Table1[[#This Row],[Birthweight (grams)]]*1.1/Table1[[#This Row],[BW_GA]])-1)/(Backend!$B$4/100*Table1[[#This Row],[BW40_3705]]),"")</f>
        <v/>
      </c>
      <c r="J4270" s="7" t="str">
        <f>IF(Table1[[#This Row],[Is Data Valid]]=TRUE,_xlfn.NORM.S.DIST(Table1[[#This Row],[Birthweight Z-Score]],TRUE)*100,"")</f>
        <v/>
      </c>
      <c r="K4270" s="7" t="str">
        <f>IF(Table1[[#This Row],[Is Data Valid]]=TRUE,_xlfn.NORM.S.DIST(Table1[[#This Row],[Birthweight Z-Score (BW-10%)]],TRUE)*100,"")</f>
        <v/>
      </c>
      <c r="L4270" s="7" t="str">
        <f>IF(Table1[[#This Row],[Is Data Valid]]=TRUE,_xlfn.NORM.S.DIST(Table1[[#This Row],[Birthweight Z-Score (BW+10%)]],TRUE)*100,"")</f>
        <v/>
      </c>
    </row>
    <row r="4271" spans="1:12" x14ac:dyDescent="0.35">
      <c r="A4271" s="3"/>
      <c r="B4271" s="2"/>
      <c r="C4271" s="2"/>
      <c r="D4271" s="2" t="b">
        <f>IF(AND(NOT(ISBLANK(Table1[[#This Row],[Fetal Sex (Male, Female or Unknown)]])),ISNUMBER(Table1[[#This Row],[Birthweight (grams)]]),ISNUMBER(Table1[[#This Row],[Gestation (days)]])),TRUE,FALSE)</f>
        <v>0</v>
      </c>
      <c r="E4271" s="2" t="str">
        <f>IF(Table1[[#This Row],[Is Data Valid]]=TRUE,IF(Table1[[#This Row],[Fetal Sex (Male, Female or Unknown)]]="Male",Backend!$C$6,IF(Table1[[#This Row],[Fetal Sex (Male, Female or Unknown)]]="Female",Backend!$C$7,IF(Table1[[#This Row],[Fetal Sex (Male, Female or Unknown)]]="Unknown",Backend!$C$8,"Error"))),"")</f>
        <v/>
      </c>
      <c r="F4271" s="8" t="str">
        <f>IF(Table1[[#This Row],[Is Data Valid]]=TRUE,EXP(0.578+0.332*((Table1[[#This Row],[Gestation (days)]]+0.5)/7)-0.00354*((Table1[[#This Row],[Gestation (days)]]+0.5)/7)^2)*Table1[[#This Row],[BW40_3705]],"")</f>
        <v/>
      </c>
      <c r="G4271" s="2" t="str">
        <f>IF(Table1[[#This Row],[Is Data Valid]]=TRUE,((Table1[[#This Row],[Birthweight (grams)]]/Table1[[#This Row],[BW_GA]])-1)/(Backend!$B$4/100*Table1[[#This Row],[BW40_3705]]),"")</f>
        <v/>
      </c>
      <c r="H4271" s="7" t="str">
        <f>IF(Table1[[#This Row],[Is Data Valid]]=TRUE,((Table1[[#This Row],[Birthweight (grams)]]*0.9/Table1[[#This Row],[BW_GA]])-1)/(Backend!$B$4/100*Table1[[#This Row],[BW40_3705]]),"")</f>
        <v/>
      </c>
      <c r="I4271" s="7" t="str">
        <f>IF(Table1[[#This Row],[Is Data Valid]]=TRUE,((Table1[[#This Row],[Birthweight (grams)]]*1.1/Table1[[#This Row],[BW_GA]])-1)/(Backend!$B$4/100*Table1[[#This Row],[BW40_3705]]),"")</f>
        <v/>
      </c>
      <c r="J4271" s="7" t="str">
        <f>IF(Table1[[#This Row],[Is Data Valid]]=TRUE,_xlfn.NORM.S.DIST(Table1[[#This Row],[Birthweight Z-Score]],TRUE)*100,"")</f>
        <v/>
      </c>
      <c r="K4271" s="7" t="str">
        <f>IF(Table1[[#This Row],[Is Data Valid]]=TRUE,_xlfn.NORM.S.DIST(Table1[[#This Row],[Birthweight Z-Score (BW-10%)]],TRUE)*100,"")</f>
        <v/>
      </c>
      <c r="L4271" s="7" t="str">
        <f>IF(Table1[[#This Row],[Is Data Valid]]=TRUE,_xlfn.NORM.S.DIST(Table1[[#This Row],[Birthweight Z-Score (BW+10%)]],TRUE)*100,"")</f>
        <v/>
      </c>
    </row>
    <row r="4272" spans="1:12" x14ac:dyDescent="0.35">
      <c r="A4272" s="3"/>
      <c r="B4272" s="2"/>
      <c r="C4272" s="2"/>
      <c r="D4272" s="2" t="b">
        <f>IF(AND(NOT(ISBLANK(Table1[[#This Row],[Fetal Sex (Male, Female or Unknown)]])),ISNUMBER(Table1[[#This Row],[Birthweight (grams)]]),ISNUMBER(Table1[[#This Row],[Gestation (days)]])),TRUE,FALSE)</f>
        <v>0</v>
      </c>
      <c r="E4272" s="2" t="str">
        <f>IF(Table1[[#This Row],[Is Data Valid]]=TRUE,IF(Table1[[#This Row],[Fetal Sex (Male, Female or Unknown)]]="Male",Backend!$C$6,IF(Table1[[#This Row],[Fetal Sex (Male, Female or Unknown)]]="Female",Backend!$C$7,IF(Table1[[#This Row],[Fetal Sex (Male, Female or Unknown)]]="Unknown",Backend!$C$8,"Error"))),"")</f>
        <v/>
      </c>
      <c r="F4272" s="8" t="str">
        <f>IF(Table1[[#This Row],[Is Data Valid]]=TRUE,EXP(0.578+0.332*((Table1[[#This Row],[Gestation (days)]]+0.5)/7)-0.00354*((Table1[[#This Row],[Gestation (days)]]+0.5)/7)^2)*Table1[[#This Row],[BW40_3705]],"")</f>
        <v/>
      </c>
      <c r="G4272" s="2" t="str">
        <f>IF(Table1[[#This Row],[Is Data Valid]]=TRUE,((Table1[[#This Row],[Birthweight (grams)]]/Table1[[#This Row],[BW_GA]])-1)/(Backend!$B$4/100*Table1[[#This Row],[BW40_3705]]),"")</f>
        <v/>
      </c>
      <c r="H4272" s="7" t="str">
        <f>IF(Table1[[#This Row],[Is Data Valid]]=TRUE,((Table1[[#This Row],[Birthweight (grams)]]*0.9/Table1[[#This Row],[BW_GA]])-1)/(Backend!$B$4/100*Table1[[#This Row],[BW40_3705]]),"")</f>
        <v/>
      </c>
      <c r="I4272" s="7" t="str">
        <f>IF(Table1[[#This Row],[Is Data Valid]]=TRUE,((Table1[[#This Row],[Birthweight (grams)]]*1.1/Table1[[#This Row],[BW_GA]])-1)/(Backend!$B$4/100*Table1[[#This Row],[BW40_3705]]),"")</f>
        <v/>
      </c>
      <c r="J4272" s="7" t="str">
        <f>IF(Table1[[#This Row],[Is Data Valid]]=TRUE,_xlfn.NORM.S.DIST(Table1[[#This Row],[Birthweight Z-Score]],TRUE)*100,"")</f>
        <v/>
      </c>
      <c r="K4272" s="7" t="str">
        <f>IF(Table1[[#This Row],[Is Data Valid]]=TRUE,_xlfn.NORM.S.DIST(Table1[[#This Row],[Birthweight Z-Score (BW-10%)]],TRUE)*100,"")</f>
        <v/>
      </c>
      <c r="L4272" s="7" t="str">
        <f>IF(Table1[[#This Row],[Is Data Valid]]=TRUE,_xlfn.NORM.S.DIST(Table1[[#This Row],[Birthweight Z-Score (BW+10%)]],TRUE)*100,"")</f>
        <v/>
      </c>
    </row>
    <row r="4273" spans="1:12" x14ac:dyDescent="0.35">
      <c r="A4273" s="3"/>
      <c r="B4273" s="2"/>
      <c r="C4273" s="2"/>
      <c r="D4273" s="2" t="b">
        <f>IF(AND(NOT(ISBLANK(Table1[[#This Row],[Fetal Sex (Male, Female or Unknown)]])),ISNUMBER(Table1[[#This Row],[Birthweight (grams)]]),ISNUMBER(Table1[[#This Row],[Gestation (days)]])),TRUE,FALSE)</f>
        <v>0</v>
      </c>
      <c r="E4273" s="2" t="str">
        <f>IF(Table1[[#This Row],[Is Data Valid]]=TRUE,IF(Table1[[#This Row],[Fetal Sex (Male, Female or Unknown)]]="Male",Backend!$C$6,IF(Table1[[#This Row],[Fetal Sex (Male, Female or Unknown)]]="Female",Backend!$C$7,IF(Table1[[#This Row],[Fetal Sex (Male, Female or Unknown)]]="Unknown",Backend!$C$8,"Error"))),"")</f>
        <v/>
      </c>
      <c r="F4273" s="8" t="str">
        <f>IF(Table1[[#This Row],[Is Data Valid]]=TRUE,EXP(0.578+0.332*((Table1[[#This Row],[Gestation (days)]]+0.5)/7)-0.00354*((Table1[[#This Row],[Gestation (days)]]+0.5)/7)^2)*Table1[[#This Row],[BW40_3705]],"")</f>
        <v/>
      </c>
      <c r="G4273" s="2" t="str">
        <f>IF(Table1[[#This Row],[Is Data Valid]]=TRUE,((Table1[[#This Row],[Birthweight (grams)]]/Table1[[#This Row],[BW_GA]])-1)/(Backend!$B$4/100*Table1[[#This Row],[BW40_3705]]),"")</f>
        <v/>
      </c>
      <c r="H4273" s="7" t="str">
        <f>IF(Table1[[#This Row],[Is Data Valid]]=TRUE,((Table1[[#This Row],[Birthweight (grams)]]*0.9/Table1[[#This Row],[BW_GA]])-1)/(Backend!$B$4/100*Table1[[#This Row],[BW40_3705]]),"")</f>
        <v/>
      </c>
      <c r="I4273" s="7" t="str">
        <f>IF(Table1[[#This Row],[Is Data Valid]]=TRUE,((Table1[[#This Row],[Birthweight (grams)]]*1.1/Table1[[#This Row],[BW_GA]])-1)/(Backend!$B$4/100*Table1[[#This Row],[BW40_3705]]),"")</f>
        <v/>
      </c>
      <c r="J4273" s="7" t="str">
        <f>IF(Table1[[#This Row],[Is Data Valid]]=TRUE,_xlfn.NORM.S.DIST(Table1[[#This Row],[Birthweight Z-Score]],TRUE)*100,"")</f>
        <v/>
      </c>
      <c r="K4273" s="7" t="str">
        <f>IF(Table1[[#This Row],[Is Data Valid]]=TRUE,_xlfn.NORM.S.DIST(Table1[[#This Row],[Birthweight Z-Score (BW-10%)]],TRUE)*100,"")</f>
        <v/>
      </c>
      <c r="L4273" s="7" t="str">
        <f>IF(Table1[[#This Row],[Is Data Valid]]=TRUE,_xlfn.NORM.S.DIST(Table1[[#This Row],[Birthweight Z-Score (BW+10%)]],TRUE)*100,"")</f>
        <v/>
      </c>
    </row>
    <row r="4274" spans="1:12" x14ac:dyDescent="0.35">
      <c r="A4274" s="3"/>
      <c r="B4274" s="2"/>
      <c r="C4274" s="2"/>
      <c r="D4274" s="2" t="b">
        <f>IF(AND(NOT(ISBLANK(Table1[[#This Row],[Fetal Sex (Male, Female or Unknown)]])),ISNUMBER(Table1[[#This Row],[Birthweight (grams)]]),ISNUMBER(Table1[[#This Row],[Gestation (days)]])),TRUE,FALSE)</f>
        <v>0</v>
      </c>
      <c r="E4274" s="2" t="str">
        <f>IF(Table1[[#This Row],[Is Data Valid]]=TRUE,IF(Table1[[#This Row],[Fetal Sex (Male, Female or Unknown)]]="Male",Backend!$C$6,IF(Table1[[#This Row],[Fetal Sex (Male, Female or Unknown)]]="Female",Backend!$C$7,IF(Table1[[#This Row],[Fetal Sex (Male, Female or Unknown)]]="Unknown",Backend!$C$8,"Error"))),"")</f>
        <v/>
      </c>
      <c r="F4274" s="8" t="str">
        <f>IF(Table1[[#This Row],[Is Data Valid]]=TRUE,EXP(0.578+0.332*((Table1[[#This Row],[Gestation (days)]]+0.5)/7)-0.00354*((Table1[[#This Row],[Gestation (days)]]+0.5)/7)^2)*Table1[[#This Row],[BW40_3705]],"")</f>
        <v/>
      </c>
      <c r="G4274" s="2" t="str">
        <f>IF(Table1[[#This Row],[Is Data Valid]]=TRUE,((Table1[[#This Row],[Birthweight (grams)]]/Table1[[#This Row],[BW_GA]])-1)/(Backend!$B$4/100*Table1[[#This Row],[BW40_3705]]),"")</f>
        <v/>
      </c>
      <c r="H4274" s="7" t="str">
        <f>IF(Table1[[#This Row],[Is Data Valid]]=TRUE,((Table1[[#This Row],[Birthweight (grams)]]*0.9/Table1[[#This Row],[BW_GA]])-1)/(Backend!$B$4/100*Table1[[#This Row],[BW40_3705]]),"")</f>
        <v/>
      </c>
      <c r="I4274" s="7" t="str">
        <f>IF(Table1[[#This Row],[Is Data Valid]]=TRUE,((Table1[[#This Row],[Birthweight (grams)]]*1.1/Table1[[#This Row],[BW_GA]])-1)/(Backend!$B$4/100*Table1[[#This Row],[BW40_3705]]),"")</f>
        <v/>
      </c>
      <c r="J4274" s="7" t="str">
        <f>IF(Table1[[#This Row],[Is Data Valid]]=TRUE,_xlfn.NORM.S.DIST(Table1[[#This Row],[Birthweight Z-Score]],TRUE)*100,"")</f>
        <v/>
      </c>
      <c r="K4274" s="7" t="str">
        <f>IF(Table1[[#This Row],[Is Data Valid]]=TRUE,_xlfn.NORM.S.DIST(Table1[[#This Row],[Birthweight Z-Score (BW-10%)]],TRUE)*100,"")</f>
        <v/>
      </c>
      <c r="L4274" s="7" t="str">
        <f>IF(Table1[[#This Row],[Is Data Valid]]=TRUE,_xlfn.NORM.S.DIST(Table1[[#This Row],[Birthweight Z-Score (BW+10%)]],TRUE)*100,"")</f>
        <v/>
      </c>
    </row>
    <row r="4275" spans="1:12" x14ac:dyDescent="0.35">
      <c r="A4275" s="3"/>
      <c r="B4275" s="2"/>
      <c r="C4275" s="2"/>
      <c r="D4275" s="2" t="b">
        <f>IF(AND(NOT(ISBLANK(Table1[[#This Row],[Fetal Sex (Male, Female or Unknown)]])),ISNUMBER(Table1[[#This Row],[Birthweight (grams)]]),ISNUMBER(Table1[[#This Row],[Gestation (days)]])),TRUE,FALSE)</f>
        <v>0</v>
      </c>
      <c r="E4275" s="2" t="str">
        <f>IF(Table1[[#This Row],[Is Data Valid]]=TRUE,IF(Table1[[#This Row],[Fetal Sex (Male, Female or Unknown)]]="Male",Backend!$C$6,IF(Table1[[#This Row],[Fetal Sex (Male, Female or Unknown)]]="Female",Backend!$C$7,IF(Table1[[#This Row],[Fetal Sex (Male, Female or Unknown)]]="Unknown",Backend!$C$8,"Error"))),"")</f>
        <v/>
      </c>
      <c r="F4275" s="8" t="str">
        <f>IF(Table1[[#This Row],[Is Data Valid]]=TRUE,EXP(0.578+0.332*((Table1[[#This Row],[Gestation (days)]]+0.5)/7)-0.00354*((Table1[[#This Row],[Gestation (days)]]+0.5)/7)^2)*Table1[[#This Row],[BW40_3705]],"")</f>
        <v/>
      </c>
      <c r="G4275" s="2" t="str">
        <f>IF(Table1[[#This Row],[Is Data Valid]]=TRUE,((Table1[[#This Row],[Birthweight (grams)]]/Table1[[#This Row],[BW_GA]])-1)/(Backend!$B$4/100*Table1[[#This Row],[BW40_3705]]),"")</f>
        <v/>
      </c>
      <c r="H4275" s="7" t="str">
        <f>IF(Table1[[#This Row],[Is Data Valid]]=TRUE,((Table1[[#This Row],[Birthweight (grams)]]*0.9/Table1[[#This Row],[BW_GA]])-1)/(Backend!$B$4/100*Table1[[#This Row],[BW40_3705]]),"")</f>
        <v/>
      </c>
      <c r="I4275" s="7" t="str">
        <f>IF(Table1[[#This Row],[Is Data Valid]]=TRUE,((Table1[[#This Row],[Birthweight (grams)]]*1.1/Table1[[#This Row],[BW_GA]])-1)/(Backend!$B$4/100*Table1[[#This Row],[BW40_3705]]),"")</f>
        <v/>
      </c>
      <c r="J4275" s="7" t="str">
        <f>IF(Table1[[#This Row],[Is Data Valid]]=TRUE,_xlfn.NORM.S.DIST(Table1[[#This Row],[Birthweight Z-Score]],TRUE)*100,"")</f>
        <v/>
      </c>
      <c r="K4275" s="7" t="str">
        <f>IF(Table1[[#This Row],[Is Data Valid]]=TRUE,_xlfn.NORM.S.DIST(Table1[[#This Row],[Birthweight Z-Score (BW-10%)]],TRUE)*100,"")</f>
        <v/>
      </c>
      <c r="L4275" s="7" t="str">
        <f>IF(Table1[[#This Row],[Is Data Valid]]=TRUE,_xlfn.NORM.S.DIST(Table1[[#This Row],[Birthweight Z-Score (BW+10%)]],TRUE)*100,"")</f>
        <v/>
      </c>
    </row>
    <row r="4276" spans="1:12" x14ac:dyDescent="0.35">
      <c r="A4276" s="3"/>
      <c r="B4276" s="2"/>
      <c r="C4276" s="2"/>
      <c r="D4276" s="2" t="b">
        <f>IF(AND(NOT(ISBLANK(Table1[[#This Row],[Fetal Sex (Male, Female or Unknown)]])),ISNUMBER(Table1[[#This Row],[Birthweight (grams)]]),ISNUMBER(Table1[[#This Row],[Gestation (days)]])),TRUE,FALSE)</f>
        <v>0</v>
      </c>
      <c r="E4276" s="2" t="str">
        <f>IF(Table1[[#This Row],[Is Data Valid]]=TRUE,IF(Table1[[#This Row],[Fetal Sex (Male, Female or Unknown)]]="Male",Backend!$C$6,IF(Table1[[#This Row],[Fetal Sex (Male, Female or Unknown)]]="Female",Backend!$C$7,IF(Table1[[#This Row],[Fetal Sex (Male, Female or Unknown)]]="Unknown",Backend!$C$8,"Error"))),"")</f>
        <v/>
      </c>
      <c r="F4276" s="8" t="str">
        <f>IF(Table1[[#This Row],[Is Data Valid]]=TRUE,EXP(0.578+0.332*((Table1[[#This Row],[Gestation (days)]]+0.5)/7)-0.00354*((Table1[[#This Row],[Gestation (days)]]+0.5)/7)^2)*Table1[[#This Row],[BW40_3705]],"")</f>
        <v/>
      </c>
      <c r="G4276" s="2" t="str">
        <f>IF(Table1[[#This Row],[Is Data Valid]]=TRUE,((Table1[[#This Row],[Birthweight (grams)]]/Table1[[#This Row],[BW_GA]])-1)/(Backend!$B$4/100*Table1[[#This Row],[BW40_3705]]),"")</f>
        <v/>
      </c>
      <c r="H4276" s="7" t="str">
        <f>IF(Table1[[#This Row],[Is Data Valid]]=TRUE,((Table1[[#This Row],[Birthweight (grams)]]*0.9/Table1[[#This Row],[BW_GA]])-1)/(Backend!$B$4/100*Table1[[#This Row],[BW40_3705]]),"")</f>
        <v/>
      </c>
      <c r="I4276" s="7" t="str">
        <f>IF(Table1[[#This Row],[Is Data Valid]]=TRUE,((Table1[[#This Row],[Birthweight (grams)]]*1.1/Table1[[#This Row],[BW_GA]])-1)/(Backend!$B$4/100*Table1[[#This Row],[BW40_3705]]),"")</f>
        <v/>
      </c>
      <c r="J4276" s="7" t="str">
        <f>IF(Table1[[#This Row],[Is Data Valid]]=TRUE,_xlfn.NORM.S.DIST(Table1[[#This Row],[Birthweight Z-Score]],TRUE)*100,"")</f>
        <v/>
      </c>
      <c r="K4276" s="7" t="str">
        <f>IF(Table1[[#This Row],[Is Data Valid]]=TRUE,_xlfn.NORM.S.DIST(Table1[[#This Row],[Birthweight Z-Score (BW-10%)]],TRUE)*100,"")</f>
        <v/>
      </c>
      <c r="L4276" s="7" t="str">
        <f>IF(Table1[[#This Row],[Is Data Valid]]=TRUE,_xlfn.NORM.S.DIST(Table1[[#This Row],[Birthweight Z-Score (BW+10%)]],TRUE)*100,"")</f>
        <v/>
      </c>
    </row>
    <row r="4277" spans="1:12" x14ac:dyDescent="0.35">
      <c r="A4277" s="3"/>
      <c r="B4277" s="2"/>
      <c r="C4277" s="2"/>
      <c r="D4277" s="2" t="b">
        <f>IF(AND(NOT(ISBLANK(Table1[[#This Row],[Fetal Sex (Male, Female or Unknown)]])),ISNUMBER(Table1[[#This Row],[Birthweight (grams)]]),ISNUMBER(Table1[[#This Row],[Gestation (days)]])),TRUE,FALSE)</f>
        <v>0</v>
      </c>
      <c r="E4277" s="2" t="str">
        <f>IF(Table1[[#This Row],[Is Data Valid]]=TRUE,IF(Table1[[#This Row],[Fetal Sex (Male, Female or Unknown)]]="Male",Backend!$C$6,IF(Table1[[#This Row],[Fetal Sex (Male, Female or Unknown)]]="Female",Backend!$C$7,IF(Table1[[#This Row],[Fetal Sex (Male, Female or Unknown)]]="Unknown",Backend!$C$8,"Error"))),"")</f>
        <v/>
      </c>
      <c r="F4277" s="8" t="str">
        <f>IF(Table1[[#This Row],[Is Data Valid]]=TRUE,EXP(0.578+0.332*((Table1[[#This Row],[Gestation (days)]]+0.5)/7)-0.00354*((Table1[[#This Row],[Gestation (days)]]+0.5)/7)^2)*Table1[[#This Row],[BW40_3705]],"")</f>
        <v/>
      </c>
      <c r="G4277" s="2" t="str">
        <f>IF(Table1[[#This Row],[Is Data Valid]]=TRUE,((Table1[[#This Row],[Birthweight (grams)]]/Table1[[#This Row],[BW_GA]])-1)/(Backend!$B$4/100*Table1[[#This Row],[BW40_3705]]),"")</f>
        <v/>
      </c>
      <c r="H4277" s="7" t="str">
        <f>IF(Table1[[#This Row],[Is Data Valid]]=TRUE,((Table1[[#This Row],[Birthweight (grams)]]*0.9/Table1[[#This Row],[BW_GA]])-1)/(Backend!$B$4/100*Table1[[#This Row],[BW40_3705]]),"")</f>
        <v/>
      </c>
      <c r="I4277" s="7" t="str">
        <f>IF(Table1[[#This Row],[Is Data Valid]]=TRUE,((Table1[[#This Row],[Birthweight (grams)]]*1.1/Table1[[#This Row],[BW_GA]])-1)/(Backend!$B$4/100*Table1[[#This Row],[BW40_3705]]),"")</f>
        <v/>
      </c>
      <c r="J4277" s="7" t="str">
        <f>IF(Table1[[#This Row],[Is Data Valid]]=TRUE,_xlfn.NORM.S.DIST(Table1[[#This Row],[Birthweight Z-Score]],TRUE)*100,"")</f>
        <v/>
      </c>
      <c r="K4277" s="7" t="str">
        <f>IF(Table1[[#This Row],[Is Data Valid]]=TRUE,_xlfn.NORM.S.DIST(Table1[[#This Row],[Birthweight Z-Score (BW-10%)]],TRUE)*100,"")</f>
        <v/>
      </c>
      <c r="L4277" s="7" t="str">
        <f>IF(Table1[[#This Row],[Is Data Valid]]=TRUE,_xlfn.NORM.S.DIST(Table1[[#This Row],[Birthweight Z-Score (BW+10%)]],TRUE)*100,"")</f>
        <v/>
      </c>
    </row>
    <row r="4278" spans="1:12" x14ac:dyDescent="0.35">
      <c r="A4278" s="3"/>
      <c r="B4278" s="2"/>
      <c r="C4278" s="2"/>
      <c r="D4278" s="2" t="b">
        <f>IF(AND(NOT(ISBLANK(Table1[[#This Row],[Fetal Sex (Male, Female or Unknown)]])),ISNUMBER(Table1[[#This Row],[Birthweight (grams)]]),ISNUMBER(Table1[[#This Row],[Gestation (days)]])),TRUE,FALSE)</f>
        <v>0</v>
      </c>
      <c r="E4278" s="2" t="str">
        <f>IF(Table1[[#This Row],[Is Data Valid]]=TRUE,IF(Table1[[#This Row],[Fetal Sex (Male, Female or Unknown)]]="Male",Backend!$C$6,IF(Table1[[#This Row],[Fetal Sex (Male, Female or Unknown)]]="Female",Backend!$C$7,IF(Table1[[#This Row],[Fetal Sex (Male, Female or Unknown)]]="Unknown",Backend!$C$8,"Error"))),"")</f>
        <v/>
      </c>
      <c r="F4278" s="8" t="str">
        <f>IF(Table1[[#This Row],[Is Data Valid]]=TRUE,EXP(0.578+0.332*((Table1[[#This Row],[Gestation (days)]]+0.5)/7)-0.00354*((Table1[[#This Row],[Gestation (days)]]+0.5)/7)^2)*Table1[[#This Row],[BW40_3705]],"")</f>
        <v/>
      </c>
      <c r="G4278" s="2" t="str">
        <f>IF(Table1[[#This Row],[Is Data Valid]]=TRUE,((Table1[[#This Row],[Birthweight (grams)]]/Table1[[#This Row],[BW_GA]])-1)/(Backend!$B$4/100*Table1[[#This Row],[BW40_3705]]),"")</f>
        <v/>
      </c>
      <c r="H4278" s="7" t="str">
        <f>IF(Table1[[#This Row],[Is Data Valid]]=TRUE,((Table1[[#This Row],[Birthweight (grams)]]*0.9/Table1[[#This Row],[BW_GA]])-1)/(Backend!$B$4/100*Table1[[#This Row],[BW40_3705]]),"")</f>
        <v/>
      </c>
      <c r="I4278" s="7" t="str">
        <f>IF(Table1[[#This Row],[Is Data Valid]]=TRUE,((Table1[[#This Row],[Birthweight (grams)]]*1.1/Table1[[#This Row],[BW_GA]])-1)/(Backend!$B$4/100*Table1[[#This Row],[BW40_3705]]),"")</f>
        <v/>
      </c>
      <c r="J4278" s="7" t="str">
        <f>IF(Table1[[#This Row],[Is Data Valid]]=TRUE,_xlfn.NORM.S.DIST(Table1[[#This Row],[Birthweight Z-Score]],TRUE)*100,"")</f>
        <v/>
      </c>
      <c r="K4278" s="7" t="str">
        <f>IF(Table1[[#This Row],[Is Data Valid]]=TRUE,_xlfn.NORM.S.DIST(Table1[[#This Row],[Birthweight Z-Score (BW-10%)]],TRUE)*100,"")</f>
        <v/>
      </c>
      <c r="L4278" s="7" t="str">
        <f>IF(Table1[[#This Row],[Is Data Valid]]=TRUE,_xlfn.NORM.S.DIST(Table1[[#This Row],[Birthweight Z-Score (BW+10%)]],TRUE)*100,"")</f>
        <v/>
      </c>
    </row>
    <row r="4279" spans="1:12" x14ac:dyDescent="0.35">
      <c r="A4279" s="3"/>
      <c r="B4279" s="2"/>
      <c r="C4279" s="2"/>
      <c r="D4279" s="2" t="b">
        <f>IF(AND(NOT(ISBLANK(Table1[[#This Row],[Fetal Sex (Male, Female or Unknown)]])),ISNUMBER(Table1[[#This Row],[Birthweight (grams)]]),ISNUMBER(Table1[[#This Row],[Gestation (days)]])),TRUE,FALSE)</f>
        <v>0</v>
      </c>
      <c r="E4279" s="2" t="str">
        <f>IF(Table1[[#This Row],[Is Data Valid]]=TRUE,IF(Table1[[#This Row],[Fetal Sex (Male, Female or Unknown)]]="Male",Backend!$C$6,IF(Table1[[#This Row],[Fetal Sex (Male, Female or Unknown)]]="Female",Backend!$C$7,IF(Table1[[#This Row],[Fetal Sex (Male, Female or Unknown)]]="Unknown",Backend!$C$8,"Error"))),"")</f>
        <v/>
      </c>
      <c r="F4279" s="8" t="str">
        <f>IF(Table1[[#This Row],[Is Data Valid]]=TRUE,EXP(0.578+0.332*((Table1[[#This Row],[Gestation (days)]]+0.5)/7)-0.00354*((Table1[[#This Row],[Gestation (days)]]+0.5)/7)^2)*Table1[[#This Row],[BW40_3705]],"")</f>
        <v/>
      </c>
      <c r="G4279" s="2" t="str">
        <f>IF(Table1[[#This Row],[Is Data Valid]]=TRUE,((Table1[[#This Row],[Birthweight (grams)]]/Table1[[#This Row],[BW_GA]])-1)/(Backend!$B$4/100*Table1[[#This Row],[BW40_3705]]),"")</f>
        <v/>
      </c>
      <c r="H4279" s="7" t="str">
        <f>IF(Table1[[#This Row],[Is Data Valid]]=TRUE,((Table1[[#This Row],[Birthweight (grams)]]*0.9/Table1[[#This Row],[BW_GA]])-1)/(Backend!$B$4/100*Table1[[#This Row],[BW40_3705]]),"")</f>
        <v/>
      </c>
      <c r="I4279" s="7" t="str">
        <f>IF(Table1[[#This Row],[Is Data Valid]]=TRUE,((Table1[[#This Row],[Birthweight (grams)]]*1.1/Table1[[#This Row],[BW_GA]])-1)/(Backend!$B$4/100*Table1[[#This Row],[BW40_3705]]),"")</f>
        <v/>
      </c>
      <c r="J4279" s="7" t="str">
        <f>IF(Table1[[#This Row],[Is Data Valid]]=TRUE,_xlfn.NORM.S.DIST(Table1[[#This Row],[Birthweight Z-Score]],TRUE)*100,"")</f>
        <v/>
      </c>
      <c r="K4279" s="7" t="str">
        <f>IF(Table1[[#This Row],[Is Data Valid]]=TRUE,_xlfn.NORM.S.DIST(Table1[[#This Row],[Birthweight Z-Score (BW-10%)]],TRUE)*100,"")</f>
        <v/>
      </c>
      <c r="L4279" s="7" t="str">
        <f>IF(Table1[[#This Row],[Is Data Valid]]=TRUE,_xlfn.NORM.S.DIST(Table1[[#This Row],[Birthweight Z-Score (BW+10%)]],TRUE)*100,"")</f>
        <v/>
      </c>
    </row>
    <row r="4280" spans="1:12" x14ac:dyDescent="0.35">
      <c r="A4280" s="3"/>
      <c r="B4280" s="2"/>
      <c r="C4280" s="2"/>
      <c r="D4280" s="2" t="b">
        <f>IF(AND(NOT(ISBLANK(Table1[[#This Row],[Fetal Sex (Male, Female or Unknown)]])),ISNUMBER(Table1[[#This Row],[Birthweight (grams)]]),ISNUMBER(Table1[[#This Row],[Gestation (days)]])),TRUE,FALSE)</f>
        <v>0</v>
      </c>
      <c r="E4280" s="2" t="str">
        <f>IF(Table1[[#This Row],[Is Data Valid]]=TRUE,IF(Table1[[#This Row],[Fetal Sex (Male, Female or Unknown)]]="Male",Backend!$C$6,IF(Table1[[#This Row],[Fetal Sex (Male, Female or Unknown)]]="Female",Backend!$C$7,IF(Table1[[#This Row],[Fetal Sex (Male, Female or Unknown)]]="Unknown",Backend!$C$8,"Error"))),"")</f>
        <v/>
      </c>
      <c r="F4280" s="8" t="str">
        <f>IF(Table1[[#This Row],[Is Data Valid]]=TRUE,EXP(0.578+0.332*((Table1[[#This Row],[Gestation (days)]]+0.5)/7)-0.00354*((Table1[[#This Row],[Gestation (days)]]+0.5)/7)^2)*Table1[[#This Row],[BW40_3705]],"")</f>
        <v/>
      </c>
      <c r="G4280" s="2" t="str">
        <f>IF(Table1[[#This Row],[Is Data Valid]]=TRUE,((Table1[[#This Row],[Birthweight (grams)]]/Table1[[#This Row],[BW_GA]])-1)/(Backend!$B$4/100*Table1[[#This Row],[BW40_3705]]),"")</f>
        <v/>
      </c>
      <c r="H4280" s="7" t="str">
        <f>IF(Table1[[#This Row],[Is Data Valid]]=TRUE,((Table1[[#This Row],[Birthweight (grams)]]*0.9/Table1[[#This Row],[BW_GA]])-1)/(Backend!$B$4/100*Table1[[#This Row],[BW40_3705]]),"")</f>
        <v/>
      </c>
      <c r="I4280" s="7" t="str">
        <f>IF(Table1[[#This Row],[Is Data Valid]]=TRUE,((Table1[[#This Row],[Birthweight (grams)]]*1.1/Table1[[#This Row],[BW_GA]])-1)/(Backend!$B$4/100*Table1[[#This Row],[BW40_3705]]),"")</f>
        <v/>
      </c>
      <c r="J4280" s="7" t="str">
        <f>IF(Table1[[#This Row],[Is Data Valid]]=TRUE,_xlfn.NORM.S.DIST(Table1[[#This Row],[Birthweight Z-Score]],TRUE)*100,"")</f>
        <v/>
      </c>
      <c r="K4280" s="7" t="str">
        <f>IF(Table1[[#This Row],[Is Data Valid]]=TRUE,_xlfn.NORM.S.DIST(Table1[[#This Row],[Birthweight Z-Score (BW-10%)]],TRUE)*100,"")</f>
        <v/>
      </c>
      <c r="L4280" s="7" t="str">
        <f>IF(Table1[[#This Row],[Is Data Valid]]=TRUE,_xlfn.NORM.S.DIST(Table1[[#This Row],[Birthweight Z-Score (BW+10%)]],TRUE)*100,"")</f>
        <v/>
      </c>
    </row>
    <row r="4281" spans="1:12" x14ac:dyDescent="0.35">
      <c r="A4281" s="3"/>
      <c r="B4281" s="2"/>
      <c r="C4281" s="2"/>
      <c r="D4281" s="2" t="b">
        <f>IF(AND(NOT(ISBLANK(Table1[[#This Row],[Fetal Sex (Male, Female or Unknown)]])),ISNUMBER(Table1[[#This Row],[Birthweight (grams)]]),ISNUMBER(Table1[[#This Row],[Gestation (days)]])),TRUE,FALSE)</f>
        <v>0</v>
      </c>
      <c r="E4281" s="2" t="str">
        <f>IF(Table1[[#This Row],[Is Data Valid]]=TRUE,IF(Table1[[#This Row],[Fetal Sex (Male, Female or Unknown)]]="Male",Backend!$C$6,IF(Table1[[#This Row],[Fetal Sex (Male, Female or Unknown)]]="Female",Backend!$C$7,IF(Table1[[#This Row],[Fetal Sex (Male, Female or Unknown)]]="Unknown",Backend!$C$8,"Error"))),"")</f>
        <v/>
      </c>
      <c r="F4281" s="8" t="str">
        <f>IF(Table1[[#This Row],[Is Data Valid]]=TRUE,EXP(0.578+0.332*((Table1[[#This Row],[Gestation (days)]]+0.5)/7)-0.00354*((Table1[[#This Row],[Gestation (days)]]+0.5)/7)^2)*Table1[[#This Row],[BW40_3705]],"")</f>
        <v/>
      </c>
      <c r="G4281" s="2" t="str">
        <f>IF(Table1[[#This Row],[Is Data Valid]]=TRUE,((Table1[[#This Row],[Birthweight (grams)]]/Table1[[#This Row],[BW_GA]])-1)/(Backend!$B$4/100*Table1[[#This Row],[BW40_3705]]),"")</f>
        <v/>
      </c>
      <c r="H4281" s="7" t="str">
        <f>IF(Table1[[#This Row],[Is Data Valid]]=TRUE,((Table1[[#This Row],[Birthweight (grams)]]*0.9/Table1[[#This Row],[BW_GA]])-1)/(Backend!$B$4/100*Table1[[#This Row],[BW40_3705]]),"")</f>
        <v/>
      </c>
      <c r="I4281" s="7" t="str">
        <f>IF(Table1[[#This Row],[Is Data Valid]]=TRUE,((Table1[[#This Row],[Birthweight (grams)]]*1.1/Table1[[#This Row],[BW_GA]])-1)/(Backend!$B$4/100*Table1[[#This Row],[BW40_3705]]),"")</f>
        <v/>
      </c>
      <c r="J4281" s="7" t="str">
        <f>IF(Table1[[#This Row],[Is Data Valid]]=TRUE,_xlfn.NORM.S.DIST(Table1[[#This Row],[Birthweight Z-Score]],TRUE)*100,"")</f>
        <v/>
      </c>
      <c r="K4281" s="7" t="str">
        <f>IF(Table1[[#This Row],[Is Data Valid]]=TRUE,_xlfn.NORM.S.DIST(Table1[[#This Row],[Birthweight Z-Score (BW-10%)]],TRUE)*100,"")</f>
        <v/>
      </c>
      <c r="L4281" s="7" t="str">
        <f>IF(Table1[[#This Row],[Is Data Valid]]=TRUE,_xlfn.NORM.S.DIST(Table1[[#This Row],[Birthweight Z-Score (BW+10%)]],TRUE)*100,"")</f>
        <v/>
      </c>
    </row>
    <row r="4282" spans="1:12" x14ac:dyDescent="0.35">
      <c r="A4282" s="3"/>
      <c r="B4282" s="2"/>
      <c r="C4282" s="2"/>
      <c r="D4282" s="2" t="b">
        <f>IF(AND(NOT(ISBLANK(Table1[[#This Row],[Fetal Sex (Male, Female or Unknown)]])),ISNUMBER(Table1[[#This Row],[Birthweight (grams)]]),ISNUMBER(Table1[[#This Row],[Gestation (days)]])),TRUE,FALSE)</f>
        <v>0</v>
      </c>
      <c r="E4282" s="2" t="str">
        <f>IF(Table1[[#This Row],[Is Data Valid]]=TRUE,IF(Table1[[#This Row],[Fetal Sex (Male, Female or Unknown)]]="Male",Backend!$C$6,IF(Table1[[#This Row],[Fetal Sex (Male, Female or Unknown)]]="Female",Backend!$C$7,IF(Table1[[#This Row],[Fetal Sex (Male, Female or Unknown)]]="Unknown",Backend!$C$8,"Error"))),"")</f>
        <v/>
      </c>
      <c r="F4282" s="8" t="str">
        <f>IF(Table1[[#This Row],[Is Data Valid]]=TRUE,EXP(0.578+0.332*((Table1[[#This Row],[Gestation (days)]]+0.5)/7)-0.00354*((Table1[[#This Row],[Gestation (days)]]+0.5)/7)^2)*Table1[[#This Row],[BW40_3705]],"")</f>
        <v/>
      </c>
      <c r="G4282" s="2" t="str">
        <f>IF(Table1[[#This Row],[Is Data Valid]]=TRUE,((Table1[[#This Row],[Birthweight (grams)]]/Table1[[#This Row],[BW_GA]])-1)/(Backend!$B$4/100*Table1[[#This Row],[BW40_3705]]),"")</f>
        <v/>
      </c>
      <c r="H4282" s="7" t="str">
        <f>IF(Table1[[#This Row],[Is Data Valid]]=TRUE,((Table1[[#This Row],[Birthweight (grams)]]*0.9/Table1[[#This Row],[BW_GA]])-1)/(Backend!$B$4/100*Table1[[#This Row],[BW40_3705]]),"")</f>
        <v/>
      </c>
      <c r="I4282" s="7" t="str">
        <f>IF(Table1[[#This Row],[Is Data Valid]]=TRUE,((Table1[[#This Row],[Birthweight (grams)]]*1.1/Table1[[#This Row],[BW_GA]])-1)/(Backend!$B$4/100*Table1[[#This Row],[BW40_3705]]),"")</f>
        <v/>
      </c>
      <c r="J4282" s="7" t="str">
        <f>IF(Table1[[#This Row],[Is Data Valid]]=TRUE,_xlfn.NORM.S.DIST(Table1[[#This Row],[Birthweight Z-Score]],TRUE)*100,"")</f>
        <v/>
      </c>
      <c r="K4282" s="7" t="str">
        <f>IF(Table1[[#This Row],[Is Data Valid]]=TRUE,_xlfn.NORM.S.DIST(Table1[[#This Row],[Birthweight Z-Score (BW-10%)]],TRUE)*100,"")</f>
        <v/>
      </c>
      <c r="L4282" s="7" t="str">
        <f>IF(Table1[[#This Row],[Is Data Valid]]=TRUE,_xlfn.NORM.S.DIST(Table1[[#This Row],[Birthweight Z-Score (BW+10%)]],TRUE)*100,"")</f>
        <v/>
      </c>
    </row>
    <row r="4283" spans="1:12" x14ac:dyDescent="0.35">
      <c r="A4283" s="3"/>
      <c r="B4283" s="2"/>
      <c r="C4283" s="2"/>
      <c r="D4283" s="2" t="b">
        <f>IF(AND(NOT(ISBLANK(Table1[[#This Row],[Fetal Sex (Male, Female or Unknown)]])),ISNUMBER(Table1[[#This Row],[Birthweight (grams)]]),ISNUMBER(Table1[[#This Row],[Gestation (days)]])),TRUE,FALSE)</f>
        <v>0</v>
      </c>
      <c r="E4283" s="2" t="str">
        <f>IF(Table1[[#This Row],[Is Data Valid]]=TRUE,IF(Table1[[#This Row],[Fetal Sex (Male, Female or Unknown)]]="Male",Backend!$C$6,IF(Table1[[#This Row],[Fetal Sex (Male, Female or Unknown)]]="Female",Backend!$C$7,IF(Table1[[#This Row],[Fetal Sex (Male, Female or Unknown)]]="Unknown",Backend!$C$8,"Error"))),"")</f>
        <v/>
      </c>
      <c r="F4283" s="8" t="str">
        <f>IF(Table1[[#This Row],[Is Data Valid]]=TRUE,EXP(0.578+0.332*((Table1[[#This Row],[Gestation (days)]]+0.5)/7)-0.00354*((Table1[[#This Row],[Gestation (days)]]+0.5)/7)^2)*Table1[[#This Row],[BW40_3705]],"")</f>
        <v/>
      </c>
      <c r="G4283" s="2" t="str">
        <f>IF(Table1[[#This Row],[Is Data Valid]]=TRUE,((Table1[[#This Row],[Birthweight (grams)]]/Table1[[#This Row],[BW_GA]])-1)/(Backend!$B$4/100*Table1[[#This Row],[BW40_3705]]),"")</f>
        <v/>
      </c>
      <c r="H4283" s="7" t="str">
        <f>IF(Table1[[#This Row],[Is Data Valid]]=TRUE,((Table1[[#This Row],[Birthweight (grams)]]*0.9/Table1[[#This Row],[BW_GA]])-1)/(Backend!$B$4/100*Table1[[#This Row],[BW40_3705]]),"")</f>
        <v/>
      </c>
      <c r="I4283" s="7" t="str">
        <f>IF(Table1[[#This Row],[Is Data Valid]]=TRUE,((Table1[[#This Row],[Birthweight (grams)]]*1.1/Table1[[#This Row],[BW_GA]])-1)/(Backend!$B$4/100*Table1[[#This Row],[BW40_3705]]),"")</f>
        <v/>
      </c>
      <c r="J4283" s="7" t="str">
        <f>IF(Table1[[#This Row],[Is Data Valid]]=TRUE,_xlfn.NORM.S.DIST(Table1[[#This Row],[Birthweight Z-Score]],TRUE)*100,"")</f>
        <v/>
      </c>
      <c r="K4283" s="7" t="str">
        <f>IF(Table1[[#This Row],[Is Data Valid]]=TRUE,_xlfn.NORM.S.DIST(Table1[[#This Row],[Birthweight Z-Score (BW-10%)]],TRUE)*100,"")</f>
        <v/>
      </c>
      <c r="L4283" s="7" t="str">
        <f>IF(Table1[[#This Row],[Is Data Valid]]=TRUE,_xlfn.NORM.S.DIST(Table1[[#This Row],[Birthweight Z-Score (BW+10%)]],TRUE)*100,"")</f>
        <v/>
      </c>
    </row>
    <row r="4284" spans="1:12" x14ac:dyDescent="0.35">
      <c r="A4284" s="3"/>
      <c r="B4284" s="2"/>
      <c r="C4284" s="2"/>
      <c r="D4284" s="2" t="b">
        <f>IF(AND(NOT(ISBLANK(Table1[[#This Row],[Fetal Sex (Male, Female or Unknown)]])),ISNUMBER(Table1[[#This Row],[Birthweight (grams)]]),ISNUMBER(Table1[[#This Row],[Gestation (days)]])),TRUE,FALSE)</f>
        <v>0</v>
      </c>
      <c r="E4284" s="2" t="str">
        <f>IF(Table1[[#This Row],[Is Data Valid]]=TRUE,IF(Table1[[#This Row],[Fetal Sex (Male, Female or Unknown)]]="Male",Backend!$C$6,IF(Table1[[#This Row],[Fetal Sex (Male, Female or Unknown)]]="Female",Backend!$C$7,IF(Table1[[#This Row],[Fetal Sex (Male, Female or Unknown)]]="Unknown",Backend!$C$8,"Error"))),"")</f>
        <v/>
      </c>
      <c r="F4284" s="8" t="str">
        <f>IF(Table1[[#This Row],[Is Data Valid]]=TRUE,EXP(0.578+0.332*((Table1[[#This Row],[Gestation (days)]]+0.5)/7)-0.00354*((Table1[[#This Row],[Gestation (days)]]+0.5)/7)^2)*Table1[[#This Row],[BW40_3705]],"")</f>
        <v/>
      </c>
      <c r="G4284" s="2" t="str">
        <f>IF(Table1[[#This Row],[Is Data Valid]]=TRUE,((Table1[[#This Row],[Birthweight (grams)]]/Table1[[#This Row],[BW_GA]])-1)/(Backend!$B$4/100*Table1[[#This Row],[BW40_3705]]),"")</f>
        <v/>
      </c>
      <c r="H4284" s="7" t="str">
        <f>IF(Table1[[#This Row],[Is Data Valid]]=TRUE,((Table1[[#This Row],[Birthweight (grams)]]*0.9/Table1[[#This Row],[BW_GA]])-1)/(Backend!$B$4/100*Table1[[#This Row],[BW40_3705]]),"")</f>
        <v/>
      </c>
      <c r="I4284" s="7" t="str">
        <f>IF(Table1[[#This Row],[Is Data Valid]]=TRUE,((Table1[[#This Row],[Birthweight (grams)]]*1.1/Table1[[#This Row],[BW_GA]])-1)/(Backend!$B$4/100*Table1[[#This Row],[BW40_3705]]),"")</f>
        <v/>
      </c>
      <c r="J4284" s="7" t="str">
        <f>IF(Table1[[#This Row],[Is Data Valid]]=TRUE,_xlfn.NORM.S.DIST(Table1[[#This Row],[Birthweight Z-Score]],TRUE)*100,"")</f>
        <v/>
      </c>
      <c r="K4284" s="7" t="str">
        <f>IF(Table1[[#This Row],[Is Data Valid]]=TRUE,_xlfn.NORM.S.DIST(Table1[[#This Row],[Birthweight Z-Score (BW-10%)]],TRUE)*100,"")</f>
        <v/>
      </c>
      <c r="L4284" s="7" t="str">
        <f>IF(Table1[[#This Row],[Is Data Valid]]=TRUE,_xlfn.NORM.S.DIST(Table1[[#This Row],[Birthweight Z-Score (BW+10%)]],TRUE)*100,"")</f>
        <v/>
      </c>
    </row>
    <row r="4285" spans="1:12" x14ac:dyDescent="0.35">
      <c r="A4285" s="3"/>
      <c r="B4285" s="2"/>
      <c r="C4285" s="2"/>
      <c r="D4285" s="2" t="b">
        <f>IF(AND(NOT(ISBLANK(Table1[[#This Row],[Fetal Sex (Male, Female or Unknown)]])),ISNUMBER(Table1[[#This Row],[Birthweight (grams)]]),ISNUMBER(Table1[[#This Row],[Gestation (days)]])),TRUE,FALSE)</f>
        <v>0</v>
      </c>
      <c r="E4285" s="2" t="str">
        <f>IF(Table1[[#This Row],[Is Data Valid]]=TRUE,IF(Table1[[#This Row],[Fetal Sex (Male, Female or Unknown)]]="Male",Backend!$C$6,IF(Table1[[#This Row],[Fetal Sex (Male, Female or Unknown)]]="Female",Backend!$C$7,IF(Table1[[#This Row],[Fetal Sex (Male, Female or Unknown)]]="Unknown",Backend!$C$8,"Error"))),"")</f>
        <v/>
      </c>
      <c r="F4285" s="8" t="str">
        <f>IF(Table1[[#This Row],[Is Data Valid]]=TRUE,EXP(0.578+0.332*((Table1[[#This Row],[Gestation (days)]]+0.5)/7)-0.00354*((Table1[[#This Row],[Gestation (days)]]+0.5)/7)^2)*Table1[[#This Row],[BW40_3705]],"")</f>
        <v/>
      </c>
      <c r="G4285" s="2" t="str">
        <f>IF(Table1[[#This Row],[Is Data Valid]]=TRUE,((Table1[[#This Row],[Birthweight (grams)]]/Table1[[#This Row],[BW_GA]])-1)/(Backend!$B$4/100*Table1[[#This Row],[BW40_3705]]),"")</f>
        <v/>
      </c>
      <c r="H4285" s="7" t="str">
        <f>IF(Table1[[#This Row],[Is Data Valid]]=TRUE,((Table1[[#This Row],[Birthweight (grams)]]*0.9/Table1[[#This Row],[BW_GA]])-1)/(Backend!$B$4/100*Table1[[#This Row],[BW40_3705]]),"")</f>
        <v/>
      </c>
      <c r="I4285" s="7" t="str">
        <f>IF(Table1[[#This Row],[Is Data Valid]]=TRUE,((Table1[[#This Row],[Birthweight (grams)]]*1.1/Table1[[#This Row],[BW_GA]])-1)/(Backend!$B$4/100*Table1[[#This Row],[BW40_3705]]),"")</f>
        <v/>
      </c>
      <c r="J4285" s="7" t="str">
        <f>IF(Table1[[#This Row],[Is Data Valid]]=TRUE,_xlfn.NORM.S.DIST(Table1[[#This Row],[Birthweight Z-Score]],TRUE)*100,"")</f>
        <v/>
      </c>
      <c r="K4285" s="7" t="str">
        <f>IF(Table1[[#This Row],[Is Data Valid]]=TRUE,_xlfn.NORM.S.DIST(Table1[[#This Row],[Birthweight Z-Score (BW-10%)]],TRUE)*100,"")</f>
        <v/>
      </c>
      <c r="L4285" s="7" t="str">
        <f>IF(Table1[[#This Row],[Is Data Valid]]=TRUE,_xlfn.NORM.S.DIST(Table1[[#This Row],[Birthweight Z-Score (BW+10%)]],TRUE)*100,"")</f>
        <v/>
      </c>
    </row>
    <row r="4286" spans="1:12" x14ac:dyDescent="0.35">
      <c r="A4286" s="3"/>
      <c r="B4286" s="2"/>
      <c r="C4286" s="2"/>
      <c r="D4286" s="2" t="b">
        <f>IF(AND(NOT(ISBLANK(Table1[[#This Row],[Fetal Sex (Male, Female or Unknown)]])),ISNUMBER(Table1[[#This Row],[Birthweight (grams)]]),ISNUMBER(Table1[[#This Row],[Gestation (days)]])),TRUE,FALSE)</f>
        <v>0</v>
      </c>
      <c r="E4286" s="2" t="str">
        <f>IF(Table1[[#This Row],[Is Data Valid]]=TRUE,IF(Table1[[#This Row],[Fetal Sex (Male, Female or Unknown)]]="Male",Backend!$C$6,IF(Table1[[#This Row],[Fetal Sex (Male, Female or Unknown)]]="Female",Backend!$C$7,IF(Table1[[#This Row],[Fetal Sex (Male, Female or Unknown)]]="Unknown",Backend!$C$8,"Error"))),"")</f>
        <v/>
      </c>
      <c r="F4286" s="8" t="str">
        <f>IF(Table1[[#This Row],[Is Data Valid]]=TRUE,EXP(0.578+0.332*((Table1[[#This Row],[Gestation (days)]]+0.5)/7)-0.00354*((Table1[[#This Row],[Gestation (days)]]+0.5)/7)^2)*Table1[[#This Row],[BW40_3705]],"")</f>
        <v/>
      </c>
      <c r="G4286" s="2" t="str">
        <f>IF(Table1[[#This Row],[Is Data Valid]]=TRUE,((Table1[[#This Row],[Birthweight (grams)]]/Table1[[#This Row],[BW_GA]])-1)/(Backend!$B$4/100*Table1[[#This Row],[BW40_3705]]),"")</f>
        <v/>
      </c>
      <c r="H4286" s="7" t="str">
        <f>IF(Table1[[#This Row],[Is Data Valid]]=TRUE,((Table1[[#This Row],[Birthweight (grams)]]*0.9/Table1[[#This Row],[BW_GA]])-1)/(Backend!$B$4/100*Table1[[#This Row],[BW40_3705]]),"")</f>
        <v/>
      </c>
      <c r="I4286" s="7" t="str">
        <f>IF(Table1[[#This Row],[Is Data Valid]]=TRUE,((Table1[[#This Row],[Birthweight (grams)]]*1.1/Table1[[#This Row],[BW_GA]])-1)/(Backend!$B$4/100*Table1[[#This Row],[BW40_3705]]),"")</f>
        <v/>
      </c>
      <c r="J4286" s="7" t="str">
        <f>IF(Table1[[#This Row],[Is Data Valid]]=TRUE,_xlfn.NORM.S.DIST(Table1[[#This Row],[Birthweight Z-Score]],TRUE)*100,"")</f>
        <v/>
      </c>
      <c r="K4286" s="7" t="str">
        <f>IF(Table1[[#This Row],[Is Data Valid]]=TRUE,_xlfn.NORM.S.DIST(Table1[[#This Row],[Birthweight Z-Score (BW-10%)]],TRUE)*100,"")</f>
        <v/>
      </c>
      <c r="L4286" s="7" t="str">
        <f>IF(Table1[[#This Row],[Is Data Valid]]=TRUE,_xlfn.NORM.S.DIST(Table1[[#This Row],[Birthweight Z-Score (BW+10%)]],TRUE)*100,"")</f>
        <v/>
      </c>
    </row>
    <row r="4287" spans="1:12" x14ac:dyDescent="0.35">
      <c r="A4287" s="3"/>
      <c r="B4287" s="2"/>
      <c r="C4287" s="2"/>
      <c r="D4287" s="2" t="b">
        <f>IF(AND(NOT(ISBLANK(Table1[[#This Row],[Fetal Sex (Male, Female or Unknown)]])),ISNUMBER(Table1[[#This Row],[Birthweight (grams)]]),ISNUMBER(Table1[[#This Row],[Gestation (days)]])),TRUE,FALSE)</f>
        <v>0</v>
      </c>
      <c r="E4287" s="2" t="str">
        <f>IF(Table1[[#This Row],[Is Data Valid]]=TRUE,IF(Table1[[#This Row],[Fetal Sex (Male, Female or Unknown)]]="Male",Backend!$C$6,IF(Table1[[#This Row],[Fetal Sex (Male, Female or Unknown)]]="Female",Backend!$C$7,IF(Table1[[#This Row],[Fetal Sex (Male, Female or Unknown)]]="Unknown",Backend!$C$8,"Error"))),"")</f>
        <v/>
      </c>
      <c r="F4287" s="8" t="str">
        <f>IF(Table1[[#This Row],[Is Data Valid]]=TRUE,EXP(0.578+0.332*((Table1[[#This Row],[Gestation (days)]]+0.5)/7)-0.00354*((Table1[[#This Row],[Gestation (days)]]+0.5)/7)^2)*Table1[[#This Row],[BW40_3705]],"")</f>
        <v/>
      </c>
      <c r="G4287" s="2" t="str">
        <f>IF(Table1[[#This Row],[Is Data Valid]]=TRUE,((Table1[[#This Row],[Birthweight (grams)]]/Table1[[#This Row],[BW_GA]])-1)/(Backend!$B$4/100*Table1[[#This Row],[BW40_3705]]),"")</f>
        <v/>
      </c>
      <c r="H4287" s="7" t="str">
        <f>IF(Table1[[#This Row],[Is Data Valid]]=TRUE,((Table1[[#This Row],[Birthweight (grams)]]*0.9/Table1[[#This Row],[BW_GA]])-1)/(Backend!$B$4/100*Table1[[#This Row],[BW40_3705]]),"")</f>
        <v/>
      </c>
      <c r="I4287" s="7" t="str">
        <f>IF(Table1[[#This Row],[Is Data Valid]]=TRUE,((Table1[[#This Row],[Birthweight (grams)]]*1.1/Table1[[#This Row],[BW_GA]])-1)/(Backend!$B$4/100*Table1[[#This Row],[BW40_3705]]),"")</f>
        <v/>
      </c>
      <c r="J4287" s="7" t="str">
        <f>IF(Table1[[#This Row],[Is Data Valid]]=TRUE,_xlfn.NORM.S.DIST(Table1[[#This Row],[Birthweight Z-Score]],TRUE)*100,"")</f>
        <v/>
      </c>
      <c r="K4287" s="7" t="str">
        <f>IF(Table1[[#This Row],[Is Data Valid]]=TRUE,_xlfn.NORM.S.DIST(Table1[[#This Row],[Birthweight Z-Score (BW-10%)]],TRUE)*100,"")</f>
        <v/>
      </c>
      <c r="L4287" s="7" t="str">
        <f>IF(Table1[[#This Row],[Is Data Valid]]=TRUE,_xlfn.NORM.S.DIST(Table1[[#This Row],[Birthweight Z-Score (BW+10%)]],TRUE)*100,"")</f>
        <v/>
      </c>
    </row>
    <row r="4288" spans="1:12" x14ac:dyDescent="0.35">
      <c r="A4288" s="3"/>
      <c r="B4288" s="2"/>
      <c r="C4288" s="2"/>
      <c r="D4288" s="2" t="b">
        <f>IF(AND(NOT(ISBLANK(Table1[[#This Row],[Fetal Sex (Male, Female or Unknown)]])),ISNUMBER(Table1[[#This Row],[Birthweight (grams)]]),ISNUMBER(Table1[[#This Row],[Gestation (days)]])),TRUE,FALSE)</f>
        <v>0</v>
      </c>
      <c r="E4288" s="2" t="str">
        <f>IF(Table1[[#This Row],[Is Data Valid]]=TRUE,IF(Table1[[#This Row],[Fetal Sex (Male, Female or Unknown)]]="Male",Backend!$C$6,IF(Table1[[#This Row],[Fetal Sex (Male, Female or Unknown)]]="Female",Backend!$C$7,IF(Table1[[#This Row],[Fetal Sex (Male, Female or Unknown)]]="Unknown",Backend!$C$8,"Error"))),"")</f>
        <v/>
      </c>
      <c r="F4288" s="8" t="str">
        <f>IF(Table1[[#This Row],[Is Data Valid]]=TRUE,EXP(0.578+0.332*((Table1[[#This Row],[Gestation (days)]]+0.5)/7)-0.00354*((Table1[[#This Row],[Gestation (days)]]+0.5)/7)^2)*Table1[[#This Row],[BW40_3705]],"")</f>
        <v/>
      </c>
      <c r="G4288" s="2" t="str">
        <f>IF(Table1[[#This Row],[Is Data Valid]]=TRUE,((Table1[[#This Row],[Birthweight (grams)]]/Table1[[#This Row],[BW_GA]])-1)/(Backend!$B$4/100*Table1[[#This Row],[BW40_3705]]),"")</f>
        <v/>
      </c>
      <c r="H4288" s="7" t="str">
        <f>IF(Table1[[#This Row],[Is Data Valid]]=TRUE,((Table1[[#This Row],[Birthweight (grams)]]*0.9/Table1[[#This Row],[BW_GA]])-1)/(Backend!$B$4/100*Table1[[#This Row],[BW40_3705]]),"")</f>
        <v/>
      </c>
      <c r="I4288" s="7" t="str">
        <f>IF(Table1[[#This Row],[Is Data Valid]]=TRUE,((Table1[[#This Row],[Birthweight (grams)]]*1.1/Table1[[#This Row],[BW_GA]])-1)/(Backend!$B$4/100*Table1[[#This Row],[BW40_3705]]),"")</f>
        <v/>
      </c>
      <c r="J4288" s="7" t="str">
        <f>IF(Table1[[#This Row],[Is Data Valid]]=TRUE,_xlfn.NORM.S.DIST(Table1[[#This Row],[Birthweight Z-Score]],TRUE)*100,"")</f>
        <v/>
      </c>
      <c r="K4288" s="7" t="str">
        <f>IF(Table1[[#This Row],[Is Data Valid]]=TRUE,_xlfn.NORM.S.DIST(Table1[[#This Row],[Birthweight Z-Score (BW-10%)]],TRUE)*100,"")</f>
        <v/>
      </c>
      <c r="L4288" s="7" t="str">
        <f>IF(Table1[[#This Row],[Is Data Valid]]=TRUE,_xlfn.NORM.S.DIST(Table1[[#This Row],[Birthweight Z-Score (BW+10%)]],TRUE)*100,"")</f>
        <v/>
      </c>
    </row>
    <row r="4289" spans="1:12" x14ac:dyDescent="0.35">
      <c r="A4289" s="3"/>
      <c r="B4289" s="2"/>
      <c r="C4289" s="2"/>
      <c r="D4289" s="2" t="b">
        <f>IF(AND(NOT(ISBLANK(Table1[[#This Row],[Fetal Sex (Male, Female or Unknown)]])),ISNUMBER(Table1[[#This Row],[Birthweight (grams)]]),ISNUMBER(Table1[[#This Row],[Gestation (days)]])),TRUE,FALSE)</f>
        <v>0</v>
      </c>
      <c r="E4289" s="2" t="str">
        <f>IF(Table1[[#This Row],[Is Data Valid]]=TRUE,IF(Table1[[#This Row],[Fetal Sex (Male, Female or Unknown)]]="Male",Backend!$C$6,IF(Table1[[#This Row],[Fetal Sex (Male, Female or Unknown)]]="Female",Backend!$C$7,IF(Table1[[#This Row],[Fetal Sex (Male, Female or Unknown)]]="Unknown",Backend!$C$8,"Error"))),"")</f>
        <v/>
      </c>
      <c r="F4289" s="8" t="str">
        <f>IF(Table1[[#This Row],[Is Data Valid]]=TRUE,EXP(0.578+0.332*((Table1[[#This Row],[Gestation (days)]]+0.5)/7)-0.00354*((Table1[[#This Row],[Gestation (days)]]+0.5)/7)^2)*Table1[[#This Row],[BW40_3705]],"")</f>
        <v/>
      </c>
      <c r="G4289" s="2" t="str">
        <f>IF(Table1[[#This Row],[Is Data Valid]]=TRUE,((Table1[[#This Row],[Birthweight (grams)]]/Table1[[#This Row],[BW_GA]])-1)/(Backend!$B$4/100*Table1[[#This Row],[BW40_3705]]),"")</f>
        <v/>
      </c>
      <c r="H4289" s="7" t="str">
        <f>IF(Table1[[#This Row],[Is Data Valid]]=TRUE,((Table1[[#This Row],[Birthweight (grams)]]*0.9/Table1[[#This Row],[BW_GA]])-1)/(Backend!$B$4/100*Table1[[#This Row],[BW40_3705]]),"")</f>
        <v/>
      </c>
      <c r="I4289" s="7" t="str">
        <f>IF(Table1[[#This Row],[Is Data Valid]]=TRUE,((Table1[[#This Row],[Birthweight (grams)]]*1.1/Table1[[#This Row],[BW_GA]])-1)/(Backend!$B$4/100*Table1[[#This Row],[BW40_3705]]),"")</f>
        <v/>
      </c>
      <c r="J4289" s="7" t="str">
        <f>IF(Table1[[#This Row],[Is Data Valid]]=TRUE,_xlfn.NORM.S.DIST(Table1[[#This Row],[Birthweight Z-Score]],TRUE)*100,"")</f>
        <v/>
      </c>
      <c r="K4289" s="7" t="str">
        <f>IF(Table1[[#This Row],[Is Data Valid]]=TRUE,_xlfn.NORM.S.DIST(Table1[[#This Row],[Birthweight Z-Score (BW-10%)]],TRUE)*100,"")</f>
        <v/>
      </c>
      <c r="L4289" s="7" t="str">
        <f>IF(Table1[[#This Row],[Is Data Valid]]=TRUE,_xlfn.NORM.S.DIST(Table1[[#This Row],[Birthweight Z-Score (BW+10%)]],TRUE)*100,"")</f>
        <v/>
      </c>
    </row>
    <row r="4290" spans="1:12" x14ac:dyDescent="0.35">
      <c r="A4290" s="3"/>
      <c r="B4290" s="2"/>
      <c r="C4290" s="2"/>
      <c r="D4290" s="2" t="b">
        <f>IF(AND(NOT(ISBLANK(Table1[[#This Row],[Fetal Sex (Male, Female or Unknown)]])),ISNUMBER(Table1[[#This Row],[Birthweight (grams)]]),ISNUMBER(Table1[[#This Row],[Gestation (days)]])),TRUE,FALSE)</f>
        <v>0</v>
      </c>
      <c r="E4290" s="2" t="str">
        <f>IF(Table1[[#This Row],[Is Data Valid]]=TRUE,IF(Table1[[#This Row],[Fetal Sex (Male, Female or Unknown)]]="Male",Backend!$C$6,IF(Table1[[#This Row],[Fetal Sex (Male, Female or Unknown)]]="Female",Backend!$C$7,IF(Table1[[#This Row],[Fetal Sex (Male, Female or Unknown)]]="Unknown",Backend!$C$8,"Error"))),"")</f>
        <v/>
      </c>
      <c r="F4290" s="8" t="str">
        <f>IF(Table1[[#This Row],[Is Data Valid]]=TRUE,EXP(0.578+0.332*((Table1[[#This Row],[Gestation (days)]]+0.5)/7)-0.00354*((Table1[[#This Row],[Gestation (days)]]+0.5)/7)^2)*Table1[[#This Row],[BW40_3705]],"")</f>
        <v/>
      </c>
      <c r="G4290" s="2" t="str">
        <f>IF(Table1[[#This Row],[Is Data Valid]]=TRUE,((Table1[[#This Row],[Birthweight (grams)]]/Table1[[#This Row],[BW_GA]])-1)/(Backend!$B$4/100*Table1[[#This Row],[BW40_3705]]),"")</f>
        <v/>
      </c>
      <c r="H4290" s="7" t="str">
        <f>IF(Table1[[#This Row],[Is Data Valid]]=TRUE,((Table1[[#This Row],[Birthweight (grams)]]*0.9/Table1[[#This Row],[BW_GA]])-1)/(Backend!$B$4/100*Table1[[#This Row],[BW40_3705]]),"")</f>
        <v/>
      </c>
      <c r="I4290" s="7" t="str">
        <f>IF(Table1[[#This Row],[Is Data Valid]]=TRUE,((Table1[[#This Row],[Birthweight (grams)]]*1.1/Table1[[#This Row],[BW_GA]])-1)/(Backend!$B$4/100*Table1[[#This Row],[BW40_3705]]),"")</f>
        <v/>
      </c>
      <c r="J4290" s="7" t="str">
        <f>IF(Table1[[#This Row],[Is Data Valid]]=TRUE,_xlfn.NORM.S.DIST(Table1[[#This Row],[Birthweight Z-Score]],TRUE)*100,"")</f>
        <v/>
      </c>
      <c r="K4290" s="7" t="str">
        <f>IF(Table1[[#This Row],[Is Data Valid]]=TRUE,_xlfn.NORM.S.DIST(Table1[[#This Row],[Birthweight Z-Score (BW-10%)]],TRUE)*100,"")</f>
        <v/>
      </c>
      <c r="L4290" s="7" t="str">
        <f>IF(Table1[[#This Row],[Is Data Valid]]=TRUE,_xlfn.NORM.S.DIST(Table1[[#This Row],[Birthweight Z-Score (BW+10%)]],TRUE)*100,"")</f>
        <v/>
      </c>
    </row>
    <row r="4291" spans="1:12" x14ac:dyDescent="0.35">
      <c r="A4291" s="3"/>
      <c r="B4291" s="2"/>
      <c r="C4291" s="2"/>
      <c r="D4291" s="2" t="b">
        <f>IF(AND(NOT(ISBLANK(Table1[[#This Row],[Fetal Sex (Male, Female or Unknown)]])),ISNUMBER(Table1[[#This Row],[Birthweight (grams)]]),ISNUMBER(Table1[[#This Row],[Gestation (days)]])),TRUE,FALSE)</f>
        <v>0</v>
      </c>
      <c r="E4291" s="2" t="str">
        <f>IF(Table1[[#This Row],[Is Data Valid]]=TRUE,IF(Table1[[#This Row],[Fetal Sex (Male, Female or Unknown)]]="Male",Backend!$C$6,IF(Table1[[#This Row],[Fetal Sex (Male, Female or Unknown)]]="Female",Backend!$C$7,IF(Table1[[#This Row],[Fetal Sex (Male, Female or Unknown)]]="Unknown",Backend!$C$8,"Error"))),"")</f>
        <v/>
      </c>
      <c r="F4291" s="8" t="str">
        <f>IF(Table1[[#This Row],[Is Data Valid]]=TRUE,EXP(0.578+0.332*((Table1[[#This Row],[Gestation (days)]]+0.5)/7)-0.00354*((Table1[[#This Row],[Gestation (days)]]+0.5)/7)^2)*Table1[[#This Row],[BW40_3705]],"")</f>
        <v/>
      </c>
      <c r="G4291" s="2" t="str">
        <f>IF(Table1[[#This Row],[Is Data Valid]]=TRUE,((Table1[[#This Row],[Birthweight (grams)]]/Table1[[#This Row],[BW_GA]])-1)/(Backend!$B$4/100*Table1[[#This Row],[BW40_3705]]),"")</f>
        <v/>
      </c>
      <c r="H4291" s="7" t="str">
        <f>IF(Table1[[#This Row],[Is Data Valid]]=TRUE,((Table1[[#This Row],[Birthweight (grams)]]*0.9/Table1[[#This Row],[BW_GA]])-1)/(Backend!$B$4/100*Table1[[#This Row],[BW40_3705]]),"")</f>
        <v/>
      </c>
      <c r="I4291" s="7" t="str">
        <f>IF(Table1[[#This Row],[Is Data Valid]]=TRUE,((Table1[[#This Row],[Birthweight (grams)]]*1.1/Table1[[#This Row],[BW_GA]])-1)/(Backend!$B$4/100*Table1[[#This Row],[BW40_3705]]),"")</f>
        <v/>
      </c>
      <c r="J4291" s="7" t="str">
        <f>IF(Table1[[#This Row],[Is Data Valid]]=TRUE,_xlfn.NORM.S.DIST(Table1[[#This Row],[Birthweight Z-Score]],TRUE)*100,"")</f>
        <v/>
      </c>
      <c r="K4291" s="7" t="str">
        <f>IF(Table1[[#This Row],[Is Data Valid]]=TRUE,_xlfn.NORM.S.DIST(Table1[[#This Row],[Birthweight Z-Score (BW-10%)]],TRUE)*100,"")</f>
        <v/>
      </c>
      <c r="L4291" s="7" t="str">
        <f>IF(Table1[[#This Row],[Is Data Valid]]=TRUE,_xlfn.NORM.S.DIST(Table1[[#This Row],[Birthweight Z-Score (BW+10%)]],TRUE)*100,"")</f>
        <v/>
      </c>
    </row>
    <row r="4292" spans="1:12" x14ac:dyDescent="0.35">
      <c r="A4292" s="3"/>
      <c r="B4292" s="2"/>
      <c r="C4292" s="2"/>
      <c r="D4292" s="2" t="b">
        <f>IF(AND(NOT(ISBLANK(Table1[[#This Row],[Fetal Sex (Male, Female or Unknown)]])),ISNUMBER(Table1[[#This Row],[Birthweight (grams)]]),ISNUMBER(Table1[[#This Row],[Gestation (days)]])),TRUE,FALSE)</f>
        <v>0</v>
      </c>
      <c r="E4292" s="2" t="str">
        <f>IF(Table1[[#This Row],[Is Data Valid]]=TRUE,IF(Table1[[#This Row],[Fetal Sex (Male, Female or Unknown)]]="Male",Backend!$C$6,IF(Table1[[#This Row],[Fetal Sex (Male, Female or Unknown)]]="Female",Backend!$C$7,IF(Table1[[#This Row],[Fetal Sex (Male, Female or Unknown)]]="Unknown",Backend!$C$8,"Error"))),"")</f>
        <v/>
      </c>
      <c r="F4292" s="8" t="str">
        <f>IF(Table1[[#This Row],[Is Data Valid]]=TRUE,EXP(0.578+0.332*((Table1[[#This Row],[Gestation (days)]]+0.5)/7)-0.00354*((Table1[[#This Row],[Gestation (days)]]+0.5)/7)^2)*Table1[[#This Row],[BW40_3705]],"")</f>
        <v/>
      </c>
      <c r="G4292" s="2" t="str">
        <f>IF(Table1[[#This Row],[Is Data Valid]]=TRUE,((Table1[[#This Row],[Birthweight (grams)]]/Table1[[#This Row],[BW_GA]])-1)/(Backend!$B$4/100*Table1[[#This Row],[BW40_3705]]),"")</f>
        <v/>
      </c>
      <c r="H4292" s="7" t="str">
        <f>IF(Table1[[#This Row],[Is Data Valid]]=TRUE,((Table1[[#This Row],[Birthweight (grams)]]*0.9/Table1[[#This Row],[BW_GA]])-1)/(Backend!$B$4/100*Table1[[#This Row],[BW40_3705]]),"")</f>
        <v/>
      </c>
      <c r="I4292" s="7" t="str">
        <f>IF(Table1[[#This Row],[Is Data Valid]]=TRUE,((Table1[[#This Row],[Birthweight (grams)]]*1.1/Table1[[#This Row],[BW_GA]])-1)/(Backend!$B$4/100*Table1[[#This Row],[BW40_3705]]),"")</f>
        <v/>
      </c>
      <c r="J4292" s="7" t="str">
        <f>IF(Table1[[#This Row],[Is Data Valid]]=TRUE,_xlfn.NORM.S.DIST(Table1[[#This Row],[Birthweight Z-Score]],TRUE)*100,"")</f>
        <v/>
      </c>
      <c r="K4292" s="7" t="str">
        <f>IF(Table1[[#This Row],[Is Data Valid]]=TRUE,_xlfn.NORM.S.DIST(Table1[[#This Row],[Birthweight Z-Score (BW-10%)]],TRUE)*100,"")</f>
        <v/>
      </c>
      <c r="L4292" s="7" t="str">
        <f>IF(Table1[[#This Row],[Is Data Valid]]=TRUE,_xlfn.NORM.S.DIST(Table1[[#This Row],[Birthweight Z-Score (BW+10%)]],TRUE)*100,"")</f>
        <v/>
      </c>
    </row>
    <row r="4293" spans="1:12" x14ac:dyDescent="0.35">
      <c r="A4293" s="3"/>
      <c r="B4293" s="2"/>
      <c r="C4293" s="2"/>
      <c r="D4293" s="2" t="b">
        <f>IF(AND(NOT(ISBLANK(Table1[[#This Row],[Fetal Sex (Male, Female or Unknown)]])),ISNUMBER(Table1[[#This Row],[Birthweight (grams)]]),ISNUMBER(Table1[[#This Row],[Gestation (days)]])),TRUE,FALSE)</f>
        <v>0</v>
      </c>
      <c r="E4293" s="2" t="str">
        <f>IF(Table1[[#This Row],[Is Data Valid]]=TRUE,IF(Table1[[#This Row],[Fetal Sex (Male, Female or Unknown)]]="Male",Backend!$C$6,IF(Table1[[#This Row],[Fetal Sex (Male, Female or Unknown)]]="Female",Backend!$C$7,IF(Table1[[#This Row],[Fetal Sex (Male, Female or Unknown)]]="Unknown",Backend!$C$8,"Error"))),"")</f>
        <v/>
      </c>
      <c r="F4293" s="8" t="str">
        <f>IF(Table1[[#This Row],[Is Data Valid]]=TRUE,EXP(0.578+0.332*((Table1[[#This Row],[Gestation (days)]]+0.5)/7)-0.00354*((Table1[[#This Row],[Gestation (days)]]+0.5)/7)^2)*Table1[[#This Row],[BW40_3705]],"")</f>
        <v/>
      </c>
      <c r="G4293" s="2" t="str">
        <f>IF(Table1[[#This Row],[Is Data Valid]]=TRUE,((Table1[[#This Row],[Birthweight (grams)]]/Table1[[#This Row],[BW_GA]])-1)/(Backend!$B$4/100*Table1[[#This Row],[BW40_3705]]),"")</f>
        <v/>
      </c>
      <c r="H4293" s="7" t="str">
        <f>IF(Table1[[#This Row],[Is Data Valid]]=TRUE,((Table1[[#This Row],[Birthweight (grams)]]*0.9/Table1[[#This Row],[BW_GA]])-1)/(Backend!$B$4/100*Table1[[#This Row],[BW40_3705]]),"")</f>
        <v/>
      </c>
      <c r="I4293" s="7" t="str">
        <f>IF(Table1[[#This Row],[Is Data Valid]]=TRUE,((Table1[[#This Row],[Birthweight (grams)]]*1.1/Table1[[#This Row],[BW_GA]])-1)/(Backend!$B$4/100*Table1[[#This Row],[BW40_3705]]),"")</f>
        <v/>
      </c>
      <c r="J4293" s="7" t="str">
        <f>IF(Table1[[#This Row],[Is Data Valid]]=TRUE,_xlfn.NORM.S.DIST(Table1[[#This Row],[Birthweight Z-Score]],TRUE)*100,"")</f>
        <v/>
      </c>
      <c r="K4293" s="7" t="str">
        <f>IF(Table1[[#This Row],[Is Data Valid]]=TRUE,_xlfn.NORM.S.DIST(Table1[[#This Row],[Birthweight Z-Score (BW-10%)]],TRUE)*100,"")</f>
        <v/>
      </c>
      <c r="L4293" s="7" t="str">
        <f>IF(Table1[[#This Row],[Is Data Valid]]=TRUE,_xlfn.NORM.S.DIST(Table1[[#This Row],[Birthweight Z-Score (BW+10%)]],TRUE)*100,"")</f>
        <v/>
      </c>
    </row>
    <row r="4294" spans="1:12" x14ac:dyDescent="0.35">
      <c r="A4294" s="3"/>
      <c r="B4294" s="2"/>
      <c r="C4294" s="2"/>
      <c r="D4294" s="2" t="b">
        <f>IF(AND(NOT(ISBLANK(Table1[[#This Row],[Fetal Sex (Male, Female or Unknown)]])),ISNUMBER(Table1[[#This Row],[Birthweight (grams)]]),ISNUMBER(Table1[[#This Row],[Gestation (days)]])),TRUE,FALSE)</f>
        <v>0</v>
      </c>
      <c r="E4294" s="2" t="str">
        <f>IF(Table1[[#This Row],[Is Data Valid]]=TRUE,IF(Table1[[#This Row],[Fetal Sex (Male, Female or Unknown)]]="Male",Backend!$C$6,IF(Table1[[#This Row],[Fetal Sex (Male, Female or Unknown)]]="Female",Backend!$C$7,IF(Table1[[#This Row],[Fetal Sex (Male, Female or Unknown)]]="Unknown",Backend!$C$8,"Error"))),"")</f>
        <v/>
      </c>
      <c r="F4294" s="8" t="str">
        <f>IF(Table1[[#This Row],[Is Data Valid]]=TRUE,EXP(0.578+0.332*((Table1[[#This Row],[Gestation (days)]]+0.5)/7)-0.00354*((Table1[[#This Row],[Gestation (days)]]+0.5)/7)^2)*Table1[[#This Row],[BW40_3705]],"")</f>
        <v/>
      </c>
      <c r="G4294" s="2" t="str">
        <f>IF(Table1[[#This Row],[Is Data Valid]]=TRUE,((Table1[[#This Row],[Birthweight (grams)]]/Table1[[#This Row],[BW_GA]])-1)/(Backend!$B$4/100*Table1[[#This Row],[BW40_3705]]),"")</f>
        <v/>
      </c>
      <c r="H4294" s="7" t="str">
        <f>IF(Table1[[#This Row],[Is Data Valid]]=TRUE,((Table1[[#This Row],[Birthweight (grams)]]*0.9/Table1[[#This Row],[BW_GA]])-1)/(Backend!$B$4/100*Table1[[#This Row],[BW40_3705]]),"")</f>
        <v/>
      </c>
      <c r="I4294" s="7" t="str">
        <f>IF(Table1[[#This Row],[Is Data Valid]]=TRUE,((Table1[[#This Row],[Birthweight (grams)]]*1.1/Table1[[#This Row],[BW_GA]])-1)/(Backend!$B$4/100*Table1[[#This Row],[BW40_3705]]),"")</f>
        <v/>
      </c>
      <c r="J4294" s="7" t="str">
        <f>IF(Table1[[#This Row],[Is Data Valid]]=TRUE,_xlfn.NORM.S.DIST(Table1[[#This Row],[Birthweight Z-Score]],TRUE)*100,"")</f>
        <v/>
      </c>
      <c r="K4294" s="7" t="str">
        <f>IF(Table1[[#This Row],[Is Data Valid]]=TRUE,_xlfn.NORM.S.DIST(Table1[[#This Row],[Birthweight Z-Score (BW-10%)]],TRUE)*100,"")</f>
        <v/>
      </c>
      <c r="L4294" s="7" t="str">
        <f>IF(Table1[[#This Row],[Is Data Valid]]=TRUE,_xlfn.NORM.S.DIST(Table1[[#This Row],[Birthweight Z-Score (BW+10%)]],TRUE)*100,"")</f>
        <v/>
      </c>
    </row>
    <row r="4295" spans="1:12" x14ac:dyDescent="0.35">
      <c r="A4295" s="3"/>
      <c r="B4295" s="2"/>
      <c r="C4295" s="2"/>
      <c r="D4295" s="2" t="b">
        <f>IF(AND(NOT(ISBLANK(Table1[[#This Row],[Fetal Sex (Male, Female or Unknown)]])),ISNUMBER(Table1[[#This Row],[Birthweight (grams)]]),ISNUMBER(Table1[[#This Row],[Gestation (days)]])),TRUE,FALSE)</f>
        <v>0</v>
      </c>
      <c r="E4295" s="2" t="str">
        <f>IF(Table1[[#This Row],[Is Data Valid]]=TRUE,IF(Table1[[#This Row],[Fetal Sex (Male, Female or Unknown)]]="Male",Backend!$C$6,IF(Table1[[#This Row],[Fetal Sex (Male, Female or Unknown)]]="Female",Backend!$C$7,IF(Table1[[#This Row],[Fetal Sex (Male, Female or Unknown)]]="Unknown",Backend!$C$8,"Error"))),"")</f>
        <v/>
      </c>
      <c r="F4295" s="8" t="str">
        <f>IF(Table1[[#This Row],[Is Data Valid]]=TRUE,EXP(0.578+0.332*((Table1[[#This Row],[Gestation (days)]]+0.5)/7)-0.00354*((Table1[[#This Row],[Gestation (days)]]+0.5)/7)^2)*Table1[[#This Row],[BW40_3705]],"")</f>
        <v/>
      </c>
      <c r="G4295" s="2" t="str">
        <f>IF(Table1[[#This Row],[Is Data Valid]]=TRUE,((Table1[[#This Row],[Birthweight (grams)]]/Table1[[#This Row],[BW_GA]])-1)/(Backend!$B$4/100*Table1[[#This Row],[BW40_3705]]),"")</f>
        <v/>
      </c>
      <c r="H4295" s="7" t="str">
        <f>IF(Table1[[#This Row],[Is Data Valid]]=TRUE,((Table1[[#This Row],[Birthweight (grams)]]*0.9/Table1[[#This Row],[BW_GA]])-1)/(Backend!$B$4/100*Table1[[#This Row],[BW40_3705]]),"")</f>
        <v/>
      </c>
      <c r="I4295" s="7" t="str">
        <f>IF(Table1[[#This Row],[Is Data Valid]]=TRUE,((Table1[[#This Row],[Birthweight (grams)]]*1.1/Table1[[#This Row],[BW_GA]])-1)/(Backend!$B$4/100*Table1[[#This Row],[BW40_3705]]),"")</f>
        <v/>
      </c>
      <c r="J4295" s="7" t="str">
        <f>IF(Table1[[#This Row],[Is Data Valid]]=TRUE,_xlfn.NORM.S.DIST(Table1[[#This Row],[Birthweight Z-Score]],TRUE)*100,"")</f>
        <v/>
      </c>
      <c r="K4295" s="7" t="str">
        <f>IF(Table1[[#This Row],[Is Data Valid]]=TRUE,_xlfn.NORM.S.DIST(Table1[[#This Row],[Birthweight Z-Score (BW-10%)]],TRUE)*100,"")</f>
        <v/>
      </c>
      <c r="L4295" s="7" t="str">
        <f>IF(Table1[[#This Row],[Is Data Valid]]=TRUE,_xlfn.NORM.S.DIST(Table1[[#This Row],[Birthweight Z-Score (BW+10%)]],TRUE)*100,"")</f>
        <v/>
      </c>
    </row>
    <row r="4296" spans="1:12" x14ac:dyDescent="0.35">
      <c r="A4296" s="3"/>
      <c r="B4296" s="2"/>
      <c r="C4296" s="2"/>
      <c r="D4296" s="2" t="b">
        <f>IF(AND(NOT(ISBLANK(Table1[[#This Row],[Fetal Sex (Male, Female or Unknown)]])),ISNUMBER(Table1[[#This Row],[Birthweight (grams)]]),ISNUMBER(Table1[[#This Row],[Gestation (days)]])),TRUE,FALSE)</f>
        <v>0</v>
      </c>
      <c r="E4296" s="2" t="str">
        <f>IF(Table1[[#This Row],[Is Data Valid]]=TRUE,IF(Table1[[#This Row],[Fetal Sex (Male, Female or Unknown)]]="Male",Backend!$C$6,IF(Table1[[#This Row],[Fetal Sex (Male, Female or Unknown)]]="Female",Backend!$C$7,IF(Table1[[#This Row],[Fetal Sex (Male, Female or Unknown)]]="Unknown",Backend!$C$8,"Error"))),"")</f>
        <v/>
      </c>
      <c r="F4296" s="8" t="str">
        <f>IF(Table1[[#This Row],[Is Data Valid]]=TRUE,EXP(0.578+0.332*((Table1[[#This Row],[Gestation (days)]]+0.5)/7)-0.00354*((Table1[[#This Row],[Gestation (days)]]+0.5)/7)^2)*Table1[[#This Row],[BW40_3705]],"")</f>
        <v/>
      </c>
      <c r="G4296" s="2" t="str">
        <f>IF(Table1[[#This Row],[Is Data Valid]]=TRUE,((Table1[[#This Row],[Birthweight (grams)]]/Table1[[#This Row],[BW_GA]])-1)/(Backend!$B$4/100*Table1[[#This Row],[BW40_3705]]),"")</f>
        <v/>
      </c>
      <c r="H4296" s="7" t="str">
        <f>IF(Table1[[#This Row],[Is Data Valid]]=TRUE,((Table1[[#This Row],[Birthweight (grams)]]*0.9/Table1[[#This Row],[BW_GA]])-1)/(Backend!$B$4/100*Table1[[#This Row],[BW40_3705]]),"")</f>
        <v/>
      </c>
      <c r="I4296" s="7" t="str">
        <f>IF(Table1[[#This Row],[Is Data Valid]]=TRUE,((Table1[[#This Row],[Birthweight (grams)]]*1.1/Table1[[#This Row],[BW_GA]])-1)/(Backend!$B$4/100*Table1[[#This Row],[BW40_3705]]),"")</f>
        <v/>
      </c>
      <c r="J4296" s="7" t="str">
        <f>IF(Table1[[#This Row],[Is Data Valid]]=TRUE,_xlfn.NORM.S.DIST(Table1[[#This Row],[Birthweight Z-Score]],TRUE)*100,"")</f>
        <v/>
      </c>
      <c r="K4296" s="7" t="str">
        <f>IF(Table1[[#This Row],[Is Data Valid]]=TRUE,_xlfn.NORM.S.DIST(Table1[[#This Row],[Birthweight Z-Score (BW-10%)]],TRUE)*100,"")</f>
        <v/>
      </c>
      <c r="L4296" s="7" t="str">
        <f>IF(Table1[[#This Row],[Is Data Valid]]=TRUE,_xlfn.NORM.S.DIST(Table1[[#This Row],[Birthweight Z-Score (BW+10%)]],TRUE)*100,"")</f>
        <v/>
      </c>
    </row>
    <row r="4297" spans="1:12" x14ac:dyDescent="0.35">
      <c r="A4297" s="3"/>
      <c r="B4297" s="2"/>
      <c r="C4297" s="2"/>
      <c r="D4297" s="2" t="b">
        <f>IF(AND(NOT(ISBLANK(Table1[[#This Row],[Fetal Sex (Male, Female or Unknown)]])),ISNUMBER(Table1[[#This Row],[Birthweight (grams)]]),ISNUMBER(Table1[[#This Row],[Gestation (days)]])),TRUE,FALSE)</f>
        <v>0</v>
      </c>
      <c r="E4297" s="2" t="str">
        <f>IF(Table1[[#This Row],[Is Data Valid]]=TRUE,IF(Table1[[#This Row],[Fetal Sex (Male, Female or Unknown)]]="Male",Backend!$C$6,IF(Table1[[#This Row],[Fetal Sex (Male, Female or Unknown)]]="Female",Backend!$C$7,IF(Table1[[#This Row],[Fetal Sex (Male, Female or Unknown)]]="Unknown",Backend!$C$8,"Error"))),"")</f>
        <v/>
      </c>
      <c r="F4297" s="8" t="str">
        <f>IF(Table1[[#This Row],[Is Data Valid]]=TRUE,EXP(0.578+0.332*((Table1[[#This Row],[Gestation (days)]]+0.5)/7)-0.00354*((Table1[[#This Row],[Gestation (days)]]+0.5)/7)^2)*Table1[[#This Row],[BW40_3705]],"")</f>
        <v/>
      </c>
      <c r="G4297" s="2" t="str">
        <f>IF(Table1[[#This Row],[Is Data Valid]]=TRUE,((Table1[[#This Row],[Birthweight (grams)]]/Table1[[#This Row],[BW_GA]])-1)/(Backend!$B$4/100*Table1[[#This Row],[BW40_3705]]),"")</f>
        <v/>
      </c>
      <c r="H4297" s="7" t="str">
        <f>IF(Table1[[#This Row],[Is Data Valid]]=TRUE,((Table1[[#This Row],[Birthweight (grams)]]*0.9/Table1[[#This Row],[BW_GA]])-1)/(Backend!$B$4/100*Table1[[#This Row],[BW40_3705]]),"")</f>
        <v/>
      </c>
      <c r="I4297" s="7" t="str">
        <f>IF(Table1[[#This Row],[Is Data Valid]]=TRUE,((Table1[[#This Row],[Birthweight (grams)]]*1.1/Table1[[#This Row],[BW_GA]])-1)/(Backend!$B$4/100*Table1[[#This Row],[BW40_3705]]),"")</f>
        <v/>
      </c>
      <c r="J4297" s="7" t="str">
        <f>IF(Table1[[#This Row],[Is Data Valid]]=TRUE,_xlfn.NORM.S.DIST(Table1[[#This Row],[Birthweight Z-Score]],TRUE)*100,"")</f>
        <v/>
      </c>
      <c r="K4297" s="7" t="str">
        <f>IF(Table1[[#This Row],[Is Data Valid]]=TRUE,_xlfn.NORM.S.DIST(Table1[[#This Row],[Birthweight Z-Score (BW-10%)]],TRUE)*100,"")</f>
        <v/>
      </c>
      <c r="L4297" s="7" t="str">
        <f>IF(Table1[[#This Row],[Is Data Valid]]=TRUE,_xlfn.NORM.S.DIST(Table1[[#This Row],[Birthweight Z-Score (BW+10%)]],TRUE)*100,"")</f>
        <v/>
      </c>
    </row>
    <row r="4298" spans="1:12" x14ac:dyDescent="0.35">
      <c r="A4298" s="3"/>
      <c r="B4298" s="2"/>
      <c r="C4298" s="2"/>
      <c r="D4298" s="2" t="b">
        <f>IF(AND(NOT(ISBLANK(Table1[[#This Row],[Fetal Sex (Male, Female or Unknown)]])),ISNUMBER(Table1[[#This Row],[Birthweight (grams)]]),ISNUMBER(Table1[[#This Row],[Gestation (days)]])),TRUE,FALSE)</f>
        <v>0</v>
      </c>
      <c r="E4298" s="2" t="str">
        <f>IF(Table1[[#This Row],[Is Data Valid]]=TRUE,IF(Table1[[#This Row],[Fetal Sex (Male, Female or Unknown)]]="Male",Backend!$C$6,IF(Table1[[#This Row],[Fetal Sex (Male, Female or Unknown)]]="Female",Backend!$C$7,IF(Table1[[#This Row],[Fetal Sex (Male, Female or Unknown)]]="Unknown",Backend!$C$8,"Error"))),"")</f>
        <v/>
      </c>
      <c r="F4298" s="8" t="str">
        <f>IF(Table1[[#This Row],[Is Data Valid]]=TRUE,EXP(0.578+0.332*((Table1[[#This Row],[Gestation (days)]]+0.5)/7)-0.00354*((Table1[[#This Row],[Gestation (days)]]+0.5)/7)^2)*Table1[[#This Row],[BW40_3705]],"")</f>
        <v/>
      </c>
      <c r="G4298" s="2" t="str">
        <f>IF(Table1[[#This Row],[Is Data Valid]]=TRUE,((Table1[[#This Row],[Birthweight (grams)]]/Table1[[#This Row],[BW_GA]])-1)/(Backend!$B$4/100*Table1[[#This Row],[BW40_3705]]),"")</f>
        <v/>
      </c>
      <c r="H4298" s="7" t="str">
        <f>IF(Table1[[#This Row],[Is Data Valid]]=TRUE,((Table1[[#This Row],[Birthweight (grams)]]*0.9/Table1[[#This Row],[BW_GA]])-1)/(Backend!$B$4/100*Table1[[#This Row],[BW40_3705]]),"")</f>
        <v/>
      </c>
      <c r="I4298" s="7" t="str">
        <f>IF(Table1[[#This Row],[Is Data Valid]]=TRUE,((Table1[[#This Row],[Birthweight (grams)]]*1.1/Table1[[#This Row],[BW_GA]])-1)/(Backend!$B$4/100*Table1[[#This Row],[BW40_3705]]),"")</f>
        <v/>
      </c>
      <c r="J4298" s="7" t="str">
        <f>IF(Table1[[#This Row],[Is Data Valid]]=TRUE,_xlfn.NORM.S.DIST(Table1[[#This Row],[Birthweight Z-Score]],TRUE)*100,"")</f>
        <v/>
      </c>
      <c r="K4298" s="7" t="str">
        <f>IF(Table1[[#This Row],[Is Data Valid]]=TRUE,_xlfn.NORM.S.DIST(Table1[[#This Row],[Birthweight Z-Score (BW-10%)]],TRUE)*100,"")</f>
        <v/>
      </c>
      <c r="L4298" s="7" t="str">
        <f>IF(Table1[[#This Row],[Is Data Valid]]=TRUE,_xlfn.NORM.S.DIST(Table1[[#This Row],[Birthweight Z-Score (BW+10%)]],TRUE)*100,"")</f>
        <v/>
      </c>
    </row>
    <row r="4299" spans="1:12" x14ac:dyDescent="0.35">
      <c r="A4299" s="3"/>
      <c r="B4299" s="2"/>
      <c r="C4299" s="2"/>
      <c r="D4299" s="2" t="b">
        <f>IF(AND(NOT(ISBLANK(Table1[[#This Row],[Fetal Sex (Male, Female or Unknown)]])),ISNUMBER(Table1[[#This Row],[Birthweight (grams)]]),ISNUMBER(Table1[[#This Row],[Gestation (days)]])),TRUE,FALSE)</f>
        <v>0</v>
      </c>
      <c r="E4299" s="2" t="str">
        <f>IF(Table1[[#This Row],[Is Data Valid]]=TRUE,IF(Table1[[#This Row],[Fetal Sex (Male, Female or Unknown)]]="Male",Backend!$C$6,IF(Table1[[#This Row],[Fetal Sex (Male, Female or Unknown)]]="Female",Backend!$C$7,IF(Table1[[#This Row],[Fetal Sex (Male, Female or Unknown)]]="Unknown",Backend!$C$8,"Error"))),"")</f>
        <v/>
      </c>
      <c r="F4299" s="8" t="str">
        <f>IF(Table1[[#This Row],[Is Data Valid]]=TRUE,EXP(0.578+0.332*((Table1[[#This Row],[Gestation (days)]]+0.5)/7)-0.00354*((Table1[[#This Row],[Gestation (days)]]+0.5)/7)^2)*Table1[[#This Row],[BW40_3705]],"")</f>
        <v/>
      </c>
      <c r="G4299" s="2" t="str">
        <f>IF(Table1[[#This Row],[Is Data Valid]]=TRUE,((Table1[[#This Row],[Birthweight (grams)]]/Table1[[#This Row],[BW_GA]])-1)/(Backend!$B$4/100*Table1[[#This Row],[BW40_3705]]),"")</f>
        <v/>
      </c>
      <c r="H4299" s="7" t="str">
        <f>IF(Table1[[#This Row],[Is Data Valid]]=TRUE,((Table1[[#This Row],[Birthweight (grams)]]*0.9/Table1[[#This Row],[BW_GA]])-1)/(Backend!$B$4/100*Table1[[#This Row],[BW40_3705]]),"")</f>
        <v/>
      </c>
      <c r="I4299" s="7" t="str">
        <f>IF(Table1[[#This Row],[Is Data Valid]]=TRUE,((Table1[[#This Row],[Birthweight (grams)]]*1.1/Table1[[#This Row],[BW_GA]])-1)/(Backend!$B$4/100*Table1[[#This Row],[BW40_3705]]),"")</f>
        <v/>
      </c>
      <c r="J4299" s="7" t="str">
        <f>IF(Table1[[#This Row],[Is Data Valid]]=TRUE,_xlfn.NORM.S.DIST(Table1[[#This Row],[Birthweight Z-Score]],TRUE)*100,"")</f>
        <v/>
      </c>
      <c r="K4299" s="7" t="str">
        <f>IF(Table1[[#This Row],[Is Data Valid]]=TRUE,_xlfn.NORM.S.DIST(Table1[[#This Row],[Birthweight Z-Score (BW-10%)]],TRUE)*100,"")</f>
        <v/>
      </c>
      <c r="L4299" s="7" t="str">
        <f>IF(Table1[[#This Row],[Is Data Valid]]=TRUE,_xlfn.NORM.S.DIST(Table1[[#This Row],[Birthweight Z-Score (BW+10%)]],TRUE)*100,"")</f>
        <v/>
      </c>
    </row>
    <row r="4300" spans="1:12" x14ac:dyDescent="0.35">
      <c r="A4300" s="3"/>
      <c r="B4300" s="2"/>
      <c r="C4300" s="2"/>
      <c r="D4300" s="2" t="b">
        <f>IF(AND(NOT(ISBLANK(Table1[[#This Row],[Fetal Sex (Male, Female or Unknown)]])),ISNUMBER(Table1[[#This Row],[Birthweight (grams)]]),ISNUMBER(Table1[[#This Row],[Gestation (days)]])),TRUE,FALSE)</f>
        <v>0</v>
      </c>
      <c r="E4300" s="2" t="str">
        <f>IF(Table1[[#This Row],[Is Data Valid]]=TRUE,IF(Table1[[#This Row],[Fetal Sex (Male, Female or Unknown)]]="Male",Backend!$C$6,IF(Table1[[#This Row],[Fetal Sex (Male, Female or Unknown)]]="Female",Backend!$C$7,IF(Table1[[#This Row],[Fetal Sex (Male, Female or Unknown)]]="Unknown",Backend!$C$8,"Error"))),"")</f>
        <v/>
      </c>
      <c r="F4300" s="8" t="str">
        <f>IF(Table1[[#This Row],[Is Data Valid]]=TRUE,EXP(0.578+0.332*((Table1[[#This Row],[Gestation (days)]]+0.5)/7)-0.00354*((Table1[[#This Row],[Gestation (days)]]+0.5)/7)^2)*Table1[[#This Row],[BW40_3705]],"")</f>
        <v/>
      </c>
      <c r="G4300" s="2" t="str">
        <f>IF(Table1[[#This Row],[Is Data Valid]]=TRUE,((Table1[[#This Row],[Birthweight (grams)]]/Table1[[#This Row],[BW_GA]])-1)/(Backend!$B$4/100*Table1[[#This Row],[BW40_3705]]),"")</f>
        <v/>
      </c>
      <c r="H4300" s="7" t="str">
        <f>IF(Table1[[#This Row],[Is Data Valid]]=TRUE,((Table1[[#This Row],[Birthweight (grams)]]*0.9/Table1[[#This Row],[BW_GA]])-1)/(Backend!$B$4/100*Table1[[#This Row],[BW40_3705]]),"")</f>
        <v/>
      </c>
      <c r="I4300" s="7" t="str">
        <f>IF(Table1[[#This Row],[Is Data Valid]]=TRUE,((Table1[[#This Row],[Birthweight (grams)]]*1.1/Table1[[#This Row],[BW_GA]])-1)/(Backend!$B$4/100*Table1[[#This Row],[BW40_3705]]),"")</f>
        <v/>
      </c>
      <c r="J4300" s="7" t="str">
        <f>IF(Table1[[#This Row],[Is Data Valid]]=TRUE,_xlfn.NORM.S.DIST(Table1[[#This Row],[Birthweight Z-Score]],TRUE)*100,"")</f>
        <v/>
      </c>
      <c r="K4300" s="7" t="str">
        <f>IF(Table1[[#This Row],[Is Data Valid]]=TRUE,_xlfn.NORM.S.DIST(Table1[[#This Row],[Birthweight Z-Score (BW-10%)]],TRUE)*100,"")</f>
        <v/>
      </c>
      <c r="L4300" s="7" t="str">
        <f>IF(Table1[[#This Row],[Is Data Valid]]=TRUE,_xlfn.NORM.S.DIST(Table1[[#This Row],[Birthweight Z-Score (BW+10%)]],TRUE)*100,"")</f>
        <v/>
      </c>
    </row>
    <row r="4301" spans="1:12" x14ac:dyDescent="0.35">
      <c r="A4301" s="3"/>
      <c r="B4301" s="2"/>
      <c r="C4301" s="2"/>
      <c r="D4301" s="2" t="b">
        <f>IF(AND(NOT(ISBLANK(Table1[[#This Row],[Fetal Sex (Male, Female or Unknown)]])),ISNUMBER(Table1[[#This Row],[Birthweight (grams)]]),ISNUMBER(Table1[[#This Row],[Gestation (days)]])),TRUE,FALSE)</f>
        <v>0</v>
      </c>
      <c r="E4301" s="2" t="str">
        <f>IF(Table1[[#This Row],[Is Data Valid]]=TRUE,IF(Table1[[#This Row],[Fetal Sex (Male, Female or Unknown)]]="Male",Backend!$C$6,IF(Table1[[#This Row],[Fetal Sex (Male, Female or Unknown)]]="Female",Backend!$C$7,IF(Table1[[#This Row],[Fetal Sex (Male, Female or Unknown)]]="Unknown",Backend!$C$8,"Error"))),"")</f>
        <v/>
      </c>
      <c r="F4301" s="8" t="str">
        <f>IF(Table1[[#This Row],[Is Data Valid]]=TRUE,EXP(0.578+0.332*((Table1[[#This Row],[Gestation (days)]]+0.5)/7)-0.00354*((Table1[[#This Row],[Gestation (days)]]+0.5)/7)^2)*Table1[[#This Row],[BW40_3705]],"")</f>
        <v/>
      </c>
      <c r="G4301" s="2" t="str">
        <f>IF(Table1[[#This Row],[Is Data Valid]]=TRUE,((Table1[[#This Row],[Birthweight (grams)]]/Table1[[#This Row],[BW_GA]])-1)/(Backend!$B$4/100*Table1[[#This Row],[BW40_3705]]),"")</f>
        <v/>
      </c>
      <c r="H4301" s="7" t="str">
        <f>IF(Table1[[#This Row],[Is Data Valid]]=TRUE,((Table1[[#This Row],[Birthweight (grams)]]*0.9/Table1[[#This Row],[BW_GA]])-1)/(Backend!$B$4/100*Table1[[#This Row],[BW40_3705]]),"")</f>
        <v/>
      </c>
      <c r="I4301" s="7" t="str">
        <f>IF(Table1[[#This Row],[Is Data Valid]]=TRUE,((Table1[[#This Row],[Birthweight (grams)]]*1.1/Table1[[#This Row],[BW_GA]])-1)/(Backend!$B$4/100*Table1[[#This Row],[BW40_3705]]),"")</f>
        <v/>
      </c>
      <c r="J4301" s="7" t="str">
        <f>IF(Table1[[#This Row],[Is Data Valid]]=TRUE,_xlfn.NORM.S.DIST(Table1[[#This Row],[Birthweight Z-Score]],TRUE)*100,"")</f>
        <v/>
      </c>
      <c r="K4301" s="7" t="str">
        <f>IF(Table1[[#This Row],[Is Data Valid]]=TRUE,_xlfn.NORM.S.DIST(Table1[[#This Row],[Birthweight Z-Score (BW-10%)]],TRUE)*100,"")</f>
        <v/>
      </c>
      <c r="L4301" s="7" t="str">
        <f>IF(Table1[[#This Row],[Is Data Valid]]=TRUE,_xlfn.NORM.S.DIST(Table1[[#This Row],[Birthweight Z-Score (BW+10%)]],TRUE)*100,"")</f>
        <v/>
      </c>
    </row>
    <row r="4302" spans="1:12" x14ac:dyDescent="0.35">
      <c r="A4302" s="3"/>
      <c r="B4302" s="2"/>
      <c r="C4302" s="2"/>
      <c r="D4302" s="2" t="b">
        <f>IF(AND(NOT(ISBLANK(Table1[[#This Row],[Fetal Sex (Male, Female or Unknown)]])),ISNUMBER(Table1[[#This Row],[Birthweight (grams)]]),ISNUMBER(Table1[[#This Row],[Gestation (days)]])),TRUE,FALSE)</f>
        <v>0</v>
      </c>
      <c r="E4302" s="2" t="str">
        <f>IF(Table1[[#This Row],[Is Data Valid]]=TRUE,IF(Table1[[#This Row],[Fetal Sex (Male, Female or Unknown)]]="Male",Backend!$C$6,IF(Table1[[#This Row],[Fetal Sex (Male, Female or Unknown)]]="Female",Backend!$C$7,IF(Table1[[#This Row],[Fetal Sex (Male, Female or Unknown)]]="Unknown",Backend!$C$8,"Error"))),"")</f>
        <v/>
      </c>
      <c r="F4302" s="8" t="str">
        <f>IF(Table1[[#This Row],[Is Data Valid]]=TRUE,EXP(0.578+0.332*((Table1[[#This Row],[Gestation (days)]]+0.5)/7)-0.00354*((Table1[[#This Row],[Gestation (days)]]+0.5)/7)^2)*Table1[[#This Row],[BW40_3705]],"")</f>
        <v/>
      </c>
      <c r="G4302" s="2" t="str">
        <f>IF(Table1[[#This Row],[Is Data Valid]]=TRUE,((Table1[[#This Row],[Birthweight (grams)]]/Table1[[#This Row],[BW_GA]])-1)/(Backend!$B$4/100*Table1[[#This Row],[BW40_3705]]),"")</f>
        <v/>
      </c>
      <c r="H4302" s="7" t="str">
        <f>IF(Table1[[#This Row],[Is Data Valid]]=TRUE,((Table1[[#This Row],[Birthweight (grams)]]*0.9/Table1[[#This Row],[BW_GA]])-1)/(Backend!$B$4/100*Table1[[#This Row],[BW40_3705]]),"")</f>
        <v/>
      </c>
      <c r="I4302" s="7" t="str">
        <f>IF(Table1[[#This Row],[Is Data Valid]]=TRUE,((Table1[[#This Row],[Birthweight (grams)]]*1.1/Table1[[#This Row],[BW_GA]])-1)/(Backend!$B$4/100*Table1[[#This Row],[BW40_3705]]),"")</f>
        <v/>
      </c>
      <c r="J4302" s="7" t="str">
        <f>IF(Table1[[#This Row],[Is Data Valid]]=TRUE,_xlfn.NORM.S.DIST(Table1[[#This Row],[Birthweight Z-Score]],TRUE)*100,"")</f>
        <v/>
      </c>
      <c r="K4302" s="7" t="str">
        <f>IF(Table1[[#This Row],[Is Data Valid]]=TRUE,_xlfn.NORM.S.DIST(Table1[[#This Row],[Birthweight Z-Score (BW-10%)]],TRUE)*100,"")</f>
        <v/>
      </c>
      <c r="L4302" s="7" t="str">
        <f>IF(Table1[[#This Row],[Is Data Valid]]=TRUE,_xlfn.NORM.S.DIST(Table1[[#This Row],[Birthweight Z-Score (BW+10%)]],TRUE)*100,"")</f>
        <v/>
      </c>
    </row>
    <row r="4303" spans="1:12" x14ac:dyDescent="0.35">
      <c r="A4303" s="3"/>
      <c r="B4303" s="2"/>
      <c r="C4303" s="2"/>
      <c r="D4303" s="2" t="b">
        <f>IF(AND(NOT(ISBLANK(Table1[[#This Row],[Fetal Sex (Male, Female or Unknown)]])),ISNUMBER(Table1[[#This Row],[Birthweight (grams)]]),ISNUMBER(Table1[[#This Row],[Gestation (days)]])),TRUE,FALSE)</f>
        <v>0</v>
      </c>
      <c r="E4303" s="2" t="str">
        <f>IF(Table1[[#This Row],[Is Data Valid]]=TRUE,IF(Table1[[#This Row],[Fetal Sex (Male, Female or Unknown)]]="Male",Backend!$C$6,IF(Table1[[#This Row],[Fetal Sex (Male, Female or Unknown)]]="Female",Backend!$C$7,IF(Table1[[#This Row],[Fetal Sex (Male, Female or Unknown)]]="Unknown",Backend!$C$8,"Error"))),"")</f>
        <v/>
      </c>
      <c r="F4303" s="8" t="str">
        <f>IF(Table1[[#This Row],[Is Data Valid]]=TRUE,EXP(0.578+0.332*((Table1[[#This Row],[Gestation (days)]]+0.5)/7)-0.00354*((Table1[[#This Row],[Gestation (days)]]+0.5)/7)^2)*Table1[[#This Row],[BW40_3705]],"")</f>
        <v/>
      </c>
      <c r="G4303" s="2" t="str">
        <f>IF(Table1[[#This Row],[Is Data Valid]]=TRUE,((Table1[[#This Row],[Birthweight (grams)]]/Table1[[#This Row],[BW_GA]])-1)/(Backend!$B$4/100*Table1[[#This Row],[BW40_3705]]),"")</f>
        <v/>
      </c>
      <c r="H4303" s="7" t="str">
        <f>IF(Table1[[#This Row],[Is Data Valid]]=TRUE,((Table1[[#This Row],[Birthweight (grams)]]*0.9/Table1[[#This Row],[BW_GA]])-1)/(Backend!$B$4/100*Table1[[#This Row],[BW40_3705]]),"")</f>
        <v/>
      </c>
      <c r="I4303" s="7" t="str">
        <f>IF(Table1[[#This Row],[Is Data Valid]]=TRUE,((Table1[[#This Row],[Birthweight (grams)]]*1.1/Table1[[#This Row],[BW_GA]])-1)/(Backend!$B$4/100*Table1[[#This Row],[BW40_3705]]),"")</f>
        <v/>
      </c>
      <c r="J4303" s="7" t="str">
        <f>IF(Table1[[#This Row],[Is Data Valid]]=TRUE,_xlfn.NORM.S.DIST(Table1[[#This Row],[Birthweight Z-Score]],TRUE)*100,"")</f>
        <v/>
      </c>
      <c r="K4303" s="7" t="str">
        <f>IF(Table1[[#This Row],[Is Data Valid]]=TRUE,_xlfn.NORM.S.DIST(Table1[[#This Row],[Birthweight Z-Score (BW-10%)]],TRUE)*100,"")</f>
        <v/>
      </c>
      <c r="L4303" s="7" t="str">
        <f>IF(Table1[[#This Row],[Is Data Valid]]=TRUE,_xlfn.NORM.S.DIST(Table1[[#This Row],[Birthweight Z-Score (BW+10%)]],TRUE)*100,"")</f>
        <v/>
      </c>
    </row>
    <row r="4304" spans="1:12" x14ac:dyDescent="0.35">
      <c r="A4304" s="3"/>
      <c r="B4304" s="2"/>
      <c r="C4304" s="2"/>
      <c r="D4304" s="2" t="b">
        <f>IF(AND(NOT(ISBLANK(Table1[[#This Row],[Fetal Sex (Male, Female or Unknown)]])),ISNUMBER(Table1[[#This Row],[Birthweight (grams)]]),ISNUMBER(Table1[[#This Row],[Gestation (days)]])),TRUE,FALSE)</f>
        <v>0</v>
      </c>
      <c r="E4304" s="2" t="str">
        <f>IF(Table1[[#This Row],[Is Data Valid]]=TRUE,IF(Table1[[#This Row],[Fetal Sex (Male, Female or Unknown)]]="Male",Backend!$C$6,IF(Table1[[#This Row],[Fetal Sex (Male, Female or Unknown)]]="Female",Backend!$C$7,IF(Table1[[#This Row],[Fetal Sex (Male, Female or Unknown)]]="Unknown",Backend!$C$8,"Error"))),"")</f>
        <v/>
      </c>
      <c r="F4304" s="8" t="str">
        <f>IF(Table1[[#This Row],[Is Data Valid]]=TRUE,EXP(0.578+0.332*((Table1[[#This Row],[Gestation (days)]]+0.5)/7)-0.00354*((Table1[[#This Row],[Gestation (days)]]+0.5)/7)^2)*Table1[[#This Row],[BW40_3705]],"")</f>
        <v/>
      </c>
      <c r="G4304" s="2" t="str">
        <f>IF(Table1[[#This Row],[Is Data Valid]]=TRUE,((Table1[[#This Row],[Birthweight (grams)]]/Table1[[#This Row],[BW_GA]])-1)/(Backend!$B$4/100*Table1[[#This Row],[BW40_3705]]),"")</f>
        <v/>
      </c>
      <c r="H4304" s="7" t="str">
        <f>IF(Table1[[#This Row],[Is Data Valid]]=TRUE,((Table1[[#This Row],[Birthweight (grams)]]*0.9/Table1[[#This Row],[BW_GA]])-1)/(Backend!$B$4/100*Table1[[#This Row],[BW40_3705]]),"")</f>
        <v/>
      </c>
      <c r="I4304" s="7" t="str">
        <f>IF(Table1[[#This Row],[Is Data Valid]]=TRUE,((Table1[[#This Row],[Birthweight (grams)]]*1.1/Table1[[#This Row],[BW_GA]])-1)/(Backend!$B$4/100*Table1[[#This Row],[BW40_3705]]),"")</f>
        <v/>
      </c>
      <c r="J4304" s="7" t="str">
        <f>IF(Table1[[#This Row],[Is Data Valid]]=TRUE,_xlfn.NORM.S.DIST(Table1[[#This Row],[Birthweight Z-Score]],TRUE)*100,"")</f>
        <v/>
      </c>
      <c r="K4304" s="7" t="str">
        <f>IF(Table1[[#This Row],[Is Data Valid]]=TRUE,_xlfn.NORM.S.DIST(Table1[[#This Row],[Birthweight Z-Score (BW-10%)]],TRUE)*100,"")</f>
        <v/>
      </c>
      <c r="L4304" s="7" t="str">
        <f>IF(Table1[[#This Row],[Is Data Valid]]=TRUE,_xlfn.NORM.S.DIST(Table1[[#This Row],[Birthweight Z-Score (BW+10%)]],TRUE)*100,"")</f>
        <v/>
      </c>
    </row>
    <row r="4305" spans="1:12" x14ac:dyDescent="0.35">
      <c r="A4305" s="3"/>
      <c r="B4305" s="2"/>
      <c r="C4305" s="2"/>
      <c r="D4305" s="2" t="b">
        <f>IF(AND(NOT(ISBLANK(Table1[[#This Row],[Fetal Sex (Male, Female or Unknown)]])),ISNUMBER(Table1[[#This Row],[Birthweight (grams)]]),ISNUMBER(Table1[[#This Row],[Gestation (days)]])),TRUE,FALSE)</f>
        <v>0</v>
      </c>
      <c r="E4305" s="2" t="str">
        <f>IF(Table1[[#This Row],[Is Data Valid]]=TRUE,IF(Table1[[#This Row],[Fetal Sex (Male, Female or Unknown)]]="Male",Backend!$C$6,IF(Table1[[#This Row],[Fetal Sex (Male, Female or Unknown)]]="Female",Backend!$C$7,IF(Table1[[#This Row],[Fetal Sex (Male, Female or Unknown)]]="Unknown",Backend!$C$8,"Error"))),"")</f>
        <v/>
      </c>
      <c r="F4305" s="8" t="str">
        <f>IF(Table1[[#This Row],[Is Data Valid]]=TRUE,EXP(0.578+0.332*((Table1[[#This Row],[Gestation (days)]]+0.5)/7)-0.00354*((Table1[[#This Row],[Gestation (days)]]+0.5)/7)^2)*Table1[[#This Row],[BW40_3705]],"")</f>
        <v/>
      </c>
      <c r="G4305" s="2" t="str">
        <f>IF(Table1[[#This Row],[Is Data Valid]]=TRUE,((Table1[[#This Row],[Birthweight (grams)]]/Table1[[#This Row],[BW_GA]])-1)/(Backend!$B$4/100*Table1[[#This Row],[BW40_3705]]),"")</f>
        <v/>
      </c>
      <c r="H4305" s="7" t="str">
        <f>IF(Table1[[#This Row],[Is Data Valid]]=TRUE,((Table1[[#This Row],[Birthweight (grams)]]*0.9/Table1[[#This Row],[BW_GA]])-1)/(Backend!$B$4/100*Table1[[#This Row],[BW40_3705]]),"")</f>
        <v/>
      </c>
      <c r="I4305" s="7" t="str">
        <f>IF(Table1[[#This Row],[Is Data Valid]]=TRUE,((Table1[[#This Row],[Birthweight (grams)]]*1.1/Table1[[#This Row],[BW_GA]])-1)/(Backend!$B$4/100*Table1[[#This Row],[BW40_3705]]),"")</f>
        <v/>
      </c>
      <c r="J4305" s="7" t="str">
        <f>IF(Table1[[#This Row],[Is Data Valid]]=TRUE,_xlfn.NORM.S.DIST(Table1[[#This Row],[Birthweight Z-Score]],TRUE)*100,"")</f>
        <v/>
      </c>
      <c r="K4305" s="7" t="str">
        <f>IF(Table1[[#This Row],[Is Data Valid]]=TRUE,_xlfn.NORM.S.DIST(Table1[[#This Row],[Birthweight Z-Score (BW-10%)]],TRUE)*100,"")</f>
        <v/>
      </c>
      <c r="L4305" s="7" t="str">
        <f>IF(Table1[[#This Row],[Is Data Valid]]=TRUE,_xlfn.NORM.S.DIST(Table1[[#This Row],[Birthweight Z-Score (BW+10%)]],TRUE)*100,"")</f>
        <v/>
      </c>
    </row>
    <row r="4306" spans="1:12" x14ac:dyDescent="0.35">
      <c r="A4306" s="3"/>
      <c r="B4306" s="2"/>
      <c r="C4306" s="2"/>
      <c r="D4306" s="2" t="b">
        <f>IF(AND(NOT(ISBLANK(Table1[[#This Row],[Fetal Sex (Male, Female or Unknown)]])),ISNUMBER(Table1[[#This Row],[Birthweight (grams)]]),ISNUMBER(Table1[[#This Row],[Gestation (days)]])),TRUE,FALSE)</f>
        <v>0</v>
      </c>
      <c r="E4306" s="2" t="str">
        <f>IF(Table1[[#This Row],[Is Data Valid]]=TRUE,IF(Table1[[#This Row],[Fetal Sex (Male, Female or Unknown)]]="Male",Backend!$C$6,IF(Table1[[#This Row],[Fetal Sex (Male, Female or Unknown)]]="Female",Backend!$C$7,IF(Table1[[#This Row],[Fetal Sex (Male, Female or Unknown)]]="Unknown",Backend!$C$8,"Error"))),"")</f>
        <v/>
      </c>
      <c r="F4306" s="8" t="str">
        <f>IF(Table1[[#This Row],[Is Data Valid]]=TRUE,EXP(0.578+0.332*((Table1[[#This Row],[Gestation (days)]]+0.5)/7)-0.00354*((Table1[[#This Row],[Gestation (days)]]+0.5)/7)^2)*Table1[[#This Row],[BW40_3705]],"")</f>
        <v/>
      </c>
      <c r="G4306" s="2" t="str">
        <f>IF(Table1[[#This Row],[Is Data Valid]]=TRUE,((Table1[[#This Row],[Birthweight (grams)]]/Table1[[#This Row],[BW_GA]])-1)/(Backend!$B$4/100*Table1[[#This Row],[BW40_3705]]),"")</f>
        <v/>
      </c>
      <c r="H4306" s="7" t="str">
        <f>IF(Table1[[#This Row],[Is Data Valid]]=TRUE,((Table1[[#This Row],[Birthweight (grams)]]*0.9/Table1[[#This Row],[BW_GA]])-1)/(Backend!$B$4/100*Table1[[#This Row],[BW40_3705]]),"")</f>
        <v/>
      </c>
      <c r="I4306" s="7" t="str">
        <f>IF(Table1[[#This Row],[Is Data Valid]]=TRUE,((Table1[[#This Row],[Birthweight (grams)]]*1.1/Table1[[#This Row],[BW_GA]])-1)/(Backend!$B$4/100*Table1[[#This Row],[BW40_3705]]),"")</f>
        <v/>
      </c>
      <c r="J4306" s="7" t="str">
        <f>IF(Table1[[#This Row],[Is Data Valid]]=TRUE,_xlfn.NORM.S.DIST(Table1[[#This Row],[Birthweight Z-Score]],TRUE)*100,"")</f>
        <v/>
      </c>
      <c r="K4306" s="7" t="str">
        <f>IF(Table1[[#This Row],[Is Data Valid]]=TRUE,_xlfn.NORM.S.DIST(Table1[[#This Row],[Birthweight Z-Score (BW-10%)]],TRUE)*100,"")</f>
        <v/>
      </c>
      <c r="L4306" s="7" t="str">
        <f>IF(Table1[[#This Row],[Is Data Valid]]=TRUE,_xlfn.NORM.S.DIST(Table1[[#This Row],[Birthweight Z-Score (BW+10%)]],TRUE)*100,"")</f>
        <v/>
      </c>
    </row>
    <row r="4307" spans="1:12" x14ac:dyDescent="0.35">
      <c r="A4307" s="3"/>
      <c r="B4307" s="2"/>
      <c r="C4307" s="2"/>
      <c r="D4307" s="2" t="b">
        <f>IF(AND(NOT(ISBLANK(Table1[[#This Row],[Fetal Sex (Male, Female or Unknown)]])),ISNUMBER(Table1[[#This Row],[Birthweight (grams)]]),ISNUMBER(Table1[[#This Row],[Gestation (days)]])),TRUE,FALSE)</f>
        <v>0</v>
      </c>
      <c r="E4307" s="2" t="str">
        <f>IF(Table1[[#This Row],[Is Data Valid]]=TRUE,IF(Table1[[#This Row],[Fetal Sex (Male, Female or Unknown)]]="Male",Backend!$C$6,IF(Table1[[#This Row],[Fetal Sex (Male, Female or Unknown)]]="Female",Backend!$C$7,IF(Table1[[#This Row],[Fetal Sex (Male, Female or Unknown)]]="Unknown",Backend!$C$8,"Error"))),"")</f>
        <v/>
      </c>
      <c r="F4307" s="8" t="str">
        <f>IF(Table1[[#This Row],[Is Data Valid]]=TRUE,EXP(0.578+0.332*((Table1[[#This Row],[Gestation (days)]]+0.5)/7)-0.00354*((Table1[[#This Row],[Gestation (days)]]+0.5)/7)^2)*Table1[[#This Row],[BW40_3705]],"")</f>
        <v/>
      </c>
      <c r="G4307" s="2" t="str">
        <f>IF(Table1[[#This Row],[Is Data Valid]]=TRUE,((Table1[[#This Row],[Birthweight (grams)]]/Table1[[#This Row],[BW_GA]])-1)/(Backend!$B$4/100*Table1[[#This Row],[BW40_3705]]),"")</f>
        <v/>
      </c>
      <c r="H4307" s="7" t="str">
        <f>IF(Table1[[#This Row],[Is Data Valid]]=TRUE,((Table1[[#This Row],[Birthweight (grams)]]*0.9/Table1[[#This Row],[BW_GA]])-1)/(Backend!$B$4/100*Table1[[#This Row],[BW40_3705]]),"")</f>
        <v/>
      </c>
      <c r="I4307" s="7" t="str">
        <f>IF(Table1[[#This Row],[Is Data Valid]]=TRUE,((Table1[[#This Row],[Birthweight (grams)]]*1.1/Table1[[#This Row],[BW_GA]])-1)/(Backend!$B$4/100*Table1[[#This Row],[BW40_3705]]),"")</f>
        <v/>
      </c>
      <c r="J4307" s="7" t="str">
        <f>IF(Table1[[#This Row],[Is Data Valid]]=TRUE,_xlfn.NORM.S.DIST(Table1[[#This Row],[Birthweight Z-Score]],TRUE)*100,"")</f>
        <v/>
      </c>
      <c r="K4307" s="7" t="str">
        <f>IF(Table1[[#This Row],[Is Data Valid]]=TRUE,_xlfn.NORM.S.DIST(Table1[[#This Row],[Birthweight Z-Score (BW-10%)]],TRUE)*100,"")</f>
        <v/>
      </c>
      <c r="L4307" s="7" t="str">
        <f>IF(Table1[[#This Row],[Is Data Valid]]=TRUE,_xlfn.NORM.S.DIST(Table1[[#This Row],[Birthweight Z-Score (BW+10%)]],TRUE)*100,"")</f>
        <v/>
      </c>
    </row>
    <row r="4308" spans="1:12" x14ac:dyDescent="0.35">
      <c r="A4308" s="3"/>
      <c r="B4308" s="2"/>
      <c r="C4308" s="2"/>
      <c r="D4308" s="2" t="b">
        <f>IF(AND(NOT(ISBLANK(Table1[[#This Row],[Fetal Sex (Male, Female or Unknown)]])),ISNUMBER(Table1[[#This Row],[Birthweight (grams)]]),ISNUMBER(Table1[[#This Row],[Gestation (days)]])),TRUE,FALSE)</f>
        <v>0</v>
      </c>
      <c r="E4308" s="2" t="str">
        <f>IF(Table1[[#This Row],[Is Data Valid]]=TRUE,IF(Table1[[#This Row],[Fetal Sex (Male, Female or Unknown)]]="Male",Backend!$C$6,IF(Table1[[#This Row],[Fetal Sex (Male, Female or Unknown)]]="Female",Backend!$C$7,IF(Table1[[#This Row],[Fetal Sex (Male, Female or Unknown)]]="Unknown",Backend!$C$8,"Error"))),"")</f>
        <v/>
      </c>
      <c r="F4308" s="8" t="str">
        <f>IF(Table1[[#This Row],[Is Data Valid]]=TRUE,EXP(0.578+0.332*((Table1[[#This Row],[Gestation (days)]]+0.5)/7)-0.00354*((Table1[[#This Row],[Gestation (days)]]+0.5)/7)^2)*Table1[[#This Row],[BW40_3705]],"")</f>
        <v/>
      </c>
      <c r="G4308" s="2" t="str">
        <f>IF(Table1[[#This Row],[Is Data Valid]]=TRUE,((Table1[[#This Row],[Birthweight (grams)]]/Table1[[#This Row],[BW_GA]])-1)/(Backend!$B$4/100*Table1[[#This Row],[BW40_3705]]),"")</f>
        <v/>
      </c>
      <c r="H4308" s="7" t="str">
        <f>IF(Table1[[#This Row],[Is Data Valid]]=TRUE,((Table1[[#This Row],[Birthweight (grams)]]*0.9/Table1[[#This Row],[BW_GA]])-1)/(Backend!$B$4/100*Table1[[#This Row],[BW40_3705]]),"")</f>
        <v/>
      </c>
      <c r="I4308" s="7" t="str">
        <f>IF(Table1[[#This Row],[Is Data Valid]]=TRUE,((Table1[[#This Row],[Birthweight (grams)]]*1.1/Table1[[#This Row],[BW_GA]])-1)/(Backend!$B$4/100*Table1[[#This Row],[BW40_3705]]),"")</f>
        <v/>
      </c>
      <c r="J4308" s="7" t="str">
        <f>IF(Table1[[#This Row],[Is Data Valid]]=TRUE,_xlfn.NORM.S.DIST(Table1[[#This Row],[Birthweight Z-Score]],TRUE)*100,"")</f>
        <v/>
      </c>
      <c r="K4308" s="7" t="str">
        <f>IF(Table1[[#This Row],[Is Data Valid]]=TRUE,_xlfn.NORM.S.DIST(Table1[[#This Row],[Birthweight Z-Score (BW-10%)]],TRUE)*100,"")</f>
        <v/>
      </c>
      <c r="L4308" s="7" t="str">
        <f>IF(Table1[[#This Row],[Is Data Valid]]=TRUE,_xlfn.NORM.S.DIST(Table1[[#This Row],[Birthweight Z-Score (BW+10%)]],TRUE)*100,"")</f>
        <v/>
      </c>
    </row>
    <row r="4309" spans="1:12" x14ac:dyDescent="0.35">
      <c r="A4309" s="3"/>
      <c r="B4309" s="2"/>
      <c r="C4309" s="2"/>
      <c r="D4309" s="2" t="b">
        <f>IF(AND(NOT(ISBLANK(Table1[[#This Row],[Fetal Sex (Male, Female or Unknown)]])),ISNUMBER(Table1[[#This Row],[Birthweight (grams)]]),ISNUMBER(Table1[[#This Row],[Gestation (days)]])),TRUE,FALSE)</f>
        <v>0</v>
      </c>
      <c r="E4309" s="2" t="str">
        <f>IF(Table1[[#This Row],[Is Data Valid]]=TRUE,IF(Table1[[#This Row],[Fetal Sex (Male, Female or Unknown)]]="Male",Backend!$C$6,IF(Table1[[#This Row],[Fetal Sex (Male, Female or Unknown)]]="Female",Backend!$C$7,IF(Table1[[#This Row],[Fetal Sex (Male, Female or Unknown)]]="Unknown",Backend!$C$8,"Error"))),"")</f>
        <v/>
      </c>
      <c r="F4309" s="8" t="str">
        <f>IF(Table1[[#This Row],[Is Data Valid]]=TRUE,EXP(0.578+0.332*((Table1[[#This Row],[Gestation (days)]]+0.5)/7)-0.00354*((Table1[[#This Row],[Gestation (days)]]+0.5)/7)^2)*Table1[[#This Row],[BW40_3705]],"")</f>
        <v/>
      </c>
      <c r="G4309" s="2" t="str">
        <f>IF(Table1[[#This Row],[Is Data Valid]]=TRUE,((Table1[[#This Row],[Birthweight (grams)]]/Table1[[#This Row],[BW_GA]])-1)/(Backend!$B$4/100*Table1[[#This Row],[BW40_3705]]),"")</f>
        <v/>
      </c>
      <c r="H4309" s="7" t="str">
        <f>IF(Table1[[#This Row],[Is Data Valid]]=TRUE,((Table1[[#This Row],[Birthweight (grams)]]*0.9/Table1[[#This Row],[BW_GA]])-1)/(Backend!$B$4/100*Table1[[#This Row],[BW40_3705]]),"")</f>
        <v/>
      </c>
      <c r="I4309" s="7" t="str">
        <f>IF(Table1[[#This Row],[Is Data Valid]]=TRUE,((Table1[[#This Row],[Birthweight (grams)]]*1.1/Table1[[#This Row],[BW_GA]])-1)/(Backend!$B$4/100*Table1[[#This Row],[BW40_3705]]),"")</f>
        <v/>
      </c>
      <c r="J4309" s="7" t="str">
        <f>IF(Table1[[#This Row],[Is Data Valid]]=TRUE,_xlfn.NORM.S.DIST(Table1[[#This Row],[Birthweight Z-Score]],TRUE)*100,"")</f>
        <v/>
      </c>
      <c r="K4309" s="7" t="str">
        <f>IF(Table1[[#This Row],[Is Data Valid]]=TRUE,_xlfn.NORM.S.DIST(Table1[[#This Row],[Birthweight Z-Score (BW-10%)]],TRUE)*100,"")</f>
        <v/>
      </c>
      <c r="L4309" s="7" t="str">
        <f>IF(Table1[[#This Row],[Is Data Valid]]=TRUE,_xlfn.NORM.S.DIST(Table1[[#This Row],[Birthweight Z-Score (BW+10%)]],TRUE)*100,"")</f>
        <v/>
      </c>
    </row>
    <row r="4310" spans="1:12" x14ac:dyDescent="0.35">
      <c r="A4310" s="3"/>
      <c r="B4310" s="2"/>
      <c r="C4310" s="2"/>
      <c r="D4310" s="2" t="b">
        <f>IF(AND(NOT(ISBLANK(Table1[[#This Row],[Fetal Sex (Male, Female or Unknown)]])),ISNUMBER(Table1[[#This Row],[Birthweight (grams)]]),ISNUMBER(Table1[[#This Row],[Gestation (days)]])),TRUE,FALSE)</f>
        <v>0</v>
      </c>
      <c r="E4310" s="2" t="str">
        <f>IF(Table1[[#This Row],[Is Data Valid]]=TRUE,IF(Table1[[#This Row],[Fetal Sex (Male, Female or Unknown)]]="Male",Backend!$C$6,IF(Table1[[#This Row],[Fetal Sex (Male, Female or Unknown)]]="Female",Backend!$C$7,IF(Table1[[#This Row],[Fetal Sex (Male, Female or Unknown)]]="Unknown",Backend!$C$8,"Error"))),"")</f>
        <v/>
      </c>
      <c r="F4310" s="8" t="str">
        <f>IF(Table1[[#This Row],[Is Data Valid]]=TRUE,EXP(0.578+0.332*((Table1[[#This Row],[Gestation (days)]]+0.5)/7)-0.00354*((Table1[[#This Row],[Gestation (days)]]+0.5)/7)^2)*Table1[[#This Row],[BW40_3705]],"")</f>
        <v/>
      </c>
      <c r="G4310" s="2" t="str">
        <f>IF(Table1[[#This Row],[Is Data Valid]]=TRUE,((Table1[[#This Row],[Birthweight (grams)]]/Table1[[#This Row],[BW_GA]])-1)/(Backend!$B$4/100*Table1[[#This Row],[BW40_3705]]),"")</f>
        <v/>
      </c>
      <c r="H4310" s="7" t="str">
        <f>IF(Table1[[#This Row],[Is Data Valid]]=TRUE,((Table1[[#This Row],[Birthweight (grams)]]*0.9/Table1[[#This Row],[BW_GA]])-1)/(Backend!$B$4/100*Table1[[#This Row],[BW40_3705]]),"")</f>
        <v/>
      </c>
      <c r="I4310" s="7" t="str">
        <f>IF(Table1[[#This Row],[Is Data Valid]]=TRUE,((Table1[[#This Row],[Birthweight (grams)]]*1.1/Table1[[#This Row],[BW_GA]])-1)/(Backend!$B$4/100*Table1[[#This Row],[BW40_3705]]),"")</f>
        <v/>
      </c>
      <c r="J4310" s="7" t="str">
        <f>IF(Table1[[#This Row],[Is Data Valid]]=TRUE,_xlfn.NORM.S.DIST(Table1[[#This Row],[Birthweight Z-Score]],TRUE)*100,"")</f>
        <v/>
      </c>
      <c r="K4310" s="7" t="str">
        <f>IF(Table1[[#This Row],[Is Data Valid]]=TRUE,_xlfn.NORM.S.DIST(Table1[[#This Row],[Birthweight Z-Score (BW-10%)]],TRUE)*100,"")</f>
        <v/>
      </c>
      <c r="L4310" s="7" t="str">
        <f>IF(Table1[[#This Row],[Is Data Valid]]=TRUE,_xlfn.NORM.S.DIST(Table1[[#This Row],[Birthweight Z-Score (BW+10%)]],TRUE)*100,"")</f>
        <v/>
      </c>
    </row>
    <row r="4311" spans="1:12" x14ac:dyDescent="0.35">
      <c r="A4311" s="3"/>
      <c r="B4311" s="2"/>
      <c r="C4311" s="2"/>
      <c r="D4311" s="2" t="b">
        <f>IF(AND(NOT(ISBLANK(Table1[[#This Row],[Fetal Sex (Male, Female or Unknown)]])),ISNUMBER(Table1[[#This Row],[Birthweight (grams)]]),ISNUMBER(Table1[[#This Row],[Gestation (days)]])),TRUE,FALSE)</f>
        <v>0</v>
      </c>
      <c r="E4311" s="2" t="str">
        <f>IF(Table1[[#This Row],[Is Data Valid]]=TRUE,IF(Table1[[#This Row],[Fetal Sex (Male, Female or Unknown)]]="Male",Backend!$C$6,IF(Table1[[#This Row],[Fetal Sex (Male, Female or Unknown)]]="Female",Backend!$C$7,IF(Table1[[#This Row],[Fetal Sex (Male, Female or Unknown)]]="Unknown",Backend!$C$8,"Error"))),"")</f>
        <v/>
      </c>
      <c r="F4311" s="8" t="str">
        <f>IF(Table1[[#This Row],[Is Data Valid]]=TRUE,EXP(0.578+0.332*((Table1[[#This Row],[Gestation (days)]]+0.5)/7)-0.00354*((Table1[[#This Row],[Gestation (days)]]+0.5)/7)^2)*Table1[[#This Row],[BW40_3705]],"")</f>
        <v/>
      </c>
      <c r="G4311" s="2" t="str">
        <f>IF(Table1[[#This Row],[Is Data Valid]]=TRUE,((Table1[[#This Row],[Birthweight (grams)]]/Table1[[#This Row],[BW_GA]])-1)/(Backend!$B$4/100*Table1[[#This Row],[BW40_3705]]),"")</f>
        <v/>
      </c>
      <c r="H4311" s="7" t="str">
        <f>IF(Table1[[#This Row],[Is Data Valid]]=TRUE,((Table1[[#This Row],[Birthweight (grams)]]*0.9/Table1[[#This Row],[BW_GA]])-1)/(Backend!$B$4/100*Table1[[#This Row],[BW40_3705]]),"")</f>
        <v/>
      </c>
      <c r="I4311" s="7" t="str">
        <f>IF(Table1[[#This Row],[Is Data Valid]]=TRUE,((Table1[[#This Row],[Birthweight (grams)]]*1.1/Table1[[#This Row],[BW_GA]])-1)/(Backend!$B$4/100*Table1[[#This Row],[BW40_3705]]),"")</f>
        <v/>
      </c>
      <c r="J4311" s="7" t="str">
        <f>IF(Table1[[#This Row],[Is Data Valid]]=TRUE,_xlfn.NORM.S.DIST(Table1[[#This Row],[Birthweight Z-Score]],TRUE)*100,"")</f>
        <v/>
      </c>
      <c r="K4311" s="7" t="str">
        <f>IF(Table1[[#This Row],[Is Data Valid]]=TRUE,_xlfn.NORM.S.DIST(Table1[[#This Row],[Birthweight Z-Score (BW-10%)]],TRUE)*100,"")</f>
        <v/>
      </c>
      <c r="L4311" s="7" t="str">
        <f>IF(Table1[[#This Row],[Is Data Valid]]=TRUE,_xlfn.NORM.S.DIST(Table1[[#This Row],[Birthweight Z-Score (BW+10%)]],TRUE)*100,"")</f>
        <v/>
      </c>
    </row>
    <row r="4312" spans="1:12" x14ac:dyDescent="0.35">
      <c r="A4312" s="3"/>
      <c r="B4312" s="2"/>
      <c r="C4312" s="2"/>
      <c r="D4312" s="2" t="b">
        <f>IF(AND(NOT(ISBLANK(Table1[[#This Row],[Fetal Sex (Male, Female or Unknown)]])),ISNUMBER(Table1[[#This Row],[Birthweight (grams)]]),ISNUMBER(Table1[[#This Row],[Gestation (days)]])),TRUE,FALSE)</f>
        <v>0</v>
      </c>
      <c r="E4312" s="2" t="str">
        <f>IF(Table1[[#This Row],[Is Data Valid]]=TRUE,IF(Table1[[#This Row],[Fetal Sex (Male, Female or Unknown)]]="Male",Backend!$C$6,IF(Table1[[#This Row],[Fetal Sex (Male, Female or Unknown)]]="Female",Backend!$C$7,IF(Table1[[#This Row],[Fetal Sex (Male, Female or Unknown)]]="Unknown",Backend!$C$8,"Error"))),"")</f>
        <v/>
      </c>
      <c r="F4312" s="8" t="str">
        <f>IF(Table1[[#This Row],[Is Data Valid]]=TRUE,EXP(0.578+0.332*((Table1[[#This Row],[Gestation (days)]]+0.5)/7)-0.00354*((Table1[[#This Row],[Gestation (days)]]+0.5)/7)^2)*Table1[[#This Row],[BW40_3705]],"")</f>
        <v/>
      </c>
      <c r="G4312" s="2" t="str">
        <f>IF(Table1[[#This Row],[Is Data Valid]]=TRUE,((Table1[[#This Row],[Birthweight (grams)]]/Table1[[#This Row],[BW_GA]])-1)/(Backend!$B$4/100*Table1[[#This Row],[BW40_3705]]),"")</f>
        <v/>
      </c>
      <c r="H4312" s="7" t="str">
        <f>IF(Table1[[#This Row],[Is Data Valid]]=TRUE,((Table1[[#This Row],[Birthweight (grams)]]*0.9/Table1[[#This Row],[BW_GA]])-1)/(Backend!$B$4/100*Table1[[#This Row],[BW40_3705]]),"")</f>
        <v/>
      </c>
      <c r="I4312" s="7" t="str">
        <f>IF(Table1[[#This Row],[Is Data Valid]]=TRUE,((Table1[[#This Row],[Birthweight (grams)]]*1.1/Table1[[#This Row],[BW_GA]])-1)/(Backend!$B$4/100*Table1[[#This Row],[BW40_3705]]),"")</f>
        <v/>
      </c>
      <c r="J4312" s="7" t="str">
        <f>IF(Table1[[#This Row],[Is Data Valid]]=TRUE,_xlfn.NORM.S.DIST(Table1[[#This Row],[Birthweight Z-Score]],TRUE)*100,"")</f>
        <v/>
      </c>
      <c r="K4312" s="7" t="str">
        <f>IF(Table1[[#This Row],[Is Data Valid]]=TRUE,_xlfn.NORM.S.DIST(Table1[[#This Row],[Birthweight Z-Score (BW-10%)]],TRUE)*100,"")</f>
        <v/>
      </c>
      <c r="L4312" s="7" t="str">
        <f>IF(Table1[[#This Row],[Is Data Valid]]=TRUE,_xlfn.NORM.S.DIST(Table1[[#This Row],[Birthweight Z-Score (BW+10%)]],TRUE)*100,"")</f>
        <v/>
      </c>
    </row>
    <row r="4313" spans="1:12" x14ac:dyDescent="0.35">
      <c r="A4313" s="3"/>
      <c r="B4313" s="2"/>
      <c r="C4313" s="2"/>
      <c r="D4313" s="2" t="b">
        <f>IF(AND(NOT(ISBLANK(Table1[[#This Row],[Fetal Sex (Male, Female or Unknown)]])),ISNUMBER(Table1[[#This Row],[Birthweight (grams)]]),ISNUMBER(Table1[[#This Row],[Gestation (days)]])),TRUE,FALSE)</f>
        <v>0</v>
      </c>
      <c r="E4313" s="2" t="str">
        <f>IF(Table1[[#This Row],[Is Data Valid]]=TRUE,IF(Table1[[#This Row],[Fetal Sex (Male, Female or Unknown)]]="Male",Backend!$C$6,IF(Table1[[#This Row],[Fetal Sex (Male, Female or Unknown)]]="Female",Backend!$C$7,IF(Table1[[#This Row],[Fetal Sex (Male, Female or Unknown)]]="Unknown",Backend!$C$8,"Error"))),"")</f>
        <v/>
      </c>
      <c r="F4313" s="8" t="str">
        <f>IF(Table1[[#This Row],[Is Data Valid]]=TRUE,EXP(0.578+0.332*((Table1[[#This Row],[Gestation (days)]]+0.5)/7)-0.00354*((Table1[[#This Row],[Gestation (days)]]+0.5)/7)^2)*Table1[[#This Row],[BW40_3705]],"")</f>
        <v/>
      </c>
      <c r="G4313" s="2" t="str">
        <f>IF(Table1[[#This Row],[Is Data Valid]]=TRUE,((Table1[[#This Row],[Birthweight (grams)]]/Table1[[#This Row],[BW_GA]])-1)/(Backend!$B$4/100*Table1[[#This Row],[BW40_3705]]),"")</f>
        <v/>
      </c>
      <c r="H4313" s="7" t="str">
        <f>IF(Table1[[#This Row],[Is Data Valid]]=TRUE,((Table1[[#This Row],[Birthweight (grams)]]*0.9/Table1[[#This Row],[BW_GA]])-1)/(Backend!$B$4/100*Table1[[#This Row],[BW40_3705]]),"")</f>
        <v/>
      </c>
      <c r="I4313" s="7" t="str">
        <f>IF(Table1[[#This Row],[Is Data Valid]]=TRUE,((Table1[[#This Row],[Birthweight (grams)]]*1.1/Table1[[#This Row],[BW_GA]])-1)/(Backend!$B$4/100*Table1[[#This Row],[BW40_3705]]),"")</f>
        <v/>
      </c>
      <c r="J4313" s="7" t="str">
        <f>IF(Table1[[#This Row],[Is Data Valid]]=TRUE,_xlfn.NORM.S.DIST(Table1[[#This Row],[Birthweight Z-Score]],TRUE)*100,"")</f>
        <v/>
      </c>
      <c r="K4313" s="7" t="str">
        <f>IF(Table1[[#This Row],[Is Data Valid]]=TRUE,_xlfn.NORM.S.DIST(Table1[[#This Row],[Birthweight Z-Score (BW-10%)]],TRUE)*100,"")</f>
        <v/>
      </c>
      <c r="L4313" s="7" t="str">
        <f>IF(Table1[[#This Row],[Is Data Valid]]=TRUE,_xlfn.NORM.S.DIST(Table1[[#This Row],[Birthweight Z-Score (BW+10%)]],TRUE)*100,"")</f>
        <v/>
      </c>
    </row>
    <row r="4314" spans="1:12" x14ac:dyDescent="0.35">
      <c r="A4314" s="3"/>
      <c r="B4314" s="2"/>
      <c r="C4314" s="2"/>
      <c r="D4314" s="2" t="b">
        <f>IF(AND(NOT(ISBLANK(Table1[[#This Row],[Fetal Sex (Male, Female or Unknown)]])),ISNUMBER(Table1[[#This Row],[Birthweight (grams)]]),ISNUMBER(Table1[[#This Row],[Gestation (days)]])),TRUE,FALSE)</f>
        <v>0</v>
      </c>
      <c r="E4314" s="2" t="str">
        <f>IF(Table1[[#This Row],[Is Data Valid]]=TRUE,IF(Table1[[#This Row],[Fetal Sex (Male, Female or Unknown)]]="Male",Backend!$C$6,IF(Table1[[#This Row],[Fetal Sex (Male, Female or Unknown)]]="Female",Backend!$C$7,IF(Table1[[#This Row],[Fetal Sex (Male, Female or Unknown)]]="Unknown",Backend!$C$8,"Error"))),"")</f>
        <v/>
      </c>
      <c r="F4314" s="8" t="str">
        <f>IF(Table1[[#This Row],[Is Data Valid]]=TRUE,EXP(0.578+0.332*((Table1[[#This Row],[Gestation (days)]]+0.5)/7)-0.00354*((Table1[[#This Row],[Gestation (days)]]+0.5)/7)^2)*Table1[[#This Row],[BW40_3705]],"")</f>
        <v/>
      </c>
      <c r="G4314" s="2" t="str">
        <f>IF(Table1[[#This Row],[Is Data Valid]]=TRUE,((Table1[[#This Row],[Birthweight (grams)]]/Table1[[#This Row],[BW_GA]])-1)/(Backend!$B$4/100*Table1[[#This Row],[BW40_3705]]),"")</f>
        <v/>
      </c>
      <c r="H4314" s="7" t="str">
        <f>IF(Table1[[#This Row],[Is Data Valid]]=TRUE,((Table1[[#This Row],[Birthweight (grams)]]*0.9/Table1[[#This Row],[BW_GA]])-1)/(Backend!$B$4/100*Table1[[#This Row],[BW40_3705]]),"")</f>
        <v/>
      </c>
      <c r="I4314" s="7" t="str">
        <f>IF(Table1[[#This Row],[Is Data Valid]]=TRUE,((Table1[[#This Row],[Birthweight (grams)]]*1.1/Table1[[#This Row],[BW_GA]])-1)/(Backend!$B$4/100*Table1[[#This Row],[BW40_3705]]),"")</f>
        <v/>
      </c>
      <c r="J4314" s="7" t="str">
        <f>IF(Table1[[#This Row],[Is Data Valid]]=TRUE,_xlfn.NORM.S.DIST(Table1[[#This Row],[Birthweight Z-Score]],TRUE)*100,"")</f>
        <v/>
      </c>
      <c r="K4314" s="7" t="str">
        <f>IF(Table1[[#This Row],[Is Data Valid]]=TRUE,_xlfn.NORM.S.DIST(Table1[[#This Row],[Birthweight Z-Score (BW-10%)]],TRUE)*100,"")</f>
        <v/>
      </c>
      <c r="L4314" s="7" t="str">
        <f>IF(Table1[[#This Row],[Is Data Valid]]=TRUE,_xlfn.NORM.S.DIST(Table1[[#This Row],[Birthweight Z-Score (BW+10%)]],TRUE)*100,"")</f>
        <v/>
      </c>
    </row>
    <row r="4315" spans="1:12" x14ac:dyDescent="0.35">
      <c r="A4315" s="3"/>
      <c r="B4315" s="2"/>
      <c r="C4315" s="2"/>
      <c r="D4315" s="2" t="b">
        <f>IF(AND(NOT(ISBLANK(Table1[[#This Row],[Fetal Sex (Male, Female or Unknown)]])),ISNUMBER(Table1[[#This Row],[Birthweight (grams)]]),ISNUMBER(Table1[[#This Row],[Gestation (days)]])),TRUE,FALSE)</f>
        <v>0</v>
      </c>
      <c r="E4315" s="2" t="str">
        <f>IF(Table1[[#This Row],[Is Data Valid]]=TRUE,IF(Table1[[#This Row],[Fetal Sex (Male, Female or Unknown)]]="Male",Backend!$C$6,IF(Table1[[#This Row],[Fetal Sex (Male, Female or Unknown)]]="Female",Backend!$C$7,IF(Table1[[#This Row],[Fetal Sex (Male, Female or Unknown)]]="Unknown",Backend!$C$8,"Error"))),"")</f>
        <v/>
      </c>
      <c r="F4315" s="8" t="str">
        <f>IF(Table1[[#This Row],[Is Data Valid]]=TRUE,EXP(0.578+0.332*((Table1[[#This Row],[Gestation (days)]]+0.5)/7)-0.00354*((Table1[[#This Row],[Gestation (days)]]+0.5)/7)^2)*Table1[[#This Row],[BW40_3705]],"")</f>
        <v/>
      </c>
      <c r="G4315" s="2" t="str">
        <f>IF(Table1[[#This Row],[Is Data Valid]]=TRUE,((Table1[[#This Row],[Birthweight (grams)]]/Table1[[#This Row],[BW_GA]])-1)/(Backend!$B$4/100*Table1[[#This Row],[BW40_3705]]),"")</f>
        <v/>
      </c>
      <c r="H4315" s="7" t="str">
        <f>IF(Table1[[#This Row],[Is Data Valid]]=TRUE,((Table1[[#This Row],[Birthweight (grams)]]*0.9/Table1[[#This Row],[BW_GA]])-1)/(Backend!$B$4/100*Table1[[#This Row],[BW40_3705]]),"")</f>
        <v/>
      </c>
      <c r="I4315" s="7" t="str">
        <f>IF(Table1[[#This Row],[Is Data Valid]]=TRUE,((Table1[[#This Row],[Birthweight (grams)]]*1.1/Table1[[#This Row],[BW_GA]])-1)/(Backend!$B$4/100*Table1[[#This Row],[BW40_3705]]),"")</f>
        <v/>
      </c>
      <c r="J4315" s="7" t="str">
        <f>IF(Table1[[#This Row],[Is Data Valid]]=TRUE,_xlfn.NORM.S.DIST(Table1[[#This Row],[Birthweight Z-Score]],TRUE)*100,"")</f>
        <v/>
      </c>
      <c r="K4315" s="7" t="str">
        <f>IF(Table1[[#This Row],[Is Data Valid]]=TRUE,_xlfn.NORM.S.DIST(Table1[[#This Row],[Birthweight Z-Score (BW-10%)]],TRUE)*100,"")</f>
        <v/>
      </c>
      <c r="L4315" s="7" t="str">
        <f>IF(Table1[[#This Row],[Is Data Valid]]=TRUE,_xlfn.NORM.S.DIST(Table1[[#This Row],[Birthweight Z-Score (BW+10%)]],TRUE)*100,"")</f>
        <v/>
      </c>
    </row>
    <row r="4316" spans="1:12" x14ac:dyDescent="0.35">
      <c r="A4316" s="3"/>
      <c r="B4316" s="2"/>
      <c r="C4316" s="2"/>
      <c r="D4316" s="2" t="b">
        <f>IF(AND(NOT(ISBLANK(Table1[[#This Row],[Fetal Sex (Male, Female or Unknown)]])),ISNUMBER(Table1[[#This Row],[Birthweight (grams)]]),ISNUMBER(Table1[[#This Row],[Gestation (days)]])),TRUE,FALSE)</f>
        <v>0</v>
      </c>
      <c r="E4316" s="2" t="str">
        <f>IF(Table1[[#This Row],[Is Data Valid]]=TRUE,IF(Table1[[#This Row],[Fetal Sex (Male, Female or Unknown)]]="Male",Backend!$C$6,IF(Table1[[#This Row],[Fetal Sex (Male, Female or Unknown)]]="Female",Backend!$C$7,IF(Table1[[#This Row],[Fetal Sex (Male, Female or Unknown)]]="Unknown",Backend!$C$8,"Error"))),"")</f>
        <v/>
      </c>
      <c r="F4316" s="8" t="str">
        <f>IF(Table1[[#This Row],[Is Data Valid]]=TRUE,EXP(0.578+0.332*((Table1[[#This Row],[Gestation (days)]]+0.5)/7)-0.00354*((Table1[[#This Row],[Gestation (days)]]+0.5)/7)^2)*Table1[[#This Row],[BW40_3705]],"")</f>
        <v/>
      </c>
      <c r="G4316" s="2" t="str">
        <f>IF(Table1[[#This Row],[Is Data Valid]]=TRUE,((Table1[[#This Row],[Birthweight (grams)]]/Table1[[#This Row],[BW_GA]])-1)/(Backend!$B$4/100*Table1[[#This Row],[BW40_3705]]),"")</f>
        <v/>
      </c>
      <c r="H4316" s="7" t="str">
        <f>IF(Table1[[#This Row],[Is Data Valid]]=TRUE,((Table1[[#This Row],[Birthweight (grams)]]*0.9/Table1[[#This Row],[BW_GA]])-1)/(Backend!$B$4/100*Table1[[#This Row],[BW40_3705]]),"")</f>
        <v/>
      </c>
      <c r="I4316" s="7" t="str">
        <f>IF(Table1[[#This Row],[Is Data Valid]]=TRUE,((Table1[[#This Row],[Birthweight (grams)]]*1.1/Table1[[#This Row],[BW_GA]])-1)/(Backend!$B$4/100*Table1[[#This Row],[BW40_3705]]),"")</f>
        <v/>
      </c>
      <c r="J4316" s="7" t="str">
        <f>IF(Table1[[#This Row],[Is Data Valid]]=TRUE,_xlfn.NORM.S.DIST(Table1[[#This Row],[Birthweight Z-Score]],TRUE)*100,"")</f>
        <v/>
      </c>
      <c r="K4316" s="7" t="str">
        <f>IF(Table1[[#This Row],[Is Data Valid]]=TRUE,_xlfn.NORM.S.DIST(Table1[[#This Row],[Birthweight Z-Score (BW-10%)]],TRUE)*100,"")</f>
        <v/>
      </c>
      <c r="L4316" s="7" t="str">
        <f>IF(Table1[[#This Row],[Is Data Valid]]=TRUE,_xlfn.NORM.S.DIST(Table1[[#This Row],[Birthweight Z-Score (BW+10%)]],TRUE)*100,"")</f>
        <v/>
      </c>
    </row>
    <row r="4317" spans="1:12" x14ac:dyDescent="0.35">
      <c r="A4317" s="3"/>
      <c r="B4317" s="2"/>
      <c r="C4317" s="2"/>
      <c r="D4317" s="2" t="b">
        <f>IF(AND(NOT(ISBLANK(Table1[[#This Row],[Fetal Sex (Male, Female or Unknown)]])),ISNUMBER(Table1[[#This Row],[Birthweight (grams)]]),ISNUMBER(Table1[[#This Row],[Gestation (days)]])),TRUE,FALSE)</f>
        <v>0</v>
      </c>
      <c r="E4317" s="2" t="str">
        <f>IF(Table1[[#This Row],[Is Data Valid]]=TRUE,IF(Table1[[#This Row],[Fetal Sex (Male, Female or Unknown)]]="Male",Backend!$C$6,IF(Table1[[#This Row],[Fetal Sex (Male, Female or Unknown)]]="Female",Backend!$C$7,IF(Table1[[#This Row],[Fetal Sex (Male, Female or Unknown)]]="Unknown",Backend!$C$8,"Error"))),"")</f>
        <v/>
      </c>
      <c r="F4317" s="8" t="str">
        <f>IF(Table1[[#This Row],[Is Data Valid]]=TRUE,EXP(0.578+0.332*((Table1[[#This Row],[Gestation (days)]]+0.5)/7)-0.00354*((Table1[[#This Row],[Gestation (days)]]+0.5)/7)^2)*Table1[[#This Row],[BW40_3705]],"")</f>
        <v/>
      </c>
      <c r="G4317" s="2" t="str">
        <f>IF(Table1[[#This Row],[Is Data Valid]]=TRUE,((Table1[[#This Row],[Birthweight (grams)]]/Table1[[#This Row],[BW_GA]])-1)/(Backend!$B$4/100*Table1[[#This Row],[BW40_3705]]),"")</f>
        <v/>
      </c>
      <c r="H4317" s="7" t="str">
        <f>IF(Table1[[#This Row],[Is Data Valid]]=TRUE,((Table1[[#This Row],[Birthweight (grams)]]*0.9/Table1[[#This Row],[BW_GA]])-1)/(Backend!$B$4/100*Table1[[#This Row],[BW40_3705]]),"")</f>
        <v/>
      </c>
      <c r="I4317" s="7" t="str">
        <f>IF(Table1[[#This Row],[Is Data Valid]]=TRUE,((Table1[[#This Row],[Birthweight (grams)]]*1.1/Table1[[#This Row],[BW_GA]])-1)/(Backend!$B$4/100*Table1[[#This Row],[BW40_3705]]),"")</f>
        <v/>
      </c>
      <c r="J4317" s="7" t="str">
        <f>IF(Table1[[#This Row],[Is Data Valid]]=TRUE,_xlfn.NORM.S.DIST(Table1[[#This Row],[Birthweight Z-Score]],TRUE)*100,"")</f>
        <v/>
      </c>
      <c r="K4317" s="7" t="str">
        <f>IF(Table1[[#This Row],[Is Data Valid]]=TRUE,_xlfn.NORM.S.DIST(Table1[[#This Row],[Birthweight Z-Score (BW-10%)]],TRUE)*100,"")</f>
        <v/>
      </c>
      <c r="L4317" s="7" t="str">
        <f>IF(Table1[[#This Row],[Is Data Valid]]=TRUE,_xlfn.NORM.S.DIST(Table1[[#This Row],[Birthweight Z-Score (BW+10%)]],TRUE)*100,"")</f>
        <v/>
      </c>
    </row>
    <row r="4318" spans="1:12" x14ac:dyDescent="0.35">
      <c r="A4318" s="3"/>
      <c r="B4318" s="2"/>
      <c r="C4318" s="2"/>
      <c r="D4318" s="2" t="b">
        <f>IF(AND(NOT(ISBLANK(Table1[[#This Row],[Fetal Sex (Male, Female or Unknown)]])),ISNUMBER(Table1[[#This Row],[Birthweight (grams)]]),ISNUMBER(Table1[[#This Row],[Gestation (days)]])),TRUE,FALSE)</f>
        <v>0</v>
      </c>
      <c r="E4318" s="2" t="str">
        <f>IF(Table1[[#This Row],[Is Data Valid]]=TRUE,IF(Table1[[#This Row],[Fetal Sex (Male, Female or Unknown)]]="Male",Backend!$C$6,IF(Table1[[#This Row],[Fetal Sex (Male, Female or Unknown)]]="Female",Backend!$C$7,IF(Table1[[#This Row],[Fetal Sex (Male, Female or Unknown)]]="Unknown",Backend!$C$8,"Error"))),"")</f>
        <v/>
      </c>
      <c r="F4318" s="8" t="str">
        <f>IF(Table1[[#This Row],[Is Data Valid]]=TRUE,EXP(0.578+0.332*((Table1[[#This Row],[Gestation (days)]]+0.5)/7)-0.00354*((Table1[[#This Row],[Gestation (days)]]+0.5)/7)^2)*Table1[[#This Row],[BW40_3705]],"")</f>
        <v/>
      </c>
      <c r="G4318" s="2" t="str">
        <f>IF(Table1[[#This Row],[Is Data Valid]]=TRUE,((Table1[[#This Row],[Birthweight (grams)]]/Table1[[#This Row],[BW_GA]])-1)/(Backend!$B$4/100*Table1[[#This Row],[BW40_3705]]),"")</f>
        <v/>
      </c>
      <c r="H4318" s="7" t="str">
        <f>IF(Table1[[#This Row],[Is Data Valid]]=TRUE,((Table1[[#This Row],[Birthweight (grams)]]*0.9/Table1[[#This Row],[BW_GA]])-1)/(Backend!$B$4/100*Table1[[#This Row],[BW40_3705]]),"")</f>
        <v/>
      </c>
      <c r="I4318" s="7" t="str">
        <f>IF(Table1[[#This Row],[Is Data Valid]]=TRUE,((Table1[[#This Row],[Birthweight (grams)]]*1.1/Table1[[#This Row],[BW_GA]])-1)/(Backend!$B$4/100*Table1[[#This Row],[BW40_3705]]),"")</f>
        <v/>
      </c>
      <c r="J4318" s="7" t="str">
        <f>IF(Table1[[#This Row],[Is Data Valid]]=TRUE,_xlfn.NORM.S.DIST(Table1[[#This Row],[Birthweight Z-Score]],TRUE)*100,"")</f>
        <v/>
      </c>
      <c r="K4318" s="7" t="str">
        <f>IF(Table1[[#This Row],[Is Data Valid]]=TRUE,_xlfn.NORM.S.DIST(Table1[[#This Row],[Birthweight Z-Score (BW-10%)]],TRUE)*100,"")</f>
        <v/>
      </c>
      <c r="L4318" s="7" t="str">
        <f>IF(Table1[[#This Row],[Is Data Valid]]=TRUE,_xlfn.NORM.S.DIST(Table1[[#This Row],[Birthweight Z-Score (BW+10%)]],TRUE)*100,"")</f>
        <v/>
      </c>
    </row>
    <row r="4319" spans="1:12" x14ac:dyDescent="0.35">
      <c r="A4319" s="3"/>
      <c r="B4319" s="2"/>
      <c r="C4319" s="2"/>
      <c r="D4319" s="2" t="b">
        <f>IF(AND(NOT(ISBLANK(Table1[[#This Row],[Fetal Sex (Male, Female or Unknown)]])),ISNUMBER(Table1[[#This Row],[Birthweight (grams)]]),ISNUMBER(Table1[[#This Row],[Gestation (days)]])),TRUE,FALSE)</f>
        <v>0</v>
      </c>
      <c r="E4319" s="2" t="str">
        <f>IF(Table1[[#This Row],[Is Data Valid]]=TRUE,IF(Table1[[#This Row],[Fetal Sex (Male, Female or Unknown)]]="Male",Backend!$C$6,IF(Table1[[#This Row],[Fetal Sex (Male, Female or Unknown)]]="Female",Backend!$C$7,IF(Table1[[#This Row],[Fetal Sex (Male, Female or Unknown)]]="Unknown",Backend!$C$8,"Error"))),"")</f>
        <v/>
      </c>
      <c r="F4319" s="8" t="str">
        <f>IF(Table1[[#This Row],[Is Data Valid]]=TRUE,EXP(0.578+0.332*((Table1[[#This Row],[Gestation (days)]]+0.5)/7)-0.00354*((Table1[[#This Row],[Gestation (days)]]+0.5)/7)^2)*Table1[[#This Row],[BW40_3705]],"")</f>
        <v/>
      </c>
      <c r="G4319" s="2" t="str">
        <f>IF(Table1[[#This Row],[Is Data Valid]]=TRUE,((Table1[[#This Row],[Birthweight (grams)]]/Table1[[#This Row],[BW_GA]])-1)/(Backend!$B$4/100*Table1[[#This Row],[BW40_3705]]),"")</f>
        <v/>
      </c>
      <c r="H4319" s="7" t="str">
        <f>IF(Table1[[#This Row],[Is Data Valid]]=TRUE,((Table1[[#This Row],[Birthweight (grams)]]*0.9/Table1[[#This Row],[BW_GA]])-1)/(Backend!$B$4/100*Table1[[#This Row],[BW40_3705]]),"")</f>
        <v/>
      </c>
      <c r="I4319" s="7" t="str">
        <f>IF(Table1[[#This Row],[Is Data Valid]]=TRUE,((Table1[[#This Row],[Birthweight (grams)]]*1.1/Table1[[#This Row],[BW_GA]])-1)/(Backend!$B$4/100*Table1[[#This Row],[BW40_3705]]),"")</f>
        <v/>
      </c>
      <c r="J4319" s="7" t="str">
        <f>IF(Table1[[#This Row],[Is Data Valid]]=TRUE,_xlfn.NORM.S.DIST(Table1[[#This Row],[Birthweight Z-Score]],TRUE)*100,"")</f>
        <v/>
      </c>
      <c r="K4319" s="7" t="str">
        <f>IF(Table1[[#This Row],[Is Data Valid]]=TRUE,_xlfn.NORM.S.DIST(Table1[[#This Row],[Birthweight Z-Score (BW-10%)]],TRUE)*100,"")</f>
        <v/>
      </c>
      <c r="L4319" s="7" t="str">
        <f>IF(Table1[[#This Row],[Is Data Valid]]=TRUE,_xlfn.NORM.S.DIST(Table1[[#This Row],[Birthweight Z-Score (BW+10%)]],TRUE)*100,"")</f>
        <v/>
      </c>
    </row>
    <row r="4320" spans="1:12" x14ac:dyDescent="0.35">
      <c r="A4320" s="3"/>
      <c r="B4320" s="2"/>
      <c r="C4320" s="2"/>
      <c r="D4320" s="2" t="b">
        <f>IF(AND(NOT(ISBLANK(Table1[[#This Row],[Fetal Sex (Male, Female or Unknown)]])),ISNUMBER(Table1[[#This Row],[Birthweight (grams)]]),ISNUMBER(Table1[[#This Row],[Gestation (days)]])),TRUE,FALSE)</f>
        <v>0</v>
      </c>
      <c r="E4320" s="2" t="str">
        <f>IF(Table1[[#This Row],[Is Data Valid]]=TRUE,IF(Table1[[#This Row],[Fetal Sex (Male, Female or Unknown)]]="Male",Backend!$C$6,IF(Table1[[#This Row],[Fetal Sex (Male, Female or Unknown)]]="Female",Backend!$C$7,IF(Table1[[#This Row],[Fetal Sex (Male, Female or Unknown)]]="Unknown",Backend!$C$8,"Error"))),"")</f>
        <v/>
      </c>
      <c r="F4320" s="8" t="str">
        <f>IF(Table1[[#This Row],[Is Data Valid]]=TRUE,EXP(0.578+0.332*((Table1[[#This Row],[Gestation (days)]]+0.5)/7)-0.00354*((Table1[[#This Row],[Gestation (days)]]+0.5)/7)^2)*Table1[[#This Row],[BW40_3705]],"")</f>
        <v/>
      </c>
      <c r="G4320" s="2" t="str">
        <f>IF(Table1[[#This Row],[Is Data Valid]]=TRUE,((Table1[[#This Row],[Birthweight (grams)]]/Table1[[#This Row],[BW_GA]])-1)/(Backend!$B$4/100*Table1[[#This Row],[BW40_3705]]),"")</f>
        <v/>
      </c>
      <c r="H4320" s="7" t="str">
        <f>IF(Table1[[#This Row],[Is Data Valid]]=TRUE,((Table1[[#This Row],[Birthweight (grams)]]*0.9/Table1[[#This Row],[BW_GA]])-1)/(Backend!$B$4/100*Table1[[#This Row],[BW40_3705]]),"")</f>
        <v/>
      </c>
      <c r="I4320" s="7" t="str">
        <f>IF(Table1[[#This Row],[Is Data Valid]]=TRUE,((Table1[[#This Row],[Birthweight (grams)]]*1.1/Table1[[#This Row],[BW_GA]])-1)/(Backend!$B$4/100*Table1[[#This Row],[BW40_3705]]),"")</f>
        <v/>
      </c>
      <c r="J4320" s="7" t="str">
        <f>IF(Table1[[#This Row],[Is Data Valid]]=TRUE,_xlfn.NORM.S.DIST(Table1[[#This Row],[Birthweight Z-Score]],TRUE)*100,"")</f>
        <v/>
      </c>
      <c r="K4320" s="7" t="str">
        <f>IF(Table1[[#This Row],[Is Data Valid]]=TRUE,_xlfn.NORM.S.DIST(Table1[[#This Row],[Birthweight Z-Score (BW-10%)]],TRUE)*100,"")</f>
        <v/>
      </c>
      <c r="L4320" s="7" t="str">
        <f>IF(Table1[[#This Row],[Is Data Valid]]=TRUE,_xlfn.NORM.S.DIST(Table1[[#This Row],[Birthweight Z-Score (BW+10%)]],TRUE)*100,"")</f>
        <v/>
      </c>
    </row>
    <row r="4321" spans="1:12" x14ac:dyDescent="0.35">
      <c r="A4321" s="3"/>
      <c r="B4321" s="2"/>
      <c r="C4321" s="2"/>
      <c r="D4321" s="2" t="b">
        <f>IF(AND(NOT(ISBLANK(Table1[[#This Row],[Fetal Sex (Male, Female or Unknown)]])),ISNUMBER(Table1[[#This Row],[Birthweight (grams)]]),ISNUMBER(Table1[[#This Row],[Gestation (days)]])),TRUE,FALSE)</f>
        <v>0</v>
      </c>
      <c r="E4321" s="2" t="str">
        <f>IF(Table1[[#This Row],[Is Data Valid]]=TRUE,IF(Table1[[#This Row],[Fetal Sex (Male, Female or Unknown)]]="Male",Backend!$C$6,IF(Table1[[#This Row],[Fetal Sex (Male, Female or Unknown)]]="Female",Backend!$C$7,IF(Table1[[#This Row],[Fetal Sex (Male, Female or Unknown)]]="Unknown",Backend!$C$8,"Error"))),"")</f>
        <v/>
      </c>
      <c r="F4321" s="8" t="str">
        <f>IF(Table1[[#This Row],[Is Data Valid]]=TRUE,EXP(0.578+0.332*((Table1[[#This Row],[Gestation (days)]]+0.5)/7)-0.00354*((Table1[[#This Row],[Gestation (days)]]+0.5)/7)^2)*Table1[[#This Row],[BW40_3705]],"")</f>
        <v/>
      </c>
      <c r="G4321" s="2" t="str">
        <f>IF(Table1[[#This Row],[Is Data Valid]]=TRUE,((Table1[[#This Row],[Birthweight (grams)]]/Table1[[#This Row],[BW_GA]])-1)/(Backend!$B$4/100*Table1[[#This Row],[BW40_3705]]),"")</f>
        <v/>
      </c>
      <c r="H4321" s="7" t="str">
        <f>IF(Table1[[#This Row],[Is Data Valid]]=TRUE,((Table1[[#This Row],[Birthweight (grams)]]*0.9/Table1[[#This Row],[BW_GA]])-1)/(Backend!$B$4/100*Table1[[#This Row],[BW40_3705]]),"")</f>
        <v/>
      </c>
      <c r="I4321" s="7" t="str">
        <f>IF(Table1[[#This Row],[Is Data Valid]]=TRUE,((Table1[[#This Row],[Birthweight (grams)]]*1.1/Table1[[#This Row],[BW_GA]])-1)/(Backend!$B$4/100*Table1[[#This Row],[BW40_3705]]),"")</f>
        <v/>
      </c>
      <c r="J4321" s="7" t="str">
        <f>IF(Table1[[#This Row],[Is Data Valid]]=TRUE,_xlfn.NORM.S.DIST(Table1[[#This Row],[Birthweight Z-Score]],TRUE)*100,"")</f>
        <v/>
      </c>
      <c r="K4321" s="7" t="str">
        <f>IF(Table1[[#This Row],[Is Data Valid]]=TRUE,_xlfn.NORM.S.DIST(Table1[[#This Row],[Birthweight Z-Score (BW-10%)]],TRUE)*100,"")</f>
        <v/>
      </c>
      <c r="L4321" s="7" t="str">
        <f>IF(Table1[[#This Row],[Is Data Valid]]=TRUE,_xlfn.NORM.S.DIST(Table1[[#This Row],[Birthweight Z-Score (BW+10%)]],TRUE)*100,"")</f>
        <v/>
      </c>
    </row>
    <row r="4322" spans="1:12" x14ac:dyDescent="0.35">
      <c r="A4322" s="3"/>
      <c r="B4322" s="2"/>
      <c r="C4322" s="2"/>
      <c r="D4322" s="2" t="b">
        <f>IF(AND(NOT(ISBLANK(Table1[[#This Row],[Fetal Sex (Male, Female or Unknown)]])),ISNUMBER(Table1[[#This Row],[Birthweight (grams)]]),ISNUMBER(Table1[[#This Row],[Gestation (days)]])),TRUE,FALSE)</f>
        <v>0</v>
      </c>
      <c r="E4322" s="2" t="str">
        <f>IF(Table1[[#This Row],[Is Data Valid]]=TRUE,IF(Table1[[#This Row],[Fetal Sex (Male, Female or Unknown)]]="Male",Backend!$C$6,IF(Table1[[#This Row],[Fetal Sex (Male, Female or Unknown)]]="Female",Backend!$C$7,IF(Table1[[#This Row],[Fetal Sex (Male, Female or Unknown)]]="Unknown",Backend!$C$8,"Error"))),"")</f>
        <v/>
      </c>
      <c r="F4322" s="8" t="str">
        <f>IF(Table1[[#This Row],[Is Data Valid]]=TRUE,EXP(0.578+0.332*((Table1[[#This Row],[Gestation (days)]]+0.5)/7)-0.00354*((Table1[[#This Row],[Gestation (days)]]+0.5)/7)^2)*Table1[[#This Row],[BW40_3705]],"")</f>
        <v/>
      </c>
      <c r="G4322" s="2" t="str">
        <f>IF(Table1[[#This Row],[Is Data Valid]]=TRUE,((Table1[[#This Row],[Birthweight (grams)]]/Table1[[#This Row],[BW_GA]])-1)/(Backend!$B$4/100*Table1[[#This Row],[BW40_3705]]),"")</f>
        <v/>
      </c>
      <c r="H4322" s="7" t="str">
        <f>IF(Table1[[#This Row],[Is Data Valid]]=TRUE,((Table1[[#This Row],[Birthweight (grams)]]*0.9/Table1[[#This Row],[BW_GA]])-1)/(Backend!$B$4/100*Table1[[#This Row],[BW40_3705]]),"")</f>
        <v/>
      </c>
      <c r="I4322" s="7" t="str">
        <f>IF(Table1[[#This Row],[Is Data Valid]]=TRUE,((Table1[[#This Row],[Birthweight (grams)]]*1.1/Table1[[#This Row],[BW_GA]])-1)/(Backend!$B$4/100*Table1[[#This Row],[BW40_3705]]),"")</f>
        <v/>
      </c>
      <c r="J4322" s="7" t="str">
        <f>IF(Table1[[#This Row],[Is Data Valid]]=TRUE,_xlfn.NORM.S.DIST(Table1[[#This Row],[Birthweight Z-Score]],TRUE)*100,"")</f>
        <v/>
      </c>
      <c r="K4322" s="7" t="str">
        <f>IF(Table1[[#This Row],[Is Data Valid]]=TRUE,_xlfn.NORM.S.DIST(Table1[[#This Row],[Birthweight Z-Score (BW-10%)]],TRUE)*100,"")</f>
        <v/>
      </c>
      <c r="L4322" s="7" t="str">
        <f>IF(Table1[[#This Row],[Is Data Valid]]=TRUE,_xlfn.NORM.S.DIST(Table1[[#This Row],[Birthweight Z-Score (BW+10%)]],TRUE)*100,"")</f>
        <v/>
      </c>
    </row>
    <row r="4323" spans="1:12" x14ac:dyDescent="0.35">
      <c r="A4323" s="3"/>
      <c r="B4323" s="2"/>
      <c r="C4323" s="2"/>
      <c r="D4323" s="2" t="b">
        <f>IF(AND(NOT(ISBLANK(Table1[[#This Row],[Fetal Sex (Male, Female or Unknown)]])),ISNUMBER(Table1[[#This Row],[Birthweight (grams)]]),ISNUMBER(Table1[[#This Row],[Gestation (days)]])),TRUE,FALSE)</f>
        <v>0</v>
      </c>
      <c r="E4323" s="2" t="str">
        <f>IF(Table1[[#This Row],[Is Data Valid]]=TRUE,IF(Table1[[#This Row],[Fetal Sex (Male, Female or Unknown)]]="Male",Backend!$C$6,IF(Table1[[#This Row],[Fetal Sex (Male, Female or Unknown)]]="Female",Backend!$C$7,IF(Table1[[#This Row],[Fetal Sex (Male, Female or Unknown)]]="Unknown",Backend!$C$8,"Error"))),"")</f>
        <v/>
      </c>
      <c r="F4323" s="8" t="str">
        <f>IF(Table1[[#This Row],[Is Data Valid]]=TRUE,EXP(0.578+0.332*((Table1[[#This Row],[Gestation (days)]]+0.5)/7)-0.00354*((Table1[[#This Row],[Gestation (days)]]+0.5)/7)^2)*Table1[[#This Row],[BW40_3705]],"")</f>
        <v/>
      </c>
      <c r="G4323" s="2" t="str">
        <f>IF(Table1[[#This Row],[Is Data Valid]]=TRUE,((Table1[[#This Row],[Birthweight (grams)]]/Table1[[#This Row],[BW_GA]])-1)/(Backend!$B$4/100*Table1[[#This Row],[BW40_3705]]),"")</f>
        <v/>
      </c>
      <c r="H4323" s="7" t="str">
        <f>IF(Table1[[#This Row],[Is Data Valid]]=TRUE,((Table1[[#This Row],[Birthweight (grams)]]*0.9/Table1[[#This Row],[BW_GA]])-1)/(Backend!$B$4/100*Table1[[#This Row],[BW40_3705]]),"")</f>
        <v/>
      </c>
      <c r="I4323" s="7" t="str">
        <f>IF(Table1[[#This Row],[Is Data Valid]]=TRUE,((Table1[[#This Row],[Birthweight (grams)]]*1.1/Table1[[#This Row],[BW_GA]])-1)/(Backend!$B$4/100*Table1[[#This Row],[BW40_3705]]),"")</f>
        <v/>
      </c>
      <c r="J4323" s="7" t="str">
        <f>IF(Table1[[#This Row],[Is Data Valid]]=TRUE,_xlfn.NORM.S.DIST(Table1[[#This Row],[Birthweight Z-Score]],TRUE)*100,"")</f>
        <v/>
      </c>
      <c r="K4323" s="7" t="str">
        <f>IF(Table1[[#This Row],[Is Data Valid]]=TRUE,_xlfn.NORM.S.DIST(Table1[[#This Row],[Birthweight Z-Score (BW-10%)]],TRUE)*100,"")</f>
        <v/>
      </c>
      <c r="L4323" s="7" t="str">
        <f>IF(Table1[[#This Row],[Is Data Valid]]=TRUE,_xlfn.NORM.S.DIST(Table1[[#This Row],[Birthweight Z-Score (BW+10%)]],TRUE)*100,"")</f>
        <v/>
      </c>
    </row>
    <row r="4324" spans="1:12" x14ac:dyDescent="0.35">
      <c r="A4324" s="3"/>
      <c r="B4324" s="2"/>
      <c r="C4324" s="2"/>
      <c r="D4324" s="2" t="b">
        <f>IF(AND(NOT(ISBLANK(Table1[[#This Row],[Fetal Sex (Male, Female or Unknown)]])),ISNUMBER(Table1[[#This Row],[Birthweight (grams)]]),ISNUMBER(Table1[[#This Row],[Gestation (days)]])),TRUE,FALSE)</f>
        <v>0</v>
      </c>
      <c r="E4324" s="2" t="str">
        <f>IF(Table1[[#This Row],[Is Data Valid]]=TRUE,IF(Table1[[#This Row],[Fetal Sex (Male, Female or Unknown)]]="Male",Backend!$C$6,IF(Table1[[#This Row],[Fetal Sex (Male, Female or Unknown)]]="Female",Backend!$C$7,IF(Table1[[#This Row],[Fetal Sex (Male, Female or Unknown)]]="Unknown",Backend!$C$8,"Error"))),"")</f>
        <v/>
      </c>
      <c r="F4324" s="8" t="str">
        <f>IF(Table1[[#This Row],[Is Data Valid]]=TRUE,EXP(0.578+0.332*((Table1[[#This Row],[Gestation (days)]]+0.5)/7)-0.00354*((Table1[[#This Row],[Gestation (days)]]+0.5)/7)^2)*Table1[[#This Row],[BW40_3705]],"")</f>
        <v/>
      </c>
      <c r="G4324" s="2" t="str">
        <f>IF(Table1[[#This Row],[Is Data Valid]]=TRUE,((Table1[[#This Row],[Birthweight (grams)]]/Table1[[#This Row],[BW_GA]])-1)/(Backend!$B$4/100*Table1[[#This Row],[BW40_3705]]),"")</f>
        <v/>
      </c>
      <c r="H4324" s="7" t="str">
        <f>IF(Table1[[#This Row],[Is Data Valid]]=TRUE,((Table1[[#This Row],[Birthweight (grams)]]*0.9/Table1[[#This Row],[BW_GA]])-1)/(Backend!$B$4/100*Table1[[#This Row],[BW40_3705]]),"")</f>
        <v/>
      </c>
      <c r="I4324" s="7" t="str">
        <f>IF(Table1[[#This Row],[Is Data Valid]]=TRUE,((Table1[[#This Row],[Birthweight (grams)]]*1.1/Table1[[#This Row],[BW_GA]])-1)/(Backend!$B$4/100*Table1[[#This Row],[BW40_3705]]),"")</f>
        <v/>
      </c>
      <c r="J4324" s="7" t="str">
        <f>IF(Table1[[#This Row],[Is Data Valid]]=TRUE,_xlfn.NORM.S.DIST(Table1[[#This Row],[Birthweight Z-Score]],TRUE)*100,"")</f>
        <v/>
      </c>
      <c r="K4324" s="7" t="str">
        <f>IF(Table1[[#This Row],[Is Data Valid]]=TRUE,_xlfn.NORM.S.DIST(Table1[[#This Row],[Birthweight Z-Score (BW-10%)]],TRUE)*100,"")</f>
        <v/>
      </c>
      <c r="L4324" s="7" t="str">
        <f>IF(Table1[[#This Row],[Is Data Valid]]=TRUE,_xlfn.NORM.S.DIST(Table1[[#This Row],[Birthweight Z-Score (BW+10%)]],TRUE)*100,"")</f>
        <v/>
      </c>
    </row>
    <row r="4325" spans="1:12" x14ac:dyDescent="0.35">
      <c r="A4325" s="3"/>
      <c r="B4325" s="2"/>
      <c r="C4325" s="2"/>
      <c r="D4325" s="2" t="b">
        <f>IF(AND(NOT(ISBLANK(Table1[[#This Row],[Fetal Sex (Male, Female or Unknown)]])),ISNUMBER(Table1[[#This Row],[Birthweight (grams)]]),ISNUMBER(Table1[[#This Row],[Gestation (days)]])),TRUE,FALSE)</f>
        <v>0</v>
      </c>
      <c r="E4325" s="2" t="str">
        <f>IF(Table1[[#This Row],[Is Data Valid]]=TRUE,IF(Table1[[#This Row],[Fetal Sex (Male, Female or Unknown)]]="Male",Backend!$C$6,IF(Table1[[#This Row],[Fetal Sex (Male, Female or Unknown)]]="Female",Backend!$C$7,IF(Table1[[#This Row],[Fetal Sex (Male, Female or Unknown)]]="Unknown",Backend!$C$8,"Error"))),"")</f>
        <v/>
      </c>
      <c r="F4325" s="8" t="str">
        <f>IF(Table1[[#This Row],[Is Data Valid]]=TRUE,EXP(0.578+0.332*((Table1[[#This Row],[Gestation (days)]]+0.5)/7)-0.00354*((Table1[[#This Row],[Gestation (days)]]+0.5)/7)^2)*Table1[[#This Row],[BW40_3705]],"")</f>
        <v/>
      </c>
      <c r="G4325" s="2" t="str">
        <f>IF(Table1[[#This Row],[Is Data Valid]]=TRUE,((Table1[[#This Row],[Birthweight (grams)]]/Table1[[#This Row],[BW_GA]])-1)/(Backend!$B$4/100*Table1[[#This Row],[BW40_3705]]),"")</f>
        <v/>
      </c>
      <c r="H4325" s="7" t="str">
        <f>IF(Table1[[#This Row],[Is Data Valid]]=TRUE,((Table1[[#This Row],[Birthweight (grams)]]*0.9/Table1[[#This Row],[BW_GA]])-1)/(Backend!$B$4/100*Table1[[#This Row],[BW40_3705]]),"")</f>
        <v/>
      </c>
      <c r="I4325" s="7" t="str">
        <f>IF(Table1[[#This Row],[Is Data Valid]]=TRUE,((Table1[[#This Row],[Birthweight (grams)]]*1.1/Table1[[#This Row],[BW_GA]])-1)/(Backend!$B$4/100*Table1[[#This Row],[BW40_3705]]),"")</f>
        <v/>
      </c>
      <c r="J4325" s="7" t="str">
        <f>IF(Table1[[#This Row],[Is Data Valid]]=TRUE,_xlfn.NORM.S.DIST(Table1[[#This Row],[Birthweight Z-Score]],TRUE)*100,"")</f>
        <v/>
      </c>
      <c r="K4325" s="7" t="str">
        <f>IF(Table1[[#This Row],[Is Data Valid]]=TRUE,_xlfn.NORM.S.DIST(Table1[[#This Row],[Birthweight Z-Score (BW-10%)]],TRUE)*100,"")</f>
        <v/>
      </c>
      <c r="L4325" s="7" t="str">
        <f>IF(Table1[[#This Row],[Is Data Valid]]=TRUE,_xlfn.NORM.S.DIST(Table1[[#This Row],[Birthweight Z-Score (BW+10%)]],TRUE)*100,"")</f>
        <v/>
      </c>
    </row>
    <row r="4326" spans="1:12" x14ac:dyDescent="0.35">
      <c r="A4326" s="3"/>
      <c r="B4326" s="2"/>
      <c r="C4326" s="2"/>
      <c r="D4326" s="2" t="b">
        <f>IF(AND(NOT(ISBLANK(Table1[[#This Row],[Fetal Sex (Male, Female or Unknown)]])),ISNUMBER(Table1[[#This Row],[Birthweight (grams)]]),ISNUMBER(Table1[[#This Row],[Gestation (days)]])),TRUE,FALSE)</f>
        <v>0</v>
      </c>
      <c r="E4326" s="2" t="str">
        <f>IF(Table1[[#This Row],[Is Data Valid]]=TRUE,IF(Table1[[#This Row],[Fetal Sex (Male, Female or Unknown)]]="Male",Backend!$C$6,IF(Table1[[#This Row],[Fetal Sex (Male, Female or Unknown)]]="Female",Backend!$C$7,IF(Table1[[#This Row],[Fetal Sex (Male, Female or Unknown)]]="Unknown",Backend!$C$8,"Error"))),"")</f>
        <v/>
      </c>
      <c r="F4326" s="8" t="str">
        <f>IF(Table1[[#This Row],[Is Data Valid]]=TRUE,EXP(0.578+0.332*((Table1[[#This Row],[Gestation (days)]]+0.5)/7)-0.00354*((Table1[[#This Row],[Gestation (days)]]+0.5)/7)^2)*Table1[[#This Row],[BW40_3705]],"")</f>
        <v/>
      </c>
      <c r="G4326" s="2" t="str">
        <f>IF(Table1[[#This Row],[Is Data Valid]]=TRUE,((Table1[[#This Row],[Birthweight (grams)]]/Table1[[#This Row],[BW_GA]])-1)/(Backend!$B$4/100*Table1[[#This Row],[BW40_3705]]),"")</f>
        <v/>
      </c>
      <c r="H4326" s="7" t="str">
        <f>IF(Table1[[#This Row],[Is Data Valid]]=TRUE,((Table1[[#This Row],[Birthweight (grams)]]*0.9/Table1[[#This Row],[BW_GA]])-1)/(Backend!$B$4/100*Table1[[#This Row],[BW40_3705]]),"")</f>
        <v/>
      </c>
      <c r="I4326" s="7" t="str">
        <f>IF(Table1[[#This Row],[Is Data Valid]]=TRUE,((Table1[[#This Row],[Birthweight (grams)]]*1.1/Table1[[#This Row],[BW_GA]])-1)/(Backend!$B$4/100*Table1[[#This Row],[BW40_3705]]),"")</f>
        <v/>
      </c>
      <c r="J4326" s="7" t="str">
        <f>IF(Table1[[#This Row],[Is Data Valid]]=TRUE,_xlfn.NORM.S.DIST(Table1[[#This Row],[Birthweight Z-Score]],TRUE)*100,"")</f>
        <v/>
      </c>
      <c r="K4326" s="7" t="str">
        <f>IF(Table1[[#This Row],[Is Data Valid]]=TRUE,_xlfn.NORM.S.DIST(Table1[[#This Row],[Birthweight Z-Score (BW-10%)]],TRUE)*100,"")</f>
        <v/>
      </c>
      <c r="L4326" s="7" t="str">
        <f>IF(Table1[[#This Row],[Is Data Valid]]=TRUE,_xlfn.NORM.S.DIST(Table1[[#This Row],[Birthweight Z-Score (BW+10%)]],TRUE)*100,"")</f>
        <v/>
      </c>
    </row>
    <row r="4327" spans="1:12" x14ac:dyDescent="0.35">
      <c r="A4327" s="3"/>
      <c r="B4327" s="2"/>
      <c r="C4327" s="2"/>
      <c r="D4327" s="2" t="b">
        <f>IF(AND(NOT(ISBLANK(Table1[[#This Row],[Fetal Sex (Male, Female or Unknown)]])),ISNUMBER(Table1[[#This Row],[Birthweight (grams)]]),ISNUMBER(Table1[[#This Row],[Gestation (days)]])),TRUE,FALSE)</f>
        <v>0</v>
      </c>
      <c r="E4327" s="2" t="str">
        <f>IF(Table1[[#This Row],[Is Data Valid]]=TRUE,IF(Table1[[#This Row],[Fetal Sex (Male, Female or Unknown)]]="Male",Backend!$C$6,IF(Table1[[#This Row],[Fetal Sex (Male, Female or Unknown)]]="Female",Backend!$C$7,IF(Table1[[#This Row],[Fetal Sex (Male, Female or Unknown)]]="Unknown",Backend!$C$8,"Error"))),"")</f>
        <v/>
      </c>
      <c r="F4327" s="8" t="str">
        <f>IF(Table1[[#This Row],[Is Data Valid]]=TRUE,EXP(0.578+0.332*((Table1[[#This Row],[Gestation (days)]]+0.5)/7)-0.00354*((Table1[[#This Row],[Gestation (days)]]+0.5)/7)^2)*Table1[[#This Row],[BW40_3705]],"")</f>
        <v/>
      </c>
      <c r="G4327" s="2" t="str">
        <f>IF(Table1[[#This Row],[Is Data Valid]]=TRUE,((Table1[[#This Row],[Birthweight (grams)]]/Table1[[#This Row],[BW_GA]])-1)/(Backend!$B$4/100*Table1[[#This Row],[BW40_3705]]),"")</f>
        <v/>
      </c>
      <c r="H4327" s="7" t="str">
        <f>IF(Table1[[#This Row],[Is Data Valid]]=TRUE,((Table1[[#This Row],[Birthweight (grams)]]*0.9/Table1[[#This Row],[BW_GA]])-1)/(Backend!$B$4/100*Table1[[#This Row],[BW40_3705]]),"")</f>
        <v/>
      </c>
      <c r="I4327" s="7" t="str">
        <f>IF(Table1[[#This Row],[Is Data Valid]]=TRUE,((Table1[[#This Row],[Birthweight (grams)]]*1.1/Table1[[#This Row],[BW_GA]])-1)/(Backend!$B$4/100*Table1[[#This Row],[BW40_3705]]),"")</f>
        <v/>
      </c>
      <c r="J4327" s="7" t="str">
        <f>IF(Table1[[#This Row],[Is Data Valid]]=TRUE,_xlfn.NORM.S.DIST(Table1[[#This Row],[Birthweight Z-Score]],TRUE)*100,"")</f>
        <v/>
      </c>
      <c r="K4327" s="7" t="str">
        <f>IF(Table1[[#This Row],[Is Data Valid]]=TRUE,_xlfn.NORM.S.DIST(Table1[[#This Row],[Birthweight Z-Score (BW-10%)]],TRUE)*100,"")</f>
        <v/>
      </c>
      <c r="L4327" s="7" t="str">
        <f>IF(Table1[[#This Row],[Is Data Valid]]=TRUE,_xlfn.NORM.S.DIST(Table1[[#This Row],[Birthweight Z-Score (BW+10%)]],TRUE)*100,"")</f>
        <v/>
      </c>
    </row>
    <row r="4328" spans="1:12" x14ac:dyDescent="0.35">
      <c r="A4328" s="3"/>
      <c r="B4328" s="2"/>
      <c r="C4328" s="2"/>
      <c r="D4328" s="2" t="b">
        <f>IF(AND(NOT(ISBLANK(Table1[[#This Row],[Fetal Sex (Male, Female or Unknown)]])),ISNUMBER(Table1[[#This Row],[Birthweight (grams)]]),ISNUMBER(Table1[[#This Row],[Gestation (days)]])),TRUE,FALSE)</f>
        <v>0</v>
      </c>
      <c r="E4328" s="2" t="str">
        <f>IF(Table1[[#This Row],[Is Data Valid]]=TRUE,IF(Table1[[#This Row],[Fetal Sex (Male, Female or Unknown)]]="Male",Backend!$C$6,IF(Table1[[#This Row],[Fetal Sex (Male, Female or Unknown)]]="Female",Backend!$C$7,IF(Table1[[#This Row],[Fetal Sex (Male, Female or Unknown)]]="Unknown",Backend!$C$8,"Error"))),"")</f>
        <v/>
      </c>
      <c r="F4328" s="8" t="str">
        <f>IF(Table1[[#This Row],[Is Data Valid]]=TRUE,EXP(0.578+0.332*((Table1[[#This Row],[Gestation (days)]]+0.5)/7)-0.00354*((Table1[[#This Row],[Gestation (days)]]+0.5)/7)^2)*Table1[[#This Row],[BW40_3705]],"")</f>
        <v/>
      </c>
      <c r="G4328" s="2" t="str">
        <f>IF(Table1[[#This Row],[Is Data Valid]]=TRUE,((Table1[[#This Row],[Birthweight (grams)]]/Table1[[#This Row],[BW_GA]])-1)/(Backend!$B$4/100*Table1[[#This Row],[BW40_3705]]),"")</f>
        <v/>
      </c>
      <c r="H4328" s="7" t="str">
        <f>IF(Table1[[#This Row],[Is Data Valid]]=TRUE,((Table1[[#This Row],[Birthweight (grams)]]*0.9/Table1[[#This Row],[BW_GA]])-1)/(Backend!$B$4/100*Table1[[#This Row],[BW40_3705]]),"")</f>
        <v/>
      </c>
      <c r="I4328" s="7" t="str">
        <f>IF(Table1[[#This Row],[Is Data Valid]]=TRUE,((Table1[[#This Row],[Birthweight (grams)]]*1.1/Table1[[#This Row],[BW_GA]])-1)/(Backend!$B$4/100*Table1[[#This Row],[BW40_3705]]),"")</f>
        <v/>
      </c>
      <c r="J4328" s="7" t="str">
        <f>IF(Table1[[#This Row],[Is Data Valid]]=TRUE,_xlfn.NORM.S.DIST(Table1[[#This Row],[Birthweight Z-Score]],TRUE)*100,"")</f>
        <v/>
      </c>
      <c r="K4328" s="7" t="str">
        <f>IF(Table1[[#This Row],[Is Data Valid]]=TRUE,_xlfn.NORM.S.DIST(Table1[[#This Row],[Birthweight Z-Score (BW-10%)]],TRUE)*100,"")</f>
        <v/>
      </c>
      <c r="L4328" s="7" t="str">
        <f>IF(Table1[[#This Row],[Is Data Valid]]=TRUE,_xlfn.NORM.S.DIST(Table1[[#This Row],[Birthweight Z-Score (BW+10%)]],TRUE)*100,"")</f>
        <v/>
      </c>
    </row>
    <row r="4329" spans="1:12" x14ac:dyDescent="0.35">
      <c r="A4329" s="3"/>
      <c r="B4329" s="2"/>
      <c r="C4329" s="2"/>
      <c r="D4329" s="2" t="b">
        <f>IF(AND(NOT(ISBLANK(Table1[[#This Row],[Fetal Sex (Male, Female or Unknown)]])),ISNUMBER(Table1[[#This Row],[Birthweight (grams)]]),ISNUMBER(Table1[[#This Row],[Gestation (days)]])),TRUE,FALSE)</f>
        <v>0</v>
      </c>
      <c r="E4329" s="2" t="str">
        <f>IF(Table1[[#This Row],[Is Data Valid]]=TRUE,IF(Table1[[#This Row],[Fetal Sex (Male, Female or Unknown)]]="Male",Backend!$C$6,IF(Table1[[#This Row],[Fetal Sex (Male, Female or Unknown)]]="Female",Backend!$C$7,IF(Table1[[#This Row],[Fetal Sex (Male, Female or Unknown)]]="Unknown",Backend!$C$8,"Error"))),"")</f>
        <v/>
      </c>
      <c r="F4329" s="8" t="str">
        <f>IF(Table1[[#This Row],[Is Data Valid]]=TRUE,EXP(0.578+0.332*((Table1[[#This Row],[Gestation (days)]]+0.5)/7)-0.00354*((Table1[[#This Row],[Gestation (days)]]+0.5)/7)^2)*Table1[[#This Row],[BW40_3705]],"")</f>
        <v/>
      </c>
      <c r="G4329" s="2" t="str">
        <f>IF(Table1[[#This Row],[Is Data Valid]]=TRUE,((Table1[[#This Row],[Birthweight (grams)]]/Table1[[#This Row],[BW_GA]])-1)/(Backend!$B$4/100*Table1[[#This Row],[BW40_3705]]),"")</f>
        <v/>
      </c>
      <c r="H4329" s="7" t="str">
        <f>IF(Table1[[#This Row],[Is Data Valid]]=TRUE,((Table1[[#This Row],[Birthweight (grams)]]*0.9/Table1[[#This Row],[BW_GA]])-1)/(Backend!$B$4/100*Table1[[#This Row],[BW40_3705]]),"")</f>
        <v/>
      </c>
      <c r="I4329" s="7" t="str">
        <f>IF(Table1[[#This Row],[Is Data Valid]]=TRUE,((Table1[[#This Row],[Birthweight (grams)]]*1.1/Table1[[#This Row],[BW_GA]])-1)/(Backend!$B$4/100*Table1[[#This Row],[BW40_3705]]),"")</f>
        <v/>
      </c>
      <c r="J4329" s="7" t="str">
        <f>IF(Table1[[#This Row],[Is Data Valid]]=TRUE,_xlfn.NORM.S.DIST(Table1[[#This Row],[Birthweight Z-Score]],TRUE)*100,"")</f>
        <v/>
      </c>
      <c r="K4329" s="7" t="str">
        <f>IF(Table1[[#This Row],[Is Data Valid]]=TRUE,_xlfn.NORM.S.DIST(Table1[[#This Row],[Birthweight Z-Score (BW-10%)]],TRUE)*100,"")</f>
        <v/>
      </c>
      <c r="L4329" s="7" t="str">
        <f>IF(Table1[[#This Row],[Is Data Valid]]=TRUE,_xlfn.NORM.S.DIST(Table1[[#This Row],[Birthweight Z-Score (BW+10%)]],TRUE)*100,"")</f>
        <v/>
      </c>
    </row>
    <row r="4330" spans="1:12" x14ac:dyDescent="0.35">
      <c r="A4330" s="3"/>
      <c r="B4330" s="2"/>
      <c r="C4330" s="2"/>
      <c r="D4330" s="2" t="b">
        <f>IF(AND(NOT(ISBLANK(Table1[[#This Row],[Fetal Sex (Male, Female or Unknown)]])),ISNUMBER(Table1[[#This Row],[Birthweight (grams)]]),ISNUMBER(Table1[[#This Row],[Gestation (days)]])),TRUE,FALSE)</f>
        <v>0</v>
      </c>
      <c r="E4330" s="2" t="str">
        <f>IF(Table1[[#This Row],[Is Data Valid]]=TRUE,IF(Table1[[#This Row],[Fetal Sex (Male, Female or Unknown)]]="Male",Backend!$C$6,IF(Table1[[#This Row],[Fetal Sex (Male, Female or Unknown)]]="Female",Backend!$C$7,IF(Table1[[#This Row],[Fetal Sex (Male, Female or Unknown)]]="Unknown",Backend!$C$8,"Error"))),"")</f>
        <v/>
      </c>
      <c r="F4330" s="8" t="str">
        <f>IF(Table1[[#This Row],[Is Data Valid]]=TRUE,EXP(0.578+0.332*((Table1[[#This Row],[Gestation (days)]]+0.5)/7)-0.00354*((Table1[[#This Row],[Gestation (days)]]+0.5)/7)^2)*Table1[[#This Row],[BW40_3705]],"")</f>
        <v/>
      </c>
      <c r="G4330" s="2" t="str">
        <f>IF(Table1[[#This Row],[Is Data Valid]]=TRUE,((Table1[[#This Row],[Birthweight (grams)]]/Table1[[#This Row],[BW_GA]])-1)/(Backend!$B$4/100*Table1[[#This Row],[BW40_3705]]),"")</f>
        <v/>
      </c>
      <c r="H4330" s="7" t="str">
        <f>IF(Table1[[#This Row],[Is Data Valid]]=TRUE,((Table1[[#This Row],[Birthweight (grams)]]*0.9/Table1[[#This Row],[BW_GA]])-1)/(Backend!$B$4/100*Table1[[#This Row],[BW40_3705]]),"")</f>
        <v/>
      </c>
      <c r="I4330" s="7" t="str">
        <f>IF(Table1[[#This Row],[Is Data Valid]]=TRUE,((Table1[[#This Row],[Birthweight (grams)]]*1.1/Table1[[#This Row],[BW_GA]])-1)/(Backend!$B$4/100*Table1[[#This Row],[BW40_3705]]),"")</f>
        <v/>
      </c>
      <c r="J4330" s="7" t="str">
        <f>IF(Table1[[#This Row],[Is Data Valid]]=TRUE,_xlfn.NORM.S.DIST(Table1[[#This Row],[Birthweight Z-Score]],TRUE)*100,"")</f>
        <v/>
      </c>
      <c r="K4330" s="7" t="str">
        <f>IF(Table1[[#This Row],[Is Data Valid]]=TRUE,_xlfn.NORM.S.DIST(Table1[[#This Row],[Birthweight Z-Score (BW-10%)]],TRUE)*100,"")</f>
        <v/>
      </c>
      <c r="L4330" s="7" t="str">
        <f>IF(Table1[[#This Row],[Is Data Valid]]=TRUE,_xlfn.NORM.S.DIST(Table1[[#This Row],[Birthweight Z-Score (BW+10%)]],TRUE)*100,"")</f>
        <v/>
      </c>
    </row>
    <row r="4331" spans="1:12" x14ac:dyDescent="0.35">
      <c r="A4331" s="3"/>
      <c r="B4331" s="2"/>
      <c r="C4331" s="2"/>
      <c r="D4331" s="2" t="b">
        <f>IF(AND(NOT(ISBLANK(Table1[[#This Row],[Fetal Sex (Male, Female or Unknown)]])),ISNUMBER(Table1[[#This Row],[Birthweight (grams)]]),ISNUMBER(Table1[[#This Row],[Gestation (days)]])),TRUE,FALSE)</f>
        <v>0</v>
      </c>
      <c r="E4331" s="2" t="str">
        <f>IF(Table1[[#This Row],[Is Data Valid]]=TRUE,IF(Table1[[#This Row],[Fetal Sex (Male, Female or Unknown)]]="Male",Backend!$C$6,IF(Table1[[#This Row],[Fetal Sex (Male, Female or Unknown)]]="Female",Backend!$C$7,IF(Table1[[#This Row],[Fetal Sex (Male, Female or Unknown)]]="Unknown",Backend!$C$8,"Error"))),"")</f>
        <v/>
      </c>
      <c r="F4331" s="8" t="str">
        <f>IF(Table1[[#This Row],[Is Data Valid]]=TRUE,EXP(0.578+0.332*((Table1[[#This Row],[Gestation (days)]]+0.5)/7)-0.00354*((Table1[[#This Row],[Gestation (days)]]+0.5)/7)^2)*Table1[[#This Row],[BW40_3705]],"")</f>
        <v/>
      </c>
      <c r="G4331" s="2" t="str">
        <f>IF(Table1[[#This Row],[Is Data Valid]]=TRUE,((Table1[[#This Row],[Birthweight (grams)]]/Table1[[#This Row],[BW_GA]])-1)/(Backend!$B$4/100*Table1[[#This Row],[BW40_3705]]),"")</f>
        <v/>
      </c>
      <c r="H4331" s="7" t="str">
        <f>IF(Table1[[#This Row],[Is Data Valid]]=TRUE,((Table1[[#This Row],[Birthweight (grams)]]*0.9/Table1[[#This Row],[BW_GA]])-1)/(Backend!$B$4/100*Table1[[#This Row],[BW40_3705]]),"")</f>
        <v/>
      </c>
      <c r="I4331" s="7" t="str">
        <f>IF(Table1[[#This Row],[Is Data Valid]]=TRUE,((Table1[[#This Row],[Birthweight (grams)]]*1.1/Table1[[#This Row],[BW_GA]])-1)/(Backend!$B$4/100*Table1[[#This Row],[BW40_3705]]),"")</f>
        <v/>
      </c>
      <c r="J4331" s="7" t="str">
        <f>IF(Table1[[#This Row],[Is Data Valid]]=TRUE,_xlfn.NORM.S.DIST(Table1[[#This Row],[Birthweight Z-Score]],TRUE)*100,"")</f>
        <v/>
      </c>
      <c r="K4331" s="7" t="str">
        <f>IF(Table1[[#This Row],[Is Data Valid]]=TRUE,_xlfn.NORM.S.DIST(Table1[[#This Row],[Birthweight Z-Score (BW-10%)]],TRUE)*100,"")</f>
        <v/>
      </c>
      <c r="L4331" s="7" t="str">
        <f>IF(Table1[[#This Row],[Is Data Valid]]=TRUE,_xlfn.NORM.S.DIST(Table1[[#This Row],[Birthweight Z-Score (BW+10%)]],TRUE)*100,"")</f>
        <v/>
      </c>
    </row>
    <row r="4332" spans="1:12" x14ac:dyDescent="0.35">
      <c r="A4332" s="3"/>
      <c r="B4332" s="2"/>
      <c r="C4332" s="2"/>
      <c r="D4332" s="2" t="b">
        <f>IF(AND(NOT(ISBLANK(Table1[[#This Row],[Fetal Sex (Male, Female or Unknown)]])),ISNUMBER(Table1[[#This Row],[Birthweight (grams)]]),ISNUMBER(Table1[[#This Row],[Gestation (days)]])),TRUE,FALSE)</f>
        <v>0</v>
      </c>
      <c r="E4332" s="2" t="str">
        <f>IF(Table1[[#This Row],[Is Data Valid]]=TRUE,IF(Table1[[#This Row],[Fetal Sex (Male, Female or Unknown)]]="Male",Backend!$C$6,IF(Table1[[#This Row],[Fetal Sex (Male, Female or Unknown)]]="Female",Backend!$C$7,IF(Table1[[#This Row],[Fetal Sex (Male, Female or Unknown)]]="Unknown",Backend!$C$8,"Error"))),"")</f>
        <v/>
      </c>
      <c r="F4332" s="8" t="str">
        <f>IF(Table1[[#This Row],[Is Data Valid]]=TRUE,EXP(0.578+0.332*((Table1[[#This Row],[Gestation (days)]]+0.5)/7)-0.00354*((Table1[[#This Row],[Gestation (days)]]+0.5)/7)^2)*Table1[[#This Row],[BW40_3705]],"")</f>
        <v/>
      </c>
      <c r="G4332" s="2" t="str">
        <f>IF(Table1[[#This Row],[Is Data Valid]]=TRUE,((Table1[[#This Row],[Birthweight (grams)]]/Table1[[#This Row],[BW_GA]])-1)/(Backend!$B$4/100*Table1[[#This Row],[BW40_3705]]),"")</f>
        <v/>
      </c>
      <c r="H4332" s="7" t="str">
        <f>IF(Table1[[#This Row],[Is Data Valid]]=TRUE,((Table1[[#This Row],[Birthweight (grams)]]*0.9/Table1[[#This Row],[BW_GA]])-1)/(Backend!$B$4/100*Table1[[#This Row],[BW40_3705]]),"")</f>
        <v/>
      </c>
      <c r="I4332" s="7" t="str">
        <f>IF(Table1[[#This Row],[Is Data Valid]]=TRUE,((Table1[[#This Row],[Birthweight (grams)]]*1.1/Table1[[#This Row],[BW_GA]])-1)/(Backend!$B$4/100*Table1[[#This Row],[BW40_3705]]),"")</f>
        <v/>
      </c>
      <c r="J4332" s="7" t="str">
        <f>IF(Table1[[#This Row],[Is Data Valid]]=TRUE,_xlfn.NORM.S.DIST(Table1[[#This Row],[Birthweight Z-Score]],TRUE)*100,"")</f>
        <v/>
      </c>
      <c r="K4332" s="7" t="str">
        <f>IF(Table1[[#This Row],[Is Data Valid]]=TRUE,_xlfn.NORM.S.DIST(Table1[[#This Row],[Birthweight Z-Score (BW-10%)]],TRUE)*100,"")</f>
        <v/>
      </c>
      <c r="L4332" s="7" t="str">
        <f>IF(Table1[[#This Row],[Is Data Valid]]=TRUE,_xlfn.NORM.S.DIST(Table1[[#This Row],[Birthweight Z-Score (BW+10%)]],TRUE)*100,"")</f>
        <v/>
      </c>
    </row>
    <row r="4333" spans="1:12" x14ac:dyDescent="0.35">
      <c r="A4333" s="3"/>
      <c r="B4333" s="2"/>
      <c r="C4333" s="2"/>
      <c r="D4333" s="2" t="b">
        <f>IF(AND(NOT(ISBLANK(Table1[[#This Row],[Fetal Sex (Male, Female or Unknown)]])),ISNUMBER(Table1[[#This Row],[Birthweight (grams)]]),ISNUMBER(Table1[[#This Row],[Gestation (days)]])),TRUE,FALSE)</f>
        <v>0</v>
      </c>
      <c r="E4333" s="2" t="str">
        <f>IF(Table1[[#This Row],[Is Data Valid]]=TRUE,IF(Table1[[#This Row],[Fetal Sex (Male, Female or Unknown)]]="Male",Backend!$C$6,IF(Table1[[#This Row],[Fetal Sex (Male, Female or Unknown)]]="Female",Backend!$C$7,IF(Table1[[#This Row],[Fetal Sex (Male, Female or Unknown)]]="Unknown",Backend!$C$8,"Error"))),"")</f>
        <v/>
      </c>
      <c r="F4333" s="8" t="str">
        <f>IF(Table1[[#This Row],[Is Data Valid]]=TRUE,EXP(0.578+0.332*((Table1[[#This Row],[Gestation (days)]]+0.5)/7)-0.00354*((Table1[[#This Row],[Gestation (days)]]+0.5)/7)^2)*Table1[[#This Row],[BW40_3705]],"")</f>
        <v/>
      </c>
      <c r="G4333" s="2" t="str">
        <f>IF(Table1[[#This Row],[Is Data Valid]]=TRUE,((Table1[[#This Row],[Birthweight (grams)]]/Table1[[#This Row],[BW_GA]])-1)/(Backend!$B$4/100*Table1[[#This Row],[BW40_3705]]),"")</f>
        <v/>
      </c>
      <c r="H4333" s="7" t="str">
        <f>IF(Table1[[#This Row],[Is Data Valid]]=TRUE,((Table1[[#This Row],[Birthweight (grams)]]*0.9/Table1[[#This Row],[BW_GA]])-1)/(Backend!$B$4/100*Table1[[#This Row],[BW40_3705]]),"")</f>
        <v/>
      </c>
      <c r="I4333" s="7" t="str">
        <f>IF(Table1[[#This Row],[Is Data Valid]]=TRUE,((Table1[[#This Row],[Birthweight (grams)]]*1.1/Table1[[#This Row],[BW_GA]])-1)/(Backend!$B$4/100*Table1[[#This Row],[BW40_3705]]),"")</f>
        <v/>
      </c>
      <c r="J4333" s="7" t="str">
        <f>IF(Table1[[#This Row],[Is Data Valid]]=TRUE,_xlfn.NORM.S.DIST(Table1[[#This Row],[Birthweight Z-Score]],TRUE)*100,"")</f>
        <v/>
      </c>
      <c r="K4333" s="7" t="str">
        <f>IF(Table1[[#This Row],[Is Data Valid]]=TRUE,_xlfn.NORM.S.DIST(Table1[[#This Row],[Birthweight Z-Score (BW-10%)]],TRUE)*100,"")</f>
        <v/>
      </c>
      <c r="L4333" s="7" t="str">
        <f>IF(Table1[[#This Row],[Is Data Valid]]=TRUE,_xlfn.NORM.S.DIST(Table1[[#This Row],[Birthweight Z-Score (BW+10%)]],TRUE)*100,"")</f>
        <v/>
      </c>
    </row>
    <row r="4334" spans="1:12" x14ac:dyDescent="0.35">
      <c r="A4334" s="3"/>
      <c r="B4334" s="2"/>
      <c r="C4334" s="2"/>
      <c r="D4334" s="2" t="b">
        <f>IF(AND(NOT(ISBLANK(Table1[[#This Row],[Fetal Sex (Male, Female or Unknown)]])),ISNUMBER(Table1[[#This Row],[Birthweight (grams)]]),ISNUMBER(Table1[[#This Row],[Gestation (days)]])),TRUE,FALSE)</f>
        <v>0</v>
      </c>
      <c r="E4334" s="2" t="str">
        <f>IF(Table1[[#This Row],[Is Data Valid]]=TRUE,IF(Table1[[#This Row],[Fetal Sex (Male, Female or Unknown)]]="Male",Backend!$C$6,IF(Table1[[#This Row],[Fetal Sex (Male, Female or Unknown)]]="Female",Backend!$C$7,IF(Table1[[#This Row],[Fetal Sex (Male, Female or Unknown)]]="Unknown",Backend!$C$8,"Error"))),"")</f>
        <v/>
      </c>
      <c r="F4334" s="8" t="str">
        <f>IF(Table1[[#This Row],[Is Data Valid]]=TRUE,EXP(0.578+0.332*((Table1[[#This Row],[Gestation (days)]]+0.5)/7)-0.00354*((Table1[[#This Row],[Gestation (days)]]+0.5)/7)^2)*Table1[[#This Row],[BW40_3705]],"")</f>
        <v/>
      </c>
      <c r="G4334" s="2" t="str">
        <f>IF(Table1[[#This Row],[Is Data Valid]]=TRUE,((Table1[[#This Row],[Birthweight (grams)]]/Table1[[#This Row],[BW_GA]])-1)/(Backend!$B$4/100*Table1[[#This Row],[BW40_3705]]),"")</f>
        <v/>
      </c>
      <c r="H4334" s="7" t="str">
        <f>IF(Table1[[#This Row],[Is Data Valid]]=TRUE,((Table1[[#This Row],[Birthweight (grams)]]*0.9/Table1[[#This Row],[BW_GA]])-1)/(Backend!$B$4/100*Table1[[#This Row],[BW40_3705]]),"")</f>
        <v/>
      </c>
      <c r="I4334" s="7" t="str">
        <f>IF(Table1[[#This Row],[Is Data Valid]]=TRUE,((Table1[[#This Row],[Birthweight (grams)]]*1.1/Table1[[#This Row],[BW_GA]])-1)/(Backend!$B$4/100*Table1[[#This Row],[BW40_3705]]),"")</f>
        <v/>
      </c>
      <c r="J4334" s="7" t="str">
        <f>IF(Table1[[#This Row],[Is Data Valid]]=TRUE,_xlfn.NORM.S.DIST(Table1[[#This Row],[Birthweight Z-Score]],TRUE)*100,"")</f>
        <v/>
      </c>
      <c r="K4334" s="7" t="str">
        <f>IF(Table1[[#This Row],[Is Data Valid]]=TRUE,_xlfn.NORM.S.DIST(Table1[[#This Row],[Birthweight Z-Score (BW-10%)]],TRUE)*100,"")</f>
        <v/>
      </c>
      <c r="L4334" s="7" t="str">
        <f>IF(Table1[[#This Row],[Is Data Valid]]=TRUE,_xlfn.NORM.S.DIST(Table1[[#This Row],[Birthweight Z-Score (BW+10%)]],TRUE)*100,"")</f>
        <v/>
      </c>
    </row>
    <row r="4335" spans="1:12" x14ac:dyDescent="0.35">
      <c r="A4335" s="3"/>
      <c r="B4335" s="2"/>
      <c r="C4335" s="2"/>
      <c r="D4335" s="2" t="b">
        <f>IF(AND(NOT(ISBLANK(Table1[[#This Row],[Fetal Sex (Male, Female or Unknown)]])),ISNUMBER(Table1[[#This Row],[Birthweight (grams)]]),ISNUMBER(Table1[[#This Row],[Gestation (days)]])),TRUE,FALSE)</f>
        <v>0</v>
      </c>
      <c r="E4335" s="2" t="str">
        <f>IF(Table1[[#This Row],[Is Data Valid]]=TRUE,IF(Table1[[#This Row],[Fetal Sex (Male, Female or Unknown)]]="Male",Backend!$C$6,IF(Table1[[#This Row],[Fetal Sex (Male, Female or Unknown)]]="Female",Backend!$C$7,IF(Table1[[#This Row],[Fetal Sex (Male, Female or Unknown)]]="Unknown",Backend!$C$8,"Error"))),"")</f>
        <v/>
      </c>
      <c r="F4335" s="8" t="str">
        <f>IF(Table1[[#This Row],[Is Data Valid]]=TRUE,EXP(0.578+0.332*((Table1[[#This Row],[Gestation (days)]]+0.5)/7)-0.00354*((Table1[[#This Row],[Gestation (days)]]+0.5)/7)^2)*Table1[[#This Row],[BW40_3705]],"")</f>
        <v/>
      </c>
      <c r="G4335" s="2" t="str">
        <f>IF(Table1[[#This Row],[Is Data Valid]]=TRUE,((Table1[[#This Row],[Birthweight (grams)]]/Table1[[#This Row],[BW_GA]])-1)/(Backend!$B$4/100*Table1[[#This Row],[BW40_3705]]),"")</f>
        <v/>
      </c>
      <c r="H4335" s="7" t="str">
        <f>IF(Table1[[#This Row],[Is Data Valid]]=TRUE,((Table1[[#This Row],[Birthweight (grams)]]*0.9/Table1[[#This Row],[BW_GA]])-1)/(Backend!$B$4/100*Table1[[#This Row],[BW40_3705]]),"")</f>
        <v/>
      </c>
      <c r="I4335" s="7" t="str">
        <f>IF(Table1[[#This Row],[Is Data Valid]]=TRUE,((Table1[[#This Row],[Birthweight (grams)]]*1.1/Table1[[#This Row],[BW_GA]])-1)/(Backend!$B$4/100*Table1[[#This Row],[BW40_3705]]),"")</f>
        <v/>
      </c>
      <c r="J4335" s="7" t="str">
        <f>IF(Table1[[#This Row],[Is Data Valid]]=TRUE,_xlfn.NORM.S.DIST(Table1[[#This Row],[Birthweight Z-Score]],TRUE)*100,"")</f>
        <v/>
      </c>
      <c r="K4335" s="7" t="str">
        <f>IF(Table1[[#This Row],[Is Data Valid]]=TRUE,_xlfn.NORM.S.DIST(Table1[[#This Row],[Birthweight Z-Score (BW-10%)]],TRUE)*100,"")</f>
        <v/>
      </c>
      <c r="L4335" s="7" t="str">
        <f>IF(Table1[[#This Row],[Is Data Valid]]=TRUE,_xlfn.NORM.S.DIST(Table1[[#This Row],[Birthweight Z-Score (BW+10%)]],TRUE)*100,"")</f>
        <v/>
      </c>
    </row>
    <row r="4336" spans="1:12" x14ac:dyDescent="0.35">
      <c r="A4336" s="3"/>
      <c r="B4336" s="2"/>
      <c r="C4336" s="2"/>
      <c r="D4336" s="2" t="b">
        <f>IF(AND(NOT(ISBLANK(Table1[[#This Row],[Fetal Sex (Male, Female or Unknown)]])),ISNUMBER(Table1[[#This Row],[Birthweight (grams)]]),ISNUMBER(Table1[[#This Row],[Gestation (days)]])),TRUE,FALSE)</f>
        <v>0</v>
      </c>
      <c r="E4336" s="2" t="str">
        <f>IF(Table1[[#This Row],[Is Data Valid]]=TRUE,IF(Table1[[#This Row],[Fetal Sex (Male, Female or Unknown)]]="Male",Backend!$C$6,IF(Table1[[#This Row],[Fetal Sex (Male, Female or Unknown)]]="Female",Backend!$C$7,IF(Table1[[#This Row],[Fetal Sex (Male, Female or Unknown)]]="Unknown",Backend!$C$8,"Error"))),"")</f>
        <v/>
      </c>
      <c r="F4336" s="8" t="str">
        <f>IF(Table1[[#This Row],[Is Data Valid]]=TRUE,EXP(0.578+0.332*((Table1[[#This Row],[Gestation (days)]]+0.5)/7)-0.00354*((Table1[[#This Row],[Gestation (days)]]+0.5)/7)^2)*Table1[[#This Row],[BW40_3705]],"")</f>
        <v/>
      </c>
      <c r="G4336" s="2" t="str">
        <f>IF(Table1[[#This Row],[Is Data Valid]]=TRUE,((Table1[[#This Row],[Birthweight (grams)]]/Table1[[#This Row],[BW_GA]])-1)/(Backend!$B$4/100*Table1[[#This Row],[BW40_3705]]),"")</f>
        <v/>
      </c>
      <c r="H4336" s="7" t="str">
        <f>IF(Table1[[#This Row],[Is Data Valid]]=TRUE,((Table1[[#This Row],[Birthweight (grams)]]*0.9/Table1[[#This Row],[BW_GA]])-1)/(Backend!$B$4/100*Table1[[#This Row],[BW40_3705]]),"")</f>
        <v/>
      </c>
      <c r="I4336" s="7" t="str">
        <f>IF(Table1[[#This Row],[Is Data Valid]]=TRUE,((Table1[[#This Row],[Birthweight (grams)]]*1.1/Table1[[#This Row],[BW_GA]])-1)/(Backend!$B$4/100*Table1[[#This Row],[BW40_3705]]),"")</f>
        <v/>
      </c>
      <c r="J4336" s="7" t="str">
        <f>IF(Table1[[#This Row],[Is Data Valid]]=TRUE,_xlfn.NORM.S.DIST(Table1[[#This Row],[Birthweight Z-Score]],TRUE)*100,"")</f>
        <v/>
      </c>
      <c r="K4336" s="7" t="str">
        <f>IF(Table1[[#This Row],[Is Data Valid]]=TRUE,_xlfn.NORM.S.DIST(Table1[[#This Row],[Birthweight Z-Score (BW-10%)]],TRUE)*100,"")</f>
        <v/>
      </c>
      <c r="L4336" s="7" t="str">
        <f>IF(Table1[[#This Row],[Is Data Valid]]=TRUE,_xlfn.NORM.S.DIST(Table1[[#This Row],[Birthweight Z-Score (BW+10%)]],TRUE)*100,"")</f>
        <v/>
      </c>
    </row>
    <row r="4337" spans="1:12" x14ac:dyDescent="0.35">
      <c r="A4337" s="3"/>
      <c r="B4337" s="2"/>
      <c r="C4337" s="2"/>
      <c r="D4337" s="2" t="b">
        <f>IF(AND(NOT(ISBLANK(Table1[[#This Row],[Fetal Sex (Male, Female or Unknown)]])),ISNUMBER(Table1[[#This Row],[Birthweight (grams)]]),ISNUMBER(Table1[[#This Row],[Gestation (days)]])),TRUE,FALSE)</f>
        <v>0</v>
      </c>
      <c r="E4337" s="2" t="str">
        <f>IF(Table1[[#This Row],[Is Data Valid]]=TRUE,IF(Table1[[#This Row],[Fetal Sex (Male, Female or Unknown)]]="Male",Backend!$C$6,IF(Table1[[#This Row],[Fetal Sex (Male, Female or Unknown)]]="Female",Backend!$C$7,IF(Table1[[#This Row],[Fetal Sex (Male, Female or Unknown)]]="Unknown",Backend!$C$8,"Error"))),"")</f>
        <v/>
      </c>
      <c r="F4337" s="8" t="str">
        <f>IF(Table1[[#This Row],[Is Data Valid]]=TRUE,EXP(0.578+0.332*((Table1[[#This Row],[Gestation (days)]]+0.5)/7)-0.00354*((Table1[[#This Row],[Gestation (days)]]+0.5)/7)^2)*Table1[[#This Row],[BW40_3705]],"")</f>
        <v/>
      </c>
      <c r="G4337" s="2" t="str">
        <f>IF(Table1[[#This Row],[Is Data Valid]]=TRUE,((Table1[[#This Row],[Birthweight (grams)]]/Table1[[#This Row],[BW_GA]])-1)/(Backend!$B$4/100*Table1[[#This Row],[BW40_3705]]),"")</f>
        <v/>
      </c>
      <c r="H4337" s="7" t="str">
        <f>IF(Table1[[#This Row],[Is Data Valid]]=TRUE,((Table1[[#This Row],[Birthweight (grams)]]*0.9/Table1[[#This Row],[BW_GA]])-1)/(Backend!$B$4/100*Table1[[#This Row],[BW40_3705]]),"")</f>
        <v/>
      </c>
      <c r="I4337" s="7" t="str">
        <f>IF(Table1[[#This Row],[Is Data Valid]]=TRUE,((Table1[[#This Row],[Birthweight (grams)]]*1.1/Table1[[#This Row],[BW_GA]])-1)/(Backend!$B$4/100*Table1[[#This Row],[BW40_3705]]),"")</f>
        <v/>
      </c>
      <c r="J4337" s="7" t="str">
        <f>IF(Table1[[#This Row],[Is Data Valid]]=TRUE,_xlfn.NORM.S.DIST(Table1[[#This Row],[Birthweight Z-Score]],TRUE)*100,"")</f>
        <v/>
      </c>
      <c r="K4337" s="7" t="str">
        <f>IF(Table1[[#This Row],[Is Data Valid]]=TRUE,_xlfn.NORM.S.DIST(Table1[[#This Row],[Birthweight Z-Score (BW-10%)]],TRUE)*100,"")</f>
        <v/>
      </c>
      <c r="L4337" s="7" t="str">
        <f>IF(Table1[[#This Row],[Is Data Valid]]=TRUE,_xlfn.NORM.S.DIST(Table1[[#This Row],[Birthweight Z-Score (BW+10%)]],TRUE)*100,"")</f>
        <v/>
      </c>
    </row>
    <row r="4338" spans="1:12" x14ac:dyDescent="0.35">
      <c r="A4338" s="3"/>
      <c r="B4338" s="2"/>
      <c r="C4338" s="2"/>
      <c r="D4338" s="2" t="b">
        <f>IF(AND(NOT(ISBLANK(Table1[[#This Row],[Fetal Sex (Male, Female or Unknown)]])),ISNUMBER(Table1[[#This Row],[Birthweight (grams)]]),ISNUMBER(Table1[[#This Row],[Gestation (days)]])),TRUE,FALSE)</f>
        <v>0</v>
      </c>
      <c r="E4338" s="2" t="str">
        <f>IF(Table1[[#This Row],[Is Data Valid]]=TRUE,IF(Table1[[#This Row],[Fetal Sex (Male, Female or Unknown)]]="Male",Backend!$C$6,IF(Table1[[#This Row],[Fetal Sex (Male, Female or Unknown)]]="Female",Backend!$C$7,IF(Table1[[#This Row],[Fetal Sex (Male, Female or Unknown)]]="Unknown",Backend!$C$8,"Error"))),"")</f>
        <v/>
      </c>
      <c r="F4338" s="8" t="str">
        <f>IF(Table1[[#This Row],[Is Data Valid]]=TRUE,EXP(0.578+0.332*((Table1[[#This Row],[Gestation (days)]]+0.5)/7)-0.00354*((Table1[[#This Row],[Gestation (days)]]+0.5)/7)^2)*Table1[[#This Row],[BW40_3705]],"")</f>
        <v/>
      </c>
      <c r="G4338" s="2" t="str">
        <f>IF(Table1[[#This Row],[Is Data Valid]]=TRUE,((Table1[[#This Row],[Birthweight (grams)]]/Table1[[#This Row],[BW_GA]])-1)/(Backend!$B$4/100*Table1[[#This Row],[BW40_3705]]),"")</f>
        <v/>
      </c>
      <c r="H4338" s="7" t="str">
        <f>IF(Table1[[#This Row],[Is Data Valid]]=TRUE,((Table1[[#This Row],[Birthweight (grams)]]*0.9/Table1[[#This Row],[BW_GA]])-1)/(Backend!$B$4/100*Table1[[#This Row],[BW40_3705]]),"")</f>
        <v/>
      </c>
      <c r="I4338" s="7" t="str">
        <f>IF(Table1[[#This Row],[Is Data Valid]]=TRUE,((Table1[[#This Row],[Birthweight (grams)]]*1.1/Table1[[#This Row],[BW_GA]])-1)/(Backend!$B$4/100*Table1[[#This Row],[BW40_3705]]),"")</f>
        <v/>
      </c>
      <c r="J4338" s="7" t="str">
        <f>IF(Table1[[#This Row],[Is Data Valid]]=TRUE,_xlfn.NORM.S.DIST(Table1[[#This Row],[Birthweight Z-Score]],TRUE)*100,"")</f>
        <v/>
      </c>
      <c r="K4338" s="7" t="str">
        <f>IF(Table1[[#This Row],[Is Data Valid]]=TRUE,_xlfn.NORM.S.DIST(Table1[[#This Row],[Birthweight Z-Score (BW-10%)]],TRUE)*100,"")</f>
        <v/>
      </c>
      <c r="L4338" s="7" t="str">
        <f>IF(Table1[[#This Row],[Is Data Valid]]=TRUE,_xlfn.NORM.S.DIST(Table1[[#This Row],[Birthweight Z-Score (BW+10%)]],TRUE)*100,"")</f>
        <v/>
      </c>
    </row>
    <row r="4339" spans="1:12" x14ac:dyDescent="0.35">
      <c r="A4339" s="3"/>
      <c r="B4339" s="2"/>
      <c r="C4339" s="2"/>
      <c r="D4339" s="2" t="b">
        <f>IF(AND(NOT(ISBLANK(Table1[[#This Row],[Fetal Sex (Male, Female or Unknown)]])),ISNUMBER(Table1[[#This Row],[Birthweight (grams)]]),ISNUMBER(Table1[[#This Row],[Gestation (days)]])),TRUE,FALSE)</f>
        <v>0</v>
      </c>
      <c r="E4339" s="2" t="str">
        <f>IF(Table1[[#This Row],[Is Data Valid]]=TRUE,IF(Table1[[#This Row],[Fetal Sex (Male, Female or Unknown)]]="Male",Backend!$C$6,IF(Table1[[#This Row],[Fetal Sex (Male, Female or Unknown)]]="Female",Backend!$C$7,IF(Table1[[#This Row],[Fetal Sex (Male, Female or Unknown)]]="Unknown",Backend!$C$8,"Error"))),"")</f>
        <v/>
      </c>
      <c r="F4339" s="8" t="str">
        <f>IF(Table1[[#This Row],[Is Data Valid]]=TRUE,EXP(0.578+0.332*((Table1[[#This Row],[Gestation (days)]]+0.5)/7)-0.00354*((Table1[[#This Row],[Gestation (days)]]+0.5)/7)^2)*Table1[[#This Row],[BW40_3705]],"")</f>
        <v/>
      </c>
      <c r="G4339" s="2" t="str">
        <f>IF(Table1[[#This Row],[Is Data Valid]]=TRUE,((Table1[[#This Row],[Birthweight (grams)]]/Table1[[#This Row],[BW_GA]])-1)/(Backend!$B$4/100*Table1[[#This Row],[BW40_3705]]),"")</f>
        <v/>
      </c>
      <c r="H4339" s="7" t="str">
        <f>IF(Table1[[#This Row],[Is Data Valid]]=TRUE,((Table1[[#This Row],[Birthweight (grams)]]*0.9/Table1[[#This Row],[BW_GA]])-1)/(Backend!$B$4/100*Table1[[#This Row],[BW40_3705]]),"")</f>
        <v/>
      </c>
      <c r="I4339" s="7" t="str">
        <f>IF(Table1[[#This Row],[Is Data Valid]]=TRUE,((Table1[[#This Row],[Birthweight (grams)]]*1.1/Table1[[#This Row],[BW_GA]])-1)/(Backend!$B$4/100*Table1[[#This Row],[BW40_3705]]),"")</f>
        <v/>
      </c>
      <c r="J4339" s="7" t="str">
        <f>IF(Table1[[#This Row],[Is Data Valid]]=TRUE,_xlfn.NORM.S.DIST(Table1[[#This Row],[Birthweight Z-Score]],TRUE)*100,"")</f>
        <v/>
      </c>
      <c r="K4339" s="7" t="str">
        <f>IF(Table1[[#This Row],[Is Data Valid]]=TRUE,_xlfn.NORM.S.DIST(Table1[[#This Row],[Birthweight Z-Score (BW-10%)]],TRUE)*100,"")</f>
        <v/>
      </c>
      <c r="L4339" s="7" t="str">
        <f>IF(Table1[[#This Row],[Is Data Valid]]=TRUE,_xlfn.NORM.S.DIST(Table1[[#This Row],[Birthweight Z-Score (BW+10%)]],TRUE)*100,"")</f>
        <v/>
      </c>
    </row>
    <row r="4340" spans="1:12" x14ac:dyDescent="0.35">
      <c r="A4340" s="3"/>
      <c r="B4340" s="2"/>
      <c r="C4340" s="2"/>
      <c r="D4340" s="2" t="b">
        <f>IF(AND(NOT(ISBLANK(Table1[[#This Row],[Fetal Sex (Male, Female or Unknown)]])),ISNUMBER(Table1[[#This Row],[Birthweight (grams)]]),ISNUMBER(Table1[[#This Row],[Gestation (days)]])),TRUE,FALSE)</f>
        <v>0</v>
      </c>
      <c r="E4340" s="2" t="str">
        <f>IF(Table1[[#This Row],[Is Data Valid]]=TRUE,IF(Table1[[#This Row],[Fetal Sex (Male, Female or Unknown)]]="Male",Backend!$C$6,IF(Table1[[#This Row],[Fetal Sex (Male, Female or Unknown)]]="Female",Backend!$C$7,IF(Table1[[#This Row],[Fetal Sex (Male, Female or Unknown)]]="Unknown",Backend!$C$8,"Error"))),"")</f>
        <v/>
      </c>
      <c r="F4340" s="8" t="str">
        <f>IF(Table1[[#This Row],[Is Data Valid]]=TRUE,EXP(0.578+0.332*((Table1[[#This Row],[Gestation (days)]]+0.5)/7)-0.00354*((Table1[[#This Row],[Gestation (days)]]+0.5)/7)^2)*Table1[[#This Row],[BW40_3705]],"")</f>
        <v/>
      </c>
      <c r="G4340" s="2" t="str">
        <f>IF(Table1[[#This Row],[Is Data Valid]]=TRUE,((Table1[[#This Row],[Birthweight (grams)]]/Table1[[#This Row],[BW_GA]])-1)/(Backend!$B$4/100*Table1[[#This Row],[BW40_3705]]),"")</f>
        <v/>
      </c>
      <c r="H4340" s="7" t="str">
        <f>IF(Table1[[#This Row],[Is Data Valid]]=TRUE,((Table1[[#This Row],[Birthweight (grams)]]*0.9/Table1[[#This Row],[BW_GA]])-1)/(Backend!$B$4/100*Table1[[#This Row],[BW40_3705]]),"")</f>
        <v/>
      </c>
      <c r="I4340" s="7" t="str">
        <f>IF(Table1[[#This Row],[Is Data Valid]]=TRUE,((Table1[[#This Row],[Birthweight (grams)]]*1.1/Table1[[#This Row],[BW_GA]])-1)/(Backend!$B$4/100*Table1[[#This Row],[BW40_3705]]),"")</f>
        <v/>
      </c>
      <c r="J4340" s="7" t="str">
        <f>IF(Table1[[#This Row],[Is Data Valid]]=TRUE,_xlfn.NORM.S.DIST(Table1[[#This Row],[Birthweight Z-Score]],TRUE)*100,"")</f>
        <v/>
      </c>
      <c r="K4340" s="7" t="str">
        <f>IF(Table1[[#This Row],[Is Data Valid]]=TRUE,_xlfn.NORM.S.DIST(Table1[[#This Row],[Birthweight Z-Score (BW-10%)]],TRUE)*100,"")</f>
        <v/>
      </c>
      <c r="L4340" s="7" t="str">
        <f>IF(Table1[[#This Row],[Is Data Valid]]=TRUE,_xlfn.NORM.S.DIST(Table1[[#This Row],[Birthweight Z-Score (BW+10%)]],TRUE)*100,"")</f>
        <v/>
      </c>
    </row>
    <row r="4341" spans="1:12" x14ac:dyDescent="0.35">
      <c r="A4341" s="3"/>
      <c r="B4341" s="2"/>
      <c r="C4341" s="2"/>
      <c r="D4341" s="2" t="b">
        <f>IF(AND(NOT(ISBLANK(Table1[[#This Row],[Fetal Sex (Male, Female or Unknown)]])),ISNUMBER(Table1[[#This Row],[Birthweight (grams)]]),ISNUMBER(Table1[[#This Row],[Gestation (days)]])),TRUE,FALSE)</f>
        <v>0</v>
      </c>
      <c r="E4341" s="2" t="str">
        <f>IF(Table1[[#This Row],[Is Data Valid]]=TRUE,IF(Table1[[#This Row],[Fetal Sex (Male, Female or Unknown)]]="Male",Backend!$C$6,IF(Table1[[#This Row],[Fetal Sex (Male, Female or Unknown)]]="Female",Backend!$C$7,IF(Table1[[#This Row],[Fetal Sex (Male, Female or Unknown)]]="Unknown",Backend!$C$8,"Error"))),"")</f>
        <v/>
      </c>
      <c r="F4341" s="8" t="str">
        <f>IF(Table1[[#This Row],[Is Data Valid]]=TRUE,EXP(0.578+0.332*((Table1[[#This Row],[Gestation (days)]]+0.5)/7)-0.00354*((Table1[[#This Row],[Gestation (days)]]+0.5)/7)^2)*Table1[[#This Row],[BW40_3705]],"")</f>
        <v/>
      </c>
      <c r="G4341" s="2" t="str">
        <f>IF(Table1[[#This Row],[Is Data Valid]]=TRUE,((Table1[[#This Row],[Birthweight (grams)]]/Table1[[#This Row],[BW_GA]])-1)/(Backend!$B$4/100*Table1[[#This Row],[BW40_3705]]),"")</f>
        <v/>
      </c>
      <c r="H4341" s="7" t="str">
        <f>IF(Table1[[#This Row],[Is Data Valid]]=TRUE,((Table1[[#This Row],[Birthweight (grams)]]*0.9/Table1[[#This Row],[BW_GA]])-1)/(Backend!$B$4/100*Table1[[#This Row],[BW40_3705]]),"")</f>
        <v/>
      </c>
      <c r="I4341" s="7" t="str">
        <f>IF(Table1[[#This Row],[Is Data Valid]]=TRUE,((Table1[[#This Row],[Birthweight (grams)]]*1.1/Table1[[#This Row],[BW_GA]])-1)/(Backend!$B$4/100*Table1[[#This Row],[BW40_3705]]),"")</f>
        <v/>
      </c>
      <c r="J4341" s="7" t="str">
        <f>IF(Table1[[#This Row],[Is Data Valid]]=TRUE,_xlfn.NORM.S.DIST(Table1[[#This Row],[Birthweight Z-Score]],TRUE)*100,"")</f>
        <v/>
      </c>
      <c r="K4341" s="7" t="str">
        <f>IF(Table1[[#This Row],[Is Data Valid]]=TRUE,_xlfn.NORM.S.DIST(Table1[[#This Row],[Birthweight Z-Score (BW-10%)]],TRUE)*100,"")</f>
        <v/>
      </c>
      <c r="L4341" s="7" t="str">
        <f>IF(Table1[[#This Row],[Is Data Valid]]=TRUE,_xlfn.NORM.S.DIST(Table1[[#This Row],[Birthweight Z-Score (BW+10%)]],TRUE)*100,"")</f>
        <v/>
      </c>
    </row>
    <row r="4342" spans="1:12" x14ac:dyDescent="0.35">
      <c r="A4342" s="3"/>
      <c r="B4342" s="2"/>
      <c r="C4342" s="2"/>
      <c r="D4342" s="2" t="b">
        <f>IF(AND(NOT(ISBLANK(Table1[[#This Row],[Fetal Sex (Male, Female or Unknown)]])),ISNUMBER(Table1[[#This Row],[Birthweight (grams)]]),ISNUMBER(Table1[[#This Row],[Gestation (days)]])),TRUE,FALSE)</f>
        <v>0</v>
      </c>
      <c r="E4342" s="2" t="str">
        <f>IF(Table1[[#This Row],[Is Data Valid]]=TRUE,IF(Table1[[#This Row],[Fetal Sex (Male, Female or Unknown)]]="Male",Backend!$C$6,IF(Table1[[#This Row],[Fetal Sex (Male, Female or Unknown)]]="Female",Backend!$C$7,IF(Table1[[#This Row],[Fetal Sex (Male, Female or Unknown)]]="Unknown",Backend!$C$8,"Error"))),"")</f>
        <v/>
      </c>
      <c r="F4342" s="8" t="str">
        <f>IF(Table1[[#This Row],[Is Data Valid]]=TRUE,EXP(0.578+0.332*((Table1[[#This Row],[Gestation (days)]]+0.5)/7)-0.00354*((Table1[[#This Row],[Gestation (days)]]+0.5)/7)^2)*Table1[[#This Row],[BW40_3705]],"")</f>
        <v/>
      </c>
      <c r="G4342" s="2" t="str">
        <f>IF(Table1[[#This Row],[Is Data Valid]]=TRUE,((Table1[[#This Row],[Birthweight (grams)]]/Table1[[#This Row],[BW_GA]])-1)/(Backend!$B$4/100*Table1[[#This Row],[BW40_3705]]),"")</f>
        <v/>
      </c>
      <c r="H4342" s="7" t="str">
        <f>IF(Table1[[#This Row],[Is Data Valid]]=TRUE,((Table1[[#This Row],[Birthweight (grams)]]*0.9/Table1[[#This Row],[BW_GA]])-1)/(Backend!$B$4/100*Table1[[#This Row],[BW40_3705]]),"")</f>
        <v/>
      </c>
      <c r="I4342" s="7" t="str">
        <f>IF(Table1[[#This Row],[Is Data Valid]]=TRUE,((Table1[[#This Row],[Birthweight (grams)]]*1.1/Table1[[#This Row],[BW_GA]])-1)/(Backend!$B$4/100*Table1[[#This Row],[BW40_3705]]),"")</f>
        <v/>
      </c>
      <c r="J4342" s="7" t="str">
        <f>IF(Table1[[#This Row],[Is Data Valid]]=TRUE,_xlfn.NORM.S.DIST(Table1[[#This Row],[Birthweight Z-Score]],TRUE)*100,"")</f>
        <v/>
      </c>
      <c r="K4342" s="7" t="str">
        <f>IF(Table1[[#This Row],[Is Data Valid]]=TRUE,_xlfn.NORM.S.DIST(Table1[[#This Row],[Birthweight Z-Score (BW-10%)]],TRUE)*100,"")</f>
        <v/>
      </c>
      <c r="L4342" s="7" t="str">
        <f>IF(Table1[[#This Row],[Is Data Valid]]=TRUE,_xlfn.NORM.S.DIST(Table1[[#This Row],[Birthweight Z-Score (BW+10%)]],TRUE)*100,"")</f>
        <v/>
      </c>
    </row>
    <row r="4343" spans="1:12" x14ac:dyDescent="0.35">
      <c r="A4343" s="3"/>
      <c r="B4343" s="2"/>
      <c r="C4343" s="2"/>
      <c r="D4343" s="2" t="b">
        <f>IF(AND(NOT(ISBLANK(Table1[[#This Row],[Fetal Sex (Male, Female or Unknown)]])),ISNUMBER(Table1[[#This Row],[Birthweight (grams)]]),ISNUMBER(Table1[[#This Row],[Gestation (days)]])),TRUE,FALSE)</f>
        <v>0</v>
      </c>
      <c r="E4343" s="2" t="str">
        <f>IF(Table1[[#This Row],[Is Data Valid]]=TRUE,IF(Table1[[#This Row],[Fetal Sex (Male, Female or Unknown)]]="Male",Backend!$C$6,IF(Table1[[#This Row],[Fetal Sex (Male, Female or Unknown)]]="Female",Backend!$C$7,IF(Table1[[#This Row],[Fetal Sex (Male, Female or Unknown)]]="Unknown",Backend!$C$8,"Error"))),"")</f>
        <v/>
      </c>
      <c r="F4343" s="8" t="str">
        <f>IF(Table1[[#This Row],[Is Data Valid]]=TRUE,EXP(0.578+0.332*((Table1[[#This Row],[Gestation (days)]]+0.5)/7)-0.00354*((Table1[[#This Row],[Gestation (days)]]+0.5)/7)^2)*Table1[[#This Row],[BW40_3705]],"")</f>
        <v/>
      </c>
      <c r="G4343" s="2" t="str">
        <f>IF(Table1[[#This Row],[Is Data Valid]]=TRUE,((Table1[[#This Row],[Birthweight (grams)]]/Table1[[#This Row],[BW_GA]])-1)/(Backend!$B$4/100*Table1[[#This Row],[BW40_3705]]),"")</f>
        <v/>
      </c>
      <c r="H4343" s="7" t="str">
        <f>IF(Table1[[#This Row],[Is Data Valid]]=TRUE,((Table1[[#This Row],[Birthweight (grams)]]*0.9/Table1[[#This Row],[BW_GA]])-1)/(Backend!$B$4/100*Table1[[#This Row],[BW40_3705]]),"")</f>
        <v/>
      </c>
      <c r="I4343" s="7" t="str">
        <f>IF(Table1[[#This Row],[Is Data Valid]]=TRUE,((Table1[[#This Row],[Birthweight (grams)]]*1.1/Table1[[#This Row],[BW_GA]])-1)/(Backend!$B$4/100*Table1[[#This Row],[BW40_3705]]),"")</f>
        <v/>
      </c>
      <c r="J4343" s="7" t="str">
        <f>IF(Table1[[#This Row],[Is Data Valid]]=TRUE,_xlfn.NORM.S.DIST(Table1[[#This Row],[Birthweight Z-Score]],TRUE)*100,"")</f>
        <v/>
      </c>
      <c r="K4343" s="7" t="str">
        <f>IF(Table1[[#This Row],[Is Data Valid]]=TRUE,_xlfn.NORM.S.DIST(Table1[[#This Row],[Birthweight Z-Score (BW-10%)]],TRUE)*100,"")</f>
        <v/>
      </c>
      <c r="L4343" s="7" t="str">
        <f>IF(Table1[[#This Row],[Is Data Valid]]=TRUE,_xlfn.NORM.S.DIST(Table1[[#This Row],[Birthweight Z-Score (BW+10%)]],TRUE)*100,"")</f>
        <v/>
      </c>
    </row>
    <row r="4344" spans="1:12" x14ac:dyDescent="0.35">
      <c r="A4344" s="3"/>
      <c r="B4344" s="2"/>
      <c r="C4344" s="2"/>
      <c r="D4344" s="2" t="b">
        <f>IF(AND(NOT(ISBLANK(Table1[[#This Row],[Fetal Sex (Male, Female or Unknown)]])),ISNUMBER(Table1[[#This Row],[Birthweight (grams)]]),ISNUMBER(Table1[[#This Row],[Gestation (days)]])),TRUE,FALSE)</f>
        <v>0</v>
      </c>
      <c r="E4344" s="2" t="str">
        <f>IF(Table1[[#This Row],[Is Data Valid]]=TRUE,IF(Table1[[#This Row],[Fetal Sex (Male, Female or Unknown)]]="Male",Backend!$C$6,IF(Table1[[#This Row],[Fetal Sex (Male, Female or Unknown)]]="Female",Backend!$C$7,IF(Table1[[#This Row],[Fetal Sex (Male, Female or Unknown)]]="Unknown",Backend!$C$8,"Error"))),"")</f>
        <v/>
      </c>
      <c r="F4344" s="8" t="str">
        <f>IF(Table1[[#This Row],[Is Data Valid]]=TRUE,EXP(0.578+0.332*((Table1[[#This Row],[Gestation (days)]]+0.5)/7)-0.00354*((Table1[[#This Row],[Gestation (days)]]+0.5)/7)^2)*Table1[[#This Row],[BW40_3705]],"")</f>
        <v/>
      </c>
      <c r="G4344" s="2" t="str">
        <f>IF(Table1[[#This Row],[Is Data Valid]]=TRUE,((Table1[[#This Row],[Birthweight (grams)]]/Table1[[#This Row],[BW_GA]])-1)/(Backend!$B$4/100*Table1[[#This Row],[BW40_3705]]),"")</f>
        <v/>
      </c>
      <c r="H4344" s="7" t="str">
        <f>IF(Table1[[#This Row],[Is Data Valid]]=TRUE,((Table1[[#This Row],[Birthweight (grams)]]*0.9/Table1[[#This Row],[BW_GA]])-1)/(Backend!$B$4/100*Table1[[#This Row],[BW40_3705]]),"")</f>
        <v/>
      </c>
      <c r="I4344" s="7" t="str">
        <f>IF(Table1[[#This Row],[Is Data Valid]]=TRUE,((Table1[[#This Row],[Birthweight (grams)]]*1.1/Table1[[#This Row],[BW_GA]])-1)/(Backend!$B$4/100*Table1[[#This Row],[BW40_3705]]),"")</f>
        <v/>
      </c>
      <c r="J4344" s="7" t="str">
        <f>IF(Table1[[#This Row],[Is Data Valid]]=TRUE,_xlfn.NORM.S.DIST(Table1[[#This Row],[Birthweight Z-Score]],TRUE)*100,"")</f>
        <v/>
      </c>
      <c r="K4344" s="7" t="str">
        <f>IF(Table1[[#This Row],[Is Data Valid]]=TRUE,_xlfn.NORM.S.DIST(Table1[[#This Row],[Birthweight Z-Score (BW-10%)]],TRUE)*100,"")</f>
        <v/>
      </c>
      <c r="L4344" s="7" t="str">
        <f>IF(Table1[[#This Row],[Is Data Valid]]=TRUE,_xlfn.NORM.S.DIST(Table1[[#This Row],[Birthweight Z-Score (BW+10%)]],TRUE)*100,"")</f>
        <v/>
      </c>
    </row>
    <row r="4345" spans="1:12" x14ac:dyDescent="0.35">
      <c r="A4345" s="3"/>
      <c r="B4345" s="2"/>
      <c r="C4345" s="2"/>
      <c r="D4345" s="2" t="b">
        <f>IF(AND(NOT(ISBLANK(Table1[[#This Row],[Fetal Sex (Male, Female or Unknown)]])),ISNUMBER(Table1[[#This Row],[Birthweight (grams)]]),ISNUMBER(Table1[[#This Row],[Gestation (days)]])),TRUE,FALSE)</f>
        <v>0</v>
      </c>
      <c r="E4345" s="2" t="str">
        <f>IF(Table1[[#This Row],[Is Data Valid]]=TRUE,IF(Table1[[#This Row],[Fetal Sex (Male, Female or Unknown)]]="Male",Backend!$C$6,IF(Table1[[#This Row],[Fetal Sex (Male, Female or Unknown)]]="Female",Backend!$C$7,IF(Table1[[#This Row],[Fetal Sex (Male, Female or Unknown)]]="Unknown",Backend!$C$8,"Error"))),"")</f>
        <v/>
      </c>
      <c r="F4345" s="8" t="str">
        <f>IF(Table1[[#This Row],[Is Data Valid]]=TRUE,EXP(0.578+0.332*((Table1[[#This Row],[Gestation (days)]]+0.5)/7)-0.00354*((Table1[[#This Row],[Gestation (days)]]+0.5)/7)^2)*Table1[[#This Row],[BW40_3705]],"")</f>
        <v/>
      </c>
      <c r="G4345" s="2" t="str">
        <f>IF(Table1[[#This Row],[Is Data Valid]]=TRUE,((Table1[[#This Row],[Birthweight (grams)]]/Table1[[#This Row],[BW_GA]])-1)/(Backend!$B$4/100*Table1[[#This Row],[BW40_3705]]),"")</f>
        <v/>
      </c>
      <c r="H4345" s="7" t="str">
        <f>IF(Table1[[#This Row],[Is Data Valid]]=TRUE,((Table1[[#This Row],[Birthweight (grams)]]*0.9/Table1[[#This Row],[BW_GA]])-1)/(Backend!$B$4/100*Table1[[#This Row],[BW40_3705]]),"")</f>
        <v/>
      </c>
      <c r="I4345" s="7" t="str">
        <f>IF(Table1[[#This Row],[Is Data Valid]]=TRUE,((Table1[[#This Row],[Birthweight (grams)]]*1.1/Table1[[#This Row],[BW_GA]])-1)/(Backend!$B$4/100*Table1[[#This Row],[BW40_3705]]),"")</f>
        <v/>
      </c>
      <c r="J4345" s="7" t="str">
        <f>IF(Table1[[#This Row],[Is Data Valid]]=TRUE,_xlfn.NORM.S.DIST(Table1[[#This Row],[Birthweight Z-Score]],TRUE)*100,"")</f>
        <v/>
      </c>
      <c r="K4345" s="7" t="str">
        <f>IF(Table1[[#This Row],[Is Data Valid]]=TRUE,_xlfn.NORM.S.DIST(Table1[[#This Row],[Birthweight Z-Score (BW-10%)]],TRUE)*100,"")</f>
        <v/>
      </c>
      <c r="L4345" s="7" t="str">
        <f>IF(Table1[[#This Row],[Is Data Valid]]=TRUE,_xlfn.NORM.S.DIST(Table1[[#This Row],[Birthweight Z-Score (BW+10%)]],TRUE)*100,"")</f>
        <v/>
      </c>
    </row>
    <row r="4346" spans="1:12" x14ac:dyDescent="0.35">
      <c r="A4346" s="3"/>
      <c r="B4346" s="2"/>
      <c r="C4346" s="2"/>
      <c r="D4346" s="2" t="b">
        <f>IF(AND(NOT(ISBLANK(Table1[[#This Row],[Fetal Sex (Male, Female or Unknown)]])),ISNUMBER(Table1[[#This Row],[Birthweight (grams)]]),ISNUMBER(Table1[[#This Row],[Gestation (days)]])),TRUE,FALSE)</f>
        <v>0</v>
      </c>
      <c r="E4346" s="2" t="str">
        <f>IF(Table1[[#This Row],[Is Data Valid]]=TRUE,IF(Table1[[#This Row],[Fetal Sex (Male, Female or Unknown)]]="Male",Backend!$C$6,IF(Table1[[#This Row],[Fetal Sex (Male, Female or Unknown)]]="Female",Backend!$C$7,IF(Table1[[#This Row],[Fetal Sex (Male, Female or Unknown)]]="Unknown",Backend!$C$8,"Error"))),"")</f>
        <v/>
      </c>
      <c r="F4346" s="8" t="str">
        <f>IF(Table1[[#This Row],[Is Data Valid]]=TRUE,EXP(0.578+0.332*((Table1[[#This Row],[Gestation (days)]]+0.5)/7)-0.00354*((Table1[[#This Row],[Gestation (days)]]+0.5)/7)^2)*Table1[[#This Row],[BW40_3705]],"")</f>
        <v/>
      </c>
      <c r="G4346" s="2" t="str">
        <f>IF(Table1[[#This Row],[Is Data Valid]]=TRUE,((Table1[[#This Row],[Birthweight (grams)]]/Table1[[#This Row],[BW_GA]])-1)/(Backend!$B$4/100*Table1[[#This Row],[BW40_3705]]),"")</f>
        <v/>
      </c>
      <c r="H4346" s="7" t="str">
        <f>IF(Table1[[#This Row],[Is Data Valid]]=TRUE,((Table1[[#This Row],[Birthweight (grams)]]*0.9/Table1[[#This Row],[BW_GA]])-1)/(Backend!$B$4/100*Table1[[#This Row],[BW40_3705]]),"")</f>
        <v/>
      </c>
      <c r="I4346" s="7" t="str">
        <f>IF(Table1[[#This Row],[Is Data Valid]]=TRUE,((Table1[[#This Row],[Birthweight (grams)]]*1.1/Table1[[#This Row],[BW_GA]])-1)/(Backend!$B$4/100*Table1[[#This Row],[BW40_3705]]),"")</f>
        <v/>
      </c>
      <c r="J4346" s="7" t="str">
        <f>IF(Table1[[#This Row],[Is Data Valid]]=TRUE,_xlfn.NORM.S.DIST(Table1[[#This Row],[Birthweight Z-Score]],TRUE)*100,"")</f>
        <v/>
      </c>
      <c r="K4346" s="7" t="str">
        <f>IF(Table1[[#This Row],[Is Data Valid]]=TRUE,_xlfn.NORM.S.DIST(Table1[[#This Row],[Birthweight Z-Score (BW-10%)]],TRUE)*100,"")</f>
        <v/>
      </c>
      <c r="L4346" s="7" t="str">
        <f>IF(Table1[[#This Row],[Is Data Valid]]=TRUE,_xlfn.NORM.S.DIST(Table1[[#This Row],[Birthweight Z-Score (BW+10%)]],TRUE)*100,"")</f>
        <v/>
      </c>
    </row>
    <row r="4347" spans="1:12" x14ac:dyDescent="0.35">
      <c r="A4347" s="3"/>
      <c r="B4347" s="2"/>
      <c r="C4347" s="2"/>
      <c r="D4347" s="2" t="b">
        <f>IF(AND(NOT(ISBLANK(Table1[[#This Row],[Fetal Sex (Male, Female or Unknown)]])),ISNUMBER(Table1[[#This Row],[Birthweight (grams)]]),ISNUMBER(Table1[[#This Row],[Gestation (days)]])),TRUE,FALSE)</f>
        <v>0</v>
      </c>
      <c r="E4347" s="2" t="str">
        <f>IF(Table1[[#This Row],[Is Data Valid]]=TRUE,IF(Table1[[#This Row],[Fetal Sex (Male, Female or Unknown)]]="Male",Backend!$C$6,IF(Table1[[#This Row],[Fetal Sex (Male, Female or Unknown)]]="Female",Backend!$C$7,IF(Table1[[#This Row],[Fetal Sex (Male, Female or Unknown)]]="Unknown",Backend!$C$8,"Error"))),"")</f>
        <v/>
      </c>
      <c r="F4347" s="8" t="str">
        <f>IF(Table1[[#This Row],[Is Data Valid]]=TRUE,EXP(0.578+0.332*((Table1[[#This Row],[Gestation (days)]]+0.5)/7)-0.00354*((Table1[[#This Row],[Gestation (days)]]+0.5)/7)^2)*Table1[[#This Row],[BW40_3705]],"")</f>
        <v/>
      </c>
      <c r="G4347" s="2" t="str">
        <f>IF(Table1[[#This Row],[Is Data Valid]]=TRUE,((Table1[[#This Row],[Birthweight (grams)]]/Table1[[#This Row],[BW_GA]])-1)/(Backend!$B$4/100*Table1[[#This Row],[BW40_3705]]),"")</f>
        <v/>
      </c>
      <c r="H4347" s="7" t="str">
        <f>IF(Table1[[#This Row],[Is Data Valid]]=TRUE,((Table1[[#This Row],[Birthweight (grams)]]*0.9/Table1[[#This Row],[BW_GA]])-1)/(Backend!$B$4/100*Table1[[#This Row],[BW40_3705]]),"")</f>
        <v/>
      </c>
      <c r="I4347" s="7" t="str">
        <f>IF(Table1[[#This Row],[Is Data Valid]]=TRUE,((Table1[[#This Row],[Birthweight (grams)]]*1.1/Table1[[#This Row],[BW_GA]])-1)/(Backend!$B$4/100*Table1[[#This Row],[BW40_3705]]),"")</f>
        <v/>
      </c>
      <c r="J4347" s="7" t="str">
        <f>IF(Table1[[#This Row],[Is Data Valid]]=TRUE,_xlfn.NORM.S.DIST(Table1[[#This Row],[Birthweight Z-Score]],TRUE)*100,"")</f>
        <v/>
      </c>
      <c r="K4347" s="7" t="str">
        <f>IF(Table1[[#This Row],[Is Data Valid]]=TRUE,_xlfn.NORM.S.DIST(Table1[[#This Row],[Birthweight Z-Score (BW-10%)]],TRUE)*100,"")</f>
        <v/>
      </c>
      <c r="L4347" s="7" t="str">
        <f>IF(Table1[[#This Row],[Is Data Valid]]=TRUE,_xlfn.NORM.S.DIST(Table1[[#This Row],[Birthweight Z-Score (BW+10%)]],TRUE)*100,"")</f>
        <v/>
      </c>
    </row>
    <row r="4348" spans="1:12" x14ac:dyDescent="0.35">
      <c r="A4348" s="3"/>
      <c r="B4348" s="2"/>
      <c r="C4348" s="2"/>
      <c r="D4348" s="2" t="b">
        <f>IF(AND(NOT(ISBLANK(Table1[[#This Row],[Fetal Sex (Male, Female or Unknown)]])),ISNUMBER(Table1[[#This Row],[Birthweight (grams)]]),ISNUMBER(Table1[[#This Row],[Gestation (days)]])),TRUE,FALSE)</f>
        <v>0</v>
      </c>
      <c r="E4348" s="2" t="str">
        <f>IF(Table1[[#This Row],[Is Data Valid]]=TRUE,IF(Table1[[#This Row],[Fetal Sex (Male, Female or Unknown)]]="Male",Backend!$C$6,IF(Table1[[#This Row],[Fetal Sex (Male, Female or Unknown)]]="Female",Backend!$C$7,IF(Table1[[#This Row],[Fetal Sex (Male, Female or Unknown)]]="Unknown",Backend!$C$8,"Error"))),"")</f>
        <v/>
      </c>
      <c r="F4348" s="8" t="str">
        <f>IF(Table1[[#This Row],[Is Data Valid]]=TRUE,EXP(0.578+0.332*((Table1[[#This Row],[Gestation (days)]]+0.5)/7)-0.00354*((Table1[[#This Row],[Gestation (days)]]+0.5)/7)^2)*Table1[[#This Row],[BW40_3705]],"")</f>
        <v/>
      </c>
      <c r="G4348" s="2" t="str">
        <f>IF(Table1[[#This Row],[Is Data Valid]]=TRUE,((Table1[[#This Row],[Birthweight (grams)]]/Table1[[#This Row],[BW_GA]])-1)/(Backend!$B$4/100*Table1[[#This Row],[BW40_3705]]),"")</f>
        <v/>
      </c>
      <c r="H4348" s="7" t="str">
        <f>IF(Table1[[#This Row],[Is Data Valid]]=TRUE,((Table1[[#This Row],[Birthweight (grams)]]*0.9/Table1[[#This Row],[BW_GA]])-1)/(Backend!$B$4/100*Table1[[#This Row],[BW40_3705]]),"")</f>
        <v/>
      </c>
      <c r="I4348" s="7" t="str">
        <f>IF(Table1[[#This Row],[Is Data Valid]]=TRUE,((Table1[[#This Row],[Birthweight (grams)]]*1.1/Table1[[#This Row],[BW_GA]])-1)/(Backend!$B$4/100*Table1[[#This Row],[BW40_3705]]),"")</f>
        <v/>
      </c>
      <c r="J4348" s="7" t="str">
        <f>IF(Table1[[#This Row],[Is Data Valid]]=TRUE,_xlfn.NORM.S.DIST(Table1[[#This Row],[Birthweight Z-Score]],TRUE)*100,"")</f>
        <v/>
      </c>
      <c r="K4348" s="7" t="str">
        <f>IF(Table1[[#This Row],[Is Data Valid]]=TRUE,_xlfn.NORM.S.DIST(Table1[[#This Row],[Birthweight Z-Score (BW-10%)]],TRUE)*100,"")</f>
        <v/>
      </c>
      <c r="L4348" s="7" t="str">
        <f>IF(Table1[[#This Row],[Is Data Valid]]=TRUE,_xlfn.NORM.S.DIST(Table1[[#This Row],[Birthweight Z-Score (BW+10%)]],TRUE)*100,"")</f>
        <v/>
      </c>
    </row>
    <row r="4349" spans="1:12" x14ac:dyDescent="0.35">
      <c r="A4349" s="3"/>
      <c r="B4349" s="2"/>
      <c r="C4349" s="2"/>
      <c r="D4349" s="2" t="b">
        <f>IF(AND(NOT(ISBLANK(Table1[[#This Row],[Fetal Sex (Male, Female or Unknown)]])),ISNUMBER(Table1[[#This Row],[Birthweight (grams)]]),ISNUMBER(Table1[[#This Row],[Gestation (days)]])),TRUE,FALSE)</f>
        <v>0</v>
      </c>
      <c r="E4349" s="2" t="str">
        <f>IF(Table1[[#This Row],[Is Data Valid]]=TRUE,IF(Table1[[#This Row],[Fetal Sex (Male, Female or Unknown)]]="Male",Backend!$C$6,IF(Table1[[#This Row],[Fetal Sex (Male, Female or Unknown)]]="Female",Backend!$C$7,IF(Table1[[#This Row],[Fetal Sex (Male, Female or Unknown)]]="Unknown",Backend!$C$8,"Error"))),"")</f>
        <v/>
      </c>
      <c r="F4349" s="8" t="str">
        <f>IF(Table1[[#This Row],[Is Data Valid]]=TRUE,EXP(0.578+0.332*((Table1[[#This Row],[Gestation (days)]]+0.5)/7)-0.00354*((Table1[[#This Row],[Gestation (days)]]+0.5)/7)^2)*Table1[[#This Row],[BW40_3705]],"")</f>
        <v/>
      </c>
      <c r="G4349" s="2" t="str">
        <f>IF(Table1[[#This Row],[Is Data Valid]]=TRUE,((Table1[[#This Row],[Birthweight (grams)]]/Table1[[#This Row],[BW_GA]])-1)/(Backend!$B$4/100*Table1[[#This Row],[BW40_3705]]),"")</f>
        <v/>
      </c>
      <c r="H4349" s="7" t="str">
        <f>IF(Table1[[#This Row],[Is Data Valid]]=TRUE,((Table1[[#This Row],[Birthweight (grams)]]*0.9/Table1[[#This Row],[BW_GA]])-1)/(Backend!$B$4/100*Table1[[#This Row],[BW40_3705]]),"")</f>
        <v/>
      </c>
      <c r="I4349" s="7" t="str">
        <f>IF(Table1[[#This Row],[Is Data Valid]]=TRUE,((Table1[[#This Row],[Birthweight (grams)]]*1.1/Table1[[#This Row],[BW_GA]])-1)/(Backend!$B$4/100*Table1[[#This Row],[BW40_3705]]),"")</f>
        <v/>
      </c>
      <c r="J4349" s="7" t="str">
        <f>IF(Table1[[#This Row],[Is Data Valid]]=TRUE,_xlfn.NORM.S.DIST(Table1[[#This Row],[Birthweight Z-Score]],TRUE)*100,"")</f>
        <v/>
      </c>
      <c r="K4349" s="7" t="str">
        <f>IF(Table1[[#This Row],[Is Data Valid]]=TRUE,_xlfn.NORM.S.DIST(Table1[[#This Row],[Birthweight Z-Score (BW-10%)]],TRUE)*100,"")</f>
        <v/>
      </c>
      <c r="L4349" s="7" t="str">
        <f>IF(Table1[[#This Row],[Is Data Valid]]=TRUE,_xlfn.NORM.S.DIST(Table1[[#This Row],[Birthweight Z-Score (BW+10%)]],TRUE)*100,"")</f>
        <v/>
      </c>
    </row>
    <row r="4350" spans="1:12" x14ac:dyDescent="0.35">
      <c r="A4350" s="3"/>
      <c r="B4350" s="2"/>
      <c r="C4350" s="2"/>
      <c r="D4350" s="2" t="b">
        <f>IF(AND(NOT(ISBLANK(Table1[[#This Row],[Fetal Sex (Male, Female or Unknown)]])),ISNUMBER(Table1[[#This Row],[Birthweight (grams)]]),ISNUMBER(Table1[[#This Row],[Gestation (days)]])),TRUE,FALSE)</f>
        <v>0</v>
      </c>
      <c r="E4350" s="2" t="str">
        <f>IF(Table1[[#This Row],[Is Data Valid]]=TRUE,IF(Table1[[#This Row],[Fetal Sex (Male, Female or Unknown)]]="Male",Backend!$C$6,IF(Table1[[#This Row],[Fetal Sex (Male, Female or Unknown)]]="Female",Backend!$C$7,IF(Table1[[#This Row],[Fetal Sex (Male, Female or Unknown)]]="Unknown",Backend!$C$8,"Error"))),"")</f>
        <v/>
      </c>
      <c r="F4350" s="8" t="str">
        <f>IF(Table1[[#This Row],[Is Data Valid]]=TRUE,EXP(0.578+0.332*((Table1[[#This Row],[Gestation (days)]]+0.5)/7)-0.00354*((Table1[[#This Row],[Gestation (days)]]+0.5)/7)^2)*Table1[[#This Row],[BW40_3705]],"")</f>
        <v/>
      </c>
      <c r="G4350" s="2" t="str">
        <f>IF(Table1[[#This Row],[Is Data Valid]]=TRUE,((Table1[[#This Row],[Birthweight (grams)]]/Table1[[#This Row],[BW_GA]])-1)/(Backend!$B$4/100*Table1[[#This Row],[BW40_3705]]),"")</f>
        <v/>
      </c>
      <c r="H4350" s="7" t="str">
        <f>IF(Table1[[#This Row],[Is Data Valid]]=TRUE,((Table1[[#This Row],[Birthweight (grams)]]*0.9/Table1[[#This Row],[BW_GA]])-1)/(Backend!$B$4/100*Table1[[#This Row],[BW40_3705]]),"")</f>
        <v/>
      </c>
      <c r="I4350" s="7" t="str">
        <f>IF(Table1[[#This Row],[Is Data Valid]]=TRUE,((Table1[[#This Row],[Birthweight (grams)]]*1.1/Table1[[#This Row],[BW_GA]])-1)/(Backend!$B$4/100*Table1[[#This Row],[BW40_3705]]),"")</f>
        <v/>
      </c>
      <c r="J4350" s="7" t="str">
        <f>IF(Table1[[#This Row],[Is Data Valid]]=TRUE,_xlfn.NORM.S.DIST(Table1[[#This Row],[Birthweight Z-Score]],TRUE)*100,"")</f>
        <v/>
      </c>
      <c r="K4350" s="7" t="str">
        <f>IF(Table1[[#This Row],[Is Data Valid]]=TRUE,_xlfn.NORM.S.DIST(Table1[[#This Row],[Birthweight Z-Score (BW-10%)]],TRUE)*100,"")</f>
        <v/>
      </c>
      <c r="L4350" s="7" t="str">
        <f>IF(Table1[[#This Row],[Is Data Valid]]=TRUE,_xlfn.NORM.S.DIST(Table1[[#This Row],[Birthweight Z-Score (BW+10%)]],TRUE)*100,"")</f>
        <v/>
      </c>
    </row>
    <row r="4351" spans="1:12" x14ac:dyDescent="0.35">
      <c r="A4351" s="3"/>
      <c r="B4351" s="2"/>
      <c r="C4351" s="2"/>
      <c r="D4351" s="2" t="b">
        <f>IF(AND(NOT(ISBLANK(Table1[[#This Row],[Fetal Sex (Male, Female or Unknown)]])),ISNUMBER(Table1[[#This Row],[Birthweight (grams)]]),ISNUMBER(Table1[[#This Row],[Gestation (days)]])),TRUE,FALSE)</f>
        <v>0</v>
      </c>
      <c r="E4351" s="2" t="str">
        <f>IF(Table1[[#This Row],[Is Data Valid]]=TRUE,IF(Table1[[#This Row],[Fetal Sex (Male, Female or Unknown)]]="Male",Backend!$C$6,IF(Table1[[#This Row],[Fetal Sex (Male, Female or Unknown)]]="Female",Backend!$C$7,IF(Table1[[#This Row],[Fetal Sex (Male, Female or Unknown)]]="Unknown",Backend!$C$8,"Error"))),"")</f>
        <v/>
      </c>
      <c r="F4351" s="8" t="str">
        <f>IF(Table1[[#This Row],[Is Data Valid]]=TRUE,EXP(0.578+0.332*((Table1[[#This Row],[Gestation (days)]]+0.5)/7)-0.00354*((Table1[[#This Row],[Gestation (days)]]+0.5)/7)^2)*Table1[[#This Row],[BW40_3705]],"")</f>
        <v/>
      </c>
      <c r="G4351" s="2" t="str">
        <f>IF(Table1[[#This Row],[Is Data Valid]]=TRUE,((Table1[[#This Row],[Birthweight (grams)]]/Table1[[#This Row],[BW_GA]])-1)/(Backend!$B$4/100*Table1[[#This Row],[BW40_3705]]),"")</f>
        <v/>
      </c>
      <c r="H4351" s="7" t="str">
        <f>IF(Table1[[#This Row],[Is Data Valid]]=TRUE,((Table1[[#This Row],[Birthweight (grams)]]*0.9/Table1[[#This Row],[BW_GA]])-1)/(Backend!$B$4/100*Table1[[#This Row],[BW40_3705]]),"")</f>
        <v/>
      </c>
      <c r="I4351" s="7" t="str">
        <f>IF(Table1[[#This Row],[Is Data Valid]]=TRUE,((Table1[[#This Row],[Birthweight (grams)]]*1.1/Table1[[#This Row],[BW_GA]])-1)/(Backend!$B$4/100*Table1[[#This Row],[BW40_3705]]),"")</f>
        <v/>
      </c>
      <c r="J4351" s="7" t="str">
        <f>IF(Table1[[#This Row],[Is Data Valid]]=TRUE,_xlfn.NORM.S.DIST(Table1[[#This Row],[Birthweight Z-Score]],TRUE)*100,"")</f>
        <v/>
      </c>
      <c r="K4351" s="7" t="str">
        <f>IF(Table1[[#This Row],[Is Data Valid]]=TRUE,_xlfn.NORM.S.DIST(Table1[[#This Row],[Birthweight Z-Score (BW-10%)]],TRUE)*100,"")</f>
        <v/>
      </c>
      <c r="L4351" s="7" t="str">
        <f>IF(Table1[[#This Row],[Is Data Valid]]=TRUE,_xlfn.NORM.S.DIST(Table1[[#This Row],[Birthweight Z-Score (BW+10%)]],TRUE)*100,"")</f>
        <v/>
      </c>
    </row>
    <row r="4352" spans="1:12" x14ac:dyDescent="0.35">
      <c r="A4352" s="3"/>
      <c r="B4352" s="2"/>
      <c r="C4352" s="2"/>
      <c r="D4352" s="2" t="b">
        <f>IF(AND(NOT(ISBLANK(Table1[[#This Row],[Fetal Sex (Male, Female or Unknown)]])),ISNUMBER(Table1[[#This Row],[Birthweight (grams)]]),ISNUMBER(Table1[[#This Row],[Gestation (days)]])),TRUE,FALSE)</f>
        <v>0</v>
      </c>
      <c r="E4352" s="2" t="str">
        <f>IF(Table1[[#This Row],[Is Data Valid]]=TRUE,IF(Table1[[#This Row],[Fetal Sex (Male, Female or Unknown)]]="Male",Backend!$C$6,IF(Table1[[#This Row],[Fetal Sex (Male, Female or Unknown)]]="Female",Backend!$C$7,IF(Table1[[#This Row],[Fetal Sex (Male, Female or Unknown)]]="Unknown",Backend!$C$8,"Error"))),"")</f>
        <v/>
      </c>
      <c r="F4352" s="8" t="str">
        <f>IF(Table1[[#This Row],[Is Data Valid]]=TRUE,EXP(0.578+0.332*((Table1[[#This Row],[Gestation (days)]]+0.5)/7)-0.00354*((Table1[[#This Row],[Gestation (days)]]+0.5)/7)^2)*Table1[[#This Row],[BW40_3705]],"")</f>
        <v/>
      </c>
      <c r="G4352" s="2" t="str">
        <f>IF(Table1[[#This Row],[Is Data Valid]]=TRUE,((Table1[[#This Row],[Birthweight (grams)]]/Table1[[#This Row],[BW_GA]])-1)/(Backend!$B$4/100*Table1[[#This Row],[BW40_3705]]),"")</f>
        <v/>
      </c>
      <c r="H4352" s="7" t="str">
        <f>IF(Table1[[#This Row],[Is Data Valid]]=TRUE,((Table1[[#This Row],[Birthweight (grams)]]*0.9/Table1[[#This Row],[BW_GA]])-1)/(Backend!$B$4/100*Table1[[#This Row],[BW40_3705]]),"")</f>
        <v/>
      </c>
      <c r="I4352" s="7" t="str">
        <f>IF(Table1[[#This Row],[Is Data Valid]]=TRUE,((Table1[[#This Row],[Birthweight (grams)]]*1.1/Table1[[#This Row],[BW_GA]])-1)/(Backend!$B$4/100*Table1[[#This Row],[BW40_3705]]),"")</f>
        <v/>
      </c>
      <c r="J4352" s="7" t="str">
        <f>IF(Table1[[#This Row],[Is Data Valid]]=TRUE,_xlfn.NORM.S.DIST(Table1[[#This Row],[Birthweight Z-Score]],TRUE)*100,"")</f>
        <v/>
      </c>
      <c r="K4352" s="7" t="str">
        <f>IF(Table1[[#This Row],[Is Data Valid]]=TRUE,_xlfn.NORM.S.DIST(Table1[[#This Row],[Birthweight Z-Score (BW-10%)]],TRUE)*100,"")</f>
        <v/>
      </c>
      <c r="L4352" s="7" t="str">
        <f>IF(Table1[[#This Row],[Is Data Valid]]=TRUE,_xlfn.NORM.S.DIST(Table1[[#This Row],[Birthweight Z-Score (BW+10%)]],TRUE)*100,"")</f>
        <v/>
      </c>
    </row>
    <row r="4353" spans="1:12" x14ac:dyDescent="0.35">
      <c r="A4353" s="3"/>
      <c r="B4353" s="2"/>
      <c r="C4353" s="2"/>
      <c r="D4353" s="2" t="b">
        <f>IF(AND(NOT(ISBLANK(Table1[[#This Row],[Fetal Sex (Male, Female or Unknown)]])),ISNUMBER(Table1[[#This Row],[Birthweight (grams)]]),ISNUMBER(Table1[[#This Row],[Gestation (days)]])),TRUE,FALSE)</f>
        <v>0</v>
      </c>
      <c r="E4353" s="2" t="str">
        <f>IF(Table1[[#This Row],[Is Data Valid]]=TRUE,IF(Table1[[#This Row],[Fetal Sex (Male, Female or Unknown)]]="Male",Backend!$C$6,IF(Table1[[#This Row],[Fetal Sex (Male, Female or Unknown)]]="Female",Backend!$C$7,IF(Table1[[#This Row],[Fetal Sex (Male, Female or Unknown)]]="Unknown",Backend!$C$8,"Error"))),"")</f>
        <v/>
      </c>
      <c r="F4353" s="8" t="str">
        <f>IF(Table1[[#This Row],[Is Data Valid]]=TRUE,EXP(0.578+0.332*((Table1[[#This Row],[Gestation (days)]]+0.5)/7)-0.00354*((Table1[[#This Row],[Gestation (days)]]+0.5)/7)^2)*Table1[[#This Row],[BW40_3705]],"")</f>
        <v/>
      </c>
      <c r="G4353" s="2" t="str">
        <f>IF(Table1[[#This Row],[Is Data Valid]]=TRUE,((Table1[[#This Row],[Birthweight (grams)]]/Table1[[#This Row],[BW_GA]])-1)/(Backend!$B$4/100*Table1[[#This Row],[BW40_3705]]),"")</f>
        <v/>
      </c>
      <c r="H4353" s="7" t="str">
        <f>IF(Table1[[#This Row],[Is Data Valid]]=TRUE,((Table1[[#This Row],[Birthweight (grams)]]*0.9/Table1[[#This Row],[BW_GA]])-1)/(Backend!$B$4/100*Table1[[#This Row],[BW40_3705]]),"")</f>
        <v/>
      </c>
      <c r="I4353" s="7" t="str">
        <f>IF(Table1[[#This Row],[Is Data Valid]]=TRUE,((Table1[[#This Row],[Birthweight (grams)]]*1.1/Table1[[#This Row],[BW_GA]])-1)/(Backend!$B$4/100*Table1[[#This Row],[BW40_3705]]),"")</f>
        <v/>
      </c>
      <c r="J4353" s="7" t="str">
        <f>IF(Table1[[#This Row],[Is Data Valid]]=TRUE,_xlfn.NORM.S.DIST(Table1[[#This Row],[Birthweight Z-Score]],TRUE)*100,"")</f>
        <v/>
      </c>
      <c r="K4353" s="7" t="str">
        <f>IF(Table1[[#This Row],[Is Data Valid]]=TRUE,_xlfn.NORM.S.DIST(Table1[[#This Row],[Birthweight Z-Score (BW-10%)]],TRUE)*100,"")</f>
        <v/>
      </c>
      <c r="L4353" s="7" t="str">
        <f>IF(Table1[[#This Row],[Is Data Valid]]=TRUE,_xlfn.NORM.S.DIST(Table1[[#This Row],[Birthweight Z-Score (BW+10%)]],TRUE)*100,"")</f>
        <v/>
      </c>
    </row>
    <row r="4354" spans="1:12" x14ac:dyDescent="0.35">
      <c r="A4354" s="3"/>
      <c r="B4354" s="2"/>
      <c r="C4354" s="2"/>
      <c r="D4354" s="2" t="b">
        <f>IF(AND(NOT(ISBLANK(Table1[[#This Row],[Fetal Sex (Male, Female or Unknown)]])),ISNUMBER(Table1[[#This Row],[Birthweight (grams)]]),ISNUMBER(Table1[[#This Row],[Gestation (days)]])),TRUE,FALSE)</f>
        <v>0</v>
      </c>
      <c r="E4354" s="2" t="str">
        <f>IF(Table1[[#This Row],[Is Data Valid]]=TRUE,IF(Table1[[#This Row],[Fetal Sex (Male, Female or Unknown)]]="Male",Backend!$C$6,IF(Table1[[#This Row],[Fetal Sex (Male, Female or Unknown)]]="Female",Backend!$C$7,IF(Table1[[#This Row],[Fetal Sex (Male, Female or Unknown)]]="Unknown",Backend!$C$8,"Error"))),"")</f>
        <v/>
      </c>
      <c r="F4354" s="8" t="str">
        <f>IF(Table1[[#This Row],[Is Data Valid]]=TRUE,EXP(0.578+0.332*((Table1[[#This Row],[Gestation (days)]]+0.5)/7)-0.00354*((Table1[[#This Row],[Gestation (days)]]+0.5)/7)^2)*Table1[[#This Row],[BW40_3705]],"")</f>
        <v/>
      </c>
      <c r="G4354" s="2" t="str">
        <f>IF(Table1[[#This Row],[Is Data Valid]]=TRUE,((Table1[[#This Row],[Birthweight (grams)]]/Table1[[#This Row],[BW_GA]])-1)/(Backend!$B$4/100*Table1[[#This Row],[BW40_3705]]),"")</f>
        <v/>
      </c>
      <c r="H4354" s="7" t="str">
        <f>IF(Table1[[#This Row],[Is Data Valid]]=TRUE,((Table1[[#This Row],[Birthweight (grams)]]*0.9/Table1[[#This Row],[BW_GA]])-1)/(Backend!$B$4/100*Table1[[#This Row],[BW40_3705]]),"")</f>
        <v/>
      </c>
      <c r="I4354" s="7" t="str">
        <f>IF(Table1[[#This Row],[Is Data Valid]]=TRUE,((Table1[[#This Row],[Birthweight (grams)]]*1.1/Table1[[#This Row],[BW_GA]])-1)/(Backend!$B$4/100*Table1[[#This Row],[BW40_3705]]),"")</f>
        <v/>
      </c>
      <c r="J4354" s="7" t="str">
        <f>IF(Table1[[#This Row],[Is Data Valid]]=TRUE,_xlfn.NORM.S.DIST(Table1[[#This Row],[Birthweight Z-Score]],TRUE)*100,"")</f>
        <v/>
      </c>
      <c r="K4354" s="7" t="str">
        <f>IF(Table1[[#This Row],[Is Data Valid]]=TRUE,_xlfn.NORM.S.DIST(Table1[[#This Row],[Birthweight Z-Score (BW-10%)]],TRUE)*100,"")</f>
        <v/>
      </c>
      <c r="L4354" s="7" t="str">
        <f>IF(Table1[[#This Row],[Is Data Valid]]=TRUE,_xlfn.NORM.S.DIST(Table1[[#This Row],[Birthweight Z-Score (BW+10%)]],TRUE)*100,"")</f>
        <v/>
      </c>
    </row>
    <row r="4355" spans="1:12" x14ac:dyDescent="0.35">
      <c r="A4355" s="3"/>
      <c r="B4355" s="2"/>
      <c r="C4355" s="2"/>
      <c r="D4355" s="2" t="b">
        <f>IF(AND(NOT(ISBLANK(Table1[[#This Row],[Fetal Sex (Male, Female or Unknown)]])),ISNUMBER(Table1[[#This Row],[Birthweight (grams)]]),ISNUMBER(Table1[[#This Row],[Gestation (days)]])),TRUE,FALSE)</f>
        <v>0</v>
      </c>
      <c r="E4355" s="2" t="str">
        <f>IF(Table1[[#This Row],[Is Data Valid]]=TRUE,IF(Table1[[#This Row],[Fetal Sex (Male, Female or Unknown)]]="Male",Backend!$C$6,IF(Table1[[#This Row],[Fetal Sex (Male, Female or Unknown)]]="Female",Backend!$C$7,IF(Table1[[#This Row],[Fetal Sex (Male, Female or Unknown)]]="Unknown",Backend!$C$8,"Error"))),"")</f>
        <v/>
      </c>
      <c r="F4355" s="8" t="str">
        <f>IF(Table1[[#This Row],[Is Data Valid]]=TRUE,EXP(0.578+0.332*((Table1[[#This Row],[Gestation (days)]]+0.5)/7)-0.00354*((Table1[[#This Row],[Gestation (days)]]+0.5)/7)^2)*Table1[[#This Row],[BW40_3705]],"")</f>
        <v/>
      </c>
      <c r="G4355" s="2" t="str">
        <f>IF(Table1[[#This Row],[Is Data Valid]]=TRUE,((Table1[[#This Row],[Birthweight (grams)]]/Table1[[#This Row],[BW_GA]])-1)/(Backend!$B$4/100*Table1[[#This Row],[BW40_3705]]),"")</f>
        <v/>
      </c>
      <c r="H4355" s="7" t="str">
        <f>IF(Table1[[#This Row],[Is Data Valid]]=TRUE,((Table1[[#This Row],[Birthweight (grams)]]*0.9/Table1[[#This Row],[BW_GA]])-1)/(Backend!$B$4/100*Table1[[#This Row],[BW40_3705]]),"")</f>
        <v/>
      </c>
      <c r="I4355" s="7" t="str">
        <f>IF(Table1[[#This Row],[Is Data Valid]]=TRUE,((Table1[[#This Row],[Birthweight (grams)]]*1.1/Table1[[#This Row],[BW_GA]])-1)/(Backend!$B$4/100*Table1[[#This Row],[BW40_3705]]),"")</f>
        <v/>
      </c>
      <c r="J4355" s="7" t="str">
        <f>IF(Table1[[#This Row],[Is Data Valid]]=TRUE,_xlfn.NORM.S.DIST(Table1[[#This Row],[Birthweight Z-Score]],TRUE)*100,"")</f>
        <v/>
      </c>
      <c r="K4355" s="7" t="str">
        <f>IF(Table1[[#This Row],[Is Data Valid]]=TRUE,_xlfn.NORM.S.DIST(Table1[[#This Row],[Birthweight Z-Score (BW-10%)]],TRUE)*100,"")</f>
        <v/>
      </c>
      <c r="L4355" s="7" t="str">
        <f>IF(Table1[[#This Row],[Is Data Valid]]=TRUE,_xlfn.NORM.S.DIST(Table1[[#This Row],[Birthweight Z-Score (BW+10%)]],TRUE)*100,"")</f>
        <v/>
      </c>
    </row>
    <row r="4356" spans="1:12" x14ac:dyDescent="0.35">
      <c r="A4356" s="3"/>
      <c r="B4356" s="2"/>
      <c r="C4356" s="2"/>
      <c r="D4356" s="2" t="b">
        <f>IF(AND(NOT(ISBLANK(Table1[[#This Row],[Fetal Sex (Male, Female or Unknown)]])),ISNUMBER(Table1[[#This Row],[Birthweight (grams)]]),ISNUMBER(Table1[[#This Row],[Gestation (days)]])),TRUE,FALSE)</f>
        <v>0</v>
      </c>
      <c r="E4356" s="2" t="str">
        <f>IF(Table1[[#This Row],[Is Data Valid]]=TRUE,IF(Table1[[#This Row],[Fetal Sex (Male, Female or Unknown)]]="Male",Backend!$C$6,IF(Table1[[#This Row],[Fetal Sex (Male, Female or Unknown)]]="Female",Backend!$C$7,IF(Table1[[#This Row],[Fetal Sex (Male, Female or Unknown)]]="Unknown",Backend!$C$8,"Error"))),"")</f>
        <v/>
      </c>
      <c r="F4356" s="8" t="str">
        <f>IF(Table1[[#This Row],[Is Data Valid]]=TRUE,EXP(0.578+0.332*((Table1[[#This Row],[Gestation (days)]]+0.5)/7)-0.00354*((Table1[[#This Row],[Gestation (days)]]+0.5)/7)^2)*Table1[[#This Row],[BW40_3705]],"")</f>
        <v/>
      </c>
      <c r="G4356" s="2" t="str">
        <f>IF(Table1[[#This Row],[Is Data Valid]]=TRUE,((Table1[[#This Row],[Birthweight (grams)]]/Table1[[#This Row],[BW_GA]])-1)/(Backend!$B$4/100*Table1[[#This Row],[BW40_3705]]),"")</f>
        <v/>
      </c>
      <c r="H4356" s="7" t="str">
        <f>IF(Table1[[#This Row],[Is Data Valid]]=TRUE,((Table1[[#This Row],[Birthweight (grams)]]*0.9/Table1[[#This Row],[BW_GA]])-1)/(Backend!$B$4/100*Table1[[#This Row],[BW40_3705]]),"")</f>
        <v/>
      </c>
      <c r="I4356" s="7" t="str">
        <f>IF(Table1[[#This Row],[Is Data Valid]]=TRUE,((Table1[[#This Row],[Birthweight (grams)]]*1.1/Table1[[#This Row],[BW_GA]])-1)/(Backend!$B$4/100*Table1[[#This Row],[BW40_3705]]),"")</f>
        <v/>
      </c>
      <c r="J4356" s="7" t="str">
        <f>IF(Table1[[#This Row],[Is Data Valid]]=TRUE,_xlfn.NORM.S.DIST(Table1[[#This Row],[Birthweight Z-Score]],TRUE)*100,"")</f>
        <v/>
      </c>
      <c r="K4356" s="7" t="str">
        <f>IF(Table1[[#This Row],[Is Data Valid]]=TRUE,_xlfn.NORM.S.DIST(Table1[[#This Row],[Birthweight Z-Score (BW-10%)]],TRUE)*100,"")</f>
        <v/>
      </c>
      <c r="L4356" s="7" t="str">
        <f>IF(Table1[[#This Row],[Is Data Valid]]=TRUE,_xlfn.NORM.S.DIST(Table1[[#This Row],[Birthweight Z-Score (BW+10%)]],TRUE)*100,"")</f>
        <v/>
      </c>
    </row>
    <row r="4357" spans="1:12" x14ac:dyDescent="0.35">
      <c r="A4357" s="3"/>
      <c r="B4357" s="2"/>
      <c r="C4357" s="2"/>
      <c r="D4357" s="2" t="b">
        <f>IF(AND(NOT(ISBLANK(Table1[[#This Row],[Fetal Sex (Male, Female or Unknown)]])),ISNUMBER(Table1[[#This Row],[Birthweight (grams)]]),ISNUMBER(Table1[[#This Row],[Gestation (days)]])),TRUE,FALSE)</f>
        <v>0</v>
      </c>
      <c r="E4357" s="2" t="str">
        <f>IF(Table1[[#This Row],[Is Data Valid]]=TRUE,IF(Table1[[#This Row],[Fetal Sex (Male, Female or Unknown)]]="Male",Backend!$C$6,IF(Table1[[#This Row],[Fetal Sex (Male, Female or Unknown)]]="Female",Backend!$C$7,IF(Table1[[#This Row],[Fetal Sex (Male, Female or Unknown)]]="Unknown",Backend!$C$8,"Error"))),"")</f>
        <v/>
      </c>
      <c r="F4357" s="8" t="str">
        <f>IF(Table1[[#This Row],[Is Data Valid]]=TRUE,EXP(0.578+0.332*((Table1[[#This Row],[Gestation (days)]]+0.5)/7)-0.00354*((Table1[[#This Row],[Gestation (days)]]+0.5)/7)^2)*Table1[[#This Row],[BW40_3705]],"")</f>
        <v/>
      </c>
      <c r="G4357" s="2" t="str">
        <f>IF(Table1[[#This Row],[Is Data Valid]]=TRUE,((Table1[[#This Row],[Birthweight (grams)]]/Table1[[#This Row],[BW_GA]])-1)/(Backend!$B$4/100*Table1[[#This Row],[BW40_3705]]),"")</f>
        <v/>
      </c>
      <c r="H4357" s="7" t="str">
        <f>IF(Table1[[#This Row],[Is Data Valid]]=TRUE,((Table1[[#This Row],[Birthweight (grams)]]*0.9/Table1[[#This Row],[BW_GA]])-1)/(Backend!$B$4/100*Table1[[#This Row],[BW40_3705]]),"")</f>
        <v/>
      </c>
      <c r="I4357" s="7" t="str">
        <f>IF(Table1[[#This Row],[Is Data Valid]]=TRUE,((Table1[[#This Row],[Birthweight (grams)]]*1.1/Table1[[#This Row],[BW_GA]])-1)/(Backend!$B$4/100*Table1[[#This Row],[BW40_3705]]),"")</f>
        <v/>
      </c>
      <c r="J4357" s="7" t="str">
        <f>IF(Table1[[#This Row],[Is Data Valid]]=TRUE,_xlfn.NORM.S.DIST(Table1[[#This Row],[Birthweight Z-Score]],TRUE)*100,"")</f>
        <v/>
      </c>
      <c r="K4357" s="7" t="str">
        <f>IF(Table1[[#This Row],[Is Data Valid]]=TRUE,_xlfn.NORM.S.DIST(Table1[[#This Row],[Birthweight Z-Score (BW-10%)]],TRUE)*100,"")</f>
        <v/>
      </c>
      <c r="L4357" s="7" t="str">
        <f>IF(Table1[[#This Row],[Is Data Valid]]=TRUE,_xlfn.NORM.S.DIST(Table1[[#This Row],[Birthweight Z-Score (BW+10%)]],TRUE)*100,"")</f>
        <v/>
      </c>
    </row>
    <row r="4358" spans="1:12" x14ac:dyDescent="0.35">
      <c r="A4358" s="3"/>
      <c r="B4358" s="2"/>
      <c r="C4358" s="2"/>
      <c r="D4358" s="2" t="b">
        <f>IF(AND(NOT(ISBLANK(Table1[[#This Row],[Fetal Sex (Male, Female or Unknown)]])),ISNUMBER(Table1[[#This Row],[Birthweight (grams)]]),ISNUMBER(Table1[[#This Row],[Gestation (days)]])),TRUE,FALSE)</f>
        <v>0</v>
      </c>
      <c r="E4358" s="2" t="str">
        <f>IF(Table1[[#This Row],[Is Data Valid]]=TRUE,IF(Table1[[#This Row],[Fetal Sex (Male, Female or Unknown)]]="Male",Backend!$C$6,IF(Table1[[#This Row],[Fetal Sex (Male, Female or Unknown)]]="Female",Backend!$C$7,IF(Table1[[#This Row],[Fetal Sex (Male, Female or Unknown)]]="Unknown",Backend!$C$8,"Error"))),"")</f>
        <v/>
      </c>
      <c r="F4358" s="8" t="str">
        <f>IF(Table1[[#This Row],[Is Data Valid]]=TRUE,EXP(0.578+0.332*((Table1[[#This Row],[Gestation (days)]]+0.5)/7)-0.00354*((Table1[[#This Row],[Gestation (days)]]+0.5)/7)^2)*Table1[[#This Row],[BW40_3705]],"")</f>
        <v/>
      </c>
      <c r="G4358" s="2" t="str">
        <f>IF(Table1[[#This Row],[Is Data Valid]]=TRUE,((Table1[[#This Row],[Birthweight (grams)]]/Table1[[#This Row],[BW_GA]])-1)/(Backend!$B$4/100*Table1[[#This Row],[BW40_3705]]),"")</f>
        <v/>
      </c>
      <c r="H4358" s="7" t="str">
        <f>IF(Table1[[#This Row],[Is Data Valid]]=TRUE,((Table1[[#This Row],[Birthweight (grams)]]*0.9/Table1[[#This Row],[BW_GA]])-1)/(Backend!$B$4/100*Table1[[#This Row],[BW40_3705]]),"")</f>
        <v/>
      </c>
      <c r="I4358" s="7" t="str">
        <f>IF(Table1[[#This Row],[Is Data Valid]]=TRUE,((Table1[[#This Row],[Birthweight (grams)]]*1.1/Table1[[#This Row],[BW_GA]])-1)/(Backend!$B$4/100*Table1[[#This Row],[BW40_3705]]),"")</f>
        <v/>
      </c>
      <c r="J4358" s="7" t="str">
        <f>IF(Table1[[#This Row],[Is Data Valid]]=TRUE,_xlfn.NORM.S.DIST(Table1[[#This Row],[Birthweight Z-Score]],TRUE)*100,"")</f>
        <v/>
      </c>
      <c r="K4358" s="7" t="str">
        <f>IF(Table1[[#This Row],[Is Data Valid]]=TRUE,_xlfn.NORM.S.DIST(Table1[[#This Row],[Birthweight Z-Score (BW-10%)]],TRUE)*100,"")</f>
        <v/>
      </c>
      <c r="L4358" s="7" t="str">
        <f>IF(Table1[[#This Row],[Is Data Valid]]=TRUE,_xlfn.NORM.S.DIST(Table1[[#This Row],[Birthweight Z-Score (BW+10%)]],TRUE)*100,"")</f>
        <v/>
      </c>
    </row>
    <row r="4359" spans="1:12" x14ac:dyDescent="0.35">
      <c r="A4359" s="3"/>
      <c r="B4359" s="2"/>
      <c r="C4359" s="2"/>
      <c r="D4359" s="2" t="b">
        <f>IF(AND(NOT(ISBLANK(Table1[[#This Row],[Fetal Sex (Male, Female or Unknown)]])),ISNUMBER(Table1[[#This Row],[Birthweight (grams)]]),ISNUMBER(Table1[[#This Row],[Gestation (days)]])),TRUE,FALSE)</f>
        <v>0</v>
      </c>
      <c r="E4359" s="2" t="str">
        <f>IF(Table1[[#This Row],[Is Data Valid]]=TRUE,IF(Table1[[#This Row],[Fetal Sex (Male, Female or Unknown)]]="Male",Backend!$C$6,IF(Table1[[#This Row],[Fetal Sex (Male, Female or Unknown)]]="Female",Backend!$C$7,IF(Table1[[#This Row],[Fetal Sex (Male, Female or Unknown)]]="Unknown",Backend!$C$8,"Error"))),"")</f>
        <v/>
      </c>
      <c r="F4359" s="8" t="str">
        <f>IF(Table1[[#This Row],[Is Data Valid]]=TRUE,EXP(0.578+0.332*((Table1[[#This Row],[Gestation (days)]]+0.5)/7)-0.00354*((Table1[[#This Row],[Gestation (days)]]+0.5)/7)^2)*Table1[[#This Row],[BW40_3705]],"")</f>
        <v/>
      </c>
      <c r="G4359" s="2" t="str">
        <f>IF(Table1[[#This Row],[Is Data Valid]]=TRUE,((Table1[[#This Row],[Birthweight (grams)]]/Table1[[#This Row],[BW_GA]])-1)/(Backend!$B$4/100*Table1[[#This Row],[BW40_3705]]),"")</f>
        <v/>
      </c>
      <c r="H4359" s="7" t="str">
        <f>IF(Table1[[#This Row],[Is Data Valid]]=TRUE,((Table1[[#This Row],[Birthweight (grams)]]*0.9/Table1[[#This Row],[BW_GA]])-1)/(Backend!$B$4/100*Table1[[#This Row],[BW40_3705]]),"")</f>
        <v/>
      </c>
      <c r="I4359" s="7" t="str">
        <f>IF(Table1[[#This Row],[Is Data Valid]]=TRUE,((Table1[[#This Row],[Birthweight (grams)]]*1.1/Table1[[#This Row],[BW_GA]])-1)/(Backend!$B$4/100*Table1[[#This Row],[BW40_3705]]),"")</f>
        <v/>
      </c>
      <c r="J4359" s="7" t="str">
        <f>IF(Table1[[#This Row],[Is Data Valid]]=TRUE,_xlfn.NORM.S.DIST(Table1[[#This Row],[Birthweight Z-Score]],TRUE)*100,"")</f>
        <v/>
      </c>
      <c r="K4359" s="7" t="str">
        <f>IF(Table1[[#This Row],[Is Data Valid]]=TRUE,_xlfn.NORM.S.DIST(Table1[[#This Row],[Birthweight Z-Score (BW-10%)]],TRUE)*100,"")</f>
        <v/>
      </c>
      <c r="L4359" s="7" t="str">
        <f>IF(Table1[[#This Row],[Is Data Valid]]=TRUE,_xlfn.NORM.S.DIST(Table1[[#This Row],[Birthweight Z-Score (BW+10%)]],TRUE)*100,"")</f>
        <v/>
      </c>
    </row>
    <row r="4360" spans="1:12" x14ac:dyDescent="0.35">
      <c r="A4360" s="3"/>
      <c r="B4360" s="2"/>
      <c r="C4360" s="2"/>
      <c r="D4360" s="2" t="b">
        <f>IF(AND(NOT(ISBLANK(Table1[[#This Row],[Fetal Sex (Male, Female or Unknown)]])),ISNUMBER(Table1[[#This Row],[Birthweight (grams)]]),ISNUMBER(Table1[[#This Row],[Gestation (days)]])),TRUE,FALSE)</f>
        <v>0</v>
      </c>
      <c r="E4360" s="2" t="str">
        <f>IF(Table1[[#This Row],[Is Data Valid]]=TRUE,IF(Table1[[#This Row],[Fetal Sex (Male, Female or Unknown)]]="Male",Backend!$C$6,IF(Table1[[#This Row],[Fetal Sex (Male, Female or Unknown)]]="Female",Backend!$C$7,IF(Table1[[#This Row],[Fetal Sex (Male, Female or Unknown)]]="Unknown",Backend!$C$8,"Error"))),"")</f>
        <v/>
      </c>
      <c r="F4360" s="8" t="str">
        <f>IF(Table1[[#This Row],[Is Data Valid]]=TRUE,EXP(0.578+0.332*((Table1[[#This Row],[Gestation (days)]]+0.5)/7)-0.00354*((Table1[[#This Row],[Gestation (days)]]+0.5)/7)^2)*Table1[[#This Row],[BW40_3705]],"")</f>
        <v/>
      </c>
      <c r="G4360" s="2" t="str">
        <f>IF(Table1[[#This Row],[Is Data Valid]]=TRUE,((Table1[[#This Row],[Birthweight (grams)]]/Table1[[#This Row],[BW_GA]])-1)/(Backend!$B$4/100*Table1[[#This Row],[BW40_3705]]),"")</f>
        <v/>
      </c>
      <c r="H4360" s="7" t="str">
        <f>IF(Table1[[#This Row],[Is Data Valid]]=TRUE,((Table1[[#This Row],[Birthweight (grams)]]*0.9/Table1[[#This Row],[BW_GA]])-1)/(Backend!$B$4/100*Table1[[#This Row],[BW40_3705]]),"")</f>
        <v/>
      </c>
      <c r="I4360" s="7" t="str">
        <f>IF(Table1[[#This Row],[Is Data Valid]]=TRUE,((Table1[[#This Row],[Birthweight (grams)]]*1.1/Table1[[#This Row],[BW_GA]])-1)/(Backend!$B$4/100*Table1[[#This Row],[BW40_3705]]),"")</f>
        <v/>
      </c>
      <c r="J4360" s="7" t="str">
        <f>IF(Table1[[#This Row],[Is Data Valid]]=TRUE,_xlfn.NORM.S.DIST(Table1[[#This Row],[Birthweight Z-Score]],TRUE)*100,"")</f>
        <v/>
      </c>
      <c r="K4360" s="7" t="str">
        <f>IF(Table1[[#This Row],[Is Data Valid]]=TRUE,_xlfn.NORM.S.DIST(Table1[[#This Row],[Birthweight Z-Score (BW-10%)]],TRUE)*100,"")</f>
        <v/>
      </c>
      <c r="L4360" s="7" t="str">
        <f>IF(Table1[[#This Row],[Is Data Valid]]=TRUE,_xlfn.NORM.S.DIST(Table1[[#This Row],[Birthweight Z-Score (BW+10%)]],TRUE)*100,"")</f>
        <v/>
      </c>
    </row>
    <row r="4361" spans="1:12" x14ac:dyDescent="0.35">
      <c r="A4361" s="3"/>
      <c r="B4361" s="2"/>
      <c r="C4361" s="2"/>
      <c r="D4361" s="2" t="b">
        <f>IF(AND(NOT(ISBLANK(Table1[[#This Row],[Fetal Sex (Male, Female or Unknown)]])),ISNUMBER(Table1[[#This Row],[Birthweight (grams)]]),ISNUMBER(Table1[[#This Row],[Gestation (days)]])),TRUE,FALSE)</f>
        <v>0</v>
      </c>
      <c r="E4361" s="2" t="str">
        <f>IF(Table1[[#This Row],[Is Data Valid]]=TRUE,IF(Table1[[#This Row],[Fetal Sex (Male, Female or Unknown)]]="Male",Backend!$C$6,IF(Table1[[#This Row],[Fetal Sex (Male, Female or Unknown)]]="Female",Backend!$C$7,IF(Table1[[#This Row],[Fetal Sex (Male, Female or Unknown)]]="Unknown",Backend!$C$8,"Error"))),"")</f>
        <v/>
      </c>
      <c r="F4361" s="8" t="str">
        <f>IF(Table1[[#This Row],[Is Data Valid]]=TRUE,EXP(0.578+0.332*((Table1[[#This Row],[Gestation (days)]]+0.5)/7)-0.00354*((Table1[[#This Row],[Gestation (days)]]+0.5)/7)^2)*Table1[[#This Row],[BW40_3705]],"")</f>
        <v/>
      </c>
      <c r="G4361" s="2" t="str">
        <f>IF(Table1[[#This Row],[Is Data Valid]]=TRUE,((Table1[[#This Row],[Birthweight (grams)]]/Table1[[#This Row],[BW_GA]])-1)/(Backend!$B$4/100*Table1[[#This Row],[BW40_3705]]),"")</f>
        <v/>
      </c>
      <c r="H4361" s="7" t="str">
        <f>IF(Table1[[#This Row],[Is Data Valid]]=TRUE,((Table1[[#This Row],[Birthweight (grams)]]*0.9/Table1[[#This Row],[BW_GA]])-1)/(Backend!$B$4/100*Table1[[#This Row],[BW40_3705]]),"")</f>
        <v/>
      </c>
      <c r="I4361" s="7" t="str">
        <f>IF(Table1[[#This Row],[Is Data Valid]]=TRUE,((Table1[[#This Row],[Birthweight (grams)]]*1.1/Table1[[#This Row],[BW_GA]])-1)/(Backend!$B$4/100*Table1[[#This Row],[BW40_3705]]),"")</f>
        <v/>
      </c>
      <c r="J4361" s="7" t="str">
        <f>IF(Table1[[#This Row],[Is Data Valid]]=TRUE,_xlfn.NORM.S.DIST(Table1[[#This Row],[Birthweight Z-Score]],TRUE)*100,"")</f>
        <v/>
      </c>
      <c r="K4361" s="7" t="str">
        <f>IF(Table1[[#This Row],[Is Data Valid]]=TRUE,_xlfn.NORM.S.DIST(Table1[[#This Row],[Birthweight Z-Score (BW-10%)]],TRUE)*100,"")</f>
        <v/>
      </c>
      <c r="L4361" s="7" t="str">
        <f>IF(Table1[[#This Row],[Is Data Valid]]=TRUE,_xlfn.NORM.S.DIST(Table1[[#This Row],[Birthweight Z-Score (BW+10%)]],TRUE)*100,"")</f>
        <v/>
      </c>
    </row>
    <row r="4362" spans="1:12" x14ac:dyDescent="0.35">
      <c r="A4362" s="3"/>
      <c r="B4362" s="2"/>
      <c r="C4362" s="2"/>
      <c r="D4362" s="2" t="b">
        <f>IF(AND(NOT(ISBLANK(Table1[[#This Row],[Fetal Sex (Male, Female or Unknown)]])),ISNUMBER(Table1[[#This Row],[Birthweight (grams)]]),ISNUMBER(Table1[[#This Row],[Gestation (days)]])),TRUE,FALSE)</f>
        <v>0</v>
      </c>
      <c r="E4362" s="2" t="str">
        <f>IF(Table1[[#This Row],[Is Data Valid]]=TRUE,IF(Table1[[#This Row],[Fetal Sex (Male, Female or Unknown)]]="Male",Backend!$C$6,IF(Table1[[#This Row],[Fetal Sex (Male, Female or Unknown)]]="Female",Backend!$C$7,IF(Table1[[#This Row],[Fetal Sex (Male, Female or Unknown)]]="Unknown",Backend!$C$8,"Error"))),"")</f>
        <v/>
      </c>
      <c r="F4362" s="8" t="str">
        <f>IF(Table1[[#This Row],[Is Data Valid]]=TRUE,EXP(0.578+0.332*((Table1[[#This Row],[Gestation (days)]]+0.5)/7)-0.00354*((Table1[[#This Row],[Gestation (days)]]+0.5)/7)^2)*Table1[[#This Row],[BW40_3705]],"")</f>
        <v/>
      </c>
      <c r="G4362" s="2" t="str">
        <f>IF(Table1[[#This Row],[Is Data Valid]]=TRUE,((Table1[[#This Row],[Birthweight (grams)]]/Table1[[#This Row],[BW_GA]])-1)/(Backend!$B$4/100*Table1[[#This Row],[BW40_3705]]),"")</f>
        <v/>
      </c>
      <c r="H4362" s="7" t="str">
        <f>IF(Table1[[#This Row],[Is Data Valid]]=TRUE,((Table1[[#This Row],[Birthweight (grams)]]*0.9/Table1[[#This Row],[BW_GA]])-1)/(Backend!$B$4/100*Table1[[#This Row],[BW40_3705]]),"")</f>
        <v/>
      </c>
      <c r="I4362" s="7" t="str">
        <f>IF(Table1[[#This Row],[Is Data Valid]]=TRUE,((Table1[[#This Row],[Birthweight (grams)]]*1.1/Table1[[#This Row],[BW_GA]])-1)/(Backend!$B$4/100*Table1[[#This Row],[BW40_3705]]),"")</f>
        <v/>
      </c>
      <c r="J4362" s="7" t="str">
        <f>IF(Table1[[#This Row],[Is Data Valid]]=TRUE,_xlfn.NORM.S.DIST(Table1[[#This Row],[Birthweight Z-Score]],TRUE)*100,"")</f>
        <v/>
      </c>
      <c r="K4362" s="7" t="str">
        <f>IF(Table1[[#This Row],[Is Data Valid]]=TRUE,_xlfn.NORM.S.DIST(Table1[[#This Row],[Birthweight Z-Score (BW-10%)]],TRUE)*100,"")</f>
        <v/>
      </c>
      <c r="L4362" s="7" t="str">
        <f>IF(Table1[[#This Row],[Is Data Valid]]=TRUE,_xlfn.NORM.S.DIST(Table1[[#This Row],[Birthweight Z-Score (BW+10%)]],TRUE)*100,"")</f>
        <v/>
      </c>
    </row>
    <row r="4363" spans="1:12" x14ac:dyDescent="0.35">
      <c r="A4363" s="3"/>
      <c r="B4363" s="2"/>
      <c r="C4363" s="2"/>
      <c r="D4363" s="2" t="b">
        <f>IF(AND(NOT(ISBLANK(Table1[[#This Row],[Fetal Sex (Male, Female or Unknown)]])),ISNUMBER(Table1[[#This Row],[Birthweight (grams)]]),ISNUMBER(Table1[[#This Row],[Gestation (days)]])),TRUE,FALSE)</f>
        <v>0</v>
      </c>
      <c r="E4363" s="2" t="str">
        <f>IF(Table1[[#This Row],[Is Data Valid]]=TRUE,IF(Table1[[#This Row],[Fetal Sex (Male, Female or Unknown)]]="Male",Backend!$C$6,IF(Table1[[#This Row],[Fetal Sex (Male, Female or Unknown)]]="Female",Backend!$C$7,IF(Table1[[#This Row],[Fetal Sex (Male, Female or Unknown)]]="Unknown",Backend!$C$8,"Error"))),"")</f>
        <v/>
      </c>
      <c r="F4363" s="8" t="str">
        <f>IF(Table1[[#This Row],[Is Data Valid]]=TRUE,EXP(0.578+0.332*((Table1[[#This Row],[Gestation (days)]]+0.5)/7)-0.00354*((Table1[[#This Row],[Gestation (days)]]+0.5)/7)^2)*Table1[[#This Row],[BW40_3705]],"")</f>
        <v/>
      </c>
      <c r="G4363" s="2" t="str">
        <f>IF(Table1[[#This Row],[Is Data Valid]]=TRUE,((Table1[[#This Row],[Birthweight (grams)]]/Table1[[#This Row],[BW_GA]])-1)/(Backend!$B$4/100*Table1[[#This Row],[BW40_3705]]),"")</f>
        <v/>
      </c>
      <c r="H4363" s="7" t="str">
        <f>IF(Table1[[#This Row],[Is Data Valid]]=TRUE,((Table1[[#This Row],[Birthweight (grams)]]*0.9/Table1[[#This Row],[BW_GA]])-1)/(Backend!$B$4/100*Table1[[#This Row],[BW40_3705]]),"")</f>
        <v/>
      </c>
      <c r="I4363" s="7" t="str">
        <f>IF(Table1[[#This Row],[Is Data Valid]]=TRUE,((Table1[[#This Row],[Birthweight (grams)]]*1.1/Table1[[#This Row],[BW_GA]])-1)/(Backend!$B$4/100*Table1[[#This Row],[BW40_3705]]),"")</f>
        <v/>
      </c>
      <c r="J4363" s="7" t="str">
        <f>IF(Table1[[#This Row],[Is Data Valid]]=TRUE,_xlfn.NORM.S.DIST(Table1[[#This Row],[Birthweight Z-Score]],TRUE)*100,"")</f>
        <v/>
      </c>
      <c r="K4363" s="7" t="str">
        <f>IF(Table1[[#This Row],[Is Data Valid]]=TRUE,_xlfn.NORM.S.DIST(Table1[[#This Row],[Birthweight Z-Score (BW-10%)]],TRUE)*100,"")</f>
        <v/>
      </c>
      <c r="L4363" s="7" t="str">
        <f>IF(Table1[[#This Row],[Is Data Valid]]=TRUE,_xlfn.NORM.S.DIST(Table1[[#This Row],[Birthweight Z-Score (BW+10%)]],TRUE)*100,"")</f>
        <v/>
      </c>
    </row>
    <row r="4364" spans="1:12" x14ac:dyDescent="0.35">
      <c r="A4364" s="3"/>
      <c r="B4364" s="2"/>
      <c r="C4364" s="2"/>
      <c r="D4364" s="2" t="b">
        <f>IF(AND(NOT(ISBLANK(Table1[[#This Row],[Fetal Sex (Male, Female or Unknown)]])),ISNUMBER(Table1[[#This Row],[Birthweight (grams)]]),ISNUMBER(Table1[[#This Row],[Gestation (days)]])),TRUE,FALSE)</f>
        <v>0</v>
      </c>
      <c r="E4364" s="2" t="str">
        <f>IF(Table1[[#This Row],[Is Data Valid]]=TRUE,IF(Table1[[#This Row],[Fetal Sex (Male, Female or Unknown)]]="Male",Backend!$C$6,IF(Table1[[#This Row],[Fetal Sex (Male, Female or Unknown)]]="Female",Backend!$C$7,IF(Table1[[#This Row],[Fetal Sex (Male, Female or Unknown)]]="Unknown",Backend!$C$8,"Error"))),"")</f>
        <v/>
      </c>
      <c r="F4364" s="8" t="str">
        <f>IF(Table1[[#This Row],[Is Data Valid]]=TRUE,EXP(0.578+0.332*((Table1[[#This Row],[Gestation (days)]]+0.5)/7)-0.00354*((Table1[[#This Row],[Gestation (days)]]+0.5)/7)^2)*Table1[[#This Row],[BW40_3705]],"")</f>
        <v/>
      </c>
      <c r="G4364" s="2" t="str">
        <f>IF(Table1[[#This Row],[Is Data Valid]]=TRUE,((Table1[[#This Row],[Birthweight (grams)]]/Table1[[#This Row],[BW_GA]])-1)/(Backend!$B$4/100*Table1[[#This Row],[BW40_3705]]),"")</f>
        <v/>
      </c>
      <c r="H4364" s="7" t="str">
        <f>IF(Table1[[#This Row],[Is Data Valid]]=TRUE,((Table1[[#This Row],[Birthweight (grams)]]*0.9/Table1[[#This Row],[BW_GA]])-1)/(Backend!$B$4/100*Table1[[#This Row],[BW40_3705]]),"")</f>
        <v/>
      </c>
      <c r="I4364" s="7" t="str">
        <f>IF(Table1[[#This Row],[Is Data Valid]]=TRUE,((Table1[[#This Row],[Birthweight (grams)]]*1.1/Table1[[#This Row],[BW_GA]])-1)/(Backend!$B$4/100*Table1[[#This Row],[BW40_3705]]),"")</f>
        <v/>
      </c>
      <c r="J4364" s="7" t="str">
        <f>IF(Table1[[#This Row],[Is Data Valid]]=TRUE,_xlfn.NORM.S.DIST(Table1[[#This Row],[Birthweight Z-Score]],TRUE)*100,"")</f>
        <v/>
      </c>
      <c r="K4364" s="7" t="str">
        <f>IF(Table1[[#This Row],[Is Data Valid]]=TRUE,_xlfn.NORM.S.DIST(Table1[[#This Row],[Birthweight Z-Score (BW-10%)]],TRUE)*100,"")</f>
        <v/>
      </c>
      <c r="L4364" s="7" t="str">
        <f>IF(Table1[[#This Row],[Is Data Valid]]=TRUE,_xlfn.NORM.S.DIST(Table1[[#This Row],[Birthweight Z-Score (BW+10%)]],TRUE)*100,"")</f>
        <v/>
      </c>
    </row>
    <row r="4365" spans="1:12" x14ac:dyDescent="0.35">
      <c r="A4365" s="3"/>
      <c r="B4365" s="2"/>
      <c r="C4365" s="2"/>
      <c r="D4365" s="2" t="b">
        <f>IF(AND(NOT(ISBLANK(Table1[[#This Row],[Fetal Sex (Male, Female or Unknown)]])),ISNUMBER(Table1[[#This Row],[Birthweight (grams)]]),ISNUMBER(Table1[[#This Row],[Gestation (days)]])),TRUE,FALSE)</f>
        <v>0</v>
      </c>
      <c r="E4365" s="2" t="str">
        <f>IF(Table1[[#This Row],[Is Data Valid]]=TRUE,IF(Table1[[#This Row],[Fetal Sex (Male, Female or Unknown)]]="Male",Backend!$C$6,IF(Table1[[#This Row],[Fetal Sex (Male, Female or Unknown)]]="Female",Backend!$C$7,IF(Table1[[#This Row],[Fetal Sex (Male, Female or Unknown)]]="Unknown",Backend!$C$8,"Error"))),"")</f>
        <v/>
      </c>
      <c r="F4365" s="8" t="str">
        <f>IF(Table1[[#This Row],[Is Data Valid]]=TRUE,EXP(0.578+0.332*((Table1[[#This Row],[Gestation (days)]]+0.5)/7)-0.00354*((Table1[[#This Row],[Gestation (days)]]+0.5)/7)^2)*Table1[[#This Row],[BW40_3705]],"")</f>
        <v/>
      </c>
      <c r="G4365" s="2" t="str">
        <f>IF(Table1[[#This Row],[Is Data Valid]]=TRUE,((Table1[[#This Row],[Birthweight (grams)]]/Table1[[#This Row],[BW_GA]])-1)/(Backend!$B$4/100*Table1[[#This Row],[BW40_3705]]),"")</f>
        <v/>
      </c>
      <c r="H4365" s="7" t="str">
        <f>IF(Table1[[#This Row],[Is Data Valid]]=TRUE,((Table1[[#This Row],[Birthweight (grams)]]*0.9/Table1[[#This Row],[BW_GA]])-1)/(Backend!$B$4/100*Table1[[#This Row],[BW40_3705]]),"")</f>
        <v/>
      </c>
      <c r="I4365" s="7" t="str">
        <f>IF(Table1[[#This Row],[Is Data Valid]]=TRUE,((Table1[[#This Row],[Birthweight (grams)]]*1.1/Table1[[#This Row],[BW_GA]])-1)/(Backend!$B$4/100*Table1[[#This Row],[BW40_3705]]),"")</f>
        <v/>
      </c>
      <c r="J4365" s="7" t="str">
        <f>IF(Table1[[#This Row],[Is Data Valid]]=TRUE,_xlfn.NORM.S.DIST(Table1[[#This Row],[Birthweight Z-Score]],TRUE)*100,"")</f>
        <v/>
      </c>
      <c r="K4365" s="7" t="str">
        <f>IF(Table1[[#This Row],[Is Data Valid]]=TRUE,_xlfn.NORM.S.DIST(Table1[[#This Row],[Birthweight Z-Score (BW-10%)]],TRUE)*100,"")</f>
        <v/>
      </c>
      <c r="L4365" s="7" t="str">
        <f>IF(Table1[[#This Row],[Is Data Valid]]=TRUE,_xlfn.NORM.S.DIST(Table1[[#This Row],[Birthweight Z-Score (BW+10%)]],TRUE)*100,"")</f>
        <v/>
      </c>
    </row>
    <row r="4366" spans="1:12" x14ac:dyDescent="0.35">
      <c r="A4366" s="3"/>
      <c r="B4366" s="2"/>
      <c r="C4366" s="2"/>
      <c r="D4366" s="2" t="b">
        <f>IF(AND(NOT(ISBLANK(Table1[[#This Row],[Fetal Sex (Male, Female or Unknown)]])),ISNUMBER(Table1[[#This Row],[Birthweight (grams)]]),ISNUMBER(Table1[[#This Row],[Gestation (days)]])),TRUE,FALSE)</f>
        <v>0</v>
      </c>
      <c r="E4366" s="2" t="str">
        <f>IF(Table1[[#This Row],[Is Data Valid]]=TRUE,IF(Table1[[#This Row],[Fetal Sex (Male, Female or Unknown)]]="Male",Backend!$C$6,IF(Table1[[#This Row],[Fetal Sex (Male, Female or Unknown)]]="Female",Backend!$C$7,IF(Table1[[#This Row],[Fetal Sex (Male, Female or Unknown)]]="Unknown",Backend!$C$8,"Error"))),"")</f>
        <v/>
      </c>
      <c r="F4366" s="8" t="str">
        <f>IF(Table1[[#This Row],[Is Data Valid]]=TRUE,EXP(0.578+0.332*((Table1[[#This Row],[Gestation (days)]]+0.5)/7)-0.00354*((Table1[[#This Row],[Gestation (days)]]+0.5)/7)^2)*Table1[[#This Row],[BW40_3705]],"")</f>
        <v/>
      </c>
      <c r="G4366" s="2" t="str">
        <f>IF(Table1[[#This Row],[Is Data Valid]]=TRUE,((Table1[[#This Row],[Birthweight (grams)]]/Table1[[#This Row],[BW_GA]])-1)/(Backend!$B$4/100*Table1[[#This Row],[BW40_3705]]),"")</f>
        <v/>
      </c>
      <c r="H4366" s="7" t="str">
        <f>IF(Table1[[#This Row],[Is Data Valid]]=TRUE,((Table1[[#This Row],[Birthweight (grams)]]*0.9/Table1[[#This Row],[BW_GA]])-1)/(Backend!$B$4/100*Table1[[#This Row],[BW40_3705]]),"")</f>
        <v/>
      </c>
      <c r="I4366" s="7" t="str">
        <f>IF(Table1[[#This Row],[Is Data Valid]]=TRUE,((Table1[[#This Row],[Birthweight (grams)]]*1.1/Table1[[#This Row],[BW_GA]])-1)/(Backend!$B$4/100*Table1[[#This Row],[BW40_3705]]),"")</f>
        <v/>
      </c>
      <c r="J4366" s="7" t="str">
        <f>IF(Table1[[#This Row],[Is Data Valid]]=TRUE,_xlfn.NORM.S.DIST(Table1[[#This Row],[Birthweight Z-Score]],TRUE)*100,"")</f>
        <v/>
      </c>
      <c r="K4366" s="7" t="str">
        <f>IF(Table1[[#This Row],[Is Data Valid]]=TRUE,_xlfn.NORM.S.DIST(Table1[[#This Row],[Birthweight Z-Score (BW-10%)]],TRUE)*100,"")</f>
        <v/>
      </c>
      <c r="L4366" s="7" t="str">
        <f>IF(Table1[[#This Row],[Is Data Valid]]=TRUE,_xlfn.NORM.S.DIST(Table1[[#This Row],[Birthweight Z-Score (BW+10%)]],TRUE)*100,"")</f>
        <v/>
      </c>
    </row>
    <row r="4367" spans="1:12" x14ac:dyDescent="0.35">
      <c r="A4367" s="3"/>
      <c r="B4367" s="2"/>
      <c r="C4367" s="2"/>
      <c r="D4367" s="2" t="b">
        <f>IF(AND(NOT(ISBLANK(Table1[[#This Row],[Fetal Sex (Male, Female or Unknown)]])),ISNUMBER(Table1[[#This Row],[Birthweight (grams)]]),ISNUMBER(Table1[[#This Row],[Gestation (days)]])),TRUE,FALSE)</f>
        <v>0</v>
      </c>
      <c r="E4367" s="2" t="str">
        <f>IF(Table1[[#This Row],[Is Data Valid]]=TRUE,IF(Table1[[#This Row],[Fetal Sex (Male, Female or Unknown)]]="Male",Backend!$C$6,IF(Table1[[#This Row],[Fetal Sex (Male, Female or Unknown)]]="Female",Backend!$C$7,IF(Table1[[#This Row],[Fetal Sex (Male, Female or Unknown)]]="Unknown",Backend!$C$8,"Error"))),"")</f>
        <v/>
      </c>
      <c r="F4367" s="8" t="str">
        <f>IF(Table1[[#This Row],[Is Data Valid]]=TRUE,EXP(0.578+0.332*((Table1[[#This Row],[Gestation (days)]]+0.5)/7)-0.00354*((Table1[[#This Row],[Gestation (days)]]+0.5)/7)^2)*Table1[[#This Row],[BW40_3705]],"")</f>
        <v/>
      </c>
      <c r="G4367" s="2" t="str">
        <f>IF(Table1[[#This Row],[Is Data Valid]]=TRUE,((Table1[[#This Row],[Birthweight (grams)]]/Table1[[#This Row],[BW_GA]])-1)/(Backend!$B$4/100*Table1[[#This Row],[BW40_3705]]),"")</f>
        <v/>
      </c>
      <c r="H4367" s="7" t="str">
        <f>IF(Table1[[#This Row],[Is Data Valid]]=TRUE,((Table1[[#This Row],[Birthweight (grams)]]*0.9/Table1[[#This Row],[BW_GA]])-1)/(Backend!$B$4/100*Table1[[#This Row],[BW40_3705]]),"")</f>
        <v/>
      </c>
      <c r="I4367" s="7" t="str">
        <f>IF(Table1[[#This Row],[Is Data Valid]]=TRUE,((Table1[[#This Row],[Birthweight (grams)]]*1.1/Table1[[#This Row],[BW_GA]])-1)/(Backend!$B$4/100*Table1[[#This Row],[BW40_3705]]),"")</f>
        <v/>
      </c>
      <c r="J4367" s="7" t="str">
        <f>IF(Table1[[#This Row],[Is Data Valid]]=TRUE,_xlfn.NORM.S.DIST(Table1[[#This Row],[Birthweight Z-Score]],TRUE)*100,"")</f>
        <v/>
      </c>
      <c r="K4367" s="7" t="str">
        <f>IF(Table1[[#This Row],[Is Data Valid]]=TRUE,_xlfn.NORM.S.DIST(Table1[[#This Row],[Birthweight Z-Score (BW-10%)]],TRUE)*100,"")</f>
        <v/>
      </c>
      <c r="L4367" s="7" t="str">
        <f>IF(Table1[[#This Row],[Is Data Valid]]=TRUE,_xlfn.NORM.S.DIST(Table1[[#This Row],[Birthweight Z-Score (BW+10%)]],TRUE)*100,"")</f>
        <v/>
      </c>
    </row>
    <row r="4368" spans="1:12" x14ac:dyDescent="0.35">
      <c r="A4368" s="3"/>
      <c r="B4368" s="2"/>
      <c r="C4368" s="2"/>
      <c r="D4368" s="2" t="b">
        <f>IF(AND(NOT(ISBLANK(Table1[[#This Row],[Fetal Sex (Male, Female or Unknown)]])),ISNUMBER(Table1[[#This Row],[Birthweight (grams)]]),ISNUMBER(Table1[[#This Row],[Gestation (days)]])),TRUE,FALSE)</f>
        <v>0</v>
      </c>
      <c r="E4368" s="2" t="str">
        <f>IF(Table1[[#This Row],[Is Data Valid]]=TRUE,IF(Table1[[#This Row],[Fetal Sex (Male, Female or Unknown)]]="Male",Backend!$C$6,IF(Table1[[#This Row],[Fetal Sex (Male, Female or Unknown)]]="Female",Backend!$C$7,IF(Table1[[#This Row],[Fetal Sex (Male, Female or Unknown)]]="Unknown",Backend!$C$8,"Error"))),"")</f>
        <v/>
      </c>
      <c r="F4368" s="8" t="str">
        <f>IF(Table1[[#This Row],[Is Data Valid]]=TRUE,EXP(0.578+0.332*((Table1[[#This Row],[Gestation (days)]]+0.5)/7)-0.00354*((Table1[[#This Row],[Gestation (days)]]+0.5)/7)^2)*Table1[[#This Row],[BW40_3705]],"")</f>
        <v/>
      </c>
      <c r="G4368" s="2" t="str">
        <f>IF(Table1[[#This Row],[Is Data Valid]]=TRUE,((Table1[[#This Row],[Birthweight (grams)]]/Table1[[#This Row],[BW_GA]])-1)/(Backend!$B$4/100*Table1[[#This Row],[BW40_3705]]),"")</f>
        <v/>
      </c>
      <c r="H4368" s="7" t="str">
        <f>IF(Table1[[#This Row],[Is Data Valid]]=TRUE,((Table1[[#This Row],[Birthweight (grams)]]*0.9/Table1[[#This Row],[BW_GA]])-1)/(Backend!$B$4/100*Table1[[#This Row],[BW40_3705]]),"")</f>
        <v/>
      </c>
      <c r="I4368" s="7" t="str">
        <f>IF(Table1[[#This Row],[Is Data Valid]]=TRUE,((Table1[[#This Row],[Birthweight (grams)]]*1.1/Table1[[#This Row],[BW_GA]])-1)/(Backend!$B$4/100*Table1[[#This Row],[BW40_3705]]),"")</f>
        <v/>
      </c>
      <c r="J4368" s="7" t="str">
        <f>IF(Table1[[#This Row],[Is Data Valid]]=TRUE,_xlfn.NORM.S.DIST(Table1[[#This Row],[Birthweight Z-Score]],TRUE)*100,"")</f>
        <v/>
      </c>
      <c r="K4368" s="7" t="str">
        <f>IF(Table1[[#This Row],[Is Data Valid]]=TRUE,_xlfn.NORM.S.DIST(Table1[[#This Row],[Birthweight Z-Score (BW-10%)]],TRUE)*100,"")</f>
        <v/>
      </c>
      <c r="L4368" s="7" t="str">
        <f>IF(Table1[[#This Row],[Is Data Valid]]=TRUE,_xlfn.NORM.S.DIST(Table1[[#This Row],[Birthweight Z-Score (BW+10%)]],TRUE)*100,"")</f>
        <v/>
      </c>
    </row>
    <row r="4369" spans="1:12" x14ac:dyDescent="0.35">
      <c r="A4369" s="3"/>
      <c r="B4369" s="2"/>
      <c r="C4369" s="2"/>
      <c r="D4369" s="2" t="b">
        <f>IF(AND(NOT(ISBLANK(Table1[[#This Row],[Fetal Sex (Male, Female or Unknown)]])),ISNUMBER(Table1[[#This Row],[Birthweight (grams)]]),ISNUMBER(Table1[[#This Row],[Gestation (days)]])),TRUE,FALSE)</f>
        <v>0</v>
      </c>
      <c r="E4369" s="2" t="str">
        <f>IF(Table1[[#This Row],[Is Data Valid]]=TRUE,IF(Table1[[#This Row],[Fetal Sex (Male, Female or Unknown)]]="Male",Backend!$C$6,IF(Table1[[#This Row],[Fetal Sex (Male, Female or Unknown)]]="Female",Backend!$C$7,IF(Table1[[#This Row],[Fetal Sex (Male, Female or Unknown)]]="Unknown",Backend!$C$8,"Error"))),"")</f>
        <v/>
      </c>
      <c r="F4369" s="8" t="str">
        <f>IF(Table1[[#This Row],[Is Data Valid]]=TRUE,EXP(0.578+0.332*((Table1[[#This Row],[Gestation (days)]]+0.5)/7)-0.00354*((Table1[[#This Row],[Gestation (days)]]+0.5)/7)^2)*Table1[[#This Row],[BW40_3705]],"")</f>
        <v/>
      </c>
      <c r="G4369" s="2" t="str">
        <f>IF(Table1[[#This Row],[Is Data Valid]]=TRUE,((Table1[[#This Row],[Birthweight (grams)]]/Table1[[#This Row],[BW_GA]])-1)/(Backend!$B$4/100*Table1[[#This Row],[BW40_3705]]),"")</f>
        <v/>
      </c>
      <c r="H4369" s="7" t="str">
        <f>IF(Table1[[#This Row],[Is Data Valid]]=TRUE,((Table1[[#This Row],[Birthweight (grams)]]*0.9/Table1[[#This Row],[BW_GA]])-1)/(Backend!$B$4/100*Table1[[#This Row],[BW40_3705]]),"")</f>
        <v/>
      </c>
      <c r="I4369" s="7" t="str">
        <f>IF(Table1[[#This Row],[Is Data Valid]]=TRUE,((Table1[[#This Row],[Birthweight (grams)]]*1.1/Table1[[#This Row],[BW_GA]])-1)/(Backend!$B$4/100*Table1[[#This Row],[BW40_3705]]),"")</f>
        <v/>
      </c>
      <c r="J4369" s="7" t="str">
        <f>IF(Table1[[#This Row],[Is Data Valid]]=TRUE,_xlfn.NORM.S.DIST(Table1[[#This Row],[Birthweight Z-Score]],TRUE)*100,"")</f>
        <v/>
      </c>
      <c r="K4369" s="7" t="str">
        <f>IF(Table1[[#This Row],[Is Data Valid]]=TRUE,_xlfn.NORM.S.DIST(Table1[[#This Row],[Birthweight Z-Score (BW-10%)]],TRUE)*100,"")</f>
        <v/>
      </c>
      <c r="L4369" s="7" t="str">
        <f>IF(Table1[[#This Row],[Is Data Valid]]=TRUE,_xlfn.NORM.S.DIST(Table1[[#This Row],[Birthweight Z-Score (BW+10%)]],TRUE)*100,"")</f>
        <v/>
      </c>
    </row>
    <row r="4370" spans="1:12" x14ac:dyDescent="0.35">
      <c r="A4370" s="3"/>
      <c r="B4370" s="2"/>
      <c r="C4370" s="2"/>
      <c r="D4370" s="2" t="b">
        <f>IF(AND(NOT(ISBLANK(Table1[[#This Row],[Fetal Sex (Male, Female or Unknown)]])),ISNUMBER(Table1[[#This Row],[Birthweight (grams)]]),ISNUMBER(Table1[[#This Row],[Gestation (days)]])),TRUE,FALSE)</f>
        <v>0</v>
      </c>
      <c r="E4370" s="2" t="str">
        <f>IF(Table1[[#This Row],[Is Data Valid]]=TRUE,IF(Table1[[#This Row],[Fetal Sex (Male, Female or Unknown)]]="Male",Backend!$C$6,IF(Table1[[#This Row],[Fetal Sex (Male, Female or Unknown)]]="Female",Backend!$C$7,IF(Table1[[#This Row],[Fetal Sex (Male, Female or Unknown)]]="Unknown",Backend!$C$8,"Error"))),"")</f>
        <v/>
      </c>
      <c r="F4370" s="8" t="str">
        <f>IF(Table1[[#This Row],[Is Data Valid]]=TRUE,EXP(0.578+0.332*((Table1[[#This Row],[Gestation (days)]]+0.5)/7)-0.00354*((Table1[[#This Row],[Gestation (days)]]+0.5)/7)^2)*Table1[[#This Row],[BW40_3705]],"")</f>
        <v/>
      </c>
      <c r="G4370" s="2" t="str">
        <f>IF(Table1[[#This Row],[Is Data Valid]]=TRUE,((Table1[[#This Row],[Birthweight (grams)]]/Table1[[#This Row],[BW_GA]])-1)/(Backend!$B$4/100*Table1[[#This Row],[BW40_3705]]),"")</f>
        <v/>
      </c>
      <c r="H4370" s="7" t="str">
        <f>IF(Table1[[#This Row],[Is Data Valid]]=TRUE,((Table1[[#This Row],[Birthweight (grams)]]*0.9/Table1[[#This Row],[BW_GA]])-1)/(Backend!$B$4/100*Table1[[#This Row],[BW40_3705]]),"")</f>
        <v/>
      </c>
      <c r="I4370" s="7" t="str">
        <f>IF(Table1[[#This Row],[Is Data Valid]]=TRUE,((Table1[[#This Row],[Birthweight (grams)]]*1.1/Table1[[#This Row],[BW_GA]])-1)/(Backend!$B$4/100*Table1[[#This Row],[BW40_3705]]),"")</f>
        <v/>
      </c>
      <c r="J4370" s="7" t="str">
        <f>IF(Table1[[#This Row],[Is Data Valid]]=TRUE,_xlfn.NORM.S.DIST(Table1[[#This Row],[Birthweight Z-Score]],TRUE)*100,"")</f>
        <v/>
      </c>
      <c r="K4370" s="7" t="str">
        <f>IF(Table1[[#This Row],[Is Data Valid]]=TRUE,_xlfn.NORM.S.DIST(Table1[[#This Row],[Birthweight Z-Score (BW-10%)]],TRUE)*100,"")</f>
        <v/>
      </c>
      <c r="L4370" s="7" t="str">
        <f>IF(Table1[[#This Row],[Is Data Valid]]=TRUE,_xlfn.NORM.S.DIST(Table1[[#This Row],[Birthweight Z-Score (BW+10%)]],TRUE)*100,"")</f>
        <v/>
      </c>
    </row>
    <row r="4371" spans="1:12" x14ac:dyDescent="0.35">
      <c r="A4371" s="3"/>
      <c r="B4371" s="2"/>
      <c r="C4371" s="2"/>
      <c r="D4371" s="2" t="b">
        <f>IF(AND(NOT(ISBLANK(Table1[[#This Row],[Fetal Sex (Male, Female or Unknown)]])),ISNUMBER(Table1[[#This Row],[Birthweight (grams)]]),ISNUMBER(Table1[[#This Row],[Gestation (days)]])),TRUE,FALSE)</f>
        <v>0</v>
      </c>
      <c r="E4371" s="2" t="str">
        <f>IF(Table1[[#This Row],[Is Data Valid]]=TRUE,IF(Table1[[#This Row],[Fetal Sex (Male, Female or Unknown)]]="Male",Backend!$C$6,IF(Table1[[#This Row],[Fetal Sex (Male, Female or Unknown)]]="Female",Backend!$C$7,IF(Table1[[#This Row],[Fetal Sex (Male, Female or Unknown)]]="Unknown",Backend!$C$8,"Error"))),"")</f>
        <v/>
      </c>
      <c r="F4371" s="8" t="str">
        <f>IF(Table1[[#This Row],[Is Data Valid]]=TRUE,EXP(0.578+0.332*((Table1[[#This Row],[Gestation (days)]]+0.5)/7)-0.00354*((Table1[[#This Row],[Gestation (days)]]+0.5)/7)^2)*Table1[[#This Row],[BW40_3705]],"")</f>
        <v/>
      </c>
      <c r="G4371" s="2" t="str">
        <f>IF(Table1[[#This Row],[Is Data Valid]]=TRUE,((Table1[[#This Row],[Birthweight (grams)]]/Table1[[#This Row],[BW_GA]])-1)/(Backend!$B$4/100*Table1[[#This Row],[BW40_3705]]),"")</f>
        <v/>
      </c>
      <c r="H4371" s="7" t="str">
        <f>IF(Table1[[#This Row],[Is Data Valid]]=TRUE,((Table1[[#This Row],[Birthweight (grams)]]*0.9/Table1[[#This Row],[BW_GA]])-1)/(Backend!$B$4/100*Table1[[#This Row],[BW40_3705]]),"")</f>
        <v/>
      </c>
      <c r="I4371" s="7" t="str">
        <f>IF(Table1[[#This Row],[Is Data Valid]]=TRUE,((Table1[[#This Row],[Birthweight (grams)]]*1.1/Table1[[#This Row],[BW_GA]])-1)/(Backend!$B$4/100*Table1[[#This Row],[BW40_3705]]),"")</f>
        <v/>
      </c>
      <c r="J4371" s="7" t="str">
        <f>IF(Table1[[#This Row],[Is Data Valid]]=TRUE,_xlfn.NORM.S.DIST(Table1[[#This Row],[Birthweight Z-Score]],TRUE)*100,"")</f>
        <v/>
      </c>
      <c r="K4371" s="7" t="str">
        <f>IF(Table1[[#This Row],[Is Data Valid]]=TRUE,_xlfn.NORM.S.DIST(Table1[[#This Row],[Birthweight Z-Score (BW-10%)]],TRUE)*100,"")</f>
        <v/>
      </c>
      <c r="L4371" s="7" t="str">
        <f>IF(Table1[[#This Row],[Is Data Valid]]=TRUE,_xlfn.NORM.S.DIST(Table1[[#This Row],[Birthweight Z-Score (BW+10%)]],TRUE)*100,"")</f>
        <v/>
      </c>
    </row>
    <row r="4372" spans="1:12" x14ac:dyDescent="0.35">
      <c r="A4372" s="3"/>
      <c r="B4372" s="2"/>
      <c r="C4372" s="2"/>
      <c r="D4372" s="2" t="b">
        <f>IF(AND(NOT(ISBLANK(Table1[[#This Row],[Fetal Sex (Male, Female or Unknown)]])),ISNUMBER(Table1[[#This Row],[Birthweight (grams)]]),ISNUMBER(Table1[[#This Row],[Gestation (days)]])),TRUE,FALSE)</f>
        <v>0</v>
      </c>
      <c r="E4372" s="2" t="str">
        <f>IF(Table1[[#This Row],[Is Data Valid]]=TRUE,IF(Table1[[#This Row],[Fetal Sex (Male, Female or Unknown)]]="Male",Backend!$C$6,IF(Table1[[#This Row],[Fetal Sex (Male, Female or Unknown)]]="Female",Backend!$C$7,IF(Table1[[#This Row],[Fetal Sex (Male, Female or Unknown)]]="Unknown",Backend!$C$8,"Error"))),"")</f>
        <v/>
      </c>
      <c r="F4372" s="8" t="str">
        <f>IF(Table1[[#This Row],[Is Data Valid]]=TRUE,EXP(0.578+0.332*((Table1[[#This Row],[Gestation (days)]]+0.5)/7)-0.00354*((Table1[[#This Row],[Gestation (days)]]+0.5)/7)^2)*Table1[[#This Row],[BW40_3705]],"")</f>
        <v/>
      </c>
      <c r="G4372" s="2" t="str">
        <f>IF(Table1[[#This Row],[Is Data Valid]]=TRUE,((Table1[[#This Row],[Birthweight (grams)]]/Table1[[#This Row],[BW_GA]])-1)/(Backend!$B$4/100*Table1[[#This Row],[BW40_3705]]),"")</f>
        <v/>
      </c>
      <c r="H4372" s="7" t="str">
        <f>IF(Table1[[#This Row],[Is Data Valid]]=TRUE,((Table1[[#This Row],[Birthweight (grams)]]*0.9/Table1[[#This Row],[BW_GA]])-1)/(Backend!$B$4/100*Table1[[#This Row],[BW40_3705]]),"")</f>
        <v/>
      </c>
      <c r="I4372" s="7" t="str">
        <f>IF(Table1[[#This Row],[Is Data Valid]]=TRUE,((Table1[[#This Row],[Birthweight (grams)]]*1.1/Table1[[#This Row],[BW_GA]])-1)/(Backend!$B$4/100*Table1[[#This Row],[BW40_3705]]),"")</f>
        <v/>
      </c>
      <c r="J4372" s="7" t="str">
        <f>IF(Table1[[#This Row],[Is Data Valid]]=TRUE,_xlfn.NORM.S.DIST(Table1[[#This Row],[Birthweight Z-Score]],TRUE)*100,"")</f>
        <v/>
      </c>
      <c r="K4372" s="7" t="str">
        <f>IF(Table1[[#This Row],[Is Data Valid]]=TRUE,_xlfn.NORM.S.DIST(Table1[[#This Row],[Birthweight Z-Score (BW-10%)]],TRUE)*100,"")</f>
        <v/>
      </c>
      <c r="L4372" s="7" t="str">
        <f>IF(Table1[[#This Row],[Is Data Valid]]=TRUE,_xlfn.NORM.S.DIST(Table1[[#This Row],[Birthweight Z-Score (BW+10%)]],TRUE)*100,"")</f>
        <v/>
      </c>
    </row>
    <row r="4373" spans="1:12" x14ac:dyDescent="0.35">
      <c r="A4373" s="3"/>
      <c r="B4373" s="2"/>
      <c r="C4373" s="2"/>
      <c r="D4373" s="2" t="b">
        <f>IF(AND(NOT(ISBLANK(Table1[[#This Row],[Fetal Sex (Male, Female or Unknown)]])),ISNUMBER(Table1[[#This Row],[Birthweight (grams)]]),ISNUMBER(Table1[[#This Row],[Gestation (days)]])),TRUE,FALSE)</f>
        <v>0</v>
      </c>
      <c r="E4373" s="2" t="str">
        <f>IF(Table1[[#This Row],[Is Data Valid]]=TRUE,IF(Table1[[#This Row],[Fetal Sex (Male, Female or Unknown)]]="Male",Backend!$C$6,IF(Table1[[#This Row],[Fetal Sex (Male, Female or Unknown)]]="Female",Backend!$C$7,IF(Table1[[#This Row],[Fetal Sex (Male, Female or Unknown)]]="Unknown",Backend!$C$8,"Error"))),"")</f>
        <v/>
      </c>
      <c r="F4373" s="8" t="str">
        <f>IF(Table1[[#This Row],[Is Data Valid]]=TRUE,EXP(0.578+0.332*((Table1[[#This Row],[Gestation (days)]]+0.5)/7)-0.00354*((Table1[[#This Row],[Gestation (days)]]+0.5)/7)^2)*Table1[[#This Row],[BW40_3705]],"")</f>
        <v/>
      </c>
      <c r="G4373" s="2" t="str">
        <f>IF(Table1[[#This Row],[Is Data Valid]]=TRUE,((Table1[[#This Row],[Birthweight (grams)]]/Table1[[#This Row],[BW_GA]])-1)/(Backend!$B$4/100*Table1[[#This Row],[BW40_3705]]),"")</f>
        <v/>
      </c>
      <c r="H4373" s="7" t="str">
        <f>IF(Table1[[#This Row],[Is Data Valid]]=TRUE,((Table1[[#This Row],[Birthweight (grams)]]*0.9/Table1[[#This Row],[BW_GA]])-1)/(Backend!$B$4/100*Table1[[#This Row],[BW40_3705]]),"")</f>
        <v/>
      </c>
      <c r="I4373" s="7" t="str">
        <f>IF(Table1[[#This Row],[Is Data Valid]]=TRUE,((Table1[[#This Row],[Birthweight (grams)]]*1.1/Table1[[#This Row],[BW_GA]])-1)/(Backend!$B$4/100*Table1[[#This Row],[BW40_3705]]),"")</f>
        <v/>
      </c>
      <c r="J4373" s="7" t="str">
        <f>IF(Table1[[#This Row],[Is Data Valid]]=TRUE,_xlfn.NORM.S.DIST(Table1[[#This Row],[Birthweight Z-Score]],TRUE)*100,"")</f>
        <v/>
      </c>
      <c r="K4373" s="7" t="str">
        <f>IF(Table1[[#This Row],[Is Data Valid]]=TRUE,_xlfn.NORM.S.DIST(Table1[[#This Row],[Birthweight Z-Score (BW-10%)]],TRUE)*100,"")</f>
        <v/>
      </c>
      <c r="L4373" s="7" t="str">
        <f>IF(Table1[[#This Row],[Is Data Valid]]=TRUE,_xlfn.NORM.S.DIST(Table1[[#This Row],[Birthweight Z-Score (BW+10%)]],TRUE)*100,"")</f>
        <v/>
      </c>
    </row>
    <row r="4374" spans="1:12" x14ac:dyDescent="0.35">
      <c r="A4374" s="3"/>
      <c r="B4374" s="2"/>
      <c r="C4374" s="2"/>
      <c r="D4374" s="2" t="b">
        <f>IF(AND(NOT(ISBLANK(Table1[[#This Row],[Fetal Sex (Male, Female or Unknown)]])),ISNUMBER(Table1[[#This Row],[Birthweight (grams)]]),ISNUMBER(Table1[[#This Row],[Gestation (days)]])),TRUE,FALSE)</f>
        <v>0</v>
      </c>
      <c r="E4374" s="2" t="str">
        <f>IF(Table1[[#This Row],[Is Data Valid]]=TRUE,IF(Table1[[#This Row],[Fetal Sex (Male, Female or Unknown)]]="Male",Backend!$C$6,IF(Table1[[#This Row],[Fetal Sex (Male, Female or Unknown)]]="Female",Backend!$C$7,IF(Table1[[#This Row],[Fetal Sex (Male, Female or Unknown)]]="Unknown",Backend!$C$8,"Error"))),"")</f>
        <v/>
      </c>
      <c r="F4374" s="8" t="str">
        <f>IF(Table1[[#This Row],[Is Data Valid]]=TRUE,EXP(0.578+0.332*((Table1[[#This Row],[Gestation (days)]]+0.5)/7)-0.00354*((Table1[[#This Row],[Gestation (days)]]+0.5)/7)^2)*Table1[[#This Row],[BW40_3705]],"")</f>
        <v/>
      </c>
      <c r="G4374" s="2" t="str">
        <f>IF(Table1[[#This Row],[Is Data Valid]]=TRUE,((Table1[[#This Row],[Birthweight (grams)]]/Table1[[#This Row],[BW_GA]])-1)/(Backend!$B$4/100*Table1[[#This Row],[BW40_3705]]),"")</f>
        <v/>
      </c>
      <c r="H4374" s="7" t="str">
        <f>IF(Table1[[#This Row],[Is Data Valid]]=TRUE,((Table1[[#This Row],[Birthweight (grams)]]*0.9/Table1[[#This Row],[BW_GA]])-1)/(Backend!$B$4/100*Table1[[#This Row],[BW40_3705]]),"")</f>
        <v/>
      </c>
      <c r="I4374" s="7" t="str">
        <f>IF(Table1[[#This Row],[Is Data Valid]]=TRUE,((Table1[[#This Row],[Birthweight (grams)]]*1.1/Table1[[#This Row],[BW_GA]])-1)/(Backend!$B$4/100*Table1[[#This Row],[BW40_3705]]),"")</f>
        <v/>
      </c>
      <c r="J4374" s="7" t="str">
        <f>IF(Table1[[#This Row],[Is Data Valid]]=TRUE,_xlfn.NORM.S.DIST(Table1[[#This Row],[Birthweight Z-Score]],TRUE)*100,"")</f>
        <v/>
      </c>
      <c r="K4374" s="7" t="str">
        <f>IF(Table1[[#This Row],[Is Data Valid]]=TRUE,_xlfn.NORM.S.DIST(Table1[[#This Row],[Birthweight Z-Score (BW-10%)]],TRUE)*100,"")</f>
        <v/>
      </c>
      <c r="L4374" s="7" t="str">
        <f>IF(Table1[[#This Row],[Is Data Valid]]=TRUE,_xlfn.NORM.S.DIST(Table1[[#This Row],[Birthweight Z-Score (BW+10%)]],TRUE)*100,"")</f>
        <v/>
      </c>
    </row>
    <row r="4375" spans="1:12" x14ac:dyDescent="0.35">
      <c r="A4375" s="3"/>
      <c r="B4375" s="2"/>
      <c r="C4375" s="2"/>
      <c r="D4375" s="2" t="b">
        <f>IF(AND(NOT(ISBLANK(Table1[[#This Row],[Fetal Sex (Male, Female or Unknown)]])),ISNUMBER(Table1[[#This Row],[Birthweight (grams)]]),ISNUMBER(Table1[[#This Row],[Gestation (days)]])),TRUE,FALSE)</f>
        <v>0</v>
      </c>
      <c r="E4375" s="2" t="str">
        <f>IF(Table1[[#This Row],[Is Data Valid]]=TRUE,IF(Table1[[#This Row],[Fetal Sex (Male, Female or Unknown)]]="Male",Backend!$C$6,IF(Table1[[#This Row],[Fetal Sex (Male, Female or Unknown)]]="Female",Backend!$C$7,IF(Table1[[#This Row],[Fetal Sex (Male, Female or Unknown)]]="Unknown",Backend!$C$8,"Error"))),"")</f>
        <v/>
      </c>
      <c r="F4375" s="8" t="str">
        <f>IF(Table1[[#This Row],[Is Data Valid]]=TRUE,EXP(0.578+0.332*((Table1[[#This Row],[Gestation (days)]]+0.5)/7)-0.00354*((Table1[[#This Row],[Gestation (days)]]+0.5)/7)^2)*Table1[[#This Row],[BW40_3705]],"")</f>
        <v/>
      </c>
      <c r="G4375" s="2" t="str">
        <f>IF(Table1[[#This Row],[Is Data Valid]]=TRUE,((Table1[[#This Row],[Birthweight (grams)]]/Table1[[#This Row],[BW_GA]])-1)/(Backend!$B$4/100*Table1[[#This Row],[BW40_3705]]),"")</f>
        <v/>
      </c>
      <c r="H4375" s="7" t="str">
        <f>IF(Table1[[#This Row],[Is Data Valid]]=TRUE,((Table1[[#This Row],[Birthweight (grams)]]*0.9/Table1[[#This Row],[BW_GA]])-1)/(Backend!$B$4/100*Table1[[#This Row],[BW40_3705]]),"")</f>
        <v/>
      </c>
      <c r="I4375" s="7" t="str">
        <f>IF(Table1[[#This Row],[Is Data Valid]]=TRUE,((Table1[[#This Row],[Birthweight (grams)]]*1.1/Table1[[#This Row],[BW_GA]])-1)/(Backend!$B$4/100*Table1[[#This Row],[BW40_3705]]),"")</f>
        <v/>
      </c>
      <c r="J4375" s="7" t="str">
        <f>IF(Table1[[#This Row],[Is Data Valid]]=TRUE,_xlfn.NORM.S.DIST(Table1[[#This Row],[Birthweight Z-Score]],TRUE)*100,"")</f>
        <v/>
      </c>
      <c r="K4375" s="7" t="str">
        <f>IF(Table1[[#This Row],[Is Data Valid]]=TRUE,_xlfn.NORM.S.DIST(Table1[[#This Row],[Birthweight Z-Score (BW-10%)]],TRUE)*100,"")</f>
        <v/>
      </c>
      <c r="L4375" s="7" t="str">
        <f>IF(Table1[[#This Row],[Is Data Valid]]=TRUE,_xlfn.NORM.S.DIST(Table1[[#This Row],[Birthweight Z-Score (BW+10%)]],TRUE)*100,"")</f>
        <v/>
      </c>
    </row>
    <row r="4376" spans="1:12" x14ac:dyDescent="0.35">
      <c r="A4376" s="3"/>
      <c r="B4376" s="2"/>
      <c r="C4376" s="2"/>
      <c r="D4376" s="2" t="b">
        <f>IF(AND(NOT(ISBLANK(Table1[[#This Row],[Fetal Sex (Male, Female or Unknown)]])),ISNUMBER(Table1[[#This Row],[Birthweight (grams)]]),ISNUMBER(Table1[[#This Row],[Gestation (days)]])),TRUE,FALSE)</f>
        <v>0</v>
      </c>
      <c r="E4376" s="2" t="str">
        <f>IF(Table1[[#This Row],[Is Data Valid]]=TRUE,IF(Table1[[#This Row],[Fetal Sex (Male, Female or Unknown)]]="Male",Backend!$C$6,IF(Table1[[#This Row],[Fetal Sex (Male, Female or Unknown)]]="Female",Backend!$C$7,IF(Table1[[#This Row],[Fetal Sex (Male, Female or Unknown)]]="Unknown",Backend!$C$8,"Error"))),"")</f>
        <v/>
      </c>
      <c r="F4376" s="8" t="str">
        <f>IF(Table1[[#This Row],[Is Data Valid]]=TRUE,EXP(0.578+0.332*((Table1[[#This Row],[Gestation (days)]]+0.5)/7)-0.00354*((Table1[[#This Row],[Gestation (days)]]+0.5)/7)^2)*Table1[[#This Row],[BW40_3705]],"")</f>
        <v/>
      </c>
      <c r="G4376" s="2" t="str">
        <f>IF(Table1[[#This Row],[Is Data Valid]]=TRUE,((Table1[[#This Row],[Birthweight (grams)]]/Table1[[#This Row],[BW_GA]])-1)/(Backend!$B$4/100*Table1[[#This Row],[BW40_3705]]),"")</f>
        <v/>
      </c>
      <c r="H4376" s="7" t="str">
        <f>IF(Table1[[#This Row],[Is Data Valid]]=TRUE,((Table1[[#This Row],[Birthweight (grams)]]*0.9/Table1[[#This Row],[BW_GA]])-1)/(Backend!$B$4/100*Table1[[#This Row],[BW40_3705]]),"")</f>
        <v/>
      </c>
      <c r="I4376" s="7" t="str">
        <f>IF(Table1[[#This Row],[Is Data Valid]]=TRUE,((Table1[[#This Row],[Birthweight (grams)]]*1.1/Table1[[#This Row],[BW_GA]])-1)/(Backend!$B$4/100*Table1[[#This Row],[BW40_3705]]),"")</f>
        <v/>
      </c>
      <c r="J4376" s="7" t="str">
        <f>IF(Table1[[#This Row],[Is Data Valid]]=TRUE,_xlfn.NORM.S.DIST(Table1[[#This Row],[Birthweight Z-Score]],TRUE)*100,"")</f>
        <v/>
      </c>
      <c r="K4376" s="7" t="str">
        <f>IF(Table1[[#This Row],[Is Data Valid]]=TRUE,_xlfn.NORM.S.DIST(Table1[[#This Row],[Birthweight Z-Score (BW-10%)]],TRUE)*100,"")</f>
        <v/>
      </c>
      <c r="L4376" s="7" t="str">
        <f>IF(Table1[[#This Row],[Is Data Valid]]=TRUE,_xlfn.NORM.S.DIST(Table1[[#This Row],[Birthweight Z-Score (BW+10%)]],TRUE)*100,"")</f>
        <v/>
      </c>
    </row>
    <row r="4377" spans="1:12" x14ac:dyDescent="0.35">
      <c r="A4377" s="3"/>
      <c r="B4377" s="2"/>
      <c r="C4377" s="2"/>
      <c r="D4377" s="2" t="b">
        <f>IF(AND(NOT(ISBLANK(Table1[[#This Row],[Fetal Sex (Male, Female or Unknown)]])),ISNUMBER(Table1[[#This Row],[Birthweight (grams)]]),ISNUMBER(Table1[[#This Row],[Gestation (days)]])),TRUE,FALSE)</f>
        <v>0</v>
      </c>
      <c r="E4377" s="2" t="str">
        <f>IF(Table1[[#This Row],[Is Data Valid]]=TRUE,IF(Table1[[#This Row],[Fetal Sex (Male, Female or Unknown)]]="Male",Backend!$C$6,IF(Table1[[#This Row],[Fetal Sex (Male, Female or Unknown)]]="Female",Backend!$C$7,IF(Table1[[#This Row],[Fetal Sex (Male, Female or Unknown)]]="Unknown",Backend!$C$8,"Error"))),"")</f>
        <v/>
      </c>
      <c r="F4377" s="8" t="str">
        <f>IF(Table1[[#This Row],[Is Data Valid]]=TRUE,EXP(0.578+0.332*((Table1[[#This Row],[Gestation (days)]]+0.5)/7)-0.00354*((Table1[[#This Row],[Gestation (days)]]+0.5)/7)^2)*Table1[[#This Row],[BW40_3705]],"")</f>
        <v/>
      </c>
      <c r="G4377" s="2" t="str">
        <f>IF(Table1[[#This Row],[Is Data Valid]]=TRUE,((Table1[[#This Row],[Birthweight (grams)]]/Table1[[#This Row],[BW_GA]])-1)/(Backend!$B$4/100*Table1[[#This Row],[BW40_3705]]),"")</f>
        <v/>
      </c>
      <c r="H4377" s="7" t="str">
        <f>IF(Table1[[#This Row],[Is Data Valid]]=TRUE,((Table1[[#This Row],[Birthweight (grams)]]*0.9/Table1[[#This Row],[BW_GA]])-1)/(Backend!$B$4/100*Table1[[#This Row],[BW40_3705]]),"")</f>
        <v/>
      </c>
      <c r="I4377" s="7" t="str">
        <f>IF(Table1[[#This Row],[Is Data Valid]]=TRUE,((Table1[[#This Row],[Birthweight (grams)]]*1.1/Table1[[#This Row],[BW_GA]])-1)/(Backend!$B$4/100*Table1[[#This Row],[BW40_3705]]),"")</f>
        <v/>
      </c>
      <c r="J4377" s="7" t="str">
        <f>IF(Table1[[#This Row],[Is Data Valid]]=TRUE,_xlfn.NORM.S.DIST(Table1[[#This Row],[Birthweight Z-Score]],TRUE)*100,"")</f>
        <v/>
      </c>
      <c r="K4377" s="7" t="str">
        <f>IF(Table1[[#This Row],[Is Data Valid]]=TRUE,_xlfn.NORM.S.DIST(Table1[[#This Row],[Birthweight Z-Score (BW-10%)]],TRUE)*100,"")</f>
        <v/>
      </c>
      <c r="L4377" s="7" t="str">
        <f>IF(Table1[[#This Row],[Is Data Valid]]=TRUE,_xlfn.NORM.S.DIST(Table1[[#This Row],[Birthweight Z-Score (BW+10%)]],TRUE)*100,"")</f>
        <v/>
      </c>
    </row>
    <row r="4378" spans="1:12" x14ac:dyDescent="0.35">
      <c r="A4378" s="3"/>
      <c r="B4378" s="2"/>
      <c r="C4378" s="2"/>
      <c r="D4378" s="2" t="b">
        <f>IF(AND(NOT(ISBLANK(Table1[[#This Row],[Fetal Sex (Male, Female or Unknown)]])),ISNUMBER(Table1[[#This Row],[Birthweight (grams)]]),ISNUMBER(Table1[[#This Row],[Gestation (days)]])),TRUE,FALSE)</f>
        <v>0</v>
      </c>
      <c r="E4378" s="2" t="str">
        <f>IF(Table1[[#This Row],[Is Data Valid]]=TRUE,IF(Table1[[#This Row],[Fetal Sex (Male, Female or Unknown)]]="Male",Backend!$C$6,IF(Table1[[#This Row],[Fetal Sex (Male, Female or Unknown)]]="Female",Backend!$C$7,IF(Table1[[#This Row],[Fetal Sex (Male, Female or Unknown)]]="Unknown",Backend!$C$8,"Error"))),"")</f>
        <v/>
      </c>
      <c r="F4378" s="8" t="str">
        <f>IF(Table1[[#This Row],[Is Data Valid]]=TRUE,EXP(0.578+0.332*((Table1[[#This Row],[Gestation (days)]]+0.5)/7)-0.00354*((Table1[[#This Row],[Gestation (days)]]+0.5)/7)^2)*Table1[[#This Row],[BW40_3705]],"")</f>
        <v/>
      </c>
      <c r="G4378" s="2" t="str">
        <f>IF(Table1[[#This Row],[Is Data Valid]]=TRUE,((Table1[[#This Row],[Birthweight (grams)]]/Table1[[#This Row],[BW_GA]])-1)/(Backend!$B$4/100*Table1[[#This Row],[BW40_3705]]),"")</f>
        <v/>
      </c>
      <c r="H4378" s="7" t="str">
        <f>IF(Table1[[#This Row],[Is Data Valid]]=TRUE,((Table1[[#This Row],[Birthweight (grams)]]*0.9/Table1[[#This Row],[BW_GA]])-1)/(Backend!$B$4/100*Table1[[#This Row],[BW40_3705]]),"")</f>
        <v/>
      </c>
      <c r="I4378" s="7" t="str">
        <f>IF(Table1[[#This Row],[Is Data Valid]]=TRUE,((Table1[[#This Row],[Birthweight (grams)]]*1.1/Table1[[#This Row],[BW_GA]])-1)/(Backend!$B$4/100*Table1[[#This Row],[BW40_3705]]),"")</f>
        <v/>
      </c>
      <c r="J4378" s="7" t="str">
        <f>IF(Table1[[#This Row],[Is Data Valid]]=TRUE,_xlfn.NORM.S.DIST(Table1[[#This Row],[Birthweight Z-Score]],TRUE)*100,"")</f>
        <v/>
      </c>
      <c r="K4378" s="7" t="str">
        <f>IF(Table1[[#This Row],[Is Data Valid]]=TRUE,_xlfn.NORM.S.DIST(Table1[[#This Row],[Birthweight Z-Score (BW-10%)]],TRUE)*100,"")</f>
        <v/>
      </c>
      <c r="L4378" s="7" t="str">
        <f>IF(Table1[[#This Row],[Is Data Valid]]=TRUE,_xlfn.NORM.S.DIST(Table1[[#This Row],[Birthweight Z-Score (BW+10%)]],TRUE)*100,"")</f>
        <v/>
      </c>
    </row>
    <row r="4379" spans="1:12" x14ac:dyDescent="0.35">
      <c r="A4379" s="3"/>
      <c r="B4379" s="2"/>
      <c r="C4379" s="2"/>
      <c r="D4379" s="2" t="b">
        <f>IF(AND(NOT(ISBLANK(Table1[[#This Row],[Fetal Sex (Male, Female or Unknown)]])),ISNUMBER(Table1[[#This Row],[Birthweight (grams)]]),ISNUMBER(Table1[[#This Row],[Gestation (days)]])),TRUE,FALSE)</f>
        <v>0</v>
      </c>
      <c r="E4379" s="2" t="str">
        <f>IF(Table1[[#This Row],[Is Data Valid]]=TRUE,IF(Table1[[#This Row],[Fetal Sex (Male, Female or Unknown)]]="Male",Backend!$C$6,IF(Table1[[#This Row],[Fetal Sex (Male, Female or Unknown)]]="Female",Backend!$C$7,IF(Table1[[#This Row],[Fetal Sex (Male, Female or Unknown)]]="Unknown",Backend!$C$8,"Error"))),"")</f>
        <v/>
      </c>
      <c r="F4379" s="8" t="str">
        <f>IF(Table1[[#This Row],[Is Data Valid]]=TRUE,EXP(0.578+0.332*((Table1[[#This Row],[Gestation (days)]]+0.5)/7)-0.00354*((Table1[[#This Row],[Gestation (days)]]+0.5)/7)^2)*Table1[[#This Row],[BW40_3705]],"")</f>
        <v/>
      </c>
      <c r="G4379" s="2" t="str">
        <f>IF(Table1[[#This Row],[Is Data Valid]]=TRUE,((Table1[[#This Row],[Birthweight (grams)]]/Table1[[#This Row],[BW_GA]])-1)/(Backend!$B$4/100*Table1[[#This Row],[BW40_3705]]),"")</f>
        <v/>
      </c>
      <c r="H4379" s="7" t="str">
        <f>IF(Table1[[#This Row],[Is Data Valid]]=TRUE,((Table1[[#This Row],[Birthweight (grams)]]*0.9/Table1[[#This Row],[BW_GA]])-1)/(Backend!$B$4/100*Table1[[#This Row],[BW40_3705]]),"")</f>
        <v/>
      </c>
      <c r="I4379" s="7" t="str">
        <f>IF(Table1[[#This Row],[Is Data Valid]]=TRUE,((Table1[[#This Row],[Birthweight (grams)]]*1.1/Table1[[#This Row],[BW_GA]])-1)/(Backend!$B$4/100*Table1[[#This Row],[BW40_3705]]),"")</f>
        <v/>
      </c>
      <c r="J4379" s="7" t="str">
        <f>IF(Table1[[#This Row],[Is Data Valid]]=TRUE,_xlfn.NORM.S.DIST(Table1[[#This Row],[Birthweight Z-Score]],TRUE)*100,"")</f>
        <v/>
      </c>
      <c r="K4379" s="7" t="str">
        <f>IF(Table1[[#This Row],[Is Data Valid]]=TRUE,_xlfn.NORM.S.DIST(Table1[[#This Row],[Birthweight Z-Score (BW-10%)]],TRUE)*100,"")</f>
        <v/>
      </c>
      <c r="L4379" s="7" t="str">
        <f>IF(Table1[[#This Row],[Is Data Valid]]=TRUE,_xlfn.NORM.S.DIST(Table1[[#This Row],[Birthweight Z-Score (BW+10%)]],TRUE)*100,"")</f>
        <v/>
      </c>
    </row>
    <row r="4380" spans="1:12" x14ac:dyDescent="0.35">
      <c r="A4380" s="3"/>
      <c r="B4380" s="2"/>
      <c r="C4380" s="2"/>
      <c r="D4380" s="2" t="b">
        <f>IF(AND(NOT(ISBLANK(Table1[[#This Row],[Fetal Sex (Male, Female or Unknown)]])),ISNUMBER(Table1[[#This Row],[Birthweight (grams)]]),ISNUMBER(Table1[[#This Row],[Gestation (days)]])),TRUE,FALSE)</f>
        <v>0</v>
      </c>
      <c r="E4380" s="2" t="str">
        <f>IF(Table1[[#This Row],[Is Data Valid]]=TRUE,IF(Table1[[#This Row],[Fetal Sex (Male, Female or Unknown)]]="Male",Backend!$C$6,IF(Table1[[#This Row],[Fetal Sex (Male, Female or Unknown)]]="Female",Backend!$C$7,IF(Table1[[#This Row],[Fetal Sex (Male, Female or Unknown)]]="Unknown",Backend!$C$8,"Error"))),"")</f>
        <v/>
      </c>
      <c r="F4380" s="8" t="str">
        <f>IF(Table1[[#This Row],[Is Data Valid]]=TRUE,EXP(0.578+0.332*((Table1[[#This Row],[Gestation (days)]]+0.5)/7)-0.00354*((Table1[[#This Row],[Gestation (days)]]+0.5)/7)^2)*Table1[[#This Row],[BW40_3705]],"")</f>
        <v/>
      </c>
      <c r="G4380" s="2" t="str">
        <f>IF(Table1[[#This Row],[Is Data Valid]]=TRUE,((Table1[[#This Row],[Birthweight (grams)]]/Table1[[#This Row],[BW_GA]])-1)/(Backend!$B$4/100*Table1[[#This Row],[BW40_3705]]),"")</f>
        <v/>
      </c>
      <c r="H4380" s="7" t="str">
        <f>IF(Table1[[#This Row],[Is Data Valid]]=TRUE,((Table1[[#This Row],[Birthweight (grams)]]*0.9/Table1[[#This Row],[BW_GA]])-1)/(Backend!$B$4/100*Table1[[#This Row],[BW40_3705]]),"")</f>
        <v/>
      </c>
      <c r="I4380" s="7" t="str">
        <f>IF(Table1[[#This Row],[Is Data Valid]]=TRUE,((Table1[[#This Row],[Birthweight (grams)]]*1.1/Table1[[#This Row],[BW_GA]])-1)/(Backend!$B$4/100*Table1[[#This Row],[BW40_3705]]),"")</f>
        <v/>
      </c>
      <c r="J4380" s="7" t="str">
        <f>IF(Table1[[#This Row],[Is Data Valid]]=TRUE,_xlfn.NORM.S.DIST(Table1[[#This Row],[Birthweight Z-Score]],TRUE)*100,"")</f>
        <v/>
      </c>
      <c r="K4380" s="7" t="str">
        <f>IF(Table1[[#This Row],[Is Data Valid]]=TRUE,_xlfn.NORM.S.DIST(Table1[[#This Row],[Birthweight Z-Score (BW-10%)]],TRUE)*100,"")</f>
        <v/>
      </c>
      <c r="L4380" s="7" t="str">
        <f>IF(Table1[[#This Row],[Is Data Valid]]=TRUE,_xlfn.NORM.S.DIST(Table1[[#This Row],[Birthweight Z-Score (BW+10%)]],TRUE)*100,"")</f>
        <v/>
      </c>
    </row>
    <row r="4381" spans="1:12" x14ac:dyDescent="0.35">
      <c r="A4381" s="3"/>
      <c r="B4381" s="2"/>
      <c r="C4381" s="2"/>
      <c r="D4381" s="2" t="b">
        <f>IF(AND(NOT(ISBLANK(Table1[[#This Row],[Fetal Sex (Male, Female or Unknown)]])),ISNUMBER(Table1[[#This Row],[Birthweight (grams)]]),ISNUMBER(Table1[[#This Row],[Gestation (days)]])),TRUE,FALSE)</f>
        <v>0</v>
      </c>
      <c r="E4381" s="2" t="str">
        <f>IF(Table1[[#This Row],[Is Data Valid]]=TRUE,IF(Table1[[#This Row],[Fetal Sex (Male, Female or Unknown)]]="Male",Backend!$C$6,IF(Table1[[#This Row],[Fetal Sex (Male, Female or Unknown)]]="Female",Backend!$C$7,IF(Table1[[#This Row],[Fetal Sex (Male, Female or Unknown)]]="Unknown",Backend!$C$8,"Error"))),"")</f>
        <v/>
      </c>
      <c r="F4381" s="8" t="str">
        <f>IF(Table1[[#This Row],[Is Data Valid]]=TRUE,EXP(0.578+0.332*((Table1[[#This Row],[Gestation (days)]]+0.5)/7)-0.00354*((Table1[[#This Row],[Gestation (days)]]+0.5)/7)^2)*Table1[[#This Row],[BW40_3705]],"")</f>
        <v/>
      </c>
      <c r="G4381" s="2" t="str">
        <f>IF(Table1[[#This Row],[Is Data Valid]]=TRUE,((Table1[[#This Row],[Birthweight (grams)]]/Table1[[#This Row],[BW_GA]])-1)/(Backend!$B$4/100*Table1[[#This Row],[BW40_3705]]),"")</f>
        <v/>
      </c>
      <c r="H4381" s="7" t="str">
        <f>IF(Table1[[#This Row],[Is Data Valid]]=TRUE,((Table1[[#This Row],[Birthweight (grams)]]*0.9/Table1[[#This Row],[BW_GA]])-1)/(Backend!$B$4/100*Table1[[#This Row],[BW40_3705]]),"")</f>
        <v/>
      </c>
      <c r="I4381" s="7" t="str">
        <f>IF(Table1[[#This Row],[Is Data Valid]]=TRUE,((Table1[[#This Row],[Birthweight (grams)]]*1.1/Table1[[#This Row],[BW_GA]])-1)/(Backend!$B$4/100*Table1[[#This Row],[BW40_3705]]),"")</f>
        <v/>
      </c>
      <c r="J4381" s="7" t="str">
        <f>IF(Table1[[#This Row],[Is Data Valid]]=TRUE,_xlfn.NORM.S.DIST(Table1[[#This Row],[Birthweight Z-Score]],TRUE)*100,"")</f>
        <v/>
      </c>
      <c r="K4381" s="7" t="str">
        <f>IF(Table1[[#This Row],[Is Data Valid]]=TRUE,_xlfn.NORM.S.DIST(Table1[[#This Row],[Birthweight Z-Score (BW-10%)]],TRUE)*100,"")</f>
        <v/>
      </c>
      <c r="L4381" s="7" t="str">
        <f>IF(Table1[[#This Row],[Is Data Valid]]=TRUE,_xlfn.NORM.S.DIST(Table1[[#This Row],[Birthweight Z-Score (BW+10%)]],TRUE)*100,"")</f>
        <v/>
      </c>
    </row>
    <row r="4382" spans="1:12" x14ac:dyDescent="0.35">
      <c r="A4382" s="3"/>
      <c r="B4382" s="2"/>
      <c r="C4382" s="2"/>
      <c r="D4382" s="2" t="b">
        <f>IF(AND(NOT(ISBLANK(Table1[[#This Row],[Fetal Sex (Male, Female or Unknown)]])),ISNUMBER(Table1[[#This Row],[Birthweight (grams)]]),ISNUMBER(Table1[[#This Row],[Gestation (days)]])),TRUE,FALSE)</f>
        <v>0</v>
      </c>
      <c r="E4382" s="2" t="str">
        <f>IF(Table1[[#This Row],[Is Data Valid]]=TRUE,IF(Table1[[#This Row],[Fetal Sex (Male, Female or Unknown)]]="Male",Backend!$C$6,IF(Table1[[#This Row],[Fetal Sex (Male, Female or Unknown)]]="Female",Backend!$C$7,IF(Table1[[#This Row],[Fetal Sex (Male, Female or Unknown)]]="Unknown",Backend!$C$8,"Error"))),"")</f>
        <v/>
      </c>
      <c r="F4382" s="8" t="str">
        <f>IF(Table1[[#This Row],[Is Data Valid]]=TRUE,EXP(0.578+0.332*((Table1[[#This Row],[Gestation (days)]]+0.5)/7)-0.00354*((Table1[[#This Row],[Gestation (days)]]+0.5)/7)^2)*Table1[[#This Row],[BW40_3705]],"")</f>
        <v/>
      </c>
      <c r="G4382" s="2" t="str">
        <f>IF(Table1[[#This Row],[Is Data Valid]]=TRUE,((Table1[[#This Row],[Birthweight (grams)]]/Table1[[#This Row],[BW_GA]])-1)/(Backend!$B$4/100*Table1[[#This Row],[BW40_3705]]),"")</f>
        <v/>
      </c>
      <c r="H4382" s="7" t="str">
        <f>IF(Table1[[#This Row],[Is Data Valid]]=TRUE,((Table1[[#This Row],[Birthweight (grams)]]*0.9/Table1[[#This Row],[BW_GA]])-1)/(Backend!$B$4/100*Table1[[#This Row],[BW40_3705]]),"")</f>
        <v/>
      </c>
      <c r="I4382" s="7" t="str">
        <f>IF(Table1[[#This Row],[Is Data Valid]]=TRUE,((Table1[[#This Row],[Birthweight (grams)]]*1.1/Table1[[#This Row],[BW_GA]])-1)/(Backend!$B$4/100*Table1[[#This Row],[BW40_3705]]),"")</f>
        <v/>
      </c>
      <c r="J4382" s="7" t="str">
        <f>IF(Table1[[#This Row],[Is Data Valid]]=TRUE,_xlfn.NORM.S.DIST(Table1[[#This Row],[Birthweight Z-Score]],TRUE)*100,"")</f>
        <v/>
      </c>
      <c r="K4382" s="7" t="str">
        <f>IF(Table1[[#This Row],[Is Data Valid]]=TRUE,_xlfn.NORM.S.DIST(Table1[[#This Row],[Birthweight Z-Score (BW-10%)]],TRUE)*100,"")</f>
        <v/>
      </c>
      <c r="L4382" s="7" t="str">
        <f>IF(Table1[[#This Row],[Is Data Valid]]=TRUE,_xlfn.NORM.S.DIST(Table1[[#This Row],[Birthweight Z-Score (BW+10%)]],TRUE)*100,"")</f>
        <v/>
      </c>
    </row>
    <row r="4383" spans="1:12" x14ac:dyDescent="0.35">
      <c r="A4383" s="3"/>
      <c r="B4383" s="2"/>
      <c r="C4383" s="2"/>
      <c r="D4383" s="2" t="b">
        <f>IF(AND(NOT(ISBLANK(Table1[[#This Row],[Fetal Sex (Male, Female or Unknown)]])),ISNUMBER(Table1[[#This Row],[Birthweight (grams)]]),ISNUMBER(Table1[[#This Row],[Gestation (days)]])),TRUE,FALSE)</f>
        <v>0</v>
      </c>
      <c r="E4383" s="2" t="str">
        <f>IF(Table1[[#This Row],[Is Data Valid]]=TRUE,IF(Table1[[#This Row],[Fetal Sex (Male, Female or Unknown)]]="Male",Backend!$C$6,IF(Table1[[#This Row],[Fetal Sex (Male, Female or Unknown)]]="Female",Backend!$C$7,IF(Table1[[#This Row],[Fetal Sex (Male, Female or Unknown)]]="Unknown",Backend!$C$8,"Error"))),"")</f>
        <v/>
      </c>
      <c r="F4383" s="8" t="str">
        <f>IF(Table1[[#This Row],[Is Data Valid]]=TRUE,EXP(0.578+0.332*((Table1[[#This Row],[Gestation (days)]]+0.5)/7)-0.00354*((Table1[[#This Row],[Gestation (days)]]+0.5)/7)^2)*Table1[[#This Row],[BW40_3705]],"")</f>
        <v/>
      </c>
      <c r="G4383" s="2" t="str">
        <f>IF(Table1[[#This Row],[Is Data Valid]]=TRUE,((Table1[[#This Row],[Birthweight (grams)]]/Table1[[#This Row],[BW_GA]])-1)/(Backend!$B$4/100*Table1[[#This Row],[BW40_3705]]),"")</f>
        <v/>
      </c>
      <c r="H4383" s="7" t="str">
        <f>IF(Table1[[#This Row],[Is Data Valid]]=TRUE,((Table1[[#This Row],[Birthweight (grams)]]*0.9/Table1[[#This Row],[BW_GA]])-1)/(Backend!$B$4/100*Table1[[#This Row],[BW40_3705]]),"")</f>
        <v/>
      </c>
      <c r="I4383" s="7" t="str">
        <f>IF(Table1[[#This Row],[Is Data Valid]]=TRUE,((Table1[[#This Row],[Birthweight (grams)]]*1.1/Table1[[#This Row],[BW_GA]])-1)/(Backend!$B$4/100*Table1[[#This Row],[BW40_3705]]),"")</f>
        <v/>
      </c>
      <c r="J4383" s="7" t="str">
        <f>IF(Table1[[#This Row],[Is Data Valid]]=TRUE,_xlfn.NORM.S.DIST(Table1[[#This Row],[Birthweight Z-Score]],TRUE)*100,"")</f>
        <v/>
      </c>
      <c r="K4383" s="7" t="str">
        <f>IF(Table1[[#This Row],[Is Data Valid]]=TRUE,_xlfn.NORM.S.DIST(Table1[[#This Row],[Birthweight Z-Score (BW-10%)]],TRUE)*100,"")</f>
        <v/>
      </c>
      <c r="L4383" s="7" t="str">
        <f>IF(Table1[[#This Row],[Is Data Valid]]=TRUE,_xlfn.NORM.S.DIST(Table1[[#This Row],[Birthweight Z-Score (BW+10%)]],TRUE)*100,"")</f>
        <v/>
      </c>
    </row>
    <row r="4384" spans="1:12" x14ac:dyDescent="0.35">
      <c r="A4384" s="3"/>
      <c r="B4384" s="2"/>
      <c r="C4384" s="2"/>
      <c r="D4384" s="2" t="b">
        <f>IF(AND(NOT(ISBLANK(Table1[[#This Row],[Fetal Sex (Male, Female or Unknown)]])),ISNUMBER(Table1[[#This Row],[Birthweight (grams)]]),ISNUMBER(Table1[[#This Row],[Gestation (days)]])),TRUE,FALSE)</f>
        <v>0</v>
      </c>
      <c r="E4384" s="2" t="str">
        <f>IF(Table1[[#This Row],[Is Data Valid]]=TRUE,IF(Table1[[#This Row],[Fetal Sex (Male, Female or Unknown)]]="Male",Backend!$C$6,IF(Table1[[#This Row],[Fetal Sex (Male, Female or Unknown)]]="Female",Backend!$C$7,IF(Table1[[#This Row],[Fetal Sex (Male, Female or Unknown)]]="Unknown",Backend!$C$8,"Error"))),"")</f>
        <v/>
      </c>
      <c r="F4384" s="8" t="str">
        <f>IF(Table1[[#This Row],[Is Data Valid]]=TRUE,EXP(0.578+0.332*((Table1[[#This Row],[Gestation (days)]]+0.5)/7)-0.00354*((Table1[[#This Row],[Gestation (days)]]+0.5)/7)^2)*Table1[[#This Row],[BW40_3705]],"")</f>
        <v/>
      </c>
      <c r="G4384" s="2" t="str">
        <f>IF(Table1[[#This Row],[Is Data Valid]]=TRUE,((Table1[[#This Row],[Birthweight (grams)]]/Table1[[#This Row],[BW_GA]])-1)/(Backend!$B$4/100*Table1[[#This Row],[BW40_3705]]),"")</f>
        <v/>
      </c>
      <c r="H4384" s="7" t="str">
        <f>IF(Table1[[#This Row],[Is Data Valid]]=TRUE,((Table1[[#This Row],[Birthweight (grams)]]*0.9/Table1[[#This Row],[BW_GA]])-1)/(Backend!$B$4/100*Table1[[#This Row],[BW40_3705]]),"")</f>
        <v/>
      </c>
      <c r="I4384" s="7" t="str">
        <f>IF(Table1[[#This Row],[Is Data Valid]]=TRUE,((Table1[[#This Row],[Birthweight (grams)]]*1.1/Table1[[#This Row],[BW_GA]])-1)/(Backend!$B$4/100*Table1[[#This Row],[BW40_3705]]),"")</f>
        <v/>
      </c>
      <c r="J4384" s="7" t="str">
        <f>IF(Table1[[#This Row],[Is Data Valid]]=TRUE,_xlfn.NORM.S.DIST(Table1[[#This Row],[Birthweight Z-Score]],TRUE)*100,"")</f>
        <v/>
      </c>
      <c r="K4384" s="7" t="str">
        <f>IF(Table1[[#This Row],[Is Data Valid]]=TRUE,_xlfn.NORM.S.DIST(Table1[[#This Row],[Birthweight Z-Score (BW-10%)]],TRUE)*100,"")</f>
        <v/>
      </c>
      <c r="L4384" s="7" t="str">
        <f>IF(Table1[[#This Row],[Is Data Valid]]=TRUE,_xlfn.NORM.S.DIST(Table1[[#This Row],[Birthweight Z-Score (BW+10%)]],TRUE)*100,"")</f>
        <v/>
      </c>
    </row>
    <row r="4385" spans="1:12" x14ac:dyDescent="0.35">
      <c r="A4385" s="3"/>
      <c r="B4385" s="2"/>
      <c r="C4385" s="2"/>
      <c r="D4385" s="2" t="b">
        <f>IF(AND(NOT(ISBLANK(Table1[[#This Row],[Fetal Sex (Male, Female or Unknown)]])),ISNUMBER(Table1[[#This Row],[Birthweight (grams)]]),ISNUMBER(Table1[[#This Row],[Gestation (days)]])),TRUE,FALSE)</f>
        <v>0</v>
      </c>
      <c r="E4385" s="2" t="str">
        <f>IF(Table1[[#This Row],[Is Data Valid]]=TRUE,IF(Table1[[#This Row],[Fetal Sex (Male, Female or Unknown)]]="Male",Backend!$C$6,IF(Table1[[#This Row],[Fetal Sex (Male, Female or Unknown)]]="Female",Backend!$C$7,IF(Table1[[#This Row],[Fetal Sex (Male, Female or Unknown)]]="Unknown",Backend!$C$8,"Error"))),"")</f>
        <v/>
      </c>
      <c r="F4385" s="8" t="str">
        <f>IF(Table1[[#This Row],[Is Data Valid]]=TRUE,EXP(0.578+0.332*((Table1[[#This Row],[Gestation (days)]]+0.5)/7)-0.00354*((Table1[[#This Row],[Gestation (days)]]+0.5)/7)^2)*Table1[[#This Row],[BW40_3705]],"")</f>
        <v/>
      </c>
      <c r="G4385" s="2" t="str">
        <f>IF(Table1[[#This Row],[Is Data Valid]]=TRUE,((Table1[[#This Row],[Birthweight (grams)]]/Table1[[#This Row],[BW_GA]])-1)/(Backend!$B$4/100*Table1[[#This Row],[BW40_3705]]),"")</f>
        <v/>
      </c>
      <c r="H4385" s="7" t="str">
        <f>IF(Table1[[#This Row],[Is Data Valid]]=TRUE,((Table1[[#This Row],[Birthweight (grams)]]*0.9/Table1[[#This Row],[BW_GA]])-1)/(Backend!$B$4/100*Table1[[#This Row],[BW40_3705]]),"")</f>
        <v/>
      </c>
      <c r="I4385" s="7" t="str">
        <f>IF(Table1[[#This Row],[Is Data Valid]]=TRUE,((Table1[[#This Row],[Birthweight (grams)]]*1.1/Table1[[#This Row],[BW_GA]])-1)/(Backend!$B$4/100*Table1[[#This Row],[BW40_3705]]),"")</f>
        <v/>
      </c>
      <c r="J4385" s="7" t="str">
        <f>IF(Table1[[#This Row],[Is Data Valid]]=TRUE,_xlfn.NORM.S.DIST(Table1[[#This Row],[Birthweight Z-Score]],TRUE)*100,"")</f>
        <v/>
      </c>
      <c r="K4385" s="7" t="str">
        <f>IF(Table1[[#This Row],[Is Data Valid]]=TRUE,_xlfn.NORM.S.DIST(Table1[[#This Row],[Birthweight Z-Score (BW-10%)]],TRUE)*100,"")</f>
        <v/>
      </c>
      <c r="L4385" s="7" t="str">
        <f>IF(Table1[[#This Row],[Is Data Valid]]=TRUE,_xlfn.NORM.S.DIST(Table1[[#This Row],[Birthweight Z-Score (BW+10%)]],TRUE)*100,"")</f>
        <v/>
      </c>
    </row>
    <row r="4386" spans="1:12" x14ac:dyDescent="0.35">
      <c r="A4386" s="3"/>
      <c r="B4386" s="2"/>
      <c r="C4386" s="2"/>
      <c r="D4386" s="2" t="b">
        <f>IF(AND(NOT(ISBLANK(Table1[[#This Row],[Fetal Sex (Male, Female or Unknown)]])),ISNUMBER(Table1[[#This Row],[Birthweight (grams)]]),ISNUMBER(Table1[[#This Row],[Gestation (days)]])),TRUE,FALSE)</f>
        <v>0</v>
      </c>
      <c r="E4386" s="2" t="str">
        <f>IF(Table1[[#This Row],[Is Data Valid]]=TRUE,IF(Table1[[#This Row],[Fetal Sex (Male, Female or Unknown)]]="Male",Backend!$C$6,IF(Table1[[#This Row],[Fetal Sex (Male, Female or Unknown)]]="Female",Backend!$C$7,IF(Table1[[#This Row],[Fetal Sex (Male, Female or Unknown)]]="Unknown",Backend!$C$8,"Error"))),"")</f>
        <v/>
      </c>
      <c r="F4386" s="8" t="str">
        <f>IF(Table1[[#This Row],[Is Data Valid]]=TRUE,EXP(0.578+0.332*((Table1[[#This Row],[Gestation (days)]]+0.5)/7)-0.00354*((Table1[[#This Row],[Gestation (days)]]+0.5)/7)^2)*Table1[[#This Row],[BW40_3705]],"")</f>
        <v/>
      </c>
      <c r="G4386" s="2" t="str">
        <f>IF(Table1[[#This Row],[Is Data Valid]]=TRUE,((Table1[[#This Row],[Birthweight (grams)]]/Table1[[#This Row],[BW_GA]])-1)/(Backend!$B$4/100*Table1[[#This Row],[BW40_3705]]),"")</f>
        <v/>
      </c>
      <c r="H4386" s="7" t="str">
        <f>IF(Table1[[#This Row],[Is Data Valid]]=TRUE,((Table1[[#This Row],[Birthweight (grams)]]*0.9/Table1[[#This Row],[BW_GA]])-1)/(Backend!$B$4/100*Table1[[#This Row],[BW40_3705]]),"")</f>
        <v/>
      </c>
      <c r="I4386" s="7" t="str">
        <f>IF(Table1[[#This Row],[Is Data Valid]]=TRUE,((Table1[[#This Row],[Birthweight (grams)]]*1.1/Table1[[#This Row],[BW_GA]])-1)/(Backend!$B$4/100*Table1[[#This Row],[BW40_3705]]),"")</f>
        <v/>
      </c>
      <c r="J4386" s="7" t="str">
        <f>IF(Table1[[#This Row],[Is Data Valid]]=TRUE,_xlfn.NORM.S.DIST(Table1[[#This Row],[Birthweight Z-Score]],TRUE)*100,"")</f>
        <v/>
      </c>
      <c r="K4386" s="7" t="str">
        <f>IF(Table1[[#This Row],[Is Data Valid]]=TRUE,_xlfn.NORM.S.DIST(Table1[[#This Row],[Birthweight Z-Score (BW-10%)]],TRUE)*100,"")</f>
        <v/>
      </c>
      <c r="L4386" s="7" t="str">
        <f>IF(Table1[[#This Row],[Is Data Valid]]=TRUE,_xlfn.NORM.S.DIST(Table1[[#This Row],[Birthweight Z-Score (BW+10%)]],TRUE)*100,"")</f>
        <v/>
      </c>
    </row>
    <row r="4387" spans="1:12" x14ac:dyDescent="0.35">
      <c r="A4387" s="3"/>
      <c r="B4387" s="2"/>
      <c r="C4387" s="2"/>
      <c r="D4387" s="2" t="b">
        <f>IF(AND(NOT(ISBLANK(Table1[[#This Row],[Fetal Sex (Male, Female or Unknown)]])),ISNUMBER(Table1[[#This Row],[Birthweight (grams)]]),ISNUMBER(Table1[[#This Row],[Gestation (days)]])),TRUE,FALSE)</f>
        <v>0</v>
      </c>
      <c r="E4387" s="2" t="str">
        <f>IF(Table1[[#This Row],[Is Data Valid]]=TRUE,IF(Table1[[#This Row],[Fetal Sex (Male, Female or Unknown)]]="Male",Backend!$C$6,IF(Table1[[#This Row],[Fetal Sex (Male, Female or Unknown)]]="Female",Backend!$C$7,IF(Table1[[#This Row],[Fetal Sex (Male, Female or Unknown)]]="Unknown",Backend!$C$8,"Error"))),"")</f>
        <v/>
      </c>
      <c r="F4387" s="8" t="str">
        <f>IF(Table1[[#This Row],[Is Data Valid]]=TRUE,EXP(0.578+0.332*((Table1[[#This Row],[Gestation (days)]]+0.5)/7)-0.00354*((Table1[[#This Row],[Gestation (days)]]+0.5)/7)^2)*Table1[[#This Row],[BW40_3705]],"")</f>
        <v/>
      </c>
      <c r="G4387" s="2" t="str">
        <f>IF(Table1[[#This Row],[Is Data Valid]]=TRUE,((Table1[[#This Row],[Birthweight (grams)]]/Table1[[#This Row],[BW_GA]])-1)/(Backend!$B$4/100*Table1[[#This Row],[BW40_3705]]),"")</f>
        <v/>
      </c>
      <c r="H4387" s="7" t="str">
        <f>IF(Table1[[#This Row],[Is Data Valid]]=TRUE,((Table1[[#This Row],[Birthweight (grams)]]*0.9/Table1[[#This Row],[BW_GA]])-1)/(Backend!$B$4/100*Table1[[#This Row],[BW40_3705]]),"")</f>
        <v/>
      </c>
      <c r="I4387" s="7" t="str">
        <f>IF(Table1[[#This Row],[Is Data Valid]]=TRUE,((Table1[[#This Row],[Birthweight (grams)]]*1.1/Table1[[#This Row],[BW_GA]])-1)/(Backend!$B$4/100*Table1[[#This Row],[BW40_3705]]),"")</f>
        <v/>
      </c>
      <c r="J4387" s="7" t="str">
        <f>IF(Table1[[#This Row],[Is Data Valid]]=TRUE,_xlfn.NORM.S.DIST(Table1[[#This Row],[Birthweight Z-Score]],TRUE)*100,"")</f>
        <v/>
      </c>
      <c r="K4387" s="7" t="str">
        <f>IF(Table1[[#This Row],[Is Data Valid]]=TRUE,_xlfn.NORM.S.DIST(Table1[[#This Row],[Birthweight Z-Score (BW-10%)]],TRUE)*100,"")</f>
        <v/>
      </c>
      <c r="L4387" s="7" t="str">
        <f>IF(Table1[[#This Row],[Is Data Valid]]=TRUE,_xlfn.NORM.S.DIST(Table1[[#This Row],[Birthweight Z-Score (BW+10%)]],TRUE)*100,"")</f>
        <v/>
      </c>
    </row>
    <row r="4388" spans="1:12" x14ac:dyDescent="0.35">
      <c r="A4388" s="3"/>
      <c r="B4388" s="2"/>
      <c r="C4388" s="2"/>
      <c r="D4388" s="2" t="b">
        <f>IF(AND(NOT(ISBLANK(Table1[[#This Row],[Fetal Sex (Male, Female or Unknown)]])),ISNUMBER(Table1[[#This Row],[Birthweight (grams)]]),ISNUMBER(Table1[[#This Row],[Gestation (days)]])),TRUE,FALSE)</f>
        <v>0</v>
      </c>
      <c r="E4388" s="2" t="str">
        <f>IF(Table1[[#This Row],[Is Data Valid]]=TRUE,IF(Table1[[#This Row],[Fetal Sex (Male, Female or Unknown)]]="Male",Backend!$C$6,IF(Table1[[#This Row],[Fetal Sex (Male, Female or Unknown)]]="Female",Backend!$C$7,IF(Table1[[#This Row],[Fetal Sex (Male, Female or Unknown)]]="Unknown",Backend!$C$8,"Error"))),"")</f>
        <v/>
      </c>
      <c r="F4388" s="8" t="str">
        <f>IF(Table1[[#This Row],[Is Data Valid]]=TRUE,EXP(0.578+0.332*((Table1[[#This Row],[Gestation (days)]]+0.5)/7)-0.00354*((Table1[[#This Row],[Gestation (days)]]+0.5)/7)^2)*Table1[[#This Row],[BW40_3705]],"")</f>
        <v/>
      </c>
      <c r="G4388" s="2" t="str">
        <f>IF(Table1[[#This Row],[Is Data Valid]]=TRUE,((Table1[[#This Row],[Birthweight (grams)]]/Table1[[#This Row],[BW_GA]])-1)/(Backend!$B$4/100*Table1[[#This Row],[BW40_3705]]),"")</f>
        <v/>
      </c>
      <c r="H4388" s="7" t="str">
        <f>IF(Table1[[#This Row],[Is Data Valid]]=TRUE,((Table1[[#This Row],[Birthweight (grams)]]*0.9/Table1[[#This Row],[BW_GA]])-1)/(Backend!$B$4/100*Table1[[#This Row],[BW40_3705]]),"")</f>
        <v/>
      </c>
      <c r="I4388" s="7" t="str">
        <f>IF(Table1[[#This Row],[Is Data Valid]]=TRUE,((Table1[[#This Row],[Birthweight (grams)]]*1.1/Table1[[#This Row],[BW_GA]])-1)/(Backend!$B$4/100*Table1[[#This Row],[BW40_3705]]),"")</f>
        <v/>
      </c>
      <c r="J4388" s="7" t="str">
        <f>IF(Table1[[#This Row],[Is Data Valid]]=TRUE,_xlfn.NORM.S.DIST(Table1[[#This Row],[Birthweight Z-Score]],TRUE)*100,"")</f>
        <v/>
      </c>
      <c r="K4388" s="7" t="str">
        <f>IF(Table1[[#This Row],[Is Data Valid]]=TRUE,_xlfn.NORM.S.DIST(Table1[[#This Row],[Birthweight Z-Score (BW-10%)]],TRUE)*100,"")</f>
        <v/>
      </c>
      <c r="L4388" s="7" t="str">
        <f>IF(Table1[[#This Row],[Is Data Valid]]=TRUE,_xlfn.NORM.S.DIST(Table1[[#This Row],[Birthweight Z-Score (BW+10%)]],TRUE)*100,"")</f>
        <v/>
      </c>
    </row>
    <row r="4389" spans="1:12" x14ac:dyDescent="0.35">
      <c r="A4389" s="3"/>
      <c r="B4389" s="2"/>
      <c r="C4389" s="2"/>
      <c r="D4389" s="2" t="b">
        <f>IF(AND(NOT(ISBLANK(Table1[[#This Row],[Fetal Sex (Male, Female or Unknown)]])),ISNUMBER(Table1[[#This Row],[Birthweight (grams)]]),ISNUMBER(Table1[[#This Row],[Gestation (days)]])),TRUE,FALSE)</f>
        <v>0</v>
      </c>
      <c r="E4389" s="2" t="str">
        <f>IF(Table1[[#This Row],[Is Data Valid]]=TRUE,IF(Table1[[#This Row],[Fetal Sex (Male, Female or Unknown)]]="Male",Backend!$C$6,IF(Table1[[#This Row],[Fetal Sex (Male, Female or Unknown)]]="Female",Backend!$C$7,IF(Table1[[#This Row],[Fetal Sex (Male, Female or Unknown)]]="Unknown",Backend!$C$8,"Error"))),"")</f>
        <v/>
      </c>
      <c r="F4389" s="8" t="str">
        <f>IF(Table1[[#This Row],[Is Data Valid]]=TRUE,EXP(0.578+0.332*((Table1[[#This Row],[Gestation (days)]]+0.5)/7)-0.00354*((Table1[[#This Row],[Gestation (days)]]+0.5)/7)^2)*Table1[[#This Row],[BW40_3705]],"")</f>
        <v/>
      </c>
      <c r="G4389" s="2" t="str">
        <f>IF(Table1[[#This Row],[Is Data Valid]]=TRUE,((Table1[[#This Row],[Birthweight (grams)]]/Table1[[#This Row],[BW_GA]])-1)/(Backend!$B$4/100*Table1[[#This Row],[BW40_3705]]),"")</f>
        <v/>
      </c>
      <c r="H4389" s="7" t="str">
        <f>IF(Table1[[#This Row],[Is Data Valid]]=TRUE,((Table1[[#This Row],[Birthweight (grams)]]*0.9/Table1[[#This Row],[BW_GA]])-1)/(Backend!$B$4/100*Table1[[#This Row],[BW40_3705]]),"")</f>
        <v/>
      </c>
      <c r="I4389" s="7" t="str">
        <f>IF(Table1[[#This Row],[Is Data Valid]]=TRUE,((Table1[[#This Row],[Birthweight (grams)]]*1.1/Table1[[#This Row],[BW_GA]])-1)/(Backend!$B$4/100*Table1[[#This Row],[BW40_3705]]),"")</f>
        <v/>
      </c>
      <c r="J4389" s="7" t="str">
        <f>IF(Table1[[#This Row],[Is Data Valid]]=TRUE,_xlfn.NORM.S.DIST(Table1[[#This Row],[Birthweight Z-Score]],TRUE)*100,"")</f>
        <v/>
      </c>
      <c r="K4389" s="7" t="str">
        <f>IF(Table1[[#This Row],[Is Data Valid]]=TRUE,_xlfn.NORM.S.DIST(Table1[[#This Row],[Birthweight Z-Score (BW-10%)]],TRUE)*100,"")</f>
        <v/>
      </c>
      <c r="L4389" s="7" t="str">
        <f>IF(Table1[[#This Row],[Is Data Valid]]=TRUE,_xlfn.NORM.S.DIST(Table1[[#This Row],[Birthweight Z-Score (BW+10%)]],TRUE)*100,"")</f>
        <v/>
      </c>
    </row>
    <row r="4390" spans="1:12" x14ac:dyDescent="0.35">
      <c r="A4390" s="3"/>
      <c r="B4390" s="2"/>
      <c r="C4390" s="2"/>
      <c r="D4390" s="2" t="b">
        <f>IF(AND(NOT(ISBLANK(Table1[[#This Row],[Fetal Sex (Male, Female or Unknown)]])),ISNUMBER(Table1[[#This Row],[Birthweight (grams)]]),ISNUMBER(Table1[[#This Row],[Gestation (days)]])),TRUE,FALSE)</f>
        <v>0</v>
      </c>
      <c r="E4390" s="2" t="str">
        <f>IF(Table1[[#This Row],[Is Data Valid]]=TRUE,IF(Table1[[#This Row],[Fetal Sex (Male, Female or Unknown)]]="Male",Backend!$C$6,IF(Table1[[#This Row],[Fetal Sex (Male, Female or Unknown)]]="Female",Backend!$C$7,IF(Table1[[#This Row],[Fetal Sex (Male, Female or Unknown)]]="Unknown",Backend!$C$8,"Error"))),"")</f>
        <v/>
      </c>
      <c r="F4390" s="8" t="str">
        <f>IF(Table1[[#This Row],[Is Data Valid]]=TRUE,EXP(0.578+0.332*((Table1[[#This Row],[Gestation (days)]]+0.5)/7)-0.00354*((Table1[[#This Row],[Gestation (days)]]+0.5)/7)^2)*Table1[[#This Row],[BW40_3705]],"")</f>
        <v/>
      </c>
      <c r="G4390" s="2" t="str">
        <f>IF(Table1[[#This Row],[Is Data Valid]]=TRUE,((Table1[[#This Row],[Birthweight (grams)]]/Table1[[#This Row],[BW_GA]])-1)/(Backend!$B$4/100*Table1[[#This Row],[BW40_3705]]),"")</f>
        <v/>
      </c>
      <c r="H4390" s="7" t="str">
        <f>IF(Table1[[#This Row],[Is Data Valid]]=TRUE,((Table1[[#This Row],[Birthweight (grams)]]*0.9/Table1[[#This Row],[BW_GA]])-1)/(Backend!$B$4/100*Table1[[#This Row],[BW40_3705]]),"")</f>
        <v/>
      </c>
      <c r="I4390" s="7" t="str">
        <f>IF(Table1[[#This Row],[Is Data Valid]]=TRUE,((Table1[[#This Row],[Birthweight (grams)]]*1.1/Table1[[#This Row],[BW_GA]])-1)/(Backend!$B$4/100*Table1[[#This Row],[BW40_3705]]),"")</f>
        <v/>
      </c>
      <c r="J4390" s="7" t="str">
        <f>IF(Table1[[#This Row],[Is Data Valid]]=TRUE,_xlfn.NORM.S.DIST(Table1[[#This Row],[Birthweight Z-Score]],TRUE)*100,"")</f>
        <v/>
      </c>
      <c r="K4390" s="7" t="str">
        <f>IF(Table1[[#This Row],[Is Data Valid]]=TRUE,_xlfn.NORM.S.DIST(Table1[[#This Row],[Birthweight Z-Score (BW-10%)]],TRUE)*100,"")</f>
        <v/>
      </c>
      <c r="L4390" s="7" t="str">
        <f>IF(Table1[[#This Row],[Is Data Valid]]=TRUE,_xlfn.NORM.S.DIST(Table1[[#This Row],[Birthweight Z-Score (BW+10%)]],TRUE)*100,"")</f>
        <v/>
      </c>
    </row>
    <row r="4391" spans="1:12" x14ac:dyDescent="0.35">
      <c r="A4391" s="3"/>
      <c r="B4391" s="2"/>
      <c r="C4391" s="2"/>
      <c r="D4391" s="2" t="b">
        <f>IF(AND(NOT(ISBLANK(Table1[[#This Row],[Fetal Sex (Male, Female or Unknown)]])),ISNUMBER(Table1[[#This Row],[Birthweight (grams)]]),ISNUMBER(Table1[[#This Row],[Gestation (days)]])),TRUE,FALSE)</f>
        <v>0</v>
      </c>
      <c r="E4391" s="2" t="str">
        <f>IF(Table1[[#This Row],[Is Data Valid]]=TRUE,IF(Table1[[#This Row],[Fetal Sex (Male, Female or Unknown)]]="Male",Backend!$C$6,IF(Table1[[#This Row],[Fetal Sex (Male, Female or Unknown)]]="Female",Backend!$C$7,IF(Table1[[#This Row],[Fetal Sex (Male, Female or Unknown)]]="Unknown",Backend!$C$8,"Error"))),"")</f>
        <v/>
      </c>
      <c r="F4391" s="8" t="str">
        <f>IF(Table1[[#This Row],[Is Data Valid]]=TRUE,EXP(0.578+0.332*((Table1[[#This Row],[Gestation (days)]]+0.5)/7)-0.00354*((Table1[[#This Row],[Gestation (days)]]+0.5)/7)^2)*Table1[[#This Row],[BW40_3705]],"")</f>
        <v/>
      </c>
      <c r="G4391" s="2" t="str">
        <f>IF(Table1[[#This Row],[Is Data Valid]]=TRUE,((Table1[[#This Row],[Birthweight (grams)]]/Table1[[#This Row],[BW_GA]])-1)/(Backend!$B$4/100*Table1[[#This Row],[BW40_3705]]),"")</f>
        <v/>
      </c>
      <c r="H4391" s="7" t="str">
        <f>IF(Table1[[#This Row],[Is Data Valid]]=TRUE,((Table1[[#This Row],[Birthweight (grams)]]*0.9/Table1[[#This Row],[BW_GA]])-1)/(Backend!$B$4/100*Table1[[#This Row],[BW40_3705]]),"")</f>
        <v/>
      </c>
      <c r="I4391" s="7" t="str">
        <f>IF(Table1[[#This Row],[Is Data Valid]]=TRUE,((Table1[[#This Row],[Birthweight (grams)]]*1.1/Table1[[#This Row],[BW_GA]])-1)/(Backend!$B$4/100*Table1[[#This Row],[BW40_3705]]),"")</f>
        <v/>
      </c>
      <c r="J4391" s="7" t="str">
        <f>IF(Table1[[#This Row],[Is Data Valid]]=TRUE,_xlfn.NORM.S.DIST(Table1[[#This Row],[Birthweight Z-Score]],TRUE)*100,"")</f>
        <v/>
      </c>
      <c r="K4391" s="7" t="str">
        <f>IF(Table1[[#This Row],[Is Data Valid]]=TRUE,_xlfn.NORM.S.DIST(Table1[[#This Row],[Birthweight Z-Score (BW-10%)]],TRUE)*100,"")</f>
        <v/>
      </c>
      <c r="L4391" s="7" t="str">
        <f>IF(Table1[[#This Row],[Is Data Valid]]=TRUE,_xlfn.NORM.S.DIST(Table1[[#This Row],[Birthweight Z-Score (BW+10%)]],TRUE)*100,"")</f>
        <v/>
      </c>
    </row>
    <row r="4392" spans="1:12" x14ac:dyDescent="0.35">
      <c r="A4392" s="3"/>
      <c r="B4392" s="2"/>
      <c r="C4392" s="2"/>
      <c r="D4392" s="2" t="b">
        <f>IF(AND(NOT(ISBLANK(Table1[[#This Row],[Fetal Sex (Male, Female or Unknown)]])),ISNUMBER(Table1[[#This Row],[Birthweight (grams)]]),ISNUMBER(Table1[[#This Row],[Gestation (days)]])),TRUE,FALSE)</f>
        <v>0</v>
      </c>
      <c r="E4392" s="2" t="str">
        <f>IF(Table1[[#This Row],[Is Data Valid]]=TRUE,IF(Table1[[#This Row],[Fetal Sex (Male, Female or Unknown)]]="Male",Backend!$C$6,IF(Table1[[#This Row],[Fetal Sex (Male, Female or Unknown)]]="Female",Backend!$C$7,IF(Table1[[#This Row],[Fetal Sex (Male, Female or Unknown)]]="Unknown",Backend!$C$8,"Error"))),"")</f>
        <v/>
      </c>
      <c r="F4392" s="8" t="str">
        <f>IF(Table1[[#This Row],[Is Data Valid]]=TRUE,EXP(0.578+0.332*((Table1[[#This Row],[Gestation (days)]]+0.5)/7)-0.00354*((Table1[[#This Row],[Gestation (days)]]+0.5)/7)^2)*Table1[[#This Row],[BW40_3705]],"")</f>
        <v/>
      </c>
      <c r="G4392" s="2" t="str">
        <f>IF(Table1[[#This Row],[Is Data Valid]]=TRUE,((Table1[[#This Row],[Birthweight (grams)]]/Table1[[#This Row],[BW_GA]])-1)/(Backend!$B$4/100*Table1[[#This Row],[BW40_3705]]),"")</f>
        <v/>
      </c>
      <c r="H4392" s="7" t="str">
        <f>IF(Table1[[#This Row],[Is Data Valid]]=TRUE,((Table1[[#This Row],[Birthweight (grams)]]*0.9/Table1[[#This Row],[BW_GA]])-1)/(Backend!$B$4/100*Table1[[#This Row],[BW40_3705]]),"")</f>
        <v/>
      </c>
      <c r="I4392" s="7" t="str">
        <f>IF(Table1[[#This Row],[Is Data Valid]]=TRUE,((Table1[[#This Row],[Birthweight (grams)]]*1.1/Table1[[#This Row],[BW_GA]])-1)/(Backend!$B$4/100*Table1[[#This Row],[BW40_3705]]),"")</f>
        <v/>
      </c>
      <c r="J4392" s="7" t="str">
        <f>IF(Table1[[#This Row],[Is Data Valid]]=TRUE,_xlfn.NORM.S.DIST(Table1[[#This Row],[Birthweight Z-Score]],TRUE)*100,"")</f>
        <v/>
      </c>
      <c r="K4392" s="7" t="str">
        <f>IF(Table1[[#This Row],[Is Data Valid]]=TRUE,_xlfn.NORM.S.DIST(Table1[[#This Row],[Birthweight Z-Score (BW-10%)]],TRUE)*100,"")</f>
        <v/>
      </c>
      <c r="L4392" s="7" t="str">
        <f>IF(Table1[[#This Row],[Is Data Valid]]=TRUE,_xlfn.NORM.S.DIST(Table1[[#This Row],[Birthweight Z-Score (BW+10%)]],TRUE)*100,"")</f>
        <v/>
      </c>
    </row>
    <row r="4393" spans="1:12" x14ac:dyDescent="0.35">
      <c r="A4393" s="3"/>
      <c r="B4393" s="2"/>
      <c r="C4393" s="2"/>
      <c r="D4393" s="2" t="b">
        <f>IF(AND(NOT(ISBLANK(Table1[[#This Row],[Fetal Sex (Male, Female or Unknown)]])),ISNUMBER(Table1[[#This Row],[Birthweight (grams)]]),ISNUMBER(Table1[[#This Row],[Gestation (days)]])),TRUE,FALSE)</f>
        <v>0</v>
      </c>
      <c r="E4393" s="2" t="str">
        <f>IF(Table1[[#This Row],[Is Data Valid]]=TRUE,IF(Table1[[#This Row],[Fetal Sex (Male, Female or Unknown)]]="Male",Backend!$C$6,IF(Table1[[#This Row],[Fetal Sex (Male, Female or Unknown)]]="Female",Backend!$C$7,IF(Table1[[#This Row],[Fetal Sex (Male, Female or Unknown)]]="Unknown",Backend!$C$8,"Error"))),"")</f>
        <v/>
      </c>
      <c r="F4393" s="8" t="str">
        <f>IF(Table1[[#This Row],[Is Data Valid]]=TRUE,EXP(0.578+0.332*((Table1[[#This Row],[Gestation (days)]]+0.5)/7)-0.00354*((Table1[[#This Row],[Gestation (days)]]+0.5)/7)^2)*Table1[[#This Row],[BW40_3705]],"")</f>
        <v/>
      </c>
      <c r="G4393" s="2" t="str">
        <f>IF(Table1[[#This Row],[Is Data Valid]]=TRUE,((Table1[[#This Row],[Birthweight (grams)]]/Table1[[#This Row],[BW_GA]])-1)/(Backend!$B$4/100*Table1[[#This Row],[BW40_3705]]),"")</f>
        <v/>
      </c>
      <c r="H4393" s="7" t="str">
        <f>IF(Table1[[#This Row],[Is Data Valid]]=TRUE,((Table1[[#This Row],[Birthweight (grams)]]*0.9/Table1[[#This Row],[BW_GA]])-1)/(Backend!$B$4/100*Table1[[#This Row],[BW40_3705]]),"")</f>
        <v/>
      </c>
      <c r="I4393" s="7" t="str">
        <f>IF(Table1[[#This Row],[Is Data Valid]]=TRUE,((Table1[[#This Row],[Birthweight (grams)]]*1.1/Table1[[#This Row],[BW_GA]])-1)/(Backend!$B$4/100*Table1[[#This Row],[BW40_3705]]),"")</f>
        <v/>
      </c>
      <c r="J4393" s="7" t="str">
        <f>IF(Table1[[#This Row],[Is Data Valid]]=TRUE,_xlfn.NORM.S.DIST(Table1[[#This Row],[Birthweight Z-Score]],TRUE)*100,"")</f>
        <v/>
      </c>
      <c r="K4393" s="7" t="str">
        <f>IF(Table1[[#This Row],[Is Data Valid]]=TRUE,_xlfn.NORM.S.DIST(Table1[[#This Row],[Birthweight Z-Score (BW-10%)]],TRUE)*100,"")</f>
        <v/>
      </c>
      <c r="L4393" s="7" t="str">
        <f>IF(Table1[[#This Row],[Is Data Valid]]=TRUE,_xlfn.NORM.S.DIST(Table1[[#This Row],[Birthweight Z-Score (BW+10%)]],TRUE)*100,"")</f>
        <v/>
      </c>
    </row>
    <row r="4394" spans="1:12" x14ac:dyDescent="0.35">
      <c r="A4394" s="3"/>
      <c r="B4394" s="2"/>
      <c r="C4394" s="2"/>
      <c r="D4394" s="2" t="b">
        <f>IF(AND(NOT(ISBLANK(Table1[[#This Row],[Fetal Sex (Male, Female or Unknown)]])),ISNUMBER(Table1[[#This Row],[Birthweight (grams)]]),ISNUMBER(Table1[[#This Row],[Gestation (days)]])),TRUE,FALSE)</f>
        <v>0</v>
      </c>
      <c r="E4394" s="2" t="str">
        <f>IF(Table1[[#This Row],[Is Data Valid]]=TRUE,IF(Table1[[#This Row],[Fetal Sex (Male, Female or Unknown)]]="Male",Backend!$C$6,IF(Table1[[#This Row],[Fetal Sex (Male, Female or Unknown)]]="Female",Backend!$C$7,IF(Table1[[#This Row],[Fetal Sex (Male, Female or Unknown)]]="Unknown",Backend!$C$8,"Error"))),"")</f>
        <v/>
      </c>
      <c r="F4394" s="8" t="str">
        <f>IF(Table1[[#This Row],[Is Data Valid]]=TRUE,EXP(0.578+0.332*((Table1[[#This Row],[Gestation (days)]]+0.5)/7)-0.00354*((Table1[[#This Row],[Gestation (days)]]+0.5)/7)^2)*Table1[[#This Row],[BW40_3705]],"")</f>
        <v/>
      </c>
      <c r="G4394" s="2" t="str">
        <f>IF(Table1[[#This Row],[Is Data Valid]]=TRUE,((Table1[[#This Row],[Birthweight (grams)]]/Table1[[#This Row],[BW_GA]])-1)/(Backend!$B$4/100*Table1[[#This Row],[BW40_3705]]),"")</f>
        <v/>
      </c>
      <c r="H4394" s="7" t="str">
        <f>IF(Table1[[#This Row],[Is Data Valid]]=TRUE,((Table1[[#This Row],[Birthweight (grams)]]*0.9/Table1[[#This Row],[BW_GA]])-1)/(Backend!$B$4/100*Table1[[#This Row],[BW40_3705]]),"")</f>
        <v/>
      </c>
      <c r="I4394" s="7" t="str">
        <f>IF(Table1[[#This Row],[Is Data Valid]]=TRUE,((Table1[[#This Row],[Birthweight (grams)]]*1.1/Table1[[#This Row],[BW_GA]])-1)/(Backend!$B$4/100*Table1[[#This Row],[BW40_3705]]),"")</f>
        <v/>
      </c>
      <c r="J4394" s="7" t="str">
        <f>IF(Table1[[#This Row],[Is Data Valid]]=TRUE,_xlfn.NORM.S.DIST(Table1[[#This Row],[Birthweight Z-Score]],TRUE)*100,"")</f>
        <v/>
      </c>
      <c r="K4394" s="7" t="str">
        <f>IF(Table1[[#This Row],[Is Data Valid]]=TRUE,_xlfn.NORM.S.DIST(Table1[[#This Row],[Birthweight Z-Score (BW-10%)]],TRUE)*100,"")</f>
        <v/>
      </c>
      <c r="L4394" s="7" t="str">
        <f>IF(Table1[[#This Row],[Is Data Valid]]=TRUE,_xlfn.NORM.S.DIST(Table1[[#This Row],[Birthweight Z-Score (BW+10%)]],TRUE)*100,"")</f>
        <v/>
      </c>
    </row>
    <row r="4395" spans="1:12" x14ac:dyDescent="0.35">
      <c r="A4395" s="3"/>
      <c r="B4395" s="2"/>
      <c r="C4395" s="2"/>
      <c r="D4395" s="2" t="b">
        <f>IF(AND(NOT(ISBLANK(Table1[[#This Row],[Fetal Sex (Male, Female or Unknown)]])),ISNUMBER(Table1[[#This Row],[Birthweight (grams)]]),ISNUMBER(Table1[[#This Row],[Gestation (days)]])),TRUE,FALSE)</f>
        <v>0</v>
      </c>
      <c r="E4395" s="2" t="str">
        <f>IF(Table1[[#This Row],[Is Data Valid]]=TRUE,IF(Table1[[#This Row],[Fetal Sex (Male, Female or Unknown)]]="Male",Backend!$C$6,IF(Table1[[#This Row],[Fetal Sex (Male, Female or Unknown)]]="Female",Backend!$C$7,IF(Table1[[#This Row],[Fetal Sex (Male, Female or Unknown)]]="Unknown",Backend!$C$8,"Error"))),"")</f>
        <v/>
      </c>
      <c r="F4395" s="8" t="str">
        <f>IF(Table1[[#This Row],[Is Data Valid]]=TRUE,EXP(0.578+0.332*((Table1[[#This Row],[Gestation (days)]]+0.5)/7)-0.00354*((Table1[[#This Row],[Gestation (days)]]+0.5)/7)^2)*Table1[[#This Row],[BW40_3705]],"")</f>
        <v/>
      </c>
      <c r="G4395" s="2" t="str">
        <f>IF(Table1[[#This Row],[Is Data Valid]]=TRUE,((Table1[[#This Row],[Birthweight (grams)]]/Table1[[#This Row],[BW_GA]])-1)/(Backend!$B$4/100*Table1[[#This Row],[BW40_3705]]),"")</f>
        <v/>
      </c>
      <c r="H4395" s="7" t="str">
        <f>IF(Table1[[#This Row],[Is Data Valid]]=TRUE,((Table1[[#This Row],[Birthweight (grams)]]*0.9/Table1[[#This Row],[BW_GA]])-1)/(Backend!$B$4/100*Table1[[#This Row],[BW40_3705]]),"")</f>
        <v/>
      </c>
      <c r="I4395" s="7" t="str">
        <f>IF(Table1[[#This Row],[Is Data Valid]]=TRUE,((Table1[[#This Row],[Birthweight (grams)]]*1.1/Table1[[#This Row],[BW_GA]])-1)/(Backend!$B$4/100*Table1[[#This Row],[BW40_3705]]),"")</f>
        <v/>
      </c>
      <c r="J4395" s="7" t="str">
        <f>IF(Table1[[#This Row],[Is Data Valid]]=TRUE,_xlfn.NORM.S.DIST(Table1[[#This Row],[Birthweight Z-Score]],TRUE)*100,"")</f>
        <v/>
      </c>
      <c r="K4395" s="7" t="str">
        <f>IF(Table1[[#This Row],[Is Data Valid]]=TRUE,_xlfn.NORM.S.DIST(Table1[[#This Row],[Birthweight Z-Score (BW-10%)]],TRUE)*100,"")</f>
        <v/>
      </c>
      <c r="L4395" s="7" t="str">
        <f>IF(Table1[[#This Row],[Is Data Valid]]=TRUE,_xlfn.NORM.S.DIST(Table1[[#This Row],[Birthweight Z-Score (BW+10%)]],TRUE)*100,"")</f>
        <v/>
      </c>
    </row>
    <row r="4396" spans="1:12" x14ac:dyDescent="0.35">
      <c r="A4396" s="3"/>
      <c r="B4396" s="2"/>
      <c r="C4396" s="2"/>
      <c r="D4396" s="2" t="b">
        <f>IF(AND(NOT(ISBLANK(Table1[[#This Row],[Fetal Sex (Male, Female or Unknown)]])),ISNUMBER(Table1[[#This Row],[Birthweight (grams)]]),ISNUMBER(Table1[[#This Row],[Gestation (days)]])),TRUE,FALSE)</f>
        <v>0</v>
      </c>
      <c r="E4396" s="2" t="str">
        <f>IF(Table1[[#This Row],[Is Data Valid]]=TRUE,IF(Table1[[#This Row],[Fetal Sex (Male, Female or Unknown)]]="Male",Backend!$C$6,IF(Table1[[#This Row],[Fetal Sex (Male, Female or Unknown)]]="Female",Backend!$C$7,IF(Table1[[#This Row],[Fetal Sex (Male, Female or Unknown)]]="Unknown",Backend!$C$8,"Error"))),"")</f>
        <v/>
      </c>
      <c r="F4396" s="8" t="str">
        <f>IF(Table1[[#This Row],[Is Data Valid]]=TRUE,EXP(0.578+0.332*((Table1[[#This Row],[Gestation (days)]]+0.5)/7)-0.00354*((Table1[[#This Row],[Gestation (days)]]+0.5)/7)^2)*Table1[[#This Row],[BW40_3705]],"")</f>
        <v/>
      </c>
      <c r="G4396" s="2" t="str">
        <f>IF(Table1[[#This Row],[Is Data Valid]]=TRUE,((Table1[[#This Row],[Birthweight (grams)]]/Table1[[#This Row],[BW_GA]])-1)/(Backend!$B$4/100*Table1[[#This Row],[BW40_3705]]),"")</f>
        <v/>
      </c>
      <c r="H4396" s="7" t="str">
        <f>IF(Table1[[#This Row],[Is Data Valid]]=TRUE,((Table1[[#This Row],[Birthweight (grams)]]*0.9/Table1[[#This Row],[BW_GA]])-1)/(Backend!$B$4/100*Table1[[#This Row],[BW40_3705]]),"")</f>
        <v/>
      </c>
      <c r="I4396" s="7" t="str">
        <f>IF(Table1[[#This Row],[Is Data Valid]]=TRUE,((Table1[[#This Row],[Birthweight (grams)]]*1.1/Table1[[#This Row],[BW_GA]])-1)/(Backend!$B$4/100*Table1[[#This Row],[BW40_3705]]),"")</f>
        <v/>
      </c>
      <c r="J4396" s="7" t="str">
        <f>IF(Table1[[#This Row],[Is Data Valid]]=TRUE,_xlfn.NORM.S.DIST(Table1[[#This Row],[Birthweight Z-Score]],TRUE)*100,"")</f>
        <v/>
      </c>
      <c r="K4396" s="7" t="str">
        <f>IF(Table1[[#This Row],[Is Data Valid]]=TRUE,_xlfn.NORM.S.DIST(Table1[[#This Row],[Birthweight Z-Score (BW-10%)]],TRUE)*100,"")</f>
        <v/>
      </c>
      <c r="L4396" s="7" t="str">
        <f>IF(Table1[[#This Row],[Is Data Valid]]=TRUE,_xlfn.NORM.S.DIST(Table1[[#This Row],[Birthweight Z-Score (BW+10%)]],TRUE)*100,"")</f>
        <v/>
      </c>
    </row>
    <row r="4397" spans="1:12" x14ac:dyDescent="0.35">
      <c r="A4397" s="3"/>
      <c r="B4397" s="2"/>
      <c r="C4397" s="2"/>
      <c r="D4397" s="2" t="b">
        <f>IF(AND(NOT(ISBLANK(Table1[[#This Row],[Fetal Sex (Male, Female or Unknown)]])),ISNUMBER(Table1[[#This Row],[Birthweight (grams)]]),ISNUMBER(Table1[[#This Row],[Gestation (days)]])),TRUE,FALSE)</f>
        <v>0</v>
      </c>
      <c r="E4397" s="2" t="str">
        <f>IF(Table1[[#This Row],[Is Data Valid]]=TRUE,IF(Table1[[#This Row],[Fetal Sex (Male, Female or Unknown)]]="Male",Backend!$C$6,IF(Table1[[#This Row],[Fetal Sex (Male, Female or Unknown)]]="Female",Backend!$C$7,IF(Table1[[#This Row],[Fetal Sex (Male, Female or Unknown)]]="Unknown",Backend!$C$8,"Error"))),"")</f>
        <v/>
      </c>
      <c r="F4397" s="8" t="str">
        <f>IF(Table1[[#This Row],[Is Data Valid]]=TRUE,EXP(0.578+0.332*((Table1[[#This Row],[Gestation (days)]]+0.5)/7)-0.00354*((Table1[[#This Row],[Gestation (days)]]+0.5)/7)^2)*Table1[[#This Row],[BW40_3705]],"")</f>
        <v/>
      </c>
      <c r="G4397" s="2" t="str">
        <f>IF(Table1[[#This Row],[Is Data Valid]]=TRUE,((Table1[[#This Row],[Birthweight (grams)]]/Table1[[#This Row],[BW_GA]])-1)/(Backend!$B$4/100*Table1[[#This Row],[BW40_3705]]),"")</f>
        <v/>
      </c>
      <c r="H4397" s="7" t="str">
        <f>IF(Table1[[#This Row],[Is Data Valid]]=TRUE,((Table1[[#This Row],[Birthweight (grams)]]*0.9/Table1[[#This Row],[BW_GA]])-1)/(Backend!$B$4/100*Table1[[#This Row],[BW40_3705]]),"")</f>
        <v/>
      </c>
      <c r="I4397" s="7" t="str">
        <f>IF(Table1[[#This Row],[Is Data Valid]]=TRUE,((Table1[[#This Row],[Birthweight (grams)]]*1.1/Table1[[#This Row],[BW_GA]])-1)/(Backend!$B$4/100*Table1[[#This Row],[BW40_3705]]),"")</f>
        <v/>
      </c>
      <c r="J4397" s="7" t="str">
        <f>IF(Table1[[#This Row],[Is Data Valid]]=TRUE,_xlfn.NORM.S.DIST(Table1[[#This Row],[Birthweight Z-Score]],TRUE)*100,"")</f>
        <v/>
      </c>
      <c r="K4397" s="7" t="str">
        <f>IF(Table1[[#This Row],[Is Data Valid]]=TRUE,_xlfn.NORM.S.DIST(Table1[[#This Row],[Birthweight Z-Score (BW-10%)]],TRUE)*100,"")</f>
        <v/>
      </c>
      <c r="L4397" s="7" t="str">
        <f>IF(Table1[[#This Row],[Is Data Valid]]=TRUE,_xlfn.NORM.S.DIST(Table1[[#This Row],[Birthweight Z-Score (BW+10%)]],TRUE)*100,"")</f>
        <v/>
      </c>
    </row>
    <row r="4398" spans="1:12" x14ac:dyDescent="0.35">
      <c r="A4398" s="3"/>
      <c r="B4398" s="2"/>
      <c r="C4398" s="2"/>
      <c r="D4398" s="2" t="b">
        <f>IF(AND(NOT(ISBLANK(Table1[[#This Row],[Fetal Sex (Male, Female or Unknown)]])),ISNUMBER(Table1[[#This Row],[Birthweight (grams)]]),ISNUMBER(Table1[[#This Row],[Gestation (days)]])),TRUE,FALSE)</f>
        <v>0</v>
      </c>
      <c r="E4398" s="2" t="str">
        <f>IF(Table1[[#This Row],[Is Data Valid]]=TRUE,IF(Table1[[#This Row],[Fetal Sex (Male, Female or Unknown)]]="Male",Backend!$C$6,IF(Table1[[#This Row],[Fetal Sex (Male, Female or Unknown)]]="Female",Backend!$C$7,IF(Table1[[#This Row],[Fetal Sex (Male, Female or Unknown)]]="Unknown",Backend!$C$8,"Error"))),"")</f>
        <v/>
      </c>
      <c r="F4398" s="8" t="str">
        <f>IF(Table1[[#This Row],[Is Data Valid]]=TRUE,EXP(0.578+0.332*((Table1[[#This Row],[Gestation (days)]]+0.5)/7)-0.00354*((Table1[[#This Row],[Gestation (days)]]+0.5)/7)^2)*Table1[[#This Row],[BW40_3705]],"")</f>
        <v/>
      </c>
      <c r="G4398" s="2" t="str">
        <f>IF(Table1[[#This Row],[Is Data Valid]]=TRUE,((Table1[[#This Row],[Birthweight (grams)]]/Table1[[#This Row],[BW_GA]])-1)/(Backend!$B$4/100*Table1[[#This Row],[BW40_3705]]),"")</f>
        <v/>
      </c>
      <c r="H4398" s="7" t="str">
        <f>IF(Table1[[#This Row],[Is Data Valid]]=TRUE,((Table1[[#This Row],[Birthweight (grams)]]*0.9/Table1[[#This Row],[BW_GA]])-1)/(Backend!$B$4/100*Table1[[#This Row],[BW40_3705]]),"")</f>
        <v/>
      </c>
      <c r="I4398" s="7" t="str">
        <f>IF(Table1[[#This Row],[Is Data Valid]]=TRUE,((Table1[[#This Row],[Birthweight (grams)]]*1.1/Table1[[#This Row],[BW_GA]])-1)/(Backend!$B$4/100*Table1[[#This Row],[BW40_3705]]),"")</f>
        <v/>
      </c>
      <c r="J4398" s="7" t="str">
        <f>IF(Table1[[#This Row],[Is Data Valid]]=TRUE,_xlfn.NORM.S.DIST(Table1[[#This Row],[Birthweight Z-Score]],TRUE)*100,"")</f>
        <v/>
      </c>
      <c r="K4398" s="7" t="str">
        <f>IF(Table1[[#This Row],[Is Data Valid]]=TRUE,_xlfn.NORM.S.DIST(Table1[[#This Row],[Birthweight Z-Score (BW-10%)]],TRUE)*100,"")</f>
        <v/>
      </c>
      <c r="L4398" s="7" t="str">
        <f>IF(Table1[[#This Row],[Is Data Valid]]=TRUE,_xlfn.NORM.S.DIST(Table1[[#This Row],[Birthweight Z-Score (BW+10%)]],TRUE)*100,"")</f>
        <v/>
      </c>
    </row>
    <row r="4399" spans="1:12" x14ac:dyDescent="0.35">
      <c r="A4399" s="3"/>
      <c r="B4399" s="2"/>
      <c r="C4399" s="2"/>
      <c r="D4399" s="2" t="b">
        <f>IF(AND(NOT(ISBLANK(Table1[[#This Row],[Fetal Sex (Male, Female or Unknown)]])),ISNUMBER(Table1[[#This Row],[Birthweight (grams)]]),ISNUMBER(Table1[[#This Row],[Gestation (days)]])),TRUE,FALSE)</f>
        <v>0</v>
      </c>
      <c r="E4399" s="2" t="str">
        <f>IF(Table1[[#This Row],[Is Data Valid]]=TRUE,IF(Table1[[#This Row],[Fetal Sex (Male, Female or Unknown)]]="Male",Backend!$C$6,IF(Table1[[#This Row],[Fetal Sex (Male, Female or Unknown)]]="Female",Backend!$C$7,IF(Table1[[#This Row],[Fetal Sex (Male, Female or Unknown)]]="Unknown",Backend!$C$8,"Error"))),"")</f>
        <v/>
      </c>
      <c r="F4399" s="8" t="str">
        <f>IF(Table1[[#This Row],[Is Data Valid]]=TRUE,EXP(0.578+0.332*((Table1[[#This Row],[Gestation (days)]]+0.5)/7)-0.00354*((Table1[[#This Row],[Gestation (days)]]+0.5)/7)^2)*Table1[[#This Row],[BW40_3705]],"")</f>
        <v/>
      </c>
      <c r="G4399" s="2" t="str">
        <f>IF(Table1[[#This Row],[Is Data Valid]]=TRUE,((Table1[[#This Row],[Birthweight (grams)]]/Table1[[#This Row],[BW_GA]])-1)/(Backend!$B$4/100*Table1[[#This Row],[BW40_3705]]),"")</f>
        <v/>
      </c>
      <c r="H4399" s="7" t="str">
        <f>IF(Table1[[#This Row],[Is Data Valid]]=TRUE,((Table1[[#This Row],[Birthweight (grams)]]*0.9/Table1[[#This Row],[BW_GA]])-1)/(Backend!$B$4/100*Table1[[#This Row],[BW40_3705]]),"")</f>
        <v/>
      </c>
      <c r="I4399" s="7" t="str">
        <f>IF(Table1[[#This Row],[Is Data Valid]]=TRUE,((Table1[[#This Row],[Birthweight (grams)]]*1.1/Table1[[#This Row],[BW_GA]])-1)/(Backend!$B$4/100*Table1[[#This Row],[BW40_3705]]),"")</f>
        <v/>
      </c>
      <c r="J4399" s="7" t="str">
        <f>IF(Table1[[#This Row],[Is Data Valid]]=TRUE,_xlfn.NORM.S.DIST(Table1[[#This Row],[Birthweight Z-Score]],TRUE)*100,"")</f>
        <v/>
      </c>
      <c r="K4399" s="7" t="str">
        <f>IF(Table1[[#This Row],[Is Data Valid]]=TRUE,_xlfn.NORM.S.DIST(Table1[[#This Row],[Birthweight Z-Score (BW-10%)]],TRUE)*100,"")</f>
        <v/>
      </c>
      <c r="L4399" s="7" t="str">
        <f>IF(Table1[[#This Row],[Is Data Valid]]=TRUE,_xlfn.NORM.S.DIST(Table1[[#This Row],[Birthweight Z-Score (BW+10%)]],TRUE)*100,"")</f>
        <v/>
      </c>
    </row>
    <row r="4400" spans="1:12" x14ac:dyDescent="0.35">
      <c r="A4400" s="3"/>
      <c r="B4400" s="2"/>
      <c r="C4400" s="2"/>
      <c r="D4400" s="2" t="b">
        <f>IF(AND(NOT(ISBLANK(Table1[[#This Row],[Fetal Sex (Male, Female or Unknown)]])),ISNUMBER(Table1[[#This Row],[Birthweight (grams)]]),ISNUMBER(Table1[[#This Row],[Gestation (days)]])),TRUE,FALSE)</f>
        <v>0</v>
      </c>
      <c r="E4400" s="2" t="str">
        <f>IF(Table1[[#This Row],[Is Data Valid]]=TRUE,IF(Table1[[#This Row],[Fetal Sex (Male, Female or Unknown)]]="Male",Backend!$C$6,IF(Table1[[#This Row],[Fetal Sex (Male, Female or Unknown)]]="Female",Backend!$C$7,IF(Table1[[#This Row],[Fetal Sex (Male, Female or Unknown)]]="Unknown",Backend!$C$8,"Error"))),"")</f>
        <v/>
      </c>
      <c r="F4400" s="8" t="str">
        <f>IF(Table1[[#This Row],[Is Data Valid]]=TRUE,EXP(0.578+0.332*((Table1[[#This Row],[Gestation (days)]]+0.5)/7)-0.00354*((Table1[[#This Row],[Gestation (days)]]+0.5)/7)^2)*Table1[[#This Row],[BW40_3705]],"")</f>
        <v/>
      </c>
      <c r="G4400" s="2" t="str">
        <f>IF(Table1[[#This Row],[Is Data Valid]]=TRUE,((Table1[[#This Row],[Birthweight (grams)]]/Table1[[#This Row],[BW_GA]])-1)/(Backend!$B$4/100*Table1[[#This Row],[BW40_3705]]),"")</f>
        <v/>
      </c>
      <c r="H4400" s="7" t="str">
        <f>IF(Table1[[#This Row],[Is Data Valid]]=TRUE,((Table1[[#This Row],[Birthweight (grams)]]*0.9/Table1[[#This Row],[BW_GA]])-1)/(Backend!$B$4/100*Table1[[#This Row],[BW40_3705]]),"")</f>
        <v/>
      </c>
      <c r="I4400" s="7" t="str">
        <f>IF(Table1[[#This Row],[Is Data Valid]]=TRUE,((Table1[[#This Row],[Birthweight (grams)]]*1.1/Table1[[#This Row],[BW_GA]])-1)/(Backend!$B$4/100*Table1[[#This Row],[BW40_3705]]),"")</f>
        <v/>
      </c>
      <c r="J4400" s="7" t="str">
        <f>IF(Table1[[#This Row],[Is Data Valid]]=TRUE,_xlfn.NORM.S.DIST(Table1[[#This Row],[Birthweight Z-Score]],TRUE)*100,"")</f>
        <v/>
      </c>
      <c r="K4400" s="7" t="str">
        <f>IF(Table1[[#This Row],[Is Data Valid]]=TRUE,_xlfn.NORM.S.DIST(Table1[[#This Row],[Birthweight Z-Score (BW-10%)]],TRUE)*100,"")</f>
        <v/>
      </c>
      <c r="L4400" s="7" t="str">
        <f>IF(Table1[[#This Row],[Is Data Valid]]=TRUE,_xlfn.NORM.S.DIST(Table1[[#This Row],[Birthweight Z-Score (BW+10%)]],TRUE)*100,"")</f>
        <v/>
      </c>
    </row>
    <row r="4401" spans="1:12" x14ac:dyDescent="0.35">
      <c r="A4401" s="3"/>
      <c r="B4401" s="2"/>
      <c r="C4401" s="2"/>
      <c r="D4401" s="2" t="b">
        <f>IF(AND(NOT(ISBLANK(Table1[[#This Row],[Fetal Sex (Male, Female or Unknown)]])),ISNUMBER(Table1[[#This Row],[Birthweight (grams)]]),ISNUMBER(Table1[[#This Row],[Gestation (days)]])),TRUE,FALSE)</f>
        <v>0</v>
      </c>
      <c r="E4401" s="2" t="str">
        <f>IF(Table1[[#This Row],[Is Data Valid]]=TRUE,IF(Table1[[#This Row],[Fetal Sex (Male, Female or Unknown)]]="Male",Backend!$C$6,IF(Table1[[#This Row],[Fetal Sex (Male, Female or Unknown)]]="Female",Backend!$C$7,IF(Table1[[#This Row],[Fetal Sex (Male, Female or Unknown)]]="Unknown",Backend!$C$8,"Error"))),"")</f>
        <v/>
      </c>
      <c r="F4401" s="8" t="str">
        <f>IF(Table1[[#This Row],[Is Data Valid]]=TRUE,EXP(0.578+0.332*((Table1[[#This Row],[Gestation (days)]]+0.5)/7)-0.00354*((Table1[[#This Row],[Gestation (days)]]+0.5)/7)^2)*Table1[[#This Row],[BW40_3705]],"")</f>
        <v/>
      </c>
      <c r="G4401" s="2" t="str">
        <f>IF(Table1[[#This Row],[Is Data Valid]]=TRUE,((Table1[[#This Row],[Birthweight (grams)]]/Table1[[#This Row],[BW_GA]])-1)/(Backend!$B$4/100*Table1[[#This Row],[BW40_3705]]),"")</f>
        <v/>
      </c>
      <c r="H4401" s="7" t="str">
        <f>IF(Table1[[#This Row],[Is Data Valid]]=TRUE,((Table1[[#This Row],[Birthweight (grams)]]*0.9/Table1[[#This Row],[BW_GA]])-1)/(Backend!$B$4/100*Table1[[#This Row],[BW40_3705]]),"")</f>
        <v/>
      </c>
      <c r="I4401" s="7" t="str">
        <f>IF(Table1[[#This Row],[Is Data Valid]]=TRUE,((Table1[[#This Row],[Birthweight (grams)]]*1.1/Table1[[#This Row],[BW_GA]])-1)/(Backend!$B$4/100*Table1[[#This Row],[BW40_3705]]),"")</f>
        <v/>
      </c>
      <c r="J4401" s="7" t="str">
        <f>IF(Table1[[#This Row],[Is Data Valid]]=TRUE,_xlfn.NORM.S.DIST(Table1[[#This Row],[Birthweight Z-Score]],TRUE)*100,"")</f>
        <v/>
      </c>
      <c r="K4401" s="7" t="str">
        <f>IF(Table1[[#This Row],[Is Data Valid]]=TRUE,_xlfn.NORM.S.DIST(Table1[[#This Row],[Birthweight Z-Score (BW-10%)]],TRUE)*100,"")</f>
        <v/>
      </c>
      <c r="L4401" s="7" t="str">
        <f>IF(Table1[[#This Row],[Is Data Valid]]=TRUE,_xlfn.NORM.S.DIST(Table1[[#This Row],[Birthweight Z-Score (BW+10%)]],TRUE)*100,"")</f>
        <v/>
      </c>
    </row>
    <row r="4402" spans="1:12" x14ac:dyDescent="0.35">
      <c r="A4402" s="3"/>
      <c r="B4402" s="2"/>
      <c r="C4402" s="2"/>
      <c r="D4402" s="2" t="b">
        <f>IF(AND(NOT(ISBLANK(Table1[[#This Row],[Fetal Sex (Male, Female or Unknown)]])),ISNUMBER(Table1[[#This Row],[Birthweight (grams)]]),ISNUMBER(Table1[[#This Row],[Gestation (days)]])),TRUE,FALSE)</f>
        <v>0</v>
      </c>
      <c r="E4402" s="2" t="str">
        <f>IF(Table1[[#This Row],[Is Data Valid]]=TRUE,IF(Table1[[#This Row],[Fetal Sex (Male, Female or Unknown)]]="Male",Backend!$C$6,IF(Table1[[#This Row],[Fetal Sex (Male, Female or Unknown)]]="Female",Backend!$C$7,IF(Table1[[#This Row],[Fetal Sex (Male, Female or Unknown)]]="Unknown",Backend!$C$8,"Error"))),"")</f>
        <v/>
      </c>
      <c r="F4402" s="8" t="str">
        <f>IF(Table1[[#This Row],[Is Data Valid]]=TRUE,EXP(0.578+0.332*((Table1[[#This Row],[Gestation (days)]]+0.5)/7)-0.00354*((Table1[[#This Row],[Gestation (days)]]+0.5)/7)^2)*Table1[[#This Row],[BW40_3705]],"")</f>
        <v/>
      </c>
      <c r="G4402" s="2" t="str">
        <f>IF(Table1[[#This Row],[Is Data Valid]]=TRUE,((Table1[[#This Row],[Birthweight (grams)]]/Table1[[#This Row],[BW_GA]])-1)/(Backend!$B$4/100*Table1[[#This Row],[BW40_3705]]),"")</f>
        <v/>
      </c>
      <c r="H4402" s="7" t="str">
        <f>IF(Table1[[#This Row],[Is Data Valid]]=TRUE,((Table1[[#This Row],[Birthweight (grams)]]*0.9/Table1[[#This Row],[BW_GA]])-1)/(Backend!$B$4/100*Table1[[#This Row],[BW40_3705]]),"")</f>
        <v/>
      </c>
      <c r="I4402" s="7" t="str">
        <f>IF(Table1[[#This Row],[Is Data Valid]]=TRUE,((Table1[[#This Row],[Birthweight (grams)]]*1.1/Table1[[#This Row],[BW_GA]])-1)/(Backend!$B$4/100*Table1[[#This Row],[BW40_3705]]),"")</f>
        <v/>
      </c>
      <c r="J4402" s="7" t="str">
        <f>IF(Table1[[#This Row],[Is Data Valid]]=TRUE,_xlfn.NORM.S.DIST(Table1[[#This Row],[Birthweight Z-Score]],TRUE)*100,"")</f>
        <v/>
      </c>
      <c r="K4402" s="7" t="str">
        <f>IF(Table1[[#This Row],[Is Data Valid]]=TRUE,_xlfn.NORM.S.DIST(Table1[[#This Row],[Birthweight Z-Score (BW-10%)]],TRUE)*100,"")</f>
        <v/>
      </c>
      <c r="L4402" s="7" t="str">
        <f>IF(Table1[[#This Row],[Is Data Valid]]=TRUE,_xlfn.NORM.S.DIST(Table1[[#This Row],[Birthweight Z-Score (BW+10%)]],TRUE)*100,"")</f>
        <v/>
      </c>
    </row>
    <row r="4403" spans="1:12" x14ac:dyDescent="0.35">
      <c r="A4403" s="3"/>
      <c r="B4403" s="2"/>
      <c r="C4403" s="2"/>
      <c r="D4403" s="2" t="b">
        <f>IF(AND(NOT(ISBLANK(Table1[[#This Row],[Fetal Sex (Male, Female or Unknown)]])),ISNUMBER(Table1[[#This Row],[Birthweight (grams)]]),ISNUMBER(Table1[[#This Row],[Gestation (days)]])),TRUE,FALSE)</f>
        <v>0</v>
      </c>
      <c r="E4403" s="2" t="str">
        <f>IF(Table1[[#This Row],[Is Data Valid]]=TRUE,IF(Table1[[#This Row],[Fetal Sex (Male, Female or Unknown)]]="Male",Backend!$C$6,IF(Table1[[#This Row],[Fetal Sex (Male, Female or Unknown)]]="Female",Backend!$C$7,IF(Table1[[#This Row],[Fetal Sex (Male, Female or Unknown)]]="Unknown",Backend!$C$8,"Error"))),"")</f>
        <v/>
      </c>
      <c r="F4403" s="8" t="str">
        <f>IF(Table1[[#This Row],[Is Data Valid]]=TRUE,EXP(0.578+0.332*((Table1[[#This Row],[Gestation (days)]]+0.5)/7)-0.00354*((Table1[[#This Row],[Gestation (days)]]+0.5)/7)^2)*Table1[[#This Row],[BW40_3705]],"")</f>
        <v/>
      </c>
      <c r="G4403" s="2" t="str">
        <f>IF(Table1[[#This Row],[Is Data Valid]]=TRUE,((Table1[[#This Row],[Birthweight (grams)]]/Table1[[#This Row],[BW_GA]])-1)/(Backend!$B$4/100*Table1[[#This Row],[BW40_3705]]),"")</f>
        <v/>
      </c>
      <c r="H4403" s="7" t="str">
        <f>IF(Table1[[#This Row],[Is Data Valid]]=TRUE,((Table1[[#This Row],[Birthweight (grams)]]*0.9/Table1[[#This Row],[BW_GA]])-1)/(Backend!$B$4/100*Table1[[#This Row],[BW40_3705]]),"")</f>
        <v/>
      </c>
      <c r="I4403" s="7" t="str">
        <f>IF(Table1[[#This Row],[Is Data Valid]]=TRUE,((Table1[[#This Row],[Birthweight (grams)]]*1.1/Table1[[#This Row],[BW_GA]])-1)/(Backend!$B$4/100*Table1[[#This Row],[BW40_3705]]),"")</f>
        <v/>
      </c>
      <c r="J4403" s="7" t="str">
        <f>IF(Table1[[#This Row],[Is Data Valid]]=TRUE,_xlfn.NORM.S.DIST(Table1[[#This Row],[Birthweight Z-Score]],TRUE)*100,"")</f>
        <v/>
      </c>
      <c r="K4403" s="7" t="str">
        <f>IF(Table1[[#This Row],[Is Data Valid]]=TRUE,_xlfn.NORM.S.DIST(Table1[[#This Row],[Birthweight Z-Score (BW-10%)]],TRUE)*100,"")</f>
        <v/>
      </c>
      <c r="L4403" s="7" t="str">
        <f>IF(Table1[[#This Row],[Is Data Valid]]=TRUE,_xlfn.NORM.S.DIST(Table1[[#This Row],[Birthweight Z-Score (BW+10%)]],TRUE)*100,"")</f>
        <v/>
      </c>
    </row>
    <row r="4404" spans="1:12" x14ac:dyDescent="0.35">
      <c r="A4404" s="3"/>
      <c r="B4404" s="2"/>
      <c r="C4404" s="2"/>
      <c r="D4404" s="2" t="b">
        <f>IF(AND(NOT(ISBLANK(Table1[[#This Row],[Fetal Sex (Male, Female or Unknown)]])),ISNUMBER(Table1[[#This Row],[Birthweight (grams)]]),ISNUMBER(Table1[[#This Row],[Gestation (days)]])),TRUE,FALSE)</f>
        <v>0</v>
      </c>
      <c r="E4404" s="2" t="str">
        <f>IF(Table1[[#This Row],[Is Data Valid]]=TRUE,IF(Table1[[#This Row],[Fetal Sex (Male, Female or Unknown)]]="Male",Backend!$C$6,IF(Table1[[#This Row],[Fetal Sex (Male, Female or Unknown)]]="Female",Backend!$C$7,IF(Table1[[#This Row],[Fetal Sex (Male, Female or Unknown)]]="Unknown",Backend!$C$8,"Error"))),"")</f>
        <v/>
      </c>
      <c r="F4404" s="8" t="str">
        <f>IF(Table1[[#This Row],[Is Data Valid]]=TRUE,EXP(0.578+0.332*((Table1[[#This Row],[Gestation (days)]]+0.5)/7)-0.00354*((Table1[[#This Row],[Gestation (days)]]+0.5)/7)^2)*Table1[[#This Row],[BW40_3705]],"")</f>
        <v/>
      </c>
      <c r="G4404" s="2" t="str">
        <f>IF(Table1[[#This Row],[Is Data Valid]]=TRUE,((Table1[[#This Row],[Birthweight (grams)]]/Table1[[#This Row],[BW_GA]])-1)/(Backend!$B$4/100*Table1[[#This Row],[BW40_3705]]),"")</f>
        <v/>
      </c>
      <c r="H4404" s="7" t="str">
        <f>IF(Table1[[#This Row],[Is Data Valid]]=TRUE,((Table1[[#This Row],[Birthweight (grams)]]*0.9/Table1[[#This Row],[BW_GA]])-1)/(Backend!$B$4/100*Table1[[#This Row],[BW40_3705]]),"")</f>
        <v/>
      </c>
      <c r="I4404" s="7" t="str">
        <f>IF(Table1[[#This Row],[Is Data Valid]]=TRUE,((Table1[[#This Row],[Birthweight (grams)]]*1.1/Table1[[#This Row],[BW_GA]])-1)/(Backend!$B$4/100*Table1[[#This Row],[BW40_3705]]),"")</f>
        <v/>
      </c>
      <c r="J4404" s="7" t="str">
        <f>IF(Table1[[#This Row],[Is Data Valid]]=TRUE,_xlfn.NORM.S.DIST(Table1[[#This Row],[Birthweight Z-Score]],TRUE)*100,"")</f>
        <v/>
      </c>
      <c r="K4404" s="7" t="str">
        <f>IF(Table1[[#This Row],[Is Data Valid]]=TRUE,_xlfn.NORM.S.DIST(Table1[[#This Row],[Birthweight Z-Score (BW-10%)]],TRUE)*100,"")</f>
        <v/>
      </c>
      <c r="L4404" s="7" t="str">
        <f>IF(Table1[[#This Row],[Is Data Valid]]=TRUE,_xlfn.NORM.S.DIST(Table1[[#This Row],[Birthweight Z-Score (BW+10%)]],TRUE)*100,"")</f>
        <v/>
      </c>
    </row>
    <row r="4405" spans="1:12" x14ac:dyDescent="0.35">
      <c r="A4405" s="3"/>
      <c r="B4405" s="2"/>
      <c r="C4405" s="2"/>
      <c r="D4405" s="2" t="b">
        <f>IF(AND(NOT(ISBLANK(Table1[[#This Row],[Fetal Sex (Male, Female or Unknown)]])),ISNUMBER(Table1[[#This Row],[Birthweight (grams)]]),ISNUMBER(Table1[[#This Row],[Gestation (days)]])),TRUE,FALSE)</f>
        <v>0</v>
      </c>
      <c r="E4405" s="2" t="str">
        <f>IF(Table1[[#This Row],[Is Data Valid]]=TRUE,IF(Table1[[#This Row],[Fetal Sex (Male, Female or Unknown)]]="Male",Backend!$C$6,IF(Table1[[#This Row],[Fetal Sex (Male, Female or Unknown)]]="Female",Backend!$C$7,IF(Table1[[#This Row],[Fetal Sex (Male, Female or Unknown)]]="Unknown",Backend!$C$8,"Error"))),"")</f>
        <v/>
      </c>
      <c r="F4405" s="8" t="str">
        <f>IF(Table1[[#This Row],[Is Data Valid]]=TRUE,EXP(0.578+0.332*((Table1[[#This Row],[Gestation (days)]]+0.5)/7)-0.00354*((Table1[[#This Row],[Gestation (days)]]+0.5)/7)^2)*Table1[[#This Row],[BW40_3705]],"")</f>
        <v/>
      </c>
      <c r="G4405" s="2" t="str">
        <f>IF(Table1[[#This Row],[Is Data Valid]]=TRUE,((Table1[[#This Row],[Birthweight (grams)]]/Table1[[#This Row],[BW_GA]])-1)/(Backend!$B$4/100*Table1[[#This Row],[BW40_3705]]),"")</f>
        <v/>
      </c>
      <c r="H4405" s="7" t="str">
        <f>IF(Table1[[#This Row],[Is Data Valid]]=TRUE,((Table1[[#This Row],[Birthweight (grams)]]*0.9/Table1[[#This Row],[BW_GA]])-1)/(Backend!$B$4/100*Table1[[#This Row],[BW40_3705]]),"")</f>
        <v/>
      </c>
      <c r="I4405" s="7" t="str">
        <f>IF(Table1[[#This Row],[Is Data Valid]]=TRUE,((Table1[[#This Row],[Birthweight (grams)]]*1.1/Table1[[#This Row],[BW_GA]])-1)/(Backend!$B$4/100*Table1[[#This Row],[BW40_3705]]),"")</f>
        <v/>
      </c>
      <c r="J4405" s="7" t="str">
        <f>IF(Table1[[#This Row],[Is Data Valid]]=TRUE,_xlfn.NORM.S.DIST(Table1[[#This Row],[Birthweight Z-Score]],TRUE)*100,"")</f>
        <v/>
      </c>
      <c r="K4405" s="7" t="str">
        <f>IF(Table1[[#This Row],[Is Data Valid]]=TRUE,_xlfn.NORM.S.DIST(Table1[[#This Row],[Birthweight Z-Score (BW-10%)]],TRUE)*100,"")</f>
        <v/>
      </c>
      <c r="L4405" s="7" t="str">
        <f>IF(Table1[[#This Row],[Is Data Valid]]=TRUE,_xlfn.NORM.S.DIST(Table1[[#This Row],[Birthweight Z-Score (BW+10%)]],TRUE)*100,"")</f>
        <v/>
      </c>
    </row>
    <row r="4406" spans="1:12" x14ac:dyDescent="0.35">
      <c r="A4406" s="3"/>
      <c r="B4406" s="2"/>
      <c r="C4406" s="2"/>
      <c r="D4406" s="2" t="b">
        <f>IF(AND(NOT(ISBLANK(Table1[[#This Row],[Fetal Sex (Male, Female or Unknown)]])),ISNUMBER(Table1[[#This Row],[Birthweight (grams)]]),ISNUMBER(Table1[[#This Row],[Gestation (days)]])),TRUE,FALSE)</f>
        <v>0</v>
      </c>
      <c r="E4406" s="2" t="str">
        <f>IF(Table1[[#This Row],[Is Data Valid]]=TRUE,IF(Table1[[#This Row],[Fetal Sex (Male, Female or Unknown)]]="Male",Backend!$C$6,IF(Table1[[#This Row],[Fetal Sex (Male, Female or Unknown)]]="Female",Backend!$C$7,IF(Table1[[#This Row],[Fetal Sex (Male, Female or Unknown)]]="Unknown",Backend!$C$8,"Error"))),"")</f>
        <v/>
      </c>
      <c r="F4406" s="8" t="str">
        <f>IF(Table1[[#This Row],[Is Data Valid]]=TRUE,EXP(0.578+0.332*((Table1[[#This Row],[Gestation (days)]]+0.5)/7)-0.00354*((Table1[[#This Row],[Gestation (days)]]+0.5)/7)^2)*Table1[[#This Row],[BW40_3705]],"")</f>
        <v/>
      </c>
      <c r="G4406" s="2" t="str">
        <f>IF(Table1[[#This Row],[Is Data Valid]]=TRUE,((Table1[[#This Row],[Birthweight (grams)]]/Table1[[#This Row],[BW_GA]])-1)/(Backend!$B$4/100*Table1[[#This Row],[BW40_3705]]),"")</f>
        <v/>
      </c>
      <c r="H4406" s="7" t="str">
        <f>IF(Table1[[#This Row],[Is Data Valid]]=TRUE,((Table1[[#This Row],[Birthweight (grams)]]*0.9/Table1[[#This Row],[BW_GA]])-1)/(Backend!$B$4/100*Table1[[#This Row],[BW40_3705]]),"")</f>
        <v/>
      </c>
      <c r="I4406" s="7" t="str">
        <f>IF(Table1[[#This Row],[Is Data Valid]]=TRUE,((Table1[[#This Row],[Birthweight (grams)]]*1.1/Table1[[#This Row],[BW_GA]])-1)/(Backend!$B$4/100*Table1[[#This Row],[BW40_3705]]),"")</f>
        <v/>
      </c>
      <c r="J4406" s="7" t="str">
        <f>IF(Table1[[#This Row],[Is Data Valid]]=TRUE,_xlfn.NORM.S.DIST(Table1[[#This Row],[Birthweight Z-Score]],TRUE)*100,"")</f>
        <v/>
      </c>
      <c r="K4406" s="7" t="str">
        <f>IF(Table1[[#This Row],[Is Data Valid]]=TRUE,_xlfn.NORM.S.DIST(Table1[[#This Row],[Birthweight Z-Score (BW-10%)]],TRUE)*100,"")</f>
        <v/>
      </c>
      <c r="L4406" s="7" t="str">
        <f>IF(Table1[[#This Row],[Is Data Valid]]=TRUE,_xlfn.NORM.S.DIST(Table1[[#This Row],[Birthweight Z-Score (BW+10%)]],TRUE)*100,"")</f>
        <v/>
      </c>
    </row>
    <row r="4407" spans="1:12" x14ac:dyDescent="0.35">
      <c r="A4407" s="3"/>
      <c r="B4407" s="2"/>
      <c r="C4407" s="2"/>
      <c r="D4407" s="2" t="b">
        <f>IF(AND(NOT(ISBLANK(Table1[[#This Row],[Fetal Sex (Male, Female or Unknown)]])),ISNUMBER(Table1[[#This Row],[Birthweight (grams)]]),ISNUMBER(Table1[[#This Row],[Gestation (days)]])),TRUE,FALSE)</f>
        <v>0</v>
      </c>
      <c r="E4407" s="2" t="str">
        <f>IF(Table1[[#This Row],[Is Data Valid]]=TRUE,IF(Table1[[#This Row],[Fetal Sex (Male, Female or Unknown)]]="Male",Backend!$C$6,IF(Table1[[#This Row],[Fetal Sex (Male, Female or Unknown)]]="Female",Backend!$C$7,IF(Table1[[#This Row],[Fetal Sex (Male, Female or Unknown)]]="Unknown",Backend!$C$8,"Error"))),"")</f>
        <v/>
      </c>
      <c r="F4407" s="8" t="str">
        <f>IF(Table1[[#This Row],[Is Data Valid]]=TRUE,EXP(0.578+0.332*((Table1[[#This Row],[Gestation (days)]]+0.5)/7)-0.00354*((Table1[[#This Row],[Gestation (days)]]+0.5)/7)^2)*Table1[[#This Row],[BW40_3705]],"")</f>
        <v/>
      </c>
      <c r="G4407" s="2" t="str">
        <f>IF(Table1[[#This Row],[Is Data Valid]]=TRUE,((Table1[[#This Row],[Birthweight (grams)]]/Table1[[#This Row],[BW_GA]])-1)/(Backend!$B$4/100*Table1[[#This Row],[BW40_3705]]),"")</f>
        <v/>
      </c>
      <c r="H4407" s="7" t="str">
        <f>IF(Table1[[#This Row],[Is Data Valid]]=TRUE,((Table1[[#This Row],[Birthweight (grams)]]*0.9/Table1[[#This Row],[BW_GA]])-1)/(Backend!$B$4/100*Table1[[#This Row],[BW40_3705]]),"")</f>
        <v/>
      </c>
      <c r="I4407" s="7" t="str">
        <f>IF(Table1[[#This Row],[Is Data Valid]]=TRUE,((Table1[[#This Row],[Birthweight (grams)]]*1.1/Table1[[#This Row],[BW_GA]])-1)/(Backend!$B$4/100*Table1[[#This Row],[BW40_3705]]),"")</f>
        <v/>
      </c>
      <c r="J4407" s="7" t="str">
        <f>IF(Table1[[#This Row],[Is Data Valid]]=TRUE,_xlfn.NORM.S.DIST(Table1[[#This Row],[Birthweight Z-Score]],TRUE)*100,"")</f>
        <v/>
      </c>
      <c r="K4407" s="7" t="str">
        <f>IF(Table1[[#This Row],[Is Data Valid]]=TRUE,_xlfn.NORM.S.DIST(Table1[[#This Row],[Birthweight Z-Score (BW-10%)]],TRUE)*100,"")</f>
        <v/>
      </c>
      <c r="L4407" s="7" t="str">
        <f>IF(Table1[[#This Row],[Is Data Valid]]=TRUE,_xlfn.NORM.S.DIST(Table1[[#This Row],[Birthweight Z-Score (BW+10%)]],TRUE)*100,"")</f>
        <v/>
      </c>
    </row>
    <row r="4408" spans="1:12" x14ac:dyDescent="0.35">
      <c r="A4408" s="3"/>
      <c r="B4408" s="2"/>
      <c r="C4408" s="2"/>
      <c r="D4408" s="2" t="b">
        <f>IF(AND(NOT(ISBLANK(Table1[[#This Row],[Fetal Sex (Male, Female or Unknown)]])),ISNUMBER(Table1[[#This Row],[Birthweight (grams)]]),ISNUMBER(Table1[[#This Row],[Gestation (days)]])),TRUE,FALSE)</f>
        <v>0</v>
      </c>
      <c r="E4408" s="2" t="str">
        <f>IF(Table1[[#This Row],[Is Data Valid]]=TRUE,IF(Table1[[#This Row],[Fetal Sex (Male, Female or Unknown)]]="Male",Backend!$C$6,IF(Table1[[#This Row],[Fetal Sex (Male, Female or Unknown)]]="Female",Backend!$C$7,IF(Table1[[#This Row],[Fetal Sex (Male, Female or Unknown)]]="Unknown",Backend!$C$8,"Error"))),"")</f>
        <v/>
      </c>
      <c r="F4408" s="8" t="str">
        <f>IF(Table1[[#This Row],[Is Data Valid]]=TRUE,EXP(0.578+0.332*((Table1[[#This Row],[Gestation (days)]]+0.5)/7)-0.00354*((Table1[[#This Row],[Gestation (days)]]+0.5)/7)^2)*Table1[[#This Row],[BW40_3705]],"")</f>
        <v/>
      </c>
      <c r="G4408" s="2" t="str">
        <f>IF(Table1[[#This Row],[Is Data Valid]]=TRUE,((Table1[[#This Row],[Birthweight (grams)]]/Table1[[#This Row],[BW_GA]])-1)/(Backend!$B$4/100*Table1[[#This Row],[BW40_3705]]),"")</f>
        <v/>
      </c>
      <c r="H4408" s="7" t="str">
        <f>IF(Table1[[#This Row],[Is Data Valid]]=TRUE,((Table1[[#This Row],[Birthweight (grams)]]*0.9/Table1[[#This Row],[BW_GA]])-1)/(Backend!$B$4/100*Table1[[#This Row],[BW40_3705]]),"")</f>
        <v/>
      </c>
      <c r="I4408" s="7" t="str">
        <f>IF(Table1[[#This Row],[Is Data Valid]]=TRUE,((Table1[[#This Row],[Birthweight (grams)]]*1.1/Table1[[#This Row],[BW_GA]])-1)/(Backend!$B$4/100*Table1[[#This Row],[BW40_3705]]),"")</f>
        <v/>
      </c>
      <c r="J4408" s="7" t="str">
        <f>IF(Table1[[#This Row],[Is Data Valid]]=TRUE,_xlfn.NORM.S.DIST(Table1[[#This Row],[Birthweight Z-Score]],TRUE)*100,"")</f>
        <v/>
      </c>
      <c r="K4408" s="7" t="str">
        <f>IF(Table1[[#This Row],[Is Data Valid]]=TRUE,_xlfn.NORM.S.DIST(Table1[[#This Row],[Birthweight Z-Score (BW-10%)]],TRUE)*100,"")</f>
        <v/>
      </c>
      <c r="L4408" s="7" t="str">
        <f>IF(Table1[[#This Row],[Is Data Valid]]=TRUE,_xlfn.NORM.S.DIST(Table1[[#This Row],[Birthweight Z-Score (BW+10%)]],TRUE)*100,"")</f>
        <v/>
      </c>
    </row>
    <row r="4409" spans="1:12" x14ac:dyDescent="0.35">
      <c r="A4409" s="3"/>
      <c r="B4409" s="2"/>
      <c r="C4409" s="2"/>
      <c r="D4409" s="2" t="b">
        <f>IF(AND(NOT(ISBLANK(Table1[[#This Row],[Fetal Sex (Male, Female or Unknown)]])),ISNUMBER(Table1[[#This Row],[Birthweight (grams)]]),ISNUMBER(Table1[[#This Row],[Gestation (days)]])),TRUE,FALSE)</f>
        <v>0</v>
      </c>
      <c r="E4409" s="2" t="str">
        <f>IF(Table1[[#This Row],[Is Data Valid]]=TRUE,IF(Table1[[#This Row],[Fetal Sex (Male, Female or Unknown)]]="Male",Backend!$C$6,IF(Table1[[#This Row],[Fetal Sex (Male, Female or Unknown)]]="Female",Backend!$C$7,IF(Table1[[#This Row],[Fetal Sex (Male, Female or Unknown)]]="Unknown",Backend!$C$8,"Error"))),"")</f>
        <v/>
      </c>
      <c r="F4409" s="8" t="str">
        <f>IF(Table1[[#This Row],[Is Data Valid]]=TRUE,EXP(0.578+0.332*((Table1[[#This Row],[Gestation (days)]]+0.5)/7)-0.00354*((Table1[[#This Row],[Gestation (days)]]+0.5)/7)^2)*Table1[[#This Row],[BW40_3705]],"")</f>
        <v/>
      </c>
      <c r="G4409" s="2" t="str">
        <f>IF(Table1[[#This Row],[Is Data Valid]]=TRUE,((Table1[[#This Row],[Birthweight (grams)]]/Table1[[#This Row],[BW_GA]])-1)/(Backend!$B$4/100*Table1[[#This Row],[BW40_3705]]),"")</f>
        <v/>
      </c>
      <c r="H4409" s="7" t="str">
        <f>IF(Table1[[#This Row],[Is Data Valid]]=TRUE,((Table1[[#This Row],[Birthweight (grams)]]*0.9/Table1[[#This Row],[BW_GA]])-1)/(Backend!$B$4/100*Table1[[#This Row],[BW40_3705]]),"")</f>
        <v/>
      </c>
      <c r="I4409" s="7" t="str">
        <f>IF(Table1[[#This Row],[Is Data Valid]]=TRUE,((Table1[[#This Row],[Birthweight (grams)]]*1.1/Table1[[#This Row],[BW_GA]])-1)/(Backend!$B$4/100*Table1[[#This Row],[BW40_3705]]),"")</f>
        <v/>
      </c>
      <c r="J4409" s="7" t="str">
        <f>IF(Table1[[#This Row],[Is Data Valid]]=TRUE,_xlfn.NORM.S.DIST(Table1[[#This Row],[Birthweight Z-Score]],TRUE)*100,"")</f>
        <v/>
      </c>
      <c r="K4409" s="7" t="str">
        <f>IF(Table1[[#This Row],[Is Data Valid]]=TRUE,_xlfn.NORM.S.DIST(Table1[[#This Row],[Birthweight Z-Score (BW-10%)]],TRUE)*100,"")</f>
        <v/>
      </c>
      <c r="L4409" s="7" t="str">
        <f>IF(Table1[[#This Row],[Is Data Valid]]=TRUE,_xlfn.NORM.S.DIST(Table1[[#This Row],[Birthweight Z-Score (BW+10%)]],TRUE)*100,"")</f>
        <v/>
      </c>
    </row>
    <row r="4410" spans="1:12" x14ac:dyDescent="0.35">
      <c r="A4410" s="3"/>
      <c r="B4410" s="2"/>
      <c r="C4410" s="2"/>
      <c r="D4410" s="2" t="b">
        <f>IF(AND(NOT(ISBLANK(Table1[[#This Row],[Fetal Sex (Male, Female or Unknown)]])),ISNUMBER(Table1[[#This Row],[Birthweight (grams)]]),ISNUMBER(Table1[[#This Row],[Gestation (days)]])),TRUE,FALSE)</f>
        <v>0</v>
      </c>
      <c r="E4410" s="2" t="str">
        <f>IF(Table1[[#This Row],[Is Data Valid]]=TRUE,IF(Table1[[#This Row],[Fetal Sex (Male, Female or Unknown)]]="Male",Backend!$C$6,IF(Table1[[#This Row],[Fetal Sex (Male, Female or Unknown)]]="Female",Backend!$C$7,IF(Table1[[#This Row],[Fetal Sex (Male, Female or Unknown)]]="Unknown",Backend!$C$8,"Error"))),"")</f>
        <v/>
      </c>
      <c r="F4410" s="8" t="str">
        <f>IF(Table1[[#This Row],[Is Data Valid]]=TRUE,EXP(0.578+0.332*((Table1[[#This Row],[Gestation (days)]]+0.5)/7)-0.00354*((Table1[[#This Row],[Gestation (days)]]+0.5)/7)^2)*Table1[[#This Row],[BW40_3705]],"")</f>
        <v/>
      </c>
      <c r="G4410" s="2" t="str">
        <f>IF(Table1[[#This Row],[Is Data Valid]]=TRUE,((Table1[[#This Row],[Birthweight (grams)]]/Table1[[#This Row],[BW_GA]])-1)/(Backend!$B$4/100*Table1[[#This Row],[BW40_3705]]),"")</f>
        <v/>
      </c>
      <c r="H4410" s="7" t="str">
        <f>IF(Table1[[#This Row],[Is Data Valid]]=TRUE,((Table1[[#This Row],[Birthweight (grams)]]*0.9/Table1[[#This Row],[BW_GA]])-1)/(Backend!$B$4/100*Table1[[#This Row],[BW40_3705]]),"")</f>
        <v/>
      </c>
      <c r="I4410" s="7" t="str">
        <f>IF(Table1[[#This Row],[Is Data Valid]]=TRUE,((Table1[[#This Row],[Birthweight (grams)]]*1.1/Table1[[#This Row],[BW_GA]])-1)/(Backend!$B$4/100*Table1[[#This Row],[BW40_3705]]),"")</f>
        <v/>
      </c>
      <c r="J4410" s="7" t="str">
        <f>IF(Table1[[#This Row],[Is Data Valid]]=TRUE,_xlfn.NORM.S.DIST(Table1[[#This Row],[Birthweight Z-Score]],TRUE)*100,"")</f>
        <v/>
      </c>
      <c r="K4410" s="7" t="str">
        <f>IF(Table1[[#This Row],[Is Data Valid]]=TRUE,_xlfn.NORM.S.DIST(Table1[[#This Row],[Birthweight Z-Score (BW-10%)]],TRUE)*100,"")</f>
        <v/>
      </c>
      <c r="L4410" s="7" t="str">
        <f>IF(Table1[[#This Row],[Is Data Valid]]=TRUE,_xlfn.NORM.S.DIST(Table1[[#This Row],[Birthweight Z-Score (BW+10%)]],TRUE)*100,"")</f>
        <v/>
      </c>
    </row>
    <row r="4411" spans="1:12" x14ac:dyDescent="0.35">
      <c r="A4411" s="3"/>
      <c r="B4411" s="2"/>
      <c r="C4411" s="2"/>
      <c r="D4411" s="2" t="b">
        <f>IF(AND(NOT(ISBLANK(Table1[[#This Row],[Fetal Sex (Male, Female or Unknown)]])),ISNUMBER(Table1[[#This Row],[Birthweight (grams)]]),ISNUMBER(Table1[[#This Row],[Gestation (days)]])),TRUE,FALSE)</f>
        <v>0</v>
      </c>
      <c r="E4411" s="2" t="str">
        <f>IF(Table1[[#This Row],[Is Data Valid]]=TRUE,IF(Table1[[#This Row],[Fetal Sex (Male, Female or Unknown)]]="Male",Backend!$C$6,IF(Table1[[#This Row],[Fetal Sex (Male, Female or Unknown)]]="Female",Backend!$C$7,IF(Table1[[#This Row],[Fetal Sex (Male, Female or Unknown)]]="Unknown",Backend!$C$8,"Error"))),"")</f>
        <v/>
      </c>
      <c r="F4411" s="8" t="str">
        <f>IF(Table1[[#This Row],[Is Data Valid]]=TRUE,EXP(0.578+0.332*((Table1[[#This Row],[Gestation (days)]]+0.5)/7)-0.00354*((Table1[[#This Row],[Gestation (days)]]+0.5)/7)^2)*Table1[[#This Row],[BW40_3705]],"")</f>
        <v/>
      </c>
      <c r="G4411" s="2" t="str">
        <f>IF(Table1[[#This Row],[Is Data Valid]]=TRUE,((Table1[[#This Row],[Birthweight (grams)]]/Table1[[#This Row],[BW_GA]])-1)/(Backend!$B$4/100*Table1[[#This Row],[BW40_3705]]),"")</f>
        <v/>
      </c>
      <c r="H4411" s="7" t="str">
        <f>IF(Table1[[#This Row],[Is Data Valid]]=TRUE,((Table1[[#This Row],[Birthweight (grams)]]*0.9/Table1[[#This Row],[BW_GA]])-1)/(Backend!$B$4/100*Table1[[#This Row],[BW40_3705]]),"")</f>
        <v/>
      </c>
      <c r="I4411" s="7" t="str">
        <f>IF(Table1[[#This Row],[Is Data Valid]]=TRUE,((Table1[[#This Row],[Birthweight (grams)]]*1.1/Table1[[#This Row],[BW_GA]])-1)/(Backend!$B$4/100*Table1[[#This Row],[BW40_3705]]),"")</f>
        <v/>
      </c>
      <c r="J4411" s="7" t="str">
        <f>IF(Table1[[#This Row],[Is Data Valid]]=TRUE,_xlfn.NORM.S.DIST(Table1[[#This Row],[Birthweight Z-Score]],TRUE)*100,"")</f>
        <v/>
      </c>
      <c r="K4411" s="7" t="str">
        <f>IF(Table1[[#This Row],[Is Data Valid]]=TRUE,_xlfn.NORM.S.DIST(Table1[[#This Row],[Birthweight Z-Score (BW-10%)]],TRUE)*100,"")</f>
        <v/>
      </c>
      <c r="L4411" s="7" t="str">
        <f>IF(Table1[[#This Row],[Is Data Valid]]=TRUE,_xlfn.NORM.S.DIST(Table1[[#This Row],[Birthweight Z-Score (BW+10%)]],TRUE)*100,"")</f>
        <v/>
      </c>
    </row>
    <row r="4412" spans="1:12" x14ac:dyDescent="0.35">
      <c r="A4412" s="3"/>
      <c r="B4412" s="2"/>
      <c r="C4412" s="2"/>
      <c r="D4412" s="2" t="b">
        <f>IF(AND(NOT(ISBLANK(Table1[[#This Row],[Fetal Sex (Male, Female or Unknown)]])),ISNUMBER(Table1[[#This Row],[Birthweight (grams)]]),ISNUMBER(Table1[[#This Row],[Gestation (days)]])),TRUE,FALSE)</f>
        <v>0</v>
      </c>
      <c r="E4412" s="2" t="str">
        <f>IF(Table1[[#This Row],[Is Data Valid]]=TRUE,IF(Table1[[#This Row],[Fetal Sex (Male, Female or Unknown)]]="Male",Backend!$C$6,IF(Table1[[#This Row],[Fetal Sex (Male, Female or Unknown)]]="Female",Backend!$C$7,IF(Table1[[#This Row],[Fetal Sex (Male, Female or Unknown)]]="Unknown",Backend!$C$8,"Error"))),"")</f>
        <v/>
      </c>
      <c r="F4412" s="8" t="str">
        <f>IF(Table1[[#This Row],[Is Data Valid]]=TRUE,EXP(0.578+0.332*((Table1[[#This Row],[Gestation (days)]]+0.5)/7)-0.00354*((Table1[[#This Row],[Gestation (days)]]+0.5)/7)^2)*Table1[[#This Row],[BW40_3705]],"")</f>
        <v/>
      </c>
      <c r="G4412" s="2" t="str">
        <f>IF(Table1[[#This Row],[Is Data Valid]]=TRUE,((Table1[[#This Row],[Birthweight (grams)]]/Table1[[#This Row],[BW_GA]])-1)/(Backend!$B$4/100*Table1[[#This Row],[BW40_3705]]),"")</f>
        <v/>
      </c>
      <c r="H4412" s="7" t="str">
        <f>IF(Table1[[#This Row],[Is Data Valid]]=TRUE,((Table1[[#This Row],[Birthweight (grams)]]*0.9/Table1[[#This Row],[BW_GA]])-1)/(Backend!$B$4/100*Table1[[#This Row],[BW40_3705]]),"")</f>
        <v/>
      </c>
      <c r="I4412" s="7" t="str">
        <f>IF(Table1[[#This Row],[Is Data Valid]]=TRUE,((Table1[[#This Row],[Birthweight (grams)]]*1.1/Table1[[#This Row],[BW_GA]])-1)/(Backend!$B$4/100*Table1[[#This Row],[BW40_3705]]),"")</f>
        <v/>
      </c>
      <c r="J4412" s="7" t="str">
        <f>IF(Table1[[#This Row],[Is Data Valid]]=TRUE,_xlfn.NORM.S.DIST(Table1[[#This Row],[Birthweight Z-Score]],TRUE)*100,"")</f>
        <v/>
      </c>
      <c r="K4412" s="7" t="str">
        <f>IF(Table1[[#This Row],[Is Data Valid]]=TRUE,_xlfn.NORM.S.DIST(Table1[[#This Row],[Birthweight Z-Score (BW-10%)]],TRUE)*100,"")</f>
        <v/>
      </c>
      <c r="L4412" s="7" t="str">
        <f>IF(Table1[[#This Row],[Is Data Valid]]=TRUE,_xlfn.NORM.S.DIST(Table1[[#This Row],[Birthweight Z-Score (BW+10%)]],TRUE)*100,"")</f>
        <v/>
      </c>
    </row>
    <row r="4413" spans="1:12" x14ac:dyDescent="0.35">
      <c r="A4413" s="3"/>
      <c r="B4413" s="2"/>
      <c r="C4413" s="2"/>
      <c r="D4413" s="2" t="b">
        <f>IF(AND(NOT(ISBLANK(Table1[[#This Row],[Fetal Sex (Male, Female or Unknown)]])),ISNUMBER(Table1[[#This Row],[Birthweight (grams)]]),ISNUMBER(Table1[[#This Row],[Gestation (days)]])),TRUE,FALSE)</f>
        <v>0</v>
      </c>
      <c r="E4413" s="2" t="str">
        <f>IF(Table1[[#This Row],[Is Data Valid]]=TRUE,IF(Table1[[#This Row],[Fetal Sex (Male, Female or Unknown)]]="Male",Backend!$C$6,IF(Table1[[#This Row],[Fetal Sex (Male, Female or Unknown)]]="Female",Backend!$C$7,IF(Table1[[#This Row],[Fetal Sex (Male, Female or Unknown)]]="Unknown",Backend!$C$8,"Error"))),"")</f>
        <v/>
      </c>
      <c r="F4413" s="8" t="str">
        <f>IF(Table1[[#This Row],[Is Data Valid]]=TRUE,EXP(0.578+0.332*((Table1[[#This Row],[Gestation (days)]]+0.5)/7)-0.00354*((Table1[[#This Row],[Gestation (days)]]+0.5)/7)^2)*Table1[[#This Row],[BW40_3705]],"")</f>
        <v/>
      </c>
      <c r="G4413" s="2" t="str">
        <f>IF(Table1[[#This Row],[Is Data Valid]]=TRUE,((Table1[[#This Row],[Birthweight (grams)]]/Table1[[#This Row],[BW_GA]])-1)/(Backend!$B$4/100*Table1[[#This Row],[BW40_3705]]),"")</f>
        <v/>
      </c>
      <c r="H4413" s="7" t="str">
        <f>IF(Table1[[#This Row],[Is Data Valid]]=TRUE,((Table1[[#This Row],[Birthweight (grams)]]*0.9/Table1[[#This Row],[BW_GA]])-1)/(Backend!$B$4/100*Table1[[#This Row],[BW40_3705]]),"")</f>
        <v/>
      </c>
      <c r="I4413" s="7" t="str">
        <f>IF(Table1[[#This Row],[Is Data Valid]]=TRUE,((Table1[[#This Row],[Birthweight (grams)]]*1.1/Table1[[#This Row],[BW_GA]])-1)/(Backend!$B$4/100*Table1[[#This Row],[BW40_3705]]),"")</f>
        <v/>
      </c>
      <c r="J4413" s="7" t="str">
        <f>IF(Table1[[#This Row],[Is Data Valid]]=TRUE,_xlfn.NORM.S.DIST(Table1[[#This Row],[Birthweight Z-Score]],TRUE)*100,"")</f>
        <v/>
      </c>
      <c r="K4413" s="7" t="str">
        <f>IF(Table1[[#This Row],[Is Data Valid]]=TRUE,_xlfn.NORM.S.DIST(Table1[[#This Row],[Birthweight Z-Score (BW-10%)]],TRUE)*100,"")</f>
        <v/>
      </c>
      <c r="L4413" s="7" t="str">
        <f>IF(Table1[[#This Row],[Is Data Valid]]=TRUE,_xlfn.NORM.S.DIST(Table1[[#This Row],[Birthweight Z-Score (BW+10%)]],TRUE)*100,"")</f>
        <v/>
      </c>
    </row>
    <row r="4414" spans="1:12" x14ac:dyDescent="0.35">
      <c r="A4414" s="3"/>
      <c r="B4414" s="2"/>
      <c r="C4414" s="2"/>
      <c r="D4414" s="2" t="b">
        <f>IF(AND(NOT(ISBLANK(Table1[[#This Row],[Fetal Sex (Male, Female or Unknown)]])),ISNUMBER(Table1[[#This Row],[Birthweight (grams)]]),ISNUMBER(Table1[[#This Row],[Gestation (days)]])),TRUE,FALSE)</f>
        <v>0</v>
      </c>
      <c r="E4414" s="2" t="str">
        <f>IF(Table1[[#This Row],[Is Data Valid]]=TRUE,IF(Table1[[#This Row],[Fetal Sex (Male, Female or Unknown)]]="Male",Backend!$C$6,IF(Table1[[#This Row],[Fetal Sex (Male, Female or Unknown)]]="Female",Backend!$C$7,IF(Table1[[#This Row],[Fetal Sex (Male, Female or Unknown)]]="Unknown",Backend!$C$8,"Error"))),"")</f>
        <v/>
      </c>
      <c r="F4414" s="8" t="str">
        <f>IF(Table1[[#This Row],[Is Data Valid]]=TRUE,EXP(0.578+0.332*((Table1[[#This Row],[Gestation (days)]]+0.5)/7)-0.00354*((Table1[[#This Row],[Gestation (days)]]+0.5)/7)^2)*Table1[[#This Row],[BW40_3705]],"")</f>
        <v/>
      </c>
      <c r="G4414" s="2" t="str">
        <f>IF(Table1[[#This Row],[Is Data Valid]]=TRUE,((Table1[[#This Row],[Birthweight (grams)]]/Table1[[#This Row],[BW_GA]])-1)/(Backend!$B$4/100*Table1[[#This Row],[BW40_3705]]),"")</f>
        <v/>
      </c>
      <c r="H4414" s="7" t="str">
        <f>IF(Table1[[#This Row],[Is Data Valid]]=TRUE,((Table1[[#This Row],[Birthweight (grams)]]*0.9/Table1[[#This Row],[BW_GA]])-1)/(Backend!$B$4/100*Table1[[#This Row],[BW40_3705]]),"")</f>
        <v/>
      </c>
      <c r="I4414" s="7" t="str">
        <f>IF(Table1[[#This Row],[Is Data Valid]]=TRUE,((Table1[[#This Row],[Birthweight (grams)]]*1.1/Table1[[#This Row],[BW_GA]])-1)/(Backend!$B$4/100*Table1[[#This Row],[BW40_3705]]),"")</f>
        <v/>
      </c>
      <c r="J4414" s="7" t="str">
        <f>IF(Table1[[#This Row],[Is Data Valid]]=TRUE,_xlfn.NORM.S.DIST(Table1[[#This Row],[Birthweight Z-Score]],TRUE)*100,"")</f>
        <v/>
      </c>
      <c r="K4414" s="7" t="str">
        <f>IF(Table1[[#This Row],[Is Data Valid]]=TRUE,_xlfn.NORM.S.DIST(Table1[[#This Row],[Birthweight Z-Score (BW-10%)]],TRUE)*100,"")</f>
        <v/>
      </c>
      <c r="L4414" s="7" t="str">
        <f>IF(Table1[[#This Row],[Is Data Valid]]=TRUE,_xlfn.NORM.S.DIST(Table1[[#This Row],[Birthweight Z-Score (BW+10%)]],TRUE)*100,"")</f>
        <v/>
      </c>
    </row>
    <row r="4415" spans="1:12" x14ac:dyDescent="0.35">
      <c r="A4415" s="3"/>
      <c r="B4415" s="2"/>
      <c r="C4415" s="2"/>
      <c r="D4415" s="2" t="b">
        <f>IF(AND(NOT(ISBLANK(Table1[[#This Row],[Fetal Sex (Male, Female or Unknown)]])),ISNUMBER(Table1[[#This Row],[Birthweight (grams)]]),ISNUMBER(Table1[[#This Row],[Gestation (days)]])),TRUE,FALSE)</f>
        <v>0</v>
      </c>
      <c r="E4415" s="2" t="str">
        <f>IF(Table1[[#This Row],[Is Data Valid]]=TRUE,IF(Table1[[#This Row],[Fetal Sex (Male, Female or Unknown)]]="Male",Backend!$C$6,IF(Table1[[#This Row],[Fetal Sex (Male, Female or Unknown)]]="Female",Backend!$C$7,IF(Table1[[#This Row],[Fetal Sex (Male, Female or Unknown)]]="Unknown",Backend!$C$8,"Error"))),"")</f>
        <v/>
      </c>
      <c r="F4415" s="8" t="str">
        <f>IF(Table1[[#This Row],[Is Data Valid]]=TRUE,EXP(0.578+0.332*((Table1[[#This Row],[Gestation (days)]]+0.5)/7)-0.00354*((Table1[[#This Row],[Gestation (days)]]+0.5)/7)^2)*Table1[[#This Row],[BW40_3705]],"")</f>
        <v/>
      </c>
      <c r="G4415" s="2" t="str">
        <f>IF(Table1[[#This Row],[Is Data Valid]]=TRUE,((Table1[[#This Row],[Birthweight (grams)]]/Table1[[#This Row],[BW_GA]])-1)/(Backend!$B$4/100*Table1[[#This Row],[BW40_3705]]),"")</f>
        <v/>
      </c>
      <c r="H4415" s="7" t="str">
        <f>IF(Table1[[#This Row],[Is Data Valid]]=TRUE,((Table1[[#This Row],[Birthweight (grams)]]*0.9/Table1[[#This Row],[BW_GA]])-1)/(Backend!$B$4/100*Table1[[#This Row],[BW40_3705]]),"")</f>
        <v/>
      </c>
      <c r="I4415" s="7" t="str">
        <f>IF(Table1[[#This Row],[Is Data Valid]]=TRUE,((Table1[[#This Row],[Birthweight (grams)]]*1.1/Table1[[#This Row],[BW_GA]])-1)/(Backend!$B$4/100*Table1[[#This Row],[BW40_3705]]),"")</f>
        <v/>
      </c>
      <c r="J4415" s="7" t="str">
        <f>IF(Table1[[#This Row],[Is Data Valid]]=TRUE,_xlfn.NORM.S.DIST(Table1[[#This Row],[Birthweight Z-Score]],TRUE)*100,"")</f>
        <v/>
      </c>
      <c r="K4415" s="7" t="str">
        <f>IF(Table1[[#This Row],[Is Data Valid]]=TRUE,_xlfn.NORM.S.DIST(Table1[[#This Row],[Birthweight Z-Score (BW-10%)]],TRUE)*100,"")</f>
        <v/>
      </c>
      <c r="L4415" s="7" t="str">
        <f>IF(Table1[[#This Row],[Is Data Valid]]=TRUE,_xlfn.NORM.S.DIST(Table1[[#This Row],[Birthweight Z-Score (BW+10%)]],TRUE)*100,"")</f>
        <v/>
      </c>
    </row>
    <row r="4416" spans="1:12" x14ac:dyDescent="0.35">
      <c r="A4416" s="3"/>
      <c r="B4416" s="2"/>
      <c r="C4416" s="2"/>
      <c r="D4416" s="2" t="b">
        <f>IF(AND(NOT(ISBLANK(Table1[[#This Row],[Fetal Sex (Male, Female or Unknown)]])),ISNUMBER(Table1[[#This Row],[Birthweight (grams)]]),ISNUMBER(Table1[[#This Row],[Gestation (days)]])),TRUE,FALSE)</f>
        <v>0</v>
      </c>
      <c r="E4416" s="2" t="str">
        <f>IF(Table1[[#This Row],[Is Data Valid]]=TRUE,IF(Table1[[#This Row],[Fetal Sex (Male, Female or Unknown)]]="Male",Backend!$C$6,IF(Table1[[#This Row],[Fetal Sex (Male, Female or Unknown)]]="Female",Backend!$C$7,IF(Table1[[#This Row],[Fetal Sex (Male, Female or Unknown)]]="Unknown",Backend!$C$8,"Error"))),"")</f>
        <v/>
      </c>
      <c r="F4416" s="8" t="str">
        <f>IF(Table1[[#This Row],[Is Data Valid]]=TRUE,EXP(0.578+0.332*((Table1[[#This Row],[Gestation (days)]]+0.5)/7)-0.00354*((Table1[[#This Row],[Gestation (days)]]+0.5)/7)^2)*Table1[[#This Row],[BW40_3705]],"")</f>
        <v/>
      </c>
      <c r="G4416" s="2" t="str">
        <f>IF(Table1[[#This Row],[Is Data Valid]]=TRUE,((Table1[[#This Row],[Birthweight (grams)]]/Table1[[#This Row],[BW_GA]])-1)/(Backend!$B$4/100*Table1[[#This Row],[BW40_3705]]),"")</f>
        <v/>
      </c>
      <c r="H4416" s="7" t="str">
        <f>IF(Table1[[#This Row],[Is Data Valid]]=TRUE,((Table1[[#This Row],[Birthweight (grams)]]*0.9/Table1[[#This Row],[BW_GA]])-1)/(Backend!$B$4/100*Table1[[#This Row],[BW40_3705]]),"")</f>
        <v/>
      </c>
      <c r="I4416" s="7" t="str">
        <f>IF(Table1[[#This Row],[Is Data Valid]]=TRUE,((Table1[[#This Row],[Birthweight (grams)]]*1.1/Table1[[#This Row],[BW_GA]])-1)/(Backend!$B$4/100*Table1[[#This Row],[BW40_3705]]),"")</f>
        <v/>
      </c>
      <c r="J4416" s="7" t="str">
        <f>IF(Table1[[#This Row],[Is Data Valid]]=TRUE,_xlfn.NORM.S.DIST(Table1[[#This Row],[Birthweight Z-Score]],TRUE)*100,"")</f>
        <v/>
      </c>
      <c r="K4416" s="7" t="str">
        <f>IF(Table1[[#This Row],[Is Data Valid]]=TRUE,_xlfn.NORM.S.DIST(Table1[[#This Row],[Birthweight Z-Score (BW-10%)]],TRUE)*100,"")</f>
        <v/>
      </c>
      <c r="L4416" s="7" t="str">
        <f>IF(Table1[[#This Row],[Is Data Valid]]=TRUE,_xlfn.NORM.S.DIST(Table1[[#This Row],[Birthweight Z-Score (BW+10%)]],TRUE)*100,"")</f>
        <v/>
      </c>
    </row>
    <row r="4417" spans="1:12" x14ac:dyDescent="0.35">
      <c r="A4417" s="3"/>
      <c r="B4417" s="2"/>
      <c r="C4417" s="2"/>
      <c r="D4417" s="2" t="b">
        <f>IF(AND(NOT(ISBLANK(Table1[[#This Row],[Fetal Sex (Male, Female or Unknown)]])),ISNUMBER(Table1[[#This Row],[Birthweight (grams)]]),ISNUMBER(Table1[[#This Row],[Gestation (days)]])),TRUE,FALSE)</f>
        <v>0</v>
      </c>
      <c r="E4417" s="2" t="str">
        <f>IF(Table1[[#This Row],[Is Data Valid]]=TRUE,IF(Table1[[#This Row],[Fetal Sex (Male, Female or Unknown)]]="Male",Backend!$C$6,IF(Table1[[#This Row],[Fetal Sex (Male, Female or Unknown)]]="Female",Backend!$C$7,IF(Table1[[#This Row],[Fetal Sex (Male, Female or Unknown)]]="Unknown",Backend!$C$8,"Error"))),"")</f>
        <v/>
      </c>
      <c r="F4417" s="8" t="str">
        <f>IF(Table1[[#This Row],[Is Data Valid]]=TRUE,EXP(0.578+0.332*((Table1[[#This Row],[Gestation (days)]]+0.5)/7)-0.00354*((Table1[[#This Row],[Gestation (days)]]+0.5)/7)^2)*Table1[[#This Row],[BW40_3705]],"")</f>
        <v/>
      </c>
      <c r="G4417" s="2" t="str">
        <f>IF(Table1[[#This Row],[Is Data Valid]]=TRUE,((Table1[[#This Row],[Birthweight (grams)]]/Table1[[#This Row],[BW_GA]])-1)/(Backend!$B$4/100*Table1[[#This Row],[BW40_3705]]),"")</f>
        <v/>
      </c>
      <c r="H4417" s="7" t="str">
        <f>IF(Table1[[#This Row],[Is Data Valid]]=TRUE,((Table1[[#This Row],[Birthweight (grams)]]*0.9/Table1[[#This Row],[BW_GA]])-1)/(Backend!$B$4/100*Table1[[#This Row],[BW40_3705]]),"")</f>
        <v/>
      </c>
      <c r="I4417" s="7" t="str">
        <f>IF(Table1[[#This Row],[Is Data Valid]]=TRUE,((Table1[[#This Row],[Birthweight (grams)]]*1.1/Table1[[#This Row],[BW_GA]])-1)/(Backend!$B$4/100*Table1[[#This Row],[BW40_3705]]),"")</f>
        <v/>
      </c>
      <c r="J4417" s="7" t="str">
        <f>IF(Table1[[#This Row],[Is Data Valid]]=TRUE,_xlfn.NORM.S.DIST(Table1[[#This Row],[Birthweight Z-Score]],TRUE)*100,"")</f>
        <v/>
      </c>
      <c r="K4417" s="7" t="str">
        <f>IF(Table1[[#This Row],[Is Data Valid]]=TRUE,_xlfn.NORM.S.DIST(Table1[[#This Row],[Birthweight Z-Score (BW-10%)]],TRUE)*100,"")</f>
        <v/>
      </c>
      <c r="L4417" s="7" t="str">
        <f>IF(Table1[[#This Row],[Is Data Valid]]=TRUE,_xlfn.NORM.S.DIST(Table1[[#This Row],[Birthweight Z-Score (BW+10%)]],TRUE)*100,"")</f>
        <v/>
      </c>
    </row>
    <row r="4418" spans="1:12" x14ac:dyDescent="0.35">
      <c r="A4418" s="3"/>
      <c r="B4418" s="2"/>
      <c r="C4418" s="2"/>
      <c r="D4418" s="2" t="b">
        <f>IF(AND(NOT(ISBLANK(Table1[[#This Row],[Fetal Sex (Male, Female or Unknown)]])),ISNUMBER(Table1[[#This Row],[Birthweight (grams)]]),ISNUMBER(Table1[[#This Row],[Gestation (days)]])),TRUE,FALSE)</f>
        <v>0</v>
      </c>
      <c r="E4418" s="2" t="str">
        <f>IF(Table1[[#This Row],[Is Data Valid]]=TRUE,IF(Table1[[#This Row],[Fetal Sex (Male, Female or Unknown)]]="Male",Backend!$C$6,IF(Table1[[#This Row],[Fetal Sex (Male, Female or Unknown)]]="Female",Backend!$C$7,IF(Table1[[#This Row],[Fetal Sex (Male, Female or Unknown)]]="Unknown",Backend!$C$8,"Error"))),"")</f>
        <v/>
      </c>
      <c r="F4418" s="8" t="str">
        <f>IF(Table1[[#This Row],[Is Data Valid]]=TRUE,EXP(0.578+0.332*((Table1[[#This Row],[Gestation (days)]]+0.5)/7)-0.00354*((Table1[[#This Row],[Gestation (days)]]+0.5)/7)^2)*Table1[[#This Row],[BW40_3705]],"")</f>
        <v/>
      </c>
      <c r="G4418" s="2" t="str">
        <f>IF(Table1[[#This Row],[Is Data Valid]]=TRUE,((Table1[[#This Row],[Birthweight (grams)]]/Table1[[#This Row],[BW_GA]])-1)/(Backend!$B$4/100*Table1[[#This Row],[BW40_3705]]),"")</f>
        <v/>
      </c>
      <c r="H4418" s="7" t="str">
        <f>IF(Table1[[#This Row],[Is Data Valid]]=TRUE,((Table1[[#This Row],[Birthweight (grams)]]*0.9/Table1[[#This Row],[BW_GA]])-1)/(Backend!$B$4/100*Table1[[#This Row],[BW40_3705]]),"")</f>
        <v/>
      </c>
      <c r="I4418" s="7" t="str">
        <f>IF(Table1[[#This Row],[Is Data Valid]]=TRUE,((Table1[[#This Row],[Birthweight (grams)]]*1.1/Table1[[#This Row],[BW_GA]])-1)/(Backend!$B$4/100*Table1[[#This Row],[BW40_3705]]),"")</f>
        <v/>
      </c>
      <c r="J4418" s="7" t="str">
        <f>IF(Table1[[#This Row],[Is Data Valid]]=TRUE,_xlfn.NORM.S.DIST(Table1[[#This Row],[Birthweight Z-Score]],TRUE)*100,"")</f>
        <v/>
      </c>
      <c r="K4418" s="7" t="str">
        <f>IF(Table1[[#This Row],[Is Data Valid]]=TRUE,_xlfn.NORM.S.DIST(Table1[[#This Row],[Birthweight Z-Score (BW-10%)]],TRUE)*100,"")</f>
        <v/>
      </c>
      <c r="L4418" s="7" t="str">
        <f>IF(Table1[[#This Row],[Is Data Valid]]=TRUE,_xlfn.NORM.S.DIST(Table1[[#This Row],[Birthweight Z-Score (BW+10%)]],TRUE)*100,"")</f>
        <v/>
      </c>
    </row>
    <row r="4419" spans="1:12" x14ac:dyDescent="0.35">
      <c r="A4419" s="3"/>
      <c r="B4419" s="2"/>
      <c r="C4419" s="2"/>
      <c r="D4419" s="2" t="b">
        <f>IF(AND(NOT(ISBLANK(Table1[[#This Row],[Fetal Sex (Male, Female or Unknown)]])),ISNUMBER(Table1[[#This Row],[Birthweight (grams)]]),ISNUMBER(Table1[[#This Row],[Gestation (days)]])),TRUE,FALSE)</f>
        <v>0</v>
      </c>
      <c r="E4419" s="2" t="str">
        <f>IF(Table1[[#This Row],[Is Data Valid]]=TRUE,IF(Table1[[#This Row],[Fetal Sex (Male, Female or Unknown)]]="Male",Backend!$C$6,IF(Table1[[#This Row],[Fetal Sex (Male, Female or Unknown)]]="Female",Backend!$C$7,IF(Table1[[#This Row],[Fetal Sex (Male, Female or Unknown)]]="Unknown",Backend!$C$8,"Error"))),"")</f>
        <v/>
      </c>
      <c r="F4419" s="8" t="str">
        <f>IF(Table1[[#This Row],[Is Data Valid]]=TRUE,EXP(0.578+0.332*((Table1[[#This Row],[Gestation (days)]]+0.5)/7)-0.00354*((Table1[[#This Row],[Gestation (days)]]+0.5)/7)^2)*Table1[[#This Row],[BW40_3705]],"")</f>
        <v/>
      </c>
      <c r="G4419" s="2" t="str">
        <f>IF(Table1[[#This Row],[Is Data Valid]]=TRUE,((Table1[[#This Row],[Birthweight (grams)]]/Table1[[#This Row],[BW_GA]])-1)/(Backend!$B$4/100*Table1[[#This Row],[BW40_3705]]),"")</f>
        <v/>
      </c>
      <c r="H4419" s="7" t="str">
        <f>IF(Table1[[#This Row],[Is Data Valid]]=TRUE,((Table1[[#This Row],[Birthweight (grams)]]*0.9/Table1[[#This Row],[BW_GA]])-1)/(Backend!$B$4/100*Table1[[#This Row],[BW40_3705]]),"")</f>
        <v/>
      </c>
      <c r="I4419" s="7" t="str">
        <f>IF(Table1[[#This Row],[Is Data Valid]]=TRUE,((Table1[[#This Row],[Birthweight (grams)]]*1.1/Table1[[#This Row],[BW_GA]])-1)/(Backend!$B$4/100*Table1[[#This Row],[BW40_3705]]),"")</f>
        <v/>
      </c>
      <c r="J4419" s="7" t="str">
        <f>IF(Table1[[#This Row],[Is Data Valid]]=TRUE,_xlfn.NORM.S.DIST(Table1[[#This Row],[Birthweight Z-Score]],TRUE)*100,"")</f>
        <v/>
      </c>
      <c r="K4419" s="7" t="str">
        <f>IF(Table1[[#This Row],[Is Data Valid]]=TRUE,_xlfn.NORM.S.DIST(Table1[[#This Row],[Birthweight Z-Score (BW-10%)]],TRUE)*100,"")</f>
        <v/>
      </c>
      <c r="L4419" s="7" t="str">
        <f>IF(Table1[[#This Row],[Is Data Valid]]=TRUE,_xlfn.NORM.S.DIST(Table1[[#This Row],[Birthweight Z-Score (BW+10%)]],TRUE)*100,"")</f>
        <v/>
      </c>
    </row>
    <row r="4420" spans="1:12" x14ac:dyDescent="0.35">
      <c r="A4420" s="3"/>
      <c r="B4420" s="2"/>
      <c r="C4420" s="2"/>
      <c r="D4420" s="2" t="b">
        <f>IF(AND(NOT(ISBLANK(Table1[[#This Row],[Fetal Sex (Male, Female or Unknown)]])),ISNUMBER(Table1[[#This Row],[Birthweight (grams)]]),ISNUMBER(Table1[[#This Row],[Gestation (days)]])),TRUE,FALSE)</f>
        <v>0</v>
      </c>
      <c r="E4420" s="2" t="str">
        <f>IF(Table1[[#This Row],[Is Data Valid]]=TRUE,IF(Table1[[#This Row],[Fetal Sex (Male, Female or Unknown)]]="Male",Backend!$C$6,IF(Table1[[#This Row],[Fetal Sex (Male, Female or Unknown)]]="Female",Backend!$C$7,IF(Table1[[#This Row],[Fetal Sex (Male, Female or Unknown)]]="Unknown",Backend!$C$8,"Error"))),"")</f>
        <v/>
      </c>
      <c r="F4420" s="8" t="str">
        <f>IF(Table1[[#This Row],[Is Data Valid]]=TRUE,EXP(0.578+0.332*((Table1[[#This Row],[Gestation (days)]]+0.5)/7)-0.00354*((Table1[[#This Row],[Gestation (days)]]+0.5)/7)^2)*Table1[[#This Row],[BW40_3705]],"")</f>
        <v/>
      </c>
      <c r="G4420" s="2" t="str">
        <f>IF(Table1[[#This Row],[Is Data Valid]]=TRUE,((Table1[[#This Row],[Birthweight (grams)]]/Table1[[#This Row],[BW_GA]])-1)/(Backend!$B$4/100*Table1[[#This Row],[BW40_3705]]),"")</f>
        <v/>
      </c>
      <c r="H4420" s="7" t="str">
        <f>IF(Table1[[#This Row],[Is Data Valid]]=TRUE,((Table1[[#This Row],[Birthweight (grams)]]*0.9/Table1[[#This Row],[BW_GA]])-1)/(Backend!$B$4/100*Table1[[#This Row],[BW40_3705]]),"")</f>
        <v/>
      </c>
      <c r="I4420" s="7" t="str">
        <f>IF(Table1[[#This Row],[Is Data Valid]]=TRUE,((Table1[[#This Row],[Birthweight (grams)]]*1.1/Table1[[#This Row],[BW_GA]])-1)/(Backend!$B$4/100*Table1[[#This Row],[BW40_3705]]),"")</f>
        <v/>
      </c>
      <c r="J4420" s="7" t="str">
        <f>IF(Table1[[#This Row],[Is Data Valid]]=TRUE,_xlfn.NORM.S.DIST(Table1[[#This Row],[Birthweight Z-Score]],TRUE)*100,"")</f>
        <v/>
      </c>
      <c r="K4420" s="7" t="str">
        <f>IF(Table1[[#This Row],[Is Data Valid]]=TRUE,_xlfn.NORM.S.DIST(Table1[[#This Row],[Birthweight Z-Score (BW-10%)]],TRUE)*100,"")</f>
        <v/>
      </c>
      <c r="L4420" s="7" t="str">
        <f>IF(Table1[[#This Row],[Is Data Valid]]=TRUE,_xlfn.NORM.S.DIST(Table1[[#This Row],[Birthweight Z-Score (BW+10%)]],TRUE)*100,"")</f>
        <v/>
      </c>
    </row>
    <row r="4421" spans="1:12" x14ac:dyDescent="0.35">
      <c r="A4421" s="3"/>
      <c r="B4421" s="2"/>
      <c r="C4421" s="2"/>
      <c r="D4421" s="2" t="b">
        <f>IF(AND(NOT(ISBLANK(Table1[[#This Row],[Fetal Sex (Male, Female or Unknown)]])),ISNUMBER(Table1[[#This Row],[Birthweight (grams)]]),ISNUMBER(Table1[[#This Row],[Gestation (days)]])),TRUE,FALSE)</f>
        <v>0</v>
      </c>
      <c r="E4421" s="2" t="str">
        <f>IF(Table1[[#This Row],[Is Data Valid]]=TRUE,IF(Table1[[#This Row],[Fetal Sex (Male, Female or Unknown)]]="Male",Backend!$C$6,IF(Table1[[#This Row],[Fetal Sex (Male, Female or Unknown)]]="Female",Backend!$C$7,IF(Table1[[#This Row],[Fetal Sex (Male, Female or Unknown)]]="Unknown",Backend!$C$8,"Error"))),"")</f>
        <v/>
      </c>
      <c r="F4421" s="8" t="str">
        <f>IF(Table1[[#This Row],[Is Data Valid]]=TRUE,EXP(0.578+0.332*((Table1[[#This Row],[Gestation (days)]]+0.5)/7)-0.00354*((Table1[[#This Row],[Gestation (days)]]+0.5)/7)^2)*Table1[[#This Row],[BW40_3705]],"")</f>
        <v/>
      </c>
      <c r="G4421" s="2" t="str">
        <f>IF(Table1[[#This Row],[Is Data Valid]]=TRUE,((Table1[[#This Row],[Birthweight (grams)]]/Table1[[#This Row],[BW_GA]])-1)/(Backend!$B$4/100*Table1[[#This Row],[BW40_3705]]),"")</f>
        <v/>
      </c>
      <c r="H4421" s="7" t="str">
        <f>IF(Table1[[#This Row],[Is Data Valid]]=TRUE,((Table1[[#This Row],[Birthweight (grams)]]*0.9/Table1[[#This Row],[BW_GA]])-1)/(Backend!$B$4/100*Table1[[#This Row],[BW40_3705]]),"")</f>
        <v/>
      </c>
      <c r="I4421" s="7" t="str">
        <f>IF(Table1[[#This Row],[Is Data Valid]]=TRUE,((Table1[[#This Row],[Birthweight (grams)]]*1.1/Table1[[#This Row],[BW_GA]])-1)/(Backend!$B$4/100*Table1[[#This Row],[BW40_3705]]),"")</f>
        <v/>
      </c>
      <c r="J4421" s="7" t="str">
        <f>IF(Table1[[#This Row],[Is Data Valid]]=TRUE,_xlfn.NORM.S.DIST(Table1[[#This Row],[Birthweight Z-Score]],TRUE)*100,"")</f>
        <v/>
      </c>
      <c r="K4421" s="7" t="str">
        <f>IF(Table1[[#This Row],[Is Data Valid]]=TRUE,_xlfn.NORM.S.DIST(Table1[[#This Row],[Birthweight Z-Score (BW-10%)]],TRUE)*100,"")</f>
        <v/>
      </c>
      <c r="L4421" s="7" t="str">
        <f>IF(Table1[[#This Row],[Is Data Valid]]=TRUE,_xlfn.NORM.S.DIST(Table1[[#This Row],[Birthweight Z-Score (BW+10%)]],TRUE)*100,"")</f>
        <v/>
      </c>
    </row>
    <row r="4422" spans="1:12" x14ac:dyDescent="0.35">
      <c r="A4422" s="3"/>
      <c r="B4422" s="2"/>
      <c r="C4422" s="2"/>
      <c r="D4422" s="2" t="b">
        <f>IF(AND(NOT(ISBLANK(Table1[[#This Row],[Fetal Sex (Male, Female or Unknown)]])),ISNUMBER(Table1[[#This Row],[Birthweight (grams)]]),ISNUMBER(Table1[[#This Row],[Gestation (days)]])),TRUE,FALSE)</f>
        <v>0</v>
      </c>
      <c r="E4422" s="2" t="str">
        <f>IF(Table1[[#This Row],[Is Data Valid]]=TRUE,IF(Table1[[#This Row],[Fetal Sex (Male, Female or Unknown)]]="Male",Backend!$C$6,IF(Table1[[#This Row],[Fetal Sex (Male, Female or Unknown)]]="Female",Backend!$C$7,IF(Table1[[#This Row],[Fetal Sex (Male, Female or Unknown)]]="Unknown",Backend!$C$8,"Error"))),"")</f>
        <v/>
      </c>
      <c r="F4422" s="8" t="str">
        <f>IF(Table1[[#This Row],[Is Data Valid]]=TRUE,EXP(0.578+0.332*((Table1[[#This Row],[Gestation (days)]]+0.5)/7)-0.00354*((Table1[[#This Row],[Gestation (days)]]+0.5)/7)^2)*Table1[[#This Row],[BW40_3705]],"")</f>
        <v/>
      </c>
      <c r="G4422" s="2" t="str">
        <f>IF(Table1[[#This Row],[Is Data Valid]]=TRUE,((Table1[[#This Row],[Birthweight (grams)]]/Table1[[#This Row],[BW_GA]])-1)/(Backend!$B$4/100*Table1[[#This Row],[BW40_3705]]),"")</f>
        <v/>
      </c>
      <c r="H4422" s="7" t="str">
        <f>IF(Table1[[#This Row],[Is Data Valid]]=TRUE,((Table1[[#This Row],[Birthweight (grams)]]*0.9/Table1[[#This Row],[BW_GA]])-1)/(Backend!$B$4/100*Table1[[#This Row],[BW40_3705]]),"")</f>
        <v/>
      </c>
      <c r="I4422" s="7" t="str">
        <f>IF(Table1[[#This Row],[Is Data Valid]]=TRUE,((Table1[[#This Row],[Birthweight (grams)]]*1.1/Table1[[#This Row],[BW_GA]])-1)/(Backend!$B$4/100*Table1[[#This Row],[BW40_3705]]),"")</f>
        <v/>
      </c>
      <c r="J4422" s="7" t="str">
        <f>IF(Table1[[#This Row],[Is Data Valid]]=TRUE,_xlfn.NORM.S.DIST(Table1[[#This Row],[Birthweight Z-Score]],TRUE)*100,"")</f>
        <v/>
      </c>
      <c r="K4422" s="7" t="str">
        <f>IF(Table1[[#This Row],[Is Data Valid]]=TRUE,_xlfn.NORM.S.DIST(Table1[[#This Row],[Birthweight Z-Score (BW-10%)]],TRUE)*100,"")</f>
        <v/>
      </c>
      <c r="L4422" s="7" t="str">
        <f>IF(Table1[[#This Row],[Is Data Valid]]=TRUE,_xlfn.NORM.S.DIST(Table1[[#This Row],[Birthweight Z-Score (BW+10%)]],TRUE)*100,"")</f>
        <v/>
      </c>
    </row>
    <row r="4423" spans="1:12" x14ac:dyDescent="0.35">
      <c r="A4423" s="3"/>
      <c r="B4423" s="2"/>
      <c r="C4423" s="2"/>
      <c r="D4423" s="2" t="b">
        <f>IF(AND(NOT(ISBLANK(Table1[[#This Row],[Fetal Sex (Male, Female or Unknown)]])),ISNUMBER(Table1[[#This Row],[Birthweight (grams)]]),ISNUMBER(Table1[[#This Row],[Gestation (days)]])),TRUE,FALSE)</f>
        <v>0</v>
      </c>
      <c r="E4423" s="2" t="str">
        <f>IF(Table1[[#This Row],[Is Data Valid]]=TRUE,IF(Table1[[#This Row],[Fetal Sex (Male, Female or Unknown)]]="Male",Backend!$C$6,IF(Table1[[#This Row],[Fetal Sex (Male, Female or Unknown)]]="Female",Backend!$C$7,IF(Table1[[#This Row],[Fetal Sex (Male, Female or Unknown)]]="Unknown",Backend!$C$8,"Error"))),"")</f>
        <v/>
      </c>
      <c r="F4423" s="8" t="str">
        <f>IF(Table1[[#This Row],[Is Data Valid]]=TRUE,EXP(0.578+0.332*((Table1[[#This Row],[Gestation (days)]]+0.5)/7)-0.00354*((Table1[[#This Row],[Gestation (days)]]+0.5)/7)^2)*Table1[[#This Row],[BW40_3705]],"")</f>
        <v/>
      </c>
      <c r="G4423" s="2" t="str">
        <f>IF(Table1[[#This Row],[Is Data Valid]]=TRUE,((Table1[[#This Row],[Birthweight (grams)]]/Table1[[#This Row],[BW_GA]])-1)/(Backend!$B$4/100*Table1[[#This Row],[BW40_3705]]),"")</f>
        <v/>
      </c>
      <c r="H4423" s="7" t="str">
        <f>IF(Table1[[#This Row],[Is Data Valid]]=TRUE,((Table1[[#This Row],[Birthweight (grams)]]*0.9/Table1[[#This Row],[BW_GA]])-1)/(Backend!$B$4/100*Table1[[#This Row],[BW40_3705]]),"")</f>
        <v/>
      </c>
      <c r="I4423" s="7" t="str">
        <f>IF(Table1[[#This Row],[Is Data Valid]]=TRUE,((Table1[[#This Row],[Birthweight (grams)]]*1.1/Table1[[#This Row],[BW_GA]])-1)/(Backend!$B$4/100*Table1[[#This Row],[BW40_3705]]),"")</f>
        <v/>
      </c>
      <c r="J4423" s="7" t="str">
        <f>IF(Table1[[#This Row],[Is Data Valid]]=TRUE,_xlfn.NORM.S.DIST(Table1[[#This Row],[Birthweight Z-Score]],TRUE)*100,"")</f>
        <v/>
      </c>
      <c r="K4423" s="7" t="str">
        <f>IF(Table1[[#This Row],[Is Data Valid]]=TRUE,_xlfn.NORM.S.DIST(Table1[[#This Row],[Birthweight Z-Score (BW-10%)]],TRUE)*100,"")</f>
        <v/>
      </c>
      <c r="L4423" s="7" t="str">
        <f>IF(Table1[[#This Row],[Is Data Valid]]=TRUE,_xlfn.NORM.S.DIST(Table1[[#This Row],[Birthweight Z-Score (BW+10%)]],TRUE)*100,"")</f>
        <v/>
      </c>
    </row>
    <row r="4424" spans="1:12" x14ac:dyDescent="0.35">
      <c r="A4424" s="3"/>
      <c r="B4424" s="2"/>
      <c r="C4424" s="2"/>
      <c r="D4424" s="2" t="b">
        <f>IF(AND(NOT(ISBLANK(Table1[[#This Row],[Fetal Sex (Male, Female or Unknown)]])),ISNUMBER(Table1[[#This Row],[Birthweight (grams)]]),ISNUMBER(Table1[[#This Row],[Gestation (days)]])),TRUE,FALSE)</f>
        <v>0</v>
      </c>
      <c r="E4424" s="2" t="str">
        <f>IF(Table1[[#This Row],[Is Data Valid]]=TRUE,IF(Table1[[#This Row],[Fetal Sex (Male, Female or Unknown)]]="Male",Backend!$C$6,IF(Table1[[#This Row],[Fetal Sex (Male, Female or Unknown)]]="Female",Backend!$C$7,IF(Table1[[#This Row],[Fetal Sex (Male, Female or Unknown)]]="Unknown",Backend!$C$8,"Error"))),"")</f>
        <v/>
      </c>
      <c r="F4424" s="8" t="str">
        <f>IF(Table1[[#This Row],[Is Data Valid]]=TRUE,EXP(0.578+0.332*((Table1[[#This Row],[Gestation (days)]]+0.5)/7)-0.00354*((Table1[[#This Row],[Gestation (days)]]+0.5)/7)^2)*Table1[[#This Row],[BW40_3705]],"")</f>
        <v/>
      </c>
      <c r="G4424" s="2" t="str">
        <f>IF(Table1[[#This Row],[Is Data Valid]]=TRUE,((Table1[[#This Row],[Birthweight (grams)]]/Table1[[#This Row],[BW_GA]])-1)/(Backend!$B$4/100*Table1[[#This Row],[BW40_3705]]),"")</f>
        <v/>
      </c>
      <c r="H4424" s="7" t="str">
        <f>IF(Table1[[#This Row],[Is Data Valid]]=TRUE,((Table1[[#This Row],[Birthweight (grams)]]*0.9/Table1[[#This Row],[BW_GA]])-1)/(Backend!$B$4/100*Table1[[#This Row],[BW40_3705]]),"")</f>
        <v/>
      </c>
      <c r="I4424" s="7" t="str">
        <f>IF(Table1[[#This Row],[Is Data Valid]]=TRUE,((Table1[[#This Row],[Birthweight (grams)]]*1.1/Table1[[#This Row],[BW_GA]])-1)/(Backend!$B$4/100*Table1[[#This Row],[BW40_3705]]),"")</f>
        <v/>
      </c>
      <c r="J4424" s="7" t="str">
        <f>IF(Table1[[#This Row],[Is Data Valid]]=TRUE,_xlfn.NORM.S.DIST(Table1[[#This Row],[Birthweight Z-Score]],TRUE)*100,"")</f>
        <v/>
      </c>
      <c r="K4424" s="7" t="str">
        <f>IF(Table1[[#This Row],[Is Data Valid]]=TRUE,_xlfn.NORM.S.DIST(Table1[[#This Row],[Birthweight Z-Score (BW-10%)]],TRUE)*100,"")</f>
        <v/>
      </c>
      <c r="L4424" s="7" t="str">
        <f>IF(Table1[[#This Row],[Is Data Valid]]=TRUE,_xlfn.NORM.S.DIST(Table1[[#This Row],[Birthweight Z-Score (BW+10%)]],TRUE)*100,"")</f>
        <v/>
      </c>
    </row>
    <row r="4425" spans="1:12" x14ac:dyDescent="0.35">
      <c r="A4425" s="3"/>
      <c r="B4425" s="2"/>
      <c r="C4425" s="2"/>
      <c r="D4425" s="2" t="b">
        <f>IF(AND(NOT(ISBLANK(Table1[[#This Row],[Fetal Sex (Male, Female or Unknown)]])),ISNUMBER(Table1[[#This Row],[Birthweight (grams)]]),ISNUMBER(Table1[[#This Row],[Gestation (days)]])),TRUE,FALSE)</f>
        <v>0</v>
      </c>
      <c r="E4425" s="2" t="str">
        <f>IF(Table1[[#This Row],[Is Data Valid]]=TRUE,IF(Table1[[#This Row],[Fetal Sex (Male, Female or Unknown)]]="Male",Backend!$C$6,IF(Table1[[#This Row],[Fetal Sex (Male, Female or Unknown)]]="Female",Backend!$C$7,IF(Table1[[#This Row],[Fetal Sex (Male, Female or Unknown)]]="Unknown",Backend!$C$8,"Error"))),"")</f>
        <v/>
      </c>
      <c r="F4425" s="8" t="str">
        <f>IF(Table1[[#This Row],[Is Data Valid]]=TRUE,EXP(0.578+0.332*((Table1[[#This Row],[Gestation (days)]]+0.5)/7)-0.00354*((Table1[[#This Row],[Gestation (days)]]+0.5)/7)^2)*Table1[[#This Row],[BW40_3705]],"")</f>
        <v/>
      </c>
      <c r="G4425" s="2" t="str">
        <f>IF(Table1[[#This Row],[Is Data Valid]]=TRUE,((Table1[[#This Row],[Birthweight (grams)]]/Table1[[#This Row],[BW_GA]])-1)/(Backend!$B$4/100*Table1[[#This Row],[BW40_3705]]),"")</f>
        <v/>
      </c>
      <c r="H4425" s="7" t="str">
        <f>IF(Table1[[#This Row],[Is Data Valid]]=TRUE,((Table1[[#This Row],[Birthweight (grams)]]*0.9/Table1[[#This Row],[BW_GA]])-1)/(Backend!$B$4/100*Table1[[#This Row],[BW40_3705]]),"")</f>
        <v/>
      </c>
      <c r="I4425" s="7" t="str">
        <f>IF(Table1[[#This Row],[Is Data Valid]]=TRUE,((Table1[[#This Row],[Birthweight (grams)]]*1.1/Table1[[#This Row],[BW_GA]])-1)/(Backend!$B$4/100*Table1[[#This Row],[BW40_3705]]),"")</f>
        <v/>
      </c>
      <c r="J4425" s="7" t="str">
        <f>IF(Table1[[#This Row],[Is Data Valid]]=TRUE,_xlfn.NORM.S.DIST(Table1[[#This Row],[Birthweight Z-Score]],TRUE)*100,"")</f>
        <v/>
      </c>
      <c r="K4425" s="7" t="str">
        <f>IF(Table1[[#This Row],[Is Data Valid]]=TRUE,_xlfn.NORM.S.DIST(Table1[[#This Row],[Birthweight Z-Score (BW-10%)]],TRUE)*100,"")</f>
        <v/>
      </c>
      <c r="L4425" s="7" t="str">
        <f>IF(Table1[[#This Row],[Is Data Valid]]=TRUE,_xlfn.NORM.S.DIST(Table1[[#This Row],[Birthweight Z-Score (BW+10%)]],TRUE)*100,"")</f>
        <v/>
      </c>
    </row>
    <row r="4426" spans="1:12" x14ac:dyDescent="0.35">
      <c r="A4426" s="3"/>
      <c r="B4426" s="2"/>
      <c r="C4426" s="2"/>
      <c r="D4426" s="2" t="b">
        <f>IF(AND(NOT(ISBLANK(Table1[[#This Row],[Fetal Sex (Male, Female or Unknown)]])),ISNUMBER(Table1[[#This Row],[Birthweight (grams)]]),ISNUMBER(Table1[[#This Row],[Gestation (days)]])),TRUE,FALSE)</f>
        <v>0</v>
      </c>
      <c r="E4426" s="2" t="str">
        <f>IF(Table1[[#This Row],[Is Data Valid]]=TRUE,IF(Table1[[#This Row],[Fetal Sex (Male, Female or Unknown)]]="Male",Backend!$C$6,IF(Table1[[#This Row],[Fetal Sex (Male, Female or Unknown)]]="Female",Backend!$C$7,IF(Table1[[#This Row],[Fetal Sex (Male, Female or Unknown)]]="Unknown",Backend!$C$8,"Error"))),"")</f>
        <v/>
      </c>
      <c r="F4426" s="8" t="str">
        <f>IF(Table1[[#This Row],[Is Data Valid]]=TRUE,EXP(0.578+0.332*((Table1[[#This Row],[Gestation (days)]]+0.5)/7)-0.00354*((Table1[[#This Row],[Gestation (days)]]+0.5)/7)^2)*Table1[[#This Row],[BW40_3705]],"")</f>
        <v/>
      </c>
      <c r="G4426" s="2" t="str">
        <f>IF(Table1[[#This Row],[Is Data Valid]]=TRUE,((Table1[[#This Row],[Birthweight (grams)]]/Table1[[#This Row],[BW_GA]])-1)/(Backend!$B$4/100*Table1[[#This Row],[BW40_3705]]),"")</f>
        <v/>
      </c>
      <c r="H4426" s="7" t="str">
        <f>IF(Table1[[#This Row],[Is Data Valid]]=TRUE,((Table1[[#This Row],[Birthweight (grams)]]*0.9/Table1[[#This Row],[BW_GA]])-1)/(Backend!$B$4/100*Table1[[#This Row],[BW40_3705]]),"")</f>
        <v/>
      </c>
      <c r="I4426" s="7" t="str">
        <f>IF(Table1[[#This Row],[Is Data Valid]]=TRUE,((Table1[[#This Row],[Birthweight (grams)]]*1.1/Table1[[#This Row],[BW_GA]])-1)/(Backend!$B$4/100*Table1[[#This Row],[BW40_3705]]),"")</f>
        <v/>
      </c>
      <c r="J4426" s="7" t="str">
        <f>IF(Table1[[#This Row],[Is Data Valid]]=TRUE,_xlfn.NORM.S.DIST(Table1[[#This Row],[Birthweight Z-Score]],TRUE)*100,"")</f>
        <v/>
      </c>
      <c r="K4426" s="7" t="str">
        <f>IF(Table1[[#This Row],[Is Data Valid]]=TRUE,_xlfn.NORM.S.DIST(Table1[[#This Row],[Birthweight Z-Score (BW-10%)]],TRUE)*100,"")</f>
        <v/>
      </c>
      <c r="L4426" s="7" t="str">
        <f>IF(Table1[[#This Row],[Is Data Valid]]=TRUE,_xlfn.NORM.S.DIST(Table1[[#This Row],[Birthweight Z-Score (BW+10%)]],TRUE)*100,"")</f>
        <v/>
      </c>
    </row>
    <row r="4427" spans="1:12" x14ac:dyDescent="0.35">
      <c r="A4427" s="3"/>
      <c r="B4427" s="2"/>
      <c r="C4427" s="2"/>
      <c r="D4427" s="2" t="b">
        <f>IF(AND(NOT(ISBLANK(Table1[[#This Row],[Fetal Sex (Male, Female or Unknown)]])),ISNUMBER(Table1[[#This Row],[Birthweight (grams)]]),ISNUMBER(Table1[[#This Row],[Gestation (days)]])),TRUE,FALSE)</f>
        <v>0</v>
      </c>
      <c r="E4427" s="2" t="str">
        <f>IF(Table1[[#This Row],[Is Data Valid]]=TRUE,IF(Table1[[#This Row],[Fetal Sex (Male, Female or Unknown)]]="Male",Backend!$C$6,IF(Table1[[#This Row],[Fetal Sex (Male, Female or Unknown)]]="Female",Backend!$C$7,IF(Table1[[#This Row],[Fetal Sex (Male, Female or Unknown)]]="Unknown",Backend!$C$8,"Error"))),"")</f>
        <v/>
      </c>
      <c r="F4427" s="8" t="str">
        <f>IF(Table1[[#This Row],[Is Data Valid]]=TRUE,EXP(0.578+0.332*((Table1[[#This Row],[Gestation (days)]]+0.5)/7)-0.00354*((Table1[[#This Row],[Gestation (days)]]+0.5)/7)^2)*Table1[[#This Row],[BW40_3705]],"")</f>
        <v/>
      </c>
      <c r="G4427" s="2" t="str">
        <f>IF(Table1[[#This Row],[Is Data Valid]]=TRUE,((Table1[[#This Row],[Birthweight (grams)]]/Table1[[#This Row],[BW_GA]])-1)/(Backend!$B$4/100*Table1[[#This Row],[BW40_3705]]),"")</f>
        <v/>
      </c>
      <c r="H4427" s="7" t="str">
        <f>IF(Table1[[#This Row],[Is Data Valid]]=TRUE,((Table1[[#This Row],[Birthweight (grams)]]*0.9/Table1[[#This Row],[BW_GA]])-1)/(Backend!$B$4/100*Table1[[#This Row],[BW40_3705]]),"")</f>
        <v/>
      </c>
      <c r="I4427" s="7" t="str">
        <f>IF(Table1[[#This Row],[Is Data Valid]]=TRUE,((Table1[[#This Row],[Birthweight (grams)]]*1.1/Table1[[#This Row],[BW_GA]])-1)/(Backend!$B$4/100*Table1[[#This Row],[BW40_3705]]),"")</f>
        <v/>
      </c>
      <c r="J4427" s="7" t="str">
        <f>IF(Table1[[#This Row],[Is Data Valid]]=TRUE,_xlfn.NORM.S.DIST(Table1[[#This Row],[Birthweight Z-Score]],TRUE)*100,"")</f>
        <v/>
      </c>
      <c r="K4427" s="7" t="str">
        <f>IF(Table1[[#This Row],[Is Data Valid]]=TRUE,_xlfn.NORM.S.DIST(Table1[[#This Row],[Birthweight Z-Score (BW-10%)]],TRUE)*100,"")</f>
        <v/>
      </c>
      <c r="L4427" s="7" t="str">
        <f>IF(Table1[[#This Row],[Is Data Valid]]=TRUE,_xlfn.NORM.S.DIST(Table1[[#This Row],[Birthweight Z-Score (BW+10%)]],TRUE)*100,"")</f>
        <v/>
      </c>
    </row>
    <row r="4428" spans="1:12" x14ac:dyDescent="0.35">
      <c r="A4428" s="3"/>
      <c r="B4428" s="2"/>
      <c r="C4428" s="2"/>
      <c r="D4428" s="2" t="b">
        <f>IF(AND(NOT(ISBLANK(Table1[[#This Row],[Fetal Sex (Male, Female or Unknown)]])),ISNUMBER(Table1[[#This Row],[Birthweight (grams)]]),ISNUMBER(Table1[[#This Row],[Gestation (days)]])),TRUE,FALSE)</f>
        <v>0</v>
      </c>
      <c r="E4428" s="2" t="str">
        <f>IF(Table1[[#This Row],[Is Data Valid]]=TRUE,IF(Table1[[#This Row],[Fetal Sex (Male, Female or Unknown)]]="Male",Backend!$C$6,IF(Table1[[#This Row],[Fetal Sex (Male, Female or Unknown)]]="Female",Backend!$C$7,IF(Table1[[#This Row],[Fetal Sex (Male, Female or Unknown)]]="Unknown",Backend!$C$8,"Error"))),"")</f>
        <v/>
      </c>
      <c r="F4428" s="8" t="str">
        <f>IF(Table1[[#This Row],[Is Data Valid]]=TRUE,EXP(0.578+0.332*((Table1[[#This Row],[Gestation (days)]]+0.5)/7)-0.00354*((Table1[[#This Row],[Gestation (days)]]+0.5)/7)^2)*Table1[[#This Row],[BW40_3705]],"")</f>
        <v/>
      </c>
      <c r="G4428" s="2" t="str">
        <f>IF(Table1[[#This Row],[Is Data Valid]]=TRUE,((Table1[[#This Row],[Birthweight (grams)]]/Table1[[#This Row],[BW_GA]])-1)/(Backend!$B$4/100*Table1[[#This Row],[BW40_3705]]),"")</f>
        <v/>
      </c>
      <c r="H4428" s="7" t="str">
        <f>IF(Table1[[#This Row],[Is Data Valid]]=TRUE,((Table1[[#This Row],[Birthweight (grams)]]*0.9/Table1[[#This Row],[BW_GA]])-1)/(Backend!$B$4/100*Table1[[#This Row],[BW40_3705]]),"")</f>
        <v/>
      </c>
      <c r="I4428" s="7" t="str">
        <f>IF(Table1[[#This Row],[Is Data Valid]]=TRUE,((Table1[[#This Row],[Birthweight (grams)]]*1.1/Table1[[#This Row],[BW_GA]])-1)/(Backend!$B$4/100*Table1[[#This Row],[BW40_3705]]),"")</f>
        <v/>
      </c>
      <c r="J4428" s="7" t="str">
        <f>IF(Table1[[#This Row],[Is Data Valid]]=TRUE,_xlfn.NORM.S.DIST(Table1[[#This Row],[Birthweight Z-Score]],TRUE)*100,"")</f>
        <v/>
      </c>
      <c r="K4428" s="7" t="str">
        <f>IF(Table1[[#This Row],[Is Data Valid]]=TRUE,_xlfn.NORM.S.DIST(Table1[[#This Row],[Birthweight Z-Score (BW-10%)]],TRUE)*100,"")</f>
        <v/>
      </c>
      <c r="L4428" s="7" t="str">
        <f>IF(Table1[[#This Row],[Is Data Valid]]=TRUE,_xlfn.NORM.S.DIST(Table1[[#This Row],[Birthweight Z-Score (BW+10%)]],TRUE)*100,"")</f>
        <v/>
      </c>
    </row>
    <row r="4429" spans="1:12" x14ac:dyDescent="0.35">
      <c r="A4429" s="3"/>
      <c r="B4429" s="2"/>
      <c r="C4429" s="2"/>
      <c r="D4429" s="2" t="b">
        <f>IF(AND(NOT(ISBLANK(Table1[[#This Row],[Fetal Sex (Male, Female or Unknown)]])),ISNUMBER(Table1[[#This Row],[Birthweight (grams)]]),ISNUMBER(Table1[[#This Row],[Gestation (days)]])),TRUE,FALSE)</f>
        <v>0</v>
      </c>
      <c r="E4429" s="2" t="str">
        <f>IF(Table1[[#This Row],[Is Data Valid]]=TRUE,IF(Table1[[#This Row],[Fetal Sex (Male, Female or Unknown)]]="Male",Backend!$C$6,IF(Table1[[#This Row],[Fetal Sex (Male, Female or Unknown)]]="Female",Backend!$C$7,IF(Table1[[#This Row],[Fetal Sex (Male, Female or Unknown)]]="Unknown",Backend!$C$8,"Error"))),"")</f>
        <v/>
      </c>
      <c r="F4429" s="8" t="str">
        <f>IF(Table1[[#This Row],[Is Data Valid]]=TRUE,EXP(0.578+0.332*((Table1[[#This Row],[Gestation (days)]]+0.5)/7)-0.00354*((Table1[[#This Row],[Gestation (days)]]+0.5)/7)^2)*Table1[[#This Row],[BW40_3705]],"")</f>
        <v/>
      </c>
      <c r="G4429" s="2" t="str">
        <f>IF(Table1[[#This Row],[Is Data Valid]]=TRUE,((Table1[[#This Row],[Birthweight (grams)]]/Table1[[#This Row],[BW_GA]])-1)/(Backend!$B$4/100*Table1[[#This Row],[BW40_3705]]),"")</f>
        <v/>
      </c>
      <c r="H4429" s="7" t="str">
        <f>IF(Table1[[#This Row],[Is Data Valid]]=TRUE,((Table1[[#This Row],[Birthweight (grams)]]*0.9/Table1[[#This Row],[BW_GA]])-1)/(Backend!$B$4/100*Table1[[#This Row],[BW40_3705]]),"")</f>
        <v/>
      </c>
      <c r="I4429" s="7" t="str">
        <f>IF(Table1[[#This Row],[Is Data Valid]]=TRUE,((Table1[[#This Row],[Birthweight (grams)]]*1.1/Table1[[#This Row],[BW_GA]])-1)/(Backend!$B$4/100*Table1[[#This Row],[BW40_3705]]),"")</f>
        <v/>
      </c>
      <c r="J4429" s="7" t="str">
        <f>IF(Table1[[#This Row],[Is Data Valid]]=TRUE,_xlfn.NORM.S.DIST(Table1[[#This Row],[Birthweight Z-Score]],TRUE)*100,"")</f>
        <v/>
      </c>
      <c r="K4429" s="7" t="str">
        <f>IF(Table1[[#This Row],[Is Data Valid]]=TRUE,_xlfn.NORM.S.DIST(Table1[[#This Row],[Birthweight Z-Score (BW-10%)]],TRUE)*100,"")</f>
        <v/>
      </c>
      <c r="L4429" s="7" t="str">
        <f>IF(Table1[[#This Row],[Is Data Valid]]=TRUE,_xlfn.NORM.S.DIST(Table1[[#This Row],[Birthweight Z-Score (BW+10%)]],TRUE)*100,"")</f>
        <v/>
      </c>
    </row>
    <row r="4430" spans="1:12" x14ac:dyDescent="0.35">
      <c r="A4430" s="3"/>
      <c r="B4430" s="2"/>
      <c r="C4430" s="2"/>
      <c r="D4430" s="2" t="b">
        <f>IF(AND(NOT(ISBLANK(Table1[[#This Row],[Fetal Sex (Male, Female or Unknown)]])),ISNUMBER(Table1[[#This Row],[Birthweight (grams)]]),ISNUMBER(Table1[[#This Row],[Gestation (days)]])),TRUE,FALSE)</f>
        <v>0</v>
      </c>
      <c r="E4430" s="2" t="str">
        <f>IF(Table1[[#This Row],[Is Data Valid]]=TRUE,IF(Table1[[#This Row],[Fetal Sex (Male, Female or Unknown)]]="Male",Backend!$C$6,IF(Table1[[#This Row],[Fetal Sex (Male, Female or Unknown)]]="Female",Backend!$C$7,IF(Table1[[#This Row],[Fetal Sex (Male, Female or Unknown)]]="Unknown",Backend!$C$8,"Error"))),"")</f>
        <v/>
      </c>
      <c r="F4430" s="8" t="str">
        <f>IF(Table1[[#This Row],[Is Data Valid]]=TRUE,EXP(0.578+0.332*((Table1[[#This Row],[Gestation (days)]]+0.5)/7)-0.00354*((Table1[[#This Row],[Gestation (days)]]+0.5)/7)^2)*Table1[[#This Row],[BW40_3705]],"")</f>
        <v/>
      </c>
      <c r="G4430" s="2" t="str">
        <f>IF(Table1[[#This Row],[Is Data Valid]]=TRUE,((Table1[[#This Row],[Birthweight (grams)]]/Table1[[#This Row],[BW_GA]])-1)/(Backend!$B$4/100*Table1[[#This Row],[BW40_3705]]),"")</f>
        <v/>
      </c>
      <c r="H4430" s="7" t="str">
        <f>IF(Table1[[#This Row],[Is Data Valid]]=TRUE,((Table1[[#This Row],[Birthweight (grams)]]*0.9/Table1[[#This Row],[BW_GA]])-1)/(Backend!$B$4/100*Table1[[#This Row],[BW40_3705]]),"")</f>
        <v/>
      </c>
      <c r="I4430" s="7" t="str">
        <f>IF(Table1[[#This Row],[Is Data Valid]]=TRUE,((Table1[[#This Row],[Birthweight (grams)]]*1.1/Table1[[#This Row],[BW_GA]])-1)/(Backend!$B$4/100*Table1[[#This Row],[BW40_3705]]),"")</f>
        <v/>
      </c>
      <c r="J4430" s="7" t="str">
        <f>IF(Table1[[#This Row],[Is Data Valid]]=TRUE,_xlfn.NORM.S.DIST(Table1[[#This Row],[Birthweight Z-Score]],TRUE)*100,"")</f>
        <v/>
      </c>
      <c r="K4430" s="7" t="str">
        <f>IF(Table1[[#This Row],[Is Data Valid]]=TRUE,_xlfn.NORM.S.DIST(Table1[[#This Row],[Birthweight Z-Score (BW-10%)]],TRUE)*100,"")</f>
        <v/>
      </c>
      <c r="L4430" s="7" t="str">
        <f>IF(Table1[[#This Row],[Is Data Valid]]=TRUE,_xlfn.NORM.S.DIST(Table1[[#This Row],[Birthweight Z-Score (BW+10%)]],TRUE)*100,"")</f>
        <v/>
      </c>
    </row>
    <row r="4431" spans="1:12" x14ac:dyDescent="0.35">
      <c r="A4431" s="3"/>
      <c r="B4431" s="2"/>
      <c r="C4431" s="2"/>
      <c r="D4431" s="2" t="b">
        <f>IF(AND(NOT(ISBLANK(Table1[[#This Row],[Fetal Sex (Male, Female or Unknown)]])),ISNUMBER(Table1[[#This Row],[Birthweight (grams)]]),ISNUMBER(Table1[[#This Row],[Gestation (days)]])),TRUE,FALSE)</f>
        <v>0</v>
      </c>
      <c r="E4431" s="2" t="str">
        <f>IF(Table1[[#This Row],[Is Data Valid]]=TRUE,IF(Table1[[#This Row],[Fetal Sex (Male, Female or Unknown)]]="Male",Backend!$C$6,IF(Table1[[#This Row],[Fetal Sex (Male, Female or Unknown)]]="Female",Backend!$C$7,IF(Table1[[#This Row],[Fetal Sex (Male, Female or Unknown)]]="Unknown",Backend!$C$8,"Error"))),"")</f>
        <v/>
      </c>
      <c r="F4431" s="8" t="str">
        <f>IF(Table1[[#This Row],[Is Data Valid]]=TRUE,EXP(0.578+0.332*((Table1[[#This Row],[Gestation (days)]]+0.5)/7)-0.00354*((Table1[[#This Row],[Gestation (days)]]+0.5)/7)^2)*Table1[[#This Row],[BW40_3705]],"")</f>
        <v/>
      </c>
      <c r="G4431" s="2" t="str">
        <f>IF(Table1[[#This Row],[Is Data Valid]]=TRUE,((Table1[[#This Row],[Birthweight (grams)]]/Table1[[#This Row],[BW_GA]])-1)/(Backend!$B$4/100*Table1[[#This Row],[BW40_3705]]),"")</f>
        <v/>
      </c>
      <c r="H4431" s="7" t="str">
        <f>IF(Table1[[#This Row],[Is Data Valid]]=TRUE,((Table1[[#This Row],[Birthweight (grams)]]*0.9/Table1[[#This Row],[BW_GA]])-1)/(Backend!$B$4/100*Table1[[#This Row],[BW40_3705]]),"")</f>
        <v/>
      </c>
      <c r="I4431" s="7" t="str">
        <f>IF(Table1[[#This Row],[Is Data Valid]]=TRUE,((Table1[[#This Row],[Birthweight (grams)]]*1.1/Table1[[#This Row],[BW_GA]])-1)/(Backend!$B$4/100*Table1[[#This Row],[BW40_3705]]),"")</f>
        <v/>
      </c>
      <c r="J4431" s="7" t="str">
        <f>IF(Table1[[#This Row],[Is Data Valid]]=TRUE,_xlfn.NORM.S.DIST(Table1[[#This Row],[Birthweight Z-Score]],TRUE)*100,"")</f>
        <v/>
      </c>
      <c r="K4431" s="7" t="str">
        <f>IF(Table1[[#This Row],[Is Data Valid]]=TRUE,_xlfn.NORM.S.DIST(Table1[[#This Row],[Birthweight Z-Score (BW-10%)]],TRUE)*100,"")</f>
        <v/>
      </c>
      <c r="L4431" s="7" t="str">
        <f>IF(Table1[[#This Row],[Is Data Valid]]=TRUE,_xlfn.NORM.S.DIST(Table1[[#This Row],[Birthweight Z-Score (BW+10%)]],TRUE)*100,"")</f>
        <v/>
      </c>
    </row>
    <row r="4432" spans="1:12" x14ac:dyDescent="0.35">
      <c r="A4432" s="3"/>
      <c r="B4432" s="2"/>
      <c r="C4432" s="2"/>
      <c r="D4432" s="2" t="b">
        <f>IF(AND(NOT(ISBLANK(Table1[[#This Row],[Fetal Sex (Male, Female or Unknown)]])),ISNUMBER(Table1[[#This Row],[Birthweight (grams)]]),ISNUMBER(Table1[[#This Row],[Gestation (days)]])),TRUE,FALSE)</f>
        <v>0</v>
      </c>
      <c r="E4432" s="2" t="str">
        <f>IF(Table1[[#This Row],[Is Data Valid]]=TRUE,IF(Table1[[#This Row],[Fetal Sex (Male, Female or Unknown)]]="Male",Backend!$C$6,IF(Table1[[#This Row],[Fetal Sex (Male, Female or Unknown)]]="Female",Backend!$C$7,IF(Table1[[#This Row],[Fetal Sex (Male, Female or Unknown)]]="Unknown",Backend!$C$8,"Error"))),"")</f>
        <v/>
      </c>
      <c r="F4432" s="8" t="str">
        <f>IF(Table1[[#This Row],[Is Data Valid]]=TRUE,EXP(0.578+0.332*((Table1[[#This Row],[Gestation (days)]]+0.5)/7)-0.00354*((Table1[[#This Row],[Gestation (days)]]+0.5)/7)^2)*Table1[[#This Row],[BW40_3705]],"")</f>
        <v/>
      </c>
      <c r="G4432" s="2" t="str">
        <f>IF(Table1[[#This Row],[Is Data Valid]]=TRUE,((Table1[[#This Row],[Birthweight (grams)]]/Table1[[#This Row],[BW_GA]])-1)/(Backend!$B$4/100*Table1[[#This Row],[BW40_3705]]),"")</f>
        <v/>
      </c>
      <c r="H4432" s="7" t="str">
        <f>IF(Table1[[#This Row],[Is Data Valid]]=TRUE,((Table1[[#This Row],[Birthweight (grams)]]*0.9/Table1[[#This Row],[BW_GA]])-1)/(Backend!$B$4/100*Table1[[#This Row],[BW40_3705]]),"")</f>
        <v/>
      </c>
      <c r="I4432" s="7" t="str">
        <f>IF(Table1[[#This Row],[Is Data Valid]]=TRUE,((Table1[[#This Row],[Birthweight (grams)]]*1.1/Table1[[#This Row],[BW_GA]])-1)/(Backend!$B$4/100*Table1[[#This Row],[BW40_3705]]),"")</f>
        <v/>
      </c>
      <c r="J4432" s="7" t="str">
        <f>IF(Table1[[#This Row],[Is Data Valid]]=TRUE,_xlfn.NORM.S.DIST(Table1[[#This Row],[Birthweight Z-Score]],TRUE)*100,"")</f>
        <v/>
      </c>
      <c r="K4432" s="7" t="str">
        <f>IF(Table1[[#This Row],[Is Data Valid]]=TRUE,_xlfn.NORM.S.DIST(Table1[[#This Row],[Birthweight Z-Score (BW-10%)]],TRUE)*100,"")</f>
        <v/>
      </c>
      <c r="L4432" s="7" t="str">
        <f>IF(Table1[[#This Row],[Is Data Valid]]=TRUE,_xlfn.NORM.S.DIST(Table1[[#This Row],[Birthweight Z-Score (BW+10%)]],TRUE)*100,"")</f>
        <v/>
      </c>
    </row>
    <row r="4433" spans="1:12" x14ac:dyDescent="0.35">
      <c r="A4433" s="3"/>
      <c r="B4433" s="2"/>
      <c r="C4433" s="2"/>
      <c r="D4433" s="2" t="b">
        <f>IF(AND(NOT(ISBLANK(Table1[[#This Row],[Fetal Sex (Male, Female or Unknown)]])),ISNUMBER(Table1[[#This Row],[Birthweight (grams)]]),ISNUMBER(Table1[[#This Row],[Gestation (days)]])),TRUE,FALSE)</f>
        <v>0</v>
      </c>
      <c r="E4433" s="2" t="str">
        <f>IF(Table1[[#This Row],[Is Data Valid]]=TRUE,IF(Table1[[#This Row],[Fetal Sex (Male, Female or Unknown)]]="Male",Backend!$C$6,IF(Table1[[#This Row],[Fetal Sex (Male, Female or Unknown)]]="Female",Backend!$C$7,IF(Table1[[#This Row],[Fetal Sex (Male, Female or Unknown)]]="Unknown",Backend!$C$8,"Error"))),"")</f>
        <v/>
      </c>
      <c r="F4433" s="8" t="str">
        <f>IF(Table1[[#This Row],[Is Data Valid]]=TRUE,EXP(0.578+0.332*((Table1[[#This Row],[Gestation (days)]]+0.5)/7)-0.00354*((Table1[[#This Row],[Gestation (days)]]+0.5)/7)^2)*Table1[[#This Row],[BW40_3705]],"")</f>
        <v/>
      </c>
      <c r="G4433" s="2" t="str">
        <f>IF(Table1[[#This Row],[Is Data Valid]]=TRUE,((Table1[[#This Row],[Birthweight (grams)]]/Table1[[#This Row],[BW_GA]])-1)/(Backend!$B$4/100*Table1[[#This Row],[BW40_3705]]),"")</f>
        <v/>
      </c>
      <c r="H4433" s="7" t="str">
        <f>IF(Table1[[#This Row],[Is Data Valid]]=TRUE,((Table1[[#This Row],[Birthweight (grams)]]*0.9/Table1[[#This Row],[BW_GA]])-1)/(Backend!$B$4/100*Table1[[#This Row],[BW40_3705]]),"")</f>
        <v/>
      </c>
      <c r="I4433" s="7" t="str">
        <f>IF(Table1[[#This Row],[Is Data Valid]]=TRUE,((Table1[[#This Row],[Birthweight (grams)]]*1.1/Table1[[#This Row],[BW_GA]])-1)/(Backend!$B$4/100*Table1[[#This Row],[BW40_3705]]),"")</f>
        <v/>
      </c>
      <c r="J4433" s="7" t="str">
        <f>IF(Table1[[#This Row],[Is Data Valid]]=TRUE,_xlfn.NORM.S.DIST(Table1[[#This Row],[Birthweight Z-Score]],TRUE)*100,"")</f>
        <v/>
      </c>
      <c r="K4433" s="7" t="str">
        <f>IF(Table1[[#This Row],[Is Data Valid]]=TRUE,_xlfn.NORM.S.DIST(Table1[[#This Row],[Birthweight Z-Score (BW-10%)]],TRUE)*100,"")</f>
        <v/>
      </c>
      <c r="L4433" s="7" t="str">
        <f>IF(Table1[[#This Row],[Is Data Valid]]=TRUE,_xlfn.NORM.S.DIST(Table1[[#This Row],[Birthweight Z-Score (BW+10%)]],TRUE)*100,"")</f>
        <v/>
      </c>
    </row>
    <row r="4434" spans="1:12" x14ac:dyDescent="0.35">
      <c r="A4434" s="3"/>
      <c r="B4434" s="2"/>
      <c r="C4434" s="2"/>
      <c r="D4434" s="2" t="b">
        <f>IF(AND(NOT(ISBLANK(Table1[[#This Row],[Fetal Sex (Male, Female or Unknown)]])),ISNUMBER(Table1[[#This Row],[Birthweight (grams)]]),ISNUMBER(Table1[[#This Row],[Gestation (days)]])),TRUE,FALSE)</f>
        <v>0</v>
      </c>
      <c r="E4434" s="2" t="str">
        <f>IF(Table1[[#This Row],[Is Data Valid]]=TRUE,IF(Table1[[#This Row],[Fetal Sex (Male, Female or Unknown)]]="Male",Backend!$C$6,IF(Table1[[#This Row],[Fetal Sex (Male, Female or Unknown)]]="Female",Backend!$C$7,IF(Table1[[#This Row],[Fetal Sex (Male, Female or Unknown)]]="Unknown",Backend!$C$8,"Error"))),"")</f>
        <v/>
      </c>
      <c r="F4434" s="8" t="str">
        <f>IF(Table1[[#This Row],[Is Data Valid]]=TRUE,EXP(0.578+0.332*((Table1[[#This Row],[Gestation (days)]]+0.5)/7)-0.00354*((Table1[[#This Row],[Gestation (days)]]+0.5)/7)^2)*Table1[[#This Row],[BW40_3705]],"")</f>
        <v/>
      </c>
      <c r="G4434" s="2" t="str">
        <f>IF(Table1[[#This Row],[Is Data Valid]]=TRUE,((Table1[[#This Row],[Birthweight (grams)]]/Table1[[#This Row],[BW_GA]])-1)/(Backend!$B$4/100*Table1[[#This Row],[BW40_3705]]),"")</f>
        <v/>
      </c>
      <c r="H4434" s="7" t="str">
        <f>IF(Table1[[#This Row],[Is Data Valid]]=TRUE,((Table1[[#This Row],[Birthweight (grams)]]*0.9/Table1[[#This Row],[BW_GA]])-1)/(Backend!$B$4/100*Table1[[#This Row],[BW40_3705]]),"")</f>
        <v/>
      </c>
      <c r="I4434" s="7" t="str">
        <f>IF(Table1[[#This Row],[Is Data Valid]]=TRUE,((Table1[[#This Row],[Birthweight (grams)]]*1.1/Table1[[#This Row],[BW_GA]])-1)/(Backend!$B$4/100*Table1[[#This Row],[BW40_3705]]),"")</f>
        <v/>
      </c>
      <c r="J4434" s="7" t="str">
        <f>IF(Table1[[#This Row],[Is Data Valid]]=TRUE,_xlfn.NORM.S.DIST(Table1[[#This Row],[Birthweight Z-Score]],TRUE)*100,"")</f>
        <v/>
      </c>
      <c r="K4434" s="7" t="str">
        <f>IF(Table1[[#This Row],[Is Data Valid]]=TRUE,_xlfn.NORM.S.DIST(Table1[[#This Row],[Birthweight Z-Score (BW-10%)]],TRUE)*100,"")</f>
        <v/>
      </c>
      <c r="L4434" s="7" t="str">
        <f>IF(Table1[[#This Row],[Is Data Valid]]=TRUE,_xlfn.NORM.S.DIST(Table1[[#This Row],[Birthweight Z-Score (BW+10%)]],TRUE)*100,"")</f>
        <v/>
      </c>
    </row>
    <row r="4435" spans="1:12" x14ac:dyDescent="0.35">
      <c r="A4435" s="3"/>
      <c r="B4435" s="2"/>
      <c r="C4435" s="2"/>
      <c r="D4435" s="2" t="b">
        <f>IF(AND(NOT(ISBLANK(Table1[[#This Row],[Fetal Sex (Male, Female or Unknown)]])),ISNUMBER(Table1[[#This Row],[Birthweight (grams)]]),ISNUMBER(Table1[[#This Row],[Gestation (days)]])),TRUE,FALSE)</f>
        <v>0</v>
      </c>
      <c r="E4435" s="2" t="str">
        <f>IF(Table1[[#This Row],[Is Data Valid]]=TRUE,IF(Table1[[#This Row],[Fetal Sex (Male, Female or Unknown)]]="Male",Backend!$C$6,IF(Table1[[#This Row],[Fetal Sex (Male, Female or Unknown)]]="Female",Backend!$C$7,IF(Table1[[#This Row],[Fetal Sex (Male, Female or Unknown)]]="Unknown",Backend!$C$8,"Error"))),"")</f>
        <v/>
      </c>
      <c r="F4435" s="8" t="str">
        <f>IF(Table1[[#This Row],[Is Data Valid]]=TRUE,EXP(0.578+0.332*((Table1[[#This Row],[Gestation (days)]]+0.5)/7)-0.00354*((Table1[[#This Row],[Gestation (days)]]+0.5)/7)^2)*Table1[[#This Row],[BW40_3705]],"")</f>
        <v/>
      </c>
      <c r="G4435" s="2" t="str">
        <f>IF(Table1[[#This Row],[Is Data Valid]]=TRUE,((Table1[[#This Row],[Birthweight (grams)]]/Table1[[#This Row],[BW_GA]])-1)/(Backend!$B$4/100*Table1[[#This Row],[BW40_3705]]),"")</f>
        <v/>
      </c>
      <c r="H4435" s="7" t="str">
        <f>IF(Table1[[#This Row],[Is Data Valid]]=TRUE,((Table1[[#This Row],[Birthweight (grams)]]*0.9/Table1[[#This Row],[BW_GA]])-1)/(Backend!$B$4/100*Table1[[#This Row],[BW40_3705]]),"")</f>
        <v/>
      </c>
      <c r="I4435" s="7" t="str">
        <f>IF(Table1[[#This Row],[Is Data Valid]]=TRUE,((Table1[[#This Row],[Birthweight (grams)]]*1.1/Table1[[#This Row],[BW_GA]])-1)/(Backend!$B$4/100*Table1[[#This Row],[BW40_3705]]),"")</f>
        <v/>
      </c>
      <c r="J4435" s="7" t="str">
        <f>IF(Table1[[#This Row],[Is Data Valid]]=TRUE,_xlfn.NORM.S.DIST(Table1[[#This Row],[Birthweight Z-Score]],TRUE)*100,"")</f>
        <v/>
      </c>
      <c r="K4435" s="7" t="str">
        <f>IF(Table1[[#This Row],[Is Data Valid]]=TRUE,_xlfn.NORM.S.DIST(Table1[[#This Row],[Birthweight Z-Score (BW-10%)]],TRUE)*100,"")</f>
        <v/>
      </c>
      <c r="L4435" s="7" t="str">
        <f>IF(Table1[[#This Row],[Is Data Valid]]=TRUE,_xlfn.NORM.S.DIST(Table1[[#This Row],[Birthweight Z-Score (BW+10%)]],TRUE)*100,"")</f>
        <v/>
      </c>
    </row>
    <row r="4436" spans="1:12" x14ac:dyDescent="0.35">
      <c r="A4436" s="3"/>
      <c r="B4436" s="2"/>
      <c r="C4436" s="2"/>
      <c r="D4436" s="2" t="b">
        <f>IF(AND(NOT(ISBLANK(Table1[[#This Row],[Fetal Sex (Male, Female or Unknown)]])),ISNUMBER(Table1[[#This Row],[Birthweight (grams)]]),ISNUMBER(Table1[[#This Row],[Gestation (days)]])),TRUE,FALSE)</f>
        <v>0</v>
      </c>
      <c r="E4436" s="2" t="str">
        <f>IF(Table1[[#This Row],[Is Data Valid]]=TRUE,IF(Table1[[#This Row],[Fetal Sex (Male, Female or Unknown)]]="Male",Backend!$C$6,IF(Table1[[#This Row],[Fetal Sex (Male, Female or Unknown)]]="Female",Backend!$C$7,IF(Table1[[#This Row],[Fetal Sex (Male, Female or Unknown)]]="Unknown",Backend!$C$8,"Error"))),"")</f>
        <v/>
      </c>
      <c r="F4436" s="8" t="str">
        <f>IF(Table1[[#This Row],[Is Data Valid]]=TRUE,EXP(0.578+0.332*((Table1[[#This Row],[Gestation (days)]]+0.5)/7)-0.00354*((Table1[[#This Row],[Gestation (days)]]+0.5)/7)^2)*Table1[[#This Row],[BW40_3705]],"")</f>
        <v/>
      </c>
      <c r="G4436" s="2" t="str">
        <f>IF(Table1[[#This Row],[Is Data Valid]]=TRUE,((Table1[[#This Row],[Birthweight (grams)]]/Table1[[#This Row],[BW_GA]])-1)/(Backend!$B$4/100*Table1[[#This Row],[BW40_3705]]),"")</f>
        <v/>
      </c>
      <c r="H4436" s="7" t="str">
        <f>IF(Table1[[#This Row],[Is Data Valid]]=TRUE,((Table1[[#This Row],[Birthweight (grams)]]*0.9/Table1[[#This Row],[BW_GA]])-1)/(Backend!$B$4/100*Table1[[#This Row],[BW40_3705]]),"")</f>
        <v/>
      </c>
      <c r="I4436" s="7" t="str">
        <f>IF(Table1[[#This Row],[Is Data Valid]]=TRUE,((Table1[[#This Row],[Birthweight (grams)]]*1.1/Table1[[#This Row],[BW_GA]])-1)/(Backend!$B$4/100*Table1[[#This Row],[BW40_3705]]),"")</f>
        <v/>
      </c>
      <c r="J4436" s="7" t="str">
        <f>IF(Table1[[#This Row],[Is Data Valid]]=TRUE,_xlfn.NORM.S.DIST(Table1[[#This Row],[Birthweight Z-Score]],TRUE)*100,"")</f>
        <v/>
      </c>
      <c r="K4436" s="7" t="str">
        <f>IF(Table1[[#This Row],[Is Data Valid]]=TRUE,_xlfn.NORM.S.DIST(Table1[[#This Row],[Birthweight Z-Score (BW-10%)]],TRUE)*100,"")</f>
        <v/>
      </c>
      <c r="L4436" s="7" t="str">
        <f>IF(Table1[[#This Row],[Is Data Valid]]=TRUE,_xlfn.NORM.S.DIST(Table1[[#This Row],[Birthweight Z-Score (BW+10%)]],TRUE)*100,"")</f>
        <v/>
      </c>
    </row>
    <row r="4437" spans="1:12" x14ac:dyDescent="0.35">
      <c r="A4437" s="3"/>
      <c r="B4437" s="2"/>
      <c r="C4437" s="2"/>
      <c r="D4437" s="2" t="b">
        <f>IF(AND(NOT(ISBLANK(Table1[[#This Row],[Fetal Sex (Male, Female or Unknown)]])),ISNUMBER(Table1[[#This Row],[Birthweight (grams)]]),ISNUMBER(Table1[[#This Row],[Gestation (days)]])),TRUE,FALSE)</f>
        <v>0</v>
      </c>
      <c r="E4437" s="2" t="str">
        <f>IF(Table1[[#This Row],[Is Data Valid]]=TRUE,IF(Table1[[#This Row],[Fetal Sex (Male, Female or Unknown)]]="Male",Backend!$C$6,IF(Table1[[#This Row],[Fetal Sex (Male, Female or Unknown)]]="Female",Backend!$C$7,IF(Table1[[#This Row],[Fetal Sex (Male, Female or Unknown)]]="Unknown",Backend!$C$8,"Error"))),"")</f>
        <v/>
      </c>
      <c r="F4437" s="8" t="str">
        <f>IF(Table1[[#This Row],[Is Data Valid]]=TRUE,EXP(0.578+0.332*((Table1[[#This Row],[Gestation (days)]]+0.5)/7)-0.00354*((Table1[[#This Row],[Gestation (days)]]+0.5)/7)^2)*Table1[[#This Row],[BW40_3705]],"")</f>
        <v/>
      </c>
      <c r="G4437" s="2" t="str">
        <f>IF(Table1[[#This Row],[Is Data Valid]]=TRUE,((Table1[[#This Row],[Birthweight (grams)]]/Table1[[#This Row],[BW_GA]])-1)/(Backend!$B$4/100*Table1[[#This Row],[BW40_3705]]),"")</f>
        <v/>
      </c>
      <c r="H4437" s="7" t="str">
        <f>IF(Table1[[#This Row],[Is Data Valid]]=TRUE,((Table1[[#This Row],[Birthweight (grams)]]*0.9/Table1[[#This Row],[BW_GA]])-1)/(Backend!$B$4/100*Table1[[#This Row],[BW40_3705]]),"")</f>
        <v/>
      </c>
      <c r="I4437" s="7" t="str">
        <f>IF(Table1[[#This Row],[Is Data Valid]]=TRUE,((Table1[[#This Row],[Birthweight (grams)]]*1.1/Table1[[#This Row],[BW_GA]])-1)/(Backend!$B$4/100*Table1[[#This Row],[BW40_3705]]),"")</f>
        <v/>
      </c>
      <c r="J4437" s="7" t="str">
        <f>IF(Table1[[#This Row],[Is Data Valid]]=TRUE,_xlfn.NORM.S.DIST(Table1[[#This Row],[Birthweight Z-Score]],TRUE)*100,"")</f>
        <v/>
      </c>
      <c r="K4437" s="7" t="str">
        <f>IF(Table1[[#This Row],[Is Data Valid]]=TRUE,_xlfn.NORM.S.DIST(Table1[[#This Row],[Birthweight Z-Score (BW-10%)]],TRUE)*100,"")</f>
        <v/>
      </c>
      <c r="L4437" s="7" t="str">
        <f>IF(Table1[[#This Row],[Is Data Valid]]=TRUE,_xlfn.NORM.S.DIST(Table1[[#This Row],[Birthweight Z-Score (BW+10%)]],TRUE)*100,"")</f>
        <v/>
      </c>
    </row>
    <row r="4438" spans="1:12" x14ac:dyDescent="0.35">
      <c r="A4438" s="3"/>
      <c r="B4438" s="2"/>
      <c r="C4438" s="2"/>
      <c r="D4438" s="2" t="b">
        <f>IF(AND(NOT(ISBLANK(Table1[[#This Row],[Fetal Sex (Male, Female or Unknown)]])),ISNUMBER(Table1[[#This Row],[Birthweight (grams)]]),ISNUMBER(Table1[[#This Row],[Gestation (days)]])),TRUE,FALSE)</f>
        <v>0</v>
      </c>
      <c r="E4438" s="2" t="str">
        <f>IF(Table1[[#This Row],[Is Data Valid]]=TRUE,IF(Table1[[#This Row],[Fetal Sex (Male, Female or Unknown)]]="Male",Backend!$C$6,IF(Table1[[#This Row],[Fetal Sex (Male, Female or Unknown)]]="Female",Backend!$C$7,IF(Table1[[#This Row],[Fetal Sex (Male, Female or Unknown)]]="Unknown",Backend!$C$8,"Error"))),"")</f>
        <v/>
      </c>
      <c r="F4438" s="8" t="str">
        <f>IF(Table1[[#This Row],[Is Data Valid]]=TRUE,EXP(0.578+0.332*((Table1[[#This Row],[Gestation (days)]]+0.5)/7)-0.00354*((Table1[[#This Row],[Gestation (days)]]+0.5)/7)^2)*Table1[[#This Row],[BW40_3705]],"")</f>
        <v/>
      </c>
      <c r="G4438" s="2" t="str">
        <f>IF(Table1[[#This Row],[Is Data Valid]]=TRUE,((Table1[[#This Row],[Birthweight (grams)]]/Table1[[#This Row],[BW_GA]])-1)/(Backend!$B$4/100*Table1[[#This Row],[BW40_3705]]),"")</f>
        <v/>
      </c>
      <c r="H4438" s="7" t="str">
        <f>IF(Table1[[#This Row],[Is Data Valid]]=TRUE,((Table1[[#This Row],[Birthweight (grams)]]*0.9/Table1[[#This Row],[BW_GA]])-1)/(Backend!$B$4/100*Table1[[#This Row],[BW40_3705]]),"")</f>
        <v/>
      </c>
      <c r="I4438" s="7" t="str">
        <f>IF(Table1[[#This Row],[Is Data Valid]]=TRUE,((Table1[[#This Row],[Birthweight (grams)]]*1.1/Table1[[#This Row],[BW_GA]])-1)/(Backend!$B$4/100*Table1[[#This Row],[BW40_3705]]),"")</f>
        <v/>
      </c>
      <c r="J4438" s="7" t="str">
        <f>IF(Table1[[#This Row],[Is Data Valid]]=TRUE,_xlfn.NORM.S.DIST(Table1[[#This Row],[Birthweight Z-Score]],TRUE)*100,"")</f>
        <v/>
      </c>
      <c r="K4438" s="7" t="str">
        <f>IF(Table1[[#This Row],[Is Data Valid]]=TRUE,_xlfn.NORM.S.DIST(Table1[[#This Row],[Birthweight Z-Score (BW-10%)]],TRUE)*100,"")</f>
        <v/>
      </c>
      <c r="L4438" s="7" t="str">
        <f>IF(Table1[[#This Row],[Is Data Valid]]=TRUE,_xlfn.NORM.S.DIST(Table1[[#This Row],[Birthweight Z-Score (BW+10%)]],TRUE)*100,"")</f>
        <v/>
      </c>
    </row>
    <row r="4439" spans="1:12" x14ac:dyDescent="0.35">
      <c r="A4439" s="3"/>
      <c r="B4439" s="2"/>
      <c r="C4439" s="2"/>
      <c r="D4439" s="2" t="b">
        <f>IF(AND(NOT(ISBLANK(Table1[[#This Row],[Fetal Sex (Male, Female or Unknown)]])),ISNUMBER(Table1[[#This Row],[Birthweight (grams)]]),ISNUMBER(Table1[[#This Row],[Gestation (days)]])),TRUE,FALSE)</f>
        <v>0</v>
      </c>
      <c r="E4439" s="2" t="str">
        <f>IF(Table1[[#This Row],[Is Data Valid]]=TRUE,IF(Table1[[#This Row],[Fetal Sex (Male, Female or Unknown)]]="Male",Backend!$C$6,IF(Table1[[#This Row],[Fetal Sex (Male, Female or Unknown)]]="Female",Backend!$C$7,IF(Table1[[#This Row],[Fetal Sex (Male, Female or Unknown)]]="Unknown",Backend!$C$8,"Error"))),"")</f>
        <v/>
      </c>
      <c r="F4439" s="8" t="str">
        <f>IF(Table1[[#This Row],[Is Data Valid]]=TRUE,EXP(0.578+0.332*((Table1[[#This Row],[Gestation (days)]]+0.5)/7)-0.00354*((Table1[[#This Row],[Gestation (days)]]+0.5)/7)^2)*Table1[[#This Row],[BW40_3705]],"")</f>
        <v/>
      </c>
      <c r="G4439" s="2" t="str">
        <f>IF(Table1[[#This Row],[Is Data Valid]]=TRUE,((Table1[[#This Row],[Birthweight (grams)]]/Table1[[#This Row],[BW_GA]])-1)/(Backend!$B$4/100*Table1[[#This Row],[BW40_3705]]),"")</f>
        <v/>
      </c>
      <c r="H4439" s="7" t="str">
        <f>IF(Table1[[#This Row],[Is Data Valid]]=TRUE,((Table1[[#This Row],[Birthweight (grams)]]*0.9/Table1[[#This Row],[BW_GA]])-1)/(Backend!$B$4/100*Table1[[#This Row],[BW40_3705]]),"")</f>
        <v/>
      </c>
      <c r="I4439" s="7" t="str">
        <f>IF(Table1[[#This Row],[Is Data Valid]]=TRUE,((Table1[[#This Row],[Birthweight (grams)]]*1.1/Table1[[#This Row],[BW_GA]])-1)/(Backend!$B$4/100*Table1[[#This Row],[BW40_3705]]),"")</f>
        <v/>
      </c>
      <c r="J4439" s="7" t="str">
        <f>IF(Table1[[#This Row],[Is Data Valid]]=TRUE,_xlfn.NORM.S.DIST(Table1[[#This Row],[Birthweight Z-Score]],TRUE)*100,"")</f>
        <v/>
      </c>
      <c r="K4439" s="7" t="str">
        <f>IF(Table1[[#This Row],[Is Data Valid]]=TRUE,_xlfn.NORM.S.DIST(Table1[[#This Row],[Birthweight Z-Score (BW-10%)]],TRUE)*100,"")</f>
        <v/>
      </c>
      <c r="L4439" s="7" t="str">
        <f>IF(Table1[[#This Row],[Is Data Valid]]=TRUE,_xlfn.NORM.S.DIST(Table1[[#This Row],[Birthweight Z-Score (BW+10%)]],TRUE)*100,"")</f>
        <v/>
      </c>
    </row>
    <row r="4440" spans="1:12" x14ac:dyDescent="0.35">
      <c r="A4440" s="3"/>
      <c r="B4440" s="2"/>
      <c r="C4440" s="2"/>
      <c r="D4440" s="2" t="b">
        <f>IF(AND(NOT(ISBLANK(Table1[[#This Row],[Fetal Sex (Male, Female or Unknown)]])),ISNUMBER(Table1[[#This Row],[Birthweight (grams)]]),ISNUMBER(Table1[[#This Row],[Gestation (days)]])),TRUE,FALSE)</f>
        <v>0</v>
      </c>
      <c r="E4440" s="2" t="str">
        <f>IF(Table1[[#This Row],[Is Data Valid]]=TRUE,IF(Table1[[#This Row],[Fetal Sex (Male, Female or Unknown)]]="Male",Backend!$C$6,IF(Table1[[#This Row],[Fetal Sex (Male, Female or Unknown)]]="Female",Backend!$C$7,IF(Table1[[#This Row],[Fetal Sex (Male, Female or Unknown)]]="Unknown",Backend!$C$8,"Error"))),"")</f>
        <v/>
      </c>
      <c r="F4440" s="8" t="str">
        <f>IF(Table1[[#This Row],[Is Data Valid]]=TRUE,EXP(0.578+0.332*((Table1[[#This Row],[Gestation (days)]]+0.5)/7)-0.00354*((Table1[[#This Row],[Gestation (days)]]+0.5)/7)^2)*Table1[[#This Row],[BW40_3705]],"")</f>
        <v/>
      </c>
      <c r="G4440" s="2" t="str">
        <f>IF(Table1[[#This Row],[Is Data Valid]]=TRUE,((Table1[[#This Row],[Birthweight (grams)]]/Table1[[#This Row],[BW_GA]])-1)/(Backend!$B$4/100*Table1[[#This Row],[BW40_3705]]),"")</f>
        <v/>
      </c>
      <c r="H4440" s="7" t="str">
        <f>IF(Table1[[#This Row],[Is Data Valid]]=TRUE,((Table1[[#This Row],[Birthweight (grams)]]*0.9/Table1[[#This Row],[BW_GA]])-1)/(Backend!$B$4/100*Table1[[#This Row],[BW40_3705]]),"")</f>
        <v/>
      </c>
      <c r="I4440" s="7" t="str">
        <f>IF(Table1[[#This Row],[Is Data Valid]]=TRUE,((Table1[[#This Row],[Birthweight (grams)]]*1.1/Table1[[#This Row],[BW_GA]])-1)/(Backend!$B$4/100*Table1[[#This Row],[BW40_3705]]),"")</f>
        <v/>
      </c>
      <c r="J4440" s="7" t="str">
        <f>IF(Table1[[#This Row],[Is Data Valid]]=TRUE,_xlfn.NORM.S.DIST(Table1[[#This Row],[Birthweight Z-Score]],TRUE)*100,"")</f>
        <v/>
      </c>
      <c r="K4440" s="7" t="str">
        <f>IF(Table1[[#This Row],[Is Data Valid]]=TRUE,_xlfn.NORM.S.DIST(Table1[[#This Row],[Birthweight Z-Score (BW-10%)]],TRUE)*100,"")</f>
        <v/>
      </c>
      <c r="L4440" s="7" t="str">
        <f>IF(Table1[[#This Row],[Is Data Valid]]=TRUE,_xlfn.NORM.S.DIST(Table1[[#This Row],[Birthweight Z-Score (BW+10%)]],TRUE)*100,"")</f>
        <v/>
      </c>
    </row>
    <row r="4441" spans="1:12" x14ac:dyDescent="0.35">
      <c r="A4441" s="3"/>
      <c r="B4441" s="2"/>
      <c r="C4441" s="2"/>
      <c r="D4441" s="2" t="b">
        <f>IF(AND(NOT(ISBLANK(Table1[[#This Row],[Fetal Sex (Male, Female or Unknown)]])),ISNUMBER(Table1[[#This Row],[Birthweight (grams)]]),ISNUMBER(Table1[[#This Row],[Gestation (days)]])),TRUE,FALSE)</f>
        <v>0</v>
      </c>
      <c r="E4441" s="2" t="str">
        <f>IF(Table1[[#This Row],[Is Data Valid]]=TRUE,IF(Table1[[#This Row],[Fetal Sex (Male, Female or Unknown)]]="Male",Backend!$C$6,IF(Table1[[#This Row],[Fetal Sex (Male, Female or Unknown)]]="Female",Backend!$C$7,IF(Table1[[#This Row],[Fetal Sex (Male, Female or Unknown)]]="Unknown",Backend!$C$8,"Error"))),"")</f>
        <v/>
      </c>
      <c r="F4441" s="8" t="str">
        <f>IF(Table1[[#This Row],[Is Data Valid]]=TRUE,EXP(0.578+0.332*((Table1[[#This Row],[Gestation (days)]]+0.5)/7)-0.00354*((Table1[[#This Row],[Gestation (days)]]+0.5)/7)^2)*Table1[[#This Row],[BW40_3705]],"")</f>
        <v/>
      </c>
      <c r="G4441" s="2" t="str">
        <f>IF(Table1[[#This Row],[Is Data Valid]]=TRUE,((Table1[[#This Row],[Birthweight (grams)]]/Table1[[#This Row],[BW_GA]])-1)/(Backend!$B$4/100*Table1[[#This Row],[BW40_3705]]),"")</f>
        <v/>
      </c>
      <c r="H4441" s="7" t="str">
        <f>IF(Table1[[#This Row],[Is Data Valid]]=TRUE,((Table1[[#This Row],[Birthweight (grams)]]*0.9/Table1[[#This Row],[BW_GA]])-1)/(Backend!$B$4/100*Table1[[#This Row],[BW40_3705]]),"")</f>
        <v/>
      </c>
      <c r="I4441" s="7" t="str">
        <f>IF(Table1[[#This Row],[Is Data Valid]]=TRUE,((Table1[[#This Row],[Birthweight (grams)]]*1.1/Table1[[#This Row],[BW_GA]])-1)/(Backend!$B$4/100*Table1[[#This Row],[BW40_3705]]),"")</f>
        <v/>
      </c>
      <c r="J4441" s="7" t="str">
        <f>IF(Table1[[#This Row],[Is Data Valid]]=TRUE,_xlfn.NORM.S.DIST(Table1[[#This Row],[Birthweight Z-Score]],TRUE)*100,"")</f>
        <v/>
      </c>
      <c r="K4441" s="7" t="str">
        <f>IF(Table1[[#This Row],[Is Data Valid]]=TRUE,_xlfn.NORM.S.DIST(Table1[[#This Row],[Birthweight Z-Score (BW-10%)]],TRUE)*100,"")</f>
        <v/>
      </c>
      <c r="L4441" s="7" t="str">
        <f>IF(Table1[[#This Row],[Is Data Valid]]=TRUE,_xlfn.NORM.S.DIST(Table1[[#This Row],[Birthweight Z-Score (BW+10%)]],TRUE)*100,"")</f>
        <v/>
      </c>
    </row>
    <row r="4442" spans="1:12" x14ac:dyDescent="0.35">
      <c r="A4442" s="3"/>
      <c r="B4442" s="2"/>
      <c r="C4442" s="2"/>
      <c r="D4442" s="2" t="b">
        <f>IF(AND(NOT(ISBLANK(Table1[[#This Row],[Fetal Sex (Male, Female or Unknown)]])),ISNUMBER(Table1[[#This Row],[Birthweight (grams)]]),ISNUMBER(Table1[[#This Row],[Gestation (days)]])),TRUE,FALSE)</f>
        <v>0</v>
      </c>
      <c r="E4442" s="2" t="str">
        <f>IF(Table1[[#This Row],[Is Data Valid]]=TRUE,IF(Table1[[#This Row],[Fetal Sex (Male, Female or Unknown)]]="Male",Backend!$C$6,IF(Table1[[#This Row],[Fetal Sex (Male, Female or Unknown)]]="Female",Backend!$C$7,IF(Table1[[#This Row],[Fetal Sex (Male, Female or Unknown)]]="Unknown",Backend!$C$8,"Error"))),"")</f>
        <v/>
      </c>
      <c r="F4442" s="8" t="str">
        <f>IF(Table1[[#This Row],[Is Data Valid]]=TRUE,EXP(0.578+0.332*((Table1[[#This Row],[Gestation (days)]]+0.5)/7)-0.00354*((Table1[[#This Row],[Gestation (days)]]+0.5)/7)^2)*Table1[[#This Row],[BW40_3705]],"")</f>
        <v/>
      </c>
      <c r="G4442" s="2" t="str">
        <f>IF(Table1[[#This Row],[Is Data Valid]]=TRUE,((Table1[[#This Row],[Birthweight (grams)]]/Table1[[#This Row],[BW_GA]])-1)/(Backend!$B$4/100*Table1[[#This Row],[BW40_3705]]),"")</f>
        <v/>
      </c>
      <c r="H4442" s="7" t="str">
        <f>IF(Table1[[#This Row],[Is Data Valid]]=TRUE,((Table1[[#This Row],[Birthweight (grams)]]*0.9/Table1[[#This Row],[BW_GA]])-1)/(Backend!$B$4/100*Table1[[#This Row],[BW40_3705]]),"")</f>
        <v/>
      </c>
      <c r="I4442" s="7" t="str">
        <f>IF(Table1[[#This Row],[Is Data Valid]]=TRUE,((Table1[[#This Row],[Birthweight (grams)]]*1.1/Table1[[#This Row],[BW_GA]])-1)/(Backend!$B$4/100*Table1[[#This Row],[BW40_3705]]),"")</f>
        <v/>
      </c>
      <c r="J4442" s="7" t="str">
        <f>IF(Table1[[#This Row],[Is Data Valid]]=TRUE,_xlfn.NORM.S.DIST(Table1[[#This Row],[Birthweight Z-Score]],TRUE)*100,"")</f>
        <v/>
      </c>
      <c r="K4442" s="7" t="str">
        <f>IF(Table1[[#This Row],[Is Data Valid]]=TRUE,_xlfn.NORM.S.DIST(Table1[[#This Row],[Birthweight Z-Score (BW-10%)]],TRUE)*100,"")</f>
        <v/>
      </c>
      <c r="L4442" s="7" t="str">
        <f>IF(Table1[[#This Row],[Is Data Valid]]=TRUE,_xlfn.NORM.S.DIST(Table1[[#This Row],[Birthweight Z-Score (BW+10%)]],TRUE)*100,"")</f>
        <v/>
      </c>
    </row>
    <row r="4443" spans="1:12" x14ac:dyDescent="0.35">
      <c r="A4443" s="3"/>
      <c r="B4443" s="2"/>
      <c r="C4443" s="2"/>
      <c r="D4443" s="2" t="b">
        <f>IF(AND(NOT(ISBLANK(Table1[[#This Row],[Fetal Sex (Male, Female or Unknown)]])),ISNUMBER(Table1[[#This Row],[Birthweight (grams)]]),ISNUMBER(Table1[[#This Row],[Gestation (days)]])),TRUE,FALSE)</f>
        <v>0</v>
      </c>
      <c r="E4443" s="2" t="str">
        <f>IF(Table1[[#This Row],[Is Data Valid]]=TRUE,IF(Table1[[#This Row],[Fetal Sex (Male, Female or Unknown)]]="Male",Backend!$C$6,IF(Table1[[#This Row],[Fetal Sex (Male, Female or Unknown)]]="Female",Backend!$C$7,IF(Table1[[#This Row],[Fetal Sex (Male, Female or Unknown)]]="Unknown",Backend!$C$8,"Error"))),"")</f>
        <v/>
      </c>
      <c r="F4443" s="8" t="str">
        <f>IF(Table1[[#This Row],[Is Data Valid]]=TRUE,EXP(0.578+0.332*((Table1[[#This Row],[Gestation (days)]]+0.5)/7)-0.00354*((Table1[[#This Row],[Gestation (days)]]+0.5)/7)^2)*Table1[[#This Row],[BW40_3705]],"")</f>
        <v/>
      </c>
      <c r="G4443" s="2" t="str">
        <f>IF(Table1[[#This Row],[Is Data Valid]]=TRUE,((Table1[[#This Row],[Birthweight (grams)]]/Table1[[#This Row],[BW_GA]])-1)/(Backend!$B$4/100*Table1[[#This Row],[BW40_3705]]),"")</f>
        <v/>
      </c>
      <c r="H4443" s="7" t="str">
        <f>IF(Table1[[#This Row],[Is Data Valid]]=TRUE,((Table1[[#This Row],[Birthweight (grams)]]*0.9/Table1[[#This Row],[BW_GA]])-1)/(Backend!$B$4/100*Table1[[#This Row],[BW40_3705]]),"")</f>
        <v/>
      </c>
      <c r="I4443" s="7" t="str">
        <f>IF(Table1[[#This Row],[Is Data Valid]]=TRUE,((Table1[[#This Row],[Birthweight (grams)]]*1.1/Table1[[#This Row],[BW_GA]])-1)/(Backend!$B$4/100*Table1[[#This Row],[BW40_3705]]),"")</f>
        <v/>
      </c>
      <c r="J4443" s="7" t="str">
        <f>IF(Table1[[#This Row],[Is Data Valid]]=TRUE,_xlfn.NORM.S.DIST(Table1[[#This Row],[Birthweight Z-Score]],TRUE)*100,"")</f>
        <v/>
      </c>
      <c r="K4443" s="7" t="str">
        <f>IF(Table1[[#This Row],[Is Data Valid]]=TRUE,_xlfn.NORM.S.DIST(Table1[[#This Row],[Birthweight Z-Score (BW-10%)]],TRUE)*100,"")</f>
        <v/>
      </c>
      <c r="L4443" s="7" t="str">
        <f>IF(Table1[[#This Row],[Is Data Valid]]=TRUE,_xlfn.NORM.S.DIST(Table1[[#This Row],[Birthweight Z-Score (BW+10%)]],TRUE)*100,"")</f>
        <v/>
      </c>
    </row>
    <row r="4444" spans="1:12" x14ac:dyDescent="0.35">
      <c r="A4444" s="3"/>
      <c r="B4444" s="2"/>
      <c r="C4444" s="2"/>
      <c r="D4444" s="2" t="b">
        <f>IF(AND(NOT(ISBLANK(Table1[[#This Row],[Fetal Sex (Male, Female or Unknown)]])),ISNUMBER(Table1[[#This Row],[Birthweight (grams)]]),ISNUMBER(Table1[[#This Row],[Gestation (days)]])),TRUE,FALSE)</f>
        <v>0</v>
      </c>
      <c r="E4444" s="2" t="str">
        <f>IF(Table1[[#This Row],[Is Data Valid]]=TRUE,IF(Table1[[#This Row],[Fetal Sex (Male, Female or Unknown)]]="Male",Backend!$C$6,IF(Table1[[#This Row],[Fetal Sex (Male, Female or Unknown)]]="Female",Backend!$C$7,IF(Table1[[#This Row],[Fetal Sex (Male, Female or Unknown)]]="Unknown",Backend!$C$8,"Error"))),"")</f>
        <v/>
      </c>
      <c r="F4444" s="8" t="str">
        <f>IF(Table1[[#This Row],[Is Data Valid]]=TRUE,EXP(0.578+0.332*((Table1[[#This Row],[Gestation (days)]]+0.5)/7)-0.00354*((Table1[[#This Row],[Gestation (days)]]+0.5)/7)^2)*Table1[[#This Row],[BW40_3705]],"")</f>
        <v/>
      </c>
      <c r="G4444" s="2" t="str">
        <f>IF(Table1[[#This Row],[Is Data Valid]]=TRUE,((Table1[[#This Row],[Birthweight (grams)]]/Table1[[#This Row],[BW_GA]])-1)/(Backend!$B$4/100*Table1[[#This Row],[BW40_3705]]),"")</f>
        <v/>
      </c>
      <c r="H4444" s="7" t="str">
        <f>IF(Table1[[#This Row],[Is Data Valid]]=TRUE,((Table1[[#This Row],[Birthweight (grams)]]*0.9/Table1[[#This Row],[BW_GA]])-1)/(Backend!$B$4/100*Table1[[#This Row],[BW40_3705]]),"")</f>
        <v/>
      </c>
      <c r="I4444" s="7" t="str">
        <f>IF(Table1[[#This Row],[Is Data Valid]]=TRUE,((Table1[[#This Row],[Birthweight (grams)]]*1.1/Table1[[#This Row],[BW_GA]])-1)/(Backend!$B$4/100*Table1[[#This Row],[BW40_3705]]),"")</f>
        <v/>
      </c>
      <c r="J4444" s="7" t="str">
        <f>IF(Table1[[#This Row],[Is Data Valid]]=TRUE,_xlfn.NORM.S.DIST(Table1[[#This Row],[Birthweight Z-Score]],TRUE)*100,"")</f>
        <v/>
      </c>
      <c r="K4444" s="7" t="str">
        <f>IF(Table1[[#This Row],[Is Data Valid]]=TRUE,_xlfn.NORM.S.DIST(Table1[[#This Row],[Birthweight Z-Score (BW-10%)]],TRUE)*100,"")</f>
        <v/>
      </c>
      <c r="L4444" s="7" t="str">
        <f>IF(Table1[[#This Row],[Is Data Valid]]=TRUE,_xlfn.NORM.S.DIST(Table1[[#This Row],[Birthweight Z-Score (BW+10%)]],TRUE)*100,"")</f>
        <v/>
      </c>
    </row>
    <row r="4445" spans="1:12" x14ac:dyDescent="0.35">
      <c r="A4445" s="3"/>
      <c r="B4445" s="2"/>
      <c r="C4445" s="2"/>
      <c r="D4445" s="2" t="b">
        <f>IF(AND(NOT(ISBLANK(Table1[[#This Row],[Fetal Sex (Male, Female or Unknown)]])),ISNUMBER(Table1[[#This Row],[Birthweight (grams)]]),ISNUMBER(Table1[[#This Row],[Gestation (days)]])),TRUE,FALSE)</f>
        <v>0</v>
      </c>
      <c r="E4445" s="2" t="str">
        <f>IF(Table1[[#This Row],[Is Data Valid]]=TRUE,IF(Table1[[#This Row],[Fetal Sex (Male, Female or Unknown)]]="Male",Backend!$C$6,IF(Table1[[#This Row],[Fetal Sex (Male, Female or Unknown)]]="Female",Backend!$C$7,IF(Table1[[#This Row],[Fetal Sex (Male, Female or Unknown)]]="Unknown",Backend!$C$8,"Error"))),"")</f>
        <v/>
      </c>
      <c r="F4445" s="8" t="str">
        <f>IF(Table1[[#This Row],[Is Data Valid]]=TRUE,EXP(0.578+0.332*((Table1[[#This Row],[Gestation (days)]]+0.5)/7)-0.00354*((Table1[[#This Row],[Gestation (days)]]+0.5)/7)^2)*Table1[[#This Row],[BW40_3705]],"")</f>
        <v/>
      </c>
      <c r="G4445" s="2" t="str">
        <f>IF(Table1[[#This Row],[Is Data Valid]]=TRUE,((Table1[[#This Row],[Birthweight (grams)]]/Table1[[#This Row],[BW_GA]])-1)/(Backend!$B$4/100*Table1[[#This Row],[BW40_3705]]),"")</f>
        <v/>
      </c>
      <c r="H4445" s="7" t="str">
        <f>IF(Table1[[#This Row],[Is Data Valid]]=TRUE,((Table1[[#This Row],[Birthweight (grams)]]*0.9/Table1[[#This Row],[BW_GA]])-1)/(Backend!$B$4/100*Table1[[#This Row],[BW40_3705]]),"")</f>
        <v/>
      </c>
      <c r="I4445" s="7" t="str">
        <f>IF(Table1[[#This Row],[Is Data Valid]]=TRUE,((Table1[[#This Row],[Birthweight (grams)]]*1.1/Table1[[#This Row],[BW_GA]])-1)/(Backend!$B$4/100*Table1[[#This Row],[BW40_3705]]),"")</f>
        <v/>
      </c>
      <c r="J4445" s="7" t="str">
        <f>IF(Table1[[#This Row],[Is Data Valid]]=TRUE,_xlfn.NORM.S.DIST(Table1[[#This Row],[Birthweight Z-Score]],TRUE)*100,"")</f>
        <v/>
      </c>
      <c r="K4445" s="7" t="str">
        <f>IF(Table1[[#This Row],[Is Data Valid]]=TRUE,_xlfn.NORM.S.DIST(Table1[[#This Row],[Birthweight Z-Score (BW-10%)]],TRUE)*100,"")</f>
        <v/>
      </c>
      <c r="L4445" s="7" t="str">
        <f>IF(Table1[[#This Row],[Is Data Valid]]=TRUE,_xlfn.NORM.S.DIST(Table1[[#This Row],[Birthweight Z-Score (BW+10%)]],TRUE)*100,"")</f>
        <v/>
      </c>
    </row>
    <row r="4446" spans="1:12" x14ac:dyDescent="0.35">
      <c r="A4446" s="3"/>
      <c r="B4446" s="2"/>
      <c r="C4446" s="2"/>
      <c r="D4446" s="2" t="b">
        <f>IF(AND(NOT(ISBLANK(Table1[[#This Row],[Fetal Sex (Male, Female or Unknown)]])),ISNUMBER(Table1[[#This Row],[Birthweight (grams)]]),ISNUMBER(Table1[[#This Row],[Gestation (days)]])),TRUE,FALSE)</f>
        <v>0</v>
      </c>
      <c r="E4446" s="2" t="str">
        <f>IF(Table1[[#This Row],[Is Data Valid]]=TRUE,IF(Table1[[#This Row],[Fetal Sex (Male, Female or Unknown)]]="Male",Backend!$C$6,IF(Table1[[#This Row],[Fetal Sex (Male, Female or Unknown)]]="Female",Backend!$C$7,IF(Table1[[#This Row],[Fetal Sex (Male, Female or Unknown)]]="Unknown",Backend!$C$8,"Error"))),"")</f>
        <v/>
      </c>
      <c r="F4446" s="8" t="str">
        <f>IF(Table1[[#This Row],[Is Data Valid]]=TRUE,EXP(0.578+0.332*((Table1[[#This Row],[Gestation (days)]]+0.5)/7)-0.00354*((Table1[[#This Row],[Gestation (days)]]+0.5)/7)^2)*Table1[[#This Row],[BW40_3705]],"")</f>
        <v/>
      </c>
      <c r="G4446" s="2" t="str">
        <f>IF(Table1[[#This Row],[Is Data Valid]]=TRUE,((Table1[[#This Row],[Birthweight (grams)]]/Table1[[#This Row],[BW_GA]])-1)/(Backend!$B$4/100*Table1[[#This Row],[BW40_3705]]),"")</f>
        <v/>
      </c>
      <c r="H4446" s="7" t="str">
        <f>IF(Table1[[#This Row],[Is Data Valid]]=TRUE,((Table1[[#This Row],[Birthweight (grams)]]*0.9/Table1[[#This Row],[BW_GA]])-1)/(Backend!$B$4/100*Table1[[#This Row],[BW40_3705]]),"")</f>
        <v/>
      </c>
      <c r="I4446" s="7" t="str">
        <f>IF(Table1[[#This Row],[Is Data Valid]]=TRUE,((Table1[[#This Row],[Birthweight (grams)]]*1.1/Table1[[#This Row],[BW_GA]])-1)/(Backend!$B$4/100*Table1[[#This Row],[BW40_3705]]),"")</f>
        <v/>
      </c>
      <c r="J4446" s="7" t="str">
        <f>IF(Table1[[#This Row],[Is Data Valid]]=TRUE,_xlfn.NORM.S.DIST(Table1[[#This Row],[Birthweight Z-Score]],TRUE)*100,"")</f>
        <v/>
      </c>
      <c r="K4446" s="7" t="str">
        <f>IF(Table1[[#This Row],[Is Data Valid]]=TRUE,_xlfn.NORM.S.DIST(Table1[[#This Row],[Birthweight Z-Score (BW-10%)]],TRUE)*100,"")</f>
        <v/>
      </c>
      <c r="L4446" s="7" t="str">
        <f>IF(Table1[[#This Row],[Is Data Valid]]=TRUE,_xlfn.NORM.S.DIST(Table1[[#This Row],[Birthweight Z-Score (BW+10%)]],TRUE)*100,"")</f>
        <v/>
      </c>
    </row>
    <row r="4447" spans="1:12" x14ac:dyDescent="0.35">
      <c r="A4447" s="3"/>
      <c r="B4447" s="2"/>
      <c r="C4447" s="2"/>
      <c r="D4447" s="2" t="b">
        <f>IF(AND(NOT(ISBLANK(Table1[[#This Row],[Fetal Sex (Male, Female or Unknown)]])),ISNUMBER(Table1[[#This Row],[Birthweight (grams)]]),ISNUMBER(Table1[[#This Row],[Gestation (days)]])),TRUE,FALSE)</f>
        <v>0</v>
      </c>
      <c r="E4447" s="2" t="str">
        <f>IF(Table1[[#This Row],[Is Data Valid]]=TRUE,IF(Table1[[#This Row],[Fetal Sex (Male, Female or Unknown)]]="Male",Backend!$C$6,IF(Table1[[#This Row],[Fetal Sex (Male, Female or Unknown)]]="Female",Backend!$C$7,IF(Table1[[#This Row],[Fetal Sex (Male, Female or Unknown)]]="Unknown",Backend!$C$8,"Error"))),"")</f>
        <v/>
      </c>
      <c r="F4447" s="8" t="str">
        <f>IF(Table1[[#This Row],[Is Data Valid]]=TRUE,EXP(0.578+0.332*((Table1[[#This Row],[Gestation (days)]]+0.5)/7)-0.00354*((Table1[[#This Row],[Gestation (days)]]+0.5)/7)^2)*Table1[[#This Row],[BW40_3705]],"")</f>
        <v/>
      </c>
      <c r="G4447" s="2" t="str">
        <f>IF(Table1[[#This Row],[Is Data Valid]]=TRUE,((Table1[[#This Row],[Birthweight (grams)]]/Table1[[#This Row],[BW_GA]])-1)/(Backend!$B$4/100*Table1[[#This Row],[BW40_3705]]),"")</f>
        <v/>
      </c>
      <c r="H4447" s="7" t="str">
        <f>IF(Table1[[#This Row],[Is Data Valid]]=TRUE,((Table1[[#This Row],[Birthweight (grams)]]*0.9/Table1[[#This Row],[BW_GA]])-1)/(Backend!$B$4/100*Table1[[#This Row],[BW40_3705]]),"")</f>
        <v/>
      </c>
      <c r="I4447" s="7" t="str">
        <f>IF(Table1[[#This Row],[Is Data Valid]]=TRUE,((Table1[[#This Row],[Birthweight (grams)]]*1.1/Table1[[#This Row],[BW_GA]])-1)/(Backend!$B$4/100*Table1[[#This Row],[BW40_3705]]),"")</f>
        <v/>
      </c>
      <c r="J4447" s="7" t="str">
        <f>IF(Table1[[#This Row],[Is Data Valid]]=TRUE,_xlfn.NORM.S.DIST(Table1[[#This Row],[Birthweight Z-Score]],TRUE)*100,"")</f>
        <v/>
      </c>
      <c r="K4447" s="7" t="str">
        <f>IF(Table1[[#This Row],[Is Data Valid]]=TRUE,_xlfn.NORM.S.DIST(Table1[[#This Row],[Birthweight Z-Score (BW-10%)]],TRUE)*100,"")</f>
        <v/>
      </c>
      <c r="L4447" s="7" t="str">
        <f>IF(Table1[[#This Row],[Is Data Valid]]=TRUE,_xlfn.NORM.S.DIST(Table1[[#This Row],[Birthweight Z-Score (BW+10%)]],TRUE)*100,"")</f>
        <v/>
      </c>
    </row>
    <row r="4448" spans="1:12" x14ac:dyDescent="0.35">
      <c r="A4448" s="3"/>
      <c r="B4448" s="2"/>
      <c r="C4448" s="2"/>
      <c r="D4448" s="2" t="b">
        <f>IF(AND(NOT(ISBLANK(Table1[[#This Row],[Fetal Sex (Male, Female or Unknown)]])),ISNUMBER(Table1[[#This Row],[Birthweight (grams)]]),ISNUMBER(Table1[[#This Row],[Gestation (days)]])),TRUE,FALSE)</f>
        <v>0</v>
      </c>
      <c r="E4448" s="2" t="str">
        <f>IF(Table1[[#This Row],[Is Data Valid]]=TRUE,IF(Table1[[#This Row],[Fetal Sex (Male, Female or Unknown)]]="Male",Backend!$C$6,IF(Table1[[#This Row],[Fetal Sex (Male, Female or Unknown)]]="Female",Backend!$C$7,IF(Table1[[#This Row],[Fetal Sex (Male, Female or Unknown)]]="Unknown",Backend!$C$8,"Error"))),"")</f>
        <v/>
      </c>
      <c r="F4448" s="8" t="str">
        <f>IF(Table1[[#This Row],[Is Data Valid]]=TRUE,EXP(0.578+0.332*((Table1[[#This Row],[Gestation (days)]]+0.5)/7)-0.00354*((Table1[[#This Row],[Gestation (days)]]+0.5)/7)^2)*Table1[[#This Row],[BW40_3705]],"")</f>
        <v/>
      </c>
      <c r="G4448" s="2" t="str">
        <f>IF(Table1[[#This Row],[Is Data Valid]]=TRUE,((Table1[[#This Row],[Birthweight (grams)]]/Table1[[#This Row],[BW_GA]])-1)/(Backend!$B$4/100*Table1[[#This Row],[BW40_3705]]),"")</f>
        <v/>
      </c>
      <c r="H4448" s="7" t="str">
        <f>IF(Table1[[#This Row],[Is Data Valid]]=TRUE,((Table1[[#This Row],[Birthweight (grams)]]*0.9/Table1[[#This Row],[BW_GA]])-1)/(Backend!$B$4/100*Table1[[#This Row],[BW40_3705]]),"")</f>
        <v/>
      </c>
      <c r="I4448" s="7" t="str">
        <f>IF(Table1[[#This Row],[Is Data Valid]]=TRUE,((Table1[[#This Row],[Birthweight (grams)]]*1.1/Table1[[#This Row],[BW_GA]])-1)/(Backend!$B$4/100*Table1[[#This Row],[BW40_3705]]),"")</f>
        <v/>
      </c>
      <c r="J4448" s="7" t="str">
        <f>IF(Table1[[#This Row],[Is Data Valid]]=TRUE,_xlfn.NORM.S.DIST(Table1[[#This Row],[Birthweight Z-Score]],TRUE)*100,"")</f>
        <v/>
      </c>
      <c r="K4448" s="7" t="str">
        <f>IF(Table1[[#This Row],[Is Data Valid]]=TRUE,_xlfn.NORM.S.DIST(Table1[[#This Row],[Birthweight Z-Score (BW-10%)]],TRUE)*100,"")</f>
        <v/>
      </c>
      <c r="L4448" s="7" t="str">
        <f>IF(Table1[[#This Row],[Is Data Valid]]=TRUE,_xlfn.NORM.S.DIST(Table1[[#This Row],[Birthweight Z-Score (BW+10%)]],TRUE)*100,"")</f>
        <v/>
      </c>
    </row>
    <row r="4449" spans="1:12" x14ac:dyDescent="0.35">
      <c r="A4449" s="3"/>
      <c r="B4449" s="2"/>
      <c r="C4449" s="2"/>
      <c r="D4449" s="2" t="b">
        <f>IF(AND(NOT(ISBLANK(Table1[[#This Row],[Fetal Sex (Male, Female or Unknown)]])),ISNUMBER(Table1[[#This Row],[Birthweight (grams)]]),ISNUMBER(Table1[[#This Row],[Gestation (days)]])),TRUE,FALSE)</f>
        <v>0</v>
      </c>
      <c r="E4449" s="2" t="str">
        <f>IF(Table1[[#This Row],[Is Data Valid]]=TRUE,IF(Table1[[#This Row],[Fetal Sex (Male, Female or Unknown)]]="Male",Backend!$C$6,IF(Table1[[#This Row],[Fetal Sex (Male, Female or Unknown)]]="Female",Backend!$C$7,IF(Table1[[#This Row],[Fetal Sex (Male, Female or Unknown)]]="Unknown",Backend!$C$8,"Error"))),"")</f>
        <v/>
      </c>
      <c r="F4449" s="8" t="str">
        <f>IF(Table1[[#This Row],[Is Data Valid]]=TRUE,EXP(0.578+0.332*((Table1[[#This Row],[Gestation (days)]]+0.5)/7)-0.00354*((Table1[[#This Row],[Gestation (days)]]+0.5)/7)^2)*Table1[[#This Row],[BW40_3705]],"")</f>
        <v/>
      </c>
      <c r="G4449" s="2" t="str">
        <f>IF(Table1[[#This Row],[Is Data Valid]]=TRUE,((Table1[[#This Row],[Birthweight (grams)]]/Table1[[#This Row],[BW_GA]])-1)/(Backend!$B$4/100*Table1[[#This Row],[BW40_3705]]),"")</f>
        <v/>
      </c>
      <c r="H4449" s="7" t="str">
        <f>IF(Table1[[#This Row],[Is Data Valid]]=TRUE,((Table1[[#This Row],[Birthweight (grams)]]*0.9/Table1[[#This Row],[BW_GA]])-1)/(Backend!$B$4/100*Table1[[#This Row],[BW40_3705]]),"")</f>
        <v/>
      </c>
      <c r="I4449" s="7" t="str">
        <f>IF(Table1[[#This Row],[Is Data Valid]]=TRUE,((Table1[[#This Row],[Birthweight (grams)]]*1.1/Table1[[#This Row],[BW_GA]])-1)/(Backend!$B$4/100*Table1[[#This Row],[BW40_3705]]),"")</f>
        <v/>
      </c>
      <c r="J4449" s="7" t="str">
        <f>IF(Table1[[#This Row],[Is Data Valid]]=TRUE,_xlfn.NORM.S.DIST(Table1[[#This Row],[Birthweight Z-Score]],TRUE)*100,"")</f>
        <v/>
      </c>
      <c r="K4449" s="7" t="str">
        <f>IF(Table1[[#This Row],[Is Data Valid]]=TRUE,_xlfn.NORM.S.DIST(Table1[[#This Row],[Birthweight Z-Score (BW-10%)]],TRUE)*100,"")</f>
        <v/>
      </c>
      <c r="L4449" s="7" t="str">
        <f>IF(Table1[[#This Row],[Is Data Valid]]=TRUE,_xlfn.NORM.S.DIST(Table1[[#This Row],[Birthweight Z-Score (BW+10%)]],TRUE)*100,"")</f>
        <v/>
      </c>
    </row>
    <row r="4450" spans="1:12" x14ac:dyDescent="0.35">
      <c r="A4450" s="3"/>
      <c r="B4450" s="2"/>
      <c r="C4450" s="2"/>
      <c r="D4450" s="2" t="b">
        <f>IF(AND(NOT(ISBLANK(Table1[[#This Row],[Fetal Sex (Male, Female or Unknown)]])),ISNUMBER(Table1[[#This Row],[Birthweight (grams)]]),ISNUMBER(Table1[[#This Row],[Gestation (days)]])),TRUE,FALSE)</f>
        <v>0</v>
      </c>
      <c r="E4450" s="2" t="str">
        <f>IF(Table1[[#This Row],[Is Data Valid]]=TRUE,IF(Table1[[#This Row],[Fetal Sex (Male, Female or Unknown)]]="Male",Backend!$C$6,IF(Table1[[#This Row],[Fetal Sex (Male, Female or Unknown)]]="Female",Backend!$C$7,IF(Table1[[#This Row],[Fetal Sex (Male, Female or Unknown)]]="Unknown",Backend!$C$8,"Error"))),"")</f>
        <v/>
      </c>
      <c r="F4450" s="8" t="str">
        <f>IF(Table1[[#This Row],[Is Data Valid]]=TRUE,EXP(0.578+0.332*((Table1[[#This Row],[Gestation (days)]]+0.5)/7)-0.00354*((Table1[[#This Row],[Gestation (days)]]+0.5)/7)^2)*Table1[[#This Row],[BW40_3705]],"")</f>
        <v/>
      </c>
      <c r="G4450" s="2" t="str">
        <f>IF(Table1[[#This Row],[Is Data Valid]]=TRUE,((Table1[[#This Row],[Birthweight (grams)]]/Table1[[#This Row],[BW_GA]])-1)/(Backend!$B$4/100*Table1[[#This Row],[BW40_3705]]),"")</f>
        <v/>
      </c>
      <c r="H4450" s="7" t="str">
        <f>IF(Table1[[#This Row],[Is Data Valid]]=TRUE,((Table1[[#This Row],[Birthweight (grams)]]*0.9/Table1[[#This Row],[BW_GA]])-1)/(Backend!$B$4/100*Table1[[#This Row],[BW40_3705]]),"")</f>
        <v/>
      </c>
      <c r="I4450" s="7" t="str">
        <f>IF(Table1[[#This Row],[Is Data Valid]]=TRUE,((Table1[[#This Row],[Birthweight (grams)]]*1.1/Table1[[#This Row],[BW_GA]])-1)/(Backend!$B$4/100*Table1[[#This Row],[BW40_3705]]),"")</f>
        <v/>
      </c>
      <c r="J4450" s="7" t="str">
        <f>IF(Table1[[#This Row],[Is Data Valid]]=TRUE,_xlfn.NORM.S.DIST(Table1[[#This Row],[Birthweight Z-Score]],TRUE)*100,"")</f>
        <v/>
      </c>
      <c r="K4450" s="7" t="str">
        <f>IF(Table1[[#This Row],[Is Data Valid]]=TRUE,_xlfn.NORM.S.DIST(Table1[[#This Row],[Birthweight Z-Score (BW-10%)]],TRUE)*100,"")</f>
        <v/>
      </c>
      <c r="L4450" s="7" t="str">
        <f>IF(Table1[[#This Row],[Is Data Valid]]=TRUE,_xlfn.NORM.S.DIST(Table1[[#This Row],[Birthweight Z-Score (BW+10%)]],TRUE)*100,"")</f>
        <v/>
      </c>
    </row>
    <row r="4451" spans="1:12" x14ac:dyDescent="0.35">
      <c r="A4451" s="3"/>
      <c r="B4451" s="2"/>
      <c r="C4451" s="2"/>
      <c r="D4451" s="2" t="b">
        <f>IF(AND(NOT(ISBLANK(Table1[[#This Row],[Fetal Sex (Male, Female or Unknown)]])),ISNUMBER(Table1[[#This Row],[Birthweight (grams)]]),ISNUMBER(Table1[[#This Row],[Gestation (days)]])),TRUE,FALSE)</f>
        <v>0</v>
      </c>
      <c r="E4451" s="2" t="str">
        <f>IF(Table1[[#This Row],[Is Data Valid]]=TRUE,IF(Table1[[#This Row],[Fetal Sex (Male, Female or Unknown)]]="Male",Backend!$C$6,IF(Table1[[#This Row],[Fetal Sex (Male, Female or Unknown)]]="Female",Backend!$C$7,IF(Table1[[#This Row],[Fetal Sex (Male, Female or Unknown)]]="Unknown",Backend!$C$8,"Error"))),"")</f>
        <v/>
      </c>
      <c r="F4451" s="8" t="str">
        <f>IF(Table1[[#This Row],[Is Data Valid]]=TRUE,EXP(0.578+0.332*((Table1[[#This Row],[Gestation (days)]]+0.5)/7)-0.00354*((Table1[[#This Row],[Gestation (days)]]+0.5)/7)^2)*Table1[[#This Row],[BW40_3705]],"")</f>
        <v/>
      </c>
      <c r="G4451" s="2" t="str">
        <f>IF(Table1[[#This Row],[Is Data Valid]]=TRUE,((Table1[[#This Row],[Birthweight (grams)]]/Table1[[#This Row],[BW_GA]])-1)/(Backend!$B$4/100*Table1[[#This Row],[BW40_3705]]),"")</f>
        <v/>
      </c>
      <c r="H4451" s="7" t="str">
        <f>IF(Table1[[#This Row],[Is Data Valid]]=TRUE,((Table1[[#This Row],[Birthweight (grams)]]*0.9/Table1[[#This Row],[BW_GA]])-1)/(Backend!$B$4/100*Table1[[#This Row],[BW40_3705]]),"")</f>
        <v/>
      </c>
      <c r="I4451" s="7" t="str">
        <f>IF(Table1[[#This Row],[Is Data Valid]]=TRUE,((Table1[[#This Row],[Birthweight (grams)]]*1.1/Table1[[#This Row],[BW_GA]])-1)/(Backend!$B$4/100*Table1[[#This Row],[BW40_3705]]),"")</f>
        <v/>
      </c>
      <c r="J4451" s="7" t="str">
        <f>IF(Table1[[#This Row],[Is Data Valid]]=TRUE,_xlfn.NORM.S.DIST(Table1[[#This Row],[Birthweight Z-Score]],TRUE)*100,"")</f>
        <v/>
      </c>
      <c r="K4451" s="7" t="str">
        <f>IF(Table1[[#This Row],[Is Data Valid]]=TRUE,_xlfn.NORM.S.DIST(Table1[[#This Row],[Birthweight Z-Score (BW-10%)]],TRUE)*100,"")</f>
        <v/>
      </c>
      <c r="L4451" s="7" t="str">
        <f>IF(Table1[[#This Row],[Is Data Valid]]=TRUE,_xlfn.NORM.S.DIST(Table1[[#This Row],[Birthweight Z-Score (BW+10%)]],TRUE)*100,"")</f>
        <v/>
      </c>
    </row>
    <row r="4452" spans="1:12" x14ac:dyDescent="0.35">
      <c r="A4452" s="3"/>
      <c r="B4452" s="2"/>
      <c r="C4452" s="2"/>
      <c r="D4452" s="2" t="b">
        <f>IF(AND(NOT(ISBLANK(Table1[[#This Row],[Fetal Sex (Male, Female or Unknown)]])),ISNUMBER(Table1[[#This Row],[Birthweight (grams)]]),ISNUMBER(Table1[[#This Row],[Gestation (days)]])),TRUE,FALSE)</f>
        <v>0</v>
      </c>
      <c r="E4452" s="2" t="str">
        <f>IF(Table1[[#This Row],[Is Data Valid]]=TRUE,IF(Table1[[#This Row],[Fetal Sex (Male, Female or Unknown)]]="Male",Backend!$C$6,IF(Table1[[#This Row],[Fetal Sex (Male, Female or Unknown)]]="Female",Backend!$C$7,IF(Table1[[#This Row],[Fetal Sex (Male, Female or Unknown)]]="Unknown",Backend!$C$8,"Error"))),"")</f>
        <v/>
      </c>
      <c r="F4452" s="8" t="str">
        <f>IF(Table1[[#This Row],[Is Data Valid]]=TRUE,EXP(0.578+0.332*((Table1[[#This Row],[Gestation (days)]]+0.5)/7)-0.00354*((Table1[[#This Row],[Gestation (days)]]+0.5)/7)^2)*Table1[[#This Row],[BW40_3705]],"")</f>
        <v/>
      </c>
      <c r="G4452" s="2" t="str">
        <f>IF(Table1[[#This Row],[Is Data Valid]]=TRUE,((Table1[[#This Row],[Birthweight (grams)]]/Table1[[#This Row],[BW_GA]])-1)/(Backend!$B$4/100*Table1[[#This Row],[BW40_3705]]),"")</f>
        <v/>
      </c>
      <c r="H4452" s="7" t="str">
        <f>IF(Table1[[#This Row],[Is Data Valid]]=TRUE,((Table1[[#This Row],[Birthweight (grams)]]*0.9/Table1[[#This Row],[BW_GA]])-1)/(Backend!$B$4/100*Table1[[#This Row],[BW40_3705]]),"")</f>
        <v/>
      </c>
      <c r="I4452" s="7" t="str">
        <f>IF(Table1[[#This Row],[Is Data Valid]]=TRUE,((Table1[[#This Row],[Birthweight (grams)]]*1.1/Table1[[#This Row],[BW_GA]])-1)/(Backend!$B$4/100*Table1[[#This Row],[BW40_3705]]),"")</f>
        <v/>
      </c>
      <c r="J4452" s="7" t="str">
        <f>IF(Table1[[#This Row],[Is Data Valid]]=TRUE,_xlfn.NORM.S.DIST(Table1[[#This Row],[Birthweight Z-Score]],TRUE)*100,"")</f>
        <v/>
      </c>
      <c r="K4452" s="7" t="str">
        <f>IF(Table1[[#This Row],[Is Data Valid]]=TRUE,_xlfn.NORM.S.DIST(Table1[[#This Row],[Birthweight Z-Score (BW-10%)]],TRUE)*100,"")</f>
        <v/>
      </c>
      <c r="L4452" s="7" t="str">
        <f>IF(Table1[[#This Row],[Is Data Valid]]=TRUE,_xlfn.NORM.S.DIST(Table1[[#This Row],[Birthweight Z-Score (BW+10%)]],TRUE)*100,"")</f>
        <v/>
      </c>
    </row>
    <row r="4453" spans="1:12" x14ac:dyDescent="0.35">
      <c r="A4453" s="3"/>
      <c r="B4453" s="2"/>
      <c r="C4453" s="2"/>
      <c r="D4453" s="2" t="b">
        <f>IF(AND(NOT(ISBLANK(Table1[[#This Row],[Fetal Sex (Male, Female or Unknown)]])),ISNUMBER(Table1[[#This Row],[Birthweight (grams)]]),ISNUMBER(Table1[[#This Row],[Gestation (days)]])),TRUE,FALSE)</f>
        <v>0</v>
      </c>
      <c r="E4453" s="2" t="str">
        <f>IF(Table1[[#This Row],[Is Data Valid]]=TRUE,IF(Table1[[#This Row],[Fetal Sex (Male, Female or Unknown)]]="Male",Backend!$C$6,IF(Table1[[#This Row],[Fetal Sex (Male, Female or Unknown)]]="Female",Backend!$C$7,IF(Table1[[#This Row],[Fetal Sex (Male, Female or Unknown)]]="Unknown",Backend!$C$8,"Error"))),"")</f>
        <v/>
      </c>
      <c r="F4453" s="8" t="str">
        <f>IF(Table1[[#This Row],[Is Data Valid]]=TRUE,EXP(0.578+0.332*((Table1[[#This Row],[Gestation (days)]]+0.5)/7)-0.00354*((Table1[[#This Row],[Gestation (days)]]+0.5)/7)^2)*Table1[[#This Row],[BW40_3705]],"")</f>
        <v/>
      </c>
      <c r="G4453" s="2" t="str">
        <f>IF(Table1[[#This Row],[Is Data Valid]]=TRUE,((Table1[[#This Row],[Birthweight (grams)]]/Table1[[#This Row],[BW_GA]])-1)/(Backend!$B$4/100*Table1[[#This Row],[BW40_3705]]),"")</f>
        <v/>
      </c>
      <c r="H4453" s="7" t="str">
        <f>IF(Table1[[#This Row],[Is Data Valid]]=TRUE,((Table1[[#This Row],[Birthweight (grams)]]*0.9/Table1[[#This Row],[BW_GA]])-1)/(Backend!$B$4/100*Table1[[#This Row],[BW40_3705]]),"")</f>
        <v/>
      </c>
      <c r="I4453" s="7" t="str">
        <f>IF(Table1[[#This Row],[Is Data Valid]]=TRUE,((Table1[[#This Row],[Birthweight (grams)]]*1.1/Table1[[#This Row],[BW_GA]])-1)/(Backend!$B$4/100*Table1[[#This Row],[BW40_3705]]),"")</f>
        <v/>
      </c>
      <c r="J4453" s="7" t="str">
        <f>IF(Table1[[#This Row],[Is Data Valid]]=TRUE,_xlfn.NORM.S.DIST(Table1[[#This Row],[Birthweight Z-Score]],TRUE)*100,"")</f>
        <v/>
      </c>
      <c r="K4453" s="7" t="str">
        <f>IF(Table1[[#This Row],[Is Data Valid]]=TRUE,_xlfn.NORM.S.DIST(Table1[[#This Row],[Birthweight Z-Score (BW-10%)]],TRUE)*100,"")</f>
        <v/>
      </c>
      <c r="L4453" s="7" t="str">
        <f>IF(Table1[[#This Row],[Is Data Valid]]=TRUE,_xlfn.NORM.S.DIST(Table1[[#This Row],[Birthweight Z-Score (BW+10%)]],TRUE)*100,"")</f>
        <v/>
      </c>
    </row>
    <row r="4454" spans="1:12" x14ac:dyDescent="0.35">
      <c r="A4454" s="3"/>
      <c r="B4454" s="2"/>
      <c r="C4454" s="2"/>
      <c r="D4454" s="2" t="b">
        <f>IF(AND(NOT(ISBLANK(Table1[[#This Row],[Fetal Sex (Male, Female or Unknown)]])),ISNUMBER(Table1[[#This Row],[Birthweight (grams)]]),ISNUMBER(Table1[[#This Row],[Gestation (days)]])),TRUE,FALSE)</f>
        <v>0</v>
      </c>
      <c r="E4454" s="2" t="str">
        <f>IF(Table1[[#This Row],[Is Data Valid]]=TRUE,IF(Table1[[#This Row],[Fetal Sex (Male, Female or Unknown)]]="Male",Backend!$C$6,IF(Table1[[#This Row],[Fetal Sex (Male, Female or Unknown)]]="Female",Backend!$C$7,IF(Table1[[#This Row],[Fetal Sex (Male, Female or Unknown)]]="Unknown",Backend!$C$8,"Error"))),"")</f>
        <v/>
      </c>
      <c r="F4454" s="8" t="str">
        <f>IF(Table1[[#This Row],[Is Data Valid]]=TRUE,EXP(0.578+0.332*((Table1[[#This Row],[Gestation (days)]]+0.5)/7)-0.00354*((Table1[[#This Row],[Gestation (days)]]+0.5)/7)^2)*Table1[[#This Row],[BW40_3705]],"")</f>
        <v/>
      </c>
      <c r="G4454" s="2" t="str">
        <f>IF(Table1[[#This Row],[Is Data Valid]]=TRUE,((Table1[[#This Row],[Birthweight (grams)]]/Table1[[#This Row],[BW_GA]])-1)/(Backend!$B$4/100*Table1[[#This Row],[BW40_3705]]),"")</f>
        <v/>
      </c>
      <c r="H4454" s="7" t="str">
        <f>IF(Table1[[#This Row],[Is Data Valid]]=TRUE,((Table1[[#This Row],[Birthweight (grams)]]*0.9/Table1[[#This Row],[BW_GA]])-1)/(Backend!$B$4/100*Table1[[#This Row],[BW40_3705]]),"")</f>
        <v/>
      </c>
      <c r="I4454" s="7" t="str">
        <f>IF(Table1[[#This Row],[Is Data Valid]]=TRUE,((Table1[[#This Row],[Birthweight (grams)]]*1.1/Table1[[#This Row],[BW_GA]])-1)/(Backend!$B$4/100*Table1[[#This Row],[BW40_3705]]),"")</f>
        <v/>
      </c>
      <c r="J4454" s="7" t="str">
        <f>IF(Table1[[#This Row],[Is Data Valid]]=TRUE,_xlfn.NORM.S.DIST(Table1[[#This Row],[Birthweight Z-Score]],TRUE)*100,"")</f>
        <v/>
      </c>
      <c r="K4454" s="7" t="str">
        <f>IF(Table1[[#This Row],[Is Data Valid]]=TRUE,_xlfn.NORM.S.DIST(Table1[[#This Row],[Birthweight Z-Score (BW-10%)]],TRUE)*100,"")</f>
        <v/>
      </c>
      <c r="L4454" s="7" t="str">
        <f>IF(Table1[[#This Row],[Is Data Valid]]=TRUE,_xlfn.NORM.S.DIST(Table1[[#This Row],[Birthweight Z-Score (BW+10%)]],TRUE)*100,"")</f>
        <v/>
      </c>
    </row>
    <row r="4455" spans="1:12" x14ac:dyDescent="0.35">
      <c r="A4455" s="3"/>
      <c r="B4455" s="2"/>
      <c r="C4455" s="2"/>
      <c r="D4455" s="2" t="b">
        <f>IF(AND(NOT(ISBLANK(Table1[[#This Row],[Fetal Sex (Male, Female or Unknown)]])),ISNUMBER(Table1[[#This Row],[Birthweight (grams)]]),ISNUMBER(Table1[[#This Row],[Gestation (days)]])),TRUE,FALSE)</f>
        <v>0</v>
      </c>
      <c r="E4455" s="2" t="str">
        <f>IF(Table1[[#This Row],[Is Data Valid]]=TRUE,IF(Table1[[#This Row],[Fetal Sex (Male, Female or Unknown)]]="Male",Backend!$C$6,IF(Table1[[#This Row],[Fetal Sex (Male, Female or Unknown)]]="Female",Backend!$C$7,IF(Table1[[#This Row],[Fetal Sex (Male, Female or Unknown)]]="Unknown",Backend!$C$8,"Error"))),"")</f>
        <v/>
      </c>
      <c r="F4455" s="8" t="str">
        <f>IF(Table1[[#This Row],[Is Data Valid]]=TRUE,EXP(0.578+0.332*((Table1[[#This Row],[Gestation (days)]]+0.5)/7)-0.00354*((Table1[[#This Row],[Gestation (days)]]+0.5)/7)^2)*Table1[[#This Row],[BW40_3705]],"")</f>
        <v/>
      </c>
      <c r="G4455" s="2" t="str">
        <f>IF(Table1[[#This Row],[Is Data Valid]]=TRUE,((Table1[[#This Row],[Birthweight (grams)]]/Table1[[#This Row],[BW_GA]])-1)/(Backend!$B$4/100*Table1[[#This Row],[BW40_3705]]),"")</f>
        <v/>
      </c>
      <c r="H4455" s="7" t="str">
        <f>IF(Table1[[#This Row],[Is Data Valid]]=TRUE,((Table1[[#This Row],[Birthweight (grams)]]*0.9/Table1[[#This Row],[BW_GA]])-1)/(Backend!$B$4/100*Table1[[#This Row],[BW40_3705]]),"")</f>
        <v/>
      </c>
      <c r="I4455" s="7" t="str">
        <f>IF(Table1[[#This Row],[Is Data Valid]]=TRUE,((Table1[[#This Row],[Birthweight (grams)]]*1.1/Table1[[#This Row],[BW_GA]])-1)/(Backend!$B$4/100*Table1[[#This Row],[BW40_3705]]),"")</f>
        <v/>
      </c>
      <c r="J4455" s="7" t="str">
        <f>IF(Table1[[#This Row],[Is Data Valid]]=TRUE,_xlfn.NORM.S.DIST(Table1[[#This Row],[Birthweight Z-Score]],TRUE)*100,"")</f>
        <v/>
      </c>
      <c r="K4455" s="7" t="str">
        <f>IF(Table1[[#This Row],[Is Data Valid]]=TRUE,_xlfn.NORM.S.DIST(Table1[[#This Row],[Birthweight Z-Score (BW-10%)]],TRUE)*100,"")</f>
        <v/>
      </c>
      <c r="L4455" s="7" t="str">
        <f>IF(Table1[[#This Row],[Is Data Valid]]=TRUE,_xlfn.NORM.S.DIST(Table1[[#This Row],[Birthweight Z-Score (BW+10%)]],TRUE)*100,"")</f>
        <v/>
      </c>
    </row>
    <row r="4456" spans="1:12" x14ac:dyDescent="0.35">
      <c r="A4456" s="3"/>
      <c r="B4456" s="2"/>
      <c r="C4456" s="2"/>
      <c r="D4456" s="2" t="b">
        <f>IF(AND(NOT(ISBLANK(Table1[[#This Row],[Fetal Sex (Male, Female or Unknown)]])),ISNUMBER(Table1[[#This Row],[Birthweight (grams)]]),ISNUMBER(Table1[[#This Row],[Gestation (days)]])),TRUE,FALSE)</f>
        <v>0</v>
      </c>
      <c r="E4456" s="2" t="str">
        <f>IF(Table1[[#This Row],[Is Data Valid]]=TRUE,IF(Table1[[#This Row],[Fetal Sex (Male, Female or Unknown)]]="Male",Backend!$C$6,IF(Table1[[#This Row],[Fetal Sex (Male, Female or Unknown)]]="Female",Backend!$C$7,IF(Table1[[#This Row],[Fetal Sex (Male, Female or Unknown)]]="Unknown",Backend!$C$8,"Error"))),"")</f>
        <v/>
      </c>
      <c r="F4456" s="8" t="str">
        <f>IF(Table1[[#This Row],[Is Data Valid]]=TRUE,EXP(0.578+0.332*((Table1[[#This Row],[Gestation (days)]]+0.5)/7)-0.00354*((Table1[[#This Row],[Gestation (days)]]+0.5)/7)^2)*Table1[[#This Row],[BW40_3705]],"")</f>
        <v/>
      </c>
      <c r="G4456" s="2" t="str">
        <f>IF(Table1[[#This Row],[Is Data Valid]]=TRUE,((Table1[[#This Row],[Birthweight (grams)]]/Table1[[#This Row],[BW_GA]])-1)/(Backend!$B$4/100*Table1[[#This Row],[BW40_3705]]),"")</f>
        <v/>
      </c>
      <c r="H4456" s="7" t="str">
        <f>IF(Table1[[#This Row],[Is Data Valid]]=TRUE,((Table1[[#This Row],[Birthweight (grams)]]*0.9/Table1[[#This Row],[BW_GA]])-1)/(Backend!$B$4/100*Table1[[#This Row],[BW40_3705]]),"")</f>
        <v/>
      </c>
      <c r="I4456" s="7" t="str">
        <f>IF(Table1[[#This Row],[Is Data Valid]]=TRUE,((Table1[[#This Row],[Birthweight (grams)]]*1.1/Table1[[#This Row],[BW_GA]])-1)/(Backend!$B$4/100*Table1[[#This Row],[BW40_3705]]),"")</f>
        <v/>
      </c>
      <c r="J4456" s="7" t="str">
        <f>IF(Table1[[#This Row],[Is Data Valid]]=TRUE,_xlfn.NORM.S.DIST(Table1[[#This Row],[Birthweight Z-Score]],TRUE)*100,"")</f>
        <v/>
      </c>
      <c r="K4456" s="7" t="str">
        <f>IF(Table1[[#This Row],[Is Data Valid]]=TRUE,_xlfn.NORM.S.DIST(Table1[[#This Row],[Birthweight Z-Score (BW-10%)]],TRUE)*100,"")</f>
        <v/>
      </c>
      <c r="L4456" s="7" t="str">
        <f>IF(Table1[[#This Row],[Is Data Valid]]=TRUE,_xlfn.NORM.S.DIST(Table1[[#This Row],[Birthweight Z-Score (BW+10%)]],TRUE)*100,"")</f>
        <v/>
      </c>
    </row>
    <row r="4457" spans="1:12" x14ac:dyDescent="0.35">
      <c r="A4457" s="3"/>
      <c r="B4457" s="2"/>
      <c r="C4457" s="2"/>
      <c r="D4457" s="2" t="b">
        <f>IF(AND(NOT(ISBLANK(Table1[[#This Row],[Fetal Sex (Male, Female or Unknown)]])),ISNUMBER(Table1[[#This Row],[Birthweight (grams)]]),ISNUMBER(Table1[[#This Row],[Gestation (days)]])),TRUE,FALSE)</f>
        <v>0</v>
      </c>
      <c r="E4457" s="2" t="str">
        <f>IF(Table1[[#This Row],[Is Data Valid]]=TRUE,IF(Table1[[#This Row],[Fetal Sex (Male, Female or Unknown)]]="Male",Backend!$C$6,IF(Table1[[#This Row],[Fetal Sex (Male, Female or Unknown)]]="Female",Backend!$C$7,IF(Table1[[#This Row],[Fetal Sex (Male, Female or Unknown)]]="Unknown",Backend!$C$8,"Error"))),"")</f>
        <v/>
      </c>
      <c r="F4457" s="8" t="str">
        <f>IF(Table1[[#This Row],[Is Data Valid]]=TRUE,EXP(0.578+0.332*((Table1[[#This Row],[Gestation (days)]]+0.5)/7)-0.00354*((Table1[[#This Row],[Gestation (days)]]+0.5)/7)^2)*Table1[[#This Row],[BW40_3705]],"")</f>
        <v/>
      </c>
      <c r="G4457" s="2" t="str">
        <f>IF(Table1[[#This Row],[Is Data Valid]]=TRUE,((Table1[[#This Row],[Birthweight (grams)]]/Table1[[#This Row],[BW_GA]])-1)/(Backend!$B$4/100*Table1[[#This Row],[BW40_3705]]),"")</f>
        <v/>
      </c>
      <c r="H4457" s="7" t="str">
        <f>IF(Table1[[#This Row],[Is Data Valid]]=TRUE,((Table1[[#This Row],[Birthweight (grams)]]*0.9/Table1[[#This Row],[BW_GA]])-1)/(Backend!$B$4/100*Table1[[#This Row],[BW40_3705]]),"")</f>
        <v/>
      </c>
      <c r="I4457" s="7" t="str">
        <f>IF(Table1[[#This Row],[Is Data Valid]]=TRUE,((Table1[[#This Row],[Birthweight (grams)]]*1.1/Table1[[#This Row],[BW_GA]])-1)/(Backend!$B$4/100*Table1[[#This Row],[BW40_3705]]),"")</f>
        <v/>
      </c>
      <c r="J4457" s="7" t="str">
        <f>IF(Table1[[#This Row],[Is Data Valid]]=TRUE,_xlfn.NORM.S.DIST(Table1[[#This Row],[Birthweight Z-Score]],TRUE)*100,"")</f>
        <v/>
      </c>
      <c r="K4457" s="7" t="str">
        <f>IF(Table1[[#This Row],[Is Data Valid]]=TRUE,_xlfn.NORM.S.DIST(Table1[[#This Row],[Birthweight Z-Score (BW-10%)]],TRUE)*100,"")</f>
        <v/>
      </c>
      <c r="L4457" s="7" t="str">
        <f>IF(Table1[[#This Row],[Is Data Valid]]=TRUE,_xlfn.NORM.S.DIST(Table1[[#This Row],[Birthweight Z-Score (BW+10%)]],TRUE)*100,"")</f>
        <v/>
      </c>
    </row>
    <row r="4458" spans="1:12" x14ac:dyDescent="0.35">
      <c r="A4458" s="3"/>
      <c r="B4458" s="2"/>
      <c r="C4458" s="2"/>
      <c r="D4458" s="2" t="b">
        <f>IF(AND(NOT(ISBLANK(Table1[[#This Row],[Fetal Sex (Male, Female or Unknown)]])),ISNUMBER(Table1[[#This Row],[Birthweight (grams)]]),ISNUMBER(Table1[[#This Row],[Gestation (days)]])),TRUE,FALSE)</f>
        <v>0</v>
      </c>
      <c r="E4458" s="2" t="str">
        <f>IF(Table1[[#This Row],[Is Data Valid]]=TRUE,IF(Table1[[#This Row],[Fetal Sex (Male, Female or Unknown)]]="Male",Backend!$C$6,IF(Table1[[#This Row],[Fetal Sex (Male, Female or Unknown)]]="Female",Backend!$C$7,IF(Table1[[#This Row],[Fetal Sex (Male, Female or Unknown)]]="Unknown",Backend!$C$8,"Error"))),"")</f>
        <v/>
      </c>
      <c r="F4458" s="8" t="str">
        <f>IF(Table1[[#This Row],[Is Data Valid]]=TRUE,EXP(0.578+0.332*((Table1[[#This Row],[Gestation (days)]]+0.5)/7)-0.00354*((Table1[[#This Row],[Gestation (days)]]+0.5)/7)^2)*Table1[[#This Row],[BW40_3705]],"")</f>
        <v/>
      </c>
      <c r="G4458" s="2" t="str">
        <f>IF(Table1[[#This Row],[Is Data Valid]]=TRUE,((Table1[[#This Row],[Birthweight (grams)]]/Table1[[#This Row],[BW_GA]])-1)/(Backend!$B$4/100*Table1[[#This Row],[BW40_3705]]),"")</f>
        <v/>
      </c>
      <c r="H4458" s="7" t="str">
        <f>IF(Table1[[#This Row],[Is Data Valid]]=TRUE,((Table1[[#This Row],[Birthweight (grams)]]*0.9/Table1[[#This Row],[BW_GA]])-1)/(Backend!$B$4/100*Table1[[#This Row],[BW40_3705]]),"")</f>
        <v/>
      </c>
      <c r="I4458" s="7" t="str">
        <f>IF(Table1[[#This Row],[Is Data Valid]]=TRUE,((Table1[[#This Row],[Birthweight (grams)]]*1.1/Table1[[#This Row],[BW_GA]])-1)/(Backend!$B$4/100*Table1[[#This Row],[BW40_3705]]),"")</f>
        <v/>
      </c>
      <c r="J4458" s="7" t="str">
        <f>IF(Table1[[#This Row],[Is Data Valid]]=TRUE,_xlfn.NORM.S.DIST(Table1[[#This Row],[Birthweight Z-Score]],TRUE)*100,"")</f>
        <v/>
      </c>
      <c r="K4458" s="7" t="str">
        <f>IF(Table1[[#This Row],[Is Data Valid]]=TRUE,_xlfn.NORM.S.DIST(Table1[[#This Row],[Birthweight Z-Score (BW-10%)]],TRUE)*100,"")</f>
        <v/>
      </c>
      <c r="L4458" s="7" t="str">
        <f>IF(Table1[[#This Row],[Is Data Valid]]=TRUE,_xlfn.NORM.S.DIST(Table1[[#This Row],[Birthweight Z-Score (BW+10%)]],TRUE)*100,"")</f>
        <v/>
      </c>
    </row>
    <row r="4459" spans="1:12" x14ac:dyDescent="0.35">
      <c r="A4459" s="3"/>
      <c r="B4459" s="2"/>
      <c r="C4459" s="2"/>
      <c r="D4459" s="2" t="b">
        <f>IF(AND(NOT(ISBLANK(Table1[[#This Row],[Fetal Sex (Male, Female or Unknown)]])),ISNUMBER(Table1[[#This Row],[Birthweight (grams)]]),ISNUMBER(Table1[[#This Row],[Gestation (days)]])),TRUE,FALSE)</f>
        <v>0</v>
      </c>
      <c r="E4459" s="2" t="str">
        <f>IF(Table1[[#This Row],[Is Data Valid]]=TRUE,IF(Table1[[#This Row],[Fetal Sex (Male, Female or Unknown)]]="Male",Backend!$C$6,IF(Table1[[#This Row],[Fetal Sex (Male, Female or Unknown)]]="Female",Backend!$C$7,IF(Table1[[#This Row],[Fetal Sex (Male, Female or Unknown)]]="Unknown",Backend!$C$8,"Error"))),"")</f>
        <v/>
      </c>
      <c r="F4459" s="8" t="str">
        <f>IF(Table1[[#This Row],[Is Data Valid]]=TRUE,EXP(0.578+0.332*((Table1[[#This Row],[Gestation (days)]]+0.5)/7)-0.00354*((Table1[[#This Row],[Gestation (days)]]+0.5)/7)^2)*Table1[[#This Row],[BW40_3705]],"")</f>
        <v/>
      </c>
      <c r="G4459" s="2" t="str">
        <f>IF(Table1[[#This Row],[Is Data Valid]]=TRUE,((Table1[[#This Row],[Birthweight (grams)]]/Table1[[#This Row],[BW_GA]])-1)/(Backend!$B$4/100*Table1[[#This Row],[BW40_3705]]),"")</f>
        <v/>
      </c>
      <c r="H4459" s="7" t="str">
        <f>IF(Table1[[#This Row],[Is Data Valid]]=TRUE,((Table1[[#This Row],[Birthweight (grams)]]*0.9/Table1[[#This Row],[BW_GA]])-1)/(Backend!$B$4/100*Table1[[#This Row],[BW40_3705]]),"")</f>
        <v/>
      </c>
      <c r="I4459" s="7" t="str">
        <f>IF(Table1[[#This Row],[Is Data Valid]]=TRUE,((Table1[[#This Row],[Birthweight (grams)]]*1.1/Table1[[#This Row],[BW_GA]])-1)/(Backend!$B$4/100*Table1[[#This Row],[BW40_3705]]),"")</f>
        <v/>
      </c>
      <c r="J4459" s="7" t="str">
        <f>IF(Table1[[#This Row],[Is Data Valid]]=TRUE,_xlfn.NORM.S.DIST(Table1[[#This Row],[Birthweight Z-Score]],TRUE)*100,"")</f>
        <v/>
      </c>
      <c r="K4459" s="7" t="str">
        <f>IF(Table1[[#This Row],[Is Data Valid]]=TRUE,_xlfn.NORM.S.DIST(Table1[[#This Row],[Birthweight Z-Score (BW-10%)]],TRUE)*100,"")</f>
        <v/>
      </c>
      <c r="L4459" s="7" t="str">
        <f>IF(Table1[[#This Row],[Is Data Valid]]=TRUE,_xlfn.NORM.S.DIST(Table1[[#This Row],[Birthweight Z-Score (BW+10%)]],TRUE)*100,"")</f>
        <v/>
      </c>
    </row>
    <row r="4460" spans="1:12" x14ac:dyDescent="0.35">
      <c r="A4460" s="3"/>
      <c r="B4460" s="2"/>
      <c r="C4460" s="2"/>
      <c r="D4460" s="2" t="b">
        <f>IF(AND(NOT(ISBLANK(Table1[[#This Row],[Fetal Sex (Male, Female or Unknown)]])),ISNUMBER(Table1[[#This Row],[Birthweight (grams)]]),ISNUMBER(Table1[[#This Row],[Gestation (days)]])),TRUE,FALSE)</f>
        <v>0</v>
      </c>
      <c r="E4460" s="2" t="str">
        <f>IF(Table1[[#This Row],[Is Data Valid]]=TRUE,IF(Table1[[#This Row],[Fetal Sex (Male, Female or Unknown)]]="Male",Backend!$C$6,IF(Table1[[#This Row],[Fetal Sex (Male, Female or Unknown)]]="Female",Backend!$C$7,IF(Table1[[#This Row],[Fetal Sex (Male, Female or Unknown)]]="Unknown",Backend!$C$8,"Error"))),"")</f>
        <v/>
      </c>
      <c r="F4460" s="8" t="str">
        <f>IF(Table1[[#This Row],[Is Data Valid]]=TRUE,EXP(0.578+0.332*((Table1[[#This Row],[Gestation (days)]]+0.5)/7)-0.00354*((Table1[[#This Row],[Gestation (days)]]+0.5)/7)^2)*Table1[[#This Row],[BW40_3705]],"")</f>
        <v/>
      </c>
      <c r="G4460" s="2" t="str">
        <f>IF(Table1[[#This Row],[Is Data Valid]]=TRUE,((Table1[[#This Row],[Birthweight (grams)]]/Table1[[#This Row],[BW_GA]])-1)/(Backend!$B$4/100*Table1[[#This Row],[BW40_3705]]),"")</f>
        <v/>
      </c>
      <c r="H4460" s="7" t="str">
        <f>IF(Table1[[#This Row],[Is Data Valid]]=TRUE,((Table1[[#This Row],[Birthweight (grams)]]*0.9/Table1[[#This Row],[BW_GA]])-1)/(Backend!$B$4/100*Table1[[#This Row],[BW40_3705]]),"")</f>
        <v/>
      </c>
      <c r="I4460" s="7" t="str">
        <f>IF(Table1[[#This Row],[Is Data Valid]]=TRUE,((Table1[[#This Row],[Birthweight (grams)]]*1.1/Table1[[#This Row],[BW_GA]])-1)/(Backend!$B$4/100*Table1[[#This Row],[BW40_3705]]),"")</f>
        <v/>
      </c>
      <c r="J4460" s="7" t="str">
        <f>IF(Table1[[#This Row],[Is Data Valid]]=TRUE,_xlfn.NORM.S.DIST(Table1[[#This Row],[Birthweight Z-Score]],TRUE)*100,"")</f>
        <v/>
      </c>
      <c r="K4460" s="7" t="str">
        <f>IF(Table1[[#This Row],[Is Data Valid]]=TRUE,_xlfn.NORM.S.DIST(Table1[[#This Row],[Birthweight Z-Score (BW-10%)]],TRUE)*100,"")</f>
        <v/>
      </c>
      <c r="L4460" s="7" t="str">
        <f>IF(Table1[[#This Row],[Is Data Valid]]=TRUE,_xlfn.NORM.S.DIST(Table1[[#This Row],[Birthweight Z-Score (BW+10%)]],TRUE)*100,"")</f>
        <v/>
      </c>
    </row>
    <row r="4461" spans="1:12" x14ac:dyDescent="0.35">
      <c r="A4461" s="3"/>
      <c r="B4461" s="2"/>
      <c r="C4461" s="2"/>
      <c r="D4461" s="2" t="b">
        <f>IF(AND(NOT(ISBLANK(Table1[[#This Row],[Fetal Sex (Male, Female or Unknown)]])),ISNUMBER(Table1[[#This Row],[Birthweight (grams)]]),ISNUMBER(Table1[[#This Row],[Gestation (days)]])),TRUE,FALSE)</f>
        <v>0</v>
      </c>
      <c r="E4461" s="2" t="str">
        <f>IF(Table1[[#This Row],[Is Data Valid]]=TRUE,IF(Table1[[#This Row],[Fetal Sex (Male, Female or Unknown)]]="Male",Backend!$C$6,IF(Table1[[#This Row],[Fetal Sex (Male, Female or Unknown)]]="Female",Backend!$C$7,IF(Table1[[#This Row],[Fetal Sex (Male, Female or Unknown)]]="Unknown",Backend!$C$8,"Error"))),"")</f>
        <v/>
      </c>
      <c r="F4461" s="8" t="str">
        <f>IF(Table1[[#This Row],[Is Data Valid]]=TRUE,EXP(0.578+0.332*((Table1[[#This Row],[Gestation (days)]]+0.5)/7)-0.00354*((Table1[[#This Row],[Gestation (days)]]+0.5)/7)^2)*Table1[[#This Row],[BW40_3705]],"")</f>
        <v/>
      </c>
      <c r="G4461" s="2" t="str">
        <f>IF(Table1[[#This Row],[Is Data Valid]]=TRUE,((Table1[[#This Row],[Birthweight (grams)]]/Table1[[#This Row],[BW_GA]])-1)/(Backend!$B$4/100*Table1[[#This Row],[BW40_3705]]),"")</f>
        <v/>
      </c>
      <c r="H4461" s="7" t="str">
        <f>IF(Table1[[#This Row],[Is Data Valid]]=TRUE,((Table1[[#This Row],[Birthweight (grams)]]*0.9/Table1[[#This Row],[BW_GA]])-1)/(Backend!$B$4/100*Table1[[#This Row],[BW40_3705]]),"")</f>
        <v/>
      </c>
      <c r="I4461" s="7" t="str">
        <f>IF(Table1[[#This Row],[Is Data Valid]]=TRUE,((Table1[[#This Row],[Birthweight (grams)]]*1.1/Table1[[#This Row],[BW_GA]])-1)/(Backend!$B$4/100*Table1[[#This Row],[BW40_3705]]),"")</f>
        <v/>
      </c>
      <c r="J4461" s="7" t="str">
        <f>IF(Table1[[#This Row],[Is Data Valid]]=TRUE,_xlfn.NORM.S.DIST(Table1[[#This Row],[Birthweight Z-Score]],TRUE)*100,"")</f>
        <v/>
      </c>
      <c r="K4461" s="7" t="str">
        <f>IF(Table1[[#This Row],[Is Data Valid]]=TRUE,_xlfn.NORM.S.DIST(Table1[[#This Row],[Birthweight Z-Score (BW-10%)]],TRUE)*100,"")</f>
        <v/>
      </c>
      <c r="L4461" s="7" t="str">
        <f>IF(Table1[[#This Row],[Is Data Valid]]=TRUE,_xlfn.NORM.S.DIST(Table1[[#This Row],[Birthweight Z-Score (BW+10%)]],TRUE)*100,"")</f>
        <v/>
      </c>
    </row>
    <row r="4462" spans="1:12" x14ac:dyDescent="0.35">
      <c r="A4462" s="3"/>
      <c r="B4462" s="2"/>
      <c r="C4462" s="2"/>
      <c r="D4462" s="2" t="b">
        <f>IF(AND(NOT(ISBLANK(Table1[[#This Row],[Fetal Sex (Male, Female or Unknown)]])),ISNUMBER(Table1[[#This Row],[Birthweight (grams)]]),ISNUMBER(Table1[[#This Row],[Gestation (days)]])),TRUE,FALSE)</f>
        <v>0</v>
      </c>
      <c r="E4462" s="2" t="str">
        <f>IF(Table1[[#This Row],[Is Data Valid]]=TRUE,IF(Table1[[#This Row],[Fetal Sex (Male, Female or Unknown)]]="Male",Backend!$C$6,IF(Table1[[#This Row],[Fetal Sex (Male, Female or Unknown)]]="Female",Backend!$C$7,IF(Table1[[#This Row],[Fetal Sex (Male, Female or Unknown)]]="Unknown",Backend!$C$8,"Error"))),"")</f>
        <v/>
      </c>
      <c r="F4462" s="8" t="str">
        <f>IF(Table1[[#This Row],[Is Data Valid]]=TRUE,EXP(0.578+0.332*((Table1[[#This Row],[Gestation (days)]]+0.5)/7)-0.00354*((Table1[[#This Row],[Gestation (days)]]+0.5)/7)^2)*Table1[[#This Row],[BW40_3705]],"")</f>
        <v/>
      </c>
      <c r="G4462" s="2" t="str">
        <f>IF(Table1[[#This Row],[Is Data Valid]]=TRUE,((Table1[[#This Row],[Birthweight (grams)]]/Table1[[#This Row],[BW_GA]])-1)/(Backend!$B$4/100*Table1[[#This Row],[BW40_3705]]),"")</f>
        <v/>
      </c>
      <c r="H4462" s="7" t="str">
        <f>IF(Table1[[#This Row],[Is Data Valid]]=TRUE,((Table1[[#This Row],[Birthweight (grams)]]*0.9/Table1[[#This Row],[BW_GA]])-1)/(Backend!$B$4/100*Table1[[#This Row],[BW40_3705]]),"")</f>
        <v/>
      </c>
      <c r="I4462" s="7" t="str">
        <f>IF(Table1[[#This Row],[Is Data Valid]]=TRUE,((Table1[[#This Row],[Birthweight (grams)]]*1.1/Table1[[#This Row],[BW_GA]])-1)/(Backend!$B$4/100*Table1[[#This Row],[BW40_3705]]),"")</f>
        <v/>
      </c>
      <c r="J4462" s="7" t="str">
        <f>IF(Table1[[#This Row],[Is Data Valid]]=TRUE,_xlfn.NORM.S.DIST(Table1[[#This Row],[Birthweight Z-Score]],TRUE)*100,"")</f>
        <v/>
      </c>
      <c r="K4462" s="7" t="str">
        <f>IF(Table1[[#This Row],[Is Data Valid]]=TRUE,_xlfn.NORM.S.DIST(Table1[[#This Row],[Birthweight Z-Score (BW-10%)]],TRUE)*100,"")</f>
        <v/>
      </c>
      <c r="L4462" s="7" t="str">
        <f>IF(Table1[[#This Row],[Is Data Valid]]=TRUE,_xlfn.NORM.S.DIST(Table1[[#This Row],[Birthweight Z-Score (BW+10%)]],TRUE)*100,"")</f>
        <v/>
      </c>
    </row>
    <row r="4463" spans="1:12" x14ac:dyDescent="0.35">
      <c r="A4463" s="3"/>
      <c r="B4463" s="2"/>
      <c r="C4463" s="2"/>
      <c r="D4463" s="2" t="b">
        <f>IF(AND(NOT(ISBLANK(Table1[[#This Row],[Fetal Sex (Male, Female or Unknown)]])),ISNUMBER(Table1[[#This Row],[Birthweight (grams)]]),ISNUMBER(Table1[[#This Row],[Gestation (days)]])),TRUE,FALSE)</f>
        <v>0</v>
      </c>
      <c r="E4463" s="2" t="str">
        <f>IF(Table1[[#This Row],[Is Data Valid]]=TRUE,IF(Table1[[#This Row],[Fetal Sex (Male, Female or Unknown)]]="Male",Backend!$C$6,IF(Table1[[#This Row],[Fetal Sex (Male, Female or Unknown)]]="Female",Backend!$C$7,IF(Table1[[#This Row],[Fetal Sex (Male, Female or Unknown)]]="Unknown",Backend!$C$8,"Error"))),"")</f>
        <v/>
      </c>
      <c r="F4463" s="8" t="str">
        <f>IF(Table1[[#This Row],[Is Data Valid]]=TRUE,EXP(0.578+0.332*((Table1[[#This Row],[Gestation (days)]]+0.5)/7)-0.00354*((Table1[[#This Row],[Gestation (days)]]+0.5)/7)^2)*Table1[[#This Row],[BW40_3705]],"")</f>
        <v/>
      </c>
      <c r="G4463" s="2" t="str">
        <f>IF(Table1[[#This Row],[Is Data Valid]]=TRUE,((Table1[[#This Row],[Birthweight (grams)]]/Table1[[#This Row],[BW_GA]])-1)/(Backend!$B$4/100*Table1[[#This Row],[BW40_3705]]),"")</f>
        <v/>
      </c>
      <c r="H4463" s="7" t="str">
        <f>IF(Table1[[#This Row],[Is Data Valid]]=TRUE,((Table1[[#This Row],[Birthweight (grams)]]*0.9/Table1[[#This Row],[BW_GA]])-1)/(Backend!$B$4/100*Table1[[#This Row],[BW40_3705]]),"")</f>
        <v/>
      </c>
      <c r="I4463" s="7" t="str">
        <f>IF(Table1[[#This Row],[Is Data Valid]]=TRUE,((Table1[[#This Row],[Birthweight (grams)]]*1.1/Table1[[#This Row],[BW_GA]])-1)/(Backend!$B$4/100*Table1[[#This Row],[BW40_3705]]),"")</f>
        <v/>
      </c>
      <c r="J4463" s="7" t="str">
        <f>IF(Table1[[#This Row],[Is Data Valid]]=TRUE,_xlfn.NORM.S.DIST(Table1[[#This Row],[Birthweight Z-Score]],TRUE)*100,"")</f>
        <v/>
      </c>
      <c r="K4463" s="7" t="str">
        <f>IF(Table1[[#This Row],[Is Data Valid]]=TRUE,_xlfn.NORM.S.DIST(Table1[[#This Row],[Birthweight Z-Score (BW-10%)]],TRUE)*100,"")</f>
        <v/>
      </c>
      <c r="L4463" s="7" t="str">
        <f>IF(Table1[[#This Row],[Is Data Valid]]=TRUE,_xlfn.NORM.S.DIST(Table1[[#This Row],[Birthweight Z-Score (BW+10%)]],TRUE)*100,"")</f>
        <v/>
      </c>
    </row>
    <row r="4464" spans="1:12" x14ac:dyDescent="0.35">
      <c r="A4464" s="3"/>
      <c r="B4464" s="2"/>
      <c r="C4464" s="2"/>
      <c r="D4464" s="2" t="b">
        <f>IF(AND(NOT(ISBLANK(Table1[[#This Row],[Fetal Sex (Male, Female or Unknown)]])),ISNUMBER(Table1[[#This Row],[Birthweight (grams)]]),ISNUMBER(Table1[[#This Row],[Gestation (days)]])),TRUE,FALSE)</f>
        <v>0</v>
      </c>
      <c r="E4464" s="2" t="str">
        <f>IF(Table1[[#This Row],[Is Data Valid]]=TRUE,IF(Table1[[#This Row],[Fetal Sex (Male, Female or Unknown)]]="Male",Backend!$C$6,IF(Table1[[#This Row],[Fetal Sex (Male, Female or Unknown)]]="Female",Backend!$C$7,IF(Table1[[#This Row],[Fetal Sex (Male, Female or Unknown)]]="Unknown",Backend!$C$8,"Error"))),"")</f>
        <v/>
      </c>
      <c r="F4464" s="8" t="str">
        <f>IF(Table1[[#This Row],[Is Data Valid]]=TRUE,EXP(0.578+0.332*((Table1[[#This Row],[Gestation (days)]]+0.5)/7)-0.00354*((Table1[[#This Row],[Gestation (days)]]+0.5)/7)^2)*Table1[[#This Row],[BW40_3705]],"")</f>
        <v/>
      </c>
      <c r="G4464" s="2" t="str">
        <f>IF(Table1[[#This Row],[Is Data Valid]]=TRUE,((Table1[[#This Row],[Birthweight (grams)]]/Table1[[#This Row],[BW_GA]])-1)/(Backend!$B$4/100*Table1[[#This Row],[BW40_3705]]),"")</f>
        <v/>
      </c>
      <c r="H4464" s="7" t="str">
        <f>IF(Table1[[#This Row],[Is Data Valid]]=TRUE,((Table1[[#This Row],[Birthweight (grams)]]*0.9/Table1[[#This Row],[BW_GA]])-1)/(Backend!$B$4/100*Table1[[#This Row],[BW40_3705]]),"")</f>
        <v/>
      </c>
      <c r="I4464" s="7" t="str">
        <f>IF(Table1[[#This Row],[Is Data Valid]]=TRUE,((Table1[[#This Row],[Birthweight (grams)]]*1.1/Table1[[#This Row],[BW_GA]])-1)/(Backend!$B$4/100*Table1[[#This Row],[BW40_3705]]),"")</f>
        <v/>
      </c>
      <c r="J4464" s="7" t="str">
        <f>IF(Table1[[#This Row],[Is Data Valid]]=TRUE,_xlfn.NORM.S.DIST(Table1[[#This Row],[Birthweight Z-Score]],TRUE)*100,"")</f>
        <v/>
      </c>
      <c r="K4464" s="7" t="str">
        <f>IF(Table1[[#This Row],[Is Data Valid]]=TRUE,_xlfn.NORM.S.DIST(Table1[[#This Row],[Birthweight Z-Score (BW-10%)]],TRUE)*100,"")</f>
        <v/>
      </c>
      <c r="L4464" s="7" t="str">
        <f>IF(Table1[[#This Row],[Is Data Valid]]=TRUE,_xlfn.NORM.S.DIST(Table1[[#This Row],[Birthweight Z-Score (BW+10%)]],TRUE)*100,"")</f>
        <v/>
      </c>
    </row>
    <row r="4465" spans="1:12" x14ac:dyDescent="0.35">
      <c r="A4465" s="3"/>
      <c r="B4465" s="2"/>
      <c r="C4465" s="2"/>
      <c r="D4465" s="2" t="b">
        <f>IF(AND(NOT(ISBLANK(Table1[[#This Row],[Fetal Sex (Male, Female or Unknown)]])),ISNUMBER(Table1[[#This Row],[Birthweight (grams)]]),ISNUMBER(Table1[[#This Row],[Gestation (days)]])),TRUE,FALSE)</f>
        <v>0</v>
      </c>
      <c r="E4465" s="2" t="str">
        <f>IF(Table1[[#This Row],[Is Data Valid]]=TRUE,IF(Table1[[#This Row],[Fetal Sex (Male, Female or Unknown)]]="Male",Backend!$C$6,IF(Table1[[#This Row],[Fetal Sex (Male, Female or Unknown)]]="Female",Backend!$C$7,IF(Table1[[#This Row],[Fetal Sex (Male, Female or Unknown)]]="Unknown",Backend!$C$8,"Error"))),"")</f>
        <v/>
      </c>
      <c r="F4465" s="8" t="str">
        <f>IF(Table1[[#This Row],[Is Data Valid]]=TRUE,EXP(0.578+0.332*((Table1[[#This Row],[Gestation (days)]]+0.5)/7)-0.00354*((Table1[[#This Row],[Gestation (days)]]+0.5)/7)^2)*Table1[[#This Row],[BW40_3705]],"")</f>
        <v/>
      </c>
      <c r="G4465" s="2" t="str">
        <f>IF(Table1[[#This Row],[Is Data Valid]]=TRUE,((Table1[[#This Row],[Birthweight (grams)]]/Table1[[#This Row],[BW_GA]])-1)/(Backend!$B$4/100*Table1[[#This Row],[BW40_3705]]),"")</f>
        <v/>
      </c>
      <c r="H4465" s="7" t="str">
        <f>IF(Table1[[#This Row],[Is Data Valid]]=TRUE,((Table1[[#This Row],[Birthweight (grams)]]*0.9/Table1[[#This Row],[BW_GA]])-1)/(Backend!$B$4/100*Table1[[#This Row],[BW40_3705]]),"")</f>
        <v/>
      </c>
      <c r="I4465" s="7" t="str">
        <f>IF(Table1[[#This Row],[Is Data Valid]]=TRUE,((Table1[[#This Row],[Birthweight (grams)]]*1.1/Table1[[#This Row],[BW_GA]])-1)/(Backend!$B$4/100*Table1[[#This Row],[BW40_3705]]),"")</f>
        <v/>
      </c>
      <c r="J4465" s="7" t="str">
        <f>IF(Table1[[#This Row],[Is Data Valid]]=TRUE,_xlfn.NORM.S.DIST(Table1[[#This Row],[Birthweight Z-Score]],TRUE)*100,"")</f>
        <v/>
      </c>
      <c r="K4465" s="7" t="str">
        <f>IF(Table1[[#This Row],[Is Data Valid]]=TRUE,_xlfn.NORM.S.DIST(Table1[[#This Row],[Birthweight Z-Score (BW-10%)]],TRUE)*100,"")</f>
        <v/>
      </c>
      <c r="L4465" s="7" t="str">
        <f>IF(Table1[[#This Row],[Is Data Valid]]=TRUE,_xlfn.NORM.S.DIST(Table1[[#This Row],[Birthweight Z-Score (BW+10%)]],TRUE)*100,"")</f>
        <v/>
      </c>
    </row>
    <row r="4466" spans="1:12" x14ac:dyDescent="0.35">
      <c r="A4466" s="3"/>
      <c r="B4466" s="2"/>
      <c r="C4466" s="2"/>
      <c r="D4466" s="2" t="b">
        <f>IF(AND(NOT(ISBLANK(Table1[[#This Row],[Fetal Sex (Male, Female or Unknown)]])),ISNUMBER(Table1[[#This Row],[Birthweight (grams)]]),ISNUMBER(Table1[[#This Row],[Gestation (days)]])),TRUE,FALSE)</f>
        <v>0</v>
      </c>
      <c r="E4466" s="2" t="str">
        <f>IF(Table1[[#This Row],[Is Data Valid]]=TRUE,IF(Table1[[#This Row],[Fetal Sex (Male, Female or Unknown)]]="Male",Backend!$C$6,IF(Table1[[#This Row],[Fetal Sex (Male, Female or Unknown)]]="Female",Backend!$C$7,IF(Table1[[#This Row],[Fetal Sex (Male, Female or Unknown)]]="Unknown",Backend!$C$8,"Error"))),"")</f>
        <v/>
      </c>
      <c r="F4466" s="8" t="str">
        <f>IF(Table1[[#This Row],[Is Data Valid]]=TRUE,EXP(0.578+0.332*((Table1[[#This Row],[Gestation (days)]]+0.5)/7)-0.00354*((Table1[[#This Row],[Gestation (days)]]+0.5)/7)^2)*Table1[[#This Row],[BW40_3705]],"")</f>
        <v/>
      </c>
      <c r="G4466" s="2" t="str">
        <f>IF(Table1[[#This Row],[Is Data Valid]]=TRUE,((Table1[[#This Row],[Birthweight (grams)]]/Table1[[#This Row],[BW_GA]])-1)/(Backend!$B$4/100*Table1[[#This Row],[BW40_3705]]),"")</f>
        <v/>
      </c>
      <c r="H4466" s="7" t="str">
        <f>IF(Table1[[#This Row],[Is Data Valid]]=TRUE,((Table1[[#This Row],[Birthweight (grams)]]*0.9/Table1[[#This Row],[BW_GA]])-1)/(Backend!$B$4/100*Table1[[#This Row],[BW40_3705]]),"")</f>
        <v/>
      </c>
      <c r="I4466" s="7" t="str">
        <f>IF(Table1[[#This Row],[Is Data Valid]]=TRUE,((Table1[[#This Row],[Birthweight (grams)]]*1.1/Table1[[#This Row],[BW_GA]])-1)/(Backend!$B$4/100*Table1[[#This Row],[BW40_3705]]),"")</f>
        <v/>
      </c>
      <c r="J4466" s="7" t="str">
        <f>IF(Table1[[#This Row],[Is Data Valid]]=TRUE,_xlfn.NORM.S.DIST(Table1[[#This Row],[Birthweight Z-Score]],TRUE)*100,"")</f>
        <v/>
      </c>
      <c r="K4466" s="7" t="str">
        <f>IF(Table1[[#This Row],[Is Data Valid]]=TRUE,_xlfn.NORM.S.DIST(Table1[[#This Row],[Birthweight Z-Score (BW-10%)]],TRUE)*100,"")</f>
        <v/>
      </c>
      <c r="L4466" s="7" t="str">
        <f>IF(Table1[[#This Row],[Is Data Valid]]=TRUE,_xlfn.NORM.S.DIST(Table1[[#This Row],[Birthweight Z-Score (BW+10%)]],TRUE)*100,"")</f>
        <v/>
      </c>
    </row>
    <row r="4467" spans="1:12" x14ac:dyDescent="0.35">
      <c r="A4467" s="3"/>
      <c r="B4467" s="2"/>
      <c r="C4467" s="2"/>
      <c r="D4467" s="2" t="b">
        <f>IF(AND(NOT(ISBLANK(Table1[[#This Row],[Fetal Sex (Male, Female or Unknown)]])),ISNUMBER(Table1[[#This Row],[Birthweight (grams)]]),ISNUMBER(Table1[[#This Row],[Gestation (days)]])),TRUE,FALSE)</f>
        <v>0</v>
      </c>
      <c r="E4467" s="2" t="str">
        <f>IF(Table1[[#This Row],[Is Data Valid]]=TRUE,IF(Table1[[#This Row],[Fetal Sex (Male, Female or Unknown)]]="Male",Backend!$C$6,IF(Table1[[#This Row],[Fetal Sex (Male, Female or Unknown)]]="Female",Backend!$C$7,IF(Table1[[#This Row],[Fetal Sex (Male, Female or Unknown)]]="Unknown",Backend!$C$8,"Error"))),"")</f>
        <v/>
      </c>
      <c r="F4467" s="8" t="str">
        <f>IF(Table1[[#This Row],[Is Data Valid]]=TRUE,EXP(0.578+0.332*((Table1[[#This Row],[Gestation (days)]]+0.5)/7)-0.00354*((Table1[[#This Row],[Gestation (days)]]+0.5)/7)^2)*Table1[[#This Row],[BW40_3705]],"")</f>
        <v/>
      </c>
      <c r="G4467" s="2" t="str">
        <f>IF(Table1[[#This Row],[Is Data Valid]]=TRUE,((Table1[[#This Row],[Birthweight (grams)]]/Table1[[#This Row],[BW_GA]])-1)/(Backend!$B$4/100*Table1[[#This Row],[BW40_3705]]),"")</f>
        <v/>
      </c>
      <c r="H4467" s="7" t="str">
        <f>IF(Table1[[#This Row],[Is Data Valid]]=TRUE,((Table1[[#This Row],[Birthweight (grams)]]*0.9/Table1[[#This Row],[BW_GA]])-1)/(Backend!$B$4/100*Table1[[#This Row],[BW40_3705]]),"")</f>
        <v/>
      </c>
      <c r="I4467" s="7" t="str">
        <f>IF(Table1[[#This Row],[Is Data Valid]]=TRUE,((Table1[[#This Row],[Birthweight (grams)]]*1.1/Table1[[#This Row],[BW_GA]])-1)/(Backend!$B$4/100*Table1[[#This Row],[BW40_3705]]),"")</f>
        <v/>
      </c>
      <c r="J4467" s="7" t="str">
        <f>IF(Table1[[#This Row],[Is Data Valid]]=TRUE,_xlfn.NORM.S.DIST(Table1[[#This Row],[Birthweight Z-Score]],TRUE)*100,"")</f>
        <v/>
      </c>
      <c r="K4467" s="7" t="str">
        <f>IF(Table1[[#This Row],[Is Data Valid]]=TRUE,_xlfn.NORM.S.DIST(Table1[[#This Row],[Birthweight Z-Score (BW-10%)]],TRUE)*100,"")</f>
        <v/>
      </c>
      <c r="L4467" s="7" t="str">
        <f>IF(Table1[[#This Row],[Is Data Valid]]=TRUE,_xlfn.NORM.S.DIST(Table1[[#This Row],[Birthweight Z-Score (BW+10%)]],TRUE)*100,"")</f>
        <v/>
      </c>
    </row>
    <row r="4468" spans="1:12" x14ac:dyDescent="0.35">
      <c r="A4468" s="3"/>
      <c r="B4468" s="2"/>
      <c r="C4468" s="2"/>
      <c r="D4468" s="2" t="b">
        <f>IF(AND(NOT(ISBLANK(Table1[[#This Row],[Fetal Sex (Male, Female or Unknown)]])),ISNUMBER(Table1[[#This Row],[Birthweight (grams)]]),ISNUMBER(Table1[[#This Row],[Gestation (days)]])),TRUE,FALSE)</f>
        <v>0</v>
      </c>
      <c r="E4468" s="2" t="str">
        <f>IF(Table1[[#This Row],[Is Data Valid]]=TRUE,IF(Table1[[#This Row],[Fetal Sex (Male, Female or Unknown)]]="Male",Backend!$C$6,IF(Table1[[#This Row],[Fetal Sex (Male, Female or Unknown)]]="Female",Backend!$C$7,IF(Table1[[#This Row],[Fetal Sex (Male, Female or Unknown)]]="Unknown",Backend!$C$8,"Error"))),"")</f>
        <v/>
      </c>
      <c r="F4468" s="8" t="str">
        <f>IF(Table1[[#This Row],[Is Data Valid]]=TRUE,EXP(0.578+0.332*((Table1[[#This Row],[Gestation (days)]]+0.5)/7)-0.00354*((Table1[[#This Row],[Gestation (days)]]+0.5)/7)^2)*Table1[[#This Row],[BW40_3705]],"")</f>
        <v/>
      </c>
      <c r="G4468" s="2" t="str">
        <f>IF(Table1[[#This Row],[Is Data Valid]]=TRUE,((Table1[[#This Row],[Birthweight (grams)]]/Table1[[#This Row],[BW_GA]])-1)/(Backend!$B$4/100*Table1[[#This Row],[BW40_3705]]),"")</f>
        <v/>
      </c>
      <c r="H4468" s="7" t="str">
        <f>IF(Table1[[#This Row],[Is Data Valid]]=TRUE,((Table1[[#This Row],[Birthweight (grams)]]*0.9/Table1[[#This Row],[BW_GA]])-1)/(Backend!$B$4/100*Table1[[#This Row],[BW40_3705]]),"")</f>
        <v/>
      </c>
      <c r="I4468" s="7" t="str">
        <f>IF(Table1[[#This Row],[Is Data Valid]]=TRUE,((Table1[[#This Row],[Birthweight (grams)]]*1.1/Table1[[#This Row],[BW_GA]])-1)/(Backend!$B$4/100*Table1[[#This Row],[BW40_3705]]),"")</f>
        <v/>
      </c>
      <c r="J4468" s="7" t="str">
        <f>IF(Table1[[#This Row],[Is Data Valid]]=TRUE,_xlfn.NORM.S.DIST(Table1[[#This Row],[Birthweight Z-Score]],TRUE)*100,"")</f>
        <v/>
      </c>
      <c r="K4468" s="7" t="str">
        <f>IF(Table1[[#This Row],[Is Data Valid]]=TRUE,_xlfn.NORM.S.DIST(Table1[[#This Row],[Birthweight Z-Score (BW-10%)]],TRUE)*100,"")</f>
        <v/>
      </c>
      <c r="L4468" s="7" t="str">
        <f>IF(Table1[[#This Row],[Is Data Valid]]=TRUE,_xlfn.NORM.S.DIST(Table1[[#This Row],[Birthweight Z-Score (BW+10%)]],TRUE)*100,"")</f>
        <v/>
      </c>
    </row>
    <row r="4469" spans="1:12" x14ac:dyDescent="0.35">
      <c r="A4469" s="3"/>
      <c r="B4469" s="2"/>
      <c r="C4469" s="2"/>
      <c r="D4469" s="2" t="b">
        <f>IF(AND(NOT(ISBLANK(Table1[[#This Row],[Fetal Sex (Male, Female or Unknown)]])),ISNUMBER(Table1[[#This Row],[Birthweight (grams)]]),ISNUMBER(Table1[[#This Row],[Gestation (days)]])),TRUE,FALSE)</f>
        <v>0</v>
      </c>
      <c r="E4469" s="2" t="str">
        <f>IF(Table1[[#This Row],[Is Data Valid]]=TRUE,IF(Table1[[#This Row],[Fetal Sex (Male, Female or Unknown)]]="Male",Backend!$C$6,IF(Table1[[#This Row],[Fetal Sex (Male, Female or Unknown)]]="Female",Backend!$C$7,IF(Table1[[#This Row],[Fetal Sex (Male, Female or Unknown)]]="Unknown",Backend!$C$8,"Error"))),"")</f>
        <v/>
      </c>
      <c r="F4469" s="8" t="str">
        <f>IF(Table1[[#This Row],[Is Data Valid]]=TRUE,EXP(0.578+0.332*((Table1[[#This Row],[Gestation (days)]]+0.5)/7)-0.00354*((Table1[[#This Row],[Gestation (days)]]+0.5)/7)^2)*Table1[[#This Row],[BW40_3705]],"")</f>
        <v/>
      </c>
      <c r="G4469" s="2" t="str">
        <f>IF(Table1[[#This Row],[Is Data Valid]]=TRUE,((Table1[[#This Row],[Birthweight (grams)]]/Table1[[#This Row],[BW_GA]])-1)/(Backend!$B$4/100*Table1[[#This Row],[BW40_3705]]),"")</f>
        <v/>
      </c>
      <c r="H4469" s="7" t="str">
        <f>IF(Table1[[#This Row],[Is Data Valid]]=TRUE,((Table1[[#This Row],[Birthweight (grams)]]*0.9/Table1[[#This Row],[BW_GA]])-1)/(Backend!$B$4/100*Table1[[#This Row],[BW40_3705]]),"")</f>
        <v/>
      </c>
      <c r="I4469" s="7" t="str">
        <f>IF(Table1[[#This Row],[Is Data Valid]]=TRUE,((Table1[[#This Row],[Birthweight (grams)]]*1.1/Table1[[#This Row],[BW_GA]])-1)/(Backend!$B$4/100*Table1[[#This Row],[BW40_3705]]),"")</f>
        <v/>
      </c>
      <c r="J4469" s="7" t="str">
        <f>IF(Table1[[#This Row],[Is Data Valid]]=TRUE,_xlfn.NORM.S.DIST(Table1[[#This Row],[Birthweight Z-Score]],TRUE)*100,"")</f>
        <v/>
      </c>
      <c r="K4469" s="7" t="str">
        <f>IF(Table1[[#This Row],[Is Data Valid]]=TRUE,_xlfn.NORM.S.DIST(Table1[[#This Row],[Birthweight Z-Score (BW-10%)]],TRUE)*100,"")</f>
        <v/>
      </c>
      <c r="L4469" s="7" t="str">
        <f>IF(Table1[[#This Row],[Is Data Valid]]=TRUE,_xlfn.NORM.S.DIST(Table1[[#This Row],[Birthweight Z-Score (BW+10%)]],TRUE)*100,"")</f>
        <v/>
      </c>
    </row>
    <row r="4470" spans="1:12" x14ac:dyDescent="0.35">
      <c r="A4470" s="3"/>
      <c r="B4470" s="2"/>
      <c r="C4470" s="2"/>
      <c r="D4470" s="2" t="b">
        <f>IF(AND(NOT(ISBLANK(Table1[[#This Row],[Fetal Sex (Male, Female or Unknown)]])),ISNUMBER(Table1[[#This Row],[Birthweight (grams)]]),ISNUMBER(Table1[[#This Row],[Gestation (days)]])),TRUE,FALSE)</f>
        <v>0</v>
      </c>
      <c r="E4470" s="2" t="str">
        <f>IF(Table1[[#This Row],[Is Data Valid]]=TRUE,IF(Table1[[#This Row],[Fetal Sex (Male, Female or Unknown)]]="Male",Backend!$C$6,IF(Table1[[#This Row],[Fetal Sex (Male, Female or Unknown)]]="Female",Backend!$C$7,IF(Table1[[#This Row],[Fetal Sex (Male, Female or Unknown)]]="Unknown",Backend!$C$8,"Error"))),"")</f>
        <v/>
      </c>
      <c r="F4470" s="8" t="str">
        <f>IF(Table1[[#This Row],[Is Data Valid]]=TRUE,EXP(0.578+0.332*((Table1[[#This Row],[Gestation (days)]]+0.5)/7)-0.00354*((Table1[[#This Row],[Gestation (days)]]+0.5)/7)^2)*Table1[[#This Row],[BW40_3705]],"")</f>
        <v/>
      </c>
      <c r="G4470" s="2" t="str">
        <f>IF(Table1[[#This Row],[Is Data Valid]]=TRUE,((Table1[[#This Row],[Birthweight (grams)]]/Table1[[#This Row],[BW_GA]])-1)/(Backend!$B$4/100*Table1[[#This Row],[BW40_3705]]),"")</f>
        <v/>
      </c>
      <c r="H4470" s="7" t="str">
        <f>IF(Table1[[#This Row],[Is Data Valid]]=TRUE,((Table1[[#This Row],[Birthweight (grams)]]*0.9/Table1[[#This Row],[BW_GA]])-1)/(Backend!$B$4/100*Table1[[#This Row],[BW40_3705]]),"")</f>
        <v/>
      </c>
      <c r="I4470" s="7" t="str">
        <f>IF(Table1[[#This Row],[Is Data Valid]]=TRUE,((Table1[[#This Row],[Birthweight (grams)]]*1.1/Table1[[#This Row],[BW_GA]])-1)/(Backend!$B$4/100*Table1[[#This Row],[BW40_3705]]),"")</f>
        <v/>
      </c>
      <c r="J4470" s="7" t="str">
        <f>IF(Table1[[#This Row],[Is Data Valid]]=TRUE,_xlfn.NORM.S.DIST(Table1[[#This Row],[Birthweight Z-Score]],TRUE)*100,"")</f>
        <v/>
      </c>
      <c r="K4470" s="7" t="str">
        <f>IF(Table1[[#This Row],[Is Data Valid]]=TRUE,_xlfn.NORM.S.DIST(Table1[[#This Row],[Birthweight Z-Score (BW-10%)]],TRUE)*100,"")</f>
        <v/>
      </c>
      <c r="L4470" s="7" t="str">
        <f>IF(Table1[[#This Row],[Is Data Valid]]=TRUE,_xlfn.NORM.S.DIST(Table1[[#This Row],[Birthweight Z-Score (BW+10%)]],TRUE)*100,"")</f>
        <v/>
      </c>
    </row>
    <row r="4471" spans="1:12" x14ac:dyDescent="0.35">
      <c r="A4471" s="3"/>
      <c r="B4471" s="2"/>
      <c r="C4471" s="2"/>
      <c r="D4471" s="2" t="b">
        <f>IF(AND(NOT(ISBLANK(Table1[[#This Row],[Fetal Sex (Male, Female or Unknown)]])),ISNUMBER(Table1[[#This Row],[Birthweight (grams)]]),ISNUMBER(Table1[[#This Row],[Gestation (days)]])),TRUE,FALSE)</f>
        <v>0</v>
      </c>
      <c r="E4471" s="2" t="str">
        <f>IF(Table1[[#This Row],[Is Data Valid]]=TRUE,IF(Table1[[#This Row],[Fetal Sex (Male, Female or Unknown)]]="Male",Backend!$C$6,IF(Table1[[#This Row],[Fetal Sex (Male, Female or Unknown)]]="Female",Backend!$C$7,IF(Table1[[#This Row],[Fetal Sex (Male, Female or Unknown)]]="Unknown",Backend!$C$8,"Error"))),"")</f>
        <v/>
      </c>
      <c r="F4471" s="8" t="str">
        <f>IF(Table1[[#This Row],[Is Data Valid]]=TRUE,EXP(0.578+0.332*((Table1[[#This Row],[Gestation (days)]]+0.5)/7)-0.00354*((Table1[[#This Row],[Gestation (days)]]+0.5)/7)^2)*Table1[[#This Row],[BW40_3705]],"")</f>
        <v/>
      </c>
      <c r="G4471" s="2" t="str">
        <f>IF(Table1[[#This Row],[Is Data Valid]]=TRUE,((Table1[[#This Row],[Birthweight (grams)]]/Table1[[#This Row],[BW_GA]])-1)/(Backend!$B$4/100*Table1[[#This Row],[BW40_3705]]),"")</f>
        <v/>
      </c>
      <c r="H4471" s="7" t="str">
        <f>IF(Table1[[#This Row],[Is Data Valid]]=TRUE,((Table1[[#This Row],[Birthweight (grams)]]*0.9/Table1[[#This Row],[BW_GA]])-1)/(Backend!$B$4/100*Table1[[#This Row],[BW40_3705]]),"")</f>
        <v/>
      </c>
      <c r="I4471" s="7" t="str">
        <f>IF(Table1[[#This Row],[Is Data Valid]]=TRUE,((Table1[[#This Row],[Birthweight (grams)]]*1.1/Table1[[#This Row],[BW_GA]])-1)/(Backend!$B$4/100*Table1[[#This Row],[BW40_3705]]),"")</f>
        <v/>
      </c>
      <c r="J4471" s="7" t="str">
        <f>IF(Table1[[#This Row],[Is Data Valid]]=TRUE,_xlfn.NORM.S.DIST(Table1[[#This Row],[Birthweight Z-Score]],TRUE)*100,"")</f>
        <v/>
      </c>
      <c r="K4471" s="7" t="str">
        <f>IF(Table1[[#This Row],[Is Data Valid]]=TRUE,_xlfn.NORM.S.DIST(Table1[[#This Row],[Birthweight Z-Score (BW-10%)]],TRUE)*100,"")</f>
        <v/>
      </c>
      <c r="L4471" s="7" t="str">
        <f>IF(Table1[[#This Row],[Is Data Valid]]=TRUE,_xlfn.NORM.S.DIST(Table1[[#This Row],[Birthweight Z-Score (BW+10%)]],TRUE)*100,"")</f>
        <v/>
      </c>
    </row>
    <row r="4472" spans="1:12" x14ac:dyDescent="0.35">
      <c r="A4472" s="3"/>
      <c r="B4472" s="2"/>
      <c r="C4472" s="2"/>
      <c r="D4472" s="2" t="b">
        <f>IF(AND(NOT(ISBLANK(Table1[[#This Row],[Fetal Sex (Male, Female or Unknown)]])),ISNUMBER(Table1[[#This Row],[Birthweight (grams)]]),ISNUMBER(Table1[[#This Row],[Gestation (days)]])),TRUE,FALSE)</f>
        <v>0</v>
      </c>
      <c r="E4472" s="2" t="str">
        <f>IF(Table1[[#This Row],[Is Data Valid]]=TRUE,IF(Table1[[#This Row],[Fetal Sex (Male, Female or Unknown)]]="Male",Backend!$C$6,IF(Table1[[#This Row],[Fetal Sex (Male, Female or Unknown)]]="Female",Backend!$C$7,IF(Table1[[#This Row],[Fetal Sex (Male, Female or Unknown)]]="Unknown",Backend!$C$8,"Error"))),"")</f>
        <v/>
      </c>
      <c r="F4472" s="8" t="str">
        <f>IF(Table1[[#This Row],[Is Data Valid]]=TRUE,EXP(0.578+0.332*((Table1[[#This Row],[Gestation (days)]]+0.5)/7)-0.00354*((Table1[[#This Row],[Gestation (days)]]+0.5)/7)^2)*Table1[[#This Row],[BW40_3705]],"")</f>
        <v/>
      </c>
      <c r="G4472" s="2" t="str">
        <f>IF(Table1[[#This Row],[Is Data Valid]]=TRUE,((Table1[[#This Row],[Birthweight (grams)]]/Table1[[#This Row],[BW_GA]])-1)/(Backend!$B$4/100*Table1[[#This Row],[BW40_3705]]),"")</f>
        <v/>
      </c>
      <c r="H4472" s="7" t="str">
        <f>IF(Table1[[#This Row],[Is Data Valid]]=TRUE,((Table1[[#This Row],[Birthweight (grams)]]*0.9/Table1[[#This Row],[BW_GA]])-1)/(Backend!$B$4/100*Table1[[#This Row],[BW40_3705]]),"")</f>
        <v/>
      </c>
      <c r="I4472" s="7" t="str">
        <f>IF(Table1[[#This Row],[Is Data Valid]]=TRUE,((Table1[[#This Row],[Birthweight (grams)]]*1.1/Table1[[#This Row],[BW_GA]])-1)/(Backend!$B$4/100*Table1[[#This Row],[BW40_3705]]),"")</f>
        <v/>
      </c>
      <c r="J4472" s="7" t="str">
        <f>IF(Table1[[#This Row],[Is Data Valid]]=TRUE,_xlfn.NORM.S.DIST(Table1[[#This Row],[Birthweight Z-Score]],TRUE)*100,"")</f>
        <v/>
      </c>
      <c r="K4472" s="7" t="str">
        <f>IF(Table1[[#This Row],[Is Data Valid]]=TRUE,_xlfn.NORM.S.DIST(Table1[[#This Row],[Birthweight Z-Score (BW-10%)]],TRUE)*100,"")</f>
        <v/>
      </c>
      <c r="L4472" s="7" t="str">
        <f>IF(Table1[[#This Row],[Is Data Valid]]=TRUE,_xlfn.NORM.S.DIST(Table1[[#This Row],[Birthweight Z-Score (BW+10%)]],TRUE)*100,"")</f>
        <v/>
      </c>
    </row>
    <row r="4473" spans="1:12" x14ac:dyDescent="0.35">
      <c r="A4473" s="3"/>
      <c r="B4473" s="2"/>
      <c r="C4473" s="2"/>
      <c r="D4473" s="2" t="b">
        <f>IF(AND(NOT(ISBLANK(Table1[[#This Row],[Fetal Sex (Male, Female or Unknown)]])),ISNUMBER(Table1[[#This Row],[Birthweight (grams)]]),ISNUMBER(Table1[[#This Row],[Gestation (days)]])),TRUE,FALSE)</f>
        <v>0</v>
      </c>
      <c r="E4473" s="2" t="str">
        <f>IF(Table1[[#This Row],[Is Data Valid]]=TRUE,IF(Table1[[#This Row],[Fetal Sex (Male, Female or Unknown)]]="Male",Backend!$C$6,IF(Table1[[#This Row],[Fetal Sex (Male, Female or Unknown)]]="Female",Backend!$C$7,IF(Table1[[#This Row],[Fetal Sex (Male, Female or Unknown)]]="Unknown",Backend!$C$8,"Error"))),"")</f>
        <v/>
      </c>
      <c r="F4473" s="8" t="str">
        <f>IF(Table1[[#This Row],[Is Data Valid]]=TRUE,EXP(0.578+0.332*((Table1[[#This Row],[Gestation (days)]]+0.5)/7)-0.00354*((Table1[[#This Row],[Gestation (days)]]+0.5)/7)^2)*Table1[[#This Row],[BW40_3705]],"")</f>
        <v/>
      </c>
      <c r="G4473" s="2" t="str">
        <f>IF(Table1[[#This Row],[Is Data Valid]]=TRUE,((Table1[[#This Row],[Birthweight (grams)]]/Table1[[#This Row],[BW_GA]])-1)/(Backend!$B$4/100*Table1[[#This Row],[BW40_3705]]),"")</f>
        <v/>
      </c>
      <c r="H4473" s="7" t="str">
        <f>IF(Table1[[#This Row],[Is Data Valid]]=TRUE,((Table1[[#This Row],[Birthweight (grams)]]*0.9/Table1[[#This Row],[BW_GA]])-1)/(Backend!$B$4/100*Table1[[#This Row],[BW40_3705]]),"")</f>
        <v/>
      </c>
      <c r="I4473" s="7" t="str">
        <f>IF(Table1[[#This Row],[Is Data Valid]]=TRUE,((Table1[[#This Row],[Birthweight (grams)]]*1.1/Table1[[#This Row],[BW_GA]])-1)/(Backend!$B$4/100*Table1[[#This Row],[BW40_3705]]),"")</f>
        <v/>
      </c>
      <c r="J4473" s="7" t="str">
        <f>IF(Table1[[#This Row],[Is Data Valid]]=TRUE,_xlfn.NORM.S.DIST(Table1[[#This Row],[Birthweight Z-Score]],TRUE)*100,"")</f>
        <v/>
      </c>
      <c r="K4473" s="7" t="str">
        <f>IF(Table1[[#This Row],[Is Data Valid]]=TRUE,_xlfn.NORM.S.DIST(Table1[[#This Row],[Birthweight Z-Score (BW-10%)]],TRUE)*100,"")</f>
        <v/>
      </c>
      <c r="L4473" s="7" t="str">
        <f>IF(Table1[[#This Row],[Is Data Valid]]=TRUE,_xlfn.NORM.S.DIST(Table1[[#This Row],[Birthweight Z-Score (BW+10%)]],TRUE)*100,"")</f>
        <v/>
      </c>
    </row>
    <row r="4474" spans="1:12" x14ac:dyDescent="0.35">
      <c r="A4474" s="3"/>
      <c r="B4474" s="2"/>
      <c r="C4474" s="2"/>
      <c r="D4474" s="2" t="b">
        <f>IF(AND(NOT(ISBLANK(Table1[[#This Row],[Fetal Sex (Male, Female or Unknown)]])),ISNUMBER(Table1[[#This Row],[Birthweight (grams)]]),ISNUMBER(Table1[[#This Row],[Gestation (days)]])),TRUE,FALSE)</f>
        <v>0</v>
      </c>
      <c r="E4474" s="2" t="str">
        <f>IF(Table1[[#This Row],[Is Data Valid]]=TRUE,IF(Table1[[#This Row],[Fetal Sex (Male, Female or Unknown)]]="Male",Backend!$C$6,IF(Table1[[#This Row],[Fetal Sex (Male, Female or Unknown)]]="Female",Backend!$C$7,IF(Table1[[#This Row],[Fetal Sex (Male, Female or Unknown)]]="Unknown",Backend!$C$8,"Error"))),"")</f>
        <v/>
      </c>
      <c r="F4474" s="8" t="str">
        <f>IF(Table1[[#This Row],[Is Data Valid]]=TRUE,EXP(0.578+0.332*((Table1[[#This Row],[Gestation (days)]]+0.5)/7)-0.00354*((Table1[[#This Row],[Gestation (days)]]+0.5)/7)^2)*Table1[[#This Row],[BW40_3705]],"")</f>
        <v/>
      </c>
      <c r="G4474" s="2" t="str">
        <f>IF(Table1[[#This Row],[Is Data Valid]]=TRUE,((Table1[[#This Row],[Birthweight (grams)]]/Table1[[#This Row],[BW_GA]])-1)/(Backend!$B$4/100*Table1[[#This Row],[BW40_3705]]),"")</f>
        <v/>
      </c>
      <c r="H4474" s="7" t="str">
        <f>IF(Table1[[#This Row],[Is Data Valid]]=TRUE,((Table1[[#This Row],[Birthweight (grams)]]*0.9/Table1[[#This Row],[BW_GA]])-1)/(Backend!$B$4/100*Table1[[#This Row],[BW40_3705]]),"")</f>
        <v/>
      </c>
      <c r="I4474" s="7" t="str">
        <f>IF(Table1[[#This Row],[Is Data Valid]]=TRUE,((Table1[[#This Row],[Birthweight (grams)]]*1.1/Table1[[#This Row],[BW_GA]])-1)/(Backend!$B$4/100*Table1[[#This Row],[BW40_3705]]),"")</f>
        <v/>
      </c>
      <c r="J4474" s="7" t="str">
        <f>IF(Table1[[#This Row],[Is Data Valid]]=TRUE,_xlfn.NORM.S.DIST(Table1[[#This Row],[Birthweight Z-Score]],TRUE)*100,"")</f>
        <v/>
      </c>
      <c r="K4474" s="7" t="str">
        <f>IF(Table1[[#This Row],[Is Data Valid]]=TRUE,_xlfn.NORM.S.DIST(Table1[[#This Row],[Birthweight Z-Score (BW-10%)]],TRUE)*100,"")</f>
        <v/>
      </c>
      <c r="L4474" s="7" t="str">
        <f>IF(Table1[[#This Row],[Is Data Valid]]=TRUE,_xlfn.NORM.S.DIST(Table1[[#This Row],[Birthweight Z-Score (BW+10%)]],TRUE)*100,"")</f>
        <v/>
      </c>
    </row>
    <row r="4475" spans="1:12" x14ac:dyDescent="0.35">
      <c r="A4475" s="3"/>
      <c r="B4475" s="2"/>
      <c r="C4475" s="2"/>
      <c r="D4475" s="2" t="b">
        <f>IF(AND(NOT(ISBLANK(Table1[[#This Row],[Fetal Sex (Male, Female or Unknown)]])),ISNUMBER(Table1[[#This Row],[Birthweight (grams)]]),ISNUMBER(Table1[[#This Row],[Gestation (days)]])),TRUE,FALSE)</f>
        <v>0</v>
      </c>
      <c r="E4475" s="2" t="str">
        <f>IF(Table1[[#This Row],[Is Data Valid]]=TRUE,IF(Table1[[#This Row],[Fetal Sex (Male, Female or Unknown)]]="Male",Backend!$C$6,IF(Table1[[#This Row],[Fetal Sex (Male, Female or Unknown)]]="Female",Backend!$C$7,IF(Table1[[#This Row],[Fetal Sex (Male, Female or Unknown)]]="Unknown",Backend!$C$8,"Error"))),"")</f>
        <v/>
      </c>
      <c r="F4475" s="8" t="str">
        <f>IF(Table1[[#This Row],[Is Data Valid]]=TRUE,EXP(0.578+0.332*((Table1[[#This Row],[Gestation (days)]]+0.5)/7)-0.00354*((Table1[[#This Row],[Gestation (days)]]+0.5)/7)^2)*Table1[[#This Row],[BW40_3705]],"")</f>
        <v/>
      </c>
      <c r="G4475" s="2" t="str">
        <f>IF(Table1[[#This Row],[Is Data Valid]]=TRUE,((Table1[[#This Row],[Birthweight (grams)]]/Table1[[#This Row],[BW_GA]])-1)/(Backend!$B$4/100*Table1[[#This Row],[BW40_3705]]),"")</f>
        <v/>
      </c>
      <c r="H4475" s="7" t="str">
        <f>IF(Table1[[#This Row],[Is Data Valid]]=TRUE,((Table1[[#This Row],[Birthweight (grams)]]*0.9/Table1[[#This Row],[BW_GA]])-1)/(Backend!$B$4/100*Table1[[#This Row],[BW40_3705]]),"")</f>
        <v/>
      </c>
      <c r="I4475" s="7" t="str">
        <f>IF(Table1[[#This Row],[Is Data Valid]]=TRUE,((Table1[[#This Row],[Birthweight (grams)]]*1.1/Table1[[#This Row],[BW_GA]])-1)/(Backend!$B$4/100*Table1[[#This Row],[BW40_3705]]),"")</f>
        <v/>
      </c>
      <c r="J4475" s="7" t="str">
        <f>IF(Table1[[#This Row],[Is Data Valid]]=TRUE,_xlfn.NORM.S.DIST(Table1[[#This Row],[Birthweight Z-Score]],TRUE)*100,"")</f>
        <v/>
      </c>
      <c r="K4475" s="7" t="str">
        <f>IF(Table1[[#This Row],[Is Data Valid]]=TRUE,_xlfn.NORM.S.DIST(Table1[[#This Row],[Birthweight Z-Score (BW-10%)]],TRUE)*100,"")</f>
        <v/>
      </c>
      <c r="L4475" s="7" t="str">
        <f>IF(Table1[[#This Row],[Is Data Valid]]=TRUE,_xlfn.NORM.S.DIST(Table1[[#This Row],[Birthweight Z-Score (BW+10%)]],TRUE)*100,"")</f>
        <v/>
      </c>
    </row>
    <row r="4476" spans="1:12" x14ac:dyDescent="0.35">
      <c r="A4476" s="3"/>
      <c r="B4476" s="2"/>
      <c r="C4476" s="2"/>
      <c r="D4476" s="2" t="b">
        <f>IF(AND(NOT(ISBLANK(Table1[[#This Row],[Fetal Sex (Male, Female or Unknown)]])),ISNUMBER(Table1[[#This Row],[Birthweight (grams)]]),ISNUMBER(Table1[[#This Row],[Gestation (days)]])),TRUE,FALSE)</f>
        <v>0</v>
      </c>
      <c r="E4476" s="2" t="str">
        <f>IF(Table1[[#This Row],[Is Data Valid]]=TRUE,IF(Table1[[#This Row],[Fetal Sex (Male, Female or Unknown)]]="Male",Backend!$C$6,IF(Table1[[#This Row],[Fetal Sex (Male, Female or Unknown)]]="Female",Backend!$C$7,IF(Table1[[#This Row],[Fetal Sex (Male, Female or Unknown)]]="Unknown",Backend!$C$8,"Error"))),"")</f>
        <v/>
      </c>
      <c r="F4476" s="8" t="str">
        <f>IF(Table1[[#This Row],[Is Data Valid]]=TRUE,EXP(0.578+0.332*((Table1[[#This Row],[Gestation (days)]]+0.5)/7)-0.00354*((Table1[[#This Row],[Gestation (days)]]+0.5)/7)^2)*Table1[[#This Row],[BW40_3705]],"")</f>
        <v/>
      </c>
      <c r="G4476" s="2" t="str">
        <f>IF(Table1[[#This Row],[Is Data Valid]]=TRUE,((Table1[[#This Row],[Birthweight (grams)]]/Table1[[#This Row],[BW_GA]])-1)/(Backend!$B$4/100*Table1[[#This Row],[BW40_3705]]),"")</f>
        <v/>
      </c>
      <c r="H4476" s="7" t="str">
        <f>IF(Table1[[#This Row],[Is Data Valid]]=TRUE,((Table1[[#This Row],[Birthweight (grams)]]*0.9/Table1[[#This Row],[BW_GA]])-1)/(Backend!$B$4/100*Table1[[#This Row],[BW40_3705]]),"")</f>
        <v/>
      </c>
      <c r="I4476" s="7" t="str">
        <f>IF(Table1[[#This Row],[Is Data Valid]]=TRUE,((Table1[[#This Row],[Birthweight (grams)]]*1.1/Table1[[#This Row],[BW_GA]])-1)/(Backend!$B$4/100*Table1[[#This Row],[BW40_3705]]),"")</f>
        <v/>
      </c>
      <c r="J4476" s="7" t="str">
        <f>IF(Table1[[#This Row],[Is Data Valid]]=TRUE,_xlfn.NORM.S.DIST(Table1[[#This Row],[Birthweight Z-Score]],TRUE)*100,"")</f>
        <v/>
      </c>
      <c r="K4476" s="7" t="str">
        <f>IF(Table1[[#This Row],[Is Data Valid]]=TRUE,_xlfn.NORM.S.DIST(Table1[[#This Row],[Birthweight Z-Score (BW-10%)]],TRUE)*100,"")</f>
        <v/>
      </c>
      <c r="L4476" s="7" t="str">
        <f>IF(Table1[[#This Row],[Is Data Valid]]=TRUE,_xlfn.NORM.S.DIST(Table1[[#This Row],[Birthweight Z-Score (BW+10%)]],TRUE)*100,"")</f>
        <v/>
      </c>
    </row>
    <row r="4477" spans="1:12" x14ac:dyDescent="0.35">
      <c r="A4477" s="3"/>
      <c r="B4477" s="2"/>
      <c r="C4477" s="2"/>
      <c r="D4477" s="2" t="b">
        <f>IF(AND(NOT(ISBLANK(Table1[[#This Row],[Fetal Sex (Male, Female or Unknown)]])),ISNUMBER(Table1[[#This Row],[Birthweight (grams)]]),ISNUMBER(Table1[[#This Row],[Gestation (days)]])),TRUE,FALSE)</f>
        <v>0</v>
      </c>
      <c r="E4477" s="2" t="str">
        <f>IF(Table1[[#This Row],[Is Data Valid]]=TRUE,IF(Table1[[#This Row],[Fetal Sex (Male, Female or Unknown)]]="Male",Backend!$C$6,IF(Table1[[#This Row],[Fetal Sex (Male, Female or Unknown)]]="Female",Backend!$C$7,IF(Table1[[#This Row],[Fetal Sex (Male, Female or Unknown)]]="Unknown",Backend!$C$8,"Error"))),"")</f>
        <v/>
      </c>
      <c r="F4477" s="8" t="str">
        <f>IF(Table1[[#This Row],[Is Data Valid]]=TRUE,EXP(0.578+0.332*((Table1[[#This Row],[Gestation (days)]]+0.5)/7)-0.00354*((Table1[[#This Row],[Gestation (days)]]+0.5)/7)^2)*Table1[[#This Row],[BW40_3705]],"")</f>
        <v/>
      </c>
      <c r="G4477" s="2" t="str">
        <f>IF(Table1[[#This Row],[Is Data Valid]]=TRUE,((Table1[[#This Row],[Birthweight (grams)]]/Table1[[#This Row],[BW_GA]])-1)/(Backend!$B$4/100*Table1[[#This Row],[BW40_3705]]),"")</f>
        <v/>
      </c>
      <c r="H4477" s="7" t="str">
        <f>IF(Table1[[#This Row],[Is Data Valid]]=TRUE,((Table1[[#This Row],[Birthweight (grams)]]*0.9/Table1[[#This Row],[BW_GA]])-1)/(Backend!$B$4/100*Table1[[#This Row],[BW40_3705]]),"")</f>
        <v/>
      </c>
      <c r="I4477" s="7" t="str">
        <f>IF(Table1[[#This Row],[Is Data Valid]]=TRUE,((Table1[[#This Row],[Birthweight (grams)]]*1.1/Table1[[#This Row],[BW_GA]])-1)/(Backend!$B$4/100*Table1[[#This Row],[BW40_3705]]),"")</f>
        <v/>
      </c>
      <c r="J4477" s="7" t="str">
        <f>IF(Table1[[#This Row],[Is Data Valid]]=TRUE,_xlfn.NORM.S.DIST(Table1[[#This Row],[Birthweight Z-Score]],TRUE)*100,"")</f>
        <v/>
      </c>
      <c r="K4477" s="7" t="str">
        <f>IF(Table1[[#This Row],[Is Data Valid]]=TRUE,_xlfn.NORM.S.DIST(Table1[[#This Row],[Birthweight Z-Score (BW-10%)]],TRUE)*100,"")</f>
        <v/>
      </c>
      <c r="L4477" s="7" t="str">
        <f>IF(Table1[[#This Row],[Is Data Valid]]=TRUE,_xlfn.NORM.S.DIST(Table1[[#This Row],[Birthweight Z-Score (BW+10%)]],TRUE)*100,"")</f>
        <v/>
      </c>
    </row>
    <row r="4478" spans="1:12" x14ac:dyDescent="0.35">
      <c r="A4478" s="3"/>
      <c r="B4478" s="2"/>
      <c r="C4478" s="2"/>
      <c r="D4478" s="2" t="b">
        <f>IF(AND(NOT(ISBLANK(Table1[[#This Row],[Fetal Sex (Male, Female or Unknown)]])),ISNUMBER(Table1[[#This Row],[Birthweight (grams)]]),ISNUMBER(Table1[[#This Row],[Gestation (days)]])),TRUE,FALSE)</f>
        <v>0</v>
      </c>
      <c r="E4478" s="2" t="str">
        <f>IF(Table1[[#This Row],[Is Data Valid]]=TRUE,IF(Table1[[#This Row],[Fetal Sex (Male, Female or Unknown)]]="Male",Backend!$C$6,IF(Table1[[#This Row],[Fetal Sex (Male, Female or Unknown)]]="Female",Backend!$C$7,IF(Table1[[#This Row],[Fetal Sex (Male, Female or Unknown)]]="Unknown",Backend!$C$8,"Error"))),"")</f>
        <v/>
      </c>
      <c r="F4478" s="8" t="str">
        <f>IF(Table1[[#This Row],[Is Data Valid]]=TRUE,EXP(0.578+0.332*((Table1[[#This Row],[Gestation (days)]]+0.5)/7)-0.00354*((Table1[[#This Row],[Gestation (days)]]+0.5)/7)^2)*Table1[[#This Row],[BW40_3705]],"")</f>
        <v/>
      </c>
      <c r="G4478" s="2" t="str">
        <f>IF(Table1[[#This Row],[Is Data Valid]]=TRUE,((Table1[[#This Row],[Birthweight (grams)]]/Table1[[#This Row],[BW_GA]])-1)/(Backend!$B$4/100*Table1[[#This Row],[BW40_3705]]),"")</f>
        <v/>
      </c>
      <c r="H4478" s="7" t="str">
        <f>IF(Table1[[#This Row],[Is Data Valid]]=TRUE,((Table1[[#This Row],[Birthweight (grams)]]*0.9/Table1[[#This Row],[BW_GA]])-1)/(Backend!$B$4/100*Table1[[#This Row],[BW40_3705]]),"")</f>
        <v/>
      </c>
      <c r="I4478" s="7" t="str">
        <f>IF(Table1[[#This Row],[Is Data Valid]]=TRUE,((Table1[[#This Row],[Birthweight (grams)]]*1.1/Table1[[#This Row],[BW_GA]])-1)/(Backend!$B$4/100*Table1[[#This Row],[BW40_3705]]),"")</f>
        <v/>
      </c>
      <c r="J4478" s="7" t="str">
        <f>IF(Table1[[#This Row],[Is Data Valid]]=TRUE,_xlfn.NORM.S.DIST(Table1[[#This Row],[Birthweight Z-Score]],TRUE)*100,"")</f>
        <v/>
      </c>
      <c r="K4478" s="7" t="str">
        <f>IF(Table1[[#This Row],[Is Data Valid]]=TRUE,_xlfn.NORM.S.DIST(Table1[[#This Row],[Birthweight Z-Score (BW-10%)]],TRUE)*100,"")</f>
        <v/>
      </c>
      <c r="L4478" s="7" t="str">
        <f>IF(Table1[[#This Row],[Is Data Valid]]=TRUE,_xlfn.NORM.S.DIST(Table1[[#This Row],[Birthweight Z-Score (BW+10%)]],TRUE)*100,"")</f>
        <v/>
      </c>
    </row>
    <row r="4479" spans="1:12" x14ac:dyDescent="0.35">
      <c r="A4479" s="3"/>
      <c r="B4479" s="2"/>
      <c r="C4479" s="2"/>
      <c r="D4479" s="2" t="b">
        <f>IF(AND(NOT(ISBLANK(Table1[[#This Row],[Fetal Sex (Male, Female or Unknown)]])),ISNUMBER(Table1[[#This Row],[Birthweight (grams)]]),ISNUMBER(Table1[[#This Row],[Gestation (days)]])),TRUE,FALSE)</f>
        <v>0</v>
      </c>
      <c r="E4479" s="2" t="str">
        <f>IF(Table1[[#This Row],[Is Data Valid]]=TRUE,IF(Table1[[#This Row],[Fetal Sex (Male, Female or Unknown)]]="Male",Backend!$C$6,IF(Table1[[#This Row],[Fetal Sex (Male, Female or Unknown)]]="Female",Backend!$C$7,IF(Table1[[#This Row],[Fetal Sex (Male, Female or Unknown)]]="Unknown",Backend!$C$8,"Error"))),"")</f>
        <v/>
      </c>
      <c r="F4479" s="8" t="str">
        <f>IF(Table1[[#This Row],[Is Data Valid]]=TRUE,EXP(0.578+0.332*((Table1[[#This Row],[Gestation (days)]]+0.5)/7)-0.00354*((Table1[[#This Row],[Gestation (days)]]+0.5)/7)^2)*Table1[[#This Row],[BW40_3705]],"")</f>
        <v/>
      </c>
      <c r="G4479" s="2" t="str">
        <f>IF(Table1[[#This Row],[Is Data Valid]]=TRUE,((Table1[[#This Row],[Birthweight (grams)]]/Table1[[#This Row],[BW_GA]])-1)/(Backend!$B$4/100*Table1[[#This Row],[BW40_3705]]),"")</f>
        <v/>
      </c>
      <c r="H4479" s="7" t="str">
        <f>IF(Table1[[#This Row],[Is Data Valid]]=TRUE,((Table1[[#This Row],[Birthweight (grams)]]*0.9/Table1[[#This Row],[BW_GA]])-1)/(Backend!$B$4/100*Table1[[#This Row],[BW40_3705]]),"")</f>
        <v/>
      </c>
      <c r="I4479" s="7" t="str">
        <f>IF(Table1[[#This Row],[Is Data Valid]]=TRUE,((Table1[[#This Row],[Birthweight (grams)]]*1.1/Table1[[#This Row],[BW_GA]])-1)/(Backend!$B$4/100*Table1[[#This Row],[BW40_3705]]),"")</f>
        <v/>
      </c>
      <c r="J4479" s="7" t="str">
        <f>IF(Table1[[#This Row],[Is Data Valid]]=TRUE,_xlfn.NORM.S.DIST(Table1[[#This Row],[Birthweight Z-Score]],TRUE)*100,"")</f>
        <v/>
      </c>
      <c r="K4479" s="7" t="str">
        <f>IF(Table1[[#This Row],[Is Data Valid]]=TRUE,_xlfn.NORM.S.DIST(Table1[[#This Row],[Birthweight Z-Score (BW-10%)]],TRUE)*100,"")</f>
        <v/>
      </c>
      <c r="L4479" s="7" t="str">
        <f>IF(Table1[[#This Row],[Is Data Valid]]=TRUE,_xlfn.NORM.S.DIST(Table1[[#This Row],[Birthweight Z-Score (BW+10%)]],TRUE)*100,"")</f>
        <v/>
      </c>
    </row>
    <row r="4480" spans="1:12" x14ac:dyDescent="0.35">
      <c r="A4480" s="3"/>
      <c r="B4480" s="2"/>
      <c r="C4480" s="2"/>
      <c r="D4480" s="2" t="b">
        <f>IF(AND(NOT(ISBLANK(Table1[[#This Row],[Fetal Sex (Male, Female or Unknown)]])),ISNUMBER(Table1[[#This Row],[Birthweight (grams)]]),ISNUMBER(Table1[[#This Row],[Gestation (days)]])),TRUE,FALSE)</f>
        <v>0</v>
      </c>
      <c r="E4480" s="2" t="str">
        <f>IF(Table1[[#This Row],[Is Data Valid]]=TRUE,IF(Table1[[#This Row],[Fetal Sex (Male, Female or Unknown)]]="Male",Backend!$C$6,IF(Table1[[#This Row],[Fetal Sex (Male, Female or Unknown)]]="Female",Backend!$C$7,IF(Table1[[#This Row],[Fetal Sex (Male, Female or Unknown)]]="Unknown",Backend!$C$8,"Error"))),"")</f>
        <v/>
      </c>
      <c r="F4480" s="8" t="str">
        <f>IF(Table1[[#This Row],[Is Data Valid]]=TRUE,EXP(0.578+0.332*((Table1[[#This Row],[Gestation (days)]]+0.5)/7)-0.00354*((Table1[[#This Row],[Gestation (days)]]+0.5)/7)^2)*Table1[[#This Row],[BW40_3705]],"")</f>
        <v/>
      </c>
      <c r="G4480" s="2" t="str">
        <f>IF(Table1[[#This Row],[Is Data Valid]]=TRUE,((Table1[[#This Row],[Birthweight (grams)]]/Table1[[#This Row],[BW_GA]])-1)/(Backend!$B$4/100*Table1[[#This Row],[BW40_3705]]),"")</f>
        <v/>
      </c>
      <c r="H4480" s="7" t="str">
        <f>IF(Table1[[#This Row],[Is Data Valid]]=TRUE,((Table1[[#This Row],[Birthweight (grams)]]*0.9/Table1[[#This Row],[BW_GA]])-1)/(Backend!$B$4/100*Table1[[#This Row],[BW40_3705]]),"")</f>
        <v/>
      </c>
      <c r="I4480" s="7" t="str">
        <f>IF(Table1[[#This Row],[Is Data Valid]]=TRUE,((Table1[[#This Row],[Birthweight (grams)]]*1.1/Table1[[#This Row],[BW_GA]])-1)/(Backend!$B$4/100*Table1[[#This Row],[BW40_3705]]),"")</f>
        <v/>
      </c>
      <c r="J4480" s="7" t="str">
        <f>IF(Table1[[#This Row],[Is Data Valid]]=TRUE,_xlfn.NORM.S.DIST(Table1[[#This Row],[Birthweight Z-Score]],TRUE)*100,"")</f>
        <v/>
      </c>
      <c r="K4480" s="7" t="str">
        <f>IF(Table1[[#This Row],[Is Data Valid]]=TRUE,_xlfn.NORM.S.DIST(Table1[[#This Row],[Birthweight Z-Score (BW-10%)]],TRUE)*100,"")</f>
        <v/>
      </c>
      <c r="L4480" s="7" t="str">
        <f>IF(Table1[[#This Row],[Is Data Valid]]=TRUE,_xlfn.NORM.S.DIST(Table1[[#This Row],[Birthweight Z-Score (BW+10%)]],TRUE)*100,"")</f>
        <v/>
      </c>
    </row>
    <row r="4481" spans="1:12" x14ac:dyDescent="0.35">
      <c r="A4481" s="3"/>
      <c r="B4481" s="2"/>
      <c r="C4481" s="2"/>
      <c r="D4481" s="2" t="b">
        <f>IF(AND(NOT(ISBLANK(Table1[[#This Row],[Fetal Sex (Male, Female or Unknown)]])),ISNUMBER(Table1[[#This Row],[Birthweight (grams)]]),ISNUMBER(Table1[[#This Row],[Gestation (days)]])),TRUE,FALSE)</f>
        <v>0</v>
      </c>
      <c r="E4481" s="2" t="str">
        <f>IF(Table1[[#This Row],[Is Data Valid]]=TRUE,IF(Table1[[#This Row],[Fetal Sex (Male, Female or Unknown)]]="Male",Backend!$C$6,IF(Table1[[#This Row],[Fetal Sex (Male, Female or Unknown)]]="Female",Backend!$C$7,IF(Table1[[#This Row],[Fetal Sex (Male, Female or Unknown)]]="Unknown",Backend!$C$8,"Error"))),"")</f>
        <v/>
      </c>
      <c r="F4481" s="8" t="str">
        <f>IF(Table1[[#This Row],[Is Data Valid]]=TRUE,EXP(0.578+0.332*((Table1[[#This Row],[Gestation (days)]]+0.5)/7)-0.00354*((Table1[[#This Row],[Gestation (days)]]+0.5)/7)^2)*Table1[[#This Row],[BW40_3705]],"")</f>
        <v/>
      </c>
      <c r="G4481" s="2" t="str">
        <f>IF(Table1[[#This Row],[Is Data Valid]]=TRUE,((Table1[[#This Row],[Birthweight (grams)]]/Table1[[#This Row],[BW_GA]])-1)/(Backend!$B$4/100*Table1[[#This Row],[BW40_3705]]),"")</f>
        <v/>
      </c>
      <c r="H4481" s="7" t="str">
        <f>IF(Table1[[#This Row],[Is Data Valid]]=TRUE,((Table1[[#This Row],[Birthweight (grams)]]*0.9/Table1[[#This Row],[BW_GA]])-1)/(Backend!$B$4/100*Table1[[#This Row],[BW40_3705]]),"")</f>
        <v/>
      </c>
      <c r="I4481" s="7" t="str">
        <f>IF(Table1[[#This Row],[Is Data Valid]]=TRUE,((Table1[[#This Row],[Birthweight (grams)]]*1.1/Table1[[#This Row],[BW_GA]])-1)/(Backend!$B$4/100*Table1[[#This Row],[BW40_3705]]),"")</f>
        <v/>
      </c>
      <c r="J4481" s="7" t="str">
        <f>IF(Table1[[#This Row],[Is Data Valid]]=TRUE,_xlfn.NORM.S.DIST(Table1[[#This Row],[Birthweight Z-Score]],TRUE)*100,"")</f>
        <v/>
      </c>
      <c r="K4481" s="7" t="str">
        <f>IF(Table1[[#This Row],[Is Data Valid]]=TRUE,_xlfn.NORM.S.DIST(Table1[[#This Row],[Birthweight Z-Score (BW-10%)]],TRUE)*100,"")</f>
        <v/>
      </c>
      <c r="L4481" s="7" t="str">
        <f>IF(Table1[[#This Row],[Is Data Valid]]=TRUE,_xlfn.NORM.S.DIST(Table1[[#This Row],[Birthweight Z-Score (BW+10%)]],TRUE)*100,"")</f>
        <v/>
      </c>
    </row>
    <row r="4482" spans="1:12" x14ac:dyDescent="0.35">
      <c r="A4482" s="3"/>
      <c r="B4482" s="2"/>
      <c r="C4482" s="2"/>
      <c r="D4482" s="2" t="b">
        <f>IF(AND(NOT(ISBLANK(Table1[[#This Row],[Fetal Sex (Male, Female or Unknown)]])),ISNUMBER(Table1[[#This Row],[Birthweight (grams)]]),ISNUMBER(Table1[[#This Row],[Gestation (days)]])),TRUE,FALSE)</f>
        <v>0</v>
      </c>
      <c r="E4482" s="2" t="str">
        <f>IF(Table1[[#This Row],[Is Data Valid]]=TRUE,IF(Table1[[#This Row],[Fetal Sex (Male, Female or Unknown)]]="Male",Backend!$C$6,IF(Table1[[#This Row],[Fetal Sex (Male, Female or Unknown)]]="Female",Backend!$C$7,IF(Table1[[#This Row],[Fetal Sex (Male, Female or Unknown)]]="Unknown",Backend!$C$8,"Error"))),"")</f>
        <v/>
      </c>
      <c r="F4482" s="8" t="str">
        <f>IF(Table1[[#This Row],[Is Data Valid]]=TRUE,EXP(0.578+0.332*((Table1[[#This Row],[Gestation (days)]]+0.5)/7)-0.00354*((Table1[[#This Row],[Gestation (days)]]+0.5)/7)^2)*Table1[[#This Row],[BW40_3705]],"")</f>
        <v/>
      </c>
      <c r="G4482" s="2" t="str">
        <f>IF(Table1[[#This Row],[Is Data Valid]]=TRUE,((Table1[[#This Row],[Birthweight (grams)]]/Table1[[#This Row],[BW_GA]])-1)/(Backend!$B$4/100*Table1[[#This Row],[BW40_3705]]),"")</f>
        <v/>
      </c>
      <c r="H4482" s="7" t="str">
        <f>IF(Table1[[#This Row],[Is Data Valid]]=TRUE,((Table1[[#This Row],[Birthweight (grams)]]*0.9/Table1[[#This Row],[BW_GA]])-1)/(Backend!$B$4/100*Table1[[#This Row],[BW40_3705]]),"")</f>
        <v/>
      </c>
      <c r="I4482" s="7" t="str">
        <f>IF(Table1[[#This Row],[Is Data Valid]]=TRUE,((Table1[[#This Row],[Birthweight (grams)]]*1.1/Table1[[#This Row],[BW_GA]])-1)/(Backend!$B$4/100*Table1[[#This Row],[BW40_3705]]),"")</f>
        <v/>
      </c>
      <c r="J4482" s="7" t="str">
        <f>IF(Table1[[#This Row],[Is Data Valid]]=TRUE,_xlfn.NORM.S.DIST(Table1[[#This Row],[Birthweight Z-Score]],TRUE)*100,"")</f>
        <v/>
      </c>
      <c r="K4482" s="7" t="str">
        <f>IF(Table1[[#This Row],[Is Data Valid]]=TRUE,_xlfn.NORM.S.DIST(Table1[[#This Row],[Birthweight Z-Score (BW-10%)]],TRUE)*100,"")</f>
        <v/>
      </c>
      <c r="L4482" s="7" t="str">
        <f>IF(Table1[[#This Row],[Is Data Valid]]=TRUE,_xlfn.NORM.S.DIST(Table1[[#This Row],[Birthweight Z-Score (BW+10%)]],TRUE)*100,"")</f>
        <v/>
      </c>
    </row>
    <row r="4483" spans="1:12" x14ac:dyDescent="0.35">
      <c r="A4483" s="3"/>
      <c r="B4483" s="2"/>
      <c r="C4483" s="2"/>
      <c r="D4483" s="2" t="b">
        <f>IF(AND(NOT(ISBLANK(Table1[[#This Row],[Fetal Sex (Male, Female or Unknown)]])),ISNUMBER(Table1[[#This Row],[Birthweight (grams)]]),ISNUMBER(Table1[[#This Row],[Gestation (days)]])),TRUE,FALSE)</f>
        <v>0</v>
      </c>
      <c r="E4483" s="2" t="str">
        <f>IF(Table1[[#This Row],[Is Data Valid]]=TRUE,IF(Table1[[#This Row],[Fetal Sex (Male, Female or Unknown)]]="Male",Backend!$C$6,IF(Table1[[#This Row],[Fetal Sex (Male, Female or Unknown)]]="Female",Backend!$C$7,IF(Table1[[#This Row],[Fetal Sex (Male, Female or Unknown)]]="Unknown",Backend!$C$8,"Error"))),"")</f>
        <v/>
      </c>
      <c r="F4483" s="8" t="str">
        <f>IF(Table1[[#This Row],[Is Data Valid]]=TRUE,EXP(0.578+0.332*((Table1[[#This Row],[Gestation (days)]]+0.5)/7)-0.00354*((Table1[[#This Row],[Gestation (days)]]+0.5)/7)^2)*Table1[[#This Row],[BW40_3705]],"")</f>
        <v/>
      </c>
      <c r="G4483" s="2" t="str">
        <f>IF(Table1[[#This Row],[Is Data Valid]]=TRUE,((Table1[[#This Row],[Birthweight (grams)]]/Table1[[#This Row],[BW_GA]])-1)/(Backend!$B$4/100*Table1[[#This Row],[BW40_3705]]),"")</f>
        <v/>
      </c>
      <c r="H4483" s="7" t="str">
        <f>IF(Table1[[#This Row],[Is Data Valid]]=TRUE,((Table1[[#This Row],[Birthweight (grams)]]*0.9/Table1[[#This Row],[BW_GA]])-1)/(Backend!$B$4/100*Table1[[#This Row],[BW40_3705]]),"")</f>
        <v/>
      </c>
      <c r="I4483" s="7" t="str">
        <f>IF(Table1[[#This Row],[Is Data Valid]]=TRUE,((Table1[[#This Row],[Birthweight (grams)]]*1.1/Table1[[#This Row],[BW_GA]])-1)/(Backend!$B$4/100*Table1[[#This Row],[BW40_3705]]),"")</f>
        <v/>
      </c>
      <c r="J4483" s="7" t="str">
        <f>IF(Table1[[#This Row],[Is Data Valid]]=TRUE,_xlfn.NORM.S.DIST(Table1[[#This Row],[Birthweight Z-Score]],TRUE)*100,"")</f>
        <v/>
      </c>
      <c r="K4483" s="7" t="str">
        <f>IF(Table1[[#This Row],[Is Data Valid]]=TRUE,_xlfn.NORM.S.DIST(Table1[[#This Row],[Birthweight Z-Score (BW-10%)]],TRUE)*100,"")</f>
        <v/>
      </c>
      <c r="L4483" s="7" t="str">
        <f>IF(Table1[[#This Row],[Is Data Valid]]=TRUE,_xlfn.NORM.S.DIST(Table1[[#This Row],[Birthweight Z-Score (BW+10%)]],TRUE)*100,"")</f>
        <v/>
      </c>
    </row>
    <row r="4484" spans="1:12" x14ac:dyDescent="0.35">
      <c r="A4484" s="3"/>
      <c r="B4484" s="2"/>
      <c r="C4484" s="2"/>
      <c r="D4484" s="2" t="b">
        <f>IF(AND(NOT(ISBLANK(Table1[[#This Row],[Fetal Sex (Male, Female or Unknown)]])),ISNUMBER(Table1[[#This Row],[Birthweight (grams)]]),ISNUMBER(Table1[[#This Row],[Gestation (days)]])),TRUE,FALSE)</f>
        <v>0</v>
      </c>
      <c r="E4484" s="2" t="str">
        <f>IF(Table1[[#This Row],[Is Data Valid]]=TRUE,IF(Table1[[#This Row],[Fetal Sex (Male, Female or Unknown)]]="Male",Backend!$C$6,IF(Table1[[#This Row],[Fetal Sex (Male, Female or Unknown)]]="Female",Backend!$C$7,IF(Table1[[#This Row],[Fetal Sex (Male, Female or Unknown)]]="Unknown",Backend!$C$8,"Error"))),"")</f>
        <v/>
      </c>
      <c r="F4484" s="8" t="str">
        <f>IF(Table1[[#This Row],[Is Data Valid]]=TRUE,EXP(0.578+0.332*((Table1[[#This Row],[Gestation (days)]]+0.5)/7)-0.00354*((Table1[[#This Row],[Gestation (days)]]+0.5)/7)^2)*Table1[[#This Row],[BW40_3705]],"")</f>
        <v/>
      </c>
      <c r="G4484" s="2" t="str">
        <f>IF(Table1[[#This Row],[Is Data Valid]]=TRUE,((Table1[[#This Row],[Birthweight (grams)]]/Table1[[#This Row],[BW_GA]])-1)/(Backend!$B$4/100*Table1[[#This Row],[BW40_3705]]),"")</f>
        <v/>
      </c>
      <c r="H4484" s="7" t="str">
        <f>IF(Table1[[#This Row],[Is Data Valid]]=TRUE,((Table1[[#This Row],[Birthweight (grams)]]*0.9/Table1[[#This Row],[BW_GA]])-1)/(Backend!$B$4/100*Table1[[#This Row],[BW40_3705]]),"")</f>
        <v/>
      </c>
      <c r="I4484" s="7" t="str">
        <f>IF(Table1[[#This Row],[Is Data Valid]]=TRUE,((Table1[[#This Row],[Birthweight (grams)]]*1.1/Table1[[#This Row],[BW_GA]])-1)/(Backend!$B$4/100*Table1[[#This Row],[BW40_3705]]),"")</f>
        <v/>
      </c>
      <c r="J4484" s="7" t="str">
        <f>IF(Table1[[#This Row],[Is Data Valid]]=TRUE,_xlfn.NORM.S.DIST(Table1[[#This Row],[Birthweight Z-Score]],TRUE)*100,"")</f>
        <v/>
      </c>
      <c r="K4484" s="7" t="str">
        <f>IF(Table1[[#This Row],[Is Data Valid]]=TRUE,_xlfn.NORM.S.DIST(Table1[[#This Row],[Birthweight Z-Score (BW-10%)]],TRUE)*100,"")</f>
        <v/>
      </c>
      <c r="L4484" s="7" t="str">
        <f>IF(Table1[[#This Row],[Is Data Valid]]=TRUE,_xlfn.NORM.S.DIST(Table1[[#This Row],[Birthweight Z-Score (BW+10%)]],TRUE)*100,"")</f>
        <v/>
      </c>
    </row>
    <row r="4485" spans="1:12" x14ac:dyDescent="0.35">
      <c r="A4485" s="3"/>
      <c r="B4485" s="2"/>
      <c r="C4485" s="2"/>
      <c r="D4485" s="2" t="b">
        <f>IF(AND(NOT(ISBLANK(Table1[[#This Row],[Fetal Sex (Male, Female or Unknown)]])),ISNUMBER(Table1[[#This Row],[Birthweight (grams)]]),ISNUMBER(Table1[[#This Row],[Gestation (days)]])),TRUE,FALSE)</f>
        <v>0</v>
      </c>
      <c r="E4485" s="2" t="str">
        <f>IF(Table1[[#This Row],[Is Data Valid]]=TRUE,IF(Table1[[#This Row],[Fetal Sex (Male, Female or Unknown)]]="Male",Backend!$C$6,IF(Table1[[#This Row],[Fetal Sex (Male, Female or Unknown)]]="Female",Backend!$C$7,IF(Table1[[#This Row],[Fetal Sex (Male, Female or Unknown)]]="Unknown",Backend!$C$8,"Error"))),"")</f>
        <v/>
      </c>
      <c r="F4485" s="8" t="str">
        <f>IF(Table1[[#This Row],[Is Data Valid]]=TRUE,EXP(0.578+0.332*((Table1[[#This Row],[Gestation (days)]]+0.5)/7)-0.00354*((Table1[[#This Row],[Gestation (days)]]+0.5)/7)^2)*Table1[[#This Row],[BW40_3705]],"")</f>
        <v/>
      </c>
      <c r="G4485" s="2" t="str">
        <f>IF(Table1[[#This Row],[Is Data Valid]]=TRUE,((Table1[[#This Row],[Birthweight (grams)]]/Table1[[#This Row],[BW_GA]])-1)/(Backend!$B$4/100*Table1[[#This Row],[BW40_3705]]),"")</f>
        <v/>
      </c>
      <c r="H4485" s="7" t="str">
        <f>IF(Table1[[#This Row],[Is Data Valid]]=TRUE,((Table1[[#This Row],[Birthweight (grams)]]*0.9/Table1[[#This Row],[BW_GA]])-1)/(Backend!$B$4/100*Table1[[#This Row],[BW40_3705]]),"")</f>
        <v/>
      </c>
      <c r="I4485" s="7" t="str">
        <f>IF(Table1[[#This Row],[Is Data Valid]]=TRUE,((Table1[[#This Row],[Birthweight (grams)]]*1.1/Table1[[#This Row],[BW_GA]])-1)/(Backend!$B$4/100*Table1[[#This Row],[BW40_3705]]),"")</f>
        <v/>
      </c>
      <c r="J4485" s="7" t="str">
        <f>IF(Table1[[#This Row],[Is Data Valid]]=TRUE,_xlfn.NORM.S.DIST(Table1[[#This Row],[Birthweight Z-Score]],TRUE)*100,"")</f>
        <v/>
      </c>
      <c r="K4485" s="7" t="str">
        <f>IF(Table1[[#This Row],[Is Data Valid]]=TRUE,_xlfn.NORM.S.DIST(Table1[[#This Row],[Birthweight Z-Score (BW-10%)]],TRUE)*100,"")</f>
        <v/>
      </c>
      <c r="L4485" s="7" t="str">
        <f>IF(Table1[[#This Row],[Is Data Valid]]=TRUE,_xlfn.NORM.S.DIST(Table1[[#This Row],[Birthweight Z-Score (BW+10%)]],TRUE)*100,"")</f>
        <v/>
      </c>
    </row>
    <row r="4486" spans="1:12" x14ac:dyDescent="0.35">
      <c r="A4486" s="3"/>
      <c r="B4486" s="2"/>
      <c r="C4486" s="2"/>
      <c r="D4486" s="2" t="b">
        <f>IF(AND(NOT(ISBLANK(Table1[[#This Row],[Fetal Sex (Male, Female or Unknown)]])),ISNUMBER(Table1[[#This Row],[Birthweight (grams)]]),ISNUMBER(Table1[[#This Row],[Gestation (days)]])),TRUE,FALSE)</f>
        <v>0</v>
      </c>
      <c r="E4486" s="2" t="str">
        <f>IF(Table1[[#This Row],[Is Data Valid]]=TRUE,IF(Table1[[#This Row],[Fetal Sex (Male, Female or Unknown)]]="Male",Backend!$C$6,IF(Table1[[#This Row],[Fetal Sex (Male, Female or Unknown)]]="Female",Backend!$C$7,IF(Table1[[#This Row],[Fetal Sex (Male, Female or Unknown)]]="Unknown",Backend!$C$8,"Error"))),"")</f>
        <v/>
      </c>
      <c r="F4486" s="8" t="str">
        <f>IF(Table1[[#This Row],[Is Data Valid]]=TRUE,EXP(0.578+0.332*((Table1[[#This Row],[Gestation (days)]]+0.5)/7)-0.00354*((Table1[[#This Row],[Gestation (days)]]+0.5)/7)^2)*Table1[[#This Row],[BW40_3705]],"")</f>
        <v/>
      </c>
      <c r="G4486" s="2" t="str">
        <f>IF(Table1[[#This Row],[Is Data Valid]]=TRUE,((Table1[[#This Row],[Birthweight (grams)]]/Table1[[#This Row],[BW_GA]])-1)/(Backend!$B$4/100*Table1[[#This Row],[BW40_3705]]),"")</f>
        <v/>
      </c>
      <c r="H4486" s="7" t="str">
        <f>IF(Table1[[#This Row],[Is Data Valid]]=TRUE,((Table1[[#This Row],[Birthweight (grams)]]*0.9/Table1[[#This Row],[BW_GA]])-1)/(Backend!$B$4/100*Table1[[#This Row],[BW40_3705]]),"")</f>
        <v/>
      </c>
      <c r="I4486" s="7" t="str">
        <f>IF(Table1[[#This Row],[Is Data Valid]]=TRUE,((Table1[[#This Row],[Birthweight (grams)]]*1.1/Table1[[#This Row],[BW_GA]])-1)/(Backend!$B$4/100*Table1[[#This Row],[BW40_3705]]),"")</f>
        <v/>
      </c>
      <c r="J4486" s="7" t="str">
        <f>IF(Table1[[#This Row],[Is Data Valid]]=TRUE,_xlfn.NORM.S.DIST(Table1[[#This Row],[Birthweight Z-Score]],TRUE)*100,"")</f>
        <v/>
      </c>
      <c r="K4486" s="7" t="str">
        <f>IF(Table1[[#This Row],[Is Data Valid]]=TRUE,_xlfn.NORM.S.DIST(Table1[[#This Row],[Birthweight Z-Score (BW-10%)]],TRUE)*100,"")</f>
        <v/>
      </c>
      <c r="L4486" s="7" t="str">
        <f>IF(Table1[[#This Row],[Is Data Valid]]=TRUE,_xlfn.NORM.S.DIST(Table1[[#This Row],[Birthweight Z-Score (BW+10%)]],TRUE)*100,"")</f>
        <v/>
      </c>
    </row>
    <row r="4487" spans="1:12" x14ac:dyDescent="0.35">
      <c r="A4487" s="3"/>
      <c r="B4487" s="2"/>
      <c r="C4487" s="2"/>
      <c r="D4487" s="2" t="b">
        <f>IF(AND(NOT(ISBLANK(Table1[[#This Row],[Fetal Sex (Male, Female or Unknown)]])),ISNUMBER(Table1[[#This Row],[Birthweight (grams)]]),ISNUMBER(Table1[[#This Row],[Gestation (days)]])),TRUE,FALSE)</f>
        <v>0</v>
      </c>
      <c r="E4487" s="2" t="str">
        <f>IF(Table1[[#This Row],[Is Data Valid]]=TRUE,IF(Table1[[#This Row],[Fetal Sex (Male, Female or Unknown)]]="Male",Backend!$C$6,IF(Table1[[#This Row],[Fetal Sex (Male, Female or Unknown)]]="Female",Backend!$C$7,IF(Table1[[#This Row],[Fetal Sex (Male, Female or Unknown)]]="Unknown",Backend!$C$8,"Error"))),"")</f>
        <v/>
      </c>
      <c r="F4487" s="8" t="str">
        <f>IF(Table1[[#This Row],[Is Data Valid]]=TRUE,EXP(0.578+0.332*((Table1[[#This Row],[Gestation (days)]]+0.5)/7)-0.00354*((Table1[[#This Row],[Gestation (days)]]+0.5)/7)^2)*Table1[[#This Row],[BW40_3705]],"")</f>
        <v/>
      </c>
      <c r="G4487" s="2" t="str">
        <f>IF(Table1[[#This Row],[Is Data Valid]]=TRUE,((Table1[[#This Row],[Birthweight (grams)]]/Table1[[#This Row],[BW_GA]])-1)/(Backend!$B$4/100*Table1[[#This Row],[BW40_3705]]),"")</f>
        <v/>
      </c>
      <c r="H4487" s="7" t="str">
        <f>IF(Table1[[#This Row],[Is Data Valid]]=TRUE,((Table1[[#This Row],[Birthweight (grams)]]*0.9/Table1[[#This Row],[BW_GA]])-1)/(Backend!$B$4/100*Table1[[#This Row],[BW40_3705]]),"")</f>
        <v/>
      </c>
      <c r="I4487" s="7" t="str">
        <f>IF(Table1[[#This Row],[Is Data Valid]]=TRUE,((Table1[[#This Row],[Birthweight (grams)]]*1.1/Table1[[#This Row],[BW_GA]])-1)/(Backend!$B$4/100*Table1[[#This Row],[BW40_3705]]),"")</f>
        <v/>
      </c>
      <c r="J4487" s="7" t="str">
        <f>IF(Table1[[#This Row],[Is Data Valid]]=TRUE,_xlfn.NORM.S.DIST(Table1[[#This Row],[Birthweight Z-Score]],TRUE)*100,"")</f>
        <v/>
      </c>
      <c r="K4487" s="7" t="str">
        <f>IF(Table1[[#This Row],[Is Data Valid]]=TRUE,_xlfn.NORM.S.DIST(Table1[[#This Row],[Birthweight Z-Score (BW-10%)]],TRUE)*100,"")</f>
        <v/>
      </c>
      <c r="L4487" s="7" t="str">
        <f>IF(Table1[[#This Row],[Is Data Valid]]=TRUE,_xlfn.NORM.S.DIST(Table1[[#This Row],[Birthweight Z-Score (BW+10%)]],TRUE)*100,"")</f>
        <v/>
      </c>
    </row>
    <row r="4488" spans="1:12" x14ac:dyDescent="0.35">
      <c r="A4488" s="3"/>
      <c r="B4488" s="2"/>
      <c r="C4488" s="2"/>
      <c r="D4488" s="2" t="b">
        <f>IF(AND(NOT(ISBLANK(Table1[[#This Row],[Fetal Sex (Male, Female or Unknown)]])),ISNUMBER(Table1[[#This Row],[Birthweight (grams)]]),ISNUMBER(Table1[[#This Row],[Gestation (days)]])),TRUE,FALSE)</f>
        <v>0</v>
      </c>
      <c r="E4488" s="2" t="str">
        <f>IF(Table1[[#This Row],[Is Data Valid]]=TRUE,IF(Table1[[#This Row],[Fetal Sex (Male, Female or Unknown)]]="Male",Backend!$C$6,IF(Table1[[#This Row],[Fetal Sex (Male, Female or Unknown)]]="Female",Backend!$C$7,IF(Table1[[#This Row],[Fetal Sex (Male, Female or Unknown)]]="Unknown",Backend!$C$8,"Error"))),"")</f>
        <v/>
      </c>
      <c r="F4488" s="8" t="str">
        <f>IF(Table1[[#This Row],[Is Data Valid]]=TRUE,EXP(0.578+0.332*((Table1[[#This Row],[Gestation (days)]]+0.5)/7)-0.00354*((Table1[[#This Row],[Gestation (days)]]+0.5)/7)^2)*Table1[[#This Row],[BW40_3705]],"")</f>
        <v/>
      </c>
      <c r="G4488" s="2" t="str">
        <f>IF(Table1[[#This Row],[Is Data Valid]]=TRUE,((Table1[[#This Row],[Birthweight (grams)]]/Table1[[#This Row],[BW_GA]])-1)/(Backend!$B$4/100*Table1[[#This Row],[BW40_3705]]),"")</f>
        <v/>
      </c>
      <c r="H4488" s="7" t="str">
        <f>IF(Table1[[#This Row],[Is Data Valid]]=TRUE,((Table1[[#This Row],[Birthweight (grams)]]*0.9/Table1[[#This Row],[BW_GA]])-1)/(Backend!$B$4/100*Table1[[#This Row],[BW40_3705]]),"")</f>
        <v/>
      </c>
      <c r="I4488" s="7" t="str">
        <f>IF(Table1[[#This Row],[Is Data Valid]]=TRUE,((Table1[[#This Row],[Birthweight (grams)]]*1.1/Table1[[#This Row],[BW_GA]])-1)/(Backend!$B$4/100*Table1[[#This Row],[BW40_3705]]),"")</f>
        <v/>
      </c>
      <c r="J4488" s="7" t="str">
        <f>IF(Table1[[#This Row],[Is Data Valid]]=TRUE,_xlfn.NORM.S.DIST(Table1[[#This Row],[Birthweight Z-Score]],TRUE)*100,"")</f>
        <v/>
      </c>
      <c r="K4488" s="7" t="str">
        <f>IF(Table1[[#This Row],[Is Data Valid]]=TRUE,_xlfn.NORM.S.DIST(Table1[[#This Row],[Birthweight Z-Score (BW-10%)]],TRUE)*100,"")</f>
        <v/>
      </c>
      <c r="L4488" s="7" t="str">
        <f>IF(Table1[[#This Row],[Is Data Valid]]=TRUE,_xlfn.NORM.S.DIST(Table1[[#This Row],[Birthweight Z-Score (BW+10%)]],TRUE)*100,"")</f>
        <v/>
      </c>
    </row>
    <row r="4489" spans="1:12" x14ac:dyDescent="0.35">
      <c r="A4489" s="3"/>
      <c r="B4489" s="2"/>
      <c r="C4489" s="2"/>
      <c r="D4489" s="2" t="b">
        <f>IF(AND(NOT(ISBLANK(Table1[[#This Row],[Fetal Sex (Male, Female or Unknown)]])),ISNUMBER(Table1[[#This Row],[Birthweight (grams)]]),ISNUMBER(Table1[[#This Row],[Gestation (days)]])),TRUE,FALSE)</f>
        <v>0</v>
      </c>
      <c r="E4489" s="2" t="str">
        <f>IF(Table1[[#This Row],[Is Data Valid]]=TRUE,IF(Table1[[#This Row],[Fetal Sex (Male, Female or Unknown)]]="Male",Backend!$C$6,IF(Table1[[#This Row],[Fetal Sex (Male, Female or Unknown)]]="Female",Backend!$C$7,IF(Table1[[#This Row],[Fetal Sex (Male, Female or Unknown)]]="Unknown",Backend!$C$8,"Error"))),"")</f>
        <v/>
      </c>
      <c r="F4489" s="8" t="str">
        <f>IF(Table1[[#This Row],[Is Data Valid]]=TRUE,EXP(0.578+0.332*((Table1[[#This Row],[Gestation (days)]]+0.5)/7)-0.00354*((Table1[[#This Row],[Gestation (days)]]+0.5)/7)^2)*Table1[[#This Row],[BW40_3705]],"")</f>
        <v/>
      </c>
      <c r="G4489" s="2" t="str">
        <f>IF(Table1[[#This Row],[Is Data Valid]]=TRUE,((Table1[[#This Row],[Birthweight (grams)]]/Table1[[#This Row],[BW_GA]])-1)/(Backend!$B$4/100*Table1[[#This Row],[BW40_3705]]),"")</f>
        <v/>
      </c>
      <c r="H4489" s="7" t="str">
        <f>IF(Table1[[#This Row],[Is Data Valid]]=TRUE,((Table1[[#This Row],[Birthweight (grams)]]*0.9/Table1[[#This Row],[BW_GA]])-1)/(Backend!$B$4/100*Table1[[#This Row],[BW40_3705]]),"")</f>
        <v/>
      </c>
      <c r="I4489" s="7" t="str">
        <f>IF(Table1[[#This Row],[Is Data Valid]]=TRUE,((Table1[[#This Row],[Birthweight (grams)]]*1.1/Table1[[#This Row],[BW_GA]])-1)/(Backend!$B$4/100*Table1[[#This Row],[BW40_3705]]),"")</f>
        <v/>
      </c>
      <c r="J4489" s="7" t="str">
        <f>IF(Table1[[#This Row],[Is Data Valid]]=TRUE,_xlfn.NORM.S.DIST(Table1[[#This Row],[Birthweight Z-Score]],TRUE)*100,"")</f>
        <v/>
      </c>
      <c r="K4489" s="7" t="str">
        <f>IF(Table1[[#This Row],[Is Data Valid]]=TRUE,_xlfn.NORM.S.DIST(Table1[[#This Row],[Birthweight Z-Score (BW-10%)]],TRUE)*100,"")</f>
        <v/>
      </c>
      <c r="L4489" s="7" t="str">
        <f>IF(Table1[[#This Row],[Is Data Valid]]=TRUE,_xlfn.NORM.S.DIST(Table1[[#This Row],[Birthweight Z-Score (BW+10%)]],TRUE)*100,"")</f>
        <v/>
      </c>
    </row>
    <row r="4490" spans="1:12" x14ac:dyDescent="0.35">
      <c r="A4490" s="3"/>
      <c r="B4490" s="2"/>
      <c r="C4490" s="2"/>
      <c r="D4490" s="2" t="b">
        <f>IF(AND(NOT(ISBLANK(Table1[[#This Row],[Fetal Sex (Male, Female or Unknown)]])),ISNUMBER(Table1[[#This Row],[Birthweight (grams)]]),ISNUMBER(Table1[[#This Row],[Gestation (days)]])),TRUE,FALSE)</f>
        <v>0</v>
      </c>
      <c r="E4490" s="2" t="str">
        <f>IF(Table1[[#This Row],[Is Data Valid]]=TRUE,IF(Table1[[#This Row],[Fetal Sex (Male, Female or Unknown)]]="Male",Backend!$C$6,IF(Table1[[#This Row],[Fetal Sex (Male, Female or Unknown)]]="Female",Backend!$C$7,IF(Table1[[#This Row],[Fetal Sex (Male, Female or Unknown)]]="Unknown",Backend!$C$8,"Error"))),"")</f>
        <v/>
      </c>
      <c r="F4490" s="8" t="str">
        <f>IF(Table1[[#This Row],[Is Data Valid]]=TRUE,EXP(0.578+0.332*((Table1[[#This Row],[Gestation (days)]]+0.5)/7)-0.00354*((Table1[[#This Row],[Gestation (days)]]+0.5)/7)^2)*Table1[[#This Row],[BW40_3705]],"")</f>
        <v/>
      </c>
      <c r="G4490" s="2" t="str">
        <f>IF(Table1[[#This Row],[Is Data Valid]]=TRUE,((Table1[[#This Row],[Birthweight (grams)]]/Table1[[#This Row],[BW_GA]])-1)/(Backend!$B$4/100*Table1[[#This Row],[BW40_3705]]),"")</f>
        <v/>
      </c>
      <c r="H4490" s="7" t="str">
        <f>IF(Table1[[#This Row],[Is Data Valid]]=TRUE,((Table1[[#This Row],[Birthweight (grams)]]*0.9/Table1[[#This Row],[BW_GA]])-1)/(Backend!$B$4/100*Table1[[#This Row],[BW40_3705]]),"")</f>
        <v/>
      </c>
      <c r="I4490" s="7" t="str">
        <f>IF(Table1[[#This Row],[Is Data Valid]]=TRUE,((Table1[[#This Row],[Birthweight (grams)]]*1.1/Table1[[#This Row],[BW_GA]])-1)/(Backend!$B$4/100*Table1[[#This Row],[BW40_3705]]),"")</f>
        <v/>
      </c>
      <c r="J4490" s="7" t="str">
        <f>IF(Table1[[#This Row],[Is Data Valid]]=TRUE,_xlfn.NORM.S.DIST(Table1[[#This Row],[Birthweight Z-Score]],TRUE)*100,"")</f>
        <v/>
      </c>
      <c r="K4490" s="7" t="str">
        <f>IF(Table1[[#This Row],[Is Data Valid]]=TRUE,_xlfn.NORM.S.DIST(Table1[[#This Row],[Birthweight Z-Score (BW-10%)]],TRUE)*100,"")</f>
        <v/>
      </c>
      <c r="L4490" s="7" t="str">
        <f>IF(Table1[[#This Row],[Is Data Valid]]=TRUE,_xlfn.NORM.S.DIST(Table1[[#This Row],[Birthweight Z-Score (BW+10%)]],TRUE)*100,"")</f>
        <v/>
      </c>
    </row>
    <row r="4491" spans="1:12" x14ac:dyDescent="0.35">
      <c r="A4491" s="3"/>
      <c r="B4491" s="2"/>
      <c r="C4491" s="2"/>
      <c r="D4491" s="2" t="b">
        <f>IF(AND(NOT(ISBLANK(Table1[[#This Row],[Fetal Sex (Male, Female or Unknown)]])),ISNUMBER(Table1[[#This Row],[Birthweight (grams)]]),ISNUMBER(Table1[[#This Row],[Gestation (days)]])),TRUE,FALSE)</f>
        <v>0</v>
      </c>
      <c r="E4491" s="2" t="str">
        <f>IF(Table1[[#This Row],[Is Data Valid]]=TRUE,IF(Table1[[#This Row],[Fetal Sex (Male, Female or Unknown)]]="Male",Backend!$C$6,IF(Table1[[#This Row],[Fetal Sex (Male, Female or Unknown)]]="Female",Backend!$C$7,IF(Table1[[#This Row],[Fetal Sex (Male, Female or Unknown)]]="Unknown",Backend!$C$8,"Error"))),"")</f>
        <v/>
      </c>
      <c r="F4491" s="8" t="str">
        <f>IF(Table1[[#This Row],[Is Data Valid]]=TRUE,EXP(0.578+0.332*((Table1[[#This Row],[Gestation (days)]]+0.5)/7)-0.00354*((Table1[[#This Row],[Gestation (days)]]+0.5)/7)^2)*Table1[[#This Row],[BW40_3705]],"")</f>
        <v/>
      </c>
      <c r="G4491" s="2" t="str">
        <f>IF(Table1[[#This Row],[Is Data Valid]]=TRUE,((Table1[[#This Row],[Birthweight (grams)]]/Table1[[#This Row],[BW_GA]])-1)/(Backend!$B$4/100*Table1[[#This Row],[BW40_3705]]),"")</f>
        <v/>
      </c>
      <c r="H4491" s="7" t="str">
        <f>IF(Table1[[#This Row],[Is Data Valid]]=TRUE,((Table1[[#This Row],[Birthweight (grams)]]*0.9/Table1[[#This Row],[BW_GA]])-1)/(Backend!$B$4/100*Table1[[#This Row],[BW40_3705]]),"")</f>
        <v/>
      </c>
      <c r="I4491" s="7" t="str">
        <f>IF(Table1[[#This Row],[Is Data Valid]]=TRUE,((Table1[[#This Row],[Birthweight (grams)]]*1.1/Table1[[#This Row],[BW_GA]])-1)/(Backend!$B$4/100*Table1[[#This Row],[BW40_3705]]),"")</f>
        <v/>
      </c>
      <c r="J4491" s="7" t="str">
        <f>IF(Table1[[#This Row],[Is Data Valid]]=TRUE,_xlfn.NORM.S.DIST(Table1[[#This Row],[Birthweight Z-Score]],TRUE)*100,"")</f>
        <v/>
      </c>
      <c r="K4491" s="7" t="str">
        <f>IF(Table1[[#This Row],[Is Data Valid]]=TRUE,_xlfn.NORM.S.DIST(Table1[[#This Row],[Birthweight Z-Score (BW-10%)]],TRUE)*100,"")</f>
        <v/>
      </c>
      <c r="L4491" s="7" t="str">
        <f>IF(Table1[[#This Row],[Is Data Valid]]=TRUE,_xlfn.NORM.S.DIST(Table1[[#This Row],[Birthweight Z-Score (BW+10%)]],TRUE)*100,"")</f>
        <v/>
      </c>
    </row>
    <row r="4492" spans="1:12" x14ac:dyDescent="0.35">
      <c r="A4492" s="3"/>
      <c r="B4492" s="2"/>
      <c r="C4492" s="2"/>
      <c r="D4492" s="2" t="b">
        <f>IF(AND(NOT(ISBLANK(Table1[[#This Row],[Fetal Sex (Male, Female or Unknown)]])),ISNUMBER(Table1[[#This Row],[Birthweight (grams)]]),ISNUMBER(Table1[[#This Row],[Gestation (days)]])),TRUE,FALSE)</f>
        <v>0</v>
      </c>
      <c r="E4492" s="2" t="str">
        <f>IF(Table1[[#This Row],[Is Data Valid]]=TRUE,IF(Table1[[#This Row],[Fetal Sex (Male, Female or Unknown)]]="Male",Backend!$C$6,IF(Table1[[#This Row],[Fetal Sex (Male, Female or Unknown)]]="Female",Backend!$C$7,IF(Table1[[#This Row],[Fetal Sex (Male, Female or Unknown)]]="Unknown",Backend!$C$8,"Error"))),"")</f>
        <v/>
      </c>
      <c r="F4492" s="8" t="str">
        <f>IF(Table1[[#This Row],[Is Data Valid]]=TRUE,EXP(0.578+0.332*((Table1[[#This Row],[Gestation (days)]]+0.5)/7)-0.00354*((Table1[[#This Row],[Gestation (days)]]+0.5)/7)^2)*Table1[[#This Row],[BW40_3705]],"")</f>
        <v/>
      </c>
      <c r="G4492" s="2" t="str">
        <f>IF(Table1[[#This Row],[Is Data Valid]]=TRUE,((Table1[[#This Row],[Birthweight (grams)]]/Table1[[#This Row],[BW_GA]])-1)/(Backend!$B$4/100*Table1[[#This Row],[BW40_3705]]),"")</f>
        <v/>
      </c>
      <c r="H4492" s="7" t="str">
        <f>IF(Table1[[#This Row],[Is Data Valid]]=TRUE,((Table1[[#This Row],[Birthweight (grams)]]*0.9/Table1[[#This Row],[BW_GA]])-1)/(Backend!$B$4/100*Table1[[#This Row],[BW40_3705]]),"")</f>
        <v/>
      </c>
      <c r="I4492" s="7" t="str">
        <f>IF(Table1[[#This Row],[Is Data Valid]]=TRUE,((Table1[[#This Row],[Birthweight (grams)]]*1.1/Table1[[#This Row],[BW_GA]])-1)/(Backend!$B$4/100*Table1[[#This Row],[BW40_3705]]),"")</f>
        <v/>
      </c>
      <c r="J4492" s="7" t="str">
        <f>IF(Table1[[#This Row],[Is Data Valid]]=TRUE,_xlfn.NORM.S.DIST(Table1[[#This Row],[Birthweight Z-Score]],TRUE)*100,"")</f>
        <v/>
      </c>
      <c r="K4492" s="7" t="str">
        <f>IF(Table1[[#This Row],[Is Data Valid]]=TRUE,_xlfn.NORM.S.DIST(Table1[[#This Row],[Birthweight Z-Score (BW-10%)]],TRUE)*100,"")</f>
        <v/>
      </c>
      <c r="L4492" s="7" t="str">
        <f>IF(Table1[[#This Row],[Is Data Valid]]=TRUE,_xlfn.NORM.S.DIST(Table1[[#This Row],[Birthweight Z-Score (BW+10%)]],TRUE)*100,"")</f>
        <v/>
      </c>
    </row>
    <row r="4493" spans="1:12" x14ac:dyDescent="0.35">
      <c r="A4493" s="3"/>
      <c r="B4493" s="2"/>
      <c r="C4493" s="2"/>
      <c r="D4493" s="2" t="b">
        <f>IF(AND(NOT(ISBLANK(Table1[[#This Row],[Fetal Sex (Male, Female or Unknown)]])),ISNUMBER(Table1[[#This Row],[Birthweight (grams)]]),ISNUMBER(Table1[[#This Row],[Gestation (days)]])),TRUE,FALSE)</f>
        <v>0</v>
      </c>
      <c r="E4493" s="2" t="str">
        <f>IF(Table1[[#This Row],[Is Data Valid]]=TRUE,IF(Table1[[#This Row],[Fetal Sex (Male, Female or Unknown)]]="Male",Backend!$C$6,IF(Table1[[#This Row],[Fetal Sex (Male, Female or Unknown)]]="Female",Backend!$C$7,IF(Table1[[#This Row],[Fetal Sex (Male, Female or Unknown)]]="Unknown",Backend!$C$8,"Error"))),"")</f>
        <v/>
      </c>
      <c r="F4493" s="8" t="str">
        <f>IF(Table1[[#This Row],[Is Data Valid]]=TRUE,EXP(0.578+0.332*((Table1[[#This Row],[Gestation (days)]]+0.5)/7)-0.00354*((Table1[[#This Row],[Gestation (days)]]+0.5)/7)^2)*Table1[[#This Row],[BW40_3705]],"")</f>
        <v/>
      </c>
      <c r="G4493" s="2" t="str">
        <f>IF(Table1[[#This Row],[Is Data Valid]]=TRUE,((Table1[[#This Row],[Birthweight (grams)]]/Table1[[#This Row],[BW_GA]])-1)/(Backend!$B$4/100*Table1[[#This Row],[BW40_3705]]),"")</f>
        <v/>
      </c>
      <c r="H4493" s="7" t="str">
        <f>IF(Table1[[#This Row],[Is Data Valid]]=TRUE,((Table1[[#This Row],[Birthweight (grams)]]*0.9/Table1[[#This Row],[BW_GA]])-1)/(Backend!$B$4/100*Table1[[#This Row],[BW40_3705]]),"")</f>
        <v/>
      </c>
      <c r="I4493" s="7" t="str">
        <f>IF(Table1[[#This Row],[Is Data Valid]]=TRUE,((Table1[[#This Row],[Birthweight (grams)]]*1.1/Table1[[#This Row],[BW_GA]])-1)/(Backend!$B$4/100*Table1[[#This Row],[BW40_3705]]),"")</f>
        <v/>
      </c>
      <c r="J4493" s="7" t="str">
        <f>IF(Table1[[#This Row],[Is Data Valid]]=TRUE,_xlfn.NORM.S.DIST(Table1[[#This Row],[Birthweight Z-Score]],TRUE)*100,"")</f>
        <v/>
      </c>
      <c r="K4493" s="7" t="str">
        <f>IF(Table1[[#This Row],[Is Data Valid]]=TRUE,_xlfn.NORM.S.DIST(Table1[[#This Row],[Birthweight Z-Score (BW-10%)]],TRUE)*100,"")</f>
        <v/>
      </c>
      <c r="L4493" s="7" t="str">
        <f>IF(Table1[[#This Row],[Is Data Valid]]=TRUE,_xlfn.NORM.S.DIST(Table1[[#This Row],[Birthweight Z-Score (BW+10%)]],TRUE)*100,"")</f>
        <v/>
      </c>
    </row>
    <row r="4494" spans="1:12" x14ac:dyDescent="0.35">
      <c r="A4494" s="3"/>
      <c r="B4494" s="2"/>
      <c r="C4494" s="2"/>
      <c r="D4494" s="2" t="b">
        <f>IF(AND(NOT(ISBLANK(Table1[[#This Row],[Fetal Sex (Male, Female or Unknown)]])),ISNUMBER(Table1[[#This Row],[Birthweight (grams)]]),ISNUMBER(Table1[[#This Row],[Gestation (days)]])),TRUE,FALSE)</f>
        <v>0</v>
      </c>
      <c r="E4494" s="2" t="str">
        <f>IF(Table1[[#This Row],[Is Data Valid]]=TRUE,IF(Table1[[#This Row],[Fetal Sex (Male, Female or Unknown)]]="Male",Backend!$C$6,IF(Table1[[#This Row],[Fetal Sex (Male, Female or Unknown)]]="Female",Backend!$C$7,IF(Table1[[#This Row],[Fetal Sex (Male, Female or Unknown)]]="Unknown",Backend!$C$8,"Error"))),"")</f>
        <v/>
      </c>
      <c r="F4494" s="8" t="str">
        <f>IF(Table1[[#This Row],[Is Data Valid]]=TRUE,EXP(0.578+0.332*((Table1[[#This Row],[Gestation (days)]]+0.5)/7)-0.00354*((Table1[[#This Row],[Gestation (days)]]+0.5)/7)^2)*Table1[[#This Row],[BW40_3705]],"")</f>
        <v/>
      </c>
      <c r="G4494" s="2" t="str">
        <f>IF(Table1[[#This Row],[Is Data Valid]]=TRUE,((Table1[[#This Row],[Birthweight (grams)]]/Table1[[#This Row],[BW_GA]])-1)/(Backend!$B$4/100*Table1[[#This Row],[BW40_3705]]),"")</f>
        <v/>
      </c>
      <c r="H4494" s="7" t="str">
        <f>IF(Table1[[#This Row],[Is Data Valid]]=TRUE,((Table1[[#This Row],[Birthweight (grams)]]*0.9/Table1[[#This Row],[BW_GA]])-1)/(Backend!$B$4/100*Table1[[#This Row],[BW40_3705]]),"")</f>
        <v/>
      </c>
      <c r="I4494" s="7" t="str">
        <f>IF(Table1[[#This Row],[Is Data Valid]]=TRUE,((Table1[[#This Row],[Birthweight (grams)]]*1.1/Table1[[#This Row],[BW_GA]])-1)/(Backend!$B$4/100*Table1[[#This Row],[BW40_3705]]),"")</f>
        <v/>
      </c>
      <c r="J4494" s="7" t="str">
        <f>IF(Table1[[#This Row],[Is Data Valid]]=TRUE,_xlfn.NORM.S.DIST(Table1[[#This Row],[Birthweight Z-Score]],TRUE)*100,"")</f>
        <v/>
      </c>
      <c r="K4494" s="7" t="str">
        <f>IF(Table1[[#This Row],[Is Data Valid]]=TRUE,_xlfn.NORM.S.DIST(Table1[[#This Row],[Birthweight Z-Score (BW-10%)]],TRUE)*100,"")</f>
        <v/>
      </c>
      <c r="L4494" s="7" t="str">
        <f>IF(Table1[[#This Row],[Is Data Valid]]=TRUE,_xlfn.NORM.S.DIST(Table1[[#This Row],[Birthweight Z-Score (BW+10%)]],TRUE)*100,"")</f>
        <v/>
      </c>
    </row>
    <row r="4495" spans="1:12" x14ac:dyDescent="0.35">
      <c r="A4495" s="3"/>
      <c r="B4495" s="2"/>
      <c r="C4495" s="2"/>
      <c r="D4495" s="2" t="b">
        <f>IF(AND(NOT(ISBLANK(Table1[[#This Row],[Fetal Sex (Male, Female or Unknown)]])),ISNUMBER(Table1[[#This Row],[Birthweight (grams)]]),ISNUMBER(Table1[[#This Row],[Gestation (days)]])),TRUE,FALSE)</f>
        <v>0</v>
      </c>
      <c r="E4495" s="2" t="str">
        <f>IF(Table1[[#This Row],[Is Data Valid]]=TRUE,IF(Table1[[#This Row],[Fetal Sex (Male, Female or Unknown)]]="Male",Backend!$C$6,IF(Table1[[#This Row],[Fetal Sex (Male, Female or Unknown)]]="Female",Backend!$C$7,IF(Table1[[#This Row],[Fetal Sex (Male, Female or Unknown)]]="Unknown",Backend!$C$8,"Error"))),"")</f>
        <v/>
      </c>
      <c r="F4495" s="8" t="str">
        <f>IF(Table1[[#This Row],[Is Data Valid]]=TRUE,EXP(0.578+0.332*((Table1[[#This Row],[Gestation (days)]]+0.5)/7)-0.00354*((Table1[[#This Row],[Gestation (days)]]+0.5)/7)^2)*Table1[[#This Row],[BW40_3705]],"")</f>
        <v/>
      </c>
      <c r="G4495" s="2" t="str">
        <f>IF(Table1[[#This Row],[Is Data Valid]]=TRUE,((Table1[[#This Row],[Birthweight (grams)]]/Table1[[#This Row],[BW_GA]])-1)/(Backend!$B$4/100*Table1[[#This Row],[BW40_3705]]),"")</f>
        <v/>
      </c>
      <c r="H4495" s="7" t="str">
        <f>IF(Table1[[#This Row],[Is Data Valid]]=TRUE,((Table1[[#This Row],[Birthweight (grams)]]*0.9/Table1[[#This Row],[BW_GA]])-1)/(Backend!$B$4/100*Table1[[#This Row],[BW40_3705]]),"")</f>
        <v/>
      </c>
      <c r="I4495" s="7" t="str">
        <f>IF(Table1[[#This Row],[Is Data Valid]]=TRUE,((Table1[[#This Row],[Birthweight (grams)]]*1.1/Table1[[#This Row],[BW_GA]])-1)/(Backend!$B$4/100*Table1[[#This Row],[BW40_3705]]),"")</f>
        <v/>
      </c>
      <c r="J4495" s="7" t="str">
        <f>IF(Table1[[#This Row],[Is Data Valid]]=TRUE,_xlfn.NORM.S.DIST(Table1[[#This Row],[Birthweight Z-Score]],TRUE)*100,"")</f>
        <v/>
      </c>
      <c r="K4495" s="7" t="str">
        <f>IF(Table1[[#This Row],[Is Data Valid]]=TRUE,_xlfn.NORM.S.DIST(Table1[[#This Row],[Birthweight Z-Score (BW-10%)]],TRUE)*100,"")</f>
        <v/>
      </c>
      <c r="L4495" s="7" t="str">
        <f>IF(Table1[[#This Row],[Is Data Valid]]=TRUE,_xlfn.NORM.S.DIST(Table1[[#This Row],[Birthweight Z-Score (BW+10%)]],TRUE)*100,"")</f>
        <v/>
      </c>
    </row>
    <row r="4496" spans="1:12" x14ac:dyDescent="0.35">
      <c r="A4496" s="3"/>
      <c r="B4496" s="2"/>
      <c r="C4496" s="2"/>
      <c r="D4496" s="2" t="b">
        <f>IF(AND(NOT(ISBLANK(Table1[[#This Row],[Fetal Sex (Male, Female or Unknown)]])),ISNUMBER(Table1[[#This Row],[Birthweight (grams)]]),ISNUMBER(Table1[[#This Row],[Gestation (days)]])),TRUE,FALSE)</f>
        <v>0</v>
      </c>
      <c r="E4496" s="2" t="str">
        <f>IF(Table1[[#This Row],[Is Data Valid]]=TRUE,IF(Table1[[#This Row],[Fetal Sex (Male, Female or Unknown)]]="Male",Backend!$C$6,IF(Table1[[#This Row],[Fetal Sex (Male, Female or Unknown)]]="Female",Backend!$C$7,IF(Table1[[#This Row],[Fetal Sex (Male, Female or Unknown)]]="Unknown",Backend!$C$8,"Error"))),"")</f>
        <v/>
      </c>
      <c r="F4496" s="8" t="str">
        <f>IF(Table1[[#This Row],[Is Data Valid]]=TRUE,EXP(0.578+0.332*((Table1[[#This Row],[Gestation (days)]]+0.5)/7)-0.00354*((Table1[[#This Row],[Gestation (days)]]+0.5)/7)^2)*Table1[[#This Row],[BW40_3705]],"")</f>
        <v/>
      </c>
      <c r="G4496" s="2" t="str">
        <f>IF(Table1[[#This Row],[Is Data Valid]]=TRUE,((Table1[[#This Row],[Birthweight (grams)]]/Table1[[#This Row],[BW_GA]])-1)/(Backend!$B$4/100*Table1[[#This Row],[BW40_3705]]),"")</f>
        <v/>
      </c>
      <c r="H4496" s="7" t="str">
        <f>IF(Table1[[#This Row],[Is Data Valid]]=TRUE,((Table1[[#This Row],[Birthweight (grams)]]*0.9/Table1[[#This Row],[BW_GA]])-1)/(Backend!$B$4/100*Table1[[#This Row],[BW40_3705]]),"")</f>
        <v/>
      </c>
      <c r="I4496" s="7" t="str">
        <f>IF(Table1[[#This Row],[Is Data Valid]]=TRUE,((Table1[[#This Row],[Birthweight (grams)]]*1.1/Table1[[#This Row],[BW_GA]])-1)/(Backend!$B$4/100*Table1[[#This Row],[BW40_3705]]),"")</f>
        <v/>
      </c>
      <c r="J4496" s="7" t="str">
        <f>IF(Table1[[#This Row],[Is Data Valid]]=TRUE,_xlfn.NORM.S.DIST(Table1[[#This Row],[Birthweight Z-Score]],TRUE)*100,"")</f>
        <v/>
      </c>
      <c r="K4496" s="7" t="str">
        <f>IF(Table1[[#This Row],[Is Data Valid]]=TRUE,_xlfn.NORM.S.DIST(Table1[[#This Row],[Birthweight Z-Score (BW-10%)]],TRUE)*100,"")</f>
        <v/>
      </c>
      <c r="L4496" s="7" t="str">
        <f>IF(Table1[[#This Row],[Is Data Valid]]=TRUE,_xlfn.NORM.S.DIST(Table1[[#This Row],[Birthweight Z-Score (BW+10%)]],TRUE)*100,"")</f>
        <v/>
      </c>
    </row>
    <row r="4497" spans="1:12" x14ac:dyDescent="0.35">
      <c r="A4497" s="3"/>
      <c r="B4497" s="2"/>
      <c r="C4497" s="2"/>
      <c r="D4497" s="2" t="b">
        <f>IF(AND(NOT(ISBLANK(Table1[[#This Row],[Fetal Sex (Male, Female or Unknown)]])),ISNUMBER(Table1[[#This Row],[Birthweight (grams)]]),ISNUMBER(Table1[[#This Row],[Gestation (days)]])),TRUE,FALSE)</f>
        <v>0</v>
      </c>
      <c r="E4497" s="2" t="str">
        <f>IF(Table1[[#This Row],[Is Data Valid]]=TRUE,IF(Table1[[#This Row],[Fetal Sex (Male, Female or Unknown)]]="Male",Backend!$C$6,IF(Table1[[#This Row],[Fetal Sex (Male, Female or Unknown)]]="Female",Backend!$C$7,IF(Table1[[#This Row],[Fetal Sex (Male, Female or Unknown)]]="Unknown",Backend!$C$8,"Error"))),"")</f>
        <v/>
      </c>
      <c r="F4497" s="8" t="str">
        <f>IF(Table1[[#This Row],[Is Data Valid]]=TRUE,EXP(0.578+0.332*((Table1[[#This Row],[Gestation (days)]]+0.5)/7)-0.00354*((Table1[[#This Row],[Gestation (days)]]+0.5)/7)^2)*Table1[[#This Row],[BW40_3705]],"")</f>
        <v/>
      </c>
      <c r="G4497" s="2" t="str">
        <f>IF(Table1[[#This Row],[Is Data Valid]]=TRUE,((Table1[[#This Row],[Birthweight (grams)]]/Table1[[#This Row],[BW_GA]])-1)/(Backend!$B$4/100*Table1[[#This Row],[BW40_3705]]),"")</f>
        <v/>
      </c>
      <c r="H4497" s="7" t="str">
        <f>IF(Table1[[#This Row],[Is Data Valid]]=TRUE,((Table1[[#This Row],[Birthweight (grams)]]*0.9/Table1[[#This Row],[BW_GA]])-1)/(Backend!$B$4/100*Table1[[#This Row],[BW40_3705]]),"")</f>
        <v/>
      </c>
      <c r="I4497" s="7" t="str">
        <f>IF(Table1[[#This Row],[Is Data Valid]]=TRUE,((Table1[[#This Row],[Birthweight (grams)]]*1.1/Table1[[#This Row],[BW_GA]])-1)/(Backend!$B$4/100*Table1[[#This Row],[BW40_3705]]),"")</f>
        <v/>
      </c>
      <c r="J4497" s="7" t="str">
        <f>IF(Table1[[#This Row],[Is Data Valid]]=TRUE,_xlfn.NORM.S.DIST(Table1[[#This Row],[Birthweight Z-Score]],TRUE)*100,"")</f>
        <v/>
      </c>
      <c r="K4497" s="7" t="str">
        <f>IF(Table1[[#This Row],[Is Data Valid]]=TRUE,_xlfn.NORM.S.DIST(Table1[[#This Row],[Birthweight Z-Score (BW-10%)]],TRUE)*100,"")</f>
        <v/>
      </c>
      <c r="L4497" s="7" t="str">
        <f>IF(Table1[[#This Row],[Is Data Valid]]=TRUE,_xlfn.NORM.S.DIST(Table1[[#This Row],[Birthweight Z-Score (BW+10%)]],TRUE)*100,"")</f>
        <v/>
      </c>
    </row>
    <row r="4498" spans="1:12" x14ac:dyDescent="0.35">
      <c r="A4498" s="3"/>
      <c r="B4498" s="2"/>
      <c r="C4498" s="2"/>
      <c r="D4498" s="2" t="b">
        <f>IF(AND(NOT(ISBLANK(Table1[[#This Row],[Fetal Sex (Male, Female or Unknown)]])),ISNUMBER(Table1[[#This Row],[Birthweight (grams)]]),ISNUMBER(Table1[[#This Row],[Gestation (days)]])),TRUE,FALSE)</f>
        <v>0</v>
      </c>
      <c r="E4498" s="2" t="str">
        <f>IF(Table1[[#This Row],[Is Data Valid]]=TRUE,IF(Table1[[#This Row],[Fetal Sex (Male, Female or Unknown)]]="Male",Backend!$C$6,IF(Table1[[#This Row],[Fetal Sex (Male, Female or Unknown)]]="Female",Backend!$C$7,IF(Table1[[#This Row],[Fetal Sex (Male, Female or Unknown)]]="Unknown",Backend!$C$8,"Error"))),"")</f>
        <v/>
      </c>
      <c r="F4498" s="8" t="str">
        <f>IF(Table1[[#This Row],[Is Data Valid]]=TRUE,EXP(0.578+0.332*((Table1[[#This Row],[Gestation (days)]]+0.5)/7)-0.00354*((Table1[[#This Row],[Gestation (days)]]+0.5)/7)^2)*Table1[[#This Row],[BW40_3705]],"")</f>
        <v/>
      </c>
      <c r="G4498" s="2" t="str">
        <f>IF(Table1[[#This Row],[Is Data Valid]]=TRUE,((Table1[[#This Row],[Birthweight (grams)]]/Table1[[#This Row],[BW_GA]])-1)/(Backend!$B$4/100*Table1[[#This Row],[BW40_3705]]),"")</f>
        <v/>
      </c>
      <c r="H4498" s="7" t="str">
        <f>IF(Table1[[#This Row],[Is Data Valid]]=TRUE,((Table1[[#This Row],[Birthweight (grams)]]*0.9/Table1[[#This Row],[BW_GA]])-1)/(Backend!$B$4/100*Table1[[#This Row],[BW40_3705]]),"")</f>
        <v/>
      </c>
      <c r="I4498" s="7" t="str">
        <f>IF(Table1[[#This Row],[Is Data Valid]]=TRUE,((Table1[[#This Row],[Birthweight (grams)]]*1.1/Table1[[#This Row],[BW_GA]])-1)/(Backend!$B$4/100*Table1[[#This Row],[BW40_3705]]),"")</f>
        <v/>
      </c>
      <c r="J4498" s="7" t="str">
        <f>IF(Table1[[#This Row],[Is Data Valid]]=TRUE,_xlfn.NORM.S.DIST(Table1[[#This Row],[Birthweight Z-Score]],TRUE)*100,"")</f>
        <v/>
      </c>
      <c r="K4498" s="7" t="str">
        <f>IF(Table1[[#This Row],[Is Data Valid]]=TRUE,_xlfn.NORM.S.DIST(Table1[[#This Row],[Birthweight Z-Score (BW-10%)]],TRUE)*100,"")</f>
        <v/>
      </c>
      <c r="L4498" s="7" t="str">
        <f>IF(Table1[[#This Row],[Is Data Valid]]=TRUE,_xlfn.NORM.S.DIST(Table1[[#This Row],[Birthweight Z-Score (BW+10%)]],TRUE)*100,"")</f>
        <v/>
      </c>
    </row>
    <row r="4499" spans="1:12" x14ac:dyDescent="0.35">
      <c r="A4499" s="3"/>
      <c r="B4499" s="2"/>
      <c r="C4499" s="2"/>
      <c r="D4499" s="2" t="b">
        <f>IF(AND(NOT(ISBLANK(Table1[[#This Row],[Fetal Sex (Male, Female or Unknown)]])),ISNUMBER(Table1[[#This Row],[Birthweight (grams)]]),ISNUMBER(Table1[[#This Row],[Gestation (days)]])),TRUE,FALSE)</f>
        <v>0</v>
      </c>
      <c r="E4499" s="2" t="str">
        <f>IF(Table1[[#This Row],[Is Data Valid]]=TRUE,IF(Table1[[#This Row],[Fetal Sex (Male, Female or Unknown)]]="Male",Backend!$C$6,IF(Table1[[#This Row],[Fetal Sex (Male, Female or Unknown)]]="Female",Backend!$C$7,IF(Table1[[#This Row],[Fetal Sex (Male, Female or Unknown)]]="Unknown",Backend!$C$8,"Error"))),"")</f>
        <v/>
      </c>
      <c r="F4499" s="8" t="str">
        <f>IF(Table1[[#This Row],[Is Data Valid]]=TRUE,EXP(0.578+0.332*((Table1[[#This Row],[Gestation (days)]]+0.5)/7)-0.00354*((Table1[[#This Row],[Gestation (days)]]+0.5)/7)^2)*Table1[[#This Row],[BW40_3705]],"")</f>
        <v/>
      </c>
      <c r="G4499" s="2" t="str">
        <f>IF(Table1[[#This Row],[Is Data Valid]]=TRUE,((Table1[[#This Row],[Birthweight (grams)]]/Table1[[#This Row],[BW_GA]])-1)/(Backend!$B$4/100*Table1[[#This Row],[BW40_3705]]),"")</f>
        <v/>
      </c>
      <c r="H4499" s="7" t="str">
        <f>IF(Table1[[#This Row],[Is Data Valid]]=TRUE,((Table1[[#This Row],[Birthweight (grams)]]*0.9/Table1[[#This Row],[BW_GA]])-1)/(Backend!$B$4/100*Table1[[#This Row],[BW40_3705]]),"")</f>
        <v/>
      </c>
      <c r="I4499" s="7" t="str">
        <f>IF(Table1[[#This Row],[Is Data Valid]]=TRUE,((Table1[[#This Row],[Birthweight (grams)]]*1.1/Table1[[#This Row],[BW_GA]])-1)/(Backend!$B$4/100*Table1[[#This Row],[BW40_3705]]),"")</f>
        <v/>
      </c>
      <c r="J4499" s="7" t="str">
        <f>IF(Table1[[#This Row],[Is Data Valid]]=TRUE,_xlfn.NORM.S.DIST(Table1[[#This Row],[Birthweight Z-Score]],TRUE)*100,"")</f>
        <v/>
      </c>
      <c r="K4499" s="7" t="str">
        <f>IF(Table1[[#This Row],[Is Data Valid]]=TRUE,_xlfn.NORM.S.DIST(Table1[[#This Row],[Birthweight Z-Score (BW-10%)]],TRUE)*100,"")</f>
        <v/>
      </c>
      <c r="L4499" s="7" t="str">
        <f>IF(Table1[[#This Row],[Is Data Valid]]=TRUE,_xlfn.NORM.S.DIST(Table1[[#This Row],[Birthweight Z-Score (BW+10%)]],TRUE)*100,"")</f>
        <v/>
      </c>
    </row>
    <row r="4500" spans="1:12" x14ac:dyDescent="0.35">
      <c r="A4500" s="3"/>
      <c r="B4500" s="2"/>
      <c r="C4500" s="2"/>
      <c r="D4500" s="2" t="b">
        <f>IF(AND(NOT(ISBLANK(Table1[[#This Row],[Fetal Sex (Male, Female or Unknown)]])),ISNUMBER(Table1[[#This Row],[Birthweight (grams)]]),ISNUMBER(Table1[[#This Row],[Gestation (days)]])),TRUE,FALSE)</f>
        <v>0</v>
      </c>
      <c r="E4500" s="2" t="str">
        <f>IF(Table1[[#This Row],[Is Data Valid]]=TRUE,IF(Table1[[#This Row],[Fetal Sex (Male, Female or Unknown)]]="Male",Backend!$C$6,IF(Table1[[#This Row],[Fetal Sex (Male, Female or Unknown)]]="Female",Backend!$C$7,IF(Table1[[#This Row],[Fetal Sex (Male, Female or Unknown)]]="Unknown",Backend!$C$8,"Error"))),"")</f>
        <v/>
      </c>
      <c r="F4500" s="8" t="str">
        <f>IF(Table1[[#This Row],[Is Data Valid]]=TRUE,EXP(0.578+0.332*((Table1[[#This Row],[Gestation (days)]]+0.5)/7)-0.00354*((Table1[[#This Row],[Gestation (days)]]+0.5)/7)^2)*Table1[[#This Row],[BW40_3705]],"")</f>
        <v/>
      </c>
      <c r="G4500" s="2" t="str">
        <f>IF(Table1[[#This Row],[Is Data Valid]]=TRUE,((Table1[[#This Row],[Birthweight (grams)]]/Table1[[#This Row],[BW_GA]])-1)/(Backend!$B$4/100*Table1[[#This Row],[BW40_3705]]),"")</f>
        <v/>
      </c>
      <c r="H4500" s="7" t="str">
        <f>IF(Table1[[#This Row],[Is Data Valid]]=TRUE,((Table1[[#This Row],[Birthweight (grams)]]*0.9/Table1[[#This Row],[BW_GA]])-1)/(Backend!$B$4/100*Table1[[#This Row],[BW40_3705]]),"")</f>
        <v/>
      </c>
      <c r="I4500" s="7" t="str">
        <f>IF(Table1[[#This Row],[Is Data Valid]]=TRUE,((Table1[[#This Row],[Birthweight (grams)]]*1.1/Table1[[#This Row],[BW_GA]])-1)/(Backend!$B$4/100*Table1[[#This Row],[BW40_3705]]),"")</f>
        <v/>
      </c>
      <c r="J4500" s="7" t="str">
        <f>IF(Table1[[#This Row],[Is Data Valid]]=TRUE,_xlfn.NORM.S.DIST(Table1[[#This Row],[Birthweight Z-Score]],TRUE)*100,"")</f>
        <v/>
      </c>
      <c r="K4500" s="7" t="str">
        <f>IF(Table1[[#This Row],[Is Data Valid]]=TRUE,_xlfn.NORM.S.DIST(Table1[[#This Row],[Birthweight Z-Score (BW-10%)]],TRUE)*100,"")</f>
        <v/>
      </c>
      <c r="L4500" s="7" t="str">
        <f>IF(Table1[[#This Row],[Is Data Valid]]=TRUE,_xlfn.NORM.S.DIST(Table1[[#This Row],[Birthweight Z-Score (BW+10%)]],TRUE)*100,"")</f>
        <v/>
      </c>
    </row>
    <row r="4501" spans="1:12" x14ac:dyDescent="0.35">
      <c r="A4501" s="3"/>
      <c r="B4501" s="2"/>
      <c r="C4501" s="2"/>
      <c r="D4501" s="2" t="b">
        <f>IF(AND(NOT(ISBLANK(Table1[[#This Row],[Fetal Sex (Male, Female or Unknown)]])),ISNUMBER(Table1[[#This Row],[Birthweight (grams)]]),ISNUMBER(Table1[[#This Row],[Gestation (days)]])),TRUE,FALSE)</f>
        <v>0</v>
      </c>
      <c r="E4501" s="2" t="str">
        <f>IF(Table1[[#This Row],[Is Data Valid]]=TRUE,IF(Table1[[#This Row],[Fetal Sex (Male, Female or Unknown)]]="Male",Backend!$C$6,IF(Table1[[#This Row],[Fetal Sex (Male, Female or Unknown)]]="Female",Backend!$C$7,IF(Table1[[#This Row],[Fetal Sex (Male, Female or Unknown)]]="Unknown",Backend!$C$8,"Error"))),"")</f>
        <v/>
      </c>
      <c r="F4501" s="8" t="str">
        <f>IF(Table1[[#This Row],[Is Data Valid]]=TRUE,EXP(0.578+0.332*((Table1[[#This Row],[Gestation (days)]]+0.5)/7)-0.00354*((Table1[[#This Row],[Gestation (days)]]+0.5)/7)^2)*Table1[[#This Row],[BW40_3705]],"")</f>
        <v/>
      </c>
      <c r="G4501" s="2" t="str">
        <f>IF(Table1[[#This Row],[Is Data Valid]]=TRUE,((Table1[[#This Row],[Birthweight (grams)]]/Table1[[#This Row],[BW_GA]])-1)/(Backend!$B$4/100*Table1[[#This Row],[BW40_3705]]),"")</f>
        <v/>
      </c>
      <c r="H4501" s="7" t="str">
        <f>IF(Table1[[#This Row],[Is Data Valid]]=TRUE,((Table1[[#This Row],[Birthweight (grams)]]*0.9/Table1[[#This Row],[BW_GA]])-1)/(Backend!$B$4/100*Table1[[#This Row],[BW40_3705]]),"")</f>
        <v/>
      </c>
      <c r="I4501" s="7" t="str">
        <f>IF(Table1[[#This Row],[Is Data Valid]]=TRUE,((Table1[[#This Row],[Birthweight (grams)]]*1.1/Table1[[#This Row],[BW_GA]])-1)/(Backend!$B$4/100*Table1[[#This Row],[BW40_3705]]),"")</f>
        <v/>
      </c>
      <c r="J4501" s="7" t="str">
        <f>IF(Table1[[#This Row],[Is Data Valid]]=TRUE,_xlfn.NORM.S.DIST(Table1[[#This Row],[Birthweight Z-Score]],TRUE)*100,"")</f>
        <v/>
      </c>
      <c r="K4501" s="7" t="str">
        <f>IF(Table1[[#This Row],[Is Data Valid]]=TRUE,_xlfn.NORM.S.DIST(Table1[[#This Row],[Birthweight Z-Score (BW-10%)]],TRUE)*100,"")</f>
        <v/>
      </c>
      <c r="L4501" s="7" t="str">
        <f>IF(Table1[[#This Row],[Is Data Valid]]=TRUE,_xlfn.NORM.S.DIST(Table1[[#This Row],[Birthweight Z-Score (BW+10%)]],TRUE)*100,"")</f>
        <v/>
      </c>
    </row>
    <row r="4502" spans="1:12" x14ac:dyDescent="0.35">
      <c r="A4502" s="3"/>
      <c r="B4502" s="2"/>
      <c r="C4502" s="2"/>
      <c r="D4502" s="2" t="b">
        <f>IF(AND(NOT(ISBLANK(Table1[[#This Row],[Fetal Sex (Male, Female or Unknown)]])),ISNUMBER(Table1[[#This Row],[Birthweight (grams)]]),ISNUMBER(Table1[[#This Row],[Gestation (days)]])),TRUE,FALSE)</f>
        <v>0</v>
      </c>
      <c r="E4502" s="2" t="str">
        <f>IF(Table1[[#This Row],[Is Data Valid]]=TRUE,IF(Table1[[#This Row],[Fetal Sex (Male, Female or Unknown)]]="Male",Backend!$C$6,IF(Table1[[#This Row],[Fetal Sex (Male, Female or Unknown)]]="Female",Backend!$C$7,IF(Table1[[#This Row],[Fetal Sex (Male, Female or Unknown)]]="Unknown",Backend!$C$8,"Error"))),"")</f>
        <v/>
      </c>
      <c r="F4502" s="8" t="str">
        <f>IF(Table1[[#This Row],[Is Data Valid]]=TRUE,EXP(0.578+0.332*((Table1[[#This Row],[Gestation (days)]]+0.5)/7)-0.00354*((Table1[[#This Row],[Gestation (days)]]+0.5)/7)^2)*Table1[[#This Row],[BW40_3705]],"")</f>
        <v/>
      </c>
      <c r="G4502" s="2" t="str">
        <f>IF(Table1[[#This Row],[Is Data Valid]]=TRUE,((Table1[[#This Row],[Birthweight (grams)]]/Table1[[#This Row],[BW_GA]])-1)/(Backend!$B$4/100*Table1[[#This Row],[BW40_3705]]),"")</f>
        <v/>
      </c>
      <c r="H4502" s="7" t="str">
        <f>IF(Table1[[#This Row],[Is Data Valid]]=TRUE,((Table1[[#This Row],[Birthweight (grams)]]*0.9/Table1[[#This Row],[BW_GA]])-1)/(Backend!$B$4/100*Table1[[#This Row],[BW40_3705]]),"")</f>
        <v/>
      </c>
      <c r="I4502" s="7" t="str">
        <f>IF(Table1[[#This Row],[Is Data Valid]]=TRUE,((Table1[[#This Row],[Birthweight (grams)]]*1.1/Table1[[#This Row],[BW_GA]])-1)/(Backend!$B$4/100*Table1[[#This Row],[BW40_3705]]),"")</f>
        <v/>
      </c>
      <c r="J4502" s="7" t="str">
        <f>IF(Table1[[#This Row],[Is Data Valid]]=TRUE,_xlfn.NORM.S.DIST(Table1[[#This Row],[Birthweight Z-Score]],TRUE)*100,"")</f>
        <v/>
      </c>
      <c r="K4502" s="7" t="str">
        <f>IF(Table1[[#This Row],[Is Data Valid]]=TRUE,_xlfn.NORM.S.DIST(Table1[[#This Row],[Birthweight Z-Score (BW-10%)]],TRUE)*100,"")</f>
        <v/>
      </c>
      <c r="L4502" s="7" t="str">
        <f>IF(Table1[[#This Row],[Is Data Valid]]=TRUE,_xlfn.NORM.S.DIST(Table1[[#This Row],[Birthweight Z-Score (BW+10%)]],TRUE)*100,"")</f>
        <v/>
      </c>
    </row>
    <row r="4503" spans="1:12" x14ac:dyDescent="0.35">
      <c r="A4503" s="3"/>
      <c r="B4503" s="2"/>
      <c r="C4503" s="2"/>
      <c r="D4503" s="2" t="b">
        <f>IF(AND(NOT(ISBLANK(Table1[[#This Row],[Fetal Sex (Male, Female or Unknown)]])),ISNUMBER(Table1[[#This Row],[Birthweight (grams)]]),ISNUMBER(Table1[[#This Row],[Gestation (days)]])),TRUE,FALSE)</f>
        <v>0</v>
      </c>
      <c r="E4503" s="2" t="str">
        <f>IF(Table1[[#This Row],[Is Data Valid]]=TRUE,IF(Table1[[#This Row],[Fetal Sex (Male, Female or Unknown)]]="Male",Backend!$C$6,IF(Table1[[#This Row],[Fetal Sex (Male, Female or Unknown)]]="Female",Backend!$C$7,IF(Table1[[#This Row],[Fetal Sex (Male, Female or Unknown)]]="Unknown",Backend!$C$8,"Error"))),"")</f>
        <v/>
      </c>
      <c r="F4503" s="8" t="str">
        <f>IF(Table1[[#This Row],[Is Data Valid]]=TRUE,EXP(0.578+0.332*((Table1[[#This Row],[Gestation (days)]]+0.5)/7)-0.00354*((Table1[[#This Row],[Gestation (days)]]+0.5)/7)^2)*Table1[[#This Row],[BW40_3705]],"")</f>
        <v/>
      </c>
      <c r="G4503" s="2" t="str">
        <f>IF(Table1[[#This Row],[Is Data Valid]]=TRUE,((Table1[[#This Row],[Birthweight (grams)]]/Table1[[#This Row],[BW_GA]])-1)/(Backend!$B$4/100*Table1[[#This Row],[BW40_3705]]),"")</f>
        <v/>
      </c>
      <c r="H4503" s="7" t="str">
        <f>IF(Table1[[#This Row],[Is Data Valid]]=TRUE,((Table1[[#This Row],[Birthweight (grams)]]*0.9/Table1[[#This Row],[BW_GA]])-1)/(Backend!$B$4/100*Table1[[#This Row],[BW40_3705]]),"")</f>
        <v/>
      </c>
      <c r="I4503" s="7" t="str">
        <f>IF(Table1[[#This Row],[Is Data Valid]]=TRUE,((Table1[[#This Row],[Birthweight (grams)]]*1.1/Table1[[#This Row],[BW_GA]])-1)/(Backend!$B$4/100*Table1[[#This Row],[BW40_3705]]),"")</f>
        <v/>
      </c>
      <c r="J4503" s="7" t="str">
        <f>IF(Table1[[#This Row],[Is Data Valid]]=TRUE,_xlfn.NORM.S.DIST(Table1[[#This Row],[Birthweight Z-Score]],TRUE)*100,"")</f>
        <v/>
      </c>
      <c r="K4503" s="7" t="str">
        <f>IF(Table1[[#This Row],[Is Data Valid]]=TRUE,_xlfn.NORM.S.DIST(Table1[[#This Row],[Birthweight Z-Score (BW-10%)]],TRUE)*100,"")</f>
        <v/>
      </c>
      <c r="L4503" s="7" t="str">
        <f>IF(Table1[[#This Row],[Is Data Valid]]=TRUE,_xlfn.NORM.S.DIST(Table1[[#This Row],[Birthweight Z-Score (BW+10%)]],TRUE)*100,"")</f>
        <v/>
      </c>
    </row>
    <row r="4504" spans="1:12" x14ac:dyDescent="0.35">
      <c r="A4504" s="3"/>
      <c r="B4504" s="2"/>
      <c r="C4504" s="2"/>
      <c r="D4504" s="2" t="b">
        <f>IF(AND(NOT(ISBLANK(Table1[[#This Row],[Fetal Sex (Male, Female or Unknown)]])),ISNUMBER(Table1[[#This Row],[Birthweight (grams)]]),ISNUMBER(Table1[[#This Row],[Gestation (days)]])),TRUE,FALSE)</f>
        <v>0</v>
      </c>
      <c r="E4504" s="2" t="str">
        <f>IF(Table1[[#This Row],[Is Data Valid]]=TRUE,IF(Table1[[#This Row],[Fetal Sex (Male, Female or Unknown)]]="Male",Backend!$C$6,IF(Table1[[#This Row],[Fetal Sex (Male, Female or Unknown)]]="Female",Backend!$C$7,IF(Table1[[#This Row],[Fetal Sex (Male, Female or Unknown)]]="Unknown",Backend!$C$8,"Error"))),"")</f>
        <v/>
      </c>
      <c r="F4504" s="8" t="str">
        <f>IF(Table1[[#This Row],[Is Data Valid]]=TRUE,EXP(0.578+0.332*((Table1[[#This Row],[Gestation (days)]]+0.5)/7)-0.00354*((Table1[[#This Row],[Gestation (days)]]+0.5)/7)^2)*Table1[[#This Row],[BW40_3705]],"")</f>
        <v/>
      </c>
      <c r="G4504" s="2" t="str">
        <f>IF(Table1[[#This Row],[Is Data Valid]]=TRUE,((Table1[[#This Row],[Birthweight (grams)]]/Table1[[#This Row],[BW_GA]])-1)/(Backend!$B$4/100*Table1[[#This Row],[BW40_3705]]),"")</f>
        <v/>
      </c>
      <c r="H4504" s="7" t="str">
        <f>IF(Table1[[#This Row],[Is Data Valid]]=TRUE,((Table1[[#This Row],[Birthweight (grams)]]*0.9/Table1[[#This Row],[BW_GA]])-1)/(Backend!$B$4/100*Table1[[#This Row],[BW40_3705]]),"")</f>
        <v/>
      </c>
      <c r="I4504" s="7" t="str">
        <f>IF(Table1[[#This Row],[Is Data Valid]]=TRUE,((Table1[[#This Row],[Birthweight (grams)]]*1.1/Table1[[#This Row],[BW_GA]])-1)/(Backend!$B$4/100*Table1[[#This Row],[BW40_3705]]),"")</f>
        <v/>
      </c>
      <c r="J4504" s="7" t="str">
        <f>IF(Table1[[#This Row],[Is Data Valid]]=TRUE,_xlfn.NORM.S.DIST(Table1[[#This Row],[Birthweight Z-Score]],TRUE)*100,"")</f>
        <v/>
      </c>
      <c r="K4504" s="7" t="str">
        <f>IF(Table1[[#This Row],[Is Data Valid]]=TRUE,_xlfn.NORM.S.DIST(Table1[[#This Row],[Birthweight Z-Score (BW-10%)]],TRUE)*100,"")</f>
        <v/>
      </c>
      <c r="L4504" s="7" t="str">
        <f>IF(Table1[[#This Row],[Is Data Valid]]=TRUE,_xlfn.NORM.S.DIST(Table1[[#This Row],[Birthweight Z-Score (BW+10%)]],TRUE)*100,"")</f>
        <v/>
      </c>
    </row>
    <row r="4505" spans="1:12" x14ac:dyDescent="0.35">
      <c r="A4505" s="3"/>
      <c r="B4505" s="2"/>
      <c r="C4505" s="2"/>
      <c r="D4505" s="2" t="b">
        <f>IF(AND(NOT(ISBLANK(Table1[[#This Row],[Fetal Sex (Male, Female or Unknown)]])),ISNUMBER(Table1[[#This Row],[Birthweight (grams)]]),ISNUMBER(Table1[[#This Row],[Gestation (days)]])),TRUE,FALSE)</f>
        <v>0</v>
      </c>
      <c r="E4505" s="2" t="str">
        <f>IF(Table1[[#This Row],[Is Data Valid]]=TRUE,IF(Table1[[#This Row],[Fetal Sex (Male, Female or Unknown)]]="Male",Backend!$C$6,IF(Table1[[#This Row],[Fetal Sex (Male, Female or Unknown)]]="Female",Backend!$C$7,IF(Table1[[#This Row],[Fetal Sex (Male, Female or Unknown)]]="Unknown",Backend!$C$8,"Error"))),"")</f>
        <v/>
      </c>
      <c r="F4505" s="8" t="str">
        <f>IF(Table1[[#This Row],[Is Data Valid]]=TRUE,EXP(0.578+0.332*((Table1[[#This Row],[Gestation (days)]]+0.5)/7)-0.00354*((Table1[[#This Row],[Gestation (days)]]+0.5)/7)^2)*Table1[[#This Row],[BW40_3705]],"")</f>
        <v/>
      </c>
      <c r="G4505" s="2" t="str">
        <f>IF(Table1[[#This Row],[Is Data Valid]]=TRUE,((Table1[[#This Row],[Birthweight (grams)]]/Table1[[#This Row],[BW_GA]])-1)/(Backend!$B$4/100*Table1[[#This Row],[BW40_3705]]),"")</f>
        <v/>
      </c>
      <c r="H4505" s="7" t="str">
        <f>IF(Table1[[#This Row],[Is Data Valid]]=TRUE,((Table1[[#This Row],[Birthweight (grams)]]*0.9/Table1[[#This Row],[BW_GA]])-1)/(Backend!$B$4/100*Table1[[#This Row],[BW40_3705]]),"")</f>
        <v/>
      </c>
      <c r="I4505" s="7" t="str">
        <f>IF(Table1[[#This Row],[Is Data Valid]]=TRUE,((Table1[[#This Row],[Birthweight (grams)]]*1.1/Table1[[#This Row],[BW_GA]])-1)/(Backend!$B$4/100*Table1[[#This Row],[BW40_3705]]),"")</f>
        <v/>
      </c>
      <c r="J4505" s="7" t="str">
        <f>IF(Table1[[#This Row],[Is Data Valid]]=TRUE,_xlfn.NORM.S.DIST(Table1[[#This Row],[Birthweight Z-Score]],TRUE)*100,"")</f>
        <v/>
      </c>
      <c r="K4505" s="7" t="str">
        <f>IF(Table1[[#This Row],[Is Data Valid]]=TRUE,_xlfn.NORM.S.DIST(Table1[[#This Row],[Birthweight Z-Score (BW-10%)]],TRUE)*100,"")</f>
        <v/>
      </c>
      <c r="L4505" s="7" t="str">
        <f>IF(Table1[[#This Row],[Is Data Valid]]=TRUE,_xlfn.NORM.S.DIST(Table1[[#This Row],[Birthweight Z-Score (BW+10%)]],TRUE)*100,"")</f>
        <v/>
      </c>
    </row>
    <row r="4506" spans="1:12" x14ac:dyDescent="0.35">
      <c r="A4506" s="3"/>
      <c r="B4506" s="2"/>
      <c r="C4506" s="2"/>
      <c r="D4506" s="2" t="b">
        <f>IF(AND(NOT(ISBLANK(Table1[[#This Row],[Fetal Sex (Male, Female or Unknown)]])),ISNUMBER(Table1[[#This Row],[Birthweight (grams)]]),ISNUMBER(Table1[[#This Row],[Gestation (days)]])),TRUE,FALSE)</f>
        <v>0</v>
      </c>
      <c r="E4506" s="2" t="str">
        <f>IF(Table1[[#This Row],[Is Data Valid]]=TRUE,IF(Table1[[#This Row],[Fetal Sex (Male, Female or Unknown)]]="Male",Backend!$C$6,IF(Table1[[#This Row],[Fetal Sex (Male, Female or Unknown)]]="Female",Backend!$C$7,IF(Table1[[#This Row],[Fetal Sex (Male, Female or Unknown)]]="Unknown",Backend!$C$8,"Error"))),"")</f>
        <v/>
      </c>
      <c r="F4506" s="8" t="str">
        <f>IF(Table1[[#This Row],[Is Data Valid]]=TRUE,EXP(0.578+0.332*((Table1[[#This Row],[Gestation (days)]]+0.5)/7)-0.00354*((Table1[[#This Row],[Gestation (days)]]+0.5)/7)^2)*Table1[[#This Row],[BW40_3705]],"")</f>
        <v/>
      </c>
      <c r="G4506" s="2" t="str">
        <f>IF(Table1[[#This Row],[Is Data Valid]]=TRUE,((Table1[[#This Row],[Birthweight (grams)]]/Table1[[#This Row],[BW_GA]])-1)/(Backend!$B$4/100*Table1[[#This Row],[BW40_3705]]),"")</f>
        <v/>
      </c>
      <c r="H4506" s="7" t="str">
        <f>IF(Table1[[#This Row],[Is Data Valid]]=TRUE,((Table1[[#This Row],[Birthweight (grams)]]*0.9/Table1[[#This Row],[BW_GA]])-1)/(Backend!$B$4/100*Table1[[#This Row],[BW40_3705]]),"")</f>
        <v/>
      </c>
      <c r="I4506" s="7" t="str">
        <f>IF(Table1[[#This Row],[Is Data Valid]]=TRUE,((Table1[[#This Row],[Birthweight (grams)]]*1.1/Table1[[#This Row],[BW_GA]])-1)/(Backend!$B$4/100*Table1[[#This Row],[BW40_3705]]),"")</f>
        <v/>
      </c>
      <c r="J4506" s="7" t="str">
        <f>IF(Table1[[#This Row],[Is Data Valid]]=TRUE,_xlfn.NORM.S.DIST(Table1[[#This Row],[Birthweight Z-Score]],TRUE)*100,"")</f>
        <v/>
      </c>
      <c r="K4506" s="7" t="str">
        <f>IF(Table1[[#This Row],[Is Data Valid]]=TRUE,_xlfn.NORM.S.DIST(Table1[[#This Row],[Birthweight Z-Score (BW-10%)]],TRUE)*100,"")</f>
        <v/>
      </c>
      <c r="L4506" s="7" t="str">
        <f>IF(Table1[[#This Row],[Is Data Valid]]=TRUE,_xlfn.NORM.S.DIST(Table1[[#This Row],[Birthweight Z-Score (BW+10%)]],TRUE)*100,"")</f>
        <v/>
      </c>
    </row>
    <row r="4507" spans="1:12" x14ac:dyDescent="0.35">
      <c r="A4507" s="3"/>
      <c r="B4507" s="2"/>
      <c r="C4507" s="2"/>
      <c r="D4507" s="2" t="b">
        <f>IF(AND(NOT(ISBLANK(Table1[[#This Row],[Fetal Sex (Male, Female or Unknown)]])),ISNUMBER(Table1[[#This Row],[Birthweight (grams)]]),ISNUMBER(Table1[[#This Row],[Gestation (days)]])),TRUE,FALSE)</f>
        <v>0</v>
      </c>
      <c r="E4507" s="2" t="str">
        <f>IF(Table1[[#This Row],[Is Data Valid]]=TRUE,IF(Table1[[#This Row],[Fetal Sex (Male, Female or Unknown)]]="Male",Backend!$C$6,IF(Table1[[#This Row],[Fetal Sex (Male, Female or Unknown)]]="Female",Backend!$C$7,IF(Table1[[#This Row],[Fetal Sex (Male, Female or Unknown)]]="Unknown",Backend!$C$8,"Error"))),"")</f>
        <v/>
      </c>
      <c r="F4507" s="8" t="str">
        <f>IF(Table1[[#This Row],[Is Data Valid]]=TRUE,EXP(0.578+0.332*((Table1[[#This Row],[Gestation (days)]]+0.5)/7)-0.00354*((Table1[[#This Row],[Gestation (days)]]+0.5)/7)^2)*Table1[[#This Row],[BW40_3705]],"")</f>
        <v/>
      </c>
      <c r="G4507" s="2" t="str">
        <f>IF(Table1[[#This Row],[Is Data Valid]]=TRUE,((Table1[[#This Row],[Birthweight (grams)]]/Table1[[#This Row],[BW_GA]])-1)/(Backend!$B$4/100*Table1[[#This Row],[BW40_3705]]),"")</f>
        <v/>
      </c>
      <c r="H4507" s="7" t="str">
        <f>IF(Table1[[#This Row],[Is Data Valid]]=TRUE,((Table1[[#This Row],[Birthweight (grams)]]*0.9/Table1[[#This Row],[BW_GA]])-1)/(Backend!$B$4/100*Table1[[#This Row],[BW40_3705]]),"")</f>
        <v/>
      </c>
      <c r="I4507" s="7" t="str">
        <f>IF(Table1[[#This Row],[Is Data Valid]]=TRUE,((Table1[[#This Row],[Birthweight (grams)]]*1.1/Table1[[#This Row],[BW_GA]])-1)/(Backend!$B$4/100*Table1[[#This Row],[BW40_3705]]),"")</f>
        <v/>
      </c>
      <c r="J4507" s="7" t="str">
        <f>IF(Table1[[#This Row],[Is Data Valid]]=TRUE,_xlfn.NORM.S.DIST(Table1[[#This Row],[Birthweight Z-Score]],TRUE)*100,"")</f>
        <v/>
      </c>
      <c r="K4507" s="7" t="str">
        <f>IF(Table1[[#This Row],[Is Data Valid]]=TRUE,_xlfn.NORM.S.DIST(Table1[[#This Row],[Birthweight Z-Score (BW-10%)]],TRUE)*100,"")</f>
        <v/>
      </c>
      <c r="L4507" s="7" t="str">
        <f>IF(Table1[[#This Row],[Is Data Valid]]=TRUE,_xlfn.NORM.S.DIST(Table1[[#This Row],[Birthweight Z-Score (BW+10%)]],TRUE)*100,"")</f>
        <v/>
      </c>
    </row>
    <row r="4508" spans="1:12" x14ac:dyDescent="0.35">
      <c r="A4508" s="3"/>
      <c r="B4508" s="2"/>
      <c r="C4508" s="2"/>
      <c r="D4508" s="2" t="b">
        <f>IF(AND(NOT(ISBLANK(Table1[[#This Row],[Fetal Sex (Male, Female or Unknown)]])),ISNUMBER(Table1[[#This Row],[Birthweight (grams)]]),ISNUMBER(Table1[[#This Row],[Gestation (days)]])),TRUE,FALSE)</f>
        <v>0</v>
      </c>
      <c r="E4508" s="2" t="str">
        <f>IF(Table1[[#This Row],[Is Data Valid]]=TRUE,IF(Table1[[#This Row],[Fetal Sex (Male, Female or Unknown)]]="Male",Backend!$C$6,IF(Table1[[#This Row],[Fetal Sex (Male, Female or Unknown)]]="Female",Backend!$C$7,IF(Table1[[#This Row],[Fetal Sex (Male, Female or Unknown)]]="Unknown",Backend!$C$8,"Error"))),"")</f>
        <v/>
      </c>
      <c r="F4508" s="8" t="str">
        <f>IF(Table1[[#This Row],[Is Data Valid]]=TRUE,EXP(0.578+0.332*((Table1[[#This Row],[Gestation (days)]]+0.5)/7)-0.00354*((Table1[[#This Row],[Gestation (days)]]+0.5)/7)^2)*Table1[[#This Row],[BW40_3705]],"")</f>
        <v/>
      </c>
      <c r="G4508" s="2" t="str">
        <f>IF(Table1[[#This Row],[Is Data Valid]]=TRUE,((Table1[[#This Row],[Birthweight (grams)]]/Table1[[#This Row],[BW_GA]])-1)/(Backend!$B$4/100*Table1[[#This Row],[BW40_3705]]),"")</f>
        <v/>
      </c>
      <c r="H4508" s="7" t="str">
        <f>IF(Table1[[#This Row],[Is Data Valid]]=TRUE,((Table1[[#This Row],[Birthweight (grams)]]*0.9/Table1[[#This Row],[BW_GA]])-1)/(Backend!$B$4/100*Table1[[#This Row],[BW40_3705]]),"")</f>
        <v/>
      </c>
      <c r="I4508" s="7" t="str">
        <f>IF(Table1[[#This Row],[Is Data Valid]]=TRUE,((Table1[[#This Row],[Birthweight (grams)]]*1.1/Table1[[#This Row],[BW_GA]])-1)/(Backend!$B$4/100*Table1[[#This Row],[BW40_3705]]),"")</f>
        <v/>
      </c>
      <c r="J4508" s="7" t="str">
        <f>IF(Table1[[#This Row],[Is Data Valid]]=TRUE,_xlfn.NORM.S.DIST(Table1[[#This Row],[Birthweight Z-Score]],TRUE)*100,"")</f>
        <v/>
      </c>
      <c r="K4508" s="7" t="str">
        <f>IF(Table1[[#This Row],[Is Data Valid]]=TRUE,_xlfn.NORM.S.DIST(Table1[[#This Row],[Birthweight Z-Score (BW-10%)]],TRUE)*100,"")</f>
        <v/>
      </c>
      <c r="L4508" s="7" t="str">
        <f>IF(Table1[[#This Row],[Is Data Valid]]=TRUE,_xlfn.NORM.S.DIST(Table1[[#This Row],[Birthweight Z-Score (BW+10%)]],TRUE)*100,"")</f>
        <v/>
      </c>
    </row>
    <row r="4509" spans="1:12" x14ac:dyDescent="0.35">
      <c r="A4509" s="3"/>
      <c r="B4509" s="2"/>
      <c r="C4509" s="2"/>
      <c r="D4509" s="2" t="b">
        <f>IF(AND(NOT(ISBLANK(Table1[[#This Row],[Fetal Sex (Male, Female or Unknown)]])),ISNUMBER(Table1[[#This Row],[Birthweight (grams)]]),ISNUMBER(Table1[[#This Row],[Gestation (days)]])),TRUE,FALSE)</f>
        <v>0</v>
      </c>
      <c r="E4509" s="2" t="str">
        <f>IF(Table1[[#This Row],[Is Data Valid]]=TRUE,IF(Table1[[#This Row],[Fetal Sex (Male, Female or Unknown)]]="Male",Backend!$C$6,IF(Table1[[#This Row],[Fetal Sex (Male, Female or Unknown)]]="Female",Backend!$C$7,IF(Table1[[#This Row],[Fetal Sex (Male, Female or Unknown)]]="Unknown",Backend!$C$8,"Error"))),"")</f>
        <v/>
      </c>
      <c r="F4509" s="8" t="str">
        <f>IF(Table1[[#This Row],[Is Data Valid]]=TRUE,EXP(0.578+0.332*((Table1[[#This Row],[Gestation (days)]]+0.5)/7)-0.00354*((Table1[[#This Row],[Gestation (days)]]+0.5)/7)^2)*Table1[[#This Row],[BW40_3705]],"")</f>
        <v/>
      </c>
      <c r="G4509" s="2" t="str">
        <f>IF(Table1[[#This Row],[Is Data Valid]]=TRUE,((Table1[[#This Row],[Birthweight (grams)]]/Table1[[#This Row],[BW_GA]])-1)/(Backend!$B$4/100*Table1[[#This Row],[BW40_3705]]),"")</f>
        <v/>
      </c>
      <c r="H4509" s="7" t="str">
        <f>IF(Table1[[#This Row],[Is Data Valid]]=TRUE,((Table1[[#This Row],[Birthweight (grams)]]*0.9/Table1[[#This Row],[BW_GA]])-1)/(Backend!$B$4/100*Table1[[#This Row],[BW40_3705]]),"")</f>
        <v/>
      </c>
      <c r="I4509" s="7" t="str">
        <f>IF(Table1[[#This Row],[Is Data Valid]]=TRUE,((Table1[[#This Row],[Birthweight (grams)]]*1.1/Table1[[#This Row],[BW_GA]])-1)/(Backend!$B$4/100*Table1[[#This Row],[BW40_3705]]),"")</f>
        <v/>
      </c>
      <c r="J4509" s="7" t="str">
        <f>IF(Table1[[#This Row],[Is Data Valid]]=TRUE,_xlfn.NORM.S.DIST(Table1[[#This Row],[Birthweight Z-Score]],TRUE)*100,"")</f>
        <v/>
      </c>
      <c r="K4509" s="7" t="str">
        <f>IF(Table1[[#This Row],[Is Data Valid]]=TRUE,_xlfn.NORM.S.DIST(Table1[[#This Row],[Birthweight Z-Score (BW-10%)]],TRUE)*100,"")</f>
        <v/>
      </c>
      <c r="L4509" s="7" t="str">
        <f>IF(Table1[[#This Row],[Is Data Valid]]=TRUE,_xlfn.NORM.S.DIST(Table1[[#This Row],[Birthweight Z-Score (BW+10%)]],TRUE)*100,"")</f>
        <v/>
      </c>
    </row>
    <row r="4510" spans="1:12" x14ac:dyDescent="0.35">
      <c r="A4510" s="3"/>
      <c r="B4510" s="2"/>
      <c r="C4510" s="2"/>
      <c r="D4510" s="2" t="b">
        <f>IF(AND(NOT(ISBLANK(Table1[[#This Row],[Fetal Sex (Male, Female or Unknown)]])),ISNUMBER(Table1[[#This Row],[Birthweight (grams)]]),ISNUMBER(Table1[[#This Row],[Gestation (days)]])),TRUE,FALSE)</f>
        <v>0</v>
      </c>
      <c r="E4510" s="2" t="str">
        <f>IF(Table1[[#This Row],[Is Data Valid]]=TRUE,IF(Table1[[#This Row],[Fetal Sex (Male, Female or Unknown)]]="Male",Backend!$C$6,IF(Table1[[#This Row],[Fetal Sex (Male, Female or Unknown)]]="Female",Backend!$C$7,IF(Table1[[#This Row],[Fetal Sex (Male, Female or Unknown)]]="Unknown",Backend!$C$8,"Error"))),"")</f>
        <v/>
      </c>
      <c r="F4510" s="8" t="str">
        <f>IF(Table1[[#This Row],[Is Data Valid]]=TRUE,EXP(0.578+0.332*((Table1[[#This Row],[Gestation (days)]]+0.5)/7)-0.00354*((Table1[[#This Row],[Gestation (days)]]+0.5)/7)^2)*Table1[[#This Row],[BW40_3705]],"")</f>
        <v/>
      </c>
      <c r="G4510" s="2" t="str">
        <f>IF(Table1[[#This Row],[Is Data Valid]]=TRUE,((Table1[[#This Row],[Birthweight (grams)]]/Table1[[#This Row],[BW_GA]])-1)/(Backend!$B$4/100*Table1[[#This Row],[BW40_3705]]),"")</f>
        <v/>
      </c>
      <c r="H4510" s="7" t="str">
        <f>IF(Table1[[#This Row],[Is Data Valid]]=TRUE,((Table1[[#This Row],[Birthweight (grams)]]*0.9/Table1[[#This Row],[BW_GA]])-1)/(Backend!$B$4/100*Table1[[#This Row],[BW40_3705]]),"")</f>
        <v/>
      </c>
      <c r="I4510" s="7" t="str">
        <f>IF(Table1[[#This Row],[Is Data Valid]]=TRUE,((Table1[[#This Row],[Birthweight (grams)]]*1.1/Table1[[#This Row],[BW_GA]])-1)/(Backend!$B$4/100*Table1[[#This Row],[BW40_3705]]),"")</f>
        <v/>
      </c>
      <c r="J4510" s="7" t="str">
        <f>IF(Table1[[#This Row],[Is Data Valid]]=TRUE,_xlfn.NORM.S.DIST(Table1[[#This Row],[Birthweight Z-Score]],TRUE)*100,"")</f>
        <v/>
      </c>
      <c r="K4510" s="7" t="str">
        <f>IF(Table1[[#This Row],[Is Data Valid]]=TRUE,_xlfn.NORM.S.DIST(Table1[[#This Row],[Birthweight Z-Score (BW-10%)]],TRUE)*100,"")</f>
        <v/>
      </c>
      <c r="L4510" s="7" t="str">
        <f>IF(Table1[[#This Row],[Is Data Valid]]=TRUE,_xlfn.NORM.S.DIST(Table1[[#This Row],[Birthweight Z-Score (BW+10%)]],TRUE)*100,"")</f>
        <v/>
      </c>
    </row>
    <row r="4511" spans="1:12" x14ac:dyDescent="0.35">
      <c r="A4511" s="3"/>
      <c r="B4511" s="2"/>
      <c r="C4511" s="2"/>
      <c r="D4511" s="2" t="b">
        <f>IF(AND(NOT(ISBLANK(Table1[[#This Row],[Fetal Sex (Male, Female or Unknown)]])),ISNUMBER(Table1[[#This Row],[Birthweight (grams)]]),ISNUMBER(Table1[[#This Row],[Gestation (days)]])),TRUE,FALSE)</f>
        <v>0</v>
      </c>
      <c r="E4511" s="2" t="str">
        <f>IF(Table1[[#This Row],[Is Data Valid]]=TRUE,IF(Table1[[#This Row],[Fetal Sex (Male, Female or Unknown)]]="Male",Backend!$C$6,IF(Table1[[#This Row],[Fetal Sex (Male, Female or Unknown)]]="Female",Backend!$C$7,IF(Table1[[#This Row],[Fetal Sex (Male, Female or Unknown)]]="Unknown",Backend!$C$8,"Error"))),"")</f>
        <v/>
      </c>
      <c r="F4511" s="8" t="str">
        <f>IF(Table1[[#This Row],[Is Data Valid]]=TRUE,EXP(0.578+0.332*((Table1[[#This Row],[Gestation (days)]]+0.5)/7)-0.00354*((Table1[[#This Row],[Gestation (days)]]+0.5)/7)^2)*Table1[[#This Row],[BW40_3705]],"")</f>
        <v/>
      </c>
      <c r="G4511" s="2" t="str">
        <f>IF(Table1[[#This Row],[Is Data Valid]]=TRUE,((Table1[[#This Row],[Birthweight (grams)]]/Table1[[#This Row],[BW_GA]])-1)/(Backend!$B$4/100*Table1[[#This Row],[BW40_3705]]),"")</f>
        <v/>
      </c>
      <c r="H4511" s="7" t="str">
        <f>IF(Table1[[#This Row],[Is Data Valid]]=TRUE,((Table1[[#This Row],[Birthweight (grams)]]*0.9/Table1[[#This Row],[BW_GA]])-1)/(Backend!$B$4/100*Table1[[#This Row],[BW40_3705]]),"")</f>
        <v/>
      </c>
      <c r="I4511" s="7" t="str">
        <f>IF(Table1[[#This Row],[Is Data Valid]]=TRUE,((Table1[[#This Row],[Birthweight (grams)]]*1.1/Table1[[#This Row],[BW_GA]])-1)/(Backend!$B$4/100*Table1[[#This Row],[BW40_3705]]),"")</f>
        <v/>
      </c>
      <c r="J4511" s="7" t="str">
        <f>IF(Table1[[#This Row],[Is Data Valid]]=TRUE,_xlfn.NORM.S.DIST(Table1[[#This Row],[Birthweight Z-Score]],TRUE)*100,"")</f>
        <v/>
      </c>
      <c r="K4511" s="7" t="str">
        <f>IF(Table1[[#This Row],[Is Data Valid]]=TRUE,_xlfn.NORM.S.DIST(Table1[[#This Row],[Birthweight Z-Score (BW-10%)]],TRUE)*100,"")</f>
        <v/>
      </c>
      <c r="L4511" s="7" t="str">
        <f>IF(Table1[[#This Row],[Is Data Valid]]=TRUE,_xlfn.NORM.S.DIST(Table1[[#This Row],[Birthweight Z-Score (BW+10%)]],TRUE)*100,"")</f>
        <v/>
      </c>
    </row>
    <row r="4512" spans="1:12" x14ac:dyDescent="0.35">
      <c r="A4512" s="3"/>
      <c r="B4512" s="2"/>
      <c r="C4512" s="2"/>
      <c r="D4512" s="2" t="b">
        <f>IF(AND(NOT(ISBLANK(Table1[[#This Row],[Fetal Sex (Male, Female or Unknown)]])),ISNUMBER(Table1[[#This Row],[Birthweight (grams)]]),ISNUMBER(Table1[[#This Row],[Gestation (days)]])),TRUE,FALSE)</f>
        <v>0</v>
      </c>
      <c r="E4512" s="2" t="str">
        <f>IF(Table1[[#This Row],[Is Data Valid]]=TRUE,IF(Table1[[#This Row],[Fetal Sex (Male, Female or Unknown)]]="Male",Backend!$C$6,IF(Table1[[#This Row],[Fetal Sex (Male, Female or Unknown)]]="Female",Backend!$C$7,IF(Table1[[#This Row],[Fetal Sex (Male, Female or Unknown)]]="Unknown",Backend!$C$8,"Error"))),"")</f>
        <v/>
      </c>
      <c r="F4512" s="8" t="str">
        <f>IF(Table1[[#This Row],[Is Data Valid]]=TRUE,EXP(0.578+0.332*((Table1[[#This Row],[Gestation (days)]]+0.5)/7)-0.00354*((Table1[[#This Row],[Gestation (days)]]+0.5)/7)^2)*Table1[[#This Row],[BW40_3705]],"")</f>
        <v/>
      </c>
      <c r="G4512" s="2" t="str">
        <f>IF(Table1[[#This Row],[Is Data Valid]]=TRUE,((Table1[[#This Row],[Birthweight (grams)]]/Table1[[#This Row],[BW_GA]])-1)/(Backend!$B$4/100*Table1[[#This Row],[BW40_3705]]),"")</f>
        <v/>
      </c>
      <c r="H4512" s="7" t="str">
        <f>IF(Table1[[#This Row],[Is Data Valid]]=TRUE,((Table1[[#This Row],[Birthweight (grams)]]*0.9/Table1[[#This Row],[BW_GA]])-1)/(Backend!$B$4/100*Table1[[#This Row],[BW40_3705]]),"")</f>
        <v/>
      </c>
      <c r="I4512" s="7" t="str">
        <f>IF(Table1[[#This Row],[Is Data Valid]]=TRUE,((Table1[[#This Row],[Birthweight (grams)]]*1.1/Table1[[#This Row],[BW_GA]])-1)/(Backend!$B$4/100*Table1[[#This Row],[BW40_3705]]),"")</f>
        <v/>
      </c>
      <c r="J4512" s="7" t="str">
        <f>IF(Table1[[#This Row],[Is Data Valid]]=TRUE,_xlfn.NORM.S.DIST(Table1[[#This Row],[Birthweight Z-Score]],TRUE)*100,"")</f>
        <v/>
      </c>
      <c r="K4512" s="7" t="str">
        <f>IF(Table1[[#This Row],[Is Data Valid]]=TRUE,_xlfn.NORM.S.DIST(Table1[[#This Row],[Birthweight Z-Score (BW-10%)]],TRUE)*100,"")</f>
        <v/>
      </c>
      <c r="L4512" s="7" t="str">
        <f>IF(Table1[[#This Row],[Is Data Valid]]=TRUE,_xlfn.NORM.S.DIST(Table1[[#This Row],[Birthweight Z-Score (BW+10%)]],TRUE)*100,"")</f>
        <v/>
      </c>
    </row>
    <row r="4513" spans="1:12" x14ac:dyDescent="0.35">
      <c r="A4513" s="3"/>
      <c r="B4513" s="2"/>
      <c r="C4513" s="2"/>
      <c r="D4513" s="2" t="b">
        <f>IF(AND(NOT(ISBLANK(Table1[[#This Row],[Fetal Sex (Male, Female or Unknown)]])),ISNUMBER(Table1[[#This Row],[Birthweight (grams)]]),ISNUMBER(Table1[[#This Row],[Gestation (days)]])),TRUE,FALSE)</f>
        <v>0</v>
      </c>
      <c r="E4513" s="2" t="str">
        <f>IF(Table1[[#This Row],[Is Data Valid]]=TRUE,IF(Table1[[#This Row],[Fetal Sex (Male, Female or Unknown)]]="Male",Backend!$C$6,IF(Table1[[#This Row],[Fetal Sex (Male, Female or Unknown)]]="Female",Backend!$C$7,IF(Table1[[#This Row],[Fetal Sex (Male, Female or Unknown)]]="Unknown",Backend!$C$8,"Error"))),"")</f>
        <v/>
      </c>
      <c r="F4513" s="8" t="str">
        <f>IF(Table1[[#This Row],[Is Data Valid]]=TRUE,EXP(0.578+0.332*((Table1[[#This Row],[Gestation (days)]]+0.5)/7)-0.00354*((Table1[[#This Row],[Gestation (days)]]+0.5)/7)^2)*Table1[[#This Row],[BW40_3705]],"")</f>
        <v/>
      </c>
      <c r="G4513" s="2" t="str">
        <f>IF(Table1[[#This Row],[Is Data Valid]]=TRUE,((Table1[[#This Row],[Birthweight (grams)]]/Table1[[#This Row],[BW_GA]])-1)/(Backend!$B$4/100*Table1[[#This Row],[BW40_3705]]),"")</f>
        <v/>
      </c>
      <c r="H4513" s="7" t="str">
        <f>IF(Table1[[#This Row],[Is Data Valid]]=TRUE,((Table1[[#This Row],[Birthweight (grams)]]*0.9/Table1[[#This Row],[BW_GA]])-1)/(Backend!$B$4/100*Table1[[#This Row],[BW40_3705]]),"")</f>
        <v/>
      </c>
      <c r="I4513" s="7" t="str">
        <f>IF(Table1[[#This Row],[Is Data Valid]]=TRUE,((Table1[[#This Row],[Birthweight (grams)]]*1.1/Table1[[#This Row],[BW_GA]])-1)/(Backend!$B$4/100*Table1[[#This Row],[BW40_3705]]),"")</f>
        <v/>
      </c>
      <c r="J4513" s="7" t="str">
        <f>IF(Table1[[#This Row],[Is Data Valid]]=TRUE,_xlfn.NORM.S.DIST(Table1[[#This Row],[Birthweight Z-Score]],TRUE)*100,"")</f>
        <v/>
      </c>
      <c r="K4513" s="7" t="str">
        <f>IF(Table1[[#This Row],[Is Data Valid]]=TRUE,_xlfn.NORM.S.DIST(Table1[[#This Row],[Birthweight Z-Score (BW-10%)]],TRUE)*100,"")</f>
        <v/>
      </c>
      <c r="L4513" s="7" t="str">
        <f>IF(Table1[[#This Row],[Is Data Valid]]=TRUE,_xlfn.NORM.S.DIST(Table1[[#This Row],[Birthweight Z-Score (BW+10%)]],TRUE)*100,"")</f>
        <v/>
      </c>
    </row>
    <row r="4514" spans="1:12" x14ac:dyDescent="0.35">
      <c r="A4514" s="3"/>
      <c r="B4514" s="2"/>
      <c r="C4514" s="2"/>
      <c r="D4514" s="2" t="b">
        <f>IF(AND(NOT(ISBLANK(Table1[[#This Row],[Fetal Sex (Male, Female or Unknown)]])),ISNUMBER(Table1[[#This Row],[Birthweight (grams)]]),ISNUMBER(Table1[[#This Row],[Gestation (days)]])),TRUE,FALSE)</f>
        <v>0</v>
      </c>
      <c r="E4514" s="2" t="str">
        <f>IF(Table1[[#This Row],[Is Data Valid]]=TRUE,IF(Table1[[#This Row],[Fetal Sex (Male, Female or Unknown)]]="Male",Backend!$C$6,IF(Table1[[#This Row],[Fetal Sex (Male, Female or Unknown)]]="Female",Backend!$C$7,IF(Table1[[#This Row],[Fetal Sex (Male, Female or Unknown)]]="Unknown",Backend!$C$8,"Error"))),"")</f>
        <v/>
      </c>
      <c r="F4514" s="8" t="str">
        <f>IF(Table1[[#This Row],[Is Data Valid]]=TRUE,EXP(0.578+0.332*((Table1[[#This Row],[Gestation (days)]]+0.5)/7)-0.00354*((Table1[[#This Row],[Gestation (days)]]+0.5)/7)^2)*Table1[[#This Row],[BW40_3705]],"")</f>
        <v/>
      </c>
      <c r="G4514" s="2" t="str">
        <f>IF(Table1[[#This Row],[Is Data Valid]]=TRUE,((Table1[[#This Row],[Birthweight (grams)]]/Table1[[#This Row],[BW_GA]])-1)/(Backend!$B$4/100*Table1[[#This Row],[BW40_3705]]),"")</f>
        <v/>
      </c>
      <c r="H4514" s="7" t="str">
        <f>IF(Table1[[#This Row],[Is Data Valid]]=TRUE,((Table1[[#This Row],[Birthweight (grams)]]*0.9/Table1[[#This Row],[BW_GA]])-1)/(Backend!$B$4/100*Table1[[#This Row],[BW40_3705]]),"")</f>
        <v/>
      </c>
      <c r="I4514" s="7" t="str">
        <f>IF(Table1[[#This Row],[Is Data Valid]]=TRUE,((Table1[[#This Row],[Birthweight (grams)]]*1.1/Table1[[#This Row],[BW_GA]])-1)/(Backend!$B$4/100*Table1[[#This Row],[BW40_3705]]),"")</f>
        <v/>
      </c>
      <c r="J4514" s="7" t="str">
        <f>IF(Table1[[#This Row],[Is Data Valid]]=TRUE,_xlfn.NORM.S.DIST(Table1[[#This Row],[Birthweight Z-Score]],TRUE)*100,"")</f>
        <v/>
      </c>
      <c r="K4514" s="7" t="str">
        <f>IF(Table1[[#This Row],[Is Data Valid]]=TRUE,_xlfn.NORM.S.DIST(Table1[[#This Row],[Birthweight Z-Score (BW-10%)]],TRUE)*100,"")</f>
        <v/>
      </c>
      <c r="L4514" s="7" t="str">
        <f>IF(Table1[[#This Row],[Is Data Valid]]=TRUE,_xlfn.NORM.S.DIST(Table1[[#This Row],[Birthweight Z-Score (BW+10%)]],TRUE)*100,"")</f>
        <v/>
      </c>
    </row>
    <row r="4515" spans="1:12" x14ac:dyDescent="0.35">
      <c r="A4515" s="3"/>
      <c r="B4515" s="2"/>
      <c r="C4515" s="2"/>
      <c r="D4515" s="2" t="b">
        <f>IF(AND(NOT(ISBLANK(Table1[[#This Row],[Fetal Sex (Male, Female or Unknown)]])),ISNUMBER(Table1[[#This Row],[Birthweight (grams)]]),ISNUMBER(Table1[[#This Row],[Gestation (days)]])),TRUE,FALSE)</f>
        <v>0</v>
      </c>
      <c r="E4515" s="2" t="str">
        <f>IF(Table1[[#This Row],[Is Data Valid]]=TRUE,IF(Table1[[#This Row],[Fetal Sex (Male, Female or Unknown)]]="Male",Backend!$C$6,IF(Table1[[#This Row],[Fetal Sex (Male, Female or Unknown)]]="Female",Backend!$C$7,IF(Table1[[#This Row],[Fetal Sex (Male, Female or Unknown)]]="Unknown",Backend!$C$8,"Error"))),"")</f>
        <v/>
      </c>
      <c r="F4515" s="8" t="str">
        <f>IF(Table1[[#This Row],[Is Data Valid]]=TRUE,EXP(0.578+0.332*((Table1[[#This Row],[Gestation (days)]]+0.5)/7)-0.00354*((Table1[[#This Row],[Gestation (days)]]+0.5)/7)^2)*Table1[[#This Row],[BW40_3705]],"")</f>
        <v/>
      </c>
      <c r="G4515" s="2" t="str">
        <f>IF(Table1[[#This Row],[Is Data Valid]]=TRUE,((Table1[[#This Row],[Birthweight (grams)]]/Table1[[#This Row],[BW_GA]])-1)/(Backend!$B$4/100*Table1[[#This Row],[BW40_3705]]),"")</f>
        <v/>
      </c>
      <c r="H4515" s="7" t="str">
        <f>IF(Table1[[#This Row],[Is Data Valid]]=TRUE,((Table1[[#This Row],[Birthweight (grams)]]*0.9/Table1[[#This Row],[BW_GA]])-1)/(Backend!$B$4/100*Table1[[#This Row],[BW40_3705]]),"")</f>
        <v/>
      </c>
      <c r="I4515" s="7" t="str">
        <f>IF(Table1[[#This Row],[Is Data Valid]]=TRUE,((Table1[[#This Row],[Birthweight (grams)]]*1.1/Table1[[#This Row],[BW_GA]])-1)/(Backend!$B$4/100*Table1[[#This Row],[BW40_3705]]),"")</f>
        <v/>
      </c>
      <c r="J4515" s="7" t="str">
        <f>IF(Table1[[#This Row],[Is Data Valid]]=TRUE,_xlfn.NORM.S.DIST(Table1[[#This Row],[Birthweight Z-Score]],TRUE)*100,"")</f>
        <v/>
      </c>
      <c r="K4515" s="7" t="str">
        <f>IF(Table1[[#This Row],[Is Data Valid]]=TRUE,_xlfn.NORM.S.DIST(Table1[[#This Row],[Birthweight Z-Score (BW-10%)]],TRUE)*100,"")</f>
        <v/>
      </c>
      <c r="L4515" s="7" t="str">
        <f>IF(Table1[[#This Row],[Is Data Valid]]=TRUE,_xlfn.NORM.S.DIST(Table1[[#This Row],[Birthweight Z-Score (BW+10%)]],TRUE)*100,"")</f>
        <v/>
      </c>
    </row>
    <row r="4516" spans="1:12" x14ac:dyDescent="0.35">
      <c r="A4516" s="3"/>
      <c r="B4516" s="2"/>
      <c r="C4516" s="2"/>
      <c r="D4516" s="2" t="b">
        <f>IF(AND(NOT(ISBLANK(Table1[[#This Row],[Fetal Sex (Male, Female or Unknown)]])),ISNUMBER(Table1[[#This Row],[Birthweight (grams)]]),ISNUMBER(Table1[[#This Row],[Gestation (days)]])),TRUE,FALSE)</f>
        <v>0</v>
      </c>
      <c r="E4516" s="2" t="str">
        <f>IF(Table1[[#This Row],[Is Data Valid]]=TRUE,IF(Table1[[#This Row],[Fetal Sex (Male, Female or Unknown)]]="Male",Backend!$C$6,IF(Table1[[#This Row],[Fetal Sex (Male, Female or Unknown)]]="Female",Backend!$C$7,IF(Table1[[#This Row],[Fetal Sex (Male, Female or Unknown)]]="Unknown",Backend!$C$8,"Error"))),"")</f>
        <v/>
      </c>
      <c r="F4516" s="8" t="str">
        <f>IF(Table1[[#This Row],[Is Data Valid]]=TRUE,EXP(0.578+0.332*((Table1[[#This Row],[Gestation (days)]]+0.5)/7)-0.00354*((Table1[[#This Row],[Gestation (days)]]+0.5)/7)^2)*Table1[[#This Row],[BW40_3705]],"")</f>
        <v/>
      </c>
      <c r="G4516" s="2" t="str">
        <f>IF(Table1[[#This Row],[Is Data Valid]]=TRUE,((Table1[[#This Row],[Birthweight (grams)]]/Table1[[#This Row],[BW_GA]])-1)/(Backend!$B$4/100*Table1[[#This Row],[BW40_3705]]),"")</f>
        <v/>
      </c>
      <c r="H4516" s="7" t="str">
        <f>IF(Table1[[#This Row],[Is Data Valid]]=TRUE,((Table1[[#This Row],[Birthweight (grams)]]*0.9/Table1[[#This Row],[BW_GA]])-1)/(Backend!$B$4/100*Table1[[#This Row],[BW40_3705]]),"")</f>
        <v/>
      </c>
      <c r="I4516" s="7" t="str">
        <f>IF(Table1[[#This Row],[Is Data Valid]]=TRUE,((Table1[[#This Row],[Birthweight (grams)]]*1.1/Table1[[#This Row],[BW_GA]])-1)/(Backend!$B$4/100*Table1[[#This Row],[BW40_3705]]),"")</f>
        <v/>
      </c>
      <c r="J4516" s="7" t="str">
        <f>IF(Table1[[#This Row],[Is Data Valid]]=TRUE,_xlfn.NORM.S.DIST(Table1[[#This Row],[Birthweight Z-Score]],TRUE)*100,"")</f>
        <v/>
      </c>
      <c r="K4516" s="7" t="str">
        <f>IF(Table1[[#This Row],[Is Data Valid]]=TRUE,_xlfn.NORM.S.DIST(Table1[[#This Row],[Birthweight Z-Score (BW-10%)]],TRUE)*100,"")</f>
        <v/>
      </c>
      <c r="L4516" s="7" t="str">
        <f>IF(Table1[[#This Row],[Is Data Valid]]=TRUE,_xlfn.NORM.S.DIST(Table1[[#This Row],[Birthweight Z-Score (BW+10%)]],TRUE)*100,"")</f>
        <v/>
      </c>
    </row>
    <row r="4517" spans="1:12" x14ac:dyDescent="0.35">
      <c r="A4517" s="3"/>
      <c r="B4517" s="2"/>
      <c r="C4517" s="2"/>
      <c r="D4517" s="2" t="b">
        <f>IF(AND(NOT(ISBLANK(Table1[[#This Row],[Fetal Sex (Male, Female or Unknown)]])),ISNUMBER(Table1[[#This Row],[Birthweight (grams)]]),ISNUMBER(Table1[[#This Row],[Gestation (days)]])),TRUE,FALSE)</f>
        <v>0</v>
      </c>
      <c r="E4517" s="2" t="str">
        <f>IF(Table1[[#This Row],[Is Data Valid]]=TRUE,IF(Table1[[#This Row],[Fetal Sex (Male, Female or Unknown)]]="Male",Backend!$C$6,IF(Table1[[#This Row],[Fetal Sex (Male, Female or Unknown)]]="Female",Backend!$C$7,IF(Table1[[#This Row],[Fetal Sex (Male, Female or Unknown)]]="Unknown",Backend!$C$8,"Error"))),"")</f>
        <v/>
      </c>
      <c r="F4517" s="8" t="str">
        <f>IF(Table1[[#This Row],[Is Data Valid]]=TRUE,EXP(0.578+0.332*((Table1[[#This Row],[Gestation (days)]]+0.5)/7)-0.00354*((Table1[[#This Row],[Gestation (days)]]+0.5)/7)^2)*Table1[[#This Row],[BW40_3705]],"")</f>
        <v/>
      </c>
      <c r="G4517" s="2" t="str">
        <f>IF(Table1[[#This Row],[Is Data Valid]]=TRUE,((Table1[[#This Row],[Birthweight (grams)]]/Table1[[#This Row],[BW_GA]])-1)/(Backend!$B$4/100*Table1[[#This Row],[BW40_3705]]),"")</f>
        <v/>
      </c>
      <c r="H4517" s="7" t="str">
        <f>IF(Table1[[#This Row],[Is Data Valid]]=TRUE,((Table1[[#This Row],[Birthweight (grams)]]*0.9/Table1[[#This Row],[BW_GA]])-1)/(Backend!$B$4/100*Table1[[#This Row],[BW40_3705]]),"")</f>
        <v/>
      </c>
      <c r="I4517" s="7" t="str">
        <f>IF(Table1[[#This Row],[Is Data Valid]]=TRUE,((Table1[[#This Row],[Birthweight (grams)]]*1.1/Table1[[#This Row],[BW_GA]])-1)/(Backend!$B$4/100*Table1[[#This Row],[BW40_3705]]),"")</f>
        <v/>
      </c>
      <c r="J4517" s="7" t="str">
        <f>IF(Table1[[#This Row],[Is Data Valid]]=TRUE,_xlfn.NORM.S.DIST(Table1[[#This Row],[Birthweight Z-Score]],TRUE)*100,"")</f>
        <v/>
      </c>
      <c r="K4517" s="7" t="str">
        <f>IF(Table1[[#This Row],[Is Data Valid]]=TRUE,_xlfn.NORM.S.DIST(Table1[[#This Row],[Birthweight Z-Score (BW-10%)]],TRUE)*100,"")</f>
        <v/>
      </c>
      <c r="L4517" s="7" t="str">
        <f>IF(Table1[[#This Row],[Is Data Valid]]=TRUE,_xlfn.NORM.S.DIST(Table1[[#This Row],[Birthweight Z-Score (BW+10%)]],TRUE)*100,"")</f>
        <v/>
      </c>
    </row>
    <row r="4518" spans="1:12" x14ac:dyDescent="0.35">
      <c r="A4518" s="3"/>
      <c r="B4518" s="2"/>
      <c r="C4518" s="2"/>
      <c r="D4518" s="2" t="b">
        <f>IF(AND(NOT(ISBLANK(Table1[[#This Row],[Fetal Sex (Male, Female or Unknown)]])),ISNUMBER(Table1[[#This Row],[Birthweight (grams)]]),ISNUMBER(Table1[[#This Row],[Gestation (days)]])),TRUE,FALSE)</f>
        <v>0</v>
      </c>
      <c r="E4518" s="2" t="str">
        <f>IF(Table1[[#This Row],[Is Data Valid]]=TRUE,IF(Table1[[#This Row],[Fetal Sex (Male, Female or Unknown)]]="Male",Backend!$C$6,IF(Table1[[#This Row],[Fetal Sex (Male, Female or Unknown)]]="Female",Backend!$C$7,IF(Table1[[#This Row],[Fetal Sex (Male, Female or Unknown)]]="Unknown",Backend!$C$8,"Error"))),"")</f>
        <v/>
      </c>
      <c r="F4518" s="8" t="str">
        <f>IF(Table1[[#This Row],[Is Data Valid]]=TRUE,EXP(0.578+0.332*((Table1[[#This Row],[Gestation (days)]]+0.5)/7)-0.00354*((Table1[[#This Row],[Gestation (days)]]+0.5)/7)^2)*Table1[[#This Row],[BW40_3705]],"")</f>
        <v/>
      </c>
      <c r="G4518" s="2" t="str">
        <f>IF(Table1[[#This Row],[Is Data Valid]]=TRUE,((Table1[[#This Row],[Birthweight (grams)]]/Table1[[#This Row],[BW_GA]])-1)/(Backend!$B$4/100*Table1[[#This Row],[BW40_3705]]),"")</f>
        <v/>
      </c>
      <c r="H4518" s="7" t="str">
        <f>IF(Table1[[#This Row],[Is Data Valid]]=TRUE,((Table1[[#This Row],[Birthweight (grams)]]*0.9/Table1[[#This Row],[BW_GA]])-1)/(Backend!$B$4/100*Table1[[#This Row],[BW40_3705]]),"")</f>
        <v/>
      </c>
      <c r="I4518" s="7" t="str">
        <f>IF(Table1[[#This Row],[Is Data Valid]]=TRUE,((Table1[[#This Row],[Birthweight (grams)]]*1.1/Table1[[#This Row],[BW_GA]])-1)/(Backend!$B$4/100*Table1[[#This Row],[BW40_3705]]),"")</f>
        <v/>
      </c>
      <c r="J4518" s="7" t="str">
        <f>IF(Table1[[#This Row],[Is Data Valid]]=TRUE,_xlfn.NORM.S.DIST(Table1[[#This Row],[Birthweight Z-Score]],TRUE)*100,"")</f>
        <v/>
      </c>
      <c r="K4518" s="7" t="str">
        <f>IF(Table1[[#This Row],[Is Data Valid]]=TRUE,_xlfn.NORM.S.DIST(Table1[[#This Row],[Birthweight Z-Score (BW-10%)]],TRUE)*100,"")</f>
        <v/>
      </c>
      <c r="L4518" s="7" t="str">
        <f>IF(Table1[[#This Row],[Is Data Valid]]=TRUE,_xlfn.NORM.S.DIST(Table1[[#This Row],[Birthweight Z-Score (BW+10%)]],TRUE)*100,"")</f>
        <v/>
      </c>
    </row>
    <row r="4519" spans="1:12" x14ac:dyDescent="0.35">
      <c r="A4519" s="3"/>
      <c r="B4519" s="2"/>
      <c r="C4519" s="2"/>
      <c r="D4519" s="2" t="b">
        <f>IF(AND(NOT(ISBLANK(Table1[[#This Row],[Fetal Sex (Male, Female or Unknown)]])),ISNUMBER(Table1[[#This Row],[Birthweight (grams)]]),ISNUMBER(Table1[[#This Row],[Gestation (days)]])),TRUE,FALSE)</f>
        <v>0</v>
      </c>
      <c r="E4519" s="2" t="str">
        <f>IF(Table1[[#This Row],[Is Data Valid]]=TRUE,IF(Table1[[#This Row],[Fetal Sex (Male, Female or Unknown)]]="Male",Backend!$C$6,IF(Table1[[#This Row],[Fetal Sex (Male, Female or Unknown)]]="Female",Backend!$C$7,IF(Table1[[#This Row],[Fetal Sex (Male, Female or Unknown)]]="Unknown",Backend!$C$8,"Error"))),"")</f>
        <v/>
      </c>
      <c r="F4519" s="8" t="str">
        <f>IF(Table1[[#This Row],[Is Data Valid]]=TRUE,EXP(0.578+0.332*((Table1[[#This Row],[Gestation (days)]]+0.5)/7)-0.00354*((Table1[[#This Row],[Gestation (days)]]+0.5)/7)^2)*Table1[[#This Row],[BW40_3705]],"")</f>
        <v/>
      </c>
      <c r="G4519" s="2" t="str">
        <f>IF(Table1[[#This Row],[Is Data Valid]]=TRUE,((Table1[[#This Row],[Birthweight (grams)]]/Table1[[#This Row],[BW_GA]])-1)/(Backend!$B$4/100*Table1[[#This Row],[BW40_3705]]),"")</f>
        <v/>
      </c>
      <c r="H4519" s="7" t="str">
        <f>IF(Table1[[#This Row],[Is Data Valid]]=TRUE,((Table1[[#This Row],[Birthweight (grams)]]*0.9/Table1[[#This Row],[BW_GA]])-1)/(Backend!$B$4/100*Table1[[#This Row],[BW40_3705]]),"")</f>
        <v/>
      </c>
      <c r="I4519" s="7" t="str">
        <f>IF(Table1[[#This Row],[Is Data Valid]]=TRUE,((Table1[[#This Row],[Birthweight (grams)]]*1.1/Table1[[#This Row],[BW_GA]])-1)/(Backend!$B$4/100*Table1[[#This Row],[BW40_3705]]),"")</f>
        <v/>
      </c>
      <c r="J4519" s="7" t="str">
        <f>IF(Table1[[#This Row],[Is Data Valid]]=TRUE,_xlfn.NORM.S.DIST(Table1[[#This Row],[Birthweight Z-Score]],TRUE)*100,"")</f>
        <v/>
      </c>
      <c r="K4519" s="7" t="str">
        <f>IF(Table1[[#This Row],[Is Data Valid]]=TRUE,_xlfn.NORM.S.DIST(Table1[[#This Row],[Birthweight Z-Score (BW-10%)]],TRUE)*100,"")</f>
        <v/>
      </c>
      <c r="L4519" s="7" t="str">
        <f>IF(Table1[[#This Row],[Is Data Valid]]=TRUE,_xlfn.NORM.S.DIST(Table1[[#This Row],[Birthweight Z-Score (BW+10%)]],TRUE)*100,"")</f>
        <v/>
      </c>
    </row>
    <row r="4520" spans="1:12" x14ac:dyDescent="0.35">
      <c r="A4520" s="3"/>
      <c r="B4520" s="2"/>
      <c r="C4520" s="2"/>
      <c r="D4520" s="2" t="b">
        <f>IF(AND(NOT(ISBLANK(Table1[[#This Row],[Fetal Sex (Male, Female or Unknown)]])),ISNUMBER(Table1[[#This Row],[Birthweight (grams)]]),ISNUMBER(Table1[[#This Row],[Gestation (days)]])),TRUE,FALSE)</f>
        <v>0</v>
      </c>
      <c r="E4520" s="2" t="str">
        <f>IF(Table1[[#This Row],[Is Data Valid]]=TRUE,IF(Table1[[#This Row],[Fetal Sex (Male, Female or Unknown)]]="Male",Backend!$C$6,IF(Table1[[#This Row],[Fetal Sex (Male, Female or Unknown)]]="Female",Backend!$C$7,IF(Table1[[#This Row],[Fetal Sex (Male, Female or Unknown)]]="Unknown",Backend!$C$8,"Error"))),"")</f>
        <v/>
      </c>
      <c r="F4520" s="8" t="str">
        <f>IF(Table1[[#This Row],[Is Data Valid]]=TRUE,EXP(0.578+0.332*((Table1[[#This Row],[Gestation (days)]]+0.5)/7)-0.00354*((Table1[[#This Row],[Gestation (days)]]+0.5)/7)^2)*Table1[[#This Row],[BW40_3705]],"")</f>
        <v/>
      </c>
      <c r="G4520" s="2" t="str">
        <f>IF(Table1[[#This Row],[Is Data Valid]]=TRUE,((Table1[[#This Row],[Birthweight (grams)]]/Table1[[#This Row],[BW_GA]])-1)/(Backend!$B$4/100*Table1[[#This Row],[BW40_3705]]),"")</f>
        <v/>
      </c>
      <c r="H4520" s="7" t="str">
        <f>IF(Table1[[#This Row],[Is Data Valid]]=TRUE,((Table1[[#This Row],[Birthweight (grams)]]*0.9/Table1[[#This Row],[BW_GA]])-1)/(Backend!$B$4/100*Table1[[#This Row],[BW40_3705]]),"")</f>
        <v/>
      </c>
      <c r="I4520" s="7" t="str">
        <f>IF(Table1[[#This Row],[Is Data Valid]]=TRUE,((Table1[[#This Row],[Birthweight (grams)]]*1.1/Table1[[#This Row],[BW_GA]])-1)/(Backend!$B$4/100*Table1[[#This Row],[BW40_3705]]),"")</f>
        <v/>
      </c>
      <c r="J4520" s="7" t="str">
        <f>IF(Table1[[#This Row],[Is Data Valid]]=TRUE,_xlfn.NORM.S.DIST(Table1[[#This Row],[Birthweight Z-Score]],TRUE)*100,"")</f>
        <v/>
      </c>
      <c r="K4520" s="7" t="str">
        <f>IF(Table1[[#This Row],[Is Data Valid]]=TRUE,_xlfn.NORM.S.DIST(Table1[[#This Row],[Birthweight Z-Score (BW-10%)]],TRUE)*100,"")</f>
        <v/>
      </c>
      <c r="L4520" s="7" t="str">
        <f>IF(Table1[[#This Row],[Is Data Valid]]=TRUE,_xlfn.NORM.S.DIST(Table1[[#This Row],[Birthweight Z-Score (BW+10%)]],TRUE)*100,"")</f>
        <v/>
      </c>
    </row>
    <row r="4521" spans="1:12" x14ac:dyDescent="0.35">
      <c r="A4521" s="3"/>
      <c r="B4521" s="2"/>
      <c r="C4521" s="2"/>
      <c r="D4521" s="2" t="b">
        <f>IF(AND(NOT(ISBLANK(Table1[[#This Row],[Fetal Sex (Male, Female or Unknown)]])),ISNUMBER(Table1[[#This Row],[Birthweight (grams)]]),ISNUMBER(Table1[[#This Row],[Gestation (days)]])),TRUE,FALSE)</f>
        <v>0</v>
      </c>
      <c r="E4521" s="2" t="str">
        <f>IF(Table1[[#This Row],[Is Data Valid]]=TRUE,IF(Table1[[#This Row],[Fetal Sex (Male, Female or Unknown)]]="Male",Backend!$C$6,IF(Table1[[#This Row],[Fetal Sex (Male, Female or Unknown)]]="Female",Backend!$C$7,IF(Table1[[#This Row],[Fetal Sex (Male, Female or Unknown)]]="Unknown",Backend!$C$8,"Error"))),"")</f>
        <v/>
      </c>
      <c r="F4521" s="8" t="str">
        <f>IF(Table1[[#This Row],[Is Data Valid]]=TRUE,EXP(0.578+0.332*((Table1[[#This Row],[Gestation (days)]]+0.5)/7)-0.00354*((Table1[[#This Row],[Gestation (days)]]+0.5)/7)^2)*Table1[[#This Row],[BW40_3705]],"")</f>
        <v/>
      </c>
      <c r="G4521" s="2" t="str">
        <f>IF(Table1[[#This Row],[Is Data Valid]]=TRUE,((Table1[[#This Row],[Birthweight (grams)]]/Table1[[#This Row],[BW_GA]])-1)/(Backend!$B$4/100*Table1[[#This Row],[BW40_3705]]),"")</f>
        <v/>
      </c>
      <c r="H4521" s="7" t="str">
        <f>IF(Table1[[#This Row],[Is Data Valid]]=TRUE,((Table1[[#This Row],[Birthweight (grams)]]*0.9/Table1[[#This Row],[BW_GA]])-1)/(Backend!$B$4/100*Table1[[#This Row],[BW40_3705]]),"")</f>
        <v/>
      </c>
      <c r="I4521" s="7" t="str">
        <f>IF(Table1[[#This Row],[Is Data Valid]]=TRUE,((Table1[[#This Row],[Birthweight (grams)]]*1.1/Table1[[#This Row],[BW_GA]])-1)/(Backend!$B$4/100*Table1[[#This Row],[BW40_3705]]),"")</f>
        <v/>
      </c>
      <c r="J4521" s="7" t="str">
        <f>IF(Table1[[#This Row],[Is Data Valid]]=TRUE,_xlfn.NORM.S.DIST(Table1[[#This Row],[Birthweight Z-Score]],TRUE)*100,"")</f>
        <v/>
      </c>
      <c r="K4521" s="7" t="str">
        <f>IF(Table1[[#This Row],[Is Data Valid]]=TRUE,_xlfn.NORM.S.DIST(Table1[[#This Row],[Birthweight Z-Score (BW-10%)]],TRUE)*100,"")</f>
        <v/>
      </c>
      <c r="L4521" s="7" t="str">
        <f>IF(Table1[[#This Row],[Is Data Valid]]=TRUE,_xlfn.NORM.S.DIST(Table1[[#This Row],[Birthweight Z-Score (BW+10%)]],TRUE)*100,"")</f>
        <v/>
      </c>
    </row>
    <row r="4522" spans="1:12" x14ac:dyDescent="0.35">
      <c r="A4522" s="3"/>
      <c r="B4522" s="2"/>
      <c r="C4522" s="2"/>
      <c r="D4522" s="2" t="b">
        <f>IF(AND(NOT(ISBLANK(Table1[[#This Row],[Fetal Sex (Male, Female or Unknown)]])),ISNUMBER(Table1[[#This Row],[Birthweight (grams)]]),ISNUMBER(Table1[[#This Row],[Gestation (days)]])),TRUE,FALSE)</f>
        <v>0</v>
      </c>
      <c r="E4522" s="2" t="str">
        <f>IF(Table1[[#This Row],[Is Data Valid]]=TRUE,IF(Table1[[#This Row],[Fetal Sex (Male, Female or Unknown)]]="Male",Backend!$C$6,IF(Table1[[#This Row],[Fetal Sex (Male, Female or Unknown)]]="Female",Backend!$C$7,IF(Table1[[#This Row],[Fetal Sex (Male, Female or Unknown)]]="Unknown",Backend!$C$8,"Error"))),"")</f>
        <v/>
      </c>
      <c r="F4522" s="8" t="str">
        <f>IF(Table1[[#This Row],[Is Data Valid]]=TRUE,EXP(0.578+0.332*((Table1[[#This Row],[Gestation (days)]]+0.5)/7)-0.00354*((Table1[[#This Row],[Gestation (days)]]+0.5)/7)^2)*Table1[[#This Row],[BW40_3705]],"")</f>
        <v/>
      </c>
      <c r="G4522" s="2" t="str">
        <f>IF(Table1[[#This Row],[Is Data Valid]]=TRUE,((Table1[[#This Row],[Birthweight (grams)]]/Table1[[#This Row],[BW_GA]])-1)/(Backend!$B$4/100*Table1[[#This Row],[BW40_3705]]),"")</f>
        <v/>
      </c>
      <c r="H4522" s="7" t="str">
        <f>IF(Table1[[#This Row],[Is Data Valid]]=TRUE,((Table1[[#This Row],[Birthweight (grams)]]*0.9/Table1[[#This Row],[BW_GA]])-1)/(Backend!$B$4/100*Table1[[#This Row],[BW40_3705]]),"")</f>
        <v/>
      </c>
      <c r="I4522" s="7" t="str">
        <f>IF(Table1[[#This Row],[Is Data Valid]]=TRUE,((Table1[[#This Row],[Birthweight (grams)]]*1.1/Table1[[#This Row],[BW_GA]])-1)/(Backend!$B$4/100*Table1[[#This Row],[BW40_3705]]),"")</f>
        <v/>
      </c>
      <c r="J4522" s="7" t="str">
        <f>IF(Table1[[#This Row],[Is Data Valid]]=TRUE,_xlfn.NORM.S.DIST(Table1[[#This Row],[Birthweight Z-Score]],TRUE)*100,"")</f>
        <v/>
      </c>
      <c r="K4522" s="7" t="str">
        <f>IF(Table1[[#This Row],[Is Data Valid]]=TRUE,_xlfn.NORM.S.DIST(Table1[[#This Row],[Birthweight Z-Score (BW-10%)]],TRUE)*100,"")</f>
        <v/>
      </c>
      <c r="L4522" s="7" t="str">
        <f>IF(Table1[[#This Row],[Is Data Valid]]=TRUE,_xlfn.NORM.S.DIST(Table1[[#This Row],[Birthweight Z-Score (BW+10%)]],TRUE)*100,"")</f>
        <v/>
      </c>
    </row>
    <row r="4523" spans="1:12" x14ac:dyDescent="0.35">
      <c r="A4523" s="3"/>
      <c r="B4523" s="2"/>
      <c r="C4523" s="2"/>
      <c r="D4523" s="2" t="b">
        <f>IF(AND(NOT(ISBLANK(Table1[[#This Row],[Fetal Sex (Male, Female or Unknown)]])),ISNUMBER(Table1[[#This Row],[Birthweight (grams)]]),ISNUMBER(Table1[[#This Row],[Gestation (days)]])),TRUE,FALSE)</f>
        <v>0</v>
      </c>
      <c r="E4523" s="2" t="str">
        <f>IF(Table1[[#This Row],[Is Data Valid]]=TRUE,IF(Table1[[#This Row],[Fetal Sex (Male, Female or Unknown)]]="Male",Backend!$C$6,IF(Table1[[#This Row],[Fetal Sex (Male, Female or Unknown)]]="Female",Backend!$C$7,IF(Table1[[#This Row],[Fetal Sex (Male, Female or Unknown)]]="Unknown",Backend!$C$8,"Error"))),"")</f>
        <v/>
      </c>
      <c r="F4523" s="8" t="str">
        <f>IF(Table1[[#This Row],[Is Data Valid]]=TRUE,EXP(0.578+0.332*((Table1[[#This Row],[Gestation (days)]]+0.5)/7)-0.00354*((Table1[[#This Row],[Gestation (days)]]+0.5)/7)^2)*Table1[[#This Row],[BW40_3705]],"")</f>
        <v/>
      </c>
      <c r="G4523" s="2" t="str">
        <f>IF(Table1[[#This Row],[Is Data Valid]]=TRUE,((Table1[[#This Row],[Birthweight (grams)]]/Table1[[#This Row],[BW_GA]])-1)/(Backend!$B$4/100*Table1[[#This Row],[BW40_3705]]),"")</f>
        <v/>
      </c>
      <c r="H4523" s="7" t="str">
        <f>IF(Table1[[#This Row],[Is Data Valid]]=TRUE,((Table1[[#This Row],[Birthweight (grams)]]*0.9/Table1[[#This Row],[BW_GA]])-1)/(Backend!$B$4/100*Table1[[#This Row],[BW40_3705]]),"")</f>
        <v/>
      </c>
      <c r="I4523" s="7" t="str">
        <f>IF(Table1[[#This Row],[Is Data Valid]]=TRUE,((Table1[[#This Row],[Birthweight (grams)]]*1.1/Table1[[#This Row],[BW_GA]])-1)/(Backend!$B$4/100*Table1[[#This Row],[BW40_3705]]),"")</f>
        <v/>
      </c>
      <c r="J4523" s="7" t="str">
        <f>IF(Table1[[#This Row],[Is Data Valid]]=TRUE,_xlfn.NORM.S.DIST(Table1[[#This Row],[Birthweight Z-Score]],TRUE)*100,"")</f>
        <v/>
      </c>
      <c r="K4523" s="7" t="str">
        <f>IF(Table1[[#This Row],[Is Data Valid]]=TRUE,_xlfn.NORM.S.DIST(Table1[[#This Row],[Birthweight Z-Score (BW-10%)]],TRUE)*100,"")</f>
        <v/>
      </c>
      <c r="L4523" s="7" t="str">
        <f>IF(Table1[[#This Row],[Is Data Valid]]=TRUE,_xlfn.NORM.S.DIST(Table1[[#This Row],[Birthweight Z-Score (BW+10%)]],TRUE)*100,"")</f>
        <v/>
      </c>
    </row>
    <row r="4524" spans="1:12" x14ac:dyDescent="0.35">
      <c r="A4524" s="3"/>
      <c r="B4524" s="2"/>
      <c r="C4524" s="2"/>
      <c r="D4524" s="2" t="b">
        <f>IF(AND(NOT(ISBLANK(Table1[[#This Row],[Fetal Sex (Male, Female or Unknown)]])),ISNUMBER(Table1[[#This Row],[Birthweight (grams)]]),ISNUMBER(Table1[[#This Row],[Gestation (days)]])),TRUE,FALSE)</f>
        <v>0</v>
      </c>
      <c r="E4524" s="2" t="str">
        <f>IF(Table1[[#This Row],[Is Data Valid]]=TRUE,IF(Table1[[#This Row],[Fetal Sex (Male, Female or Unknown)]]="Male",Backend!$C$6,IF(Table1[[#This Row],[Fetal Sex (Male, Female or Unknown)]]="Female",Backend!$C$7,IF(Table1[[#This Row],[Fetal Sex (Male, Female or Unknown)]]="Unknown",Backend!$C$8,"Error"))),"")</f>
        <v/>
      </c>
      <c r="F4524" s="8" t="str">
        <f>IF(Table1[[#This Row],[Is Data Valid]]=TRUE,EXP(0.578+0.332*((Table1[[#This Row],[Gestation (days)]]+0.5)/7)-0.00354*((Table1[[#This Row],[Gestation (days)]]+0.5)/7)^2)*Table1[[#This Row],[BW40_3705]],"")</f>
        <v/>
      </c>
      <c r="G4524" s="2" t="str">
        <f>IF(Table1[[#This Row],[Is Data Valid]]=TRUE,((Table1[[#This Row],[Birthweight (grams)]]/Table1[[#This Row],[BW_GA]])-1)/(Backend!$B$4/100*Table1[[#This Row],[BW40_3705]]),"")</f>
        <v/>
      </c>
      <c r="H4524" s="7" t="str">
        <f>IF(Table1[[#This Row],[Is Data Valid]]=TRUE,((Table1[[#This Row],[Birthweight (grams)]]*0.9/Table1[[#This Row],[BW_GA]])-1)/(Backend!$B$4/100*Table1[[#This Row],[BW40_3705]]),"")</f>
        <v/>
      </c>
      <c r="I4524" s="7" t="str">
        <f>IF(Table1[[#This Row],[Is Data Valid]]=TRUE,((Table1[[#This Row],[Birthweight (grams)]]*1.1/Table1[[#This Row],[BW_GA]])-1)/(Backend!$B$4/100*Table1[[#This Row],[BW40_3705]]),"")</f>
        <v/>
      </c>
      <c r="J4524" s="7" t="str">
        <f>IF(Table1[[#This Row],[Is Data Valid]]=TRUE,_xlfn.NORM.S.DIST(Table1[[#This Row],[Birthweight Z-Score]],TRUE)*100,"")</f>
        <v/>
      </c>
      <c r="K4524" s="7" t="str">
        <f>IF(Table1[[#This Row],[Is Data Valid]]=TRUE,_xlfn.NORM.S.DIST(Table1[[#This Row],[Birthweight Z-Score (BW-10%)]],TRUE)*100,"")</f>
        <v/>
      </c>
      <c r="L4524" s="7" t="str">
        <f>IF(Table1[[#This Row],[Is Data Valid]]=TRUE,_xlfn.NORM.S.DIST(Table1[[#This Row],[Birthweight Z-Score (BW+10%)]],TRUE)*100,"")</f>
        <v/>
      </c>
    </row>
    <row r="4525" spans="1:12" x14ac:dyDescent="0.35">
      <c r="A4525" s="3"/>
      <c r="B4525" s="2"/>
      <c r="C4525" s="2"/>
      <c r="D4525" s="2" t="b">
        <f>IF(AND(NOT(ISBLANK(Table1[[#This Row],[Fetal Sex (Male, Female or Unknown)]])),ISNUMBER(Table1[[#This Row],[Birthweight (grams)]]),ISNUMBER(Table1[[#This Row],[Gestation (days)]])),TRUE,FALSE)</f>
        <v>0</v>
      </c>
      <c r="E4525" s="2" t="str">
        <f>IF(Table1[[#This Row],[Is Data Valid]]=TRUE,IF(Table1[[#This Row],[Fetal Sex (Male, Female or Unknown)]]="Male",Backend!$C$6,IF(Table1[[#This Row],[Fetal Sex (Male, Female or Unknown)]]="Female",Backend!$C$7,IF(Table1[[#This Row],[Fetal Sex (Male, Female or Unknown)]]="Unknown",Backend!$C$8,"Error"))),"")</f>
        <v/>
      </c>
      <c r="F4525" s="8" t="str">
        <f>IF(Table1[[#This Row],[Is Data Valid]]=TRUE,EXP(0.578+0.332*((Table1[[#This Row],[Gestation (days)]]+0.5)/7)-0.00354*((Table1[[#This Row],[Gestation (days)]]+0.5)/7)^2)*Table1[[#This Row],[BW40_3705]],"")</f>
        <v/>
      </c>
      <c r="G4525" s="2" t="str">
        <f>IF(Table1[[#This Row],[Is Data Valid]]=TRUE,((Table1[[#This Row],[Birthweight (grams)]]/Table1[[#This Row],[BW_GA]])-1)/(Backend!$B$4/100*Table1[[#This Row],[BW40_3705]]),"")</f>
        <v/>
      </c>
      <c r="H4525" s="7" t="str">
        <f>IF(Table1[[#This Row],[Is Data Valid]]=TRUE,((Table1[[#This Row],[Birthweight (grams)]]*0.9/Table1[[#This Row],[BW_GA]])-1)/(Backend!$B$4/100*Table1[[#This Row],[BW40_3705]]),"")</f>
        <v/>
      </c>
      <c r="I4525" s="7" t="str">
        <f>IF(Table1[[#This Row],[Is Data Valid]]=TRUE,((Table1[[#This Row],[Birthweight (grams)]]*1.1/Table1[[#This Row],[BW_GA]])-1)/(Backend!$B$4/100*Table1[[#This Row],[BW40_3705]]),"")</f>
        <v/>
      </c>
      <c r="J4525" s="7" t="str">
        <f>IF(Table1[[#This Row],[Is Data Valid]]=TRUE,_xlfn.NORM.S.DIST(Table1[[#This Row],[Birthweight Z-Score]],TRUE)*100,"")</f>
        <v/>
      </c>
      <c r="K4525" s="7" t="str">
        <f>IF(Table1[[#This Row],[Is Data Valid]]=TRUE,_xlfn.NORM.S.DIST(Table1[[#This Row],[Birthweight Z-Score (BW-10%)]],TRUE)*100,"")</f>
        <v/>
      </c>
      <c r="L4525" s="7" t="str">
        <f>IF(Table1[[#This Row],[Is Data Valid]]=TRUE,_xlfn.NORM.S.DIST(Table1[[#This Row],[Birthweight Z-Score (BW+10%)]],TRUE)*100,"")</f>
        <v/>
      </c>
    </row>
    <row r="4526" spans="1:12" x14ac:dyDescent="0.35">
      <c r="A4526" s="3"/>
      <c r="B4526" s="2"/>
      <c r="C4526" s="2"/>
      <c r="D4526" s="2" t="b">
        <f>IF(AND(NOT(ISBLANK(Table1[[#This Row],[Fetal Sex (Male, Female or Unknown)]])),ISNUMBER(Table1[[#This Row],[Birthweight (grams)]]),ISNUMBER(Table1[[#This Row],[Gestation (days)]])),TRUE,FALSE)</f>
        <v>0</v>
      </c>
      <c r="E4526" s="2" t="str">
        <f>IF(Table1[[#This Row],[Is Data Valid]]=TRUE,IF(Table1[[#This Row],[Fetal Sex (Male, Female or Unknown)]]="Male",Backend!$C$6,IF(Table1[[#This Row],[Fetal Sex (Male, Female or Unknown)]]="Female",Backend!$C$7,IF(Table1[[#This Row],[Fetal Sex (Male, Female or Unknown)]]="Unknown",Backend!$C$8,"Error"))),"")</f>
        <v/>
      </c>
      <c r="F4526" s="8" t="str">
        <f>IF(Table1[[#This Row],[Is Data Valid]]=TRUE,EXP(0.578+0.332*((Table1[[#This Row],[Gestation (days)]]+0.5)/7)-0.00354*((Table1[[#This Row],[Gestation (days)]]+0.5)/7)^2)*Table1[[#This Row],[BW40_3705]],"")</f>
        <v/>
      </c>
      <c r="G4526" s="2" t="str">
        <f>IF(Table1[[#This Row],[Is Data Valid]]=TRUE,((Table1[[#This Row],[Birthweight (grams)]]/Table1[[#This Row],[BW_GA]])-1)/(Backend!$B$4/100*Table1[[#This Row],[BW40_3705]]),"")</f>
        <v/>
      </c>
      <c r="H4526" s="7" t="str">
        <f>IF(Table1[[#This Row],[Is Data Valid]]=TRUE,((Table1[[#This Row],[Birthweight (grams)]]*0.9/Table1[[#This Row],[BW_GA]])-1)/(Backend!$B$4/100*Table1[[#This Row],[BW40_3705]]),"")</f>
        <v/>
      </c>
      <c r="I4526" s="7" t="str">
        <f>IF(Table1[[#This Row],[Is Data Valid]]=TRUE,((Table1[[#This Row],[Birthweight (grams)]]*1.1/Table1[[#This Row],[BW_GA]])-1)/(Backend!$B$4/100*Table1[[#This Row],[BW40_3705]]),"")</f>
        <v/>
      </c>
      <c r="J4526" s="7" t="str">
        <f>IF(Table1[[#This Row],[Is Data Valid]]=TRUE,_xlfn.NORM.S.DIST(Table1[[#This Row],[Birthweight Z-Score]],TRUE)*100,"")</f>
        <v/>
      </c>
      <c r="K4526" s="7" t="str">
        <f>IF(Table1[[#This Row],[Is Data Valid]]=TRUE,_xlfn.NORM.S.DIST(Table1[[#This Row],[Birthweight Z-Score (BW-10%)]],TRUE)*100,"")</f>
        <v/>
      </c>
      <c r="L4526" s="7" t="str">
        <f>IF(Table1[[#This Row],[Is Data Valid]]=TRUE,_xlfn.NORM.S.DIST(Table1[[#This Row],[Birthweight Z-Score (BW+10%)]],TRUE)*100,"")</f>
        <v/>
      </c>
    </row>
    <row r="4527" spans="1:12" x14ac:dyDescent="0.35">
      <c r="A4527" s="3"/>
      <c r="B4527" s="2"/>
      <c r="C4527" s="2"/>
      <c r="D4527" s="2" t="b">
        <f>IF(AND(NOT(ISBLANK(Table1[[#This Row],[Fetal Sex (Male, Female or Unknown)]])),ISNUMBER(Table1[[#This Row],[Birthweight (grams)]]),ISNUMBER(Table1[[#This Row],[Gestation (days)]])),TRUE,FALSE)</f>
        <v>0</v>
      </c>
      <c r="E4527" s="2" t="str">
        <f>IF(Table1[[#This Row],[Is Data Valid]]=TRUE,IF(Table1[[#This Row],[Fetal Sex (Male, Female or Unknown)]]="Male",Backend!$C$6,IF(Table1[[#This Row],[Fetal Sex (Male, Female or Unknown)]]="Female",Backend!$C$7,IF(Table1[[#This Row],[Fetal Sex (Male, Female or Unknown)]]="Unknown",Backend!$C$8,"Error"))),"")</f>
        <v/>
      </c>
      <c r="F4527" s="8" t="str">
        <f>IF(Table1[[#This Row],[Is Data Valid]]=TRUE,EXP(0.578+0.332*((Table1[[#This Row],[Gestation (days)]]+0.5)/7)-0.00354*((Table1[[#This Row],[Gestation (days)]]+0.5)/7)^2)*Table1[[#This Row],[BW40_3705]],"")</f>
        <v/>
      </c>
      <c r="G4527" s="2" t="str">
        <f>IF(Table1[[#This Row],[Is Data Valid]]=TRUE,((Table1[[#This Row],[Birthweight (grams)]]/Table1[[#This Row],[BW_GA]])-1)/(Backend!$B$4/100*Table1[[#This Row],[BW40_3705]]),"")</f>
        <v/>
      </c>
      <c r="H4527" s="7" t="str">
        <f>IF(Table1[[#This Row],[Is Data Valid]]=TRUE,((Table1[[#This Row],[Birthweight (grams)]]*0.9/Table1[[#This Row],[BW_GA]])-1)/(Backend!$B$4/100*Table1[[#This Row],[BW40_3705]]),"")</f>
        <v/>
      </c>
      <c r="I4527" s="7" t="str">
        <f>IF(Table1[[#This Row],[Is Data Valid]]=TRUE,((Table1[[#This Row],[Birthweight (grams)]]*1.1/Table1[[#This Row],[BW_GA]])-1)/(Backend!$B$4/100*Table1[[#This Row],[BW40_3705]]),"")</f>
        <v/>
      </c>
      <c r="J4527" s="7" t="str">
        <f>IF(Table1[[#This Row],[Is Data Valid]]=TRUE,_xlfn.NORM.S.DIST(Table1[[#This Row],[Birthweight Z-Score]],TRUE)*100,"")</f>
        <v/>
      </c>
      <c r="K4527" s="7" t="str">
        <f>IF(Table1[[#This Row],[Is Data Valid]]=TRUE,_xlfn.NORM.S.DIST(Table1[[#This Row],[Birthweight Z-Score (BW-10%)]],TRUE)*100,"")</f>
        <v/>
      </c>
      <c r="L4527" s="7" t="str">
        <f>IF(Table1[[#This Row],[Is Data Valid]]=TRUE,_xlfn.NORM.S.DIST(Table1[[#This Row],[Birthweight Z-Score (BW+10%)]],TRUE)*100,"")</f>
        <v/>
      </c>
    </row>
    <row r="4528" spans="1:12" x14ac:dyDescent="0.35">
      <c r="A4528" s="3"/>
      <c r="B4528" s="2"/>
      <c r="C4528" s="2"/>
      <c r="D4528" s="2" t="b">
        <f>IF(AND(NOT(ISBLANK(Table1[[#This Row],[Fetal Sex (Male, Female or Unknown)]])),ISNUMBER(Table1[[#This Row],[Birthweight (grams)]]),ISNUMBER(Table1[[#This Row],[Gestation (days)]])),TRUE,FALSE)</f>
        <v>0</v>
      </c>
      <c r="E4528" s="2" t="str">
        <f>IF(Table1[[#This Row],[Is Data Valid]]=TRUE,IF(Table1[[#This Row],[Fetal Sex (Male, Female or Unknown)]]="Male",Backend!$C$6,IF(Table1[[#This Row],[Fetal Sex (Male, Female or Unknown)]]="Female",Backend!$C$7,IF(Table1[[#This Row],[Fetal Sex (Male, Female or Unknown)]]="Unknown",Backend!$C$8,"Error"))),"")</f>
        <v/>
      </c>
      <c r="F4528" s="8" t="str">
        <f>IF(Table1[[#This Row],[Is Data Valid]]=TRUE,EXP(0.578+0.332*((Table1[[#This Row],[Gestation (days)]]+0.5)/7)-0.00354*((Table1[[#This Row],[Gestation (days)]]+0.5)/7)^2)*Table1[[#This Row],[BW40_3705]],"")</f>
        <v/>
      </c>
      <c r="G4528" s="2" t="str">
        <f>IF(Table1[[#This Row],[Is Data Valid]]=TRUE,((Table1[[#This Row],[Birthweight (grams)]]/Table1[[#This Row],[BW_GA]])-1)/(Backend!$B$4/100*Table1[[#This Row],[BW40_3705]]),"")</f>
        <v/>
      </c>
      <c r="H4528" s="7" t="str">
        <f>IF(Table1[[#This Row],[Is Data Valid]]=TRUE,((Table1[[#This Row],[Birthweight (grams)]]*0.9/Table1[[#This Row],[BW_GA]])-1)/(Backend!$B$4/100*Table1[[#This Row],[BW40_3705]]),"")</f>
        <v/>
      </c>
      <c r="I4528" s="7" t="str">
        <f>IF(Table1[[#This Row],[Is Data Valid]]=TRUE,((Table1[[#This Row],[Birthweight (grams)]]*1.1/Table1[[#This Row],[BW_GA]])-1)/(Backend!$B$4/100*Table1[[#This Row],[BW40_3705]]),"")</f>
        <v/>
      </c>
      <c r="J4528" s="7" t="str">
        <f>IF(Table1[[#This Row],[Is Data Valid]]=TRUE,_xlfn.NORM.S.DIST(Table1[[#This Row],[Birthweight Z-Score]],TRUE)*100,"")</f>
        <v/>
      </c>
      <c r="K4528" s="7" t="str">
        <f>IF(Table1[[#This Row],[Is Data Valid]]=TRUE,_xlfn.NORM.S.DIST(Table1[[#This Row],[Birthweight Z-Score (BW-10%)]],TRUE)*100,"")</f>
        <v/>
      </c>
      <c r="L4528" s="7" t="str">
        <f>IF(Table1[[#This Row],[Is Data Valid]]=TRUE,_xlfn.NORM.S.DIST(Table1[[#This Row],[Birthweight Z-Score (BW+10%)]],TRUE)*100,"")</f>
        <v/>
      </c>
    </row>
    <row r="4529" spans="1:12" x14ac:dyDescent="0.35">
      <c r="A4529" s="3"/>
      <c r="B4529" s="2"/>
      <c r="C4529" s="2"/>
      <c r="D4529" s="2" t="b">
        <f>IF(AND(NOT(ISBLANK(Table1[[#This Row],[Fetal Sex (Male, Female or Unknown)]])),ISNUMBER(Table1[[#This Row],[Birthweight (grams)]]),ISNUMBER(Table1[[#This Row],[Gestation (days)]])),TRUE,FALSE)</f>
        <v>0</v>
      </c>
      <c r="E4529" s="2" t="str">
        <f>IF(Table1[[#This Row],[Is Data Valid]]=TRUE,IF(Table1[[#This Row],[Fetal Sex (Male, Female or Unknown)]]="Male",Backend!$C$6,IF(Table1[[#This Row],[Fetal Sex (Male, Female or Unknown)]]="Female",Backend!$C$7,IF(Table1[[#This Row],[Fetal Sex (Male, Female or Unknown)]]="Unknown",Backend!$C$8,"Error"))),"")</f>
        <v/>
      </c>
      <c r="F4529" s="8" t="str">
        <f>IF(Table1[[#This Row],[Is Data Valid]]=TRUE,EXP(0.578+0.332*((Table1[[#This Row],[Gestation (days)]]+0.5)/7)-0.00354*((Table1[[#This Row],[Gestation (days)]]+0.5)/7)^2)*Table1[[#This Row],[BW40_3705]],"")</f>
        <v/>
      </c>
      <c r="G4529" s="2" t="str">
        <f>IF(Table1[[#This Row],[Is Data Valid]]=TRUE,((Table1[[#This Row],[Birthweight (grams)]]/Table1[[#This Row],[BW_GA]])-1)/(Backend!$B$4/100*Table1[[#This Row],[BW40_3705]]),"")</f>
        <v/>
      </c>
      <c r="H4529" s="7" t="str">
        <f>IF(Table1[[#This Row],[Is Data Valid]]=TRUE,((Table1[[#This Row],[Birthweight (grams)]]*0.9/Table1[[#This Row],[BW_GA]])-1)/(Backend!$B$4/100*Table1[[#This Row],[BW40_3705]]),"")</f>
        <v/>
      </c>
      <c r="I4529" s="7" t="str">
        <f>IF(Table1[[#This Row],[Is Data Valid]]=TRUE,((Table1[[#This Row],[Birthweight (grams)]]*1.1/Table1[[#This Row],[BW_GA]])-1)/(Backend!$B$4/100*Table1[[#This Row],[BW40_3705]]),"")</f>
        <v/>
      </c>
      <c r="J4529" s="7" t="str">
        <f>IF(Table1[[#This Row],[Is Data Valid]]=TRUE,_xlfn.NORM.S.DIST(Table1[[#This Row],[Birthweight Z-Score]],TRUE)*100,"")</f>
        <v/>
      </c>
      <c r="K4529" s="7" t="str">
        <f>IF(Table1[[#This Row],[Is Data Valid]]=TRUE,_xlfn.NORM.S.DIST(Table1[[#This Row],[Birthweight Z-Score (BW-10%)]],TRUE)*100,"")</f>
        <v/>
      </c>
      <c r="L4529" s="7" t="str">
        <f>IF(Table1[[#This Row],[Is Data Valid]]=TRUE,_xlfn.NORM.S.DIST(Table1[[#This Row],[Birthweight Z-Score (BW+10%)]],TRUE)*100,"")</f>
        <v/>
      </c>
    </row>
    <row r="4530" spans="1:12" x14ac:dyDescent="0.35">
      <c r="A4530" s="3"/>
      <c r="B4530" s="2"/>
      <c r="C4530" s="2"/>
      <c r="D4530" s="2" t="b">
        <f>IF(AND(NOT(ISBLANK(Table1[[#This Row],[Fetal Sex (Male, Female or Unknown)]])),ISNUMBER(Table1[[#This Row],[Birthweight (grams)]]),ISNUMBER(Table1[[#This Row],[Gestation (days)]])),TRUE,FALSE)</f>
        <v>0</v>
      </c>
      <c r="E4530" s="2" t="str">
        <f>IF(Table1[[#This Row],[Is Data Valid]]=TRUE,IF(Table1[[#This Row],[Fetal Sex (Male, Female or Unknown)]]="Male",Backend!$C$6,IF(Table1[[#This Row],[Fetal Sex (Male, Female or Unknown)]]="Female",Backend!$C$7,IF(Table1[[#This Row],[Fetal Sex (Male, Female or Unknown)]]="Unknown",Backend!$C$8,"Error"))),"")</f>
        <v/>
      </c>
      <c r="F4530" s="8" t="str">
        <f>IF(Table1[[#This Row],[Is Data Valid]]=TRUE,EXP(0.578+0.332*((Table1[[#This Row],[Gestation (days)]]+0.5)/7)-0.00354*((Table1[[#This Row],[Gestation (days)]]+0.5)/7)^2)*Table1[[#This Row],[BW40_3705]],"")</f>
        <v/>
      </c>
      <c r="G4530" s="2" t="str">
        <f>IF(Table1[[#This Row],[Is Data Valid]]=TRUE,((Table1[[#This Row],[Birthweight (grams)]]/Table1[[#This Row],[BW_GA]])-1)/(Backend!$B$4/100*Table1[[#This Row],[BW40_3705]]),"")</f>
        <v/>
      </c>
      <c r="H4530" s="7" t="str">
        <f>IF(Table1[[#This Row],[Is Data Valid]]=TRUE,((Table1[[#This Row],[Birthweight (grams)]]*0.9/Table1[[#This Row],[BW_GA]])-1)/(Backend!$B$4/100*Table1[[#This Row],[BW40_3705]]),"")</f>
        <v/>
      </c>
      <c r="I4530" s="7" t="str">
        <f>IF(Table1[[#This Row],[Is Data Valid]]=TRUE,((Table1[[#This Row],[Birthweight (grams)]]*1.1/Table1[[#This Row],[BW_GA]])-1)/(Backend!$B$4/100*Table1[[#This Row],[BW40_3705]]),"")</f>
        <v/>
      </c>
      <c r="J4530" s="7" t="str">
        <f>IF(Table1[[#This Row],[Is Data Valid]]=TRUE,_xlfn.NORM.S.DIST(Table1[[#This Row],[Birthweight Z-Score]],TRUE)*100,"")</f>
        <v/>
      </c>
      <c r="K4530" s="7" t="str">
        <f>IF(Table1[[#This Row],[Is Data Valid]]=TRUE,_xlfn.NORM.S.DIST(Table1[[#This Row],[Birthweight Z-Score (BW-10%)]],TRUE)*100,"")</f>
        <v/>
      </c>
      <c r="L4530" s="7" t="str">
        <f>IF(Table1[[#This Row],[Is Data Valid]]=TRUE,_xlfn.NORM.S.DIST(Table1[[#This Row],[Birthweight Z-Score (BW+10%)]],TRUE)*100,"")</f>
        <v/>
      </c>
    </row>
    <row r="4531" spans="1:12" x14ac:dyDescent="0.35">
      <c r="A4531" s="3"/>
      <c r="B4531" s="2"/>
      <c r="C4531" s="2"/>
      <c r="D4531" s="2" t="b">
        <f>IF(AND(NOT(ISBLANK(Table1[[#This Row],[Fetal Sex (Male, Female or Unknown)]])),ISNUMBER(Table1[[#This Row],[Birthweight (grams)]]),ISNUMBER(Table1[[#This Row],[Gestation (days)]])),TRUE,FALSE)</f>
        <v>0</v>
      </c>
      <c r="E4531" s="2" t="str">
        <f>IF(Table1[[#This Row],[Is Data Valid]]=TRUE,IF(Table1[[#This Row],[Fetal Sex (Male, Female or Unknown)]]="Male",Backend!$C$6,IF(Table1[[#This Row],[Fetal Sex (Male, Female or Unknown)]]="Female",Backend!$C$7,IF(Table1[[#This Row],[Fetal Sex (Male, Female or Unknown)]]="Unknown",Backend!$C$8,"Error"))),"")</f>
        <v/>
      </c>
      <c r="F4531" s="8" t="str">
        <f>IF(Table1[[#This Row],[Is Data Valid]]=TRUE,EXP(0.578+0.332*((Table1[[#This Row],[Gestation (days)]]+0.5)/7)-0.00354*((Table1[[#This Row],[Gestation (days)]]+0.5)/7)^2)*Table1[[#This Row],[BW40_3705]],"")</f>
        <v/>
      </c>
      <c r="G4531" s="2" t="str">
        <f>IF(Table1[[#This Row],[Is Data Valid]]=TRUE,((Table1[[#This Row],[Birthweight (grams)]]/Table1[[#This Row],[BW_GA]])-1)/(Backend!$B$4/100*Table1[[#This Row],[BW40_3705]]),"")</f>
        <v/>
      </c>
      <c r="H4531" s="7" t="str">
        <f>IF(Table1[[#This Row],[Is Data Valid]]=TRUE,((Table1[[#This Row],[Birthweight (grams)]]*0.9/Table1[[#This Row],[BW_GA]])-1)/(Backend!$B$4/100*Table1[[#This Row],[BW40_3705]]),"")</f>
        <v/>
      </c>
      <c r="I4531" s="7" t="str">
        <f>IF(Table1[[#This Row],[Is Data Valid]]=TRUE,((Table1[[#This Row],[Birthweight (grams)]]*1.1/Table1[[#This Row],[BW_GA]])-1)/(Backend!$B$4/100*Table1[[#This Row],[BW40_3705]]),"")</f>
        <v/>
      </c>
      <c r="J4531" s="7" t="str">
        <f>IF(Table1[[#This Row],[Is Data Valid]]=TRUE,_xlfn.NORM.S.DIST(Table1[[#This Row],[Birthweight Z-Score]],TRUE)*100,"")</f>
        <v/>
      </c>
      <c r="K4531" s="7" t="str">
        <f>IF(Table1[[#This Row],[Is Data Valid]]=TRUE,_xlfn.NORM.S.DIST(Table1[[#This Row],[Birthweight Z-Score (BW-10%)]],TRUE)*100,"")</f>
        <v/>
      </c>
      <c r="L4531" s="7" t="str">
        <f>IF(Table1[[#This Row],[Is Data Valid]]=TRUE,_xlfn.NORM.S.DIST(Table1[[#This Row],[Birthweight Z-Score (BW+10%)]],TRUE)*100,"")</f>
        <v/>
      </c>
    </row>
    <row r="4532" spans="1:12" x14ac:dyDescent="0.35">
      <c r="A4532" s="3"/>
      <c r="B4532" s="2"/>
      <c r="C4532" s="2"/>
      <c r="D4532" s="2" t="b">
        <f>IF(AND(NOT(ISBLANK(Table1[[#This Row],[Fetal Sex (Male, Female or Unknown)]])),ISNUMBER(Table1[[#This Row],[Birthweight (grams)]]),ISNUMBER(Table1[[#This Row],[Gestation (days)]])),TRUE,FALSE)</f>
        <v>0</v>
      </c>
      <c r="E4532" s="2" t="str">
        <f>IF(Table1[[#This Row],[Is Data Valid]]=TRUE,IF(Table1[[#This Row],[Fetal Sex (Male, Female or Unknown)]]="Male",Backend!$C$6,IF(Table1[[#This Row],[Fetal Sex (Male, Female or Unknown)]]="Female",Backend!$C$7,IF(Table1[[#This Row],[Fetal Sex (Male, Female or Unknown)]]="Unknown",Backend!$C$8,"Error"))),"")</f>
        <v/>
      </c>
      <c r="F4532" s="8" t="str">
        <f>IF(Table1[[#This Row],[Is Data Valid]]=TRUE,EXP(0.578+0.332*((Table1[[#This Row],[Gestation (days)]]+0.5)/7)-0.00354*((Table1[[#This Row],[Gestation (days)]]+0.5)/7)^2)*Table1[[#This Row],[BW40_3705]],"")</f>
        <v/>
      </c>
      <c r="G4532" s="2" t="str">
        <f>IF(Table1[[#This Row],[Is Data Valid]]=TRUE,((Table1[[#This Row],[Birthweight (grams)]]/Table1[[#This Row],[BW_GA]])-1)/(Backend!$B$4/100*Table1[[#This Row],[BW40_3705]]),"")</f>
        <v/>
      </c>
      <c r="H4532" s="7" t="str">
        <f>IF(Table1[[#This Row],[Is Data Valid]]=TRUE,((Table1[[#This Row],[Birthweight (grams)]]*0.9/Table1[[#This Row],[BW_GA]])-1)/(Backend!$B$4/100*Table1[[#This Row],[BW40_3705]]),"")</f>
        <v/>
      </c>
      <c r="I4532" s="7" t="str">
        <f>IF(Table1[[#This Row],[Is Data Valid]]=TRUE,((Table1[[#This Row],[Birthweight (grams)]]*1.1/Table1[[#This Row],[BW_GA]])-1)/(Backend!$B$4/100*Table1[[#This Row],[BW40_3705]]),"")</f>
        <v/>
      </c>
      <c r="J4532" s="7" t="str">
        <f>IF(Table1[[#This Row],[Is Data Valid]]=TRUE,_xlfn.NORM.S.DIST(Table1[[#This Row],[Birthweight Z-Score]],TRUE)*100,"")</f>
        <v/>
      </c>
      <c r="K4532" s="7" t="str">
        <f>IF(Table1[[#This Row],[Is Data Valid]]=TRUE,_xlfn.NORM.S.DIST(Table1[[#This Row],[Birthweight Z-Score (BW-10%)]],TRUE)*100,"")</f>
        <v/>
      </c>
      <c r="L4532" s="7" t="str">
        <f>IF(Table1[[#This Row],[Is Data Valid]]=TRUE,_xlfn.NORM.S.DIST(Table1[[#This Row],[Birthweight Z-Score (BW+10%)]],TRUE)*100,"")</f>
        <v/>
      </c>
    </row>
    <row r="4533" spans="1:12" x14ac:dyDescent="0.35">
      <c r="A4533" s="3"/>
      <c r="B4533" s="2"/>
      <c r="C4533" s="2"/>
      <c r="D4533" s="2" t="b">
        <f>IF(AND(NOT(ISBLANK(Table1[[#This Row],[Fetal Sex (Male, Female or Unknown)]])),ISNUMBER(Table1[[#This Row],[Birthweight (grams)]]),ISNUMBER(Table1[[#This Row],[Gestation (days)]])),TRUE,FALSE)</f>
        <v>0</v>
      </c>
      <c r="E4533" s="2" t="str">
        <f>IF(Table1[[#This Row],[Is Data Valid]]=TRUE,IF(Table1[[#This Row],[Fetal Sex (Male, Female or Unknown)]]="Male",Backend!$C$6,IF(Table1[[#This Row],[Fetal Sex (Male, Female or Unknown)]]="Female",Backend!$C$7,IF(Table1[[#This Row],[Fetal Sex (Male, Female or Unknown)]]="Unknown",Backend!$C$8,"Error"))),"")</f>
        <v/>
      </c>
      <c r="F4533" s="8" t="str">
        <f>IF(Table1[[#This Row],[Is Data Valid]]=TRUE,EXP(0.578+0.332*((Table1[[#This Row],[Gestation (days)]]+0.5)/7)-0.00354*((Table1[[#This Row],[Gestation (days)]]+0.5)/7)^2)*Table1[[#This Row],[BW40_3705]],"")</f>
        <v/>
      </c>
      <c r="G4533" s="2" t="str">
        <f>IF(Table1[[#This Row],[Is Data Valid]]=TRUE,((Table1[[#This Row],[Birthweight (grams)]]/Table1[[#This Row],[BW_GA]])-1)/(Backend!$B$4/100*Table1[[#This Row],[BW40_3705]]),"")</f>
        <v/>
      </c>
      <c r="H4533" s="7" t="str">
        <f>IF(Table1[[#This Row],[Is Data Valid]]=TRUE,((Table1[[#This Row],[Birthweight (grams)]]*0.9/Table1[[#This Row],[BW_GA]])-1)/(Backend!$B$4/100*Table1[[#This Row],[BW40_3705]]),"")</f>
        <v/>
      </c>
      <c r="I4533" s="7" t="str">
        <f>IF(Table1[[#This Row],[Is Data Valid]]=TRUE,((Table1[[#This Row],[Birthweight (grams)]]*1.1/Table1[[#This Row],[BW_GA]])-1)/(Backend!$B$4/100*Table1[[#This Row],[BW40_3705]]),"")</f>
        <v/>
      </c>
      <c r="J4533" s="7" t="str">
        <f>IF(Table1[[#This Row],[Is Data Valid]]=TRUE,_xlfn.NORM.S.DIST(Table1[[#This Row],[Birthweight Z-Score]],TRUE)*100,"")</f>
        <v/>
      </c>
      <c r="K4533" s="7" t="str">
        <f>IF(Table1[[#This Row],[Is Data Valid]]=TRUE,_xlfn.NORM.S.DIST(Table1[[#This Row],[Birthweight Z-Score (BW-10%)]],TRUE)*100,"")</f>
        <v/>
      </c>
      <c r="L4533" s="7" t="str">
        <f>IF(Table1[[#This Row],[Is Data Valid]]=TRUE,_xlfn.NORM.S.DIST(Table1[[#This Row],[Birthweight Z-Score (BW+10%)]],TRUE)*100,"")</f>
        <v/>
      </c>
    </row>
    <row r="4534" spans="1:12" x14ac:dyDescent="0.35">
      <c r="A4534" s="3"/>
      <c r="B4534" s="2"/>
      <c r="C4534" s="2"/>
      <c r="D4534" s="2" t="b">
        <f>IF(AND(NOT(ISBLANK(Table1[[#This Row],[Fetal Sex (Male, Female or Unknown)]])),ISNUMBER(Table1[[#This Row],[Birthweight (grams)]]),ISNUMBER(Table1[[#This Row],[Gestation (days)]])),TRUE,FALSE)</f>
        <v>0</v>
      </c>
      <c r="E4534" s="2" t="str">
        <f>IF(Table1[[#This Row],[Is Data Valid]]=TRUE,IF(Table1[[#This Row],[Fetal Sex (Male, Female or Unknown)]]="Male",Backend!$C$6,IF(Table1[[#This Row],[Fetal Sex (Male, Female or Unknown)]]="Female",Backend!$C$7,IF(Table1[[#This Row],[Fetal Sex (Male, Female or Unknown)]]="Unknown",Backend!$C$8,"Error"))),"")</f>
        <v/>
      </c>
      <c r="F4534" s="8" t="str">
        <f>IF(Table1[[#This Row],[Is Data Valid]]=TRUE,EXP(0.578+0.332*((Table1[[#This Row],[Gestation (days)]]+0.5)/7)-0.00354*((Table1[[#This Row],[Gestation (days)]]+0.5)/7)^2)*Table1[[#This Row],[BW40_3705]],"")</f>
        <v/>
      </c>
      <c r="G4534" s="2" t="str">
        <f>IF(Table1[[#This Row],[Is Data Valid]]=TRUE,((Table1[[#This Row],[Birthweight (grams)]]/Table1[[#This Row],[BW_GA]])-1)/(Backend!$B$4/100*Table1[[#This Row],[BW40_3705]]),"")</f>
        <v/>
      </c>
      <c r="H4534" s="7" t="str">
        <f>IF(Table1[[#This Row],[Is Data Valid]]=TRUE,((Table1[[#This Row],[Birthweight (grams)]]*0.9/Table1[[#This Row],[BW_GA]])-1)/(Backend!$B$4/100*Table1[[#This Row],[BW40_3705]]),"")</f>
        <v/>
      </c>
      <c r="I4534" s="7" t="str">
        <f>IF(Table1[[#This Row],[Is Data Valid]]=TRUE,((Table1[[#This Row],[Birthweight (grams)]]*1.1/Table1[[#This Row],[BW_GA]])-1)/(Backend!$B$4/100*Table1[[#This Row],[BW40_3705]]),"")</f>
        <v/>
      </c>
      <c r="J4534" s="7" t="str">
        <f>IF(Table1[[#This Row],[Is Data Valid]]=TRUE,_xlfn.NORM.S.DIST(Table1[[#This Row],[Birthweight Z-Score]],TRUE)*100,"")</f>
        <v/>
      </c>
      <c r="K4534" s="7" t="str">
        <f>IF(Table1[[#This Row],[Is Data Valid]]=TRUE,_xlfn.NORM.S.DIST(Table1[[#This Row],[Birthweight Z-Score (BW-10%)]],TRUE)*100,"")</f>
        <v/>
      </c>
      <c r="L4534" s="7" t="str">
        <f>IF(Table1[[#This Row],[Is Data Valid]]=TRUE,_xlfn.NORM.S.DIST(Table1[[#This Row],[Birthweight Z-Score (BW+10%)]],TRUE)*100,"")</f>
        <v/>
      </c>
    </row>
    <row r="4535" spans="1:12" x14ac:dyDescent="0.35">
      <c r="A4535" s="3"/>
      <c r="B4535" s="2"/>
      <c r="C4535" s="2"/>
      <c r="D4535" s="2" t="b">
        <f>IF(AND(NOT(ISBLANK(Table1[[#This Row],[Fetal Sex (Male, Female or Unknown)]])),ISNUMBER(Table1[[#This Row],[Birthweight (grams)]]),ISNUMBER(Table1[[#This Row],[Gestation (days)]])),TRUE,FALSE)</f>
        <v>0</v>
      </c>
      <c r="E4535" s="2" t="str">
        <f>IF(Table1[[#This Row],[Is Data Valid]]=TRUE,IF(Table1[[#This Row],[Fetal Sex (Male, Female or Unknown)]]="Male",Backend!$C$6,IF(Table1[[#This Row],[Fetal Sex (Male, Female or Unknown)]]="Female",Backend!$C$7,IF(Table1[[#This Row],[Fetal Sex (Male, Female or Unknown)]]="Unknown",Backend!$C$8,"Error"))),"")</f>
        <v/>
      </c>
      <c r="F4535" s="8" t="str">
        <f>IF(Table1[[#This Row],[Is Data Valid]]=TRUE,EXP(0.578+0.332*((Table1[[#This Row],[Gestation (days)]]+0.5)/7)-0.00354*((Table1[[#This Row],[Gestation (days)]]+0.5)/7)^2)*Table1[[#This Row],[BW40_3705]],"")</f>
        <v/>
      </c>
      <c r="G4535" s="2" t="str">
        <f>IF(Table1[[#This Row],[Is Data Valid]]=TRUE,((Table1[[#This Row],[Birthweight (grams)]]/Table1[[#This Row],[BW_GA]])-1)/(Backend!$B$4/100*Table1[[#This Row],[BW40_3705]]),"")</f>
        <v/>
      </c>
      <c r="H4535" s="7" t="str">
        <f>IF(Table1[[#This Row],[Is Data Valid]]=TRUE,((Table1[[#This Row],[Birthweight (grams)]]*0.9/Table1[[#This Row],[BW_GA]])-1)/(Backend!$B$4/100*Table1[[#This Row],[BW40_3705]]),"")</f>
        <v/>
      </c>
      <c r="I4535" s="7" t="str">
        <f>IF(Table1[[#This Row],[Is Data Valid]]=TRUE,((Table1[[#This Row],[Birthweight (grams)]]*1.1/Table1[[#This Row],[BW_GA]])-1)/(Backend!$B$4/100*Table1[[#This Row],[BW40_3705]]),"")</f>
        <v/>
      </c>
      <c r="J4535" s="7" t="str">
        <f>IF(Table1[[#This Row],[Is Data Valid]]=TRUE,_xlfn.NORM.S.DIST(Table1[[#This Row],[Birthweight Z-Score]],TRUE)*100,"")</f>
        <v/>
      </c>
      <c r="K4535" s="7" t="str">
        <f>IF(Table1[[#This Row],[Is Data Valid]]=TRUE,_xlfn.NORM.S.DIST(Table1[[#This Row],[Birthweight Z-Score (BW-10%)]],TRUE)*100,"")</f>
        <v/>
      </c>
      <c r="L4535" s="7" t="str">
        <f>IF(Table1[[#This Row],[Is Data Valid]]=TRUE,_xlfn.NORM.S.DIST(Table1[[#This Row],[Birthweight Z-Score (BW+10%)]],TRUE)*100,"")</f>
        <v/>
      </c>
    </row>
    <row r="4536" spans="1:12" x14ac:dyDescent="0.35">
      <c r="A4536" s="3"/>
      <c r="B4536" s="2"/>
      <c r="C4536" s="2"/>
      <c r="D4536" s="2" t="b">
        <f>IF(AND(NOT(ISBLANK(Table1[[#This Row],[Fetal Sex (Male, Female or Unknown)]])),ISNUMBER(Table1[[#This Row],[Birthweight (grams)]]),ISNUMBER(Table1[[#This Row],[Gestation (days)]])),TRUE,FALSE)</f>
        <v>0</v>
      </c>
      <c r="E4536" s="2" t="str">
        <f>IF(Table1[[#This Row],[Is Data Valid]]=TRUE,IF(Table1[[#This Row],[Fetal Sex (Male, Female or Unknown)]]="Male",Backend!$C$6,IF(Table1[[#This Row],[Fetal Sex (Male, Female or Unknown)]]="Female",Backend!$C$7,IF(Table1[[#This Row],[Fetal Sex (Male, Female or Unknown)]]="Unknown",Backend!$C$8,"Error"))),"")</f>
        <v/>
      </c>
      <c r="F4536" s="8" t="str">
        <f>IF(Table1[[#This Row],[Is Data Valid]]=TRUE,EXP(0.578+0.332*((Table1[[#This Row],[Gestation (days)]]+0.5)/7)-0.00354*((Table1[[#This Row],[Gestation (days)]]+0.5)/7)^2)*Table1[[#This Row],[BW40_3705]],"")</f>
        <v/>
      </c>
      <c r="G4536" s="2" t="str">
        <f>IF(Table1[[#This Row],[Is Data Valid]]=TRUE,((Table1[[#This Row],[Birthweight (grams)]]/Table1[[#This Row],[BW_GA]])-1)/(Backend!$B$4/100*Table1[[#This Row],[BW40_3705]]),"")</f>
        <v/>
      </c>
      <c r="H4536" s="7" t="str">
        <f>IF(Table1[[#This Row],[Is Data Valid]]=TRUE,((Table1[[#This Row],[Birthweight (grams)]]*0.9/Table1[[#This Row],[BW_GA]])-1)/(Backend!$B$4/100*Table1[[#This Row],[BW40_3705]]),"")</f>
        <v/>
      </c>
      <c r="I4536" s="7" t="str">
        <f>IF(Table1[[#This Row],[Is Data Valid]]=TRUE,((Table1[[#This Row],[Birthweight (grams)]]*1.1/Table1[[#This Row],[BW_GA]])-1)/(Backend!$B$4/100*Table1[[#This Row],[BW40_3705]]),"")</f>
        <v/>
      </c>
      <c r="J4536" s="7" t="str">
        <f>IF(Table1[[#This Row],[Is Data Valid]]=TRUE,_xlfn.NORM.S.DIST(Table1[[#This Row],[Birthweight Z-Score]],TRUE)*100,"")</f>
        <v/>
      </c>
      <c r="K4536" s="7" t="str">
        <f>IF(Table1[[#This Row],[Is Data Valid]]=TRUE,_xlfn.NORM.S.DIST(Table1[[#This Row],[Birthweight Z-Score (BW-10%)]],TRUE)*100,"")</f>
        <v/>
      </c>
      <c r="L4536" s="7" t="str">
        <f>IF(Table1[[#This Row],[Is Data Valid]]=TRUE,_xlfn.NORM.S.DIST(Table1[[#This Row],[Birthweight Z-Score (BW+10%)]],TRUE)*100,"")</f>
        <v/>
      </c>
    </row>
    <row r="4537" spans="1:12" x14ac:dyDescent="0.35">
      <c r="A4537" s="3"/>
      <c r="B4537" s="2"/>
      <c r="C4537" s="2"/>
      <c r="D4537" s="2" t="b">
        <f>IF(AND(NOT(ISBLANK(Table1[[#This Row],[Fetal Sex (Male, Female or Unknown)]])),ISNUMBER(Table1[[#This Row],[Birthweight (grams)]]),ISNUMBER(Table1[[#This Row],[Gestation (days)]])),TRUE,FALSE)</f>
        <v>0</v>
      </c>
      <c r="E4537" s="2" t="str">
        <f>IF(Table1[[#This Row],[Is Data Valid]]=TRUE,IF(Table1[[#This Row],[Fetal Sex (Male, Female or Unknown)]]="Male",Backend!$C$6,IF(Table1[[#This Row],[Fetal Sex (Male, Female or Unknown)]]="Female",Backend!$C$7,IF(Table1[[#This Row],[Fetal Sex (Male, Female or Unknown)]]="Unknown",Backend!$C$8,"Error"))),"")</f>
        <v/>
      </c>
      <c r="F4537" s="8" t="str">
        <f>IF(Table1[[#This Row],[Is Data Valid]]=TRUE,EXP(0.578+0.332*((Table1[[#This Row],[Gestation (days)]]+0.5)/7)-0.00354*((Table1[[#This Row],[Gestation (days)]]+0.5)/7)^2)*Table1[[#This Row],[BW40_3705]],"")</f>
        <v/>
      </c>
      <c r="G4537" s="2" t="str">
        <f>IF(Table1[[#This Row],[Is Data Valid]]=TRUE,((Table1[[#This Row],[Birthweight (grams)]]/Table1[[#This Row],[BW_GA]])-1)/(Backend!$B$4/100*Table1[[#This Row],[BW40_3705]]),"")</f>
        <v/>
      </c>
      <c r="H4537" s="7" t="str">
        <f>IF(Table1[[#This Row],[Is Data Valid]]=TRUE,((Table1[[#This Row],[Birthweight (grams)]]*0.9/Table1[[#This Row],[BW_GA]])-1)/(Backend!$B$4/100*Table1[[#This Row],[BW40_3705]]),"")</f>
        <v/>
      </c>
      <c r="I4537" s="7" t="str">
        <f>IF(Table1[[#This Row],[Is Data Valid]]=TRUE,((Table1[[#This Row],[Birthweight (grams)]]*1.1/Table1[[#This Row],[BW_GA]])-1)/(Backend!$B$4/100*Table1[[#This Row],[BW40_3705]]),"")</f>
        <v/>
      </c>
      <c r="J4537" s="7" t="str">
        <f>IF(Table1[[#This Row],[Is Data Valid]]=TRUE,_xlfn.NORM.S.DIST(Table1[[#This Row],[Birthweight Z-Score]],TRUE)*100,"")</f>
        <v/>
      </c>
      <c r="K4537" s="7" t="str">
        <f>IF(Table1[[#This Row],[Is Data Valid]]=TRUE,_xlfn.NORM.S.DIST(Table1[[#This Row],[Birthweight Z-Score (BW-10%)]],TRUE)*100,"")</f>
        <v/>
      </c>
      <c r="L4537" s="7" t="str">
        <f>IF(Table1[[#This Row],[Is Data Valid]]=TRUE,_xlfn.NORM.S.DIST(Table1[[#This Row],[Birthweight Z-Score (BW+10%)]],TRUE)*100,"")</f>
        <v/>
      </c>
    </row>
    <row r="4538" spans="1:12" x14ac:dyDescent="0.35">
      <c r="A4538" s="3"/>
      <c r="B4538" s="2"/>
      <c r="C4538" s="2"/>
      <c r="D4538" s="2" t="b">
        <f>IF(AND(NOT(ISBLANK(Table1[[#This Row],[Fetal Sex (Male, Female or Unknown)]])),ISNUMBER(Table1[[#This Row],[Birthweight (grams)]]),ISNUMBER(Table1[[#This Row],[Gestation (days)]])),TRUE,FALSE)</f>
        <v>0</v>
      </c>
      <c r="E4538" s="2" t="str">
        <f>IF(Table1[[#This Row],[Is Data Valid]]=TRUE,IF(Table1[[#This Row],[Fetal Sex (Male, Female or Unknown)]]="Male",Backend!$C$6,IF(Table1[[#This Row],[Fetal Sex (Male, Female or Unknown)]]="Female",Backend!$C$7,IF(Table1[[#This Row],[Fetal Sex (Male, Female or Unknown)]]="Unknown",Backend!$C$8,"Error"))),"")</f>
        <v/>
      </c>
      <c r="F4538" s="8" t="str">
        <f>IF(Table1[[#This Row],[Is Data Valid]]=TRUE,EXP(0.578+0.332*((Table1[[#This Row],[Gestation (days)]]+0.5)/7)-0.00354*((Table1[[#This Row],[Gestation (days)]]+0.5)/7)^2)*Table1[[#This Row],[BW40_3705]],"")</f>
        <v/>
      </c>
      <c r="G4538" s="2" t="str">
        <f>IF(Table1[[#This Row],[Is Data Valid]]=TRUE,((Table1[[#This Row],[Birthweight (grams)]]/Table1[[#This Row],[BW_GA]])-1)/(Backend!$B$4/100*Table1[[#This Row],[BW40_3705]]),"")</f>
        <v/>
      </c>
      <c r="H4538" s="7" t="str">
        <f>IF(Table1[[#This Row],[Is Data Valid]]=TRUE,((Table1[[#This Row],[Birthweight (grams)]]*0.9/Table1[[#This Row],[BW_GA]])-1)/(Backend!$B$4/100*Table1[[#This Row],[BW40_3705]]),"")</f>
        <v/>
      </c>
      <c r="I4538" s="7" t="str">
        <f>IF(Table1[[#This Row],[Is Data Valid]]=TRUE,((Table1[[#This Row],[Birthweight (grams)]]*1.1/Table1[[#This Row],[BW_GA]])-1)/(Backend!$B$4/100*Table1[[#This Row],[BW40_3705]]),"")</f>
        <v/>
      </c>
      <c r="J4538" s="7" t="str">
        <f>IF(Table1[[#This Row],[Is Data Valid]]=TRUE,_xlfn.NORM.S.DIST(Table1[[#This Row],[Birthweight Z-Score]],TRUE)*100,"")</f>
        <v/>
      </c>
      <c r="K4538" s="7" t="str">
        <f>IF(Table1[[#This Row],[Is Data Valid]]=TRUE,_xlfn.NORM.S.DIST(Table1[[#This Row],[Birthweight Z-Score (BW-10%)]],TRUE)*100,"")</f>
        <v/>
      </c>
      <c r="L4538" s="7" t="str">
        <f>IF(Table1[[#This Row],[Is Data Valid]]=TRUE,_xlfn.NORM.S.DIST(Table1[[#This Row],[Birthweight Z-Score (BW+10%)]],TRUE)*100,"")</f>
        <v/>
      </c>
    </row>
    <row r="4539" spans="1:12" x14ac:dyDescent="0.35">
      <c r="A4539" s="3"/>
      <c r="B4539" s="2"/>
      <c r="C4539" s="2"/>
      <c r="D4539" s="2" t="b">
        <f>IF(AND(NOT(ISBLANK(Table1[[#This Row],[Fetal Sex (Male, Female or Unknown)]])),ISNUMBER(Table1[[#This Row],[Birthweight (grams)]]),ISNUMBER(Table1[[#This Row],[Gestation (days)]])),TRUE,FALSE)</f>
        <v>0</v>
      </c>
      <c r="E4539" s="2" t="str">
        <f>IF(Table1[[#This Row],[Is Data Valid]]=TRUE,IF(Table1[[#This Row],[Fetal Sex (Male, Female or Unknown)]]="Male",Backend!$C$6,IF(Table1[[#This Row],[Fetal Sex (Male, Female or Unknown)]]="Female",Backend!$C$7,IF(Table1[[#This Row],[Fetal Sex (Male, Female or Unknown)]]="Unknown",Backend!$C$8,"Error"))),"")</f>
        <v/>
      </c>
      <c r="F4539" s="8" t="str">
        <f>IF(Table1[[#This Row],[Is Data Valid]]=TRUE,EXP(0.578+0.332*((Table1[[#This Row],[Gestation (days)]]+0.5)/7)-0.00354*((Table1[[#This Row],[Gestation (days)]]+0.5)/7)^2)*Table1[[#This Row],[BW40_3705]],"")</f>
        <v/>
      </c>
      <c r="G4539" s="2" t="str">
        <f>IF(Table1[[#This Row],[Is Data Valid]]=TRUE,((Table1[[#This Row],[Birthweight (grams)]]/Table1[[#This Row],[BW_GA]])-1)/(Backend!$B$4/100*Table1[[#This Row],[BW40_3705]]),"")</f>
        <v/>
      </c>
      <c r="H4539" s="7" t="str">
        <f>IF(Table1[[#This Row],[Is Data Valid]]=TRUE,((Table1[[#This Row],[Birthweight (grams)]]*0.9/Table1[[#This Row],[BW_GA]])-1)/(Backend!$B$4/100*Table1[[#This Row],[BW40_3705]]),"")</f>
        <v/>
      </c>
      <c r="I4539" s="7" t="str">
        <f>IF(Table1[[#This Row],[Is Data Valid]]=TRUE,((Table1[[#This Row],[Birthweight (grams)]]*1.1/Table1[[#This Row],[BW_GA]])-1)/(Backend!$B$4/100*Table1[[#This Row],[BW40_3705]]),"")</f>
        <v/>
      </c>
      <c r="J4539" s="7" t="str">
        <f>IF(Table1[[#This Row],[Is Data Valid]]=TRUE,_xlfn.NORM.S.DIST(Table1[[#This Row],[Birthweight Z-Score]],TRUE)*100,"")</f>
        <v/>
      </c>
      <c r="K4539" s="7" t="str">
        <f>IF(Table1[[#This Row],[Is Data Valid]]=TRUE,_xlfn.NORM.S.DIST(Table1[[#This Row],[Birthweight Z-Score (BW-10%)]],TRUE)*100,"")</f>
        <v/>
      </c>
      <c r="L4539" s="7" t="str">
        <f>IF(Table1[[#This Row],[Is Data Valid]]=TRUE,_xlfn.NORM.S.DIST(Table1[[#This Row],[Birthweight Z-Score (BW+10%)]],TRUE)*100,"")</f>
        <v/>
      </c>
    </row>
    <row r="4540" spans="1:12" x14ac:dyDescent="0.35">
      <c r="A4540" s="3"/>
      <c r="B4540" s="2"/>
      <c r="C4540" s="2"/>
      <c r="D4540" s="2" t="b">
        <f>IF(AND(NOT(ISBLANK(Table1[[#This Row],[Fetal Sex (Male, Female or Unknown)]])),ISNUMBER(Table1[[#This Row],[Birthweight (grams)]]),ISNUMBER(Table1[[#This Row],[Gestation (days)]])),TRUE,FALSE)</f>
        <v>0</v>
      </c>
      <c r="E4540" s="2" t="str">
        <f>IF(Table1[[#This Row],[Is Data Valid]]=TRUE,IF(Table1[[#This Row],[Fetal Sex (Male, Female or Unknown)]]="Male",Backend!$C$6,IF(Table1[[#This Row],[Fetal Sex (Male, Female or Unknown)]]="Female",Backend!$C$7,IF(Table1[[#This Row],[Fetal Sex (Male, Female or Unknown)]]="Unknown",Backend!$C$8,"Error"))),"")</f>
        <v/>
      </c>
      <c r="F4540" s="8" t="str">
        <f>IF(Table1[[#This Row],[Is Data Valid]]=TRUE,EXP(0.578+0.332*((Table1[[#This Row],[Gestation (days)]]+0.5)/7)-0.00354*((Table1[[#This Row],[Gestation (days)]]+0.5)/7)^2)*Table1[[#This Row],[BW40_3705]],"")</f>
        <v/>
      </c>
      <c r="G4540" s="2" t="str">
        <f>IF(Table1[[#This Row],[Is Data Valid]]=TRUE,((Table1[[#This Row],[Birthweight (grams)]]/Table1[[#This Row],[BW_GA]])-1)/(Backend!$B$4/100*Table1[[#This Row],[BW40_3705]]),"")</f>
        <v/>
      </c>
      <c r="H4540" s="7" t="str">
        <f>IF(Table1[[#This Row],[Is Data Valid]]=TRUE,((Table1[[#This Row],[Birthweight (grams)]]*0.9/Table1[[#This Row],[BW_GA]])-1)/(Backend!$B$4/100*Table1[[#This Row],[BW40_3705]]),"")</f>
        <v/>
      </c>
      <c r="I4540" s="7" t="str">
        <f>IF(Table1[[#This Row],[Is Data Valid]]=TRUE,((Table1[[#This Row],[Birthweight (grams)]]*1.1/Table1[[#This Row],[BW_GA]])-1)/(Backend!$B$4/100*Table1[[#This Row],[BW40_3705]]),"")</f>
        <v/>
      </c>
      <c r="J4540" s="7" t="str">
        <f>IF(Table1[[#This Row],[Is Data Valid]]=TRUE,_xlfn.NORM.S.DIST(Table1[[#This Row],[Birthweight Z-Score]],TRUE)*100,"")</f>
        <v/>
      </c>
      <c r="K4540" s="7" t="str">
        <f>IF(Table1[[#This Row],[Is Data Valid]]=TRUE,_xlfn.NORM.S.DIST(Table1[[#This Row],[Birthweight Z-Score (BW-10%)]],TRUE)*100,"")</f>
        <v/>
      </c>
      <c r="L4540" s="7" t="str">
        <f>IF(Table1[[#This Row],[Is Data Valid]]=TRUE,_xlfn.NORM.S.DIST(Table1[[#This Row],[Birthweight Z-Score (BW+10%)]],TRUE)*100,"")</f>
        <v/>
      </c>
    </row>
    <row r="4541" spans="1:12" x14ac:dyDescent="0.35">
      <c r="A4541" s="3"/>
      <c r="B4541" s="2"/>
      <c r="C4541" s="2"/>
      <c r="D4541" s="2" t="b">
        <f>IF(AND(NOT(ISBLANK(Table1[[#This Row],[Fetal Sex (Male, Female or Unknown)]])),ISNUMBER(Table1[[#This Row],[Birthweight (grams)]]),ISNUMBER(Table1[[#This Row],[Gestation (days)]])),TRUE,FALSE)</f>
        <v>0</v>
      </c>
      <c r="E4541" s="2" t="str">
        <f>IF(Table1[[#This Row],[Is Data Valid]]=TRUE,IF(Table1[[#This Row],[Fetal Sex (Male, Female or Unknown)]]="Male",Backend!$C$6,IF(Table1[[#This Row],[Fetal Sex (Male, Female or Unknown)]]="Female",Backend!$C$7,IF(Table1[[#This Row],[Fetal Sex (Male, Female or Unknown)]]="Unknown",Backend!$C$8,"Error"))),"")</f>
        <v/>
      </c>
      <c r="F4541" s="8" t="str">
        <f>IF(Table1[[#This Row],[Is Data Valid]]=TRUE,EXP(0.578+0.332*((Table1[[#This Row],[Gestation (days)]]+0.5)/7)-0.00354*((Table1[[#This Row],[Gestation (days)]]+0.5)/7)^2)*Table1[[#This Row],[BW40_3705]],"")</f>
        <v/>
      </c>
      <c r="G4541" s="2" t="str">
        <f>IF(Table1[[#This Row],[Is Data Valid]]=TRUE,((Table1[[#This Row],[Birthweight (grams)]]/Table1[[#This Row],[BW_GA]])-1)/(Backend!$B$4/100*Table1[[#This Row],[BW40_3705]]),"")</f>
        <v/>
      </c>
      <c r="H4541" s="7" t="str">
        <f>IF(Table1[[#This Row],[Is Data Valid]]=TRUE,((Table1[[#This Row],[Birthweight (grams)]]*0.9/Table1[[#This Row],[BW_GA]])-1)/(Backend!$B$4/100*Table1[[#This Row],[BW40_3705]]),"")</f>
        <v/>
      </c>
      <c r="I4541" s="7" t="str">
        <f>IF(Table1[[#This Row],[Is Data Valid]]=TRUE,((Table1[[#This Row],[Birthweight (grams)]]*1.1/Table1[[#This Row],[BW_GA]])-1)/(Backend!$B$4/100*Table1[[#This Row],[BW40_3705]]),"")</f>
        <v/>
      </c>
      <c r="J4541" s="7" t="str">
        <f>IF(Table1[[#This Row],[Is Data Valid]]=TRUE,_xlfn.NORM.S.DIST(Table1[[#This Row],[Birthweight Z-Score]],TRUE)*100,"")</f>
        <v/>
      </c>
      <c r="K4541" s="7" t="str">
        <f>IF(Table1[[#This Row],[Is Data Valid]]=TRUE,_xlfn.NORM.S.DIST(Table1[[#This Row],[Birthweight Z-Score (BW-10%)]],TRUE)*100,"")</f>
        <v/>
      </c>
      <c r="L4541" s="7" t="str">
        <f>IF(Table1[[#This Row],[Is Data Valid]]=TRUE,_xlfn.NORM.S.DIST(Table1[[#This Row],[Birthweight Z-Score (BW+10%)]],TRUE)*100,"")</f>
        <v/>
      </c>
    </row>
    <row r="4542" spans="1:12" x14ac:dyDescent="0.35">
      <c r="A4542" s="3"/>
      <c r="B4542" s="2"/>
      <c r="C4542" s="2"/>
      <c r="D4542" s="2" t="b">
        <f>IF(AND(NOT(ISBLANK(Table1[[#This Row],[Fetal Sex (Male, Female or Unknown)]])),ISNUMBER(Table1[[#This Row],[Birthweight (grams)]]),ISNUMBER(Table1[[#This Row],[Gestation (days)]])),TRUE,FALSE)</f>
        <v>0</v>
      </c>
      <c r="E4542" s="2" t="str">
        <f>IF(Table1[[#This Row],[Is Data Valid]]=TRUE,IF(Table1[[#This Row],[Fetal Sex (Male, Female or Unknown)]]="Male",Backend!$C$6,IF(Table1[[#This Row],[Fetal Sex (Male, Female or Unknown)]]="Female",Backend!$C$7,IF(Table1[[#This Row],[Fetal Sex (Male, Female or Unknown)]]="Unknown",Backend!$C$8,"Error"))),"")</f>
        <v/>
      </c>
      <c r="F4542" s="8" t="str">
        <f>IF(Table1[[#This Row],[Is Data Valid]]=TRUE,EXP(0.578+0.332*((Table1[[#This Row],[Gestation (days)]]+0.5)/7)-0.00354*((Table1[[#This Row],[Gestation (days)]]+0.5)/7)^2)*Table1[[#This Row],[BW40_3705]],"")</f>
        <v/>
      </c>
      <c r="G4542" s="2" t="str">
        <f>IF(Table1[[#This Row],[Is Data Valid]]=TRUE,((Table1[[#This Row],[Birthweight (grams)]]/Table1[[#This Row],[BW_GA]])-1)/(Backend!$B$4/100*Table1[[#This Row],[BW40_3705]]),"")</f>
        <v/>
      </c>
      <c r="H4542" s="7" t="str">
        <f>IF(Table1[[#This Row],[Is Data Valid]]=TRUE,((Table1[[#This Row],[Birthweight (grams)]]*0.9/Table1[[#This Row],[BW_GA]])-1)/(Backend!$B$4/100*Table1[[#This Row],[BW40_3705]]),"")</f>
        <v/>
      </c>
      <c r="I4542" s="7" t="str">
        <f>IF(Table1[[#This Row],[Is Data Valid]]=TRUE,((Table1[[#This Row],[Birthweight (grams)]]*1.1/Table1[[#This Row],[BW_GA]])-1)/(Backend!$B$4/100*Table1[[#This Row],[BW40_3705]]),"")</f>
        <v/>
      </c>
      <c r="J4542" s="7" t="str">
        <f>IF(Table1[[#This Row],[Is Data Valid]]=TRUE,_xlfn.NORM.S.DIST(Table1[[#This Row],[Birthweight Z-Score]],TRUE)*100,"")</f>
        <v/>
      </c>
      <c r="K4542" s="7" t="str">
        <f>IF(Table1[[#This Row],[Is Data Valid]]=TRUE,_xlfn.NORM.S.DIST(Table1[[#This Row],[Birthweight Z-Score (BW-10%)]],TRUE)*100,"")</f>
        <v/>
      </c>
      <c r="L4542" s="7" t="str">
        <f>IF(Table1[[#This Row],[Is Data Valid]]=TRUE,_xlfn.NORM.S.DIST(Table1[[#This Row],[Birthweight Z-Score (BW+10%)]],TRUE)*100,"")</f>
        <v/>
      </c>
    </row>
    <row r="4543" spans="1:12" x14ac:dyDescent="0.35">
      <c r="A4543" s="3"/>
      <c r="B4543" s="2"/>
      <c r="C4543" s="2"/>
      <c r="D4543" s="2" t="b">
        <f>IF(AND(NOT(ISBLANK(Table1[[#This Row],[Fetal Sex (Male, Female or Unknown)]])),ISNUMBER(Table1[[#This Row],[Birthweight (grams)]]),ISNUMBER(Table1[[#This Row],[Gestation (days)]])),TRUE,FALSE)</f>
        <v>0</v>
      </c>
      <c r="E4543" s="2" t="str">
        <f>IF(Table1[[#This Row],[Is Data Valid]]=TRUE,IF(Table1[[#This Row],[Fetal Sex (Male, Female or Unknown)]]="Male",Backend!$C$6,IF(Table1[[#This Row],[Fetal Sex (Male, Female or Unknown)]]="Female",Backend!$C$7,IF(Table1[[#This Row],[Fetal Sex (Male, Female or Unknown)]]="Unknown",Backend!$C$8,"Error"))),"")</f>
        <v/>
      </c>
      <c r="F4543" s="8" t="str">
        <f>IF(Table1[[#This Row],[Is Data Valid]]=TRUE,EXP(0.578+0.332*((Table1[[#This Row],[Gestation (days)]]+0.5)/7)-0.00354*((Table1[[#This Row],[Gestation (days)]]+0.5)/7)^2)*Table1[[#This Row],[BW40_3705]],"")</f>
        <v/>
      </c>
      <c r="G4543" s="2" t="str">
        <f>IF(Table1[[#This Row],[Is Data Valid]]=TRUE,((Table1[[#This Row],[Birthweight (grams)]]/Table1[[#This Row],[BW_GA]])-1)/(Backend!$B$4/100*Table1[[#This Row],[BW40_3705]]),"")</f>
        <v/>
      </c>
      <c r="H4543" s="7" t="str">
        <f>IF(Table1[[#This Row],[Is Data Valid]]=TRUE,((Table1[[#This Row],[Birthweight (grams)]]*0.9/Table1[[#This Row],[BW_GA]])-1)/(Backend!$B$4/100*Table1[[#This Row],[BW40_3705]]),"")</f>
        <v/>
      </c>
      <c r="I4543" s="7" t="str">
        <f>IF(Table1[[#This Row],[Is Data Valid]]=TRUE,((Table1[[#This Row],[Birthweight (grams)]]*1.1/Table1[[#This Row],[BW_GA]])-1)/(Backend!$B$4/100*Table1[[#This Row],[BW40_3705]]),"")</f>
        <v/>
      </c>
      <c r="J4543" s="7" t="str">
        <f>IF(Table1[[#This Row],[Is Data Valid]]=TRUE,_xlfn.NORM.S.DIST(Table1[[#This Row],[Birthweight Z-Score]],TRUE)*100,"")</f>
        <v/>
      </c>
      <c r="K4543" s="7" t="str">
        <f>IF(Table1[[#This Row],[Is Data Valid]]=TRUE,_xlfn.NORM.S.DIST(Table1[[#This Row],[Birthweight Z-Score (BW-10%)]],TRUE)*100,"")</f>
        <v/>
      </c>
      <c r="L4543" s="7" t="str">
        <f>IF(Table1[[#This Row],[Is Data Valid]]=TRUE,_xlfn.NORM.S.DIST(Table1[[#This Row],[Birthweight Z-Score (BW+10%)]],TRUE)*100,"")</f>
        <v/>
      </c>
    </row>
    <row r="4544" spans="1:12" x14ac:dyDescent="0.35">
      <c r="A4544" s="3"/>
      <c r="B4544" s="2"/>
      <c r="C4544" s="2"/>
      <c r="D4544" s="2" t="b">
        <f>IF(AND(NOT(ISBLANK(Table1[[#This Row],[Fetal Sex (Male, Female or Unknown)]])),ISNUMBER(Table1[[#This Row],[Birthweight (grams)]]),ISNUMBER(Table1[[#This Row],[Gestation (days)]])),TRUE,FALSE)</f>
        <v>0</v>
      </c>
      <c r="E4544" s="2" t="str">
        <f>IF(Table1[[#This Row],[Is Data Valid]]=TRUE,IF(Table1[[#This Row],[Fetal Sex (Male, Female or Unknown)]]="Male",Backend!$C$6,IF(Table1[[#This Row],[Fetal Sex (Male, Female or Unknown)]]="Female",Backend!$C$7,IF(Table1[[#This Row],[Fetal Sex (Male, Female or Unknown)]]="Unknown",Backend!$C$8,"Error"))),"")</f>
        <v/>
      </c>
      <c r="F4544" s="8" t="str">
        <f>IF(Table1[[#This Row],[Is Data Valid]]=TRUE,EXP(0.578+0.332*((Table1[[#This Row],[Gestation (days)]]+0.5)/7)-0.00354*((Table1[[#This Row],[Gestation (days)]]+0.5)/7)^2)*Table1[[#This Row],[BW40_3705]],"")</f>
        <v/>
      </c>
      <c r="G4544" s="2" t="str">
        <f>IF(Table1[[#This Row],[Is Data Valid]]=TRUE,((Table1[[#This Row],[Birthweight (grams)]]/Table1[[#This Row],[BW_GA]])-1)/(Backend!$B$4/100*Table1[[#This Row],[BW40_3705]]),"")</f>
        <v/>
      </c>
      <c r="H4544" s="7" t="str">
        <f>IF(Table1[[#This Row],[Is Data Valid]]=TRUE,((Table1[[#This Row],[Birthweight (grams)]]*0.9/Table1[[#This Row],[BW_GA]])-1)/(Backend!$B$4/100*Table1[[#This Row],[BW40_3705]]),"")</f>
        <v/>
      </c>
      <c r="I4544" s="7" t="str">
        <f>IF(Table1[[#This Row],[Is Data Valid]]=TRUE,((Table1[[#This Row],[Birthweight (grams)]]*1.1/Table1[[#This Row],[BW_GA]])-1)/(Backend!$B$4/100*Table1[[#This Row],[BW40_3705]]),"")</f>
        <v/>
      </c>
      <c r="J4544" s="7" t="str">
        <f>IF(Table1[[#This Row],[Is Data Valid]]=TRUE,_xlfn.NORM.S.DIST(Table1[[#This Row],[Birthweight Z-Score]],TRUE)*100,"")</f>
        <v/>
      </c>
      <c r="K4544" s="7" t="str">
        <f>IF(Table1[[#This Row],[Is Data Valid]]=TRUE,_xlfn.NORM.S.DIST(Table1[[#This Row],[Birthweight Z-Score (BW-10%)]],TRUE)*100,"")</f>
        <v/>
      </c>
      <c r="L4544" s="7" t="str">
        <f>IF(Table1[[#This Row],[Is Data Valid]]=TRUE,_xlfn.NORM.S.DIST(Table1[[#This Row],[Birthweight Z-Score (BW+10%)]],TRUE)*100,"")</f>
        <v/>
      </c>
    </row>
    <row r="4545" spans="1:12" x14ac:dyDescent="0.35">
      <c r="A4545" s="3"/>
      <c r="B4545" s="2"/>
      <c r="C4545" s="2"/>
      <c r="D4545" s="2" t="b">
        <f>IF(AND(NOT(ISBLANK(Table1[[#This Row],[Fetal Sex (Male, Female or Unknown)]])),ISNUMBER(Table1[[#This Row],[Birthweight (grams)]]),ISNUMBER(Table1[[#This Row],[Gestation (days)]])),TRUE,FALSE)</f>
        <v>0</v>
      </c>
      <c r="E4545" s="2" t="str">
        <f>IF(Table1[[#This Row],[Is Data Valid]]=TRUE,IF(Table1[[#This Row],[Fetal Sex (Male, Female or Unknown)]]="Male",Backend!$C$6,IF(Table1[[#This Row],[Fetal Sex (Male, Female or Unknown)]]="Female",Backend!$C$7,IF(Table1[[#This Row],[Fetal Sex (Male, Female or Unknown)]]="Unknown",Backend!$C$8,"Error"))),"")</f>
        <v/>
      </c>
      <c r="F4545" s="8" t="str">
        <f>IF(Table1[[#This Row],[Is Data Valid]]=TRUE,EXP(0.578+0.332*((Table1[[#This Row],[Gestation (days)]]+0.5)/7)-0.00354*((Table1[[#This Row],[Gestation (days)]]+0.5)/7)^2)*Table1[[#This Row],[BW40_3705]],"")</f>
        <v/>
      </c>
      <c r="G4545" s="2" t="str">
        <f>IF(Table1[[#This Row],[Is Data Valid]]=TRUE,((Table1[[#This Row],[Birthweight (grams)]]/Table1[[#This Row],[BW_GA]])-1)/(Backend!$B$4/100*Table1[[#This Row],[BW40_3705]]),"")</f>
        <v/>
      </c>
      <c r="H4545" s="7" t="str">
        <f>IF(Table1[[#This Row],[Is Data Valid]]=TRUE,((Table1[[#This Row],[Birthweight (grams)]]*0.9/Table1[[#This Row],[BW_GA]])-1)/(Backend!$B$4/100*Table1[[#This Row],[BW40_3705]]),"")</f>
        <v/>
      </c>
      <c r="I4545" s="7" t="str">
        <f>IF(Table1[[#This Row],[Is Data Valid]]=TRUE,((Table1[[#This Row],[Birthweight (grams)]]*1.1/Table1[[#This Row],[BW_GA]])-1)/(Backend!$B$4/100*Table1[[#This Row],[BW40_3705]]),"")</f>
        <v/>
      </c>
      <c r="J4545" s="7" t="str">
        <f>IF(Table1[[#This Row],[Is Data Valid]]=TRUE,_xlfn.NORM.S.DIST(Table1[[#This Row],[Birthweight Z-Score]],TRUE)*100,"")</f>
        <v/>
      </c>
      <c r="K4545" s="7" t="str">
        <f>IF(Table1[[#This Row],[Is Data Valid]]=TRUE,_xlfn.NORM.S.DIST(Table1[[#This Row],[Birthweight Z-Score (BW-10%)]],TRUE)*100,"")</f>
        <v/>
      </c>
      <c r="L4545" s="7" t="str">
        <f>IF(Table1[[#This Row],[Is Data Valid]]=TRUE,_xlfn.NORM.S.DIST(Table1[[#This Row],[Birthweight Z-Score (BW+10%)]],TRUE)*100,"")</f>
        <v/>
      </c>
    </row>
    <row r="4546" spans="1:12" x14ac:dyDescent="0.35">
      <c r="A4546" s="3"/>
      <c r="B4546" s="2"/>
      <c r="C4546" s="2"/>
      <c r="D4546" s="2" t="b">
        <f>IF(AND(NOT(ISBLANK(Table1[[#This Row],[Fetal Sex (Male, Female or Unknown)]])),ISNUMBER(Table1[[#This Row],[Birthweight (grams)]]),ISNUMBER(Table1[[#This Row],[Gestation (days)]])),TRUE,FALSE)</f>
        <v>0</v>
      </c>
      <c r="E4546" s="2" t="str">
        <f>IF(Table1[[#This Row],[Is Data Valid]]=TRUE,IF(Table1[[#This Row],[Fetal Sex (Male, Female or Unknown)]]="Male",Backend!$C$6,IF(Table1[[#This Row],[Fetal Sex (Male, Female or Unknown)]]="Female",Backend!$C$7,IF(Table1[[#This Row],[Fetal Sex (Male, Female or Unknown)]]="Unknown",Backend!$C$8,"Error"))),"")</f>
        <v/>
      </c>
      <c r="F4546" s="8" t="str">
        <f>IF(Table1[[#This Row],[Is Data Valid]]=TRUE,EXP(0.578+0.332*((Table1[[#This Row],[Gestation (days)]]+0.5)/7)-0.00354*((Table1[[#This Row],[Gestation (days)]]+0.5)/7)^2)*Table1[[#This Row],[BW40_3705]],"")</f>
        <v/>
      </c>
      <c r="G4546" s="2" t="str">
        <f>IF(Table1[[#This Row],[Is Data Valid]]=TRUE,((Table1[[#This Row],[Birthweight (grams)]]/Table1[[#This Row],[BW_GA]])-1)/(Backend!$B$4/100*Table1[[#This Row],[BW40_3705]]),"")</f>
        <v/>
      </c>
      <c r="H4546" s="7" t="str">
        <f>IF(Table1[[#This Row],[Is Data Valid]]=TRUE,((Table1[[#This Row],[Birthweight (grams)]]*0.9/Table1[[#This Row],[BW_GA]])-1)/(Backend!$B$4/100*Table1[[#This Row],[BW40_3705]]),"")</f>
        <v/>
      </c>
      <c r="I4546" s="7" t="str">
        <f>IF(Table1[[#This Row],[Is Data Valid]]=TRUE,((Table1[[#This Row],[Birthweight (grams)]]*1.1/Table1[[#This Row],[BW_GA]])-1)/(Backend!$B$4/100*Table1[[#This Row],[BW40_3705]]),"")</f>
        <v/>
      </c>
      <c r="J4546" s="7" t="str">
        <f>IF(Table1[[#This Row],[Is Data Valid]]=TRUE,_xlfn.NORM.S.DIST(Table1[[#This Row],[Birthweight Z-Score]],TRUE)*100,"")</f>
        <v/>
      </c>
      <c r="K4546" s="7" t="str">
        <f>IF(Table1[[#This Row],[Is Data Valid]]=TRUE,_xlfn.NORM.S.DIST(Table1[[#This Row],[Birthweight Z-Score (BW-10%)]],TRUE)*100,"")</f>
        <v/>
      </c>
      <c r="L4546" s="7" t="str">
        <f>IF(Table1[[#This Row],[Is Data Valid]]=TRUE,_xlfn.NORM.S.DIST(Table1[[#This Row],[Birthweight Z-Score (BW+10%)]],TRUE)*100,"")</f>
        <v/>
      </c>
    </row>
    <row r="4547" spans="1:12" x14ac:dyDescent="0.35">
      <c r="A4547" s="3"/>
      <c r="B4547" s="2"/>
      <c r="C4547" s="2"/>
      <c r="D4547" s="2" t="b">
        <f>IF(AND(NOT(ISBLANK(Table1[[#This Row],[Fetal Sex (Male, Female or Unknown)]])),ISNUMBER(Table1[[#This Row],[Birthweight (grams)]]),ISNUMBER(Table1[[#This Row],[Gestation (days)]])),TRUE,FALSE)</f>
        <v>0</v>
      </c>
      <c r="E4547" s="2" t="str">
        <f>IF(Table1[[#This Row],[Is Data Valid]]=TRUE,IF(Table1[[#This Row],[Fetal Sex (Male, Female or Unknown)]]="Male",Backend!$C$6,IF(Table1[[#This Row],[Fetal Sex (Male, Female or Unknown)]]="Female",Backend!$C$7,IF(Table1[[#This Row],[Fetal Sex (Male, Female or Unknown)]]="Unknown",Backend!$C$8,"Error"))),"")</f>
        <v/>
      </c>
      <c r="F4547" s="8" t="str">
        <f>IF(Table1[[#This Row],[Is Data Valid]]=TRUE,EXP(0.578+0.332*((Table1[[#This Row],[Gestation (days)]]+0.5)/7)-0.00354*((Table1[[#This Row],[Gestation (days)]]+0.5)/7)^2)*Table1[[#This Row],[BW40_3705]],"")</f>
        <v/>
      </c>
      <c r="G4547" s="2" t="str">
        <f>IF(Table1[[#This Row],[Is Data Valid]]=TRUE,((Table1[[#This Row],[Birthweight (grams)]]/Table1[[#This Row],[BW_GA]])-1)/(Backend!$B$4/100*Table1[[#This Row],[BW40_3705]]),"")</f>
        <v/>
      </c>
      <c r="H4547" s="7" t="str">
        <f>IF(Table1[[#This Row],[Is Data Valid]]=TRUE,((Table1[[#This Row],[Birthweight (grams)]]*0.9/Table1[[#This Row],[BW_GA]])-1)/(Backend!$B$4/100*Table1[[#This Row],[BW40_3705]]),"")</f>
        <v/>
      </c>
      <c r="I4547" s="7" t="str">
        <f>IF(Table1[[#This Row],[Is Data Valid]]=TRUE,((Table1[[#This Row],[Birthweight (grams)]]*1.1/Table1[[#This Row],[BW_GA]])-1)/(Backend!$B$4/100*Table1[[#This Row],[BW40_3705]]),"")</f>
        <v/>
      </c>
      <c r="J4547" s="7" t="str">
        <f>IF(Table1[[#This Row],[Is Data Valid]]=TRUE,_xlfn.NORM.S.DIST(Table1[[#This Row],[Birthweight Z-Score]],TRUE)*100,"")</f>
        <v/>
      </c>
      <c r="K4547" s="7" t="str">
        <f>IF(Table1[[#This Row],[Is Data Valid]]=TRUE,_xlfn.NORM.S.DIST(Table1[[#This Row],[Birthweight Z-Score (BW-10%)]],TRUE)*100,"")</f>
        <v/>
      </c>
      <c r="L4547" s="7" t="str">
        <f>IF(Table1[[#This Row],[Is Data Valid]]=TRUE,_xlfn.NORM.S.DIST(Table1[[#This Row],[Birthweight Z-Score (BW+10%)]],TRUE)*100,"")</f>
        <v/>
      </c>
    </row>
    <row r="4548" spans="1:12" x14ac:dyDescent="0.35">
      <c r="A4548" s="3"/>
      <c r="B4548" s="2"/>
      <c r="C4548" s="2"/>
      <c r="D4548" s="2" t="b">
        <f>IF(AND(NOT(ISBLANK(Table1[[#This Row],[Fetal Sex (Male, Female or Unknown)]])),ISNUMBER(Table1[[#This Row],[Birthweight (grams)]]),ISNUMBER(Table1[[#This Row],[Gestation (days)]])),TRUE,FALSE)</f>
        <v>0</v>
      </c>
      <c r="E4548" s="2" t="str">
        <f>IF(Table1[[#This Row],[Is Data Valid]]=TRUE,IF(Table1[[#This Row],[Fetal Sex (Male, Female or Unknown)]]="Male",Backend!$C$6,IF(Table1[[#This Row],[Fetal Sex (Male, Female or Unknown)]]="Female",Backend!$C$7,IF(Table1[[#This Row],[Fetal Sex (Male, Female or Unknown)]]="Unknown",Backend!$C$8,"Error"))),"")</f>
        <v/>
      </c>
      <c r="F4548" s="8" t="str">
        <f>IF(Table1[[#This Row],[Is Data Valid]]=TRUE,EXP(0.578+0.332*((Table1[[#This Row],[Gestation (days)]]+0.5)/7)-0.00354*((Table1[[#This Row],[Gestation (days)]]+0.5)/7)^2)*Table1[[#This Row],[BW40_3705]],"")</f>
        <v/>
      </c>
      <c r="G4548" s="2" t="str">
        <f>IF(Table1[[#This Row],[Is Data Valid]]=TRUE,((Table1[[#This Row],[Birthweight (grams)]]/Table1[[#This Row],[BW_GA]])-1)/(Backend!$B$4/100*Table1[[#This Row],[BW40_3705]]),"")</f>
        <v/>
      </c>
      <c r="H4548" s="7" t="str">
        <f>IF(Table1[[#This Row],[Is Data Valid]]=TRUE,((Table1[[#This Row],[Birthweight (grams)]]*0.9/Table1[[#This Row],[BW_GA]])-1)/(Backend!$B$4/100*Table1[[#This Row],[BW40_3705]]),"")</f>
        <v/>
      </c>
      <c r="I4548" s="7" t="str">
        <f>IF(Table1[[#This Row],[Is Data Valid]]=TRUE,((Table1[[#This Row],[Birthweight (grams)]]*1.1/Table1[[#This Row],[BW_GA]])-1)/(Backend!$B$4/100*Table1[[#This Row],[BW40_3705]]),"")</f>
        <v/>
      </c>
      <c r="J4548" s="7" t="str">
        <f>IF(Table1[[#This Row],[Is Data Valid]]=TRUE,_xlfn.NORM.S.DIST(Table1[[#This Row],[Birthweight Z-Score]],TRUE)*100,"")</f>
        <v/>
      </c>
      <c r="K4548" s="7" t="str">
        <f>IF(Table1[[#This Row],[Is Data Valid]]=TRUE,_xlfn.NORM.S.DIST(Table1[[#This Row],[Birthweight Z-Score (BW-10%)]],TRUE)*100,"")</f>
        <v/>
      </c>
      <c r="L4548" s="7" t="str">
        <f>IF(Table1[[#This Row],[Is Data Valid]]=TRUE,_xlfn.NORM.S.DIST(Table1[[#This Row],[Birthweight Z-Score (BW+10%)]],TRUE)*100,"")</f>
        <v/>
      </c>
    </row>
    <row r="4549" spans="1:12" x14ac:dyDescent="0.35">
      <c r="A4549" s="3"/>
      <c r="B4549" s="2"/>
      <c r="C4549" s="2"/>
      <c r="D4549" s="2" t="b">
        <f>IF(AND(NOT(ISBLANK(Table1[[#This Row],[Fetal Sex (Male, Female or Unknown)]])),ISNUMBER(Table1[[#This Row],[Birthweight (grams)]]),ISNUMBER(Table1[[#This Row],[Gestation (days)]])),TRUE,FALSE)</f>
        <v>0</v>
      </c>
      <c r="E4549" s="2" t="str">
        <f>IF(Table1[[#This Row],[Is Data Valid]]=TRUE,IF(Table1[[#This Row],[Fetal Sex (Male, Female or Unknown)]]="Male",Backend!$C$6,IF(Table1[[#This Row],[Fetal Sex (Male, Female or Unknown)]]="Female",Backend!$C$7,IF(Table1[[#This Row],[Fetal Sex (Male, Female or Unknown)]]="Unknown",Backend!$C$8,"Error"))),"")</f>
        <v/>
      </c>
      <c r="F4549" s="8" t="str">
        <f>IF(Table1[[#This Row],[Is Data Valid]]=TRUE,EXP(0.578+0.332*((Table1[[#This Row],[Gestation (days)]]+0.5)/7)-0.00354*((Table1[[#This Row],[Gestation (days)]]+0.5)/7)^2)*Table1[[#This Row],[BW40_3705]],"")</f>
        <v/>
      </c>
      <c r="G4549" s="2" t="str">
        <f>IF(Table1[[#This Row],[Is Data Valid]]=TRUE,((Table1[[#This Row],[Birthweight (grams)]]/Table1[[#This Row],[BW_GA]])-1)/(Backend!$B$4/100*Table1[[#This Row],[BW40_3705]]),"")</f>
        <v/>
      </c>
      <c r="H4549" s="7" t="str">
        <f>IF(Table1[[#This Row],[Is Data Valid]]=TRUE,((Table1[[#This Row],[Birthweight (grams)]]*0.9/Table1[[#This Row],[BW_GA]])-1)/(Backend!$B$4/100*Table1[[#This Row],[BW40_3705]]),"")</f>
        <v/>
      </c>
      <c r="I4549" s="7" t="str">
        <f>IF(Table1[[#This Row],[Is Data Valid]]=TRUE,((Table1[[#This Row],[Birthweight (grams)]]*1.1/Table1[[#This Row],[BW_GA]])-1)/(Backend!$B$4/100*Table1[[#This Row],[BW40_3705]]),"")</f>
        <v/>
      </c>
      <c r="J4549" s="7" t="str">
        <f>IF(Table1[[#This Row],[Is Data Valid]]=TRUE,_xlfn.NORM.S.DIST(Table1[[#This Row],[Birthweight Z-Score]],TRUE)*100,"")</f>
        <v/>
      </c>
      <c r="K4549" s="7" t="str">
        <f>IF(Table1[[#This Row],[Is Data Valid]]=TRUE,_xlfn.NORM.S.DIST(Table1[[#This Row],[Birthweight Z-Score (BW-10%)]],TRUE)*100,"")</f>
        <v/>
      </c>
      <c r="L4549" s="7" t="str">
        <f>IF(Table1[[#This Row],[Is Data Valid]]=TRUE,_xlfn.NORM.S.DIST(Table1[[#This Row],[Birthweight Z-Score (BW+10%)]],TRUE)*100,"")</f>
        <v/>
      </c>
    </row>
    <row r="4550" spans="1:12" x14ac:dyDescent="0.35">
      <c r="A4550" s="3"/>
      <c r="B4550" s="2"/>
      <c r="C4550" s="2"/>
      <c r="D4550" s="2" t="b">
        <f>IF(AND(NOT(ISBLANK(Table1[[#This Row],[Fetal Sex (Male, Female or Unknown)]])),ISNUMBER(Table1[[#This Row],[Birthweight (grams)]]),ISNUMBER(Table1[[#This Row],[Gestation (days)]])),TRUE,FALSE)</f>
        <v>0</v>
      </c>
      <c r="E4550" s="2" t="str">
        <f>IF(Table1[[#This Row],[Is Data Valid]]=TRUE,IF(Table1[[#This Row],[Fetal Sex (Male, Female or Unknown)]]="Male",Backend!$C$6,IF(Table1[[#This Row],[Fetal Sex (Male, Female or Unknown)]]="Female",Backend!$C$7,IF(Table1[[#This Row],[Fetal Sex (Male, Female or Unknown)]]="Unknown",Backend!$C$8,"Error"))),"")</f>
        <v/>
      </c>
      <c r="F4550" s="8" t="str">
        <f>IF(Table1[[#This Row],[Is Data Valid]]=TRUE,EXP(0.578+0.332*((Table1[[#This Row],[Gestation (days)]]+0.5)/7)-0.00354*((Table1[[#This Row],[Gestation (days)]]+0.5)/7)^2)*Table1[[#This Row],[BW40_3705]],"")</f>
        <v/>
      </c>
      <c r="G4550" s="2" t="str">
        <f>IF(Table1[[#This Row],[Is Data Valid]]=TRUE,((Table1[[#This Row],[Birthweight (grams)]]/Table1[[#This Row],[BW_GA]])-1)/(Backend!$B$4/100*Table1[[#This Row],[BW40_3705]]),"")</f>
        <v/>
      </c>
      <c r="H4550" s="7" t="str">
        <f>IF(Table1[[#This Row],[Is Data Valid]]=TRUE,((Table1[[#This Row],[Birthweight (grams)]]*0.9/Table1[[#This Row],[BW_GA]])-1)/(Backend!$B$4/100*Table1[[#This Row],[BW40_3705]]),"")</f>
        <v/>
      </c>
      <c r="I4550" s="7" t="str">
        <f>IF(Table1[[#This Row],[Is Data Valid]]=TRUE,((Table1[[#This Row],[Birthweight (grams)]]*1.1/Table1[[#This Row],[BW_GA]])-1)/(Backend!$B$4/100*Table1[[#This Row],[BW40_3705]]),"")</f>
        <v/>
      </c>
      <c r="J4550" s="7" t="str">
        <f>IF(Table1[[#This Row],[Is Data Valid]]=TRUE,_xlfn.NORM.S.DIST(Table1[[#This Row],[Birthweight Z-Score]],TRUE)*100,"")</f>
        <v/>
      </c>
      <c r="K4550" s="7" t="str">
        <f>IF(Table1[[#This Row],[Is Data Valid]]=TRUE,_xlfn.NORM.S.DIST(Table1[[#This Row],[Birthweight Z-Score (BW-10%)]],TRUE)*100,"")</f>
        <v/>
      </c>
      <c r="L4550" s="7" t="str">
        <f>IF(Table1[[#This Row],[Is Data Valid]]=TRUE,_xlfn.NORM.S.DIST(Table1[[#This Row],[Birthweight Z-Score (BW+10%)]],TRUE)*100,"")</f>
        <v/>
      </c>
    </row>
    <row r="4551" spans="1:12" x14ac:dyDescent="0.35">
      <c r="A4551" s="3"/>
      <c r="B4551" s="2"/>
      <c r="C4551" s="2"/>
      <c r="D4551" s="2" t="b">
        <f>IF(AND(NOT(ISBLANK(Table1[[#This Row],[Fetal Sex (Male, Female or Unknown)]])),ISNUMBER(Table1[[#This Row],[Birthweight (grams)]]),ISNUMBER(Table1[[#This Row],[Gestation (days)]])),TRUE,FALSE)</f>
        <v>0</v>
      </c>
      <c r="E4551" s="2" t="str">
        <f>IF(Table1[[#This Row],[Is Data Valid]]=TRUE,IF(Table1[[#This Row],[Fetal Sex (Male, Female or Unknown)]]="Male",Backend!$C$6,IF(Table1[[#This Row],[Fetal Sex (Male, Female or Unknown)]]="Female",Backend!$C$7,IF(Table1[[#This Row],[Fetal Sex (Male, Female or Unknown)]]="Unknown",Backend!$C$8,"Error"))),"")</f>
        <v/>
      </c>
      <c r="F4551" s="8" t="str">
        <f>IF(Table1[[#This Row],[Is Data Valid]]=TRUE,EXP(0.578+0.332*((Table1[[#This Row],[Gestation (days)]]+0.5)/7)-0.00354*((Table1[[#This Row],[Gestation (days)]]+0.5)/7)^2)*Table1[[#This Row],[BW40_3705]],"")</f>
        <v/>
      </c>
      <c r="G4551" s="2" t="str">
        <f>IF(Table1[[#This Row],[Is Data Valid]]=TRUE,((Table1[[#This Row],[Birthweight (grams)]]/Table1[[#This Row],[BW_GA]])-1)/(Backend!$B$4/100*Table1[[#This Row],[BW40_3705]]),"")</f>
        <v/>
      </c>
      <c r="H4551" s="7" t="str">
        <f>IF(Table1[[#This Row],[Is Data Valid]]=TRUE,((Table1[[#This Row],[Birthweight (grams)]]*0.9/Table1[[#This Row],[BW_GA]])-1)/(Backend!$B$4/100*Table1[[#This Row],[BW40_3705]]),"")</f>
        <v/>
      </c>
      <c r="I4551" s="7" t="str">
        <f>IF(Table1[[#This Row],[Is Data Valid]]=TRUE,((Table1[[#This Row],[Birthweight (grams)]]*1.1/Table1[[#This Row],[BW_GA]])-1)/(Backend!$B$4/100*Table1[[#This Row],[BW40_3705]]),"")</f>
        <v/>
      </c>
      <c r="J4551" s="7" t="str">
        <f>IF(Table1[[#This Row],[Is Data Valid]]=TRUE,_xlfn.NORM.S.DIST(Table1[[#This Row],[Birthweight Z-Score]],TRUE)*100,"")</f>
        <v/>
      </c>
      <c r="K4551" s="7" t="str">
        <f>IF(Table1[[#This Row],[Is Data Valid]]=TRUE,_xlfn.NORM.S.DIST(Table1[[#This Row],[Birthweight Z-Score (BW-10%)]],TRUE)*100,"")</f>
        <v/>
      </c>
      <c r="L4551" s="7" t="str">
        <f>IF(Table1[[#This Row],[Is Data Valid]]=TRUE,_xlfn.NORM.S.DIST(Table1[[#This Row],[Birthweight Z-Score (BW+10%)]],TRUE)*100,"")</f>
        <v/>
      </c>
    </row>
    <row r="4552" spans="1:12" x14ac:dyDescent="0.35">
      <c r="A4552" s="3"/>
      <c r="B4552" s="2"/>
      <c r="C4552" s="2"/>
      <c r="D4552" s="2" t="b">
        <f>IF(AND(NOT(ISBLANK(Table1[[#This Row],[Fetal Sex (Male, Female or Unknown)]])),ISNUMBER(Table1[[#This Row],[Birthweight (grams)]]),ISNUMBER(Table1[[#This Row],[Gestation (days)]])),TRUE,FALSE)</f>
        <v>0</v>
      </c>
      <c r="E4552" s="2" t="str">
        <f>IF(Table1[[#This Row],[Is Data Valid]]=TRUE,IF(Table1[[#This Row],[Fetal Sex (Male, Female or Unknown)]]="Male",Backend!$C$6,IF(Table1[[#This Row],[Fetal Sex (Male, Female or Unknown)]]="Female",Backend!$C$7,IF(Table1[[#This Row],[Fetal Sex (Male, Female or Unknown)]]="Unknown",Backend!$C$8,"Error"))),"")</f>
        <v/>
      </c>
      <c r="F4552" s="8" t="str">
        <f>IF(Table1[[#This Row],[Is Data Valid]]=TRUE,EXP(0.578+0.332*((Table1[[#This Row],[Gestation (days)]]+0.5)/7)-0.00354*((Table1[[#This Row],[Gestation (days)]]+0.5)/7)^2)*Table1[[#This Row],[BW40_3705]],"")</f>
        <v/>
      </c>
      <c r="G4552" s="2" t="str">
        <f>IF(Table1[[#This Row],[Is Data Valid]]=TRUE,((Table1[[#This Row],[Birthweight (grams)]]/Table1[[#This Row],[BW_GA]])-1)/(Backend!$B$4/100*Table1[[#This Row],[BW40_3705]]),"")</f>
        <v/>
      </c>
      <c r="H4552" s="7" t="str">
        <f>IF(Table1[[#This Row],[Is Data Valid]]=TRUE,((Table1[[#This Row],[Birthweight (grams)]]*0.9/Table1[[#This Row],[BW_GA]])-1)/(Backend!$B$4/100*Table1[[#This Row],[BW40_3705]]),"")</f>
        <v/>
      </c>
      <c r="I4552" s="7" t="str">
        <f>IF(Table1[[#This Row],[Is Data Valid]]=TRUE,((Table1[[#This Row],[Birthweight (grams)]]*1.1/Table1[[#This Row],[BW_GA]])-1)/(Backend!$B$4/100*Table1[[#This Row],[BW40_3705]]),"")</f>
        <v/>
      </c>
      <c r="J4552" s="7" t="str">
        <f>IF(Table1[[#This Row],[Is Data Valid]]=TRUE,_xlfn.NORM.S.DIST(Table1[[#This Row],[Birthweight Z-Score]],TRUE)*100,"")</f>
        <v/>
      </c>
      <c r="K4552" s="7" t="str">
        <f>IF(Table1[[#This Row],[Is Data Valid]]=TRUE,_xlfn.NORM.S.DIST(Table1[[#This Row],[Birthweight Z-Score (BW-10%)]],TRUE)*100,"")</f>
        <v/>
      </c>
      <c r="L4552" s="7" t="str">
        <f>IF(Table1[[#This Row],[Is Data Valid]]=TRUE,_xlfn.NORM.S.DIST(Table1[[#This Row],[Birthweight Z-Score (BW+10%)]],TRUE)*100,"")</f>
        <v/>
      </c>
    </row>
    <row r="4553" spans="1:12" x14ac:dyDescent="0.35">
      <c r="A4553" s="3"/>
      <c r="B4553" s="2"/>
      <c r="C4553" s="2"/>
      <c r="D4553" s="2" t="b">
        <f>IF(AND(NOT(ISBLANK(Table1[[#This Row],[Fetal Sex (Male, Female or Unknown)]])),ISNUMBER(Table1[[#This Row],[Birthweight (grams)]]),ISNUMBER(Table1[[#This Row],[Gestation (days)]])),TRUE,FALSE)</f>
        <v>0</v>
      </c>
      <c r="E4553" s="2" t="str">
        <f>IF(Table1[[#This Row],[Is Data Valid]]=TRUE,IF(Table1[[#This Row],[Fetal Sex (Male, Female or Unknown)]]="Male",Backend!$C$6,IF(Table1[[#This Row],[Fetal Sex (Male, Female or Unknown)]]="Female",Backend!$C$7,IF(Table1[[#This Row],[Fetal Sex (Male, Female or Unknown)]]="Unknown",Backend!$C$8,"Error"))),"")</f>
        <v/>
      </c>
      <c r="F4553" s="8" t="str">
        <f>IF(Table1[[#This Row],[Is Data Valid]]=TRUE,EXP(0.578+0.332*((Table1[[#This Row],[Gestation (days)]]+0.5)/7)-0.00354*((Table1[[#This Row],[Gestation (days)]]+0.5)/7)^2)*Table1[[#This Row],[BW40_3705]],"")</f>
        <v/>
      </c>
      <c r="G4553" s="2" t="str">
        <f>IF(Table1[[#This Row],[Is Data Valid]]=TRUE,((Table1[[#This Row],[Birthweight (grams)]]/Table1[[#This Row],[BW_GA]])-1)/(Backend!$B$4/100*Table1[[#This Row],[BW40_3705]]),"")</f>
        <v/>
      </c>
      <c r="H4553" s="7" t="str">
        <f>IF(Table1[[#This Row],[Is Data Valid]]=TRUE,((Table1[[#This Row],[Birthweight (grams)]]*0.9/Table1[[#This Row],[BW_GA]])-1)/(Backend!$B$4/100*Table1[[#This Row],[BW40_3705]]),"")</f>
        <v/>
      </c>
      <c r="I4553" s="7" t="str">
        <f>IF(Table1[[#This Row],[Is Data Valid]]=TRUE,((Table1[[#This Row],[Birthweight (grams)]]*1.1/Table1[[#This Row],[BW_GA]])-1)/(Backend!$B$4/100*Table1[[#This Row],[BW40_3705]]),"")</f>
        <v/>
      </c>
      <c r="J4553" s="7" t="str">
        <f>IF(Table1[[#This Row],[Is Data Valid]]=TRUE,_xlfn.NORM.S.DIST(Table1[[#This Row],[Birthweight Z-Score]],TRUE)*100,"")</f>
        <v/>
      </c>
      <c r="K4553" s="7" t="str">
        <f>IF(Table1[[#This Row],[Is Data Valid]]=TRUE,_xlfn.NORM.S.DIST(Table1[[#This Row],[Birthweight Z-Score (BW-10%)]],TRUE)*100,"")</f>
        <v/>
      </c>
      <c r="L4553" s="7" t="str">
        <f>IF(Table1[[#This Row],[Is Data Valid]]=TRUE,_xlfn.NORM.S.DIST(Table1[[#This Row],[Birthweight Z-Score (BW+10%)]],TRUE)*100,"")</f>
        <v/>
      </c>
    </row>
    <row r="4554" spans="1:12" x14ac:dyDescent="0.35">
      <c r="A4554" s="3"/>
      <c r="B4554" s="2"/>
      <c r="C4554" s="2"/>
      <c r="D4554" s="2" t="b">
        <f>IF(AND(NOT(ISBLANK(Table1[[#This Row],[Fetal Sex (Male, Female or Unknown)]])),ISNUMBER(Table1[[#This Row],[Birthweight (grams)]]),ISNUMBER(Table1[[#This Row],[Gestation (days)]])),TRUE,FALSE)</f>
        <v>0</v>
      </c>
      <c r="E4554" s="2" t="str">
        <f>IF(Table1[[#This Row],[Is Data Valid]]=TRUE,IF(Table1[[#This Row],[Fetal Sex (Male, Female or Unknown)]]="Male",Backend!$C$6,IF(Table1[[#This Row],[Fetal Sex (Male, Female or Unknown)]]="Female",Backend!$C$7,IF(Table1[[#This Row],[Fetal Sex (Male, Female or Unknown)]]="Unknown",Backend!$C$8,"Error"))),"")</f>
        <v/>
      </c>
      <c r="F4554" s="8" t="str">
        <f>IF(Table1[[#This Row],[Is Data Valid]]=TRUE,EXP(0.578+0.332*((Table1[[#This Row],[Gestation (days)]]+0.5)/7)-0.00354*((Table1[[#This Row],[Gestation (days)]]+0.5)/7)^2)*Table1[[#This Row],[BW40_3705]],"")</f>
        <v/>
      </c>
      <c r="G4554" s="2" t="str">
        <f>IF(Table1[[#This Row],[Is Data Valid]]=TRUE,((Table1[[#This Row],[Birthweight (grams)]]/Table1[[#This Row],[BW_GA]])-1)/(Backend!$B$4/100*Table1[[#This Row],[BW40_3705]]),"")</f>
        <v/>
      </c>
      <c r="H4554" s="7" t="str">
        <f>IF(Table1[[#This Row],[Is Data Valid]]=TRUE,((Table1[[#This Row],[Birthweight (grams)]]*0.9/Table1[[#This Row],[BW_GA]])-1)/(Backend!$B$4/100*Table1[[#This Row],[BW40_3705]]),"")</f>
        <v/>
      </c>
      <c r="I4554" s="7" t="str">
        <f>IF(Table1[[#This Row],[Is Data Valid]]=TRUE,((Table1[[#This Row],[Birthweight (grams)]]*1.1/Table1[[#This Row],[BW_GA]])-1)/(Backend!$B$4/100*Table1[[#This Row],[BW40_3705]]),"")</f>
        <v/>
      </c>
      <c r="J4554" s="7" t="str">
        <f>IF(Table1[[#This Row],[Is Data Valid]]=TRUE,_xlfn.NORM.S.DIST(Table1[[#This Row],[Birthweight Z-Score]],TRUE)*100,"")</f>
        <v/>
      </c>
      <c r="K4554" s="7" t="str">
        <f>IF(Table1[[#This Row],[Is Data Valid]]=TRUE,_xlfn.NORM.S.DIST(Table1[[#This Row],[Birthweight Z-Score (BW-10%)]],TRUE)*100,"")</f>
        <v/>
      </c>
      <c r="L4554" s="7" t="str">
        <f>IF(Table1[[#This Row],[Is Data Valid]]=TRUE,_xlfn.NORM.S.DIST(Table1[[#This Row],[Birthweight Z-Score (BW+10%)]],TRUE)*100,"")</f>
        <v/>
      </c>
    </row>
    <row r="4555" spans="1:12" x14ac:dyDescent="0.35">
      <c r="A4555" s="3"/>
      <c r="B4555" s="2"/>
      <c r="C4555" s="2"/>
      <c r="D4555" s="2" t="b">
        <f>IF(AND(NOT(ISBLANK(Table1[[#This Row],[Fetal Sex (Male, Female or Unknown)]])),ISNUMBER(Table1[[#This Row],[Birthweight (grams)]]),ISNUMBER(Table1[[#This Row],[Gestation (days)]])),TRUE,FALSE)</f>
        <v>0</v>
      </c>
      <c r="E4555" s="2" t="str">
        <f>IF(Table1[[#This Row],[Is Data Valid]]=TRUE,IF(Table1[[#This Row],[Fetal Sex (Male, Female or Unknown)]]="Male",Backend!$C$6,IF(Table1[[#This Row],[Fetal Sex (Male, Female or Unknown)]]="Female",Backend!$C$7,IF(Table1[[#This Row],[Fetal Sex (Male, Female or Unknown)]]="Unknown",Backend!$C$8,"Error"))),"")</f>
        <v/>
      </c>
      <c r="F4555" s="8" t="str">
        <f>IF(Table1[[#This Row],[Is Data Valid]]=TRUE,EXP(0.578+0.332*((Table1[[#This Row],[Gestation (days)]]+0.5)/7)-0.00354*((Table1[[#This Row],[Gestation (days)]]+0.5)/7)^2)*Table1[[#This Row],[BW40_3705]],"")</f>
        <v/>
      </c>
      <c r="G4555" s="2" t="str">
        <f>IF(Table1[[#This Row],[Is Data Valid]]=TRUE,((Table1[[#This Row],[Birthweight (grams)]]/Table1[[#This Row],[BW_GA]])-1)/(Backend!$B$4/100*Table1[[#This Row],[BW40_3705]]),"")</f>
        <v/>
      </c>
      <c r="H4555" s="7" t="str">
        <f>IF(Table1[[#This Row],[Is Data Valid]]=TRUE,((Table1[[#This Row],[Birthweight (grams)]]*0.9/Table1[[#This Row],[BW_GA]])-1)/(Backend!$B$4/100*Table1[[#This Row],[BW40_3705]]),"")</f>
        <v/>
      </c>
      <c r="I4555" s="7" t="str">
        <f>IF(Table1[[#This Row],[Is Data Valid]]=TRUE,((Table1[[#This Row],[Birthweight (grams)]]*1.1/Table1[[#This Row],[BW_GA]])-1)/(Backend!$B$4/100*Table1[[#This Row],[BW40_3705]]),"")</f>
        <v/>
      </c>
      <c r="J4555" s="7" t="str">
        <f>IF(Table1[[#This Row],[Is Data Valid]]=TRUE,_xlfn.NORM.S.DIST(Table1[[#This Row],[Birthweight Z-Score]],TRUE)*100,"")</f>
        <v/>
      </c>
      <c r="K4555" s="7" t="str">
        <f>IF(Table1[[#This Row],[Is Data Valid]]=TRUE,_xlfn.NORM.S.DIST(Table1[[#This Row],[Birthweight Z-Score (BW-10%)]],TRUE)*100,"")</f>
        <v/>
      </c>
      <c r="L4555" s="7" t="str">
        <f>IF(Table1[[#This Row],[Is Data Valid]]=TRUE,_xlfn.NORM.S.DIST(Table1[[#This Row],[Birthweight Z-Score (BW+10%)]],TRUE)*100,"")</f>
        <v/>
      </c>
    </row>
    <row r="4556" spans="1:12" x14ac:dyDescent="0.35">
      <c r="A4556" s="3"/>
      <c r="B4556" s="2"/>
      <c r="C4556" s="2"/>
      <c r="D4556" s="2" t="b">
        <f>IF(AND(NOT(ISBLANK(Table1[[#This Row],[Fetal Sex (Male, Female or Unknown)]])),ISNUMBER(Table1[[#This Row],[Birthweight (grams)]]),ISNUMBER(Table1[[#This Row],[Gestation (days)]])),TRUE,FALSE)</f>
        <v>0</v>
      </c>
      <c r="E4556" s="2" t="str">
        <f>IF(Table1[[#This Row],[Is Data Valid]]=TRUE,IF(Table1[[#This Row],[Fetal Sex (Male, Female or Unknown)]]="Male",Backend!$C$6,IF(Table1[[#This Row],[Fetal Sex (Male, Female or Unknown)]]="Female",Backend!$C$7,IF(Table1[[#This Row],[Fetal Sex (Male, Female or Unknown)]]="Unknown",Backend!$C$8,"Error"))),"")</f>
        <v/>
      </c>
      <c r="F4556" s="8" t="str">
        <f>IF(Table1[[#This Row],[Is Data Valid]]=TRUE,EXP(0.578+0.332*((Table1[[#This Row],[Gestation (days)]]+0.5)/7)-0.00354*((Table1[[#This Row],[Gestation (days)]]+0.5)/7)^2)*Table1[[#This Row],[BW40_3705]],"")</f>
        <v/>
      </c>
      <c r="G4556" s="2" t="str">
        <f>IF(Table1[[#This Row],[Is Data Valid]]=TRUE,((Table1[[#This Row],[Birthweight (grams)]]/Table1[[#This Row],[BW_GA]])-1)/(Backend!$B$4/100*Table1[[#This Row],[BW40_3705]]),"")</f>
        <v/>
      </c>
      <c r="H4556" s="7" t="str">
        <f>IF(Table1[[#This Row],[Is Data Valid]]=TRUE,((Table1[[#This Row],[Birthweight (grams)]]*0.9/Table1[[#This Row],[BW_GA]])-1)/(Backend!$B$4/100*Table1[[#This Row],[BW40_3705]]),"")</f>
        <v/>
      </c>
      <c r="I4556" s="7" t="str">
        <f>IF(Table1[[#This Row],[Is Data Valid]]=TRUE,((Table1[[#This Row],[Birthweight (grams)]]*1.1/Table1[[#This Row],[BW_GA]])-1)/(Backend!$B$4/100*Table1[[#This Row],[BW40_3705]]),"")</f>
        <v/>
      </c>
      <c r="J4556" s="7" t="str">
        <f>IF(Table1[[#This Row],[Is Data Valid]]=TRUE,_xlfn.NORM.S.DIST(Table1[[#This Row],[Birthweight Z-Score]],TRUE)*100,"")</f>
        <v/>
      </c>
      <c r="K4556" s="7" t="str">
        <f>IF(Table1[[#This Row],[Is Data Valid]]=TRUE,_xlfn.NORM.S.DIST(Table1[[#This Row],[Birthweight Z-Score (BW-10%)]],TRUE)*100,"")</f>
        <v/>
      </c>
      <c r="L4556" s="7" t="str">
        <f>IF(Table1[[#This Row],[Is Data Valid]]=TRUE,_xlfn.NORM.S.DIST(Table1[[#This Row],[Birthweight Z-Score (BW+10%)]],TRUE)*100,"")</f>
        <v/>
      </c>
    </row>
    <row r="4557" spans="1:12" x14ac:dyDescent="0.35">
      <c r="A4557" s="3"/>
      <c r="B4557" s="2"/>
      <c r="C4557" s="2"/>
      <c r="D4557" s="2" t="b">
        <f>IF(AND(NOT(ISBLANK(Table1[[#This Row],[Fetal Sex (Male, Female or Unknown)]])),ISNUMBER(Table1[[#This Row],[Birthweight (grams)]]),ISNUMBER(Table1[[#This Row],[Gestation (days)]])),TRUE,FALSE)</f>
        <v>0</v>
      </c>
      <c r="E4557" s="2" t="str">
        <f>IF(Table1[[#This Row],[Is Data Valid]]=TRUE,IF(Table1[[#This Row],[Fetal Sex (Male, Female or Unknown)]]="Male",Backend!$C$6,IF(Table1[[#This Row],[Fetal Sex (Male, Female or Unknown)]]="Female",Backend!$C$7,IF(Table1[[#This Row],[Fetal Sex (Male, Female or Unknown)]]="Unknown",Backend!$C$8,"Error"))),"")</f>
        <v/>
      </c>
      <c r="F4557" s="8" t="str">
        <f>IF(Table1[[#This Row],[Is Data Valid]]=TRUE,EXP(0.578+0.332*((Table1[[#This Row],[Gestation (days)]]+0.5)/7)-0.00354*((Table1[[#This Row],[Gestation (days)]]+0.5)/7)^2)*Table1[[#This Row],[BW40_3705]],"")</f>
        <v/>
      </c>
      <c r="G4557" s="2" t="str">
        <f>IF(Table1[[#This Row],[Is Data Valid]]=TRUE,((Table1[[#This Row],[Birthweight (grams)]]/Table1[[#This Row],[BW_GA]])-1)/(Backend!$B$4/100*Table1[[#This Row],[BW40_3705]]),"")</f>
        <v/>
      </c>
      <c r="H4557" s="7" t="str">
        <f>IF(Table1[[#This Row],[Is Data Valid]]=TRUE,((Table1[[#This Row],[Birthweight (grams)]]*0.9/Table1[[#This Row],[BW_GA]])-1)/(Backend!$B$4/100*Table1[[#This Row],[BW40_3705]]),"")</f>
        <v/>
      </c>
      <c r="I4557" s="7" t="str">
        <f>IF(Table1[[#This Row],[Is Data Valid]]=TRUE,((Table1[[#This Row],[Birthweight (grams)]]*1.1/Table1[[#This Row],[BW_GA]])-1)/(Backend!$B$4/100*Table1[[#This Row],[BW40_3705]]),"")</f>
        <v/>
      </c>
      <c r="J4557" s="7" t="str">
        <f>IF(Table1[[#This Row],[Is Data Valid]]=TRUE,_xlfn.NORM.S.DIST(Table1[[#This Row],[Birthweight Z-Score]],TRUE)*100,"")</f>
        <v/>
      </c>
      <c r="K4557" s="7" t="str">
        <f>IF(Table1[[#This Row],[Is Data Valid]]=TRUE,_xlfn.NORM.S.DIST(Table1[[#This Row],[Birthweight Z-Score (BW-10%)]],TRUE)*100,"")</f>
        <v/>
      </c>
      <c r="L4557" s="7" t="str">
        <f>IF(Table1[[#This Row],[Is Data Valid]]=TRUE,_xlfn.NORM.S.DIST(Table1[[#This Row],[Birthweight Z-Score (BW+10%)]],TRUE)*100,"")</f>
        <v/>
      </c>
    </row>
    <row r="4558" spans="1:12" x14ac:dyDescent="0.35">
      <c r="A4558" s="3"/>
      <c r="B4558" s="2"/>
      <c r="C4558" s="2"/>
      <c r="D4558" s="2" t="b">
        <f>IF(AND(NOT(ISBLANK(Table1[[#This Row],[Fetal Sex (Male, Female or Unknown)]])),ISNUMBER(Table1[[#This Row],[Birthweight (grams)]]),ISNUMBER(Table1[[#This Row],[Gestation (days)]])),TRUE,FALSE)</f>
        <v>0</v>
      </c>
      <c r="E4558" s="2" t="str">
        <f>IF(Table1[[#This Row],[Is Data Valid]]=TRUE,IF(Table1[[#This Row],[Fetal Sex (Male, Female or Unknown)]]="Male",Backend!$C$6,IF(Table1[[#This Row],[Fetal Sex (Male, Female or Unknown)]]="Female",Backend!$C$7,IF(Table1[[#This Row],[Fetal Sex (Male, Female or Unknown)]]="Unknown",Backend!$C$8,"Error"))),"")</f>
        <v/>
      </c>
      <c r="F4558" s="8" t="str">
        <f>IF(Table1[[#This Row],[Is Data Valid]]=TRUE,EXP(0.578+0.332*((Table1[[#This Row],[Gestation (days)]]+0.5)/7)-0.00354*((Table1[[#This Row],[Gestation (days)]]+0.5)/7)^2)*Table1[[#This Row],[BW40_3705]],"")</f>
        <v/>
      </c>
      <c r="G4558" s="2" t="str">
        <f>IF(Table1[[#This Row],[Is Data Valid]]=TRUE,((Table1[[#This Row],[Birthweight (grams)]]/Table1[[#This Row],[BW_GA]])-1)/(Backend!$B$4/100*Table1[[#This Row],[BW40_3705]]),"")</f>
        <v/>
      </c>
      <c r="H4558" s="7" t="str">
        <f>IF(Table1[[#This Row],[Is Data Valid]]=TRUE,((Table1[[#This Row],[Birthweight (grams)]]*0.9/Table1[[#This Row],[BW_GA]])-1)/(Backend!$B$4/100*Table1[[#This Row],[BW40_3705]]),"")</f>
        <v/>
      </c>
      <c r="I4558" s="7" t="str">
        <f>IF(Table1[[#This Row],[Is Data Valid]]=TRUE,((Table1[[#This Row],[Birthweight (grams)]]*1.1/Table1[[#This Row],[BW_GA]])-1)/(Backend!$B$4/100*Table1[[#This Row],[BW40_3705]]),"")</f>
        <v/>
      </c>
      <c r="J4558" s="7" t="str">
        <f>IF(Table1[[#This Row],[Is Data Valid]]=TRUE,_xlfn.NORM.S.DIST(Table1[[#This Row],[Birthweight Z-Score]],TRUE)*100,"")</f>
        <v/>
      </c>
      <c r="K4558" s="7" t="str">
        <f>IF(Table1[[#This Row],[Is Data Valid]]=TRUE,_xlfn.NORM.S.DIST(Table1[[#This Row],[Birthweight Z-Score (BW-10%)]],TRUE)*100,"")</f>
        <v/>
      </c>
      <c r="L4558" s="7" t="str">
        <f>IF(Table1[[#This Row],[Is Data Valid]]=TRUE,_xlfn.NORM.S.DIST(Table1[[#This Row],[Birthweight Z-Score (BW+10%)]],TRUE)*100,"")</f>
        <v/>
      </c>
    </row>
    <row r="4559" spans="1:12" x14ac:dyDescent="0.35">
      <c r="A4559" s="3"/>
      <c r="B4559" s="2"/>
      <c r="C4559" s="2"/>
      <c r="D4559" s="2" t="b">
        <f>IF(AND(NOT(ISBLANK(Table1[[#This Row],[Fetal Sex (Male, Female or Unknown)]])),ISNUMBER(Table1[[#This Row],[Birthweight (grams)]]),ISNUMBER(Table1[[#This Row],[Gestation (days)]])),TRUE,FALSE)</f>
        <v>0</v>
      </c>
      <c r="E4559" s="2" t="str">
        <f>IF(Table1[[#This Row],[Is Data Valid]]=TRUE,IF(Table1[[#This Row],[Fetal Sex (Male, Female or Unknown)]]="Male",Backend!$C$6,IF(Table1[[#This Row],[Fetal Sex (Male, Female or Unknown)]]="Female",Backend!$C$7,IF(Table1[[#This Row],[Fetal Sex (Male, Female or Unknown)]]="Unknown",Backend!$C$8,"Error"))),"")</f>
        <v/>
      </c>
      <c r="F4559" s="8" t="str">
        <f>IF(Table1[[#This Row],[Is Data Valid]]=TRUE,EXP(0.578+0.332*((Table1[[#This Row],[Gestation (days)]]+0.5)/7)-0.00354*((Table1[[#This Row],[Gestation (days)]]+0.5)/7)^2)*Table1[[#This Row],[BW40_3705]],"")</f>
        <v/>
      </c>
      <c r="G4559" s="2" t="str">
        <f>IF(Table1[[#This Row],[Is Data Valid]]=TRUE,((Table1[[#This Row],[Birthweight (grams)]]/Table1[[#This Row],[BW_GA]])-1)/(Backend!$B$4/100*Table1[[#This Row],[BW40_3705]]),"")</f>
        <v/>
      </c>
      <c r="H4559" s="7" t="str">
        <f>IF(Table1[[#This Row],[Is Data Valid]]=TRUE,((Table1[[#This Row],[Birthweight (grams)]]*0.9/Table1[[#This Row],[BW_GA]])-1)/(Backend!$B$4/100*Table1[[#This Row],[BW40_3705]]),"")</f>
        <v/>
      </c>
      <c r="I4559" s="7" t="str">
        <f>IF(Table1[[#This Row],[Is Data Valid]]=TRUE,((Table1[[#This Row],[Birthweight (grams)]]*1.1/Table1[[#This Row],[BW_GA]])-1)/(Backend!$B$4/100*Table1[[#This Row],[BW40_3705]]),"")</f>
        <v/>
      </c>
      <c r="J4559" s="7" t="str">
        <f>IF(Table1[[#This Row],[Is Data Valid]]=TRUE,_xlfn.NORM.S.DIST(Table1[[#This Row],[Birthweight Z-Score]],TRUE)*100,"")</f>
        <v/>
      </c>
      <c r="K4559" s="7" t="str">
        <f>IF(Table1[[#This Row],[Is Data Valid]]=TRUE,_xlfn.NORM.S.DIST(Table1[[#This Row],[Birthweight Z-Score (BW-10%)]],TRUE)*100,"")</f>
        <v/>
      </c>
      <c r="L4559" s="7" t="str">
        <f>IF(Table1[[#This Row],[Is Data Valid]]=TRUE,_xlfn.NORM.S.DIST(Table1[[#This Row],[Birthweight Z-Score (BW+10%)]],TRUE)*100,"")</f>
        <v/>
      </c>
    </row>
    <row r="4560" spans="1:12" x14ac:dyDescent="0.35">
      <c r="A4560" s="3"/>
      <c r="B4560" s="2"/>
      <c r="C4560" s="2"/>
      <c r="D4560" s="2" t="b">
        <f>IF(AND(NOT(ISBLANK(Table1[[#This Row],[Fetal Sex (Male, Female or Unknown)]])),ISNUMBER(Table1[[#This Row],[Birthweight (grams)]]),ISNUMBER(Table1[[#This Row],[Gestation (days)]])),TRUE,FALSE)</f>
        <v>0</v>
      </c>
      <c r="E4560" s="2" t="str">
        <f>IF(Table1[[#This Row],[Is Data Valid]]=TRUE,IF(Table1[[#This Row],[Fetal Sex (Male, Female or Unknown)]]="Male",Backend!$C$6,IF(Table1[[#This Row],[Fetal Sex (Male, Female or Unknown)]]="Female",Backend!$C$7,IF(Table1[[#This Row],[Fetal Sex (Male, Female or Unknown)]]="Unknown",Backend!$C$8,"Error"))),"")</f>
        <v/>
      </c>
      <c r="F4560" s="8" t="str">
        <f>IF(Table1[[#This Row],[Is Data Valid]]=TRUE,EXP(0.578+0.332*((Table1[[#This Row],[Gestation (days)]]+0.5)/7)-0.00354*((Table1[[#This Row],[Gestation (days)]]+0.5)/7)^2)*Table1[[#This Row],[BW40_3705]],"")</f>
        <v/>
      </c>
      <c r="G4560" s="2" t="str">
        <f>IF(Table1[[#This Row],[Is Data Valid]]=TRUE,((Table1[[#This Row],[Birthweight (grams)]]/Table1[[#This Row],[BW_GA]])-1)/(Backend!$B$4/100*Table1[[#This Row],[BW40_3705]]),"")</f>
        <v/>
      </c>
      <c r="H4560" s="7" t="str">
        <f>IF(Table1[[#This Row],[Is Data Valid]]=TRUE,((Table1[[#This Row],[Birthweight (grams)]]*0.9/Table1[[#This Row],[BW_GA]])-1)/(Backend!$B$4/100*Table1[[#This Row],[BW40_3705]]),"")</f>
        <v/>
      </c>
      <c r="I4560" s="7" t="str">
        <f>IF(Table1[[#This Row],[Is Data Valid]]=TRUE,((Table1[[#This Row],[Birthweight (grams)]]*1.1/Table1[[#This Row],[BW_GA]])-1)/(Backend!$B$4/100*Table1[[#This Row],[BW40_3705]]),"")</f>
        <v/>
      </c>
      <c r="J4560" s="7" t="str">
        <f>IF(Table1[[#This Row],[Is Data Valid]]=TRUE,_xlfn.NORM.S.DIST(Table1[[#This Row],[Birthweight Z-Score]],TRUE)*100,"")</f>
        <v/>
      </c>
      <c r="K4560" s="7" t="str">
        <f>IF(Table1[[#This Row],[Is Data Valid]]=TRUE,_xlfn.NORM.S.DIST(Table1[[#This Row],[Birthweight Z-Score (BW-10%)]],TRUE)*100,"")</f>
        <v/>
      </c>
      <c r="L4560" s="7" t="str">
        <f>IF(Table1[[#This Row],[Is Data Valid]]=TRUE,_xlfn.NORM.S.DIST(Table1[[#This Row],[Birthweight Z-Score (BW+10%)]],TRUE)*100,"")</f>
        <v/>
      </c>
    </row>
    <row r="4561" spans="1:12" x14ac:dyDescent="0.35">
      <c r="A4561" s="3"/>
      <c r="B4561" s="2"/>
      <c r="C4561" s="2"/>
      <c r="D4561" s="2" t="b">
        <f>IF(AND(NOT(ISBLANK(Table1[[#This Row],[Fetal Sex (Male, Female or Unknown)]])),ISNUMBER(Table1[[#This Row],[Birthweight (grams)]]),ISNUMBER(Table1[[#This Row],[Gestation (days)]])),TRUE,FALSE)</f>
        <v>0</v>
      </c>
      <c r="E4561" s="2" t="str">
        <f>IF(Table1[[#This Row],[Is Data Valid]]=TRUE,IF(Table1[[#This Row],[Fetal Sex (Male, Female or Unknown)]]="Male",Backend!$C$6,IF(Table1[[#This Row],[Fetal Sex (Male, Female or Unknown)]]="Female",Backend!$C$7,IF(Table1[[#This Row],[Fetal Sex (Male, Female or Unknown)]]="Unknown",Backend!$C$8,"Error"))),"")</f>
        <v/>
      </c>
      <c r="F4561" s="8" t="str">
        <f>IF(Table1[[#This Row],[Is Data Valid]]=TRUE,EXP(0.578+0.332*((Table1[[#This Row],[Gestation (days)]]+0.5)/7)-0.00354*((Table1[[#This Row],[Gestation (days)]]+0.5)/7)^2)*Table1[[#This Row],[BW40_3705]],"")</f>
        <v/>
      </c>
      <c r="G4561" s="2" t="str">
        <f>IF(Table1[[#This Row],[Is Data Valid]]=TRUE,((Table1[[#This Row],[Birthweight (grams)]]/Table1[[#This Row],[BW_GA]])-1)/(Backend!$B$4/100*Table1[[#This Row],[BW40_3705]]),"")</f>
        <v/>
      </c>
      <c r="H4561" s="7" t="str">
        <f>IF(Table1[[#This Row],[Is Data Valid]]=TRUE,((Table1[[#This Row],[Birthweight (grams)]]*0.9/Table1[[#This Row],[BW_GA]])-1)/(Backend!$B$4/100*Table1[[#This Row],[BW40_3705]]),"")</f>
        <v/>
      </c>
      <c r="I4561" s="7" t="str">
        <f>IF(Table1[[#This Row],[Is Data Valid]]=TRUE,((Table1[[#This Row],[Birthweight (grams)]]*1.1/Table1[[#This Row],[BW_GA]])-1)/(Backend!$B$4/100*Table1[[#This Row],[BW40_3705]]),"")</f>
        <v/>
      </c>
      <c r="J4561" s="7" t="str">
        <f>IF(Table1[[#This Row],[Is Data Valid]]=TRUE,_xlfn.NORM.S.DIST(Table1[[#This Row],[Birthweight Z-Score]],TRUE)*100,"")</f>
        <v/>
      </c>
      <c r="K4561" s="7" t="str">
        <f>IF(Table1[[#This Row],[Is Data Valid]]=TRUE,_xlfn.NORM.S.DIST(Table1[[#This Row],[Birthweight Z-Score (BW-10%)]],TRUE)*100,"")</f>
        <v/>
      </c>
      <c r="L4561" s="7" t="str">
        <f>IF(Table1[[#This Row],[Is Data Valid]]=TRUE,_xlfn.NORM.S.DIST(Table1[[#This Row],[Birthweight Z-Score (BW+10%)]],TRUE)*100,"")</f>
        <v/>
      </c>
    </row>
    <row r="4562" spans="1:12" x14ac:dyDescent="0.35">
      <c r="A4562" s="3"/>
      <c r="B4562" s="2"/>
      <c r="C4562" s="2"/>
      <c r="D4562" s="2" t="b">
        <f>IF(AND(NOT(ISBLANK(Table1[[#This Row],[Fetal Sex (Male, Female or Unknown)]])),ISNUMBER(Table1[[#This Row],[Birthweight (grams)]]),ISNUMBER(Table1[[#This Row],[Gestation (days)]])),TRUE,FALSE)</f>
        <v>0</v>
      </c>
      <c r="E4562" s="2" t="str">
        <f>IF(Table1[[#This Row],[Is Data Valid]]=TRUE,IF(Table1[[#This Row],[Fetal Sex (Male, Female or Unknown)]]="Male",Backend!$C$6,IF(Table1[[#This Row],[Fetal Sex (Male, Female or Unknown)]]="Female",Backend!$C$7,IF(Table1[[#This Row],[Fetal Sex (Male, Female or Unknown)]]="Unknown",Backend!$C$8,"Error"))),"")</f>
        <v/>
      </c>
      <c r="F4562" s="8" t="str">
        <f>IF(Table1[[#This Row],[Is Data Valid]]=TRUE,EXP(0.578+0.332*((Table1[[#This Row],[Gestation (days)]]+0.5)/7)-0.00354*((Table1[[#This Row],[Gestation (days)]]+0.5)/7)^2)*Table1[[#This Row],[BW40_3705]],"")</f>
        <v/>
      </c>
      <c r="G4562" s="2" t="str">
        <f>IF(Table1[[#This Row],[Is Data Valid]]=TRUE,((Table1[[#This Row],[Birthweight (grams)]]/Table1[[#This Row],[BW_GA]])-1)/(Backend!$B$4/100*Table1[[#This Row],[BW40_3705]]),"")</f>
        <v/>
      </c>
      <c r="H4562" s="7" t="str">
        <f>IF(Table1[[#This Row],[Is Data Valid]]=TRUE,((Table1[[#This Row],[Birthweight (grams)]]*0.9/Table1[[#This Row],[BW_GA]])-1)/(Backend!$B$4/100*Table1[[#This Row],[BW40_3705]]),"")</f>
        <v/>
      </c>
      <c r="I4562" s="7" t="str">
        <f>IF(Table1[[#This Row],[Is Data Valid]]=TRUE,((Table1[[#This Row],[Birthweight (grams)]]*1.1/Table1[[#This Row],[BW_GA]])-1)/(Backend!$B$4/100*Table1[[#This Row],[BW40_3705]]),"")</f>
        <v/>
      </c>
      <c r="J4562" s="7" t="str">
        <f>IF(Table1[[#This Row],[Is Data Valid]]=TRUE,_xlfn.NORM.S.DIST(Table1[[#This Row],[Birthweight Z-Score]],TRUE)*100,"")</f>
        <v/>
      </c>
      <c r="K4562" s="7" t="str">
        <f>IF(Table1[[#This Row],[Is Data Valid]]=TRUE,_xlfn.NORM.S.DIST(Table1[[#This Row],[Birthweight Z-Score (BW-10%)]],TRUE)*100,"")</f>
        <v/>
      </c>
      <c r="L4562" s="7" t="str">
        <f>IF(Table1[[#This Row],[Is Data Valid]]=TRUE,_xlfn.NORM.S.DIST(Table1[[#This Row],[Birthweight Z-Score (BW+10%)]],TRUE)*100,"")</f>
        <v/>
      </c>
    </row>
    <row r="4563" spans="1:12" x14ac:dyDescent="0.35">
      <c r="A4563" s="3"/>
      <c r="B4563" s="2"/>
      <c r="C4563" s="2"/>
      <c r="D4563" s="2" t="b">
        <f>IF(AND(NOT(ISBLANK(Table1[[#This Row],[Fetal Sex (Male, Female or Unknown)]])),ISNUMBER(Table1[[#This Row],[Birthweight (grams)]]),ISNUMBER(Table1[[#This Row],[Gestation (days)]])),TRUE,FALSE)</f>
        <v>0</v>
      </c>
      <c r="E4563" s="2" t="str">
        <f>IF(Table1[[#This Row],[Is Data Valid]]=TRUE,IF(Table1[[#This Row],[Fetal Sex (Male, Female or Unknown)]]="Male",Backend!$C$6,IF(Table1[[#This Row],[Fetal Sex (Male, Female or Unknown)]]="Female",Backend!$C$7,IF(Table1[[#This Row],[Fetal Sex (Male, Female or Unknown)]]="Unknown",Backend!$C$8,"Error"))),"")</f>
        <v/>
      </c>
      <c r="F4563" s="8" t="str">
        <f>IF(Table1[[#This Row],[Is Data Valid]]=TRUE,EXP(0.578+0.332*((Table1[[#This Row],[Gestation (days)]]+0.5)/7)-0.00354*((Table1[[#This Row],[Gestation (days)]]+0.5)/7)^2)*Table1[[#This Row],[BW40_3705]],"")</f>
        <v/>
      </c>
      <c r="G4563" s="2" t="str">
        <f>IF(Table1[[#This Row],[Is Data Valid]]=TRUE,((Table1[[#This Row],[Birthweight (grams)]]/Table1[[#This Row],[BW_GA]])-1)/(Backend!$B$4/100*Table1[[#This Row],[BW40_3705]]),"")</f>
        <v/>
      </c>
      <c r="H4563" s="7" t="str">
        <f>IF(Table1[[#This Row],[Is Data Valid]]=TRUE,((Table1[[#This Row],[Birthweight (grams)]]*0.9/Table1[[#This Row],[BW_GA]])-1)/(Backend!$B$4/100*Table1[[#This Row],[BW40_3705]]),"")</f>
        <v/>
      </c>
      <c r="I4563" s="7" t="str">
        <f>IF(Table1[[#This Row],[Is Data Valid]]=TRUE,((Table1[[#This Row],[Birthweight (grams)]]*1.1/Table1[[#This Row],[BW_GA]])-1)/(Backend!$B$4/100*Table1[[#This Row],[BW40_3705]]),"")</f>
        <v/>
      </c>
      <c r="J4563" s="7" t="str">
        <f>IF(Table1[[#This Row],[Is Data Valid]]=TRUE,_xlfn.NORM.S.DIST(Table1[[#This Row],[Birthweight Z-Score]],TRUE)*100,"")</f>
        <v/>
      </c>
      <c r="K4563" s="7" t="str">
        <f>IF(Table1[[#This Row],[Is Data Valid]]=TRUE,_xlfn.NORM.S.DIST(Table1[[#This Row],[Birthweight Z-Score (BW-10%)]],TRUE)*100,"")</f>
        <v/>
      </c>
      <c r="L4563" s="7" t="str">
        <f>IF(Table1[[#This Row],[Is Data Valid]]=TRUE,_xlfn.NORM.S.DIST(Table1[[#This Row],[Birthweight Z-Score (BW+10%)]],TRUE)*100,"")</f>
        <v/>
      </c>
    </row>
    <row r="4564" spans="1:12" x14ac:dyDescent="0.35">
      <c r="A4564" s="3"/>
      <c r="B4564" s="2"/>
      <c r="C4564" s="2"/>
      <c r="D4564" s="2" t="b">
        <f>IF(AND(NOT(ISBLANK(Table1[[#This Row],[Fetal Sex (Male, Female or Unknown)]])),ISNUMBER(Table1[[#This Row],[Birthweight (grams)]]),ISNUMBER(Table1[[#This Row],[Gestation (days)]])),TRUE,FALSE)</f>
        <v>0</v>
      </c>
      <c r="E4564" s="2" t="str">
        <f>IF(Table1[[#This Row],[Is Data Valid]]=TRUE,IF(Table1[[#This Row],[Fetal Sex (Male, Female or Unknown)]]="Male",Backend!$C$6,IF(Table1[[#This Row],[Fetal Sex (Male, Female or Unknown)]]="Female",Backend!$C$7,IF(Table1[[#This Row],[Fetal Sex (Male, Female or Unknown)]]="Unknown",Backend!$C$8,"Error"))),"")</f>
        <v/>
      </c>
      <c r="F4564" s="8" t="str">
        <f>IF(Table1[[#This Row],[Is Data Valid]]=TRUE,EXP(0.578+0.332*((Table1[[#This Row],[Gestation (days)]]+0.5)/7)-0.00354*((Table1[[#This Row],[Gestation (days)]]+0.5)/7)^2)*Table1[[#This Row],[BW40_3705]],"")</f>
        <v/>
      </c>
      <c r="G4564" s="2" t="str">
        <f>IF(Table1[[#This Row],[Is Data Valid]]=TRUE,((Table1[[#This Row],[Birthweight (grams)]]/Table1[[#This Row],[BW_GA]])-1)/(Backend!$B$4/100*Table1[[#This Row],[BW40_3705]]),"")</f>
        <v/>
      </c>
      <c r="H4564" s="7" t="str">
        <f>IF(Table1[[#This Row],[Is Data Valid]]=TRUE,((Table1[[#This Row],[Birthweight (grams)]]*0.9/Table1[[#This Row],[BW_GA]])-1)/(Backend!$B$4/100*Table1[[#This Row],[BW40_3705]]),"")</f>
        <v/>
      </c>
      <c r="I4564" s="7" t="str">
        <f>IF(Table1[[#This Row],[Is Data Valid]]=TRUE,((Table1[[#This Row],[Birthweight (grams)]]*1.1/Table1[[#This Row],[BW_GA]])-1)/(Backend!$B$4/100*Table1[[#This Row],[BW40_3705]]),"")</f>
        <v/>
      </c>
      <c r="J4564" s="7" t="str">
        <f>IF(Table1[[#This Row],[Is Data Valid]]=TRUE,_xlfn.NORM.S.DIST(Table1[[#This Row],[Birthweight Z-Score]],TRUE)*100,"")</f>
        <v/>
      </c>
      <c r="K4564" s="7" t="str">
        <f>IF(Table1[[#This Row],[Is Data Valid]]=TRUE,_xlfn.NORM.S.DIST(Table1[[#This Row],[Birthweight Z-Score (BW-10%)]],TRUE)*100,"")</f>
        <v/>
      </c>
      <c r="L4564" s="7" t="str">
        <f>IF(Table1[[#This Row],[Is Data Valid]]=TRUE,_xlfn.NORM.S.DIST(Table1[[#This Row],[Birthweight Z-Score (BW+10%)]],TRUE)*100,"")</f>
        <v/>
      </c>
    </row>
    <row r="4565" spans="1:12" x14ac:dyDescent="0.35">
      <c r="A4565" s="3"/>
      <c r="B4565" s="2"/>
      <c r="C4565" s="2"/>
      <c r="D4565" s="2" t="b">
        <f>IF(AND(NOT(ISBLANK(Table1[[#This Row],[Fetal Sex (Male, Female or Unknown)]])),ISNUMBER(Table1[[#This Row],[Birthweight (grams)]]),ISNUMBER(Table1[[#This Row],[Gestation (days)]])),TRUE,FALSE)</f>
        <v>0</v>
      </c>
      <c r="E4565" s="2" t="str">
        <f>IF(Table1[[#This Row],[Is Data Valid]]=TRUE,IF(Table1[[#This Row],[Fetal Sex (Male, Female or Unknown)]]="Male",Backend!$C$6,IF(Table1[[#This Row],[Fetal Sex (Male, Female or Unknown)]]="Female",Backend!$C$7,IF(Table1[[#This Row],[Fetal Sex (Male, Female or Unknown)]]="Unknown",Backend!$C$8,"Error"))),"")</f>
        <v/>
      </c>
      <c r="F4565" s="8" t="str">
        <f>IF(Table1[[#This Row],[Is Data Valid]]=TRUE,EXP(0.578+0.332*((Table1[[#This Row],[Gestation (days)]]+0.5)/7)-0.00354*((Table1[[#This Row],[Gestation (days)]]+0.5)/7)^2)*Table1[[#This Row],[BW40_3705]],"")</f>
        <v/>
      </c>
      <c r="G4565" s="2" t="str">
        <f>IF(Table1[[#This Row],[Is Data Valid]]=TRUE,((Table1[[#This Row],[Birthweight (grams)]]/Table1[[#This Row],[BW_GA]])-1)/(Backend!$B$4/100*Table1[[#This Row],[BW40_3705]]),"")</f>
        <v/>
      </c>
      <c r="H4565" s="7" t="str">
        <f>IF(Table1[[#This Row],[Is Data Valid]]=TRUE,((Table1[[#This Row],[Birthweight (grams)]]*0.9/Table1[[#This Row],[BW_GA]])-1)/(Backend!$B$4/100*Table1[[#This Row],[BW40_3705]]),"")</f>
        <v/>
      </c>
      <c r="I4565" s="7" t="str">
        <f>IF(Table1[[#This Row],[Is Data Valid]]=TRUE,((Table1[[#This Row],[Birthweight (grams)]]*1.1/Table1[[#This Row],[BW_GA]])-1)/(Backend!$B$4/100*Table1[[#This Row],[BW40_3705]]),"")</f>
        <v/>
      </c>
      <c r="J4565" s="7" t="str">
        <f>IF(Table1[[#This Row],[Is Data Valid]]=TRUE,_xlfn.NORM.S.DIST(Table1[[#This Row],[Birthweight Z-Score]],TRUE)*100,"")</f>
        <v/>
      </c>
      <c r="K4565" s="7" t="str">
        <f>IF(Table1[[#This Row],[Is Data Valid]]=TRUE,_xlfn.NORM.S.DIST(Table1[[#This Row],[Birthweight Z-Score (BW-10%)]],TRUE)*100,"")</f>
        <v/>
      </c>
      <c r="L4565" s="7" t="str">
        <f>IF(Table1[[#This Row],[Is Data Valid]]=TRUE,_xlfn.NORM.S.DIST(Table1[[#This Row],[Birthweight Z-Score (BW+10%)]],TRUE)*100,"")</f>
        <v/>
      </c>
    </row>
    <row r="4566" spans="1:12" x14ac:dyDescent="0.35">
      <c r="A4566" s="3"/>
      <c r="B4566" s="2"/>
      <c r="C4566" s="2"/>
      <c r="D4566" s="2" t="b">
        <f>IF(AND(NOT(ISBLANK(Table1[[#This Row],[Fetal Sex (Male, Female or Unknown)]])),ISNUMBER(Table1[[#This Row],[Birthweight (grams)]]),ISNUMBER(Table1[[#This Row],[Gestation (days)]])),TRUE,FALSE)</f>
        <v>0</v>
      </c>
      <c r="E4566" s="2" t="str">
        <f>IF(Table1[[#This Row],[Is Data Valid]]=TRUE,IF(Table1[[#This Row],[Fetal Sex (Male, Female or Unknown)]]="Male",Backend!$C$6,IF(Table1[[#This Row],[Fetal Sex (Male, Female or Unknown)]]="Female",Backend!$C$7,IF(Table1[[#This Row],[Fetal Sex (Male, Female or Unknown)]]="Unknown",Backend!$C$8,"Error"))),"")</f>
        <v/>
      </c>
      <c r="F4566" s="8" t="str">
        <f>IF(Table1[[#This Row],[Is Data Valid]]=TRUE,EXP(0.578+0.332*((Table1[[#This Row],[Gestation (days)]]+0.5)/7)-0.00354*((Table1[[#This Row],[Gestation (days)]]+0.5)/7)^2)*Table1[[#This Row],[BW40_3705]],"")</f>
        <v/>
      </c>
      <c r="G4566" s="2" t="str">
        <f>IF(Table1[[#This Row],[Is Data Valid]]=TRUE,((Table1[[#This Row],[Birthweight (grams)]]/Table1[[#This Row],[BW_GA]])-1)/(Backend!$B$4/100*Table1[[#This Row],[BW40_3705]]),"")</f>
        <v/>
      </c>
      <c r="H4566" s="7" t="str">
        <f>IF(Table1[[#This Row],[Is Data Valid]]=TRUE,((Table1[[#This Row],[Birthweight (grams)]]*0.9/Table1[[#This Row],[BW_GA]])-1)/(Backend!$B$4/100*Table1[[#This Row],[BW40_3705]]),"")</f>
        <v/>
      </c>
      <c r="I4566" s="7" t="str">
        <f>IF(Table1[[#This Row],[Is Data Valid]]=TRUE,((Table1[[#This Row],[Birthweight (grams)]]*1.1/Table1[[#This Row],[BW_GA]])-1)/(Backend!$B$4/100*Table1[[#This Row],[BW40_3705]]),"")</f>
        <v/>
      </c>
      <c r="J4566" s="7" t="str">
        <f>IF(Table1[[#This Row],[Is Data Valid]]=TRUE,_xlfn.NORM.S.DIST(Table1[[#This Row],[Birthweight Z-Score]],TRUE)*100,"")</f>
        <v/>
      </c>
      <c r="K4566" s="7" t="str">
        <f>IF(Table1[[#This Row],[Is Data Valid]]=TRUE,_xlfn.NORM.S.DIST(Table1[[#This Row],[Birthweight Z-Score (BW-10%)]],TRUE)*100,"")</f>
        <v/>
      </c>
      <c r="L4566" s="7" t="str">
        <f>IF(Table1[[#This Row],[Is Data Valid]]=TRUE,_xlfn.NORM.S.DIST(Table1[[#This Row],[Birthweight Z-Score (BW+10%)]],TRUE)*100,"")</f>
        <v/>
      </c>
    </row>
    <row r="4567" spans="1:12" x14ac:dyDescent="0.35">
      <c r="A4567" s="3"/>
      <c r="B4567" s="2"/>
      <c r="C4567" s="2"/>
      <c r="D4567" s="2" t="b">
        <f>IF(AND(NOT(ISBLANK(Table1[[#This Row],[Fetal Sex (Male, Female or Unknown)]])),ISNUMBER(Table1[[#This Row],[Birthweight (grams)]]),ISNUMBER(Table1[[#This Row],[Gestation (days)]])),TRUE,FALSE)</f>
        <v>0</v>
      </c>
      <c r="E4567" s="2" t="str">
        <f>IF(Table1[[#This Row],[Is Data Valid]]=TRUE,IF(Table1[[#This Row],[Fetal Sex (Male, Female or Unknown)]]="Male",Backend!$C$6,IF(Table1[[#This Row],[Fetal Sex (Male, Female or Unknown)]]="Female",Backend!$C$7,IF(Table1[[#This Row],[Fetal Sex (Male, Female or Unknown)]]="Unknown",Backend!$C$8,"Error"))),"")</f>
        <v/>
      </c>
      <c r="F4567" s="8" t="str">
        <f>IF(Table1[[#This Row],[Is Data Valid]]=TRUE,EXP(0.578+0.332*((Table1[[#This Row],[Gestation (days)]]+0.5)/7)-0.00354*((Table1[[#This Row],[Gestation (days)]]+0.5)/7)^2)*Table1[[#This Row],[BW40_3705]],"")</f>
        <v/>
      </c>
      <c r="G4567" s="2" t="str">
        <f>IF(Table1[[#This Row],[Is Data Valid]]=TRUE,((Table1[[#This Row],[Birthweight (grams)]]/Table1[[#This Row],[BW_GA]])-1)/(Backend!$B$4/100*Table1[[#This Row],[BW40_3705]]),"")</f>
        <v/>
      </c>
      <c r="H4567" s="7" t="str">
        <f>IF(Table1[[#This Row],[Is Data Valid]]=TRUE,((Table1[[#This Row],[Birthweight (grams)]]*0.9/Table1[[#This Row],[BW_GA]])-1)/(Backend!$B$4/100*Table1[[#This Row],[BW40_3705]]),"")</f>
        <v/>
      </c>
      <c r="I4567" s="7" t="str">
        <f>IF(Table1[[#This Row],[Is Data Valid]]=TRUE,((Table1[[#This Row],[Birthweight (grams)]]*1.1/Table1[[#This Row],[BW_GA]])-1)/(Backend!$B$4/100*Table1[[#This Row],[BW40_3705]]),"")</f>
        <v/>
      </c>
      <c r="J4567" s="7" t="str">
        <f>IF(Table1[[#This Row],[Is Data Valid]]=TRUE,_xlfn.NORM.S.DIST(Table1[[#This Row],[Birthweight Z-Score]],TRUE)*100,"")</f>
        <v/>
      </c>
      <c r="K4567" s="7" t="str">
        <f>IF(Table1[[#This Row],[Is Data Valid]]=TRUE,_xlfn.NORM.S.DIST(Table1[[#This Row],[Birthweight Z-Score (BW-10%)]],TRUE)*100,"")</f>
        <v/>
      </c>
      <c r="L4567" s="7" t="str">
        <f>IF(Table1[[#This Row],[Is Data Valid]]=TRUE,_xlfn.NORM.S.DIST(Table1[[#This Row],[Birthweight Z-Score (BW+10%)]],TRUE)*100,"")</f>
        <v/>
      </c>
    </row>
    <row r="4568" spans="1:12" x14ac:dyDescent="0.35">
      <c r="A4568" s="3"/>
      <c r="B4568" s="2"/>
      <c r="C4568" s="2"/>
      <c r="D4568" s="2" t="b">
        <f>IF(AND(NOT(ISBLANK(Table1[[#This Row],[Fetal Sex (Male, Female or Unknown)]])),ISNUMBER(Table1[[#This Row],[Birthweight (grams)]]),ISNUMBER(Table1[[#This Row],[Gestation (days)]])),TRUE,FALSE)</f>
        <v>0</v>
      </c>
      <c r="E4568" s="2" t="str">
        <f>IF(Table1[[#This Row],[Is Data Valid]]=TRUE,IF(Table1[[#This Row],[Fetal Sex (Male, Female or Unknown)]]="Male",Backend!$C$6,IF(Table1[[#This Row],[Fetal Sex (Male, Female or Unknown)]]="Female",Backend!$C$7,IF(Table1[[#This Row],[Fetal Sex (Male, Female or Unknown)]]="Unknown",Backend!$C$8,"Error"))),"")</f>
        <v/>
      </c>
      <c r="F4568" s="8" t="str">
        <f>IF(Table1[[#This Row],[Is Data Valid]]=TRUE,EXP(0.578+0.332*((Table1[[#This Row],[Gestation (days)]]+0.5)/7)-0.00354*((Table1[[#This Row],[Gestation (days)]]+0.5)/7)^2)*Table1[[#This Row],[BW40_3705]],"")</f>
        <v/>
      </c>
      <c r="G4568" s="2" t="str">
        <f>IF(Table1[[#This Row],[Is Data Valid]]=TRUE,((Table1[[#This Row],[Birthweight (grams)]]/Table1[[#This Row],[BW_GA]])-1)/(Backend!$B$4/100*Table1[[#This Row],[BW40_3705]]),"")</f>
        <v/>
      </c>
      <c r="H4568" s="7" t="str">
        <f>IF(Table1[[#This Row],[Is Data Valid]]=TRUE,((Table1[[#This Row],[Birthweight (grams)]]*0.9/Table1[[#This Row],[BW_GA]])-1)/(Backend!$B$4/100*Table1[[#This Row],[BW40_3705]]),"")</f>
        <v/>
      </c>
      <c r="I4568" s="7" t="str">
        <f>IF(Table1[[#This Row],[Is Data Valid]]=TRUE,((Table1[[#This Row],[Birthweight (grams)]]*1.1/Table1[[#This Row],[BW_GA]])-1)/(Backend!$B$4/100*Table1[[#This Row],[BW40_3705]]),"")</f>
        <v/>
      </c>
      <c r="J4568" s="7" t="str">
        <f>IF(Table1[[#This Row],[Is Data Valid]]=TRUE,_xlfn.NORM.S.DIST(Table1[[#This Row],[Birthweight Z-Score]],TRUE)*100,"")</f>
        <v/>
      </c>
      <c r="K4568" s="7" t="str">
        <f>IF(Table1[[#This Row],[Is Data Valid]]=TRUE,_xlfn.NORM.S.DIST(Table1[[#This Row],[Birthweight Z-Score (BW-10%)]],TRUE)*100,"")</f>
        <v/>
      </c>
      <c r="L4568" s="7" t="str">
        <f>IF(Table1[[#This Row],[Is Data Valid]]=TRUE,_xlfn.NORM.S.DIST(Table1[[#This Row],[Birthweight Z-Score (BW+10%)]],TRUE)*100,"")</f>
        <v/>
      </c>
    </row>
    <row r="4569" spans="1:12" x14ac:dyDescent="0.35">
      <c r="A4569" s="3"/>
      <c r="B4569" s="2"/>
      <c r="C4569" s="2"/>
      <c r="D4569" s="2" t="b">
        <f>IF(AND(NOT(ISBLANK(Table1[[#This Row],[Fetal Sex (Male, Female or Unknown)]])),ISNUMBER(Table1[[#This Row],[Birthweight (grams)]]),ISNUMBER(Table1[[#This Row],[Gestation (days)]])),TRUE,FALSE)</f>
        <v>0</v>
      </c>
      <c r="E4569" s="2" t="str">
        <f>IF(Table1[[#This Row],[Is Data Valid]]=TRUE,IF(Table1[[#This Row],[Fetal Sex (Male, Female or Unknown)]]="Male",Backend!$C$6,IF(Table1[[#This Row],[Fetal Sex (Male, Female or Unknown)]]="Female",Backend!$C$7,IF(Table1[[#This Row],[Fetal Sex (Male, Female or Unknown)]]="Unknown",Backend!$C$8,"Error"))),"")</f>
        <v/>
      </c>
      <c r="F4569" s="8" t="str">
        <f>IF(Table1[[#This Row],[Is Data Valid]]=TRUE,EXP(0.578+0.332*((Table1[[#This Row],[Gestation (days)]]+0.5)/7)-0.00354*((Table1[[#This Row],[Gestation (days)]]+0.5)/7)^2)*Table1[[#This Row],[BW40_3705]],"")</f>
        <v/>
      </c>
      <c r="G4569" s="2" t="str">
        <f>IF(Table1[[#This Row],[Is Data Valid]]=TRUE,((Table1[[#This Row],[Birthweight (grams)]]/Table1[[#This Row],[BW_GA]])-1)/(Backend!$B$4/100*Table1[[#This Row],[BW40_3705]]),"")</f>
        <v/>
      </c>
      <c r="H4569" s="7" t="str">
        <f>IF(Table1[[#This Row],[Is Data Valid]]=TRUE,((Table1[[#This Row],[Birthweight (grams)]]*0.9/Table1[[#This Row],[BW_GA]])-1)/(Backend!$B$4/100*Table1[[#This Row],[BW40_3705]]),"")</f>
        <v/>
      </c>
      <c r="I4569" s="7" t="str">
        <f>IF(Table1[[#This Row],[Is Data Valid]]=TRUE,((Table1[[#This Row],[Birthweight (grams)]]*1.1/Table1[[#This Row],[BW_GA]])-1)/(Backend!$B$4/100*Table1[[#This Row],[BW40_3705]]),"")</f>
        <v/>
      </c>
      <c r="J4569" s="7" t="str">
        <f>IF(Table1[[#This Row],[Is Data Valid]]=TRUE,_xlfn.NORM.S.DIST(Table1[[#This Row],[Birthweight Z-Score]],TRUE)*100,"")</f>
        <v/>
      </c>
      <c r="K4569" s="7" t="str">
        <f>IF(Table1[[#This Row],[Is Data Valid]]=TRUE,_xlfn.NORM.S.DIST(Table1[[#This Row],[Birthweight Z-Score (BW-10%)]],TRUE)*100,"")</f>
        <v/>
      </c>
      <c r="L4569" s="7" t="str">
        <f>IF(Table1[[#This Row],[Is Data Valid]]=TRUE,_xlfn.NORM.S.DIST(Table1[[#This Row],[Birthweight Z-Score (BW+10%)]],TRUE)*100,"")</f>
        <v/>
      </c>
    </row>
    <row r="4570" spans="1:12" x14ac:dyDescent="0.35">
      <c r="A4570" s="3"/>
      <c r="B4570" s="2"/>
      <c r="C4570" s="2"/>
      <c r="D4570" s="2" t="b">
        <f>IF(AND(NOT(ISBLANK(Table1[[#This Row],[Fetal Sex (Male, Female or Unknown)]])),ISNUMBER(Table1[[#This Row],[Birthweight (grams)]]),ISNUMBER(Table1[[#This Row],[Gestation (days)]])),TRUE,FALSE)</f>
        <v>0</v>
      </c>
      <c r="E4570" s="2" t="str">
        <f>IF(Table1[[#This Row],[Is Data Valid]]=TRUE,IF(Table1[[#This Row],[Fetal Sex (Male, Female or Unknown)]]="Male",Backend!$C$6,IF(Table1[[#This Row],[Fetal Sex (Male, Female or Unknown)]]="Female",Backend!$C$7,IF(Table1[[#This Row],[Fetal Sex (Male, Female or Unknown)]]="Unknown",Backend!$C$8,"Error"))),"")</f>
        <v/>
      </c>
      <c r="F4570" s="8" t="str">
        <f>IF(Table1[[#This Row],[Is Data Valid]]=TRUE,EXP(0.578+0.332*((Table1[[#This Row],[Gestation (days)]]+0.5)/7)-0.00354*((Table1[[#This Row],[Gestation (days)]]+0.5)/7)^2)*Table1[[#This Row],[BW40_3705]],"")</f>
        <v/>
      </c>
      <c r="G4570" s="2" t="str">
        <f>IF(Table1[[#This Row],[Is Data Valid]]=TRUE,((Table1[[#This Row],[Birthweight (grams)]]/Table1[[#This Row],[BW_GA]])-1)/(Backend!$B$4/100*Table1[[#This Row],[BW40_3705]]),"")</f>
        <v/>
      </c>
      <c r="H4570" s="7" t="str">
        <f>IF(Table1[[#This Row],[Is Data Valid]]=TRUE,((Table1[[#This Row],[Birthweight (grams)]]*0.9/Table1[[#This Row],[BW_GA]])-1)/(Backend!$B$4/100*Table1[[#This Row],[BW40_3705]]),"")</f>
        <v/>
      </c>
      <c r="I4570" s="7" t="str">
        <f>IF(Table1[[#This Row],[Is Data Valid]]=TRUE,((Table1[[#This Row],[Birthweight (grams)]]*1.1/Table1[[#This Row],[BW_GA]])-1)/(Backend!$B$4/100*Table1[[#This Row],[BW40_3705]]),"")</f>
        <v/>
      </c>
      <c r="J4570" s="7" t="str">
        <f>IF(Table1[[#This Row],[Is Data Valid]]=TRUE,_xlfn.NORM.S.DIST(Table1[[#This Row],[Birthweight Z-Score]],TRUE)*100,"")</f>
        <v/>
      </c>
      <c r="K4570" s="7" t="str">
        <f>IF(Table1[[#This Row],[Is Data Valid]]=TRUE,_xlfn.NORM.S.DIST(Table1[[#This Row],[Birthweight Z-Score (BW-10%)]],TRUE)*100,"")</f>
        <v/>
      </c>
      <c r="L4570" s="7" t="str">
        <f>IF(Table1[[#This Row],[Is Data Valid]]=TRUE,_xlfn.NORM.S.DIST(Table1[[#This Row],[Birthweight Z-Score (BW+10%)]],TRUE)*100,"")</f>
        <v/>
      </c>
    </row>
    <row r="4571" spans="1:12" x14ac:dyDescent="0.35">
      <c r="A4571" s="3"/>
      <c r="B4571" s="2"/>
      <c r="C4571" s="2"/>
      <c r="D4571" s="2" t="b">
        <f>IF(AND(NOT(ISBLANK(Table1[[#This Row],[Fetal Sex (Male, Female or Unknown)]])),ISNUMBER(Table1[[#This Row],[Birthweight (grams)]]),ISNUMBER(Table1[[#This Row],[Gestation (days)]])),TRUE,FALSE)</f>
        <v>0</v>
      </c>
      <c r="E4571" s="2" t="str">
        <f>IF(Table1[[#This Row],[Is Data Valid]]=TRUE,IF(Table1[[#This Row],[Fetal Sex (Male, Female or Unknown)]]="Male",Backend!$C$6,IF(Table1[[#This Row],[Fetal Sex (Male, Female or Unknown)]]="Female",Backend!$C$7,IF(Table1[[#This Row],[Fetal Sex (Male, Female or Unknown)]]="Unknown",Backend!$C$8,"Error"))),"")</f>
        <v/>
      </c>
      <c r="F4571" s="8" t="str">
        <f>IF(Table1[[#This Row],[Is Data Valid]]=TRUE,EXP(0.578+0.332*((Table1[[#This Row],[Gestation (days)]]+0.5)/7)-0.00354*((Table1[[#This Row],[Gestation (days)]]+0.5)/7)^2)*Table1[[#This Row],[BW40_3705]],"")</f>
        <v/>
      </c>
      <c r="G4571" s="2" t="str">
        <f>IF(Table1[[#This Row],[Is Data Valid]]=TRUE,((Table1[[#This Row],[Birthweight (grams)]]/Table1[[#This Row],[BW_GA]])-1)/(Backend!$B$4/100*Table1[[#This Row],[BW40_3705]]),"")</f>
        <v/>
      </c>
      <c r="H4571" s="7" t="str">
        <f>IF(Table1[[#This Row],[Is Data Valid]]=TRUE,((Table1[[#This Row],[Birthweight (grams)]]*0.9/Table1[[#This Row],[BW_GA]])-1)/(Backend!$B$4/100*Table1[[#This Row],[BW40_3705]]),"")</f>
        <v/>
      </c>
      <c r="I4571" s="7" t="str">
        <f>IF(Table1[[#This Row],[Is Data Valid]]=TRUE,((Table1[[#This Row],[Birthweight (grams)]]*1.1/Table1[[#This Row],[BW_GA]])-1)/(Backend!$B$4/100*Table1[[#This Row],[BW40_3705]]),"")</f>
        <v/>
      </c>
      <c r="J4571" s="7" t="str">
        <f>IF(Table1[[#This Row],[Is Data Valid]]=TRUE,_xlfn.NORM.S.DIST(Table1[[#This Row],[Birthweight Z-Score]],TRUE)*100,"")</f>
        <v/>
      </c>
      <c r="K4571" s="7" t="str">
        <f>IF(Table1[[#This Row],[Is Data Valid]]=TRUE,_xlfn.NORM.S.DIST(Table1[[#This Row],[Birthweight Z-Score (BW-10%)]],TRUE)*100,"")</f>
        <v/>
      </c>
      <c r="L4571" s="7" t="str">
        <f>IF(Table1[[#This Row],[Is Data Valid]]=TRUE,_xlfn.NORM.S.DIST(Table1[[#This Row],[Birthweight Z-Score (BW+10%)]],TRUE)*100,"")</f>
        <v/>
      </c>
    </row>
    <row r="4572" spans="1:12" x14ac:dyDescent="0.35">
      <c r="A4572" s="3"/>
      <c r="B4572" s="2"/>
      <c r="C4572" s="2"/>
      <c r="D4572" s="2" t="b">
        <f>IF(AND(NOT(ISBLANK(Table1[[#This Row],[Fetal Sex (Male, Female or Unknown)]])),ISNUMBER(Table1[[#This Row],[Birthweight (grams)]]),ISNUMBER(Table1[[#This Row],[Gestation (days)]])),TRUE,FALSE)</f>
        <v>0</v>
      </c>
      <c r="E4572" s="2" t="str">
        <f>IF(Table1[[#This Row],[Is Data Valid]]=TRUE,IF(Table1[[#This Row],[Fetal Sex (Male, Female or Unknown)]]="Male",Backend!$C$6,IF(Table1[[#This Row],[Fetal Sex (Male, Female or Unknown)]]="Female",Backend!$C$7,IF(Table1[[#This Row],[Fetal Sex (Male, Female or Unknown)]]="Unknown",Backend!$C$8,"Error"))),"")</f>
        <v/>
      </c>
      <c r="F4572" s="8" t="str">
        <f>IF(Table1[[#This Row],[Is Data Valid]]=TRUE,EXP(0.578+0.332*((Table1[[#This Row],[Gestation (days)]]+0.5)/7)-0.00354*((Table1[[#This Row],[Gestation (days)]]+0.5)/7)^2)*Table1[[#This Row],[BW40_3705]],"")</f>
        <v/>
      </c>
      <c r="G4572" s="2" t="str">
        <f>IF(Table1[[#This Row],[Is Data Valid]]=TRUE,((Table1[[#This Row],[Birthweight (grams)]]/Table1[[#This Row],[BW_GA]])-1)/(Backend!$B$4/100*Table1[[#This Row],[BW40_3705]]),"")</f>
        <v/>
      </c>
      <c r="H4572" s="7" t="str">
        <f>IF(Table1[[#This Row],[Is Data Valid]]=TRUE,((Table1[[#This Row],[Birthweight (grams)]]*0.9/Table1[[#This Row],[BW_GA]])-1)/(Backend!$B$4/100*Table1[[#This Row],[BW40_3705]]),"")</f>
        <v/>
      </c>
      <c r="I4572" s="7" t="str">
        <f>IF(Table1[[#This Row],[Is Data Valid]]=TRUE,((Table1[[#This Row],[Birthweight (grams)]]*1.1/Table1[[#This Row],[BW_GA]])-1)/(Backend!$B$4/100*Table1[[#This Row],[BW40_3705]]),"")</f>
        <v/>
      </c>
      <c r="J4572" s="7" t="str">
        <f>IF(Table1[[#This Row],[Is Data Valid]]=TRUE,_xlfn.NORM.S.DIST(Table1[[#This Row],[Birthweight Z-Score]],TRUE)*100,"")</f>
        <v/>
      </c>
      <c r="K4572" s="7" t="str">
        <f>IF(Table1[[#This Row],[Is Data Valid]]=TRUE,_xlfn.NORM.S.DIST(Table1[[#This Row],[Birthweight Z-Score (BW-10%)]],TRUE)*100,"")</f>
        <v/>
      </c>
      <c r="L4572" s="7" t="str">
        <f>IF(Table1[[#This Row],[Is Data Valid]]=TRUE,_xlfn.NORM.S.DIST(Table1[[#This Row],[Birthweight Z-Score (BW+10%)]],TRUE)*100,"")</f>
        <v/>
      </c>
    </row>
    <row r="4573" spans="1:12" x14ac:dyDescent="0.35">
      <c r="A4573" s="3"/>
      <c r="B4573" s="2"/>
      <c r="C4573" s="2"/>
      <c r="D4573" s="2" t="b">
        <f>IF(AND(NOT(ISBLANK(Table1[[#This Row],[Fetal Sex (Male, Female or Unknown)]])),ISNUMBER(Table1[[#This Row],[Birthweight (grams)]]),ISNUMBER(Table1[[#This Row],[Gestation (days)]])),TRUE,FALSE)</f>
        <v>0</v>
      </c>
      <c r="E4573" s="2" t="str">
        <f>IF(Table1[[#This Row],[Is Data Valid]]=TRUE,IF(Table1[[#This Row],[Fetal Sex (Male, Female or Unknown)]]="Male",Backend!$C$6,IF(Table1[[#This Row],[Fetal Sex (Male, Female or Unknown)]]="Female",Backend!$C$7,IF(Table1[[#This Row],[Fetal Sex (Male, Female or Unknown)]]="Unknown",Backend!$C$8,"Error"))),"")</f>
        <v/>
      </c>
      <c r="F4573" s="8" t="str">
        <f>IF(Table1[[#This Row],[Is Data Valid]]=TRUE,EXP(0.578+0.332*((Table1[[#This Row],[Gestation (days)]]+0.5)/7)-0.00354*((Table1[[#This Row],[Gestation (days)]]+0.5)/7)^2)*Table1[[#This Row],[BW40_3705]],"")</f>
        <v/>
      </c>
      <c r="G4573" s="2" t="str">
        <f>IF(Table1[[#This Row],[Is Data Valid]]=TRUE,((Table1[[#This Row],[Birthweight (grams)]]/Table1[[#This Row],[BW_GA]])-1)/(Backend!$B$4/100*Table1[[#This Row],[BW40_3705]]),"")</f>
        <v/>
      </c>
      <c r="H4573" s="7" t="str">
        <f>IF(Table1[[#This Row],[Is Data Valid]]=TRUE,((Table1[[#This Row],[Birthweight (grams)]]*0.9/Table1[[#This Row],[BW_GA]])-1)/(Backend!$B$4/100*Table1[[#This Row],[BW40_3705]]),"")</f>
        <v/>
      </c>
      <c r="I4573" s="7" t="str">
        <f>IF(Table1[[#This Row],[Is Data Valid]]=TRUE,((Table1[[#This Row],[Birthweight (grams)]]*1.1/Table1[[#This Row],[BW_GA]])-1)/(Backend!$B$4/100*Table1[[#This Row],[BW40_3705]]),"")</f>
        <v/>
      </c>
      <c r="J4573" s="7" t="str">
        <f>IF(Table1[[#This Row],[Is Data Valid]]=TRUE,_xlfn.NORM.S.DIST(Table1[[#This Row],[Birthweight Z-Score]],TRUE)*100,"")</f>
        <v/>
      </c>
      <c r="K4573" s="7" t="str">
        <f>IF(Table1[[#This Row],[Is Data Valid]]=TRUE,_xlfn.NORM.S.DIST(Table1[[#This Row],[Birthweight Z-Score (BW-10%)]],TRUE)*100,"")</f>
        <v/>
      </c>
      <c r="L4573" s="7" t="str">
        <f>IF(Table1[[#This Row],[Is Data Valid]]=TRUE,_xlfn.NORM.S.DIST(Table1[[#This Row],[Birthweight Z-Score (BW+10%)]],TRUE)*100,"")</f>
        <v/>
      </c>
    </row>
    <row r="4574" spans="1:12" x14ac:dyDescent="0.35">
      <c r="A4574" s="3"/>
      <c r="B4574" s="2"/>
      <c r="C4574" s="2"/>
      <c r="D4574" s="2" t="b">
        <f>IF(AND(NOT(ISBLANK(Table1[[#This Row],[Fetal Sex (Male, Female or Unknown)]])),ISNUMBER(Table1[[#This Row],[Birthweight (grams)]]),ISNUMBER(Table1[[#This Row],[Gestation (days)]])),TRUE,FALSE)</f>
        <v>0</v>
      </c>
      <c r="E4574" s="2" t="str">
        <f>IF(Table1[[#This Row],[Is Data Valid]]=TRUE,IF(Table1[[#This Row],[Fetal Sex (Male, Female or Unknown)]]="Male",Backend!$C$6,IF(Table1[[#This Row],[Fetal Sex (Male, Female or Unknown)]]="Female",Backend!$C$7,IF(Table1[[#This Row],[Fetal Sex (Male, Female or Unknown)]]="Unknown",Backend!$C$8,"Error"))),"")</f>
        <v/>
      </c>
      <c r="F4574" s="8" t="str">
        <f>IF(Table1[[#This Row],[Is Data Valid]]=TRUE,EXP(0.578+0.332*((Table1[[#This Row],[Gestation (days)]]+0.5)/7)-0.00354*((Table1[[#This Row],[Gestation (days)]]+0.5)/7)^2)*Table1[[#This Row],[BW40_3705]],"")</f>
        <v/>
      </c>
      <c r="G4574" s="2" t="str">
        <f>IF(Table1[[#This Row],[Is Data Valid]]=TRUE,((Table1[[#This Row],[Birthweight (grams)]]/Table1[[#This Row],[BW_GA]])-1)/(Backend!$B$4/100*Table1[[#This Row],[BW40_3705]]),"")</f>
        <v/>
      </c>
      <c r="H4574" s="7" t="str">
        <f>IF(Table1[[#This Row],[Is Data Valid]]=TRUE,((Table1[[#This Row],[Birthweight (grams)]]*0.9/Table1[[#This Row],[BW_GA]])-1)/(Backend!$B$4/100*Table1[[#This Row],[BW40_3705]]),"")</f>
        <v/>
      </c>
      <c r="I4574" s="7" t="str">
        <f>IF(Table1[[#This Row],[Is Data Valid]]=TRUE,((Table1[[#This Row],[Birthweight (grams)]]*1.1/Table1[[#This Row],[BW_GA]])-1)/(Backend!$B$4/100*Table1[[#This Row],[BW40_3705]]),"")</f>
        <v/>
      </c>
      <c r="J4574" s="7" t="str">
        <f>IF(Table1[[#This Row],[Is Data Valid]]=TRUE,_xlfn.NORM.S.DIST(Table1[[#This Row],[Birthweight Z-Score]],TRUE)*100,"")</f>
        <v/>
      </c>
      <c r="K4574" s="7" t="str">
        <f>IF(Table1[[#This Row],[Is Data Valid]]=TRUE,_xlfn.NORM.S.DIST(Table1[[#This Row],[Birthweight Z-Score (BW-10%)]],TRUE)*100,"")</f>
        <v/>
      </c>
      <c r="L4574" s="7" t="str">
        <f>IF(Table1[[#This Row],[Is Data Valid]]=TRUE,_xlfn.NORM.S.DIST(Table1[[#This Row],[Birthweight Z-Score (BW+10%)]],TRUE)*100,"")</f>
        <v/>
      </c>
    </row>
    <row r="4575" spans="1:12" x14ac:dyDescent="0.35">
      <c r="A4575" s="3"/>
      <c r="B4575" s="2"/>
      <c r="C4575" s="2"/>
      <c r="D4575" s="2" t="b">
        <f>IF(AND(NOT(ISBLANK(Table1[[#This Row],[Fetal Sex (Male, Female or Unknown)]])),ISNUMBER(Table1[[#This Row],[Birthweight (grams)]]),ISNUMBER(Table1[[#This Row],[Gestation (days)]])),TRUE,FALSE)</f>
        <v>0</v>
      </c>
      <c r="E4575" s="2" t="str">
        <f>IF(Table1[[#This Row],[Is Data Valid]]=TRUE,IF(Table1[[#This Row],[Fetal Sex (Male, Female or Unknown)]]="Male",Backend!$C$6,IF(Table1[[#This Row],[Fetal Sex (Male, Female or Unknown)]]="Female",Backend!$C$7,IF(Table1[[#This Row],[Fetal Sex (Male, Female or Unknown)]]="Unknown",Backend!$C$8,"Error"))),"")</f>
        <v/>
      </c>
      <c r="F4575" s="8" t="str">
        <f>IF(Table1[[#This Row],[Is Data Valid]]=TRUE,EXP(0.578+0.332*((Table1[[#This Row],[Gestation (days)]]+0.5)/7)-0.00354*((Table1[[#This Row],[Gestation (days)]]+0.5)/7)^2)*Table1[[#This Row],[BW40_3705]],"")</f>
        <v/>
      </c>
      <c r="G4575" s="2" t="str">
        <f>IF(Table1[[#This Row],[Is Data Valid]]=TRUE,((Table1[[#This Row],[Birthweight (grams)]]/Table1[[#This Row],[BW_GA]])-1)/(Backend!$B$4/100*Table1[[#This Row],[BW40_3705]]),"")</f>
        <v/>
      </c>
      <c r="H4575" s="7" t="str">
        <f>IF(Table1[[#This Row],[Is Data Valid]]=TRUE,((Table1[[#This Row],[Birthweight (grams)]]*0.9/Table1[[#This Row],[BW_GA]])-1)/(Backend!$B$4/100*Table1[[#This Row],[BW40_3705]]),"")</f>
        <v/>
      </c>
      <c r="I4575" s="7" t="str">
        <f>IF(Table1[[#This Row],[Is Data Valid]]=TRUE,((Table1[[#This Row],[Birthweight (grams)]]*1.1/Table1[[#This Row],[BW_GA]])-1)/(Backend!$B$4/100*Table1[[#This Row],[BW40_3705]]),"")</f>
        <v/>
      </c>
      <c r="J4575" s="7" t="str">
        <f>IF(Table1[[#This Row],[Is Data Valid]]=TRUE,_xlfn.NORM.S.DIST(Table1[[#This Row],[Birthweight Z-Score]],TRUE)*100,"")</f>
        <v/>
      </c>
      <c r="K4575" s="7" t="str">
        <f>IF(Table1[[#This Row],[Is Data Valid]]=TRUE,_xlfn.NORM.S.DIST(Table1[[#This Row],[Birthweight Z-Score (BW-10%)]],TRUE)*100,"")</f>
        <v/>
      </c>
      <c r="L4575" s="7" t="str">
        <f>IF(Table1[[#This Row],[Is Data Valid]]=TRUE,_xlfn.NORM.S.DIST(Table1[[#This Row],[Birthweight Z-Score (BW+10%)]],TRUE)*100,"")</f>
        <v/>
      </c>
    </row>
    <row r="4576" spans="1:12" x14ac:dyDescent="0.35">
      <c r="A4576" s="3"/>
      <c r="B4576" s="2"/>
      <c r="C4576" s="2"/>
      <c r="D4576" s="2" t="b">
        <f>IF(AND(NOT(ISBLANK(Table1[[#This Row],[Fetal Sex (Male, Female or Unknown)]])),ISNUMBER(Table1[[#This Row],[Birthweight (grams)]]),ISNUMBER(Table1[[#This Row],[Gestation (days)]])),TRUE,FALSE)</f>
        <v>0</v>
      </c>
      <c r="E4576" s="2" t="str">
        <f>IF(Table1[[#This Row],[Is Data Valid]]=TRUE,IF(Table1[[#This Row],[Fetal Sex (Male, Female or Unknown)]]="Male",Backend!$C$6,IF(Table1[[#This Row],[Fetal Sex (Male, Female or Unknown)]]="Female",Backend!$C$7,IF(Table1[[#This Row],[Fetal Sex (Male, Female or Unknown)]]="Unknown",Backend!$C$8,"Error"))),"")</f>
        <v/>
      </c>
      <c r="F4576" s="8" t="str">
        <f>IF(Table1[[#This Row],[Is Data Valid]]=TRUE,EXP(0.578+0.332*((Table1[[#This Row],[Gestation (days)]]+0.5)/7)-0.00354*((Table1[[#This Row],[Gestation (days)]]+0.5)/7)^2)*Table1[[#This Row],[BW40_3705]],"")</f>
        <v/>
      </c>
      <c r="G4576" s="2" t="str">
        <f>IF(Table1[[#This Row],[Is Data Valid]]=TRUE,((Table1[[#This Row],[Birthweight (grams)]]/Table1[[#This Row],[BW_GA]])-1)/(Backend!$B$4/100*Table1[[#This Row],[BW40_3705]]),"")</f>
        <v/>
      </c>
      <c r="H4576" s="7" t="str">
        <f>IF(Table1[[#This Row],[Is Data Valid]]=TRUE,((Table1[[#This Row],[Birthweight (grams)]]*0.9/Table1[[#This Row],[BW_GA]])-1)/(Backend!$B$4/100*Table1[[#This Row],[BW40_3705]]),"")</f>
        <v/>
      </c>
      <c r="I4576" s="7" t="str">
        <f>IF(Table1[[#This Row],[Is Data Valid]]=TRUE,((Table1[[#This Row],[Birthweight (grams)]]*1.1/Table1[[#This Row],[BW_GA]])-1)/(Backend!$B$4/100*Table1[[#This Row],[BW40_3705]]),"")</f>
        <v/>
      </c>
      <c r="J4576" s="7" t="str">
        <f>IF(Table1[[#This Row],[Is Data Valid]]=TRUE,_xlfn.NORM.S.DIST(Table1[[#This Row],[Birthweight Z-Score]],TRUE)*100,"")</f>
        <v/>
      </c>
      <c r="K4576" s="7" t="str">
        <f>IF(Table1[[#This Row],[Is Data Valid]]=TRUE,_xlfn.NORM.S.DIST(Table1[[#This Row],[Birthweight Z-Score (BW-10%)]],TRUE)*100,"")</f>
        <v/>
      </c>
      <c r="L4576" s="7" t="str">
        <f>IF(Table1[[#This Row],[Is Data Valid]]=TRUE,_xlfn.NORM.S.DIST(Table1[[#This Row],[Birthweight Z-Score (BW+10%)]],TRUE)*100,"")</f>
        <v/>
      </c>
    </row>
    <row r="4577" spans="1:12" x14ac:dyDescent="0.35">
      <c r="A4577" s="3"/>
      <c r="B4577" s="2"/>
      <c r="C4577" s="2"/>
      <c r="D4577" s="2" t="b">
        <f>IF(AND(NOT(ISBLANK(Table1[[#This Row],[Fetal Sex (Male, Female or Unknown)]])),ISNUMBER(Table1[[#This Row],[Birthweight (grams)]]),ISNUMBER(Table1[[#This Row],[Gestation (days)]])),TRUE,FALSE)</f>
        <v>0</v>
      </c>
      <c r="E4577" s="2" t="str">
        <f>IF(Table1[[#This Row],[Is Data Valid]]=TRUE,IF(Table1[[#This Row],[Fetal Sex (Male, Female or Unknown)]]="Male",Backend!$C$6,IF(Table1[[#This Row],[Fetal Sex (Male, Female or Unknown)]]="Female",Backend!$C$7,IF(Table1[[#This Row],[Fetal Sex (Male, Female or Unknown)]]="Unknown",Backend!$C$8,"Error"))),"")</f>
        <v/>
      </c>
      <c r="F4577" s="8" t="str">
        <f>IF(Table1[[#This Row],[Is Data Valid]]=TRUE,EXP(0.578+0.332*((Table1[[#This Row],[Gestation (days)]]+0.5)/7)-0.00354*((Table1[[#This Row],[Gestation (days)]]+0.5)/7)^2)*Table1[[#This Row],[BW40_3705]],"")</f>
        <v/>
      </c>
      <c r="G4577" s="2" t="str">
        <f>IF(Table1[[#This Row],[Is Data Valid]]=TRUE,((Table1[[#This Row],[Birthweight (grams)]]/Table1[[#This Row],[BW_GA]])-1)/(Backend!$B$4/100*Table1[[#This Row],[BW40_3705]]),"")</f>
        <v/>
      </c>
      <c r="H4577" s="7" t="str">
        <f>IF(Table1[[#This Row],[Is Data Valid]]=TRUE,((Table1[[#This Row],[Birthweight (grams)]]*0.9/Table1[[#This Row],[BW_GA]])-1)/(Backend!$B$4/100*Table1[[#This Row],[BW40_3705]]),"")</f>
        <v/>
      </c>
      <c r="I4577" s="7" t="str">
        <f>IF(Table1[[#This Row],[Is Data Valid]]=TRUE,((Table1[[#This Row],[Birthweight (grams)]]*1.1/Table1[[#This Row],[BW_GA]])-1)/(Backend!$B$4/100*Table1[[#This Row],[BW40_3705]]),"")</f>
        <v/>
      </c>
      <c r="J4577" s="7" t="str">
        <f>IF(Table1[[#This Row],[Is Data Valid]]=TRUE,_xlfn.NORM.S.DIST(Table1[[#This Row],[Birthweight Z-Score]],TRUE)*100,"")</f>
        <v/>
      </c>
      <c r="K4577" s="7" t="str">
        <f>IF(Table1[[#This Row],[Is Data Valid]]=TRUE,_xlfn.NORM.S.DIST(Table1[[#This Row],[Birthweight Z-Score (BW-10%)]],TRUE)*100,"")</f>
        <v/>
      </c>
      <c r="L4577" s="7" t="str">
        <f>IF(Table1[[#This Row],[Is Data Valid]]=TRUE,_xlfn.NORM.S.DIST(Table1[[#This Row],[Birthweight Z-Score (BW+10%)]],TRUE)*100,"")</f>
        <v/>
      </c>
    </row>
    <row r="4578" spans="1:12" x14ac:dyDescent="0.35">
      <c r="A4578" s="3"/>
      <c r="B4578" s="2"/>
      <c r="C4578" s="2"/>
      <c r="D4578" s="2" t="b">
        <f>IF(AND(NOT(ISBLANK(Table1[[#This Row],[Fetal Sex (Male, Female or Unknown)]])),ISNUMBER(Table1[[#This Row],[Birthweight (grams)]]),ISNUMBER(Table1[[#This Row],[Gestation (days)]])),TRUE,FALSE)</f>
        <v>0</v>
      </c>
      <c r="E4578" s="2" t="str">
        <f>IF(Table1[[#This Row],[Is Data Valid]]=TRUE,IF(Table1[[#This Row],[Fetal Sex (Male, Female or Unknown)]]="Male",Backend!$C$6,IF(Table1[[#This Row],[Fetal Sex (Male, Female or Unknown)]]="Female",Backend!$C$7,IF(Table1[[#This Row],[Fetal Sex (Male, Female or Unknown)]]="Unknown",Backend!$C$8,"Error"))),"")</f>
        <v/>
      </c>
      <c r="F4578" s="8" t="str">
        <f>IF(Table1[[#This Row],[Is Data Valid]]=TRUE,EXP(0.578+0.332*((Table1[[#This Row],[Gestation (days)]]+0.5)/7)-0.00354*((Table1[[#This Row],[Gestation (days)]]+0.5)/7)^2)*Table1[[#This Row],[BW40_3705]],"")</f>
        <v/>
      </c>
      <c r="G4578" s="2" t="str">
        <f>IF(Table1[[#This Row],[Is Data Valid]]=TRUE,((Table1[[#This Row],[Birthweight (grams)]]/Table1[[#This Row],[BW_GA]])-1)/(Backend!$B$4/100*Table1[[#This Row],[BW40_3705]]),"")</f>
        <v/>
      </c>
      <c r="H4578" s="7" t="str">
        <f>IF(Table1[[#This Row],[Is Data Valid]]=TRUE,((Table1[[#This Row],[Birthweight (grams)]]*0.9/Table1[[#This Row],[BW_GA]])-1)/(Backend!$B$4/100*Table1[[#This Row],[BW40_3705]]),"")</f>
        <v/>
      </c>
      <c r="I4578" s="7" t="str">
        <f>IF(Table1[[#This Row],[Is Data Valid]]=TRUE,((Table1[[#This Row],[Birthweight (grams)]]*1.1/Table1[[#This Row],[BW_GA]])-1)/(Backend!$B$4/100*Table1[[#This Row],[BW40_3705]]),"")</f>
        <v/>
      </c>
      <c r="J4578" s="7" t="str">
        <f>IF(Table1[[#This Row],[Is Data Valid]]=TRUE,_xlfn.NORM.S.DIST(Table1[[#This Row],[Birthweight Z-Score]],TRUE)*100,"")</f>
        <v/>
      </c>
      <c r="K4578" s="7" t="str">
        <f>IF(Table1[[#This Row],[Is Data Valid]]=TRUE,_xlfn.NORM.S.DIST(Table1[[#This Row],[Birthweight Z-Score (BW-10%)]],TRUE)*100,"")</f>
        <v/>
      </c>
      <c r="L4578" s="7" t="str">
        <f>IF(Table1[[#This Row],[Is Data Valid]]=TRUE,_xlfn.NORM.S.DIST(Table1[[#This Row],[Birthweight Z-Score (BW+10%)]],TRUE)*100,"")</f>
        <v/>
      </c>
    </row>
    <row r="4579" spans="1:12" x14ac:dyDescent="0.35">
      <c r="A4579" s="3"/>
      <c r="B4579" s="2"/>
      <c r="C4579" s="2"/>
      <c r="D4579" s="2" t="b">
        <f>IF(AND(NOT(ISBLANK(Table1[[#This Row],[Fetal Sex (Male, Female or Unknown)]])),ISNUMBER(Table1[[#This Row],[Birthweight (grams)]]),ISNUMBER(Table1[[#This Row],[Gestation (days)]])),TRUE,FALSE)</f>
        <v>0</v>
      </c>
      <c r="E4579" s="2" t="str">
        <f>IF(Table1[[#This Row],[Is Data Valid]]=TRUE,IF(Table1[[#This Row],[Fetal Sex (Male, Female or Unknown)]]="Male",Backend!$C$6,IF(Table1[[#This Row],[Fetal Sex (Male, Female or Unknown)]]="Female",Backend!$C$7,IF(Table1[[#This Row],[Fetal Sex (Male, Female or Unknown)]]="Unknown",Backend!$C$8,"Error"))),"")</f>
        <v/>
      </c>
      <c r="F4579" s="8" t="str">
        <f>IF(Table1[[#This Row],[Is Data Valid]]=TRUE,EXP(0.578+0.332*((Table1[[#This Row],[Gestation (days)]]+0.5)/7)-0.00354*((Table1[[#This Row],[Gestation (days)]]+0.5)/7)^2)*Table1[[#This Row],[BW40_3705]],"")</f>
        <v/>
      </c>
      <c r="G4579" s="2" t="str">
        <f>IF(Table1[[#This Row],[Is Data Valid]]=TRUE,((Table1[[#This Row],[Birthweight (grams)]]/Table1[[#This Row],[BW_GA]])-1)/(Backend!$B$4/100*Table1[[#This Row],[BW40_3705]]),"")</f>
        <v/>
      </c>
      <c r="H4579" s="7" t="str">
        <f>IF(Table1[[#This Row],[Is Data Valid]]=TRUE,((Table1[[#This Row],[Birthweight (grams)]]*0.9/Table1[[#This Row],[BW_GA]])-1)/(Backend!$B$4/100*Table1[[#This Row],[BW40_3705]]),"")</f>
        <v/>
      </c>
      <c r="I4579" s="7" t="str">
        <f>IF(Table1[[#This Row],[Is Data Valid]]=TRUE,((Table1[[#This Row],[Birthweight (grams)]]*1.1/Table1[[#This Row],[BW_GA]])-1)/(Backend!$B$4/100*Table1[[#This Row],[BW40_3705]]),"")</f>
        <v/>
      </c>
      <c r="J4579" s="7" t="str">
        <f>IF(Table1[[#This Row],[Is Data Valid]]=TRUE,_xlfn.NORM.S.DIST(Table1[[#This Row],[Birthweight Z-Score]],TRUE)*100,"")</f>
        <v/>
      </c>
      <c r="K4579" s="7" t="str">
        <f>IF(Table1[[#This Row],[Is Data Valid]]=TRUE,_xlfn.NORM.S.DIST(Table1[[#This Row],[Birthweight Z-Score (BW-10%)]],TRUE)*100,"")</f>
        <v/>
      </c>
      <c r="L4579" s="7" t="str">
        <f>IF(Table1[[#This Row],[Is Data Valid]]=TRUE,_xlfn.NORM.S.DIST(Table1[[#This Row],[Birthweight Z-Score (BW+10%)]],TRUE)*100,"")</f>
        <v/>
      </c>
    </row>
    <row r="4580" spans="1:12" x14ac:dyDescent="0.35">
      <c r="A4580" s="3"/>
      <c r="B4580" s="2"/>
      <c r="C4580" s="2"/>
      <c r="D4580" s="2" t="b">
        <f>IF(AND(NOT(ISBLANK(Table1[[#This Row],[Fetal Sex (Male, Female or Unknown)]])),ISNUMBER(Table1[[#This Row],[Birthweight (grams)]]),ISNUMBER(Table1[[#This Row],[Gestation (days)]])),TRUE,FALSE)</f>
        <v>0</v>
      </c>
      <c r="E4580" s="2" t="str">
        <f>IF(Table1[[#This Row],[Is Data Valid]]=TRUE,IF(Table1[[#This Row],[Fetal Sex (Male, Female or Unknown)]]="Male",Backend!$C$6,IF(Table1[[#This Row],[Fetal Sex (Male, Female or Unknown)]]="Female",Backend!$C$7,IF(Table1[[#This Row],[Fetal Sex (Male, Female or Unknown)]]="Unknown",Backend!$C$8,"Error"))),"")</f>
        <v/>
      </c>
      <c r="F4580" s="8" t="str">
        <f>IF(Table1[[#This Row],[Is Data Valid]]=TRUE,EXP(0.578+0.332*((Table1[[#This Row],[Gestation (days)]]+0.5)/7)-0.00354*((Table1[[#This Row],[Gestation (days)]]+0.5)/7)^2)*Table1[[#This Row],[BW40_3705]],"")</f>
        <v/>
      </c>
      <c r="G4580" s="2" t="str">
        <f>IF(Table1[[#This Row],[Is Data Valid]]=TRUE,((Table1[[#This Row],[Birthweight (grams)]]/Table1[[#This Row],[BW_GA]])-1)/(Backend!$B$4/100*Table1[[#This Row],[BW40_3705]]),"")</f>
        <v/>
      </c>
      <c r="H4580" s="7" t="str">
        <f>IF(Table1[[#This Row],[Is Data Valid]]=TRUE,((Table1[[#This Row],[Birthweight (grams)]]*0.9/Table1[[#This Row],[BW_GA]])-1)/(Backend!$B$4/100*Table1[[#This Row],[BW40_3705]]),"")</f>
        <v/>
      </c>
      <c r="I4580" s="7" t="str">
        <f>IF(Table1[[#This Row],[Is Data Valid]]=TRUE,((Table1[[#This Row],[Birthweight (grams)]]*1.1/Table1[[#This Row],[BW_GA]])-1)/(Backend!$B$4/100*Table1[[#This Row],[BW40_3705]]),"")</f>
        <v/>
      </c>
      <c r="J4580" s="7" t="str">
        <f>IF(Table1[[#This Row],[Is Data Valid]]=TRUE,_xlfn.NORM.S.DIST(Table1[[#This Row],[Birthweight Z-Score]],TRUE)*100,"")</f>
        <v/>
      </c>
      <c r="K4580" s="7" t="str">
        <f>IF(Table1[[#This Row],[Is Data Valid]]=TRUE,_xlfn.NORM.S.DIST(Table1[[#This Row],[Birthweight Z-Score (BW-10%)]],TRUE)*100,"")</f>
        <v/>
      </c>
      <c r="L4580" s="7" t="str">
        <f>IF(Table1[[#This Row],[Is Data Valid]]=TRUE,_xlfn.NORM.S.DIST(Table1[[#This Row],[Birthweight Z-Score (BW+10%)]],TRUE)*100,"")</f>
        <v/>
      </c>
    </row>
    <row r="4581" spans="1:12" x14ac:dyDescent="0.35">
      <c r="A4581" s="3"/>
      <c r="B4581" s="2"/>
      <c r="C4581" s="2"/>
      <c r="D4581" s="2" t="b">
        <f>IF(AND(NOT(ISBLANK(Table1[[#This Row],[Fetal Sex (Male, Female or Unknown)]])),ISNUMBER(Table1[[#This Row],[Birthweight (grams)]]),ISNUMBER(Table1[[#This Row],[Gestation (days)]])),TRUE,FALSE)</f>
        <v>0</v>
      </c>
      <c r="E4581" s="2" t="str">
        <f>IF(Table1[[#This Row],[Is Data Valid]]=TRUE,IF(Table1[[#This Row],[Fetal Sex (Male, Female or Unknown)]]="Male",Backend!$C$6,IF(Table1[[#This Row],[Fetal Sex (Male, Female or Unknown)]]="Female",Backend!$C$7,IF(Table1[[#This Row],[Fetal Sex (Male, Female or Unknown)]]="Unknown",Backend!$C$8,"Error"))),"")</f>
        <v/>
      </c>
      <c r="F4581" s="8" t="str">
        <f>IF(Table1[[#This Row],[Is Data Valid]]=TRUE,EXP(0.578+0.332*((Table1[[#This Row],[Gestation (days)]]+0.5)/7)-0.00354*((Table1[[#This Row],[Gestation (days)]]+0.5)/7)^2)*Table1[[#This Row],[BW40_3705]],"")</f>
        <v/>
      </c>
      <c r="G4581" s="2" t="str">
        <f>IF(Table1[[#This Row],[Is Data Valid]]=TRUE,((Table1[[#This Row],[Birthweight (grams)]]/Table1[[#This Row],[BW_GA]])-1)/(Backend!$B$4/100*Table1[[#This Row],[BW40_3705]]),"")</f>
        <v/>
      </c>
      <c r="H4581" s="7" t="str">
        <f>IF(Table1[[#This Row],[Is Data Valid]]=TRUE,((Table1[[#This Row],[Birthweight (grams)]]*0.9/Table1[[#This Row],[BW_GA]])-1)/(Backend!$B$4/100*Table1[[#This Row],[BW40_3705]]),"")</f>
        <v/>
      </c>
      <c r="I4581" s="7" t="str">
        <f>IF(Table1[[#This Row],[Is Data Valid]]=TRUE,((Table1[[#This Row],[Birthweight (grams)]]*1.1/Table1[[#This Row],[BW_GA]])-1)/(Backend!$B$4/100*Table1[[#This Row],[BW40_3705]]),"")</f>
        <v/>
      </c>
      <c r="J4581" s="7" t="str">
        <f>IF(Table1[[#This Row],[Is Data Valid]]=TRUE,_xlfn.NORM.S.DIST(Table1[[#This Row],[Birthweight Z-Score]],TRUE)*100,"")</f>
        <v/>
      </c>
      <c r="K4581" s="7" t="str">
        <f>IF(Table1[[#This Row],[Is Data Valid]]=TRUE,_xlfn.NORM.S.DIST(Table1[[#This Row],[Birthweight Z-Score (BW-10%)]],TRUE)*100,"")</f>
        <v/>
      </c>
      <c r="L4581" s="7" t="str">
        <f>IF(Table1[[#This Row],[Is Data Valid]]=TRUE,_xlfn.NORM.S.DIST(Table1[[#This Row],[Birthweight Z-Score (BW+10%)]],TRUE)*100,"")</f>
        <v/>
      </c>
    </row>
    <row r="4582" spans="1:12" x14ac:dyDescent="0.35">
      <c r="A4582" s="3"/>
      <c r="B4582" s="2"/>
      <c r="C4582" s="2"/>
      <c r="D4582" s="2" t="b">
        <f>IF(AND(NOT(ISBLANK(Table1[[#This Row],[Fetal Sex (Male, Female or Unknown)]])),ISNUMBER(Table1[[#This Row],[Birthweight (grams)]]),ISNUMBER(Table1[[#This Row],[Gestation (days)]])),TRUE,FALSE)</f>
        <v>0</v>
      </c>
      <c r="E4582" s="2" t="str">
        <f>IF(Table1[[#This Row],[Is Data Valid]]=TRUE,IF(Table1[[#This Row],[Fetal Sex (Male, Female or Unknown)]]="Male",Backend!$C$6,IF(Table1[[#This Row],[Fetal Sex (Male, Female or Unknown)]]="Female",Backend!$C$7,IF(Table1[[#This Row],[Fetal Sex (Male, Female or Unknown)]]="Unknown",Backend!$C$8,"Error"))),"")</f>
        <v/>
      </c>
      <c r="F4582" s="8" t="str">
        <f>IF(Table1[[#This Row],[Is Data Valid]]=TRUE,EXP(0.578+0.332*((Table1[[#This Row],[Gestation (days)]]+0.5)/7)-0.00354*((Table1[[#This Row],[Gestation (days)]]+0.5)/7)^2)*Table1[[#This Row],[BW40_3705]],"")</f>
        <v/>
      </c>
      <c r="G4582" s="2" t="str">
        <f>IF(Table1[[#This Row],[Is Data Valid]]=TRUE,((Table1[[#This Row],[Birthweight (grams)]]/Table1[[#This Row],[BW_GA]])-1)/(Backend!$B$4/100*Table1[[#This Row],[BW40_3705]]),"")</f>
        <v/>
      </c>
      <c r="H4582" s="7" t="str">
        <f>IF(Table1[[#This Row],[Is Data Valid]]=TRUE,((Table1[[#This Row],[Birthweight (grams)]]*0.9/Table1[[#This Row],[BW_GA]])-1)/(Backend!$B$4/100*Table1[[#This Row],[BW40_3705]]),"")</f>
        <v/>
      </c>
      <c r="I4582" s="7" t="str">
        <f>IF(Table1[[#This Row],[Is Data Valid]]=TRUE,((Table1[[#This Row],[Birthweight (grams)]]*1.1/Table1[[#This Row],[BW_GA]])-1)/(Backend!$B$4/100*Table1[[#This Row],[BW40_3705]]),"")</f>
        <v/>
      </c>
      <c r="J4582" s="7" t="str">
        <f>IF(Table1[[#This Row],[Is Data Valid]]=TRUE,_xlfn.NORM.S.DIST(Table1[[#This Row],[Birthweight Z-Score]],TRUE)*100,"")</f>
        <v/>
      </c>
      <c r="K4582" s="7" t="str">
        <f>IF(Table1[[#This Row],[Is Data Valid]]=TRUE,_xlfn.NORM.S.DIST(Table1[[#This Row],[Birthweight Z-Score (BW-10%)]],TRUE)*100,"")</f>
        <v/>
      </c>
      <c r="L4582" s="7" t="str">
        <f>IF(Table1[[#This Row],[Is Data Valid]]=TRUE,_xlfn.NORM.S.DIST(Table1[[#This Row],[Birthweight Z-Score (BW+10%)]],TRUE)*100,"")</f>
        <v/>
      </c>
    </row>
    <row r="4583" spans="1:12" x14ac:dyDescent="0.35">
      <c r="A4583" s="3"/>
      <c r="B4583" s="2"/>
      <c r="C4583" s="2"/>
      <c r="D4583" s="2" t="b">
        <f>IF(AND(NOT(ISBLANK(Table1[[#This Row],[Fetal Sex (Male, Female or Unknown)]])),ISNUMBER(Table1[[#This Row],[Birthweight (grams)]]),ISNUMBER(Table1[[#This Row],[Gestation (days)]])),TRUE,FALSE)</f>
        <v>0</v>
      </c>
      <c r="E4583" s="2" t="str">
        <f>IF(Table1[[#This Row],[Is Data Valid]]=TRUE,IF(Table1[[#This Row],[Fetal Sex (Male, Female or Unknown)]]="Male",Backend!$C$6,IF(Table1[[#This Row],[Fetal Sex (Male, Female or Unknown)]]="Female",Backend!$C$7,IF(Table1[[#This Row],[Fetal Sex (Male, Female or Unknown)]]="Unknown",Backend!$C$8,"Error"))),"")</f>
        <v/>
      </c>
      <c r="F4583" s="8" t="str">
        <f>IF(Table1[[#This Row],[Is Data Valid]]=TRUE,EXP(0.578+0.332*((Table1[[#This Row],[Gestation (days)]]+0.5)/7)-0.00354*((Table1[[#This Row],[Gestation (days)]]+0.5)/7)^2)*Table1[[#This Row],[BW40_3705]],"")</f>
        <v/>
      </c>
      <c r="G4583" s="2" t="str">
        <f>IF(Table1[[#This Row],[Is Data Valid]]=TRUE,((Table1[[#This Row],[Birthweight (grams)]]/Table1[[#This Row],[BW_GA]])-1)/(Backend!$B$4/100*Table1[[#This Row],[BW40_3705]]),"")</f>
        <v/>
      </c>
      <c r="H4583" s="7" t="str">
        <f>IF(Table1[[#This Row],[Is Data Valid]]=TRUE,((Table1[[#This Row],[Birthweight (grams)]]*0.9/Table1[[#This Row],[BW_GA]])-1)/(Backend!$B$4/100*Table1[[#This Row],[BW40_3705]]),"")</f>
        <v/>
      </c>
      <c r="I4583" s="7" t="str">
        <f>IF(Table1[[#This Row],[Is Data Valid]]=TRUE,((Table1[[#This Row],[Birthweight (grams)]]*1.1/Table1[[#This Row],[BW_GA]])-1)/(Backend!$B$4/100*Table1[[#This Row],[BW40_3705]]),"")</f>
        <v/>
      </c>
      <c r="J4583" s="7" t="str">
        <f>IF(Table1[[#This Row],[Is Data Valid]]=TRUE,_xlfn.NORM.S.DIST(Table1[[#This Row],[Birthweight Z-Score]],TRUE)*100,"")</f>
        <v/>
      </c>
      <c r="K4583" s="7" t="str">
        <f>IF(Table1[[#This Row],[Is Data Valid]]=TRUE,_xlfn.NORM.S.DIST(Table1[[#This Row],[Birthweight Z-Score (BW-10%)]],TRUE)*100,"")</f>
        <v/>
      </c>
      <c r="L4583" s="7" t="str">
        <f>IF(Table1[[#This Row],[Is Data Valid]]=TRUE,_xlfn.NORM.S.DIST(Table1[[#This Row],[Birthweight Z-Score (BW+10%)]],TRUE)*100,"")</f>
        <v/>
      </c>
    </row>
    <row r="4584" spans="1:12" x14ac:dyDescent="0.35">
      <c r="A4584" s="3"/>
      <c r="B4584" s="2"/>
      <c r="C4584" s="2"/>
      <c r="D4584" s="2" t="b">
        <f>IF(AND(NOT(ISBLANK(Table1[[#This Row],[Fetal Sex (Male, Female or Unknown)]])),ISNUMBER(Table1[[#This Row],[Birthweight (grams)]]),ISNUMBER(Table1[[#This Row],[Gestation (days)]])),TRUE,FALSE)</f>
        <v>0</v>
      </c>
      <c r="E4584" s="2" t="str">
        <f>IF(Table1[[#This Row],[Is Data Valid]]=TRUE,IF(Table1[[#This Row],[Fetal Sex (Male, Female or Unknown)]]="Male",Backend!$C$6,IF(Table1[[#This Row],[Fetal Sex (Male, Female or Unknown)]]="Female",Backend!$C$7,IF(Table1[[#This Row],[Fetal Sex (Male, Female or Unknown)]]="Unknown",Backend!$C$8,"Error"))),"")</f>
        <v/>
      </c>
      <c r="F4584" s="8" t="str">
        <f>IF(Table1[[#This Row],[Is Data Valid]]=TRUE,EXP(0.578+0.332*((Table1[[#This Row],[Gestation (days)]]+0.5)/7)-0.00354*((Table1[[#This Row],[Gestation (days)]]+0.5)/7)^2)*Table1[[#This Row],[BW40_3705]],"")</f>
        <v/>
      </c>
      <c r="G4584" s="2" t="str">
        <f>IF(Table1[[#This Row],[Is Data Valid]]=TRUE,((Table1[[#This Row],[Birthweight (grams)]]/Table1[[#This Row],[BW_GA]])-1)/(Backend!$B$4/100*Table1[[#This Row],[BW40_3705]]),"")</f>
        <v/>
      </c>
      <c r="H4584" s="7" t="str">
        <f>IF(Table1[[#This Row],[Is Data Valid]]=TRUE,((Table1[[#This Row],[Birthweight (grams)]]*0.9/Table1[[#This Row],[BW_GA]])-1)/(Backend!$B$4/100*Table1[[#This Row],[BW40_3705]]),"")</f>
        <v/>
      </c>
      <c r="I4584" s="7" t="str">
        <f>IF(Table1[[#This Row],[Is Data Valid]]=TRUE,((Table1[[#This Row],[Birthweight (grams)]]*1.1/Table1[[#This Row],[BW_GA]])-1)/(Backend!$B$4/100*Table1[[#This Row],[BW40_3705]]),"")</f>
        <v/>
      </c>
      <c r="J4584" s="7" t="str">
        <f>IF(Table1[[#This Row],[Is Data Valid]]=TRUE,_xlfn.NORM.S.DIST(Table1[[#This Row],[Birthweight Z-Score]],TRUE)*100,"")</f>
        <v/>
      </c>
      <c r="K4584" s="7" t="str">
        <f>IF(Table1[[#This Row],[Is Data Valid]]=TRUE,_xlfn.NORM.S.DIST(Table1[[#This Row],[Birthweight Z-Score (BW-10%)]],TRUE)*100,"")</f>
        <v/>
      </c>
      <c r="L4584" s="7" t="str">
        <f>IF(Table1[[#This Row],[Is Data Valid]]=TRUE,_xlfn.NORM.S.DIST(Table1[[#This Row],[Birthweight Z-Score (BW+10%)]],TRUE)*100,"")</f>
        <v/>
      </c>
    </row>
    <row r="4585" spans="1:12" x14ac:dyDescent="0.35">
      <c r="A4585" s="3"/>
      <c r="B4585" s="2"/>
      <c r="C4585" s="2"/>
      <c r="D4585" s="2" t="b">
        <f>IF(AND(NOT(ISBLANK(Table1[[#This Row],[Fetal Sex (Male, Female or Unknown)]])),ISNUMBER(Table1[[#This Row],[Birthweight (grams)]]),ISNUMBER(Table1[[#This Row],[Gestation (days)]])),TRUE,FALSE)</f>
        <v>0</v>
      </c>
      <c r="E4585" s="2" t="str">
        <f>IF(Table1[[#This Row],[Is Data Valid]]=TRUE,IF(Table1[[#This Row],[Fetal Sex (Male, Female or Unknown)]]="Male",Backend!$C$6,IF(Table1[[#This Row],[Fetal Sex (Male, Female or Unknown)]]="Female",Backend!$C$7,IF(Table1[[#This Row],[Fetal Sex (Male, Female or Unknown)]]="Unknown",Backend!$C$8,"Error"))),"")</f>
        <v/>
      </c>
      <c r="F4585" s="8" t="str">
        <f>IF(Table1[[#This Row],[Is Data Valid]]=TRUE,EXP(0.578+0.332*((Table1[[#This Row],[Gestation (days)]]+0.5)/7)-0.00354*((Table1[[#This Row],[Gestation (days)]]+0.5)/7)^2)*Table1[[#This Row],[BW40_3705]],"")</f>
        <v/>
      </c>
      <c r="G4585" s="2" t="str">
        <f>IF(Table1[[#This Row],[Is Data Valid]]=TRUE,((Table1[[#This Row],[Birthweight (grams)]]/Table1[[#This Row],[BW_GA]])-1)/(Backend!$B$4/100*Table1[[#This Row],[BW40_3705]]),"")</f>
        <v/>
      </c>
      <c r="H4585" s="7" t="str">
        <f>IF(Table1[[#This Row],[Is Data Valid]]=TRUE,((Table1[[#This Row],[Birthweight (grams)]]*0.9/Table1[[#This Row],[BW_GA]])-1)/(Backend!$B$4/100*Table1[[#This Row],[BW40_3705]]),"")</f>
        <v/>
      </c>
      <c r="I4585" s="7" t="str">
        <f>IF(Table1[[#This Row],[Is Data Valid]]=TRUE,((Table1[[#This Row],[Birthweight (grams)]]*1.1/Table1[[#This Row],[BW_GA]])-1)/(Backend!$B$4/100*Table1[[#This Row],[BW40_3705]]),"")</f>
        <v/>
      </c>
      <c r="J4585" s="7" t="str">
        <f>IF(Table1[[#This Row],[Is Data Valid]]=TRUE,_xlfn.NORM.S.DIST(Table1[[#This Row],[Birthweight Z-Score]],TRUE)*100,"")</f>
        <v/>
      </c>
      <c r="K4585" s="7" t="str">
        <f>IF(Table1[[#This Row],[Is Data Valid]]=TRUE,_xlfn.NORM.S.DIST(Table1[[#This Row],[Birthweight Z-Score (BW-10%)]],TRUE)*100,"")</f>
        <v/>
      </c>
      <c r="L4585" s="7" t="str">
        <f>IF(Table1[[#This Row],[Is Data Valid]]=TRUE,_xlfn.NORM.S.DIST(Table1[[#This Row],[Birthweight Z-Score (BW+10%)]],TRUE)*100,"")</f>
        <v/>
      </c>
    </row>
    <row r="4586" spans="1:12" x14ac:dyDescent="0.35">
      <c r="A4586" s="3"/>
      <c r="B4586" s="2"/>
      <c r="C4586" s="2"/>
      <c r="D4586" s="2" t="b">
        <f>IF(AND(NOT(ISBLANK(Table1[[#This Row],[Fetal Sex (Male, Female or Unknown)]])),ISNUMBER(Table1[[#This Row],[Birthweight (grams)]]),ISNUMBER(Table1[[#This Row],[Gestation (days)]])),TRUE,FALSE)</f>
        <v>0</v>
      </c>
      <c r="E4586" s="2" t="str">
        <f>IF(Table1[[#This Row],[Is Data Valid]]=TRUE,IF(Table1[[#This Row],[Fetal Sex (Male, Female or Unknown)]]="Male",Backend!$C$6,IF(Table1[[#This Row],[Fetal Sex (Male, Female or Unknown)]]="Female",Backend!$C$7,IF(Table1[[#This Row],[Fetal Sex (Male, Female or Unknown)]]="Unknown",Backend!$C$8,"Error"))),"")</f>
        <v/>
      </c>
      <c r="F4586" s="8" t="str">
        <f>IF(Table1[[#This Row],[Is Data Valid]]=TRUE,EXP(0.578+0.332*((Table1[[#This Row],[Gestation (days)]]+0.5)/7)-0.00354*((Table1[[#This Row],[Gestation (days)]]+0.5)/7)^2)*Table1[[#This Row],[BW40_3705]],"")</f>
        <v/>
      </c>
      <c r="G4586" s="2" t="str">
        <f>IF(Table1[[#This Row],[Is Data Valid]]=TRUE,((Table1[[#This Row],[Birthweight (grams)]]/Table1[[#This Row],[BW_GA]])-1)/(Backend!$B$4/100*Table1[[#This Row],[BW40_3705]]),"")</f>
        <v/>
      </c>
      <c r="H4586" s="7" t="str">
        <f>IF(Table1[[#This Row],[Is Data Valid]]=TRUE,((Table1[[#This Row],[Birthweight (grams)]]*0.9/Table1[[#This Row],[BW_GA]])-1)/(Backend!$B$4/100*Table1[[#This Row],[BW40_3705]]),"")</f>
        <v/>
      </c>
      <c r="I4586" s="7" t="str">
        <f>IF(Table1[[#This Row],[Is Data Valid]]=TRUE,((Table1[[#This Row],[Birthweight (grams)]]*1.1/Table1[[#This Row],[BW_GA]])-1)/(Backend!$B$4/100*Table1[[#This Row],[BW40_3705]]),"")</f>
        <v/>
      </c>
      <c r="J4586" s="7" t="str">
        <f>IF(Table1[[#This Row],[Is Data Valid]]=TRUE,_xlfn.NORM.S.DIST(Table1[[#This Row],[Birthweight Z-Score]],TRUE)*100,"")</f>
        <v/>
      </c>
      <c r="K4586" s="7" t="str">
        <f>IF(Table1[[#This Row],[Is Data Valid]]=TRUE,_xlfn.NORM.S.DIST(Table1[[#This Row],[Birthweight Z-Score (BW-10%)]],TRUE)*100,"")</f>
        <v/>
      </c>
      <c r="L4586" s="7" t="str">
        <f>IF(Table1[[#This Row],[Is Data Valid]]=TRUE,_xlfn.NORM.S.DIST(Table1[[#This Row],[Birthweight Z-Score (BW+10%)]],TRUE)*100,"")</f>
        <v/>
      </c>
    </row>
    <row r="4587" spans="1:12" x14ac:dyDescent="0.35">
      <c r="A4587" s="3"/>
      <c r="B4587" s="2"/>
      <c r="C4587" s="2"/>
      <c r="D4587" s="2" t="b">
        <f>IF(AND(NOT(ISBLANK(Table1[[#This Row],[Fetal Sex (Male, Female or Unknown)]])),ISNUMBER(Table1[[#This Row],[Birthweight (grams)]]),ISNUMBER(Table1[[#This Row],[Gestation (days)]])),TRUE,FALSE)</f>
        <v>0</v>
      </c>
      <c r="E4587" s="2" t="str">
        <f>IF(Table1[[#This Row],[Is Data Valid]]=TRUE,IF(Table1[[#This Row],[Fetal Sex (Male, Female or Unknown)]]="Male",Backend!$C$6,IF(Table1[[#This Row],[Fetal Sex (Male, Female or Unknown)]]="Female",Backend!$C$7,IF(Table1[[#This Row],[Fetal Sex (Male, Female or Unknown)]]="Unknown",Backend!$C$8,"Error"))),"")</f>
        <v/>
      </c>
      <c r="F4587" s="8" t="str">
        <f>IF(Table1[[#This Row],[Is Data Valid]]=TRUE,EXP(0.578+0.332*((Table1[[#This Row],[Gestation (days)]]+0.5)/7)-0.00354*((Table1[[#This Row],[Gestation (days)]]+0.5)/7)^2)*Table1[[#This Row],[BW40_3705]],"")</f>
        <v/>
      </c>
      <c r="G4587" s="2" t="str">
        <f>IF(Table1[[#This Row],[Is Data Valid]]=TRUE,((Table1[[#This Row],[Birthweight (grams)]]/Table1[[#This Row],[BW_GA]])-1)/(Backend!$B$4/100*Table1[[#This Row],[BW40_3705]]),"")</f>
        <v/>
      </c>
      <c r="H4587" s="7" t="str">
        <f>IF(Table1[[#This Row],[Is Data Valid]]=TRUE,((Table1[[#This Row],[Birthweight (grams)]]*0.9/Table1[[#This Row],[BW_GA]])-1)/(Backend!$B$4/100*Table1[[#This Row],[BW40_3705]]),"")</f>
        <v/>
      </c>
      <c r="I4587" s="7" t="str">
        <f>IF(Table1[[#This Row],[Is Data Valid]]=TRUE,((Table1[[#This Row],[Birthweight (grams)]]*1.1/Table1[[#This Row],[BW_GA]])-1)/(Backend!$B$4/100*Table1[[#This Row],[BW40_3705]]),"")</f>
        <v/>
      </c>
      <c r="J4587" s="7" t="str">
        <f>IF(Table1[[#This Row],[Is Data Valid]]=TRUE,_xlfn.NORM.S.DIST(Table1[[#This Row],[Birthweight Z-Score]],TRUE)*100,"")</f>
        <v/>
      </c>
      <c r="K4587" s="7" t="str">
        <f>IF(Table1[[#This Row],[Is Data Valid]]=TRUE,_xlfn.NORM.S.DIST(Table1[[#This Row],[Birthweight Z-Score (BW-10%)]],TRUE)*100,"")</f>
        <v/>
      </c>
      <c r="L4587" s="7" t="str">
        <f>IF(Table1[[#This Row],[Is Data Valid]]=TRUE,_xlfn.NORM.S.DIST(Table1[[#This Row],[Birthweight Z-Score (BW+10%)]],TRUE)*100,"")</f>
        <v/>
      </c>
    </row>
    <row r="4588" spans="1:12" x14ac:dyDescent="0.35">
      <c r="A4588" s="3"/>
      <c r="B4588" s="2"/>
      <c r="C4588" s="2"/>
      <c r="D4588" s="2" t="b">
        <f>IF(AND(NOT(ISBLANK(Table1[[#This Row],[Fetal Sex (Male, Female or Unknown)]])),ISNUMBER(Table1[[#This Row],[Birthweight (grams)]]),ISNUMBER(Table1[[#This Row],[Gestation (days)]])),TRUE,FALSE)</f>
        <v>0</v>
      </c>
      <c r="E4588" s="2" t="str">
        <f>IF(Table1[[#This Row],[Is Data Valid]]=TRUE,IF(Table1[[#This Row],[Fetal Sex (Male, Female or Unknown)]]="Male",Backend!$C$6,IF(Table1[[#This Row],[Fetal Sex (Male, Female or Unknown)]]="Female",Backend!$C$7,IF(Table1[[#This Row],[Fetal Sex (Male, Female or Unknown)]]="Unknown",Backend!$C$8,"Error"))),"")</f>
        <v/>
      </c>
      <c r="F4588" s="8" t="str">
        <f>IF(Table1[[#This Row],[Is Data Valid]]=TRUE,EXP(0.578+0.332*((Table1[[#This Row],[Gestation (days)]]+0.5)/7)-0.00354*((Table1[[#This Row],[Gestation (days)]]+0.5)/7)^2)*Table1[[#This Row],[BW40_3705]],"")</f>
        <v/>
      </c>
      <c r="G4588" s="2" t="str">
        <f>IF(Table1[[#This Row],[Is Data Valid]]=TRUE,((Table1[[#This Row],[Birthweight (grams)]]/Table1[[#This Row],[BW_GA]])-1)/(Backend!$B$4/100*Table1[[#This Row],[BW40_3705]]),"")</f>
        <v/>
      </c>
      <c r="H4588" s="7" t="str">
        <f>IF(Table1[[#This Row],[Is Data Valid]]=TRUE,((Table1[[#This Row],[Birthweight (grams)]]*0.9/Table1[[#This Row],[BW_GA]])-1)/(Backend!$B$4/100*Table1[[#This Row],[BW40_3705]]),"")</f>
        <v/>
      </c>
      <c r="I4588" s="7" t="str">
        <f>IF(Table1[[#This Row],[Is Data Valid]]=TRUE,((Table1[[#This Row],[Birthweight (grams)]]*1.1/Table1[[#This Row],[BW_GA]])-1)/(Backend!$B$4/100*Table1[[#This Row],[BW40_3705]]),"")</f>
        <v/>
      </c>
      <c r="J4588" s="7" t="str">
        <f>IF(Table1[[#This Row],[Is Data Valid]]=TRUE,_xlfn.NORM.S.DIST(Table1[[#This Row],[Birthweight Z-Score]],TRUE)*100,"")</f>
        <v/>
      </c>
      <c r="K4588" s="7" t="str">
        <f>IF(Table1[[#This Row],[Is Data Valid]]=TRUE,_xlfn.NORM.S.DIST(Table1[[#This Row],[Birthweight Z-Score (BW-10%)]],TRUE)*100,"")</f>
        <v/>
      </c>
      <c r="L4588" s="7" t="str">
        <f>IF(Table1[[#This Row],[Is Data Valid]]=TRUE,_xlfn.NORM.S.DIST(Table1[[#This Row],[Birthweight Z-Score (BW+10%)]],TRUE)*100,"")</f>
        <v/>
      </c>
    </row>
    <row r="4589" spans="1:12" x14ac:dyDescent="0.35">
      <c r="A4589" s="3"/>
      <c r="B4589" s="2"/>
      <c r="C4589" s="2"/>
      <c r="D4589" s="2" t="b">
        <f>IF(AND(NOT(ISBLANK(Table1[[#This Row],[Fetal Sex (Male, Female or Unknown)]])),ISNUMBER(Table1[[#This Row],[Birthweight (grams)]]),ISNUMBER(Table1[[#This Row],[Gestation (days)]])),TRUE,FALSE)</f>
        <v>0</v>
      </c>
      <c r="E4589" s="2" t="str">
        <f>IF(Table1[[#This Row],[Is Data Valid]]=TRUE,IF(Table1[[#This Row],[Fetal Sex (Male, Female or Unknown)]]="Male",Backend!$C$6,IF(Table1[[#This Row],[Fetal Sex (Male, Female or Unknown)]]="Female",Backend!$C$7,IF(Table1[[#This Row],[Fetal Sex (Male, Female or Unknown)]]="Unknown",Backend!$C$8,"Error"))),"")</f>
        <v/>
      </c>
      <c r="F4589" s="8" t="str">
        <f>IF(Table1[[#This Row],[Is Data Valid]]=TRUE,EXP(0.578+0.332*((Table1[[#This Row],[Gestation (days)]]+0.5)/7)-0.00354*((Table1[[#This Row],[Gestation (days)]]+0.5)/7)^2)*Table1[[#This Row],[BW40_3705]],"")</f>
        <v/>
      </c>
      <c r="G4589" s="2" t="str">
        <f>IF(Table1[[#This Row],[Is Data Valid]]=TRUE,((Table1[[#This Row],[Birthweight (grams)]]/Table1[[#This Row],[BW_GA]])-1)/(Backend!$B$4/100*Table1[[#This Row],[BW40_3705]]),"")</f>
        <v/>
      </c>
      <c r="H4589" s="7" t="str">
        <f>IF(Table1[[#This Row],[Is Data Valid]]=TRUE,((Table1[[#This Row],[Birthweight (grams)]]*0.9/Table1[[#This Row],[BW_GA]])-1)/(Backend!$B$4/100*Table1[[#This Row],[BW40_3705]]),"")</f>
        <v/>
      </c>
      <c r="I4589" s="7" t="str">
        <f>IF(Table1[[#This Row],[Is Data Valid]]=TRUE,((Table1[[#This Row],[Birthweight (grams)]]*1.1/Table1[[#This Row],[BW_GA]])-1)/(Backend!$B$4/100*Table1[[#This Row],[BW40_3705]]),"")</f>
        <v/>
      </c>
      <c r="J4589" s="7" t="str">
        <f>IF(Table1[[#This Row],[Is Data Valid]]=TRUE,_xlfn.NORM.S.DIST(Table1[[#This Row],[Birthweight Z-Score]],TRUE)*100,"")</f>
        <v/>
      </c>
      <c r="K4589" s="7" t="str">
        <f>IF(Table1[[#This Row],[Is Data Valid]]=TRUE,_xlfn.NORM.S.DIST(Table1[[#This Row],[Birthweight Z-Score (BW-10%)]],TRUE)*100,"")</f>
        <v/>
      </c>
      <c r="L4589" s="7" t="str">
        <f>IF(Table1[[#This Row],[Is Data Valid]]=TRUE,_xlfn.NORM.S.DIST(Table1[[#This Row],[Birthweight Z-Score (BW+10%)]],TRUE)*100,"")</f>
        <v/>
      </c>
    </row>
    <row r="4590" spans="1:12" x14ac:dyDescent="0.35">
      <c r="A4590" s="3"/>
      <c r="B4590" s="2"/>
      <c r="C4590" s="2"/>
      <c r="D4590" s="2" t="b">
        <f>IF(AND(NOT(ISBLANK(Table1[[#This Row],[Fetal Sex (Male, Female or Unknown)]])),ISNUMBER(Table1[[#This Row],[Birthweight (grams)]]),ISNUMBER(Table1[[#This Row],[Gestation (days)]])),TRUE,FALSE)</f>
        <v>0</v>
      </c>
      <c r="E4590" s="2" t="str">
        <f>IF(Table1[[#This Row],[Is Data Valid]]=TRUE,IF(Table1[[#This Row],[Fetal Sex (Male, Female or Unknown)]]="Male",Backend!$C$6,IF(Table1[[#This Row],[Fetal Sex (Male, Female or Unknown)]]="Female",Backend!$C$7,IF(Table1[[#This Row],[Fetal Sex (Male, Female or Unknown)]]="Unknown",Backend!$C$8,"Error"))),"")</f>
        <v/>
      </c>
      <c r="F4590" s="8" t="str">
        <f>IF(Table1[[#This Row],[Is Data Valid]]=TRUE,EXP(0.578+0.332*((Table1[[#This Row],[Gestation (days)]]+0.5)/7)-0.00354*((Table1[[#This Row],[Gestation (days)]]+0.5)/7)^2)*Table1[[#This Row],[BW40_3705]],"")</f>
        <v/>
      </c>
      <c r="G4590" s="2" t="str">
        <f>IF(Table1[[#This Row],[Is Data Valid]]=TRUE,((Table1[[#This Row],[Birthweight (grams)]]/Table1[[#This Row],[BW_GA]])-1)/(Backend!$B$4/100*Table1[[#This Row],[BW40_3705]]),"")</f>
        <v/>
      </c>
      <c r="H4590" s="7" t="str">
        <f>IF(Table1[[#This Row],[Is Data Valid]]=TRUE,((Table1[[#This Row],[Birthweight (grams)]]*0.9/Table1[[#This Row],[BW_GA]])-1)/(Backend!$B$4/100*Table1[[#This Row],[BW40_3705]]),"")</f>
        <v/>
      </c>
      <c r="I4590" s="7" t="str">
        <f>IF(Table1[[#This Row],[Is Data Valid]]=TRUE,((Table1[[#This Row],[Birthweight (grams)]]*1.1/Table1[[#This Row],[BW_GA]])-1)/(Backend!$B$4/100*Table1[[#This Row],[BW40_3705]]),"")</f>
        <v/>
      </c>
      <c r="J4590" s="7" t="str">
        <f>IF(Table1[[#This Row],[Is Data Valid]]=TRUE,_xlfn.NORM.S.DIST(Table1[[#This Row],[Birthweight Z-Score]],TRUE)*100,"")</f>
        <v/>
      </c>
      <c r="K4590" s="7" t="str">
        <f>IF(Table1[[#This Row],[Is Data Valid]]=TRUE,_xlfn.NORM.S.DIST(Table1[[#This Row],[Birthweight Z-Score (BW-10%)]],TRUE)*100,"")</f>
        <v/>
      </c>
      <c r="L4590" s="7" t="str">
        <f>IF(Table1[[#This Row],[Is Data Valid]]=TRUE,_xlfn.NORM.S.DIST(Table1[[#This Row],[Birthweight Z-Score (BW+10%)]],TRUE)*100,"")</f>
        <v/>
      </c>
    </row>
    <row r="4591" spans="1:12" x14ac:dyDescent="0.35">
      <c r="A4591" s="3"/>
      <c r="B4591" s="2"/>
      <c r="C4591" s="2"/>
      <c r="D4591" s="2" t="b">
        <f>IF(AND(NOT(ISBLANK(Table1[[#This Row],[Fetal Sex (Male, Female or Unknown)]])),ISNUMBER(Table1[[#This Row],[Birthweight (grams)]]),ISNUMBER(Table1[[#This Row],[Gestation (days)]])),TRUE,FALSE)</f>
        <v>0</v>
      </c>
      <c r="E4591" s="2" t="str">
        <f>IF(Table1[[#This Row],[Is Data Valid]]=TRUE,IF(Table1[[#This Row],[Fetal Sex (Male, Female or Unknown)]]="Male",Backend!$C$6,IF(Table1[[#This Row],[Fetal Sex (Male, Female or Unknown)]]="Female",Backend!$C$7,IF(Table1[[#This Row],[Fetal Sex (Male, Female or Unknown)]]="Unknown",Backend!$C$8,"Error"))),"")</f>
        <v/>
      </c>
      <c r="F4591" s="8" t="str">
        <f>IF(Table1[[#This Row],[Is Data Valid]]=TRUE,EXP(0.578+0.332*((Table1[[#This Row],[Gestation (days)]]+0.5)/7)-0.00354*((Table1[[#This Row],[Gestation (days)]]+0.5)/7)^2)*Table1[[#This Row],[BW40_3705]],"")</f>
        <v/>
      </c>
      <c r="G4591" s="2" t="str">
        <f>IF(Table1[[#This Row],[Is Data Valid]]=TRUE,((Table1[[#This Row],[Birthweight (grams)]]/Table1[[#This Row],[BW_GA]])-1)/(Backend!$B$4/100*Table1[[#This Row],[BW40_3705]]),"")</f>
        <v/>
      </c>
      <c r="H4591" s="7" t="str">
        <f>IF(Table1[[#This Row],[Is Data Valid]]=TRUE,((Table1[[#This Row],[Birthweight (grams)]]*0.9/Table1[[#This Row],[BW_GA]])-1)/(Backend!$B$4/100*Table1[[#This Row],[BW40_3705]]),"")</f>
        <v/>
      </c>
      <c r="I4591" s="7" t="str">
        <f>IF(Table1[[#This Row],[Is Data Valid]]=TRUE,((Table1[[#This Row],[Birthweight (grams)]]*1.1/Table1[[#This Row],[BW_GA]])-1)/(Backend!$B$4/100*Table1[[#This Row],[BW40_3705]]),"")</f>
        <v/>
      </c>
      <c r="J4591" s="7" t="str">
        <f>IF(Table1[[#This Row],[Is Data Valid]]=TRUE,_xlfn.NORM.S.DIST(Table1[[#This Row],[Birthweight Z-Score]],TRUE)*100,"")</f>
        <v/>
      </c>
      <c r="K4591" s="7" t="str">
        <f>IF(Table1[[#This Row],[Is Data Valid]]=TRUE,_xlfn.NORM.S.DIST(Table1[[#This Row],[Birthweight Z-Score (BW-10%)]],TRUE)*100,"")</f>
        <v/>
      </c>
      <c r="L4591" s="7" t="str">
        <f>IF(Table1[[#This Row],[Is Data Valid]]=TRUE,_xlfn.NORM.S.DIST(Table1[[#This Row],[Birthweight Z-Score (BW+10%)]],TRUE)*100,"")</f>
        <v/>
      </c>
    </row>
    <row r="4592" spans="1:12" x14ac:dyDescent="0.35">
      <c r="A4592" s="3"/>
      <c r="B4592" s="2"/>
      <c r="C4592" s="2"/>
      <c r="D4592" s="2" t="b">
        <f>IF(AND(NOT(ISBLANK(Table1[[#This Row],[Fetal Sex (Male, Female or Unknown)]])),ISNUMBER(Table1[[#This Row],[Birthweight (grams)]]),ISNUMBER(Table1[[#This Row],[Gestation (days)]])),TRUE,FALSE)</f>
        <v>0</v>
      </c>
      <c r="E4592" s="2" t="str">
        <f>IF(Table1[[#This Row],[Is Data Valid]]=TRUE,IF(Table1[[#This Row],[Fetal Sex (Male, Female or Unknown)]]="Male",Backend!$C$6,IF(Table1[[#This Row],[Fetal Sex (Male, Female or Unknown)]]="Female",Backend!$C$7,IF(Table1[[#This Row],[Fetal Sex (Male, Female or Unknown)]]="Unknown",Backend!$C$8,"Error"))),"")</f>
        <v/>
      </c>
      <c r="F4592" s="8" t="str">
        <f>IF(Table1[[#This Row],[Is Data Valid]]=TRUE,EXP(0.578+0.332*((Table1[[#This Row],[Gestation (days)]]+0.5)/7)-0.00354*((Table1[[#This Row],[Gestation (days)]]+0.5)/7)^2)*Table1[[#This Row],[BW40_3705]],"")</f>
        <v/>
      </c>
      <c r="G4592" s="2" t="str">
        <f>IF(Table1[[#This Row],[Is Data Valid]]=TRUE,((Table1[[#This Row],[Birthweight (grams)]]/Table1[[#This Row],[BW_GA]])-1)/(Backend!$B$4/100*Table1[[#This Row],[BW40_3705]]),"")</f>
        <v/>
      </c>
      <c r="H4592" s="7" t="str">
        <f>IF(Table1[[#This Row],[Is Data Valid]]=TRUE,((Table1[[#This Row],[Birthweight (grams)]]*0.9/Table1[[#This Row],[BW_GA]])-1)/(Backend!$B$4/100*Table1[[#This Row],[BW40_3705]]),"")</f>
        <v/>
      </c>
      <c r="I4592" s="7" t="str">
        <f>IF(Table1[[#This Row],[Is Data Valid]]=TRUE,((Table1[[#This Row],[Birthweight (grams)]]*1.1/Table1[[#This Row],[BW_GA]])-1)/(Backend!$B$4/100*Table1[[#This Row],[BW40_3705]]),"")</f>
        <v/>
      </c>
      <c r="J4592" s="7" t="str">
        <f>IF(Table1[[#This Row],[Is Data Valid]]=TRUE,_xlfn.NORM.S.DIST(Table1[[#This Row],[Birthweight Z-Score]],TRUE)*100,"")</f>
        <v/>
      </c>
      <c r="K4592" s="7" t="str">
        <f>IF(Table1[[#This Row],[Is Data Valid]]=TRUE,_xlfn.NORM.S.DIST(Table1[[#This Row],[Birthweight Z-Score (BW-10%)]],TRUE)*100,"")</f>
        <v/>
      </c>
      <c r="L4592" s="7" t="str">
        <f>IF(Table1[[#This Row],[Is Data Valid]]=TRUE,_xlfn.NORM.S.DIST(Table1[[#This Row],[Birthweight Z-Score (BW+10%)]],TRUE)*100,"")</f>
        <v/>
      </c>
    </row>
    <row r="4593" spans="1:12" x14ac:dyDescent="0.35">
      <c r="A4593" s="3"/>
      <c r="B4593" s="2"/>
      <c r="C4593" s="2"/>
      <c r="D4593" s="2" t="b">
        <f>IF(AND(NOT(ISBLANK(Table1[[#This Row],[Fetal Sex (Male, Female or Unknown)]])),ISNUMBER(Table1[[#This Row],[Birthweight (grams)]]),ISNUMBER(Table1[[#This Row],[Gestation (days)]])),TRUE,FALSE)</f>
        <v>0</v>
      </c>
      <c r="E4593" s="2" t="str">
        <f>IF(Table1[[#This Row],[Is Data Valid]]=TRUE,IF(Table1[[#This Row],[Fetal Sex (Male, Female or Unknown)]]="Male",Backend!$C$6,IF(Table1[[#This Row],[Fetal Sex (Male, Female or Unknown)]]="Female",Backend!$C$7,IF(Table1[[#This Row],[Fetal Sex (Male, Female or Unknown)]]="Unknown",Backend!$C$8,"Error"))),"")</f>
        <v/>
      </c>
      <c r="F4593" s="8" t="str">
        <f>IF(Table1[[#This Row],[Is Data Valid]]=TRUE,EXP(0.578+0.332*((Table1[[#This Row],[Gestation (days)]]+0.5)/7)-0.00354*((Table1[[#This Row],[Gestation (days)]]+0.5)/7)^2)*Table1[[#This Row],[BW40_3705]],"")</f>
        <v/>
      </c>
      <c r="G4593" s="2" t="str">
        <f>IF(Table1[[#This Row],[Is Data Valid]]=TRUE,((Table1[[#This Row],[Birthweight (grams)]]/Table1[[#This Row],[BW_GA]])-1)/(Backend!$B$4/100*Table1[[#This Row],[BW40_3705]]),"")</f>
        <v/>
      </c>
      <c r="H4593" s="7" t="str">
        <f>IF(Table1[[#This Row],[Is Data Valid]]=TRUE,((Table1[[#This Row],[Birthweight (grams)]]*0.9/Table1[[#This Row],[BW_GA]])-1)/(Backend!$B$4/100*Table1[[#This Row],[BW40_3705]]),"")</f>
        <v/>
      </c>
      <c r="I4593" s="7" t="str">
        <f>IF(Table1[[#This Row],[Is Data Valid]]=TRUE,((Table1[[#This Row],[Birthweight (grams)]]*1.1/Table1[[#This Row],[BW_GA]])-1)/(Backend!$B$4/100*Table1[[#This Row],[BW40_3705]]),"")</f>
        <v/>
      </c>
      <c r="J4593" s="7" t="str">
        <f>IF(Table1[[#This Row],[Is Data Valid]]=TRUE,_xlfn.NORM.S.DIST(Table1[[#This Row],[Birthweight Z-Score]],TRUE)*100,"")</f>
        <v/>
      </c>
      <c r="K4593" s="7" t="str">
        <f>IF(Table1[[#This Row],[Is Data Valid]]=TRUE,_xlfn.NORM.S.DIST(Table1[[#This Row],[Birthweight Z-Score (BW-10%)]],TRUE)*100,"")</f>
        <v/>
      </c>
      <c r="L4593" s="7" t="str">
        <f>IF(Table1[[#This Row],[Is Data Valid]]=TRUE,_xlfn.NORM.S.DIST(Table1[[#This Row],[Birthweight Z-Score (BW+10%)]],TRUE)*100,"")</f>
        <v/>
      </c>
    </row>
    <row r="4594" spans="1:12" x14ac:dyDescent="0.35">
      <c r="A4594" s="3"/>
      <c r="B4594" s="2"/>
      <c r="C4594" s="2"/>
      <c r="D4594" s="2" t="b">
        <f>IF(AND(NOT(ISBLANK(Table1[[#This Row],[Fetal Sex (Male, Female or Unknown)]])),ISNUMBER(Table1[[#This Row],[Birthweight (grams)]]),ISNUMBER(Table1[[#This Row],[Gestation (days)]])),TRUE,FALSE)</f>
        <v>0</v>
      </c>
      <c r="E4594" s="2" t="str">
        <f>IF(Table1[[#This Row],[Is Data Valid]]=TRUE,IF(Table1[[#This Row],[Fetal Sex (Male, Female or Unknown)]]="Male",Backend!$C$6,IF(Table1[[#This Row],[Fetal Sex (Male, Female or Unknown)]]="Female",Backend!$C$7,IF(Table1[[#This Row],[Fetal Sex (Male, Female or Unknown)]]="Unknown",Backend!$C$8,"Error"))),"")</f>
        <v/>
      </c>
      <c r="F4594" s="8" t="str">
        <f>IF(Table1[[#This Row],[Is Data Valid]]=TRUE,EXP(0.578+0.332*((Table1[[#This Row],[Gestation (days)]]+0.5)/7)-0.00354*((Table1[[#This Row],[Gestation (days)]]+0.5)/7)^2)*Table1[[#This Row],[BW40_3705]],"")</f>
        <v/>
      </c>
      <c r="G4594" s="2" t="str">
        <f>IF(Table1[[#This Row],[Is Data Valid]]=TRUE,((Table1[[#This Row],[Birthweight (grams)]]/Table1[[#This Row],[BW_GA]])-1)/(Backend!$B$4/100*Table1[[#This Row],[BW40_3705]]),"")</f>
        <v/>
      </c>
      <c r="H4594" s="7" t="str">
        <f>IF(Table1[[#This Row],[Is Data Valid]]=TRUE,((Table1[[#This Row],[Birthweight (grams)]]*0.9/Table1[[#This Row],[BW_GA]])-1)/(Backend!$B$4/100*Table1[[#This Row],[BW40_3705]]),"")</f>
        <v/>
      </c>
      <c r="I4594" s="7" t="str">
        <f>IF(Table1[[#This Row],[Is Data Valid]]=TRUE,((Table1[[#This Row],[Birthweight (grams)]]*1.1/Table1[[#This Row],[BW_GA]])-1)/(Backend!$B$4/100*Table1[[#This Row],[BW40_3705]]),"")</f>
        <v/>
      </c>
      <c r="J4594" s="7" t="str">
        <f>IF(Table1[[#This Row],[Is Data Valid]]=TRUE,_xlfn.NORM.S.DIST(Table1[[#This Row],[Birthweight Z-Score]],TRUE)*100,"")</f>
        <v/>
      </c>
      <c r="K4594" s="7" t="str">
        <f>IF(Table1[[#This Row],[Is Data Valid]]=TRUE,_xlfn.NORM.S.DIST(Table1[[#This Row],[Birthweight Z-Score (BW-10%)]],TRUE)*100,"")</f>
        <v/>
      </c>
      <c r="L4594" s="7" t="str">
        <f>IF(Table1[[#This Row],[Is Data Valid]]=TRUE,_xlfn.NORM.S.DIST(Table1[[#This Row],[Birthweight Z-Score (BW+10%)]],TRUE)*100,"")</f>
        <v/>
      </c>
    </row>
    <row r="4595" spans="1:12" x14ac:dyDescent="0.35">
      <c r="A4595" s="3"/>
      <c r="B4595" s="2"/>
      <c r="C4595" s="2"/>
      <c r="D4595" s="2" t="b">
        <f>IF(AND(NOT(ISBLANK(Table1[[#This Row],[Fetal Sex (Male, Female or Unknown)]])),ISNUMBER(Table1[[#This Row],[Birthweight (grams)]]),ISNUMBER(Table1[[#This Row],[Gestation (days)]])),TRUE,FALSE)</f>
        <v>0</v>
      </c>
      <c r="E4595" s="2" t="str">
        <f>IF(Table1[[#This Row],[Is Data Valid]]=TRUE,IF(Table1[[#This Row],[Fetal Sex (Male, Female or Unknown)]]="Male",Backend!$C$6,IF(Table1[[#This Row],[Fetal Sex (Male, Female or Unknown)]]="Female",Backend!$C$7,IF(Table1[[#This Row],[Fetal Sex (Male, Female or Unknown)]]="Unknown",Backend!$C$8,"Error"))),"")</f>
        <v/>
      </c>
      <c r="F4595" s="8" t="str">
        <f>IF(Table1[[#This Row],[Is Data Valid]]=TRUE,EXP(0.578+0.332*((Table1[[#This Row],[Gestation (days)]]+0.5)/7)-0.00354*((Table1[[#This Row],[Gestation (days)]]+0.5)/7)^2)*Table1[[#This Row],[BW40_3705]],"")</f>
        <v/>
      </c>
      <c r="G4595" s="2" t="str">
        <f>IF(Table1[[#This Row],[Is Data Valid]]=TRUE,((Table1[[#This Row],[Birthweight (grams)]]/Table1[[#This Row],[BW_GA]])-1)/(Backend!$B$4/100*Table1[[#This Row],[BW40_3705]]),"")</f>
        <v/>
      </c>
      <c r="H4595" s="7" t="str">
        <f>IF(Table1[[#This Row],[Is Data Valid]]=TRUE,((Table1[[#This Row],[Birthweight (grams)]]*0.9/Table1[[#This Row],[BW_GA]])-1)/(Backend!$B$4/100*Table1[[#This Row],[BW40_3705]]),"")</f>
        <v/>
      </c>
      <c r="I4595" s="7" t="str">
        <f>IF(Table1[[#This Row],[Is Data Valid]]=TRUE,((Table1[[#This Row],[Birthweight (grams)]]*1.1/Table1[[#This Row],[BW_GA]])-1)/(Backend!$B$4/100*Table1[[#This Row],[BW40_3705]]),"")</f>
        <v/>
      </c>
      <c r="J4595" s="7" t="str">
        <f>IF(Table1[[#This Row],[Is Data Valid]]=TRUE,_xlfn.NORM.S.DIST(Table1[[#This Row],[Birthweight Z-Score]],TRUE)*100,"")</f>
        <v/>
      </c>
      <c r="K4595" s="7" t="str">
        <f>IF(Table1[[#This Row],[Is Data Valid]]=TRUE,_xlfn.NORM.S.DIST(Table1[[#This Row],[Birthweight Z-Score (BW-10%)]],TRUE)*100,"")</f>
        <v/>
      </c>
      <c r="L4595" s="7" t="str">
        <f>IF(Table1[[#This Row],[Is Data Valid]]=TRUE,_xlfn.NORM.S.DIST(Table1[[#This Row],[Birthweight Z-Score (BW+10%)]],TRUE)*100,"")</f>
        <v/>
      </c>
    </row>
    <row r="4596" spans="1:12" x14ac:dyDescent="0.35">
      <c r="A4596" s="3"/>
      <c r="B4596" s="2"/>
      <c r="C4596" s="2"/>
      <c r="D4596" s="2" t="b">
        <f>IF(AND(NOT(ISBLANK(Table1[[#This Row],[Fetal Sex (Male, Female or Unknown)]])),ISNUMBER(Table1[[#This Row],[Birthweight (grams)]]),ISNUMBER(Table1[[#This Row],[Gestation (days)]])),TRUE,FALSE)</f>
        <v>0</v>
      </c>
      <c r="E4596" s="2" t="str">
        <f>IF(Table1[[#This Row],[Is Data Valid]]=TRUE,IF(Table1[[#This Row],[Fetal Sex (Male, Female or Unknown)]]="Male",Backend!$C$6,IF(Table1[[#This Row],[Fetal Sex (Male, Female or Unknown)]]="Female",Backend!$C$7,IF(Table1[[#This Row],[Fetal Sex (Male, Female or Unknown)]]="Unknown",Backend!$C$8,"Error"))),"")</f>
        <v/>
      </c>
      <c r="F4596" s="8" t="str">
        <f>IF(Table1[[#This Row],[Is Data Valid]]=TRUE,EXP(0.578+0.332*((Table1[[#This Row],[Gestation (days)]]+0.5)/7)-0.00354*((Table1[[#This Row],[Gestation (days)]]+0.5)/7)^2)*Table1[[#This Row],[BW40_3705]],"")</f>
        <v/>
      </c>
      <c r="G4596" s="2" t="str">
        <f>IF(Table1[[#This Row],[Is Data Valid]]=TRUE,((Table1[[#This Row],[Birthweight (grams)]]/Table1[[#This Row],[BW_GA]])-1)/(Backend!$B$4/100*Table1[[#This Row],[BW40_3705]]),"")</f>
        <v/>
      </c>
      <c r="H4596" s="7" t="str">
        <f>IF(Table1[[#This Row],[Is Data Valid]]=TRUE,((Table1[[#This Row],[Birthweight (grams)]]*0.9/Table1[[#This Row],[BW_GA]])-1)/(Backend!$B$4/100*Table1[[#This Row],[BW40_3705]]),"")</f>
        <v/>
      </c>
      <c r="I4596" s="7" t="str">
        <f>IF(Table1[[#This Row],[Is Data Valid]]=TRUE,((Table1[[#This Row],[Birthweight (grams)]]*1.1/Table1[[#This Row],[BW_GA]])-1)/(Backend!$B$4/100*Table1[[#This Row],[BW40_3705]]),"")</f>
        <v/>
      </c>
      <c r="J4596" s="7" t="str">
        <f>IF(Table1[[#This Row],[Is Data Valid]]=TRUE,_xlfn.NORM.S.DIST(Table1[[#This Row],[Birthweight Z-Score]],TRUE)*100,"")</f>
        <v/>
      </c>
      <c r="K4596" s="7" t="str">
        <f>IF(Table1[[#This Row],[Is Data Valid]]=TRUE,_xlfn.NORM.S.DIST(Table1[[#This Row],[Birthweight Z-Score (BW-10%)]],TRUE)*100,"")</f>
        <v/>
      </c>
      <c r="L4596" s="7" t="str">
        <f>IF(Table1[[#This Row],[Is Data Valid]]=TRUE,_xlfn.NORM.S.DIST(Table1[[#This Row],[Birthweight Z-Score (BW+10%)]],TRUE)*100,"")</f>
        <v/>
      </c>
    </row>
    <row r="4597" spans="1:12" x14ac:dyDescent="0.35">
      <c r="A4597" s="3"/>
      <c r="B4597" s="2"/>
      <c r="C4597" s="2"/>
      <c r="D4597" s="2" t="b">
        <f>IF(AND(NOT(ISBLANK(Table1[[#This Row],[Fetal Sex (Male, Female or Unknown)]])),ISNUMBER(Table1[[#This Row],[Birthweight (grams)]]),ISNUMBER(Table1[[#This Row],[Gestation (days)]])),TRUE,FALSE)</f>
        <v>0</v>
      </c>
      <c r="E4597" s="2" t="str">
        <f>IF(Table1[[#This Row],[Is Data Valid]]=TRUE,IF(Table1[[#This Row],[Fetal Sex (Male, Female or Unknown)]]="Male",Backend!$C$6,IF(Table1[[#This Row],[Fetal Sex (Male, Female or Unknown)]]="Female",Backend!$C$7,IF(Table1[[#This Row],[Fetal Sex (Male, Female or Unknown)]]="Unknown",Backend!$C$8,"Error"))),"")</f>
        <v/>
      </c>
      <c r="F4597" s="8" t="str">
        <f>IF(Table1[[#This Row],[Is Data Valid]]=TRUE,EXP(0.578+0.332*((Table1[[#This Row],[Gestation (days)]]+0.5)/7)-0.00354*((Table1[[#This Row],[Gestation (days)]]+0.5)/7)^2)*Table1[[#This Row],[BW40_3705]],"")</f>
        <v/>
      </c>
      <c r="G4597" s="2" t="str">
        <f>IF(Table1[[#This Row],[Is Data Valid]]=TRUE,((Table1[[#This Row],[Birthweight (grams)]]/Table1[[#This Row],[BW_GA]])-1)/(Backend!$B$4/100*Table1[[#This Row],[BW40_3705]]),"")</f>
        <v/>
      </c>
      <c r="H4597" s="7" t="str">
        <f>IF(Table1[[#This Row],[Is Data Valid]]=TRUE,((Table1[[#This Row],[Birthweight (grams)]]*0.9/Table1[[#This Row],[BW_GA]])-1)/(Backend!$B$4/100*Table1[[#This Row],[BW40_3705]]),"")</f>
        <v/>
      </c>
      <c r="I4597" s="7" t="str">
        <f>IF(Table1[[#This Row],[Is Data Valid]]=TRUE,((Table1[[#This Row],[Birthweight (grams)]]*1.1/Table1[[#This Row],[BW_GA]])-1)/(Backend!$B$4/100*Table1[[#This Row],[BW40_3705]]),"")</f>
        <v/>
      </c>
      <c r="J4597" s="7" t="str">
        <f>IF(Table1[[#This Row],[Is Data Valid]]=TRUE,_xlfn.NORM.S.DIST(Table1[[#This Row],[Birthweight Z-Score]],TRUE)*100,"")</f>
        <v/>
      </c>
      <c r="K4597" s="7" t="str">
        <f>IF(Table1[[#This Row],[Is Data Valid]]=TRUE,_xlfn.NORM.S.DIST(Table1[[#This Row],[Birthweight Z-Score (BW-10%)]],TRUE)*100,"")</f>
        <v/>
      </c>
      <c r="L4597" s="7" t="str">
        <f>IF(Table1[[#This Row],[Is Data Valid]]=TRUE,_xlfn.NORM.S.DIST(Table1[[#This Row],[Birthweight Z-Score (BW+10%)]],TRUE)*100,"")</f>
        <v/>
      </c>
    </row>
    <row r="4598" spans="1:12" x14ac:dyDescent="0.35">
      <c r="A4598" s="3"/>
      <c r="B4598" s="2"/>
      <c r="C4598" s="2"/>
      <c r="D4598" s="2" t="b">
        <f>IF(AND(NOT(ISBLANK(Table1[[#This Row],[Fetal Sex (Male, Female or Unknown)]])),ISNUMBER(Table1[[#This Row],[Birthweight (grams)]]),ISNUMBER(Table1[[#This Row],[Gestation (days)]])),TRUE,FALSE)</f>
        <v>0</v>
      </c>
      <c r="E4598" s="2" t="str">
        <f>IF(Table1[[#This Row],[Is Data Valid]]=TRUE,IF(Table1[[#This Row],[Fetal Sex (Male, Female or Unknown)]]="Male",Backend!$C$6,IF(Table1[[#This Row],[Fetal Sex (Male, Female or Unknown)]]="Female",Backend!$C$7,IF(Table1[[#This Row],[Fetal Sex (Male, Female or Unknown)]]="Unknown",Backend!$C$8,"Error"))),"")</f>
        <v/>
      </c>
      <c r="F4598" s="8" t="str">
        <f>IF(Table1[[#This Row],[Is Data Valid]]=TRUE,EXP(0.578+0.332*((Table1[[#This Row],[Gestation (days)]]+0.5)/7)-0.00354*((Table1[[#This Row],[Gestation (days)]]+0.5)/7)^2)*Table1[[#This Row],[BW40_3705]],"")</f>
        <v/>
      </c>
      <c r="G4598" s="2" t="str">
        <f>IF(Table1[[#This Row],[Is Data Valid]]=TRUE,((Table1[[#This Row],[Birthweight (grams)]]/Table1[[#This Row],[BW_GA]])-1)/(Backend!$B$4/100*Table1[[#This Row],[BW40_3705]]),"")</f>
        <v/>
      </c>
      <c r="H4598" s="7" t="str">
        <f>IF(Table1[[#This Row],[Is Data Valid]]=TRUE,((Table1[[#This Row],[Birthweight (grams)]]*0.9/Table1[[#This Row],[BW_GA]])-1)/(Backend!$B$4/100*Table1[[#This Row],[BW40_3705]]),"")</f>
        <v/>
      </c>
      <c r="I4598" s="7" t="str">
        <f>IF(Table1[[#This Row],[Is Data Valid]]=TRUE,((Table1[[#This Row],[Birthweight (grams)]]*1.1/Table1[[#This Row],[BW_GA]])-1)/(Backend!$B$4/100*Table1[[#This Row],[BW40_3705]]),"")</f>
        <v/>
      </c>
      <c r="J4598" s="7" t="str">
        <f>IF(Table1[[#This Row],[Is Data Valid]]=TRUE,_xlfn.NORM.S.DIST(Table1[[#This Row],[Birthweight Z-Score]],TRUE)*100,"")</f>
        <v/>
      </c>
      <c r="K4598" s="7" t="str">
        <f>IF(Table1[[#This Row],[Is Data Valid]]=TRUE,_xlfn.NORM.S.DIST(Table1[[#This Row],[Birthweight Z-Score (BW-10%)]],TRUE)*100,"")</f>
        <v/>
      </c>
      <c r="L4598" s="7" t="str">
        <f>IF(Table1[[#This Row],[Is Data Valid]]=TRUE,_xlfn.NORM.S.DIST(Table1[[#This Row],[Birthweight Z-Score (BW+10%)]],TRUE)*100,"")</f>
        <v/>
      </c>
    </row>
    <row r="4599" spans="1:12" x14ac:dyDescent="0.35">
      <c r="A4599" s="3"/>
      <c r="B4599" s="2"/>
      <c r="C4599" s="2"/>
      <c r="D4599" s="2" t="b">
        <f>IF(AND(NOT(ISBLANK(Table1[[#This Row],[Fetal Sex (Male, Female or Unknown)]])),ISNUMBER(Table1[[#This Row],[Birthweight (grams)]]),ISNUMBER(Table1[[#This Row],[Gestation (days)]])),TRUE,FALSE)</f>
        <v>0</v>
      </c>
      <c r="E4599" s="2" t="str">
        <f>IF(Table1[[#This Row],[Is Data Valid]]=TRUE,IF(Table1[[#This Row],[Fetal Sex (Male, Female or Unknown)]]="Male",Backend!$C$6,IF(Table1[[#This Row],[Fetal Sex (Male, Female or Unknown)]]="Female",Backend!$C$7,IF(Table1[[#This Row],[Fetal Sex (Male, Female or Unknown)]]="Unknown",Backend!$C$8,"Error"))),"")</f>
        <v/>
      </c>
      <c r="F4599" s="8" t="str">
        <f>IF(Table1[[#This Row],[Is Data Valid]]=TRUE,EXP(0.578+0.332*((Table1[[#This Row],[Gestation (days)]]+0.5)/7)-0.00354*((Table1[[#This Row],[Gestation (days)]]+0.5)/7)^2)*Table1[[#This Row],[BW40_3705]],"")</f>
        <v/>
      </c>
      <c r="G4599" s="2" t="str">
        <f>IF(Table1[[#This Row],[Is Data Valid]]=TRUE,((Table1[[#This Row],[Birthweight (grams)]]/Table1[[#This Row],[BW_GA]])-1)/(Backend!$B$4/100*Table1[[#This Row],[BW40_3705]]),"")</f>
        <v/>
      </c>
      <c r="H4599" s="7" t="str">
        <f>IF(Table1[[#This Row],[Is Data Valid]]=TRUE,((Table1[[#This Row],[Birthweight (grams)]]*0.9/Table1[[#This Row],[BW_GA]])-1)/(Backend!$B$4/100*Table1[[#This Row],[BW40_3705]]),"")</f>
        <v/>
      </c>
      <c r="I4599" s="7" t="str">
        <f>IF(Table1[[#This Row],[Is Data Valid]]=TRUE,((Table1[[#This Row],[Birthweight (grams)]]*1.1/Table1[[#This Row],[BW_GA]])-1)/(Backend!$B$4/100*Table1[[#This Row],[BW40_3705]]),"")</f>
        <v/>
      </c>
      <c r="J4599" s="7" t="str">
        <f>IF(Table1[[#This Row],[Is Data Valid]]=TRUE,_xlfn.NORM.S.DIST(Table1[[#This Row],[Birthweight Z-Score]],TRUE)*100,"")</f>
        <v/>
      </c>
      <c r="K4599" s="7" t="str">
        <f>IF(Table1[[#This Row],[Is Data Valid]]=TRUE,_xlfn.NORM.S.DIST(Table1[[#This Row],[Birthweight Z-Score (BW-10%)]],TRUE)*100,"")</f>
        <v/>
      </c>
      <c r="L4599" s="7" t="str">
        <f>IF(Table1[[#This Row],[Is Data Valid]]=TRUE,_xlfn.NORM.S.DIST(Table1[[#This Row],[Birthweight Z-Score (BW+10%)]],TRUE)*100,"")</f>
        <v/>
      </c>
    </row>
    <row r="4600" spans="1:12" x14ac:dyDescent="0.35">
      <c r="A4600" s="3"/>
      <c r="B4600" s="2"/>
      <c r="C4600" s="2"/>
      <c r="D4600" s="2" t="b">
        <f>IF(AND(NOT(ISBLANK(Table1[[#This Row],[Fetal Sex (Male, Female or Unknown)]])),ISNUMBER(Table1[[#This Row],[Birthweight (grams)]]),ISNUMBER(Table1[[#This Row],[Gestation (days)]])),TRUE,FALSE)</f>
        <v>0</v>
      </c>
      <c r="E4600" s="2" t="str">
        <f>IF(Table1[[#This Row],[Is Data Valid]]=TRUE,IF(Table1[[#This Row],[Fetal Sex (Male, Female or Unknown)]]="Male",Backend!$C$6,IF(Table1[[#This Row],[Fetal Sex (Male, Female or Unknown)]]="Female",Backend!$C$7,IF(Table1[[#This Row],[Fetal Sex (Male, Female or Unknown)]]="Unknown",Backend!$C$8,"Error"))),"")</f>
        <v/>
      </c>
      <c r="F4600" s="8" t="str">
        <f>IF(Table1[[#This Row],[Is Data Valid]]=TRUE,EXP(0.578+0.332*((Table1[[#This Row],[Gestation (days)]]+0.5)/7)-0.00354*((Table1[[#This Row],[Gestation (days)]]+0.5)/7)^2)*Table1[[#This Row],[BW40_3705]],"")</f>
        <v/>
      </c>
      <c r="G4600" s="2" t="str">
        <f>IF(Table1[[#This Row],[Is Data Valid]]=TRUE,((Table1[[#This Row],[Birthweight (grams)]]/Table1[[#This Row],[BW_GA]])-1)/(Backend!$B$4/100*Table1[[#This Row],[BW40_3705]]),"")</f>
        <v/>
      </c>
      <c r="H4600" s="7" t="str">
        <f>IF(Table1[[#This Row],[Is Data Valid]]=TRUE,((Table1[[#This Row],[Birthweight (grams)]]*0.9/Table1[[#This Row],[BW_GA]])-1)/(Backend!$B$4/100*Table1[[#This Row],[BW40_3705]]),"")</f>
        <v/>
      </c>
      <c r="I4600" s="7" t="str">
        <f>IF(Table1[[#This Row],[Is Data Valid]]=TRUE,((Table1[[#This Row],[Birthweight (grams)]]*1.1/Table1[[#This Row],[BW_GA]])-1)/(Backend!$B$4/100*Table1[[#This Row],[BW40_3705]]),"")</f>
        <v/>
      </c>
      <c r="J4600" s="7" t="str">
        <f>IF(Table1[[#This Row],[Is Data Valid]]=TRUE,_xlfn.NORM.S.DIST(Table1[[#This Row],[Birthweight Z-Score]],TRUE)*100,"")</f>
        <v/>
      </c>
      <c r="K4600" s="7" t="str">
        <f>IF(Table1[[#This Row],[Is Data Valid]]=TRUE,_xlfn.NORM.S.DIST(Table1[[#This Row],[Birthweight Z-Score (BW-10%)]],TRUE)*100,"")</f>
        <v/>
      </c>
      <c r="L4600" s="7" t="str">
        <f>IF(Table1[[#This Row],[Is Data Valid]]=TRUE,_xlfn.NORM.S.DIST(Table1[[#This Row],[Birthweight Z-Score (BW+10%)]],TRUE)*100,"")</f>
        <v/>
      </c>
    </row>
    <row r="4601" spans="1:12" x14ac:dyDescent="0.35">
      <c r="A4601" s="3"/>
      <c r="B4601" s="2"/>
      <c r="C4601" s="2"/>
      <c r="D4601" s="2" t="b">
        <f>IF(AND(NOT(ISBLANK(Table1[[#This Row],[Fetal Sex (Male, Female or Unknown)]])),ISNUMBER(Table1[[#This Row],[Birthweight (grams)]]),ISNUMBER(Table1[[#This Row],[Gestation (days)]])),TRUE,FALSE)</f>
        <v>0</v>
      </c>
      <c r="E4601" s="2" t="str">
        <f>IF(Table1[[#This Row],[Is Data Valid]]=TRUE,IF(Table1[[#This Row],[Fetal Sex (Male, Female or Unknown)]]="Male",Backend!$C$6,IF(Table1[[#This Row],[Fetal Sex (Male, Female or Unknown)]]="Female",Backend!$C$7,IF(Table1[[#This Row],[Fetal Sex (Male, Female or Unknown)]]="Unknown",Backend!$C$8,"Error"))),"")</f>
        <v/>
      </c>
      <c r="F4601" s="8" t="str">
        <f>IF(Table1[[#This Row],[Is Data Valid]]=TRUE,EXP(0.578+0.332*((Table1[[#This Row],[Gestation (days)]]+0.5)/7)-0.00354*((Table1[[#This Row],[Gestation (days)]]+0.5)/7)^2)*Table1[[#This Row],[BW40_3705]],"")</f>
        <v/>
      </c>
      <c r="G4601" s="2" t="str">
        <f>IF(Table1[[#This Row],[Is Data Valid]]=TRUE,((Table1[[#This Row],[Birthweight (grams)]]/Table1[[#This Row],[BW_GA]])-1)/(Backend!$B$4/100*Table1[[#This Row],[BW40_3705]]),"")</f>
        <v/>
      </c>
      <c r="H4601" s="7" t="str">
        <f>IF(Table1[[#This Row],[Is Data Valid]]=TRUE,((Table1[[#This Row],[Birthweight (grams)]]*0.9/Table1[[#This Row],[BW_GA]])-1)/(Backend!$B$4/100*Table1[[#This Row],[BW40_3705]]),"")</f>
        <v/>
      </c>
      <c r="I4601" s="7" t="str">
        <f>IF(Table1[[#This Row],[Is Data Valid]]=TRUE,((Table1[[#This Row],[Birthweight (grams)]]*1.1/Table1[[#This Row],[BW_GA]])-1)/(Backend!$B$4/100*Table1[[#This Row],[BW40_3705]]),"")</f>
        <v/>
      </c>
      <c r="J4601" s="7" t="str">
        <f>IF(Table1[[#This Row],[Is Data Valid]]=TRUE,_xlfn.NORM.S.DIST(Table1[[#This Row],[Birthweight Z-Score]],TRUE)*100,"")</f>
        <v/>
      </c>
      <c r="K4601" s="7" t="str">
        <f>IF(Table1[[#This Row],[Is Data Valid]]=TRUE,_xlfn.NORM.S.DIST(Table1[[#This Row],[Birthweight Z-Score (BW-10%)]],TRUE)*100,"")</f>
        <v/>
      </c>
      <c r="L4601" s="7" t="str">
        <f>IF(Table1[[#This Row],[Is Data Valid]]=TRUE,_xlfn.NORM.S.DIST(Table1[[#This Row],[Birthweight Z-Score (BW+10%)]],TRUE)*100,"")</f>
        <v/>
      </c>
    </row>
    <row r="4602" spans="1:12" x14ac:dyDescent="0.35">
      <c r="A4602" s="3"/>
      <c r="B4602" s="2"/>
      <c r="C4602" s="2"/>
      <c r="D4602" s="2" t="b">
        <f>IF(AND(NOT(ISBLANK(Table1[[#This Row],[Fetal Sex (Male, Female or Unknown)]])),ISNUMBER(Table1[[#This Row],[Birthweight (grams)]]),ISNUMBER(Table1[[#This Row],[Gestation (days)]])),TRUE,FALSE)</f>
        <v>0</v>
      </c>
      <c r="E4602" s="2" t="str">
        <f>IF(Table1[[#This Row],[Is Data Valid]]=TRUE,IF(Table1[[#This Row],[Fetal Sex (Male, Female or Unknown)]]="Male",Backend!$C$6,IF(Table1[[#This Row],[Fetal Sex (Male, Female or Unknown)]]="Female",Backend!$C$7,IF(Table1[[#This Row],[Fetal Sex (Male, Female or Unknown)]]="Unknown",Backend!$C$8,"Error"))),"")</f>
        <v/>
      </c>
      <c r="F4602" s="8" t="str">
        <f>IF(Table1[[#This Row],[Is Data Valid]]=TRUE,EXP(0.578+0.332*((Table1[[#This Row],[Gestation (days)]]+0.5)/7)-0.00354*((Table1[[#This Row],[Gestation (days)]]+0.5)/7)^2)*Table1[[#This Row],[BW40_3705]],"")</f>
        <v/>
      </c>
      <c r="G4602" s="2" t="str">
        <f>IF(Table1[[#This Row],[Is Data Valid]]=TRUE,((Table1[[#This Row],[Birthweight (grams)]]/Table1[[#This Row],[BW_GA]])-1)/(Backend!$B$4/100*Table1[[#This Row],[BW40_3705]]),"")</f>
        <v/>
      </c>
      <c r="H4602" s="7" t="str">
        <f>IF(Table1[[#This Row],[Is Data Valid]]=TRUE,((Table1[[#This Row],[Birthweight (grams)]]*0.9/Table1[[#This Row],[BW_GA]])-1)/(Backend!$B$4/100*Table1[[#This Row],[BW40_3705]]),"")</f>
        <v/>
      </c>
      <c r="I4602" s="7" t="str">
        <f>IF(Table1[[#This Row],[Is Data Valid]]=TRUE,((Table1[[#This Row],[Birthweight (grams)]]*1.1/Table1[[#This Row],[BW_GA]])-1)/(Backend!$B$4/100*Table1[[#This Row],[BW40_3705]]),"")</f>
        <v/>
      </c>
      <c r="J4602" s="7" t="str">
        <f>IF(Table1[[#This Row],[Is Data Valid]]=TRUE,_xlfn.NORM.S.DIST(Table1[[#This Row],[Birthweight Z-Score]],TRUE)*100,"")</f>
        <v/>
      </c>
      <c r="K4602" s="7" t="str">
        <f>IF(Table1[[#This Row],[Is Data Valid]]=TRUE,_xlfn.NORM.S.DIST(Table1[[#This Row],[Birthweight Z-Score (BW-10%)]],TRUE)*100,"")</f>
        <v/>
      </c>
      <c r="L4602" s="7" t="str">
        <f>IF(Table1[[#This Row],[Is Data Valid]]=TRUE,_xlfn.NORM.S.DIST(Table1[[#This Row],[Birthweight Z-Score (BW+10%)]],TRUE)*100,"")</f>
        <v/>
      </c>
    </row>
    <row r="4603" spans="1:12" x14ac:dyDescent="0.35">
      <c r="A4603" s="3"/>
      <c r="B4603" s="2"/>
      <c r="C4603" s="2"/>
      <c r="D4603" s="2" t="b">
        <f>IF(AND(NOT(ISBLANK(Table1[[#This Row],[Fetal Sex (Male, Female or Unknown)]])),ISNUMBER(Table1[[#This Row],[Birthweight (grams)]]),ISNUMBER(Table1[[#This Row],[Gestation (days)]])),TRUE,FALSE)</f>
        <v>0</v>
      </c>
      <c r="E4603" s="2" t="str">
        <f>IF(Table1[[#This Row],[Is Data Valid]]=TRUE,IF(Table1[[#This Row],[Fetal Sex (Male, Female or Unknown)]]="Male",Backend!$C$6,IF(Table1[[#This Row],[Fetal Sex (Male, Female or Unknown)]]="Female",Backend!$C$7,IF(Table1[[#This Row],[Fetal Sex (Male, Female or Unknown)]]="Unknown",Backend!$C$8,"Error"))),"")</f>
        <v/>
      </c>
      <c r="F4603" s="8" t="str">
        <f>IF(Table1[[#This Row],[Is Data Valid]]=TRUE,EXP(0.578+0.332*((Table1[[#This Row],[Gestation (days)]]+0.5)/7)-0.00354*((Table1[[#This Row],[Gestation (days)]]+0.5)/7)^2)*Table1[[#This Row],[BW40_3705]],"")</f>
        <v/>
      </c>
      <c r="G4603" s="2" t="str">
        <f>IF(Table1[[#This Row],[Is Data Valid]]=TRUE,((Table1[[#This Row],[Birthweight (grams)]]/Table1[[#This Row],[BW_GA]])-1)/(Backend!$B$4/100*Table1[[#This Row],[BW40_3705]]),"")</f>
        <v/>
      </c>
      <c r="H4603" s="7" t="str">
        <f>IF(Table1[[#This Row],[Is Data Valid]]=TRUE,((Table1[[#This Row],[Birthweight (grams)]]*0.9/Table1[[#This Row],[BW_GA]])-1)/(Backend!$B$4/100*Table1[[#This Row],[BW40_3705]]),"")</f>
        <v/>
      </c>
      <c r="I4603" s="7" t="str">
        <f>IF(Table1[[#This Row],[Is Data Valid]]=TRUE,((Table1[[#This Row],[Birthweight (grams)]]*1.1/Table1[[#This Row],[BW_GA]])-1)/(Backend!$B$4/100*Table1[[#This Row],[BW40_3705]]),"")</f>
        <v/>
      </c>
      <c r="J4603" s="7" t="str">
        <f>IF(Table1[[#This Row],[Is Data Valid]]=TRUE,_xlfn.NORM.S.DIST(Table1[[#This Row],[Birthweight Z-Score]],TRUE)*100,"")</f>
        <v/>
      </c>
      <c r="K4603" s="7" t="str">
        <f>IF(Table1[[#This Row],[Is Data Valid]]=TRUE,_xlfn.NORM.S.DIST(Table1[[#This Row],[Birthweight Z-Score (BW-10%)]],TRUE)*100,"")</f>
        <v/>
      </c>
      <c r="L4603" s="7" t="str">
        <f>IF(Table1[[#This Row],[Is Data Valid]]=TRUE,_xlfn.NORM.S.DIST(Table1[[#This Row],[Birthweight Z-Score (BW+10%)]],TRUE)*100,"")</f>
        <v/>
      </c>
    </row>
    <row r="4604" spans="1:12" x14ac:dyDescent="0.35">
      <c r="A4604" s="3"/>
      <c r="B4604" s="2"/>
      <c r="C4604" s="2"/>
      <c r="D4604" s="2" t="b">
        <f>IF(AND(NOT(ISBLANK(Table1[[#This Row],[Fetal Sex (Male, Female or Unknown)]])),ISNUMBER(Table1[[#This Row],[Birthweight (grams)]]),ISNUMBER(Table1[[#This Row],[Gestation (days)]])),TRUE,FALSE)</f>
        <v>0</v>
      </c>
      <c r="E4604" s="2" t="str">
        <f>IF(Table1[[#This Row],[Is Data Valid]]=TRUE,IF(Table1[[#This Row],[Fetal Sex (Male, Female or Unknown)]]="Male",Backend!$C$6,IF(Table1[[#This Row],[Fetal Sex (Male, Female or Unknown)]]="Female",Backend!$C$7,IF(Table1[[#This Row],[Fetal Sex (Male, Female or Unknown)]]="Unknown",Backend!$C$8,"Error"))),"")</f>
        <v/>
      </c>
      <c r="F4604" s="8" t="str">
        <f>IF(Table1[[#This Row],[Is Data Valid]]=TRUE,EXP(0.578+0.332*((Table1[[#This Row],[Gestation (days)]]+0.5)/7)-0.00354*((Table1[[#This Row],[Gestation (days)]]+0.5)/7)^2)*Table1[[#This Row],[BW40_3705]],"")</f>
        <v/>
      </c>
      <c r="G4604" s="2" t="str">
        <f>IF(Table1[[#This Row],[Is Data Valid]]=TRUE,((Table1[[#This Row],[Birthweight (grams)]]/Table1[[#This Row],[BW_GA]])-1)/(Backend!$B$4/100*Table1[[#This Row],[BW40_3705]]),"")</f>
        <v/>
      </c>
      <c r="H4604" s="7" t="str">
        <f>IF(Table1[[#This Row],[Is Data Valid]]=TRUE,((Table1[[#This Row],[Birthweight (grams)]]*0.9/Table1[[#This Row],[BW_GA]])-1)/(Backend!$B$4/100*Table1[[#This Row],[BW40_3705]]),"")</f>
        <v/>
      </c>
      <c r="I4604" s="7" t="str">
        <f>IF(Table1[[#This Row],[Is Data Valid]]=TRUE,((Table1[[#This Row],[Birthweight (grams)]]*1.1/Table1[[#This Row],[BW_GA]])-1)/(Backend!$B$4/100*Table1[[#This Row],[BW40_3705]]),"")</f>
        <v/>
      </c>
      <c r="J4604" s="7" t="str">
        <f>IF(Table1[[#This Row],[Is Data Valid]]=TRUE,_xlfn.NORM.S.DIST(Table1[[#This Row],[Birthweight Z-Score]],TRUE)*100,"")</f>
        <v/>
      </c>
      <c r="K4604" s="7" t="str">
        <f>IF(Table1[[#This Row],[Is Data Valid]]=TRUE,_xlfn.NORM.S.DIST(Table1[[#This Row],[Birthweight Z-Score (BW-10%)]],TRUE)*100,"")</f>
        <v/>
      </c>
      <c r="L4604" s="7" t="str">
        <f>IF(Table1[[#This Row],[Is Data Valid]]=TRUE,_xlfn.NORM.S.DIST(Table1[[#This Row],[Birthweight Z-Score (BW+10%)]],TRUE)*100,"")</f>
        <v/>
      </c>
    </row>
    <row r="4605" spans="1:12" x14ac:dyDescent="0.35">
      <c r="A4605" s="3"/>
      <c r="B4605" s="2"/>
      <c r="C4605" s="2"/>
      <c r="D4605" s="2" t="b">
        <f>IF(AND(NOT(ISBLANK(Table1[[#This Row],[Fetal Sex (Male, Female or Unknown)]])),ISNUMBER(Table1[[#This Row],[Birthweight (grams)]]),ISNUMBER(Table1[[#This Row],[Gestation (days)]])),TRUE,FALSE)</f>
        <v>0</v>
      </c>
      <c r="E4605" s="2" t="str">
        <f>IF(Table1[[#This Row],[Is Data Valid]]=TRUE,IF(Table1[[#This Row],[Fetal Sex (Male, Female or Unknown)]]="Male",Backend!$C$6,IF(Table1[[#This Row],[Fetal Sex (Male, Female or Unknown)]]="Female",Backend!$C$7,IF(Table1[[#This Row],[Fetal Sex (Male, Female or Unknown)]]="Unknown",Backend!$C$8,"Error"))),"")</f>
        <v/>
      </c>
      <c r="F4605" s="8" t="str">
        <f>IF(Table1[[#This Row],[Is Data Valid]]=TRUE,EXP(0.578+0.332*((Table1[[#This Row],[Gestation (days)]]+0.5)/7)-0.00354*((Table1[[#This Row],[Gestation (days)]]+0.5)/7)^2)*Table1[[#This Row],[BW40_3705]],"")</f>
        <v/>
      </c>
      <c r="G4605" s="2" t="str">
        <f>IF(Table1[[#This Row],[Is Data Valid]]=TRUE,((Table1[[#This Row],[Birthweight (grams)]]/Table1[[#This Row],[BW_GA]])-1)/(Backend!$B$4/100*Table1[[#This Row],[BW40_3705]]),"")</f>
        <v/>
      </c>
      <c r="H4605" s="7" t="str">
        <f>IF(Table1[[#This Row],[Is Data Valid]]=TRUE,((Table1[[#This Row],[Birthweight (grams)]]*0.9/Table1[[#This Row],[BW_GA]])-1)/(Backend!$B$4/100*Table1[[#This Row],[BW40_3705]]),"")</f>
        <v/>
      </c>
      <c r="I4605" s="7" t="str">
        <f>IF(Table1[[#This Row],[Is Data Valid]]=TRUE,((Table1[[#This Row],[Birthweight (grams)]]*1.1/Table1[[#This Row],[BW_GA]])-1)/(Backend!$B$4/100*Table1[[#This Row],[BW40_3705]]),"")</f>
        <v/>
      </c>
      <c r="J4605" s="7" t="str">
        <f>IF(Table1[[#This Row],[Is Data Valid]]=TRUE,_xlfn.NORM.S.DIST(Table1[[#This Row],[Birthweight Z-Score]],TRUE)*100,"")</f>
        <v/>
      </c>
      <c r="K4605" s="7" t="str">
        <f>IF(Table1[[#This Row],[Is Data Valid]]=TRUE,_xlfn.NORM.S.DIST(Table1[[#This Row],[Birthweight Z-Score (BW-10%)]],TRUE)*100,"")</f>
        <v/>
      </c>
      <c r="L4605" s="7" t="str">
        <f>IF(Table1[[#This Row],[Is Data Valid]]=TRUE,_xlfn.NORM.S.DIST(Table1[[#This Row],[Birthweight Z-Score (BW+10%)]],TRUE)*100,"")</f>
        <v/>
      </c>
    </row>
    <row r="4606" spans="1:12" x14ac:dyDescent="0.35">
      <c r="A4606" s="3"/>
      <c r="B4606" s="2"/>
      <c r="C4606" s="2"/>
      <c r="D4606" s="2" t="b">
        <f>IF(AND(NOT(ISBLANK(Table1[[#This Row],[Fetal Sex (Male, Female or Unknown)]])),ISNUMBER(Table1[[#This Row],[Birthweight (grams)]]),ISNUMBER(Table1[[#This Row],[Gestation (days)]])),TRUE,FALSE)</f>
        <v>0</v>
      </c>
      <c r="E4606" s="2" t="str">
        <f>IF(Table1[[#This Row],[Is Data Valid]]=TRUE,IF(Table1[[#This Row],[Fetal Sex (Male, Female or Unknown)]]="Male",Backend!$C$6,IF(Table1[[#This Row],[Fetal Sex (Male, Female or Unknown)]]="Female",Backend!$C$7,IF(Table1[[#This Row],[Fetal Sex (Male, Female or Unknown)]]="Unknown",Backend!$C$8,"Error"))),"")</f>
        <v/>
      </c>
      <c r="F4606" s="8" t="str">
        <f>IF(Table1[[#This Row],[Is Data Valid]]=TRUE,EXP(0.578+0.332*((Table1[[#This Row],[Gestation (days)]]+0.5)/7)-0.00354*((Table1[[#This Row],[Gestation (days)]]+0.5)/7)^2)*Table1[[#This Row],[BW40_3705]],"")</f>
        <v/>
      </c>
      <c r="G4606" s="2" t="str">
        <f>IF(Table1[[#This Row],[Is Data Valid]]=TRUE,((Table1[[#This Row],[Birthweight (grams)]]/Table1[[#This Row],[BW_GA]])-1)/(Backend!$B$4/100*Table1[[#This Row],[BW40_3705]]),"")</f>
        <v/>
      </c>
      <c r="H4606" s="7" t="str">
        <f>IF(Table1[[#This Row],[Is Data Valid]]=TRUE,((Table1[[#This Row],[Birthweight (grams)]]*0.9/Table1[[#This Row],[BW_GA]])-1)/(Backend!$B$4/100*Table1[[#This Row],[BW40_3705]]),"")</f>
        <v/>
      </c>
      <c r="I4606" s="7" t="str">
        <f>IF(Table1[[#This Row],[Is Data Valid]]=TRUE,((Table1[[#This Row],[Birthweight (grams)]]*1.1/Table1[[#This Row],[BW_GA]])-1)/(Backend!$B$4/100*Table1[[#This Row],[BW40_3705]]),"")</f>
        <v/>
      </c>
      <c r="J4606" s="7" t="str">
        <f>IF(Table1[[#This Row],[Is Data Valid]]=TRUE,_xlfn.NORM.S.DIST(Table1[[#This Row],[Birthweight Z-Score]],TRUE)*100,"")</f>
        <v/>
      </c>
      <c r="K4606" s="7" t="str">
        <f>IF(Table1[[#This Row],[Is Data Valid]]=TRUE,_xlfn.NORM.S.DIST(Table1[[#This Row],[Birthweight Z-Score (BW-10%)]],TRUE)*100,"")</f>
        <v/>
      </c>
      <c r="L4606" s="7" t="str">
        <f>IF(Table1[[#This Row],[Is Data Valid]]=TRUE,_xlfn.NORM.S.DIST(Table1[[#This Row],[Birthweight Z-Score (BW+10%)]],TRUE)*100,"")</f>
        <v/>
      </c>
    </row>
    <row r="4607" spans="1:12" x14ac:dyDescent="0.35">
      <c r="A4607" s="3"/>
      <c r="B4607" s="2"/>
      <c r="C4607" s="2"/>
      <c r="D4607" s="2" t="b">
        <f>IF(AND(NOT(ISBLANK(Table1[[#This Row],[Fetal Sex (Male, Female or Unknown)]])),ISNUMBER(Table1[[#This Row],[Birthweight (grams)]]),ISNUMBER(Table1[[#This Row],[Gestation (days)]])),TRUE,FALSE)</f>
        <v>0</v>
      </c>
      <c r="E4607" s="2" t="str">
        <f>IF(Table1[[#This Row],[Is Data Valid]]=TRUE,IF(Table1[[#This Row],[Fetal Sex (Male, Female or Unknown)]]="Male",Backend!$C$6,IF(Table1[[#This Row],[Fetal Sex (Male, Female or Unknown)]]="Female",Backend!$C$7,IF(Table1[[#This Row],[Fetal Sex (Male, Female or Unknown)]]="Unknown",Backend!$C$8,"Error"))),"")</f>
        <v/>
      </c>
      <c r="F4607" s="8" t="str">
        <f>IF(Table1[[#This Row],[Is Data Valid]]=TRUE,EXP(0.578+0.332*((Table1[[#This Row],[Gestation (days)]]+0.5)/7)-0.00354*((Table1[[#This Row],[Gestation (days)]]+0.5)/7)^2)*Table1[[#This Row],[BW40_3705]],"")</f>
        <v/>
      </c>
      <c r="G4607" s="2" t="str">
        <f>IF(Table1[[#This Row],[Is Data Valid]]=TRUE,((Table1[[#This Row],[Birthweight (grams)]]/Table1[[#This Row],[BW_GA]])-1)/(Backend!$B$4/100*Table1[[#This Row],[BW40_3705]]),"")</f>
        <v/>
      </c>
      <c r="H4607" s="7" t="str">
        <f>IF(Table1[[#This Row],[Is Data Valid]]=TRUE,((Table1[[#This Row],[Birthweight (grams)]]*0.9/Table1[[#This Row],[BW_GA]])-1)/(Backend!$B$4/100*Table1[[#This Row],[BW40_3705]]),"")</f>
        <v/>
      </c>
      <c r="I4607" s="7" t="str">
        <f>IF(Table1[[#This Row],[Is Data Valid]]=TRUE,((Table1[[#This Row],[Birthweight (grams)]]*1.1/Table1[[#This Row],[BW_GA]])-1)/(Backend!$B$4/100*Table1[[#This Row],[BW40_3705]]),"")</f>
        <v/>
      </c>
      <c r="J4607" s="7" t="str">
        <f>IF(Table1[[#This Row],[Is Data Valid]]=TRUE,_xlfn.NORM.S.DIST(Table1[[#This Row],[Birthweight Z-Score]],TRUE)*100,"")</f>
        <v/>
      </c>
      <c r="K4607" s="7" t="str">
        <f>IF(Table1[[#This Row],[Is Data Valid]]=TRUE,_xlfn.NORM.S.DIST(Table1[[#This Row],[Birthweight Z-Score (BW-10%)]],TRUE)*100,"")</f>
        <v/>
      </c>
      <c r="L4607" s="7" t="str">
        <f>IF(Table1[[#This Row],[Is Data Valid]]=TRUE,_xlfn.NORM.S.DIST(Table1[[#This Row],[Birthweight Z-Score (BW+10%)]],TRUE)*100,"")</f>
        <v/>
      </c>
    </row>
    <row r="4608" spans="1:12" x14ac:dyDescent="0.35">
      <c r="A4608" s="3"/>
      <c r="B4608" s="2"/>
      <c r="C4608" s="2"/>
      <c r="D4608" s="2" t="b">
        <f>IF(AND(NOT(ISBLANK(Table1[[#This Row],[Fetal Sex (Male, Female or Unknown)]])),ISNUMBER(Table1[[#This Row],[Birthweight (grams)]]),ISNUMBER(Table1[[#This Row],[Gestation (days)]])),TRUE,FALSE)</f>
        <v>0</v>
      </c>
      <c r="E4608" s="2" t="str">
        <f>IF(Table1[[#This Row],[Is Data Valid]]=TRUE,IF(Table1[[#This Row],[Fetal Sex (Male, Female or Unknown)]]="Male",Backend!$C$6,IF(Table1[[#This Row],[Fetal Sex (Male, Female or Unknown)]]="Female",Backend!$C$7,IF(Table1[[#This Row],[Fetal Sex (Male, Female or Unknown)]]="Unknown",Backend!$C$8,"Error"))),"")</f>
        <v/>
      </c>
      <c r="F4608" s="8" t="str">
        <f>IF(Table1[[#This Row],[Is Data Valid]]=TRUE,EXP(0.578+0.332*((Table1[[#This Row],[Gestation (days)]]+0.5)/7)-0.00354*((Table1[[#This Row],[Gestation (days)]]+0.5)/7)^2)*Table1[[#This Row],[BW40_3705]],"")</f>
        <v/>
      </c>
      <c r="G4608" s="2" t="str">
        <f>IF(Table1[[#This Row],[Is Data Valid]]=TRUE,((Table1[[#This Row],[Birthweight (grams)]]/Table1[[#This Row],[BW_GA]])-1)/(Backend!$B$4/100*Table1[[#This Row],[BW40_3705]]),"")</f>
        <v/>
      </c>
      <c r="H4608" s="7" t="str">
        <f>IF(Table1[[#This Row],[Is Data Valid]]=TRUE,((Table1[[#This Row],[Birthweight (grams)]]*0.9/Table1[[#This Row],[BW_GA]])-1)/(Backend!$B$4/100*Table1[[#This Row],[BW40_3705]]),"")</f>
        <v/>
      </c>
      <c r="I4608" s="7" t="str">
        <f>IF(Table1[[#This Row],[Is Data Valid]]=TRUE,((Table1[[#This Row],[Birthweight (grams)]]*1.1/Table1[[#This Row],[BW_GA]])-1)/(Backend!$B$4/100*Table1[[#This Row],[BW40_3705]]),"")</f>
        <v/>
      </c>
      <c r="J4608" s="7" t="str">
        <f>IF(Table1[[#This Row],[Is Data Valid]]=TRUE,_xlfn.NORM.S.DIST(Table1[[#This Row],[Birthweight Z-Score]],TRUE)*100,"")</f>
        <v/>
      </c>
      <c r="K4608" s="7" t="str">
        <f>IF(Table1[[#This Row],[Is Data Valid]]=TRUE,_xlfn.NORM.S.DIST(Table1[[#This Row],[Birthweight Z-Score (BW-10%)]],TRUE)*100,"")</f>
        <v/>
      </c>
      <c r="L4608" s="7" t="str">
        <f>IF(Table1[[#This Row],[Is Data Valid]]=TRUE,_xlfn.NORM.S.DIST(Table1[[#This Row],[Birthweight Z-Score (BW+10%)]],TRUE)*100,"")</f>
        <v/>
      </c>
    </row>
    <row r="4609" spans="1:12" x14ac:dyDescent="0.35">
      <c r="A4609" s="3"/>
      <c r="B4609" s="2"/>
      <c r="C4609" s="2"/>
      <c r="D4609" s="2" t="b">
        <f>IF(AND(NOT(ISBLANK(Table1[[#This Row],[Fetal Sex (Male, Female or Unknown)]])),ISNUMBER(Table1[[#This Row],[Birthweight (grams)]]),ISNUMBER(Table1[[#This Row],[Gestation (days)]])),TRUE,FALSE)</f>
        <v>0</v>
      </c>
      <c r="E4609" s="2" t="str">
        <f>IF(Table1[[#This Row],[Is Data Valid]]=TRUE,IF(Table1[[#This Row],[Fetal Sex (Male, Female or Unknown)]]="Male",Backend!$C$6,IF(Table1[[#This Row],[Fetal Sex (Male, Female or Unknown)]]="Female",Backend!$C$7,IF(Table1[[#This Row],[Fetal Sex (Male, Female or Unknown)]]="Unknown",Backend!$C$8,"Error"))),"")</f>
        <v/>
      </c>
      <c r="F4609" s="8" t="str">
        <f>IF(Table1[[#This Row],[Is Data Valid]]=TRUE,EXP(0.578+0.332*((Table1[[#This Row],[Gestation (days)]]+0.5)/7)-0.00354*((Table1[[#This Row],[Gestation (days)]]+0.5)/7)^2)*Table1[[#This Row],[BW40_3705]],"")</f>
        <v/>
      </c>
      <c r="G4609" s="2" t="str">
        <f>IF(Table1[[#This Row],[Is Data Valid]]=TRUE,((Table1[[#This Row],[Birthweight (grams)]]/Table1[[#This Row],[BW_GA]])-1)/(Backend!$B$4/100*Table1[[#This Row],[BW40_3705]]),"")</f>
        <v/>
      </c>
      <c r="H4609" s="7" t="str">
        <f>IF(Table1[[#This Row],[Is Data Valid]]=TRUE,((Table1[[#This Row],[Birthweight (grams)]]*0.9/Table1[[#This Row],[BW_GA]])-1)/(Backend!$B$4/100*Table1[[#This Row],[BW40_3705]]),"")</f>
        <v/>
      </c>
      <c r="I4609" s="7" t="str">
        <f>IF(Table1[[#This Row],[Is Data Valid]]=TRUE,((Table1[[#This Row],[Birthweight (grams)]]*1.1/Table1[[#This Row],[BW_GA]])-1)/(Backend!$B$4/100*Table1[[#This Row],[BW40_3705]]),"")</f>
        <v/>
      </c>
      <c r="J4609" s="7" t="str">
        <f>IF(Table1[[#This Row],[Is Data Valid]]=TRUE,_xlfn.NORM.S.DIST(Table1[[#This Row],[Birthweight Z-Score]],TRUE)*100,"")</f>
        <v/>
      </c>
      <c r="K4609" s="7" t="str">
        <f>IF(Table1[[#This Row],[Is Data Valid]]=TRUE,_xlfn.NORM.S.DIST(Table1[[#This Row],[Birthweight Z-Score (BW-10%)]],TRUE)*100,"")</f>
        <v/>
      </c>
      <c r="L4609" s="7" t="str">
        <f>IF(Table1[[#This Row],[Is Data Valid]]=TRUE,_xlfn.NORM.S.DIST(Table1[[#This Row],[Birthweight Z-Score (BW+10%)]],TRUE)*100,"")</f>
        <v/>
      </c>
    </row>
    <row r="4610" spans="1:12" x14ac:dyDescent="0.35">
      <c r="A4610" s="3"/>
      <c r="B4610" s="2"/>
      <c r="C4610" s="2"/>
      <c r="D4610" s="2" t="b">
        <f>IF(AND(NOT(ISBLANK(Table1[[#This Row],[Fetal Sex (Male, Female or Unknown)]])),ISNUMBER(Table1[[#This Row],[Birthweight (grams)]]),ISNUMBER(Table1[[#This Row],[Gestation (days)]])),TRUE,FALSE)</f>
        <v>0</v>
      </c>
      <c r="E4610" s="2" t="str">
        <f>IF(Table1[[#This Row],[Is Data Valid]]=TRUE,IF(Table1[[#This Row],[Fetal Sex (Male, Female or Unknown)]]="Male",Backend!$C$6,IF(Table1[[#This Row],[Fetal Sex (Male, Female or Unknown)]]="Female",Backend!$C$7,IF(Table1[[#This Row],[Fetal Sex (Male, Female or Unknown)]]="Unknown",Backend!$C$8,"Error"))),"")</f>
        <v/>
      </c>
      <c r="F4610" s="8" t="str">
        <f>IF(Table1[[#This Row],[Is Data Valid]]=TRUE,EXP(0.578+0.332*((Table1[[#This Row],[Gestation (days)]]+0.5)/7)-0.00354*((Table1[[#This Row],[Gestation (days)]]+0.5)/7)^2)*Table1[[#This Row],[BW40_3705]],"")</f>
        <v/>
      </c>
      <c r="G4610" s="2" t="str">
        <f>IF(Table1[[#This Row],[Is Data Valid]]=TRUE,((Table1[[#This Row],[Birthweight (grams)]]/Table1[[#This Row],[BW_GA]])-1)/(Backend!$B$4/100*Table1[[#This Row],[BW40_3705]]),"")</f>
        <v/>
      </c>
      <c r="H4610" s="7" t="str">
        <f>IF(Table1[[#This Row],[Is Data Valid]]=TRUE,((Table1[[#This Row],[Birthweight (grams)]]*0.9/Table1[[#This Row],[BW_GA]])-1)/(Backend!$B$4/100*Table1[[#This Row],[BW40_3705]]),"")</f>
        <v/>
      </c>
      <c r="I4610" s="7" t="str">
        <f>IF(Table1[[#This Row],[Is Data Valid]]=TRUE,((Table1[[#This Row],[Birthweight (grams)]]*1.1/Table1[[#This Row],[BW_GA]])-1)/(Backend!$B$4/100*Table1[[#This Row],[BW40_3705]]),"")</f>
        <v/>
      </c>
      <c r="J4610" s="7" t="str">
        <f>IF(Table1[[#This Row],[Is Data Valid]]=TRUE,_xlfn.NORM.S.DIST(Table1[[#This Row],[Birthweight Z-Score]],TRUE)*100,"")</f>
        <v/>
      </c>
      <c r="K4610" s="7" t="str">
        <f>IF(Table1[[#This Row],[Is Data Valid]]=TRUE,_xlfn.NORM.S.DIST(Table1[[#This Row],[Birthweight Z-Score (BW-10%)]],TRUE)*100,"")</f>
        <v/>
      </c>
      <c r="L4610" s="7" t="str">
        <f>IF(Table1[[#This Row],[Is Data Valid]]=TRUE,_xlfn.NORM.S.DIST(Table1[[#This Row],[Birthweight Z-Score (BW+10%)]],TRUE)*100,"")</f>
        <v/>
      </c>
    </row>
    <row r="4611" spans="1:12" x14ac:dyDescent="0.35">
      <c r="A4611" s="3"/>
      <c r="B4611" s="2"/>
      <c r="C4611" s="2"/>
      <c r="D4611" s="2" t="b">
        <f>IF(AND(NOT(ISBLANK(Table1[[#This Row],[Fetal Sex (Male, Female or Unknown)]])),ISNUMBER(Table1[[#This Row],[Birthweight (grams)]]),ISNUMBER(Table1[[#This Row],[Gestation (days)]])),TRUE,FALSE)</f>
        <v>0</v>
      </c>
      <c r="E4611" s="2" t="str">
        <f>IF(Table1[[#This Row],[Is Data Valid]]=TRUE,IF(Table1[[#This Row],[Fetal Sex (Male, Female or Unknown)]]="Male",Backend!$C$6,IF(Table1[[#This Row],[Fetal Sex (Male, Female or Unknown)]]="Female",Backend!$C$7,IF(Table1[[#This Row],[Fetal Sex (Male, Female or Unknown)]]="Unknown",Backend!$C$8,"Error"))),"")</f>
        <v/>
      </c>
      <c r="F4611" s="8" t="str">
        <f>IF(Table1[[#This Row],[Is Data Valid]]=TRUE,EXP(0.578+0.332*((Table1[[#This Row],[Gestation (days)]]+0.5)/7)-0.00354*((Table1[[#This Row],[Gestation (days)]]+0.5)/7)^2)*Table1[[#This Row],[BW40_3705]],"")</f>
        <v/>
      </c>
      <c r="G4611" s="2" t="str">
        <f>IF(Table1[[#This Row],[Is Data Valid]]=TRUE,((Table1[[#This Row],[Birthweight (grams)]]/Table1[[#This Row],[BW_GA]])-1)/(Backend!$B$4/100*Table1[[#This Row],[BW40_3705]]),"")</f>
        <v/>
      </c>
      <c r="H4611" s="7" t="str">
        <f>IF(Table1[[#This Row],[Is Data Valid]]=TRUE,((Table1[[#This Row],[Birthweight (grams)]]*0.9/Table1[[#This Row],[BW_GA]])-1)/(Backend!$B$4/100*Table1[[#This Row],[BW40_3705]]),"")</f>
        <v/>
      </c>
      <c r="I4611" s="7" t="str">
        <f>IF(Table1[[#This Row],[Is Data Valid]]=TRUE,((Table1[[#This Row],[Birthweight (grams)]]*1.1/Table1[[#This Row],[BW_GA]])-1)/(Backend!$B$4/100*Table1[[#This Row],[BW40_3705]]),"")</f>
        <v/>
      </c>
      <c r="J4611" s="7" t="str">
        <f>IF(Table1[[#This Row],[Is Data Valid]]=TRUE,_xlfn.NORM.S.DIST(Table1[[#This Row],[Birthweight Z-Score]],TRUE)*100,"")</f>
        <v/>
      </c>
      <c r="K4611" s="7" t="str">
        <f>IF(Table1[[#This Row],[Is Data Valid]]=TRUE,_xlfn.NORM.S.DIST(Table1[[#This Row],[Birthweight Z-Score (BW-10%)]],TRUE)*100,"")</f>
        <v/>
      </c>
      <c r="L4611" s="7" t="str">
        <f>IF(Table1[[#This Row],[Is Data Valid]]=TRUE,_xlfn.NORM.S.DIST(Table1[[#This Row],[Birthweight Z-Score (BW+10%)]],TRUE)*100,"")</f>
        <v/>
      </c>
    </row>
    <row r="4612" spans="1:12" x14ac:dyDescent="0.35">
      <c r="A4612" s="3"/>
      <c r="B4612" s="2"/>
      <c r="C4612" s="2"/>
      <c r="D4612" s="2" t="b">
        <f>IF(AND(NOT(ISBLANK(Table1[[#This Row],[Fetal Sex (Male, Female or Unknown)]])),ISNUMBER(Table1[[#This Row],[Birthweight (grams)]]),ISNUMBER(Table1[[#This Row],[Gestation (days)]])),TRUE,FALSE)</f>
        <v>0</v>
      </c>
      <c r="E4612" s="2" t="str">
        <f>IF(Table1[[#This Row],[Is Data Valid]]=TRUE,IF(Table1[[#This Row],[Fetal Sex (Male, Female or Unknown)]]="Male",Backend!$C$6,IF(Table1[[#This Row],[Fetal Sex (Male, Female or Unknown)]]="Female",Backend!$C$7,IF(Table1[[#This Row],[Fetal Sex (Male, Female or Unknown)]]="Unknown",Backend!$C$8,"Error"))),"")</f>
        <v/>
      </c>
      <c r="F4612" s="8" t="str">
        <f>IF(Table1[[#This Row],[Is Data Valid]]=TRUE,EXP(0.578+0.332*((Table1[[#This Row],[Gestation (days)]]+0.5)/7)-0.00354*((Table1[[#This Row],[Gestation (days)]]+0.5)/7)^2)*Table1[[#This Row],[BW40_3705]],"")</f>
        <v/>
      </c>
      <c r="G4612" s="2" t="str">
        <f>IF(Table1[[#This Row],[Is Data Valid]]=TRUE,((Table1[[#This Row],[Birthweight (grams)]]/Table1[[#This Row],[BW_GA]])-1)/(Backend!$B$4/100*Table1[[#This Row],[BW40_3705]]),"")</f>
        <v/>
      </c>
      <c r="H4612" s="7" t="str">
        <f>IF(Table1[[#This Row],[Is Data Valid]]=TRUE,((Table1[[#This Row],[Birthweight (grams)]]*0.9/Table1[[#This Row],[BW_GA]])-1)/(Backend!$B$4/100*Table1[[#This Row],[BW40_3705]]),"")</f>
        <v/>
      </c>
      <c r="I4612" s="7" t="str">
        <f>IF(Table1[[#This Row],[Is Data Valid]]=TRUE,((Table1[[#This Row],[Birthweight (grams)]]*1.1/Table1[[#This Row],[BW_GA]])-1)/(Backend!$B$4/100*Table1[[#This Row],[BW40_3705]]),"")</f>
        <v/>
      </c>
      <c r="J4612" s="7" t="str">
        <f>IF(Table1[[#This Row],[Is Data Valid]]=TRUE,_xlfn.NORM.S.DIST(Table1[[#This Row],[Birthweight Z-Score]],TRUE)*100,"")</f>
        <v/>
      </c>
      <c r="K4612" s="7" t="str">
        <f>IF(Table1[[#This Row],[Is Data Valid]]=TRUE,_xlfn.NORM.S.DIST(Table1[[#This Row],[Birthweight Z-Score (BW-10%)]],TRUE)*100,"")</f>
        <v/>
      </c>
      <c r="L4612" s="7" t="str">
        <f>IF(Table1[[#This Row],[Is Data Valid]]=TRUE,_xlfn.NORM.S.DIST(Table1[[#This Row],[Birthweight Z-Score (BW+10%)]],TRUE)*100,"")</f>
        <v/>
      </c>
    </row>
    <row r="4613" spans="1:12" x14ac:dyDescent="0.35">
      <c r="A4613" s="3"/>
      <c r="B4613" s="2"/>
      <c r="C4613" s="2"/>
      <c r="D4613" s="2" t="b">
        <f>IF(AND(NOT(ISBLANK(Table1[[#This Row],[Fetal Sex (Male, Female or Unknown)]])),ISNUMBER(Table1[[#This Row],[Birthweight (grams)]]),ISNUMBER(Table1[[#This Row],[Gestation (days)]])),TRUE,FALSE)</f>
        <v>0</v>
      </c>
      <c r="E4613" s="2" t="str">
        <f>IF(Table1[[#This Row],[Is Data Valid]]=TRUE,IF(Table1[[#This Row],[Fetal Sex (Male, Female or Unknown)]]="Male",Backend!$C$6,IF(Table1[[#This Row],[Fetal Sex (Male, Female or Unknown)]]="Female",Backend!$C$7,IF(Table1[[#This Row],[Fetal Sex (Male, Female or Unknown)]]="Unknown",Backend!$C$8,"Error"))),"")</f>
        <v/>
      </c>
      <c r="F4613" s="8" t="str">
        <f>IF(Table1[[#This Row],[Is Data Valid]]=TRUE,EXP(0.578+0.332*((Table1[[#This Row],[Gestation (days)]]+0.5)/7)-0.00354*((Table1[[#This Row],[Gestation (days)]]+0.5)/7)^2)*Table1[[#This Row],[BW40_3705]],"")</f>
        <v/>
      </c>
      <c r="G4613" s="2" t="str">
        <f>IF(Table1[[#This Row],[Is Data Valid]]=TRUE,((Table1[[#This Row],[Birthweight (grams)]]/Table1[[#This Row],[BW_GA]])-1)/(Backend!$B$4/100*Table1[[#This Row],[BW40_3705]]),"")</f>
        <v/>
      </c>
      <c r="H4613" s="7" t="str">
        <f>IF(Table1[[#This Row],[Is Data Valid]]=TRUE,((Table1[[#This Row],[Birthweight (grams)]]*0.9/Table1[[#This Row],[BW_GA]])-1)/(Backend!$B$4/100*Table1[[#This Row],[BW40_3705]]),"")</f>
        <v/>
      </c>
      <c r="I4613" s="7" t="str">
        <f>IF(Table1[[#This Row],[Is Data Valid]]=TRUE,((Table1[[#This Row],[Birthweight (grams)]]*1.1/Table1[[#This Row],[BW_GA]])-1)/(Backend!$B$4/100*Table1[[#This Row],[BW40_3705]]),"")</f>
        <v/>
      </c>
      <c r="J4613" s="7" t="str">
        <f>IF(Table1[[#This Row],[Is Data Valid]]=TRUE,_xlfn.NORM.S.DIST(Table1[[#This Row],[Birthweight Z-Score]],TRUE)*100,"")</f>
        <v/>
      </c>
      <c r="K4613" s="7" t="str">
        <f>IF(Table1[[#This Row],[Is Data Valid]]=TRUE,_xlfn.NORM.S.DIST(Table1[[#This Row],[Birthweight Z-Score (BW-10%)]],TRUE)*100,"")</f>
        <v/>
      </c>
      <c r="L4613" s="7" t="str">
        <f>IF(Table1[[#This Row],[Is Data Valid]]=TRUE,_xlfn.NORM.S.DIST(Table1[[#This Row],[Birthweight Z-Score (BW+10%)]],TRUE)*100,"")</f>
        <v/>
      </c>
    </row>
    <row r="4614" spans="1:12" x14ac:dyDescent="0.35">
      <c r="A4614" s="3"/>
      <c r="B4614" s="2"/>
      <c r="C4614" s="2"/>
      <c r="D4614" s="2" t="b">
        <f>IF(AND(NOT(ISBLANK(Table1[[#This Row],[Fetal Sex (Male, Female or Unknown)]])),ISNUMBER(Table1[[#This Row],[Birthweight (grams)]]),ISNUMBER(Table1[[#This Row],[Gestation (days)]])),TRUE,FALSE)</f>
        <v>0</v>
      </c>
      <c r="E4614" s="2" t="str">
        <f>IF(Table1[[#This Row],[Is Data Valid]]=TRUE,IF(Table1[[#This Row],[Fetal Sex (Male, Female or Unknown)]]="Male",Backend!$C$6,IF(Table1[[#This Row],[Fetal Sex (Male, Female or Unknown)]]="Female",Backend!$C$7,IF(Table1[[#This Row],[Fetal Sex (Male, Female or Unknown)]]="Unknown",Backend!$C$8,"Error"))),"")</f>
        <v/>
      </c>
      <c r="F4614" s="8" t="str">
        <f>IF(Table1[[#This Row],[Is Data Valid]]=TRUE,EXP(0.578+0.332*((Table1[[#This Row],[Gestation (days)]]+0.5)/7)-0.00354*((Table1[[#This Row],[Gestation (days)]]+0.5)/7)^2)*Table1[[#This Row],[BW40_3705]],"")</f>
        <v/>
      </c>
      <c r="G4614" s="2" t="str">
        <f>IF(Table1[[#This Row],[Is Data Valid]]=TRUE,((Table1[[#This Row],[Birthweight (grams)]]/Table1[[#This Row],[BW_GA]])-1)/(Backend!$B$4/100*Table1[[#This Row],[BW40_3705]]),"")</f>
        <v/>
      </c>
      <c r="H4614" s="7" t="str">
        <f>IF(Table1[[#This Row],[Is Data Valid]]=TRUE,((Table1[[#This Row],[Birthweight (grams)]]*0.9/Table1[[#This Row],[BW_GA]])-1)/(Backend!$B$4/100*Table1[[#This Row],[BW40_3705]]),"")</f>
        <v/>
      </c>
      <c r="I4614" s="7" t="str">
        <f>IF(Table1[[#This Row],[Is Data Valid]]=TRUE,((Table1[[#This Row],[Birthweight (grams)]]*1.1/Table1[[#This Row],[BW_GA]])-1)/(Backend!$B$4/100*Table1[[#This Row],[BW40_3705]]),"")</f>
        <v/>
      </c>
      <c r="J4614" s="7" t="str">
        <f>IF(Table1[[#This Row],[Is Data Valid]]=TRUE,_xlfn.NORM.S.DIST(Table1[[#This Row],[Birthweight Z-Score]],TRUE)*100,"")</f>
        <v/>
      </c>
      <c r="K4614" s="7" t="str">
        <f>IF(Table1[[#This Row],[Is Data Valid]]=TRUE,_xlfn.NORM.S.DIST(Table1[[#This Row],[Birthweight Z-Score (BW-10%)]],TRUE)*100,"")</f>
        <v/>
      </c>
      <c r="L4614" s="7" t="str">
        <f>IF(Table1[[#This Row],[Is Data Valid]]=TRUE,_xlfn.NORM.S.DIST(Table1[[#This Row],[Birthweight Z-Score (BW+10%)]],TRUE)*100,"")</f>
        <v/>
      </c>
    </row>
    <row r="4615" spans="1:12" x14ac:dyDescent="0.35">
      <c r="A4615" s="3"/>
      <c r="B4615" s="2"/>
      <c r="C4615" s="2"/>
      <c r="D4615" s="2" t="b">
        <f>IF(AND(NOT(ISBLANK(Table1[[#This Row],[Fetal Sex (Male, Female or Unknown)]])),ISNUMBER(Table1[[#This Row],[Birthweight (grams)]]),ISNUMBER(Table1[[#This Row],[Gestation (days)]])),TRUE,FALSE)</f>
        <v>0</v>
      </c>
      <c r="E4615" s="2" t="str">
        <f>IF(Table1[[#This Row],[Is Data Valid]]=TRUE,IF(Table1[[#This Row],[Fetal Sex (Male, Female or Unknown)]]="Male",Backend!$C$6,IF(Table1[[#This Row],[Fetal Sex (Male, Female or Unknown)]]="Female",Backend!$C$7,IF(Table1[[#This Row],[Fetal Sex (Male, Female or Unknown)]]="Unknown",Backend!$C$8,"Error"))),"")</f>
        <v/>
      </c>
      <c r="F4615" s="8" t="str">
        <f>IF(Table1[[#This Row],[Is Data Valid]]=TRUE,EXP(0.578+0.332*((Table1[[#This Row],[Gestation (days)]]+0.5)/7)-0.00354*((Table1[[#This Row],[Gestation (days)]]+0.5)/7)^2)*Table1[[#This Row],[BW40_3705]],"")</f>
        <v/>
      </c>
      <c r="G4615" s="2" t="str">
        <f>IF(Table1[[#This Row],[Is Data Valid]]=TRUE,((Table1[[#This Row],[Birthweight (grams)]]/Table1[[#This Row],[BW_GA]])-1)/(Backend!$B$4/100*Table1[[#This Row],[BW40_3705]]),"")</f>
        <v/>
      </c>
      <c r="H4615" s="7" t="str">
        <f>IF(Table1[[#This Row],[Is Data Valid]]=TRUE,((Table1[[#This Row],[Birthweight (grams)]]*0.9/Table1[[#This Row],[BW_GA]])-1)/(Backend!$B$4/100*Table1[[#This Row],[BW40_3705]]),"")</f>
        <v/>
      </c>
      <c r="I4615" s="7" t="str">
        <f>IF(Table1[[#This Row],[Is Data Valid]]=TRUE,((Table1[[#This Row],[Birthweight (grams)]]*1.1/Table1[[#This Row],[BW_GA]])-1)/(Backend!$B$4/100*Table1[[#This Row],[BW40_3705]]),"")</f>
        <v/>
      </c>
      <c r="J4615" s="7" t="str">
        <f>IF(Table1[[#This Row],[Is Data Valid]]=TRUE,_xlfn.NORM.S.DIST(Table1[[#This Row],[Birthweight Z-Score]],TRUE)*100,"")</f>
        <v/>
      </c>
      <c r="K4615" s="7" t="str">
        <f>IF(Table1[[#This Row],[Is Data Valid]]=TRUE,_xlfn.NORM.S.DIST(Table1[[#This Row],[Birthweight Z-Score (BW-10%)]],TRUE)*100,"")</f>
        <v/>
      </c>
      <c r="L4615" s="7" t="str">
        <f>IF(Table1[[#This Row],[Is Data Valid]]=TRUE,_xlfn.NORM.S.DIST(Table1[[#This Row],[Birthweight Z-Score (BW+10%)]],TRUE)*100,"")</f>
        <v/>
      </c>
    </row>
    <row r="4616" spans="1:12" x14ac:dyDescent="0.35">
      <c r="A4616" s="3"/>
      <c r="B4616" s="2"/>
      <c r="C4616" s="2"/>
      <c r="D4616" s="2" t="b">
        <f>IF(AND(NOT(ISBLANK(Table1[[#This Row],[Fetal Sex (Male, Female or Unknown)]])),ISNUMBER(Table1[[#This Row],[Birthweight (grams)]]),ISNUMBER(Table1[[#This Row],[Gestation (days)]])),TRUE,FALSE)</f>
        <v>0</v>
      </c>
      <c r="E4616" s="2" t="str">
        <f>IF(Table1[[#This Row],[Is Data Valid]]=TRUE,IF(Table1[[#This Row],[Fetal Sex (Male, Female or Unknown)]]="Male",Backend!$C$6,IF(Table1[[#This Row],[Fetal Sex (Male, Female or Unknown)]]="Female",Backend!$C$7,IF(Table1[[#This Row],[Fetal Sex (Male, Female or Unknown)]]="Unknown",Backend!$C$8,"Error"))),"")</f>
        <v/>
      </c>
      <c r="F4616" s="8" t="str">
        <f>IF(Table1[[#This Row],[Is Data Valid]]=TRUE,EXP(0.578+0.332*((Table1[[#This Row],[Gestation (days)]]+0.5)/7)-0.00354*((Table1[[#This Row],[Gestation (days)]]+0.5)/7)^2)*Table1[[#This Row],[BW40_3705]],"")</f>
        <v/>
      </c>
      <c r="G4616" s="2" t="str">
        <f>IF(Table1[[#This Row],[Is Data Valid]]=TRUE,((Table1[[#This Row],[Birthweight (grams)]]/Table1[[#This Row],[BW_GA]])-1)/(Backend!$B$4/100*Table1[[#This Row],[BW40_3705]]),"")</f>
        <v/>
      </c>
      <c r="H4616" s="7" t="str">
        <f>IF(Table1[[#This Row],[Is Data Valid]]=TRUE,((Table1[[#This Row],[Birthweight (grams)]]*0.9/Table1[[#This Row],[BW_GA]])-1)/(Backend!$B$4/100*Table1[[#This Row],[BW40_3705]]),"")</f>
        <v/>
      </c>
      <c r="I4616" s="7" t="str">
        <f>IF(Table1[[#This Row],[Is Data Valid]]=TRUE,((Table1[[#This Row],[Birthweight (grams)]]*1.1/Table1[[#This Row],[BW_GA]])-1)/(Backend!$B$4/100*Table1[[#This Row],[BW40_3705]]),"")</f>
        <v/>
      </c>
      <c r="J4616" s="7" t="str">
        <f>IF(Table1[[#This Row],[Is Data Valid]]=TRUE,_xlfn.NORM.S.DIST(Table1[[#This Row],[Birthweight Z-Score]],TRUE)*100,"")</f>
        <v/>
      </c>
      <c r="K4616" s="7" t="str">
        <f>IF(Table1[[#This Row],[Is Data Valid]]=TRUE,_xlfn.NORM.S.DIST(Table1[[#This Row],[Birthweight Z-Score (BW-10%)]],TRUE)*100,"")</f>
        <v/>
      </c>
      <c r="L4616" s="7" t="str">
        <f>IF(Table1[[#This Row],[Is Data Valid]]=TRUE,_xlfn.NORM.S.DIST(Table1[[#This Row],[Birthweight Z-Score (BW+10%)]],TRUE)*100,"")</f>
        <v/>
      </c>
    </row>
    <row r="4617" spans="1:12" x14ac:dyDescent="0.35">
      <c r="A4617" s="3"/>
      <c r="B4617" s="2"/>
      <c r="C4617" s="2"/>
      <c r="D4617" s="2" t="b">
        <f>IF(AND(NOT(ISBLANK(Table1[[#This Row],[Fetal Sex (Male, Female or Unknown)]])),ISNUMBER(Table1[[#This Row],[Birthweight (grams)]]),ISNUMBER(Table1[[#This Row],[Gestation (days)]])),TRUE,FALSE)</f>
        <v>0</v>
      </c>
      <c r="E4617" s="2" t="str">
        <f>IF(Table1[[#This Row],[Is Data Valid]]=TRUE,IF(Table1[[#This Row],[Fetal Sex (Male, Female or Unknown)]]="Male",Backend!$C$6,IF(Table1[[#This Row],[Fetal Sex (Male, Female or Unknown)]]="Female",Backend!$C$7,IF(Table1[[#This Row],[Fetal Sex (Male, Female or Unknown)]]="Unknown",Backend!$C$8,"Error"))),"")</f>
        <v/>
      </c>
      <c r="F4617" s="8" t="str">
        <f>IF(Table1[[#This Row],[Is Data Valid]]=TRUE,EXP(0.578+0.332*((Table1[[#This Row],[Gestation (days)]]+0.5)/7)-0.00354*((Table1[[#This Row],[Gestation (days)]]+0.5)/7)^2)*Table1[[#This Row],[BW40_3705]],"")</f>
        <v/>
      </c>
      <c r="G4617" s="2" t="str">
        <f>IF(Table1[[#This Row],[Is Data Valid]]=TRUE,((Table1[[#This Row],[Birthweight (grams)]]/Table1[[#This Row],[BW_GA]])-1)/(Backend!$B$4/100*Table1[[#This Row],[BW40_3705]]),"")</f>
        <v/>
      </c>
      <c r="H4617" s="7" t="str">
        <f>IF(Table1[[#This Row],[Is Data Valid]]=TRUE,((Table1[[#This Row],[Birthweight (grams)]]*0.9/Table1[[#This Row],[BW_GA]])-1)/(Backend!$B$4/100*Table1[[#This Row],[BW40_3705]]),"")</f>
        <v/>
      </c>
      <c r="I4617" s="7" t="str">
        <f>IF(Table1[[#This Row],[Is Data Valid]]=TRUE,((Table1[[#This Row],[Birthweight (grams)]]*1.1/Table1[[#This Row],[BW_GA]])-1)/(Backend!$B$4/100*Table1[[#This Row],[BW40_3705]]),"")</f>
        <v/>
      </c>
      <c r="J4617" s="7" t="str">
        <f>IF(Table1[[#This Row],[Is Data Valid]]=TRUE,_xlfn.NORM.S.DIST(Table1[[#This Row],[Birthweight Z-Score]],TRUE)*100,"")</f>
        <v/>
      </c>
      <c r="K4617" s="7" t="str">
        <f>IF(Table1[[#This Row],[Is Data Valid]]=TRUE,_xlfn.NORM.S.DIST(Table1[[#This Row],[Birthweight Z-Score (BW-10%)]],TRUE)*100,"")</f>
        <v/>
      </c>
      <c r="L4617" s="7" t="str">
        <f>IF(Table1[[#This Row],[Is Data Valid]]=TRUE,_xlfn.NORM.S.DIST(Table1[[#This Row],[Birthweight Z-Score (BW+10%)]],TRUE)*100,"")</f>
        <v/>
      </c>
    </row>
    <row r="4618" spans="1:12" x14ac:dyDescent="0.35">
      <c r="A4618" s="3"/>
      <c r="B4618" s="2"/>
      <c r="C4618" s="2"/>
      <c r="D4618" s="2" t="b">
        <f>IF(AND(NOT(ISBLANK(Table1[[#This Row],[Fetal Sex (Male, Female or Unknown)]])),ISNUMBER(Table1[[#This Row],[Birthweight (grams)]]),ISNUMBER(Table1[[#This Row],[Gestation (days)]])),TRUE,FALSE)</f>
        <v>0</v>
      </c>
      <c r="E4618" s="2" t="str">
        <f>IF(Table1[[#This Row],[Is Data Valid]]=TRUE,IF(Table1[[#This Row],[Fetal Sex (Male, Female or Unknown)]]="Male",Backend!$C$6,IF(Table1[[#This Row],[Fetal Sex (Male, Female or Unknown)]]="Female",Backend!$C$7,IF(Table1[[#This Row],[Fetal Sex (Male, Female or Unknown)]]="Unknown",Backend!$C$8,"Error"))),"")</f>
        <v/>
      </c>
      <c r="F4618" s="8" t="str">
        <f>IF(Table1[[#This Row],[Is Data Valid]]=TRUE,EXP(0.578+0.332*((Table1[[#This Row],[Gestation (days)]]+0.5)/7)-0.00354*((Table1[[#This Row],[Gestation (days)]]+0.5)/7)^2)*Table1[[#This Row],[BW40_3705]],"")</f>
        <v/>
      </c>
      <c r="G4618" s="2" t="str">
        <f>IF(Table1[[#This Row],[Is Data Valid]]=TRUE,((Table1[[#This Row],[Birthweight (grams)]]/Table1[[#This Row],[BW_GA]])-1)/(Backend!$B$4/100*Table1[[#This Row],[BW40_3705]]),"")</f>
        <v/>
      </c>
      <c r="H4618" s="7" t="str">
        <f>IF(Table1[[#This Row],[Is Data Valid]]=TRUE,((Table1[[#This Row],[Birthweight (grams)]]*0.9/Table1[[#This Row],[BW_GA]])-1)/(Backend!$B$4/100*Table1[[#This Row],[BW40_3705]]),"")</f>
        <v/>
      </c>
      <c r="I4618" s="7" t="str">
        <f>IF(Table1[[#This Row],[Is Data Valid]]=TRUE,((Table1[[#This Row],[Birthweight (grams)]]*1.1/Table1[[#This Row],[BW_GA]])-1)/(Backend!$B$4/100*Table1[[#This Row],[BW40_3705]]),"")</f>
        <v/>
      </c>
      <c r="J4618" s="7" t="str">
        <f>IF(Table1[[#This Row],[Is Data Valid]]=TRUE,_xlfn.NORM.S.DIST(Table1[[#This Row],[Birthweight Z-Score]],TRUE)*100,"")</f>
        <v/>
      </c>
      <c r="K4618" s="7" t="str">
        <f>IF(Table1[[#This Row],[Is Data Valid]]=TRUE,_xlfn.NORM.S.DIST(Table1[[#This Row],[Birthweight Z-Score (BW-10%)]],TRUE)*100,"")</f>
        <v/>
      </c>
      <c r="L4618" s="7" t="str">
        <f>IF(Table1[[#This Row],[Is Data Valid]]=TRUE,_xlfn.NORM.S.DIST(Table1[[#This Row],[Birthweight Z-Score (BW+10%)]],TRUE)*100,"")</f>
        <v/>
      </c>
    </row>
    <row r="4619" spans="1:12" x14ac:dyDescent="0.35">
      <c r="A4619" s="3"/>
      <c r="B4619" s="2"/>
      <c r="C4619" s="2"/>
      <c r="D4619" s="2" t="b">
        <f>IF(AND(NOT(ISBLANK(Table1[[#This Row],[Fetal Sex (Male, Female or Unknown)]])),ISNUMBER(Table1[[#This Row],[Birthweight (grams)]]),ISNUMBER(Table1[[#This Row],[Gestation (days)]])),TRUE,FALSE)</f>
        <v>0</v>
      </c>
      <c r="E4619" s="2" t="str">
        <f>IF(Table1[[#This Row],[Is Data Valid]]=TRUE,IF(Table1[[#This Row],[Fetal Sex (Male, Female or Unknown)]]="Male",Backend!$C$6,IF(Table1[[#This Row],[Fetal Sex (Male, Female or Unknown)]]="Female",Backend!$C$7,IF(Table1[[#This Row],[Fetal Sex (Male, Female or Unknown)]]="Unknown",Backend!$C$8,"Error"))),"")</f>
        <v/>
      </c>
      <c r="F4619" s="8" t="str">
        <f>IF(Table1[[#This Row],[Is Data Valid]]=TRUE,EXP(0.578+0.332*((Table1[[#This Row],[Gestation (days)]]+0.5)/7)-0.00354*((Table1[[#This Row],[Gestation (days)]]+0.5)/7)^2)*Table1[[#This Row],[BW40_3705]],"")</f>
        <v/>
      </c>
      <c r="G4619" s="2" t="str">
        <f>IF(Table1[[#This Row],[Is Data Valid]]=TRUE,((Table1[[#This Row],[Birthweight (grams)]]/Table1[[#This Row],[BW_GA]])-1)/(Backend!$B$4/100*Table1[[#This Row],[BW40_3705]]),"")</f>
        <v/>
      </c>
      <c r="H4619" s="7" t="str">
        <f>IF(Table1[[#This Row],[Is Data Valid]]=TRUE,((Table1[[#This Row],[Birthweight (grams)]]*0.9/Table1[[#This Row],[BW_GA]])-1)/(Backend!$B$4/100*Table1[[#This Row],[BW40_3705]]),"")</f>
        <v/>
      </c>
      <c r="I4619" s="7" t="str">
        <f>IF(Table1[[#This Row],[Is Data Valid]]=TRUE,((Table1[[#This Row],[Birthweight (grams)]]*1.1/Table1[[#This Row],[BW_GA]])-1)/(Backend!$B$4/100*Table1[[#This Row],[BW40_3705]]),"")</f>
        <v/>
      </c>
      <c r="J4619" s="7" t="str">
        <f>IF(Table1[[#This Row],[Is Data Valid]]=TRUE,_xlfn.NORM.S.DIST(Table1[[#This Row],[Birthweight Z-Score]],TRUE)*100,"")</f>
        <v/>
      </c>
      <c r="K4619" s="7" t="str">
        <f>IF(Table1[[#This Row],[Is Data Valid]]=TRUE,_xlfn.NORM.S.DIST(Table1[[#This Row],[Birthweight Z-Score (BW-10%)]],TRUE)*100,"")</f>
        <v/>
      </c>
      <c r="L4619" s="7" t="str">
        <f>IF(Table1[[#This Row],[Is Data Valid]]=TRUE,_xlfn.NORM.S.DIST(Table1[[#This Row],[Birthweight Z-Score (BW+10%)]],TRUE)*100,"")</f>
        <v/>
      </c>
    </row>
    <row r="4620" spans="1:12" x14ac:dyDescent="0.35">
      <c r="A4620" s="3"/>
      <c r="B4620" s="2"/>
      <c r="C4620" s="2"/>
      <c r="D4620" s="2" t="b">
        <f>IF(AND(NOT(ISBLANK(Table1[[#This Row],[Fetal Sex (Male, Female or Unknown)]])),ISNUMBER(Table1[[#This Row],[Birthweight (grams)]]),ISNUMBER(Table1[[#This Row],[Gestation (days)]])),TRUE,FALSE)</f>
        <v>0</v>
      </c>
      <c r="E4620" s="2" t="str">
        <f>IF(Table1[[#This Row],[Is Data Valid]]=TRUE,IF(Table1[[#This Row],[Fetal Sex (Male, Female or Unknown)]]="Male",Backend!$C$6,IF(Table1[[#This Row],[Fetal Sex (Male, Female or Unknown)]]="Female",Backend!$C$7,IF(Table1[[#This Row],[Fetal Sex (Male, Female or Unknown)]]="Unknown",Backend!$C$8,"Error"))),"")</f>
        <v/>
      </c>
      <c r="F4620" s="8" t="str">
        <f>IF(Table1[[#This Row],[Is Data Valid]]=TRUE,EXP(0.578+0.332*((Table1[[#This Row],[Gestation (days)]]+0.5)/7)-0.00354*((Table1[[#This Row],[Gestation (days)]]+0.5)/7)^2)*Table1[[#This Row],[BW40_3705]],"")</f>
        <v/>
      </c>
      <c r="G4620" s="2" t="str">
        <f>IF(Table1[[#This Row],[Is Data Valid]]=TRUE,((Table1[[#This Row],[Birthweight (grams)]]/Table1[[#This Row],[BW_GA]])-1)/(Backend!$B$4/100*Table1[[#This Row],[BW40_3705]]),"")</f>
        <v/>
      </c>
      <c r="H4620" s="7" t="str">
        <f>IF(Table1[[#This Row],[Is Data Valid]]=TRUE,((Table1[[#This Row],[Birthweight (grams)]]*0.9/Table1[[#This Row],[BW_GA]])-1)/(Backend!$B$4/100*Table1[[#This Row],[BW40_3705]]),"")</f>
        <v/>
      </c>
      <c r="I4620" s="7" t="str">
        <f>IF(Table1[[#This Row],[Is Data Valid]]=TRUE,((Table1[[#This Row],[Birthweight (grams)]]*1.1/Table1[[#This Row],[BW_GA]])-1)/(Backend!$B$4/100*Table1[[#This Row],[BW40_3705]]),"")</f>
        <v/>
      </c>
      <c r="J4620" s="7" t="str">
        <f>IF(Table1[[#This Row],[Is Data Valid]]=TRUE,_xlfn.NORM.S.DIST(Table1[[#This Row],[Birthweight Z-Score]],TRUE)*100,"")</f>
        <v/>
      </c>
      <c r="K4620" s="7" t="str">
        <f>IF(Table1[[#This Row],[Is Data Valid]]=TRUE,_xlfn.NORM.S.DIST(Table1[[#This Row],[Birthweight Z-Score (BW-10%)]],TRUE)*100,"")</f>
        <v/>
      </c>
      <c r="L4620" s="7" t="str">
        <f>IF(Table1[[#This Row],[Is Data Valid]]=TRUE,_xlfn.NORM.S.DIST(Table1[[#This Row],[Birthweight Z-Score (BW+10%)]],TRUE)*100,"")</f>
        <v/>
      </c>
    </row>
    <row r="4621" spans="1:12" x14ac:dyDescent="0.35">
      <c r="A4621" s="3"/>
      <c r="B4621" s="2"/>
      <c r="C4621" s="2"/>
      <c r="D4621" s="2" t="b">
        <f>IF(AND(NOT(ISBLANK(Table1[[#This Row],[Fetal Sex (Male, Female or Unknown)]])),ISNUMBER(Table1[[#This Row],[Birthweight (grams)]]),ISNUMBER(Table1[[#This Row],[Gestation (days)]])),TRUE,FALSE)</f>
        <v>0</v>
      </c>
      <c r="E4621" s="2" t="str">
        <f>IF(Table1[[#This Row],[Is Data Valid]]=TRUE,IF(Table1[[#This Row],[Fetal Sex (Male, Female or Unknown)]]="Male",Backend!$C$6,IF(Table1[[#This Row],[Fetal Sex (Male, Female or Unknown)]]="Female",Backend!$C$7,IF(Table1[[#This Row],[Fetal Sex (Male, Female or Unknown)]]="Unknown",Backend!$C$8,"Error"))),"")</f>
        <v/>
      </c>
      <c r="F4621" s="8" t="str">
        <f>IF(Table1[[#This Row],[Is Data Valid]]=TRUE,EXP(0.578+0.332*((Table1[[#This Row],[Gestation (days)]]+0.5)/7)-0.00354*((Table1[[#This Row],[Gestation (days)]]+0.5)/7)^2)*Table1[[#This Row],[BW40_3705]],"")</f>
        <v/>
      </c>
      <c r="G4621" s="2" t="str">
        <f>IF(Table1[[#This Row],[Is Data Valid]]=TRUE,((Table1[[#This Row],[Birthweight (grams)]]/Table1[[#This Row],[BW_GA]])-1)/(Backend!$B$4/100*Table1[[#This Row],[BW40_3705]]),"")</f>
        <v/>
      </c>
      <c r="H4621" s="7" t="str">
        <f>IF(Table1[[#This Row],[Is Data Valid]]=TRUE,((Table1[[#This Row],[Birthweight (grams)]]*0.9/Table1[[#This Row],[BW_GA]])-1)/(Backend!$B$4/100*Table1[[#This Row],[BW40_3705]]),"")</f>
        <v/>
      </c>
      <c r="I4621" s="7" t="str">
        <f>IF(Table1[[#This Row],[Is Data Valid]]=TRUE,((Table1[[#This Row],[Birthweight (grams)]]*1.1/Table1[[#This Row],[BW_GA]])-1)/(Backend!$B$4/100*Table1[[#This Row],[BW40_3705]]),"")</f>
        <v/>
      </c>
      <c r="J4621" s="7" t="str">
        <f>IF(Table1[[#This Row],[Is Data Valid]]=TRUE,_xlfn.NORM.S.DIST(Table1[[#This Row],[Birthweight Z-Score]],TRUE)*100,"")</f>
        <v/>
      </c>
      <c r="K4621" s="7" t="str">
        <f>IF(Table1[[#This Row],[Is Data Valid]]=TRUE,_xlfn.NORM.S.DIST(Table1[[#This Row],[Birthweight Z-Score (BW-10%)]],TRUE)*100,"")</f>
        <v/>
      </c>
      <c r="L4621" s="7" t="str">
        <f>IF(Table1[[#This Row],[Is Data Valid]]=TRUE,_xlfn.NORM.S.DIST(Table1[[#This Row],[Birthweight Z-Score (BW+10%)]],TRUE)*100,"")</f>
        <v/>
      </c>
    </row>
    <row r="4622" spans="1:12" x14ac:dyDescent="0.35">
      <c r="A4622" s="3"/>
      <c r="B4622" s="2"/>
      <c r="C4622" s="2"/>
      <c r="D4622" s="2" t="b">
        <f>IF(AND(NOT(ISBLANK(Table1[[#This Row],[Fetal Sex (Male, Female or Unknown)]])),ISNUMBER(Table1[[#This Row],[Birthweight (grams)]]),ISNUMBER(Table1[[#This Row],[Gestation (days)]])),TRUE,FALSE)</f>
        <v>0</v>
      </c>
      <c r="E4622" s="2" t="str">
        <f>IF(Table1[[#This Row],[Is Data Valid]]=TRUE,IF(Table1[[#This Row],[Fetal Sex (Male, Female or Unknown)]]="Male",Backend!$C$6,IF(Table1[[#This Row],[Fetal Sex (Male, Female or Unknown)]]="Female",Backend!$C$7,IF(Table1[[#This Row],[Fetal Sex (Male, Female or Unknown)]]="Unknown",Backend!$C$8,"Error"))),"")</f>
        <v/>
      </c>
      <c r="F4622" s="8" t="str">
        <f>IF(Table1[[#This Row],[Is Data Valid]]=TRUE,EXP(0.578+0.332*((Table1[[#This Row],[Gestation (days)]]+0.5)/7)-0.00354*((Table1[[#This Row],[Gestation (days)]]+0.5)/7)^2)*Table1[[#This Row],[BW40_3705]],"")</f>
        <v/>
      </c>
      <c r="G4622" s="2" t="str">
        <f>IF(Table1[[#This Row],[Is Data Valid]]=TRUE,((Table1[[#This Row],[Birthweight (grams)]]/Table1[[#This Row],[BW_GA]])-1)/(Backend!$B$4/100*Table1[[#This Row],[BW40_3705]]),"")</f>
        <v/>
      </c>
      <c r="H4622" s="7" t="str">
        <f>IF(Table1[[#This Row],[Is Data Valid]]=TRUE,((Table1[[#This Row],[Birthweight (grams)]]*0.9/Table1[[#This Row],[BW_GA]])-1)/(Backend!$B$4/100*Table1[[#This Row],[BW40_3705]]),"")</f>
        <v/>
      </c>
      <c r="I4622" s="7" t="str">
        <f>IF(Table1[[#This Row],[Is Data Valid]]=TRUE,((Table1[[#This Row],[Birthweight (grams)]]*1.1/Table1[[#This Row],[BW_GA]])-1)/(Backend!$B$4/100*Table1[[#This Row],[BW40_3705]]),"")</f>
        <v/>
      </c>
      <c r="J4622" s="7" t="str">
        <f>IF(Table1[[#This Row],[Is Data Valid]]=TRUE,_xlfn.NORM.S.DIST(Table1[[#This Row],[Birthweight Z-Score]],TRUE)*100,"")</f>
        <v/>
      </c>
      <c r="K4622" s="7" t="str">
        <f>IF(Table1[[#This Row],[Is Data Valid]]=TRUE,_xlfn.NORM.S.DIST(Table1[[#This Row],[Birthweight Z-Score (BW-10%)]],TRUE)*100,"")</f>
        <v/>
      </c>
      <c r="L4622" s="7" t="str">
        <f>IF(Table1[[#This Row],[Is Data Valid]]=TRUE,_xlfn.NORM.S.DIST(Table1[[#This Row],[Birthweight Z-Score (BW+10%)]],TRUE)*100,"")</f>
        <v/>
      </c>
    </row>
    <row r="4623" spans="1:12" x14ac:dyDescent="0.35">
      <c r="A4623" s="3"/>
      <c r="B4623" s="2"/>
      <c r="C4623" s="2"/>
      <c r="D4623" s="2" t="b">
        <f>IF(AND(NOT(ISBLANK(Table1[[#This Row],[Fetal Sex (Male, Female or Unknown)]])),ISNUMBER(Table1[[#This Row],[Birthweight (grams)]]),ISNUMBER(Table1[[#This Row],[Gestation (days)]])),TRUE,FALSE)</f>
        <v>0</v>
      </c>
      <c r="E4623" s="2" t="str">
        <f>IF(Table1[[#This Row],[Is Data Valid]]=TRUE,IF(Table1[[#This Row],[Fetal Sex (Male, Female or Unknown)]]="Male",Backend!$C$6,IF(Table1[[#This Row],[Fetal Sex (Male, Female or Unknown)]]="Female",Backend!$C$7,IF(Table1[[#This Row],[Fetal Sex (Male, Female or Unknown)]]="Unknown",Backend!$C$8,"Error"))),"")</f>
        <v/>
      </c>
      <c r="F4623" s="8" t="str">
        <f>IF(Table1[[#This Row],[Is Data Valid]]=TRUE,EXP(0.578+0.332*((Table1[[#This Row],[Gestation (days)]]+0.5)/7)-0.00354*((Table1[[#This Row],[Gestation (days)]]+0.5)/7)^2)*Table1[[#This Row],[BW40_3705]],"")</f>
        <v/>
      </c>
      <c r="G4623" s="2" t="str">
        <f>IF(Table1[[#This Row],[Is Data Valid]]=TRUE,((Table1[[#This Row],[Birthweight (grams)]]/Table1[[#This Row],[BW_GA]])-1)/(Backend!$B$4/100*Table1[[#This Row],[BW40_3705]]),"")</f>
        <v/>
      </c>
      <c r="H4623" s="7" t="str">
        <f>IF(Table1[[#This Row],[Is Data Valid]]=TRUE,((Table1[[#This Row],[Birthweight (grams)]]*0.9/Table1[[#This Row],[BW_GA]])-1)/(Backend!$B$4/100*Table1[[#This Row],[BW40_3705]]),"")</f>
        <v/>
      </c>
      <c r="I4623" s="7" t="str">
        <f>IF(Table1[[#This Row],[Is Data Valid]]=TRUE,((Table1[[#This Row],[Birthweight (grams)]]*1.1/Table1[[#This Row],[BW_GA]])-1)/(Backend!$B$4/100*Table1[[#This Row],[BW40_3705]]),"")</f>
        <v/>
      </c>
      <c r="J4623" s="7" t="str">
        <f>IF(Table1[[#This Row],[Is Data Valid]]=TRUE,_xlfn.NORM.S.DIST(Table1[[#This Row],[Birthweight Z-Score]],TRUE)*100,"")</f>
        <v/>
      </c>
      <c r="K4623" s="7" t="str">
        <f>IF(Table1[[#This Row],[Is Data Valid]]=TRUE,_xlfn.NORM.S.DIST(Table1[[#This Row],[Birthweight Z-Score (BW-10%)]],TRUE)*100,"")</f>
        <v/>
      </c>
      <c r="L4623" s="7" t="str">
        <f>IF(Table1[[#This Row],[Is Data Valid]]=TRUE,_xlfn.NORM.S.DIST(Table1[[#This Row],[Birthweight Z-Score (BW+10%)]],TRUE)*100,"")</f>
        <v/>
      </c>
    </row>
    <row r="4624" spans="1:12" x14ac:dyDescent="0.35">
      <c r="A4624" s="3"/>
      <c r="B4624" s="2"/>
      <c r="C4624" s="2"/>
      <c r="D4624" s="2" t="b">
        <f>IF(AND(NOT(ISBLANK(Table1[[#This Row],[Fetal Sex (Male, Female or Unknown)]])),ISNUMBER(Table1[[#This Row],[Birthweight (grams)]]),ISNUMBER(Table1[[#This Row],[Gestation (days)]])),TRUE,FALSE)</f>
        <v>0</v>
      </c>
      <c r="E4624" s="2" t="str">
        <f>IF(Table1[[#This Row],[Is Data Valid]]=TRUE,IF(Table1[[#This Row],[Fetal Sex (Male, Female or Unknown)]]="Male",Backend!$C$6,IF(Table1[[#This Row],[Fetal Sex (Male, Female or Unknown)]]="Female",Backend!$C$7,IF(Table1[[#This Row],[Fetal Sex (Male, Female or Unknown)]]="Unknown",Backend!$C$8,"Error"))),"")</f>
        <v/>
      </c>
      <c r="F4624" s="8" t="str">
        <f>IF(Table1[[#This Row],[Is Data Valid]]=TRUE,EXP(0.578+0.332*((Table1[[#This Row],[Gestation (days)]]+0.5)/7)-0.00354*((Table1[[#This Row],[Gestation (days)]]+0.5)/7)^2)*Table1[[#This Row],[BW40_3705]],"")</f>
        <v/>
      </c>
      <c r="G4624" s="2" t="str">
        <f>IF(Table1[[#This Row],[Is Data Valid]]=TRUE,((Table1[[#This Row],[Birthweight (grams)]]/Table1[[#This Row],[BW_GA]])-1)/(Backend!$B$4/100*Table1[[#This Row],[BW40_3705]]),"")</f>
        <v/>
      </c>
      <c r="H4624" s="7" t="str">
        <f>IF(Table1[[#This Row],[Is Data Valid]]=TRUE,((Table1[[#This Row],[Birthweight (grams)]]*0.9/Table1[[#This Row],[BW_GA]])-1)/(Backend!$B$4/100*Table1[[#This Row],[BW40_3705]]),"")</f>
        <v/>
      </c>
      <c r="I4624" s="7" t="str">
        <f>IF(Table1[[#This Row],[Is Data Valid]]=TRUE,((Table1[[#This Row],[Birthweight (grams)]]*1.1/Table1[[#This Row],[BW_GA]])-1)/(Backend!$B$4/100*Table1[[#This Row],[BW40_3705]]),"")</f>
        <v/>
      </c>
      <c r="J4624" s="7" t="str">
        <f>IF(Table1[[#This Row],[Is Data Valid]]=TRUE,_xlfn.NORM.S.DIST(Table1[[#This Row],[Birthweight Z-Score]],TRUE)*100,"")</f>
        <v/>
      </c>
      <c r="K4624" s="7" t="str">
        <f>IF(Table1[[#This Row],[Is Data Valid]]=TRUE,_xlfn.NORM.S.DIST(Table1[[#This Row],[Birthweight Z-Score (BW-10%)]],TRUE)*100,"")</f>
        <v/>
      </c>
      <c r="L4624" s="7" t="str">
        <f>IF(Table1[[#This Row],[Is Data Valid]]=TRUE,_xlfn.NORM.S.DIST(Table1[[#This Row],[Birthweight Z-Score (BW+10%)]],TRUE)*100,"")</f>
        <v/>
      </c>
    </row>
    <row r="4625" spans="1:12" x14ac:dyDescent="0.35">
      <c r="A4625" s="3"/>
      <c r="B4625" s="2"/>
      <c r="C4625" s="2"/>
      <c r="D4625" s="2" t="b">
        <f>IF(AND(NOT(ISBLANK(Table1[[#This Row],[Fetal Sex (Male, Female or Unknown)]])),ISNUMBER(Table1[[#This Row],[Birthweight (grams)]]),ISNUMBER(Table1[[#This Row],[Gestation (days)]])),TRUE,FALSE)</f>
        <v>0</v>
      </c>
      <c r="E4625" s="2" t="str">
        <f>IF(Table1[[#This Row],[Is Data Valid]]=TRUE,IF(Table1[[#This Row],[Fetal Sex (Male, Female or Unknown)]]="Male",Backend!$C$6,IF(Table1[[#This Row],[Fetal Sex (Male, Female or Unknown)]]="Female",Backend!$C$7,IF(Table1[[#This Row],[Fetal Sex (Male, Female or Unknown)]]="Unknown",Backend!$C$8,"Error"))),"")</f>
        <v/>
      </c>
      <c r="F4625" s="8" t="str">
        <f>IF(Table1[[#This Row],[Is Data Valid]]=TRUE,EXP(0.578+0.332*((Table1[[#This Row],[Gestation (days)]]+0.5)/7)-0.00354*((Table1[[#This Row],[Gestation (days)]]+0.5)/7)^2)*Table1[[#This Row],[BW40_3705]],"")</f>
        <v/>
      </c>
      <c r="G4625" s="2" t="str">
        <f>IF(Table1[[#This Row],[Is Data Valid]]=TRUE,((Table1[[#This Row],[Birthweight (grams)]]/Table1[[#This Row],[BW_GA]])-1)/(Backend!$B$4/100*Table1[[#This Row],[BW40_3705]]),"")</f>
        <v/>
      </c>
      <c r="H4625" s="7" t="str">
        <f>IF(Table1[[#This Row],[Is Data Valid]]=TRUE,((Table1[[#This Row],[Birthweight (grams)]]*0.9/Table1[[#This Row],[BW_GA]])-1)/(Backend!$B$4/100*Table1[[#This Row],[BW40_3705]]),"")</f>
        <v/>
      </c>
      <c r="I4625" s="7" t="str">
        <f>IF(Table1[[#This Row],[Is Data Valid]]=TRUE,((Table1[[#This Row],[Birthweight (grams)]]*1.1/Table1[[#This Row],[BW_GA]])-1)/(Backend!$B$4/100*Table1[[#This Row],[BW40_3705]]),"")</f>
        <v/>
      </c>
      <c r="J4625" s="7" t="str">
        <f>IF(Table1[[#This Row],[Is Data Valid]]=TRUE,_xlfn.NORM.S.DIST(Table1[[#This Row],[Birthweight Z-Score]],TRUE)*100,"")</f>
        <v/>
      </c>
      <c r="K4625" s="7" t="str">
        <f>IF(Table1[[#This Row],[Is Data Valid]]=TRUE,_xlfn.NORM.S.DIST(Table1[[#This Row],[Birthweight Z-Score (BW-10%)]],TRUE)*100,"")</f>
        <v/>
      </c>
      <c r="L4625" s="7" t="str">
        <f>IF(Table1[[#This Row],[Is Data Valid]]=TRUE,_xlfn.NORM.S.DIST(Table1[[#This Row],[Birthweight Z-Score (BW+10%)]],TRUE)*100,"")</f>
        <v/>
      </c>
    </row>
    <row r="4626" spans="1:12" x14ac:dyDescent="0.35">
      <c r="A4626" s="3"/>
      <c r="B4626" s="2"/>
      <c r="C4626" s="2"/>
      <c r="D4626" s="2" t="b">
        <f>IF(AND(NOT(ISBLANK(Table1[[#This Row],[Fetal Sex (Male, Female or Unknown)]])),ISNUMBER(Table1[[#This Row],[Birthweight (grams)]]),ISNUMBER(Table1[[#This Row],[Gestation (days)]])),TRUE,FALSE)</f>
        <v>0</v>
      </c>
      <c r="E4626" s="2" t="str">
        <f>IF(Table1[[#This Row],[Is Data Valid]]=TRUE,IF(Table1[[#This Row],[Fetal Sex (Male, Female or Unknown)]]="Male",Backend!$C$6,IF(Table1[[#This Row],[Fetal Sex (Male, Female or Unknown)]]="Female",Backend!$C$7,IF(Table1[[#This Row],[Fetal Sex (Male, Female or Unknown)]]="Unknown",Backend!$C$8,"Error"))),"")</f>
        <v/>
      </c>
      <c r="F4626" s="8" t="str">
        <f>IF(Table1[[#This Row],[Is Data Valid]]=TRUE,EXP(0.578+0.332*((Table1[[#This Row],[Gestation (days)]]+0.5)/7)-0.00354*((Table1[[#This Row],[Gestation (days)]]+0.5)/7)^2)*Table1[[#This Row],[BW40_3705]],"")</f>
        <v/>
      </c>
      <c r="G4626" s="2" t="str">
        <f>IF(Table1[[#This Row],[Is Data Valid]]=TRUE,((Table1[[#This Row],[Birthweight (grams)]]/Table1[[#This Row],[BW_GA]])-1)/(Backend!$B$4/100*Table1[[#This Row],[BW40_3705]]),"")</f>
        <v/>
      </c>
      <c r="H4626" s="7" t="str">
        <f>IF(Table1[[#This Row],[Is Data Valid]]=TRUE,((Table1[[#This Row],[Birthweight (grams)]]*0.9/Table1[[#This Row],[BW_GA]])-1)/(Backend!$B$4/100*Table1[[#This Row],[BW40_3705]]),"")</f>
        <v/>
      </c>
      <c r="I4626" s="7" t="str">
        <f>IF(Table1[[#This Row],[Is Data Valid]]=TRUE,((Table1[[#This Row],[Birthweight (grams)]]*1.1/Table1[[#This Row],[BW_GA]])-1)/(Backend!$B$4/100*Table1[[#This Row],[BW40_3705]]),"")</f>
        <v/>
      </c>
      <c r="J4626" s="7" t="str">
        <f>IF(Table1[[#This Row],[Is Data Valid]]=TRUE,_xlfn.NORM.S.DIST(Table1[[#This Row],[Birthweight Z-Score]],TRUE)*100,"")</f>
        <v/>
      </c>
      <c r="K4626" s="7" t="str">
        <f>IF(Table1[[#This Row],[Is Data Valid]]=TRUE,_xlfn.NORM.S.DIST(Table1[[#This Row],[Birthweight Z-Score (BW-10%)]],TRUE)*100,"")</f>
        <v/>
      </c>
      <c r="L4626" s="7" t="str">
        <f>IF(Table1[[#This Row],[Is Data Valid]]=TRUE,_xlfn.NORM.S.DIST(Table1[[#This Row],[Birthweight Z-Score (BW+10%)]],TRUE)*100,"")</f>
        <v/>
      </c>
    </row>
    <row r="4627" spans="1:12" x14ac:dyDescent="0.35">
      <c r="A4627" s="3"/>
      <c r="B4627" s="2"/>
      <c r="C4627" s="2"/>
      <c r="D4627" s="2" t="b">
        <f>IF(AND(NOT(ISBLANK(Table1[[#This Row],[Fetal Sex (Male, Female or Unknown)]])),ISNUMBER(Table1[[#This Row],[Birthweight (grams)]]),ISNUMBER(Table1[[#This Row],[Gestation (days)]])),TRUE,FALSE)</f>
        <v>0</v>
      </c>
      <c r="E4627" s="2" t="str">
        <f>IF(Table1[[#This Row],[Is Data Valid]]=TRUE,IF(Table1[[#This Row],[Fetal Sex (Male, Female or Unknown)]]="Male",Backend!$C$6,IF(Table1[[#This Row],[Fetal Sex (Male, Female or Unknown)]]="Female",Backend!$C$7,IF(Table1[[#This Row],[Fetal Sex (Male, Female or Unknown)]]="Unknown",Backend!$C$8,"Error"))),"")</f>
        <v/>
      </c>
      <c r="F4627" s="8" t="str">
        <f>IF(Table1[[#This Row],[Is Data Valid]]=TRUE,EXP(0.578+0.332*((Table1[[#This Row],[Gestation (days)]]+0.5)/7)-0.00354*((Table1[[#This Row],[Gestation (days)]]+0.5)/7)^2)*Table1[[#This Row],[BW40_3705]],"")</f>
        <v/>
      </c>
      <c r="G4627" s="2" t="str">
        <f>IF(Table1[[#This Row],[Is Data Valid]]=TRUE,((Table1[[#This Row],[Birthweight (grams)]]/Table1[[#This Row],[BW_GA]])-1)/(Backend!$B$4/100*Table1[[#This Row],[BW40_3705]]),"")</f>
        <v/>
      </c>
      <c r="H4627" s="7" t="str">
        <f>IF(Table1[[#This Row],[Is Data Valid]]=TRUE,((Table1[[#This Row],[Birthweight (grams)]]*0.9/Table1[[#This Row],[BW_GA]])-1)/(Backend!$B$4/100*Table1[[#This Row],[BW40_3705]]),"")</f>
        <v/>
      </c>
      <c r="I4627" s="7" t="str">
        <f>IF(Table1[[#This Row],[Is Data Valid]]=TRUE,((Table1[[#This Row],[Birthweight (grams)]]*1.1/Table1[[#This Row],[BW_GA]])-1)/(Backend!$B$4/100*Table1[[#This Row],[BW40_3705]]),"")</f>
        <v/>
      </c>
      <c r="J4627" s="7" t="str">
        <f>IF(Table1[[#This Row],[Is Data Valid]]=TRUE,_xlfn.NORM.S.DIST(Table1[[#This Row],[Birthweight Z-Score]],TRUE)*100,"")</f>
        <v/>
      </c>
      <c r="K4627" s="7" t="str">
        <f>IF(Table1[[#This Row],[Is Data Valid]]=TRUE,_xlfn.NORM.S.DIST(Table1[[#This Row],[Birthweight Z-Score (BW-10%)]],TRUE)*100,"")</f>
        <v/>
      </c>
      <c r="L4627" s="7" t="str">
        <f>IF(Table1[[#This Row],[Is Data Valid]]=TRUE,_xlfn.NORM.S.DIST(Table1[[#This Row],[Birthweight Z-Score (BW+10%)]],TRUE)*100,"")</f>
        <v/>
      </c>
    </row>
    <row r="4628" spans="1:12" x14ac:dyDescent="0.35">
      <c r="A4628" s="3"/>
      <c r="B4628" s="2"/>
      <c r="C4628" s="2"/>
      <c r="D4628" s="2" t="b">
        <f>IF(AND(NOT(ISBLANK(Table1[[#This Row],[Fetal Sex (Male, Female or Unknown)]])),ISNUMBER(Table1[[#This Row],[Birthweight (grams)]]),ISNUMBER(Table1[[#This Row],[Gestation (days)]])),TRUE,FALSE)</f>
        <v>0</v>
      </c>
      <c r="E4628" s="2" t="str">
        <f>IF(Table1[[#This Row],[Is Data Valid]]=TRUE,IF(Table1[[#This Row],[Fetal Sex (Male, Female or Unknown)]]="Male",Backend!$C$6,IF(Table1[[#This Row],[Fetal Sex (Male, Female or Unknown)]]="Female",Backend!$C$7,IF(Table1[[#This Row],[Fetal Sex (Male, Female or Unknown)]]="Unknown",Backend!$C$8,"Error"))),"")</f>
        <v/>
      </c>
      <c r="F4628" s="8" t="str">
        <f>IF(Table1[[#This Row],[Is Data Valid]]=TRUE,EXP(0.578+0.332*((Table1[[#This Row],[Gestation (days)]]+0.5)/7)-0.00354*((Table1[[#This Row],[Gestation (days)]]+0.5)/7)^2)*Table1[[#This Row],[BW40_3705]],"")</f>
        <v/>
      </c>
      <c r="G4628" s="2" t="str">
        <f>IF(Table1[[#This Row],[Is Data Valid]]=TRUE,((Table1[[#This Row],[Birthweight (grams)]]/Table1[[#This Row],[BW_GA]])-1)/(Backend!$B$4/100*Table1[[#This Row],[BW40_3705]]),"")</f>
        <v/>
      </c>
      <c r="H4628" s="7" t="str">
        <f>IF(Table1[[#This Row],[Is Data Valid]]=TRUE,((Table1[[#This Row],[Birthweight (grams)]]*0.9/Table1[[#This Row],[BW_GA]])-1)/(Backend!$B$4/100*Table1[[#This Row],[BW40_3705]]),"")</f>
        <v/>
      </c>
      <c r="I4628" s="7" t="str">
        <f>IF(Table1[[#This Row],[Is Data Valid]]=TRUE,((Table1[[#This Row],[Birthweight (grams)]]*1.1/Table1[[#This Row],[BW_GA]])-1)/(Backend!$B$4/100*Table1[[#This Row],[BW40_3705]]),"")</f>
        <v/>
      </c>
      <c r="J4628" s="7" t="str">
        <f>IF(Table1[[#This Row],[Is Data Valid]]=TRUE,_xlfn.NORM.S.DIST(Table1[[#This Row],[Birthweight Z-Score]],TRUE)*100,"")</f>
        <v/>
      </c>
      <c r="K4628" s="7" t="str">
        <f>IF(Table1[[#This Row],[Is Data Valid]]=TRUE,_xlfn.NORM.S.DIST(Table1[[#This Row],[Birthweight Z-Score (BW-10%)]],TRUE)*100,"")</f>
        <v/>
      </c>
      <c r="L4628" s="7" t="str">
        <f>IF(Table1[[#This Row],[Is Data Valid]]=TRUE,_xlfn.NORM.S.DIST(Table1[[#This Row],[Birthweight Z-Score (BW+10%)]],TRUE)*100,"")</f>
        <v/>
      </c>
    </row>
    <row r="4629" spans="1:12" x14ac:dyDescent="0.35">
      <c r="A4629" s="3"/>
      <c r="B4629" s="2"/>
      <c r="C4629" s="2"/>
      <c r="D4629" s="2" t="b">
        <f>IF(AND(NOT(ISBLANK(Table1[[#This Row],[Fetal Sex (Male, Female or Unknown)]])),ISNUMBER(Table1[[#This Row],[Birthweight (grams)]]),ISNUMBER(Table1[[#This Row],[Gestation (days)]])),TRUE,FALSE)</f>
        <v>0</v>
      </c>
      <c r="E4629" s="2" t="str">
        <f>IF(Table1[[#This Row],[Is Data Valid]]=TRUE,IF(Table1[[#This Row],[Fetal Sex (Male, Female or Unknown)]]="Male",Backend!$C$6,IF(Table1[[#This Row],[Fetal Sex (Male, Female or Unknown)]]="Female",Backend!$C$7,IF(Table1[[#This Row],[Fetal Sex (Male, Female or Unknown)]]="Unknown",Backend!$C$8,"Error"))),"")</f>
        <v/>
      </c>
      <c r="F4629" s="8" t="str">
        <f>IF(Table1[[#This Row],[Is Data Valid]]=TRUE,EXP(0.578+0.332*((Table1[[#This Row],[Gestation (days)]]+0.5)/7)-0.00354*((Table1[[#This Row],[Gestation (days)]]+0.5)/7)^2)*Table1[[#This Row],[BW40_3705]],"")</f>
        <v/>
      </c>
      <c r="G4629" s="2" t="str">
        <f>IF(Table1[[#This Row],[Is Data Valid]]=TRUE,((Table1[[#This Row],[Birthweight (grams)]]/Table1[[#This Row],[BW_GA]])-1)/(Backend!$B$4/100*Table1[[#This Row],[BW40_3705]]),"")</f>
        <v/>
      </c>
      <c r="H4629" s="7" t="str">
        <f>IF(Table1[[#This Row],[Is Data Valid]]=TRUE,((Table1[[#This Row],[Birthweight (grams)]]*0.9/Table1[[#This Row],[BW_GA]])-1)/(Backend!$B$4/100*Table1[[#This Row],[BW40_3705]]),"")</f>
        <v/>
      </c>
      <c r="I4629" s="7" t="str">
        <f>IF(Table1[[#This Row],[Is Data Valid]]=TRUE,((Table1[[#This Row],[Birthweight (grams)]]*1.1/Table1[[#This Row],[BW_GA]])-1)/(Backend!$B$4/100*Table1[[#This Row],[BW40_3705]]),"")</f>
        <v/>
      </c>
      <c r="J4629" s="7" t="str">
        <f>IF(Table1[[#This Row],[Is Data Valid]]=TRUE,_xlfn.NORM.S.DIST(Table1[[#This Row],[Birthweight Z-Score]],TRUE)*100,"")</f>
        <v/>
      </c>
      <c r="K4629" s="7" t="str">
        <f>IF(Table1[[#This Row],[Is Data Valid]]=TRUE,_xlfn.NORM.S.DIST(Table1[[#This Row],[Birthweight Z-Score (BW-10%)]],TRUE)*100,"")</f>
        <v/>
      </c>
      <c r="L4629" s="7" t="str">
        <f>IF(Table1[[#This Row],[Is Data Valid]]=TRUE,_xlfn.NORM.S.DIST(Table1[[#This Row],[Birthweight Z-Score (BW+10%)]],TRUE)*100,"")</f>
        <v/>
      </c>
    </row>
    <row r="4630" spans="1:12" x14ac:dyDescent="0.35">
      <c r="A4630" s="3"/>
      <c r="B4630" s="2"/>
      <c r="C4630" s="2"/>
      <c r="D4630" s="2" t="b">
        <f>IF(AND(NOT(ISBLANK(Table1[[#This Row],[Fetal Sex (Male, Female or Unknown)]])),ISNUMBER(Table1[[#This Row],[Birthweight (grams)]]),ISNUMBER(Table1[[#This Row],[Gestation (days)]])),TRUE,FALSE)</f>
        <v>0</v>
      </c>
      <c r="E4630" s="2" t="str">
        <f>IF(Table1[[#This Row],[Is Data Valid]]=TRUE,IF(Table1[[#This Row],[Fetal Sex (Male, Female or Unknown)]]="Male",Backend!$C$6,IF(Table1[[#This Row],[Fetal Sex (Male, Female or Unknown)]]="Female",Backend!$C$7,IF(Table1[[#This Row],[Fetal Sex (Male, Female or Unknown)]]="Unknown",Backend!$C$8,"Error"))),"")</f>
        <v/>
      </c>
      <c r="F4630" s="8" t="str">
        <f>IF(Table1[[#This Row],[Is Data Valid]]=TRUE,EXP(0.578+0.332*((Table1[[#This Row],[Gestation (days)]]+0.5)/7)-0.00354*((Table1[[#This Row],[Gestation (days)]]+0.5)/7)^2)*Table1[[#This Row],[BW40_3705]],"")</f>
        <v/>
      </c>
      <c r="G4630" s="2" t="str">
        <f>IF(Table1[[#This Row],[Is Data Valid]]=TRUE,((Table1[[#This Row],[Birthweight (grams)]]/Table1[[#This Row],[BW_GA]])-1)/(Backend!$B$4/100*Table1[[#This Row],[BW40_3705]]),"")</f>
        <v/>
      </c>
      <c r="H4630" s="7" t="str">
        <f>IF(Table1[[#This Row],[Is Data Valid]]=TRUE,((Table1[[#This Row],[Birthweight (grams)]]*0.9/Table1[[#This Row],[BW_GA]])-1)/(Backend!$B$4/100*Table1[[#This Row],[BW40_3705]]),"")</f>
        <v/>
      </c>
      <c r="I4630" s="7" t="str">
        <f>IF(Table1[[#This Row],[Is Data Valid]]=TRUE,((Table1[[#This Row],[Birthweight (grams)]]*1.1/Table1[[#This Row],[BW_GA]])-1)/(Backend!$B$4/100*Table1[[#This Row],[BW40_3705]]),"")</f>
        <v/>
      </c>
      <c r="J4630" s="7" t="str">
        <f>IF(Table1[[#This Row],[Is Data Valid]]=TRUE,_xlfn.NORM.S.DIST(Table1[[#This Row],[Birthweight Z-Score]],TRUE)*100,"")</f>
        <v/>
      </c>
      <c r="K4630" s="7" t="str">
        <f>IF(Table1[[#This Row],[Is Data Valid]]=TRUE,_xlfn.NORM.S.DIST(Table1[[#This Row],[Birthweight Z-Score (BW-10%)]],TRUE)*100,"")</f>
        <v/>
      </c>
      <c r="L4630" s="7" t="str">
        <f>IF(Table1[[#This Row],[Is Data Valid]]=TRUE,_xlfn.NORM.S.DIST(Table1[[#This Row],[Birthweight Z-Score (BW+10%)]],TRUE)*100,"")</f>
        <v/>
      </c>
    </row>
    <row r="4631" spans="1:12" x14ac:dyDescent="0.35">
      <c r="A4631" s="3"/>
      <c r="B4631" s="2"/>
      <c r="C4631" s="2"/>
      <c r="D4631" s="2" t="b">
        <f>IF(AND(NOT(ISBLANK(Table1[[#This Row],[Fetal Sex (Male, Female or Unknown)]])),ISNUMBER(Table1[[#This Row],[Birthweight (grams)]]),ISNUMBER(Table1[[#This Row],[Gestation (days)]])),TRUE,FALSE)</f>
        <v>0</v>
      </c>
      <c r="E4631" s="2" t="str">
        <f>IF(Table1[[#This Row],[Is Data Valid]]=TRUE,IF(Table1[[#This Row],[Fetal Sex (Male, Female or Unknown)]]="Male",Backend!$C$6,IF(Table1[[#This Row],[Fetal Sex (Male, Female or Unknown)]]="Female",Backend!$C$7,IF(Table1[[#This Row],[Fetal Sex (Male, Female or Unknown)]]="Unknown",Backend!$C$8,"Error"))),"")</f>
        <v/>
      </c>
      <c r="F4631" s="8" t="str">
        <f>IF(Table1[[#This Row],[Is Data Valid]]=TRUE,EXP(0.578+0.332*((Table1[[#This Row],[Gestation (days)]]+0.5)/7)-0.00354*((Table1[[#This Row],[Gestation (days)]]+0.5)/7)^2)*Table1[[#This Row],[BW40_3705]],"")</f>
        <v/>
      </c>
      <c r="G4631" s="2" t="str">
        <f>IF(Table1[[#This Row],[Is Data Valid]]=TRUE,((Table1[[#This Row],[Birthweight (grams)]]/Table1[[#This Row],[BW_GA]])-1)/(Backend!$B$4/100*Table1[[#This Row],[BW40_3705]]),"")</f>
        <v/>
      </c>
      <c r="H4631" s="7" t="str">
        <f>IF(Table1[[#This Row],[Is Data Valid]]=TRUE,((Table1[[#This Row],[Birthweight (grams)]]*0.9/Table1[[#This Row],[BW_GA]])-1)/(Backend!$B$4/100*Table1[[#This Row],[BW40_3705]]),"")</f>
        <v/>
      </c>
      <c r="I4631" s="7" t="str">
        <f>IF(Table1[[#This Row],[Is Data Valid]]=TRUE,((Table1[[#This Row],[Birthweight (grams)]]*1.1/Table1[[#This Row],[BW_GA]])-1)/(Backend!$B$4/100*Table1[[#This Row],[BW40_3705]]),"")</f>
        <v/>
      </c>
      <c r="J4631" s="7" t="str">
        <f>IF(Table1[[#This Row],[Is Data Valid]]=TRUE,_xlfn.NORM.S.DIST(Table1[[#This Row],[Birthweight Z-Score]],TRUE)*100,"")</f>
        <v/>
      </c>
      <c r="K4631" s="7" t="str">
        <f>IF(Table1[[#This Row],[Is Data Valid]]=TRUE,_xlfn.NORM.S.DIST(Table1[[#This Row],[Birthweight Z-Score (BW-10%)]],TRUE)*100,"")</f>
        <v/>
      </c>
      <c r="L4631" s="7" t="str">
        <f>IF(Table1[[#This Row],[Is Data Valid]]=TRUE,_xlfn.NORM.S.DIST(Table1[[#This Row],[Birthweight Z-Score (BW+10%)]],TRUE)*100,"")</f>
        <v/>
      </c>
    </row>
    <row r="4632" spans="1:12" x14ac:dyDescent="0.35">
      <c r="A4632" s="3"/>
      <c r="B4632" s="2"/>
      <c r="C4632" s="2"/>
      <c r="D4632" s="2" t="b">
        <f>IF(AND(NOT(ISBLANK(Table1[[#This Row],[Fetal Sex (Male, Female or Unknown)]])),ISNUMBER(Table1[[#This Row],[Birthweight (grams)]]),ISNUMBER(Table1[[#This Row],[Gestation (days)]])),TRUE,FALSE)</f>
        <v>0</v>
      </c>
      <c r="E4632" s="2" t="str">
        <f>IF(Table1[[#This Row],[Is Data Valid]]=TRUE,IF(Table1[[#This Row],[Fetal Sex (Male, Female or Unknown)]]="Male",Backend!$C$6,IF(Table1[[#This Row],[Fetal Sex (Male, Female or Unknown)]]="Female",Backend!$C$7,IF(Table1[[#This Row],[Fetal Sex (Male, Female or Unknown)]]="Unknown",Backend!$C$8,"Error"))),"")</f>
        <v/>
      </c>
      <c r="F4632" s="8" t="str">
        <f>IF(Table1[[#This Row],[Is Data Valid]]=TRUE,EXP(0.578+0.332*((Table1[[#This Row],[Gestation (days)]]+0.5)/7)-0.00354*((Table1[[#This Row],[Gestation (days)]]+0.5)/7)^2)*Table1[[#This Row],[BW40_3705]],"")</f>
        <v/>
      </c>
      <c r="G4632" s="2" t="str">
        <f>IF(Table1[[#This Row],[Is Data Valid]]=TRUE,((Table1[[#This Row],[Birthweight (grams)]]/Table1[[#This Row],[BW_GA]])-1)/(Backend!$B$4/100*Table1[[#This Row],[BW40_3705]]),"")</f>
        <v/>
      </c>
      <c r="H4632" s="7" t="str">
        <f>IF(Table1[[#This Row],[Is Data Valid]]=TRUE,((Table1[[#This Row],[Birthweight (grams)]]*0.9/Table1[[#This Row],[BW_GA]])-1)/(Backend!$B$4/100*Table1[[#This Row],[BW40_3705]]),"")</f>
        <v/>
      </c>
      <c r="I4632" s="7" t="str">
        <f>IF(Table1[[#This Row],[Is Data Valid]]=TRUE,((Table1[[#This Row],[Birthweight (grams)]]*1.1/Table1[[#This Row],[BW_GA]])-1)/(Backend!$B$4/100*Table1[[#This Row],[BW40_3705]]),"")</f>
        <v/>
      </c>
      <c r="J4632" s="7" t="str">
        <f>IF(Table1[[#This Row],[Is Data Valid]]=TRUE,_xlfn.NORM.S.DIST(Table1[[#This Row],[Birthweight Z-Score]],TRUE)*100,"")</f>
        <v/>
      </c>
      <c r="K4632" s="7" t="str">
        <f>IF(Table1[[#This Row],[Is Data Valid]]=TRUE,_xlfn.NORM.S.DIST(Table1[[#This Row],[Birthweight Z-Score (BW-10%)]],TRUE)*100,"")</f>
        <v/>
      </c>
      <c r="L4632" s="7" t="str">
        <f>IF(Table1[[#This Row],[Is Data Valid]]=TRUE,_xlfn.NORM.S.DIST(Table1[[#This Row],[Birthweight Z-Score (BW+10%)]],TRUE)*100,"")</f>
        <v/>
      </c>
    </row>
    <row r="4633" spans="1:12" x14ac:dyDescent="0.35">
      <c r="A4633" s="3"/>
      <c r="B4633" s="2"/>
      <c r="C4633" s="2"/>
      <c r="D4633" s="2" t="b">
        <f>IF(AND(NOT(ISBLANK(Table1[[#This Row],[Fetal Sex (Male, Female or Unknown)]])),ISNUMBER(Table1[[#This Row],[Birthweight (grams)]]),ISNUMBER(Table1[[#This Row],[Gestation (days)]])),TRUE,FALSE)</f>
        <v>0</v>
      </c>
      <c r="E4633" s="2" t="str">
        <f>IF(Table1[[#This Row],[Is Data Valid]]=TRUE,IF(Table1[[#This Row],[Fetal Sex (Male, Female or Unknown)]]="Male",Backend!$C$6,IF(Table1[[#This Row],[Fetal Sex (Male, Female or Unknown)]]="Female",Backend!$C$7,IF(Table1[[#This Row],[Fetal Sex (Male, Female or Unknown)]]="Unknown",Backend!$C$8,"Error"))),"")</f>
        <v/>
      </c>
      <c r="F4633" s="8" t="str">
        <f>IF(Table1[[#This Row],[Is Data Valid]]=TRUE,EXP(0.578+0.332*((Table1[[#This Row],[Gestation (days)]]+0.5)/7)-0.00354*((Table1[[#This Row],[Gestation (days)]]+0.5)/7)^2)*Table1[[#This Row],[BW40_3705]],"")</f>
        <v/>
      </c>
      <c r="G4633" s="2" t="str">
        <f>IF(Table1[[#This Row],[Is Data Valid]]=TRUE,((Table1[[#This Row],[Birthweight (grams)]]/Table1[[#This Row],[BW_GA]])-1)/(Backend!$B$4/100*Table1[[#This Row],[BW40_3705]]),"")</f>
        <v/>
      </c>
      <c r="H4633" s="7" t="str">
        <f>IF(Table1[[#This Row],[Is Data Valid]]=TRUE,((Table1[[#This Row],[Birthweight (grams)]]*0.9/Table1[[#This Row],[BW_GA]])-1)/(Backend!$B$4/100*Table1[[#This Row],[BW40_3705]]),"")</f>
        <v/>
      </c>
      <c r="I4633" s="7" t="str">
        <f>IF(Table1[[#This Row],[Is Data Valid]]=TRUE,((Table1[[#This Row],[Birthweight (grams)]]*1.1/Table1[[#This Row],[BW_GA]])-1)/(Backend!$B$4/100*Table1[[#This Row],[BW40_3705]]),"")</f>
        <v/>
      </c>
      <c r="J4633" s="7" t="str">
        <f>IF(Table1[[#This Row],[Is Data Valid]]=TRUE,_xlfn.NORM.S.DIST(Table1[[#This Row],[Birthweight Z-Score]],TRUE)*100,"")</f>
        <v/>
      </c>
      <c r="K4633" s="7" t="str">
        <f>IF(Table1[[#This Row],[Is Data Valid]]=TRUE,_xlfn.NORM.S.DIST(Table1[[#This Row],[Birthweight Z-Score (BW-10%)]],TRUE)*100,"")</f>
        <v/>
      </c>
      <c r="L4633" s="7" t="str">
        <f>IF(Table1[[#This Row],[Is Data Valid]]=TRUE,_xlfn.NORM.S.DIST(Table1[[#This Row],[Birthweight Z-Score (BW+10%)]],TRUE)*100,"")</f>
        <v/>
      </c>
    </row>
    <row r="4634" spans="1:12" x14ac:dyDescent="0.35">
      <c r="A4634" s="3"/>
      <c r="B4634" s="2"/>
      <c r="C4634" s="2"/>
      <c r="D4634" s="2" t="b">
        <f>IF(AND(NOT(ISBLANK(Table1[[#This Row],[Fetal Sex (Male, Female or Unknown)]])),ISNUMBER(Table1[[#This Row],[Birthweight (grams)]]),ISNUMBER(Table1[[#This Row],[Gestation (days)]])),TRUE,FALSE)</f>
        <v>0</v>
      </c>
      <c r="E4634" s="2" t="str">
        <f>IF(Table1[[#This Row],[Is Data Valid]]=TRUE,IF(Table1[[#This Row],[Fetal Sex (Male, Female or Unknown)]]="Male",Backend!$C$6,IF(Table1[[#This Row],[Fetal Sex (Male, Female or Unknown)]]="Female",Backend!$C$7,IF(Table1[[#This Row],[Fetal Sex (Male, Female or Unknown)]]="Unknown",Backend!$C$8,"Error"))),"")</f>
        <v/>
      </c>
      <c r="F4634" s="8" t="str">
        <f>IF(Table1[[#This Row],[Is Data Valid]]=TRUE,EXP(0.578+0.332*((Table1[[#This Row],[Gestation (days)]]+0.5)/7)-0.00354*((Table1[[#This Row],[Gestation (days)]]+0.5)/7)^2)*Table1[[#This Row],[BW40_3705]],"")</f>
        <v/>
      </c>
      <c r="G4634" s="2" t="str">
        <f>IF(Table1[[#This Row],[Is Data Valid]]=TRUE,((Table1[[#This Row],[Birthweight (grams)]]/Table1[[#This Row],[BW_GA]])-1)/(Backend!$B$4/100*Table1[[#This Row],[BW40_3705]]),"")</f>
        <v/>
      </c>
      <c r="H4634" s="7" t="str">
        <f>IF(Table1[[#This Row],[Is Data Valid]]=TRUE,((Table1[[#This Row],[Birthweight (grams)]]*0.9/Table1[[#This Row],[BW_GA]])-1)/(Backend!$B$4/100*Table1[[#This Row],[BW40_3705]]),"")</f>
        <v/>
      </c>
      <c r="I4634" s="7" t="str">
        <f>IF(Table1[[#This Row],[Is Data Valid]]=TRUE,((Table1[[#This Row],[Birthweight (grams)]]*1.1/Table1[[#This Row],[BW_GA]])-1)/(Backend!$B$4/100*Table1[[#This Row],[BW40_3705]]),"")</f>
        <v/>
      </c>
      <c r="J4634" s="7" t="str">
        <f>IF(Table1[[#This Row],[Is Data Valid]]=TRUE,_xlfn.NORM.S.DIST(Table1[[#This Row],[Birthweight Z-Score]],TRUE)*100,"")</f>
        <v/>
      </c>
      <c r="K4634" s="7" t="str">
        <f>IF(Table1[[#This Row],[Is Data Valid]]=TRUE,_xlfn.NORM.S.DIST(Table1[[#This Row],[Birthweight Z-Score (BW-10%)]],TRUE)*100,"")</f>
        <v/>
      </c>
      <c r="L4634" s="7" t="str">
        <f>IF(Table1[[#This Row],[Is Data Valid]]=TRUE,_xlfn.NORM.S.DIST(Table1[[#This Row],[Birthweight Z-Score (BW+10%)]],TRUE)*100,"")</f>
        <v/>
      </c>
    </row>
    <row r="4635" spans="1:12" x14ac:dyDescent="0.35">
      <c r="A4635" s="3"/>
      <c r="B4635" s="2"/>
      <c r="C4635" s="2"/>
      <c r="D4635" s="2" t="b">
        <f>IF(AND(NOT(ISBLANK(Table1[[#This Row],[Fetal Sex (Male, Female or Unknown)]])),ISNUMBER(Table1[[#This Row],[Birthweight (grams)]]),ISNUMBER(Table1[[#This Row],[Gestation (days)]])),TRUE,FALSE)</f>
        <v>0</v>
      </c>
      <c r="E4635" s="2" t="str">
        <f>IF(Table1[[#This Row],[Is Data Valid]]=TRUE,IF(Table1[[#This Row],[Fetal Sex (Male, Female or Unknown)]]="Male",Backend!$C$6,IF(Table1[[#This Row],[Fetal Sex (Male, Female or Unknown)]]="Female",Backend!$C$7,IF(Table1[[#This Row],[Fetal Sex (Male, Female or Unknown)]]="Unknown",Backend!$C$8,"Error"))),"")</f>
        <v/>
      </c>
      <c r="F4635" s="8" t="str">
        <f>IF(Table1[[#This Row],[Is Data Valid]]=TRUE,EXP(0.578+0.332*((Table1[[#This Row],[Gestation (days)]]+0.5)/7)-0.00354*((Table1[[#This Row],[Gestation (days)]]+0.5)/7)^2)*Table1[[#This Row],[BW40_3705]],"")</f>
        <v/>
      </c>
      <c r="G4635" s="2" t="str">
        <f>IF(Table1[[#This Row],[Is Data Valid]]=TRUE,((Table1[[#This Row],[Birthweight (grams)]]/Table1[[#This Row],[BW_GA]])-1)/(Backend!$B$4/100*Table1[[#This Row],[BW40_3705]]),"")</f>
        <v/>
      </c>
      <c r="H4635" s="7" t="str">
        <f>IF(Table1[[#This Row],[Is Data Valid]]=TRUE,((Table1[[#This Row],[Birthweight (grams)]]*0.9/Table1[[#This Row],[BW_GA]])-1)/(Backend!$B$4/100*Table1[[#This Row],[BW40_3705]]),"")</f>
        <v/>
      </c>
      <c r="I4635" s="7" t="str">
        <f>IF(Table1[[#This Row],[Is Data Valid]]=TRUE,((Table1[[#This Row],[Birthweight (grams)]]*1.1/Table1[[#This Row],[BW_GA]])-1)/(Backend!$B$4/100*Table1[[#This Row],[BW40_3705]]),"")</f>
        <v/>
      </c>
      <c r="J4635" s="7" t="str">
        <f>IF(Table1[[#This Row],[Is Data Valid]]=TRUE,_xlfn.NORM.S.DIST(Table1[[#This Row],[Birthweight Z-Score]],TRUE)*100,"")</f>
        <v/>
      </c>
      <c r="K4635" s="7" t="str">
        <f>IF(Table1[[#This Row],[Is Data Valid]]=TRUE,_xlfn.NORM.S.DIST(Table1[[#This Row],[Birthweight Z-Score (BW-10%)]],TRUE)*100,"")</f>
        <v/>
      </c>
      <c r="L4635" s="7" t="str">
        <f>IF(Table1[[#This Row],[Is Data Valid]]=TRUE,_xlfn.NORM.S.DIST(Table1[[#This Row],[Birthweight Z-Score (BW+10%)]],TRUE)*100,"")</f>
        <v/>
      </c>
    </row>
    <row r="4636" spans="1:12" x14ac:dyDescent="0.35">
      <c r="A4636" s="3"/>
      <c r="B4636" s="2"/>
      <c r="C4636" s="2"/>
      <c r="D4636" s="2" t="b">
        <f>IF(AND(NOT(ISBLANK(Table1[[#This Row],[Fetal Sex (Male, Female or Unknown)]])),ISNUMBER(Table1[[#This Row],[Birthweight (grams)]]),ISNUMBER(Table1[[#This Row],[Gestation (days)]])),TRUE,FALSE)</f>
        <v>0</v>
      </c>
      <c r="E4636" s="2" t="str">
        <f>IF(Table1[[#This Row],[Is Data Valid]]=TRUE,IF(Table1[[#This Row],[Fetal Sex (Male, Female or Unknown)]]="Male",Backend!$C$6,IF(Table1[[#This Row],[Fetal Sex (Male, Female or Unknown)]]="Female",Backend!$C$7,IF(Table1[[#This Row],[Fetal Sex (Male, Female or Unknown)]]="Unknown",Backend!$C$8,"Error"))),"")</f>
        <v/>
      </c>
      <c r="F4636" s="8" t="str">
        <f>IF(Table1[[#This Row],[Is Data Valid]]=TRUE,EXP(0.578+0.332*((Table1[[#This Row],[Gestation (days)]]+0.5)/7)-0.00354*((Table1[[#This Row],[Gestation (days)]]+0.5)/7)^2)*Table1[[#This Row],[BW40_3705]],"")</f>
        <v/>
      </c>
      <c r="G4636" s="2" t="str">
        <f>IF(Table1[[#This Row],[Is Data Valid]]=TRUE,((Table1[[#This Row],[Birthweight (grams)]]/Table1[[#This Row],[BW_GA]])-1)/(Backend!$B$4/100*Table1[[#This Row],[BW40_3705]]),"")</f>
        <v/>
      </c>
      <c r="H4636" s="7" t="str">
        <f>IF(Table1[[#This Row],[Is Data Valid]]=TRUE,((Table1[[#This Row],[Birthweight (grams)]]*0.9/Table1[[#This Row],[BW_GA]])-1)/(Backend!$B$4/100*Table1[[#This Row],[BW40_3705]]),"")</f>
        <v/>
      </c>
      <c r="I4636" s="7" t="str">
        <f>IF(Table1[[#This Row],[Is Data Valid]]=TRUE,((Table1[[#This Row],[Birthweight (grams)]]*1.1/Table1[[#This Row],[BW_GA]])-1)/(Backend!$B$4/100*Table1[[#This Row],[BW40_3705]]),"")</f>
        <v/>
      </c>
      <c r="J4636" s="7" t="str">
        <f>IF(Table1[[#This Row],[Is Data Valid]]=TRUE,_xlfn.NORM.S.DIST(Table1[[#This Row],[Birthweight Z-Score]],TRUE)*100,"")</f>
        <v/>
      </c>
      <c r="K4636" s="7" t="str">
        <f>IF(Table1[[#This Row],[Is Data Valid]]=TRUE,_xlfn.NORM.S.DIST(Table1[[#This Row],[Birthweight Z-Score (BW-10%)]],TRUE)*100,"")</f>
        <v/>
      </c>
      <c r="L4636" s="7" t="str">
        <f>IF(Table1[[#This Row],[Is Data Valid]]=TRUE,_xlfn.NORM.S.DIST(Table1[[#This Row],[Birthweight Z-Score (BW+10%)]],TRUE)*100,"")</f>
        <v/>
      </c>
    </row>
    <row r="4637" spans="1:12" x14ac:dyDescent="0.35">
      <c r="A4637" s="3"/>
      <c r="B4637" s="2"/>
      <c r="C4637" s="2"/>
      <c r="D4637" s="2" t="b">
        <f>IF(AND(NOT(ISBLANK(Table1[[#This Row],[Fetal Sex (Male, Female or Unknown)]])),ISNUMBER(Table1[[#This Row],[Birthweight (grams)]]),ISNUMBER(Table1[[#This Row],[Gestation (days)]])),TRUE,FALSE)</f>
        <v>0</v>
      </c>
      <c r="E4637" s="2" t="str">
        <f>IF(Table1[[#This Row],[Is Data Valid]]=TRUE,IF(Table1[[#This Row],[Fetal Sex (Male, Female or Unknown)]]="Male",Backend!$C$6,IF(Table1[[#This Row],[Fetal Sex (Male, Female or Unknown)]]="Female",Backend!$C$7,IF(Table1[[#This Row],[Fetal Sex (Male, Female or Unknown)]]="Unknown",Backend!$C$8,"Error"))),"")</f>
        <v/>
      </c>
      <c r="F4637" s="8" t="str">
        <f>IF(Table1[[#This Row],[Is Data Valid]]=TRUE,EXP(0.578+0.332*((Table1[[#This Row],[Gestation (days)]]+0.5)/7)-0.00354*((Table1[[#This Row],[Gestation (days)]]+0.5)/7)^2)*Table1[[#This Row],[BW40_3705]],"")</f>
        <v/>
      </c>
      <c r="G4637" s="2" t="str">
        <f>IF(Table1[[#This Row],[Is Data Valid]]=TRUE,((Table1[[#This Row],[Birthweight (grams)]]/Table1[[#This Row],[BW_GA]])-1)/(Backend!$B$4/100*Table1[[#This Row],[BW40_3705]]),"")</f>
        <v/>
      </c>
      <c r="H4637" s="7" t="str">
        <f>IF(Table1[[#This Row],[Is Data Valid]]=TRUE,((Table1[[#This Row],[Birthweight (grams)]]*0.9/Table1[[#This Row],[BW_GA]])-1)/(Backend!$B$4/100*Table1[[#This Row],[BW40_3705]]),"")</f>
        <v/>
      </c>
      <c r="I4637" s="7" t="str">
        <f>IF(Table1[[#This Row],[Is Data Valid]]=TRUE,((Table1[[#This Row],[Birthweight (grams)]]*1.1/Table1[[#This Row],[BW_GA]])-1)/(Backend!$B$4/100*Table1[[#This Row],[BW40_3705]]),"")</f>
        <v/>
      </c>
      <c r="J4637" s="7" t="str">
        <f>IF(Table1[[#This Row],[Is Data Valid]]=TRUE,_xlfn.NORM.S.DIST(Table1[[#This Row],[Birthweight Z-Score]],TRUE)*100,"")</f>
        <v/>
      </c>
      <c r="K4637" s="7" t="str">
        <f>IF(Table1[[#This Row],[Is Data Valid]]=TRUE,_xlfn.NORM.S.DIST(Table1[[#This Row],[Birthweight Z-Score (BW-10%)]],TRUE)*100,"")</f>
        <v/>
      </c>
      <c r="L4637" s="7" t="str">
        <f>IF(Table1[[#This Row],[Is Data Valid]]=TRUE,_xlfn.NORM.S.DIST(Table1[[#This Row],[Birthweight Z-Score (BW+10%)]],TRUE)*100,"")</f>
        <v/>
      </c>
    </row>
    <row r="4638" spans="1:12" x14ac:dyDescent="0.35">
      <c r="A4638" s="3"/>
      <c r="B4638" s="2"/>
      <c r="C4638" s="2"/>
      <c r="D4638" s="2" t="b">
        <f>IF(AND(NOT(ISBLANK(Table1[[#This Row],[Fetal Sex (Male, Female or Unknown)]])),ISNUMBER(Table1[[#This Row],[Birthweight (grams)]]),ISNUMBER(Table1[[#This Row],[Gestation (days)]])),TRUE,FALSE)</f>
        <v>0</v>
      </c>
      <c r="E4638" s="2" t="str">
        <f>IF(Table1[[#This Row],[Is Data Valid]]=TRUE,IF(Table1[[#This Row],[Fetal Sex (Male, Female or Unknown)]]="Male",Backend!$C$6,IF(Table1[[#This Row],[Fetal Sex (Male, Female or Unknown)]]="Female",Backend!$C$7,IF(Table1[[#This Row],[Fetal Sex (Male, Female or Unknown)]]="Unknown",Backend!$C$8,"Error"))),"")</f>
        <v/>
      </c>
      <c r="F4638" s="8" t="str">
        <f>IF(Table1[[#This Row],[Is Data Valid]]=TRUE,EXP(0.578+0.332*((Table1[[#This Row],[Gestation (days)]]+0.5)/7)-0.00354*((Table1[[#This Row],[Gestation (days)]]+0.5)/7)^2)*Table1[[#This Row],[BW40_3705]],"")</f>
        <v/>
      </c>
      <c r="G4638" s="2" t="str">
        <f>IF(Table1[[#This Row],[Is Data Valid]]=TRUE,((Table1[[#This Row],[Birthweight (grams)]]/Table1[[#This Row],[BW_GA]])-1)/(Backend!$B$4/100*Table1[[#This Row],[BW40_3705]]),"")</f>
        <v/>
      </c>
      <c r="H4638" s="7" t="str">
        <f>IF(Table1[[#This Row],[Is Data Valid]]=TRUE,((Table1[[#This Row],[Birthweight (grams)]]*0.9/Table1[[#This Row],[BW_GA]])-1)/(Backend!$B$4/100*Table1[[#This Row],[BW40_3705]]),"")</f>
        <v/>
      </c>
      <c r="I4638" s="7" t="str">
        <f>IF(Table1[[#This Row],[Is Data Valid]]=TRUE,((Table1[[#This Row],[Birthweight (grams)]]*1.1/Table1[[#This Row],[BW_GA]])-1)/(Backend!$B$4/100*Table1[[#This Row],[BW40_3705]]),"")</f>
        <v/>
      </c>
      <c r="J4638" s="7" t="str">
        <f>IF(Table1[[#This Row],[Is Data Valid]]=TRUE,_xlfn.NORM.S.DIST(Table1[[#This Row],[Birthweight Z-Score]],TRUE)*100,"")</f>
        <v/>
      </c>
      <c r="K4638" s="7" t="str">
        <f>IF(Table1[[#This Row],[Is Data Valid]]=TRUE,_xlfn.NORM.S.DIST(Table1[[#This Row],[Birthweight Z-Score (BW-10%)]],TRUE)*100,"")</f>
        <v/>
      </c>
      <c r="L4638" s="7" t="str">
        <f>IF(Table1[[#This Row],[Is Data Valid]]=TRUE,_xlfn.NORM.S.DIST(Table1[[#This Row],[Birthweight Z-Score (BW+10%)]],TRUE)*100,"")</f>
        <v/>
      </c>
    </row>
    <row r="4639" spans="1:12" x14ac:dyDescent="0.35">
      <c r="A4639" s="3"/>
      <c r="B4639" s="2"/>
      <c r="C4639" s="2"/>
      <c r="D4639" s="2" t="b">
        <f>IF(AND(NOT(ISBLANK(Table1[[#This Row],[Fetal Sex (Male, Female or Unknown)]])),ISNUMBER(Table1[[#This Row],[Birthweight (grams)]]),ISNUMBER(Table1[[#This Row],[Gestation (days)]])),TRUE,FALSE)</f>
        <v>0</v>
      </c>
      <c r="E4639" s="2" t="str">
        <f>IF(Table1[[#This Row],[Is Data Valid]]=TRUE,IF(Table1[[#This Row],[Fetal Sex (Male, Female or Unknown)]]="Male",Backend!$C$6,IF(Table1[[#This Row],[Fetal Sex (Male, Female or Unknown)]]="Female",Backend!$C$7,IF(Table1[[#This Row],[Fetal Sex (Male, Female or Unknown)]]="Unknown",Backend!$C$8,"Error"))),"")</f>
        <v/>
      </c>
      <c r="F4639" s="8" t="str">
        <f>IF(Table1[[#This Row],[Is Data Valid]]=TRUE,EXP(0.578+0.332*((Table1[[#This Row],[Gestation (days)]]+0.5)/7)-0.00354*((Table1[[#This Row],[Gestation (days)]]+0.5)/7)^2)*Table1[[#This Row],[BW40_3705]],"")</f>
        <v/>
      </c>
      <c r="G4639" s="2" t="str">
        <f>IF(Table1[[#This Row],[Is Data Valid]]=TRUE,((Table1[[#This Row],[Birthweight (grams)]]/Table1[[#This Row],[BW_GA]])-1)/(Backend!$B$4/100*Table1[[#This Row],[BW40_3705]]),"")</f>
        <v/>
      </c>
      <c r="H4639" s="7" t="str">
        <f>IF(Table1[[#This Row],[Is Data Valid]]=TRUE,((Table1[[#This Row],[Birthweight (grams)]]*0.9/Table1[[#This Row],[BW_GA]])-1)/(Backend!$B$4/100*Table1[[#This Row],[BW40_3705]]),"")</f>
        <v/>
      </c>
      <c r="I4639" s="7" t="str">
        <f>IF(Table1[[#This Row],[Is Data Valid]]=TRUE,((Table1[[#This Row],[Birthweight (grams)]]*1.1/Table1[[#This Row],[BW_GA]])-1)/(Backend!$B$4/100*Table1[[#This Row],[BW40_3705]]),"")</f>
        <v/>
      </c>
      <c r="J4639" s="7" t="str">
        <f>IF(Table1[[#This Row],[Is Data Valid]]=TRUE,_xlfn.NORM.S.DIST(Table1[[#This Row],[Birthweight Z-Score]],TRUE)*100,"")</f>
        <v/>
      </c>
      <c r="K4639" s="7" t="str">
        <f>IF(Table1[[#This Row],[Is Data Valid]]=TRUE,_xlfn.NORM.S.DIST(Table1[[#This Row],[Birthweight Z-Score (BW-10%)]],TRUE)*100,"")</f>
        <v/>
      </c>
      <c r="L4639" s="7" t="str">
        <f>IF(Table1[[#This Row],[Is Data Valid]]=TRUE,_xlfn.NORM.S.DIST(Table1[[#This Row],[Birthweight Z-Score (BW+10%)]],TRUE)*100,"")</f>
        <v/>
      </c>
    </row>
    <row r="4640" spans="1:12" x14ac:dyDescent="0.35">
      <c r="A4640" s="3"/>
      <c r="B4640" s="2"/>
      <c r="C4640" s="2"/>
      <c r="D4640" s="2" t="b">
        <f>IF(AND(NOT(ISBLANK(Table1[[#This Row],[Fetal Sex (Male, Female or Unknown)]])),ISNUMBER(Table1[[#This Row],[Birthweight (grams)]]),ISNUMBER(Table1[[#This Row],[Gestation (days)]])),TRUE,FALSE)</f>
        <v>0</v>
      </c>
      <c r="E4640" s="2" t="str">
        <f>IF(Table1[[#This Row],[Is Data Valid]]=TRUE,IF(Table1[[#This Row],[Fetal Sex (Male, Female or Unknown)]]="Male",Backend!$C$6,IF(Table1[[#This Row],[Fetal Sex (Male, Female or Unknown)]]="Female",Backend!$C$7,IF(Table1[[#This Row],[Fetal Sex (Male, Female or Unknown)]]="Unknown",Backend!$C$8,"Error"))),"")</f>
        <v/>
      </c>
      <c r="F4640" s="8" t="str">
        <f>IF(Table1[[#This Row],[Is Data Valid]]=TRUE,EXP(0.578+0.332*((Table1[[#This Row],[Gestation (days)]]+0.5)/7)-0.00354*((Table1[[#This Row],[Gestation (days)]]+0.5)/7)^2)*Table1[[#This Row],[BW40_3705]],"")</f>
        <v/>
      </c>
      <c r="G4640" s="2" t="str">
        <f>IF(Table1[[#This Row],[Is Data Valid]]=TRUE,((Table1[[#This Row],[Birthweight (grams)]]/Table1[[#This Row],[BW_GA]])-1)/(Backend!$B$4/100*Table1[[#This Row],[BW40_3705]]),"")</f>
        <v/>
      </c>
      <c r="H4640" s="7" t="str">
        <f>IF(Table1[[#This Row],[Is Data Valid]]=TRUE,((Table1[[#This Row],[Birthweight (grams)]]*0.9/Table1[[#This Row],[BW_GA]])-1)/(Backend!$B$4/100*Table1[[#This Row],[BW40_3705]]),"")</f>
        <v/>
      </c>
      <c r="I4640" s="7" t="str">
        <f>IF(Table1[[#This Row],[Is Data Valid]]=TRUE,((Table1[[#This Row],[Birthweight (grams)]]*1.1/Table1[[#This Row],[BW_GA]])-1)/(Backend!$B$4/100*Table1[[#This Row],[BW40_3705]]),"")</f>
        <v/>
      </c>
      <c r="J4640" s="7" t="str">
        <f>IF(Table1[[#This Row],[Is Data Valid]]=TRUE,_xlfn.NORM.S.DIST(Table1[[#This Row],[Birthweight Z-Score]],TRUE)*100,"")</f>
        <v/>
      </c>
      <c r="K4640" s="7" t="str">
        <f>IF(Table1[[#This Row],[Is Data Valid]]=TRUE,_xlfn.NORM.S.DIST(Table1[[#This Row],[Birthweight Z-Score (BW-10%)]],TRUE)*100,"")</f>
        <v/>
      </c>
      <c r="L4640" s="7" t="str">
        <f>IF(Table1[[#This Row],[Is Data Valid]]=TRUE,_xlfn.NORM.S.DIST(Table1[[#This Row],[Birthweight Z-Score (BW+10%)]],TRUE)*100,"")</f>
        <v/>
      </c>
    </row>
    <row r="4641" spans="1:12" x14ac:dyDescent="0.35">
      <c r="A4641" s="3"/>
      <c r="B4641" s="2"/>
      <c r="C4641" s="2"/>
      <c r="D4641" s="2" t="b">
        <f>IF(AND(NOT(ISBLANK(Table1[[#This Row],[Fetal Sex (Male, Female or Unknown)]])),ISNUMBER(Table1[[#This Row],[Birthweight (grams)]]),ISNUMBER(Table1[[#This Row],[Gestation (days)]])),TRUE,FALSE)</f>
        <v>0</v>
      </c>
      <c r="E4641" s="2" t="str">
        <f>IF(Table1[[#This Row],[Is Data Valid]]=TRUE,IF(Table1[[#This Row],[Fetal Sex (Male, Female or Unknown)]]="Male",Backend!$C$6,IF(Table1[[#This Row],[Fetal Sex (Male, Female or Unknown)]]="Female",Backend!$C$7,IF(Table1[[#This Row],[Fetal Sex (Male, Female or Unknown)]]="Unknown",Backend!$C$8,"Error"))),"")</f>
        <v/>
      </c>
      <c r="F4641" s="8" t="str">
        <f>IF(Table1[[#This Row],[Is Data Valid]]=TRUE,EXP(0.578+0.332*((Table1[[#This Row],[Gestation (days)]]+0.5)/7)-0.00354*((Table1[[#This Row],[Gestation (days)]]+0.5)/7)^2)*Table1[[#This Row],[BW40_3705]],"")</f>
        <v/>
      </c>
      <c r="G4641" s="2" t="str">
        <f>IF(Table1[[#This Row],[Is Data Valid]]=TRUE,((Table1[[#This Row],[Birthweight (grams)]]/Table1[[#This Row],[BW_GA]])-1)/(Backend!$B$4/100*Table1[[#This Row],[BW40_3705]]),"")</f>
        <v/>
      </c>
      <c r="H4641" s="7" t="str">
        <f>IF(Table1[[#This Row],[Is Data Valid]]=TRUE,((Table1[[#This Row],[Birthweight (grams)]]*0.9/Table1[[#This Row],[BW_GA]])-1)/(Backend!$B$4/100*Table1[[#This Row],[BW40_3705]]),"")</f>
        <v/>
      </c>
      <c r="I4641" s="7" t="str">
        <f>IF(Table1[[#This Row],[Is Data Valid]]=TRUE,((Table1[[#This Row],[Birthweight (grams)]]*1.1/Table1[[#This Row],[BW_GA]])-1)/(Backend!$B$4/100*Table1[[#This Row],[BW40_3705]]),"")</f>
        <v/>
      </c>
      <c r="J4641" s="7" t="str">
        <f>IF(Table1[[#This Row],[Is Data Valid]]=TRUE,_xlfn.NORM.S.DIST(Table1[[#This Row],[Birthweight Z-Score]],TRUE)*100,"")</f>
        <v/>
      </c>
      <c r="K4641" s="7" t="str">
        <f>IF(Table1[[#This Row],[Is Data Valid]]=TRUE,_xlfn.NORM.S.DIST(Table1[[#This Row],[Birthweight Z-Score (BW-10%)]],TRUE)*100,"")</f>
        <v/>
      </c>
      <c r="L4641" s="7" t="str">
        <f>IF(Table1[[#This Row],[Is Data Valid]]=TRUE,_xlfn.NORM.S.DIST(Table1[[#This Row],[Birthweight Z-Score (BW+10%)]],TRUE)*100,"")</f>
        <v/>
      </c>
    </row>
    <row r="4642" spans="1:12" x14ac:dyDescent="0.35">
      <c r="A4642" s="3"/>
      <c r="B4642" s="2"/>
      <c r="C4642" s="2"/>
      <c r="D4642" s="2" t="b">
        <f>IF(AND(NOT(ISBLANK(Table1[[#This Row],[Fetal Sex (Male, Female or Unknown)]])),ISNUMBER(Table1[[#This Row],[Birthweight (grams)]]),ISNUMBER(Table1[[#This Row],[Gestation (days)]])),TRUE,FALSE)</f>
        <v>0</v>
      </c>
      <c r="E4642" s="2" t="str">
        <f>IF(Table1[[#This Row],[Is Data Valid]]=TRUE,IF(Table1[[#This Row],[Fetal Sex (Male, Female or Unknown)]]="Male",Backend!$C$6,IF(Table1[[#This Row],[Fetal Sex (Male, Female or Unknown)]]="Female",Backend!$C$7,IF(Table1[[#This Row],[Fetal Sex (Male, Female or Unknown)]]="Unknown",Backend!$C$8,"Error"))),"")</f>
        <v/>
      </c>
      <c r="F4642" s="8" t="str">
        <f>IF(Table1[[#This Row],[Is Data Valid]]=TRUE,EXP(0.578+0.332*((Table1[[#This Row],[Gestation (days)]]+0.5)/7)-0.00354*((Table1[[#This Row],[Gestation (days)]]+0.5)/7)^2)*Table1[[#This Row],[BW40_3705]],"")</f>
        <v/>
      </c>
      <c r="G4642" s="2" t="str">
        <f>IF(Table1[[#This Row],[Is Data Valid]]=TRUE,((Table1[[#This Row],[Birthweight (grams)]]/Table1[[#This Row],[BW_GA]])-1)/(Backend!$B$4/100*Table1[[#This Row],[BW40_3705]]),"")</f>
        <v/>
      </c>
      <c r="H4642" s="7" t="str">
        <f>IF(Table1[[#This Row],[Is Data Valid]]=TRUE,((Table1[[#This Row],[Birthweight (grams)]]*0.9/Table1[[#This Row],[BW_GA]])-1)/(Backend!$B$4/100*Table1[[#This Row],[BW40_3705]]),"")</f>
        <v/>
      </c>
      <c r="I4642" s="7" t="str">
        <f>IF(Table1[[#This Row],[Is Data Valid]]=TRUE,((Table1[[#This Row],[Birthweight (grams)]]*1.1/Table1[[#This Row],[BW_GA]])-1)/(Backend!$B$4/100*Table1[[#This Row],[BW40_3705]]),"")</f>
        <v/>
      </c>
      <c r="J4642" s="7" t="str">
        <f>IF(Table1[[#This Row],[Is Data Valid]]=TRUE,_xlfn.NORM.S.DIST(Table1[[#This Row],[Birthweight Z-Score]],TRUE)*100,"")</f>
        <v/>
      </c>
      <c r="K4642" s="7" t="str">
        <f>IF(Table1[[#This Row],[Is Data Valid]]=TRUE,_xlfn.NORM.S.DIST(Table1[[#This Row],[Birthweight Z-Score (BW-10%)]],TRUE)*100,"")</f>
        <v/>
      </c>
      <c r="L4642" s="7" t="str">
        <f>IF(Table1[[#This Row],[Is Data Valid]]=TRUE,_xlfn.NORM.S.DIST(Table1[[#This Row],[Birthweight Z-Score (BW+10%)]],TRUE)*100,"")</f>
        <v/>
      </c>
    </row>
    <row r="4643" spans="1:12" x14ac:dyDescent="0.35">
      <c r="A4643" s="3"/>
      <c r="B4643" s="2"/>
      <c r="C4643" s="2"/>
      <c r="D4643" s="2" t="b">
        <f>IF(AND(NOT(ISBLANK(Table1[[#This Row],[Fetal Sex (Male, Female or Unknown)]])),ISNUMBER(Table1[[#This Row],[Birthweight (grams)]]),ISNUMBER(Table1[[#This Row],[Gestation (days)]])),TRUE,FALSE)</f>
        <v>0</v>
      </c>
      <c r="E4643" s="2" t="str">
        <f>IF(Table1[[#This Row],[Is Data Valid]]=TRUE,IF(Table1[[#This Row],[Fetal Sex (Male, Female or Unknown)]]="Male",Backend!$C$6,IF(Table1[[#This Row],[Fetal Sex (Male, Female or Unknown)]]="Female",Backend!$C$7,IF(Table1[[#This Row],[Fetal Sex (Male, Female or Unknown)]]="Unknown",Backend!$C$8,"Error"))),"")</f>
        <v/>
      </c>
      <c r="F4643" s="8" t="str">
        <f>IF(Table1[[#This Row],[Is Data Valid]]=TRUE,EXP(0.578+0.332*((Table1[[#This Row],[Gestation (days)]]+0.5)/7)-0.00354*((Table1[[#This Row],[Gestation (days)]]+0.5)/7)^2)*Table1[[#This Row],[BW40_3705]],"")</f>
        <v/>
      </c>
      <c r="G4643" s="2" t="str">
        <f>IF(Table1[[#This Row],[Is Data Valid]]=TRUE,((Table1[[#This Row],[Birthweight (grams)]]/Table1[[#This Row],[BW_GA]])-1)/(Backend!$B$4/100*Table1[[#This Row],[BW40_3705]]),"")</f>
        <v/>
      </c>
      <c r="H4643" s="7" t="str">
        <f>IF(Table1[[#This Row],[Is Data Valid]]=TRUE,((Table1[[#This Row],[Birthweight (grams)]]*0.9/Table1[[#This Row],[BW_GA]])-1)/(Backend!$B$4/100*Table1[[#This Row],[BW40_3705]]),"")</f>
        <v/>
      </c>
      <c r="I4643" s="7" t="str">
        <f>IF(Table1[[#This Row],[Is Data Valid]]=TRUE,((Table1[[#This Row],[Birthweight (grams)]]*1.1/Table1[[#This Row],[BW_GA]])-1)/(Backend!$B$4/100*Table1[[#This Row],[BW40_3705]]),"")</f>
        <v/>
      </c>
      <c r="J4643" s="7" t="str">
        <f>IF(Table1[[#This Row],[Is Data Valid]]=TRUE,_xlfn.NORM.S.DIST(Table1[[#This Row],[Birthweight Z-Score]],TRUE)*100,"")</f>
        <v/>
      </c>
      <c r="K4643" s="7" t="str">
        <f>IF(Table1[[#This Row],[Is Data Valid]]=TRUE,_xlfn.NORM.S.DIST(Table1[[#This Row],[Birthweight Z-Score (BW-10%)]],TRUE)*100,"")</f>
        <v/>
      </c>
      <c r="L4643" s="7" t="str">
        <f>IF(Table1[[#This Row],[Is Data Valid]]=TRUE,_xlfn.NORM.S.DIST(Table1[[#This Row],[Birthweight Z-Score (BW+10%)]],TRUE)*100,"")</f>
        <v/>
      </c>
    </row>
    <row r="4644" spans="1:12" x14ac:dyDescent="0.35">
      <c r="A4644" s="3"/>
      <c r="B4644" s="2"/>
      <c r="C4644" s="2"/>
      <c r="D4644" s="2" t="b">
        <f>IF(AND(NOT(ISBLANK(Table1[[#This Row],[Fetal Sex (Male, Female or Unknown)]])),ISNUMBER(Table1[[#This Row],[Birthweight (grams)]]),ISNUMBER(Table1[[#This Row],[Gestation (days)]])),TRUE,FALSE)</f>
        <v>0</v>
      </c>
      <c r="E4644" s="2" t="str">
        <f>IF(Table1[[#This Row],[Is Data Valid]]=TRUE,IF(Table1[[#This Row],[Fetal Sex (Male, Female or Unknown)]]="Male",Backend!$C$6,IF(Table1[[#This Row],[Fetal Sex (Male, Female or Unknown)]]="Female",Backend!$C$7,IF(Table1[[#This Row],[Fetal Sex (Male, Female or Unknown)]]="Unknown",Backend!$C$8,"Error"))),"")</f>
        <v/>
      </c>
      <c r="F4644" s="8" t="str">
        <f>IF(Table1[[#This Row],[Is Data Valid]]=TRUE,EXP(0.578+0.332*((Table1[[#This Row],[Gestation (days)]]+0.5)/7)-0.00354*((Table1[[#This Row],[Gestation (days)]]+0.5)/7)^2)*Table1[[#This Row],[BW40_3705]],"")</f>
        <v/>
      </c>
      <c r="G4644" s="2" t="str">
        <f>IF(Table1[[#This Row],[Is Data Valid]]=TRUE,((Table1[[#This Row],[Birthweight (grams)]]/Table1[[#This Row],[BW_GA]])-1)/(Backend!$B$4/100*Table1[[#This Row],[BW40_3705]]),"")</f>
        <v/>
      </c>
      <c r="H4644" s="7" t="str">
        <f>IF(Table1[[#This Row],[Is Data Valid]]=TRUE,((Table1[[#This Row],[Birthweight (grams)]]*0.9/Table1[[#This Row],[BW_GA]])-1)/(Backend!$B$4/100*Table1[[#This Row],[BW40_3705]]),"")</f>
        <v/>
      </c>
      <c r="I4644" s="7" t="str">
        <f>IF(Table1[[#This Row],[Is Data Valid]]=TRUE,((Table1[[#This Row],[Birthweight (grams)]]*1.1/Table1[[#This Row],[BW_GA]])-1)/(Backend!$B$4/100*Table1[[#This Row],[BW40_3705]]),"")</f>
        <v/>
      </c>
      <c r="J4644" s="7" t="str">
        <f>IF(Table1[[#This Row],[Is Data Valid]]=TRUE,_xlfn.NORM.S.DIST(Table1[[#This Row],[Birthweight Z-Score]],TRUE)*100,"")</f>
        <v/>
      </c>
      <c r="K4644" s="7" t="str">
        <f>IF(Table1[[#This Row],[Is Data Valid]]=TRUE,_xlfn.NORM.S.DIST(Table1[[#This Row],[Birthweight Z-Score (BW-10%)]],TRUE)*100,"")</f>
        <v/>
      </c>
      <c r="L4644" s="7" t="str">
        <f>IF(Table1[[#This Row],[Is Data Valid]]=TRUE,_xlfn.NORM.S.DIST(Table1[[#This Row],[Birthweight Z-Score (BW+10%)]],TRUE)*100,"")</f>
        <v/>
      </c>
    </row>
    <row r="4645" spans="1:12" x14ac:dyDescent="0.35">
      <c r="A4645" s="3"/>
      <c r="B4645" s="2"/>
      <c r="C4645" s="2"/>
      <c r="D4645" s="2" t="b">
        <f>IF(AND(NOT(ISBLANK(Table1[[#This Row],[Fetal Sex (Male, Female or Unknown)]])),ISNUMBER(Table1[[#This Row],[Birthweight (grams)]]),ISNUMBER(Table1[[#This Row],[Gestation (days)]])),TRUE,FALSE)</f>
        <v>0</v>
      </c>
      <c r="E4645" s="2" t="str">
        <f>IF(Table1[[#This Row],[Is Data Valid]]=TRUE,IF(Table1[[#This Row],[Fetal Sex (Male, Female or Unknown)]]="Male",Backend!$C$6,IF(Table1[[#This Row],[Fetal Sex (Male, Female or Unknown)]]="Female",Backend!$C$7,IF(Table1[[#This Row],[Fetal Sex (Male, Female or Unknown)]]="Unknown",Backend!$C$8,"Error"))),"")</f>
        <v/>
      </c>
      <c r="F4645" s="8" t="str">
        <f>IF(Table1[[#This Row],[Is Data Valid]]=TRUE,EXP(0.578+0.332*((Table1[[#This Row],[Gestation (days)]]+0.5)/7)-0.00354*((Table1[[#This Row],[Gestation (days)]]+0.5)/7)^2)*Table1[[#This Row],[BW40_3705]],"")</f>
        <v/>
      </c>
      <c r="G4645" s="2" t="str">
        <f>IF(Table1[[#This Row],[Is Data Valid]]=TRUE,((Table1[[#This Row],[Birthweight (grams)]]/Table1[[#This Row],[BW_GA]])-1)/(Backend!$B$4/100*Table1[[#This Row],[BW40_3705]]),"")</f>
        <v/>
      </c>
      <c r="H4645" s="7" t="str">
        <f>IF(Table1[[#This Row],[Is Data Valid]]=TRUE,((Table1[[#This Row],[Birthweight (grams)]]*0.9/Table1[[#This Row],[BW_GA]])-1)/(Backend!$B$4/100*Table1[[#This Row],[BW40_3705]]),"")</f>
        <v/>
      </c>
      <c r="I4645" s="7" t="str">
        <f>IF(Table1[[#This Row],[Is Data Valid]]=TRUE,((Table1[[#This Row],[Birthweight (grams)]]*1.1/Table1[[#This Row],[BW_GA]])-1)/(Backend!$B$4/100*Table1[[#This Row],[BW40_3705]]),"")</f>
        <v/>
      </c>
      <c r="J4645" s="7" t="str">
        <f>IF(Table1[[#This Row],[Is Data Valid]]=TRUE,_xlfn.NORM.S.DIST(Table1[[#This Row],[Birthweight Z-Score]],TRUE)*100,"")</f>
        <v/>
      </c>
      <c r="K4645" s="7" t="str">
        <f>IF(Table1[[#This Row],[Is Data Valid]]=TRUE,_xlfn.NORM.S.DIST(Table1[[#This Row],[Birthweight Z-Score (BW-10%)]],TRUE)*100,"")</f>
        <v/>
      </c>
      <c r="L4645" s="7" t="str">
        <f>IF(Table1[[#This Row],[Is Data Valid]]=TRUE,_xlfn.NORM.S.DIST(Table1[[#This Row],[Birthweight Z-Score (BW+10%)]],TRUE)*100,"")</f>
        <v/>
      </c>
    </row>
    <row r="4646" spans="1:12" x14ac:dyDescent="0.35">
      <c r="A4646" s="3"/>
      <c r="B4646" s="2"/>
      <c r="C4646" s="2"/>
      <c r="D4646" s="2" t="b">
        <f>IF(AND(NOT(ISBLANK(Table1[[#This Row],[Fetal Sex (Male, Female or Unknown)]])),ISNUMBER(Table1[[#This Row],[Birthweight (grams)]]),ISNUMBER(Table1[[#This Row],[Gestation (days)]])),TRUE,FALSE)</f>
        <v>0</v>
      </c>
      <c r="E4646" s="2" t="str">
        <f>IF(Table1[[#This Row],[Is Data Valid]]=TRUE,IF(Table1[[#This Row],[Fetal Sex (Male, Female or Unknown)]]="Male",Backend!$C$6,IF(Table1[[#This Row],[Fetal Sex (Male, Female or Unknown)]]="Female",Backend!$C$7,IF(Table1[[#This Row],[Fetal Sex (Male, Female or Unknown)]]="Unknown",Backend!$C$8,"Error"))),"")</f>
        <v/>
      </c>
      <c r="F4646" s="8" t="str">
        <f>IF(Table1[[#This Row],[Is Data Valid]]=TRUE,EXP(0.578+0.332*((Table1[[#This Row],[Gestation (days)]]+0.5)/7)-0.00354*((Table1[[#This Row],[Gestation (days)]]+0.5)/7)^2)*Table1[[#This Row],[BW40_3705]],"")</f>
        <v/>
      </c>
      <c r="G4646" s="2" t="str">
        <f>IF(Table1[[#This Row],[Is Data Valid]]=TRUE,((Table1[[#This Row],[Birthweight (grams)]]/Table1[[#This Row],[BW_GA]])-1)/(Backend!$B$4/100*Table1[[#This Row],[BW40_3705]]),"")</f>
        <v/>
      </c>
      <c r="H4646" s="7" t="str">
        <f>IF(Table1[[#This Row],[Is Data Valid]]=TRUE,((Table1[[#This Row],[Birthweight (grams)]]*0.9/Table1[[#This Row],[BW_GA]])-1)/(Backend!$B$4/100*Table1[[#This Row],[BW40_3705]]),"")</f>
        <v/>
      </c>
      <c r="I4646" s="7" t="str">
        <f>IF(Table1[[#This Row],[Is Data Valid]]=TRUE,((Table1[[#This Row],[Birthweight (grams)]]*1.1/Table1[[#This Row],[BW_GA]])-1)/(Backend!$B$4/100*Table1[[#This Row],[BW40_3705]]),"")</f>
        <v/>
      </c>
      <c r="J4646" s="7" t="str">
        <f>IF(Table1[[#This Row],[Is Data Valid]]=TRUE,_xlfn.NORM.S.DIST(Table1[[#This Row],[Birthweight Z-Score]],TRUE)*100,"")</f>
        <v/>
      </c>
      <c r="K4646" s="7" t="str">
        <f>IF(Table1[[#This Row],[Is Data Valid]]=TRUE,_xlfn.NORM.S.DIST(Table1[[#This Row],[Birthweight Z-Score (BW-10%)]],TRUE)*100,"")</f>
        <v/>
      </c>
      <c r="L4646" s="7" t="str">
        <f>IF(Table1[[#This Row],[Is Data Valid]]=TRUE,_xlfn.NORM.S.DIST(Table1[[#This Row],[Birthweight Z-Score (BW+10%)]],TRUE)*100,"")</f>
        <v/>
      </c>
    </row>
    <row r="4647" spans="1:12" x14ac:dyDescent="0.35">
      <c r="A4647" s="3"/>
      <c r="B4647" s="2"/>
      <c r="C4647" s="2"/>
      <c r="D4647" s="2" t="b">
        <f>IF(AND(NOT(ISBLANK(Table1[[#This Row],[Fetal Sex (Male, Female or Unknown)]])),ISNUMBER(Table1[[#This Row],[Birthweight (grams)]]),ISNUMBER(Table1[[#This Row],[Gestation (days)]])),TRUE,FALSE)</f>
        <v>0</v>
      </c>
      <c r="E4647" s="2" t="str">
        <f>IF(Table1[[#This Row],[Is Data Valid]]=TRUE,IF(Table1[[#This Row],[Fetal Sex (Male, Female or Unknown)]]="Male",Backend!$C$6,IF(Table1[[#This Row],[Fetal Sex (Male, Female or Unknown)]]="Female",Backend!$C$7,IF(Table1[[#This Row],[Fetal Sex (Male, Female or Unknown)]]="Unknown",Backend!$C$8,"Error"))),"")</f>
        <v/>
      </c>
      <c r="F4647" s="8" t="str">
        <f>IF(Table1[[#This Row],[Is Data Valid]]=TRUE,EXP(0.578+0.332*((Table1[[#This Row],[Gestation (days)]]+0.5)/7)-0.00354*((Table1[[#This Row],[Gestation (days)]]+0.5)/7)^2)*Table1[[#This Row],[BW40_3705]],"")</f>
        <v/>
      </c>
      <c r="G4647" s="2" t="str">
        <f>IF(Table1[[#This Row],[Is Data Valid]]=TRUE,((Table1[[#This Row],[Birthweight (grams)]]/Table1[[#This Row],[BW_GA]])-1)/(Backend!$B$4/100*Table1[[#This Row],[BW40_3705]]),"")</f>
        <v/>
      </c>
      <c r="H4647" s="7" t="str">
        <f>IF(Table1[[#This Row],[Is Data Valid]]=TRUE,((Table1[[#This Row],[Birthweight (grams)]]*0.9/Table1[[#This Row],[BW_GA]])-1)/(Backend!$B$4/100*Table1[[#This Row],[BW40_3705]]),"")</f>
        <v/>
      </c>
      <c r="I4647" s="7" t="str">
        <f>IF(Table1[[#This Row],[Is Data Valid]]=TRUE,((Table1[[#This Row],[Birthweight (grams)]]*1.1/Table1[[#This Row],[BW_GA]])-1)/(Backend!$B$4/100*Table1[[#This Row],[BW40_3705]]),"")</f>
        <v/>
      </c>
      <c r="J4647" s="7" t="str">
        <f>IF(Table1[[#This Row],[Is Data Valid]]=TRUE,_xlfn.NORM.S.DIST(Table1[[#This Row],[Birthweight Z-Score]],TRUE)*100,"")</f>
        <v/>
      </c>
      <c r="K4647" s="7" t="str">
        <f>IF(Table1[[#This Row],[Is Data Valid]]=TRUE,_xlfn.NORM.S.DIST(Table1[[#This Row],[Birthweight Z-Score (BW-10%)]],TRUE)*100,"")</f>
        <v/>
      </c>
      <c r="L4647" s="7" t="str">
        <f>IF(Table1[[#This Row],[Is Data Valid]]=TRUE,_xlfn.NORM.S.DIST(Table1[[#This Row],[Birthweight Z-Score (BW+10%)]],TRUE)*100,"")</f>
        <v/>
      </c>
    </row>
    <row r="4648" spans="1:12" x14ac:dyDescent="0.35">
      <c r="A4648" s="3"/>
      <c r="B4648" s="2"/>
      <c r="C4648" s="2"/>
      <c r="D4648" s="2" t="b">
        <f>IF(AND(NOT(ISBLANK(Table1[[#This Row],[Fetal Sex (Male, Female or Unknown)]])),ISNUMBER(Table1[[#This Row],[Birthweight (grams)]]),ISNUMBER(Table1[[#This Row],[Gestation (days)]])),TRUE,FALSE)</f>
        <v>0</v>
      </c>
      <c r="E4648" s="2" t="str">
        <f>IF(Table1[[#This Row],[Is Data Valid]]=TRUE,IF(Table1[[#This Row],[Fetal Sex (Male, Female or Unknown)]]="Male",Backend!$C$6,IF(Table1[[#This Row],[Fetal Sex (Male, Female or Unknown)]]="Female",Backend!$C$7,IF(Table1[[#This Row],[Fetal Sex (Male, Female or Unknown)]]="Unknown",Backend!$C$8,"Error"))),"")</f>
        <v/>
      </c>
      <c r="F4648" s="8" t="str">
        <f>IF(Table1[[#This Row],[Is Data Valid]]=TRUE,EXP(0.578+0.332*((Table1[[#This Row],[Gestation (days)]]+0.5)/7)-0.00354*((Table1[[#This Row],[Gestation (days)]]+0.5)/7)^2)*Table1[[#This Row],[BW40_3705]],"")</f>
        <v/>
      </c>
      <c r="G4648" s="2" t="str">
        <f>IF(Table1[[#This Row],[Is Data Valid]]=TRUE,((Table1[[#This Row],[Birthweight (grams)]]/Table1[[#This Row],[BW_GA]])-1)/(Backend!$B$4/100*Table1[[#This Row],[BW40_3705]]),"")</f>
        <v/>
      </c>
      <c r="H4648" s="7" t="str">
        <f>IF(Table1[[#This Row],[Is Data Valid]]=TRUE,((Table1[[#This Row],[Birthweight (grams)]]*0.9/Table1[[#This Row],[BW_GA]])-1)/(Backend!$B$4/100*Table1[[#This Row],[BW40_3705]]),"")</f>
        <v/>
      </c>
      <c r="I4648" s="7" t="str">
        <f>IF(Table1[[#This Row],[Is Data Valid]]=TRUE,((Table1[[#This Row],[Birthweight (grams)]]*1.1/Table1[[#This Row],[BW_GA]])-1)/(Backend!$B$4/100*Table1[[#This Row],[BW40_3705]]),"")</f>
        <v/>
      </c>
      <c r="J4648" s="7" t="str">
        <f>IF(Table1[[#This Row],[Is Data Valid]]=TRUE,_xlfn.NORM.S.DIST(Table1[[#This Row],[Birthweight Z-Score]],TRUE)*100,"")</f>
        <v/>
      </c>
      <c r="K4648" s="7" t="str">
        <f>IF(Table1[[#This Row],[Is Data Valid]]=TRUE,_xlfn.NORM.S.DIST(Table1[[#This Row],[Birthweight Z-Score (BW-10%)]],TRUE)*100,"")</f>
        <v/>
      </c>
      <c r="L4648" s="7" t="str">
        <f>IF(Table1[[#This Row],[Is Data Valid]]=TRUE,_xlfn.NORM.S.DIST(Table1[[#This Row],[Birthweight Z-Score (BW+10%)]],TRUE)*100,"")</f>
        <v/>
      </c>
    </row>
    <row r="4649" spans="1:12" x14ac:dyDescent="0.35">
      <c r="A4649" s="3"/>
      <c r="B4649" s="2"/>
      <c r="C4649" s="2"/>
      <c r="D4649" s="2" t="b">
        <f>IF(AND(NOT(ISBLANK(Table1[[#This Row],[Fetal Sex (Male, Female or Unknown)]])),ISNUMBER(Table1[[#This Row],[Birthweight (grams)]]),ISNUMBER(Table1[[#This Row],[Gestation (days)]])),TRUE,FALSE)</f>
        <v>0</v>
      </c>
      <c r="E4649" s="2" t="str">
        <f>IF(Table1[[#This Row],[Is Data Valid]]=TRUE,IF(Table1[[#This Row],[Fetal Sex (Male, Female or Unknown)]]="Male",Backend!$C$6,IF(Table1[[#This Row],[Fetal Sex (Male, Female or Unknown)]]="Female",Backend!$C$7,IF(Table1[[#This Row],[Fetal Sex (Male, Female or Unknown)]]="Unknown",Backend!$C$8,"Error"))),"")</f>
        <v/>
      </c>
      <c r="F4649" s="8" t="str">
        <f>IF(Table1[[#This Row],[Is Data Valid]]=TRUE,EXP(0.578+0.332*((Table1[[#This Row],[Gestation (days)]]+0.5)/7)-0.00354*((Table1[[#This Row],[Gestation (days)]]+0.5)/7)^2)*Table1[[#This Row],[BW40_3705]],"")</f>
        <v/>
      </c>
      <c r="G4649" s="2" t="str">
        <f>IF(Table1[[#This Row],[Is Data Valid]]=TRUE,((Table1[[#This Row],[Birthweight (grams)]]/Table1[[#This Row],[BW_GA]])-1)/(Backend!$B$4/100*Table1[[#This Row],[BW40_3705]]),"")</f>
        <v/>
      </c>
      <c r="H4649" s="7" t="str">
        <f>IF(Table1[[#This Row],[Is Data Valid]]=TRUE,((Table1[[#This Row],[Birthweight (grams)]]*0.9/Table1[[#This Row],[BW_GA]])-1)/(Backend!$B$4/100*Table1[[#This Row],[BW40_3705]]),"")</f>
        <v/>
      </c>
      <c r="I4649" s="7" t="str">
        <f>IF(Table1[[#This Row],[Is Data Valid]]=TRUE,((Table1[[#This Row],[Birthweight (grams)]]*1.1/Table1[[#This Row],[BW_GA]])-1)/(Backend!$B$4/100*Table1[[#This Row],[BW40_3705]]),"")</f>
        <v/>
      </c>
      <c r="J4649" s="7" t="str">
        <f>IF(Table1[[#This Row],[Is Data Valid]]=TRUE,_xlfn.NORM.S.DIST(Table1[[#This Row],[Birthweight Z-Score]],TRUE)*100,"")</f>
        <v/>
      </c>
      <c r="K4649" s="7" t="str">
        <f>IF(Table1[[#This Row],[Is Data Valid]]=TRUE,_xlfn.NORM.S.DIST(Table1[[#This Row],[Birthweight Z-Score (BW-10%)]],TRUE)*100,"")</f>
        <v/>
      </c>
      <c r="L4649" s="7" t="str">
        <f>IF(Table1[[#This Row],[Is Data Valid]]=TRUE,_xlfn.NORM.S.DIST(Table1[[#This Row],[Birthweight Z-Score (BW+10%)]],TRUE)*100,"")</f>
        <v/>
      </c>
    </row>
    <row r="4650" spans="1:12" x14ac:dyDescent="0.35">
      <c r="A4650" s="3"/>
      <c r="B4650" s="2"/>
      <c r="C4650" s="2"/>
      <c r="D4650" s="2" t="b">
        <f>IF(AND(NOT(ISBLANK(Table1[[#This Row],[Fetal Sex (Male, Female or Unknown)]])),ISNUMBER(Table1[[#This Row],[Birthweight (grams)]]),ISNUMBER(Table1[[#This Row],[Gestation (days)]])),TRUE,FALSE)</f>
        <v>0</v>
      </c>
      <c r="E4650" s="2" t="str">
        <f>IF(Table1[[#This Row],[Is Data Valid]]=TRUE,IF(Table1[[#This Row],[Fetal Sex (Male, Female or Unknown)]]="Male",Backend!$C$6,IF(Table1[[#This Row],[Fetal Sex (Male, Female or Unknown)]]="Female",Backend!$C$7,IF(Table1[[#This Row],[Fetal Sex (Male, Female or Unknown)]]="Unknown",Backend!$C$8,"Error"))),"")</f>
        <v/>
      </c>
      <c r="F4650" s="8" t="str">
        <f>IF(Table1[[#This Row],[Is Data Valid]]=TRUE,EXP(0.578+0.332*((Table1[[#This Row],[Gestation (days)]]+0.5)/7)-0.00354*((Table1[[#This Row],[Gestation (days)]]+0.5)/7)^2)*Table1[[#This Row],[BW40_3705]],"")</f>
        <v/>
      </c>
      <c r="G4650" s="2" t="str">
        <f>IF(Table1[[#This Row],[Is Data Valid]]=TRUE,((Table1[[#This Row],[Birthweight (grams)]]/Table1[[#This Row],[BW_GA]])-1)/(Backend!$B$4/100*Table1[[#This Row],[BW40_3705]]),"")</f>
        <v/>
      </c>
      <c r="H4650" s="7" t="str">
        <f>IF(Table1[[#This Row],[Is Data Valid]]=TRUE,((Table1[[#This Row],[Birthweight (grams)]]*0.9/Table1[[#This Row],[BW_GA]])-1)/(Backend!$B$4/100*Table1[[#This Row],[BW40_3705]]),"")</f>
        <v/>
      </c>
      <c r="I4650" s="7" t="str">
        <f>IF(Table1[[#This Row],[Is Data Valid]]=TRUE,((Table1[[#This Row],[Birthweight (grams)]]*1.1/Table1[[#This Row],[BW_GA]])-1)/(Backend!$B$4/100*Table1[[#This Row],[BW40_3705]]),"")</f>
        <v/>
      </c>
      <c r="J4650" s="7" t="str">
        <f>IF(Table1[[#This Row],[Is Data Valid]]=TRUE,_xlfn.NORM.S.DIST(Table1[[#This Row],[Birthweight Z-Score]],TRUE)*100,"")</f>
        <v/>
      </c>
      <c r="K4650" s="7" t="str">
        <f>IF(Table1[[#This Row],[Is Data Valid]]=TRUE,_xlfn.NORM.S.DIST(Table1[[#This Row],[Birthweight Z-Score (BW-10%)]],TRUE)*100,"")</f>
        <v/>
      </c>
      <c r="L4650" s="7" t="str">
        <f>IF(Table1[[#This Row],[Is Data Valid]]=TRUE,_xlfn.NORM.S.DIST(Table1[[#This Row],[Birthweight Z-Score (BW+10%)]],TRUE)*100,"")</f>
        <v/>
      </c>
    </row>
    <row r="4651" spans="1:12" x14ac:dyDescent="0.35">
      <c r="A4651" s="3"/>
      <c r="B4651" s="2"/>
      <c r="C4651" s="2"/>
      <c r="D4651" s="2" t="b">
        <f>IF(AND(NOT(ISBLANK(Table1[[#This Row],[Fetal Sex (Male, Female or Unknown)]])),ISNUMBER(Table1[[#This Row],[Birthweight (grams)]]),ISNUMBER(Table1[[#This Row],[Gestation (days)]])),TRUE,FALSE)</f>
        <v>0</v>
      </c>
      <c r="E4651" s="2" t="str">
        <f>IF(Table1[[#This Row],[Is Data Valid]]=TRUE,IF(Table1[[#This Row],[Fetal Sex (Male, Female or Unknown)]]="Male",Backend!$C$6,IF(Table1[[#This Row],[Fetal Sex (Male, Female or Unknown)]]="Female",Backend!$C$7,IF(Table1[[#This Row],[Fetal Sex (Male, Female or Unknown)]]="Unknown",Backend!$C$8,"Error"))),"")</f>
        <v/>
      </c>
      <c r="F4651" s="8" t="str">
        <f>IF(Table1[[#This Row],[Is Data Valid]]=TRUE,EXP(0.578+0.332*((Table1[[#This Row],[Gestation (days)]]+0.5)/7)-0.00354*((Table1[[#This Row],[Gestation (days)]]+0.5)/7)^2)*Table1[[#This Row],[BW40_3705]],"")</f>
        <v/>
      </c>
      <c r="G4651" s="2" t="str">
        <f>IF(Table1[[#This Row],[Is Data Valid]]=TRUE,((Table1[[#This Row],[Birthweight (grams)]]/Table1[[#This Row],[BW_GA]])-1)/(Backend!$B$4/100*Table1[[#This Row],[BW40_3705]]),"")</f>
        <v/>
      </c>
      <c r="H4651" s="7" t="str">
        <f>IF(Table1[[#This Row],[Is Data Valid]]=TRUE,((Table1[[#This Row],[Birthweight (grams)]]*0.9/Table1[[#This Row],[BW_GA]])-1)/(Backend!$B$4/100*Table1[[#This Row],[BW40_3705]]),"")</f>
        <v/>
      </c>
      <c r="I4651" s="7" t="str">
        <f>IF(Table1[[#This Row],[Is Data Valid]]=TRUE,((Table1[[#This Row],[Birthweight (grams)]]*1.1/Table1[[#This Row],[BW_GA]])-1)/(Backend!$B$4/100*Table1[[#This Row],[BW40_3705]]),"")</f>
        <v/>
      </c>
      <c r="J4651" s="7" t="str">
        <f>IF(Table1[[#This Row],[Is Data Valid]]=TRUE,_xlfn.NORM.S.DIST(Table1[[#This Row],[Birthweight Z-Score]],TRUE)*100,"")</f>
        <v/>
      </c>
      <c r="K4651" s="7" t="str">
        <f>IF(Table1[[#This Row],[Is Data Valid]]=TRUE,_xlfn.NORM.S.DIST(Table1[[#This Row],[Birthweight Z-Score (BW-10%)]],TRUE)*100,"")</f>
        <v/>
      </c>
      <c r="L4651" s="7" t="str">
        <f>IF(Table1[[#This Row],[Is Data Valid]]=TRUE,_xlfn.NORM.S.DIST(Table1[[#This Row],[Birthweight Z-Score (BW+10%)]],TRUE)*100,"")</f>
        <v/>
      </c>
    </row>
    <row r="4652" spans="1:12" x14ac:dyDescent="0.35">
      <c r="A4652" s="3"/>
      <c r="B4652" s="2"/>
      <c r="C4652" s="2"/>
      <c r="D4652" s="2" t="b">
        <f>IF(AND(NOT(ISBLANK(Table1[[#This Row],[Fetal Sex (Male, Female or Unknown)]])),ISNUMBER(Table1[[#This Row],[Birthweight (grams)]]),ISNUMBER(Table1[[#This Row],[Gestation (days)]])),TRUE,FALSE)</f>
        <v>0</v>
      </c>
      <c r="E4652" s="2" t="str">
        <f>IF(Table1[[#This Row],[Is Data Valid]]=TRUE,IF(Table1[[#This Row],[Fetal Sex (Male, Female or Unknown)]]="Male",Backend!$C$6,IF(Table1[[#This Row],[Fetal Sex (Male, Female or Unknown)]]="Female",Backend!$C$7,IF(Table1[[#This Row],[Fetal Sex (Male, Female or Unknown)]]="Unknown",Backend!$C$8,"Error"))),"")</f>
        <v/>
      </c>
      <c r="F4652" s="8" t="str">
        <f>IF(Table1[[#This Row],[Is Data Valid]]=TRUE,EXP(0.578+0.332*((Table1[[#This Row],[Gestation (days)]]+0.5)/7)-0.00354*((Table1[[#This Row],[Gestation (days)]]+0.5)/7)^2)*Table1[[#This Row],[BW40_3705]],"")</f>
        <v/>
      </c>
      <c r="G4652" s="2" t="str">
        <f>IF(Table1[[#This Row],[Is Data Valid]]=TRUE,((Table1[[#This Row],[Birthweight (grams)]]/Table1[[#This Row],[BW_GA]])-1)/(Backend!$B$4/100*Table1[[#This Row],[BW40_3705]]),"")</f>
        <v/>
      </c>
      <c r="H4652" s="7" t="str">
        <f>IF(Table1[[#This Row],[Is Data Valid]]=TRUE,((Table1[[#This Row],[Birthweight (grams)]]*0.9/Table1[[#This Row],[BW_GA]])-1)/(Backend!$B$4/100*Table1[[#This Row],[BW40_3705]]),"")</f>
        <v/>
      </c>
      <c r="I4652" s="7" t="str">
        <f>IF(Table1[[#This Row],[Is Data Valid]]=TRUE,((Table1[[#This Row],[Birthweight (grams)]]*1.1/Table1[[#This Row],[BW_GA]])-1)/(Backend!$B$4/100*Table1[[#This Row],[BW40_3705]]),"")</f>
        <v/>
      </c>
      <c r="J4652" s="7" t="str">
        <f>IF(Table1[[#This Row],[Is Data Valid]]=TRUE,_xlfn.NORM.S.DIST(Table1[[#This Row],[Birthweight Z-Score]],TRUE)*100,"")</f>
        <v/>
      </c>
      <c r="K4652" s="7" t="str">
        <f>IF(Table1[[#This Row],[Is Data Valid]]=TRUE,_xlfn.NORM.S.DIST(Table1[[#This Row],[Birthweight Z-Score (BW-10%)]],TRUE)*100,"")</f>
        <v/>
      </c>
      <c r="L4652" s="7" t="str">
        <f>IF(Table1[[#This Row],[Is Data Valid]]=TRUE,_xlfn.NORM.S.DIST(Table1[[#This Row],[Birthweight Z-Score (BW+10%)]],TRUE)*100,"")</f>
        <v/>
      </c>
    </row>
    <row r="4653" spans="1:12" x14ac:dyDescent="0.35">
      <c r="A4653" s="3"/>
      <c r="B4653" s="2"/>
      <c r="C4653" s="2"/>
      <c r="D4653" s="2" t="b">
        <f>IF(AND(NOT(ISBLANK(Table1[[#This Row],[Fetal Sex (Male, Female or Unknown)]])),ISNUMBER(Table1[[#This Row],[Birthweight (grams)]]),ISNUMBER(Table1[[#This Row],[Gestation (days)]])),TRUE,FALSE)</f>
        <v>0</v>
      </c>
      <c r="E4653" s="2" t="str">
        <f>IF(Table1[[#This Row],[Is Data Valid]]=TRUE,IF(Table1[[#This Row],[Fetal Sex (Male, Female or Unknown)]]="Male",Backend!$C$6,IF(Table1[[#This Row],[Fetal Sex (Male, Female or Unknown)]]="Female",Backend!$C$7,IF(Table1[[#This Row],[Fetal Sex (Male, Female or Unknown)]]="Unknown",Backend!$C$8,"Error"))),"")</f>
        <v/>
      </c>
      <c r="F4653" s="8" t="str">
        <f>IF(Table1[[#This Row],[Is Data Valid]]=TRUE,EXP(0.578+0.332*((Table1[[#This Row],[Gestation (days)]]+0.5)/7)-0.00354*((Table1[[#This Row],[Gestation (days)]]+0.5)/7)^2)*Table1[[#This Row],[BW40_3705]],"")</f>
        <v/>
      </c>
      <c r="G4653" s="2" t="str">
        <f>IF(Table1[[#This Row],[Is Data Valid]]=TRUE,((Table1[[#This Row],[Birthweight (grams)]]/Table1[[#This Row],[BW_GA]])-1)/(Backend!$B$4/100*Table1[[#This Row],[BW40_3705]]),"")</f>
        <v/>
      </c>
      <c r="H4653" s="7" t="str">
        <f>IF(Table1[[#This Row],[Is Data Valid]]=TRUE,((Table1[[#This Row],[Birthweight (grams)]]*0.9/Table1[[#This Row],[BW_GA]])-1)/(Backend!$B$4/100*Table1[[#This Row],[BW40_3705]]),"")</f>
        <v/>
      </c>
      <c r="I4653" s="7" t="str">
        <f>IF(Table1[[#This Row],[Is Data Valid]]=TRUE,((Table1[[#This Row],[Birthweight (grams)]]*1.1/Table1[[#This Row],[BW_GA]])-1)/(Backend!$B$4/100*Table1[[#This Row],[BW40_3705]]),"")</f>
        <v/>
      </c>
      <c r="J4653" s="7" t="str">
        <f>IF(Table1[[#This Row],[Is Data Valid]]=TRUE,_xlfn.NORM.S.DIST(Table1[[#This Row],[Birthweight Z-Score]],TRUE)*100,"")</f>
        <v/>
      </c>
      <c r="K4653" s="7" t="str">
        <f>IF(Table1[[#This Row],[Is Data Valid]]=TRUE,_xlfn.NORM.S.DIST(Table1[[#This Row],[Birthweight Z-Score (BW-10%)]],TRUE)*100,"")</f>
        <v/>
      </c>
      <c r="L4653" s="7" t="str">
        <f>IF(Table1[[#This Row],[Is Data Valid]]=TRUE,_xlfn.NORM.S.DIST(Table1[[#This Row],[Birthweight Z-Score (BW+10%)]],TRUE)*100,"")</f>
        <v/>
      </c>
    </row>
    <row r="4654" spans="1:12" x14ac:dyDescent="0.35">
      <c r="A4654" s="3"/>
      <c r="B4654" s="2"/>
      <c r="C4654" s="2"/>
      <c r="D4654" s="2" t="b">
        <f>IF(AND(NOT(ISBLANK(Table1[[#This Row],[Fetal Sex (Male, Female or Unknown)]])),ISNUMBER(Table1[[#This Row],[Birthweight (grams)]]),ISNUMBER(Table1[[#This Row],[Gestation (days)]])),TRUE,FALSE)</f>
        <v>0</v>
      </c>
      <c r="E4654" s="2" t="str">
        <f>IF(Table1[[#This Row],[Is Data Valid]]=TRUE,IF(Table1[[#This Row],[Fetal Sex (Male, Female or Unknown)]]="Male",Backend!$C$6,IF(Table1[[#This Row],[Fetal Sex (Male, Female or Unknown)]]="Female",Backend!$C$7,IF(Table1[[#This Row],[Fetal Sex (Male, Female or Unknown)]]="Unknown",Backend!$C$8,"Error"))),"")</f>
        <v/>
      </c>
      <c r="F4654" s="8" t="str">
        <f>IF(Table1[[#This Row],[Is Data Valid]]=TRUE,EXP(0.578+0.332*((Table1[[#This Row],[Gestation (days)]]+0.5)/7)-0.00354*((Table1[[#This Row],[Gestation (days)]]+0.5)/7)^2)*Table1[[#This Row],[BW40_3705]],"")</f>
        <v/>
      </c>
      <c r="G4654" s="2" t="str">
        <f>IF(Table1[[#This Row],[Is Data Valid]]=TRUE,((Table1[[#This Row],[Birthweight (grams)]]/Table1[[#This Row],[BW_GA]])-1)/(Backend!$B$4/100*Table1[[#This Row],[BW40_3705]]),"")</f>
        <v/>
      </c>
      <c r="H4654" s="7" t="str">
        <f>IF(Table1[[#This Row],[Is Data Valid]]=TRUE,((Table1[[#This Row],[Birthweight (grams)]]*0.9/Table1[[#This Row],[BW_GA]])-1)/(Backend!$B$4/100*Table1[[#This Row],[BW40_3705]]),"")</f>
        <v/>
      </c>
      <c r="I4654" s="7" t="str">
        <f>IF(Table1[[#This Row],[Is Data Valid]]=TRUE,((Table1[[#This Row],[Birthweight (grams)]]*1.1/Table1[[#This Row],[BW_GA]])-1)/(Backend!$B$4/100*Table1[[#This Row],[BW40_3705]]),"")</f>
        <v/>
      </c>
      <c r="J4654" s="7" t="str">
        <f>IF(Table1[[#This Row],[Is Data Valid]]=TRUE,_xlfn.NORM.S.DIST(Table1[[#This Row],[Birthweight Z-Score]],TRUE)*100,"")</f>
        <v/>
      </c>
      <c r="K4654" s="7" t="str">
        <f>IF(Table1[[#This Row],[Is Data Valid]]=TRUE,_xlfn.NORM.S.DIST(Table1[[#This Row],[Birthweight Z-Score (BW-10%)]],TRUE)*100,"")</f>
        <v/>
      </c>
      <c r="L4654" s="7" t="str">
        <f>IF(Table1[[#This Row],[Is Data Valid]]=TRUE,_xlfn.NORM.S.DIST(Table1[[#This Row],[Birthweight Z-Score (BW+10%)]],TRUE)*100,"")</f>
        <v/>
      </c>
    </row>
    <row r="4655" spans="1:12" x14ac:dyDescent="0.35">
      <c r="A4655" s="3"/>
      <c r="B4655" s="2"/>
      <c r="C4655" s="2"/>
      <c r="D4655" s="2" t="b">
        <f>IF(AND(NOT(ISBLANK(Table1[[#This Row],[Fetal Sex (Male, Female or Unknown)]])),ISNUMBER(Table1[[#This Row],[Birthweight (grams)]]),ISNUMBER(Table1[[#This Row],[Gestation (days)]])),TRUE,FALSE)</f>
        <v>0</v>
      </c>
      <c r="E4655" s="2" t="str">
        <f>IF(Table1[[#This Row],[Is Data Valid]]=TRUE,IF(Table1[[#This Row],[Fetal Sex (Male, Female or Unknown)]]="Male",Backend!$C$6,IF(Table1[[#This Row],[Fetal Sex (Male, Female or Unknown)]]="Female",Backend!$C$7,IF(Table1[[#This Row],[Fetal Sex (Male, Female or Unknown)]]="Unknown",Backend!$C$8,"Error"))),"")</f>
        <v/>
      </c>
      <c r="F4655" s="8" t="str">
        <f>IF(Table1[[#This Row],[Is Data Valid]]=TRUE,EXP(0.578+0.332*((Table1[[#This Row],[Gestation (days)]]+0.5)/7)-0.00354*((Table1[[#This Row],[Gestation (days)]]+0.5)/7)^2)*Table1[[#This Row],[BW40_3705]],"")</f>
        <v/>
      </c>
      <c r="G4655" s="2" t="str">
        <f>IF(Table1[[#This Row],[Is Data Valid]]=TRUE,((Table1[[#This Row],[Birthweight (grams)]]/Table1[[#This Row],[BW_GA]])-1)/(Backend!$B$4/100*Table1[[#This Row],[BW40_3705]]),"")</f>
        <v/>
      </c>
      <c r="H4655" s="7" t="str">
        <f>IF(Table1[[#This Row],[Is Data Valid]]=TRUE,((Table1[[#This Row],[Birthweight (grams)]]*0.9/Table1[[#This Row],[BW_GA]])-1)/(Backend!$B$4/100*Table1[[#This Row],[BW40_3705]]),"")</f>
        <v/>
      </c>
      <c r="I4655" s="7" t="str">
        <f>IF(Table1[[#This Row],[Is Data Valid]]=TRUE,((Table1[[#This Row],[Birthweight (grams)]]*1.1/Table1[[#This Row],[BW_GA]])-1)/(Backend!$B$4/100*Table1[[#This Row],[BW40_3705]]),"")</f>
        <v/>
      </c>
      <c r="J4655" s="7" t="str">
        <f>IF(Table1[[#This Row],[Is Data Valid]]=TRUE,_xlfn.NORM.S.DIST(Table1[[#This Row],[Birthweight Z-Score]],TRUE)*100,"")</f>
        <v/>
      </c>
      <c r="K4655" s="7" t="str">
        <f>IF(Table1[[#This Row],[Is Data Valid]]=TRUE,_xlfn.NORM.S.DIST(Table1[[#This Row],[Birthweight Z-Score (BW-10%)]],TRUE)*100,"")</f>
        <v/>
      </c>
      <c r="L4655" s="7" t="str">
        <f>IF(Table1[[#This Row],[Is Data Valid]]=TRUE,_xlfn.NORM.S.DIST(Table1[[#This Row],[Birthweight Z-Score (BW+10%)]],TRUE)*100,"")</f>
        <v/>
      </c>
    </row>
    <row r="4656" spans="1:12" x14ac:dyDescent="0.35">
      <c r="A4656" s="3"/>
      <c r="B4656" s="2"/>
      <c r="C4656" s="2"/>
      <c r="D4656" s="2" t="b">
        <f>IF(AND(NOT(ISBLANK(Table1[[#This Row],[Fetal Sex (Male, Female or Unknown)]])),ISNUMBER(Table1[[#This Row],[Birthweight (grams)]]),ISNUMBER(Table1[[#This Row],[Gestation (days)]])),TRUE,FALSE)</f>
        <v>0</v>
      </c>
      <c r="E4656" s="2" t="str">
        <f>IF(Table1[[#This Row],[Is Data Valid]]=TRUE,IF(Table1[[#This Row],[Fetal Sex (Male, Female or Unknown)]]="Male",Backend!$C$6,IF(Table1[[#This Row],[Fetal Sex (Male, Female or Unknown)]]="Female",Backend!$C$7,IF(Table1[[#This Row],[Fetal Sex (Male, Female or Unknown)]]="Unknown",Backend!$C$8,"Error"))),"")</f>
        <v/>
      </c>
      <c r="F4656" s="8" t="str">
        <f>IF(Table1[[#This Row],[Is Data Valid]]=TRUE,EXP(0.578+0.332*((Table1[[#This Row],[Gestation (days)]]+0.5)/7)-0.00354*((Table1[[#This Row],[Gestation (days)]]+0.5)/7)^2)*Table1[[#This Row],[BW40_3705]],"")</f>
        <v/>
      </c>
      <c r="G4656" s="2" t="str">
        <f>IF(Table1[[#This Row],[Is Data Valid]]=TRUE,((Table1[[#This Row],[Birthweight (grams)]]/Table1[[#This Row],[BW_GA]])-1)/(Backend!$B$4/100*Table1[[#This Row],[BW40_3705]]),"")</f>
        <v/>
      </c>
      <c r="H4656" s="7" t="str">
        <f>IF(Table1[[#This Row],[Is Data Valid]]=TRUE,((Table1[[#This Row],[Birthweight (grams)]]*0.9/Table1[[#This Row],[BW_GA]])-1)/(Backend!$B$4/100*Table1[[#This Row],[BW40_3705]]),"")</f>
        <v/>
      </c>
      <c r="I4656" s="7" t="str">
        <f>IF(Table1[[#This Row],[Is Data Valid]]=TRUE,((Table1[[#This Row],[Birthweight (grams)]]*1.1/Table1[[#This Row],[BW_GA]])-1)/(Backend!$B$4/100*Table1[[#This Row],[BW40_3705]]),"")</f>
        <v/>
      </c>
      <c r="J4656" s="7" t="str">
        <f>IF(Table1[[#This Row],[Is Data Valid]]=TRUE,_xlfn.NORM.S.DIST(Table1[[#This Row],[Birthweight Z-Score]],TRUE)*100,"")</f>
        <v/>
      </c>
      <c r="K4656" s="7" t="str">
        <f>IF(Table1[[#This Row],[Is Data Valid]]=TRUE,_xlfn.NORM.S.DIST(Table1[[#This Row],[Birthweight Z-Score (BW-10%)]],TRUE)*100,"")</f>
        <v/>
      </c>
      <c r="L4656" s="7" t="str">
        <f>IF(Table1[[#This Row],[Is Data Valid]]=TRUE,_xlfn.NORM.S.DIST(Table1[[#This Row],[Birthweight Z-Score (BW+10%)]],TRUE)*100,"")</f>
        <v/>
      </c>
    </row>
    <row r="4657" spans="1:12" x14ac:dyDescent="0.35">
      <c r="A4657" s="3"/>
      <c r="B4657" s="2"/>
      <c r="C4657" s="2"/>
      <c r="D4657" s="2" t="b">
        <f>IF(AND(NOT(ISBLANK(Table1[[#This Row],[Fetal Sex (Male, Female or Unknown)]])),ISNUMBER(Table1[[#This Row],[Birthweight (grams)]]),ISNUMBER(Table1[[#This Row],[Gestation (days)]])),TRUE,FALSE)</f>
        <v>0</v>
      </c>
      <c r="E4657" s="2" t="str">
        <f>IF(Table1[[#This Row],[Is Data Valid]]=TRUE,IF(Table1[[#This Row],[Fetal Sex (Male, Female or Unknown)]]="Male",Backend!$C$6,IF(Table1[[#This Row],[Fetal Sex (Male, Female or Unknown)]]="Female",Backend!$C$7,IF(Table1[[#This Row],[Fetal Sex (Male, Female or Unknown)]]="Unknown",Backend!$C$8,"Error"))),"")</f>
        <v/>
      </c>
      <c r="F4657" s="8" t="str">
        <f>IF(Table1[[#This Row],[Is Data Valid]]=TRUE,EXP(0.578+0.332*((Table1[[#This Row],[Gestation (days)]]+0.5)/7)-0.00354*((Table1[[#This Row],[Gestation (days)]]+0.5)/7)^2)*Table1[[#This Row],[BW40_3705]],"")</f>
        <v/>
      </c>
      <c r="G4657" s="2" t="str">
        <f>IF(Table1[[#This Row],[Is Data Valid]]=TRUE,((Table1[[#This Row],[Birthweight (grams)]]/Table1[[#This Row],[BW_GA]])-1)/(Backend!$B$4/100*Table1[[#This Row],[BW40_3705]]),"")</f>
        <v/>
      </c>
      <c r="H4657" s="7" t="str">
        <f>IF(Table1[[#This Row],[Is Data Valid]]=TRUE,((Table1[[#This Row],[Birthweight (grams)]]*0.9/Table1[[#This Row],[BW_GA]])-1)/(Backend!$B$4/100*Table1[[#This Row],[BW40_3705]]),"")</f>
        <v/>
      </c>
      <c r="I4657" s="7" t="str">
        <f>IF(Table1[[#This Row],[Is Data Valid]]=TRUE,((Table1[[#This Row],[Birthweight (grams)]]*1.1/Table1[[#This Row],[BW_GA]])-1)/(Backend!$B$4/100*Table1[[#This Row],[BW40_3705]]),"")</f>
        <v/>
      </c>
      <c r="J4657" s="7" t="str">
        <f>IF(Table1[[#This Row],[Is Data Valid]]=TRUE,_xlfn.NORM.S.DIST(Table1[[#This Row],[Birthweight Z-Score]],TRUE)*100,"")</f>
        <v/>
      </c>
      <c r="K4657" s="7" t="str">
        <f>IF(Table1[[#This Row],[Is Data Valid]]=TRUE,_xlfn.NORM.S.DIST(Table1[[#This Row],[Birthweight Z-Score (BW-10%)]],TRUE)*100,"")</f>
        <v/>
      </c>
      <c r="L4657" s="7" t="str">
        <f>IF(Table1[[#This Row],[Is Data Valid]]=TRUE,_xlfn.NORM.S.DIST(Table1[[#This Row],[Birthweight Z-Score (BW+10%)]],TRUE)*100,"")</f>
        <v/>
      </c>
    </row>
    <row r="4658" spans="1:12" x14ac:dyDescent="0.35">
      <c r="A4658" s="3"/>
      <c r="B4658" s="2"/>
      <c r="C4658" s="2"/>
      <c r="D4658" s="2" t="b">
        <f>IF(AND(NOT(ISBLANK(Table1[[#This Row],[Fetal Sex (Male, Female or Unknown)]])),ISNUMBER(Table1[[#This Row],[Birthweight (grams)]]),ISNUMBER(Table1[[#This Row],[Gestation (days)]])),TRUE,FALSE)</f>
        <v>0</v>
      </c>
      <c r="E4658" s="2" t="str">
        <f>IF(Table1[[#This Row],[Is Data Valid]]=TRUE,IF(Table1[[#This Row],[Fetal Sex (Male, Female or Unknown)]]="Male",Backend!$C$6,IF(Table1[[#This Row],[Fetal Sex (Male, Female or Unknown)]]="Female",Backend!$C$7,IF(Table1[[#This Row],[Fetal Sex (Male, Female or Unknown)]]="Unknown",Backend!$C$8,"Error"))),"")</f>
        <v/>
      </c>
      <c r="F4658" s="8" t="str">
        <f>IF(Table1[[#This Row],[Is Data Valid]]=TRUE,EXP(0.578+0.332*((Table1[[#This Row],[Gestation (days)]]+0.5)/7)-0.00354*((Table1[[#This Row],[Gestation (days)]]+0.5)/7)^2)*Table1[[#This Row],[BW40_3705]],"")</f>
        <v/>
      </c>
      <c r="G4658" s="2" t="str">
        <f>IF(Table1[[#This Row],[Is Data Valid]]=TRUE,((Table1[[#This Row],[Birthweight (grams)]]/Table1[[#This Row],[BW_GA]])-1)/(Backend!$B$4/100*Table1[[#This Row],[BW40_3705]]),"")</f>
        <v/>
      </c>
      <c r="H4658" s="7" t="str">
        <f>IF(Table1[[#This Row],[Is Data Valid]]=TRUE,((Table1[[#This Row],[Birthweight (grams)]]*0.9/Table1[[#This Row],[BW_GA]])-1)/(Backend!$B$4/100*Table1[[#This Row],[BW40_3705]]),"")</f>
        <v/>
      </c>
      <c r="I4658" s="7" t="str">
        <f>IF(Table1[[#This Row],[Is Data Valid]]=TRUE,((Table1[[#This Row],[Birthweight (grams)]]*1.1/Table1[[#This Row],[BW_GA]])-1)/(Backend!$B$4/100*Table1[[#This Row],[BW40_3705]]),"")</f>
        <v/>
      </c>
      <c r="J4658" s="7" t="str">
        <f>IF(Table1[[#This Row],[Is Data Valid]]=TRUE,_xlfn.NORM.S.DIST(Table1[[#This Row],[Birthweight Z-Score]],TRUE)*100,"")</f>
        <v/>
      </c>
      <c r="K4658" s="7" t="str">
        <f>IF(Table1[[#This Row],[Is Data Valid]]=TRUE,_xlfn.NORM.S.DIST(Table1[[#This Row],[Birthweight Z-Score (BW-10%)]],TRUE)*100,"")</f>
        <v/>
      </c>
      <c r="L4658" s="7" t="str">
        <f>IF(Table1[[#This Row],[Is Data Valid]]=TRUE,_xlfn.NORM.S.DIST(Table1[[#This Row],[Birthweight Z-Score (BW+10%)]],TRUE)*100,"")</f>
        <v/>
      </c>
    </row>
    <row r="4659" spans="1:12" x14ac:dyDescent="0.35">
      <c r="A4659" s="3"/>
      <c r="B4659" s="2"/>
      <c r="C4659" s="2"/>
      <c r="D4659" s="2" t="b">
        <f>IF(AND(NOT(ISBLANK(Table1[[#This Row],[Fetal Sex (Male, Female or Unknown)]])),ISNUMBER(Table1[[#This Row],[Birthweight (grams)]]),ISNUMBER(Table1[[#This Row],[Gestation (days)]])),TRUE,FALSE)</f>
        <v>0</v>
      </c>
      <c r="E4659" s="2" t="str">
        <f>IF(Table1[[#This Row],[Is Data Valid]]=TRUE,IF(Table1[[#This Row],[Fetal Sex (Male, Female or Unknown)]]="Male",Backend!$C$6,IF(Table1[[#This Row],[Fetal Sex (Male, Female or Unknown)]]="Female",Backend!$C$7,IF(Table1[[#This Row],[Fetal Sex (Male, Female or Unknown)]]="Unknown",Backend!$C$8,"Error"))),"")</f>
        <v/>
      </c>
      <c r="F4659" s="8" t="str">
        <f>IF(Table1[[#This Row],[Is Data Valid]]=TRUE,EXP(0.578+0.332*((Table1[[#This Row],[Gestation (days)]]+0.5)/7)-0.00354*((Table1[[#This Row],[Gestation (days)]]+0.5)/7)^2)*Table1[[#This Row],[BW40_3705]],"")</f>
        <v/>
      </c>
      <c r="G4659" s="2" t="str">
        <f>IF(Table1[[#This Row],[Is Data Valid]]=TRUE,((Table1[[#This Row],[Birthweight (grams)]]/Table1[[#This Row],[BW_GA]])-1)/(Backend!$B$4/100*Table1[[#This Row],[BW40_3705]]),"")</f>
        <v/>
      </c>
      <c r="H4659" s="7" t="str">
        <f>IF(Table1[[#This Row],[Is Data Valid]]=TRUE,((Table1[[#This Row],[Birthweight (grams)]]*0.9/Table1[[#This Row],[BW_GA]])-1)/(Backend!$B$4/100*Table1[[#This Row],[BW40_3705]]),"")</f>
        <v/>
      </c>
      <c r="I4659" s="7" t="str">
        <f>IF(Table1[[#This Row],[Is Data Valid]]=TRUE,((Table1[[#This Row],[Birthweight (grams)]]*1.1/Table1[[#This Row],[BW_GA]])-1)/(Backend!$B$4/100*Table1[[#This Row],[BW40_3705]]),"")</f>
        <v/>
      </c>
      <c r="J4659" s="7" t="str">
        <f>IF(Table1[[#This Row],[Is Data Valid]]=TRUE,_xlfn.NORM.S.DIST(Table1[[#This Row],[Birthweight Z-Score]],TRUE)*100,"")</f>
        <v/>
      </c>
      <c r="K4659" s="7" t="str">
        <f>IF(Table1[[#This Row],[Is Data Valid]]=TRUE,_xlfn.NORM.S.DIST(Table1[[#This Row],[Birthweight Z-Score (BW-10%)]],TRUE)*100,"")</f>
        <v/>
      </c>
      <c r="L4659" s="7" t="str">
        <f>IF(Table1[[#This Row],[Is Data Valid]]=TRUE,_xlfn.NORM.S.DIST(Table1[[#This Row],[Birthweight Z-Score (BW+10%)]],TRUE)*100,"")</f>
        <v/>
      </c>
    </row>
    <row r="4660" spans="1:12" x14ac:dyDescent="0.35">
      <c r="A4660" s="3"/>
      <c r="B4660" s="2"/>
      <c r="C4660" s="2"/>
      <c r="D4660" s="2" t="b">
        <f>IF(AND(NOT(ISBLANK(Table1[[#This Row],[Fetal Sex (Male, Female or Unknown)]])),ISNUMBER(Table1[[#This Row],[Birthweight (grams)]]),ISNUMBER(Table1[[#This Row],[Gestation (days)]])),TRUE,FALSE)</f>
        <v>0</v>
      </c>
      <c r="E4660" s="2" t="str">
        <f>IF(Table1[[#This Row],[Is Data Valid]]=TRUE,IF(Table1[[#This Row],[Fetal Sex (Male, Female or Unknown)]]="Male",Backend!$C$6,IF(Table1[[#This Row],[Fetal Sex (Male, Female or Unknown)]]="Female",Backend!$C$7,IF(Table1[[#This Row],[Fetal Sex (Male, Female or Unknown)]]="Unknown",Backend!$C$8,"Error"))),"")</f>
        <v/>
      </c>
      <c r="F4660" s="8" t="str">
        <f>IF(Table1[[#This Row],[Is Data Valid]]=TRUE,EXP(0.578+0.332*((Table1[[#This Row],[Gestation (days)]]+0.5)/7)-0.00354*((Table1[[#This Row],[Gestation (days)]]+0.5)/7)^2)*Table1[[#This Row],[BW40_3705]],"")</f>
        <v/>
      </c>
      <c r="G4660" s="2" t="str">
        <f>IF(Table1[[#This Row],[Is Data Valid]]=TRUE,((Table1[[#This Row],[Birthweight (grams)]]/Table1[[#This Row],[BW_GA]])-1)/(Backend!$B$4/100*Table1[[#This Row],[BW40_3705]]),"")</f>
        <v/>
      </c>
      <c r="H4660" s="7" t="str">
        <f>IF(Table1[[#This Row],[Is Data Valid]]=TRUE,((Table1[[#This Row],[Birthweight (grams)]]*0.9/Table1[[#This Row],[BW_GA]])-1)/(Backend!$B$4/100*Table1[[#This Row],[BW40_3705]]),"")</f>
        <v/>
      </c>
      <c r="I4660" s="7" t="str">
        <f>IF(Table1[[#This Row],[Is Data Valid]]=TRUE,((Table1[[#This Row],[Birthweight (grams)]]*1.1/Table1[[#This Row],[BW_GA]])-1)/(Backend!$B$4/100*Table1[[#This Row],[BW40_3705]]),"")</f>
        <v/>
      </c>
      <c r="J4660" s="7" t="str">
        <f>IF(Table1[[#This Row],[Is Data Valid]]=TRUE,_xlfn.NORM.S.DIST(Table1[[#This Row],[Birthweight Z-Score]],TRUE)*100,"")</f>
        <v/>
      </c>
      <c r="K4660" s="7" t="str">
        <f>IF(Table1[[#This Row],[Is Data Valid]]=TRUE,_xlfn.NORM.S.DIST(Table1[[#This Row],[Birthweight Z-Score (BW-10%)]],TRUE)*100,"")</f>
        <v/>
      </c>
      <c r="L4660" s="7" t="str">
        <f>IF(Table1[[#This Row],[Is Data Valid]]=TRUE,_xlfn.NORM.S.DIST(Table1[[#This Row],[Birthweight Z-Score (BW+10%)]],TRUE)*100,"")</f>
        <v/>
      </c>
    </row>
    <row r="4661" spans="1:12" x14ac:dyDescent="0.35">
      <c r="A4661" s="3"/>
      <c r="B4661" s="2"/>
      <c r="C4661" s="2"/>
      <c r="D4661" s="2" t="b">
        <f>IF(AND(NOT(ISBLANK(Table1[[#This Row],[Fetal Sex (Male, Female or Unknown)]])),ISNUMBER(Table1[[#This Row],[Birthweight (grams)]]),ISNUMBER(Table1[[#This Row],[Gestation (days)]])),TRUE,FALSE)</f>
        <v>0</v>
      </c>
      <c r="E4661" s="2" t="str">
        <f>IF(Table1[[#This Row],[Is Data Valid]]=TRUE,IF(Table1[[#This Row],[Fetal Sex (Male, Female or Unknown)]]="Male",Backend!$C$6,IF(Table1[[#This Row],[Fetal Sex (Male, Female or Unknown)]]="Female",Backend!$C$7,IF(Table1[[#This Row],[Fetal Sex (Male, Female or Unknown)]]="Unknown",Backend!$C$8,"Error"))),"")</f>
        <v/>
      </c>
      <c r="F4661" s="8" t="str">
        <f>IF(Table1[[#This Row],[Is Data Valid]]=TRUE,EXP(0.578+0.332*((Table1[[#This Row],[Gestation (days)]]+0.5)/7)-0.00354*((Table1[[#This Row],[Gestation (days)]]+0.5)/7)^2)*Table1[[#This Row],[BW40_3705]],"")</f>
        <v/>
      </c>
      <c r="G4661" s="2" t="str">
        <f>IF(Table1[[#This Row],[Is Data Valid]]=TRUE,((Table1[[#This Row],[Birthweight (grams)]]/Table1[[#This Row],[BW_GA]])-1)/(Backend!$B$4/100*Table1[[#This Row],[BW40_3705]]),"")</f>
        <v/>
      </c>
      <c r="H4661" s="7" t="str">
        <f>IF(Table1[[#This Row],[Is Data Valid]]=TRUE,((Table1[[#This Row],[Birthweight (grams)]]*0.9/Table1[[#This Row],[BW_GA]])-1)/(Backend!$B$4/100*Table1[[#This Row],[BW40_3705]]),"")</f>
        <v/>
      </c>
      <c r="I4661" s="7" t="str">
        <f>IF(Table1[[#This Row],[Is Data Valid]]=TRUE,((Table1[[#This Row],[Birthweight (grams)]]*1.1/Table1[[#This Row],[BW_GA]])-1)/(Backend!$B$4/100*Table1[[#This Row],[BW40_3705]]),"")</f>
        <v/>
      </c>
      <c r="J4661" s="7" t="str">
        <f>IF(Table1[[#This Row],[Is Data Valid]]=TRUE,_xlfn.NORM.S.DIST(Table1[[#This Row],[Birthweight Z-Score]],TRUE)*100,"")</f>
        <v/>
      </c>
      <c r="K4661" s="7" t="str">
        <f>IF(Table1[[#This Row],[Is Data Valid]]=TRUE,_xlfn.NORM.S.DIST(Table1[[#This Row],[Birthweight Z-Score (BW-10%)]],TRUE)*100,"")</f>
        <v/>
      </c>
      <c r="L4661" s="7" t="str">
        <f>IF(Table1[[#This Row],[Is Data Valid]]=TRUE,_xlfn.NORM.S.DIST(Table1[[#This Row],[Birthweight Z-Score (BW+10%)]],TRUE)*100,"")</f>
        <v/>
      </c>
    </row>
    <row r="4662" spans="1:12" x14ac:dyDescent="0.35">
      <c r="A4662" s="3"/>
      <c r="B4662" s="2"/>
      <c r="C4662" s="2"/>
      <c r="D4662" s="2" t="b">
        <f>IF(AND(NOT(ISBLANK(Table1[[#This Row],[Fetal Sex (Male, Female or Unknown)]])),ISNUMBER(Table1[[#This Row],[Birthweight (grams)]]),ISNUMBER(Table1[[#This Row],[Gestation (days)]])),TRUE,FALSE)</f>
        <v>0</v>
      </c>
      <c r="E4662" s="2" t="str">
        <f>IF(Table1[[#This Row],[Is Data Valid]]=TRUE,IF(Table1[[#This Row],[Fetal Sex (Male, Female or Unknown)]]="Male",Backend!$C$6,IF(Table1[[#This Row],[Fetal Sex (Male, Female or Unknown)]]="Female",Backend!$C$7,IF(Table1[[#This Row],[Fetal Sex (Male, Female or Unknown)]]="Unknown",Backend!$C$8,"Error"))),"")</f>
        <v/>
      </c>
      <c r="F4662" s="8" t="str">
        <f>IF(Table1[[#This Row],[Is Data Valid]]=TRUE,EXP(0.578+0.332*((Table1[[#This Row],[Gestation (days)]]+0.5)/7)-0.00354*((Table1[[#This Row],[Gestation (days)]]+0.5)/7)^2)*Table1[[#This Row],[BW40_3705]],"")</f>
        <v/>
      </c>
      <c r="G4662" s="2" t="str">
        <f>IF(Table1[[#This Row],[Is Data Valid]]=TRUE,((Table1[[#This Row],[Birthweight (grams)]]/Table1[[#This Row],[BW_GA]])-1)/(Backend!$B$4/100*Table1[[#This Row],[BW40_3705]]),"")</f>
        <v/>
      </c>
      <c r="H4662" s="7" t="str">
        <f>IF(Table1[[#This Row],[Is Data Valid]]=TRUE,((Table1[[#This Row],[Birthweight (grams)]]*0.9/Table1[[#This Row],[BW_GA]])-1)/(Backend!$B$4/100*Table1[[#This Row],[BW40_3705]]),"")</f>
        <v/>
      </c>
      <c r="I4662" s="7" t="str">
        <f>IF(Table1[[#This Row],[Is Data Valid]]=TRUE,((Table1[[#This Row],[Birthweight (grams)]]*1.1/Table1[[#This Row],[BW_GA]])-1)/(Backend!$B$4/100*Table1[[#This Row],[BW40_3705]]),"")</f>
        <v/>
      </c>
      <c r="J4662" s="7" t="str">
        <f>IF(Table1[[#This Row],[Is Data Valid]]=TRUE,_xlfn.NORM.S.DIST(Table1[[#This Row],[Birthweight Z-Score]],TRUE)*100,"")</f>
        <v/>
      </c>
      <c r="K4662" s="7" t="str">
        <f>IF(Table1[[#This Row],[Is Data Valid]]=TRUE,_xlfn.NORM.S.DIST(Table1[[#This Row],[Birthweight Z-Score (BW-10%)]],TRUE)*100,"")</f>
        <v/>
      </c>
      <c r="L4662" s="7" t="str">
        <f>IF(Table1[[#This Row],[Is Data Valid]]=TRUE,_xlfn.NORM.S.DIST(Table1[[#This Row],[Birthweight Z-Score (BW+10%)]],TRUE)*100,"")</f>
        <v/>
      </c>
    </row>
    <row r="4663" spans="1:12" x14ac:dyDescent="0.35">
      <c r="A4663" s="3"/>
      <c r="B4663" s="2"/>
      <c r="C4663" s="2"/>
      <c r="D4663" s="2" t="b">
        <f>IF(AND(NOT(ISBLANK(Table1[[#This Row],[Fetal Sex (Male, Female or Unknown)]])),ISNUMBER(Table1[[#This Row],[Birthweight (grams)]]),ISNUMBER(Table1[[#This Row],[Gestation (days)]])),TRUE,FALSE)</f>
        <v>0</v>
      </c>
      <c r="E4663" s="2" t="str">
        <f>IF(Table1[[#This Row],[Is Data Valid]]=TRUE,IF(Table1[[#This Row],[Fetal Sex (Male, Female or Unknown)]]="Male",Backend!$C$6,IF(Table1[[#This Row],[Fetal Sex (Male, Female or Unknown)]]="Female",Backend!$C$7,IF(Table1[[#This Row],[Fetal Sex (Male, Female or Unknown)]]="Unknown",Backend!$C$8,"Error"))),"")</f>
        <v/>
      </c>
      <c r="F4663" s="8" t="str">
        <f>IF(Table1[[#This Row],[Is Data Valid]]=TRUE,EXP(0.578+0.332*((Table1[[#This Row],[Gestation (days)]]+0.5)/7)-0.00354*((Table1[[#This Row],[Gestation (days)]]+0.5)/7)^2)*Table1[[#This Row],[BW40_3705]],"")</f>
        <v/>
      </c>
      <c r="G4663" s="2" t="str">
        <f>IF(Table1[[#This Row],[Is Data Valid]]=TRUE,((Table1[[#This Row],[Birthweight (grams)]]/Table1[[#This Row],[BW_GA]])-1)/(Backend!$B$4/100*Table1[[#This Row],[BW40_3705]]),"")</f>
        <v/>
      </c>
      <c r="H4663" s="7" t="str">
        <f>IF(Table1[[#This Row],[Is Data Valid]]=TRUE,((Table1[[#This Row],[Birthweight (grams)]]*0.9/Table1[[#This Row],[BW_GA]])-1)/(Backend!$B$4/100*Table1[[#This Row],[BW40_3705]]),"")</f>
        <v/>
      </c>
      <c r="I4663" s="7" t="str">
        <f>IF(Table1[[#This Row],[Is Data Valid]]=TRUE,((Table1[[#This Row],[Birthweight (grams)]]*1.1/Table1[[#This Row],[BW_GA]])-1)/(Backend!$B$4/100*Table1[[#This Row],[BW40_3705]]),"")</f>
        <v/>
      </c>
      <c r="J4663" s="7" t="str">
        <f>IF(Table1[[#This Row],[Is Data Valid]]=TRUE,_xlfn.NORM.S.DIST(Table1[[#This Row],[Birthweight Z-Score]],TRUE)*100,"")</f>
        <v/>
      </c>
      <c r="K4663" s="7" t="str">
        <f>IF(Table1[[#This Row],[Is Data Valid]]=TRUE,_xlfn.NORM.S.DIST(Table1[[#This Row],[Birthweight Z-Score (BW-10%)]],TRUE)*100,"")</f>
        <v/>
      </c>
      <c r="L4663" s="7" t="str">
        <f>IF(Table1[[#This Row],[Is Data Valid]]=TRUE,_xlfn.NORM.S.DIST(Table1[[#This Row],[Birthweight Z-Score (BW+10%)]],TRUE)*100,"")</f>
        <v/>
      </c>
    </row>
    <row r="4664" spans="1:12" x14ac:dyDescent="0.35">
      <c r="A4664" s="3"/>
      <c r="B4664" s="2"/>
      <c r="C4664" s="2"/>
      <c r="D4664" s="2" t="b">
        <f>IF(AND(NOT(ISBLANK(Table1[[#This Row],[Fetal Sex (Male, Female or Unknown)]])),ISNUMBER(Table1[[#This Row],[Birthweight (grams)]]),ISNUMBER(Table1[[#This Row],[Gestation (days)]])),TRUE,FALSE)</f>
        <v>0</v>
      </c>
      <c r="E4664" s="2" t="str">
        <f>IF(Table1[[#This Row],[Is Data Valid]]=TRUE,IF(Table1[[#This Row],[Fetal Sex (Male, Female or Unknown)]]="Male",Backend!$C$6,IF(Table1[[#This Row],[Fetal Sex (Male, Female or Unknown)]]="Female",Backend!$C$7,IF(Table1[[#This Row],[Fetal Sex (Male, Female or Unknown)]]="Unknown",Backend!$C$8,"Error"))),"")</f>
        <v/>
      </c>
      <c r="F4664" s="8" t="str">
        <f>IF(Table1[[#This Row],[Is Data Valid]]=TRUE,EXP(0.578+0.332*((Table1[[#This Row],[Gestation (days)]]+0.5)/7)-0.00354*((Table1[[#This Row],[Gestation (days)]]+0.5)/7)^2)*Table1[[#This Row],[BW40_3705]],"")</f>
        <v/>
      </c>
      <c r="G4664" s="2" t="str">
        <f>IF(Table1[[#This Row],[Is Data Valid]]=TRUE,((Table1[[#This Row],[Birthweight (grams)]]/Table1[[#This Row],[BW_GA]])-1)/(Backend!$B$4/100*Table1[[#This Row],[BW40_3705]]),"")</f>
        <v/>
      </c>
      <c r="H4664" s="7" t="str">
        <f>IF(Table1[[#This Row],[Is Data Valid]]=TRUE,((Table1[[#This Row],[Birthweight (grams)]]*0.9/Table1[[#This Row],[BW_GA]])-1)/(Backend!$B$4/100*Table1[[#This Row],[BW40_3705]]),"")</f>
        <v/>
      </c>
      <c r="I4664" s="7" t="str">
        <f>IF(Table1[[#This Row],[Is Data Valid]]=TRUE,((Table1[[#This Row],[Birthweight (grams)]]*1.1/Table1[[#This Row],[BW_GA]])-1)/(Backend!$B$4/100*Table1[[#This Row],[BW40_3705]]),"")</f>
        <v/>
      </c>
      <c r="J4664" s="7" t="str">
        <f>IF(Table1[[#This Row],[Is Data Valid]]=TRUE,_xlfn.NORM.S.DIST(Table1[[#This Row],[Birthweight Z-Score]],TRUE)*100,"")</f>
        <v/>
      </c>
      <c r="K4664" s="7" t="str">
        <f>IF(Table1[[#This Row],[Is Data Valid]]=TRUE,_xlfn.NORM.S.DIST(Table1[[#This Row],[Birthweight Z-Score (BW-10%)]],TRUE)*100,"")</f>
        <v/>
      </c>
      <c r="L4664" s="7" t="str">
        <f>IF(Table1[[#This Row],[Is Data Valid]]=TRUE,_xlfn.NORM.S.DIST(Table1[[#This Row],[Birthweight Z-Score (BW+10%)]],TRUE)*100,"")</f>
        <v/>
      </c>
    </row>
    <row r="4665" spans="1:12" x14ac:dyDescent="0.35">
      <c r="A4665" s="3"/>
      <c r="B4665" s="2"/>
      <c r="C4665" s="2"/>
      <c r="D4665" s="2" t="b">
        <f>IF(AND(NOT(ISBLANK(Table1[[#This Row],[Fetal Sex (Male, Female or Unknown)]])),ISNUMBER(Table1[[#This Row],[Birthweight (grams)]]),ISNUMBER(Table1[[#This Row],[Gestation (days)]])),TRUE,FALSE)</f>
        <v>0</v>
      </c>
      <c r="E4665" s="2" t="str">
        <f>IF(Table1[[#This Row],[Is Data Valid]]=TRUE,IF(Table1[[#This Row],[Fetal Sex (Male, Female or Unknown)]]="Male",Backend!$C$6,IF(Table1[[#This Row],[Fetal Sex (Male, Female or Unknown)]]="Female",Backend!$C$7,IF(Table1[[#This Row],[Fetal Sex (Male, Female or Unknown)]]="Unknown",Backend!$C$8,"Error"))),"")</f>
        <v/>
      </c>
      <c r="F4665" s="8" t="str">
        <f>IF(Table1[[#This Row],[Is Data Valid]]=TRUE,EXP(0.578+0.332*((Table1[[#This Row],[Gestation (days)]]+0.5)/7)-0.00354*((Table1[[#This Row],[Gestation (days)]]+0.5)/7)^2)*Table1[[#This Row],[BW40_3705]],"")</f>
        <v/>
      </c>
      <c r="G4665" s="2" t="str">
        <f>IF(Table1[[#This Row],[Is Data Valid]]=TRUE,((Table1[[#This Row],[Birthweight (grams)]]/Table1[[#This Row],[BW_GA]])-1)/(Backend!$B$4/100*Table1[[#This Row],[BW40_3705]]),"")</f>
        <v/>
      </c>
      <c r="H4665" s="7" t="str">
        <f>IF(Table1[[#This Row],[Is Data Valid]]=TRUE,((Table1[[#This Row],[Birthweight (grams)]]*0.9/Table1[[#This Row],[BW_GA]])-1)/(Backend!$B$4/100*Table1[[#This Row],[BW40_3705]]),"")</f>
        <v/>
      </c>
      <c r="I4665" s="7" t="str">
        <f>IF(Table1[[#This Row],[Is Data Valid]]=TRUE,((Table1[[#This Row],[Birthweight (grams)]]*1.1/Table1[[#This Row],[BW_GA]])-1)/(Backend!$B$4/100*Table1[[#This Row],[BW40_3705]]),"")</f>
        <v/>
      </c>
      <c r="J4665" s="7" t="str">
        <f>IF(Table1[[#This Row],[Is Data Valid]]=TRUE,_xlfn.NORM.S.DIST(Table1[[#This Row],[Birthweight Z-Score]],TRUE)*100,"")</f>
        <v/>
      </c>
      <c r="K4665" s="7" t="str">
        <f>IF(Table1[[#This Row],[Is Data Valid]]=TRUE,_xlfn.NORM.S.DIST(Table1[[#This Row],[Birthweight Z-Score (BW-10%)]],TRUE)*100,"")</f>
        <v/>
      </c>
      <c r="L4665" s="7" t="str">
        <f>IF(Table1[[#This Row],[Is Data Valid]]=TRUE,_xlfn.NORM.S.DIST(Table1[[#This Row],[Birthweight Z-Score (BW+10%)]],TRUE)*100,"")</f>
        <v/>
      </c>
    </row>
    <row r="4666" spans="1:12" x14ac:dyDescent="0.35">
      <c r="A4666" s="3"/>
      <c r="B4666" s="2"/>
      <c r="C4666" s="2"/>
      <c r="D4666" s="2" t="b">
        <f>IF(AND(NOT(ISBLANK(Table1[[#This Row],[Fetal Sex (Male, Female or Unknown)]])),ISNUMBER(Table1[[#This Row],[Birthweight (grams)]]),ISNUMBER(Table1[[#This Row],[Gestation (days)]])),TRUE,FALSE)</f>
        <v>0</v>
      </c>
      <c r="E4666" s="2" t="str">
        <f>IF(Table1[[#This Row],[Is Data Valid]]=TRUE,IF(Table1[[#This Row],[Fetal Sex (Male, Female or Unknown)]]="Male",Backend!$C$6,IF(Table1[[#This Row],[Fetal Sex (Male, Female or Unknown)]]="Female",Backend!$C$7,IF(Table1[[#This Row],[Fetal Sex (Male, Female or Unknown)]]="Unknown",Backend!$C$8,"Error"))),"")</f>
        <v/>
      </c>
      <c r="F4666" s="8" t="str">
        <f>IF(Table1[[#This Row],[Is Data Valid]]=TRUE,EXP(0.578+0.332*((Table1[[#This Row],[Gestation (days)]]+0.5)/7)-0.00354*((Table1[[#This Row],[Gestation (days)]]+0.5)/7)^2)*Table1[[#This Row],[BW40_3705]],"")</f>
        <v/>
      </c>
      <c r="G4666" s="2" t="str">
        <f>IF(Table1[[#This Row],[Is Data Valid]]=TRUE,((Table1[[#This Row],[Birthweight (grams)]]/Table1[[#This Row],[BW_GA]])-1)/(Backend!$B$4/100*Table1[[#This Row],[BW40_3705]]),"")</f>
        <v/>
      </c>
      <c r="H4666" s="7" t="str">
        <f>IF(Table1[[#This Row],[Is Data Valid]]=TRUE,((Table1[[#This Row],[Birthweight (grams)]]*0.9/Table1[[#This Row],[BW_GA]])-1)/(Backend!$B$4/100*Table1[[#This Row],[BW40_3705]]),"")</f>
        <v/>
      </c>
      <c r="I4666" s="7" t="str">
        <f>IF(Table1[[#This Row],[Is Data Valid]]=TRUE,((Table1[[#This Row],[Birthweight (grams)]]*1.1/Table1[[#This Row],[BW_GA]])-1)/(Backend!$B$4/100*Table1[[#This Row],[BW40_3705]]),"")</f>
        <v/>
      </c>
      <c r="J4666" s="7" t="str">
        <f>IF(Table1[[#This Row],[Is Data Valid]]=TRUE,_xlfn.NORM.S.DIST(Table1[[#This Row],[Birthweight Z-Score]],TRUE)*100,"")</f>
        <v/>
      </c>
      <c r="K4666" s="7" t="str">
        <f>IF(Table1[[#This Row],[Is Data Valid]]=TRUE,_xlfn.NORM.S.DIST(Table1[[#This Row],[Birthweight Z-Score (BW-10%)]],TRUE)*100,"")</f>
        <v/>
      </c>
      <c r="L4666" s="7" t="str">
        <f>IF(Table1[[#This Row],[Is Data Valid]]=TRUE,_xlfn.NORM.S.DIST(Table1[[#This Row],[Birthweight Z-Score (BW+10%)]],TRUE)*100,"")</f>
        <v/>
      </c>
    </row>
    <row r="4667" spans="1:12" x14ac:dyDescent="0.35">
      <c r="A4667" s="3"/>
      <c r="B4667" s="2"/>
      <c r="C4667" s="2"/>
      <c r="D4667" s="2" t="b">
        <f>IF(AND(NOT(ISBLANK(Table1[[#This Row],[Fetal Sex (Male, Female or Unknown)]])),ISNUMBER(Table1[[#This Row],[Birthweight (grams)]]),ISNUMBER(Table1[[#This Row],[Gestation (days)]])),TRUE,FALSE)</f>
        <v>0</v>
      </c>
      <c r="E4667" s="2" t="str">
        <f>IF(Table1[[#This Row],[Is Data Valid]]=TRUE,IF(Table1[[#This Row],[Fetal Sex (Male, Female or Unknown)]]="Male",Backend!$C$6,IF(Table1[[#This Row],[Fetal Sex (Male, Female or Unknown)]]="Female",Backend!$C$7,IF(Table1[[#This Row],[Fetal Sex (Male, Female or Unknown)]]="Unknown",Backend!$C$8,"Error"))),"")</f>
        <v/>
      </c>
      <c r="F4667" s="8" t="str">
        <f>IF(Table1[[#This Row],[Is Data Valid]]=TRUE,EXP(0.578+0.332*((Table1[[#This Row],[Gestation (days)]]+0.5)/7)-0.00354*((Table1[[#This Row],[Gestation (days)]]+0.5)/7)^2)*Table1[[#This Row],[BW40_3705]],"")</f>
        <v/>
      </c>
      <c r="G4667" s="2" t="str">
        <f>IF(Table1[[#This Row],[Is Data Valid]]=TRUE,((Table1[[#This Row],[Birthweight (grams)]]/Table1[[#This Row],[BW_GA]])-1)/(Backend!$B$4/100*Table1[[#This Row],[BW40_3705]]),"")</f>
        <v/>
      </c>
      <c r="H4667" s="7" t="str">
        <f>IF(Table1[[#This Row],[Is Data Valid]]=TRUE,((Table1[[#This Row],[Birthweight (grams)]]*0.9/Table1[[#This Row],[BW_GA]])-1)/(Backend!$B$4/100*Table1[[#This Row],[BW40_3705]]),"")</f>
        <v/>
      </c>
      <c r="I4667" s="7" t="str">
        <f>IF(Table1[[#This Row],[Is Data Valid]]=TRUE,((Table1[[#This Row],[Birthweight (grams)]]*1.1/Table1[[#This Row],[BW_GA]])-1)/(Backend!$B$4/100*Table1[[#This Row],[BW40_3705]]),"")</f>
        <v/>
      </c>
      <c r="J4667" s="7" t="str">
        <f>IF(Table1[[#This Row],[Is Data Valid]]=TRUE,_xlfn.NORM.S.DIST(Table1[[#This Row],[Birthweight Z-Score]],TRUE)*100,"")</f>
        <v/>
      </c>
      <c r="K4667" s="7" t="str">
        <f>IF(Table1[[#This Row],[Is Data Valid]]=TRUE,_xlfn.NORM.S.DIST(Table1[[#This Row],[Birthweight Z-Score (BW-10%)]],TRUE)*100,"")</f>
        <v/>
      </c>
      <c r="L4667" s="7" t="str">
        <f>IF(Table1[[#This Row],[Is Data Valid]]=TRUE,_xlfn.NORM.S.DIST(Table1[[#This Row],[Birthweight Z-Score (BW+10%)]],TRUE)*100,"")</f>
        <v/>
      </c>
    </row>
    <row r="4668" spans="1:12" x14ac:dyDescent="0.35">
      <c r="A4668" s="3"/>
      <c r="B4668" s="2"/>
      <c r="C4668" s="2"/>
      <c r="D4668" s="2" t="b">
        <f>IF(AND(NOT(ISBLANK(Table1[[#This Row],[Fetal Sex (Male, Female or Unknown)]])),ISNUMBER(Table1[[#This Row],[Birthweight (grams)]]),ISNUMBER(Table1[[#This Row],[Gestation (days)]])),TRUE,FALSE)</f>
        <v>0</v>
      </c>
      <c r="E4668" s="2" t="str">
        <f>IF(Table1[[#This Row],[Is Data Valid]]=TRUE,IF(Table1[[#This Row],[Fetal Sex (Male, Female or Unknown)]]="Male",Backend!$C$6,IF(Table1[[#This Row],[Fetal Sex (Male, Female or Unknown)]]="Female",Backend!$C$7,IF(Table1[[#This Row],[Fetal Sex (Male, Female or Unknown)]]="Unknown",Backend!$C$8,"Error"))),"")</f>
        <v/>
      </c>
      <c r="F4668" s="8" t="str">
        <f>IF(Table1[[#This Row],[Is Data Valid]]=TRUE,EXP(0.578+0.332*((Table1[[#This Row],[Gestation (days)]]+0.5)/7)-0.00354*((Table1[[#This Row],[Gestation (days)]]+0.5)/7)^2)*Table1[[#This Row],[BW40_3705]],"")</f>
        <v/>
      </c>
      <c r="G4668" s="2" t="str">
        <f>IF(Table1[[#This Row],[Is Data Valid]]=TRUE,((Table1[[#This Row],[Birthweight (grams)]]/Table1[[#This Row],[BW_GA]])-1)/(Backend!$B$4/100*Table1[[#This Row],[BW40_3705]]),"")</f>
        <v/>
      </c>
      <c r="H4668" s="7" t="str">
        <f>IF(Table1[[#This Row],[Is Data Valid]]=TRUE,((Table1[[#This Row],[Birthweight (grams)]]*0.9/Table1[[#This Row],[BW_GA]])-1)/(Backend!$B$4/100*Table1[[#This Row],[BW40_3705]]),"")</f>
        <v/>
      </c>
      <c r="I4668" s="7" t="str">
        <f>IF(Table1[[#This Row],[Is Data Valid]]=TRUE,((Table1[[#This Row],[Birthweight (grams)]]*1.1/Table1[[#This Row],[BW_GA]])-1)/(Backend!$B$4/100*Table1[[#This Row],[BW40_3705]]),"")</f>
        <v/>
      </c>
      <c r="J4668" s="7" t="str">
        <f>IF(Table1[[#This Row],[Is Data Valid]]=TRUE,_xlfn.NORM.S.DIST(Table1[[#This Row],[Birthweight Z-Score]],TRUE)*100,"")</f>
        <v/>
      </c>
      <c r="K4668" s="7" t="str">
        <f>IF(Table1[[#This Row],[Is Data Valid]]=TRUE,_xlfn.NORM.S.DIST(Table1[[#This Row],[Birthweight Z-Score (BW-10%)]],TRUE)*100,"")</f>
        <v/>
      </c>
      <c r="L4668" s="7" t="str">
        <f>IF(Table1[[#This Row],[Is Data Valid]]=TRUE,_xlfn.NORM.S.DIST(Table1[[#This Row],[Birthweight Z-Score (BW+10%)]],TRUE)*100,"")</f>
        <v/>
      </c>
    </row>
    <row r="4669" spans="1:12" x14ac:dyDescent="0.35">
      <c r="A4669" s="3"/>
      <c r="B4669" s="2"/>
      <c r="C4669" s="2"/>
      <c r="D4669" s="2" t="b">
        <f>IF(AND(NOT(ISBLANK(Table1[[#This Row],[Fetal Sex (Male, Female or Unknown)]])),ISNUMBER(Table1[[#This Row],[Birthweight (grams)]]),ISNUMBER(Table1[[#This Row],[Gestation (days)]])),TRUE,FALSE)</f>
        <v>0</v>
      </c>
      <c r="E4669" s="2" t="str">
        <f>IF(Table1[[#This Row],[Is Data Valid]]=TRUE,IF(Table1[[#This Row],[Fetal Sex (Male, Female or Unknown)]]="Male",Backend!$C$6,IF(Table1[[#This Row],[Fetal Sex (Male, Female or Unknown)]]="Female",Backend!$C$7,IF(Table1[[#This Row],[Fetal Sex (Male, Female or Unknown)]]="Unknown",Backend!$C$8,"Error"))),"")</f>
        <v/>
      </c>
      <c r="F4669" s="8" t="str">
        <f>IF(Table1[[#This Row],[Is Data Valid]]=TRUE,EXP(0.578+0.332*((Table1[[#This Row],[Gestation (days)]]+0.5)/7)-0.00354*((Table1[[#This Row],[Gestation (days)]]+0.5)/7)^2)*Table1[[#This Row],[BW40_3705]],"")</f>
        <v/>
      </c>
      <c r="G4669" s="2" t="str">
        <f>IF(Table1[[#This Row],[Is Data Valid]]=TRUE,((Table1[[#This Row],[Birthweight (grams)]]/Table1[[#This Row],[BW_GA]])-1)/(Backend!$B$4/100*Table1[[#This Row],[BW40_3705]]),"")</f>
        <v/>
      </c>
      <c r="H4669" s="7" t="str">
        <f>IF(Table1[[#This Row],[Is Data Valid]]=TRUE,((Table1[[#This Row],[Birthweight (grams)]]*0.9/Table1[[#This Row],[BW_GA]])-1)/(Backend!$B$4/100*Table1[[#This Row],[BW40_3705]]),"")</f>
        <v/>
      </c>
      <c r="I4669" s="7" t="str">
        <f>IF(Table1[[#This Row],[Is Data Valid]]=TRUE,((Table1[[#This Row],[Birthweight (grams)]]*1.1/Table1[[#This Row],[BW_GA]])-1)/(Backend!$B$4/100*Table1[[#This Row],[BW40_3705]]),"")</f>
        <v/>
      </c>
      <c r="J4669" s="7" t="str">
        <f>IF(Table1[[#This Row],[Is Data Valid]]=TRUE,_xlfn.NORM.S.DIST(Table1[[#This Row],[Birthweight Z-Score]],TRUE)*100,"")</f>
        <v/>
      </c>
      <c r="K4669" s="7" t="str">
        <f>IF(Table1[[#This Row],[Is Data Valid]]=TRUE,_xlfn.NORM.S.DIST(Table1[[#This Row],[Birthweight Z-Score (BW-10%)]],TRUE)*100,"")</f>
        <v/>
      </c>
      <c r="L4669" s="7" t="str">
        <f>IF(Table1[[#This Row],[Is Data Valid]]=TRUE,_xlfn.NORM.S.DIST(Table1[[#This Row],[Birthweight Z-Score (BW+10%)]],TRUE)*100,"")</f>
        <v/>
      </c>
    </row>
    <row r="4670" spans="1:12" x14ac:dyDescent="0.35">
      <c r="A4670" s="3"/>
      <c r="B4670" s="2"/>
      <c r="C4670" s="2"/>
      <c r="D4670" s="2" t="b">
        <f>IF(AND(NOT(ISBLANK(Table1[[#This Row],[Fetal Sex (Male, Female or Unknown)]])),ISNUMBER(Table1[[#This Row],[Birthweight (grams)]]),ISNUMBER(Table1[[#This Row],[Gestation (days)]])),TRUE,FALSE)</f>
        <v>0</v>
      </c>
      <c r="E4670" s="2" t="str">
        <f>IF(Table1[[#This Row],[Is Data Valid]]=TRUE,IF(Table1[[#This Row],[Fetal Sex (Male, Female or Unknown)]]="Male",Backend!$C$6,IF(Table1[[#This Row],[Fetal Sex (Male, Female or Unknown)]]="Female",Backend!$C$7,IF(Table1[[#This Row],[Fetal Sex (Male, Female or Unknown)]]="Unknown",Backend!$C$8,"Error"))),"")</f>
        <v/>
      </c>
      <c r="F4670" s="8" t="str">
        <f>IF(Table1[[#This Row],[Is Data Valid]]=TRUE,EXP(0.578+0.332*((Table1[[#This Row],[Gestation (days)]]+0.5)/7)-0.00354*((Table1[[#This Row],[Gestation (days)]]+0.5)/7)^2)*Table1[[#This Row],[BW40_3705]],"")</f>
        <v/>
      </c>
      <c r="G4670" s="2" t="str">
        <f>IF(Table1[[#This Row],[Is Data Valid]]=TRUE,((Table1[[#This Row],[Birthweight (grams)]]/Table1[[#This Row],[BW_GA]])-1)/(Backend!$B$4/100*Table1[[#This Row],[BW40_3705]]),"")</f>
        <v/>
      </c>
      <c r="H4670" s="7" t="str">
        <f>IF(Table1[[#This Row],[Is Data Valid]]=TRUE,((Table1[[#This Row],[Birthweight (grams)]]*0.9/Table1[[#This Row],[BW_GA]])-1)/(Backend!$B$4/100*Table1[[#This Row],[BW40_3705]]),"")</f>
        <v/>
      </c>
      <c r="I4670" s="7" t="str">
        <f>IF(Table1[[#This Row],[Is Data Valid]]=TRUE,((Table1[[#This Row],[Birthweight (grams)]]*1.1/Table1[[#This Row],[BW_GA]])-1)/(Backend!$B$4/100*Table1[[#This Row],[BW40_3705]]),"")</f>
        <v/>
      </c>
      <c r="J4670" s="7" t="str">
        <f>IF(Table1[[#This Row],[Is Data Valid]]=TRUE,_xlfn.NORM.S.DIST(Table1[[#This Row],[Birthweight Z-Score]],TRUE)*100,"")</f>
        <v/>
      </c>
      <c r="K4670" s="7" t="str">
        <f>IF(Table1[[#This Row],[Is Data Valid]]=TRUE,_xlfn.NORM.S.DIST(Table1[[#This Row],[Birthweight Z-Score (BW-10%)]],TRUE)*100,"")</f>
        <v/>
      </c>
      <c r="L4670" s="7" t="str">
        <f>IF(Table1[[#This Row],[Is Data Valid]]=TRUE,_xlfn.NORM.S.DIST(Table1[[#This Row],[Birthweight Z-Score (BW+10%)]],TRUE)*100,"")</f>
        <v/>
      </c>
    </row>
    <row r="4671" spans="1:12" x14ac:dyDescent="0.35">
      <c r="A4671" s="3"/>
      <c r="B4671" s="2"/>
      <c r="C4671" s="2"/>
      <c r="D4671" s="2" t="b">
        <f>IF(AND(NOT(ISBLANK(Table1[[#This Row],[Fetal Sex (Male, Female or Unknown)]])),ISNUMBER(Table1[[#This Row],[Birthweight (grams)]]),ISNUMBER(Table1[[#This Row],[Gestation (days)]])),TRUE,FALSE)</f>
        <v>0</v>
      </c>
      <c r="E4671" s="2" t="str">
        <f>IF(Table1[[#This Row],[Is Data Valid]]=TRUE,IF(Table1[[#This Row],[Fetal Sex (Male, Female or Unknown)]]="Male",Backend!$C$6,IF(Table1[[#This Row],[Fetal Sex (Male, Female or Unknown)]]="Female",Backend!$C$7,IF(Table1[[#This Row],[Fetal Sex (Male, Female or Unknown)]]="Unknown",Backend!$C$8,"Error"))),"")</f>
        <v/>
      </c>
      <c r="F4671" s="8" t="str">
        <f>IF(Table1[[#This Row],[Is Data Valid]]=TRUE,EXP(0.578+0.332*((Table1[[#This Row],[Gestation (days)]]+0.5)/7)-0.00354*((Table1[[#This Row],[Gestation (days)]]+0.5)/7)^2)*Table1[[#This Row],[BW40_3705]],"")</f>
        <v/>
      </c>
      <c r="G4671" s="2" t="str">
        <f>IF(Table1[[#This Row],[Is Data Valid]]=TRUE,((Table1[[#This Row],[Birthweight (grams)]]/Table1[[#This Row],[BW_GA]])-1)/(Backend!$B$4/100*Table1[[#This Row],[BW40_3705]]),"")</f>
        <v/>
      </c>
      <c r="H4671" s="7" t="str">
        <f>IF(Table1[[#This Row],[Is Data Valid]]=TRUE,((Table1[[#This Row],[Birthweight (grams)]]*0.9/Table1[[#This Row],[BW_GA]])-1)/(Backend!$B$4/100*Table1[[#This Row],[BW40_3705]]),"")</f>
        <v/>
      </c>
      <c r="I4671" s="7" t="str">
        <f>IF(Table1[[#This Row],[Is Data Valid]]=TRUE,((Table1[[#This Row],[Birthweight (grams)]]*1.1/Table1[[#This Row],[BW_GA]])-1)/(Backend!$B$4/100*Table1[[#This Row],[BW40_3705]]),"")</f>
        <v/>
      </c>
      <c r="J4671" s="7" t="str">
        <f>IF(Table1[[#This Row],[Is Data Valid]]=TRUE,_xlfn.NORM.S.DIST(Table1[[#This Row],[Birthweight Z-Score]],TRUE)*100,"")</f>
        <v/>
      </c>
      <c r="K4671" s="7" t="str">
        <f>IF(Table1[[#This Row],[Is Data Valid]]=TRUE,_xlfn.NORM.S.DIST(Table1[[#This Row],[Birthweight Z-Score (BW-10%)]],TRUE)*100,"")</f>
        <v/>
      </c>
      <c r="L4671" s="7" t="str">
        <f>IF(Table1[[#This Row],[Is Data Valid]]=TRUE,_xlfn.NORM.S.DIST(Table1[[#This Row],[Birthweight Z-Score (BW+10%)]],TRUE)*100,"")</f>
        <v/>
      </c>
    </row>
    <row r="4672" spans="1:12" x14ac:dyDescent="0.35">
      <c r="A4672" s="3"/>
      <c r="B4672" s="2"/>
      <c r="C4672" s="2"/>
      <c r="D4672" s="2" t="b">
        <f>IF(AND(NOT(ISBLANK(Table1[[#This Row],[Fetal Sex (Male, Female or Unknown)]])),ISNUMBER(Table1[[#This Row],[Birthweight (grams)]]),ISNUMBER(Table1[[#This Row],[Gestation (days)]])),TRUE,FALSE)</f>
        <v>0</v>
      </c>
      <c r="E4672" s="2" t="str">
        <f>IF(Table1[[#This Row],[Is Data Valid]]=TRUE,IF(Table1[[#This Row],[Fetal Sex (Male, Female or Unknown)]]="Male",Backend!$C$6,IF(Table1[[#This Row],[Fetal Sex (Male, Female or Unknown)]]="Female",Backend!$C$7,IF(Table1[[#This Row],[Fetal Sex (Male, Female or Unknown)]]="Unknown",Backend!$C$8,"Error"))),"")</f>
        <v/>
      </c>
      <c r="F4672" s="8" t="str">
        <f>IF(Table1[[#This Row],[Is Data Valid]]=TRUE,EXP(0.578+0.332*((Table1[[#This Row],[Gestation (days)]]+0.5)/7)-0.00354*((Table1[[#This Row],[Gestation (days)]]+0.5)/7)^2)*Table1[[#This Row],[BW40_3705]],"")</f>
        <v/>
      </c>
      <c r="G4672" s="2" t="str">
        <f>IF(Table1[[#This Row],[Is Data Valid]]=TRUE,((Table1[[#This Row],[Birthweight (grams)]]/Table1[[#This Row],[BW_GA]])-1)/(Backend!$B$4/100*Table1[[#This Row],[BW40_3705]]),"")</f>
        <v/>
      </c>
      <c r="H4672" s="7" t="str">
        <f>IF(Table1[[#This Row],[Is Data Valid]]=TRUE,((Table1[[#This Row],[Birthweight (grams)]]*0.9/Table1[[#This Row],[BW_GA]])-1)/(Backend!$B$4/100*Table1[[#This Row],[BW40_3705]]),"")</f>
        <v/>
      </c>
      <c r="I4672" s="7" t="str">
        <f>IF(Table1[[#This Row],[Is Data Valid]]=TRUE,((Table1[[#This Row],[Birthweight (grams)]]*1.1/Table1[[#This Row],[BW_GA]])-1)/(Backend!$B$4/100*Table1[[#This Row],[BW40_3705]]),"")</f>
        <v/>
      </c>
      <c r="J4672" s="7" t="str">
        <f>IF(Table1[[#This Row],[Is Data Valid]]=TRUE,_xlfn.NORM.S.DIST(Table1[[#This Row],[Birthweight Z-Score]],TRUE)*100,"")</f>
        <v/>
      </c>
      <c r="K4672" s="7" t="str">
        <f>IF(Table1[[#This Row],[Is Data Valid]]=TRUE,_xlfn.NORM.S.DIST(Table1[[#This Row],[Birthweight Z-Score (BW-10%)]],TRUE)*100,"")</f>
        <v/>
      </c>
      <c r="L4672" s="7" t="str">
        <f>IF(Table1[[#This Row],[Is Data Valid]]=TRUE,_xlfn.NORM.S.DIST(Table1[[#This Row],[Birthweight Z-Score (BW+10%)]],TRUE)*100,"")</f>
        <v/>
      </c>
    </row>
    <row r="4673" spans="1:12" x14ac:dyDescent="0.35">
      <c r="A4673" s="3"/>
      <c r="B4673" s="2"/>
      <c r="C4673" s="2"/>
      <c r="D4673" s="2" t="b">
        <f>IF(AND(NOT(ISBLANK(Table1[[#This Row],[Fetal Sex (Male, Female or Unknown)]])),ISNUMBER(Table1[[#This Row],[Birthweight (grams)]]),ISNUMBER(Table1[[#This Row],[Gestation (days)]])),TRUE,FALSE)</f>
        <v>0</v>
      </c>
      <c r="E4673" s="2" t="str">
        <f>IF(Table1[[#This Row],[Is Data Valid]]=TRUE,IF(Table1[[#This Row],[Fetal Sex (Male, Female or Unknown)]]="Male",Backend!$C$6,IF(Table1[[#This Row],[Fetal Sex (Male, Female or Unknown)]]="Female",Backend!$C$7,IF(Table1[[#This Row],[Fetal Sex (Male, Female or Unknown)]]="Unknown",Backend!$C$8,"Error"))),"")</f>
        <v/>
      </c>
      <c r="F4673" s="8" t="str">
        <f>IF(Table1[[#This Row],[Is Data Valid]]=TRUE,EXP(0.578+0.332*((Table1[[#This Row],[Gestation (days)]]+0.5)/7)-0.00354*((Table1[[#This Row],[Gestation (days)]]+0.5)/7)^2)*Table1[[#This Row],[BW40_3705]],"")</f>
        <v/>
      </c>
      <c r="G4673" s="2" t="str">
        <f>IF(Table1[[#This Row],[Is Data Valid]]=TRUE,((Table1[[#This Row],[Birthweight (grams)]]/Table1[[#This Row],[BW_GA]])-1)/(Backend!$B$4/100*Table1[[#This Row],[BW40_3705]]),"")</f>
        <v/>
      </c>
      <c r="H4673" s="7" t="str">
        <f>IF(Table1[[#This Row],[Is Data Valid]]=TRUE,((Table1[[#This Row],[Birthweight (grams)]]*0.9/Table1[[#This Row],[BW_GA]])-1)/(Backend!$B$4/100*Table1[[#This Row],[BW40_3705]]),"")</f>
        <v/>
      </c>
      <c r="I4673" s="7" t="str">
        <f>IF(Table1[[#This Row],[Is Data Valid]]=TRUE,((Table1[[#This Row],[Birthweight (grams)]]*1.1/Table1[[#This Row],[BW_GA]])-1)/(Backend!$B$4/100*Table1[[#This Row],[BW40_3705]]),"")</f>
        <v/>
      </c>
      <c r="J4673" s="7" t="str">
        <f>IF(Table1[[#This Row],[Is Data Valid]]=TRUE,_xlfn.NORM.S.DIST(Table1[[#This Row],[Birthweight Z-Score]],TRUE)*100,"")</f>
        <v/>
      </c>
      <c r="K4673" s="7" t="str">
        <f>IF(Table1[[#This Row],[Is Data Valid]]=TRUE,_xlfn.NORM.S.DIST(Table1[[#This Row],[Birthweight Z-Score (BW-10%)]],TRUE)*100,"")</f>
        <v/>
      </c>
      <c r="L4673" s="7" t="str">
        <f>IF(Table1[[#This Row],[Is Data Valid]]=TRUE,_xlfn.NORM.S.DIST(Table1[[#This Row],[Birthweight Z-Score (BW+10%)]],TRUE)*100,"")</f>
        <v/>
      </c>
    </row>
    <row r="4674" spans="1:12" x14ac:dyDescent="0.35">
      <c r="A4674" s="3"/>
      <c r="B4674" s="2"/>
      <c r="C4674" s="2"/>
      <c r="D4674" s="2" t="b">
        <f>IF(AND(NOT(ISBLANK(Table1[[#This Row],[Fetal Sex (Male, Female or Unknown)]])),ISNUMBER(Table1[[#This Row],[Birthweight (grams)]]),ISNUMBER(Table1[[#This Row],[Gestation (days)]])),TRUE,FALSE)</f>
        <v>0</v>
      </c>
      <c r="E4674" s="2" t="str">
        <f>IF(Table1[[#This Row],[Is Data Valid]]=TRUE,IF(Table1[[#This Row],[Fetal Sex (Male, Female or Unknown)]]="Male",Backend!$C$6,IF(Table1[[#This Row],[Fetal Sex (Male, Female or Unknown)]]="Female",Backend!$C$7,IF(Table1[[#This Row],[Fetal Sex (Male, Female or Unknown)]]="Unknown",Backend!$C$8,"Error"))),"")</f>
        <v/>
      </c>
      <c r="F4674" s="8" t="str">
        <f>IF(Table1[[#This Row],[Is Data Valid]]=TRUE,EXP(0.578+0.332*((Table1[[#This Row],[Gestation (days)]]+0.5)/7)-0.00354*((Table1[[#This Row],[Gestation (days)]]+0.5)/7)^2)*Table1[[#This Row],[BW40_3705]],"")</f>
        <v/>
      </c>
      <c r="G4674" s="2" t="str">
        <f>IF(Table1[[#This Row],[Is Data Valid]]=TRUE,((Table1[[#This Row],[Birthweight (grams)]]/Table1[[#This Row],[BW_GA]])-1)/(Backend!$B$4/100*Table1[[#This Row],[BW40_3705]]),"")</f>
        <v/>
      </c>
      <c r="H4674" s="7" t="str">
        <f>IF(Table1[[#This Row],[Is Data Valid]]=TRUE,((Table1[[#This Row],[Birthweight (grams)]]*0.9/Table1[[#This Row],[BW_GA]])-1)/(Backend!$B$4/100*Table1[[#This Row],[BW40_3705]]),"")</f>
        <v/>
      </c>
      <c r="I4674" s="7" t="str">
        <f>IF(Table1[[#This Row],[Is Data Valid]]=TRUE,((Table1[[#This Row],[Birthweight (grams)]]*1.1/Table1[[#This Row],[BW_GA]])-1)/(Backend!$B$4/100*Table1[[#This Row],[BW40_3705]]),"")</f>
        <v/>
      </c>
      <c r="J4674" s="7" t="str">
        <f>IF(Table1[[#This Row],[Is Data Valid]]=TRUE,_xlfn.NORM.S.DIST(Table1[[#This Row],[Birthweight Z-Score]],TRUE)*100,"")</f>
        <v/>
      </c>
      <c r="K4674" s="7" t="str">
        <f>IF(Table1[[#This Row],[Is Data Valid]]=TRUE,_xlfn.NORM.S.DIST(Table1[[#This Row],[Birthweight Z-Score (BW-10%)]],TRUE)*100,"")</f>
        <v/>
      </c>
      <c r="L4674" s="7" t="str">
        <f>IF(Table1[[#This Row],[Is Data Valid]]=TRUE,_xlfn.NORM.S.DIST(Table1[[#This Row],[Birthweight Z-Score (BW+10%)]],TRUE)*100,"")</f>
        <v/>
      </c>
    </row>
    <row r="4675" spans="1:12" x14ac:dyDescent="0.35">
      <c r="A4675" s="3"/>
      <c r="B4675" s="2"/>
      <c r="C4675" s="2"/>
      <c r="D4675" s="2" t="b">
        <f>IF(AND(NOT(ISBLANK(Table1[[#This Row],[Fetal Sex (Male, Female or Unknown)]])),ISNUMBER(Table1[[#This Row],[Birthweight (grams)]]),ISNUMBER(Table1[[#This Row],[Gestation (days)]])),TRUE,FALSE)</f>
        <v>0</v>
      </c>
      <c r="E4675" s="2" t="str">
        <f>IF(Table1[[#This Row],[Is Data Valid]]=TRUE,IF(Table1[[#This Row],[Fetal Sex (Male, Female or Unknown)]]="Male",Backend!$C$6,IF(Table1[[#This Row],[Fetal Sex (Male, Female or Unknown)]]="Female",Backend!$C$7,IF(Table1[[#This Row],[Fetal Sex (Male, Female or Unknown)]]="Unknown",Backend!$C$8,"Error"))),"")</f>
        <v/>
      </c>
      <c r="F4675" s="8" t="str">
        <f>IF(Table1[[#This Row],[Is Data Valid]]=TRUE,EXP(0.578+0.332*((Table1[[#This Row],[Gestation (days)]]+0.5)/7)-0.00354*((Table1[[#This Row],[Gestation (days)]]+0.5)/7)^2)*Table1[[#This Row],[BW40_3705]],"")</f>
        <v/>
      </c>
      <c r="G4675" s="2" t="str">
        <f>IF(Table1[[#This Row],[Is Data Valid]]=TRUE,((Table1[[#This Row],[Birthweight (grams)]]/Table1[[#This Row],[BW_GA]])-1)/(Backend!$B$4/100*Table1[[#This Row],[BW40_3705]]),"")</f>
        <v/>
      </c>
      <c r="H4675" s="7" t="str">
        <f>IF(Table1[[#This Row],[Is Data Valid]]=TRUE,((Table1[[#This Row],[Birthweight (grams)]]*0.9/Table1[[#This Row],[BW_GA]])-1)/(Backend!$B$4/100*Table1[[#This Row],[BW40_3705]]),"")</f>
        <v/>
      </c>
      <c r="I4675" s="7" t="str">
        <f>IF(Table1[[#This Row],[Is Data Valid]]=TRUE,((Table1[[#This Row],[Birthweight (grams)]]*1.1/Table1[[#This Row],[BW_GA]])-1)/(Backend!$B$4/100*Table1[[#This Row],[BW40_3705]]),"")</f>
        <v/>
      </c>
      <c r="J4675" s="7" t="str">
        <f>IF(Table1[[#This Row],[Is Data Valid]]=TRUE,_xlfn.NORM.S.DIST(Table1[[#This Row],[Birthweight Z-Score]],TRUE)*100,"")</f>
        <v/>
      </c>
      <c r="K4675" s="7" t="str">
        <f>IF(Table1[[#This Row],[Is Data Valid]]=TRUE,_xlfn.NORM.S.DIST(Table1[[#This Row],[Birthweight Z-Score (BW-10%)]],TRUE)*100,"")</f>
        <v/>
      </c>
      <c r="L4675" s="7" t="str">
        <f>IF(Table1[[#This Row],[Is Data Valid]]=TRUE,_xlfn.NORM.S.DIST(Table1[[#This Row],[Birthweight Z-Score (BW+10%)]],TRUE)*100,"")</f>
        <v/>
      </c>
    </row>
    <row r="4676" spans="1:12" x14ac:dyDescent="0.35">
      <c r="A4676" s="3"/>
      <c r="B4676" s="2"/>
      <c r="C4676" s="2"/>
      <c r="D4676" s="2" t="b">
        <f>IF(AND(NOT(ISBLANK(Table1[[#This Row],[Fetal Sex (Male, Female or Unknown)]])),ISNUMBER(Table1[[#This Row],[Birthweight (grams)]]),ISNUMBER(Table1[[#This Row],[Gestation (days)]])),TRUE,FALSE)</f>
        <v>0</v>
      </c>
      <c r="E4676" s="2" t="str">
        <f>IF(Table1[[#This Row],[Is Data Valid]]=TRUE,IF(Table1[[#This Row],[Fetal Sex (Male, Female or Unknown)]]="Male",Backend!$C$6,IF(Table1[[#This Row],[Fetal Sex (Male, Female or Unknown)]]="Female",Backend!$C$7,IF(Table1[[#This Row],[Fetal Sex (Male, Female or Unknown)]]="Unknown",Backend!$C$8,"Error"))),"")</f>
        <v/>
      </c>
      <c r="F4676" s="8" t="str">
        <f>IF(Table1[[#This Row],[Is Data Valid]]=TRUE,EXP(0.578+0.332*((Table1[[#This Row],[Gestation (days)]]+0.5)/7)-0.00354*((Table1[[#This Row],[Gestation (days)]]+0.5)/7)^2)*Table1[[#This Row],[BW40_3705]],"")</f>
        <v/>
      </c>
      <c r="G4676" s="2" t="str">
        <f>IF(Table1[[#This Row],[Is Data Valid]]=TRUE,((Table1[[#This Row],[Birthweight (grams)]]/Table1[[#This Row],[BW_GA]])-1)/(Backend!$B$4/100*Table1[[#This Row],[BW40_3705]]),"")</f>
        <v/>
      </c>
      <c r="H4676" s="7" t="str">
        <f>IF(Table1[[#This Row],[Is Data Valid]]=TRUE,((Table1[[#This Row],[Birthweight (grams)]]*0.9/Table1[[#This Row],[BW_GA]])-1)/(Backend!$B$4/100*Table1[[#This Row],[BW40_3705]]),"")</f>
        <v/>
      </c>
      <c r="I4676" s="7" t="str">
        <f>IF(Table1[[#This Row],[Is Data Valid]]=TRUE,((Table1[[#This Row],[Birthweight (grams)]]*1.1/Table1[[#This Row],[BW_GA]])-1)/(Backend!$B$4/100*Table1[[#This Row],[BW40_3705]]),"")</f>
        <v/>
      </c>
      <c r="J4676" s="7" t="str">
        <f>IF(Table1[[#This Row],[Is Data Valid]]=TRUE,_xlfn.NORM.S.DIST(Table1[[#This Row],[Birthweight Z-Score]],TRUE)*100,"")</f>
        <v/>
      </c>
      <c r="K4676" s="7" t="str">
        <f>IF(Table1[[#This Row],[Is Data Valid]]=TRUE,_xlfn.NORM.S.DIST(Table1[[#This Row],[Birthweight Z-Score (BW-10%)]],TRUE)*100,"")</f>
        <v/>
      </c>
      <c r="L4676" s="7" t="str">
        <f>IF(Table1[[#This Row],[Is Data Valid]]=TRUE,_xlfn.NORM.S.DIST(Table1[[#This Row],[Birthweight Z-Score (BW+10%)]],TRUE)*100,"")</f>
        <v/>
      </c>
    </row>
    <row r="4677" spans="1:12" x14ac:dyDescent="0.35">
      <c r="A4677" s="3"/>
      <c r="B4677" s="2"/>
      <c r="C4677" s="2"/>
      <c r="D4677" s="2" t="b">
        <f>IF(AND(NOT(ISBLANK(Table1[[#This Row],[Fetal Sex (Male, Female or Unknown)]])),ISNUMBER(Table1[[#This Row],[Birthweight (grams)]]),ISNUMBER(Table1[[#This Row],[Gestation (days)]])),TRUE,FALSE)</f>
        <v>0</v>
      </c>
      <c r="E4677" s="2" t="str">
        <f>IF(Table1[[#This Row],[Is Data Valid]]=TRUE,IF(Table1[[#This Row],[Fetal Sex (Male, Female or Unknown)]]="Male",Backend!$C$6,IF(Table1[[#This Row],[Fetal Sex (Male, Female or Unknown)]]="Female",Backend!$C$7,IF(Table1[[#This Row],[Fetal Sex (Male, Female or Unknown)]]="Unknown",Backend!$C$8,"Error"))),"")</f>
        <v/>
      </c>
      <c r="F4677" s="8" t="str">
        <f>IF(Table1[[#This Row],[Is Data Valid]]=TRUE,EXP(0.578+0.332*((Table1[[#This Row],[Gestation (days)]]+0.5)/7)-0.00354*((Table1[[#This Row],[Gestation (days)]]+0.5)/7)^2)*Table1[[#This Row],[BW40_3705]],"")</f>
        <v/>
      </c>
      <c r="G4677" s="2" t="str">
        <f>IF(Table1[[#This Row],[Is Data Valid]]=TRUE,((Table1[[#This Row],[Birthweight (grams)]]/Table1[[#This Row],[BW_GA]])-1)/(Backend!$B$4/100*Table1[[#This Row],[BW40_3705]]),"")</f>
        <v/>
      </c>
      <c r="H4677" s="7" t="str">
        <f>IF(Table1[[#This Row],[Is Data Valid]]=TRUE,((Table1[[#This Row],[Birthweight (grams)]]*0.9/Table1[[#This Row],[BW_GA]])-1)/(Backend!$B$4/100*Table1[[#This Row],[BW40_3705]]),"")</f>
        <v/>
      </c>
      <c r="I4677" s="7" t="str">
        <f>IF(Table1[[#This Row],[Is Data Valid]]=TRUE,((Table1[[#This Row],[Birthweight (grams)]]*1.1/Table1[[#This Row],[BW_GA]])-1)/(Backend!$B$4/100*Table1[[#This Row],[BW40_3705]]),"")</f>
        <v/>
      </c>
      <c r="J4677" s="7" t="str">
        <f>IF(Table1[[#This Row],[Is Data Valid]]=TRUE,_xlfn.NORM.S.DIST(Table1[[#This Row],[Birthweight Z-Score]],TRUE)*100,"")</f>
        <v/>
      </c>
      <c r="K4677" s="7" t="str">
        <f>IF(Table1[[#This Row],[Is Data Valid]]=TRUE,_xlfn.NORM.S.DIST(Table1[[#This Row],[Birthweight Z-Score (BW-10%)]],TRUE)*100,"")</f>
        <v/>
      </c>
      <c r="L4677" s="7" t="str">
        <f>IF(Table1[[#This Row],[Is Data Valid]]=TRUE,_xlfn.NORM.S.DIST(Table1[[#This Row],[Birthweight Z-Score (BW+10%)]],TRUE)*100,"")</f>
        <v/>
      </c>
    </row>
    <row r="4678" spans="1:12" x14ac:dyDescent="0.35">
      <c r="A4678" s="3"/>
      <c r="B4678" s="2"/>
      <c r="C4678" s="2"/>
      <c r="D4678" s="2" t="b">
        <f>IF(AND(NOT(ISBLANK(Table1[[#This Row],[Fetal Sex (Male, Female or Unknown)]])),ISNUMBER(Table1[[#This Row],[Birthweight (grams)]]),ISNUMBER(Table1[[#This Row],[Gestation (days)]])),TRUE,FALSE)</f>
        <v>0</v>
      </c>
      <c r="E4678" s="2" t="str">
        <f>IF(Table1[[#This Row],[Is Data Valid]]=TRUE,IF(Table1[[#This Row],[Fetal Sex (Male, Female or Unknown)]]="Male",Backend!$C$6,IF(Table1[[#This Row],[Fetal Sex (Male, Female or Unknown)]]="Female",Backend!$C$7,IF(Table1[[#This Row],[Fetal Sex (Male, Female or Unknown)]]="Unknown",Backend!$C$8,"Error"))),"")</f>
        <v/>
      </c>
      <c r="F4678" s="8" t="str">
        <f>IF(Table1[[#This Row],[Is Data Valid]]=TRUE,EXP(0.578+0.332*((Table1[[#This Row],[Gestation (days)]]+0.5)/7)-0.00354*((Table1[[#This Row],[Gestation (days)]]+0.5)/7)^2)*Table1[[#This Row],[BW40_3705]],"")</f>
        <v/>
      </c>
      <c r="G4678" s="2" t="str">
        <f>IF(Table1[[#This Row],[Is Data Valid]]=TRUE,((Table1[[#This Row],[Birthweight (grams)]]/Table1[[#This Row],[BW_GA]])-1)/(Backend!$B$4/100*Table1[[#This Row],[BW40_3705]]),"")</f>
        <v/>
      </c>
      <c r="H4678" s="7" t="str">
        <f>IF(Table1[[#This Row],[Is Data Valid]]=TRUE,((Table1[[#This Row],[Birthweight (grams)]]*0.9/Table1[[#This Row],[BW_GA]])-1)/(Backend!$B$4/100*Table1[[#This Row],[BW40_3705]]),"")</f>
        <v/>
      </c>
      <c r="I4678" s="7" t="str">
        <f>IF(Table1[[#This Row],[Is Data Valid]]=TRUE,((Table1[[#This Row],[Birthweight (grams)]]*1.1/Table1[[#This Row],[BW_GA]])-1)/(Backend!$B$4/100*Table1[[#This Row],[BW40_3705]]),"")</f>
        <v/>
      </c>
      <c r="J4678" s="7" t="str">
        <f>IF(Table1[[#This Row],[Is Data Valid]]=TRUE,_xlfn.NORM.S.DIST(Table1[[#This Row],[Birthweight Z-Score]],TRUE)*100,"")</f>
        <v/>
      </c>
      <c r="K4678" s="7" t="str">
        <f>IF(Table1[[#This Row],[Is Data Valid]]=TRUE,_xlfn.NORM.S.DIST(Table1[[#This Row],[Birthweight Z-Score (BW-10%)]],TRUE)*100,"")</f>
        <v/>
      </c>
      <c r="L4678" s="7" t="str">
        <f>IF(Table1[[#This Row],[Is Data Valid]]=TRUE,_xlfn.NORM.S.DIST(Table1[[#This Row],[Birthweight Z-Score (BW+10%)]],TRUE)*100,"")</f>
        <v/>
      </c>
    </row>
    <row r="4679" spans="1:12" x14ac:dyDescent="0.35">
      <c r="A4679" s="3"/>
      <c r="B4679" s="2"/>
      <c r="C4679" s="2"/>
      <c r="D4679" s="2" t="b">
        <f>IF(AND(NOT(ISBLANK(Table1[[#This Row],[Fetal Sex (Male, Female or Unknown)]])),ISNUMBER(Table1[[#This Row],[Birthweight (grams)]]),ISNUMBER(Table1[[#This Row],[Gestation (days)]])),TRUE,FALSE)</f>
        <v>0</v>
      </c>
      <c r="E4679" s="2" t="str">
        <f>IF(Table1[[#This Row],[Is Data Valid]]=TRUE,IF(Table1[[#This Row],[Fetal Sex (Male, Female or Unknown)]]="Male",Backend!$C$6,IF(Table1[[#This Row],[Fetal Sex (Male, Female or Unknown)]]="Female",Backend!$C$7,IF(Table1[[#This Row],[Fetal Sex (Male, Female or Unknown)]]="Unknown",Backend!$C$8,"Error"))),"")</f>
        <v/>
      </c>
      <c r="F4679" s="8" t="str">
        <f>IF(Table1[[#This Row],[Is Data Valid]]=TRUE,EXP(0.578+0.332*((Table1[[#This Row],[Gestation (days)]]+0.5)/7)-0.00354*((Table1[[#This Row],[Gestation (days)]]+0.5)/7)^2)*Table1[[#This Row],[BW40_3705]],"")</f>
        <v/>
      </c>
      <c r="G4679" s="2" t="str">
        <f>IF(Table1[[#This Row],[Is Data Valid]]=TRUE,((Table1[[#This Row],[Birthweight (grams)]]/Table1[[#This Row],[BW_GA]])-1)/(Backend!$B$4/100*Table1[[#This Row],[BW40_3705]]),"")</f>
        <v/>
      </c>
      <c r="H4679" s="7" t="str">
        <f>IF(Table1[[#This Row],[Is Data Valid]]=TRUE,((Table1[[#This Row],[Birthweight (grams)]]*0.9/Table1[[#This Row],[BW_GA]])-1)/(Backend!$B$4/100*Table1[[#This Row],[BW40_3705]]),"")</f>
        <v/>
      </c>
      <c r="I4679" s="7" t="str">
        <f>IF(Table1[[#This Row],[Is Data Valid]]=TRUE,((Table1[[#This Row],[Birthweight (grams)]]*1.1/Table1[[#This Row],[BW_GA]])-1)/(Backend!$B$4/100*Table1[[#This Row],[BW40_3705]]),"")</f>
        <v/>
      </c>
      <c r="J4679" s="7" t="str">
        <f>IF(Table1[[#This Row],[Is Data Valid]]=TRUE,_xlfn.NORM.S.DIST(Table1[[#This Row],[Birthweight Z-Score]],TRUE)*100,"")</f>
        <v/>
      </c>
      <c r="K4679" s="7" t="str">
        <f>IF(Table1[[#This Row],[Is Data Valid]]=TRUE,_xlfn.NORM.S.DIST(Table1[[#This Row],[Birthweight Z-Score (BW-10%)]],TRUE)*100,"")</f>
        <v/>
      </c>
      <c r="L4679" s="7" t="str">
        <f>IF(Table1[[#This Row],[Is Data Valid]]=TRUE,_xlfn.NORM.S.DIST(Table1[[#This Row],[Birthweight Z-Score (BW+10%)]],TRUE)*100,"")</f>
        <v/>
      </c>
    </row>
    <row r="4680" spans="1:12" x14ac:dyDescent="0.35">
      <c r="A4680" s="3"/>
      <c r="B4680" s="2"/>
      <c r="C4680" s="2"/>
      <c r="D4680" s="2" t="b">
        <f>IF(AND(NOT(ISBLANK(Table1[[#This Row],[Fetal Sex (Male, Female or Unknown)]])),ISNUMBER(Table1[[#This Row],[Birthweight (grams)]]),ISNUMBER(Table1[[#This Row],[Gestation (days)]])),TRUE,FALSE)</f>
        <v>0</v>
      </c>
      <c r="E4680" s="2" t="str">
        <f>IF(Table1[[#This Row],[Is Data Valid]]=TRUE,IF(Table1[[#This Row],[Fetal Sex (Male, Female or Unknown)]]="Male",Backend!$C$6,IF(Table1[[#This Row],[Fetal Sex (Male, Female or Unknown)]]="Female",Backend!$C$7,IF(Table1[[#This Row],[Fetal Sex (Male, Female or Unknown)]]="Unknown",Backend!$C$8,"Error"))),"")</f>
        <v/>
      </c>
      <c r="F4680" s="8" t="str">
        <f>IF(Table1[[#This Row],[Is Data Valid]]=TRUE,EXP(0.578+0.332*((Table1[[#This Row],[Gestation (days)]]+0.5)/7)-0.00354*((Table1[[#This Row],[Gestation (days)]]+0.5)/7)^2)*Table1[[#This Row],[BW40_3705]],"")</f>
        <v/>
      </c>
      <c r="G4680" s="2" t="str">
        <f>IF(Table1[[#This Row],[Is Data Valid]]=TRUE,((Table1[[#This Row],[Birthweight (grams)]]/Table1[[#This Row],[BW_GA]])-1)/(Backend!$B$4/100*Table1[[#This Row],[BW40_3705]]),"")</f>
        <v/>
      </c>
      <c r="H4680" s="7" t="str">
        <f>IF(Table1[[#This Row],[Is Data Valid]]=TRUE,((Table1[[#This Row],[Birthweight (grams)]]*0.9/Table1[[#This Row],[BW_GA]])-1)/(Backend!$B$4/100*Table1[[#This Row],[BW40_3705]]),"")</f>
        <v/>
      </c>
      <c r="I4680" s="7" t="str">
        <f>IF(Table1[[#This Row],[Is Data Valid]]=TRUE,((Table1[[#This Row],[Birthweight (grams)]]*1.1/Table1[[#This Row],[BW_GA]])-1)/(Backend!$B$4/100*Table1[[#This Row],[BW40_3705]]),"")</f>
        <v/>
      </c>
      <c r="J4680" s="7" t="str">
        <f>IF(Table1[[#This Row],[Is Data Valid]]=TRUE,_xlfn.NORM.S.DIST(Table1[[#This Row],[Birthweight Z-Score]],TRUE)*100,"")</f>
        <v/>
      </c>
      <c r="K4680" s="7" t="str">
        <f>IF(Table1[[#This Row],[Is Data Valid]]=TRUE,_xlfn.NORM.S.DIST(Table1[[#This Row],[Birthweight Z-Score (BW-10%)]],TRUE)*100,"")</f>
        <v/>
      </c>
      <c r="L4680" s="7" t="str">
        <f>IF(Table1[[#This Row],[Is Data Valid]]=TRUE,_xlfn.NORM.S.DIST(Table1[[#This Row],[Birthweight Z-Score (BW+10%)]],TRUE)*100,"")</f>
        <v/>
      </c>
    </row>
    <row r="4681" spans="1:12" x14ac:dyDescent="0.35">
      <c r="A4681" s="3"/>
      <c r="B4681" s="2"/>
      <c r="C4681" s="2"/>
      <c r="D4681" s="2" t="b">
        <f>IF(AND(NOT(ISBLANK(Table1[[#This Row],[Fetal Sex (Male, Female or Unknown)]])),ISNUMBER(Table1[[#This Row],[Birthweight (grams)]]),ISNUMBER(Table1[[#This Row],[Gestation (days)]])),TRUE,FALSE)</f>
        <v>0</v>
      </c>
      <c r="E4681" s="2" t="str">
        <f>IF(Table1[[#This Row],[Is Data Valid]]=TRUE,IF(Table1[[#This Row],[Fetal Sex (Male, Female or Unknown)]]="Male",Backend!$C$6,IF(Table1[[#This Row],[Fetal Sex (Male, Female or Unknown)]]="Female",Backend!$C$7,IF(Table1[[#This Row],[Fetal Sex (Male, Female or Unknown)]]="Unknown",Backend!$C$8,"Error"))),"")</f>
        <v/>
      </c>
      <c r="F4681" s="8" t="str">
        <f>IF(Table1[[#This Row],[Is Data Valid]]=TRUE,EXP(0.578+0.332*((Table1[[#This Row],[Gestation (days)]]+0.5)/7)-0.00354*((Table1[[#This Row],[Gestation (days)]]+0.5)/7)^2)*Table1[[#This Row],[BW40_3705]],"")</f>
        <v/>
      </c>
      <c r="G4681" s="2" t="str">
        <f>IF(Table1[[#This Row],[Is Data Valid]]=TRUE,((Table1[[#This Row],[Birthweight (grams)]]/Table1[[#This Row],[BW_GA]])-1)/(Backend!$B$4/100*Table1[[#This Row],[BW40_3705]]),"")</f>
        <v/>
      </c>
      <c r="H4681" s="7" t="str">
        <f>IF(Table1[[#This Row],[Is Data Valid]]=TRUE,((Table1[[#This Row],[Birthweight (grams)]]*0.9/Table1[[#This Row],[BW_GA]])-1)/(Backend!$B$4/100*Table1[[#This Row],[BW40_3705]]),"")</f>
        <v/>
      </c>
      <c r="I4681" s="7" t="str">
        <f>IF(Table1[[#This Row],[Is Data Valid]]=TRUE,((Table1[[#This Row],[Birthweight (grams)]]*1.1/Table1[[#This Row],[BW_GA]])-1)/(Backend!$B$4/100*Table1[[#This Row],[BW40_3705]]),"")</f>
        <v/>
      </c>
      <c r="J4681" s="7" t="str">
        <f>IF(Table1[[#This Row],[Is Data Valid]]=TRUE,_xlfn.NORM.S.DIST(Table1[[#This Row],[Birthweight Z-Score]],TRUE)*100,"")</f>
        <v/>
      </c>
      <c r="K4681" s="7" t="str">
        <f>IF(Table1[[#This Row],[Is Data Valid]]=TRUE,_xlfn.NORM.S.DIST(Table1[[#This Row],[Birthweight Z-Score (BW-10%)]],TRUE)*100,"")</f>
        <v/>
      </c>
      <c r="L4681" s="7" t="str">
        <f>IF(Table1[[#This Row],[Is Data Valid]]=TRUE,_xlfn.NORM.S.DIST(Table1[[#This Row],[Birthweight Z-Score (BW+10%)]],TRUE)*100,"")</f>
        <v/>
      </c>
    </row>
    <row r="4682" spans="1:12" x14ac:dyDescent="0.35">
      <c r="A4682" s="3"/>
      <c r="B4682" s="2"/>
      <c r="C4682" s="2"/>
      <c r="D4682" s="2" t="b">
        <f>IF(AND(NOT(ISBLANK(Table1[[#This Row],[Fetal Sex (Male, Female or Unknown)]])),ISNUMBER(Table1[[#This Row],[Birthweight (grams)]]),ISNUMBER(Table1[[#This Row],[Gestation (days)]])),TRUE,FALSE)</f>
        <v>0</v>
      </c>
      <c r="E4682" s="2" t="str">
        <f>IF(Table1[[#This Row],[Is Data Valid]]=TRUE,IF(Table1[[#This Row],[Fetal Sex (Male, Female or Unknown)]]="Male",Backend!$C$6,IF(Table1[[#This Row],[Fetal Sex (Male, Female or Unknown)]]="Female",Backend!$C$7,IF(Table1[[#This Row],[Fetal Sex (Male, Female or Unknown)]]="Unknown",Backend!$C$8,"Error"))),"")</f>
        <v/>
      </c>
      <c r="F4682" s="8" t="str">
        <f>IF(Table1[[#This Row],[Is Data Valid]]=TRUE,EXP(0.578+0.332*((Table1[[#This Row],[Gestation (days)]]+0.5)/7)-0.00354*((Table1[[#This Row],[Gestation (days)]]+0.5)/7)^2)*Table1[[#This Row],[BW40_3705]],"")</f>
        <v/>
      </c>
      <c r="G4682" s="2" t="str">
        <f>IF(Table1[[#This Row],[Is Data Valid]]=TRUE,((Table1[[#This Row],[Birthweight (grams)]]/Table1[[#This Row],[BW_GA]])-1)/(Backend!$B$4/100*Table1[[#This Row],[BW40_3705]]),"")</f>
        <v/>
      </c>
      <c r="H4682" s="7" t="str">
        <f>IF(Table1[[#This Row],[Is Data Valid]]=TRUE,((Table1[[#This Row],[Birthweight (grams)]]*0.9/Table1[[#This Row],[BW_GA]])-1)/(Backend!$B$4/100*Table1[[#This Row],[BW40_3705]]),"")</f>
        <v/>
      </c>
      <c r="I4682" s="7" t="str">
        <f>IF(Table1[[#This Row],[Is Data Valid]]=TRUE,((Table1[[#This Row],[Birthweight (grams)]]*1.1/Table1[[#This Row],[BW_GA]])-1)/(Backend!$B$4/100*Table1[[#This Row],[BW40_3705]]),"")</f>
        <v/>
      </c>
      <c r="J4682" s="7" t="str">
        <f>IF(Table1[[#This Row],[Is Data Valid]]=TRUE,_xlfn.NORM.S.DIST(Table1[[#This Row],[Birthweight Z-Score]],TRUE)*100,"")</f>
        <v/>
      </c>
      <c r="K4682" s="7" t="str">
        <f>IF(Table1[[#This Row],[Is Data Valid]]=TRUE,_xlfn.NORM.S.DIST(Table1[[#This Row],[Birthweight Z-Score (BW-10%)]],TRUE)*100,"")</f>
        <v/>
      </c>
      <c r="L4682" s="7" t="str">
        <f>IF(Table1[[#This Row],[Is Data Valid]]=TRUE,_xlfn.NORM.S.DIST(Table1[[#This Row],[Birthweight Z-Score (BW+10%)]],TRUE)*100,"")</f>
        <v/>
      </c>
    </row>
    <row r="4683" spans="1:12" x14ac:dyDescent="0.35">
      <c r="A4683" s="3"/>
      <c r="B4683" s="2"/>
      <c r="C4683" s="2"/>
      <c r="D4683" s="2" t="b">
        <f>IF(AND(NOT(ISBLANK(Table1[[#This Row],[Fetal Sex (Male, Female or Unknown)]])),ISNUMBER(Table1[[#This Row],[Birthweight (grams)]]),ISNUMBER(Table1[[#This Row],[Gestation (days)]])),TRUE,FALSE)</f>
        <v>0</v>
      </c>
      <c r="E4683" s="2" t="str">
        <f>IF(Table1[[#This Row],[Is Data Valid]]=TRUE,IF(Table1[[#This Row],[Fetal Sex (Male, Female or Unknown)]]="Male",Backend!$C$6,IF(Table1[[#This Row],[Fetal Sex (Male, Female or Unknown)]]="Female",Backend!$C$7,IF(Table1[[#This Row],[Fetal Sex (Male, Female or Unknown)]]="Unknown",Backend!$C$8,"Error"))),"")</f>
        <v/>
      </c>
      <c r="F4683" s="8" t="str">
        <f>IF(Table1[[#This Row],[Is Data Valid]]=TRUE,EXP(0.578+0.332*((Table1[[#This Row],[Gestation (days)]]+0.5)/7)-0.00354*((Table1[[#This Row],[Gestation (days)]]+0.5)/7)^2)*Table1[[#This Row],[BW40_3705]],"")</f>
        <v/>
      </c>
      <c r="G4683" s="2" t="str">
        <f>IF(Table1[[#This Row],[Is Data Valid]]=TRUE,((Table1[[#This Row],[Birthweight (grams)]]/Table1[[#This Row],[BW_GA]])-1)/(Backend!$B$4/100*Table1[[#This Row],[BW40_3705]]),"")</f>
        <v/>
      </c>
      <c r="H4683" s="7" t="str">
        <f>IF(Table1[[#This Row],[Is Data Valid]]=TRUE,((Table1[[#This Row],[Birthweight (grams)]]*0.9/Table1[[#This Row],[BW_GA]])-1)/(Backend!$B$4/100*Table1[[#This Row],[BW40_3705]]),"")</f>
        <v/>
      </c>
      <c r="I4683" s="7" t="str">
        <f>IF(Table1[[#This Row],[Is Data Valid]]=TRUE,((Table1[[#This Row],[Birthweight (grams)]]*1.1/Table1[[#This Row],[BW_GA]])-1)/(Backend!$B$4/100*Table1[[#This Row],[BW40_3705]]),"")</f>
        <v/>
      </c>
      <c r="J4683" s="7" t="str">
        <f>IF(Table1[[#This Row],[Is Data Valid]]=TRUE,_xlfn.NORM.S.DIST(Table1[[#This Row],[Birthweight Z-Score]],TRUE)*100,"")</f>
        <v/>
      </c>
      <c r="K4683" s="7" t="str">
        <f>IF(Table1[[#This Row],[Is Data Valid]]=TRUE,_xlfn.NORM.S.DIST(Table1[[#This Row],[Birthweight Z-Score (BW-10%)]],TRUE)*100,"")</f>
        <v/>
      </c>
      <c r="L4683" s="7" t="str">
        <f>IF(Table1[[#This Row],[Is Data Valid]]=TRUE,_xlfn.NORM.S.DIST(Table1[[#This Row],[Birthweight Z-Score (BW+10%)]],TRUE)*100,"")</f>
        <v/>
      </c>
    </row>
    <row r="4684" spans="1:12" x14ac:dyDescent="0.35">
      <c r="A4684" s="3"/>
      <c r="B4684" s="2"/>
      <c r="C4684" s="2"/>
      <c r="D4684" s="2" t="b">
        <f>IF(AND(NOT(ISBLANK(Table1[[#This Row],[Fetal Sex (Male, Female or Unknown)]])),ISNUMBER(Table1[[#This Row],[Birthweight (grams)]]),ISNUMBER(Table1[[#This Row],[Gestation (days)]])),TRUE,FALSE)</f>
        <v>0</v>
      </c>
      <c r="E4684" s="2" t="str">
        <f>IF(Table1[[#This Row],[Is Data Valid]]=TRUE,IF(Table1[[#This Row],[Fetal Sex (Male, Female or Unknown)]]="Male",Backend!$C$6,IF(Table1[[#This Row],[Fetal Sex (Male, Female or Unknown)]]="Female",Backend!$C$7,IF(Table1[[#This Row],[Fetal Sex (Male, Female or Unknown)]]="Unknown",Backend!$C$8,"Error"))),"")</f>
        <v/>
      </c>
      <c r="F4684" s="8" t="str">
        <f>IF(Table1[[#This Row],[Is Data Valid]]=TRUE,EXP(0.578+0.332*((Table1[[#This Row],[Gestation (days)]]+0.5)/7)-0.00354*((Table1[[#This Row],[Gestation (days)]]+0.5)/7)^2)*Table1[[#This Row],[BW40_3705]],"")</f>
        <v/>
      </c>
      <c r="G4684" s="2" t="str">
        <f>IF(Table1[[#This Row],[Is Data Valid]]=TRUE,((Table1[[#This Row],[Birthweight (grams)]]/Table1[[#This Row],[BW_GA]])-1)/(Backend!$B$4/100*Table1[[#This Row],[BW40_3705]]),"")</f>
        <v/>
      </c>
      <c r="H4684" s="7" t="str">
        <f>IF(Table1[[#This Row],[Is Data Valid]]=TRUE,((Table1[[#This Row],[Birthweight (grams)]]*0.9/Table1[[#This Row],[BW_GA]])-1)/(Backend!$B$4/100*Table1[[#This Row],[BW40_3705]]),"")</f>
        <v/>
      </c>
      <c r="I4684" s="7" t="str">
        <f>IF(Table1[[#This Row],[Is Data Valid]]=TRUE,((Table1[[#This Row],[Birthweight (grams)]]*1.1/Table1[[#This Row],[BW_GA]])-1)/(Backend!$B$4/100*Table1[[#This Row],[BW40_3705]]),"")</f>
        <v/>
      </c>
      <c r="J4684" s="7" t="str">
        <f>IF(Table1[[#This Row],[Is Data Valid]]=TRUE,_xlfn.NORM.S.DIST(Table1[[#This Row],[Birthweight Z-Score]],TRUE)*100,"")</f>
        <v/>
      </c>
      <c r="K4684" s="7" t="str">
        <f>IF(Table1[[#This Row],[Is Data Valid]]=TRUE,_xlfn.NORM.S.DIST(Table1[[#This Row],[Birthweight Z-Score (BW-10%)]],TRUE)*100,"")</f>
        <v/>
      </c>
      <c r="L4684" s="7" t="str">
        <f>IF(Table1[[#This Row],[Is Data Valid]]=TRUE,_xlfn.NORM.S.DIST(Table1[[#This Row],[Birthweight Z-Score (BW+10%)]],TRUE)*100,"")</f>
        <v/>
      </c>
    </row>
    <row r="4685" spans="1:12" x14ac:dyDescent="0.35">
      <c r="A4685" s="3"/>
      <c r="B4685" s="2"/>
      <c r="C4685" s="2"/>
      <c r="D4685" s="2" t="b">
        <f>IF(AND(NOT(ISBLANK(Table1[[#This Row],[Fetal Sex (Male, Female or Unknown)]])),ISNUMBER(Table1[[#This Row],[Birthweight (grams)]]),ISNUMBER(Table1[[#This Row],[Gestation (days)]])),TRUE,FALSE)</f>
        <v>0</v>
      </c>
      <c r="E4685" s="2" t="str">
        <f>IF(Table1[[#This Row],[Is Data Valid]]=TRUE,IF(Table1[[#This Row],[Fetal Sex (Male, Female or Unknown)]]="Male",Backend!$C$6,IF(Table1[[#This Row],[Fetal Sex (Male, Female or Unknown)]]="Female",Backend!$C$7,IF(Table1[[#This Row],[Fetal Sex (Male, Female or Unknown)]]="Unknown",Backend!$C$8,"Error"))),"")</f>
        <v/>
      </c>
      <c r="F4685" s="8" t="str">
        <f>IF(Table1[[#This Row],[Is Data Valid]]=TRUE,EXP(0.578+0.332*((Table1[[#This Row],[Gestation (days)]]+0.5)/7)-0.00354*((Table1[[#This Row],[Gestation (days)]]+0.5)/7)^2)*Table1[[#This Row],[BW40_3705]],"")</f>
        <v/>
      </c>
      <c r="G4685" s="2" t="str">
        <f>IF(Table1[[#This Row],[Is Data Valid]]=TRUE,((Table1[[#This Row],[Birthweight (grams)]]/Table1[[#This Row],[BW_GA]])-1)/(Backend!$B$4/100*Table1[[#This Row],[BW40_3705]]),"")</f>
        <v/>
      </c>
      <c r="H4685" s="7" t="str">
        <f>IF(Table1[[#This Row],[Is Data Valid]]=TRUE,((Table1[[#This Row],[Birthweight (grams)]]*0.9/Table1[[#This Row],[BW_GA]])-1)/(Backend!$B$4/100*Table1[[#This Row],[BW40_3705]]),"")</f>
        <v/>
      </c>
      <c r="I4685" s="7" t="str">
        <f>IF(Table1[[#This Row],[Is Data Valid]]=TRUE,((Table1[[#This Row],[Birthweight (grams)]]*1.1/Table1[[#This Row],[BW_GA]])-1)/(Backend!$B$4/100*Table1[[#This Row],[BW40_3705]]),"")</f>
        <v/>
      </c>
      <c r="J4685" s="7" t="str">
        <f>IF(Table1[[#This Row],[Is Data Valid]]=TRUE,_xlfn.NORM.S.DIST(Table1[[#This Row],[Birthweight Z-Score]],TRUE)*100,"")</f>
        <v/>
      </c>
      <c r="K4685" s="7" t="str">
        <f>IF(Table1[[#This Row],[Is Data Valid]]=TRUE,_xlfn.NORM.S.DIST(Table1[[#This Row],[Birthweight Z-Score (BW-10%)]],TRUE)*100,"")</f>
        <v/>
      </c>
      <c r="L4685" s="7" t="str">
        <f>IF(Table1[[#This Row],[Is Data Valid]]=TRUE,_xlfn.NORM.S.DIST(Table1[[#This Row],[Birthweight Z-Score (BW+10%)]],TRUE)*100,"")</f>
        <v/>
      </c>
    </row>
    <row r="4686" spans="1:12" x14ac:dyDescent="0.35">
      <c r="A4686" s="3"/>
      <c r="B4686" s="2"/>
      <c r="C4686" s="2"/>
      <c r="D4686" s="2" t="b">
        <f>IF(AND(NOT(ISBLANK(Table1[[#This Row],[Fetal Sex (Male, Female or Unknown)]])),ISNUMBER(Table1[[#This Row],[Birthweight (grams)]]),ISNUMBER(Table1[[#This Row],[Gestation (days)]])),TRUE,FALSE)</f>
        <v>0</v>
      </c>
      <c r="E4686" s="2" t="str">
        <f>IF(Table1[[#This Row],[Is Data Valid]]=TRUE,IF(Table1[[#This Row],[Fetal Sex (Male, Female or Unknown)]]="Male",Backend!$C$6,IF(Table1[[#This Row],[Fetal Sex (Male, Female or Unknown)]]="Female",Backend!$C$7,IF(Table1[[#This Row],[Fetal Sex (Male, Female or Unknown)]]="Unknown",Backend!$C$8,"Error"))),"")</f>
        <v/>
      </c>
      <c r="F4686" s="8" t="str">
        <f>IF(Table1[[#This Row],[Is Data Valid]]=TRUE,EXP(0.578+0.332*((Table1[[#This Row],[Gestation (days)]]+0.5)/7)-0.00354*((Table1[[#This Row],[Gestation (days)]]+0.5)/7)^2)*Table1[[#This Row],[BW40_3705]],"")</f>
        <v/>
      </c>
      <c r="G4686" s="2" t="str">
        <f>IF(Table1[[#This Row],[Is Data Valid]]=TRUE,((Table1[[#This Row],[Birthweight (grams)]]/Table1[[#This Row],[BW_GA]])-1)/(Backend!$B$4/100*Table1[[#This Row],[BW40_3705]]),"")</f>
        <v/>
      </c>
      <c r="H4686" s="7" t="str">
        <f>IF(Table1[[#This Row],[Is Data Valid]]=TRUE,((Table1[[#This Row],[Birthweight (grams)]]*0.9/Table1[[#This Row],[BW_GA]])-1)/(Backend!$B$4/100*Table1[[#This Row],[BW40_3705]]),"")</f>
        <v/>
      </c>
      <c r="I4686" s="7" t="str">
        <f>IF(Table1[[#This Row],[Is Data Valid]]=TRUE,((Table1[[#This Row],[Birthweight (grams)]]*1.1/Table1[[#This Row],[BW_GA]])-1)/(Backend!$B$4/100*Table1[[#This Row],[BW40_3705]]),"")</f>
        <v/>
      </c>
      <c r="J4686" s="7" t="str">
        <f>IF(Table1[[#This Row],[Is Data Valid]]=TRUE,_xlfn.NORM.S.DIST(Table1[[#This Row],[Birthweight Z-Score]],TRUE)*100,"")</f>
        <v/>
      </c>
      <c r="K4686" s="7" t="str">
        <f>IF(Table1[[#This Row],[Is Data Valid]]=TRUE,_xlfn.NORM.S.DIST(Table1[[#This Row],[Birthweight Z-Score (BW-10%)]],TRUE)*100,"")</f>
        <v/>
      </c>
      <c r="L4686" s="7" t="str">
        <f>IF(Table1[[#This Row],[Is Data Valid]]=TRUE,_xlfn.NORM.S.DIST(Table1[[#This Row],[Birthweight Z-Score (BW+10%)]],TRUE)*100,"")</f>
        <v/>
      </c>
    </row>
    <row r="4687" spans="1:12" x14ac:dyDescent="0.35">
      <c r="A4687" s="3"/>
      <c r="B4687" s="2"/>
      <c r="C4687" s="2"/>
      <c r="D4687" s="2" t="b">
        <f>IF(AND(NOT(ISBLANK(Table1[[#This Row],[Fetal Sex (Male, Female or Unknown)]])),ISNUMBER(Table1[[#This Row],[Birthweight (grams)]]),ISNUMBER(Table1[[#This Row],[Gestation (days)]])),TRUE,FALSE)</f>
        <v>0</v>
      </c>
      <c r="E4687" s="2" t="str">
        <f>IF(Table1[[#This Row],[Is Data Valid]]=TRUE,IF(Table1[[#This Row],[Fetal Sex (Male, Female or Unknown)]]="Male",Backend!$C$6,IF(Table1[[#This Row],[Fetal Sex (Male, Female or Unknown)]]="Female",Backend!$C$7,IF(Table1[[#This Row],[Fetal Sex (Male, Female or Unknown)]]="Unknown",Backend!$C$8,"Error"))),"")</f>
        <v/>
      </c>
      <c r="F4687" s="8" t="str">
        <f>IF(Table1[[#This Row],[Is Data Valid]]=TRUE,EXP(0.578+0.332*((Table1[[#This Row],[Gestation (days)]]+0.5)/7)-0.00354*((Table1[[#This Row],[Gestation (days)]]+0.5)/7)^2)*Table1[[#This Row],[BW40_3705]],"")</f>
        <v/>
      </c>
      <c r="G4687" s="2" t="str">
        <f>IF(Table1[[#This Row],[Is Data Valid]]=TRUE,((Table1[[#This Row],[Birthweight (grams)]]/Table1[[#This Row],[BW_GA]])-1)/(Backend!$B$4/100*Table1[[#This Row],[BW40_3705]]),"")</f>
        <v/>
      </c>
      <c r="H4687" s="7" t="str">
        <f>IF(Table1[[#This Row],[Is Data Valid]]=TRUE,((Table1[[#This Row],[Birthweight (grams)]]*0.9/Table1[[#This Row],[BW_GA]])-1)/(Backend!$B$4/100*Table1[[#This Row],[BW40_3705]]),"")</f>
        <v/>
      </c>
      <c r="I4687" s="7" t="str">
        <f>IF(Table1[[#This Row],[Is Data Valid]]=TRUE,((Table1[[#This Row],[Birthweight (grams)]]*1.1/Table1[[#This Row],[BW_GA]])-1)/(Backend!$B$4/100*Table1[[#This Row],[BW40_3705]]),"")</f>
        <v/>
      </c>
      <c r="J4687" s="7" t="str">
        <f>IF(Table1[[#This Row],[Is Data Valid]]=TRUE,_xlfn.NORM.S.DIST(Table1[[#This Row],[Birthweight Z-Score]],TRUE)*100,"")</f>
        <v/>
      </c>
      <c r="K4687" s="7" t="str">
        <f>IF(Table1[[#This Row],[Is Data Valid]]=TRUE,_xlfn.NORM.S.DIST(Table1[[#This Row],[Birthweight Z-Score (BW-10%)]],TRUE)*100,"")</f>
        <v/>
      </c>
      <c r="L4687" s="7" t="str">
        <f>IF(Table1[[#This Row],[Is Data Valid]]=TRUE,_xlfn.NORM.S.DIST(Table1[[#This Row],[Birthweight Z-Score (BW+10%)]],TRUE)*100,"")</f>
        <v/>
      </c>
    </row>
    <row r="4688" spans="1:12" x14ac:dyDescent="0.35">
      <c r="A4688" s="3"/>
      <c r="B4688" s="2"/>
      <c r="C4688" s="2"/>
      <c r="D4688" s="2" t="b">
        <f>IF(AND(NOT(ISBLANK(Table1[[#This Row],[Fetal Sex (Male, Female or Unknown)]])),ISNUMBER(Table1[[#This Row],[Birthweight (grams)]]),ISNUMBER(Table1[[#This Row],[Gestation (days)]])),TRUE,FALSE)</f>
        <v>0</v>
      </c>
      <c r="E4688" s="2" t="str">
        <f>IF(Table1[[#This Row],[Is Data Valid]]=TRUE,IF(Table1[[#This Row],[Fetal Sex (Male, Female or Unknown)]]="Male",Backend!$C$6,IF(Table1[[#This Row],[Fetal Sex (Male, Female or Unknown)]]="Female",Backend!$C$7,IF(Table1[[#This Row],[Fetal Sex (Male, Female or Unknown)]]="Unknown",Backend!$C$8,"Error"))),"")</f>
        <v/>
      </c>
      <c r="F4688" s="8" t="str">
        <f>IF(Table1[[#This Row],[Is Data Valid]]=TRUE,EXP(0.578+0.332*((Table1[[#This Row],[Gestation (days)]]+0.5)/7)-0.00354*((Table1[[#This Row],[Gestation (days)]]+0.5)/7)^2)*Table1[[#This Row],[BW40_3705]],"")</f>
        <v/>
      </c>
      <c r="G4688" s="2" t="str">
        <f>IF(Table1[[#This Row],[Is Data Valid]]=TRUE,((Table1[[#This Row],[Birthweight (grams)]]/Table1[[#This Row],[BW_GA]])-1)/(Backend!$B$4/100*Table1[[#This Row],[BW40_3705]]),"")</f>
        <v/>
      </c>
      <c r="H4688" s="7" t="str">
        <f>IF(Table1[[#This Row],[Is Data Valid]]=TRUE,((Table1[[#This Row],[Birthweight (grams)]]*0.9/Table1[[#This Row],[BW_GA]])-1)/(Backend!$B$4/100*Table1[[#This Row],[BW40_3705]]),"")</f>
        <v/>
      </c>
      <c r="I4688" s="7" t="str">
        <f>IF(Table1[[#This Row],[Is Data Valid]]=TRUE,((Table1[[#This Row],[Birthweight (grams)]]*1.1/Table1[[#This Row],[BW_GA]])-1)/(Backend!$B$4/100*Table1[[#This Row],[BW40_3705]]),"")</f>
        <v/>
      </c>
      <c r="J4688" s="7" t="str">
        <f>IF(Table1[[#This Row],[Is Data Valid]]=TRUE,_xlfn.NORM.S.DIST(Table1[[#This Row],[Birthweight Z-Score]],TRUE)*100,"")</f>
        <v/>
      </c>
      <c r="K4688" s="7" t="str">
        <f>IF(Table1[[#This Row],[Is Data Valid]]=TRUE,_xlfn.NORM.S.DIST(Table1[[#This Row],[Birthweight Z-Score (BW-10%)]],TRUE)*100,"")</f>
        <v/>
      </c>
      <c r="L4688" s="7" t="str">
        <f>IF(Table1[[#This Row],[Is Data Valid]]=TRUE,_xlfn.NORM.S.DIST(Table1[[#This Row],[Birthweight Z-Score (BW+10%)]],TRUE)*100,"")</f>
        <v/>
      </c>
    </row>
    <row r="4689" spans="1:12" x14ac:dyDescent="0.35">
      <c r="A4689" s="3"/>
      <c r="B4689" s="2"/>
      <c r="C4689" s="2"/>
      <c r="D4689" s="2" t="b">
        <f>IF(AND(NOT(ISBLANK(Table1[[#This Row],[Fetal Sex (Male, Female or Unknown)]])),ISNUMBER(Table1[[#This Row],[Birthweight (grams)]]),ISNUMBER(Table1[[#This Row],[Gestation (days)]])),TRUE,FALSE)</f>
        <v>0</v>
      </c>
      <c r="E4689" s="2" t="str">
        <f>IF(Table1[[#This Row],[Is Data Valid]]=TRUE,IF(Table1[[#This Row],[Fetal Sex (Male, Female or Unknown)]]="Male",Backend!$C$6,IF(Table1[[#This Row],[Fetal Sex (Male, Female or Unknown)]]="Female",Backend!$C$7,IF(Table1[[#This Row],[Fetal Sex (Male, Female or Unknown)]]="Unknown",Backend!$C$8,"Error"))),"")</f>
        <v/>
      </c>
      <c r="F4689" s="8" t="str">
        <f>IF(Table1[[#This Row],[Is Data Valid]]=TRUE,EXP(0.578+0.332*((Table1[[#This Row],[Gestation (days)]]+0.5)/7)-0.00354*((Table1[[#This Row],[Gestation (days)]]+0.5)/7)^2)*Table1[[#This Row],[BW40_3705]],"")</f>
        <v/>
      </c>
      <c r="G4689" s="2" t="str">
        <f>IF(Table1[[#This Row],[Is Data Valid]]=TRUE,((Table1[[#This Row],[Birthweight (grams)]]/Table1[[#This Row],[BW_GA]])-1)/(Backend!$B$4/100*Table1[[#This Row],[BW40_3705]]),"")</f>
        <v/>
      </c>
      <c r="H4689" s="7" t="str">
        <f>IF(Table1[[#This Row],[Is Data Valid]]=TRUE,((Table1[[#This Row],[Birthweight (grams)]]*0.9/Table1[[#This Row],[BW_GA]])-1)/(Backend!$B$4/100*Table1[[#This Row],[BW40_3705]]),"")</f>
        <v/>
      </c>
      <c r="I4689" s="7" t="str">
        <f>IF(Table1[[#This Row],[Is Data Valid]]=TRUE,((Table1[[#This Row],[Birthweight (grams)]]*1.1/Table1[[#This Row],[BW_GA]])-1)/(Backend!$B$4/100*Table1[[#This Row],[BW40_3705]]),"")</f>
        <v/>
      </c>
      <c r="J4689" s="7" t="str">
        <f>IF(Table1[[#This Row],[Is Data Valid]]=TRUE,_xlfn.NORM.S.DIST(Table1[[#This Row],[Birthweight Z-Score]],TRUE)*100,"")</f>
        <v/>
      </c>
      <c r="K4689" s="7" t="str">
        <f>IF(Table1[[#This Row],[Is Data Valid]]=TRUE,_xlfn.NORM.S.DIST(Table1[[#This Row],[Birthweight Z-Score (BW-10%)]],TRUE)*100,"")</f>
        <v/>
      </c>
      <c r="L4689" s="7" t="str">
        <f>IF(Table1[[#This Row],[Is Data Valid]]=TRUE,_xlfn.NORM.S.DIST(Table1[[#This Row],[Birthweight Z-Score (BW+10%)]],TRUE)*100,"")</f>
        <v/>
      </c>
    </row>
    <row r="4690" spans="1:12" x14ac:dyDescent="0.35">
      <c r="A4690" s="3"/>
      <c r="B4690" s="2"/>
      <c r="C4690" s="2"/>
      <c r="D4690" s="2" t="b">
        <f>IF(AND(NOT(ISBLANK(Table1[[#This Row],[Fetal Sex (Male, Female or Unknown)]])),ISNUMBER(Table1[[#This Row],[Birthweight (grams)]]),ISNUMBER(Table1[[#This Row],[Gestation (days)]])),TRUE,FALSE)</f>
        <v>0</v>
      </c>
      <c r="E4690" s="2" t="str">
        <f>IF(Table1[[#This Row],[Is Data Valid]]=TRUE,IF(Table1[[#This Row],[Fetal Sex (Male, Female or Unknown)]]="Male",Backend!$C$6,IF(Table1[[#This Row],[Fetal Sex (Male, Female or Unknown)]]="Female",Backend!$C$7,IF(Table1[[#This Row],[Fetal Sex (Male, Female or Unknown)]]="Unknown",Backend!$C$8,"Error"))),"")</f>
        <v/>
      </c>
      <c r="F4690" s="8" t="str">
        <f>IF(Table1[[#This Row],[Is Data Valid]]=TRUE,EXP(0.578+0.332*((Table1[[#This Row],[Gestation (days)]]+0.5)/7)-0.00354*((Table1[[#This Row],[Gestation (days)]]+0.5)/7)^2)*Table1[[#This Row],[BW40_3705]],"")</f>
        <v/>
      </c>
      <c r="G4690" s="2" t="str">
        <f>IF(Table1[[#This Row],[Is Data Valid]]=TRUE,((Table1[[#This Row],[Birthweight (grams)]]/Table1[[#This Row],[BW_GA]])-1)/(Backend!$B$4/100*Table1[[#This Row],[BW40_3705]]),"")</f>
        <v/>
      </c>
      <c r="H4690" s="7" t="str">
        <f>IF(Table1[[#This Row],[Is Data Valid]]=TRUE,((Table1[[#This Row],[Birthweight (grams)]]*0.9/Table1[[#This Row],[BW_GA]])-1)/(Backend!$B$4/100*Table1[[#This Row],[BW40_3705]]),"")</f>
        <v/>
      </c>
      <c r="I4690" s="7" t="str">
        <f>IF(Table1[[#This Row],[Is Data Valid]]=TRUE,((Table1[[#This Row],[Birthweight (grams)]]*1.1/Table1[[#This Row],[BW_GA]])-1)/(Backend!$B$4/100*Table1[[#This Row],[BW40_3705]]),"")</f>
        <v/>
      </c>
      <c r="J4690" s="7" t="str">
        <f>IF(Table1[[#This Row],[Is Data Valid]]=TRUE,_xlfn.NORM.S.DIST(Table1[[#This Row],[Birthweight Z-Score]],TRUE)*100,"")</f>
        <v/>
      </c>
      <c r="K4690" s="7" t="str">
        <f>IF(Table1[[#This Row],[Is Data Valid]]=TRUE,_xlfn.NORM.S.DIST(Table1[[#This Row],[Birthweight Z-Score (BW-10%)]],TRUE)*100,"")</f>
        <v/>
      </c>
      <c r="L4690" s="7" t="str">
        <f>IF(Table1[[#This Row],[Is Data Valid]]=TRUE,_xlfn.NORM.S.DIST(Table1[[#This Row],[Birthweight Z-Score (BW+10%)]],TRUE)*100,"")</f>
        <v/>
      </c>
    </row>
    <row r="4691" spans="1:12" x14ac:dyDescent="0.35">
      <c r="A4691" s="3"/>
      <c r="B4691" s="2"/>
      <c r="C4691" s="2"/>
      <c r="D4691" s="2" t="b">
        <f>IF(AND(NOT(ISBLANK(Table1[[#This Row],[Fetal Sex (Male, Female or Unknown)]])),ISNUMBER(Table1[[#This Row],[Birthweight (grams)]]),ISNUMBER(Table1[[#This Row],[Gestation (days)]])),TRUE,FALSE)</f>
        <v>0</v>
      </c>
      <c r="E4691" s="2" t="str">
        <f>IF(Table1[[#This Row],[Is Data Valid]]=TRUE,IF(Table1[[#This Row],[Fetal Sex (Male, Female or Unknown)]]="Male",Backend!$C$6,IF(Table1[[#This Row],[Fetal Sex (Male, Female or Unknown)]]="Female",Backend!$C$7,IF(Table1[[#This Row],[Fetal Sex (Male, Female or Unknown)]]="Unknown",Backend!$C$8,"Error"))),"")</f>
        <v/>
      </c>
      <c r="F4691" s="8" t="str">
        <f>IF(Table1[[#This Row],[Is Data Valid]]=TRUE,EXP(0.578+0.332*((Table1[[#This Row],[Gestation (days)]]+0.5)/7)-0.00354*((Table1[[#This Row],[Gestation (days)]]+0.5)/7)^2)*Table1[[#This Row],[BW40_3705]],"")</f>
        <v/>
      </c>
      <c r="G4691" s="2" t="str">
        <f>IF(Table1[[#This Row],[Is Data Valid]]=TRUE,((Table1[[#This Row],[Birthweight (grams)]]/Table1[[#This Row],[BW_GA]])-1)/(Backend!$B$4/100*Table1[[#This Row],[BW40_3705]]),"")</f>
        <v/>
      </c>
      <c r="H4691" s="7" t="str">
        <f>IF(Table1[[#This Row],[Is Data Valid]]=TRUE,((Table1[[#This Row],[Birthweight (grams)]]*0.9/Table1[[#This Row],[BW_GA]])-1)/(Backend!$B$4/100*Table1[[#This Row],[BW40_3705]]),"")</f>
        <v/>
      </c>
      <c r="I4691" s="7" t="str">
        <f>IF(Table1[[#This Row],[Is Data Valid]]=TRUE,((Table1[[#This Row],[Birthweight (grams)]]*1.1/Table1[[#This Row],[BW_GA]])-1)/(Backend!$B$4/100*Table1[[#This Row],[BW40_3705]]),"")</f>
        <v/>
      </c>
      <c r="J4691" s="7" t="str">
        <f>IF(Table1[[#This Row],[Is Data Valid]]=TRUE,_xlfn.NORM.S.DIST(Table1[[#This Row],[Birthweight Z-Score]],TRUE)*100,"")</f>
        <v/>
      </c>
      <c r="K4691" s="7" t="str">
        <f>IF(Table1[[#This Row],[Is Data Valid]]=TRUE,_xlfn.NORM.S.DIST(Table1[[#This Row],[Birthweight Z-Score (BW-10%)]],TRUE)*100,"")</f>
        <v/>
      </c>
      <c r="L4691" s="7" t="str">
        <f>IF(Table1[[#This Row],[Is Data Valid]]=TRUE,_xlfn.NORM.S.DIST(Table1[[#This Row],[Birthweight Z-Score (BW+10%)]],TRUE)*100,"")</f>
        <v/>
      </c>
    </row>
    <row r="4692" spans="1:12" x14ac:dyDescent="0.35">
      <c r="A4692" s="3"/>
      <c r="B4692" s="2"/>
      <c r="C4692" s="2"/>
      <c r="D4692" s="2" t="b">
        <f>IF(AND(NOT(ISBLANK(Table1[[#This Row],[Fetal Sex (Male, Female or Unknown)]])),ISNUMBER(Table1[[#This Row],[Birthweight (grams)]]),ISNUMBER(Table1[[#This Row],[Gestation (days)]])),TRUE,FALSE)</f>
        <v>0</v>
      </c>
      <c r="E4692" s="2" t="str">
        <f>IF(Table1[[#This Row],[Is Data Valid]]=TRUE,IF(Table1[[#This Row],[Fetal Sex (Male, Female or Unknown)]]="Male",Backend!$C$6,IF(Table1[[#This Row],[Fetal Sex (Male, Female or Unknown)]]="Female",Backend!$C$7,IF(Table1[[#This Row],[Fetal Sex (Male, Female or Unknown)]]="Unknown",Backend!$C$8,"Error"))),"")</f>
        <v/>
      </c>
      <c r="F4692" s="8" t="str">
        <f>IF(Table1[[#This Row],[Is Data Valid]]=TRUE,EXP(0.578+0.332*((Table1[[#This Row],[Gestation (days)]]+0.5)/7)-0.00354*((Table1[[#This Row],[Gestation (days)]]+0.5)/7)^2)*Table1[[#This Row],[BW40_3705]],"")</f>
        <v/>
      </c>
      <c r="G4692" s="2" t="str">
        <f>IF(Table1[[#This Row],[Is Data Valid]]=TRUE,((Table1[[#This Row],[Birthweight (grams)]]/Table1[[#This Row],[BW_GA]])-1)/(Backend!$B$4/100*Table1[[#This Row],[BW40_3705]]),"")</f>
        <v/>
      </c>
      <c r="H4692" s="7" t="str">
        <f>IF(Table1[[#This Row],[Is Data Valid]]=TRUE,((Table1[[#This Row],[Birthweight (grams)]]*0.9/Table1[[#This Row],[BW_GA]])-1)/(Backend!$B$4/100*Table1[[#This Row],[BW40_3705]]),"")</f>
        <v/>
      </c>
      <c r="I4692" s="7" t="str">
        <f>IF(Table1[[#This Row],[Is Data Valid]]=TRUE,((Table1[[#This Row],[Birthweight (grams)]]*1.1/Table1[[#This Row],[BW_GA]])-1)/(Backend!$B$4/100*Table1[[#This Row],[BW40_3705]]),"")</f>
        <v/>
      </c>
      <c r="J4692" s="7" t="str">
        <f>IF(Table1[[#This Row],[Is Data Valid]]=TRUE,_xlfn.NORM.S.DIST(Table1[[#This Row],[Birthweight Z-Score]],TRUE)*100,"")</f>
        <v/>
      </c>
      <c r="K4692" s="7" t="str">
        <f>IF(Table1[[#This Row],[Is Data Valid]]=TRUE,_xlfn.NORM.S.DIST(Table1[[#This Row],[Birthweight Z-Score (BW-10%)]],TRUE)*100,"")</f>
        <v/>
      </c>
      <c r="L4692" s="7" t="str">
        <f>IF(Table1[[#This Row],[Is Data Valid]]=TRUE,_xlfn.NORM.S.DIST(Table1[[#This Row],[Birthweight Z-Score (BW+10%)]],TRUE)*100,"")</f>
        <v/>
      </c>
    </row>
    <row r="4693" spans="1:12" x14ac:dyDescent="0.35">
      <c r="A4693" s="3"/>
      <c r="B4693" s="2"/>
      <c r="C4693" s="2"/>
      <c r="D4693" s="2" t="b">
        <f>IF(AND(NOT(ISBLANK(Table1[[#This Row],[Fetal Sex (Male, Female or Unknown)]])),ISNUMBER(Table1[[#This Row],[Birthweight (grams)]]),ISNUMBER(Table1[[#This Row],[Gestation (days)]])),TRUE,FALSE)</f>
        <v>0</v>
      </c>
      <c r="E4693" s="2" t="str">
        <f>IF(Table1[[#This Row],[Is Data Valid]]=TRUE,IF(Table1[[#This Row],[Fetal Sex (Male, Female or Unknown)]]="Male",Backend!$C$6,IF(Table1[[#This Row],[Fetal Sex (Male, Female or Unknown)]]="Female",Backend!$C$7,IF(Table1[[#This Row],[Fetal Sex (Male, Female or Unknown)]]="Unknown",Backend!$C$8,"Error"))),"")</f>
        <v/>
      </c>
      <c r="F4693" s="8" t="str">
        <f>IF(Table1[[#This Row],[Is Data Valid]]=TRUE,EXP(0.578+0.332*((Table1[[#This Row],[Gestation (days)]]+0.5)/7)-0.00354*((Table1[[#This Row],[Gestation (days)]]+0.5)/7)^2)*Table1[[#This Row],[BW40_3705]],"")</f>
        <v/>
      </c>
      <c r="G4693" s="2" t="str">
        <f>IF(Table1[[#This Row],[Is Data Valid]]=TRUE,((Table1[[#This Row],[Birthweight (grams)]]/Table1[[#This Row],[BW_GA]])-1)/(Backend!$B$4/100*Table1[[#This Row],[BW40_3705]]),"")</f>
        <v/>
      </c>
      <c r="H4693" s="7" t="str">
        <f>IF(Table1[[#This Row],[Is Data Valid]]=TRUE,((Table1[[#This Row],[Birthweight (grams)]]*0.9/Table1[[#This Row],[BW_GA]])-1)/(Backend!$B$4/100*Table1[[#This Row],[BW40_3705]]),"")</f>
        <v/>
      </c>
      <c r="I4693" s="7" t="str">
        <f>IF(Table1[[#This Row],[Is Data Valid]]=TRUE,((Table1[[#This Row],[Birthweight (grams)]]*1.1/Table1[[#This Row],[BW_GA]])-1)/(Backend!$B$4/100*Table1[[#This Row],[BW40_3705]]),"")</f>
        <v/>
      </c>
      <c r="J4693" s="7" t="str">
        <f>IF(Table1[[#This Row],[Is Data Valid]]=TRUE,_xlfn.NORM.S.DIST(Table1[[#This Row],[Birthweight Z-Score]],TRUE)*100,"")</f>
        <v/>
      </c>
      <c r="K4693" s="7" t="str">
        <f>IF(Table1[[#This Row],[Is Data Valid]]=TRUE,_xlfn.NORM.S.DIST(Table1[[#This Row],[Birthweight Z-Score (BW-10%)]],TRUE)*100,"")</f>
        <v/>
      </c>
      <c r="L4693" s="7" t="str">
        <f>IF(Table1[[#This Row],[Is Data Valid]]=TRUE,_xlfn.NORM.S.DIST(Table1[[#This Row],[Birthweight Z-Score (BW+10%)]],TRUE)*100,"")</f>
        <v/>
      </c>
    </row>
    <row r="4694" spans="1:12" x14ac:dyDescent="0.35">
      <c r="A4694" s="3"/>
      <c r="B4694" s="2"/>
      <c r="C4694" s="2"/>
      <c r="D4694" s="2" t="b">
        <f>IF(AND(NOT(ISBLANK(Table1[[#This Row],[Fetal Sex (Male, Female or Unknown)]])),ISNUMBER(Table1[[#This Row],[Birthweight (grams)]]),ISNUMBER(Table1[[#This Row],[Gestation (days)]])),TRUE,FALSE)</f>
        <v>0</v>
      </c>
      <c r="E4694" s="2" t="str">
        <f>IF(Table1[[#This Row],[Is Data Valid]]=TRUE,IF(Table1[[#This Row],[Fetal Sex (Male, Female or Unknown)]]="Male",Backend!$C$6,IF(Table1[[#This Row],[Fetal Sex (Male, Female or Unknown)]]="Female",Backend!$C$7,IF(Table1[[#This Row],[Fetal Sex (Male, Female or Unknown)]]="Unknown",Backend!$C$8,"Error"))),"")</f>
        <v/>
      </c>
      <c r="F4694" s="8" t="str">
        <f>IF(Table1[[#This Row],[Is Data Valid]]=TRUE,EXP(0.578+0.332*((Table1[[#This Row],[Gestation (days)]]+0.5)/7)-0.00354*((Table1[[#This Row],[Gestation (days)]]+0.5)/7)^2)*Table1[[#This Row],[BW40_3705]],"")</f>
        <v/>
      </c>
      <c r="G4694" s="2" t="str">
        <f>IF(Table1[[#This Row],[Is Data Valid]]=TRUE,((Table1[[#This Row],[Birthweight (grams)]]/Table1[[#This Row],[BW_GA]])-1)/(Backend!$B$4/100*Table1[[#This Row],[BW40_3705]]),"")</f>
        <v/>
      </c>
      <c r="H4694" s="7" t="str">
        <f>IF(Table1[[#This Row],[Is Data Valid]]=TRUE,((Table1[[#This Row],[Birthweight (grams)]]*0.9/Table1[[#This Row],[BW_GA]])-1)/(Backend!$B$4/100*Table1[[#This Row],[BW40_3705]]),"")</f>
        <v/>
      </c>
      <c r="I4694" s="7" t="str">
        <f>IF(Table1[[#This Row],[Is Data Valid]]=TRUE,((Table1[[#This Row],[Birthweight (grams)]]*1.1/Table1[[#This Row],[BW_GA]])-1)/(Backend!$B$4/100*Table1[[#This Row],[BW40_3705]]),"")</f>
        <v/>
      </c>
      <c r="J4694" s="7" t="str">
        <f>IF(Table1[[#This Row],[Is Data Valid]]=TRUE,_xlfn.NORM.S.DIST(Table1[[#This Row],[Birthweight Z-Score]],TRUE)*100,"")</f>
        <v/>
      </c>
      <c r="K4694" s="7" t="str">
        <f>IF(Table1[[#This Row],[Is Data Valid]]=TRUE,_xlfn.NORM.S.DIST(Table1[[#This Row],[Birthweight Z-Score (BW-10%)]],TRUE)*100,"")</f>
        <v/>
      </c>
      <c r="L4694" s="7" t="str">
        <f>IF(Table1[[#This Row],[Is Data Valid]]=TRUE,_xlfn.NORM.S.DIST(Table1[[#This Row],[Birthweight Z-Score (BW+10%)]],TRUE)*100,"")</f>
        <v/>
      </c>
    </row>
    <row r="4695" spans="1:12" x14ac:dyDescent="0.35">
      <c r="A4695" s="3"/>
      <c r="B4695" s="2"/>
      <c r="C4695" s="2"/>
      <c r="D4695" s="2" t="b">
        <f>IF(AND(NOT(ISBLANK(Table1[[#This Row],[Fetal Sex (Male, Female or Unknown)]])),ISNUMBER(Table1[[#This Row],[Birthweight (grams)]]),ISNUMBER(Table1[[#This Row],[Gestation (days)]])),TRUE,FALSE)</f>
        <v>0</v>
      </c>
      <c r="E4695" s="2" t="str">
        <f>IF(Table1[[#This Row],[Is Data Valid]]=TRUE,IF(Table1[[#This Row],[Fetal Sex (Male, Female or Unknown)]]="Male",Backend!$C$6,IF(Table1[[#This Row],[Fetal Sex (Male, Female or Unknown)]]="Female",Backend!$C$7,IF(Table1[[#This Row],[Fetal Sex (Male, Female or Unknown)]]="Unknown",Backend!$C$8,"Error"))),"")</f>
        <v/>
      </c>
      <c r="F4695" s="8" t="str">
        <f>IF(Table1[[#This Row],[Is Data Valid]]=TRUE,EXP(0.578+0.332*((Table1[[#This Row],[Gestation (days)]]+0.5)/7)-0.00354*((Table1[[#This Row],[Gestation (days)]]+0.5)/7)^2)*Table1[[#This Row],[BW40_3705]],"")</f>
        <v/>
      </c>
      <c r="G4695" s="2" t="str">
        <f>IF(Table1[[#This Row],[Is Data Valid]]=TRUE,((Table1[[#This Row],[Birthweight (grams)]]/Table1[[#This Row],[BW_GA]])-1)/(Backend!$B$4/100*Table1[[#This Row],[BW40_3705]]),"")</f>
        <v/>
      </c>
      <c r="H4695" s="7" t="str">
        <f>IF(Table1[[#This Row],[Is Data Valid]]=TRUE,((Table1[[#This Row],[Birthweight (grams)]]*0.9/Table1[[#This Row],[BW_GA]])-1)/(Backend!$B$4/100*Table1[[#This Row],[BW40_3705]]),"")</f>
        <v/>
      </c>
      <c r="I4695" s="7" t="str">
        <f>IF(Table1[[#This Row],[Is Data Valid]]=TRUE,((Table1[[#This Row],[Birthweight (grams)]]*1.1/Table1[[#This Row],[BW_GA]])-1)/(Backend!$B$4/100*Table1[[#This Row],[BW40_3705]]),"")</f>
        <v/>
      </c>
      <c r="J4695" s="7" t="str">
        <f>IF(Table1[[#This Row],[Is Data Valid]]=TRUE,_xlfn.NORM.S.DIST(Table1[[#This Row],[Birthweight Z-Score]],TRUE)*100,"")</f>
        <v/>
      </c>
      <c r="K4695" s="7" t="str">
        <f>IF(Table1[[#This Row],[Is Data Valid]]=TRUE,_xlfn.NORM.S.DIST(Table1[[#This Row],[Birthweight Z-Score (BW-10%)]],TRUE)*100,"")</f>
        <v/>
      </c>
      <c r="L4695" s="7" t="str">
        <f>IF(Table1[[#This Row],[Is Data Valid]]=TRUE,_xlfn.NORM.S.DIST(Table1[[#This Row],[Birthweight Z-Score (BW+10%)]],TRUE)*100,"")</f>
        <v/>
      </c>
    </row>
    <row r="4696" spans="1:12" x14ac:dyDescent="0.35">
      <c r="A4696" s="3"/>
      <c r="B4696" s="2"/>
      <c r="C4696" s="2"/>
      <c r="D4696" s="2" t="b">
        <f>IF(AND(NOT(ISBLANK(Table1[[#This Row],[Fetal Sex (Male, Female or Unknown)]])),ISNUMBER(Table1[[#This Row],[Birthweight (grams)]]),ISNUMBER(Table1[[#This Row],[Gestation (days)]])),TRUE,FALSE)</f>
        <v>0</v>
      </c>
      <c r="E4696" s="2" t="str">
        <f>IF(Table1[[#This Row],[Is Data Valid]]=TRUE,IF(Table1[[#This Row],[Fetal Sex (Male, Female or Unknown)]]="Male",Backend!$C$6,IF(Table1[[#This Row],[Fetal Sex (Male, Female or Unknown)]]="Female",Backend!$C$7,IF(Table1[[#This Row],[Fetal Sex (Male, Female or Unknown)]]="Unknown",Backend!$C$8,"Error"))),"")</f>
        <v/>
      </c>
      <c r="F4696" s="8" t="str">
        <f>IF(Table1[[#This Row],[Is Data Valid]]=TRUE,EXP(0.578+0.332*((Table1[[#This Row],[Gestation (days)]]+0.5)/7)-0.00354*((Table1[[#This Row],[Gestation (days)]]+0.5)/7)^2)*Table1[[#This Row],[BW40_3705]],"")</f>
        <v/>
      </c>
      <c r="G4696" s="2" t="str">
        <f>IF(Table1[[#This Row],[Is Data Valid]]=TRUE,((Table1[[#This Row],[Birthweight (grams)]]/Table1[[#This Row],[BW_GA]])-1)/(Backend!$B$4/100*Table1[[#This Row],[BW40_3705]]),"")</f>
        <v/>
      </c>
      <c r="H4696" s="7" t="str">
        <f>IF(Table1[[#This Row],[Is Data Valid]]=TRUE,((Table1[[#This Row],[Birthweight (grams)]]*0.9/Table1[[#This Row],[BW_GA]])-1)/(Backend!$B$4/100*Table1[[#This Row],[BW40_3705]]),"")</f>
        <v/>
      </c>
      <c r="I4696" s="7" t="str">
        <f>IF(Table1[[#This Row],[Is Data Valid]]=TRUE,((Table1[[#This Row],[Birthweight (grams)]]*1.1/Table1[[#This Row],[BW_GA]])-1)/(Backend!$B$4/100*Table1[[#This Row],[BW40_3705]]),"")</f>
        <v/>
      </c>
      <c r="J4696" s="7" t="str">
        <f>IF(Table1[[#This Row],[Is Data Valid]]=TRUE,_xlfn.NORM.S.DIST(Table1[[#This Row],[Birthweight Z-Score]],TRUE)*100,"")</f>
        <v/>
      </c>
      <c r="K4696" s="7" t="str">
        <f>IF(Table1[[#This Row],[Is Data Valid]]=TRUE,_xlfn.NORM.S.DIST(Table1[[#This Row],[Birthweight Z-Score (BW-10%)]],TRUE)*100,"")</f>
        <v/>
      </c>
      <c r="L4696" s="7" t="str">
        <f>IF(Table1[[#This Row],[Is Data Valid]]=TRUE,_xlfn.NORM.S.DIST(Table1[[#This Row],[Birthweight Z-Score (BW+10%)]],TRUE)*100,"")</f>
        <v/>
      </c>
    </row>
    <row r="4697" spans="1:12" x14ac:dyDescent="0.35">
      <c r="A4697" s="3"/>
      <c r="B4697" s="2"/>
      <c r="C4697" s="2"/>
      <c r="D4697" s="2" t="b">
        <f>IF(AND(NOT(ISBLANK(Table1[[#This Row],[Fetal Sex (Male, Female or Unknown)]])),ISNUMBER(Table1[[#This Row],[Birthweight (grams)]]),ISNUMBER(Table1[[#This Row],[Gestation (days)]])),TRUE,FALSE)</f>
        <v>0</v>
      </c>
      <c r="E4697" s="2" t="str">
        <f>IF(Table1[[#This Row],[Is Data Valid]]=TRUE,IF(Table1[[#This Row],[Fetal Sex (Male, Female or Unknown)]]="Male",Backend!$C$6,IF(Table1[[#This Row],[Fetal Sex (Male, Female or Unknown)]]="Female",Backend!$C$7,IF(Table1[[#This Row],[Fetal Sex (Male, Female or Unknown)]]="Unknown",Backend!$C$8,"Error"))),"")</f>
        <v/>
      </c>
      <c r="F4697" s="8" t="str">
        <f>IF(Table1[[#This Row],[Is Data Valid]]=TRUE,EXP(0.578+0.332*((Table1[[#This Row],[Gestation (days)]]+0.5)/7)-0.00354*((Table1[[#This Row],[Gestation (days)]]+0.5)/7)^2)*Table1[[#This Row],[BW40_3705]],"")</f>
        <v/>
      </c>
      <c r="G4697" s="2" t="str">
        <f>IF(Table1[[#This Row],[Is Data Valid]]=TRUE,((Table1[[#This Row],[Birthweight (grams)]]/Table1[[#This Row],[BW_GA]])-1)/(Backend!$B$4/100*Table1[[#This Row],[BW40_3705]]),"")</f>
        <v/>
      </c>
      <c r="H4697" s="7" t="str">
        <f>IF(Table1[[#This Row],[Is Data Valid]]=TRUE,((Table1[[#This Row],[Birthweight (grams)]]*0.9/Table1[[#This Row],[BW_GA]])-1)/(Backend!$B$4/100*Table1[[#This Row],[BW40_3705]]),"")</f>
        <v/>
      </c>
      <c r="I4697" s="7" t="str">
        <f>IF(Table1[[#This Row],[Is Data Valid]]=TRUE,((Table1[[#This Row],[Birthweight (grams)]]*1.1/Table1[[#This Row],[BW_GA]])-1)/(Backend!$B$4/100*Table1[[#This Row],[BW40_3705]]),"")</f>
        <v/>
      </c>
      <c r="J4697" s="7" t="str">
        <f>IF(Table1[[#This Row],[Is Data Valid]]=TRUE,_xlfn.NORM.S.DIST(Table1[[#This Row],[Birthweight Z-Score]],TRUE)*100,"")</f>
        <v/>
      </c>
      <c r="K4697" s="7" t="str">
        <f>IF(Table1[[#This Row],[Is Data Valid]]=TRUE,_xlfn.NORM.S.DIST(Table1[[#This Row],[Birthweight Z-Score (BW-10%)]],TRUE)*100,"")</f>
        <v/>
      </c>
      <c r="L4697" s="7" t="str">
        <f>IF(Table1[[#This Row],[Is Data Valid]]=TRUE,_xlfn.NORM.S.DIST(Table1[[#This Row],[Birthweight Z-Score (BW+10%)]],TRUE)*100,"")</f>
        <v/>
      </c>
    </row>
    <row r="4698" spans="1:12" x14ac:dyDescent="0.35">
      <c r="A4698" s="3"/>
      <c r="B4698" s="2"/>
      <c r="C4698" s="2"/>
      <c r="D4698" s="2" t="b">
        <f>IF(AND(NOT(ISBLANK(Table1[[#This Row],[Fetal Sex (Male, Female or Unknown)]])),ISNUMBER(Table1[[#This Row],[Birthweight (grams)]]),ISNUMBER(Table1[[#This Row],[Gestation (days)]])),TRUE,FALSE)</f>
        <v>0</v>
      </c>
      <c r="E4698" s="2" t="str">
        <f>IF(Table1[[#This Row],[Is Data Valid]]=TRUE,IF(Table1[[#This Row],[Fetal Sex (Male, Female or Unknown)]]="Male",Backend!$C$6,IF(Table1[[#This Row],[Fetal Sex (Male, Female or Unknown)]]="Female",Backend!$C$7,IF(Table1[[#This Row],[Fetal Sex (Male, Female or Unknown)]]="Unknown",Backend!$C$8,"Error"))),"")</f>
        <v/>
      </c>
      <c r="F4698" s="8" t="str">
        <f>IF(Table1[[#This Row],[Is Data Valid]]=TRUE,EXP(0.578+0.332*((Table1[[#This Row],[Gestation (days)]]+0.5)/7)-0.00354*((Table1[[#This Row],[Gestation (days)]]+0.5)/7)^2)*Table1[[#This Row],[BW40_3705]],"")</f>
        <v/>
      </c>
      <c r="G4698" s="2" t="str">
        <f>IF(Table1[[#This Row],[Is Data Valid]]=TRUE,((Table1[[#This Row],[Birthweight (grams)]]/Table1[[#This Row],[BW_GA]])-1)/(Backend!$B$4/100*Table1[[#This Row],[BW40_3705]]),"")</f>
        <v/>
      </c>
      <c r="H4698" s="7" t="str">
        <f>IF(Table1[[#This Row],[Is Data Valid]]=TRUE,((Table1[[#This Row],[Birthweight (grams)]]*0.9/Table1[[#This Row],[BW_GA]])-1)/(Backend!$B$4/100*Table1[[#This Row],[BW40_3705]]),"")</f>
        <v/>
      </c>
      <c r="I4698" s="7" t="str">
        <f>IF(Table1[[#This Row],[Is Data Valid]]=TRUE,((Table1[[#This Row],[Birthweight (grams)]]*1.1/Table1[[#This Row],[BW_GA]])-1)/(Backend!$B$4/100*Table1[[#This Row],[BW40_3705]]),"")</f>
        <v/>
      </c>
      <c r="J4698" s="7" t="str">
        <f>IF(Table1[[#This Row],[Is Data Valid]]=TRUE,_xlfn.NORM.S.DIST(Table1[[#This Row],[Birthweight Z-Score]],TRUE)*100,"")</f>
        <v/>
      </c>
      <c r="K4698" s="7" t="str">
        <f>IF(Table1[[#This Row],[Is Data Valid]]=TRUE,_xlfn.NORM.S.DIST(Table1[[#This Row],[Birthweight Z-Score (BW-10%)]],TRUE)*100,"")</f>
        <v/>
      </c>
      <c r="L4698" s="7" t="str">
        <f>IF(Table1[[#This Row],[Is Data Valid]]=TRUE,_xlfn.NORM.S.DIST(Table1[[#This Row],[Birthweight Z-Score (BW+10%)]],TRUE)*100,"")</f>
        <v/>
      </c>
    </row>
    <row r="4699" spans="1:12" x14ac:dyDescent="0.35">
      <c r="A4699" s="3"/>
      <c r="B4699" s="2"/>
      <c r="C4699" s="2"/>
      <c r="D4699" s="2" t="b">
        <f>IF(AND(NOT(ISBLANK(Table1[[#This Row],[Fetal Sex (Male, Female or Unknown)]])),ISNUMBER(Table1[[#This Row],[Birthweight (grams)]]),ISNUMBER(Table1[[#This Row],[Gestation (days)]])),TRUE,FALSE)</f>
        <v>0</v>
      </c>
      <c r="E4699" s="2" t="str">
        <f>IF(Table1[[#This Row],[Is Data Valid]]=TRUE,IF(Table1[[#This Row],[Fetal Sex (Male, Female or Unknown)]]="Male",Backend!$C$6,IF(Table1[[#This Row],[Fetal Sex (Male, Female or Unknown)]]="Female",Backend!$C$7,IF(Table1[[#This Row],[Fetal Sex (Male, Female or Unknown)]]="Unknown",Backend!$C$8,"Error"))),"")</f>
        <v/>
      </c>
      <c r="F4699" s="8" t="str">
        <f>IF(Table1[[#This Row],[Is Data Valid]]=TRUE,EXP(0.578+0.332*((Table1[[#This Row],[Gestation (days)]]+0.5)/7)-0.00354*((Table1[[#This Row],[Gestation (days)]]+0.5)/7)^2)*Table1[[#This Row],[BW40_3705]],"")</f>
        <v/>
      </c>
      <c r="G4699" s="2" t="str">
        <f>IF(Table1[[#This Row],[Is Data Valid]]=TRUE,((Table1[[#This Row],[Birthweight (grams)]]/Table1[[#This Row],[BW_GA]])-1)/(Backend!$B$4/100*Table1[[#This Row],[BW40_3705]]),"")</f>
        <v/>
      </c>
      <c r="H4699" s="7" t="str">
        <f>IF(Table1[[#This Row],[Is Data Valid]]=TRUE,((Table1[[#This Row],[Birthweight (grams)]]*0.9/Table1[[#This Row],[BW_GA]])-1)/(Backend!$B$4/100*Table1[[#This Row],[BW40_3705]]),"")</f>
        <v/>
      </c>
      <c r="I4699" s="7" t="str">
        <f>IF(Table1[[#This Row],[Is Data Valid]]=TRUE,((Table1[[#This Row],[Birthweight (grams)]]*1.1/Table1[[#This Row],[BW_GA]])-1)/(Backend!$B$4/100*Table1[[#This Row],[BW40_3705]]),"")</f>
        <v/>
      </c>
      <c r="J4699" s="7" t="str">
        <f>IF(Table1[[#This Row],[Is Data Valid]]=TRUE,_xlfn.NORM.S.DIST(Table1[[#This Row],[Birthweight Z-Score]],TRUE)*100,"")</f>
        <v/>
      </c>
      <c r="K4699" s="7" t="str">
        <f>IF(Table1[[#This Row],[Is Data Valid]]=TRUE,_xlfn.NORM.S.DIST(Table1[[#This Row],[Birthweight Z-Score (BW-10%)]],TRUE)*100,"")</f>
        <v/>
      </c>
      <c r="L4699" s="7" t="str">
        <f>IF(Table1[[#This Row],[Is Data Valid]]=TRUE,_xlfn.NORM.S.DIST(Table1[[#This Row],[Birthweight Z-Score (BW+10%)]],TRUE)*100,"")</f>
        <v/>
      </c>
    </row>
    <row r="4700" spans="1:12" x14ac:dyDescent="0.35">
      <c r="A4700" s="3"/>
      <c r="B4700" s="2"/>
      <c r="C4700" s="2"/>
      <c r="D4700" s="2" t="b">
        <f>IF(AND(NOT(ISBLANK(Table1[[#This Row],[Fetal Sex (Male, Female or Unknown)]])),ISNUMBER(Table1[[#This Row],[Birthweight (grams)]]),ISNUMBER(Table1[[#This Row],[Gestation (days)]])),TRUE,FALSE)</f>
        <v>0</v>
      </c>
      <c r="E4700" s="2" t="str">
        <f>IF(Table1[[#This Row],[Is Data Valid]]=TRUE,IF(Table1[[#This Row],[Fetal Sex (Male, Female or Unknown)]]="Male",Backend!$C$6,IF(Table1[[#This Row],[Fetal Sex (Male, Female or Unknown)]]="Female",Backend!$C$7,IF(Table1[[#This Row],[Fetal Sex (Male, Female or Unknown)]]="Unknown",Backend!$C$8,"Error"))),"")</f>
        <v/>
      </c>
      <c r="F4700" s="8" t="str">
        <f>IF(Table1[[#This Row],[Is Data Valid]]=TRUE,EXP(0.578+0.332*((Table1[[#This Row],[Gestation (days)]]+0.5)/7)-0.00354*((Table1[[#This Row],[Gestation (days)]]+0.5)/7)^2)*Table1[[#This Row],[BW40_3705]],"")</f>
        <v/>
      </c>
      <c r="G4700" s="2" t="str">
        <f>IF(Table1[[#This Row],[Is Data Valid]]=TRUE,((Table1[[#This Row],[Birthweight (grams)]]/Table1[[#This Row],[BW_GA]])-1)/(Backend!$B$4/100*Table1[[#This Row],[BW40_3705]]),"")</f>
        <v/>
      </c>
      <c r="H4700" s="7" t="str">
        <f>IF(Table1[[#This Row],[Is Data Valid]]=TRUE,((Table1[[#This Row],[Birthweight (grams)]]*0.9/Table1[[#This Row],[BW_GA]])-1)/(Backend!$B$4/100*Table1[[#This Row],[BW40_3705]]),"")</f>
        <v/>
      </c>
      <c r="I4700" s="7" t="str">
        <f>IF(Table1[[#This Row],[Is Data Valid]]=TRUE,((Table1[[#This Row],[Birthweight (grams)]]*1.1/Table1[[#This Row],[BW_GA]])-1)/(Backend!$B$4/100*Table1[[#This Row],[BW40_3705]]),"")</f>
        <v/>
      </c>
      <c r="J4700" s="7" t="str">
        <f>IF(Table1[[#This Row],[Is Data Valid]]=TRUE,_xlfn.NORM.S.DIST(Table1[[#This Row],[Birthweight Z-Score]],TRUE)*100,"")</f>
        <v/>
      </c>
      <c r="K4700" s="7" t="str">
        <f>IF(Table1[[#This Row],[Is Data Valid]]=TRUE,_xlfn.NORM.S.DIST(Table1[[#This Row],[Birthweight Z-Score (BW-10%)]],TRUE)*100,"")</f>
        <v/>
      </c>
      <c r="L4700" s="7" t="str">
        <f>IF(Table1[[#This Row],[Is Data Valid]]=TRUE,_xlfn.NORM.S.DIST(Table1[[#This Row],[Birthweight Z-Score (BW+10%)]],TRUE)*100,"")</f>
        <v/>
      </c>
    </row>
    <row r="4701" spans="1:12" x14ac:dyDescent="0.35">
      <c r="A4701" s="3"/>
      <c r="B4701" s="2"/>
      <c r="C4701" s="2"/>
      <c r="D4701" s="2" t="b">
        <f>IF(AND(NOT(ISBLANK(Table1[[#This Row],[Fetal Sex (Male, Female or Unknown)]])),ISNUMBER(Table1[[#This Row],[Birthweight (grams)]]),ISNUMBER(Table1[[#This Row],[Gestation (days)]])),TRUE,FALSE)</f>
        <v>0</v>
      </c>
      <c r="E4701" s="2" t="str">
        <f>IF(Table1[[#This Row],[Is Data Valid]]=TRUE,IF(Table1[[#This Row],[Fetal Sex (Male, Female or Unknown)]]="Male",Backend!$C$6,IF(Table1[[#This Row],[Fetal Sex (Male, Female or Unknown)]]="Female",Backend!$C$7,IF(Table1[[#This Row],[Fetal Sex (Male, Female or Unknown)]]="Unknown",Backend!$C$8,"Error"))),"")</f>
        <v/>
      </c>
      <c r="F4701" s="8" t="str">
        <f>IF(Table1[[#This Row],[Is Data Valid]]=TRUE,EXP(0.578+0.332*((Table1[[#This Row],[Gestation (days)]]+0.5)/7)-0.00354*((Table1[[#This Row],[Gestation (days)]]+0.5)/7)^2)*Table1[[#This Row],[BW40_3705]],"")</f>
        <v/>
      </c>
      <c r="G4701" s="2" t="str">
        <f>IF(Table1[[#This Row],[Is Data Valid]]=TRUE,((Table1[[#This Row],[Birthweight (grams)]]/Table1[[#This Row],[BW_GA]])-1)/(Backend!$B$4/100*Table1[[#This Row],[BW40_3705]]),"")</f>
        <v/>
      </c>
      <c r="H4701" s="7" t="str">
        <f>IF(Table1[[#This Row],[Is Data Valid]]=TRUE,((Table1[[#This Row],[Birthweight (grams)]]*0.9/Table1[[#This Row],[BW_GA]])-1)/(Backend!$B$4/100*Table1[[#This Row],[BW40_3705]]),"")</f>
        <v/>
      </c>
      <c r="I4701" s="7" t="str">
        <f>IF(Table1[[#This Row],[Is Data Valid]]=TRUE,((Table1[[#This Row],[Birthweight (grams)]]*1.1/Table1[[#This Row],[BW_GA]])-1)/(Backend!$B$4/100*Table1[[#This Row],[BW40_3705]]),"")</f>
        <v/>
      </c>
      <c r="J4701" s="7" t="str">
        <f>IF(Table1[[#This Row],[Is Data Valid]]=TRUE,_xlfn.NORM.S.DIST(Table1[[#This Row],[Birthweight Z-Score]],TRUE)*100,"")</f>
        <v/>
      </c>
      <c r="K4701" s="7" t="str">
        <f>IF(Table1[[#This Row],[Is Data Valid]]=TRUE,_xlfn.NORM.S.DIST(Table1[[#This Row],[Birthweight Z-Score (BW-10%)]],TRUE)*100,"")</f>
        <v/>
      </c>
      <c r="L4701" s="7" t="str">
        <f>IF(Table1[[#This Row],[Is Data Valid]]=TRUE,_xlfn.NORM.S.DIST(Table1[[#This Row],[Birthweight Z-Score (BW+10%)]],TRUE)*100,"")</f>
        <v/>
      </c>
    </row>
    <row r="4702" spans="1:12" x14ac:dyDescent="0.35">
      <c r="A4702" s="3"/>
      <c r="B4702" s="2"/>
      <c r="C4702" s="2"/>
      <c r="D4702" s="2" t="b">
        <f>IF(AND(NOT(ISBLANK(Table1[[#This Row],[Fetal Sex (Male, Female or Unknown)]])),ISNUMBER(Table1[[#This Row],[Birthweight (grams)]]),ISNUMBER(Table1[[#This Row],[Gestation (days)]])),TRUE,FALSE)</f>
        <v>0</v>
      </c>
      <c r="E4702" s="2" t="str">
        <f>IF(Table1[[#This Row],[Is Data Valid]]=TRUE,IF(Table1[[#This Row],[Fetal Sex (Male, Female or Unknown)]]="Male",Backend!$C$6,IF(Table1[[#This Row],[Fetal Sex (Male, Female or Unknown)]]="Female",Backend!$C$7,IF(Table1[[#This Row],[Fetal Sex (Male, Female or Unknown)]]="Unknown",Backend!$C$8,"Error"))),"")</f>
        <v/>
      </c>
      <c r="F4702" s="8" t="str">
        <f>IF(Table1[[#This Row],[Is Data Valid]]=TRUE,EXP(0.578+0.332*((Table1[[#This Row],[Gestation (days)]]+0.5)/7)-0.00354*((Table1[[#This Row],[Gestation (days)]]+0.5)/7)^2)*Table1[[#This Row],[BW40_3705]],"")</f>
        <v/>
      </c>
      <c r="G4702" s="2" t="str">
        <f>IF(Table1[[#This Row],[Is Data Valid]]=TRUE,((Table1[[#This Row],[Birthweight (grams)]]/Table1[[#This Row],[BW_GA]])-1)/(Backend!$B$4/100*Table1[[#This Row],[BW40_3705]]),"")</f>
        <v/>
      </c>
      <c r="H4702" s="7" t="str">
        <f>IF(Table1[[#This Row],[Is Data Valid]]=TRUE,((Table1[[#This Row],[Birthweight (grams)]]*0.9/Table1[[#This Row],[BW_GA]])-1)/(Backend!$B$4/100*Table1[[#This Row],[BW40_3705]]),"")</f>
        <v/>
      </c>
      <c r="I4702" s="7" t="str">
        <f>IF(Table1[[#This Row],[Is Data Valid]]=TRUE,((Table1[[#This Row],[Birthweight (grams)]]*1.1/Table1[[#This Row],[BW_GA]])-1)/(Backend!$B$4/100*Table1[[#This Row],[BW40_3705]]),"")</f>
        <v/>
      </c>
      <c r="J4702" s="7" t="str">
        <f>IF(Table1[[#This Row],[Is Data Valid]]=TRUE,_xlfn.NORM.S.DIST(Table1[[#This Row],[Birthweight Z-Score]],TRUE)*100,"")</f>
        <v/>
      </c>
      <c r="K4702" s="7" t="str">
        <f>IF(Table1[[#This Row],[Is Data Valid]]=TRUE,_xlfn.NORM.S.DIST(Table1[[#This Row],[Birthweight Z-Score (BW-10%)]],TRUE)*100,"")</f>
        <v/>
      </c>
      <c r="L4702" s="7" t="str">
        <f>IF(Table1[[#This Row],[Is Data Valid]]=TRUE,_xlfn.NORM.S.DIST(Table1[[#This Row],[Birthweight Z-Score (BW+10%)]],TRUE)*100,"")</f>
        <v/>
      </c>
    </row>
    <row r="4703" spans="1:12" x14ac:dyDescent="0.35">
      <c r="A4703" s="3"/>
      <c r="B4703" s="2"/>
      <c r="C4703" s="2"/>
      <c r="D4703" s="2" t="b">
        <f>IF(AND(NOT(ISBLANK(Table1[[#This Row],[Fetal Sex (Male, Female or Unknown)]])),ISNUMBER(Table1[[#This Row],[Birthweight (grams)]]),ISNUMBER(Table1[[#This Row],[Gestation (days)]])),TRUE,FALSE)</f>
        <v>0</v>
      </c>
      <c r="E4703" s="2" t="str">
        <f>IF(Table1[[#This Row],[Is Data Valid]]=TRUE,IF(Table1[[#This Row],[Fetal Sex (Male, Female or Unknown)]]="Male",Backend!$C$6,IF(Table1[[#This Row],[Fetal Sex (Male, Female or Unknown)]]="Female",Backend!$C$7,IF(Table1[[#This Row],[Fetal Sex (Male, Female or Unknown)]]="Unknown",Backend!$C$8,"Error"))),"")</f>
        <v/>
      </c>
      <c r="F4703" s="8" t="str">
        <f>IF(Table1[[#This Row],[Is Data Valid]]=TRUE,EXP(0.578+0.332*((Table1[[#This Row],[Gestation (days)]]+0.5)/7)-0.00354*((Table1[[#This Row],[Gestation (days)]]+0.5)/7)^2)*Table1[[#This Row],[BW40_3705]],"")</f>
        <v/>
      </c>
      <c r="G4703" s="2" t="str">
        <f>IF(Table1[[#This Row],[Is Data Valid]]=TRUE,((Table1[[#This Row],[Birthweight (grams)]]/Table1[[#This Row],[BW_GA]])-1)/(Backend!$B$4/100*Table1[[#This Row],[BW40_3705]]),"")</f>
        <v/>
      </c>
      <c r="H4703" s="7" t="str">
        <f>IF(Table1[[#This Row],[Is Data Valid]]=TRUE,((Table1[[#This Row],[Birthweight (grams)]]*0.9/Table1[[#This Row],[BW_GA]])-1)/(Backend!$B$4/100*Table1[[#This Row],[BW40_3705]]),"")</f>
        <v/>
      </c>
      <c r="I4703" s="7" t="str">
        <f>IF(Table1[[#This Row],[Is Data Valid]]=TRUE,((Table1[[#This Row],[Birthweight (grams)]]*1.1/Table1[[#This Row],[BW_GA]])-1)/(Backend!$B$4/100*Table1[[#This Row],[BW40_3705]]),"")</f>
        <v/>
      </c>
      <c r="J4703" s="7" t="str">
        <f>IF(Table1[[#This Row],[Is Data Valid]]=TRUE,_xlfn.NORM.S.DIST(Table1[[#This Row],[Birthweight Z-Score]],TRUE)*100,"")</f>
        <v/>
      </c>
      <c r="K4703" s="7" t="str">
        <f>IF(Table1[[#This Row],[Is Data Valid]]=TRUE,_xlfn.NORM.S.DIST(Table1[[#This Row],[Birthweight Z-Score (BW-10%)]],TRUE)*100,"")</f>
        <v/>
      </c>
      <c r="L4703" s="7" t="str">
        <f>IF(Table1[[#This Row],[Is Data Valid]]=TRUE,_xlfn.NORM.S.DIST(Table1[[#This Row],[Birthweight Z-Score (BW+10%)]],TRUE)*100,"")</f>
        <v/>
      </c>
    </row>
    <row r="4704" spans="1:12" x14ac:dyDescent="0.35">
      <c r="A4704" s="3"/>
      <c r="B4704" s="2"/>
      <c r="C4704" s="2"/>
      <c r="D4704" s="2" t="b">
        <f>IF(AND(NOT(ISBLANK(Table1[[#This Row],[Fetal Sex (Male, Female or Unknown)]])),ISNUMBER(Table1[[#This Row],[Birthweight (grams)]]),ISNUMBER(Table1[[#This Row],[Gestation (days)]])),TRUE,FALSE)</f>
        <v>0</v>
      </c>
      <c r="E4704" s="2" t="str">
        <f>IF(Table1[[#This Row],[Is Data Valid]]=TRUE,IF(Table1[[#This Row],[Fetal Sex (Male, Female or Unknown)]]="Male",Backend!$C$6,IF(Table1[[#This Row],[Fetal Sex (Male, Female or Unknown)]]="Female",Backend!$C$7,IF(Table1[[#This Row],[Fetal Sex (Male, Female or Unknown)]]="Unknown",Backend!$C$8,"Error"))),"")</f>
        <v/>
      </c>
      <c r="F4704" s="8" t="str">
        <f>IF(Table1[[#This Row],[Is Data Valid]]=TRUE,EXP(0.578+0.332*((Table1[[#This Row],[Gestation (days)]]+0.5)/7)-0.00354*((Table1[[#This Row],[Gestation (days)]]+0.5)/7)^2)*Table1[[#This Row],[BW40_3705]],"")</f>
        <v/>
      </c>
      <c r="G4704" s="2" t="str">
        <f>IF(Table1[[#This Row],[Is Data Valid]]=TRUE,((Table1[[#This Row],[Birthweight (grams)]]/Table1[[#This Row],[BW_GA]])-1)/(Backend!$B$4/100*Table1[[#This Row],[BW40_3705]]),"")</f>
        <v/>
      </c>
      <c r="H4704" s="7" t="str">
        <f>IF(Table1[[#This Row],[Is Data Valid]]=TRUE,((Table1[[#This Row],[Birthweight (grams)]]*0.9/Table1[[#This Row],[BW_GA]])-1)/(Backend!$B$4/100*Table1[[#This Row],[BW40_3705]]),"")</f>
        <v/>
      </c>
      <c r="I4704" s="7" t="str">
        <f>IF(Table1[[#This Row],[Is Data Valid]]=TRUE,((Table1[[#This Row],[Birthweight (grams)]]*1.1/Table1[[#This Row],[BW_GA]])-1)/(Backend!$B$4/100*Table1[[#This Row],[BW40_3705]]),"")</f>
        <v/>
      </c>
      <c r="J4704" s="7" t="str">
        <f>IF(Table1[[#This Row],[Is Data Valid]]=TRUE,_xlfn.NORM.S.DIST(Table1[[#This Row],[Birthweight Z-Score]],TRUE)*100,"")</f>
        <v/>
      </c>
      <c r="K4704" s="7" t="str">
        <f>IF(Table1[[#This Row],[Is Data Valid]]=TRUE,_xlfn.NORM.S.DIST(Table1[[#This Row],[Birthweight Z-Score (BW-10%)]],TRUE)*100,"")</f>
        <v/>
      </c>
      <c r="L4704" s="7" t="str">
        <f>IF(Table1[[#This Row],[Is Data Valid]]=TRUE,_xlfn.NORM.S.DIST(Table1[[#This Row],[Birthweight Z-Score (BW+10%)]],TRUE)*100,"")</f>
        <v/>
      </c>
    </row>
    <row r="4705" spans="1:12" x14ac:dyDescent="0.35">
      <c r="A4705" s="3"/>
      <c r="B4705" s="2"/>
      <c r="C4705" s="2"/>
      <c r="D4705" s="2" t="b">
        <f>IF(AND(NOT(ISBLANK(Table1[[#This Row],[Fetal Sex (Male, Female or Unknown)]])),ISNUMBER(Table1[[#This Row],[Birthweight (grams)]]),ISNUMBER(Table1[[#This Row],[Gestation (days)]])),TRUE,FALSE)</f>
        <v>0</v>
      </c>
      <c r="E4705" s="2" t="str">
        <f>IF(Table1[[#This Row],[Is Data Valid]]=TRUE,IF(Table1[[#This Row],[Fetal Sex (Male, Female or Unknown)]]="Male",Backend!$C$6,IF(Table1[[#This Row],[Fetal Sex (Male, Female or Unknown)]]="Female",Backend!$C$7,IF(Table1[[#This Row],[Fetal Sex (Male, Female or Unknown)]]="Unknown",Backend!$C$8,"Error"))),"")</f>
        <v/>
      </c>
      <c r="F4705" s="8" t="str">
        <f>IF(Table1[[#This Row],[Is Data Valid]]=TRUE,EXP(0.578+0.332*((Table1[[#This Row],[Gestation (days)]]+0.5)/7)-0.00354*((Table1[[#This Row],[Gestation (days)]]+0.5)/7)^2)*Table1[[#This Row],[BW40_3705]],"")</f>
        <v/>
      </c>
      <c r="G4705" s="2" t="str">
        <f>IF(Table1[[#This Row],[Is Data Valid]]=TRUE,((Table1[[#This Row],[Birthweight (grams)]]/Table1[[#This Row],[BW_GA]])-1)/(Backend!$B$4/100*Table1[[#This Row],[BW40_3705]]),"")</f>
        <v/>
      </c>
      <c r="H4705" s="7" t="str">
        <f>IF(Table1[[#This Row],[Is Data Valid]]=TRUE,((Table1[[#This Row],[Birthweight (grams)]]*0.9/Table1[[#This Row],[BW_GA]])-1)/(Backend!$B$4/100*Table1[[#This Row],[BW40_3705]]),"")</f>
        <v/>
      </c>
      <c r="I4705" s="7" t="str">
        <f>IF(Table1[[#This Row],[Is Data Valid]]=TRUE,((Table1[[#This Row],[Birthweight (grams)]]*1.1/Table1[[#This Row],[BW_GA]])-1)/(Backend!$B$4/100*Table1[[#This Row],[BW40_3705]]),"")</f>
        <v/>
      </c>
      <c r="J4705" s="7" t="str">
        <f>IF(Table1[[#This Row],[Is Data Valid]]=TRUE,_xlfn.NORM.S.DIST(Table1[[#This Row],[Birthweight Z-Score]],TRUE)*100,"")</f>
        <v/>
      </c>
      <c r="K4705" s="7" t="str">
        <f>IF(Table1[[#This Row],[Is Data Valid]]=TRUE,_xlfn.NORM.S.DIST(Table1[[#This Row],[Birthweight Z-Score (BW-10%)]],TRUE)*100,"")</f>
        <v/>
      </c>
      <c r="L4705" s="7" t="str">
        <f>IF(Table1[[#This Row],[Is Data Valid]]=TRUE,_xlfn.NORM.S.DIST(Table1[[#This Row],[Birthweight Z-Score (BW+10%)]],TRUE)*100,"")</f>
        <v/>
      </c>
    </row>
    <row r="4706" spans="1:12" x14ac:dyDescent="0.35">
      <c r="A4706" s="3"/>
      <c r="B4706" s="2"/>
      <c r="C4706" s="2"/>
      <c r="D4706" s="2" t="b">
        <f>IF(AND(NOT(ISBLANK(Table1[[#This Row],[Fetal Sex (Male, Female or Unknown)]])),ISNUMBER(Table1[[#This Row],[Birthweight (grams)]]),ISNUMBER(Table1[[#This Row],[Gestation (days)]])),TRUE,FALSE)</f>
        <v>0</v>
      </c>
      <c r="E4706" s="2" t="str">
        <f>IF(Table1[[#This Row],[Is Data Valid]]=TRUE,IF(Table1[[#This Row],[Fetal Sex (Male, Female or Unknown)]]="Male",Backend!$C$6,IF(Table1[[#This Row],[Fetal Sex (Male, Female or Unknown)]]="Female",Backend!$C$7,IF(Table1[[#This Row],[Fetal Sex (Male, Female or Unknown)]]="Unknown",Backend!$C$8,"Error"))),"")</f>
        <v/>
      </c>
      <c r="F4706" s="8" t="str">
        <f>IF(Table1[[#This Row],[Is Data Valid]]=TRUE,EXP(0.578+0.332*((Table1[[#This Row],[Gestation (days)]]+0.5)/7)-0.00354*((Table1[[#This Row],[Gestation (days)]]+0.5)/7)^2)*Table1[[#This Row],[BW40_3705]],"")</f>
        <v/>
      </c>
      <c r="G4706" s="2" t="str">
        <f>IF(Table1[[#This Row],[Is Data Valid]]=TRUE,((Table1[[#This Row],[Birthweight (grams)]]/Table1[[#This Row],[BW_GA]])-1)/(Backend!$B$4/100*Table1[[#This Row],[BW40_3705]]),"")</f>
        <v/>
      </c>
      <c r="H4706" s="7" t="str">
        <f>IF(Table1[[#This Row],[Is Data Valid]]=TRUE,((Table1[[#This Row],[Birthweight (grams)]]*0.9/Table1[[#This Row],[BW_GA]])-1)/(Backend!$B$4/100*Table1[[#This Row],[BW40_3705]]),"")</f>
        <v/>
      </c>
      <c r="I4706" s="7" t="str">
        <f>IF(Table1[[#This Row],[Is Data Valid]]=TRUE,((Table1[[#This Row],[Birthweight (grams)]]*1.1/Table1[[#This Row],[BW_GA]])-1)/(Backend!$B$4/100*Table1[[#This Row],[BW40_3705]]),"")</f>
        <v/>
      </c>
      <c r="J4706" s="7" t="str">
        <f>IF(Table1[[#This Row],[Is Data Valid]]=TRUE,_xlfn.NORM.S.DIST(Table1[[#This Row],[Birthweight Z-Score]],TRUE)*100,"")</f>
        <v/>
      </c>
      <c r="K4706" s="7" t="str">
        <f>IF(Table1[[#This Row],[Is Data Valid]]=TRUE,_xlfn.NORM.S.DIST(Table1[[#This Row],[Birthweight Z-Score (BW-10%)]],TRUE)*100,"")</f>
        <v/>
      </c>
      <c r="L4706" s="7" t="str">
        <f>IF(Table1[[#This Row],[Is Data Valid]]=TRUE,_xlfn.NORM.S.DIST(Table1[[#This Row],[Birthweight Z-Score (BW+10%)]],TRUE)*100,"")</f>
        <v/>
      </c>
    </row>
    <row r="4707" spans="1:12" x14ac:dyDescent="0.35">
      <c r="A4707" s="3"/>
      <c r="B4707" s="2"/>
      <c r="C4707" s="2"/>
      <c r="D4707" s="2" t="b">
        <f>IF(AND(NOT(ISBLANK(Table1[[#This Row],[Fetal Sex (Male, Female or Unknown)]])),ISNUMBER(Table1[[#This Row],[Birthweight (grams)]]),ISNUMBER(Table1[[#This Row],[Gestation (days)]])),TRUE,FALSE)</f>
        <v>0</v>
      </c>
      <c r="E4707" s="2" t="str">
        <f>IF(Table1[[#This Row],[Is Data Valid]]=TRUE,IF(Table1[[#This Row],[Fetal Sex (Male, Female or Unknown)]]="Male",Backend!$C$6,IF(Table1[[#This Row],[Fetal Sex (Male, Female or Unknown)]]="Female",Backend!$C$7,IF(Table1[[#This Row],[Fetal Sex (Male, Female or Unknown)]]="Unknown",Backend!$C$8,"Error"))),"")</f>
        <v/>
      </c>
      <c r="F4707" s="8" t="str">
        <f>IF(Table1[[#This Row],[Is Data Valid]]=TRUE,EXP(0.578+0.332*((Table1[[#This Row],[Gestation (days)]]+0.5)/7)-0.00354*((Table1[[#This Row],[Gestation (days)]]+0.5)/7)^2)*Table1[[#This Row],[BW40_3705]],"")</f>
        <v/>
      </c>
      <c r="G4707" s="2" t="str">
        <f>IF(Table1[[#This Row],[Is Data Valid]]=TRUE,((Table1[[#This Row],[Birthweight (grams)]]/Table1[[#This Row],[BW_GA]])-1)/(Backend!$B$4/100*Table1[[#This Row],[BW40_3705]]),"")</f>
        <v/>
      </c>
      <c r="H4707" s="7" t="str">
        <f>IF(Table1[[#This Row],[Is Data Valid]]=TRUE,((Table1[[#This Row],[Birthweight (grams)]]*0.9/Table1[[#This Row],[BW_GA]])-1)/(Backend!$B$4/100*Table1[[#This Row],[BW40_3705]]),"")</f>
        <v/>
      </c>
      <c r="I4707" s="7" t="str">
        <f>IF(Table1[[#This Row],[Is Data Valid]]=TRUE,((Table1[[#This Row],[Birthweight (grams)]]*1.1/Table1[[#This Row],[BW_GA]])-1)/(Backend!$B$4/100*Table1[[#This Row],[BW40_3705]]),"")</f>
        <v/>
      </c>
      <c r="J4707" s="7" t="str">
        <f>IF(Table1[[#This Row],[Is Data Valid]]=TRUE,_xlfn.NORM.S.DIST(Table1[[#This Row],[Birthweight Z-Score]],TRUE)*100,"")</f>
        <v/>
      </c>
      <c r="K4707" s="7" t="str">
        <f>IF(Table1[[#This Row],[Is Data Valid]]=TRUE,_xlfn.NORM.S.DIST(Table1[[#This Row],[Birthweight Z-Score (BW-10%)]],TRUE)*100,"")</f>
        <v/>
      </c>
      <c r="L4707" s="7" t="str">
        <f>IF(Table1[[#This Row],[Is Data Valid]]=TRUE,_xlfn.NORM.S.DIST(Table1[[#This Row],[Birthweight Z-Score (BW+10%)]],TRUE)*100,"")</f>
        <v/>
      </c>
    </row>
    <row r="4708" spans="1:12" x14ac:dyDescent="0.35">
      <c r="A4708" s="3"/>
      <c r="B4708" s="2"/>
      <c r="C4708" s="2"/>
      <c r="D4708" s="2" t="b">
        <f>IF(AND(NOT(ISBLANK(Table1[[#This Row],[Fetal Sex (Male, Female or Unknown)]])),ISNUMBER(Table1[[#This Row],[Birthweight (grams)]]),ISNUMBER(Table1[[#This Row],[Gestation (days)]])),TRUE,FALSE)</f>
        <v>0</v>
      </c>
      <c r="E4708" s="2" t="str">
        <f>IF(Table1[[#This Row],[Is Data Valid]]=TRUE,IF(Table1[[#This Row],[Fetal Sex (Male, Female or Unknown)]]="Male",Backend!$C$6,IF(Table1[[#This Row],[Fetal Sex (Male, Female or Unknown)]]="Female",Backend!$C$7,IF(Table1[[#This Row],[Fetal Sex (Male, Female or Unknown)]]="Unknown",Backend!$C$8,"Error"))),"")</f>
        <v/>
      </c>
      <c r="F4708" s="8" t="str">
        <f>IF(Table1[[#This Row],[Is Data Valid]]=TRUE,EXP(0.578+0.332*((Table1[[#This Row],[Gestation (days)]]+0.5)/7)-0.00354*((Table1[[#This Row],[Gestation (days)]]+0.5)/7)^2)*Table1[[#This Row],[BW40_3705]],"")</f>
        <v/>
      </c>
      <c r="G4708" s="2" t="str">
        <f>IF(Table1[[#This Row],[Is Data Valid]]=TRUE,((Table1[[#This Row],[Birthweight (grams)]]/Table1[[#This Row],[BW_GA]])-1)/(Backend!$B$4/100*Table1[[#This Row],[BW40_3705]]),"")</f>
        <v/>
      </c>
      <c r="H4708" s="7" t="str">
        <f>IF(Table1[[#This Row],[Is Data Valid]]=TRUE,((Table1[[#This Row],[Birthweight (grams)]]*0.9/Table1[[#This Row],[BW_GA]])-1)/(Backend!$B$4/100*Table1[[#This Row],[BW40_3705]]),"")</f>
        <v/>
      </c>
      <c r="I4708" s="7" t="str">
        <f>IF(Table1[[#This Row],[Is Data Valid]]=TRUE,((Table1[[#This Row],[Birthweight (grams)]]*1.1/Table1[[#This Row],[BW_GA]])-1)/(Backend!$B$4/100*Table1[[#This Row],[BW40_3705]]),"")</f>
        <v/>
      </c>
      <c r="J4708" s="7" t="str">
        <f>IF(Table1[[#This Row],[Is Data Valid]]=TRUE,_xlfn.NORM.S.DIST(Table1[[#This Row],[Birthweight Z-Score]],TRUE)*100,"")</f>
        <v/>
      </c>
      <c r="K4708" s="7" t="str">
        <f>IF(Table1[[#This Row],[Is Data Valid]]=TRUE,_xlfn.NORM.S.DIST(Table1[[#This Row],[Birthweight Z-Score (BW-10%)]],TRUE)*100,"")</f>
        <v/>
      </c>
      <c r="L4708" s="7" t="str">
        <f>IF(Table1[[#This Row],[Is Data Valid]]=TRUE,_xlfn.NORM.S.DIST(Table1[[#This Row],[Birthweight Z-Score (BW+10%)]],TRUE)*100,"")</f>
        <v/>
      </c>
    </row>
    <row r="4709" spans="1:12" x14ac:dyDescent="0.35">
      <c r="A4709" s="3"/>
      <c r="B4709" s="2"/>
      <c r="C4709" s="2"/>
      <c r="D4709" s="2" t="b">
        <f>IF(AND(NOT(ISBLANK(Table1[[#This Row],[Fetal Sex (Male, Female or Unknown)]])),ISNUMBER(Table1[[#This Row],[Birthweight (grams)]]),ISNUMBER(Table1[[#This Row],[Gestation (days)]])),TRUE,FALSE)</f>
        <v>0</v>
      </c>
      <c r="E4709" s="2" t="str">
        <f>IF(Table1[[#This Row],[Is Data Valid]]=TRUE,IF(Table1[[#This Row],[Fetal Sex (Male, Female or Unknown)]]="Male",Backend!$C$6,IF(Table1[[#This Row],[Fetal Sex (Male, Female or Unknown)]]="Female",Backend!$C$7,IF(Table1[[#This Row],[Fetal Sex (Male, Female or Unknown)]]="Unknown",Backend!$C$8,"Error"))),"")</f>
        <v/>
      </c>
      <c r="F4709" s="8" t="str">
        <f>IF(Table1[[#This Row],[Is Data Valid]]=TRUE,EXP(0.578+0.332*((Table1[[#This Row],[Gestation (days)]]+0.5)/7)-0.00354*((Table1[[#This Row],[Gestation (days)]]+0.5)/7)^2)*Table1[[#This Row],[BW40_3705]],"")</f>
        <v/>
      </c>
      <c r="G4709" s="2" t="str">
        <f>IF(Table1[[#This Row],[Is Data Valid]]=TRUE,((Table1[[#This Row],[Birthweight (grams)]]/Table1[[#This Row],[BW_GA]])-1)/(Backend!$B$4/100*Table1[[#This Row],[BW40_3705]]),"")</f>
        <v/>
      </c>
      <c r="H4709" s="7" t="str">
        <f>IF(Table1[[#This Row],[Is Data Valid]]=TRUE,((Table1[[#This Row],[Birthweight (grams)]]*0.9/Table1[[#This Row],[BW_GA]])-1)/(Backend!$B$4/100*Table1[[#This Row],[BW40_3705]]),"")</f>
        <v/>
      </c>
      <c r="I4709" s="7" t="str">
        <f>IF(Table1[[#This Row],[Is Data Valid]]=TRUE,((Table1[[#This Row],[Birthweight (grams)]]*1.1/Table1[[#This Row],[BW_GA]])-1)/(Backend!$B$4/100*Table1[[#This Row],[BW40_3705]]),"")</f>
        <v/>
      </c>
      <c r="J4709" s="7" t="str">
        <f>IF(Table1[[#This Row],[Is Data Valid]]=TRUE,_xlfn.NORM.S.DIST(Table1[[#This Row],[Birthweight Z-Score]],TRUE)*100,"")</f>
        <v/>
      </c>
      <c r="K4709" s="7" t="str">
        <f>IF(Table1[[#This Row],[Is Data Valid]]=TRUE,_xlfn.NORM.S.DIST(Table1[[#This Row],[Birthweight Z-Score (BW-10%)]],TRUE)*100,"")</f>
        <v/>
      </c>
      <c r="L4709" s="7" t="str">
        <f>IF(Table1[[#This Row],[Is Data Valid]]=TRUE,_xlfn.NORM.S.DIST(Table1[[#This Row],[Birthweight Z-Score (BW+10%)]],TRUE)*100,"")</f>
        <v/>
      </c>
    </row>
    <row r="4710" spans="1:12" x14ac:dyDescent="0.35">
      <c r="A4710" s="3"/>
      <c r="B4710" s="2"/>
      <c r="C4710" s="2"/>
      <c r="D4710" s="2" t="b">
        <f>IF(AND(NOT(ISBLANK(Table1[[#This Row],[Fetal Sex (Male, Female or Unknown)]])),ISNUMBER(Table1[[#This Row],[Birthweight (grams)]]),ISNUMBER(Table1[[#This Row],[Gestation (days)]])),TRUE,FALSE)</f>
        <v>0</v>
      </c>
      <c r="E4710" s="2" t="str">
        <f>IF(Table1[[#This Row],[Is Data Valid]]=TRUE,IF(Table1[[#This Row],[Fetal Sex (Male, Female or Unknown)]]="Male",Backend!$C$6,IF(Table1[[#This Row],[Fetal Sex (Male, Female or Unknown)]]="Female",Backend!$C$7,IF(Table1[[#This Row],[Fetal Sex (Male, Female or Unknown)]]="Unknown",Backend!$C$8,"Error"))),"")</f>
        <v/>
      </c>
      <c r="F4710" s="8" t="str">
        <f>IF(Table1[[#This Row],[Is Data Valid]]=TRUE,EXP(0.578+0.332*((Table1[[#This Row],[Gestation (days)]]+0.5)/7)-0.00354*((Table1[[#This Row],[Gestation (days)]]+0.5)/7)^2)*Table1[[#This Row],[BW40_3705]],"")</f>
        <v/>
      </c>
      <c r="G4710" s="2" t="str">
        <f>IF(Table1[[#This Row],[Is Data Valid]]=TRUE,((Table1[[#This Row],[Birthweight (grams)]]/Table1[[#This Row],[BW_GA]])-1)/(Backend!$B$4/100*Table1[[#This Row],[BW40_3705]]),"")</f>
        <v/>
      </c>
      <c r="H4710" s="7" t="str">
        <f>IF(Table1[[#This Row],[Is Data Valid]]=TRUE,((Table1[[#This Row],[Birthweight (grams)]]*0.9/Table1[[#This Row],[BW_GA]])-1)/(Backend!$B$4/100*Table1[[#This Row],[BW40_3705]]),"")</f>
        <v/>
      </c>
      <c r="I4710" s="7" t="str">
        <f>IF(Table1[[#This Row],[Is Data Valid]]=TRUE,((Table1[[#This Row],[Birthweight (grams)]]*1.1/Table1[[#This Row],[BW_GA]])-1)/(Backend!$B$4/100*Table1[[#This Row],[BW40_3705]]),"")</f>
        <v/>
      </c>
      <c r="J4710" s="7" t="str">
        <f>IF(Table1[[#This Row],[Is Data Valid]]=TRUE,_xlfn.NORM.S.DIST(Table1[[#This Row],[Birthweight Z-Score]],TRUE)*100,"")</f>
        <v/>
      </c>
      <c r="K4710" s="7" t="str">
        <f>IF(Table1[[#This Row],[Is Data Valid]]=TRUE,_xlfn.NORM.S.DIST(Table1[[#This Row],[Birthweight Z-Score (BW-10%)]],TRUE)*100,"")</f>
        <v/>
      </c>
      <c r="L4710" s="7" t="str">
        <f>IF(Table1[[#This Row],[Is Data Valid]]=TRUE,_xlfn.NORM.S.DIST(Table1[[#This Row],[Birthweight Z-Score (BW+10%)]],TRUE)*100,"")</f>
        <v/>
      </c>
    </row>
    <row r="4711" spans="1:12" x14ac:dyDescent="0.35">
      <c r="A4711" s="3"/>
      <c r="B4711" s="2"/>
      <c r="C4711" s="2"/>
      <c r="D4711" s="2" t="b">
        <f>IF(AND(NOT(ISBLANK(Table1[[#This Row],[Fetal Sex (Male, Female or Unknown)]])),ISNUMBER(Table1[[#This Row],[Birthweight (grams)]]),ISNUMBER(Table1[[#This Row],[Gestation (days)]])),TRUE,FALSE)</f>
        <v>0</v>
      </c>
      <c r="E4711" s="2" t="str">
        <f>IF(Table1[[#This Row],[Is Data Valid]]=TRUE,IF(Table1[[#This Row],[Fetal Sex (Male, Female or Unknown)]]="Male",Backend!$C$6,IF(Table1[[#This Row],[Fetal Sex (Male, Female or Unknown)]]="Female",Backend!$C$7,IF(Table1[[#This Row],[Fetal Sex (Male, Female or Unknown)]]="Unknown",Backend!$C$8,"Error"))),"")</f>
        <v/>
      </c>
      <c r="F4711" s="8" t="str">
        <f>IF(Table1[[#This Row],[Is Data Valid]]=TRUE,EXP(0.578+0.332*((Table1[[#This Row],[Gestation (days)]]+0.5)/7)-0.00354*((Table1[[#This Row],[Gestation (days)]]+0.5)/7)^2)*Table1[[#This Row],[BW40_3705]],"")</f>
        <v/>
      </c>
      <c r="G4711" s="2" t="str">
        <f>IF(Table1[[#This Row],[Is Data Valid]]=TRUE,((Table1[[#This Row],[Birthweight (grams)]]/Table1[[#This Row],[BW_GA]])-1)/(Backend!$B$4/100*Table1[[#This Row],[BW40_3705]]),"")</f>
        <v/>
      </c>
      <c r="H4711" s="7" t="str">
        <f>IF(Table1[[#This Row],[Is Data Valid]]=TRUE,((Table1[[#This Row],[Birthweight (grams)]]*0.9/Table1[[#This Row],[BW_GA]])-1)/(Backend!$B$4/100*Table1[[#This Row],[BW40_3705]]),"")</f>
        <v/>
      </c>
      <c r="I4711" s="7" t="str">
        <f>IF(Table1[[#This Row],[Is Data Valid]]=TRUE,((Table1[[#This Row],[Birthweight (grams)]]*1.1/Table1[[#This Row],[BW_GA]])-1)/(Backend!$B$4/100*Table1[[#This Row],[BW40_3705]]),"")</f>
        <v/>
      </c>
      <c r="J4711" s="7" t="str">
        <f>IF(Table1[[#This Row],[Is Data Valid]]=TRUE,_xlfn.NORM.S.DIST(Table1[[#This Row],[Birthweight Z-Score]],TRUE)*100,"")</f>
        <v/>
      </c>
      <c r="K4711" s="7" t="str">
        <f>IF(Table1[[#This Row],[Is Data Valid]]=TRUE,_xlfn.NORM.S.DIST(Table1[[#This Row],[Birthweight Z-Score (BW-10%)]],TRUE)*100,"")</f>
        <v/>
      </c>
      <c r="L4711" s="7" t="str">
        <f>IF(Table1[[#This Row],[Is Data Valid]]=TRUE,_xlfn.NORM.S.DIST(Table1[[#This Row],[Birthweight Z-Score (BW+10%)]],TRUE)*100,"")</f>
        <v/>
      </c>
    </row>
    <row r="4712" spans="1:12" x14ac:dyDescent="0.35">
      <c r="A4712" s="3"/>
      <c r="B4712" s="2"/>
      <c r="C4712" s="2"/>
      <c r="D4712" s="2" t="b">
        <f>IF(AND(NOT(ISBLANK(Table1[[#This Row],[Fetal Sex (Male, Female or Unknown)]])),ISNUMBER(Table1[[#This Row],[Birthweight (grams)]]),ISNUMBER(Table1[[#This Row],[Gestation (days)]])),TRUE,FALSE)</f>
        <v>0</v>
      </c>
      <c r="E4712" s="2" t="str">
        <f>IF(Table1[[#This Row],[Is Data Valid]]=TRUE,IF(Table1[[#This Row],[Fetal Sex (Male, Female or Unknown)]]="Male",Backend!$C$6,IF(Table1[[#This Row],[Fetal Sex (Male, Female or Unknown)]]="Female",Backend!$C$7,IF(Table1[[#This Row],[Fetal Sex (Male, Female or Unknown)]]="Unknown",Backend!$C$8,"Error"))),"")</f>
        <v/>
      </c>
      <c r="F4712" s="8" t="str">
        <f>IF(Table1[[#This Row],[Is Data Valid]]=TRUE,EXP(0.578+0.332*((Table1[[#This Row],[Gestation (days)]]+0.5)/7)-0.00354*((Table1[[#This Row],[Gestation (days)]]+0.5)/7)^2)*Table1[[#This Row],[BW40_3705]],"")</f>
        <v/>
      </c>
      <c r="G4712" s="2" t="str">
        <f>IF(Table1[[#This Row],[Is Data Valid]]=TRUE,((Table1[[#This Row],[Birthweight (grams)]]/Table1[[#This Row],[BW_GA]])-1)/(Backend!$B$4/100*Table1[[#This Row],[BW40_3705]]),"")</f>
        <v/>
      </c>
      <c r="H4712" s="7" t="str">
        <f>IF(Table1[[#This Row],[Is Data Valid]]=TRUE,((Table1[[#This Row],[Birthweight (grams)]]*0.9/Table1[[#This Row],[BW_GA]])-1)/(Backend!$B$4/100*Table1[[#This Row],[BW40_3705]]),"")</f>
        <v/>
      </c>
      <c r="I4712" s="7" t="str">
        <f>IF(Table1[[#This Row],[Is Data Valid]]=TRUE,((Table1[[#This Row],[Birthweight (grams)]]*1.1/Table1[[#This Row],[BW_GA]])-1)/(Backend!$B$4/100*Table1[[#This Row],[BW40_3705]]),"")</f>
        <v/>
      </c>
      <c r="J4712" s="7" t="str">
        <f>IF(Table1[[#This Row],[Is Data Valid]]=TRUE,_xlfn.NORM.S.DIST(Table1[[#This Row],[Birthweight Z-Score]],TRUE)*100,"")</f>
        <v/>
      </c>
      <c r="K4712" s="7" t="str">
        <f>IF(Table1[[#This Row],[Is Data Valid]]=TRUE,_xlfn.NORM.S.DIST(Table1[[#This Row],[Birthweight Z-Score (BW-10%)]],TRUE)*100,"")</f>
        <v/>
      </c>
      <c r="L4712" s="7" t="str">
        <f>IF(Table1[[#This Row],[Is Data Valid]]=TRUE,_xlfn.NORM.S.DIST(Table1[[#This Row],[Birthweight Z-Score (BW+10%)]],TRUE)*100,"")</f>
        <v/>
      </c>
    </row>
    <row r="4713" spans="1:12" x14ac:dyDescent="0.35">
      <c r="A4713" s="3"/>
      <c r="B4713" s="2"/>
      <c r="C4713" s="2"/>
      <c r="D4713" s="2" t="b">
        <f>IF(AND(NOT(ISBLANK(Table1[[#This Row],[Fetal Sex (Male, Female or Unknown)]])),ISNUMBER(Table1[[#This Row],[Birthweight (grams)]]),ISNUMBER(Table1[[#This Row],[Gestation (days)]])),TRUE,FALSE)</f>
        <v>0</v>
      </c>
      <c r="E4713" s="2" t="str">
        <f>IF(Table1[[#This Row],[Is Data Valid]]=TRUE,IF(Table1[[#This Row],[Fetal Sex (Male, Female or Unknown)]]="Male",Backend!$C$6,IF(Table1[[#This Row],[Fetal Sex (Male, Female or Unknown)]]="Female",Backend!$C$7,IF(Table1[[#This Row],[Fetal Sex (Male, Female or Unknown)]]="Unknown",Backend!$C$8,"Error"))),"")</f>
        <v/>
      </c>
      <c r="F4713" s="8" t="str">
        <f>IF(Table1[[#This Row],[Is Data Valid]]=TRUE,EXP(0.578+0.332*((Table1[[#This Row],[Gestation (days)]]+0.5)/7)-0.00354*((Table1[[#This Row],[Gestation (days)]]+0.5)/7)^2)*Table1[[#This Row],[BW40_3705]],"")</f>
        <v/>
      </c>
      <c r="G4713" s="2" t="str">
        <f>IF(Table1[[#This Row],[Is Data Valid]]=TRUE,((Table1[[#This Row],[Birthweight (grams)]]/Table1[[#This Row],[BW_GA]])-1)/(Backend!$B$4/100*Table1[[#This Row],[BW40_3705]]),"")</f>
        <v/>
      </c>
      <c r="H4713" s="7" t="str">
        <f>IF(Table1[[#This Row],[Is Data Valid]]=TRUE,((Table1[[#This Row],[Birthweight (grams)]]*0.9/Table1[[#This Row],[BW_GA]])-1)/(Backend!$B$4/100*Table1[[#This Row],[BW40_3705]]),"")</f>
        <v/>
      </c>
      <c r="I4713" s="7" t="str">
        <f>IF(Table1[[#This Row],[Is Data Valid]]=TRUE,((Table1[[#This Row],[Birthweight (grams)]]*1.1/Table1[[#This Row],[BW_GA]])-1)/(Backend!$B$4/100*Table1[[#This Row],[BW40_3705]]),"")</f>
        <v/>
      </c>
      <c r="J4713" s="7" t="str">
        <f>IF(Table1[[#This Row],[Is Data Valid]]=TRUE,_xlfn.NORM.S.DIST(Table1[[#This Row],[Birthweight Z-Score]],TRUE)*100,"")</f>
        <v/>
      </c>
      <c r="K4713" s="7" t="str">
        <f>IF(Table1[[#This Row],[Is Data Valid]]=TRUE,_xlfn.NORM.S.DIST(Table1[[#This Row],[Birthweight Z-Score (BW-10%)]],TRUE)*100,"")</f>
        <v/>
      </c>
      <c r="L4713" s="7" t="str">
        <f>IF(Table1[[#This Row],[Is Data Valid]]=TRUE,_xlfn.NORM.S.DIST(Table1[[#This Row],[Birthweight Z-Score (BW+10%)]],TRUE)*100,"")</f>
        <v/>
      </c>
    </row>
    <row r="4714" spans="1:12" x14ac:dyDescent="0.35">
      <c r="A4714" s="3"/>
      <c r="B4714" s="2"/>
      <c r="C4714" s="2"/>
      <c r="D4714" s="2" t="b">
        <f>IF(AND(NOT(ISBLANK(Table1[[#This Row],[Fetal Sex (Male, Female or Unknown)]])),ISNUMBER(Table1[[#This Row],[Birthweight (grams)]]),ISNUMBER(Table1[[#This Row],[Gestation (days)]])),TRUE,FALSE)</f>
        <v>0</v>
      </c>
      <c r="E4714" s="2" t="str">
        <f>IF(Table1[[#This Row],[Is Data Valid]]=TRUE,IF(Table1[[#This Row],[Fetal Sex (Male, Female or Unknown)]]="Male",Backend!$C$6,IF(Table1[[#This Row],[Fetal Sex (Male, Female or Unknown)]]="Female",Backend!$C$7,IF(Table1[[#This Row],[Fetal Sex (Male, Female or Unknown)]]="Unknown",Backend!$C$8,"Error"))),"")</f>
        <v/>
      </c>
      <c r="F4714" s="8" t="str">
        <f>IF(Table1[[#This Row],[Is Data Valid]]=TRUE,EXP(0.578+0.332*((Table1[[#This Row],[Gestation (days)]]+0.5)/7)-0.00354*((Table1[[#This Row],[Gestation (days)]]+0.5)/7)^2)*Table1[[#This Row],[BW40_3705]],"")</f>
        <v/>
      </c>
      <c r="G4714" s="2" t="str">
        <f>IF(Table1[[#This Row],[Is Data Valid]]=TRUE,((Table1[[#This Row],[Birthweight (grams)]]/Table1[[#This Row],[BW_GA]])-1)/(Backend!$B$4/100*Table1[[#This Row],[BW40_3705]]),"")</f>
        <v/>
      </c>
      <c r="H4714" s="7" t="str">
        <f>IF(Table1[[#This Row],[Is Data Valid]]=TRUE,((Table1[[#This Row],[Birthweight (grams)]]*0.9/Table1[[#This Row],[BW_GA]])-1)/(Backend!$B$4/100*Table1[[#This Row],[BW40_3705]]),"")</f>
        <v/>
      </c>
      <c r="I4714" s="7" t="str">
        <f>IF(Table1[[#This Row],[Is Data Valid]]=TRUE,((Table1[[#This Row],[Birthweight (grams)]]*1.1/Table1[[#This Row],[BW_GA]])-1)/(Backend!$B$4/100*Table1[[#This Row],[BW40_3705]]),"")</f>
        <v/>
      </c>
      <c r="J4714" s="7" t="str">
        <f>IF(Table1[[#This Row],[Is Data Valid]]=TRUE,_xlfn.NORM.S.DIST(Table1[[#This Row],[Birthweight Z-Score]],TRUE)*100,"")</f>
        <v/>
      </c>
      <c r="K4714" s="7" t="str">
        <f>IF(Table1[[#This Row],[Is Data Valid]]=TRUE,_xlfn.NORM.S.DIST(Table1[[#This Row],[Birthweight Z-Score (BW-10%)]],TRUE)*100,"")</f>
        <v/>
      </c>
      <c r="L4714" s="7" t="str">
        <f>IF(Table1[[#This Row],[Is Data Valid]]=TRUE,_xlfn.NORM.S.DIST(Table1[[#This Row],[Birthweight Z-Score (BW+10%)]],TRUE)*100,"")</f>
        <v/>
      </c>
    </row>
    <row r="4715" spans="1:12" x14ac:dyDescent="0.35">
      <c r="A4715" s="3"/>
      <c r="B4715" s="2"/>
      <c r="C4715" s="2"/>
      <c r="D4715" s="2" t="b">
        <f>IF(AND(NOT(ISBLANK(Table1[[#This Row],[Fetal Sex (Male, Female or Unknown)]])),ISNUMBER(Table1[[#This Row],[Birthweight (grams)]]),ISNUMBER(Table1[[#This Row],[Gestation (days)]])),TRUE,FALSE)</f>
        <v>0</v>
      </c>
      <c r="E4715" s="2" t="str">
        <f>IF(Table1[[#This Row],[Is Data Valid]]=TRUE,IF(Table1[[#This Row],[Fetal Sex (Male, Female or Unknown)]]="Male",Backend!$C$6,IF(Table1[[#This Row],[Fetal Sex (Male, Female or Unknown)]]="Female",Backend!$C$7,IF(Table1[[#This Row],[Fetal Sex (Male, Female or Unknown)]]="Unknown",Backend!$C$8,"Error"))),"")</f>
        <v/>
      </c>
      <c r="F4715" s="8" t="str">
        <f>IF(Table1[[#This Row],[Is Data Valid]]=TRUE,EXP(0.578+0.332*((Table1[[#This Row],[Gestation (days)]]+0.5)/7)-0.00354*((Table1[[#This Row],[Gestation (days)]]+0.5)/7)^2)*Table1[[#This Row],[BW40_3705]],"")</f>
        <v/>
      </c>
      <c r="G4715" s="2" t="str">
        <f>IF(Table1[[#This Row],[Is Data Valid]]=TRUE,((Table1[[#This Row],[Birthweight (grams)]]/Table1[[#This Row],[BW_GA]])-1)/(Backend!$B$4/100*Table1[[#This Row],[BW40_3705]]),"")</f>
        <v/>
      </c>
      <c r="H4715" s="7" t="str">
        <f>IF(Table1[[#This Row],[Is Data Valid]]=TRUE,((Table1[[#This Row],[Birthweight (grams)]]*0.9/Table1[[#This Row],[BW_GA]])-1)/(Backend!$B$4/100*Table1[[#This Row],[BW40_3705]]),"")</f>
        <v/>
      </c>
      <c r="I4715" s="7" t="str">
        <f>IF(Table1[[#This Row],[Is Data Valid]]=TRUE,((Table1[[#This Row],[Birthweight (grams)]]*1.1/Table1[[#This Row],[BW_GA]])-1)/(Backend!$B$4/100*Table1[[#This Row],[BW40_3705]]),"")</f>
        <v/>
      </c>
      <c r="J4715" s="7" t="str">
        <f>IF(Table1[[#This Row],[Is Data Valid]]=TRUE,_xlfn.NORM.S.DIST(Table1[[#This Row],[Birthweight Z-Score]],TRUE)*100,"")</f>
        <v/>
      </c>
      <c r="K4715" s="7" t="str">
        <f>IF(Table1[[#This Row],[Is Data Valid]]=TRUE,_xlfn.NORM.S.DIST(Table1[[#This Row],[Birthweight Z-Score (BW-10%)]],TRUE)*100,"")</f>
        <v/>
      </c>
      <c r="L4715" s="7" t="str">
        <f>IF(Table1[[#This Row],[Is Data Valid]]=TRUE,_xlfn.NORM.S.DIST(Table1[[#This Row],[Birthweight Z-Score (BW+10%)]],TRUE)*100,"")</f>
        <v/>
      </c>
    </row>
    <row r="4716" spans="1:12" x14ac:dyDescent="0.35">
      <c r="A4716" s="3"/>
      <c r="B4716" s="2"/>
      <c r="C4716" s="2"/>
      <c r="D4716" s="2" t="b">
        <f>IF(AND(NOT(ISBLANK(Table1[[#This Row],[Fetal Sex (Male, Female or Unknown)]])),ISNUMBER(Table1[[#This Row],[Birthweight (grams)]]),ISNUMBER(Table1[[#This Row],[Gestation (days)]])),TRUE,FALSE)</f>
        <v>0</v>
      </c>
      <c r="E4716" s="2" t="str">
        <f>IF(Table1[[#This Row],[Is Data Valid]]=TRUE,IF(Table1[[#This Row],[Fetal Sex (Male, Female or Unknown)]]="Male",Backend!$C$6,IF(Table1[[#This Row],[Fetal Sex (Male, Female or Unknown)]]="Female",Backend!$C$7,IF(Table1[[#This Row],[Fetal Sex (Male, Female or Unknown)]]="Unknown",Backend!$C$8,"Error"))),"")</f>
        <v/>
      </c>
      <c r="F4716" s="8" t="str">
        <f>IF(Table1[[#This Row],[Is Data Valid]]=TRUE,EXP(0.578+0.332*((Table1[[#This Row],[Gestation (days)]]+0.5)/7)-0.00354*((Table1[[#This Row],[Gestation (days)]]+0.5)/7)^2)*Table1[[#This Row],[BW40_3705]],"")</f>
        <v/>
      </c>
      <c r="G4716" s="2" t="str">
        <f>IF(Table1[[#This Row],[Is Data Valid]]=TRUE,((Table1[[#This Row],[Birthweight (grams)]]/Table1[[#This Row],[BW_GA]])-1)/(Backend!$B$4/100*Table1[[#This Row],[BW40_3705]]),"")</f>
        <v/>
      </c>
      <c r="H4716" s="7" t="str">
        <f>IF(Table1[[#This Row],[Is Data Valid]]=TRUE,((Table1[[#This Row],[Birthweight (grams)]]*0.9/Table1[[#This Row],[BW_GA]])-1)/(Backend!$B$4/100*Table1[[#This Row],[BW40_3705]]),"")</f>
        <v/>
      </c>
      <c r="I4716" s="7" t="str">
        <f>IF(Table1[[#This Row],[Is Data Valid]]=TRUE,((Table1[[#This Row],[Birthweight (grams)]]*1.1/Table1[[#This Row],[BW_GA]])-1)/(Backend!$B$4/100*Table1[[#This Row],[BW40_3705]]),"")</f>
        <v/>
      </c>
      <c r="J4716" s="7" t="str">
        <f>IF(Table1[[#This Row],[Is Data Valid]]=TRUE,_xlfn.NORM.S.DIST(Table1[[#This Row],[Birthweight Z-Score]],TRUE)*100,"")</f>
        <v/>
      </c>
      <c r="K4716" s="7" t="str">
        <f>IF(Table1[[#This Row],[Is Data Valid]]=TRUE,_xlfn.NORM.S.DIST(Table1[[#This Row],[Birthweight Z-Score (BW-10%)]],TRUE)*100,"")</f>
        <v/>
      </c>
      <c r="L4716" s="7" t="str">
        <f>IF(Table1[[#This Row],[Is Data Valid]]=TRUE,_xlfn.NORM.S.DIST(Table1[[#This Row],[Birthweight Z-Score (BW+10%)]],TRUE)*100,"")</f>
        <v/>
      </c>
    </row>
    <row r="4717" spans="1:12" x14ac:dyDescent="0.35">
      <c r="A4717" s="3"/>
      <c r="B4717" s="2"/>
      <c r="C4717" s="2"/>
      <c r="D4717" s="2" t="b">
        <f>IF(AND(NOT(ISBLANK(Table1[[#This Row],[Fetal Sex (Male, Female or Unknown)]])),ISNUMBER(Table1[[#This Row],[Birthweight (grams)]]),ISNUMBER(Table1[[#This Row],[Gestation (days)]])),TRUE,FALSE)</f>
        <v>0</v>
      </c>
      <c r="E4717" s="2" t="str">
        <f>IF(Table1[[#This Row],[Is Data Valid]]=TRUE,IF(Table1[[#This Row],[Fetal Sex (Male, Female or Unknown)]]="Male",Backend!$C$6,IF(Table1[[#This Row],[Fetal Sex (Male, Female or Unknown)]]="Female",Backend!$C$7,IF(Table1[[#This Row],[Fetal Sex (Male, Female or Unknown)]]="Unknown",Backend!$C$8,"Error"))),"")</f>
        <v/>
      </c>
      <c r="F4717" s="8" t="str">
        <f>IF(Table1[[#This Row],[Is Data Valid]]=TRUE,EXP(0.578+0.332*((Table1[[#This Row],[Gestation (days)]]+0.5)/7)-0.00354*((Table1[[#This Row],[Gestation (days)]]+0.5)/7)^2)*Table1[[#This Row],[BW40_3705]],"")</f>
        <v/>
      </c>
      <c r="G4717" s="2" t="str">
        <f>IF(Table1[[#This Row],[Is Data Valid]]=TRUE,((Table1[[#This Row],[Birthweight (grams)]]/Table1[[#This Row],[BW_GA]])-1)/(Backend!$B$4/100*Table1[[#This Row],[BW40_3705]]),"")</f>
        <v/>
      </c>
      <c r="H4717" s="7" t="str">
        <f>IF(Table1[[#This Row],[Is Data Valid]]=TRUE,((Table1[[#This Row],[Birthweight (grams)]]*0.9/Table1[[#This Row],[BW_GA]])-1)/(Backend!$B$4/100*Table1[[#This Row],[BW40_3705]]),"")</f>
        <v/>
      </c>
      <c r="I4717" s="7" t="str">
        <f>IF(Table1[[#This Row],[Is Data Valid]]=TRUE,((Table1[[#This Row],[Birthweight (grams)]]*1.1/Table1[[#This Row],[BW_GA]])-1)/(Backend!$B$4/100*Table1[[#This Row],[BW40_3705]]),"")</f>
        <v/>
      </c>
      <c r="J4717" s="7" t="str">
        <f>IF(Table1[[#This Row],[Is Data Valid]]=TRUE,_xlfn.NORM.S.DIST(Table1[[#This Row],[Birthweight Z-Score]],TRUE)*100,"")</f>
        <v/>
      </c>
      <c r="K4717" s="7" t="str">
        <f>IF(Table1[[#This Row],[Is Data Valid]]=TRUE,_xlfn.NORM.S.DIST(Table1[[#This Row],[Birthweight Z-Score (BW-10%)]],TRUE)*100,"")</f>
        <v/>
      </c>
      <c r="L4717" s="7" t="str">
        <f>IF(Table1[[#This Row],[Is Data Valid]]=TRUE,_xlfn.NORM.S.DIST(Table1[[#This Row],[Birthweight Z-Score (BW+10%)]],TRUE)*100,"")</f>
        <v/>
      </c>
    </row>
    <row r="4718" spans="1:12" x14ac:dyDescent="0.35">
      <c r="A4718" s="3"/>
      <c r="B4718" s="2"/>
      <c r="C4718" s="2"/>
      <c r="D4718" s="2" t="b">
        <f>IF(AND(NOT(ISBLANK(Table1[[#This Row],[Fetal Sex (Male, Female or Unknown)]])),ISNUMBER(Table1[[#This Row],[Birthweight (grams)]]),ISNUMBER(Table1[[#This Row],[Gestation (days)]])),TRUE,FALSE)</f>
        <v>0</v>
      </c>
      <c r="E4718" s="2" t="str">
        <f>IF(Table1[[#This Row],[Is Data Valid]]=TRUE,IF(Table1[[#This Row],[Fetal Sex (Male, Female or Unknown)]]="Male",Backend!$C$6,IF(Table1[[#This Row],[Fetal Sex (Male, Female or Unknown)]]="Female",Backend!$C$7,IF(Table1[[#This Row],[Fetal Sex (Male, Female or Unknown)]]="Unknown",Backend!$C$8,"Error"))),"")</f>
        <v/>
      </c>
      <c r="F4718" s="8" t="str">
        <f>IF(Table1[[#This Row],[Is Data Valid]]=TRUE,EXP(0.578+0.332*((Table1[[#This Row],[Gestation (days)]]+0.5)/7)-0.00354*((Table1[[#This Row],[Gestation (days)]]+0.5)/7)^2)*Table1[[#This Row],[BW40_3705]],"")</f>
        <v/>
      </c>
      <c r="G4718" s="2" t="str">
        <f>IF(Table1[[#This Row],[Is Data Valid]]=TRUE,((Table1[[#This Row],[Birthweight (grams)]]/Table1[[#This Row],[BW_GA]])-1)/(Backend!$B$4/100*Table1[[#This Row],[BW40_3705]]),"")</f>
        <v/>
      </c>
      <c r="H4718" s="7" t="str">
        <f>IF(Table1[[#This Row],[Is Data Valid]]=TRUE,((Table1[[#This Row],[Birthweight (grams)]]*0.9/Table1[[#This Row],[BW_GA]])-1)/(Backend!$B$4/100*Table1[[#This Row],[BW40_3705]]),"")</f>
        <v/>
      </c>
      <c r="I4718" s="7" t="str">
        <f>IF(Table1[[#This Row],[Is Data Valid]]=TRUE,((Table1[[#This Row],[Birthweight (grams)]]*1.1/Table1[[#This Row],[BW_GA]])-1)/(Backend!$B$4/100*Table1[[#This Row],[BW40_3705]]),"")</f>
        <v/>
      </c>
      <c r="J4718" s="7" t="str">
        <f>IF(Table1[[#This Row],[Is Data Valid]]=TRUE,_xlfn.NORM.S.DIST(Table1[[#This Row],[Birthweight Z-Score]],TRUE)*100,"")</f>
        <v/>
      </c>
      <c r="K4718" s="7" t="str">
        <f>IF(Table1[[#This Row],[Is Data Valid]]=TRUE,_xlfn.NORM.S.DIST(Table1[[#This Row],[Birthweight Z-Score (BW-10%)]],TRUE)*100,"")</f>
        <v/>
      </c>
      <c r="L4718" s="7" t="str">
        <f>IF(Table1[[#This Row],[Is Data Valid]]=TRUE,_xlfn.NORM.S.DIST(Table1[[#This Row],[Birthweight Z-Score (BW+10%)]],TRUE)*100,"")</f>
        <v/>
      </c>
    </row>
    <row r="4719" spans="1:12" x14ac:dyDescent="0.35">
      <c r="A4719" s="3"/>
      <c r="B4719" s="2"/>
      <c r="C4719" s="2"/>
      <c r="D4719" s="2" t="b">
        <f>IF(AND(NOT(ISBLANK(Table1[[#This Row],[Fetal Sex (Male, Female or Unknown)]])),ISNUMBER(Table1[[#This Row],[Birthweight (grams)]]),ISNUMBER(Table1[[#This Row],[Gestation (days)]])),TRUE,FALSE)</f>
        <v>0</v>
      </c>
      <c r="E4719" s="2" t="str">
        <f>IF(Table1[[#This Row],[Is Data Valid]]=TRUE,IF(Table1[[#This Row],[Fetal Sex (Male, Female or Unknown)]]="Male",Backend!$C$6,IF(Table1[[#This Row],[Fetal Sex (Male, Female or Unknown)]]="Female",Backend!$C$7,IF(Table1[[#This Row],[Fetal Sex (Male, Female or Unknown)]]="Unknown",Backend!$C$8,"Error"))),"")</f>
        <v/>
      </c>
      <c r="F4719" s="8" t="str">
        <f>IF(Table1[[#This Row],[Is Data Valid]]=TRUE,EXP(0.578+0.332*((Table1[[#This Row],[Gestation (days)]]+0.5)/7)-0.00354*((Table1[[#This Row],[Gestation (days)]]+0.5)/7)^2)*Table1[[#This Row],[BW40_3705]],"")</f>
        <v/>
      </c>
      <c r="G4719" s="2" t="str">
        <f>IF(Table1[[#This Row],[Is Data Valid]]=TRUE,((Table1[[#This Row],[Birthweight (grams)]]/Table1[[#This Row],[BW_GA]])-1)/(Backend!$B$4/100*Table1[[#This Row],[BW40_3705]]),"")</f>
        <v/>
      </c>
      <c r="H4719" s="7" t="str">
        <f>IF(Table1[[#This Row],[Is Data Valid]]=TRUE,((Table1[[#This Row],[Birthweight (grams)]]*0.9/Table1[[#This Row],[BW_GA]])-1)/(Backend!$B$4/100*Table1[[#This Row],[BW40_3705]]),"")</f>
        <v/>
      </c>
      <c r="I4719" s="7" t="str">
        <f>IF(Table1[[#This Row],[Is Data Valid]]=TRUE,((Table1[[#This Row],[Birthweight (grams)]]*1.1/Table1[[#This Row],[BW_GA]])-1)/(Backend!$B$4/100*Table1[[#This Row],[BW40_3705]]),"")</f>
        <v/>
      </c>
      <c r="J4719" s="7" t="str">
        <f>IF(Table1[[#This Row],[Is Data Valid]]=TRUE,_xlfn.NORM.S.DIST(Table1[[#This Row],[Birthweight Z-Score]],TRUE)*100,"")</f>
        <v/>
      </c>
      <c r="K4719" s="7" t="str">
        <f>IF(Table1[[#This Row],[Is Data Valid]]=TRUE,_xlfn.NORM.S.DIST(Table1[[#This Row],[Birthweight Z-Score (BW-10%)]],TRUE)*100,"")</f>
        <v/>
      </c>
      <c r="L4719" s="7" t="str">
        <f>IF(Table1[[#This Row],[Is Data Valid]]=TRUE,_xlfn.NORM.S.DIST(Table1[[#This Row],[Birthweight Z-Score (BW+10%)]],TRUE)*100,"")</f>
        <v/>
      </c>
    </row>
    <row r="4720" spans="1:12" x14ac:dyDescent="0.35">
      <c r="A4720" s="3"/>
      <c r="B4720" s="2"/>
      <c r="C4720" s="2"/>
      <c r="D4720" s="2" t="b">
        <f>IF(AND(NOT(ISBLANK(Table1[[#This Row],[Fetal Sex (Male, Female or Unknown)]])),ISNUMBER(Table1[[#This Row],[Birthweight (grams)]]),ISNUMBER(Table1[[#This Row],[Gestation (days)]])),TRUE,FALSE)</f>
        <v>0</v>
      </c>
      <c r="E4720" s="2" t="str">
        <f>IF(Table1[[#This Row],[Is Data Valid]]=TRUE,IF(Table1[[#This Row],[Fetal Sex (Male, Female or Unknown)]]="Male",Backend!$C$6,IF(Table1[[#This Row],[Fetal Sex (Male, Female or Unknown)]]="Female",Backend!$C$7,IF(Table1[[#This Row],[Fetal Sex (Male, Female or Unknown)]]="Unknown",Backend!$C$8,"Error"))),"")</f>
        <v/>
      </c>
      <c r="F4720" s="8" t="str">
        <f>IF(Table1[[#This Row],[Is Data Valid]]=TRUE,EXP(0.578+0.332*((Table1[[#This Row],[Gestation (days)]]+0.5)/7)-0.00354*((Table1[[#This Row],[Gestation (days)]]+0.5)/7)^2)*Table1[[#This Row],[BW40_3705]],"")</f>
        <v/>
      </c>
      <c r="G4720" s="2" t="str">
        <f>IF(Table1[[#This Row],[Is Data Valid]]=TRUE,((Table1[[#This Row],[Birthweight (grams)]]/Table1[[#This Row],[BW_GA]])-1)/(Backend!$B$4/100*Table1[[#This Row],[BW40_3705]]),"")</f>
        <v/>
      </c>
      <c r="H4720" s="7" t="str">
        <f>IF(Table1[[#This Row],[Is Data Valid]]=TRUE,((Table1[[#This Row],[Birthweight (grams)]]*0.9/Table1[[#This Row],[BW_GA]])-1)/(Backend!$B$4/100*Table1[[#This Row],[BW40_3705]]),"")</f>
        <v/>
      </c>
      <c r="I4720" s="7" t="str">
        <f>IF(Table1[[#This Row],[Is Data Valid]]=TRUE,((Table1[[#This Row],[Birthweight (grams)]]*1.1/Table1[[#This Row],[BW_GA]])-1)/(Backend!$B$4/100*Table1[[#This Row],[BW40_3705]]),"")</f>
        <v/>
      </c>
      <c r="J4720" s="7" t="str">
        <f>IF(Table1[[#This Row],[Is Data Valid]]=TRUE,_xlfn.NORM.S.DIST(Table1[[#This Row],[Birthweight Z-Score]],TRUE)*100,"")</f>
        <v/>
      </c>
      <c r="K4720" s="7" t="str">
        <f>IF(Table1[[#This Row],[Is Data Valid]]=TRUE,_xlfn.NORM.S.DIST(Table1[[#This Row],[Birthweight Z-Score (BW-10%)]],TRUE)*100,"")</f>
        <v/>
      </c>
      <c r="L4720" s="7" t="str">
        <f>IF(Table1[[#This Row],[Is Data Valid]]=TRUE,_xlfn.NORM.S.DIST(Table1[[#This Row],[Birthweight Z-Score (BW+10%)]],TRUE)*100,"")</f>
        <v/>
      </c>
    </row>
    <row r="4721" spans="1:12" x14ac:dyDescent="0.35">
      <c r="A4721" s="3"/>
      <c r="B4721" s="2"/>
      <c r="C4721" s="2"/>
      <c r="D4721" s="2" t="b">
        <f>IF(AND(NOT(ISBLANK(Table1[[#This Row],[Fetal Sex (Male, Female or Unknown)]])),ISNUMBER(Table1[[#This Row],[Birthweight (grams)]]),ISNUMBER(Table1[[#This Row],[Gestation (days)]])),TRUE,FALSE)</f>
        <v>0</v>
      </c>
      <c r="E4721" s="2" t="str">
        <f>IF(Table1[[#This Row],[Is Data Valid]]=TRUE,IF(Table1[[#This Row],[Fetal Sex (Male, Female or Unknown)]]="Male",Backend!$C$6,IF(Table1[[#This Row],[Fetal Sex (Male, Female or Unknown)]]="Female",Backend!$C$7,IF(Table1[[#This Row],[Fetal Sex (Male, Female or Unknown)]]="Unknown",Backend!$C$8,"Error"))),"")</f>
        <v/>
      </c>
      <c r="F4721" s="8" t="str">
        <f>IF(Table1[[#This Row],[Is Data Valid]]=TRUE,EXP(0.578+0.332*((Table1[[#This Row],[Gestation (days)]]+0.5)/7)-0.00354*((Table1[[#This Row],[Gestation (days)]]+0.5)/7)^2)*Table1[[#This Row],[BW40_3705]],"")</f>
        <v/>
      </c>
      <c r="G4721" s="2" t="str">
        <f>IF(Table1[[#This Row],[Is Data Valid]]=TRUE,((Table1[[#This Row],[Birthweight (grams)]]/Table1[[#This Row],[BW_GA]])-1)/(Backend!$B$4/100*Table1[[#This Row],[BW40_3705]]),"")</f>
        <v/>
      </c>
      <c r="H4721" s="7" t="str">
        <f>IF(Table1[[#This Row],[Is Data Valid]]=TRUE,((Table1[[#This Row],[Birthweight (grams)]]*0.9/Table1[[#This Row],[BW_GA]])-1)/(Backend!$B$4/100*Table1[[#This Row],[BW40_3705]]),"")</f>
        <v/>
      </c>
      <c r="I4721" s="7" t="str">
        <f>IF(Table1[[#This Row],[Is Data Valid]]=TRUE,((Table1[[#This Row],[Birthweight (grams)]]*1.1/Table1[[#This Row],[BW_GA]])-1)/(Backend!$B$4/100*Table1[[#This Row],[BW40_3705]]),"")</f>
        <v/>
      </c>
      <c r="J4721" s="7" t="str">
        <f>IF(Table1[[#This Row],[Is Data Valid]]=TRUE,_xlfn.NORM.S.DIST(Table1[[#This Row],[Birthweight Z-Score]],TRUE)*100,"")</f>
        <v/>
      </c>
      <c r="K4721" s="7" t="str">
        <f>IF(Table1[[#This Row],[Is Data Valid]]=TRUE,_xlfn.NORM.S.DIST(Table1[[#This Row],[Birthweight Z-Score (BW-10%)]],TRUE)*100,"")</f>
        <v/>
      </c>
      <c r="L4721" s="7" t="str">
        <f>IF(Table1[[#This Row],[Is Data Valid]]=TRUE,_xlfn.NORM.S.DIST(Table1[[#This Row],[Birthweight Z-Score (BW+10%)]],TRUE)*100,"")</f>
        <v/>
      </c>
    </row>
    <row r="4722" spans="1:12" x14ac:dyDescent="0.35">
      <c r="A4722" s="3"/>
      <c r="B4722" s="2"/>
      <c r="C4722" s="2"/>
      <c r="D4722" s="2" t="b">
        <f>IF(AND(NOT(ISBLANK(Table1[[#This Row],[Fetal Sex (Male, Female or Unknown)]])),ISNUMBER(Table1[[#This Row],[Birthweight (grams)]]),ISNUMBER(Table1[[#This Row],[Gestation (days)]])),TRUE,FALSE)</f>
        <v>0</v>
      </c>
      <c r="E4722" s="2" t="str">
        <f>IF(Table1[[#This Row],[Is Data Valid]]=TRUE,IF(Table1[[#This Row],[Fetal Sex (Male, Female or Unknown)]]="Male",Backend!$C$6,IF(Table1[[#This Row],[Fetal Sex (Male, Female or Unknown)]]="Female",Backend!$C$7,IF(Table1[[#This Row],[Fetal Sex (Male, Female or Unknown)]]="Unknown",Backend!$C$8,"Error"))),"")</f>
        <v/>
      </c>
      <c r="F4722" s="8" t="str">
        <f>IF(Table1[[#This Row],[Is Data Valid]]=TRUE,EXP(0.578+0.332*((Table1[[#This Row],[Gestation (days)]]+0.5)/7)-0.00354*((Table1[[#This Row],[Gestation (days)]]+0.5)/7)^2)*Table1[[#This Row],[BW40_3705]],"")</f>
        <v/>
      </c>
      <c r="G4722" s="2" t="str">
        <f>IF(Table1[[#This Row],[Is Data Valid]]=TRUE,((Table1[[#This Row],[Birthweight (grams)]]/Table1[[#This Row],[BW_GA]])-1)/(Backend!$B$4/100*Table1[[#This Row],[BW40_3705]]),"")</f>
        <v/>
      </c>
      <c r="H4722" s="7" t="str">
        <f>IF(Table1[[#This Row],[Is Data Valid]]=TRUE,((Table1[[#This Row],[Birthweight (grams)]]*0.9/Table1[[#This Row],[BW_GA]])-1)/(Backend!$B$4/100*Table1[[#This Row],[BW40_3705]]),"")</f>
        <v/>
      </c>
      <c r="I4722" s="7" t="str">
        <f>IF(Table1[[#This Row],[Is Data Valid]]=TRUE,((Table1[[#This Row],[Birthweight (grams)]]*1.1/Table1[[#This Row],[BW_GA]])-1)/(Backend!$B$4/100*Table1[[#This Row],[BW40_3705]]),"")</f>
        <v/>
      </c>
      <c r="J4722" s="7" t="str">
        <f>IF(Table1[[#This Row],[Is Data Valid]]=TRUE,_xlfn.NORM.S.DIST(Table1[[#This Row],[Birthweight Z-Score]],TRUE)*100,"")</f>
        <v/>
      </c>
      <c r="K4722" s="7" t="str">
        <f>IF(Table1[[#This Row],[Is Data Valid]]=TRUE,_xlfn.NORM.S.DIST(Table1[[#This Row],[Birthweight Z-Score (BW-10%)]],TRUE)*100,"")</f>
        <v/>
      </c>
      <c r="L4722" s="7" t="str">
        <f>IF(Table1[[#This Row],[Is Data Valid]]=TRUE,_xlfn.NORM.S.DIST(Table1[[#This Row],[Birthweight Z-Score (BW+10%)]],TRUE)*100,"")</f>
        <v/>
      </c>
    </row>
    <row r="4723" spans="1:12" x14ac:dyDescent="0.35">
      <c r="A4723" s="3"/>
      <c r="B4723" s="2"/>
      <c r="C4723" s="2"/>
      <c r="D4723" s="2" t="b">
        <f>IF(AND(NOT(ISBLANK(Table1[[#This Row],[Fetal Sex (Male, Female or Unknown)]])),ISNUMBER(Table1[[#This Row],[Birthweight (grams)]]),ISNUMBER(Table1[[#This Row],[Gestation (days)]])),TRUE,FALSE)</f>
        <v>0</v>
      </c>
      <c r="E4723" s="2" t="str">
        <f>IF(Table1[[#This Row],[Is Data Valid]]=TRUE,IF(Table1[[#This Row],[Fetal Sex (Male, Female or Unknown)]]="Male",Backend!$C$6,IF(Table1[[#This Row],[Fetal Sex (Male, Female or Unknown)]]="Female",Backend!$C$7,IF(Table1[[#This Row],[Fetal Sex (Male, Female or Unknown)]]="Unknown",Backend!$C$8,"Error"))),"")</f>
        <v/>
      </c>
      <c r="F4723" s="8" t="str">
        <f>IF(Table1[[#This Row],[Is Data Valid]]=TRUE,EXP(0.578+0.332*((Table1[[#This Row],[Gestation (days)]]+0.5)/7)-0.00354*((Table1[[#This Row],[Gestation (days)]]+0.5)/7)^2)*Table1[[#This Row],[BW40_3705]],"")</f>
        <v/>
      </c>
      <c r="G4723" s="2" t="str">
        <f>IF(Table1[[#This Row],[Is Data Valid]]=TRUE,((Table1[[#This Row],[Birthweight (grams)]]/Table1[[#This Row],[BW_GA]])-1)/(Backend!$B$4/100*Table1[[#This Row],[BW40_3705]]),"")</f>
        <v/>
      </c>
      <c r="H4723" s="7" t="str">
        <f>IF(Table1[[#This Row],[Is Data Valid]]=TRUE,((Table1[[#This Row],[Birthweight (grams)]]*0.9/Table1[[#This Row],[BW_GA]])-1)/(Backend!$B$4/100*Table1[[#This Row],[BW40_3705]]),"")</f>
        <v/>
      </c>
      <c r="I4723" s="7" t="str">
        <f>IF(Table1[[#This Row],[Is Data Valid]]=TRUE,((Table1[[#This Row],[Birthweight (grams)]]*1.1/Table1[[#This Row],[BW_GA]])-1)/(Backend!$B$4/100*Table1[[#This Row],[BW40_3705]]),"")</f>
        <v/>
      </c>
      <c r="J4723" s="7" t="str">
        <f>IF(Table1[[#This Row],[Is Data Valid]]=TRUE,_xlfn.NORM.S.DIST(Table1[[#This Row],[Birthweight Z-Score]],TRUE)*100,"")</f>
        <v/>
      </c>
      <c r="K4723" s="7" t="str">
        <f>IF(Table1[[#This Row],[Is Data Valid]]=TRUE,_xlfn.NORM.S.DIST(Table1[[#This Row],[Birthweight Z-Score (BW-10%)]],TRUE)*100,"")</f>
        <v/>
      </c>
      <c r="L4723" s="7" t="str">
        <f>IF(Table1[[#This Row],[Is Data Valid]]=TRUE,_xlfn.NORM.S.DIST(Table1[[#This Row],[Birthweight Z-Score (BW+10%)]],TRUE)*100,"")</f>
        <v/>
      </c>
    </row>
    <row r="4724" spans="1:12" x14ac:dyDescent="0.35">
      <c r="A4724" s="3"/>
      <c r="B4724" s="2"/>
      <c r="C4724" s="2"/>
      <c r="D4724" s="2" t="b">
        <f>IF(AND(NOT(ISBLANK(Table1[[#This Row],[Fetal Sex (Male, Female or Unknown)]])),ISNUMBER(Table1[[#This Row],[Birthweight (grams)]]),ISNUMBER(Table1[[#This Row],[Gestation (days)]])),TRUE,FALSE)</f>
        <v>0</v>
      </c>
      <c r="E4724" s="2" t="str">
        <f>IF(Table1[[#This Row],[Is Data Valid]]=TRUE,IF(Table1[[#This Row],[Fetal Sex (Male, Female or Unknown)]]="Male",Backend!$C$6,IF(Table1[[#This Row],[Fetal Sex (Male, Female or Unknown)]]="Female",Backend!$C$7,IF(Table1[[#This Row],[Fetal Sex (Male, Female or Unknown)]]="Unknown",Backend!$C$8,"Error"))),"")</f>
        <v/>
      </c>
      <c r="F4724" s="8" t="str">
        <f>IF(Table1[[#This Row],[Is Data Valid]]=TRUE,EXP(0.578+0.332*((Table1[[#This Row],[Gestation (days)]]+0.5)/7)-0.00354*((Table1[[#This Row],[Gestation (days)]]+0.5)/7)^2)*Table1[[#This Row],[BW40_3705]],"")</f>
        <v/>
      </c>
      <c r="G4724" s="2" t="str">
        <f>IF(Table1[[#This Row],[Is Data Valid]]=TRUE,((Table1[[#This Row],[Birthweight (grams)]]/Table1[[#This Row],[BW_GA]])-1)/(Backend!$B$4/100*Table1[[#This Row],[BW40_3705]]),"")</f>
        <v/>
      </c>
      <c r="H4724" s="7" t="str">
        <f>IF(Table1[[#This Row],[Is Data Valid]]=TRUE,((Table1[[#This Row],[Birthweight (grams)]]*0.9/Table1[[#This Row],[BW_GA]])-1)/(Backend!$B$4/100*Table1[[#This Row],[BW40_3705]]),"")</f>
        <v/>
      </c>
      <c r="I4724" s="7" t="str">
        <f>IF(Table1[[#This Row],[Is Data Valid]]=TRUE,((Table1[[#This Row],[Birthweight (grams)]]*1.1/Table1[[#This Row],[BW_GA]])-1)/(Backend!$B$4/100*Table1[[#This Row],[BW40_3705]]),"")</f>
        <v/>
      </c>
      <c r="J4724" s="7" t="str">
        <f>IF(Table1[[#This Row],[Is Data Valid]]=TRUE,_xlfn.NORM.S.DIST(Table1[[#This Row],[Birthweight Z-Score]],TRUE)*100,"")</f>
        <v/>
      </c>
      <c r="K4724" s="7" t="str">
        <f>IF(Table1[[#This Row],[Is Data Valid]]=TRUE,_xlfn.NORM.S.DIST(Table1[[#This Row],[Birthweight Z-Score (BW-10%)]],TRUE)*100,"")</f>
        <v/>
      </c>
      <c r="L4724" s="7" t="str">
        <f>IF(Table1[[#This Row],[Is Data Valid]]=TRUE,_xlfn.NORM.S.DIST(Table1[[#This Row],[Birthweight Z-Score (BW+10%)]],TRUE)*100,"")</f>
        <v/>
      </c>
    </row>
    <row r="4725" spans="1:12" x14ac:dyDescent="0.35">
      <c r="A4725" s="3"/>
      <c r="B4725" s="2"/>
      <c r="C4725" s="2"/>
      <c r="D4725" s="2" t="b">
        <f>IF(AND(NOT(ISBLANK(Table1[[#This Row],[Fetal Sex (Male, Female or Unknown)]])),ISNUMBER(Table1[[#This Row],[Birthweight (grams)]]),ISNUMBER(Table1[[#This Row],[Gestation (days)]])),TRUE,FALSE)</f>
        <v>0</v>
      </c>
      <c r="E4725" s="2" t="str">
        <f>IF(Table1[[#This Row],[Is Data Valid]]=TRUE,IF(Table1[[#This Row],[Fetal Sex (Male, Female or Unknown)]]="Male",Backend!$C$6,IF(Table1[[#This Row],[Fetal Sex (Male, Female or Unknown)]]="Female",Backend!$C$7,IF(Table1[[#This Row],[Fetal Sex (Male, Female or Unknown)]]="Unknown",Backend!$C$8,"Error"))),"")</f>
        <v/>
      </c>
      <c r="F4725" s="8" t="str">
        <f>IF(Table1[[#This Row],[Is Data Valid]]=TRUE,EXP(0.578+0.332*((Table1[[#This Row],[Gestation (days)]]+0.5)/7)-0.00354*((Table1[[#This Row],[Gestation (days)]]+0.5)/7)^2)*Table1[[#This Row],[BW40_3705]],"")</f>
        <v/>
      </c>
      <c r="G4725" s="2" t="str">
        <f>IF(Table1[[#This Row],[Is Data Valid]]=TRUE,((Table1[[#This Row],[Birthweight (grams)]]/Table1[[#This Row],[BW_GA]])-1)/(Backend!$B$4/100*Table1[[#This Row],[BW40_3705]]),"")</f>
        <v/>
      </c>
      <c r="H4725" s="7" t="str">
        <f>IF(Table1[[#This Row],[Is Data Valid]]=TRUE,((Table1[[#This Row],[Birthweight (grams)]]*0.9/Table1[[#This Row],[BW_GA]])-1)/(Backend!$B$4/100*Table1[[#This Row],[BW40_3705]]),"")</f>
        <v/>
      </c>
      <c r="I4725" s="7" t="str">
        <f>IF(Table1[[#This Row],[Is Data Valid]]=TRUE,((Table1[[#This Row],[Birthweight (grams)]]*1.1/Table1[[#This Row],[BW_GA]])-1)/(Backend!$B$4/100*Table1[[#This Row],[BW40_3705]]),"")</f>
        <v/>
      </c>
      <c r="J4725" s="7" t="str">
        <f>IF(Table1[[#This Row],[Is Data Valid]]=TRUE,_xlfn.NORM.S.DIST(Table1[[#This Row],[Birthweight Z-Score]],TRUE)*100,"")</f>
        <v/>
      </c>
      <c r="K4725" s="7" t="str">
        <f>IF(Table1[[#This Row],[Is Data Valid]]=TRUE,_xlfn.NORM.S.DIST(Table1[[#This Row],[Birthweight Z-Score (BW-10%)]],TRUE)*100,"")</f>
        <v/>
      </c>
      <c r="L4725" s="7" t="str">
        <f>IF(Table1[[#This Row],[Is Data Valid]]=TRUE,_xlfn.NORM.S.DIST(Table1[[#This Row],[Birthweight Z-Score (BW+10%)]],TRUE)*100,"")</f>
        <v/>
      </c>
    </row>
    <row r="4726" spans="1:12" x14ac:dyDescent="0.35">
      <c r="A4726" s="3"/>
      <c r="B4726" s="2"/>
      <c r="C4726" s="2"/>
      <c r="D4726" s="2" t="b">
        <f>IF(AND(NOT(ISBLANK(Table1[[#This Row],[Fetal Sex (Male, Female or Unknown)]])),ISNUMBER(Table1[[#This Row],[Birthweight (grams)]]),ISNUMBER(Table1[[#This Row],[Gestation (days)]])),TRUE,FALSE)</f>
        <v>0</v>
      </c>
      <c r="E4726" s="2" t="str">
        <f>IF(Table1[[#This Row],[Is Data Valid]]=TRUE,IF(Table1[[#This Row],[Fetal Sex (Male, Female or Unknown)]]="Male",Backend!$C$6,IF(Table1[[#This Row],[Fetal Sex (Male, Female or Unknown)]]="Female",Backend!$C$7,IF(Table1[[#This Row],[Fetal Sex (Male, Female or Unknown)]]="Unknown",Backend!$C$8,"Error"))),"")</f>
        <v/>
      </c>
      <c r="F4726" s="8" t="str">
        <f>IF(Table1[[#This Row],[Is Data Valid]]=TRUE,EXP(0.578+0.332*((Table1[[#This Row],[Gestation (days)]]+0.5)/7)-0.00354*((Table1[[#This Row],[Gestation (days)]]+0.5)/7)^2)*Table1[[#This Row],[BW40_3705]],"")</f>
        <v/>
      </c>
      <c r="G4726" s="2" t="str">
        <f>IF(Table1[[#This Row],[Is Data Valid]]=TRUE,((Table1[[#This Row],[Birthweight (grams)]]/Table1[[#This Row],[BW_GA]])-1)/(Backend!$B$4/100*Table1[[#This Row],[BW40_3705]]),"")</f>
        <v/>
      </c>
      <c r="H4726" s="7" t="str">
        <f>IF(Table1[[#This Row],[Is Data Valid]]=TRUE,((Table1[[#This Row],[Birthweight (grams)]]*0.9/Table1[[#This Row],[BW_GA]])-1)/(Backend!$B$4/100*Table1[[#This Row],[BW40_3705]]),"")</f>
        <v/>
      </c>
      <c r="I4726" s="7" t="str">
        <f>IF(Table1[[#This Row],[Is Data Valid]]=TRUE,((Table1[[#This Row],[Birthweight (grams)]]*1.1/Table1[[#This Row],[BW_GA]])-1)/(Backend!$B$4/100*Table1[[#This Row],[BW40_3705]]),"")</f>
        <v/>
      </c>
      <c r="J4726" s="7" t="str">
        <f>IF(Table1[[#This Row],[Is Data Valid]]=TRUE,_xlfn.NORM.S.DIST(Table1[[#This Row],[Birthweight Z-Score]],TRUE)*100,"")</f>
        <v/>
      </c>
      <c r="K4726" s="7" t="str">
        <f>IF(Table1[[#This Row],[Is Data Valid]]=TRUE,_xlfn.NORM.S.DIST(Table1[[#This Row],[Birthweight Z-Score (BW-10%)]],TRUE)*100,"")</f>
        <v/>
      </c>
      <c r="L4726" s="7" t="str">
        <f>IF(Table1[[#This Row],[Is Data Valid]]=TRUE,_xlfn.NORM.S.DIST(Table1[[#This Row],[Birthweight Z-Score (BW+10%)]],TRUE)*100,"")</f>
        <v/>
      </c>
    </row>
    <row r="4727" spans="1:12" x14ac:dyDescent="0.35">
      <c r="A4727" s="3"/>
      <c r="B4727" s="2"/>
      <c r="C4727" s="2"/>
      <c r="D4727" s="2" t="b">
        <f>IF(AND(NOT(ISBLANK(Table1[[#This Row],[Fetal Sex (Male, Female or Unknown)]])),ISNUMBER(Table1[[#This Row],[Birthweight (grams)]]),ISNUMBER(Table1[[#This Row],[Gestation (days)]])),TRUE,FALSE)</f>
        <v>0</v>
      </c>
      <c r="E4727" s="2" t="str">
        <f>IF(Table1[[#This Row],[Is Data Valid]]=TRUE,IF(Table1[[#This Row],[Fetal Sex (Male, Female or Unknown)]]="Male",Backend!$C$6,IF(Table1[[#This Row],[Fetal Sex (Male, Female or Unknown)]]="Female",Backend!$C$7,IF(Table1[[#This Row],[Fetal Sex (Male, Female or Unknown)]]="Unknown",Backend!$C$8,"Error"))),"")</f>
        <v/>
      </c>
      <c r="F4727" s="8" t="str">
        <f>IF(Table1[[#This Row],[Is Data Valid]]=TRUE,EXP(0.578+0.332*((Table1[[#This Row],[Gestation (days)]]+0.5)/7)-0.00354*((Table1[[#This Row],[Gestation (days)]]+0.5)/7)^2)*Table1[[#This Row],[BW40_3705]],"")</f>
        <v/>
      </c>
      <c r="G4727" s="2" t="str">
        <f>IF(Table1[[#This Row],[Is Data Valid]]=TRUE,((Table1[[#This Row],[Birthweight (grams)]]/Table1[[#This Row],[BW_GA]])-1)/(Backend!$B$4/100*Table1[[#This Row],[BW40_3705]]),"")</f>
        <v/>
      </c>
      <c r="H4727" s="7" t="str">
        <f>IF(Table1[[#This Row],[Is Data Valid]]=TRUE,((Table1[[#This Row],[Birthweight (grams)]]*0.9/Table1[[#This Row],[BW_GA]])-1)/(Backend!$B$4/100*Table1[[#This Row],[BW40_3705]]),"")</f>
        <v/>
      </c>
      <c r="I4727" s="7" t="str">
        <f>IF(Table1[[#This Row],[Is Data Valid]]=TRUE,((Table1[[#This Row],[Birthweight (grams)]]*1.1/Table1[[#This Row],[BW_GA]])-1)/(Backend!$B$4/100*Table1[[#This Row],[BW40_3705]]),"")</f>
        <v/>
      </c>
      <c r="J4727" s="7" t="str">
        <f>IF(Table1[[#This Row],[Is Data Valid]]=TRUE,_xlfn.NORM.S.DIST(Table1[[#This Row],[Birthweight Z-Score]],TRUE)*100,"")</f>
        <v/>
      </c>
      <c r="K4727" s="7" t="str">
        <f>IF(Table1[[#This Row],[Is Data Valid]]=TRUE,_xlfn.NORM.S.DIST(Table1[[#This Row],[Birthweight Z-Score (BW-10%)]],TRUE)*100,"")</f>
        <v/>
      </c>
      <c r="L4727" s="7" t="str">
        <f>IF(Table1[[#This Row],[Is Data Valid]]=TRUE,_xlfn.NORM.S.DIST(Table1[[#This Row],[Birthweight Z-Score (BW+10%)]],TRUE)*100,"")</f>
        <v/>
      </c>
    </row>
    <row r="4728" spans="1:12" x14ac:dyDescent="0.35">
      <c r="A4728" s="3"/>
      <c r="B4728" s="2"/>
      <c r="C4728" s="2"/>
      <c r="D4728" s="2" t="b">
        <f>IF(AND(NOT(ISBLANK(Table1[[#This Row],[Fetal Sex (Male, Female or Unknown)]])),ISNUMBER(Table1[[#This Row],[Birthweight (grams)]]),ISNUMBER(Table1[[#This Row],[Gestation (days)]])),TRUE,FALSE)</f>
        <v>0</v>
      </c>
      <c r="E4728" s="2" t="str">
        <f>IF(Table1[[#This Row],[Is Data Valid]]=TRUE,IF(Table1[[#This Row],[Fetal Sex (Male, Female or Unknown)]]="Male",Backend!$C$6,IF(Table1[[#This Row],[Fetal Sex (Male, Female or Unknown)]]="Female",Backend!$C$7,IF(Table1[[#This Row],[Fetal Sex (Male, Female or Unknown)]]="Unknown",Backend!$C$8,"Error"))),"")</f>
        <v/>
      </c>
      <c r="F4728" s="8" t="str">
        <f>IF(Table1[[#This Row],[Is Data Valid]]=TRUE,EXP(0.578+0.332*((Table1[[#This Row],[Gestation (days)]]+0.5)/7)-0.00354*((Table1[[#This Row],[Gestation (days)]]+0.5)/7)^2)*Table1[[#This Row],[BW40_3705]],"")</f>
        <v/>
      </c>
      <c r="G4728" s="2" t="str">
        <f>IF(Table1[[#This Row],[Is Data Valid]]=TRUE,((Table1[[#This Row],[Birthweight (grams)]]/Table1[[#This Row],[BW_GA]])-1)/(Backend!$B$4/100*Table1[[#This Row],[BW40_3705]]),"")</f>
        <v/>
      </c>
      <c r="H4728" s="7" t="str">
        <f>IF(Table1[[#This Row],[Is Data Valid]]=TRUE,((Table1[[#This Row],[Birthweight (grams)]]*0.9/Table1[[#This Row],[BW_GA]])-1)/(Backend!$B$4/100*Table1[[#This Row],[BW40_3705]]),"")</f>
        <v/>
      </c>
      <c r="I4728" s="7" t="str">
        <f>IF(Table1[[#This Row],[Is Data Valid]]=TRUE,((Table1[[#This Row],[Birthweight (grams)]]*1.1/Table1[[#This Row],[BW_GA]])-1)/(Backend!$B$4/100*Table1[[#This Row],[BW40_3705]]),"")</f>
        <v/>
      </c>
      <c r="J4728" s="7" t="str">
        <f>IF(Table1[[#This Row],[Is Data Valid]]=TRUE,_xlfn.NORM.S.DIST(Table1[[#This Row],[Birthweight Z-Score]],TRUE)*100,"")</f>
        <v/>
      </c>
      <c r="K4728" s="7" t="str">
        <f>IF(Table1[[#This Row],[Is Data Valid]]=TRUE,_xlfn.NORM.S.DIST(Table1[[#This Row],[Birthweight Z-Score (BW-10%)]],TRUE)*100,"")</f>
        <v/>
      </c>
      <c r="L4728" s="7" t="str">
        <f>IF(Table1[[#This Row],[Is Data Valid]]=TRUE,_xlfn.NORM.S.DIST(Table1[[#This Row],[Birthweight Z-Score (BW+10%)]],TRUE)*100,"")</f>
        <v/>
      </c>
    </row>
    <row r="4729" spans="1:12" x14ac:dyDescent="0.35">
      <c r="A4729" s="3"/>
      <c r="B4729" s="2"/>
      <c r="C4729" s="2"/>
      <c r="D4729" s="2" t="b">
        <f>IF(AND(NOT(ISBLANK(Table1[[#This Row],[Fetal Sex (Male, Female or Unknown)]])),ISNUMBER(Table1[[#This Row],[Birthweight (grams)]]),ISNUMBER(Table1[[#This Row],[Gestation (days)]])),TRUE,FALSE)</f>
        <v>0</v>
      </c>
      <c r="E4729" s="2" t="str">
        <f>IF(Table1[[#This Row],[Is Data Valid]]=TRUE,IF(Table1[[#This Row],[Fetal Sex (Male, Female or Unknown)]]="Male",Backend!$C$6,IF(Table1[[#This Row],[Fetal Sex (Male, Female or Unknown)]]="Female",Backend!$C$7,IF(Table1[[#This Row],[Fetal Sex (Male, Female or Unknown)]]="Unknown",Backend!$C$8,"Error"))),"")</f>
        <v/>
      </c>
      <c r="F4729" s="8" t="str">
        <f>IF(Table1[[#This Row],[Is Data Valid]]=TRUE,EXP(0.578+0.332*((Table1[[#This Row],[Gestation (days)]]+0.5)/7)-0.00354*((Table1[[#This Row],[Gestation (days)]]+0.5)/7)^2)*Table1[[#This Row],[BW40_3705]],"")</f>
        <v/>
      </c>
      <c r="G4729" s="2" t="str">
        <f>IF(Table1[[#This Row],[Is Data Valid]]=TRUE,((Table1[[#This Row],[Birthweight (grams)]]/Table1[[#This Row],[BW_GA]])-1)/(Backend!$B$4/100*Table1[[#This Row],[BW40_3705]]),"")</f>
        <v/>
      </c>
      <c r="H4729" s="7" t="str">
        <f>IF(Table1[[#This Row],[Is Data Valid]]=TRUE,((Table1[[#This Row],[Birthweight (grams)]]*0.9/Table1[[#This Row],[BW_GA]])-1)/(Backend!$B$4/100*Table1[[#This Row],[BW40_3705]]),"")</f>
        <v/>
      </c>
      <c r="I4729" s="7" t="str">
        <f>IF(Table1[[#This Row],[Is Data Valid]]=TRUE,((Table1[[#This Row],[Birthweight (grams)]]*1.1/Table1[[#This Row],[BW_GA]])-1)/(Backend!$B$4/100*Table1[[#This Row],[BW40_3705]]),"")</f>
        <v/>
      </c>
      <c r="J4729" s="7" t="str">
        <f>IF(Table1[[#This Row],[Is Data Valid]]=TRUE,_xlfn.NORM.S.DIST(Table1[[#This Row],[Birthweight Z-Score]],TRUE)*100,"")</f>
        <v/>
      </c>
      <c r="K4729" s="7" t="str">
        <f>IF(Table1[[#This Row],[Is Data Valid]]=TRUE,_xlfn.NORM.S.DIST(Table1[[#This Row],[Birthweight Z-Score (BW-10%)]],TRUE)*100,"")</f>
        <v/>
      </c>
      <c r="L4729" s="7" t="str">
        <f>IF(Table1[[#This Row],[Is Data Valid]]=TRUE,_xlfn.NORM.S.DIST(Table1[[#This Row],[Birthweight Z-Score (BW+10%)]],TRUE)*100,"")</f>
        <v/>
      </c>
    </row>
    <row r="4730" spans="1:12" x14ac:dyDescent="0.35">
      <c r="A4730" s="3"/>
      <c r="B4730" s="2"/>
      <c r="C4730" s="2"/>
      <c r="D4730" s="2" t="b">
        <f>IF(AND(NOT(ISBLANK(Table1[[#This Row],[Fetal Sex (Male, Female or Unknown)]])),ISNUMBER(Table1[[#This Row],[Birthweight (grams)]]),ISNUMBER(Table1[[#This Row],[Gestation (days)]])),TRUE,FALSE)</f>
        <v>0</v>
      </c>
      <c r="E4730" s="2" t="str">
        <f>IF(Table1[[#This Row],[Is Data Valid]]=TRUE,IF(Table1[[#This Row],[Fetal Sex (Male, Female or Unknown)]]="Male",Backend!$C$6,IF(Table1[[#This Row],[Fetal Sex (Male, Female or Unknown)]]="Female",Backend!$C$7,IF(Table1[[#This Row],[Fetal Sex (Male, Female or Unknown)]]="Unknown",Backend!$C$8,"Error"))),"")</f>
        <v/>
      </c>
      <c r="F4730" s="8" t="str">
        <f>IF(Table1[[#This Row],[Is Data Valid]]=TRUE,EXP(0.578+0.332*((Table1[[#This Row],[Gestation (days)]]+0.5)/7)-0.00354*((Table1[[#This Row],[Gestation (days)]]+0.5)/7)^2)*Table1[[#This Row],[BW40_3705]],"")</f>
        <v/>
      </c>
      <c r="G4730" s="2" t="str">
        <f>IF(Table1[[#This Row],[Is Data Valid]]=TRUE,((Table1[[#This Row],[Birthweight (grams)]]/Table1[[#This Row],[BW_GA]])-1)/(Backend!$B$4/100*Table1[[#This Row],[BW40_3705]]),"")</f>
        <v/>
      </c>
      <c r="H4730" s="7" t="str">
        <f>IF(Table1[[#This Row],[Is Data Valid]]=TRUE,((Table1[[#This Row],[Birthweight (grams)]]*0.9/Table1[[#This Row],[BW_GA]])-1)/(Backend!$B$4/100*Table1[[#This Row],[BW40_3705]]),"")</f>
        <v/>
      </c>
      <c r="I4730" s="7" t="str">
        <f>IF(Table1[[#This Row],[Is Data Valid]]=TRUE,((Table1[[#This Row],[Birthweight (grams)]]*1.1/Table1[[#This Row],[BW_GA]])-1)/(Backend!$B$4/100*Table1[[#This Row],[BW40_3705]]),"")</f>
        <v/>
      </c>
      <c r="J4730" s="7" t="str">
        <f>IF(Table1[[#This Row],[Is Data Valid]]=TRUE,_xlfn.NORM.S.DIST(Table1[[#This Row],[Birthweight Z-Score]],TRUE)*100,"")</f>
        <v/>
      </c>
      <c r="K4730" s="7" t="str">
        <f>IF(Table1[[#This Row],[Is Data Valid]]=TRUE,_xlfn.NORM.S.DIST(Table1[[#This Row],[Birthweight Z-Score (BW-10%)]],TRUE)*100,"")</f>
        <v/>
      </c>
      <c r="L4730" s="7" t="str">
        <f>IF(Table1[[#This Row],[Is Data Valid]]=TRUE,_xlfn.NORM.S.DIST(Table1[[#This Row],[Birthweight Z-Score (BW+10%)]],TRUE)*100,"")</f>
        <v/>
      </c>
    </row>
    <row r="4731" spans="1:12" x14ac:dyDescent="0.35">
      <c r="A4731" s="3"/>
      <c r="B4731" s="2"/>
      <c r="C4731" s="2"/>
      <c r="D4731" s="2" t="b">
        <f>IF(AND(NOT(ISBLANK(Table1[[#This Row],[Fetal Sex (Male, Female or Unknown)]])),ISNUMBER(Table1[[#This Row],[Birthweight (grams)]]),ISNUMBER(Table1[[#This Row],[Gestation (days)]])),TRUE,FALSE)</f>
        <v>0</v>
      </c>
      <c r="E4731" s="2" t="str">
        <f>IF(Table1[[#This Row],[Is Data Valid]]=TRUE,IF(Table1[[#This Row],[Fetal Sex (Male, Female or Unknown)]]="Male",Backend!$C$6,IF(Table1[[#This Row],[Fetal Sex (Male, Female or Unknown)]]="Female",Backend!$C$7,IF(Table1[[#This Row],[Fetal Sex (Male, Female or Unknown)]]="Unknown",Backend!$C$8,"Error"))),"")</f>
        <v/>
      </c>
      <c r="F4731" s="8" t="str">
        <f>IF(Table1[[#This Row],[Is Data Valid]]=TRUE,EXP(0.578+0.332*((Table1[[#This Row],[Gestation (days)]]+0.5)/7)-0.00354*((Table1[[#This Row],[Gestation (days)]]+0.5)/7)^2)*Table1[[#This Row],[BW40_3705]],"")</f>
        <v/>
      </c>
      <c r="G4731" s="2" t="str">
        <f>IF(Table1[[#This Row],[Is Data Valid]]=TRUE,((Table1[[#This Row],[Birthweight (grams)]]/Table1[[#This Row],[BW_GA]])-1)/(Backend!$B$4/100*Table1[[#This Row],[BW40_3705]]),"")</f>
        <v/>
      </c>
      <c r="H4731" s="7" t="str">
        <f>IF(Table1[[#This Row],[Is Data Valid]]=TRUE,((Table1[[#This Row],[Birthweight (grams)]]*0.9/Table1[[#This Row],[BW_GA]])-1)/(Backend!$B$4/100*Table1[[#This Row],[BW40_3705]]),"")</f>
        <v/>
      </c>
      <c r="I4731" s="7" t="str">
        <f>IF(Table1[[#This Row],[Is Data Valid]]=TRUE,((Table1[[#This Row],[Birthweight (grams)]]*1.1/Table1[[#This Row],[BW_GA]])-1)/(Backend!$B$4/100*Table1[[#This Row],[BW40_3705]]),"")</f>
        <v/>
      </c>
      <c r="J4731" s="7" t="str">
        <f>IF(Table1[[#This Row],[Is Data Valid]]=TRUE,_xlfn.NORM.S.DIST(Table1[[#This Row],[Birthweight Z-Score]],TRUE)*100,"")</f>
        <v/>
      </c>
      <c r="K4731" s="7" t="str">
        <f>IF(Table1[[#This Row],[Is Data Valid]]=TRUE,_xlfn.NORM.S.DIST(Table1[[#This Row],[Birthweight Z-Score (BW-10%)]],TRUE)*100,"")</f>
        <v/>
      </c>
      <c r="L4731" s="7" t="str">
        <f>IF(Table1[[#This Row],[Is Data Valid]]=TRUE,_xlfn.NORM.S.DIST(Table1[[#This Row],[Birthweight Z-Score (BW+10%)]],TRUE)*100,"")</f>
        <v/>
      </c>
    </row>
    <row r="4732" spans="1:12" x14ac:dyDescent="0.35">
      <c r="A4732" s="3"/>
      <c r="B4732" s="2"/>
      <c r="C4732" s="2"/>
      <c r="D4732" s="2" t="b">
        <f>IF(AND(NOT(ISBLANK(Table1[[#This Row],[Fetal Sex (Male, Female or Unknown)]])),ISNUMBER(Table1[[#This Row],[Birthweight (grams)]]),ISNUMBER(Table1[[#This Row],[Gestation (days)]])),TRUE,FALSE)</f>
        <v>0</v>
      </c>
      <c r="E4732" s="2" t="str">
        <f>IF(Table1[[#This Row],[Is Data Valid]]=TRUE,IF(Table1[[#This Row],[Fetal Sex (Male, Female or Unknown)]]="Male",Backend!$C$6,IF(Table1[[#This Row],[Fetal Sex (Male, Female or Unknown)]]="Female",Backend!$C$7,IF(Table1[[#This Row],[Fetal Sex (Male, Female or Unknown)]]="Unknown",Backend!$C$8,"Error"))),"")</f>
        <v/>
      </c>
      <c r="F4732" s="8" t="str">
        <f>IF(Table1[[#This Row],[Is Data Valid]]=TRUE,EXP(0.578+0.332*((Table1[[#This Row],[Gestation (days)]]+0.5)/7)-0.00354*((Table1[[#This Row],[Gestation (days)]]+0.5)/7)^2)*Table1[[#This Row],[BW40_3705]],"")</f>
        <v/>
      </c>
      <c r="G4732" s="2" t="str">
        <f>IF(Table1[[#This Row],[Is Data Valid]]=TRUE,((Table1[[#This Row],[Birthweight (grams)]]/Table1[[#This Row],[BW_GA]])-1)/(Backend!$B$4/100*Table1[[#This Row],[BW40_3705]]),"")</f>
        <v/>
      </c>
      <c r="H4732" s="7" t="str">
        <f>IF(Table1[[#This Row],[Is Data Valid]]=TRUE,((Table1[[#This Row],[Birthweight (grams)]]*0.9/Table1[[#This Row],[BW_GA]])-1)/(Backend!$B$4/100*Table1[[#This Row],[BW40_3705]]),"")</f>
        <v/>
      </c>
      <c r="I4732" s="7" t="str">
        <f>IF(Table1[[#This Row],[Is Data Valid]]=TRUE,((Table1[[#This Row],[Birthweight (grams)]]*1.1/Table1[[#This Row],[BW_GA]])-1)/(Backend!$B$4/100*Table1[[#This Row],[BW40_3705]]),"")</f>
        <v/>
      </c>
      <c r="J4732" s="7" t="str">
        <f>IF(Table1[[#This Row],[Is Data Valid]]=TRUE,_xlfn.NORM.S.DIST(Table1[[#This Row],[Birthweight Z-Score]],TRUE)*100,"")</f>
        <v/>
      </c>
      <c r="K4732" s="7" t="str">
        <f>IF(Table1[[#This Row],[Is Data Valid]]=TRUE,_xlfn.NORM.S.DIST(Table1[[#This Row],[Birthweight Z-Score (BW-10%)]],TRUE)*100,"")</f>
        <v/>
      </c>
      <c r="L4732" s="7" t="str">
        <f>IF(Table1[[#This Row],[Is Data Valid]]=TRUE,_xlfn.NORM.S.DIST(Table1[[#This Row],[Birthweight Z-Score (BW+10%)]],TRUE)*100,"")</f>
        <v/>
      </c>
    </row>
    <row r="4733" spans="1:12" x14ac:dyDescent="0.35">
      <c r="A4733" s="3"/>
      <c r="B4733" s="2"/>
      <c r="C4733" s="2"/>
      <c r="D4733" s="2" t="b">
        <f>IF(AND(NOT(ISBLANK(Table1[[#This Row],[Fetal Sex (Male, Female or Unknown)]])),ISNUMBER(Table1[[#This Row],[Birthweight (grams)]]),ISNUMBER(Table1[[#This Row],[Gestation (days)]])),TRUE,FALSE)</f>
        <v>0</v>
      </c>
      <c r="E4733" s="2" t="str">
        <f>IF(Table1[[#This Row],[Is Data Valid]]=TRUE,IF(Table1[[#This Row],[Fetal Sex (Male, Female or Unknown)]]="Male",Backend!$C$6,IF(Table1[[#This Row],[Fetal Sex (Male, Female or Unknown)]]="Female",Backend!$C$7,IF(Table1[[#This Row],[Fetal Sex (Male, Female or Unknown)]]="Unknown",Backend!$C$8,"Error"))),"")</f>
        <v/>
      </c>
      <c r="F4733" s="8" t="str">
        <f>IF(Table1[[#This Row],[Is Data Valid]]=TRUE,EXP(0.578+0.332*((Table1[[#This Row],[Gestation (days)]]+0.5)/7)-0.00354*((Table1[[#This Row],[Gestation (days)]]+0.5)/7)^2)*Table1[[#This Row],[BW40_3705]],"")</f>
        <v/>
      </c>
      <c r="G4733" s="2" t="str">
        <f>IF(Table1[[#This Row],[Is Data Valid]]=TRUE,((Table1[[#This Row],[Birthweight (grams)]]/Table1[[#This Row],[BW_GA]])-1)/(Backend!$B$4/100*Table1[[#This Row],[BW40_3705]]),"")</f>
        <v/>
      </c>
      <c r="H4733" s="7" t="str">
        <f>IF(Table1[[#This Row],[Is Data Valid]]=TRUE,((Table1[[#This Row],[Birthweight (grams)]]*0.9/Table1[[#This Row],[BW_GA]])-1)/(Backend!$B$4/100*Table1[[#This Row],[BW40_3705]]),"")</f>
        <v/>
      </c>
      <c r="I4733" s="7" t="str">
        <f>IF(Table1[[#This Row],[Is Data Valid]]=TRUE,((Table1[[#This Row],[Birthweight (grams)]]*1.1/Table1[[#This Row],[BW_GA]])-1)/(Backend!$B$4/100*Table1[[#This Row],[BW40_3705]]),"")</f>
        <v/>
      </c>
      <c r="J4733" s="7" t="str">
        <f>IF(Table1[[#This Row],[Is Data Valid]]=TRUE,_xlfn.NORM.S.DIST(Table1[[#This Row],[Birthweight Z-Score]],TRUE)*100,"")</f>
        <v/>
      </c>
      <c r="K4733" s="7" t="str">
        <f>IF(Table1[[#This Row],[Is Data Valid]]=TRUE,_xlfn.NORM.S.DIST(Table1[[#This Row],[Birthweight Z-Score (BW-10%)]],TRUE)*100,"")</f>
        <v/>
      </c>
      <c r="L4733" s="7" t="str">
        <f>IF(Table1[[#This Row],[Is Data Valid]]=TRUE,_xlfn.NORM.S.DIST(Table1[[#This Row],[Birthweight Z-Score (BW+10%)]],TRUE)*100,"")</f>
        <v/>
      </c>
    </row>
    <row r="4734" spans="1:12" x14ac:dyDescent="0.35">
      <c r="A4734" s="3"/>
      <c r="B4734" s="2"/>
      <c r="C4734" s="2"/>
      <c r="D4734" s="2" t="b">
        <f>IF(AND(NOT(ISBLANK(Table1[[#This Row],[Fetal Sex (Male, Female or Unknown)]])),ISNUMBER(Table1[[#This Row],[Birthweight (grams)]]),ISNUMBER(Table1[[#This Row],[Gestation (days)]])),TRUE,FALSE)</f>
        <v>0</v>
      </c>
      <c r="E4734" s="2" t="str">
        <f>IF(Table1[[#This Row],[Is Data Valid]]=TRUE,IF(Table1[[#This Row],[Fetal Sex (Male, Female or Unknown)]]="Male",Backend!$C$6,IF(Table1[[#This Row],[Fetal Sex (Male, Female or Unknown)]]="Female",Backend!$C$7,IF(Table1[[#This Row],[Fetal Sex (Male, Female or Unknown)]]="Unknown",Backend!$C$8,"Error"))),"")</f>
        <v/>
      </c>
      <c r="F4734" s="8" t="str">
        <f>IF(Table1[[#This Row],[Is Data Valid]]=TRUE,EXP(0.578+0.332*((Table1[[#This Row],[Gestation (days)]]+0.5)/7)-0.00354*((Table1[[#This Row],[Gestation (days)]]+0.5)/7)^2)*Table1[[#This Row],[BW40_3705]],"")</f>
        <v/>
      </c>
      <c r="G4734" s="2" t="str">
        <f>IF(Table1[[#This Row],[Is Data Valid]]=TRUE,((Table1[[#This Row],[Birthweight (grams)]]/Table1[[#This Row],[BW_GA]])-1)/(Backend!$B$4/100*Table1[[#This Row],[BW40_3705]]),"")</f>
        <v/>
      </c>
      <c r="H4734" s="7" t="str">
        <f>IF(Table1[[#This Row],[Is Data Valid]]=TRUE,((Table1[[#This Row],[Birthweight (grams)]]*0.9/Table1[[#This Row],[BW_GA]])-1)/(Backend!$B$4/100*Table1[[#This Row],[BW40_3705]]),"")</f>
        <v/>
      </c>
      <c r="I4734" s="7" t="str">
        <f>IF(Table1[[#This Row],[Is Data Valid]]=TRUE,((Table1[[#This Row],[Birthweight (grams)]]*1.1/Table1[[#This Row],[BW_GA]])-1)/(Backend!$B$4/100*Table1[[#This Row],[BW40_3705]]),"")</f>
        <v/>
      </c>
      <c r="J4734" s="7" t="str">
        <f>IF(Table1[[#This Row],[Is Data Valid]]=TRUE,_xlfn.NORM.S.DIST(Table1[[#This Row],[Birthweight Z-Score]],TRUE)*100,"")</f>
        <v/>
      </c>
      <c r="K4734" s="7" t="str">
        <f>IF(Table1[[#This Row],[Is Data Valid]]=TRUE,_xlfn.NORM.S.DIST(Table1[[#This Row],[Birthweight Z-Score (BW-10%)]],TRUE)*100,"")</f>
        <v/>
      </c>
      <c r="L4734" s="7" t="str">
        <f>IF(Table1[[#This Row],[Is Data Valid]]=TRUE,_xlfn.NORM.S.DIST(Table1[[#This Row],[Birthweight Z-Score (BW+10%)]],TRUE)*100,"")</f>
        <v/>
      </c>
    </row>
    <row r="4735" spans="1:12" x14ac:dyDescent="0.35">
      <c r="A4735" s="3"/>
      <c r="B4735" s="2"/>
      <c r="C4735" s="2"/>
      <c r="D4735" s="2" t="b">
        <f>IF(AND(NOT(ISBLANK(Table1[[#This Row],[Fetal Sex (Male, Female or Unknown)]])),ISNUMBER(Table1[[#This Row],[Birthweight (grams)]]),ISNUMBER(Table1[[#This Row],[Gestation (days)]])),TRUE,FALSE)</f>
        <v>0</v>
      </c>
      <c r="E4735" s="2" t="str">
        <f>IF(Table1[[#This Row],[Is Data Valid]]=TRUE,IF(Table1[[#This Row],[Fetal Sex (Male, Female or Unknown)]]="Male",Backend!$C$6,IF(Table1[[#This Row],[Fetal Sex (Male, Female or Unknown)]]="Female",Backend!$C$7,IF(Table1[[#This Row],[Fetal Sex (Male, Female or Unknown)]]="Unknown",Backend!$C$8,"Error"))),"")</f>
        <v/>
      </c>
      <c r="F4735" s="8" t="str">
        <f>IF(Table1[[#This Row],[Is Data Valid]]=TRUE,EXP(0.578+0.332*((Table1[[#This Row],[Gestation (days)]]+0.5)/7)-0.00354*((Table1[[#This Row],[Gestation (days)]]+0.5)/7)^2)*Table1[[#This Row],[BW40_3705]],"")</f>
        <v/>
      </c>
      <c r="G4735" s="2" t="str">
        <f>IF(Table1[[#This Row],[Is Data Valid]]=TRUE,((Table1[[#This Row],[Birthweight (grams)]]/Table1[[#This Row],[BW_GA]])-1)/(Backend!$B$4/100*Table1[[#This Row],[BW40_3705]]),"")</f>
        <v/>
      </c>
      <c r="H4735" s="7" t="str">
        <f>IF(Table1[[#This Row],[Is Data Valid]]=TRUE,((Table1[[#This Row],[Birthweight (grams)]]*0.9/Table1[[#This Row],[BW_GA]])-1)/(Backend!$B$4/100*Table1[[#This Row],[BW40_3705]]),"")</f>
        <v/>
      </c>
      <c r="I4735" s="7" t="str">
        <f>IF(Table1[[#This Row],[Is Data Valid]]=TRUE,((Table1[[#This Row],[Birthweight (grams)]]*1.1/Table1[[#This Row],[BW_GA]])-1)/(Backend!$B$4/100*Table1[[#This Row],[BW40_3705]]),"")</f>
        <v/>
      </c>
      <c r="J4735" s="7" t="str">
        <f>IF(Table1[[#This Row],[Is Data Valid]]=TRUE,_xlfn.NORM.S.DIST(Table1[[#This Row],[Birthweight Z-Score]],TRUE)*100,"")</f>
        <v/>
      </c>
      <c r="K4735" s="7" t="str">
        <f>IF(Table1[[#This Row],[Is Data Valid]]=TRUE,_xlfn.NORM.S.DIST(Table1[[#This Row],[Birthweight Z-Score (BW-10%)]],TRUE)*100,"")</f>
        <v/>
      </c>
      <c r="L4735" s="7" t="str">
        <f>IF(Table1[[#This Row],[Is Data Valid]]=TRUE,_xlfn.NORM.S.DIST(Table1[[#This Row],[Birthweight Z-Score (BW+10%)]],TRUE)*100,"")</f>
        <v/>
      </c>
    </row>
    <row r="4736" spans="1:12" x14ac:dyDescent="0.35">
      <c r="A4736" s="3"/>
      <c r="B4736" s="2"/>
      <c r="C4736" s="2"/>
      <c r="D4736" s="2" t="b">
        <f>IF(AND(NOT(ISBLANK(Table1[[#This Row],[Fetal Sex (Male, Female or Unknown)]])),ISNUMBER(Table1[[#This Row],[Birthweight (grams)]]),ISNUMBER(Table1[[#This Row],[Gestation (days)]])),TRUE,FALSE)</f>
        <v>0</v>
      </c>
      <c r="E4736" s="2" t="str">
        <f>IF(Table1[[#This Row],[Is Data Valid]]=TRUE,IF(Table1[[#This Row],[Fetal Sex (Male, Female or Unknown)]]="Male",Backend!$C$6,IF(Table1[[#This Row],[Fetal Sex (Male, Female or Unknown)]]="Female",Backend!$C$7,IF(Table1[[#This Row],[Fetal Sex (Male, Female or Unknown)]]="Unknown",Backend!$C$8,"Error"))),"")</f>
        <v/>
      </c>
      <c r="F4736" s="8" t="str">
        <f>IF(Table1[[#This Row],[Is Data Valid]]=TRUE,EXP(0.578+0.332*((Table1[[#This Row],[Gestation (days)]]+0.5)/7)-0.00354*((Table1[[#This Row],[Gestation (days)]]+0.5)/7)^2)*Table1[[#This Row],[BW40_3705]],"")</f>
        <v/>
      </c>
      <c r="G4736" s="2" t="str">
        <f>IF(Table1[[#This Row],[Is Data Valid]]=TRUE,((Table1[[#This Row],[Birthweight (grams)]]/Table1[[#This Row],[BW_GA]])-1)/(Backend!$B$4/100*Table1[[#This Row],[BW40_3705]]),"")</f>
        <v/>
      </c>
      <c r="H4736" s="7" t="str">
        <f>IF(Table1[[#This Row],[Is Data Valid]]=TRUE,((Table1[[#This Row],[Birthweight (grams)]]*0.9/Table1[[#This Row],[BW_GA]])-1)/(Backend!$B$4/100*Table1[[#This Row],[BW40_3705]]),"")</f>
        <v/>
      </c>
      <c r="I4736" s="7" t="str">
        <f>IF(Table1[[#This Row],[Is Data Valid]]=TRUE,((Table1[[#This Row],[Birthweight (grams)]]*1.1/Table1[[#This Row],[BW_GA]])-1)/(Backend!$B$4/100*Table1[[#This Row],[BW40_3705]]),"")</f>
        <v/>
      </c>
      <c r="J4736" s="7" t="str">
        <f>IF(Table1[[#This Row],[Is Data Valid]]=TRUE,_xlfn.NORM.S.DIST(Table1[[#This Row],[Birthweight Z-Score]],TRUE)*100,"")</f>
        <v/>
      </c>
      <c r="K4736" s="7" t="str">
        <f>IF(Table1[[#This Row],[Is Data Valid]]=TRUE,_xlfn.NORM.S.DIST(Table1[[#This Row],[Birthweight Z-Score (BW-10%)]],TRUE)*100,"")</f>
        <v/>
      </c>
      <c r="L4736" s="7" t="str">
        <f>IF(Table1[[#This Row],[Is Data Valid]]=TRUE,_xlfn.NORM.S.DIST(Table1[[#This Row],[Birthweight Z-Score (BW+10%)]],TRUE)*100,"")</f>
        <v/>
      </c>
    </row>
    <row r="4737" spans="1:12" x14ac:dyDescent="0.35">
      <c r="A4737" s="3"/>
      <c r="B4737" s="2"/>
      <c r="C4737" s="2"/>
      <c r="D4737" s="2" t="b">
        <f>IF(AND(NOT(ISBLANK(Table1[[#This Row],[Fetal Sex (Male, Female or Unknown)]])),ISNUMBER(Table1[[#This Row],[Birthweight (grams)]]),ISNUMBER(Table1[[#This Row],[Gestation (days)]])),TRUE,FALSE)</f>
        <v>0</v>
      </c>
      <c r="E4737" s="2" t="str">
        <f>IF(Table1[[#This Row],[Is Data Valid]]=TRUE,IF(Table1[[#This Row],[Fetal Sex (Male, Female or Unknown)]]="Male",Backend!$C$6,IF(Table1[[#This Row],[Fetal Sex (Male, Female or Unknown)]]="Female",Backend!$C$7,IF(Table1[[#This Row],[Fetal Sex (Male, Female or Unknown)]]="Unknown",Backend!$C$8,"Error"))),"")</f>
        <v/>
      </c>
      <c r="F4737" s="8" t="str">
        <f>IF(Table1[[#This Row],[Is Data Valid]]=TRUE,EXP(0.578+0.332*((Table1[[#This Row],[Gestation (days)]]+0.5)/7)-0.00354*((Table1[[#This Row],[Gestation (days)]]+0.5)/7)^2)*Table1[[#This Row],[BW40_3705]],"")</f>
        <v/>
      </c>
      <c r="G4737" s="2" t="str">
        <f>IF(Table1[[#This Row],[Is Data Valid]]=TRUE,((Table1[[#This Row],[Birthweight (grams)]]/Table1[[#This Row],[BW_GA]])-1)/(Backend!$B$4/100*Table1[[#This Row],[BW40_3705]]),"")</f>
        <v/>
      </c>
      <c r="H4737" s="7" t="str">
        <f>IF(Table1[[#This Row],[Is Data Valid]]=TRUE,((Table1[[#This Row],[Birthweight (grams)]]*0.9/Table1[[#This Row],[BW_GA]])-1)/(Backend!$B$4/100*Table1[[#This Row],[BW40_3705]]),"")</f>
        <v/>
      </c>
      <c r="I4737" s="7" t="str">
        <f>IF(Table1[[#This Row],[Is Data Valid]]=TRUE,((Table1[[#This Row],[Birthweight (grams)]]*1.1/Table1[[#This Row],[BW_GA]])-1)/(Backend!$B$4/100*Table1[[#This Row],[BW40_3705]]),"")</f>
        <v/>
      </c>
      <c r="J4737" s="7" t="str">
        <f>IF(Table1[[#This Row],[Is Data Valid]]=TRUE,_xlfn.NORM.S.DIST(Table1[[#This Row],[Birthweight Z-Score]],TRUE)*100,"")</f>
        <v/>
      </c>
      <c r="K4737" s="7" t="str">
        <f>IF(Table1[[#This Row],[Is Data Valid]]=TRUE,_xlfn.NORM.S.DIST(Table1[[#This Row],[Birthweight Z-Score (BW-10%)]],TRUE)*100,"")</f>
        <v/>
      </c>
      <c r="L4737" s="7" t="str">
        <f>IF(Table1[[#This Row],[Is Data Valid]]=TRUE,_xlfn.NORM.S.DIST(Table1[[#This Row],[Birthweight Z-Score (BW+10%)]],TRUE)*100,"")</f>
        <v/>
      </c>
    </row>
    <row r="4738" spans="1:12" x14ac:dyDescent="0.35">
      <c r="A4738" s="3"/>
      <c r="B4738" s="2"/>
      <c r="C4738" s="2"/>
      <c r="D4738" s="2" t="b">
        <f>IF(AND(NOT(ISBLANK(Table1[[#This Row],[Fetal Sex (Male, Female or Unknown)]])),ISNUMBER(Table1[[#This Row],[Birthweight (grams)]]),ISNUMBER(Table1[[#This Row],[Gestation (days)]])),TRUE,FALSE)</f>
        <v>0</v>
      </c>
      <c r="E4738" s="2" t="str">
        <f>IF(Table1[[#This Row],[Is Data Valid]]=TRUE,IF(Table1[[#This Row],[Fetal Sex (Male, Female or Unknown)]]="Male",Backend!$C$6,IF(Table1[[#This Row],[Fetal Sex (Male, Female or Unknown)]]="Female",Backend!$C$7,IF(Table1[[#This Row],[Fetal Sex (Male, Female or Unknown)]]="Unknown",Backend!$C$8,"Error"))),"")</f>
        <v/>
      </c>
      <c r="F4738" s="8" t="str">
        <f>IF(Table1[[#This Row],[Is Data Valid]]=TRUE,EXP(0.578+0.332*((Table1[[#This Row],[Gestation (days)]]+0.5)/7)-0.00354*((Table1[[#This Row],[Gestation (days)]]+0.5)/7)^2)*Table1[[#This Row],[BW40_3705]],"")</f>
        <v/>
      </c>
      <c r="G4738" s="2" t="str">
        <f>IF(Table1[[#This Row],[Is Data Valid]]=TRUE,((Table1[[#This Row],[Birthweight (grams)]]/Table1[[#This Row],[BW_GA]])-1)/(Backend!$B$4/100*Table1[[#This Row],[BW40_3705]]),"")</f>
        <v/>
      </c>
      <c r="H4738" s="7" t="str">
        <f>IF(Table1[[#This Row],[Is Data Valid]]=TRUE,((Table1[[#This Row],[Birthweight (grams)]]*0.9/Table1[[#This Row],[BW_GA]])-1)/(Backend!$B$4/100*Table1[[#This Row],[BW40_3705]]),"")</f>
        <v/>
      </c>
      <c r="I4738" s="7" t="str">
        <f>IF(Table1[[#This Row],[Is Data Valid]]=TRUE,((Table1[[#This Row],[Birthweight (grams)]]*1.1/Table1[[#This Row],[BW_GA]])-1)/(Backend!$B$4/100*Table1[[#This Row],[BW40_3705]]),"")</f>
        <v/>
      </c>
      <c r="J4738" s="7" t="str">
        <f>IF(Table1[[#This Row],[Is Data Valid]]=TRUE,_xlfn.NORM.S.DIST(Table1[[#This Row],[Birthweight Z-Score]],TRUE)*100,"")</f>
        <v/>
      </c>
      <c r="K4738" s="7" t="str">
        <f>IF(Table1[[#This Row],[Is Data Valid]]=TRUE,_xlfn.NORM.S.DIST(Table1[[#This Row],[Birthweight Z-Score (BW-10%)]],TRUE)*100,"")</f>
        <v/>
      </c>
      <c r="L4738" s="7" t="str">
        <f>IF(Table1[[#This Row],[Is Data Valid]]=TRUE,_xlfn.NORM.S.DIST(Table1[[#This Row],[Birthweight Z-Score (BW+10%)]],TRUE)*100,"")</f>
        <v/>
      </c>
    </row>
    <row r="4739" spans="1:12" x14ac:dyDescent="0.35">
      <c r="A4739" s="3"/>
      <c r="B4739" s="2"/>
      <c r="C4739" s="2"/>
      <c r="D4739" s="2" t="b">
        <f>IF(AND(NOT(ISBLANK(Table1[[#This Row],[Fetal Sex (Male, Female or Unknown)]])),ISNUMBER(Table1[[#This Row],[Birthweight (grams)]]),ISNUMBER(Table1[[#This Row],[Gestation (days)]])),TRUE,FALSE)</f>
        <v>0</v>
      </c>
      <c r="E4739" s="2" t="str">
        <f>IF(Table1[[#This Row],[Is Data Valid]]=TRUE,IF(Table1[[#This Row],[Fetal Sex (Male, Female or Unknown)]]="Male",Backend!$C$6,IF(Table1[[#This Row],[Fetal Sex (Male, Female or Unknown)]]="Female",Backend!$C$7,IF(Table1[[#This Row],[Fetal Sex (Male, Female or Unknown)]]="Unknown",Backend!$C$8,"Error"))),"")</f>
        <v/>
      </c>
      <c r="F4739" s="8" t="str">
        <f>IF(Table1[[#This Row],[Is Data Valid]]=TRUE,EXP(0.578+0.332*((Table1[[#This Row],[Gestation (days)]]+0.5)/7)-0.00354*((Table1[[#This Row],[Gestation (days)]]+0.5)/7)^2)*Table1[[#This Row],[BW40_3705]],"")</f>
        <v/>
      </c>
      <c r="G4739" s="2" t="str">
        <f>IF(Table1[[#This Row],[Is Data Valid]]=TRUE,((Table1[[#This Row],[Birthweight (grams)]]/Table1[[#This Row],[BW_GA]])-1)/(Backend!$B$4/100*Table1[[#This Row],[BW40_3705]]),"")</f>
        <v/>
      </c>
      <c r="H4739" s="7" t="str">
        <f>IF(Table1[[#This Row],[Is Data Valid]]=TRUE,((Table1[[#This Row],[Birthweight (grams)]]*0.9/Table1[[#This Row],[BW_GA]])-1)/(Backend!$B$4/100*Table1[[#This Row],[BW40_3705]]),"")</f>
        <v/>
      </c>
      <c r="I4739" s="7" t="str">
        <f>IF(Table1[[#This Row],[Is Data Valid]]=TRUE,((Table1[[#This Row],[Birthweight (grams)]]*1.1/Table1[[#This Row],[BW_GA]])-1)/(Backend!$B$4/100*Table1[[#This Row],[BW40_3705]]),"")</f>
        <v/>
      </c>
      <c r="J4739" s="7" t="str">
        <f>IF(Table1[[#This Row],[Is Data Valid]]=TRUE,_xlfn.NORM.S.DIST(Table1[[#This Row],[Birthweight Z-Score]],TRUE)*100,"")</f>
        <v/>
      </c>
      <c r="K4739" s="7" t="str">
        <f>IF(Table1[[#This Row],[Is Data Valid]]=TRUE,_xlfn.NORM.S.DIST(Table1[[#This Row],[Birthweight Z-Score (BW-10%)]],TRUE)*100,"")</f>
        <v/>
      </c>
      <c r="L4739" s="7" t="str">
        <f>IF(Table1[[#This Row],[Is Data Valid]]=TRUE,_xlfn.NORM.S.DIST(Table1[[#This Row],[Birthweight Z-Score (BW+10%)]],TRUE)*100,"")</f>
        <v/>
      </c>
    </row>
    <row r="4740" spans="1:12" x14ac:dyDescent="0.35">
      <c r="A4740" s="3"/>
      <c r="B4740" s="2"/>
      <c r="C4740" s="2"/>
      <c r="D4740" s="2" t="b">
        <f>IF(AND(NOT(ISBLANK(Table1[[#This Row],[Fetal Sex (Male, Female or Unknown)]])),ISNUMBER(Table1[[#This Row],[Birthweight (grams)]]),ISNUMBER(Table1[[#This Row],[Gestation (days)]])),TRUE,FALSE)</f>
        <v>0</v>
      </c>
      <c r="E4740" s="2" t="str">
        <f>IF(Table1[[#This Row],[Is Data Valid]]=TRUE,IF(Table1[[#This Row],[Fetal Sex (Male, Female or Unknown)]]="Male",Backend!$C$6,IF(Table1[[#This Row],[Fetal Sex (Male, Female or Unknown)]]="Female",Backend!$C$7,IF(Table1[[#This Row],[Fetal Sex (Male, Female or Unknown)]]="Unknown",Backend!$C$8,"Error"))),"")</f>
        <v/>
      </c>
      <c r="F4740" s="8" t="str">
        <f>IF(Table1[[#This Row],[Is Data Valid]]=TRUE,EXP(0.578+0.332*((Table1[[#This Row],[Gestation (days)]]+0.5)/7)-0.00354*((Table1[[#This Row],[Gestation (days)]]+0.5)/7)^2)*Table1[[#This Row],[BW40_3705]],"")</f>
        <v/>
      </c>
      <c r="G4740" s="2" t="str">
        <f>IF(Table1[[#This Row],[Is Data Valid]]=TRUE,((Table1[[#This Row],[Birthweight (grams)]]/Table1[[#This Row],[BW_GA]])-1)/(Backend!$B$4/100*Table1[[#This Row],[BW40_3705]]),"")</f>
        <v/>
      </c>
      <c r="H4740" s="7" t="str">
        <f>IF(Table1[[#This Row],[Is Data Valid]]=TRUE,((Table1[[#This Row],[Birthweight (grams)]]*0.9/Table1[[#This Row],[BW_GA]])-1)/(Backend!$B$4/100*Table1[[#This Row],[BW40_3705]]),"")</f>
        <v/>
      </c>
      <c r="I4740" s="7" t="str">
        <f>IF(Table1[[#This Row],[Is Data Valid]]=TRUE,((Table1[[#This Row],[Birthweight (grams)]]*1.1/Table1[[#This Row],[BW_GA]])-1)/(Backend!$B$4/100*Table1[[#This Row],[BW40_3705]]),"")</f>
        <v/>
      </c>
      <c r="J4740" s="7" t="str">
        <f>IF(Table1[[#This Row],[Is Data Valid]]=TRUE,_xlfn.NORM.S.DIST(Table1[[#This Row],[Birthweight Z-Score]],TRUE)*100,"")</f>
        <v/>
      </c>
      <c r="K4740" s="7" t="str">
        <f>IF(Table1[[#This Row],[Is Data Valid]]=TRUE,_xlfn.NORM.S.DIST(Table1[[#This Row],[Birthweight Z-Score (BW-10%)]],TRUE)*100,"")</f>
        <v/>
      </c>
      <c r="L4740" s="7" t="str">
        <f>IF(Table1[[#This Row],[Is Data Valid]]=TRUE,_xlfn.NORM.S.DIST(Table1[[#This Row],[Birthweight Z-Score (BW+10%)]],TRUE)*100,"")</f>
        <v/>
      </c>
    </row>
    <row r="4741" spans="1:12" x14ac:dyDescent="0.35">
      <c r="A4741" s="3"/>
      <c r="B4741" s="2"/>
      <c r="C4741" s="2"/>
      <c r="D4741" s="2" t="b">
        <f>IF(AND(NOT(ISBLANK(Table1[[#This Row],[Fetal Sex (Male, Female or Unknown)]])),ISNUMBER(Table1[[#This Row],[Birthweight (grams)]]),ISNUMBER(Table1[[#This Row],[Gestation (days)]])),TRUE,FALSE)</f>
        <v>0</v>
      </c>
      <c r="E4741" s="2" t="str">
        <f>IF(Table1[[#This Row],[Is Data Valid]]=TRUE,IF(Table1[[#This Row],[Fetal Sex (Male, Female or Unknown)]]="Male",Backend!$C$6,IF(Table1[[#This Row],[Fetal Sex (Male, Female or Unknown)]]="Female",Backend!$C$7,IF(Table1[[#This Row],[Fetal Sex (Male, Female or Unknown)]]="Unknown",Backend!$C$8,"Error"))),"")</f>
        <v/>
      </c>
      <c r="F4741" s="8" t="str">
        <f>IF(Table1[[#This Row],[Is Data Valid]]=TRUE,EXP(0.578+0.332*((Table1[[#This Row],[Gestation (days)]]+0.5)/7)-0.00354*((Table1[[#This Row],[Gestation (days)]]+0.5)/7)^2)*Table1[[#This Row],[BW40_3705]],"")</f>
        <v/>
      </c>
      <c r="G4741" s="2" t="str">
        <f>IF(Table1[[#This Row],[Is Data Valid]]=TRUE,((Table1[[#This Row],[Birthweight (grams)]]/Table1[[#This Row],[BW_GA]])-1)/(Backend!$B$4/100*Table1[[#This Row],[BW40_3705]]),"")</f>
        <v/>
      </c>
      <c r="H4741" s="7" t="str">
        <f>IF(Table1[[#This Row],[Is Data Valid]]=TRUE,((Table1[[#This Row],[Birthweight (grams)]]*0.9/Table1[[#This Row],[BW_GA]])-1)/(Backend!$B$4/100*Table1[[#This Row],[BW40_3705]]),"")</f>
        <v/>
      </c>
      <c r="I4741" s="7" t="str">
        <f>IF(Table1[[#This Row],[Is Data Valid]]=TRUE,((Table1[[#This Row],[Birthweight (grams)]]*1.1/Table1[[#This Row],[BW_GA]])-1)/(Backend!$B$4/100*Table1[[#This Row],[BW40_3705]]),"")</f>
        <v/>
      </c>
      <c r="J4741" s="7" t="str">
        <f>IF(Table1[[#This Row],[Is Data Valid]]=TRUE,_xlfn.NORM.S.DIST(Table1[[#This Row],[Birthweight Z-Score]],TRUE)*100,"")</f>
        <v/>
      </c>
      <c r="K4741" s="7" t="str">
        <f>IF(Table1[[#This Row],[Is Data Valid]]=TRUE,_xlfn.NORM.S.DIST(Table1[[#This Row],[Birthweight Z-Score (BW-10%)]],TRUE)*100,"")</f>
        <v/>
      </c>
      <c r="L4741" s="7" t="str">
        <f>IF(Table1[[#This Row],[Is Data Valid]]=TRUE,_xlfn.NORM.S.DIST(Table1[[#This Row],[Birthweight Z-Score (BW+10%)]],TRUE)*100,"")</f>
        <v/>
      </c>
    </row>
    <row r="4742" spans="1:12" x14ac:dyDescent="0.35">
      <c r="A4742" s="3"/>
      <c r="B4742" s="2"/>
      <c r="C4742" s="2"/>
      <c r="D4742" s="2" t="b">
        <f>IF(AND(NOT(ISBLANK(Table1[[#This Row],[Fetal Sex (Male, Female or Unknown)]])),ISNUMBER(Table1[[#This Row],[Birthweight (grams)]]),ISNUMBER(Table1[[#This Row],[Gestation (days)]])),TRUE,FALSE)</f>
        <v>0</v>
      </c>
      <c r="E4742" s="2" t="str">
        <f>IF(Table1[[#This Row],[Is Data Valid]]=TRUE,IF(Table1[[#This Row],[Fetal Sex (Male, Female or Unknown)]]="Male",Backend!$C$6,IF(Table1[[#This Row],[Fetal Sex (Male, Female or Unknown)]]="Female",Backend!$C$7,IF(Table1[[#This Row],[Fetal Sex (Male, Female or Unknown)]]="Unknown",Backend!$C$8,"Error"))),"")</f>
        <v/>
      </c>
      <c r="F4742" s="8" t="str">
        <f>IF(Table1[[#This Row],[Is Data Valid]]=TRUE,EXP(0.578+0.332*((Table1[[#This Row],[Gestation (days)]]+0.5)/7)-0.00354*((Table1[[#This Row],[Gestation (days)]]+0.5)/7)^2)*Table1[[#This Row],[BW40_3705]],"")</f>
        <v/>
      </c>
      <c r="G4742" s="2" t="str">
        <f>IF(Table1[[#This Row],[Is Data Valid]]=TRUE,((Table1[[#This Row],[Birthweight (grams)]]/Table1[[#This Row],[BW_GA]])-1)/(Backend!$B$4/100*Table1[[#This Row],[BW40_3705]]),"")</f>
        <v/>
      </c>
      <c r="H4742" s="7" t="str">
        <f>IF(Table1[[#This Row],[Is Data Valid]]=TRUE,((Table1[[#This Row],[Birthweight (grams)]]*0.9/Table1[[#This Row],[BW_GA]])-1)/(Backend!$B$4/100*Table1[[#This Row],[BW40_3705]]),"")</f>
        <v/>
      </c>
      <c r="I4742" s="7" t="str">
        <f>IF(Table1[[#This Row],[Is Data Valid]]=TRUE,((Table1[[#This Row],[Birthweight (grams)]]*1.1/Table1[[#This Row],[BW_GA]])-1)/(Backend!$B$4/100*Table1[[#This Row],[BW40_3705]]),"")</f>
        <v/>
      </c>
      <c r="J4742" s="7" t="str">
        <f>IF(Table1[[#This Row],[Is Data Valid]]=TRUE,_xlfn.NORM.S.DIST(Table1[[#This Row],[Birthweight Z-Score]],TRUE)*100,"")</f>
        <v/>
      </c>
      <c r="K4742" s="7" t="str">
        <f>IF(Table1[[#This Row],[Is Data Valid]]=TRUE,_xlfn.NORM.S.DIST(Table1[[#This Row],[Birthweight Z-Score (BW-10%)]],TRUE)*100,"")</f>
        <v/>
      </c>
      <c r="L4742" s="7" t="str">
        <f>IF(Table1[[#This Row],[Is Data Valid]]=TRUE,_xlfn.NORM.S.DIST(Table1[[#This Row],[Birthweight Z-Score (BW+10%)]],TRUE)*100,"")</f>
        <v/>
      </c>
    </row>
    <row r="4743" spans="1:12" x14ac:dyDescent="0.35">
      <c r="A4743" s="3"/>
      <c r="B4743" s="2"/>
      <c r="C4743" s="2"/>
      <c r="D4743" s="2" t="b">
        <f>IF(AND(NOT(ISBLANK(Table1[[#This Row],[Fetal Sex (Male, Female or Unknown)]])),ISNUMBER(Table1[[#This Row],[Birthweight (grams)]]),ISNUMBER(Table1[[#This Row],[Gestation (days)]])),TRUE,FALSE)</f>
        <v>0</v>
      </c>
      <c r="E4743" s="2" t="str">
        <f>IF(Table1[[#This Row],[Is Data Valid]]=TRUE,IF(Table1[[#This Row],[Fetal Sex (Male, Female or Unknown)]]="Male",Backend!$C$6,IF(Table1[[#This Row],[Fetal Sex (Male, Female or Unknown)]]="Female",Backend!$C$7,IF(Table1[[#This Row],[Fetal Sex (Male, Female or Unknown)]]="Unknown",Backend!$C$8,"Error"))),"")</f>
        <v/>
      </c>
      <c r="F4743" s="8" t="str">
        <f>IF(Table1[[#This Row],[Is Data Valid]]=TRUE,EXP(0.578+0.332*((Table1[[#This Row],[Gestation (days)]]+0.5)/7)-0.00354*((Table1[[#This Row],[Gestation (days)]]+0.5)/7)^2)*Table1[[#This Row],[BW40_3705]],"")</f>
        <v/>
      </c>
      <c r="G4743" s="2" t="str">
        <f>IF(Table1[[#This Row],[Is Data Valid]]=TRUE,((Table1[[#This Row],[Birthweight (grams)]]/Table1[[#This Row],[BW_GA]])-1)/(Backend!$B$4/100*Table1[[#This Row],[BW40_3705]]),"")</f>
        <v/>
      </c>
      <c r="H4743" s="7" t="str">
        <f>IF(Table1[[#This Row],[Is Data Valid]]=TRUE,((Table1[[#This Row],[Birthweight (grams)]]*0.9/Table1[[#This Row],[BW_GA]])-1)/(Backend!$B$4/100*Table1[[#This Row],[BW40_3705]]),"")</f>
        <v/>
      </c>
      <c r="I4743" s="7" t="str">
        <f>IF(Table1[[#This Row],[Is Data Valid]]=TRUE,((Table1[[#This Row],[Birthweight (grams)]]*1.1/Table1[[#This Row],[BW_GA]])-1)/(Backend!$B$4/100*Table1[[#This Row],[BW40_3705]]),"")</f>
        <v/>
      </c>
      <c r="J4743" s="7" t="str">
        <f>IF(Table1[[#This Row],[Is Data Valid]]=TRUE,_xlfn.NORM.S.DIST(Table1[[#This Row],[Birthweight Z-Score]],TRUE)*100,"")</f>
        <v/>
      </c>
      <c r="K4743" s="7" t="str">
        <f>IF(Table1[[#This Row],[Is Data Valid]]=TRUE,_xlfn.NORM.S.DIST(Table1[[#This Row],[Birthweight Z-Score (BW-10%)]],TRUE)*100,"")</f>
        <v/>
      </c>
      <c r="L4743" s="7" t="str">
        <f>IF(Table1[[#This Row],[Is Data Valid]]=TRUE,_xlfn.NORM.S.DIST(Table1[[#This Row],[Birthweight Z-Score (BW+10%)]],TRUE)*100,"")</f>
        <v/>
      </c>
    </row>
    <row r="4744" spans="1:12" x14ac:dyDescent="0.35">
      <c r="A4744" s="3"/>
      <c r="B4744" s="2"/>
      <c r="C4744" s="2"/>
      <c r="D4744" s="2" t="b">
        <f>IF(AND(NOT(ISBLANK(Table1[[#This Row],[Fetal Sex (Male, Female or Unknown)]])),ISNUMBER(Table1[[#This Row],[Birthweight (grams)]]),ISNUMBER(Table1[[#This Row],[Gestation (days)]])),TRUE,FALSE)</f>
        <v>0</v>
      </c>
      <c r="E4744" s="2" t="str">
        <f>IF(Table1[[#This Row],[Is Data Valid]]=TRUE,IF(Table1[[#This Row],[Fetal Sex (Male, Female or Unknown)]]="Male",Backend!$C$6,IF(Table1[[#This Row],[Fetal Sex (Male, Female or Unknown)]]="Female",Backend!$C$7,IF(Table1[[#This Row],[Fetal Sex (Male, Female or Unknown)]]="Unknown",Backend!$C$8,"Error"))),"")</f>
        <v/>
      </c>
      <c r="F4744" s="8" t="str">
        <f>IF(Table1[[#This Row],[Is Data Valid]]=TRUE,EXP(0.578+0.332*((Table1[[#This Row],[Gestation (days)]]+0.5)/7)-0.00354*((Table1[[#This Row],[Gestation (days)]]+0.5)/7)^2)*Table1[[#This Row],[BW40_3705]],"")</f>
        <v/>
      </c>
      <c r="G4744" s="2" t="str">
        <f>IF(Table1[[#This Row],[Is Data Valid]]=TRUE,((Table1[[#This Row],[Birthweight (grams)]]/Table1[[#This Row],[BW_GA]])-1)/(Backend!$B$4/100*Table1[[#This Row],[BW40_3705]]),"")</f>
        <v/>
      </c>
      <c r="H4744" s="7" t="str">
        <f>IF(Table1[[#This Row],[Is Data Valid]]=TRUE,((Table1[[#This Row],[Birthweight (grams)]]*0.9/Table1[[#This Row],[BW_GA]])-1)/(Backend!$B$4/100*Table1[[#This Row],[BW40_3705]]),"")</f>
        <v/>
      </c>
      <c r="I4744" s="7" t="str">
        <f>IF(Table1[[#This Row],[Is Data Valid]]=TRUE,((Table1[[#This Row],[Birthweight (grams)]]*1.1/Table1[[#This Row],[BW_GA]])-1)/(Backend!$B$4/100*Table1[[#This Row],[BW40_3705]]),"")</f>
        <v/>
      </c>
      <c r="J4744" s="7" t="str">
        <f>IF(Table1[[#This Row],[Is Data Valid]]=TRUE,_xlfn.NORM.S.DIST(Table1[[#This Row],[Birthweight Z-Score]],TRUE)*100,"")</f>
        <v/>
      </c>
      <c r="K4744" s="7" t="str">
        <f>IF(Table1[[#This Row],[Is Data Valid]]=TRUE,_xlfn.NORM.S.DIST(Table1[[#This Row],[Birthweight Z-Score (BW-10%)]],TRUE)*100,"")</f>
        <v/>
      </c>
      <c r="L4744" s="7" t="str">
        <f>IF(Table1[[#This Row],[Is Data Valid]]=TRUE,_xlfn.NORM.S.DIST(Table1[[#This Row],[Birthweight Z-Score (BW+10%)]],TRUE)*100,"")</f>
        <v/>
      </c>
    </row>
    <row r="4745" spans="1:12" x14ac:dyDescent="0.35">
      <c r="A4745" s="3"/>
      <c r="B4745" s="2"/>
      <c r="C4745" s="2"/>
      <c r="D4745" s="2" t="b">
        <f>IF(AND(NOT(ISBLANK(Table1[[#This Row],[Fetal Sex (Male, Female or Unknown)]])),ISNUMBER(Table1[[#This Row],[Birthweight (grams)]]),ISNUMBER(Table1[[#This Row],[Gestation (days)]])),TRUE,FALSE)</f>
        <v>0</v>
      </c>
      <c r="E4745" s="2" t="str">
        <f>IF(Table1[[#This Row],[Is Data Valid]]=TRUE,IF(Table1[[#This Row],[Fetal Sex (Male, Female or Unknown)]]="Male",Backend!$C$6,IF(Table1[[#This Row],[Fetal Sex (Male, Female or Unknown)]]="Female",Backend!$C$7,IF(Table1[[#This Row],[Fetal Sex (Male, Female or Unknown)]]="Unknown",Backend!$C$8,"Error"))),"")</f>
        <v/>
      </c>
      <c r="F4745" s="8" t="str">
        <f>IF(Table1[[#This Row],[Is Data Valid]]=TRUE,EXP(0.578+0.332*((Table1[[#This Row],[Gestation (days)]]+0.5)/7)-0.00354*((Table1[[#This Row],[Gestation (days)]]+0.5)/7)^2)*Table1[[#This Row],[BW40_3705]],"")</f>
        <v/>
      </c>
      <c r="G4745" s="2" t="str">
        <f>IF(Table1[[#This Row],[Is Data Valid]]=TRUE,((Table1[[#This Row],[Birthweight (grams)]]/Table1[[#This Row],[BW_GA]])-1)/(Backend!$B$4/100*Table1[[#This Row],[BW40_3705]]),"")</f>
        <v/>
      </c>
      <c r="H4745" s="7" t="str">
        <f>IF(Table1[[#This Row],[Is Data Valid]]=TRUE,((Table1[[#This Row],[Birthweight (grams)]]*0.9/Table1[[#This Row],[BW_GA]])-1)/(Backend!$B$4/100*Table1[[#This Row],[BW40_3705]]),"")</f>
        <v/>
      </c>
      <c r="I4745" s="7" t="str">
        <f>IF(Table1[[#This Row],[Is Data Valid]]=TRUE,((Table1[[#This Row],[Birthweight (grams)]]*1.1/Table1[[#This Row],[BW_GA]])-1)/(Backend!$B$4/100*Table1[[#This Row],[BW40_3705]]),"")</f>
        <v/>
      </c>
      <c r="J4745" s="7" t="str">
        <f>IF(Table1[[#This Row],[Is Data Valid]]=TRUE,_xlfn.NORM.S.DIST(Table1[[#This Row],[Birthweight Z-Score]],TRUE)*100,"")</f>
        <v/>
      </c>
      <c r="K4745" s="7" t="str">
        <f>IF(Table1[[#This Row],[Is Data Valid]]=TRUE,_xlfn.NORM.S.DIST(Table1[[#This Row],[Birthweight Z-Score (BW-10%)]],TRUE)*100,"")</f>
        <v/>
      </c>
      <c r="L4745" s="7" t="str">
        <f>IF(Table1[[#This Row],[Is Data Valid]]=TRUE,_xlfn.NORM.S.DIST(Table1[[#This Row],[Birthweight Z-Score (BW+10%)]],TRUE)*100,"")</f>
        <v/>
      </c>
    </row>
    <row r="4746" spans="1:12" x14ac:dyDescent="0.35">
      <c r="A4746" s="3"/>
      <c r="B4746" s="2"/>
      <c r="C4746" s="2"/>
      <c r="D4746" s="2" t="b">
        <f>IF(AND(NOT(ISBLANK(Table1[[#This Row],[Fetal Sex (Male, Female or Unknown)]])),ISNUMBER(Table1[[#This Row],[Birthweight (grams)]]),ISNUMBER(Table1[[#This Row],[Gestation (days)]])),TRUE,FALSE)</f>
        <v>0</v>
      </c>
      <c r="E4746" s="2" t="str">
        <f>IF(Table1[[#This Row],[Is Data Valid]]=TRUE,IF(Table1[[#This Row],[Fetal Sex (Male, Female or Unknown)]]="Male",Backend!$C$6,IF(Table1[[#This Row],[Fetal Sex (Male, Female or Unknown)]]="Female",Backend!$C$7,IF(Table1[[#This Row],[Fetal Sex (Male, Female or Unknown)]]="Unknown",Backend!$C$8,"Error"))),"")</f>
        <v/>
      </c>
      <c r="F4746" s="8" t="str">
        <f>IF(Table1[[#This Row],[Is Data Valid]]=TRUE,EXP(0.578+0.332*((Table1[[#This Row],[Gestation (days)]]+0.5)/7)-0.00354*((Table1[[#This Row],[Gestation (days)]]+0.5)/7)^2)*Table1[[#This Row],[BW40_3705]],"")</f>
        <v/>
      </c>
      <c r="G4746" s="2" t="str">
        <f>IF(Table1[[#This Row],[Is Data Valid]]=TRUE,((Table1[[#This Row],[Birthweight (grams)]]/Table1[[#This Row],[BW_GA]])-1)/(Backend!$B$4/100*Table1[[#This Row],[BW40_3705]]),"")</f>
        <v/>
      </c>
      <c r="H4746" s="7" t="str">
        <f>IF(Table1[[#This Row],[Is Data Valid]]=TRUE,((Table1[[#This Row],[Birthweight (grams)]]*0.9/Table1[[#This Row],[BW_GA]])-1)/(Backend!$B$4/100*Table1[[#This Row],[BW40_3705]]),"")</f>
        <v/>
      </c>
      <c r="I4746" s="7" t="str">
        <f>IF(Table1[[#This Row],[Is Data Valid]]=TRUE,((Table1[[#This Row],[Birthweight (grams)]]*1.1/Table1[[#This Row],[BW_GA]])-1)/(Backend!$B$4/100*Table1[[#This Row],[BW40_3705]]),"")</f>
        <v/>
      </c>
      <c r="J4746" s="7" t="str">
        <f>IF(Table1[[#This Row],[Is Data Valid]]=TRUE,_xlfn.NORM.S.DIST(Table1[[#This Row],[Birthweight Z-Score]],TRUE)*100,"")</f>
        <v/>
      </c>
      <c r="K4746" s="7" t="str">
        <f>IF(Table1[[#This Row],[Is Data Valid]]=TRUE,_xlfn.NORM.S.DIST(Table1[[#This Row],[Birthweight Z-Score (BW-10%)]],TRUE)*100,"")</f>
        <v/>
      </c>
      <c r="L4746" s="7" t="str">
        <f>IF(Table1[[#This Row],[Is Data Valid]]=TRUE,_xlfn.NORM.S.DIST(Table1[[#This Row],[Birthweight Z-Score (BW+10%)]],TRUE)*100,"")</f>
        <v/>
      </c>
    </row>
    <row r="4747" spans="1:12" x14ac:dyDescent="0.35">
      <c r="A4747" s="3"/>
      <c r="B4747" s="2"/>
      <c r="C4747" s="2"/>
      <c r="D4747" s="2" t="b">
        <f>IF(AND(NOT(ISBLANK(Table1[[#This Row],[Fetal Sex (Male, Female or Unknown)]])),ISNUMBER(Table1[[#This Row],[Birthweight (grams)]]),ISNUMBER(Table1[[#This Row],[Gestation (days)]])),TRUE,FALSE)</f>
        <v>0</v>
      </c>
      <c r="E4747" s="2" t="str">
        <f>IF(Table1[[#This Row],[Is Data Valid]]=TRUE,IF(Table1[[#This Row],[Fetal Sex (Male, Female or Unknown)]]="Male",Backend!$C$6,IF(Table1[[#This Row],[Fetal Sex (Male, Female or Unknown)]]="Female",Backend!$C$7,IF(Table1[[#This Row],[Fetal Sex (Male, Female or Unknown)]]="Unknown",Backend!$C$8,"Error"))),"")</f>
        <v/>
      </c>
      <c r="F4747" s="8" t="str">
        <f>IF(Table1[[#This Row],[Is Data Valid]]=TRUE,EXP(0.578+0.332*((Table1[[#This Row],[Gestation (days)]]+0.5)/7)-0.00354*((Table1[[#This Row],[Gestation (days)]]+0.5)/7)^2)*Table1[[#This Row],[BW40_3705]],"")</f>
        <v/>
      </c>
      <c r="G4747" s="2" t="str">
        <f>IF(Table1[[#This Row],[Is Data Valid]]=TRUE,((Table1[[#This Row],[Birthweight (grams)]]/Table1[[#This Row],[BW_GA]])-1)/(Backend!$B$4/100*Table1[[#This Row],[BW40_3705]]),"")</f>
        <v/>
      </c>
      <c r="H4747" s="7" t="str">
        <f>IF(Table1[[#This Row],[Is Data Valid]]=TRUE,((Table1[[#This Row],[Birthweight (grams)]]*0.9/Table1[[#This Row],[BW_GA]])-1)/(Backend!$B$4/100*Table1[[#This Row],[BW40_3705]]),"")</f>
        <v/>
      </c>
      <c r="I4747" s="7" t="str">
        <f>IF(Table1[[#This Row],[Is Data Valid]]=TRUE,((Table1[[#This Row],[Birthweight (grams)]]*1.1/Table1[[#This Row],[BW_GA]])-1)/(Backend!$B$4/100*Table1[[#This Row],[BW40_3705]]),"")</f>
        <v/>
      </c>
      <c r="J4747" s="7" t="str">
        <f>IF(Table1[[#This Row],[Is Data Valid]]=TRUE,_xlfn.NORM.S.DIST(Table1[[#This Row],[Birthweight Z-Score]],TRUE)*100,"")</f>
        <v/>
      </c>
      <c r="K4747" s="7" t="str">
        <f>IF(Table1[[#This Row],[Is Data Valid]]=TRUE,_xlfn.NORM.S.DIST(Table1[[#This Row],[Birthweight Z-Score (BW-10%)]],TRUE)*100,"")</f>
        <v/>
      </c>
      <c r="L4747" s="7" t="str">
        <f>IF(Table1[[#This Row],[Is Data Valid]]=TRUE,_xlfn.NORM.S.DIST(Table1[[#This Row],[Birthweight Z-Score (BW+10%)]],TRUE)*100,"")</f>
        <v/>
      </c>
    </row>
    <row r="4748" spans="1:12" x14ac:dyDescent="0.35">
      <c r="A4748" s="3"/>
      <c r="B4748" s="2"/>
      <c r="C4748" s="2"/>
      <c r="D4748" s="2" t="b">
        <f>IF(AND(NOT(ISBLANK(Table1[[#This Row],[Fetal Sex (Male, Female or Unknown)]])),ISNUMBER(Table1[[#This Row],[Birthweight (grams)]]),ISNUMBER(Table1[[#This Row],[Gestation (days)]])),TRUE,FALSE)</f>
        <v>0</v>
      </c>
      <c r="E4748" s="2" t="str">
        <f>IF(Table1[[#This Row],[Is Data Valid]]=TRUE,IF(Table1[[#This Row],[Fetal Sex (Male, Female or Unknown)]]="Male",Backend!$C$6,IF(Table1[[#This Row],[Fetal Sex (Male, Female or Unknown)]]="Female",Backend!$C$7,IF(Table1[[#This Row],[Fetal Sex (Male, Female or Unknown)]]="Unknown",Backend!$C$8,"Error"))),"")</f>
        <v/>
      </c>
      <c r="F4748" s="8" t="str">
        <f>IF(Table1[[#This Row],[Is Data Valid]]=TRUE,EXP(0.578+0.332*((Table1[[#This Row],[Gestation (days)]]+0.5)/7)-0.00354*((Table1[[#This Row],[Gestation (days)]]+0.5)/7)^2)*Table1[[#This Row],[BW40_3705]],"")</f>
        <v/>
      </c>
      <c r="G4748" s="2" t="str">
        <f>IF(Table1[[#This Row],[Is Data Valid]]=TRUE,((Table1[[#This Row],[Birthweight (grams)]]/Table1[[#This Row],[BW_GA]])-1)/(Backend!$B$4/100*Table1[[#This Row],[BW40_3705]]),"")</f>
        <v/>
      </c>
      <c r="H4748" s="7" t="str">
        <f>IF(Table1[[#This Row],[Is Data Valid]]=TRUE,((Table1[[#This Row],[Birthweight (grams)]]*0.9/Table1[[#This Row],[BW_GA]])-1)/(Backend!$B$4/100*Table1[[#This Row],[BW40_3705]]),"")</f>
        <v/>
      </c>
      <c r="I4748" s="7" t="str">
        <f>IF(Table1[[#This Row],[Is Data Valid]]=TRUE,((Table1[[#This Row],[Birthweight (grams)]]*1.1/Table1[[#This Row],[BW_GA]])-1)/(Backend!$B$4/100*Table1[[#This Row],[BW40_3705]]),"")</f>
        <v/>
      </c>
      <c r="J4748" s="7" t="str">
        <f>IF(Table1[[#This Row],[Is Data Valid]]=TRUE,_xlfn.NORM.S.DIST(Table1[[#This Row],[Birthweight Z-Score]],TRUE)*100,"")</f>
        <v/>
      </c>
      <c r="K4748" s="7" t="str">
        <f>IF(Table1[[#This Row],[Is Data Valid]]=TRUE,_xlfn.NORM.S.DIST(Table1[[#This Row],[Birthweight Z-Score (BW-10%)]],TRUE)*100,"")</f>
        <v/>
      </c>
      <c r="L4748" s="7" t="str">
        <f>IF(Table1[[#This Row],[Is Data Valid]]=TRUE,_xlfn.NORM.S.DIST(Table1[[#This Row],[Birthweight Z-Score (BW+10%)]],TRUE)*100,"")</f>
        <v/>
      </c>
    </row>
    <row r="4749" spans="1:12" x14ac:dyDescent="0.35">
      <c r="A4749" s="3"/>
      <c r="B4749" s="2"/>
      <c r="C4749" s="2"/>
      <c r="D4749" s="2" t="b">
        <f>IF(AND(NOT(ISBLANK(Table1[[#This Row],[Fetal Sex (Male, Female or Unknown)]])),ISNUMBER(Table1[[#This Row],[Birthweight (grams)]]),ISNUMBER(Table1[[#This Row],[Gestation (days)]])),TRUE,FALSE)</f>
        <v>0</v>
      </c>
      <c r="E4749" s="2" t="str">
        <f>IF(Table1[[#This Row],[Is Data Valid]]=TRUE,IF(Table1[[#This Row],[Fetal Sex (Male, Female or Unknown)]]="Male",Backend!$C$6,IF(Table1[[#This Row],[Fetal Sex (Male, Female or Unknown)]]="Female",Backend!$C$7,IF(Table1[[#This Row],[Fetal Sex (Male, Female or Unknown)]]="Unknown",Backend!$C$8,"Error"))),"")</f>
        <v/>
      </c>
      <c r="F4749" s="8" t="str">
        <f>IF(Table1[[#This Row],[Is Data Valid]]=TRUE,EXP(0.578+0.332*((Table1[[#This Row],[Gestation (days)]]+0.5)/7)-0.00354*((Table1[[#This Row],[Gestation (days)]]+0.5)/7)^2)*Table1[[#This Row],[BW40_3705]],"")</f>
        <v/>
      </c>
      <c r="G4749" s="2" t="str">
        <f>IF(Table1[[#This Row],[Is Data Valid]]=TRUE,((Table1[[#This Row],[Birthweight (grams)]]/Table1[[#This Row],[BW_GA]])-1)/(Backend!$B$4/100*Table1[[#This Row],[BW40_3705]]),"")</f>
        <v/>
      </c>
      <c r="H4749" s="7" t="str">
        <f>IF(Table1[[#This Row],[Is Data Valid]]=TRUE,((Table1[[#This Row],[Birthweight (grams)]]*0.9/Table1[[#This Row],[BW_GA]])-1)/(Backend!$B$4/100*Table1[[#This Row],[BW40_3705]]),"")</f>
        <v/>
      </c>
      <c r="I4749" s="7" t="str">
        <f>IF(Table1[[#This Row],[Is Data Valid]]=TRUE,((Table1[[#This Row],[Birthweight (grams)]]*1.1/Table1[[#This Row],[BW_GA]])-1)/(Backend!$B$4/100*Table1[[#This Row],[BW40_3705]]),"")</f>
        <v/>
      </c>
      <c r="J4749" s="7" t="str">
        <f>IF(Table1[[#This Row],[Is Data Valid]]=TRUE,_xlfn.NORM.S.DIST(Table1[[#This Row],[Birthweight Z-Score]],TRUE)*100,"")</f>
        <v/>
      </c>
      <c r="K4749" s="7" t="str">
        <f>IF(Table1[[#This Row],[Is Data Valid]]=TRUE,_xlfn.NORM.S.DIST(Table1[[#This Row],[Birthweight Z-Score (BW-10%)]],TRUE)*100,"")</f>
        <v/>
      </c>
      <c r="L4749" s="7" t="str">
        <f>IF(Table1[[#This Row],[Is Data Valid]]=TRUE,_xlfn.NORM.S.DIST(Table1[[#This Row],[Birthweight Z-Score (BW+10%)]],TRUE)*100,"")</f>
        <v/>
      </c>
    </row>
    <row r="4750" spans="1:12" x14ac:dyDescent="0.35">
      <c r="A4750" s="3"/>
      <c r="B4750" s="2"/>
      <c r="C4750" s="2"/>
      <c r="D4750" s="2" t="b">
        <f>IF(AND(NOT(ISBLANK(Table1[[#This Row],[Fetal Sex (Male, Female or Unknown)]])),ISNUMBER(Table1[[#This Row],[Birthweight (grams)]]),ISNUMBER(Table1[[#This Row],[Gestation (days)]])),TRUE,FALSE)</f>
        <v>0</v>
      </c>
      <c r="E4750" s="2" t="str">
        <f>IF(Table1[[#This Row],[Is Data Valid]]=TRUE,IF(Table1[[#This Row],[Fetal Sex (Male, Female or Unknown)]]="Male",Backend!$C$6,IF(Table1[[#This Row],[Fetal Sex (Male, Female or Unknown)]]="Female",Backend!$C$7,IF(Table1[[#This Row],[Fetal Sex (Male, Female or Unknown)]]="Unknown",Backend!$C$8,"Error"))),"")</f>
        <v/>
      </c>
      <c r="F4750" s="8" t="str">
        <f>IF(Table1[[#This Row],[Is Data Valid]]=TRUE,EXP(0.578+0.332*((Table1[[#This Row],[Gestation (days)]]+0.5)/7)-0.00354*((Table1[[#This Row],[Gestation (days)]]+0.5)/7)^2)*Table1[[#This Row],[BW40_3705]],"")</f>
        <v/>
      </c>
      <c r="G4750" s="2" t="str">
        <f>IF(Table1[[#This Row],[Is Data Valid]]=TRUE,((Table1[[#This Row],[Birthweight (grams)]]/Table1[[#This Row],[BW_GA]])-1)/(Backend!$B$4/100*Table1[[#This Row],[BW40_3705]]),"")</f>
        <v/>
      </c>
      <c r="H4750" s="7" t="str">
        <f>IF(Table1[[#This Row],[Is Data Valid]]=TRUE,((Table1[[#This Row],[Birthweight (grams)]]*0.9/Table1[[#This Row],[BW_GA]])-1)/(Backend!$B$4/100*Table1[[#This Row],[BW40_3705]]),"")</f>
        <v/>
      </c>
      <c r="I4750" s="7" t="str">
        <f>IF(Table1[[#This Row],[Is Data Valid]]=TRUE,((Table1[[#This Row],[Birthweight (grams)]]*1.1/Table1[[#This Row],[BW_GA]])-1)/(Backend!$B$4/100*Table1[[#This Row],[BW40_3705]]),"")</f>
        <v/>
      </c>
      <c r="J4750" s="7" t="str">
        <f>IF(Table1[[#This Row],[Is Data Valid]]=TRUE,_xlfn.NORM.S.DIST(Table1[[#This Row],[Birthweight Z-Score]],TRUE)*100,"")</f>
        <v/>
      </c>
      <c r="K4750" s="7" t="str">
        <f>IF(Table1[[#This Row],[Is Data Valid]]=TRUE,_xlfn.NORM.S.DIST(Table1[[#This Row],[Birthweight Z-Score (BW-10%)]],TRUE)*100,"")</f>
        <v/>
      </c>
      <c r="L4750" s="7" t="str">
        <f>IF(Table1[[#This Row],[Is Data Valid]]=TRUE,_xlfn.NORM.S.DIST(Table1[[#This Row],[Birthweight Z-Score (BW+10%)]],TRUE)*100,"")</f>
        <v/>
      </c>
    </row>
    <row r="4751" spans="1:12" x14ac:dyDescent="0.35">
      <c r="A4751" s="3"/>
      <c r="B4751" s="2"/>
      <c r="C4751" s="2"/>
      <c r="D4751" s="2" t="b">
        <f>IF(AND(NOT(ISBLANK(Table1[[#This Row],[Fetal Sex (Male, Female or Unknown)]])),ISNUMBER(Table1[[#This Row],[Birthweight (grams)]]),ISNUMBER(Table1[[#This Row],[Gestation (days)]])),TRUE,FALSE)</f>
        <v>0</v>
      </c>
      <c r="E4751" s="2" t="str">
        <f>IF(Table1[[#This Row],[Is Data Valid]]=TRUE,IF(Table1[[#This Row],[Fetal Sex (Male, Female or Unknown)]]="Male",Backend!$C$6,IF(Table1[[#This Row],[Fetal Sex (Male, Female or Unknown)]]="Female",Backend!$C$7,IF(Table1[[#This Row],[Fetal Sex (Male, Female or Unknown)]]="Unknown",Backend!$C$8,"Error"))),"")</f>
        <v/>
      </c>
      <c r="F4751" s="8" t="str">
        <f>IF(Table1[[#This Row],[Is Data Valid]]=TRUE,EXP(0.578+0.332*((Table1[[#This Row],[Gestation (days)]]+0.5)/7)-0.00354*((Table1[[#This Row],[Gestation (days)]]+0.5)/7)^2)*Table1[[#This Row],[BW40_3705]],"")</f>
        <v/>
      </c>
      <c r="G4751" s="2" t="str">
        <f>IF(Table1[[#This Row],[Is Data Valid]]=TRUE,((Table1[[#This Row],[Birthweight (grams)]]/Table1[[#This Row],[BW_GA]])-1)/(Backend!$B$4/100*Table1[[#This Row],[BW40_3705]]),"")</f>
        <v/>
      </c>
      <c r="H4751" s="7" t="str">
        <f>IF(Table1[[#This Row],[Is Data Valid]]=TRUE,((Table1[[#This Row],[Birthweight (grams)]]*0.9/Table1[[#This Row],[BW_GA]])-1)/(Backend!$B$4/100*Table1[[#This Row],[BW40_3705]]),"")</f>
        <v/>
      </c>
      <c r="I4751" s="7" t="str">
        <f>IF(Table1[[#This Row],[Is Data Valid]]=TRUE,((Table1[[#This Row],[Birthweight (grams)]]*1.1/Table1[[#This Row],[BW_GA]])-1)/(Backend!$B$4/100*Table1[[#This Row],[BW40_3705]]),"")</f>
        <v/>
      </c>
      <c r="J4751" s="7" t="str">
        <f>IF(Table1[[#This Row],[Is Data Valid]]=TRUE,_xlfn.NORM.S.DIST(Table1[[#This Row],[Birthweight Z-Score]],TRUE)*100,"")</f>
        <v/>
      </c>
      <c r="K4751" s="7" t="str">
        <f>IF(Table1[[#This Row],[Is Data Valid]]=TRUE,_xlfn.NORM.S.DIST(Table1[[#This Row],[Birthweight Z-Score (BW-10%)]],TRUE)*100,"")</f>
        <v/>
      </c>
      <c r="L4751" s="7" t="str">
        <f>IF(Table1[[#This Row],[Is Data Valid]]=TRUE,_xlfn.NORM.S.DIST(Table1[[#This Row],[Birthweight Z-Score (BW+10%)]],TRUE)*100,"")</f>
        <v/>
      </c>
    </row>
    <row r="4752" spans="1:12" x14ac:dyDescent="0.35">
      <c r="A4752" s="3"/>
      <c r="B4752" s="2"/>
      <c r="C4752" s="2"/>
      <c r="D4752" s="2" t="b">
        <f>IF(AND(NOT(ISBLANK(Table1[[#This Row],[Fetal Sex (Male, Female or Unknown)]])),ISNUMBER(Table1[[#This Row],[Birthweight (grams)]]),ISNUMBER(Table1[[#This Row],[Gestation (days)]])),TRUE,FALSE)</f>
        <v>0</v>
      </c>
      <c r="E4752" s="2" t="str">
        <f>IF(Table1[[#This Row],[Is Data Valid]]=TRUE,IF(Table1[[#This Row],[Fetal Sex (Male, Female or Unknown)]]="Male",Backend!$C$6,IF(Table1[[#This Row],[Fetal Sex (Male, Female or Unknown)]]="Female",Backend!$C$7,IF(Table1[[#This Row],[Fetal Sex (Male, Female or Unknown)]]="Unknown",Backend!$C$8,"Error"))),"")</f>
        <v/>
      </c>
      <c r="F4752" s="8" t="str">
        <f>IF(Table1[[#This Row],[Is Data Valid]]=TRUE,EXP(0.578+0.332*((Table1[[#This Row],[Gestation (days)]]+0.5)/7)-0.00354*((Table1[[#This Row],[Gestation (days)]]+0.5)/7)^2)*Table1[[#This Row],[BW40_3705]],"")</f>
        <v/>
      </c>
      <c r="G4752" s="2" t="str">
        <f>IF(Table1[[#This Row],[Is Data Valid]]=TRUE,((Table1[[#This Row],[Birthweight (grams)]]/Table1[[#This Row],[BW_GA]])-1)/(Backend!$B$4/100*Table1[[#This Row],[BW40_3705]]),"")</f>
        <v/>
      </c>
      <c r="H4752" s="7" t="str">
        <f>IF(Table1[[#This Row],[Is Data Valid]]=TRUE,((Table1[[#This Row],[Birthweight (grams)]]*0.9/Table1[[#This Row],[BW_GA]])-1)/(Backend!$B$4/100*Table1[[#This Row],[BW40_3705]]),"")</f>
        <v/>
      </c>
      <c r="I4752" s="7" t="str">
        <f>IF(Table1[[#This Row],[Is Data Valid]]=TRUE,((Table1[[#This Row],[Birthweight (grams)]]*1.1/Table1[[#This Row],[BW_GA]])-1)/(Backend!$B$4/100*Table1[[#This Row],[BW40_3705]]),"")</f>
        <v/>
      </c>
      <c r="J4752" s="7" t="str">
        <f>IF(Table1[[#This Row],[Is Data Valid]]=TRUE,_xlfn.NORM.S.DIST(Table1[[#This Row],[Birthweight Z-Score]],TRUE)*100,"")</f>
        <v/>
      </c>
      <c r="K4752" s="7" t="str">
        <f>IF(Table1[[#This Row],[Is Data Valid]]=TRUE,_xlfn.NORM.S.DIST(Table1[[#This Row],[Birthweight Z-Score (BW-10%)]],TRUE)*100,"")</f>
        <v/>
      </c>
      <c r="L4752" s="7" t="str">
        <f>IF(Table1[[#This Row],[Is Data Valid]]=TRUE,_xlfn.NORM.S.DIST(Table1[[#This Row],[Birthweight Z-Score (BW+10%)]],TRUE)*100,"")</f>
        <v/>
      </c>
    </row>
    <row r="4753" spans="1:12" x14ac:dyDescent="0.35">
      <c r="A4753" s="3"/>
      <c r="B4753" s="2"/>
      <c r="C4753" s="2"/>
      <c r="D4753" s="2" t="b">
        <f>IF(AND(NOT(ISBLANK(Table1[[#This Row],[Fetal Sex (Male, Female or Unknown)]])),ISNUMBER(Table1[[#This Row],[Birthweight (grams)]]),ISNUMBER(Table1[[#This Row],[Gestation (days)]])),TRUE,FALSE)</f>
        <v>0</v>
      </c>
      <c r="E4753" s="2" t="str">
        <f>IF(Table1[[#This Row],[Is Data Valid]]=TRUE,IF(Table1[[#This Row],[Fetal Sex (Male, Female or Unknown)]]="Male",Backend!$C$6,IF(Table1[[#This Row],[Fetal Sex (Male, Female or Unknown)]]="Female",Backend!$C$7,IF(Table1[[#This Row],[Fetal Sex (Male, Female or Unknown)]]="Unknown",Backend!$C$8,"Error"))),"")</f>
        <v/>
      </c>
      <c r="F4753" s="8" t="str">
        <f>IF(Table1[[#This Row],[Is Data Valid]]=TRUE,EXP(0.578+0.332*((Table1[[#This Row],[Gestation (days)]]+0.5)/7)-0.00354*((Table1[[#This Row],[Gestation (days)]]+0.5)/7)^2)*Table1[[#This Row],[BW40_3705]],"")</f>
        <v/>
      </c>
      <c r="G4753" s="2" t="str">
        <f>IF(Table1[[#This Row],[Is Data Valid]]=TRUE,((Table1[[#This Row],[Birthweight (grams)]]/Table1[[#This Row],[BW_GA]])-1)/(Backend!$B$4/100*Table1[[#This Row],[BW40_3705]]),"")</f>
        <v/>
      </c>
      <c r="H4753" s="7" t="str">
        <f>IF(Table1[[#This Row],[Is Data Valid]]=TRUE,((Table1[[#This Row],[Birthweight (grams)]]*0.9/Table1[[#This Row],[BW_GA]])-1)/(Backend!$B$4/100*Table1[[#This Row],[BW40_3705]]),"")</f>
        <v/>
      </c>
      <c r="I4753" s="7" t="str">
        <f>IF(Table1[[#This Row],[Is Data Valid]]=TRUE,((Table1[[#This Row],[Birthweight (grams)]]*1.1/Table1[[#This Row],[BW_GA]])-1)/(Backend!$B$4/100*Table1[[#This Row],[BW40_3705]]),"")</f>
        <v/>
      </c>
      <c r="J4753" s="7" t="str">
        <f>IF(Table1[[#This Row],[Is Data Valid]]=TRUE,_xlfn.NORM.S.DIST(Table1[[#This Row],[Birthweight Z-Score]],TRUE)*100,"")</f>
        <v/>
      </c>
      <c r="K4753" s="7" t="str">
        <f>IF(Table1[[#This Row],[Is Data Valid]]=TRUE,_xlfn.NORM.S.DIST(Table1[[#This Row],[Birthweight Z-Score (BW-10%)]],TRUE)*100,"")</f>
        <v/>
      </c>
      <c r="L4753" s="7" t="str">
        <f>IF(Table1[[#This Row],[Is Data Valid]]=TRUE,_xlfn.NORM.S.DIST(Table1[[#This Row],[Birthweight Z-Score (BW+10%)]],TRUE)*100,"")</f>
        <v/>
      </c>
    </row>
    <row r="4754" spans="1:12" x14ac:dyDescent="0.35">
      <c r="A4754" s="3"/>
      <c r="B4754" s="2"/>
      <c r="C4754" s="2"/>
      <c r="D4754" s="2" t="b">
        <f>IF(AND(NOT(ISBLANK(Table1[[#This Row],[Fetal Sex (Male, Female or Unknown)]])),ISNUMBER(Table1[[#This Row],[Birthweight (grams)]]),ISNUMBER(Table1[[#This Row],[Gestation (days)]])),TRUE,FALSE)</f>
        <v>0</v>
      </c>
      <c r="E4754" s="2" t="str">
        <f>IF(Table1[[#This Row],[Is Data Valid]]=TRUE,IF(Table1[[#This Row],[Fetal Sex (Male, Female or Unknown)]]="Male",Backend!$C$6,IF(Table1[[#This Row],[Fetal Sex (Male, Female or Unknown)]]="Female",Backend!$C$7,IF(Table1[[#This Row],[Fetal Sex (Male, Female or Unknown)]]="Unknown",Backend!$C$8,"Error"))),"")</f>
        <v/>
      </c>
      <c r="F4754" s="8" t="str">
        <f>IF(Table1[[#This Row],[Is Data Valid]]=TRUE,EXP(0.578+0.332*((Table1[[#This Row],[Gestation (days)]]+0.5)/7)-0.00354*((Table1[[#This Row],[Gestation (days)]]+0.5)/7)^2)*Table1[[#This Row],[BW40_3705]],"")</f>
        <v/>
      </c>
      <c r="G4754" s="2" t="str">
        <f>IF(Table1[[#This Row],[Is Data Valid]]=TRUE,((Table1[[#This Row],[Birthweight (grams)]]/Table1[[#This Row],[BW_GA]])-1)/(Backend!$B$4/100*Table1[[#This Row],[BW40_3705]]),"")</f>
        <v/>
      </c>
      <c r="H4754" s="7" t="str">
        <f>IF(Table1[[#This Row],[Is Data Valid]]=TRUE,((Table1[[#This Row],[Birthweight (grams)]]*0.9/Table1[[#This Row],[BW_GA]])-1)/(Backend!$B$4/100*Table1[[#This Row],[BW40_3705]]),"")</f>
        <v/>
      </c>
      <c r="I4754" s="7" t="str">
        <f>IF(Table1[[#This Row],[Is Data Valid]]=TRUE,((Table1[[#This Row],[Birthweight (grams)]]*1.1/Table1[[#This Row],[BW_GA]])-1)/(Backend!$B$4/100*Table1[[#This Row],[BW40_3705]]),"")</f>
        <v/>
      </c>
      <c r="J4754" s="7" t="str">
        <f>IF(Table1[[#This Row],[Is Data Valid]]=TRUE,_xlfn.NORM.S.DIST(Table1[[#This Row],[Birthweight Z-Score]],TRUE)*100,"")</f>
        <v/>
      </c>
      <c r="K4754" s="7" t="str">
        <f>IF(Table1[[#This Row],[Is Data Valid]]=TRUE,_xlfn.NORM.S.DIST(Table1[[#This Row],[Birthweight Z-Score (BW-10%)]],TRUE)*100,"")</f>
        <v/>
      </c>
      <c r="L4754" s="7" t="str">
        <f>IF(Table1[[#This Row],[Is Data Valid]]=TRUE,_xlfn.NORM.S.DIST(Table1[[#This Row],[Birthweight Z-Score (BW+10%)]],TRUE)*100,"")</f>
        <v/>
      </c>
    </row>
    <row r="4755" spans="1:12" x14ac:dyDescent="0.35">
      <c r="A4755" s="3"/>
      <c r="B4755" s="2"/>
      <c r="C4755" s="2"/>
      <c r="D4755" s="2" t="b">
        <f>IF(AND(NOT(ISBLANK(Table1[[#This Row],[Fetal Sex (Male, Female or Unknown)]])),ISNUMBER(Table1[[#This Row],[Birthweight (grams)]]),ISNUMBER(Table1[[#This Row],[Gestation (days)]])),TRUE,FALSE)</f>
        <v>0</v>
      </c>
      <c r="E4755" s="2" t="str">
        <f>IF(Table1[[#This Row],[Is Data Valid]]=TRUE,IF(Table1[[#This Row],[Fetal Sex (Male, Female or Unknown)]]="Male",Backend!$C$6,IF(Table1[[#This Row],[Fetal Sex (Male, Female or Unknown)]]="Female",Backend!$C$7,IF(Table1[[#This Row],[Fetal Sex (Male, Female or Unknown)]]="Unknown",Backend!$C$8,"Error"))),"")</f>
        <v/>
      </c>
      <c r="F4755" s="8" t="str">
        <f>IF(Table1[[#This Row],[Is Data Valid]]=TRUE,EXP(0.578+0.332*((Table1[[#This Row],[Gestation (days)]]+0.5)/7)-0.00354*((Table1[[#This Row],[Gestation (days)]]+0.5)/7)^2)*Table1[[#This Row],[BW40_3705]],"")</f>
        <v/>
      </c>
      <c r="G4755" s="2" t="str">
        <f>IF(Table1[[#This Row],[Is Data Valid]]=TRUE,((Table1[[#This Row],[Birthweight (grams)]]/Table1[[#This Row],[BW_GA]])-1)/(Backend!$B$4/100*Table1[[#This Row],[BW40_3705]]),"")</f>
        <v/>
      </c>
      <c r="H4755" s="7" t="str">
        <f>IF(Table1[[#This Row],[Is Data Valid]]=TRUE,((Table1[[#This Row],[Birthweight (grams)]]*0.9/Table1[[#This Row],[BW_GA]])-1)/(Backend!$B$4/100*Table1[[#This Row],[BW40_3705]]),"")</f>
        <v/>
      </c>
      <c r="I4755" s="7" t="str">
        <f>IF(Table1[[#This Row],[Is Data Valid]]=TRUE,((Table1[[#This Row],[Birthweight (grams)]]*1.1/Table1[[#This Row],[BW_GA]])-1)/(Backend!$B$4/100*Table1[[#This Row],[BW40_3705]]),"")</f>
        <v/>
      </c>
      <c r="J4755" s="7" t="str">
        <f>IF(Table1[[#This Row],[Is Data Valid]]=TRUE,_xlfn.NORM.S.DIST(Table1[[#This Row],[Birthweight Z-Score]],TRUE)*100,"")</f>
        <v/>
      </c>
      <c r="K4755" s="7" t="str">
        <f>IF(Table1[[#This Row],[Is Data Valid]]=TRUE,_xlfn.NORM.S.DIST(Table1[[#This Row],[Birthweight Z-Score (BW-10%)]],TRUE)*100,"")</f>
        <v/>
      </c>
      <c r="L4755" s="7" t="str">
        <f>IF(Table1[[#This Row],[Is Data Valid]]=TRUE,_xlfn.NORM.S.DIST(Table1[[#This Row],[Birthweight Z-Score (BW+10%)]],TRUE)*100,"")</f>
        <v/>
      </c>
    </row>
    <row r="4756" spans="1:12" x14ac:dyDescent="0.35">
      <c r="A4756" s="3"/>
      <c r="B4756" s="2"/>
      <c r="C4756" s="2"/>
      <c r="D4756" s="2" t="b">
        <f>IF(AND(NOT(ISBLANK(Table1[[#This Row],[Fetal Sex (Male, Female or Unknown)]])),ISNUMBER(Table1[[#This Row],[Birthweight (grams)]]),ISNUMBER(Table1[[#This Row],[Gestation (days)]])),TRUE,FALSE)</f>
        <v>0</v>
      </c>
      <c r="E4756" s="2" t="str">
        <f>IF(Table1[[#This Row],[Is Data Valid]]=TRUE,IF(Table1[[#This Row],[Fetal Sex (Male, Female or Unknown)]]="Male",Backend!$C$6,IF(Table1[[#This Row],[Fetal Sex (Male, Female or Unknown)]]="Female",Backend!$C$7,IF(Table1[[#This Row],[Fetal Sex (Male, Female or Unknown)]]="Unknown",Backend!$C$8,"Error"))),"")</f>
        <v/>
      </c>
      <c r="F4756" s="8" t="str">
        <f>IF(Table1[[#This Row],[Is Data Valid]]=TRUE,EXP(0.578+0.332*((Table1[[#This Row],[Gestation (days)]]+0.5)/7)-0.00354*((Table1[[#This Row],[Gestation (days)]]+0.5)/7)^2)*Table1[[#This Row],[BW40_3705]],"")</f>
        <v/>
      </c>
      <c r="G4756" s="2" t="str">
        <f>IF(Table1[[#This Row],[Is Data Valid]]=TRUE,((Table1[[#This Row],[Birthweight (grams)]]/Table1[[#This Row],[BW_GA]])-1)/(Backend!$B$4/100*Table1[[#This Row],[BW40_3705]]),"")</f>
        <v/>
      </c>
      <c r="H4756" s="7" t="str">
        <f>IF(Table1[[#This Row],[Is Data Valid]]=TRUE,((Table1[[#This Row],[Birthweight (grams)]]*0.9/Table1[[#This Row],[BW_GA]])-1)/(Backend!$B$4/100*Table1[[#This Row],[BW40_3705]]),"")</f>
        <v/>
      </c>
      <c r="I4756" s="7" t="str">
        <f>IF(Table1[[#This Row],[Is Data Valid]]=TRUE,((Table1[[#This Row],[Birthweight (grams)]]*1.1/Table1[[#This Row],[BW_GA]])-1)/(Backend!$B$4/100*Table1[[#This Row],[BW40_3705]]),"")</f>
        <v/>
      </c>
      <c r="J4756" s="7" t="str">
        <f>IF(Table1[[#This Row],[Is Data Valid]]=TRUE,_xlfn.NORM.S.DIST(Table1[[#This Row],[Birthweight Z-Score]],TRUE)*100,"")</f>
        <v/>
      </c>
      <c r="K4756" s="7" t="str">
        <f>IF(Table1[[#This Row],[Is Data Valid]]=TRUE,_xlfn.NORM.S.DIST(Table1[[#This Row],[Birthweight Z-Score (BW-10%)]],TRUE)*100,"")</f>
        <v/>
      </c>
      <c r="L4756" s="7" t="str">
        <f>IF(Table1[[#This Row],[Is Data Valid]]=TRUE,_xlfn.NORM.S.DIST(Table1[[#This Row],[Birthweight Z-Score (BW+10%)]],TRUE)*100,"")</f>
        <v/>
      </c>
    </row>
    <row r="4757" spans="1:12" x14ac:dyDescent="0.35">
      <c r="A4757" s="3"/>
      <c r="B4757" s="2"/>
      <c r="C4757" s="2"/>
      <c r="D4757" s="2" t="b">
        <f>IF(AND(NOT(ISBLANK(Table1[[#This Row],[Fetal Sex (Male, Female or Unknown)]])),ISNUMBER(Table1[[#This Row],[Birthweight (grams)]]),ISNUMBER(Table1[[#This Row],[Gestation (days)]])),TRUE,FALSE)</f>
        <v>0</v>
      </c>
      <c r="E4757" s="2" t="str">
        <f>IF(Table1[[#This Row],[Is Data Valid]]=TRUE,IF(Table1[[#This Row],[Fetal Sex (Male, Female or Unknown)]]="Male",Backend!$C$6,IF(Table1[[#This Row],[Fetal Sex (Male, Female or Unknown)]]="Female",Backend!$C$7,IF(Table1[[#This Row],[Fetal Sex (Male, Female or Unknown)]]="Unknown",Backend!$C$8,"Error"))),"")</f>
        <v/>
      </c>
      <c r="F4757" s="8" t="str">
        <f>IF(Table1[[#This Row],[Is Data Valid]]=TRUE,EXP(0.578+0.332*((Table1[[#This Row],[Gestation (days)]]+0.5)/7)-0.00354*((Table1[[#This Row],[Gestation (days)]]+0.5)/7)^2)*Table1[[#This Row],[BW40_3705]],"")</f>
        <v/>
      </c>
      <c r="G4757" s="2" t="str">
        <f>IF(Table1[[#This Row],[Is Data Valid]]=TRUE,((Table1[[#This Row],[Birthweight (grams)]]/Table1[[#This Row],[BW_GA]])-1)/(Backend!$B$4/100*Table1[[#This Row],[BW40_3705]]),"")</f>
        <v/>
      </c>
      <c r="H4757" s="7" t="str">
        <f>IF(Table1[[#This Row],[Is Data Valid]]=TRUE,((Table1[[#This Row],[Birthweight (grams)]]*0.9/Table1[[#This Row],[BW_GA]])-1)/(Backend!$B$4/100*Table1[[#This Row],[BW40_3705]]),"")</f>
        <v/>
      </c>
      <c r="I4757" s="7" t="str">
        <f>IF(Table1[[#This Row],[Is Data Valid]]=TRUE,((Table1[[#This Row],[Birthweight (grams)]]*1.1/Table1[[#This Row],[BW_GA]])-1)/(Backend!$B$4/100*Table1[[#This Row],[BW40_3705]]),"")</f>
        <v/>
      </c>
      <c r="J4757" s="7" t="str">
        <f>IF(Table1[[#This Row],[Is Data Valid]]=TRUE,_xlfn.NORM.S.DIST(Table1[[#This Row],[Birthweight Z-Score]],TRUE)*100,"")</f>
        <v/>
      </c>
      <c r="K4757" s="7" t="str">
        <f>IF(Table1[[#This Row],[Is Data Valid]]=TRUE,_xlfn.NORM.S.DIST(Table1[[#This Row],[Birthweight Z-Score (BW-10%)]],TRUE)*100,"")</f>
        <v/>
      </c>
      <c r="L4757" s="7" t="str">
        <f>IF(Table1[[#This Row],[Is Data Valid]]=TRUE,_xlfn.NORM.S.DIST(Table1[[#This Row],[Birthweight Z-Score (BW+10%)]],TRUE)*100,"")</f>
        <v/>
      </c>
    </row>
    <row r="4758" spans="1:12" x14ac:dyDescent="0.35">
      <c r="A4758" s="3"/>
      <c r="B4758" s="2"/>
      <c r="C4758" s="2"/>
      <c r="D4758" s="2" t="b">
        <f>IF(AND(NOT(ISBLANK(Table1[[#This Row],[Fetal Sex (Male, Female or Unknown)]])),ISNUMBER(Table1[[#This Row],[Birthweight (grams)]]),ISNUMBER(Table1[[#This Row],[Gestation (days)]])),TRUE,FALSE)</f>
        <v>0</v>
      </c>
      <c r="E4758" s="2" t="str">
        <f>IF(Table1[[#This Row],[Is Data Valid]]=TRUE,IF(Table1[[#This Row],[Fetal Sex (Male, Female or Unknown)]]="Male",Backend!$C$6,IF(Table1[[#This Row],[Fetal Sex (Male, Female or Unknown)]]="Female",Backend!$C$7,IF(Table1[[#This Row],[Fetal Sex (Male, Female or Unknown)]]="Unknown",Backend!$C$8,"Error"))),"")</f>
        <v/>
      </c>
      <c r="F4758" s="8" t="str">
        <f>IF(Table1[[#This Row],[Is Data Valid]]=TRUE,EXP(0.578+0.332*((Table1[[#This Row],[Gestation (days)]]+0.5)/7)-0.00354*((Table1[[#This Row],[Gestation (days)]]+0.5)/7)^2)*Table1[[#This Row],[BW40_3705]],"")</f>
        <v/>
      </c>
      <c r="G4758" s="2" t="str">
        <f>IF(Table1[[#This Row],[Is Data Valid]]=TRUE,((Table1[[#This Row],[Birthweight (grams)]]/Table1[[#This Row],[BW_GA]])-1)/(Backend!$B$4/100*Table1[[#This Row],[BW40_3705]]),"")</f>
        <v/>
      </c>
      <c r="H4758" s="7" t="str">
        <f>IF(Table1[[#This Row],[Is Data Valid]]=TRUE,((Table1[[#This Row],[Birthweight (grams)]]*0.9/Table1[[#This Row],[BW_GA]])-1)/(Backend!$B$4/100*Table1[[#This Row],[BW40_3705]]),"")</f>
        <v/>
      </c>
      <c r="I4758" s="7" t="str">
        <f>IF(Table1[[#This Row],[Is Data Valid]]=TRUE,((Table1[[#This Row],[Birthweight (grams)]]*1.1/Table1[[#This Row],[BW_GA]])-1)/(Backend!$B$4/100*Table1[[#This Row],[BW40_3705]]),"")</f>
        <v/>
      </c>
      <c r="J4758" s="7" t="str">
        <f>IF(Table1[[#This Row],[Is Data Valid]]=TRUE,_xlfn.NORM.S.DIST(Table1[[#This Row],[Birthweight Z-Score]],TRUE)*100,"")</f>
        <v/>
      </c>
      <c r="K4758" s="7" t="str">
        <f>IF(Table1[[#This Row],[Is Data Valid]]=TRUE,_xlfn.NORM.S.DIST(Table1[[#This Row],[Birthweight Z-Score (BW-10%)]],TRUE)*100,"")</f>
        <v/>
      </c>
      <c r="L4758" s="7" t="str">
        <f>IF(Table1[[#This Row],[Is Data Valid]]=TRUE,_xlfn.NORM.S.DIST(Table1[[#This Row],[Birthweight Z-Score (BW+10%)]],TRUE)*100,"")</f>
        <v/>
      </c>
    </row>
    <row r="4759" spans="1:12" x14ac:dyDescent="0.35">
      <c r="A4759" s="3"/>
      <c r="B4759" s="2"/>
      <c r="C4759" s="2"/>
      <c r="D4759" s="2" t="b">
        <f>IF(AND(NOT(ISBLANK(Table1[[#This Row],[Fetal Sex (Male, Female or Unknown)]])),ISNUMBER(Table1[[#This Row],[Birthweight (grams)]]),ISNUMBER(Table1[[#This Row],[Gestation (days)]])),TRUE,FALSE)</f>
        <v>0</v>
      </c>
      <c r="E4759" s="2" t="str">
        <f>IF(Table1[[#This Row],[Is Data Valid]]=TRUE,IF(Table1[[#This Row],[Fetal Sex (Male, Female or Unknown)]]="Male",Backend!$C$6,IF(Table1[[#This Row],[Fetal Sex (Male, Female or Unknown)]]="Female",Backend!$C$7,IF(Table1[[#This Row],[Fetal Sex (Male, Female or Unknown)]]="Unknown",Backend!$C$8,"Error"))),"")</f>
        <v/>
      </c>
      <c r="F4759" s="8" t="str">
        <f>IF(Table1[[#This Row],[Is Data Valid]]=TRUE,EXP(0.578+0.332*((Table1[[#This Row],[Gestation (days)]]+0.5)/7)-0.00354*((Table1[[#This Row],[Gestation (days)]]+0.5)/7)^2)*Table1[[#This Row],[BW40_3705]],"")</f>
        <v/>
      </c>
      <c r="G4759" s="2" t="str">
        <f>IF(Table1[[#This Row],[Is Data Valid]]=TRUE,((Table1[[#This Row],[Birthweight (grams)]]/Table1[[#This Row],[BW_GA]])-1)/(Backend!$B$4/100*Table1[[#This Row],[BW40_3705]]),"")</f>
        <v/>
      </c>
      <c r="H4759" s="7" t="str">
        <f>IF(Table1[[#This Row],[Is Data Valid]]=TRUE,((Table1[[#This Row],[Birthweight (grams)]]*0.9/Table1[[#This Row],[BW_GA]])-1)/(Backend!$B$4/100*Table1[[#This Row],[BW40_3705]]),"")</f>
        <v/>
      </c>
      <c r="I4759" s="7" t="str">
        <f>IF(Table1[[#This Row],[Is Data Valid]]=TRUE,((Table1[[#This Row],[Birthweight (grams)]]*1.1/Table1[[#This Row],[BW_GA]])-1)/(Backend!$B$4/100*Table1[[#This Row],[BW40_3705]]),"")</f>
        <v/>
      </c>
      <c r="J4759" s="7" t="str">
        <f>IF(Table1[[#This Row],[Is Data Valid]]=TRUE,_xlfn.NORM.S.DIST(Table1[[#This Row],[Birthweight Z-Score]],TRUE)*100,"")</f>
        <v/>
      </c>
      <c r="K4759" s="7" t="str">
        <f>IF(Table1[[#This Row],[Is Data Valid]]=TRUE,_xlfn.NORM.S.DIST(Table1[[#This Row],[Birthweight Z-Score (BW-10%)]],TRUE)*100,"")</f>
        <v/>
      </c>
      <c r="L4759" s="7" t="str">
        <f>IF(Table1[[#This Row],[Is Data Valid]]=TRUE,_xlfn.NORM.S.DIST(Table1[[#This Row],[Birthweight Z-Score (BW+10%)]],TRUE)*100,"")</f>
        <v/>
      </c>
    </row>
    <row r="4760" spans="1:12" x14ac:dyDescent="0.35">
      <c r="A4760" s="3"/>
      <c r="B4760" s="2"/>
      <c r="C4760" s="2"/>
      <c r="D4760" s="2" t="b">
        <f>IF(AND(NOT(ISBLANK(Table1[[#This Row],[Fetal Sex (Male, Female or Unknown)]])),ISNUMBER(Table1[[#This Row],[Birthweight (grams)]]),ISNUMBER(Table1[[#This Row],[Gestation (days)]])),TRUE,FALSE)</f>
        <v>0</v>
      </c>
      <c r="E4760" s="2" t="str">
        <f>IF(Table1[[#This Row],[Is Data Valid]]=TRUE,IF(Table1[[#This Row],[Fetal Sex (Male, Female or Unknown)]]="Male",Backend!$C$6,IF(Table1[[#This Row],[Fetal Sex (Male, Female or Unknown)]]="Female",Backend!$C$7,IF(Table1[[#This Row],[Fetal Sex (Male, Female or Unknown)]]="Unknown",Backend!$C$8,"Error"))),"")</f>
        <v/>
      </c>
      <c r="F4760" s="8" t="str">
        <f>IF(Table1[[#This Row],[Is Data Valid]]=TRUE,EXP(0.578+0.332*((Table1[[#This Row],[Gestation (days)]]+0.5)/7)-0.00354*((Table1[[#This Row],[Gestation (days)]]+0.5)/7)^2)*Table1[[#This Row],[BW40_3705]],"")</f>
        <v/>
      </c>
      <c r="G4760" s="2" t="str">
        <f>IF(Table1[[#This Row],[Is Data Valid]]=TRUE,((Table1[[#This Row],[Birthweight (grams)]]/Table1[[#This Row],[BW_GA]])-1)/(Backend!$B$4/100*Table1[[#This Row],[BW40_3705]]),"")</f>
        <v/>
      </c>
      <c r="H4760" s="7" t="str">
        <f>IF(Table1[[#This Row],[Is Data Valid]]=TRUE,((Table1[[#This Row],[Birthweight (grams)]]*0.9/Table1[[#This Row],[BW_GA]])-1)/(Backend!$B$4/100*Table1[[#This Row],[BW40_3705]]),"")</f>
        <v/>
      </c>
      <c r="I4760" s="7" t="str">
        <f>IF(Table1[[#This Row],[Is Data Valid]]=TRUE,((Table1[[#This Row],[Birthweight (grams)]]*1.1/Table1[[#This Row],[BW_GA]])-1)/(Backend!$B$4/100*Table1[[#This Row],[BW40_3705]]),"")</f>
        <v/>
      </c>
      <c r="J4760" s="7" t="str">
        <f>IF(Table1[[#This Row],[Is Data Valid]]=TRUE,_xlfn.NORM.S.DIST(Table1[[#This Row],[Birthweight Z-Score]],TRUE)*100,"")</f>
        <v/>
      </c>
      <c r="K4760" s="7" t="str">
        <f>IF(Table1[[#This Row],[Is Data Valid]]=TRUE,_xlfn.NORM.S.DIST(Table1[[#This Row],[Birthweight Z-Score (BW-10%)]],TRUE)*100,"")</f>
        <v/>
      </c>
      <c r="L4760" s="7" t="str">
        <f>IF(Table1[[#This Row],[Is Data Valid]]=TRUE,_xlfn.NORM.S.DIST(Table1[[#This Row],[Birthweight Z-Score (BW+10%)]],TRUE)*100,"")</f>
        <v/>
      </c>
    </row>
    <row r="4761" spans="1:12" x14ac:dyDescent="0.35">
      <c r="A4761" s="3"/>
      <c r="B4761" s="2"/>
      <c r="C4761" s="2"/>
      <c r="D4761" s="2" t="b">
        <f>IF(AND(NOT(ISBLANK(Table1[[#This Row],[Fetal Sex (Male, Female or Unknown)]])),ISNUMBER(Table1[[#This Row],[Birthweight (grams)]]),ISNUMBER(Table1[[#This Row],[Gestation (days)]])),TRUE,FALSE)</f>
        <v>0</v>
      </c>
      <c r="E4761" s="2" t="str">
        <f>IF(Table1[[#This Row],[Is Data Valid]]=TRUE,IF(Table1[[#This Row],[Fetal Sex (Male, Female or Unknown)]]="Male",Backend!$C$6,IF(Table1[[#This Row],[Fetal Sex (Male, Female or Unknown)]]="Female",Backend!$C$7,IF(Table1[[#This Row],[Fetal Sex (Male, Female or Unknown)]]="Unknown",Backend!$C$8,"Error"))),"")</f>
        <v/>
      </c>
      <c r="F4761" s="8" t="str">
        <f>IF(Table1[[#This Row],[Is Data Valid]]=TRUE,EXP(0.578+0.332*((Table1[[#This Row],[Gestation (days)]]+0.5)/7)-0.00354*((Table1[[#This Row],[Gestation (days)]]+0.5)/7)^2)*Table1[[#This Row],[BW40_3705]],"")</f>
        <v/>
      </c>
      <c r="G4761" s="2" t="str">
        <f>IF(Table1[[#This Row],[Is Data Valid]]=TRUE,((Table1[[#This Row],[Birthweight (grams)]]/Table1[[#This Row],[BW_GA]])-1)/(Backend!$B$4/100*Table1[[#This Row],[BW40_3705]]),"")</f>
        <v/>
      </c>
      <c r="H4761" s="7" t="str">
        <f>IF(Table1[[#This Row],[Is Data Valid]]=TRUE,((Table1[[#This Row],[Birthweight (grams)]]*0.9/Table1[[#This Row],[BW_GA]])-1)/(Backend!$B$4/100*Table1[[#This Row],[BW40_3705]]),"")</f>
        <v/>
      </c>
      <c r="I4761" s="7" t="str">
        <f>IF(Table1[[#This Row],[Is Data Valid]]=TRUE,((Table1[[#This Row],[Birthweight (grams)]]*1.1/Table1[[#This Row],[BW_GA]])-1)/(Backend!$B$4/100*Table1[[#This Row],[BW40_3705]]),"")</f>
        <v/>
      </c>
      <c r="J4761" s="7" t="str">
        <f>IF(Table1[[#This Row],[Is Data Valid]]=TRUE,_xlfn.NORM.S.DIST(Table1[[#This Row],[Birthweight Z-Score]],TRUE)*100,"")</f>
        <v/>
      </c>
      <c r="K4761" s="7" t="str">
        <f>IF(Table1[[#This Row],[Is Data Valid]]=TRUE,_xlfn.NORM.S.DIST(Table1[[#This Row],[Birthweight Z-Score (BW-10%)]],TRUE)*100,"")</f>
        <v/>
      </c>
      <c r="L4761" s="7" t="str">
        <f>IF(Table1[[#This Row],[Is Data Valid]]=TRUE,_xlfn.NORM.S.DIST(Table1[[#This Row],[Birthweight Z-Score (BW+10%)]],TRUE)*100,"")</f>
        <v/>
      </c>
    </row>
    <row r="4762" spans="1:12" x14ac:dyDescent="0.35">
      <c r="A4762" s="3"/>
      <c r="B4762" s="2"/>
      <c r="C4762" s="2"/>
      <c r="D4762" s="2" t="b">
        <f>IF(AND(NOT(ISBLANK(Table1[[#This Row],[Fetal Sex (Male, Female or Unknown)]])),ISNUMBER(Table1[[#This Row],[Birthweight (grams)]]),ISNUMBER(Table1[[#This Row],[Gestation (days)]])),TRUE,FALSE)</f>
        <v>0</v>
      </c>
      <c r="E4762" s="2" t="str">
        <f>IF(Table1[[#This Row],[Is Data Valid]]=TRUE,IF(Table1[[#This Row],[Fetal Sex (Male, Female or Unknown)]]="Male",Backend!$C$6,IF(Table1[[#This Row],[Fetal Sex (Male, Female or Unknown)]]="Female",Backend!$C$7,IF(Table1[[#This Row],[Fetal Sex (Male, Female or Unknown)]]="Unknown",Backend!$C$8,"Error"))),"")</f>
        <v/>
      </c>
      <c r="F4762" s="8" t="str">
        <f>IF(Table1[[#This Row],[Is Data Valid]]=TRUE,EXP(0.578+0.332*((Table1[[#This Row],[Gestation (days)]]+0.5)/7)-0.00354*((Table1[[#This Row],[Gestation (days)]]+0.5)/7)^2)*Table1[[#This Row],[BW40_3705]],"")</f>
        <v/>
      </c>
      <c r="G4762" s="2" t="str">
        <f>IF(Table1[[#This Row],[Is Data Valid]]=TRUE,((Table1[[#This Row],[Birthweight (grams)]]/Table1[[#This Row],[BW_GA]])-1)/(Backend!$B$4/100*Table1[[#This Row],[BW40_3705]]),"")</f>
        <v/>
      </c>
      <c r="H4762" s="7" t="str">
        <f>IF(Table1[[#This Row],[Is Data Valid]]=TRUE,((Table1[[#This Row],[Birthweight (grams)]]*0.9/Table1[[#This Row],[BW_GA]])-1)/(Backend!$B$4/100*Table1[[#This Row],[BW40_3705]]),"")</f>
        <v/>
      </c>
      <c r="I4762" s="7" t="str">
        <f>IF(Table1[[#This Row],[Is Data Valid]]=TRUE,((Table1[[#This Row],[Birthweight (grams)]]*1.1/Table1[[#This Row],[BW_GA]])-1)/(Backend!$B$4/100*Table1[[#This Row],[BW40_3705]]),"")</f>
        <v/>
      </c>
      <c r="J4762" s="7" t="str">
        <f>IF(Table1[[#This Row],[Is Data Valid]]=TRUE,_xlfn.NORM.S.DIST(Table1[[#This Row],[Birthweight Z-Score]],TRUE)*100,"")</f>
        <v/>
      </c>
      <c r="K4762" s="7" t="str">
        <f>IF(Table1[[#This Row],[Is Data Valid]]=TRUE,_xlfn.NORM.S.DIST(Table1[[#This Row],[Birthweight Z-Score (BW-10%)]],TRUE)*100,"")</f>
        <v/>
      </c>
      <c r="L4762" s="7" t="str">
        <f>IF(Table1[[#This Row],[Is Data Valid]]=TRUE,_xlfn.NORM.S.DIST(Table1[[#This Row],[Birthweight Z-Score (BW+10%)]],TRUE)*100,"")</f>
        <v/>
      </c>
    </row>
    <row r="4763" spans="1:12" x14ac:dyDescent="0.35">
      <c r="A4763" s="3"/>
      <c r="B4763" s="2"/>
      <c r="C4763" s="2"/>
      <c r="D4763" s="2" t="b">
        <f>IF(AND(NOT(ISBLANK(Table1[[#This Row],[Fetal Sex (Male, Female or Unknown)]])),ISNUMBER(Table1[[#This Row],[Birthweight (grams)]]),ISNUMBER(Table1[[#This Row],[Gestation (days)]])),TRUE,FALSE)</f>
        <v>0</v>
      </c>
      <c r="E4763" s="2" t="str">
        <f>IF(Table1[[#This Row],[Is Data Valid]]=TRUE,IF(Table1[[#This Row],[Fetal Sex (Male, Female or Unknown)]]="Male",Backend!$C$6,IF(Table1[[#This Row],[Fetal Sex (Male, Female or Unknown)]]="Female",Backend!$C$7,IF(Table1[[#This Row],[Fetal Sex (Male, Female or Unknown)]]="Unknown",Backend!$C$8,"Error"))),"")</f>
        <v/>
      </c>
      <c r="F4763" s="8" t="str">
        <f>IF(Table1[[#This Row],[Is Data Valid]]=TRUE,EXP(0.578+0.332*((Table1[[#This Row],[Gestation (days)]]+0.5)/7)-0.00354*((Table1[[#This Row],[Gestation (days)]]+0.5)/7)^2)*Table1[[#This Row],[BW40_3705]],"")</f>
        <v/>
      </c>
      <c r="G4763" s="2" t="str">
        <f>IF(Table1[[#This Row],[Is Data Valid]]=TRUE,((Table1[[#This Row],[Birthweight (grams)]]/Table1[[#This Row],[BW_GA]])-1)/(Backend!$B$4/100*Table1[[#This Row],[BW40_3705]]),"")</f>
        <v/>
      </c>
      <c r="H4763" s="7" t="str">
        <f>IF(Table1[[#This Row],[Is Data Valid]]=TRUE,((Table1[[#This Row],[Birthweight (grams)]]*0.9/Table1[[#This Row],[BW_GA]])-1)/(Backend!$B$4/100*Table1[[#This Row],[BW40_3705]]),"")</f>
        <v/>
      </c>
      <c r="I4763" s="7" t="str">
        <f>IF(Table1[[#This Row],[Is Data Valid]]=TRUE,((Table1[[#This Row],[Birthweight (grams)]]*1.1/Table1[[#This Row],[BW_GA]])-1)/(Backend!$B$4/100*Table1[[#This Row],[BW40_3705]]),"")</f>
        <v/>
      </c>
      <c r="J4763" s="7" t="str">
        <f>IF(Table1[[#This Row],[Is Data Valid]]=TRUE,_xlfn.NORM.S.DIST(Table1[[#This Row],[Birthweight Z-Score]],TRUE)*100,"")</f>
        <v/>
      </c>
      <c r="K4763" s="7" t="str">
        <f>IF(Table1[[#This Row],[Is Data Valid]]=TRUE,_xlfn.NORM.S.DIST(Table1[[#This Row],[Birthweight Z-Score (BW-10%)]],TRUE)*100,"")</f>
        <v/>
      </c>
      <c r="L4763" s="7" t="str">
        <f>IF(Table1[[#This Row],[Is Data Valid]]=TRUE,_xlfn.NORM.S.DIST(Table1[[#This Row],[Birthweight Z-Score (BW+10%)]],TRUE)*100,"")</f>
        <v/>
      </c>
    </row>
    <row r="4764" spans="1:12" x14ac:dyDescent="0.35">
      <c r="A4764" s="3"/>
      <c r="B4764" s="2"/>
      <c r="C4764" s="2"/>
      <c r="D4764" s="2" t="b">
        <f>IF(AND(NOT(ISBLANK(Table1[[#This Row],[Fetal Sex (Male, Female or Unknown)]])),ISNUMBER(Table1[[#This Row],[Birthweight (grams)]]),ISNUMBER(Table1[[#This Row],[Gestation (days)]])),TRUE,FALSE)</f>
        <v>0</v>
      </c>
      <c r="E4764" s="2" t="str">
        <f>IF(Table1[[#This Row],[Is Data Valid]]=TRUE,IF(Table1[[#This Row],[Fetal Sex (Male, Female or Unknown)]]="Male",Backend!$C$6,IF(Table1[[#This Row],[Fetal Sex (Male, Female or Unknown)]]="Female",Backend!$C$7,IF(Table1[[#This Row],[Fetal Sex (Male, Female or Unknown)]]="Unknown",Backend!$C$8,"Error"))),"")</f>
        <v/>
      </c>
      <c r="F4764" s="8" t="str">
        <f>IF(Table1[[#This Row],[Is Data Valid]]=TRUE,EXP(0.578+0.332*((Table1[[#This Row],[Gestation (days)]]+0.5)/7)-0.00354*((Table1[[#This Row],[Gestation (days)]]+0.5)/7)^2)*Table1[[#This Row],[BW40_3705]],"")</f>
        <v/>
      </c>
      <c r="G4764" s="2" t="str">
        <f>IF(Table1[[#This Row],[Is Data Valid]]=TRUE,((Table1[[#This Row],[Birthweight (grams)]]/Table1[[#This Row],[BW_GA]])-1)/(Backend!$B$4/100*Table1[[#This Row],[BW40_3705]]),"")</f>
        <v/>
      </c>
      <c r="H4764" s="7" t="str">
        <f>IF(Table1[[#This Row],[Is Data Valid]]=TRUE,((Table1[[#This Row],[Birthweight (grams)]]*0.9/Table1[[#This Row],[BW_GA]])-1)/(Backend!$B$4/100*Table1[[#This Row],[BW40_3705]]),"")</f>
        <v/>
      </c>
      <c r="I4764" s="7" t="str">
        <f>IF(Table1[[#This Row],[Is Data Valid]]=TRUE,((Table1[[#This Row],[Birthweight (grams)]]*1.1/Table1[[#This Row],[BW_GA]])-1)/(Backend!$B$4/100*Table1[[#This Row],[BW40_3705]]),"")</f>
        <v/>
      </c>
      <c r="J4764" s="7" t="str">
        <f>IF(Table1[[#This Row],[Is Data Valid]]=TRUE,_xlfn.NORM.S.DIST(Table1[[#This Row],[Birthweight Z-Score]],TRUE)*100,"")</f>
        <v/>
      </c>
      <c r="K4764" s="7" t="str">
        <f>IF(Table1[[#This Row],[Is Data Valid]]=TRUE,_xlfn.NORM.S.DIST(Table1[[#This Row],[Birthweight Z-Score (BW-10%)]],TRUE)*100,"")</f>
        <v/>
      </c>
      <c r="L4764" s="7" t="str">
        <f>IF(Table1[[#This Row],[Is Data Valid]]=TRUE,_xlfn.NORM.S.DIST(Table1[[#This Row],[Birthweight Z-Score (BW+10%)]],TRUE)*100,"")</f>
        <v/>
      </c>
    </row>
    <row r="4765" spans="1:12" x14ac:dyDescent="0.35">
      <c r="A4765" s="3"/>
      <c r="B4765" s="2"/>
      <c r="C4765" s="2"/>
      <c r="D4765" s="2" t="b">
        <f>IF(AND(NOT(ISBLANK(Table1[[#This Row],[Fetal Sex (Male, Female or Unknown)]])),ISNUMBER(Table1[[#This Row],[Birthweight (grams)]]),ISNUMBER(Table1[[#This Row],[Gestation (days)]])),TRUE,FALSE)</f>
        <v>0</v>
      </c>
      <c r="E4765" s="2" t="str">
        <f>IF(Table1[[#This Row],[Is Data Valid]]=TRUE,IF(Table1[[#This Row],[Fetal Sex (Male, Female or Unknown)]]="Male",Backend!$C$6,IF(Table1[[#This Row],[Fetal Sex (Male, Female or Unknown)]]="Female",Backend!$C$7,IF(Table1[[#This Row],[Fetal Sex (Male, Female or Unknown)]]="Unknown",Backend!$C$8,"Error"))),"")</f>
        <v/>
      </c>
      <c r="F4765" s="8" t="str">
        <f>IF(Table1[[#This Row],[Is Data Valid]]=TRUE,EXP(0.578+0.332*((Table1[[#This Row],[Gestation (days)]]+0.5)/7)-0.00354*((Table1[[#This Row],[Gestation (days)]]+0.5)/7)^2)*Table1[[#This Row],[BW40_3705]],"")</f>
        <v/>
      </c>
      <c r="G4765" s="2" t="str">
        <f>IF(Table1[[#This Row],[Is Data Valid]]=TRUE,((Table1[[#This Row],[Birthweight (grams)]]/Table1[[#This Row],[BW_GA]])-1)/(Backend!$B$4/100*Table1[[#This Row],[BW40_3705]]),"")</f>
        <v/>
      </c>
      <c r="H4765" s="7" t="str">
        <f>IF(Table1[[#This Row],[Is Data Valid]]=TRUE,((Table1[[#This Row],[Birthweight (grams)]]*0.9/Table1[[#This Row],[BW_GA]])-1)/(Backend!$B$4/100*Table1[[#This Row],[BW40_3705]]),"")</f>
        <v/>
      </c>
      <c r="I4765" s="7" t="str">
        <f>IF(Table1[[#This Row],[Is Data Valid]]=TRUE,((Table1[[#This Row],[Birthweight (grams)]]*1.1/Table1[[#This Row],[BW_GA]])-1)/(Backend!$B$4/100*Table1[[#This Row],[BW40_3705]]),"")</f>
        <v/>
      </c>
      <c r="J4765" s="7" t="str">
        <f>IF(Table1[[#This Row],[Is Data Valid]]=TRUE,_xlfn.NORM.S.DIST(Table1[[#This Row],[Birthweight Z-Score]],TRUE)*100,"")</f>
        <v/>
      </c>
      <c r="K4765" s="7" t="str">
        <f>IF(Table1[[#This Row],[Is Data Valid]]=TRUE,_xlfn.NORM.S.DIST(Table1[[#This Row],[Birthweight Z-Score (BW-10%)]],TRUE)*100,"")</f>
        <v/>
      </c>
      <c r="L4765" s="7" t="str">
        <f>IF(Table1[[#This Row],[Is Data Valid]]=TRUE,_xlfn.NORM.S.DIST(Table1[[#This Row],[Birthweight Z-Score (BW+10%)]],TRUE)*100,"")</f>
        <v/>
      </c>
    </row>
    <row r="4766" spans="1:12" x14ac:dyDescent="0.35">
      <c r="A4766" s="3"/>
      <c r="B4766" s="2"/>
      <c r="C4766" s="2"/>
      <c r="D4766" s="2" t="b">
        <f>IF(AND(NOT(ISBLANK(Table1[[#This Row],[Fetal Sex (Male, Female or Unknown)]])),ISNUMBER(Table1[[#This Row],[Birthweight (grams)]]),ISNUMBER(Table1[[#This Row],[Gestation (days)]])),TRUE,FALSE)</f>
        <v>0</v>
      </c>
      <c r="E4766" s="2" t="str">
        <f>IF(Table1[[#This Row],[Is Data Valid]]=TRUE,IF(Table1[[#This Row],[Fetal Sex (Male, Female or Unknown)]]="Male",Backend!$C$6,IF(Table1[[#This Row],[Fetal Sex (Male, Female or Unknown)]]="Female",Backend!$C$7,IF(Table1[[#This Row],[Fetal Sex (Male, Female or Unknown)]]="Unknown",Backend!$C$8,"Error"))),"")</f>
        <v/>
      </c>
      <c r="F4766" s="8" t="str">
        <f>IF(Table1[[#This Row],[Is Data Valid]]=TRUE,EXP(0.578+0.332*((Table1[[#This Row],[Gestation (days)]]+0.5)/7)-0.00354*((Table1[[#This Row],[Gestation (days)]]+0.5)/7)^2)*Table1[[#This Row],[BW40_3705]],"")</f>
        <v/>
      </c>
      <c r="G4766" s="2" t="str">
        <f>IF(Table1[[#This Row],[Is Data Valid]]=TRUE,((Table1[[#This Row],[Birthweight (grams)]]/Table1[[#This Row],[BW_GA]])-1)/(Backend!$B$4/100*Table1[[#This Row],[BW40_3705]]),"")</f>
        <v/>
      </c>
      <c r="H4766" s="7" t="str">
        <f>IF(Table1[[#This Row],[Is Data Valid]]=TRUE,((Table1[[#This Row],[Birthweight (grams)]]*0.9/Table1[[#This Row],[BW_GA]])-1)/(Backend!$B$4/100*Table1[[#This Row],[BW40_3705]]),"")</f>
        <v/>
      </c>
      <c r="I4766" s="7" t="str">
        <f>IF(Table1[[#This Row],[Is Data Valid]]=TRUE,((Table1[[#This Row],[Birthweight (grams)]]*1.1/Table1[[#This Row],[BW_GA]])-1)/(Backend!$B$4/100*Table1[[#This Row],[BW40_3705]]),"")</f>
        <v/>
      </c>
      <c r="J4766" s="7" t="str">
        <f>IF(Table1[[#This Row],[Is Data Valid]]=TRUE,_xlfn.NORM.S.DIST(Table1[[#This Row],[Birthweight Z-Score]],TRUE)*100,"")</f>
        <v/>
      </c>
      <c r="K4766" s="7" t="str">
        <f>IF(Table1[[#This Row],[Is Data Valid]]=TRUE,_xlfn.NORM.S.DIST(Table1[[#This Row],[Birthweight Z-Score (BW-10%)]],TRUE)*100,"")</f>
        <v/>
      </c>
      <c r="L4766" s="7" t="str">
        <f>IF(Table1[[#This Row],[Is Data Valid]]=TRUE,_xlfn.NORM.S.DIST(Table1[[#This Row],[Birthweight Z-Score (BW+10%)]],TRUE)*100,"")</f>
        <v/>
      </c>
    </row>
    <row r="4767" spans="1:12" x14ac:dyDescent="0.35">
      <c r="A4767" s="3"/>
      <c r="B4767" s="2"/>
      <c r="C4767" s="2"/>
      <c r="D4767" s="2" t="b">
        <f>IF(AND(NOT(ISBLANK(Table1[[#This Row],[Fetal Sex (Male, Female or Unknown)]])),ISNUMBER(Table1[[#This Row],[Birthweight (grams)]]),ISNUMBER(Table1[[#This Row],[Gestation (days)]])),TRUE,FALSE)</f>
        <v>0</v>
      </c>
      <c r="E4767" s="2" t="str">
        <f>IF(Table1[[#This Row],[Is Data Valid]]=TRUE,IF(Table1[[#This Row],[Fetal Sex (Male, Female or Unknown)]]="Male",Backend!$C$6,IF(Table1[[#This Row],[Fetal Sex (Male, Female or Unknown)]]="Female",Backend!$C$7,IF(Table1[[#This Row],[Fetal Sex (Male, Female or Unknown)]]="Unknown",Backend!$C$8,"Error"))),"")</f>
        <v/>
      </c>
      <c r="F4767" s="8" t="str">
        <f>IF(Table1[[#This Row],[Is Data Valid]]=TRUE,EXP(0.578+0.332*((Table1[[#This Row],[Gestation (days)]]+0.5)/7)-0.00354*((Table1[[#This Row],[Gestation (days)]]+0.5)/7)^2)*Table1[[#This Row],[BW40_3705]],"")</f>
        <v/>
      </c>
      <c r="G4767" s="2" t="str">
        <f>IF(Table1[[#This Row],[Is Data Valid]]=TRUE,((Table1[[#This Row],[Birthweight (grams)]]/Table1[[#This Row],[BW_GA]])-1)/(Backend!$B$4/100*Table1[[#This Row],[BW40_3705]]),"")</f>
        <v/>
      </c>
      <c r="H4767" s="7" t="str">
        <f>IF(Table1[[#This Row],[Is Data Valid]]=TRUE,((Table1[[#This Row],[Birthweight (grams)]]*0.9/Table1[[#This Row],[BW_GA]])-1)/(Backend!$B$4/100*Table1[[#This Row],[BW40_3705]]),"")</f>
        <v/>
      </c>
      <c r="I4767" s="7" t="str">
        <f>IF(Table1[[#This Row],[Is Data Valid]]=TRUE,((Table1[[#This Row],[Birthweight (grams)]]*1.1/Table1[[#This Row],[BW_GA]])-1)/(Backend!$B$4/100*Table1[[#This Row],[BW40_3705]]),"")</f>
        <v/>
      </c>
      <c r="J4767" s="7" t="str">
        <f>IF(Table1[[#This Row],[Is Data Valid]]=TRUE,_xlfn.NORM.S.DIST(Table1[[#This Row],[Birthweight Z-Score]],TRUE)*100,"")</f>
        <v/>
      </c>
      <c r="K4767" s="7" t="str">
        <f>IF(Table1[[#This Row],[Is Data Valid]]=TRUE,_xlfn.NORM.S.DIST(Table1[[#This Row],[Birthweight Z-Score (BW-10%)]],TRUE)*100,"")</f>
        <v/>
      </c>
      <c r="L4767" s="7" t="str">
        <f>IF(Table1[[#This Row],[Is Data Valid]]=TRUE,_xlfn.NORM.S.DIST(Table1[[#This Row],[Birthweight Z-Score (BW+10%)]],TRUE)*100,"")</f>
        <v/>
      </c>
    </row>
    <row r="4768" spans="1:12" x14ac:dyDescent="0.35">
      <c r="A4768" s="3"/>
      <c r="B4768" s="2"/>
      <c r="C4768" s="2"/>
      <c r="D4768" s="2" t="b">
        <f>IF(AND(NOT(ISBLANK(Table1[[#This Row],[Fetal Sex (Male, Female or Unknown)]])),ISNUMBER(Table1[[#This Row],[Birthweight (grams)]]),ISNUMBER(Table1[[#This Row],[Gestation (days)]])),TRUE,FALSE)</f>
        <v>0</v>
      </c>
      <c r="E4768" s="2" t="str">
        <f>IF(Table1[[#This Row],[Is Data Valid]]=TRUE,IF(Table1[[#This Row],[Fetal Sex (Male, Female or Unknown)]]="Male",Backend!$C$6,IF(Table1[[#This Row],[Fetal Sex (Male, Female or Unknown)]]="Female",Backend!$C$7,IF(Table1[[#This Row],[Fetal Sex (Male, Female or Unknown)]]="Unknown",Backend!$C$8,"Error"))),"")</f>
        <v/>
      </c>
      <c r="F4768" s="8" t="str">
        <f>IF(Table1[[#This Row],[Is Data Valid]]=TRUE,EXP(0.578+0.332*((Table1[[#This Row],[Gestation (days)]]+0.5)/7)-0.00354*((Table1[[#This Row],[Gestation (days)]]+0.5)/7)^2)*Table1[[#This Row],[BW40_3705]],"")</f>
        <v/>
      </c>
      <c r="G4768" s="2" t="str">
        <f>IF(Table1[[#This Row],[Is Data Valid]]=TRUE,((Table1[[#This Row],[Birthweight (grams)]]/Table1[[#This Row],[BW_GA]])-1)/(Backend!$B$4/100*Table1[[#This Row],[BW40_3705]]),"")</f>
        <v/>
      </c>
      <c r="H4768" s="7" t="str">
        <f>IF(Table1[[#This Row],[Is Data Valid]]=TRUE,((Table1[[#This Row],[Birthweight (grams)]]*0.9/Table1[[#This Row],[BW_GA]])-1)/(Backend!$B$4/100*Table1[[#This Row],[BW40_3705]]),"")</f>
        <v/>
      </c>
      <c r="I4768" s="7" t="str">
        <f>IF(Table1[[#This Row],[Is Data Valid]]=TRUE,((Table1[[#This Row],[Birthweight (grams)]]*1.1/Table1[[#This Row],[BW_GA]])-1)/(Backend!$B$4/100*Table1[[#This Row],[BW40_3705]]),"")</f>
        <v/>
      </c>
      <c r="J4768" s="7" t="str">
        <f>IF(Table1[[#This Row],[Is Data Valid]]=TRUE,_xlfn.NORM.S.DIST(Table1[[#This Row],[Birthweight Z-Score]],TRUE)*100,"")</f>
        <v/>
      </c>
      <c r="K4768" s="7" t="str">
        <f>IF(Table1[[#This Row],[Is Data Valid]]=TRUE,_xlfn.NORM.S.DIST(Table1[[#This Row],[Birthweight Z-Score (BW-10%)]],TRUE)*100,"")</f>
        <v/>
      </c>
      <c r="L4768" s="7" t="str">
        <f>IF(Table1[[#This Row],[Is Data Valid]]=TRUE,_xlfn.NORM.S.DIST(Table1[[#This Row],[Birthweight Z-Score (BW+10%)]],TRUE)*100,"")</f>
        <v/>
      </c>
    </row>
    <row r="4769" spans="1:12" x14ac:dyDescent="0.35">
      <c r="A4769" s="3"/>
      <c r="B4769" s="2"/>
      <c r="C4769" s="2"/>
      <c r="D4769" s="2" t="b">
        <f>IF(AND(NOT(ISBLANK(Table1[[#This Row],[Fetal Sex (Male, Female or Unknown)]])),ISNUMBER(Table1[[#This Row],[Birthweight (grams)]]),ISNUMBER(Table1[[#This Row],[Gestation (days)]])),TRUE,FALSE)</f>
        <v>0</v>
      </c>
      <c r="E4769" s="2" t="str">
        <f>IF(Table1[[#This Row],[Is Data Valid]]=TRUE,IF(Table1[[#This Row],[Fetal Sex (Male, Female or Unknown)]]="Male",Backend!$C$6,IF(Table1[[#This Row],[Fetal Sex (Male, Female or Unknown)]]="Female",Backend!$C$7,IF(Table1[[#This Row],[Fetal Sex (Male, Female or Unknown)]]="Unknown",Backend!$C$8,"Error"))),"")</f>
        <v/>
      </c>
      <c r="F4769" s="8" t="str">
        <f>IF(Table1[[#This Row],[Is Data Valid]]=TRUE,EXP(0.578+0.332*((Table1[[#This Row],[Gestation (days)]]+0.5)/7)-0.00354*((Table1[[#This Row],[Gestation (days)]]+0.5)/7)^2)*Table1[[#This Row],[BW40_3705]],"")</f>
        <v/>
      </c>
      <c r="G4769" s="2" t="str">
        <f>IF(Table1[[#This Row],[Is Data Valid]]=TRUE,((Table1[[#This Row],[Birthweight (grams)]]/Table1[[#This Row],[BW_GA]])-1)/(Backend!$B$4/100*Table1[[#This Row],[BW40_3705]]),"")</f>
        <v/>
      </c>
      <c r="H4769" s="7" t="str">
        <f>IF(Table1[[#This Row],[Is Data Valid]]=TRUE,((Table1[[#This Row],[Birthweight (grams)]]*0.9/Table1[[#This Row],[BW_GA]])-1)/(Backend!$B$4/100*Table1[[#This Row],[BW40_3705]]),"")</f>
        <v/>
      </c>
      <c r="I4769" s="7" t="str">
        <f>IF(Table1[[#This Row],[Is Data Valid]]=TRUE,((Table1[[#This Row],[Birthweight (grams)]]*1.1/Table1[[#This Row],[BW_GA]])-1)/(Backend!$B$4/100*Table1[[#This Row],[BW40_3705]]),"")</f>
        <v/>
      </c>
      <c r="J4769" s="7" t="str">
        <f>IF(Table1[[#This Row],[Is Data Valid]]=TRUE,_xlfn.NORM.S.DIST(Table1[[#This Row],[Birthweight Z-Score]],TRUE)*100,"")</f>
        <v/>
      </c>
      <c r="K4769" s="7" t="str">
        <f>IF(Table1[[#This Row],[Is Data Valid]]=TRUE,_xlfn.NORM.S.DIST(Table1[[#This Row],[Birthweight Z-Score (BW-10%)]],TRUE)*100,"")</f>
        <v/>
      </c>
      <c r="L4769" s="7" t="str">
        <f>IF(Table1[[#This Row],[Is Data Valid]]=TRUE,_xlfn.NORM.S.DIST(Table1[[#This Row],[Birthweight Z-Score (BW+10%)]],TRUE)*100,"")</f>
        <v/>
      </c>
    </row>
    <row r="4770" spans="1:12" x14ac:dyDescent="0.35">
      <c r="A4770" s="3"/>
      <c r="B4770" s="2"/>
      <c r="C4770" s="2"/>
      <c r="D4770" s="2" t="b">
        <f>IF(AND(NOT(ISBLANK(Table1[[#This Row],[Fetal Sex (Male, Female or Unknown)]])),ISNUMBER(Table1[[#This Row],[Birthweight (grams)]]),ISNUMBER(Table1[[#This Row],[Gestation (days)]])),TRUE,FALSE)</f>
        <v>0</v>
      </c>
      <c r="E4770" s="2" t="str">
        <f>IF(Table1[[#This Row],[Is Data Valid]]=TRUE,IF(Table1[[#This Row],[Fetal Sex (Male, Female or Unknown)]]="Male",Backend!$C$6,IF(Table1[[#This Row],[Fetal Sex (Male, Female or Unknown)]]="Female",Backend!$C$7,IF(Table1[[#This Row],[Fetal Sex (Male, Female or Unknown)]]="Unknown",Backend!$C$8,"Error"))),"")</f>
        <v/>
      </c>
      <c r="F4770" s="8" t="str">
        <f>IF(Table1[[#This Row],[Is Data Valid]]=TRUE,EXP(0.578+0.332*((Table1[[#This Row],[Gestation (days)]]+0.5)/7)-0.00354*((Table1[[#This Row],[Gestation (days)]]+0.5)/7)^2)*Table1[[#This Row],[BW40_3705]],"")</f>
        <v/>
      </c>
      <c r="G4770" s="2" t="str">
        <f>IF(Table1[[#This Row],[Is Data Valid]]=TRUE,((Table1[[#This Row],[Birthweight (grams)]]/Table1[[#This Row],[BW_GA]])-1)/(Backend!$B$4/100*Table1[[#This Row],[BW40_3705]]),"")</f>
        <v/>
      </c>
      <c r="H4770" s="7" t="str">
        <f>IF(Table1[[#This Row],[Is Data Valid]]=TRUE,((Table1[[#This Row],[Birthweight (grams)]]*0.9/Table1[[#This Row],[BW_GA]])-1)/(Backend!$B$4/100*Table1[[#This Row],[BW40_3705]]),"")</f>
        <v/>
      </c>
      <c r="I4770" s="7" t="str">
        <f>IF(Table1[[#This Row],[Is Data Valid]]=TRUE,((Table1[[#This Row],[Birthweight (grams)]]*1.1/Table1[[#This Row],[BW_GA]])-1)/(Backend!$B$4/100*Table1[[#This Row],[BW40_3705]]),"")</f>
        <v/>
      </c>
      <c r="J4770" s="7" t="str">
        <f>IF(Table1[[#This Row],[Is Data Valid]]=TRUE,_xlfn.NORM.S.DIST(Table1[[#This Row],[Birthweight Z-Score]],TRUE)*100,"")</f>
        <v/>
      </c>
      <c r="K4770" s="7" t="str">
        <f>IF(Table1[[#This Row],[Is Data Valid]]=TRUE,_xlfn.NORM.S.DIST(Table1[[#This Row],[Birthweight Z-Score (BW-10%)]],TRUE)*100,"")</f>
        <v/>
      </c>
      <c r="L4770" s="7" t="str">
        <f>IF(Table1[[#This Row],[Is Data Valid]]=TRUE,_xlfn.NORM.S.DIST(Table1[[#This Row],[Birthweight Z-Score (BW+10%)]],TRUE)*100,"")</f>
        <v/>
      </c>
    </row>
    <row r="4771" spans="1:12" x14ac:dyDescent="0.35">
      <c r="A4771" s="3"/>
      <c r="B4771" s="2"/>
      <c r="C4771" s="2"/>
      <c r="D4771" s="2" t="b">
        <f>IF(AND(NOT(ISBLANK(Table1[[#This Row],[Fetal Sex (Male, Female or Unknown)]])),ISNUMBER(Table1[[#This Row],[Birthweight (grams)]]),ISNUMBER(Table1[[#This Row],[Gestation (days)]])),TRUE,FALSE)</f>
        <v>0</v>
      </c>
      <c r="E4771" s="2" t="str">
        <f>IF(Table1[[#This Row],[Is Data Valid]]=TRUE,IF(Table1[[#This Row],[Fetal Sex (Male, Female or Unknown)]]="Male",Backend!$C$6,IF(Table1[[#This Row],[Fetal Sex (Male, Female or Unknown)]]="Female",Backend!$C$7,IF(Table1[[#This Row],[Fetal Sex (Male, Female or Unknown)]]="Unknown",Backend!$C$8,"Error"))),"")</f>
        <v/>
      </c>
      <c r="F4771" s="8" t="str">
        <f>IF(Table1[[#This Row],[Is Data Valid]]=TRUE,EXP(0.578+0.332*((Table1[[#This Row],[Gestation (days)]]+0.5)/7)-0.00354*((Table1[[#This Row],[Gestation (days)]]+0.5)/7)^2)*Table1[[#This Row],[BW40_3705]],"")</f>
        <v/>
      </c>
      <c r="G4771" s="2" t="str">
        <f>IF(Table1[[#This Row],[Is Data Valid]]=TRUE,((Table1[[#This Row],[Birthweight (grams)]]/Table1[[#This Row],[BW_GA]])-1)/(Backend!$B$4/100*Table1[[#This Row],[BW40_3705]]),"")</f>
        <v/>
      </c>
      <c r="H4771" s="7" t="str">
        <f>IF(Table1[[#This Row],[Is Data Valid]]=TRUE,((Table1[[#This Row],[Birthweight (grams)]]*0.9/Table1[[#This Row],[BW_GA]])-1)/(Backend!$B$4/100*Table1[[#This Row],[BW40_3705]]),"")</f>
        <v/>
      </c>
      <c r="I4771" s="7" t="str">
        <f>IF(Table1[[#This Row],[Is Data Valid]]=TRUE,((Table1[[#This Row],[Birthweight (grams)]]*1.1/Table1[[#This Row],[BW_GA]])-1)/(Backend!$B$4/100*Table1[[#This Row],[BW40_3705]]),"")</f>
        <v/>
      </c>
      <c r="J4771" s="7" t="str">
        <f>IF(Table1[[#This Row],[Is Data Valid]]=TRUE,_xlfn.NORM.S.DIST(Table1[[#This Row],[Birthweight Z-Score]],TRUE)*100,"")</f>
        <v/>
      </c>
      <c r="K4771" s="7" t="str">
        <f>IF(Table1[[#This Row],[Is Data Valid]]=TRUE,_xlfn.NORM.S.DIST(Table1[[#This Row],[Birthweight Z-Score (BW-10%)]],TRUE)*100,"")</f>
        <v/>
      </c>
      <c r="L4771" s="7" t="str">
        <f>IF(Table1[[#This Row],[Is Data Valid]]=TRUE,_xlfn.NORM.S.DIST(Table1[[#This Row],[Birthweight Z-Score (BW+10%)]],TRUE)*100,"")</f>
        <v/>
      </c>
    </row>
    <row r="4772" spans="1:12" x14ac:dyDescent="0.35">
      <c r="A4772" s="3"/>
      <c r="B4772" s="2"/>
      <c r="C4772" s="2"/>
      <c r="D4772" s="2" t="b">
        <f>IF(AND(NOT(ISBLANK(Table1[[#This Row],[Fetal Sex (Male, Female or Unknown)]])),ISNUMBER(Table1[[#This Row],[Birthweight (grams)]]),ISNUMBER(Table1[[#This Row],[Gestation (days)]])),TRUE,FALSE)</f>
        <v>0</v>
      </c>
      <c r="E4772" s="2" t="str">
        <f>IF(Table1[[#This Row],[Is Data Valid]]=TRUE,IF(Table1[[#This Row],[Fetal Sex (Male, Female or Unknown)]]="Male",Backend!$C$6,IF(Table1[[#This Row],[Fetal Sex (Male, Female or Unknown)]]="Female",Backend!$C$7,IF(Table1[[#This Row],[Fetal Sex (Male, Female or Unknown)]]="Unknown",Backend!$C$8,"Error"))),"")</f>
        <v/>
      </c>
      <c r="F4772" s="8" t="str">
        <f>IF(Table1[[#This Row],[Is Data Valid]]=TRUE,EXP(0.578+0.332*((Table1[[#This Row],[Gestation (days)]]+0.5)/7)-0.00354*((Table1[[#This Row],[Gestation (days)]]+0.5)/7)^2)*Table1[[#This Row],[BW40_3705]],"")</f>
        <v/>
      </c>
      <c r="G4772" s="2" t="str">
        <f>IF(Table1[[#This Row],[Is Data Valid]]=TRUE,((Table1[[#This Row],[Birthweight (grams)]]/Table1[[#This Row],[BW_GA]])-1)/(Backend!$B$4/100*Table1[[#This Row],[BW40_3705]]),"")</f>
        <v/>
      </c>
      <c r="H4772" s="7" t="str">
        <f>IF(Table1[[#This Row],[Is Data Valid]]=TRUE,((Table1[[#This Row],[Birthweight (grams)]]*0.9/Table1[[#This Row],[BW_GA]])-1)/(Backend!$B$4/100*Table1[[#This Row],[BW40_3705]]),"")</f>
        <v/>
      </c>
      <c r="I4772" s="7" t="str">
        <f>IF(Table1[[#This Row],[Is Data Valid]]=TRUE,((Table1[[#This Row],[Birthweight (grams)]]*1.1/Table1[[#This Row],[BW_GA]])-1)/(Backend!$B$4/100*Table1[[#This Row],[BW40_3705]]),"")</f>
        <v/>
      </c>
      <c r="J4772" s="7" t="str">
        <f>IF(Table1[[#This Row],[Is Data Valid]]=TRUE,_xlfn.NORM.S.DIST(Table1[[#This Row],[Birthweight Z-Score]],TRUE)*100,"")</f>
        <v/>
      </c>
      <c r="K4772" s="7" t="str">
        <f>IF(Table1[[#This Row],[Is Data Valid]]=TRUE,_xlfn.NORM.S.DIST(Table1[[#This Row],[Birthweight Z-Score (BW-10%)]],TRUE)*100,"")</f>
        <v/>
      </c>
      <c r="L4772" s="7" t="str">
        <f>IF(Table1[[#This Row],[Is Data Valid]]=TRUE,_xlfn.NORM.S.DIST(Table1[[#This Row],[Birthweight Z-Score (BW+10%)]],TRUE)*100,"")</f>
        <v/>
      </c>
    </row>
    <row r="4773" spans="1:12" x14ac:dyDescent="0.35">
      <c r="A4773" s="3"/>
      <c r="B4773" s="2"/>
      <c r="C4773" s="2"/>
      <c r="D4773" s="2" t="b">
        <f>IF(AND(NOT(ISBLANK(Table1[[#This Row],[Fetal Sex (Male, Female or Unknown)]])),ISNUMBER(Table1[[#This Row],[Birthweight (grams)]]),ISNUMBER(Table1[[#This Row],[Gestation (days)]])),TRUE,FALSE)</f>
        <v>0</v>
      </c>
      <c r="E4773" s="2" t="str">
        <f>IF(Table1[[#This Row],[Is Data Valid]]=TRUE,IF(Table1[[#This Row],[Fetal Sex (Male, Female or Unknown)]]="Male",Backend!$C$6,IF(Table1[[#This Row],[Fetal Sex (Male, Female or Unknown)]]="Female",Backend!$C$7,IF(Table1[[#This Row],[Fetal Sex (Male, Female or Unknown)]]="Unknown",Backend!$C$8,"Error"))),"")</f>
        <v/>
      </c>
      <c r="F4773" s="8" t="str">
        <f>IF(Table1[[#This Row],[Is Data Valid]]=TRUE,EXP(0.578+0.332*((Table1[[#This Row],[Gestation (days)]]+0.5)/7)-0.00354*((Table1[[#This Row],[Gestation (days)]]+0.5)/7)^2)*Table1[[#This Row],[BW40_3705]],"")</f>
        <v/>
      </c>
      <c r="G4773" s="2" t="str">
        <f>IF(Table1[[#This Row],[Is Data Valid]]=TRUE,((Table1[[#This Row],[Birthweight (grams)]]/Table1[[#This Row],[BW_GA]])-1)/(Backend!$B$4/100*Table1[[#This Row],[BW40_3705]]),"")</f>
        <v/>
      </c>
      <c r="H4773" s="7" t="str">
        <f>IF(Table1[[#This Row],[Is Data Valid]]=TRUE,((Table1[[#This Row],[Birthweight (grams)]]*0.9/Table1[[#This Row],[BW_GA]])-1)/(Backend!$B$4/100*Table1[[#This Row],[BW40_3705]]),"")</f>
        <v/>
      </c>
      <c r="I4773" s="7" t="str">
        <f>IF(Table1[[#This Row],[Is Data Valid]]=TRUE,((Table1[[#This Row],[Birthweight (grams)]]*1.1/Table1[[#This Row],[BW_GA]])-1)/(Backend!$B$4/100*Table1[[#This Row],[BW40_3705]]),"")</f>
        <v/>
      </c>
      <c r="J4773" s="7" t="str">
        <f>IF(Table1[[#This Row],[Is Data Valid]]=TRUE,_xlfn.NORM.S.DIST(Table1[[#This Row],[Birthweight Z-Score]],TRUE)*100,"")</f>
        <v/>
      </c>
      <c r="K4773" s="7" t="str">
        <f>IF(Table1[[#This Row],[Is Data Valid]]=TRUE,_xlfn.NORM.S.DIST(Table1[[#This Row],[Birthweight Z-Score (BW-10%)]],TRUE)*100,"")</f>
        <v/>
      </c>
      <c r="L4773" s="7" t="str">
        <f>IF(Table1[[#This Row],[Is Data Valid]]=TRUE,_xlfn.NORM.S.DIST(Table1[[#This Row],[Birthweight Z-Score (BW+10%)]],TRUE)*100,"")</f>
        <v/>
      </c>
    </row>
    <row r="4774" spans="1:12" x14ac:dyDescent="0.35">
      <c r="A4774" s="3"/>
      <c r="B4774" s="2"/>
      <c r="C4774" s="2"/>
      <c r="D4774" s="2" t="b">
        <f>IF(AND(NOT(ISBLANK(Table1[[#This Row],[Fetal Sex (Male, Female or Unknown)]])),ISNUMBER(Table1[[#This Row],[Birthweight (grams)]]),ISNUMBER(Table1[[#This Row],[Gestation (days)]])),TRUE,FALSE)</f>
        <v>0</v>
      </c>
      <c r="E4774" s="2" t="str">
        <f>IF(Table1[[#This Row],[Is Data Valid]]=TRUE,IF(Table1[[#This Row],[Fetal Sex (Male, Female or Unknown)]]="Male",Backend!$C$6,IF(Table1[[#This Row],[Fetal Sex (Male, Female or Unknown)]]="Female",Backend!$C$7,IF(Table1[[#This Row],[Fetal Sex (Male, Female or Unknown)]]="Unknown",Backend!$C$8,"Error"))),"")</f>
        <v/>
      </c>
      <c r="F4774" s="8" t="str">
        <f>IF(Table1[[#This Row],[Is Data Valid]]=TRUE,EXP(0.578+0.332*((Table1[[#This Row],[Gestation (days)]]+0.5)/7)-0.00354*((Table1[[#This Row],[Gestation (days)]]+0.5)/7)^2)*Table1[[#This Row],[BW40_3705]],"")</f>
        <v/>
      </c>
      <c r="G4774" s="2" t="str">
        <f>IF(Table1[[#This Row],[Is Data Valid]]=TRUE,((Table1[[#This Row],[Birthweight (grams)]]/Table1[[#This Row],[BW_GA]])-1)/(Backend!$B$4/100*Table1[[#This Row],[BW40_3705]]),"")</f>
        <v/>
      </c>
      <c r="H4774" s="7" t="str">
        <f>IF(Table1[[#This Row],[Is Data Valid]]=TRUE,((Table1[[#This Row],[Birthweight (grams)]]*0.9/Table1[[#This Row],[BW_GA]])-1)/(Backend!$B$4/100*Table1[[#This Row],[BW40_3705]]),"")</f>
        <v/>
      </c>
      <c r="I4774" s="7" t="str">
        <f>IF(Table1[[#This Row],[Is Data Valid]]=TRUE,((Table1[[#This Row],[Birthweight (grams)]]*1.1/Table1[[#This Row],[BW_GA]])-1)/(Backend!$B$4/100*Table1[[#This Row],[BW40_3705]]),"")</f>
        <v/>
      </c>
      <c r="J4774" s="7" t="str">
        <f>IF(Table1[[#This Row],[Is Data Valid]]=TRUE,_xlfn.NORM.S.DIST(Table1[[#This Row],[Birthweight Z-Score]],TRUE)*100,"")</f>
        <v/>
      </c>
      <c r="K4774" s="7" t="str">
        <f>IF(Table1[[#This Row],[Is Data Valid]]=TRUE,_xlfn.NORM.S.DIST(Table1[[#This Row],[Birthweight Z-Score (BW-10%)]],TRUE)*100,"")</f>
        <v/>
      </c>
      <c r="L4774" s="7" t="str">
        <f>IF(Table1[[#This Row],[Is Data Valid]]=TRUE,_xlfn.NORM.S.DIST(Table1[[#This Row],[Birthweight Z-Score (BW+10%)]],TRUE)*100,"")</f>
        <v/>
      </c>
    </row>
    <row r="4775" spans="1:12" x14ac:dyDescent="0.35">
      <c r="A4775" s="3"/>
      <c r="B4775" s="2"/>
      <c r="C4775" s="2"/>
      <c r="D4775" s="2" t="b">
        <f>IF(AND(NOT(ISBLANK(Table1[[#This Row],[Fetal Sex (Male, Female or Unknown)]])),ISNUMBER(Table1[[#This Row],[Birthweight (grams)]]),ISNUMBER(Table1[[#This Row],[Gestation (days)]])),TRUE,FALSE)</f>
        <v>0</v>
      </c>
      <c r="E4775" s="2" t="str">
        <f>IF(Table1[[#This Row],[Is Data Valid]]=TRUE,IF(Table1[[#This Row],[Fetal Sex (Male, Female or Unknown)]]="Male",Backend!$C$6,IF(Table1[[#This Row],[Fetal Sex (Male, Female or Unknown)]]="Female",Backend!$C$7,IF(Table1[[#This Row],[Fetal Sex (Male, Female or Unknown)]]="Unknown",Backend!$C$8,"Error"))),"")</f>
        <v/>
      </c>
      <c r="F4775" s="8" t="str">
        <f>IF(Table1[[#This Row],[Is Data Valid]]=TRUE,EXP(0.578+0.332*((Table1[[#This Row],[Gestation (days)]]+0.5)/7)-0.00354*((Table1[[#This Row],[Gestation (days)]]+0.5)/7)^2)*Table1[[#This Row],[BW40_3705]],"")</f>
        <v/>
      </c>
      <c r="G4775" s="2" t="str">
        <f>IF(Table1[[#This Row],[Is Data Valid]]=TRUE,((Table1[[#This Row],[Birthweight (grams)]]/Table1[[#This Row],[BW_GA]])-1)/(Backend!$B$4/100*Table1[[#This Row],[BW40_3705]]),"")</f>
        <v/>
      </c>
      <c r="H4775" s="7" t="str">
        <f>IF(Table1[[#This Row],[Is Data Valid]]=TRUE,((Table1[[#This Row],[Birthweight (grams)]]*0.9/Table1[[#This Row],[BW_GA]])-1)/(Backend!$B$4/100*Table1[[#This Row],[BW40_3705]]),"")</f>
        <v/>
      </c>
      <c r="I4775" s="7" t="str">
        <f>IF(Table1[[#This Row],[Is Data Valid]]=TRUE,((Table1[[#This Row],[Birthweight (grams)]]*1.1/Table1[[#This Row],[BW_GA]])-1)/(Backend!$B$4/100*Table1[[#This Row],[BW40_3705]]),"")</f>
        <v/>
      </c>
      <c r="J4775" s="7" t="str">
        <f>IF(Table1[[#This Row],[Is Data Valid]]=TRUE,_xlfn.NORM.S.DIST(Table1[[#This Row],[Birthweight Z-Score]],TRUE)*100,"")</f>
        <v/>
      </c>
      <c r="K4775" s="7" t="str">
        <f>IF(Table1[[#This Row],[Is Data Valid]]=TRUE,_xlfn.NORM.S.DIST(Table1[[#This Row],[Birthweight Z-Score (BW-10%)]],TRUE)*100,"")</f>
        <v/>
      </c>
      <c r="L4775" s="7" t="str">
        <f>IF(Table1[[#This Row],[Is Data Valid]]=TRUE,_xlfn.NORM.S.DIST(Table1[[#This Row],[Birthweight Z-Score (BW+10%)]],TRUE)*100,"")</f>
        <v/>
      </c>
    </row>
    <row r="4776" spans="1:12" x14ac:dyDescent="0.35">
      <c r="A4776" s="3"/>
      <c r="B4776" s="2"/>
      <c r="C4776" s="2"/>
      <c r="D4776" s="2" t="b">
        <f>IF(AND(NOT(ISBLANK(Table1[[#This Row],[Fetal Sex (Male, Female or Unknown)]])),ISNUMBER(Table1[[#This Row],[Birthweight (grams)]]),ISNUMBER(Table1[[#This Row],[Gestation (days)]])),TRUE,FALSE)</f>
        <v>0</v>
      </c>
      <c r="E4776" s="2" t="str">
        <f>IF(Table1[[#This Row],[Is Data Valid]]=TRUE,IF(Table1[[#This Row],[Fetal Sex (Male, Female or Unknown)]]="Male",Backend!$C$6,IF(Table1[[#This Row],[Fetal Sex (Male, Female or Unknown)]]="Female",Backend!$C$7,IF(Table1[[#This Row],[Fetal Sex (Male, Female or Unknown)]]="Unknown",Backend!$C$8,"Error"))),"")</f>
        <v/>
      </c>
      <c r="F4776" s="8" t="str">
        <f>IF(Table1[[#This Row],[Is Data Valid]]=TRUE,EXP(0.578+0.332*((Table1[[#This Row],[Gestation (days)]]+0.5)/7)-0.00354*((Table1[[#This Row],[Gestation (days)]]+0.5)/7)^2)*Table1[[#This Row],[BW40_3705]],"")</f>
        <v/>
      </c>
      <c r="G4776" s="2" t="str">
        <f>IF(Table1[[#This Row],[Is Data Valid]]=TRUE,((Table1[[#This Row],[Birthweight (grams)]]/Table1[[#This Row],[BW_GA]])-1)/(Backend!$B$4/100*Table1[[#This Row],[BW40_3705]]),"")</f>
        <v/>
      </c>
      <c r="H4776" s="7" t="str">
        <f>IF(Table1[[#This Row],[Is Data Valid]]=TRUE,((Table1[[#This Row],[Birthweight (grams)]]*0.9/Table1[[#This Row],[BW_GA]])-1)/(Backend!$B$4/100*Table1[[#This Row],[BW40_3705]]),"")</f>
        <v/>
      </c>
      <c r="I4776" s="7" t="str">
        <f>IF(Table1[[#This Row],[Is Data Valid]]=TRUE,((Table1[[#This Row],[Birthweight (grams)]]*1.1/Table1[[#This Row],[BW_GA]])-1)/(Backend!$B$4/100*Table1[[#This Row],[BW40_3705]]),"")</f>
        <v/>
      </c>
      <c r="J4776" s="7" t="str">
        <f>IF(Table1[[#This Row],[Is Data Valid]]=TRUE,_xlfn.NORM.S.DIST(Table1[[#This Row],[Birthweight Z-Score]],TRUE)*100,"")</f>
        <v/>
      </c>
      <c r="K4776" s="7" t="str">
        <f>IF(Table1[[#This Row],[Is Data Valid]]=TRUE,_xlfn.NORM.S.DIST(Table1[[#This Row],[Birthweight Z-Score (BW-10%)]],TRUE)*100,"")</f>
        <v/>
      </c>
      <c r="L4776" s="7" t="str">
        <f>IF(Table1[[#This Row],[Is Data Valid]]=TRUE,_xlfn.NORM.S.DIST(Table1[[#This Row],[Birthweight Z-Score (BW+10%)]],TRUE)*100,"")</f>
        <v/>
      </c>
    </row>
    <row r="4777" spans="1:12" x14ac:dyDescent="0.35">
      <c r="A4777" s="3"/>
      <c r="B4777" s="2"/>
      <c r="C4777" s="2"/>
      <c r="D4777" s="2" t="b">
        <f>IF(AND(NOT(ISBLANK(Table1[[#This Row],[Fetal Sex (Male, Female or Unknown)]])),ISNUMBER(Table1[[#This Row],[Birthweight (grams)]]),ISNUMBER(Table1[[#This Row],[Gestation (days)]])),TRUE,FALSE)</f>
        <v>0</v>
      </c>
      <c r="E4777" s="2" t="str">
        <f>IF(Table1[[#This Row],[Is Data Valid]]=TRUE,IF(Table1[[#This Row],[Fetal Sex (Male, Female or Unknown)]]="Male",Backend!$C$6,IF(Table1[[#This Row],[Fetal Sex (Male, Female or Unknown)]]="Female",Backend!$C$7,IF(Table1[[#This Row],[Fetal Sex (Male, Female or Unknown)]]="Unknown",Backend!$C$8,"Error"))),"")</f>
        <v/>
      </c>
      <c r="F4777" s="8" t="str">
        <f>IF(Table1[[#This Row],[Is Data Valid]]=TRUE,EXP(0.578+0.332*((Table1[[#This Row],[Gestation (days)]]+0.5)/7)-0.00354*((Table1[[#This Row],[Gestation (days)]]+0.5)/7)^2)*Table1[[#This Row],[BW40_3705]],"")</f>
        <v/>
      </c>
      <c r="G4777" s="2" t="str">
        <f>IF(Table1[[#This Row],[Is Data Valid]]=TRUE,((Table1[[#This Row],[Birthweight (grams)]]/Table1[[#This Row],[BW_GA]])-1)/(Backend!$B$4/100*Table1[[#This Row],[BW40_3705]]),"")</f>
        <v/>
      </c>
      <c r="H4777" s="7" t="str">
        <f>IF(Table1[[#This Row],[Is Data Valid]]=TRUE,((Table1[[#This Row],[Birthweight (grams)]]*0.9/Table1[[#This Row],[BW_GA]])-1)/(Backend!$B$4/100*Table1[[#This Row],[BW40_3705]]),"")</f>
        <v/>
      </c>
      <c r="I4777" s="7" t="str">
        <f>IF(Table1[[#This Row],[Is Data Valid]]=TRUE,((Table1[[#This Row],[Birthweight (grams)]]*1.1/Table1[[#This Row],[BW_GA]])-1)/(Backend!$B$4/100*Table1[[#This Row],[BW40_3705]]),"")</f>
        <v/>
      </c>
      <c r="J4777" s="7" t="str">
        <f>IF(Table1[[#This Row],[Is Data Valid]]=TRUE,_xlfn.NORM.S.DIST(Table1[[#This Row],[Birthweight Z-Score]],TRUE)*100,"")</f>
        <v/>
      </c>
      <c r="K4777" s="7" t="str">
        <f>IF(Table1[[#This Row],[Is Data Valid]]=TRUE,_xlfn.NORM.S.DIST(Table1[[#This Row],[Birthweight Z-Score (BW-10%)]],TRUE)*100,"")</f>
        <v/>
      </c>
      <c r="L4777" s="7" t="str">
        <f>IF(Table1[[#This Row],[Is Data Valid]]=TRUE,_xlfn.NORM.S.DIST(Table1[[#This Row],[Birthweight Z-Score (BW+10%)]],TRUE)*100,"")</f>
        <v/>
      </c>
    </row>
    <row r="4778" spans="1:12" x14ac:dyDescent="0.35">
      <c r="A4778" s="3"/>
      <c r="B4778" s="2"/>
      <c r="C4778" s="2"/>
      <c r="D4778" s="2" t="b">
        <f>IF(AND(NOT(ISBLANK(Table1[[#This Row],[Fetal Sex (Male, Female or Unknown)]])),ISNUMBER(Table1[[#This Row],[Birthweight (grams)]]),ISNUMBER(Table1[[#This Row],[Gestation (days)]])),TRUE,FALSE)</f>
        <v>0</v>
      </c>
      <c r="E4778" s="2" t="str">
        <f>IF(Table1[[#This Row],[Is Data Valid]]=TRUE,IF(Table1[[#This Row],[Fetal Sex (Male, Female or Unknown)]]="Male",Backend!$C$6,IF(Table1[[#This Row],[Fetal Sex (Male, Female or Unknown)]]="Female",Backend!$C$7,IF(Table1[[#This Row],[Fetal Sex (Male, Female or Unknown)]]="Unknown",Backend!$C$8,"Error"))),"")</f>
        <v/>
      </c>
      <c r="F4778" s="8" t="str">
        <f>IF(Table1[[#This Row],[Is Data Valid]]=TRUE,EXP(0.578+0.332*((Table1[[#This Row],[Gestation (days)]]+0.5)/7)-0.00354*((Table1[[#This Row],[Gestation (days)]]+0.5)/7)^2)*Table1[[#This Row],[BW40_3705]],"")</f>
        <v/>
      </c>
      <c r="G4778" s="2" t="str">
        <f>IF(Table1[[#This Row],[Is Data Valid]]=TRUE,((Table1[[#This Row],[Birthweight (grams)]]/Table1[[#This Row],[BW_GA]])-1)/(Backend!$B$4/100*Table1[[#This Row],[BW40_3705]]),"")</f>
        <v/>
      </c>
      <c r="H4778" s="7" t="str">
        <f>IF(Table1[[#This Row],[Is Data Valid]]=TRUE,((Table1[[#This Row],[Birthweight (grams)]]*0.9/Table1[[#This Row],[BW_GA]])-1)/(Backend!$B$4/100*Table1[[#This Row],[BW40_3705]]),"")</f>
        <v/>
      </c>
      <c r="I4778" s="7" t="str">
        <f>IF(Table1[[#This Row],[Is Data Valid]]=TRUE,((Table1[[#This Row],[Birthweight (grams)]]*1.1/Table1[[#This Row],[BW_GA]])-1)/(Backend!$B$4/100*Table1[[#This Row],[BW40_3705]]),"")</f>
        <v/>
      </c>
      <c r="J4778" s="7" t="str">
        <f>IF(Table1[[#This Row],[Is Data Valid]]=TRUE,_xlfn.NORM.S.DIST(Table1[[#This Row],[Birthweight Z-Score]],TRUE)*100,"")</f>
        <v/>
      </c>
      <c r="K4778" s="7" t="str">
        <f>IF(Table1[[#This Row],[Is Data Valid]]=TRUE,_xlfn.NORM.S.DIST(Table1[[#This Row],[Birthweight Z-Score (BW-10%)]],TRUE)*100,"")</f>
        <v/>
      </c>
      <c r="L4778" s="7" t="str">
        <f>IF(Table1[[#This Row],[Is Data Valid]]=TRUE,_xlfn.NORM.S.DIST(Table1[[#This Row],[Birthweight Z-Score (BW+10%)]],TRUE)*100,"")</f>
        <v/>
      </c>
    </row>
    <row r="4779" spans="1:12" x14ac:dyDescent="0.35">
      <c r="A4779" s="3"/>
      <c r="B4779" s="2"/>
      <c r="C4779" s="2"/>
      <c r="D4779" s="2" t="b">
        <f>IF(AND(NOT(ISBLANK(Table1[[#This Row],[Fetal Sex (Male, Female or Unknown)]])),ISNUMBER(Table1[[#This Row],[Birthweight (grams)]]),ISNUMBER(Table1[[#This Row],[Gestation (days)]])),TRUE,FALSE)</f>
        <v>0</v>
      </c>
      <c r="E4779" s="2" t="str">
        <f>IF(Table1[[#This Row],[Is Data Valid]]=TRUE,IF(Table1[[#This Row],[Fetal Sex (Male, Female or Unknown)]]="Male",Backend!$C$6,IF(Table1[[#This Row],[Fetal Sex (Male, Female or Unknown)]]="Female",Backend!$C$7,IF(Table1[[#This Row],[Fetal Sex (Male, Female or Unknown)]]="Unknown",Backend!$C$8,"Error"))),"")</f>
        <v/>
      </c>
      <c r="F4779" s="8" t="str">
        <f>IF(Table1[[#This Row],[Is Data Valid]]=TRUE,EXP(0.578+0.332*((Table1[[#This Row],[Gestation (days)]]+0.5)/7)-0.00354*((Table1[[#This Row],[Gestation (days)]]+0.5)/7)^2)*Table1[[#This Row],[BW40_3705]],"")</f>
        <v/>
      </c>
      <c r="G4779" s="2" t="str">
        <f>IF(Table1[[#This Row],[Is Data Valid]]=TRUE,((Table1[[#This Row],[Birthweight (grams)]]/Table1[[#This Row],[BW_GA]])-1)/(Backend!$B$4/100*Table1[[#This Row],[BW40_3705]]),"")</f>
        <v/>
      </c>
      <c r="H4779" s="7" t="str">
        <f>IF(Table1[[#This Row],[Is Data Valid]]=TRUE,((Table1[[#This Row],[Birthweight (grams)]]*0.9/Table1[[#This Row],[BW_GA]])-1)/(Backend!$B$4/100*Table1[[#This Row],[BW40_3705]]),"")</f>
        <v/>
      </c>
      <c r="I4779" s="7" t="str">
        <f>IF(Table1[[#This Row],[Is Data Valid]]=TRUE,((Table1[[#This Row],[Birthweight (grams)]]*1.1/Table1[[#This Row],[BW_GA]])-1)/(Backend!$B$4/100*Table1[[#This Row],[BW40_3705]]),"")</f>
        <v/>
      </c>
      <c r="J4779" s="7" t="str">
        <f>IF(Table1[[#This Row],[Is Data Valid]]=TRUE,_xlfn.NORM.S.DIST(Table1[[#This Row],[Birthweight Z-Score]],TRUE)*100,"")</f>
        <v/>
      </c>
      <c r="K4779" s="7" t="str">
        <f>IF(Table1[[#This Row],[Is Data Valid]]=TRUE,_xlfn.NORM.S.DIST(Table1[[#This Row],[Birthweight Z-Score (BW-10%)]],TRUE)*100,"")</f>
        <v/>
      </c>
      <c r="L4779" s="7" t="str">
        <f>IF(Table1[[#This Row],[Is Data Valid]]=TRUE,_xlfn.NORM.S.DIST(Table1[[#This Row],[Birthweight Z-Score (BW+10%)]],TRUE)*100,"")</f>
        <v/>
      </c>
    </row>
    <row r="4780" spans="1:12" x14ac:dyDescent="0.35">
      <c r="A4780" s="3"/>
      <c r="B4780" s="2"/>
      <c r="C4780" s="2"/>
      <c r="D4780" s="2" t="b">
        <f>IF(AND(NOT(ISBLANK(Table1[[#This Row],[Fetal Sex (Male, Female or Unknown)]])),ISNUMBER(Table1[[#This Row],[Birthweight (grams)]]),ISNUMBER(Table1[[#This Row],[Gestation (days)]])),TRUE,FALSE)</f>
        <v>0</v>
      </c>
      <c r="E4780" s="2" t="str">
        <f>IF(Table1[[#This Row],[Is Data Valid]]=TRUE,IF(Table1[[#This Row],[Fetal Sex (Male, Female or Unknown)]]="Male",Backend!$C$6,IF(Table1[[#This Row],[Fetal Sex (Male, Female or Unknown)]]="Female",Backend!$C$7,IF(Table1[[#This Row],[Fetal Sex (Male, Female or Unknown)]]="Unknown",Backend!$C$8,"Error"))),"")</f>
        <v/>
      </c>
      <c r="F4780" s="8" t="str">
        <f>IF(Table1[[#This Row],[Is Data Valid]]=TRUE,EXP(0.578+0.332*((Table1[[#This Row],[Gestation (days)]]+0.5)/7)-0.00354*((Table1[[#This Row],[Gestation (days)]]+0.5)/7)^2)*Table1[[#This Row],[BW40_3705]],"")</f>
        <v/>
      </c>
      <c r="G4780" s="2" t="str">
        <f>IF(Table1[[#This Row],[Is Data Valid]]=TRUE,((Table1[[#This Row],[Birthweight (grams)]]/Table1[[#This Row],[BW_GA]])-1)/(Backend!$B$4/100*Table1[[#This Row],[BW40_3705]]),"")</f>
        <v/>
      </c>
      <c r="H4780" s="7" t="str">
        <f>IF(Table1[[#This Row],[Is Data Valid]]=TRUE,((Table1[[#This Row],[Birthweight (grams)]]*0.9/Table1[[#This Row],[BW_GA]])-1)/(Backend!$B$4/100*Table1[[#This Row],[BW40_3705]]),"")</f>
        <v/>
      </c>
      <c r="I4780" s="7" t="str">
        <f>IF(Table1[[#This Row],[Is Data Valid]]=TRUE,((Table1[[#This Row],[Birthweight (grams)]]*1.1/Table1[[#This Row],[BW_GA]])-1)/(Backend!$B$4/100*Table1[[#This Row],[BW40_3705]]),"")</f>
        <v/>
      </c>
      <c r="J4780" s="7" t="str">
        <f>IF(Table1[[#This Row],[Is Data Valid]]=TRUE,_xlfn.NORM.S.DIST(Table1[[#This Row],[Birthweight Z-Score]],TRUE)*100,"")</f>
        <v/>
      </c>
      <c r="K4780" s="7" t="str">
        <f>IF(Table1[[#This Row],[Is Data Valid]]=TRUE,_xlfn.NORM.S.DIST(Table1[[#This Row],[Birthweight Z-Score (BW-10%)]],TRUE)*100,"")</f>
        <v/>
      </c>
      <c r="L4780" s="7" t="str">
        <f>IF(Table1[[#This Row],[Is Data Valid]]=TRUE,_xlfn.NORM.S.DIST(Table1[[#This Row],[Birthweight Z-Score (BW+10%)]],TRUE)*100,"")</f>
        <v/>
      </c>
    </row>
    <row r="4781" spans="1:12" x14ac:dyDescent="0.35">
      <c r="A4781" s="3"/>
      <c r="B4781" s="2"/>
      <c r="C4781" s="2"/>
      <c r="D4781" s="2" t="b">
        <f>IF(AND(NOT(ISBLANK(Table1[[#This Row],[Fetal Sex (Male, Female or Unknown)]])),ISNUMBER(Table1[[#This Row],[Birthweight (grams)]]),ISNUMBER(Table1[[#This Row],[Gestation (days)]])),TRUE,FALSE)</f>
        <v>0</v>
      </c>
      <c r="E4781" s="2" t="str">
        <f>IF(Table1[[#This Row],[Is Data Valid]]=TRUE,IF(Table1[[#This Row],[Fetal Sex (Male, Female or Unknown)]]="Male",Backend!$C$6,IF(Table1[[#This Row],[Fetal Sex (Male, Female or Unknown)]]="Female",Backend!$C$7,IF(Table1[[#This Row],[Fetal Sex (Male, Female or Unknown)]]="Unknown",Backend!$C$8,"Error"))),"")</f>
        <v/>
      </c>
      <c r="F4781" s="8" t="str">
        <f>IF(Table1[[#This Row],[Is Data Valid]]=TRUE,EXP(0.578+0.332*((Table1[[#This Row],[Gestation (days)]]+0.5)/7)-0.00354*((Table1[[#This Row],[Gestation (days)]]+0.5)/7)^2)*Table1[[#This Row],[BW40_3705]],"")</f>
        <v/>
      </c>
      <c r="G4781" s="2" t="str">
        <f>IF(Table1[[#This Row],[Is Data Valid]]=TRUE,((Table1[[#This Row],[Birthweight (grams)]]/Table1[[#This Row],[BW_GA]])-1)/(Backend!$B$4/100*Table1[[#This Row],[BW40_3705]]),"")</f>
        <v/>
      </c>
      <c r="H4781" s="7" t="str">
        <f>IF(Table1[[#This Row],[Is Data Valid]]=TRUE,((Table1[[#This Row],[Birthweight (grams)]]*0.9/Table1[[#This Row],[BW_GA]])-1)/(Backend!$B$4/100*Table1[[#This Row],[BW40_3705]]),"")</f>
        <v/>
      </c>
      <c r="I4781" s="7" t="str">
        <f>IF(Table1[[#This Row],[Is Data Valid]]=TRUE,((Table1[[#This Row],[Birthweight (grams)]]*1.1/Table1[[#This Row],[BW_GA]])-1)/(Backend!$B$4/100*Table1[[#This Row],[BW40_3705]]),"")</f>
        <v/>
      </c>
      <c r="J4781" s="7" t="str">
        <f>IF(Table1[[#This Row],[Is Data Valid]]=TRUE,_xlfn.NORM.S.DIST(Table1[[#This Row],[Birthweight Z-Score]],TRUE)*100,"")</f>
        <v/>
      </c>
      <c r="K4781" s="7" t="str">
        <f>IF(Table1[[#This Row],[Is Data Valid]]=TRUE,_xlfn.NORM.S.DIST(Table1[[#This Row],[Birthweight Z-Score (BW-10%)]],TRUE)*100,"")</f>
        <v/>
      </c>
      <c r="L4781" s="7" t="str">
        <f>IF(Table1[[#This Row],[Is Data Valid]]=TRUE,_xlfn.NORM.S.DIST(Table1[[#This Row],[Birthweight Z-Score (BW+10%)]],TRUE)*100,"")</f>
        <v/>
      </c>
    </row>
    <row r="4782" spans="1:12" x14ac:dyDescent="0.35">
      <c r="A4782" s="3"/>
      <c r="B4782" s="2"/>
      <c r="C4782" s="2"/>
      <c r="D4782" s="2" t="b">
        <f>IF(AND(NOT(ISBLANK(Table1[[#This Row],[Fetal Sex (Male, Female or Unknown)]])),ISNUMBER(Table1[[#This Row],[Birthweight (grams)]]),ISNUMBER(Table1[[#This Row],[Gestation (days)]])),TRUE,FALSE)</f>
        <v>0</v>
      </c>
      <c r="E4782" s="2" t="str">
        <f>IF(Table1[[#This Row],[Is Data Valid]]=TRUE,IF(Table1[[#This Row],[Fetal Sex (Male, Female or Unknown)]]="Male",Backend!$C$6,IF(Table1[[#This Row],[Fetal Sex (Male, Female or Unknown)]]="Female",Backend!$C$7,IF(Table1[[#This Row],[Fetal Sex (Male, Female or Unknown)]]="Unknown",Backend!$C$8,"Error"))),"")</f>
        <v/>
      </c>
      <c r="F4782" s="8" t="str">
        <f>IF(Table1[[#This Row],[Is Data Valid]]=TRUE,EXP(0.578+0.332*((Table1[[#This Row],[Gestation (days)]]+0.5)/7)-0.00354*((Table1[[#This Row],[Gestation (days)]]+0.5)/7)^2)*Table1[[#This Row],[BW40_3705]],"")</f>
        <v/>
      </c>
      <c r="G4782" s="2" t="str">
        <f>IF(Table1[[#This Row],[Is Data Valid]]=TRUE,((Table1[[#This Row],[Birthweight (grams)]]/Table1[[#This Row],[BW_GA]])-1)/(Backend!$B$4/100*Table1[[#This Row],[BW40_3705]]),"")</f>
        <v/>
      </c>
      <c r="H4782" s="7" t="str">
        <f>IF(Table1[[#This Row],[Is Data Valid]]=TRUE,((Table1[[#This Row],[Birthweight (grams)]]*0.9/Table1[[#This Row],[BW_GA]])-1)/(Backend!$B$4/100*Table1[[#This Row],[BW40_3705]]),"")</f>
        <v/>
      </c>
      <c r="I4782" s="7" t="str">
        <f>IF(Table1[[#This Row],[Is Data Valid]]=TRUE,((Table1[[#This Row],[Birthweight (grams)]]*1.1/Table1[[#This Row],[BW_GA]])-1)/(Backend!$B$4/100*Table1[[#This Row],[BW40_3705]]),"")</f>
        <v/>
      </c>
      <c r="J4782" s="7" t="str">
        <f>IF(Table1[[#This Row],[Is Data Valid]]=TRUE,_xlfn.NORM.S.DIST(Table1[[#This Row],[Birthweight Z-Score]],TRUE)*100,"")</f>
        <v/>
      </c>
      <c r="K4782" s="7" t="str">
        <f>IF(Table1[[#This Row],[Is Data Valid]]=TRUE,_xlfn.NORM.S.DIST(Table1[[#This Row],[Birthweight Z-Score (BW-10%)]],TRUE)*100,"")</f>
        <v/>
      </c>
      <c r="L4782" s="7" t="str">
        <f>IF(Table1[[#This Row],[Is Data Valid]]=TRUE,_xlfn.NORM.S.DIST(Table1[[#This Row],[Birthweight Z-Score (BW+10%)]],TRUE)*100,"")</f>
        <v/>
      </c>
    </row>
    <row r="4783" spans="1:12" x14ac:dyDescent="0.35">
      <c r="A4783" s="3"/>
      <c r="B4783" s="2"/>
      <c r="C4783" s="2"/>
      <c r="D4783" s="2" t="b">
        <f>IF(AND(NOT(ISBLANK(Table1[[#This Row],[Fetal Sex (Male, Female or Unknown)]])),ISNUMBER(Table1[[#This Row],[Birthweight (grams)]]),ISNUMBER(Table1[[#This Row],[Gestation (days)]])),TRUE,FALSE)</f>
        <v>0</v>
      </c>
      <c r="E4783" s="2" t="str">
        <f>IF(Table1[[#This Row],[Is Data Valid]]=TRUE,IF(Table1[[#This Row],[Fetal Sex (Male, Female or Unknown)]]="Male",Backend!$C$6,IF(Table1[[#This Row],[Fetal Sex (Male, Female or Unknown)]]="Female",Backend!$C$7,IF(Table1[[#This Row],[Fetal Sex (Male, Female or Unknown)]]="Unknown",Backend!$C$8,"Error"))),"")</f>
        <v/>
      </c>
      <c r="F4783" s="8" t="str">
        <f>IF(Table1[[#This Row],[Is Data Valid]]=TRUE,EXP(0.578+0.332*((Table1[[#This Row],[Gestation (days)]]+0.5)/7)-0.00354*((Table1[[#This Row],[Gestation (days)]]+0.5)/7)^2)*Table1[[#This Row],[BW40_3705]],"")</f>
        <v/>
      </c>
      <c r="G4783" s="2" t="str">
        <f>IF(Table1[[#This Row],[Is Data Valid]]=TRUE,((Table1[[#This Row],[Birthweight (grams)]]/Table1[[#This Row],[BW_GA]])-1)/(Backend!$B$4/100*Table1[[#This Row],[BW40_3705]]),"")</f>
        <v/>
      </c>
      <c r="H4783" s="7" t="str">
        <f>IF(Table1[[#This Row],[Is Data Valid]]=TRUE,((Table1[[#This Row],[Birthweight (grams)]]*0.9/Table1[[#This Row],[BW_GA]])-1)/(Backend!$B$4/100*Table1[[#This Row],[BW40_3705]]),"")</f>
        <v/>
      </c>
      <c r="I4783" s="7" t="str">
        <f>IF(Table1[[#This Row],[Is Data Valid]]=TRUE,((Table1[[#This Row],[Birthweight (grams)]]*1.1/Table1[[#This Row],[BW_GA]])-1)/(Backend!$B$4/100*Table1[[#This Row],[BW40_3705]]),"")</f>
        <v/>
      </c>
      <c r="J4783" s="7" t="str">
        <f>IF(Table1[[#This Row],[Is Data Valid]]=TRUE,_xlfn.NORM.S.DIST(Table1[[#This Row],[Birthweight Z-Score]],TRUE)*100,"")</f>
        <v/>
      </c>
      <c r="K4783" s="7" t="str">
        <f>IF(Table1[[#This Row],[Is Data Valid]]=TRUE,_xlfn.NORM.S.DIST(Table1[[#This Row],[Birthweight Z-Score (BW-10%)]],TRUE)*100,"")</f>
        <v/>
      </c>
      <c r="L4783" s="7" t="str">
        <f>IF(Table1[[#This Row],[Is Data Valid]]=TRUE,_xlfn.NORM.S.DIST(Table1[[#This Row],[Birthweight Z-Score (BW+10%)]],TRUE)*100,"")</f>
        <v/>
      </c>
    </row>
    <row r="4784" spans="1:12" x14ac:dyDescent="0.35">
      <c r="A4784" s="3"/>
      <c r="B4784" s="2"/>
      <c r="C4784" s="2"/>
      <c r="D4784" s="2" t="b">
        <f>IF(AND(NOT(ISBLANK(Table1[[#This Row],[Fetal Sex (Male, Female or Unknown)]])),ISNUMBER(Table1[[#This Row],[Birthweight (grams)]]),ISNUMBER(Table1[[#This Row],[Gestation (days)]])),TRUE,FALSE)</f>
        <v>0</v>
      </c>
      <c r="E4784" s="2" t="str">
        <f>IF(Table1[[#This Row],[Is Data Valid]]=TRUE,IF(Table1[[#This Row],[Fetal Sex (Male, Female or Unknown)]]="Male",Backend!$C$6,IF(Table1[[#This Row],[Fetal Sex (Male, Female or Unknown)]]="Female",Backend!$C$7,IF(Table1[[#This Row],[Fetal Sex (Male, Female or Unknown)]]="Unknown",Backend!$C$8,"Error"))),"")</f>
        <v/>
      </c>
      <c r="F4784" s="8" t="str">
        <f>IF(Table1[[#This Row],[Is Data Valid]]=TRUE,EXP(0.578+0.332*((Table1[[#This Row],[Gestation (days)]]+0.5)/7)-0.00354*((Table1[[#This Row],[Gestation (days)]]+0.5)/7)^2)*Table1[[#This Row],[BW40_3705]],"")</f>
        <v/>
      </c>
      <c r="G4784" s="2" t="str">
        <f>IF(Table1[[#This Row],[Is Data Valid]]=TRUE,((Table1[[#This Row],[Birthweight (grams)]]/Table1[[#This Row],[BW_GA]])-1)/(Backend!$B$4/100*Table1[[#This Row],[BW40_3705]]),"")</f>
        <v/>
      </c>
      <c r="H4784" s="7" t="str">
        <f>IF(Table1[[#This Row],[Is Data Valid]]=TRUE,((Table1[[#This Row],[Birthweight (grams)]]*0.9/Table1[[#This Row],[BW_GA]])-1)/(Backend!$B$4/100*Table1[[#This Row],[BW40_3705]]),"")</f>
        <v/>
      </c>
      <c r="I4784" s="7" t="str">
        <f>IF(Table1[[#This Row],[Is Data Valid]]=TRUE,((Table1[[#This Row],[Birthweight (grams)]]*1.1/Table1[[#This Row],[BW_GA]])-1)/(Backend!$B$4/100*Table1[[#This Row],[BW40_3705]]),"")</f>
        <v/>
      </c>
      <c r="J4784" s="7" t="str">
        <f>IF(Table1[[#This Row],[Is Data Valid]]=TRUE,_xlfn.NORM.S.DIST(Table1[[#This Row],[Birthweight Z-Score]],TRUE)*100,"")</f>
        <v/>
      </c>
      <c r="K4784" s="7" t="str">
        <f>IF(Table1[[#This Row],[Is Data Valid]]=TRUE,_xlfn.NORM.S.DIST(Table1[[#This Row],[Birthweight Z-Score (BW-10%)]],TRUE)*100,"")</f>
        <v/>
      </c>
      <c r="L4784" s="7" t="str">
        <f>IF(Table1[[#This Row],[Is Data Valid]]=TRUE,_xlfn.NORM.S.DIST(Table1[[#This Row],[Birthweight Z-Score (BW+10%)]],TRUE)*100,"")</f>
        <v/>
      </c>
    </row>
    <row r="4785" spans="1:12" x14ac:dyDescent="0.35">
      <c r="A4785" s="3"/>
      <c r="B4785" s="2"/>
      <c r="C4785" s="2"/>
      <c r="D4785" s="2" t="b">
        <f>IF(AND(NOT(ISBLANK(Table1[[#This Row],[Fetal Sex (Male, Female or Unknown)]])),ISNUMBER(Table1[[#This Row],[Birthweight (grams)]]),ISNUMBER(Table1[[#This Row],[Gestation (days)]])),TRUE,FALSE)</f>
        <v>0</v>
      </c>
      <c r="E4785" s="2" t="str">
        <f>IF(Table1[[#This Row],[Is Data Valid]]=TRUE,IF(Table1[[#This Row],[Fetal Sex (Male, Female or Unknown)]]="Male",Backend!$C$6,IF(Table1[[#This Row],[Fetal Sex (Male, Female or Unknown)]]="Female",Backend!$C$7,IF(Table1[[#This Row],[Fetal Sex (Male, Female or Unknown)]]="Unknown",Backend!$C$8,"Error"))),"")</f>
        <v/>
      </c>
      <c r="F4785" s="8" t="str">
        <f>IF(Table1[[#This Row],[Is Data Valid]]=TRUE,EXP(0.578+0.332*((Table1[[#This Row],[Gestation (days)]]+0.5)/7)-0.00354*((Table1[[#This Row],[Gestation (days)]]+0.5)/7)^2)*Table1[[#This Row],[BW40_3705]],"")</f>
        <v/>
      </c>
      <c r="G4785" s="2" t="str">
        <f>IF(Table1[[#This Row],[Is Data Valid]]=TRUE,((Table1[[#This Row],[Birthweight (grams)]]/Table1[[#This Row],[BW_GA]])-1)/(Backend!$B$4/100*Table1[[#This Row],[BW40_3705]]),"")</f>
        <v/>
      </c>
      <c r="H4785" s="7" t="str">
        <f>IF(Table1[[#This Row],[Is Data Valid]]=TRUE,((Table1[[#This Row],[Birthweight (grams)]]*0.9/Table1[[#This Row],[BW_GA]])-1)/(Backend!$B$4/100*Table1[[#This Row],[BW40_3705]]),"")</f>
        <v/>
      </c>
      <c r="I4785" s="7" t="str">
        <f>IF(Table1[[#This Row],[Is Data Valid]]=TRUE,((Table1[[#This Row],[Birthweight (grams)]]*1.1/Table1[[#This Row],[BW_GA]])-1)/(Backend!$B$4/100*Table1[[#This Row],[BW40_3705]]),"")</f>
        <v/>
      </c>
      <c r="J4785" s="7" t="str">
        <f>IF(Table1[[#This Row],[Is Data Valid]]=TRUE,_xlfn.NORM.S.DIST(Table1[[#This Row],[Birthweight Z-Score]],TRUE)*100,"")</f>
        <v/>
      </c>
      <c r="K4785" s="7" t="str">
        <f>IF(Table1[[#This Row],[Is Data Valid]]=TRUE,_xlfn.NORM.S.DIST(Table1[[#This Row],[Birthweight Z-Score (BW-10%)]],TRUE)*100,"")</f>
        <v/>
      </c>
      <c r="L4785" s="7" t="str">
        <f>IF(Table1[[#This Row],[Is Data Valid]]=TRUE,_xlfn.NORM.S.DIST(Table1[[#This Row],[Birthweight Z-Score (BW+10%)]],TRUE)*100,"")</f>
        <v/>
      </c>
    </row>
    <row r="4786" spans="1:12" x14ac:dyDescent="0.35">
      <c r="A4786" s="3"/>
      <c r="B4786" s="2"/>
      <c r="C4786" s="2"/>
      <c r="D4786" s="2" t="b">
        <f>IF(AND(NOT(ISBLANK(Table1[[#This Row],[Fetal Sex (Male, Female or Unknown)]])),ISNUMBER(Table1[[#This Row],[Birthweight (grams)]]),ISNUMBER(Table1[[#This Row],[Gestation (days)]])),TRUE,FALSE)</f>
        <v>0</v>
      </c>
      <c r="E4786" s="2" t="str">
        <f>IF(Table1[[#This Row],[Is Data Valid]]=TRUE,IF(Table1[[#This Row],[Fetal Sex (Male, Female or Unknown)]]="Male",Backend!$C$6,IF(Table1[[#This Row],[Fetal Sex (Male, Female or Unknown)]]="Female",Backend!$C$7,IF(Table1[[#This Row],[Fetal Sex (Male, Female or Unknown)]]="Unknown",Backend!$C$8,"Error"))),"")</f>
        <v/>
      </c>
      <c r="F4786" s="8" t="str">
        <f>IF(Table1[[#This Row],[Is Data Valid]]=TRUE,EXP(0.578+0.332*((Table1[[#This Row],[Gestation (days)]]+0.5)/7)-0.00354*((Table1[[#This Row],[Gestation (days)]]+0.5)/7)^2)*Table1[[#This Row],[BW40_3705]],"")</f>
        <v/>
      </c>
      <c r="G4786" s="2" t="str">
        <f>IF(Table1[[#This Row],[Is Data Valid]]=TRUE,((Table1[[#This Row],[Birthweight (grams)]]/Table1[[#This Row],[BW_GA]])-1)/(Backend!$B$4/100*Table1[[#This Row],[BW40_3705]]),"")</f>
        <v/>
      </c>
      <c r="H4786" s="7" t="str">
        <f>IF(Table1[[#This Row],[Is Data Valid]]=TRUE,((Table1[[#This Row],[Birthweight (grams)]]*0.9/Table1[[#This Row],[BW_GA]])-1)/(Backend!$B$4/100*Table1[[#This Row],[BW40_3705]]),"")</f>
        <v/>
      </c>
      <c r="I4786" s="7" t="str">
        <f>IF(Table1[[#This Row],[Is Data Valid]]=TRUE,((Table1[[#This Row],[Birthweight (grams)]]*1.1/Table1[[#This Row],[BW_GA]])-1)/(Backend!$B$4/100*Table1[[#This Row],[BW40_3705]]),"")</f>
        <v/>
      </c>
      <c r="J4786" s="7" t="str">
        <f>IF(Table1[[#This Row],[Is Data Valid]]=TRUE,_xlfn.NORM.S.DIST(Table1[[#This Row],[Birthweight Z-Score]],TRUE)*100,"")</f>
        <v/>
      </c>
      <c r="K4786" s="7" t="str">
        <f>IF(Table1[[#This Row],[Is Data Valid]]=TRUE,_xlfn.NORM.S.DIST(Table1[[#This Row],[Birthweight Z-Score (BW-10%)]],TRUE)*100,"")</f>
        <v/>
      </c>
      <c r="L4786" s="7" t="str">
        <f>IF(Table1[[#This Row],[Is Data Valid]]=TRUE,_xlfn.NORM.S.DIST(Table1[[#This Row],[Birthweight Z-Score (BW+10%)]],TRUE)*100,"")</f>
        <v/>
      </c>
    </row>
    <row r="4787" spans="1:12" x14ac:dyDescent="0.35">
      <c r="A4787" s="3"/>
      <c r="B4787" s="2"/>
      <c r="C4787" s="2"/>
      <c r="D4787" s="2" t="b">
        <f>IF(AND(NOT(ISBLANK(Table1[[#This Row],[Fetal Sex (Male, Female or Unknown)]])),ISNUMBER(Table1[[#This Row],[Birthweight (grams)]]),ISNUMBER(Table1[[#This Row],[Gestation (days)]])),TRUE,FALSE)</f>
        <v>0</v>
      </c>
      <c r="E4787" s="2" t="str">
        <f>IF(Table1[[#This Row],[Is Data Valid]]=TRUE,IF(Table1[[#This Row],[Fetal Sex (Male, Female or Unknown)]]="Male",Backend!$C$6,IF(Table1[[#This Row],[Fetal Sex (Male, Female or Unknown)]]="Female",Backend!$C$7,IF(Table1[[#This Row],[Fetal Sex (Male, Female or Unknown)]]="Unknown",Backend!$C$8,"Error"))),"")</f>
        <v/>
      </c>
      <c r="F4787" s="8" t="str">
        <f>IF(Table1[[#This Row],[Is Data Valid]]=TRUE,EXP(0.578+0.332*((Table1[[#This Row],[Gestation (days)]]+0.5)/7)-0.00354*((Table1[[#This Row],[Gestation (days)]]+0.5)/7)^2)*Table1[[#This Row],[BW40_3705]],"")</f>
        <v/>
      </c>
      <c r="G4787" s="2" t="str">
        <f>IF(Table1[[#This Row],[Is Data Valid]]=TRUE,((Table1[[#This Row],[Birthweight (grams)]]/Table1[[#This Row],[BW_GA]])-1)/(Backend!$B$4/100*Table1[[#This Row],[BW40_3705]]),"")</f>
        <v/>
      </c>
      <c r="H4787" s="7" t="str">
        <f>IF(Table1[[#This Row],[Is Data Valid]]=TRUE,((Table1[[#This Row],[Birthweight (grams)]]*0.9/Table1[[#This Row],[BW_GA]])-1)/(Backend!$B$4/100*Table1[[#This Row],[BW40_3705]]),"")</f>
        <v/>
      </c>
      <c r="I4787" s="7" t="str">
        <f>IF(Table1[[#This Row],[Is Data Valid]]=TRUE,((Table1[[#This Row],[Birthweight (grams)]]*1.1/Table1[[#This Row],[BW_GA]])-1)/(Backend!$B$4/100*Table1[[#This Row],[BW40_3705]]),"")</f>
        <v/>
      </c>
      <c r="J4787" s="7" t="str">
        <f>IF(Table1[[#This Row],[Is Data Valid]]=TRUE,_xlfn.NORM.S.DIST(Table1[[#This Row],[Birthweight Z-Score]],TRUE)*100,"")</f>
        <v/>
      </c>
      <c r="K4787" s="7" t="str">
        <f>IF(Table1[[#This Row],[Is Data Valid]]=TRUE,_xlfn.NORM.S.DIST(Table1[[#This Row],[Birthweight Z-Score (BW-10%)]],TRUE)*100,"")</f>
        <v/>
      </c>
      <c r="L4787" s="7" t="str">
        <f>IF(Table1[[#This Row],[Is Data Valid]]=TRUE,_xlfn.NORM.S.DIST(Table1[[#This Row],[Birthweight Z-Score (BW+10%)]],TRUE)*100,"")</f>
        <v/>
      </c>
    </row>
    <row r="4788" spans="1:12" x14ac:dyDescent="0.35">
      <c r="A4788" s="3"/>
      <c r="B4788" s="2"/>
      <c r="C4788" s="2"/>
      <c r="D4788" s="2" t="b">
        <f>IF(AND(NOT(ISBLANK(Table1[[#This Row],[Fetal Sex (Male, Female or Unknown)]])),ISNUMBER(Table1[[#This Row],[Birthweight (grams)]]),ISNUMBER(Table1[[#This Row],[Gestation (days)]])),TRUE,FALSE)</f>
        <v>0</v>
      </c>
      <c r="E4788" s="2" t="str">
        <f>IF(Table1[[#This Row],[Is Data Valid]]=TRUE,IF(Table1[[#This Row],[Fetal Sex (Male, Female or Unknown)]]="Male",Backend!$C$6,IF(Table1[[#This Row],[Fetal Sex (Male, Female or Unknown)]]="Female",Backend!$C$7,IF(Table1[[#This Row],[Fetal Sex (Male, Female or Unknown)]]="Unknown",Backend!$C$8,"Error"))),"")</f>
        <v/>
      </c>
      <c r="F4788" s="8" t="str">
        <f>IF(Table1[[#This Row],[Is Data Valid]]=TRUE,EXP(0.578+0.332*((Table1[[#This Row],[Gestation (days)]]+0.5)/7)-0.00354*((Table1[[#This Row],[Gestation (days)]]+0.5)/7)^2)*Table1[[#This Row],[BW40_3705]],"")</f>
        <v/>
      </c>
      <c r="G4788" s="2" t="str">
        <f>IF(Table1[[#This Row],[Is Data Valid]]=TRUE,((Table1[[#This Row],[Birthweight (grams)]]/Table1[[#This Row],[BW_GA]])-1)/(Backend!$B$4/100*Table1[[#This Row],[BW40_3705]]),"")</f>
        <v/>
      </c>
      <c r="H4788" s="7" t="str">
        <f>IF(Table1[[#This Row],[Is Data Valid]]=TRUE,((Table1[[#This Row],[Birthweight (grams)]]*0.9/Table1[[#This Row],[BW_GA]])-1)/(Backend!$B$4/100*Table1[[#This Row],[BW40_3705]]),"")</f>
        <v/>
      </c>
      <c r="I4788" s="7" t="str">
        <f>IF(Table1[[#This Row],[Is Data Valid]]=TRUE,((Table1[[#This Row],[Birthweight (grams)]]*1.1/Table1[[#This Row],[BW_GA]])-1)/(Backend!$B$4/100*Table1[[#This Row],[BW40_3705]]),"")</f>
        <v/>
      </c>
      <c r="J4788" s="7" t="str">
        <f>IF(Table1[[#This Row],[Is Data Valid]]=TRUE,_xlfn.NORM.S.DIST(Table1[[#This Row],[Birthweight Z-Score]],TRUE)*100,"")</f>
        <v/>
      </c>
      <c r="K4788" s="7" t="str">
        <f>IF(Table1[[#This Row],[Is Data Valid]]=TRUE,_xlfn.NORM.S.DIST(Table1[[#This Row],[Birthweight Z-Score (BW-10%)]],TRUE)*100,"")</f>
        <v/>
      </c>
      <c r="L4788" s="7" t="str">
        <f>IF(Table1[[#This Row],[Is Data Valid]]=TRUE,_xlfn.NORM.S.DIST(Table1[[#This Row],[Birthweight Z-Score (BW+10%)]],TRUE)*100,"")</f>
        <v/>
      </c>
    </row>
    <row r="4789" spans="1:12" x14ac:dyDescent="0.35">
      <c r="A4789" s="3"/>
      <c r="B4789" s="2"/>
      <c r="C4789" s="2"/>
      <c r="D4789" s="2" t="b">
        <f>IF(AND(NOT(ISBLANK(Table1[[#This Row],[Fetal Sex (Male, Female or Unknown)]])),ISNUMBER(Table1[[#This Row],[Birthweight (grams)]]),ISNUMBER(Table1[[#This Row],[Gestation (days)]])),TRUE,FALSE)</f>
        <v>0</v>
      </c>
      <c r="E4789" s="2" t="str">
        <f>IF(Table1[[#This Row],[Is Data Valid]]=TRUE,IF(Table1[[#This Row],[Fetal Sex (Male, Female or Unknown)]]="Male",Backend!$C$6,IF(Table1[[#This Row],[Fetal Sex (Male, Female or Unknown)]]="Female",Backend!$C$7,IF(Table1[[#This Row],[Fetal Sex (Male, Female or Unknown)]]="Unknown",Backend!$C$8,"Error"))),"")</f>
        <v/>
      </c>
      <c r="F4789" s="8" t="str">
        <f>IF(Table1[[#This Row],[Is Data Valid]]=TRUE,EXP(0.578+0.332*((Table1[[#This Row],[Gestation (days)]]+0.5)/7)-0.00354*((Table1[[#This Row],[Gestation (days)]]+0.5)/7)^2)*Table1[[#This Row],[BW40_3705]],"")</f>
        <v/>
      </c>
      <c r="G4789" s="2" t="str">
        <f>IF(Table1[[#This Row],[Is Data Valid]]=TRUE,((Table1[[#This Row],[Birthweight (grams)]]/Table1[[#This Row],[BW_GA]])-1)/(Backend!$B$4/100*Table1[[#This Row],[BW40_3705]]),"")</f>
        <v/>
      </c>
      <c r="H4789" s="7" t="str">
        <f>IF(Table1[[#This Row],[Is Data Valid]]=TRUE,((Table1[[#This Row],[Birthweight (grams)]]*0.9/Table1[[#This Row],[BW_GA]])-1)/(Backend!$B$4/100*Table1[[#This Row],[BW40_3705]]),"")</f>
        <v/>
      </c>
      <c r="I4789" s="7" t="str">
        <f>IF(Table1[[#This Row],[Is Data Valid]]=TRUE,((Table1[[#This Row],[Birthweight (grams)]]*1.1/Table1[[#This Row],[BW_GA]])-1)/(Backend!$B$4/100*Table1[[#This Row],[BW40_3705]]),"")</f>
        <v/>
      </c>
      <c r="J4789" s="7" t="str">
        <f>IF(Table1[[#This Row],[Is Data Valid]]=TRUE,_xlfn.NORM.S.DIST(Table1[[#This Row],[Birthweight Z-Score]],TRUE)*100,"")</f>
        <v/>
      </c>
      <c r="K4789" s="7" t="str">
        <f>IF(Table1[[#This Row],[Is Data Valid]]=TRUE,_xlfn.NORM.S.DIST(Table1[[#This Row],[Birthweight Z-Score (BW-10%)]],TRUE)*100,"")</f>
        <v/>
      </c>
      <c r="L4789" s="7" t="str">
        <f>IF(Table1[[#This Row],[Is Data Valid]]=TRUE,_xlfn.NORM.S.DIST(Table1[[#This Row],[Birthweight Z-Score (BW+10%)]],TRUE)*100,"")</f>
        <v/>
      </c>
    </row>
    <row r="4790" spans="1:12" x14ac:dyDescent="0.35">
      <c r="A4790" s="3"/>
      <c r="B4790" s="2"/>
      <c r="C4790" s="2"/>
      <c r="D4790" s="2" t="b">
        <f>IF(AND(NOT(ISBLANK(Table1[[#This Row],[Fetal Sex (Male, Female or Unknown)]])),ISNUMBER(Table1[[#This Row],[Birthweight (grams)]]),ISNUMBER(Table1[[#This Row],[Gestation (days)]])),TRUE,FALSE)</f>
        <v>0</v>
      </c>
      <c r="E4790" s="2" t="str">
        <f>IF(Table1[[#This Row],[Is Data Valid]]=TRUE,IF(Table1[[#This Row],[Fetal Sex (Male, Female or Unknown)]]="Male",Backend!$C$6,IF(Table1[[#This Row],[Fetal Sex (Male, Female or Unknown)]]="Female",Backend!$C$7,IF(Table1[[#This Row],[Fetal Sex (Male, Female or Unknown)]]="Unknown",Backend!$C$8,"Error"))),"")</f>
        <v/>
      </c>
      <c r="F4790" s="8" t="str">
        <f>IF(Table1[[#This Row],[Is Data Valid]]=TRUE,EXP(0.578+0.332*((Table1[[#This Row],[Gestation (days)]]+0.5)/7)-0.00354*((Table1[[#This Row],[Gestation (days)]]+0.5)/7)^2)*Table1[[#This Row],[BW40_3705]],"")</f>
        <v/>
      </c>
      <c r="G4790" s="2" t="str">
        <f>IF(Table1[[#This Row],[Is Data Valid]]=TRUE,((Table1[[#This Row],[Birthweight (grams)]]/Table1[[#This Row],[BW_GA]])-1)/(Backend!$B$4/100*Table1[[#This Row],[BW40_3705]]),"")</f>
        <v/>
      </c>
      <c r="H4790" s="7" t="str">
        <f>IF(Table1[[#This Row],[Is Data Valid]]=TRUE,((Table1[[#This Row],[Birthweight (grams)]]*0.9/Table1[[#This Row],[BW_GA]])-1)/(Backend!$B$4/100*Table1[[#This Row],[BW40_3705]]),"")</f>
        <v/>
      </c>
      <c r="I4790" s="7" t="str">
        <f>IF(Table1[[#This Row],[Is Data Valid]]=TRUE,((Table1[[#This Row],[Birthweight (grams)]]*1.1/Table1[[#This Row],[BW_GA]])-1)/(Backend!$B$4/100*Table1[[#This Row],[BW40_3705]]),"")</f>
        <v/>
      </c>
      <c r="J4790" s="7" t="str">
        <f>IF(Table1[[#This Row],[Is Data Valid]]=TRUE,_xlfn.NORM.S.DIST(Table1[[#This Row],[Birthweight Z-Score]],TRUE)*100,"")</f>
        <v/>
      </c>
      <c r="K4790" s="7" t="str">
        <f>IF(Table1[[#This Row],[Is Data Valid]]=TRUE,_xlfn.NORM.S.DIST(Table1[[#This Row],[Birthweight Z-Score (BW-10%)]],TRUE)*100,"")</f>
        <v/>
      </c>
      <c r="L4790" s="7" t="str">
        <f>IF(Table1[[#This Row],[Is Data Valid]]=TRUE,_xlfn.NORM.S.DIST(Table1[[#This Row],[Birthweight Z-Score (BW+10%)]],TRUE)*100,"")</f>
        <v/>
      </c>
    </row>
    <row r="4791" spans="1:12" x14ac:dyDescent="0.35">
      <c r="A4791" s="3"/>
      <c r="B4791" s="2"/>
      <c r="C4791" s="2"/>
      <c r="D4791" s="2" t="b">
        <f>IF(AND(NOT(ISBLANK(Table1[[#This Row],[Fetal Sex (Male, Female or Unknown)]])),ISNUMBER(Table1[[#This Row],[Birthweight (grams)]]),ISNUMBER(Table1[[#This Row],[Gestation (days)]])),TRUE,FALSE)</f>
        <v>0</v>
      </c>
      <c r="E4791" s="2" t="str">
        <f>IF(Table1[[#This Row],[Is Data Valid]]=TRUE,IF(Table1[[#This Row],[Fetal Sex (Male, Female or Unknown)]]="Male",Backend!$C$6,IF(Table1[[#This Row],[Fetal Sex (Male, Female or Unknown)]]="Female",Backend!$C$7,IF(Table1[[#This Row],[Fetal Sex (Male, Female or Unknown)]]="Unknown",Backend!$C$8,"Error"))),"")</f>
        <v/>
      </c>
      <c r="F4791" s="8" t="str">
        <f>IF(Table1[[#This Row],[Is Data Valid]]=TRUE,EXP(0.578+0.332*((Table1[[#This Row],[Gestation (days)]]+0.5)/7)-0.00354*((Table1[[#This Row],[Gestation (days)]]+0.5)/7)^2)*Table1[[#This Row],[BW40_3705]],"")</f>
        <v/>
      </c>
      <c r="G4791" s="2" t="str">
        <f>IF(Table1[[#This Row],[Is Data Valid]]=TRUE,((Table1[[#This Row],[Birthweight (grams)]]/Table1[[#This Row],[BW_GA]])-1)/(Backend!$B$4/100*Table1[[#This Row],[BW40_3705]]),"")</f>
        <v/>
      </c>
      <c r="H4791" s="7" t="str">
        <f>IF(Table1[[#This Row],[Is Data Valid]]=TRUE,((Table1[[#This Row],[Birthweight (grams)]]*0.9/Table1[[#This Row],[BW_GA]])-1)/(Backend!$B$4/100*Table1[[#This Row],[BW40_3705]]),"")</f>
        <v/>
      </c>
      <c r="I4791" s="7" t="str">
        <f>IF(Table1[[#This Row],[Is Data Valid]]=TRUE,((Table1[[#This Row],[Birthweight (grams)]]*1.1/Table1[[#This Row],[BW_GA]])-1)/(Backend!$B$4/100*Table1[[#This Row],[BW40_3705]]),"")</f>
        <v/>
      </c>
      <c r="J4791" s="7" t="str">
        <f>IF(Table1[[#This Row],[Is Data Valid]]=TRUE,_xlfn.NORM.S.DIST(Table1[[#This Row],[Birthweight Z-Score]],TRUE)*100,"")</f>
        <v/>
      </c>
      <c r="K4791" s="7" t="str">
        <f>IF(Table1[[#This Row],[Is Data Valid]]=TRUE,_xlfn.NORM.S.DIST(Table1[[#This Row],[Birthweight Z-Score (BW-10%)]],TRUE)*100,"")</f>
        <v/>
      </c>
      <c r="L4791" s="7" t="str">
        <f>IF(Table1[[#This Row],[Is Data Valid]]=TRUE,_xlfn.NORM.S.DIST(Table1[[#This Row],[Birthweight Z-Score (BW+10%)]],TRUE)*100,"")</f>
        <v/>
      </c>
    </row>
    <row r="4792" spans="1:12" x14ac:dyDescent="0.35">
      <c r="A4792" s="3"/>
      <c r="B4792" s="2"/>
      <c r="C4792" s="2"/>
      <c r="D4792" s="2" t="b">
        <f>IF(AND(NOT(ISBLANK(Table1[[#This Row],[Fetal Sex (Male, Female or Unknown)]])),ISNUMBER(Table1[[#This Row],[Birthweight (grams)]]),ISNUMBER(Table1[[#This Row],[Gestation (days)]])),TRUE,FALSE)</f>
        <v>0</v>
      </c>
      <c r="E4792" s="2" t="str">
        <f>IF(Table1[[#This Row],[Is Data Valid]]=TRUE,IF(Table1[[#This Row],[Fetal Sex (Male, Female or Unknown)]]="Male",Backend!$C$6,IF(Table1[[#This Row],[Fetal Sex (Male, Female or Unknown)]]="Female",Backend!$C$7,IF(Table1[[#This Row],[Fetal Sex (Male, Female or Unknown)]]="Unknown",Backend!$C$8,"Error"))),"")</f>
        <v/>
      </c>
      <c r="F4792" s="8" t="str">
        <f>IF(Table1[[#This Row],[Is Data Valid]]=TRUE,EXP(0.578+0.332*((Table1[[#This Row],[Gestation (days)]]+0.5)/7)-0.00354*((Table1[[#This Row],[Gestation (days)]]+0.5)/7)^2)*Table1[[#This Row],[BW40_3705]],"")</f>
        <v/>
      </c>
      <c r="G4792" s="2" t="str">
        <f>IF(Table1[[#This Row],[Is Data Valid]]=TRUE,((Table1[[#This Row],[Birthweight (grams)]]/Table1[[#This Row],[BW_GA]])-1)/(Backend!$B$4/100*Table1[[#This Row],[BW40_3705]]),"")</f>
        <v/>
      </c>
      <c r="H4792" s="7" t="str">
        <f>IF(Table1[[#This Row],[Is Data Valid]]=TRUE,((Table1[[#This Row],[Birthweight (grams)]]*0.9/Table1[[#This Row],[BW_GA]])-1)/(Backend!$B$4/100*Table1[[#This Row],[BW40_3705]]),"")</f>
        <v/>
      </c>
      <c r="I4792" s="7" t="str">
        <f>IF(Table1[[#This Row],[Is Data Valid]]=TRUE,((Table1[[#This Row],[Birthweight (grams)]]*1.1/Table1[[#This Row],[BW_GA]])-1)/(Backend!$B$4/100*Table1[[#This Row],[BW40_3705]]),"")</f>
        <v/>
      </c>
      <c r="J4792" s="7" t="str">
        <f>IF(Table1[[#This Row],[Is Data Valid]]=TRUE,_xlfn.NORM.S.DIST(Table1[[#This Row],[Birthweight Z-Score]],TRUE)*100,"")</f>
        <v/>
      </c>
      <c r="K4792" s="7" t="str">
        <f>IF(Table1[[#This Row],[Is Data Valid]]=TRUE,_xlfn.NORM.S.DIST(Table1[[#This Row],[Birthweight Z-Score (BW-10%)]],TRUE)*100,"")</f>
        <v/>
      </c>
      <c r="L4792" s="7" t="str">
        <f>IF(Table1[[#This Row],[Is Data Valid]]=TRUE,_xlfn.NORM.S.DIST(Table1[[#This Row],[Birthweight Z-Score (BW+10%)]],TRUE)*100,"")</f>
        <v/>
      </c>
    </row>
    <row r="4793" spans="1:12" x14ac:dyDescent="0.35">
      <c r="A4793" s="3"/>
      <c r="B4793" s="2"/>
      <c r="C4793" s="2"/>
      <c r="D4793" s="2" t="b">
        <f>IF(AND(NOT(ISBLANK(Table1[[#This Row],[Fetal Sex (Male, Female or Unknown)]])),ISNUMBER(Table1[[#This Row],[Birthweight (grams)]]),ISNUMBER(Table1[[#This Row],[Gestation (days)]])),TRUE,FALSE)</f>
        <v>0</v>
      </c>
      <c r="E4793" s="2" t="str">
        <f>IF(Table1[[#This Row],[Is Data Valid]]=TRUE,IF(Table1[[#This Row],[Fetal Sex (Male, Female or Unknown)]]="Male",Backend!$C$6,IF(Table1[[#This Row],[Fetal Sex (Male, Female or Unknown)]]="Female",Backend!$C$7,IF(Table1[[#This Row],[Fetal Sex (Male, Female or Unknown)]]="Unknown",Backend!$C$8,"Error"))),"")</f>
        <v/>
      </c>
      <c r="F4793" s="8" t="str">
        <f>IF(Table1[[#This Row],[Is Data Valid]]=TRUE,EXP(0.578+0.332*((Table1[[#This Row],[Gestation (days)]]+0.5)/7)-0.00354*((Table1[[#This Row],[Gestation (days)]]+0.5)/7)^2)*Table1[[#This Row],[BW40_3705]],"")</f>
        <v/>
      </c>
      <c r="G4793" s="2" t="str">
        <f>IF(Table1[[#This Row],[Is Data Valid]]=TRUE,((Table1[[#This Row],[Birthweight (grams)]]/Table1[[#This Row],[BW_GA]])-1)/(Backend!$B$4/100*Table1[[#This Row],[BW40_3705]]),"")</f>
        <v/>
      </c>
      <c r="H4793" s="7" t="str">
        <f>IF(Table1[[#This Row],[Is Data Valid]]=TRUE,((Table1[[#This Row],[Birthweight (grams)]]*0.9/Table1[[#This Row],[BW_GA]])-1)/(Backend!$B$4/100*Table1[[#This Row],[BW40_3705]]),"")</f>
        <v/>
      </c>
      <c r="I4793" s="7" t="str">
        <f>IF(Table1[[#This Row],[Is Data Valid]]=TRUE,((Table1[[#This Row],[Birthweight (grams)]]*1.1/Table1[[#This Row],[BW_GA]])-1)/(Backend!$B$4/100*Table1[[#This Row],[BW40_3705]]),"")</f>
        <v/>
      </c>
      <c r="J4793" s="7" t="str">
        <f>IF(Table1[[#This Row],[Is Data Valid]]=TRUE,_xlfn.NORM.S.DIST(Table1[[#This Row],[Birthweight Z-Score]],TRUE)*100,"")</f>
        <v/>
      </c>
      <c r="K4793" s="7" t="str">
        <f>IF(Table1[[#This Row],[Is Data Valid]]=TRUE,_xlfn.NORM.S.DIST(Table1[[#This Row],[Birthweight Z-Score (BW-10%)]],TRUE)*100,"")</f>
        <v/>
      </c>
      <c r="L4793" s="7" t="str">
        <f>IF(Table1[[#This Row],[Is Data Valid]]=TRUE,_xlfn.NORM.S.DIST(Table1[[#This Row],[Birthweight Z-Score (BW+10%)]],TRUE)*100,"")</f>
        <v/>
      </c>
    </row>
    <row r="4794" spans="1:12" x14ac:dyDescent="0.35">
      <c r="A4794" s="3"/>
      <c r="B4794" s="2"/>
      <c r="C4794" s="2"/>
      <c r="D4794" s="2" t="b">
        <f>IF(AND(NOT(ISBLANK(Table1[[#This Row],[Fetal Sex (Male, Female or Unknown)]])),ISNUMBER(Table1[[#This Row],[Birthweight (grams)]]),ISNUMBER(Table1[[#This Row],[Gestation (days)]])),TRUE,FALSE)</f>
        <v>0</v>
      </c>
      <c r="E4794" s="2" t="str">
        <f>IF(Table1[[#This Row],[Is Data Valid]]=TRUE,IF(Table1[[#This Row],[Fetal Sex (Male, Female or Unknown)]]="Male",Backend!$C$6,IF(Table1[[#This Row],[Fetal Sex (Male, Female or Unknown)]]="Female",Backend!$C$7,IF(Table1[[#This Row],[Fetal Sex (Male, Female or Unknown)]]="Unknown",Backend!$C$8,"Error"))),"")</f>
        <v/>
      </c>
      <c r="F4794" s="8" t="str">
        <f>IF(Table1[[#This Row],[Is Data Valid]]=TRUE,EXP(0.578+0.332*((Table1[[#This Row],[Gestation (days)]]+0.5)/7)-0.00354*((Table1[[#This Row],[Gestation (days)]]+0.5)/7)^2)*Table1[[#This Row],[BW40_3705]],"")</f>
        <v/>
      </c>
      <c r="G4794" s="2" t="str">
        <f>IF(Table1[[#This Row],[Is Data Valid]]=TRUE,((Table1[[#This Row],[Birthweight (grams)]]/Table1[[#This Row],[BW_GA]])-1)/(Backend!$B$4/100*Table1[[#This Row],[BW40_3705]]),"")</f>
        <v/>
      </c>
      <c r="H4794" s="7" t="str">
        <f>IF(Table1[[#This Row],[Is Data Valid]]=TRUE,((Table1[[#This Row],[Birthweight (grams)]]*0.9/Table1[[#This Row],[BW_GA]])-1)/(Backend!$B$4/100*Table1[[#This Row],[BW40_3705]]),"")</f>
        <v/>
      </c>
      <c r="I4794" s="7" t="str">
        <f>IF(Table1[[#This Row],[Is Data Valid]]=TRUE,((Table1[[#This Row],[Birthweight (grams)]]*1.1/Table1[[#This Row],[BW_GA]])-1)/(Backend!$B$4/100*Table1[[#This Row],[BW40_3705]]),"")</f>
        <v/>
      </c>
      <c r="J4794" s="7" t="str">
        <f>IF(Table1[[#This Row],[Is Data Valid]]=TRUE,_xlfn.NORM.S.DIST(Table1[[#This Row],[Birthweight Z-Score]],TRUE)*100,"")</f>
        <v/>
      </c>
      <c r="K4794" s="7" t="str">
        <f>IF(Table1[[#This Row],[Is Data Valid]]=TRUE,_xlfn.NORM.S.DIST(Table1[[#This Row],[Birthweight Z-Score (BW-10%)]],TRUE)*100,"")</f>
        <v/>
      </c>
      <c r="L4794" s="7" t="str">
        <f>IF(Table1[[#This Row],[Is Data Valid]]=TRUE,_xlfn.NORM.S.DIST(Table1[[#This Row],[Birthweight Z-Score (BW+10%)]],TRUE)*100,"")</f>
        <v/>
      </c>
    </row>
    <row r="4795" spans="1:12" x14ac:dyDescent="0.35">
      <c r="A4795" s="3"/>
      <c r="B4795" s="2"/>
      <c r="C4795" s="2"/>
      <c r="D4795" s="2" t="b">
        <f>IF(AND(NOT(ISBLANK(Table1[[#This Row],[Fetal Sex (Male, Female or Unknown)]])),ISNUMBER(Table1[[#This Row],[Birthweight (grams)]]),ISNUMBER(Table1[[#This Row],[Gestation (days)]])),TRUE,FALSE)</f>
        <v>0</v>
      </c>
      <c r="E4795" s="2" t="str">
        <f>IF(Table1[[#This Row],[Is Data Valid]]=TRUE,IF(Table1[[#This Row],[Fetal Sex (Male, Female or Unknown)]]="Male",Backend!$C$6,IF(Table1[[#This Row],[Fetal Sex (Male, Female or Unknown)]]="Female",Backend!$C$7,IF(Table1[[#This Row],[Fetal Sex (Male, Female or Unknown)]]="Unknown",Backend!$C$8,"Error"))),"")</f>
        <v/>
      </c>
      <c r="F4795" s="8" t="str">
        <f>IF(Table1[[#This Row],[Is Data Valid]]=TRUE,EXP(0.578+0.332*((Table1[[#This Row],[Gestation (days)]]+0.5)/7)-0.00354*((Table1[[#This Row],[Gestation (days)]]+0.5)/7)^2)*Table1[[#This Row],[BW40_3705]],"")</f>
        <v/>
      </c>
      <c r="G4795" s="2" t="str">
        <f>IF(Table1[[#This Row],[Is Data Valid]]=TRUE,((Table1[[#This Row],[Birthweight (grams)]]/Table1[[#This Row],[BW_GA]])-1)/(Backend!$B$4/100*Table1[[#This Row],[BW40_3705]]),"")</f>
        <v/>
      </c>
      <c r="H4795" s="7" t="str">
        <f>IF(Table1[[#This Row],[Is Data Valid]]=TRUE,((Table1[[#This Row],[Birthweight (grams)]]*0.9/Table1[[#This Row],[BW_GA]])-1)/(Backend!$B$4/100*Table1[[#This Row],[BW40_3705]]),"")</f>
        <v/>
      </c>
      <c r="I4795" s="7" t="str">
        <f>IF(Table1[[#This Row],[Is Data Valid]]=TRUE,((Table1[[#This Row],[Birthweight (grams)]]*1.1/Table1[[#This Row],[BW_GA]])-1)/(Backend!$B$4/100*Table1[[#This Row],[BW40_3705]]),"")</f>
        <v/>
      </c>
      <c r="J4795" s="7" t="str">
        <f>IF(Table1[[#This Row],[Is Data Valid]]=TRUE,_xlfn.NORM.S.DIST(Table1[[#This Row],[Birthweight Z-Score]],TRUE)*100,"")</f>
        <v/>
      </c>
      <c r="K4795" s="7" t="str">
        <f>IF(Table1[[#This Row],[Is Data Valid]]=TRUE,_xlfn.NORM.S.DIST(Table1[[#This Row],[Birthweight Z-Score (BW-10%)]],TRUE)*100,"")</f>
        <v/>
      </c>
      <c r="L4795" s="7" t="str">
        <f>IF(Table1[[#This Row],[Is Data Valid]]=TRUE,_xlfn.NORM.S.DIST(Table1[[#This Row],[Birthweight Z-Score (BW+10%)]],TRUE)*100,"")</f>
        <v/>
      </c>
    </row>
    <row r="4796" spans="1:12" x14ac:dyDescent="0.35">
      <c r="A4796" s="3"/>
      <c r="B4796" s="2"/>
      <c r="C4796" s="2"/>
      <c r="D4796" s="2" t="b">
        <f>IF(AND(NOT(ISBLANK(Table1[[#This Row],[Fetal Sex (Male, Female or Unknown)]])),ISNUMBER(Table1[[#This Row],[Birthweight (grams)]]),ISNUMBER(Table1[[#This Row],[Gestation (days)]])),TRUE,FALSE)</f>
        <v>0</v>
      </c>
      <c r="E4796" s="2" t="str">
        <f>IF(Table1[[#This Row],[Is Data Valid]]=TRUE,IF(Table1[[#This Row],[Fetal Sex (Male, Female or Unknown)]]="Male",Backend!$C$6,IF(Table1[[#This Row],[Fetal Sex (Male, Female or Unknown)]]="Female",Backend!$C$7,IF(Table1[[#This Row],[Fetal Sex (Male, Female or Unknown)]]="Unknown",Backend!$C$8,"Error"))),"")</f>
        <v/>
      </c>
      <c r="F4796" s="8" t="str">
        <f>IF(Table1[[#This Row],[Is Data Valid]]=TRUE,EXP(0.578+0.332*((Table1[[#This Row],[Gestation (days)]]+0.5)/7)-0.00354*((Table1[[#This Row],[Gestation (days)]]+0.5)/7)^2)*Table1[[#This Row],[BW40_3705]],"")</f>
        <v/>
      </c>
      <c r="G4796" s="2" t="str">
        <f>IF(Table1[[#This Row],[Is Data Valid]]=TRUE,((Table1[[#This Row],[Birthweight (grams)]]/Table1[[#This Row],[BW_GA]])-1)/(Backend!$B$4/100*Table1[[#This Row],[BW40_3705]]),"")</f>
        <v/>
      </c>
      <c r="H4796" s="7" t="str">
        <f>IF(Table1[[#This Row],[Is Data Valid]]=TRUE,((Table1[[#This Row],[Birthweight (grams)]]*0.9/Table1[[#This Row],[BW_GA]])-1)/(Backend!$B$4/100*Table1[[#This Row],[BW40_3705]]),"")</f>
        <v/>
      </c>
      <c r="I4796" s="7" t="str">
        <f>IF(Table1[[#This Row],[Is Data Valid]]=TRUE,((Table1[[#This Row],[Birthweight (grams)]]*1.1/Table1[[#This Row],[BW_GA]])-1)/(Backend!$B$4/100*Table1[[#This Row],[BW40_3705]]),"")</f>
        <v/>
      </c>
      <c r="J4796" s="7" t="str">
        <f>IF(Table1[[#This Row],[Is Data Valid]]=TRUE,_xlfn.NORM.S.DIST(Table1[[#This Row],[Birthweight Z-Score]],TRUE)*100,"")</f>
        <v/>
      </c>
      <c r="K4796" s="7" t="str">
        <f>IF(Table1[[#This Row],[Is Data Valid]]=TRUE,_xlfn.NORM.S.DIST(Table1[[#This Row],[Birthweight Z-Score (BW-10%)]],TRUE)*100,"")</f>
        <v/>
      </c>
      <c r="L4796" s="7" t="str">
        <f>IF(Table1[[#This Row],[Is Data Valid]]=TRUE,_xlfn.NORM.S.DIST(Table1[[#This Row],[Birthweight Z-Score (BW+10%)]],TRUE)*100,"")</f>
        <v/>
      </c>
    </row>
    <row r="4797" spans="1:12" x14ac:dyDescent="0.35">
      <c r="A4797" s="3"/>
      <c r="B4797" s="2"/>
      <c r="C4797" s="2"/>
      <c r="D4797" s="2" t="b">
        <f>IF(AND(NOT(ISBLANK(Table1[[#This Row],[Fetal Sex (Male, Female or Unknown)]])),ISNUMBER(Table1[[#This Row],[Birthweight (grams)]]),ISNUMBER(Table1[[#This Row],[Gestation (days)]])),TRUE,FALSE)</f>
        <v>0</v>
      </c>
      <c r="E4797" s="2" t="str">
        <f>IF(Table1[[#This Row],[Is Data Valid]]=TRUE,IF(Table1[[#This Row],[Fetal Sex (Male, Female or Unknown)]]="Male",Backend!$C$6,IF(Table1[[#This Row],[Fetal Sex (Male, Female or Unknown)]]="Female",Backend!$C$7,IF(Table1[[#This Row],[Fetal Sex (Male, Female or Unknown)]]="Unknown",Backend!$C$8,"Error"))),"")</f>
        <v/>
      </c>
      <c r="F4797" s="8" t="str">
        <f>IF(Table1[[#This Row],[Is Data Valid]]=TRUE,EXP(0.578+0.332*((Table1[[#This Row],[Gestation (days)]]+0.5)/7)-0.00354*((Table1[[#This Row],[Gestation (days)]]+0.5)/7)^2)*Table1[[#This Row],[BW40_3705]],"")</f>
        <v/>
      </c>
      <c r="G4797" s="2" t="str">
        <f>IF(Table1[[#This Row],[Is Data Valid]]=TRUE,((Table1[[#This Row],[Birthweight (grams)]]/Table1[[#This Row],[BW_GA]])-1)/(Backend!$B$4/100*Table1[[#This Row],[BW40_3705]]),"")</f>
        <v/>
      </c>
      <c r="H4797" s="7" t="str">
        <f>IF(Table1[[#This Row],[Is Data Valid]]=TRUE,((Table1[[#This Row],[Birthweight (grams)]]*0.9/Table1[[#This Row],[BW_GA]])-1)/(Backend!$B$4/100*Table1[[#This Row],[BW40_3705]]),"")</f>
        <v/>
      </c>
      <c r="I4797" s="7" t="str">
        <f>IF(Table1[[#This Row],[Is Data Valid]]=TRUE,((Table1[[#This Row],[Birthweight (grams)]]*1.1/Table1[[#This Row],[BW_GA]])-1)/(Backend!$B$4/100*Table1[[#This Row],[BW40_3705]]),"")</f>
        <v/>
      </c>
      <c r="J4797" s="7" t="str">
        <f>IF(Table1[[#This Row],[Is Data Valid]]=TRUE,_xlfn.NORM.S.DIST(Table1[[#This Row],[Birthweight Z-Score]],TRUE)*100,"")</f>
        <v/>
      </c>
      <c r="K4797" s="7" t="str">
        <f>IF(Table1[[#This Row],[Is Data Valid]]=TRUE,_xlfn.NORM.S.DIST(Table1[[#This Row],[Birthweight Z-Score (BW-10%)]],TRUE)*100,"")</f>
        <v/>
      </c>
      <c r="L4797" s="7" t="str">
        <f>IF(Table1[[#This Row],[Is Data Valid]]=TRUE,_xlfn.NORM.S.DIST(Table1[[#This Row],[Birthweight Z-Score (BW+10%)]],TRUE)*100,"")</f>
        <v/>
      </c>
    </row>
    <row r="4798" spans="1:12" x14ac:dyDescent="0.35">
      <c r="A4798" s="3"/>
      <c r="B4798" s="2"/>
      <c r="C4798" s="2"/>
      <c r="D4798" s="2" t="b">
        <f>IF(AND(NOT(ISBLANK(Table1[[#This Row],[Fetal Sex (Male, Female or Unknown)]])),ISNUMBER(Table1[[#This Row],[Birthweight (grams)]]),ISNUMBER(Table1[[#This Row],[Gestation (days)]])),TRUE,FALSE)</f>
        <v>0</v>
      </c>
      <c r="E4798" s="2" t="str">
        <f>IF(Table1[[#This Row],[Is Data Valid]]=TRUE,IF(Table1[[#This Row],[Fetal Sex (Male, Female or Unknown)]]="Male",Backend!$C$6,IF(Table1[[#This Row],[Fetal Sex (Male, Female or Unknown)]]="Female",Backend!$C$7,IF(Table1[[#This Row],[Fetal Sex (Male, Female or Unknown)]]="Unknown",Backend!$C$8,"Error"))),"")</f>
        <v/>
      </c>
      <c r="F4798" s="8" t="str">
        <f>IF(Table1[[#This Row],[Is Data Valid]]=TRUE,EXP(0.578+0.332*((Table1[[#This Row],[Gestation (days)]]+0.5)/7)-0.00354*((Table1[[#This Row],[Gestation (days)]]+0.5)/7)^2)*Table1[[#This Row],[BW40_3705]],"")</f>
        <v/>
      </c>
      <c r="G4798" s="2" t="str">
        <f>IF(Table1[[#This Row],[Is Data Valid]]=TRUE,((Table1[[#This Row],[Birthweight (grams)]]/Table1[[#This Row],[BW_GA]])-1)/(Backend!$B$4/100*Table1[[#This Row],[BW40_3705]]),"")</f>
        <v/>
      </c>
      <c r="H4798" s="7" t="str">
        <f>IF(Table1[[#This Row],[Is Data Valid]]=TRUE,((Table1[[#This Row],[Birthweight (grams)]]*0.9/Table1[[#This Row],[BW_GA]])-1)/(Backend!$B$4/100*Table1[[#This Row],[BW40_3705]]),"")</f>
        <v/>
      </c>
      <c r="I4798" s="7" t="str">
        <f>IF(Table1[[#This Row],[Is Data Valid]]=TRUE,((Table1[[#This Row],[Birthweight (grams)]]*1.1/Table1[[#This Row],[BW_GA]])-1)/(Backend!$B$4/100*Table1[[#This Row],[BW40_3705]]),"")</f>
        <v/>
      </c>
      <c r="J4798" s="7" t="str">
        <f>IF(Table1[[#This Row],[Is Data Valid]]=TRUE,_xlfn.NORM.S.DIST(Table1[[#This Row],[Birthweight Z-Score]],TRUE)*100,"")</f>
        <v/>
      </c>
      <c r="K4798" s="7" t="str">
        <f>IF(Table1[[#This Row],[Is Data Valid]]=TRUE,_xlfn.NORM.S.DIST(Table1[[#This Row],[Birthweight Z-Score (BW-10%)]],TRUE)*100,"")</f>
        <v/>
      </c>
      <c r="L4798" s="7" t="str">
        <f>IF(Table1[[#This Row],[Is Data Valid]]=TRUE,_xlfn.NORM.S.DIST(Table1[[#This Row],[Birthweight Z-Score (BW+10%)]],TRUE)*100,"")</f>
        <v/>
      </c>
    </row>
    <row r="4799" spans="1:12" x14ac:dyDescent="0.35">
      <c r="A4799" s="3"/>
      <c r="B4799" s="2"/>
      <c r="C4799" s="2"/>
      <c r="D4799" s="2" t="b">
        <f>IF(AND(NOT(ISBLANK(Table1[[#This Row],[Fetal Sex (Male, Female or Unknown)]])),ISNUMBER(Table1[[#This Row],[Birthweight (grams)]]),ISNUMBER(Table1[[#This Row],[Gestation (days)]])),TRUE,FALSE)</f>
        <v>0</v>
      </c>
      <c r="E4799" s="2" t="str">
        <f>IF(Table1[[#This Row],[Is Data Valid]]=TRUE,IF(Table1[[#This Row],[Fetal Sex (Male, Female or Unknown)]]="Male",Backend!$C$6,IF(Table1[[#This Row],[Fetal Sex (Male, Female or Unknown)]]="Female",Backend!$C$7,IF(Table1[[#This Row],[Fetal Sex (Male, Female or Unknown)]]="Unknown",Backend!$C$8,"Error"))),"")</f>
        <v/>
      </c>
      <c r="F4799" s="8" t="str">
        <f>IF(Table1[[#This Row],[Is Data Valid]]=TRUE,EXP(0.578+0.332*((Table1[[#This Row],[Gestation (days)]]+0.5)/7)-0.00354*((Table1[[#This Row],[Gestation (days)]]+0.5)/7)^2)*Table1[[#This Row],[BW40_3705]],"")</f>
        <v/>
      </c>
      <c r="G4799" s="2" t="str">
        <f>IF(Table1[[#This Row],[Is Data Valid]]=TRUE,((Table1[[#This Row],[Birthweight (grams)]]/Table1[[#This Row],[BW_GA]])-1)/(Backend!$B$4/100*Table1[[#This Row],[BW40_3705]]),"")</f>
        <v/>
      </c>
      <c r="H4799" s="7" t="str">
        <f>IF(Table1[[#This Row],[Is Data Valid]]=TRUE,((Table1[[#This Row],[Birthweight (grams)]]*0.9/Table1[[#This Row],[BW_GA]])-1)/(Backend!$B$4/100*Table1[[#This Row],[BW40_3705]]),"")</f>
        <v/>
      </c>
      <c r="I4799" s="7" t="str">
        <f>IF(Table1[[#This Row],[Is Data Valid]]=TRUE,((Table1[[#This Row],[Birthweight (grams)]]*1.1/Table1[[#This Row],[BW_GA]])-1)/(Backend!$B$4/100*Table1[[#This Row],[BW40_3705]]),"")</f>
        <v/>
      </c>
      <c r="J4799" s="7" t="str">
        <f>IF(Table1[[#This Row],[Is Data Valid]]=TRUE,_xlfn.NORM.S.DIST(Table1[[#This Row],[Birthweight Z-Score]],TRUE)*100,"")</f>
        <v/>
      </c>
      <c r="K4799" s="7" t="str">
        <f>IF(Table1[[#This Row],[Is Data Valid]]=TRUE,_xlfn.NORM.S.DIST(Table1[[#This Row],[Birthweight Z-Score (BW-10%)]],TRUE)*100,"")</f>
        <v/>
      </c>
      <c r="L4799" s="7" t="str">
        <f>IF(Table1[[#This Row],[Is Data Valid]]=TRUE,_xlfn.NORM.S.DIST(Table1[[#This Row],[Birthweight Z-Score (BW+10%)]],TRUE)*100,"")</f>
        <v/>
      </c>
    </row>
    <row r="4800" spans="1:12" x14ac:dyDescent="0.35">
      <c r="A4800" s="3"/>
      <c r="B4800" s="2"/>
      <c r="C4800" s="2"/>
      <c r="D4800" s="2" t="b">
        <f>IF(AND(NOT(ISBLANK(Table1[[#This Row],[Fetal Sex (Male, Female or Unknown)]])),ISNUMBER(Table1[[#This Row],[Birthweight (grams)]]),ISNUMBER(Table1[[#This Row],[Gestation (days)]])),TRUE,FALSE)</f>
        <v>0</v>
      </c>
      <c r="E4800" s="2" t="str">
        <f>IF(Table1[[#This Row],[Is Data Valid]]=TRUE,IF(Table1[[#This Row],[Fetal Sex (Male, Female or Unknown)]]="Male",Backend!$C$6,IF(Table1[[#This Row],[Fetal Sex (Male, Female or Unknown)]]="Female",Backend!$C$7,IF(Table1[[#This Row],[Fetal Sex (Male, Female or Unknown)]]="Unknown",Backend!$C$8,"Error"))),"")</f>
        <v/>
      </c>
      <c r="F4800" s="8" t="str">
        <f>IF(Table1[[#This Row],[Is Data Valid]]=TRUE,EXP(0.578+0.332*((Table1[[#This Row],[Gestation (days)]]+0.5)/7)-0.00354*((Table1[[#This Row],[Gestation (days)]]+0.5)/7)^2)*Table1[[#This Row],[BW40_3705]],"")</f>
        <v/>
      </c>
      <c r="G4800" s="2" t="str">
        <f>IF(Table1[[#This Row],[Is Data Valid]]=TRUE,((Table1[[#This Row],[Birthweight (grams)]]/Table1[[#This Row],[BW_GA]])-1)/(Backend!$B$4/100*Table1[[#This Row],[BW40_3705]]),"")</f>
        <v/>
      </c>
      <c r="H4800" s="7" t="str">
        <f>IF(Table1[[#This Row],[Is Data Valid]]=TRUE,((Table1[[#This Row],[Birthweight (grams)]]*0.9/Table1[[#This Row],[BW_GA]])-1)/(Backend!$B$4/100*Table1[[#This Row],[BW40_3705]]),"")</f>
        <v/>
      </c>
      <c r="I4800" s="7" t="str">
        <f>IF(Table1[[#This Row],[Is Data Valid]]=TRUE,((Table1[[#This Row],[Birthweight (grams)]]*1.1/Table1[[#This Row],[BW_GA]])-1)/(Backend!$B$4/100*Table1[[#This Row],[BW40_3705]]),"")</f>
        <v/>
      </c>
      <c r="J4800" s="7" t="str">
        <f>IF(Table1[[#This Row],[Is Data Valid]]=TRUE,_xlfn.NORM.S.DIST(Table1[[#This Row],[Birthweight Z-Score]],TRUE)*100,"")</f>
        <v/>
      </c>
      <c r="K4800" s="7" t="str">
        <f>IF(Table1[[#This Row],[Is Data Valid]]=TRUE,_xlfn.NORM.S.DIST(Table1[[#This Row],[Birthweight Z-Score (BW-10%)]],TRUE)*100,"")</f>
        <v/>
      </c>
      <c r="L4800" s="7" t="str">
        <f>IF(Table1[[#This Row],[Is Data Valid]]=TRUE,_xlfn.NORM.S.DIST(Table1[[#This Row],[Birthweight Z-Score (BW+10%)]],TRUE)*100,"")</f>
        <v/>
      </c>
    </row>
    <row r="4801" spans="1:12" x14ac:dyDescent="0.35">
      <c r="A4801" s="3"/>
      <c r="B4801" s="2"/>
      <c r="C4801" s="2"/>
      <c r="D4801" s="2" t="b">
        <f>IF(AND(NOT(ISBLANK(Table1[[#This Row],[Fetal Sex (Male, Female or Unknown)]])),ISNUMBER(Table1[[#This Row],[Birthweight (grams)]]),ISNUMBER(Table1[[#This Row],[Gestation (days)]])),TRUE,FALSE)</f>
        <v>0</v>
      </c>
      <c r="E4801" s="2" t="str">
        <f>IF(Table1[[#This Row],[Is Data Valid]]=TRUE,IF(Table1[[#This Row],[Fetal Sex (Male, Female or Unknown)]]="Male",Backend!$C$6,IF(Table1[[#This Row],[Fetal Sex (Male, Female or Unknown)]]="Female",Backend!$C$7,IF(Table1[[#This Row],[Fetal Sex (Male, Female or Unknown)]]="Unknown",Backend!$C$8,"Error"))),"")</f>
        <v/>
      </c>
      <c r="F4801" s="8" t="str">
        <f>IF(Table1[[#This Row],[Is Data Valid]]=TRUE,EXP(0.578+0.332*((Table1[[#This Row],[Gestation (days)]]+0.5)/7)-0.00354*((Table1[[#This Row],[Gestation (days)]]+0.5)/7)^2)*Table1[[#This Row],[BW40_3705]],"")</f>
        <v/>
      </c>
      <c r="G4801" s="2" t="str">
        <f>IF(Table1[[#This Row],[Is Data Valid]]=TRUE,((Table1[[#This Row],[Birthweight (grams)]]/Table1[[#This Row],[BW_GA]])-1)/(Backend!$B$4/100*Table1[[#This Row],[BW40_3705]]),"")</f>
        <v/>
      </c>
      <c r="H4801" s="7" t="str">
        <f>IF(Table1[[#This Row],[Is Data Valid]]=TRUE,((Table1[[#This Row],[Birthweight (grams)]]*0.9/Table1[[#This Row],[BW_GA]])-1)/(Backend!$B$4/100*Table1[[#This Row],[BW40_3705]]),"")</f>
        <v/>
      </c>
      <c r="I4801" s="7" t="str">
        <f>IF(Table1[[#This Row],[Is Data Valid]]=TRUE,((Table1[[#This Row],[Birthweight (grams)]]*1.1/Table1[[#This Row],[BW_GA]])-1)/(Backend!$B$4/100*Table1[[#This Row],[BW40_3705]]),"")</f>
        <v/>
      </c>
      <c r="J4801" s="7" t="str">
        <f>IF(Table1[[#This Row],[Is Data Valid]]=TRUE,_xlfn.NORM.S.DIST(Table1[[#This Row],[Birthweight Z-Score]],TRUE)*100,"")</f>
        <v/>
      </c>
      <c r="K4801" s="7" t="str">
        <f>IF(Table1[[#This Row],[Is Data Valid]]=TRUE,_xlfn.NORM.S.DIST(Table1[[#This Row],[Birthweight Z-Score (BW-10%)]],TRUE)*100,"")</f>
        <v/>
      </c>
      <c r="L4801" s="7" t="str">
        <f>IF(Table1[[#This Row],[Is Data Valid]]=TRUE,_xlfn.NORM.S.DIST(Table1[[#This Row],[Birthweight Z-Score (BW+10%)]],TRUE)*100,"")</f>
        <v/>
      </c>
    </row>
    <row r="4802" spans="1:12" x14ac:dyDescent="0.35">
      <c r="A4802" s="3"/>
      <c r="B4802" s="2"/>
      <c r="C4802" s="2"/>
      <c r="D4802" s="2" t="b">
        <f>IF(AND(NOT(ISBLANK(Table1[[#This Row],[Fetal Sex (Male, Female or Unknown)]])),ISNUMBER(Table1[[#This Row],[Birthweight (grams)]]),ISNUMBER(Table1[[#This Row],[Gestation (days)]])),TRUE,FALSE)</f>
        <v>0</v>
      </c>
      <c r="E4802" s="2" t="str">
        <f>IF(Table1[[#This Row],[Is Data Valid]]=TRUE,IF(Table1[[#This Row],[Fetal Sex (Male, Female or Unknown)]]="Male",Backend!$C$6,IF(Table1[[#This Row],[Fetal Sex (Male, Female or Unknown)]]="Female",Backend!$C$7,IF(Table1[[#This Row],[Fetal Sex (Male, Female or Unknown)]]="Unknown",Backend!$C$8,"Error"))),"")</f>
        <v/>
      </c>
      <c r="F4802" s="8" t="str">
        <f>IF(Table1[[#This Row],[Is Data Valid]]=TRUE,EXP(0.578+0.332*((Table1[[#This Row],[Gestation (days)]]+0.5)/7)-0.00354*((Table1[[#This Row],[Gestation (days)]]+0.5)/7)^2)*Table1[[#This Row],[BW40_3705]],"")</f>
        <v/>
      </c>
      <c r="G4802" s="2" t="str">
        <f>IF(Table1[[#This Row],[Is Data Valid]]=TRUE,((Table1[[#This Row],[Birthweight (grams)]]/Table1[[#This Row],[BW_GA]])-1)/(Backend!$B$4/100*Table1[[#This Row],[BW40_3705]]),"")</f>
        <v/>
      </c>
      <c r="H4802" s="7" t="str">
        <f>IF(Table1[[#This Row],[Is Data Valid]]=TRUE,((Table1[[#This Row],[Birthweight (grams)]]*0.9/Table1[[#This Row],[BW_GA]])-1)/(Backend!$B$4/100*Table1[[#This Row],[BW40_3705]]),"")</f>
        <v/>
      </c>
      <c r="I4802" s="7" t="str">
        <f>IF(Table1[[#This Row],[Is Data Valid]]=TRUE,((Table1[[#This Row],[Birthweight (grams)]]*1.1/Table1[[#This Row],[BW_GA]])-1)/(Backend!$B$4/100*Table1[[#This Row],[BW40_3705]]),"")</f>
        <v/>
      </c>
      <c r="J4802" s="7" t="str">
        <f>IF(Table1[[#This Row],[Is Data Valid]]=TRUE,_xlfn.NORM.S.DIST(Table1[[#This Row],[Birthweight Z-Score]],TRUE)*100,"")</f>
        <v/>
      </c>
      <c r="K4802" s="7" t="str">
        <f>IF(Table1[[#This Row],[Is Data Valid]]=TRUE,_xlfn.NORM.S.DIST(Table1[[#This Row],[Birthweight Z-Score (BW-10%)]],TRUE)*100,"")</f>
        <v/>
      </c>
      <c r="L4802" s="7" t="str">
        <f>IF(Table1[[#This Row],[Is Data Valid]]=TRUE,_xlfn.NORM.S.DIST(Table1[[#This Row],[Birthweight Z-Score (BW+10%)]],TRUE)*100,"")</f>
        <v/>
      </c>
    </row>
    <row r="4803" spans="1:12" x14ac:dyDescent="0.35">
      <c r="A4803" s="3"/>
      <c r="B4803" s="2"/>
      <c r="C4803" s="2"/>
      <c r="D4803" s="2" t="b">
        <f>IF(AND(NOT(ISBLANK(Table1[[#This Row],[Fetal Sex (Male, Female or Unknown)]])),ISNUMBER(Table1[[#This Row],[Birthweight (grams)]]),ISNUMBER(Table1[[#This Row],[Gestation (days)]])),TRUE,FALSE)</f>
        <v>0</v>
      </c>
      <c r="E4803" s="2" t="str">
        <f>IF(Table1[[#This Row],[Is Data Valid]]=TRUE,IF(Table1[[#This Row],[Fetal Sex (Male, Female or Unknown)]]="Male",Backend!$C$6,IF(Table1[[#This Row],[Fetal Sex (Male, Female or Unknown)]]="Female",Backend!$C$7,IF(Table1[[#This Row],[Fetal Sex (Male, Female or Unknown)]]="Unknown",Backend!$C$8,"Error"))),"")</f>
        <v/>
      </c>
      <c r="F4803" s="8" t="str">
        <f>IF(Table1[[#This Row],[Is Data Valid]]=TRUE,EXP(0.578+0.332*((Table1[[#This Row],[Gestation (days)]]+0.5)/7)-0.00354*((Table1[[#This Row],[Gestation (days)]]+0.5)/7)^2)*Table1[[#This Row],[BW40_3705]],"")</f>
        <v/>
      </c>
      <c r="G4803" s="2" t="str">
        <f>IF(Table1[[#This Row],[Is Data Valid]]=TRUE,((Table1[[#This Row],[Birthweight (grams)]]/Table1[[#This Row],[BW_GA]])-1)/(Backend!$B$4/100*Table1[[#This Row],[BW40_3705]]),"")</f>
        <v/>
      </c>
      <c r="H4803" s="7" t="str">
        <f>IF(Table1[[#This Row],[Is Data Valid]]=TRUE,((Table1[[#This Row],[Birthweight (grams)]]*0.9/Table1[[#This Row],[BW_GA]])-1)/(Backend!$B$4/100*Table1[[#This Row],[BW40_3705]]),"")</f>
        <v/>
      </c>
      <c r="I4803" s="7" t="str">
        <f>IF(Table1[[#This Row],[Is Data Valid]]=TRUE,((Table1[[#This Row],[Birthweight (grams)]]*1.1/Table1[[#This Row],[BW_GA]])-1)/(Backend!$B$4/100*Table1[[#This Row],[BW40_3705]]),"")</f>
        <v/>
      </c>
      <c r="J4803" s="7" t="str">
        <f>IF(Table1[[#This Row],[Is Data Valid]]=TRUE,_xlfn.NORM.S.DIST(Table1[[#This Row],[Birthweight Z-Score]],TRUE)*100,"")</f>
        <v/>
      </c>
      <c r="K4803" s="7" t="str">
        <f>IF(Table1[[#This Row],[Is Data Valid]]=TRUE,_xlfn.NORM.S.DIST(Table1[[#This Row],[Birthweight Z-Score (BW-10%)]],TRUE)*100,"")</f>
        <v/>
      </c>
      <c r="L4803" s="7" t="str">
        <f>IF(Table1[[#This Row],[Is Data Valid]]=TRUE,_xlfn.NORM.S.DIST(Table1[[#This Row],[Birthweight Z-Score (BW+10%)]],TRUE)*100,"")</f>
        <v/>
      </c>
    </row>
    <row r="4804" spans="1:12" x14ac:dyDescent="0.35">
      <c r="A4804" s="3"/>
      <c r="B4804" s="2"/>
      <c r="C4804" s="2"/>
      <c r="D4804" s="2" t="b">
        <f>IF(AND(NOT(ISBLANK(Table1[[#This Row],[Fetal Sex (Male, Female or Unknown)]])),ISNUMBER(Table1[[#This Row],[Birthweight (grams)]]),ISNUMBER(Table1[[#This Row],[Gestation (days)]])),TRUE,FALSE)</f>
        <v>0</v>
      </c>
      <c r="E4804" s="2" t="str">
        <f>IF(Table1[[#This Row],[Is Data Valid]]=TRUE,IF(Table1[[#This Row],[Fetal Sex (Male, Female or Unknown)]]="Male",Backend!$C$6,IF(Table1[[#This Row],[Fetal Sex (Male, Female or Unknown)]]="Female",Backend!$C$7,IF(Table1[[#This Row],[Fetal Sex (Male, Female or Unknown)]]="Unknown",Backend!$C$8,"Error"))),"")</f>
        <v/>
      </c>
      <c r="F4804" s="8" t="str">
        <f>IF(Table1[[#This Row],[Is Data Valid]]=TRUE,EXP(0.578+0.332*((Table1[[#This Row],[Gestation (days)]]+0.5)/7)-0.00354*((Table1[[#This Row],[Gestation (days)]]+0.5)/7)^2)*Table1[[#This Row],[BW40_3705]],"")</f>
        <v/>
      </c>
      <c r="G4804" s="2" t="str">
        <f>IF(Table1[[#This Row],[Is Data Valid]]=TRUE,((Table1[[#This Row],[Birthweight (grams)]]/Table1[[#This Row],[BW_GA]])-1)/(Backend!$B$4/100*Table1[[#This Row],[BW40_3705]]),"")</f>
        <v/>
      </c>
      <c r="H4804" s="7" t="str">
        <f>IF(Table1[[#This Row],[Is Data Valid]]=TRUE,((Table1[[#This Row],[Birthweight (grams)]]*0.9/Table1[[#This Row],[BW_GA]])-1)/(Backend!$B$4/100*Table1[[#This Row],[BW40_3705]]),"")</f>
        <v/>
      </c>
      <c r="I4804" s="7" t="str">
        <f>IF(Table1[[#This Row],[Is Data Valid]]=TRUE,((Table1[[#This Row],[Birthweight (grams)]]*1.1/Table1[[#This Row],[BW_GA]])-1)/(Backend!$B$4/100*Table1[[#This Row],[BW40_3705]]),"")</f>
        <v/>
      </c>
      <c r="J4804" s="7" t="str">
        <f>IF(Table1[[#This Row],[Is Data Valid]]=TRUE,_xlfn.NORM.S.DIST(Table1[[#This Row],[Birthweight Z-Score]],TRUE)*100,"")</f>
        <v/>
      </c>
      <c r="K4804" s="7" t="str">
        <f>IF(Table1[[#This Row],[Is Data Valid]]=TRUE,_xlfn.NORM.S.DIST(Table1[[#This Row],[Birthweight Z-Score (BW-10%)]],TRUE)*100,"")</f>
        <v/>
      </c>
      <c r="L4804" s="7" t="str">
        <f>IF(Table1[[#This Row],[Is Data Valid]]=TRUE,_xlfn.NORM.S.DIST(Table1[[#This Row],[Birthweight Z-Score (BW+10%)]],TRUE)*100,"")</f>
        <v/>
      </c>
    </row>
    <row r="4805" spans="1:12" x14ac:dyDescent="0.35">
      <c r="A4805" s="3"/>
      <c r="B4805" s="2"/>
      <c r="C4805" s="2"/>
      <c r="D4805" s="2" t="b">
        <f>IF(AND(NOT(ISBLANK(Table1[[#This Row],[Fetal Sex (Male, Female or Unknown)]])),ISNUMBER(Table1[[#This Row],[Birthweight (grams)]]),ISNUMBER(Table1[[#This Row],[Gestation (days)]])),TRUE,FALSE)</f>
        <v>0</v>
      </c>
      <c r="E4805" s="2" t="str">
        <f>IF(Table1[[#This Row],[Is Data Valid]]=TRUE,IF(Table1[[#This Row],[Fetal Sex (Male, Female or Unknown)]]="Male",Backend!$C$6,IF(Table1[[#This Row],[Fetal Sex (Male, Female or Unknown)]]="Female",Backend!$C$7,IF(Table1[[#This Row],[Fetal Sex (Male, Female or Unknown)]]="Unknown",Backend!$C$8,"Error"))),"")</f>
        <v/>
      </c>
      <c r="F4805" s="8" t="str">
        <f>IF(Table1[[#This Row],[Is Data Valid]]=TRUE,EXP(0.578+0.332*((Table1[[#This Row],[Gestation (days)]]+0.5)/7)-0.00354*((Table1[[#This Row],[Gestation (days)]]+0.5)/7)^2)*Table1[[#This Row],[BW40_3705]],"")</f>
        <v/>
      </c>
      <c r="G4805" s="2" t="str">
        <f>IF(Table1[[#This Row],[Is Data Valid]]=TRUE,((Table1[[#This Row],[Birthweight (grams)]]/Table1[[#This Row],[BW_GA]])-1)/(Backend!$B$4/100*Table1[[#This Row],[BW40_3705]]),"")</f>
        <v/>
      </c>
      <c r="H4805" s="7" t="str">
        <f>IF(Table1[[#This Row],[Is Data Valid]]=TRUE,((Table1[[#This Row],[Birthweight (grams)]]*0.9/Table1[[#This Row],[BW_GA]])-1)/(Backend!$B$4/100*Table1[[#This Row],[BW40_3705]]),"")</f>
        <v/>
      </c>
      <c r="I4805" s="7" t="str">
        <f>IF(Table1[[#This Row],[Is Data Valid]]=TRUE,((Table1[[#This Row],[Birthweight (grams)]]*1.1/Table1[[#This Row],[BW_GA]])-1)/(Backend!$B$4/100*Table1[[#This Row],[BW40_3705]]),"")</f>
        <v/>
      </c>
      <c r="J4805" s="7" t="str">
        <f>IF(Table1[[#This Row],[Is Data Valid]]=TRUE,_xlfn.NORM.S.DIST(Table1[[#This Row],[Birthweight Z-Score]],TRUE)*100,"")</f>
        <v/>
      </c>
      <c r="K4805" s="7" t="str">
        <f>IF(Table1[[#This Row],[Is Data Valid]]=TRUE,_xlfn.NORM.S.DIST(Table1[[#This Row],[Birthweight Z-Score (BW-10%)]],TRUE)*100,"")</f>
        <v/>
      </c>
      <c r="L4805" s="7" t="str">
        <f>IF(Table1[[#This Row],[Is Data Valid]]=TRUE,_xlfn.NORM.S.DIST(Table1[[#This Row],[Birthweight Z-Score (BW+10%)]],TRUE)*100,"")</f>
        <v/>
      </c>
    </row>
    <row r="4806" spans="1:12" x14ac:dyDescent="0.35">
      <c r="A4806" s="3"/>
      <c r="B4806" s="2"/>
      <c r="C4806" s="2"/>
      <c r="D4806" s="2" t="b">
        <f>IF(AND(NOT(ISBLANK(Table1[[#This Row],[Fetal Sex (Male, Female or Unknown)]])),ISNUMBER(Table1[[#This Row],[Birthweight (grams)]]),ISNUMBER(Table1[[#This Row],[Gestation (days)]])),TRUE,FALSE)</f>
        <v>0</v>
      </c>
      <c r="E4806" s="2" t="str">
        <f>IF(Table1[[#This Row],[Is Data Valid]]=TRUE,IF(Table1[[#This Row],[Fetal Sex (Male, Female or Unknown)]]="Male",Backend!$C$6,IF(Table1[[#This Row],[Fetal Sex (Male, Female or Unknown)]]="Female",Backend!$C$7,IF(Table1[[#This Row],[Fetal Sex (Male, Female or Unknown)]]="Unknown",Backend!$C$8,"Error"))),"")</f>
        <v/>
      </c>
      <c r="F4806" s="8" t="str">
        <f>IF(Table1[[#This Row],[Is Data Valid]]=TRUE,EXP(0.578+0.332*((Table1[[#This Row],[Gestation (days)]]+0.5)/7)-0.00354*((Table1[[#This Row],[Gestation (days)]]+0.5)/7)^2)*Table1[[#This Row],[BW40_3705]],"")</f>
        <v/>
      </c>
      <c r="G4806" s="2" t="str">
        <f>IF(Table1[[#This Row],[Is Data Valid]]=TRUE,((Table1[[#This Row],[Birthweight (grams)]]/Table1[[#This Row],[BW_GA]])-1)/(Backend!$B$4/100*Table1[[#This Row],[BW40_3705]]),"")</f>
        <v/>
      </c>
      <c r="H4806" s="7" t="str">
        <f>IF(Table1[[#This Row],[Is Data Valid]]=TRUE,((Table1[[#This Row],[Birthweight (grams)]]*0.9/Table1[[#This Row],[BW_GA]])-1)/(Backend!$B$4/100*Table1[[#This Row],[BW40_3705]]),"")</f>
        <v/>
      </c>
      <c r="I4806" s="7" t="str">
        <f>IF(Table1[[#This Row],[Is Data Valid]]=TRUE,((Table1[[#This Row],[Birthweight (grams)]]*1.1/Table1[[#This Row],[BW_GA]])-1)/(Backend!$B$4/100*Table1[[#This Row],[BW40_3705]]),"")</f>
        <v/>
      </c>
      <c r="J4806" s="7" t="str">
        <f>IF(Table1[[#This Row],[Is Data Valid]]=TRUE,_xlfn.NORM.S.DIST(Table1[[#This Row],[Birthweight Z-Score]],TRUE)*100,"")</f>
        <v/>
      </c>
      <c r="K4806" s="7" t="str">
        <f>IF(Table1[[#This Row],[Is Data Valid]]=TRUE,_xlfn.NORM.S.DIST(Table1[[#This Row],[Birthweight Z-Score (BW-10%)]],TRUE)*100,"")</f>
        <v/>
      </c>
      <c r="L4806" s="7" t="str">
        <f>IF(Table1[[#This Row],[Is Data Valid]]=TRUE,_xlfn.NORM.S.DIST(Table1[[#This Row],[Birthweight Z-Score (BW+10%)]],TRUE)*100,"")</f>
        <v/>
      </c>
    </row>
    <row r="4807" spans="1:12" x14ac:dyDescent="0.35">
      <c r="A4807" s="3"/>
      <c r="B4807" s="2"/>
      <c r="C4807" s="2"/>
      <c r="D4807" s="2" t="b">
        <f>IF(AND(NOT(ISBLANK(Table1[[#This Row],[Fetal Sex (Male, Female or Unknown)]])),ISNUMBER(Table1[[#This Row],[Birthweight (grams)]]),ISNUMBER(Table1[[#This Row],[Gestation (days)]])),TRUE,FALSE)</f>
        <v>0</v>
      </c>
      <c r="E4807" s="2" t="str">
        <f>IF(Table1[[#This Row],[Is Data Valid]]=TRUE,IF(Table1[[#This Row],[Fetal Sex (Male, Female or Unknown)]]="Male",Backend!$C$6,IF(Table1[[#This Row],[Fetal Sex (Male, Female or Unknown)]]="Female",Backend!$C$7,IF(Table1[[#This Row],[Fetal Sex (Male, Female or Unknown)]]="Unknown",Backend!$C$8,"Error"))),"")</f>
        <v/>
      </c>
      <c r="F4807" s="8" t="str">
        <f>IF(Table1[[#This Row],[Is Data Valid]]=TRUE,EXP(0.578+0.332*((Table1[[#This Row],[Gestation (days)]]+0.5)/7)-0.00354*((Table1[[#This Row],[Gestation (days)]]+0.5)/7)^2)*Table1[[#This Row],[BW40_3705]],"")</f>
        <v/>
      </c>
      <c r="G4807" s="2" t="str">
        <f>IF(Table1[[#This Row],[Is Data Valid]]=TRUE,((Table1[[#This Row],[Birthweight (grams)]]/Table1[[#This Row],[BW_GA]])-1)/(Backend!$B$4/100*Table1[[#This Row],[BW40_3705]]),"")</f>
        <v/>
      </c>
      <c r="H4807" s="7" t="str">
        <f>IF(Table1[[#This Row],[Is Data Valid]]=TRUE,((Table1[[#This Row],[Birthweight (grams)]]*0.9/Table1[[#This Row],[BW_GA]])-1)/(Backend!$B$4/100*Table1[[#This Row],[BW40_3705]]),"")</f>
        <v/>
      </c>
      <c r="I4807" s="7" t="str">
        <f>IF(Table1[[#This Row],[Is Data Valid]]=TRUE,((Table1[[#This Row],[Birthweight (grams)]]*1.1/Table1[[#This Row],[BW_GA]])-1)/(Backend!$B$4/100*Table1[[#This Row],[BW40_3705]]),"")</f>
        <v/>
      </c>
      <c r="J4807" s="7" t="str">
        <f>IF(Table1[[#This Row],[Is Data Valid]]=TRUE,_xlfn.NORM.S.DIST(Table1[[#This Row],[Birthweight Z-Score]],TRUE)*100,"")</f>
        <v/>
      </c>
      <c r="K4807" s="7" t="str">
        <f>IF(Table1[[#This Row],[Is Data Valid]]=TRUE,_xlfn.NORM.S.DIST(Table1[[#This Row],[Birthweight Z-Score (BW-10%)]],TRUE)*100,"")</f>
        <v/>
      </c>
      <c r="L4807" s="7" t="str">
        <f>IF(Table1[[#This Row],[Is Data Valid]]=TRUE,_xlfn.NORM.S.DIST(Table1[[#This Row],[Birthweight Z-Score (BW+10%)]],TRUE)*100,"")</f>
        <v/>
      </c>
    </row>
    <row r="4808" spans="1:12" x14ac:dyDescent="0.35">
      <c r="A4808" s="3"/>
      <c r="B4808" s="2"/>
      <c r="C4808" s="2"/>
      <c r="D4808" s="2" t="b">
        <f>IF(AND(NOT(ISBLANK(Table1[[#This Row],[Fetal Sex (Male, Female or Unknown)]])),ISNUMBER(Table1[[#This Row],[Birthweight (grams)]]),ISNUMBER(Table1[[#This Row],[Gestation (days)]])),TRUE,FALSE)</f>
        <v>0</v>
      </c>
      <c r="E4808" s="2" t="str">
        <f>IF(Table1[[#This Row],[Is Data Valid]]=TRUE,IF(Table1[[#This Row],[Fetal Sex (Male, Female or Unknown)]]="Male",Backend!$C$6,IF(Table1[[#This Row],[Fetal Sex (Male, Female or Unknown)]]="Female",Backend!$C$7,IF(Table1[[#This Row],[Fetal Sex (Male, Female or Unknown)]]="Unknown",Backend!$C$8,"Error"))),"")</f>
        <v/>
      </c>
      <c r="F4808" s="8" t="str">
        <f>IF(Table1[[#This Row],[Is Data Valid]]=TRUE,EXP(0.578+0.332*((Table1[[#This Row],[Gestation (days)]]+0.5)/7)-0.00354*((Table1[[#This Row],[Gestation (days)]]+0.5)/7)^2)*Table1[[#This Row],[BW40_3705]],"")</f>
        <v/>
      </c>
      <c r="G4808" s="2" t="str">
        <f>IF(Table1[[#This Row],[Is Data Valid]]=TRUE,((Table1[[#This Row],[Birthweight (grams)]]/Table1[[#This Row],[BW_GA]])-1)/(Backend!$B$4/100*Table1[[#This Row],[BW40_3705]]),"")</f>
        <v/>
      </c>
      <c r="H4808" s="7" t="str">
        <f>IF(Table1[[#This Row],[Is Data Valid]]=TRUE,((Table1[[#This Row],[Birthweight (grams)]]*0.9/Table1[[#This Row],[BW_GA]])-1)/(Backend!$B$4/100*Table1[[#This Row],[BW40_3705]]),"")</f>
        <v/>
      </c>
      <c r="I4808" s="7" t="str">
        <f>IF(Table1[[#This Row],[Is Data Valid]]=TRUE,((Table1[[#This Row],[Birthweight (grams)]]*1.1/Table1[[#This Row],[BW_GA]])-1)/(Backend!$B$4/100*Table1[[#This Row],[BW40_3705]]),"")</f>
        <v/>
      </c>
      <c r="J4808" s="7" t="str">
        <f>IF(Table1[[#This Row],[Is Data Valid]]=TRUE,_xlfn.NORM.S.DIST(Table1[[#This Row],[Birthweight Z-Score]],TRUE)*100,"")</f>
        <v/>
      </c>
      <c r="K4808" s="7" t="str">
        <f>IF(Table1[[#This Row],[Is Data Valid]]=TRUE,_xlfn.NORM.S.DIST(Table1[[#This Row],[Birthweight Z-Score (BW-10%)]],TRUE)*100,"")</f>
        <v/>
      </c>
      <c r="L4808" s="7" t="str">
        <f>IF(Table1[[#This Row],[Is Data Valid]]=TRUE,_xlfn.NORM.S.DIST(Table1[[#This Row],[Birthweight Z-Score (BW+10%)]],TRUE)*100,"")</f>
        <v/>
      </c>
    </row>
    <row r="4809" spans="1:12" x14ac:dyDescent="0.35">
      <c r="A4809" s="3"/>
      <c r="B4809" s="2"/>
      <c r="C4809" s="2"/>
      <c r="D4809" s="2" t="b">
        <f>IF(AND(NOT(ISBLANK(Table1[[#This Row],[Fetal Sex (Male, Female or Unknown)]])),ISNUMBER(Table1[[#This Row],[Birthweight (grams)]]),ISNUMBER(Table1[[#This Row],[Gestation (days)]])),TRUE,FALSE)</f>
        <v>0</v>
      </c>
      <c r="E4809" s="2" t="str">
        <f>IF(Table1[[#This Row],[Is Data Valid]]=TRUE,IF(Table1[[#This Row],[Fetal Sex (Male, Female or Unknown)]]="Male",Backend!$C$6,IF(Table1[[#This Row],[Fetal Sex (Male, Female or Unknown)]]="Female",Backend!$C$7,IF(Table1[[#This Row],[Fetal Sex (Male, Female or Unknown)]]="Unknown",Backend!$C$8,"Error"))),"")</f>
        <v/>
      </c>
      <c r="F4809" s="8" t="str">
        <f>IF(Table1[[#This Row],[Is Data Valid]]=TRUE,EXP(0.578+0.332*((Table1[[#This Row],[Gestation (days)]]+0.5)/7)-0.00354*((Table1[[#This Row],[Gestation (days)]]+0.5)/7)^2)*Table1[[#This Row],[BW40_3705]],"")</f>
        <v/>
      </c>
      <c r="G4809" s="2" t="str">
        <f>IF(Table1[[#This Row],[Is Data Valid]]=TRUE,((Table1[[#This Row],[Birthweight (grams)]]/Table1[[#This Row],[BW_GA]])-1)/(Backend!$B$4/100*Table1[[#This Row],[BW40_3705]]),"")</f>
        <v/>
      </c>
      <c r="H4809" s="7" t="str">
        <f>IF(Table1[[#This Row],[Is Data Valid]]=TRUE,((Table1[[#This Row],[Birthweight (grams)]]*0.9/Table1[[#This Row],[BW_GA]])-1)/(Backend!$B$4/100*Table1[[#This Row],[BW40_3705]]),"")</f>
        <v/>
      </c>
      <c r="I4809" s="7" t="str">
        <f>IF(Table1[[#This Row],[Is Data Valid]]=TRUE,((Table1[[#This Row],[Birthweight (grams)]]*1.1/Table1[[#This Row],[BW_GA]])-1)/(Backend!$B$4/100*Table1[[#This Row],[BW40_3705]]),"")</f>
        <v/>
      </c>
      <c r="J4809" s="7" t="str">
        <f>IF(Table1[[#This Row],[Is Data Valid]]=TRUE,_xlfn.NORM.S.DIST(Table1[[#This Row],[Birthweight Z-Score]],TRUE)*100,"")</f>
        <v/>
      </c>
      <c r="K4809" s="7" t="str">
        <f>IF(Table1[[#This Row],[Is Data Valid]]=TRUE,_xlfn.NORM.S.DIST(Table1[[#This Row],[Birthweight Z-Score (BW-10%)]],TRUE)*100,"")</f>
        <v/>
      </c>
      <c r="L4809" s="7" t="str">
        <f>IF(Table1[[#This Row],[Is Data Valid]]=TRUE,_xlfn.NORM.S.DIST(Table1[[#This Row],[Birthweight Z-Score (BW+10%)]],TRUE)*100,"")</f>
        <v/>
      </c>
    </row>
    <row r="4810" spans="1:12" x14ac:dyDescent="0.35">
      <c r="A4810" s="3"/>
      <c r="B4810" s="2"/>
      <c r="C4810" s="2"/>
      <c r="D4810" s="2" t="b">
        <f>IF(AND(NOT(ISBLANK(Table1[[#This Row],[Fetal Sex (Male, Female or Unknown)]])),ISNUMBER(Table1[[#This Row],[Birthweight (grams)]]),ISNUMBER(Table1[[#This Row],[Gestation (days)]])),TRUE,FALSE)</f>
        <v>0</v>
      </c>
      <c r="E4810" s="2" t="str">
        <f>IF(Table1[[#This Row],[Is Data Valid]]=TRUE,IF(Table1[[#This Row],[Fetal Sex (Male, Female or Unknown)]]="Male",Backend!$C$6,IF(Table1[[#This Row],[Fetal Sex (Male, Female or Unknown)]]="Female",Backend!$C$7,IF(Table1[[#This Row],[Fetal Sex (Male, Female or Unknown)]]="Unknown",Backend!$C$8,"Error"))),"")</f>
        <v/>
      </c>
      <c r="F4810" s="8" t="str">
        <f>IF(Table1[[#This Row],[Is Data Valid]]=TRUE,EXP(0.578+0.332*((Table1[[#This Row],[Gestation (days)]]+0.5)/7)-0.00354*((Table1[[#This Row],[Gestation (days)]]+0.5)/7)^2)*Table1[[#This Row],[BW40_3705]],"")</f>
        <v/>
      </c>
      <c r="G4810" s="2" t="str">
        <f>IF(Table1[[#This Row],[Is Data Valid]]=TRUE,((Table1[[#This Row],[Birthweight (grams)]]/Table1[[#This Row],[BW_GA]])-1)/(Backend!$B$4/100*Table1[[#This Row],[BW40_3705]]),"")</f>
        <v/>
      </c>
      <c r="H4810" s="7" t="str">
        <f>IF(Table1[[#This Row],[Is Data Valid]]=TRUE,((Table1[[#This Row],[Birthweight (grams)]]*0.9/Table1[[#This Row],[BW_GA]])-1)/(Backend!$B$4/100*Table1[[#This Row],[BW40_3705]]),"")</f>
        <v/>
      </c>
      <c r="I4810" s="7" t="str">
        <f>IF(Table1[[#This Row],[Is Data Valid]]=TRUE,((Table1[[#This Row],[Birthweight (grams)]]*1.1/Table1[[#This Row],[BW_GA]])-1)/(Backend!$B$4/100*Table1[[#This Row],[BW40_3705]]),"")</f>
        <v/>
      </c>
      <c r="J4810" s="7" t="str">
        <f>IF(Table1[[#This Row],[Is Data Valid]]=TRUE,_xlfn.NORM.S.DIST(Table1[[#This Row],[Birthweight Z-Score]],TRUE)*100,"")</f>
        <v/>
      </c>
      <c r="K4810" s="7" t="str">
        <f>IF(Table1[[#This Row],[Is Data Valid]]=TRUE,_xlfn.NORM.S.DIST(Table1[[#This Row],[Birthweight Z-Score (BW-10%)]],TRUE)*100,"")</f>
        <v/>
      </c>
      <c r="L4810" s="7" t="str">
        <f>IF(Table1[[#This Row],[Is Data Valid]]=TRUE,_xlfn.NORM.S.DIST(Table1[[#This Row],[Birthweight Z-Score (BW+10%)]],TRUE)*100,"")</f>
        <v/>
      </c>
    </row>
    <row r="4811" spans="1:12" x14ac:dyDescent="0.35">
      <c r="A4811" s="3"/>
      <c r="B4811" s="2"/>
      <c r="C4811" s="2"/>
      <c r="D4811" s="2" t="b">
        <f>IF(AND(NOT(ISBLANK(Table1[[#This Row],[Fetal Sex (Male, Female or Unknown)]])),ISNUMBER(Table1[[#This Row],[Birthweight (grams)]]),ISNUMBER(Table1[[#This Row],[Gestation (days)]])),TRUE,FALSE)</f>
        <v>0</v>
      </c>
      <c r="E4811" s="2" t="str">
        <f>IF(Table1[[#This Row],[Is Data Valid]]=TRUE,IF(Table1[[#This Row],[Fetal Sex (Male, Female or Unknown)]]="Male",Backend!$C$6,IF(Table1[[#This Row],[Fetal Sex (Male, Female or Unknown)]]="Female",Backend!$C$7,IF(Table1[[#This Row],[Fetal Sex (Male, Female or Unknown)]]="Unknown",Backend!$C$8,"Error"))),"")</f>
        <v/>
      </c>
      <c r="F4811" s="8" t="str">
        <f>IF(Table1[[#This Row],[Is Data Valid]]=TRUE,EXP(0.578+0.332*((Table1[[#This Row],[Gestation (days)]]+0.5)/7)-0.00354*((Table1[[#This Row],[Gestation (days)]]+0.5)/7)^2)*Table1[[#This Row],[BW40_3705]],"")</f>
        <v/>
      </c>
      <c r="G4811" s="2" t="str">
        <f>IF(Table1[[#This Row],[Is Data Valid]]=TRUE,((Table1[[#This Row],[Birthweight (grams)]]/Table1[[#This Row],[BW_GA]])-1)/(Backend!$B$4/100*Table1[[#This Row],[BW40_3705]]),"")</f>
        <v/>
      </c>
      <c r="H4811" s="7" t="str">
        <f>IF(Table1[[#This Row],[Is Data Valid]]=TRUE,((Table1[[#This Row],[Birthweight (grams)]]*0.9/Table1[[#This Row],[BW_GA]])-1)/(Backend!$B$4/100*Table1[[#This Row],[BW40_3705]]),"")</f>
        <v/>
      </c>
      <c r="I4811" s="7" t="str">
        <f>IF(Table1[[#This Row],[Is Data Valid]]=TRUE,((Table1[[#This Row],[Birthweight (grams)]]*1.1/Table1[[#This Row],[BW_GA]])-1)/(Backend!$B$4/100*Table1[[#This Row],[BW40_3705]]),"")</f>
        <v/>
      </c>
      <c r="J4811" s="7" t="str">
        <f>IF(Table1[[#This Row],[Is Data Valid]]=TRUE,_xlfn.NORM.S.DIST(Table1[[#This Row],[Birthweight Z-Score]],TRUE)*100,"")</f>
        <v/>
      </c>
      <c r="K4811" s="7" t="str">
        <f>IF(Table1[[#This Row],[Is Data Valid]]=TRUE,_xlfn.NORM.S.DIST(Table1[[#This Row],[Birthweight Z-Score (BW-10%)]],TRUE)*100,"")</f>
        <v/>
      </c>
      <c r="L4811" s="7" t="str">
        <f>IF(Table1[[#This Row],[Is Data Valid]]=TRUE,_xlfn.NORM.S.DIST(Table1[[#This Row],[Birthweight Z-Score (BW+10%)]],TRUE)*100,"")</f>
        <v/>
      </c>
    </row>
    <row r="4812" spans="1:12" x14ac:dyDescent="0.35">
      <c r="A4812" s="3"/>
      <c r="B4812" s="2"/>
      <c r="C4812" s="2"/>
      <c r="D4812" s="2" t="b">
        <f>IF(AND(NOT(ISBLANK(Table1[[#This Row],[Fetal Sex (Male, Female or Unknown)]])),ISNUMBER(Table1[[#This Row],[Birthweight (grams)]]),ISNUMBER(Table1[[#This Row],[Gestation (days)]])),TRUE,FALSE)</f>
        <v>0</v>
      </c>
      <c r="E4812" s="2" t="str">
        <f>IF(Table1[[#This Row],[Is Data Valid]]=TRUE,IF(Table1[[#This Row],[Fetal Sex (Male, Female or Unknown)]]="Male",Backend!$C$6,IF(Table1[[#This Row],[Fetal Sex (Male, Female or Unknown)]]="Female",Backend!$C$7,IF(Table1[[#This Row],[Fetal Sex (Male, Female or Unknown)]]="Unknown",Backend!$C$8,"Error"))),"")</f>
        <v/>
      </c>
      <c r="F4812" s="8" t="str">
        <f>IF(Table1[[#This Row],[Is Data Valid]]=TRUE,EXP(0.578+0.332*((Table1[[#This Row],[Gestation (days)]]+0.5)/7)-0.00354*((Table1[[#This Row],[Gestation (days)]]+0.5)/7)^2)*Table1[[#This Row],[BW40_3705]],"")</f>
        <v/>
      </c>
      <c r="G4812" s="2" t="str">
        <f>IF(Table1[[#This Row],[Is Data Valid]]=TRUE,((Table1[[#This Row],[Birthweight (grams)]]/Table1[[#This Row],[BW_GA]])-1)/(Backend!$B$4/100*Table1[[#This Row],[BW40_3705]]),"")</f>
        <v/>
      </c>
      <c r="H4812" s="7" t="str">
        <f>IF(Table1[[#This Row],[Is Data Valid]]=TRUE,((Table1[[#This Row],[Birthweight (grams)]]*0.9/Table1[[#This Row],[BW_GA]])-1)/(Backend!$B$4/100*Table1[[#This Row],[BW40_3705]]),"")</f>
        <v/>
      </c>
      <c r="I4812" s="7" t="str">
        <f>IF(Table1[[#This Row],[Is Data Valid]]=TRUE,((Table1[[#This Row],[Birthweight (grams)]]*1.1/Table1[[#This Row],[BW_GA]])-1)/(Backend!$B$4/100*Table1[[#This Row],[BW40_3705]]),"")</f>
        <v/>
      </c>
      <c r="J4812" s="7" t="str">
        <f>IF(Table1[[#This Row],[Is Data Valid]]=TRUE,_xlfn.NORM.S.DIST(Table1[[#This Row],[Birthweight Z-Score]],TRUE)*100,"")</f>
        <v/>
      </c>
      <c r="K4812" s="7" t="str">
        <f>IF(Table1[[#This Row],[Is Data Valid]]=TRUE,_xlfn.NORM.S.DIST(Table1[[#This Row],[Birthweight Z-Score (BW-10%)]],TRUE)*100,"")</f>
        <v/>
      </c>
      <c r="L4812" s="7" t="str">
        <f>IF(Table1[[#This Row],[Is Data Valid]]=TRUE,_xlfn.NORM.S.DIST(Table1[[#This Row],[Birthweight Z-Score (BW+10%)]],TRUE)*100,"")</f>
        <v/>
      </c>
    </row>
    <row r="4813" spans="1:12" x14ac:dyDescent="0.35">
      <c r="A4813" s="3"/>
      <c r="B4813" s="2"/>
      <c r="C4813" s="2"/>
      <c r="D4813" s="2" t="b">
        <f>IF(AND(NOT(ISBLANK(Table1[[#This Row],[Fetal Sex (Male, Female or Unknown)]])),ISNUMBER(Table1[[#This Row],[Birthweight (grams)]]),ISNUMBER(Table1[[#This Row],[Gestation (days)]])),TRUE,FALSE)</f>
        <v>0</v>
      </c>
      <c r="E4813" s="2" t="str">
        <f>IF(Table1[[#This Row],[Is Data Valid]]=TRUE,IF(Table1[[#This Row],[Fetal Sex (Male, Female or Unknown)]]="Male",Backend!$C$6,IF(Table1[[#This Row],[Fetal Sex (Male, Female or Unknown)]]="Female",Backend!$C$7,IF(Table1[[#This Row],[Fetal Sex (Male, Female or Unknown)]]="Unknown",Backend!$C$8,"Error"))),"")</f>
        <v/>
      </c>
      <c r="F4813" s="8" t="str">
        <f>IF(Table1[[#This Row],[Is Data Valid]]=TRUE,EXP(0.578+0.332*((Table1[[#This Row],[Gestation (days)]]+0.5)/7)-0.00354*((Table1[[#This Row],[Gestation (days)]]+0.5)/7)^2)*Table1[[#This Row],[BW40_3705]],"")</f>
        <v/>
      </c>
      <c r="G4813" s="2" t="str">
        <f>IF(Table1[[#This Row],[Is Data Valid]]=TRUE,((Table1[[#This Row],[Birthweight (grams)]]/Table1[[#This Row],[BW_GA]])-1)/(Backend!$B$4/100*Table1[[#This Row],[BW40_3705]]),"")</f>
        <v/>
      </c>
      <c r="H4813" s="7" t="str">
        <f>IF(Table1[[#This Row],[Is Data Valid]]=TRUE,((Table1[[#This Row],[Birthweight (grams)]]*0.9/Table1[[#This Row],[BW_GA]])-1)/(Backend!$B$4/100*Table1[[#This Row],[BW40_3705]]),"")</f>
        <v/>
      </c>
      <c r="I4813" s="7" t="str">
        <f>IF(Table1[[#This Row],[Is Data Valid]]=TRUE,((Table1[[#This Row],[Birthweight (grams)]]*1.1/Table1[[#This Row],[BW_GA]])-1)/(Backend!$B$4/100*Table1[[#This Row],[BW40_3705]]),"")</f>
        <v/>
      </c>
      <c r="J4813" s="7" t="str">
        <f>IF(Table1[[#This Row],[Is Data Valid]]=TRUE,_xlfn.NORM.S.DIST(Table1[[#This Row],[Birthweight Z-Score]],TRUE)*100,"")</f>
        <v/>
      </c>
      <c r="K4813" s="7" t="str">
        <f>IF(Table1[[#This Row],[Is Data Valid]]=TRUE,_xlfn.NORM.S.DIST(Table1[[#This Row],[Birthweight Z-Score (BW-10%)]],TRUE)*100,"")</f>
        <v/>
      </c>
      <c r="L4813" s="7" t="str">
        <f>IF(Table1[[#This Row],[Is Data Valid]]=TRUE,_xlfn.NORM.S.DIST(Table1[[#This Row],[Birthweight Z-Score (BW+10%)]],TRUE)*100,"")</f>
        <v/>
      </c>
    </row>
    <row r="4814" spans="1:12" x14ac:dyDescent="0.35">
      <c r="A4814" s="3"/>
      <c r="B4814" s="2"/>
      <c r="C4814" s="2"/>
      <c r="D4814" s="2" t="b">
        <f>IF(AND(NOT(ISBLANK(Table1[[#This Row],[Fetal Sex (Male, Female or Unknown)]])),ISNUMBER(Table1[[#This Row],[Birthweight (grams)]]),ISNUMBER(Table1[[#This Row],[Gestation (days)]])),TRUE,FALSE)</f>
        <v>0</v>
      </c>
      <c r="E4814" s="2" t="str">
        <f>IF(Table1[[#This Row],[Is Data Valid]]=TRUE,IF(Table1[[#This Row],[Fetal Sex (Male, Female or Unknown)]]="Male",Backend!$C$6,IF(Table1[[#This Row],[Fetal Sex (Male, Female or Unknown)]]="Female",Backend!$C$7,IF(Table1[[#This Row],[Fetal Sex (Male, Female or Unknown)]]="Unknown",Backend!$C$8,"Error"))),"")</f>
        <v/>
      </c>
      <c r="F4814" s="8" t="str">
        <f>IF(Table1[[#This Row],[Is Data Valid]]=TRUE,EXP(0.578+0.332*((Table1[[#This Row],[Gestation (days)]]+0.5)/7)-0.00354*((Table1[[#This Row],[Gestation (days)]]+0.5)/7)^2)*Table1[[#This Row],[BW40_3705]],"")</f>
        <v/>
      </c>
      <c r="G4814" s="2" t="str">
        <f>IF(Table1[[#This Row],[Is Data Valid]]=TRUE,((Table1[[#This Row],[Birthweight (grams)]]/Table1[[#This Row],[BW_GA]])-1)/(Backend!$B$4/100*Table1[[#This Row],[BW40_3705]]),"")</f>
        <v/>
      </c>
      <c r="H4814" s="7" t="str">
        <f>IF(Table1[[#This Row],[Is Data Valid]]=TRUE,((Table1[[#This Row],[Birthweight (grams)]]*0.9/Table1[[#This Row],[BW_GA]])-1)/(Backend!$B$4/100*Table1[[#This Row],[BW40_3705]]),"")</f>
        <v/>
      </c>
      <c r="I4814" s="7" t="str">
        <f>IF(Table1[[#This Row],[Is Data Valid]]=TRUE,((Table1[[#This Row],[Birthweight (grams)]]*1.1/Table1[[#This Row],[BW_GA]])-1)/(Backend!$B$4/100*Table1[[#This Row],[BW40_3705]]),"")</f>
        <v/>
      </c>
      <c r="J4814" s="7" t="str">
        <f>IF(Table1[[#This Row],[Is Data Valid]]=TRUE,_xlfn.NORM.S.DIST(Table1[[#This Row],[Birthweight Z-Score]],TRUE)*100,"")</f>
        <v/>
      </c>
      <c r="K4814" s="7" t="str">
        <f>IF(Table1[[#This Row],[Is Data Valid]]=TRUE,_xlfn.NORM.S.DIST(Table1[[#This Row],[Birthweight Z-Score (BW-10%)]],TRUE)*100,"")</f>
        <v/>
      </c>
      <c r="L4814" s="7" t="str">
        <f>IF(Table1[[#This Row],[Is Data Valid]]=TRUE,_xlfn.NORM.S.DIST(Table1[[#This Row],[Birthweight Z-Score (BW+10%)]],TRUE)*100,"")</f>
        <v/>
      </c>
    </row>
    <row r="4815" spans="1:12" x14ac:dyDescent="0.35">
      <c r="A4815" s="3"/>
      <c r="B4815" s="2"/>
      <c r="C4815" s="2"/>
      <c r="D4815" s="2" t="b">
        <f>IF(AND(NOT(ISBLANK(Table1[[#This Row],[Fetal Sex (Male, Female or Unknown)]])),ISNUMBER(Table1[[#This Row],[Birthweight (grams)]]),ISNUMBER(Table1[[#This Row],[Gestation (days)]])),TRUE,FALSE)</f>
        <v>0</v>
      </c>
      <c r="E4815" s="2" t="str">
        <f>IF(Table1[[#This Row],[Is Data Valid]]=TRUE,IF(Table1[[#This Row],[Fetal Sex (Male, Female or Unknown)]]="Male",Backend!$C$6,IF(Table1[[#This Row],[Fetal Sex (Male, Female or Unknown)]]="Female",Backend!$C$7,IF(Table1[[#This Row],[Fetal Sex (Male, Female or Unknown)]]="Unknown",Backend!$C$8,"Error"))),"")</f>
        <v/>
      </c>
      <c r="F4815" s="8" t="str">
        <f>IF(Table1[[#This Row],[Is Data Valid]]=TRUE,EXP(0.578+0.332*((Table1[[#This Row],[Gestation (days)]]+0.5)/7)-0.00354*((Table1[[#This Row],[Gestation (days)]]+0.5)/7)^2)*Table1[[#This Row],[BW40_3705]],"")</f>
        <v/>
      </c>
      <c r="G4815" s="2" t="str">
        <f>IF(Table1[[#This Row],[Is Data Valid]]=TRUE,((Table1[[#This Row],[Birthweight (grams)]]/Table1[[#This Row],[BW_GA]])-1)/(Backend!$B$4/100*Table1[[#This Row],[BW40_3705]]),"")</f>
        <v/>
      </c>
      <c r="H4815" s="7" t="str">
        <f>IF(Table1[[#This Row],[Is Data Valid]]=TRUE,((Table1[[#This Row],[Birthweight (grams)]]*0.9/Table1[[#This Row],[BW_GA]])-1)/(Backend!$B$4/100*Table1[[#This Row],[BW40_3705]]),"")</f>
        <v/>
      </c>
      <c r="I4815" s="7" t="str">
        <f>IF(Table1[[#This Row],[Is Data Valid]]=TRUE,((Table1[[#This Row],[Birthweight (grams)]]*1.1/Table1[[#This Row],[BW_GA]])-1)/(Backend!$B$4/100*Table1[[#This Row],[BW40_3705]]),"")</f>
        <v/>
      </c>
      <c r="J4815" s="7" t="str">
        <f>IF(Table1[[#This Row],[Is Data Valid]]=TRUE,_xlfn.NORM.S.DIST(Table1[[#This Row],[Birthweight Z-Score]],TRUE)*100,"")</f>
        <v/>
      </c>
      <c r="K4815" s="7" t="str">
        <f>IF(Table1[[#This Row],[Is Data Valid]]=TRUE,_xlfn.NORM.S.DIST(Table1[[#This Row],[Birthweight Z-Score (BW-10%)]],TRUE)*100,"")</f>
        <v/>
      </c>
      <c r="L4815" s="7" t="str">
        <f>IF(Table1[[#This Row],[Is Data Valid]]=TRUE,_xlfn.NORM.S.DIST(Table1[[#This Row],[Birthweight Z-Score (BW+10%)]],TRUE)*100,"")</f>
        <v/>
      </c>
    </row>
    <row r="4816" spans="1:12" x14ac:dyDescent="0.35">
      <c r="A4816" s="3"/>
      <c r="B4816" s="2"/>
      <c r="C4816" s="2"/>
      <c r="D4816" s="2" t="b">
        <f>IF(AND(NOT(ISBLANK(Table1[[#This Row],[Fetal Sex (Male, Female or Unknown)]])),ISNUMBER(Table1[[#This Row],[Birthweight (grams)]]),ISNUMBER(Table1[[#This Row],[Gestation (days)]])),TRUE,FALSE)</f>
        <v>0</v>
      </c>
      <c r="E4816" s="2" t="str">
        <f>IF(Table1[[#This Row],[Is Data Valid]]=TRUE,IF(Table1[[#This Row],[Fetal Sex (Male, Female or Unknown)]]="Male",Backend!$C$6,IF(Table1[[#This Row],[Fetal Sex (Male, Female or Unknown)]]="Female",Backend!$C$7,IF(Table1[[#This Row],[Fetal Sex (Male, Female or Unknown)]]="Unknown",Backend!$C$8,"Error"))),"")</f>
        <v/>
      </c>
      <c r="F4816" s="8" t="str">
        <f>IF(Table1[[#This Row],[Is Data Valid]]=TRUE,EXP(0.578+0.332*((Table1[[#This Row],[Gestation (days)]]+0.5)/7)-0.00354*((Table1[[#This Row],[Gestation (days)]]+0.5)/7)^2)*Table1[[#This Row],[BW40_3705]],"")</f>
        <v/>
      </c>
      <c r="G4816" s="2" t="str">
        <f>IF(Table1[[#This Row],[Is Data Valid]]=TRUE,((Table1[[#This Row],[Birthweight (grams)]]/Table1[[#This Row],[BW_GA]])-1)/(Backend!$B$4/100*Table1[[#This Row],[BW40_3705]]),"")</f>
        <v/>
      </c>
      <c r="H4816" s="7" t="str">
        <f>IF(Table1[[#This Row],[Is Data Valid]]=TRUE,((Table1[[#This Row],[Birthweight (grams)]]*0.9/Table1[[#This Row],[BW_GA]])-1)/(Backend!$B$4/100*Table1[[#This Row],[BW40_3705]]),"")</f>
        <v/>
      </c>
      <c r="I4816" s="7" t="str">
        <f>IF(Table1[[#This Row],[Is Data Valid]]=TRUE,((Table1[[#This Row],[Birthweight (grams)]]*1.1/Table1[[#This Row],[BW_GA]])-1)/(Backend!$B$4/100*Table1[[#This Row],[BW40_3705]]),"")</f>
        <v/>
      </c>
      <c r="J4816" s="7" t="str">
        <f>IF(Table1[[#This Row],[Is Data Valid]]=TRUE,_xlfn.NORM.S.DIST(Table1[[#This Row],[Birthweight Z-Score]],TRUE)*100,"")</f>
        <v/>
      </c>
      <c r="K4816" s="7" t="str">
        <f>IF(Table1[[#This Row],[Is Data Valid]]=TRUE,_xlfn.NORM.S.DIST(Table1[[#This Row],[Birthweight Z-Score (BW-10%)]],TRUE)*100,"")</f>
        <v/>
      </c>
      <c r="L4816" s="7" t="str">
        <f>IF(Table1[[#This Row],[Is Data Valid]]=TRUE,_xlfn.NORM.S.DIST(Table1[[#This Row],[Birthweight Z-Score (BW+10%)]],TRUE)*100,"")</f>
        <v/>
      </c>
    </row>
    <row r="4817" spans="1:12" x14ac:dyDescent="0.35">
      <c r="A4817" s="3"/>
      <c r="B4817" s="2"/>
      <c r="C4817" s="2"/>
      <c r="D4817" s="2" t="b">
        <f>IF(AND(NOT(ISBLANK(Table1[[#This Row],[Fetal Sex (Male, Female or Unknown)]])),ISNUMBER(Table1[[#This Row],[Birthweight (grams)]]),ISNUMBER(Table1[[#This Row],[Gestation (days)]])),TRUE,FALSE)</f>
        <v>0</v>
      </c>
      <c r="E4817" s="2" t="str">
        <f>IF(Table1[[#This Row],[Is Data Valid]]=TRUE,IF(Table1[[#This Row],[Fetal Sex (Male, Female or Unknown)]]="Male",Backend!$C$6,IF(Table1[[#This Row],[Fetal Sex (Male, Female or Unknown)]]="Female",Backend!$C$7,IF(Table1[[#This Row],[Fetal Sex (Male, Female or Unknown)]]="Unknown",Backend!$C$8,"Error"))),"")</f>
        <v/>
      </c>
      <c r="F4817" s="8" t="str">
        <f>IF(Table1[[#This Row],[Is Data Valid]]=TRUE,EXP(0.578+0.332*((Table1[[#This Row],[Gestation (days)]]+0.5)/7)-0.00354*((Table1[[#This Row],[Gestation (days)]]+0.5)/7)^2)*Table1[[#This Row],[BW40_3705]],"")</f>
        <v/>
      </c>
      <c r="G4817" s="2" t="str">
        <f>IF(Table1[[#This Row],[Is Data Valid]]=TRUE,((Table1[[#This Row],[Birthweight (grams)]]/Table1[[#This Row],[BW_GA]])-1)/(Backend!$B$4/100*Table1[[#This Row],[BW40_3705]]),"")</f>
        <v/>
      </c>
      <c r="H4817" s="7" t="str">
        <f>IF(Table1[[#This Row],[Is Data Valid]]=TRUE,((Table1[[#This Row],[Birthweight (grams)]]*0.9/Table1[[#This Row],[BW_GA]])-1)/(Backend!$B$4/100*Table1[[#This Row],[BW40_3705]]),"")</f>
        <v/>
      </c>
      <c r="I4817" s="7" t="str">
        <f>IF(Table1[[#This Row],[Is Data Valid]]=TRUE,((Table1[[#This Row],[Birthweight (grams)]]*1.1/Table1[[#This Row],[BW_GA]])-1)/(Backend!$B$4/100*Table1[[#This Row],[BW40_3705]]),"")</f>
        <v/>
      </c>
      <c r="J4817" s="7" t="str">
        <f>IF(Table1[[#This Row],[Is Data Valid]]=TRUE,_xlfn.NORM.S.DIST(Table1[[#This Row],[Birthweight Z-Score]],TRUE)*100,"")</f>
        <v/>
      </c>
      <c r="K4817" s="7" t="str">
        <f>IF(Table1[[#This Row],[Is Data Valid]]=TRUE,_xlfn.NORM.S.DIST(Table1[[#This Row],[Birthweight Z-Score (BW-10%)]],TRUE)*100,"")</f>
        <v/>
      </c>
      <c r="L4817" s="7" t="str">
        <f>IF(Table1[[#This Row],[Is Data Valid]]=TRUE,_xlfn.NORM.S.DIST(Table1[[#This Row],[Birthweight Z-Score (BW+10%)]],TRUE)*100,"")</f>
        <v/>
      </c>
    </row>
    <row r="4818" spans="1:12" x14ac:dyDescent="0.35">
      <c r="A4818" s="3"/>
      <c r="B4818" s="2"/>
      <c r="C4818" s="2"/>
      <c r="D4818" s="2" t="b">
        <f>IF(AND(NOT(ISBLANK(Table1[[#This Row],[Fetal Sex (Male, Female or Unknown)]])),ISNUMBER(Table1[[#This Row],[Birthweight (grams)]]),ISNUMBER(Table1[[#This Row],[Gestation (days)]])),TRUE,FALSE)</f>
        <v>0</v>
      </c>
      <c r="E4818" s="2" t="str">
        <f>IF(Table1[[#This Row],[Is Data Valid]]=TRUE,IF(Table1[[#This Row],[Fetal Sex (Male, Female or Unknown)]]="Male",Backend!$C$6,IF(Table1[[#This Row],[Fetal Sex (Male, Female or Unknown)]]="Female",Backend!$C$7,IF(Table1[[#This Row],[Fetal Sex (Male, Female or Unknown)]]="Unknown",Backend!$C$8,"Error"))),"")</f>
        <v/>
      </c>
      <c r="F4818" s="8" t="str">
        <f>IF(Table1[[#This Row],[Is Data Valid]]=TRUE,EXP(0.578+0.332*((Table1[[#This Row],[Gestation (days)]]+0.5)/7)-0.00354*((Table1[[#This Row],[Gestation (days)]]+0.5)/7)^2)*Table1[[#This Row],[BW40_3705]],"")</f>
        <v/>
      </c>
      <c r="G4818" s="2" t="str">
        <f>IF(Table1[[#This Row],[Is Data Valid]]=TRUE,((Table1[[#This Row],[Birthweight (grams)]]/Table1[[#This Row],[BW_GA]])-1)/(Backend!$B$4/100*Table1[[#This Row],[BW40_3705]]),"")</f>
        <v/>
      </c>
      <c r="H4818" s="7" t="str">
        <f>IF(Table1[[#This Row],[Is Data Valid]]=TRUE,((Table1[[#This Row],[Birthweight (grams)]]*0.9/Table1[[#This Row],[BW_GA]])-1)/(Backend!$B$4/100*Table1[[#This Row],[BW40_3705]]),"")</f>
        <v/>
      </c>
      <c r="I4818" s="7" t="str">
        <f>IF(Table1[[#This Row],[Is Data Valid]]=TRUE,((Table1[[#This Row],[Birthweight (grams)]]*1.1/Table1[[#This Row],[BW_GA]])-1)/(Backend!$B$4/100*Table1[[#This Row],[BW40_3705]]),"")</f>
        <v/>
      </c>
      <c r="J4818" s="7" t="str">
        <f>IF(Table1[[#This Row],[Is Data Valid]]=TRUE,_xlfn.NORM.S.DIST(Table1[[#This Row],[Birthweight Z-Score]],TRUE)*100,"")</f>
        <v/>
      </c>
      <c r="K4818" s="7" t="str">
        <f>IF(Table1[[#This Row],[Is Data Valid]]=TRUE,_xlfn.NORM.S.DIST(Table1[[#This Row],[Birthweight Z-Score (BW-10%)]],TRUE)*100,"")</f>
        <v/>
      </c>
      <c r="L4818" s="7" t="str">
        <f>IF(Table1[[#This Row],[Is Data Valid]]=TRUE,_xlfn.NORM.S.DIST(Table1[[#This Row],[Birthweight Z-Score (BW+10%)]],TRUE)*100,"")</f>
        <v/>
      </c>
    </row>
    <row r="4819" spans="1:12" x14ac:dyDescent="0.35">
      <c r="A4819" s="3"/>
      <c r="B4819" s="2"/>
      <c r="C4819" s="2"/>
      <c r="D4819" s="2" t="b">
        <f>IF(AND(NOT(ISBLANK(Table1[[#This Row],[Fetal Sex (Male, Female or Unknown)]])),ISNUMBER(Table1[[#This Row],[Birthweight (grams)]]),ISNUMBER(Table1[[#This Row],[Gestation (days)]])),TRUE,FALSE)</f>
        <v>0</v>
      </c>
      <c r="E4819" s="2" t="str">
        <f>IF(Table1[[#This Row],[Is Data Valid]]=TRUE,IF(Table1[[#This Row],[Fetal Sex (Male, Female or Unknown)]]="Male",Backend!$C$6,IF(Table1[[#This Row],[Fetal Sex (Male, Female or Unknown)]]="Female",Backend!$C$7,IF(Table1[[#This Row],[Fetal Sex (Male, Female or Unknown)]]="Unknown",Backend!$C$8,"Error"))),"")</f>
        <v/>
      </c>
      <c r="F4819" s="8" t="str">
        <f>IF(Table1[[#This Row],[Is Data Valid]]=TRUE,EXP(0.578+0.332*((Table1[[#This Row],[Gestation (days)]]+0.5)/7)-0.00354*((Table1[[#This Row],[Gestation (days)]]+0.5)/7)^2)*Table1[[#This Row],[BW40_3705]],"")</f>
        <v/>
      </c>
      <c r="G4819" s="2" t="str">
        <f>IF(Table1[[#This Row],[Is Data Valid]]=TRUE,((Table1[[#This Row],[Birthweight (grams)]]/Table1[[#This Row],[BW_GA]])-1)/(Backend!$B$4/100*Table1[[#This Row],[BW40_3705]]),"")</f>
        <v/>
      </c>
      <c r="H4819" s="7" t="str">
        <f>IF(Table1[[#This Row],[Is Data Valid]]=TRUE,((Table1[[#This Row],[Birthweight (grams)]]*0.9/Table1[[#This Row],[BW_GA]])-1)/(Backend!$B$4/100*Table1[[#This Row],[BW40_3705]]),"")</f>
        <v/>
      </c>
      <c r="I4819" s="7" t="str">
        <f>IF(Table1[[#This Row],[Is Data Valid]]=TRUE,((Table1[[#This Row],[Birthweight (grams)]]*1.1/Table1[[#This Row],[BW_GA]])-1)/(Backend!$B$4/100*Table1[[#This Row],[BW40_3705]]),"")</f>
        <v/>
      </c>
      <c r="J4819" s="7" t="str">
        <f>IF(Table1[[#This Row],[Is Data Valid]]=TRUE,_xlfn.NORM.S.DIST(Table1[[#This Row],[Birthweight Z-Score]],TRUE)*100,"")</f>
        <v/>
      </c>
      <c r="K4819" s="7" t="str">
        <f>IF(Table1[[#This Row],[Is Data Valid]]=TRUE,_xlfn.NORM.S.DIST(Table1[[#This Row],[Birthweight Z-Score (BW-10%)]],TRUE)*100,"")</f>
        <v/>
      </c>
      <c r="L4819" s="7" t="str">
        <f>IF(Table1[[#This Row],[Is Data Valid]]=TRUE,_xlfn.NORM.S.DIST(Table1[[#This Row],[Birthweight Z-Score (BW+10%)]],TRUE)*100,"")</f>
        <v/>
      </c>
    </row>
    <row r="4820" spans="1:12" x14ac:dyDescent="0.35">
      <c r="A4820" s="3"/>
      <c r="B4820" s="2"/>
      <c r="C4820" s="2"/>
      <c r="D4820" s="2" t="b">
        <f>IF(AND(NOT(ISBLANK(Table1[[#This Row],[Fetal Sex (Male, Female or Unknown)]])),ISNUMBER(Table1[[#This Row],[Birthweight (grams)]]),ISNUMBER(Table1[[#This Row],[Gestation (days)]])),TRUE,FALSE)</f>
        <v>0</v>
      </c>
      <c r="E4820" s="2" t="str">
        <f>IF(Table1[[#This Row],[Is Data Valid]]=TRUE,IF(Table1[[#This Row],[Fetal Sex (Male, Female or Unknown)]]="Male",Backend!$C$6,IF(Table1[[#This Row],[Fetal Sex (Male, Female or Unknown)]]="Female",Backend!$C$7,IF(Table1[[#This Row],[Fetal Sex (Male, Female or Unknown)]]="Unknown",Backend!$C$8,"Error"))),"")</f>
        <v/>
      </c>
      <c r="F4820" s="8" t="str">
        <f>IF(Table1[[#This Row],[Is Data Valid]]=TRUE,EXP(0.578+0.332*((Table1[[#This Row],[Gestation (days)]]+0.5)/7)-0.00354*((Table1[[#This Row],[Gestation (days)]]+0.5)/7)^2)*Table1[[#This Row],[BW40_3705]],"")</f>
        <v/>
      </c>
      <c r="G4820" s="2" t="str">
        <f>IF(Table1[[#This Row],[Is Data Valid]]=TRUE,((Table1[[#This Row],[Birthweight (grams)]]/Table1[[#This Row],[BW_GA]])-1)/(Backend!$B$4/100*Table1[[#This Row],[BW40_3705]]),"")</f>
        <v/>
      </c>
      <c r="H4820" s="7" t="str">
        <f>IF(Table1[[#This Row],[Is Data Valid]]=TRUE,((Table1[[#This Row],[Birthweight (grams)]]*0.9/Table1[[#This Row],[BW_GA]])-1)/(Backend!$B$4/100*Table1[[#This Row],[BW40_3705]]),"")</f>
        <v/>
      </c>
      <c r="I4820" s="7" t="str">
        <f>IF(Table1[[#This Row],[Is Data Valid]]=TRUE,((Table1[[#This Row],[Birthweight (grams)]]*1.1/Table1[[#This Row],[BW_GA]])-1)/(Backend!$B$4/100*Table1[[#This Row],[BW40_3705]]),"")</f>
        <v/>
      </c>
      <c r="J4820" s="7" t="str">
        <f>IF(Table1[[#This Row],[Is Data Valid]]=TRUE,_xlfn.NORM.S.DIST(Table1[[#This Row],[Birthweight Z-Score]],TRUE)*100,"")</f>
        <v/>
      </c>
      <c r="K4820" s="7" t="str">
        <f>IF(Table1[[#This Row],[Is Data Valid]]=TRUE,_xlfn.NORM.S.DIST(Table1[[#This Row],[Birthweight Z-Score (BW-10%)]],TRUE)*100,"")</f>
        <v/>
      </c>
      <c r="L4820" s="7" t="str">
        <f>IF(Table1[[#This Row],[Is Data Valid]]=TRUE,_xlfn.NORM.S.DIST(Table1[[#This Row],[Birthweight Z-Score (BW+10%)]],TRUE)*100,"")</f>
        <v/>
      </c>
    </row>
    <row r="4821" spans="1:12" x14ac:dyDescent="0.35">
      <c r="A4821" s="3"/>
      <c r="B4821" s="2"/>
      <c r="C4821" s="2"/>
      <c r="D4821" s="2" t="b">
        <f>IF(AND(NOT(ISBLANK(Table1[[#This Row],[Fetal Sex (Male, Female or Unknown)]])),ISNUMBER(Table1[[#This Row],[Birthweight (grams)]]),ISNUMBER(Table1[[#This Row],[Gestation (days)]])),TRUE,FALSE)</f>
        <v>0</v>
      </c>
      <c r="E4821" s="2" t="str">
        <f>IF(Table1[[#This Row],[Is Data Valid]]=TRUE,IF(Table1[[#This Row],[Fetal Sex (Male, Female or Unknown)]]="Male",Backend!$C$6,IF(Table1[[#This Row],[Fetal Sex (Male, Female or Unknown)]]="Female",Backend!$C$7,IF(Table1[[#This Row],[Fetal Sex (Male, Female or Unknown)]]="Unknown",Backend!$C$8,"Error"))),"")</f>
        <v/>
      </c>
      <c r="F4821" s="8" t="str">
        <f>IF(Table1[[#This Row],[Is Data Valid]]=TRUE,EXP(0.578+0.332*((Table1[[#This Row],[Gestation (days)]]+0.5)/7)-0.00354*((Table1[[#This Row],[Gestation (days)]]+0.5)/7)^2)*Table1[[#This Row],[BW40_3705]],"")</f>
        <v/>
      </c>
      <c r="G4821" s="2" t="str">
        <f>IF(Table1[[#This Row],[Is Data Valid]]=TRUE,((Table1[[#This Row],[Birthweight (grams)]]/Table1[[#This Row],[BW_GA]])-1)/(Backend!$B$4/100*Table1[[#This Row],[BW40_3705]]),"")</f>
        <v/>
      </c>
      <c r="H4821" s="7" t="str">
        <f>IF(Table1[[#This Row],[Is Data Valid]]=TRUE,((Table1[[#This Row],[Birthweight (grams)]]*0.9/Table1[[#This Row],[BW_GA]])-1)/(Backend!$B$4/100*Table1[[#This Row],[BW40_3705]]),"")</f>
        <v/>
      </c>
      <c r="I4821" s="7" t="str">
        <f>IF(Table1[[#This Row],[Is Data Valid]]=TRUE,((Table1[[#This Row],[Birthweight (grams)]]*1.1/Table1[[#This Row],[BW_GA]])-1)/(Backend!$B$4/100*Table1[[#This Row],[BW40_3705]]),"")</f>
        <v/>
      </c>
      <c r="J4821" s="7" t="str">
        <f>IF(Table1[[#This Row],[Is Data Valid]]=TRUE,_xlfn.NORM.S.DIST(Table1[[#This Row],[Birthweight Z-Score]],TRUE)*100,"")</f>
        <v/>
      </c>
      <c r="K4821" s="7" t="str">
        <f>IF(Table1[[#This Row],[Is Data Valid]]=TRUE,_xlfn.NORM.S.DIST(Table1[[#This Row],[Birthweight Z-Score (BW-10%)]],TRUE)*100,"")</f>
        <v/>
      </c>
      <c r="L4821" s="7" t="str">
        <f>IF(Table1[[#This Row],[Is Data Valid]]=TRUE,_xlfn.NORM.S.DIST(Table1[[#This Row],[Birthweight Z-Score (BW+10%)]],TRUE)*100,"")</f>
        <v/>
      </c>
    </row>
    <row r="4822" spans="1:12" x14ac:dyDescent="0.35">
      <c r="A4822" s="3"/>
      <c r="B4822" s="2"/>
      <c r="C4822" s="2"/>
      <c r="D4822" s="2" t="b">
        <f>IF(AND(NOT(ISBLANK(Table1[[#This Row],[Fetal Sex (Male, Female or Unknown)]])),ISNUMBER(Table1[[#This Row],[Birthweight (grams)]]),ISNUMBER(Table1[[#This Row],[Gestation (days)]])),TRUE,FALSE)</f>
        <v>0</v>
      </c>
      <c r="E4822" s="2" t="str">
        <f>IF(Table1[[#This Row],[Is Data Valid]]=TRUE,IF(Table1[[#This Row],[Fetal Sex (Male, Female or Unknown)]]="Male",Backend!$C$6,IF(Table1[[#This Row],[Fetal Sex (Male, Female or Unknown)]]="Female",Backend!$C$7,IF(Table1[[#This Row],[Fetal Sex (Male, Female or Unknown)]]="Unknown",Backend!$C$8,"Error"))),"")</f>
        <v/>
      </c>
      <c r="F4822" s="8" t="str">
        <f>IF(Table1[[#This Row],[Is Data Valid]]=TRUE,EXP(0.578+0.332*((Table1[[#This Row],[Gestation (days)]]+0.5)/7)-0.00354*((Table1[[#This Row],[Gestation (days)]]+0.5)/7)^2)*Table1[[#This Row],[BW40_3705]],"")</f>
        <v/>
      </c>
      <c r="G4822" s="2" t="str">
        <f>IF(Table1[[#This Row],[Is Data Valid]]=TRUE,((Table1[[#This Row],[Birthweight (grams)]]/Table1[[#This Row],[BW_GA]])-1)/(Backend!$B$4/100*Table1[[#This Row],[BW40_3705]]),"")</f>
        <v/>
      </c>
      <c r="H4822" s="7" t="str">
        <f>IF(Table1[[#This Row],[Is Data Valid]]=TRUE,((Table1[[#This Row],[Birthweight (grams)]]*0.9/Table1[[#This Row],[BW_GA]])-1)/(Backend!$B$4/100*Table1[[#This Row],[BW40_3705]]),"")</f>
        <v/>
      </c>
      <c r="I4822" s="7" t="str">
        <f>IF(Table1[[#This Row],[Is Data Valid]]=TRUE,((Table1[[#This Row],[Birthweight (grams)]]*1.1/Table1[[#This Row],[BW_GA]])-1)/(Backend!$B$4/100*Table1[[#This Row],[BW40_3705]]),"")</f>
        <v/>
      </c>
      <c r="J4822" s="7" t="str">
        <f>IF(Table1[[#This Row],[Is Data Valid]]=TRUE,_xlfn.NORM.S.DIST(Table1[[#This Row],[Birthweight Z-Score]],TRUE)*100,"")</f>
        <v/>
      </c>
      <c r="K4822" s="7" t="str">
        <f>IF(Table1[[#This Row],[Is Data Valid]]=TRUE,_xlfn.NORM.S.DIST(Table1[[#This Row],[Birthweight Z-Score (BW-10%)]],TRUE)*100,"")</f>
        <v/>
      </c>
      <c r="L4822" s="7" t="str">
        <f>IF(Table1[[#This Row],[Is Data Valid]]=TRUE,_xlfn.NORM.S.DIST(Table1[[#This Row],[Birthweight Z-Score (BW+10%)]],TRUE)*100,"")</f>
        <v/>
      </c>
    </row>
    <row r="4823" spans="1:12" x14ac:dyDescent="0.35">
      <c r="A4823" s="3"/>
      <c r="B4823" s="2"/>
      <c r="C4823" s="2"/>
      <c r="D4823" s="2" t="b">
        <f>IF(AND(NOT(ISBLANK(Table1[[#This Row],[Fetal Sex (Male, Female or Unknown)]])),ISNUMBER(Table1[[#This Row],[Birthweight (grams)]]),ISNUMBER(Table1[[#This Row],[Gestation (days)]])),TRUE,FALSE)</f>
        <v>0</v>
      </c>
      <c r="E4823" s="2" t="str">
        <f>IF(Table1[[#This Row],[Is Data Valid]]=TRUE,IF(Table1[[#This Row],[Fetal Sex (Male, Female or Unknown)]]="Male",Backend!$C$6,IF(Table1[[#This Row],[Fetal Sex (Male, Female or Unknown)]]="Female",Backend!$C$7,IF(Table1[[#This Row],[Fetal Sex (Male, Female or Unknown)]]="Unknown",Backend!$C$8,"Error"))),"")</f>
        <v/>
      </c>
      <c r="F4823" s="8" t="str">
        <f>IF(Table1[[#This Row],[Is Data Valid]]=TRUE,EXP(0.578+0.332*((Table1[[#This Row],[Gestation (days)]]+0.5)/7)-0.00354*((Table1[[#This Row],[Gestation (days)]]+0.5)/7)^2)*Table1[[#This Row],[BW40_3705]],"")</f>
        <v/>
      </c>
      <c r="G4823" s="2" t="str">
        <f>IF(Table1[[#This Row],[Is Data Valid]]=TRUE,((Table1[[#This Row],[Birthweight (grams)]]/Table1[[#This Row],[BW_GA]])-1)/(Backend!$B$4/100*Table1[[#This Row],[BW40_3705]]),"")</f>
        <v/>
      </c>
      <c r="H4823" s="7" t="str">
        <f>IF(Table1[[#This Row],[Is Data Valid]]=TRUE,((Table1[[#This Row],[Birthweight (grams)]]*0.9/Table1[[#This Row],[BW_GA]])-1)/(Backend!$B$4/100*Table1[[#This Row],[BW40_3705]]),"")</f>
        <v/>
      </c>
      <c r="I4823" s="7" t="str">
        <f>IF(Table1[[#This Row],[Is Data Valid]]=TRUE,((Table1[[#This Row],[Birthweight (grams)]]*1.1/Table1[[#This Row],[BW_GA]])-1)/(Backend!$B$4/100*Table1[[#This Row],[BW40_3705]]),"")</f>
        <v/>
      </c>
      <c r="J4823" s="7" t="str">
        <f>IF(Table1[[#This Row],[Is Data Valid]]=TRUE,_xlfn.NORM.S.DIST(Table1[[#This Row],[Birthweight Z-Score]],TRUE)*100,"")</f>
        <v/>
      </c>
      <c r="K4823" s="7" t="str">
        <f>IF(Table1[[#This Row],[Is Data Valid]]=TRUE,_xlfn.NORM.S.DIST(Table1[[#This Row],[Birthweight Z-Score (BW-10%)]],TRUE)*100,"")</f>
        <v/>
      </c>
      <c r="L4823" s="7" t="str">
        <f>IF(Table1[[#This Row],[Is Data Valid]]=TRUE,_xlfn.NORM.S.DIST(Table1[[#This Row],[Birthweight Z-Score (BW+10%)]],TRUE)*100,"")</f>
        <v/>
      </c>
    </row>
    <row r="4824" spans="1:12" x14ac:dyDescent="0.35">
      <c r="A4824" s="3"/>
      <c r="B4824" s="2"/>
      <c r="C4824" s="2"/>
      <c r="D4824" s="2" t="b">
        <f>IF(AND(NOT(ISBLANK(Table1[[#This Row],[Fetal Sex (Male, Female or Unknown)]])),ISNUMBER(Table1[[#This Row],[Birthweight (grams)]]),ISNUMBER(Table1[[#This Row],[Gestation (days)]])),TRUE,FALSE)</f>
        <v>0</v>
      </c>
      <c r="E4824" s="2" t="str">
        <f>IF(Table1[[#This Row],[Is Data Valid]]=TRUE,IF(Table1[[#This Row],[Fetal Sex (Male, Female or Unknown)]]="Male",Backend!$C$6,IF(Table1[[#This Row],[Fetal Sex (Male, Female or Unknown)]]="Female",Backend!$C$7,IF(Table1[[#This Row],[Fetal Sex (Male, Female or Unknown)]]="Unknown",Backend!$C$8,"Error"))),"")</f>
        <v/>
      </c>
      <c r="F4824" s="8" t="str">
        <f>IF(Table1[[#This Row],[Is Data Valid]]=TRUE,EXP(0.578+0.332*((Table1[[#This Row],[Gestation (days)]]+0.5)/7)-0.00354*((Table1[[#This Row],[Gestation (days)]]+0.5)/7)^2)*Table1[[#This Row],[BW40_3705]],"")</f>
        <v/>
      </c>
      <c r="G4824" s="2" t="str">
        <f>IF(Table1[[#This Row],[Is Data Valid]]=TRUE,((Table1[[#This Row],[Birthweight (grams)]]/Table1[[#This Row],[BW_GA]])-1)/(Backend!$B$4/100*Table1[[#This Row],[BW40_3705]]),"")</f>
        <v/>
      </c>
      <c r="H4824" s="7" t="str">
        <f>IF(Table1[[#This Row],[Is Data Valid]]=TRUE,((Table1[[#This Row],[Birthweight (grams)]]*0.9/Table1[[#This Row],[BW_GA]])-1)/(Backend!$B$4/100*Table1[[#This Row],[BW40_3705]]),"")</f>
        <v/>
      </c>
      <c r="I4824" s="7" t="str">
        <f>IF(Table1[[#This Row],[Is Data Valid]]=TRUE,((Table1[[#This Row],[Birthweight (grams)]]*1.1/Table1[[#This Row],[BW_GA]])-1)/(Backend!$B$4/100*Table1[[#This Row],[BW40_3705]]),"")</f>
        <v/>
      </c>
      <c r="J4824" s="7" t="str">
        <f>IF(Table1[[#This Row],[Is Data Valid]]=TRUE,_xlfn.NORM.S.DIST(Table1[[#This Row],[Birthweight Z-Score]],TRUE)*100,"")</f>
        <v/>
      </c>
      <c r="K4824" s="7" t="str">
        <f>IF(Table1[[#This Row],[Is Data Valid]]=TRUE,_xlfn.NORM.S.DIST(Table1[[#This Row],[Birthweight Z-Score (BW-10%)]],TRUE)*100,"")</f>
        <v/>
      </c>
      <c r="L4824" s="7" t="str">
        <f>IF(Table1[[#This Row],[Is Data Valid]]=TRUE,_xlfn.NORM.S.DIST(Table1[[#This Row],[Birthweight Z-Score (BW+10%)]],TRUE)*100,"")</f>
        <v/>
      </c>
    </row>
    <row r="4825" spans="1:12" x14ac:dyDescent="0.35">
      <c r="A4825" s="3"/>
      <c r="B4825" s="2"/>
      <c r="C4825" s="2"/>
      <c r="D4825" s="2" t="b">
        <f>IF(AND(NOT(ISBLANK(Table1[[#This Row],[Fetal Sex (Male, Female or Unknown)]])),ISNUMBER(Table1[[#This Row],[Birthweight (grams)]]),ISNUMBER(Table1[[#This Row],[Gestation (days)]])),TRUE,FALSE)</f>
        <v>0</v>
      </c>
      <c r="E4825" s="2" t="str">
        <f>IF(Table1[[#This Row],[Is Data Valid]]=TRUE,IF(Table1[[#This Row],[Fetal Sex (Male, Female or Unknown)]]="Male",Backend!$C$6,IF(Table1[[#This Row],[Fetal Sex (Male, Female or Unknown)]]="Female",Backend!$C$7,IF(Table1[[#This Row],[Fetal Sex (Male, Female or Unknown)]]="Unknown",Backend!$C$8,"Error"))),"")</f>
        <v/>
      </c>
      <c r="F4825" s="8" t="str">
        <f>IF(Table1[[#This Row],[Is Data Valid]]=TRUE,EXP(0.578+0.332*((Table1[[#This Row],[Gestation (days)]]+0.5)/7)-0.00354*((Table1[[#This Row],[Gestation (days)]]+0.5)/7)^2)*Table1[[#This Row],[BW40_3705]],"")</f>
        <v/>
      </c>
      <c r="G4825" s="2" t="str">
        <f>IF(Table1[[#This Row],[Is Data Valid]]=TRUE,((Table1[[#This Row],[Birthweight (grams)]]/Table1[[#This Row],[BW_GA]])-1)/(Backend!$B$4/100*Table1[[#This Row],[BW40_3705]]),"")</f>
        <v/>
      </c>
      <c r="H4825" s="7" t="str">
        <f>IF(Table1[[#This Row],[Is Data Valid]]=TRUE,((Table1[[#This Row],[Birthweight (grams)]]*0.9/Table1[[#This Row],[BW_GA]])-1)/(Backend!$B$4/100*Table1[[#This Row],[BW40_3705]]),"")</f>
        <v/>
      </c>
      <c r="I4825" s="7" t="str">
        <f>IF(Table1[[#This Row],[Is Data Valid]]=TRUE,((Table1[[#This Row],[Birthweight (grams)]]*1.1/Table1[[#This Row],[BW_GA]])-1)/(Backend!$B$4/100*Table1[[#This Row],[BW40_3705]]),"")</f>
        <v/>
      </c>
      <c r="J4825" s="7" t="str">
        <f>IF(Table1[[#This Row],[Is Data Valid]]=TRUE,_xlfn.NORM.S.DIST(Table1[[#This Row],[Birthweight Z-Score]],TRUE)*100,"")</f>
        <v/>
      </c>
      <c r="K4825" s="7" t="str">
        <f>IF(Table1[[#This Row],[Is Data Valid]]=TRUE,_xlfn.NORM.S.DIST(Table1[[#This Row],[Birthweight Z-Score (BW-10%)]],TRUE)*100,"")</f>
        <v/>
      </c>
      <c r="L4825" s="7" t="str">
        <f>IF(Table1[[#This Row],[Is Data Valid]]=TRUE,_xlfn.NORM.S.DIST(Table1[[#This Row],[Birthweight Z-Score (BW+10%)]],TRUE)*100,"")</f>
        <v/>
      </c>
    </row>
    <row r="4826" spans="1:12" x14ac:dyDescent="0.35">
      <c r="A4826" s="3"/>
      <c r="B4826" s="2"/>
      <c r="C4826" s="2"/>
      <c r="D4826" s="2" t="b">
        <f>IF(AND(NOT(ISBLANK(Table1[[#This Row],[Fetal Sex (Male, Female or Unknown)]])),ISNUMBER(Table1[[#This Row],[Birthweight (grams)]]),ISNUMBER(Table1[[#This Row],[Gestation (days)]])),TRUE,FALSE)</f>
        <v>0</v>
      </c>
      <c r="E4826" s="2" t="str">
        <f>IF(Table1[[#This Row],[Is Data Valid]]=TRUE,IF(Table1[[#This Row],[Fetal Sex (Male, Female or Unknown)]]="Male",Backend!$C$6,IF(Table1[[#This Row],[Fetal Sex (Male, Female or Unknown)]]="Female",Backend!$C$7,IF(Table1[[#This Row],[Fetal Sex (Male, Female or Unknown)]]="Unknown",Backend!$C$8,"Error"))),"")</f>
        <v/>
      </c>
      <c r="F4826" s="8" t="str">
        <f>IF(Table1[[#This Row],[Is Data Valid]]=TRUE,EXP(0.578+0.332*((Table1[[#This Row],[Gestation (days)]]+0.5)/7)-0.00354*((Table1[[#This Row],[Gestation (days)]]+0.5)/7)^2)*Table1[[#This Row],[BW40_3705]],"")</f>
        <v/>
      </c>
      <c r="G4826" s="2" t="str">
        <f>IF(Table1[[#This Row],[Is Data Valid]]=TRUE,((Table1[[#This Row],[Birthweight (grams)]]/Table1[[#This Row],[BW_GA]])-1)/(Backend!$B$4/100*Table1[[#This Row],[BW40_3705]]),"")</f>
        <v/>
      </c>
      <c r="H4826" s="7" t="str">
        <f>IF(Table1[[#This Row],[Is Data Valid]]=TRUE,((Table1[[#This Row],[Birthweight (grams)]]*0.9/Table1[[#This Row],[BW_GA]])-1)/(Backend!$B$4/100*Table1[[#This Row],[BW40_3705]]),"")</f>
        <v/>
      </c>
      <c r="I4826" s="7" t="str">
        <f>IF(Table1[[#This Row],[Is Data Valid]]=TRUE,((Table1[[#This Row],[Birthweight (grams)]]*1.1/Table1[[#This Row],[BW_GA]])-1)/(Backend!$B$4/100*Table1[[#This Row],[BW40_3705]]),"")</f>
        <v/>
      </c>
      <c r="J4826" s="7" t="str">
        <f>IF(Table1[[#This Row],[Is Data Valid]]=TRUE,_xlfn.NORM.S.DIST(Table1[[#This Row],[Birthweight Z-Score]],TRUE)*100,"")</f>
        <v/>
      </c>
      <c r="K4826" s="7" t="str">
        <f>IF(Table1[[#This Row],[Is Data Valid]]=TRUE,_xlfn.NORM.S.DIST(Table1[[#This Row],[Birthweight Z-Score (BW-10%)]],TRUE)*100,"")</f>
        <v/>
      </c>
      <c r="L4826" s="7" t="str">
        <f>IF(Table1[[#This Row],[Is Data Valid]]=TRUE,_xlfn.NORM.S.DIST(Table1[[#This Row],[Birthweight Z-Score (BW+10%)]],TRUE)*100,"")</f>
        <v/>
      </c>
    </row>
    <row r="4827" spans="1:12" x14ac:dyDescent="0.35">
      <c r="A4827" s="3"/>
      <c r="B4827" s="2"/>
      <c r="C4827" s="2"/>
      <c r="D4827" s="2" t="b">
        <f>IF(AND(NOT(ISBLANK(Table1[[#This Row],[Fetal Sex (Male, Female or Unknown)]])),ISNUMBER(Table1[[#This Row],[Birthweight (grams)]]),ISNUMBER(Table1[[#This Row],[Gestation (days)]])),TRUE,FALSE)</f>
        <v>0</v>
      </c>
      <c r="E4827" s="2" t="str">
        <f>IF(Table1[[#This Row],[Is Data Valid]]=TRUE,IF(Table1[[#This Row],[Fetal Sex (Male, Female or Unknown)]]="Male",Backend!$C$6,IF(Table1[[#This Row],[Fetal Sex (Male, Female or Unknown)]]="Female",Backend!$C$7,IF(Table1[[#This Row],[Fetal Sex (Male, Female or Unknown)]]="Unknown",Backend!$C$8,"Error"))),"")</f>
        <v/>
      </c>
      <c r="F4827" s="8" t="str">
        <f>IF(Table1[[#This Row],[Is Data Valid]]=TRUE,EXP(0.578+0.332*((Table1[[#This Row],[Gestation (days)]]+0.5)/7)-0.00354*((Table1[[#This Row],[Gestation (days)]]+0.5)/7)^2)*Table1[[#This Row],[BW40_3705]],"")</f>
        <v/>
      </c>
      <c r="G4827" s="2" t="str">
        <f>IF(Table1[[#This Row],[Is Data Valid]]=TRUE,((Table1[[#This Row],[Birthweight (grams)]]/Table1[[#This Row],[BW_GA]])-1)/(Backend!$B$4/100*Table1[[#This Row],[BW40_3705]]),"")</f>
        <v/>
      </c>
      <c r="H4827" s="7" t="str">
        <f>IF(Table1[[#This Row],[Is Data Valid]]=TRUE,((Table1[[#This Row],[Birthweight (grams)]]*0.9/Table1[[#This Row],[BW_GA]])-1)/(Backend!$B$4/100*Table1[[#This Row],[BW40_3705]]),"")</f>
        <v/>
      </c>
      <c r="I4827" s="7" t="str">
        <f>IF(Table1[[#This Row],[Is Data Valid]]=TRUE,((Table1[[#This Row],[Birthweight (grams)]]*1.1/Table1[[#This Row],[BW_GA]])-1)/(Backend!$B$4/100*Table1[[#This Row],[BW40_3705]]),"")</f>
        <v/>
      </c>
      <c r="J4827" s="7" t="str">
        <f>IF(Table1[[#This Row],[Is Data Valid]]=TRUE,_xlfn.NORM.S.DIST(Table1[[#This Row],[Birthweight Z-Score]],TRUE)*100,"")</f>
        <v/>
      </c>
      <c r="K4827" s="7" t="str">
        <f>IF(Table1[[#This Row],[Is Data Valid]]=TRUE,_xlfn.NORM.S.DIST(Table1[[#This Row],[Birthweight Z-Score (BW-10%)]],TRUE)*100,"")</f>
        <v/>
      </c>
      <c r="L4827" s="7" t="str">
        <f>IF(Table1[[#This Row],[Is Data Valid]]=TRUE,_xlfn.NORM.S.DIST(Table1[[#This Row],[Birthweight Z-Score (BW+10%)]],TRUE)*100,"")</f>
        <v/>
      </c>
    </row>
    <row r="4828" spans="1:12" x14ac:dyDescent="0.35">
      <c r="A4828" s="3"/>
      <c r="B4828" s="2"/>
      <c r="C4828" s="2"/>
      <c r="D4828" s="2" t="b">
        <f>IF(AND(NOT(ISBLANK(Table1[[#This Row],[Fetal Sex (Male, Female or Unknown)]])),ISNUMBER(Table1[[#This Row],[Birthweight (grams)]]),ISNUMBER(Table1[[#This Row],[Gestation (days)]])),TRUE,FALSE)</f>
        <v>0</v>
      </c>
      <c r="E4828" s="2" t="str">
        <f>IF(Table1[[#This Row],[Is Data Valid]]=TRUE,IF(Table1[[#This Row],[Fetal Sex (Male, Female or Unknown)]]="Male",Backend!$C$6,IF(Table1[[#This Row],[Fetal Sex (Male, Female or Unknown)]]="Female",Backend!$C$7,IF(Table1[[#This Row],[Fetal Sex (Male, Female or Unknown)]]="Unknown",Backend!$C$8,"Error"))),"")</f>
        <v/>
      </c>
      <c r="F4828" s="8" t="str">
        <f>IF(Table1[[#This Row],[Is Data Valid]]=TRUE,EXP(0.578+0.332*((Table1[[#This Row],[Gestation (days)]]+0.5)/7)-0.00354*((Table1[[#This Row],[Gestation (days)]]+0.5)/7)^2)*Table1[[#This Row],[BW40_3705]],"")</f>
        <v/>
      </c>
      <c r="G4828" s="2" t="str">
        <f>IF(Table1[[#This Row],[Is Data Valid]]=TRUE,((Table1[[#This Row],[Birthweight (grams)]]/Table1[[#This Row],[BW_GA]])-1)/(Backend!$B$4/100*Table1[[#This Row],[BW40_3705]]),"")</f>
        <v/>
      </c>
      <c r="H4828" s="7" t="str">
        <f>IF(Table1[[#This Row],[Is Data Valid]]=TRUE,((Table1[[#This Row],[Birthweight (grams)]]*0.9/Table1[[#This Row],[BW_GA]])-1)/(Backend!$B$4/100*Table1[[#This Row],[BW40_3705]]),"")</f>
        <v/>
      </c>
      <c r="I4828" s="7" t="str">
        <f>IF(Table1[[#This Row],[Is Data Valid]]=TRUE,((Table1[[#This Row],[Birthweight (grams)]]*1.1/Table1[[#This Row],[BW_GA]])-1)/(Backend!$B$4/100*Table1[[#This Row],[BW40_3705]]),"")</f>
        <v/>
      </c>
      <c r="J4828" s="7" t="str">
        <f>IF(Table1[[#This Row],[Is Data Valid]]=TRUE,_xlfn.NORM.S.DIST(Table1[[#This Row],[Birthweight Z-Score]],TRUE)*100,"")</f>
        <v/>
      </c>
      <c r="K4828" s="7" t="str">
        <f>IF(Table1[[#This Row],[Is Data Valid]]=TRUE,_xlfn.NORM.S.DIST(Table1[[#This Row],[Birthweight Z-Score (BW-10%)]],TRUE)*100,"")</f>
        <v/>
      </c>
      <c r="L4828" s="7" t="str">
        <f>IF(Table1[[#This Row],[Is Data Valid]]=TRUE,_xlfn.NORM.S.DIST(Table1[[#This Row],[Birthweight Z-Score (BW+10%)]],TRUE)*100,"")</f>
        <v/>
      </c>
    </row>
    <row r="4829" spans="1:12" x14ac:dyDescent="0.35">
      <c r="A4829" s="3"/>
      <c r="B4829" s="2"/>
      <c r="C4829" s="2"/>
      <c r="D4829" s="2" t="b">
        <f>IF(AND(NOT(ISBLANK(Table1[[#This Row],[Fetal Sex (Male, Female or Unknown)]])),ISNUMBER(Table1[[#This Row],[Birthweight (grams)]]),ISNUMBER(Table1[[#This Row],[Gestation (days)]])),TRUE,FALSE)</f>
        <v>0</v>
      </c>
      <c r="E4829" s="2" t="str">
        <f>IF(Table1[[#This Row],[Is Data Valid]]=TRUE,IF(Table1[[#This Row],[Fetal Sex (Male, Female or Unknown)]]="Male",Backend!$C$6,IF(Table1[[#This Row],[Fetal Sex (Male, Female or Unknown)]]="Female",Backend!$C$7,IF(Table1[[#This Row],[Fetal Sex (Male, Female or Unknown)]]="Unknown",Backend!$C$8,"Error"))),"")</f>
        <v/>
      </c>
      <c r="F4829" s="8" t="str">
        <f>IF(Table1[[#This Row],[Is Data Valid]]=TRUE,EXP(0.578+0.332*((Table1[[#This Row],[Gestation (days)]]+0.5)/7)-0.00354*((Table1[[#This Row],[Gestation (days)]]+0.5)/7)^2)*Table1[[#This Row],[BW40_3705]],"")</f>
        <v/>
      </c>
      <c r="G4829" s="2" t="str">
        <f>IF(Table1[[#This Row],[Is Data Valid]]=TRUE,((Table1[[#This Row],[Birthweight (grams)]]/Table1[[#This Row],[BW_GA]])-1)/(Backend!$B$4/100*Table1[[#This Row],[BW40_3705]]),"")</f>
        <v/>
      </c>
      <c r="H4829" s="7" t="str">
        <f>IF(Table1[[#This Row],[Is Data Valid]]=TRUE,((Table1[[#This Row],[Birthweight (grams)]]*0.9/Table1[[#This Row],[BW_GA]])-1)/(Backend!$B$4/100*Table1[[#This Row],[BW40_3705]]),"")</f>
        <v/>
      </c>
      <c r="I4829" s="7" t="str">
        <f>IF(Table1[[#This Row],[Is Data Valid]]=TRUE,((Table1[[#This Row],[Birthweight (grams)]]*1.1/Table1[[#This Row],[BW_GA]])-1)/(Backend!$B$4/100*Table1[[#This Row],[BW40_3705]]),"")</f>
        <v/>
      </c>
      <c r="J4829" s="7" t="str">
        <f>IF(Table1[[#This Row],[Is Data Valid]]=TRUE,_xlfn.NORM.S.DIST(Table1[[#This Row],[Birthweight Z-Score]],TRUE)*100,"")</f>
        <v/>
      </c>
      <c r="K4829" s="7" t="str">
        <f>IF(Table1[[#This Row],[Is Data Valid]]=TRUE,_xlfn.NORM.S.DIST(Table1[[#This Row],[Birthweight Z-Score (BW-10%)]],TRUE)*100,"")</f>
        <v/>
      </c>
      <c r="L4829" s="7" t="str">
        <f>IF(Table1[[#This Row],[Is Data Valid]]=TRUE,_xlfn.NORM.S.DIST(Table1[[#This Row],[Birthweight Z-Score (BW+10%)]],TRUE)*100,"")</f>
        <v/>
      </c>
    </row>
    <row r="4830" spans="1:12" x14ac:dyDescent="0.35">
      <c r="A4830" s="3"/>
      <c r="B4830" s="2"/>
      <c r="C4830" s="2"/>
      <c r="D4830" s="2" t="b">
        <f>IF(AND(NOT(ISBLANK(Table1[[#This Row],[Fetal Sex (Male, Female or Unknown)]])),ISNUMBER(Table1[[#This Row],[Birthweight (grams)]]),ISNUMBER(Table1[[#This Row],[Gestation (days)]])),TRUE,FALSE)</f>
        <v>0</v>
      </c>
      <c r="E4830" s="2" t="str">
        <f>IF(Table1[[#This Row],[Is Data Valid]]=TRUE,IF(Table1[[#This Row],[Fetal Sex (Male, Female or Unknown)]]="Male",Backend!$C$6,IF(Table1[[#This Row],[Fetal Sex (Male, Female or Unknown)]]="Female",Backend!$C$7,IF(Table1[[#This Row],[Fetal Sex (Male, Female or Unknown)]]="Unknown",Backend!$C$8,"Error"))),"")</f>
        <v/>
      </c>
      <c r="F4830" s="8" t="str">
        <f>IF(Table1[[#This Row],[Is Data Valid]]=TRUE,EXP(0.578+0.332*((Table1[[#This Row],[Gestation (days)]]+0.5)/7)-0.00354*((Table1[[#This Row],[Gestation (days)]]+0.5)/7)^2)*Table1[[#This Row],[BW40_3705]],"")</f>
        <v/>
      </c>
      <c r="G4830" s="2" t="str">
        <f>IF(Table1[[#This Row],[Is Data Valid]]=TRUE,((Table1[[#This Row],[Birthweight (grams)]]/Table1[[#This Row],[BW_GA]])-1)/(Backend!$B$4/100*Table1[[#This Row],[BW40_3705]]),"")</f>
        <v/>
      </c>
      <c r="H4830" s="7" t="str">
        <f>IF(Table1[[#This Row],[Is Data Valid]]=TRUE,((Table1[[#This Row],[Birthweight (grams)]]*0.9/Table1[[#This Row],[BW_GA]])-1)/(Backend!$B$4/100*Table1[[#This Row],[BW40_3705]]),"")</f>
        <v/>
      </c>
      <c r="I4830" s="7" t="str">
        <f>IF(Table1[[#This Row],[Is Data Valid]]=TRUE,((Table1[[#This Row],[Birthweight (grams)]]*1.1/Table1[[#This Row],[BW_GA]])-1)/(Backend!$B$4/100*Table1[[#This Row],[BW40_3705]]),"")</f>
        <v/>
      </c>
      <c r="J4830" s="7" t="str">
        <f>IF(Table1[[#This Row],[Is Data Valid]]=TRUE,_xlfn.NORM.S.DIST(Table1[[#This Row],[Birthweight Z-Score]],TRUE)*100,"")</f>
        <v/>
      </c>
      <c r="K4830" s="7" t="str">
        <f>IF(Table1[[#This Row],[Is Data Valid]]=TRUE,_xlfn.NORM.S.DIST(Table1[[#This Row],[Birthweight Z-Score (BW-10%)]],TRUE)*100,"")</f>
        <v/>
      </c>
      <c r="L4830" s="7" t="str">
        <f>IF(Table1[[#This Row],[Is Data Valid]]=TRUE,_xlfn.NORM.S.DIST(Table1[[#This Row],[Birthweight Z-Score (BW+10%)]],TRUE)*100,"")</f>
        <v/>
      </c>
    </row>
    <row r="4831" spans="1:12" x14ac:dyDescent="0.35">
      <c r="A4831" s="3"/>
      <c r="B4831" s="2"/>
      <c r="C4831" s="2"/>
      <c r="D4831" s="2" t="b">
        <f>IF(AND(NOT(ISBLANK(Table1[[#This Row],[Fetal Sex (Male, Female or Unknown)]])),ISNUMBER(Table1[[#This Row],[Birthweight (grams)]]),ISNUMBER(Table1[[#This Row],[Gestation (days)]])),TRUE,FALSE)</f>
        <v>0</v>
      </c>
      <c r="E4831" s="2" t="str">
        <f>IF(Table1[[#This Row],[Is Data Valid]]=TRUE,IF(Table1[[#This Row],[Fetal Sex (Male, Female or Unknown)]]="Male",Backend!$C$6,IF(Table1[[#This Row],[Fetal Sex (Male, Female or Unknown)]]="Female",Backend!$C$7,IF(Table1[[#This Row],[Fetal Sex (Male, Female or Unknown)]]="Unknown",Backend!$C$8,"Error"))),"")</f>
        <v/>
      </c>
      <c r="F4831" s="8" t="str">
        <f>IF(Table1[[#This Row],[Is Data Valid]]=TRUE,EXP(0.578+0.332*((Table1[[#This Row],[Gestation (days)]]+0.5)/7)-0.00354*((Table1[[#This Row],[Gestation (days)]]+0.5)/7)^2)*Table1[[#This Row],[BW40_3705]],"")</f>
        <v/>
      </c>
      <c r="G4831" s="2" t="str">
        <f>IF(Table1[[#This Row],[Is Data Valid]]=TRUE,((Table1[[#This Row],[Birthweight (grams)]]/Table1[[#This Row],[BW_GA]])-1)/(Backend!$B$4/100*Table1[[#This Row],[BW40_3705]]),"")</f>
        <v/>
      </c>
      <c r="H4831" s="7" t="str">
        <f>IF(Table1[[#This Row],[Is Data Valid]]=TRUE,((Table1[[#This Row],[Birthweight (grams)]]*0.9/Table1[[#This Row],[BW_GA]])-1)/(Backend!$B$4/100*Table1[[#This Row],[BW40_3705]]),"")</f>
        <v/>
      </c>
      <c r="I4831" s="7" t="str">
        <f>IF(Table1[[#This Row],[Is Data Valid]]=TRUE,((Table1[[#This Row],[Birthweight (grams)]]*1.1/Table1[[#This Row],[BW_GA]])-1)/(Backend!$B$4/100*Table1[[#This Row],[BW40_3705]]),"")</f>
        <v/>
      </c>
      <c r="J4831" s="7" t="str">
        <f>IF(Table1[[#This Row],[Is Data Valid]]=TRUE,_xlfn.NORM.S.DIST(Table1[[#This Row],[Birthweight Z-Score]],TRUE)*100,"")</f>
        <v/>
      </c>
      <c r="K4831" s="7" t="str">
        <f>IF(Table1[[#This Row],[Is Data Valid]]=TRUE,_xlfn.NORM.S.DIST(Table1[[#This Row],[Birthweight Z-Score (BW-10%)]],TRUE)*100,"")</f>
        <v/>
      </c>
      <c r="L4831" s="7" t="str">
        <f>IF(Table1[[#This Row],[Is Data Valid]]=TRUE,_xlfn.NORM.S.DIST(Table1[[#This Row],[Birthweight Z-Score (BW+10%)]],TRUE)*100,"")</f>
        <v/>
      </c>
    </row>
    <row r="4832" spans="1:12" x14ac:dyDescent="0.35">
      <c r="A4832" s="3"/>
      <c r="B4832" s="2"/>
      <c r="C4832" s="2"/>
      <c r="D4832" s="2" t="b">
        <f>IF(AND(NOT(ISBLANK(Table1[[#This Row],[Fetal Sex (Male, Female or Unknown)]])),ISNUMBER(Table1[[#This Row],[Birthweight (grams)]]),ISNUMBER(Table1[[#This Row],[Gestation (days)]])),TRUE,FALSE)</f>
        <v>0</v>
      </c>
      <c r="E4832" s="2" t="str">
        <f>IF(Table1[[#This Row],[Is Data Valid]]=TRUE,IF(Table1[[#This Row],[Fetal Sex (Male, Female or Unknown)]]="Male",Backend!$C$6,IF(Table1[[#This Row],[Fetal Sex (Male, Female or Unknown)]]="Female",Backend!$C$7,IF(Table1[[#This Row],[Fetal Sex (Male, Female or Unknown)]]="Unknown",Backend!$C$8,"Error"))),"")</f>
        <v/>
      </c>
      <c r="F4832" s="8" t="str">
        <f>IF(Table1[[#This Row],[Is Data Valid]]=TRUE,EXP(0.578+0.332*((Table1[[#This Row],[Gestation (days)]]+0.5)/7)-0.00354*((Table1[[#This Row],[Gestation (days)]]+0.5)/7)^2)*Table1[[#This Row],[BW40_3705]],"")</f>
        <v/>
      </c>
      <c r="G4832" s="2" t="str">
        <f>IF(Table1[[#This Row],[Is Data Valid]]=TRUE,((Table1[[#This Row],[Birthweight (grams)]]/Table1[[#This Row],[BW_GA]])-1)/(Backend!$B$4/100*Table1[[#This Row],[BW40_3705]]),"")</f>
        <v/>
      </c>
      <c r="H4832" s="7" t="str">
        <f>IF(Table1[[#This Row],[Is Data Valid]]=TRUE,((Table1[[#This Row],[Birthweight (grams)]]*0.9/Table1[[#This Row],[BW_GA]])-1)/(Backend!$B$4/100*Table1[[#This Row],[BW40_3705]]),"")</f>
        <v/>
      </c>
      <c r="I4832" s="7" t="str">
        <f>IF(Table1[[#This Row],[Is Data Valid]]=TRUE,((Table1[[#This Row],[Birthweight (grams)]]*1.1/Table1[[#This Row],[BW_GA]])-1)/(Backend!$B$4/100*Table1[[#This Row],[BW40_3705]]),"")</f>
        <v/>
      </c>
      <c r="J4832" s="7" t="str">
        <f>IF(Table1[[#This Row],[Is Data Valid]]=TRUE,_xlfn.NORM.S.DIST(Table1[[#This Row],[Birthweight Z-Score]],TRUE)*100,"")</f>
        <v/>
      </c>
      <c r="K4832" s="7" t="str">
        <f>IF(Table1[[#This Row],[Is Data Valid]]=TRUE,_xlfn.NORM.S.DIST(Table1[[#This Row],[Birthweight Z-Score (BW-10%)]],TRUE)*100,"")</f>
        <v/>
      </c>
      <c r="L4832" s="7" t="str">
        <f>IF(Table1[[#This Row],[Is Data Valid]]=TRUE,_xlfn.NORM.S.DIST(Table1[[#This Row],[Birthweight Z-Score (BW+10%)]],TRUE)*100,"")</f>
        <v/>
      </c>
    </row>
    <row r="4833" spans="1:12" x14ac:dyDescent="0.35">
      <c r="A4833" s="3"/>
      <c r="B4833" s="2"/>
      <c r="C4833" s="2"/>
      <c r="D4833" s="2" t="b">
        <f>IF(AND(NOT(ISBLANK(Table1[[#This Row],[Fetal Sex (Male, Female or Unknown)]])),ISNUMBER(Table1[[#This Row],[Birthweight (grams)]]),ISNUMBER(Table1[[#This Row],[Gestation (days)]])),TRUE,FALSE)</f>
        <v>0</v>
      </c>
      <c r="E4833" s="2" t="str">
        <f>IF(Table1[[#This Row],[Is Data Valid]]=TRUE,IF(Table1[[#This Row],[Fetal Sex (Male, Female or Unknown)]]="Male",Backend!$C$6,IF(Table1[[#This Row],[Fetal Sex (Male, Female or Unknown)]]="Female",Backend!$C$7,IF(Table1[[#This Row],[Fetal Sex (Male, Female or Unknown)]]="Unknown",Backend!$C$8,"Error"))),"")</f>
        <v/>
      </c>
      <c r="F4833" s="8" t="str">
        <f>IF(Table1[[#This Row],[Is Data Valid]]=TRUE,EXP(0.578+0.332*((Table1[[#This Row],[Gestation (days)]]+0.5)/7)-0.00354*((Table1[[#This Row],[Gestation (days)]]+0.5)/7)^2)*Table1[[#This Row],[BW40_3705]],"")</f>
        <v/>
      </c>
      <c r="G4833" s="2" t="str">
        <f>IF(Table1[[#This Row],[Is Data Valid]]=TRUE,((Table1[[#This Row],[Birthweight (grams)]]/Table1[[#This Row],[BW_GA]])-1)/(Backend!$B$4/100*Table1[[#This Row],[BW40_3705]]),"")</f>
        <v/>
      </c>
      <c r="H4833" s="7" t="str">
        <f>IF(Table1[[#This Row],[Is Data Valid]]=TRUE,((Table1[[#This Row],[Birthweight (grams)]]*0.9/Table1[[#This Row],[BW_GA]])-1)/(Backend!$B$4/100*Table1[[#This Row],[BW40_3705]]),"")</f>
        <v/>
      </c>
      <c r="I4833" s="7" t="str">
        <f>IF(Table1[[#This Row],[Is Data Valid]]=TRUE,((Table1[[#This Row],[Birthweight (grams)]]*1.1/Table1[[#This Row],[BW_GA]])-1)/(Backend!$B$4/100*Table1[[#This Row],[BW40_3705]]),"")</f>
        <v/>
      </c>
      <c r="J4833" s="7" t="str">
        <f>IF(Table1[[#This Row],[Is Data Valid]]=TRUE,_xlfn.NORM.S.DIST(Table1[[#This Row],[Birthweight Z-Score]],TRUE)*100,"")</f>
        <v/>
      </c>
      <c r="K4833" s="7" t="str">
        <f>IF(Table1[[#This Row],[Is Data Valid]]=TRUE,_xlfn.NORM.S.DIST(Table1[[#This Row],[Birthweight Z-Score (BW-10%)]],TRUE)*100,"")</f>
        <v/>
      </c>
      <c r="L4833" s="7" t="str">
        <f>IF(Table1[[#This Row],[Is Data Valid]]=TRUE,_xlfn.NORM.S.DIST(Table1[[#This Row],[Birthweight Z-Score (BW+10%)]],TRUE)*100,"")</f>
        <v/>
      </c>
    </row>
    <row r="4834" spans="1:12" x14ac:dyDescent="0.35">
      <c r="A4834" s="3"/>
      <c r="B4834" s="2"/>
      <c r="C4834" s="2"/>
      <c r="D4834" s="2" t="b">
        <f>IF(AND(NOT(ISBLANK(Table1[[#This Row],[Fetal Sex (Male, Female or Unknown)]])),ISNUMBER(Table1[[#This Row],[Birthweight (grams)]]),ISNUMBER(Table1[[#This Row],[Gestation (days)]])),TRUE,FALSE)</f>
        <v>0</v>
      </c>
      <c r="E4834" s="2" t="str">
        <f>IF(Table1[[#This Row],[Is Data Valid]]=TRUE,IF(Table1[[#This Row],[Fetal Sex (Male, Female or Unknown)]]="Male",Backend!$C$6,IF(Table1[[#This Row],[Fetal Sex (Male, Female or Unknown)]]="Female",Backend!$C$7,IF(Table1[[#This Row],[Fetal Sex (Male, Female or Unknown)]]="Unknown",Backend!$C$8,"Error"))),"")</f>
        <v/>
      </c>
      <c r="F4834" s="8" t="str">
        <f>IF(Table1[[#This Row],[Is Data Valid]]=TRUE,EXP(0.578+0.332*((Table1[[#This Row],[Gestation (days)]]+0.5)/7)-0.00354*((Table1[[#This Row],[Gestation (days)]]+0.5)/7)^2)*Table1[[#This Row],[BW40_3705]],"")</f>
        <v/>
      </c>
      <c r="G4834" s="2" t="str">
        <f>IF(Table1[[#This Row],[Is Data Valid]]=TRUE,((Table1[[#This Row],[Birthweight (grams)]]/Table1[[#This Row],[BW_GA]])-1)/(Backend!$B$4/100*Table1[[#This Row],[BW40_3705]]),"")</f>
        <v/>
      </c>
      <c r="H4834" s="7" t="str">
        <f>IF(Table1[[#This Row],[Is Data Valid]]=TRUE,((Table1[[#This Row],[Birthweight (grams)]]*0.9/Table1[[#This Row],[BW_GA]])-1)/(Backend!$B$4/100*Table1[[#This Row],[BW40_3705]]),"")</f>
        <v/>
      </c>
      <c r="I4834" s="7" t="str">
        <f>IF(Table1[[#This Row],[Is Data Valid]]=TRUE,((Table1[[#This Row],[Birthweight (grams)]]*1.1/Table1[[#This Row],[BW_GA]])-1)/(Backend!$B$4/100*Table1[[#This Row],[BW40_3705]]),"")</f>
        <v/>
      </c>
      <c r="J4834" s="7" t="str">
        <f>IF(Table1[[#This Row],[Is Data Valid]]=TRUE,_xlfn.NORM.S.DIST(Table1[[#This Row],[Birthweight Z-Score]],TRUE)*100,"")</f>
        <v/>
      </c>
      <c r="K4834" s="7" t="str">
        <f>IF(Table1[[#This Row],[Is Data Valid]]=TRUE,_xlfn.NORM.S.DIST(Table1[[#This Row],[Birthweight Z-Score (BW-10%)]],TRUE)*100,"")</f>
        <v/>
      </c>
      <c r="L4834" s="7" t="str">
        <f>IF(Table1[[#This Row],[Is Data Valid]]=TRUE,_xlfn.NORM.S.DIST(Table1[[#This Row],[Birthweight Z-Score (BW+10%)]],TRUE)*100,"")</f>
        <v/>
      </c>
    </row>
    <row r="4835" spans="1:12" x14ac:dyDescent="0.35">
      <c r="A4835" s="3"/>
      <c r="B4835" s="2"/>
      <c r="C4835" s="2"/>
      <c r="D4835" s="2" t="b">
        <f>IF(AND(NOT(ISBLANK(Table1[[#This Row],[Fetal Sex (Male, Female or Unknown)]])),ISNUMBER(Table1[[#This Row],[Birthweight (grams)]]),ISNUMBER(Table1[[#This Row],[Gestation (days)]])),TRUE,FALSE)</f>
        <v>0</v>
      </c>
      <c r="E4835" s="2" t="str">
        <f>IF(Table1[[#This Row],[Is Data Valid]]=TRUE,IF(Table1[[#This Row],[Fetal Sex (Male, Female or Unknown)]]="Male",Backend!$C$6,IF(Table1[[#This Row],[Fetal Sex (Male, Female or Unknown)]]="Female",Backend!$C$7,IF(Table1[[#This Row],[Fetal Sex (Male, Female or Unknown)]]="Unknown",Backend!$C$8,"Error"))),"")</f>
        <v/>
      </c>
      <c r="F4835" s="8" t="str">
        <f>IF(Table1[[#This Row],[Is Data Valid]]=TRUE,EXP(0.578+0.332*((Table1[[#This Row],[Gestation (days)]]+0.5)/7)-0.00354*((Table1[[#This Row],[Gestation (days)]]+0.5)/7)^2)*Table1[[#This Row],[BW40_3705]],"")</f>
        <v/>
      </c>
      <c r="G4835" s="2" t="str">
        <f>IF(Table1[[#This Row],[Is Data Valid]]=TRUE,((Table1[[#This Row],[Birthweight (grams)]]/Table1[[#This Row],[BW_GA]])-1)/(Backend!$B$4/100*Table1[[#This Row],[BW40_3705]]),"")</f>
        <v/>
      </c>
      <c r="H4835" s="7" t="str">
        <f>IF(Table1[[#This Row],[Is Data Valid]]=TRUE,((Table1[[#This Row],[Birthweight (grams)]]*0.9/Table1[[#This Row],[BW_GA]])-1)/(Backend!$B$4/100*Table1[[#This Row],[BW40_3705]]),"")</f>
        <v/>
      </c>
      <c r="I4835" s="7" t="str">
        <f>IF(Table1[[#This Row],[Is Data Valid]]=TRUE,((Table1[[#This Row],[Birthweight (grams)]]*1.1/Table1[[#This Row],[BW_GA]])-1)/(Backend!$B$4/100*Table1[[#This Row],[BW40_3705]]),"")</f>
        <v/>
      </c>
      <c r="J4835" s="7" t="str">
        <f>IF(Table1[[#This Row],[Is Data Valid]]=TRUE,_xlfn.NORM.S.DIST(Table1[[#This Row],[Birthweight Z-Score]],TRUE)*100,"")</f>
        <v/>
      </c>
      <c r="K4835" s="7" t="str">
        <f>IF(Table1[[#This Row],[Is Data Valid]]=TRUE,_xlfn.NORM.S.DIST(Table1[[#This Row],[Birthweight Z-Score (BW-10%)]],TRUE)*100,"")</f>
        <v/>
      </c>
      <c r="L4835" s="7" t="str">
        <f>IF(Table1[[#This Row],[Is Data Valid]]=TRUE,_xlfn.NORM.S.DIST(Table1[[#This Row],[Birthweight Z-Score (BW+10%)]],TRUE)*100,"")</f>
        <v/>
      </c>
    </row>
    <row r="4836" spans="1:12" x14ac:dyDescent="0.35">
      <c r="A4836" s="3"/>
      <c r="B4836" s="2"/>
      <c r="C4836" s="2"/>
      <c r="D4836" s="2" t="b">
        <f>IF(AND(NOT(ISBLANK(Table1[[#This Row],[Fetal Sex (Male, Female or Unknown)]])),ISNUMBER(Table1[[#This Row],[Birthweight (grams)]]),ISNUMBER(Table1[[#This Row],[Gestation (days)]])),TRUE,FALSE)</f>
        <v>0</v>
      </c>
      <c r="E4836" s="2" t="str">
        <f>IF(Table1[[#This Row],[Is Data Valid]]=TRUE,IF(Table1[[#This Row],[Fetal Sex (Male, Female or Unknown)]]="Male",Backend!$C$6,IF(Table1[[#This Row],[Fetal Sex (Male, Female or Unknown)]]="Female",Backend!$C$7,IF(Table1[[#This Row],[Fetal Sex (Male, Female or Unknown)]]="Unknown",Backend!$C$8,"Error"))),"")</f>
        <v/>
      </c>
      <c r="F4836" s="8" t="str">
        <f>IF(Table1[[#This Row],[Is Data Valid]]=TRUE,EXP(0.578+0.332*((Table1[[#This Row],[Gestation (days)]]+0.5)/7)-0.00354*((Table1[[#This Row],[Gestation (days)]]+0.5)/7)^2)*Table1[[#This Row],[BW40_3705]],"")</f>
        <v/>
      </c>
      <c r="G4836" s="2" t="str">
        <f>IF(Table1[[#This Row],[Is Data Valid]]=TRUE,((Table1[[#This Row],[Birthweight (grams)]]/Table1[[#This Row],[BW_GA]])-1)/(Backend!$B$4/100*Table1[[#This Row],[BW40_3705]]),"")</f>
        <v/>
      </c>
      <c r="H4836" s="7" t="str">
        <f>IF(Table1[[#This Row],[Is Data Valid]]=TRUE,((Table1[[#This Row],[Birthweight (grams)]]*0.9/Table1[[#This Row],[BW_GA]])-1)/(Backend!$B$4/100*Table1[[#This Row],[BW40_3705]]),"")</f>
        <v/>
      </c>
      <c r="I4836" s="7" t="str">
        <f>IF(Table1[[#This Row],[Is Data Valid]]=TRUE,((Table1[[#This Row],[Birthweight (grams)]]*1.1/Table1[[#This Row],[BW_GA]])-1)/(Backend!$B$4/100*Table1[[#This Row],[BW40_3705]]),"")</f>
        <v/>
      </c>
      <c r="J4836" s="7" t="str">
        <f>IF(Table1[[#This Row],[Is Data Valid]]=TRUE,_xlfn.NORM.S.DIST(Table1[[#This Row],[Birthweight Z-Score]],TRUE)*100,"")</f>
        <v/>
      </c>
      <c r="K4836" s="7" t="str">
        <f>IF(Table1[[#This Row],[Is Data Valid]]=TRUE,_xlfn.NORM.S.DIST(Table1[[#This Row],[Birthweight Z-Score (BW-10%)]],TRUE)*100,"")</f>
        <v/>
      </c>
      <c r="L4836" s="7" t="str">
        <f>IF(Table1[[#This Row],[Is Data Valid]]=TRUE,_xlfn.NORM.S.DIST(Table1[[#This Row],[Birthweight Z-Score (BW+10%)]],TRUE)*100,"")</f>
        <v/>
      </c>
    </row>
    <row r="4837" spans="1:12" x14ac:dyDescent="0.35">
      <c r="A4837" s="3"/>
      <c r="B4837" s="2"/>
      <c r="C4837" s="2"/>
      <c r="D4837" s="2" t="b">
        <f>IF(AND(NOT(ISBLANK(Table1[[#This Row],[Fetal Sex (Male, Female or Unknown)]])),ISNUMBER(Table1[[#This Row],[Birthweight (grams)]]),ISNUMBER(Table1[[#This Row],[Gestation (days)]])),TRUE,FALSE)</f>
        <v>0</v>
      </c>
      <c r="E4837" s="2" t="str">
        <f>IF(Table1[[#This Row],[Is Data Valid]]=TRUE,IF(Table1[[#This Row],[Fetal Sex (Male, Female or Unknown)]]="Male",Backend!$C$6,IF(Table1[[#This Row],[Fetal Sex (Male, Female or Unknown)]]="Female",Backend!$C$7,IF(Table1[[#This Row],[Fetal Sex (Male, Female or Unknown)]]="Unknown",Backend!$C$8,"Error"))),"")</f>
        <v/>
      </c>
      <c r="F4837" s="8" t="str">
        <f>IF(Table1[[#This Row],[Is Data Valid]]=TRUE,EXP(0.578+0.332*((Table1[[#This Row],[Gestation (days)]]+0.5)/7)-0.00354*((Table1[[#This Row],[Gestation (days)]]+0.5)/7)^2)*Table1[[#This Row],[BW40_3705]],"")</f>
        <v/>
      </c>
      <c r="G4837" s="2" t="str">
        <f>IF(Table1[[#This Row],[Is Data Valid]]=TRUE,((Table1[[#This Row],[Birthweight (grams)]]/Table1[[#This Row],[BW_GA]])-1)/(Backend!$B$4/100*Table1[[#This Row],[BW40_3705]]),"")</f>
        <v/>
      </c>
      <c r="H4837" s="7" t="str">
        <f>IF(Table1[[#This Row],[Is Data Valid]]=TRUE,((Table1[[#This Row],[Birthweight (grams)]]*0.9/Table1[[#This Row],[BW_GA]])-1)/(Backend!$B$4/100*Table1[[#This Row],[BW40_3705]]),"")</f>
        <v/>
      </c>
      <c r="I4837" s="7" t="str">
        <f>IF(Table1[[#This Row],[Is Data Valid]]=TRUE,((Table1[[#This Row],[Birthweight (grams)]]*1.1/Table1[[#This Row],[BW_GA]])-1)/(Backend!$B$4/100*Table1[[#This Row],[BW40_3705]]),"")</f>
        <v/>
      </c>
      <c r="J4837" s="7" t="str">
        <f>IF(Table1[[#This Row],[Is Data Valid]]=TRUE,_xlfn.NORM.S.DIST(Table1[[#This Row],[Birthweight Z-Score]],TRUE)*100,"")</f>
        <v/>
      </c>
      <c r="K4837" s="7" t="str">
        <f>IF(Table1[[#This Row],[Is Data Valid]]=TRUE,_xlfn.NORM.S.DIST(Table1[[#This Row],[Birthweight Z-Score (BW-10%)]],TRUE)*100,"")</f>
        <v/>
      </c>
      <c r="L4837" s="7" t="str">
        <f>IF(Table1[[#This Row],[Is Data Valid]]=TRUE,_xlfn.NORM.S.DIST(Table1[[#This Row],[Birthweight Z-Score (BW+10%)]],TRUE)*100,"")</f>
        <v/>
      </c>
    </row>
    <row r="4838" spans="1:12" x14ac:dyDescent="0.35">
      <c r="A4838" s="3"/>
      <c r="B4838" s="2"/>
      <c r="C4838" s="2"/>
      <c r="D4838" s="2" t="b">
        <f>IF(AND(NOT(ISBLANK(Table1[[#This Row],[Fetal Sex (Male, Female or Unknown)]])),ISNUMBER(Table1[[#This Row],[Birthweight (grams)]]),ISNUMBER(Table1[[#This Row],[Gestation (days)]])),TRUE,FALSE)</f>
        <v>0</v>
      </c>
      <c r="E4838" s="2" t="str">
        <f>IF(Table1[[#This Row],[Is Data Valid]]=TRUE,IF(Table1[[#This Row],[Fetal Sex (Male, Female or Unknown)]]="Male",Backend!$C$6,IF(Table1[[#This Row],[Fetal Sex (Male, Female or Unknown)]]="Female",Backend!$C$7,IF(Table1[[#This Row],[Fetal Sex (Male, Female or Unknown)]]="Unknown",Backend!$C$8,"Error"))),"")</f>
        <v/>
      </c>
      <c r="F4838" s="8" t="str">
        <f>IF(Table1[[#This Row],[Is Data Valid]]=TRUE,EXP(0.578+0.332*((Table1[[#This Row],[Gestation (days)]]+0.5)/7)-0.00354*((Table1[[#This Row],[Gestation (days)]]+0.5)/7)^2)*Table1[[#This Row],[BW40_3705]],"")</f>
        <v/>
      </c>
      <c r="G4838" s="2" t="str">
        <f>IF(Table1[[#This Row],[Is Data Valid]]=TRUE,((Table1[[#This Row],[Birthweight (grams)]]/Table1[[#This Row],[BW_GA]])-1)/(Backend!$B$4/100*Table1[[#This Row],[BW40_3705]]),"")</f>
        <v/>
      </c>
      <c r="H4838" s="7" t="str">
        <f>IF(Table1[[#This Row],[Is Data Valid]]=TRUE,((Table1[[#This Row],[Birthweight (grams)]]*0.9/Table1[[#This Row],[BW_GA]])-1)/(Backend!$B$4/100*Table1[[#This Row],[BW40_3705]]),"")</f>
        <v/>
      </c>
      <c r="I4838" s="7" t="str">
        <f>IF(Table1[[#This Row],[Is Data Valid]]=TRUE,((Table1[[#This Row],[Birthweight (grams)]]*1.1/Table1[[#This Row],[BW_GA]])-1)/(Backend!$B$4/100*Table1[[#This Row],[BW40_3705]]),"")</f>
        <v/>
      </c>
      <c r="J4838" s="7" t="str">
        <f>IF(Table1[[#This Row],[Is Data Valid]]=TRUE,_xlfn.NORM.S.DIST(Table1[[#This Row],[Birthweight Z-Score]],TRUE)*100,"")</f>
        <v/>
      </c>
      <c r="K4838" s="7" t="str">
        <f>IF(Table1[[#This Row],[Is Data Valid]]=TRUE,_xlfn.NORM.S.DIST(Table1[[#This Row],[Birthweight Z-Score (BW-10%)]],TRUE)*100,"")</f>
        <v/>
      </c>
      <c r="L4838" s="7" t="str">
        <f>IF(Table1[[#This Row],[Is Data Valid]]=TRUE,_xlfn.NORM.S.DIST(Table1[[#This Row],[Birthweight Z-Score (BW+10%)]],TRUE)*100,"")</f>
        <v/>
      </c>
    </row>
    <row r="4839" spans="1:12" x14ac:dyDescent="0.35">
      <c r="A4839" s="3"/>
      <c r="B4839" s="2"/>
      <c r="C4839" s="2"/>
      <c r="D4839" s="2" t="b">
        <f>IF(AND(NOT(ISBLANK(Table1[[#This Row],[Fetal Sex (Male, Female or Unknown)]])),ISNUMBER(Table1[[#This Row],[Birthweight (grams)]]),ISNUMBER(Table1[[#This Row],[Gestation (days)]])),TRUE,FALSE)</f>
        <v>0</v>
      </c>
      <c r="E4839" s="2" t="str">
        <f>IF(Table1[[#This Row],[Is Data Valid]]=TRUE,IF(Table1[[#This Row],[Fetal Sex (Male, Female or Unknown)]]="Male",Backend!$C$6,IF(Table1[[#This Row],[Fetal Sex (Male, Female or Unknown)]]="Female",Backend!$C$7,IF(Table1[[#This Row],[Fetal Sex (Male, Female or Unknown)]]="Unknown",Backend!$C$8,"Error"))),"")</f>
        <v/>
      </c>
      <c r="F4839" s="8" t="str">
        <f>IF(Table1[[#This Row],[Is Data Valid]]=TRUE,EXP(0.578+0.332*((Table1[[#This Row],[Gestation (days)]]+0.5)/7)-0.00354*((Table1[[#This Row],[Gestation (days)]]+0.5)/7)^2)*Table1[[#This Row],[BW40_3705]],"")</f>
        <v/>
      </c>
      <c r="G4839" s="2" t="str">
        <f>IF(Table1[[#This Row],[Is Data Valid]]=TRUE,((Table1[[#This Row],[Birthweight (grams)]]/Table1[[#This Row],[BW_GA]])-1)/(Backend!$B$4/100*Table1[[#This Row],[BW40_3705]]),"")</f>
        <v/>
      </c>
      <c r="H4839" s="7" t="str">
        <f>IF(Table1[[#This Row],[Is Data Valid]]=TRUE,((Table1[[#This Row],[Birthweight (grams)]]*0.9/Table1[[#This Row],[BW_GA]])-1)/(Backend!$B$4/100*Table1[[#This Row],[BW40_3705]]),"")</f>
        <v/>
      </c>
      <c r="I4839" s="7" t="str">
        <f>IF(Table1[[#This Row],[Is Data Valid]]=TRUE,((Table1[[#This Row],[Birthweight (grams)]]*1.1/Table1[[#This Row],[BW_GA]])-1)/(Backend!$B$4/100*Table1[[#This Row],[BW40_3705]]),"")</f>
        <v/>
      </c>
      <c r="J4839" s="7" t="str">
        <f>IF(Table1[[#This Row],[Is Data Valid]]=TRUE,_xlfn.NORM.S.DIST(Table1[[#This Row],[Birthweight Z-Score]],TRUE)*100,"")</f>
        <v/>
      </c>
      <c r="K4839" s="7" t="str">
        <f>IF(Table1[[#This Row],[Is Data Valid]]=TRUE,_xlfn.NORM.S.DIST(Table1[[#This Row],[Birthweight Z-Score (BW-10%)]],TRUE)*100,"")</f>
        <v/>
      </c>
      <c r="L4839" s="7" t="str">
        <f>IF(Table1[[#This Row],[Is Data Valid]]=TRUE,_xlfn.NORM.S.DIST(Table1[[#This Row],[Birthweight Z-Score (BW+10%)]],TRUE)*100,"")</f>
        <v/>
      </c>
    </row>
    <row r="4840" spans="1:12" x14ac:dyDescent="0.35">
      <c r="A4840" s="3"/>
      <c r="B4840" s="2"/>
      <c r="C4840" s="2"/>
      <c r="D4840" s="2" t="b">
        <f>IF(AND(NOT(ISBLANK(Table1[[#This Row],[Fetal Sex (Male, Female or Unknown)]])),ISNUMBER(Table1[[#This Row],[Birthweight (grams)]]),ISNUMBER(Table1[[#This Row],[Gestation (days)]])),TRUE,FALSE)</f>
        <v>0</v>
      </c>
      <c r="E4840" s="2" t="str">
        <f>IF(Table1[[#This Row],[Is Data Valid]]=TRUE,IF(Table1[[#This Row],[Fetal Sex (Male, Female or Unknown)]]="Male",Backend!$C$6,IF(Table1[[#This Row],[Fetal Sex (Male, Female or Unknown)]]="Female",Backend!$C$7,IF(Table1[[#This Row],[Fetal Sex (Male, Female or Unknown)]]="Unknown",Backend!$C$8,"Error"))),"")</f>
        <v/>
      </c>
      <c r="F4840" s="8" t="str">
        <f>IF(Table1[[#This Row],[Is Data Valid]]=TRUE,EXP(0.578+0.332*((Table1[[#This Row],[Gestation (days)]]+0.5)/7)-0.00354*((Table1[[#This Row],[Gestation (days)]]+0.5)/7)^2)*Table1[[#This Row],[BW40_3705]],"")</f>
        <v/>
      </c>
      <c r="G4840" s="2" t="str">
        <f>IF(Table1[[#This Row],[Is Data Valid]]=TRUE,((Table1[[#This Row],[Birthweight (grams)]]/Table1[[#This Row],[BW_GA]])-1)/(Backend!$B$4/100*Table1[[#This Row],[BW40_3705]]),"")</f>
        <v/>
      </c>
      <c r="H4840" s="7" t="str">
        <f>IF(Table1[[#This Row],[Is Data Valid]]=TRUE,((Table1[[#This Row],[Birthweight (grams)]]*0.9/Table1[[#This Row],[BW_GA]])-1)/(Backend!$B$4/100*Table1[[#This Row],[BW40_3705]]),"")</f>
        <v/>
      </c>
      <c r="I4840" s="7" t="str">
        <f>IF(Table1[[#This Row],[Is Data Valid]]=TRUE,((Table1[[#This Row],[Birthweight (grams)]]*1.1/Table1[[#This Row],[BW_GA]])-1)/(Backend!$B$4/100*Table1[[#This Row],[BW40_3705]]),"")</f>
        <v/>
      </c>
      <c r="J4840" s="7" t="str">
        <f>IF(Table1[[#This Row],[Is Data Valid]]=TRUE,_xlfn.NORM.S.DIST(Table1[[#This Row],[Birthweight Z-Score]],TRUE)*100,"")</f>
        <v/>
      </c>
      <c r="K4840" s="7" t="str">
        <f>IF(Table1[[#This Row],[Is Data Valid]]=TRUE,_xlfn.NORM.S.DIST(Table1[[#This Row],[Birthweight Z-Score (BW-10%)]],TRUE)*100,"")</f>
        <v/>
      </c>
      <c r="L4840" s="7" t="str">
        <f>IF(Table1[[#This Row],[Is Data Valid]]=TRUE,_xlfn.NORM.S.DIST(Table1[[#This Row],[Birthweight Z-Score (BW+10%)]],TRUE)*100,"")</f>
        <v/>
      </c>
    </row>
    <row r="4841" spans="1:12" x14ac:dyDescent="0.35">
      <c r="A4841" s="3"/>
      <c r="B4841" s="2"/>
      <c r="C4841" s="2"/>
      <c r="D4841" s="2" t="b">
        <f>IF(AND(NOT(ISBLANK(Table1[[#This Row],[Fetal Sex (Male, Female or Unknown)]])),ISNUMBER(Table1[[#This Row],[Birthweight (grams)]]),ISNUMBER(Table1[[#This Row],[Gestation (days)]])),TRUE,FALSE)</f>
        <v>0</v>
      </c>
      <c r="E4841" s="2" t="str">
        <f>IF(Table1[[#This Row],[Is Data Valid]]=TRUE,IF(Table1[[#This Row],[Fetal Sex (Male, Female or Unknown)]]="Male",Backend!$C$6,IF(Table1[[#This Row],[Fetal Sex (Male, Female or Unknown)]]="Female",Backend!$C$7,IF(Table1[[#This Row],[Fetal Sex (Male, Female or Unknown)]]="Unknown",Backend!$C$8,"Error"))),"")</f>
        <v/>
      </c>
      <c r="F4841" s="8" t="str">
        <f>IF(Table1[[#This Row],[Is Data Valid]]=TRUE,EXP(0.578+0.332*((Table1[[#This Row],[Gestation (days)]]+0.5)/7)-0.00354*((Table1[[#This Row],[Gestation (days)]]+0.5)/7)^2)*Table1[[#This Row],[BW40_3705]],"")</f>
        <v/>
      </c>
      <c r="G4841" s="2" t="str">
        <f>IF(Table1[[#This Row],[Is Data Valid]]=TRUE,((Table1[[#This Row],[Birthweight (grams)]]/Table1[[#This Row],[BW_GA]])-1)/(Backend!$B$4/100*Table1[[#This Row],[BW40_3705]]),"")</f>
        <v/>
      </c>
      <c r="H4841" s="7" t="str">
        <f>IF(Table1[[#This Row],[Is Data Valid]]=TRUE,((Table1[[#This Row],[Birthweight (grams)]]*0.9/Table1[[#This Row],[BW_GA]])-1)/(Backend!$B$4/100*Table1[[#This Row],[BW40_3705]]),"")</f>
        <v/>
      </c>
      <c r="I4841" s="7" t="str">
        <f>IF(Table1[[#This Row],[Is Data Valid]]=TRUE,((Table1[[#This Row],[Birthweight (grams)]]*1.1/Table1[[#This Row],[BW_GA]])-1)/(Backend!$B$4/100*Table1[[#This Row],[BW40_3705]]),"")</f>
        <v/>
      </c>
      <c r="J4841" s="7" t="str">
        <f>IF(Table1[[#This Row],[Is Data Valid]]=TRUE,_xlfn.NORM.S.DIST(Table1[[#This Row],[Birthweight Z-Score]],TRUE)*100,"")</f>
        <v/>
      </c>
      <c r="K4841" s="7" t="str">
        <f>IF(Table1[[#This Row],[Is Data Valid]]=TRUE,_xlfn.NORM.S.DIST(Table1[[#This Row],[Birthweight Z-Score (BW-10%)]],TRUE)*100,"")</f>
        <v/>
      </c>
      <c r="L4841" s="7" t="str">
        <f>IF(Table1[[#This Row],[Is Data Valid]]=TRUE,_xlfn.NORM.S.DIST(Table1[[#This Row],[Birthweight Z-Score (BW+10%)]],TRUE)*100,"")</f>
        <v/>
      </c>
    </row>
    <row r="4842" spans="1:12" x14ac:dyDescent="0.35">
      <c r="A4842" s="3"/>
      <c r="B4842" s="2"/>
      <c r="C4842" s="2"/>
      <c r="D4842" s="2" t="b">
        <f>IF(AND(NOT(ISBLANK(Table1[[#This Row],[Fetal Sex (Male, Female or Unknown)]])),ISNUMBER(Table1[[#This Row],[Birthweight (grams)]]),ISNUMBER(Table1[[#This Row],[Gestation (days)]])),TRUE,FALSE)</f>
        <v>0</v>
      </c>
      <c r="E4842" s="2" t="str">
        <f>IF(Table1[[#This Row],[Is Data Valid]]=TRUE,IF(Table1[[#This Row],[Fetal Sex (Male, Female or Unknown)]]="Male",Backend!$C$6,IF(Table1[[#This Row],[Fetal Sex (Male, Female or Unknown)]]="Female",Backend!$C$7,IF(Table1[[#This Row],[Fetal Sex (Male, Female or Unknown)]]="Unknown",Backend!$C$8,"Error"))),"")</f>
        <v/>
      </c>
      <c r="F4842" s="8" t="str">
        <f>IF(Table1[[#This Row],[Is Data Valid]]=TRUE,EXP(0.578+0.332*((Table1[[#This Row],[Gestation (days)]]+0.5)/7)-0.00354*((Table1[[#This Row],[Gestation (days)]]+0.5)/7)^2)*Table1[[#This Row],[BW40_3705]],"")</f>
        <v/>
      </c>
      <c r="G4842" s="2" t="str">
        <f>IF(Table1[[#This Row],[Is Data Valid]]=TRUE,((Table1[[#This Row],[Birthweight (grams)]]/Table1[[#This Row],[BW_GA]])-1)/(Backend!$B$4/100*Table1[[#This Row],[BW40_3705]]),"")</f>
        <v/>
      </c>
      <c r="H4842" s="7" t="str">
        <f>IF(Table1[[#This Row],[Is Data Valid]]=TRUE,((Table1[[#This Row],[Birthweight (grams)]]*0.9/Table1[[#This Row],[BW_GA]])-1)/(Backend!$B$4/100*Table1[[#This Row],[BW40_3705]]),"")</f>
        <v/>
      </c>
      <c r="I4842" s="7" t="str">
        <f>IF(Table1[[#This Row],[Is Data Valid]]=TRUE,((Table1[[#This Row],[Birthweight (grams)]]*1.1/Table1[[#This Row],[BW_GA]])-1)/(Backend!$B$4/100*Table1[[#This Row],[BW40_3705]]),"")</f>
        <v/>
      </c>
      <c r="J4842" s="7" t="str">
        <f>IF(Table1[[#This Row],[Is Data Valid]]=TRUE,_xlfn.NORM.S.DIST(Table1[[#This Row],[Birthweight Z-Score]],TRUE)*100,"")</f>
        <v/>
      </c>
      <c r="K4842" s="7" t="str">
        <f>IF(Table1[[#This Row],[Is Data Valid]]=TRUE,_xlfn.NORM.S.DIST(Table1[[#This Row],[Birthweight Z-Score (BW-10%)]],TRUE)*100,"")</f>
        <v/>
      </c>
      <c r="L4842" s="7" t="str">
        <f>IF(Table1[[#This Row],[Is Data Valid]]=TRUE,_xlfn.NORM.S.DIST(Table1[[#This Row],[Birthweight Z-Score (BW+10%)]],TRUE)*100,"")</f>
        <v/>
      </c>
    </row>
    <row r="4843" spans="1:12" x14ac:dyDescent="0.35">
      <c r="A4843" s="3"/>
      <c r="B4843" s="2"/>
      <c r="C4843" s="2"/>
      <c r="D4843" s="2" t="b">
        <f>IF(AND(NOT(ISBLANK(Table1[[#This Row],[Fetal Sex (Male, Female or Unknown)]])),ISNUMBER(Table1[[#This Row],[Birthweight (grams)]]),ISNUMBER(Table1[[#This Row],[Gestation (days)]])),TRUE,FALSE)</f>
        <v>0</v>
      </c>
      <c r="E4843" s="2" t="str">
        <f>IF(Table1[[#This Row],[Is Data Valid]]=TRUE,IF(Table1[[#This Row],[Fetal Sex (Male, Female or Unknown)]]="Male",Backend!$C$6,IF(Table1[[#This Row],[Fetal Sex (Male, Female or Unknown)]]="Female",Backend!$C$7,IF(Table1[[#This Row],[Fetal Sex (Male, Female or Unknown)]]="Unknown",Backend!$C$8,"Error"))),"")</f>
        <v/>
      </c>
      <c r="F4843" s="8" t="str">
        <f>IF(Table1[[#This Row],[Is Data Valid]]=TRUE,EXP(0.578+0.332*((Table1[[#This Row],[Gestation (days)]]+0.5)/7)-0.00354*((Table1[[#This Row],[Gestation (days)]]+0.5)/7)^2)*Table1[[#This Row],[BW40_3705]],"")</f>
        <v/>
      </c>
      <c r="G4843" s="2" t="str">
        <f>IF(Table1[[#This Row],[Is Data Valid]]=TRUE,((Table1[[#This Row],[Birthweight (grams)]]/Table1[[#This Row],[BW_GA]])-1)/(Backend!$B$4/100*Table1[[#This Row],[BW40_3705]]),"")</f>
        <v/>
      </c>
      <c r="H4843" s="7" t="str">
        <f>IF(Table1[[#This Row],[Is Data Valid]]=TRUE,((Table1[[#This Row],[Birthweight (grams)]]*0.9/Table1[[#This Row],[BW_GA]])-1)/(Backend!$B$4/100*Table1[[#This Row],[BW40_3705]]),"")</f>
        <v/>
      </c>
      <c r="I4843" s="7" t="str">
        <f>IF(Table1[[#This Row],[Is Data Valid]]=TRUE,((Table1[[#This Row],[Birthweight (grams)]]*1.1/Table1[[#This Row],[BW_GA]])-1)/(Backend!$B$4/100*Table1[[#This Row],[BW40_3705]]),"")</f>
        <v/>
      </c>
      <c r="J4843" s="7" t="str">
        <f>IF(Table1[[#This Row],[Is Data Valid]]=TRUE,_xlfn.NORM.S.DIST(Table1[[#This Row],[Birthweight Z-Score]],TRUE)*100,"")</f>
        <v/>
      </c>
      <c r="K4843" s="7" t="str">
        <f>IF(Table1[[#This Row],[Is Data Valid]]=TRUE,_xlfn.NORM.S.DIST(Table1[[#This Row],[Birthweight Z-Score (BW-10%)]],TRUE)*100,"")</f>
        <v/>
      </c>
      <c r="L4843" s="7" t="str">
        <f>IF(Table1[[#This Row],[Is Data Valid]]=TRUE,_xlfn.NORM.S.DIST(Table1[[#This Row],[Birthweight Z-Score (BW+10%)]],TRUE)*100,"")</f>
        <v/>
      </c>
    </row>
    <row r="4844" spans="1:12" x14ac:dyDescent="0.35">
      <c r="A4844" s="3"/>
      <c r="B4844" s="2"/>
      <c r="C4844" s="2"/>
      <c r="D4844" s="2" t="b">
        <f>IF(AND(NOT(ISBLANK(Table1[[#This Row],[Fetal Sex (Male, Female or Unknown)]])),ISNUMBER(Table1[[#This Row],[Birthweight (grams)]]),ISNUMBER(Table1[[#This Row],[Gestation (days)]])),TRUE,FALSE)</f>
        <v>0</v>
      </c>
      <c r="E4844" s="2" t="str">
        <f>IF(Table1[[#This Row],[Is Data Valid]]=TRUE,IF(Table1[[#This Row],[Fetal Sex (Male, Female or Unknown)]]="Male",Backend!$C$6,IF(Table1[[#This Row],[Fetal Sex (Male, Female or Unknown)]]="Female",Backend!$C$7,IF(Table1[[#This Row],[Fetal Sex (Male, Female or Unknown)]]="Unknown",Backend!$C$8,"Error"))),"")</f>
        <v/>
      </c>
      <c r="F4844" s="8" t="str">
        <f>IF(Table1[[#This Row],[Is Data Valid]]=TRUE,EXP(0.578+0.332*((Table1[[#This Row],[Gestation (days)]]+0.5)/7)-0.00354*((Table1[[#This Row],[Gestation (days)]]+0.5)/7)^2)*Table1[[#This Row],[BW40_3705]],"")</f>
        <v/>
      </c>
      <c r="G4844" s="2" t="str">
        <f>IF(Table1[[#This Row],[Is Data Valid]]=TRUE,((Table1[[#This Row],[Birthweight (grams)]]/Table1[[#This Row],[BW_GA]])-1)/(Backend!$B$4/100*Table1[[#This Row],[BW40_3705]]),"")</f>
        <v/>
      </c>
      <c r="H4844" s="7" t="str">
        <f>IF(Table1[[#This Row],[Is Data Valid]]=TRUE,((Table1[[#This Row],[Birthweight (grams)]]*0.9/Table1[[#This Row],[BW_GA]])-1)/(Backend!$B$4/100*Table1[[#This Row],[BW40_3705]]),"")</f>
        <v/>
      </c>
      <c r="I4844" s="7" t="str">
        <f>IF(Table1[[#This Row],[Is Data Valid]]=TRUE,((Table1[[#This Row],[Birthweight (grams)]]*1.1/Table1[[#This Row],[BW_GA]])-1)/(Backend!$B$4/100*Table1[[#This Row],[BW40_3705]]),"")</f>
        <v/>
      </c>
      <c r="J4844" s="7" t="str">
        <f>IF(Table1[[#This Row],[Is Data Valid]]=TRUE,_xlfn.NORM.S.DIST(Table1[[#This Row],[Birthweight Z-Score]],TRUE)*100,"")</f>
        <v/>
      </c>
      <c r="K4844" s="7" t="str">
        <f>IF(Table1[[#This Row],[Is Data Valid]]=TRUE,_xlfn.NORM.S.DIST(Table1[[#This Row],[Birthweight Z-Score (BW-10%)]],TRUE)*100,"")</f>
        <v/>
      </c>
      <c r="L4844" s="7" t="str">
        <f>IF(Table1[[#This Row],[Is Data Valid]]=TRUE,_xlfn.NORM.S.DIST(Table1[[#This Row],[Birthweight Z-Score (BW+10%)]],TRUE)*100,"")</f>
        <v/>
      </c>
    </row>
    <row r="4845" spans="1:12" x14ac:dyDescent="0.35">
      <c r="A4845" s="3"/>
      <c r="B4845" s="2"/>
      <c r="C4845" s="2"/>
      <c r="D4845" s="2" t="b">
        <f>IF(AND(NOT(ISBLANK(Table1[[#This Row],[Fetal Sex (Male, Female or Unknown)]])),ISNUMBER(Table1[[#This Row],[Birthweight (grams)]]),ISNUMBER(Table1[[#This Row],[Gestation (days)]])),TRUE,FALSE)</f>
        <v>0</v>
      </c>
      <c r="E4845" s="2" t="str">
        <f>IF(Table1[[#This Row],[Is Data Valid]]=TRUE,IF(Table1[[#This Row],[Fetal Sex (Male, Female or Unknown)]]="Male",Backend!$C$6,IF(Table1[[#This Row],[Fetal Sex (Male, Female or Unknown)]]="Female",Backend!$C$7,IF(Table1[[#This Row],[Fetal Sex (Male, Female or Unknown)]]="Unknown",Backend!$C$8,"Error"))),"")</f>
        <v/>
      </c>
      <c r="F4845" s="8" t="str">
        <f>IF(Table1[[#This Row],[Is Data Valid]]=TRUE,EXP(0.578+0.332*((Table1[[#This Row],[Gestation (days)]]+0.5)/7)-0.00354*((Table1[[#This Row],[Gestation (days)]]+0.5)/7)^2)*Table1[[#This Row],[BW40_3705]],"")</f>
        <v/>
      </c>
      <c r="G4845" s="2" t="str">
        <f>IF(Table1[[#This Row],[Is Data Valid]]=TRUE,((Table1[[#This Row],[Birthweight (grams)]]/Table1[[#This Row],[BW_GA]])-1)/(Backend!$B$4/100*Table1[[#This Row],[BW40_3705]]),"")</f>
        <v/>
      </c>
      <c r="H4845" s="7" t="str">
        <f>IF(Table1[[#This Row],[Is Data Valid]]=TRUE,((Table1[[#This Row],[Birthweight (grams)]]*0.9/Table1[[#This Row],[BW_GA]])-1)/(Backend!$B$4/100*Table1[[#This Row],[BW40_3705]]),"")</f>
        <v/>
      </c>
      <c r="I4845" s="7" t="str">
        <f>IF(Table1[[#This Row],[Is Data Valid]]=TRUE,((Table1[[#This Row],[Birthweight (grams)]]*1.1/Table1[[#This Row],[BW_GA]])-1)/(Backend!$B$4/100*Table1[[#This Row],[BW40_3705]]),"")</f>
        <v/>
      </c>
      <c r="J4845" s="7" t="str">
        <f>IF(Table1[[#This Row],[Is Data Valid]]=TRUE,_xlfn.NORM.S.DIST(Table1[[#This Row],[Birthweight Z-Score]],TRUE)*100,"")</f>
        <v/>
      </c>
      <c r="K4845" s="7" t="str">
        <f>IF(Table1[[#This Row],[Is Data Valid]]=TRUE,_xlfn.NORM.S.DIST(Table1[[#This Row],[Birthweight Z-Score (BW-10%)]],TRUE)*100,"")</f>
        <v/>
      </c>
      <c r="L4845" s="7" t="str">
        <f>IF(Table1[[#This Row],[Is Data Valid]]=TRUE,_xlfn.NORM.S.DIST(Table1[[#This Row],[Birthweight Z-Score (BW+10%)]],TRUE)*100,"")</f>
        <v/>
      </c>
    </row>
    <row r="4846" spans="1:12" x14ac:dyDescent="0.35">
      <c r="A4846" s="3"/>
      <c r="B4846" s="2"/>
      <c r="C4846" s="2"/>
      <c r="D4846" s="2" t="b">
        <f>IF(AND(NOT(ISBLANK(Table1[[#This Row],[Fetal Sex (Male, Female or Unknown)]])),ISNUMBER(Table1[[#This Row],[Birthweight (grams)]]),ISNUMBER(Table1[[#This Row],[Gestation (days)]])),TRUE,FALSE)</f>
        <v>0</v>
      </c>
      <c r="E4846" s="2" t="str">
        <f>IF(Table1[[#This Row],[Is Data Valid]]=TRUE,IF(Table1[[#This Row],[Fetal Sex (Male, Female or Unknown)]]="Male",Backend!$C$6,IF(Table1[[#This Row],[Fetal Sex (Male, Female or Unknown)]]="Female",Backend!$C$7,IF(Table1[[#This Row],[Fetal Sex (Male, Female or Unknown)]]="Unknown",Backend!$C$8,"Error"))),"")</f>
        <v/>
      </c>
      <c r="F4846" s="8" t="str">
        <f>IF(Table1[[#This Row],[Is Data Valid]]=TRUE,EXP(0.578+0.332*((Table1[[#This Row],[Gestation (days)]]+0.5)/7)-0.00354*((Table1[[#This Row],[Gestation (days)]]+0.5)/7)^2)*Table1[[#This Row],[BW40_3705]],"")</f>
        <v/>
      </c>
      <c r="G4846" s="2" t="str">
        <f>IF(Table1[[#This Row],[Is Data Valid]]=TRUE,((Table1[[#This Row],[Birthweight (grams)]]/Table1[[#This Row],[BW_GA]])-1)/(Backend!$B$4/100*Table1[[#This Row],[BW40_3705]]),"")</f>
        <v/>
      </c>
      <c r="H4846" s="7" t="str">
        <f>IF(Table1[[#This Row],[Is Data Valid]]=TRUE,((Table1[[#This Row],[Birthweight (grams)]]*0.9/Table1[[#This Row],[BW_GA]])-1)/(Backend!$B$4/100*Table1[[#This Row],[BW40_3705]]),"")</f>
        <v/>
      </c>
      <c r="I4846" s="7" t="str">
        <f>IF(Table1[[#This Row],[Is Data Valid]]=TRUE,((Table1[[#This Row],[Birthweight (grams)]]*1.1/Table1[[#This Row],[BW_GA]])-1)/(Backend!$B$4/100*Table1[[#This Row],[BW40_3705]]),"")</f>
        <v/>
      </c>
      <c r="J4846" s="7" t="str">
        <f>IF(Table1[[#This Row],[Is Data Valid]]=TRUE,_xlfn.NORM.S.DIST(Table1[[#This Row],[Birthweight Z-Score]],TRUE)*100,"")</f>
        <v/>
      </c>
      <c r="K4846" s="7" t="str">
        <f>IF(Table1[[#This Row],[Is Data Valid]]=TRUE,_xlfn.NORM.S.DIST(Table1[[#This Row],[Birthweight Z-Score (BW-10%)]],TRUE)*100,"")</f>
        <v/>
      </c>
      <c r="L4846" s="7" t="str">
        <f>IF(Table1[[#This Row],[Is Data Valid]]=TRUE,_xlfn.NORM.S.DIST(Table1[[#This Row],[Birthweight Z-Score (BW+10%)]],TRUE)*100,"")</f>
        <v/>
      </c>
    </row>
    <row r="4847" spans="1:12" x14ac:dyDescent="0.35">
      <c r="A4847" s="3"/>
      <c r="B4847" s="2"/>
      <c r="C4847" s="2"/>
      <c r="D4847" s="2" t="b">
        <f>IF(AND(NOT(ISBLANK(Table1[[#This Row],[Fetal Sex (Male, Female or Unknown)]])),ISNUMBER(Table1[[#This Row],[Birthweight (grams)]]),ISNUMBER(Table1[[#This Row],[Gestation (days)]])),TRUE,FALSE)</f>
        <v>0</v>
      </c>
      <c r="E4847" s="2" t="str">
        <f>IF(Table1[[#This Row],[Is Data Valid]]=TRUE,IF(Table1[[#This Row],[Fetal Sex (Male, Female or Unknown)]]="Male",Backend!$C$6,IF(Table1[[#This Row],[Fetal Sex (Male, Female or Unknown)]]="Female",Backend!$C$7,IF(Table1[[#This Row],[Fetal Sex (Male, Female or Unknown)]]="Unknown",Backend!$C$8,"Error"))),"")</f>
        <v/>
      </c>
      <c r="F4847" s="8" t="str">
        <f>IF(Table1[[#This Row],[Is Data Valid]]=TRUE,EXP(0.578+0.332*((Table1[[#This Row],[Gestation (days)]]+0.5)/7)-0.00354*((Table1[[#This Row],[Gestation (days)]]+0.5)/7)^2)*Table1[[#This Row],[BW40_3705]],"")</f>
        <v/>
      </c>
      <c r="G4847" s="2" t="str">
        <f>IF(Table1[[#This Row],[Is Data Valid]]=TRUE,((Table1[[#This Row],[Birthweight (grams)]]/Table1[[#This Row],[BW_GA]])-1)/(Backend!$B$4/100*Table1[[#This Row],[BW40_3705]]),"")</f>
        <v/>
      </c>
      <c r="H4847" s="7" t="str">
        <f>IF(Table1[[#This Row],[Is Data Valid]]=TRUE,((Table1[[#This Row],[Birthweight (grams)]]*0.9/Table1[[#This Row],[BW_GA]])-1)/(Backend!$B$4/100*Table1[[#This Row],[BW40_3705]]),"")</f>
        <v/>
      </c>
      <c r="I4847" s="7" t="str">
        <f>IF(Table1[[#This Row],[Is Data Valid]]=TRUE,((Table1[[#This Row],[Birthweight (grams)]]*1.1/Table1[[#This Row],[BW_GA]])-1)/(Backend!$B$4/100*Table1[[#This Row],[BW40_3705]]),"")</f>
        <v/>
      </c>
      <c r="J4847" s="7" t="str">
        <f>IF(Table1[[#This Row],[Is Data Valid]]=TRUE,_xlfn.NORM.S.DIST(Table1[[#This Row],[Birthweight Z-Score]],TRUE)*100,"")</f>
        <v/>
      </c>
      <c r="K4847" s="7" t="str">
        <f>IF(Table1[[#This Row],[Is Data Valid]]=TRUE,_xlfn.NORM.S.DIST(Table1[[#This Row],[Birthweight Z-Score (BW-10%)]],TRUE)*100,"")</f>
        <v/>
      </c>
      <c r="L4847" s="7" t="str">
        <f>IF(Table1[[#This Row],[Is Data Valid]]=TRUE,_xlfn.NORM.S.DIST(Table1[[#This Row],[Birthweight Z-Score (BW+10%)]],TRUE)*100,"")</f>
        <v/>
      </c>
    </row>
    <row r="4848" spans="1:12" x14ac:dyDescent="0.35">
      <c r="A4848" s="3"/>
      <c r="B4848" s="2"/>
      <c r="C4848" s="2"/>
      <c r="D4848" s="2" t="b">
        <f>IF(AND(NOT(ISBLANK(Table1[[#This Row],[Fetal Sex (Male, Female or Unknown)]])),ISNUMBER(Table1[[#This Row],[Birthweight (grams)]]),ISNUMBER(Table1[[#This Row],[Gestation (days)]])),TRUE,FALSE)</f>
        <v>0</v>
      </c>
      <c r="E4848" s="2" t="str">
        <f>IF(Table1[[#This Row],[Is Data Valid]]=TRUE,IF(Table1[[#This Row],[Fetal Sex (Male, Female or Unknown)]]="Male",Backend!$C$6,IF(Table1[[#This Row],[Fetal Sex (Male, Female or Unknown)]]="Female",Backend!$C$7,IF(Table1[[#This Row],[Fetal Sex (Male, Female or Unknown)]]="Unknown",Backend!$C$8,"Error"))),"")</f>
        <v/>
      </c>
      <c r="F4848" s="8" t="str">
        <f>IF(Table1[[#This Row],[Is Data Valid]]=TRUE,EXP(0.578+0.332*((Table1[[#This Row],[Gestation (days)]]+0.5)/7)-0.00354*((Table1[[#This Row],[Gestation (days)]]+0.5)/7)^2)*Table1[[#This Row],[BW40_3705]],"")</f>
        <v/>
      </c>
      <c r="G4848" s="2" t="str">
        <f>IF(Table1[[#This Row],[Is Data Valid]]=TRUE,((Table1[[#This Row],[Birthweight (grams)]]/Table1[[#This Row],[BW_GA]])-1)/(Backend!$B$4/100*Table1[[#This Row],[BW40_3705]]),"")</f>
        <v/>
      </c>
      <c r="H4848" s="7" t="str">
        <f>IF(Table1[[#This Row],[Is Data Valid]]=TRUE,((Table1[[#This Row],[Birthweight (grams)]]*0.9/Table1[[#This Row],[BW_GA]])-1)/(Backend!$B$4/100*Table1[[#This Row],[BW40_3705]]),"")</f>
        <v/>
      </c>
      <c r="I4848" s="7" t="str">
        <f>IF(Table1[[#This Row],[Is Data Valid]]=TRUE,((Table1[[#This Row],[Birthweight (grams)]]*1.1/Table1[[#This Row],[BW_GA]])-1)/(Backend!$B$4/100*Table1[[#This Row],[BW40_3705]]),"")</f>
        <v/>
      </c>
      <c r="J4848" s="7" t="str">
        <f>IF(Table1[[#This Row],[Is Data Valid]]=TRUE,_xlfn.NORM.S.DIST(Table1[[#This Row],[Birthweight Z-Score]],TRUE)*100,"")</f>
        <v/>
      </c>
      <c r="K4848" s="7" t="str">
        <f>IF(Table1[[#This Row],[Is Data Valid]]=TRUE,_xlfn.NORM.S.DIST(Table1[[#This Row],[Birthweight Z-Score (BW-10%)]],TRUE)*100,"")</f>
        <v/>
      </c>
      <c r="L4848" s="7" t="str">
        <f>IF(Table1[[#This Row],[Is Data Valid]]=TRUE,_xlfn.NORM.S.DIST(Table1[[#This Row],[Birthweight Z-Score (BW+10%)]],TRUE)*100,"")</f>
        <v/>
      </c>
    </row>
    <row r="4849" spans="1:12" x14ac:dyDescent="0.35">
      <c r="A4849" s="3"/>
      <c r="B4849" s="2"/>
      <c r="C4849" s="2"/>
      <c r="D4849" s="2" t="b">
        <f>IF(AND(NOT(ISBLANK(Table1[[#This Row],[Fetal Sex (Male, Female or Unknown)]])),ISNUMBER(Table1[[#This Row],[Birthweight (grams)]]),ISNUMBER(Table1[[#This Row],[Gestation (days)]])),TRUE,FALSE)</f>
        <v>0</v>
      </c>
      <c r="E4849" s="2" t="str">
        <f>IF(Table1[[#This Row],[Is Data Valid]]=TRUE,IF(Table1[[#This Row],[Fetal Sex (Male, Female or Unknown)]]="Male",Backend!$C$6,IF(Table1[[#This Row],[Fetal Sex (Male, Female or Unknown)]]="Female",Backend!$C$7,IF(Table1[[#This Row],[Fetal Sex (Male, Female or Unknown)]]="Unknown",Backend!$C$8,"Error"))),"")</f>
        <v/>
      </c>
      <c r="F4849" s="8" t="str">
        <f>IF(Table1[[#This Row],[Is Data Valid]]=TRUE,EXP(0.578+0.332*((Table1[[#This Row],[Gestation (days)]]+0.5)/7)-0.00354*((Table1[[#This Row],[Gestation (days)]]+0.5)/7)^2)*Table1[[#This Row],[BW40_3705]],"")</f>
        <v/>
      </c>
      <c r="G4849" s="2" t="str">
        <f>IF(Table1[[#This Row],[Is Data Valid]]=TRUE,((Table1[[#This Row],[Birthweight (grams)]]/Table1[[#This Row],[BW_GA]])-1)/(Backend!$B$4/100*Table1[[#This Row],[BW40_3705]]),"")</f>
        <v/>
      </c>
      <c r="H4849" s="7" t="str">
        <f>IF(Table1[[#This Row],[Is Data Valid]]=TRUE,((Table1[[#This Row],[Birthweight (grams)]]*0.9/Table1[[#This Row],[BW_GA]])-1)/(Backend!$B$4/100*Table1[[#This Row],[BW40_3705]]),"")</f>
        <v/>
      </c>
      <c r="I4849" s="7" t="str">
        <f>IF(Table1[[#This Row],[Is Data Valid]]=TRUE,((Table1[[#This Row],[Birthweight (grams)]]*1.1/Table1[[#This Row],[BW_GA]])-1)/(Backend!$B$4/100*Table1[[#This Row],[BW40_3705]]),"")</f>
        <v/>
      </c>
      <c r="J4849" s="7" t="str">
        <f>IF(Table1[[#This Row],[Is Data Valid]]=TRUE,_xlfn.NORM.S.DIST(Table1[[#This Row],[Birthweight Z-Score]],TRUE)*100,"")</f>
        <v/>
      </c>
      <c r="K4849" s="7" t="str">
        <f>IF(Table1[[#This Row],[Is Data Valid]]=TRUE,_xlfn.NORM.S.DIST(Table1[[#This Row],[Birthweight Z-Score (BW-10%)]],TRUE)*100,"")</f>
        <v/>
      </c>
      <c r="L4849" s="7" t="str">
        <f>IF(Table1[[#This Row],[Is Data Valid]]=TRUE,_xlfn.NORM.S.DIST(Table1[[#This Row],[Birthweight Z-Score (BW+10%)]],TRUE)*100,"")</f>
        <v/>
      </c>
    </row>
    <row r="4850" spans="1:12" x14ac:dyDescent="0.35">
      <c r="A4850" s="3"/>
      <c r="B4850" s="2"/>
      <c r="C4850" s="2"/>
      <c r="D4850" s="2" t="b">
        <f>IF(AND(NOT(ISBLANK(Table1[[#This Row],[Fetal Sex (Male, Female or Unknown)]])),ISNUMBER(Table1[[#This Row],[Birthweight (grams)]]),ISNUMBER(Table1[[#This Row],[Gestation (days)]])),TRUE,FALSE)</f>
        <v>0</v>
      </c>
      <c r="E4850" s="2" t="str">
        <f>IF(Table1[[#This Row],[Is Data Valid]]=TRUE,IF(Table1[[#This Row],[Fetal Sex (Male, Female or Unknown)]]="Male",Backend!$C$6,IF(Table1[[#This Row],[Fetal Sex (Male, Female or Unknown)]]="Female",Backend!$C$7,IF(Table1[[#This Row],[Fetal Sex (Male, Female or Unknown)]]="Unknown",Backend!$C$8,"Error"))),"")</f>
        <v/>
      </c>
      <c r="F4850" s="8" t="str">
        <f>IF(Table1[[#This Row],[Is Data Valid]]=TRUE,EXP(0.578+0.332*((Table1[[#This Row],[Gestation (days)]]+0.5)/7)-0.00354*((Table1[[#This Row],[Gestation (days)]]+0.5)/7)^2)*Table1[[#This Row],[BW40_3705]],"")</f>
        <v/>
      </c>
      <c r="G4850" s="2" t="str">
        <f>IF(Table1[[#This Row],[Is Data Valid]]=TRUE,((Table1[[#This Row],[Birthweight (grams)]]/Table1[[#This Row],[BW_GA]])-1)/(Backend!$B$4/100*Table1[[#This Row],[BW40_3705]]),"")</f>
        <v/>
      </c>
      <c r="H4850" s="7" t="str">
        <f>IF(Table1[[#This Row],[Is Data Valid]]=TRUE,((Table1[[#This Row],[Birthweight (grams)]]*0.9/Table1[[#This Row],[BW_GA]])-1)/(Backend!$B$4/100*Table1[[#This Row],[BW40_3705]]),"")</f>
        <v/>
      </c>
      <c r="I4850" s="7" t="str">
        <f>IF(Table1[[#This Row],[Is Data Valid]]=TRUE,((Table1[[#This Row],[Birthweight (grams)]]*1.1/Table1[[#This Row],[BW_GA]])-1)/(Backend!$B$4/100*Table1[[#This Row],[BW40_3705]]),"")</f>
        <v/>
      </c>
      <c r="J4850" s="7" t="str">
        <f>IF(Table1[[#This Row],[Is Data Valid]]=TRUE,_xlfn.NORM.S.DIST(Table1[[#This Row],[Birthweight Z-Score]],TRUE)*100,"")</f>
        <v/>
      </c>
      <c r="K4850" s="7" t="str">
        <f>IF(Table1[[#This Row],[Is Data Valid]]=TRUE,_xlfn.NORM.S.DIST(Table1[[#This Row],[Birthweight Z-Score (BW-10%)]],TRUE)*100,"")</f>
        <v/>
      </c>
      <c r="L4850" s="7" t="str">
        <f>IF(Table1[[#This Row],[Is Data Valid]]=TRUE,_xlfn.NORM.S.DIST(Table1[[#This Row],[Birthweight Z-Score (BW+10%)]],TRUE)*100,"")</f>
        <v/>
      </c>
    </row>
    <row r="4851" spans="1:12" x14ac:dyDescent="0.35">
      <c r="A4851" s="3"/>
      <c r="B4851" s="2"/>
      <c r="C4851" s="2"/>
      <c r="D4851" s="2" t="b">
        <f>IF(AND(NOT(ISBLANK(Table1[[#This Row],[Fetal Sex (Male, Female or Unknown)]])),ISNUMBER(Table1[[#This Row],[Birthweight (grams)]]),ISNUMBER(Table1[[#This Row],[Gestation (days)]])),TRUE,FALSE)</f>
        <v>0</v>
      </c>
      <c r="E4851" s="2" t="str">
        <f>IF(Table1[[#This Row],[Is Data Valid]]=TRUE,IF(Table1[[#This Row],[Fetal Sex (Male, Female or Unknown)]]="Male",Backend!$C$6,IF(Table1[[#This Row],[Fetal Sex (Male, Female or Unknown)]]="Female",Backend!$C$7,IF(Table1[[#This Row],[Fetal Sex (Male, Female or Unknown)]]="Unknown",Backend!$C$8,"Error"))),"")</f>
        <v/>
      </c>
      <c r="F4851" s="8" t="str">
        <f>IF(Table1[[#This Row],[Is Data Valid]]=TRUE,EXP(0.578+0.332*((Table1[[#This Row],[Gestation (days)]]+0.5)/7)-0.00354*((Table1[[#This Row],[Gestation (days)]]+0.5)/7)^2)*Table1[[#This Row],[BW40_3705]],"")</f>
        <v/>
      </c>
      <c r="G4851" s="2" t="str">
        <f>IF(Table1[[#This Row],[Is Data Valid]]=TRUE,((Table1[[#This Row],[Birthweight (grams)]]/Table1[[#This Row],[BW_GA]])-1)/(Backend!$B$4/100*Table1[[#This Row],[BW40_3705]]),"")</f>
        <v/>
      </c>
      <c r="H4851" s="7" t="str">
        <f>IF(Table1[[#This Row],[Is Data Valid]]=TRUE,((Table1[[#This Row],[Birthweight (grams)]]*0.9/Table1[[#This Row],[BW_GA]])-1)/(Backend!$B$4/100*Table1[[#This Row],[BW40_3705]]),"")</f>
        <v/>
      </c>
      <c r="I4851" s="7" t="str">
        <f>IF(Table1[[#This Row],[Is Data Valid]]=TRUE,((Table1[[#This Row],[Birthweight (grams)]]*1.1/Table1[[#This Row],[BW_GA]])-1)/(Backend!$B$4/100*Table1[[#This Row],[BW40_3705]]),"")</f>
        <v/>
      </c>
      <c r="J4851" s="7" t="str">
        <f>IF(Table1[[#This Row],[Is Data Valid]]=TRUE,_xlfn.NORM.S.DIST(Table1[[#This Row],[Birthweight Z-Score]],TRUE)*100,"")</f>
        <v/>
      </c>
      <c r="K4851" s="7" t="str">
        <f>IF(Table1[[#This Row],[Is Data Valid]]=TRUE,_xlfn.NORM.S.DIST(Table1[[#This Row],[Birthweight Z-Score (BW-10%)]],TRUE)*100,"")</f>
        <v/>
      </c>
      <c r="L4851" s="7" t="str">
        <f>IF(Table1[[#This Row],[Is Data Valid]]=TRUE,_xlfn.NORM.S.DIST(Table1[[#This Row],[Birthweight Z-Score (BW+10%)]],TRUE)*100,"")</f>
        <v/>
      </c>
    </row>
    <row r="4852" spans="1:12" x14ac:dyDescent="0.35">
      <c r="A4852" s="3"/>
      <c r="B4852" s="2"/>
      <c r="C4852" s="2"/>
      <c r="D4852" s="2" t="b">
        <f>IF(AND(NOT(ISBLANK(Table1[[#This Row],[Fetal Sex (Male, Female or Unknown)]])),ISNUMBER(Table1[[#This Row],[Birthweight (grams)]]),ISNUMBER(Table1[[#This Row],[Gestation (days)]])),TRUE,FALSE)</f>
        <v>0</v>
      </c>
      <c r="E4852" s="2" t="str">
        <f>IF(Table1[[#This Row],[Is Data Valid]]=TRUE,IF(Table1[[#This Row],[Fetal Sex (Male, Female or Unknown)]]="Male",Backend!$C$6,IF(Table1[[#This Row],[Fetal Sex (Male, Female or Unknown)]]="Female",Backend!$C$7,IF(Table1[[#This Row],[Fetal Sex (Male, Female or Unknown)]]="Unknown",Backend!$C$8,"Error"))),"")</f>
        <v/>
      </c>
      <c r="F4852" s="8" t="str">
        <f>IF(Table1[[#This Row],[Is Data Valid]]=TRUE,EXP(0.578+0.332*((Table1[[#This Row],[Gestation (days)]]+0.5)/7)-0.00354*((Table1[[#This Row],[Gestation (days)]]+0.5)/7)^2)*Table1[[#This Row],[BW40_3705]],"")</f>
        <v/>
      </c>
      <c r="G4852" s="2" t="str">
        <f>IF(Table1[[#This Row],[Is Data Valid]]=TRUE,((Table1[[#This Row],[Birthweight (grams)]]/Table1[[#This Row],[BW_GA]])-1)/(Backend!$B$4/100*Table1[[#This Row],[BW40_3705]]),"")</f>
        <v/>
      </c>
      <c r="H4852" s="7" t="str">
        <f>IF(Table1[[#This Row],[Is Data Valid]]=TRUE,((Table1[[#This Row],[Birthweight (grams)]]*0.9/Table1[[#This Row],[BW_GA]])-1)/(Backend!$B$4/100*Table1[[#This Row],[BW40_3705]]),"")</f>
        <v/>
      </c>
      <c r="I4852" s="7" t="str">
        <f>IF(Table1[[#This Row],[Is Data Valid]]=TRUE,((Table1[[#This Row],[Birthweight (grams)]]*1.1/Table1[[#This Row],[BW_GA]])-1)/(Backend!$B$4/100*Table1[[#This Row],[BW40_3705]]),"")</f>
        <v/>
      </c>
      <c r="J4852" s="7" t="str">
        <f>IF(Table1[[#This Row],[Is Data Valid]]=TRUE,_xlfn.NORM.S.DIST(Table1[[#This Row],[Birthweight Z-Score]],TRUE)*100,"")</f>
        <v/>
      </c>
      <c r="K4852" s="7" t="str">
        <f>IF(Table1[[#This Row],[Is Data Valid]]=TRUE,_xlfn.NORM.S.DIST(Table1[[#This Row],[Birthweight Z-Score (BW-10%)]],TRUE)*100,"")</f>
        <v/>
      </c>
      <c r="L4852" s="7" t="str">
        <f>IF(Table1[[#This Row],[Is Data Valid]]=TRUE,_xlfn.NORM.S.DIST(Table1[[#This Row],[Birthweight Z-Score (BW+10%)]],TRUE)*100,"")</f>
        <v/>
      </c>
    </row>
    <row r="4853" spans="1:12" x14ac:dyDescent="0.35">
      <c r="A4853" s="3"/>
      <c r="B4853" s="2"/>
      <c r="C4853" s="2"/>
      <c r="D4853" s="2" t="b">
        <f>IF(AND(NOT(ISBLANK(Table1[[#This Row],[Fetal Sex (Male, Female or Unknown)]])),ISNUMBER(Table1[[#This Row],[Birthweight (grams)]]),ISNUMBER(Table1[[#This Row],[Gestation (days)]])),TRUE,FALSE)</f>
        <v>0</v>
      </c>
      <c r="E4853" s="2" t="str">
        <f>IF(Table1[[#This Row],[Is Data Valid]]=TRUE,IF(Table1[[#This Row],[Fetal Sex (Male, Female or Unknown)]]="Male",Backend!$C$6,IF(Table1[[#This Row],[Fetal Sex (Male, Female or Unknown)]]="Female",Backend!$C$7,IF(Table1[[#This Row],[Fetal Sex (Male, Female or Unknown)]]="Unknown",Backend!$C$8,"Error"))),"")</f>
        <v/>
      </c>
      <c r="F4853" s="8" t="str">
        <f>IF(Table1[[#This Row],[Is Data Valid]]=TRUE,EXP(0.578+0.332*((Table1[[#This Row],[Gestation (days)]]+0.5)/7)-0.00354*((Table1[[#This Row],[Gestation (days)]]+0.5)/7)^2)*Table1[[#This Row],[BW40_3705]],"")</f>
        <v/>
      </c>
      <c r="G4853" s="2" t="str">
        <f>IF(Table1[[#This Row],[Is Data Valid]]=TRUE,((Table1[[#This Row],[Birthweight (grams)]]/Table1[[#This Row],[BW_GA]])-1)/(Backend!$B$4/100*Table1[[#This Row],[BW40_3705]]),"")</f>
        <v/>
      </c>
      <c r="H4853" s="7" t="str">
        <f>IF(Table1[[#This Row],[Is Data Valid]]=TRUE,((Table1[[#This Row],[Birthweight (grams)]]*0.9/Table1[[#This Row],[BW_GA]])-1)/(Backend!$B$4/100*Table1[[#This Row],[BW40_3705]]),"")</f>
        <v/>
      </c>
      <c r="I4853" s="7" t="str">
        <f>IF(Table1[[#This Row],[Is Data Valid]]=TRUE,((Table1[[#This Row],[Birthweight (grams)]]*1.1/Table1[[#This Row],[BW_GA]])-1)/(Backend!$B$4/100*Table1[[#This Row],[BW40_3705]]),"")</f>
        <v/>
      </c>
      <c r="J4853" s="7" t="str">
        <f>IF(Table1[[#This Row],[Is Data Valid]]=TRUE,_xlfn.NORM.S.DIST(Table1[[#This Row],[Birthweight Z-Score]],TRUE)*100,"")</f>
        <v/>
      </c>
      <c r="K4853" s="7" t="str">
        <f>IF(Table1[[#This Row],[Is Data Valid]]=TRUE,_xlfn.NORM.S.DIST(Table1[[#This Row],[Birthweight Z-Score (BW-10%)]],TRUE)*100,"")</f>
        <v/>
      </c>
      <c r="L4853" s="7" t="str">
        <f>IF(Table1[[#This Row],[Is Data Valid]]=TRUE,_xlfn.NORM.S.DIST(Table1[[#This Row],[Birthweight Z-Score (BW+10%)]],TRUE)*100,"")</f>
        <v/>
      </c>
    </row>
    <row r="4854" spans="1:12" x14ac:dyDescent="0.35">
      <c r="A4854" s="3"/>
      <c r="B4854" s="2"/>
      <c r="C4854" s="2"/>
      <c r="D4854" s="2" t="b">
        <f>IF(AND(NOT(ISBLANK(Table1[[#This Row],[Fetal Sex (Male, Female or Unknown)]])),ISNUMBER(Table1[[#This Row],[Birthweight (grams)]]),ISNUMBER(Table1[[#This Row],[Gestation (days)]])),TRUE,FALSE)</f>
        <v>0</v>
      </c>
      <c r="E4854" s="2" t="str">
        <f>IF(Table1[[#This Row],[Is Data Valid]]=TRUE,IF(Table1[[#This Row],[Fetal Sex (Male, Female or Unknown)]]="Male",Backend!$C$6,IF(Table1[[#This Row],[Fetal Sex (Male, Female or Unknown)]]="Female",Backend!$C$7,IF(Table1[[#This Row],[Fetal Sex (Male, Female or Unknown)]]="Unknown",Backend!$C$8,"Error"))),"")</f>
        <v/>
      </c>
      <c r="F4854" s="8" t="str">
        <f>IF(Table1[[#This Row],[Is Data Valid]]=TRUE,EXP(0.578+0.332*((Table1[[#This Row],[Gestation (days)]]+0.5)/7)-0.00354*((Table1[[#This Row],[Gestation (days)]]+0.5)/7)^2)*Table1[[#This Row],[BW40_3705]],"")</f>
        <v/>
      </c>
      <c r="G4854" s="2" t="str">
        <f>IF(Table1[[#This Row],[Is Data Valid]]=TRUE,((Table1[[#This Row],[Birthweight (grams)]]/Table1[[#This Row],[BW_GA]])-1)/(Backend!$B$4/100*Table1[[#This Row],[BW40_3705]]),"")</f>
        <v/>
      </c>
      <c r="H4854" s="7" t="str">
        <f>IF(Table1[[#This Row],[Is Data Valid]]=TRUE,((Table1[[#This Row],[Birthweight (grams)]]*0.9/Table1[[#This Row],[BW_GA]])-1)/(Backend!$B$4/100*Table1[[#This Row],[BW40_3705]]),"")</f>
        <v/>
      </c>
      <c r="I4854" s="7" t="str">
        <f>IF(Table1[[#This Row],[Is Data Valid]]=TRUE,((Table1[[#This Row],[Birthweight (grams)]]*1.1/Table1[[#This Row],[BW_GA]])-1)/(Backend!$B$4/100*Table1[[#This Row],[BW40_3705]]),"")</f>
        <v/>
      </c>
      <c r="J4854" s="7" t="str">
        <f>IF(Table1[[#This Row],[Is Data Valid]]=TRUE,_xlfn.NORM.S.DIST(Table1[[#This Row],[Birthweight Z-Score]],TRUE)*100,"")</f>
        <v/>
      </c>
      <c r="K4854" s="7" t="str">
        <f>IF(Table1[[#This Row],[Is Data Valid]]=TRUE,_xlfn.NORM.S.DIST(Table1[[#This Row],[Birthweight Z-Score (BW-10%)]],TRUE)*100,"")</f>
        <v/>
      </c>
      <c r="L4854" s="7" t="str">
        <f>IF(Table1[[#This Row],[Is Data Valid]]=TRUE,_xlfn.NORM.S.DIST(Table1[[#This Row],[Birthweight Z-Score (BW+10%)]],TRUE)*100,"")</f>
        <v/>
      </c>
    </row>
    <row r="4855" spans="1:12" x14ac:dyDescent="0.35">
      <c r="A4855" s="3"/>
      <c r="B4855" s="2"/>
      <c r="C4855" s="2"/>
      <c r="D4855" s="2" t="b">
        <f>IF(AND(NOT(ISBLANK(Table1[[#This Row],[Fetal Sex (Male, Female or Unknown)]])),ISNUMBER(Table1[[#This Row],[Birthweight (grams)]]),ISNUMBER(Table1[[#This Row],[Gestation (days)]])),TRUE,FALSE)</f>
        <v>0</v>
      </c>
      <c r="E4855" s="2" t="str">
        <f>IF(Table1[[#This Row],[Is Data Valid]]=TRUE,IF(Table1[[#This Row],[Fetal Sex (Male, Female or Unknown)]]="Male",Backend!$C$6,IF(Table1[[#This Row],[Fetal Sex (Male, Female or Unknown)]]="Female",Backend!$C$7,IF(Table1[[#This Row],[Fetal Sex (Male, Female or Unknown)]]="Unknown",Backend!$C$8,"Error"))),"")</f>
        <v/>
      </c>
      <c r="F4855" s="8" t="str">
        <f>IF(Table1[[#This Row],[Is Data Valid]]=TRUE,EXP(0.578+0.332*((Table1[[#This Row],[Gestation (days)]]+0.5)/7)-0.00354*((Table1[[#This Row],[Gestation (days)]]+0.5)/7)^2)*Table1[[#This Row],[BW40_3705]],"")</f>
        <v/>
      </c>
      <c r="G4855" s="2" t="str">
        <f>IF(Table1[[#This Row],[Is Data Valid]]=TRUE,((Table1[[#This Row],[Birthweight (grams)]]/Table1[[#This Row],[BW_GA]])-1)/(Backend!$B$4/100*Table1[[#This Row],[BW40_3705]]),"")</f>
        <v/>
      </c>
      <c r="H4855" s="7" t="str">
        <f>IF(Table1[[#This Row],[Is Data Valid]]=TRUE,((Table1[[#This Row],[Birthweight (grams)]]*0.9/Table1[[#This Row],[BW_GA]])-1)/(Backend!$B$4/100*Table1[[#This Row],[BW40_3705]]),"")</f>
        <v/>
      </c>
      <c r="I4855" s="7" t="str">
        <f>IF(Table1[[#This Row],[Is Data Valid]]=TRUE,((Table1[[#This Row],[Birthweight (grams)]]*1.1/Table1[[#This Row],[BW_GA]])-1)/(Backend!$B$4/100*Table1[[#This Row],[BW40_3705]]),"")</f>
        <v/>
      </c>
      <c r="J4855" s="7" t="str">
        <f>IF(Table1[[#This Row],[Is Data Valid]]=TRUE,_xlfn.NORM.S.DIST(Table1[[#This Row],[Birthweight Z-Score]],TRUE)*100,"")</f>
        <v/>
      </c>
      <c r="K4855" s="7" t="str">
        <f>IF(Table1[[#This Row],[Is Data Valid]]=TRUE,_xlfn.NORM.S.DIST(Table1[[#This Row],[Birthweight Z-Score (BW-10%)]],TRUE)*100,"")</f>
        <v/>
      </c>
      <c r="L4855" s="7" t="str">
        <f>IF(Table1[[#This Row],[Is Data Valid]]=TRUE,_xlfn.NORM.S.DIST(Table1[[#This Row],[Birthweight Z-Score (BW+10%)]],TRUE)*100,"")</f>
        <v/>
      </c>
    </row>
    <row r="4856" spans="1:12" x14ac:dyDescent="0.35">
      <c r="A4856" s="3"/>
      <c r="B4856" s="2"/>
      <c r="C4856" s="2"/>
      <c r="D4856" s="2" t="b">
        <f>IF(AND(NOT(ISBLANK(Table1[[#This Row],[Fetal Sex (Male, Female or Unknown)]])),ISNUMBER(Table1[[#This Row],[Birthweight (grams)]]),ISNUMBER(Table1[[#This Row],[Gestation (days)]])),TRUE,FALSE)</f>
        <v>0</v>
      </c>
      <c r="E4856" s="2" t="str">
        <f>IF(Table1[[#This Row],[Is Data Valid]]=TRUE,IF(Table1[[#This Row],[Fetal Sex (Male, Female or Unknown)]]="Male",Backend!$C$6,IF(Table1[[#This Row],[Fetal Sex (Male, Female or Unknown)]]="Female",Backend!$C$7,IF(Table1[[#This Row],[Fetal Sex (Male, Female or Unknown)]]="Unknown",Backend!$C$8,"Error"))),"")</f>
        <v/>
      </c>
      <c r="F4856" s="8" t="str">
        <f>IF(Table1[[#This Row],[Is Data Valid]]=TRUE,EXP(0.578+0.332*((Table1[[#This Row],[Gestation (days)]]+0.5)/7)-0.00354*((Table1[[#This Row],[Gestation (days)]]+0.5)/7)^2)*Table1[[#This Row],[BW40_3705]],"")</f>
        <v/>
      </c>
      <c r="G4856" s="2" t="str">
        <f>IF(Table1[[#This Row],[Is Data Valid]]=TRUE,((Table1[[#This Row],[Birthweight (grams)]]/Table1[[#This Row],[BW_GA]])-1)/(Backend!$B$4/100*Table1[[#This Row],[BW40_3705]]),"")</f>
        <v/>
      </c>
      <c r="H4856" s="7" t="str">
        <f>IF(Table1[[#This Row],[Is Data Valid]]=TRUE,((Table1[[#This Row],[Birthweight (grams)]]*0.9/Table1[[#This Row],[BW_GA]])-1)/(Backend!$B$4/100*Table1[[#This Row],[BW40_3705]]),"")</f>
        <v/>
      </c>
      <c r="I4856" s="7" t="str">
        <f>IF(Table1[[#This Row],[Is Data Valid]]=TRUE,((Table1[[#This Row],[Birthweight (grams)]]*1.1/Table1[[#This Row],[BW_GA]])-1)/(Backend!$B$4/100*Table1[[#This Row],[BW40_3705]]),"")</f>
        <v/>
      </c>
      <c r="J4856" s="7" t="str">
        <f>IF(Table1[[#This Row],[Is Data Valid]]=TRUE,_xlfn.NORM.S.DIST(Table1[[#This Row],[Birthweight Z-Score]],TRUE)*100,"")</f>
        <v/>
      </c>
      <c r="K4856" s="7" t="str">
        <f>IF(Table1[[#This Row],[Is Data Valid]]=TRUE,_xlfn.NORM.S.DIST(Table1[[#This Row],[Birthweight Z-Score (BW-10%)]],TRUE)*100,"")</f>
        <v/>
      </c>
      <c r="L4856" s="7" t="str">
        <f>IF(Table1[[#This Row],[Is Data Valid]]=TRUE,_xlfn.NORM.S.DIST(Table1[[#This Row],[Birthweight Z-Score (BW+10%)]],TRUE)*100,"")</f>
        <v/>
      </c>
    </row>
    <row r="4857" spans="1:12" x14ac:dyDescent="0.35">
      <c r="A4857" s="3"/>
      <c r="B4857" s="2"/>
      <c r="C4857" s="2"/>
      <c r="D4857" s="2" t="b">
        <f>IF(AND(NOT(ISBLANK(Table1[[#This Row],[Fetal Sex (Male, Female or Unknown)]])),ISNUMBER(Table1[[#This Row],[Birthweight (grams)]]),ISNUMBER(Table1[[#This Row],[Gestation (days)]])),TRUE,FALSE)</f>
        <v>0</v>
      </c>
      <c r="E4857" s="2" t="str">
        <f>IF(Table1[[#This Row],[Is Data Valid]]=TRUE,IF(Table1[[#This Row],[Fetal Sex (Male, Female or Unknown)]]="Male",Backend!$C$6,IF(Table1[[#This Row],[Fetal Sex (Male, Female or Unknown)]]="Female",Backend!$C$7,IF(Table1[[#This Row],[Fetal Sex (Male, Female or Unknown)]]="Unknown",Backend!$C$8,"Error"))),"")</f>
        <v/>
      </c>
      <c r="F4857" s="8" t="str">
        <f>IF(Table1[[#This Row],[Is Data Valid]]=TRUE,EXP(0.578+0.332*((Table1[[#This Row],[Gestation (days)]]+0.5)/7)-0.00354*((Table1[[#This Row],[Gestation (days)]]+0.5)/7)^2)*Table1[[#This Row],[BW40_3705]],"")</f>
        <v/>
      </c>
      <c r="G4857" s="2" t="str">
        <f>IF(Table1[[#This Row],[Is Data Valid]]=TRUE,((Table1[[#This Row],[Birthweight (grams)]]/Table1[[#This Row],[BW_GA]])-1)/(Backend!$B$4/100*Table1[[#This Row],[BW40_3705]]),"")</f>
        <v/>
      </c>
      <c r="H4857" s="7" t="str">
        <f>IF(Table1[[#This Row],[Is Data Valid]]=TRUE,((Table1[[#This Row],[Birthweight (grams)]]*0.9/Table1[[#This Row],[BW_GA]])-1)/(Backend!$B$4/100*Table1[[#This Row],[BW40_3705]]),"")</f>
        <v/>
      </c>
      <c r="I4857" s="7" t="str">
        <f>IF(Table1[[#This Row],[Is Data Valid]]=TRUE,((Table1[[#This Row],[Birthweight (grams)]]*1.1/Table1[[#This Row],[BW_GA]])-1)/(Backend!$B$4/100*Table1[[#This Row],[BW40_3705]]),"")</f>
        <v/>
      </c>
      <c r="J4857" s="7" t="str">
        <f>IF(Table1[[#This Row],[Is Data Valid]]=TRUE,_xlfn.NORM.S.DIST(Table1[[#This Row],[Birthweight Z-Score]],TRUE)*100,"")</f>
        <v/>
      </c>
      <c r="K4857" s="7" t="str">
        <f>IF(Table1[[#This Row],[Is Data Valid]]=TRUE,_xlfn.NORM.S.DIST(Table1[[#This Row],[Birthweight Z-Score (BW-10%)]],TRUE)*100,"")</f>
        <v/>
      </c>
      <c r="L4857" s="7" t="str">
        <f>IF(Table1[[#This Row],[Is Data Valid]]=TRUE,_xlfn.NORM.S.DIST(Table1[[#This Row],[Birthweight Z-Score (BW+10%)]],TRUE)*100,"")</f>
        <v/>
      </c>
    </row>
    <row r="4858" spans="1:12" x14ac:dyDescent="0.35">
      <c r="A4858" s="3"/>
      <c r="B4858" s="2"/>
      <c r="C4858" s="2"/>
      <c r="D4858" s="2" t="b">
        <f>IF(AND(NOT(ISBLANK(Table1[[#This Row],[Fetal Sex (Male, Female or Unknown)]])),ISNUMBER(Table1[[#This Row],[Birthweight (grams)]]),ISNUMBER(Table1[[#This Row],[Gestation (days)]])),TRUE,FALSE)</f>
        <v>0</v>
      </c>
      <c r="E4858" s="2" t="str">
        <f>IF(Table1[[#This Row],[Is Data Valid]]=TRUE,IF(Table1[[#This Row],[Fetal Sex (Male, Female or Unknown)]]="Male",Backend!$C$6,IF(Table1[[#This Row],[Fetal Sex (Male, Female or Unknown)]]="Female",Backend!$C$7,IF(Table1[[#This Row],[Fetal Sex (Male, Female or Unknown)]]="Unknown",Backend!$C$8,"Error"))),"")</f>
        <v/>
      </c>
      <c r="F4858" s="8" t="str">
        <f>IF(Table1[[#This Row],[Is Data Valid]]=TRUE,EXP(0.578+0.332*((Table1[[#This Row],[Gestation (days)]]+0.5)/7)-0.00354*((Table1[[#This Row],[Gestation (days)]]+0.5)/7)^2)*Table1[[#This Row],[BW40_3705]],"")</f>
        <v/>
      </c>
      <c r="G4858" s="2" t="str">
        <f>IF(Table1[[#This Row],[Is Data Valid]]=TRUE,((Table1[[#This Row],[Birthweight (grams)]]/Table1[[#This Row],[BW_GA]])-1)/(Backend!$B$4/100*Table1[[#This Row],[BW40_3705]]),"")</f>
        <v/>
      </c>
      <c r="H4858" s="7" t="str">
        <f>IF(Table1[[#This Row],[Is Data Valid]]=TRUE,((Table1[[#This Row],[Birthweight (grams)]]*0.9/Table1[[#This Row],[BW_GA]])-1)/(Backend!$B$4/100*Table1[[#This Row],[BW40_3705]]),"")</f>
        <v/>
      </c>
      <c r="I4858" s="7" t="str">
        <f>IF(Table1[[#This Row],[Is Data Valid]]=TRUE,((Table1[[#This Row],[Birthweight (grams)]]*1.1/Table1[[#This Row],[BW_GA]])-1)/(Backend!$B$4/100*Table1[[#This Row],[BW40_3705]]),"")</f>
        <v/>
      </c>
      <c r="J4858" s="7" t="str">
        <f>IF(Table1[[#This Row],[Is Data Valid]]=TRUE,_xlfn.NORM.S.DIST(Table1[[#This Row],[Birthweight Z-Score]],TRUE)*100,"")</f>
        <v/>
      </c>
      <c r="K4858" s="7" t="str">
        <f>IF(Table1[[#This Row],[Is Data Valid]]=TRUE,_xlfn.NORM.S.DIST(Table1[[#This Row],[Birthweight Z-Score (BW-10%)]],TRUE)*100,"")</f>
        <v/>
      </c>
      <c r="L4858" s="7" t="str">
        <f>IF(Table1[[#This Row],[Is Data Valid]]=TRUE,_xlfn.NORM.S.DIST(Table1[[#This Row],[Birthweight Z-Score (BW+10%)]],TRUE)*100,"")</f>
        <v/>
      </c>
    </row>
    <row r="4859" spans="1:12" x14ac:dyDescent="0.35">
      <c r="A4859" s="3"/>
      <c r="B4859" s="2"/>
      <c r="C4859" s="2"/>
      <c r="D4859" s="2" t="b">
        <f>IF(AND(NOT(ISBLANK(Table1[[#This Row],[Fetal Sex (Male, Female or Unknown)]])),ISNUMBER(Table1[[#This Row],[Birthweight (grams)]]),ISNUMBER(Table1[[#This Row],[Gestation (days)]])),TRUE,FALSE)</f>
        <v>0</v>
      </c>
      <c r="E4859" s="2" t="str">
        <f>IF(Table1[[#This Row],[Is Data Valid]]=TRUE,IF(Table1[[#This Row],[Fetal Sex (Male, Female or Unknown)]]="Male",Backend!$C$6,IF(Table1[[#This Row],[Fetal Sex (Male, Female or Unknown)]]="Female",Backend!$C$7,IF(Table1[[#This Row],[Fetal Sex (Male, Female or Unknown)]]="Unknown",Backend!$C$8,"Error"))),"")</f>
        <v/>
      </c>
      <c r="F4859" s="8" t="str">
        <f>IF(Table1[[#This Row],[Is Data Valid]]=TRUE,EXP(0.578+0.332*((Table1[[#This Row],[Gestation (days)]]+0.5)/7)-0.00354*((Table1[[#This Row],[Gestation (days)]]+0.5)/7)^2)*Table1[[#This Row],[BW40_3705]],"")</f>
        <v/>
      </c>
      <c r="G4859" s="2" t="str">
        <f>IF(Table1[[#This Row],[Is Data Valid]]=TRUE,((Table1[[#This Row],[Birthweight (grams)]]/Table1[[#This Row],[BW_GA]])-1)/(Backend!$B$4/100*Table1[[#This Row],[BW40_3705]]),"")</f>
        <v/>
      </c>
      <c r="H4859" s="7" t="str">
        <f>IF(Table1[[#This Row],[Is Data Valid]]=TRUE,((Table1[[#This Row],[Birthweight (grams)]]*0.9/Table1[[#This Row],[BW_GA]])-1)/(Backend!$B$4/100*Table1[[#This Row],[BW40_3705]]),"")</f>
        <v/>
      </c>
      <c r="I4859" s="7" t="str">
        <f>IF(Table1[[#This Row],[Is Data Valid]]=TRUE,((Table1[[#This Row],[Birthweight (grams)]]*1.1/Table1[[#This Row],[BW_GA]])-1)/(Backend!$B$4/100*Table1[[#This Row],[BW40_3705]]),"")</f>
        <v/>
      </c>
      <c r="J4859" s="7" t="str">
        <f>IF(Table1[[#This Row],[Is Data Valid]]=TRUE,_xlfn.NORM.S.DIST(Table1[[#This Row],[Birthweight Z-Score]],TRUE)*100,"")</f>
        <v/>
      </c>
      <c r="K4859" s="7" t="str">
        <f>IF(Table1[[#This Row],[Is Data Valid]]=TRUE,_xlfn.NORM.S.DIST(Table1[[#This Row],[Birthweight Z-Score (BW-10%)]],TRUE)*100,"")</f>
        <v/>
      </c>
      <c r="L4859" s="7" t="str">
        <f>IF(Table1[[#This Row],[Is Data Valid]]=TRUE,_xlfn.NORM.S.DIST(Table1[[#This Row],[Birthweight Z-Score (BW+10%)]],TRUE)*100,"")</f>
        <v/>
      </c>
    </row>
    <row r="4860" spans="1:12" x14ac:dyDescent="0.35">
      <c r="A4860" s="3"/>
      <c r="B4860" s="2"/>
      <c r="C4860" s="2"/>
      <c r="D4860" s="2" t="b">
        <f>IF(AND(NOT(ISBLANK(Table1[[#This Row],[Fetal Sex (Male, Female or Unknown)]])),ISNUMBER(Table1[[#This Row],[Birthweight (grams)]]),ISNUMBER(Table1[[#This Row],[Gestation (days)]])),TRUE,FALSE)</f>
        <v>0</v>
      </c>
      <c r="E4860" s="2" t="str">
        <f>IF(Table1[[#This Row],[Is Data Valid]]=TRUE,IF(Table1[[#This Row],[Fetal Sex (Male, Female or Unknown)]]="Male",Backend!$C$6,IF(Table1[[#This Row],[Fetal Sex (Male, Female or Unknown)]]="Female",Backend!$C$7,IF(Table1[[#This Row],[Fetal Sex (Male, Female or Unknown)]]="Unknown",Backend!$C$8,"Error"))),"")</f>
        <v/>
      </c>
      <c r="F4860" s="8" t="str">
        <f>IF(Table1[[#This Row],[Is Data Valid]]=TRUE,EXP(0.578+0.332*((Table1[[#This Row],[Gestation (days)]]+0.5)/7)-0.00354*((Table1[[#This Row],[Gestation (days)]]+0.5)/7)^2)*Table1[[#This Row],[BW40_3705]],"")</f>
        <v/>
      </c>
      <c r="G4860" s="2" t="str">
        <f>IF(Table1[[#This Row],[Is Data Valid]]=TRUE,((Table1[[#This Row],[Birthweight (grams)]]/Table1[[#This Row],[BW_GA]])-1)/(Backend!$B$4/100*Table1[[#This Row],[BW40_3705]]),"")</f>
        <v/>
      </c>
      <c r="H4860" s="7" t="str">
        <f>IF(Table1[[#This Row],[Is Data Valid]]=TRUE,((Table1[[#This Row],[Birthweight (grams)]]*0.9/Table1[[#This Row],[BW_GA]])-1)/(Backend!$B$4/100*Table1[[#This Row],[BW40_3705]]),"")</f>
        <v/>
      </c>
      <c r="I4860" s="7" t="str">
        <f>IF(Table1[[#This Row],[Is Data Valid]]=TRUE,((Table1[[#This Row],[Birthweight (grams)]]*1.1/Table1[[#This Row],[BW_GA]])-1)/(Backend!$B$4/100*Table1[[#This Row],[BW40_3705]]),"")</f>
        <v/>
      </c>
      <c r="J4860" s="7" t="str">
        <f>IF(Table1[[#This Row],[Is Data Valid]]=TRUE,_xlfn.NORM.S.DIST(Table1[[#This Row],[Birthweight Z-Score]],TRUE)*100,"")</f>
        <v/>
      </c>
      <c r="K4860" s="7" t="str">
        <f>IF(Table1[[#This Row],[Is Data Valid]]=TRUE,_xlfn.NORM.S.DIST(Table1[[#This Row],[Birthweight Z-Score (BW-10%)]],TRUE)*100,"")</f>
        <v/>
      </c>
      <c r="L4860" s="7" t="str">
        <f>IF(Table1[[#This Row],[Is Data Valid]]=TRUE,_xlfn.NORM.S.DIST(Table1[[#This Row],[Birthweight Z-Score (BW+10%)]],TRUE)*100,"")</f>
        <v/>
      </c>
    </row>
    <row r="4861" spans="1:12" x14ac:dyDescent="0.35">
      <c r="A4861" s="3"/>
      <c r="B4861" s="2"/>
      <c r="C4861" s="2"/>
      <c r="D4861" s="2" t="b">
        <f>IF(AND(NOT(ISBLANK(Table1[[#This Row],[Fetal Sex (Male, Female or Unknown)]])),ISNUMBER(Table1[[#This Row],[Birthweight (grams)]]),ISNUMBER(Table1[[#This Row],[Gestation (days)]])),TRUE,FALSE)</f>
        <v>0</v>
      </c>
      <c r="E4861" s="2" t="str">
        <f>IF(Table1[[#This Row],[Is Data Valid]]=TRUE,IF(Table1[[#This Row],[Fetal Sex (Male, Female or Unknown)]]="Male",Backend!$C$6,IF(Table1[[#This Row],[Fetal Sex (Male, Female or Unknown)]]="Female",Backend!$C$7,IF(Table1[[#This Row],[Fetal Sex (Male, Female or Unknown)]]="Unknown",Backend!$C$8,"Error"))),"")</f>
        <v/>
      </c>
      <c r="F4861" s="8" t="str">
        <f>IF(Table1[[#This Row],[Is Data Valid]]=TRUE,EXP(0.578+0.332*((Table1[[#This Row],[Gestation (days)]]+0.5)/7)-0.00354*((Table1[[#This Row],[Gestation (days)]]+0.5)/7)^2)*Table1[[#This Row],[BW40_3705]],"")</f>
        <v/>
      </c>
      <c r="G4861" s="2" t="str">
        <f>IF(Table1[[#This Row],[Is Data Valid]]=TRUE,((Table1[[#This Row],[Birthweight (grams)]]/Table1[[#This Row],[BW_GA]])-1)/(Backend!$B$4/100*Table1[[#This Row],[BW40_3705]]),"")</f>
        <v/>
      </c>
      <c r="H4861" s="7" t="str">
        <f>IF(Table1[[#This Row],[Is Data Valid]]=TRUE,((Table1[[#This Row],[Birthweight (grams)]]*0.9/Table1[[#This Row],[BW_GA]])-1)/(Backend!$B$4/100*Table1[[#This Row],[BW40_3705]]),"")</f>
        <v/>
      </c>
      <c r="I4861" s="7" t="str">
        <f>IF(Table1[[#This Row],[Is Data Valid]]=TRUE,((Table1[[#This Row],[Birthweight (grams)]]*1.1/Table1[[#This Row],[BW_GA]])-1)/(Backend!$B$4/100*Table1[[#This Row],[BW40_3705]]),"")</f>
        <v/>
      </c>
      <c r="J4861" s="7" t="str">
        <f>IF(Table1[[#This Row],[Is Data Valid]]=TRUE,_xlfn.NORM.S.DIST(Table1[[#This Row],[Birthweight Z-Score]],TRUE)*100,"")</f>
        <v/>
      </c>
      <c r="K4861" s="7" t="str">
        <f>IF(Table1[[#This Row],[Is Data Valid]]=TRUE,_xlfn.NORM.S.DIST(Table1[[#This Row],[Birthweight Z-Score (BW-10%)]],TRUE)*100,"")</f>
        <v/>
      </c>
      <c r="L4861" s="7" t="str">
        <f>IF(Table1[[#This Row],[Is Data Valid]]=TRUE,_xlfn.NORM.S.DIST(Table1[[#This Row],[Birthweight Z-Score (BW+10%)]],TRUE)*100,"")</f>
        <v/>
      </c>
    </row>
    <row r="4862" spans="1:12" x14ac:dyDescent="0.35">
      <c r="A4862" s="3"/>
      <c r="B4862" s="2"/>
      <c r="C4862" s="2"/>
      <c r="D4862" s="2" t="b">
        <f>IF(AND(NOT(ISBLANK(Table1[[#This Row],[Fetal Sex (Male, Female or Unknown)]])),ISNUMBER(Table1[[#This Row],[Birthweight (grams)]]),ISNUMBER(Table1[[#This Row],[Gestation (days)]])),TRUE,FALSE)</f>
        <v>0</v>
      </c>
      <c r="E4862" s="2" t="str">
        <f>IF(Table1[[#This Row],[Is Data Valid]]=TRUE,IF(Table1[[#This Row],[Fetal Sex (Male, Female or Unknown)]]="Male",Backend!$C$6,IF(Table1[[#This Row],[Fetal Sex (Male, Female or Unknown)]]="Female",Backend!$C$7,IF(Table1[[#This Row],[Fetal Sex (Male, Female or Unknown)]]="Unknown",Backend!$C$8,"Error"))),"")</f>
        <v/>
      </c>
      <c r="F4862" s="8" t="str">
        <f>IF(Table1[[#This Row],[Is Data Valid]]=TRUE,EXP(0.578+0.332*((Table1[[#This Row],[Gestation (days)]]+0.5)/7)-0.00354*((Table1[[#This Row],[Gestation (days)]]+0.5)/7)^2)*Table1[[#This Row],[BW40_3705]],"")</f>
        <v/>
      </c>
      <c r="G4862" s="2" t="str">
        <f>IF(Table1[[#This Row],[Is Data Valid]]=TRUE,((Table1[[#This Row],[Birthweight (grams)]]/Table1[[#This Row],[BW_GA]])-1)/(Backend!$B$4/100*Table1[[#This Row],[BW40_3705]]),"")</f>
        <v/>
      </c>
      <c r="H4862" s="7" t="str">
        <f>IF(Table1[[#This Row],[Is Data Valid]]=TRUE,((Table1[[#This Row],[Birthweight (grams)]]*0.9/Table1[[#This Row],[BW_GA]])-1)/(Backend!$B$4/100*Table1[[#This Row],[BW40_3705]]),"")</f>
        <v/>
      </c>
      <c r="I4862" s="7" t="str">
        <f>IF(Table1[[#This Row],[Is Data Valid]]=TRUE,((Table1[[#This Row],[Birthweight (grams)]]*1.1/Table1[[#This Row],[BW_GA]])-1)/(Backend!$B$4/100*Table1[[#This Row],[BW40_3705]]),"")</f>
        <v/>
      </c>
      <c r="J4862" s="7" t="str">
        <f>IF(Table1[[#This Row],[Is Data Valid]]=TRUE,_xlfn.NORM.S.DIST(Table1[[#This Row],[Birthweight Z-Score]],TRUE)*100,"")</f>
        <v/>
      </c>
      <c r="K4862" s="7" t="str">
        <f>IF(Table1[[#This Row],[Is Data Valid]]=TRUE,_xlfn.NORM.S.DIST(Table1[[#This Row],[Birthweight Z-Score (BW-10%)]],TRUE)*100,"")</f>
        <v/>
      </c>
      <c r="L4862" s="7" t="str">
        <f>IF(Table1[[#This Row],[Is Data Valid]]=TRUE,_xlfn.NORM.S.DIST(Table1[[#This Row],[Birthweight Z-Score (BW+10%)]],TRUE)*100,"")</f>
        <v/>
      </c>
    </row>
    <row r="4863" spans="1:12" x14ac:dyDescent="0.35">
      <c r="A4863" s="3"/>
      <c r="B4863" s="2"/>
      <c r="C4863" s="2"/>
      <c r="D4863" s="2" t="b">
        <f>IF(AND(NOT(ISBLANK(Table1[[#This Row],[Fetal Sex (Male, Female or Unknown)]])),ISNUMBER(Table1[[#This Row],[Birthweight (grams)]]),ISNUMBER(Table1[[#This Row],[Gestation (days)]])),TRUE,FALSE)</f>
        <v>0</v>
      </c>
      <c r="E4863" s="2" t="str">
        <f>IF(Table1[[#This Row],[Is Data Valid]]=TRUE,IF(Table1[[#This Row],[Fetal Sex (Male, Female or Unknown)]]="Male",Backend!$C$6,IF(Table1[[#This Row],[Fetal Sex (Male, Female or Unknown)]]="Female",Backend!$C$7,IF(Table1[[#This Row],[Fetal Sex (Male, Female or Unknown)]]="Unknown",Backend!$C$8,"Error"))),"")</f>
        <v/>
      </c>
      <c r="F4863" s="8" t="str">
        <f>IF(Table1[[#This Row],[Is Data Valid]]=TRUE,EXP(0.578+0.332*((Table1[[#This Row],[Gestation (days)]]+0.5)/7)-0.00354*((Table1[[#This Row],[Gestation (days)]]+0.5)/7)^2)*Table1[[#This Row],[BW40_3705]],"")</f>
        <v/>
      </c>
      <c r="G4863" s="2" t="str">
        <f>IF(Table1[[#This Row],[Is Data Valid]]=TRUE,((Table1[[#This Row],[Birthweight (grams)]]/Table1[[#This Row],[BW_GA]])-1)/(Backend!$B$4/100*Table1[[#This Row],[BW40_3705]]),"")</f>
        <v/>
      </c>
      <c r="H4863" s="7" t="str">
        <f>IF(Table1[[#This Row],[Is Data Valid]]=TRUE,((Table1[[#This Row],[Birthweight (grams)]]*0.9/Table1[[#This Row],[BW_GA]])-1)/(Backend!$B$4/100*Table1[[#This Row],[BW40_3705]]),"")</f>
        <v/>
      </c>
      <c r="I4863" s="7" t="str">
        <f>IF(Table1[[#This Row],[Is Data Valid]]=TRUE,((Table1[[#This Row],[Birthweight (grams)]]*1.1/Table1[[#This Row],[BW_GA]])-1)/(Backend!$B$4/100*Table1[[#This Row],[BW40_3705]]),"")</f>
        <v/>
      </c>
      <c r="J4863" s="7" t="str">
        <f>IF(Table1[[#This Row],[Is Data Valid]]=TRUE,_xlfn.NORM.S.DIST(Table1[[#This Row],[Birthweight Z-Score]],TRUE)*100,"")</f>
        <v/>
      </c>
      <c r="K4863" s="7" t="str">
        <f>IF(Table1[[#This Row],[Is Data Valid]]=TRUE,_xlfn.NORM.S.DIST(Table1[[#This Row],[Birthweight Z-Score (BW-10%)]],TRUE)*100,"")</f>
        <v/>
      </c>
      <c r="L4863" s="7" t="str">
        <f>IF(Table1[[#This Row],[Is Data Valid]]=TRUE,_xlfn.NORM.S.DIST(Table1[[#This Row],[Birthweight Z-Score (BW+10%)]],TRUE)*100,"")</f>
        <v/>
      </c>
    </row>
    <row r="4864" spans="1:12" x14ac:dyDescent="0.35">
      <c r="A4864" s="3"/>
      <c r="B4864" s="2"/>
      <c r="C4864" s="2"/>
      <c r="D4864" s="2" t="b">
        <f>IF(AND(NOT(ISBLANK(Table1[[#This Row],[Fetal Sex (Male, Female or Unknown)]])),ISNUMBER(Table1[[#This Row],[Birthweight (grams)]]),ISNUMBER(Table1[[#This Row],[Gestation (days)]])),TRUE,FALSE)</f>
        <v>0</v>
      </c>
      <c r="E4864" s="2" t="str">
        <f>IF(Table1[[#This Row],[Is Data Valid]]=TRUE,IF(Table1[[#This Row],[Fetal Sex (Male, Female or Unknown)]]="Male",Backend!$C$6,IF(Table1[[#This Row],[Fetal Sex (Male, Female or Unknown)]]="Female",Backend!$C$7,IF(Table1[[#This Row],[Fetal Sex (Male, Female or Unknown)]]="Unknown",Backend!$C$8,"Error"))),"")</f>
        <v/>
      </c>
      <c r="F4864" s="8" t="str">
        <f>IF(Table1[[#This Row],[Is Data Valid]]=TRUE,EXP(0.578+0.332*((Table1[[#This Row],[Gestation (days)]]+0.5)/7)-0.00354*((Table1[[#This Row],[Gestation (days)]]+0.5)/7)^2)*Table1[[#This Row],[BW40_3705]],"")</f>
        <v/>
      </c>
      <c r="G4864" s="2" t="str">
        <f>IF(Table1[[#This Row],[Is Data Valid]]=TRUE,((Table1[[#This Row],[Birthweight (grams)]]/Table1[[#This Row],[BW_GA]])-1)/(Backend!$B$4/100*Table1[[#This Row],[BW40_3705]]),"")</f>
        <v/>
      </c>
      <c r="H4864" s="7" t="str">
        <f>IF(Table1[[#This Row],[Is Data Valid]]=TRUE,((Table1[[#This Row],[Birthweight (grams)]]*0.9/Table1[[#This Row],[BW_GA]])-1)/(Backend!$B$4/100*Table1[[#This Row],[BW40_3705]]),"")</f>
        <v/>
      </c>
      <c r="I4864" s="7" t="str">
        <f>IF(Table1[[#This Row],[Is Data Valid]]=TRUE,((Table1[[#This Row],[Birthweight (grams)]]*1.1/Table1[[#This Row],[BW_GA]])-1)/(Backend!$B$4/100*Table1[[#This Row],[BW40_3705]]),"")</f>
        <v/>
      </c>
      <c r="J4864" s="7" t="str">
        <f>IF(Table1[[#This Row],[Is Data Valid]]=TRUE,_xlfn.NORM.S.DIST(Table1[[#This Row],[Birthweight Z-Score]],TRUE)*100,"")</f>
        <v/>
      </c>
      <c r="K4864" s="7" t="str">
        <f>IF(Table1[[#This Row],[Is Data Valid]]=TRUE,_xlfn.NORM.S.DIST(Table1[[#This Row],[Birthweight Z-Score (BW-10%)]],TRUE)*100,"")</f>
        <v/>
      </c>
      <c r="L4864" s="7" t="str">
        <f>IF(Table1[[#This Row],[Is Data Valid]]=TRUE,_xlfn.NORM.S.DIST(Table1[[#This Row],[Birthweight Z-Score (BW+10%)]],TRUE)*100,"")</f>
        <v/>
      </c>
    </row>
    <row r="4865" spans="1:12" x14ac:dyDescent="0.35">
      <c r="A4865" s="3"/>
      <c r="B4865" s="2"/>
      <c r="C4865" s="2"/>
      <c r="D4865" s="2" t="b">
        <f>IF(AND(NOT(ISBLANK(Table1[[#This Row],[Fetal Sex (Male, Female or Unknown)]])),ISNUMBER(Table1[[#This Row],[Birthweight (grams)]]),ISNUMBER(Table1[[#This Row],[Gestation (days)]])),TRUE,FALSE)</f>
        <v>0</v>
      </c>
      <c r="E4865" s="2" t="str">
        <f>IF(Table1[[#This Row],[Is Data Valid]]=TRUE,IF(Table1[[#This Row],[Fetal Sex (Male, Female or Unknown)]]="Male",Backend!$C$6,IF(Table1[[#This Row],[Fetal Sex (Male, Female or Unknown)]]="Female",Backend!$C$7,IF(Table1[[#This Row],[Fetal Sex (Male, Female or Unknown)]]="Unknown",Backend!$C$8,"Error"))),"")</f>
        <v/>
      </c>
      <c r="F4865" s="8" t="str">
        <f>IF(Table1[[#This Row],[Is Data Valid]]=TRUE,EXP(0.578+0.332*((Table1[[#This Row],[Gestation (days)]]+0.5)/7)-0.00354*((Table1[[#This Row],[Gestation (days)]]+0.5)/7)^2)*Table1[[#This Row],[BW40_3705]],"")</f>
        <v/>
      </c>
      <c r="G4865" s="2" t="str">
        <f>IF(Table1[[#This Row],[Is Data Valid]]=TRUE,((Table1[[#This Row],[Birthweight (grams)]]/Table1[[#This Row],[BW_GA]])-1)/(Backend!$B$4/100*Table1[[#This Row],[BW40_3705]]),"")</f>
        <v/>
      </c>
      <c r="H4865" s="7" t="str">
        <f>IF(Table1[[#This Row],[Is Data Valid]]=TRUE,((Table1[[#This Row],[Birthweight (grams)]]*0.9/Table1[[#This Row],[BW_GA]])-1)/(Backend!$B$4/100*Table1[[#This Row],[BW40_3705]]),"")</f>
        <v/>
      </c>
      <c r="I4865" s="7" t="str">
        <f>IF(Table1[[#This Row],[Is Data Valid]]=TRUE,((Table1[[#This Row],[Birthweight (grams)]]*1.1/Table1[[#This Row],[BW_GA]])-1)/(Backend!$B$4/100*Table1[[#This Row],[BW40_3705]]),"")</f>
        <v/>
      </c>
      <c r="J4865" s="7" t="str">
        <f>IF(Table1[[#This Row],[Is Data Valid]]=TRUE,_xlfn.NORM.S.DIST(Table1[[#This Row],[Birthweight Z-Score]],TRUE)*100,"")</f>
        <v/>
      </c>
      <c r="K4865" s="7" t="str">
        <f>IF(Table1[[#This Row],[Is Data Valid]]=TRUE,_xlfn.NORM.S.DIST(Table1[[#This Row],[Birthweight Z-Score (BW-10%)]],TRUE)*100,"")</f>
        <v/>
      </c>
      <c r="L4865" s="7" t="str">
        <f>IF(Table1[[#This Row],[Is Data Valid]]=TRUE,_xlfn.NORM.S.DIST(Table1[[#This Row],[Birthweight Z-Score (BW+10%)]],TRUE)*100,"")</f>
        <v/>
      </c>
    </row>
    <row r="4866" spans="1:12" x14ac:dyDescent="0.35">
      <c r="A4866" s="3"/>
      <c r="B4866" s="2"/>
      <c r="C4866" s="2"/>
      <c r="D4866" s="2" t="b">
        <f>IF(AND(NOT(ISBLANK(Table1[[#This Row],[Fetal Sex (Male, Female or Unknown)]])),ISNUMBER(Table1[[#This Row],[Birthweight (grams)]]),ISNUMBER(Table1[[#This Row],[Gestation (days)]])),TRUE,FALSE)</f>
        <v>0</v>
      </c>
      <c r="E4866" s="2" t="str">
        <f>IF(Table1[[#This Row],[Is Data Valid]]=TRUE,IF(Table1[[#This Row],[Fetal Sex (Male, Female or Unknown)]]="Male",Backend!$C$6,IF(Table1[[#This Row],[Fetal Sex (Male, Female or Unknown)]]="Female",Backend!$C$7,IF(Table1[[#This Row],[Fetal Sex (Male, Female or Unknown)]]="Unknown",Backend!$C$8,"Error"))),"")</f>
        <v/>
      </c>
      <c r="F4866" s="8" t="str">
        <f>IF(Table1[[#This Row],[Is Data Valid]]=TRUE,EXP(0.578+0.332*((Table1[[#This Row],[Gestation (days)]]+0.5)/7)-0.00354*((Table1[[#This Row],[Gestation (days)]]+0.5)/7)^2)*Table1[[#This Row],[BW40_3705]],"")</f>
        <v/>
      </c>
      <c r="G4866" s="2" t="str">
        <f>IF(Table1[[#This Row],[Is Data Valid]]=TRUE,((Table1[[#This Row],[Birthweight (grams)]]/Table1[[#This Row],[BW_GA]])-1)/(Backend!$B$4/100*Table1[[#This Row],[BW40_3705]]),"")</f>
        <v/>
      </c>
      <c r="H4866" s="7" t="str">
        <f>IF(Table1[[#This Row],[Is Data Valid]]=TRUE,((Table1[[#This Row],[Birthweight (grams)]]*0.9/Table1[[#This Row],[BW_GA]])-1)/(Backend!$B$4/100*Table1[[#This Row],[BW40_3705]]),"")</f>
        <v/>
      </c>
      <c r="I4866" s="7" t="str">
        <f>IF(Table1[[#This Row],[Is Data Valid]]=TRUE,((Table1[[#This Row],[Birthweight (grams)]]*1.1/Table1[[#This Row],[BW_GA]])-1)/(Backend!$B$4/100*Table1[[#This Row],[BW40_3705]]),"")</f>
        <v/>
      </c>
      <c r="J4866" s="7" t="str">
        <f>IF(Table1[[#This Row],[Is Data Valid]]=TRUE,_xlfn.NORM.S.DIST(Table1[[#This Row],[Birthweight Z-Score]],TRUE)*100,"")</f>
        <v/>
      </c>
      <c r="K4866" s="7" t="str">
        <f>IF(Table1[[#This Row],[Is Data Valid]]=TRUE,_xlfn.NORM.S.DIST(Table1[[#This Row],[Birthweight Z-Score (BW-10%)]],TRUE)*100,"")</f>
        <v/>
      </c>
      <c r="L4866" s="7" t="str">
        <f>IF(Table1[[#This Row],[Is Data Valid]]=TRUE,_xlfn.NORM.S.DIST(Table1[[#This Row],[Birthweight Z-Score (BW+10%)]],TRUE)*100,"")</f>
        <v/>
      </c>
    </row>
    <row r="4867" spans="1:12" x14ac:dyDescent="0.35">
      <c r="A4867" s="3"/>
      <c r="B4867" s="2"/>
      <c r="C4867" s="2"/>
      <c r="D4867" s="2" t="b">
        <f>IF(AND(NOT(ISBLANK(Table1[[#This Row],[Fetal Sex (Male, Female or Unknown)]])),ISNUMBER(Table1[[#This Row],[Birthweight (grams)]]),ISNUMBER(Table1[[#This Row],[Gestation (days)]])),TRUE,FALSE)</f>
        <v>0</v>
      </c>
      <c r="E4867" s="2" t="str">
        <f>IF(Table1[[#This Row],[Is Data Valid]]=TRUE,IF(Table1[[#This Row],[Fetal Sex (Male, Female or Unknown)]]="Male",Backend!$C$6,IF(Table1[[#This Row],[Fetal Sex (Male, Female or Unknown)]]="Female",Backend!$C$7,IF(Table1[[#This Row],[Fetal Sex (Male, Female or Unknown)]]="Unknown",Backend!$C$8,"Error"))),"")</f>
        <v/>
      </c>
      <c r="F4867" s="8" t="str">
        <f>IF(Table1[[#This Row],[Is Data Valid]]=TRUE,EXP(0.578+0.332*((Table1[[#This Row],[Gestation (days)]]+0.5)/7)-0.00354*((Table1[[#This Row],[Gestation (days)]]+0.5)/7)^2)*Table1[[#This Row],[BW40_3705]],"")</f>
        <v/>
      </c>
      <c r="G4867" s="2" t="str">
        <f>IF(Table1[[#This Row],[Is Data Valid]]=TRUE,((Table1[[#This Row],[Birthweight (grams)]]/Table1[[#This Row],[BW_GA]])-1)/(Backend!$B$4/100*Table1[[#This Row],[BW40_3705]]),"")</f>
        <v/>
      </c>
      <c r="H4867" s="7" t="str">
        <f>IF(Table1[[#This Row],[Is Data Valid]]=TRUE,((Table1[[#This Row],[Birthweight (grams)]]*0.9/Table1[[#This Row],[BW_GA]])-1)/(Backend!$B$4/100*Table1[[#This Row],[BW40_3705]]),"")</f>
        <v/>
      </c>
      <c r="I4867" s="7" t="str">
        <f>IF(Table1[[#This Row],[Is Data Valid]]=TRUE,((Table1[[#This Row],[Birthweight (grams)]]*1.1/Table1[[#This Row],[BW_GA]])-1)/(Backend!$B$4/100*Table1[[#This Row],[BW40_3705]]),"")</f>
        <v/>
      </c>
      <c r="J4867" s="7" t="str">
        <f>IF(Table1[[#This Row],[Is Data Valid]]=TRUE,_xlfn.NORM.S.DIST(Table1[[#This Row],[Birthweight Z-Score]],TRUE)*100,"")</f>
        <v/>
      </c>
      <c r="K4867" s="7" t="str">
        <f>IF(Table1[[#This Row],[Is Data Valid]]=TRUE,_xlfn.NORM.S.DIST(Table1[[#This Row],[Birthweight Z-Score (BW-10%)]],TRUE)*100,"")</f>
        <v/>
      </c>
      <c r="L4867" s="7" t="str">
        <f>IF(Table1[[#This Row],[Is Data Valid]]=TRUE,_xlfn.NORM.S.DIST(Table1[[#This Row],[Birthweight Z-Score (BW+10%)]],TRUE)*100,"")</f>
        <v/>
      </c>
    </row>
    <row r="4868" spans="1:12" x14ac:dyDescent="0.35">
      <c r="A4868" s="3"/>
      <c r="B4868" s="2"/>
      <c r="C4868" s="2"/>
      <c r="D4868" s="2" t="b">
        <f>IF(AND(NOT(ISBLANK(Table1[[#This Row],[Fetal Sex (Male, Female or Unknown)]])),ISNUMBER(Table1[[#This Row],[Birthweight (grams)]]),ISNUMBER(Table1[[#This Row],[Gestation (days)]])),TRUE,FALSE)</f>
        <v>0</v>
      </c>
      <c r="E4868" s="2" t="str">
        <f>IF(Table1[[#This Row],[Is Data Valid]]=TRUE,IF(Table1[[#This Row],[Fetal Sex (Male, Female or Unknown)]]="Male",Backend!$C$6,IF(Table1[[#This Row],[Fetal Sex (Male, Female or Unknown)]]="Female",Backend!$C$7,IF(Table1[[#This Row],[Fetal Sex (Male, Female or Unknown)]]="Unknown",Backend!$C$8,"Error"))),"")</f>
        <v/>
      </c>
      <c r="F4868" s="8" t="str">
        <f>IF(Table1[[#This Row],[Is Data Valid]]=TRUE,EXP(0.578+0.332*((Table1[[#This Row],[Gestation (days)]]+0.5)/7)-0.00354*((Table1[[#This Row],[Gestation (days)]]+0.5)/7)^2)*Table1[[#This Row],[BW40_3705]],"")</f>
        <v/>
      </c>
      <c r="G4868" s="2" t="str">
        <f>IF(Table1[[#This Row],[Is Data Valid]]=TRUE,((Table1[[#This Row],[Birthweight (grams)]]/Table1[[#This Row],[BW_GA]])-1)/(Backend!$B$4/100*Table1[[#This Row],[BW40_3705]]),"")</f>
        <v/>
      </c>
      <c r="H4868" s="7" t="str">
        <f>IF(Table1[[#This Row],[Is Data Valid]]=TRUE,((Table1[[#This Row],[Birthweight (grams)]]*0.9/Table1[[#This Row],[BW_GA]])-1)/(Backend!$B$4/100*Table1[[#This Row],[BW40_3705]]),"")</f>
        <v/>
      </c>
      <c r="I4868" s="7" t="str">
        <f>IF(Table1[[#This Row],[Is Data Valid]]=TRUE,((Table1[[#This Row],[Birthweight (grams)]]*1.1/Table1[[#This Row],[BW_GA]])-1)/(Backend!$B$4/100*Table1[[#This Row],[BW40_3705]]),"")</f>
        <v/>
      </c>
      <c r="J4868" s="7" t="str">
        <f>IF(Table1[[#This Row],[Is Data Valid]]=TRUE,_xlfn.NORM.S.DIST(Table1[[#This Row],[Birthweight Z-Score]],TRUE)*100,"")</f>
        <v/>
      </c>
      <c r="K4868" s="7" t="str">
        <f>IF(Table1[[#This Row],[Is Data Valid]]=TRUE,_xlfn.NORM.S.DIST(Table1[[#This Row],[Birthweight Z-Score (BW-10%)]],TRUE)*100,"")</f>
        <v/>
      </c>
      <c r="L4868" s="7" t="str">
        <f>IF(Table1[[#This Row],[Is Data Valid]]=TRUE,_xlfn.NORM.S.DIST(Table1[[#This Row],[Birthweight Z-Score (BW+10%)]],TRUE)*100,"")</f>
        <v/>
      </c>
    </row>
    <row r="4869" spans="1:12" x14ac:dyDescent="0.35">
      <c r="A4869" s="3"/>
      <c r="B4869" s="2"/>
      <c r="C4869" s="2"/>
      <c r="D4869" s="2" t="b">
        <f>IF(AND(NOT(ISBLANK(Table1[[#This Row],[Fetal Sex (Male, Female or Unknown)]])),ISNUMBER(Table1[[#This Row],[Birthweight (grams)]]),ISNUMBER(Table1[[#This Row],[Gestation (days)]])),TRUE,FALSE)</f>
        <v>0</v>
      </c>
      <c r="E4869" s="2" t="str">
        <f>IF(Table1[[#This Row],[Is Data Valid]]=TRUE,IF(Table1[[#This Row],[Fetal Sex (Male, Female or Unknown)]]="Male",Backend!$C$6,IF(Table1[[#This Row],[Fetal Sex (Male, Female or Unknown)]]="Female",Backend!$C$7,IF(Table1[[#This Row],[Fetal Sex (Male, Female or Unknown)]]="Unknown",Backend!$C$8,"Error"))),"")</f>
        <v/>
      </c>
      <c r="F4869" s="8" t="str">
        <f>IF(Table1[[#This Row],[Is Data Valid]]=TRUE,EXP(0.578+0.332*((Table1[[#This Row],[Gestation (days)]]+0.5)/7)-0.00354*((Table1[[#This Row],[Gestation (days)]]+0.5)/7)^2)*Table1[[#This Row],[BW40_3705]],"")</f>
        <v/>
      </c>
      <c r="G4869" s="2" t="str">
        <f>IF(Table1[[#This Row],[Is Data Valid]]=TRUE,((Table1[[#This Row],[Birthweight (grams)]]/Table1[[#This Row],[BW_GA]])-1)/(Backend!$B$4/100*Table1[[#This Row],[BW40_3705]]),"")</f>
        <v/>
      </c>
      <c r="H4869" s="7" t="str">
        <f>IF(Table1[[#This Row],[Is Data Valid]]=TRUE,((Table1[[#This Row],[Birthweight (grams)]]*0.9/Table1[[#This Row],[BW_GA]])-1)/(Backend!$B$4/100*Table1[[#This Row],[BW40_3705]]),"")</f>
        <v/>
      </c>
      <c r="I4869" s="7" t="str">
        <f>IF(Table1[[#This Row],[Is Data Valid]]=TRUE,((Table1[[#This Row],[Birthweight (grams)]]*1.1/Table1[[#This Row],[BW_GA]])-1)/(Backend!$B$4/100*Table1[[#This Row],[BW40_3705]]),"")</f>
        <v/>
      </c>
      <c r="J4869" s="7" t="str">
        <f>IF(Table1[[#This Row],[Is Data Valid]]=TRUE,_xlfn.NORM.S.DIST(Table1[[#This Row],[Birthweight Z-Score]],TRUE)*100,"")</f>
        <v/>
      </c>
      <c r="K4869" s="7" t="str">
        <f>IF(Table1[[#This Row],[Is Data Valid]]=TRUE,_xlfn.NORM.S.DIST(Table1[[#This Row],[Birthweight Z-Score (BW-10%)]],TRUE)*100,"")</f>
        <v/>
      </c>
      <c r="L4869" s="7" t="str">
        <f>IF(Table1[[#This Row],[Is Data Valid]]=TRUE,_xlfn.NORM.S.DIST(Table1[[#This Row],[Birthweight Z-Score (BW+10%)]],TRUE)*100,"")</f>
        <v/>
      </c>
    </row>
    <row r="4870" spans="1:12" x14ac:dyDescent="0.35">
      <c r="A4870" s="3"/>
      <c r="B4870" s="2"/>
      <c r="C4870" s="2"/>
      <c r="D4870" s="2" t="b">
        <f>IF(AND(NOT(ISBLANK(Table1[[#This Row],[Fetal Sex (Male, Female or Unknown)]])),ISNUMBER(Table1[[#This Row],[Birthweight (grams)]]),ISNUMBER(Table1[[#This Row],[Gestation (days)]])),TRUE,FALSE)</f>
        <v>0</v>
      </c>
      <c r="E4870" s="2" t="str">
        <f>IF(Table1[[#This Row],[Is Data Valid]]=TRUE,IF(Table1[[#This Row],[Fetal Sex (Male, Female or Unknown)]]="Male",Backend!$C$6,IF(Table1[[#This Row],[Fetal Sex (Male, Female or Unknown)]]="Female",Backend!$C$7,IF(Table1[[#This Row],[Fetal Sex (Male, Female or Unknown)]]="Unknown",Backend!$C$8,"Error"))),"")</f>
        <v/>
      </c>
      <c r="F4870" s="8" t="str">
        <f>IF(Table1[[#This Row],[Is Data Valid]]=TRUE,EXP(0.578+0.332*((Table1[[#This Row],[Gestation (days)]]+0.5)/7)-0.00354*((Table1[[#This Row],[Gestation (days)]]+0.5)/7)^2)*Table1[[#This Row],[BW40_3705]],"")</f>
        <v/>
      </c>
      <c r="G4870" s="2" t="str">
        <f>IF(Table1[[#This Row],[Is Data Valid]]=TRUE,((Table1[[#This Row],[Birthweight (grams)]]/Table1[[#This Row],[BW_GA]])-1)/(Backend!$B$4/100*Table1[[#This Row],[BW40_3705]]),"")</f>
        <v/>
      </c>
      <c r="H4870" s="7" t="str">
        <f>IF(Table1[[#This Row],[Is Data Valid]]=TRUE,((Table1[[#This Row],[Birthweight (grams)]]*0.9/Table1[[#This Row],[BW_GA]])-1)/(Backend!$B$4/100*Table1[[#This Row],[BW40_3705]]),"")</f>
        <v/>
      </c>
      <c r="I4870" s="7" t="str">
        <f>IF(Table1[[#This Row],[Is Data Valid]]=TRUE,((Table1[[#This Row],[Birthweight (grams)]]*1.1/Table1[[#This Row],[BW_GA]])-1)/(Backend!$B$4/100*Table1[[#This Row],[BW40_3705]]),"")</f>
        <v/>
      </c>
      <c r="J4870" s="7" t="str">
        <f>IF(Table1[[#This Row],[Is Data Valid]]=TRUE,_xlfn.NORM.S.DIST(Table1[[#This Row],[Birthweight Z-Score]],TRUE)*100,"")</f>
        <v/>
      </c>
      <c r="K4870" s="7" t="str">
        <f>IF(Table1[[#This Row],[Is Data Valid]]=TRUE,_xlfn.NORM.S.DIST(Table1[[#This Row],[Birthweight Z-Score (BW-10%)]],TRUE)*100,"")</f>
        <v/>
      </c>
      <c r="L4870" s="7" t="str">
        <f>IF(Table1[[#This Row],[Is Data Valid]]=TRUE,_xlfn.NORM.S.DIST(Table1[[#This Row],[Birthweight Z-Score (BW+10%)]],TRUE)*100,"")</f>
        <v/>
      </c>
    </row>
    <row r="4871" spans="1:12" x14ac:dyDescent="0.35">
      <c r="A4871" s="3"/>
      <c r="B4871" s="2"/>
      <c r="C4871" s="2"/>
      <c r="D4871" s="2" t="b">
        <f>IF(AND(NOT(ISBLANK(Table1[[#This Row],[Fetal Sex (Male, Female or Unknown)]])),ISNUMBER(Table1[[#This Row],[Birthweight (grams)]]),ISNUMBER(Table1[[#This Row],[Gestation (days)]])),TRUE,FALSE)</f>
        <v>0</v>
      </c>
      <c r="E4871" s="2" t="str">
        <f>IF(Table1[[#This Row],[Is Data Valid]]=TRUE,IF(Table1[[#This Row],[Fetal Sex (Male, Female or Unknown)]]="Male",Backend!$C$6,IF(Table1[[#This Row],[Fetal Sex (Male, Female or Unknown)]]="Female",Backend!$C$7,IF(Table1[[#This Row],[Fetal Sex (Male, Female or Unknown)]]="Unknown",Backend!$C$8,"Error"))),"")</f>
        <v/>
      </c>
      <c r="F4871" s="8" t="str">
        <f>IF(Table1[[#This Row],[Is Data Valid]]=TRUE,EXP(0.578+0.332*((Table1[[#This Row],[Gestation (days)]]+0.5)/7)-0.00354*((Table1[[#This Row],[Gestation (days)]]+0.5)/7)^2)*Table1[[#This Row],[BW40_3705]],"")</f>
        <v/>
      </c>
      <c r="G4871" s="2" t="str">
        <f>IF(Table1[[#This Row],[Is Data Valid]]=TRUE,((Table1[[#This Row],[Birthweight (grams)]]/Table1[[#This Row],[BW_GA]])-1)/(Backend!$B$4/100*Table1[[#This Row],[BW40_3705]]),"")</f>
        <v/>
      </c>
      <c r="H4871" s="7" t="str">
        <f>IF(Table1[[#This Row],[Is Data Valid]]=TRUE,((Table1[[#This Row],[Birthweight (grams)]]*0.9/Table1[[#This Row],[BW_GA]])-1)/(Backend!$B$4/100*Table1[[#This Row],[BW40_3705]]),"")</f>
        <v/>
      </c>
      <c r="I4871" s="7" t="str">
        <f>IF(Table1[[#This Row],[Is Data Valid]]=TRUE,((Table1[[#This Row],[Birthweight (grams)]]*1.1/Table1[[#This Row],[BW_GA]])-1)/(Backend!$B$4/100*Table1[[#This Row],[BW40_3705]]),"")</f>
        <v/>
      </c>
      <c r="J4871" s="7" t="str">
        <f>IF(Table1[[#This Row],[Is Data Valid]]=TRUE,_xlfn.NORM.S.DIST(Table1[[#This Row],[Birthweight Z-Score]],TRUE)*100,"")</f>
        <v/>
      </c>
      <c r="K4871" s="7" t="str">
        <f>IF(Table1[[#This Row],[Is Data Valid]]=TRUE,_xlfn.NORM.S.DIST(Table1[[#This Row],[Birthweight Z-Score (BW-10%)]],TRUE)*100,"")</f>
        <v/>
      </c>
      <c r="L4871" s="7" t="str">
        <f>IF(Table1[[#This Row],[Is Data Valid]]=TRUE,_xlfn.NORM.S.DIST(Table1[[#This Row],[Birthweight Z-Score (BW+10%)]],TRUE)*100,"")</f>
        <v/>
      </c>
    </row>
    <row r="4872" spans="1:12" x14ac:dyDescent="0.35">
      <c r="A4872" s="3"/>
      <c r="B4872" s="2"/>
      <c r="C4872" s="2"/>
      <c r="D4872" s="2" t="b">
        <f>IF(AND(NOT(ISBLANK(Table1[[#This Row],[Fetal Sex (Male, Female or Unknown)]])),ISNUMBER(Table1[[#This Row],[Birthweight (grams)]]),ISNUMBER(Table1[[#This Row],[Gestation (days)]])),TRUE,FALSE)</f>
        <v>0</v>
      </c>
      <c r="E4872" s="2" t="str">
        <f>IF(Table1[[#This Row],[Is Data Valid]]=TRUE,IF(Table1[[#This Row],[Fetal Sex (Male, Female or Unknown)]]="Male",Backend!$C$6,IF(Table1[[#This Row],[Fetal Sex (Male, Female or Unknown)]]="Female",Backend!$C$7,IF(Table1[[#This Row],[Fetal Sex (Male, Female or Unknown)]]="Unknown",Backend!$C$8,"Error"))),"")</f>
        <v/>
      </c>
      <c r="F4872" s="8" t="str">
        <f>IF(Table1[[#This Row],[Is Data Valid]]=TRUE,EXP(0.578+0.332*((Table1[[#This Row],[Gestation (days)]]+0.5)/7)-0.00354*((Table1[[#This Row],[Gestation (days)]]+0.5)/7)^2)*Table1[[#This Row],[BW40_3705]],"")</f>
        <v/>
      </c>
      <c r="G4872" s="2" t="str">
        <f>IF(Table1[[#This Row],[Is Data Valid]]=TRUE,((Table1[[#This Row],[Birthweight (grams)]]/Table1[[#This Row],[BW_GA]])-1)/(Backend!$B$4/100*Table1[[#This Row],[BW40_3705]]),"")</f>
        <v/>
      </c>
      <c r="H4872" s="7" t="str">
        <f>IF(Table1[[#This Row],[Is Data Valid]]=TRUE,((Table1[[#This Row],[Birthweight (grams)]]*0.9/Table1[[#This Row],[BW_GA]])-1)/(Backend!$B$4/100*Table1[[#This Row],[BW40_3705]]),"")</f>
        <v/>
      </c>
      <c r="I4872" s="7" t="str">
        <f>IF(Table1[[#This Row],[Is Data Valid]]=TRUE,((Table1[[#This Row],[Birthweight (grams)]]*1.1/Table1[[#This Row],[BW_GA]])-1)/(Backend!$B$4/100*Table1[[#This Row],[BW40_3705]]),"")</f>
        <v/>
      </c>
      <c r="J4872" s="7" t="str">
        <f>IF(Table1[[#This Row],[Is Data Valid]]=TRUE,_xlfn.NORM.S.DIST(Table1[[#This Row],[Birthweight Z-Score]],TRUE)*100,"")</f>
        <v/>
      </c>
      <c r="K4872" s="7" t="str">
        <f>IF(Table1[[#This Row],[Is Data Valid]]=TRUE,_xlfn.NORM.S.DIST(Table1[[#This Row],[Birthweight Z-Score (BW-10%)]],TRUE)*100,"")</f>
        <v/>
      </c>
      <c r="L4872" s="7" t="str">
        <f>IF(Table1[[#This Row],[Is Data Valid]]=TRUE,_xlfn.NORM.S.DIST(Table1[[#This Row],[Birthweight Z-Score (BW+10%)]],TRUE)*100,"")</f>
        <v/>
      </c>
    </row>
    <row r="4873" spans="1:12" x14ac:dyDescent="0.35">
      <c r="A4873" s="3"/>
      <c r="B4873" s="2"/>
      <c r="C4873" s="2"/>
      <c r="D4873" s="2" t="b">
        <f>IF(AND(NOT(ISBLANK(Table1[[#This Row],[Fetal Sex (Male, Female or Unknown)]])),ISNUMBER(Table1[[#This Row],[Birthweight (grams)]]),ISNUMBER(Table1[[#This Row],[Gestation (days)]])),TRUE,FALSE)</f>
        <v>0</v>
      </c>
      <c r="E4873" s="2" t="str">
        <f>IF(Table1[[#This Row],[Is Data Valid]]=TRUE,IF(Table1[[#This Row],[Fetal Sex (Male, Female or Unknown)]]="Male",Backend!$C$6,IF(Table1[[#This Row],[Fetal Sex (Male, Female or Unknown)]]="Female",Backend!$C$7,IF(Table1[[#This Row],[Fetal Sex (Male, Female or Unknown)]]="Unknown",Backend!$C$8,"Error"))),"")</f>
        <v/>
      </c>
      <c r="F4873" s="8" t="str">
        <f>IF(Table1[[#This Row],[Is Data Valid]]=TRUE,EXP(0.578+0.332*((Table1[[#This Row],[Gestation (days)]]+0.5)/7)-0.00354*((Table1[[#This Row],[Gestation (days)]]+0.5)/7)^2)*Table1[[#This Row],[BW40_3705]],"")</f>
        <v/>
      </c>
      <c r="G4873" s="2" t="str">
        <f>IF(Table1[[#This Row],[Is Data Valid]]=TRUE,((Table1[[#This Row],[Birthweight (grams)]]/Table1[[#This Row],[BW_GA]])-1)/(Backend!$B$4/100*Table1[[#This Row],[BW40_3705]]),"")</f>
        <v/>
      </c>
      <c r="H4873" s="7" t="str">
        <f>IF(Table1[[#This Row],[Is Data Valid]]=TRUE,((Table1[[#This Row],[Birthweight (grams)]]*0.9/Table1[[#This Row],[BW_GA]])-1)/(Backend!$B$4/100*Table1[[#This Row],[BW40_3705]]),"")</f>
        <v/>
      </c>
      <c r="I4873" s="7" t="str">
        <f>IF(Table1[[#This Row],[Is Data Valid]]=TRUE,((Table1[[#This Row],[Birthweight (grams)]]*1.1/Table1[[#This Row],[BW_GA]])-1)/(Backend!$B$4/100*Table1[[#This Row],[BW40_3705]]),"")</f>
        <v/>
      </c>
      <c r="J4873" s="7" t="str">
        <f>IF(Table1[[#This Row],[Is Data Valid]]=TRUE,_xlfn.NORM.S.DIST(Table1[[#This Row],[Birthweight Z-Score]],TRUE)*100,"")</f>
        <v/>
      </c>
      <c r="K4873" s="7" t="str">
        <f>IF(Table1[[#This Row],[Is Data Valid]]=TRUE,_xlfn.NORM.S.DIST(Table1[[#This Row],[Birthweight Z-Score (BW-10%)]],TRUE)*100,"")</f>
        <v/>
      </c>
      <c r="L4873" s="7" t="str">
        <f>IF(Table1[[#This Row],[Is Data Valid]]=TRUE,_xlfn.NORM.S.DIST(Table1[[#This Row],[Birthweight Z-Score (BW+10%)]],TRUE)*100,"")</f>
        <v/>
      </c>
    </row>
    <row r="4874" spans="1:12" x14ac:dyDescent="0.35">
      <c r="A4874" s="3"/>
      <c r="B4874" s="2"/>
      <c r="C4874" s="2"/>
      <c r="D4874" s="2" t="b">
        <f>IF(AND(NOT(ISBLANK(Table1[[#This Row],[Fetal Sex (Male, Female or Unknown)]])),ISNUMBER(Table1[[#This Row],[Birthweight (grams)]]),ISNUMBER(Table1[[#This Row],[Gestation (days)]])),TRUE,FALSE)</f>
        <v>0</v>
      </c>
      <c r="E4874" s="2" t="str">
        <f>IF(Table1[[#This Row],[Is Data Valid]]=TRUE,IF(Table1[[#This Row],[Fetal Sex (Male, Female or Unknown)]]="Male",Backend!$C$6,IF(Table1[[#This Row],[Fetal Sex (Male, Female or Unknown)]]="Female",Backend!$C$7,IF(Table1[[#This Row],[Fetal Sex (Male, Female or Unknown)]]="Unknown",Backend!$C$8,"Error"))),"")</f>
        <v/>
      </c>
      <c r="F4874" s="8" t="str">
        <f>IF(Table1[[#This Row],[Is Data Valid]]=TRUE,EXP(0.578+0.332*((Table1[[#This Row],[Gestation (days)]]+0.5)/7)-0.00354*((Table1[[#This Row],[Gestation (days)]]+0.5)/7)^2)*Table1[[#This Row],[BW40_3705]],"")</f>
        <v/>
      </c>
      <c r="G4874" s="2" t="str">
        <f>IF(Table1[[#This Row],[Is Data Valid]]=TRUE,((Table1[[#This Row],[Birthweight (grams)]]/Table1[[#This Row],[BW_GA]])-1)/(Backend!$B$4/100*Table1[[#This Row],[BW40_3705]]),"")</f>
        <v/>
      </c>
      <c r="H4874" s="7" t="str">
        <f>IF(Table1[[#This Row],[Is Data Valid]]=TRUE,((Table1[[#This Row],[Birthweight (grams)]]*0.9/Table1[[#This Row],[BW_GA]])-1)/(Backend!$B$4/100*Table1[[#This Row],[BW40_3705]]),"")</f>
        <v/>
      </c>
      <c r="I4874" s="7" t="str">
        <f>IF(Table1[[#This Row],[Is Data Valid]]=TRUE,((Table1[[#This Row],[Birthweight (grams)]]*1.1/Table1[[#This Row],[BW_GA]])-1)/(Backend!$B$4/100*Table1[[#This Row],[BW40_3705]]),"")</f>
        <v/>
      </c>
      <c r="J4874" s="7" t="str">
        <f>IF(Table1[[#This Row],[Is Data Valid]]=TRUE,_xlfn.NORM.S.DIST(Table1[[#This Row],[Birthweight Z-Score]],TRUE)*100,"")</f>
        <v/>
      </c>
      <c r="K4874" s="7" t="str">
        <f>IF(Table1[[#This Row],[Is Data Valid]]=TRUE,_xlfn.NORM.S.DIST(Table1[[#This Row],[Birthweight Z-Score (BW-10%)]],TRUE)*100,"")</f>
        <v/>
      </c>
      <c r="L4874" s="7" t="str">
        <f>IF(Table1[[#This Row],[Is Data Valid]]=TRUE,_xlfn.NORM.S.DIST(Table1[[#This Row],[Birthweight Z-Score (BW+10%)]],TRUE)*100,"")</f>
        <v/>
      </c>
    </row>
    <row r="4875" spans="1:12" x14ac:dyDescent="0.35">
      <c r="A4875" s="3"/>
      <c r="B4875" s="2"/>
      <c r="C4875" s="2"/>
      <c r="D4875" s="2" t="b">
        <f>IF(AND(NOT(ISBLANK(Table1[[#This Row],[Fetal Sex (Male, Female or Unknown)]])),ISNUMBER(Table1[[#This Row],[Birthweight (grams)]]),ISNUMBER(Table1[[#This Row],[Gestation (days)]])),TRUE,FALSE)</f>
        <v>0</v>
      </c>
      <c r="E4875" s="2" t="str">
        <f>IF(Table1[[#This Row],[Is Data Valid]]=TRUE,IF(Table1[[#This Row],[Fetal Sex (Male, Female or Unknown)]]="Male",Backend!$C$6,IF(Table1[[#This Row],[Fetal Sex (Male, Female or Unknown)]]="Female",Backend!$C$7,IF(Table1[[#This Row],[Fetal Sex (Male, Female or Unknown)]]="Unknown",Backend!$C$8,"Error"))),"")</f>
        <v/>
      </c>
      <c r="F4875" s="8" t="str">
        <f>IF(Table1[[#This Row],[Is Data Valid]]=TRUE,EXP(0.578+0.332*((Table1[[#This Row],[Gestation (days)]]+0.5)/7)-0.00354*((Table1[[#This Row],[Gestation (days)]]+0.5)/7)^2)*Table1[[#This Row],[BW40_3705]],"")</f>
        <v/>
      </c>
      <c r="G4875" s="2" t="str">
        <f>IF(Table1[[#This Row],[Is Data Valid]]=TRUE,((Table1[[#This Row],[Birthweight (grams)]]/Table1[[#This Row],[BW_GA]])-1)/(Backend!$B$4/100*Table1[[#This Row],[BW40_3705]]),"")</f>
        <v/>
      </c>
      <c r="H4875" s="7" t="str">
        <f>IF(Table1[[#This Row],[Is Data Valid]]=TRUE,((Table1[[#This Row],[Birthweight (grams)]]*0.9/Table1[[#This Row],[BW_GA]])-1)/(Backend!$B$4/100*Table1[[#This Row],[BW40_3705]]),"")</f>
        <v/>
      </c>
      <c r="I4875" s="7" t="str">
        <f>IF(Table1[[#This Row],[Is Data Valid]]=TRUE,((Table1[[#This Row],[Birthweight (grams)]]*1.1/Table1[[#This Row],[BW_GA]])-1)/(Backend!$B$4/100*Table1[[#This Row],[BW40_3705]]),"")</f>
        <v/>
      </c>
      <c r="J4875" s="7" t="str">
        <f>IF(Table1[[#This Row],[Is Data Valid]]=TRUE,_xlfn.NORM.S.DIST(Table1[[#This Row],[Birthweight Z-Score]],TRUE)*100,"")</f>
        <v/>
      </c>
      <c r="K4875" s="7" t="str">
        <f>IF(Table1[[#This Row],[Is Data Valid]]=TRUE,_xlfn.NORM.S.DIST(Table1[[#This Row],[Birthweight Z-Score (BW-10%)]],TRUE)*100,"")</f>
        <v/>
      </c>
      <c r="L4875" s="7" t="str">
        <f>IF(Table1[[#This Row],[Is Data Valid]]=TRUE,_xlfn.NORM.S.DIST(Table1[[#This Row],[Birthweight Z-Score (BW+10%)]],TRUE)*100,"")</f>
        <v/>
      </c>
    </row>
    <row r="4876" spans="1:12" x14ac:dyDescent="0.35">
      <c r="A4876" s="3"/>
      <c r="B4876" s="2"/>
      <c r="C4876" s="2"/>
      <c r="D4876" s="2" t="b">
        <f>IF(AND(NOT(ISBLANK(Table1[[#This Row],[Fetal Sex (Male, Female or Unknown)]])),ISNUMBER(Table1[[#This Row],[Birthweight (grams)]]),ISNUMBER(Table1[[#This Row],[Gestation (days)]])),TRUE,FALSE)</f>
        <v>0</v>
      </c>
      <c r="E4876" s="2" t="str">
        <f>IF(Table1[[#This Row],[Is Data Valid]]=TRUE,IF(Table1[[#This Row],[Fetal Sex (Male, Female or Unknown)]]="Male",Backend!$C$6,IF(Table1[[#This Row],[Fetal Sex (Male, Female or Unknown)]]="Female",Backend!$C$7,IF(Table1[[#This Row],[Fetal Sex (Male, Female or Unknown)]]="Unknown",Backend!$C$8,"Error"))),"")</f>
        <v/>
      </c>
      <c r="F4876" s="8" t="str">
        <f>IF(Table1[[#This Row],[Is Data Valid]]=TRUE,EXP(0.578+0.332*((Table1[[#This Row],[Gestation (days)]]+0.5)/7)-0.00354*((Table1[[#This Row],[Gestation (days)]]+0.5)/7)^2)*Table1[[#This Row],[BW40_3705]],"")</f>
        <v/>
      </c>
      <c r="G4876" s="2" t="str">
        <f>IF(Table1[[#This Row],[Is Data Valid]]=TRUE,((Table1[[#This Row],[Birthweight (grams)]]/Table1[[#This Row],[BW_GA]])-1)/(Backend!$B$4/100*Table1[[#This Row],[BW40_3705]]),"")</f>
        <v/>
      </c>
      <c r="H4876" s="7" t="str">
        <f>IF(Table1[[#This Row],[Is Data Valid]]=TRUE,((Table1[[#This Row],[Birthweight (grams)]]*0.9/Table1[[#This Row],[BW_GA]])-1)/(Backend!$B$4/100*Table1[[#This Row],[BW40_3705]]),"")</f>
        <v/>
      </c>
      <c r="I4876" s="7" t="str">
        <f>IF(Table1[[#This Row],[Is Data Valid]]=TRUE,((Table1[[#This Row],[Birthweight (grams)]]*1.1/Table1[[#This Row],[BW_GA]])-1)/(Backend!$B$4/100*Table1[[#This Row],[BW40_3705]]),"")</f>
        <v/>
      </c>
      <c r="J4876" s="7" t="str">
        <f>IF(Table1[[#This Row],[Is Data Valid]]=TRUE,_xlfn.NORM.S.DIST(Table1[[#This Row],[Birthweight Z-Score]],TRUE)*100,"")</f>
        <v/>
      </c>
      <c r="K4876" s="7" t="str">
        <f>IF(Table1[[#This Row],[Is Data Valid]]=TRUE,_xlfn.NORM.S.DIST(Table1[[#This Row],[Birthweight Z-Score (BW-10%)]],TRUE)*100,"")</f>
        <v/>
      </c>
      <c r="L4876" s="7" t="str">
        <f>IF(Table1[[#This Row],[Is Data Valid]]=TRUE,_xlfn.NORM.S.DIST(Table1[[#This Row],[Birthweight Z-Score (BW+10%)]],TRUE)*100,"")</f>
        <v/>
      </c>
    </row>
    <row r="4877" spans="1:12" x14ac:dyDescent="0.35">
      <c r="A4877" s="3"/>
      <c r="B4877" s="2"/>
      <c r="C4877" s="2"/>
      <c r="D4877" s="2" t="b">
        <f>IF(AND(NOT(ISBLANK(Table1[[#This Row],[Fetal Sex (Male, Female or Unknown)]])),ISNUMBER(Table1[[#This Row],[Birthweight (grams)]]),ISNUMBER(Table1[[#This Row],[Gestation (days)]])),TRUE,FALSE)</f>
        <v>0</v>
      </c>
      <c r="E4877" s="2" t="str">
        <f>IF(Table1[[#This Row],[Is Data Valid]]=TRUE,IF(Table1[[#This Row],[Fetal Sex (Male, Female or Unknown)]]="Male",Backend!$C$6,IF(Table1[[#This Row],[Fetal Sex (Male, Female or Unknown)]]="Female",Backend!$C$7,IF(Table1[[#This Row],[Fetal Sex (Male, Female or Unknown)]]="Unknown",Backend!$C$8,"Error"))),"")</f>
        <v/>
      </c>
      <c r="F4877" s="8" t="str">
        <f>IF(Table1[[#This Row],[Is Data Valid]]=TRUE,EXP(0.578+0.332*((Table1[[#This Row],[Gestation (days)]]+0.5)/7)-0.00354*((Table1[[#This Row],[Gestation (days)]]+0.5)/7)^2)*Table1[[#This Row],[BW40_3705]],"")</f>
        <v/>
      </c>
      <c r="G4877" s="2" t="str">
        <f>IF(Table1[[#This Row],[Is Data Valid]]=TRUE,((Table1[[#This Row],[Birthweight (grams)]]/Table1[[#This Row],[BW_GA]])-1)/(Backend!$B$4/100*Table1[[#This Row],[BW40_3705]]),"")</f>
        <v/>
      </c>
      <c r="H4877" s="7" t="str">
        <f>IF(Table1[[#This Row],[Is Data Valid]]=TRUE,((Table1[[#This Row],[Birthweight (grams)]]*0.9/Table1[[#This Row],[BW_GA]])-1)/(Backend!$B$4/100*Table1[[#This Row],[BW40_3705]]),"")</f>
        <v/>
      </c>
      <c r="I4877" s="7" t="str">
        <f>IF(Table1[[#This Row],[Is Data Valid]]=TRUE,((Table1[[#This Row],[Birthweight (grams)]]*1.1/Table1[[#This Row],[BW_GA]])-1)/(Backend!$B$4/100*Table1[[#This Row],[BW40_3705]]),"")</f>
        <v/>
      </c>
      <c r="J4877" s="7" t="str">
        <f>IF(Table1[[#This Row],[Is Data Valid]]=TRUE,_xlfn.NORM.S.DIST(Table1[[#This Row],[Birthweight Z-Score]],TRUE)*100,"")</f>
        <v/>
      </c>
      <c r="K4877" s="7" t="str">
        <f>IF(Table1[[#This Row],[Is Data Valid]]=TRUE,_xlfn.NORM.S.DIST(Table1[[#This Row],[Birthweight Z-Score (BW-10%)]],TRUE)*100,"")</f>
        <v/>
      </c>
      <c r="L4877" s="7" t="str">
        <f>IF(Table1[[#This Row],[Is Data Valid]]=TRUE,_xlfn.NORM.S.DIST(Table1[[#This Row],[Birthweight Z-Score (BW+10%)]],TRUE)*100,"")</f>
        <v/>
      </c>
    </row>
    <row r="4878" spans="1:12" x14ac:dyDescent="0.35">
      <c r="A4878" s="3"/>
      <c r="B4878" s="2"/>
      <c r="C4878" s="2"/>
      <c r="D4878" s="2" t="b">
        <f>IF(AND(NOT(ISBLANK(Table1[[#This Row],[Fetal Sex (Male, Female or Unknown)]])),ISNUMBER(Table1[[#This Row],[Birthweight (grams)]]),ISNUMBER(Table1[[#This Row],[Gestation (days)]])),TRUE,FALSE)</f>
        <v>0</v>
      </c>
      <c r="E4878" s="2" t="str">
        <f>IF(Table1[[#This Row],[Is Data Valid]]=TRUE,IF(Table1[[#This Row],[Fetal Sex (Male, Female or Unknown)]]="Male",Backend!$C$6,IF(Table1[[#This Row],[Fetal Sex (Male, Female or Unknown)]]="Female",Backend!$C$7,IF(Table1[[#This Row],[Fetal Sex (Male, Female or Unknown)]]="Unknown",Backend!$C$8,"Error"))),"")</f>
        <v/>
      </c>
      <c r="F4878" s="8" t="str">
        <f>IF(Table1[[#This Row],[Is Data Valid]]=TRUE,EXP(0.578+0.332*((Table1[[#This Row],[Gestation (days)]]+0.5)/7)-0.00354*((Table1[[#This Row],[Gestation (days)]]+0.5)/7)^2)*Table1[[#This Row],[BW40_3705]],"")</f>
        <v/>
      </c>
      <c r="G4878" s="2" t="str">
        <f>IF(Table1[[#This Row],[Is Data Valid]]=TRUE,((Table1[[#This Row],[Birthweight (grams)]]/Table1[[#This Row],[BW_GA]])-1)/(Backend!$B$4/100*Table1[[#This Row],[BW40_3705]]),"")</f>
        <v/>
      </c>
      <c r="H4878" s="7" t="str">
        <f>IF(Table1[[#This Row],[Is Data Valid]]=TRUE,((Table1[[#This Row],[Birthweight (grams)]]*0.9/Table1[[#This Row],[BW_GA]])-1)/(Backend!$B$4/100*Table1[[#This Row],[BW40_3705]]),"")</f>
        <v/>
      </c>
      <c r="I4878" s="7" t="str">
        <f>IF(Table1[[#This Row],[Is Data Valid]]=TRUE,((Table1[[#This Row],[Birthweight (grams)]]*1.1/Table1[[#This Row],[BW_GA]])-1)/(Backend!$B$4/100*Table1[[#This Row],[BW40_3705]]),"")</f>
        <v/>
      </c>
      <c r="J4878" s="7" t="str">
        <f>IF(Table1[[#This Row],[Is Data Valid]]=TRUE,_xlfn.NORM.S.DIST(Table1[[#This Row],[Birthweight Z-Score]],TRUE)*100,"")</f>
        <v/>
      </c>
      <c r="K4878" s="7" t="str">
        <f>IF(Table1[[#This Row],[Is Data Valid]]=TRUE,_xlfn.NORM.S.DIST(Table1[[#This Row],[Birthweight Z-Score (BW-10%)]],TRUE)*100,"")</f>
        <v/>
      </c>
      <c r="L4878" s="7" t="str">
        <f>IF(Table1[[#This Row],[Is Data Valid]]=TRUE,_xlfn.NORM.S.DIST(Table1[[#This Row],[Birthweight Z-Score (BW+10%)]],TRUE)*100,"")</f>
        <v/>
      </c>
    </row>
    <row r="4879" spans="1:12" x14ac:dyDescent="0.35">
      <c r="A4879" s="3"/>
      <c r="B4879" s="2"/>
      <c r="C4879" s="2"/>
      <c r="D4879" s="2" t="b">
        <f>IF(AND(NOT(ISBLANK(Table1[[#This Row],[Fetal Sex (Male, Female or Unknown)]])),ISNUMBER(Table1[[#This Row],[Birthweight (grams)]]),ISNUMBER(Table1[[#This Row],[Gestation (days)]])),TRUE,FALSE)</f>
        <v>0</v>
      </c>
      <c r="E4879" s="2" t="str">
        <f>IF(Table1[[#This Row],[Is Data Valid]]=TRUE,IF(Table1[[#This Row],[Fetal Sex (Male, Female or Unknown)]]="Male",Backend!$C$6,IF(Table1[[#This Row],[Fetal Sex (Male, Female or Unknown)]]="Female",Backend!$C$7,IF(Table1[[#This Row],[Fetal Sex (Male, Female or Unknown)]]="Unknown",Backend!$C$8,"Error"))),"")</f>
        <v/>
      </c>
      <c r="F4879" s="8" t="str">
        <f>IF(Table1[[#This Row],[Is Data Valid]]=TRUE,EXP(0.578+0.332*((Table1[[#This Row],[Gestation (days)]]+0.5)/7)-0.00354*((Table1[[#This Row],[Gestation (days)]]+0.5)/7)^2)*Table1[[#This Row],[BW40_3705]],"")</f>
        <v/>
      </c>
      <c r="G4879" s="2" t="str">
        <f>IF(Table1[[#This Row],[Is Data Valid]]=TRUE,((Table1[[#This Row],[Birthweight (grams)]]/Table1[[#This Row],[BW_GA]])-1)/(Backend!$B$4/100*Table1[[#This Row],[BW40_3705]]),"")</f>
        <v/>
      </c>
      <c r="H4879" s="7" t="str">
        <f>IF(Table1[[#This Row],[Is Data Valid]]=TRUE,((Table1[[#This Row],[Birthweight (grams)]]*0.9/Table1[[#This Row],[BW_GA]])-1)/(Backend!$B$4/100*Table1[[#This Row],[BW40_3705]]),"")</f>
        <v/>
      </c>
      <c r="I4879" s="7" t="str">
        <f>IF(Table1[[#This Row],[Is Data Valid]]=TRUE,((Table1[[#This Row],[Birthweight (grams)]]*1.1/Table1[[#This Row],[BW_GA]])-1)/(Backend!$B$4/100*Table1[[#This Row],[BW40_3705]]),"")</f>
        <v/>
      </c>
      <c r="J4879" s="7" t="str">
        <f>IF(Table1[[#This Row],[Is Data Valid]]=TRUE,_xlfn.NORM.S.DIST(Table1[[#This Row],[Birthweight Z-Score]],TRUE)*100,"")</f>
        <v/>
      </c>
      <c r="K4879" s="7" t="str">
        <f>IF(Table1[[#This Row],[Is Data Valid]]=TRUE,_xlfn.NORM.S.DIST(Table1[[#This Row],[Birthweight Z-Score (BW-10%)]],TRUE)*100,"")</f>
        <v/>
      </c>
      <c r="L4879" s="7" t="str">
        <f>IF(Table1[[#This Row],[Is Data Valid]]=TRUE,_xlfn.NORM.S.DIST(Table1[[#This Row],[Birthweight Z-Score (BW+10%)]],TRUE)*100,"")</f>
        <v/>
      </c>
    </row>
    <row r="4880" spans="1:12" x14ac:dyDescent="0.35">
      <c r="A4880" s="3"/>
      <c r="B4880" s="2"/>
      <c r="C4880" s="2"/>
      <c r="D4880" s="2" t="b">
        <f>IF(AND(NOT(ISBLANK(Table1[[#This Row],[Fetal Sex (Male, Female or Unknown)]])),ISNUMBER(Table1[[#This Row],[Birthweight (grams)]]),ISNUMBER(Table1[[#This Row],[Gestation (days)]])),TRUE,FALSE)</f>
        <v>0</v>
      </c>
      <c r="E4880" s="2" t="str">
        <f>IF(Table1[[#This Row],[Is Data Valid]]=TRUE,IF(Table1[[#This Row],[Fetal Sex (Male, Female or Unknown)]]="Male",Backend!$C$6,IF(Table1[[#This Row],[Fetal Sex (Male, Female or Unknown)]]="Female",Backend!$C$7,IF(Table1[[#This Row],[Fetal Sex (Male, Female or Unknown)]]="Unknown",Backend!$C$8,"Error"))),"")</f>
        <v/>
      </c>
      <c r="F4880" s="8" t="str">
        <f>IF(Table1[[#This Row],[Is Data Valid]]=TRUE,EXP(0.578+0.332*((Table1[[#This Row],[Gestation (days)]]+0.5)/7)-0.00354*((Table1[[#This Row],[Gestation (days)]]+0.5)/7)^2)*Table1[[#This Row],[BW40_3705]],"")</f>
        <v/>
      </c>
      <c r="G4880" s="2" t="str">
        <f>IF(Table1[[#This Row],[Is Data Valid]]=TRUE,((Table1[[#This Row],[Birthweight (grams)]]/Table1[[#This Row],[BW_GA]])-1)/(Backend!$B$4/100*Table1[[#This Row],[BW40_3705]]),"")</f>
        <v/>
      </c>
      <c r="H4880" s="7" t="str">
        <f>IF(Table1[[#This Row],[Is Data Valid]]=TRUE,((Table1[[#This Row],[Birthweight (grams)]]*0.9/Table1[[#This Row],[BW_GA]])-1)/(Backend!$B$4/100*Table1[[#This Row],[BW40_3705]]),"")</f>
        <v/>
      </c>
      <c r="I4880" s="7" t="str">
        <f>IF(Table1[[#This Row],[Is Data Valid]]=TRUE,((Table1[[#This Row],[Birthweight (grams)]]*1.1/Table1[[#This Row],[BW_GA]])-1)/(Backend!$B$4/100*Table1[[#This Row],[BW40_3705]]),"")</f>
        <v/>
      </c>
      <c r="J4880" s="7" t="str">
        <f>IF(Table1[[#This Row],[Is Data Valid]]=TRUE,_xlfn.NORM.S.DIST(Table1[[#This Row],[Birthweight Z-Score]],TRUE)*100,"")</f>
        <v/>
      </c>
      <c r="K4880" s="7" t="str">
        <f>IF(Table1[[#This Row],[Is Data Valid]]=TRUE,_xlfn.NORM.S.DIST(Table1[[#This Row],[Birthweight Z-Score (BW-10%)]],TRUE)*100,"")</f>
        <v/>
      </c>
      <c r="L4880" s="7" t="str">
        <f>IF(Table1[[#This Row],[Is Data Valid]]=TRUE,_xlfn.NORM.S.DIST(Table1[[#This Row],[Birthweight Z-Score (BW+10%)]],TRUE)*100,"")</f>
        <v/>
      </c>
    </row>
    <row r="4881" spans="1:12" x14ac:dyDescent="0.35">
      <c r="A4881" s="3"/>
      <c r="B4881" s="2"/>
      <c r="C4881" s="2"/>
      <c r="D4881" s="2" t="b">
        <f>IF(AND(NOT(ISBLANK(Table1[[#This Row],[Fetal Sex (Male, Female or Unknown)]])),ISNUMBER(Table1[[#This Row],[Birthweight (grams)]]),ISNUMBER(Table1[[#This Row],[Gestation (days)]])),TRUE,FALSE)</f>
        <v>0</v>
      </c>
      <c r="E4881" s="2" t="str">
        <f>IF(Table1[[#This Row],[Is Data Valid]]=TRUE,IF(Table1[[#This Row],[Fetal Sex (Male, Female or Unknown)]]="Male",Backend!$C$6,IF(Table1[[#This Row],[Fetal Sex (Male, Female or Unknown)]]="Female",Backend!$C$7,IF(Table1[[#This Row],[Fetal Sex (Male, Female or Unknown)]]="Unknown",Backend!$C$8,"Error"))),"")</f>
        <v/>
      </c>
      <c r="F4881" s="8" t="str">
        <f>IF(Table1[[#This Row],[Is Data Valid]]=TRUE,EXP(0.578+0.332*((Table1[[#This Row],[Gestation (days)]]+0.5)/7)-0.00354*((Table1[[#This Row],[Gestation (days)]]+0.5)/7)^2)*Table1[[#This Row],[BW40_3705]],"")</f>
        <v/>
      </c>
      <c r="G4881" s="2" t="str">
        <f>IF(Table1[[#This Row],[Is Data Valid]]=TRUE,((Table1[[#This Row],[Birthweight (grams)]]/Table1[[#This Row],[BW_GA]])-1)/(Backend!$B$4/100*Table1[[#This Row],[BW40_3705]]),"")</f>
        <v/>
      </c>
      <c r="H4881" s="7" t="str">
        <f>IF(Table1[[#This Row],[Is Data Valid]]=TRUE,((Table1[[#This Row],[Birthweight (grams)]]*0.9/Table1[[#This Row],[BW_GA]])-1)/(Backend!$B$4/100*Table1[[#This Row],[BW40_3705]]),"")</f>
        <v/>
      </c>
      <c r="I4881" s="7" t="str">
        <f>IF(Table1[[#This Row],[Is Data Valid]]=TRUE,((Table1[[#This Row],[Birthweight (grams)]]*1.1/Table1[[#This Row],[BW_GA]])-1)/(Backend!$B$4/100*Table1[[#This Row],[BW40_3705]]),"")</f>
        <v/>
      </c>
      <c r="J4881" s="7" t="str">
        <f>IF(Table1[[#This Row],[Is Data Valid]]=TRUE,_xlfn.NORM.S.DIST(Table1[[#This Row],[Birthweight Z-Score]],TRUE)*100,"")</f>
        <v/>
      </c>
      <c r="K4881" s="7" t="str">
        <f>IF(Table1[[#This Row],[Is Data Valid]]=TRUE,_xlfn.NORM.S.DIST(Table1[[#This Row],[Birthweight Z-Score (BW-10%)]],TRUE)*100,"")</f>
        <v/>
      </c>
      <c r="L4881" s="7" t="str">
        <f>IF(Table1[[#This Row],[Is Data Valid]]=TRUE,_xlfn.NORM.S.DIST(Table1[[#This Row],[Birthweight Z-Score (BW+10%)]],TRUE)*100,"")</f>
        <v/>
      </c>
    </row>
    <row r="4882" spans="1:12" x14ac:dyDescent="0.35">
      <c r="A4882" s="3"/>
      <c r="B4882" s="2"/>
      <c r="C4882" s="2"/>
      <c r="D4882" s="2" t="b">
        <f>IF(AND(NOT(ISBLANK(Table1[[#This Row],[Fetal Sex (Male, Female or Unknown)]])),ISNUMBER(Table1[[#This Row],[Birthweight (grams)]]),ISNUMBER(Table1[[#This Row],[Gestation (days)]])),TRUE,FALSE)</f>
        <v>0</v>
      </c>
      <c r="E4882" s="2" t="str">
        <f>IF(Table1[[#This Row],[Is Data Valid]]=TRUE,IF(Table1[[#This Row],[Fetal Sex (Male, Female or Unknown)]]="Male",Backend!$C$6,IF(Table1[[#This Row],[Fetal Sex (Male, Female or Unknown)]]="Female",Backend!$C$7,IF(Table1[[#This Row],[Fetal Sex (Male, Female or Unknown)]]="Unknown",Backend!$C$8,"Error"))),"")</f>
        <v/>
      </c>
      <c r="F4882" s="8" t="str">
        <f>IF(Table1[[#This Row],[Is Data Valid]]=TRUE,EXP(0.578+0.332*((Table1[[#This Row],[Gestation (days)]]+0.5)/7)-0.00354*((Table1[[#This Row],[Gestation (days)]]+0.5)/7)^2)*Table1[[#This Row],[BW40_3705]],"")</f>
        <v/>
      </c>
      <c r="G4882" s="2" t="str">
        <f>IF(Table1[[#This Row],[Is Data Valid]]=TRUE,((Table1[[#This Row],[Birthweight (grams)]]/Table1[[#This Row],[BW_GA]])-1)/(Backend!$B$4/100*Table1[[#This Row],[BW40_3705]]),"")</f>
        <v/>
      </c>
      <c r="H4882" s="7" t="str">
        <f>IF(Table1[[#This Row],[Is Data Valid]]=TRUE,((Table1[[#This Row],[Birthweight (grams)]]*0.9/Table1[[#This Row],[BW_GA]])-1)/(Backend!$B$4/100*Table1[[#This Row],[BW40_3705]]),"")</f>
        <v/>
      </c>
      <c r="I4882" s="7" t="str">
        <f>IF(Table1[[#This Row],[Is Data Valid]]=TRUE,((Table1[[#This Row],[Birthweight (grams)]]*1.1/Table1[[#This Row],[BW_GA]])-1)/(Backend!$B$4/100*Table1[[#This Row],[BW40_3705]]),"")</f>
        <v/>
      </c>
      <c r="J4882" s="7" t="str">
        <f>IF(Table1[[#This Row],[Is Data Valid]]=TRUE,_xlfn.NORM.S.DIST(Table1[[#This Row],[Birthweight Z-Score]],TRUE)*100,"")</f>
        <v/>
      </c>
      <c r="K4882" s="7" t="str">
        <f>IF(Table1[[#This Row],[Is Data Valid]]=TRUE,_xlfn.NORM.S.DIST(Table1[[#This Row],[Birthweight Z-Score (BW-10%)]],TRUE)*100,"")</f>
        <v/>
      </c>
      <c r="L4882" s="7" t="str">
        <f>IF(Table1[[#This Row],[Is Data Valid]]=TRUE,_xlfn.NORM.S.DIST(Table1[[#This Row],[Birthweight Z-Score (BW+10%)]],TRUE)*100,"")</f>
        <v/>
      </c>
    </row>
    <row r="4883" spans="1:12" x14ac:dyDescent="0.35">
      <c r="A4883" s="3"/>
      <c r="B4883" s="2"/>
      <c r="C4883" s="2"/>
      <c r="D4883" s="2" t="b">
        <f>IF(AND(NOT(ISBLANK(Table1[[#This Row],[Fetal Sex (Male, Female or Unknown)]])),ISNUMBER(Table1[[#This Row],[Birthweight (grams)]]),ISNUMBER(Table1[[#This Row],[Gestation (days)]])),TRUE,FALSE)</f>
        <v>0</v>
      </c>
      <c r="E4883" s="2" t="str">
        <f>IF(Table1[[#This Row],[Is Data Valid]]=TRUE,IF(Table1[[#This Row],[Fetal Sex (Male, Female or Unknown)]]="Male",Backend!$C$6,IF(Table1[[#This Row],[Fetal Sex (Male, Female or Unknown)]]="Female",Backend!$C$7,IF(Table1[[#This Row],[Fetal Sex (Male, Female or Unknown)]]="Unknown",Backend!$C$8,"Error"))),"")</f>
        <v/>
      </c>
      <c r="F4883" s="8" t="str">
        <f>IF(Table1[[#This Row],[Is Data Valid]]=TRUE,EXP(0.578+0.332*((Table1[[#This Row],[Gestation (days)]]+0.5)/7)-0.00354*((Table1[[#This Row],[Gestation (days)]]+0.5)/7)^2)*Table1[[#This Row],[BW40_3705]],"")</f>
        <v/>
      </c>
      <c r="G4883" s="2" t="str">
        <f>IF(Table1[[#This Row],[Is Data Valid]]=TRUE,((Table1[[#This Row],[Birthweight (grams)]]/Table1[[#This Row],[BW_GA]])-1)/(Backend!$B$4/100*Table1[[#This Row],[BW40_3705]]),"")</f>
        <v/>
      </c>
      <c r="H4883" s="7" t="str">
        <f>IF(Table1[[#This Row],[Is Data Valid]]=TRUE,((Table1[[#This Row],[Birthweight (grams)]]*0.9/Table1[[#This Row],[BW_GA]])-1)/(Backend!$B$4/100*Table1[[#This Row],[BW40_3705]]),"")</f>
        <v/>
      </c>
      <c r="I4883" s="7" t="str">
        <f>IF(Table1[[#This Row],[Is Data Valid]]=TRUE,((Table1[[#This Row],[Birthweight (grams)]]*1.1/Table1[[#This Row],[BW_GA]])-1)/(Backend!$B$4/100*Table1[[#This Row],[BW40_3705]]),"")</f>
        <v/>
      </c>
      <c r="J4883" s="7" t="str">
        <f>IF(Table1[[#This Row],[Is Data Valid]]=TRUE,_xlfn.NORM.S.DIST(Table1[[#This Row],[Birthweight Z-Score]],TRUE)*100,"")</f>
        <v/>
      </c>
      <c r="K4883" s="7" t="str">
        <f>IF(Table1[[#This Row],[Is Data Valid]]=TRUE,_xlfn.NORM.S.DIST(Table1[[#This Row],[Birthweight Z-Score (BW-10%)]],TRUE)*100,"")</f>
        <v/>
      </c>
      <c r="L4883" s="7" t="str">
        <f>IF(Table1[[#This Row],[Is Data Valid]]=TRUE,_xlfn.NORM.S.DIST(Table1[[#This Row],[Birthweight Z-Score (BW+10%)]],TRUE)*100,"")</f>
        <v/>
      </c>
    </row>
    <row r="4884" spans="1:12" x14ac:dyDescent="0.35">
      <c r="A4884" s="3"/>
      <c r="B4884" s="2"/>
      <c r="C4884" s="2"/>
      <c r="D4884" s="2" t="b">
        <f>IF(AND(NOT(ISBLANK(Table1[[#This Row],[Fetal Sex (Male, Female or Unknown)]])),ISNUMBER(Table1[[#This Row],[Birthweight (grams)]]),ISNUMBER(Table1[[#This Row],[Gestation (days)]])),TRUE,FALSE)</f>
        <v>0</v>
      </c>
      <c r="E4884" s="2" t="str">
        <f>IF(Table1[[#This Row],[Is Data Valid]]=TRUE,IF(Table1[[#This Row],[Fetal Sex (Male, Female or Unknown)]]="Male",Backend!$C$6,IF(Table1[[#This Row],[Fetal Sex (Male, Female or Unknown)]]="Female",Backend!$C$7,IF(Table1[[#This Row],[Fetal Sex (Male, Female or Unknown)]]="Unknown",Backend!$C$8,"Error"))),"")</f>
        <v/>
      </c>
      <c r="F4884" s="8" t="str">
        <f>IF(Table1[[#This Row],[Is Data Valid]]=TRUE,EXP(0.578+0.332*((Table1[[#This Row],[Gestation (days)]]+0.5)/7)-0.00354*((Table1[[#This Row],[Gestation (days)]]+0.5)/7)^2)*Table1[[#This Row],[BW40_3705]],"")</f>
        <v/>
      </c>
      <c r="G4884" s="2" t="str">
        <f>IF(Table1[[#This Row],[Is Data Valid]]=TRUE,((Table1[[#This Row],[Birthweight (grams)]]/Table1[[#This Row],[BW_GA]])-1)/(Backend!$B$4/100*Table1[[#This Row],[BW40_3705]]),"")</f>
        <v/>
      </c>
      <c r="H4884" s="7" t="str">
        <f>IF(Table1[[#This Row],[Is Data Valid]]=TRUE,((Table1[[#This Row],[Birthweight (grams)]]*0.9/Table1[[#This Row],[BW_GA]])-1)/(Backend!$B$4/100*Table1[[#This Row],[BW40_3705]]),"")</f>
        <v/>
      </c>
      <c r="I4884" s="7" t="str">
        <f>IF(Table1[[#This Row],[Is Data Valid]]=TRUE,((Table1[[#This Row],[Birthweight (grams)]]*1.1/Table1[[#This Row],[BW_GA]])-1)/(Backend!$B$4/100*Table1[[#This Row],[BW40_3705]]),"")</f>
        <v/>
      </c>
      <c r="J4884" s="7" t="str">
        <f>IF(Table1[[#This Row],[Is Data Valid]]=TRUE,_xlfn.NORM.S.DIST(Table1[[#This Row],[Birthweight Z-Score]],TRUE)*100,"")</f>
        <v/>
      </c>
      <c r="K4884" s="7" t="str">
        <f>IF(Table1[[#This Row],[Is Data Valid]]=TRUE,_xlfn.NORM.S.DIST(Table1[[#This Row],[Birthweight Z-Score (BW-10%)]],TRUE)*100,"")</f>
        <v/>
      </c>
      <c r="L4884" s="7" t="str">
        <f>IF(Table1[[#This Row],[Is Data Valid]]=TRUE,_xlfn.NORM.S.DIST(Table1[[#This Row],[Birthweight Z-Score (BW+10%)]],TRUE)*100,"")</f>
        <v/>
      </c>
    </row>
    <row r="4885" spans="1:12" x14ac:dyDescent="0.35">
      <c r="A4885" s="3"/>
      <c r="B4885" s="2"/>
      <c r="C4885" s="2"/>
      <c r="D4885" s="2" t="b">
        <f>IF(AND(NOT(ISBLANK(Table1[[#This Row],[Fetal Sex (Male, Female or Unknown)]])),ISNUMBER(Table1[[#This Row],[Birthweight (grams)]]),ISNUMBER(Table1[[#This Row],[Gestation (days)]])),TRUE,FALSE)</f>
        <v>0</v>
      </c>
      <c r="E4885" s="2" t="str">
        <f>IF(Table1[[#This Row],[Is Data Valid]]=TRUE,IF(Table1[[#This Row],[Fetal Sex (Male, Female or Unknown)]]="Male",Backend!$C$6,IF(Table1[[#This Row],[Fetal Sex (Male, Female or Unknown)]]="Female",Backend!$C$7,IF(Table1[[#This Row],[Fetal Sex (Male, Female or Unknown)]]="Unknown",Backend!$C$8,"Error"))),"")</f>
        <v/>
      </c>
      <c r="F4885" s="8" t="str">
        <f>IF(Table1[[#This Row],[Is Data Valid]]=TRUE,EXP(0.578+0.332*((Table1[[#This Row],[Gestation (days)]]+0.5)/7)-0.00354*((Table1[[#This Row],[Gestation (days)]]+0.5)/7)^2)*Table1[[#This Row],[BW40_3705]],"")</f>
        <v/>
      </c>
      <c r="G4885" s="2" t="str">
        <f>IF(Table1[[#This Row],[Is Data Valid]]=TRUE,((Table1[[#This Row],[Birthweight (grams)]]/Table1[[#This Row],[BW_GA]])-1)/(Backend!$B$4/100*Table1[[#This Row],[BW40_3705]]),"")</f>
        <v/>
      </c>
      <c r="H4885" s="7" t="str">
        <f>IF(Table1[[#This Row],[Is Data Valid]]=TRUE,((Table1[[#This Row],[Birthweight (grams)]]*0.9/Table1[[#This Row],[BW_GA]])-1)/(Backend!$B$4/100*Table1[[#This Row],[BW40_3705]]),"")</f>
        <v/>
      </c>
      <c r="I4885" s="7" t="str">
        <f>IF(Table1[[#This Row],[Is Data Valid]]=TRUE,((Table1[[#This Row],[Birthweight (grams)]]*1.1/Table1[[#This Row],[BW_GA]])-1)/(Backend!$B$4/100*Table1[[#This Row],[BW40_3705]]),"")</f>
        <v/>
      </c>
      <c r="J4885" s="7" t="str">
        <f>IF(Table1[[#This Row],[Is Data Valid]]=TRUE,_xlfn.NORM.S.DIST(Table1[[#This Row],[Birthweight Z-Score]],TRUE)*100,"")</f>
        <v/>
      </c>
      <c r="K4885" s="7" t="str">
        <f>IF(Table1[[#This Row],[Is Data Valid]]=TRUE,_xlfn.NORM.S.DIST(Table1[[#This Row],[Birthweight Z-Score (BW-10%)]],TRUE)*100,"")</f>
        <v/>
      </c>
      <c r="L4885" s="7" t="str">
        <f>IF(Table1[[#This Row],[Is Data Valid]]=TRUE,_xlfn.NORM.S.DIST(Table1[[#This Row],[Birthweight Z-Score (BW+10%)]],TRUE)*100,"")</f>
        <v/>
      </c>
    </row>
    <row r="4886" spans="1:12" x14ac:dyDescent="0.35">
      <c r="A4886" s="3"/>
      <c r="B4886" s="2"/>
      <c r="C4886" s="2"/>
      <c r="D4886" s="2" t="b">
        <f>IF(AND(NOT(ISBLANK(Table1[[#This Row],[Fetal Sex (Male, Female or Unknown)]])),ISNUMBER(Table1[[#This Row],[Birthweight (grams)]]),ISNUMBER(Table1[[#This Row],[Gestation (days)]])),TRUE,FALSE)</f>
        <v>0</v>
      </c>
      <c r="E4886" s="2" t="str">
        <f>IF(Table1[[#This Row],[Is Data Valid]]=TRUE,IF(Table1[[#This Row],[Fetal Sex (Male, Female or Unknown)]]="Male",Backend!$C$6,IF(Table1[[#This Row],[Fetal Sex (Male, Female or Unknown)]]="Female",Backend!$C$7,IF(Table1[[#This Row],[Fetal Sex (Male, Female or Unknown)]]="Unknown",Backend!$C$8,"Error"))),"")</f>
        <v/>
      </c>
      <c r="F4886" s="8" t="str">
        <f>IF(Table1[[#This Row],[Is Data Valid]]=TRUE,EXP(0.578+0.332*((Table1[[#This Row],[Gestation (days)]]+0.5)/7)-0.00354*((Table1[[#This Row],[Gestation (days)]]+0.5)/7)^2)*Table1[[#This Row],[BW40_3705]],"")</f>
        <v/>
      </c>
      <c r="G4886" s="2" t="str">
        <f>IF(Table1[[#This Row],[Is Data Valid]]=TRUE,((Table1[[#This Row],[Birthweight (grams)]]/Table1[[#This Row],[BW_GA]])-1)/(Backend!$B$4/100*Table1[[#This Row],[BW40_3705]]),"")</f>
        <v/>
      </c>
      <c r="H4886" s="7" t="str">
        <f>IF(Table1[[#This Row],[Is Data Valid]]=TRUE,((Table1[[#This Row],[Birthweight (grams)]]*0.9/Table1[[#This Row],[BW_GA]])-1)/(Backend!$B$4/100*Table1[[#This Row],[BW40_3705]]),"")</f>
        <v/>
      </c>
      <c r="I4886" s="7" t="str">
        <f>IF(Table1[[#This Row],[Is Data Valid]]=TRUE,((Table1[[#This Row],[Birthweight (grams)]]*1.1/Table1[[#This Row],[BW_GA]])-1)/(Backend!$B$4/100*Table1[[#This Row],[BW40_3705]]),"")</f>
        <v/>
      </c>
      <c r="J4886" s="7" t="str">
        <f>IF(Table1[[#This Row],[Is Data Valid]]=TRUE,_xlfn.NORM.S.DIST(Table1[[#This Row],[Birthweight Z-Score]],TRUE)*100,"")</f>
        <v/>
      </c>
      <c r="K4886" s="7" t="str">
        <f>IF(Table1[[#This Row],[Is Data Valid]]=TRUE,_xlfn.NORM.S.DIST(Table1[[#This Row],[Birthweight Z-Score (BW-10%)]],TRUE)*100,"")</f>
        <v/>
      </c>
      <c r="L4886" s="7" t="str">
        <f>IF(Table1[[#This Row],[Is Data Valid]]=TRUE,_xlfn.NORM.S.DIST(Table1[[#This Row],[Birthweight Z-Score (BW+10%)]],TRUE)*100,"")</f>
        <v/>
      </c>
    </row>
    <row r="4887" spans="1:12" x14ac:dyDescent="0.35">
      <c r="A4887" s="3"/>
      <c r="B4887" s="2"/>
      <c r="C4887" s="2"/>
      <c r="D4887" s="2" t="b">
        <f>IF(AND(NOT(ISBLANK(Table1[[#This Row],[Fetal Sex (Male, Female or Unknown)]])),ISNUMBER(Table1[[#This Row],[Birthweight (grams)]]),ISNUMBER(Table1[[#This Row],[Gestation (days)]])),TRUE,FALSE)</f>
        <v>0</v>
      </c>
      <c r="E4887" s="2" t="str">
        <f>IF(Table1[[#This Row],[Is Data Valid]]=TRUE,IF(Table1[[#This Row],[Fetal Sex (Male, Female or Unknown)]]="Male",Backend!$C$6,IF(Table1[[#This Row],[Fetal Sex (Male, Female or Unknown)]]="Female",Backend!$C$7,IF(Table1[[#This Row],[Fetal Sex (Male, Female or Unknown)]]="Unknown",Backend!$C$8,"Error"))),"")</f>
        <v/>
      </c>
      <c r="F4887" s="8" t="str">
        <f>IF(Table1[[#This Row],[Is Data Valid]]=TRUE,EXP(0.578+0.332*((Table1[[#This Row],[Gestation (days)]]+0.5)/7)-0.00354*((Table1[[#This Row],[Gestation (days)]]+0.5)/7)^2)*Table1[[#This Row],[BW40_3705]],"")</f>
        <v/>
      </c>
      <c r="G4887" s="2" t="str">
        <f>IF(Table1[[#This Row],[Is Data Valid]]=TRUE,((Table1[[#This Row],[Birthweight (grams)]]/Table1[[#This Row],[BW_GA]])-1)/(Backend!$B$4/100*Table1[[#This Row],[BW40_3705]]),"")</f>
        <v/>
      </c>
      <c r="H4887" s="7" t="str">
        <f>IF(Table1[[#This Row],[Is Data Valid]]=TRUE,((Table1[[#This Row],[Birthweight (grams)]]*0.9/Table1[[#This Row],[BW_GA]])-1)/(Backend!$B$4/100*Table1[[#This Row],[BW40_3705]]),"")</f>
        <v/>
      </c>
      <c r="I4887" s="7" t="str">
        <f>IF(Table1[[#This Row],[Is Data Valid]]=TRUE,((Table1[[#This Row],[Birthweight (grams)]]*1.1/Table1[[#This Row],[BW_GA]])-1)/(Backend!$B$4/100*Table1[[#This Row],[BW40_3705]]),"")</f>
        <v/>
      </c>
      <c r="J4887" s="7" t="str">
        <f>IF(Table1[[#This Row],[Is Data Valid]]=TRUE,_xlfn.NORM.S.DIST(Table1[[#This Row],[Birthweight Z-Score]],TRUE)*100,"")</f>
        <v/>
      </c>
      <c r="K4887" s="7" t="str">
        <f>IF(Table1[[#This Row],[Is Data Valid]]=TRUE,_xlfn.NORM.S.DIST(Table1[[#This Row],[Birthweight Z-Score (BW-10%)]],TRUE)*100,"")</f>
        <v/>
      </c>
      <c r="L4887" s="7" t="str">
        <f>IF(Table1[[#This Row],[Is Data Valid]]=TRUE,_xlfn.NORM.S.DIST(Table1[[#This Row],[Birthweight Z-Score (BW+10%)]],TRUE)*100,"")</f>
        <v/>
      </c>
    </row>
    <row r="4888" spans="1:12" x14ac:dyDescent="0.35">
      <c r="A4888" s="3"/>
      <c r="B4888" s="2"/>
      <c r="C4888" s="2"/>
      <c r="D4888" s="2" t="b">
        <f>IF(AND(NOT(ISBLANK(Table1[[#This Row],[Fetal Sex (Male, Female or Unknown)]])),ISNUMBER(Table1[[#This Row],[Birthweight (grams)]]),ISNUMBER(Table1[[#This Row],[Gestation (days)]])),TRUE,FALSE)</f>
        <v>0</v>
      </c>
      <c r="E4888" s="2" t="str">
        <f>IF(Table1[[#This Row],[Is Data Valid]]=TRUE,IF(Table1[[#This Row],[Fetal Sex (Male, Female or Unknown)]]="Male",Backend!$C$6,IF(Table1[[#This Row],[Fetal Sex (Male, Female or Unknown)]]="Female",Backend!$C$7,IF(Table1[[#This Row],[Fetal Sex (Male, Female or Unknown)]]="Unknown",Backend!$C$8,"Error"))),"")</f>
        <v/>
      </c>
      <c r="F4888" s="8" t="str">
        <f>IF(Table1[[#This Row],[Is Data Valid]]=TRUE,EXP(0.578+0.332*((Table1[[#This Row],[Gestation (days)]]+0.5)/7)-0.00354*((Table1[[#This Row],[Gestation (days)]]+0.5)/7)^2)*Table1[[#This Row],[BW40_3705]],"")</f>
        <v/>
      </c>
      <c r="G4888" s="2" t="str">
        <f>IF(Table1[[#This Row],[Is Data Valid]]=TRUE,((Table1[[#This Row],[Birthweight (grams)]]/Table1[[#This Row],[BW_GA]])-1)/(Backend!$B$4/100*Table1[[#This Row],[BW40_3705]]),"")</f>
        <v/>
      </c>
      <c r="H4888" s="7" t="str">
        <f>IF(Table1[[#This Row],[Is Data Valid]]=TRUE,((Table1[[#This Row],[Birthweight (grams)]]*0.9/Table1[[#This Row],[BW_GA]])-1)/(Backend!$B$4/100*Table1[[#This Row],[BW40_3705]]),"")</f>
        <v/>
      </c>
      <c r="I4888" s="7" t="str">
        <f>IF(Table1[[#This Row],[Is Data Valid]]=TRUE,((Table1[[#This Row],[Birthweight (grams)]]*1.1/Table1[[#This Row],[BW_GA]])-1)/(Backend!$B$4/100*Table1[[#This Row],[BW40_3705]]),"")</f>
        <v/>
      </c>
      <c r="J4888" s="7" t="str">
        <f>IF(Table1[[#This Row],[Is Data Valid]]=TRUE,_xlfn.NORM.S.DIST(Table1[[#This Row],[Birthweight Z-Score]],TRUE)*100,"")</f>
        <v/>
      </c>
      <c r="K4888" s="7" t="str">
        <f>IF(Table1[[#This Row],[Is Data Valid]]=TRUE,_xlfn.NORM.S.DIST(Table1[[#This Row],[Birthweight Z-Score (BW-10%)]],TRUE)*100,"")</f>
        <v/>
      </c>
      <c r="L4888" s="7" t="str">
        <f>IF(Table1[[#This Row],[Is Data Valid]]=TRUE,_xlfn.NORM.S.DIST(Table1[[#This Row],[Birthweight Z-Score (BW+10%)]],TRUE)*100,"")</f>
        <v/>
      </c>
    </row>
    <row r="4889" spans="1:12" x14ac:dyDescent="0.35">
      <c r="A4889" s="3"/>
      <c r="B4889" s="2"/>
      <c r="C4889" s="2"/>
      <c r="D4889" s="2" t="b">
        <f>IF(AND(NOT(ISBLANK(Table1[[#This Row],[Fetal Sex (Male, Female or Unknown)]])),ISNUMBER(Table1[[#This Row],[Birthweight (grams)]]),ISNUMBER(Table1[[#This Row],[Gestation (days)]])),TRUE,FALSE)</f>
        <v>0</v>
      </c>
      <c r="E4889" s="2" t="str">
        <f>IF(Table1[[#This Row],[Is Data Valid]]=TRUE,IF(Table1[[#This Row],[Fetal Sex (Male, Female or Unknown)]]="Male",Backend!$C$6,IF(Table1[[#This Row],[Fetal Sex (Male, Female or Unknown)]]="Female",Backend!$C$7,IF(Table1[[#This Row],[Fetal Sex (Male, Female or Unknown)]]="Unknown",Backend!$C$8,"Error"))),"")</f>
        <v/>
      </c>
      <c r="F4889" s="8" t="str">
        <f>IF(Table1[[#This Row],[Is Data Valid]]=TRUE,EXP(0.578+0.332*((Table1[[#This Row],[Gestation (days)]]+0.5)/7)-0.00354*((Table1[[#This Row],[Gestation (days)]]+0.5)/7)^2)*Table1[[#This Row],[BW40_3705]],"")</f>
        <v/>
      </c>
      <c r="G4889" s="2" t="str">
        <f>IF(Table1[[#This Row],[Is Data Valid]]=TRUE,((Table1[[#This Row],[Birthweight (grams)]]/Table1[[#This Row],[BW_GA]])-1)/(Backend!$B$4/100*Table1[[#This Row],[BW40_3705]]),"")</f>
        <v/>
      </c>
      <c r="H4889" s="7" t="str">
        <f>IF(Table1[[#This Row],[Is Data Valid]]=TRUE,((Table1[[#This Row],[Birthweight (grams)]]*0.9/Table1[[#This Row],[BW_GA]])-1)/(Backend!$B$4/100*Table1[[#This Row],[BW40_3705]]),"")</f>
        <v/>
      </c>
      <c r="I4889" s="7" t="str">
        <f>IF(Table1[[#This Row],[Is Data Valid]]=TRUE,((Table1[[#This Row],[Birthweight (grams)]]*1.1/Table1[[#This Row],[BW_GA]])-1)/(Backend!$B$4/100*Table1[[#This Row],[BW40_3705]]),"")</f>
        <v/>
      </c>
      <c r="J4889" s="7" t="str">
        <f>IF(Table1[[#This Row],[Is Data Valid]]=TRUE,_xlfn.NORM.S.DIST(Table1[[#This Row],[Birthweight Z-Score]],TRUE)*100,"")</f>
        <v/>
      </c>
      <c r="K4889" s="7" t="str">
        <f>IF(Table1[[#This Row],[Is Data Valid]]=TRUE,_xlfn.NORM.S.DIST(Table1[[#This Row],[Birthweight Z-Score (BW-10%)]],TRUE)*100,"")</f>
        <v/>
      </c>
      <c r="L4889" s="7" t="str">
        <f>IF(Table1[[#This Row],[Is Data Valid]]=TRUE,_xlfn.NORM.S.DIST(Table1[[#This Row],[Birthweight Z-Score (BW+10%)]],TRUE)*100,"")</f>
        <v/>
      </c>
    </row>
    <row r="4890" spans="1:12" x14ac:dyDescent="0.35">
      <c r="A4890" s="3"/>
      <c r="B4890" s="2"/>
      <c r="C4890" s="2"/>
      <c r="D4890" s="2" t="b">
        <f>IF(AND(NOT(ISBLANK(Table1[[#This Row],[Fetal Sex (Male, Female or Unknown)]])),ISNUMBER(Table1[[#This Row],[Birthweight (grams)]]),ISNUMBER(Table1[[#This Row],[Gestation (days)]])),TRUE,FALSE)</f>
        <v>0</v>
      </c>
      <c r="E4890" s="2" t="str">
        <f>IF(Table1[[#This Row],[Is Data Valid]]=TRUE,IF(Table1[[#This Row],[Fetal Sex (Male, Female or Unknown)]]="Male",Backend!$C$6,IF(Table1[[#This Row],[Fetal Sex (Male, Female or Unknown)]]="Female",Backend!$C$7,IF(Table1[[#This Row],[Fetal Sex (Male, Female or Unknown)]]="Unknown",Backend!$C$8,"Error"))),"")</f>
        <v/>
      </c>
      <c r="F4890" s="8" t="str">
        <f>IF(Table1[[#This Row],[Is Data Valid]]=TRUE,EXP(0.578+0.332*((Table1[[#This Row],[Gestation (days)]]+0.5)/7)-0.00354*((Table1[[#This Row],[Gestation (days)]]+0.5)/7)^2)*Table1[[#This Row],[BW40_3705]],"")</f>
        <v/>
      </c>
      <c r="G4890" s="2" t="str">
        <f>IF(Table1[[#This Row],[Is Data Valid]]=TRUE,((Table1[[#This Row],[Birthweight (grams)]]/Table1[[#This Row],[BW_GA]])-1)/(Backend!$B$4/100*Table1[[#This Row],[BW40_3705]]),"")</f>
        <v/>
      </c>
      <c r="H4890" s="7" t="str">
        <f>IF(Table1[[#This Row],[Is Data Valid]]=TRUE,((Table1[[#This Row],[Birthweight (grams)]]*0.9/Table1[[#This Row],[BW_GA]])-1)/(Backend!$B$4/100*Table1[[#This Row],[BW40_3705]]),"")</f>
        <v/>
      </c>
      <c r="I4890" s="7" t="str">
        <f>IF(Table1[[#This Row],[Is Data Valid]]=TRUE,((Table1[[#This Row],[Birthweight (grams)]]*1.1/Table1[[#This Row],[BW_GA]])-1)/(Backend!$B$4/100*Table1[[#This Row],[BW40_3705]]),"")</f>
        <v/>
      </c>
      <c r="J4890" s="7" t="str">
        <f>IF(Table1[[#This Row],[Is Data Valid]]=TRUE,_xlfn.NORM.S.DIST(Table1[[#This Row],[Birthweight Z-Score]],TRUE)*100,"")</f>
        <v/>
      </c>
      <c r="K4890" s="7" t="str">
        <f>IF(Table1[[#This Row],[Is Data Valid]]=TRUE,_xlfn.NORM.S.DIST(Table1[[#This Row],[Birthweight Z-Score (BW-10%)]],TRUE)*100,"")</f>
        <v/>
      </c>
      <c r="L4890" s="7" t="str">
        <f>IF(Table1[[#This Row],[Is Data Valid]]=TRUE,_xlfn.NORM.S.DIST(Table1[[#This Row],[Birthweight Z-Score (BW+10%)]],TRUE)*100,"")</f>
        <v/>
      </c>
    </row>
    <row r="4891" spans="1:12" x14ac:dyDescent="0.35">
      <c r="A4891" s="3"/>
      <c r="B4891" s="2"/>
      <c r="C4891" s="2"/>
      <c r="D4891" s="2" t="b">
        <f>IF(AND(NOT(ISBLANK(Table1[[#This Row],[Fetal Sex (Male, Female or Unknown)]])),ISNUMBER(Table1[[#This Row],[Birthweight (grams)]]),ISNUMBER(Table1[[#This Row],[Gestation (days)]])),TRUE,FALSE)</f>
        <v>0</v>
      </c>
      <c r="E4891" s="2" t="str">
        <f>IF(Table1[[#This Row],[Is Data Valid]]=TRUE,IF(Table1[[#This Row],[Fetal Sex (Male, Female or Unknown)]]="Male",Backend!$C$6,IF(Table1[[#This Row],[Fetal Sex (Male, Female or Unknown)]]="Female",Backend!$C$7,IF(Table1[[#This Row],[Fetal Sex (Male, Female or Unknown)]]="Unknown",Backend!$C$8,"Error"))),"")</f>
        <v/>
      </c>
      <c r="F4891" s="8" t="str">
        <f>IF(Table1[[#This Row],[Is Data Valid]]=TRUE,EXP(0.578+0.332*((Table1[[#This Row],[Gestation (days)]]+0.5)/7)-0.00354*((Table1[[#This Row],[Gestation (days)]]+0.5)/7)^2)*Table1[[#This Row],[BW40_3705]],"")</f>
        <v/>
      </c>
      <c r="G4891" s="2" t="str">
        <f>IF(Table1[[#This Row],[Is Data Valid]]=TRUE,((Table1[[#This Row],[Birthweight (grams)]]/Table1[[#This Row],[BW_GA]])-1)/(Backend!$B$4/100*Table1[[#This Row],[BW40_3705]]),"")</f>
        <v/>
      </c>
      <c r="H4891" s="7" t="str">
        <f>IF(Table1[[#This Row],[Is Data Valid]]=TRUE,((Table1[[#This Row],[Birthweight (grams)]]*0.9/Table1[[#This Row],[BW_GA]])-1)/(Backend!$B$4/100*Table1[[#This Row],[BW40_3705]]),"")</f>
        <v/>
      </c>
      <c r="I4891" s="7" t="str">
        <f>IF(Table1[[#This Row],[Is Data Valid]]=TRUE,((Table1[[#This Row],[Birthweight (grams)]]*1.1/Table1[[#This Row],[BW_GA]])-1)/(Backend!$B$4/100*Table1[[#This Row],[BW40_3705]]),"")</f>
        <v/>
      </c>
      <c r="J4891" s="7" t="str">
        <f>IF(Table1[[#This Row],[Is Data Valid]]=TRUE,_xlfn.NORM.S.DIST(Table1[[#This Row],[Birthweight Z-Score]],TRUE)*100,"")</f>
        <v/>
      </c>
      <c r="K4891" s="7" t="str">
        <f>IF(Table1[[#This Row],[Is Data Valid]]=TRUE,_xlfn.NORM.S.DIST(Table1[[#This Row],[Birthweight Z-Score (BW-10%)]],TRUE)*100,"")</f>
        <v/>
      </c>
      <c r="L4891" s="7" t="str">
        <f>IF(Table1[[#This Row],[Is Data Valid]]=TRUE,_xlfn.NORM.S.DIST(Table1[[#This Row],[Birthweight Z-Score (BW+10%)]],TRUE)*100,"")</f>
        <v/>
      </c>
    </row>
    <row r="4892" spans="1:12" x14ac:dyDescent="0.35">
      <c r="A4892" s="3"/>
      <c r="B4892" s="2"/>
      <c r="C4892" s="2"/>
      <c r="D4892" s="2" t="b">
        <f>IF(AND(NOT(ISBLANK(Table1[[#This Row],[Fetal Sex (Male, Female or Unknown)]])),ISNUMBER(Table1[[#This Row],[Birthweight (grams)]]),ISNUMBER(Table1[[#This Row],[Gestation (days)]])),TRUE,FALSE)</f>
        <v>0</v>
      </c>
      <c r="E4892" s="2" t="str">
        <f>IF(Table1[[#This Row],[Is Data Valid]]=TRUE,IF(Table1[[#This Row],[Fetal Sex (Male, Female or Unknown)]]="Male",Backend!$C$6,IF(Table1[[#This Row],[Fetal Sex (Male, Female or Unknown)]]="Female",Backend!$C$7,IF(Table1[[#This Row],[Fetal Sex (Male, Female or Unknown)]]="Unknown",Backend!$C$8,"Error"))),"")</f>
        <v/>
      </c>
      <c r="F4892" s="8" t="str">
        <f>IF(Table1[[#This Row],[Is Data Valid]]=TRUE,EXP(0.578+0.332*((Table1[[#This Row],[Gestation (days)]]+0.5)/7)-0.00354*((Table1[[#This Row],[Gestation (days)]]+0.5)/7)^2)*Table1[[#This Row],[BW40_3705]],"")</f>
        <v/>
      </c>
      <c r="G4892" s="2" t="str">
        <f>IF(Table1[[#This Row],[Is Data Valid]]=TRUE,((Table1[[#This Row],[Birthweight (grams)]]/Table1[[#This Row],[BW_GA]])-1)/(Backend!$B$4/100*Table1[[#This Row],[BW40_3705]]),"")</f>
        <v/>
      </c>
      <c r="H4892" s="7" t="str">
        <f>IF(Table1[[#This Row],[Is Data Valid]]=TRUE,((Table1[[#This Row],[Birthweight (grams)]]*0.9/Table1[[#This Row],[BW_GA]])-1)/(Backend!$B$4/100*Table1[[#This Row],[BW40_3705]]),"")</f>
        <v/>
      </c>
      <c r="I4892" s="7" t="str">
        <f>IF(Table1[[#This Row],[Is Data Valid]]=TRUE,((Table1[[#This Row],[Birthweight (grams)]]*1.1/Table1[[#This Row],[BW_GA]])-1)/(Backend!$B$4/100*Table1[[#This Row],[BW40_3705]]),"")</f>
        <v/>
      </c>
      <c r="J4892" s="7" t="str">
        <f>IF(Table1[[#This Row],[Is Data Valid]]=TRUE,_xlfn.NORM.S.DIST(Table1[[#This Row],[Birthweight Z-Score]],TRUE)*100,"")</f>
        <v/>
      </c>
      <c r="K4892" s="7" t="str">
        <f>IF(Table1[[#This Row],[Is Data Valid]]=TRUE,_xlfn.NORM.S.DIST(Table1[[#This Row],[Birthweight Z-Score (BW-10%)]],TRUE)*100,"")</f>
        <v/>
      </c>
      <c r="L4892" s="7" t="str">
        <f>IF(Table1[[#This Row],[Is Data Valid]]=TRUE,_xlfn.NORM.S.DIST(Table1[[#This Row],[Birthweight Z-Score (BW+10%)]],TRUE)*100,"")</f>
        <v/>
      </c>
    </row>
    <row r="4893" spans="1:12" x14ac:dyDescent="0.35">
      <c r="A4893" s="3"/>
      <c r="B4893" s="2"/>
      <c r="C4893" s="2"/>
      <c r="D4893" s="2" t="b">
        <f>IF(AND(NOT(ISBLANK(Table1[[#This Row],[Fetal Sex (Male, Female or Unknown)]])),ISNUMBER(Table1[[#This Row],[Birthweight (grams)]]),ISNUMBER(Table1[[#This Row],[Gestation (days)]])),TRUE,FALSE)</f>
        <v>0</v>
      </c>
      <c r="E4893" s="2" t="str">
        <f>IF(Table1[[#This Row],[Is Data Valid]]=TRUE,IF(Table1[[#This Row],[Fetal Sex (Male, Female or Unknown)]]="Male",Backend!$C$6,IF(Table1[[#This Row],[Fetal Sex (Male, Female or Unknown)]]="Female",Backend!$C$7,IF(Table1[[#This Row],[Fetal Sex (Male, Female or Unknown)]]="Unknown",Backend!$C$8,"Error"))),"")</f>
        <v/>
      </c>
      <c r="F4893" s="8" t="str">
        <f>IF(Table1[[#This Row],[Is Data Valid]]=TRUE,EXP(0.578+0.332*((Table1[[#This Row],[Gestation (days)]]+0.5)/7)-0.00354*((Table1[[#This Row],[Gestation (days)]]+0.5)/7)^2)*Table1[[#This Row],[BW40_3705]],"")</f>
        <v/>
      </c>
      <c r="G4893" s="2" t="str">
        <f>IF(Table1[[#This Row],[Is Data Valid]]=TRUE,((Table1[[#This Row],[Birthweight (grams)]]/Table1[[#This Row],[BW_GA]])-1)/(Backend!$B$4/100*Table1[[#This Row],[BW40_3705]]),"")</f>
        <v/>
      </c>
      <c r="H4893" s="7" t="str">
        <f>IF(Table1[[#This Row],[Is Data Valid]]=TRUE,((Table1[[#This Row],[Birthweight (grams)]]*0.9/Table1[[#This Row],[BW_GA]])-1)/(Backend!$B$4/100*Table1[[#This Row],[BW40_3705]]),"")</f>
        <v/>
      </c>
      <c r="I4893" s="7" t="str">
        <f>IF(Table1[[#This Row],[Is Data Valid]]=TRUE,((Table1[[#This Row],[Birthweight (grams)]]*1.1/Table1[[#This Row],[BW_GA]])-1)/(Backend!$B$4/100*Table1[[#This Row],[BW40_3705]]),"")</f>
        <v/>
      </c>
      <c r="J4893" s="7" t="str">
        <f>IF(Table1[[#This Row],[Is Data Valid]]=TRUE,_xlfn.NORM.S.DIST(Table1[[#This Row],[Birthweight Z-Score]],TRUE)*100,"")</f>
        <v/>
      </c>
      <c r="K4893" s="7" t="str">
        <f>IF(Table1[[#This Row],[Is Data Valid]]=TRUE,_xlfn.NORM.S.DIST(Table1[[#This Row],[Birthweight Z-Score (BW-10%)]],TRUE)*100,"")</f>
        <v/>
      </c>
      <c r="L4893" s="7" t="str">
        <f>IF(Table1[[#This Row],[Is Data Valid]]=TRUE,_xlfn.NORM.S.DIST(Table1[[#This Row],[Birthweight Z-Score (BW+10%)]],TRUE)*100,"")</f>
        <v/>
      </c>
    </row>
    <row r="4894" spans="1:12" x14ac:dyDescent="0.35">
      <c r="A4894" s="3"/>
      <c r="B4894" s="2"/>
      <c r="C4894" s="2"/>
      <c r="D4894" s="2" t="b">
        <f>IF(AND(NOT(ISBLANK(Table1[[#This Row],[Fetal Sex (Male, Female or Unknown)]])),ISNUMBER(Table1[[#This Row],[Birthweight (grams)]]),ISNUMBER(Table1[[#This Row],[Gestation (days)]])),TRUE,FALSE)</f>
        <v>0</v>
      </c>
      <c r="E4894" s="2" t="str">
        <f>IF(Table1[[#This Row],[Is Data Valid]]=TRUE,IF(Table1[[#This Row],[Fetal Sex (Male, Female or Unknown)]]="Male",Backend!$C$6,IF(Table1[[#This Row],[Fetal Sex (Male, Female or Unknown)]]="Female",Backend!$C$7,IF(Table1[[#This Row],[Fetal Sex (Male, Female or Unknown)]]="Unknown",Backend!$C$8,"Error"))),"")</f>
        <v/>
      </c>
      <c r="F4894" s="8" t="str">
        <f>IF(Table1[[#This Row],[Is Data Valid]]=TRUE,EXP(0.578+0.332*((Table1[[#This Row],[Gestation (days)]]+0.5)/7)-0.00354*((Table1[[#This Row],[Gestation (days)]]+0.5)/7)^2)*Table1[[#This Row],[BW40_3705]],"")</f>
        <v/>
      </c>
      <c r="G4894" s="2" t="str">
        <f>IF(Table1[[#This Row],[Is Data Valid]]=TRUE,((Table1[[#This Row],[Birthweight (grams)]]/Table1[[#This Row],[BW_GA]])-1)/(Backend!$B$4/100*Table1[[#This Row],[BW40_3705]]),"")</f>
        <v/>
      </c>
      <c r="H4894" s="7" t="str">
        <f>IF(Table1[[#This Row],[Is Data Valid]]=TRUE,((Table1[[#This Row],[Birthweight (grams)]]*0.9/Table1[[#This Row],[BW_GA]])-1)/(Backend!$B$4/100*Table1[[#This Row],[BW40_3705]]),"")</f>
        <v/>
      </c>
      <c r="I4894" s="7" t="str">
        <f>IF(Table1[[#This Row],[Is Data Valid]]=TRUE,((Table1[[#This Row],[Birthweight (grams)]]*1.1/Table1[[#This Row],[BW_GA]])-1)/(Backend!$B$4/100*Table1[[#This Row],[BW40_3705]]),"")</f>
        <v/>
      </c>
      <c r="J4894" s="7" t="str">
        <f>IF(Table1[[#This Row],[Is Data Valid]]=TRUE,_xlfn.NORM.S.DIST(Table1[[#This Row],[Birthweight Z-Score]],TRUE)*100,"")</f>
        <v/>
      </c>
      <c r="K4894" s="7" t="str">
        <f>IF(Table1[[#This Row],[Is Data Valid]]=TRUE,_xlfn.NORM.S.DIST(Table1[[#This Row],[Birthweight Z-Score (BW-10%)]],TRUE)*100,"")</f>
        <v/>
      </c>
      <c r="L4894" s="7" t="str">
        <f>IF(Table1[[#This Row],[Is Data Valid]]=TRUE,_xlfn.NORM.S.DIST(Table1[[#This Row],[Birthweight Z-Score (BW+10%)]],TRUE)*100,"")</f>
        <v/>
      </c>
    </row>
    <row r="4895" spans="1:12" x14ac:dyDescent="0.35">
      <c r="A4895" s="3"/>
      <c r="B4895" s="2"/>
      <c r="C4895" s="2"/>
      <c r="D4895" s="2" t="b">
        <f>IF(AND(NOT(ISBLANK(Table1[[#This Row],[Fetal Sex (Male, Female or Unknown)]])),ISNUMBER(Table1[[#This Row],[Birthweight (grams)]]),ISNUMBER(Table1[[#This Row],[Gestation (days)]])),TRUE,FALSE)</f>
        <v>0</v>
      </c>
      <c r="E4895" s="2" t="str">
        <f>IF(Table1[[#This Row],[Is Data Valid]]=TRUE,IF(Table1[[#This Row],[Fetal Sex (Male, Female or Unknown)]]="Male",Backend!$C$6,IF(Table1[[#This Row],[Fetal Sex (Male, Female or Unknown)]]="Female",Backend!$C$7,IF(Table1[[#This Row],[Fetal Sex (Male, Female or Unknown)]]="Unknown",Backend!$C$8,"Error"))),"")</f>
        <v/>
      </c>
      <c r="F4895" s="8" t="str">
        <f>IF(Table1[[#This Row],[Is Data Valid]]=TRUE,EXP(0.578+0.332*((Table1[[#This Row],[Gestation (days)]]+0.5)/7)-0.00354*((Table1[[#This Row],[Gestation (days)]]+0.5)/7)^2)*Table1[[#This Row],[BW40_3705]],"")</f>
        <v/>
      </c>
      <c r="G4895" s="2" t="str">
        <f>IF(Table1[[#This Row],[Is Data Valid]]=TRUE,((Table1[[#This Row],[Birthweight (grams)]]/Table1[[#This Row],[BW_GA]])-1)/(Backend!$B$4/100*Table1[[#This Row],[BW40_3705]]),"")</f>
        <v/>
      </c>
      <c r="H4895" s="7" t="str">
        <f>IF(Table1[[#This Row],[Is Data Valid]]=TRUE,((Table1[[#This Row],[Birthweight (grams)]]*0.9/Table1[[#This Row],[BW_GA]])-1)/(Backend!$B$4/100*Table1[[#This Row],[BW40_3705]]),"")</f>
        <v/>
      </c>
      <c r="I4895" s="7" t="str">
        <f>IF(Table1[[#This Row],[Is Data Valid]]=TRUE,((Table1[[#This Row],[Birthweight (grams)]]*1.1/Table1[[#This Row],[BW_GA]])-1)/(Backend!$B$4/100*Table1[[#This Row],[BW40_3705]]),"")</f>
        <v/>
      </c>
      <c r="J4895" s="7" t="str">
        <f>IF(Table1[[#This Row],[Is Data Valid]]=TRUE,_xlfn.NORM.S.DIST(Table1[[#This Row],[Birthweight Z-Score]],TRUE)*100,"")</f>
        <v/>
      </c>
      <c r="K4895" s="7" t="str">
        <f>IF(Table1[[#This Row],[Is Data Valid]]=TRUE,_xlfn.NORM.S.DIST(Table1[[#This Row],[Birthweight Z-Score (BW-10%)]],TRUE)*100,"")</f>
        <v/>
      </c>
      <c r="L4895" s="7" t="str">
        <f>IF(Table1[[#This Row],[Is Data Valid]]=TRUE,_xlfn.NORM.S.DIST(Table1[[#This Row],[Birthweight Z-Score (BW+10%)]],TRUE)*100,"")</f>
        <v/>
      </c>
    </row>
    <row r="4896" spans="1:12" x14ac:dyDescent="0.35">
      <c r="A4896" s="3"/>
      <c r="B4896" s="2"/>
      <c r="C4896" s="2"/>
      <c r="D4896" s="2" t="b">
        <f>IF(AND(NOT(ISBLANK(Table1[[#This Row],[Fetal Sex (Male, Female or Unknown)]])),ISNUMBER(Table1[[#This Row],[Birthweight (grams)]]),ISNUMBER(Table1[[#This Row],[Gestation (days)]])),TRUE,FALSE)</f>
        <v>0</v>
      </c>
      <c r="E4896" s="2" t="str">
        <f>IF(Table1[[#This Row],[Is Data Valid]]=TRUE,IF(Table1[[#This Row],[Fetal Sex (Male, Female or Unknown)]]="Male",Backend!$C$6,IF(Table1[[#This Row],[Fetal Sex (Male, Female or Unknown)]]="Female",Backend!$C$7,IF(Table1[[#This Row],[Fetal Sex (Male, Female or Unknown)]]="Unknown",Backend!$C$8,"Error"))),"")</f>
        <v/>
      </c>
      <c r="F4896" s="8" t="str">
        <f>IF(Table1[[#This Row],[Is Data Valid]]=TRUE,EXP(0.578+0.332*((Table1[[#This Row],[Gestation (days)]]+0.5)/7)-0.00354*((Table1[[#This Row],[Gestation (days)]]+0.5)/7)^2)*Table1[[#This Row],[BW40_3705]],"")</f>
        <v/>
      </c>
      <c r="G4896" s="2" t="str">
        <f>IF(Table1[[#This Row],[Is Data Valid]]=TRUE,((Table1[[#This Row],[Birthweight (grams)]]/Table1[[#This Row],[BW_GA]])-1)/(Backend!$B$4/100*Table1[[#This Row],[BW40_3705]]),"")</f>
        <v/>
      </c>
      <c r="H4896" s="7" t="str">
        <f>IF(Table1[[#This Row],[Is Data Valid]]=TRUE,((Table1[[#This Row],[Birthweight (grams)]]*0.9/Table1[[#This Row],[BW_GA]])-1)/(Backend!$B$4/100*Table1[[#This Row],[BW40_3705]]),"")</f>
        <v/>
      </c>
      <c r="I4896" s="7" t="str">
        <f>IF(Table1[[#This Row],[Is Data Valid]]=TRUE,((Table1[[#This Row],[Birthweight (grams)]]*1.1/Table1[[#This Row],[BW_GA]])-1)/(Backend!$B$4/100*Table1[[#This Row],[BW40_3705]]),"")</f>
        <v/>
      </c>
      <c r="J4896" s="7" t="str">
        <f>IF(Table1[[#This Row],[Is Data Valid]]=TRUE,_xlfn.NORM.S.DIST(Table1[[#This Row],[Birthweight Z-Score]],TRUE)*100,"")</f>
        <v/>
      </c>
      <c r="K4896" s="7" t="str">
        <f>IF(Table1[[#This Row],[Is Data Valid]]=TRUE,_xlfn.NORM.S.DIST(Table1[[#This Row],[Birthweight Z-Score (BW-10%)]],TRUE)*100,"")</f>
        <v/>
      </c>
      <c r="L4896" s="7" t="str">
        <f>IF(Table1[[#This Row],[Is Data Valid]]=TRUE,_xlfn.NORM.S.DIST(Table1[[#This Row],[Birthweight Z-Score (BW+10%)]],TRUE)*100,"")</f>
        <v/>
      </c>
    </row>
    <row r="4897" spans="1:12" x14ac:dyDescent="0.35">
      <c r="A4897" s="3"/>
      <c r="B4897" s="2"/>
      <c r="C4897" s="2"/>
      <c r="D4897" s="2" t="b">
        <f>IF(AND(NOT(ISBLANK(Table1[[#This Row],[Fetal Sex (Male, Female or Unknown)]])),ISNUMBER(Table1[[#This Row],[Birthweight (grams)]]),ISNUMBER(Table1[[#This Row],[Gestation (days)]])),TRUE,FALSE)</f>
        <v>0</v>
      </c>
      <c r="E4897" s="2" t="str">
        <f>IF(Table1[[#This Row],[Is Data Valid]]=TRUE,IF(Table1[[#This Row],[Fetal Sex (Male, Female or Unknown)]]="Male",Backend!$C$6,IF(Table1[[#This Row],[Fetal Sex (Male, Female or Unknown)]]="Female",Backend!$C$7,IF(Table1[[#This Row],[Fetal Sex (Male, Female or Unknown)]]="Unknown",Backend!$C$8,"Error"))),"")</f>
        <v/>
      </c>
      <c r="F4897" s="8" t="str">
        <f>IF(Table1[[#This Row],[Is Data Valid]]=TRUE,EXP(0.578+0.332*((Table1[[#This Row],[Gestation (days)]]+0.5)/7)-0.00354*((Table1[[#This Row],[Gestation (days)]]+0.5)/7)^2)*Table1[[#This Row],[BW40_3705]],"")</f>
        <v/>
      </c>
      <c r="G4897" s="2" t="str">
        <f>IF(Table1[[#This Row],[Is Data Valid]]=TRUE,((Table1[[#This Row],[Birthweight (grams)]]/Table1[[#This Row],[BW_GA]])-1)/(Backend!$B$4/100*Table1[[#This Row],[BW40_3705]]),"")</f>
        <v/>
      </c>
      <c r="H4897" s="7" t="str">
        <f>IF(Table1[[#This Row],[Is Data Valid]]=TRUE,((Table1[[#This Row],[Birthweight (grams)]]*0.9/Table1[[#This Row],[BW_GA]])-1)/(Backend!$B$4/100*Table1[[#This Row],[BW40_3705]]),"")</f>
        <v/>
      </c>
      <c r="I4897" s="7" t="str">
        <f>IF(Table1[[#This Row],[Is Data Valid]]=TRUE,((Table1[[#This Row],[Birthweight (grams)]]*1.1/Table1[[#This Row],[BW_GA]])-1)/(Backend!$B$4/100*Table1[[#This Row],[BW40_3705]]),"")</f>
        <v/>
      </c>
      <c r="J4897" s="7" t="str">
        <f>IF(Table1[[#This Row],[Is Data Valid]]=TRUE,_xlfn.NORM.S.DIST(Table1[[#This Row],[Birthweight Z-Score]],TRUE)*100,"")</f>
        <v/>
      </c>
      <c r="K4897" s="7" t="str">
        <f>IF(Table1[[#This Row],[Is Data Valid]]=TRUE,_xlfn.NORM.S.DIST(Table1[[#This Row],[Birthweight Z-Score (BW-10%)]],TRUE)*100,"")</f>
        <v/>
      </c>
      <c r="L4897" s="7" t="str">
        <f>IF(Table1[[#This Row],[Is Data Valid]]=TRUE,_xlfn.NORM.S.DIST(Table1[[#This Row],[Birthweight Z-Score (BW+10%)]],TRUE)*100,"")</f>
        <v/>
      </c>
    </row>
    <row r="4898" spans="1:12" x14ac:dyDescent="0.35">
      <c r="A4898" s="3"/>
      <c r="B4898" s="2"/>
      <c r="C4898" s="2"/>
      <c r="D4898" s="2" t="b">
        <f>IF(AND(NOT(ISBLANK(Table1[[#This Row],[Fetal Sex (Male, Female or Unknown)]])),ISNUMBER(Table1[[#This Row],[Birthweight (grams)]]),ISNUMBER(Table1[[#This Row],[Gestation (days)]])),TRUE,FALSE)</f>
        <v>0</v>
      </c>
      <c r="E4898" s="2" t="str">
        <f>IF(Table1[[#This Row],[Is Data Valid]]=TRUE,IF(Table1[[#This Row],[Fetal Sex (Male, Female or Unknown)]]="Male",Backend!$C$6,IF(Table1[[#This Row],[Fetal Sex (Male, Female or Unknown)]]="Female",Backend!$C$7,IF(Table1[[#This Row],[Fetal Sex (Male, Female or Unknown)]]="Unknown",Backend!$C$8,"Error"))),"")</f>
        <v/>
      </c>
      <c r="F4898" s="8" t="str">
        <f>IF(Table1[[#This Row],[Is Data Valid]]=TRUE,EXP(0.578+0.332*((Table1[[#This Row],[Gestation (days)]]+0.5)/7)-0.00354*((Table1[[#This Row],[Gestation (days)]]+0.5)/7)^2)*Table1[[#This Row],[BW40_3705]],"")</f>
        <v/>
      </c>
      <c r="G4898" s="2" t="str">
        <f>IF(Table1[[#This Row],[Is Data Valid]]=TRUE,((Table1[[#This Row],[Birthweight (grams)]]/Table1[[#This Row],[BW_GA]])-1)/(Backend!$B$4/100*Table1[[#This Row],[BW40_3705]]),"")</f>
        <v/>
      </c>
      <c r="H4898" s="7" t="str">
        <f>IF(Table1[[#This Row],[Is Data Valid]]=TRUE,((Table1[[#This Row],[Birthweight (grams)]]*0.9/Table1[[#This Row],[BW_GA]])-1)/(Backend!$B$4/100*Table1[[#This Row],[BW40_3705]]),"")</f>
        <v/>
      </c>
      <c r="I4898" s="7" t="str">
        <f>IF(Table1[[#This Row],[Is Data Valid]]=TRUE,((Table1[[#This Row],[Birthweight (grams)]]*1.1/Table1[[#This Row],[BW_GA]])-1)/(Backend!$B$4/100*Table1[[#This Row],[BW40_3705]]),"")</f>
        <v/>
      </c>
      <c r="J4898" s="7" t="str">
        <f>IF(Table1[[#This Row],[Is Data Valid]]=TRUE,_xlfn.NORM.S.DIST(Table1[[#This Row],[Birthweight Z-Score]],TRUE)*100,"")</f>
        <v/>
      </c>
      <c r="K4898" s="7" t="str">
        <f>IF(Table1[[#This Row],[Is Data Valid]]=TRUE,_xlfn.NORM.S.DIST(Table1[[#This Row],[Birthweight Z-Score (BW-10%)]],TRUE)*100,"")</f>
        <v/>
      </c>
      <c r="L4898" s="7" t="str">
        <f>IF(Table1[[#This Row],[Is Data Valid]]=TRUE,_xlfn.NORM.S.DIST(Table1[[#This Row],[Birthweight Z-Score (BW+10%)]],TRUE)*100,"")</f>
        <v/>
      </c>
    </row>
    <row r="4899" spans="1:12" x14ac:dyDescent="0.35">
      <c r="A4899" s="3"/>
      <c r="B4899" s="2"/>
      <c r="C4899" s="2"/>
      <c r="D4899" s="2" t="b">
        <f>IF(AND(NOT(ISBLANK(Table1[[#This Row],[Fetal Sex (Male, Female or Unknown)]])),ISNUMBER(Table1[[#This Row],[Birthweight (grams)]]),ISNUMBER(Table1[[#This Row],[Gestation (days)]])),TRUE,FALSE)</f>
        <v>0</v>
      </c>
      <c r="E4899" s="2" t="str">
        <f>IF(Table1[[#This Row],[Is Data Valid]]=TRUE,IF(Table1[[#This Row],[Fetal Sex (Male, Female or Unknown)]]="Male",Backend!$C$6,IF(Table1[[#This Row],[Fetal Sex (Male, Female or Unknown)]]="Female",Backend!$C$7,IF(Table1[[#This Row],[Fetal Sex (Male, Female or Unknown)]]="Unknown",Backend!$C$8,"Error"))),"")</f>
        <v/>
      </c>
      <c r="F4899" s="8" t="str">
        <f>IF(Table1[[#This Row],[Is Data Valid]]=TRUE,EXP(0.578+0.332*((Table1[[#This Row],[Gestation (days)]]+0.5)/7)-0.00354*((Table1[[#This Row],[Gestation (days)]]+0.5)/7)^2)*Table1[[#This Row],[BW40_3705]],"")</f>
        <v/>
      </c>
      <c r="G4899" s="2" t="str">
        <f>IF(Table1[[#This Row],[Is Data Valid]]=TRUE,((Table1[[#This Row],[Birthweight (grams)]]/Table1[[#This Row],[BW_GA]])-1)/(Backend!$B$4/100*Table1[[#This Row],[BW40_3705]]),"")</f>
        <v/>
      </c>
      <c r="H4899" s="7" t="str">
        <f>IF(Table1[[#This Row],[Is Data Valid]]=TRUE,((Table1[[#This Row],[Birthweight (grams)]]*0.9/Table1[[#This Row],[BW_GA]])-1)/(Backend!$B$4/100*Table1[[#This Row],[BW40_3705]]),"")</f>
        <v/>
      </c>
      <c r="I4899" s="7" t="str">
        <f>IF(Table1[[#This Row],[Is Data Valid]]=TRUE,((Table1[[#This Row],[Birthweight (grams)]]*1.1/Table1[[#This Row],[BW_GA]])-1)/(Backend!$B$4/100*Table1[[#This Row],[BW40_3705]]),"")</f>
        <v/>
      </c>
      <c r="J4899" s="7" t="str">
        <f>IF(Table1[[#This Row],[Is Data Valid]]=TRUE,_xlfn.NORM.S.DIST(Table1[[#This Row],[Birthweight Z-Score]],TRUE)*100,"")</f>
        <v/>
      </c>
      <c r="K4899" s="7" t="str">
        <f>IF(Table1[[#This Row],[Is Data Valid]]=TRUE,_xlfn.NORM.S.DIST(Table1[[#This Row],[Birthweight Z-Score (BW-10%)]],TRUE)*100,"")</f>
        <v/>
      </c>
      <c r="L4899" s="7" t="str">
        <f>IF(Table1[[#This Row],[Is Data Valid]]=TRUE,_xlfn.NORM.S.DIST(Table1[[#This Row],[Birthweight Z-Score (BW+10%)]],TRUE)*100,"")</f>
        <v/>
      </c>
    </row>
    <row r="4900" spans="1:12" x14ac:dyDescent="0.35">
      <c r="A4900" s="3"/>
      <c r="B4900" s="2"/>
      <c r="C4900" s="2"/>
      <c r="D4900" s="2" t="b">
        <f>IF(AND(NOT(ISBLANK(Table1[[#This Row],[Fetal Sex (Male, Female or Unknown)]])),ISNUMBER(Table1[[#This Row],[Birthweight (grams)]]),ISNUMBER(Table1[[#This Row],[Gestation (days)]])),TRUE,FALSE)</f>
        <v>0</v>
      </c>
      <c r="E4900" s="2" t="str">
        <f>IF(Table1[[#This Row],[Is Data Valid]]=TRUE,IF(Table1[[#This Row],[Fetal Sex (Male, Female or Unknown)]]="Male",Backend!$C$6,IF(Table1[[#This Row],[Fetal Sex (Male, Female or Unknown)]]="Female",Backend!$C$7,IF(Table1[[#This Row],[Fetal Sex (Male, Female or Unknown)]]="Unknown",Backend!$C$8,"Error"))),"")</f>
        <v/>
      </c>
      <c r="F4900" s="8" t="str">
        <f>IF(Table1[[#This Row],[Is Data Valid]]=TRUE,EXP(0.578+0.332*((Table1[[#This Row],[Gestation (days)]]+0.5)/7)-0.00354*((Table1[[#This Row],[Gestation (days)]]+0.5)/7)^2)*Table1[[#This Row],[BW40_3705]],"")</f>
        <v/>
      </c>
      <c r="G4900" s="2" t="str">
        <f>IF(Table1[[#This Row],[Is Data Valid]]=TRUE,((Table1[[#This Row],[Birthweight (grams)]]/Table1[[#This Row],[BW_GA]])-1)/(Backend!$B$4/100*Table1[[#This Row],[BW40_3705]]),"")</f>
        <v/>
      </c>
      <c r="H4900" s="7" t="str">
        <f>IF(Table1[[#This Row],[Is Data Valid]]=TRUE,((Table1[[#This Row],[Birthweight (grams)]]*0.9/Table1[[#This Row],[BW_GA]])-1)/(Backend!$B$4/100*Table1[[#This Row],[BW40_3705]]),"")</f>
        <v/>
      </c>
      <c r="I4900" s="7" t="str">
        <f>IF(Table1[[#This Row],[Is Data Valid]]=TRUE,((Table1[[#This Row],[Birthweight (grams)]]*1.1/Table1[[#This Row],[BW_GA]])-1)/(Backend!$B$4/100*Table1[[#This Row],[BW40_3705]]),"")</f>
        <v/>
      </c>
      <c r="J4900" s="7" t="str">
        <f>IF(Table1[[#This Row],[Is Data Valid]]=TRUE,_xlfn.NORM.S.DIST(Table1[[#This Row],[Birthweight Z-Score]],TRUE)*100,"")</f>
        <v/>
      </c>
      <c r="K4900" s="7" t="str">
        <f>IF(Table1[[#This Row],[Is Data Valid]]=TRUE,_xlfn.NORM.S.DIST(Table1[[#This Row],[Birthweight Z-Score (BW-10%)]],TRUE)*100,"")</f>
        <v/>
      </c>
      <c r="L4900" s="7" t="str">
        <f>IF(Table1[[#This Row],[Is Data Valid]]=TRUE,_xlfn.NORM.S.DIST(Table1[[#This Row],[Birthweight Z-Score (BW+10%)]],TRUE)*100,"")</f>
        <v/>
      </c>
    </row>
    <row r="4901" spans="1:12" x14ac:dyDescent="0.35">
      <c r="A4901" s="3"/>
      <c r="B4901" s="2"/>
      <c r="C4901" s="2"/>
      <c r="D4901" s="2" t="b">
        <f>IF(AND(NOT(ISBLANK(Table1[[#This Row],[Fetal Sex (Male, Female or Unknown)]])),ISNUMBER(Table1[[#This Row],[Birthweight (grams)]]),ISNUMBER(Table1[[#This Row],[Gestation (days)]])),TRUE,FALSE)</f>
        <v>0</v>
      </c>
      <c r="E4901" s="2" t="str">
        <f>IF(Table1[[#This Row],[Is Data Valid]]=TRUE,IF(Table1[[#This Row],[Fetal Sex (Male, Female or Unknown)]]="Male",Backend!$C$6,IF(Table1[[#This Row],[Fetal Sex (Male, Female or Unknown)]]="Female",Backend!$C$7,IF(Table1[[#This Row],[Fetal Sex (Male, Female or Unknown)]]="Unknown",Backend!$C$8,"Error"))),"")</f>
        <v/>
      </c>
      <c r="F4901" s="8" t="str">
        <f>IF(Table1[[#This Row],[Is Data Valid]]=TRUE,EXP(0.578+0.332*((Table1[[#This Row],[Gestation (days)]]+0.5)/7)-0.00354*((Table1[[#This Row],[Gestation (days)]]+0.5)/7)^2)*Table1[[#This Row],[BW40_3705]],"")</f>
        <v/>
      </c>
      <c r="G4901" s="2" t="str">
        <f>IF(Table1[[#This Row],[Is Data Valid]]=TRUE,((Table1[[#This Row],[Birthweight (grams)]]/Table1[[#This Row],[BW_GA]])-1)/(Backend!$B$4/100*Table1[[#This Row],[BW40_3705]]),"")</f>
        <v/>
      </c>
      <c r="H4901" s="7" t="str">
        <f>IF(Table1[[#This Row],[Is Data Valid]]=TRUE,((Table1[[#This Row],[Birthweight (grams)]]*0.9/Table1[[#This Row],[BW_GA]])-1)/(Backend!$B$4/100*Table1[[#This Row],[BW40_3705]]),"")</f>
        <v/>
      </c>
      <c r="I4901" s="7" t="str">
        <f>IF(Table1[[#This Row],[Is Data Valid]]=TRUE,((Table1[[#This Row],[Birthweight (grams)]]*1.1/Table1[[#This Row],[BW_GA]])-1)/(Backend!$B$4/100*Table1[[#This Row],[BW40_3705]]),"")</f>
        <v/>
      </c>
      <c r="J4901" s="7" t="str">
        <f>IF(Table1[[#This Row],[Is Data Valid]]=TRUE,_xlfn.NORM.S.DIST(Table1[[#This Row],[Birthweight Z-Score]],TRUE)*100,"")</f>
        <v/>
      </c>
      <c r="K4901" s="7" t="str">
        <f>IF(Table1[[#This Row],[Is Data Valid]]=TRUE,_xlfn.NORM.S.DIST(Table1[[#This Row],[Birthweight Z-Score (BW-10%)]],TRUE)*100,"")</f>
        <v/>
      </c>
      <c r="L4901" s="7" t="str">
        <f>IF(Table1[[#This Row],[Is Data Valid]]=TRUE,_xlfn.NORM.S.DIST(Table1[[#This Row],[Birthweight Z-Score (BW+10%)]],TRUE)*100,"")</f>
        <v/>
      </c>
    </row>
    <row r="4902" spans="1:12" x14ac:dyDescent="0.35">
      <c r="A4902" s="3"/>
      <c r="B4902" s="2"/>
      <c r="C4902" s="2"/>
      <c r="D4902" s="2" t="b">
        <f>IF(AND(NOT(ISBLANK(Table1[[#This Row],[Fetal Sex (Male, Female or Unknown)]])),ISNUMBER(Table1[[#This Row],[Birthweight (grams)]]),ISNUMBER(Table1[[#This Row],[Gestation (days)]])),TRUE,FALSE)</f>
        <v>0</v>
      </c>
      <c r="E4902" s="2" t="str">
        <f>IF(Table1[[#This Row],[Is Data Valid]]=TRUE,IF(Table1[[#This Row],[Fetal Sex (Male, Female or Unknown)]]="Male",Backend!$C$6,IF(Table1[[#This Row],[Fetal Sex (Male, Female or Unknown)]]="Female",Backend!$C$7,IF(Table1[[#This Row],[Fetal Sex (Male, Female or Unknown)]]="Unknown",Backend!$C$8,"Error"))),"")</f>
        <v/>
      </c>
      <c r="F4902" s="8" t="str">
        <f>IF(Table1[[#This Row],[Is Data Valid]]=TRUE,EXP(0.578+0.332*((Table1[[#This Row],[Gestation (days)]]+0.5)/7)-0.00354*((Table1[[#This Row],[Gestation (days)]]+0.5)/7)^2)*Table1[[#This Row],[BW40_3705]],"")</f>
        <v/>
      </c>
      <c r="G4902" s="2" t="str">
        <f>IF(Table1[[#This Row],[Is Data Valid]]=TRUE,((Table1[[#This Row],[Birthweight (grams)]]/Table1[[#This Row],[BW_GA]])-1)/(Backend!$B$4/100*Table1[[#This Row],[BW40_3705]]),"")</f>
        <v/>
      </c>
      <c r="H4902" s="7" t="str">
        <f>IF(Table1[[#This Row],[Is Data Valid]]=TRUE,((Table1[[#This Row],[Birthweight (grams)]]*0.9/Table1[[#This Row],[BW_GA]])-1)/(Backend!$B$4/100*Table1[[#This Row],[BW40_3705]]),"")</f>
        <v/>
      </c>
      <c r="I4902" s="7" t="str">
        <f>IF(Table1[[#This Row],[Is Data Valid]]=TRUE,((Table1[[#This Row],[Birthweight (grams)]]*1.1/Table1[[#This Row],[BW_GA]])-1)/(Backend!$B$4/100*Table1[[#This Row],[BW40_3705]]),"")</f>
        <v/>
      </c>
      <c r="J4902" s="7" t="str">
        <f>IF(Table1[[#This Row],[Is Data Valid]]=TRUE,_xlfn.NORM.S.DIST(Table1[[#This Row],[Birthweight Z-Score]],TRUE)*100,"")</f>
        <v/>
      </c>
      <c r="K4902" s="7" t="str">
        <f>IF(Table1[[#This Row],[Is Data Valid]]=TRUE,_xlfn.NORM.S.DIST(Table1[[#This Row],[Birthweight Z-Score (BW-10%)]],TRUE)*100,"")</f>
        <v/>
      </c>
      <c r="L4902" s="7" t="str">
        <f>IF(Table1[[#This Row],[Is Data Valid]]=TRUE,_xlfn.NORM.S.DIST(Table1[[#This Row],[Birthweight Z-Score (BW+10%)]],TRUE)*100,"")</f>
        <v/>
      </c>
    </row>
    <row r="4903" spans="1:12" x14ac:dyDescent="0.35">
      <c r="A4903" s="3"/>
      <c r="B4903" s="2"/>
      <c r="C4903" s="2"/>
      <c r="D4903" s="2" t="b">
        <f>IF(AND(NOT(ISBLANK(Table1[[#This Row],[Fetal Sex (Male, Female or Unknown)]])),ISNUMBER(Table1[[#This Row],[Birthweight (grams)]]),ISNUMBER(Table1[[#This Row],[Gestation (days)]])),TRUE,FALSE)</f>
        <v>0</v>
      </c>
      <c r="E4903" s="2" t="str">
        <f>IF(Table1[[#This Row],[Is Data Valid]]=TRUE,IF(Table1[[#This Row],[Fetal Sex (Male, Female or Unknown)]]="Male",Backend!$C$6,IF(Table1[[#This Row],[Fetal Sex (Male, Female or Unknown)]]="Female",Backend!$C$7,IF(Table1[[#This Row],[Fetal Sex (Male, Female or Unknown)]]="Unknown",Backend!$C$8,"Error"))),"")</f>
        <v/>
      </c>
      <c r="F4903" s="8" t="str">
        <f>IF(Table1[[#This Row],[Is Data Valid]]=TRUE,EXP(0.578+0.332*((Table1[[#This Row],[Gestation (days)]]+0.5)/7)-0.00354*((Table1[[#This Row],[Gestation (days)]]+0.5)/7)^2)*Table1[[#This Row],[BW40_3705]],"")</f>
        <v/>
      </c>
      <c r="G4903" s="2" t="str">
        <f>IF(Table1[[#This Row],[Is Data Valid]]=TRUE,((Table1[[#This Row],[Birthweight (grams)]]/Table1[[#This Row],[BW_GA]])-1)/(Backend!$B$4/100*Table1[[#This Row],[BW40_3705]]),"")</f>
        <v/>
      </c>
      <c r="H4903" s="7" t="str">
        <f>IF(Table1[[#This Row],[Is Data Valid]]=TRUE,((Table1[[#This Row],[Birthweight (grams)]]*0.9/Table1[[#This Row],[BW_GA]])-1)/(Backend!$B$4/100*Table1[[#This Row],[BW40_3705]]),"")</f>
        <v/>
      </c>
      <c r="I4903" s="7" t="str">
        <f>IF(Table1[[#This Row],[Is Data Valid]]=TRUE,((Table1[[#This Row],[Birthweight (grams)]]*1.1/Table1[[#This Row],[BW_GA]])-1)/(Backend!$B$4/100*Table1[[#This Row],[BW40_3705]]),"")</f>
        <v/>
      </c>
      <c r="J4903" s="7" t="str">
        <f>IF(Table1[[#This Row],[Is Data Valid]]=TRUE,_xlfn.NORM.S.DIST(Table1[[#This Row],[Birthweight Z-Score]],TRUE)*100,"")</f>
        <v/>
      </c>
      <c r="K4903" s="7" t="str">
        <f>IF(Table1[[#This Row],[Is Data Valid]]=TRUE,_xlfn.NORM.S.DIST(Table1[[#This Row],[Birthweight Z-Score (BW-10%)]],TRUE)*100,"")</f>
        <v/>
      </c>
      <c r="L4903" s="7" t="str">
        <f>IF(Table1[[#This Row],[Is Data Valid]]=TRUE,_xlfn.NORM.S.DIST(Table1[[#This Row],[Birthweight Z-Score (BW+10%)]],TRUE)*100,"")</f>
        <v/>
      </c>
    </row>
    <row r="4904" spans="1:12" x14ac:dyDescent="0.35">
      <c r="A4904" s="3"/>
      <c r="B4904" s="2"/>
      <c r="C4904" s="2"/>
      <c r="D4904" s="2" t="b">
        <f>IF(AND(NOT(ISBLANK(Table1[[#This Row],[Fetal Sex (Male, Female or Unknown)]])),ISNUMBER(Table1[[#This Row],[Birthweight (grams)]]),ISNUMBER(Table1[[#This Row],[Gestation (days)]])),TRUE,FALSE)</f>
        <v>0</v>
      </c>
      <c r="E4904" s="2" t="str">
        <f>IF(Table1[[#This Row],[Is Data Valid]]=TRUE,IF(Table1[[#This Row],[Fetal Sex (Male, Female or Unknown)]]="Male",Backend!$C$6,IF(Table1[[#This Row],[Fetal Sex (Male, Female or Unknown)]]="Female",Backend!$C$7,IF(Table1[[#This Row],[Fetal Sex (Male, Female or Unknown)]]="Unknown",Backend!$C$8,"Error"))),"")</f>
        <v/>
      </c>
      <c r="F4904" s="8" t="str">
        <f>IF(Table1[[#This Row],[Is Data Valid]]=TRUE,EXP(0.578+0.332*((Table1[[#This Row],[Gestation (days)]]+0.5)/7)-0.00354*((Table1[[#This Row],[Gestation (days)]]+0.5)/7)^2)*Table1[[#This Row],[BW40_3705]],"")</f>
        <v/>
      </c>
      <c r="G4904" s="2" t="str">
        <f>IF(Table1[[#This Row],[Is Data Valid]]=TRUE,((Table1[[#This Row],[Birthweight (grams)]]/Table1[[#This Row],[BW_GA]])-1)/(Backend!$B$4/100*Table1[[#This Row],[BW40_3705]]),"")</f>
        <v/>
      </c>
      <c r="H4904" s="7" t="str">
        <f>IF(Table1[[#This Row],[Is Data Valid]]=TRUE,((Table1[[#This Row],[Birthweight (grams)]]*0.9/Table1[[#This Row],[BW_GA]])-1)/(Backend!$B$4/100*Table1[[#This Row],[BW40_3705]]),"")</f>
        <v/>
      </c>
      <c r="I4904" s="7" t="str">
        <f>IF(Table1[[#This Row],[Is Data Valid]]=TRUE,((Table1[[#This Row],[Birthweight (grams)]]*1.1/Table1[[#This Row],[BW_GA]])-1)/(Backend!$B$4/100*Table1[[#This Row],[BW40_3705]]),"")</f>
        <v/>
      </c>
      <c r="J4904" s="7" t="str">
        <f>IF(Table1[[#This Row],[Is Data Valid]]=TRUE,_xlfn.NORM.S.DIST(Table1[[#This Row],[Birthweight Z-Score]],TRUE)*100,"")</f>
        <v/>
      </c>
      <c r="K4904" s="7" t="str">
        <f>IF(Table1[[#This Row],[Is Data Valid]]=TRUE,_xlfn.NORM.S.DIST(Table1[[#This Row],[Birthweight Z-Score (BW-10%)]],TRUE)*100,"")</f>
        <v/>
      </c>
      <c r="L4904" s="7" t="str">
        <f>IF(Table1[[#This Row],[Is Data Valid]]=TRUE,_xlfn.NORM.S.DIST(Table1[[#This Row],[Birthweight Z-Score (BW+10%)]],TRUE)*100,"")</f>
        <v/>
      </c>
    </row>
    <row r="4905" spans="1:12" x14ac:dyDescent="0.35">
      <c r="A4905" s="3"/>
      <c r="B4905" s="2"/>
      <c r="C4905" s="2"/>
      <c r="D4905" s="2" t="b">
        <f>IF(AND(NOT(ISBLANK(Table1[[#This Row],[Fetal Sex (Male, Female or Unknown)]])),ISNUMBER(Table1[[#This Row],[Birthweight (grams)]]),ISNUMBER(Table1[[#This Row],[Gestation (days)]])),TRUE,FALSE)</f>
        <v>0</v>
      </c>
      <c r="E4905" s="2" t="str">
        <f>IF(Table1[[#This Row],[Is Data Valid]]=TRUE,IF(Table1[[#This Row],[Fetal Sex (Male, Female or Unknown)]]="Male",Backend!$C$6,IF(Table1[[#This Row],[Fetal Sex (Male, Female or Unknown)]]="Female",Backend!$C$7,IF(Table1[[#This Row],[Fetal Sex (Male, Female or Unknown)]]="Unknown",Backend!$C$8,"Error"))),"")</f>
        <v/>
      </c>
      <c r="F4905" s="8" t="str">
        <f>IF(Table1[[#This Row],[Is Data Valid]]=TRUE,EXP(0.578+0.332*((Table1[[#This Row],[Gestation (days)]]+0.5)/7)-0.00354*((Table1[[#This Row],[Gestation (days)]]+0.5)/7)^2)*Table1[[#This Row],[BW40_3705]],"")</f>
        <v/>
      </c>
      <c r="G4905" s="2" t="str">
        <f>IF(Table1[[#This Row],[Is Data Valid]]=TRUE,((Table1[[#This Row],[Birthweight (grams)]]/Table1[[#This Row],[BW_GA]])-1)/(Backend!$B$4/100*Table1[[#This Row],[BW40_3705]]),"")</f>
        <v/>
      </c>
      <c r="H4905" s="7" t="str">
        <f>IF(Table1[[#This Row],[Is Data Valid]]=TRUE,((Table1[[#This Row],[Birthweight (grams)]]*0.9/Table1[[#This Row],[BW_GA]])-1)/(Backend!$B$4/100*Table1[[#This Row],[BW40_3705]]),"")</f>
        <v/>
      </c>
      <c r="I4905" s="7" t="str">
        <f>IF(Table1[[#This Row],[Is Data Valid]]=TRUE,((Table1[[#This Row],[Birthweight (grams)]]*1.1/Table1[[#This Row],[BW_GA]])-1)/(Backend!$B$4/100*Table1[[#This Row],[BW40_3705]]),"")</f>
        <v/>
      </c>
      <c r="J4905" s="7" t="str">
        <f>IF(Table1[[#This Row],[Is Data Valid]]=TRUE,_xlfn.NORM.S.DIST(Table1[[#This Row],[Birthweight Z-Score]],TRUE)*100,"")</f>
        <v/>
      </c>
      <c r="K4905" s="7" t="str">
        <f>IF(Table1[[#This Row],[Is Data Valid]]=TRUE,_xlfn.NORM.S.DIST(Table1[[#This Row],[Birthweight Z-Score (BW-10%)]],TRUE)*100,"")</f>
        <v/>
      </c>
      <c r="L4905" s="7" t="str">
        <f>IF(Table1[[#This Row],[Is Data Valid]]=TRUE,_xlfn.NORM.S.DIST(Table1[[#This Row],[Birthweight Z-Score (BW+10%)]],TRUE)*100,"")</f>
        <v/>
      </c>
    </row>
    <row r="4906" spans="1:12" x14ac:dyDescent="0.35">
      <c r="A4906" s="3"/>
      <c r="B4906" s="2"/>
      <c r="C4906" s="2"/>
      <c r="D4906" s="2" t="b">
        <f>IF(AND(NOT(ISBLANK(Table1[[#This Row],[Fetal Sex (Male, Female or Unknown)]])),ISNUMBER(Table1[[#This Row],[Birthweight (grams)]]),ISNUMBER(Table1[[#This Row],[Gestation (days)]])),TRUE,FALSE)</f>
        <v>0</v>
      </c>
      <c r="E4906" s="2" t="str">
        <f>IF(Table1[[#This Row],[Is Data Valid]]=TRUE,IF(Table1[[#This Row],[Fetal Sex (Male, Female or Unknown)]]="Male",Backend!$C$6,IF(Table1[[#This Row],[Fetal Sex (Male, Female or Unknown)]]="Female",Backend!$C$7,IF(Table1[[#This Row],[Fetal Sex (Male, Female or Unknown)]]="Unknown",Backend!$C$8,"Error"))),"")</f>
        <v/>
      </c>
      <c r="F4906" s="8" t="str">
        <f>IF(Table1[[#This Row],[Is Data Valid]]=TRUE,EXP(0.578+0.332*((Table1[[#This Row],[Gestation (days)]]+0.5)/7)-0.00354*((Table1[[#This Row],[Gestation (days)]]+0.5)/7)^2)*Table1[[#This Row],[BW40_3705]],"")</f>
        <v/>
      </c>
      <c r="G4906" s="2" t="str">
        <f>IF(Table1[[#This Row],[Is Data Valid]]=TRUE,((Table1[[#This Row],[Birthweight (grams)]]/Table1[[#This Row],[BW_GA]])-1)/(Backend!$B$4/100*Table1[[#This Row],[BW40_3705]]),"")</f>
        <v/>
      </c>
      <c r="H4906" s="7" t="str">
        <f>IF(Table1[[#This Row],[Is Data Valid]]=TRUE,((Table1[[#This Row],[Birthweight (grams)]]*0.9/Table1[[#This Row],[BW_GA]])-1)/(Backend!$B$4/100*Table1[[#This Row],[BW40_3705]]),"")</f>
        <v/>
      </c>
      <c r="I4906" s="7" t="str">
        <f>IF(Table1[[#This Row],[Is Data Valid]]=TRUE,((Table1[[#This Row],[Birthweight (grams)]]*1.1/Table1[[#This Row],[BW_GA]])-1)/(Backend!$B$4/100*Table1[[#This Row],[BW40_3705]]),"")</f>
        <v/>
      </c>
      <c r="J4906" s="7" t="str">
        <f>IF(Table1[[#This Row],[Is Data Valid]]=TRUE,_xlfn.NORM.S.DIST(Table1[[#This Row],[Birthweight Z-Score]],TRUE)*100,"")</f>
        <v/>
      </c>
      <c r="K4906" s="7" t="str">
        <f>IF(Table1[[#This Row],[Is Data Valid]]=TRUE,_xlfn.NORM.S.DIST(Table1[[#This Row],[Birthweight Z-Score (BW-10%)]],TRUE)*100,"")</f>
        <v/>
      </c>
      <c r="L4906" s="7" t="str">
        <f>IF(Table1[[#This Row],[Is Data Valid]]=TRUE,_xlfn.NORM.S.DIST(Table1[[#This Row],[Birthweight Z-Score (BW+10%)]],TRUE)*100,"")</f>
        <v/>
      </c>
    </row>
    <row r="4907" spans="1:12" x14ac:dyDescent="0.35">
      <c r="A4907" s="3"/>
      <c r="B4907" s="2"/>
      <c r="C4907" s="2"/>
      <c r="D4907" s="2" t="b">
        <f>IF(AND(NOT(ISBLANK(Table1[[#This Row],[Fetal Sex (Male, Female or Unknown)]])),ISNUMBER(Table1[[#This Row],[Birthweight (grams)]]),ISNUMBER(Table1[[#This Row],[Gestation (days)]])),TRUE,FALSE)</f>
        <v>0</v>
      </c>
      <c r="E4907" s="2" t="str">
        <f>IF(Table1[[#This Row],[Is Data Valid]]=TRUE,IF(Table1[[#This Row],[Fetal Sex (Male, Female or Unknown)]]="Male",Backend!$C$6,IF(Table1[[#This Row],[Fetal Sex (Male, Female or Unknown)]]="Female",Backend!$C$7,IF(Table1[[#This Row],[Fetal Sex (Male, Female or Unknown)]]="Unknown",Backend!$C$8,"Error"))),"")</f>
        <v/>
      </c>
      <c r="F4907" s="8" t="str">
        <f>IF(Table1[[#This Row],[Is Data Valid]]=TRUE,EXP(0.578+0.332*((Table1[[#This Row],[Gestation (days)]]+0.5)/7)-0.00354*((Table1[[#This Row],[Gestation (days)]]+0.5)/7)^2)*Table1[[#This Row],[BW40_3705]],"")</f>
        <v/>
      </c>
      <c r="G4907" s="2" t="str">
        <f>IF(Table1[[#This Row],[Is Data Valid]]=TRUE,((Table1[[#This Row],[Birthweight (grams)]]/Table1[[#This Row],[BW_GA]])-1)/(Backend!$B$4/100*Table1[[#This Row],[BW40_3705]]),"")</f>
        <v/>
      </c>
      <c r="H4907" s="7" t="str">
        <f>IF(Table1[[#This Row],[Is Data Valid]]=TRUE,((Table1[[#This Row],[Birthweight (grams)]]*0.9/Table1[[#This Row],[BW_GA]])-1)/(Backend!$B$4/100*Table1[[#This Row],[BW40_3705]]),"")</f>
        <v/>
      </c>
      <c r="I4907" s="7" t="str">
        <f>IF(Table1[[#This Row],[Is Data Valid]]=TRUE,((Table1[[#This Row],[Birthweight (grams)]]*1.1/Table1[[#This Row],[BW_GA]])-1)/(Backend!$B$4/100*Table1[[#This Row],[BW40_3705]]),"")</f>
        <v/>
      </c>
      <c r="J4907" s="7" t="str">
        <f>IF(Table1[[#This Row],[Is Data Valid]]=TRUE,_xlfn.NORM.S.DIST(Table1[[#This Row],[Birthweight Z-Score]],TRUE)*100,"")</f>
        <v/>
      </c>
      <c r="K4907" s="7" t="str">
        <f>IF(Table1[[#This Row],[Is Data Valid]]=TRUE,_xlfn.NORM.S.DIST(Table1[[#This Row],[Birthweight Z-Score (BW-10%)]],TRUE)*100,"")</f>
        <v/>
      </c>
      <c r="L4907" s="7" t="str">
        <f>IF(Table1[[#This Row],[Is Data Valid]]=TRUE,_xlfn.NORM.S.DIST(Table1[[#This Row],[Birthweight Z-Score (BW+10%)]],TRUE)*100,"")</f>
        <v/>
      </c>
    </row>
    <row r="4908" spans="1:12" x14ac:dyDescent="0.35">
      <c r="A4908" s="3"/>
      <c r="B4908" s="2"/>
      <c r="C4908" s="2"/>
      <c r="D4908" s="2" t="b">
        <f>IF(AND(NOT(ISBLANK(Table1[[#This Row],[Fetal Sex (Male, Female or Unknown)]])),ISNUMBER(Table1[[#This Row],[Birthweight (grams)]]),ISNUMBER(Table1[[#This Row],[Gestation (days)]])),TRUE,FALSE)</f>
        <v>0</v>
      </c>
      <c r="E4908" s="2" t="str">
        <f>IF(Table1[[#This Row],[Is Data Valid]]=TRUE,IF(Table1[[#This Row],[Fetal Sex (Male, Female or Unknown)]]="Male",Backend!$C$6,IF(Table1[[#This Row],[Fetal Sex (Male, Female or Unknown)]]="Female",Backend!$C$7,IF(Table1[[#This Row],[Fetal Sex (Male, Female or Unknown)]]="Unknown",Backend!$C$8,"Error"))),"")</f>
        <v/>
      </c>
      <c r="F4908" s="8" t="str">
        <f>IF(Table1[[#This Row],[Is Data Valid]]=TRUE,EXP(0.578+0.332*((Table1[[#This Row],[Gestation (days)]]+0.5)/7)-0.00354*((Table1[[#This Row],[Gestation (days)]]+0.5)/7)^2)*Table1[[#This Row],[BW40_3705]],"")</f>
        <v/>
      </c>
      <c r="G4908" s="2" t="str">
        <f>IF(Table1[[#This Row],[Is Data Valid]]=TRUE,((Table1[[#This Row],[Birthweight (grams)]]/Table1[[#This Row],[BW_GA]])-1)/(Backend!$B$4/100*Table1[[#This Row],[BW40_3705]]),"")</f>
        <v/>
      </c>
      <c r="H4908" s="7" t="str">
        <f>IF(Table1[[#This Row],[Is Data Valid]]=TRUE,((Table1[[#This Row],[Birthweight (grams)]]*0.9/Table1[[#This Row],[BW_GA]])-1)/(Backend!$B$4/100*Table1[[#This Row],[BW40_3705]]),"")</f>
        <v/>
      </c>
      <c r="I4908" s="7" t="str">
        <f>IF(Table1[[#This Row],[Is Data Valid]]=TRUE,((Table1[[#This Row],[Birthweight (grams)]]*1.1/Table1[[#This Row],[BW_GA]])-1)/(Backend!$B$4/100*Table1[[#This Row],[BW40_3705]]),"")</f>
        <v/>
      </c>
      <c r="J4908" s="7" t="str">
        <f>IF(Table1[[#This Row],[Is Data Valid]]=TRUE,_xlfn.NORM.S.DIST(Table1[[#This Row],[Birthweight Z-Score]],TRUE)*100,"")</f>
        <v/>
      </c>
      <c r="K4908" s="7" t="str">
        <f>IF(Table1[[#This Row],[Is Data Valid]]=TRUE,_xlfn.NORM.S.DIST(Table1[[#This Row],[Birthweight Z-Score (BW-10%)]],TRUE)*100,"")</f>
        <v/>
      </c>
      <c r="L4908" s="7" t="str">
        <f>IF(Table1[[#This Row],[Is Data Valid]]=TRUE,_xlfn.NORM.S.DIST(Table1[[#This Row],[Birthweight Z-Score (BW+10%)]],TRUE)*100,"")</f>
        <v/>
      </c>
    </row>
    <row r="4909" spans="1:12" x14ac:dyDescent="0.35">
      <c r="A4909" s="3"/>
      <c r="B4909" s="2"/>
      <c r="C4909" s="2"/>
      <c r="D4909" s="2" t="b">
        <f>IF(AND(NOT(ISBLANK(Table1[[#This Row],[Fetal Sex (Male, Female or Unknown)]])),ISNUMBER(Table1[[#This Row],[Birthweight (grams)]]),ISNUMBER(Table1[[#This Row],[Gestation (days)]])),TRUE,FALSE)</f>
        <v>0</v>
      </c>
      <c r="E4909" s="2" t="str">
        <f>IF(Table1[[#This Row],[Is Data Valid]]=TRUE,IF(Table1[[#This Row],[Fetal Sex (Male, Female or Unknown)]]="Male",Backend!$C$6,IF(Table1[[#This Row],[Fetal Sex (Male, Female or Unknown)]]="Female",Backend!$C$7,IF(Table1[[#This Row],[Fetal Sex (Male, Female or Unknown)]]="Unknown",Backend!$C$8,"Error"))),"")</f>
        <v/>
      </c>
      <c r="F4909" s="8" t="str">
        <f>IF(Table1[[#This Row],[Is Data Valid]]=TRUE,EXP(0.578+0.332*((Table1[[#This Row],[Gestation (days)]]+0.5)/7)-0.00354*((Table1[[#This Row],[Gestation (days)]]+0.5)/7)^2)*Table1[[#This Row],[BW40_3705]],"")</f>
        <v/>
      </c>
      <c r="G4909" s="2" t="str">
        <f>IF(Table1[[#This Row],[Is Data Valid]]=TRUE,((Table1[[#This Row],[Birthweight (grams)]]/Table1[[#This Row],[BW_GA]])-1)/(Backend!$B$4/100*Table1[[#This Row],[BW40_3705]]),"")</f>
        <v/>
      </c>
      <c r="H4909" s="7" t="str">
        <f>IF(Table1[[#This Row],[Is Data Valid]]=TRUE,((Table1[[#This Row],[Birthweight (grams)]]*0.9/Table1[[#This Row],[BW_GA]])-1)/(Backend!$B$4/100*Table1[[#This Row],[BW40_3705]]),"")</f>
        <v/>
      </c>
      <c r="I4909" s="7" t="str">
        <f>IF(Table1[[#This Row],[Is Data Valid]]=TRUE,((Table1[[#This Row],[Birthweight (grams)]]*1.1/Table1[[#This Row],[BW_GA]])-1)/(Backend!$B$4/100*Table1[[#This Row],[BW40_3705]]),"")</f>
        <v/>
      </c>
      <c r="J4909" s="7" t="str">
        <f>IF(Table1[[#This Row],[Is Data Valid]]=TRUE,_xlfn.NORM.S.DIST(Table1[[#This Row],[Birthweight Z-Score]],TRUE)*100,"")</f>
        <v/>
      </c>
      <c r="K4909" s="7" t="str">
        <f>IF(Table1[[#This Row],[Is Data Valid]]=TRUE,_xlfn.NORM.S.DIST(Table1[[#This Row],[Birthweight Z-Score (BW-10%)]],TRUE)*100,"")</f>
        <v/>
      </c>
      <c r="L4909" s="7" t="str">
        <f>IF(Table1[[#This Row],[Is Data Valid]]=TRUE,_xlfn.NORM.S.DIST(Table1[[#This Row],[Birthweight Z-Score (BW+10%)]],TRUE)*100,"")</f>
        <v/>
      </c>
    </row>
    <row r="4910" spans="1:12" x14ac:dyDescent="0.35">
      <c r="A4910" s="3"/>
      <c r="B4910" s="2"/>
      <c r="C4910" s="2"/>
      <c r="D4910" s="2" t="b">
        <f>IF(AND(NOT(ISBLANK(Table1[[#This Row],[Fetal Sex (Male, Female or Unknown)]])),ISNUMBER(Table1[[#This Row],[Birthweight (grams)]]),ISNUMBER(Table1[[#This Row],[Gestation (days)]])),TRUE,FALSE)</f>
        <v>0</v>
      </c>
      <c r="E4910" s="2" t="str">
        <f>IF(Table1[[#This Row],[Is Data Valid]]=TRUE,IF(Table1[[#This Row],[Fetal Sex (Male, Female or Unknown)]]="Male",Backend!$C$6,IF(Table1[[#This Row],[Fetal Sex (Male, Female or Unknown)]]="Female",Backend!$C$7,IF(Table1[[#This Row],[Fetal Sex (Male, Female or Unknown)]]="Unknown",Backend!$C$8,"Error"))),"")</f>
        <v/>
      </c>
      <c r="F4910" s="8" t="str">
        <f>IF(Table1[[#This Row],[Is Data Valid]]=TRUE,EXP(0.578+0.332*((Table1[[#This Row],[Gestation (days)]]+0.5)/7)-0.00354*((Table1[[#This Row],[Gestation (days)]]+0.5)/7)^2)*Table1[[#This Row],[BW40_3705]],"")</f>
        <v/>
      </c>
      <c r="G4910" s="2" t="str">
        <f>IF(Table1[[#This Row],[Is Data Valid]]=TRUE,((Table1[[#This Row],[Birthweight (grams)]]/Table1[[#This Row],[BW_GA]])-1)/(Backend!$B$4/100*Table1[[#This Row],[BW40_3705]]),"")</f>
        <v/>
      </c>
      <c r="H4910" s="7" t="str">
        <f>IF(Table1[[#This Row],[Is Data Valid]]=TRUE,((Table1[[#This Row],[Birthweight (grams)]]*0.9/Table1[[#This Row],[BW_GA]])-1)/(Backend!$B$4/100*Table1[[#This Row],[BW40_3705]]),"")</f>
        <v/>
      </c>
      <c r="I4910" s="7" t="str">
        <f>IF(Table1[[#This Row],[Is Data Valid]]=TRUE,((Table1[[#This Row],[Birthweight (grams)]]*1.1/Table1[[#This Row],[BW_GA]])-1)/(Backend!$B$4/100*Table1[[#This Row],[BW40_3705]]),"")</f>
        <v/>
      </c>
      <c r="J4910" s="7" t="str">
        <f>IF(Table1[[#This Row],[Is Data Valid]]=TRUE,_xlfn.NORM.S.DIST(Table1[[#This Row],[Birthweight Z-Score]],TRUE)*100,"")</f>
        <v/>
      </c>
      <c r="K4910" s="7" t="str">
        <f>IF(Table1[[#This Row],[Is Data Valid]]=TRUE,_xlfn.NORM.S.DIST(Table1[[#This Row],[Birthweight Z-Score (BW-10%)]],TRUE)*100,"")</f>
        <v/>
      </c>
      <c r="L4910" s="7" t="str">
        <f>IF(Table1[[#This Row],[Is Data Valid]]=TRUE,_xlfn.NORM.S.DIST(Table1[[#This Row],[Birthweight Z-Score (BW+10%)]],TRUE)*100,"")</f>
        <v/>
      </c>
    </row>
    <row r="4911" spans="1:12" x14ac:dyDescent="0.35">
      <c r="A4911" s="3"/>
      <c r="B4911" s="2"/>
      <c r="C4911" s="2"/>
      <c r="D4911" s="2" t="b">
        <f>IF(AND(NOT(ISBLANK(Table1[[#This Row],[Fetal Sex (Male, Female or Unknown)]])),ISNUMBER(Table1[[#This Row],[Birthweight (grams)]]),ISNUMBER(Table1[[#This Row],[Gestation (days)]])),TRUE,FALSE)</f>
        <v>0</v>
      </c>
      <c r="E4911" s="2" t="str">
        <f>IF(Table1[[#This Row],[Is Data Valid]]=TRUE,IF(Table1[[#This Row],[Fetal Sex (Male, Female or Unknown)]]="Male",Backend!$C$6,IF(Table1[[#This Row],[Fetal Sex (Male, Female or Unknown)]]="Female",Backend!$C$7,IF(Table1[[#This Row],[Fetal Sex (Male, Female or Unknown)]]="Unknown",Backend!$C$8,"Error"))),"")</f>
        <v/>
      </c>
      <c r="F4911" s="8" t="str">
        <f>IF(Table1[[#This Row],[Is Data Valid]]=TRUE,EXP(0.578+0.332*((Table1[[#This Row],[Gestation (days)]]+0.5)/7)-0.00354*((Table1[[#This Row],[Gestation (days)]]+0.5)/7)^2)*Table1[[#This Row],[BW40_3705]],"")</f>
        <v/>
      </c>
      <c r="G4911" s="2" t="str">
        <f>IF(Table1[[#This Row],[Is Data Valid]]=TRUE,((Table1[[#This Row],[Birthweight (grams)]]/Table1[[#This Row],[BW_GA]])-1)/(Backend!$B$4/100*Table1[[#This Row],[BW40_3705]]),"")</f>
        <v/>
      </c>
      <c r="H4911" s="7" t="str">
        <f>IF(Table1[[#This Row],[Is Data Valid]]=TRUE,((Table1[[#This Row],[Birthweight (grams)]]*0.9/Table1[[#This Row],[BW_GA]])-1)/(Backend!$B$4/100*Table1[[#This Row],[BW40_3705]]),"")</f>
        <v/>
      </c>
      <c r="I4911" s="7" t="str">
        <f>IF(Table1[[#This Row],[Is Data Valid]]=TRUE,((Table1[[#This Row],[Birthweight (grams)]]*1.1/Table1[[#This Row],[BW_GA]])-1)/(Backend!$B$4/100*Table1[[#This Row],[BW40_3705]]),"")</f>
        <v/>
      </c>
      <c r="J4911" s="7" t="str">
        <f>IF(Table1[[#This Row],[Is Data Valid]]=TRUE,_xlfn.NORM.S.DIST(Table1[[#This Row],[Birthweight Z-Score]],TRUE)*100,"")</f>
        <v/>
      </c>
      <c r="K4911" s="7" t="str">
        <f>IF(Table1[[#This Row],[Is Data Valid]]=TRUE,_xlfn.NORM.S.DIST(Table1[[#This Row],[Birthweight Z-Score (BW-10%)]],TRUE)*100,"")</f>
        <v/>
      </c>
      <c r="L4911" s="7" t="str">
        <f>IF(Table1[[#This Row],[Is Data Valid]]=TRUE,_xlfn.NORM.S.DIST(Table1[[#This Row],[Birthweight Z-Score (BW+10%)]],TRUE)*100,"")</f>
        <v/>
      </c>
    </row>
    <row r="4912" spans="1:12" x14ac:dyDescent="0.35">
      <c r="A4912" s="3"/>
      <c r="B4912" s="2"/>
      <c r="C4912" s="2"/>
      <c r="D4912" s="2" t="b">
        <f>IF(AND(NOT(ISBLANK(Table1[[#This Row],[Fetal Sex (Male, Female or Unknown)]])),ISNUMBER(Table1[[#This Row],[Birthweight (grams)]]),ISNUMBER(Table1[[#This Row],[Gestation (days)]])),TRUE,FALSE)</f>
        <v>0</v>
      </c>
      <c r="E4912" s="2" t="str">
        <f>IF(Table1[[#This Row],[Is Data Valid]]=TRUE,IF(Table1[[#This Row],[Fetal Sex (Male, Female or Unknown)]]="Male",Backend!$C$6,IF(Table1[[#This Row],[Fetal Sex (Male, Female or Unknown)]]="Female",Backend!$C$7,IF(Table1[[#This Row],[Fetal Sex (Male, Female or Unknown)]]="Unknown",Backend!$C$8,"Error"))),"")</f>
        <v/>
      </c>
      <c r="F4912" s="8" t="str">
        <f>IF(Table1[[#This Row],[Is Data Valid]]=TRUE,EXP(0.578+0.332*((Table1[[#This Row],[Gestation (days)]]+0.5)/7)-0.00354*((Table1[[#This Row],[Gestation (days)]]+0.5)/7)^2)*Table1[[#This Row],[BW40_3705]],"")</f>
        <v/>
      </c>
      <c r="G4912" s="2" t="str">
        <f>IF(Table1[[#This Row],[Is Data Valid]]=TRUE,((Table1[[#This Row],[Birthweight (grams)]]/Table1[[#This Row],[BW_GA]])-1)/(Backend!$B$4/100*Table1[[#This Row],[BW40_3705]]),"")</f>
        <v/>
      </c>
      <c r="H4912" s="7" t="str">
        <f>IF(Table1[[#This Row],[Is Data Valid]]=TRUE,((Table1[[#This Row],[Birthweight (grams)]]*0.9/Table1[[#This Row],[BW_GA]])-1)/(Backend!$B$4/100*Table1[[#This Row],[BW40_3705]]),"")</f>
        <v/>
      </c>
      <c r="I4912" s="7" t="str">
        <f>IF(Table1[[#This Row],[Is Data Valid]]=TRUE,((Table1[[#This Row],[Birthweight (grams)]]*1.1/Table1[[#This Row],[BW_GA]])-1)/(Backend!$B$4/100*Table1[[#This Row],[BW40_3705]]),"")</f>
        <v/>
      </c>
      <c r="J4912" s="7" t="str">
        <f>IF(Table1[[#This Row],[Is Data Valid]]=TRUE,_xlfn.NORM.S.DIST(Table1[[#This Row],[Birthweight Z-Score]],TRUE)*100,"")</f>
        <v/>
      </c>
      <c r="K4912" s="7" t="str">
        <f>IF(Table1[[#This Row],[Is Data Valid]]=TRUE,_xlfn.NORM.S.DIST(Table1[[#This Row],[Birthweight Z-Score (BW-10%)]],TRUE)*100,"")</f>
        <v/>
      </c>
      <c r="L4912" s="7" t="str">
        <f>IF(Table1[[#This Row],[Is Data Valid]]=TRUE,_xlfn.NORM.S.DIST(Table1[[#This Row],[Birthweight Z-Score (BW+10%)]],TRUE)*100,"")</f>
        <v/>
      </c>
    </row>
    <row r="4913" spans="1:12" x14ac:dyDescent="0.35">
      <c r="A4913" s="3"/>
      <c r="B4913" s="2"/>
      <c r="C4913" s="2"/>
      <c r="D4913" s="2" t="b">
        <f>IF(AND(NOT(ISBLANK(Table1[[#This Row],[Fetal Sex (Male, Female or Unknown)]])),ISNUMBER(Table1[[#This Row],[Birthweight (grams)]]),ISNUMBER(Table1[[#This Row],[Gestation (days)]])),TRUE,FALSE)</f>
        <v>0</v>
      </c>
      <c r="E4913" s="2" t="str">
        <f>IF(Table1[[#This Row],[Is Data Valid]]=TRUE,IF(Table1[[#This Row],[Fetal Sex (Male, Female or Unknown)]]="Male",Backend!$C$6,IF(Table1[[#This Row],[Fetal Sex (Male, Female or Unknown)]]="Female",Backend!$C$7,IF(Table1[[#This Row],[Fetal Sex (Male, Female or Unknown)]]="Unknown",Backend!$C$8,"Error"))),"")</f>
        <v/>
      </c>
      <c r="F4913" s="8" t="str">
        <f>IF(Table1[[#This Row],[Is Data Valid]]=TRUE,EXP(0.578+0.332*((Table1[[#This Row],[Gestation (days)]]+0.5)/7)-0.00354*((Table1[[#This Row],[Gestation (days)]]+0.5)/7)^2)*Table1[[#This Row],[BW40_3705]],"")</f>
        <v/>
      </c>
      <c r="G4913" s="2" t="str">
        <f>IF(Table1[[#This Row],[Is Data Valid]]=TRUE,((Table1[[#This Row],[Birthweight (grams)]]/Table1[[#This Row],[BW_GA]])-1)/(Backend!$B$4/100*Table1[[#This Row],[BW40_3705]]),"")</f>
        <v/>
      </c>
      <c r="H4913" s="7" t="str">
        <f>IF(Table1[[#This Row],[Is Data Valid]]=TRUE,((Table1[[#This Row],[Birthweight (grams)]]*0.9/Table1[[#This Row],[BW_GA]])-1)/(Backend!$B$4/100*Table1[[#This Row],[BW40_3705]]),"")</f>
        <v/>
      </c>
      <c r="I4913" s="7" t="str">
        <f>IF(Table1[[#This Row],[Is Data Valid]]=TRUE,((Table1[[#This Row],[Birthweight (grams)]]*1.1/Table1[[#This Row],[BW_GA]])-1)/(Backend!$B$4/100*Table1[[#This Row],[BW40_3705]]),"")</f>
        <v/>
      </c>
      <c r="J4913" s="7" t="str">
        <f>IF(Table1[[#This Row],[Is Data Valid]]=TRUE,_xlfn.NORM.S.DIST(Table1[[#This Row],[Birthweight Z-Score]],TRUE)*100,"")</f>
        <v/>
      </c>
      <c r="K4913" s="7" t="str">
        <f>IF(Table1[[#This Row],[Is Data Valid]]=TRUE,_xlfn.NORM.S.DIST(Table1[[#This Row],[Birthweight Z-Score (BW-10%)]],TRUE)*100,"")</f>
        <v/>
      </c>
      <c r="L4913" s="7" t="str">
        <f>IF(Table1[[#This Row],[Is Data Valid]]=TRUE,_xlfn.NORM.S.DIST(Table1[[#This Row],[Birthweight Z-Score (BW+10%)]],TRUE)*100,"")</f>
        <v/>
      </c>
    </row>
    <row r="4914" spans="1:12" x14ac:dyDescent="0.35">
      <c r="A4914" s="3"/>
      <c r="B4914" s="2"/>
      <c r="C4914" s="2"/>
      <c r="D4914" s="2" t="b">
        <f>IF(AND(NOT(ISBLANK(Table1[[#This Row],[Fetal Sex (Male, Female or Unknown)]])),ISNUMBER(Table1[[#This Row],[Birthweight (grams)]]),ISNUMBER(Table1[[#This Row],[Gestation (days)]])),TRUE,FALSE)</f>
        <v>0</v>
      </c>
      <c r="E4914" s="2" t="str">
        <f>IF(Table1[[#This Row],[Is Data Valid]]=TRUE,IF(Table1[[#This Row],[Fetal Sex (Male, Female or Unknown)]]="Male",Backend!$C$6,IF(Table1[[#This Row],[Fetal Sex (Male, Female or Unknown)]]="Female",Backend!$C$7,IF(Table1[[#This Row],[Fetal Sex (Male, Female or Unknown)]]="Unknown",Backend!$C$8,"Error"))),"")</f>
        <v/>
      </c>
      <c r="F4914" s="8" t="str">
        <f>IF(Table1[[#This Row],[Is Data Valid]]=TRUE,EXP(0.578+0.332*((Table1[[#This Row],[Gestation (days)]]+0.5)/7)-0.00354*((Table1[[#This Row],[Gestation (days)]]+0.5)/7)^2)*Table1[[#This Row],[BW40_3705]],"")</f>
        <v/>
      </c>
      <c r="G4914" s="2" t="str">
        <f>IF(Table1[[#This Row],[Is Data Valid]]=TRUE,((Table1[[#This Row],[Birthweight (grams)]]/Table1[[#This Row],[BW_GA]])-1)/(Backend!$B$4/100*Table1[[#This Row],[BW40_3705]]),"")</f>
        <v/>
      </c>
      <c r="H4914" s="7" t="str">
        <f>IF(Table1[[#This Row],[Is Data Valid]]=TRUE,((Table1[[#This Row],[Birthweight (grams)]]*0.9/Table1[[#This Row],[BW_GA]])-1)/(Backend!$B$4/100*Table1[[#This Row],[BW40_3705]]),"")</f>
        <v/>
      </c>
      <c r="I4914" s="7" t="str">
        <f>IF(Table1[[#This Row],[Is Data Valid]]=TRUE,((Table1[[#This Row],[Birthweight (grams)]]*1.1/Table1[[#This Row],[BW_GA]])-1)/(Backend!$B$4/100*Table1[[#This Row],[BW40_3705]]),"")</f>
        <v/>
      </c>
      <c r="J4914" s="7" t="str">
        <f>IF(Table1[[#This Row],[Is Data Valid]]=TRUE,_xlfn.NORM.S.DIST(Table1[[#This Row],[Birthweight Z-Score]],TRUE)*100,"")</f>
        <v/>
      </c>
      <c r="K4914" s="7" t="str">
        <f>IF(Table1[[#This Row],[Is Data Valid]]=TRUE,_xlfn.NORM.S.DIST(Table1[[#This Row],[Birthweight Z-Score (BW-10%)]],TRUE)*100,"")</f>
        <v/>
      </c>
      <c r="L4914" s="7" t="str">
        <f>IF(Table1[[#This Row],[Is Data Valid]]=TRUE,_xlfn.NORM.S.DIST(Table1[[#This Row],[Birthweight Z-Score (BW+10%)]],TRUE)*100,"")</f>
        <v/>
      </c>
    </row>
    <row r="4915" spans="1:12" x14ac:dyDescent="0.35">
      <c r="A4915" s="3"/>
      <c r="B4915" s="2"/>
      <c r="C4915" s="2"/>
      <c r="D4915" s="2" t="b">
        <f>IF(AND(NOT(ISBLANK(Table1[[#This Row],[Fetal Sex (Male, Female or Unknown)]])),ISNUMBER(Table1[[#This Row],[Birthweight (grams)]]),ISNUMBER(Table1[[#This Row],[Gestation (days)]])),TRUE,FALSE)</f>
        <v>0</v>
      </c>
      <c r="E4915" s="2" t="str">
        <f>IF(Table1[[#This Row],[Is Data Valid]]=TRUE,IF(Table1[[#This Row],[Fetal Sex (Male, Female or Unknown)]]="Male",Backend!$C$6,IF(Table1[[#This Row],[Fetal Sex (Male, Female or Unknown)]]="Female",Backend!$C$7,IF(Table1[[#This Row],[Fetal Sex (Male, Female or Unknown)]]="Unknown",Backend!$C$8,"Error"))),"")</f>
        <v/>
      </c>
      <c r="F4915" s="8" t="str">
        <f>IF(Table1[[#This Row],[Is Data Valid]]=TRUE,EXP(0.578+0.332*((Table1[[#This Row],[Gestation (days)]]+0.5)/7)-0.00354*((Table1[[#This Row],[Gestation (days)]]+0.5)/7)^2)*Table1[[#This Row],[BW40_3705]],"")</f>
        <v/>
      </c>
      <c r="G4915" s="2" t="str">
        <f>IF(Table1[[#This Row],[Is Data Valid]]=TRUE,((Table1[[#This Row],[Birthweight (grams)]]/Table1[[#This Row],[BW_GA]])-1)/(Backend!$B$4/100*Table1[[#This Row],[BW40_3705]]),"")</f>
        <v/>
      </c>
      <c r="H4915" s="7" t="str">
        <f>IF(Table1[[#This Row],[Is Data Valid]]=TRUE,((Table1[[#This Row],[Birthweight (grams)]]*0.9/Table1[[#This Row],[BW_GA]])-1)/(Backend!$B$4/100*Table1[[#This Row],[BW40_3705]]),"")</f>
        <v/>
      </c>
      <c r="I4915" s="7" t="str">
        <f>IF(Table1[[#This Row],[Is Data Valid]]=TRUE,((Table1[[#This Row],[Birthweight (grams)]]*1.1/Table1[[#This Row],[BW_GA]])-1)/(Backend!$B$4/100*Table1[[#This Row],[BW40_3705]]),"")</f>
        <v/>
      </c>
      <c r="J4915" s="7" t="str">
        <f>IF(Table1[[#This Row],[Is Data Valid]]=TRUE,_xlfn.NORM.S.DIST(Table1[[#This Row],[Birthweight Z-Score]],TRUE)*100,"")</f>
        <v/>
      </c>
      <c r="K4915" s="7" t="str">
        <f>IF(Table1[[#This Row],[Is Data Valid]]=TRUE,_xlfn.NORM.S.DIST(Table1[[#This Row],[Birthweight Z-Score (BW-10%)]],TRUE)*100,"")</f>
        <v/>
      </c>
      <c r="L4915" s="7" t="str">
        <f>IF(Table1[[#This Row],[Is Data Valid]]=TRUE,_xlfn.NORM.S.DIST(Table1[[#This Row],[Birthweight Z-Score (BW+10%)]],TRUE)*100,"")</f>
        <v/>
      </c>
    </row>
    <row r="4916" spans="1:12" x14ac:dyDescent="0.35">
      <c r="A4916" s="3"/>
      <c r="B4916" s="2"/>
      <c r="C4916" s="2"/>
      <c r="D4916" s="2" t="b">
        <f>IF(AND(NOT(ISBLANK(Table1[[#This Row],[Fetal Sex (Male, Female or Unknown)]])),ISNUMBER(Table1[[#This Row],[Birthweight (grams)]]),ISNUMBER(Table1[[#This Row],[Gestation (days)]])),TRUE,FALSE)</f>
        <v>0</v>
      </c>
      <c r="E4916" s="2" t="str">
        <f>IF(Table1[[#This Row],[Is Data Valid]]=TRUE,IF(Table1[[#This Row],[Fetal Sex (Male, Female or Unknown)]]="Male",Backend!$C$6,IF(Table1[[#This Row],[Fetal Sex (Male, Female or Unknown)]]="Female",Backend!$C$7,IF(Table1[[#This Row],[Fetal Sex (Male, Female or Unknown)]]="Unknown",Backend!$C$8,"Error"))),"")</f>
        <v/>
      </c>
      <c r="F4916" s="8" t="str">
        <f>IF(Table1[[#This Row],[Is Data Valid]]=TRUE,EXP(0.578+0.332*((Table1[[#This Row],[Gestation (days)]]+0.5)/7)-0.00354*((Table1[[#This Row],[Gestation (days)]]+0.5)/7)^2)*Table1[[#This Row],[BW40_3705]],"")</f>
        <v/>
      </c>
      <c r="G4916" s="2" t="str">
        <f>IF(Table1[[#This Row],[Is Data Valid]]=TRUE,((Table1[[#This Row],[Birthweight (grams)]]/Table1[[#This Row],[BW_GA]])-1)/(Backend!$B$4/100*Table1[[#This Row],[BW40_3705]]),"")</f>
        <v/>
      </c>
      <c r="H4916" s="7" t="str">
        <f>IF(Table1[[#This Row],[Is Data Valid]]=TRUE,((Table1[[#This Row],[Birthweight (grams)]]*0.9/Table1[[#This Row],[BW_GA]])-1)/(Backend!$B$4/100*Table1[[#This Row],[BW40_3705]]),"")</f>
        <v/>
      </c>
      <c r="I4916" s="7" t="str">
        <f>IF(Table1[[#This Row],[Is Data Valid]]=TRUE,((Table1[[#This Row],[Birthweight (grams)]]*1.1/Table1[[#This Row],[BW_GA]])-1)/(Backend!$B$4/100*Table1[[#This Row],[BW40_3705]]),"")</f>
        <v/>
      </c>
      <c r="J4916" s="7" t="str">
        <f>IF(Table1[[#This Row],[Is Data Valid]]=TRUE,_xlfn.NORM.S.DIST(Table1[[#This Row],[Birthweight Z-Score]],TRUE)*100,"")</f>
        <v/>
      </c>
      <c r="K4916" s="7" t="str">
        <f>IF(Table1[[#This Row],[Is Data Valid]]=TRUE,_xlfn.NORM.S.DIST(Table1[[#This Row],[Birthweight Z-Score (BW-10%)]],TRUE)*100,"")</f>
        <v/>
      </c>
      <c r="L4916" s="7" t="str">
        <f>IF(Table1[[#This Row],[Is Data Valid]]=TRUE,_xlfn.NORM.S.DIST(Table1[[#This Row],[Birthweight Z-Score (BW+10%)]],TRUE)*100,"")</f>
        <v/>
      </c>
    </row>
    <row r="4917" spans="1:12" x14ac:dyDescent="0.35">
      <c r="A4917" s="3"/>
      <c r="B4917" s="2"/>
      <c r="C4917" s="2"/>
      <c r="D4917" s="2" t="b">
        <f>IF(AND(NOT(ISBLANK(Table1[[#This Row],[Fetal Sex (Male, Female or Unknown)]])),ISNUMBER(Table1[[#This Row],[Birthweight (grams)]]),ISNUMBER(Table1[[#This Row],[Gestation (days)]])),TRUE,FALSE)</f>
        <v>0</v>
      </c>
      <c r="E4917" s="2" t="str">
        <f>IF(Table1[[#This Row],[Is Data Valid]]=TRUE,IF(Table1[[#This Row],[Fetal Sex (Male, Female or Unknown)]]="Male",Backend!$C$6,IF(Table1[[#This Row],[Fetal Sex (Male, Female or Unknown)]]="Female",Backend!$C$7,IF(Table1[[#This Row],[Fetal Sex (Male, Female or Unknown)]]="Unknown",Backend!$C$8,"Error"))),"")</f>
        <v/>
      </c>
      <c r="F4917" s="8" t="str">
        <f>IF(Table1[[#This Row],[Is Data Valid]]=TRUE,EXP(0.578+0.332*((Table1[[#This Row],[Gestation (days)]]+0.5)/7)-0.00354*((Table1[[#This Row],[Gestation (days)]]+0.5)/7)^2)*Table1[[#This Row],[BW40_3705]],"")</f>
        <v/>
      </c>
      <c r="G4917" s="2" t="str">
        <f>IF(Table1[[#This Row],[Is Data Valid]]=TRUE,((Table1[[#This Row],[Birthweight (grams)]]/Table1[[#This Row],[BW_GA]])-1)/(Backend!$B$4/100*Table1[[#This Row],[BW40_3705]]),"")</f>
        <v/>
      </c>
      <c r="H4917" s="7" t="str">
        <f>IF(Table1[[#This Row],[Is Data Valid]]=TRUE,((Table1[[#This Row],[Birthweight (grams)]]*0.9/Table1[[#This Row],[BW_GA]])-1)/(Backend!$B$4/100*Table1[[#This Row],[BW40_3705]]),"")</f>
        <v/>
      </c>
      <c r="I4917" s="7" t="str">
        <f>IF(Table1[[#This Row],[Is Data Valid]]=TRUE,((Table1[[#This Row],[Birthweight (grams)]]*1.1/Table1[[#This Row],[BW_GA]])-1)/(Backend!$B$4/100*Table1[[#This Row],[BW40_3705]]),"")</f>
        <v/>
      </c>
      <c r="J4917" s="7" t="str">
        <f>IF(Table1[[#This Row],[Is Data Valid]]=TRUE,_xlfn.NORM.S.DIST(Table1[[#This Row],[Birthweight Z-Score]],TRUE)*100,"")</f>
        <v/>
      </c>
      <c r="K4917" s="7" t="str">
        <f>IF(Table1[[#This Row],[Is Data Valid]]=TRUE,_xlfn.NORM.S.DIST(Table1[[#This Row],[Birthweight Z-Score (BW-10%)]],TRUE)*100,"")</f>
        <v/>
      </c>
      <c r="L4917" s="7" t="str">
        <f>IF(Table1[[#This Row],[Is Data Valid]]=TRUE,_xlfn.NORM.S.DIST(Table1[[#This Row],[Birthweight Z-Score (BW+10%)]],TRUE)*100,"")</f>
        <v/>
      </c>
    </row>
    <row r="4918" spans="1:12" x14ac:dyDescent="0.35">
      <c r="A4918" s="3"/>
      <c r="B4918" s="2"/>
      <c r="C4918" s="2"/>
      <c r="D4918" s="2" t="b">
        <f>IF(AND(NOT(ISBLANK(Table1[[#This Row],[Fetal Sex (Male, Female or Unknown)]])),ISNUMBER(Table1[[#This Row],[Birthweight (grams)]]),ISNUMBER(Table1[[#This Row],[Gestation (days)]])),TRUE,FALSE)</f>
        <v>0</v>
      </c>
      <c r="E4918" s="2" t="str">
        <f>IF(Table1[[#This Row],[Is Data Valid]]=TRUE,IF(Table1[[#This Row],[Fetal Sex (Male, Female or Unknown)]]="Male",Backend!$C$6,IF(Table1[[#This Row],[Fetal Sex (Male, Female or Unknown)]]="Female",Backend!$C$7,IF(Table1[[#This Row],[Fetal Sex (Male, Female or Unknown)]]="Unknown",Backend!$C$8,"Error"))),"")</f>
        <v/>
      </c>
      <c r="F4918" s="8" t="str">
        <f>IF(Table1[[#This Row],[Is Data Valid]]=TRUE,EXP(0.578+0.332*((Table1[[#This Row],[Gestation (days)]]+0.5)/7)-0.00354*((Table1[[#This Row],[Gestation (days)]]+0.5)/7)^2)*Table1[[#This Row],[BW40_3705]],"")</f>
        <v/>
      </c>
      <c r="G4918" s="2" t="str">
        <f>IF(Table1[[#This Row],[Is Data Valid]]=TRUE,((Table1[[#This Row],[Birthweight (grams)]]/Table1[[#This Row],[BW_GA]])-1)/(Backend!$B$4/100*Table1[[#This Row],[BW40_3705]]),"")</f>
        <v/>
      </c>
      <c r="H4918" s="7" t="str">
        <f>IF(Table1[[#This Row],[Is Data Valid]]=TRUE,((Table1[[#This Row],[Birthweight (grams)]]*0.9/Table1[[#This Row],[BW_GA]])-1)/(Backend!$B$4/100*Table1[[#This Row],[BW40_3705]]),"")</f>
        <v/>
      </c>
      <c r="I4918" s="7" t="str">
        <f>IF(Table1[[#This Row],[Is Data Valid]]=TRUE,((Table1[[#This Row],[Birthweight (grams)]]*1.1/Table1[[#This Row],[BW_GA]])-1)/(Backend!$B$4/100*Table1[[#This Row],[BW40_3705]]),"")</f>
        <v/>
      </c>
      <c r="J4918" s="7" t="str">
        <f>IF(Table1[[#This Row],[Is Data Valid]]=TRUE,_xlfn.NORM.S.DIST(Table1[[#This Row],[Birthweight Z-Score]],TRUE)*100,"")</f>
        <v/>
      </c>
      <c r="K4918" s="7" t="str">
        <f>IF(Table1[[#This Row],[Is Data Valid]]=TRUE,_xlfn.NORM.S.DIST(Table1[[#This Row],[Birthweight Z-Score (BW-10%)]],TRUE)*100,"")</f>
        <v/>
      </c>
      <c r="L4918" s="7" t="str">
        <f>IF(Table1[[#This Row],[Is Data Valid]]=TRUE,_xlfn.NORM.S.DIST(Table1[[#This Row],[Birthweight Z-Score (BW+10%)]],TRUE)*100,"")</f>
        <v/>
      </c>
    </row>
    <row r="4919" spans="1:12" x14ac:dyDescent="0.35">
      <c r="A4919" s="3"/>
      <c r="B4919" s="2"/>
      <c r="C4919" s="2"/>
      <c r="D4919" s="2" t="b">
        <f>IF(AND(NOT(ISBLANK(Table1[[#This Row],[Fetal Sex (Male, Female or Unknown)]])),ISNUMBER(Table1[[#This Row],[Birthweight (grams)]]),ISNUMBER(Table1[[#This Row],[Gestation (days)]])),TRUE,FALSE)</f>
        <v>0</v>
      </c>
      <c r="E4919" s="2" t="str">
        <f>IF(Table1[[#This Row],[Is Data Valid]]=TRUE,IF(Table1[[#This Row],[Fetal Sex (Male, Female or Unknown)]]="Male",Backend!$C$6,IF(Table1[[#This Row],[Fetal Sex (Male, Female or Unknown)]]="Female",Backend!$C$7,IF(Table1[[#This Row],[Fetal Sex (Male, Female or Unknown)]]="Unknown",Backend!$C$8,"Error"))),"")</f>
        <v/>
      </c>
      <c r="F4919" s="8" t="str">
        <f>IF(Table1[[#This Row],[Is Data Valid]]=TRUE,EXP(0.578+0.332*((Table1[[#This Row],[Gestation (days)]]+0.5)/7)-0.00354*((Table1[[#This Row],[Gestation (days)]]+0.5)/7)^2)*Table1[[#This Row],[BW40_3705]],"")</f>
        <v/>
      </c>
      <c r="G4919" s="2" t="str">
        <f>IF(Table1[[#This Row],[Is Data Valid]]=TRUE,((Table1[[#This Row],[Birthweight (grams)]]/Table1[[#This Row],[BW_GA]])-1)/(Backend!$B$4/100*Table1[[#This Row],[BW40_3705]]),"")</f>
        <v/>
      </c>
      <c r="H4919" s="7" t="str">
        <f>IF(Table1[[#This Row],[Is Data Valid]]=TRUE,((Table1[[#This Row],[Birthweight (grams)]]*0.9/Table1[[#This Row],[BW_GA]])-1)/(Backend!$B$4/100*Table1[[#This Row],[BW40_3705]]),"")</f>
        <v/>
      </c>
      <c r="I4919" s="7" t="str">
        <f>IF(Table1[[#This Row],[Is Data Valid]]=TRUE,((Table1[[#This Row],[Birthweight (grams)]]*1.1/Table1[[#This Row],[BW_GA]])-1)/(Backend!$B$4/100*Table1[[#This Row],[BW40_3705]]),"")</f>
        <v/>
      </c>
      <c r="J4919" s="7" t="str">
        <f>IF(Table1[[#This Row],[Is Data Valid]]=TRUE,_xlfn.NORM.S.DIST(Table1[[#This Row],[Birthweight Z-Score]],TRUE)*100,"")</f>
        <v/>
      </c>
      <c r="K4919" s="7" t="str">
        <f>IF(Table1[[#This Row],[Is Data Valid]]=TRUE,_xlfn.NORM.S.DIST(Table1[[#This Row],[Birthweight Z-Score (BW-10%)]],TRUE)*100,"")</f>
        <v/>
      </c>
      <c r="L4919" s="7" t="str">
        <f>IF(Table1[[#This Row],[Is Data Valid]]=TRUE,_xlfn.NORM.S.DIST(Table1[[#This Row],[Birthweight Z-Score (BW+10%)]],TRUE)*100,"")</f>
        <v/>
      </c>
    </row>
    <row r="4920" spans="1:12" x14ac:dyDescent="0.35">
      <c r="A4920" s="3"/>
      <c r="B4920" s="2"/>
      <c r="C4920" s="2"/>
      <c r="D4920" s="2" t="b">
        <f>IF(AND(NOT(ISBLANK(Table1[[#This Row],[Fetal Sex (Male, Female or Unknown)]])),ISNUMBER(Table1[[#This Row],[Birthweight (grams)]]),ISNUMBER(Table1[[#This Row],[Gestation (days)]])),TRUE,FALSE)</f>
        <v>0</v>
      </c>
      <c r="E4920" s="2" t="str">
        <f>IF(Table1[[#This Row],[Is Data Valid]]=TRUE,IF(Table1[[#This Row],[Fetal Sex (Male, Female or Unknown)]]="Male",Backend!$C$6,IF(Table1[[#This Row],[Fetal Sex (Male, Female or Unknown)]]="Female",Backend!$C$7,IF(Table1[[#This Row],[Fetal Sex (Male, Female or Unknown)]]="Unknown",Backend!$C$8,"Error"))),"")</f>
        <v/>
      </c>
      <c r="F4920" s="8" t="str">
        <f>IF(Table1[[#This Row],[Is Data Valid]]=TRUE,EXP(0.578+0.332*((Table1[[#This Row],[Gestation (days)]]+0.5)/7)-0.00354*((Table1[[#This Row],[Gestation (days)]]+0.5)/7)^2)*Table1[[#This Row],[BW40_3705]],"")</f>
        <v/>
      </c>
      <c r="G4920" s="2" t="str">
        <f>IF(Table1[[#This Row],[Is Data Valid]]=TRUE,((Table1[[#This Row],[Birthweight (grams)]]/Table1[[#This Row],[BW_GA]])-1)/(Backend!$B$4/100*Table1[[#This Row],[BW40_3705]]),"")</f>
        <v/>
      </c>
      <c r="H4920" s="7" t="str">
        <f>IF(Table1[[#This Row],[Is Data Valid]]=TRUE,((Table1[[#This Row],[Birthweight (grams)]]*0.9/Table1[[#This Row],[BW_GA]])-1)/(Backend!$B$4/100*Table1[[#This Row],[BW40_3705]]),"")</f>
        <v/>
      </c>
      <c r="I4920" s="7" t="str">
        <f>IF(Table1[[#This Row],[Is Data Valid]]=TRUE,((Table1[[#This Row],[Birthweight (grams)]]*1.1/Table1[[#This Row],[BW_GA]])-1)/(Backend!$B$4/100*Table1[[#This Row],[BW40_3705]]),"")</f>
        <v/>
      </c>
      <c r="J4920" s="7" t="str">
        <f>IF(Table1[[#This Row],[Is Data Valid]]=TRUE,_xlfn.NORM.S.DIST(Table1[[#This Row],[Birthweight Z-Score]],TRUE)*100,"")</f>
        <v/>
      </c>
      <c r="K4920" s="7" t="str">
        <f>IF(Table1[[#This Row],[Is Data Valid]]=TRUE,_xlfn.NORM.S.DIST(Table1[[#This Row],[Birthweight Z-Score (BW-10%)]],TRUE)*100,"")</f>
        <v/>
      </c>
      <c r="L4920" s="7" t="str">
        <f>IF(Table1[[#This Row],[Is Data Valid]]=TRUE,_xlfn.NORM.S.DIST(Table1[[#This Row],[Birthweight Z-Score (BW+10%)]],TRUE)*100,"")</f>
        <v/>
      </c>
    </row>
    <row r="4921" spans="1:12" x14ac:dyDescent="0.35">
      <c r="A4921" s="3"/>
      <c r="B4921" s="2"/>
      <c r="C4921" s="2"/>
      <c r="D4921" s="2" t="b">
        <f>IF(AND(NOT(ISBLANK(Table1[[#This Row],[Fetal Sex (Male, Female or Unknown)]])),ISNUMBER(Table1[[#This Row],[Birthweight (grams)]]),ISNUMBER(Table1[[#This Row],[Gestation (days)]])),TRUE,FALSE)</f>
        <v>0</v>
      </c>
      <c r="E4921" s="2" t="str">
        <f>IF(Table1[[#This Row],[Is Data Valid]]=TRUE,IF(Table1[[#This Row],[Fetal Sex (Male, Female or Unknown)]]="Male",Backend!$C$6,IF(Table1[[#This Row],[Fetal Sex (Male, Female or Unknown)]]="Female",Backend!$C$7,IF(Table1[[#This Row],[Fetal Sex (Male, Female or Unknown)]]="Unknown",Backend!$C$8,"Error"))),"")</f>
        <v/>
      </c>
      <c r="F4921" s="8" t="str">
        <f>IF(Table1[[#This Row],[Is Data Valid]]=TRUE,EXP(0.578+0.332*((Table1[[#This Row],[Gestation (days)]]+0.5)/7)-0.00354*((Table1[[#This Row],[Gestation (days)]]+0.5)/7)^2)*Table1[[#This Row],[BW40_3705]],"")</f>
        <v/>
      </c>
      <c r="G4921" s="2" t="str">
        <f>IF(Table1[[#This Row],[Is Data Valid]]=TRUE,((Table1[[#This Row],[Birthweight (grams)]]/Table1[[#This Row],[BW_GA]])-1)/(Backend!$B$4/100*Table1[[#This Row],[BW40_3705]]),"")</f>
        <v/>
      </c>
      <c r="H4921" s="7" t="str">
        <f>IF(Table1[[#This Row],[Is Data Valid]]=TRUE,((Table1[[#This Row],[Birthweight (grams)]]*0.9/Table1[[#This Row],[BW_GA]])-1)/(Backend!$B$4/100*Table1[[#This Row],[BW40_3705]]),"")</f>
        <v/>
      </c>
      <c r="I4921" s="7" t="str">
        <f>IF(Table1[[#This Row],[Is Data Valid]]=TRUE,((Table1[[#This Row],[Birthweight (grams)]]*1.1/Table1[[#This Row],[BW_GA]])-1)/(Backend!$B$4/100*Table1[[#This Row],[BW40_3705]]),"")</f>
        <v/>
      </c>
      <c r="J4921" s="7" t="str">
        <f>IF(Table1[[#This Row],[Is Data Valid]]=TRUE,_xlfn.NORM.S.DIST(Table1[[#This Row],[Birthweight Z-Score]],TRUE)*100,"")</f>
        <v/>
      </c>
      <c r="K4921" s="7" t="str">
        <f>IF(Table1[[#This Row],[Is Data Valid]]=TRUE,_xlfn.NORM.S.DIST(Table1[[#This Row],[Birthweight Z-Score (BW-10%)]],TRUE)*100,"")</f>
        <v/>
      </c>
      <c r="L4921" s="7" t="str">
        <f>IF(Table1[[#This Row],[Is Data Valid]]=TRUE,_xlfn.NORM.S.DIST(Table1[[#This Row],[Birthweight Z-Score (BW+10%)]],TRUE)*100,"")</f>
        <v/>
      </c>
    </row>
    <row r="4922" spans="1:12" x14ac:dyDescent="0.35">
      <c r="A4922" s="3"/>
      <c r="B4922" s="2"/>
      <c r="C4922" s="2"/>
      <c r="D4922" s="2" t="b">
        <f>IF(AND(NOT(ISBLANK(Table1[[#This Row],[Fetal Sex (Male, Female or Unknown)]])),ISNUMBER(Table1[[#This Row],[Birthweight (grams)]]),ISNUMBER(Table1[[#This Row],[Gestation (days)]])),TRUE,FALSE)</f>
        <v>0</v>
      </c>
      <c r="E4922" s="2" t="str">
        <f>IF(Table1[[#This Row],[Is Data Valid]]=TRUE,IF(Table1[[#This Row],[Fetal Sex (Male, Female or Unknown)]]="Male",Backend!$C$6,IF(Table1[[#This Row],[Fetal Sex (Male, Female or Unknown)]]="Female",Backend!$C$7,IF(Table1[[#This Row],[Fetal Sex (Male, Female or Unknown)]]="Unknown",Backend!$C$8,"Error"))),"")</f>
        <v/>
      </c>
      <c r="F4922" s="8" t="str">
        <f>IF(Table1[[#This Row],[Is Data Valid]]=TRUE,EXP(0.578+0.332*((Table1[[#This Row],[Gestation (days)]]+0.5)/7)-0.00354*((Table1[[#This Row],[Gestation (days)]]+0.5)/7)^2)*Table1[[#This Row],[BW40_3705]],"")</f>
        <v/>
      </c>
      <c r="G4922" s="2" t="str">
        <f>IF(Table1[[#This Row],[Is Data Valid]]=TRUE,((Table1[[#This Row],[Birthweight (grams)]]/Table1[[#This Row],[BW_GA]])-1)/(Backend!$B$4/100*Table1[[#This Row],[BW40_3705]]),"")</f>
        <v/>
      </c>
      <c r="H4922" s="7" t="str">
        <f>IF(Table1[[#This Row],[Is Data Valid]]=TRUE,((Table1[[#This Row],[Birthweight (grams)]]*0.9/Table1[[#This Row],[BW_GA]])-1)/(Backend!$B$4/100*Table1[[#This Row],[BW40_3705]]),"")</f>
        <v/>
      </c>
      <c r="I4922" s="7" t="str">
        <f>IF(Table1[[#This Row],[Is Data Valid]]=TRUE,((Table1[[#This Row],[Birthweight (grams)]]*1.1/Table1[[#This Row],[BW_GA]])-1)/(Backend!$B$4/100*Table1[[#This Row],[BW40_3705]]),"")</f>
        <v/>
      </c>
      <c r="J4922" s="7" t="str">
        <f>IF(Table1[[#This Row],[Is Data Valid]]=TRUE,_xlfn.NORM.S.DIST(Table1[[#This Row],[Birthweight Z-Score]],TRUE)*100,"")</f>
        <v/>
      </c>
      <c r="K4922" s="7" t="str">
        <f>IF(Table1[[#This Row],[Is Data Valid]]=TRUE,_xlfn.NORM.S.DIST(Table1[[#This Row],[Birthweight Z-Score (BW-10%)]],TRUE)*100,"")</f>
        <v/>
      </c>
      <c r="L4922" s="7" t="str">
        <f>IF(Table1[[#This Row],[Is Data Valid]]=TRUE,_xlfn.NORM.S.DIST(Table1[[#This Row],[Birthweight Z-Score (BW+10%)]],TRUE)*100,"")</f>
        <v/>
      </c>
    </row>
    <row r="4923" spans="1:12" x14ac:dyDescent="0.35">
      <c r="A4923" s="3"/>
      <c r="B4923" s="2"/>
      <c r="C4923" s="2"/>
      <c r="D4923" s="2" t="b">
        <f>IF(AND(NOT(ISBLANK(Table1[[#This Row],[Fetal Sex (Male, Female or Unknown)]])),ISNUMBER(Table1[[#This Row],[Birthweight (grams)]]),ISNUMBER(Table1[[#This Row],[Gestation (days)]])),TRUE,FALSE)</f>
        <v>0</v>
      </c>
      <c r="E4923" s="2" t="str">
        <f>IF(Table1[[#This Row],[Is Data Valid]]=TRUE,IF(Table1[[#This Row],[Fetal Sex (Male, Female or Unknown)]]="Male",Backend!$C$6,IF(Table1[[#This Row],[Fetal Sex (Male, Female or Unknown)]]="Female",Backend!$C$7,IF(Table1[[#This Row],[Fetal Sex (Male, Female or Unknown)]]="Unknown",Backend!$C$8,"Error"))),"")</f>
        <v/>
      </c>
      <c r="F4923" s="8" t="str">
        <f>IF(Table1[[#This Row],[Is Data Valid]]=TRUE,EXP(0.578+0.332*((Table1[[#This Row],[Gestation (days)]]+0.5)/7)-0.00354*((Table1[[#This Row],[Gestation (days)]]+0.5)/7)^2)*Table1[[#This Row],[BW40_3705]],"")</f>
        <v/>
      </c>
      <c r="G4923" s="2" t="str">
        <f>IF(Table1[[#This Row],[Is Data Valid]]=TRUE,((Table1[[#This Row],[Birthweight (grams)]]/Table1[[#This Row],[BW_GA]])-1)/(Backend!$B$4/100*Table1[[#This Row],[BW40_3705]]),"")</f>
        <v/>
      </c>
      <c r="H4923" s="7" t="str">
        <f>IF(Table1[[#This Row],[Is Data Valid]]=TRUE,((Table1[[#This Row],[Birthweight (grams)]]*0.9/Table1[[#This Row],[BW_GA]])-1)/(Backend!$B$4/100*Table1[[#This Row],[BW40_3705]]),"")</f>
        <v/>
      </c>
      <c r="I4923" s="7" t="str">
        <f>IF(Table1[[#This Row],[Is Data Valid]]=TRUE,((Table1[[#This Row],[Birthweight (grams)]]*1.1/Table1[[#This Row],[BW_GA]])-1)/(Backend!$B$4/100*Table1[[#This Row],[BW40_3705]]),"")</f>
        <v/>
      </c>
      <c r="J4923" s="7" t="str">
        <f>IF(Table1[[#This Row],[Is Data Valid]]=TRUE,_xlfn.NORM.S.DIST(Table1[[#This Row],[Birthweight Z-Score]],TRUE)*100,"")</f>
        <v/>
      </c>
      <c r="K4923" s="7" t="str">
        <f>IF(Table1[[#This Row],[Is Data Valid]]=TRUE,_xlfn.NORM.S.DIST(Table1[[#This Row],[Birthweight Z-Score (BW-10%)]],TRUE)*100,"")</f>
        <v/>
      </c>
      <c r="L4923" s="7" t="str">
        <f>IF(Table1[[#This Row],[Is Data Valid]]=TRUE,_xlfn.NORM.S.DIST(Table1[[#This Row],[Birthweight Z-Score (BW+10%)]],TRUE)*100,"")</f>
        <v/>
      </c>
    </row>
    <row r="4924" spans="1:12" x14ac:dyDescent="0.35">
      <c r="A4924" s="3"/>
      <c r="B4924" s="2"/>
      <c r="C4924" s="2"/>
      <c r="D4924" s="2" t="b">
        <f>IF(AND(NOT(ISBLANK(Table1[[#This Row],[Fetal Sex (Male, Female or Unknown)]])),ISNUMBER(Table1[[#This Row],[Birthweight (grams)]]),ISNUMBER(Table1[[#This Row],[Gestation (days)]])),TRUE,FALSE)</f>
        <v>0</v>
      </c>
      <c r="E4924" s="2" t="str">
        <f>IF(Table1[[#This Row],[Is Data Valid]]=TRUE,IF(Table1[[#This Row],[Fetal Sex (Male, Female or Unknown)]]="Male",Backend!$C$6,IF(Table1[[#This Row],[Fetal Sex (Male, Female or Unknown)]]="Female",Backend!$C$7,IF(Table1[[#This Row],[Fetal Sex (Male, Female or Unknown)]]="Unknown",Backend!$C$8,"Error"))),"")</f>
        <v/>
      </c>
      <c r="F4924" s="8" t="str">
        <f>IF(Table1[[#This Row],[Is Data Valid]]=TRUE,EXP(0.578+0.332*((Table1[[#This Row],[Gestation (days)]]+0.5)/7)-0.00354*((Table1[[#This Row],[Gestation (days)]]+0.5)/7)^2)*Table1[[#This Row],[BW40_3705]],"")</f>
        <v/>
      </c>
      <c r="G4924" s="2" t="str">
        <f>IF(Table1[[#This Row],[Is Data Valid]]=TRUE,((Table1[[#This Row],[Birthweight (grams)]]/Table1[[#This Row],[BW_GA]])-1)/(Backend!$B$4/100*Table1[[#This Row],[BW40_3705]]),"")</f>
        <v/>
      </c>
      <c r="H4924" s="7" t="str">
        <f>IF(Table1[[#This Row],[Is Data Valid]]=TRUE,((Table1[[#This Row],[Birthweight (grams)]]*0.9/Table1[[#This Row],[BW_GA]])-1)/(Backend!$B$4/100*Table1[[#This Row],[BW40_3705]]),"")</f>
        <v/>
      </c>
      <c r="I4924" s="7" t="str">
        <f>IF(Table1[[#This Row],[Is Data Valid]]=TRUE,((Table1[[#This Row],[Birthweight (grams)]]*1.1/Table1[[#This Row],[BW_GA]])-1)/(Backend!$B$4/100*Table1[[#This Row],[BW40_3705]]),"")</f>
        <v/>
      </c>
      <c r="J4924" s="7" t="str">
        <f>IF(Table1[[#This Row],[Is Data Valid]]=TRUE,_xlfn.NORM.S.DIST(Table1[[#This Row],[Birthweight Z-Score]],TRUE)*100,"")</f>
        <v/>
      </c>
      <c r="K4924" s="7" t="str">
        <f>IF(Table1[[#This Row],[Is Data Valid]]=TRUE,_xlfn.NORM.S.DIST(Table1[[#This Row],[Birthweight Z-Score (BW-10%)]],TRUE)*100,"")</f>
        <v/>
      </c>
      <c r="L4924" s="7" t="str">
        <f>IF(Table1[[#This Row],[Is Data Valid]]=TRUE,_xlfn.NORM.S.DIST(Table1[[#This Row],[Birthweight Z-Score (BW+10%)]],TRUE)*100,"")</f>
        <v/>
      </c>
    </row>
    <row r="4925" spans="1:12" x14ac:dyDescent="0.35">
      <c r="A4925" s="3"/>
      <c r="B4925" s="2"/>
      <c r="C4925" s="2"/>
      <c r="D4925" s="2" t="b">
        <f>IF(AND(NOT(ISBLANK(Table1[[#This Row],[Fetal Sex (Male, Female or Unknown)]])),ISNUMBER(Table1[[#This Row],[Birthweight (grams)]]),ISNUMBER(Table1[[#This Row],[Gestation (days)]])),TRUE,FALSE)</f>
        <v>0</v>
      </c>
      <c r="E4925" s="2" t="str">
        <f>IF(Table1[[#This Row],[Is Data Valid]]=TRUE,IF(Table1[[#This Row],[Fetal Sex (Male, Female or Unknown)]]="Male",Backend!$C$6,IF(Table1[[#This Row],[Fetal Sex (Male, Female or Unknown)]]="Female",Backend!$C$7,IF(Table1[[#This Row],[Fetal Sex (Male, Female or Unknown)]]="Unknown",Backend!$C$8,"Error"))),"")</f>
        <v/>
      </c>
      <c r="F4925" s="8" t="str">
        <f>IF(Table1[[#This Row],[Is Data Valid]]=TRUE,EXP(0.578+0.332*((Table1[[#This Row],[Gestation (days)]]+0.5)/7)-0.00354*((Table1[[#This Row],[Gestation (days)]]+0.5)/7)^2)*Table1[[#This Row],[BW40_3705]],"")</f>
        <v/>
      </c>
      <c r="G4925" s="2" t="str">
        <f>IF(Table1[[#This Row],[Is Data Valid]]=TRUE,((Table1[[#This Row],[Birthweight (grams)]]/Table1[[#This Row],[BW_GA]])-1)/(Backend!$B$4/100*Table1[[#This Row],[BW40_3705]]),"")</f>
        <v/>
      </c>
      <c r="H4925" s="7" t="str">
        <f>IF(Table1[[#This Row],[Is Data Valid]]=TRUE,((Table1[[#This Row],[Birthweight (grams)]]*0.9/Table1[[#This Row],[BW_GA]])-1)/(Backend!$B$4/100*Table1[[#This Row],[BW40_3705]]),"")</f>
        <v/>
      </c>
      <c r="I4925" s="7" t="str">
        <f>IF(Table1[[#This Row],[Is Data Valid]]=TRUE,((Table1[[#This Row],[Birthweight (grams)]]*1.1/Table1[[#This Row],[BW_GA]])-1)/(Backend!$B$4/100*Table1[[#This Row],[BW40_3705]]),"")</f>
        <v/>
      </c>
      <c r="J4925" s="7" t="str">
        <f>IF(Table1[[#This Row],[Is Data Valid]]=TRUE,_xlfn.NORM.S.DIST(Table1[[#This Row],[Birthweight Z-Score]],TRUE)*100,"")</f>
        <v/>
      </c>
      <c r="K4925" s="7" t="str">
        <f>IF(Table1[[#This Row],[Is Data Valid]]=TRUE,_xlfn.NORM.S.DIST(Table1[[#This Row],[Birthweight Z-Score (BW-10%)]],TRUE)*100,"")</f>
        <v/>
      </c>
      <c r="L4925" s="7" t="str">
        <f>IF(Table1[[#This Row],[Is Data Valid]]=TRUE,_xlfn.NORM.S.DIST(Table1[[#This Row],[Birthweight Z-Score (BW+10%)]],TRUE)*100,"")</f>
        <v/>
      </c>
    </row>
    <row r="4926" spans="1:12" x14ac:dyDescent="0.35">
      <c r="A4926" s="3"/>
      <c r="B4926" s="2"/>
      <c r="C4926" s="2"/>
      <c r="D4926" s="2" t="b">
        <f>IF(AND(NOT(ISBLANK(Table1[[#This Row],[Fetal Sex (Male, Female or Unknown)]])),ISNUMBER(Table1[[#This Row],[Birthweight (grams)]]),ISNUMBER(Table1[[#This Row],[Gestation (days)]])),TRUE,FALSE)</f>
        <v>0</v>
      </c>
      <c r="E4926" s="2" t="str">
        <f>IF(Table1[[#This Row],[Is Data Valid]]=TRUE,IF(Table1[[#This Row],[Fetal Sex (Male, Female or Unknown)]]="Male",Backend!$C$6,IF(Table1[[#This Row],[Fetal Sex (Male, Female or Unknown)]]="Female",Backend!$C$7,IF(Table1[[#This Row],[Fetal Sex (Male, Female or Unknown)]]="Unknown",Backend!$C$8,"Error"))),"")</f>
        <v/>
      </c>
      <c r="F4926" s="8" t="str">
        <f>IF(Table1[[#This Row],[Is Data Valid]]=TRUE,EXP(0.578+0.332*((Table1[[#This Row],[Gestation (days)]]+0.5)/7)-0.00354*((Table1[[#This Row],[Gestation (days)]]+0.5)/7)^2)*Table1[[#This Row],[BW40_3705]],"")</f>
        <v/>
      </c>
      <c r="G4926" s="2" t="str">
        <f>IF(Table1[[#This Row],[Is Data Valid]]=TRUE,((Table1[[#This Row],[Birthweight (grams)]]/Table1[[#This Row],[BW_GA]])-1)/(Backend!$B$4/100*Table1[[#This Row],[BW40_3705]]),"")</f>
        <v/>
      </c>
      <c r="H4926" s="7" t="str">
        <f>IF(Table1[[#This Row],[Is Data Valid]]=TRUE,((Table1[[#This Row],[Birthweight (grams)]]*0.9/Table1[[#This Row],[BW_GA]])-1)/(Backend!$B$4/100*Table1[[#This Row],[BW40_3705]]),"")</f>
        <v/>
      </c>
      <c r="I4926" s="7" t="str">
        <f>IF(Table1[[#This Row],[Is Data Valid]]=TRUE,((Table1[[#This Row],[Birthweight (grams)]]*1.1/Table1[[#This Row],[BW_GA]])-1)/(Backend!$B$4/100*Table1[[#This Row],[BW40_3705]]),"")</f>
        <v/>
      </c>
      <c r="J4926" s="7" t="str">
        <f>IF(Table1[[#This Row],[Is Data Valid]]=TRUE,_xlfn.NORM.S.DIST(Table1[[#This Row],[Birthweight Z-Score]],TRUE)*100,"")</f>
        <v/>
      </c>
      <c r="K4926" s="7" t="str">
        <f>IF(Table1[[#This Row],[Is Data Valid]]=TRUE,_xlfn.NORM.S.DIST(Table1[[#This Row],[Birthweight Z-Score (BW-10%)]],TRUE)*100,"")</f>
        <v/>
      </c>
      <c r="L4926" s="7" t="str">
        <f>IF(Table1[[#This Row],[Is Data Valid]]=TRUE,_xlfn.NORM.S.DIST(Table1[[#This Row],[Birthweight Z-Score (BW+10%)]],TRUE)*100,"")</f>
        <v/>
      </c>
    </row>
    <row r="4927" spans="1:12" x14ac:dyDescent="0.35">
      <c r="A4927" s="3"/>
      <c r="B4927" s="2"/>
      <c r="C4927" s="2"/>
      <c r="D4927" s="2" t="b">
        <f>IF(AND(NOT(ISBLANK(Table1[[#This Row],[Fetal Sex (Male, Female or Unknown)]])),ISNUMBER(Table1[[#This Row],[Birthweight (grams)]]),ISNUMBER(Table1[[#This Row],[Gestation (days)]])),TRUE,FALSE)</f>
        <v>0</v>
      </c>
      <c r="E4927" s="2" t="str">
        <f>IF(Table1[[#This Row],[Is Data Valid]]=TRUE,IF(Table1[[#This Row],[Fetal Sex (Male, Female or Unknown)]]="Male",Backend!$C$6,IF(Table1[[#This Row],[Fetal Sex (Male, Female or Unknown)]]="Female",Backend!$C$7,IF(Table1[[#This Row],[Fetal Sex (Male, Female or Unknown)]]="Unknown",Backend!$C$8,"Error"))),"")</f>
        <v/>
      </c>
      <c r="F4927" s="8" t="str">
        <f>IF(Table1[[#This Row],[Is Data Valid]]=TRUE,EXP(0.578+0.332*((Table1[[#This Row],[Gestation (days)]]+0.5)/7)-0.00354*((Table1[[#This Row],[Gestation (days)]]+0.5)/7)^2)*Table1[[#This Row],[BW40_3705]],"")</f>
        <v/>
      </c>
      <c r="G4927" s="2" t="str">
        <f>IF(Table1[[#This Row],[Is Data Valid]]=TRUE,((Table1[[#This Row],[Birthweight (grams)]]/Table1[[#This Row],[BW_GA]])-1)/(Backend!$B$4/100*Table1[[#This Row],[BW40_3705]]),"")</f>
        <v/>
      </c>
      <c r="H4927" s="7" t="str">
        <f>IF(Table1[[#This Row],[Is Data Valid]]=TRUE,((Table1[[#This Row],[Birthweight (grams)]]*0.9/Table1[[#This Row],[BW_GA]])-1)/(Backend!$B$4/100*Table1[[#This Row],[BW40_3705]]),"")</f>
        <v/>
      </c>
      <c r="I4927" s="7" t="str">
        <f>IF(Table1[[#This Row],[Is Data Valid]]=TRUE,((Table1[[#This Row],[Birthweight (grams)]]*1.1/Table1[[#This Row],[BW_GA]])-1)/(Backend!$B$4/100*Table1[[#This Row],[BW40_3705]]),"")</f>
        <v/>
      </c>
      <c r="J4927" s="7" t="str">
        <f>IF(Table1[[#This Row],[Is Data Valid]]=TRUE,_xlfn.NORM.S.DIST(Table1[[#This Row],[Birthweight Z-Score]],TRUE)*100,"")</f>
        <v/>
      </c>
      <c r="K4927" s="7" t="str">
        <f>IF(Table1[[#This Row],[Is Data Valid]]=TRUE,_xlfn.NORM.S.DIST(Table1[[#This Row],[Birthweight Z-Score (BW-10%)]],TRUE)*100,"")</f>
        <v/>
      </c>
      <c r="L4927" s="7" t="str">
        <f>IF(Table1[[#This Row],[Is Data Valid]]=TRUE,_xlfn.NORM.S.DIST(Table1[[#This Row],[Birthweight Z-Score (BW+10%)]],TRUE)*100,"")</f>
        <v/>
      </c>
    </row>
    <row r="4928" spans="1:12" x14ac:dyDescent="0.35">
      <c r="A4928" s="3"/>
      <c r="B4928" s="2"/>
      <c r="C4928" s="2"/>
      <c r="D4928" s="2" t="b">
        <f>IF(AND(NOT(ISBLANK(Table1[[#This Row],[Fetal Sex (Male, Female or Unknown)]])),ISNUMBER(Table1[[#This Row],[Birthweight (grams)]]),ISNUMBER(Table1[[#This Row],[Gestation (days)]])),TRUE,FALSE)</f>
        <v>0</v>
      </c>
      <c r="E4928" s="2" t="str">
        <f>IF(Table1[[#This Row],[Is Data Valid]]=TRUE,IF(Table1[[#This Row],[Fetal Sex (Male, Female or Unknown)]]="Male",Backend!$C$6,IF(Table1[[#This Row],[Fetal Sex (Male, Female or Unknown)]]="Female",Backend!$C$7,IF(Table1[[#This Row],[Fetal Sex (Male, Female or Unknown)]]="Unknown",Backend!$C$8,"Error"))),"")</f>
        <v/>
      </c>
      <c r="F4928" s="8" t="str">
        <f>IF(Table1[[#This Row],[Is Data Valid]]=TRUE,EXP(0.578+0.332*((Table1[[#This Row],[Gestation (days)]]+0.5)/7)-0.00354*((Table1[[#This Row],[Gestation (days)]]+0.5)/7)^2)*Table1[[#This Row],[BW40_3705]],"")</f>
        <v/>
      </c>
      <c r="G4928" s="2" t="str">
        <f>IF(Table1[[#This Row],[Is Data Valid]]=TRUE,((Table1[[#This Row],[Birthweight (grams)]]/Table1[[#This Row],[BW_GA]])-1)/(Backend!$B$4/100*Table1[[#This Row],[BW40_3705]]),"")</f>
        <v/>
      </c>
      <c r="H4928" s="7" t="str">
        <f>IF(Table1[[#This Row],[Is Data Valid]]=TRUE,((Table1[[#This Row],[Birthweight (grams)]]*0.9/Table1[[#This Row],[BW_GA]])-1)/(Backend!$B$4/100*Table1[[#This Row],[BW40_3705]]),"")</f>
        <v/>
      </c>
      <c r="I4928" s="7" t="str">
        <f>IF(Table1[[#This Row],[Is Data Valid]]=TRUE,((Table1[[#This Row],[Birthweight (grams)]]*1.1/Table1[[#This Row],[BW_GA]])-1)/(Backend!$B$4/100*Table1[[#This Row],[BW40_3705]]),"")</f>
        <v/>
      </c>
      <c r="J4928" s="7" t="str">
        <f>IF(Table1[[#This Row],[Is Data Valid]]=TRUE,_xlfn.NORM.S.DIST(Table1[[#This Row],[Birthweight Z-Score]],TRUE)*100,"")</f>
        <v/>
      </c>
      <c r="K4928" s="7" t="str">
        <f>IF(Table1[[#This Row],[Is Data Valid]]=TRUE,_xlfn.NORM.S.DIST(Table1[[#This Row],[Birthweight Z-Score (BW-10%)]],TRUE)*100,"")</f>
        <v/>
      </c>
      <c r="L4928" s="7" t="str">
        <f>IF(Table1[[#This Row],[Is Data Valid]]=TRUE,_xlfn.NORM.S.DIST(Table1[[#This Row],[Birthweight Z-Score (BW+10%)]],TRUE)*100,"")</f>
        <v/>
      </c>
    </row>
    <row r="4929" spans="1:12" x14ac:dyDescent="0.35">
      <c r="A4929" s="3"/>
      <c r="B4929" s="2"/>
      <c r="C4929" s="2"/>
      <c r="D4929" s="2" t="b">
        <f>IF(AND(NOT(ISBLANK(Table1[[#This Row],[Fetal Sex (Male, Female or Unknown)]])),ISNUMBER(Table1[[#This Row],[Birthweight (grams)]]),ISNUMBER(Table1[[#This Row],[Gestation (days)]])),TRUE,FALSE)</f>
        <v>0</v>
      </c>
      <c r="E4929" s="2" t="str">
        <f>IF(Table1[[#This Row],[Is Data Valid]]=TRUE,IF(Table1[[#This Row],[Fetal Sex (Male, Female or Unknown)]]="Male",Backend!$C$6,IF(Table1[[#This Row],[Fetal Sex (Male, Female or Unknown)]]="Female",Backend!$C$7,IF(Table1[[#This Row],[Fetal Sex (Male, Female or Unknown)]]="Unknown",Backend!$C$8,"Error"))),"")</f>
        <v/>
      </c>
      <c r="F4929" s="8" t="str">
        <f>IF(Table1[[#This Row],[Is Data Valid]]=TRUE,EXP(0.578+0.332*((Table1[[#This Row],[Gestation (days)]]+0.5)/7)-0.00354*((Table1[[#This Row],[Gestation (days)]]+0.5)/7)^2)*Table1[[#This Row],[BW40_3705]],"")</f>
        <v/>
      </c>
      <c r="G4929" s="2" t="str">
        <f>IF(Table1[[#This Row],[Is Data Valid]]=TRUE,((Table1[[#This Row],[Birthweight (grams)]]/Table1[[#This Row],[BW_GA]])-1)/(Backend!$B$4/100*Table1[[#This Row],[BW40_3705]]),"")</f>
        <v/>
      </c>
      <c r="H4929" s="7" t="str">
        <f>IF(Table1[[#This Row],[Is Data Valid]]=TRUE,((Table1[[#This Row],[Birthweight (grams)]]*0.9/Table1[[#This Row],[BW_GA]])-1)/(Backend!$B$4/100*Table1[[#This Row],[BW40_3705]]),"")</f>
        <v/>
      </c>
      <c r="I4929" s="7" t="str">
        <f>IF(Table1[[#This Row],[Is Data Valid]]=TRUE,((Table1[[#This Row],[Birthweight (grams)]]*1.1/Table1[[#This Row],[BW_GA]])-1)/(Backend!$B$4/100*Table1[[#This Row],[BW40_3705]]),"")</f>
        <v/>
      </c>
      <c r="J4929" s="7" t="str">
        <f>IF(Table1[[#This Row],[Is Data Valid]]=TRUE,_xlfn.NORM.S.DIST(Table1[[#This Row],[Birthweight Z-Score]],TRUE)*100,"")</f>
        <v/>
      </c>
      <c r="K4929" s="7" t="str">
        <f>IF(Table1[[#This Row],[Is Data Valid]]=TRUE,_xlfn.NORM.S.DIST(Table1[[#This Row],[Birthweight Z-Score (BW-10%)]],TRUE)*100,"")</f>
        <v/>
      </c>
      <c r="L4929" s="7" t="str">
        <f>IF(Table1[[#This Row],[Is Data Valid]]=TRUE,_xlfn.NORM.S.DIST(Table1[[#This Row],[Birthweight Z-Score (BW+10%)]],TRUE)*100,"")</f>
        <v/>
      </c>
    </row>
    <row r="4930" spans="1:12" x14ac:dyDescent="0.35">
      <c r="A4930" s="3"/>
      <c r="B4930" s="2"/>
      <c r="C4930" s="2"/>
      <c r="D4930" s="2" t="b">
        <f>IF(AND(NOT(ISBLANK(Table1[[#This Row],[Fetal Sex (Male, Female or Unknown)]])),ISNUMBER(Table1[[#This Row],[Birthweight (grams)]]),ISNUMBER(Table1[[#This Row],[Gestation (days)]])),TRUE,FALSE)</f>
        <v>0</v>
      </c>
      <c r="E4930" s="2" t="str">
        <f>IF(Table1[[#This Row],[Is Data Valid]]=TRUE,IF(Table1[[#This Row],[Fetal Sex (Male, Female or Unknown)]]="Male",Backend!$C$6,IF(Table1[[#This Row],[Fetal Sex (Male, Female or Unknown)]]="Female",Backend!$C$7,IF(Table1[[#This Row],[Fetal Sex (Male, Female or Unknown)]]="Unknown",Backend!$C$8,"Error"))),"")</f>
        <v/>
      </c>
      <c r="F4930" s="8" t="str">
        <f>IF(Table1[[#This Row],[Is Data Valid]]=TRUE,EXP(0.578+0.332*((Table1[[#This Row],[Gestation (days)]]+0.5)/7)-0.00354*((Table1[[#This Row],[Gestation (days)]]+0.5)/7)^2)*Table1[[#This Row],[BW40_3705]],"")</f>
        <v/>
      </c>
      <c r="G4930" s="2" t="str">
        <f>IF(Table1[[#This Row],[Is Data Valid]]=TRUE,((Table1[[#This Row],[Birthweight (grams)]]/Table1[[#This Row],[BW_GA]])-1)/(Backend!$B$4/100*Table1[[#This Row],[BW40_3705]]),"")</f>
        <v/>
      </c>
      <c r="H4930" s="7" t="str">
        <f>IF(Table1[[#This Row],[Is Data Valid]]=TRUE,((Table1[[#This Row],[Birthweight (grams)]]*0.9/Table1[[#This Row],[BW_GA]])-1)/(Backend!$B$4/100*Table1[[#This Row],[BW40_3705]]),"")</f>
        <v/>
      </c>
      <c r="I4930" s="7" t="str">
        <f>IF(Table1[[#This Row],[Is Data Valid]]=TRUE,((Table1[[#This Row],[Birthweight (grams)]]*1.1/Table1[[#This Row],[BW_GA]])-1)/(Backend!$B$4/100*Table1[[#This Row],[BW40_3705]]),"")</f>
        <v/>
      </c>
      <c r="J4930" s="7" t="str">
        <f>IF(Table1[[#This Row],[Is Data Valid]]=TRUE,_xlfn.NORM.S.DIST(Table1[[#This Row],[Birthweight Z-Score]],TRUE)*100,"")</f>
        <v/>
      </c>
      <c r="K4930" s="7" t="str">
        <f>IF(Table1[[#This Row],[Is Data Valid]]=TRUE,_xlfn.NORM.S.DIST(Table1[[#This Row],[Birthweight Z-Score (BW-10%)]],TRUE)*100,"")</f>
        <v/>
      </c>
      <c r="L4930" s="7" t="str">
        <f>IF(Table1[[#This Row],[Is Data Valid]]=TRUE,_xlfn.NORM.S.DIST(Table1[[#This Row],[Birthweight Z-Score (BW+10%)]],TRUE)*100,"")</f>
        <v/>
      </c>
    </row>
    <row r="4931" spans="1:12" x14ac:dyDescent="0.35">
      <c r="A4931" s="3"/>
      <c r="B4931" s="2"/>
      <c r="C4931" s="2"/>
      <c r="D4931" s="2" t="b">
        <f>IF(AND(NOT(ISBLANK(Table1[[#This Row],[Fetal Sex (Male, Female or Unknown)]])),ISNUMBER(Table1[[#This Row],[Birthweight (grams)]]),ISNUMBER(Table1[[#This Row],[Gestation (days)]])),TRUE,FALSE)</f>
        <v>0</v>
      </c>
      <c r="E4931" s="2" t="str">
        <f>IF(Table1[[#This Row],[Is Data Valid]]=TRUE,IF(Table1[[#This Row],[Fetal Sex (Male, Female or Unknown)]]="Male",Backend!$C$6,IF(Table1[[#This Row],[Fetal Sex (Male, Female or Unknown)]]="Female",Backend!$C$7,IF(Table1[[#This Row],[Fetal Sex (Male, Female or Unknown)]]="Unknown",Backend!$C$8,"Error"))),"")</f>
        <v/>
      </c>
      <c r="F4931" s="8" t="str">
        <f>IF(Table1[[#This Row],[Is Data Valid]]=TRUE,EXP(0.578+0.332*((Table1[[#This Row],[Gestation (days)]]+0.5)/7)-0.00354*((Table1[[#This Row],[Gestation (days)]]+0.5)/7)^2)*Table1[[#This Row],[BW40_3705]],"")</f>
        <v/>
      </c>
      <c r="G4931" s="2" t="str">
        <f>IF(Table1[[#This Row],[Is Data Valid]]=TRUE,((Table1[[#This Row],[Birthweight (grams)]]/Table1[[#This Row],[BW_GA]])-1)/(Backend!$B$4/100*Table1[[#This Row],[BW40_3705]]),"")</f>
        <v/>
      </c>
      <c r="H4931" s="7" t="str">
        <f>IF(Table1[[#This Row],[Is Data Valid]]=TRUE,((Table1[[#This Row],[Birthweight (grams)]]*0.9/Table1[[#This Row],[BW_GA]])-1)/(Backend!$B$4/100*Table1[[#This Row],[BW40_3705]]),"")</f>
        <v/>
      </c>
      <c r="I4931" s="7" t="str">
        <f>IF(Table1[[#This Row],[Is Data Valid]]=TRUE,((Table1[[#This Row],[Birthweight (grams)]]*1.1/Table1[[#This Row],[BW_GA]])-1)/(Backend!$B$4/100*Table1[[#This Row],[BW40_3705]]),"")</f>
        <v/>
      </c>
      <c r="J4931" s="7" t="str">
        <f>IF(Table1[[#This Row],[Is Data Valid]]=TRUE,_xlfn.NORM.S.DIST(Table1[[#This Row],[Birthweight Z-Score]],TRUE)*100,"")</f>
        <v/>
      </c>
      <c r="K4931" s="7" t="str">
        <f>IF(Table1[[#This Row],[Is Data Valid]]=TRUE,_xlfn.NORM.S.DIST(Table1[[#This Row],[Birthweight Z-Score (BW-10%)]],TRUE)*100,"")</f>
        <v/>
      </c>
      <c r="L4931" s="7" t="str">
        <f>IF(Table1[[#This Row],[Is Data Valid]]=TRUE,_xlfn.NORM.S.DIST(Table1[[#This Row],[Birthweight Z-Score (BW+10%)]],TRUE)*100,"")</f>
        <v/>
      </c>
    </row>
    <row r="4932" spans="1:12" x14ac:dyDescent="0.35">
      <c r="A4932" s="3"/>
      <c r="B4932" s="2"/>
      <c r="C4932" s="2"/>
      <c r="D4932" s="2" t="b">
        <f>IF(AND(NOT(ISBLANK(Table1[[#This Row],[Fetal Sex (Male, Female or Unknown)]])),ISNUMBER(Table1[[#This Row],[Birthweight (grams)]]),ISNUMBER(Table1[[#This Row],[Gestation (days)]])),TRUE,FALSE)</f>
        <v>0</v>
      </c>
      <c r="E4932" s="2" t="str">
        <f>IF(Table1[[#This Row],[Is Data Valid]]=TRUE,IF(Table1[[#This Row],[Fetal Sex (Male, Female or Unknown)]]="Male",Backend!$C$6,IF(Table1[[#This Row],[Fetal Sex (Male, Female or Unknown)]]="Female",Backend!$C$7,IF(Table1[[#This Row],[Fetal Sex (Male, Female or Unknown)]]="Unknown",Backend!$C$8,"Error"))),"")</f>
        <v/>
      </c>
      <c r="F4932" s="8" t="str">
        <f>IF(Table1[[#This Row],[Is Data Valid]]=TRUE,EXP(0.578+0.332*((Table1[[#This Row],[Gestation (days)]]+0.5)/7)-0.00354*((Table1[[#This Row],[Gestation (days)]]+0.5)/7)^2)*Table1[[#This Row],[BW40_3705]],"")</f>
        <v/>
      </c>
      <c r="G4932" s="2" t="str">
        <f>IF(Table1[[#This Row],[Is Data Valid]]=TRUE,((Table1[[#This Row],[Birthweight (grams)]]/Table1[[#This Row],[BW_GA]])-1)/(Backend!$B$4/100*Table1[[#This Row],[BW40_3705]]),"")</f>
        <v/>
      </c>
      <c r="H4932" s="7" t="str">
        <f>IF(Table1[[#This Row],[Is Data Valid]]=TRUE,((Table1[[#This Row],[Birthweight (grams)]]*0.9/Table1[[#This Row],[BW_GA]])-1)/(Backend!$B$4/100*Table1[[#This Row],[BW40_3705]]),"")</f>
        <v/>
      </c>
      <c r="I4932" s="7" t="str">
        <f>IF(Table1[[#This Row],[Is Data Valid]]=TRUE,((Table1[[#This Row],[Birthweight (grams)]]*1.1/Table1[[#This Row],[BW_GA]])-1)/(Backend!$B$4/100*Table1[[#This Row],[BW40_3705]]),"")</f>
        <v/>
      </c>
      <c r="J4932" s="7" t="str">
        <f>IF(Table1[[#This Row],[Is Data Valid]]=TRUE,_xlfn.NORM.S.DIST(Table1[[#This Row],[Birthweight Z-Score]],TRUE)*100,"")</f>
        <v/>
      </c>
      <c r="K4932" s="7" t="str">
        <f>IF(Table1[[#This Row],[Is Data Valid]]=TRUE,_xlfn.NORM.S.DIST(Table1[[#This Row],[Birthweight Z-Score (BW-10%)]],TRUE)*100,"")</f>
        <v/>
      </c>
      <c r="L4932" s="7" t="str">
        <f>IF(Table1[[#This Row],[Is Data Valid]]=TRUE,_xlfn.NORM.S.DIST(Table1[[#This Row],[Birthweight Z-Score (BW+10%)]],TRUE)*100,"")</f>
        <v/>
      </c>
    </row>
    <row r="4933" spans="1:12" x14ac:dyDescent="0.35">
      <c r="A4933" s="3"/>
      <c r="B4933" s="2"/>
      <c r="C4933" s="2"/>
      <c r="D4933" s="2" t="b">
        <f>IF(AND(NOT(ISBLANK(Table1[[#This Row],[Fetal Sex (Male, Female or Unknown)]])),ISNUMBER(Table1[[#This Row],[Birthweight (grams)]]),ISNUMBER(Table1[[#This Row],[Gestation (days)]])),TRUE,FALSE)</f>
        <v>0</v>
      </c>
      <c r="E4933" s="2" t="str">
        <f>IF(Table1[[#This Row],[Is Data Valid]]=TRUE,IF(Table1[[#This Row],[Fetal Sex (Male, Female or Unknown)]]="Male",Backend!$C$6,IF(Table1[[#This Row],[Fetal Sex (Male, Female or Unknown)]]="Female",Backend!$C$7,IF(Table1[[#This Row],[Fetal Sex (Male, Female or Unknown)]]="Unknown",Backend!$C$8,"Error"))),"")</f>
        <v/>
      </c>
      <c r="F4933" s="8" t="str">
        <f>IF(Table1[[#This Row],[Is Data Valid]]=TRUE,EXP(0.578+0.332*((Table1[[#This Row],[Gestation (days)]]+0.5)/7)-0.00354*((Table1[[#This Row],[Gestation (days)]]+0.5)/7)^2)*Table1[[#This Row],[BW40_3705]],"")</f>
        <v/>
      </c>
      <c r="G4933" s="2" t="str">
        <f>IF(Table1[[#This Row],[Is Data Valid]]=TRUE,((Table1[[#This Row],[Birthweight (grams)]]/Table1[[#This Row],[BW_GA]])-1)/(Backend!$B$4/100*Table1[[#This Row],[BW40_3705]]),"")</f>
        <v/>
      </c>
      <c r="H4933" s="7" t="str">
        <f>IF(Table1[[#This Row],[Is Data Valid]]=TRUE,((Table1[[#This Row],[Birthweight (grams)]]*0.9/Table1[[#This Row],[BW_GA]])-1)/(Backend!$B$4/100*Table1[[#This Row],[BW40_3705]]),"")</f>
        <v/>
      </c>
      <c r="I4933" s="7" t="str">
        <f>IF(Table1[[#This Row],[Is Data Valid]]=TRUE,((Table1[[#This Row],[Birthweight (grams)]]*1.1/Table1[[#This Row],[BW_GA]])-1)/(Backend!$B$4/100*Table1[[#This Row],[BW40_3705]]),"")</f>
        <v/>
      </c>
      <c r="J4933" s="7" t="str">
        <f>IF(Table1[[#This Row],[Is Data Valid]]=TRUE,_xlfn.NORM.S.DIST(Table1[[#This Row],[Birthweight Z-Score]],TRUE)*100,"")</f>
        <v/>
      </c>
      <c r="K4933" s="7" t="str">
        <f>IF(Table1[[#This Row],[Is Data Valid]]=TRUE,_xlfn.NORM.S.DIST(Table1[[#This Row],[Birthweight Z-Score (BW-10%)]],TRUE)*100,"")</f>
        <v/>
      </c>
      <c r="L4933" s="7" t="str">
        <f>IF(Table1[[#This Row],[Is Data Valid]]=TRUE,_xlfn.NORM.S.DIST(Table1[[#This Row],[Birthweight Z-Score (BW+10%)]],TRUE)*100,"")</f>
        <v/>
      </c>
    </row>
    <row r="4934" spans="1:12" x14ac:dyDescent="0.35">
      <c r="A4934" s="3"/>
      <c r="B4934" s="2"/>
      <c r="C4934" s="2"/>
      <c r="D4934" s="2" t="b">
        <f>IF(AND(NOT(ISBLANK(Table1[[#This Row],[Fetal Sex (Male, Female or Unknown)]])),ISNUMBER(Table1[[#This Row],[Birthweight (grams)]]),ISNUMBER(Table1[[#This Row],[Gestation (days)]])),TRUE,FALSE)</f>
        <v>0</v>
      </c>
      <c r="E4934" s="2" t="str">
        <f>IF(Table1[[#This Row],[Is Data Valid]]=TRUE,IF(Table1[[#This Row],[Fetal Sex (Male, Female or Unknown)]]="Male",Backend!$C$6,IF(Table1[[#This Row],[Fetal Sex (Male, Female or Unknown)]]="Female",Backend!$C$7,IF(Table1[[#This Row],[Fetal Sex (Male, Female or Unknown)]]="Unknown",Backend!$C$8,"Error"))),"")</f>
        <v/>
      </c>
      <c r="F4934" s="8" t="str">
        <f>IF(Table1[[#This Row],[Is Data Valid]]=TRUE,EXP(0.578+0.332*((Table1[[#This Row],[Gestation (days)]]+0.5)/7)-0.00354*((Table1[[#This Row],[Gestation (days)]]+0.5)/7)^2)*Table1[[#This Row],[BW40_3705]],"")</f>
        <v/>
      </c>
      <c r="G4934" s="2" t="str">
        <f>IF(Table1[[#This Row],[Is Data Valid]]=TRUE,((Table1[[#This Row],[Birthweight (grams)]]/Table1[[#This Row],[BW_GA]])-1)/(Backend!$B$4/100*Table1[[#This Row],[BW40_3705]]),"")</f>
        <v/>
      </c>
      <c r="H4934" s="7" t="str">
        <f>IF(Table1[[#This Row],[Is Data Valid]]=TRUE,((Table1[[#This Row],[Birthweight (grams)]]*0.9/Table1[[#This Row],[BW_GA]])-1)/(Backend!$B$4/100*Table1[[#This Row],[BW40_3705]]),"")</f>
        <v/>
      </c>
      <c r="I4934" s="7" t="str">
        <f>IF(Table1[[#This Row],[Is Data Valid]]=TRUE,((Table1[[#This Row],[Birthweight (grams)]]*1.1/Table1[[#This Row],[BW_GA]])-1)/(Backend!$B$4/100*Table1[[#This Row],[BW40_3705]]),"")</f>
        <v/>
      </c>
      <c r="J4934" s="7" t="str">
        <f>IF(Table1[[#This Row],[Is Data Valid]]=TRUE,_xlfn.NORM.S.DIST(Table1[[#This Row],[Birthweight Z-Score]],TRUE)*100,"")</f>
        <v/>
      </c>
      <c r="K4934" s="7" t="str">
        <f>IF(Table1[[#This Row],[Is Data Valid]]=TRUE,_xlfn.NORM.S.DIST(Table1[[#This Row],[Birthweight Z-Score (BW-10%)]],TRUE)*100,"")</f>
        <v/>
      </c>
      <c r="L4934" s="7" t="str">
        <f>IF(Table1[[#This Row],[Is Data Valid]]=TRUE,_xlfn.NORM.S.DIST(Table1[[#This Row],[Birthweight Z-Score (BW+10%)]],TRUE)*100,"")</f>
        <v/>
      </c>
    </row>
    <row r="4935" spans="1:12" x14ac:dyDescent="0.35">
      <c r="A4935" s="3"/>
      <c r="B4935" s="2"/>
      <c r="C4935" s="2"/>
      <c r="D4935" s="2" t="b">
        <f>IF(AND(NOT(ISBLANK(Table1[[#This Row],[Fetal Sex (Male, Female or Unknown)]])),ISNUMBER(Table1[[#This Row],[Birthweight (grams)]]),ISNUMBER(Table1[[#This Row],[Gestation (days)]])),TRUE,FALSE)</f>
        <v>0</v>
      </c>
      <c r="E4935" s="2" t="str">
        <f>IF(Table1[[#This Row],[Is Data Valid]]=TRUE,IF(Table1[[#This Row],[Fetal Sex (Male, Female or Unknown)]]="Male",Backend!$C$6,IF(Table1[[#This Row],[Fetal Sex (Male, Female or Unknown)]]="Female",Backend!$C$7,IF(Table1[[#This Row],[Fetal Sex (Male, Female or Unknown)]]="Unknown",Backend!$C$8,"Error"))),"")</f>
        <v/>
      </c>
      <c r="F4935" s="8" t="str">
        <f>IF(Table1[[#This Row],[Is Data Valid]]=TRUE,EXP(0.578+0.332*((Table1[[#This Row],[Gestation (days)]]+0.5)/7)-0.00354*((Table1[[#This Row],[Gestation (days)]]+0.5)/7)^2)*Table1[[#This Row],[BW40_3705]],"")</f>
        <v/>
      </c>
      <c r="G4935" s="2" t="str">
        <f>IF(Table1[[#This Row],[Is Data Valid]]=TRUE,((Table1[[#This Row],[Birthweight (grams)]]/Table1[[#This Row],[BW_GA]])-1)/(Backend!$B$4/100*Table1[[#This Row],[BW40_3705]]),"")</f>
        <v/>
      </c>
      <c r="H4935" s="7" t="str">
        <f>IF(Table1[[#This Row],[Is Data Valid]]=TRUE,((Table1[[#This Row],[Birthweight (grams)]]*0.9/Table1[[#This Row],[BW_GA]])-1)/(Backend!$B$4/100*Table1[[#This Row],[BW40_3705]]),"")</f>
        <v/>
      </c>
      <c r="I4935" s="7" t="str">
        <f>IF(Table1[[#This Row],[Is Data Valid]]=TRUE,((Table1[[#This Row],[Birthweight (grams)]]*1.1/Table1[[#This Row],[BW_GA]])-1)/(Backend!$B$4/100*Table1[[#This Row],[BW40_3705]]),"")</f>
        <v/>
      </c>
      <c r="J4935" s="7" t="str">
        <f>IF(Table1[[#This Row],[Is Data Valid]]=TRUE,_xlfn.NORM.S.DIST(Table1[[#This Row],[Birthweight Z-Score]],TRUE)*100,"")</f>
        <v/>
      </c>
      <c r="K4935" s="7" t="str">
        <f>IF(Table1[[#This Row],[Is Data Valid]]=TRUE,_xlfn.NORM.S.DIST(Table1[[#This Row],[Birthweight Z-Score (BW-10%)]],TRUE)*100,"")</f>
        <v/>
      </c>
      <c r="L4935" s="7" t="str">
        <f>IF(Table1[[#This Row],[Is Data Valid]]=TRUE,_xlfn.NORM.S.DIST(Table1[[#This Row],[Birthweight Z-Score (BW+10%)]],TRUE)*100,"")</f>
        <v/>
      </c>
    </row>
    <row r="4936" spans="1:12" x14ac:dyDescent="0.35">
      <c r="A4936" s="3"/>
      <c r="B4936" s="2"/>
      <c r="C4936" s="2"/>
      <c r="D4936" s="2" t="b">
        <f>IF(AND(NOT(ISBLANK(Table1[[#This Row],[Fetal Sex (Male, Female or Unknown)]])),ISNUMBER(Table1[[#This Row],[Birthweight (grams)]]),ISNUMBER(Table1[[#This Row],[Gestation (days)]])),TRUE,FALSE)</f>
        <v>0</v>
      </c>
      <c r="E4936" s="2" t="str">
        <f>IF(Table1[[#This Row],[Is Data Valid]]=TRUE,IF(Table1[[#This Row],[Fetal Sex (Male, Female or Unknown)]]="Male",Backend!$C$6,IF(Table1[[#This Row],[Fetal Sex (Male, Female or Unknown)]]="Female",Backend!$C$7,IF(Table1[[#This Row],[Fetal Sex (Male, Female or Unknown)]]="Unknown",Backend!$C$8,"Error"))),"")</f>
        <v/>
      </c>
      <c r="F4936" s="8" t="str">
        <f>IF(Table1[[#This Row],[Is Data Valid]]=TRUE,EXP(0.578+0.332*((Table1[[#This Row],[Gestation (days)]]+0.5)/7)-0.00354*((Table1[[#This Row],[Gestation (days)]]+0.5)/7)^2)*Table1[[#This Row],[BW40_3705]],"")</f>
        <v/>
      </c>
      <c r="G4936" s="2" t="str">
        <f>IF(Table1[[#This Row],[Is Data Valid]]=TRUE,((Table1[[#This Row],[Birthweight (grams)]]/Table1[[#This Row],[BW_GA]])-1)/(Backend!$B$4/100*Table1[[#This Row],[BW40_3705]]),"")</f>
        <v/>
      </c>
      <c r="H4936" s="7" t="str">
        <f>IF(Table1[[#This Row],[Is Data Valid]]=TRUE,((Table1[[#This Row],[Birthweight (grams)]]*0.9/Table1[[#This Row],[BW_GA]])-1)/(Backend!$B$4/100*Table1[[#This Row],[BW40_3705]]),"")</f>
        <v/>
      </c>
      <c r="I4936" s="7" t="str">
        <f>IF(Table1[[#This Row],[Is Data Valid]]=TRUE,((Table1[[#This Row],[Birthweight (grams)]]*1.1/Table1[[#This Row],[BW_GA]])-1)/(Backend!$B$4/100*Table1[[#This Row],[BW40_3705]]),"")</f>
        <v/>
      </c>
      <c r="J4936" s="7" t="str">
        <f>IF(Table1[[#This Row],[Is Data Valid]]=TRUE,_xlfn.NORM.S.DIST(Table1[[#This Row],[Birthweight Z-Score]],TRUE)*100,"")</f>
        <v/>
      </c>
      <c r="K4936" s="7" t="str">
        <f>IF(Table1[[#This Row],[Is Data Valid]]=TRUE,_xlfn.NORM.S.DIST(Table1[[#This Row],[Birthweight Z-Score (BW-10%)]],TRUE)*100,"")</f>
        <v/>
      </c>
      <c r="L4936" s="7" t="str">
        <f>IF(Table1[[#This Row],[Is Data Valid]]=TRUE,_xlfn.NORM.S.DIST(Table1[[#This Row],[Birthweight Z-Score (BW+10%)]],TRUE)*100,"")</f>
        <v/>
      </c>
    </row>
    <row r="4937" spans="1:12" x14ac:dyDescent="0.35">
      <c r="A4937" s="3"/>
      <c r="B4937" s="2"/>
      <c r="C4937" s="2"/>
      <c r="D4937" s="2" t="b">
        <f>IF(AND(NOT(ISBLANK(Table1[[#This Row],[Fetal Sex (Male, Female or Unknown)]])),ISNUMBER(Table1[[#This Row],[Birthweight (grams)]]),ISNUMBER(Table1[[#This Row],[Gestation (days)]])),TRUE,FALSE)</f>
        <v>0</v>
      </c>
      <c r="E4937" s="2" t="str">
        <f>IF(Table1[[#This Row],[Is Data Valid]]=TRUE,IF(Table1[[#This Row],[Fetal Sex (Male, Female or Unknown)]]="Male",Backend!$C$6,IF(Table1[[#This Row],[Fetal Sex (Male, Female or Unknown)]]="Female",Backend!$C$7,IF(Table1[[#This Row],[Fetal Sex (Male, Female or Unknown)]]="Unknown",Backend!$C$8,"Error"))),"")</f>
        <v/>
      </c>
      <c r="F4937" s="8" t="str">
        <f>IF(Table1[[#This Row],[Is Data Valid]]=TRUE,EXP(0.578+0.332*((Table1[[#This Row],[Gestation (days)]]+0.5)/7)-0.00354*((Table1[[#This Row],[Gestation (days)]]+0.5)/7)^2)*Table1[[#This Row],[BW40_3705]],"")</f>
        <v/>
      </c>
      <c r="G4937" s="2" t="str">
        <f>IF(Table1[[#This Row],[Is Data Valid]]=TRUE,((Table1[[#This Row],[Birthweight (grams)]]/Table1[[#This Row],[BW_GA]])-1)/(Backend!$B$4/100*Table1[[#This Row],[BW40_3705]]),"")</f>
        <v/>
      </c>
      <c r="H4937" s="7" t="str">
        <f>IF(Table1[[#This Row],[Is Data Valid]]=TRUE,((Table1[[#This Row],[Birthweight (grams)]]*0.9/Table1[[#This Row],[BW_GA]])-1)/(Backend!$B$4/100*Table1[[#This Row],[BW40_3705]]),"")</f>
        <v/>
      </c>
      <c r="I4937" s="7" t="str">
        <f>IF(Table1[[#This Row],[Is Data Valid]]=TRUE,((Table1[[#This Row],[Birthweight (grams)]]*1.1/Table1[[#This Row],[BW_GA]])-1)/(Backend!$B$4/100*Table1[[#This Row],[BW40_3705]]),"")</f>
        <v/>
      </c>
      <c r="J4937" s="7" t="str">
        <f>IF(Table1[[#This Row],[Is Data Valid]]=TRUE,_xlfn.NORM.S.DIST(Table1[[#This Row],[Birthweight Z-Score]],TRUE)*100,"")</f>
        <v/>
      </c>
      <c r="K4937" s="7" t="str">
        <f>IF(Table1[[#This Row],[Is Data Valid]]=TRUE,_xlfn.NORM.S.DIST(Table1[[#This Row],[Birthweight Z-Score (BW-10%)]],TRUE)*100,"")</f>
        <v/>
      </c>
      <c r="L4937" s="7" t="str">
        <f>IF(Table1[[#This Row],[Is Data Valid]]=TRUE,_xlfn.NORM.S.DIST(Table1[[#This Row],[Birthweight Z-Score (BW+10%)]],TRUE)*100,"")</f>
        <v/>
      </c>
    </row>
    <row r="4938" spans="1:12" x14ac:dyDescent="0.35">
      <c r="A4938" s="3"/>
      <c r="B4938" s="2"/>
      <c r="C4938" s="2"/>
      <c r="D4938" s="2" t="b">
        <f>IF(AND(NOT(ISBLANK(Table1[[#This Row],[Fetal Sex (Male, Female or Unknown)]])),ISNUMBER(Table1[[#This Row],[Birthweight (grams)]]),ISNUMBER(Table1[[#This Row],[Gestation (days)]])),TRUE,FALSE)</f>
        <v>0</v>
      </c>
      <c r="E4938" s="2" t="str">
        <f>IF(Table1[[#This Row],[Is Data Valid]]=TRUE,IF(Table1[[#This Row],[Fetal Sex (Male, Female or Unknown)]]="Male",Backend!$C$6,IF(Table1[[#This Row],[Fetal Sex (Male, Female or Unknown)]]="Female",Backend!$C$7,IF(Table1[[#This Row],[Fetal Sex (Male, Female or Unknown)]]="Unknown",Backend!$C$8,"Error"))),"")</f>
        <v/>
      </c>
      <c r="F4938" s="8" t="str">
        <f>IF(Table1[[#This Row],[Is Data Valid]]=TRUE,EXP(0.578+0.332*((Table1[[#This Row],[Gestation (days)]]+0.5)/7)-0.00354*((Table1[[#This Row],[Gestation (days)]]+0.5)/7)^2)*Table1[[#This Row],[BW40_3705]],"")</f>
        <v/>
      </c>
      <c r="G4938" s="2" t="str">
        <f>IF(Table1[[#This Row],[Is Data Valid]]=TRUE,((Table1[[#This Row],[Birthweight (grams)]]/Table1[[#This Row],[BW_GA]])-1)/(Backend!$B$4/100*Table1[[#This Row],[BW40_3705]]),"")</f>
        <v/>
      </c>
      <c r="H4938" s="7" t="str">
        <f>IF(Table1[[#This Row],[Is Data Valid]]=TRUE,((Table1[[#This Row],[Birthweight (grams)]]*0.9/Table1[[#This Row],[BW_GA]])-1)/(Backend!$B$4/100*Table1[[#This Row],[BW40_3705]]),"")</f>
        <v/>
      </c>
      <c r="I4938" s="7" t="str">
        <f>IF(Table1[[#This Row],[Is Data Valid]]=TRUE,((Table1[[#This Row],[Birthweight (grams)]]*1.1/Table1[[#This Row],[BW_GA]])-1)/(Backend!$B$4/100*Table1[[#This Row],[BW40_3705]]),"")</f>
        <v/>
      </c>
      <c r="J4938" s="7" t="str">
        <f>IF(Table1[[#This Row],[Is Data Valid]]=TRUE,_xlfn.NORM.S.DIST(Table1[[#This Row],[Birthweight Z-Score]],TRUE)*100,"")</f>
        <v/>
      </c>
      <c r="K4938" s="7" t="str">
        <f>IF(Table1[[#This Row],[Is Data Valid]]=TRUE,_xlfn.NORM.S.DIST(Table1[[#This Row],[Birthweight Z-Score (BW-10%)]],TRUE)*100,"")</f>
        <v/>
      </c>
      <c r="L4938" s="7" t="str">
        <f>IF(Table1[[#This Row],[Is Data Valid]]=TRUE,_xlfn.NORM.S.DIST(Table1[[#This Row],[Birthweight Z-Score (BW+10%)]],TRUE)*100,"")</f>
        <v/>
      </c>
    </row>
    <row r="4939" spans="1:12" x14ac:dyDescent="0.35">
      <c r="A4939" s="3"/>
      <c r="B4939" s="2"/>
      <c r="C4939" s="2"/>
      <c r="D4939" s="2" t="b">
        <f>IF(AND(NOT(ISBLANK(Table1[[#This Row],[Fetal Sex (Male, Female or Unknown)]])),ISNUMBER(Table1[[#This Row],[Birthweight (grams)]]),ISNUMBER(Table1[[#This Row],[Gestation (days)]])),TRUE,FALSE)</f>
        <v>0</v>
      </c>
      <c r="E4939" s="2" t="str">
        <f>IF(Table1[[#This Row],[Is Data Valid]]=TRUE,IF(Table1[[#This Row],[Fetal Sex (Male, Female or Unknown)]]="Male",Backend!$C$6,IF(Table1[[#This Row],[Fetal Sex (Male, Female or Unknown)]]="Female",Backend!$C$7,IF(Table1[[#This Row],[Fetal Sex (Male, Female or Unknown)]]="Unknown",Backend!$C$8,"Error"))),"")</f>
        <v/>
      </c>
      <c r="F4939" s="8" t="str">
        <f>IF(Table1[[#This Row],[Is Data Valid]]=TRUE,EXP(0.578+0.332*((Table1[[#This Row],[Gestation (days)]]+0.5)/7)-0.00354*((Table1[[#This Row],[Gestation (days)]]+0.5)/7)^2)*Table1[[#This Row],[BW40_3705]],"")</f>
        <v/>
      </c>
      <c r="G4939" s="2" t="str">
        <f>IF(Table1[[#This Row],[Is Data Valid]]=TRUE,((Table1[[#This Row],[Birthweight (grams)]]/Table1[[#This Row],[BW_GA]])-1)/(Backend!$B$4/100*Table1[[#This Row],[BW40_3705]]),"")</f>
        <v/>
      </c>
      <c r="H4939" s="7" t="str">
        <f>IF(Table1[[#This Row],[Is Data Valid]]=TRUE,((Table1[[#This Row],[Birthweight (grams)]]*0.9/Table1[[#This Row],[BW_GA]])-1)/(Backend!$B$4/100*Table1[[#This Row],[BW40_3705]]),"")</f>
        <v/>
      </c>
      <c r="I4939" s="7" t="str">
        <f>IF(Table1[[#This Row],[Is Data Valid]]=TRUE,((Table1[[#This Row],[Birthweight (grams)]]*1.1/Table1[[#This Row],[BW_GA]])-1)/(Backend!$B$4/100*Table1[[#This Row],[BW40_3705]]),"")</f>
        <v/>
      </c>
      <c r="J4939" s="7" t="str">
        <f>IF(Table1[[#This Row],[Is Data Valid]]=TRUE,_xlfn.NORM.S.DIST(Table1[[#This Row],[Birthweight Z-Score]],TRUE)*100,"")</f>
        <v/>
      </c>
      <c r="K4939" s="7" t="str">
        <f>IF(Table1[[#This Row],[Is Data Valid]]=TRUE,_xlfn.NORM.S.DIST(Table1[[#This Row],[Birthweight Z-Score (BW-10%)]],TRUE)*100,"")</f>
        <v/>
      </c>
      <c r="L4939" s="7" t="str">
        <f>IF(Table1[[#This Row],[Is Data Valid]]=TRUE,_xlfn.NORM.S.DIST(Table1[[#This Row],[Birthweight Z-Score (BW+10%)]],TRUE)*100,"")</f>
        <v/>
      </c>
    </row>
    <row r="4940" spans="1:12" x14ac:dyDescent="0.35">
      <c r="A4940" s="3"/>
      <c r="B4940" s="2"/>
      <c r="C4940" s="2"/>
      <c r="D4940" s="2" t="b">
        <f>IF(AND(NOT(ISBLANK(Table1[[#This Row],[Fetal Sex (Male, Female or Unknown)]])),ISNUMBER(Table1[[#This Row],[Birthweight (grams)]]),ISNUMBER(Table1[[#This Row],[Gestation (days)]])),TRUE,FALSE)</f>
        <v>0</v>
      </c>
      <c r="E4940" s="2" t="str">
        <f>IF(Table1[[#This Row],[Is Data Valid]]=TRUE,IF(Table1[[#This Row],[Fetal Sex (Male, Female or Unknown)]]="Male",Backend!$C$6,IF(Table1[[#This Row],[Fetal Sex (Male, Female or Unknown)]]="Female",Backend!$C$7,IF(Table1[[#This Row],[Fetal Sex (Male, Female or Unknown)]]="Unknown",Backend!$C$8,"Error"))),"")</f>
        <v/>
      </c>
      <c r="F4940" s="8" t="str">
        <f>IF(Table1[[#This Row],[Is Data Valid]]=TRUE,EXP(0.578+0.332*((Table1[[#This Row],[Gestation (days)]]+0.5)/7)-0.00354*((Table1[[#This Row],[Gestation (days)]]+0.5)/7)^2)*Table1[[#This Row],[BW40_3705]],"")</f>
        <v/>
      </c>
      <c r="G4940" s="2" t="str">
        <f>IF(Table1[[#This Row],[Is Data Valid]]=TRUE,((Table1[[#This Row],[Birthweight (grams)]]/Table1[[#This Row],[BW_GA]])-1)/(Backend!$B$4/100*Table1[[#This Row],[BW40_3705]]),"")</f>
        <v/>
      </c>
      <c r="H4940" s="7" t="str">
        <f>IF(Table1[[#This Row],[Is Data Valid]]=TRUE,((Table1[[#This Row],[Birthweight (grams)]]*0.9/Table1[[#This Row],[BW_GA]])-1)/(Backend!$B$4/100*Table1[[#This Row],[BW40_3705]]),"")</f>
        <v/>
      </c>
      <c r="I4940" s="7" t="str">
        <f>IF(Table1[[#This Row],[Is Data Valid]]=TRUE,((Table1[[#This Row],[Birthweight (grams)]]*1.1/Table1[[#This Row],[BW_GA]])-1)/(Backend!$B$4/100*Table1[[#This Row],[BW40_3705]]),"")</f>
        <v/>
      </c>
      <c r="J4940" s="7" t="str">
        <f>IF(Table1[[#This Row],[Is Data Valid]]=TRUE,_xlfn.NORM.S.DIST(Table1[[#This Row],[Birthweight Z-Score]],TRUE)*100,"")</f>
        <v/>
      </c>
      <c r="K4940" s="7" t="str">
        <f>IF(Table1[[#This Row],[Is Data Valid]]=TRUE,_xlfn.NORM.S.DIST(Table1[[#This Row],[Birthweight Z-Score (BW-10%)]],TRUE)*100,"")</f>
        <v/>
      </c>
      <c r="L4940" s="7" t="str">
        <f>IF(Table1[[#This Row],[Is Data Valid]]=TRUE,_xlfn.NORM.S.DIST(Table1[[#This Row],[Birthweight Z-Score (BW+10%)]],TRUE)*100,"")</f>
        <v/>
      </c>
    </row>
    <row r="4941" spans="1:12" x14ac:dyDescent="0.35">
      <c r="A4941" s="3"/>
      <c r="B4941" s="2"/>
      <c r="C4941" s="2"/>
      <c r="D4941" s="2" t="b">
        <f>IF(AND(NOT(ISBLANK(Table1[[#This Row],[Fetal Sex (Male, Female or Unknown)]])),ISNUMBER(Table1[[#This Row],[Birthweight (grams)]]),ISNUMBER(Table1[[#This Row],[Gestation (days)]])),TRUE,FALSE)</f>
        <v>0</v>
      </c>
      <c r="E4941" s="2" t="str">
        <f>IF(Table1[[#This Row],[Is Data Valid]]=TRUE,IF(Table1[[#This Row],[Fetal Sex (Male, Female or Unknown)]]="Male",Backend!$C$6,IF(Table1[[#This Row],[Fetal Sex (Male, Female or Unknown)]]="Female",Backend!$C$7,IF(Table1[[#This Row],[Fetal Sex (Male, Female or Unknown)]]="Unknown",Backend!$C$8,"Error"))),"")</f>
        <v/>
      </c>
      <c r="F4941" s="8" t="str">
        <f>IF(Table1[[#This Row],[Is Data Valid]]=TRUE,EXP(0.578+0.332*((Table1[[#This Row],[Gestation (days)]]+0.5)/7)-0.00354*((Table1[[#This Row],[Gestation (days)]]+0.5)/7)^2)*Table1[[#This Row],[BW40_3705]],"")</f>
        <v/>
      </c>
      <c r="G4941" s="2" t="str">
        <f>IF(Table1[[#This Row],[Is Data Valid]]=TRUE,((Table1[[#This Row],[Birthweight (grams)]]/Table1[[#This Row],[BW_GA]])-1)/(Backend!$B$4/100*Table1[[#This Row],[BW40_3705]]),"")</f>
        <v/>
      </c>
      <c r="H4941" s="7" t="str">
        <f>IF(Table1[[#This Row],[Is Data Valid]]=TRUE,((Table1[[#This Row],[Birthweight (grams)]]*0.9/Table1[[#This Row],[BW_GA]])-1)/(Backend!$B$4/100*Table1[[#This Row],[BW40_3705]]),"")</f>
        <v/>
      </c>
      <c r="I4941" s="7" t="str">
        <f>IF(Table1[[#This Row],[Is Data Valid]]=TRUE,((Table1[[#This Row],[Birthweight (grams)]]*1.1/Table1[[#This Row],[BW_GA]])-1)/(Backend!$B$4/100*Table1[[#This Row],[BW40_3705]]),"")</f>
        <v/>
      </c>
      <c r="J4941" s="7" t="str">
        <f>IF(Table1[[#This Row],[Is Data Valid]]=TRUE,_xlfn.NORM.S.DIST(Table1[[#This Row],[Birthweight Z-Score]],TRUE)*100,"")</f>
        <v/>
      </c>
      <c r="K4941" s="7" t="str">
        <f>IF(Table1[[#This Row],[Is Data Valid]]=TRUE,_xlfn.NORM.S.DIST(Table1[[#This Row],[Birthweight Z-Score (BW-10%)]],TRUE)*100,"")</f>
        <v/>
      </c>
      <c r="L4941" s="7" t="str">
        <f>IF(Table1[[#This Row],[Is Data Valid]]=TRUE,_xlfn.NORM.S.DIST(Table1[[#This Row],[Birthweight Z-Score (BW+10%)]],TRUE)*100,"")</f>
        <v/>
      </c>
    </row>
    <row r="4942" spans="1:12" x14ac:dyDescent="0.35">
      <c r="A4942" s="3"/>
      <c r="B4942" s="2"/>
      <c r="C4942" s="2"/>
      <c r="D4942" s="2" t="b">
        <f>IF(AND(NOT(ISBLANK(Table1[[#This Row],[Fetal Sex (Male, Female or Unknown)]])),ISNUMBER(Table1[[#This Row],[Birthweight (grams)]]),ISNUMBER(Table1[[#This Row],[Gestation (days)]])),TRUE,FALSE)</f>
        <v>0</v>
      </c>
      <c r="E4942" s="2" t="str">
        <f>IF(Table1[[#This Row],[Is Data Valid]]=TRUE,IF(Table1[[#This Row],[Fetal Sex (Male, Female or Unknown)]]="Male",Backend!$C$6,IF(Table1[[#This Row],[Fetal Sex (Male, Female or Unknown)]]="Female",Backend!$C$7,IF(Table1[[#This Row],[Fetal Sex (Male, Female or Unknown)]]="Unknown",Backend!$C$8,"Error"))),"")</f>
        <v/>
      </c>
      <c r="F4942" s="8" t="str">
        <f>IF(Table1[[#This Row],[Is Data Valid]]=TRUE,EXP(0.578+0.332*((Table1[[#This Row],[Gestation (days)]]+0.5)/7)-0.00354*((Table1[[#This Row],[Gestation (days)]]+0.5)/7)^2)*Table1[[#This Row],[BW40_3705]],"")</f>
        <v/>
      </c>
      <c r="G4942" s="2" t="str">
        <f>IF(Table1[[#This Row],[Is Data Valid]]=TRUE,((Table1[[#This Row],[Birthweight (grams)]]/Table1[[#This Row],[BW_GA]])-1)/(Backend!$B$4/100*Table1[[#This Row],[BW40_3705]]),"")</f>
        <v/>
      </c>
      <c r="H4942" s="7" t="str">
        <f>IF(Table1[[#This Row],[Is Data Valid]]=TRUE,((Table1[[#This Row],[Birthweight (grams)]]*0.9/Table1[[#This Row],[BW_GA]])-1)/(Backend!$B$4/100*Table1[[#This Row],[BW40_3705]]),"")</f>
        <v/>
      </c>
      <c r="I4942" s="7" t="str">
        <f>IF(Table1[[#This Row],[Is Data Valid]]=TRUE,((Table1[[#This Row],[Birthweight (grams)]]*1.1/Table1[[#This Row],[BW_GA]])-1)/(Backend!$B$4/100*Table1[[#This Row],[BW40_3705]]),"")</f>
        <v/>
      </c>
      <c r="J4942" s="7" t="str">
        <f>IF(Table1[[#This Row],[Is Data Valid]]=TRUE,_xlfn.NORM.S.DIST(Table1[[#This Row],[Birthweight Z-Score]],TRUE)*100,"")</f>
        <v/>
      </c>
      <c r="K4942" s="7" t="str">
        <f>IF(Table1[[#This Row],[Is Data Valid]]=TRUE,_xlfn.NORM.S.DIST(Table1[[#This Row],[Birthweight Z-Score (BW-10%)]],TRUE)*100,"")</f>
        <v/>
      </c>
      <c r="L4942" s="7" t="str">
        <f>IF(Table1[[#This Row],[Is Data Valid]]=TRUE,_xlfn.NORM.S.DIST(Table1[[#This Row],[Birthweight Z-Score (BW+10%)]],TRUE)*100,"")</f>
        <v/>
      </c>
    </row>
    <row r="4943" spans="1:12" x14ac:dyDescent="0.35">
      <c r="A4943" s="3"/>
      <c r="B4943" s="2"/>
      <c r="C4943" s="2"/>
      <c r="D4943" s="2" t="b">
        <f>IF(AND(NOT(ISBLANK(Table1[[#This Row],[Fetal Sex (Male, Female or Unknown)]])),ISNUMBER(Table1[[#This Row],[Birthweight (grams)]]),ISNUMBER(Table1[[#This Row],[Gestation (days)]])),TRUE,FALSE)</f>
        <v>0</v>
      </c>
      <c r="E4943" s="2" t="str">
        <f>IF(Table1[[#This Row],[Is Data Valid]]=TRUE,IF(Table1[[#This Row],[Fetal Sex (Male, Female or Unknown)]]="Male",Backend!$C$6,IF(Table1[[#This Row],[Fetal Sex (Male, Female or Unknown)]]="Female",Backend!$C$7,IF(Table1[[#This Row],[Fetal Sex (Male, Female or Unknown)]]="Unknown",Backend!$C$8,"Error"))),"")</f>
        <v/>
      </c>
      <c r="F4943" s="8" t="str">
        <f>IF(Table1[[#This Row],[Is Data Valid]]=TRUE,EXP(0.578+0.332*((Table1[[#This Row],[Gestation (days)]]+0.5)/7)-0.00354*((Table1[[#This Row],[Gestation (days)]]+0.5)/7)^2)*Table1[[#This Row],[BW40_3705]],"")</f>
        <v/>
      </c>
      <c r="G4943" s="2" t="str">
        <f>IF(Table1[[#This Row],[Is Data Valid]]=TRUE,((Table1[[#This Row],[Birthweight (grams)]]/Table1[[#This Row],[BW_GA]])-1)/(Backend!$B$4/100*Table1[[#This Row],[BW40_3705]]),"")</f>
        <v/>
      </c>
      <c r="H4943" s="7" t="str">
        <f>IF(Table1[[#This Row],[Is Data Valid]]=TRUE,((Table1[[#This Row],[Birthweight (grams)]]*0.9/Table1[[#This Row],[BW_GA]])-1)/(Backend!$B$4/100*Table1[[#This Row],[BW40_3705]]),"")</f>
        <v/>
      </c>
      <c r="I4943" s="7" t="str">
        <f>IF(Table1[[#This Row],[Is Data Valid]]=TRUE,((Table1[[#This Row],[Birthweight (grams)]]*1.1/Table1[[#This Row],[BW_GA]])-1)/(Backend!$B$4/100*Table1[[#This Row],[BW40_3705]]),"")</f>
        <v/>
      </c>
      <c r="J4943" s="7" t="str">
        <f>IF(Table1[[#This Row],[Is Data Valid]]=TRUE,_xlfn.NORM.S.DIST(Table1[[#This Row],[Birthweight Z-Score]],TRUE)*100,"")</f>
        <v/>
      </c>
      <c r="K4943" s="7" t="str">
        <f>IF(Table1[[#This Row],[Is Data Valid]]=TRUE,_xlfn.NORM.S.DIST(Table1[[#This Row],[Birthweight Z-Score (BW-10%)]],TRUE)*100,"")</f>
        <v/>
      </c>
      <c r="L4943" s="7" t="str">
        <f>IF(Table1[[#This Row],[Is Data Valid]]=TRUE,_xlfn.NORM.S.DIST(Table1[[#This Row],[Birthweight Z-Score (BW+10%)]],TRUE)*100,"")</f>
        <v/>
      </c>
    </row>
    <row r="4944" spans="1:12" x14ac:dyDescent="0.35">
      <c r="A4944" s="3"/>
      <c r="B4944" s="2"/>
      <c r="C4944" s="2"/>
      <c r="D4944" s="2" t="b">
        <f>IF(AND(NOT(ISBLANK(Table1[[#This Row],[Fetal Sex (Male, Female or Unknown)]])),ISNUMBER(Table1[[#This Row],[Birthweight (grams)]]),ISNUMBER(Table1[[#This Row],[Gestation (days)]])),TRUE,FALSE)</f>
        <v>0</v>
      </c>
      <c r="E4944" s="2" t="str">
        <f>IF(Table1[[#This Row],[Is Data Valid]]=TRUE,IF(Table1[[#This Row],[Fetal Sex (Male, Female or Unknown)]]="Male",Backend!$C$6,IF(Table1[[#This Row],[Fetal Sex (Male, Female or Unknown)]]="Female",Backend!$C$7,IF(Table1[[#This Row],[Fetal Sex (Male, Female or Unknown)]]="Unknown",Backend!$C$8,"Error"))),"")</f>
        <v/>
      </c>
      <c r="F4944" s="8" t="str">
        <f>IF(Table1[[#This Row],[Is Data Valid]]=TRUE,EXP(0.578+0.332*((Table1[[#This Row],[Gestation (days)]]+0.5)/7)-0.00354*((Table1[[#This Row],[Gestation (days)]]+0.5)/7)^2)*Table1[[#This Row],[BW40_3705]],"")</f>
        <v/>
      </c>
      <c r="G4944" s="2" t="str">
        <f>IF(Table1[[#This Row],[Is Data Valid]]=TRUE,((Table1[[#This Row],[Birthweight (grams)]]/Table1[[#This Row],[BW_GA]])-1)/(Backend!$B$4/100*Table1[[#This Row],[BW40_3705]]),"")</f>
        <v/>
      </c>
      <c r="H4944" s="7" t="str">
        <f>IF(Table1[[#This Row],[Is Data Valid]]=TRUE,((Table1[[#This Row],[Birthweight (grams)]]*0.9/Table1[[#This Row],[BW_GA]])-1)/(Backend!$B$4/100*Table1[[#This Row],[BW40_3705]]),"")</f>
        <v/>
      </c>
      <c r="I4944" s="7" t="str">
        <f>IF(Table1[[#This Row],[Is Data Valid]]=TRUE,((Table1[[#This Row],[Birthweight (grams)]]*1.1/Table1[[#This Row],[BW_GA]])-1)/(Backend!$B$4/100*Table1[[#This Row],[BW40_3705]]),"")</f>
        <v/>
      </c>
      <c r="J4944" s="7" t="str">
        <f>IF(Table1[[#This Row],[Is Data Valid]]=TRUE,_xlfn.NORM.S.DIST(Table1[[#This Row],[Birthweight Z-Score]],TRUE)*100,"")</f>
        <v/>
      </c>
      <c r="K4944" s="7" t="str">
        <f>IF(Table1[[#This Row],[Is Data Valid]]=TRUE,_xlfn.NORM.S.DIST(Table1[[#This Row],[Birthweight Z-Score (BW-10%)]],TRUE)*100,"")</f>
        <v/>
      </c>
      <c r="L4944" s="7" t="str">
        <f>IF(Table1[[#This Row],[Is Data Valid]]=TRUE,_xlfn.NORM.S.DIST(Table1[[#This Row],[Birthweight Z-Score (BW+10%)]],TRUE)*100,"")</f>
        <v/>
      </c>
    </row>
    <row r="4945" spans="1:12" x14ac:dyDescent="0.35">
      <c r="A4945" s="3"/>
      <c r="B4945" s="2"/>
      <c r="C4945" s="2"/>
      <c r="D4945" s="2" t="b">
        <f>IF(AND(NOT(ISBLANK(Table1[[#This Row],[Fetal Sex (Male, Female or Unknown)]])),ISNUMBER(Table1[[#This Row],[Birthweight (grams)]]),ISNUMBER(Table1[[#This Row],[Gestation (days)]])),TRUE,FALSE)</f>
        <v>0</v>
      </c>
      <c r="E4945" s="2" t="str">
        <f>IF(Table1[[#This Row],[Is Data Valid]]=TRUE,IF(Table1[[#This Row],[Fetal Sex (Male, Female or Unknown)]]="Male",Backend!$C$6,IF(Table1[[#This Row],[Fetal Sex (Male, Female or Unknown)]]="Female",Backend!$C$7,IF(Table1[[#This Row],[Fetal Sex (Male, Female or Unknown)]]="Unknown",Backend!$C$8,"Error"))),"")</f>
        <v/>
      </c>
      <c r="F4945" s="8" t="str">
        <f>IF(Table1[[#This Row],[Is Data Valid]]=TRUE,EXP(0.578+0.332*((Table1[[#This Row],[Gestation (days)]]+0.5)/7)-0.00354*((Table1[[#This Row],[Gestation (days)]]+0.5)/7)^2)*Table1[[#This Row],[BW40_3705]],"")</f>
        <v/>
      </c>
      <c r="G4945" s="2" t="str">
        <f>IF(Table1[[#This Row],[Is Data Valid]]=TRUE,((Table1[[#This Row],[Birthweight (grams)]]/Table1[[#This Row],[BW_GA]])-1)/(Backend!$B$4/100*Table1[[#This Row],[BW40_3705]]),"")</f>
        <v/>
      </c>
      <c r="H4945" s="7" t="str">
        <f>IF(Table1[[#This Row],[Is Data Valid]]=TRUE,((Table1[[#This Row],[Birthweight (grams)]]*0.9/Table1[[#This Row],[BW_GA]])-1)/(Backend!$B$4/100*Table1[[#This Row],[BW40_3705]]),"")</f>
        <v/>
      </c>
      <c r="I4945" s="7" t="str">
        <f>IF(Table1[[#This Row],[Is Data Valid]]=TRUE,((Table1[[#This Row],[Birthweight (grams)]]*1.1/Table1[[#This Row],[BW_GA]])-1)/(Backend!$B$4/100*Table1[[#This Row],[BW40_3705]]),"")</f>
        <v/>
      </c>
      <c r="J4945" s="7" t="str">
        <f>IF(Table1[[#This Row],[Is Data Valid]]=TRUE,_xlfn.NORM.S.DIST(Table1[[#This Row],[Birthweight Z-Score]],TRUE)*100,"")</f>
        <v/>
      </c>
      <c r="K4945" s="7" t="str">
        <f>IF(Table1[[#This Row],[Is Data Valid]]=TRUE,_xlfn.NORM.S.DIST(Table1[[#This Row],[Birthweight Z-Score (BW-10%)]],TRUE)*100,"")</f>
        <v/>
      </c>
      <c r="L4945" s="7" t="str">
        <f>IF(Table1[[#This Row],[Is Data Valid]]=TRUE,_xlfn.NORM.S.DIST(Table1[[#This Row],[Birthweight Z-Score (BW+10%)]],TRUE)*100,"")</f>
        <v/>
      </c>
    </row>
    <row r="4946" spans="1:12" x14ac:dyDescent="0.35">
      <c r="A4946" s="3"/>
      <c r="B4946" s="2"/>
      <c r="C4946" s="2"/>
      <c r="D4946" s="2" t="b">
        <f>IF(AND(NOT(ISBLANK(Table1[[#This Row],[Fetal Sex (Male, Female or Unknown)]])),ISNUMBER(Table1[[#This Row],[Birthweight (grams)]]),ISNUMBER(Table1[[#This Row],[Gestation (days)]])),TRUE,FALSE)</f>
        <v>0</v>
      </c>
      <c r="E4946" s="2" t="str">
        <f>IF(Table1[[#This Row],[Is Data Valid]]=TRUE,IF(Table1[[#This Row],[Fetal Sex (Male, Female or Unknown)]]="Male",Backend!$C$6,IF(Table1[[#This Row],[Fetal Sex (Male, Female or Unknown)]]="Female",Backend!$C$7,IF(Table1[[#This Row],[Fetal Sex (Male, Female or Unknown)]]="Unknown",Backend!$C$8,"Error"))),"")</f>
        <v/>
      </c>
      <c r="F4946" s="8" t="str">
        <f>IF(Table1[[#This Row],[Is Data Valid]]=TRUE,EXP(0.578+0.332*((Table1[[#This Row],[Gestation (days)]]+0.5)/7)-0.00354*((Table1[[#This Row],[Gestation (days)]]+0.5)/7)^2)*Table1[[#This Row],[BW40_3705]],"")</f>
        <v/>
      </c>
      <c r="G4946" s="2" t="str">
        <f>IF(Table1[[#This Row],[Is Data Valid]]=TRUE,((Table1[[#This Row],[Birthweight (grams)]]/Table1[[#This Row],[BW_GA]])-1)/(Backend!$B$4/100*Table1[[#This Row],[BW40_3705]]),"")</f>
        <v/>
      </c>
      <c r="H4946" s="7" t="str">
        <f>IF(Table1[[#This Row],[Is Data Valid]]=TRUE,((Table1[[#This Row],[Birthweight (grams)]]*0.9/Table1[[#This Row],[BW_GA]])-1)/(Backend!$B$4/100*Table1[[#This Row],[BW40_3705]]),"")</f>
        <v/>
      </c>
      <c r="I4946" s="7" t="str">
        <f>IF(Table1[[#This Row],[Is Data Valid]]=TRUE,((Table1[[#This Row],[Birthweight (grams)]]*1.1/Table1[[#This Row],[BW_GA]])-1)/(Backend!$B$4/100*Table1[[#This Row],[BW40_3705]]),"")</f>
        <v/>
      </c>
      <c r="J4946" s="7" t="str">
        <f>IF(Table1[[#This Row],[Is Data Valid]]=TRUE,_xlfn.NORM.S.DIST(Table1[[#This Row],[Birthweight Z-Score]],TRUE)*100,"")</f>
        <v/>
      </c>
      <c r="K4946" s="7" t="str">
        <f>IF(Table1[[#This Row],[Is Data Valid]]=TRUE,_xlfn.NORM.S.DIST(Table1[[#This Row],[Birthweight Z-Score (BW-10%)]],TRUE)*100,"")</f>
        <v/>
      </c>
      <c r="L4946" s="7" t="str">
        <f>IF(Table1[[#This Row],[Is Data Valid]]=TRUE,_xlfn.NORM.S.DIST(Table1[[#This Row],[Birthweight Z-Score (BW+10%)]],TRUE)*100,"")</f>
        <v/>
      </c>
    </row>
    <row r="4947" spans="1:12" x14ac:dyDescent="0.35">
      <c r="A4947" s="3"/>
      <c r="B4947" s="2"/>
      <c r="C4947" s="2"/>
      <c r="D4947" s="2" t="b">
        <f>IF(AND(NOT(ISBLANK(Table1[[#This Row],[Fetal Sex (Male, Female or Unknown)]])),ISNUMBER(Table1[[#This Row],[Birthweight (grams)]]),ISNUMBER(Table1[[#This Row],[Gestation (days)]])),TRUE,FALSE)</f>
        <v>0</v>
      </c>
      <c r="E4947" s="2" t="str">
        <f>IF(Table1[[#This Row],[Is Data Valid]]=TRUE,IF(Table1[[#This Row],[Fetal Sex (Male, Female or Unknown)]]="Male",Backend!$C$6,IF(Table1[[#This Row],[Fetal Sex (Male, Female or Unknown)]]="Female",Backend!$C$7,IF(Table1[[#This Row],[Fetal Sex (Male, Female or Unknown)]]="Unknown",Backend!$C$8,"Error"))),"")</f>
        <v/>
      </c>
      <c r="F4947" s="8" t="str">
        <f>IF(Table1[[#This Row],[Is Data Valid]]=TRUE,EXP(0.578+0.332*((Table1[[#This Row],[Gestation (days)]]+0.5)/7)-0.00354*((Table1[[#This Row],[Gestation (days)]]+0.5)/7)^2)*Table1[[#This Row],[BW40_3705]],"")</f>
        <v/>
      </c>
      <c r="G4947" s="2" t="str">
        <f>IF(Table1[[#This Row],[Is Data Valid]]=TRUE,((Table1[[#This Row],[Birthweight (grams)]]/Table1[[#This Row],[BW_GA]])-1)/(Backend!$B$4/100*Table1[[#This Row],[BW40_3705]]),"")</f>
        <v/>
      </c>
      <c r="H4947" s="7" t="str">
        <f>IF(Table1[[#This Row],[Is Data Valid]]=TRUE,((Table1[[#This Row],[Birthweight (grams)]]*0.9/Table1[[#This Row],[BW_GA]])-1)/(Backend!$B$4/100*Table1[[#This Row],[BW40_3705]]),"")</f>
        <v/>
      </c>
      <c r="I4947" s="7" t="str">
        <f>IF(Table1[[#This Row],[Is Data Valid]]=TRUE,((Table1[[#This Row],[Birthweight (grams)]]*1.1/Table1[[#This Row],[BW_GA]])-1)/(Backend!$B$4/100*Table1[[#This Row],[BW40_3705]]),"")</f>
        <v/>
      </c>
      <c r="J4947" s="7" t="str">
        <f>IF(Table1[[#This Row],[Is Data Valid]]=TRUE,_xlfn.NORM.S.DIST(Table1[[#This Row],[Birthweight Z-Score]],TRUE)*100,"")</f>
        <v/>
      </c>
      <c r="K4947" s="7" t="str">
        <f>IF(Table1[[#This Row],[Is Data Valid]]=TRUE,_xlfn.NORM.S.DIST(Table1[[#This Row],[Birthweight Z-Score (BW-10%)]],TRUE)*100,"")</f>
        <v/>
      </c>
      <c r="L4947" s="7" t="str">
        <f>IF(Table1[[#This Row],[Is Data Valid]]=TRUE,_xlfn.NORM.S.DIST(Table1[[#This Row],[Birthweight Z-Score (BW+10%)]],TRUE)*100,"")</f>
        <v/>
      </c>
    </row>
    <row r="4948" spans="1:12" x14ac:dyDescent="0.35">
      <c r="A4948" s="3"/>
      <c r="B4948" s="2"/>
      <c r="C4948" s="2"/>
      <c r="D4948" s="2" t="b">
        <f>IF(AND(NOT(ISBLANK(Table1[[#This Row],[Fetal Sex (Male, Female or Unknown)]])),ISNUMBER(Table1[[#This Row],[Birthweight (grams)]]),ISNUMBER(Table1[[#This Row],[Gestation (days)]])),TRUE,FALSE)</f>
        <v>0</v>
      </c>
      <c r="E4948" s="2" t="str">
        <f>IF(Table1[[#This Row],[Is Data Valid]]=TRUE,IF(Table1[[#This Row],[Fetal Sex (Male, Female or Unknown)]]="Male",Backend!$C$6,IF(Table1[[#This Row],[Fetal Sex (Male, Female or Unknown)]]="Female",Backend!$C$7,IF(Table1[[#This Row],[Fetal Sex (Male, Female or Unknown)]]="Unknown",Backend!$C$8,"Error"))),"")</f>
        <v/>
      </c>
      <c r="F4948" s="8" t="str">
        <f>IF(Table1[[#This Row],[Is Data Valid]]=TRUE,EXP(0.578+0.332*((Table1[[#This Row],[Gestation (days)]]+0.5)/7)-0.00354*((Table1[[#This Row],[Gestation (days)]]+0.5)/7)^2)*Table1[[#This Row],[BW40_3705]],"")</f>
        <v/>
      </c>
      <c r="G4948" s="2" t="str">
        <f>IF(Table1[[#This Row],[Is Data Valid]]=TRUE,((Table1[[#This Row],[Birthweight (grams)]]/Table1[[#This Row],[BW_GA]])-1)/(Backend!$B$4/100*Table1[[#This Row],[BW40_3705]]),"")</f>
        <v/>
      </c>
      <c r="H4948" s="7" t="str">
        <f>IF(Table1[[#This Row],[Is Data Valid]]=TRUE,((Table1[[#This Row],[Birthweight (grams)]]*0.9/Table1[[#This Row],[BW_GA]])-1)/(Backend!$B$4/100*Table1[[#This Row],[BW40_3705]]),"")</f>
        <v/>
      </c>
      <c r="I4948" s="7" t="str">
        <f>IF(Table1[[#This Row],[Is Data Valid]]=TRUE,((Table1[[#This Row],[Birthweight (grams)]]*1.1/Table1[[#This Row],[BW_GA]])-1)/(Backend!$B$4/100*Table1[[#This Row],[BW40_3705]]),"")</f>
        <v/>
      </c>
      <c r="J4948" s="7" t="str">
        <f>IF(Table1[[#This Row],[Is Data Valid]]=TRUE,_xlfn.NORM.S.DIST(Table1[[#This Row],[Birthweight Z-Score]],TRUE)*100,"")</f>
        <v/>
      </c>
      <c r="K4948" s="7" t="str">
        <f>IF(Table1[[#This Row],[Is Data Valid]]=TRUE,_xlfn.NORM.S.DIST(Table1[[#This Row],[Birthweight Z-Score (BW-10%)]],TRUE)*100,"")</f>
        <v/>
      </c>
      <c r="L4948" s="7" t="str">
        <f>IF(Table1[[#This Row],[Is Data Valid]]=TRUE,_xlfn.NORM.S.DIST(Table1[[#This Row],[Birthweight Z-Score (BW+10%)]],TRUE)*100,"")</f>
        <v/>
      </c>
    </row>
    <row r="4949" spans="1:12" x14ac:dyDescent="0.35">
      <c r="A4949" s="3"/>
      <c r="B4949" s="2"/>
      <c r="C4949" s="2"/>
      <c r="D4949" s="2" t="b">
        <f>IF(AND(NOT(ISBLANK(Table1[[#This Row],[Fetal Sex (Male, Female or Unknown)]])),ISNUMBER(Table1[[#This Row],[Birthweight (grams)]]),ISNUMBER(Table1[[#This Row],[Gestation (days)]])),TRUE,FALSE)</f>
        <v>0</v>
      </c>
      <c r="E4949" s="2" t="str">
        <f>IF(Table1[[#This Row],[Is Data Valid]]=TRUE,IF(Table1[[#This Row],[Fetal Sex (Male, Female or Unknown)]]="Male",Backend!$C$6,IF(Table1[[#This Row],[Fetal Sex (Male, Female or Unknown)]]="Female",Backend!$C$7,IF(Table1[[#This Row],[Fetal Sex (Male, Female or Unknown)]]="Unknown",Backend!$C$8,"Error"))),"")</f>
        <v/>
      </c>
      <c r="F4949" s="8" t="str">
        <f>IF(Table1[[#This Row],[Is Data Valid]]=TRUE,EXP(0.578+0.332*((Table1[[#This Row],[Gestation (days)]]+0.5)/7)-0.00354*((Table1[[#This Row],[Gestation (days)]]+0.5)/7)^2)*Table1[[#This Row],[BW40_3705]],"")</f>
        <v/>
      </c>
      <c r="G4949" s="2" t="str">
        <f>IF(Table1[[#This Row],[Is Data Valid]]=TRUE,((Table1[[#This Row],[Birthweight (grams)]]/Table1[[#This Row],[BW_GA]])-1)/(Backend!$B$4/100*Table1[[#This Row],[BW40_3705]]),"")</f>
        <v/>
      </c>
      <c r="H4949" s="7" t="str">
        <f>IF(Table1[[#This Row],[Is Data Valid]]=TRUE,((Table1[[#This Row],[Birthweight (grams)]]*0.9/Table1[[#This Row],[BW_GA]])-1)/(Backend!$B$4/100*Table1[[#This Row],[BW40_3705]]),"")</f>
        <v/>
      </c>
      <c r="I4949" s="7" t="str">
        <f>IF(Table1[[#This Row],[Is Data Valid]]=TRUE,((Table1[[#This Row],[Birthweight (grams)]]*1.1/Table1[[#This Row],[BW_GA]])-1)/(Backend!$B$4/100*Table1[[#This Row],[BW40_3705]]),"")</f>
        <v/>
      </c>
      <c r="J4949" s="7" t="str">
        <f>IF(Table1[[#This Row],[Is Data Valid]]=TRUE,_xlfn.NORM.S.DIST(Table1[[#This Row],[Birthweight Z-Score]],TRUE)*100,"")</f>
        <v/>
      </c>
      <c r="K4949" s="7" t="str">
        <f>IF(Table1[[#This Row],[Is Data Valid]]=TRUE,_xlfn.NORM.S.DIST(Table1[[#This Row],[Birthweight Z-Score (BW-10%)]],TRUE)*100,"")</f>
        <v/>
      </c>
      <c r="L4949" s="7" t="str">
        <f>IF(Table1[[#This Row],[Is Data Valid]]=TRUE,_xlfn.NORM.S.DIST(Table1[[#This Row],[Birthweight Z-Score (BW+10%)]],TRUE)*100,"")</f>
        <v/>
      </c>
    </row>
    <row r="4950" spans="1:12" x14ac:dyDescent="0.35">
      <c r="A4950" s="3"/>
      <c r="B4950" s="2"/>
      <c r="C4950" s="2"/>
      <c r="D4950" s="2" t="b">
        <f>IF(AND(NOT(ISBLANK(Table1[[#This Row],[Fetal Sex (Male, Female or Unknown)]])),ISNUMBER(Table1[[#This Row],[Birthweight (grams)]]),ISNUMBER(Table1[[#This Row],[Gestation (days)]])),TRUE,FALSE)</f>
        <v>0</v>
      </c>
      <c r="E4950" s="2" t="str">
        <f>IF(Table1[[#This Row],[Is Data Valid]]=TRUE,IF(Table1[[#This Row],[Fetal Sex (Male, Female or Unknown)]]="Male",Backend!$C$6,IF(Table1[[#This Row],[Fetal Sex (Male, Female or Unknown)]]="Female",Backend!$C$7,IF(Table1[[#This Row],[Fetal Sex (Male, Female or Unknown)]]="Unknown",Backend!$C$8,"Error"))),"")</f>
        <v/>
      </c>
      <c r="F4950" s="8" t="str">
        <f>IF(Table1[[#This Row],[Is Data Valid]]=TRUE,EXP(0.578+0.332*((Table1[[#This Row],[Gestation (days)]]+0.5)/7)-0.00354*((Table1[[#This Row],[Gestation (days)]]+0.5)/7)^2)*Table1[[#This Row],[BW40_3705]],"")</f>
        <v/>
      </c>
      <c r="G4950" s="2" t="str">
        <f>IF(Table1[[#This Row],[Is Data Valid]]=TRUE,((Table1[[#This Row],[Birthweight (grams)]]/Table1[[#This Row],[BW_GA]])-1)/(Backend!$B$4/100*Table1[[#This Row],[BW40_3705]]),"")</f>
        <v/>
      </c>
      <c r="H4950" s="7" t="str">
        <f>IF(Table1[[#This Row],[Is Data Valid]]=TRUE,((Table1[[#This Row],[Birthweight (grams)]]*0.9/Table1[[#This Row],[BW_GA]])-1)/(Backend!$B$4/100*Table1[[#This Row],[BW40_3705]]),"")</f>
        <v/>
      </c>
      <c r="I4950" s="7" t="str">
        <f>IF(Table1[[#This Row],[Is Data Valid]]=TRUE,((Table1[[#This Row],[Birthweight (grams)]]*1.1/Table1[[#This Row],[BW_GA]])-1)/(Backend!$B$4/100*Table1[[#This Row],[BW40_3705]]),"")</f>
        <v/>
      </c>
      <c r="J4950" s="7" t="str">
        <f>IF(Table1[[#This Row],[Is Data Valid]]=TRUE,_xlfn.NORM.S.DIST(Table1[[#This Row],[Birthweight Z-Score]],TRUE)*100,"")</f>
        <v/>
      </c>
      <c r="K4950" s="7" t="str">
        <f>IF(Table1[[#This Row],[Is Data Valid]]=TRUE,_xlfn.NORM.S.DIST(Table1[[#This Row],[Birthweight Z-Score (BW-10%)]],TRUE)*100,"")</f>
        <v/>
      </c>
      <c r="L4950" s="7" t="str">
        <f>IF(Table1[[#This Row],[Is Data Valid]]=TRUE,_xlfn.NORM.S.DIST(Table1[[#This Row],[Birthweight Z-Score (BW+10%)]],TRUE)*100,"")</f>
        <v/>
      </c>
    </row>
    <row r="4951" spans="1:12" x14ac:dyDescent="0.35">
      <c r="A4951" s="3"/>
      <c r="B4951" s="2"/>
      <c r="C4951" s="2"/>
      <c r="D4951" s="2" t="b">
        <f>IF(AND(NOT(ISBLANK(Table1[[#This Row],[Fetal Sex (Male, Female or Unknown)]])),ISNUMBER(Table1[[#This Row],[Birthweight (grams)]]),ISNUMBER(Table1[[#This Row],[Gestation (days)]])),TRUE,FALSE)</f>
        <v>0</v>
      </c>
      <c r="E4951" s="2" t="str">
        <f>IF(Table1[[#This Row],[Is Data Valid]]=TRUE,IF(Table1[[#This Row],[Fetal Sex (Male, Female or Unknown)]]="Male",Backend!$C$6,IF(Table1[[#This Row],[Fetal Sex (Male, Female or Unknown)]]="Female",Backend!$C$7,IF(Table1[[#This Row],[Fetal Sex (Male, Female or Unknown)]]="Unknown",Backend!$C$8,"Error"))),"")</f>
        <v/>
      </c>
      <c r="F4951" s="8" t="str">
        <f>IF(Table1[[#This Row],[Is Data Valid]]=TRUE,EXP(0.578+0.332*((Table1[[#This Row],[Gestation (days)]]+0.5)/7)-0.00354*((Table1[[#This Row],[Gestation (days)]]+0.5)/7)^2)*Table1[[#This Row],[BW40_3705]],"")</f>
        <v/>
      </c>
      <c r="G4951" s="2" t="str">
        <f>IF(Table1[[#This Row],[Is Data Valid]]=TRUE,((Table1[[#This Row],[Birthweight (grams)]]/Table1[[#This Row],[BW_GA]])-1)/(Backend!$B$4/100*Table1[[#This Row],[BW40_3705]]),"")</f>
        <v/>
      </c>
      <c r="H4951" s="7" t="str">
        <f>IF(Table1[[#This Row],[Is Data Valid]]=TRUE,((Table1[[#This Row],[Birthweight (grams)]]*0.9/Table1[[#This Row],[BW_GA]])-1)/(Backend!$B$4/100*Table1[[#This Row],[BW40_3705]]),"")</f>
        <v/>
      </c>
      <c r="I4951" s="7" t="str">
        <f>IF(Table1[[#This Row],[Is Data Valid]]=TRUE,((Table1[[#This Row],[Birthweight (grams)]]*1.1/Table1[[#This Row],[BW_GA]])-1)/(Backend!$B$4/100*Table1[[#This Row],[BW40_3705]]),"")</f>
        <v/>
      </c>
      <c r="J4951" s="7" t="str">
        <f>IF(Table1[[#This Row],[Is Data Valid]]=TRUE,_xlfn.NORM.S.DIST(Table1[[#This Row],[Birthweight Z-Score]],TRUE)*100,"")</f>
        <v/>
      </c>
      <c r="K4951" s="7" t="str">
        <f>IF(Table1[[#This Row],[Is Data Valid]]=TRUE,_xlfn.NORM.S.DIST(Table1[[#This Row],[Birthweight Z-Score (BW-10%)]],TRUE)*100,"")</f>
        <v/>
      </c>
      <c r="L4951" s="7" t="str">
        <f>IF(Table1[[#This Row],[Is Data Valid]]=TRUE,_xlfn.NORM.S.DIST(Table1[[#This Row],[Birthweight Z-Score (BW+10%)]],TRUE)*100,"")</f>
        <v/>
      </c>
    </row>
    <row r="4952" spans="1:12" x14ac:dyDescent="0.35">
      <c r="A4952" s="3"/>
      <c r="B4952" s="2"/>
      <c r="C4952" s="2"/>
      <c r="D4952" s="2" t="b">
        <f>IF(AND(NOT(ISBLANK(Table1[[#This Row],[Fetal Sex (Male, Female or Unknown)]])),ISNUMBER(Table1[[#This Row],[Birthweight (grams)]]),ISNUMBER(Table1[[#This Row],[Gestation (days)]])),TRUE,FALSE)</f>
        <v>0</v>
      </c>
      <c r="E4952" s="2" t="str">
        <f>IF(Table1[[#This Row],[Is Data Valid]]=TRUE,IF(Table1[[#This Row],[Fetal Sex (Male, Female or Unknown)]]="Male",Backend!$C$6,IF(Table1[[#This Row],[Fetal Sex (Male, Female or Unknown)]]="Female",Backend!$C$7,IF(Table1[[#This Row],[Fetal Sex (Male, Female or Unknown)]]="Unknown",Backend!$C$8,"Error"))),"")</f>
        <v/>
      </c>
      <c r="F4952" s="8" t="str">
        <f>IF(Table1[[#This Row],[Is Data Valid]]=TRUE,EXP(0.578+0.332*((Table1[[#This Row],[Gestation (days)]]+0.5)/7)-0.00354*((Table1[[#This Row],[Gestation (days)]]+0.5)/7)^2)*Table1[[#This Row],[BW40_3705]],"")</f>
        <v/>
      </c>
      <c r="G4952" s="2" t="str">
        <f>IF(Table1[[#This Row],[Is Data Valid]]=TRUE,((Table1[[#This Row],[Birthweight (grams)]]/Table1[[#This Row],[BW_GA]])-1)/(Backend!$B$4/100*Table1[[#This Row],[BW40_3705]]),"")</f>
        <v/>
      </c>
      <c r="H4952" s="7" t="str">
        <f>IF(Table1[[#This Row],[Is Data Valid]]=TRUE,((Table1[[#This Row],[Birthweight (grams)]]*0.9/Table1[[#This Row],[BW_GA]])-1)/(Backend!$B$4/100*Table1[[#This Row],[BW40_3705]]),"")</f>
        <v/>
      </c>
      <c r="I4952" s="7" t="str">
        <f>IF(Table1[[#This Row],[Is Data Valid]]=TRUE,((Table1[[#This Row],[Birthweight (grams)]]*1.1/Table1[[#This Row],[BW_GA]])-1)/(Backend!$B$4/100*Table1[[#This Row],[BW40_3705]]),"")</f>
        <v/>
      </c>
      <c r="J4952" s="7" t="str">
        <f>IF(Table1[[#This Row],[Is Data Valid]]=TRUE,_xlfn.NORM.S.DIST(Table1[[#This Row],[Birthweight Z-Score]],TRUE)*100,"")</f>
        <v/>
      </c>
      <c r="K4952" s="7" t="str">
        <f>IF(Table1[[#This Row],[Is Data Valid]]=TRUE,_xlfn.NORM.S.DIST(Table1[[#This Row],[Birthweight Z-Score (BW-10%)]],TRUE)*100,"")</f>
        <v/>
      </c>
      <c r="L4952" s="7" t="str">
        <f>IF(Table1[[#This Row],[Is Data Valid]]=TRUE,_xlfn.NORM.S.DIST(Table1[[#This Row],[Birthweight Z-Score (BW+10%)]],TRUE)*100,"")</f>
        <v/>
      </c>
    </row>
    <row r="4953" spans="1:12" x14ac:dyDescent="0.35">
      <c r="A4953" s="3"/>
      <c r="B4953" s="2"/>
      <c r="C4953" s="2"/>
      <c r="D4953" s="2" t="b">
        <f>IF(AND(NOT(ISBLANK(Table1[[#This Row],[Fetal Sex (Male, Female or Unknown)]])),ISNUMBER(Table1[[#This Row],[Birthweight (grams)]]),ISNUMBER(Table1[[#This Row],[Gestation (days)]])),TRUE,FALSE)</f>
        <v>0</v>
      </c>
      <c r="E4953" s="2" t="str">
        <f>IF(Table1[[#This Row],[Is Data Valid]]=TRUE,IF(Table1[[#This Row],[Fetal Sex (Male, Female or Unknown)]]="Male",Backend!$C$6,IF(Table1[[#This Row],[Fetal Sex (Male, Female or Unknown)]]="Female",Backend!$C$7,IF(Table1[[#This Row],[Fetal Sex (Male, Female or Unknown)]]="Unknown",Backend!$C$8,"Error"))),"")</f>
        <v/>
      </c>
      <c r="F4953" s="8" t="str">
        <f>IF(Table1[[#This Row],[Is Data Valid]]=TRUE,EXP(0.578+0.332*((Table1[[#This Row],[Gestation (days)]]+0.5)/7)-0.00354*((Table1[[#This Row],[Gestation (days)]]+0.5)/7)^2)*Table1[[#This Row],[BW40_3705]],"")</f>
        <v/>
      </c>
      <c r="G4953" s="2" t="str">
        <f>IF(Table1[[#This Row],[Is Data Valid]]=TRUE,((Table1[[#This Row],[Birthweight (grams)]]/Table1[[#This Row],[BW_GA]])-1)/(Backend!$B$4/100*Table1[[#This Row],[BW40_3705]]),"")</f>
        <v/>
      </c>
      <c r="H4953" s="7" t="str">
        <f>IF(Table1[[#This Row],[Is Data Valid]]=TRUE,((Table1[[#This Row],[Birthweight (grams)]]*0.9/Table1[[#This Row],[BW_GA]])-1)/(Backend!$B$4/100*Table1[[#This Row],[BW40_3705]]),"")</f>
        <v/>
      </c>
      <c r="I4953" s="7" t="str">
        <f>IF(Table1[[#This Row],[Is Data Valid]]=TRUE,((Table1[[#This Row],[Birthweight (grams)]]*1.1/Table1[[#This Row],[BW_GA]])-1)/(Backend!$B$4/100*Table1[[#This Row],[BW40_3705]]),"")</f>
        <v/>
      </c>
      <c r="J4953" s="7" t="str">
        <f>IF(Table1[[#This Row],[Is Data Valid]]=TRUE,_xlfn.NORM.S.DIST(Table1[[#This Row],[Birthweight Z-Score]],TRUE)*100,"")</f>
        <v/>
      </c>
      <c r="K4953" s="7" t="str">
        <f>IF(Table1[[#This Row],[Is Data Valid]]=TRUE,_xlfn.NORM.S.DIST(Table1[[#This Row],[Birthweight Z-Score (BW-10%)]],TRUE)*100,"")</f>
        <v/>
      </c>
      <c r="L4953" s="7" t="str">
        <f>IF(Table1[[#This Row],[Is Data Valid]]=TRUE,_xlfn.NORM.S.DIST(Table1[[#This Row],[Birthweight Z-Score (BW+10%)]],TRUE)*100,"")</f>
        <v/>
      </c>
    </row>
    <row r="4954" spans="1:12" x14ac:dyDescent="0.35">
      <c r="A4954" s="3"/>
      <c r="B4954" s="2"/>
      <c r="C4954" s="2"/>
      <c r="D4954" s="2" t="b">
        <f>IF(AND(NOT(ISBLANK(Table1[[#This Row],[Fetal Sex (Male, Female or Unknown)]])),ISNUMBER(Table1[[#This Row],[Birthweight (grams)]]),ISNUMBER(Table1[[#This Row],[Gestation (days)]])),TRUE,FALSE)</f>
        <v>0</v>
      </c>
      <c r="E4954" s="2" t="str">
        <f>IF(Table1[[#This Row],[Is Data Valid]]=TRUE,IF(Table1[[#This Row],[Fetal Sex (Male, Female or Unknown)]]="Male",Backend!$C$6,IF(Table1[[#This Row],[Fetal Sex (Male, Female or Unknown)]]="Female",Backend!$C$7,IF(Table1[[#This Row],[Fetal Sex (Male, Female or Unknown)]]="Unknown",Backend!$C$8,"Error"))),"")</f>
        <v/>
      </c>
      <c r="F4954" s="8" t="str">
        <f>IF(Table1[[#This Row],[Is Data Valid]]=TRUE,EXP(0.578+0.332*((Table1[[#This Row],[Gestation (days)]]+0.5)/7)-0.00354*((Table1[[#This Row],[Gestation (days)]]+0.5)/7)^2)*Table1[[#This Row],[BW40_3705]],"")</f>
        <v/>
      </c>
      <c r="G4954" s="2" t="str">
        <f>IF(Table1[[#This Row],[Is Data Valid]]=TRUE,((Table1[[#This Row],[Birthweight (grams)]]/Table1[[#This Row],[BW_GA]])-1)/(Backend!$B$4/100*Table1[[#This Row],[BW40_3705]]),"")</f>
        <v/>
      </c>
      <c r="H4954" s="7" t="str">
        <f>IF(Table1[[#This Row],[Is Data Valid]]=TRUE,((Table1[[#This Row],[Birthweight (grams)]]*0.9/Table1[[#This Row],[BW_GA]])-1)/(Backend!$B$4/100*Table1[[#This Row],[BW40_3705]]),"")</f>
        <v/>
      </c>
      <c r="I4954" s="7" t="str">
        <f>IF(Table1[[#This Row],[Is Data Valid]]=TRUE,((Table1[[#This Row],[Birthweight (grams)]]*1.1/Table1[[#This Row],[BW_GA]])-1)/(Backend!$B$4/100*Table1[[#This Row],[BW40_3705]]),"")</f>
        <v/>
      </c>
      <c r="J4954" s="7" t="str">
        <f>IF(Table1[[#This Row],[Is Data Valid]]=TRUE,_xlfn.NORM.S.DIST(Table1[[#This Row],[Birthweight Z-Score]],TRUE)*100,"")</f>
        <v/>
      </c>
      <c r="K4954" s="7" t="str">
        <f>IF(Table1[[#This Row],[Is Data Valid]]=TRUE,_xlfn.NORM.S.DIST(Table1[[#This Row],[Birthweight Z-Score (BW-10%)]],TRUE)*100,"")</f>
        <v/>
      </c>
      <c r="L4954" s="7" t="str">
        <f>IF(Table1[[#This Row],[Is Data Valid]]=TRUE,_xlfn.NORM.S.DIST(Table1[[#This Row],[Birthweight Z-Score (BW+10%)]],TRUE)*100,"")</f>
        <v/>
      </c>
    </row>
    <row r="4955" spans="1:12" x14ac:dyDescent="0.35">
      <c r="A4955" s="3"/>
      <c r="B4955" s="2"/>
      <c r="C4955" s="2"/>
      <c r="D4955" s="2" t="b">
        <f>IF(AND(NOT(ISBLANK(Table1[[#This Row],[Fetal Sex (Male, Female or Unknown)]])),ISNUMBER(Table1[[#This Row],[Birthweight (grams)]]),ISNUMBER(Table1[[#This Row],[Gestation (days)]])),TRUE,FALSE)</f>
        <v>0</v>
      </c>
      <c r="E4955" s="2" t="str">
        <f>IF(Table1[[#This Row],[Is Data Valid]]=TRUE,IF(Table1[[#This Row],[Fetal Sex (Male, Female or Unknown)]]="Male",Backend!$C$6,IF(Table1[[#This Row],[Fetal Sex (Male, Female or Unknown)]]="Female",Backend!$C$7,IF(Table1[[#This Row],[Fetal Sex (Male, Female or Unknown)]]="Unknown",Backend!$C$8,"Error"))),"")</f>
        <v/>
      </c>
      <c r="F4955" s="8" t="str">
        <f>IF(Table1[[#This Row],[Is Data Valid]]=TRUE,EXP(0.578+0.332*((Table1[[#This Row],[Gestation (days)]]+0.5)/7)-0.00354*((Table1[[#This Row],[Gestation (days)]]+0.5)/7)^2)*Table1[[#This Row],[BW40_3705]],"")</f>
        <v/>
      </c>
      <c r="G4955" s="2" t="str">
        <f>IF(Table1[[#This Row],[Is Data Valid]]=TRUE,((Table1[[#This Row],[Birthweight (grams)]]/Table1[[#This Row],[BW_GA]])-1)/(Backend!$B$4/100*Table1[[#This Row],[BW40_3705]]),"")</f>
        <v/>
      </c>
      <c r="H4955" s="7" t="str">
        <f>IF(Table1[[#This Row],[Is Data Valid]]=TRUE,((Table1[[#This Row],[Birthweight (grams)]]*0.9/Table1[[#This Row],[BW_GA]])-1)/(Backend!$B$4/100*Table1[[#This Row],[BW40_3705]]),"")</f>
        <v/>
      </c>
      <c r="I4955" s="7" t="str">
        <f>IF(Table1[[#This Row],[Is Data Valid]]=TRUE,((Table1[[#This Row],[Birthweight (grams)]]*1.1/Table1[[#This Row],[BW_GA]])-1)/(Backend!$B$4/100*Table1[[#This Row],[BW40_3705]]),"")</f>
        <v/>
      </c>
      <c r="J4955" s="7" t="str">
        <f>IF(Table1[[#This Row],[Is Data Valid]]=TRUE,_xlfn.NORM.S.DIST(Table1[[#This Row],[Birthweight Z-Score]],TRUE)*100,"")</f>
        <v/>
      </c>
      <c r="K4955" s="7" t="str">
        <f>IF(Table1[[#This Row],[Is Data Valid]]=TRUE,_xlfn.NORM.S.DIST(Table1[[#This Row],[Birthweight Z-Score (BW-10%)]],TRUE)*100,"")</f>
        <v/>
      </c>
      <c r="L4955" s="7" t="str">
        <f>IF(Table1[[#This Row],[Is Data Valid]]=TRUE,_xlfn.NORM.S.DIST(Table1[[#This Row],[Birthweight Z-Score (BW+10%)]],TRUE)*100,"")</f>
        <v/>
      </c>
    </row>
    <row r="4956" spans="1:12" x14ac:dyDescent="0.35">
      <c r="A4956" s="3"/>
      <c r="B4956" s="2"/>
      <c r="C4956" s="2"/>
      <c r="D4956" s="2" t="b">
        <f>IF(AND(NOT(ISBLANK(Table1[[#This Row],[Fetal Sex (Male, Female or Unknown)]])),ISNUMBER(Table1[[#This Row],[Birthweight (grams)]]),ISNUMBER(Table1[[#This Row],[Gestation (days)]])),TRUE,FALSE)</f>
        <v>0</v>
      </c>
      <c r="E4956" s="2" t="str">
        <f>IF(Table1[[#This Row],[Is Data Valid]]=TRUE,IF(Table1[[#This Row],[Fetal Sex (Male, Female or Unknown)]]="Male",Backend!$C$6,IF(Table1[[#This Row],[Fetal Sex (Male, Female or Unknown)]]="Female",Backend!$C$7,IF(Table1[[#This Row],[Fetal Sex (Male, Female or Unknown)]]="Unknown",Backend!$C$8,"Error"))),"")</f>
        <v/>
      </c>
      <c r="F4956" s="8" t="str">
        <f>IF(Table1[[#This Row],[Is Data Valid]]=TRUE,EXP(0.578+0.332*((Table1[[#This Row],[Gestation (days)]]+0.5)/7)-0.00354*((Table1[[#This Row],[Gestation (days)]]+0.5)/7)^2)*Table1[[#This Row],[BW40_3705]],"")</f>
        <v/>
      </c>
      <c r="G4956" s="2" t="str">
        <f>IF(Table1[[#This Row],[Is Data Valid]]=TRUE,((Table1[[#This Row],[Birthweight (grams)]]/Table1[[#This Row],[BW_GA]])-1)/(Backend!$B$4/100*Table1[[#This Row],[BW40_3705]]),"")</f>
        <v/>
      </c>
      <c r="H4956" s="7" t="str">
        <f>IF(Table1[[#This Row],[Is Data Valid]]=TRUE,((Table1[[#This Row],[Birthweight (grams)]]*0.9/Table1[[#This Row],[BW_GA]])-1)/(Backend!$B$4/100*Table1[[#This Row],[BW40_3705]]),"")</f>
        <v/>
      </c>
      <c r="I4956" s="7" t="str">
        <f>IF(Table1[[#This Row],[Is Data Valid]]=TRUE,((Table1[[#This Row],[Birthweight (grams)]]*1.1/Table1[[#This Row],[BW_GA]])-1)/(Backend!$B$4/100*Table1[[#This Row],[BW40_3705]]),"")</f>
        <v/>
      </c>
      <c r="J4956" s="7" t="str">
        <f>IF(Table1[[#This Row],[Is Data Valid]]=TRUE,_xlfn.NORM.S.DIST(Table1[[#This Row],[Birthweight Z-Score]],TRUE)*100,"")</f>
        <v/>
      </c>
      <c r="K4956" s="7" t="str">
        <f>IF(Table1[[#This Row],[Is Data Valid]]=TRUE,_xlfn.NORM.S.DIST(Table1[[#This Row],[Birthweight Z-Score (BW-10%)]],TRUE)*100,"")</f>
        <v/>
      </c>
      <c r="L4956" s="7" t="str">
        <f>IF(Table1[[#This Row],[Is Data Valid]]=TRUE,_xlfn.NORM.S.DIST(Table1[[#This Row],[Birthweight Z-Score (BW+10%)]],TRUE)*100,"")</f>
        <v/>
      </c>
    </row>
    <row r="4957" spans="1:12" x14ac:dyDescent="0.35">
      <c r="A4957" s="3"/>
      <c r="B4957" s="2"/>
      <c r="C4957" s="2"/>
      <c r="D4957" s="2" t="b">
        <f>IF(AND(NOT(ISBLANK(Table1[[#This Row],[Fetal Sex (Male, Female or Unknown)]])),ISNUMBER(Table1[[#This Row],[Birthweight (grams)]]),ISNUMBER(Table1[[#This Row],[Gestation (days)]])),TRUE,FALSE)</f>
        <v>0</v>
      </c>
      <c r="E4957" s="2" t="str">
        <f>IF(Table1[[#This Row],[Is Data Valid]]=TRUE,IF(Table1[[#This Row],[Fetal Sex (Male, Female or Unknown)]]="Male",Backend!$C$6,IF(Table1[[#This Row],[Fetal Sex (Male, Female or Unknown)]]="Female",Backend!$C$7,IF(Table1[[#This Row],[Fetal Sex (Male, Female or Unknown)]]="Unknown",Backend!$C$8,"Error"))),"")</f>
        <v/>
      </c>
      <c r="F4957" s="8" t="str">
        <f>IF(Table1[[#This Row],[Is Data Valid]]=TRUE,EXP(0.578+0.332*((Table1[[#This Row],[Gestation (days)]]+0.5)/7)-0.00354*((Table1[[#This Row],[Gestation (days)]]+0.5)/7)^2)*Table1[[#This Row],[BW40_3705]],"")</f>
        <v/>
      </c>
      <c r="G4957" s="2" t="str">
        <f>IF(Table1[[#This Row],[Is Data Valid]]=TRUE,((Table1[[#This Row],[Birthweight (grams)]]/Table1[[#This Row],[BW_GA]])-1)/(Backend!$B$4/100*Table1[[#This Row],[BW40_3705]]),"")</f>
        <v/>
      </c>
      <c r="H4957" s="7" t="str">
        <f>IF(Table1[[#This Row],[Is Data Valid]]=TRUE,((Table1[[#This Row],[Birthweight (grams)]]*0.9/Table1[[#This Row],[BW_GA]])-1)/(Backend!$B$4/100*Table1[[#This Row],[BW40_3705]]),"")</f>
        <v/>
      </c>
      <c r="I4957" s="7" t="str">
        <f>IF(Table1[[#This Row],[Is Data Valid]]=TRUE,((Table1[[#This Row],[Birthweight (grams)]]*1.1/Table1[[#This Row],[BW_GA]])-1)/(Backend!$B$4/100*Table1[[#This Row],[BW40_3705]]),"")</f>
        <v/>
      </c>
      <c r="J4957" s="7" t="str">
        <f>IF(Table1[[#This Row],[Is Data Valid]]=TRUE,_xlfn.NORM.S.DIST(Table1[[#This Row],[Birthweight Z-Score]],TRUE)*100,"")</f>
        <v/>
      </c>
      <c r="K4957" s="7" t="str">
        <f>IF(Table1[[#This Row],[Is Data Valid]]=TRUE,_xlfn.NORM.S.DIST(Table1[[#This Row],[Birthweight Z-Score (BW-10%)]],TRUE)*100,"")</f>
        <v/>
      </c>
      <c r="L4957" s="7" t="str">
        <f>IF(Table1[[#This Row],[Is Data Valid]]=TRUE,_xlfn.NORM.S.DIST(Table1[[#This Row],[Birthweight Z-Score (BW+10%)]],TRUE)*100,"")</f>
        <v/>
      </c>
    </row>
    <row r="4958" spans="1:12" x14ac:dyDescent="0.35">
      <c r="A4958" s="3"/>
      <c r="B4958" s="2"/>
      <c r="C4958" s="2"/>
      <c r="D4958" s="2" t="b">
        <f>IF(AND(NOT(ISBLANK(Table1[[#This Row],[Fetal Sex (Male, Female or Unknown)]])),ISNUMBER(Table1[[#This Row],[Birthweight (grams)]]),ISNUMBER(Table1[[#This Row],[Gestation (days)]])),TRUE,FALSE)</f>
        <v>0</v>
      </c>
      <c r="E4958" s="2" t="str">
        <f>IF(Table1[[#This Row],[Is Data Valid]]=TRUE,IF(Table1[[#This Row],[Fetal Sex (Male, Female or Unknown)]]="Male",Backend!$C$6,IF(Table1[[#This Row],[Fetal Sex (Male, Female or Unknown)]]="Female",Backend!$C$7,IF(Table1[[#This Row],[Fetal Sex (Male, Female or Unknown)]]="Unknown",Backend!$C$8,"Error"))),"")</f>
        <v/>
      </c>
      <c r="F4958" s="8" t="str">
        <f>IF(Table1[[#This Row],[Is Data Valid]]=TRUE,EXP(0.578+0.332*((Table1[[#This Row],[Gestation (days)]]+0.5)/7)-0.00354*((Table1[[#This Row],[Gestation (days)]]+0.5)/7)^2)*Table1[[#This Row],[BW40_3705]],"")</f>
        <v/>
      </c>
      <c r="G4958" s="2" t="str">
        <f>IF(Table1[[#This Row],[Is Data Valid]]=TRUE,((Table1[[#This Row],[Birthweight (grams)]]/Table1[[#This Row],[BW_GA]])-1)/(Backend!$B$4/100*Table1[[#This Row],[BW40_3705]]),"")</f>
        <v/>
      </c>
      <c r="H4958" s="7" t="str">
        <f>IF(Table1[[#This Row],[Is Data Valid]]=TRUE,((Table1[[#This Row],[Birthweight (grams)]]*0.9/Table1[[#This Row],[BW_GA]])-1)/(Backend!$B$4/100*Table1[[#This Row],[BW40_3705]]),"")</f>
        <v/>
      </c>
      <c r="I4958" s="7" t="str">
        <f>IF(Table1[[#This Row],[Is Data Valid]]=TRUE,((Table1[[#This Row],[Birthweight (grams)]]*1.1/Table1[[#This Row],[BW_GA]])-1)/(Backend!$B$4/100*Table1[[#This Row],[BW40_3705]]),"")</f>
        <v/>
      </c>
      <c r="J4958" s="7" t="str">
        <f>IF(Table1[[#This Row],[Is Data Valid]]=TRUE,_xlfn.NORM.S.DIST(Table1[[#This Row],[Birthweight Z-Score]],TRUE)*100,"")</f>
        <v/>
      </c>
      <c r="K4958" s="7" t="str">
        <f>IF(Table1[[#This Row],[Is Data Valid]]=TRUE,_xlfn.NORM.S.DIST(Table1[[#This Row],[Birthweight Z-Score (BW-10%)]],TRUE)*100,"")</f>
        <v/>
      </c>
      <c r="L4958" s="7" t="str">
        <f>IF(Table1[[#This Row],[Is Data Valid]]=TRUE,_xlfn.NORM.S.DIST(Table1[[#This Row],[Birthweight Z-Score (BW+10%)]],TRUE)*100,"")</f>
        <v/>
      </c>
    </row>
    <row r="4959" spans="1:12" x14ac:dyDescent="0.35">
      <c r="A4959" s="3"/>
      <c r="B4959" s="2"/>
      <c r="C4959" s="2"/>
      <c r="D4959" s="2" t="b">
        <f>IF(AND(NOT(ISBLANK(Table1[[#This Row],[Fetal Sex (Male, Female or Unknown)]])),ISNUMBER(Table1[[#This Row],[Birthweight (grams)]]),ISNUMBER(Table1[[#This Row],[Gestation (days)]])),TRUE,FALSE)</f>
        <v>0</v>
      </c>
      <c r="E4959" s="2" t="str">
        <f>IF(Table1[[#This Row],[Is Data Valid]]=TRUE,IF(Table1[[#This Row],[Fetal Sex (Male, Female or Unknown)]]="Male",Backend!$C$6,IF(Table1[[#This Row],[Fetal Sex (Male, Female or Unknown)]]="Female",Backend!$C$7,IF(Table1[[#This Row],[Fetal Sex (Male, Female or Unknown)]]="Unknown",Backend!$C$8,"Error"))),"")</f>
        <v/>
      </c>
      <c r="F4959" s="8" t="str">
        <f>IF(Table1[[#This Row],[Is Data Valid]]=TRUE,EXP(0.578+0.332*((Table1[[#This Row],[Gestation (days)]]+0.5)/7)-0.00354*((Table1[[#This Row],[Gestation (days)]]+0.5)/7)^2)*Table1[[#This Row],[BW40_3705]],"")</f>
        <v/>
      </c>
      <c r="G4959" s="2" t="str">
        <f>IF(Table1[[#This Row],[Is Data Valid]]=TRUE,((Table1[[#This Row],[Birthweight (grams)]]/Table1[[#This Row],[BW_GA]])-1)/(Backend!$B$4/100*Table1[[#This Row],[BW40_3705]]),"")</f>
        <v/>
      </c>
      <c r="H4959" s="7" t="str">
        <f>IF(Table1[[#This Row],[Is Data Valid]]=TRUE,((Table1[[#This Row],[Birthweight (grams)]]*0.9/Table1[[#This Row],[BW_GA]])-1)/(Backend!$B$4/100*Table1[[#This Row],[BW40_3705]]),"")</f>
        <v/>
      </c>
      <c r="I4959" s="7" t="str">
        <f>IF(Table1[[#This Row],[Is Data Valid]]=TRUE,((Table1[[#This Row],[Birthweight (grams)]]*1.1/Table1[[#This Row],[BW_GA]])-1)/(Backend!$B$4/100*Table1[[#This Row],[BW40_3705]]),"")</f>
        <v/>
      </c>
      <c r="J4959" s="7" t="str">
        <f>IF(Table1[[#This Row],[Is Data Valid]]=TRUE,_xlfn.NORM.S.DIST(Table1[[#This Row],[Birthweight Z-Score]],TRUE)*100,"")</f>
        <v/>
      </c>
      <c r="K4959" s="7" t="str">
        <f>IF(Table1[[#This Row],[Is Data Valid]]=TRUE,_xlfn.NORM.S.DIST(Table1[[#This Row],[Birthweight Z-Score (BW-10%)]],TRUE)*100,"")</f>
        <v/>
      </c>
      <c r="L4959" s="7" t="str">
        <f>IF(Table1[[#This Row],[Is Data Valid]]=TRUE,_xlfn.NORM.S.DIST(Table1[[#This Row],[Birthweight Z-Score (BW+10%)]],TRUE)*100,"")</f>
        <v/>
      </c>
    </row>
    <row r="4960" spans="1:12" x14ac:dyDescent="0.35">
      <c r="A4960" s="3"/>
      <c r="B4960" s="2"/>
      <c r="C4960" s="2"/>
      <c r="D4960" s="2" t="b">
        <f>IF(AND(NOT(ISBLANK(Table1[[#This Row],[Fetal Sex (Male, Female or Unknown)]])),ISNUMBER(Table1[[#This Row],[Birthweight (grams)]]),ISNUMBER(Table1[[#This Row],[Gestation (days)]])),TRUE,FALSE)</f>
        <v>0</v>
      </c>
      <c r="E4960" s="2" t="str">
        <f>IF(Table1[[#This Row],[Is Data Valid]]=TRUE,IF(Table1[[#This Row],[Fetal Sex (Male, Female or Unknown)]]="Male",Backend!$C$6,IF(Table1[[#This Row],[Fetal Sex (Male, Female or Unknown)]]="Female",Backend!$C$7,IF(Table1[[#This Row],[Fetal Sex (Male, Female or Unknown)]]="Unknown",Backend!$C$8,"Error"))),"")</f>
        <v/>
      </c>
      <c r="F4960" s="8" t="str">
        <f>IF(Table1[[#This Row],[Is Data Valid]]=TRUE,EXP(0.578+0.332*((Table1[[#This Row],[Gestation (days)]]+0.5)/7)-0.00354*((Table1[[#This Row],[Gestation (days)]]+0.5)/7)^2)*Table1[[#This Row],[BW40_3705]],"")</f>
        <v/>
      </c>
      <c r="G4960" s="2" t="str">
        <f>IF(Table1[[#This Row],[Is Data Valid]]=TRUE,((Table1[[#This Row],[Birthweight (grams)]]/Table1[[#This Row],[BW_GA]])-1)/(Backend!$B$4/100*Table1[[#This Row],[BW40_3705]]),"")</f>
        <v/>
      </c>
      <c r="H4960" s="7" t="str">
        <f>IF(Table1[[#This Row],[Is Data Valid]]=TRUE,((Table1[[#This Row],[Birthweight (grams)]]*0.9/Table1[[#This Row],[BW_GA]])-1)/(Backend!$B$4/100*Table1[[#This Row],[BW40_3705]]),"")</f>
        <v/>
      </c>
      <c r="I4960" s="7" t="str">
        <f>IF(Table1[[#This Row],[Is Data Valid]]=TRUE,((Table1[[#This Row],[Birthweight (grams)]]*1.1/Table1[[#This Row],[BW_GA]])-1)/(Backend!$B$4/100*Table1[[#This Row],[BW40_3705]]),"")</f>
        <v/>
      </c>
      <c r="J4960" s="7" t="str">
        <f>IF(Table1[[#This Row],[Is Data Valid]]=TRUE,_xlfn.NORM.S.DIST(Table1[[#This Row],[Birthweight Z-Score]],TRUE)*100,"")</f>
        <v/>
      </c>
      <c r="K4960" s="7" t="str">
        <f>IF(Table1[[#This Row],[Is Data Valid]]=TRUE,_xlfn.NORM.S.DIST(Table1[[#This Row],[Birthweight Z-Score (BW-10%)]],TRUE)*100,"")</f>
        <v/>
      </c>
      <c r="L4960" s="7" t="str">
        <f>IF(Table1[[#This Row],[Is Data Valid]]=TRUE,_xlfn.NORM.S.DIST(Table1[[#This Row],[Birthweight Z-Score (BW+10%)]],TRUE)*100,"")</f>
        <v/>
      </c>
    </row>
    <row r="4961" spans="1:12" x14ac:dyDescent="0.35">
      <c r="A4961" s="3"/>
      <c r="B4961" s="2"/>
      <c r="C4961" s="2"/>
      <c r="D4961" s="2" t="b">
        <f>IF(AND(NOT(ISBLANK(Table1[[#This Row],[Fetal Sex (Male, Female or Unknown)]])),ISNUMBER(Table1[[#This Row],[Birthweight (grams)]]),ISNUMBER(Table1[[#This Row],[Gestation (days)]])),TRUE,FALSE)</f>
        <v>0</v>
      </c>
      <c r="E4961" s="2" t="str">
        <f>IF(Table1[[#This Row],[Is Data Valid]]=TRUE,IF(Table1[[#This Row],[Fetal Sex (Male, Female or Unknown)]]="Male",Backend!$C$6,IF(Table1[[#This Row],[Fetal Sex (Male, Female or Unknown)]]="Female",Backend!$C$7,IF(Table1[[#This Row],[Fetal Sex (Male, Female or Unknown)]]="Unknown",Backend!$C$8,"Error"))),"")</f>
        <v/>
      </c>
      <c r="F4961" s="8" t="str">
        <f>IF(Table1[[#This Row],[Is Data Valid]]=TRUE,EXP(0.578+0.332*((Table1[[#This Row],[Gestation (days)]]+0.5)/7)-0.00354*((Table1[[#This Row],[Gestation (days)]]+0.5)/7)^2)*Table1[[#This Row],[BW40_3705]],"")</f>
        <v/>
      </c>
      <c r="G4961" s="2" t="str">
        <f>IF(Table1[[#This Row],[Is Data Valid]]=TRUE,((Table1[[#This Row],[Birthweight (grams)]]/Table1[[#This Row],[BW_GA]])-1)/(Backend!$B$4/100*Table1[[#This Row],[BW40_3705]]),"")</f>
        <v/>
      </c>
      <c r="H4961" s="7" t="str">
        <f>IF(Table1[[#This Row],[Is Data Valid]]=TRUE,((Table1[[#This Row],[Birthweight (grams)]]*0.9/Table1[[#This Row],[BW_GA]])-1)/(Backend!$B$4/100*Table1[[#This Row],[BW40_3705]]),"")</f>
        <v/>
      </c>
      <c r="I4961" s="7" t="str">
        <f>IF(Table1[[#This Row],[Is Data Valid]]=TRUE,((Table1[[#This Row],[Birthweight (grams)]]*1.1/Table1[[#This Row],[BW_GA]])-1)/(Backend!$B$4/100*Table1[[#This Row],[BW40_3705]]),"")</f>
        <v/>
      </c>
      <c r="J4961" s="7" t="str">
        <f>IF(Table1[[#This Row],[Is Data Valid]]=TRUE,_xlfn.NORM.S.DIST(Table1[[#This Row],[Birthweight Z-Score]],TRUE)*100,"")</f>
        <v/>
      </c>
      <c r="K4961" s="7" t="str">
        <f>IF(Table1[[#This Row],[Is Data Valid]]=TRUE,_xlfn.NORM.S.DIST(Table1[[#This Row],[Birthweight Z-Score (BW-10%)]],TRUE)*100,"")</f>
        <v/>
      </c>
      <c r="L4961" s="7" t="str">
        <f>IF(Table1[[#This Row],[Is Data Valid]]=TRUE,_xlfn.NORM.S.DIST(Table1[[#This Row],[Birthweight Z-Score (BW+10%)]],TRUE)*100,"")</f>
        <v/>
      </c>
    </row>
    <row r="4962" spans="1:12" x14ac:dyDescent="0.35">
      <c r="A4962" s="3"/>
      <c r="B4962" s="2"/>
      <c r="C4962" s="2"/>
      <c r="D4962" s="2" t="b">
        <f>IF(AND(NOT(ISBLANK(Table1[[#This Row],[Fetal Sex (Male, Female or Unknown)]])),ISNUMBER(Table1[[#This Row],[Birthweight (grams)]]),ISNUMBER(Table1[[#This Row],[Gestation (days)]])),TRUE,FALSE)</f>
        <v>0</v>
      </c>
      <c r="E4962" s="2" t="str">
        <f>IF(Table1[[#This Row],[Is Data Valid]]=TRUE,IF(Table1[[#This Row],[Fetal Sex (Male, Female or Unknown)]]="Male",Backend!$C$6,IF(Table1[[#This Row],[Fetal Sex (Male, Female or Unknown)]]="Female",Backend!$C$7,IF(Table1[[#This Row],[Fetal Sex (Male, Female or Unknown)]]="Unknown",Backend!$C$8,"Error"))),"")</f>
        <v/>
      </c>
      <c r="F4962" s="8" t="str">
        <f>IF(Table1[[#This Row],[Is Data Valid]]=TRUE,EXP(0.578+0.332*((Table1[[#This Row],[Gestation (days)]]+0.5)/7)-0.00354*((Table1[[#This Row],[Gestation (days)]]+0.5)/7)^2)*Table1[[#This Row],[BW40_3705]],"")</f>
        <v/>
      </c>
      <c r="G4962" s="2" t="str">
        <f>IF(Table1[[#This Row],[Is Data Valid]]=TRUE,((Table1[[#This Row],[Birthweight (grams)]]/Table1[[#This Row],[BW_GA]])-1)/(Backend!$B$4/100*Table1[[#This Row],[BW40_3705]]),"")</f>
        <v/>
      </c>
      <c r="H4962" s="7" t="str">
        <f>IF(Table1[[#This Row],[Is Data Valid]]=TRUE,((Table1[[#This Row],[Birthweight (grams)]]*0.9/Table1[[#This Row],[BW_GA]])-1)/(Backend!$B$4/100*Table1[[#This Row],[BW40_3705]]),"")</f>
        <v/>
      </c>
      <c r="I4962" s="7" t="str">
        <f>IF(Table1[[#This Row],[Is Data Valid]]=TRUE,((Table1[[#This Row],[Birthweight (grams)]]*1.1/Table1[[#This Row],[BW_GA]])-1)/(Backend!$B$4/100*Table1[[#This Row],[BW40_3705]]),"")</f>
        <v/>
      </c>
      <c r="J4962" s="7" t="str">
        <f>IF(Table1[[#This Row],[Is Data Valid]]=TRUE,_xlfn.NORM.S.DIST(Table1[[#This Row],[Birthweight Z-Score]],TRUE)*100,"")</f>
        <v/>
      </c>
      <c r="K4962" s="7" t="str">
        <f>IF(Table1[[#This Row],[Is Data Valid]]=TRUE,_xlfn.NORM.S.DIST(Table1[[#This Row],[Birthweight Z-Score (BW-10%)]],TRUE)*100,"")</f>
        <v/>
      </c>
      <c r="L4962" s="7" t="str">
        <f>IF(Table1[[#This Row],[Is Data Valid]]=TRUE,_xlfn.NORM.S.DIST(Table1[[#This Row],[Birthweight Z-Score (BW+10%)]],TRUE)*100,"")</f>
        <v/>
      </c>
    </row>
    <row r="4963" spans="1:12" x14ac:dyDescent="0.35">
      <c r="A4963" s="3"/>
      <c r="B4963" s="2"/>
      <c r="C4963" s="2"/>
      <c r="D4963" s="2" t="b">
        <f>IF(AND(NOT(ISBLANK(Table1[[#This Row],[Fetal Sex (Male, Female or Unknown)]])),ISNUMBER(Table1[[#This Row],[Birthweight (grams)]]),ISNUMBER(Table1[[#This Row],[Gestation (days)]])),TRUE,FALSE)</f>
        <v>0</v>
      </c>
      <c r="E4963" s="2" t="str">
        <f>IF(Table1[[#This Row],[Is Data Valid]]=TRUE,IF(Table1[[#This Row],[Fetal Sex (Male, Female or Unknown)]]="Male",Backend!$C$6,IF(Table1[[#This Row],[Fetal Sex (Male, Female or Unknown)]]="Female",Backend!$C$7,IF(Table1[[#This Row],[Fetal Sex (Male, Female or Unknown)]]="Unknown",Backend!$C$8,"Error"))),"")</f>
        <v/>
      </c>
      <c r="F4963" s="8" t="str">
        <f>IF(Table1[[#This Row],[Is Data Valid]]=TRUE,EXP(0.578+0.332*((Table1[[#This Row],[Gestation (days)]]+0.5)/7)-0.00354*((Table1[[#This Row],[Gestation (days)]]+0.5)/7)^2)*Table1[[#This Row],[BW40_3705]],"")</f>
        <v/>
      </c>
      <c r="G4963" s="2" t="str">
        <f>IF(Table1[[#This Row],[Is Data Valid]]=TRUE,((Table1[[#This Row],[Birthweight (grams)]]/Table1[[#This Row],[BW_GA]])-1)/(Backend!$B$4/100*Table1[[#This Row],[BW40_3705]]),"")</f>
        <v/>
      </c>
      <c r="H4963" s="7" t="str">
        <f>IF(Table1[[#This Row],[Is Data Valid]]=TRUE,((Table1[[#This Row],[Birthweight (grams)]]*0.9/Table1[[#This Row],[BW_GA]])-1)/(Backend!$B$4/100*Table1[[#This Row],[BW40_3705]]),"")</f>
        <v/>
      </c>
      <c r="I4963" s="7" t="str">
        <f>IF(Table1[[#This Row],[Is Data Valid]]=TRUE,((Table1[[#This Row],[Birthweight (grams)]]*1.1/Table1[[#This Row],[BW_GA]])-1)/(Backend!$B$4/100*Table1[[#This Row],[BW40_3705]]),"")</f>
        <v/>
      </c>
      <c r="J4963" s="7" t="str">
        <f>IF(Table1[[#This Row],[Is Data Valid]]=TRUE,_xlfn.NORM.S.DIST(Table1[[#This Row],[Birthweight Z-Score]],TRUE)*100,"")</f>
        <v/>
      </c>
      <c r="K4963" s="7" t="str">
        <f>IF(Table1[[#This Row],[Is Data Valid]]=TRUE,_xlfn.NORM.S.DIST(Table1[[#This Row],[Birthweight Z-Score (BW-10%)]],TRUE)*100,"")</f>
        <v/>
      </c>
      <c r="L4963" s="7" t="str">
        <f>IF(Table1[[#This Row],[Is Data Valid]]=TRUE,_xlfn.NORM.S.DIST(Table1[[#This Row],[Birthweight Z-Score (BW+10%)]],TRUE)*100,"")</f>
        <v/>
      </c>
    </row>
    <row r="4964" spans="1:12" x14ac:dyDescent="0.35">
      <c r="A4964" s="3"/>
      <c r="B4964" s="2"/>
      <c r="C4964" s="2"/>
      <c r="D4964" s="2" t="b">
        <f>IF(AND(NOT(ISBLANK(Table1[[#This Row],[Fetal Sex (Male, Female or Unknown)]])),ISNUMBER(Table1[[#This Row],[Birthweight (grams)]]),ISNUMBER(Table1[[#This Row],[Gestation (days)]])),TRUE,FALSE)</f>
        <v>0</v>
      </c>
      <c r="E4964" s="2" t="str">
        <f>IF(Table1[[#This Row],[Is Data Valid]]=TRUE,IF(Table1[[#This Row],[Fetal Sex (Male, Female or Unknown)]]="Male",Backend!$C$6,IF(Table1[[#This Row],[Fetal Sex (Male, Female or Unknown)]]="Female",Backend!$C$7,IF(Table1[[#This Row],[Fetal Sex (Male, Female or Unknown)]]="Unknown",Backend!$C$8,"Error"))),"")</f>
        <v/>
      </c>
      <c r="F4964" s="8" t="str">
        <f>IF(Table1[[#This Row],[Is Data Valid]]=TRUE,EXP(0.578+0.332*((Table1[[#This Row],[Gestation (days)]]+0.5)/7)-0.00354*((Table1[[#This Row],[Gestation (days)]]+0.5)/7)^2)*Table1[[#This Row],[BW40_3705]],"")</f>
        <v/>
      </c>
      <c r="G4964" s="2" t="str">
        <f>IF(Table1[[#This Row],[Is Data Valid]]=TRUE,((Table1[[#This Row],[Birthweight (grams)]]/Table1[[#This Row],[BW_GA]])-1)/(Backend!$B$4/100*Table1[[#This Row],[BW40_3705]]),"")</f>
        <v/>
      </c>
      <c r="H4964" s="7" t="str">
        <f>IF(Table1[[#This Row],[Is Data Valid]]=TRUE,((Table1[[#This Row],[Birthweight (grams)]]*0.9/Table1[[#This Row],[BW_GA]])-1)/(Backend!$B$4/100*Table1[[#This Row],[BW40_3705]]),"")</f>
        <v/>
      </c>
      <c r="I4964" s="7" t="str">
        <f>IF(Table1[[#This Row],[Is Data Valid]]=TRUE,((Table1[[#This Row],[Birthweight (grams)]]*1.1/Table1[[#This Row],[BW_GA]])-1)/(Backend!$B$4/100*Table1[[#This Row],[BW40_3705]]),"")</f>
        <v/>
      </c>
      <c r="J4964" s="7" t="str">
        <f>IF(Table1[[#This Row],[Is Data Valid]]=TRUE,_xlfn.NORM.S.DIST(Table1[[#This Row],[Birthweight Z-Score]],TRUE)*100,"")</f>
        <v/>
      </c>
      <c r="K4964" s="7" t="str">
        <f>IF(Table1[[#This Row],[Is Data Valid]]=TRUE,_xlfn.NORM.S.DIST(Table1[[#This Row],[Birthweight Z-Score (BW-10%)]],TRUE)*100,"")</f>
        <v/>
      </c>
      <c r="L4964" s="7" t="str">
        <f>IF(Table1[[#This Row],[Is Data Valid]]=TRUE,_xlfn.NORM.S.DIST(Table1[[#This Row],[Birthweight Z-Score (BW+10%)]],TRUE)*100,"")</f>
        <v/>
      </c>
    </row>
    <row r="4965" spans="1:12" x14ac:dyDescent="0.35">
      <c r="A4965" s="3"/>
      <c r="B4965" s="2"/>
      <c r="C4965" s="2"/>
      <c r="D4965" s="2" t="b">
        <f>IF(AND(NOT(ISBLANK(Table1[[#This Row],[Fetal Sex (Male, Female or Unknown)]])),ISNUMBER(Table1[[#This Row],[Birthweight (grams)]]),ISNUMBER(Table1[[#This Row],[Gestation (days)]])),TRUE,FALSE)</f>
        <v>0</v>
      </c>
      <c r="E4965" s="2" t="str">
        <f>IF(Table1[[#This Row],[Is Data Valid]]=TRUE,IF(Table1[[#This Row],[Fetal Sex (Male, Female or Unknown)]]="Male",Backend!$C$6,IF(Table1[[#This Row],[Fetal Sex (Male, Female or Unknown)]]="Female",Backend!$C$7,IF(Table1[[#This Row],[Fetal Sex (Male, Female or Unknown)]]="Unknown",Backend!$C$8,"Error"))),"")</f>
        <v/>
      </c>
      <c r="F4965" s="8" t="str">
        <f>IF(Table1[[#This Row],[Is Data Valid]]=TRUE,EXP(0.578+0.332*((Table1[[#This Row],[Gestation (days)]]+0.5)/7)-0.00354*((Table1[[#This Row],[Gestation (days)]]+0.5)/7)^2)*Table1[[#This Row],[BW40_3705]],"")</f>
        <v/>
      </c>
      <c r="G4965" s="2" t="str">
        <f>IF(Table1[[#This Row],[Is Data Valid]]=TRUE,((Table1[[#This Row],[Birthweight (grams)]]/Table1[[#This Row],[BW_GA]])-1)/(Backend!$B$4/100*Table1[[#This Row],[BW40_3705]]),"")</f>
        <v/>
      </c>
      <c r="H4965" s="7" t="str">
        <f>IF(Table1[[#This Row],[Is Data Valid]]=TRUE,((Table1[[#This Row],[Birthweight (grams)]]*0.9/Table1[[#This Row],[BW_GA]])-1)/(Backend!$B$4/100*Table1[[#This Row],[BW40_3705]]),"")</f>
        <v/>
      </c>
      <c r="I4965" s="7" t="str">
        <f>IF(Table1[[#This Row],[Is Data Valid]]=TRUE,((Table1[[#This Row],[Birthweight (grams)]]*1.1/Table1[[#This Row],[BW_GA]])-1)/(Backend!$B$4/100*Table1[[#This Row],[BW40_3705]]),"")</f>
        <v/>
      </c>
      <c r="J4965" s="7" t="str">
        <f>IF(Table1[[#This Row],[Is Data Valid]]=TRUE,_xlfn.NORM.S.DIST(Table1[[#This Row],[Birthweight Z-Score]],TRUE)*100,"")</f>
        <v/>
      </c>
      <c r="K4965" s="7" t="str">
        <f>IF(Table1[[#This Row],[Is Data Valid]]=TRUE,_xlfn.NORM.S.DIST(Table1[[#This Row],[Birthweight Z-Score (BW-10%)]],TRUE)*100,"")</f>
        <v/>
      </c>
      <c r="L4965" s="7" t="str">
        <f>IF(Table1[[#This Row],[Is Data Valid]]=TRUE,_xlfn.NORM.S.DIST(Table1[[#This Row],[Birthweight Z-Score (BW+10%)]],TRUE)*100,"")</f>
        <v/>
      </c>
    </row>
    <row r="4966" spans="1:12" x14ac:dyDescent="0.35">
      <c r="A4966" s="3"/>
      <c r="B4966" s="2"/>
      <c r="C4966" s="2"/>
      <c r="D4966" s="2" t="b">
        <f>IF(AND(NOT(ISBLANK(Table1[[#This Row],[Fetal Sex (Male, Female or Unknown)]])),ISNUMBER(Table1[[#This Row],[Birthweight (grams)]]),ISNUMBER(Table1[[#This Row],[Gestation (days)]])),TRUE,FALSE)</f>
        <v>0</v>
      </c>
      <c r="E4966" s="2" t="str">
        <f>IF(Table1[[#This Row],[Is Data Valid]]=TRUE,IF(Table1[[#This Row],[Fetal Sex (Male, Female or Unknown)]]="Male",Backend!$C$6,IF(Table1[[#This Row],[Fetal Sex (Male, Female or Unknown)]]="Female",Backend!$C$7,IF(Table1[[#This Row],[Fetal Sex (Male, Female or Unknown)]]="Unknown",Backend!$C$8,"Error"))),"")</f>
        <v/>
      </c>
      <c r="F4966" s="8" t="str">
        <f>IF(Table1[[#This Row],[Is Data Valid]]=TRUE,EXP(0.578+0.332*((Table1[[#This Row],[Gestation (days)]]+0.5)/7)-0.00354*((Table1[[#This Row],[Gestation (days)]]+0.5)/7)^2)*Table1[[#This Row],[BW40_3705]],"")</f>
        <v/>
      </c>
      <c r="G4966" s="2" t="str">
        <f>IF(Table1[[#This Row],[Is Data Valid]]=TRUE,((Table1[[#This Row],[Birthweight (grams)]]/Table1[[#This Row],[BW_GA]])-1)/(Backend!$B$4/100*Table1[[#This Row],[BW40_3705]]),"")</f>
        <v/>
      </c>
      <c r="H4966" s="7" t="str">
        <f>IF(Table1[[#This Row],[Is Data Valid]]=TRUE,((Table1[[#This Row],[Birthweight (grams)]]*0.9/Table1[[#This Row],[BW_GA]])-1)/(Backend!$B$4/100*Table1[[#This Row],[BW40_3705]]),"")</f>
        <v/>
      </c>
      <c r="I4966" s="7" t="str">
        <f>IF(Table1[[#This Row],[Is Data Valid]]=TRUE,((Table1[[#This Row],[Birthweight (grams)]]*1.1/Table1[[#This Row],[BW_GA]])-1)/(Backend!$B$4/100*Table1[[#This Row],[BW40_3705]]),"")</f>
        <v/>
      </c>
      <c r="J4966" s="7" t="str">
        <f>IF(Table1[[#This Row],[Is Data Valid]]=TRUE,_xlfn.NORM.S.DIST(Table1[[#This Row],[Birthweight Z-Score]],TRUE)*100,"")</f>
        <v/>
      </c>
      <c r="K4966" s="7" t="str">
        <f>IF(Table1[[#This Row],[Is Data Valid]]=TRUE,_xlfn.NORM.S.DIST(Table1[[#This Row],[Birthweight Z-Score (BW-10%)]],TRUE)*100,"")</f>
        <v/>
      </c>
      <c r="L4966" s="7" t="str">
        <f>IF(Table1[[#This Row],[Is Data Valid]]=TRUE,_xlfn.NORM.S.DIST(Table1[[#This Row],[Birthweight Z-Score (BW+10%)]],TRUE)*100,"")</f>
        <v/>
      </c>
    </row>
    <row r="4967" spans="1:12" x14ac:dyDescent="0.35">
      <c r="A4967" s="3"/>
      <c r="B4967" s="2"/>
      <c r="C4967" s="2"/>
      <c r="D4967" s="2" t="b">
        <f>IF(AND(NOT(ISBLANK(Table1[[#This Row],[Fetal Sex (Male, Female or Unknown)]])),ISNUMBER(Table1[[#This Row],[Birthweight (grams)]]),ISNUMBER(Table1[[#This Row],[Gestation (days)]])),TRUE,FALSE)</f>
        <v>0</v>
      </c>
      <c r="E4967" s="2" t="str">
        <f>IF(Table1[[#This Row],[Is Data Valid]]=TRUE,IF(Table1[[#This Row],[Fetal Sex (Male, Female or Unknown)]]="Male",Backend!$C$6,IF(Table1[[#This Row],[Fetal Sex (Male, Female or Unknown)]]="Female",Backend!$C$7,IF(Table1[[#This Row],[Fetal Sex (Male, Female or Unknown)]]="Unknown",Backend!$C$8,"Error"))),"")</f>
        <v/>
      </c>
      <c r="F4967" s="8" t="str">
        <f>IF(Table1[[#This Row],[Is Data Valid]]=TRUE,EXP(0.578+0.332*((Table1[[#This Row],[Gestation (days)]]+0.5)/7)-0.00354*((Table1[[#This Row],[Gestation (days)]]+0.5)/7)^2)*Table1[[#This Row],[BW40_3705]],"")</f>
        <v/>
      </c>
      <c r="G4967" s="2" t="str">
        <f>IF(Table1[[#This Row],[Is Data Valid]]=TRUE,((Table1[[#This Row],[Birthweight (grams)]]/Table1[[#This Row],[BW_GA]])-1)/(Backend!$B$4/100*Table1[[#This Row],[BW40_3705]]),"")</f>
        <v/>
      </c>
      <c r="H4967" s="7" t="str">
        <f>IF(Table1[[#This Row],[Is Data Valid]]=TRUE,((Table1[[#This Row],[Birthweight (grams)]]*0.9/Table1[[#This Row],[BW_GA]])-1)/(Backend!$B$4/100*Table1[[#This Row],[BW40_3705]]),"")</f>
        <v/>
      </c>
      <c r="I4967" s="7" t="str">
        <f>IF(Table1[[#This Row],[Is Data Valid]]=TRUE,((Table1[[#This Row],[Birthweight (grams)]]*1.1/Table1[[#This Row],[BW_GA]])-1)/(Backend!$B$4/100*Table1[[#This Row],[BW40_3705]]),"")</f>
        <v/>
      </c>
      <c r="J4967" s="7" t="str">
        <f>IF(Table1[[#This Row],[Is Data Valid]]=TRUE,_xlfn.NORM.S.DIST(Table1[[#This Row],[Birthweight Z-Score]],TRUE)*100,"")</f>
        <v/>
      </c>
      <c r="K4967" s="7" t="str">
        <f>IF(Table1[[#This Row],[Is Data Valid]]=TRUE,_xlfn.NORM.S.DIST(Table1[[#This Row],[Birthweight Z-Score (BW-10%)]],TRUE)*100,"")</f>
        <v/>
      </c>
      <c r="L4967" s="7" t="str">
        <f>IF(Table1[[#This Row],[Is Data Valid]]=TRUE,_xlfn.NORM.S.DIST(Table1[[#This Row],[Birthweight Z-Score (BW+10%)]],TRUE)*100,"")</f>
        <v/>
      </c>
    </row>
    <row r="4968" spans="1:12" x14ac:dyDescent="0.35">
      <c r="A4968" s="3"/>
      <c r="B4968" s="2"/>
      <c r="C4968" s="2"/>
      <c r="D4968" s="2" t="b">
        <f>IF(AND(NOT(ISBLANK(Table1[[#This Row],[Fetal Sex (Male, Female or Unknown)]])),ISNUMBER(Table1[[#This Row],[Birthweight (grams)]]),ISNUMBER(Table1[[#This Row],[Gestation (days)]])),TRUE,FALSE)</f>
        <v>0</v>
      </c>
      <c r="E4968" s="2" t="str">
        <f>IF(Table1[[#This Row],[Is Data Valid]]=TRUE,IF(Table1[[#This Row],[Fetal Sex (Male, Female or Unknown)]]="Male",Backend!$C$6,IF(Table1[[#This Row],[Fetal Sex (Male, Female or Unknown)]]="Female",Backend!$C$7,IF(Table1[[#This Row],[Fetal Sex (Male, Female or Unknown)]]="Unknown",Backend!$C$8,"Error"))),"")</f>
        <v/>
      </c>
      <c r="F4968" s="8" t="str">
        <f>IF(Table1[[#This Row],[Is Data Valid]]=TRUE,EXP(0.578+0.332*((Table1[[#This Row],[Gestation (days)]]+0.5)/7)-0.00354*((Table1[[#This Row],[Gestation (days)]]+0.5)/7)^2)*Table1[[#This Row],[BW40_3705]],"")</f>
        <v/>
      </c>
      <c r="G4968" s="2" t="str">
        <f>IF(Table1[[#This Row],[Is Data Valid]]=TRUE,((Table1[[#This Row],[Birthweight (grams)]]/Table1[[#This Row],[BW_GA]])-1)/(Backend!$B$4/100*Table1[[#This Row],[BW40_3705]]),"")</f>
        <v/>
      </c>
      <c r="H4968" s="7" t="str">
        <f>IF(Table1[[#This Row],[Is Data Valid]]=TRUE,((Table1[[#This Row],[Birthweight (grams)]]*0.9/Table1[[#This Row],[BW_GA]])-1)/(Backend!$B$4/100*Table1[[#This Row],[BW40_3705]]),"")</f>
        <v/>
      </c>
      <c r="I4968" s="7" t="str">
        <f>IF(Table1[[#This Row],[Is Data Valid]]=TRUE,((Table1[[#This Row],[Birthweight (grams)]]*1.1/Table1[[#This Row],[BW_GA]])-1)/(Backend!$B$4/100*Table1[[#This Row],[BW40_3705]]),"")</f>
        <v/>
      </c>
      <c r="J4968" s="7" t="str">
        <f>IF(Table1[[#This Row],[Is Data Valid]]=TRUE,_xlfn.NORM.S.DIST(Table1[[#This Row],[Birthweight Z-Score]],TRUE)*100,"")</f>
        <v/>
      </c>
      <c r="K4968" s="7" t="str">
        <f>IF(Table1[[#This Row],[Is Data Valid]]=TRUE,_xlfn.NORM.S.DIST(Table1[[#This Row],[Birthweight Z-Score (BW-10%)]],TRUE)*100,"")</f>
        <v/>
      </c>
      <c r="L4968" s="7" t="str">
        <f>IF(Table1[[#This Row],[Is Data Valid]]=TRUE,_xlfn.NORM.S.DIST(Table1[[#This Row],[Birthweight Z-Score (BW+10%)]],TRUE)*100,"")</f>
        <v/>
      </c>
    </row>
    <row r="4969" spans="1:12" x14ac:dyDescent="0.35">
      <c r="A4969" s="3"/>
      <c r="B4969" s="2"/>
      <c r="C4969" s="2"/>
      <c r="D4969" s="2" t="b">
        <f>IF(AND(NOT(ISBLANK(Table1[[#This Row],[Fetal Sex (Male, Female or Unknown)]])),ISNUMBER(Table1[[#This Row],[Birthweight (grams)]]),ISNUMBER(Table1[[#This Row],[Gestation (days)]])),TRUE,FALSE)</f>
        <v>0</v>
      </c>
      <c r="E4969" s="2" t="str">
        <f>IF(Table1[[#This Row],[Is Data Valid]]=TRUE,IF(Table1[[#This Row],[Fetal Sex (Male, Female or Unknown)]]="Male",Backend!$C$6,IF(Table1[[#This Row],[Fetal Sex (Male, Female or Unknown)]]="Female",Backend!$C$7,IF(Table1[[#This Row],[Fetal Sex (Male, Female or Unknown)]]="Unknown",Backend!$C$8,"Error"))),"")</f>
        <v/>
      </c>
      <c r="F4969" s="8" t="str">
        <f>IF(Table1[[#This Row],[Is Data Valid]]=TRUE,EXP(0.578+0.332*((Table1[[#This Row],[Gestation (days)]]+0.5)/7)-0.00354*((Table1[[#This Row],[Gestation (days)]]+0.5)/7)^2)*Table1[[#This Row],[BW40_3705]],"")</f>
        <v/>
      </c>
      <c r="G4969" s="2" t="str">
        <f>IF(Table1[[#This Row],[Is Data Valid]]=TRUE,((Table1[[#This Row],[Birthweight (grams)]]/Table1[[#This Row],[BW_GA]])-1)/(Backend!$B$4/100*Table1[[#This Row],[BW40_3705]]),"")</f>
        <v/>
      </c>
      <c r="H4969" s="7" t="str">
        <f>IF(Table1[[#This Row],[Is Data Valid]]=TRUE,((Table1[[#This Row],[Birthweight (grams)]]*0.9/Table1[[#This Row],[BW_GA]])-1)/(Backend!$B$4/100*Table1[[#This Row],[BW40_3705]]),"")</f>
        <v/>
      </c>
      <c r="I4969" s="7" t="str">
        <f>IF(Table1[[#This Row],[Is Data Valid]]=TRUE,((Table1[[#This Row],[Birthweight (grams)]]*1.1/Table1[[#This Row],[BW_GA]])-1)/(Backend!$B$4/100*Table1[[#This Row],[BW40_3705]]),"")</f>
        <v/>
      </c>
      <c r="J4969" s="7" t="str">
        <f>IF(Table1[[#This Row],[Is Data Valid]]=TRUE,_xlfn.NORM.S.DIST(Table1[[#This Row],[Birthweight Z-Score]],TRUE)*100,"")</f>
        <v/>
      </c>
      <c r="K4969" s="7" t="str">
        <f>IF(Table1[[#This Row],[Is Data Valid]]=TRUE,_xlfn.NORM.S.DIST(Table1[[#This Row],[Birthweight Z-Score (BW-10%)]],TRUE)*100,"")</f>
        <v/>
      </c>
      <c r="L4969" s="7" t="str">
        <f>IF(Table1[[#This Row],[Is Data Valid]]=TRUE,_xlfn.NORM.S.DIST(Table1[[#This Row],[Birthweight Z-Score (BW+10%)]],TRUE)*100,"")</f>
        <v/>
      </c>
    </row>
    <row r="4970" spans="1:12" x14ac:dyDescent="0.35">
      <c r="A4970" s="3"/>
      <c r="B4970" s="2"/>
      <c r="C4970" s="2"/>
      <c r="D4970" s="2" t="b">
        <f>IF(AND(NOT(ISBLANK(Table1[[#This Row],[Fetal Sex (Male, Female or Unknown)]])),ISNUMBER(Table1[[#This Row],[Birthweight (grams)]]),ISNUMBER(Table1[[#This Row],[Gestation (days)]])),TRUE,FALSE)</f>
        <v>0</v>
      </c>
      <c r="E4970" s="2" t="str">
        <f>IF(Table1[[#This Row],[Is Data Valid]]=TRUE,IF(Table1[[#This Row],[Fetal Sex (Male, Female or Unknown)]]="Male",Backend!$C$6,IF(Table1[[#This Row],[Fetal Sex (Male, Female or Unknown)]]="Female",Backend!$C$7,IF(Table1[[#This Row],[Fetal Sex (Male, Female or Unknown)]]="Unknown",Backend!$C$8,"Error"))),"")</f>
        <v/>
      </c>
      <c r="F4970" s="8" t="str">
        <f>IF(Table1[[#This Row],[Is Data Valid]]=TRUE,EXP(0.578+0.332*((Table1[[#This Row],[Gestation (days)]]+0.5)/7)-0.00354*((Table1[[#This Row],[Gestation (days)]]+0.5)/7)^2)*Table1[[#This Row],[BW40_3705]],"")</f>
        <v/>
      </c>
      <c r="G4970" s="2" t="str">
        <f>IF(Table1[[#This Row],[Is Data Valid]]=TRUE,((Table1[[#This Row],[Birthweight (grams)]]/Table1[[#This Row],[BW_GA]])-1)/(Backend!$B$4/100*Table1[[#This Row],[BW40_3705]]),"")</f>
        <v/>
      </c>
      <c r="H4970" s="7" t="str">
        <f>IF(Table1[[#This Row],[Is Data Valid]]=TRUE,((Table1[[#This Row],[Birthweight (grams)]]*0.9/Table1[[#This Row],[BW_GA]])-1)/(Backend!$B$4/100*Table1[[#This Row],[BW40_3705]]),"")</f>
        <v/>
      </c>
      <c r="I4970" s="7" t="str">
        <f>IF(Table1[[#This Row],[Is Data Valid]]=TRUE,((Table1[[#This Row],[Birthweight (grams)]]*1.1/Table1[[#This Row],[BW_GA]])-1)/(Backend!$B$4/100*Table1[[#This Row],[BW40_3705]]),"")</f>
        <v/>
      </c>
      <c r="J4970" s="7" t="str">
        <f>IF(Table1[[#This Row],[Is Data Valid]]=TRUE,_xlfn.NORM.S.DIST(Table1[[#This Row],[Birthweight Z-Score]],TRUE)*100,"")</f>
        <v/>
      </c>
      <c r="K4970" s="7" t="str">
        <f>IF(Table1[[#This Row],[Is Data Valid]]=TRUE,_xlfn.NORM.S.DIST(Table1[[#This Row],[Birthweight Z-Score (BW-10%)]],TRUE)*100,"")</f>
        <v/>
      </c>
      <c r="L4970" s="7" t="str">
        <f>IF(Table1[[#This Row],[Is Data Valid]]=TRUE,_xlfn.NORM.S.DIST(Table1[[#This Row],[Birthweight Z-Score (BW+10%)]],TRUE)*100,"")</f>
        <v/>
      </c>
    </row>
    <row r="4971" spans="1:12" x14ac:dyDescent="0.35">
      <c r="A4971" s="3"/>
      <c r="B4971" s="2"/>
      <c r="C4971" s="2"/>
      <c r="D4971" s="2" t="b">
        <f>IF(AND(NOT(ISBLANK(Table1[[#This Row],[Fetal Sex (Male, Female or Unknown)]])),ISNUMBER(Table1[[#This Row],[Birthweight (grams)]]),ISNUMBER(Table1[[#This Row],[Gestation (days)]])),TRUE,FALSE)</f>
        <v>0</v>
      </c>
      <c r="E4971" s="2" t="str">
        <f>IF(Table1[[#This Row],[Is Data Valid]]=TRUE,IF(Table1[[#This Row],[Fetal Sex (Male, Female or Unknown)]]="Male",Backend!$C$6,IF(Table1[[#This Row],[Fetal Sex (Male, Female or Unknown)]]="Female",Backend!$C$7,IF(Table1[[#This Row],[Fetal Sex (Male, Female or Unknown)]]="Unknown",Backend!$C$8,"Error"))),"")</f>
        <v/>
      </c>
      <c r="F4971" s="8" t="str">
        <f>IF(Table1[[#This Row],[Is Data Valid]]=TRUE,EXP(0.578+0.332*((Table1[[#This Row],[Gestation (days)]]+0.5)/7)-0.00354*((Table1[[#This Row],[Gestation (days)]]+0.5)/7)^2)*Table1[[#This Row],[BW40_3705]],"")</f>
        <v/>
      </c>
      <c r="G4971" s="2" t="str">
        <f>IF(Table1[[#This Row],[Is Data Valid]]=TRUE,((Table1[[#This Row],[Birthweight (grams)]]/Table1[[#This Row],[BW_GA]])-1)/(Backend!$B$4/100*Table1[[#This Row],[BW40_3705]]),"")</f>
        <v/>
      </c>
      <c r="H4971" s="7" t="str">
        <f>IF(Table1[[#This Row],[Is Data Valid]]=TRUE,((Table1[[#This Row],[Birthweight (grams)]]*0.9/Table1[[#This Row],[BW_GA]])-1)/(Backend!$B$4/100*Table1[[#This Row],[BW40_3705]]),"")</f>
        <v/>
      </c>
      <c r="I4971" s="7" t="str">
        <f>IF(Table1[[#This Row],[Is Data Valid]]=TRUE,((Table1[[#This Row],[Birthweight (grams)]]*1.1/Table1[[#This Row],[BW_GA]])-1)/(Backend!$B$4/100*Table1[[#This Row],[BW40_3705]]),"")</f>
        <v/>
      </c>
      <c r="J4971" s="7" t="str">
        <f>IF(Table1[[#This Row],[Is Data Valid]]=TRUE,_xlfn.NORM.S.DIST(Table1[[#This Row],[Birthweight Z-Score]],TRUE)*100,"")</f>
        <v/>
      </c>
      <c r="K4971" s="7" t="str">
        <f>IF(Table1[[#This Row],[Is Data Valid]]=TRUE,_xlfn.NORM.S.DIST(Table1[[#This Row],[Birthweight Z-Score (BW-10%)]],TRUE)*100,"")</f>
        <v/>
      </c>
      <c r="L4971" s="7" t="str">
        <f>IF(Table1[[#This Row],[Is Data Valid]]=TRUE,_xlfn.NORM.S.DIST(Table1[[#This Row],[Birthweight Z-Score (BW+10%)]],TRUE)*100,"")</f>
        <v/>
      </c>
    </row>
    <row r="4972" spans="1:12" x14ac:dyDescent="0.35">
      <c r="A4972" s="3"/>
      <c r="B4972" s="2"/>
      <c r="C4972" s="2"/>
      <c r="D4972" s="2" t="b">
        <f>IF(AND(NOT(ISBLANK(Table1[[#This Row],[Fetal Sex (Male, Female or Unknown)]])),ISNUMBER(Table1[[#This Row],[Birthweight (grams)]]),ISNUMBER(Table1[[#This Row],[Gestation (days)]])),TRUE,FALSE)</f>
        <v>0</v>
      </c>
      <c r="E4972" s="2" t="str">
        <f>IF(Table1[[#This Row],[Is Data Valid]]=TRUE,IF(Table1[[#This Row],[Fetal Sex (Male, Female or Unknown)]]="Male",Backend!$C$6,IF(Table1[[#This Row],[Fetal Sex (Male, Female or Unknown)]]="Female",Backend!$C$7,IF(Table1[[#This Row],[Fetal Sex (Male, Female or Unknown)]]="Unknown",Backend!$C$8,"Error"))),"")</f>
        <v/>
      </c>
      <c r="F4972" s="8" t="str">
        <f>IF(Table1[[#This Row],[Is Data Valid]]=TRUE,EXP(0.578+0.332*((Table1[[#This Row],[Gestation (days)]]+0.5)/7)-0.00354*((Table1[[#This Row],[Gestation (days)]]+0.5)/7)^2)*Table1[[#This Row],[BW40_3705]],"")</f>
        <v/>
      </c>
      <c r="G4972" s="2" t="str">
        <f>IF(Table1[[#This Row],[Is Data Valid]]=TRUE,((Table1[[#This Row],[Birthweight (grams)]]/Table1[[#This Row],[BW_GA]])-1)/(Backend!$B$4/100*Table1[[#This Row],[BW40_3705]]),"")</f>
        <v/>
      </c>
      <c r="H4972" s="7" t="str">
        <f>IF(Table1[[#This Row],[Is Data Valid]]=TRUE,((Table1[[#This Row],[Birthweight (grams)]]*0.9/Table1[[#This Row],[BW_GA]])-1)/(Backend!$B$4/100*Table1[[#This Row],[BW40_3705]]),"")</f>
        <v/>
      </c>
      <c r="I4972" s="7" t="str">
        <f>IF(Table1[[#This Row],[Is Data Valid]]=TRUE,((Table1[[#This Row],[Birthweight (grams)]]*1.1/Table1[[#This Row],[BW_GA]])-1)/(Backend!$B$4/100*Table1[[#This Row],[BW40_3705]]),"")</f>
        <v/>
      </c>
      <c r="J4972" s="7" t="str">
        <f>IF(Table1[[#This Row],[Is Data Valid]]=TRUE,_xlfn.NORM.S.DIST(Table1[[#This Row],[Birthweight Z-Score]],TRUE)*100,"")</f>
        <v/>
      </c>
      <c r="K4972" s="7" t="str">
        <f>IF(Table1[[#This Row],[Is Data Valid]]=TRUE,_xlfn.NORM.S.DIST(Table1[[#This Row],[Birthweight Z-Score (BW-10%)]],TRUE)*100,"")</f>
        <v/>
      </c>
      <c r="L4972" s="7" t="str">
        <f>IF(Table1[[#This Row],[Is Data Valid]]=TRUE,_xlfn.NORM.S.DIST(Table1[[#This Row],[Birthweight Z-Score (BW+10%)]],TRUE)*100,"")</f>
        <v/>
      </c>
    </row>
    <row r="4973" spans="1:12" x14ac:dyDescent="0.35">
      <c r="A4973" s="3"/>
      <c r="B4973" s="2"/>
      <c r="C4973" s="2"/>
      <c r="D4973" s="2" t="b">
        <f>IF(AND(NOT(ISBLANK(Table1[[#This Row],[Fetal Sex (Male, Female or Unknown)]])),ISNUMBER(Table1[[#This Row],[Birthweight (grams)]]),ISNUMBER(Table1[[#This Row],[Gestation (days)]])),TRUE,FALSE)</f>
        <v>0</v>
      </c>
      <c r="E4973" s="2" t="str">
        <f>IF(Table1[[#This Row],[Is Data Valid]]=TRUE,IF(Table1[[#This Row],[Fetal Sex (Male, Female or Unknown)]]="Male",Backend!$C$6,IF(Table1[[#This Row],[Fetal Sex (Male, Female or Unknown)]]="Female",Backend!$C$7,IF(Table1[[#This Row],[Fetal Sex (Male, Female or Unknown)]]="Unknown",Backend!$C$8,"Error"))),"")</f>
        <v/>
      </c>
      <c r="F4973" s="8" t="str">
        <f>IF(Table1[[#This Row],[Is Data Valid]]=TRUE,EXP(0.578+0.332*((Table1[[#This Row],[Gestation (days)]]+0.5)/7)-0.00354*((Table1[[#This Row],[Gestation (days)]]+0.5)/7)^2)*Table1[[#This Row],[BW40_3705]],"")</f>
        <v/>
      </c>
      <c r="G4973" s="2" t="str">
        <f>IF(Table1[[#This Row],[Is Data Valid]]=TRUE,((Table1[[#This Row],[Birthweight (grams)]]/Table1[[#This Row],[BW_GA]])-1)/(Backend!$B$4/100*Table1[[#This Row],[BW40_3705]]),"")</f>
        <v/>
      </c>
      <c r="H4973" s="7" t="str">
        <f>IF(Table1[[#This Row],[Is Data Valid]]=TRUE,((Table1[[#This Row],[Birthweight (grams)]]*0.9/Table1[[#This Row],[BW_GA]])-1)/(Backend!$B$4/100*Table1[[#This Row],[BW40_3705]]),"")</f>
        <v/>
      </c>
      <c r="I4973" s="7" t="str">
        <f>IF(Table1[[#This Row],[Is Data Valid]]=TRUE,((Table1[[#This Row],[Birthweight (grams)]]*1.1/Table1[[#This Row],[BW_GA]])-1)/(Backend!$B$4/100*Table1[[#This Row],[BW40_3705]]),"")</f>
        <v/>
      </c>
      <c r="J4973" s="7" t="str">
        <f>IF(Table1[[#This Row],[Is Data Valid]]=TRUE,_xlfn.NORM.S.DIST(Table1[[#This Row],[Birthweight Z-Score]],TRUE)*100,"")</f>
        <v/>
      </c>
      <c r="K4973" s="7" t="str">
        <f>IF(Table1[[#This Row],[Is Data Valid]]=TRUE,_xlfn.NORM.S.DIST(Table1[[#This Row],[Birthweight Z-Score (BW-10%)]],TRUE)*100,"")</f>
        <v/>
      </c>
      <c r="L4973" s="7" t="str">
        <f>IF(Table1[[#This Row],[Is Data Valid]]=TRUE,_xlfn.NORM.S.DIST(Table1[[#This Row],[Birthweight Z-Score (BW+10%)]],TRUE)*100,"")</f>
        <v/>
      </c>
    </row>
    <row r="4974" spans="1:12" x14ac:dyDescent="0.35">
      <c r="A4974" s="3"/>
      <c r="B4974" s="2"/>
      <c r="C4974" s="2"/>
      <c r="D4974" s="2" t="b">
        <f>IF(AND(NOT(ISBLANK(Table1[[#This Row],[Fetal Sex (Male, Female or Unknown)]])),ISNUMBER(Table1[[#This Row],[Birthweight (grams)]]),ISNUMBER(Table1[[#This Row],[Gestation (days)]])),TRUE,FALSE)</f>
        <v>0</v>
      </c>
      <c r="E4974" s="2" t="str">
        <f>IF(Table1[[#This Row],[Is Data Valid]]=TRUE,IF(Table1[[#This Row],[Fetal Sex (Male, Female or Unknown)]]="Male",Backend!$C$6,IF(Table1[[#This Row],[Fetal Sex (Male, Female or Unknown)]]="Female",Backend!$C$7,IF(Table1[[#This Row],[Fetal Sex (Male, Female or Unknown)]]="Unknown",Backend!$C$8,"Error"))),"")</f>
        <v/>
      </c>
      <c r="F4974" s="8" t="str">
        <f>IF(Table1[[#This Row],[Is Data Valid]]=TRUE,EXP(0.578+0.332*((Table1[[#This Row],[Gestation (days)]]+0.5)/7)-0.00354*((Table1[[#This Row],[Gestation (days)]]+0.5)/7)^2)*Table1[[#This Row],[BW40_3705]],"")</f>
        <v/>
      </c>
      <c r="G4974" s="2" t="str">
        <f>IF(Table1[[#This Row],[Is Data Valid]]=TRUE,((Table1[[#This Row],[Birthweight (grams)]]/Table1[[#This Row],[BW_GA]])-1)/(Backend!$B$4/100*Table1[[#This Row],[BW40_3705]]),"")</f>
        <v/>
      </c>
      <c r="H4974" s="7" t="str">
        <f>IF(Table1[[#This Row],[Is Data Valid]]=TRUE,((Table1[[#This Row],[Birthweight (grams)]]*0.9/Table1[[#This Row],[BW_GA]])-1)/(Backend!$B$4/100*Table1[[#This Row],[BW40_3705]]),"")</f>
        <v/>
      </c>
      <c r="I4974" s="7" t="str">
        <f>IF(Table1[[#This Row],[Is Data Valid]]=TRUE,((Table1[[#This Row],[Birthweight (grams)]]*1.1/Table1[[#This Row],[BW_GA]])-1)/(Backend!$B$4/100*Table1[[#This Row],[BW40_3705]]),"")</f>
        <v/>
      </c>
      <c r="J4974" s="7" t="str">
        <f>IF(Table1[[#This Row],[Is Data Valid]]=TRUE,_xlfn.NORM.S.DIST(Table1[[#This Row],[Birthweight Z-Score]],TRUE)*100,"")</f>
        <v/>
      </c>
      <c r="K4974" s="7" t="str">
        <f>IF(Table1[[#This Row],[Is Data Valid]]=TRUE,_xlfn.NORM.S.DIST(Table1[[#This Row],[Birthweight Z-Score (BW-10%)]],TRUE)*100,"")</f>
        <v/>
      </c>
      <c r="L4974" s="7" t="str">
        <f>IF(Table1[[#This Row],[Is Data Valid]]=TRUE,_xlfn.NORM.S.DIST(Table1[[#This Row],[Birthweight Z-Score (BW+10%)]],TRUE)*100,"")</f>
        <v/>
      </c>
    </row>
    <row r="4975" spans="1:12" x14ac:dyDescent="0.35">
      <c r="A4975" s="3"/>
      <c r="B4975" s="2"/>
      <c r="C4975" s="2"/>
      <c r="D4975" s="2" t="b">
        <f>IF(AND(NOT(ISBLANK(Table1[[#This Row],[Fetal Sex (Male, Female or Unknown)]])),ISNUMBER(Table1[[#This Row],[Birthweight (grams)]]),ISNUMBER(Table1[[#This Row],[Gestation (days)]])),TRUE,FALSE)</f>
        <v>0</v>
      </c>
      <c r="E4975" s="2" t="str">
        <f>IF(Table1[[#This Row],[Is Data Valid]]=TRUE,IF(Table1[[#This Row],[Fetal Sex (Male, Female or Unknown)]]="Male",Backend!$C$6,IF(Table1[[#This Row],[Fetal Sex (Male, Female or Unknown)]]="Female",Backend!$C$7,IF(Table1[[#This Row],[Fetal Sex (Male, Female or Unknown)]]="Unknown",Backend!$C$8,"Error"))),"")</f>
        <v/>
      </c>
      <c r="F4975" s="8" t="str">
        <f>IF(Table1[[#This Row],[Is Data Valid]]=TRUE,EXP(0.578+0.332*((Table1[[#This Row],[Gestation (days)]]+0.5)/7)-0.00354*((Table1[[#This Row],[Gestation (days)]]+0.5)/7)^2)*Table1[[#This Row],[BW40_3705]],"")</f>
        <v/>
      </c>
      <c r="G4975" s="2" t="str">
        <f>IF(Table1[[#This Row],[Is Data Valid]]=TRUE,((Table1[[#This Row],[Birthweight (grams)]]/Table1[[#This Row],[BW_GA]])-1)/(Backend!$B$4/100*Table1[[#This Row],[BW40_3705]]),"")</f>
        <v/>
      </c>
      <c r="H4975" s="7" t="str">
        <f>IF(Table1[[#This Row],[Is Data Valid]]=TRUE,((Table1[[#This Row],[Birthweight (grams)]]*0.9/Table1[[#This Row],[BW_GA]])-1)/(Backend!$B$4/100*Table1[[#This Row],[BW40_3705]]),"")</f>
        <v/>
      </c>
      <c r="I4975" s="7" t="str">
        <f>IF(Table1[[#This Row],[Is Data Valid]]=TRUE,((Table1[[#This Row],[Birthweight (grams)]]*1.1/Table1[[#This Row],[BW_GA]])-1)/(Backend!$B$4/100*Table1[[#This Row],[BW40_3705]]),"")</f>
        <v/>
      </c>
      <c r="J4975" s="7" t="str">
        <f>IF(Table1[[#This Row],[Is Data Valid]]=TRUE,_xlfn.NORM.S.DIST(Table1[[#This Row],[Birthweight Z-Score]],TRUE)*100,"")</f>
        <v/>
      </c>
      <c r="K4975" s="7" t="str">
        <f>IF(Table1[[#This Row],[Is Data Valid]]=TRUE,_xlfn.NORM.S.DIST(Table1[[#This Row],[Birthweight Z-Score (BW-10%)]],TRUE)*100,"")</f>
        <v/>
      </c>
      <c r="L4975" s="7" t="str">
        <f>IF(Table1[[#This Row],[Is Data Valid]]=TRUE,_xlfn.NORM.S.DIST(Table1[[#This Row],[Birthweight Z-Score (BW+10%)]],TRUE)*100,"")</f>
        <v/>
      </c>
    </row>
    <row r="4976" spans="1:12" x14ac:dyDescent="0.35">
      <c r="A4976" s="3"/>
      <c r="B4976" s="2"/>
      <c r="C4976" s="2"/>
      <c r="D4976" s="2" t="b">
        <f>IF(AND(NOT(ISBLANK(Table1[[#This Row],[Fetal Sex (Male, Female or Unknown)]])),ISNUMBER(Table1[[#This Row],[Birthweight (grams)]]),ISNUMBER(Table1[[#This Row],[Gestation (days)]])),TRUE,FALSE)</f>
        <v>0</v>
      </c>
      <c r="E4976" s="2" t="str">
        <f>IF(Table1[[#This Row],[Is Data Valid]]=TRUE,IF(Table1[[#This Row],[Fetal Sex (Male, Female or Unknown)]]="Male",Backend!$C$6,IF(Table1[[#This Row],[Fetal Sex (Male, Female or Unknown)]]="Female",Backend!$C$7,IF(Table1[[#This Row],[Fetal Sex (Male, Female or Unknown)]]="Unknown",Backend!$C$8,"Error"))),"")</f>
        <v/>
      </c>
      <c r="F4976" s="8" t="str">
        <f>IF(Table1[[#This Row],[Is Data Valid]]=TRUE,EXP(0.578+0.332*((Table1[[#This Row],[Gestation (days)]]+0.5)/7)-0.00354*((Table1[[#This Row],[Gestation (days)]]+0.5)/7)^2)*Table1[[#This Row],[BW40_3705]],"")</f>
        <v/>
      </c>
      <c r="G4976" s="2" t="str">
        <f>IF(Table1[[#This Row],[Is Data Valid]]=TRUE,((Table1[[#This Row],[Birthweight (grams)]]/Table1[[#This Row],[BW_GA]])-1)/(Backend!$B$4/100*Table1[[#This Row],[BW40_3705]]),"")</f>
        <v/>
      </c>
      <c r="H4976" s="7" t="str">
        <f>IF(Table1[[#This Row],[Is Data Valid]]=TRUE,((Table1[[#This Row],[Birthweight (grams)]]*0.9/Table1[[#This Row],[BW_GA]])-1)/(Backend!$B$4/100*Table1[[#This Row],[BW40_3705]]),"")</f>
        <v/>
      </c>
      <c r="I4976" s="7" t="str">
        <f>IF(Table1[[#This Row],[Is Data Valid]]=TRUE,((Table1[[#This Row],[Birthweight (grams)]]*1.1/Table1[[#This Row],[BW_GA]])-1)/(Backend!$B$4/100*Table1[[#This Row],[BW40_3705]]),"")</f>
        <v/>
      </c>
      <c r="J4976" s="7" t="str">
        <f>IF(Table1[[#This Row],[Is Data Valid]]=TRUE,_xlfn.NORM.S.DIST(Table1[[#This Row],[Birthweight Z-Score]],TRUE)*100,"")</f>
        <v/>
      </c>
      <c r="K4976" s="7" t="str">
        <f>IF(Table1[[#This Row],[Is Data Valid]]=TRUE,_xlfn.NORM.S.DIST(Table1[[#This Row],[Birthweight Z-Score (BW-10%)]],TRUE)*100,"")</f>
        <v/>
      </c>
      <c r="L4976" s="7" t="str">
        <f>IF(Table1[[#This Row],[Is Data Valid]]=TRUE,_xlfn.NORM.S.DIST(Table1[[#This Row],[Birthweight Z-Score (BW+10%)]],TRUE)*100,"")</f>
        <v/>
      </c>
    </row>
    <row r="4977" spans="1:12" x14ac:dyDescent="0.35">
      <c r="A4977" s="3"/>
      <c r="B4977" s="2"/>
      <c r="C4977" s="2"/>
      <c r="D4977" s="2" t="b">
        <f>IF(AND(NOT(ISBLANK(Table1[[#This Row],[Fetal Sex (Male, Female or Unknown)]])),ISNUMBER(Table1[[#This Row],[Birthweight (grams)]]),ISNUMBER(Table1[[#This Row],[Gestation (days)]])),TRUE,FALSE)</f>
        <v>0</v>
      </c>
      <c r="E4977" s="2" t="str">
        <f>IF(Table1[[#This Row],[Is Data Valid]]=TRUE,IF(Table1[[#This Row],[Fetal Sex (Male, Female or Unknown)]]="Male",Backend!$C$6,IF(Table1[[#This Row],[Fetal Sex (Male, Female or Unknown)]]="Female",Backend!$C$7,IF(Table1[[#This Row],[Fetal Sex (Male, Female or Unknown)]]="Unknown",Backend!$C$8,"Error"))),"")</f>
        <v/>
      </c>
      <c r="F4977" s="8" t="str">
        <f>IF(Table1[[#This Row],[Is Data Valid]]=TRUE,EXP(0.578+0.332*((Table1[[#This Row],[Gestation (days)]]+0.5)/7)-0.00354*((Table1[[#This Row],[Gestation (days)]]+0.5)/7)^2)*Table1[[#This Row],[BW40_3705]],"")</f>
        <v/>
      </c>
      <c r="G4977" s="2" t="str">
        <f>IF(Table1[[#This Row],[Is Data Valid]]=TRUE,((Table1[[#This Row],[Birthweight (grams)]]/Table1[[#This Row],[BW_GA]])-1)/(Backend!$B$4/100*Table1[[#This Row],[BW40_3705]]),"")</f>
        <v/>
      </c>
      <c r="H4977" s="7" t="str">
        <f>IF(Table1[[#This Row],[Is Data Valid]]=TRUE,((Table1[[#This Row],[Birthweight (grams)]]*0.9/Table1[[#This Row],[BW_GA]])-1)/(Backend!$B$4/100*Table1[[#This Row],[BW40_3705]]),"")</f>
        <v/>
      </c>
      <c r="I4977" s="7" t="str">
        <f>IF(Table1[[#This Row],[Is Data Valid]]=TRUE,((Table1[[#This Row],[Birthweight (grams)]]*1.1/Table1[[#This Row],[BW_GA]])-1)/(Backend!$B$4/100*Table1[[#This Row],[BW40_3705]]),"")</f>
        <v/>
      </c>
      <c r="J4977" s="7" t="str">
        <f>IF(Table1[[#This Row],[Is Data Valid]]=TRUE,_xlfn.NORM.S.DIST(Table1[[#This Row],[Birthweight Z-Score]],TRUE)*100,"")</f>
        <v/>
      </c>
      <c r="K4977" s="7" t="str">
        <f>IF(Table1[[#This Row],[Is Data Valid]]=TRUE,_xlfn.NORM.S.DIST(Table1[[#This Row],[Birthweight Z-Score (BW-10%)]],TRUE)*100,"")</f>
        <v/>
      </c>
      <c r="L4977" s="7" t="str">
        <f>IF(Table1[[#This Row],[Is Data Valid]]=TRUE,_xlfn.NORM.S.DIST(Table1[[#This Row],[Birthweight Z-Score (BW+10%)]],TRUE)*100,"")</f>
        <v/>
      </c>
    </row>
    <row r="4978" spans="1:12" x14ac:dyDescent="0.35">
      <c r="A4978" s="3"/>
      <c r="B4978" s="2"/>
      <c r="C4978" s="2"/>
      <c r="D4978" s="2" t="b">
        <f>IF(AND(NOT(ISBLANK(Table1[[#This Row],[Fetal Sex (Male, Female or Unknown)]])),ISNUMBER(Table1[[#This Row],[Birthweight (grams)]]),ISNUMBER(Table1[[#This Row],[Gestation (days)]])),TRUE,FALSE)</f>
        <v>0</v>
      </c>
      <c r="E4978" s="2" t="str">
        <f>IF(Table1[[#This Row],[Is Data Valid]]=TRUE,IF(Table1[[#This Row],[Fetal Sex (Male, Female or Unknown)]]="Male",Backend!$C$6,IF(Table1[[#This Row],[Fetal Sex (Male, Female or Unknown)]]="Female",Backend!$C$7,IF(Table1[[#This Row],[Fetal Sex (Male, Female or Unknown)]]="Unknown",Backend!$C$8,"Error"))),"")</f>
        <v/>
      </c>
      <c r="F4978" s="8" t="str">
        <f>IF(Table1[[#This Row],[Is Data Valid]]=TRUE,EXP(0.578+0.332*((Table1[[#This Row],[Gestation (days)]]+0.5)/7)-0.00354*((Table1[[#This Row],[Gestation (days)]]+0.5)/7)^2)*Table1[[#This Row],[BW40_3705]],"")</f>
        <v/>
      </c>
      <c r="G4978" s="2" t="str">
        <f>IF(Table1[[#This Row],[Is Data Valid]]=TRUE,((Table1[[#This Row],[Birthweight (grams)]]/Table1[[#This Row],[BW_GA]])-1)/(Backend!$B$4/100*Table1[[#This Row],[BW40_3705]]),"")</f>
        <v/>
      </c>
      <c r="H4978" s="7" t="str">
        <f>IF(Table1[[#This Row],[Is Data Valid]]=TRUE,((Table1[[#This Row],[Birthweight (grams)]]*0.9/Table1[[#This Row],[BW_GA]])-1)/(Backend!$B$4/100*Table1[[#This Row],[BW40_3705]]),"")</f>
        <v/>
      </c>
      <c r="I4978" s="7" t="str">
        <f>IF(Table1[[#This Row],[Is Data Valid]]=TRUE,((Table1[[#This Row],[Birthweight (grams)]]*1.1/Table1[[#This Row],[BW_GA]])-1)/(Backend!$B$4/100*Table1[[#This Row],[BW40_3705]]),"")</f>
        <v/>
      </c>
      <c r="J4978" s="7" t="str">
        <f>IF(Table1[[#This Row],[Is Data Valid]]=TRUE,_xlfn.NORM.S.DIST(Table1[[#This Row],[Birthweight Z-Score]],TRUE)*100,"")</f>
        <v/>
      </c>
      <c r="K4978" s="7" t="str">
        <f>IF(Table1[[#This Row],[Is Data Valid]]=TRUE,_xlfn.NORM.S.DIST(Table1[[#This Row],[Birthweight Z-Score (BW-10%)]],TRUE)*100,"")</f>
        <v/>
      </c>
      <c r="L4978" s="7" t="str">
        <f>IF(Table1[[#This Row],[Is Data Valid]]=TRUE,_xlfn.NORM.S.DIST(Table1[[#This Row],[Birthweight Z-Score (BW+10%)]],TRUE)*100,"")</f>
        <v/>
      </c>
    </row>
    <row r="4979" spans="1:12" x14ac:dyDescent="0.35">
      <c r="A4979" s="3"/>
      <c r="B4979" s="2"/>
      <c r="C4979" s="2"/>
      <c r="D4979" s="2" t="b">
        <f>IF(AND(NOT(ISBLANK(Table1[[#This Row],[Fetal Sex (Male, Female or Unknown)]])),ISNUMBER(Table1[[#This Row],[Birthweight (grams)]]),ISNUMBER(Table1[[#This Row],[Gestation (days)]])),TRUE,FALSE)</f>
        <v>0</v>
      </c>
      <c r="E4979" s="2" t="str">
        <f>IF(Table1[[#This Row],[Is Data Valid]]=TRUE,IF(Table1[[#This Row],[Fetal Sex (Male, Female or Unknown)]]="Male",Backend!$C$6,IF(Table1[[#This Row],[Fetal Sex (Male, Female or Unknown)]]="Female",Backend!$C$7,IF(Table1[[#This Row],[Fetal Sex (Male, Female or Unknown)]]="Unknown",Backend!$C$8,"Error"))),"")</f>
        <v/>
      </c>
      <c r="F4979" s="8" t="str">
        <f>IF(Table1[[#This Row],[Is Data Valid]]=TRUE,EXP(0.578+0.332*((Table1[[#This Row],[Gestation (days)]]+0.5)/7)-0.00354*((Table1[[#This Row],[Gestation (days)]]+0.5)/7)^2)*Table1[[#This Row],[BW40_3705]],"")</f>
        <v/>
      </c>
      <c r="G4979" s="2" t="str">
        <f>IF(Table1[[#This Row],[Is Data Valid]]=TRUE,((Table1[[#This Row],[Birthweight (grams)]]/Table1[[#This Row],[BW_GA]])-1)/(Backend!$B$4/100*Table1[[#This Row],[BW40_3705]]),"")</f>
        <v/>
      </c>
      <c r="H4979" s="7" t="str">
        <f>IF(Table1[[#This Row],[Is Data Valid]]=TRUE,((Table1[[#This Row],[Birthweight (grams)]]*0.9/Table1[[#This Row],[BW_GA]])-1)/(Backend!$B$4/100*Table1[[#This Row],[BW40_3705]]),"")</f>
        <v/>
      </c>
      <c r="I4979" s="7" t="str">
        <f>IF(Table1[[#This Row],[Is Data Valid]]=TRUE,((Table1[[#This Row],[Birthweight (grams)]]*1.1/Table1[[#This Row],[BW_GA]])-1)/(Backend!$B$4/100*Table1[[#This Row],[BW40_3705]]),"")</f>
        <v/>
      </c>
      <c r="J4979" s="7" t="str">
        <f>IF(Table1[[#This Row],[Is Data Valid]]=TRUE,_xlfn.NORM.S.DIST(Table1[[#This Row],[Birthweight Z-Score]],TRUE)*100,"")</f>
        <v/>
      </c>
      <c r="K4979" s="7" t="str">
        <f>IF(Table1[[#This Row],[Is Data Valid]]=TRUE,_xlfn.NORM.S.DIST(Table1[[#This Row],[Birthweight Z-Score (BW-10%)]],TRUE)*100,"")</f>
        <v/>
      </c>
      <c r="L4979" s="7" t="str">
        <f>IF(Table1[[#This Row],[Is Data Valid]]=TRUE,_xlfn.NORM.S.DIST(Table1[[#This Row],[Birthweight Z-Score (BW+10%)]],TRUE)*100,"")</f>
        <v/>
      </c>
    </row>
    <row r="4980" spans="1:12" x14ac:dyDescent="0.35">
      <c r="A4980" s="3"/>
      <c r="B4980" s="2"/>
      <c r="C4980" s="2"/>
      <c r="D4980" s="2" t="b">
        <f>IF(AND(NOT(ISBLANK(Table1[[#This Row],[Fetal Sex (Male, Female or Unknown)]])),ISNUMBER(Table1[[#This Row],[Birthweight (grams)]]),ISNUMBER(Table1[[#This Row],[Gestation (days)]])),TRUE,FALSE)</f>
        <v>0</v>
      </c>
      <c r="E4980" s="2" t="str">
        <f>IF(Table1[[#This Row],[Is Data Valid]]=TRUE,IF(Table1[[#This Row],[Fetal Sex (Male, Female or Unknown)]]="Male",Backend!$C$6,IF(Table1[[#This Row],[Fetal Sex (Male, Female or Unknown)]]="Female",Backend!$C$7,IF(Table1[[#This Row],[Fetal Sex (Male, Female or Unknown)]]="Unknown",Backend!$C$8,"Error"))),"")</f>
        <v/>
      </c>
      <c r="F4980" s="8" t="str">
        <f>IF(Table1[[#This Row],[Is Data Valid]]=TRUE,EXP(0.578+0.332*((Table1[[#This Row],[Gestation (days)]]+0.5)/7)-0.00354*((Table1[[#This Row],[Gestation (days)]]+0.5)/7)^2)*Table1[[#This Row],[BW40_3705]],"")</f>
        <v/>
      </c>
      <c r="G4980" s="2" t="str">
        <f>IF(Table1[[#This Row],[Is Data Valid]]=TRUE,((Table1[[#This Row],[Birthweight (grams)]]/Table1[[#This Row],[BW_GA]])-1)/(Backend!$B$4/100*Table1[[#This Row],[BW40_3705]]),"")</f>
        <v/>
      </c>
      <c r="H4980" s="7" t="str">
        <f>IF(Table1[[#This Row],[Is Data Valid]]=TRUE,((Table1[[#This Row],[Birthweight (grams)]]*0.9/Table1[[#This Row],[BW_GA]])-1)/(Backend!$B$4/100*Table1[[#This Row],[BW40_3705]]),"")</f>
        <v/>
      </c>
      <c r="I4980" s="7" t="str">
        <f>IF(Table1[[#This Row],[Is Data Valid]]=TRUE,((Table1[[#This Row],[Birthweight (grams)]]*1.1/Table1[[#This Row],[BW_GA]])-1)/(Backend!$B$4/100*Table1[[#This Row],[BW40_3705]]),"")</f>
        <v/>
      </c>
      <c r="J4980" s="7" t="str">
        <f>IF(Table1[[#This Row],[Is Data Valid]]=TRUE,_xlfn.NORM.S.DIST(Table1[[#This Row],[Birthweight Z-Score]],TRUE)*100,"")</f>
        <v/>
      </c>
      <c r="K4980" s="7" t="str">
        <f>IF(Table1[[#This Row],[Is Data Valid]]=TRUE,_xlfn.NORM.S.DIST(Table1[[#This Row],[Birthweight Z-Score (BW-10%)]],TRUE)*100,"")</f>
        <v/>
      </c>
      <c r="L4980" s="7" t="str">
        <f>IF(Table1[[#This Row],[Is Data Valid]]=TRUE,_xlfn.NORM.S.DIST(Table1[[#This Row],[Birthweight Z-Score (BW+10%)]],TRUE)*100,"")</f>
        <v/>
      </c>
    </row>
    <row r="4981" spans="1:12" x14ac:dyDescent="0.35">
      <c r="A4981" s="3"/>
      <c r="B4981" s="2"/>
      <c r="C4981" s="2"/>
      <c r="D4981" s="2" t="b">
        <f>IF(AND(NOT(ISBLANK(Table1[[#This Row],[Fetal Sex (Male, Female or Unknown)]])),ISNUMBER(Table1[[#This Row],[Birthweight (grams)]]),ISNUMBER(Table1[[#This Row],[Gestation (days)]])),TRUE,FALSE)</f>
        <v>0</v>
      </c>
      <c r="E4981" s="2" t="str">
        <f>IF(Table1[[#This Row],[Is Data Valid]]=TRUE,IF(Table1[[#This Row],[Fetal Sex (Male, Female or Unknown)]]="Male",Backend!$C$6,IF(Table1[[#This Row],[Fetal Sex (Male, Female or Unknown)]]="Female",Backend!$C$7,IF(Table1[[#This Row],[Fetal Sex (Male, Female or Unknown)]]="Unknown",Backend!$C$8,"Error"))),"")</f>
        <v/>
      </c>
      <c r="F4981" s="8" t="str">
        <f>IF(Table1[[#This Row],[Is Data Valid]]=TRUE,EXP(0.578+0.332*((Table1[[#This Row],[Gestation (days)]]+0.5)/7)-0.00354*((Table1[[#This Row],[Gestation (days)]]+0.5)/7)^2)*Table1[[#This Row],[BW40_3705]],"")</f>
        <v/>
      </c>
      <c r="G4981" s="2" t="str">
        <f>IF(Table1[[#This Row],[Is Data Valid]]=TRUE,((Table1[[#This Row],[Birthweight (grams)]]/Table1[[#This Row],[BW_GA]])-1)/(Backend!$B$4/100*Table1[[#This Row],[BW40_3705]]),"")</f>
        <v/>
      </c>
      <c r="H4981" s="7" t="str">
        <f>IF(Table1[[#This Row],[Is Data Valid]]=TRUE,((Table1[[#This Row],[Birthweight (grams)]]*0.9/Table1[[#This Row],[BW_GA]])-1)/(Backend!$B$4/100*Table1[[#This Row],[BW40_3705]]),"")</f>
        <v/>
      </c>
      <c r="I4981" s="7" t="str">
        <f>IF(Table1[[#This Row],[Is Data Valid]]=TRUE,((Table1[[#This Row],[Birthweight (grams)]]*1.1/Table1[[#This Row],[BW_GA]])-1)/(Backend!$B$4/100*Table1[[#This Row],[BW40_3705]]),"")</f>
        <v/>
      </c>
      <c r="J4981" s="7" t="str">
        <f>IF(Table1[[#This Row],[Is Data Valid]]=TRUE,_xlfn.NORM.S.DIST(Table1[[#This Row],[Birthweight Z-Score]],TRUE)*100,"")</f>
        <v/>
      </c>
      <c r="K4981" s="7" t="str">
        <f>IF(Table1[[#This Row],[Is Data Valid]]=TRUE,_xlfn.NORM.S.DIST(Table1[[#This Row],[Birthweight Z-Score (BW-10%)]],TRUE)*100,"")</f>
        <v/>
      </c>
      <c r="L4981" s="7" t="str">
        <f>IF(Table1[[#This Row],[Is Data Valid]]=TRUE,_xlfn.NORM.S.DIST(Table1[[#This Row],[Birthweight Z-Score (BW+10%)]],TRUE)*100,"")</f>
        <v/>
      </c>
    </row>
    <row r="4982" spans="1:12" x14ac:dyDescent="0.35">
      <c r="A4982" s="3"/>
      <c r="B4982" s="2"/>
      <c r="C4982" s="2"/>
      <c r="D4982" s="2" t="b">
        <f>IF(AND(NOT(ISBLANK(Table1[[#This Row],[Fetal Sex (Male, Female or Unknown)]])),ISNUMBER(Table1[[#This Row],[Birthweight (grams)]]),ISNUMBER(Table1[[#This Row],[Gestation (days)]])),TRUE,FALSE)</f>
        <v>0</v>
      </c>
      <c r="E4982" s="2" t="str">
        <f>IF(Table1[[#This Row],[Is Data Valid]]=TRUE,IF(Table1[[#This Row],[Fetal Sex (Male, Female or Unknown)]]="Male",Backend!$C$6,IF(Table1[[#This Row],[Fetal Sex (Male, Female or Unknown)]]="Female",Backend!$C$7,IF(Table1[[#This Row],[Fetal Sex (Male, Female or Unknown)]]="Unknown",Backend!$C$8,"Error"))),"")</f>
        <v/>
      </c>
      <c r="F4982" s="8" t="str">
        <f>IF(Table1[[#This Row],[Is Data Valid]]=TRUE,EXP(0.578+0.332*((Table1[[#This Row],[Gestation (days)]]+0.5)/7)-0.00354*((Table1[[#This Row],[Gestation (days)]]+0.5)/7)^2)*Table1[[#This Row],[BW40_3705]],"")</f>
        <v/>
      </c>
      <c r="G4982" s="2" t="str">
        <f>IF(Table1[[#This Row],[Is Data Valid]]=TRUE,((Table1[[#This Row],[Birthweight (grams)]]/Table1[[#This Row],[BW_GA]])-1)/(Backend!$B$4/100*Table1[[#This Row],[BW40_3705]]),"")</f>
        <v/>
      </c>
      <c r="H4982" s="7" t="str">
        <f>IF(Table1[[#This Row],[Is Data Valid]]=TRUE,((Table1[[#This Row],[Birthweight (grams)]]*0.9/Table1[[#This Row],[BW_GA]])-1)/(Backend!$B$4/100*Table1[[#This Row],[BW40_3705]]),"")</f>
        <v/>
      </c>
      <c r="I4982" s="7" t="str">
        <f>IF(Table1[[#This Row],[Is Data Valid]]=TRUE,((Table1[[#This Row],[Birthweight (grams)]]*1.1/Table1[[#This Row],[BW_GA]])-1)/(Backend!$B$4/100*Table1[[#This Row],[BW40_3705]]),"")</f>
        <v/>
      </c>
      <c r="J4982" s="7" t="str">
        <f>IF(Table1[[#This Row],[Is Data Valid]]=TRUE,_xlfn.NORM.S.DIST(Table1[[#This Row],[Birthweight Z-Score]],TRUE)*100,"")</f>
        <v/>
      </c>
      <c r="K4982" s="7" t="str">
        <f>IF(Table1[[#This Row],[Is Data Valid]]=TRUE,_xlfn.NORM.S.DIST(Table1[[#This Row],[Birthweight Z-Score (BW-10%)]],TRUE)*100,"")</f>
        <v/>
      </c>
      <c r="L4982" s="7" t="str">
        <f>IF(Table1[[#This Row],[Is Data Valid]]=TRUE,_xlfn.NORM.S.DIST(Table1[[#This Row],[Birthweight Z-Score (BW+10%)]],TRUE)*100,"")</f>
        <v/>
      </c>
    </row>
    <row r="4983" spans="1:12" x14ac:dyDescent="0.35">
      <c r="A4983" s="3"/>
      <c r="B4983" s="2"/>
      <c r="C4983" s="2"/>
      <c r="D4983" s="2" t="b">
        <f>IF(AND(NOT(ISBLANK(Table1[[#This Row],[Fetal Sex (Male, Female or Unknown)]])),ISNUMBER(Table1[[#This Row],[Birthweight (grams)]]),ISNUMBER(Table1[[#This Row],[Gestation (days)]])),TRUE,FALSE)</f>
        <v>0</v>
      </c>
      <c r="E4983" s="2" t="str">
        <f>IF(Table1[[#This Row],[Is Data Valid]]=TRUE,IF(Table1[[#This Row],[Fetal Sex (Male, Female or Unknown)]]="Male",Backend!$C$6,IF(Table1[[#This Row],[Fetal Sex (Male, Female or Unknown)]]="Female",Backend!$C$7,IF(Table1[[#This Row],[Fetal Sex (Male, Female or Unknown)]]="Unknown",Backend!$C$8,"Error"))),"")</f>
        <v/>
      </c>
      <c r="F4983" s="8" t="str">
        <f>IF(Table1[[#This Row],[Is Data Valid]]=TRUE,EXP(0.578+0.332*((Table1[[#This Row],[Gestation (days)]]+0.5)/7)-0.00354*((Table1[[#This Row],[Gestation (days)]]+0.5)/7)^2)*Table1[[#This Row],[BW40_3705]],"")</f>
        <v/>
      </c>
      <c r="G4983" s="2" t="str">
        <f>IF(Table1[[#This Row],[Is Data Valid]]=TRUE,((Table1[[#This Row],[Birthweight (grams)]]/Table1[[#This Row],[BW_GA]])-1)/(Backend!$B$4/100*Table1[[#This Row],[BW40_3705]]),"")</f>
        <v/>
      </c>
      <c r="H4983" s="7" t="str">
        <f>IF(Table1[[#This Row],[Is Data Valid]]=TRUE,((Table1[[#This Row],[Birthweight (grams)]]*0.9/Table1[[#This Row],[BW_GA]])-1)/(Backend!$B$4/100*Table1[[#This Row],[BW40_3705]]),"")</f>
        <v/>
      </c>
      <c r="I4983" s="7" t="str">
        <f>IF(Table1[[#This Row],[Is Data Valid]]=TRUE,((Table1[[#This Row],[Birthweight (grams)]]*1.1/Table1[[#This Row],[BW_GA]])-1)/(Backend!$B$4/100*Table1[[#This Row],[BW40_3705]]),"")</f>
        <v/>
      </c>
      <c r="J4983" s="7" t="str">
        <f>IF(Table1[[#This Row],[Is Data Valid]]=TRUE,_xlfn.NORM.S.DIST(Table1[[#This Row],[Birthweight Z-Score]],TRUE)*100,"")</f>
        <v/>
      </c>
      <c r="K4983" s="7" t="str">
        <f>IF(Table1[[#This Row],[Is Data Valid]]=TRUE,_xlfn.NORM.S.DIST(Table1[[#This Row],[Birthweight Z-Score (BW-10%)]],TRUE)*100,"")</f>
        <v/>
      </c>
      <c r="L4983" s="7" t="str">
        <f>IF(Table1[[#This Row],[Is Data Valid]]=TRUE,_xlfn.NORM.S.DIST(Table1[[#This Row],[Birthweight Z-Score (BW+10%)]],TRUE)*100,"")</f>
        <v/>
      </c>
    </row>
    <row r="4984" spans="1:12" x14ac:dyDescent="0.35">
      <c r="A4984" s="3"/>
      <c r="B4984" s="2"/>
      <c r="C4984" s="2"/>
      <c r="D4984" s="2" t="b">
        <f>IF(AND(NOT(ISBLANK(Table1[[#This Row],[Fetal Sex (Male, Female or Unknown)]])),ISNUMBER(Table1[[#This Row],[Birthweight (grams)]]),ISNUMBER(Table1[[#This Row],[Gestation (days)]])),TRUE,FALSE)</f>
        <v>0</v>
      </c>
      <c r="E4984" s="2" t="str">
        <f>IF(Table1[[#This Row],[Is Data Valid]]=TRUE,IF(Table1[[#This Row],[Fetal Sex (Male, Female or Unknown)]]="Male",Backend!$C$6,IF(Table1[[#This Row],[Fetal Sex (Male, Female or Unknown)]]="Female",Backend!$C$7,IF(Table1[[#This Row],[Fetal Sex (Male, Female or Unknown)]]="Unknown",Backend!$C$8,"Error"))),"")</f>
        <v/>
      </c>
      <c r="F4984" s="8" t="str">
        <f>IF(Table1[[#This Row],[Is Data Valid]]=TRUE,EXP(0.578+0.332*((Table1[[#This Row],[Gestation (days)]]+0.5)/7)-0.00354*((Table1[[#This Row],[Gestation (days)]]+0.5)/7)^2)*Table1[[#This Row],[BW40_3705]],"")</f>
        <v/>
      </c>
      <c r="G4984" s="2" t="str">
        <f>IF(Table1[[#This Row],[Is Data Valid]]=TRUE,((Table1[[#This Row],[Birthweight (grams)]]/Table1[[#This Row],[BW_GA]])-1)/(Backend!$B$4/100*Table1[[#This Row],[BW40_3705]]),"")</f>
        <v/>
      </c>
      <c r="H4984" s="7" t="str">
        <f>IF(Table1[[#This Row],[Is Data Valid]]=TRUE,((Table1[[#This Row],[Birthweight (grams)]]*0.9/Table1[[#This Row],[BW_GA]])-1)/(Backend!$B$4/100*Table1[[#This Row],[BW40_3705]]),"")</f>
        <v/>
      </c>
      <c r="I4984" s="7" t="str">
        <f>IF(Table1[[#This Row],[Is Data Valid]]=TRUE,((Table1[[#This Row],[Birthweight (grams)]]*1.1/Table1[[#This Row],[BW_GA]])-1)/(Backend!$B$4/100*Table1[[#This Row],[BW40_3705]]),"")</f>
        <v/>
      </c>
      <c r="J4984" s="7" t="str">
        <f>IF(Table1[[#This Row],[Is Data Valid]]=TRUE,_xlfn.NORM.S.DIST(Table1[[#This Row],[Birthweight Z-Score]],TRUE)*100,"")</f>
        <v/>
      </c>
      <c r="K4984" s="7" t="str">
        <f>IF(Table1[[#This Row],[Is Data Valid]]=TRUE,_xlfn.NORM.S.DIST(Table1[[#This Row],[Birthweight Z-Score (BW-10%)]],TRUE)*100,"")</f>
        <v/>
      </c>
      <c r="L4984" s="7" t="str">
        <f>IF(Table1[[#This Row],[Is Data Valid]]=TRUE,_xlfn.NORM.S.DIST(Table1[[#This Row],[Birthweight Z-Score (BW+10%)]],TRUE)*100,"")</f>
        <v/>
      </c>
    </row>
    <row r="4985" spans="1:12" x14ac:dyDescent="0.35">
      <c r="A4985" s="3"/>
      <c r="B4985" s="2"/>
      <c r="C4985" s="2"/>
      <c r="D4985" s="2" t="b">
        <f>IF(AND(NOT(ISBLANK(Table1[[#This Row],[Fetal Sex (Male, Female or Unknown)]])),ISNUMBER(Table1[[#This Row],[Birthweight (grams)]]),ISNUMBER(Table1[[#This Row],[Gestation (days)]])),TRUE,FALSE)</f>
        <v>0</v>
      </c>
      <c r="E4985" s="2" t="str">
        <f>IF(Table1[[#This Row],[Is Data Valid]]=TRUE,IF(Table1[[#This Row],[Fetal Sex (Male, Female or Unknown)]]="Male",Backend!$C$6,IF(Table1[[#This Row],[Fetal Sex (Male, Female or Unknown)]]="Female",Backend!$C$7,IF(Table1[[#This Row],[Fetal Sex (Male, Female or Unknown)]]="Unknown",Backend!$C$8,"Error"))),"")</f>
        <v/>
      </c>
      <c r="F4985" s="8" t="str">
        <f>IF(Table1[[#This Row],[Is Data Valid]]=TRUE,EXP(0.578+0.332*((Table1[[#This Row],[Gestation (days)]]+0.5)/7)-0.00354*((Table1[[#This Row],[Gestation (days)]]+0.5)/7)^2)*Table1[[#This Row],[BW40_3705]],"")</f>
        <v/>
      </c>
      <c r="G4985" s="2" t="str">
        <f>IF(Table1[[#This Row],[Is Data Valid]]=TRUE,((Table1[[#This Row],[Birthweight (grams)]]/Table1[[#This Row],[BW_GA]])-1)/(Backend!$B$4/100*Table1[[#This Row],[BW40_3705]]),"")</f>
        <v/>
      </c>
      <c r="H4985" s="7" t="str">
        <f>IF(Table1[[#This Row],[Is Data Valid]]=TRUE,((Table1[[#This Row],[Birthweight (grams)]]*0.9/Table1[[#This Row],[BW_GA]])-1)/(Backend!$B$4/100*Table1[[#This Row],[BW40_3705]]),"")</f>
        <v/>
      </c>
      <c r="I4985" s="7" t="str">
        <f>IF(Table1[[#This Row],[Is Data Valid]]=TRUE,((Table1[[#This Row],[Birthweight (grams)]]*1.1/Table1[[#This Row],[BW_GA]])-1)/(Backend!$B$4/100*Table1[[#This Row],[BW40_3705]]),"")</f>
        <v/>
      </c>
      <c r="J4985" s="7" t="str">
        <f>IF(Table1[[#This Row],[Is Data Valid]]=TRUE,_xlfn.NORM.S.DIST(Table1[[#This Row],[Birthweight Z-Score]],TRUE)*100,"")</f>
        <v/>
      </c>
      <c r="K4985" s="7" t="str">
        <f>IF(Table1[[#This Row],[Is Data Valid]]=TRUE,_xlfn.NORM.S.DIST(Table1[[#This Row],[Birthweight Z-Score (BW-10%)]],TRUE)*100,"")</f>
        <v/>
      </c>
      <c r="L4985" s="7" t="str">
        <f>IF(Table1[[#This Row],[Is Data Valid]]=TRUE,_xlfn.NORM.S.DIST(Table1[[#This Row],[Birthweight Z-Score (BW+10%)]],TRUE)*100,"")</f>
        <v/>
      </c>
    </row>
    <row r="4986" spans="1:12" x14ac:dyDescent="0.35">
      <c r="A4986" s="3"/>
      <c r="B4986" s="2"/>
      <c r="C4986" s="2"/>
      <c r="D4986" s="2" t="b">
        <f>IF(AND(NOT(ISBLANK(Table1[[#This Row],[Fetal Sex (Male, Female or Unknown)]])),ISNUMBER(Table1[[#This Row],[Birthweight (grams)]]),ISNUMBER(Table1[[#This Row],[Gestation (days)]])),TRUE,FALSE)</f>
        <v>0</v>
      </c>
      <c r="E4986" s="2" t="str">
        <f>IF(Table1[[#This Row],[Is Data Valid]]=TRUE,IF(Table1[[#This Row],[Fetal Sex (Male, Female or Unknown)]]="Male",Backend!$C$6,IF(Table1[[#This Row],[Fetal Sex (Male, Female or Unknown)]]="Female",Backend!$C$7,IF(Table1[[#This Row],[Fetal Sex (Male, Female or Unknown)]]="Unknown",Backend!$C$8,"Error"))),"")</f>
        <v/>
      </c>
      <c r="F4986" s="8" t="str">
        <f>IF(Table1[[#This Row],[Is Data Valid]]=TRUE,EXP(0.578+0.332*((Table1[[#This Row],[Gestation (days)]]+0.5)/7)-0.00354*((Table1[[#This Row],[Gestation (days)]]+0.5)/7)^2)*Table1[[#This Row],[BW40_3705]],"")</f>
        <v/>
      </c>
      <c r="G4986" s="2" t="str">
        <f>IF(Table1[[#This Row],[Is Data Valid]]=TRUE,((Table1[[#This Row],[Birthweight (grams)]]/Table1[[#This Row],[BW_GA]])-1)/(Backend!$B$4/100*Table1[[#This Row],[BW40_3705]]),"")</f>
        <v/>
      </c>
      <c r="H4986" s="7" t="str">
        <f>IF(Table1[[#This Row],[Is Data Valid]]=TRUE,((Table1[[#This Row],[Birthweight (grams)]]*0.9/Table1[[#This Row],[BW_GA]])-1)/(Backend!$B$4/100*Table1[[#This Row],[BW40_3705]]),"")</f>
        <v/>
      </c>
      <c r="I4986" s="7" t="str">
        <f>IF(Table1[[#This Row],[Is Data Valid]]=TRUE,((Table1[[#This Row],[Birthweight (grams)]]*1.1/Table1[[#This Row],[BW_GA]])-1)/(Backend!$B$4/100*Table1[[#This Row],[BW40_3705]]),"")</f>
        <v/>
      </c>
      <c r="J4986" s="7" t="str">
        <f>IF(Table1[[#This Row],[Is Data Valid]]=TRUE,_xlfn.NORM.S.DIST(Table1[[#This Row],[Birthweight Z-Score]],TRUE)*100,"")</f>
        <v/>
      </c>
      <c r="K4986" s="7" t="str">
        <f>IF(Table1[[#This Row],[Is Data Valid]]=TRUE,_xlfn.NORM.S.DIST(Table1[[#This Row],[Birthweight Z-Score (BW-10%)]],TRUE)*100,"")</f>
        <v/>
      </c>
      <c r="L4986" s="7" t="str">
        <f>IF(Table1[[#This Row],[Is Data Valid]]=TRUE,_xlfn.NORM.S.DIST(Table1[[#This Row],[Birthweight Z-Score (BW+10%)]],TRUE)*100,"")</f>
        <v/>
      </c>
    </row>
    <row r="4987" spans="1:12" x14ac:dyDescent="0.35">
      <c r="A4987" s="3"/>
      <c r="B4987" s="2"/>
      <c r="C4987" s="2"/>
      <c r="D4987" s="2" t="b">
        <f>IF(AND(NOT(ISBLANK(Table1[[#This Row],[Fetal Sex (Male, Female or Unknown)]])),ISNUMBER(Table1[[#This Row],[Birthweight (grams)]]),ISNUMBER(Table1[[#This Row],[Gestation (days)]])),TRUE,FALSE)</f>
        <v>0</v>
      </c>
      <c r="E4987" s="2" t="str">
        <f>IF(Table1[[#This Row],[Is Data Valid]]=TRUE,IF(Table1[[#This Row],[Fetal Sex (Male, Female or Unknown)]]="Male",Backend!$C$6,IF(Table1[[#This Row],[Fetal Sex (Male, Female or Unknown)]]="Female",Backend!$C$7,IF(Table1[[#This Row],[Fetal Sex (Male, Female or Unknown)]]="Unknown",Backend!$C$8,"Error"))),"")</f>
        <v/>
      </c>
      <c r="F4987" s="8" t="str">
        <f>IF(Table1[[#This Row],[Is Data Valid]]=TRUE,EXP(0.578+0.332*((Table1[[#This Row],[Gestation (days)]]+0.5)/7)-0.00354*((Table1[[#This Row],[Gestation (days)]]+0.5)/7)^2)*Table1[[#This Row],[BW40_3705]],"")</f>
        <v/>
      </c>
      <c r="G4987" s="2" t="str">
        <f>IF(Table1[[#This Row],[Is Data Valid]]=TRUE,((Table1[[#This Row],[Birthweight (grams)]]/Table1[[#This Row],[BW_GA]])-1)/(Backend!$B$4/100*Table1[[#This Row],[BW40_3705]]),"")</f>
        <v/>
      </c>
      <c r="H4987" s="7" t="str">
        <f>IF(Table1[[#This Row],[Is Data Valid]]=TRUE,((Table1[[#This Row],[Birthweight (grams)]]*0.9/Table1[[#This Row],[BW_GA]])-1)/(Backend!$B$4/100*Table1[[#This Row],[BW40_3705]]),"")</f>
        <v/>
      </c>
      <c r="I4987" s="7" t="str">
        <f>IF(Table1[[#This Row],[Is Data Valid]]=TRUE,((Table1[[#This Row],[Birthweight (grams)]]*1.1/Table1[[#This Row],[BW_GA]])-1)/(Backend!$B$4/100*Table1[[#This Row],[BW40_3705]]),"")</f>
        <v/>
      </c>
      <c r="J4987" s="7" t="str">
        <f>IF(Table1[[#This Row],[Is Data Valid]]=TRUE,_xlfn.NORM.S.DIST(Table1[[#This Row],[Birthweight Z-Score]],TRUE)*100,"")</f>
        <v/>
      </c>
      <c r="K4987" s="7" t="str">
        <f>IF(Table1[[#This Row],[Is Data Valid]]=TRUE,_xlfn.NORM.S.DIST(Table1[[#This Row],[Birthweight Z-Score (BW-10%)]],TRUE)*100,"")</f>
        <v/>
      </c>
      <c r="L4987" s="7" t="str">
        <f>IF(Table1[[#This Row],[Is Data Valid]]=TRUE,_xlfn.NORM.S.DIST(Table1[[#This Row],[Birthweight Z-Score (BW+10%)]],TRUE)*100,"")</f>
        <v/>
      </c>
    </row>
    <row r="4988" spans="1:12" x14ac:dyDescent="0.35">
      <c r="A4988" s="3"/>
      <c r="B4988" s="2"/>
      <c r="C4988" s="2"/>
      <c r="D4988" s="2" t="b">
        <f>IF(AND(NOT(ISBLANK(Table1[[#This Row],[Fetal Sex (Male, Female or Unknown)]])),ISNUMBER(Table1[[#This Row],[Birthweight (grams)]]),ISNUMBER(Table1[[#This Row],[Gestation (days)]])),TRUE,FALSE)</f>
        <v>0</v>
      </c>
      <c r="E4988" s="2" t="str">
        <f>IF(Table1[[#This Row],[Is Data Valid]]=TRUE,IF(Table1[[#This Row],[Fetal Sex (Male, Female or Unknown)]]="Male",Backend!$C$6,IF(Table1[[#This Row],[Fetal Sex (Male, Female or Unknown)]]="Female",Backend!$C$7,IF(Table1[[#This Row],[Fetal Sex (Male, Female or Unknown)]]="Unknown",Backend!$C$8,"Error"))),"")</f>
        <v/>
      </c>
      <c r="F4988" s="8" t="str">
        <f>IF(Table1[[#This Row],[Is Data Valid]]=TRUE,EXP(0.578+0.332*((Table1[[#This Row],[Gestation (days)]]+0.5)/7)-0.00354*((Table1[[#This Row],[Gestation (days)]]+0.5)/7)^2)*Table1[[#This Row],[BW40_3705]],"")</f>
        <v/>
      </c>
      <c r="G4988" s="2" t="str">
        <f>IF(Table1[[#This Row],[Is Data Valid]]=TRUE,((Table1[[#This Row],[Birthweight (grams)]]/Table1[[#This Row],[BW_GA]])-1)/(Backend!$B$4/100*Table1[[#This Row],[BW40_3705]]),"")</f>
        <v/>
      </c>
      <c r="H4988" s="7" t="str">
        <f>IF(Table1[[#This Row],[Is Data Valid]]=TRUE,((Table1[[#This Row],[Birthweight (grams)]]*0.9/Table1[[#This Row],[BW_GA]])-1)/(Backend!$B$4/100*Table1[[#This Row],[BW40_3705]]),"")</f>
        <v/>
      </c>
      <c r="I4988" s="7" t="str">
        <f>IF(Table1[[#This Row],[Is Data Valid]]=TRUE,((Table1[[#This Row],[Birthweight (grams)]]*1.1/Table1[[#This Row],[BW_GA]])-1)/(Backend!$B$4/100*Table1[[#This Row],[BW40_3705]]),"")</f>
        <v/>
      </c>
      <c r="J4988" s="7" t="str">
        <f>IF(Table1[[#This Row],[Is Data Valid]]=TRUE,_xlfn.NORM.S.DIST(Table1[[#This Row],[Birthweight Z-Score]],TRUE)*100,"")</f>
        <v/>
      </c>
      <c r="K4988" s="7" t="str">
        <f>IF(Table1[[#This Row],[Is Data Valid]]=TRUE,_xlfn.NORM.S.DIST(Table1[[#This Row],[Birthweight Z-Score (BW-10%)]],TRUE)*100,"")</f>
        <v/>
      </c>
      <c r="L4988" s="7" t="str">
        <f>IF(Table1[[#This Row],[Is Data Valid]]=TRUE,_xlfn.NORM.S.DIST(Table1[[#This Row],[Birthweight Z-Score (BW+10%)]],TRUE)*100,"")</f>
        <v/>
      </c>
    </row>
    <row r="4989" spans="1:12" x14ac:dyDescent="0.35">
      <c r="A4989" s="3"/>
      <c r="B4989" s="2"/>
      <c r="C4989" s="2"/>
      <c r="D4989" s="2" t="b">
        <f>IF(AND(NOT(ISBLANK(Table1[[#This Row],[Fetal Sex (Male, Female or Unknown)]])),ISNUMBER(Table1[[#This Row],[Birthweight (grams)]]),ISNUMBER(Table1[[#This Row],[Gestation (days)]])),TRUE,FALSE)</f>
        <v>0</v>
      </c>
      <c r="E4989" s="2" t="str">
        <f>IF(Table1[[#This Row],[Is Data Valid]]=TRUE,IF(Table1[[#This Row],[Fetal Sex (Male, Female or Unknown)]]="Male",Backend!$C$6,IF(Table1[[#This Row],[Fetal Sex (Male, Female or Unknown)]]="Female",Backend!$C$7,IF(Table1[[#This Row],[Fetal Sex (Male, Female or Unknown)]]="Unknown",Backend!$C$8,"Error"))),"")</f>
        <v/>
      </c>
      <c r="F4989" s="8" t="str">
        <f>IF(Table1[[#This Row],[Is Data Valid]]=TRUE,EXP(0.578+0.332*((Table1[[#This Row],[Gestation (days)]]+0.5)/7)-0.00354*((Table1[[#This Row],[Gestation (days)]]+0.5)/7)^2)*Table1[[#This Row],[BW40_3705]],"")</f>
        <v/>
      </c>
      <c r="G4989" s="2" t="str">
        <f>IF(Table1[[#This Row],[Is Data Valid]]=TRUE,((Table1[[#This Row],[Birthweight (grams)]]/Table1[[#This Row],[BW_GA]])-1)/(Backend!$B$4/100*Table1[[#This Row],[BW40_3705]]),"")</f>
        <v/>
      </c>
      <c r="H4989" s="7" t="str">
        <f>IF(Table1[[#This Row],[Is Data Valid]]=TRUE,((Table1[[#This Row],[Birthweight (grams)]]*0.9/Table1[[#This Row],[BW_GA]])-1)/(Backend!$B$4/100*Table1[[#This Row],[BW40_3705]]),"")</f>
        <v/>
      </c>
      <c r="I4989" s="7" t="str">
        <f>IF(Table1[[#This Row],[Is Data Valid]]=TRUE,((Table1[[#This Row],[Birthweight (grams)]]*1.1/Table1[[#This Row],[BW_GA]])-1)/(Backend!$B$4/100*Table1[[#This Row],[BW40_3705]]),"")</f>
        <v/>
      </c>
      <c r="J4989" s="7" t="str">
        <f>IF(Table1[[#This Row],[Is Data Valid]]=TRUE,_xlfn.NORM.S.DIST(Table1[[#This Row],[Birthweight Z-Score]],TRUE)*100,"")</f>
        <v/>
      </c>
      <c r="K4989" s="7" t="str">
        <f>IF(Table1[[#This Row],[Is Data Valid]]=TRUE,_xlfn.NORM.S.DIST(Table1[[#This Row],[Birthweight Z-Score (BW-10%)]],TRUE)*100,"")</f>
        <v/>
      </c>
      <c r="L4989" s="7" t="str">
        <f>IF(Table1[[#This Row],[Is Data Valid]]=TRUE,_xlfn.NORM.S.DIST(Table1[[#This Row],[Birthweight Z-Score (BW+10%)]],TRUE)*100,"")</f>
        <v/>
      </c>
    </row>
    <row r="4990" spans="1:12" x14ac:dyDescent="0.35">
      <c r="A4990" s="3"/>
      <c r="B4990" s="2"/>
      <c r="C4990" s="2"/>
      <c r="D4990" s="2" t="b">
        <f>IF(AND(NOT(ISBLANK(Table1[[#This Row],[Fetal Sex (Male, Female or Unknown)]])),ISNUMBER(Table1[[#This Row],[Birthweight (grams)]]),ISNUMBER(Table1[[#This Row],[Gestation (days)]])),TRUE,FALSE)</f>
        <v>0</v>
      </c>
      <c r="E4990" s="2" t="str">
        <f>IF(Table1[[#This Row],[Is Data Valid]]=TRUE,IF(Table1[[#This Row],[Fetal Sex (Male, Female or Unknown)]]="Male",Backend!$C$6,IF(Table1[[#This Row],[Fetal Sex (Male, Female or Unknown)]]="Female",Backend!$C$7,IF(Table1[[#This Row],[Fetal Sex (Male, Female or Unknown)]]="Unknown",Backend!$C$8,"Error"))),"")</f>
        <v/>
      </c>
      <c r="F4990" s="8" t="str">
        <f>IF(Table1[[#This Row],[Is Data Valid]]=TRUE,EXP(0.578+0.332*((Table1[[#This Row],[Gestation (days)]]+0.5)/7)-0.00354*((Table1[[#This Row],[Gestation (days)]]+0.5)/7)^2)*Table1[[#This Row],[BW40_3705]],"")</f>
        <v/>
      </c>
      <c r="G4990" s="2" t="str">
        <f>IF(Table1[[#This Row],[Is Data Valid]]=TRUE,((Table1[[#This Row],[Birthweight (grams)]]/Table1[[#This Row],[BW_GA]])-1)/(Backend!$B$4/100*Table1[[#This Row],[BW40_3705]]),"")</f>
        <v/>
      </c>
      <c r="H4990" s="7" t="str">
        <f>IF(Table1[[#This Row],[Is Data Valid]]=TRUE,((Table1[[#This Row],[Birthweight (grams)]]*0.9/Table1[[#This Row],[BW_GA]])-1)/(Backend!$B$4/100*Table1[[#This Row],[BW40_3705]]),"")</f>
        <v/>
      </c>
      <c r="I4990" s="7" t="str">
        <f>IF(Table1[[#This Row],[Is Data Valid]]=TRUE,((Table1[[#This Row],[Birthweight (grams)]]*1.1/Table1[[#This Row],[BW_GA]])-1)/(Backend!$B$4/100*Table1[[#This Row],[BW40_3705]]),"")</f>
        <v/>
      </c>
      <c r="J4990" s="7" t="str">
        <f>IF(Table1[[#This Row],[Is Data Valid]]=TRUE,_xlfn.NORM.S.DIST(Table1[[#This Row],[Birthweight Z-Score]],TRUE)*100,"")</f>
        <v/>
      </c>
      <c r="K4990" s="7" t="str">
        <f>IF(Table1[[#This Row],[Is Data Valid]]=TRUE,_xlfn.NORM.S.DIST(Table1[[#This Row],[Birthweight Z-Score (BW-10%)]],TRUE)*100,"")</f>
        <v/>
      </c>
      <c r="L4990" s="7" t="str">
        <f>IF(Table1[[#This Row],[Is Data Valid]]=TRUE,_xlfn.NORM.S.DIST(Table1[[#This Row],[Birthweight Z-Score (BW+10%)]],TRUE)*100,"")</f>
        <v/>
      </c>
    </row>
    <row r="4991" spans="1:12" x14ac:dyDescent="0.35">
      <c r="A4991" s="3"/>
      <c r="B4991" s="2"/>
      <c r="C4991" s="2"/>
      <c r="D4991" s="2" t="b">
        <f>IF(AND(NOT(ISBLANK(Table1[[#This Row],[Fetal Sex (Male, Female or Unknown)]])),ISNUMBER(Table1[[#This Row],[Birthweight (grams)]]),ISNUMBER(Table1[[#This Row],[Gestation (days)]])),TRUE,FALSE)</f>
        <v>0</v>
      </c>
      <c r="E4991" s="2" t="str">
        <f>IF(Table1[[#This Row],[Is Data Valid]]=TRUE,IF(Table1[[#This Row],[Fetal Sex (Male, Female or Unknown)]]="Male",Backend!$C$6,IF(Table1[[#This Row],[Fetal Sex (Male, Female or Unknown)]]="Female",Backend!$C$7,IF(Table1[[#This Row],[Fetal Sex (Male, Female or Unknown)]]="Unknown",Backend!$C$8,"Error"))),"")</f>
        <v/>
      </c>
      <c r="F4991" s="8" t="str">
        <f>IF(Table1[[#This Row],[Is Data Valid]]=TRUE,EXP(0.578+0.332*((Table1[[#This Row],[Gestation (days)]]+0.5)/7)-0.00354*((Table1[[#This Row],[Gestation (days)]]+0.5)/7)^2)*Table1[[#This Row],[BW40_3705]],"")</f>
        <v/>
      </c>
      <c r="G4991" s="2" t="str">
        <f>IF(Table1[[#This Row],[Is Data Valid]]=TRUE,((Table1[[#This Row],[Birthweight (grams)]]/Table1[[#This Row],[BW_GA]])-1)/(Backend!$B$4/100*Table1[[#This Row],[BW40_3705]]),"")</f>
        <v/>
      </c>
      <c r="H4991" s="7" t="str">
        <f>IF(Table1[[#This Row],[Is Data Valid]]=TRUE,((Table1[[#This Row],[Birthweight (grams)]]*0.9/Table1[[#This Row],[BW_GA]])-1)/(Backend!$B$4/100*Table1[[#This Row],[BW40_3705]]),"")</f>
        <v/>
      </c>
      <c r="I4991" s="7" t="str">
        <f>IF(Table1[[#This Row],[Is Data Valid]]=TRUE,((Table1[[#This Row],[Birthweight (grams)]]*1.1/Table1[[#This Row],[BW_GA]])-1)/(Backend!$B$4/100*Table1[[#This Row],[BW40_3705]]),"")</f>
        <v/>
      </c>
      <c r="J4991" s="7" t="str">
        <f>IF(Table1[[#This Row],[Is Data Valid]]=TRUE,_xlfn.NORM.S.DIST(Table1[[#This Row],[Birthweight Z-Score]],TRUE)*100,"")</f>
        <v/>
      </c>
      <c r="K4991" s="7" t="str">
        <f>IF(Table1[[#This Row],[Is Data Valid]]=TRUE,_xlfn.NORM.S.DIST(Table1[[#This Row],[Birthweight Z-Score (BW-10%)]],TRUE)*100,"")</f>
        <v/>
      </c>
      <c r="L4991" s="7" t="str">
        <f>IF(Table1[[#This Row],[Is Data Valid]]=TRUE,_xlfn.NORM.S.DIST(Table1[[#This Row],[Birthweight Z-Score (BW+10%)]],TRUE)*100,"")</f>
        <v/>
      </c>
    </row>
    <row r="4992" spans="1:12" x14ac:dyDescent="0.35">
      <c r="A4992" s="3"/>
      <c r="B4992" s="2"/>
      <c r="C4992" s="2"/>
      <c r="D4992" s="2" t="b">
        <f>IF(AND(NOT(ISBLANK(Table1[[#This Row],[Fetal Sex (Male, Female or Unknown)]])),ISNUMBER(Table1[[#This Row],[Birthweight (grams)]]),ISNUMBER(Table1[[#This Row],[Gestation (days)]])),TRUE,FALSE)</f>
        <v>0</v>
      </c>
      <c r="E4992" s="2" t="str">
        <f>IF(Table1[[#This Row],[Is Data Valid]]=TRUE,IF(Table1[[#This Row],[Fetal Sex (Male, Female or Unknown)]]="Male",Backend!$C$6,IF(Table1[[#This Row],[Fetal Sex (Male, Female or Unknown)]]="Female",Backend!$C$7,IF(Table1[[#This Row],[Fetal Sex (Male, Female or Unknown)]]="Unknown",Backend!$C$8,"Error"))),"")</f>
        <v/>
      </c>
      <c r="F4992" s="8" t="str">
        <f>IF(Table1[[#This Row],[Is Data Valid]]=TRUE,EXP(0.578+0.332*((Table1[[#This Row],[Gestation (days)]]+0.5)/7)-0.00354*((Table1[[#This Row],[Gestation (days)]]+0.5)/7)^2)*Table1[[#This Row],[BW40_3705]],"")</f>
        <v/>
      </c>
      <c r="G4992" s="2" t="str">
        <f>IF(Table1[[#This Row],[Is Data Valid]]=TRUE,((Table1[[#This Row],[Birthweight (grams)]]/Table1[[#This Row],[BW_GA]])-1)/(Backend!$B$4/100*Table1[[#This Row],[BW40_3705]]),"")</f>
        <v/>
      </c>
      <c r="H4992" s="7" t="str">
        <f>IF(Table1[[#This Row],[Is Data Valid]]=TRUE,((Table1[[#This Row],[Birthweight (grams)]]*0.9/Table1[[#This Row],[BW_GA]])-1)/(Backend!$B$4/100*Table1[[#This Row],[BW40_3705]]),"")</f>
        <v/>
      </c>
      <c r="I4992" s="7" t="str">
        <f>IF(Table1[[#This Row],[Is Data Valid]]=TRUE,((Table1[[#This Row],[Birthweight (grams)]]*1.1/Table1[[#This Row],[BW_GA]])-1)/(Backend!$B$4/100*Table1[[#This Row],[BW40_3705]]),"")</f>
        <v/>
      </c>
      <c r="J4992" s="7" t="str">
        <f>IF(Table1[[#This Row],[Is Data Valid]]=TRUE,_xlfn.NORM.S.DIST(Table1[[#This Row],[Birthweight Z-Score]],TRUE)*100,"")</f>
        <v/>
      </c>
      <c r="K4992" s="7" t="str">
        <f>IF(Table1[[#This Row],[Is Data Valid]]=TRUE,_xlfn.NORM.S.DIST(Table1[[#This Row],[Birthweight Z-Score (BW-10%)]],TRUE)*100,"")</f>
        <v/>
      </c>
      <c r="L4992" s="7" t="str">
        <f>IF(Table1[[#This Row],[Is Data Valid]]=TRUE,_xlfn.NORM.S.DIST(Table1[[#This Row],[Birthweight Z-Score (BW+10%)]],TRUE)*100,"")</f>
        <v/>
      </c>
    </row>
    <row r="4993" spans="1:12" x14ac:dyDescent="0.35">
      <c r="A4993" s="3"/>
      <c r="B4993" s="2"/>
      <c r="C4993" s="2"/>
      <c r="D4993" s="2" t="b">
        <f>IF(AND(NOT(ISBLANK(Table1[[#This Row],[Fetal Sex (Male, Female or Unknown)]])),ISNUMBER(Table1[[#This Row],[Birthweight (grams)]]),ISNUMBER(Table1[[#This Row],[Gestation (days)]])),TRUE,FALSE)</f>
        <v>0</v>
      </c>
      <c r="E4993" s="2" t="str">
        <f>IF(Table1[[#This Row],[Is Data Valid]]=TRUE,IF(Table1[[#This Row],[Fetal Sex (Male, Female or Unknown)]]="Male",Backend!$C$6,IF(Table1[[#This Row],[Fetal Sex (Male, Female or Unknown)]]="Female",Backend!$C$7,IF(Table1[[#This Row],[Fetal Sex (Male, Female or Unknown)]]="Unknown",Backend!$C$8,"Error"))),"")</f>
        <v/>
      </c>
      <c r="F4993" s="8" t="str">
        <f>IF(Table1[[#This Row],[Is Data Valid]]=TRUE,EXP(0.578+0.332*((Table1[[#This Row],[Gestation (days)]]+0.5)/7)-0.00354*((Table1[[#This Row],[Gestation (days)]]+0.5)/7)^2)*Table1[[#This Row],[BW40_3705]],"")</f>
        <v/>
      </c>
      <c r="G4993" s="2" t="str">
        <f>IF(Table1[[#This Row],[Is Data Valid]]=TRUE,((Table1[[#This Row],[Birthweight (grams)]]/Table1[[#This Row],[BW_GA]])-1)/(Backend!$B$4/100*Table1[[#This Row],[BW40_3705]]),"")</f>
        <v/>
      </c>
      <c r="H4993" s="7" t="str">
        <f>IF(Table1[[#This Row],[Is Data Valid]]=TRUE,((Table1[[#This Row],[Birthweight (grams)]]*0.9/Table1[[#This Row],[BW_GA]])-1)/(Backend!$B$4/100*Table1[[#This Row],[BW40_3705]]),"")</f>
        <v/>
      </c>
      <c r="I4993" s="7" t="str">
        <f>IF(Table1[[#This Row],[Is Data Valid]]=TRUE,((Table1[[#This Row],[Birthweight (grams)]]*1.1/Table1[[#This Row],[BW_GA]])-1)/(Backend!$B$4/100*Table1[[#This Row],[BW40_3705]]),"")</f>
        <v/>
      </c>
      <c r="J4993" s="7" t="str">
        <f>IF(Table1[[#This Row],[Is Data Valid]]=TRUE,_xlfn.NORM.S.DIST(Table1[[#This Row],[Birthweight Z-Score]],TRUE)*100,"")</f>
        <v/>
      </c>
      <c r="K4993" s="7" t="str">
        <f>IF(Table1[[#This Row],[Is Data Valid]]=TRUE,_xlfn.NORM.S.DIST(Table1[[#This Row],[Birthweight Z-Score (BW-10%)]],TRUE)*100,"")</f>
        <v/>
      </c>
      <c r="L4993" s="7" t="str">
        <f>IF(Table1[[#This Row],[Is Data Valid]]=TRUE,_xlfn.NORM.S.DIST(Table1[[#This Row],[Birthweight Z-Score (BW+10%)]],TRUE)*100,"")</f>
        <v/>
      </c>
    </row>
    <row r="4994" spans="1:12" x14ac:dyDescent="0.35">
      <c r="A4994" s="3"/>
      <c r="B4994" s="2"/>
      <c r="C4994" s="2"/>
      <c r="D4994" s="2" t="b">
        <f>IF(AND(NOT(ISBLANK(Table1[[#This Row],[Fetal Sex (Male, Female or Unknown)]])),ISNUMBER(Table1[[#This Row],[Birthweight (grams)]]),ISNUMBER(Table1[[#This Row],[Gestation (days)]])),TRUE,FALSE)</f>
        <v>0</v>
      </c>
      <c r="E4994" s="2" t="str">
        <f>IF(Table1[[#This Row],[Is Data Valid]]=TRUE,IF(Table1[[#This Row],[Fetal Sex (Male, Female or Unknown)]]="Male",Backend!$C$6,IF(Table1[[#This Row],[Fetal Sex (Male, Female or Unknown)]]="Female",Backend!$C$7,IF(Table1[[#This Row],[Fetal Sex (Male, Female or Unknown)]]="Unknown",Backend!$C$8,"Error"))),"")</f>
        <v/>
      </c>
      <c r="F4994" s="8" t="str">
        <f>IF(Table1[[#This Row],[Is Data Valid]]=TRUE,EXP(0.578+0.332*((Table1[[#This Row],[Gestation (days)]]+0.5)/7)-0.00354*((Table1[[#This Row],[Gestation (days)]]+0.5)/7)^2)*Table1[[#This Row],[BW40_3705]],"")</f>
        <v/>
      </c>
      <c r="G4994" s="2" t="str">
        <f>IF(Table1[[#This Row],[Is Data Valid]]=TRUE,((Table1[[#This Row],[Birthweight (grams)]]/Table1[[#This Row],[BW_GA]])-1)/(Backend!$B$4/100*Table1[[#This Row],[BW40_3705]]),"")</f>
        <v/>
      </c>
      <c r="H4994" s="7" t="str">
        <f>IF(Table1[[#This Row],[Is Data Valid]]=TRUE,((Table1[[#This Row],[Birthweight (grams)]]*0.9/Table1[[#This Row],[BW_GA]])-1)/(Backend!$B$4/100*Table1[[#This Row],[BW40_3705]]),"")</f>
        <v/>
      </c>
      <c r="I4994" s="7" t="str">
        <f>IF(Table1[[#This Row],[Is Data Valid]]=TRUE,((Table1[[#This Row],[Birthweight (grams)]]*1.1/Table1[[#This Row],[BW_GA]])-1)/(Backend!$B$4/100*Table1[[#This Row],[BW40_3705]]),"")</f>
        <v/>
      </c>
      <c r="J4994" s="7" t="str">
        <f>IF(Table1[[#This Row],[Is Data Valid]]=TRUE,_xlfn.NORM.S.DIST(Table1[[#This Row],[Birthweight Z-Score]],TRUE)*100,"")</f>
        <v/>
      </c>
      <c r="K4994" s="7" t="str">
        <f>IF(Table1[[#This Row],[Is Data Valid]]=TRUE,_xlfn.NORM.S.DIST(Table1[[#This Row],[Birthweight Z-Score (BW-10%)]],TRUE)*100,"")</f>
        <v/>
      </c>
      <c r="L4994" s="7" t="str">
        <f>IF(Table1[[#This Row],[Is Data Valid]]=TRUE,_xlfn.NORM.S.DIST(Table1[[#This Row],[Birthweight Z-Score (BW+10%)]],TRUE)*100,"")</f>
        <v/>
      </c>
    </row>
    <row r="4995" spans="1:12" x14ac:dyDescent="0.35">
      <c r="A4995" s="3"/>
      <c r="B4995" s="2"/>
      <c r="C4995" s="2"/>
      <c r="D4995" s="2" t="b">
        <f>IF(AND(NOT(ISBLANK(Table1[[#This Row],[Fetal Sex (Male, Female or Unknown)]])),ISNUMBER(Table1[[#This Row],[Birthweight (grams)]]),ISNUMBER(Table1[[#This Row],[Gestation (days)]])),TRUE,FALSE)</f>
        <v>0</v>
      </c>
      <c r="E4995" s="2" t="str">
        <f>IF(Table1[[#This Row],[Is Data Valid]]=TRUE,IF(Table1[[#This Row],[Fetal Sex (Male, Female or Unknown)]]="Male",Backend!$C$6,IF(Table1[[#This Row],[Fetal Sex (Male, Female or Unknown)]]="Female",Backend!$C$7,IF(Table1[[#This Row],[Fetal Sex (Male, Female or Unknown)]]="Unknown",Backend!$C$8,"Error"))),"")</f>
        <v/>
      </c>
      <c r="F4995" s="8" t="str">
        <f>IF(Table1[[#This Row],[Is Data Valid]]=TRUE,EXP(0.578+0.332*((Table1[[#This Row],[Gestation (days)]]+0.5)/7)-0.00354*((Table1[[#This Row],[Gestation (days)]]+0.5)/7)^2)*Table1[[#This Row],[BW40_3705]],"")</f>
        <v/>
      </c>
      <c r="G4995" s="2" t="str">
        <f>IF(Table1[[#This Row],[Is Data Valid]]=TRUE,((Table1[[#This Row],[Birthweight (grams)]]/Table1[[#This Row],[BW_GA]])-1)/(Backend!$B$4/100*Table1[[#This Row],[BW40_3705]]),"")</f>
        <v/>
      </c>
      <c r="H4995" s="7" t="str">
        <f>IF(Table1[[#This Row],[Is Data Valid]]=TRUE,((Table1[[#This Row],[Birthweight (grams)]]*0.9/Table1[[#This Row],[BW_GA]])-1)/(Backend!$B$4/100*Table1[[#This Row],[BW40_3705]]),"")</f>
        <v/>
      </c>
      <c r="I4995" s="7" t="str">
        <f>IF(Table1[[#This Row],[Is Data Valid]]=TRUE,((Table1[[#This Row],[Birthweight (grams)]]*1.1/Table1[[#This Row],[BW_GA]])-1)/(Backend!$B$4/100*Table1[[#This Row],[BW40_3705]]),"")</f>
        <v/>
      </c>
      <c r="J4995" s="7" t="str">
        <f>IF(Table1[[#This Row],[Is Data Valid]]=TRUE,_xlfn.NORM.S.DIST(Table1[[#This Row],[Birthweight Z-Score]],TRUE)*100,"")</f>
        <v/>
      </c>
      <c r="K4995" s="7" t="str">
        <f>IF(Table1[[#This Row],[Is Data Valid]]=TRUE,_xlfn.NORM.S.DIST(Table1[[#This Row],[Birthweight Z-Score (BW-10%)]],TRUE)*100,"")</f>
        <v/>
      </c>
      <c r="L4995" s="7" t="str">
        <f>IF(Table1[[#This Row],[Is Data Valid]]=TRUE,_xlfn.NORM.S.DIST(Table1[[#This Row],[Birthweight Z-Score (BW+10%)]],TRUE)*100,"")</f>
        <v/>
      </c>
    </row>
    <row r="4996" spans="1:12" x14ac:dyDescent="0.35">
      <c r="A4996" s="3"/>
      <c r="B4996" s="2"/>
      <c r="C4996" s="2"/>
      <c r="D4996" s="2" t="b">
        <f>IF(AND(NOT(ISBLANK(Table1[[#This Row],[Fetal Sex (Male, Female or Unknown)]])),ISNUMBER(Table1[[#This Row],[Birthweight (grams)]]),ISNUMBER(Table1[[#This Row],[Gestation (days)]])),TRUE,FALSE)</f>
        <v>0</v>
      </c>
      <c r="E4996" s="2" t="str">
        <f>IF(Table1[[#This Row],[Is Data Valid]]=TRUE,IF(Table1[[#This Row],[Fetal Sex (Male, Female or Unknown)]]="Male",Backend!$C$6,IF(Table1[[#This Row],[Fetal Sex (Male, Female or Unknown)]]="Female",Backend!$C$7,IF(Table1[[#This Row],[Fetal Sex (Male, Female or Unknown)]]="Unknown",Backend!$C$8,"Error"))),"")</f>
        <v/>
      </c>
      <c r="F4996" s="8" t="str">
        <f>IF(Table1[[#This Row],[Is Data Valid]]=TRUE,EXP(0.578+0.332*((Table1[[#This Row],[Gestation (days)]]+0.5)/7)-0.00354*((Table1[[#This Row],[Gestation (days)]]+0.5)/7)^2)*Table1[[#This Row],[BW40_3705]],"")</f>
        <v/>
      </c>
      <c r="G4996" s="2" t="str">
        <f>IF(Table1[[#This Row],[Is Data Valid]]=TRUE,((Table1[[#This Row],[Birthweight (grams)]]/Table1[[#This Row],[BW_GA]])-1)/(Backend!$B$4/100*Table1[[#This Row],[BW40_3705]]),"")</f>
        <v/>
      </c>
      <c r="H4996" s="7" t="str">
        <f>IF(Table1[[#This Row],[Is Data Valid]]=TRUE,((Table1[[#This Row],[Birthweight (grams)]]*0.9/Table1[[#This Row],[BW_GA]])-1)/(Backend!$B$4/100*Table1[[#This Row],[BW40_3705]]),"")</f>
        <v/>
      </c>
      <c r="I4996" s="7" t="str">
        <f>IF(Table1[[#This Row],[Is Data Valid]]=TRUE,((Table1[[#This Row],[Birthweight (grams)]]*1.1/Table1[[#This Row],[BW_GA]])-1)/(Backend!$B$4/100*Table1[[#This Row],[BW40_3705]]),"")</f>
        <v/>
      </c>
      <c r="J4996" s="7" t="str">
        <f>IF(Table1[[#This Row],[Is Data Valid]]=TRUE,_xlfn.NORM.S.DIST(Table1[[#This Row],[Birthweight Z-Score]],TRUE)*100,"")</f>
        <v/>
      </c>
      <c r="K4996" s="7" t="str">
        <f>IF(Table1[[#This Row],[Is Data Valid]]=TRUE,_xlfn.NORM.S.DIST(Table1[[#This Row],[Birthweight Z-Score (BW-10%)]],TRUE)*100,"")</f>
        <v/>
      </c>
      <c r="L4996" s="7" t="str">
        <f>IF(Table1[[#This Row],[Is Data Valid]]=TRUE,_xlfn.NORM.S.DIST(Table1[[#This Row],[Birthweight Z-Score (BW+10%)]],TRUE)*100,"")</f>
        <v/>
      </c>
    </row>
    <row r="4997" spans="1:12" x14ac:dyDescent="0.35">
      <c r="A4997" s="3"/>
      <c r="B4997" s="2"/>
      <c r="C4997" s="2"/>
      <c r="D4997" s="2" t="b">
        <f>IF(AND(NOT(ISBLANK(Table1[[#This Row],[Fetal Sex (Male, Female or Unknown)]])),ISNUMBER(Table1[[#This Row],[Birthweight (grams)]]),ISNUMBER(Table1[[#This Row],[Gestation (days)]])),TRUE,FALSE)</f>
        <v>0</v>
      </c>
      <c r="E4997" s="2" t="str">
        <f>IF(Table1[[#This Row],[Is Data Valid]]=TRUE,IF(Table1[[#This Row],[Fetal Sex (Male, Female or Unknown)]]="Male",Backend!$C$6,IF(Table1[[#This Row],[Fetal Sex (Male, Female or Unknown)]]="Female",Backend!$C$7,IF(Table1[[#This Row],[Fetal Sex (Male, Female or Unknown)]]="Unknown",Backend!$C$8,"Error"))),"")</f>
        <v/>
      </c>
      <c r="F4997" s="8" t="str">
        <f>IF(Table1[[#This Row],[Is Data Valid]]=TRUE,EXP(0.578+0.332*((Table1[[#This Row],[Gestation (days)]]+0.5)/7)-0.00354*((Table1[[#This Row],[Gestation (days)]]+0.5)/7)^2)*Table1[[#This Row],[BW40_3705]],"")</f>
        <v/>
      </c>
      <c r="G4997" s="2" t="str">
        <f>IF(Table1[[#This Row],[Is Data Valid]]=TRUE,((Table1[[#This Row],[Birthweight (grams)]]/Table1[[#This Row],[BW_GA]])-1)/(Backend!$B$4/100*Table1[[#This Row],[BW40_3705]]),"")</f>
        <v/>
      </c>
      <c r="H4997" s="7" t="str">
        <f>IF(Table1[[#This Row],[Is Data Valid]]=TRUE,((Table1[[#This Row],[Birthweight (grams)]]*0.9/Table1[[#This Row],[BW_GA]])-1)/(Backend!$B$4/100*Table1[[#This Row],[BW40_3705]]),"")</f>
        <v/>
      </c>
      <c r="I4997" s="7" t="str">
        <f>IF(Table1[[#This Row],[Is Data Valid]]=TRUE,((Table1[[#This Row],[Birthweight (grams)]]*1.1/Table1[[#This Row],[BW_GA]])-1)/(Backend!$B$4/100*Table1[[#This Row],[BW40_3705]]),"")</f>
        <v/>
      </c>
      <c r="J4997" s="7" t="str">
        <f>IF(Table1[[#This Row],[Is Data Valid]]=TRUE,_xlfn.NORM.S.DIST(Table1[[#This Row],[Birthweight Z-Score]],TRUE)*100,"")</f>
        <v/>
      </c>
      <c r="K4997" s="7" t="str">
        <f>IF(Table1[[#This Row],[Is Data Valid]]=TRUE,_xlfn.NORM.S.DIST(Table1[[#This Row],[Birthweight Z-Score (BW-10%)]],TRUE)*100,"")</f>
        <v/>
      </c>
      <c r="L4997" s="7" t="str">
        <f>IF(Table1[[#This Row],[Is Data Valid]]=TRUE,_xlfn.NORM.S.DIST(Table1[[#This Row],[Birthweight Z-Score (BW+10%)]],TRUE)*100,"")</f>
        <v/>
      </c>
    </row>
    <row r="4998" spans="1:12" x14ac:dyDescent="0.35">
      <c r="A4998" s="3"/>
      <c r="B4998" s="2"/>
      <c r="C4998" s="2"/>
      <c r="D4998" s="2" t="b">
        <f>IF(AND(NOT(ISBLANK(Table1[[#This Row],[Fetal Sex (Male, Female or Unknown)]])),ISNUMBER(Table1[[#This Row],[Birthweight (grams)]]),ISNUMBER(Table1[[#This Row],[Gestation (days)]])),TRUE,FALSE)</f>
        <v>0</v>
      </c>
      <c r="E4998" s="2" t="str">
        <f>IF(Table1[[#This Row],[Is Data Valid]]=TRUE,IF(Table1[[#This Row],[Fetal Sex (Male, Female or Unknown)]]="Male",Backend!$C$6,IF(Table1[[#This Row],[Fetal Sex (Male, Female or Unknown)]]="Female",Backend!$C$7,IF(Table1[[#This Row],[Fetal Sex (Male, Female or Unknown)]]="Unknown",Backend!$C$8,"Error"))),"")</f>
        <v/>
      </c>
      <c r="F4998" s="8" t="str">
        <f>IF(Table1[[#This Row],[Is Data Valid]]=TRUE,EXP(0.578+0.332*((Table1[[#This Row],[Gestation (days)]]+0.5)/7)-0.00354*((Table1[[#This Row],[Gestation (days)]]+0.5)/7)^2)*Table1[[#This Row],[BW40_3705]],"")</f>
        <v/>
      </c>
      <c r="G4998" s="2" t="str">
        <f>IF(Table1[[#This Row],[Is Data Valid]]=TRUE,((Table1[[#This Row],[Birthweight (grams)]]/Table1[[#This Row],[BW_GA]])-1)/(Backend!$B$4/100*Table1[[#This Row],[BW40_3705]]),"")</f>
        <v/>
      </c>
      <c r="H4998" s="7" t="str">
        <f>IF(Table1[[#This Row],[Is Data Valid]]=TRUE,((Table1[[#This Row],[Birthweight (grams)]]*0.9/Table1[[#This Row],[BW_GA]])-1)/(Backend!$B$4/100*Table1[[#This Row],[BW40_3705]]),"")</f>
        <v/>
      </c>
      <c r="I4998" s="7" t="str">
        <f>IF(Table1[[#This Row],[Is Data Valid]]=TRUE,((Table1[[#This Row],[Birthweight (grams)]]*1.1/Table1[[#This Row],[BW_GA]])-1)/(Backend!$B$4/100*Table1[[#This Row],[BW40_3705]]),"")</f>
        <v/>
      </c>
      <c r="J4998" s="7" t="str">
        <f>IF(Table1[[#This Row],[Is Data Valid]]=TRUE,_xlfn.NORM.S.DIST(Table1[[#This Row],[Birthweight Z-Score]],TRUE)*100,"")</f>
        <v/>
      </c>
      <c r="K4998" s="7" t="str">
        <f>IF(Table1[[#This Row],[Is Data Valid]]=TRUE,_xlfn.NORM.S.DIST(Table1[[#This Row],[Birthweight Z-Score (BW-10%)]],TRUE)*100,"")</f>
        <v/>
      </c>
      <c r="L4998" s="7" t="str">
        <f>IF(Table1[[#This Row],[Is Data Valid]]=TRUE,_xlfn.NORM.S.DIST(Table1[[#This Row],[Birthweight Z-Score (BW+10%)]],TRUE)*100,"")</f>
        <v/>
      </c>
    </row>
    <row r="4999" spans="1:12" x14ac:dyDescent="0.35">
      <c r="A4999" s="3"/>
      <c r="B4999" s="2"/>
      <c r="C4999" s="2"/>
      <c r="D4999" s="2" t="b">
        <f>IF(AND(NOT(ISBLANK(Table1[[#This Row],[Fetal Sex (Male, Female or Unknown)]])),ISNUMBER(Table1[[#This Row],[Birthweight (grams)]]),ISNUMBER(Table1[[#This Row],[Gestation (days)]])),TRUE,FALSE)</f>
        <v>0</v>
      </c>
      <c r="E4999" s="2" t="str">
        <f>IF(Table1[[#This Row],[Is Data Valid]]=TRUE,IF(Table1[[#This Row],[Fetal Sex (Male, Female or Unknown)]]="Male",Backend!$C$6,IF(Table1[[#This Row],[Fetal Sex (Male, Female or Unknown)]]="Female",Backend!$C$7,IF(Table1[[#This Row],[Fetal Sex (Male, Female or Unknown)]]="Unknown",Backend!$C$8,"Error"))),"")</f>
        <v/>
      </c>
      <c r="F4999" s="8" t="str">
        <f>IF(Table1[[#This Row],[Is Data Valid]]=TRUE,EXP(0.578+0.332*((Table1[[#This Row],[Gestation (days)]]+0.5)/7)-0.00354*((Table1[[#This Row],[Gestation (days)]]+0.5)/7)^2)*Table1[[#This Row],[BW40_3705]],"")</f>
        <v/>
      </c>
      <c r="G4999" s="2" t="str">
        <f>IF(Table1[[#This Row],[Is Data Valid]]=TRUE,((Table1[[#This Row],[Birthweight (grams)]]/Table1[[#This Row],[BW_GA]])-1)/(Backend!$B$4/100*Table1[[#This Row],[BW40_3705]]),"")</f>
        <v/>
      </c>
      <c r="H4999" s="7" t="str">
        <f>IF(Table1[[#This Row],[Is Data Valid]]=TRUE,((Table1[[#This Row],[Birthweight (grams)]]*0.9/Table1[[#This Row],[BW_GA]])-1)/(Backend!$B$4/100*Table1[[#This Row],[BW40_3705]]),"")</f>
        <v/>
      </c>
      <c r="I4999" s="7" t="str">
        <f>IF(Table1[[#This Row],[Is Data Valid]]=TRUE,((Table1[[#This Row],[Birthweight (grams)]]*1.1/Table1[[#This Row],[BW_GA]])-1)/(Backend!$B$4/100*Table1[[#This Row],[BW40_3705]]),"")</f>
        <v/>
      </c>
      <c r="J4999" s="7" t="str">
        <f>IF(Table1[[#This Row],[Is Data Valid]]=TRUE,_xlfn.NORM.S.DIST(Table1[[#This Row],[Birthweight Z-Score]],TRUE)*100,"")</f>
        <v/>
      </c>
      <c r="K4999" s="7" t="str">
        <f>IF(Table1[[#This Row],[Is Data Valid]]=TRUE,_xlfn.NORM.S.DIST(Table1[[#This Row],[Birthweight Z-Score (BW-10%)]],TRUE)*100,"")</f>
        <v/>
      </c>
      <c r="L4999" s="7" t="str">
        <f>IF(Table1[[#This Row],[Is Data Valid]]=TRUE,_xlfn.NORM.S.DIST(Table1[[#This Row],[Birthweight Z-Score (BW+10%)]],TRUE)*100,"")</f>
        <v/>
      </c>
    </row>
    <row r="5000" spans="1:12" x14ac:dyDescent="0.35">
      <c r="A5000" s="3"/>
      <c r="B5000" s="2"/>
      <c r="C5000" s="2"/>
      <c r="D5000" s="2" t="b">
        <f>IF(AND(NOT(ISBLANK(Table1[[#This Row],[Fetal Sex (Male, Female or Unknown)]])),ISNUMBER(Table1[[#This Row],[Birthweight (grams)]]),ISNUMBER(Table1[[#This Row],[Gestation (days)]])),TRUE,FALSE)</f>
        <v>0</v>
      </c>
      <c r="E5000" s="2" t="str">
        <f>IF(Table1[[#This Row],[Is Data Valid]]=TRUE,IF(Table1[[#This Row],[Fetal Sex (Male, Female or Unknown)]]="Male",Backend!$C$6,IF(Table1[[#This Row],[Fetal Sex (Male, Female or Unknown)]]="Female",Backend!$C$7,IF(Table1[[#This Row],[Fetal Sex (Male, Female or Unknown)]]="Unknown",Backend!$C$8,"Error"))),"")</f>
        <v/>
      </c>
      <c r="F5000" s="8" t="str">
        <f>IF(Table1[[#This Row],[Is Data Valid]]=TRUE,EXP(0.578+0.332*((Table1[[#This Row],[Gestation (days)]]+0.5)/7)-0.00354*((Table1[[#This Row],[Gestation (days)]]+0.5)/7)^2)*Table1[[#This Row],[BW40_3705]],"")</f>
        <v/>
      </c>
      <c r="G5000" s="2" t="str">
        <f>IF(Table1[[#This Row],[Is Data Valid]]=TRUE,((Table1[[#This Row],[Birthweight (grams)]]/Table1[[#This Row],[BW_GA]])-1)/(Backend!$B$4/100*Table1[[#This Row],[BW40_3705]]),"")</f>
        <v/>
      </c>
      <c r="H5000" s="7" t="str">
        <f>IF(Table1[[#This Row],[Is Data Valid]]=TRUE,((Table1[[#This Row],[Birthweight (grams)]]*0.9/Table1[[#This Row],[BW_GA]])-1)/(Backend!$B$4/100*Table1[[#This Row],[BW40_3705]]),"")</f>
        <v/>
      </c>
      <c r="I5000" s="7" t="str">
        <f>IF(Table1[[#This Row],[Is Data Valid]]=TRUE,((Table1[[#This Row],[Birthweight (grams)]]*1.1/Table1[[#This Row],[BW_GA]])-1)/(Backend!$B$4/100*Table1[[#This Row],[BW40_3705]]),"")</f>
        <v/>
      </c>
      <c r="J5000" s="7" t="str">
        <f>IF(Table1[[#This Row],[Is Data Valid]]=TRUE,_xlfn.NORM.S.DIST(Table1[[#This Row],[Birthweight Z-Score]],TRUE)*100,"")</f>
        <v/>
      </c>
      <c r="K5000" s="7" t="str">
        <f>IF(Table1[[#This Row],[Is Data Valid]]=TRUE,_xlfn.NORM.S.DIST(Table1[[#This Row],[Birthweight Z-Score (BW-10%)]],TRUE)*100,"")</f>
        <v/>
      </c>
      <c r="L5000" s="7" t="str">
        <f>IF(Table1[[#This Row],[Is Data Valid]]=TRUE,_xlfn.NORM.S.DIST(Table1[[#This Row],[Birthweight Z-Score (BW+10%)]],TRUE)*100,"")</f>
        <v/>
      </c>
    </row>
    <row r="5001" spans="1:12" x14ac:dyDescent="0.35">
      <c r="A5001" s="3"/>
      <c r="B5001" s="2"/>
      <c r="C5001" s="2"/>
      <c r="D5001" s="2" t="b">
        <f>IF(AND(NOT(ISBLANK(Table1[[#This Row],[Fetal Sex (Male, Female or Unknown)]])),ISNUMBER(Table1[[#This Row],[Birthweight (grams)]]),ISNUMBER(Table1[[#This Row],[Gestation (days)]])),TRUE,FALSE)</f>
        <v>0</v>
      </c>
      <c r="E5001" s="2" t="str">
        <f>IF(Table1[[#This Row],[Is Data Valid]]=TRUE,IF(Table1[[#This Row],[Fetal Sex (Male, Female or Unknown)]]="Male",Backend!$C$6,IF(Table1[[#This Row],[Fetal Sex (Male, Female or Unknown)]]="Female",Backend!$C$7,IF(Table1[[#This Row],[Fetal Sex (Male, Female or Unknown)]]="Unknown",Backend!$C$8,"Error"))),"")</f>
        <v/>
      </c>
      <c r="F5001" s="8" t="str">
        <f>IF(Table1[[#This Row],[Is Data Valid]]=TRUE,EXP(0.578+0.332*((Table1[[#This Row],[Gestation (days)]]+0.5)/7)-0.00354*((Table1[[#This Row],[Gestation (days)]]+0.5)/7)^2)*Table1[[#This Row],[BW40_3705]],"")</f>
        <v/>
      </c>
      <c r="G5001" s="2" t="str">
        <f>IF(Table1[[#This Row],[Is Data Valid]]=TRUE,((Table1[[#This Row],[Birthweight (grams)]]/Table1[[#This Row],[BW_GA]])-1)/(Backend!$B$4/100*Table1[[#This Row],[BW40_3705]]),"")</f>
        <v/>
      </c>
      <c r="H5001" s="7" t="str">
        <f>IF(Table1[[#This Row],[Is Data Valid]]=TRUE,((Table1[[#This Row],[Birthweight (grams)]]*0.9/Table1[[#This Row],[BW_GA]])-1)/(Backend!$B$4/100*Table1[[#This Row],[BW40_3705]]),"")</f>
        <v/>
      </c>
      <c r="I5001" s="7" t="str">
        <f>IF(Table1[[#This Row],[Is Data Valid]]=TRUE,((Table1[[#This Row],[Birthweight (grams)]]*1.1/Table1[[#This Row],[BW_GA]])-1)/(Backend!$B$4/100*Table1[[#This Row],[BW40_3705]]),"")</f>
        <v/>
      </c>
      <c r="J5001" s="7" t="str">
        <f>IF(Table1[[#This Row],[Is Data Valid]]=TRUE,_xlfn.NORM.S.DIST(Table1[[#This Row],[Birthweight Z-Score]],TRUE)*100,"")</f>
        <v/>
      </c>
      <c r="K5001" s="7" t="str">
        <f>IF(Table1[[#This Row],[Is Data Valid]]=TRUE,_xlfn.NORM.S.DIST(Table1[[#This Row],[Birthweight Z-Score (BW-10%)]],TRUE)*100,"")</f>
        <v/>
      </c>
      <c r="L5001" s="7" t="str">
        <f>IF(Table1[[#This Row],[Is Data Valid]]=TRUE,_xlfn.NORM.S.DIST(Table1[[#This Row],[Birthweight Z-Score (BW+10%)]],TRUE)*100,"")</f>
        <v/>
      </c>
    </row>
    <row r="5002" spans="1:12" x14ac:dyDescent="0.35">
      <c r="A5002" s="3"/>
      <c r="B5002" s="2"/>
      <c r="C5002" s="2"/>
      <c r="D5002" s="2" t="b">
        <f>IF(AND(NOT(ISBLANK(Table1[[#This Row],[Fetal Sex (Male, Female or Unknown)]])),ISNUMBER(Table1[[#This Row],[Birthweight (grams)]]),ISNUMBER(Table1[[#This Row],[Gestation (days)]])),TRUE,FALSE)</f>
        <v>0</v>
      </c>
      <c r="E5002" s="2" t="str">
        <f>IF(Table1[[#This Row],[Is Data Valid]]=TRUE,IF(Table1[[#This Row],[Fetal Sex (Male, Female or Unknown)]]="Male",Backend!$C$6,IF(Table1[[#This Row],[Fetal Sex (Male, Female or Unknown)]]="Female",Backend!$C$7,IF(Table1[[#This Row],[Fetal Sex (Male, Female or Unknown)]]="Unknown",Backend!$C$8,"Error"))),"")</f>
        <v/>
      </c>
      <c r="F5002" s="8" t="str">
        <f>IF(Table1[[#This Row],[Is Data Valid]]=TRUE,EXP(0.578+0.332*((Table1[[#This Row],[Gestation (days)]]+0.5)/7)-0.00354*((Table1[[#This Row],[Gestation (days)]]+0.5)/7)^2)*Table1[[#This Row],[BW40_3705]],"")</f>
        <v/>
      </c>
      <c r="G5002" s="2" t="str">
        <f>IF(Table1[[#This Row],[Is Data Valid]]=TRUE,((Table1[[#This Row],[Birthweight (grams)]]/Table1[[#This Row],[BW_GA]])-1)/(Backend!$B$4/100*Table1[[#This Row],[BW40_3705]]),"")</f>
        <v/>
      </c>
      <c r="H5002" s="7" t="str">
        <f>IF(Table1[[#This Row],[Is Data Valid]]=TRUE,((Table1[[#This Row],[Birthweight (grams)]]*0.9/Table1[[#This Row],[BW_GA]])-1)/(Backend!$B$4/100*Table1[[#This Row],[BW40_3705]]),"")</f>
        <v/>
      </c>
      <c r="I5002" s="7" t="str">
        <f>IF(Table1[[#This Row],[Is Data Valid]]=TRUE,((Table1[[#This Row],[Birthweight (grams)]]*1.1/Table1[[#This Row],[BW_GA]])-1)/(Backend!$B$4/100*Table1[[#This Row],[BW40_3705]]),"")</f>
        <v/>
      </c>
      <c r="J5002" s="7" t="str">
        <f>IF(Table1[[#This Row],[Is Data Valid]]=TRUE,_xlfn.NORM.S.DIST(Table1[[#This Row],[Birthweight Z-Score]],TRUE)*100,"")</f>
        <v/>
      </c>
      <c r="K5002" s="7" t="str">
        <f>IF(Table1[[#This Row],[Is Data Valid]]=TRUE,_xlfn.NORM.S.DIST(Table1[[#This Row],[Birthweight Z-Score (BW-10%)]],TRUE)*100,"")</f>
        <v/>
      </c>
      <c r="L5002" s="7" t="str">
        <f>IF(Table1[[#This Row],[Is Data Valid]]=TRUE,_xlfn.NORM.S.DIST(Table1[[#This Row],[Birthweight Z-Score (BW+10%)]],TRUE)*100,"")</f>
        <v/>
      </c>
    </row>
    <row r="5003" spans="1:12" x14ac:dyDescent="0.35">
      <c r="A5003" s="3"/>
      <c r="B5003" s="2"/>
      <c r="C5003" s="2"/>
      <c r="D5003" s="2" t="b">
        <f>IF(AND(NOT(ISBLANK(Table1[[#This Row],[Fetal Sex (Male, Female or Unknown)]])),ISNUMBER(Table1[[#This Row],[Birthweight (grams)]]),ISNUMBER(Table1[[#This Row],[Gestation (days)]])),TRUE,FALSE)</f>
        <v>0</v>
      </c>
      <c r="E5003" s="2" t="str">
        <f>IF(Table1[[#This Row],[Is Data Valid]]=TRUE,IF(Table1[[#This Row],[Fetal Sex (Male, Female or Unknown)]]="Male",Backend!$C$6,IF(Table1[[#This Row],[Fetal Sex (Male, Female or Unknown)]]="Female",Backend!$C$7,IF(Table1[[#This Row],[Fetal Sex (Male, Female or Unknown)]]="Unknown",Backend!$C$8,"Error"))),"")</f>
        <v/>
      </c>
      <c r="F5003" s="8" t="str">
        <f>IF(Table1[[#This Row],[Is Data Valid]]=TRUE,EXP(0.578+0.332*((Table1[[#This Row],[Gestation (days)]]+0.5)/7)-0.00354*((Table1[[#This Row],[Gestation (days)]]+0.5)/7)^2)*Table1[[#This Row],[BW40_3705]],"")</f>
        <v/>
      </c>
      <c r="G5003" s="2" t="str">
        <f>IF(Table1[[#This Row],[Is Data Valid]]=TRUE,((Table1[[#This Row],[Birthweight (grams)]]/Table1[[#This Row],[BW_GA]])-1)/(Backend!$B$4/100*Table1[[#This Row],[BW40_3705]]),"")</f>
        <v/>
      </c>
      <c r="H5003" s="7" t="str">
        <f>IF(Table1[[#This Row],[Is Data Valid]]=TRUE,((Table1[[#This Row],[Birthweight (grams)]]*0.9/Table1[[#This Row],[BW_GA]])-1)/(Backend!$B$4/100*Table1[[#This Row],[BW40_3705]]),"")</f>
        <v/>
      </c>
      <c r="I5003" s="7" t="str">
        <f>IF(Table1[[#This Row],[Is Data Valid]]=TRUE,((Table1[[#This Row],[Birthweight (grams)]]*1.1/Table1[[#This Row],[BW_GA]])-1)/(Backend!$B$4/100*Table1[[#This Row],[BW40_3705]]),"")</f>
        <v/>
      </c>
      <c r="J5003" s="7" t="str">
        <f>IF(Table1[[#This Row],[Is Data Valid]]=TRUE,_xlfn.NORM.S.DIST(Table1[[#This Row],[Birthweight Z-Score]],TRUE)*100,"")</f>
        <v/>
      </c>
      <c r="K5003" s="7" t="str">
        <f>IF(Table1[[#This Row],[Is Data Valid]]=TRUE,_xlfn.NORM.S.DIST(Table1[[#This Row],[Birthweight Z-Score (BW-10%)]],TRUE)*100,"")</f>
        <v/>
      </c>
      <c r="L5003" s="7" t="str">
        <f>IF(Table1[[#This Row],[Is Data Valid]]=TRUE,_xlfn.NORM.S.DIST(Table1[[#This Row],[Birthweight Z-Score (BW+10%)]],TRUE)*100,"")</f>
        <v/>
      </c>
    </row>
    <row r="5004" spans="1:12" x14ac:dyDescent="0.35">
      <c r="A5004" s="3"/>
      <c r="B5004" s="2"/>
      <c r="C5004" s="2"/>
      <c r="D5004" s="2" t="b">
        <f>IF(AND(NOT(ISBLANK(Table1[[#This Row],[Fetal Sex (Male, Female or Unknown)]])),ISNUMBER(Table1[[#This Row],[Birthweight (grams)]]),ISNUMBER(Table1[[#This Row],[Gestation (days)]])),TRUE,FALSE)</f>
        <v>0</v>
      </c>
      <c r="E5004" s="2" t="str">
        <f>IF(Table1[[#This Row],[Is Data Valid]]=TRUE,IF(Table1[[#This Row],[Fetal Sex (Male, Female or Unknown)]]="Male",Backend!$C$6,IF(Table1[[#This Row],[Fetal Sex (Male, Female or Unknown)]]="Female",Backend!$C$7,IF(Table1[[#This Row],[Fetal Sex (Male, Female or Unknown)]]="Unknown",Backend!$C$8,"Error"))),"")</f>
        <v/>
      </c>
      <c r="F5004" s="8" t="str">
        <f>IF(Table1[[#This Row],[Is Data Valid]]=TRUE,EXP(0.578+0.332*((Table1[[#This Row],[Gestation (days)]]+0.5)/7)-0.00354*((Table1[[#This Row],[Gestation (days)]]+0.5)/7)^2)*Table1[[#This Row],[BW40_3705]],"")</f>
        <v/>
      </c>
      <c r="G5004" s="2" t="str">
        <f>IF(Table1[[#This Row],[Is Data Valid]]=TRUE,((Table1[[#This Row],[Birthweight (grams)]]/Table1[[#This Row],[BW_GA]])-1)/(Backend!$B$4/100*Table1[[#This Row],[BW40_3705]]),"")</f>
        <v/>
      </c>
      <c r="H5004" s="7" t="str">
        <f>IF(Table1[[#This Row],[Is Data Valid]]=TRUE,((Table1[[#This Row],[Birthweight (grams)]]*0.9/Table1[[#This Row],[BW_GA]])-1)/(Backend!$B$4/100*Table1[[#This Row],[BW40_3705]]),"")</f>
        <v/>
      </c>
      <c r="I5004" s="7" t="str">
        <f>IF(Table1[[#This Row],[Is Data Valid]]=TRUE,((Table1[[#This Row],[Birthweight (grams)]]*1.1/Table1[[#This Row],[BW_GA]])-1)/(Backend!$B$4/100*Table1[[#This Row],[BW40_3705]]),"")</f>
        <v/>
      </c>
      <c r="J5004" s="7" t="str">
        <f>IF(Table1[[#This Row],[Is Data Valid]]=TRUE,_xlfn.NORM.S.DIST(Table1[[#This Row],[Birthweight Z-Score]],TRUE)*100,"")</f>
        <v/>
      </c>
      <c r="K5004" s="7" t="str">
        <f>IF(Table1[[#This Row],[Is Data Valid]]=TRUE,_xlfn.NORM.S.DIST(Table1[[#This Row],[Birthweight Z-Score (BW-10%)]],TRUE)*100,"")</f>
        <v/>
      </c>
      <c r="L5004" s="7" t="str">
        <f>IF(Table1[[#This Row],[Is Data Valid]]=TRUE,_xlfn.NORM.S.DIST(Table1[[#This Row],[Birthweight Z-Score (BW+10%)]],TRUE)*100,"")</f>
        <v/>
      </c>
    </row>
    <row r="5005" spans="1:12" x14ac:dyDescent="0.35">
      <c r="A5005" s="3"/>
      <c r="B5005" s="2"/>
      <c r="C5005" s="2"/>
      <c r="D5005" s="2" t="b">
        <f>IF(AND(NOT(ISBLANK(Table1[[#This Row],[Fetal Sex (Male, Female or Unknown)]])),ISNUMBER(Table1[[#This Row],[Birthweight (grams)]]),ISNUMBER(Table1[[#This Row],[Gestation (days)]])),TRUE,FALSE)</f>
        <v>0</v>
      </c>
      <c r="E5005" s="2" t="str">
        <f>IF(Table1[[#This Row],[Is Data Valid]]=TRUE,IF(Table1[[#This Row],[Fetal Sex (Male, Female or Unknown)]]="Male",Backend!$C$6,IF(Table1[[#This Row],[Fetal Sex (Male, Female or Unknown)]]="Female",Backend!$C$7,IF(Table1[[#This Row],[Fetal Sex (Male, Female or Unknown)]]="Unknown",Backend!$C$8,"Error"))),"")</f>
        <v/>
      </c>
      <c r="F5005" s="8" t="str">
        <f>IF(Table1[[#This Row],[Is Data Valid]]=TRUE,EXP(0.578+0.332*((Table1[[#This Row],[Gestation (days)]]+0.5)/7)-0.00354*((Table1[[#This Row],[Gestation (days)]]+0.5)/7)^2)*Table1[[#This Row],[BW40_3705]],"")</f>
        <v/>
      </c>
      <c r="G5005" s="2" t="str">
        <f>IF(Table1[[#This Row],[Is Data Valid]]=TRUE,((Table1[[#This Row],[Birthweight (grams)]]/Table1[[#This Row],[BW_GA]])-1)/(Backend!$B$4/100*Table1[[#This Row],[BW40_3705]]),"")</f>
        <v/>
      </c>
      <c r="H5005" s="7" t="str">
        <f>IF(Table1[[#This Row],[Is Data Valid]]=TRUE,((Table1[[#This Row],[Birthweight (grams)]]*0.9/Table1[[#This Row],[BW_GA]])-1)/(Backend!$B$4/100*Table1[[#This Row],[BW40_3705]]),"")</f>
        <v/>
      </c>
      <c r="I5005" s="7" t="str">
        <f>IF(Table1[[#This Row],[Is Data Valid]]=TRUE,((Table1[[#This Row],[Birthweight (grams)]]*1.1/Table1[[#This Row],[BW_GA]])-1)/(Backend!$B$4/100*Table1[[#This Row],[BW40_3705]]),"")</f>
        <v/>
      </c>
      <c r="J5005" s="7" t="str">
        <f>IF(Table1[[#This Row],[Is Data Valid]]=TRUE,_xlfn.NORM.S.DIST(Table1[[#This Row],[Birthweight Z-Score]],TRUE)*100,"")</f>
        <v/>
      </c>
      <c r="K5005" s="7" t="str">
        <f>IF(Table1[[#This Row],[Is Data Valid]]=TRUE,_xlfn.NORM.S.DIST(Table1[[#This Row],[Birthweight Z-Score (BW-10%)]],TRUE)*100,"")</f>
        <v/>
      </c>
      <c r="L5005" s="7" t="str">
        <f>IF(Table1[[#This Row],[Is Data Valid]]=TRUE,_xlfn.NORM.S.DIST(Table1[[#This Row],[Birthweight Z-Score (BW+10%)]],TRUE)*100,"")</f>
        <v/>
      </c>
    </row>
    <row r="5006" spans="1:12" x14ac:dyDescent="0.35">
      <c r="A5006" s="3"/>
      <c r="B5006" s="2"/>
      <c r="C5006" s="2"/>
      <c r="D5006" s="2" t="b">
        <f>IF(AND(NOT(ISBLANK(Table1[[#This Row],[Fetal Sex (Male, Female or Unknown)]])),ISNUMBER(Table1[[#This Row],[Birthweight (grams)]]),ISNUMBER(Table1[[#This Row],[Gestation (days)]])),TRUE,FALSE)</f>
        <v>0</v>
      </c>
      <c r="E5006" s="2" t="str">
        <f>IF(Table1[[#This Row],[Is Data Valid]]=TRUE,IF(Table1[[#This Row],[Fetal Sex (Male, Female or Unknown)]]="Male",Backend!$C$6,IF(Table1[[#This Row],[Fetal Sex (Male, Female or Unknown)]]="Female",Backend!$C$7,IF(Table1[[#This Row],[Fetal Sex (Male, Female or Unknown)]]="Unknown",Backend!$C$8,"Error"))),"")</f>
        <v/>
      </c>
      <c r="F5006" s="8" t="str">
        <f>IF(Table1[[#This Row],[Is Data Valid]]=TRUE,EXP(0.578+0.332*((Table1[[#This Row],[Gestation (days)]]+0.5)/7)-0.00354*((Table1[[#This Row],[Gestation (days)]]+0.5)/7)^2)*Table1[[#This Row],[BW40_3705]],"")</f>
        <v/>
      </c>
      <c r="G5006" s="2" t="str">
        <f>IF(Table1[[#This Row],[Is Data Valid]]=TRUE,((Table1[[#This Row],[Birthweight (grams)]]/Table1[[#This Row],[BW_GA]])-1)/(Backend!$B$4/100*Table1[[#This Row],[BW40_3705]]),"")</f>
        <v/>
      </c>
      <c r="H5006" s="7" t="str">
        <f>IF(Table1[[#This Row],[Is Data Valid]]=TRUE,((Table1[[#This Row],[Birthweight (grams)]]*0.9/Table1[[#This Row],[BW_GA]])-1)/(Backend!$B$4/100*Table1[[#This Row],[BW40_3705]]),"")</f>
        <v/>
      </c>
      <c r="I5006" s="7" t="str">
        <f>IF(Table1[[#This Row],[Is Data Valid]]=TRUE,((Table1[[#This Row],[Birthweight (grams)]]*1.1/Table1[[#This Row],[BW_GA]])-1)/(Backend!$B$4/100*Table1[[#This Row],[BW40_3705]]),"")</f>
        <v/>
      </c>
      <c r="J5006" s="7" t="str">
        <f>IF(Table1[[#This Row],[Is Data Valid]]=TRUE,_xlfn.NORM.S.DIST(Table1[[#This Row],[Birthweight Z-Score]],TRUE)*100,"")</f>
        <v/>
      </c>
      <c r="K5006" s="7" t="str">
        <f>IF(Table1[[#This Row],[Is Data Valid]]=TRUE,_xlfn.NORM.S.DIST(Table1[[#This Row],[Birthweight Z-Score (BW-10%)]],TRUE)*100,"")</f>
        <v/>
      </c>
      <c r="L5006" s="7" t="str">
        <f>IF(Table1[[#This Row],[Is Data Valid]]=TRUE,_xlfn.NORM.S.DIST(Table1[[#This Row],[Birthweight Z-Score (BW+10%)]],TRUE)*100,"")</f>
        <v/>
      </c>
    </row>
    <row r="5007" spans="1:12" x14ac:dyDescent="0.35">
      <c r="A5007" s="3"/>
      <c r="B5007" s="2"/>
      <c r="C5007" s="2"/>
      <c r="D5007" s="2" t="b">
        <f>IF(AND(NOT(ISBLANK(Table1[[#This Row],[Fetal Sex (Male, Female or Unknown)]])),ISNUMBER(Table1[[#This Row],[Birthweight (grams)]]),ISNUMBER(Table1[[#This Row],[Gestation (days)]])),TRUE,FALSE)</f>
        <v>0</v>
      </c>
      <c r="E5007" s="2" t="str">
        <f>IF(Table1[[#This Row],[Is Data Valid]]=TRUE,IF(Table1[[#This Row],[Fetal Sex (Male, Female or Unknown)]]="Male",Backend!$C$6,IF(Table1[[#This Row],[Fetal Sex (Male, Female or Unknown)]]="Female",Backend!$C$7,IF(Table1[[#This Row],[Fetal Sex (Male, Female or Unknown)]]="Unknown",Backend!$C$8,"Error"))),"")</f>
        <v/>
      </c>
      <c r="F5007" s="8" t="str">
        <f>IF(Table1[[#This Row],[Is Data Valid]]=TRUE,EXP(0.578+0.332*((Table1[[#This Row],[Gestation (days)]]+0.5)/7)-0.00354*((Table1[[#This Row],[Gestation (days)]]+0.5)/7)^2)*Table1[[#This Row],[BW40_3705]],"")</f>
        <v/>
      </c>
      <c r="G5007" s="2" t="str">
        <f>IF(Table1[[#This Row],[Is Data Valid]]=TRUE,((Table1[[#This Row],[Birthweight (grams)]]/Table1[[#This Row],[BW_GA]])-1)/(Backend!$B$4/100*Table1[[#This Row],[BW40_3705]]),"")</f>
        <v/>
      </c>
      <c r="H5007" s="7" t="str">
        <f>IF(Table1[[#This Row],[Is Data Valid]]=TRUE,((Table1[[#This Row],[Birthweight (grams)]]*0.9/Table1[[#This Row],[BW_GA]])-1)/(Backend!$B$4/100*Table1[[#This Row],[BW40_3705]]),"")</f>
        <v/>
      </c>
      <c r="I5007" s="7" t="str">
        <f>IF(Table1[[#This Row],[Is Data Valid]]=TRUE,((Table1[[#This Row],[Birthweight (grams)]]*1.1/Table1[[#This Row],[BW_GA]])-1)/(Backend!$B$4/100*Table1[[#This Row],[BW40_3705]]),"")</f>
        <v/>
      </c>
      <c r="J5007" s="7" t="str">
        <f>IF(Table1[[#This Row],[Is Data Valid]]=TRUE,_xlfn.NORM.S.DIST(Table1[[#This Row],[Birthweight Z-Score]],TRUE)*100,"")</f>
        <v/>
      </c>
      <c r="K5007" s="7" t="str">
        <f>IF(Table1[[#This Row],[Is Data Valid]]=TRUE,_xlfn.NORM.S.DIST(Table1[[#This Row],[Birthweight Z-Score (BW-10%)]],TRUE)*100,"")</f>
        <v/>
      </c>
      <c r="L5007" s="7" t="str">
        <f>IF(Table1[[#This Row],[Is Data Valid]]=TRUE,_xlfn.NORM.S.DIST(Table1[[#This Row],[Birthweight Z-Score (BW+10%)]],TRUE)*100,"")</f>
        <v/>
      </c>
    </row>
    <row r="5008" spans="1:12" x14ac:dyDescent="0.35">
      <c r="A5008" s="3"/>
      <c r="B5008" s="2"/>
      <c r="C5008" s="2"/>
      <c r="D5008" s="2" t="b">
        <f>IF(AND(NOT(ISBLANK(Table1[[#This Row],[Fetal Sex (Male, Female or Unknown)]])),ISNUMBER(Table1[[#This Row],[Birthweight (grams)]]),ISNUMBER(Table1[[#This Row],[Gestation (days)]])),TRUE,FALSE)</f>
        <v>0</v>
      </c>
      <c r="E5008" s="2" t="str">
        <f>IF(Table1[[#This Row],[Is Data Valid]]=TRUE,IF(Table1[[#This Row],[Fetal Sex (Male, Female or Unknown)]]="Male",Backend!$C$6,IF(Table1[[#This Row],[Fetal Sex (Male, Female or Unknown)]]="Female",Backend!$C$7,IF(Table1[[#This Row],[Fetal Sex (Male, Female or Unknown)]]="Unknown",Backend!$C$8,"Error"))),"")</f>
        <v/>
      </c>
      <c r="F5008" s="8" t="str">
        <f>IF(Table1[[#This Row],[Is Data Valid]]=TRUE,EXP(0.578+0.332*((Table1[[#This Row],[Gestation (days)]]+0.5)/7)-0.00354*((Table1[[#This Row],[Gestation (days)]]+0.5)/7)^2)*Table1[[#This Row],[BW40_3705]],"")</f>
        <v/>
      </c>
      <c r="G5008" s="2" t="str">
        <f>IF(Table1[[#This Row],[Is Data Valid]]=TRUE,((Table1[[#This Row],[Birthweight (grams)]]/Table1[[#This Row],[BW_GA]])-1)/(Backend!$B$4/100*Table1[[#This Row],[BW40_3705]]),"")</f>
        <v/>
      </c>
      <c r="H5008" s="7" t="str">
        <f>IF(Table1[[#This Row],[Is Data Valid]]=TRUE,((Table1[[#This Row],[Birthweight (grams)]]*0.9/Table1[[#This Row],[BW_GA]])-1)/(Backend!$B$4/100*Table1[[#This Row],[BW40_3705]]),"")</f>
        <v/>
      </c>
      <c r="I5008" s="7" t="str">
        <f>IF(Table1[[#This Row],[Is Data Valid]]=TRUE,((Table1[[#This Row],[Birthweight (grams)]]*1.1/Table1[[#This Row],[BW_GA]])-1)/(Backend!$B$4/100*Table1[[#This Row],[BW40_3705]]),"")</f>
        <v/>
      </c>
      <c r="J5008" s="7" t="str">
        <f>IF(Table1[[#This Row],[Is Data Valid]]=TRUE,_xlfn.NORM.S.DIST(Table1[[#This Row],[Birthweight Z-Score]],TRUE)*100,"")</f>
        <v/>
      </c>
      <c r="K5008" s="7" t="str">
        <f>IF(Table1[[#This Row],[Is Data Valid]]=TRUE,_xlfn.NORM.S.DIST(Table1[[#This Row],[Birthweight Z-Score (BW-10%)]],TRUE)*100,"")</f>
        <v/>
      </c>
      <c r="L5008" s="7" t="str">
        <f>IF(Table1[[#This Row],[Is Data Valid]]=TRUE,_xlfn.NORM.S.DIST(Table1[[#This Row],[Birthweight Z-Score (BW+10%)]],TRUE)*100,"")</f>
        <v/>
      </c>
    </row>
    <row r="5009" spans="1:12" x14ac:dyDescent="0.35">
      <c r="A5009" s="3"/>
      <c r="B5009" s="2"/>
      <c r="C5009" s="2"/>
      <c r="D5009" s="2" t="b">
        <f>IF(AND(NOT(ISBLANK(Table1[[#This Row],[Fetal Sex (Male, Female or Unknown)]])),ISNUMBER(Table1[[#This Row],[Birthweight (grams)]]),ISNUMBER(Table1[[#This Row],[Gestation (days)]])),TRUE,FALSE)</f>
        <v>0</v>
      </c>
      <c r="E5009" s="2" t="str">
        <f>IF(Table1[[#This Row],[Is Data Valid]]=TRUE,IF(Table1[[#This Row],[Fetal Sex (Male, Female or Unknown)]]="Male",Backend!$C$6,IF(Table1[[#This Row],[Fetal Sex (Male, Female or Unknown)]]="Female",Backend!$C$7,IF(Table1[[#This Row],[Fetal Sex (Male, Female or Unknown)]]="Unknown",Backend!$C$8,"Error"))),"")</f>
        <v/>
      </c>
      <c r="F5009" s="8" t="str">
        <f>IF(Table1[[#This Row],[Is Data Valid]]=TRUE,EXP(0.578+0.332*((Table1[[#This Row],[Gestation (days)]]+0.5)/7)-0.00354*((Table1[[#This Row],[Gestation (days)]]+0.5)/7)^2)*Table1[[#This Row],[BW40_3705]],"")</f>
        <v/>
      </c>
      <c r="G5009" s="2" t="str">
        <f>IF(Table1[[#This Row],[Is Data Valid]]=TRUE,((Table1[[#This Row],[Birthweight (grams)]]/Table1[[#This Row],[BW_GA]])-1)/(Backend!$B$4/100*Table1[[#This Row],[BW40_3705]]),"")</f>
        <v/>
      </c>
      <c r="H5009" s="7" t="str">
        <f>IF(Table1[[#This Row],[Is Data Valid]]=TRUE,((Table1[[#This Row],[Birthweight (grams)]]*0.9/Table1[[#This Row],[BW_GA]])-1)/(Backend!$B$4/100*Table1[[#This Row],[BW40_3705]]),"")</f>
        <v/>
      </c>
      <c r="I5009" s="7" t="str">
        <f>IF(Table1[[#This Row],[Is Data Valid]]=TRUE,((Table1[[#This Row],[Birthweight (grams)]]*1.1/Table1[[#This Row],[BW_GA]])-1)/(Backend!$B$4/100*Table1[[#This Row],[BW40_3705]]),"")</f>
        <v/>
      </c>
      <c r="J5009" s="7" t="str">
        <f>IF(Table1[[#This Row],[Is Data Valid]]=TRUE,_xlfn.NORM.S.DIST(Table1[[#This Row],[Birthweight Z-Score]],TRUE)*100,"")</f>
        <v/>
      </c>
      <c r="K5009" s="7" t="str">
        <f>IF(Table1[[#This Row],[Is Data Valid]]=TRUE,_xlfn.NORM.S.DIST(Table1[[#This Row],[Birthweight Z-Score (BW-10%)]],TRUE)*100,"")</f>
        <v/>
      </c>
      <c r="L5009" s="7" t="str">
        <f>IF(Table1[[#This Row],[Is Data Valid]]=TRUE,_xlfn.NORM.S.DIST(Table1[[#This Row],[Birthweight Z-Score (BW+10%)]],TRUE)*100,"")</f>
        <v/>
      </c>
    </row>
    <row r="5010" spans="1:12" x14ac:dyDescent="0.35">
      <c r="A5010" s="3"/>
      <c r="B5010" s="2"/>
      <c r="C5010" s="2"/>
      <c r="D5010" s="2" t="b">
        <f>IF(AND(NOT(ISBLANK(Table1[[#This Row],[Fetal Sex (Male, Female or Unknown)]])),ISNUMBER(Table1[[#This Row],[Birthweight (grams)]]),ISNUMBER(Table1[[#This Row],[Gestation (days)]])),TRUE,FALSE)</f>
        <v>0</v>
      </c>
      <c r="E5010" s="2" t="str">
        <f>IF(Table1[[#This Row],[Is Data Valid]]=TRUE,IF(Table1[[#This Row],[Fetal Sex (Male, Female or Unknown)]]="Male",Backend!$C$6,IF(Table1[[#This Row],[Fetal Sex (Male, Female or Unknown)]]="Female",Backend!$C$7,IF(Table1[[#This Row],[Fetal Sex (Male, Female or Unknown)]]="Unknown",Backend!$C$8,"Error"))),"")</f>
        <v/>
      </c>
      <c r="F5010" s="8" t="str">
        <f>IF(Table1[[#This Row],[Is Data Valid]]=TRUE,EXP(0.578+0.332*((Table1[[#This Row],[Gestation (days)]]+0.5)/7)-0.00354*((Table1[[#This Row],[Gestation (days)]]+0.5)/7)^2)*Table1[[#This Row],[BW40_3705]],"")</f>
        <v/>
      </c>
      <c r="G5010" s="2" t="str">
        <f>IF(Table1[[#This Row],[Is Data Valid]]=TRUE,((Table1[[#This Row],[Birthweight (grams)]]/Table1[[#This Row],[BW_GA]])-1)/(Backend!$B$4/100*Table1[[#This Row],[BW40_3705]]),"")</f>
        <v/>
      </c>
      <c r="H5010" s="7" t="str">
        <f>IF(Table1[[#This Row],[Is Data Valid]]=TRUE,((Table1[[#This Row],[Birthweight (grams)]]*0.9/Table1[[#This Row],[BW_GA]])-1)/(Backend!$B$4/100*Table1[[#This Row],[BW40_3705]]),"")</f>
        <v/>
      </c>
      <c r="I5010" s="7" t="str">
        <f>IF(Table1[[#This Row],[Is Data Valid]]=TRUE,((Table1[[#This Row],[Birthweight (grams)]]*1.1/Table1[[#This Row],[BW_GA]])-1)/(Backend!$B$4/100*Table1[[#This Row],[BW40_3705]]),"")</f>
        <v/>
      </c>
      <c r="J5010" s="7" t="str">
        <f>IF(Table1[[#This Row],[Is Data Valid]]=TRUE,_xlfn.NORM.S.DIST(Table1[[#This Row],[Birthweight Z-Score]],TRUE)*100,"")</f>
        <v/>
      </c>
      <c r="K5010" s="7" t="str">
        <f>IF(Table1[[#This Row],[Is Data Valid]]=TRUE,_xlfn.NORM.S.DIST(Table1[[#This Row],[Birthweight Z-Score (BW-10%)]],TRUE)*100,"")</f>
        <v/>
      </c>
      <c r="L5010" s="7" t="str">
        <f>IF(Table1[[#This Row],[Is Data Valid]]=TRUE,_xlfn.NORM.S.DIST(Table1[[#This Row],[Birthweight Z-Score (BW+10%)]],TRUE)*100,"")</f>
        <v/>
      </c>
    </row>
    <row r="5011" spans="1:12" x14ac:dyDescent="0.35">
      <c r="A5011" s="3"/>
      <c r="B5011" s="2"/>
      <c r="C5011" s="2"/>
      <c r="D5011" s="2" t="b">
        <f>IF(AND(NOT(ISBLANK(Table1[[#This Row],[Fetal Sex (Male, Female or Unknown)]])),ISNUMBER(Table1[[#This Row],[Birthweight (grams)]]),ISNUMBER(Table1[[#This Row],[Gestation (days)]])),TRUE,FALSE)</f>
        <v>0</v>
      </c>
      <c r="E5011" s="2" t="str">
        <f>IF(Table1[[#This Row],[Is Data Valid]]=TRUE,IF(Table1[[#This Row],[Fetal Sex (Male, Female or Unknown)]]="Male",Backend!$C$6,IF(Table1[[#This Row],[Fetal Sex (Male, Female or Unknown)]]="Female",Backend!$C$7,IF(Table1[[#This Row],[Fetal Sex (Male, Female or Unknown)]]="Unknown",Backend!$C$8,"Error"))),"")</f>
        <v/>
      </c>
      <c r="F5011" s="8" t="str">
        <f>IF(Table1[[#This Row],[Is Data Valid]]=TRUE,EXP(0.578+0.332*((Table1[[#This Row],[Gestation (days)]]+0.5)/7)-0.00354*((Table1[[#This Row],[Gestation (days)]]+0.5)/7)^2)*Table1[[#This Row],[BW40_3705]],"")</f>
        <v/>
      </c>
      <c r="G5011" s="2" t="str">
        <f>IF(Table1[[#This Row],[Is Data Valid]]=TRUE,((Table1[[#This Row],[Birthweight (grams)]]/Table1[[#This Row],[BW_GA]])-1)/(Backend!$B$4/100*Table1[[#This Row],[BW40_3705]]),"")</f>
        <v/>
      </c>
      <c r="H5011" s="7" t="str">
        <f>IF(Table1[[#This Row],[Is Data Valid]]=TRUE,((Table1[[#This Row],[Birthweight (grams)]]*0.9/Table1[[#This Row],[BW_GA]])-1)/(Backend!$B$4/100*Table1[[#This Row],[BW40_3705]]),"")</f>
        <v/>
      </c>
      <c r="I5011" s="7" t="str">
        <f>IF(Table1[[#This Row],[Is Data Valid]]=TRUE,((Table1[[#This Row],[Birthweight (grams)]]*1.1/Table1[[#This Row],[BW_GA]])-1)/(Backend!$B$4/100*Table1[[#This Row],[BW40_3705]]),"")</f>
        <v/>
      </c>
      <c r="J5011" s="7" t="str">
        <f>IF(Table1[[#This Row],[Is Data Valid]]=TRUE,_xlfn.NORM.S.DIST(Table1[[#This Row],[Birthweight Z-Score]],TRUE)*100,"")</f>
        <v/>
      </c>
      <c r="K5011" s="7" t="str">
        <f>IF(Table1[[#This Row],[Is Data Valid]]=TRUE,_xlfn.NORM.S.DIST(Table1[[#This Row],[Birthweight Z-Score (BW-10%)]],TRUE)*100,"")</f>
        <v/>
      </c>
      <c r="L5011" s="7" t="str">
        <f>IF(Table1[[#This Row],[Is Data Valid]]=TRUE,_xlfn.NORM.S.DIST(Table1[[#This Row],[Birthweight Z-Score (BW+10%)]],TRUE)*100,"")</f>
        <v/>
      </c>
    </row>
    <row r="5012" spans="1:12" x14ac:dyDescent="0.35">
      <c r="A5012" s="3"/>
      <c r="B5012" s="2"/>
      <c r="C5012" s="2"/>
      <c r="D5012" s="2" t="b">
        <f>IF(AND(NOT(ISBLANK(Table1[[#This Row],[Fetal Sex (Male, Female or Unknown)]])),ISNUMBER(Table1[[#This Row],[Birthweight (grams)]]),ISNUMBER(Table1[[#This Row],[Gestation (days)]])),TRUE,FALSE)</f>
        <v>0</v>
      </c>
      <c r="E5012" s="2" t="str">
        <f>IF(Table1[[#This Row],[Is Data Valid]]=TRUE,IF(Table1[[#This Row],[Fetal Sex (Male, Female or Unknown)]]="Male",Backend!$C$6,IF(Table1[[#This Row],[Fetal Sex (Male, Female or Unknown)]]="Female",Backend!$C$7,IF(Table1[[#This Row],[Fetal Sex (Male, Female or Unknown)]]="Unknown",Backend!$C$8,"Error"))),"")</f>
        <v/>
      </c>
      <c r="F5012" s="8" t="str">
        <f>IF(Table1[[#This Row],[Is Data Valid]]=TRUE,EXP(0.578+0.332*((Table1[[#This Row],[Gestation (days)]]+0.5)/7)-0.00354*((Table1[[#This Row],[Gestation (days)]]+0.5)/7)^2)*Table1[[#This Row],[BW40_3705]],"")</f>
        <v/>
      </c>
      <c r="G5012" s="2" t="str">
        <f>IF(Table1[[#This Row],[Is Data Valid]]=TRUE,((Table1[[#This Row],[Birthweight (grams)]]/Table1[[#This Row],[BW_GA]])-1)/(Backend!$B$4/100*Table1[[#This Row],[BW40_3705]]),"")</f>
        <v/>
      </c>
      <c r="H5012" s="7" t="str">
        <f>IF(Table1[[#This Row],[Is Data Valid]]=TRUE,((Table1[[#This Row],[Birthweight (grams)]]*0.9/Table1[[#This Row],[BW_GA]])-1)/(Backend!$B$4/100*Table1[[#This Row],[BW40_3705]]),"")</f>
        <v/>
      </c>
      <c r="I5012" s="7" t="str">
        <f>IF(Table1[[#This Row],[Is Data Valid]]=TRUE,((Table1[[#This Row],[Birthweight (grams)]]*1.1/Table1[[#This Row],[BW_GA]])-1)/(Backend!$B$4/100*Table1[[#This Row],[BW40_3705]]),"")</f>
        <v/>
      </c>
      <c r="J5012" s="7" t="str">
        <f>IF(Table1[[#This Row],[Is Data Valid]]=TRUE,_xlfn.NORM.S.DIST(Table1[[#This Row],[Birthweight Z-Score]],TRUE)*100,"")</f>
        <v/>
      </c>
      <c r="K5012" s="7" t="str">
        <f>IF(Table1[[#This Row],[Is Data Valid]]=TRUE,_xlfn.NORM.S.DIST(Table1[[#This Row],[Birthweight Z-Score (BW-10%)]],TRUE)*100,"")</f>
        <v/>
      </c>
      <c r="L5012" s="7" t="str">
        <f>IF(Table1[[#This Row],[Is Data Valid]]=TRUE,_xlfn.NORM.S.DIST(Table1[[#This Row],[Birthweight Z-Score (BW+10%)]],TRUE)*100,"")</f>
        <v/>
      </c>
    </row>
    <row r="5013" spans="1:12" x14ac:dyDescent="0.35">
      <c r="A5013" s="3"/>
      <c r="B5013" s="2"/>
      <c r="C5013" s="2"/>
      <c r="D5013" s="2" t="b">
        <f>IF(AND(NOT(ISBLANK(Table1[[#This Row],[Fetal Sex (Male, Female or Unknown)]])),ISNUMBER(Table1[[#This Row],[Birthweight (grams)]]),ISNUMBER(Table1[[#This Row],[Gestation (days)]])),TRUE,FALSE)</f>
        <v>0</v>
      </c>
      <c r="E5013" s="2" t="str">
        <f>IF(Table1[[#This Row],[Is Data Valid]]=TRUE,IF(Table1[[#This Row],[Fetal Sex (Male, Female or Unknown)]]="Male",Backend!$C$6,IF(Table1[[#This Row],[Fetal Sex (Male, Female or Unknown)]]="Female",Backend!$C$7,IF(Table1[[#This Row],[Fetal Sex (Male, Female or Unknown)]]="Unknown",Backend!$C$8,"Error"))),"")</f>
        <v/>
      </c>
      <c r="F5013" s="8" t="str">
        <f>IF(Table1[[#This Row],[Is Data Valid]]=TRUE,EXP(0.578+0.332*((Table1[[#This Row],[Gestation (days)]]+0.5)/7)-0.00354*((Table1[[#This Row],[Gestation (days)]]+0.5)/7)^2)*Table1[[#This Row],[BW40_3705]],"")</f>
        <v/>
      </c>
      <c r="G5013" s="2" t="str">
        <f>IF(Table1[[#This Row],[Is Data Valid]]=TRUE,((Table1[[#This Row],[Birthweight (grams)]]/Table1[[#This Row],[BW_GA]])-1)/(Backend!$B$4/100*Table1[[#This Row],[BW40_3705]]),"")</f>
        <v/>
      </c>
      <c r="H5013" s="7" t="str">
        <f>IF(Table1[[#This Row],[Is Data Valid]]=TRUE,((Table1[[#This Row],[Birthweight (grams)]]*0.9/Table1[[#This Row],[BW_GA]])-1)/(Backend!$B$4/100*Table1[[#This Row],[BW40_3705]]),"")</f>
        <v/>
      </c>
      <c r="I5013" s="7" t="str">
        <f>IF(Table1[[#This Row],[Is Data Valid]]=TRUE,((Table1[[#This Row],[Birthweight (grams)]]*1.1/Table1[[#This Row],[BW_GA]])-1)/(Backend!$B$4/100*Table1[[#This Row],[BW40_3705]]),"")</f>
        <v/>
      </c>
      <c r="J5013" s="7" t="str">
        <f>IF(Table1[[#This Row],[Is Data Valid]]=TRUE,_xlfn.NORM.S.DIST(Table1[[#This Row],[Birthweight Z-Score]],TRUE)*100,"")</f>
        <v/>
      </c>
      <c r="K5013" s="7" t="str">
        <f>IF(Table1[[#This Row],[Is Data Valid]]=TRUE,_xlfn.NORM.S.DIST(Table1[[#This Row],[Birthweight Z-Score (BW-10%)]],TRUE)*100,"")</f>
        <v/>
      </c>
      <c r="L5013" s="7" t="str">
        <f>IF(Table1[[#This Row],[Is Data Valid]]=TRUE,_xlfn.NORM.S.DIST(Table1[[#This Row],[Birthweight Z-Score (BW+10%)]],TRUE)*100,"")</f>
        <v/>
      </c>
    </row>
    <row r="5014" spans="1:12" x14ac:dyDescent="0.35">
      <c r="A5014" s="3"/>
      <c r="B5014" s="2"/>
      <c r="C5014" s="2"/>
      <c r="D5014" s="2" t="b">
        <f>IF(AND(NOT(ISBLANK(Table1[[#This Row],[Fetal Sex (Male, Female or Unknown)]])),ISNUMBER(Table1[[#This Row],[Birthweight (grams)]]),ISNUMBER(Table1[[#This Row],[Gestation (days)]])),TRUE,FALSE)</f>
        <v>0</v>
      </c>
      <c r="E5014" s="2" t="str">
        <f>IF(Table1[[#This Row],[Is Data Valid]]=TRUE,IF(Table1[[#This Row],[Fetal Sex (Male, Female or Unknown)]]="Male",Backend!$C$6,IF(Table1[[#This Row],[Fetal Sex (Male, Female or Unknown)]]="Female",Backend!$C$7,IF(Table1[[#This Row],[Fetal Sex (Male, Female or Unknown)]]="Unknown",Backend!$C$8,"Error"))),"")</f>
        <v/>
      </c>
      <c r="F5014" s="8" t="str">
        <f>IF(Table1[[#This Row],[Is Data Valid]]=TRUE,EXP(0.578+0.332*((Table1[[#This Row],[Gestation (days)]]+0.5)/7)-0.00354*((Table1[[#This Row],[Gestation (days)]]+0.5)/7)^2)*Table1[[#This Row],[BW40_3705]],"")</f>
        <v/>
      </c>
      <c r="G5014" s="2" t="str">
        <f>IF(Table1[[#This Row],[Is Data Valid]]=TRUE,((Table1[[#This Row],[Birthweight (grams)]]/Table1[[#This Row],[BW_GA]])-1)/(Backend!$B$4/100*Table1[[#This Row],[BW40_3705]]),"")</f>
        <v/>
      </c>
      <c r="H5014" s="7" t="str">
        <f>IF(Table1[[#This Row],[Is Data Valid]]=TRUE,((Table1[[#This Row],[Birthweight (grams)]]*0.9/Table1[[#This Row],[BW_GA]])-1)/(Backend!$B$4/100*Table1[[#This Row],[BW40_3705]]),"")</f>
        <v/>
      </c>
      <c r="I5014" s="7" t="str">
        <f>IF(Table1[[#This Row],[Is Data Valid]]=TRUE,((Table1[[#This Row],[Birthweight (grams)]]*1.1/Table1[[#This Row],[BW_GA]])-1)/(Backend!$B$4/100*Table1[[#This Row],[BW40_3705]]),"")</f>
        <v/>
      </c>
      <c r="J5014" s="7" t="str">
        <f>IF(Table1[[#This Row],[Is Data Valid]]=TRUE,_xlfn.NORM.S.DIST(Table1[[#This Row],[Birthweight Z-Score]],TRUE)*100,"")</f>
        <v/>
      </c>
      <c r="K5014" s="7" t="str">
        <f>IF(Table1[[#This Row],[Is Data Valid]]=TRUE,_xlfn.NORM.S.DIST(Table1[[#This Row],[Birthweight Z-Score (BW-10%)]],TRUE)*100,"")</f>
        <v/>
      </c>
      <c r="L5014" s="7" t="str">
        <f>IF(Table1[[#This Row],[Is Data Valid]]=TRUE,_xlfn.NORM.S.DIST(Table1[[#This Row],[Birthweight Z-Score (BW+10%)]],TRUE)*100,"")</f>
        <v/>
      </c>
    </row>
    <row r="5015" spans="1:12" x14ac:dyDescent="0.35">
      <c r="A5015" s="3"/>
      <c r="B5015" s="2"/>
      <c r="C5015" s="2"/>
      <c r="D5015" s="2" t="b">
        <f>IF(AND(NOT(ISBLANK(Table1[[#This Row],[Fetal Sex (Male, Female or Unknown)]])),ISNUMBER(Table1[[#This Row],[Birthweight (grams)]]),ISNUMBER(Table1[[#This Row],[Gestation (days)]])),TRUE,FALSE)</f>
        <v>0</v>
      </c>
      <c r="E5015" s="2" t="str">
        <f>IF(Table1[[#This Row],[Is Data Valid]]=TRUE,IF(Table1[[#This Row],[Fetal Sex (Male, Female or Unknown)]]="Male",Backend!$C$6,IF(Table1[[#This Row],[Fetal Sex (Male, Female or Unknown)]]="Female",Backend!$C$7,IF(Table1[[#This Row],[Fetal Sex (Male, Female or Unknown)]]="Unknown",Backend!$C$8,"Error"))),"")</f>
        <v/>
      </c>
      <c r="F5015" s="8" t="str">
        <f>IF(Table1[[#This Row],[Is Data Valid]]=TRUE,EXP(0.578+0.332*((Table1[[#This Row],[Gestation (days)]]+0.5)/7)-0.00354*((Table1[[#This Row],[Gestation (days)]]+0.5)/7)^2)*Table1[[#This Row],[BW40_3705]],"")</f>
        <v/>
      </c>
      <c r="G5015" s="2" t="str">
        <f>IF(Table1[[#This Row],[Is Data Valid]]=TRUE,((Table1[[#This Row],[Birthweight (grams)]]/Table1[[#This Row],[BW_GA]])-1)/(Backend!$B$4/100*Table1[[#This Row],[BW40_3705]]),"")</f>
        <v/>
      </c>
      <c r="H5015" s="7" t="str">
        <f>IF(Table1[[#This Row],[Is Data Valid]]=TRUE,((Table1[[#This Row],[Birthweight (grams)]]*0.9/Table1[[#This Row],[BW_GA]])-1)/(Backend!$B$4/100*Table1[[#This Row],[BW40_3705]]),"")</f>
        <v/>
      </c>
      <c r="I5015" s="7" t="str">
        <f>IF(Table1[[#This Row],[Is Data Valid]]=TRUE,((Table1[[#This Row],[Birthweight (grams)]]*1.1/Table1[[#This Row],[BW_GA]])-1)/(Backend!$B$4/100*Table1[[#This Row],[BW40_3705]]),"")</f>
        <v/>
      </c>
      <c r="J5015" s="7" t="str">
        <f>IF(Table1[[#This Row],[Is Data Valid]]=TRUE,_xlfn.NORM.S.DIST(Table1[[#This Row],[Birthweight Z-Score]],TRUE)*100,"")</f>
        <v/>
      </c>
      <c r="K5015" s="7" t="str">
        <f>IF(Table1[[#This Row],[Is Data Valid]]=TRUE,_xlfn.NORM.S.DIST(Table1[[#This Row],[Birthweight Z-Score (BW-10%)]],TRUE)*100,"")</f>
        <v/>
      </c>
      <c r="L5015" s="7" t="str">
        <f>IF(Table1[[#This Row],[Is Data Valid]]=TRUE,_xlfn.NORM.S.DIST(Table1[[#This Row],[Birthweight Z-Score (BW+10%)]],TRUE)*100,"")</f>
        <v/>
      </c>
    </row>
    <row r="5016" spans="1:12" x14ac:dyDescent="0.35">
      <c r="A5016" s="3"/>
      <c r="B5016" s="2"/>
      <c r="C5016" s="2"/>
      <c r="D5016" s="2" t="b">
        <f>IF(AND(NOT(ISBLANK(Table1[[#This Row],[Fetal Sex (Male, Female or Unknown)]])),ISNUMBER(Table1[[#This Row],[Birthweight (grams)]]),ISNUMBER(Table1[[#This Row],[Gestation (days)]])),TRUE,FALSE)</f>
        <v>0</v>
      </c>
      <c r="E5016" s="2" t="str">
        <f>IF(Table1[[#This Row],[Is Data Valid]]=TRUE,IF(Table1[[#This Row],[Fetal Sex (Male, Female or Unknown)]]="Male",Backend!$C$6,IF(Table1[[#This Row],[Fetal Sex (Male, Female or Unknown)]]="Female",Backend!$C$7,IF(Table1[[#This Row],[Fetal Sex (Male, Female or Unknown)]]="Unknown",Backend!$C$8,"Error"))),"")</f>
        <v/>
      </c>
      <c r="F5016" s="8" t="str">
        <f>IF(Table1[[#This Row],[Is Data Valid]]=TRUE,EXP(0.578+0.332*((Table1[[#This Row],[Gestation (days)]]+0.5)/7)-0.00354*((Table1[[#This Row],[Gestation (days)]]+0.5)/7)^2)*Table1[[#This Row],[BW40_3705]],"")</f>
        <v/>
      </c>
      <c r="G5016" s="2" t="str">
        <f>IF(Table1[[#This Row],[Is Data Valid]]=TRUE,((Table1[[#This Row],[Birthweight (grams)]]/Table1[[#This Row],[BW_GA]])-1)/(Backend!$B$4/100*Table1[[#This Row],[BW40_3705]]),"")</f>
        <v/>
      </c>
      <c r="H5016" s="7" t="str">
        <f>IF(Table1[[#This Row],[Is Data Valid]]=TRUE,((Table1[[#This Row],[Birthweight (grams)]]*0.9/Table1[[#This Row],[BW_GA]])-1)/(Backend!$B$4/100*Table1[[#This Row],[BW40_3705]]),"")</f>
        <v/>
      </c>
      <c r="I5016" s="7" t="str">
        <f>IF(Table1[[#This Row],[Is Data Valid]]=TRUE,((Table1[[#This Row],[Birthweight (grams)]]*1.1/Table1[[#This Row],[BW_GA]])-1)/(Backend!$B$4/100*Table1[[#This Row],[BW40_3705]]),"")</f>
        <v/>
      </c>
      <c r="J5016" s="7" t="str">
        <f>IF(Table1[[#This Row],[Is Data Valid]]=TRUE,_xlfn.NORM.S.DIST(Table1[[#This Row],[Birthweight Z-Score]],TRUE)*100,"")</f>
        <v/>
      </c>
      <c r="K5016" s="7" t="str">
        <f>IF(Table1[[#This Row],[Is Data Valid]]=TRUE,_xlfn.NORM.S.DIST(Table1[[#This Row],[Birthweight Z-Score (BW-10%)]],TRUE)*100,"")</f>
        <v/>
      </c>
      <c r="L5016" s="7" t="str">
        <f>IF(Table1[[#This Row],[Is Data Valid]]=TRUE,_xlfn.NORM.S.DIST(Table1[[#This Row],[Birthweight Z-Score (BW+10%)]],TRUE)*100,"")</f>
        <v/>
      </c>
    </row>
    <row r="5017" spans="1:12" x14ac:dyDescent="0.35">
      <c r="A5017" s="3"/>
      <c r="B5017" s="2"/>
      <c r="C5017" s="2"/>
      <c r="D5017" s="2" t="b">
        <f>IF(AND(NOT(ISBLANK(Table1[[#This Row],[Fetal Sex (Male, Female or Unknown)]])),ISNUMBER(Table1[[#This Row],[Birthweight (grams)]]),ISNUMBER(Table1[[#This Row],[Gestation (days)]])),TRUE,FALSE)</f>
        <v>0</v>
      </c>
      <c r="E5017" s="2" t="str">
        <f>IF(Table1[[#This Row],[Is Data Valid]]=TRUE,IF(Table1[[#This Row],[Fetal Sex (Male, Female or Unknown)]]="Male",Backend!$C$6,IF(Table1[[#This Row],[Fetal Sex (Male, Female or Unknown)]]="Female",Backend!$C$7,IF(Table1[[#This Row],[Fetal Sex (Male, Female or Unknown)]]="Unknown",Backend!$C$8,"Error"))),"")</f>
        <v/>
      </c>
      <c r="F5017" s="8" t="str">
        <f>IF(Table1[[#This Row],[Is Data Valid]]=TRUE,EXP(0.578+0.332*((Table1[[#This Row],[Gestation (days)]]+0.5)/7)-0.00354*((Table1[[#This Row],[Gestation (days)]]+0.5)/7)^2)*Table1[[#This Row],[BW40_3705]],"")</f>
        <v/>
      </c>
      <c r="G5017" s="2" t="str">
        <f>IF(Table1[[#This Row],[Is Data Valid]]=TRUE,((Table1[[#This Row],[Birthweight (grams)]]/Table1[[#This Row],[BW_GA]])-1)/(Backend!$B$4/100*Table1[[#This Row],[BW40_3705]]),"")</f>
        <v/>
      </c>
      <c r="H5017" s="7" t="str">
        <f>IF(Table1[[#This Row],[Is Data Valid]]=TRUE,((Table1[[#This Row],[Birthweight (grams)]]*0.9/Table1[[#This Row],[BW_GA]])-1)/(Backend!$B$4/100*Table1[[#This Row],[BW40_3705]]),"")</f>
        <v/>
      </c>
      <c r="I5017" s="7" t="str">
        <f>IF(Table1[[#This Row],[Is Data Valid]]=TRUE,((Table1[[#This Row],[Birthweight (grams)]]*1.1/Table1[[#This Row],[BW_GA]])-1)/(Backend!$B$4/100*Table1[[#This Row],[BW40_3705]]),"")</f>
        <v/>
      </c>
      <c r="J5017" s="7" t="str">
        <f>IF(Table1[[#This Row],[Is Data Valid]]=TRUE,_xlfn.NORM.S.DIST(Table1[[#This Row],[Birthweight Z-Score]],TRUE)*100,"")</f>
        <v/>
      </c>
      <c r="K5017" s="7" t="str">
        <f>IF(Table1[[#This Row],[Is Data Valid]]=TRUE,_xlfn.NORM.S.DIST(Table1[[#This Row],[Birthweight Z-Score (BW-10%)]],TRUE)*100,"")</f>
        <v/>
      </c>
      <c r="L5017" s="7" t="str">
        <f>IF(Table1[[#This Row],[Is Data Valid]]=TRUE,_xlfn.NORM.S.DIST(Table1[[#This Row],[Birthweight Z-Score (BW+10%)]],TRUE)*100,"")</f>
        <v/>
      </c>
    </row>
    <row r="5018" spans="1:12" x14ac:dyDescent="0.35">
      <c r="A5018" s="3"/>
      <c r="B5018" s="2"/>
      <c r="C5018" s="2"/>
      <c r="D5018" s="2" t="b">
        <f>IF(AND(NOT(ISBLANK(Table1[[#This Row],[Fetal Sex (Male, Female or Unknown)]])),ISNUMBER(Table1[[#This Row],[Birthweight (grams)]]),ISNUMBER(Table1[[#This Row],[Gestation (days)]])),TRUE,FALSE)</f>
        <v>0</v>
      </c>
      <c r="E5018" s="2" t="str">
        <f>IF(Table1[[#This Row],[Is Data Valid]]=TRUE,IF(Table1[[#This Row],[Fetal Sex (Male, Female or Unknown)]]="Male",Backend!$C$6,IF(Table1[[#This Row],[Fetal Sex (Male, Female or Unknown)]]="Female",Backend!$C$7,IF(Table1[[#This Row],[Fetal Sex (Male, Female or Unknown)]]="Unknown",Backend!$C$8,"Error"))),"")</f>
        <v/>
      </c>
      <c r="F5018" s="8" t="str">
        <f>IF(Table1[[#This Row],[Is Data Valid]]=TRUE,EXP(0.578+0.332*((Table1[[#This Row],[Gestation (days)]]+0.5)/7)-0.00354*((Table1[[#This Row],[Gestation (days)]]+0.5)/7)^2)*Table1[[#This Row],[BW40_3705]],"")</f>
        <v/>
      </c>
      <c r="G5018" s="2" t="str">
        <f>IF(Table1[[#This Row],[Is Data Valid]]=TRUE,((Table1[[#This Row],[Birthweight (grams)]]/Table1[[#This Row],[BW_GA]])-1)/(Backend!$B$4/100*Table1[[#This Row],[BW40_3705]]),"")</f>
        <v/>
      </c>
      <c r="H5018" s="7" t="str">
        <f>IF(Table1[[#This Row],[Is Data Valid]]=TRUE,((Table1[[#This Row],[Birthweight (grams)]]*0.9/Table1[[#This Row],[BW_GA]])-1)/(Backend!$B$4/100*Table1[[#This Row],[BW40_3705]]),"")</f>
        <v/>
      </c>
      <c r="I5018" s="7" t="str">
        <f>IF(Table1[[#This Row],[Is Data Valid]]=TRUE,((Table1[[#This Row],[Birthweight (grams)]]*1.1/Table1[[#This Row],[BW_GA]])-1)/(Backend!$B$4/100*Table1[[#This Row],[BW40_3705]]),"")</f>
        <v/>
      </c>
      <c r="J5018" s="7" t="str">
        <f>IF(Table1[[#This Row],[Is Data Valid]]=TRUE,_xlfn.NORM.S.DIST(Table1[[#This Row],[Birthweight Z-Score]],TRUE)*100,"")</f>
        <v/>
      </c>
      <c r="K5018" s="7" t="str">
        <f>IF(Table1[[#This Row],[Is Data Valid]]=TRUE,_xlfn.NORM.S.DIST(Table1[[#This Row],[Birthweight Z-Score (BW-10%)]],TRUE)*100,"")</f>
        <v/>
      </c>
      <c r="L5018" s="7" t="str">
        <f>IF(Table1[[#This Row],[Is Data Valid]]=TRUE,_xlfn.NORM.S.DIST(Table1[[#This Row],[Birthweight Z-Score (BW+10%)]],TRUE)*100,"")</f>
        <v/>
      </c>
    </row>
    <row r="5019" spans="1:12" x14ac:dyDescent="0.35">
      <c r="A5019" s="3"/>
      <c r="B5019" s="2"/>
      <c r="C5019" s="2"/>
      <c r="D5019" s="2" t="b">
        <f>IF(AND(NOT(ISBLANK(Table1[[#This Row],[Fetal Sex (Male, Female or Unknown)]])),ISNUMBER(Table1[[#This Row],[Birthweight (grams)]]),ISNUMBER(Table1[[#This Row],[Gestation (days)]])),TRUE,FALSE)</f>
        <v>0</v>
      </c>
      <c r="E5019" s="2" t="str">
        <f>IF(Table1[[#This Row],[Is Data Valid]]=TRUE,IF(Table1[[#This Row],[Fetal Sex (Male, Female or Unknown)]]="Male",Backend!$C$6,IF(Table1[[#This Row],[Fetal Sex (Male, Female or Unknown)]]="Female",Backend!$C$7,IF(Table1[[#This Row],[Fetal Sex (Male, Female or Unknown)]]="Unknown",Backend!$C$8,"Error"))),"")</f>
        <v/>
      </c>
      <c r="F5019" s="8" t="str">
        <f>IF(Table1[[#This Row],[Is Data Valid]]=TRUE,EXP(0.578+0.332*((Table1[[#This Row],[Gestation (days)]]+0.5)/7)-0.00354*((Table1[[#This Row],[Gestation (days)]]+0.5)/7)^2)*Table1[[#This Row],[BW40_3705]],"")</f>
        <v/>
      </c>
      <c r="G5019" s="2" t="str">
        <f>IF(Table1[[#This Row],[Is Data Valid]]=TRUE,((Table1[[#This Row],[Birthweight (grams)]]/Table1[[#This Row],[BW_GA]])-1)/(Backend!$B$4/100*Table1[[#This Row],[BW40_3705]]),"")</f>
        <v/>
      </c>
      <c r="H5019" s="7" t="str">
        <f>IF(Table1[[#This Row],[Is Data Valid]]=TRUE,((Table1[[#This Row],[Birthweight (grams)]]*0.9/Table1[[#This Row],[BW_GA]])-1)/(Backend!$B$4/100*Table1[[#This Row],[BW40_3705]]),"")</f>
        <v/>
      </c>
      <c r="I5019" s="7" t="str">
        <f>IF(Table1[[#This Row],[Is Data Valid]]=TRUE,((Table1[[#This Row],[Birthweight (grams)]]*1.1/Table1[[#This Row],[BW_GA]])-1)/(Backend!$B$4/100*Table1[[#This Row],[BW40_3705]]),"")</f>
        <v/>
      </c>
      <c r="J5019" s="7" t="str">
        <f>IF(Table1[[#This Row],[Is Data Valid]]=TRUE,_xlfn.NORM.S.DIST(Table1[[#This Row],[Birthweight Z-Score]],TRUE)*100,"")</f>
        <v/>
      </c>
      <c r="K5019" s="7" t="str">
        <f>IF(Table1[[#This Row],[Is Data Valid]]=TRUE,_xlfn.NORM.S.DIST(Table1[[#This Row],[Birthweight Z-Score (BW-10%)]],TRUE)*100,"")</f>
        <v/>
      </c>
      <c r="L5019" s="7" t="str">
        <f>IF(Table1[[#This Row],[Is Data Valid]]=TRUE,_xlfn.NORM.S.DIST(Table1[[#This Row],[Birthweight Z-Score (BW+10%)]],TRUE)*100,"")</f>
        <v/>
      </c>
    </row>
    <row r="5020" spans="1:12" x14ac:dyDescent="0.35">
      <c r="A5020" s="3"/>
      <c r="B5020" s="2"/>
      <c r="C5020" s="2"/>
      <c r="D5020" s="2" t="b">
        <f>IF(AND(NOT(ISBLANK(Table1[[#This Row],[Fetal Sex (Male, Female or Unknown)]])),ISNUMBER(Table1[[#This Row],[Birthweight (grams)]]),ISNUMBER(Table1[[#This Row],[Gestation (days)]])),TRUE,FALSE)</f>
        <v>0</v>
      </c>
      <c r="E5020" s="2" t="str">
        <f>IF(Table1[[#This Row],[Is Data Valid]]=TRUE,IF(Table1[[#This Row],[Fetal Sex (Male, Female or Unknown)]]="Male",Backend!$C$6,IF(Table1[[#This Row],[Fetal Sex (Male, Female or Unknown)]]="Female",Backend!$C$7,IF(Table1[[#This Row],[Fetal Sex (Male, Female or Unknown)]]="Unknown",Backend!$C$8,"Error"))),"")</f>
        <v/>
      </c>
      <c r="F5020" s="8" t="str">
        <f>IF(Table1[[#This Row],[Is Data Valid]]=TRUE,EXP(0.578+0.332*((Table1[[#This Row],[Gestation (days)]]+0.5)/7)-0.00354*((Table1[[#This Row],[Gestation (days)]]+0.5)/7)^2)*Table1[[#This Row],[BW40_3705]],"")</f>
        <v/>
      </c>
      <c r="G5020" s="2" t="str">
        <f>IF(Table1[[#This Row],[Is Data Valid]]=TRUE,((Table1[[#This Row],[Birthweight (grams)]]/Table1[[#This Row],[BW_GA]])-1)/(Backend!$B$4/100*Table1[[#This Row],[BW40_3705]]),"")</f>
        <v/>
      </c>
      <c r="H5020" s="7" t="str">
        <f>IF(Table1[[#This Row],[Is Data Valid]]=TRUE,((Table1[[#This Row],[Birthweight (grams)]]*0.9/Table1[[#This Row],[BW_GA]])-1)/(Backend!$B$4/100*Table1[[#This Row],[BW40_3705]]),"")</f>
        <v/>
      </c>
      <c r="I5020" s="7" t="str">
        <f>IF(Table1[[#This Row],[Is Data Valid]]=TRUE,((Table1[[#This Row],[Birthweight (grams)]]*1.1/Table1[[#This Row],[BW_GA]])-1)/(Backend!$B$4/100*Table1[[#This Row],[BW40_3705]]),"")</f>
        <v/>
      </c>
      <c r="J5020" s="7" t="str">
        <f>IF(Table1[[#This Row],[Is Data Valid]]=TRUE,_xlfn.NORM.S.DIST(Table1[[#This Row],[Birthweight Z-Score]],TRUE)*100,"")</f>
        <v/>
      </c>
      <c r="K5020" s="7" t="str">
        <f>IF(Table1[[#This Row],[Is Data Valid]]=TRUE,_xlfn.NORM.S.DIST(Table1[[#This Row],[Birthweight Z-Score (BW-10%)]],TRUE)*100,"")</f>
        <v/>
      </c>
      <c r="L5020" s="7" t="str">
        <f>IF(Table1[[#This Row],[Is Data Valid]]=TRUE,_xlfn.NORM.S.DIST(Table1[[#This Row],[Birthweight Z-Score (BW+10%)]],TRUE)*100,"")</f>
        <v/>
      </c>
    </row>
    <row r="5021" spans="1:12" x14ac:dyDescent="0.35">
      <c r="A5021" s="3"/>
      <c r="B5021" s="2"/>
      <c r="C5021" s="2"/>
      <c r="D5021" s="2" t="b">
        <f>IF(AND(NOT(ISBLANK(Table1[[#This Row],[Fetal Sex (Male, Female or Unknown)]])),ISNUMBER(Table1[[#This Row],[Birthweight (grams)]]),ISNUMBER(Table1[[#This Row],[Gestation (days)]])),TRUE,FALSE)</f>
        <v>0</v>
      </c>
      <c r="E5021" s="2" t="str">
        <f>IF(Table1[[#This Row],[Is Data Valid]]=TRUE,IF(Table1[[#This Row],[Fetal Sex (Male, Female or Unknown)]]="Male",Backend!$C$6,IF(Table1[[#This Row],[Fetal Sex (Male, Female or Unknown)]]="Female",Backend!$C$7,IF(Table1[[#This Row],[Fetal Sex (Male, Female or Unknown)]]="Unknown",Backend!$C$8,"Error"))),"")</f>
        <v/>
      </c>
      <c r="F5021" s="8" t="str">
        <f>IF(Table1[[#This Row],[Is Data Valid]]=TRUE,EXP(0.578+0.332*((Table1[[#This Row],[Gestation (days)]]+0.5)/7)-0.00354*((Table1[[#This Row],[Gestation (days)]]+0.5)/7)^2)*Table1[[#This Row],[BW40_3705]],"")</f>
        <v/>
      </c>
      <c r="G5021" s="2" t="str">
        <f>IF(Table1[[#This Row],[Is Data Valid]]=TRUE,((Table1[[#This Row],[Birthweight (grams)]]/Table1[[#This Row],[BW_GA]])-1)/(Backend!$B$4/100*Table1[[#This Row],[BW40_3705]]),"")</f>
        <v/>
      </c>
      <c r="H5021" s="7" t="str">
        <f>IF(Table1[[#This Row],[Is Data Valid]]=TRUE,((Table1[[#This Row],[Birthweight (grams)]]*0.9/Table1[[#This Row],[BW_GA]])-1)/(Backend!$B$4/100*Table1[[#This Row],[BW40_3705]]),"")</f>
        <v/>
      </c>
      <c r="I5021" s="7" t="str">
        <f>IF(Table1[[#This Row],[Is Data Valid]]=TRUE,((Table1[[#This Row],[Birthweight (grams)]]*1.1/Table1[[#This Row],[BW_GA]])-1)/(Backend!$B$4/100*Table1[[#This Row],[BW40_3705]]),"")</f>
        <v/>
      </c>
      <c r="J5021" s="7" t="str">
        <f>IF(Table1[[#This Row],[Is Data Valid]]=TRUE,_xlfn.NORM.S.DIST(Table1[[#This Row],[Birthweight Z-Score]],TRUE)*100,"")</f>
        <v/>
      </c>
      <c r="K5021" s="7" t="str">
        <f>IF(Table1[[#This Row],[Is Data Valid]]=TRUE,_xlfn.NORM.S.DIST(Table1[[#This Row],[Birthweight Z-Score (BW-10%)]],TRUE)*100,"")</f>
        <v/>
      </c>
      <c r="L5021" s="7" t="str">
        <f>IF(Table1[[#This Row],[Is Data Valid]]=TRUE,_xlfn.NORM.S.DIST(Table1[[#This Row],[Birthweight Z-Score (BW+10%)]],TRUE)*100,"")</f>
        <v/>
      </c>
    </row>
    <row r="5022" spans="1:12" x14ac:dyDescent="0.35">
      <c r="A5022" s="3"/>
      <c r="B5022" s="2"/>
      <c r="C5022" s="2"/>
      <c r="D5022" s="2" t="b">
        <f>IF(AND(NOT(ISBLANK(Table1[[#This Row],[Fetal Sex (Male, Female or Unknown)]])),ISNUMBER(Table1[[#This Row],[Birthweight (grams)]]),ISNUMBER(Table1[[#This Row],[Gestation (days)]])),TRUE,FALSE)</f>
        <v>0</v>
      </c>
      <c r="E5022" s="2" t="str">
        <f>IF(Table1[[#This Row],[Is Data Valid]]=TRUE,IF(Table1[[#This Row],[Fetal Sex (Male, Female or Unknown)]]="Male",Backend!$C$6,IF(Table1[[#This Row],[Fetal Sex (Male, Female or Unknown)]]="Female",Backend!$C$7,IF(Table1[[#This Row],[Fetal Sex (Male, Female or Unknown)]]="Unknown",Backend!$C$8,"Error"))),"")</f>
        <v/>
      </c>
      <c r="F5022" s="8" t="str">
        <f>IF(Table1[[#This Row],[Is Data Valid]]=TRUE,EXP(0.578+0.332*((Table1[[#This Row],[Gestation (days)]]+0.5)/7)-0.00354*((Table1[[#This Row],[Gestation (days)]]+0.5)/7)^2)*Table1[[#This Row],[BW40_3705]],"")</f>
        <v/>
      </c>
      <c r="G5022" s="2" t="str">
        <f>IF(Table1[[#This Row],[Is Data Valid]]=TRUE,((Table1[[#This Row],[Birthweight (grams)]]/Table1[[#This Row],[BW_GA]])-1)/(Backend!$B$4/100*Table1[[#This Row],[BW40_3705]]),"")</f>
        <v/>
      </c>
      <c r="H5022" s="7" t="str">
        <f>IF(Table1[[#This Row],[Is Data Valid]]=TRUE,((Table1[[#This Row],[Birthweight (grams)]]*0.9/Table1[[#This Row],[BW_GA]])-1)/(Backend!$B$4/100*Table1[[#This Row],[BW40_3705]]),"")</f>
        <v/>
      </c>
      <c r="I5022" s="7" t="str">
        <f>IF(Table1[[#This Row],[Is Data Valid]]=TRUE,((Table1[[#This Row],[Birthweight (grams)]]*1.1/Table1[[#This Row],[BW_GA]])-1)/(Backend!$B$4/100*Table1[[#This Row],[BW40_3705]]),"")</f>
        <v/>
      </c>
      <c r="J5022" s="7" t="str">
        <f>IF(Table1[[#This Row],[Is Data Valid]]=TRUE,_xlfn.NORM.S.DIST(Table1[[#This Row],[Birthweight Z-Score]],TRUE)*100,"")</f>
        <v/>
      </c>
      <c r="K5022" s="7" t="str">
        <f>IF(Table1[[#This Row],[Is Data Valid]]=TRUE,_xlfn.NORM.S.DIST(Table1[[#This Row],[Birthweight Z-Score (BW-10%)]],TRUE)*100,"")</f>
        <v/>
      </c>
      <c r="L5022" s="7" t="str">
        <f>IF(Table1[[#This Row],[Is Data Valid]]=TRUE,_xlfn.NORM.S.DIST(Table1[[#This Row],[Birthweight Z-Score (BW+10%)]],TRUE)*100,"")</f>
        <v/>
      </c>
    </row>
    <row r="5023" spans="1:12" x14ac:dyDescent="0.35">
      <c r="A5023" s="3"/>
      <c r="B5023" s="2"/>
      <c r="C5023" s="2"/>
      <c r="D5023" s="2" t="b">
        <f>IF(AND(NOT(ISBLANK(Table1[[#This Row],[Fetal Sex (Male, Female or Unknown)]])),ISNUMBER(Table1[[#This Row],[Birthweight (grams)]]),ISNUMBER(Table1[[#This Row],[Gestation (days)]])),TRUE,FALSE)</f>
        <v>0</v>
      </c>
      <c r="E5023" s="2" t="str">
        <f>IF(Table1[[#This Row],[Is Data Valid]]=TRUE,IF(Table1[[#This Row],[Fetal Sex (Male, Female or Unknown)]]="Male",Backend!$C$6,IF(Table1[[#This Row],[Fetal Sex (Male, Female or Unknown)]]="Female",Backend!$C$7,IF(Table1[[#This Row],[Fetal Sex (Male, Female or Unknown)]]="Unknown",Backend!$C$8,"Error"))),"")</f>
        <v/>
      </c>
      <c r="F5023" s="8" t="str">
        <f>IF(Table1[[#This Row],[Is Data Valid]]=TRUE,EXP(0.578+0.332*((Table1[[#This Row],[Gestation (days)]]+0.5)/7)-0.00354*((Table1[[#This Row],[Gestation (days)]]+0.5)/7)^2)*Table1[[#This Row],[BW40_3705]],"")</f>
        <v/>
      </c>
      <c r="G5023" s="2" t="str">
        <f>IF(Table1[[#This Row],[Is Data Valid]]=TRUE,((Table1[[#This Row],[Birthweight (grams)]]/Table1[[#This Row],[BW_GA]])-1)/(Backend!$B$4/100*Table1[[#This Row],[BW40_3705]]),"")</f>
        <v/>
      </c>
      <c r="H5023" s="7" t="str">
        <f>IF(Table1[[#This Row],[Is Data Valid]]=TRUE,((Table1[[#This Row],[Birthweight (grams)]]*0.9/Table1[[#This Row],[BW_GA]])-1)/(Backend!$B$4/100*Table1[[#This Row],[BW40_3705]]),"")</f>
        <v/>
      </c>
      <c r="I5023" s="7" t="str">
        <f>IF(Table1[[#This Row],[Is Data Valid]]=TRUE,((Table1[[#This Row],[Birthweight (grams)]]*1.1/Table1[[#This Row],[BW_GA]])-1)/(Backend!$B$4/100*Table1[[#This Row],[BW40_3705]]),"")</f>
        <v/>
      </c>
      <c r="J5023" s="7" t="str">
        <f>IF(Table1[[#This Row],[Is Data Valid]]=TRUE,_xlfn.NORM.S.DIST(Table1[[#This Row],[Birthweight Z-Score]],TRUE)*100,"")</f>
        <v/>
      </c>
      <c r="K5023" s="7" t="str">
        <f>IF(Table1[[#This Row],[Is Data Valid]]=TRUE,_xlfn.NORM.S.DIST(Table1[[#This Row],[Birthweight Z-Score (BW-10%)]],TRUE)*100,"")</f>
        <v/>
      </c>
      <c r="L5023" s="7" t="str">
        <f>IF(Table1[[#This Row],[Is Data Valid]]=TRUE,_xlfn.NORM.S.DIST(Table1[[#This Row],[Birthweight Z-Score (BW+10%)]],TRUE)*100,"")</f>
        <v/>
      </c>
    </row>
    <row r="5024" spans="1:12" x14ac:dyDescent="0.35">
      <c r="A5024" s="3"/>
      <c r="B5024" s="2"/>
      <c r="C5024" s="2"/>
      <c r="D5024" s="2" t="b">
        <f>IF(AND(NOT(ISBLANK(Table1[[#This Row],[Fetal Sex (Male, Female or Unknown)]])),ISNUMBER(Table1[[#This Row],[Birthweight (grams)]]),ISNUMBER(Table1[[#This Row],[Gestation (days)]])),TRUE,FALSE)</f>
        <v>0</v>
      </c>
      <c r="E5024" s="2" t="str">
        <f>IF(Table1[[#This Row],[Is Data Valid]]=TRUE,IF(Table1[[#This Row],[Fetal Sex (Male, Female or Unknown)]]="Male",Backend!$C$6,IF(Table1[[#This Row],[Fetal Sex (Male, Female or Unknown)]]="Female",Backend!$C$7,IF(Table1[[#This Row],[Fetal Sex (Male, Female or Unknown)]]="Unknown",Backend!$C$8,"Error"))),"")</f>
        <v/>
      </c>
      <c r="F5024" s="8" t="str">
        <f>IF(Table1[[#This Row],[Is Data Valid]]=TRUE,EXP(0.578+0.332*((Table1[[#This Row],[Gestation (days)]]+0.5)/7)-0.00354*((Table1[[#This Row],[Gestation (days)]]+0.5)/7)^2)*Table1[[#This Row],[BW40_3705]],"")</f>
        <v/>
      </c>
      <c r="G5024" s="2" t="str">
        <f>IF(Table1[[#This Row],[Is Data Valid]]=TRUE,((Table1[[#This Row],[Birthweight (grams)]]/Table1[[#This Row],[BW_GA]])-1)/(Backend!$B$4/100*Table1[[#This Row],[BW40_3705]]),"")</f>
        <v/>
      </c>
      <c r="H5024" s="7" t="str">
        <f>IF(Table1[[#This Row],[Is Data Valid]]=TRUE,((Table1[[#This Row],[Birthweight (grams)]]*0.9/Table1[[#This Row],[BW_GA]])-1)/(Backend!$B$4/100*Table1[[#This Row],[BW40_3705]]),"")</f>
        <v/>
      </c>
      <c r="I5024" s="7" t="str">
        <f>IF(Table1[[#This Row],[Is Data Valid]]=TRUE,((Table1[[#This Row],[Birthweight (grams)]]*1.1/Table1[[#This Row],[BW_GA]])-1)/(Backend!$B$4/100*Table1[[#This Row],[BW40_3705]]),"")</f>
        <v/>
      </c>
      <c r="J5024" s="7" t="str">
        <f>IF(Table1[[#This Row],[Is Data Valid]]=TRUE,_xlfn.NORM.S.DIST(Table1[[#This Row],[Birthweight Z-Score]],TRUE)*100,"")</f>
        <v/>
      </c>
      <c r="K5024" s="7" t="str">
        <f>IF(Table1[[#This Row],[Is Data Valid]]=TRUE,_xlfn.NORM.S.DIST(Table1[[#This Row],[Birthweight Z-Score (BW-10%)]],TRUE)*100,"")</f>
        <v/>
      </c>
      <c r="L5024" s="7" t="str">
        <f>IF(Table1[[#This Row],[Is Data Valid]]=TRUE,_xlfn.NORM.S.DIST(Table1[[#This Row],[Birthweight Z-Score (BW+10%)]],TRUE)*100,"")</f>
        <v/>
      </c>
    </row>
    <row r="5025" spans="1:12" x14ac:dyDescent="0.35">
      <c r="A5025" s="3"/>
      <c r="B5025" s="2"/>
      <c r="C5025" s="2"/>
      <c r="D5025" s="2" t="b">
        <f>IF(AND(NOT(ISBLANK(Table1[[#This Row],[Fetal Sex (Male, Female or Unknown)]])),ISNUMBER(Table1[[#This Row],[Birthweight (grams)]]),ISNUMBER(Table1[[#This Row],[Gestation (days)]])),TRUE,FALSE)</f>
        <v>0</v>
      </c>
      <c r="E5025" s="2" t="str">
        <f>IF(Table1[[#This Row],[Is Data Valid]]=TRUE,IF(Table1[[#This Row],[Fetal Sex (Male, Female or Unknown)]]="Male",Backend!$C$6,IF(Table1[[#This Row],[Fetal Sex (Male, Female or Unknown)]]="Female",Backend!$C$7,IF(Table1[[#This Row],[Fetal Sex (Male, Female or Unknown)]]="Unknown",Backend!$C$8,"Error"))),"")</f>
        <v/>
      </c>
      <c r="F5025" s="8" t="str">
        <f>IF(Table1[[#This Row],[Is Data Valid]]=TRUE,EXP(0.578+0.332*((Table1[[#This Row],[Gestation (days)]]+0.5)/7)-0.00354*((Table1[[#This Row],[Gestation (days)]]+0.5)/7)^2)*Table1[[#This Row],[BW40_3705]],"")</f>
        <v/>
      </c>
      <c r="G5025" s="2" t="str">
        <f>IF(Table1[[#This Row],[Is Data Valid]]=TRUE,((Table1[[#This Row],[Birthweight (grams)]]/Table1[[#This Row],[BW_GA]])-1)/(Backend!$B$4/100*Table1[[#This Row],[BW40_3705]]),"")</f>
        <v/>
      </c>
      <c r="H5025" s="7" t="str">
        <f>IF(Table1[[#This Row],[Is Data Valid]]=TRUE,((Table1[[#This Row],[Birthweight (grams)]]*0.9/Table1[[#This Row],[BW_GA]])-1)/(Backend!$B$4/100*Table1[[#This Row],[BW40_3705]]),"")</f>
        <v/>
      </c>
      <c r="I5025" s="7" t="str">
        <f>IF(Table1[[#This Row],[Is Data Valid]]=TRUE,((Table1[[#This Row],[Birthweight (grams)]]*1.1/Table1[[#This Row],[BW_GA]])-1)/(Backend!$B$4/100*Table1[[#This Row],[BW40_3705]]),"")</f>
        <v/>
      </c>
      <c r="J5025" s="7" t="str">
        <f>IF(Table1[[#This Row],[Is Data Valid]]=TRUE,_xlfn.NORM.S.DIST(Table1[[#This Row],[Birthweight Z-Score]],TRUE)*100,"")</f>
        <v/>
      </c>
      <c r="K5025" s="7" t="str">
        <f>IF(Table1[[#This Row],[Is Data Valid]]=TRUE,_xlfn.NORM.S.DIST(Table1[[#This Row],[Birthweight Z-Score (BW-10%)]],TRUE)*100,"")</f>
        <v/>
      </c>
      <c r="L5025" s="7" t="str">
        <f>IF(Table1[[#This Row],[Is Data Valid]]=TRUE,_xlfn.NORM.S.DIST(Table1[[#This Row],[Birthweight Z-Score (BW+10%)]],TRUE)*100,"")</f>
        <v/>
      </c>
    </row>
    <row r="5026" spans="1:12" x14ac:dyDescent="0.35">
      <c r="A5026" s="3"/>
      <c r="B5026" s="2"/>
      <c r="C5026" s="2"/>
      <c r="D5026" s="2" t="b">
        <f>IF(AND(NOT(ISBLANK(Table1[[#This Row],[Fetal Sex (Male, Female or Unknown)]])),ISNUMBER(Table1[[#This Row],[Birthweight (grams)]]),ISNUMBER(Table1[[#This Row],[Gestation (days)]])),TRUE,FALSE)</f>
        <v>0</v>
      </c>
      <c r="E5026" s="2" t="str">
        <f>IF(Table1[[#This Row],[Is Data Valid]]=TRUE,IF(Table1[[#This Row],[Fetal Sex (Male, Female or Unknown)]]="Male",Backend!$C$6,IF(Table1[[#This Row],[Fetal Sex (Male, Female or Unknown)]]="Female",Backend!$C$7,IF(Table1[[#This Row],[Fetal Sex (Male, Female or Unknown)]]="Unknown",Backend!$C$8,"Error"))),"")</f>
        <v/>
      </c>
      <c r="F5026" s="8" t="str">
        <f>IF(Table1[[#This Row],[Is Data Valid]]=TRUE,EXP(0.578+0.332*((Table1[[#This Row],[Gestation (days)]]+0.5)/7)-0.00354*((Table1[[#This Row],[Gestation (days)]]+0.5)/7)^2)*Table1[[#This Row],[BW40_3705]],"")</f>
        <v/>
      </c>
      <c r="G5026" s="2" t="str">
        <f>IF(Table1[[#This Row],[Is Data Valid]]=TRUE,((Table1[[#This Row],[Birthweight (grams)]]/Table1[[#This Row],[BW_GA]])-1)/(Backend!$B$4/100*Table1[[#This Row],[BW40_3705]]),"")</f>
        <v/>
      </c>
      <c r="H5026" s="7" t="str">
        <f>IF(Table1[[#This Row],[Is Data Valid]]=TRUE,((Table1[[#This Row],[Birthweight (grams)]]*0.9/Table1[[#This Row],[BW_GA]])-1)/(Backend!$B$4/100*Table1[[#This Row],[BW40_3705]]),"")</f>
        <v/>
      </c>
      <c r="I5026" s="7" t="str">
        <f>IF(Table1[[#This Row],[Is Data Valid]]=TRUE,((Table1[[#This Row],[Birthweight (grams)]]*1.1/Table1[[#This Row],[BW_GA]])-1)/(Backend!$B$4/100*Table1[[#This Row],[BW40_3705]]),"")</f>
        <v/>
      </c>
      <c r="J5026" s="7" t="str">
        <f>IF(Table1[[#This Row],[Is Data Valid]]=TRUE,_xlfn.NORM.S.DIST(Table1[[#This Row],[Birthweight Z-Score]],TRUE)*100,"")</f>
        <v/>
      </c>
      <c r="K5026" s="7" t="str">
        <f>IF(Table1[[#This Row],[Is Data Valid]]=TRUE,_xlfn.NORM.S.DIST(Table1[[#This Row],[Birthweight Z-Score (BW-10%)]],TRUE)*100,"")</f>
        <v/>
      </c>
      <c r="L5026" s="7" t="str">
        <f>IF(Table1[[#This Row],[Is Data Valid]]=TRUE,_xlfn.NORM.S.DIST(Table1[[#This Row],[Birthweight Z-Score (BW+10%)]],TRUE)*100,"")</f>
        <v/>
      </c>
    </row>
    <row r="5027" spans="1:12" x14ac:dyDescent="0.35">
      <c r="A5027" s="3"/>
      <c r="B5027" s="2"/>
      <c r="C5027" s="2"/>
      <c r="D5027" s="2" t="b">
        <f>IF(AND(NOT(ISBLANK(Table1[[#This Row],[Fetal Sex (Male, Female or Unknown)]])),ISNUMBER(Table1[[#This Row],[Birthweight (grams)]]),ISNUMBER(Table1[[#This Row],[Gestation (days)]])),TRUE,FALSE)</f>
        <v>0</v>
      </c>
      <c r="E5027" s="2" t="str">
        <f>IF(Table1[[#This Row],[Is Data Valid]]=TRUE,IF(Table1[[#This Row],[Fetal Sex (Male, Female or Unknown)]]="Male",Backend!$C$6,IF(Table1[[#This Row],[Fetal Sex (Male, Female or Unknown)]]="Female",Backend!$C$7,IF(Table1[[#This Row],[Fetal Sex (Male, Female or Unknown)]]="Unknown",Backend!$C$8,"Error"))),"")</f>
        <v/>
      </c>
      <c r="F5027" s="8" t="str">
        <f>IF(Table1[[#This Row],[Is Data Valid]]=TRUE,EXP(0.578+0.332*((Table1[[#This Row],[Gestation (days)]]+0.5)/7)-0.00354*((Table1[[#This Row],[Gestation (days)]]+0.5)/7)^2)*Table1[[#This Row],[BW40_3705]],"")</f>
        <v/>
      </c>
      <c r="G5027" s="2" t="str">
        <f>IF(Table1[[#This Row],[Is Data Valid]]=TRUE,((Table1[[#This Row],[Birthweight (grams)]]/Table1[[#This Row],[BW_GA]])-1)/(Backend!$B$4/100*Table1[[#This Row],[BW40_3705]]),"")</f>
        <v/>
      </c>
      <c r="H5027" s="7" t="str">
        <f>IF(Table1[[#This Row],[Is Data Valid]]=TRUE,((Table1[[#This Row],[Birthweight (grams)]]*0.9/Table1[[#This Row],[BW_GA]])-1)/(Backend!$B$4/100*Table1[[#This Row],[BW40_3705]]),"")</f>
        <v/>
      </c>
      <c r="I5027" s="7" t="str">
        <f>IF(Table1[[#This Row],[Is Data Valid]]=TRUE,((Table1[[#This Row],[Birthweight (grams)]]*1.1/Table1[[#This Row],[BW_GA]])-1)/(Backend!$B$4/100*Table1[[#This Row],[BW40_3705]]),"")</f>
        <v/>
      </c>
      <c r="J5027" s="7" t="str">
        <f>IF(Table1[[#This Row],[Is Data Valid]]=TRUE,_xlfn.NORM.S.DIST(Table1[[#This Row],[Birthweight Z-Score]],TRUE)*100,"")</f>
        <v/>
      </c>
      <c r="K5027" s="7" t="str">
        <f>IF(Table1[[#This Row],[Is Data Valid]]=TRUE,_xlfn.NORM.S.DIST(Table1[[#This Row],[Birthweight Z-Score (BW-10%)]],TRUE)*100,"")</f>
        <v/>
      </c>
      <c r="L5027" s="7" t="str">
        <f>IF(Table1[[#This Row],[Is Data Valid]]=TRUE,_xlfn.NORM.S.DIST(Table1[[#This Row],[Birthweight Z-Score (BW+10%)]],TRUE)*100,"")</f>
        <v/>
      </c>
    </row>
    <row r="5028" spans="1:12" x14ac:dyDescent="0.35">
      <c r="A5028" s="3"/>
      <c r="B5028" s="2"/>
      <c r="C5028" s="2"/>
      <c r="D5028" s="2" t="b">
        <f>IF(AND(NOT(ISBLANK(Table1[[#This Row],[Fetal Sex (Male, Female or Unknown)]])),ISNUMBER(Table1[[#This Row],[Birthweight (grams)]]),ISNUMBER(Table1[[#This Row],[Gestation (days)]])),TRUE,FALSE)</f>
        <v>0</v>
      </c>
      <c r="E5028" s="2" t="str">
        <f>IF(Table1[[#This Row],[Is Data Valid]]=TRUE,IF(Table1[[#This Row],[Fetal Sex (Male, Female or Unknown)]]="Male",Backend!$C$6,IF(Table1[[#This Row],[Fetal Sex (Male, Female or Unknown)]]="Female",Backend!$C$7,IF(Table1[[#This Row],[Fetal Sex (Male, Female or Unknown)]]="Unknown",Backend!$C$8,"Error"))),"")</f>
        <v/>
      </c>
      <c r="F5028" s="8" t="str">
        <f>IF(Table1[[#This Row],[Is Data Valid]]=TRUE,EXP(0.578+0.332*((Table1[[#This Row],[Gestation (days)]]+0.5)/7)-0.00354*((Table1[[#This Row],[Gestation (days)]]+0.5)/7)^2)*Table1[[#This Row],[BW40_3705]],"")</f>
        <v/>
      </c>
      <c r="G5028" s="2" t="str">
        <f>IF(Table1[[#This Row],[Is Data Valid]]=TRUE,((Table1[[#This Row],[Birthweight (grams)]]/Table1[[#This Row],[BW_GA]])-1)/(Backend!$B$4/100*Table1[[#This Row],[BW40_3705]]),"")</f>
        <v/>
      </c>
      <c r="H5028" s="7" t="str">
        <f>IF(Table1[[#This Row],[Is Data Valid]]=TRUE,((Table1[[#This Row],[Birthweight (grams)]]*0.9/Table1[[#This Row],[BW_GA]])-1)/(Backend!$B$4/100*Table1[[#This Row],[BW40_3705]]),"")</f>
        <v/>
      </c>
      <c r="I5028" s="7" t="str">
        <f>IF(Table1[[#This Row],[Is Data Valid]]=TRUE,((Table1[[#This Row],[Birthweight (grams)]]*1.1/Table1[[#This Row],[BW_GA]])-1)/(Backend!$B$4/100*Table1[[#This Row],[BW40_3705]]),"")</f>
        <v/>
      </c>
      <c r="J5028" s="7" t="str">
        <f>IF(Table1[[#This Row],[Is Data Valid]]=TRUE,_xlfn.NORM.S.DIST(Table1[[#This Row],[Birthweight Z-Score]],TRUE)*100,"")</f>
        <v/>
      </c>
      <c r="K5028" s="7" t="str">
        <f>IF(Table1[[#This Row],[Is Data Valid]]=TRUE,_xlfn.NORM.S.DIST(Table1[[#This Row],[Birthweight Z-Score (BW-10%)]],TRUE)*100,"")</f>
        <v/>
      </c>
      <c r="L5028" s="7" t="str">
        <f>IF(Table1[[#This Row],[Is Data Valid]]=TRUE,_xlfn.NORM.S.DIST(Table1[[#This Row],[Birthweight Z-Score (BW+10%)]],TRUE)*100,"")</f>
        <v/>
      </c>
    </row>
    <row r="5029" spans="1:12" x14ac:dyDescent="0.35">
      <c r="A5029" s="3"/>
      <c r="B5029" s="2"/>
      <c r="C5029" s="2"/>
      <c r="D5029" s="2" t="b">
        <f>IF(AND(NOT(ISBLANK(Table1[[#This Row],[Fetal Sex (Male, Female or Unknown)]])),ISNUMBER(Table1[[#This Row],[Birthweight (grams)]]),ISNUMBER(Table1[[#This Row],[Gestation (days)]])),TRUE,FALSE)</f>
        <v>0</v>
      </c>
      <c r="E5029" s="2" t="str">
        <f>IF(Table1[[#This Row],[Is Data Valid]]=TRUE,IF(Table1[[#This Row],[Fetal Sex (Male, Female or Unknown)]]="Male",Backend!$C$6,IF(Table1[[#This Row],[Fetal Sex (Male, Female or Unknown)]]="Female",Backend!$C$7,IF(Table1[[#This Row],[Fetal Sex (Male, Female or Unknown)]]="Unknown",Backend!$C$8,"Error"))),"")</f>
        <v/>
      </c>
      <c r="F5029" s="8" t="str">
        <f>IF(Table1[[#This Row],[Is Data Valid]]=TRUE,EXP(0.578+0.332*((Table1[[#This Row],[Gestation (days)]]+0.5)/7)-0.00354*((Table1[[#This Row],[Gestation (days)]]+0.5)/7)^2)*Table1[[#This Row],[BW40_3705]],"")</f>
        <v/>
      </c>
      <c r="G5029" s="2" t="str">
        <f>IF(Table1[[#This Row],[Is Data Valid]]=TRUE,((Table1[[#This Row],[Birthweight (grams)]]/Table1[[#This Row],[BW_GA]])-1)/(Backend!$B$4/100*Table1[[#This Row],[BW40_3705]]),"")</f>
        <v/>
      </c>
      <c r="H5029" s="7" t="str">
        <f>IF(Table1[[#This Row],[Is Data Valid]]=TRUE,((Table1[[#This Row],[Birthweight (grams)]]*0.9/Table1[[#This Row],[BW_GA]])-1)/(Backend!$B$4/100*Table1[[#This Row],[BW40_3705]]),"")</f>
        <v/>
      </c>
      <c r="I5029" s="7" t="str">
        <f>IF(Table1[[#This Row],[Is Data Valid]]=TRUE,((Table1[[#This Row],[Birthweight (grams)]]*1.1/Table1[[#This Row],[BW_GA]])-1)/(Backend!$B$4/100*Table1[[#This Row],[BW40_3705]]),"")</f>
        <v/>
      </c>
      <c r="J5029" s="7" t="str">
        <f>IF(Table1[[#This Row],[Is Data Valid]]=TRUE,_xlfn.NORM.S.DIST(Table1[[#This Row],[Birthweight Z-Score]],TRUE)*100,"")</f>
        <v/>
      </c>
      <c r="K5029" s="7" t="str">
        <f>IF(Table1[[#This Row],[Is Data Valid]]=TRUE,_xlfn.NORM.S.DIST(Table1[[#This Row],[Birthweight Z-Score (BW-10%)]],TRUE)*100,"")</f>
        <v/>
      </c>
      <c r="L5029" s="7" t="str">
        <f>IF(Table1[[#This Row],[Is Data Valid]]=TRUE,_xlfn.NORM.S.DIST(Table1[[#This Row],[Birthweight Z-Score (BW+10%)]],TRUE)*100,"")</f>
        <v/>
      </c>
    </row>
    <row r="5030" spans="1:12" x14ac:dyDescent="0.35">
      <c r="A5030" s="3"/>
      <c r="B5030" s="2"/>
      <c r="C5030" s="2"/>
      <c r="D5030" s="2" t="b">
        <f>IF(AND(NOT(ISBLANK(Table1[[#This Row],[Fetal Sex (Male, Female or Unknown)]])),ISNUMBER(Table1[[#This Row],[Birthweight (grams)]]),ISNUMBER(Table1[[#This Row],[Gestation (days)]])),TRUE,FALSE)</f>
        <v>0</v>
      </c>
      <c r="E5030" s="2" t="str">
        <f>IF(Table1[[#This Row],[Is Data Valid]]=TRUE,IF(Table1[[#This Row],[Fetal Sex (Male, Female or Unknown)]]="Male",Backend!$C$6,IF(Table1[[#This Row],[Fetal Sex (Male, Female or Unknown)]]="Female",Backend!$C$7,IF(Table1[[#This Row],[Fetal Sex (Male, Female or Unknown)]]="Unknown",Backend!$C$8,"Error"))),"")</f>
        <v/>
      </c>
      <c r="F5030" s="8" t="str">
        <f>IF(Table1[[#This Row],[Is Data Valid]]=TRUE,EXP(0.578+0.332*((Table1[[#This Row],[Gestation (days)]]+0.5)/7)-0.00354*((Table1[[#This Row],[Gestation (days)]]+0.5)/7)^2)*Table1[[#This Row],[BW40_3705]],"")</f>
        <v/>
      </c>
      <c r="G5030" s="2" t="str">
        <f>IF(Table1[[#This Row],[Is Data Valid]]=TRUE,((Table1[[#This Row],[Birthweight (grams)]]/Table1[[#This Row],[BW_GA]])-1)/(Backend!$B$4/100*Table1[[#This Row],[BW40_3705]]),"")</f>
        <v/>
      </c>
      <c r="H5030" s="7" t="str">
        <f>IF(Table1[[#This Row],[Is Data Valid]]=TRUE,((Table1[[#This Row],[Birthweight (grams)]]*0.9/Table1[[#This Row],[BW_GA]])-1)/(Backend!$B$4/100*Table1[[#This Row],[BW40_3705]]),"")</f>
        <v/>
      </c>
      <c r="I5030" s="7" t="str">
        <f>IF(Table1[[#This Row],[Is Data Valid]]=TRUE,((Table1[[#This Row],[Birthweight (grams)]]*1.1/Table1[[#This Row],[BW_GA]])-1)/(Backend!$B$4/100*Table1[[#This Row],[BW40_3705]]),"")</f>
        <v/>
      </c>
      <c r="J5030" s="7" t="str">
        <f>IF(Table1[[#This Row],[Is Data Valid]]=TRUE,_xlfn.NORM.S.DIST(Table1[[#This Row],[Birthweight Z-Score]],TRUE)*100,"")</f>
        <v/>
      </c>
      <c r="K5030" s="7" t="str">
        <f>IF(Table1[[#This Row],[Is Data Valid]]=TRUE,_xlfn.NORM.S.DIST(Table1[[#This Row],[Birthweight Z-Score (BW-10%)]],TRUE)*100,"")</f>
        <v/>
      </c>
      <c r="L5030" s="7" t="str">
        <f>IF(Table1[[#This Row],[Is Data Valid]]=TRUE,_xlfn.NORM.S.DIST(Table1[[#This Row],[Birthweight Z-Score (BW+10%)]],TRUE)*100,"")</f>
        <v/>
      </c>
    </row>
    <row r="5031" spans="1:12" x14ac:dyDescent="0.35">
      <c r="A5031" s="3"/>
      <c r="B5031" s="2"/>
      <c r="C5031" s="2"/>
      <c r="D5031" s="2" t="b">
        <f>IF(AND(NOT(ISBLANK(Table1[[#This Row],[Fetal Sex (Male, Female or Unknown)]])),ISNUMBER(Table1[[#This Row],[Birthweight (grams)]]),ISNUMBER(Table1[[#This Row],[Gestation (days)]])),TRUE,FALSE)</f>
        <v>0</v>
      </c>
      <c r="E5031" s="2" t="str">
        <f>IF(Table1[[#This Row],[Is Data Valid]]=TRUE,IF(Table1[[#This Row],[Fetal Sex (Male, Female or Unknown)]]="Male",Backend!$C$6,IF(Table1[[#This Row],[Fetal Sex (Male, Female or Unknown)]]="Female",Backend!$C$7,IF(Table1[[#This Row],[Fetal Sex (Male, Female or Unknown)]]="Unknown",Backend!$C$8,"Error"))),"")</f>
        <v/>
      </c>
      <c r="F5031" s="8" t="str">
        <f>IF(Table1[[#This Row],[Is Data Valid]]=TRUE,EXP(0.578+0.332*((Table1[[#This Row],[Gestation (days)]]+0.5)/7)-0.00354*((Table1[[#This Row],[Gestation (days)]]+0.5)/7)^2)*Table1[[#This Row],[BW40_3705]],"")</f>
        <v/>
      </c>
      <c r="G5031" s="2" t="str">
        <f>IF(Table1[[#This Row],[Is Data Valid]]=TRUE,((Table1[[#This Row],[Birthweight (grams)]]/Table1[[#This Row],[BW_GA]])-1)/(Backend!$B$4/100*Table1[[#This Row],[BW40_3705]]),"")</f>
        <v/>
      </c>
      <c r="H5031" s="7" t="str">
        <f>IF(Table1[[#This Row],[Is Data Valid]]=TRUE,((Table1[[#This Row],[Birthweight (grams)]]*0.9/Table1[[#This Row],[BW_GA]])-1)/(Backend!$B$4/100*Table1[[#This Row],[BW40_3705]]),"")</f>
        <v/>
      </c>
      <c r="I5031" s="7" t="str">
        <f>IF(Table1[[#This Row],[Is Data Valid]]=TRUE,((Table1[[#This Row],[Birthweight (grams)]]*1.1/Table1[[#This Row],[BW_GA]])-1)/(Backend!$B$4/100*Table1[[#This Row],[BW40_3705]]),"")</f>
        <v/>
      </c>
      <c r="J5031" s="7" t="str">
        <f>IF(Table1[[#This Row],[Is Data Valid]]=TRUE,_xlfn.NORM.S.DIST(Table1[[#This Row],[Birthweight Z-Score]],TRUE)*100,"")</f>
        <v/>
      </c>
      <c r="K5031" s="7" t="str">
        <f>IF(Table1[[#This Row],[Is Data Valid]]=TRUE,_xlfn.NORM.S.DIST(Table1[[#This Row],[Birthweight Z-Score (BW-10%)]],TRUE)*100,"")</f>
        <v/>
      </c>
      <c r="L5031" s="7" t="str">
        <f>IF(Table1[[#This Row],[Is Data Valid]]=TRUE,_xlfn.NORM.S.DIST(Table1[[#This Row],[Birthweight Z-Score (BW+10%)]],TRUE)*100,"")</f>
        <v/>
      </c>
    </row>
    <row r="5032" spans="1:12" x14ac:dyDescent="0.35">
      <c r="A5032" s="3"/>
      <c r="B5032" s="2"/>
      <c r="C5032" s="2"/>
      <c r="D5032" s="2" t="b">
        <f>IF(AND(NOT(ISBLANK(Table1[[#This Row],[Fetal Sex (Male, Female or Unknown)]])),ISNUMBER(Table1[[#This Row],[Birthweight (grams)]]),ISNUMBER(Table1[[#This Row],[Gestation (days)]])),TRUE,FALSE)</f>
        <v>0</v>
      </c>
      <c r="E5032" s="2" t="str">
        <f>IF(Table1[[#This Row],[Is Data Valid]]=TRUE,IF(Table1[[#This Row],[Fetal Sex (Male, Female or Unknown)]]="Male",Backend!$C$6,IF(Table1[[#This Row],[Fetal Sex (Male, Female or Unknown)]]="Female",Backend!$C$7,IF(Table1[[#This Row],[Fetal Sex (Male, Female or Unknown)]]="Unknown",Backend!$C$8,"Error"))),"")</f>
        <v/>
      </c>
      <c r="F5032" s="8" t="str">
        <f>IF(Table1[[#This Row],[Is Data Valid]]=TRUE,EXP(0.578+0.332*((Table1[[#This Row],[Gestation (days)]]+0.5)/7)-0.00354*((Table1[[#This Row],[Gestation (days)]]+0.5)/7)^2)*Table1[[#This Row],[BW40_3705]],"")</f>
        <v/>
      </c>
      <c r="G5032" s="2" t="str">
        <f>IF(Table1[[#This Row],[Is Data Valid]]=TRUE,((Table1[[#This Row],[Birthweight (grams)]]/Table1[[#This Row],[BW_GA]])-1)/(Backend!$B$4/100*Table1[[#This Row],[BW40_3705]]),"")</f>
        <v/>
      </c>
      <c r="H5032" s="7" t="str">
        <f>IF(Table1[[#This Row],[Is Data Valid]]=TRUE,((Table1[[#This Row],[Birthweight (grams)]]*0.9/Table1[[#This Row],[BW_GA]])-1)/(Backend!$B$4/100*Table1[[#This Row],[BW40_3705]]),"")</f>
        <v/>
      </c>
      <c r="I5032" s="7" t="str">
        <f>IF(Table1[[#This Row],[Is Data Valid]]=TRUE,((Table1[[#This Row],[Birthweight (grams)]]*1.1/Table1[[#This Row],[BW_GA]])-1)/(Backend!$B$4/100*Table1[[#This Row],[BW40_3705]]),"")</f>
        <v/>
      </c>
      <c r="J5032" s="7" t="str">
        <f>IF(Table1[[#This Row],[Is Data Valid]]=TRUE,_xlfn.NORM.S.DIST(Table1[[#This Row],[Birthweight Z-Score]],TRUE)*100,"")</f>
        <v/>
      </c>
      <c r="K5032" s="7" t="str">
        <f>IF(Table1[[#This Row],[Is Data Valid]]=TRUE,_xlfn.NORM.S.DIST(Table1[[#This Row],[Birthweight Z-Score (BW-10%)]],TRUE)*100,"")</f>
        <v/>
      </c>
      <c r="L5032" s="7" t="str">
        <f>IF(Table1[[#This Row],[Is Data Valid]]=TRUE,_xlfn.NORM.S.DIST(Table1[[#This Row],[Birthweight Z-Score (BW+10%)]],TRUE)*100,"")</f>
        <v/>
      </c>
    </row>
    <row r="5033" spans="1:12" x14ac:dyDescent="0.35">
      <c r="A5033" s="3"/>
      <c r="B5033" s="2"/>
      <c r="C5033" s="2"/>
      <c r="D5033" s="2" t="b">
        <f>IF(AND(NOT(ISBLANK(Table1[[#This Row],[Fetal Sex (Male, Female or Unknown)]])),ISNUMBER(Table1[[#This Row],[Birthweight (grams)]]),ISNUMBER(Table1[[#This Row],[Gestation (days)]])),TRUE,FALSE)</f>
        <v>0</v>
      </c>
      <c r="E5033" s="2" t="str">
        <f>IF(Table1[[#This Row],[Is Data Valid]]=TRUE,IF(Table1[[#This Row],[Fetal Sex (Male, Female or Unknown)]]="Male",Backend!$C$6,IF(Table1[[#This Row],[Fetal Sex (Male, Female or Unknown)]]="Female",Backend!$C$7,IF(Table1[[#This Row],[Fetal Sex (Male, Female or Unknown)]]="Unknown",Backend!$C$8,"Error"))),"")</f>
        <v/>
      </c>
      <c r="F5033" s="8" t="str">
        <f>IF(Table1[[#This Row],[Is Data Valid]]=TRUE,EXP(0.578+0.332*((Table1[[#This Row],[Gestation (days)]]+0.5)/7)-0.00354*((Table1[[#This Row],[Gestation (days)]]+0.5)/7)^2)*Table1[[#This Row],[BW40_3705]],"")</f>
        <v/>
      </c>
      <c r="G5033" s="2" t="str">
        <f>IF(Table1[[#This Row],[Is Data Valid]]=TRUE,((Table1[[#This Row],[Birthweight (grams)]]/Table1[[#This Row],[BW_GA]])-1)/(Backend!$B$4/100*Table1[[#This Row],[BW40_3705]]),"")</f>
        <v/>
      </c>
      <c r="H5033" s="7" t="str">
        <f>IF(Table1[[#This Row],[Is Data Valid]]=TRUE,((Table1[[#This Row],[Birthweight (grams)]]*0.9/Table1[[#This Row],[BW_GA]])-1)/(Backend!$B$4/100*Table1[[#This Row],[BW40_3705]]),"")</f>
        <v/>
      </c>
      <c r="I5033" s="7" t="str">
        <f>IF(Table1[[#This Row],[Is Data Valid]]=TRUE,((Table1[[#This Row],[Birthweight (grams)]]*1.1/Table1[[#This Row],[BW_GA]])-1)/(Backend!$B$4/100*Table1[[#This Row],[BW40_3705]]),"")</f>
        <v/>
      </c>
      <c r="J5033" s="7" t="str">
        <f>IF(Table1[[#This Row],[Is Data Valid]]=TRUE,_xlfn.NORM.S.DIST(Table1[[#This Row],[Birthweight Z-Score]],TRUE)*100,"")</f>
        <v/>
      </c>
      <c r="K5033" s="7" t="str">
        <f>IF(Table1[[#This Row],[Is Data Valid]]=TRUE,_xlfn.NORM.S.DIST(Table1[[#This Row],[Birthweight Z-Score (BW-10%)]],TRUE)*100,"")</f>
        <v/>
      </c>
      <c r="L5033" s="7" t="str">
        <f>IF(Table1[[#This Row],[Is Data Valid]]=TRUE,_xlfn.NORM.S.DIST(Table1[[#This Row],[Birthweight Z-Score (BW+10%)]],TRUE)*100,"")</f>
        <v/>
      </c>
    </row>
    <row r="5034" spans="1:12" x14ac:dyDescent="0.35">
      <c r="A5034" s="3"/>
      <c r="B5034" s="2"/>
      <c r="C5034" s="2"/>
      <c r="D5034" s="2" t="b">
        <f>IF(AND(NOT(ISBLANK(Table1[[#This Row],[Fetal Sex (Male, Female or Unknown)]])),ISNUMBER(Table1[[#This Row],[Birthweight (grams)]]),ISNUMBER(Table1[[#This Row],[Gestation (days)]])),TRUE,FALSE)</f>
        <v>0</v>
      </c>
      <c r="E5034" s="2" t="str">
        <f>IF(Table1[[#This Row],[Is Data Valid]]=TRUE,IF(Table1[[#This Row],[Fetal Sex (Male, Female or Unknown)]]="Male",Backend!$C$6,IF(Table1[[#This Row],[Fetal Sex (Male, Female or Unknown)]]="Female",Backend!$C$7,IF(Table1[[#This Row],[Fetal Sex (Male, Female or Unknown)]]="Unknown",Backend!$C$8,"Error"))),"")</f>
        <v/>
      </c>
      <c r="F5034" s="8" t="str">
        <f>IF(Table1[[#This Row],[Is Data Valid]]=TRUE,EXP(0.578+0.332*((Table1[[#This Row],[Gestation (days)]]+0.5)/7)-0.00354*((Table1[[#This Row],[Gestation (days)]]+0.5)/7)^2)*Table1[[#This Row],[BW40_3705]],"")</f>
        <v/>
      </c>
      <c r="G5034" s="2" t="str">
        <f>IF(Table1[[#This Row],[Is Data Valid]]=TRUE,((Table1[[#This Row],[Birthweight (grams)]]/Table1[[#This Row],[BW_GA]])-1)/(Backend!$B$4/100*Table1[[#This Row],[BW40_3705]]),"")</f>
        <v/>
      </c>
      <c r="H5034" s="7" t="str">
        <f>IF(Table1[[#This Row],[Is Data Valid]]=TRUE,((Table1[[#This Row],[Birthweight (grams)]]*0.9/Table1[[#This Row],[BW_GA]])-1)/(Backend!$B$4/100*Table1[[#This Row],[BW40_3705]]),"")</f>
        <v/>
      </c>
      <c r="I5034" s="7" t="str">
        <f>IF(Table1[[#This Row],[Is Data Valid]]=TRUE,((Table1[[#This Row],[Birthweight (grams)]]*1.1/Table1[[#This Row],[BW_GA]])-1)/(Backend!$B$4/100*Table1[[#This Row],[BW40_3705]]),"")</f>
        <v/>
      </c>
      <c r="J5034" s="7" t="str">
        <f>IF(Table1[[#This Row],[Is Data Valid]]=TRUE,_xlfn.NORM.S.DIST(Table1[[#This Row],[Birthweight Z-Score]],TRUE)*100,"")</f>
        <v/>
      </c>
      <c r="K5034" s="7" t="str">
        <f>IF(Table1[[#This Row],[Is Data Valid]]=TRUE,_xlfn.NORM.S.DIST(Table1[[#This Row],[Birthweight Z-Score (BW-10%)]],TRUE)*100,"")</f>
        <v/>
      </c>
      <c r="L5034" s="7" t="str">
        <f>IF(Table1[[#This Row],[Is Data Valid]]=TRUE,_xlfn.NORM.S.DIST(Table1[[#This Row],[Birthweight Z-Score (BW+10%)]],TRUE)*100,"")</f>
        <v/>
      </c>
    </row>
    <row r="5035" spans="1:12" x14ac:dyDescent="0.35">
      <c r="A5035" s="3"/>
      <c r="B5035" s="2"/>
      <c r="C5035" s="2"/>
      <c r="D5035" s="2" t="b">
        <f>IF(AND(NOT(ISBLANK(Table1[[#This Row],[Fetal Sex (Male, Female or Unknown)]])),ISNUMBER(Table1[[#This Row],[Birthweight (grams)]]),ISNUMBER(Table1[[#This Row],[Gestation (days)]])),TRUE,FALSE)</f>
        <v>0</v>
      </c>
      <c r="E5035" s="2" t="str">
        <f>IF(Table1[[#This Row],[Is Data Valid]]=TRUE,IF(Table1[[#This Row],[Fetal Sex (Male, Female or Unknown)]]="Male",Backend!$C$6,IF(Table1[[#This Row],[Fetal Sex (Male, Female or Unknown)]]="Female",Backend!$C$7,IF(Table1[[#This Row],[Fetal Sex (Male, Female or Unknown)]]="Unknown",Backend!$C$8,"Error"))),"")</f>
        <v/>
      </c>
      <c r="F5035" s="8" t="str">
        <f>IF(Table1[[#This Row],[Is Data Valid]]=TRUE,EXP(0.578+0.332*((Table1[[#This Row],[Gestation (days)]]+0.5)/7)-0.00354*((Table1[[#This Row],[Gestation (days)]]+0.5)/7)^2)*Table1[[#This Row],[BW40_3705]],"")</f>
        <v/>
      </c>
      <c r="G5035" s="2" t="str">
        <f>IF(Table1[[#This Row],[Is Data Valid]]=TRUE,((Table1[[#This Row],[Birthweight (grams)]]/Table1[[#This Row],[BW_GA]])-1)/(Backend!$B$4/100*Table1[[#This Row],[BW40_3705]]),"")</f>
        <v/>
      </c>
      <c r="H5035" s="7" t="str">
        <f>IF(Table1[[#This Row],[Is Data Valid]]=TRUE,((Table1[[#This Row],[Birthweight (grams)]]*0.9/Table1[[#This Row],[BW_GA]])-1)/(Backend!$B$4/100*Table1[[#This Row],[BW40_3705]]),"")</f>
        <v/>
      </c>
      <c r="I5035" s="7" t="str">
        <f>IF(Table1[[#This Row],[Is Data Valid]]=TRUE,((Table1[[#This Row],[Birthweight (grams)]]*1.1/Table1[[#This Row],[BW_GA]])-1)/(Backend!$B$4/100*Table1[[#This Row],[BW40_3705]]),"")</f>
        <v/>
      </c>
      <c r="J5035" s="7" t="str">
        <f>IF(Table1[[#This Row],[Is Data Valid]]=TRUE,_xlfn.NORM.S.DIST(Table1[[#This Row],[Birthweight Z-Score]],TRUE)*100,"")</f>
        <v/>
      </c>
      <c r="K5035" s="7" t="str">
        <f>IF(Table1[[#This Row],[Is Data Valid]]=TRUE,_xlfn.NORM.S.DIST(Table1[[#This Row],[Birthweight Z-Score (BW-10%)]],TRUE)*100,"")</f>
        <v/>
      </c>
      <c r="L5035" s="7" t="str">
        <f>IF(Table1[[#This Row],[Is Data Valid]]=TRUE,_xlfn.NORM.S.DIST(Table1[[#This Row],[Birthweight Z-Score (BW+10%)]],TRUE)*100,"")</f>
        <v/>
      </c>
    </row>
    <row r="5036" spans="1:12" x14ac:dyDescent="0.35">
      <c r="A5036" s="3"/>
      <c r="B5036" s="2"/>
      <c r="C5036" s="2"/>
      <c r="D5036" s="2" t="b">
        <f>IF(AND(NOT(ISBLANK(Table1[[#This Row],[Fetal Sex (Male, Female or Unknown)]])),ISNUMBER(Table1[[#This Row],[Birthweight (grams)]]),ISNUMBER(Table1[[#This Row],[Gestation (days)]])),TRUE,FALSE)</f>
        <v>0</v>
      </c>
      <c r="E5036" s="2" t="str">
        <f>IF(Table1[[#This Row],[Is Data Valid]]=TRUE,IF(Table1[[#This Row],[Fetal Sex (Male, Female or Unknown)]]="Male",Backend!$C$6,IF(Table1[[#This Row],[Fetal Sex (Male, Female or Unknown)]]="Female",Backend!$C$7,IF(Table1[[#This Row],[Fetal Sex (Male, Female or Unknown)]]="Unknown",Backend!$C$8,"Error"))),"")</f>
        <v/>
      </c>
      <c r="F5036" s="8" t="str">
        <f>IF(Table1[[#This Row],[Is Data Valid]]=TRUE,EXP(0.578+0.332*((Table1[[#This Row],[Gestation (days)]]+0.5)/7)-0.00354*((Table1[[#This Row],[Gestation (days)]]+0.5)/7)^2)*Table1[[#This Row],[BW40_3705]],"")</f>
        <v/>
      </c>
      <c r="G5036" s="2" t="str">
        <f>IF(Table1[[#This Row],[Is Data Valid]]=TRUE,((Table1[[#This Row],[Birthweight (grams)]]/Table1[[#This Row],[BW_GA]])-1)/(Backend!$B$4/100*Table1[[#This Row],[BW40_3705]]),"")</f>
        <v/>
      </c>
      <c r="H5036" s="7" t="str">
        <f>IF(Table1[[#This Row],[Is Data Valid]]=TRUE,((Table1[[#This Row],[Birthweight (grams)]]*0.9/Table1[[#This Row],[BW_GA]])-1)/(Backend!$B$4/100*Table1[[#This Row],[BW40_3705]]),"")</f>
        <v/>
      </c>
      <c r="I5036" s="7" t="str">
        <f>IF(Table1[[#This Row],[Is Data Valid]]=TRUE,((Table1[[#This Row],[Birthweight (grams)]]*1.1/Table1[[#This Row],[BW_GA]])-1)/(Backend!$B$4/100*Table1[[#This Row],[BW40_3705]]),"")</f>
        <v/>
      </c>
      <c r="J5036" s="7" t="str">
        <f>IF(Table1[[#This Row],[Is Data Valid]]=TRUE,_xlfn.NORM.S.DIST(Table1[[#This Row],[Birthweight Z-Score]],TRUE)*100,"")</f>
        <v/>
      </c>
      <c r="K5036" s="7" t="str">
        <f>IF(Table1[[#This Row],[Is Data Valid]]=TRUE,_xlfn.NORM.S.DIST(Table1[[#This Row],[Birthweight Z-Score (BW-10%)]],TRUE)*100,"")</f>
        <v/>
      </c>
      <c r="L5036" s="7" t="str">
        <f>IF(Table1[[#This Row],[Is Data Valid]]=TRUE,_xlfn.NORM.S.DIST(Table1[[#This Row],[Birthweight Z-Score (BW+10%)]],TRUE)*100,"")</f>
        <v/>
      </c>
    </row>
    <row r="5037" spans="1:12" x14ac:dyDescent="0.35">
      <c r="A5037" s="3"/>
      <c r="B5037" s="2"/>
      <c r="C5037" s="2"/>
      <c r="D5037" s="2" t="b">
        <f>IF(AND(NOT(ISBLANK(Table1[[#This Row],[Fetal Sex (Male, Female or Unknown)]])),ISNUMBER(Table1[[#This Row],[Birthweight (grams)]]),ISNUMBER(Table1[[#This Row],[Gestation (days)]])),TRUE,FALSE)</f>
        <v>0</v>
      </c>
      <c r="E5037" s="2" t="str">
        <f>IF(Table1[[#This Row],[Is Data Valid]]=TRUE,IF(Table1[[#This Row],[Fetal Sex (Male, Female or Unknown)]]="Male",Backend!$C$6,IF(Table1[[#This Row],[Fetal Sex (Male, Female or Unknown)]]="Female",Backend!$C$7,IF(Table1[[#This Row],[Fetal Sex (Male, Female or Unknown)]]="Unknown",Backend!$C$8,"Error"))),"")</f>
        <v/>
      </c>
      <c r="F5037" s="8" t="str">
        <f>IF(Table1[[#This Row],[Is Data Valid]]=TRUE,EXP(0.578+0.332*((Table1[[#This Row],[Gestation (days)]]+0.5)/7)-0.00354*((Table1[[#This Row],[Gestation (days)]]+0.5)/7)^2)*Table1[[#This Row],[BW40_3705]],"")</f>
        <v/>
      </c>
      <c r="G5037" s="2" t="str">
        <f>IF(Table1[[#This Row],[Is Data Valid]]=TRUE,((Table1[[#This Row],[Birthweight (grams)]]/Table1[[#This Row],[BW_GA]])-1)/(Backend!$B$4/100*Table1[[#This Row],[BW40_3705]]),"")</f>
        <v/>
      </c>
      <c r="H5037" s="7" t="str">
        <f>IF(Table1[[#This Row],[Is Data Valid]]=TRUE,((Table1[[#This Row],[Birthweight (grams)]]*0.9/Table1[[#This Row],[BW_GA]])-1)/(Backend!$B$4/100*Table1[[#This Row],[BW40_3705]]),"")</f>
        <v/>
      </c>
      <c r="I5037" s="7" t="str">
        <f>IF(Table1[[#This Row],[Is Data Valid]]=TRUE,((Table1[[#This Row],[Birthweight (grams)]]*1.1/Table1[[#This Row],[BW_GA]])-1)/(Backend!$B$4/100*Table1[[#This Row],[BW40_3705]]),"")</f>
        <v/>
      </c>
      <c r="J5037" s="7" t="str">
        <f>IF(Table1[[#This Row],[Is Data Valid]]=TRUE,_xlfn.NORM.S.DIST(Table1[[#This Row],[Birthweight Z-Score]],TRUE)*100,"")</f>
        <v/>
      </c>
      <c r="K5037" s="7" t="str">
        <f>IF(Table1[[#This Row],[Is Data Valid]]=TRUE,_xlfn.NORM.S.DIST(Table1[[#This Row],[Birthweight Z-Score (BW-10%)]],TRUE)*100,"")</f>
        <v/>
      </c>
      <c r="L5037" s="7" t="str">
        <f>IF(Table1[[#This Row],[Is Data Valid]]=TRUE,_xlfn.NORM.S.DIST(Table1[[#This Row],[Birthweight Z-Score (BW+10%)]],TRUE)*100,"")</f>
        <v/>
      </c>
    </row>
    <row r="5038" spans="1:12" x14ac:dyDescent="0.35">
      <c r="A5038" s="3"/>
      <c r="B5038" s="2"/>
      <c r="C5038" s="2"/>
      <c r="D5038" s="2" t="b">
        <f>IF(AND(NOT(ISBLANK(Table1[[#This Row],[Fetal Sex (Male, Female or Unknown)]])),ISNUMBER(Table1[[#This Row],[Birthweight (grams)]]),ISNUMBER(Table1[[#This Row],[Gestation (days)]])),TRUE,FALSE)</f>
        <v>0</v>
      </c>
      <c r="E5038" s="2" t="str">
        <f>IF(Table1[[#This Row],[Is Data Valid]]=TRUE,IF(Table1[[#This Row],[Fetal Sex (Male, Female or Unknown)]]="Male",Backend!$C$6,IF(Table1[[#This Row],[Fetal Sex (Male, Female or Unknown)]]="Female",Backend!$C$7,IF(Table1[[#This Row],[Fetal Sex (Male, Female or Unknown)]]="Unknown",Backend!$C$8,"Error"))),"")</f>
        <v/>
      </c>
      <c r="F5038" s="8" t="str">
        <f>IF(Table1[[#This Row],[Is Data Valid]]=TRUE,EXP(0.578+0.332*((Table1[[#This Row],[Gestation (days)]]+0.5)/7)-0.00354*((Table1[[#This Row],[Gestation (days)]]+0.5)/7)^2)*Table1[[#This Row],[BW40_3705]],"")</f>
        <v/>
      </c>
      <c r="G5038" s="2" t="str">
        <f>IF(Table1[[#This Row],[Is Data Valid]]=TRUE,((Table1[[#This Row],[Birthweight (grams)]]/Table1[[#This Row],[BW_GA]])-1)/(Backend!$B$4/100*Table1[[#This Row],[BW40_3705]]),"")</f>
        <v/>
      </c>
      <c r="H5038" s="7" t="str">
        <f>IF(Table1[[#This Row],[Is Data Valid]]=TRUE,((Table1[[#This Row],[Birthweight (grams)]]*0.9/Table1[[#This Row],[BW_GA]])-1)/(Backend!$B$4/100*Table1[[#This Row],[BW40_3705]]),"")</f>
        <v/>
      </c>
      <c r="I5038" s="7" t="str">
        <f>IF(Table1[[#This Row],[Is Data Valid]]=TRUE,((Table1[[#This Row],[Birthweight (grams)]]*1.1/Table1[[#This Row],[BW_GA]])-1)/(Backend!$B$4/100*Table1[[#This Row],[BW40_3705]]),"")</f>
        <v/>
      </c>
      <c r="J5038" s="7" t="str">
        <f>IF(Table1[[#This Row],[Is Data Valid]]=TRUE,_xlfn.NORM.S.DIST(Table1[[#This Row],[Birthweight Z-Score]],TRUE)*100,"")</f>
        <v/>
      </c>
      <c r="K5038" s="7" t="str">
        <f>IF(Table1[[#This Row],[Is Data Valid]]=TRUE,_xlfn.NORM.S.DIST(Table1[[#This Row],[Birthweight Z-Score (BW-10%)]],TRUE)*100,"")</f>
        <v/>
      </c>
      <c r="L5038" s="7" t="str">
        <f>IF(Table1[[#This Row],[Is Data Valid]]=TRUE,_xlfn.NORM.S.DIST(Table1[[#This Row],[Birthweight Z-Score (BW+10%)]],TRUE)*100,"")</f>
        <v/>
      </c>
    </row>
    <row r="5039" spans="1:12" x14ac:dyDescent="0.35">
      <c r="A5039" s="3"/>
      <c r="B5039" s="2"/>
      <c r="C5039" s="2"/>
      <c r="D5039" s="2" t="b">
        <f>IF(AND(NOT(ISBLANK(Table1[[#This Row],[Fetal Sex (Male, Female or Unknown)]])),ISNUMBER(Table1[[#This Row],[Birthweight (grams)]]),ISNUMBER(Table1[[#This Row],[Gestation (days)]])),TRUE,FALSE)</f>
        <v>0</v>
      </c>
      <c r="E5039" s="2" t="str">
        <f>IF(Table1[[#This Row],[Is Data Valid]]=TRUE,IF(Table1[[#This Row],[Fetal Sex (Male, Female or Unknown)]]="Male",Backend!$C$6,IF(Table1[[#This Row],[Fetal Sex (Male, Female or Unknown)]]="Female",Backend!$C$7,IF(Table1[[#This Row],[Fetal Sex (Male, Female or Unknown)]]="Unknown",Backend!$C$8,"Error"))),"")</f>
        <v/>
      </c>
      <c r="F5039" s="8" t="str">
        <f>IF(Table1[[#This Row],[Is Data Valid]]=TRUE,EXP(0.578+0.332*((Table1[[#This Row],[Gestation (days)]]+0.5)/7)-0.00354*((Table1[[#This Row],[Gestation (days)]]+0.5)/7)^2)*Table1[[#This Row],[BW40_3705]],"")</f>
        <v/>
      </c>
      <c r="G5039" s="2" t="str">
        <f>IF(Table1[[#This Row],[Is Data Valid]]=TRUE,((Table1[[#This Row],[Birthweight (grams)]]/Table1[[#This Row],[BW_GA]])-1)/(Backend!$B$4/100*Table1[[#This Row],[BW40_3705]]),"")</f>
        <v/>
      </c>
      <c r="H5039" s="7" t="str">
        <f>IF(Table1[[#This Row],[Is Data Valid]]=TRUE,((Table1[[#This Row],[Birthweight (grams)]]*0.9/Table1[[#This Row],[BW_GA]])-1)/(Backend!$B$4/100*Table1[[#This Row],[BW40_3705]]),"")</f>
        <v/>
      </c>
      <c r="I5039" s="7" t="str">
        <f>IF(Table1[[#This Row],[Is Data Valid]]=TRUE,((Table1[[#This Row],[Birthweight (grams)]]*1.1/Table1[[#This Row],[BW_GA]])-1)/(Backend!$B$4/100*Table1[[#This Row],[BW40_3705]]),"")</f>
        <v/>
      </c>
      <c r="J5039" s="7" t="str">
        <f>IF(Table1[[#This Row],[Is Data Valid]]=TRUE,_xlfn.NORM.S.DIST(Table1[[#This Row],[Birthweight Z-Score]],TRUE)*100,"")</f>
        <v/>
      </c>
      <c r="K5039" s="7" t="str">
        <f>IF(Table1[[#This Row],[Is Data Valid]]=TRUE,_xlfn.NORM.S.DIST(Table1[[#This Row],[Birthweight Z-Score (BW-10%)]],TRUE)*100,"")</f>
        <v/>
      </c>
      <c r="L5039" s="7" t="str">
        <f>IF(Table1[[#This Row],[Is Data Valid]]=TRUE,_xlfn.NORM.S.DIST(Table1[[#This Row],[Birthweight Z-Score (BW+10%)]],TRUE)*100,"")</f>
        <v/>
      </c>
    </row>
    <row r="5040" spans="1:12" x14ac:dyDescent="0.35">
      <c r="A5040" s="3"/>
      <c r="B5040" s="2"/>
      <c r="C5040" s="2"/>
      <c r="D5040" s="2" t="b">
        <f>IF(AND(NOT(ISBLANK(Table1[[#This Row],[Fetal Sex (Male, Female or Unknown)]])),ISNUMBER(Table1[[#This Row],[Birthweight (grams)]]),ISNUMBER(Table1[[#This Row],[Gestation (days)]])),TRUE,FALSE)</f>
        <v>0</v>
      </c>
      <c r="E5040" s="2" t="str">
        <f>IF(Table1[[#This Row],[Is Data Valid]]=TRUE,IF(Table1[[#This Row],[Fetal Sex (Male, Female or Unknown)]]="Male",Backend!$C$6,IF(Table1[[#This Row],[Fetal Sex (Male, Female or Unknown)]]="Female",Backend!$C$7,IF(Table1[[#This Row],[Fetal Sex (Male, Female or Unknown)]]="Unknown",Backend!$C$8,"Error"))),"")</f>
        <v/>
      </c>
      <c r="F5040" s="8" t="str">
        <f>IF(Table1[[#This Row],[Is Data Valid]]=TRUE,EXP(0.578+0.332*((Table1[[#This Row],[Gestation (days)]]+0.5)/7)-0.00354*((Table1[[#This Row],[Gestation (days)]]+0.5)/7)^2)*Table1[[#This Row],[BW40_3705]],"")</f>
        <v/>
      </c>
      <c r="G5040" s="2" t="str">
        <f>IF(Table1[[#This Row],[Is Data Valid]]=TRUE,((Table1[[#This Row],[Birthweight (grams)]]/Table1[[#This Row],[BW_GA]])-1)/(Backend!$B$4/100*Table1[[#This Row],[BW40_3705]]),"")</f>
        <v/>
      </c>
      <c r="H5040" s="7" t="str">
        <f>IF(Table1[[#This Row],[Is Data Valid]]=TRUE,((Table1[[#This Row],[Birthweight (grams)]]*0.9/Table1[[#This Row],[BW_GA]])-1)/(Backend!$B$4/100*Table1[[#This Row],[BW40_3705]]),"")</f>
        <v/>
      </c>
      <c r="I5040" s="7" t="str">
        <f>IF(Table1[[#This Row],[Is Data Valid]]=TRUE,((Table1[[#This Row],[Birthweight (grams)]]*1.1/Table1[[#This Row],[BW_GA]])-1)/(Backend!$B$4/100*Table1[[#This Row],[BW40_3705]]),"")</f>
        <v/>
      </c>
      <c r="J5040" s="7" t="str">
        <f>IF(Table1[[#This Row],[Is Data Valid]]=TRUE,_xlfn.NORM.S.DIST(Table1[[#This Row],[Birthweight Z-Score]],TRUE)*100,"")</f>
        <v/>
      </c>
      <c r="K5040" s="7" t="str">
        <f>IF(Table1[[#This Row],[Is Data Valid]]=TRUE,_xlfn.NORM.S.DIST(Table1[[#This Row],[Birthweight Z-Score (BW-10%)]],TRUE)*100,"")</f>
        <v/>
      </c>
      <c r="L5040" s="7" t="str">
        <f>IF(Table1[[#This Row],[Is Data Valid]]=TRUE,_xlfn.NORM.S.DIST(Table1[[#This Row],[Birthweight Z-Score (BW+10%)]],TRUE)*100,"")</f>
        <v/>
      </c>
    </row>
    <row r="5041" spans="1:12" x14ac:dyDescent="0.35">
      <c r="A5041" s="3"/>
      <c r="B5041" s="2"/>
      <c r="C5041" s="2"/>
      <c r="D5041" s="2" t="b">
        <f>IF(AND(NOT(ISBLANK(Table1[[#This Row],[Fetal Sex (Male, Female or Unknown)]])),ISNUMBER(Table1[[#This Row],[Birthweight (grams)]]),ISNUMBER(Table1[[#This Row],[Gestation (days)]])),TRUE,FALSE)</f>
        <v>0</v>
      </c>
      <c r="E5041" s="2" t="str">
        <f>IF(Table1[[#This Row],[Is Data Valid]]=TRUE,IF(Table1[[#This Row],[Fetal Sex (Male, Female or Unknown)]]="Male",Backend!$C$6,IF(Table1[[#This Row],[Fetal Sex (Male, Female or Unknown)]]="Female",Backend!$C$7,IF(Table1[[#This Row],[Fetal Sex (Male, Female or Unknown)]]="Unknown",Backend!$C$8,"Error"))),"")</f>
        <v/>
      </c>
      <c r="F5041" s="8" t="str">
        <f>IF(Table1[[#This Row],[Is Data Valid]]=TRUE,EXP(0.578+0.332*((Table1[[#This Row],[Gestation (days)]]+0.5)/7)-0.00354*((Table1[[#This Row],[Gestation (days)]]+0.5)/7)^2)*Table1[[#This Row],[BW40_3705]],"")</f>
        <v/>
      </c>
      <c r="G5041" s="2" t="str">
        <f>IF(Table1[[#This Row],[Is Data Valid]]=TRUE,((Table1[[#This Row],[Birthweight (grams)]]/Table1[[#This Row],[BW_GA]])-1)/(Backend!$B$4/100*Table1[[#This Row],[BW40_3705]]),"")</f>
        <v/>
      </c>
      <c r="H5041" s="7" t="str">
        <f>IF(Table1[[#This Row],[Is Data Valid]]=TRUE,((Table1[[#This Row],[Birthweight (grams)]]*0.9/Table1[[#This Row],[BW_GA]])-1)/(Backend!$B$4/100*Table1[[#This Row],[BW40_3705]]),"")</f>
        <v/>
      </c>
      <c r="I5041" s="7" t="str">
        <f>IF(Table1[[#This Row],[Is Data Valid]]=TRUE,((Table1[[#This Row],[Birthweight (grams)]]*1.1/Table1[[#This Row],[BW_GA]])-1)/(Backend!$B$4/100*Table1[[#This Row],[BW40_3705]]),"")</f>
        <v/>
      </c>
      <c r="J5041" s="7" t="str">
        <f>IF(Table1[[#This Row],[Is Data Valid]]=TRUE,_xlfn.NORM.S.DIST(Table1[[#This Row],[Birthweight Z-Score]],TRUE)*100,"")</f>
        <v/>
      </c>
      <c r="K5041" s="7" t="str">
        <f>IF(Table1[[#This Row],[Is Data Valid]]=TRUE,_xlfn.NORM.S.DIST(Table1[[#This Row],[Birthweight Z-Score (BW-10%)]],TRUE)*100,"")</f>
        <v/>
      </c>
      <c r="L5041" s="7" t="str">
        <f>IF(Table1[[#This Row],[Is Data Valid]]=TRUE,_xlfn.NORM.S.DIST(Table1[[#This Row],[Birthweight Z-Score (BW+10%)]],TRUE)*100,"")</f>
        <v/>
      </c>
    </row>
    <row r="5042" spans="1:12" x14ac:dyDescent="0.35">
      <c r="A5042" s="3"/>
      <c r="B5042" s="2"/>
      <c r="C5042" s="2"/>
      <c r="D5042" s="2" t="b">
        <f>IF(AND(NOT(ISBLANK(Table1[[#This Row],[Fetal Sex (Male, Female or Unknown)]])),ISNUMBER(Table1[[#This Row],[Birthweight (grams)]]),ISNUMBER(Table1[[#This Row],[Gestation (days)]])),TRUE,FALSE)</f>
        <v>0</v>
      </c>
      <c r="E5042" s="2" t="str">
        <f>IF(Table1[[#This Row],[Is Data Valid]]=TRUE,IF(Table1[[#This Row],[Fetal Sex (Male, Female or Unknown)]]="Male",Backend!$C$6,IF(Table1[[#This Row],[Fetal Sex (Male, Female or Unknown)]]="Female",Backend!$C$7,IF(Table1[[#This Row],[Fetal Sex (Male, Female or Unknown)]]="Unknown",Backend!$C$8,"Error"))),"")</f>
        <v/>
      </c>
      <c r="F5042" s="8" t="str">
        <f>IF(Table1[[#This Row],[Is Data Valid]]=TRUE,EXP(0.578+0.332*((Table1[[#This Row],[Gestation (days)]]+0.5)/7)-0.00354*((Table1[[#This Row],[Gestation (days)]]+0.5)/7)^2)*Table1[[#This Row],[BW40_3705]],"")</f>
        <v/>
      </c>
      <c r="G5042" s="2" t="str">
        <f>IF(Table1[[#This Row],[Is Data Valid]]=TRUE,((Table1[[#This Row],[Birthweight (grams)]]/Table1[[#This Row],[BW_GA]])-1)/(Backend!$B$4/100*Table1[[#This Row],[BW40_3705]]),"")</f>
        <v/>
      </c>
      <c r="H5042" s="7" t="str">
        <f>IF(Table1[[#This Row],[Is Data Valid]]=TRUE,((Table1[[#This Row],[Birthweight (grams)]]*0.9/Table1[[#This Row],[BW_GA]])-1)/(Backend!$B$4/100*Table1[[#This Row],[BW40_3705]]),"")</f>
        <v/>
      </c>
      <c r="I5042" s="7" t="str">
        <f>IF(Table1[[#This Row],[Is Data Valid]]=TRUE,((Table1[[#This Row],[Birthweight (grams)]]*1.1/Table1[[#This Row],[BW_GA]])-1)/(Backend!$B$4/100*Table1[[#This Row],[BW40_3705]]),"")</f>
        <v/>
      </c>
      <c r="J5042" s="7" t="str">
        <f>IF(Table1[[#This Row],[Is Data Valid]]=TRUE,_xlfn.NORM.S.DIST(Table1[[#This Row],[Birthweight Z-Score]],TRUE)*100,"")</f>
        <v/>
      </c>
      <c r="K5042" s="7" t="str">
        <f>IF(Table1[[#This Row],[Is Data Valid]]=TRUE,_xlfn.NORM.S.DIST(Table1[[#This Row],[Birthweight Z-Score (BW-10%)]],TRUE)*100,"")</f>
        <v/>
      </c>
      <c r="L5042" s="7" t="str">
        <f>IF(Table1[[#This Row],[Is Data Valid]]=TRUE,_xlfn.NORM.S.DIST(Table1[[#This Row],[Birthweight Z-Score (BW+10%)]],TRUE)*100,"")</f>
        <v/>
      </c>
    </row>
    <row r="5043" spans="1:12" x14ac:dyDescent="0.35">
      <c r="A5043" s="3"/>
      <c r="B5043" s="2"/>
      <c r="C5043" s="2"/>
      <c r="D5043" s="2" t="b">
        <f>IF(AND(NOT(ISBLANK(Table1[[#This Row],[Fetal Sex (Male, Female or Unknown)]])),ISNUMBER(Table1[[#This Row],[Birthweight (grams)]]),ISNUMBER(Table1[[#This Row],[Gestation (days)]])),TRUE,FALSE)</f>
        <v>0</v>
      </c>
      <c r="E5043" s="2" t="str">
        <f>IF(Table1[[#This Row],[Is Data Valid]]=TRUE,IF(Table1[[#This Row],[Fetal Sex (Male, Female or Unknown)]]="Male",Backend!$C$6,IF(Table1[[#This Row],[Fetal Sex (Male, Female or Unknown)]]="Female",Backend!$C$7,IF(Table1[[#This Row],[Fetal Sex (Male, Female or Unknown)]]="Unknown",Backend!$C$8,"Error"))),"")</f>
        <v/>
      </c>
      <c r="F5043" s="8" t="str">
        <f>IF(Table1[[#This Row],[Is Data Valid]]=TRUE,EXP(0.578+0.332*((Table1[[#This Row],[Gestation (days)]]+0.5)/7)-0.00354*((Table1[[#This Row],[Gestation (days)]]+0.5)/7)^2)*Table1[[#This Row],[BW40_3705]],"")</f>
        <v/>
      </c>
      <c r="G5043" s="2" t="str">
        <f>IF(Table1[[#This Row],[Is Data Valid]]=TRUE,((Table1[[#This Row],[Birthweight (grams)]]/Table1[[#This Row],[BW_GA]])-1)/(Backend!$B$4/100*Table1[[#This Row],[BW40_3705]]),"")</f>
        <v/>
      </c>
      <c r="H5043" s="7" t="str">
        <f>IF(Table1[[#This Row],[Is Data Valid]]=TRUE,((Table1[[#This Row],[Birthweight (grams)]]*0.9/Table1[[#This Row],[BW_GA]])-1)/(Backend!$B$4/100*Table1[[#This Row],[BW40_3705]]),"")</f>
        <v/>
      </c>
      <c r="I5043" s="7" t="str">
        <f>IF(Table1[[#This Row],[Is Data Valid]]=TRUE,((Table1[[#This Row],[Birthweight (grams)]]*1.1/Table1[[#This Row],[BW_GA]])-1)/(Backend!$B$4/100*Table1[[#This Row],[BW40_3705]]),"")</f>
        <v/>
      </c>
      <c r="J5043" s="7" t="str">
        <f>IF(Table1[[#This Row],[Is Data Valid]]=TRUE,_xlfn.NORM.S.DIST(Table1[[#This Row],[Birthweight Z-Score]],TRUE)*100,"")</f>
        <v/>
      </c>
      <c r="K5043" s="7" t="str">
        <f>IF(Table1[[#This Row],[Is Data Valid]]=TRUE,_xlfn.NORM.S.DIST(Table1[[#This Row],[Birthweight Z-Score (BW-10%)]],TRUE)*100,"")</f>
        <v/>
      </c>
      <c r="L5043" s="7" t="str">
        <f>IF(Table1[[#This Row],[Is Data Valid]]=TRUE,_xlfn.NORM.S.DIST(Table1[[#This Row],[Birthweight Z-Score (BW+10%)]],TRUE)*100,"")</f>
        <v/>
      </c>
    </row>
    <row r="5044" spans="1:12" x14ac:dyDescent="0.35">
      <c r="A5044" s="3"/>
      <c r="B5044" s="2"/>
      <c r="C5044" s="2"/>
      <c r="D5044" s="2" t="b">
        <f>IF(AND(NOT(ISBLANK(Table1[[#This Row],[Fetal Sex (Male, Female or Unknown)]])),ISNUMBER(Table1[[#This Row],[Birthweight (grams)]]),ISNUMBER(Table1[[#This Row],[Gestation (days)]])),TRUE,FALSE)</f>
        <v>0</v>
      </c>
      <c r="E5044" s="2" t="str">
        <f>IF(Table1[[#This Row],[Is Data Valid]]=TRUE,IF(Table1[[#This Row],[Fetal Sex (Male, Female or Unknown)]]="Male",Backend!$C$6,IF(Table1[[#This Row],[Fetal Sex (Male, Female or Unknown)]]="Female",Backend!$C$7,IF(Table1[[#This Row],[Fetal Sex (Male, Female or Unknown)]]="Unknown",Backend!$C$8,"Error"))),"")</f>
        <v/>
      </c>
      <c r="F5044" s="8" t="str">
        <f>IF(Table1[[#This Row],[Is Data Valid]]=TRUE,EXP(0.578+0.332*((Table1[[#This Row],[Gestation (days)]]+0.5)/7)-0.00354*((Table1[[#This Row],[Gestation (days)]]+0.5)/7)^2)*Table1[[#This Row],[BW40_3705]],"")</f>
        <v/>
      </c>
      <c r="G5044" s="2" t="str">
        <f>IF(Table1[[#This Row],[Is Data Valid]]=TRUE,((Table1[[#This Row],[Birthweight (grams)]]/Table1[[#This Row],[BW_GA]])-1)/(Backend!$B$4/100*Table1[[#This Row],[BW40_3705]]),"")</f>
        <v/>
      </c>
      <c r="H5044" s="7" t="str">
        <f>IF(Table1[[#This Row],[Is Data Valid]]=TRUE,((Table1[[#This Row],[Birthweight (grams)]]*0.9/Table1[[#This Row],[BW_GA]])-1)/(Backend!$B$4/100*Table1[[#This Row],[BW40_3705]]),"")</f>
        <v/>
      </c>
      <c r="I5044" s="7" t="str">
        <f>IF(Table1[[#This Row],[Is Data Valid]]=TRUE,((Table1[[#This Row],[Birthweight (grams)]]*1.1/Table1[[#This Row],[BW_GA]])-1)/(Backend!$B$4/100*Table1[[#This Row],[BW40_3705]]),"")</f>
        <v/>
      </c>
      <c r="J5044" s="7" t="str">
        <f>IF(Table1[[#This Row],[Is Data Valid]]=TRUE,_xlfn.NORM.S.DIST(Table1[[#This Row],[Birthweight Z-Score]],TRUE)*100,"")</f>
        <v/>
      </c>
      <c r="K5044" s="7" t="str">
        <f>IF(Table1[[#This Row],[Is Data Valid]]=TRUE,_xlfn.NORM.S.DIST(Table1[[#This Row],[Birthweight Z-Score (BW-10%)]],TRUE)*100,"")</f>
        <v/>
      </c>
      <c r="L5044" s="7" t="str">
        <f>IF(Table1[[#This Row],[Is Data Valid]]=TRUE,_xlfn.NORM.S.DIST(Table1[[#This Row],[Birthweight Z-Score (BW+10%)]],TRUE)*100,"")</f>
        <v/>
      </c>
    </row>
    <row r="5045" spans="1:12" x14ac:dyDescent="0.35">
      <c r="A5045" s="3"/>
      <c r="B5045" s="2"/>
      <c r="C5045" s="2"/>
      <c r="D5045" s="2" t="b">
        <f>IF(AND(NOT(ISBLANK(Table1[[#This Row],[Fetal Sex (Male, Female or Unknown)]])),ISNUMBER(Table1[[#This Row],[Birthweight (grams)]]),ISNUMBER(Table1[[#This Row],[Gestation (days)]])),TRUE,FALSE)</f>
        <v>0</v>
      </c>
      <c r="E5045" s="2" t="str">
        <f>IF(Table1[[#This Row],[Is Data Valid]]=TRUE,IF(Table1[[#This Row],[Fetal Sex (Male, Female or Unknown)]]="Male",Backend!$C$6,IF(Table1[[#This Row],[Fetal Sex (Male, Female or Unknown)]]="Female",Backend!$C$7,IF(Table1[[#This Row],[Fetal Sex (Male, Female or Unknown)]]="Unknown",Backend!$C$8,"Error"))),"")</f>
        <v/>
      </c>
      <c r="F5045" s="8" t="str">
        <f>IF(Table1[[#This Row],[Is Data Valid]]=TRUE,EXP(0.578+0.332*((Table1[[#This Row],[Gestation (days)]]+0.5)/7)-0.00354*((Table1[[#This Row],[Gestation (days)]]+0.5)/7)^2)*Table1[[#This Row],[BW40_3705]],"")</f>
        <v/>
      </c>
      <c r="G5045" s="2" t="str">
        <f>IF(Table1[[#This Row],[Is Data Valid]]=TRUE,((Table1[[#This Row],[Birthweight (grams)]]/Table1[[#This Row],[BW_GA]])-1)/(Backend!$B$4/100*Table1[[#This Row],[BW40_3705]]),"")</f>
        <v/>
      </c>
      <c r="H5045" s="7" t="str">
        <f>IF(Table1[[#This Row],[Is Data Valid]]=TRUE,((Table1[[#This Row],[Birthweight (grams)]]*0.9/Table1[[#This Row],[BW_GA]])-1)/(Backend!$B$4/100*Table1[[#This Row],[BW40_3705]]),"")</f>
        <v/>
      </c>
      <c r="I5045" s="7" t="str">
        <f>IF(Table1[[#This Row],[Is Data Valid]]=TRUE,((Table1[[#This Row],[Birthweight (grams)]]*1.1/Table1[[#This Row],[BW_GA]])-1)/(Backend!$B$4/100*Table1[[#This Row],[BW40_3705]]),"")</f>
        <v/>
      </c>
      <c r="J5045" s="7" t="str">
        <f>IF(Table1[[#This Row],[Is Data Valid]]=TRUE,_xlfn.NORM.S.DIST(Table1[[#This Row],[Birthweight Z-Score]],TRUE)*100,"")</f>
        <v/>
      </c>
      <c r="K5045" s="7" t="str">
        <f>IF(Table1[[#This Row],[Is Data Valid]]=TRUE,_xlfn.NORM.S.DIST(Table1[[#This Row],[Birthweight Z-Score (BW-10%)]],TRUE)*100,"")</f>
        <v/>
      </c>
      <c r="L5045" s="7" t="str">
        <f>IF(Table1[[#This Row],[Is Data Valid]]=TRUE,_xlfn.NORM.S.DIST(Table1[[#This Row],[Birthweight Z-Score (BW+10%)]],TRUE)*100,"")</f>
        <v/>
      </c>
    </row>
    <row r="5046" spans="1:12" x14ac:dyDescent="0.35">
      <c r="A5046" s="3"/>
      <c r="B5046" s="2"/>
      <c r="C5046" s="2"/>
      <c r="D5046" s="2" t="b">
        <f>IF(AND(NOT(ISBLANK(Table1[[#This Row],[Fetal Sex (Male, Female or Unknown)]])),ISNUMBER(Table1[[#This Row],[Birthweight (grams)]]),ISNUMBER(Table1[[#This Row],[Gestation (days)]])),TRUE,FALSE)</f>
        <v>0</v>
      </c>
      <c r="E5046" s="2" t="str">
        <f>IF(Table1[[#This Row],[Is Data Valid]]=TRUE,IF(Table1[[#This Row],[Fetal Sex (Male, Female or Unknown)]]="Male",Backend!$C$6,IF(Table1[[#This Row],[Fetal Sex (Male, Female or Unknown)]]="Female",Backend!$C$7,IF(Table1[[#This Row],[Fetal Sex (Male, Female or Unknown)]]="Unknown",Backend!$C$8,"Error"))),"")</f>
        <v/>
      </c>
      <c r="F5046" s="8" t="str">
        <f>IF(Table1[[#This Row],[Is Data Valid]]=TRUE,EXP(0.578+0.332*((Table1[[#This Row],[Gestation (days)]]+0.5)/7)-0.00354*((Table1[[#This Row],[Gestation (days)]]+0.5)/7)^2)*Table1[[#This Row],[BW40_3705]],"")</f>
        <v/>
      </c>
      <c r="G5046" s="2" t="str">
        <f>IF(Table1[[#This Row],[Is Data Valid]]=TRUE,((Table1[[#This Row],[Birthweight (grams)]]/Table1[[#This Row],[BW_GA]])-1)/(Backend!$B$4/100*Table1[[#This Row],[BW40_3705]]),"")</f>
        <v/>
      </c>
      <c r="H5046" s="7" t="str">
        <f>IF(Table1[[#This Row],[Is Data Valid]]=TRUE,((Table1[[#This Row],[Birthweight (grams)]]*0.9/Table1[[#This Row],[BW_GA]])-1)/(Backend!$B$4/100*Table1[[#This Row],[BW40_3705]]),"")</f>
        <v/>
      </c>
      <c r="I5046" s="7" t="str">
        <f>IF(Table1[[#This Row],[Is Data Valid]]=TRUE,((Table1[[#This Row],[Birthweight (grams)]]*1.1/Table1[[#This Row],[BW_GA]])-1)/(Backend!$B$4/100*Table1[[#This Row],[BW40_3705]]),"")</f>
        <v/>
      </c>
      <c r="J5046" s="7" t="str">
        <f>IF(Table1[[#This Row],[Is Data Valid]]=TRUE,_xlfn.NORM.S.DIST(Table1[[#This Row],[Birthweight Z-Score]],TRUE)*100,"")</f>
        <v/>
      </c>
      <c r="K5046" s="7" t="str">
        <f>IF(Table1[[#This Row],[Is Data Valid]]=TRUE,_xlfn.NORM.S.DIST(Table1[[#This Row],[Birthweight Z-Score (BW-10%)]],TRUE)*100,"")</f>
        <v/>
      </c>
      <c r="L5046" s="7" t="str">
        <f>IF(Table1[[#This Row],[Is Data Valid]]=TRUE,_xlfn.NORM.S.DIST(Table1[[#This Row],[Birthweight Z-Score (BW+10%)]],TRUE)*100,"")</f>
        <v/>
      </c>
    </row>
    <row r="5047" spans="1:12" x14ac:dyDescent="0.35">
      <c r="A5047" s="3"/>
      <c r="B5047" s="2"/>
      <c r="C5047" s="2"/>
      <c r="D5047" s="2" t="b">
        <f>IF(AND(NOT(ISBLANK(Table1[[#This Row],[Fetal Sex (Male, Female or Unknown)]])),ISNUMBER(Table1[[#This Row],[Birthweight (grams)]]),ISNUMBER(Table1[[#This Row],[Gestation (days)]])),TRUE,FALSE)</f>
        <v>0</v>
      </c>
      <c r="E5047" s="2" t="str">
        <f>IF(Table1[[#This Row],[Is Data Valid]]=TRUE,IF(Table1[[#This Row],[Fetal Sex (Male, Female or Unknown)]]="Male",Backend!$C$6,IF(Table1[[#This Row],[Fetal Sex (Male, Female or Unknown)]]="Female",Backend!$C$7,IF(Table1[[#This Row],[Fetal Sex (Male, Female or Unknown)]]="Unknown",Backend!$C$8,"Error"))),"")</f>
        <v/>
      </c>
      <c r="F5047" s="8" t="str">
        <f>IF(Table1[[#This Row],[Is Data Valid]]=TRUE,EXP(0.578+0.332*((Table1[[#This Row],[Gestation (days)]]+0.5)/7)-0.00354*((Table1[[#This Row],[Gestation (days)]]+0.5)/7)^2)*Table1[[#This Row],[BW40_3705]],"")</f>
        <v/>
      </c>
      <c r="G5047" s="2" t="str">
        <f>IF(Table1[[#This Row],[Is Data Valid]]=TRUE,((Table1[[#This Row],[Birthweight (grams)]]/Table1[[#This Row],[BW_GA]])-1)/(Backend!$B$4/100*Table1[[#This Row],[BW40_3705]]),"")</f>
        <v/>
      </c>
      <c r="H5047" s="7" t="str">
        <f>IF(Table1[[#This Row],[Is Data Valid]]=TRUE,((Table1[[#This Row],[Birthweight (grams)]]*0.9/Table1[[#This Row],[BW_GA]])-1)/(Backend!$B$4/100*Table1[[#This Row],[BW40_3705]]),"")</f>
        <v/>
      </c>
      <c r="I5047" s="7" t="str">
        <f>IF(Table1[[#This Row],[Is Data Valid]]=TRUE,((Table1[[#This Row],[Birthweight (grams)]]*1.1/Table1[[#This Row],[BW_GA]])-1)/(Backend!$B$4/100*Table1[[#This Row],[BW40_3705]]),"")</f>
        <v/>
      </c>
      <c r="J5047" s="7" t="str">
        <f>IF(Table1[[#This Row],[Is Data Valid]]=TRUE,_xlfn.NORM.S.DIST(Table1[[#This Row],[Birthweight Z-Score]],TRUE)*100,"")</f>
        <v/>
      </c>
      <c r="K5047" s="7" t="str">
        <f>IF(Table1[[#This Row],[Is Data Valid]]=TRUE,_xlfn.NORM.S.DIST(Table1[[#This Row],[Birthweight Z-Score (BW-10%)]],TRUE)*100,"")</f>
        <v/>
      </c>
      <c r="L5047" s="7" t="str">
        <f>IF(Table1[[#This Row],[Is Data Valid]]=TRUE,_xlfn.NORM.S.DIST(Table1[[#This Row],[Birthweight Z-Score (BW+10%)]],TRUE)*100,"")</f>
        <v/>
      </c>
    </row>
    <row r="5048" spans="1:12" x14ac:dyDescent="0.35">
      <c r="A5048" s="3"/>
      <c r="B5048" s="2"/>
      <c r="C5048" s="2"/>
      <c r="D5048" s="2" t="b">
        <f>IF(AND(NOT(ISBLANK(Table1[[#This Row],[Fetal Sex (Male, Female or Unknown)]])),ISNUMBER(Table1[[#This Row],[Birthweight (grams)]]),ISNUMBER(Table1[[#This Row],[Gestation (days)]])),TRUE,FALSE)</f>
        <v>0</v>
      </c>
      <c r="E5048" s="2" t="str">
        <f>IF(Table1[[#This Row],[Is Data Valid]]=TRUE,IF(Table1[[#This Row],[Fetal Sex (Male, Female or Unknown)]]="Male",Backend!$C$6,IF(Table1[[#This Row],[Fetal Sex (Male, Female or Unknown)]]="Female",Backend!$C$7,IF(Table1[[#This Row],[Fetal Sex (Male, Female or Unknown)]]="Unknown",Backend!$C$8,"Error"))),"")</f>
        <v/>
      </c>
      <c r="F5048" s="8" t="str">
        <f>IF(Table1[[#This Row],[Is Data Valid]]=TRUE,EXP(0.578+0.332*((Table1[[#This Row],[Gestation (days)]]+0.5)/7)-0.00354*((Table1[[#This Row],[Gestation (days)]]+0.5)/7)^2)*Table1[[#This Row],[BW40_3705]],"")</f>
        <v/>
      </c>
      <c r="G5048" s="2" t="str">
        <f>IF(Table1[[#This Row],[Is Data Valid]]=TRUE,((Table1[[#This Row],[Birthweight (grams)]]/Table1[[#This Row],[BW_GA]])-1)/(Backend!$B$4/100*Table1[[#This Row],[BW40_3705]]),"")</f>
        <v/>
      </c>
      <c r="H5048" s="7" t="str">
        <f>IF(Table1[[#This Row],[Is Data Valid]]=TRUE,((Table1[[#This Row],[Birthweight (grams)]]*0.9/Table1[[#This Row],[BW_GA]])-1)/(Backend!$B$4/100*Table1[[#This Row],[BW40_3705]]),"")</f>
        <v/>
      </c>
      <c r="I5048" s="7" t="str">
        <f>IF(Table1[[#This Row],[Is Data Valid]]=TRUE,((Table1[[#This Row],[Birthweight (grams)]]*1.1/Table1[[#This Row],[BW_GA]])-1)/(Backend!$B$4/100*Table1[[#This Row],[BW40_3705]]),"")</f>
        <v/>
      </c>
      <c r="J5048" s="7" t="str">
        <f>IF(Table1[[#This Row],[Is Data Valid]]=TRUE,_xlfn.NORM.S.DIST(Table1[[#This Row],[Birthweight Z-Score]],TRUE)*100,"")</f>
        <v/>
      </c>
      <c r="K5048" s="7" t="str">
        <f>IF(Table1[[#This Row],[Is Data Valid]]=TRUE,_xlfn.NORM.S.DIST(Table1[[#This Row],[Birthweight Z-Score (BW-10%)]],TRUE)*100,"")</f>
        <v/>
      </c>
      <c r="L5048" s="7" t="str">
        <f>IF(Table1[[#This Row],[Is Data Valid]]=TRUE,_xlfn.NORM.S.DIST(Table1[[#This Row],[Birthweight Z-Score (BW+10%)]],TRUE)*100,"")</f>
        <v/>
      </c>
    </row>
    <row r="5049" spans="1:12" x14ac:dyDescent="0.35">
      <c r="A5049" s="3"/>
      <c r="B5049" s="2"/>
      <c r="C5049" s="2"/>
      <c r="D5049" s="2" t="b">
        <f>IF(AND(NOT(ISBLANK(Table1[[#This Row],[Fetal Sex (Male, Female or Unknown)]])),ISNUMBER(Table1[[#This Row],[Birthweight (grams)]]),ISNUMBER(Table1[[#This Row],[Gestation (days)]])),TRUE,FALSE)</f>
        <v>0</v>
      </c>
      <c r="E5049" s="2" t="str">
        <f>IF(Table1[[#This Row],[Is Data Valid]]=TRUE,IF(Table1[[#This Row],[Fetal Sex (Male, Female or Unknown)]]="Male",Backend!$C$6,IF(Table1[[#This Row],[Fetal Sex (Male, Female or Unknown)]]="Female",Backend!$C$7,IF(Table1[[#This Row],[Fetal Sex (Male, Female or Unknown)]]="Unknown",Backend!$C$8,"Error"))),"")</f>
        <v/>
      </c>
      <c r="F5049" s="8" t="str">
        <f>IF(Table1[[#This Row],[Is Data Valid]]=TRUE,EXP(0.578+0.332*((Table1[[#This Row],[Gestation (days)]]+0.5)/7)-0.00354*((Table1[[#This Row],[Gestation (days)]]+0.5)/7)^2)*Table1[[#This Row],[BW40_3705]],"")</f>
        <v/>
      </c>
      <c r="G5049" s="2" t="str">
        <f>IF(Table1[[#This Row],[Is Data Valid]]=TRUE,((Table1[[#This Row],[Birthweight (grams)]]/Table1[[#This Row],[BW_GA]])-1)/(Backend!$B$4/100*Table1[[#This Row],[BW40_3705]]),"")</f>
        <v/>
      </c>
      <c r="H5049" s="7" t="str">
        <f>IF(Table1[[#This Row],[Is Data Valid]]=TRUE,((Table1[[#This Row],[Birthweight (grams)]]*0.9/Table1[[#This Row],[BW_GA]])-1)/(Backend!$B$4/100*Table1[[#This Row],[BW40_3705]]),"")</f>
        <v/>
      </c>
      <c r="I5049" s="7" t="str">
        <f>IF(Table1[[#This Row],[Is Data Valid]]=TRUE,((Table1[[#This Row],[Birthweight (grams)]]*1.1/Table1[[#This Row],[BW_GA]])-1)/(Backend!$B$4/100*Table1[[#This Row],[BW40_3705]]),"")</f>
        <v/>
      </c>
      <c r="J5049" s="7" t="str">
        <f>IF(Table1[[#This Row],[Is Data Valid]]=TRUE,_xlfn.NORM.S.DIST(Table1[[#This Row],[Birthweight Z-Score]],TRUE)*100,"")</f>
        <v/>
      </c>
      <c r="K5049" s="7" t="str">
        <f>IF(Table1[[#This Row],[Is Data Valid]]=TRUE,_xlfn.NORM.S.DIST(Table1[[#This Row],[Birthweight Z-Score (BW-10%)]],TRUE)*100,"")</f>
        <v/>
      </c>
      <c r="L5049" s="7" t="str">
        <f>IF(Table1[[#This Row],[Is Data Valid]]=TRUE,_xlfn.NORM.S.DIST(Table1[[#This Row],[Birthweight Z-Score (BW+10%)]],TRUE)*100,"")</f>
        <v/>
      </c>
    </row>
    <row r="5050" spans="1:12" x14ac:dyDescent="0.35">
      <c r="A5050" s="3"/>
      <c r="B5050" s="2"/>
      <c r="C5050" s="2"/>
      <c r="D5050" s="2" t="b">
        <f>IF(AND(NOT(ISBLANK(Table1[[#This Row],[Fetal Sex (Male, Female or Unknown)]])),ISNUMBER(Table1[[#This Row],[Birthweight (grams)]]),ISNUMBER(Table1[[#This Row],[Gestation (days)]])),TRUE,FALSE)</f>
        <v>0</v>
      </c>
      <c r="E5050" s="2" t="str">
        <f>IF(Table1[[#This Row],[Is Data Valid]]=TRUE,IF(Table1[[#This Row],[Fetal Sex (Male, Female or Unknown)]]="Male",Backend!$C$6,IF(Table1[[#This Row],[Fetal Sex (Male, Female or Unknown)]]="Female",Backend!$C$7,IF(Table1[[#This Row],[Fetal Sex (Male, Female or Unknown)]]="Unknown",Backend!$C$8,"Error"))),"")</f>
        <v/>
      </c>
      <c r="F5050" s="8" t="str">
        <f>IF(Table1[[#This Row],[Is Data Valid]]=TRUE,EXP(0.578+0.332*((Table1[[#This Row],[Gestation (days)]]+0.5)/7)-0.00354*((Table1[[#This Row],[Gestation (days)]]+0.5)/7)^2)*Table1[[#This Row],[BW40_3705]],"")</f>
        <v/>
      </c>
      <c r="G5050" s="2" t="str">
        <f>IF(Table1[[#This Row],[Is Data Valid]]=TRUE,((Table1[[#This Row],[Birthweight (grams)]]/Table1[[#This Row],[BW_GA]])-1)/(Backend!$B$4/100*Table1[[#This Row],[BW40_3705]]),"")</f>
        <v/>
      </c>
      <c r="H5050" s="7" t="str">
        <f>IF(Table1[[#This Row],[Is Data Valid]]=TRUE,((Table1[[#This Row],[Birthweight (grams)]]*0.9/Table1[[#This Row],[BW_GA]])-1)/(Backend!$B$4/100*Table1[[#This Row],[BW40_3705]]),"")</f>
        <v/>
      </c>
      <c r="I5050" s="7" t="str">
        <f>IF(Table1[[#This Row],[Is Data Valid]]=TRUE,((Table1[[#This Row],[Birthweight (grams)]]*1.1/Table1[[#This Row],[BW_GA]])-1)/(Backend!$B$4/100*Table1[[#This Row],[BW40_3705]]),"")</f>
        <v/>
      </c>
      <c r="J5050" s="7" t="str">
        <f>IF(Table1[[#This Row],[Is Data Valid]]=TRUE,_xlfn.NORM.S.DIST(Table1[[#This Row],[Birthweight Z-Score]],TRUE)*100,"")</f>
        <v/>
      </c>
      <c r="K5050" s="7" t="str">
        <f>IF(Table1[[#This Row],[Is Data Valid]]=TRUE,_xlfn.NORM.S.DIST(Table1[[#This Row],[Birthweight Z-Score (BW-10%)]],TRUE)*100,"")</f>
        <v/>
      </c>
      <c r="L5050" s="7" t="str">
        <f>IF(Table1[[#This Row],[Is Data Valid]]=TRUE,_xlfn.NORM.S.DIST(Table1[[#This Row],[Birthweight Z-Score (BW+10%)]],TRUE)*100,"")</f>
        <v/>
      </c>
    </row>
    <row r="5051" spans="1:12" x14ac:dyDescent="0.35">
      <c r="A5051" s="3"/>
      <c r="B5051" s="2"/>
      <c r="C5051" s="2"/>
      <c r="D5051" s="2" t="b">
        <f>IF(AND(NOT(ISBLANK(Table1[[#This Row],[Fetal Sex (Male, Female or Unknown)]])),ISNUMBER(Table1[[#This Row],[Birthweight (grams)]]),ISNUMBER(Table1[[#This Row],[Gestation (days)]])),TRUE,FALSE)</f>
        <v>0</v>
      </c>
      <c r="E5051" s="2" t="str">
        <f>IF(Table1[[#This Row],[Is Data Valid]]=TRUE,IF(Table1[[#This Row],[Fetal Sex (Male, Female or Unknown)]]="Male",Backend!$C$6,IF(Table1[[#This Row],[Fetal Sex (Male, Female or Unknown)]]="Female",Backend!$C$7,IF(Table1[[#This Row],[Fetal Sex (Male, Female or Unknown)]]="Unknown",Backend!$C$8,"Error"))),"")</f>
        <v/>
      </c>
      <c r="F5051" s="8" t="str">
        <f>IF(Table1[[#This Row],[Is Data Valid]]=TRUE,EXP(0.578+0.332*((Table1[[#This Row],[Gestation (days)]]+0.5)/7)-0.00354*((Table1[[#This Row],[Gestation (days)]]+0.5)/7)^2)*Table1[[#This Row],[BW40_3705]],"")</f>
        <v/>
      </c>
      <c r="G5051" s="2" t="str">
        <f>IF(Table1[[#This Row],[Is Data Valid]]=TRUE,((Table1[[#This Row],[Birthweight (grams)]]/Table1[[#This Row],[BW_GA]])-1)/(Backend!$B$4/100*Table1[[#This Row],[BW40_3705]]),"")</f>
        <v/>
      </c>
      <c r="H5051" s="7" t="str">
        <f>IF(Table1[[#This Row],[Is Data Valid]]=TRUE,((Table1[[#This Row],[Birthweight (grams)]]*0.9/Table1[[#This Row],[BW_GA]])-1)/(Backend!$B$4/100*Table1[[#This Row],[BW40_3705]]),"")</f>
        <v/>
      </c>
      <c r="I5051" s="7" t="str">
        <f>IF(Table1[[#This Row],[Is Data Valid]]=TRUE,((Table1[[#This Row],[Birthweight (grams)]]*1.1/Table1[[#This Row],[BW_GA]])-1)/(Backend!$B$4/100*Table1[[#This Row],[BW40_3705]]),"")</f>
        <v/>
      </c>
      <c r="J5051" s="7" t="str">
        <f>IF(Table1[[#This Row],[Is Data Valid]]=TRUE,_xlfn.NORM.S.DIST(Table1[[#This Row],[Birthweight Z-Score]],TRUE)*100,"")</f>
        <v/>
      </c>
      <c r="K5051" s="7" t="str">
        <f>IF(Table1[[#This Row],[Is Data Valid]]=TRUE,_xlfn.NORM.S.DIST(Table1[[#This Row],[Birthweight Z-Score (BW-10%)]],TRUE)*100,"")</f>
        <v/>
      </c>
      <c r="L5051" s="7" t="str">
        <f>IF(Table1[[#This Row],[Is Data Valid]]=TRUE,_xlfn.NORM.S.DIST(Table1[[#This Row],[Birthweight Z-Score (BW+10%)]],TRUE)*100,"")</f>
        <v/>
      </c>
    </row>
    <row r="5052" spans="1:12" x14ac:dyDescent="0.35">
      <c r="A5052" s="3"/>
      <c r="B5052" s="2"/>
      <c r="C5052" s="2"/>
      <c r="D5052" s="2" t="b">
        <f>IF(AND(NOT(ISBLANK(Table1[[#This Row],[Fetal Sex (Male, Female or Unknown)]])),ISNUMBER(Table1[[#This Row],[Birthweight (grams)]]),ISNUMBER(Table1[[#This Row],[Gestation (days)]])),TRUE,FALSE)</f>
        <v>0</v>
      </c>
      <c r="E5052" s="2" t="str">
        <f>IF(Table1[[#This Row],[Is Data Valid]]=TRUE,IF(Table1[[#This Row],[Fetal Sex (Male, Female or Unknown)]]="Male",Backend!$C$6,IF(Table1[[#This Row],[Fetal Sex (Male, Female or Unknown)]]="Female",Backend!$C$7,IF(Table1[[#This Row],[Fetal Sex (Male, Female or Unknown)]]="Unknown",Backend!$C$8,"Error"))),"")</f>
        <v/>
      </c>
      <c r="F5052" s="8" t="str">
        <f>IF(Table1[[#This Row],[Is Data Valid]]=TRUE,EXP(0.578+0.332*((Table1[[#This Row],[Gestation (days)]]+0.5)/7)-0.00354*((Table1[[#This Row],[Gestation (days)]]+0.5)/7)^2)*Table1[[#This Row],[BW40_3705]],"")</f>
        <v/>
      </c>
      <c r="G5052" s="2" t="str">
        <f>IF(Table1[[#This Row],[Is Data Valid]]=TRUE,((Table1[[#This Row],[Birthweight (grams)]]/Table1[[#This Row],[BW_GA]])-1)/(Backend!$B$4/100*Table1[[#This Row],[BW40_3705]]),"")</f>
        <v/>
      </c>
      <c r="H5052" s="7" t="str">
        <f>IF(Table1[[#This Row],[Is Data Valid]]=TRUE,((Table1[[#This Row],[Birthweight (grams)]]*0.9/Table1[[#This Row],[BW_GA]])-1)/(Backend!$B$4/100*Table1[[#This Row],[BW40_3705]]),"")</f>
        <v/>
      </c>
      <c r="I5052" s="7" t="str">
        <f>IF(Table1[[#This Row],[Is Data Valid]]=TRUE,((Table1[[#This Row],[Birthweight (grams)]]*1.1/Table1[[#This Row],[BW_GA]])-1)/(Backend!$B$4/100*Table1[[#This Row],[BW40_3705]]),"")</f>
        <v/>
      </c>
      <c r="J5052" s="7" t="str">
        <f>IF(Table1[[#This Row],[Is Data Valid]]=TRUE,_xlfn.NORM.S.DIST(Table1[[#This Row],[Birthweight Z-Score]],TRUE)*100,"")</f>
        <v/>
      </c>
      <c r="K5052" s="7" t="str">
        <f>IF(Table1[[#This Row],[Is Data Valid]]=TRUE,_xlfn.NORM.S.DIST(Table1[[#This Row],[Birthweight Z-Score (BW-10%)]],TRUE)*100,"")</f>
        <v/>
      </c>
      <c r="L5052" s="7" t="str">
        <f>IF(Table1[[#This Row],[Is Data Valid]]=TRUE,_xlfn.NORM.S.DIST(Table1[[#This Row],[Birthweight Z-Score (BW+10%)]],TRUE)*100,"")</f>
        <v/>
      </c>
    </row>
    <row r="5053" spans="1:12" x14ac:dyDescent="0.35">
      <c r="A5053" s="3"/>
      <c r="B5053" s="2"/>
      <c r="C5053" s="2"/>
      <c r="D5053" s="2" t="b">
        <f>IF(AND(NOT(ISBLANK(Table1[[#This Row],[Fetal Sex (Male, Female or Unknown)]])),ISNUMBER(Table1[[#This Row],[Birthweight (grams)]]),ISNUMBER(Table1[[#This Row],[Gestation (days)]])),TRUE,FALSE)</f>
        <v>0</v>
      </c>
      <c r="E5053" s="2" t="str">
        <f>IF(Table1[[#This Row],[Is Data Valid]]=TRUE,IF(Table1[[#This Row],[Fetal Sex (Male, Female or Unknown)]]="Male",Backend!$C$6,IF(Table1[[#This Row],[Fetal Sex (Male, Female or Unknown)]]="Female",Backend!$C$7,IF(Table1[[#This Row],[Fetal Sex (Male, Female or Unknown)]]="Unknown",Backend!$C$8,"Error"))),"")</f>
        <v/>
      </c>
      <c r="F5053" s="8" t="str">
        <f>IF(Table1[[#This Row],[Is Data Valid]]=TRUE,EXP(0.578+0.332*((Table1[[#This Row],[Gestation (days)]]+0.5)/7)-0.00354*((Table1[[#This Row],[Gestation (days)]]+0.5)/7)^2)*Table1[[#This Row],[BW40_3705]],"")</f>
        <v/>
      </c>
      <c r="G5053" s="2" t="str">
        <f>IF(Table1[[#This Row],[Is Data Valid]]=TRUE,((Table1[[#This Row],[Birthweight (grams)]]/Table1[[#This Row],[BW_GA]])-1)/(Backend!$B$4/100*Table1[[#This Row],[BW40_3705]]),"")</f>
        <v/>
      </c>
      <c r="H5053" s="7" t="str">
        <f>IF(Table1[[#This Row],[Is Data Valid]]=TRUE,((Table1[[#This Row],[Birthweight (grams)]]*0.9/Table1[[#This Row],[BW_GA]])-1)/(Backend!$B$4/100*Table1[[#This Row],[BW40_3705]]),"")</f>
        <v/>
      </c>
      <c r="I5053" s="7" t="str">
        <f>IF(Table1[[#This Row],[Is Data Valid]]=TRUE,((Table1[[#This Row],[Birthweight (grams)]]*1.1/Table1[[#This Row],[BW_GA]])-1)/(Backend!$B$4/100*Table1[[#This Row],[BW40_3705]]),"")</f>
        <v/>
      </c>
      <c r="J5053" s="7" t="str">
        <f>IF(Table1[[#This Row],[Is Data Valid]]=TRUE,_xlfn.NORM.S.DIST(Table1[[#This Row],[Birthweight Z-Score]],TRUE)*100,"")</f>
        <v/>
      </c>
      <c r="K5053" s="7" t="str">
        <f>IF(Table1[[#This Row],[Is Data Valid]]=TRUE,_xlfn.NORM.S.DIST(Table1[[#This Row],[Birthweight Z-Score (BW-10%)]],TRUE)*100,"")</f>
        <v/>
      </c>
      <c r="L5053" s="7" t="str">
        <f>IF(Table1[[#This Row],[Is Data Valid]]=TRUE,_xlfn.NORM.S.DIST(Table1[[#This Row],[Birthweight Z-Score (BW+10%)]],TRUE)*100,"")</f>
        <v/>
      </c>
    </row>
    <row r="5054" spans="1:12" x14ac:dyDescent="0.35">
      <c r="A5054" s="3"/>
      <c r="B5054" s="2"/>
      <c r="C5054" s="2"/>
      <c r="D5054" s="2" t="b">
        <f>IF(AND(NOT(ISBLANK(Table1[[#This Row],[Fetal Sex (Male, Female or Unknown)]])),ISNUMBER(Table1[[#This Row],[Birthweight (grams)]]),ISNUMBER(Table1[[#This Row],[Gestation (days)]])),TRUE,FALSE)</f>
        <v>0</v>
      </c>
      <c r="E5054" s="2" t="str">
        <f>IF(Table1[[#This Row],[Is Data Valid]]=TRUE,IF(Table1[[#This Row],[Fetal Sex (Male, Female or Unknown)]]="Male",Backend!$C$6,IF(Table1[[#This Row],[Fetal Sex (Male, Female or Unknown)]]="Female",Backend!$C$7,IF(Table1[[#This Row],[Fetal Sex (Male, Female or Unknown)]]="Unknown",Backend!$C$8,"Error"))),"")</f>
        <v/>
      </c>
      <c r="F5054" s="8" t="str">
        <f>IF(Table1[[#This Row],[Is Data Valid]]=TRUE,EXP(0.578+0.332*((Table1[[#This Row],[Gestation (days)]]+0.5)/7)-0.00354*((Table1[[#This Row],[Gestation (days)]]+0.5)/7)^2)*Table1[[#This Row],[BW40_3705]],"")</f>
        <v/>
      </c>
      <c r="G5054" s="2" t="str">
        <f>IF(Table1[[#This Row],[Is Data Valid]]=TRUE,((Table1[[#This Row],[Birthweight (grams)]]/Table1[[#This Row],[BW_GA]])-1)/(Backend!$B$4/100*Table1[[#This Row],[BW40_3705]]),"")</f>
        <v/>
      </c>
      <c r="H5054" s="7" t="str">
        <f>IF(Table1[[#This Row],[Is Data Valid]]=TRUE,((Table1[[#This Row],[Birthweight (grams)]]*0.9/Table1[[#This Row],[BW_GA]])-1)/(Backend!$B$4/100*Table1[[#This Row],[BW40_3705]]),"")</f>
        <v/>
      </c>
      <c r="I5054" s="7" t="str">
        <f>IF(Table1[[#This Row],[Is Data Valid]]=TRUE,((Table1[[#This Row],[Birthweight (grams)]]*1.1/Table1[[#This Row],[BW_GA]])-1)/(Backend!$B$4/100*Table1[[#This Row],[BW40_3705]]),"")</f>
        <v/>
      </c>
      <c r="J5054" s="7" t="str">
        <f>IF(Table1[[#This Row],[Is Data Valid]]=TRUE,_xlfn.NORM.S.DIST(Table1[[#This Row],[Birthweight Z-Score]],TRUE)*100,"")</f>
        <v/>
      </c>
      <c r="K5054" s="7" t="str">
        <f>IF(Table1[[#This Row],[Is Data Valid]]=TRUE,_xlfn.NORM.S.DIST(Table1[[#This Row],[Birthweight Z-Score (BW-10%)]],TRUE)*100,"")</f>
        <v/>
      </c>
      <c r="L5054" s="7" t="str">
        <f>IF(Table1[[#This Row],[Is Data Valid]]=TRUE,_xlfn.NORM.S.DIST(Table1[[#This Row],[Birthweight Z-Score (BW+10%)]],TRUE)*100,"")</f>
        <v/>
      </c>
    </row>
    <row r="5055" spans="1:12" x14ac:dyDescent="0.35">
      <c r="A5055" s="3"/>
      <c r="B5055" s="2"/>
      <c r="C5055" s="2"/>
      <c r="D5055" s="2" t="b">
        <f>IF(AND(NOT(ISBLANK(Table1[[#This Row],[Fetal Sex (Male, Female or Unknown)]])),ISNUMBER(Table1[[#This Row],[Birthweight (grams)]]),ISNUMBER(Table1[[#This Row],[Gestation (days)]])),TRUE,FALSE)</f>
        <v>0</v>
      </c>
      <c r="E5055" s="2" t="str">
        <f>IF(Table1[[#This Row],[Is Data Valid]]=TRUE,IF(Table1[[#This Row],[Fetal Sex (Male, Female or Unknown)]]="Male",Backend!$C$6,IF(Table1[[#This Row],[Fetal Sex (Male, Female or Unknown)]]="Female",Backend!$C$7,IF(Table1[[#This Row],[Fetal Sex (Male, Female or Unknown)]]="Unknown",Backend!$C$8,"Error"))),"")</f>
        <v/>
      </c>
      <c r="F5055" s="8" t="str">
        <f>IF(Table1[[#This Row],[Is Data Valid]]=TRUE,EXP(0.578+0.332*((Table1[[#This Row],[Gestation (days)]]+0.5)/7)-0.00354*((Table1[[#This Row],[Gestation (days)]]+0.5)/7)^2)*Table1[[#This Row],[BW40_3705]],"")</f>
        <v/>
      </c>
      <c r="G5055" s="2" t="str">
        <f>IF(Table1[[#This Row],[Is Data Valid]]=TRUE,((Table1[[#This Row],[Birthweight (grams)]]/Table1[[#This Row],[BW_GA]])-1)/(Backend!$B$4/100*Table1[[#This Row],[BW40_3705]]),"")</f>
        <v/>
      </c>
      <c r="H5055" s="7" t="str">
        <f>IF(Table1[[#This Row],[Is Data Valid]]=TRUE,((Table1[[#This Row],[Birthweight (grams)]]*0.9/Table1[[#This Row],[BW_GA]])-1)/(Backend!$B$4/100*Table1[[#This Row],[BW40_3705]]),"")</f>
        <v/>
      </c>
      <c r="I5055" s="7" t="str">
        <f>IF(Table1[[#This Row],[Is Data Valid]]=TRUE,((Table1[[#This Row],[Birthweight (grams)]]*1.1/Table1[[#This Row],[BW_GA]])-1)/(Backend!$B$4/100*Table1[[#This Row],[BW40_3705]]),"")</f>
        <v/>
      </c>
      <c r="J5055" s="7" t="str">
        <f>IF(Table1[[#This Row],[Is Data Valid]]=TRUE,_xlfn.NORM.S.DIST(Table1[[#This Row],[Birthweight Z-Score]],TRUE)*100,"")</f>
        <v/>
      </c>
      <c r="K5055" s="7" t="str">
        <f>IF(Table1[[#This Row],[Is Data Valid]]=TRUE,_xlfn.NORM.S.DIST(Table1[[#This Row],[Birthweight Z-Score (BW-10%)]],TRUE)*100,"")</f>
        <v/>
      </c>
      <c r="L5055" s="7" t="str">
        <f>IF(Table1[[#This Row],[Is Data Valid]]=TRUE,_xlfn.NORM.S.DIST(Table1[[#This Row],[Birthweight Z-Score (BW+10%)]],TRUE)*100,"")</f>
        <v/>
      </c>
    </row>
    <row r="5056" spans="1:12" x14ac:dyDescent="0.35">
      <c r="A5056" s="3"/>
      <c r="B5056" s="2"/>
      <c r="C5056" s="2"/>
      <c r="D5056" s="2" t="b">
        <f>IF(AND(NOT(ISBLANK(Table1[[#This Row],[Fetal Sex (Male, Female or Unknown)]])),ISNUMBER(Table1[[#This Row],[Birthweight (grams)]]),ISNUMBER(Table1[[#This Row],[Gestation (days)]])),TRUE,FALSE)</f>
        <v>0</v>
      </c>
      <c r="E5056" s="2" t="str">
        <f>IF(Table1[[#This Row],[Is Data Valid]]=TRUE,IF(Table1[[#This Row],[Fetal Sex (Male, Female or Unknown)]]="Male",Backend!$C$6,IF(Table1[[#This Row],[Fetal Sex (Male, Female or Unknown)]]="Female",Backend!$C$7,IF(Table1[[#This Row],[Fetal Sex (Male, Female or Unknown)]]="Unknown",Backend!$C$8,"Error"))),"")</f>
        <v/>
      </c>
      <c r="F5056" s="8" t="str">
        <f>IF(Table1[[#This Row],[Is Data Valid]]=TRUE,EXP(0.578+0.332*((Table1[[#This Row],[Gestation (days)]]+0.5)/7)-0.00354*((Table1[[#This Row],[Gestation (days)]]+0.5)/7)^2)*Table1[[#This Row],[BW40_3705]],"")</f>
        <v/>
      </c>
      <c r="G5056" s="2" t="str">
        <f>IF(Table1[[#This Row],[Is Data Valid]]=TRUE,((Table1[[#This Row],[Birthweight (grams)]]/Table1[[#This Row],[BW_GA]])-1)/(Backend!$B$4/100*Table1[[#This Row],[BW40_3705]]),"")</f>
        <v/>
      </c>
      <c r="H5056" s="7" t="str">
        <f>IF(Table1[[#This Row],[Is Data Valid]]=TRUE,((Table1[[#This Row],[Birthweight (grams)]]*0.9/Table1[[#This Row],[BW_GA]])-1)/(Backend!$B$4/100*Table1[[#This Row],[BW40_3705]]),"")</f>
        <v/>
      </c>
      <c r="I5056" s="7" t="str">
        <f>IF(Table1[[#This Row],[Is Data Valid]]=TRUE,((Table1[[#This Row],[Birthweight (grams)]]*1.1/Table1[[#This Row],[BW_GA]])-1)/(Backend!$B$4/100*Table1[[#This Row],[BW40_3705]]),"")</f>
        <v/>
      </c>
      <c r="J5056" s="7" t="str">
        <f>IF(Table1[[#This Row],[Is Data Valid]]=TRUE,_xlfn.NORM.S.DIST(Table1[[#This Row],[Birthweight Z-Score]],TRUE)*100,"")</f>
        <v/>
      </c>
      <c r="K5056" s="7" t="str">
        <f>IF(Table1[[#This Row],[Is Data Valid]]=TRUE,_xlfn.NORM.S.DIST(Table1[[#This Row],[Birthweight Z-Score (BW-10%)]],TRUE)*100,"")</f>
        <v/>
      </c>
      <c r="L5056" s="7" t="str">
        <f>IF(Table1[[#This Row],[Is Data Valid]]=TRUE,_xlfn.NORM.S.DIST(Table1[[#This Row],[Birthweight Z-Score (BW+10%)]],TRUE)*100,"")</f>
        <v/>
      </c>
    </row>
    <row r="5057" spans="1:12" x14ac:dyDescent="0.35">
      <c r="A5057" s="3"/>
      <c r="B5057" s="2"/>
      <c r="C5057" s="2"/>
      <c r="D5057" s="2" t="b">
        <f>IF(AND(NOT(ISBLANK(Table1[[#This Row],[Fetal Sex (Male, Female or Unknown)]])),ISNUMBER(Table1[[#This Row],[Birthweight (grams)]]),ISNUMBER(Table1[[#This Row],[Gestation (days)]])),TRUE,FALSE)</f>
        <v>0</v>
      </c>
      <c r="E5057" s="2" t="str">
        <f>IF(Table1[[#This Row],[Is Data Valid]]=TRUE,IF(Table1[[#This Row],[Fetal Sex (Male, Female or Unknown)]]="Male",Backend!$C$6,IF(Table1[[#This Row],[Fetal Sex (Male, Female or Unknown)]]="Female",Backend!$C$7,IF(Table1[[#This Row],[Fetal Sex (Male, Female or Unknown)]]="Unknown",Backend!$C$8,"Error"))),"")</f>
        <v/>
      </c>
      <c r="F5057" s="8" t="str">
        <f>IF(Table1[[#This Row],[Is Data Valid]]=TRUE,EXP(0.578+0.332*((Table1[[#This Row],[Gestation (days)]]+0.5)/7)-0.00354*((Table1[[#This Row],[Gestation (days)]]+0.5)/7)^2)*Table1[[#This Row],[BW40_3705]],"")</f>
        <v/>
      </c>
      <c r="G5057" s="2" t="str">
        <f>IF(Table1[[#This Row],[Is Data Valid]]=TRUE,((Table1[[#This Row],[Birthweight (grams)]]/Table1[[#This Row],[BW_GA]])-1)/(Backend!$B$4/100*Table1[[#This Row],[BW40_3705]]),"")</f>
        <v/>
      </c>
      <c r="H5057" s="7" t="str">
        <f>IF(Table1[[#This Row],[Is Data Valid]]=TRUE,((Table1[[#This Row],[Birthweight (grams)]]*0.9/Table1[[#This Row],[BW_GA]])-1)/(Backend!$B$4/100*Table1[[#This Row],[BW40_3705]]),"")</f>
        <v/>
      </c>
      <c r="I5057" s="7" t="str">
        <f>IF(Table1[[#This Row],[Is Data Valid]]=TRUE,((Table1[[#This Row],[Birthweight (grams)]]*1.1/Table1[[#This Row],[BW_GA]])-1)/(Backend!$B$4/100*Table1[[#This Row],[BW40_3705]]),"")</f>
        <v/>
      </c>
      <c r="J5057" s="7" t="str">
        <f>IF(Table1[[#This Row],[Is Data Valid]]=TRUE,_xlfn.NORM.S.DIST(Table1[[#This Row],[Birthweight Z-Score]],TRUE)*100,"")</f>
        <v/>
      </c>
      <c r="K5057" s="7" t="str">
        <f>IF(Table1[[#This Row],[Is Data Valid]]=TRUE,_xlfn.NORM.S.DIST(Table1[[#This Row],[Birthweight Z-Score (BW-10%)]],TRUE)*100,"")</f>
        <v/>
      </c>
      <c r="L5057" s="7" t="str">
        <f>IF(Table1[[#This Row],[Is Data Valid]]=TRUE,_xlfn.NORM.S.DIST(Table1[[#This Row],[Birthweight Z-Score (BW+10%)]],TRUE)*100,"")</f>
        <v/>
      </c>
    </row>
    <row r="5058" spans="1:12" x14ac:dyDescent="0.35">
      <c r="A5058" s="3"/>
      <c r="B5058" s="2"/>
      <c r="C5058" s="2"/>
      <c r="D5058" s="2" t="b">
        <f>IF(AND(NOT(ISBLANK(Table1[[#This Row],[Fetal Sex (Male, Female or Unknown)]])),ISNUMBER(Table1[[#This Row],[Birthweight (grams)]]),ISNUMBER(Table1[[#This Row],[Gestation (days)]])),TRUE,FALSE)</f>
        <v>0</v>
      </c>
      <c r="E5058" s="2" t="str">
        <f>IF(Table1[[#This Row],[Is Data Valid]]=TRUE,IF(Table1[[#This Row],[Fetal Sex (Male, Female or Unknown)]]="Male",Backend!$C$6,IF(Table1[[#This Row],[Fetal Sex (Male, Female or Unknown)]]="Female",Backend!$C$7,IF(Table1[[#This Row],[Fetal Sex (Male, Female or Unknown)]]="Unknown",Backend!$C$8,"Error"))),"")</f>
        <v/>
      </c>
      <c r="F5058" s="8" t="str">
        <f>IF(Table1[[#This Row],[Is Data Valid]]=TRUE,EXP(0.578+0.332*((Table1[[#This Row],[Gestation (days)]]+0.5)/7)-0.00354*((Table1[[#This Row],[Gestation (days)]]+0.5)/7)^2)*Table1[[#This Row],[BW40_3705]],"")</f>
        <v/>
      </c>
      <c r="G5058" s="2" t="str">
        <f>IF(Table1[[#This Row],[Is Data Valid]]=TRUE,((Table1[[#This Row],[Birthweight (grams)]]/Table1[[#This Row],[BW_GA]])-1)/(Backend!$B$4/100*Table1[[#This Row],[BW40_3705]]),"")</f>
        <v/>
      </c>
      <c r="H5058" s="7" t="str">
        <f>IF(Table1[[#This Row],[Is Data Valid]]=TRUE,((Table1[[#This Row],[Birthweight (grams)]]*0.9/Table1[[#This Row],[BW_GA]])-1)/(Backend!$B$4/100*Table1[[#This Row],[BW40_3705]]),"")</f>
        <v/>
      </c>
      <c r="I5058" s="7" t="str">
        <f>IF(Table1[[#This Row],[Is Data Valid]]=TRUE,((Table1[[#This Row],[Birthweight (grams)]]*1.1/Table1[[#This Row],[BW_GA]])-1)/(Backend!$B$4/100*Table1[[#This Row],[BW40_3705]]),"")</f>
        <v/>
      </c>
      <c r="J5058" s="7" t="str">
        <f>IF(Table1[[#This Row],[Is Data Valid]]=TRUE,_xlfn.NORM.S.DIST(Table1[[#This Row],[Birthweight Z-Score]],TRUE)*100,"")</f>
        <v/>
      </c>
      <c r="K5058" s="7" t="str">
        <f>IF(Table1[[#This Row],[Is Data Valid]]=TRUE,_xlfn.NORM.S.DIST(Table1[[#This Row],[Birthweight Z-Score (BW-10%)]],TRUE)*100,"")</f>
        <v/>
      </c>
      <c r="L5058" s="7" t="str">
        <f>IF(Table1[[#This Row],[Is Data Valid]]=TRUE,_xlfn.NORM.S.DIST(Table1[[#This Row],[Birthweight Z-Score (BW+10%)]],TRUE)*100,"")</f>
        <v/>
      </c>
    </row>
    <row r="5059" spans="1:12" x14ac:dyDescent="0.35">
      <c r="A5059" s="3"/>
      <c r="B5059" s="2"/>
      <c r="C5059" s="2"/>
      <c r="D5059" s="2" t="b">
        <f>IF(AND(NOT(ISBLANK(Table1[[#This Row],[Fetal Sex (Male, Female or Unknown)]])),ISNUMBER(Table1[[#This Row],[Birthweight (grams)]]),ISNUMBER(Table1[[#This Row],[Gestation (days)]])),TRUE,FALSE)</f>
        <v>0</v>
      </c>
      <c r="E5059" s="2" t="str">
        <f>IF(Table1[[#This Row],[Is Data Valid]]=TRUE,IF(Table1[[#This Row],[Fetal Sex (Male, Female or Unknown)]]="Male",Backend!$C$6,IF(Table1[[#This Row],[Fetal Sex (Male, Female or Unknown)]]="Female",Backend!$C$7,IF(Table1[[#This Row],[Fetal Sex (Male, Female or Unknown)]]="Unknown",Backend!$C$8,"Error"))),"")</f>
        <v/>
      </c>
      <c r="F5059" s="8" t="str">
        <f>IF(Table1[[#This Row],[Is Data Valid]]=TRUE,EXP(0.578+0.332*((Table1[[#This Row],[Gestation (days)]]+0.5)/7)-0.00354*((Table1[[#This Row],[Gestation (days)]]+0.5)/7)^2)*Table1[[#This Row],[BW40_3705]],"")</f>
        <v/>
      </c>
      <c r="G5059" s="2" t="str">
        <f>IF(Table1[[#This Row],[Is Data Valid]]=TRUE,((Table1[[#This Row],[Birthweight (grams)]]/Table1[[#This Row],[BW_GA]])-1)/(Backend!$B$4/100*Table1[[#This Row],[BW40_3705]]),"")</f>
        <v/>
      </c>
      <c r="H5059" s="7" t="str">
        <f>IF(Table1[[#This Row],[Is Data Valid]]=TRUE,((Table1[[#This Row],[Birthweight (grams)]]*0.9/Table1[[#This Row],[BW_GA]])-1)/(Backend!$B$4/100*Table1[[#This Row],[BW40_3705]]),"")</f>
        <v/>
      </c>
      <c r="I5059" s="7" t="str">
        <f>IF(Table1[[#This Row],[Is Data Valid]]=TRUE,((Table1[[#This Row],[Birthweight (grams)]]*1.1/Table1[[#This Row],[BW_GA]])-1)/(Backend!$B$4/100*Table1[[#This Row],[BW40_3705]]),"")</f>
        <v/>
      </c>
      <c r="J5059" s="7" t="str">
        <f>IF(Table1[[#This Row],[Is Data Valid]]=TRUE,_xlfn.NORM.S.DIST(Table1[[#This Row],[Birthweight Z-Score]],TRUE)*100,"")</f>
        <v/>
      </c>
      <c r="K5059" s="7" t="str">
        <f>IF(Table1[[#This Row],[Is Data Valid]]=TRUE,_xlfn.NORM.S.DIST(Table1[[#This Row],[Birthweight Z-Score (BW-10%)]],TRUE)*100,"")</f>
        <v/>
      </c>
      <c r="L5059" s="7" t="str">
        <f>IF(Table1[[#This Row],[Is Data Valid]]=TRUE,_xlfn.NORM.S.DIST(Table1[[#This Row],[Birthweight Z-Score (BW+10%)]],TRUE)*100,"")</f>
        <v/>
      </c>
    </row>
    <row r="5060" spans="1:12" x14ac:dyDescent="0.35">
      <c r="A5060" s="3"/>
      <c r="B5060" s="2"/>
      <c r="C5060" s="2"/>
      <c r="D5060" s="2" t="b">
        <f>IF(AND(NOT(ISBLANK(Table1[[#This Row],[Fetal Sex (Male, Female or Unknown)]])),ISNUMBER(Table1[[#This Row],[Birthweight (grams)]]),ISNUMBER(Table1[[#This Row],[Gestation (days)]])),TRUE,FALSE)</f>
        <v>0</v>
      </c>
      <c r="E5060" s="2" t="str">
        <f>IF(Table1[[#This Row],[Is Data Valid]]=TRUE,IF(Table1[[#This Row],[Fetal Sex (Male, Female or Unknown)]]="Male",Backend!$C$6,IF(Table1[[#This Row],[Fetal Sex (Male, Female or Unknown)]]="Female",Backend!$C$7,IF(Table1[[#This Row],[Fetal Sex (Male, Female or Unknown)]]="Unknown",Backend!$C$8,"Error"))),"")</f>
        <v/>
      </c>
      <c r="F5060" s="8" t="str">
        <f>IF(Table1[[#This Row],[Is Data Valid]]=TRUE,EXP(0.578+0.332*((Table1[[#This Row],[Gestation (days)]]+0.5)/7)-0.00354*((Table1[[#This Row],[Gestation (days)]]+0.5)/7)^2)*Table1[[#This Row],[BW40_3705]],"")</f>
        <v/>
      </c>
      <c r="G5060" s="2" t="str">
        <f>IF(Table1[[#This Row],[Is Data Valid]]=TRUE,((Table1[[#This Row],[Birthweight (grams)]]/Table1[[#This Row],[BW_GA]])-1)/(Backend!$B$4/100*Table1[[#This Row],[BW40_3705]]),"")</f>
        <v/>
      </c>
      <c r="H5060" s="7" t="str">
        <f>IF(Table1[[#This Row],[Is Data Valid]]=TRUE,((Table1[[#This Row],[Birthweight (grams)]]*0.9/Table1[[#This Row],[BW_GA]])-1)/(Backend!$B$4/100*Table1[[#This Row],[BW40_3705]]),"")</f>
        <v/>
      </c>
      <c r="I5060" s="7" t="str">
        <f>IF(Table1[[#This Row],[Is Data Valid]]=TRUE,((Table1[[#This Row],[Birthweight (grams)]]*1.1/Table1[[#This Row],[BW_GA]])-1)/(Backend!$B$4/100*Table1[[#This Row],[BW40_3705]]),"")</f>
        <v/>
      </c>
      <c r="J5060" s="7" t="str">
        <f>IF(Table1[[#This Row],[Is Data Valid]]=TRUE,_xlfn.NORM.S.DIST(Table1[[#This Row],[Birthweight Z-Score]],TRUE)*100,"")</f>
        <v/>
      </c>
      <c r="K5060" s="7" t="str">
        <f>IF(Table1[[#This Row],[Is Data Valid]]=TRUE,_xlfn.NORM.S.DIST(Table1[[#This Row],[Birthweight Z-Score (BW-10%)]],TRUE)*100,"")</f>
        <v/>
      </c>
      <c r="L5060" s="7" t="str">
        <f>IF(Table1[[#This Row],[Is Data Valid]]=TRUE,_xlfn.NORM.S.DIST(Table1[[#This Row],[Birthweight Z-Score (BW+10%)]],TRUE)*100,"")</f>
        <v/>
      </c>
    </row>
    <row r="5061" spans="1:12" x14ac:dyDescent="0.35">
      <c r="A5061" s="3"/>
      <c r="B5061" s="2"/>
      <c r="C5061" s="2"/>
      <c r="D5061" s="2" t="b">
        <f>IF(AND(NOT(ISBLANK(Table1[[#This Row],[Fetal Sex (Male, Female or Unknown)]])),ISNUMBER(Table1[[#This Row],[Birthweight (grams)]]),ISNUMBER(Table1[[#This Row],[Gestation (days)]])),TRUE,FALSE)</f>
        <v>0</v>
      </c>
      <c r="E5061" s="2" t="str">
        <f>IF(Table1[[#This Row],[Is Data Valid]]=TRUE,IF(Table1[[#This Row],[Fetal Sex (Male, Female or Unknown)]]="Male",Backend!$C$6,IF(Table1[[#This Row],[Fetal Sex (Male, Female or Unknown)]]="Female",Backend!$C$7,IF(Table1[[#This Row],[Fetal Sex (Male, Female or Unknown)]]="Unknown",Backend!$C$8,"Error"))),"")</f>
        <v/>
      </c>
      <c r="F5061" s="8" t="str">
        <f>IF(Table1[[#This Row],[Is Data Valid]]=TRUE,EXP(0.578+0.332*((Table1[[#This Row],[Gestation (days)]]+0.5)/7)-0.00354*((Table1[[#This Row],[Gestation (days)]]+0.5)/7)^2)*Table1[[#This Row],[BW40_3705]],"")</f>
        <v/>
      </c>
      <c r="G5061" s="2" t="str">
        <f>IF(Table1[[#This Row],[Is Data Valid]]=TRUE,((Table1[[#This Row],[Birthweight (grams)]]/Table1[[#This Row],[BW_GA]])-1)/(Backend!$B$4/100*Table1[[#This Row],[BW40_3705]]),"")</f>
        <v/>
      </c>
      <c r="H5061" s="7" t="str">
        <f>IF(Table1[[#This Row],[Is Data Valid]]=TRUE,((Table1[[#This Row],[Birthweight (grams)]]*0.9/Table1[[#This Row],[BW_GA]])-1)/(Backend!$B$4/100*Table1[[#This Row],[BW40_3705]]),"")</f>
        <v/>
      </c>
      <c r="I5061" s="7" t="str">
        <f>IF(Table1[[#This Row],[Is Data Valid]]=TRUE,((Table1[[#This Row],[Birthweight (grams)]]*1.1/Table1[[#This Row],[BW_GA]])-1)/(Backend!$B$4/100*Table1[[#This Row],[BW40_3705]]),"")</f>
        <v/>
      </c>
      <c r="J5061" s="7" t="str">
        <f>IF(Table1[[#This Row],[Is Data Valid]]=TRUE,_xlfn.NORM.S.DIST(Table1[[#This Row],[Birthweight Z-Score]],TRUE)*100,"")</f>
        <v/>
      </c>
      <c r="K5061" s="7" t="str">
        <f>IF(Table1[[#This Row],[Is Data Valid]]=TRUE,_xlfn.NORM.S.DIST(Table1[[#This Row],[Birthweight Z-Score (BW-10%)]],TRUE)*100,"")</f>
        <v/>
      </c>
      <c r="L5061" s="7" t="str">
        <f>IF(Table1[[#This Row],[Is Data Valid]]=TRUE,_xlfn.NORM.S.DIST(Table1[[#This Row],[Birthweight Z-Score (BW+10%)]],TRUE)*100,"")</f>
        <v/>
      </c>
    </row>
    <row r="5062" spans="1:12" x14ac:dyDescent="0.35">
      <c r="A5062" s="3"/>
      <c r="B5062" s="2"/>
      <c r="C5062" s="2"/>
      <c r="D5062" s="2" t="b">
        <f>IF(AND(NOT(ISBLANK(Table1[[#This Row],[Fetal Sex (Male, Female or Unknown)]])),ISNUMBER(Table1[[#This Row],[Birthweight (grams)]]),ISNUMBER(Table1[[#This Row],[Gestation (days)]])),TRUE,FALSE)</f>
        <v>0</v>
      </c>
      <c r="E5062" s="2" t="str">
        <f>IF(Table1[[#This Row],[Is Data Valid]]=TRUE,IF(Table1[[#This Row],[Fetal Sex (Male, Female or Unknown)]]="Male",Backend!$C$6,IF(Table1[[#This Row],[Fetal Sex (Male, Female or Unknown)]]="Female",Backend!$C$7,IF(Table1[[#This Row],[Fetal Sex (Male, Female or Unknown)]]="Unknown",Backend!$C$8,"Error"))),"")</f>
        <v/>
      </c>
      <c r="F5062" s="8" t="str">
        <f>IF(Table1[[#This Row],[Is Data Valid]]=TRUE,EXP(0.578+0.332*((Table1[[#This Row],[Gestation (days)]]+0.5)/7)-0.00354*((Table1[[#This Row],[Gestation (days)]]+0.5)/7)^2)*Table1[[#This Row],[BW40_3705]],"")</f>
        <v/>
      </c>
      <c r="G5062" s="2" t="str">
        <f>IF(Table1[[#This Row],[Is Data Valid]]=TRUE,((Table1[[#This Row],[Birthweight (grams)]]/Table1[[#This Row],[BW_GA]])-1)/(Backend!$B$4/100*Table1[[#This Row],[BW40_3705]]),"")</f>
        <v/>
      </c>
      <c r="H5062" s="7" t="str">
        <f>IF(Table1[[#This Row],[Is Data Valid]]=TRUE,((Table1[[#This Row],[Birthweight (grams)]]*0.9/Table1[[#This Row],[BW_GA]])-1)/(Backend!$B$4/100*Table1[[#This Row],[BW40_3705]]),"")</f>
        <v/>
      </c>
      <c r="I5062" s="7" t="str">
        <f>IF(Table1[[#This Row],[Is Data Valid]]=TRUE,((Table1[[#This Row],[Birthweight (grams)]]*1.1/Table1[[#This Row],[BW_GA]])-1)/(Backend!$B$4/100*Table1[[#This Row],[BW40_3705]]),"")</f>
        <v/>
      </c>
      <c r="J5062" s="7" t="str">
        <f>IF(Table1[[#This Row],[Is Data Valid]]=TRUE,_xlfn.NORM.S.DIST(Table1[[#This Row],[Birthweight Z-Score]],TRUE)*100,"")</f>
        <v/>
      </c>
      <c r="K5062" s="7" t="str">
        <f>IF(Table1[[#This Row],[Is Data Valid]]=TRUE,_xlfn.NORM.S.DIST(Table1[[#This Row],[Birthweight Z-Score (BW-10%)]],TRUE)*100,"")</f>
        <v/>
      </c>
      <c r="L5062" s="7" t="str">
        <f>IF(Table1[[#This Row],[Is Data Valid]]=TRUE,_xlfn.NORM.S.DIST(Table1[[#This Row],[Birthweight Z-Score (BW+10%)]],TRUE)*100,"")</f>
        <v/>
      </c>
    </row>
    <row r="5063" spans="1:12" x14ac:dyDescent="0.35">
      <c r="A5063" s="3"/>
      <c r="B5063" s="2"/>
      <c r="C5063" s="2"/>
      <c r="D5063" s="2" t="b">
        <f>IF(AND(NOT(ISBLANK(Table1[[#This Row],[Fetal Sex (Male, Female or Unknown)]])),ISNUMBER(Table1[[#This Row],[Birthweight (grams)]]),ISNUMBER(Table1[[#This Row],[Gestation (days)]])),TRUE,FALSE)</f>
        <v>0</v>
      </c>
      <c r="E5063" s="2" t="str">
        <f>IF(Table1[[#This Row],[Is Data Valid]]=TRUE,IF(Table1[[#This Row],[Fetal Sex (Male, Female or Unknown)]]="Male",Backend!$C$6,IF(Table1[[#This Row],[Fetal Sex (Male, Female or Unknown)]]="Female",Backend!$C$7,IF(Table1[[#This Row],[Fetal Sex (Male, Female or Unknown)]]="Unknown",Backend!$C$8,"Error"))),"")</f>
        <v/>
      </c>
      <c r="F5063" s="8" t="str">
        <f>IF(Table1[[#This Row],[Is Data Valid]]=TRUE,EXP(0.578+0.332*((Table1[[#This Row],[Gestation (days)]]+0.5)/7)-0.00354*((Table1[[#This Row],[Gestation (days)]]+0.5)/7)^2)*Table1[[#This Row],[BW40_3705]],"")</f>
        <v/>
      </c>
      <c r="G5063" s="2" t="str">
        <f>IF(Table1[[#This Row],[Is Data Valid]]=TRUE,((Table1[[#This Row],[Birthweight (grams)]]/Table1[[#This Row],[BW_GA]])-1)/(Backend!$B$4/100*Table1[[#This Row],[BW40_3705]]),"")</f>
        <v/>
      </c>
      <c r="H5063" s="7" t="str">
        <f>IF(Table1[[#This Row],[Is Data Valid]]=TRUE,((Table1[[#This Row],[Birthweight (grams)]]*0.9/Table1[[#This Row],[BW_GA]])-1)/(Backend!$B$4/100*Table1[[#This Row],[BW40_3705]]),"")</f>
        <v/>
      </c>
      <c r="I5063" s="7" t="str">
        <f>IF(Table1[[#This Row],[Is Data Valid]]=TRUE,((Table1[[#This Row],[Birthweight (grams)]]*1.1/Table1[[#This Row],[BW_GA]])-1)/(Backend!$B$4/100*Table1[[#This Row],[BW40_3705]]),"")</f>
        <v/>
      </c>
      <c r="J5063" s="7" t="str">
        <f>IF(Table1[[#This Row],[Is Data Valid]]=TRUE,_xlfn.NORM.S.DIST(Table1[[#This Row],[Birthweight Z-Score]],TRUE)*100,"")</f>
        <v/>
      </c>
      <c r="K5063" s="7" t="str">
        <f>IF(Table1[[#This Row],[Is Data Valid]]=TRUE,_xlfn.NORM.S.DIST(Table1[[#This Row],[Birthweight Z-Score (BW-10%)]],TRUE)*100,"")</f>
        <v/>
      </c>
      <c r="L5063" s="7" t="str">
        <f>IF(Table1[[#This Row],[Is Data Valid]]=TRUE,_xlfn.NORM.S.DIST(Table1[[#This Row],[Birthweight Z-Score (BW+10%)]],TRUE)*100,"")</f>
        <v/>
      </c>
    </row>
    <row r="5064" spans="1:12" x14ac:dyDescent="0.35">
      <c r="A5064" s="3"/>
      <c r="B5064" s="2"/>
      <c r="C5064" s="2"/>
      <c r="D5064" s="2" t="b">
        <f>IF(AND(NOT(ISBLANK(Table1[[#This Row],[Fetal Sex (Male, Female or Unknown)]])),ISNUMBER(Table1[[#This Row],[Birthweight (grams)]]),ISNUMBER(Table1[[#This Row],[Gestation (days)]])),TRUE,FALSE)</f>
        <v>0</v>
      </c>
      <c r="E5064" s="2" t="str">
        <f>IF(Table1[[#This Row],[Is Data Valid]]=TRUE,IF(Table1[[#This Row],[Fetal Sex (Male, Female or Unknown)]]="Male",Backend!$C$6,IF(Table1[[#This Row],[Fetal Sex (Male, Female or Unknown)]]="Female",Backend!$C$7,IF(Table1[[#This Row],[Fetal Sex (Male, Female or Unknown)]]="Unknown",Backend!$C$8,"Error"))),"")</f>
        <v/>
      </c>
      <c r="F5064" s="8" t="str">
        <f>IF(Table1[[#This Row],[Is Data Valid]]=TRUE,EXP(0.578+0.332*((Table1[[#This Row],[Gestation (days)]]+0.5)/7)-0.00354*((Table1[[#This Row],[Gestation (days)]]+0.5)/7)^2)*Table1[[#This Row],[BW40_3705]],"")</f>
        <v/>
      </c>
      <c r="G5064" s="2" t="str">
        <f>IF(Table1[[#This Row],[Is Data Valid]]=TRUE,((Table1[[#This Row],[Birthweight (grams)]]/Table1[[#This Row],[BW_GA]])-1)/(Backend!$B$4/100*Table1[[#This Row],[BW40_3705]]),"")</f>
        <v/>
      </c>
      <c r="H5064" s="7" t="str">
        <f>IF(Table1[[#This Row],[Is Data Valid]]=TRUE,((Table1[[#This Row],[Birthweight (grams)]]*0.9/Table1[[#This Row],[BW_GA]])-1)/(Backend!$B$4/100*Table1[[#This Row],[BW40_3705]]),"")</f>
        <v/>
      </c>
      <c r="I5064" s="7" t="str">
        <f>IF(Table1[[#This Row],[Is Data Valid]]=TRUE,((Table1[[#This Row],[Birthweight (grams)]]*1.1/Table1[[#This Row],[BW_GA]])-1)/(Backend!$B$4/100*Table1[[#This Row],[BW40_3705]]),"")</f>
        <v/>
      </c>
      <c r="J5064" s="7" t="str">
        <f>IF(Table1[[#This Row],[Is Data Valid]]=TRUE,_xlfn.NORM.S.DIST(Table1[[#This Row],[Birthweight Z-Score]],TRUE)*100,"")</f>
        <v/>
      </c>
      <c r="K5064" s="7" t="str">
        <f>IF(Table1[[#This Row],[Is Data Valid]]=TRUE,_xlfn.NORM.S.DIST(Table1[[#This Row],[Birthweight Z-Score (BW-10%)]],TRUE)*100,"")</f>
        <v/>
      </c>
      <c r="L5064" s="7" t="str">
        <f>IF(Table1[[#This Row],[Is Data Valid]]=TRUE,_xlfn.NORM.S.DIST(Table1[[#This Row],[Birthweight Z-Score (BW+10%)]],TRUE)*100,"")</f>
        <v/>
      </c>
    </row>
    <row r="5065" spans="1:12" x14ac:dyDescent="0.35">
      <c r="A5065" s="3"/>
      <c r="B5065" s="2"/>
      <c r="C5065" s="2"/>
      <c r="D5065" s="2" t="b">
        <f>IF(AND(NOT(ISBLANK(Table1[[#This Row],[Fetal Sex (Male, Female or Unknown)]])),ISNUMBER(Table1[[#This Row],[Birthweight (grams)]]),ISNUMBER(Table1[[#This Row],[Gestation (days)]])),TRUE,FALSE)</f>
        <v>0</v>
      </c>
      <c r="E5065" s="2" t="str">
        <f>IF(Table1[[#This Row],[Is Data Valid]]=TRUE,IF(Table1[[#This Row],[Fetal Sex (Male, Female or Unknown)]]="Male",Backend!$C$6,IF(Table1[[#This Row],[Fetal Sex (Male, Female or Unknown)]]="Female",Backend!$C$7,IF(Table1[[#This Row],[Fetal Sex (Male, Female or Unknown)]]="Unknown",Backend!$C$8,"Error"))),"")</f>
        <v/>
      </c>
      <c r="F5065" s="8" t="str">
        <f>IF(Table1[[#This Row],[Is Data Valid]]=TRUE,EXP(0.578+0.332*((Table1[[#This Row],[Gestation (days)]]+0.5)/7)-0.00354*((Table1[[#This Row],[Gestation (days)]]+0.5)/7)^2)*Table1[[#This Row],[BW40_3705]],"")</f>
        <v/>
      </c>
      <c r="G5065" s="2" t="str">
        <f>IF(Table1[[#This Row],[Is Data Valid]]=TRUE,((Table1[[#This Row],[Birthweight (grams)]]/Table1[[#This Row],[BW_GA]])-1)/(Backend!$B$4/100*Table1[[#This Row],[BW40_3705]]),"")</f>
        <v/>
      </c>
      <c r="H5065" s="7" t="str">
        <f>IF(Table1[[#This Row],[Is Data Valid]]=TRUE,((Table1[[#This Row],[Birthweight (grams)]]*0.9/Table1[[#This Row],[BW_GA]])-1)/(Backend!$B$4/100*Table1[[#This Row],[BW40_3705]]),"")</f>
        <v/>
      </c>
      <c r="I5065" s="7" t="str">
        <f>IF(Table1[[#This Row],[Is Data Valid]]=TRUE,((Table1[[#This Row],[Birthweight (grams)]]*1.1/Table1[[#This Row],[BW_GA]])-1)/(Backend!$B$4/100*Table1[[#This Row],[BW40_3705]]),"")</f>
        <v/>
      </c>
      <c r="J5065" s="7" t="str">
        <f>IF(Table1[[#This Row],[Is Data Valid]]=TRUE,_xlfn.NORM.S.DIST(Table1[[#This Row],[Birthweight Z-Score]],TRUE)*100,"")</f>
        <v/>
      </c>
      <c r="K5065" s="7" t="str">
        <f>IF(Table1[[#This Row],[Is Data Valid]]=TRUE,_xlfn.NORM.S.DIST(Table1[[#This Row],[Birthweight Z-Score (BW-10%)]],TRUE)*100,"")</f>
        <v/>
      </c>
      <c r="L5065" s="7" t="str">
        <f>IF(Table1[[#This Row],[Is Data Valid]]=TRUE,_xlfn.NORM.S.DIST(Table1[[#This Row],[Birthweight Z-Score (BW+10%)]],TRUE)*100,"")</f>
        <v/>
      </c>
    </row>
    <row r="5066" spans="1:12" x14ac:dyDescent="0.35">
      <c r="A5066" s="3"/>
      <c r="B5066" s="2"/>
      <c r="C5066" s="2"/>
      <c r="D5066" s="2" t="b">
        <f>IF(AND(NOT(ISBLANK(Table1[[#This Row],[Fetal Sex (Male, Female or Unknown)]])),ISNUMBER(Table1[[#This Row],[Birthweight (grams)]]),ISNUMBER(Table1[[#This Row],[Gestation (days)]])),TRUE,FALSE)</f>
        <v>0</v>
      </c>
      <c r="E5066" s="2" t="str">
        <f>IF(Table1[[#This Row],[Is Data Valid]]=TRUE,IF(Table1[[#This Row],[Fetal Sex (Male, Female or Unknown)]]="Male",Backend!$C$6,IF(Table1[[#This Row],[Fetal Sex (Male, Female or Unknown)]]="Female",Backend!$C$7,IF(Table1[[#This Row],[Fetal Sex (Male, Female or Unknown)]]="Unknown",Backend!$C$8,"Error"))),"")</f>
        <v/>
      </c>
      <c r="F5066" s="8" t="str">
        <f>IF(Table1[[#This Row],[Is Data Valid]]=TRUE,EXP(0.578+0.332*((Table1[[#This Row],[Gestation (days)]]+0.5)/7)-0.00354*((Table1[[#This Row],[Gestation (days)]]+0.5)/7)^2)*Table1[[#This Row],[BW40_3705]],"")</f>
        <v/>
      </c>
      <c r="G5066" s="2" t="str">
        <f>IF(Table1[[#This Row],[Is Data Valid]]=TRUE,((Table1[[#This Row],[Birthweight (grams)]]/Table1[[#This Row],[BW_GA]])-1)/(Backend!$B$4/100*Table1[[#This Row],[BW40_3705]]),"")</f>
        <v/>
      </c>
      <c r="H5066" s="7" t="str">
        <f>IF(Table1[[#This Row],[Is Data Valid]]=TRUE,((Table1[[#This Row],[Birthweight (grams)]]*0.9/Table1[[#This Row],[BW_GA]])-1)/(Backend!$B$4/100*Table1[[#This Row],[BW40_3705]]),"")</f>
        <v/>
      </c>
      <c r="I5066" s="7" t="str">
        <f>IF(Table1[[#This Row],[Is Data Valid]]=TRUE,((Table1[[#This Row],[Birthweight (grams)]]*1.1/Table1[[#This Row],[BW_GA]])-1)/(Backend!$B$4/100*Table1[[#This Row],[BW40_3705]]),"")</f>
        <v/>
      </c>
      <c r="J5066" s="7" t="str">
        <f>IF(Table1[[#This Row],[Is Data Valid]]=TRUE,_xlfn.NORM.S.DIST(Table1[[#This Row],[Birthweight Z-Score]],TRUE)*100,"")</f>
        <v/>
      </c>
      <c r="K5066" s="7" t="str">
        <f>IF(Table1[[#This Row],[Is Data Valid]]=TRUE,_xlfn.NORM.S.DIST(Table1[[#This Row],[Birthweight Z-Score (BW-10%)]],TRUE)*100,"")</f>
        <v/>
      </c>
      <c r="L5066" s="7" t="str">
        <f>IF(Table1[[#This Row],[Is Data Valid]]=TRUE,_xlfn.NORM.S.DIST(Table1[[#This Row],[Birthweight Z-Score (BW+10%)]],TRUE)*100,"")</f>
        <v/>
      </c>
    </row>
    <row r="5067" spans="1:12" x14ac:dyDescent="0.35">
      <c r="A5067" s="3"/>
      <c r="B5067" s="2"/>
      <c r="C5067" s="2"/>
      <c r="D5067" s="2" t="b">
        <f>IF(AND(NOT(ISBLANK(Table1[[#This Row],[Fetal Sex (Male, Female or Unknown)]])),ISNUMBER(Table1[[#This Row],[Birthweight (grams)]]),ISNUMBER(Table1[[#This Row],[Gestation (days)]])),TRUE,FALSE)</f>
        <v>0</v>
      </c>
      <c r="E5067" s="2" t="str">
        <f>IF(Table1[[#This Row],[Is Data Valid]]=TRUE,IF(Table1[[#This Row],[Fetal Sex (Male, Female or Unknown)]]="Male",Backend!$C$6,IF(Table1[[#This Row],[Fetal Sex (Male, Female or Unknown)]]="Female",Backend!$C$7,IF(Table1[[#This Row],[Fetal Sex (Male, Female or Unknown)]]="Unknown",Backend!$C$8,"Error"))),"")</f>
        <v/>
      </c>
      <c r="F5067" s="8" t="str">
        <f>IF(Table1[[#This Row],[Is Data Valid]]=TRUE,EXP(0.578+0.332*((Table1[[#This Row],[Gestation (days)]]+0.5)/7)-0.00354*((Table1[[#This Row],[Gestation (days)]]+0.5)/7)^2)*Table1[[#This Row],[BW40_3705]],"")</f>
        <v/>
      </c>
      <c r="G5067" s="2" t="str">
        <f>IF(Table1[[#This Row],[Is Data Valid]]=TRUE,((Table1[[#This Row],[Birthweight (grams)]]/Table1[[#This Row],[BW_GA]])-1)/(Backend!$B$4/100*Table1[[#This Row],[BW40_3705]]),"")</f>
        <v/>
      </c>
      <c r="H5067" s="7" t="str">
        <f>IF(Table1[[#This Row],[Is Data Valid]]=TRUE,((Table1[[#This Row],[Birthweight (grams)]]*0.9/Table1[[#This Row],[BW_GA]])-1)/(Backend!$B$4/100*Table1[[#This Row],[BW40_3705]]),"")</f>
        <v/>
      </c>
      <c r="I5067" s="7" t="str">
        <f>IF(Table1[[#This Row],[Is Data Valid]]=TRUE,((Table1[[#This Row],[Birthweight (grams)]]*1.1/Table1[[#This Row],[BW_GA]])-1)/(Backend!$B$4/100*Table1[[#This Row],[BW40_3705]]),"")</f>
        <v/>
      </c>
      <c r="J5067" s="7" t="str">
        <f>IF(Table1[[#This Row],[Is Data Valid]]=TRUE,_xlfn.NORM.S.DIST(Table1[[#This Row],[Birthweight Z-Score]],TRUE)*100,"")</f>
        <v/>
      </c>
      <c r="K5067" s="7" t="str">
        <f>IF(Table1[[#This Row],[Is Data Valid]]=TRUE,_xlfn.NORM.S.DIST(Table1[[#This Row],[Birthweight Z-Score (BW-10%)]],TRUE)*100,"")</f>
        <v/>
      </c>
      <c r="L5067" s="7" t="str">
        <f>IF(Table1[[#This Row],[Is Data Valid]]=TRUE,_xlfn.NORM.S.DIST(Table1[[#This Row],[Birthweight Z-Score (BW+10%)]],TRUE)*100,"")</f>
        <v/>
      </c>
    </row>
    <row r="5068" spans="1:12" x14ac:dyDescent="0.35">
      <c r="A5068" s="3"/>
      <c r="B5068" s="2"/>
      <c r="C5068" s="2"/>
      <c r="D5068" s="2" t="b">
        <f>IF(AND(NOT(ISBLANK(Table1[[#This Row],[Fetal Sex (Male, Female or Unknown)]])),ISNUMBER(Table1[[#This Row],[Birthweight (grams)]]),ISNUMBER(Table1[[#This Row],[Gestation (days)]])),TRUE,FALSE)</f>
        <v>0</v>
      </c>
      <c r="E5068" s="2" t="str">
        <f>IF(Table1[[#This Row],[Is Data Valid]]=TRUE,IF(Table1[[#This Row],[Fetal Sex (Male, Female or Unknown)]]="Male",Backend!$C$6,IF(Table1[[#This Row],[Fetal Sex (Male, Female or Unknown)]]="Female",Backend!$C$7,IF(Table1[[#This Row],[Fetal Sex (Male, Female or Unknown)]]="Unknown",Backend!$C$8,"Error"))),"")</f>
        <v/>
      </c>
      <c r="F5068" s="8" t="str">
        <f>IF(Table1[[#This Row],[Is Data Valid]]=TRUE,EXP(0.578+0.332*((Table1[[#This Row],[Gestation (days)]]+0.5)/7)-0.00354*((Table1[[#This Row],[Gestation (days)]]+0.5)/7)^2)*Table1[[#This Row],[BW40_3705]],"")</f>
        <v/>
      </c>
      <c r="G5068" s="2" t="str">
        <f>IF(Table1[[#This Row],[Is Data Valid]]=TRUE,((Table1[[#This Row],[Birthweight (grams)]]/Table1[[#This Row],[BW_GA]])-1)/(Backend!$B$4/100*Table1[[#This Row],[BW40_3705]]),"")</f>
        <v/>
      </c>
      <c r="H5068" s="7" t="str">
        <f>IF(Table1[[#This Row],[Is Data Valid]]=TRUE,((Table1[[#This Row],[Birthweight (grams)]]*0.9/Table1[[#This Row],[BW_GA]])-1)/(Backend!$B$4/100*Table1[[#This Row],[BW40_3705]]),"")</f>
        <v/>
      </c>
      <c r="I5068" s="7" t="str">
        <f>IF(Table1[[#This Row],[Is Data Valid]]=TRUE,((Table1[[#This Row],[Birthweight (grams)]]*1.1/Table1[[#This Row],[BW_GA]])-1)/(Backend!$B$4/100*Table1[[#This Row],[BW40_3705]]),"")</f>
        <v/>
      </c>
      <c r="J5068" s="7" t="str">
        <f>IF(Table1[[#This Row],[Is Data Valid]]=TRUE,_xlfn.NORM.S.DIST(Table1[[#This Row],[Birthweight Z-Score]],TRUE)*100,"")</f>
        <v/>
      </c>
      <c r="K5068" s="7" t="str">
        <f>IF(Table1[[#This Row],[Is Data Valid]]=TRUE,_xlfn.NORM.S.DIST(Table1[[#This Row],[Birthweight Z-Score (BW-10%)]],TRUE)*100,"")</f>
        <v/>
      </c>
      <c r="L5068" s="7" t="str">
        <f>IF(Table1[[#This Row],[Is Data Valid]]=TRUE,_xlfn.NORM.S.DIST(Table1[[#This Row],[Birthweight Z-Score (BW+10%)]],TRUE)*100,"")</f>
        <v/>
      </c>
    </row>
    <row r="5069" spans="1:12" x14ac:dyDescent="0.35">
      <c r="A5069" s="3"/>
      <c r="B5069" s="2"/>
      <c r="C5069" s="2"/>
      <c r="D5069" s="2" t="b">
        <f>IF(AND(NOT(ISBLANK(Table1[[#This Row],[Fetal Sex (Male, Female or Unknown)]])),ISNUMBER(Table1[[#This Row],[Birthweight (grams)]]),ISNUMBER(Table1[[#This Row],[Gestation (days)]])),TRUE,FALSE)</f>
        <v>0</v>
      </c>
      <c r="E5069" s="2" t="str">
        <f>IF(Table1[[#This Row],[Is Data Valid]]=TRUE,IF(Table1[[#This Row],[Fetal Sex (Male, Female or Unknown)]]="Male",Backend!$C$6,IF(Table1[[#This Row],[Fetal Sex (Male, Female or Unknown)]]="Female",Backend!$C$7,IF(Table1[[#This Row],[Fetal Sex (Male, Female or Unknown)]]="Unknown",Backend!$C$8,"Error"))),"")</f>
        <v/>
      </c>
      <c r="F5069" s="8" t="str">
        <f>IF(Table1[[#This Row],[Is Data Valid]]=TRUE,EXP(0.578+0.332*((Table1[[#This Row],[Gestation (days)]]+0.5)/7)-0.00354*((Table1[[#This Row],[Gestation (days)]]+0.5)/7)^2)*Table1[[#This Row],[BW40_3705]],"")</f>
        <v/>
      </c>
      <c r="G5069" s="2" t="str">
        <f>IF(Table1[[#This Row],[Is Data Valid]]=TRUE,((Table1[[#This Row],[Birthweight (grams)]]/Table1[[#This Row],[BW_GA]])-1)/(Backend!$B$4/100*Table1[[#This Row],[BW40_3705]]),"")</f>
        <v/>
      </c>
      <c r="H5069" s="7" t="str">
        <f>IF(Table1[[#This Row],[Is Data Valid]]=TRUE,((Table1[[#This Row],[Birthweight (grams)]]*0.9/Table1[[#This Row],[BW_GA]])-1)/(Backend!$B$4/100*Table1[[#This Row],[BW40_3705]]),"")</f>
        <v/>
      </c>
      <c r="I5069" s="7" t="str">
        <f>IF(Table1[[#This Row],[Is Data Valid]]=TRUE,((Table1[[#This Row],[Birthweight (grams)]]*1.1/Table1[[#This Row],[BW_GA]])-1)/(Backend!$B$4/100*Table1[[#This Row],[BW40_3705]]),"")</f>
        <v/>
      </c>
      <c r="J5069" s="7" t="str">
        <f>IF(Table1[[#This Row],[Is Data Valid]]=TRUE,_xlfn.NORM.S.DIST(Table1[[#This Row],[Birthweight Z-Score]],TRUE)*100,"")</f>
        <v/>
      </c>
      <c r="K5069" s="7" t="str">
        <f>IF(Table1[[#This Row],[Is Data Valid]]=TRUE,_xlfn.NORM.S.DIST(Table1[[#This Row],[Birthweight Z-Score (BW-10%)]],TRUE)*100,"")</f>
        <v/>
      </c>
      <c r="L5069" s="7" t="str">
        <f>IF(Table1[[#This Row],[Is Data Valid]]=TRUE,_xlfn.NORM.S.DIST(Table1[[#This Row],[Birthweight Z-Score (BW+10%)]],TRUE)*100,"")</f>
        <v/>
      </c>
    </row>
    <row r="5070" spans="1:12" x14ac:dyDescent="0.35">
      <c r="A5070" s="3"/>
      <c r="B5070" s="2"/>
      <c r="C5070" s="2"/>
      <c r="D5070" s="2" t="b">
        <f>IF(AND(NOT(ISBLANK(Table1[[#This Row],[Fetal Sex (Male, Female or Unknown)]])),ISNUMBER(Table1[[#This Row],[Birthweight (grams)]]),ISNUMBER(Table1[[#This Row],[Gestation (days)]])),TRUE,FALSE)</f>
        <v>0</v>
      </c>
      <c r="E5070" s="2" t="str">
        <f>IF(Table1[[#This Row],[Is Data Valid]]=TRUE,IF(Table1[[#This Row],[Fetal Sex (Male, Female or Unknown)]]="Male",Backend!$C$6,IF(Table1[[#This Row],[Fetal Sex (Male, Female or Unknown)]]="Female",Backend!$C$7,IF(Table1[[#This Row],[Fetal Sex (Male, Female or Unknown)]]="Unknown",Backend!$C$8,"Error"))),"")</f>
        <v/>
      </c>
      <c r="F5070" s="8" t="str">
        <f>IF(Table1[[#This Row],[Is Data Valid]]=TRUE,EXP(0.578+0.332*((Table1[[#This Row],[Gestation (days)]]+0.5)/7)-0.00354*((Table1[[#This Row],[Gestation (days)]]+0.5)/7)^2)*Table1[[#This Row],[BW40_3705]],"")</f>
        <v/>
      </c>
      <c r="G5070" s="2" t="str">
        <f>IF(Table1[[#This Row],[Is Data Valid]]=TRUE,((Table1[[#This Row],[Birthweight (grams)]]/Table1[[#This Row],[BW_GA]])-1)/(Backend!$B$4/100*Table1[[#This Row],[BW40_3705]]),"")</f>
        <v/>
      </c>
      <c r="H5070" s="7" t="str">
        <f>IF(Table1[[#This Row],[Is Data Valid]]=TRUE,((Table1[[#This Row],[Birthweight (grams)]]*0.9/Table1[[#This Row],[BW_GA]])-1)/(Backend!$B$4/100*Table1[[#This Row],[BW40_3705]]),"")</f>
        <v/>
      </c>
      <c r="I5070" s="7" t="str">
        <f>IF(Table1[[#This Row],[Is Data Valid]]=TRUE,((Table1[[#This Row],[Birthweight (grams)]]*1.1/Table1[[#This Row],[BW_GA]])-1)/(Backend!$B$4/100*Table1[[#This Row],[BW40_3705]]),"")</f>
        <v/>
      </c>
      <c r="J5070" s="7" t="str">
        <f>IF(Table1[[#This Row],[Is Data Valid]]=TRUE,_xlfn.NORM.S.DIST(Table1[[#This Row],[Birthweight Z-Score]],TRUE)*100,"")</f>
        <v/>
      </c>
      <c r="K5070" s="7" t="str">
        <f>IF(Table1[[#This Row],[Is Data Valid]]=TRUE,_xlfn.NORM.S.DIST(Table1[[#This Row],[Birthweight Z-Score (BW-10%)]],TRUE)*100,"")</f>
        <v/>
      </c>
      <c r="L5070" s="7" t="str">
        <f>IF(Table1[[#This Row],[Is Data Valid]]=TRUE,_xlfn.NORM.S.DIST(Table1[[#This Row],[Birthweight Z-Score (BW+10%)]],TRUE)*100,"")</f>
        <v/>
      </c>
    </row>
    <row r="5071" spans="1:12" x14ac:dyDescent="0.35">
      <c r="A5071" s="3"/>
      <c r="B5071" s="2"/>
      <c r="C5071" s="2"/>
      <c r="D5071" s="2" t="b">
        <f>IF(AND(NOT(ISBLANK(Table1[[#This Row],[Fetal Sex (Male, Female or Unknown)]])),ISNUMBER(Table1[[#This Row],[Birthweight (grams)]]),ISNUMBER(Table1[[#This Row],[Gestation (days)]])),TRUE,FALSE)</f>
        <v>0</v>
      </c>
      <c r="E5071" s="2" t="str">
        <f>IF(Table1[[#This Row],[Is Data Valid]]=TRUE,IF(Table1[[#This Row],[Fetal Sex (Male, Female or Unknown)]]="Male",Backend!$C$6,IF(Table1[[#This Row],[Fetal Sex (Male, Female or Unknown)]]="Female",Backend!$C$7,IF(Table1[[#This Row],[Fetal Sex (Male, Female or Unknown)]]="Unknown",Backend!$C$8,"Error"))),"")</f>
        <v/>
      </c>
      <c r="F5071" s="8" t="str">
        <f>IF(Table1[[#This Row],[Is Data Valid]]=TRUE,EXP(0.578+0.332*((Table1[[#This Row],[Gestation (days)]]+0.5)/7)-0.00354*((Table1[[#This Row],[Gestation (days)]]+0.5)/7)^2)*Table1[[#This Row],[BW40_3705]],"")</f>
        <v/>
      </c>
      <c r="G5071" s="2" t="str">
        <f>IF(Table1[[#This Row],[Is Data Valid]]=TRUE,((Table1[[#This Row],[Birthweight (grams)]]/Table1[[#This Row],[BW_GA]])-1)/(Backend!$B$4/100*Table1[[#This Row],[BW40_3705]]),"")</f>
        <v/>
      </c>
      <c r="H5071" s="7" t="str">
        <f>IF(Table1[[#This Row],[Is Data Valid]]=TRUE,((Table1[[#This Row],[Birthweight (grams)]]*0.9/Table1[[#This Row],[BW_GA]])-1)/(Backend!$B$4/100*Table1[[#This Row],[BW40_3705]]),"")</f>
        <v/>
      </c>
      <c r="I5071" s="7" t="str">
        <f>IF(Table1[[#This Row],[Is Data Valid]]=TRUE,((Table1[[#This Row],[Birthweight (grams)]]*1.1/Table1[[#This Row],[BW_GA]])-1)/(Backend!$B$4/100*Table1[[#This Row],[BW40_3705]]),"")</f>
        <v/>
      </c>
      <c r="J5071" s="7" t="str">
        <f>IF(Table1[[#This Row],[Is Data Valid]]=TRUE,_xlfn.NORM.S.DIST(Table1[[#This Row],[Birthweight Z-Score]],TRUE)*100,"")</f>
        <v/>
      </c>
      <c r="K5071" s="7" t="str">
        <f>IF(Table1[[#This Row],[Is Data Valid]]=TRUE,_xlfn.NORM.S.DIST(Table1[[#This Row],[Birthweight Z-Score (BW-10%)]],TRUE)*100,"")</f>
        <v/>
      </c>
      <c r="L5071" s="7" t="str">
        <f>IF(Table1[[#This Row],[Is Data Valid]]=TRUE,_xlfn.NORM.S.DIST(Table1[[#This Row],[Birthweight Z-Score (BW+10%)]],TRUE)*100,"")</f>
        <v/>
      </c>
    </row>
    <row r="5072" spans="1:12" x14ac:dyDescent="0.35">
      <c r="A5072" s="3"/>
      <c r="B5072" s="2"/>
      <c r="C5072" s="2"/>
      <c r="D5072" s="2" t="b">
        <f>IF(AND(NOT(ISBLANK(Table1[[#This Row],[Fetal Sex (Male, Female or Unknown)]])),ISNUMBER(Table1[[#This Row],[Birthweight (grams)]]),ISNUMBER(Table1[[#This Row],[Gestation (days)]])),TRUE,FALSE)</f>
        <v>0</v>
      </c>
      <c r="E5072" s="2" t="str">
        <f>IF(Table1[[#This Row],[Is Data Valid]]=TRUE,IF(Table1[[#This Row],[Fetal Sex (Male, Female or Unknown)]]="Male",Backend!$C$6,IF(Table1[[#This Row],[Fetal Sex (Male, Female or Unknown)]]="Female",Backend!$C$7,IF(Table1[[#This Row],[Fetal Sex (Male, Female or Unknown)]]="Unknown",Backend!$C$8,"Error"))),"")</f>
        <v/>
      </c>
      <c r="F5072" s="8" t="str">
        <f>IF(Table1[[#This Row],[Is Data Valid]]=TRUE,EXP(0.578+0.332*((Table1[[#This Row],[Gestation (days)]]+0.5)/7)-0.00354*((Table1[[#This Row],[Gestation (days)]]+0.5)/7)^2)*Table1[[#This Row],[BW40_3705]],"")</f>
        <v/>
      </c>
      <c r="G5072" s="2" t="str">
        <f>IF(Table1[[#This Row],[Is Data Valid]]=TRUE,((Table1[[#This Row],[Birthweight (grams)]]/Table1[[#This Row],[BW_GA]])-1)/(Backend!$B$4/100*Table1[[#This Row],[BW40_3705]]),"")</f>
        <v/>
      </c>
      <c r="H5072" s="7" t="str">
        <f>IF(Table1[[#This Row],[Is Data Valid]]=TRUE,((Table1[[#This Row],[Birthweight (grams)]]*0.9/Table1[[#This Row],[BW_GA]])-1)/(Backend!$B$4/100*Table1[[#This Row],[BW40_3705]]),"")</f>
        <v/>
      </c>
      <c r="I5072" s="7" t="str">
        <f>IF(Table1[[#This Row],[Is Data Valid]]=TRUE,((Table1[[#This Row],[Birthweight (grams)]]*1.1/Table1[[#This Row],[BW_GA]])-1)/(Backend!$B$4/100*Table1[[#This Row],[BW40_3705]]),"")</f>
        <v/>
      </c>
      <c r="J5072" s="7" t="str">
        <f>IF(Table1[[#This Row],[Is Data Valid]]=TRUE,_xlfn.NORM.S.DIST(Table1[[#This Row],[Birthweight Z-Score]],TRUE)*100,"")</f>
        <v/>
      </c>
      <c r="K5072" s="7" t="str">
        <f>IF(Table1[[#This Row],[Is Data Valid]]=TRUE,_xlfn.NORM.S.DIST(Table1[[#This Row],[Birthweight Z-Score (BW-10%)]],TRUE)*100,"")</f>
        <v/>
      </c>
      <c r="L5072" s="7" t="str">
        <f>IF(Table1[[#This Row],[Is Data Valid]]=TRUE,_xlfn.NORM.S.DIST(Table1[[#This Row],[Birthweight Z-Score (BW+10%)]],TRUE)*100,"")</f>
        <v/>
      </c>
    </row>
    <row r="5073" spans="1:12" x14ac:dyDescent="0.35">
      <c r="A5073" s="3"/>
      <c r="B5073" s="2"/>
      <c r="C5073" s="2"/>
      <c r="D5073" s="2" t="b">
        <f>IF(AND(NOT(ISBLANK(Table1[[#This Row],[Fetal Sex (Male, Female or Unknown)]])),ISNUMBER(Table1[[#This Row],[Birthweight (grams)]]),ISNUMBER(Table1[[#This Row],[Gestation (days)]])),TRUE,FALSE)</f>
        <v>0</v>
      </c>
      <c r="E5073" s="2" t="str">
        <f>IF(Table1[[#This Row],[Is Data Valid]]=TRUE,IF(Table1[[#This Row],[Fetal Sex (Male, Female or Unknown)]]="Male",Backend!$C$6,IF(Table1[[#This Row],[Fetal Sex (Male, Female or Unknown)]]="Female",Backend!$C$7,IF(Table1[[#This Row],[Fetal Sex (Male, Female or Unknown)]]="Unknown",Backend!$C$8,"Error"))),"")</f>
        <v/>
      </c>
      <c r="F5073" s="8" t="str">
        <f>IF(Table1[[#This Row],[Is Data Valid]]=TRUE,EXP(0.578+0.332*((Table1[[#This Row],[Gestation (days)]]+0.5)/7)-0.00354*((Table1[[#This Row],[Gestation (days)]]+0.5)/7)^2)*Table1[[#This Row],[BW40_3705]],"")</f>
        <v/>
      </c>
      <c r="G5073" s="2" t="str">
        <f>IF(Table1[[#This Row],[Is Data Valid]]=TRUE,((Table1[[#This Row],[Birthweight (grams)]]/Table1[[#This Row],[BW_GA]])-1)/(Backend!$B$4/100*Table1[[#This Row],[BW40_3705]]),"")</f>
        <v/>
      </c>
      <c r="H5073" s="7" t="str">
        <f>IF(Table1[[#This Row],[Is Data Valid]]=TRUE,((Table1[[#This Row],[Birthweight (grams)]]*0.9/Table1[[#This Row],[BW_GA]])-1)/(Backend!$B$4/100*Table1[[#This Row],[BW40_3705]]),"")</f>
        <v/>
      </c>
      <c r="I5073" s="7" t="str">
        <f>IF(Table1[[#This Row],[Is Data Valid]]=TRUE,((Table1[[#This Row],[Birthweight (grams)]]*1.1/Table1[[#This Row],[BW_GA]])-1)/(Backend!$B$4/100*Table1[[#This Row],[BW40_3705]]),"")</f>
        <v/>
      </c>
      <c r="J5073" s="7" t="str">
        <f>IF(Table1[[#This Row],[Is Data Valid]]=TRUE,_xlfn.NORM.S.DIST(Table1[[#This Row],[Birthweight Z-Score]],TRUE)*100,"")</f>
        <v/>
      </c>
      <c r="K5073" s="7" t="str">
        <f>IF(Table1[[#This Row],[Is Data Valid]]=TRUE,_xlfn.NORM.S.DIST(Table1[[#This Row],[Birthweight Z-Score (BW-10%)]],TRUE)*100,"")</f>
        <v/>
      </c>
      <c r="L5073" s="7" t="str">
        <f>IF(Table1[[#This Row],[Is Data Valid]]=TRUE,_xlfn.NORM.S.DIST(Table1[[#This Row],[Birthweight Z-Score (BW+10%)]],TRUE)*100,"")</f>
        <v/>
      </c>
    </row>
    <row r="5074" spans="1:12" x14ac:dyDescent="0.35">
      <c r="A5074" s="3"/>
      <c r="B5074" s="2"/>
      <c r="C5074" s="2"/>
      <c r="D5074" s="2" t="b">
        <f>IF(AND(NOT(ISBLANK(Table1[[#This Row],[Fetal Sex (Male, Female or Unknown)]])),ISNUMBER(Table1[[#This Row],[Birthweight (grams)]]),ISNUMBER(Table1[[#This Row],[Gestation (days)]])),TRUE,FALSE)</f>
        <v>0</v>
      </c>
      <c r="E5074" s="2" t="str">
        <f>IF(Table1[[#This Row],[Is Data Valid]]=TRUE,IF(Table1[[#This Row],[Fetal Sex (Male, Female or Unknown)]]="Male",Backend!$C$6,IF(Table1[[#This Row],[Fetal Sex (Male, Female or Unknown)]]="Female",Backend!$C$7,IF(Table1[[#This Row],[Fetal Sex (Male, Female or Unknown)]]="Unknown",Backend!$C$8,"Error"))),"")</f>
        <v/>
      </c>
      <c r="F5074" s="8" t="str">
        <f>IF(Table1[[#This Row],[Is Data Valid]]=TRUE,EXP(0.578+0.332*((Table1[[#This Row],[Gestation (days)]]+0.5)/7)-0.00354*((Table1[[#This Row],[Gestation (days)]]+0.5)/7)^2)*Table1[[#This Row],[BW40_3705]],"")</f>
        <v/>
      </c>
      <c r="G5074" s="2" t="str">
        <f>IF(Table1[[#This Row],[Is Data Valid]]=TRUE,((Table1[[#This Row],[Birthweight (grams)]]/Table1[[#This Row],[BW_GA]])-1)/(Backend!$B$4/100*Table1[[#This Row],[BW40_3705]]),"")</f>
        <v/>
      </c>
      <c r="H5074" s="7" t="str">
        <f>IF(Table1[[#This Row],[Is Data Valid]]=TRUE,((Table1[[#This Row],[Birthweight (grams)]]*0.9/Table1[[#This Row],[BW_GA]])-1)/(Backend!$B$4/100*Table1[[#This Row],[BW40_3705]]),"")</f>
        <v/>
      </c>
      <c r="I5074" s="7" t="str">
        <f>IF(Table1[[#This Row],[Is Data Valid]]=TRUE,((Table1[[#This Row],[Birthweight (grams)]]*1.1/Table1[[#This Row],[BW_GA]])-1)/(Backend!$B$4/100*Table1[[#This Row],[BW40_3705]]),"")</f>
        <v/>
      </c>
      <c r="J5074" s="7" t="str">
        <f>IF(Table1[[#This Row],[Is Data Valid]]=TRUE,_xlfn.NORM.S.DIST(Table1[[#This Row],[Birthweight Z-Score]],TRUE)*100,"")</f>
        <v/>
      </c>
      <c r="K5074" s="7" t="str">
        <f>IF(Table1[[#This Row],[Is Data Valid]]=TRUE,_xlfn.NORM.S.DIST(Table1[[#This Row],[Birthweight Z-Score (BW-10%)]],TRUE)*100,"")</f>
        <v/>
      </c>
      <c r="L5074" s="7" t="str">
        <f>IF(Table1[[#This Row],[Is Data Valid]]=TRUE,_xlfn.NORM.S.DIST(Table1[[#This Row],[Birthweight Z-Score (BW+10%)]],TRUE)*100,"")</f>
        <v/>
      </c>
    </row>
    <row r="5075" spans="1:12" x14ac:dyDescent="0.35">
      <c r="A5075" s="3"/>
      <c r="B5075" s="2"/>
      <c r="C5075" s="2"/>
      <c r="D5075" s="2" t="b">
        <f>IF(AND(NOT(ISBLANK(Table1[[#This Row],[Fetal Sex (Male, Female or Unknown)]])),ISNUMBER(Table1[[#This Row],[Birthweight (grams)]]),ISNUMBER(Table1[[#This Row],[Gestation (days)]])),TRUE,FALSE)</f>
        <v>0</v>
      </c>
      <c r="E5075" s="2" t="str">
        <f>IF(Table1[[#This Row],[Is Data Valid]]=TRUE,IF(Table1[[#This Row],[Fetal Sex (Male, Female or Unknown)]]="Male",Backend!$C$6,IF(Table1[[#This Row],[Fetal Sex (Male, Female or Unknown)]]="Female",Backend!$C$7,IF(Table1[[#This Row],[Fetal Sex (Male, Female or Unknown)]]="Unknown",Backend!$C$8,"Error"))),"")</f>
        <v/>
      </c>
      <c r="F5075" s="8" t="str">
        <f>IF(Table1[[#This Row],[Is Data Valid]]=TRUE,EXP(0.578+0.332*((Table1[[#This Row],[Gestation (days)]]+0.5)/7)-0.00354*((Table1[[#This Row],[Gestation (days)]]+0.5)/7)^2)*Table1[[#This Row],[BW40_3705]],"")</f>
        <v/>
      </c>
      <c r="G5075" s="2" t="str">
        <f>IF(Table1[[#This Row],[Is Data Valid]]=TRUE,((Table1[[#This Row],[Birthweight (grams)]]/Table1[[#This Row],[BW_GA]])-1)/(Backend!$B$4/100*Table1[[#This Row],[BW40_3705]]),"")</f>
        <v/>
      </c>
      <c r="H5075" s="7" t="str">
        <f>IF(Table1[[#This Row],[Is Data Valid]]=TRUE,((Table1[[#This Row],[Birthweight (grams)]]*0.9/Table1[[#This Row],[BW_GA]])-1)/(Backend!$B$4/100*Table1[[#This Row],[BW40_3705]]),"")</f>
        <v/>
      </c>
      <c r="I5075" s="7" t="str">
        <f>IF(Table1[[#This Row],[Is Data Valid]]=TRUE,((Table1[[#This Row],[Birthweight (grams)]]*1.1/Table1[[#This Row],[BW_GA]])-1)/(Backend!$B$4/100*Table1[[#This Row],[BW40_3705]]),"")</f>
        <v/>
      </c>
      <c r="J5075" s="7" t="str">
        <f>IF(Table1[[#This Row],[Is Data Valid]]=TRUE,_xlfn.NORM.S.DIST(Table1[[#This Row],[Birthweight Z-Score]],TRUE)*100,"")</f>
        <v/>
      </c>
      <c r="K5075" s="7" t="str">
        <f>IF(Table1[[#This Row],[Is Data Valid]]=TRUE,_xlfn.NORM.S.DIST(Table1[[#This Row],[Birthweight Z-Score (BW-10%)]],TRUE)*100,"")</f>
        <v/>
      </c>
      <c r="L5075" s="7" t="str">
        <f>IF(Table1[[#This Row],[Is Data Valid]]=TRUE,_xlfn.NORM.S.DIST(Table1[[#This Row],[Birthweight Z-Score (BW+10%)]],TRUE)*100,"")</f>
        <v/>
      </c>
    </row>
    <row r="5076" spans="1:12" x14ac:dyDescent="0.35">
      <c r="A5076" s="3"/>
      <c r="B5076" s="2"/>
      <c r="C5076" s="2"/>
      <c r="D5076" s="2" t="b">
        <f>IF(AND(NOT(ISBLANK(Table1[[#This Row],[Fetal Sex (Male, Female or Unknown)]])),ISNUMBER(Table1[[#This Row],[Birthweight (grams)]]),ISNUMBER(Table1[[#This Row],[Gestation (days)]])),TRUE,FALSE)</f>
        <v>0</v>
      </c>
      <c r="E5076" s="2" t="str">
        <f>IF(Table1[[#This Row],[Is Data Valid]]=TRUE,IF(Table1[[#This Row],[Fetal Sex (Male, Female or Unknown)]]="Male",Backend!$C$6,IF(Table1[[#This Row],[Fetal Sex (Male, Female or Unknown)]]="Female",Backend!$C$7,IF(Table1[[#This Row],[Fetal Sex (Male, Female or Unknown)]]="Unknown",Backend!$C$8,"Error"))),"")</f>
        <v/>
      </c>
      <c r="F5076" s="8" t="str">
        <f>IF(Table1[[#This Row],[Is Data Valid]]=TRUE,EXP(0.578+0.332*((Table1[[#This Row],[Gestation (days)]]+0.5)/7)-0.00354*((Table1[[#This Row],[Gestation (days)]]+0.5)/7)^2)*Table1[[#This Row],[BW40_3705]],"")</f>
        <v/>
      </c>
      <c r="G5076" s="2" t="str">
        <f>IF(Table1[[#This Row],[Is Data Valid]]=TRUE,((Table1[[#This Row],[Birthweight (grams)]]/Table1[[#This Row],[BW_GA]])-1)/(Backend!$B$4/100*Table1[[#This Row],[BW40_3705]]),"")</f>
        <v/>
      </c>
      <c r="H5076" s="7" t="str">
        <f>IF(Table1[[#This Row],[Is Data Valid]]=TRUE,((Table1[[#This Row],[Birthweight (grams)]]*0.9/Table1[[#This Row],[BW_GA]])-1)/(Backend!$B$4/100*Table1[[#This Row],[BW40_3705]]),"")</f>
        <v/>
      </c>
      <c r="I5076" s="7" t="str">
        <f>IF(Table1[[#This Row],[Is Data Valid]]=TRUE,((Table1[[#This Row],[Birthweight (grams)]]*1.1/Table1[[#This Row],[BW_GA]])-1)/(Backend!$B$4/100*Table1[[#This Row],[BW40_3705]]),"")</f>
        <v/>
      </c>
      <c r="J5076" s="7" t="str">
        <f>IF(Table1[[#This Row],[Is Data Valid]]=TRUE,_xlfn.NORM.S.DIST(Table1[[#This Row],[Birthweight Z-Score]],TRUE)*100,"")</f>
        <v/>
      </c>
      <c r="K5076" s="7" t="str">
        <f>IF(Table1[[#This Row],[Is Data Valid]]=TRUE,_xlfn.NORM.S.DIST(Table1[[#This Row],[Birthweight Z-Score (BW-10%)]],TRUE)*100,"")</f>
        <v/>
      </c>
      <c r="L5076" s="7" t="str">
        <f>IF(Table1[[#This Row],[Is Data Valid]]=TRUE,_xlfn.NORM.S.DIST(Table1[[#This Row],[Birthweight Z-Score (BW+10%)]],TRUE)*100,"")</f>
        <v/>
      </c>
    </row>
    <row r="5077" spans="1:12" x14ac:dyDescent="0.35">
      <c r="A5077" s="3"/>
      <c r="B5077" s="2"/>
      <c r="C5077" s="2"/>
      <c r="D5077" s="2" t="b">
        <f>IF(AND(NOT(ISBLANK(Table1[[#This Row],[Fetal Sex (Male, Female or Unknown)]])),ISNUMBER(Table1[[#This Row],[Birthweight (grams)]]),ISNUMBER(Table1[[#This Row],[Gestation (days)]])),TRUE,FALSE)</f>
        <v>0</v>
      </c>
      <c r="E5077" s="2" t="str">
        <f>IF(Table1[[#This Row],[Is Data Valid]]=TRUE,IF(Table1[[#This Row],[Fetal Sex (Male, Female or Unknown)]]="Male",Backend!$C$6,IF(Table1[[#This Row],[Fetal Sex (Male, Female or Unknown)]]="Female",Backend!$C$7,IF(Table1[[#This Row],[Fetal Sex (Male, Female or Unknown)]]="Unknown",Backend!$C$8,"Error"))),"")</f>
        <v/>
      </c>
      <c r="F5077" s="8" t="str">
        <f>IF(Table1[[#This Row],[Is Data Valid]]=TRUE,EXP(0.578+0.332*((Table1[[#This Row],[Gestation (days)]]+0.5)/7)-0.00354*((Table1[[#This Row],[Gestation (days)]]+0.5)/7)^2)*Table1[[#This Row],[BW40_3705]],"")</f>
        <v/>
      </c>
      <c r="G5077" s="2" t="str">
        <f>IF(Table1[[#This Row],[Is Data Valid]]=TRUE,((Table1[[#This Row],[Birthweight (grams)]]/Table1[[#This Row],[BW_GA]])-1)/(Backend!$B$4/100*Table1[[#This Row],[BW40_3705]]),"")</f>
        <v/>
      </c>
      <c r="H5077" s="7" t="str">
        <f>IF(Table1[[#This Row],[Is Data Valid]]=TRUE,((Table1[[#This Row],[Birthweight (grams)]]*0.9/Table1[[#This Row],[BW_GA]])-1)/(Backend!$B$4/100*Table1[[#This Row],[BW40_3705]]),"")</f>
        <v/>
      </c>
      <c r="I5077" s="7" t="str">
        <f>IF(Table1[[#This Row],[Is Data Valid]]=TRUE,((Table1[[#This Row],[Birthweight (grams)]]*1.1/Table1[[#This Row],[BW_GA]])-1)/(Backend!$B$4/100*Table1[[#This Row],[BW40_3705]]),"")</f>
        <v/>
      </c>
      <c r="J5077" s="7" t="str">
        <f>IF(Table1[[#This Row],[Is Data Valid]]=TRUE,_xlfn.NORM.S.DIST(Table1[[#This Row],[Birthweight Z-Score]],TRUE)*100,"")</f>
        <v/>
      </c>
      <c r="K5077" s="7" t="str">
        <f>IF(Table1[[#This Row],[Is Data Valid]]=TRUE,_xlfn.NORM.S.DIST(Table1[[#This Row],[Birthweight Z-Score (BW-10%)]],TRUE)*100,"")</f>
        <v/>
      </c>
      <c r="L5077" s="7" t="str">
        <f>IF(Table1[[#This Row],[Is Data Valid]]=TRUE,_xlfn.NORM.S.DIST(Table1[[#This Row],[Birthweight Z-Score (BW+10%)]],TRUE)*100,"")</f>
        <v/>
      </c>
    </row>
    <row r="5078" spans="1:12" x14ac:dyDescent="0.35">
      <c r="A5078" s="3"/>
      <c r="B5078" s="2"/>
      <c r="C5078" s="2"/>
      <c r="D5078" s="2" t="b">
        <f>IF(AND(NOT(ISBLANK(Table1[[#This Row],[Fetal Sex (Male, Female or Unknown)]])),ISNUMBER(Table1[[#This Row],[Birthweight (grams)]]),ISNUMBER(Table1[[#This Row],[Gestation (days)]])),TRUE,FALSE)</f>
        <v>0</v>
      </c>
      <c r="E5078" s="2" t="str">
        <f>IF(Table1[[#This Row],[Is Data Valid]]=TRUE,IF(Table1[[#This Row],[Fetal Sex (Male, Female or Unknown)]]="Male",Backend!$C$6,IF(Table1[[#This Row],[Fetal Sex (Male, Female or Unknown)]]="Female",Backend!$C$7,IF(Table1[[#This Row],[Fetal Sex (Male, Female or Unknown)]]="Unknown",Backend!$C$8,"Error"))),"")</f>
        <v/>
      </c>
      <c r="F5078" s="8" t="str">
        <f>IF(Table1[[#This Row],[Is Data Valid]]=TRUE,EXP(0.578+0.332*((Table1[[#This Row],[Gestation (days)]]+0.5)/7)-0.00354*((Table1[[#This Row],[Gestation (days)]]+0.5)/7)^2)*Table1[[#This Row],[BW40_3705]],"")</f>
        <v/>
      </c>
      <c r="G5078" s="2" t="str">
        <f>IF(Table1[[#This Row],[Is Data Valid]]=TRUE,((Table1[[#This Row],[Birthweight (grams)]]/Table1[[#This Row],[BW_GA]])-1)/(Backend!$B$4/100*Table1[[#This Row],[BW40_3705]]),"")</f>
        <v/>
      </c>
      <c r="H5078" s="7" t="str">
        <f>IF(Table1[[#This Row],[Is Data Valid]]=TRUE,((Table1[[#This Row],[Birthweight (grams)]]*0.9/Table1[[#This Row],[BW_GA]])-1)/(Backend!$B$4/100*Table1[[#This Row],[BW40_3705]]),"")</f>
        <v/>
      </c>
      <c r="I5078" s="7" t="str">
        <f>IF(Table1[[#This Row],[Is Data Valid]]=TRUE,((Table1[[#This Row],[Birthweight (grams)]]*1.1/Table1[[#This Row],[BW_GA]])-1)/(Backend!$B$4/100*Table1[[#This Row],[BW40_3705]]),"")</f>
        <v/>
      </c>
      <c r="J5078" s="7" t="str">
        <f>IF(Table1[[#This Row],[Is Data Valid]]=TRUE,_xlfn.NORM.S.DIST(Table1[[#This Row],[Birthweight Z-Score]],TRUE)*100,"")</f>
        <v/>
      </c>
      <c r="K5078" s="7" t="str">
        <f>IF(Table1[[#This Row],[Is Data Valid]]=TRUE,_xlfn.NORM.S.DIST(Table1[[#This Row],[Birthweight Z-Score (BW-10%)]],TRUE)*100,"")</f>
        <v/>
      </c>
      <c r="L5078" s="7" t="str">
        <f>IF(Table1[[#This Row],[Is Data Valid]]=TRUE,_xlfn.NORM.S.DIST(Table1[[#This Row],[Birthweight Z-Score (BW+10%)]],TRUE)*100,"")</f>
        <v/>
      </c>
    </row>
    <row r="5079" spans="1:12" x14ac:dyDescent="0.35">
      <c r="A5079" s="3"/>
      <c r="B5079" s="2"/>
      <c r="C5079" s="2"/>
      <c r="D5079" s="2" t="b">
        <f>IF(AND(NOT(ISBLANK(Table1[[#This Row],[Fetal Sex (Male, Female or Unknown)]])),ISNUMBER(Table1[[#This Row],[Birthweight (grams)]]),ISNUMBER(Table1[[#This Row],[Gestation (days)]])),TRUE,FALSE)</f>
        <v>0</v>
      </c>
      <c r="E5079" s="2" t="str">
        <f>IF(Table1[[#This Row],[Is Data Valid]]=TRUE,IF(Table1[[#This Row],[Fetal Sex (Male, Female or Unknown)]]="Male",Backend!$C$6,IF(Table1[[#This Row],[Fetal Sex (Male, Female or Unknown)]]="Female",Backend!$C$7,IF(Table1[[#This Row],[Fetal Sex (Male, Female or Unknown)]]="Unknown",Backend!$C$8,"Error"))),"")</f>
        <v/>
      </c>
      <c r="F5079" s="8" t="str">
        <f>IF(Table1[[#This Row],[Is Data Valid]]=TRUE,EXP(0.578+0.332*((Table1[[#This Row],[Gestation (days)]]+0.5)/7)-0.00354*((Table1[[#This Row],[Gestation (days)]]+0.5)/7)^2)*Table1[[#This Row],[BW40_3705]],"")</f>
        <v/>
      </c>
      <c r="G5079" s="2" t="str">
        <f>IF(Table1[[#This Row],[Is Data Valid]]=TRUE,((Table1[[#This Row],[Birthweight (grams)]]/Table1[[#This Row],[BW_GA]])-1)/(Backend!$B$4/100*Table1[[#This Row],[BW40_3705]]),"")</f>
        <v/>
      </c>
      <c r="H5079" s="7" t="str">
        <f>IF(Table1[[#This Row],[Is Data Valid]]=TRUE,((Table1[[#This Row],[Birthweight (grams)]]*0.9/Table1[[#This Row],[BW_GA]])-1)/(Backend!$B$4/100*Table1[[#This Row],[BW40_3705]]),"")</f>
        <v/>
      </c>
      <c r="I5079" s="7" t="str">
        <f>IF(Table1[[#This Row],[Is Data Valid]]=TRUE,((Table1[[#This Row],[Birthweight (grams)]]*1.1/Table1[[#This Row],[BW_GA]])-1)/(Backend!$B$4/100*Table1[[#This Row],[BW40_3705]]),"")</f>
        <v/>
      </c>
      <c r="J5079" s="7" t="str">
        <f>IF(Table1[[#This Row],[Is Data Valid]]=TRUE,_xlfn.NORM.S.DIST(Table1[[#This Row],[Birthweight Z-Score]],TRUE)*100,"")</f>
        <v/>
      </c>
      <c r="K5079" s="7" t="str">
        <f>IF(Table1[[#This Row],[Is Data Valid]]=TRUE,_xlfn.NORM.S.DIST(Table1[[#This Row],[Birthweight Z-Score (BW-10%)]],TRUE)*100,"")</f>
        <v/>
      </c>
      <c r="L5079" s="7" t="str">
        <f>IF(Table1[[#This Row],[Is Data Valid]]=TRUE,_xlfn.NORM.S.DIST(Table1[[#This Row],[Birthweight Z-Score (BW+10%)]],TRUE)*100,"")</f>
        <v/>
      </c>
    </row>
    <row r="5080" spans="1:12" x14ac:dyDescent="0.35">
      <c r="A5080" s="3"/>
      <c r="B5080" s="2"/>
      <c r="C5080" s="2"/>
      <c r="D5080" s="2" t="b">
        <f>IF(AND(NOT(ISBLANK(Table1[[#This Row],[Fetal Sex (Male, Female or Unknown)]])),ISNUMBER(Table1[[#This Row],[Birthweight (grams)]]),ISNUMBER(Table1[[#This Row],[Gestation (days)]])),TRUE,FALSE)</f>
        <v>0</v>
      </c>
      <c r="E5080" s="2" t="str">
        <f>IF(Table1[[#This Row],[Is Data Valid]]=TRUE,IF(Table1[[#This Row],[Fetal Sex (Male, Female or Unknown)]]="Male",Backend!$C$6,IF(Table1[[#This Row],[Fetal Sex (Male, Female or Unknown)]]="Female",Backend!$C$7,IF(Table1[[#This Row],[Fetal Sex (Male, Female or Unknown)]]="Unknown",Backend!$C$8,"Error"))),"")</f>
        <v/>
      </c>
      <c r="F5080" s="8" t="str">
        <f>IF(Table1[[#This Row],[Is Data Valid]]=TRUE,EXP(0.578+0.332*((Table1[[#This Row],[Gestation (days)]]+0.5)/7)-0.00354*((Table1[[#This Row],[Gestation (days)]]+0.5)/7)^2)*Table1[[#This Row],[BW40_3705]],"")</f>
        <v/>
      </c>
      <c r="G5080" s="2" t="str">
        <f>IF(Table1[[#This Row],[Is Data Valid]]=TRUE,((Table1[[#This Row],[Birthweight (grams)]]/Table1[[#This Row],[BW_GA]])-1)/(Backend!$B$4/100*Table1[[#This Row],[BW40_3705]]),"")</f>
        <v/>
      </c>
      <c r="H5080" s="7" t="str">
        <f>IF(Table1[[#This Row],[Is Data Valid]]=TRUE,((Table1[[#This Row],[Birthweight (grams)]]*0.9/Table1[[#This Row],[BW_GA]])-1)/(Backend!$B$4/100*Table1[[#This Row],[BW40_3705]]),"")</f>
        <v/>
      </c>
      <c r="I5080" s="7" t="str">
        <f>IF(Table1[[#This Row],[Is Data Valid]]=TRUE,((Table1[[#This Row],[Birthweight (grams)]]*1.1/Table1[[#This Row],[BW_GA]])-1)/(Backend!$B$4/100*Table1[[#This Row],[BW40_3705]]),"")</f>
        <v/>
      </c>
      <c r="J5080" s="7" t="str">
        <f>IF(Table1[[#This Row],[Is Data Valid]]=TRUE,_xlfn.NORM.S.DIST(Table1[[#This Row],[Birthweight Z-Score]],TRUE)*100,"")</f>
        <v/>
      </c>
      <c r="K5080" s="7" t="str">
        <f>IF(Table1[[#This Row],[Is Data Valid]]=TRUE,_xlfn.NORM.S.DIST(Table1[[#This Row],[Birthweight Z-Score (BW-10%)]],TRUE)*100,"")</f>
        <v/>
      </c>
      <c r="L5080" s="7" t="str">
        <f>IF(Table1[[#This Row],[Is Data Valid]]=TRUE,_xlfn.NORM.S.DIST(Table1[[#This Row],[Birthweight Z-Score (BW+10%)]],TRUE)*100,"")</f>
        <v/>
      </c>
    </row>
    <row r="5081" spans="1:12" x14ac:dyDescent="0.35">
      <c r="A5081" s="3"/>
      <c r="B5081" s="2"/>
      <c r="C5081" s="2"/>
      <c r="D5081" s="2" t="b">
        <f>IF(AND(NOT(ISBLANK(Table1[[#This Row],[Fetal Sex (Male, Female or Unknown)]])),ISNUMBER(Table1[[#This Row],[Birthweight (grams)]]),ISNUMBER(Table1[[#This Row],[Gestation (days)]])),TRUE,FALSE)</f>
        <v>0</v>
      </c>
      <c r="E5081" s="2" t="str">
        <f>IF(Table1[[#This Row],[Is Data Valid]]=TRUE,IF(Table1[[#This Row],[Fetal Sex (Male, Female or Unknown)]]="Male",Backend!$C$6,IF(Table1[[#This Row],[Fetal Sex (Male, Female or Unknown)]]="Female",Backend!$C$7,IF(Table1[[#This Row],[Fetal Sex (Male, Female or Unknown)]]="Unknown",Backend!$C$8,"Error"))),"")</f>
        <v/>
      </c>
      <c r="F5081" s="8" t="str">
        <f>IF(Table1[[#This Row],[Is Data Valid]]=TRUE,EXP(0.578+0.332*((Table1[[#This Row],[Gestation (days)]]+0.5)/7)-0.00354*((Table1[[#This Row],[Gestation (days)]]+0.5)/7)^2)*Table1[[#This Row],[BW40_3705]],"")</f>
        <v/>
      </c>
      <c r="G5081" s="2" t="str">
        <f>IF(Table1[[#This Row],[Is Data Valid]]=TRUE,((Table1[[#This Row],[Birthweight (grams)]]/Table1[[#This Row],[BW_GA]])-1)/(Backend!$B$4/100*Table1[[#This Row],[BW40_3705]]),"")</f>
        <v/>
      </c>
      <c r="H5081" s="7" t="str">
        <f>IF(Table1[[#This Row],[Is Data Valid]]=TRUE,((Table1[[#This Row],[Birthweight (grams)]]*0.9/Table1[[#This Row],[BW_GA]])-1)/(Backend!$B$4/100*Table1[[#This Row],[BW40_3705]]),"")</f>
        <v/>
      </c>
      <c r="I5081" s="7" t="str">
        <f>IF(Table1[[#This Row],[Is Data Valid]]=TRUE,((Table1[[#This Row],[Birthweight (grams)]]*1.1/Table1[[#This Row],[BW_GA]])-1)/(Backend!$B$4/100*Table1[[#This Row],[BW40_3705]]),"")</f>
        <v/>
      </c>
      <c r="J5081" s="7" t="str">
        <f>IF(Table1[[#This Row],[Is Data Valid]]=TRUE,_xlfn.NORM.S.DIST(Table1[[#This Row],[Birthweight Z-Score]],TRUE)*100,"")</f>
        <v/>
      </c>
      <c r="K5081" s="7" t="str">
        <f>IF(Table1[[#This Row],[Is Data Valid]]=TRUE,_xlfn.NORM.S.DIST(Table1[[#This Row],[Birthweight Z-Score (BW-10%)]],TRUE)*100,"")</f>
        <v/>
      </c>
      <c r="L5081" s="7" t="str">
        <f>IF(Table1[[#This Row],[Is Data Valid]]=TRUE,_xlfn.NORM.S.DIST(Table1[[#This Row],[Birthweight Z-Score (BW+10%)]],TRUE)*100,"")</f>
        <v/>
      </c>
    </row>
    <row r="5082" spans="1:12" x14ac:dyDescent="0.35">
      <c r="A5082" s="3"/>
      <c r="B5082" s="2"/>
      <c r="C5082" s="2"/>
      <c r="D5082" s="2" t="b">
        <f>IF(AND(NOT(ISBLANK(Table1[[#This Row],[Fetal Sex (Male, Female or Unknown)]])),ISNUMBER(Table1[[#This Row],[Birthweight (grams)]]),ISNUMBER(Table1[[#This Row],[Gestation (days)]])),TRUE,FALSE)</f>
        <v>0</v>
      </c>
      <c r="E5082" s="2" t="str">
        <f>IF(Table1[[#This Row],[Is Data Valid]]=TRUE,IF(Table1[[#This Row],[Fetal Sex (Male, Female or Unknown)]]="Male",Backend!$C$6,IF(Table1[[#This Row],[Fetal Sex (Male, Female or Unknown)]]="Female",Backend!$C$7,IF(Table1[[#This Row],[Fetal Sex (Male, Female or Unknown)]]="Unknown",Backend!$C$8,"Error"))),"")</f>
        <v/>
      </c>
      <c r="F5082" s="8" t="str">
        <f>IF(Table1[[#This Row],[Is Data Valid]]=TRUE,EXP(0.578+0.332*((Table1[[#This Row],[Gestation (days)]]+0.5)/7)-0.00354*((Table1[[#This Row],[Gestation (days)]]+0.5)/7)^2)*Table1[[#This Row],[BW40_3705]],"")</f>
        <v/>
      </c>
      <c r="G5082" s="2" t="str">
        <f>IF(Table1[[#This Row],[Is Data Valid]]=TRUE,((Table1[[#This Row],[Birthweight (grams)]]/Table1[[#This Row],[BW_GA]])-1)/(Backend!$B$4/100*Table1[[#This Row],[BW40_3705]]),"")</f>
        <v/>
      </c>
      <c r="H5082" s="7" t="str">
        <f>IF(Table1[[#This Row],[Is Data Valid]]=TRUE,((Table1[[#This Row],[Birthweight (grams)]]*0.9/Table1[[#This Row],[BW_GA]])-1)/(Backend!$B$4/100*Table1[[#This Row],[BW40_3705]]),"")</f>
        <v/>
      </c>
      <c r="I5082" s="7" t="str">
        <f>IF(Table1[[#This Row],[Is Data Valid]]=TRUE,((Table1[[#This Row],[Birthweight (grams)]]*1.1/Table1[[#This Row],[BW_GA]])-1)/(Backend!$B$4/100*Table1[[#This Row],[BW40_3705]]),"")</f>
        <v/>
      </c>
      <c r="J5082" s="7" t="str">
        <f>IF(Table1[[#This Row],[Is Data Valid]]=TRUE,_xlfn.NORM.S.DIST(Table1[[#This Row],[Birthweight Z-Score]],TRUE)*100,"")</f>
        <v/>
      </c>
      <c r="K5082" s="7" t="str">
        <f>IF(Table1[[#This Row],[Is Data Valid]]=TRUE,_xlfn.NORM.S.DIST(Table1[[#This Row],[Birthweight Z-Score (BW-10%)]],TRUE)*100,"")</f>
        <v/>
      </c>
      <c r="L5082" s="7" t="str">
        <f>IF(Table1[[#This Row],[Is Data Valid]]=TRUE,_xlfn.NORM.S.DIST(Table1[[#This Row],[Birthweight Z-Score (BW+10%)]],TRUE)*100,"")</f>
        <v/>
      </c>
    </row>
    <row r="5083" spans="1:12" x14ac:dyDescent="0.35">
      <c r="A5083" s="3"/>
      <c r="B5083" s="2"/>
      <c r="C5083" s="2"/>
      <c r="D5083" s="2" t="b">
        <f>IF(AND(NOT(ISBLANK(Table1[[#This Row],[Fetal Sex (Male, Female or Unknown)]])),ISNUMBER(Table1[[#This Row],[Birthweight (grams)]]),ISNUMBER(Table1[[#This Row],[Gestation (days)]])),TRUE,FALSE)</f>
        <v>0</v>
      </c>
      <c r="E5083" s="2" t="str">
        <f>IF(Table1[[#This Row],[Is Data Valid]]=TRUE,IF(Table1[[#This Row],[Fetal Sex (Male, Female or Unknown)]]="Male",Backend!$C$6,IF(Table1[[#This Row],[Fetal Sex (Male, Female or Unknown)]]="Female",Backend!$C$7,IF(Table1[[#This Row],[Fetal Sex (Male, Female or Unknown)]]="Unknown",Backend!$C$8,"Error"))),"")</f>
        <v/>
      </c>
      <c r="F5083" s="8" t="str">
        <f>IF(Table1[[#This Row],[Is Data Valid]]=TRUE,EXP(0.578+0.332*((Table1[[#This Row],[Gestation (days)]]+0.5)/7)-0.00354*((Table1[[#This Row],[Gestation (days)]]+0.5)/7)^2)*Table1[[#This Row],[BW40_3705]],"")</f>
        <v/>
      </c>
      <c r="G5083" s="2" t="str">
        <f>IF(Table1[[#This Row],[Is Data Valid]]=TRUE,((Table1[[#This Row],[Birthweight (grams)]]/Table1[[#This Row],[BW_GA]])-1)/(Backend!$B$4/100*Table1[[#This Row],[BW40_3705]]),"")</f>
        <v/>
      </c>
      <c r="H5083" s="7" t="str">
        <f>IF(Table1[[#This Row],[Is Data Valid]]=TRUE,((Table1[[#This Row],[Birthweight (grams)]]*0.9/Table1[[#This Row],[BW_GA]])-1)/(Backend!$B$4/100*Table1[[#This Row],[BW40_3705]]),"")</f>
        <v/>
      </c>
      <c r="I5083" s="7" t="str">
        <f>IF(Table1[[#This Row],[Is Data Valid]]=TRUE,((Table1[[#This Row],[Birthweight (grams)]]*1.1/Table1[[#This Row],[BW_GA]])-1)/(Backend!$B$4/100*Table1[[#This Row],[BW40_3705]]),"")</f>
        <v/>
      </c>
      <c r="J5083" s="7" t="str">
        <f>IF(Table1[[#This Row],[Is Data Valid]]=TRUE,_xlfn.NORM.S.DIST(Table1[[#This Row],[Birthweight Z-Score]],TRUE)*100,"")</f>
        <v/>
      </c>
      <c r="K5083" s="7" t="str">
        <f>IF(Table1[[#This Row],[Is Data Valid]]=TRUE,_xlfn.NORM.S.DIST(Table1[[#This Row],[Birthweight Z-Score (BW-10%)]],TRUE)*100,"")</f>
        <v/>
      </c>
      <c r="L5083" s="7" t="str">
        <f>IF(Table1[[#This Row],[Is Data Valid]]=TRUE,_xlfn.NORM.S.DIST(Table1[[#This Row],[Birthweight Z-Score (BW+10%)]],TRUE)*100,"")</f>
        <v/>
      </c>
    </row>
    <row r="5084" spans="1:12" x14ac:dyDescent="0.35">
      <c r="A5084" s="3"/>
      <c r="B5084" s="2"/>
      <c r="C5084" s="2"/>
      <c r="D5084" s="2" t="b">
        <f>IF(AND(NOT(ISBLANK(Table1[[#This Row],[Fetal Sex (Male, Female or Unknown)]])),ISNUMBER(Table1[[#This Row],[Birthweight (grams)]]),ISNUMBER(Table1[[#This Row],[Gestation (days)]])),TRUE,FALSE)</f>
        <v>0</v>
      </c>
      <c r="E5084" s="2" t="str">
        <f>IF(Table1[[#This Row],[Is Data Valid]]=TRUE,IF(Table1[[#This Row],[Fetal Sex (Male, Female or Unknown)]]="Male",Backend!$C$6,IF(Table1[[#This Row],[Fetal Sex (Male, Female or Unknown)]]="Female",Backend!$C$7,IF(Table1[[#This Row],[Fetal Sex (Male, Female or Unknown)]]="Unknown",Backend!$C$8,"Error"))),"")</f>
        <v/>
      </c>
      <c r="F5084" s="8" t="str">
        <f>IF(Table1[[#This Row],[Is Data Valid]]=TRUE,EXP(0.578+0.332*((Table1[[#This Row],[Gestation (days)]]+0.5)/7)-0.00354*((Table1[[#This Row],[Gestation (days)]]+0.5)/7)^2)*Table1[[#This Row],[BW40_3705]],"")</f>
        <v/>
      </c>
      <c r="G5084" s="2" t="str">
        <f>IF(Table1[[#This Row],[Is Data Valid]]=TRUE,((Table1[[#This Row],[Birthweight (grams)]]/Table1[[#This Row],[BW_GA]])-1)/(Backend!$B$4/100*Table1[[#This Row],[BW40_3705]]),"")</f>
        <v/>
      </c>
      <c r="H5084" s="7" t="str">
        <f>IF(Table1[[#This Row],[Is Data Valid]]=TRUE,((Table1[[#This Row],[Birthweight (grams)]]*0.9/Table1[[#This Row],[BW_GA]])-1)/(Backend!$B$4/100*Table1[[#This Row],[BW40_3705]]),"")</f>
        <v/>
      </c>
      <c r="I5084" s="7" t="str">
        <f>IF(Table1[[#This Row],[Is Data Valid]]=TRUE,((Table1[[#This Row],[Birthweight (grams)]]*1.1/Table1[[#This Row],[BW_GA]])-1)/(Backend!$B$4/100*Table1[[#This Row],[BW40_3705]]),"")</f>
        <v/>
      </c>
      <c r="J5084" s="7" t="str">
        <f>IF(Table1[[#This Row],[Is Data Valid]]=TRUE,_xlfn.NORM.S.DIST(Table1[[#This Row],[Birthweight Z-Score]],TRUE)*100,"")</f>
        <v/>
      </c>
      <c r="K5084" s="7" t="str">
        <f>IF(Table1[[#This Row],[Is Data Valid]]=TRUE,_xlfn.NORM.S.DIST(Table1[[#This Row],[Birthweight Z-Score (BW-10%)]],TRUE)*100,"")</f>
        <v/>
      </c>
      <c r="L5084" s="7" t="str">
        <f>IF(Table1[[#This Row],[Is Data Valid]]=TRUE,_xlfn.NORM.S.DIST(Table1[[#This Row],[Birthweight Z-Score (BW+10%)]],TRUE)*100,"")</f>
        <v/>
      </c>
    </row>
    <row r="5085" spans="1:12" x14ac:dyDescent="0.35">
      <c r="A5085" s="3"/>
      <c r="B5085" s="2"/>
      <c r="C5085" s="2"/>
      <c r="D5085" s="2" t="b">
        <f>IF(AND(NOT(ISBLANK(Table1[[#This Row],[Fetal Sex (Male, Female or Unknown)]])),ISNUMBER(Table1[[#This Row],[Birthweight (grams)]]),ISNUMBER(Table1[[#This Row],[Gestation (days)]])),TRUE,FALSE)</f>
        <v>0</v>
      </c>
      <c r="E5085" s="2" t="str">
        <f>IF(Table1[[#This Row],[Is Data Valid]]=TRUE,IF(Table1[[#This Row],[Fetal Sex (Male, Female or Unknown)]]="Male",Backend!$C$6,IF(Table1[[#This Row],[Fetal Sex (Male, Female or Unknown)]]="Female",Backend!$C$7,IF(Table1[[#This Row],[Fetal Sex (Male, Female or Unknown)]]="Unknown",Backend!$C$8,"Error"))),"")</f>
        <v/>
      </c>
      <c r="F5085" s="8" t="str">
        <f>IF(Table1[[#This Row],[Is Data Valid]]=TRUE,EXP(0.578+0.332*((Table1[[#This Row],[Gestation (days)]]+0.5)/7)-0.00354*((Table1[[#This Row],[Gestation (days)]]+0.5)/7)^2)*Table1[[#This Row],[BW40_3705]],"")</f>
        <v/>
      </c>
      <c r="G5085" s="2" t="str">
        <f>IF(Table1[[#This Row],[Is Data Valid]]=TRUE,((Table1[[#This Row],[Birthweight (grams)]]/Table1[[#This Row],[BW_GA]])-1)/(Backend!$B$4/100*Table1[[#This Row],[BW40_3705]]),"")</f>
        <v/>
      </c>
      <c r="H5085" s="7" t="str">
        <f>IF(Table1[[#This Row],[Is Data Valid]]=TRUE,((Table1[[#This Row],[Birthweight (grams)]]*0.9/Table1[[#This Row],[BW_GA]])-1)/(Backend!$B$4/100*Table1[[#This Row],[BW40_3705]]),"")</f>
        <v/>
      </c>
      <c r="I5085" s="7" t="str">
        <f>IF(Table1[[#This Row],[Is Data Valid]]=TRUE,((Table1[[#This Row],[Birthweight (grams)]]*1.1/Table1[[#This Row],[BW_GA]])-1)/(Backend!$B$4/100*Table1[[#This Row],[BW40_3705]]),"")</f>
        <v/>
      </c>
      <c r="J5085" s="7" t="str">
        <f>IF(Table1[[#This Row],[Is Data Valid]]=TRUE,_xlfn.NORM.S.DIST(Table1[[#This Row],[Birthweight Z-Score]],TRUE)*100,"")</f>
        <v/>
      </c>
      <c r="K5085" s="7" t="str">
        <f>IF(Table1[[#This Row],[Is Data Valid]]=TRUE,_xlfn.NORM.S.DIST(Table1[[#This Row],[Birthweight Z-Score (BW-10%)]],TRUE)*100,"")</f>
        <v/>
      </c>
      <c r="L5085" s="7" t="str">
        <f>IF(Table1[[#This Row],[Is Data Valid]]=TRUE,_xlfn.NORM.S.DIST(Table1[[#This Row],[Birthweight Z-Score (BW+10%)]],TRUE)*100,"")</f>
        <v/>
      </c>
    </row>
    <row r="5086" spans="1:12" x14ac:dyDescent="0.35">
      <c r="A5086" s="3"/>
      <c r="B5086" s="2"/>
      <c r="C5086" s="2"/>
      <c r="D5086" s="2" t="b">
        <f>IF(AND(NOT(ISBLANK(Table1[[#This Row],[Fetal Sex (Male, Female or Unknown)]])),ISNUMBER(Table1[[#This Row],[Birthweight (grams)]]),ISNUMBER(Table1[[#This Row],[Gestation (days)]])),TRUE,FALSE)</f>
        <v>0</v>
      </c>
      <c r="E5086" s="2" t="str">
        <f>IF(Table1[[#This Row],[Is Data Valid]]=TRUE,IF(Table1[[#This Row],[Fetal Sex (Male, Female or Unknown)]]="Male",Backend!$C$6,IF(Table1[[#This Row],[Fetal Sex (Male, Female or Unknown)]]="Female",Backend!$C$7,IF(Table1[[#This Row],[Fetal Sex (Male, Female or Unknown)]]="Unknown",Backend!$C$8,"Error"))),"")</f>
        <v/>
      </c>
      <c r="F5086" s="8" t="str">
        <f>IF(Table1[[#This Row],[Is Data Valid]]=TRUE,EXP(0.578+0.332*((Table1[[#This Row],[Gestation (days)]]+0.5)/7)-0.00354*((Table1[[#This Row],[Gestation (days)]]+0.5)/7)^2)*Table1[[#This Row],[BW40_3705]],"")</f>
        <v/>
      </c>
      <c r="G5086" s="2" t="str">
        <f>IF(Table1[[#This Row],[Is Data Valid]]=TRUE,((Table1[[#This Row],[Birthweight (grams)]]/Table1[[#This Row],[BW_GA]])-1)/(Backend!$B$4/100*Table1[[#This Row],[BW40_3705]]),"")</f>
        <v/>
      </c>
      <c r="H5086" s="7" t="str">
        <f>IF(Table1[[#This Row],[Is Data Valid]]=TRUE,((Table1[[#This Row],[Birthweight (grams)]]*0.9/Table1[[#This Row],[BW_GA]])-1)/(Backend!$B$4/100*Table1[[#This Row],[BW40_3705]]),"")</f>
        <v/>
      </c>
      <c r="I5086" s="7" t="str">
        <f>IF(Table1[[#This Row],[Is Data Valid]]=TRUE,((Table1[[#This Row],[Birthweight (grams)]]*1.1/Table1[[#This Row],[BW_GA]])-1)/(Backend!$B$4/100*Table1[[#This Row],[BW40_3705]]),"")</f>
        <v/>
      </c>
      <c r="J5086" s="7" t="str">
        <f>IF(Table1[[#This Row],[Is Data Valid]]=TRUE,_xlfn.NORM.S.DIST(Table1[[#This Row],[Birthweight Z-Score]],TRUE)*100,"")</f>
        <v/>
      </c>
      <c r="K5086" s="7" t="str">
        <f>IF(Table1[[#This Row],[Is Data Valid]]=TRUE,_xlfn.NORM.S.DIST(Table1[[#This Row],[Birthweight Z-Score (BW-10%)]],TRUE)*100,"")</f>
        <v/>
      </c>
      <c r="L5086" s="7" t="str">
        <f>IF(Table1[[#This Row],[Is Data Valid]]=TRUE,_xlfn.NORM.S.DIST(Table1[[#This Row],[Birthweight Z-Score (BW+10%)]],TRUE)*100,"")</f>
        <v/>
      </c>
    </row>
    <row r="5087" spans="1:12" x14ac:dyDescent="0.35">
      <c r="A5087" s="3"/>
      <c r="B5087" s="2"/>
      <c r="C5087" s="2"/>
      <c r="D5087" s="2" t="b">
        <f>IF(AND(NOT(ISBLANK(Table1[[#This Row],[Fetal Sex (Male, Female or Unknown)]])),ISNUMBER(Table1[[#This Row],[Birthweight (grams)]]),ISNUMBER(Table1[[#This Row],[Gestation (days)]])),TRUE,FALSE)</f>
        <v>0</v>
      </c>
      <c r="E5087" s="2" t="str">
        <f>IF(Table1[[#This Row],[Is Data Valid]]=TRUE,IF(Table1[[#This Row],[Fetal Sex (Male, Female or Unknown)]]="Male",Backend!$C$6,IF(Table1[[#This Row],[Fetal Sex (Male, Female or Unknown)]]="Female",Backend!$C$7,IF(Table1[[#This Row],[Fetal Sex (Male, Female or Unknown)]]="Unknown",Backend!$C$8,"Error"))),"")</f>
        <v/>
      </c>
      <c r="F5087" s="8" t="str">
        <f>IF(Table1[[#This Row],[Is Data Valid]]=TRUE,EXP(0.578+0.332*((Table1[[#This Row],[Gestation (days)]]+0.5)/7)-0.00354*((Table1[[#This Row],[Gestation (days)]]+0.5)/7)^2)*Table1[[#This Row],[BW40_3705]],"")</f>
        <v/>
      </c>
      <c r="G5087" s="2" t="str">
        <f>IF(Table1[[#This Row],[Is Data Valid]]=TRUE,((Table1[[#This Row],[Birthweight (grams)]]/Table1[[#This Row],[BW_GA]])-1)/(Backend!$B$4/100*Table1[[#This Row],[BW40_3705]]),"")</f>
        <v/>
      </c>
      <c r="H5087" s="7" t="str">
        <f>IF(Table1[[#This Row],[Is Data Valid]]=TRUE,((Table1[[#This Row],[Birthweight (grams)]]*0.9/Table1[[#This Row],[BW_GA]])-1)/(Backend!$B$4/100*Table1[[#This Row],[BW40_3705]]),"")</f>
        <v/>
      </c>
      <c r="I5087" s="7" t="str">
        <f>IF(Table1[[#This Row],[Is Data Valid]]=TRUE,((Table1[[#This Row],[Birthweight (grams)]]*1.1/Table1[[#This Row],[BW_GA]])-1)/(Backend!$B$4/100*Table1[[#This Row],[BW40_3705]]),"")</f>
        <v/>
      </c>
      <c r="J5087" s="7" t="str">
        <f>IF(Table1[[#This Row],[Is Data Valid]]=TRUE,_xlfn.NORM.S.DIST(Table1[[#This Row],[Birthweight Z-Score]],TRUE)*100,"")</f>
        <v/>
      </c>
      <c r="K5087" s="7" t="str">
        <f>IF(Table1[[#This Row],[Is Data Valid]]=TRUE,_xlfn.NORM.S.DIST(Table1[[#This Row],[Birthweight Z-Score (BW-10%)]],TRUE)*100,"")</f>
        <v/>
      </c>
      <c r="L5087" s="7" t="str">
        <f>IF(Table1[[#This Row],[Is Data Valid]]=TRUE,_xlfn.NORM.S.DIST(Table1[[#This Row],[Birthweight Z-Score (BW+10%)]],TRUE)*100,"")</f>
        <v/>
      </c>
    </row>
    <row r="5088" spans="1:12" x14ac:dyDescent="0.35">
      <c r="A5088" s="3"/>
      <c r="B5088" s="2"/>
      <c r="C5088" s="2"/>
      <c r="D5088" s="2" t="b">
        <f>IF(AND(NOT(ISBLANK(Table1[[#This Row],[Fetal Sex (Male, Female or Unknown)]])),ISNUMBER(Table1[[#This Row],[Birthweight (grams)]]),ISNUMBER(Table1[[#This Row],[Gestation (days)]])),TRUE,FALSE)</f>
        <v>0</v>
      </c>
      <c r="E5088" s="2" t="str">
        <f>IF(Table1[[#This Row],[Is Data Valid]]=TRUE,IF(Table1[[#This Row],[Fetal Sex (Male, Female or Unknown)]]="Male",Backend!$C$6,IF(Table1[[#This Row],[Fetal Sex (Male, Female or Unknown)]]="Female",Backend!$C$7,IF(Table1[[#This Row],[Fetal Sex (Male, Female or Unknown)]]="Unknown",Backend!$C$8,"Error"))),"")</f>
        <v/>
      </c>
      <c r="F5088" s="8" t="str">
        <f>IF(Table1[[#This Row],[Is Data Valid]]=TRUE,EXP(0.578+0.332*((Table1[[#This Row],[Gestation (days)]]+0.5)/7)-0.00354*((Table1[[#This Row],[Gestation (days)]]+0.5)/7)^2)*Table1[[#This Row],[BW40_3705]],"")</f>
        <v/>
      </c>
      <c r="G5088" s="2" t="str">
        <f>IF(Table1[[#This Row],[Is Data Valid]]=TRUE,((Table1[[#This Row],[Birthweight (grams)]]/Table1[[#This Row],[BW_GA]])-1)/(Backend!$B$4/100*Table1[[#This Row],[BW40_3705]]),"")</f>
        <v/>
      </c>
      <c r="H5088" s="7" t="str">
        <f>IF(Table1[[#This Row],[Is Data Valid]]=TRUE,((Table1[[#This Row],[Birthweight (grams)]]*0.9/Table1[[#This Row],[BW_GA]])-1)/(Backend!$B$4/100*Table1[[#This Row],[BW40_3705]]),"")</f>
        <v/>
      </c>
      <c r="I5088" s="7" t="str">
        <f>IF(Table1[[#This Row],[Is Data Valid]]=TRUE,((Table1[[#This Row],[Birthweight (grams)]]*1.1/Table1[[#This Row],[BW_GA]])-1)/(Backend!$B$4/100*Table1[[#This Row],[BW40_3705]]),"")</f>
        <v/>
      </c>
      <c r="J5088" s="7" t="str">
        <f>IF(Table1[[#This Row],[Is Data Valid]]=TRUE,_xlfn.NORM.S.DIST(Table1[[#This Row],[Birthweight Z-Score]],TRUE)*100,"")</f>
        <v/>
      </c>
      <c r="K5088" s="7" t="str">
        <f>IF(Table1[[#This Row],[Is Data Valid]]=TRUE,_xlfn.NORM.S.DIST(Table1[[#This Row],[Birthweight Z-Score (BW-10%)]],TRUE)*100,"")</f>
        <v/>
      </c>
      <c r="L5088" s="7" t="str">
        <f>IF(Table1[[#This Row],[Is Data Valid]]=TRUE,_xlfn.NORM.S.DIST(Table1[[#This Row],[Birthweight Z-Score (BW+10%)]],TRUE)*100,"")</f>
        <v/>
      </c>
    </row>
    <row r="5089" spans="1:12" x14ac:dyDescent="0.35">
      <c r="A5089" s="3"/>
      <c r="B5089" s="2"/>
      <c r="C5089" s="2"/>
      <c r="D5089" s="2" t="b">
        <f>IF(AND(NOT(ISBLANK(Table1[[#This Row],[Fetal Sex (Male, Female or Unknown)]])),ISNUMBER(Table1[[#This Row],[Birthweight (grams)]]),ISNUMBER(Table1[[#This Row],[Gestation (days)]])),TRUE,FALSE)</f>
        <v>0</v>
      </c>
      <c r="E5089" s="2" t="str">
        <f>IF(Table1[[#This Row],[Is Data Valid]]=TRUE,IF(Table1[[#This Row],[Fetal Sex (Male, Female or Unknown)]]="Male",Backend!$C$6,IF(Table1[[#This Row],[Fetal Sex (Male, Female or Unknown)]]="Female",Backend!$C$7,IF(Table1[[#This Row],[Fetal Sex (Male, Female or Unknown)]]="Unknown",Backend!$C$8,"Error"))),"")</f>
        <v/>
      </c>
      <c r="F5089" s="8" t="str">
        <f>IF(Table1[[#This Row],[Is Data Valid]]=TRUE,EXP(0.578+0.332*((Table1[[#This Row],[Gestation (days)]]+0.5)/7)-0.00354*((Table1[[#This Row],[Gestation (days)]]+0.5)/7)^2)*Table1[[#This Row],[BW40_3705]],"")</f>
        <v/>
      </c>
      <c r="G5089" s="2" t="str">
        <f>IF(Table1[[#This Row],[Is Data Valid]]=TRUE,((Table1[[#This Row],[Birthweight (grams)]]/Table1[[#This Row],[BW_GA]])-1)/(Backend!$B$4/100*Table1[[#This Row],[BW40_3705]]),"")</f>
        <v/>
      </c>
      <c r="H5089" s="7" t="str">
        <f>IF(Table1[[#This Row],[Is Data Valid]]=TRUE,((Table1[[#This Row],[Birthweight (grams)]]*0.9/Table1[[#This Row],[BW_GA]])-1)/(Backend!$B$4/100*Table1[[#This Row],[BW40_3705]]),"")</f>
        <v/>
      </c>
      <c r="I5089" s="7" t="str">
        <f>IF(Table1[[#This Row],[Is Data Valid]]=TRUE,((Table1[[#This Row],[Birthweight (grams)]]*1.1/Table1[[#This Row],[BW_GA]])-1)/(Backend!$B$4/100*Table1[[#This Row],[BW40_3705]]),"")</f>
        <v/>
      </c>
      <c r="J5089" s="7" t="str">
        <f>IF(Table1[[#This Row],[Is Data Valid]]=TRUE,_xlfn.NORM.S.DIST(Table1[[#This Row],[Birthweight Z-Score]],TRUE)*100,"")</f>
        <v/>
      </c>
      <c r="K5089" s="7" t="str">
        <f>IF(Table1[[#This Row],[Is Data Valid]]=TRUE,_xlfn.NORM.S.DIST(Table1[[#This Row],[Birthweight Z-Score (BW-10%)]],TRUE)*100,"")</f>
        <v/>
      </c>
      <c r="L5089" s="7" t="str">
        <f>IF(Table1[[#This Row],[Is Data Valid]]=TRUE,_xlfn.NORM.S.DIST(Table1[[#This Row],[Birthweight Z-Score (BW+10%)]],TRUE)*100,"")</f>
        <v/>
      </c>
    </row>
    <row r="5090" spans="1:12" x14ac:dyDescent="0.35">
      <c r="A5090" s="3"/>
      <c r="B5090" s="2"/>
      <c r="C5090" s="2"/>
      <c r="D5090" s="2" t="b">
        <f>IF(AND(NOT(ISBLANK(Table1[[#This Row],[Fetal Sex (Male, Female or Unknown)]])),ISNUMBER(Table1[[#This Row],[Birthweight (grams)]]),ISNUMBER(Table1[[#This Row],[Gestation (days)]])),TRUE,FALSE)</f>
        <v>0</v>
      </c>
      <c r="E5090" s="2" t="str">
        <f>IF(Table1[[#This Row],[Is Data Valid]]=TRUE,IF(Table1[[#This Row],[Fetal Sex (Male, Female or Unknown)]]="Male",Backend!$C$6,IF(Table1[[#This Row],[Fetal Sex (Male, Female or Unknown)]]="Female",Backend!$C$7,IF(Table1[[#This Row],[Fetal Sex (Male, Female or Unknown)]]="Unknown",Backend!$C$8,"Error"))),"")</f>
        <v/>
      </c>
      <c r="F5090" s="8" t="str">
        <f>IF(Table1[[#This Row],[Is Data Valid]]=TRUE,EXP(0.578+0.332*((Table1[[#This Row],[Gestation (days)]]+0.5)/7)-0.00354*((Table1[[#This Row],[Gestation (days)]]+0.5)/7)^2)*Table1[[#This Row],[BW40_3705]],"")</f>
        <v/>
      </c>
      <c r="G5090" s="2" t="str">
        <f>IF(Table1[[#This Row],[Is Data Valid]]=TRUE,((Table1[[#This Row],[Birthweight (grams)]]/Table1[[#This Row],[BW_GA]])-1)/(Backend!$B$4/100*Table1[[#This Row],[BW40_3705]]),"")</f>
        <v/>
      </c>
      <c r="H5090" s="7" t="str">
        <f>IF(Table1[[#This Row],[Is Data Valid]]=TRUE,((Table1[[#This Row],[Birthweight (grams)]]*0.9/Table1[[#This Row],[BW_GA]])-1)/(Backend!$B$4/100*Table1[[#This Row],[BW40_3705]]),"")</f>
        <v/>
      </c>
      <c r="I5090" s="7" t="str">
        <f>IF(Table1[[#This Row],[Is Data Valid]]=TRUE,((Table1[[#This Row],[Birthweight (grams)]]*1.1/Table1[[#This Row],[BW_GA]])-1)/(Backend!$B$4/100*Table1[[#This Row],[BW40_3705]]),"")</f>
        <v/>
      </c>
      <c r="J5090" s="7" t="str">
        <f>IF(Table1[[#This Row],[Is Data Valid]]=TRUE,_xlfn.NORM.S.DIST(Table1[[#This Row],[Birthweight Z-Score]],TRUE)*100,"")</f>
        <v/>
      </c>
      <c r="K5090" s="7" t="str">
        <f>IF(Table1[[#This Row],[Is Data Valid]]=TRUE,_xlfn.NORM.S.DIST(Table1[[#This Row],[Birthweight Z-Score (BW-10%)]],TRUE)*100,"")</f>
        <v/>
      </c>
      <c r="L5090" s="7" t="str">
        <f>IF(Table1[[#This Row],[Is Data Valid]]=TRUE,_xlfn.NORM.S.DIST(Table1[[#This Row],[Birthweight Z-Score (BW+10%)]],TRUE)*100,"")</f>
        <v/>
      </c>
    </row>
    <row r="5091" spans="1:12" x14ac:dyDescent="0.35">
      <c r="A5091" s="3"/>
      <c r="B5091" s="2"/>
      <c r="C5091" s="2"/>
      <c r="D5091" s="2" t="b">
        <f>IF(AND(NOT(ISBLANK(Table1[[#This Row],[Fetal Sex (Male, Female or Unknown)]])),ISNUMBER(Table1[[#This Row],[Birthweight (grams)]]),ISNUMBER(Table1[[#This Row],[Gestation (days)]])),TRUE,FALSE)</f>
        <v>0</v>
      </c>
      <c r="E5091" s="2" t="str">
        <f>IF(Table1[[#This Row],[Is Data Valid]]=TRUE,IF(Table1[[#This Row],[Fetal Sex (Male, Female or Unknown)]]="Male",Backend!$C$6,IF(Table1[[#This Row],[Fetal Sex (Male, Female or Unknown)]]="Female",Backend!$C$7,IF(Table1[[#This Row],[Fetal Sex (Male, Female or Unknown)]]="Unknown",Backend!$C$8,"Error"))),"")</f>
        <v/>
      </c>
      <c r="F5091" s="8" t="str">
        <f>IF(Table1[[#This Row],[Is Data Valid]]=TRUE,EXP(0.578+0.332*((Table1[[#This Row],[Gestation (days)]]+0.5)/7)-0.00354*((Table1[[#This Row],[Gestation (days)]]+0.5)/7)^2)*Table1[[#This Row],[BW40_3705]],"")</f>
        <v/>
      </c>
      <c r="G5091" s="2" t="str">
        <f>IF(Table1[[#This Row],[Is Data Valid]]=TRUE,((Table1[[#This Row],[Birthweight (grams)]]/Table1[[#This Row],[BW_GA]])-1)/(Backend!$B$4/100*Table1[[#This Row],[BW40_3705]]),"")</f>
        <v/>
      </c>
      <c r="H5091" s="7" t="str">
        <f>IF(Table1[[#This Row],[Is Data Valid]]=TRUE,((Table1[[#This Row],[Birthweight (grams)]]*0.9/Table1[[#This Row],[BW_GA]])-1)/(Backend!$B$4/100*Table1[[#This Row],[BW40_3705]]),"")</f>
        <v/>
      </c>
      <c r="I5091" s="7" t="str">
        <f>IF(Table1[[#This Row],[Is Data Valid]]=TRUE,((Table1[[#This Row],[Birthweight (grams)]]*1.1/Table1[[#This Row],[BW_GA]])-1)/(Backend!$B$4/100*Table1[[#This Row],[BW40_3705]]),"")</f>
        <v/>
      </c>
      <c r="J5091" s="7" t="str">
        <f>IF(Table1[[#This Row],[Is Data Valid]]=TRUE,_xlfn.NORM.S.DIST(Table1[[#This Row],[Birthweight Z-Score]],TRUE)*100,"")</f>
        <v/>
      </c>
      <c r="K5091" s="7" t="str">
        <f>IF(Table1[[#This Row],[Is Data Valid]]=TRUE,_xlfn.NORM.S.DIST(Table1[[#This Row],[Birthweight Z-Score (BW-10%)]],TRUE)*100,"")</f>
        <v/>
      </c>
      <c r="L5091" s="7" t="str">
        <f>IF(Table1[[#This Row],[Is Data Valid]]=TRUE,_xlfn.NORM.S.DIST(Table1[[#This Row],[Birthweight Z-Score (BW+10%)]],TRUE)*100,"")</f>
        <v/>
      </c>
    </row>
    <row r="5092" spans="1:12" x14ac:dyDescent="0.35">
      <c r="A5092" s="3"/>
      <c r="B5092" s="2"/>
      <c r="C5092" s="2"/>
      <c r="D5092" s="2" t="b">
        <f>IF(AND(NOT(ISBLANK(Table1[[#This Row],[Fetal Sex (Male, Female or Unknown)]])),ISNUMBER(Table1[[#This Row],[Birthweight (grams)]]),ISNUMBER(Table1[[#This Row],[Gestation (days)]])),TRUE,FALSE)</f>
        <v>0</v>
      </c>
      <c r="E5092" s="2" t="str">
        <f>IF(Table1[[#This Row],[Is Data Valid]]=TRUE,IF(Table1[[#This Row],[Fetal Sex (Male, Female or Unknown)]]="Male",Backend!$C$6,IF(Table1[[#This Row],[Fetal Sex (Male, Female or Unknown)]]="Female",Backend!$C$7,IF(Table1[[#This Row],[Fetal Sex (Male, Female or Unknown)]]="Unknown",Backend!$C$8,"Error"))),"")</f>
        <v/>
      </c>
      <c r="F5092" s="8" t="str">
        <f>IF(Table1[[#This Row],[Is Data Valid]]=TRUE,EXP(0.578+0.332*((Table1[[#This Row],[Gestation (days)]]+0.5)/7)-0.00354*((Table1[[#This Row],[Gestation (days)]]+0.5)/7)^2)*Table1[[#This Row],[BW40_3705]],"")</f>
        <v/>
      </c>
      <c r="G5092" s="2" t="str">
        <f>IF(Table1[[#This Row],[Is Data Valid]]=TRUE,((Table1[[#This Row],[Birthweight (grams)]]/Table1[[#This Row],[BW_GA]])-1)/(Backend!$B$4/100*Table1[[#This Row],[BW40_3705]]),"")</f>
        <v/>
      </c>
      <c r="H5092" s="7" t="str">
        <f>IF(Table1[[#This Row],[Is Data Valid]]=TRUE,((Table1[[#This Row],[Birthweight (grams)]]*0.9/Table1[[#This Row],[BW_GA]])-1)/(Backend!$B$4/100*Table1[[#This Row],[BW40_3705]]),"")</f>
        <v/>
      </c>
      <c r="I5092" s="7" t="str">
        <f>IF(Table1[[#This Row],[Is Data Valid]]=TRUE,((Table1[[#This Row],[Birthweight (grams)]]*1.1/Table1[[#This Row],[BW_GA]])-1)/(Backend!$B$4/100*Table1[[#This Row],[BW40_3705]]),"")</f>
        <v/>
      </c>
      <c r="J5092" s="7" t="str">
        <f>IF(Table1[[#This Row],[Is Data Valid]]=TRUE,_xlfn.NORM.S.DIST(Table1[[#This Row],[Birthweight Z-Score]],TRUE)*100,"")</f>
        <v/>
      </c>
      <c r="K5092" s="7" t="str">
        <f>IF(Table1[[#This Row],[Is Data Valid]]=TRUE,_xlfn.NORM.S.DIST(Table1[[#This Row],[Birthweight Z-Score (BW-10%)]],TRUE)*100,"")</f>
        <v/>
      </c>
      <c r="L5092" s="7" t="str">
        <f>IF(Table1[[#This Row],[Is Data Valid]]=TRUE,_xlfn.NORM.S.DIST(Table1[[#This Row],[Birthweight Z-Score (BW+10%)]],TRUE)*100,"")</f>
        <v/>
      </c>
    </row>
    <row r="5093" spans="1:12" x14ac:dyDescent="0.35">
      <c r="A5093" s="3"/>
      <c r="B5093" s="2"/>
      <c r="C5093" s="2"/>
      <c r="D5093" s="2" t="b">
        <f>IF(AND(NOT(ISBLANK(Table1[[#This Row],[Fetal Sex (Male, Female or Unknown)]])),ISNUMBER(Table1[[#This Row],[Birthweight (grams)]]),ISNUMBER(Table1[[#This Row],[Gestation (days)]])),TRUE,FALSE)</f>
        <v>0</v>
      </c>
      <c r="E5093" s="2" t="str">
        <f>IF(Table1[[#This Row],[Is Data Valid]]=TRUE,IF(Table1[[#This Row],[Fetal Sex (Male, Female or Unknown)]]="Male",Backend!$C$6,IF(Table1[[#This Row],[Fetal Sex (Male, Female or Unknown)]]="Female",Backend!$C$7,IF(Table1[[#This Row],[Fetal Sex (Male, Female or Unknown)]]="Unknown",Backend!$C$8,"Error"))),"")</f>
        <v/>
      </c>
      <c r="F5093" s="8" t="str">
        <f>IF(Table1[[#This Row],[Is Data Valid]]=TRUE,EXP(0.578+0.332*((Table1[[#This Row],[Gestation (days)]]+0.5)/7)-0.00354*((Table1[[#This Row],[Gestation (days)]]+0.5)/7)^2)*Table1[[#This Row],[BW40_3705]],"")</f>
        <v/>
      </c>
      <c r="G5093" s="2" t="str">
        <f>IF(Table1[[#This Row],[Is Data Valid]]=TRUE,((Table1[[#This Row],[Birthweight (grams)]]/Table1[[#This Row],[BW_GA]])-1)/(Backend!$B$4/100*Table1[[#This Row],[BW40_3705]]),"")</f>
        <v/>
      </c>
      <c r="H5093" s="7" t="str">
        <f>IF(Table1[[#This Row],[Is Data Valid]]=TRUE,((Table1[[#This Row],[Birthweight (grams)]]*0.9/Table1[[#This Row],[BW_GA]])-1)/(Backend!$B$4/100*Table1[[#This Row],[BW40_3705]]),"")</f>
        <v/>
      </c>
      <c r="I5093" s="7" t="str">
        <f>IF(Table1[[#This Row],[Is Data Valid]]=TRUE,((Table1[[#This Row],[Birthweight (grams)]]*1.1/Table1[[#This Row],[BW_GA]])-1)/(Backend!$B$4/100*Table1[[#This Row],[BW40_3705]]),"")</f>
        <v/>
      </c>
      <c r="J5093" s="7" t="str">
        <f>IF(Table1[[#This Row],[Is Data Valid]]=TRUE,_xlfn.NORM.S.DIST(Table1[[#This Row],[Birthweight Z-Score]],TRUE)*100,"")</f>
        <v/>
      </c>
      <c r="K5093" s="7" t="str">
        <f>IF(Table1[[#This Row],[Is Data Valid]]=TRUE,_xlfn.NORM.S.DIST(Table1[[#This Row],[Birthweight Z-Score (BW-10%)]],TRUE)*100,"")</f>
        <v/>
      </c>
      <c r="L5093" s="7" t="str">
        <f>IF(Table1[[#This Row],[Is Data Valid]]=TRUE,_xlfn.NORM.S.DIST(Table1[[#This Row],[Birthweight Z-Score (BW+10%)]],TRUE)*100,"")</f>
        <v/>
      </c>
    </row>
    <row r="5094" spans="1:12" x14ac:dyDescent="0.35">
      <c r="A5094" s="3"/>
      <c r="B5094" s="2"/>
      <c r="C5094" s="2"/>
      <c r="D5094" s="2" t="b">
        <f>IF(AND(NOT(ISBLANK(Table1[[#This Row],[Fetal Sex (Male, Female or Unknown)]])),ISNUMBER(Table1[[#This Row],[Birthweight (grams)]]),ISNUMBER(Table1[[#This Row],[Gestation (days)]])),TRUE,FALSE)</f>
        <v>0</v>
      </c>
      <c r="E5094" s="2" t="str">
        <f>IF(Table1[[#This Row],[Is Data Valid]]=TRUE,IF(Table1[[#This Row],[Fetal Sex (Male, Female or Unknown)]]="Male",Backend!$C$6,IF(Table1[[#This Row],[Fetal Sex (Male, Female or Unknown)]]="Female",Backend!$C$7,IF(Table1[[#This Row],[Fetal Sex (Male, Female or Unknown)]]="Unknown",Backend!$C$8,"Error"))),"")</f>
        <v/>
      </c>
      <c r="F5094" s="8" t="str">
        <f>IF(Table1[[#This Row],[Is Data Valid]]=TRUE,EXP(0.578+0.332*((Table1[[#This Row],[Gestation (days)]]+0.5)/7)-0.00354*((Table1[[#This Row],[Gestation (days)]]+0.5)/7)^2)*Table1[[#This Row],[BW40_3705]],"")</f>
        <v/>
      </c>
      <c r="G5094" s="2" t="str">
        <f>IF(Table1[[#This Row],[Is Data Valid]]=TRUE,((Table1[[#This Row],[Birthweight (grams)]]/Table1[[#This Row],[BW_GA]])-1)/(Backend!$B$4/100*Table1[[#This Row],[BW40_3705]]),"")</f>
        <v/>
      </c>
      <c r="H5094" s="7" t="str">
        <f>IF(Table1[[#This Row],[Is Data Valid]]=TRUE,((Table1[[#This Row],[Birthweight (grams)]]*0.9/Table1[[#This Row],[BW_GA]])-1)/(Backend!$B$4/100*Table1[[#This Row],[BW40_3705]]),"")</f>
        <v/>
      </c>
      <c r="I5094" s="7" t="str">
        <f>IF(Table1[[#This Row],[Is Data Valid]]=TRUE,((Table1[[#This Row],[Birthweight (grams)]]*1.1/Table1[[#This Row],[BW_GA]])-1)/(Backend!$B$4/100*Table1[[#This Row],[BW40_3705]]),"")</f>
        <v/>
      </c>
      <c r="J5094" s="7" t="str">
        <f>IF(Table1[[#This Row],[Is Data Valid]]=TRUE,_xlfn.NORM.S.DIST(Table1[[#This Row],[Birthweight Z-Score]],TRUE)*100,"")</f>
        <v/>
      </c>
      <c r="K5094" s="7" t="str">
        <f>IF(Table1[[#This Row],[Is Data Valid]]=TRUE,_xlfn.NORM.S.DIST(Table1[[#This Row],[Birthweight Z-Score (BW-10%)]],TRUE)*100,"")</f>
        <v/>
      </c>
      <c r="L5094" s="7" t="str">
        <f>IF(Table1[[#This Row],[Is Data Valid]]=TRUE,_xlfn.NORM.S.DIST(Table1[[#This Row],[Birthweight Z-Score (BW+10%)]],TRUE)*100,"")</f>
        <v/>
      </c>
    </row>
    <row r="5095" spans="1:12" x14ac:dyDescent="0.35">
      <c r="A5095" s="3"/>
      <c r="B5095" s="2"/>
      <c r="C5095" s="2"/>
      <c r="D5095" s="2" t="b">
        <f>IF(AND(NOT(ISBLANK(Table1[[#This Row],[Fetal Sex (Male, Female or Unknown)]])),ISNUMBER(Table1[[#This Row],[Birthweight (grams)]]),ISNUMBER(Table1[[#This Row],[Gestation (days)]])),TRUE,FALSE)</f>
        <v>0</v>
      </c>
      <c r="E5095" s="2" t="str">
        <f>IF(Table1[[#This Row],[Is Data Valid]]=TRUE,IF(Table1[[#This Row],[Fetal Sex (Male, Female or Unknown)]]="Male",Backend!$C$6,IF(Table1[[#This Row],[Fetal Sex (Male, Female or Unknown)]]="Female",Backend!$C$7,IF(Table1[[#This Row],[Fetal Sex (Male, Female or Unknown)]]="Unknown",Backend!$C$8,"Error"))),"")</f>
        <v/>
      </c>
      <c r="F5095" s="8" t="str">
        <f>IF(Table1[[#This Row],[Is Data Valid]]=TRUE,EXP(0.578+0.332*((Table1[[#This Row],[Gestation (days)]]+0.5)/7)-0.00354*((Table1[[#This Row],[Gestation (days)]]+0.5)/7)^2)*Table1[[#This Row],[BW40_3705]],"")</f>
        <v/>
      </c>
      <c r="G5095" s="2" t="str">
        <f>IF(Table1[[#This Row],[Is Data Valid]]=TRUE,((Table1[[#This Row],[Birthweight (grams)]]/Table1[[#This Row],[BW_GA]])-1)/(Backend!$B$4/100*Table1[[#This Row],[BW40_3705]]),"")</f>
        <v/>
      </c>
      <c r="H5095" s="7" t="str">
        <f>IF(Table1[[#This Row],[Is Data Valid]]=TRUE,((Table1[[#This Row],[Birthweight (grams)]]*0.9/Table1[[#This Row],[BW_GA]])-1)/(Backend!$B$4/100*Table1[[#This Row],[BW40_3705]]),"")</f>
        <v/>
      </c>
      <c r="I5095" s="7" t="str">
        <f>IF(Table1[[#This Row],[Is Data Valid]]=TRUE,((Table1[[#This Row],[Birthweight (grams)]]*1.1/Table1[[#This Row],[BW_GA]])-1)/(Backend!$B$4/100*Table1[[#This Row],[BW40_3705]]),"")</f>
        <v/>
      </c>
      <c r="J5095" s="7" t="str">
        <f>IF(Table1[[#This Row],[Is Data Valid]]=TRUE,_xlfn.NORM.S.DIST(Table1[[#This Row],[Birthweight Z-Score]],TRUE)*100,"")</f>
        <v/>
      </c>
      <c r="K5095" s="7" t="str">
        <f>IF(Table1[[#This Row],[Is Data Valid]]=TRUE,_xlfn.NORM.S.DIST(Table1[[#This Row],[Birthweight Z-Score (BW-10%)]],TRUE)*100,"")</f>
        <v/>
      </c>
      <c r="L5095" s="7" t="str">
        <f>IF(Table1[[#This Row],[Is Data Valid]]=TRUE,_xlfn.NORM.S.DIST(Table1[[#This Row],[Birthweight Z-Score (BW+10%)]],TRUE)*100,"")</f>
        <v/>
      </c>
    </row>
    <row r="5096" spans="1:12" x14ac:dyDescent="0.35">
      <c r="A5096" s="3"/>
      <c r="B5096" s="2"/>
      <c r="C5096" s="2"/>
      <c r="D5096" s="2" t="b">
        <f>IF(AND(NOT(ISBLANK(Table1[[#This Row],[Fetal Sex (Male, Female or Unknown)]])),ISNUMBER(Table1[[#This Row],[Birthweight (grams)]]),ISNUMBER(Table1[[#This Row],[Gestation (days)]])),TRUE,FALSE)</f>
        <v>0</v>
      </c>
      <c r="E5096" s="2" t="str">
        <f>IF(Table1[[#This Row],[Is Data Valid]]=TRUE,IF(Table1[[#This Row],[Fetal Sex (Male, Female or Unknown)]]="Male",Backend!$C$6,IF(Table1[[#This Row],[Fetal Sex (Male, Female or Unknown)]]="Female",Backend!$C$7,IF(Table1[[#This Row],[Fetal Sex (Male, Female or Unknown)]]="Unknown",Backend!$C$8,"Error"))),"")</f>
        <v/>
      </c>
      <c r="F5096" s="8" t="str">
        <f>IF(Table1[[#This Row],[Is Data Valid]]=TRUE,EXP(0.578+0.332*((Table1[[#This Row],[Gestation (days)]]+0.5)/7)-0.00354*((Table1[[#This Row],[Gestation (days)]]+0.5)/7)^2)*Table1[[#This Row],[BW40_3705]],"")</f>
        <v/>
      </c>
      <c r="G5096" s="2" t="str">
        <f>IF(Table1[[#This Row],[Is Data Valid]]=TRUE,((Table1[[#This Row],[Birthweight (grams)]]/Table1[[#This Row],[BW_GA]])-1)/(Backend!$B$4/100*Table1[[#This Row],[BW40_3705]]),"")</f>
        <v/>
      </c>
      <c r="H5096" s="7" t="str">
        <f>IF(Table1[[#This Row],[Is Data Valid]]=TRUE,((Table1[[#This Row],[Birthweight (grams)]]*0.9/Table1[[#This Row],[BW_GA]])-1)/(Backend!$B$4/100*Table1[[#This Row],[BW40_3705]]),"")</f>
        <v/>
      </c>
      <c r="I5096" s="7" t="str">
        <f>IF(Table1[[#This Row],[Is Data Valid]]=TRUE,((Table1[[#This Row],[Birthweight (grams)]]*1.1/Table1[[#This Row],[BW_GA]])-1)/(Backend!$B$4/100*Table1[[#This Row],[BW40_3705]]),"")</f>
        <v/>
      </c>
      <c r="J5096" s="7" t="str">
        <f>IF(Table1[[#This Row],[Is Data Valid]]=TRUE,_xlfn.NORM.S.DIST(Table1[[#This Row],[Birthweight Z-Score]],TRUE)*100,"")</f>
        <v/>
      </c>
      <c r="K5096" s="7" t="str">
        <f>IF(Table1[[#This Row],[Is Data Valid]]=TRUE,_xlfn.NORM.S.DIST(Table1[[#This Row],[Birthweight Z-Score (BW-10%)]],TRUE)*100,"")</f>
        <v/>
      </c>
      <c r="L5096" s="7" t="str">
        <f>IF(Table1[[#This Row],[Is Data Valid]]=TRUE,_xlfn.NORM.S.DIST(Table1[[#This Row],[Birthweight Z-Score (BW+10%)]],TRUE)*100,"")</f>
        <v/>
      </c>
    </row>
    <row r="5097" spans="1:12" x14ac:dyDescent="0.35">
      <c r="A5097" s="3"/>
      <c r="B5097" s="2"/>
      <c r="C5097" s="2"/>
      <c r="D5097" s="2" t="b">
        <f>IF(AND(NOT(ISBLANK(Table1[[#This Row],[Fetal Sex (Male, Female or Unknown)]])),ISNUMBER(Table1[[#This Row],[Birthweight (grams)]]),ISNUMBER(Table1[[#This Row],[Gestation (days)]])),TRUE,FALSE)</f>
        <v>0</v>
      </c>
      <c r="E5097" s="2" t="str">
        <f>IF(Table1[[#This Row],[Is Data Valid]]=TRUE,IF(Table1[[#This Row],[Fetal Sex (Male, Female or Unknown)]]="Male",Backend!$C$6,IF(Table1[[#This Row],[Fetal Sex (Male, Female or Unknown)]]="Female",Backend!$C$7,IF(Table1[[#This Row],[Fetal Sex (Male, Female or Unknown)]]="Unknown",Backend!$C$8,"Error"))),"")</f>
        <v/>
      </c>
      <c r="F5097" s="8" t="str">
        <f>IF(Table1[[#This Row],[Is Data Valid]]=TRUE,EXP(0.578+0.332*((Table1[[#This Row],[Gestation (days)]]+0.5)/7)-0.00354*((Table1[[#This Row],[Gestation (days)]]+0.5)/7)^2)*Table1[[#This Row],[BW40_3705]],"")</f>
        <v/>
      </c>
      <c r="G5097" s="2" t="str">
        <f>IF(Table1[[#This Row],[Is Data Valid]]=TRUE,((Table1[[#This Row],[Birthweight (grams)]]/Table1[[#This Row],[BW_GA]])-1)/(Backend!$B$4/100*Table1[[#This Row],[BW40_3705]]),"")</f>
        <v/>
      </c>
      <c r="H5097" s="7" t="str">
        <f>IF(Table1[[#This Row],[Is Data Valid]]=TRUE,((Table1[[#This Row],[Birthweight (grams)]]*0.9/Table1[[#This Row],[BW_GA]])-1)/(Backend!$B$4/100*Table1[[#This Row],[BW40_3705]]),"")</f>
        <v/>
      </c>
      <c r="I5097" s="7" t="str">
        <f>IF(Table1[[#This Row],[Is Data Valid]]=TRUE,((Table1[[#This Row],[Birthweight (grams)]]*1.1/Table1[[#This Row],[BW_GA]])-1)/(Backend!$B$4/100*Table1[[#This Row],[BW40_3705]]),"")</f>
        <v/>
      </c>
      <c r="J5097" s="7" t="str">
        <f>IF(Table1[[#This Row],[Is Data Valid]]=TRUE,_xlfn.NORM.S.DIST(Table1[[#This Row],[Birthweight Z-Score]],TRUE)*100,"")</f>
        <v/>
      </c>
      <c r="K5097" s="7" t="str">
        <f>IF(Table1[[#This Row],[Is Data Valid]]=TRUE,_xlfn.NORM.S.DIST(Table1[[#This Row],[Birthweight Z-Score (BW-10%)]],TRUE)*100,"")</f>
        <v/>
      </c>
      <c r="L5097" s="7" t="str">
        <f>IF(Table1[[#This Row],[Is Data Valid]]=TRUE,_xlfn.NORM.S.DIST(Table1[[#This Row],[Birthweight Z-Score (BW+10%)]],TRUE)*100,"")</f>
        <v/>
      </c>
    </row>
    <row r="5098" spans="1:12" x14ac:dyDescent="0.35">
      <c r="A5098" s="3"/>
      <c r="B5098" s="2"/>
      <c r="C5098" s="2"/>
      <c r="D5098" s="2" t="b">
        <f>IF(AND(NOT(ISBLANK(Table1[[#This Row],[Fetal Sex (Male, Female or Unknown)]])),ISNUMBER(Table1[[#This Row],[Birthweight (grams)]]),ISNUMBER(Table1[[#This Row],[Gestation (days)]])),TRUE,FALSE)</f>
        <v>0</v>
      </c>
      <c r="E5098" s="2" t="str">
        <f>IF(Table1[[#This Row],[Is Data Valid]]=TRUE,IF(Table1[[#This Row],[Fetal Sex (Male, Female or Unknown)]]="Male",Backend!$C$6,IF(Table1[[#This Row],[Fetal Sex (Male, Female or Unknown)]]="Female",Backend!$C$7,IF(Table1[[#This Row],[Fetal Sex (Male, Female or Unknown)]]="Unknown",Backend!$C$8,"Error"))),"")</f>
        <v/>
      </c>
      <c r="F5098" s="8" t="str">
        <f>IF(Table1[[#This Row],[Is Data Valid]]=TRUE,EXP(0.578+0.332*((Table1[[#This Row],[Gestation (days)]]+0.5)/7)-0.00354*((Table1[[#This Row],[Gestation (days)]]+0.5)/7)^2)*Table1[[#This Row],[BW40_3705]],"")</f>
        <v/>
      </c>
      <c r="G5098" s="2" t="str">
        <f>IF(Table1[[#This Row],[Is Data Valid]]=TRUE,((Table1[[#This Row],[Birthweight (grams)]]/Table1[[#This Row],[BW_GA]])-1)/(Backend!$B$4/100*Table1[[#This Row],[BW40_3705]]),"")</f>
        <v/>
      </c>
      <c r="H5098" s="7" t="str">
        <f>IF(Table1[[#This Row],[Is Data Valid]]=TRUE,((Table1[[#This Row],[Birthweight (grams)]]*0.9/Table1[[#This Row],[BW_GA]])-1)/(Backend!$B$4/100*Table1[[#This Row],[BW40_3705]]),"")</f>
        <v/>
      </c>
      <c r="I5098" s="7" t="str">
        <f>IF(Table1[[#This Row],[Is Data Valid]]=TRUE,((Table1[[#This Row],[Birthweight (grams)]]*1.1/Table1[[#This Row],[BW_GA]])-1)/(Backend!$B$4/100*Table1[[#This Row],[BW40_3705]]),"")</f>
        <v/>
      </c>
      <c r="J5098" s="7" t="str">
        <f>IF(Table1[[#This Row],[Is Data Valid]]=TRUE,_xlfn.NORM.S.DIST(Table1[[#This Row],[Birthweight Z-Score]],TRUE)*100,"")</f>
        <v/>
      </c>
      <c r="K5098" s="7" t="str">
        <f>IF(Table1[[#This Row],[Is Data Valid]]=TRUE,_xlfn.NORM.S.DIST(Table1[[#This Row],[Birthweight Z-Score (BW-10%)]],TRUE)*100,"")</f>
        <v/>
      </c>
      <c r="L5098" s="7" t="str">
        <f>IF(Table1[[#This Row],[Is Data Valid]]=TRUE,_xlfn.NORM.S.DIST(Table1[[#This Row],[Birthweight Z-Score (BW+10%)]],TRUE)*100,"")</f>
        <v/>
      </c>
    </row>
    <row r="5099" spans="1:12" x14ac:dyDescent="0.35">
      <c r="A5099" s="3"/>
      <c r="B5099" s="2"/>
      <c r="C5099" s="2"/>
      <c r="D5099" s="2" t="b">
        <f>IF(AND(NOT(ISBLANK(Table1[[#This Row],[Fetal Sex (Male, Female or Unknown)]])),ISNUMBER(Table1[[#This Row],[Birthweight (grams)]]),ISNUMBER(Table1[[#This Row],[Gestation (days)]])),TRUE,FALSE)</f>
        <v>0</v>
      </c>
      <c r="E5099" s="2" t="str">
        <f>IF(Table1[[#This Row],[Is Data Valid]]=TRUE,IF(Table1[[#This Row],[Fetal Sex (Male, Female or Unknown)]]="Male",Backend!$C$6,IF(Table1[[#This Row],[Fetal Sex (Male, Female or Unknown)]]="Female",Backend!$C$7,IF(Table1[[#This Row],[Fetal Sex (Male, Female or Unknown)]]="Unknown",Backend!$C$8,"Error"))),"")</f>
        <v/>
      </c>
      <c r="F5099" s="8" t="str">
        <f>IF(Table1[[#This Row],[Is Data Valid]]=TRUE,EXP(0.578+0.332*((Table1[[#This Row],[Gestation (days)]]+0.5)/7)-0.00354*((Table1[[#This Row],[Gestation (days)]]+0.5)/7)^2)*Table1[[#This Row],[BW40_3705]],"")</f>
        <v/>
      </c>
      <c r="G5099" s="2" t="str">
        <f>IF(Table1[[#This Row],[Is Data Valid]]=TRUE,((Table1[[#This Row],[Birthweight (grams)]]/Table1[[#This Row],[BW_GA]])-1)/(Backend!$B$4/100*Table1[[#This Row],[BW40_3705]]),"")</f>
        <v/>
      </c>
      <c r="H5099" s="7" t="str">
        <f>IF(Table1[[#This Row],[Is Data Valid]]=TRUE,((Table1[[#This Row],[Birthweight (grams)]]*0.9/Table1[[#This Row],[BW_GA]])-1)/(Backend!$B$4/100*Table1[[#This Row],[BW40_3705]]),"")</f>
        <v/>
      </c>
      <c r="I5099" s="7" t="str">
        <f>IF(Table1[[#This Row],[Is Data Valid]]=TRUE,((Table1[[#This Row],[Birthweight (grams)]]*1.1/Table1[[#This Row],[BW_GA]])-1)/(Backend!$B$4/100*Table1[[#This Row],[BW40_3705]]),"")</f>
        <v/>
      </c>
      <c r="J5099" s="7" t="str">
        <f>IF(Table1[[#This Row],[Is Data Valid]]=TRUE,_xlfn.NORM.S.DIST(Table1[[#This Row],[Birthweight Z-Score]],TRUE)*100,"")</f>
        <v/>
      </c>
      <c r="K5099" s="7" t="str">
        <f>IF(Table1[[#This Row],[Is Data Valid]]=TRUE,_xlfn.NORM.S.DIST(Table1[[#This Row],[Birthweight Z-Score (BW-10%)]],TRUE)*100,"")</f>
        <v/>
      </c>
      <c r="L5099" s="7" t="str">
        <f>IF(Table1[[#This Row],[Is Data Valid]]=TRUE,_xlfn.NORM.S.DIST(Table1[[#This Row],[Birthweight Z-Score (BW+10%)]],TRUE)*100,"")</f>
        <v/>
      </c>
    </row>
    <row r="5100" spans="1:12" x14ac:dyDescent="0.35">
      <c r="A5100" s="3"/>
      <c r="B5100" s="2"/>
      <c r="C5100" s="2"/>
      <c r="D5100" s="2" t="b">
        <f>IF(AND(NOT(ISBLANK(Table1[[#This Row],[Fetal Sex (Male, Female or Unknown)]])),ISNUMBER(Table1[[#This Row],[Birthweight (grams)]]),ISNUMBER(Table1[[#This Row],[Gestation (days)]])),TRUE,FALSE)</f>
        <v>0</v>
      </c>
      <c r="E5100" s="2" t="str">
        <f>IF(Table1[[#This Row],[Is Data Valid]]=TRUE,IF(Table1[[#This Row],[Fetal Sex (Male, Female or Unknown)]]="Male",Backend!$C$6,IF(Table1[[#This Row],[Fetal Sex (Male, Female or Unknown)]]="Female",Backend!$C$7,IF(Table1[[#This Row],[Fetal Sex (Male, Female or Unknown)]]="Unknown",Backend!$C$8,"Error"))),"")</f>
        <v/>
      </c>
      <c r="F5100" s="8" t="str">
        <f>IF(Table1[[#This Row],[Is Data Valid]]=TRUE,EXP(0.578+0.332*((Table1[[#This Row],[Gestation (days)]]+0.5)/7)-0.00354*((Table1[[#This Row],[Gestation (days)]]+0.5)/7)^2)*Table1[[#This Row],[BW40_3705]],"")</f>
        <v/>
      </c>
      <c r="G5100" s="2" t="str">
        <f>IF(Table1[[#This Row],[Is Data Valid]]=TRUE,((Table1[[#This Row],[Birthweight (grams)]]/Table1[[#This Row],[BW_GA]])-1)/(Backend!$B$4/100*Table1[[#This Row],[BW40_3705]]),"")</f>
        <v/>
      </c>
      <c r="H5100" s="7" t="str">
        <f>IF(Table1[[#This Row],[Is Data Valid]]=TRUE,((Table1[[#This Row],[Birthweight (grams)]]*0.9/Table1[[#This Row],[BW_GA]])-1)/(Backend!$B$4/100*Table1[[#This Row],[BW40_3705]]),"")</f>
        <v/>
      </c>
      <c r="I5100" s="7" t="str">
        <f>IF(Table1[[#This Row],[Is Data Valid]]=TRUE,((Table1[[#This Row],[Birthweight (grams)]]*1.1/Table1[[#This Row],[BW_GA]])-1)/(Backend!$B$4/100*Table1[[#This Row],[BW40_3705]]),"")</f>
        <v/>
      </c>
      <c r="J5100" s="7" t="str">
        <f>IF(Table1[[#This Row],[Is Data Valid]]=TRUE,_xlfn.NORM.S.DIST(Table1[[#This Row],[Birthweight Z-Score]],TRUE)*100,"")</f>
        <v/>
      </c>
      <c r="K5100" s="7" t="str">
        <f>IF(Table1[[#This Row],[Is Data Valid]]=TRUE,_xlfn.NORM.S.DIST(Table1[[#This Row],[Birthweight Z-Score (BW-10%)]],TRUE)*100,"")</f>
        <v/>
      </c>
      <c r="L5100" s="7" t="str">
        <f>IF(Table1[[#This Row],[Is Data Valid]]=TRUE,_xlfn.NORM.S.DIST(Table1[[#This Row],[Birthweight Z-Score (BW+10%)]],TRUE)*100,"")</f>
        <v/>
      </c>
    </row>
    <row r="5101" spans="1:12" x14ac:dyDescent="0.35">
      <c r="A5101" s="3"/>
      <c r="B5101" s="2"/>
      <c r="C5101" s="2"/>
      <c r="D5101" s="2" t="b">
        <f>IF(AND(NOT(ISBLANK(Table1[[#This Row],[Fetal Sex (Male, Female or Unknown)]])),ISNUMBER(Table1[[#This Row],[Birthweight (grams)]]),ISNUMBER(Table1[[#This Row],[Gestation (days)]])),TRUE,FALSE)</f>
        <v>0</v>
      </c>
      <c r="E5101" s="2" t="str">
        <f>IF(Table1[[#This Row],[Is Data Valid]]=TRUE,IF(Table1[[#This Row],[Fetal Sex (Male, Female or Unknown)]]="Male",Backend!$C$6,IF(Table1[[#This Row],[Fetal Sex (Male, Female or Unknown)]]="Female",Backend!$C$7,IF(Table1[[#This Row],[Fetal Sex (Male, Female or Unknown)]]="Unknown",Backend!$C$8,"Error"))),"")</f>
        <v/>
      </c>
      <c r="F5101" s="8" t="str">
        <f>IF(Table1[[#This Row],[Is Data Valid]]=TRUE,EXP(0.578+0.332*((Table1[[#This Row],[Gestation (days)]]+0.5)/7)-0.00354*((Table1[[#This Row],[Gestation (days)]]+0.5)/7)^2)*Table1[[#This Row],[BW40_3705]],"")</f>
        <v/>
      </c>
      <c r="G5101" s="2" t="str">
        <f>IF(Table1[[#This Row],[Is Data Valid]]=TRUE,((Table1[[#This Row],[Birthweight (grams)]]/Table1[[#This Row],[BW_GA]])-1)/(Backend!$B$4/100*Table1[[#This Row],[BW40_3705]]),"")</f>
        <v/>
      </c>
      <c r="H5101" s="7" t="str">
        <f>IF(Table1[[#This Row],[Is Data Valid]]=TRUE,((Table1[[#This Row],[Birthweight (grams)]]*0.9/Table1[[#This Row],[BW_GA]])-1)/(Backend!$B$4/100*Table1[[#This Row],[BW40_3705]]),"")</f>
        <v/>
      </c>
      <c r="I5101" s="7" t="str">
        <f>IF(Table1[[#This Row],[Is Data Valid]]=TRUE,((Table1[[#This Row],[Birthweight (grams)]]*1.1/Table1[[#This Row],[BW_GA]])-1)/(Backend!$B$4/100*Table1[[#This Row],[BW40_3705]]),"")</f>
        <v/>
      </c>
      <c r="J5101" s="7" t="str">
        <f>IF(Table1[[#This Row],[Is Data Valid]]=TRUE,_xlfn.NORM.S.DIST(Table1[[#This Row],[Birthweight Z-Score]],TRUE)*100,"")</f>
        <v/>
      </c>
      <c r="K5101" s="7" t="str">
        <f>IF(Table1[[#This Row],[Is Data Valid]]=TRUE,_xlfn.NORM.S.DIST(Table1[[#This Row],[Birthweight Z-Score (BW-10%)]],TRUE)*100,"")</f>
        <v/>
      </c>
      <c r="L5101" s="7" t="str">
        <f>IF(Table1[[#This Row],[Is Data Valid]]=TRUE,_xlfn.NORM.S.DIST(Table1[[#This Row],[Birthweight Z-Score (BW+10%)]],TRUE)*100,"")</f>
        <v/>
      </c>
    </row>
    <row r="5102" spans="1:12" x14ac:dyDescent="0.35">
      <c r="A5102" s="3"/>
      <c r="B5102" s="2"/>
      <c r="C5102" s="2"/>
      <c r="D5102" s="2" t="b">
        <f>IF(AND(NOT(ISBLANK(Table1[[#This Row],[Fetal Sex (Male, Female or Unknown)]])),ISNUMBER(Table1[[#This Row],[Birthweight (grams)]]),ISNUMBER(Table1[[#This Row],[Gestation (days)]])),TRUE,FALSE)</f>
        <v>0</v>
      </c>
      <c r="E5102" s="2" t="str">
        <f>IF(Table1[[#This Row],[Is Data Valid]]=TRUE,IF(Table1[[#This Row],[Fetal Sex (Male, Female or Unknown)]]="Male",Backend!$C$6,IF(Table1[[#This Row],[Fetal Sex (Male, Female or Unknown)]]="Female",Backend!$C$7,IF(Table1[[#This Row],[Fetal Sex (Male, Female or Unknown)]]="Unknown",Backend!$C$8,"Error"))),"")</f>
        <v/>
      </c>
      <c r="F5102" s="8" t="str">
        <f>IF(Table1[[#This Row],[Is Data Valid]]=TRUE,EXP(0.578+0.332*((Table1[[#This Row],[Gestation (days)]]+0.5)/7)-0.00354*((Table1[[#This Row],[Gestation (days)]]+0.5)/7)^2)*Table1[[#This Row],[BW40_3705]],"")</f>
        <v/>
      </c>
      <c r="G5102" s="2" t="str">
        <f>IF(Table1[[#This Row],[Is Data Valid]]=TRUE,((Table1[[#This Row],[Birthweight (grams)]]/Table1[[#This Row],[BW_GA]])-1)/(Backend!$B$4/100*Table1[[#This Row],[BW40_3705]]),"")</f>
        <v/>
      </c>
      <c r="H5102" s="7" t="str">
        <f>IF(Table1[[#This Row],[Is Data Valid]]=TRUE,((Table1[[#This Row],[Birthweight (grams)]]*0.9/Table1[[#This Row],[BW_GA]])-1)/(Backend!$B$4/100*Table1[[#This Row],[BW40_3705]]),"")</f>
        <v/>
      </c>
      <c r="I5102" s="7" t="str">
        <f>IF(Table1[[#This Row],[Is Data Valid]]=TRUE,((Table1[[#This Row],[Birthweight (grams)]]*1.1/Table1[[#This Row],[BW_GA]])-1)/(Backend!$B$4/100*Table1[[#This Row],[BW40_3705]]),"")</f>
        <v/>
      </c>
      <c r="J5102" s="7" t="str">
        <f>IF(Table1[[#This Row],[Is Data Valid]]=TRUE,_xlfn.NORM.S.DIST(Table1[[#This Row],[Birthweight Z-Score]],TRUE)*100,"")</f>
        <v/>
      </c>
      <c r="K5102" s="7" t="str">
        <f>IF(Table1[[#This Row],[Is Data Valid]]=TRUE,_xlfn.NORM.S.DIST(Table1[[#This Row],[Birthweight Z-Score (BW-10%)]],TRUE)*100,"")</f>
        <v/>
      </c>
      <c r="L5102" s="7" t="str">
        <f>IF(Table1[[#This Row],[Is Data Valid]]=TRUE,_xlfn.NORM.S.DIST(Table1[[#This Row],[Birthweight Z-Score (BW+10%)]],TRUE)*100,"")</f>
        <v/>
      </c>
    </row>
    <row r="5103" spans="1:12" x14ac:dyDescent="0.35">
      <c r="A5103" s="3"/>
      <c r="B5103" s="2"/>
      <c r="C5103" s="2"/>
      <c r="D5103" s="2" t="b">
        <f>IF(AND(NOT(ISBLANK(Table1[[#This Row],[Fetal Sex (Male, Female or Unknown)]])),ISNUMBER(Table1[[#This Row],[Birthweight (grams)]]),ISNUMBER(Table1[[#This Row],[Gestation (days)]])),TRUE,FALSE)</f>
        <v>0</v>
      </c>
      <c r="E5103" s="2" t="str">
        <f>IF(Table1[[#This Row],[Is Data Valid]]=TRUE,IF(Table1[[#This Row],[Fetal Sex (Male, Female or Unknown)]]="Male",Backend!$C$6,IF(Table1[[#This Row],[Fetal Sex (Male, Female or Unknown)]]="Female",Backend!$C$7,IF(Table1[[#This Row],[Fetal Sex (Male, Female or Unknown)]]="Unknown",Backend!$C$8,"Error"))),"")</f>
        <v/>
      </c>
      <c r="F5103" s="8" t="str">
        <f>IF(Table1[[#This Row],[Is Data Valid]]=TRUE,EXP(0.578+0.332*((Table1[[#This Row],[Gestation (days)]]+0.5)/7)-0.00354*((Table1[[#This Row],[Gestation (days)]]+0.5)/7)^2)*Table1[[#This Row],[BW40_3705]],"")</f>
        <v/>
      </c>
      <c r="G5103" s="2" t="str">
        <f>IF(Table1[[#This Row],[Is Data Valid]]=TRUE,((Table1[[#This Row],[Birthweight (grams)]]/Table1[[#This Row],[BW_GA]])-1)/(Backend!$B$4/100*Table1[[#This Row],[BW40_3705]]),"")</f>
        <v/>
      </c>
      <c r="H5103" s="7" t="str">
        <f>IF(Table1[[#This Row],[Is Data Valid]]=TRUE,((Table1[[#This Row],[Birthweight (grams)]]*0.9/Table1[[#This Row],[BW_GA]])-1)/(Backend!$B$4/100*Table1[[#This Row],[BW40_3705]]),"")</f>
        <v/>
      </c>
      <c r="I5103" s="7" t="str">
        <f>IF(Table1[[#This Row],[Is Data Valid]]=TRUE,((Table1[[#This Row],[Birthweight (grams)]]*1.1/Table1[[#This Row],[BW_GA]])-1)/(Backend!$B$4/100*Table1[[#This Row],[BW40_3705]]),"")</f>
        <v/>
      </c>
      <c r="J5103" s="7" t="str">
        <f>IF(Table1[[#This Row],[Is Data Valid]]=TRUE,_xlfn.NORM.S.DIST(Table1[[#This Row],[Birthweight Z-Score]],TRUE)*100,"")</f>
        <v/>
      </c>
      <c r="K5103" s="7" t="str">
        <f>IF(Table1[[#This Row],[Is Data Valid]]=TRUE,_xlfn.NORM.S.DIST(Table1[[#This Row],[Birthweight Z-Score (BW-10%)]],TRUE)*100,"")</f>
        <v/>
      </c>
      <c r="L5103" s="7" t="str">
        <f>IF(Table1[[#This Row],[Is Data Valid]]=TRUE,_xlfn.NORM.S.DIST(Table1[[#This Row],[Birthweight Z-Score (BW+10%)]],TRUE)*100,"")</f>
        <v/>
      </c>
    </row>
    <row r="5104" spans="1:12" x14ac:dyDescent="0.35">
      <c r="A5104" s="3"/>
      <c r="B5104" s="2"/>
      <c r="C5104" s="2"/>
      <c r="D5104" s="2" t="b">
        <f>IF(AND(NOT(ISBLANK(Table1[[#This Row],[Fetal Sex (Male, Female or Unknown)]])),ISNUMBER(Table1[[#This Row],[Birthweight (grams)]]),ISNUMBER(Table1[[#This Row],[Gestation (days)]])),TRUE,FALSE)</f>
        <v>0</v>
      </c>
      <c r="E5104" s="2" t="str">
        <f>IF(Table1[[#This Row],[Is Data Valid]]=TRUE,IF(Table1[[#This Row],[Fetal Sex (Male, Female or Unknown)]]="Male",Backend!$C$6,IF(Table1[[#This Row],[Fetal Sex (Male, Female or Unknown)]]="Female",Backend!$C$7,IF(Table1[[#This Row],[Fetal Sex (Male, Female or Unknown)]]="Unknown",Backend!$C$8,"Error"))),"")</f>
        <v/>
      </c>
      <c r="F5104" s="8" t="str">
        <f>IF(Table1[[#This Row],[Is Data Valid]]=TRUE,EXP(0.578+0.332*((Table1[[#This Row],[Gestation (days)]]+0.5)/7)-0.00354*((Table1[[#This Row],[Gestation (days)]]+0.5)/7)^2)*Table1[[#This Row],[BW40_3705]],"")</f>
        <v/>
      </c>
      <c r="G5104" s="2" t="str">
        <f>IF(Table1[[#This Row],[Is Data Valid]]=TRUE,((Table1[[#This Row],[Birthweight (grams)]]/Table1[[#This Row],[BW_GA]])-1)/(Backend!$B$4/100*Table1[[#This Row],[BW40_3705]]),"")</f>
        <v/>
      </c>
      <c r="H5104" s="7" t="str">
        <f>IF(Table1[[#This Row],[Is Data Valid]]=TRUE,((Table1[[#This Row],[Birthweight (grams)]]*0.9/Table1[[#This Row],[BW_GA]])-1)/(Backend!$B$4/100*Table1[[#This Row],[BW40_3705]]),"")</f>
        <v/>
      </c>
      <c r="I5104" s="7" t="str">
        <f>IF(Table1[[#This Row],[Is Data Valid]]=TRUE,((Table1[[#This Row],[Birthweight (grams)]]*1.1/Table1[[#This Row],[BW_GA]])-1)/(Backend!$B$4/100*Table1[[#This Row],[BW40_3705]]),"")</f>
        <v/>
      </c>
      <c r="J5104" s="7" t="str">
        <f>IF(Table1[[#This Row],[Is Data Valid]]=TRUE,_xlfn.NORM.S.DIST(Table1[[#This Row],[Birthweight Z-Score]],TRUE)*100,"")</f>
        <v/>
      </c>
      <c r="K5104" s="7" t="str">
        <f>IF(Table1[[#This Row],[Is Data Valid]]=TRUE,_xlfn.NORM.S.DIST(Table1[[#This Row],[Birthweight Z-Score (BW-10%)]],TRUE)*100,"")</f>
        <v/>
      </c>
      <c r="L5104" s="7" t="str">
        <f>IF(Table1[[#This Row],[Is Data Valid]]=TRUE,_xlfn.NORM.S.DIST(Table1[[#This Row],[Birthweight Z-Score (BW+10%)]],TRUE)*100,"")</f>
        <v/>
      </c>
    </row>
    <row r="5105" spans="1:12" x14ac:dyDescent="0.35">
      <c r="A5105" s="3"/>
      <c r="B5105" s="2"/>
      <c r="C5105" s="2"/>
      <c r="D5105" s="2" t="b">
        <f>IF(AND(NOT(ISBLANK(Table1[[#This Row],[Fetal Sex (Male, Female or Unknown)]])),ISNUMBER(Table1[[#This Row],[Birthweight (grams)]]),ISNUMBER(Table1[[#This Row],[Gestation (days)]])),TRUE,FALSE)</f>
        <v>0</v>
      </c>
      <c r="E5105" s="2" t="str">
        <f>IF(Table1[[#This Row],[Is Data Valid]]=TRUE,IF(Table1[[#This Row],[Fetal Sex (Male, Female or Unknown)]]="Male",Backend!$C$6,IF(Table1[[#This Row],[Fetal Sex (Male, Female or Unknown)]]="Female",Backend!$C$7,IF(Table1[[#This Row],[Fetal Sex (Male, Female or Unknown)]]="Unknown",Backend!$C$8,"Error"))),"")</f>
        <v/>
      </c>
      <c r="F5105" s="8" t="str">
        <f>IF(Table1[[#This Row],[Is Data Valid]]=TRUE,EXP(0.578+0.332*((Table1[[#This Row],[Gestation (days)]]+0.5)/7)-0.00354*((Table1[[#This Row],[Gestation (days)]]+0.5)/7)^2)*Table1[[#This Row],[BW40_3705]],"")</f>
        <v/>
      </c>
      <c r="G5105" s="2" t="str">
        <f>IF(Table1[[#This Row],[Is Data Valid]]=TRUE,((Table1[[#This Row],[Birthweight (grams)]]/Table1[[#This Row],[BW_GA]])-1)/(Backend!$B$4/100*Table1[[#This Row],[BW40_3705]]),"")</f>
        <v/>
      </c>
      <c r="H5105" s="7" t="str">
        <f>IF(Table1[[#This Row],[Is Data Valid]]=TRUE,((Table1[[#This Row],[Birthweight (grams)]]*0.9/Table1[[#This Row],[BW_GA]])-1)/(Backend!$B$4/100*Table1[[#This Row],[BW40_3705]]),"")</f>
        <v/>
      </c>
      <c r="I5105" s="7" t="str">
        <f>IF(Table1[[#This Row],[Is Data Valid]]=TRUE,((Table1[[#This Row],[Birthweight (grams)]]*1.1/Table1[[#This Row],[BW_GA]])-1)/(Backend!$B$4/100*Table1[[#This Row],[BW40_3705]]),"")</f>
        <v/>
      </c>
      <c r="J5105" s="7" t="str">
        <f>IF(Table1[[#This Row],[Is Data Valid]]=TRUE,_xlfn.NORM.S.DIST(Table1[[#This Row],[Birthweight Z-Score]],TRUE)*100,"")</f>
        <v/>
      </c>
      <c r="K5105" s="7" t="str">
        <f>IF(Table1[[#This Row],[Is Data Valid]]=TRUE,_xlfn.NORM.S.DIST(Table1[[#This Row],[Birthweight Z-Score (BW-10%)]],TRUE)*100,"")</f>
        <v/>
      </c>
      <c r="L5105" s="7" t="str">
        <f>IF(Table1[[#This Row],[Is Data Valid]]=TRUE,_xlfn.NORM.S.DIST(Table1[[#This Row],[Birthweight Z-Score (BW+10%)]],TRUE)*100,"")</f>
        <v/>
      </c>
    </row>
    <row r="5106" spans="1:12" x14ac:dyDescent="0.35">
      <c r="A5106" s="3"/>
      <c r="B5106" s="2"/>
      <c r="C5106" s="2"/>
      <c r="D5106" s="2" t="b">
        <f>IF(AND(NOT(ISBLANK(Table1[[#This Row],[Fetal Sex (Male, Female or Unknown)]])),ISNUMBER(Table1[[#This Row],[Birthweight (grams)]]),ISNUMBER(Table1[[#This Row],[Gestation (days)]])),TRUE,FALSE)</f>
        <v>0</v>
      </c>
      <c r="E5106" s="2" t="str">
        <f>IF(Table1[[#This Row],[Is Data Valid]]=TRUE,IF(Table1[[#This Row],[Fetal Sex (Male, Female or Unknown)]]="Male",Backend!$C$6,IF(Table1[[#This Row],[Fetal Sex (Male, Female or Unknown)]]="Female",Backend!$C$7,IF(Table1[[#This Row],[Fetal Sex (Male, Female or Unknown)]]="Unknown",Backend!$C$8,"Error"))),"")</f>
        <v/>
      </c>
      <c r="F5106" s="8" t="str">
        <f>IF(Table1[[#This Row],[Is Data Valid]]=TRUE,EXP(0.578+0.332*((Table1[[#This Row],[Gestation (days)]]+0.5)/7)-0.00354*((Table1[[#This Row],[Gestation (days)]]+0.5)/7)^2)*Table1[[#This Row],[BW40_3705]],"")</f>
        <v/>
      </c>
      <c r="G5106" s="2" t="str">
        <f>IF(Table1[[#This Row],[Is Data Valid]]=TRUE,((Table1[[#This Row],[Birthweight (grams)]]/Table1[[#This Row],[BW_GA]])-1)/(Backend!$B$4/100*Table1[[#This Row],[BW40_3705]]),"")</f>
        <v/>
      </c>
      <c r="H5106" s="7" t="str">
        <f>IF(Table1[[#This Row],[Is Data Valid]]=TRUE,((Table1[[#This Row],[Birthweight (grams)]]*0.9/Table1[[#This Row],[BW_GA]])-1)/(Backend!$B$4/100*Table1[[#This Row],[BW40_3705]]),"")</f>
        <v/>
      </c>
      <c r="I5106" s="7" t="str">
        <f>IF(Table1[[#This Row],[Is Data Valid]]=TRUE,((Table1[[#This Row],[Birthweight (grams)]]*1.1/Table1[[#This Row],[BW_GA]])-1)/(Backend!$B$4/100*Table1[[#This Row],[BW40_3705]]),"")</f>
        <v/>
      </c>
      <c r="J5106" s="7" t="str">
        <f>IF(Table1[[#This Row],[Is Data Valid]]=TRUE,_xlfn.NORM.S.DIST(Table1[[#This Row],[Birthweight Z-Score]],TRUE)*100,"")</f>
        <v/>
      </c>
      <c r="K5106" s="7" t="str">
        <f>IF(Table1[[#This Row],[Is Data Valid]]=TRUE,_xlfn.NORM.S.DIST(Table1[[#This Row],[Birthweight Z-Score (BW-10%)]],TRUE)*100,"")</f>
        <v/>
      </c>
      <c r="L5106" s="7" t="str">
        <f>IF(Table1[[#This Row],[Is Data Valid]]=TRUE,_xlfn.NORM.S.DIST(Table1[[#This Row],[Birthweight Z-Score (BW+10%)]],TRUE)*100,"")</f>
        <v/>
      </c>
    </row>
    <row r="5107" spans="1:12" x14ac:dyDescent="0.35">
      <c r="A5107" s="3"/>
      <c r="B5107" s="2"/>
      <c r="C5107" s="2"/>
      <c r="D5107" s="2" t="b">
        <f>IF(AND(NOT(ISBLANK(Table1[[#This Row],[Fetal Sex (Male, Female or Unknown)]])),ISNUMBER(Table1[[#This Row],[Birthweight (grams)]]),ISNUMBER(Table1[[#This Row],[Gestation (days)]])),TRUE,FALSE)</f>
        <v>0</v>
      </c>
      <c r="E5107" s="2" t="str">
        <f>IF(Table1[[#This Row],[Is Data Valid]]=TRUE,IF(Table1[[#This Row],[Fetal Sex (Male, Female or Unknown)]]="Male",Backend!$C$6,IF(Table1[[#This Row],[Fetal Sex (Male, Female or Unknown)]]="Female",Backend!$C$7,IF(Table1[[#This Row],[Fetal Sex (Male, Female or Unknown)]]="Unknown",Backend!$C$8,"Error"))),"")</f>
        <v/>
      </c>
      <c r="F5107" s="8" t="str">
        <f>IF(Table1[[#This Row],[Is Data Valid]]=TRUE,EXP(0.578+0.332*((Table1[[#This Row],[Gestation (days)]]+0.5)/7)-0.00354*((Table1[[#This Row],[Gestation (days)]]+0.5)/7)^2)*Table1[[#This Row],[BW40_3705]],"")</f>
        <v/>
      </c>
      <c r="G5107" s="2" t="str">
        <f>IF(Table1[[#This Row],[Is Data Valid]]=TRUE,((Table1[[#This Row],[Birthweight (grams)]]/Table1[[#This Row],[BW_GA]])-1)/(Backend!$B$4/100*Table1[[#This Row],[BW40_3705]]),"")</f>
        <v/>
      </c>
      <c r="H5107" s="7" t="str">
        <f>IF(Table1[[#This Row],[Is Data Valid]]=TRUE,((Table1[[#This Row],[Birthweight (grams)]]*0.9/Table1[[#This Row],[BW_GA]])-1)/(Backend!$B$4/100*Table1[[#This Row],[BW40_3705]]),"")</f>
        <v/>
      </c>
      <c r="I5107" s="7" t="str">
        <f>IF(Table1[[#This Row],[Is Data Valid]]=TRUE,((Table1[[#This Row],[Birthweight (grams)]]*1.1/Table1[[#This Row],[BW_GA]])-1)/(Backend!$B$4/100*Table1[[#This Row],[BW40_3705]]),"")</f>
        <v/>
      </c>
      <c r="J5107" s="7" t="str">
        <f>IF(Table1[[#This Row],[Is Data Valid]]=TRUE,_xlfn.NORM.S.DIST(Table1[[#This Row],[Birthweight Z-Score]],TRUE)*100,"")</f>
        <v/>
      </c>
      <c r="K5107" s="7" t="str">
        <f>IF(Table1[[#This Row],[Is Data Valid]]=TRUE,_xlfn.NORM.S.DIST(Table1[[#This Row],[Birthweight Z-Score (BW-10%)]],TRUE)*100,"")</f>
        <v/>
      </c>
      <c r="L5107" s="7" t="str">
        <f>IF(Table1[[#This Row],[Is Data Valid]]=TRUE,_xlfn.NORM.S.DIST(Table1[[#This Row],[Birthweight Z-Score (BW+10%)]],TRUE)*100,"")</f>
        <v/>
      </c>
    </row>
    <row r="5108" spans="1:12" x14ac:dyDescent="0.35">
      <c r="A5108" s="3"/>
      <c r="B5108" s="2"/>
      <c r="C5108" s="2"/>
      <c r="D5108" s="2" t="b">
        <f>IF(AND(NOT(ISBLANK(Table1[[#This Row],[Fetal Sex (Male, Female or Unknown)]])),ISNUMBER(Table1[[#This Row],[Birthweight (grams)]]),ISNUMBER(Table1[[#This Row],[Gestation (days)]])),TRUE,FALSE)</f>
        <v>0</v>
      </c>
      <c r="E5108" s="2" t="str">
        <f>IF(Table1[[#This Row],[Is Data Valid]]=TRUE,IF(Table1[[#This Row],[Fetal Sex (Male, Female or Unknown)]]="Male",Backend!$C$6,IF(Table1[[#This Row],[Fetal Sex (Male, Female or Unknown)]]="Female",Backend!$C$7,IF(Table1[[#This Row],[Fetal Sex (Male, Female or Unknown)]]="Unknown",Backend!$C$8,"Error"))),"")</f>
        <v/>
      </c>
      <c r="F5108" s="8" t="str">
        <f>IF(Table1[[#This Row],[Is Data Valid]]=TRUE,EXP(0.578+0.332*((Table1[[#This Row],[Gestation (days)]]+0.5)/7)-0.00354*((Table1[[#This Row],[Gestation (days)]]+0.5)/7)^2)*Table1[[#This Row],[BW40_3705]],"")</f>
        <v/>
      </c>
      <c r="G5108" s="2" t="str">
        <f>IF(Table1[[#This Row],[Is Data Valid]]=TRUE,((Table1[[#This Row],[Birthweight (grams)]]/Table1[[#This Row],[BW_GA]])-1)/(Backend!$B$4/100*Table1[[#This Row],[BW40_3705]]),"")</f>
        <v/>
      </c>
      <c r="H5108" s="7" t="str">
        <f>IF(Table1[[#This Row],[Is Data Valid]]=TRUE,((Table1[[#This Row],[Birthweight (grams)]]*0.9/Table1[[#This Row],[BW_GA]])-1)/(Backend!$B$4/100*Table1[[#This Row],[BW40_3705]]),"")</f>
        <v/>
      </c>
      <c r="I5108" s="7" t="str">
        <f>IF(Table1[[#This Row],[Is Data Valid]]=TRUE,((Table1[[#This Row],[Birthweight (grams)]]*1.1/Table1[[#This Row],[BW_GA]])-1)/(Backend!$B$4/100*Table1[[#This Row],[BW40_3705]]),"")</f>
        <v/>
      </c>
      <c r="J5108" s="7" t="str">
        <f>IF(Table1[[#This Row],[Is Data Valid]]=TRUE,_xlfn.NORM.S.DIST(Table1[[#This Row],[Birthweight Z-Score]],TRUE)*100,"")</f>
        <v/>
      </c>
      <c r="K5108" s="7" t="str">
        <f>IF(Table1[[#This Row],[Is Data Valid]]=TRUE,_xlfn.NORM.S.DIST(Table1[[#This Row],[Birthweight Z-Score (BW-10%)]],TRUE)*100,"")</f>
        <v/>
      </c>
      <c r="L5108" s="7" t="str">
        <f>IF(Table1[[#This Row],[Is Data Valid]]=TRUE,_xlfn.NORM.S.DIST(Table1[[#This Row],[Birthweight Z-Score (BW+10%)]],TRUE)*100,"")</f>
        <v/>
      </c>
    </row>
    <row r="5109" spans="1:12" x14ac:dyDescent="0.35">
      <c r="A5109" s="3"/>
      <c r="B5109" s="2"/>
      <c r="C5109" s="2"/>
      <c r="D5109" s="2" t="b">
        <f>IF(AND(NOT(ISBLANK(Table1[[#This Row],[Fetal Sex (Male, Female or Unknown)]])),ISNUMBER(Table1[[#This Row],[Birthweight (grams)]]),ISNUMBER(Table1[[#This Row],[Gestation (days)]])),TRUE,FALSE)</f>
        <v>0</v>
      </c>
      <c r="E5109" s="2" t="str">
        <f>IF(Table1[[#This Row],[Is Data Valid]]=TRUE,IF(Table1[[#This Row],[Fetal Sex (Male, Female or Unknown)]]="Male",Backend!$C$6,IF(Table1[[#This Row],[Fetal Sex (Male, Female or Unknown)]]="Female",Backend!$C$7,IF(Table1[[#This Row],[Fetal Sex (Male, Female or Unknown)]]="Unknown",Backend!$C$8,"Error"))),"")</f>
        <v/>
      </c>
      <c r="F5109" s="8" t="str">
        <f>IF(Table1[[#This Row],[Is Data Valid]]=TRUE,EXP(0.578+0.332*((Table1[[#This Row],[Gestation (days)]]+0.5)/7)-0.00354*((Table1[[#This Row],[Gestation (days)]]+0.5)/7)^2)*Table1[[#This Row],[BW40_3705]],"")</f>
        <v/>
      </c>
      <c r="G5109" s="2" t="str">
        <f>IF(Table1[[#This Row],[Is Data Valid]]=TRUE,((Table1[[#This Row],[Birthweight (grams)]]/Table1[[#This Row],[BW_GA]])-1)/(Backend!$B$4/100*Table1[[#This Row],[BW40_3705]]),"")</f>
        <v/>
      </c>
      <c r="H5109" s="7" t="str">
        <f>IF(Table1[[#This Row],[Is Data Valid]]=TRUE,((Table1[[#This Row],[Birthweight (grams)]]*0.9/Table1[[#This Row],[BW_GA]])-1)/(Backend!$B$4/100*Table1[[#This Row],[BW40_3705]]),"")</f>
        <v/>
      </c>
      <c r="I5109" s="7" t="str">
        <f>IF(Table1[[#This Row],[Is Data Valid]]=TRUE,((Table1[[#This Row],[Birthweight (grams)]]*1.1/Table1[[#This Row],[BW_GA]])-1)/(Backend!$B$4/100*Table1[[#This Row],[BW40_3705]]),"")</f>
        <v/>
      </c>
      <c r="J5109" s="7" t="str">
        <f>IF(Table1[[#This Row],[Is Data Valid]]=TRUE,_xlfn.NORM.S.DIST(Table1[[#This Row],[Birthweight Z-Score]],TRUE)*100,"")</f>
        <v/>
      </c>
      <c r="K5109" s="7" t="str">
        <f>IF(Table1[[#This Row],[Is Data Valid]]=TRUE,_xlfn.NORM.S.DIST(Table1[[#This Row],[Birthweight Z-Score (BW-10%)]],TRUE)*100,"")</f>
        <v/>
      </c>
      <c r="L5109" s="7" t="str">
        <f>IF(Table1[[#This Row],[Is Data Valid]]=TRUE,_xlfn.NORM.S.DIST(Table1[[#This Row],[Birthweight Z-Score (BW+10%)]],TRUE)*100,"")</f>
        <v/>
      </c>
    </row>
    <row r="5110" spans="1:12" x14ac:dyDescent="0.35">
      <c r="A5110" s="3"/>
      <c r="B5110" s="2"/>
      <c r="C5110" s="2"/>
      <c r="D5110" s="2" t="b">
        <f>IF(AND(NOT(ISBLANK(Table1[[#This Row],[Fetal Sex (Male, Female or Unknown)]])),ISNUMBER(Table1[[#This Row],[Birthweight (grams)]]),ISNUMBER(Table1[[#This Row],[Gestation (days)]])),TRUE,FALSE)</f>
        <v>0</v>
      </c>
      <c r="E5110" s="2" t="str">
        <f>IF(Table1[[#This Row],[Is Data Valid]]=TRUE,IF(Table1[[#This Row],[Fetal Sex (Male, Female or Unknown)]]="Male",Backend!$C$6,IF(Table1[[#This Row],[Fetal Sex (Male, Female or Unknown)]]="Female",Backend!$C$7,IF(Table1[[#This Row],[Fetal Sex (Male, Female or Unknown)]]="Unknown",Backend!$C$8,"Error"))),"")</f>
        <v/>
      </c>
      <c r="F5110" s="8" t="str">
        <f>IF(Table1[[#This Row],[Is Data Valid]]=TRUE,EXP(0.578+0.332*((Table1[[#This Row],[Gestation (days)]]+0.5)/7)-0.00354*((Table1[[#This Row],[Gestation (days)]]+0.5)/7)^2)*Table1[[#This Row],[BW40_3705]],"")</f>
        <v/>
      </c>
      <c r="G5110" s="2" t="str">
        <f>IF(Table1[[#This Row],[Is Data Valid]]=TRUE,((Table1[[#This Row],[Birthweight (grams)]]/Table1[[#This Row],[BW_GA]])-1)/(Backend!$B$4/100*Table1[[#This Row],[BW40_3705]]),"")</f>
        <v/>
      </c>
      <c r="H5110" s="7" t="str">
        <f>IF(Table1[[#This Row],[Is Data Valid]]=TRUE,((Table1[[#This Row],[Birthweight (grams)]]*0.9/Table1[[#This Row],[BW_GA]])-1)/(Backend!$B$4/100*Table1[[#This Row],[BW40_3705]]),"")</f>
        <v/>
      </c>
      <c r="I5110" s="7" t="str">
        <f>IF(Table1[[#This Row],[Is Data Valid]]=TRUE,((Table1[[#This Row],[Birthweight (grams)]]*1.1/Table1[[#This Row],[BW_GA]])-1)/(Backend!$B$4/100*Table1[[#This Row],[BW40_3705]]),"")</f>
        <v/>
      </c>
      <c r="J5110" s="7" t="str">
        <f>IF(Table1[[#This Row],[Is Data Valid]]=TRUE,_xlfn.NORM.S.DIST(Table1[[#This Row],[Birthweight Z-Score]],TRUE)*100,"")</f>
        <v/>
      </c>
      <c r="K5110" s="7" t="str">
        <f>IF(Table1[[#This Row],[Is Data Valid]]=TRUE,_xlfn.NORM.S.DIST(Table1[[#This Row],[Birthweight Z-Score (BW-10%)]],TRUE)*100,"")</f>
        <v/>
      </c>
      <c r="L5110" s="7" t="str">
        <f>IF(Table1[[#This Row],[Is Data Valid]]=TRUE,_xlfn.NORM.S.DIST(Table1[[#This Row],[Birthweight Z-Score (BW+10%)]],TRUE)*100,"")</f>
        <v/>
      </c>
    </row>
    <row r="5111" spans="1:12" x14ac:dyDescent="0.35">
      <c r="A5111" s="3"/>
      <c r="B5111" s="2"/>
      <c r="C5111" s="2"/>
      <c r="D5111" s="2" t="b">
        <f>IF(AND(NOT(ISBLANK(Table1[[#This Row],[Fetal Sex (Male, Female or Unknown)]])),ISNUMBER(Table1[[#This Row],[Birthweight (grams)]]),ISNUMBER(Table1[[#This Row],[Gestation (days)]])),TRUE,FALSE)</f>
        <v>0</v>
      </c>
      <c r="E5111" s="2" t="str">
        <f>IF(Table1[[#This Row],[Is Data Valid]]=TRUE,IF(Table1[[#This Row],[Fetal Sex (Male, Female or Unknown)]]="Male",Backend!$C$6,IF(Table1[[#This Row],[Fetal Sex (Male, Female or Unknown)]]="Female",Backend!$C$7,IF(Table1[[#This Row],[Fetal Sex (Male, Female or Unknown)]]="Unknown",Backend!$C$8,"Error"))),"")</f>
        <v/>
      </c>
      <c r="F5111" s="8" t="str">
        <f>IF(Table1[[#This Row],[Is Data Valid]]=TRUE,EXP(0.578+0.332*((Table1[[#This Row],[Gestation (days)]]+0.5)/7)-0.00354*((Table1[[#This Row],[Gestation (days)]]+0.5)/7)^2)*Table1[[#This Row],[BW40_3705]],"")</f>
        <v/>
      </c>
      <c r="G5111" s="2" t="str">
        <f>IF(Table1[[#This Row],[Is Data Valid]]=TRUE,((Table1[[#This Row],[Birthweight (grams)]]/Table1[[#This Row],[BW_GA]])-1)/(Backend!$B$4/100*Table1[[#This Row],[BW40_3705]]),"")</f>
        <v/>
      </c>
      <c r="H5111" s="7" t="str">
        <f>IF(Table1[[#This Row],[Is Data Valid]]=TRUE,((Table1[[#This Row],[Birthweight (grams)]]*0.9/Table1[[#This Row],[BW_GA]])-1)/(Backend!$B$4/100*Table1[[#This Row],[BW40_3705]]),"")</f>
        <v/>
      </c>
      <c r="I5111" s="7" t="str">
        <f>IF(Table1[[#This Row],[Is Data Valid]]=TRUE,((Table1[[#This Row],[Birthweight (grams)]]*1.1/Table1[[#This Row],[BW_GA]])-1)/(Backend!$B$4/100*Table1[[#This Row],[BW40_3705]]),"")</f>
        <v/>
      </c>
      <c r="J5111" s="7" t="str">
        <f>IF(Table1[[#This Row],[Is Data Valid]]=TRUE,_xlfn.NORM.S.DIST(Table1[[#This Row],[Birthweight Z-Score]],TRUE)*100,"")</f>
        <v/>
      </c>
      <c r="K5111" s="7" t="str">
        <f>IF(Table1[[#This Row],[Is Data Valid]]=TRUE,_xlfn.NORM.S.DIST(Table1[[#This Row],[Birthweight Z-Score (BW-10%)]],TRUE)*100,"")</f>
        <v/>
      </c>
      <c r="L5111" s="7" t="str">
        <f>IF(Table1[[#This Row],[Is Data Valid]]=TRUE,_xlfn.NORM.S.DIST(Table1[[#This Row],[Birthweight Z-Score (BW+10%)]],TRUE)*100,"")</f>
        <v/>
      </c>
    </row>
    <row r="5112" spans="1:12" x14ac:dyDescent="0.35">
      <c r="A5112" s="3"/>
      <c r="B5112" s="2"/>
      <c r="C5112" s="2"/>
      <c r="D5112" s="2" t="b">
        <f>IF(AND(NOT(ISBLANK(Table1[[#This Row],[Fetal Sex (Male, Female or Unknown)]])),ISNUMBER(Table1[[#This Row],[Birthweight (grams)]]),ISNUMBER(Table1[[#This Row],[Gestation (days)]])),TRUE,FALSE)</f>
        <v>0</v>
      </c>
      <c r="E5112" s="2" t="str">
        <f>IF(Table1[[#This Row],[Is Data Valid]]=TRUE,IF(Table1[[#This Row],[Fetal Sex (Male, Female or Unknown)]]="Male",Backend!$C$6,IF(Table1[[#This Row],[Fetal Sex (Male, Female or Unknown)]]="Female",Backend!$C$7,IF(Table1[[#This Row],[Fetal Sex (Male, Female or Unknown)]]="Unknown",Backend!$C$8,"Error"))),"")</f>
        <v/>
      </c>
      <c r="F5112" s="8" t="str">
        <f>IF(Table1[[#This Row],[Is Data Valid]]=TRUE,EXP(0.578+0.332*((Table1[[#This Row],[Gestation (days)]]+0.5)/7)-0.00354*((Table1[[#This Row],[Gestation (days)]]+0.5)/7)^2)*Table1[[#This Row],[BW40_3705]],"")</f>
        <v/>
      </c>
      <c r="G5112" s="2" t="str">
        <f>IF(Table1[[#This Row],[Is Data Valid]]=TRUE,((Table1[[#This Row],[Birthweight (grams)]]/Table1[[#This Row],[BW_GA]])-1)/(Backend!$B$4/100*Table1[[#This Row],[BW40_3705]]),"")</f>
        <v/>
      </c>
      <c r="H5112" s="7" t="str">
        <f>IF(Table1[[#This Row],[Is Data Valid]]=TRUE,((Table1[[#This Row],[Birthweight (grams)]]*0.9/Table1[[#This Row],[BW_GA]])-1)/(Backend!$B$4/100*Table1[[#This Row],[BW40_3705]]),"")</f>
        <v/>
      </c>
      <c r="I5112" s="7" t="str">
        <f>IF(Table1[[#This Row],[Is Data Valid]]=TRUE,((Table1[[#This Row],[Birthweight (grams)]]*1.1/Table1[[#This Row],[BW_GA]])-1)/(Backend!$B$4/100*Table1[[#This Row],[BW40_3705]]),"")</f>
        <v/>
      </c>
      <c r="J5112" s="7" t="str">
        <f>IF(Table1[[#This Row],[Is Data Valid]]=TRUE,_xlfn.NORM.S.DIST(Table1[[#This Row],[Birthweight Z-Score]],TRUE)*100,"")</f>
        <v/>
      </c>
      <c r="K5112" s="7" t="str">
        <f>IF(Table1[[#This Row],[Is Data Valid]]=TRUE,_xlfn.NORM.S.DIST(Table1[[#This Row],[Birthweight Z-Score (BW-10%)]],TRUE)*100,"")</f>
        <v/>
      </c>
      <c r="L5112" s="7" t="str">
        <f>IF(Table1[[#This Row],[Is Data Valid]]=TRUE,_xlfn.NORM.S.DIST(Table1[[#This Row],[Birthweight Z-Score (BW+10%)]],TRUE)*100,"")</f>
        <v/>
      </c>
    </row>
    <row r="5113" spans="1:12" x14ac:dyDescent="0.35">
      <c r="A5113" s="3"/>
      <c r="B5113" s="2"/>
      <c r="C5113" s="2"/>
      <c r="D5113" s="2" t="b">
        <f>IF(AND(NOT(ISBLANK(Table1[[#This Row],[Fetal Sex (Male, Female or Unknown)]])),ISNUMBER(Table1[[#This Row],[Birthweight (grams)]]),ISNUMBER(Table1[[#This Row],[Gestation (days)]])),TRUE,FALSE)</f>
        <v>0</v>
      </c>
      <c r="E5113" s="2" t="str">
        <f>IF(Table1[[#This Row],[Is Data Valid]]=TRUE,IF(Table1[[#This Row],[Fetal Sex (Male, Female or Unknown)]]="Male",Backend!$C$6,IF(Table1[[#This Row],[Fetal Sex (Male, Female or Unknown)]]="Female",Backend!$C$7,IF(Table1[[#This Row],[Fetal Sex (Male, Female or Unknown)]]="Unknown",Backend!$C$8,"Error"))),"")</f>
        <v/>
      </c>
      <c r="F5113" s="8" t="str">
        <f>IF(Table1[[#This Row],[Is Data Valid]]=TRUE,EXP(0.578+0.332*((Table1[[#This Row],[Gestation (days)]]+0.5)/7)-0.00354*((Table1[[#This Row],[Gestation (days)]]+0.5)/7)^2)*Table1[[#This Row],[BW40_3705]],"")</f>
        <v/>
      </c>
      <c r="G5113" s="2" t="str">
        <f>IF(Table1[[#This Row],[Is Data Valid]]=TRUE,((Table1[[#This Row],[Birthweight (grams)]]/Table1[[#This Row],[BW_GA]])-1)/(Backend!$B$4/100*Table1[[#This Row],[BW40_3705]]),"")</f>
        <v/>
      </c>
      <c r="H5113" s="7" t="str">
        <f>IF(Table1[[#This Row],[Is Data Valid]]=TRUE,((Table1[[#This Row],[Birthweight (grams)]]*0.9/Table1[[#This Row],[BW_GA]])-1)/(Backend!$B$4/100*Table1[[#This Row],[BW40_3705]]),"")</f>
        <v/>
      </c>
      <c r="I5113" s="7" t="str">
        <f>IF(Table1[[#This Row],[Is Data Valid]]=TRUE,((Table1[[#This Row],[Birthweight (grams)]]*1.1/Table1[[#This Row],[BW_GA]])-1)/(Backend!$B$4/100*Table1[[#This Row],[BW40_3705]]),"")</f>
        <v/>
      </c>
      <c r="J5113" s="7" t="str">
        <f>IF(Table1[[#This Row],[Is Data Valid]]=TRUE,_xlfn.NORM.S.DIST(Table1[[#This Row],[Birthweight Z-Score]],TRUE)*100,"")</f>
        <v/>
      </c>
      <c r="K5113" s="7" t="str">
        <f>IF(Table1[[#This Row],[Is Data Valid]]=TRUE,_xlfn.NORM.S.DIST(Table1[[#This Row],[Birthweight Z-Score (BW-10%)]],TRUE)*100,"")</f>
        <v/>
      </c>
      <c r="L5113" s="7" t="str">
        <f>IF(Table1[[#This Row],[Is Data Valid]]=TRUE,_xlfn.NORM.S.DIST(Table1[[#This Row],[Birthweight Z-Score (BW+10%)]],TRUE)*100,"")</f>
        <v/>
      </c>
    </row>
    <row r="5114" spans="1:12" x14ac:dyDescent="0.35">
      <c r="A5114" s="3"/>
      <c r="B5114" s="2"/>
      <c r="C5114" s="2"/>
      <c r="D5114" s="2" t="b">
        <f>IF(AND(NOT(ISBLANK(Table1[[#This Row],[Fetal Sex (Male, Female or Unknown)]])),ISNUMBER(Table1[[#This Row],[Birthweight (grams)]]),ISNUMBER(Table1[[#This Row],[Gestation (days)]])),TRUE,FALSE)</f>
        <v>0</v>
      </c>
      <c r="E5114" s="2" t="str">
        <f>IF(Table1[[#This Row],[Is Data Valid]]=TRUE,IF(Table1[[#This Row],[Fetal Sex (Male, Female or Unknown)]]="Male",Backend!$C$6,IF(Table1[[#This Row],[Fetal Sex (Male, Female or Unknown)]]="Female",Backend!$C$7,IF(Table1[[#This Row],[Fetal Sex (Male, Female or Unknown)]]="Unknown",Backend!$C$8,"Error"))),"")</f>
        <v/>
      </c>
      <c r="F5114" s="8" t="str">
        <f>IF(Table1[[#This Row],[Is Data Valid]]=TRUE,EXP(0.578+0.332*((Table1[[#This Row],[Gestation (days)]]+0.5)/7)-0.00354*((Table1[[#This Row],[Gestation (days)]]+0.5)/7)^2)*Table1[[#This Row],[BW40_3705]],"")</f>
        <v/>
      </c>
      <c r="G5114" s="2" t="str">
        <f>IF(Table1[[#This Row],[Is Data Valid]]=TRUE,((Table1[[#This Row],[Birthweight (grams)]]/Table1[[#This Row],[BW_GA]])-1)/(Backend!$B$4/100*Table1[[#This Row],[BW40_3705]]),"")</f>
        <v/>
      </c>
      <c r="H5114" s="7" t="str">
        <f>IF(Table1[[#This Row],[Is Data Valid]]=TRUE,((Table1[[#This Row],[Birthweight (grams)]]*0.9/Table1[[#This Row],[BW_GA]])-1)/(Backend!$B$4/100*Table1[[#This Row],[BW40_3705]]),"")</f>
        <v/>
      </c>
      <c r="I5114" s="7" t="str">
        <f>IF(Table1[[#This Row],[Is Data Valid]]=TRUE,((Table1[[#This Row],[Birthweight (grams)]]*1.1/Table1[[#This Row],[BW_GA]])-1)/(Backend!$B$4/100*Table1[[#This Row],[BW40_3705]]),"")</f>
        <v/>
      </c>
      <c r="J5114" s="7" t="str">
        <f>IF(Table1[[#This Row],[Is Data Valid]]=TRUE,_xlfn.NORM.S.DIST(Table1[[#This Row],[Birthweight Z-Score]],TRUE)*100,"")</f>
        <v/>
      </c>
      <c r="K5114" s="7" t="str">
        <f>IF(Table1[[#This Row],[Is Data Valid]]=TRUE,_xlfn.NORM.S.DIST(Table1[[#This Row],[Birthweight Z-Score (BW-10%)]],TRUE)*100,"")</f>
        <v/>
      </c>
      <c r="L5114" s="7" t="str">
        <f>IF(Table1[[#This Row],[Is Data Valid]]=TRUE,_xlfn.NORM.S.DIST(Table1[[#This Row],[Birthweight Z-Score (BW+10%)]],TRUE)*100,"")</f>
        <v/>
      </c>
    </row>
    <row r="5115" spans="1:12" x14ac:dyDescent="0.35">
      <c r="A5115" s="3"/>
      <c r="B5115" s="2"/>
      <c r="C5115" s="2"/>
      <c r="D5115" s="2" t="b">
        <f>IF(AND(NOT(ISBLANK(Table1[[#This Row],[Fetal Sex (Male, Female or Unknown)]])),ISNUMBER(Table1[[#This Row],[Birthweight (grams)]]),ISNUMBER(Table1[[#This Row],[Gestation (days)]])),TRUE,FALSE)</f>
        <v>0</v>
      </c>
      <c r="E5115" s="2" t="str">
        <f>IF(Table1[[#This Row],[Is Data Valid]]=TRUE,IF(Table1[[#This Row],[Fetal Sex (Male, Female or Unknown)]]="Male",Backend!$C$6,IF(Table1[[#This Row],[Fetal Sex (Male, Female or Unknown)]]="Female",Backend!$C$7,IF(Table1[[#This Row],[Fetal Sex (Male, Female or Unknown)]]="Unknown",Backend!$C$8,"Error"))),"")</f>
        <v/>
      </c>
      <c r="F5115" s="8" t="str">
        <f>IF(Table1[[#This Row],[Is Data Valid]]=TRUE,EXP(0.578+0.332*((Table1[[#This Row],[Gestation (days)]]+0.5)/7)-0.00354*((Table1[[#This Row],[Gestation (days)]]+0.5)/7)^2)*Table1[[#This Row],[BW40_3705]],"")</f>
        <v/>
      </c>
      <c r="G5115" s="2" t="str">
        <f>IF(Table1[[#This Row],[Is Data Valid]]=TRUE,((Table1[[#This Row],[Birthweight (grams)]]/Table1[[#This Row],[BW_GA]])-1)/(Backend!$B$4/100*Table1[[#This Row],[BW40_3705]]),"")</f>
        <v/>
      </c>
      <c r="H5115" s="7" t="str">
        <f>IF(Table1[[#This Row],[Is Data Valid]]=TRUE,((Table1[[#This Row],[Birthweight (grams)]]*0.9/Table1[[#This Row],[BW_GA]])-1)/(Backend!$B$4/100*Table1[[#This Row],[BW40_3705]]),"")</f>
        <v/>
      </c>
      <c r="I5115" s="7" t="str">
        <f>IF(Table1[[#This Row],[Is Data Valid]]=TRUE,((Table1[[#This Row],[Birthweight (grams)]]*1.1/Table1[[#This Row],[BW_GA]])-1)/(Backend!$B$4/100*Table1[[#This Row],[BW40_3705]]),"")</f>
        <v/>
      </c>
      <c r="J5115" s="7" t="str">
        <f>IF(Table1[[#This Row],[Is Data Valid]]=TRUE,_xlfn.NORM.S.DIST(Table1[[#This Row],[Birthweight Z-Score]],TRUE)*100,"")</f>
        <v/>
      </c>
      <c r="K5115" s="7" t="str">
        <f>IF(Table1[[#This Row],[Is Data Valid]]=TRUE,_xlfn.NORM.S.DIST(Table1[[#This Row],[Birthweight Z-Score (BW-10%)]],TRUE)*100,"")</f>
        <v/>
      </c>
      <c r="L5115" s="7" t="str">
        <f>IF(Table1[[#This Row],[Is Data Valid]]=TRUE,_xlfn.NORM.S.DIST(Table1[[#This Row],[Birthweight Z-Score (BW+10%)]],TRUE)*100,"")</f>
        <v/>
      </c>
    </row>
    <row r="5116" spans="1:12" x14ac:dyDescent="0.35">
      <c r="A5116" s="3"/>
      <c r="B5116" s="2"/>
      <c r="C5116" s="2"/>
      <c r="D5116" s="2" t="b">
        <f>IF(AND(NOT(ISBLANK(Table1[[#This Row],[Fetal Sex (Male, Female or Unknown)]])),ISNUMBER(Table1[[#This Row],[Birthweight (grams)]]),ISNUMBER(Table1[[#This Row],[Gestation (days)]])),TRUE,FALSE)</f>
        <v>0</v>
      </c>
      <c r="E5116" s="2" t="str">
        <f>IF(Table1[[#This Row],[Is Data Valid]]=TRUE,IF(Table1[[#This Row],[Fetal Sex (Male, Female or Unknown)]]="Male",Backend!$C$6,IF(Table1[[#This Row],[Fetal Sex (Male, Female or Unknown)]]="Female",Backend!$C$7,IF(Table1[[#This Row],[Fetal Sex (Male, Female or Unknown)]]="Unknown",Backend!$C$8,"Error"))),"")</f>
        <v/>
      </c>
      <c r="F5116" s="8" t="str">
        <f>IF(Table1[[#This Row],[Is Data Valid]]=TRUE,EXP(0.578+0.332*((Table1[[#This Row],[Gestation (days)]]+0.5)/7)-0.00354*((Table1[[#This Row],[Gestation (days)]]+0.5)/7)^2)*Table1[[#This Row],[BW40_3705]],"")</f>
        <v/>
      </c>
      <c r="G5116" s="2" t="str">
        <f>IF(Table1[[#This Row],[Is Data Valid]]=TRUE,((Table1[[#This Row],[Birthweight (grams)]]/Table1[[#This Row],[BW_GA]])-1)/(Backend!$B$4/100*Table1[[#This Row],[BW40_3705]]),"")</f>
        <v/>
      </c>
      <c r="H5116" s="7" t="str">
        <f>IF(Table1[[#This Row],[Is Data Valid]]=TRUE,((Table1[[#This Row],[Birthweight (grams)]]*0.9/Table1[[#This Row],[BW_GA]])-1)/(Backend!$B$4/100*Table1[[#This Row],[BW40_3705]]),"")</f>
        <v/>
      </c>
      <c r="I5116" s="7" t="str">
        <f>IF(Table1[[#This Row],[Is Data Valid]]=TRUE,((Table1[[#This Row],[Birthweight (grams)]]*1.1/Table1[[#This Row],[BW_GA]])-1)/(Backend!$B$4/100*Table1[[#This Row],[BW40_3705]]),"")</f>
        <v/>
      </c>
      <c r="J5116" s="7" t="str">
        <f>IF(Table1[[#This Row],[Is Data Valid]]=TRUE,_xlfn.NORM.S.DIST(Table1[[#This Row],[Birthweight Z-Score]],TRUE)*100,"")</f>
        <v/>
      </c>
      <c r="K5116" s="7" t="str">
        <f>IF(Table1[[#This Row],[Is Data Valid]]=TRUE,_xlfn.NORM.S.DIST(Table1[[#This Row],[Birthweight Z-Score (BW-10%)]],TRUE)*100,"")</f>
        <v/>
      </c>
      <c r="L5116" s="7" t="str">
        <f>IF(Table1[[#This Row],[Is Data Valid]]=TRUE,_xlfn.NORM.S.DIST(Table1[[#This Row],[Birthweight Z-Score (BW+10%)]],TRUE)*100,"")</f>
        <v/>
      </c>
    </row>
    <row r="5117" spans="1:12" x14ac:dyDescent="0.35">
      <c r="A5117" s="3"/>
      <c r="B5117" s="2"/>
      <c r="C5117" s="2"/>
      <c r="D5117" s="2" t="b">
        <f>IF(AND(NOT(ISBLANK(Table1[[#This Row],[Fetal Sex (Male, Female or Unknown)]])),ISNUMBER(Table1[[#This Row],[Birthweight (grams)]]),ISNUMBER(Table1[[#This Row],[Gestation (days)]])),TRUE,FALSE)</f>
        <v>0</v>
      </c>
      <c r="E5117" s="2" t="str">
        <f>IF(Table1[[#This Row],[Is Data Valid]]=TRUE,IF(Table1[[#This Row],[Fetal Sex (Male, Female or Unknown)]]="Male",Backend!$C$6,IF(Table1[[#This Row],[Fetal Sex (Male, Female or Unknown)]]="Female",Backend!$C$7,IF(Table1[[#This Row],[Fetal Sex (Male, Female or Unknown)]]="Unknown",Backend!$C$8,"Error"))),"")</f>
        <v/>
      </c>
      <c r="F5117" s="8" t="str">
        <f>IF(Table1[[#This Row],[Is Data Valid]]=TRUE,EXP(0.578+0.332*((Table1[[#This Row],[Gestation (days)]]+0.5)/7)-0.00354*((Table1[[#This Row],[Gestation (days)]]+0.5)/7)^2)*Table1[[#This Row],[BW40_3705]],"")</f>
        <v/>
      </c>
      <c r="G5117" s="2" t="str">
        <f>IF(Table1[[#This Row],[Is Data Valid]]=TRUE,((Table1[[#This Row],[Birthweight (grams)]]/Table1[[#This Row],[BW_GA]])-1)/(Backend!$B$4/100*Table1[[#This Row],[BW40_3705]]),"")</f>
        <v/>
      </c>
      <c r="H5117" s="7" t="str">
        <f>IF(Table1[[#This Row],[Is Data Valid]]=TRUE,((Table1[[#This Row],[Birthweight (grams)]]*0.9/Table1[[#This Row],[BW_GA]])-1)/(Backend!$B$4/100*Table1[[#This Row],[BW40_3705]]),"")</f>
        <v/>
      </c>
      <c r="I5117" s="7" t="str">
        <f>IF(Table1[[#This Row],[Is Data Valid]]=TRUE,((Table1[[#This Row],[Birthweight (grams)]]*1.1/Table1[[#This Row],[BW_GA]])-1)/(Backend!$B$4/100*Table1[[#This Row],[BW40_3705]]),"")</f>
        <v/>
      </c>
      <c r="J5117" s="7" t="str">
        <f>IF(Table1[[#This Row],[Is Data Valid]]=TRUE,_xlfn.NORM.S.DIST(Table1[[#This Row],[Birthweight Z-Score]],TRUE)*100,"")</f>
        <v/>
      </c>
      <c r="K5117" s="7" t="str">
        <f>IF(Table1[[#This Row],[Is Data Valid]]=TRUE,_xlfn.NORM.S.DIST(Table1[[#This Row],[Birthweight Z-Score (BW-10%)]],TRUE)*100,"")</f>
        <v/>
      </c>
      <c r="L5117" s="7" t="str">
        <f>IF(Table1[[#This Row],[Is Data Valid]]=TRUE,_xlfn.NORM.S.DIST(Table1[[#This Row],[Birthweight Z-Score (BW+10%)]],TRUE)*100,"")</f>
        <v/>
      </c>
    </row>
    <row r="5118" spans="1:12" x14ac:dyDescent="0.35">
      <c r="A5118" s="3"/>
      <c r="B5118" s="2"/>
      <c r="C5118" s="2"/>
      <c r="D5118" s="2" t="b">
        <f>IF(AND(NOT(ISBLANK(Table1[[#This Row],[Fetal Sex (Male, Female or Unknown)]])),ISNUMBER(Table1[[#This Row],[Birthweight (grams)]]),ISNUMBER(Table1[[#This Row],[Gestation (days)]])),TRUE,FALSE)</f>
        <v>0</v>
      </c>
      <c r="E5118" s="2" t="str">
        <f>IF(Table1[[#This Row],[Is Data Valid]]=TRUE,IF(Table1[[#This Row],[Fetal Sex (Male, Female or Unknown)]]="Male",Backend!$C$6,IF(Table1[[#This Row],[Fetal Sex (Male, Female or Unknown)]]="Female",Backend!$C$7,IF(Table1[[#This Row],[Fetal Sex (Male, Female or Unknown)]]="Unknown",Backend!$C$8,"Error"))),"")</f>
        <v/>
      </c>
      <c r="F5118" s="8" t="str">
        <f>IF(Table1[[#This Row],[Is Data Valid]]=TRUE,EXP(0.578+0.332*((Table1[[#This Row],[Gestation (days)]]+0.5)/7)-0.00354*((Table1[[#This Row],[Gestation (days)]]+0.5)/7)^2)*Table1[[#This Row],[BW40_3705]],"")</f>
        <v/>
      </c>
      <c r="G5118" s="2" t="str">
        <f>IF(Table1[[#This Row],[Is Data Valid]]=TRUE,((Table1[[#This Row],[Birthweight (grams)]]/Table1[[#This Row],[BW_GA]])-1)/(Backend!$B$4/100*Table1[[#This Row],[BW40_3705]]),"")</f>
        <v/>
      </c>
      <c r="H5118" s="7" t="str">
        <f>IF(Table1[[#This Row],[Is Data Valid]]=TRUE,((Table1[[#This Row],[Birthweight (grams)]]*0.9/Table1[[#This Row],[BW_GA]])-1)/(Backend!$B$4/100*Table1[[#This Row],[BW40_3705]]),"")</f>
        <v/>
      </c>
      <c r="I5118" s="7" t="str">
        <f>IF(Table1[[#This Row],[Is Data Valid]]=TRUE,((Table1[[#This Row],[Birthweight (grams)]]*1.1/Table1[[#This Row],[BW_GA]])-1)/(Backend!$B$4/100*Table1[[#This Row],[BW40_3705]]),"")</f>
        <v/>
      </c>
      <c r="J5118" s="7" t="str">
        <f>IF(Table1[[#This Row],[Is Data Valid]]=TRUE,_xlfn.NORM.S.DIST(Table1[[#This Row],[Birthweight Z-Score]],TRUE)*100,"")</f>
        <v/>
      </c>
      <c r="K5118" s="7" t="str">
        <f>IF(Table1[[#This Row],[Is Data Valid]]=TRUE,_xlfn.NORM.S.DIST(Table1[[#This Row],[Birthweight Z-Score (BW-10%)]],TRUE)*100,"")</f>
        <v/>
      </c>
      <c r="L5118" s="7" t="str">
        <f>IF(Table1[[#This Row],[Is Data Valid]]=TRUE,_xlfn.NORM.S.DIST(Table1[[#This Row],[Birthweight Z-Score (BW+10%)]],TRUE)*100,"")</f>
        <v/>
      </c>
    </row>
    <row r="5119" spans="1:12" x14ac:dyDescent="0.35">
      <c r="A5119" s="3"/>
      <c r="B5119" s="2"/>
      <c r="C5119" s="2"/>
      <c r="D5119" s="2" t="b">
        <f>IF(AND(NOT(ISBLANK(Table1[[#This Row],[Fetal Sex (Male, Female or Unknown)]])),ISNUMBER(Table1[[#This Row],[Birthweight (grams)]]),ISNUMBER(Table1[[#This Row],[Gestation (days)]])),TRUE,FALSE)</f>
        <v>0</v>
      </c>
      <c r="E5119" s="2" t="str">
        <f>IF(Table1[[#This Row],[Is Data Valid]]=TRUE,IF(Table1[[#This Row],[Fetal Sex (Male, Female or Unknown)]]="Male",Backend!$C$6,IF(Table1[[#This Row],[Fetal Sex (Male, Female or Unknown)]]="Female",Backend!$C$7,IF(Table1[[#This Row],[Fetal Sex (Male, Female or Unknown)]]="Unknown",Backend!$C$8,"Error"))),"")</f>
        <v/>
      </c>
      <c r="F5119" s="8" t="str">
        <f>IF(Table1[[#This Row],[Is Data Valid]]=TRUE,EXP(0.578+0.332*((Table1[[#This Row],[Gestation (days)]]+0.5)/7)-0.00354*((Table1[[#This Row],[Gestation (days)]]+0.5)/7)^2)*Table1[[#This Row],[BW40_3705]],"")</f>
        <v/>
      </c>
      <c r="G5119" s="2" t="str">
        <f>IF(Table1[[#This Row],[Is Data Valid]]=TRUE,((Table1[[#This Row],[Birthweight (grams)]]/Table1[[#This Row],[BW_GA]])-1)/(Backend!$B$4/100*Table1[[#This Row],[BW40_3705]]),"")</f>
        <v/>
      </c>
      <c r="H5119" s="7" t="str">
        <f>IF(Table1[[#This Row],[Is Data Valid]]=TRUE,((Table1[[#This Row],[Birthweight (grams)]]*0.9/Table1[[#This Row],[BW_GA]])-1)/(Backend!$B$4/100*Table1[[#This Row],[BW40_3705]]),"")</f>
        <v/>
      </c>
      <c r="I5119" s="7" t="str">
        <f>IF(Table1[[#This Row],[Is Data Valid]]=TRUE,((Table1[[#This Row],[Birthweight (grams)]]*1.1/Table1[[#This Row],[BW_GA]])-1)/(Backend!$B$4/100*Table1[[#This Row],[BW40_3705]]),"")</f>
        <v/>
      </c>
      <c r="J5119" s="7" t="str">
        <f>IF(Table1[[#This Row],[Is Data Valid]]=TRUE,_xlfn.NORM.S.DIST(Table1[[#This Row],[Birthweight Z-Score]],TRUE)*100,"")</f>
        <v/>
      </c>
      <c r="K5119" s="7" t="str">
        <f>IF(Table1[[#This Row],[Is Data Valid]]=TRUE,_xlfn.NORM.S.DIST(Table1[[#This Row],[Birthweight Z-Score (BW-10%)]],TRUE)*100,"")</f>
        <v/>
      </c>
      <c r="L5119" s="7" t="str">
        <f>IF(Table1[[#This Row],[Is Data Valid]]=TRUE,_xlfn.NORM.S.DIST(Table1[[#This Row],[Birthweight Z-Score (BW+10%)]],TRUE)*100,"")</f>
        <v/>
      </c>
    </row>
    <row r="5120" spans="1:12" x14ac:dyDescent="0.35">
      <c r="A5120" s="3"/>
      <c r="B5120" s="2"/>
      <c r="C5120" s="2"/>
      <c r="D5120" s="2" t="b">
        <f>IF(AND(NOT(ISBLANK(Table1[[#This Row],[Fetal Sex (Male, Female or Unknown)]])),ISNUMBER(Table1[[#This Row],[Birthweight (grams)]]),ISNUMBER(Table1[[#This Row],[Gestation (days)]])),TRUE,FALSE)</f>
        <v>0</v>
      </c>
      <c r="E5120" s="2" t="str">
        <f>IF(Table1[[#This Row],[Is Data Valid]]=TRUE,IF(Table1[[#This Row],[Fetal Sex (Male, Female or Unknown)]]="Male",Backend!$C$6,IF(Table1[[#This Row],[Fetal Sex (Male, Female or Unknown)]]="Female",Backend!$C$7,IF(Table1[[#This Row],[Fetal Sex (Male, Female or Unknown)]]="Unknown",Backend!$C$8,"Error"))),"")</f>
        <v/>
      </c>
      <c r="F5120" s="8" t="str">
        <f>IF(Table1[[#This Row],[Is Data Valid]]=TRUE,EXP(0.578+0.332*((Table1[[#This Row],[Gestation (days)]]+0.5)/7)-0.00354*((Table1[[#This Row],[Gestation (days)]]+0.5)/7)^2)*Table1[[#This Row],[BW40_3705]],"")</f>
        <v/>
      </c>
      <c r="G5120" s="2" t="str">
        <f>IF(Table1[[#This Row],[Is Data Valid]]=TRUE,((Table1[[#This Row],[Birthweight (grams)]]/Table1[[#This Row],[BW_GA]])-1)/(Backend!$B$4/100*Table1[[#This Row],[BW40_3705]]),"")</f>
        <v/>
      </c>
      <c r="H5120" s="7" t="str">
        <f>IF(Table1[[#This Row],[Is Data Valid]]=TRUE,((Table1[[#This Row],[Birthweight (grams)]]*0.9/Table1[[#This Row],[BW_GA]])-1)/(Backend!$B$4/100*Table1[[#This Row],[BW40_3705]]),"")</f>
        <v/>
      </c>
      <c r="I5120" s="7" t="str">
        <f>IF(Table1[[#This Row],[Is Data Valid]]=TRUE,((Table1[[#This Row],[Birthweight (grams)]]*1.1/Table1[[#This Row],[BW_GA]])-1)/(Backend!$B$4/100*Table1[[#This Row],[BW40_3705]]),"")</f>
        <v/>
      </c>
      <c r="J5120" s="7" t="str">
        <f>IF(Table1[[#This Row],[Is Data Valid]]=TRUE,_xlfn.NORM.S.DIST(Table1[[#This Row],[Birthweight Z-Score]],TRUE)*100,"")</f>
        <v/>
      </c>
      <c r="K5120" s="7" t="str">
        <f>IF(Table1[[#This Row],[Is Data Valid]]=TRUE,_xlfn.NORM.S.DIST(Table1[[#This Row],[Birthweight Z-Score (BW-10%)]],TRUE)*100,"")</f>
        <v/>
      </c>
      <c r="L5120" s="7" t="str">
        <f>IF(Table1[[#This Row],[Is Data Valid]]=TRUE,_xlfn.NORM.S.DIST(Table1[[#This Row],[Birthweight Z-Score (BW+10%)]],TRUE)*100,"")</f>
        <v/>
      </c>
    </row>
    <row r="5121" spans="1:12" x14ac:dyDescent="0.35">
      <c r="A5121" s="3"/>
      <c r="B5121" s="2"/>
      <c r="C5121" s="2"/>
      <c r="D5121" s="2" t="b">
        <f>IF(AND(NOT(ISBLANK(Table1[[#This Row],[Fetal Sex (Male, Female or Unknown)]])),ISNUMBER(Table1[[#This Row],[Birthweight (grams)]]),ISNUMBER(Table1[[#This Row],[Gestation (days)]])),TRUE,FALSE)</f>
        <v>0</v>
      </c>
      <c r="E5121" s="2" t="str">
        <f>IF(Table1[[#This Row],[Is Data Valid]]=TRUE,IF(Table1[[#This Row],[Fetal Sex (Male, Female or Unknown)]]="Male",Backend!$C$6,IF(Table1[[#This Row],[Fetal Sex (Male, Female or Unknown)]]="Female",Backend!$C$7,IF(Table1[[#This Row],[Fetal Sex (Male, Female or Unknown)]]="Unknown",Backend!$C$8,"Error"))),"")</f>
        <v/>
      </c>
      <c r="F5121" s="8" t="str">
        <f>IF(Table1[[#This Row],[Is Data Valid]]=TRUE,EXP(0.578+0.332*((Table1[[#This Row],[Gestation (days)]]+0.5)/7)-0.00354*((Table1[[#This Row],[Gestation (days)]]+0.5)/7)^2)*Table1[[#This Row],[BW40_3705]],"")</f>
        <v/>
      </c>
      <c r="G5121" s="2" t="str">
        <f>IF(Table1[[#This Row],[Is Data Valid]]=TRUE,((Table1[[#This Row],[Birthweight (grams)]]/Table1[[#This Row],[BW_GA]])-1)/(Backend!$B$4/100*Table1[[#This Row],[BW40_3705]]),"")</f>
        <v/>
      </c>
      <c r="H5121" s="7" t="str">
        <f>IF(Table1[[#This Row],[Is Data Valid]]=TRUE,((Table1[[#This Row],[Birthweight (grams)]]*0.9/Table1[[#This Row],[BW_GA]])-1)/(Backend!$B$4/100*Table1[[#This Row],[BW40_3705]]),"")</f>
        <v/>
      </c>
      <c r="I5121" s="7" t="str">
        <f>IF(Table1[[#This Row],[Is Data Valid]]=TRUE,((Table1[[#This Row],[Birthweight (grams)]]*1.1/Table1[[#This Row],[BW_GA]])-1)/(Backend!$B$4/100*Table1[[#This Row],[BW40_3705]]),"")</f>
        <v/>
      </c>
      <c r="J5121" s="7" t="str">
        <f>IF(Table1[[#This Row],[Is Data Valid]]=TRUE,_xlfn.NORM.S.DIST(Table1[[#This Row],[Birthweight Z-Score]],TRUE)*100,"")</f>
        <v/>
      </c>
      <c r="K5121" s="7" t="str">
        <f>IF(Table1[[#This Row],[Is Data Valid]]=TRUE,_xlfn.NORM.S.DIST(Table1[[#This Row],[Birthweight Z-Score (BW-10%)]],TRUE)*100,"")</f>
        <v/>
      </c>
      <c r="L5121" s="7" t="str">
        <f>IF(Table1[[#This Row],[Is Data Valid]]=TRUE,_xlfn.NORM.S.DIST(Table1[[#This Row],[Birthweight Z-Score (BW+10%)]],TRUE)*100,"")</f>
        <v/>
      </c>
    </row>
    <row r="5122" spans="1:12" x14ac:dyDescent="0.35">
      <c r="A5122" s="3"/>
      <c r="B5122" s="2"/>
      <c r="C5122" s="2"/>
      <c r="D5122" s="2" t="b">
        <f>IF(AND(NOT(ISBLANK(Table1[[#This Row],[Fetal Sex (Male, Female or Unknown)]])),ISNUMBER(Table1[[#This Row],[Birthweight (grams)]]),ISNUMBER(Table1[[#This Row],[Gestation (days)]])),TRUE,FALSE)</f>
        <v>0</v>
      </c>
      <c r="E5122" s="2" t="str">
        <f>IF(Table1[[#This Row],[Is Data Valid]]=TRUE,IF(Table1[[#This Row],[Fetal Sex (Male, Female or Unknown)]]="Male",Backend!$C$6,IF(Table1[[#This Row],[Fetal Sex (Male, Female or Unknown)]]="Female",Backend!$C$7,IF(Table1[[#This Row],[Fetal Sex (Male, Female or Unknown)]]="Unknown",Backend!$C$8,"Error"))),"")</f>
        <v/>
      </c>
      <c r="F5122" s="8" t="str">
        <f>IF(Table1[[#This Row],[Is Data Valid]]=TRUE,EXP(0.578+0.332*((Table1[[#This Row],[Gestation (days)]]+0.5)/7)-0.00354*((Table1[[#This Row],[Gestation (days)]]+0.5)/7)^2)*Table1[[#This Row],[BW40_3705]],"")</f>
        <v/>
      </c>
      <c r="G5122" s="2" t="str">
        <f>IF(Table1[[#This Row],[Is Data Valid]]=TRUE,((Table1[[#This Row],[Birthweight (grams)]]/Table1[[#This Row],[BW_GA]])-1)/(Backend!$B$4/100*Table1[[#This Row],[BW40_3705]]),"")</f>
        <v/>
      </c>
      <c r="H5122" s="7" t="str">
        <f>IF(Table1[[#This Row],[Is Data Valid]]=TRUE,((Table1[[#This Row],[Birthweight (grams)]]*0.9/Table1[[#This Row],[BW_GA]])-1)/(Backend!$B$4/100*Table1[[#This Row],[BW40_3705]]),"")</f>
        <v/>
      </c>
      <c r="I5122" s="7" t="str">
        <f>IF(Table1[[#This Row],[Is Data Valid]]=TRUE,((Table1[[#This Row],[Birthweight (grams)]]*1.1/Table1[[#This Row],[BW_GA]])-1)/(Backend!$B$4/100*Table1[[#This Row],[BW40_3705]]),"")</f>
        <v/>
      </c>
      <c r="J5122" s="7" t="str">
        <f>IF(Table1[[#This Row],[Is Data Valid]]=TRUE,_xlfn.NORM.S.DIST(Table1[[#This Row],[Birthweight Z-Score]],TRUE)*100,"")</f>
        <v/>
      </c>
      <c r="K5122" s="7" t="str">
        <f>IF(Table1[[#This Row],[Is Data Valid]]=TRUE,_xlfn.NORM.S.DIST(Table1[[#This Row],[Birthweight Z-Score (BW-10%)]],TRUE)*100,"")</f>
        <v/>
      </c>
      <c r="L5122" s="7" t="str">
        <f>IF(Table1[[#This Row],[Is Data Valid]]=TRUE,_xlfn.NORM.S.DIST(Table1[[#This Row],[Birthweight Z-Score (BW+10%)]],TRUE)*100,"")</f>
        <v/>
      </c>
    </row>
    <row r="5123" spans="1:12" x14ac:dyDescent="0.35">
      <c r="A5123" s="3"/>
      <c r="B5123" s="2"/>
      <c r="C5123" s="2"/>
      <c r="D5123" s="2" t="b">
        <f>IF(AND(NOT(ISBLANK(Table1[[#This Row],[Fetal Sex (Male, Female or Unknown)]])),ISNUMBER(Table1[[#This Row],[Birthweight (grams)]]),ISNUMBER(Table1[[#This Row],[Gestation (days)]])),TRUE,FALSE)</f>
        <v>0</v>
      </c>
      <c r="E5123" s="2" t="str">
        <f>IF(Table1[[#This Row],[Is Data Valid]]=TRUE,IF(Table1[[#This Row],[Fetal Sex (Male, Female or Unknown)]]="Male",Backend!$C$6,IF(Table1[[#This Row],[Fetal Sex (Male, Female or Unknown)]]="Female",Backend!$C$7,IF(Table1[[#This Row],[Fetal Sex (Male, Female or Unknown)]]="Unknown",Backend!$C$8,"Error"))),"")</f>
        <v/>
      </c>
      <c r="F5123" s="8" t="str">
        <f>IF(Table1[[#This Row],[Is Data Valid]]=TRUE,EXP(0.578+0.332*((Table1[[#This Row],[Gestation (days)]]+0.5)/7)-0.00354*((Table1[[#This Row],[Gestation (days)]]+0.5)/7)^2)*Table1[[#This Row],[BW40_3705]],"")</f>
        <v/>
      </c>
      <c r="G5123" s="2" t="str">
        <f>IF(Table1[[#This Row],[Is Data Valid]]=TRUE,((Table1[[#This Row],[Birthweight (grams)]]/Table1[[#This Row],[BW_GA]])-1)/(Backend!$B$4/100*Table1[[#This Row],[BW40_3705]]),"")</f>
        <v/>
      </c>
      <c r="H5123" s="7" t="str">
        <f>IF(Table1[[#This Row],[Is Data Valid]]=TRUE,((Table1[[#This Row],[Birthweight (grams)]]*0.9/Table1[[#This Row],[BW_GA]])-1)/(Backend!$B$4/100*Table1[[#This Row],[BW40_3705]]),"")</f>
        <v/>
      </c>
      <c r="I5123" s="7" t="str">
        <f>IF(Table1[[#This Row],[Is Data Valid]]=TRUE,((Table1[[#This Row],[Birthweight (grams)]]*1.1/Table1[[#This Row],[BW_GA]])-1)/(Backend!$B$4/100*Table1[[#This Row],[BW40_3705]]),"")</f>
        <v/>
      </c>
      <c r="J5123" s="7" t="str">
        <f>IF(Table1[[#This Row],[Is Data Valid]]=TRUE,_xlfn.NORM.S.DIST(Table1[[#This Row],[Birthweight Z-Score]],TRUE)*100,"")</f>
        <v/>
      </c>
      <c r="K5123" s="7" t="str">
        <f>IF(Table1[[#This Row],[Is Data Valid]]=TRUE,_xlfn.NORM.S.DIST(Table1[[#This Row],[Birthweight Z-Score (BW-10%)]],TRUE)*100,"")</f>
        <v/>
      </c>
      <c r="L5123" s="7" t="str">
        <f>IF(Table1[[#This Row],[Is Data Valid]]=TRUE,_xlfn.NORM.S.DIST(Table1[[#This Row],[Birthweight Z-Score (BW+10%)]],TRUE)*100,"")</f>
        <v/>
      </c>
    </row>
    <row r="5124" spans="1:12" x14ac:dyDescent="0.35">
      <c r="A5124" s="3"/>
      <c r="B5124" s="2"/>
      <c r="C5124" s="2"/>
      <c r="D5124" s="2" t="b">
        <f>IF(AND(NOT(ISBLANK(Table1[[#This Row],[Fetal Sex (Male, Female or Unknown)]])),ISNUMBER(Table1[[#This Row],[Birthweight (grams)]]),ISNUMBER(Table1[[#This Row],[Gestation (days)]])),TRUE,FALSE)</f>
        <v>0</v>
      </c>
      <c r="E5124" s="2" t="str">
        <f>IF(Table1[[#This Row],[Is Data Valid]]=TRUE,IF(Table1[[#This Row],[Fetal Sex (Male, Female or Unknown)]]="Male",Backend!$C$6,IF(Table1[[#This Row],[Fetal Sex (Male, Female or Unknown)]]="Female",Backend!$C$7,IF(Table1[[#This Row],[Fetal Sex (Male, Female or Unknown)]]="Unknown",Backend!$C$8,"Error"))),"")</f>
        <v/>
      </c>
      <c r="F5124" s="8" t="str">
        <f>IF(Table1[[#This Row],[Is Data Valid]]=TRUE,EXP(0.578+0.332*((Table1[[#This Row],[Gestation (days)]]+0.5)/7)-0.00354*((Table1[[#This Row],[Gestation (days)]]+0.5)/7)^2)*Table1[[#This Row],[BW40_3705]],"")</f>
        <v/>
      </c>
      <c r="G5124" s="2" t="str">
        <f>IF(Table1[[#This Row],[Is Data Valid]]=TRUE,((Table1[[#This Row],[Birthweight (grams)]]/Table1[[#This Row],[BW_GA]])-1)/(Backend!$B$4/100*Table1[[#This Row],[BW40_3705]]),"")</f>
        <v/>
      </c>
      <c r="H5124" s="7" t="str">
        <f>IF(Table1[[#This Row],[Is Data Valid]]=TRUE,((Table1[[#This Row],[Birthweight (grams)]]*0.9/Table1[[#This Row],[BW_GA]])-1)/(Backend!$B$4/100*Table1[[#This Row],[BW40_3705]]),"")</f>
        <v/>
      </c>
      <c r="I5124" s="7" t="str">
        <f>IF(Table1[[#This Row],[Is Data Valid]]=TRUE,((Table1[[#This Row],[Birthweight (grams)]]*1.1/Table1[[#This Row],[BW_GA]])-1)/(Backend!$B$4/100*Table1[[#This Row],[BW40_3705]]),"")</f>
        <v/>
      </c>
      <c r="J5124" s="7" t="str">
        <f>IF(Table1[[#This Row],[Is Data Valid]]=TRUE,_xlfn.NORM.S.DIST(Table1[[#This Row],[Birthweight Z-Score]],TRUE)*100,"")</f>
        <v/>
      </c>
      <c r="K5124" s="7" t="str">
        <f>IF(Table1[[#This Row],[Is Data Valid]]=TRUE,_xlfn.NORM.S.DIST(Table1[[#This Row],[Birthweight Z-Score (BW-10%)]],TRUE)*100,"")</f>
        <v/>
      </c>
      <c r="L5124" s="7" t="str">
        <f>IF(Table1[[#This Row],[Is Data Valid]]=TRUE,_xlfn.NORM.S.DIST(Table1[[#This Row],[Birthweight Z-Score (BW+10%)]],TRUE)*100,"")</f>
        <v/>
      </c>
    </row>
    <row r="5125" spans="1:12" x14ac:dyDescent="0.35">
      <c r="A5125" s="3"/>
      <c r="B5125" s="2"/>
      <c r="C5125" s="2"/>
      <c r="D5125" s="2" t="b">
        <f>IF(AND(NOT(ISBLANK(Table1[[#This Row],[Fetal Sex (Male, Female or Unknown)]])),ISNUMBER(Table1[[#This Row],[Birthweight (grams)]]),ISNUMBER(Table1[[#This Row],[Gestation (days)]])),TRUE,FALSE)</f>
        <v>0</v>
      </c>
      <c r="E5125" s="2" t="str">
        <f>IF(Table1[[#This Row],[Is Data Valid]]=TRUE,IF(Table1[[#This Row],[Fetal Sex (Male, Female or Unknown)]]="Male",Backend!$C$6,IF(Table1[[#This Row],[Fetal Sex (Male, Female or Unknown)]]="Female",Backend!$C$7,IF(Table1[[#This Row],[Fetal Sex (Male, Female or Unknown)]]="Unknown",Backend!$C$8,"Error"))),"")</f>
        <v/>
      </c>
      <c r="F5125" s="8" t="str">
        <f>IF(Table1[[#This Row],[Is Data Valid]]=TRUE,EXP(0.578+0.332*((Table1[[#This Row],[Gestation (days)]]+0.5)/7)-0.00354*((Table1[[#This Row],[Gestation (days)]]+0.5)/7)^2)*Table1[[#This Row],[BW40_3705]],"")</f>
        <v/>
      </c>
      <c r="G5125" s="2" t="str">
        <f>IF(Table1[[#This Row],[Is Data Valid]]=TRUE,((Table1[[#This Row],[Birthweight (grams)]]/Table1[[#This Row],[BW_GA]])-1)/(Backend!$B$4/100*Table1[[#This Row],[BW40_3705]]),"")</f>
        <v/>
      </c>
      <c r="H5125" s="7" t="str">
        <f>IF(Table1[[#This Row],[Is Data Valid]]=TRUE,((Table1[[#This Row],[Birthweight (grams)]]*0.9/Table1[[#This Row],[BW_GA]])-1)/(Backend!$B$4/100*Table1[[#This Row],[BW40_3705]]),"")</f>
        <v/>
      </c>
      <c r="I5125" s="7" t="str">
        <f>IF(Table1[[#This Row],[Is Data Valid]]=TRUE,((Table1[[#This Row],[Birthweight (grams)]]*1.1/Table1[[#This Row],[BW_GA]])-1)/(Backend!$B$4/100*Table1[[#This Row],[BW40_3705]]),"")</f>
        <v/>
      </c>
      <c r="J5125" s="7" t="str">
        <f>IF(Table1[[#This Row],[Is Data Valid]]=TRUE,_xlfn.NORM.S.DIST(Table1[[#This Row],[Birthweight Z-Score]],TRUE)*100,"")</f>
        <v/>
      </c>
      <c r="K5125" s="7" t="str">
        <f>IF(Table1[[#This Row],[Is Data Valid]]=TRUE,_xlfn.NORM.S.DIST(Table1[[#This Row],[Birthweight Z-Score (BW-10%)]],TRUE)*100,"")</f>
        <v/>
      </c>
      <c r="L5125" s="7" t="str">
        <f>IF(Table1[[#This Row],[Is Data Valid]]=TRUE,_xlfn.NORM.S.DIST(Table1[[#This Row],[Birthweight Z-Score (BW+10%)]],TRUE)*100,"")</f>
        <v/>
      </c>
    </row>
    <row r="5126" spans="1:12" x14ac:dyDescent="0.35">
      <c r="A5126" s="3"/>
      <c r="B5126" s="2"/>
      <c r="C5126" s="2"/>
      <c r="D5126" s="2" t="b">
        <f>IF(AND(NOT(ISBLANK(Table1[[#This Row],[Fetal Sex (Male, Female or Unknown)]])),ISNUMBER(Table1[[#This Row],[Birthweight (grams)]]),ISNUMBER(Table1[[#This Row],[Gestation (days)]])),TRUE,FALSE)</f>
        <v>0</v>
      </c>
      <c r="E5126" s="2" t="str">
        <f>IF(Table1[[#This Row],[Is Data Valid]]=TRUE,IF(Table1[[#This Row],[Fetal Sex (Male, Female or Unknown)]]="Male",Backend!$C$6,IF(Table1[[#This Row],[Fetal Sex (Male, Female or Unknown)]]="Female",Backend!$C$7,IF(Table1[[#This Row],[Fetal Sex (Male, Female or Unknown)]]="Unknown",Backend!$C$8,"Error"))),"")</f>
        <v/>
      </c>
      <c r="F5126" s="8" t="str">
        <f>IF(Table1[[#This Row],[Is Data Valid]]=TRUE,EXP(0.578+0.332*((Table1[[#This Row],[Gestation (days)]]+0.5)/7)-0.00354*((Table1[[#This Row],[Gestation (days)]]+0.5)/7)^2)*Table1[[#This Row],[BW40_3705]],"")</f>
        <v/>
      </c>
      <c r="G5126" s="2" t="str">
        <f>IF(Table1[[#This Row],[Is Data Valid]]=TRUE,((Table1[[#This Row],[Birthweight (grams)]]/Table1[[#This Row],[BW_GA]])-1)/(Backend!$B$4/100*Table1[[#This Row],[BW40_3705]]),"")</f>
        <v/>
      </c>
      <c r="H5126" s="7" t="str">
        <f>IF(Table1[[#This Row],[Is Data Valid]]=TRUE,((Table1[[#This Row],[Birthweight (grams)]]*0.9/Table1[[#This Row],[BW_GA]])-1)/(Backend!$B$4/100*Table1[[#This Row],[BW40_3705]]),"")</f>
        <v/>
      </c>
      <c r="I5126" s="7" t="str">
        <f>IF(Table1[[#This Row],[Is Data Valid]]=TRUE,((Table1[[#This Row],[Birthweight (grams)]]*1.1/Table1[[#This Row],[BW_GA]])-1)/(Backend!$B$4/100*Table1[[#This Row],[BW40_3705]]),"")</f>
        <v/>
      </c>
      <c r="J5126" s="7" t="str">
        <f>IF(Table1[[#This Row],[Is Data Valid]]=TRUE,_xlfn.NORM.S.DIST(Table1[[#This Row],[Birthweight Z-Score]],TRUE)*100,"")</f>
        <v/>
      </c>
      <c r="K5126" s="7" t="str">
        <f>IF(Table1[[#This Row],[Is Data Valid]]=TRUE,_xlfn.NORM.S.DIST(Table1[[#This Row],[Birthweight Z-Score (BW-10%)]],TRUE)*100,"")</f>
        <v/>
      </c>
      <c r="L5126" s="7" t="str">
        <f>IF(Table1[[#This Row],[Is Data Valid]]=TRUE,_xlfn.NORM.S.DIST(Table1[[#This Row],[Birthweight Z-Score (BW+10%)]],TRUE)*100,"")</f>
        <v/>
      </c>
    </row>
    <row r="5127" spans="1:12" x14ac:dyDescent="0.35">
      <c r="A5127" s="3"/>
      <c r="B5127" s="2"/>
      <c r="C5127" s="2"/>
      <c r="D5127" s="2" t="b">
        <f>IF(AND(NOT(ISBLANK(Table1[[#This Row],[Fetal Sex (Male, Female or Unknown)]])),ISNUMBER(Table1[[#This Row],[Birthweight (grams)]]),ISNUMBER(Table1[[#This Row],[Gestation (days)]])),TRUE,FALSE)</f>
        <v>0</v>
      </c>
      <c r="E5127" s="2" t="str">
        <f>IF(Table1[[#This Row],[Is Data Valid]]=TRUE,IF(Table1[[#This Row],[Fetal Sex (Male, Female or Unknown)]]="Male",Backend!$C$6,IF(Table1[[#This Row],[Fetal Sex (Male, Female or Unknown)]]="Female",Backend!$C$7,IF(Table1[[#This Row],[Fetal Sex (Male, Female or Unknown)]]="Unknown",Backend!$C$8,"Error"))),"")</f>
        <v/>
      </c>
      <c r="F5127" s="8" t="str">
        <f>IF(Table1[[#This Row],[Is Data Valid]]=TRUE,EXP(0.578+0.332*((Table1[[#This Row],[Gestation (days)]]+0.5)/7)-0.00354*((Table1[[#This Row],[Gestation (days)]]+0.5)/7)^2)*Table1[[#This Row],[BW40_3705]],"")</f>
        <v/>
      </c>
      <c r="G5127" s="2" t="str">
        <f>IF(Table1[[#This Row],[Is Data Valid]]=TRUE,((Table1[[#This Row],[Birthweight (grams)]]/Table1[[#This Row],[BW_GA]])-1)/(Backend!$B$4/100*Table1[[#This Row],[BW40_3705]]),"")</f>
        <v/>
      </c>
      <c r="H5127" s="7" t="str">
        <f>IF(Table1[[#This Row],[Is Data Valid]]=TRUE,((Table1[[#This Row],[Birthweight (grams)]]*0.9/Table1[[#This Row],[BW_GA]])-1)/(Backend!$B$4/100*Table1[[#This Row],[BW40_3705]]),"")</f>
        <v/>
      </c>
      <c r="I5127" s="7" t="str">
        <f>IF(Table1[[#This Row],[Is Data Valid]]=TRUE,((Table1[[#This Row],[Birthweight (grams)]]*1.1/Table1[[#This Row],[BW_GA]])-1)/(Backend!$B$4/100*Table1[[#This Row],[BW40_3705]]),"")</f>
        <v/>
      </c>
      <c r="J5127" s="7" t="str">
        <f>IF(Table1[[#This Row],[Is Data Valid]]=TRUE,_xlfn.NORM.S.DIST(Table1[[#This Row],[Birthweight Z-Score]],TRUE)*100,"")</f>
        <v/>
      </c>
      <c r="K5127" s="7" t="str">
        <f>IF(Table1[[#This Row],[Is Data Valid]]=TRUE,_xlfn.NORM.S.DIST(Table1[[#This Row],[Birthweight Z-Score (BW-10%)]],TRUE)*100,"")</f>
        <v/>
      </c>
      <c r="L5127" s="7" t="str">
        <f>IF(Table1[[#This Row],[Is Data Valid]]=TRUE,_xlfn.NORM.S.DIST(Table1[[#This Row],[Birthweight Z-Score (BW+10%)]],TRUE)*100,"")</f>
        <v/>
      </c>
    </row>
    <row r="5128" spans="1:12" x14ac:dyDescent="0.35">
      <c r="A5128" s="3"/>
      <c r="B5128" s="2"/>
      <c r="C5128" s="2"/>
      <c r="D5128" s="2" t="b">
        <f>IF(AND(NOT(ISBLANK(Table1[[#This Row],[Fetal Sex (Male, Female or Unknown)]])),ISNUMBER(Table1[[#This Row],[Birthweight (grams)]]),ISNUMBER(Table1[[#This Row],[Gestation (days)]])),TRUE,FALSE)</f>
        <v>0</v>
      </c>
      <c r="E5128" s="2" t="str">
        <f>IF(Table1[[#This Row],[Is Data Valid]]=TRUE,IF(Table1[[#This Row],[Fetal Sex (Male, Female or Unknown)]]="Male",Backend!$C$6,IF(Table1[[#This Row],[Fetal Sex (Male, Female or Unknown)]]="Female",Backend!$C$7,IF(Table1[[#This Row],[Fetal Sex (Male, Female or Unknown)]]="Unknown",Backend!$C$8,"Error"))),"")</f>
        <v/>
      </c>
      <c r="F5128" s="8" t="str">
        <f>IF(Table1[[#This Row],[Is Data Valid]]=TRUE,EXP(0.578+0.332*((Table1[[#This Row],[Gestation (days)]]+0.5)/7)-0.00354*((Table1[[#This Row],[Gestation (days)]]+0.5)/7)^2)*Table1[[#This Row],[BW40_3705]],"")</f>
        <v/>
      </c>
      <c r="G5128" s="2" t="str">
        <f>IF(Table1[[#This Row],[Is Data Valid]]=TRUE,((Table1[[#This Row],[Birthweight (grams)]]/Table1[[#This Row],[BW_GA]])-1)/(Backend!$B$4/100*Table1[[#This Row],[BW40_3705]]),"")</f>
        <v/>
      </c>
      <c r="H5128" s="7" t="str">
        <f>IF(Table1[[#This Row],[Is Data Valid]]=TRUE,((Table1[[#This Row],[Birthweight (grams)]]*0.9/Table1[[#This Row],[BW_GA]])-1)/(Backend!$B$4/100*Table1[[#This Row],[BW40_3705]]),"")</f>
        <v/>
      </c>
      <c r="I5128" s="7" t="str">
        <f>IF(Table1[[#This Row],[Is Data Valid]]=TRUE,((Table1[[#This Row],[Birthweight (grams)]]*1.1/Table1[[#This Row],[BW_GA]])-1)/(Backend!$B$4/100*Table1[[#This Row],[BW40_3705]]),"")</f>
        <v/>
      </c>
      <c r="J5128" s="7" t="str">
        <f>IF(Table1[[#This Row],[Is Data Valid]]=TRUE,_xlfn.NORM.S.DIST(Table1[[#This Row],[Birthweight Z-Score]],TRUE)*100,"")</f>
        <v/>
      </c>
      <c r="K5128" s="7" t="str">
        <f>IF(Table1[[#This Row],[Is Data Valid]]=TRUE,_xlfn.NORM.S.DIST(Table1[[#This Row],[Birthweight Z-Score (BW-10%)]],TRUE)*100,"")</f>
        <v/>
      </c>
      <c r="L5128" s="7" t="str">
        <f>IF(Table1[[#This Row],[Is Data Valid]]=TRUE,_xlfn.NORM.S.DIST(Table1[[#This Row],[Birthweight Z-Score (BW+10%)]],TRUE)*100,"")</f>
        <v/>
      </c>
    </row>
    <row r="5129" spans="1:12" x14ac:dyDescent="0.35">
      <c r="A5129" s="3"/>
      <c r="B5129" s="2"/>
      <c r="C5129" s="2"/>
      <c r="D5129" s="2" t="b">
        <f>IF(AND(NOT(ISBLANK(Table1[[#This Row],[Fetal Sex (Male, Female or Unknown)]])),ISNUMBER(Table1[[#This Row],[Birthweight (grams)]]),ISNUMBER(Table1[[#This Row],[Gestation (days)]])),TRUE,FALSE)</f>
        <v>0</v>
      </c>
      <c r="E5129" s="2" t="str">
        <f>IF(Table1[[#This Row],[Is Data Valid]]=TRUE,IF(Table1[[#This Row],[Fetal Sex (Male, Female or Unknown)]]="Male",Backend!$C$6,IF(Table1[[#This Row],[Fetal Sex (Male, Female or Unknown)]]="Female",Backend!$C$7,IF(Table1[[#This Row],[Fetal Sex (Male, Female or Unknown)]]="Unknown",Backend!$C$8,"Error"))),"")</f>
        <v/>
      </c>
      <c r="F5129" s="8" t="str">
        <f>IF(Table1[[#This Row],[Is Data Valid]]=TRUE,EXP(0.578+0.332*((Table1[[#This Row],[Gestation (days)]]+0.5)/7)-0.00354*((Table1[[#This Row],[Gestation (days)]]+0.5)/7)^2)*Table1[[#This Row],[BW40_3705]],"")</f>
        <v/>
      </c>
      <c r="G5129" s="2" t="str">
        <f>IF(Table1[[#This Row],[Is Data Valid]]=TRUE,((Table1[[#This Row],[Birthweight (grams)]]/Table1[[#This Row],[BW_GA]])-1)/(Backend!$B$4/100*Table1[[#This Row],[BW40_3705]]),"")</f>
        <v/>
      </c>
      <c r="H5129" s="7" t="str">
        <f>IF(Table1[[#This Row],[Is Data Valid]]=TRUE,((Table1[[#This Row],[Birthweight (grams)]]*0.9/Table1[[#This Row],[BW_GA]])-1)/(Backend!$B$4/100*Table1[[#This Row],[BW40_3705]]),"")</f>
        <v/>
      </c>
      <c r="I5129" s="7" t="str">
        <f>IF(Table1[[#This Row],[Is Data Valid]]=TRUE,((Table1[[#This Row],[Birthweight (grams)]]*1.1/Table1[[#This Row],[BW_GA]])-1)/(Backend!$B$4/100*Table1[[#This Row],[BW40_3705]]),"")</f>
        <v/>
      </c>
      <c r="J5129" s="7" t="str">
        <f>IF(Table1[[#This Row],[Is Data Valid]]=TRUE,_xlfn.NORM.S.DIST(Table1[[#This Row],[Birthweight Z-Score]],TRUE)*100,"")</f>
        <v/>
      </c>
      <c r="K5129" s="7" t="str">
        <f>IF(Table1[[#This Row],[Is Data Valid]]=TRUE,_xlfn.NORM.S.DIST(Table1[[#This Row],[Birthweight Z-Score (BW-10%)]],TRUE)*100,"")</f>
        <v/>
      </c>
      <c r="L5129" s="7" t="str">
        <f>IF(Table1[[#This Row],[Is Data Valid]]=TRUE,_xlfn.NORM.S.DIST(Table1[[#This Row],[Birthweight Z-Score (BW+10%)]],TRUE)*100,"")</f>
        <v/>
      </c>
    </row>
    <row r="5130" spans="1:12" x14ac:dyDescent="0.35">
      <c r="A5130" s="3"/>
      <c r="B5130" s="2"/>
      <c r="C5130" s="2"/>
      <c r="D5130" s="2" t="b">
        <f>IF(AND(NOT(ISBLANK(Table1[[#This Row],[Fetal Sex (Male, Female or Unknown)]])),ISNUMBER(Table1[[#This Row],[Birthweight (grams)]]),ISNUMBER(Table1[[#This Row],[Gestation (days)]])),TRUE,FALSE)</f>
        <v>0</v>
      </c>
      <c r="E5130" s="2" t="str">
        <f>IF(Table1[[#This Row],[Is Data Valid]]=TRUE,IF(Table1[[#This Row],[Fetal Sex (Male, Female or Unknown)]]="Male",Backend!$C$6,IF(Table1[[#This Row],[Fetal Sex (Male, Female or Unknown)]]="Female",Backend!$C$7,IF(Table1[[#This Row],[Fetal Sex (Male, Female or Unknown)]]="Unknown",Backend!$C$8,"Error"))),"")</f>
        <v/>
      </c>
      <c r="F5130" s="8" t="str">
        <f>IF(Table1[[#This Row],[Is Data Valid]]=TRUE,EXP(0.578+0.332*((Table1[[#This Row],[Gestation (days)]]+0.5)/7)-0.00354*((Table1[[#This Row],[Gestation (days)]]+0.5)/7)^2)*Table1[[#This Row],[BW40_3705]],"")</f>
        <v/>
      </c>
      <c r="G5130" s="2" t="str">
        <f>IF(Table1[[#This Row],[Is Data Valid]]=TRUE,((Table1[[#This Row],[Birthweight (grams)]]/Table1[[#This Row],[BW_GA]])-1)/(Backend!$B$4/100*Table1[[#This Row],[BW40_3705]]),"")</f>
        <v/>
      </c>
      <c r="H5130" s="7" t="str">
        <f>IF(Table1[[#This Row],[Is Data Valid]]=TRUE,((Table1[[#This Row],[Birthweight (grams)]]*0.9/Table1[[#This Row],[BW_GA]])-1)/(Backend!$B$4/100*Table1[[#This Row],[BW40_3705]]),"")</f>
        <v/>
      </c>
      <c r="I5130" s="7" t="str">
        <f>IF(Table1[[#This Row],[Is Data Valid]]=TRUE,((Table1[[#This Row],[Birthweight (grams)]]*1.1/Table1[[#This Row],[BW_GA]])-1)/(Backend!$B$4/100*Table1[[#This Row],[BW40_3705]]),"")</f>
        <v/>
      </c>
      <c r="J5130" s="7" t="str">
        <f>IF(Table1[[#This Row],[Is Data Valid]]=TRUE,_xlfn.NORM.S.DIST(Table1[[#This Row],[Birthweight Z-Score]],TRUE)*100,"")</f>
        <v/>
      </c>
      <c r="K5130" s="7" t="str">
        <f>IF(Table1[[#This Row],[Is Data Valid]]=TRUE,_xlfn.NORM.S.DIST(Table1[[#This Row],[Birthweight Z-Score (BW-10%)]],TRUE)*100,"")</f>
        <v/>
      </c>
      <c r="L5130" s="7" t="str">
        <f>IF(Table1[[#This Row],[Is Data Valid]]=TRUE,_xlfn.NORM.S.DIST(Table1[[#This Row],[Birthweight Z-Score (BW+10%)]],TRUE)*100,"")</f>
        <v/>
      </c>
    </row>
    <row r="5131" spans="1:12" x14ac:dyDescent="0.35">
      <c r="A5131" s="3"/>
      <c r="B5131" s="2"/>
      <c r="C5131" s="2"/>
      <c r="D5131" s="2" t="b">
        <f>IF(AND(NOT(ISBLANK(Table1[[#This Row],[Fetal Sex (Male, Female or Unknown)]])),ISNUMBER(Table1[[#This Row],[Birthweight (grams)]]),ISNUMBER(Table1[[#This Row],[Gestation (days)]])),TRUE,FALSE)</f>
        <v>0</v>
      </c>
      <c r="E5131" s="2" t="str">
        <f>IF(Table1[[#This Row],[Is Data Valid]]=TRUE,IF(Table1[[#This Row],[Fetal Sex (Male, Female or Unknown)]]="Male",Backend!$C$6,IF(Table1[[#This Row],[Fetal Sex (Male, Female or Unknown)]]="Female",Backend!$C$7,IF(Table1[[#This Row],[Fetal Sex (Male, Female or Unknown)]]="Unknown",Backend!$C$8,"Error"))),"")</f>
        <v/>
      </c>
      <c r="F5131" s="8" t="str">
        <f>IF(Table1[[#This Row],[Is Data Valid]]=TRUE,EXP(0.578+0.332*((Table1[[#This Row],[Gestation (days)]]+0.5)/7)-0.00354*((Table1[[#This Row],[Gestation (days)]]+0.5)/7)^2)*Table1[[#This Row],[BW40_3705]],"")</f>
        <v/>
      </c>
      <c r="G5131" s="2" t="str">
        <f>IF(Table1[[#This Row],[Is Data Valid]]=TRUE,((Table1[[#This Row],[Birthweight (grams)]]/Table1[[#This Row],[BW_GA]])-1)/(Backend!$B$4/100*Table1[[#This Row],[BW40_3705]]),"")</f>
        <v/>
      </c>
      <c r="H5131" s="7" t="str">
        <f>IF(Table1[[#This Row],[Is Data Valid]]=TRUE,((Table1[[#This Row],[Birthweight (grams)]]*0.9/Table1[[#This Row],[BW_GA]])-1)/(Backend!$B$4/100*Table1[[#This Row],[BW40_3705]]),"")</f>
        <v/>
      </c>
      <c r="I5131" s="7" t="str">
        <f>IF(Table1[[#This Row],[Is Data Valid]]=TRUE,((Table1[[#This Row],[Birthweight (grams)]]*1.1/Table1[[#This Row],[BW_GA]])-1)/(Backend!$B$4/100*Table1[[#This Row],[BW40_3705]]),"")</f>
        <v/>
      </c>
      <c r="J5131" s="7" t="str">
        <f>IF(Table1[[#This Row],[Is Data Valid]]=TRUE,_xlfn.NORM.S.DIST(Table1[[#This Row],[Birthweight Z-Score]],TRUE)*100,"")</f>
        <v/>
      </c>
      <c r="K5131" s="7" t="str">
        <f>IF(Table1[[#This Row],[Is Data Valid]]=TRUE,_xlfn.NORM.S.DIST(Table1[[#This Row],[Birthweight Z-Score (BW-10%)]],TRUE)*100,"")</f>
        <v/>
      </c>
      <c r="L5131" s="7" t="str">
        <f>IF(Table1[[#This Row],[Is Data Valid]]=TRUE,_xlfn.NORM.S.DIST(Table1[[#This Row],[Birthweight Z-Score (BW+10%)]],TRUE)*100,"")</f>
        <v/>
      </c>
    </row>
    <row r="5132" spans="1:12" x14ac:dyDescent="0.35">
      <c r="A5132" s="3"/>
      <c r="B5132" s="2"/>
      <c r="C5132" s="2"/>
      <c r="D5132" s="2" t="b">
        <f>IF(AND(NOT(ISBLANK(Table1[[#This Row],[Fetal Sex (Male, Female or Unknown)]])),ISNUMBER(Table1[[#This Row],[Birthweight (grams)]]),ISNUMBER(Table1[[#This Row],[Gestation (days)]])),TRUE,FALSE)</f>
        <v>0</v>
      </c>
      <c r="E5132" s="2" t="str">
        <f>IF(Table1[[#This Row],[Is Data Valid]]=TRUE,IF(Table1[[#This Row],[Fetal Sex (Male, Female or Unknown)]]="Male",Backend!$C$6,IF(Table1[[#This Row],[Fetal Sex (Male, Female or Unknown)]]="Female",Backend!$C$7,IF(Table1[[#This Row],[Fetal Sex (Male, Female or Unknown)]]="Unknown",Backend!$C$8,"Error"))),"")</f>
        <v/>
      </c>
      <c r="F5132" s="8" t="str">
        <f>IF(Table1[[#This Row],[Is Data Valid]]=TRUE,EXP(0.578+0.332*((Table1[[#This Row],[Gestation (days)]]+0.5)/7)-0.00354*((Table1[[#This Row],[Gestation (days)]]+0.5)/7)^2)*Table1[[#This Row],[BW40_3705]],"")</f>
        <v/>
      </c>
      <c r="G5132" s="2" t="str">
        <f>IF(Table1[[#This Row],[Is Data Valid]]=TRUE,((Table1[[#This Row],[Birthweight (grams)]]/Table1[[#This Row],[BW_GA]])-1)/(Backend!$B$4/100*Table1[[#This Row],[BW40_3705]]),"")</f>
        <v/>
      </c>
      <c r="H5132" s="7" t="str">
        <f>IF(Table1[[#This Row],[Is Data Valid]]=TRUE,((Table1[[#This Row],[Birthweight (grams)]]*0.9/Table1[[#This Row],[BW_GA]])-1)/(Backend!$B$4/100*Table1[[#This Row],[BW40_3705]]),"")</f>
        <v/>
      </c>
      <c r="I5132" s="7" t="str">
        <f>IF(Table1[[#This Row],[Is Data Valid]]=TRUE,((Table1[[#This Row],[Birthweight (grams)]]*1.1/Table1[[#This Row],[BW_GA]])-1)/(Backend!$B$4/100*Table1[[#This Row],[BW40_3705]]),"")</f>
        <v/>
      </c>
      <c r="J5132" s="7" t="str">
        <f>IF(Table1[[#This Row],[Is Data Valid]]=TRUE,_xlfn.NORM.S.DIST(Table1[[#This Row],[Birthweight Z-Score]],TRUE)*100,"")</f>
        <v/>
      </c>
      <c r="K5132" s="7" t="str">
        <f>IF(Table1[[#This Row],[Is Data Valid]]=TRUE,_xlfn.NORM.S.DIST(Table1[[#This Row],[Birthweight Z-Score (BW-10%)]],TRUE)*100,"")</f>
        <v/>
      </c>
      <c r="L5132" s="7" t="str">
        <f>IF(Table1[[#This Row],[Is Data Valid]]=TRUE,_xlfn.NORM.S.DIST(Table1[[#This Row],[Birthweight Z-Score (BW+10%)]],TRUE)*100,"")</f>
        <v/>
      </c>
    </row>
    <row r="5133" spans="1:12" x14ac:dyDescent="0.35">
      <c r="A5133" s="3"/>
      <c r="B5133" s="2"/>
      <c r="C5133" s="2"/>
      <c r="D5133" s="2" t="b">
        <f>IF(AND(NOT(ISBLANK(Table1[[#This Row],[Fetal Sex (Male, Female or Unknown)]])),ISNUMBER(Table1[[#This Row],[Birthweight (grams)]]),ISNUMBER(Table1[[#This Row],[Gestation (days)]])),TRUE,FALSE)</f>
        <v>0</v>
      </c>
      <c r="E5133" s="2" t="str">
        <f>IF(Table1[[#This Row],[Is Data Valid]]=TRUE,IF(Table1[[#This Row],[Fetal Sex (Male, Female or Unknown)]]="Male",Backend!$C$6,IF(Table1[[#This Row],[Fetal Sex (Male, Female or Unknown)]]="Female",Backend!$C$7,IF(Table1[[#This Row],[Fetal Sex (Male, Female or Unknown)]]="Unknown",Backend!$C$8,"Error"))),"")</f>
        <v/>
      </c>
      <c r="F5133" s="8" t="str">
        <f>IF(Table1[[#This Row],[Is Data Valid]]=TRUE,EXP(0.578+0.332*((Table1[[#This Row],[Gestation (days)]]+0.5)/7)-0.00354*((Table1[[#This Row],[Gestation (days)]]+0.5)/7)^2)*Table1[[#This Row],[BW40_3705]],"")</f>
        <v/>
      </c>
      <c r="G5133" s="2" t="str">
        <f>IF(Table1[[#This Row],[Is Data Valid]]=TRUE,((Table1[[#This Row],[Birthweight (grams)]]/Table1[[#This Row],[BW_GA]])-1)/(Backend!$B$4/100*Table1[[#This Row],[BW40_3705]]),"")</f>
        <v/>
      </c>
      <c r="H5133" s="7" t="str">
        <f>IF(Table1[[#This Row],[Is Data Valid]]=TRUE,((Table1[[#This Row],[Birthweight (grams)]]*0.9/Table1[[#This Row],[BW_GA]])-1)/(Backend!$B$4/100*Table1[[#This Row],[BW40_3705]]),"")</f>
        <v/>
      </c>
      <c r="I5133" s="7" t="str">
        <f>IF(Table1[[#This Row],[Is Data Valid]]=TRUE,((Table1[[#This Row],[Birthweight (grams)]]*1.1/Table1[[#This Row],[BW_GA]])-1)/(Backend!$B$4/100*Table1[[#This Row],[BW40_3705]]),"")</f>
        <v/>
      </c>
      <c r="J5133" s="7" t="str">
        <f>IF(Table1[[#This Row],[Is Data Valid]]=TRUE,_xlfn.NORM.S.DIST(Table1[[#This Row],[Birthweight Z-Score]],TRUE)*100,"")</f>
        <v/>
      </c>
      <c r="K5133" s="7" t="str">
        <f>IF(Table1[[#This Row],[Is Data Valid]]=TRUE,_xlfn.NORM.S.DIST(Table1[[#This Row],[Birthweight Z-Score (BW-10%)]],TRUE)*100,"")</f>
        <v/>
      </c>
      <c r="L5133" s="7" t="str">
        <f>IF(Table1[[#This Row],[Is Data Valid]]=TRUE,_xlfn.NORM.S.DIST(Table1[[#This Row],[Birthweight Z-Score (BW+10%)]],TRUE)*100,"")</f>
        <v/>
      </c>
    </row>
    <row r="5134" spans="1:12" x14ac:dyDescent="0.35">
      <c r="A5134" s="3"/>
      <c r="B5134" s="2"/>
      <c r="C5134" s="2"/>
      <c r="D5134" s="2" t="b">
        <f>IF(AND(NOT(ISBLANK(Table1[[#This Row],[Fetal Sex (Male, Female or Unknown)]])),ISNUMBER(Table1[[#This Row],[Birthweight (grams)]]),ISNUMBER(Table1[[#This Row],[Gestation (days)]])),TRUE,FALSE)</f>
        <v>0</v>
      </c>
      <c r="E5134" s="2" t="str">
        <f>IF(Table1[[#This Row],[Is Data Valid]]=TRUE,IF(Table1[[#This Row],[Fetal Sex (Male, Female or Unknown)]]="Male",Backend!$C$6,IF(Table1[[#This Row],[Fetal Sex (Male, Female or Unknown)]]="Female",Backend!$C$7,IF(Table1[[#This Row],[Fetal Sex (Male, Female or Unknown)]]="Unknown",Backend!$C$8,"Error"))),"")</f>
        <v/>
      </c>
      <c r="F5134" s="8" t="str">
        <f>IF(Table1[[#This Row],[Is Data Valid]]=TRUE,EXP(0.578+0.332*((Table1[[#This Row],[Gestation (days)]]+0.5)/7)-0.00354*((Table1[[#This Row],[Gestation (days)]]+0.5)/7)^2)*Table1[[#This Row],[BW40_3705]],"")</f>
        <v/>
      </c>
      <c r="G5134" s="2" t="str">
        <f>IF(Table1[[#This Row],[Is Data Valid]]=TRUE,((Table1[[#This Row],[Birthweight (grams)]]/Table1[[#This Row],[BW_GA]])-1)/(Backend!$B$4/100*Table1[[#This Row],[BW40_3705]]),"")</f>
        <v/>
      </c>
      <c r="H5134" s="7" t="str">
        <f>IF(Table1[[#This Row],[Is Data Valid]]=TRUE,((Table1[[#This Row],[Birthweight (grams)]]*0.9/Table1[[#This Row],[BW_GA]])-1)/(Backend!$B$4/100*Table1[[#This Row],[BW40_3705]]),"")</f>
        <v/>
      </c>
      <c r="I5134" s="7" t="str">
        <f>IF(Table1[[#This Row],[Is Data Valid]]=TRUE,((Table1[[#This Row],[Birthweight (grams)]]*1.1/Table1[[#This Row],[BW_GA]])-1)/(Backend!$B$4/100*Table1[[#This Row],[BW40_3705]]),"")</f>
        <v/>
      </c>
      <c r="J5134" s="7" t="str">
        <f>IF(Table1[[#This Row],[Is Data Valid]]=TRUE,_xlfn.NORM.S.DIST(Table1[[#This Row],[Birthweight Z-Score]],TRUE)*100,"")</f>
        <v/>
      </c>
      <c r="K5134" s="7" t="str">
        <f>IF(Table1[[#This Row],[Is Data Valid]]=TRUE,_xlfn.NORM.S.DIST(Table1[[#This Row],[Birthweight Z-Score (BW-10%)]],TRUE)*100,"")</f>
        <v/>
      </c>
      <c r="L5134" s="7" t="str">
        <f>IF(Table1[[#This Row],[Is Data Valid]]=TRUE,_xlfn.NORM.S.DIST(Table1[[#This Row],[Birthweight Z-Score (BW+10%)]],TRUE)*100,"")</f>
        <v/>
      </c>
    </row>
    <row r="5135" spans="1:12" x14ac:dyDescent="0.35">
      <c r="A5135" s="3"/>
      <c r="B5135" s="2"/>
      <c r="C5135" s="2"/>
      <c r="D5135" s="2" t="b">
        <f>IF(AND(NOT(ISBLANK(Table1[[#This Row],[Fetal Sex (Male, Female or Unknown)]])),ISNUMBER(Table1[[#This Row],[Birthweight (grams)]]),ISNUMBER(Table1[[#This Row],[Gestation (days)]])),TRUE,FALSE)</f>
        <v>0</v>
      </c>
      <c r="E5135" s="2" t="str">
        <f>IF(Table1[[#This Row],[Is Data Valid]]=TRUE,IF(Table1[[#This Row],[Fetal Sex (Male, Female or Unknown)]]="Male",Backend!$C$6,IF(Table1[[#This Row],[Fetal Sex (Male, Female or Unknown)]]="Female",Backend!$C$7,IF(Table1[[#This Row],[Fetal Sex (Male, Female or Unknown)]]="Unknown",Backend!$C$8,"Error"))),"")</f>
        <v/>
      </c>
      <c r="F5135" s="8" t="str">
        <f>IF(Table1[[#This Row],[Is Data Valid]]=TRUE,EXP(0.578+0.332*((Table1[[#This Row],[Gestation (days)]]+0.5)/7)-0.00354*((Table1[[#This Row],[Gestation (days)]]+0.5)/7)^2)*Table1[[#This Row],[BW40_3705]],"")</f>
        <v/>
      </c>
      <c r="G5135" s="2" t="str">
        <f>IF(Table1[[#This Row],[Is Data Valid]]=TRUE,((Table1[[#This Row],[Birthweight (grams)]]/Table1[[#This Row],[BW_GA]])-1)/(Backend!$B$4/100*Table1[[#This Row],[BW40_3705]]),"")</f>
        <v/>
      </c>
      <c r="H5135" s="7" t="str">
        <f>IF(Table1[[#This Row],[Is Data Valid]]=TRUE,((Table1[[#This Row],[Birthweight (grams)]]*0.9/Table1[[#This Row],[BW_GA]])-1)/(Backend!$B$4/100*Table1[[#This Row],[BW40_3705]]),"")</f>
        <v/>
      </c>
      <c r="I5135" s="7" t="str">
        <f>IF(Table1[[#This Row],[Is Data Valid]]=TRUE,((Table1[[#This Row],[Birthweight (grams)]]*1.1/Table1[[#This Row],[BW_GA]])-1)/(Backend!$B$4/100*Table1[[#This Row],[BW40_3705]]),"")</f>
        <v/>
      </c>
      <c r="J5135" s="7" t="str">
        <f>IF(Table1[[#This Row],[Is Data Valid]]=TRUE,_xlfn.NORM.S.DIST(Table1[[#This Row],[Birthweight Z-Score]],TRUE)*100,"")</f>
        <v/>
      </c>
      <c r="K5135" s="7" t="str">
        <f>IF(Table1[[#This Row],[Is Data Valid]]=TRUE,_xlfn.NORM.S.DIST(Table1[[#This Row],[Birthweight Z-Score (BW-10%)]],TRUE)*100,"")</f>
        <v/>
      </c>
      <c r="L5135" s="7" t="str">
        <f>IF(Table1[[#This Row],[Is Data Valid]]=TRUE,_xlfn.NORM.S.DIST(Table1[[#This Row],[Birthweight Z-Score (BW+10%)]],TRUE)*100,"")</f>
        <v/>
      </c>
    </row>
    <row r="5136" spans="1:12" x14ac:dyDescent="0.35">
      <c r="A5136" s="3"/>
      <c r="B5136" s="2"/>
      <c r="C5136" s="2"/>
      <c r="D5136" s="2" t="b">
        <f>IF(AND(NOT(ISBLANK(Table1[[#This Row],[Fetal Sex (Male, Female or Unknown)]])),ISNUMBER(Table1[[#This Row],[Birthweight (grams)]]),ISNUMBER(Table1[[#This Row],[Gestation (days)]])),TRUE,FALSE)</f>
        <v>0</v>
      </c>
      <c r="E5136" s="2" t="str">
        <f>IF(Table1[[#This Row],[Is Data Valid]]=TRUE,IF(Table1[[#This Row],[Fetal Sex (Male, Female or Unknown)]]="Male",Backend!$C$6,IF(Table1[[#This Row],[Fetal Sex (Male, Female or Unknown)]]="Female",Backend!$C$7,IF(Table1[[#This Row],[Fetal Sex (Male, Female or Unknown)]]="Unknown",Backend!$C$8,"Error"))),"")</f>
        <v/>
      </c>
      <c r="F5136" s="8" t="str">
        <f>IF(Table1[[#This Row],[Is Data Valid]]=TRUE,EXP(0.578+0.332*((Table1[[#This Row],[Gestation (days)]]+0.5)/7)-0.00354*((Table1[[#This Row],[Gestation (days)]]+0.5)/7)^2)*Table1[[#This Row],[BW40_3705]],"")</f>
        <v/>
      </c>
      <c r="G5136" s="2" t="str">
        <f>IF(Table1[[#This Row],[Is Data Valid]]=TRUE,((Table1[[#This Row],[Birthweight (grams)]]/Table1[[#This Row],[BW_GA]])-1)/(Backend!$B$4/100*Table1[[#This Row],[BW40_3705]]),"")</f>
        <v/>
      </c>
      <c r="H5136" s="7" t="str">
        <f>IF(Table1[[#This Row],[Is Data Valid]]=TRUE,((Table1[[#This Row],[Birthweight (grams)]]*0.9/Table1[[#This Row],[BW_GA]])-1)/(Backend!$B$4/100*Table1[[#This Row],[BW40_3705]]),"")</f>
        <v/>
      </c>
      <c r="I5136" s="7" t="str">
        <f>IF(Table1[[#This Row],[Is Data Valid]]=TRUE,((Table1[[#This Row],[Birthweight (grams)]]*1.1/Table1[[#This Row],[BW_GA]])-1)/(Backend!$B$4/100*Table1[[#This Row],[BW40_3705]]),"")</f>
        <v/>
      </c>
      <c r="J5136" s="7" t="str">
        <f>IF(Table1[[#This Row],[Is Data Valid]]=TRUE,_xlfn.NORM.S.DIST(Table1[[#This Row],[Birthweight Z-Score]],TRUE)*100,"")</f>
        <v/>
      </c>
      <c r="K5136" s="7" t="str">
        <f>IF(Table1[[#This Row],[Is Data Valid]]=TRUE,_xlfn.NORM.S.DIST(Table1[[#This Row],[Birthweight Z-Score (BW-10%)]],TRUE)*100,"")</f>
        <v/>
      </c>
      <c r="L5136" s="7" t="str">
        <f>IF(Table1[[#This Row],[Is Data Valid]]=TRUE,_xlfn.NORM.S.DIST(Table1[[#This Row],[Birthweight Z-Score (BW+10%)]],TRUE)*100,"")</f>
        <v/>
      </c>
    </row>
    <row r="5137" spans="1:12" x14ac:dyDescent="0.35">
      <c r="A5137" s="3"/>
      <c r="B5137" s="2"/>
      <c r="C5137" s="2"/>
      <c r="D5137" s="2" t="b">
        <f>IF(AND(NOT(ISBLANK(Table1[[#This Row],[Fetal Sex (Male, Female or Unknown)]])),ISNUMBER(Table1[[#This Row],[Birthweight (grams)]]),ISNUMBER(Table1[[#This Row],[Gestation (days)]])),TRUE,FALSE)</f>
        <v>0</v>
      </c>
      <c r="E5137" s="2" t="str">
        <f>IF(Table1[[#This Row],[Is Data Valid]]=TRUE,IF(Table1[[#This Row],[Fetal Sex (Male, Female or Unknown)]]="Male",Backend!$C$6,IF(Table1[[#This Row],[Fetal Sex (Male, Female or Unknown)]]="Female",Backend!$C$7,IF(Table1[[#This Row],[Fetal Sex (Male, Female or Unknown)]]="Unknown",Backend!$C$8,"Error"))),"")</f>
        <v/>
      </c>
      <c r="F5137" s="8" t="str">
        <f>IF(Table1[[#This Row],[Is Data Valid]]=TRUE,EXP(0.578+0.332*((Table1[[#This Row],[Gestation (days)]]+0.5)/7)-0.00354*((Table1[[#This Row],[Gestation (days)]]+0.5)/7)^2)*Table1[[#This Row],[BW40_3705]],"")</f>
        <v/>
      </c>
      <c r="G5137" s="2" t="str">
        <f>IF(Table1[[#This Row],[Is Data Valid]]=TRUE,((Table1[[#This Row],[Birthweight (grams)]]/Table1[[#This Row],[BW_GA]])-1)/(Backend!$B$4/100*Table1[[#This Row],[BW40_3705]]),"")</f>
        <v/>
      </c>
      <c r="H5137" s="7" t="str">
        <f>IF(Table1[[#This Row],[Is Data Valid]]=TRUE,((Table1[[#This Row],[Birthweight (grams)]]*0.9/Table1[[#This Row],[BW_GA]])-1)/(Backend!$B$4/100*Table1[[#This Row],[BW40_3705]]),"")</f>
        <v/>
      </c>
      <c r="I5137" s="7" t="str">
        <f>IF(Table1[[#This Row],[Is Data Valid]]=TRUE,((Table1[[#This Row],[Birthweight (grams)]]*1.1/Table1[[#This Row],[BW_GA]])-1)/(Backend!$B$4/100*Table1[[#This Row],[BW40_3705]]),"")</f>
        <v/>
      </c>
      <c r="J5137" s="7" t="str">
        <f>IF(Table1[[#This Row],[Is Data Valid]]=TRUE,_xlfn.NORM.S.DIST(Table1[[#This Row],[Birthweight Z-Score]],TRUE)*100,"")</f>
        <v/>
      </c>
      <c r="K5137" s="7" t="str">
        <f>IF(Table1[[#This Row],[Is Data Valid]]=TRUE,_xlfn.NORM.S.DIST(Table1[[#This Row],[Birthweight Z-Score (BW-10%)]],TRUE)*100,"")</f>
        <v/>
      </c>
      <c r="L5137" s="7" t="str">
        <f>IF(Table1[[#This Row],[Is Data Valid]]=TRUE,_xlfn.NORM.S.DIST(Table1[[#This Row],[Birthweight Z-Score (BW+10%)]],TRUE)*100,"")</f>
        <v/>
      </c>
    </row>
    <row r="5138" spans="1:12" x14ac:dyDescent="0.35">
      <c r="A5138" s="3"/>
      <c r="B5138" s="2"/>
      <c r="C5138" s="2"/>
      <c r="D5138" s="2" t="b">
        <f>IF(AND(NOT(ISBLANK(Table1[[#This Row],[Fetal Sex (Male, Female or Unknown)]])),ISNUMBER(Table1[[#This Row],[Birthweight (grams)]]),ISNUMBER(Table1[[#This Row],[Gestation (days)]])),TRUE,FALSE)</f>
        <v>0</v>
      </c>
      <c r="E5138" s="2" t="str">
        <f>IF(Table1[[#This Row],[Is Data Valid]]=TRUE,IF(Table1[[#This Row],[Fetal Sex (Male, Female or Unknown)]]="Male",Backend!$C$6,IF(Table1[[#This Row],[Fetal Sex (Male, Female or Unknown)]]="Female",Backend!$C$7,IF(Table1[[#This Row],[Fetal Sex (Male, Female or Unknown)]]="Unknown",Backend!$C$8,"Error"))),"")</f>
        <v/>
      </c>
      <c r="F5138" s="8" t="str">
        <f>IF(Table1[[#This Row],[Is Data Valid]]=TRUE,EXP(0.578+0.332*((Table1[[#This Row],[Gestation (days)]]+0.5)/7)-0.00354*((Table1[[#This Row],[Gestation (days)]]+0.5)/7)^2)*Table1[[#This Row],[BW40_3705]],"")</f>
        <v/>
      </c>
      <c r="G5138" s="2" t="str">
        <f>IF(Table1[[#This Row],[Is Data Valid]]=TRUE,((Table1[[#This Row],[Birthweight (grams)]]/Table1[[#This Row],[BW_GA]])-1)/(Backend!$B$4/100*Table1[[#This Row],[BW40_3705]]),"")</f>
        <v/>
      </c>
      <c r="H5138" s="7" t="str">
        <f>IF(Table1[[#This Row],[Is Data Valid]]=TRUE,((Table1[[#This Row],[Birthweight (grams)]]*0.9/Table1[[#This Row],[BW_GA]])-1)/(Backend!$B$4/100*Table1[[#This Row],[BW40_3705]]),"")</f>
        <v/>
      </c>
      <c r="I5138" s="7" t="str">
        <f>IF(Table1[[#This Row],[Is Data Valid]]=TRUE,((Table1[[#This Row],[Birthweight (grams)]]*1.1/Table1[[#This Row],[BW_GA]])-1)/(Backend!$B$4/100*Table1[[#This Row],[BW40_3705]]),"")</f>
        <v/>
      </c>
      <c r="J5138" s="7" t="str">
        <f>IF(Table1[[#This Row],[Is Data Valid]]=TRUE,_xlfn.NORM.S.DIST(Table1[[#This Row],[Birthweight Z-Score]],TRUE)*100,"")</f>
        <v/>
      </c>
      <c r="K5138" s="7" t="str">
        <f>IF(Table1[[#This Row],[Is Data Valid]]=TRUE,_xlfn.NORM.S.DIST(Table1[[#This Row],[Birthweight Z-Score (BW-10%)]],TRUE)*100,"")</f>
        <v/>
      </c>
      <c r="L5138" s="7" t="str">
        <f>IF(Table1[[#This Row],[Is Data Valid]]=TRUE,_xlfn.NORM.S.DIST(Table1[[#This Row],[Birthweight Z-Score (BW+10%)]],TRUE)*100,"")</f>
        <v/>
      </c>
    </row>
    <row r="5139" spans="1:12" x14ac:dyDescent="0.35">
      <c r="A5139" s="3"/>
      <c r="B5139" s="2"/>
      <c r="C5139" s="2"/>
      <c r="D5139" s="2" t="b">
        <f>IF(AND(NOT(ISBLANK(Table1[[#This Row],[Fetal Sex (Male, Female or Unknown)]])),ISNUMBER(Table1[[#This Row],[Birthweight (grams)]]),ISNUMBER(Table1[[#This Row],[Gestation (days)]])),TRUE,FALSE)</f>
        <v>0</v>
      </c>
      <c r="E5139" s="2" t="str">
        <f>IF(Table1[[#This Row],[Is Data Valid]]=TRUE,IF(Table1[[#This Row],[Fetal Sex (Male, Female or Unknown)]]="Male",Backend!$C$6,IF(Table1[[#This Row],[Fetal Sex (Male, Female or Unknown)]]="Female",Backend!$C$7,IF(Table1[[#This Row],[Fetal Sex (Male, Female or Unknown)]]="Unknown",Backend!$C$8,"Error"))),"")</f>
        <v/>
      </c>
      <c r="F5139" s="8" t="str">
        <f>IF(Table1[[#This Row],[Is Data Valid]]=TRUE,EXP(0.578+0.332*((Table1[[#This Row],[Gestation (days)]]+0.5)/7)-0.00354*((Table1[[#This Row],[Gestation (days)]]+0.5)/7)^2)*Table1[[#This Row],[BW40_3705]],"")</f>
        <v/>
      </c>
      <c r="G5139" s="2" t="str">
        <f>IF(Table1[[#This Row],[Is Data Valid]]=TRUE,((Table1[[#This Row],[Birthweight (grams)]]/Table1[[#This Row],[BW_GA]])-1)/(Backend!$B$4/100*Table1[[#This Row],[BW40_3705]]),"")</f>
        <v/>
      </c>
      <c r="H5139" s="7" t="str">
        <f>IF(Table1[[#This Row],[Is Data Valid]]=TRUE,((Table1[[#This Row],[Birthweight (grams)]]*0.9/Table1[[#This Row],[BW_GA]])-1)/(Backend!$B$4/100*Table1[[#This Row],[BW40_3705]]),"")</f>
        <v/>
      </c>
      <c r="I5139" s="7" t="str">
        <f>IF(Table1[[#This Row],[Is Data Valid]]=TRUE,((Table1[[#This Row],[Birthweight (grams)]]*1.1/Table1[[#This Row],[BW_GA]])-1)/(Backend!$B$4/100*Table1[[#This Row],[BW40_3705]]),"")</f>
        <v/>
      </c>
      <c r="J5139" s="7" t="str">
        <f>IF(Table1[[#This Row],[Is Data Valid]]=TRUE,_xlfn.NORM.S.DIST(Table1[[#This Row],[Birthweight Z-Score]],TRUE)*100,"")</f>
        <v/>
      </c>
      <c r="K5139" s="7" t="str">
        <f>IF(Table1[[#This Row],[Is Data Valid]]=TRUE,_xlfn.NORM.S.DIST(Table1[[#This Row],[Birthweight Z-Score (BW-10%)]],TRUE)*100,"")</f>
        <v/>
      </c>
      <c r="L5139" s="7" t="str">
        <f>IF(Table1[[#This Row],[Is Data Valid]]=TRUE,_xlfn.NORM.S.DIST(Table1[[#This Row],[Birthweight Z-Score (BW+10%)]],TRUE)*100,"")</f>
        <v/>
      </c>
    </row>
    <row r="5140" spans="1:12" x14ac:dyDescent="0.35">
      <c r="A5140" s="3"/>
      <c r="B5140" s="2"/>
      <c r="C5140" s="2"/>
      <c r="D5140" s="2" t="b">
        <f>IF(AND(NOT(ISBLANK(Table1[[#This Row],[Fetal Sex (Male, Female or Unknown)]])),ISNUMBER(Table1[[#This Row],[Birthweight (grams)]]),ISNUMBER(Table1[[#This Row],[Gestation (days)]])),TRUE,FALSE)</f>
        <v>0</v>
      </c>
      <c r="E5140" s="2" t="str">
        <f>IF(Table1[[#This Row],[Is Data Valid]]=TRUE,IF(Table1[[#This Row],[Fetal Sex (Male, Female or Unknown)]]="Male",Backend!$C$6,IF(Table1[[#This Row],[Fetal Sex (Male, Female or Unknown)]]="Female",Backend!$C$7,IF(Table1[[#This Row],[Fetal Sex (Male, Female or Unknown)]]="Unknown",Backend!$C$8,"Error"))),"")</f>
        <v/>
      </c>
      <c r="F5140" s="8" t="str">
        <f>IF(Table1[[#This Row],[Is Data Valid]]=TRUE,EXP(0.578+0.332*((Table1[[#This Row],[Gestation (days)]]+0.5)/7)-0.00354*((Table1[[#This Row],[Gestation (days)]]+0.5)/7)^2)*Table1[[#This Row],[BW40_3705]],"")</f>
        <v/>
      </c>
      <c r="G5140" s="2" t="str">
        <f>IF(Table1[[#This Row],[Is Data Valid]]=TRUE,((Table1[[#This Row],[Birthweight (grams)]]/Table1[[#This Row],[BW_GA]])-1)/(Backend!$B$4/100*Table1[[#This Row],[BW40_3705]]),"")</f>
        <v/>
      </c>
      <c r="H5140" s="7" t="str">
        <f>IF(Table1[[#This Row],[Is Data Valid]]=TRUE,((Table1[[#This Row],[Birthweight (grams)]]*0.9/Table1[[#This Row],[BW_GA]])-1)/(Backend!$B$4/100*Table1[[#This Row],[BW40_3705]]),"")</f>
        <v/>
      </c>
      <c r="I5140" s="7" t="str">
        <f>IF(Table1[[#This Row],[Is Data Valid]]=TRUE,((Table1[[#This Row],[Birthweight (grams)]]*1.1/Table1[[#This Row],[BW_GA]])-1)/(Backend!$B$4/100*Table1[[#This Row],[BW40_3705]]),"")</f>
        <v/>
      </c>
      <c r="J5140" s="7" t="str">
        <f>IF(Table1[[#This Row],[Is Data Valid]]=TRUE,_xlfn.NORM.S.DIST(Table1[[#This Row],[Birthweight Z-Score]],TRUE)*100,"")</f>
        <v/>
      </c>
      <c r="K5140" s="7" t="str">
        <f>IF(Table1[[#This Row],[Is Data Valid]]=TRUE,_xlfn.NORM.S.DIST(Table1[[#This Row],[Birthweight Z-Score (BW-10%)]],TRUE)*100,"")</f>
        <v/>
      </c>
      <c r="L5140" s="7" t="str">
        <f>IF(Table1[[#This Row],[Is Data Valid]]=TRUE,_xlfn.NORM.S.DIST(Table1[[#This Row],[Birthweight Z-Score (BW+10%)]],TRUE)*100,"")</f>
        <v/>
      </c>
    </row>
    <row r="5141" spans="1:12" x14ac:dyDescent="0.35">
      <c r="A5141" s="3"/>
      <c r="B5141" s="2"/>
      <c r="C5141" s="2"/>
      <c r="D5141" s="2" t="b">
        <f>IF(AND(NOT(ISBLANK(Table1[[#This Row],[Fetal Sex (Male, Female or Unknown)]])),ISNUMBER(Table1[[#This Row],[Birthweight (grams)]]),ISNUMBER(Table1[[#This Row],[Gestation (days)]])),TRUE,FALSE)</f>
        <v>0</v>
      </c>
      <c r="E5141" s="2" t="str">
        <f>IF(Table1[[#This Row],[Is Data Valid]]=TRUE,IF(Table1[[#This Row],[Fetal Sex (Male, Female or Unknown)]]="Male",Backend!$C$6,IF(Table1[[#This Row],[Fetal Sex (Male, Female or Unknown)]]="Female",Backend!$C$7,IF(Table1[[#This Row],[Fetal Sex (Male, Female or Unknown)]]="Unknown",Backend!$C$8,"Error"))),"")</f>
        <v/>
      </c>
      <c r="F5141" s="8" t="str">
        <f>IF(Table1[[#This Row],[Is Data Valid]]=TRUE,EXP(0.578+0.332*((Table1[[#This Row],[Gestation (days)]]+0.5)/7)-0.00354*((Table1[[#This Row],[Gestation (days)]]+0.5)/7)^2)*Table1[[#This Row],[BW40_3705]],"")</f>
        <v/>
      </c>
      <c r="G5141" s="2" t="str">
        <f>IF(Table1[[#This Row],[Is Data Valid]]=TRUE,((Table1[[#This Row],[Birthweight (grams)]]/Table1[[#This Row],[BW_GA]])-1)/(Backend!$B$4/100*Table1[[#This Row],[BW40_3705]]),"")</f>
        <v/>
      </c>
      <c r="H5141" s="7" t="str">
        <f>IF(Table1[[#This Row],[Is Data Valid]]=TRUE,((Table1[[#This Row],[Birthweight (grams)]]*0.9/Table1[[#This Row],[BW_GA]])-1)/(Backend!$B$4/100*Table1[[#This Row],[BW40_3705]]),"")</f>
        <v/>
      </c>
      <c r="I5141" s="7" t="str">
        <f>IF(Table1[[#This Row],[Is Data Valid]]=TRUE,((Table1[[#This Row],[Birthweight (grams)]]*1.1/Table1[[#This Row],[BW_GA]])-1)/(Backend!$B$4/100*Table1[[#This Row],[BW40_3705]]),"")</f>
        <v/>
      </c>
      <c r="J5141" s="7" t="str">
        <f>IF(Table1[[#This Row],[Is Data Valid]]=TRUE,_xlfn.NORM.S.DIST(Table1[[#This Row],[Birthweight Z-Score]],TRUE)*100,"")</f>
        <v/>
      </c>
      <c r="K5141" s="7" t="str">
        <f>IF(Table1[[#This Row],[Is Data Valid]]=TRUE,_xlfn.NORM.S.DIST(Table1[[#This Row],[Birthweight Z-Score (BW-10%)]],TRUE)*100,"")</f>
        <v/>
      </c>
      <c r="L5141" s="7" t="str">
        <f>IF(Table1[[#This Row],[Is Data Valid]]=TRUE,_xlfn.NORM.S.DIST(Table1[[#This Row],[Birthweight Z-Score (BW+10%)]],TRUE)*100,"")</f>
        <v/>
      </c>
    </row>
    <row r="5142" spans="1:12" x14ac:dyDescent="0.35">
      <c r="A5142" s="3"/>
      <c r="B5142" s="2"/>
      <c r="C5142" s="2"/>
      <c r="D5142" s="2" t="b">
        <f>IF(AND(NOT(ISBLANK(Table1[[#This Row],[Fetal Sex (Male, Female or Unknown)]])),ISNUMBER(Table1[[#This Row],[Birthweight (grams)]]),ISNUMBER(Table1[[#This Row],[Gestation (days)]])),TRUE,FALSE)</f>
        <v>0</v>
      </c>
      <c r="E5142" s="2" t="str">
        <f>IF(Table1[[#This Row],[Is Data Valid]]=TRUE,IF(Table1[[#This Row],[Fetal Sex (Male, Female or Unknown)]]="Male",Backend!$C$6,IF(Table1[[#This Row],[Fetal Sex (Male, Female or Unknown)]]="Female",Backend!$C$7,IF(Table1[[#This Row],[Fetal Sex (Male, Female or Unknown)]]="Unknown",Backend!$C$8,"Error"))),"")</f>
        <v/>
      </c>
      <c r="F5142" s="8" t="str">
        <f>IF(Table1[[#This Row],[Is Data Valid]]=TRUE,EXP(0.578+0.332*((Table1[[#This Row],[Gestation (days)]]+0.5)/7)-0.00354*((Table1[[#This Row],[Gestation (days)]]+0.5)/7)^2)*Table1[[#This Row],[BW40_3705]],"")</f>
        <v/>
      </c>
      <c r="G5142" s="2" t="str">
        <f>IF(Table1[[#This Row],[Is Data Valid]]=TRUE,((Table1[[#This Row],[Birthweight (grams)]]/Table1[[#This Row],[BW_GA]])-1)/(Backend!$B$4/100*Table1[[#This Row],[BW40_3705]]),"")</f>
        <v/>
      </c>
      <c r="H5142" s="7" t="str">
        <f>IF(Table1[[#This Row],[Is Data Valid]]=TRUE,((Table1[[#This Row],[Birthweight (grams)]]*0.9/Table1[[#This Row],[BW_GA]])-1)/(Backend!$B$4/100*Table1[[#This Row],[BW40_3705]]),"")</f>
        <v/>
      </c>
      <c r="I5142" s="7" t="str">
        <f>IF(Table1[[#This Row],[Is Data Valid]]=TRUE,((Table1[[#This Row],[Birthweight (grams)]]*1.1/Table1[[#This Row],[BW_GA]])-1)/(Backend!$B$4/100*Table1[[#This Row],[BW40_3705]]),"")</f>
        <v/>
      </c>
      <c r="J5142" s="7" t="str">
        <f>IF(Table1[[#This Row],[Is Data Valid]]=TRUE,_xlfn.NORM.S.DIST(Table1[[#This Row],[Birthweight Z-Score]],TRUE)*100,"")</f>
        <v/>
      </c>
      <c r="K5142" s="7" t="str">
        <f>IF(Table1[[#This Row],[Is Data Valid]]=TRUE,_xlfn.NORM.S.DIST(Table1[[#This Row],[Birthweight Z-Score (BW-10%)]],TRUE)*100,"")</f>
        <v/>
      </c>
      <c r="L5142" s="7" t="str">
        <f>IF(Table1[[#This Row],[Is Data Valid]]=TRUE,_xlfn.NORM.S.DIST(Table1[[#This Row],[Birthweight Z-Score (BW+10%)]],TRUE)*100,"")</f>
        <v/>
      </c>
    </row>
    <row r="5143" spans="1:12" x14ac:dyDescent="0.35">
      <c r="A5143" s="3"/>
      <c r="B5143" s="2"/>
      <c r="C5143" s="2"/>
      <c r="D5143" s="2" t="b">
        <f>IF(AND(NOT(ISBLANK(Table1[[#This Row],[Fetal Sex (Male, Female or Unknown)]])),ISNUMBER(Table1[[#This Row],[Birthweight (grams)]]),ISNUMBER(Table1[[#This Row],[Gestation (days)]])),TRUE,FALSE)</f>
        <v>0</v>
      </c>
      <c r="E5143" s="2" t="str">
        <f>IF(Table1[[#This Row],[Is Data Valid]]=TRUE,IF(Table1[[#This Row],[Fetal Sex (Male, Female or Unknown)]]="Male",Backend!$C$6,IF(Table1[[#This Row],[Fetal Sex (Male, Female or Unknown)]]="Female",Backend!$C$7,IF(Table1[[#This Row],[Fetal Sex (Male, Female or Unknown)]]="Unknown",Backend!$C$8,"Error"))),"")</f>
        <v/>
      </c>
      <c r="F5143" s="8" t="str">
        <f>IF(Table1[[#This Row],[Is Data Valid]]=TRUE,EXP(0.578+0.332*((Table1[[#This Row],[Gestation (days)]]+0.5)/7)-0.00354*((Table1[[#This Row],[Gestation (days)]]+0.5)/7)^2)*Table1[[#This Row],[BW40_3705]],"")</f>
        <v/>
      </c>
      <c r="G5143" s="2" t="str">
        <f>IF(Table1[[#This Row],[Is Data Valid]]=TRUE,((Table1[[#This Row],[Birthweight (grams)]]/Table1[[#This Row],[BW_GA]])-1)/(Backend!$B$4/100*Table1[[#This Row],[BW40_3705]]),"")</f>
        <v/>
      </c>
      <c r="H5143" s="7" t="str">
        <f>IF(Table1[[#This Row],[Is Data Valid]]=TRUE,((Table1[[#This Row],[Birthweight (grams)]]*0.9/Table1[[#This Row],[BW_GA]])-1)/(Backend!$B$4/100*Table1[[#This Row],[BW40_3705]]),"")</f>
        <v/>
      </c>
      <c r="I5143" s="7" t="str">
        <f>IF(Table1[[#This Row],[Is Data Valid]]=TRUE,((Table1[[#This Row],[Birthweight (grams)]]*1.1/Table1[[#This Row],[BW_GA]])-1)/(Backend!$B$4/100*Table1[[#This Row],[BW40_3705]]),"")</f>
        <v/>
      </c>
      <c r="J5143" s="7" t="str">
        <f>IF(Table1[[#This Row],[Is Data Valid]]=TRUE,_xlfn.NORM.S.DIST(Table1[[#This Row],[Birthweight Z-Score]],TRUE)*100,"")</f>
        <v/>
      </c>
      <c r="K5143" s="7" t="str">
        <f>IF(Table1[[#This Row],[Is Data Valid]]=TRUE,_xlfn.NORM.S.DIST(Table1[[#This Row],[Birthweight Z-Score (BW-10%)]],TRUE)*100,"")</f>
        <v/>
      </c>
      <c r="L5143" s="7" t="str">
        <f>IF(Table1[[#This Row],[Is Data Valid]]=TRUE,_xlfn.NORM.S.DIST(Table1[[#This Row],[Birthweight Z-Score (BW+10%)]],TRUE)*100,"")</f>
        <v/>
      </c>
    </row>
    <row r="5144" spans="1:12" x14ac:dyDescent="0.35">
      <c r="A5144" s="3"/>
      <c r="B5144" s="2"/>
      <c r="C5144" s="2"/>
      <c r="D5144" s="2" t="b">
        <f>IF(AND(NOT(ISBLANK(Table1[[#This Row],[Fetal Sex (Male, Female or Unknown)]])),ISNUMBER(Table1[[#This Row],[Birthweight (grams)]]),ISNUMBER(Table1[[#This Row],[Gestation (days)]])),TRUE,FALSE)</f>
        <v>0</v>
      </c>
      <c r="E5144" s="2" t="str">
        <f>IF(Table1[[#This Row],[Is Data Valid]]=TRUE,IF(Table1[[#This Row],[Fetal Sex (Male, Female or Unknown)]]="Male",Backend!$C$6,IF(Table1[[#This Row],[Fetal Sex (Male, Female or Unknown)]]="Female",Backend!$C$7,IF(Table1[[#This Row],[Fetal Sex (Male, Female or Unknown)]]="Unknown",Backend!$C$8,"Error"))),"")</f>
        <v/>
      </c>
      <c r="F5144" s="8" t="str">
        <f>IF(Table1[[#This Row],[Is Data Valid]]=TRUE,EXP(0.578+0.332*((Table1[[#This Row],[Gestation (days)]]+0.5)/7)-0.00354*((Table1[[#This Row],[Gestation (days)]]+0.5)/7)^2)*Table1[[#This Row],[BW40_3705]],"")</f>
        <v/>
      </c>
      <c r="G5144" s="2" t="str">
        <f>IF(Table1[[#This Row],[Is Data Valid]]=TRUE,((Table1[[#This Row],[Birthweight (grams)]]/Table1[[#This Row],[BW_GA]])-1)/(Backend!$B$4/100*Table1[[#This Row],[BW40_3705]]),"")</f>
        <v/>
      </c>
      <c r="H5144" s="7" t="str">
        <f>IF(Table1[[#This Row],[Is Data Valid]]=TRUE,((Table1[[#This Row],[Birthweight (grams)]]*0.9/Table1[[#This Row],[BW_GA]])-1)/(Backend!$B$4/100*Table1[[#This Row],[BW40_3705]]),"")</f>
        <v/>
      </c>
      <c r="I5144" s="7" t="str">
        <f>IF(Table1[[#This Row],[Is Data Valid]]=TRUE,((Table1[[#This Row],[Birthweight (grams)]]*1.1/Table1[[#This Row],[BW_GA]])-1)/(Backend!$B$4/100*Table1[[#This Row],[BW40_3705]]),"")</f>
        <v/>
      </c>
      <c r="J5144" s="7" t="str">
        <f>IF(Table1[[#This Row],[Is Data Valid]]=TRUE,_xlfn.NORM.S.DIST(Table1[[#This Row],[Birthweight Z-Score]],TRUE)*100,"")</f>
        <v/>
      </c>
      <c r="K5144" s="7" t="str">
        <f>IF(Table1[[#This Row],[Is Data Valid]]=TRUE,_xlfn.NORM.S.DIST(Table1[[#This Row],[Birthweight Z-Score (BW-10%)]],TRUE)*100,"")</f>
        <v/>
      </c>
      <c r="L5144" s="7" t="str">
        <f>IF(Table1[[#This Row],[Is Data Valid]]=TRUE,_xlfn.NORM.S.DIST(Table1[[#This Row],[Birthweight Z-Score (BW+10%)]],TRUE)*100,"")</f>
        <v/>
      </c>
    </row>
    <row r="5145" spans="1:12" x14ac:dyDescent="0.35">
      <c r="A5145" s="3"/>
      <c r="B5145" s="2"/>
      <c r="C5145" s="2"/>
      <c r="D5145" s="2" t="b">
        <f>IF(AND(NOT(ISBLANK(Table1[[#This Row],[Fetal Sex (Male, Female or Unknown)]])),ISNUMBER(Table1[[#This Row],[Birthweight (grams)]]),ISNUMBER(Table1[[#This Row],[Gestation (days)]])),TRUE,FALSE)</f>
        <v>0</v>
      </c>
      <c r="E5145" s="2" t="str">
        <f>IF(Table1[[#This Row],[Is Data Valid]]=TRUE,IF(Table1[[#This Row],[Fetal Sex (Male, Female or Unknown)]]="Male",Backend!$C$6,IF(Table1[[#This Row],[Fetal Sex (Male, Female or Unknown)]]="Female",Backend!$C$7,IF(Table1[[#This Row],[Fetal Sex (Male, Female or Unknown)]]="Unknown",Backend!$C$8,"Error"))),"")</f>
        <v/>
      </c>
      <c r="F5145" s="8" t="str">
        <f>IF(Table1[[#This Row],[Is Data Valid]]=TRUE,EXP(0.578+0.332*((Table1[[#This Row],[Gestation (days)]]+0.5)/7)-0.00354*((Table1[[#This Row],[Gestation (days)]]+0.5)/7)^2)*Table1[[#This Row],[BW40_3705]],"")</f>
        <v/>
      </c>
      <c r="G5145" s="2" t="str">
        <f>IF(Table1[[#This Row],[Is Data Valid]]=TRUE,((Table1[[#This Row],[Birthweight (grams)]]/Table1[[#This Row],[BW_GA]])-1)/(Backend!$B$4/100*Table1[[#This Row],[BW40_3705]]),"")</f>
        <v/>
      </c>
      <c r="H5145" s="7" t="str">
        <f>IF(Table1[[#This Row],[Is Data Valid]]=TRUE,((Table1[[#This Row],[Birthweight (grams)]]*0.9/Table1[[#This Row],[BW_GA]])-1)/(Backend!$B$4/100*Table1[[#This Row],[BW40_3705]]),"")</f>
        <v/>
      </c>
      <c r="I5145" s="7" t="str">
        <f>IF(Table1[[#This Row],[Is Data Valid]]=TRUE,((Table1[[#This Row],[Birthweight (grams)]]*1.1/Table1[[#This Row],[BW_GA]])-1)/(Backend!$B$4/100*Table1[[#This Row],[BW40_3705]]),"")</f>
        <v/>
      </c>
      <c r="J5145" s="7" t="str">
        <f>IF(Table1[[#This Row],[Is Data Valid]]=TRUE,_xlfn.NORM.S.DIST(Table1[[#This Row],[Birthweight Z-Score]],TRUE)*100,"")</f>
        <v/>
      </c>
      <c r="K5145" s="7" t="str">
        <f>IF(Table1[[#This Row],[Is Data Valid]]=TRUE,_xlfn.NORM.S.DIST(Table1[[#This Row],[Birthweight Z-Score (BW-10%)]],TRUE)*100,"")</f>
        <v/>
      </c>
      <c r="L5145" s="7" t="str">
        <f>IF(Table1[[#This Row],[Is Data Valid]]=TRUE,_xlfn.NORM.S.DIST(Table1[[#This Row],[Birthweight Z-Score (BW+10%)]],TRUE)*100,"")</f>
        <v/>
      </c>
    </row>
    <row r="5146" spans="1:12" x14ac:dyDescent="0.35">
      <c r="A5146" s="3"/>
      <c r="B5146" s="2"/>
      <c r="C5146" s="2"/>
      <c r="D5146" s="2" t="b">
        <f>IF(AND(NOT(ISBLANK(Table1[[#This Row],[Fetal Sex (Male, Female or Unknown)]])),ISNUMBER(Table1[[#This Row],[Birthweight (grams)]]),ISNUMBER(Table1[[#This Row],[Gestation (days)]])),TRUE,FALSE)</f>
        <v>0</v>
      </c>
      <c r="E5146" s="2" t="str">
        <f>IF(Table1[[#This Row],[Is Data Valid]]=TRUE,IF(Table1[[#This Row],[Fetal Sex (Male, Female or Unknown)]]="Male",Backend!$C$6,IF(Table1[[#This Row],[Fetal Sex (Male, Female or Unknown)]]="Female",Backend!$C$7,IF(Table1[[#This Row],[Fetal Sex (Male, Female or Unknown)]]="Unknown",Backend!$C$8,"Error"))),"")</f>
        <v/>
      </c>
      <c r="F5146" s="8" t="str">
        <f>IF(Table1[[#This Row],[Is Data Valid]]=TRUE,EXP(0.578+0.332*((Table1[[#This Row],[Gestation (days)]]+0.5)/7)-0.00354*((Table1[[#This Row],[Gestation (days)]]+0.5)/7)^2)*Table1[[#This Row],[BW40_3705]],"")</f>
        <v/>
      </c>
      <c r="G5146" s="2" t="str">
        <f>IF(Table1[[#This Row],[Is Data Valid]]=TRUE,((Table1[[#This Row],[Birthweight (grams)]]/Table1[[#This Row],[BW_GA]])-1)/(Backend!$B$4/100*Table1[[#This Row],[BW40_3705]]),"")</f>
        <v/>
      </c>
      <c r="H5146" s="7" t="str">
        <f>IF(Table1[[#This Row],[Is Data Valid]]=TRUE,((Table1[[#This Row],[Birthweight (grams)]]*0.9/Table1[[#This Row],[BW_GA]])-1)/(Backend!$B$4/100*Table1[[#This Row],[BW40_3705]]),"")</f>
        <v/>
      </c>
      <c r="I5146" s="7" t="str">
        <f>IF(Table1[[#This Row],[Is Data Valid]]=TRUE,((Table1[[#This Row],[Birthweight (grams)]]*1.1/Table1[[#This Row],[BW_GA]])-1)/(Backend!$B$4/100*Table1[[#This Row],[BW40_3705]]),"")</f>
        <v/>
      </c>
      <c r="J5146" s="7" t="str">
        <f>IF(Table1[[#This Row],[Is Data Valid]]=TRUE,_xlfn.NORM.S.DIST(Table1[[#This Row],[Birthweight Z-Score]],TRUE)*100,"")</f>
        <v/>
      </c>
      <c r="K5146" s="7" t="str">
        <f>IF(Table1[[#This Row],[Is Data Valid]]=TRUE,_xlfn.NORM.S.DIST(Table1[[#This Row],[Birthweight Z-Score (BW-10%)]],TRUE)*100,"")</f>
        <v/>
      </c>
      <c r="L5146" s="7" t="str">
        <f>IF(Table1[[#This Row],[Is Data Valid]]=TRUE,_xlfn.NORM.S.DIST(Table1[[#This Row],[Birthweight Z-Score (BW+10%)]],TRUE)*100,"")</f>
        <v/>
      </c>
    </row>
    <row r="5147" spans="1:12" x14ac:dyDescent="0.35">
      <c r="A5147" s="3"/>
      <c r="B5147" s="2"/>
      <c r="C5147" s="2"/>
      <c r="D5147" s="2" t="b">
        <f>IF(AND(NOT(ISBLANK(Table1[[#This Row],[Fetal Sex (Male, Female or Unknown)]])),ISNUMBER(Table1[[#This Row],[Birthweight (grams)]]),ISNUMBER(Table1[[#This Row],[Gestation (days)]])),TRUE,FALSE)</f>
        <v>0</v>
      </c>
      <c r="E5147" s="2" t="str">
        <f>IF(Table1[[#This Row],[Is Data Valid]]=TRUE,IF(Table1[[#This Row],[Fetal Sex (Male, Female or Unknown)]]="Male",Backend!$C$6,IF(Table1[[#This Row],[Fetal Sex (Male, Female or Unknown)]]="Female",Backend!$C$7,IF(Table1[[#This Row],[Fetal Sex (Male, Female or Unknown)]]="Unknown",Backend!$C$8,"Error"))),"")</f>
        <v/>
      </c>
      <c r="F5147" s="8" t="str">
        <f>IF(Table1[[#This Row],[Is Data Valid]]=TRUE,EXP(0.578+0.332*((Table1[[#This Row],[Gestation (days)]]+0.5)/7)-0.00354*((Table1[[#This Row],[Gestation (days)]]+0.5)/7)^2)*Table1[[#This Row],[BW40_3705]],"")</f>
        <v/>
      </c>
      <c r="G5147" s="2" t="str">
        <f>IF(Table1[[#This Row],[Is Data Valid]]=TRUE,((Table1[[#This Row],[Birthweight (grams)]]/Table1[[#This Row],[BW_GA]])-1)/(Backend!$B$4/100*Table1[[#This Row],[BW40_3705]]),"")</f>
        <v/>
      </c>
      <c r="H5147" s="7" t="str">
        <f>IF(Table1[[#This Row],[Is Data Valid]]=TRUE,((Table1[[#This Row],[Birthweight (grams)]]*0.9/Table1[[#This Row],[BW_GA]])-1)/(Backend!$B$4/100*Table1[[#This Row],[BW40_3705]]),"")</f>
        <v/>
      </c>
      <c r="I5147" s="7" t="str">
        <f>IF(Table1[[#This Row],[Is Data Valid]]=TRUE,((Table1[[#This Row],[Birthweight (grams)]]*1.1/Table1[[#This Row],[BW_GA]])-1)/(Backend!$B$4/100*Table1[[#This Row],[BW40_3705]]),"")</f>
        <v/>
      </c>
      <c r="J5147" s="7" t="str">
        <f>IF(Table1[[#This Row],[Is Data Valid]]=TRUE,_xlfn.NORM.S.DIST(Table1[[#This Row],[Birthweight Z-Score]],TRUE)*100,"")</f>
        <v/>
      </c>
      <c r="K5147" s="7" t="str">
        <f>IF(Table1[[#This Row],[Is Data Valid]]=TRUE,_xlfn.NORM.S.DIST(Table1[[#This Row],[Birthweight Z-Score (BW-10%)]],TRUE)*100,"")</f>
        <v/>
      </c>
      <c r="L5147" s="7" t="str">
        <f>IF(Table1[[#This Row],[Is Data Valid]]=TRUE,_xlfn.NORM.S.DIST(Table1[[#This Row],[Birthweight Z-Score (BW+10%)]],TRUE)*100,"")</f>
        <v/>
      </c>
    </row>
    <row r="5148" spans="1:12" x14ac:dyDescent="0.35">
      <c r="A5148" s="3"/>
      <c r="B5148" s="2"/>
      <c r="C5148" s="2"/>
      <c r="D5148" s="2" t="b">
        <f>IF(AND(NOT(ISBLANK(Table1[[#This Row],[Fetal Sex (Male, Female or Unknown)]])),ISNUMBER(Table1[[#This Row],[Birthweight (grams)]]),ISNUMBER(Table1[[#This Row],[Gestation (days)]])),TRUE,FALSE)</f>
        <v>0</v>
      </c>
      <c r="E5148" s="2" t="str">
        <f>IF(Table1[[#This Row],[Is Data Valid]]=TRUE,IF(Table1[[#This Row],[Fetal Sex (Male, Female or Unknown)]]="Male",Backend!$C$6,IF(Table1[[#This Row],[Fetal Sex (Male, Female or Unknown)]]="Female",Backend!$C$7,IF(Table1[[#This Row],[Fetal Sex (Male, Female or Unknown)]]="Unknown",Backend!$C$8,"Error"))),"")</f>
        <v/>
      </c>
      <c r="F5148" s="8" t="str">
        <f>IF(Table1[[#This Row],[Is Data Valid]]=TRUE,EXP(0.578+0.332*((Table1[[#This Row],[Gestation (days)]]+0.5)/7)-0.00354*((Table1[[#This Row],[Gestation (days)]]+0.5)/7)^2)*Table1[[#This Row],[BW40_3705]],"")</f>
        <v/>
      </c>
      <c r="G5148" s="2" t="str">
        <f>IF(Table1[[#This Row],[Is Data Valid]]=TRUE,((Table1[[#This Row],[Birthweight (grams)]]/Table1[[#This Row],[BW_GA]])-1)/(Backend!$B$4/100*Table1[[#This Row],[BW40_3705]]),"")</f>
        <v/>
      </c>
      <c r="H5148" s="7" t="str">
        <f>IF(Table1[[#This Row],[Is Data Valid]]=TRUE,((Table1[[#This Row],[Birthweight (grams)]]*0.9/Table1[[#This Row],[BW_GA]])-1)/(Backend!$B$4/100*Table1[[#This Row],[BW40_3705]]),"")</f>
        <v/>
      </c>
      <c r="I5148" s="7" t="str">
        <f>IF(Table1[[#This Row],[Is Data Valid]]=TRUE,((Table1[[#This Row],[Birthweight (grams)]]*1.1/Table1[[#This Row],[BW_GA]])-1)/(Backend!$B$4/100*Table1[[#This Row],[BW40_3705]]),"")</f>
        <v/>
      </c>
      <c r="J5148" s="7" t="str">
        <f>IF(Table1[[#This Row],[Is Data Valid]]=TRUE,_xlfn.NORM.S.DIST(Table1[[#This Row],[Birthweight Z-Score]],TRUE)*100,"")</f>
        <v/>
      </c>
      <c r="K5148" s="7" t="str">
        <f>IF(Table1[[#This Row],[Is Data Valid]]=TRUE,_xlfn.NORM.S.DIST(Table1[[#This Row],[Birthweight Z-Score (BW-10%)]],TRUE)*100,"")</f>
        <v/>
      </c>
      <c r="L5148" s="7" t="str">
        <f>IF(Table1[[#This Row],[Is Data Valid]]=TRUE,_xlfn.NORM.S.DIST(Table1[[#This Row],[Birthweight Z-Score (BW+10%)]],TRUE)*100,"")</f>
        <v/>
      </c>
    </row>
    <row r="5149" spans="1:12" x14ac:dyDescent="0.35">
      <c r="A5149" s="3"/>
      <c r="B5149" s="2"/>
      <c r="C5149" s="2"/>
      <c r="D5149" s="2" t="b">
        <f>IF(AND(NOT(ISBLANK(Table1[[#This Row],[Fetal Sex (Male, Female or Unknown)]])),ISNUMBER(Table1[[#This Row],[Birthweight (grams)]]),ISNUMBER(Table1[[#This Row],[Gestation (days)]])),TRUE,FALSE)</f>
        <v>0</v>
      </c>
      <c r="E5149" s="2" t="str">
        <f>IF(Table1[[#This Row],[Is Data Valid]]=TRUE,IF(Table1[[#This Row],[Fetal Sex (Male, Female or Unknown)]]="Male",Backend!$C$6,IF(Table1[[#This Row],[Fetal Sex (Male, Female or Unknown)]]="Female",Backend!$C$7,IF(Table1[[#This Row],[Fetal Sex (Male, Female or Unknown)]]="Unknown",Backend!$C$8,"Error"))),"")</f>
        <v/>
      </c>
      <c r="F5149" s="8" t="str">
        <f>IF(Table1[[#This Row],[Is Data Valid]]=TRUE,EXP(0.578+0.332*((Table1[[#This Row],[Gestation (days)]]+0.5)/7)-0.00354*((Table1[[#This Row],[Gestation (days)]]+0.5)/7)^2)*Table1[[#This Row],[BW40_3705]],"")</f>
        <v/>
      </c>
      <c r="G5149" s="2" t="str">
        <f>IF(Table1[[#This Row],[Is Data Valid]]=TRUE,((Table1[[#This Row],[Birthweight (grams)]]/Table1[[#This Row],[BW_GA]])-1)/(Backend!$B$4/100*Table1[[#This Row],[BW40_3705]]),"")</f>
        <v/>
      </c>
      <c r="H5149" s="7" t="str">
        <f>IF(Table1[[#This Row],[Is Data Valid]]=TRUE,((Table1[[#This Row],[Birthweight (grams)]]*0.9/Table1[[#This Row],[BW_GA]])-1)/(Backend!$B$4/100*Table1[[#This Row],[BW40_3705]]),"")</f>
        <v/>
      </c>
      <c r="I5149" s="7" t="str">
        <f>IF(Table1[[#This Row],[Is Data Valid]]=TRUE,((Table1[[#This Row],[Birthweight (grams)]]*1.1/Table1[[#This Row],[BW_GA]])-1)/(Backend!$B$4/100*Table1[[#This Row],[BW40_3705]]),"")</f>
        <v/>
      </c>
      <c r="J5149" s="7" t="str">
        <f>IF(Table1[[#This Row],[Is Data Valid]]=TRUE,_xlfn.NORM.S.DIST(Table1[[#This Row],[Birthweight Z-Score]],TRUE)*100,"")</f>
        <v/>
      </c>
      <c r="K5149" s="7" t="str">
        <f>IF(Table1[[#This Row],[Is Data Valid]]=TRUE,_xlfn.NORM.S.DIST(Table1[[#This Row],[Birthweight Z-Score (BW-10%)]],TRUE)*100,"")</f>
        <v/>
      </c>
      <c r="L5149" s="7" t="str">
        <f>IF(Table1[[#This Row],[Is Data Valid]]=TRUE,_xlfn.NORM.S.DIST(Table1[[#This Row],[Birthweight Z-Score (BW+10%)]],TRUE)*100,"")</f>
        <v/>
      </c>
    </row>
    <row r="5150" spans="1:12" x14ac:dyDescent="0.35">
      <c r="A5150" s="3"/>
      <c r="B5150" s="2"/>
      <c r="C5150" s="2"/>
      <c r="D5150" s="2" t="b">
        <f>IF(AND(NOT(ISBLANK(Table1[[#This Row],[Fetal Sex (Male, Female or Unknown)]])),ISNUMBER(Table1[[#This Row],[Birthweight (grams)]]),ISNUMBER(Table1[[#This Row],[Gestation (days)]])),TRUE,FALSE)</f>
        <v>0</v>
      </c>
      <c r="E5150" s="2" t="str">
        <f>IF(Table1[[#This Row],[Is Data Valid]]=TRUE,IF(Table1[[#This Row],[Fetal Sex (Male, Female or Unknown)]]="Male",Backend!$C$6,IF(Table1[[#This Row],[Fetal Sex (Male, Female or Unknown)]]="Female",Backend!$C$7,IF(Table1[[#This Row],[Fetal Sex (Male, Female or Unknown)]]="Unknown",Backend!$C$8,"Error"))),"")</f>
        <v/>
      </c>
      <c r="F5150" s="8" t="str">
        <f>IF(Table1[[#This Row],[Is Data Valid]]=TRUE,EXP(0.578+0.332*((Table1[[#This Row],[Gestation (days)]]+0.5)/7)-0.00354*((Table1[[#This Row],[Gestation (days)]]+0.5)/7)^2)*Table1[[#This Row],[BW40_3705]],"")</f>
        <v/>
      </c>
      <c r="G5150" s="2" t="str">
        <f>IF(Table1[[#This Row],[Is Data Valid]]=TRUE,((Table1[[#This Row],[Birthweight (grams)]]/Table1[[#This Row],[BW_GA]])-1)/(Backend!$B$4/100*Table1[[#This Row],[BW40_3705]]),"")</f>
        <v/>
      </c>
      <c r="H5150" s="7" t="str">
        <f>IF(Table1[[#This Row],[Is Data Valid]]=TRUE,((Table1[[#This Row],[Birthweight (grams)]]*0.9/Table1[[#This Row],[BW_GA]])-1)/(Backend!$B$4/100*Table1[[#This Row],[BW40_3705]]),"")</f>
        <v/>
      </c>
      <c r="I5150" s="7" t="str">
        <f>IF(Table1[[#This Row],[Is Data Valid]]=TRUE,((Table1[[#This Row],[Birthweight (grams)]]*1.1/Table1[[#This Row],[BW_GA]])-1)/(Backend!$B$4/100*Table1[[#This Row],[BW40_3705]]),"")</f>
        <v/>
      </c>
      <c r="J5150" s="7" t="str">
        <f>IF(Table1[[#This Row],[Is Data Valid]]=TRUE,_xlfn.NORM.S.DIST(Table1[[#This Row],[Birthweight Z-Score]],TRUE)*100,"")</f>
        <v/>
      </c>
      <c r="K5150" s="7" t="str">
        <f>IF(Table1[[#This Row],[Is Data Valid]]=TRUE,_xlfn.NORM.S.DIST(Table1[[#This Row],[Birthweight Z-Score (BW-10%)]],TRUE)*100,"")</f>
        <v/>
      </c>
      <c r="L5150" s="7" t="str">
        <f>IF(Table1[[#This Row],[Is Data Valid]]=TRUE,_xlfn.NORM.S.DIST(Table1[[#This Row],[Birthweight Z-Score (BW+10%)]],TRUE)*100,"")</f>
        <v/>
      </c>
    </row>
    <row r="5151" spans="1:12" x14ac:dyDescent="0.35">
      <c r="A5151" s="3"/>
      <c r="B5151" s="2"/>
      <c r="C5151" s="2"/>
      <c r="D5151" s="2" t="b">
        <f>IF(AND(NOT(ISBLANK(Table1[[#This Row],[Fetal Sex (Male, Female or Unknown)]])),ISNUMBER(Table1[[#This Row],[Birthweight (grams)]]),ISNUMBER(Table1[[#This Row],[Gestation (days)]])),TRUE,FALSE)</f>
        <v>0</v>
      </c>
      <c r="E5151" s="2" t="str">
        <f>IF(Table1[[#This Row],[Is Data Valid]]=TRUE,IF(Table1[[#This Row],[Fetal Sex (Male, Female or Unknown)]]="Male",Backend!$C$6,IF(Table1[[#This Row],[Fetal Sex (Male, Female or Unknown)]]="Female",Backend!$C$7,IF(Table1[[#This Row],[Fetal Sex (Male, Female or Unknown)]]="Unknown",Backend!$C$8,"Error"))),"")</f>
        <v/>
      </c>
      <c r="F5151" s="8" t="str">
        <f>IF(Table1[[#This Row],[Is Data Valid]]=TRUE,EXP(0.578+0.332*((Table1[[#This Row],[Gestation (days)]]+0.5)/7)-0.00354*((Table1[[#This Row],[Gestation (days)]]+0.5)/7)^2)*Table1[[#This Row],[BW40_3705]],"")</f>
        <v/>
      </c>
      <c r="G5151" s="2" t="str">
        <f>IF(Table1[[#This Row],[Is Data Valid]]=TRUE,((Table1[[#This Row],[Birthweight (grams)]]/Table1[[#This Row],[BW_GA]])-1)/(Backend!$B$4/100*Table1[[#This Row],[BW40_3705]]),"")</f>
        <v/>
      </c>
      <c r="H5151" s="7" t="str">
        <f>IF(Table1[[#This Row],[Is Data Valid]]=TRUE,((Table1[[#This Row],[Birthweight (grams)]]*0.9/Table1[[#This Row],[BW_GA]])-1)/(Backend!$B$4/100*Table1[[#This Row],[BW40_3705]]),"")</f>
        <v/>
      </c>
      <c r="I5151" s="7" t="str">
        <f>IF(Table1[[#This Row],[Is Data Valid]]=TRUE,((Table1[[#This Row],[Birthweight (grams)]]*1.1/Table1[[#This Row],[BW_GA]])-1)/(Backend!$B$4/100*Table1[[#This Row],[BW40_3705]]),"")</f>
        <v/>
      </c>
      <c r="J5151" s="7" t="str">
        <f>IF(Table1[[#This Row],[Is Data Valid]]=TRUE,_xlfn.NORM.S.DIST(Table1[[#This Row],[Birthweight Z-Score]],TRUE)*100,"")</f>
        <v/>
      </c>
      <c r="K5151" s="7" t="str">
        <f>IF(Table1[[#This Row],[Is Data Valid]]=TRUE,_xlfn.NORM.S.DIST(Table1[[#This Row],[Birthweight Z-Score (BW-10%)]],TRUE)*100,"")</f>
        <v/>
      </c>
      <c r="L5151" s="7" t="str">
        <f>IF(Table1[[#This Row],[Is Data Valid]]=TRUE,_xlfn.NORM.S.DIST(Table1[[#This Row],[Birthweight Z-Score (BW+10%)]],TRUE)*100,"")</f>
        <v/>
      </c>
    </row>
    <row r="5152" spans="1:12" x14ac:dyDescent="0.35">
      <c r="A5152" s="3"/>
      <c r="B5152" s="2"/>
      <c r="C5152" s="2"/>
      <c r="D5152" s="2" t="b">
        <f>IF(AND(NOT(ISBLANK(Table1[[#This Row],[Fetal Sex (Male, Female or Unknown)]])),ISNUMBER(Table1[[#This Row],[Birthweight (grams)]]),ISNUMBER(Table1[[#This Row],[Gestation (days)]])),TRUE,FALSE)</f>
        <v>0</v>
      </c>
      <c r="E5152" s="2" t="str">
        <f>IF(Table1[[#This Row],[Is Data Valid]]=TRUE,IF(Table1[[#This Row],[Fetal Sex (Male, Female or Unknown)]]="Male",Backend!$C$6,IF(Table1[[#This Row],[Fetal Sex (Male, Female or Unknown)]]="Female",Backend!$C$7,IF(Table1[[#This Row],[Fetal Sex (Male, Female or Unknown)]]="Unknown",Backend!$C$8,"Error"))),"")</f>
        <v/>
      </c>
      <c r="F5152" s="8" t="str">
        <f>IF(Table1[[#This Row],[Is Data Valid]]=TRUE,EXP(0.578+0.332*((Table1[[#This Row],[Gestation (days)]]+0.5)/7)-0.00354*((Table1[[#This Row],[Gestation (days)]]+0.5)/7)^2)*Table1[[#This Row],[BW40_3705]],"")</f>
        <v/>
      </c>
      <c r="G5152" s="2" t="str">
        <f>IF(Table1[[#This Row],[Is Data Valid]]=TRUE,((Table1[[#This Row],[Birthweight (grams)]]/Table1[[#This Row],[BW_GA]])-1)/(Backend!$B$4/100*Table1[[#This Row],[BW40_3705]]),"")</f>
        <v/>
      </c>
      <c r="H5152" s="7" t="str">
        <f>IF(Table1[[#This Row],[Is Data Valid]]=TRUE,((Table1[[#This Row],[Birthweight (grams)]]*0.9/Table1[[#This Row],[BW_GA]])-1)/(Backend!$B$4/100*Table1[[#This Row],[BW40_3705]]),"")</f>
        <v/>
      </c>
      <c r="I5152" s="7" t="str">
        <f>IF(Table1[[#This Row],[Is Data Valid]]=TRUE,((Table1[[#This Row],[Birthweight (grams)]]*1.1/Table1[[#This Row],[BW_GA]])-1)/(Backend!$B$4/100*Table1[[#This Row],[BW40_3705]]),"")</f>
        <v/>
      </c>
      <c r="J5152" s="7" t="str">
        <f>IF(Table1[[#This Row],[Is Data Valid]]=TRUE,_xlfn.NORM.S.DIST(Table1[[#This Row],[Birthweight Z-Score]],TRUE)*100,"")</f>
        <v/>
      </c>
      <c r="K5152" s="7" t="str">
        <f>IF(Table1[[#This Row],[Is Data Valid]]=TRUE,_xlfn.NORM.S.DIST(Table1[[#This Row],[Birthweight Z-Score (BW-10%)]],TRUE)*100,"")</f>
        <v/>
      </c>
      <c r="L5152" s="7" t="str">
        <f>IF(Table1[[#This Row],[Is Data Valid]]=TRUE,_xlfn.NORM.S.DIST(Table1[[#This Row],[Birthweight Z-Score (BW+10%)]],TRUE)*100,"")</f>
        <v/>
      </c>
    </row>
    <row r="5153" spans="1:12" x14ac:dyDescent="0.35">
      <c r="A5153" s="3"/>
      <c r="B5153" s="2"/>
      <c r="C5153" s="2"/>
      <c r="D5153" s="2" t="b">
        <f>IF(AND(NOT(ISBLANK(Table1[[#This Row],[Fetal Sex (Male, Female or Unknown)]])),ISNUMBER(Table1[[#This Row],[Birthweight (grams)]]),ISNUMBER(Table1[[#This Row],[Gestation (days)]])),TRUE,FALSE)</f>
        <v>0</v>
      </c>
      <c r="E5153" s="2" t="str">
        <f>IF(Table1[[#This Row],[Is Data Valid]]=TRUE,IF(Table1[[#This Row],[Fetal Sex (Male, Female or Unknown)]]="Male",Backend!$C$6,IF(Table1[[#This Row],[Fetal Sex (Male, Female or Unknown)]]="Female",Backend!$C$7,IF(Table1[[#This Row],[Fetal Sex (Male, Female or Unknown)]]="Unknown",Backend!$C$8,"Error"))),"")</f>
        <v/>
      </c>
      <c r="F5153" s="8" t="str">
        <f>IF(Table1[[#This Row],[Is Data Valid]]=TRUE,EXP(0.578+0.332*((Table1[[#This Row],[Gestation (days)]]+0.5)/7)-0.00354*((Table1[[#This Row],[Gestation (days)]]+0.5)/7)^2)*Table1[[#This Row],[BW40_3705]],"")</f>
        <v/>
      </c>
      <c r="G5153" s="2" t="str">
        <f>IF(Table1[[#This Row],[Is Data Valid]]=TRUE,((Table1[[#This Row],[Birthweight (grams)]]/Table1[[#This Row],[BW_GA]])-1)/(Backend!$B$4/100*Table1[[#This Row],[BW40_3705]]),"")</f>
        <v/>
      </c>
      <c r="H5153" s="7" t="str">
        <f>IF(Table1[[#This Row],[Is Data Valid]]=TRUE,((Table1[[#This Row],[Birthweight (grams)]]*0.9/Table1[[#This Row],[BW_GA]])-1)/(Backend!$B$4/100*Table1[[#This Row],[BW40_3705]]),"")</f>
        <v/>
      </c>
      <c r="I5153" s="7" t="str">
        <f>IF(Table1[[#This Row],[Is Data Valid]]=TRUE,((Table1[[#This Row],[Birthweight (grams)]]*1.1/Table1[[#This Row],[BW_GA]])-1)/(Backend!$B$4/100*Table1[[#This Row],[BW40_3705]]),"")</f>
        <v/>
      </c>
      <c r="J5153" s="7" t="str">
        <f>IF(Table1[[#This Row],[Is Data Valid]]=TRUE,_xlfn.NORM.S.DIST(Table1[[#This Row],[Birthweight Z-Score]],TRUE)*100,"")</f>
        <v/>
      </c>
      <c r="K5153" s="7" t="str">
        <f>IF(Table1[[#This Row],[Is Data Valid]]=TRUE,_xlfn.NORM.S.DIST(Table1[[#This Row],[Birthweight Z-Score (BW-10%)]],TRUE)*100,"")</f>
        <v/>
      </c>
      <c r="L5153" s="7" t="str">
        <f>IF(Table1[[#This Row],[Is Data Valid]]=TRUE,_xlfn.NORM.S.DIST(Table1[[#This Row],[Birthweight Z-Score (BW+10%)]],TRUE)*100,"")</f>
        <v/>
      </c>
    </row>
    <row r="5154" spans="1:12" x14ac:dyDescent="0.35">
      <c r="A5154" s="3"/>
      <c r="B5154" s="2"/>
      <c r="C5154" s="2"/>
      <c r="D5154" s="2" t="b">
        <f>IF(AND(NOT(ISBLANK(Table1[[#This Row],[Fetal Sex (Male, Female or Unknown)]])),ISNUMBER(Table1[[#This Row],[Birthweight (grams)]]),ISNUMBER(Table1[[#This Row],[Gestation (days)]])),TRUE,FALSE)</f>
        <v>0</v>
      </c>
      <c r="E5154" s="2" t="str">
        <f>IF(Table1[[#This Row],[Is Data Valid]]=TRUE,IF(Table1[[#This Row],[Fetal Sex (Male, Female or Unknown)]]="Male",Backend!$C$6,IF(Table1[[#This Row],[Fetal Sex (Male, Female or Unknown)]]="Female",Backend!$C$7,IF(Table1[[#This Row],[Fetal Sex (Male, Female or Unknown)]]="Unknown",Backend!$C$8,"Error"))),"")</f>
        <v/>
      </c>
      <c r="F5154" s="8" t="str">
        <f>IF(Table1[[#This Row],[Is Data Valid]]=TRUE,EXP(0.578+0.332*((Table1[[#This Row],[Gestation (days)]]+0.5)/7)-0.00354*((Table1[[#This Row],[Gestation (days)]]+0.5)/7)^2)*Table1[[#This Row],[BW40_3705]],"")</f>
        <v/>
      </c>
      <c r="G5154" s="2" t="str">
        <f>IF(Table1[[#This Row],[Is Data Valid]]=TRUE,((Table1[[#This Row],[Birthweight (grams)]]/Table1[[#This Row],[BW_GA]])-1)/(Backend!$B$4/100*Table1[[#This Row],[BW40_3705]]),"")</f>
        <v/>
      </c>
      <c r="H5154" s="7" t="str">
        <f>IF(Table1[[#This Row],[Is Data Valid]]=TRUE,((Table1[[#This Row],[Birthweight (grams)]]*0.9/Table1[[#This Row],[BW_GA]])-1)/(Backend!$B$4/100*Table1[[#This Row],[BW40_3705]]),"")</f>
        <v/>
      </c>
      <c r="I5154" s="7" t="str">
        <f>IF(Table1[[#This Row],[Is Data Valid]]=TRUE,((Table1[[#This Row],[Birthweight (grams)]]*1.1/Table1[[#This Row],[BW_GA]])-1)/(Backend!$B$4/100*Table1[[#This Row],[BW40_3705]]),"")</f>
        <v/>
      </c>
      <c r="J5154" s="7" t="str">
        <f>IF(Table1[[#This Row],[Is Data Valid]]=TRUE,_xlfn.NORM.S.DIST(Table1[[#This Row],[Birthweight Z-Score]],TRUE)*100,"")</f>
        <v/>
      </c>
      <c r="K5154" s="7" t="str">
        <f>IF(Table1[[#This Row],[Is Data Valid]]=TRUE,_xlfn.NORM.S.DIST(Table1[[#This Row],[Birthweight Z-Score (BW-10%)]],TRUE)*100,"")</f>
        <v/>
      </c>
      <c r="L5154" s="7" t="str">
        <f>IF(Table1[[#This Row],[Is Data Valid]]=TRUE,_xlfn.NORM.S.DIST(Table1[[#This Row],[Birthweight Z-Score (BW+10%)]],TRUE)*100,"")</f>
        <v/>
      </c>
    </row>
    <row r="5155" spans="1:12" x14ac:dyDescent="0.35">
      <c r="A5155" s="3"/>
      <c r="B5155" s="2"/>
      <c r="C5155" s="2"/>
      <c r="D5155" s="2" t="b">
        <f>IF(AND(NOT(ISBLANK(Table1[[#This Row],[Fetal Sex (Male, Female or Unknown)]])),ISNUMBER(Table1[[#This Row],[Birthweight (grams)]]),ISNUMBER(Table1[[#This Row],[Gestation (days)]])),TRUE,FALSE)</f>
        <v>0</v>
      </c>
      <c r="E5155" s="2" t="str">
        <f>IF(Table1[[#This Row],[Is Data Valid]]=TRUE,IF(Table1[[#This Row],[Fetal Sex (Male, Female or Unknown)]]="Male",Backend!$C$6,IF(Table1[[#This Row],[Fetal Sex (Male, Female or Unknown)]]="Female",Backend!$C$7,IF(Table1[[#This Row],[Fetal Sex (Male, Female or Unknown)]]="Unknown",Backend!$C$8,"Error"))),"")</f>
        <v/>
      </c>
      <c r="F5155" s="8" t="str">
        <f>IF(Table1[[#This Row],[Is Data Valid]]=TRUE,EXP(0.578+0.332*((Table1[[#This Row],[Gestation (days)]]+0.5)/7)-0.00354*((Table1[[#This Row],[Gestation (days)]]+0.5)/7)^2)*Table1[[#This Row],[BW40_3705]],"")</f>
        <v/>
      </c>
      <c r="G5155" s="2" t="str">
        <f>IF(Table1[[#This Row],[Is Data Valid]]=TRUE,((Table1[[#This Row],[Birthweight (grams)]]/Table1[[#This Row],[BW_GA]])-1)/(Backend!$B$4/100*Table1[[#This Row],[BW40_3705]]),"")</f>
        <v/>
      </c>
      <c r="H5155" s="7" t="str">
        <f>IF(Table1[[#This Row],[Is Data Valid]]=TRUE,((Table1[[#This Row],[Birthweight (grams)]]*0.9/Table1[[#This Row],[BW_GA]])-1)/(Backend!$B$4/100*Table1[[#This Row],[BW40_3705]]),"")</f>
        <v/>
      </c>
      <c r="I5155" s="7" t="str">
        <f>IF(Table1[[#This Row],[Is Data Valid]]=TRUE,((Table1[[#This Row],[Birthweight (grams)]]*1.1/Table1[[#This Row],[BW_GA]])-1)/(Backend!$B$4/100*Table1[[#This Row],[BW40_3705]]),"")</f>
        <v/>
      </c>
      <c r="J5155" s="7" t="str">
        <f>IF(Table1[[#This Row],[Is Data Valid]]=TRUE,_xlfn.NORM.S.DIST(Table1[[#This Row],[Birthweight Z-Score]],TRUE)*100,"")</f>
        <v/>
      </c>
      <c r="K5155" s="7" t="str">
        <f>IF(Table1[[#This Row],[Is Data Valid]]=TRUE,_xlfn.NORM.S.DIST(Table1[[#This Row],[Birthweight Z-Score (BW-10%)]],TRUE)*100,"")</f>
        <v/>
      </c>
      <c r="L5155" s="7" t="str">
        <f>IF(Table1[[#This Row],[Is Data Valid]]=TRUE,_xlfn.NORM.S.DIST(Table1[[#This Row],[Birthweight Z-Score (BW+10%)]],TRUE)*100,"")</f>
        <v/>
      </c>
    </row>
    <row r="5156" spans="1:12" x14ac:dyDescent="0.35">
      <c r="A5156" s="3"/>
      <c r="B5156" s="2"/>
      <c r="C5156" s="2"/>
      <c r="D5156" s="2" t="b">
        <f>IF(AND(NOT(ISBLANK(Table1[[#This Row],[Fetal Sex (Male, Female or Unknown)]])),ISNUMBER(Table1[[#This Row],[Birthweight (grams)]]),ISNUMBER(Table1[[#This Row],[Gestation (days)]])),TRUE,FALSE)</f>
        <v>0</v>
      </c>
      <c r="E5156" s="2" t="str">
        <f>IF(Table1[[#This Row],[Is Data Valid]]=TRUE,IF(Table1[[#This Row],[Fetal Sex (Male, Female or Unknown)]]="Male",Backend!$C$6,IF(Table1[[#This Row],[Fetal Sex (Male, Female or Unknown)]]="Female",Backend!$C$7,IF(Table1[[#This Row],[Fetal Sex (Male, Female or Unknown)]]="Unknown",Backend!$C$8,"Error"))),"")</f>
        <v/>
      </c>
      <c r="F5156" s="8" t="str">
        <f>IF(Table1[[#This Row],[Is Data Valid]]=TRUE,EXP(0.578+0.332*((Table1[[#This Row],[Gestation (days)]]+0.5)/7)-0.00354*((Table1[[#This Row],[Gestation (days)]]+0.5)/7)^2)*Table1[[#This Row],[BW40_3705]],"")</f>
        <v/>
      </c>
      <c r="G5156" s="2" t="str">
        <f>IF(Table1[[#This Row],[Is Data Valid]]=TRUE,((Table1[[#This Row],[Birthweight (grams)]]/Table1[[#This Row],[BW_GA]])-1)/(Backend!$B$4/100*Table1[[#This Row],[BW40_3705]]),"")</f>
        <v/>
      </c>
      <c r="H5156" s="7" t="str">
        <f>IF(Table1[[#This Row],[Is Data Valid]]=TRUE,((Table1[[#This Row],[Birthweight (grams)]]*0.9/Table1[[#This Row],[BW_GA]])-1)/(Backend!$B$4/100*Table1[[#This Row],[BW40_3705]]),"")</f>
        <v/>
      </c>
      <c r="I5156" s="7" t="str">
        <f>IF(Table1[[#This Row],[Is Data Valid]]=TRUE,((Table1[[#This Row],[Birthweight (grams)]]*1.1/Table1[[#This Row],[BW_GA]])-1)/(Backend!$B$4/100*Table1[[#This Row],[BW40_3705]]),"")</f>
        <v/>
      </c>
      <c r="J5156" s="7" t="str">
        <f>IF(Table1[[#This Row],[Is Data Valid]]=TRUE,_xlfn.NORM.S.DIST(Table1[[#This Row],[Birthweight Z-Score]],TRUE)*100,"")</f>
        <v/>
      </c>
      <c r="K5156" s="7" t="str">
        <f>IF(Table1[[#This Row],[Is Data Valid]]=TRUE,_xlfn.NORM.S.DIST(Table1[[#This Row],[Birthweight Z-Score (BW-10%)]],TRUE)*100,"")</f>
        <v/>
      </c>
      <c r="L5156" s="7" t="str">
        <f>IF(Table1[[#This Row],[Is Data Valid]]=TRUE,_xlfn.NORM.S.DIST(Table1[[#This Row],[Birthweight Z-Score (BW+10%)]],TRUE)*100,"")</f>
        <v/>
      </c>
    </row>
    <row r="5157" spans="1:12" x14ac:dyDescent="0.35">
      <c r="A5157" s="3"/>
      <c r="B5157" s="2"/>
      <c r="C5157" s="2"/>
      <c r="D5157" s="2" t="b">
        <f>IF(AND(NOT(ISBLANK(Table1[[#This Row],[Fetal Sex (Male, Female or Unknown)]])),ISNUMBER(Table1[[#This Row],[Birthweight (grams)]]),ISNUMBER(Table1[[#This Row],[Gestation (days)]])),TRUE,FALSE)</f>
        <v>0</v>
      </c>
      <c r="E5157" s="2" t="str">
        <f>IF(Table1[[#This Row],[Is Data Valid]]=TRUE,IF(Table1[[#This Row],[Fetal Sex (Male, Female or Unknown)]]="Male",Backend!$C$6,IF(Table1[[#This Row],[Fetal Sex (Male, Female or Unknown)]]="Female",Backend!$C$7,IF(Table1[[#This Row],[Fetal Sex (Male, Female or Unknown)]]="Unknown",Backend!$C$8,"Error"))),"")</f>
        <v/>
      </c>
      <c r="F5157" s="8" t="str">
        <f>IF(Table1[[#This Row],[Is Data Valid]]=TRUE,EXP(0.578+0.332*((Table1[[#This Row],[Gestation (days)]]+0.5)/7)-0.00354*((Table1[[#This Row],[Gestation (days)]]+0.5)/7)^2)*Table1[[#This Row],[BW40_3705]],"")</f>
        <v/>
      </c>
      <c r="G5157" s="2" t="str">
        <f>IF(Table1[[#This Row],[Is Data Valid]]=TRUE,((Table1[[#This Row],[Birthweight (grams)]]/Table1[[#This Row],[BW_GA]])-1)/(Backend!$B$4/100*Table1[[#This Row],[BW40_3705]]),"")</f>
        <v/>
      </c>
      <c r="H5157" s="7" t="str">
        <f>IF(Table1[[#This Row],[Is Data Valid]]=TRUE,((Table1[[#This Row],[Birthweight (grams)]]*0.9/Table1[[#This Row],[BW_GA]])-1)/(Backend!$B$4/100*Table1[[#This Row],[BW40_3705]]),"")</f>
        <v/>
      </c>
      <c r="I5157" s="7" t="str">
        <f>IF(Table1[[#This Row],[Is Data Valid]]=TRUE,((Table1[[#This Row],[Birthweight (grams)]]*1.1/Table1[[#This Row],[BW_GA]])-1)/(Backend!$B$4/100*Table1[[#This Row],[BW40_3705]]),"")</f>
        <v/>
      </c>
      <c r="J5157" s="7" t="str">
        <f>IF(Table1[[#This Row],[Is Data Valid]]=TRUE,_xlfn.NORM.S.DIST(Table1[[#This Row],[Birthweight Z-Score]],TRUE)*100,"")</f>
        <v/>
      </c>
      <c r="K5157" s="7" t="str">
        <f>IF(Table1[[#This Row],[Is Data Valid]]=TRUE,_xlfn.NORM.S.DIST(Table1[[#This Row],[Birthweight Z-Score (BW-10%)]],TRUE)*100,"")</f>
        <v/>
      </c>
      <c r="L5157" s="7" t="str">
        <f>IF(Table1[[#This Row],[Is Data Valid]]=TRUE,_xlfn.NORM.S.DIST(Table1[[#This Row],[Birthweight Z-Score (BW+10%)]],TRUE)*100,"")</f>
        <v/>
      </c>
    </row>
    <row r="5158" spans="1:12" x14ac:dyDescent="0.35">
      <c r="A5158" s="3"/>
      <c r="B5158" s="2"/>
      <c r="C5158" s="2"/>
      <c r="D5158" s="2" t="b">
        <f>IF(AND(NOT(ISBLANK(Table1[[#This Row],[Fetal Sex (Male, Female or Unknown)]])),ISNUMBER(Table1[[#This Row],[Birthweight (grams)]]),ISNUMBER(Table1[[#This Row],[Gestation (days)]])),TRUE,FALSE)</f>
        <v>0</v>
      </c>
      <c r="E5158" s="2" t="str">
        <f>IF(Table1[[#This Row],[Is Data Valid]]=TRUE,IF(Table1[[#This Row],[Fetal Sex (Male, Female or Unknown)]]="Male",Backend!$C$6,IF(Table1[[#This Row],[Fetal Sex (Male, Female or Unknown)]]="Female",Backend!$C$7,IF(Table1[[#This Row],[Fetal Sex (Male, Female or Unknown)]]="Unknown",Backend!$C$8,"Error"))),"")</f>
        <v/>
      </c>
      <c r="F5158" s="8" t="str">
        <f>IF(Table1[[#This Row],[Is Data Valid]]=TRUE,EXP(0.578+0.332*((Table1[[#This Row],[Gestation (days)]]+0.5)/7)-0.00354*((Table1[[#This Row],[Gestation (days)]]+0.5)/7)^2)*Table1[[#This Row],[BW40_3705]],"")</f>
        <v/>
      </c>
      <c r="G5158" s="2" t="str">
        <f>IF(Table1[[#This Row],[Is Data Valid]]=TRUE,((Table1[[#This Row],[Birthweight (grams)]]/Table1[[#This Row],[BW_GA]])-1)/(Backend!$B$4/100*Table1[[#This Row],[BW40_3705]]),"")</f>
        <v/>
      </c>
      <c r="H5158" s="7" t="str">
        <f>IF(Table1[[#This Row],[Is Data Valid]]=TRUE,((Table1[[#This Row],[Birthweight (grams)]]*0.9/Table1[[#This Row],[BW_GA]])-1)/(Backend!$B$4/100*Table1[[#This Row],[BW40_3705]]),"")</f>
        <v/>
      </c>
      <c r="I5158" s="7" t="str">
        <f>IF(Table1[[#This Row],[Is Data Valid]]=TRUE,((Table1[[#This Row],[Birthweight (grams)]]*1.1/Table1[[#This Row],[BW_GA]])-1)/(Backend!$B$4/100*Table1[[#This Row],[BW40_3705]]),"")</f>
        <v/>
      </c>
      <c r="J5158" s="7" t="str">
        <f>IF(Table1[[#This Row],[Is Data Valid]]=TRUE,_xlfn.NORM.S.DIST(Table1[[#This Row],[Birthweight Z-Score]],TRUE)*100,"")</f>
        <v/>
      </c>
      <c r="K5158" s="7" t="str">
        <f>IF(Table1[[#This Row],[Is Data Valid]]=TRUE,_xlfn.NORM.S.DIST(Table1[[#This Row],[Birthweight Z-Score (BW-10%)]],TRUE)*100,"")</f>
        <v/>
      </c>
      <c r="L5158" s="7" t="str">
        <f>IF(Table1[[#This Row],[Is Data Valid]]=TRUE,_xlfn.NORM.S.DIST(Table1[[#This Row],[Birthweight Z-Score (BW+10%)]],TRUE)*100,"")</f>
        <v/>
      </c>
    </row>
    <row r="5159" spans="1:12" x14ac:dyDescent="0.35">
      <c r="A5159" s="3"/>
      <c r="B5159" s="2"/>
      <c r="C5159" s="2"/>
      <c r="D5159" s="2" t="b">
        <f>IF(AND(NOT(ISBLANK(Table1[[#This Row],[Fetal Sex (Male, Female or Unknown)]])),ISNUMBER(Table1[[#This Row],[Birthweight (grams)]]),ISNUMBER(Table1[[#This Row],[Gestation (days)]])),TRUE,FALSE)</f>
        <v>0</v>
      </c>
      <c r="E5159" s="2" t="str">
        <f>IF(Table1[[#This Row],[Is Data Valid]]=TRUE,IF(Table1[[#This Row],[Fetal Sex (Male, Female or Unknown)]]="Male",Backend!$C$6,IF(Table1[[#This Row],[Fetal Sex (Male, Female or Unknown)]]="Female",Backend!$C$7,IF(Table1[[#This Row],[Fetal Sex (Male, Female or Unknown)]]="Unknown",Backend!$C$8,"Error"))),"")</f>
        <v/>
      </c>
      <c r="F5159" s="8" t="str">
        <f>IF(Table1[[#This Row],[Is Data Valid]]=TRUE,EXP(0.578+0.332*((Table1[[#This Row],[Gestation (days)]]+0.5)/7)-0.00354*((Table1[[#This Row],[Gestation (days)]]+0.5)/7)^2)*Table1[[#This Row],[BW40_3705]],"")</f>
        <v/>
      </c>
      <c r="G5159" s="2" t="str">
        <f>IF(Table1[[#This Row],[Is Data Valid]]=TRUE,((Table1[[#This Row],[Birthweight (grams)]]/Table1[[#This Row],[BW_GA]])-1)/(Backend!$B$4/100*Table1[[#This Row],[BW40_3705]]),"")</f>
        <v/>
      </c>
      <c r="H5159" s="7" t="str">
        <f>IF(Table1[[#This Row],[Is Data Valid]]=TRUE,((Table1[[#This Row],[Birthweight (grams)]]*0.9/Table1[[#This Row],[BW_GA]])-1)/(Backend!$B$4/100*Table1[[#This Row],[BW40_3705]]),"")</f>
        <v/>
      </c>
      <c r="I5159" s="7" t="str">
        <f>IF(Table1[[#This Row],[Is Data Valid]]=TRUE,((Table1[[#This Row],[Birthweight (grams)]]*1.1/Table1[[#This Row],[BW_GA]])-1)/(Backend!$B$4/100*Table1[[#This Row],[BW40_3705]]),"")</f>
        <v/>
      </c>
      <c r="J5159" s="7" t="str">
        <f>IF(Table1[[#This Row],[Is Data Valid]]=TRUE,_xlfn.NORM.S.DIST(Table1[[#This Row],[Birthweight Z-Score]],TRUE)*100,"")</f>
        <v/>
      </c>
      <c r="K5159" s="7" t="str">
        <f>IF(Table1[[#This Row],[Is Data Valid]]=TRUE,_xlfn.NORM.S.DIST(Table1[[#This Row],[Birthweight Z-Score (BW-10%)]],TRUE)*100,"")</f>
        <v/>
      </c>
      <c r="L5159" s="7" t="str">
        <f>IF(Table1[[#This Row],[Is Data Valid]]=TRUE,_xlfn.NORM.S.DIST(Table1[[#This Row],[Birthweight Z-Score (BW+10%)]],TRUE)*100,"")</f>
        <v/>
      </c>
    </row>
    <row r="5160" spans="1:12" x14ac:dyDescent="0.35">
      <c r="A5160" s="3"/>
      <c r="B5160" s="2"/>
      <c r="C5160" s="2"/>
      <c r="D5160" s="2" t="b">
        <f>IF(AND(NOT(ISBLANK(Table1[[#This Row],[Fetal Sex (Male, Female or Unknown)]])),ISNUMBER(Table1[[#This Row],[Birthweight (grams)]]),ISNUMBER(Table1[[#This Row],[Gestation (days)]])),TRUE,FALSE)</f>
        <v>0</v>
      </c>
      <c r="E5160" s="2" t="str">
        <f>IF(Table1[[#This Row],[Is Data Valid]]=TRUE,IF(Table1[[#This Row],[Fetal Sex (Male, Female or Unknown)]]="Male",Backend!$C$6,IF(Table1[[#This Row],[Fetal Sex (Male, Female or Unknown)]]="Female",Backend!$C$7,IF(Table1[[#This Row],[Fetal Sex (Male, Female or Unknown)]]="Unknown",Backend!$C$8,"Error"))),"")</f>
        <v/>
      </c>
      <c r="F5160" s="8" t="str">
        <f>IF(Table1[[#This Row],[Is Data Valid]]=TRUE,EXP(0.578+0.332*((Table1[[#This Row],[Gestation (days)]]+0.5)/7)-0.00354*((Table1[[#This Row],[Gestation (days)]]+0.5)/7)^2)*Table1[[#This Row],[BW40_3705]],"")</f>
        <v/>
      </c>
      <c r="G5160" s="2" t="str">
        <f>IF(Table1[[#This Row],[Is Data Valid]]=TRUE,((Table1[[#This Row],[Birthweight (grams)]]/Table1[[#This Row],[BW_GA]])-1)/(Backend!$B$4/100*Table1[[#This Row],[BW40_3705]]),"")</f>
        <v/>
      </c>
      <c r="H5160" s="7" t="str">
        <f>IF(Table1[[#This Row],[Is Data Valid]]=TRUE,((Table1[[#This Row],[Birthweight (grams)]]*0.9/Table1[[#This Row],[BW_GA]])-1)/(Backend!$B$4/100*Table1[[#This Row],[BW40_3705]]),"")</f>
        <v/>
      </c>
      <c r="I5160" s="7" t="str">
        <f>IF(Table1[[#This Row],[Is Data Valid]]=TRUE,((Table1[[#This Row],[Birthweight (grams)]]*1.1/Table1[[#This Row],[BW_GA]])-1)/(Backend!$B$4/100*Table1[[#This Row],[BW40_3705]]),"")</f>
        <v/>
      </c>
      <c r="J5160" s="7" t="str">
        <f>IF(Table1[[#This Row],[Is Data Valid]]=TRUE,_xlfn.NORM.S.DIST(Table1[[#This Row],[Birthweight Z-Score]],TRUE)*100,"")</f>
        <v/>
      </c>
      <c r="K5160" s="7" t="str">
        <f>IF(Table1[[#This Row],[Is Data Valid]]=TRUE,_xlfn.NORM.S.DIST(Table1[[#This Row],[Birthweight Z-Score (BW-10%)]],TRUE)*100,"")</f>
        <v/>
      </c>
      <c r="L5160" s="7" t="str">
        <f>IF(Table1[[#This Row],[Is Data Valid]]=TRUE,_xlfn.NORM.S.DIST(Table1[[#This Row],[Birthweight Z-Score (BW+10%)]],TRUE)*100,"")</f>
        <v/>
      </c>
    </row>
    <row r="5161" spans="1:12" x14ac:dyDescent="0.35">
      <c r="A5161" s="3"/>
      <c r="B5161" s="2"/>
      <c r="C5161" s="2"/>
      <c r="D5161" s="2" t="b">
        <f>IF(AND(NOT(ISBLANK(Table1[[#This Row],[Fetal Sex (Male, Female or Unknown)]])),ISNUMBER(Table1[[#This Row],[Birthweight (grams)]]),ISNUMBER(Table1[[#This Row],[Gestation (days)]])),TRUE,FALSE)</f>
        <v>0</v>
      </c>
      <c r="E5161" s="2" t="str">
        <f>IF(Table1[[#This Row],[Is Data Valid]]=TRUE,IF(Table1[[#This Row],[Fetal Sex (Male, Female or Unknown)]]="Male",Backend!$C$6,IF(Table1[[#This Row],[Fetal Sex (Male, Female or Unknown)]]="Female",Backend!$C$7,IF(Table1[[#This Row],[Fetal Sex (Male, Female or Unknown)]]="Unknown",Backend!$C$8,"Error"))),"")</f>
        <v/>
      </c>
      <c r="F5161" s="8" t="str">
        <f>IF(Table1[[#This Row],[Is Data Valid]]=TRUE,EXP(0.578+0.332*((Table1[[#This Row],[Gestation (days)]]+0.5)/7)-0.00354*((Table1[[#This Row],[Gestation (days)]]+0.5)/7)^2)*Table1[[#This Row],[BW40_3705]],"")</f>
        <v/>
      </c>
      <c r="G5161" s="2" t="str">
        <f>IF(Table1[[#This Row],[Is Data Valid]]=TRUE,((Table1[[#This Row],[Birthweight (grams)]]/Table1[[#This Row],[BW_GA]])-1)/(Backend!$B$4/100*Table1[[#This Row],[BW40_3705]]),"")</f>
        <v/>
      </c>
      <c r="H5161" s="7" t="str">
        <f>IF(Table1[[#This Row],[Is Data Valid]]=TRUE,((Table1[[#This Row],[Birthweight (grams)]]*0.9/Table1[[#This Row],[BW_GA]])-1)/(Backend!$B$4/100*Table1[[#This Row],[BW40_3705]]),"")</f>
        <v/>
      </c>
      <c r="I5161" s="7" t="str">
        <f>IF(Table1[[#This Row],[Is Data Valid]]=TRUE,((Table1[[#This Row],[Birthweight (grams)]]*1.1/Table1[[#This Row],[BW_GA]])-1)/(Backend!$B$4/100*Table1[[#This Row],[BW40_3705]]),"")</f>
        <v/>
      </c>
      <c r="J5161" s="7" t="str">
        <f>IF(Table1[[#This Row],[Is Data Valid]]=TRUE,_xlfn.NORM.S.DIST(Table1[[#This Row],[Birthweight Z-Score]],TRUE)*100,"")</f>
        <v/>
      </c>
      <c r="K5161" s="7" t="str">
        <f>IF(Table1[[#This Row],[Is Data Valid]]=TRUE,_xlfn.NORM.S.DIST(Table1[[#This Row],[Birthweight Z-Score (BW-10%)]],TRUE)*100,"")</f>
        <v/>
      </c>
      <c r="L5161" s="7" t="str">
        <f>IF(Table1[[#This Row],[Is Data Valid]]=TRUE,_xlfn.NORM.S.DIST(Table1[[#This Row],[Birthweight Z-Score (BW+10%)]],TRUE)*100,"")</f>
        <v/>
      </c>
    </row>
    <row r="5162" spans="1:12" x14ac:dyDescent="0.35">
      <c r="A5162" s="3"/>
      <c r="B5162" s="2"/>
      <c r="C5162" s="2"/>
      <c r="D5162" s="2" t="b">
        <f>IF(AND(NOT(ISBLANK(Table1[[#This Row],[Fetal Sex (Male, Female or Unknown)]])),ISNUMBER(Table1[[#This Row],[Birthweight (grams)]]),ISNUMBER(Table1[[#This Row],[Gestation (days)]])),TRUE,FALSE)</f>
        <v>0</v>
      </c>
      <c r="E5162" s="2" t="str">
        <f>IF(Table1[[#This Row],[Is Data Valid]]=TRUE,IF(Table1[[#This Row],[Fetal Sex (Male, Female or Unknown)]]="Male",Backend!$C$6,IF(Table1[[#This Row],[Fetal Sex (Male, Female or Unknown)]]="Female",Backend!$C$7,IF(Table1[[#This Row],[Fetal Sex (Male, Female or Unknown)]]="Unknown",Backend!$C$8,"Error"))),"")</f>
        <v/>
      </c>
      <c r="F5162" s="8" t="str">
        <f>IF(Table1[[#This Row],[Is Data Valid]]=TRUE,EXP(0.578+0.332*((Table1[[#This Row],[Gestation (days)]]+0.5)/7)-0.00354*((Table1[[#This Row],[Gestation (days)]]+0.5)/7)^2)*Table1[[#This Row],[BW40_3705]],"")</f>
        <v/>
      </c>
      <c r="G5162" s="2" t="str">
        <f>IF(Table1[[#This Row],[Is Data Valid]]=TRUE,((Table1[[#This Row],[Birthweight (grams)]]/Table1[[#This Row],[BW_GA]])-1)/(Backend!$B$4/100*Table1[[#This Row],[BW40_3705]]),"")</f>
        <v/>
      </c>
      <c r="H5162" s="7" t="str">
        <f>IF(Table1[[#This Row],[Is Data Valid]]=TRUE,((Table1[[#This Row],[Birthweight (grams)]]*0.9/Table1[[#This Row],[BW_GA]])-1)/(Backend!$B$4/100*Table1[[#This Row],[BW40_3705]]),"")</f>
        <v/>
      </c>
      <c r="I5162" s="7" t="str">
        <f>IF(Table1[[#This Row],[Is Data Valid]]=TRUE,((Table1[[#This Row],[Birthweight (grams)]]*1.1/Table1[[#This Row],[BW_GA]])-1)/(Backend!$B$4/100*Table1[[#This Row],[BW40_3705]]),"")</f>
        <v/>
      </c>
      <c r="J5162" s="7" t="str">
        <f>IF(Table1[[#This Row],[Is Data Valid]]=TRUE,_xlfn.NORM.S.DIST(Table1[[#This Row],[Birthweight Z-Score]],TRUE)*100,"")</f>
        <v/>
      </c>
      <c r="K5162" s="7" t="str">
        <f>IF(Table1[[#This Row],[Is Data Valid]]=TRUE,_xlfn.NORM.S.DIST(Table1[[#This Row],[Birthweight Z-Score (BW-10%)]],TRUE)*100,"")</f>
        <v/>
      </c>
      <c r="L5162" s="7" t="str">
        <f>IF(Table1[[#This Row],[Is Data Valid]]=TRUE,_xlfn.NORM.S.DIST(Table1[[#This Row],[Birthweight Z-Score (BW+10%)]],TRUE)*100,"")</f>
        <v/>
      </c>
    </row>
    <row r="5163" spans="1:12" x14ac:dyDescent="0.35">
      <c r="A5163" s="3"/>
      <c r="B5163" s="2"/>
      <c r="C5163" s="2"/>
      <c r="D5163" s="2" t="b">
        <f>IF(AND(NOT(ISBLANK(Table1[[#This Row],[Fetal Sex (Male, Female or Unknown)]])),ISNUMBER(Table1[[#This Row],[Birthweight (grams)]]),ISNUMBER(Table1[[#This Row],[Gestation (days)]])),TRUE,FALSE)</f>
        <v>0</v>
      </c>
      <c r="E5163" s="2" t="str">
        <f>IF(Table1[[#This Row],[Is Data Valid]]=TRUE,IF(Table1[[#This Row],[Fetal Sex (Male, Female or Unknown)]]="Male",Backend!$C$6,IF(Table1[[#This Row],[Fetal Sex (Male, Female or Unknown)]]="Female",Backend!$C$7,IF(Table1[[#This Row],[Fetal Sex (Male, Female or Unknown)]]="Unknown",Backend!$C$8,"Error"))),"")</f>
        <v/>
      </c>
      <c r="F5163" s="8" t="str">
        <f>IF(Table1[[#This Row],[Is Data Valid]]=TRUE,EXP(0.578+0.332*((Table1[[#This Row],[Gestation (days)]]+0.5)/7)-0.00354*((Table1[[#This Row],[Gestation (days)]]+0.5)/7)^2)*Table1[[#This Row],[BW40_3705]],"")</f>
        <v/>
      </c>
      <c r="G5163" s="2" t="str">
        <f>IF(Table1[[#This Row],[Is Data Valid]]=TRUE,((Table1[[#This Row],[Birthweight (grams)]]/Table1[[#This Row],[BW_GA]])-1)/(Backend!$B$4/100*Table1[[#This Row],[BW40_3705]]),"")</f>
        <v/>
      </c>
      <c r="H5163" s="7" t="str">
        <f>IF(Table1[[#This Row],[Is Data Valid]]=TRUE,((Table1[[#This Row],[Birthweight (grams)]]*0.9/Table1[[#This Row],[BW_GA]])-1)/(Backend!$B$4/100*Table1[[#This Row],[BW40_3705]]),"")</f>
        <v/>
      </c>
      <c r="I5163" s="7" t="str">
        <f>IF(Table1[[#This Row],[Is Data Valid]]=TRUE,((Table1[[#This Row],[Birthweight (grams)]]*1.1/Table1[[#This Row],[BW_GA]])-1)/(Backend!$B$4/100*Table1[[#This Row],[BW40_3705]]),"")</f>
        <v/>
      </c>
      <c r="J5163" s="7" t="str">
        <f>IF(Table1[[#This Row],[Is Data Valid]]=TRUE,_xlfn.NORM.S.DIST(Table1[[#This Row],[Birthweight Z-Score]],TRUE)*100,"")</f>
        <v/>
      </c>
      <c r="K5163" s="7" t="str">
        <f>IF(Table1[[#This Row],[Is Data Valid]]=TRUE,_xlfn.NORM.S.DIST(Table1[[#This Row],[Birthweight Z-Score (BW-10%)]],TRUE)*100,"")</f>
        <v/>
      </c>
      <c r="L5163" s="7" t="str">
        <f>IF(Table1[[#This Row],[Is Data Valid]]=TRUE,_xlfn.NORM.S.DIST(Table1[[#This Row],[Birthweight Z-Score (BW+10%)]],TRUE)*100,"")</f>
        <v/>
      </c>
    </row>
    <row r="5164" spans="1:12" x14ac:dyDescent="0.35">
      <c r="A5164" s="3"/>
      <c r="B5164" s="2"/>
      <c r="C5164" s="2"/>
      <c r="D5164" s="2" t="b">
        <f>IF(AND(NOT(ISBLANK(Table1[[#This Row],[Fetal Sex (Male, Female or Unknown)]])),ISNUMBER(Table1[[#This Row],[Birthweight (grams)]]),ISNUMBER(Table1[[#This Row],[Gestation (days)]])),TRUE,FALSE)</f>
        <v>0</v>
      </c>
      <c r="E5164" s="2" t="str">
        <f>IF(Table1[[#This Row],[Is Data Valid]]=TRUE,IF(Table1[[#This Row],[Fetal Sex (Male, Female or Unknown)]]="Male",Backend!$C$6,IF(Table1[[#This Row],[Fetal Sex (Male, Female or Unknown)]]="Female",Backend!$C$7,IF(Table1[[#This Row],[Fetal Sex (Male, Female or Unknown)]]="Unknown",Backend!$C$8,"Error"))),"")</f>
        <v/>
      </c>
      <c r="F5164" s="8" t="str">
        <f>IF(Table1[[#This Row],[Is Data Valid]]=TRUE,EXP(0.578+0.332*((Table1[[#This Row],[Gestation (days)]]+0.5)/7)-0.00354*((Table1[[#This Row],[Gestation (days)]]+0.5)/7)^2)*Table1[[#This Row],[BW40_3705]],"")</f>
        <v/>
      </c>
      <c r="G5164" s="2" t="str">
        <f>IF(Table1[[#This Row],[Is Data Valid]]=TRUE,((Table1[[#This Row],[Birthweight (grams)]]/Table1[[#This Row],[BW_GA]])-1)/(Backend!$B$4/100*Table1[[#This Row],[BW40_3705]]),"")</f>
        <v/>
      </c>
      <c r="H5164" s="7" t="str">
        <f>IF(Table1[[#This Row],[Is Data Valid]]=TRUE,((Table1[[#This Row],[Birthweight (grams)]]*0.9/Table1[[#This Row],[BW_GA]])-1)/(Backend!$B$4/100*Table1[[#This Row],[BW40_3705]]),"")</f>
        <v/>
      </c>
      <c r="I5164" s="7" t="str">
        <f>IF(Table1[[#This Row],[Is Data Valid]]=TRUE,((Table1[[#This Row],[Birthweight (grams)]]*1.1/Table1[[#This Row],[BW_GA]])-1)/(Backend!$B$4/100*Table1[[#This Row],[BW40_3705]]),"")</f>
        <v/>
      </c>
      <c r="J5164" s="7" t="str">
        <f>IF(Table1[[#This Row],[Is Data Valid]]=TRUE,_xlfn.NORM.S.DIST(Table1[[#This Row],[Birthweight Z-Score]],TRUE)*100,"")</f>
        <v/>
      </c>
      <c r="K5164" s="7" t="str">
        <f>IF(Table1[[#This Row],[Is Data Valid]]=TRUE,_xlfn.NORM.S.DIST(Table1[[#This Row],[Birthweight Z-Score (BW-10%)]],TRUE)*100,"")</f>
        <v/>
      </c>
      <c r="L5164" s="7" t="str">
        <f>IF(Table1[[#This Row],[Is Data Valid]]=TRUE,_xlfn.NORM.S.DIST(Table1[[#This Row],[Birthweight Z-Score (BW+10%)]],TRUE)*100,"")</f>
        <v/>
      </c>
    </row>
    <row r="5165" spans="1:12" x14ac:dyDescent="0.35">
      <c r="A5165" s="3"/>
      <c r="B5165" s="2"/>
      <c r="C5165" s="2"/>
      <c r="D5165" s="2" t="b">
        <f>IF(AND(NOT(ISBLANK(Table1[[#This Row],[Fetal Sex (Male, Female or Unknown)]])),ISNUMBER(Table1[[#This Row],[Birthweight (grams)]]),ISNUMBER(Table1[[#This Row],[Gestation (days)]])),TRUE,FALSE)</f>
        <v>0</v>
      </c>
      <c r="E5165" s="2" t="str">
        <f>IF(Table1[[#This Row],[Is Data Valid]]=TRUE,IF(Table1[[#This Row],[Fetal Sex (Male, Female or Unknown)]]="Male",Backend!$C$6,IF(Table1[[#This Row],[Fetal Sex (Male, Female or Unknown)]]="Female",Backend!$C$7,IF(Table1[[#This Row],[Fetal Sex (Male, Female or Unknown)]]="Unknown",Backend!$C$8,"Error"))),"")</f>
        <v/>
      </c>
      <c r="F5165" s="8" t="str">
        <f>IF(Table1[[#This Row],[Is Data Valid]]=TRUE,EXP(0.578+0.332*((Table1[[#This Row],[Gestation (days)]]+0.5)/7)-0.00354*((Table1[[#This Row],[Gestation (days)]]+0.5)/7)^2)*Table1[[#This Row],[BW40_3705]],"")</f>
        <v/>
      </c>
      <c r="G5165" s="2" t="str">
        <f>IF(Table1[[#This Row],[Is Data Valid]]=TRUE,((Table1[[#This Row],[Birthweight (grams)]]/Table1[[#This Row],[BW_GA]])-1)/(Backend!$B$4/100*Table1[[#This Row],[BW40_3705]]),"")</f>
        <v/>
      </c>
      <c r="H5165" s="7" t="str">
        <f>IF(Table1[[#This Row],[Is Data Valid]]=TRUE,((Table1[[#This Row],[Birthweight (grams)]]*0.9/Table1[[#This Row],[BW_GA]])-1)/(Backend!$B$4/100*Table1[[#This Row],[BW40_3705]]),"")</f>
        <v/>
      </c>
      <c r="I5165" s="7" t="str">
        <f>IF(Table1[[#This Row],[Is Data Valid]]=TRUE,((Table1[[#This Row],[Birthweight (grams)]]*1.1/Table1[[#This Row],[BW_GA]])-1)/(Backend!$B$4/100*Table1[[#This Row],[BW40_3705]]),"")</f>
        <v/>
      </c>
      <c r="J5165" s="7" t="str">
        <f>IF(Table1[[#This Row],[Is Data Valid]]=TRUE,_xlfn.NORM.S.DIST(Table1[[#This Row],[Birthweight Z-Score]],TRUE)*100,"")</f>
        <v/>
      </c>
      <c r="K5165" s="7" t="str">
        <f>IF(Table1[[#This Row],[Is Data Valid]]=TRUE,_xlfn.NORM.S.DIST(Table1[[#This Row],[Birthweight Z-Score (BW-10%)]],TRUE)*100,"")</f>
        <v/>
      </c>
      <c r="L5165" s="7" t="str">
        <f>IF(Table1[[#This Row],[Is Data Valid]]=TRUE,_xlfn.NORM.S.DIST(Table1[[#This Row],[Birthweight Z-Score (BW+10%)]],TRUE)*100,"")</f>
        <v/>
      </c>
    </row>
    <row r="5166" spans="1:12" x14ac:dyDescent="0.35">
      <c r="A5166" s="3"/>
      <c r="B5166" s="2"/>
      <c r="C5166" s="2"/>
      <c r="D5166" s="2" t="b">
        <f>IF(AND(NOT(ISBLANK(Table1[[#This Row],[Fetal Sex (Male, Female or Unknown)]])),ISNUMBER(Table1[[#This Row],[Birthweight (grams)]]),ISNUMBER(Table1[[#This Row],[Gestation (days)]])),TRUE,FALSE)</f>
        <v>0</v>
      </c>
      <c r="E5166" s="2" t="str">
        <f>IF(Table1[[#This Row],[Is Data Valid]]=TRUE,IF(Table1[[#This Row],[Fetal Sex (Male, Female or Unknown)]]="Male",Backend!$C$6,IF(Table1[[#This Row],[Fetal Sex (Male, Female or Unknown)]]="Female",Backend!$C$7,IF(Table1[[#This Row],[Fetal Sex (Male, Female or Unknown)]]="Unknown",Backend!$C$8,"Error"))),"")</f>
        <v/>
      </c>
      <c r="F5166" s="8" t="str">
        <f>IF(Table1[[#This Row],[Is Data Valid]]=TRUE,EXP(0.578+0.332*((Table1[[#This Row],[Gestation (days)]]+0.5)/7)-0.00354*((Table1[[#This Row],[Gestation (days)]]+0.5)/7)^2)*Table1[[#This Row],[BW40_3705]],"")</f>
        <v/>
      </c>
      <c r="G5166" s="2" t="str">
        <f>IF(Table1[[#This Row],[Is Data Valid]]=TRUE,((Table1[[#This Row],[Birthweight (grams)]]/Table1[[#This Row],[BW_GA]])-1)/(Backend!$B$4/100*Table1[[#This Row],[BW40_3705]]),"")</f>
        <v/>
      </c>
      <c r="H5166" s="7" t="str">
        <f>IF(Table1[[#This Row],[Is Data Valid]]=TRUE,((Table1[[#This Row],[Birthweight (grams)]]*0.9/Table1[[#This Row],[BW_GA]])-1)/(Backend!$B$4/100*Table1[[#This Row],[BW40_3705]]),"")</f>
        <v/>
      </c>
      <c r="I5166" s="7" t="str">
        <f>IF(Table1[[#This Row],[Is Data Valid]]=TRUE,((Table1[[#This Row],[Birthweight (grams)]]*1.1/Table1[[#This Row],[BW_GA]])-1)/(Backend!$B$4/100*Table1[[#This Row],[BW40_3705]]),"")</f>
        <v/>
      </c>
      <c r="J5166" s="7" t="str">
        <f>IF(Table1[[#This Row],[Is Data Valid]]=TRUE,_xlfn.NORM.S.DIST(Table1[[#This Row],[Birthweight Z-Score]],TRUE)*100,"")</f>
        <v/>
      </c>
      <c r="K5166" s="7" t="str">
        <f>IF(Table1[[#This Row],[Is Data Valid]]=TRUE,_xlfn.NORM.S.DIST(Table1[[#This Row],[Birthweight Z-Score (BW-10%)]],TRUE)*100,"")</f>
        <v/>
      </c>
      <c r="L5166" s="7" t="str">
        <f>IF(Table1[[#This Row],[Is Data Valid]]=TRUE,_xlfn.NORM.S.DIST(Table1[[#This Row],[Birthweight Z-Score (BW+10%)]],TRUE)*100,"")</f>
        <v/>
      </c>
    </row>
    <row r="5167" spans="1:12" x14ac:dyDescent="0.35">
      <c r="A5167" s="3"/>
      <c r="B5167" s="2"/>
      <c r="C5167" s="2"/>
      <c r="D5167" s="2" t="b">
        <f>IF(AND(NOT(ISBLANK(Table1[[#This Row],[Fetal Sex (Male, Female or Unknown)]])),ISNUMBER(Table1[[#This Row],[Birthweight (grams)]]),ISNUMBER(Table1[[#This Row],[Gestation (days)]])),TRUE,FALSE)</f>
        <v>0</v>
      </c>
      <c r="E5167" s="2" t="str">
        <f>IF(Table1[[#This Row],[Is Data Valid]]=TRUE,IF(Table1[[#This Row],[Fetal Sex (Male, Female or Unknown)]]="Male",Backend!$C$6,IF(Table1[[#This Row],[Fetal Sex (Male, Female or Unknown)]]="Female",Backend!$C$7,IF(Table1[[#This Row],[Fetal Sex (Male, Female or Unknown)]]="Unknown",Backend!$C$8,"Error"))),"")</f>
        <v/>
      </c>
      <c r="F5167" s="8" t="str">
        <f>IF(Table1[[#This Row],[Is Data Valid]]=TRUE,EXP(0.578+0.332*((Table1[[#This Row],[Gestation (days)]]+0.5)/7)-0.00354*((Table1[[#This Row],[Gestation (days)]]+0.5)/7)^2)*Table1[[#This Row],[BW40_3705]],"")</f>
        <v/>
      </c>
      <c r="G5167" s="2" t="str">
        <f>IF(Table1[[#This Row],[Is Data Valid]]=TRUE,((Table1[[#This Row],[Birthweight (grams)]]/Table1[[#This Row],[BW_GA]])-1)/(Backend!$B$4/100*Table1[[#This Row],[BW40_3705]]),"")</f>
        <v/>
      </c>
      <c r="H5167" s="7" t="str">
        <f>IF(Table1[[#This Row],[Is Data Valid]]=TRUE,((Table1[[#This Row],[Birthweight (grams)]]*0.9/Table1[[#This Row],[BW_GA]])-1)/(Backend!$B$4/100*Table1[[#This Row],[BW40_3705]]),"")</f>
        <v/>
      </c>
      <c r="I5167" s="7" t="str">
        <f>IF(Table1[[#This Row],[Is Data Valid]]=TRUE,((Table1[[#This Row],[Birthweight (grams)]]*1.1/Table1[[#This Row],[BW_GA]])-1)/(Backend!$B$4/100*Table1[[#This Row],[BW40_3705]]),"")</f>
        <v/>
      </c>
      <c r="J5167" s="7" t="str">
        <f>IF(Table1[[#This Row],[Is Data Valid]]=TRUE,_xlfn.NORM.S.DIST(Table1[[#This Row],[Birthweight Z-Score]],TRUE)*100,"")</f>
        <v/>
      </c>
      <c r="K5167" s="7" t="str">
        <f>IF(Table1[[#This Row],[Is Data Valid]]=TRUE,_xlfn.NORM.S.DIST(Table1[[#This Row],[Birthweight Z-Score (BW-10%)]],TRUE)*100,"")</f>
        <v/>
      </c>
      <c r="L5167" s="7" t="str">
        <f>IF(Table1[[#This Row],[Is Data Valid]]=TRUE,_xlfn.NORM.S.DIST(Table1[[#This Row],[Birthweight Z-Score (BW+10%)]],TRUE)*100,"")</f>
        <v/>
      </c>
    </row>
    <row r="5168" spans="1:12" x14ac:dyDescent="0.35">
      <c r="A5168" s="3"/>
      <c r="B5168" s="2"/>
      <c r="C5168" s="2"/>
      <c r="D5168" s="2" t="b">
        <f>IF(AND(NOT(ISBLANK(Table1[[#This Row],[Fetal Sex (Male, Female or Unknown)]])),ISNUMBER(Table1[[#This Row],[Birthweight (grams)]]),ISNUMBER(Table1[[#This Row],[Gestation (days)]])),TRUE,FALSE)</f>
        <v>0</v>
      </c>
      <c r="E5168" s="2" t="str">
        <f>IF(Table1[[#This Row],[Is Data Valid]]=TRUE,IF(Table1[[#This Row],[Fetal Sex (Male, Female or Unknown)]]="Male",Backend!$C$6,IF(Table1[[#This Row],[Fetal Sex (Male, Female or Unknown)]]="Female",Backend!$C$7,IF(Table1[[#This Row],[Fetal Sex (Male, Female or Unknown)]]="Unknown",Backend!$C$8,"Error"))),"")</f>
        <v/>
      </c>
      <c r="F5168" s="8" t="str">
        <f>IF(Table1[[#This Row],[Is Data Valid]]=TRUE,EXP(0.578+0.332*((Table1[[#This Row],[Gestation (days)]]+0.5)/7)-0.00354*((Table1[[#This Row],[Gestation (days)]]+0.5)/7)^2)*Table1[[#This Row],[BW40_3705]],"")</f>
        <v/>
      </c>
      <c r="G5168" s="2" t="str">
        <f>IF(Table1[[#This Row],[Is Data Valid]]=TRUE,((Table1[[#This Row],[Birthweight (grams)]]/Table1[[#This Row],[BW_GA]])-1)/(Backend!$B$4/100*Table1[[#This Row],[BW40_3705]]),"")</f>
        <v/>
      </c>
      <c r="H5168" s="7" t="str">
        <f>IF(Table1[[#This Row],[Is Data Valid]]=TRUE,((Table1[[#This Row],[Birthweight (grams)]]*0.9/Table1[[#This Row],[BW_GA]])-1)/(Backend!$B$4/100*Table1[[#This Row],[BW40_3705]]),"")</f>
        <v/>
      </c>
      <c r="I5168" s="7" t="str">
        <f>IF(Table1[[#This Row],[Is Data Valid]]=TRUE,((Table1[[#This Row],[Birthweight (grams)]]*1.1/Table1[[#This Row],[BW_GA]])-1)/(Backend!$B$4/100*Table1[[#This Row],[BW40_3705]]),"")</f>
        <v/>
      </c>
      <c r="J5168" s="7" t="str">
        <f>IF(Table1[[#This Row],[Is Data Valid]]=TRUE,_xlfn.NORM.S.DIST(Table1[[#This Row],[Birthweight Z-Score]],TRUE)*100,"")</f>
        <v/>
      </c>
      <c r="K5168" s="7" t="str">
        <f>IF(Table1[[#This Row],[Is Data Valid]]=TRUE,_xlfn.NORM.S.DIST(Table1[[#This Row],[Birthweight Z-Score (BW-10%)]],TRUE)*100,"")</f>
        <v/>
      </c>
      <c r="L5168" s="7" t="str">
        <f>IF(Table1[[#This Row],[Is Data Valid]]=TRUE,_xlfn.NORM.S.DIST(Table1[[#This Row],[Birthweight Z-Score (BW+10%)]],TRUE)*100,"")</f>
        <v/>
      </c>
    </row>
    <row r="5169" spans="1:12" x14ac:dyDescent="0.35">
      <c r="A5169" s="3"/>
      <c r="B5169" s="2"/>
      <c r="C5169" s="2"/>
      <c r="D5169" s="2" t="b">
        <f>IF(AND(NOT(ISBLANK(Table1[[#This Row],[Fetal Sex (Male, Female or Unknown)]])),ISNUMBER(Table1[[#This Row],[Birthweight (grams)]]),ISNUMBER(Table1[[#This Row],[Gestation (days)]])),TRUE,FALSE)</f>
        <v>0</v>
      </c>
      <c r="E5169" s="2" t="str">
        <f>IF(Table1[[#This Row],[Is Data Valid]]=TRUE,IF(Table1[[#This Row],[Fetal Sex (Male, Female or Unknown)]]="Male",Backend!$C$6,IF(Table1[[#This Row],[Fetal Sex (Male, Female or Unknown)]]="Female",Backend!$C$7,IF(Table1[[#This Row],[Fetal Sex (Male, Female or Unknown)]]="Unknown",Backend!$C$8,"Error"))),"")</f>
        <v/>
      </c>
      <c r="F5169" s="8" t="str">
        <f>IF(Table1[[#This Row],[Is Data Valid]]=TRUE,EXP(0.578+0.332*((Table1[[#This Row],[Gestation (days)]]+0.5)/7)-0.00354*((Table1[[#This Row],[Gestation (days)]]+0.5)/7)^2)*Table1[[#This Row],[BW40_3705]],"")</f>
        <v/>
      </c>
      <c r="G5169" s="2" t="str">
        <f>IF(Table1[[#This Row],[Is Data Valid]]=TRUE,((Table1[[#This Row],[Birthweight (grams)]]/Table1[[#This Row],[BW_GA]])-1)/(Backend!$B$4/100*Table1[[#This Row],[BW40_3705]]),"")</f>
        <v/>
      </c>
      <c r="H5169" s="7" t="str">
        <f>IF(Table1[[#This Row],[Is Data Valid]]=TRUE,((Table1[[#This Row],[Birthweight (grams)]]*0.9/Table1[[#This Row],[BW_GA]])-1)/(Backend!$B$4/100*Table1[[#This Row],[BW40_3705]]),"")</f>
        <v/>
      </c>
      <c r="I5169" s="7" t="str">
        <f>IF(Table1[[#This Row],[Is Data Valid]]=TRUE,((Table1[[#This Row],[Birthweight (grams)]]*1.1/Table1[[#This Row],[BW_GA]])-1)/(Backend!$B$4/100*Table1[[#This Row],[BW40_3705]]),"")</f>
        <v/>
      </c>
      <c r="J5169" s="7" t="str">
        <f>IF(Table1[[#This Row],[Is Data Valid]]=TRUE,_xlfn.NORM.S.DIST(Table1[[#This Row],[Birthweight Z-Score]],TRUE)*100,"")</f>
        <v/>
      </c>
      <c r="K5169" s="7" t="str">
        <f>IF(Table1[[#This Row],[Is Data Valid]]=TRUE,_xlfn.NORM.S.DIST(Table1[[#This Row],[Birthweight Z-Score (BW-10%)]],TRUE)*100,"")</f>
        <v/>
      </c>
      <c r="L5169" s="7" t="str">
        <f>IF(Table1[[#This Row],[Is Data Valid]]=TRUE,_xlfn.NORM.S.DIST(Table1[[#This Row],[Birthweight Z-Score (BW+10%)]],TRUE)*100,"")</f>
        <v/>
      </c>
    </row>
    <row r="5170" spans="1:12" x14ac:dyDescent="0.35">
      <c r="A5170" s="3"/>
      <c r="B5170" s="2"/>
      <c r="C5170" s="2"/>
      <c r="D5170" s="2" t="b">
        <f>IF(AND(NOT(ISBLANK(Table1[[#This Row],[Fetal Sex (Male, Female or Unknown)]])),ISNUMBER(Table1[[#This Row],[Birthweight (grams)]]),ISNUMBER(Table1[[#This Row],[Gestation (days)]])),TRUE,FALSE)</f>
        <v>0</v>
      </c>
      <c r="E5170" s="2" t="str">
        <f>IF(Table1[[#This Row],[Is Data Valid]]=TRUE,IF(Table1[[#This Row],[Fetal Sex (Male, Female or Unknown)]]="Male",Backend!$C$6,IF(Table1[[#This Row],[Fetal Sex (Male, Female or Unknown)]]="Female",Backend!$C$7,IF(Table1[[#This Row],[Fetal Sex (Male, Female or Unknown)]]="Unknown",Backend!$C$8,"Error"))),"")</f>
        <v/>
      </c>
      <c r="F5170" s="8" t="str">
        <f>IF(Table1[[#This Row],[Is Data Valid]]=TRUE,EXP(0.578+0.332*((Table1[[#This Row],[Gestation (days)]]+0.5)/7)-0.00354*((Table1[[#This Row],[Gestation (days)]]+0.5)/7)^2)*Table1[[#This Row],[BW40_3705]],"")</f>
        <v/>
      </c>
      <c r="G5170" s="2" t="str">
        <f>IF(Table1[[#This Row],[Is Data Valid]]=TRUE,((Table1[[#This Row],[Birthweight (grams)]]/Table1[[#This Row],[BW_GA]])-1)/(Backend!$B$4/100*Table1[[#This Row],[BW40_3705]]),"")</f>
        <v/>
      </c>
      <c r="H5170" s="7" t="str">
        <f>IF(Table1[[#This Row],[Is Data Valid]]=TRUE,((Table1[[#This Row],[Birthweight (grams)]]*0.9/Table1[[#This Row],[BW_GA]])-1)/(Backend!$B$4/100*Table1[[#This Row],[BW40_3705]]),"")</f>
        <v/>
      </c>
      <c r="I5170" s="7" t="str">
        <f>IF(Table1[[#This Row],[Is Data Valid]]=TRUE,((Table1[[#This Row],[Birthweight (grams)]]*1.1/Table1[[#This Row],[BW_GA]])-1)/(Backend!$B$4/100*Table1[[#This Row],[BW40_3705]]),"")</f>
        <v/>
      </c>
      <c r="J5170" s="7" t="str">
        <f>IF(Table1[[#This Row],[Is Data Valid]]=TRUE,_xlfn.NORM.S.DIST(Table1[[#This Row],[Birthweight Z-Score]],TRUE)*100,"")</f>
        <v/>
      </c>
      <c r="K5170" s="7" t="str">
        <f>IF(Table1[[#This Row],[Is Data Valid]]=TRUE,_xlfn.NORM.S.DIST(Table1[[#This Row],[Birthweight Z-Score (BW-10%)]],TRUE)*100,"")</f>
        <v/>
      </c>
      <c r="L5170" s="7" t="str">
        <f>IF(Table1[[#This Row],[Is Data Valid]]=TRUE,_xlfn.NORM.S.DIST(Table1[[#This Row],[Birthweight Z-Score (BW+10%)]],TRUE)*100,"")</f>
        <v/>
      </c>
    </row>
    <row r="5171" spans="1:12" x14ac:dyDescent="0.35">
      <c r="A5171" s="3"/>
      <c r="B5171" s="2"/>
      <c r="C5171" s="2"/>
      <c r="D5171" s="2" t="b">
        <f>IF(AND(NOT(ISBLANK(Table1[[#This Row],[Fetal Sex (Male, Female or Unknown)]])),ISNUMBER(Table1[[#This Row],[Birthweight (grams)]]),ISNUMBER(Table1[[#This Row],[Gestation (days)]])),TRUE,FALSE)</f>
        <v>0</v>
      </c>
      <c r="E5171" s="2" t="str">
        <f>IF(Table1[[#This Row],[Is Data Valid]]=TRUE,IF(Table1[[#This Row],[Fetal Sex (Male, Female or Unknown)]]="Male",Backend!$C$6,IF(Table1[[#This Row],[Fetal Sex (Male, Female or Unknown)]]="Female",Backend!$C$7,IF(Table1[[#This Row],[Fetal Sex (Male, Female or Unknown)]]="Unknown",Backend!$C$8,"Error"))),"")</f>
        <v/>
      </c>
      <c r="F5171" s="8" t="str">
        <f>IF(Table1[[#This Row],[Is Data Valid]]=TRUE,EXP(0.578+0.332*((Table1[[#This Row],[Gestation (days)]]+0.5)/7)-0.00354*((Table1[[#This Row],[Gestation (days)]]+0.5)/7)^2)*Table1[[#This Row],[BW40_3705]],"")</f>
        <v/>
      </c>
      <c r="G5171" s="2" t="str">
        <f>IF(Table1[[#This Row],[Is Data Valid]]=TRUE,((Table1[[#This Row],[Birthweight (grams)]]/Table1[[#This Row],[BW_GA]])-1)/(Backend!$B$4/100*Table1[[#This Row],[BW40_3705]]),"")</f>
        <v/>
      </c>
      <c r="H5171" s="7" t="str">
        <f>IF(Table1[[#This Row],[Is Data Valid]]=TRUE,((Table1[[#This Row],[Birthweight (grams)]]*0.9/Table1[[#This Row],[BW_GA]])-1)/(Backend!$B$4/100*Table1[[#This Row],[BW40_3705]]),"")</f>
        <v/>
      </c>
      <c r="I5171" s="7" t="str">
        <f>IF(Table1[[#This Row],[Is Data Valid]]=TRUE,((Table1[[#This Row],[Birthweight (grams)]]*1.1/Table1[[#This Row],[BW_GA]])-1)/(Backend!$B$4/100*Table1[[#This Row],[BW40_3705]]),"")</f>
        <v/>
      </c>
      <c r="J5171" s="7" t="str">
        <f>IF(Table1[[#This Row],[Is Data Valid]]=TRUE,_xlfn.NORM.S.DIST(Table1[[#This Row],[Birthweight Z-Score]],TRUE)*100,"")</f>
        <v/>
      </c>
      <c r="K5171" s="7" t="str">
        <f>IF(Table1[[#This Row],[Is Data Valid]]=TRUE,_xlfn.NORM.S.DIST(Table1[[#This Row],[Birthweight Z-Score (BW-10%)]],TRUE)*100,"")</f>
        <v/>
      </c>
      <c r="L5171" s="7" t="str">
        <f>IF(Table1[[#This Row],[Is Data Valid]]=TRUE,_xlfn.NORM.S.DIST(Table1[[#This Row],[Birthweight Z-Score (BW+10%)]],TRUE)*100,"")</f>
        <v/>
      </c>
    </row>
    <row r="5172" spans="1:12" x14ac:dyDescent="0.35">
      <c r="A5172" s="3"/>
      <c r="B5172" s="2"/>
      <c r="C5172" s="2"/>
      <c r="D5172" s="2" t="b">
        <f>IF(AND(NOT(ISBLANK(Table1[[#This Row],[Fetal Sex (Male, Female or Unknown)]])),ISNUMBER(Table1[[#This Row],[Birthweight (grams)]]),ISNUMBER(Table1[[#This Row],[Gestation (days)]])),TRUE,FALSE)</f>
        <v>0</v>
      </c>
      <c r="E5172" s="2" t="str">
        <f>IF(Table1[[#This Row],[Is Data Valid]]=TRUE,IF(Table1[[#This Row],[Fetal Sex (Male, Female or Unknown)]]="Male",Backend!$C$6,IF(Table1[[#This Row],[Fetal Sex (Male, Female or Unknown)]]="Female",Backend!$C$7,IF(Table1[[#This Row],[Fetal Sex (Male, Female or Unknown)]]="Unknown",Backend!$C$8,"Error"))),"")</f>
        <v/>
      </c>
      <c r="F5172" s="8" t="str">
        <f>IF(Table1[[#This Row],[Is Data Valid]]=TRUE,EXP(0.578+0.332*((Table1[[#This Row],[Gestation (days)]]+0.5)/7)-0.00354*((Table1[[#This Row],[Gestation (days)]]+0.5)/7)^2)*Table1[[#This Row],[BW40_3705]],"")</f>
        <v/>
      </c>
      <c r="G5172" s="2" t="str">
        <f>IF(Table1[[#This Row],[Is Data Valid]]=TRUE,((Table1[[#This Row],[Birthweight (grams)]]/Table1[[#This Row],[BW_GA]])-1)/(Backend!$B$4/100*Table1[[#This Row],[BW40_3705]]),"")</f>
        <v/>
      </c>
      <c r="H5172" s="7" t="str">
        <f>IF(Table1[[#This Row],[Is Data Valid]]=TRUE,((Table1[[#This Row],[Birthweight (grams)]]*0.9/Table1[[#This Row],[BW_GA]])-1)/(Backend!$B$4/100*Table1[[#This Row],[BW40_3705]]),"")</f>
        <v/>
      </c>
      <c r="I5172" s="7" t="str">
        <f>IF(Table1[[#This Row],[Is Data Valid]]=TRUE,((Table1[[#This Row],[Birthweight (grams)]]*1.1/Table1[[#This Row],[BW_GA]])-1)/(Backend!$B$4/100*Table1[[#This Row],[BW40_3705]]),"")</f>
        <v/>
      </c>
      <c r="J5172" s="7" t="str">
        <f>IF(Table1[[#This Row],[Is Data Valid]]=TRUE,_xlfn.NORM.S.DIST(Table1[[#This Row],[Birthweight Z-Score]],TRUE)*100,"")</f>
        <v/>
      </c>
      <c r="K5172" s="7" t="str">
        <f>IF(Table1[[#This Row],[Is Data Valid]]=TRUE,_xlfn.NORM.S.DIST(Table1[[#This Row],[Birthweight Z-Score (BW-10%)]],TRUE)*100,"")</f>
        <v/>
      </c>
      <c r="L5172" s="7" t="str">
        <f>IF(Table1[[#This Row],[Is Data Valid]]=TRUE,_xlfn.NORM.S.DIST(Table1[[#This Row],[Birthweight Z-Score (BW+10%)]],TRUE)*100,"")</f>
        <v/>
      </c>
    </row>
    <row r="5173" spans="1:12" x14ac:dyDescent="0.35">
      <c r="A5173" s="3"/>
      <c r="B5173" s="2"/>
      <c r="C5173" s="2"/>
      <c r="D5173" s="2" t="b">
        <f>IF(AND(NOT(ISBLANK(Table1[[#This Row],[Fetal Sex (Male, Female or Unknown)]])),ISNUMBER(Table1[[#This Row],[Birthweight (grams)]]),ISNUMBER(Table1[[#This Row],[Gestation (days)]])),TRUE,FALSE)</f>
        <v>0</v>
      </c>
      <c r="E5173" s="2" t="str">
        <f>IF(Table1[[#This Row],[Is Data Valid]]=TRUE,IF(Table1[[#This Row],[Fetal Sex (Male, Female or Unknown)]]="Male",Backend!$C$6,IF(Table1[[#This Row],[Fetal Sex (Male, Female or Unknown)]]="Female",Backend!$C$7,IF(Table1[[#This Row],[Fetal Sex (Male, Female or Unknown)]]="Unknown",Backend!$C$8,"Error"))),"")</f>
        <v/>
      </c>
      <c r="F5173" s="8" t="str">
        <f>IF(Table1[[#This Row],[Is Data Valid]]=TRUE,EXP(0.578+0.332*((Table1[[#This Row],[Gestation (days)]]+0.5)/7)-0.00354*((Table1[[#This Row],[Gestation (days)]]+0.5)/7)^2)*Table1[[#This Row],[BW40_3705]],"")</f>
        <v/>
      </c>
      <c r="G5173" s="2" t="str">
        <f>IF(Table1[[#This Row],[Is Data Valid]]=TRUE,((Table1[[#This Row],[Birthweight (grams)]]/Table1[[#This Row],[BW_GA]])-1)/(Backend!$B$4/100*Table1[[#This Row],[BW40_3705]]),"")</f>
        <v/>
      </c>
      <c r="H5173" s="7" t="str">
        <f>IF(Table1[[#This Row],[Is Data Valid]]=TRUE,((Table1[[#This Row],[Birthweight (grams)]]*0.9/Table1[[#This Row],[BW_GA]])-1)/(Backend!$B$4/100*Table1[[#This Row],[BW40_3705]]),"")</f>
        <v/>
      </c>
      <c r="I5173" s="7" t="str">
        <f>IF(Table1[[#This Row],[Is Data Valid]]=TRUE,((Table1[[#This Row],[Birthweight (grams)]]*1.1/Table1[[#This Row],[BW_GA]])-1)/(Backend!$B$4/100*Table1[[#This Row],[BW40_3705]]),"")</f>
        <v/>
      </c>
      <c r="J5173" s="7" t="str">
        <f>IF(Table1[[#This Row],[Is Data Valid]]=TRUE,_xlfn.NORM.S.DIST(Table1[[#This Row],[Birthweight Z-Score]],TRUE)*100,"")</f>
        <v/>
      </c>
      <c r="K5173" s="7" t="str">
        <f>IF(Table1[[#This Row],[Is Data Valid]]=TRUE,_xlfn.NORM.S.DIST(Table1[[#This Row],[Birthweight Z-Score (BW-10%)]],TRUE)*100,"")</f>
        <v/>
      </c>
      <c r="L5173" s="7" t="str">
        <f>IF(Table1[[#This Row],[Is Data Valid]]=TRUE,_xlfn.NORM.S.DIST(Table1[[#This Row],[Birthweight Z-Score (BW+10%)]],TRUE)*100,"")</f>
        <v/>
      </c>
    </row>
    <row r="5174" spans="1:12" x14ac:dyDescent="0.35">
      <c r="A5174" s="3"/>
      <c r="B5174" s="2"/>
      <c r="C5174" s="2"/>
      <c r="D5174" s="2" t="b">
        <f>IF(AND(NOT(ISBLANK(Table1[[#This Row],[Fetal Sex (Male, Female or Unknown)]])),ISNUMBER(Table1[[#This Row],[Birthweight (grams)]]),ISNUMBER(Table1[[#This Row],[Gestation (days)]])),TRUE,FALSE)</f>
        <v>0</v>
      </c>
      <c r="E5174" s="2" t="str">
        <f>IF(Table1[[#This Row],[Is Data Valid]]=TRUE,IF(Table1[[#This Row],[Fetal Sex (Male, Female or Unknown)]]="Male",Backend!$C$6,IF(Table1[[#This Row],[Fetal Sex (Male, Female or Unknown)]]="Female",Backend!$C$7,IF(Table1[[#This Row],[Fetal Sex (Male, Female or Unknown)]]="Unknown",Backend!$C$8,"Error"))),"")</f>
        <v/>
      </c>
      <c r="F5174" s="8" t="str">
        <f>IF(Table1[[#This Row],[Is Data Valid]]=TRUE,EXP(0.578+0.332*((Table1[[#This Row],[Gestation (days)]]+0.5)/7)-0.00354*((Table1[[#This Row],[Gestation (days)]]+0.5)/7)^2)*Table1[[#This Row],[BW40_3705]],"")</f>
        <v/>
      </c>
      <c r="G5174" s="2" t="str">
        <f>IF(Table1[[#This Row],[Is Data Valid]]=TRUE,((Table1[[#This Row],[Birthweight (grams)]]/Table1[[#This Row],[BW_GA]])-1)/(Backend!$B$4/100*Table1[[#This Row],[BW40_3705]]),"")</f>
        <v/>
      </c>
      <c r="H5174" s="7" t="str">
        <f>IF(Table1[[#This Row],[Is Data Valid]]=TRUE,((Table1[[#This Row],[Birthweight (grams)]]*0.9/Table1[[#This Row],[BW_GA]])-1)/(Backend!$B$4/100*Table1[[#This Row],[BW40_3705]]),"")</f>
        <v/>
      </c>
      <c r="I5174" s="7" t="str">
        <f>IF(Table1[[#This Row],[Is Data Valid]]=TRUE,((Table1[[#This Row],[Birthweight (grams)]]*1.1/Table1[[#This Row],[BW_GA]])-1)/(Backend!$B$4/100*Table1[[#This Row],[BW40_3705]]),"")</f>
        <v/>
      </c>
      <c r="J5174" s="7" t="str">
        <f>IF(Table1[[#This Row],[Is Data Valid]]=TRUE,_xlfn.NORM.S.DIST(Table1[[#This Row],[Birthweight Z-Score]],TRUE)*100,"")</f>
        <v/>
      </c>
      <c r="K5174" s="7" t="str">
        <f>IF(Table1[[#This Row],[Is Data Valid]]=TRUE,_xlfn.NORM.S.DIST(Table1[[#This Row],[Birthweight Z-Score (BW-10%)]],TRUE)*100,"")</f>
        <v/>
      </c>
      <c r="L5174" s="7" t="str">
        <f>IF(Table1[[#This Row],[Is Data Valid]]=TRUE,_xlfn.NORM.S.DIST(Table1[[#This Row],[Birthweight Z-Score (BW+10%)]],TRUE)*100,"")</f>
        <v/>
      </c>
    </row>
    <row r="5175" spans="1:12" x14ac:dyDescent="0.35">
      <c r="A5175" s="3"/>
      <c r="B5175" s="2"/>
      <c r="C5175" s="2"/>
      <c r="D5175" s="2" t="b">
        <f>IF(AND(NOT(ISBLANK(Table1[[#This Row],[Fetal Sex (Male, Female or Unknown)]])),ISNUMBER(Table1[[#This Row],[Birthweight (grams)]]),ISNUMBER(Table1[[#This Row],[Gestation (days)]])),TRUE,FALSE)</f>
        <v>0</v>
      </c>
      <c r="E5175" s="2" t="str">
        <f>IF(Table1[[#This Row],[Is Data Valid]]=TRUE,IF(Table1[[#This Row],[Fetal Sex (Male, Female or Unknown)]]="Male",Backend!$C$6,IF(Table1[[#This Row],[Fetal Sex (Male, Female or Unknown)]]="Female",Backend!$C$7,IF(Table1[[#This Row],[Fetal Sex (Male, Female or Unknown)]]="Unknown",Backend!$C$8,"Error"))),"")</f>
        <v/>
      </c>
      <c r="F5175" s="8" t="str">
        <f>IF(Table1[[#This Row],[Is Data Valid]]=TRUE,EXP(0.578+0.332*((Table1[[#This Row],[Gestation (days)]]+0.5)/7)-0.00354*((Table1[[#This Row],[Gestation (days)]]+0.5)/7)^2)*Table1[[#This Row],[BW40_3705]],"")</f>
        <v/>
      </c>
      <c r="G5175" s="2" t="str">
        <f>IF(Table1[[#This Row],[Is Data Valid]]=TRUE,((Table1[[#This Row],[Birthweight (grams)]]/Table1[[#This Row],[BW_GA]])-1)/(Backend!$B$4/100*Table1[[#This Row],[BW40_3705]]),"")</f>
        <v/>
      </c>
      <c r="H5175" s="7" t="str">
        <f>IF(Table1[[#This Row],[Is Data Valid]]=TRUE,((Table1[[#This Row],[Birthweight (grams)]]*0.9/Table1[[#This Row],[BW_GA]])-1)/(Backend!$B$4/100*Table1[[#This Row],[BW40_3705]]),"")</f>
        <v/>
      </c>
      <c r="I5175" s="7" t="str">
        <f>IF(Table1[[#This Row],[Is Data Valid]]=TRUE,((Table1[[#This Row],[Birthweight (grams)]]*1.1/Table1[[#This Row],[BW_GA]])-1)/(Backend!$B$4/100*Table1[[#This Row],[BW40_3705]]),"")</f>
        <v/>
      </c>
      <c r="J5175" s="7" t="str">
        <f>IF(Table1[[#This Row],[Is Data Valid]]=TRUE,_xlfn.NORM.S.DIST(Table1[[#This Row],[Birthweight Z-Score]],TRUE)*100,"")</f>
        <v/>
      </c>
      <c r="K5175" s="7" t="str">
        <f>IF(Table1[[#This Row],[Is Data Valid]]=TRUE,_xlfn.NORM.S.DIST(Table1[[#This Row],[Birthweight Z-Score (BW-10%)]],TRUE)*100,"")</f>
        <v/>
      </c>
      <c r="L5175" s="7" t="str">
        <f>IF(Table1[[#This Row],[Is Data Valid]]=TRUE,_xlfn.NORM.S.DIST(Table1[[#This Row],[Birthweight Z-Score (BW+10%)]],TRUE)*100,"")</f>
        <v/>
      </c>
    </row>
    <row r="5176" spans="1:12" x14ac:dyDescent="0.35">
      <c r="A5176" s="3"/>
      <c r="B5176" s="2"/>
      <c r="C5176" s="2"/>
      <c r="D5176" s="2" t="b">
        <f>IF(AND(NOT(ISBLANK(Table1[[#This Row],[Fetal Sex (Male, Female or Unknown)]])),ISNUMBER(Table1[[#This Row],[Birthweight (grams)]]),ISNUMBER(Table1[[#This Row],[Gestation (days)]])),TRUE,FALSE)</f>
        <v>0</v>
      </c>
      <c r="E5176" s="2" t="str">
        <f>IF(Table1[[#This Row],[Is Data Valid]]=TRUE,IF(Table1[[#This Row],[Fetal Sex (Male, Female or Unknown)]]="Male",Backend!$C$6,IF(Table1[[#This Row],[Fetal Sex (Male, Female or Unknown)]]="Female",Backend!$C$7,IF(Table1[[#This Row],[Fetal Sex (Male, Female or Unknown)]]="Unknown",Backend!$C$8,"Error"))),"")</f>
        <v/>
      </c>
      <c r="F5176" s="8" t="str">
        <f>IF(Table1[[#This Row],[Is Data Valid]]=TRUE,EXP(0.578+0.332*((Table1[[#This Row],[Gestation (days)]]+0.5)/7)-0.00354*((Table1[[#This Row],[Gestation (days)]]+0.5)/7)^2)*Table1[[#This Row],[BW40_3705]],"")</f>
        <v/>
      </c>
      <c r="G5176" s="2" t="str">
        <f>IF(Table1[[#This Row],[Is Data Valid]]=TRUE,((Table1[[#This Row],[Birthweight (grams)]]/Table1[[#This Row],[BW_GA]])-1)/(Backend!$B$4/100*Table1[[#This Row],[BW40_3705]]),"")</f>
        <v/>
      </c>
      <c r="H5176" s="7" t="str">
        <f>IF(Table1[[#This Row],[Is Data Valid]]=TRUE,((Table1[[#This Row],[Birthweight (grams)]]*0.9/Table1[[#This Row],[BW_GA]])-1)/(Backend!$B$4/100*Table1[[#This Row],[BW40_3705]]),"")</f>
        <v/>
      </c>
      <c r="I5176" s="7" t="str">
        <f>IF(Table1[[#This Row],[Is Data Valid]]=TRUE,((Table1[[#This Row],[Birthweight (grams)]]*1.1/Table1[[#This Row],[BW_GA]])-1)/(Backend!$B$4/100*Table1[[#This Row],[BW40_3705]]),"")</f>
        <v/>
      </c>
      <c r="J5176" s="7" t="str">
        <f>IF(Table1[[#This Row],[Is Data Valid]]=TRUE,_xlfn.NORM.S.DIST(Table1[[#This Row],[Birthweight Z-Score]],TRUE)*100,"")</f>
        <v/>
      </c>
      <c r="K5176" s="7" t="str">
        <f>IF(Table1[[#This Row],[Is Data Valid]]=TRUE,_xlfn.NORM.S.DIST(Table1[[#This Row],[Birthweight Z-Score (BW-10%)]],TRUE)*100,"")</f>
        <v/>
      </c>
      <c r="L5176" s="7" t="str">
        <f>IF(Table1[[#This Row],[Is Data Valid]]=TRUE,_xlfn.NORM.S.DIST(Table1[[#This Row],[Birthweight Z-Score (BW+10%)]],TRUE)*100,"")</f>
        <v/>
      </c>
    </row>
    <row r="5177" spans="1:12" x14ac:dyDescent="0.35">
      <c r="A5177" s="3"/>
      <c r="B5177" s="2"/>
      <c r="C5177" s="2"/>
      <c r="D5177" s="2" t="b">
        <f>IF(AND(NOT(ISBLANK(Table1[[#This Row],[Fetal Sex (Male, Female or Unknown)]])),ISNUMBER(Table1[[#This Row],[Birthweight (grams)]]),ISNUMBER(Table1[[#This Row],[Gestation (days)]])),TRUE,FALSE)</f>
        <v>0</v>
      </c>
      <c r="E5177" s="2" t="str">
        <f>IF(Table1[[#This Row],[Is Data Valid]]=TRUE,IF(Table1[[#This Row],[Fetal Sex (Male, Female or Unknown)]]="Male",Backend!$C$6,IF(Table1[[#This Row],[Fetal Sex (Male, Female or Unknown)]]="Female",Backend!$C$7,IF(Table1[[#This Row],[Fetal Sex (Male, Female or Unknown)]]="Unknown",Backend!$C$8,"Error"))),"")</f>
        <v/>
      </c>
      <c r="F5177" s="8" t="str">
        <f>IF(Table1[[#This Row],[Is Data Valid]]=TRUE,EXP(0.578+0.332*((Table1[[#This Row],[Gestation (days)]]+0.5)/7)-0.00354*((Table1[[#This Row],[Gestation (days)]]+0.5)/7)^2)*Table1[[#This Row],[BW40_3705]],"")</f>
        <v/>
      </c>
      <c r="G5177" s="2" t="str">
        <f>IF(Table1[[#This Row],[Is Data Valid]]=TRUE,((Table1[[#This Row],[Birthweight (grams)]]/Table1[[#This Row],[BW_GA]])-1)/(Backend!$B$4/100*Table1[[#This Row],[BW40_3705]]),"")</f>
        <v/>
      </c>
      <c r="H5177" s="7" t="str">
        <f>IF(Table1[[#This Row],[Is Data Valid]]=TRUE,((Table1[[#This Row],[Birthweight (grams)]]*0.9/Table1[[#This Row],[BW_GA]])-1)/(Backend!$B$4/100*Table1[[#This Row],[BW40_3705]]),"")</f>
        <v/>
      </c>
      <c r="I5177" s="7" t="str">
        <f>IF(Table1[[#This Row],[Is Data Valid]]=TRUE,((Table1[[#This Row],[Birthweight (grams)]]*1.1/Table1[[#This Row],[BW_GA]])-1)/(Backend!$B$4/100*Table1[[#This Row],[BW40_3705]]),"")</f>
        <v/>
      </c>
      <c r="J5177" s="7" t="str">
        <f>IF(Table1[[#This Row],[Is Data Valid]]=TRUE,_xlfn.NORM.S.DIST(Table1[[#This Row],[Birthweight Z-Score]],TRUE)*100,"")</f>
        <v/>
      </c>
      <c r="K5177" s="7" t="str">
        <f>IF(Table1[[#This Row],[Is Data Valid]]=TRUE,_xlfn.NORM.S.DIST(Table1[[#This Row],[Birthweight Z-Score (BW-10%)]],TRUE)*100,"")</f>
        <v/>
      </c>
      <c r="L5177" s="7" t="str">
        <f>IF(Table1[[#This Row],[Is Data Valid]]=TRUE,_xlfn.NORM.S.DIST(Table1[[#This Row],[Birthweight Z-Score (BW+10%)]],TRUE)*100,"")</f>
        <v/>
      </c>
    </row>
    <row r="5178" spans="1:12" x14ac:dyDescent="0.35">
      <c r="A5178" s="3"/>
      <c r="B5178" s="2"/>
      <c r="C5178" s="2"/>
      <c r="D5178" s="2" t="b">
        <f>IF(AND(NOT(ISBLANK(Table1[[#This Row],[Fetal Sex (Male, Female or Unknown)]])),ISNUMBER(Table1[[#This Row],[Birthweight (grams)]]),ISNUMBER(Table1[[#This Row],[Gestation (days)]])),TRUE,FALSE)</f>
        <v>0</v>
      </c>
      <c r="E5178" s="2" t="str">
        <f>IF(Table1[[#This Row],[Is Data Valid]]=TRUE,IF(Table1[[#This Row],[Fetal Sex (Male, Female or Unknown)]]="Male",Backend!$C$6,IF(Table1[[#This Row],[Fetal Sex (Male, Female or Unknown)]]="Female",Backend!$C$7,IF(Table1[[#This Row],[Fetal Sex (Male, Female or Unknown)]]="Unknown",Backend!$C$8,"Error"))),"")</f>
        <v/>
      </c>
      <c r="F5178" s="8" t="str">
        <f>IF(Table1[[#This Row],[Is Data Valid]]=TRUE,EXP(0.578+0.332*((Table1[[#This Row],[Gestation (days)]]+0.5)/7)-0.00354*((Table1[[#This Row],[Gestation (days)]]+0.5)/7)^2)*Table1[[#This Row],[BW40_3705]],"")</f>
        <v/>
      </c>
      <c r="G5178" s="2" t="str">
        <f>IF(Table1[[#This Row],[Is Data Valid]]=TRUE,((Table1[[#This Row],[Birthweight (grams)]]/Table1[[#This Row],[BW_GA]])-1)/(Backend!$B$4/100*Table1[[#This Row],[BW40_3705]]),"")</f>
        <v/>
      </c>
      <c r="H5178" s="7" t="str">
        <f>IF(Table1[[#This Row],[Is Data Valid]]=TRUE,((Table1[[#This Row],[Birthweight (grams)]]*0.9/Table1[[#This Row],[BW_GA]])-1)/(Backend!$B$4/100*Table1[[#This Row],[BW40_3705]]),"")</f>
        <v/>
      </c>
      <c r="I5178" s="7" t="str">
        <f>IF(Table1[[#This Row],[Is Data Valid]]=TRUE,((Table1[[#This Row],[Birthweight (grams)]]*1.1/Table1[[#This Row],[BW_GA]])-1)/(Backend!$B$4/100*Table1[[#This Row],[BW40_3705]]),"")</f>
        <v/>
      </c>
      <c r="J5178" s="7" t="str">
        <f>IF(Table1[[#This Row],[Is Data Valid]]=TRUE,_xlfn.NORM.S.DIST(Table1[[#This Row],[Birthweight Z-Score]],TRUE)*100,"")</f>
        <v/>
      </c>
      <c r="K5178" s="7" t="str">
        <f>IF(Table1[[#This Row],[Is Data Valid]]=TRUE,_xlfn.NORM.S.DIST(Table1[[#This Row],[Birthweight Z-Score (BW-10%)]],TRUE)*100,"")</f>
        <v/>
      </c>
      <c r="L5178" s="7" t="str">
        <f>IF(Table1[[#This Row],[Is Data Valid]]=TRUE,_xlfn.NORM.S.DIST(Table1[[#This Row],[Birthweight Z-Score (BW+10%)]],TRUE)*100,"")</f>
        <v/>
      </c>
    </row>
    <row r="5179" spans="1:12" x14ac:dyDescent="0.35">
      <c r="A5179" s="3"/>
      <c r="B5179" s="2"/>
      <c r="C5179" s="2"/>
      <c r="D5179" s="2" t="b">
        <f>IF(AND(NOT(ISBLANK(Table1[[#This Row],[Fetal Sex (Male, Female or Unknown)]])),ISNUMBER(Table1[[#This Row],[Birthweight (grams)]]),ISNUMBER(Table1[[#This Row],[Gestation (days)]])),TRUE,FALSE)</f>
        <v>0</v>
      </c>
      <c r="E5179" s="2" t="str">
        <f>IF(Table1[[#This Row],[Is Data Valid]]=TRUE,IF(Table1[[#This Row],[Fetal Sex (Male, Female or Unknown)]]="Male",Backend!$C$6,IF(Table1[[#This Row],[Fetal Sex (Male, Female or Unknown)]]="Female",Backend!$C$7,IF(Table1[[#This Row],[Fetal Sex (Male, Female or Unknown)]]="Unknown",Backend!$C$8,"Error"))),"")</f>
        <v/>
      </c>
      <c r="F5179" s="8" t="str">
        <f>IF(Table1[[#This Row],[Is Data Valid]]=TRUE,EXP(0.578+0.332*((Table1[[#This Row],[Gestation (days)]]+0.5)/7)-0.00354*((Table1[[#This Row],[Gestation (days)]]+0.5)/7)^2)*Table1[[#This Row],[BW40_3705]],"")</f>
        <v/>
      </c>
      <c r="G5179" s="2" t="str">
        <f>IF(Table1[[#This Row],[Is Data Valid]]=TRUE,((Table1[[#This Row],[Birthweight (grams)]]/Table1[[#This Row],[BW_GA]])-1)/(Backend!$B$4/100*Table1[[#This Row],[BW40_3705]]),"")</f>
        <v/>
      </c>
      <c r="H5179" s="7" t="str">
        <f>IF(Table1[[#This Row],[Is Data Valid]]=TRUE,((Table1[[#This Row],[Birthweight (grams)]]*0.9/Table1[[#This Row],[BW_GA]])-1)/(Backend!$B$4/100*Table1[[#This Row],[BW40_3705]]),"")</f>
        <v/>
      </c>
      <c r="I5179" s="7" t="str">
        <f>IF(Table1[[#This Row],[Is Data Valid]]=TRUE,((Table1[[#This Row],[Birthweight (grams)]]*1.1/Table1[[#This Row],[BW_GA]])-1)/(Backend!$B$4/100*Table1[[#This Row],[BW40_3705]]),"")</f>
        <v/>
      </c>
      <c r="J5179" s="7" t="str">
        <f>IF(Table1[[#This Row],[Is Data Valid]]=TRUE,_xlfn.NORM.S.DIST(Table1[[#This Row],[Birthweight Z-Score]],TRUE)*100,"")</f>
        <v/>
      </c>
      <c r="K5179" s="7" t="str">
        <f>IF(Table1[[#This Row],[Is Data Valid]]=TRUE,_xlfn.NORM.S.DIST(Table1[[#This Row],[Birthweight Z-Score (BW-10%)]],TRUE)*100,"")</f>
        <v/>
      </c>
      <c r="L5179" s="7" t="str">
        <f>IF(Table1[[#This Row],[Is Data Valid]]=TRUE,_xlfn.NORM.S.DIST(Table1[[#This Row],[Birthweight Z-Score (BW+10%)]],TRUE)*100,"")</f>
        <v/>
      </c>
    </row>
    <row r="5180" spans="1:12" x14ac:dyDescent="0.35">
      <c r="A5180" s="3"/>
      <c r="B5180" s="2"/>
      <c r="C5180" s="2"/>
      <c r="D5180" s="2" t="b">
        <f>IF(AND(NOT(ISBLANK(Table1[[#This Row],[Fetal Sex (Male, Female or Unknown)]])),ISNUMBER(Table1[[#This Row],[Birthweight (grams)]]),ISNUMBER(Table1[[#This Row],[Gestation (days)]])),TRUE,FALSE)</f>
        <v>0</v>
      </c>
      <c r="E5180" s="2" t="str">
        <f>IF(Table1[[#This Row],[Is Data Valid]]=TRUE,IF(Table1[[#This Row],[Fetal Sex (Male, Female or Unknown)]]="Male",Backend!$C$6,IF(Table1[[#This Row],[Fetal Sex (Male, Female or Unknown)]]="Female",Backend!$C$7,IF(Table1[[#This Row],[Fetal Sex (Male, Female or Unknown)]]="Unknown",Backend!$C$8,"Error"))),"")</f>
        <v/>
      </c>
      <c r="F5180" s="8" t="str">
        <f>IF(Table1[[#This Row],[Is Data Valid]]=TRUE,EXP(0.578+0.332*((Table1[[#This Row],[Gestation (days)]]+0.5)/7)-0.00354*((Table1[[#This Row],[Gestation (days)]]+0.5)/7)^2)*Table1[[#This Row],[BW40_3705]],"")</f>
        <v/>
      </c>
      <c r="G5180" s="2" t="str">
        <f>IF(Table1[[#This Row],[Is Data Valid]]=TRUE,((Table1[[#This Row],[Birthweight (grams)]]/Table1[[#This Row],[BW_GA]])-1)/(Backend!$B$4/100*Table1[[#This Row],[BW40_3705]]),"")</f>
        <v/>
      </c>
      <c r="H5180" s="7" t="str">
        <f>IF(Table1[[#This Row],[Is Data Valid]]=TRUE,((Table1[[#This Row],[Birthweight (grams)]]*0.9/Table1[[#This Row],[BW_GA]])-1)/(Backend!$B$4/100*Table1[[#This Row],[BW40_3705]]),"")</f>
        <v/>
      </c>
      <c r="I5180" s="7" t="str">
        <f>IF(Table1[[#This Row],[Is Data Valid]]=TRUE,((Table1[[#This Row],[Birthweight (grams)]]*1.1/Table1[[#This Row],[BW_GA]])-1)/(Backend!$B$4/100*Table1[[#This Row],[BW40_3705]]),"")</f>
        <v/>
      </c>
      <c r="J5180" s="7" t="str">
        <f>IF(Table1[[#This Row],[Is Data Valid]]=TRUE,_xlfn.NORM.S.DIST(Table1[[#This Row],[Birthweight Z-Score]],TRUE)*100,"")</f>
        <v/>
      </c>
      <c r="K5180" s="7" t="str">
        <f>IF(Table1[[#This Row],[Is Data Valid]]=TRUE,_xlfn.NORM.S.DIST(Table1[[#This Row],[Birthweight Z-Score (BW-10%)]],TRUE)*100,"")</f>
        <v/>
      </c>
      <c r="L5180" s="7" t="str">
        <f>IF(Table1[[#This Row],[Is Data Valid]]=TRUE,_xlfn.NORM.S.DIST(Table1[[#This Row],[Birthweight Z-Score (BW+10%)]],TRUE)*100,"")</f>
        <v/>
      </c>
    </row>
    <row r="5181" spans="1:12" x14ac:dyDescent="0.35">
      <c r="A5181" s="3"/>
      <c r="B5181" s="2"/>
      <c r="C5181" s="2"/>
      <c r="D5181" s="2" t="b">
        <f>IF(AND(NOT(ISBLANK(Table1[[#This Row],[Fetal Sex (Male, Female or Unknown)]])),ISNUMBER(Table1[[#This Row],[Birthweight (grams)]]),ISNUMBER(Table1[[#This Row],[Gestation (days)]])),TRUE,FALSE)</f>
        <v>0</v>
      </c>
      <c r="E5181" s="2" t="str">
        <f>IF(Table1[[#This Row],[Is Data Valid]]=TRUE,IF(Table1[[#This Row],[Fetal Sex (Male, Female or Unknown)]]="Male",Backend!$C$6,IF(Table1[[#This Row],[Fetal Sex (Male, Female or Unknown)]]="Female",Backend!$C$7,IF(Table1[[#This Row],[Fetal Sex (Male, Female or Unknown)]]="Unknown",Backend!$C$8,"Error"))),"")</f>
        <v/>
      </c>
      <c r="F5181" s="8" t="str">
        <f>IF(Table1[[#This Row],[Is Data Valid]]=TRUE,EXP(0.578+0.332*((Table1[[#This Row],[Gestation (days)]]+0.5)/7)-0.00354*((Table1[[#This Row],[Gestation (days)]]+0.5)/7)^2)*Table1[[#This Row],[BW40_3705]],"")</f>
        <v/>
      </c>
      <c r="G5181" s="2" t="str">
        <f>IF(Table1[[#This Row],[Is Data Valid]]=TRUE,((Table1[[#This Row],[Birthweight (grams)]]/Table1[[#This Row],[BW_GA]])-1)/(Backend!$B$4/100*Table1[[#This Row],[BW40_3705]]),"")</f>
        <v/>
      </c>
      <c r="H5181" s="7" t="str">
        <f>IF(Table1[[#This Row],[Is Data Valid]]=TRUE,((Table1[[#This Row],[Birthweight (grams)]]*0.9/Table1[[#This Row],[BW_GA]])-1)/(Backend!$B$4/100*Table1[[#This Row],[BW40_3705]]),"")</f>
        <v/>
      </c>
      <c r="I5181" s="7" t="str">
        <f>IF(Table1[[#This Row],[Is Data Valid]]=TRUE,((Table1[[#This Row],[Birthweight (grams)]]*1.1/Table1[[#This Row],[BW_GA]])-1)/(Backend!$B$4/100*Table1[[#This Row],[BW40_3705]]),"")</f>
        <v/>
      </c>
      <c r="J5181" s="7" t="str">
        <f>IF(Table1[[#This Row],[Is Data Valid]]=TRUE,_xlfn.NORM.S.DIST(Table1[[#This Row],[Birthweight Z-Score]],TRUE)*100,"")</f>
        <v/>
      </c>
      <c r="K5181" s="7" t="str">
        <f>IF(Table1[[#This Row],[Is Data Valid]]=TRUE,_xlfn.NORM.S.DIST(Table1[[#This Row],[Birthweight Z-Score (BW-10%)]],TRUE)*100,"")</f>
        <v/>
      </c>
      <c r="L5181" s="7" t="str">
        <f>IF(Table1[[#This Row],[Is Data Valid]]=TRUE,_xlfn.NORM.S.DIST(Table1[[#This Row],[Birthweight Z-Score (BW+10%)]],TRUE)*100,"")</f>
        <v/>
      </c>
    </row>
    <row r="5182" spans="1:12" x14ac:dyDescent="0.35">
      <c r="A5182" s="3"/>
      <c r="B5182" s="2"/>
      <c r="C5182" s="2"/>
      <c r="D5182" s="2" t="b">
        <f>IF(AND(NOT(ISBLANK(Table1[[#This Row],[Fetal Sex (Male, Female or Unknown)]])),ISNUMBER(Table1[[#This Row],[Birthweight (grams)]]),ISNUMBER(Table1[[#This Row],[Gestation (days)]])),TRUE,FALSE)</f>
        <v>0</v>
      </c>
      <c r="E5182" s="2" t="str">
        <f>IF(Table1[[#This Row],[Is Data Valid]]=TRUE,IF(Table1[[#This Row],[Fetal Sex (Male, Female or Unknown)]]="Male",Backend!$C$6,IF(Table1[[#This Row],[Fetal Sex (Male, Female or Unknown)]]="Female",Backend!$C$7,IF(Table1[[#This Row],[Fetal Sex (Male, Female or Unknown)]]="Unknown",Backend!$C$8,"Error"))),"")</f>
        <v/>
      </c>
      <c r="F5182" s="8" t="str">
        <f>IF(Table1[[#This Row],[Is Data Valid]]=TRUE,EXP(0.578+0.332*((Table1[[#This Row],[Gestation (days)]]+0.5)/7)-0.00354*((Table1[[#This Row],[Gestation (days)]]+0.5)/7)^2)*Table1[[#This Row],[BW40_3705]],"")</f>
        <v/>
      </c>
      <c r="G5182" s="2" t="str">
        <f>IF(Table1[[#This Row],[Is Data Valid]]=TRUE,((Table1[[#This Row],[Birthweight (grams)]]/Table1[[#This Row],[BW_GA]])-1)/(Backend!$B$4/100*Table1[[#This Row],[BW40_3705]]),"")</f>
        <v/>
      </c>
      <c r="H5182" s="7" t="str">
        <f>IF(Table1[[#This Row],[Is Data Valid]]=TRUE,((Table1[[#This Row],[Birthweight (grams)]]*0.9/Table1[[#This Row],[BW_GA]])-1)/(Backend!$B$4/100*Table1[[#This Row],[BW40_3705]]),"")</f>
        <v/>
      </c>
      <c r="I5182" s="7" t="str">
        <f>IF(Table1[[#This Row],[Is Data Valid]]=TRUE,((Table1[[#This Row],[Birthweight (grams)]]*1.1/Table1[[#This Row],[BW_GA]])-1)/(Backend!$B$4/100*Table1[[#This Row],[BW40_3705]]),"")</f>
        <v/>
      </c>
      <c r="J5182" s="7" t="str">
        <f>IF(Table1[[#This Row],[Is Data Valid]]=TRUE,_xlfn.NORM.S.DIST(Table1[[#This Row],[Birthweight Z-Score]],TRUE)*100,"")</f>
        <v/>
      </c>
      <c r="K5182" s="7" t="str">
        <f>IF(Table1[[#This Row],[Is Data Valid]]=TRUE,_xlfn.NORM.S.DIST(Table1[[#This Row],[Birthweight Z-Score (BW-10%)]],TRUE)*100,"")</f>
        <v/>
      </c>
      <c r="L5182" s="7" t="str">
        <f>IF(Table1[[#This Row],[Is Data Valid]]=TRUE,_xlfn.NORM.S.DIST(Table1[[#This Row],[Birthweight Z-Score (BW+10%)]],TRUE)*100,"")</f>
        <v/>
      </c>
    </row>
    <row r="5183" spans="1:12" x14ac:dyDescent="0.35">
      <c r="A5183" s="3"/>
      <c r="B5183" s="2"/>
      <c r="C5183" s="2"/>
      <c r="D5183" s="2" t="b">
        <f>IF(AND(NOT(ISBLANK(Table1[[#This Row],[Fetal Sex (Male, Female or Unknown)]])),ISNUMBER(Table1[[#This Row],[Birthweight (grams)]]),ISNUMBER(Table1[[#This Row],[Gestation (days)]])),TRUE,FALSE)</f>
        <v>0</v>
      </c>
      <c r="E5183" s="2" t="str">
        <f>IF(Table1[[#This Row],[Is Data Valid]]=TRUE,IF(Table1[[#This Row],[Fetal Sex (Male, Female or Unknown)]]="Male",Backend!$C$6,IF(Table1[[#This Row],[Fetal Sex (Male, Female or Unknown)]]="Female",Backend!$C$7,IF(Table1[[#This Row],[Fetal Sex (Male, Female or Unknown)]]="Unknown",Backend!$C$8,"Error"))),"")</f>
        <v/>
      </c>
      <c r="F5183" s="8" t="str">
        <f>IF(Table1[[#This Row],[Is Data Valid]]=TRUE,EXP(0.578+0.332*((Table1[[#This Row],[Gestation (days)]]+0.5)/7)-0.00354*((Table1[[#This Row],[Gestation (days)]]+0.5)/7)^2)*Table1[[#This Row],[BW40_3705]],"")</f>
        <v/>
      </c>
      <c r="G5183" s="2" t="str">
        <f>IF(Table1[[#This Row],[Is Data Valid]]=TRUE,((Table1[[#This Row],[Birthweight (grams)]]/Table1[[#This Row],[BW_GA]])-1)/(Backend!$B$4/100*Table1[[#This Row],[BW40_3705]]),"")</f>
        <v/>
      </c>
      <c r="H5183" s="7" t="str">
        <f>IF(Table1[[#This Row],[Is Data Valid]]=TRUE,((Table1[[#This Row],[Birthweight (grams)]]*0.9/Table1[[#This Row],[BW_GA]])-1)/(Backend!$B$4/100*Table1[[#This Row],[BW40_3705]]),"")</f>
        <v/>
      </c>
      <c r="I5183" s="7" t="str">
        <f>IF(Table1[[#This Row],[Is Data Valid]]=TRUE,((Table1[[#This Row],[Birthweight (grams)]]*1.1/Table1[[#This Row],[BW_GA]])-1)/(Backend!$B$4/100*Table1[[#This Row],[BW40_3705]]),"")</f>
        <v/>
      </c>
      <c r="J5183" s="7" t="str">
        <f>IF(Table1[[#This Row],[Is Data Valid]]=TRUE,_xlfn.NORM.S.DIST(Table1[[#This Row],[Birthweight Z-Score]],TRUE)*100,"")</f>
        <v/>
      </c>
      <c r="K5183" s="7" t="str">
        <f>IF(Table1[[#This Row],[Is Data Valid]]=TRUE,_xlfn.NORM.S.DIST(Table1[[#This Row],[Birthweight Z-Score (BW-10%)]],TRUE)*100,"")</f>
        <v/>
      </c>
      <c r="L5183" s="7" t="str">
        <f>IF(Table1[[#This Row],[Is Data Valid]]=TRUE,_xlfn.NORM.S.DIST(Table1[[#This Row],[Birthweight Z-Score (BW+10%)]],TRUE)*100,"")</f>
        <v/>
      </c>
    </row>
    <row r="5184" spans="1:12" x14ac:dyDescent="0.35">
      <c r="A5184" s="3"/>
      <c r="B5184" s="2"/>
      <c r="C5184" s="2"/>
      <c r="D5184" s="2" t="b">
        <f>IF(AND(NOT(ISBLANK(Table1[[#This Row],[Fetal Sex (Male, Female or Unknown)]])),ISNUMBER(Table1[[#This Row],[Birthweight (grams)]]),ISNUMBER(Table1[[#This Row],[Gestation (days)]])),TRUE,FALSE)</f>
        <v>0</v>
      </c>
      <c r="E5184" s="2" t="str">
        <f>IF(Table1[[#This Row],[Is Data Valid]]=TRUE,IF(Table1[[#This Row],[Fetal Sex (Male, Female or Unknown)]]="Male",Backend!$C$6,IF(Table1[[#This Row],[Fetal Sex (Male, Female or Unknown)]]="Female",Backend!$C$7,IF(Table1[[#This Row],[Fetal Sex (Male, Female or Unknown)]]="Unknown",Backend!$C$8,"Error"))),"")</f>
        <v/>
      </c>
      <c r="F5184" s="8" t="str">
        <f>IF(Table1[[#This Row],[Is Data Valid]]=TRUE,EXP(0.578+0.332*((Table1[[#This Row],[Gestation (days)]]+0.5)/7)-0.00354*((Table1[[#This Row],[Gestation (days)]]+0.5)/7)^2)*Table1[[#This Row],[BW40_3705]],"")</f>
        <v/>
      </c>
      <c r="G5184" s="2" t="str">
        <f>IF(Table1[[#This Row],[Is Data Valid]]=TRUE,((Table1[[#This Row],[Birthweight (grams)]]/Table1[[#This Row],[BW_GA]])-1)/(Backend!$B$4/100*Table1[[#This Row],[BW40_3705]]),"")</f>
        <v/>
      </c>
      <c r="H5184" s="7" t="str">
        <f>IF(Table1[[#This Row],[Is Data Valid]]=TRUE,((Table1[[#This Row],[Birthweight (grams)]]*0.9/Table1[[#This Row],[BW_GA]])-1)/(Backend!$B$4/100*Table1[[#This Row],[BW40_3705]]),"")</f>
        <v/>
      </c>
      <c r="I5184" s="7" t="str">
        <f>IF(Table1[[#This Row],[Is Data Valid]]=TRUE,((Table1[[#This Row],[Birthweight (grams)]]*1.1/Table1[[#This Row],[BW_GA]])-1)/(Backend!$B$4/100*Table1[[#This Row],[BW40_3705]]),"")</f>
        <v/>
      </c>
      <c r="J5184" s="7" t="str">
        <f>IF(Table1[[#This Row],[Is Data Valid]]=TRUE,_xlfn.NORM.S.DIST(Table1[[#This Row],[Birthweight Z-Score]],TRUE)*100,"")</f>
        <v/>
      </c>
      <c r="K5184" s="7" t="str">
        <f>IF(Table1[[#This Row],[Is Data Valid]]=TRUE,_xlfn.NORM.S.DIST(Table1[[#This Row],[Birthweight Z-Score (BW-10%)]],TRUE)*100,"")</f>
        <v/>
      </c>
      <c r="L5184" s="7" t="str">
        <f>IF(Table1[[#This Row],[Is Data Valid]]=TRUE,_xlfn.NORM.S.DIST(Table1[[#This Row],[Birthweight Z-Score (BW+10%)]],TRUE)*100,"")</f>
        <v/>
      </c>
    </row>
    <row r="5185" spans="1:12" x14ac:dyDescent="0.35">
      <c r="A5185" s="3"/>
      <c r="B5185" s="2"/>
      <c r="C5185" s="2"/>
      <c r="D5185" s="2" t="b">
        <f>IF(AND(NOT(ISBLANK(Table1[[#This Row],[Fetal Sex (Male, Female or Unknown)]])),ISNUMBER(Table1[[#This Row],[Birthweight (grams)]]),ISNUMBER(Table1[[#This Row],[Gestation (days)]])),TRUE,FALSE)</f>
        <v>0</v>
      </c>
      <c r="E5185" s="2" t="str">
        <f>IF(Table1[[#This Row],[Is Data Valid]]=TRUE,IF(Table1[[#This Row],[Fetal Sex (Male, Female or Unknown)]]="Male",Backend!$C$6,IF(Table1[[#This Row],[Fetal Sex (Male, Female or Unknown)]]="Female",Backend!$C$7,IF(Table1[[#This Row],[Fetal Sex (Male, Female or Unknown)]]="Unknown",Backend!$C$8,"Error"))),"")</f>
        <v/>
      </c>
      <c r="F5185" s="8" t="str">
        <f>IF(Table1[[#This Row],[Is Data Valid]]=TRUE,EXP(0.578+0.332*((Table1[[#This Row],[Gestation (days)]]+0.5)/7)-0.00354*((Table1[[#This Row],[Gestation (days)]]+0.5)/7)^2)*Table1[[#This Row],[BW40_3705]],"")</f>
        <v/>
      </c>
      <c r="G5185" s="2" t="str">
        <f>IF(Table1[[#This Row],[Is Data Valid]]=TRUE,((Table1[[#This Row],[Birthweight (grams)]]/Table1[[#This Row],[BW_GA]])-1)/(Backend!$B$4/100*Table1[[#This Row],[BW40_3705]]),"")</f>
        <v/>
      </c>
      <c r="H5185" s="7" t="str">
        <f>IF(Table1[[#This Row],[Is Data Valid]]=TRUE,((Table1[[#This Row],[Birthweight (grams)]]*0.9/Table1[[#This Row],[BW_GA]])-1)/(Backend!$B$4/100*Table1[[#This Row],[BW40_3705]]),"")</f>
        <v/>
      </c>
      <c r="I5185" s="7" t="str">
        <f>IF(Table1[[#This Row],[Is Data Valid]]=TRUE,((Table1[[#This Row],[Birthweight (grams)]]*1.1/Table1[[#This Row],[BW_GA]])-1)/(Backend!$B$4/100*Table1[[#This Row],[BW40_3705]]),"")</f>
        <v/>
      </c>
      <c r="J5185" s="7" t="str">
        <f>IF(Table1[[#This Row],[Is Data Valid]]=TRUE,_xlfn.NORM.S.DIST(Table1[[#This Row],[Birthweight Z-Score]],TRUE)*100,"")</f>
        <v/>
      </c>
      <c r="K5185" s="7" t="str">
        <f>IF(Table1[[#This Row],[Is Data Valid]]=TRUE,_xlfn.NORM.S.DIST(Table1[[#This Row],[Birthweight Z-Score (BW-10%)]],TRUE)*100,"")</f>
        <v/>
      </c>
      <c r="L5185" s="7" t="str">
        <f>IF(Table1[[#This Row],[Is Data Valid]]=TRUE,_xlfn.NORM.S.DIST(Table1[[#This Row],[Birthweight Z-Score (BW+10%)]],TRUE)*100,"")</f>
        <v/>
      </c>
    </row>
    <row r="5186" spans="1:12" x14ac:dyDescent="0.35">
      <c r="A5186" s="3"/>
      <c r="B5186" s="2"/>
      <c r="C5186" s="2"/>
      <c r="D5186" s="2" t="b">
        <f>IF(AND(NOT(ISBLANK(Table1[[#This Row],[Fetal Sex (Male, Female or Unknown)]])),ISNUMBER(Table1[[#This Row],[Birthweight (grams)]]),ISNUMBER(Table1[[#This Row],[Gestation (days)]])),TRUE,FALSE)</f>
        <v>0</v>
      </c>
      <c r="E5186" s="2" t="str">
        <f>IF(Table1[[#This Row],[Is Data Valid]]=TRUE,IF(Table1[[#This Row],[Fetal Sex (Male, Female or Unknown)]]="Male",Backend!$C$6,IF(Table1[[#This Row],[Fetal Sex (Male, Female or Unknown)]]="Female",Backend!$C$7,IF(Table1[[#This Row],[Fetal Sex (Male, Female or Unknown)]]="Unknown",Backend!$C$8,"Error"))),"")</f>
        <v/>
      </c>
      <c r="F5186" s="8" t="str">
        <f>IF(Table1[[#This Row],[Is Data Valid]]=TRUE,EXP(0.578+0.332*((Table1[[#This Row],[Gestation (days)]]+0.5)/7)-0.00354*((Table1[[#This Row],[Gestation (days)]]+0.5)/7)^2)*Table1[[#This Row],[BW40_3705]],"")</f>
        <v/>
      </c>
      <c r="G5186" s="2" t="str">
        <f>IF(Table1[[#This Row],[Is Data Valid]]=TRUE,((Table1[[#This Row],[Birthweight (grams)]]/Table1[[#This Row],[BW_GA]])-1)/(Backend!$B$4/100*Table1[[#This Row],[BW40_3705]]),"")</f>
        <v/>
      </c>
      <c r="H5186" s="7" t="str">
        <f>IF(Table1[[#This Row],[Is Data Valid]]=TRUE,((Table1[[#This Row],[Birthweight (grams)]]*0.9/Table1[[#This Row],[BW_GA]])-1)/(Backend!$B$4/100*Table1[[#This Row],[BW40_3705]]),"")</f>
        <v/>
      </c>
      <c r="I5186" s="7" t="str">
        <f>IF(Table1[[#This Row],[Is Data Valid]]=TRUE,((Table1[[#This Row],[Birthweight (grams)]]*1.1/Table1[[#This Row],[BW_GA]])-1)/(Backend!$B$4/100*Table1[[#This Row],[BW40_3705]]),"")</f>
        <v/>
      </c>
      <c r="J5186" s="7" t="str">
        <f>IF(Table1[[#This Row],[Is Data Valid]]=TRUE,_xlfn.NORM.S.DIST(Table1[[#This Row],[Birthweight Z-Score]],TRUE)*100,"")</f>
        <v/>
      </c>
      <c r="K5186" s="7" t="str">
        <f>IF(Table1[[#This Row],[Is Data Valid]]=TRUE,_xlfn.NORM.S.DIST(Table1[[#This Row],[Birthweight Z-Score (BW-10%)]],TRUE)*100,"")</f>
        <v/>
      </c>
      <c r="L5186" s="7" t="str">
        <f>IF(Table1[[#This Row],[Is Data Valid]]=TRUE,_xlfn.NORM.S.DIST(Table1[[#This Row],[Birthweight Z-Score (BW+10%)]],TRUE)*100,"")</f>
        <v/>
      </c>
    </row>
    <row r="5187" spans="1:12" x14ac:dyDescent="0.35">
      <c r="A5187" s="3"/>
      <c r="B5187" s="2"/>
      <c r="C5187" s="2"/>
      <c r="D5187" s="2" t="b">
        <f>IF(AND(NOT(ISBLANK(Table1[[#This Row],[Fetal Sex (Male, Female or Unknown)]])),ISNUMBER(Table1[[#This Row],[Birthweight (grams)]]),ISNUMBER(Table1[[#This Row],[Gestation (days)]])),TRUE,FALSE)</f>
        <v>0</v>
      </c>
      <c r="E5187" s="2" t="str">
        <f>IF(Table1[[#This Row],[Is Data Valid]]=TRUE,IF(Table1[[#This Row],[Fetal Sex (Male, Female or Unknown)]]="Male",Backend!$C$6,IF(Table1[[#This Row],[Fetal Sex (Male, Female or Unknown)]]="Female",Backend!$C$7,IF(Table1[[#This Row],[Fetal Sex (Male, Female or Unknown)]]="Unknown",Backend!$C$8,"Error"))),"")</f>
        <v/>
      </c>
      <c r="F5187" s="8" t="str">
        <f>IF(Table1[[#This Row],[Is Data Valid]]=TRUE,EXP(0.578+0.332*((Table1[[#This Row],[Gestation (days)]]+0.5)/7)-0.00354*((Table1[[#This Row],[Gestation (days)]]+0.5)/7)^2)*Table1[[#This Row],[BW40_3705]],"")</f>
        <v/>
      </c>
      <c r="G5187" s="2" t="str">
        <f>IF(Table1[[#This Row],[Is Data Valid]]=TRUE,((Table1[[#This Row],[Birthweight (grams)]]/Table1[[#This Row],[BW_GA]])-1)/(Backend!$B$4/100*Table1[[#This Row],[BW40_3705]]),"")</f>
        <v/>
      </c>
      <c r="H5187" s="7" t="str">
        <f>IF(Table1[[#This Row],[Is Data Valid]]=TRUE,((Table1[[#This Row],[Birthweight (grams)]]*0.9/Table1[[#This Row],[BW_GA]])-1)/(Backend!$B$4/100*Table1[[#This Row],[BW40_3705]]),"")</f>
        <v/>
      </c>
      <c r="I5187" s="7" t="str">
        <f>IF(Table1[[#This Row],[Is Data Valid]]=TRUE,((Table1[[#This Row],[Birthweight (grams)]]*1.1/Table1[[#This Row],[BW_GA]])-1)/(Backend!$B$4/100*Table1[[#This Row],[BW40_3705]]),"")</f>
        <v/>
      </c>
      <c r="J5187" s="7" t="str">
        <f>IF(Table1[[#This Row],[Is Data Valid]]=TRUE,_xlfn.NORM.S.DIST(Table1[[#This Row],[Birthweight Z-Score]],TRUE)*100,"")</f>
        <v/>
      </c>
      <c r="K5187" s="7" t="str">
        <f>IF(Table1[[#This Row],[Is Data Valid]]=TRUE,_xlfn.NORM.S.DIST(Table1[[#This Row],[Birthweight Z-Score (BW-10%)]],TRUE)*100,"")</f>
        <v/>
      </c>
      <c r="L5187" s="7" t="str">
        <f>IF(Table1[[#This Row],[Is Data Valid]]=TRUE,_xlfn.NORM.S.DIST(Table1[[#This Row],[Birthweight Z-Score (BW+10%)]],TRUE)*100,"")</f>
        <v/>
      </c>
    </row>
    <row r="5188" spans="1:12" x14ac:dyDescent="0.35">
      <c r="A5188" s="3"/>
      <c r="B5188" s="2"/>
      <c r="C5188" s="2"/>
      <c r="D5188" s="2" t="b">
        <f>IF(AND(NOT(ISBLANK(Table1[[#This Row],[Fetal Sex (Male, Female or Unknown)]])),ISNUMBER(Table1[[#This Row],[Birthweight (grams)]]),ISNUMBER(Table1[[#This Row],[Gestation (days)]])),TRUE,FALSE)</f>
        <v>0</v>
      </c>
      <c r="E5188" s="2" t="str">
        <f>IF(Table1[[#This Row],[Is Data Valid]]=TRUE,IF(Table1[[#This Row],[Fetal Sex (Male, Female or Unknown)]]="Male",Backend!$C$6,IF(Table1[[#This Row],[Fetal Sex (Male, Female or Unknown)]]="Female",Backend!$C$7,IF(Table1[[#This Row],[Fetal Sex (Male, Female or Unknown)]]="Unknown",Backend!$C$8,"Error"))),"")</f>
        <v/>
      </c>
      <c r="F5188" s="8" t="str">
        <f>IF(Table1[[#This Row],[Is Data Valid]]=TRUE,EXP(0.578+0.332*((Table1[[#This Row],[Gestation (days)]]+0.5)/7)-0.00354*((Table1[[#This Row],[Gestation (days)]]+0.5)/7)^2)*Table1[[#This Row],[BW40_3705]],"")</f>
        <v/>
      </c>
      <c r="G5188" s="2" t="str">
        <f>IF(Table1[[#This Row],[Is Data Valid]]=TRUE,((Table1[[#This Row],[Birthweight (grams)]]/Table1[[#This Row],[BW_GA]])-1)/(Backend!$B$4/100*Table1[[#This Row],[BW40_3705]]),"")</f>
        <v/>
      </c>
      <c r="H5188" s="7" t="str">
        <f>IF(Table1[[#This Row],[Is Data Valid]]=TRUE,((Table1[[#This Row],[Birthweight (grams)]]*0.9/Table1[[#This Row],[BW_GA]])-1)/(Backend!$B$4/100*Table1[[#This Row],[BW40_3705]]),"")</f>
        <v/>
      </c>
      <c r="I5188" s="7" t="str">
        <f>IF(Table1[[#This Row],[Is Data Valid]]=TRUE,((Table1[[#This Row],[Birthweight (grams)]]*1.1/Table1[[#This Row],[BW_GA]])-1)/(Backend!$B$4/100*Table1[[#This Row],[BW40_3705]]),"")</f>
        <v/>
      </c>
      <c r="J5188" s="7" t="str">
        <f>IF(Table1[[#This Row],[Is Data Valid]]=TRUE,_xlfn.NORM.S.DIST(Table1[[#This Row],[Birthweight Z-Score]],TRUE)*100,"")</f>
        <v/>
      </c>
      <c r="K5188" s="7" t="str">
        <f>IF(Table1[[#This Row],[Is Data Valid]]=TRUE,_xlfn.NORM.S.DIST(Table1[[#This Row],[Birthweight Z-Score (BW-10%)]],TRUE)*100,"")</f>
        <v/>
      </c>
      <c r="L5188" s="7" t="str">
        <f>IF(Table1[[#This Row],[Is Data Valid]]=TRUE,_xlfn.NORM.S.DIST(Table1[[#This Row],[Birthweight Z-Score (BW+10%)]],TRUE)*100,"")</f>
        <v/>
      </c>
    </row>
    <row r="5189" spans="1:12" x14ac:dyDescent="0.35">
      <c r="A5189" s="3"/>
      <c r="B5189" s="2"/>
      <c r="C5189" s="2"/>
      <c r="D5189" s="2" t="b">
        <f>IF(AND(NOT(ISBLANK(Table1[[#This Row],[Fetal Sex (Male, Female or Unknown)]])),ISNUMBER(Table1[[#This Row],[Birthweight (grams)]]),ISNUMBER(Table1[[#This Row],[Gestation (days)]])),TRUE,FALSE)</f>
        <v>0</v>
      </c>
      <c r="E5189" s="2" t="str">
        <f>IF(Table1[[#This Row],[Is Data Valid]]=TRUE,IF(Table1[[#This Row],[Fetal Sex (Male, Female or Unknown)]]="Male",Backend!$C$6,IF(Table1[[#This Row],[Fetal Sex (Male, Female or Unknown)]]="Female",Backend!$C$7,IF(Table1[[#This Row],[Fetal Sex (Male, Female or Unknown)]]="Unknown",Backend!$C$8,"Error"))),"")</f>
        <v/>
      </c>
      <c r="F5189" s="8" t="str">
        <f>IF(Table1[[#This Row],[Is Data Valid]]=TRUE,EXP(0.578+0.332*((Table1[[#This Row],[Gestation (days)]]+0.5)/7)-0.00354*((Table1[[#This Row],[Gestation (days)]]+0.5)/7)^2)*Table1[[#This Row],[BW40_3705]],"")</f>
        <v/>
      </c>
      <c r="G5189" s="2" t="str">
        <f>IF(Table1[[#This Row],[Is Data Valid]]=TRUE,((Table1[[#This Row],[Birthweight (grams)]]/Table1[[#This Row],[BW_GA]])-1)/(Backend!$B$4/100*Table1[[#This Row],[BW40_3705]]),"")</f>
        <v/>
      </c>
      <c r="H5189" s="7" t="str">
        <f>IF(Table1[[#This Row],[Is Data Valid]]=TRUE,((Table1[[#This Row],[Birthweight (grams)]]*0.9/Table1[[#This Row],[BW_GA]])-1)/(Backend!$B$4/100*Table1[[#This Row],[BW40_3705]]),"")</f>
        <v/>
      </c>
      <c r="I5189" s="7" t="str">
        <f>IF(Table1[[#This Row],[Is Data Valid]]=TRUE,((Table1[[#This Row],[Birthweight (grams)]]*1.1/Table1[[#This Row],[BW_GA]])-1)/(Backend!$B$4/100*Table1[[#This Row],[BW40_3705]]),"")</f>
        <v/>
      </c>
      <c r="J5189" s="7" t="str">
        <f>IF(Table1[[#This Row],[Is Data Valid]]=TRUE,_xlfn.NORM.S.DIST(Table1[[#This Row],[Birthweight Z-Score]],TRUE)*100,"")</f>
        <v/>
      </c>
      <c r="K5189" s="7" t="str">
        <f>IF(Table1[[#This Row],[Is Data Valid]]=TRUE,_xlfn.NORM.S.DIST(Table1[[#This Row],[Birthweight Z-Score (BW-10%)]],TRUE)*100,"")</f>
        <v/>
      </c>
      <c r="L5189" s="7" t="str">
        <f>IF(Table1[[#This Row],[Is Data Valid]]=TRUE,_xlfn.NORM.S.DIST(Table1[[#This Row],[Birthweight Z-Score (BW+10%)]],TRUE)*100,"")</f>
        <v/>
      </c>
    </row>
    <row r="5190" spans="1:12" x14ac:dyDescent="0.35">
      <c r="A5190" s="3"/>
      <c r="B5190" s="2"/>
      <c r="C5190" s="2"/>
      <c r="D5190" s="2" t="b">
        <f>IF(AND(NOT(ISBLANK(Table1[[#This Row],[Fetal Sex (Male, Female or Unknown)]])),ISNUMBER(Table1[[#This Row],[Birthweight (grams)]]),ISNUMBER(Table1[[#This Row],[Gestation (days)]])),TRUE,FALSE)</f>
        <v>0</v>
      </c>
      <c r="E5190" s="2" t="str">
        <f>IF(Table1[[#This Row],[Is Data Valid]]=TRUE,IF(Table1[[#This Row],[Fetal Sex (Male, Female or Unknown)]]="Male",Backend!$C$6,IF(Table1[[#This Row],[Fetal Sex (Male, Female or Unknown)]]="Female",Backend!$C$7,IF(Table1[[#This Row],[Fetal Sex (Male, Female or Unknown)]]="Unknown",Backend!$C$8,"Error"))),"")</f>
        <v/>
      </c>
      <c r="F5190" s="8" t="str">
        <f>IF(Table1[[#This Row],[Is Data Valid]]=TRUE,EXP(0.578+0.332*((Table1[[#This Row],[Gestation (days)]]+0.5)/7)-0.00354*((Table1[[#This Row],[Gestation (days)]]+0.5)/7)^2)*Table1[[#This Row],[BW40_3705]],"")</f>
        <v/>
      </c>
      <c r="G5190" s="2" t="str">
        <f>IF(Table1[[#This Row],[Is Data Valid]]=TRUE,((Table1[[#This Row],[Birthweight (grams)]]/Table1[[#This Row],[BW_GA]])-1)/(Backend!$B$4/100*Table1[[#This Row],[BW40_3705]]),"")</f>
        <v/>
      </c>
      <c r="H5190" s="7" t="str">
        <f>IF(Table1[[#This Row],[Is Data Valid]]=TRUE,((Table1[[#This Row],[Birthweight (grams)]]*0.9/Table1[[#This Row],[BW_GA]])-1)/(Backend!$B$4/100*Table1[[#This Row],[BW40_3705]]),"")</f>
        <v/>
      </c>
      <c r="I5190" s="7" t="str">
        <f>IF(Table1[[#This Row],[Is Data Valid]]=TRUE,((Table1[[#This Row],[Birthweight (grams)]]*1.1/Table1[[#This Row],[BW_GA]])-1)/(Backend!$B$4/100*Table1[[#This Row],[BW40_3705]]),"")</f>
        <v/>
      </c>
      <c r="J5190" s="7" t="str">
        <f>IF(Table1[[#This Row],[Is Data Valid]]=TRUE,_xlfn.NORM.S.DIST(Table1[[#This Row],[Birthweight Z-Score]],TRUE)*100,"")</f>
        <v/>
      </c>
      <c r="K5190" s="7" t="str">
        <f>IF(Table1[[#This Row],[Is Data Valid]]=TRUE,_xlfn.NORM.S.DIST(Table1[[#This Row],[Birthweight Z-Score (BW-10%)]],TRUE)*100,"")</f>
        <v/>
      </c>
      <c r="L5190" s="7" t="str">
        <f>IF(Table1[[#This Row],[Is Data Valid]]=TRUE,_xlfn.NORM.S.DIST(Table1[[#This Row],[Birthweight Z-Score (BW+10%)]],TRUE)*100,"")</f>
        <v/>
      </c>
    </row>
    <row r="5191" spans="1:12" x14ac:dyDescent="0.35">
      <c r="A5191" s="3"/>
      <c r="B5191" s="2"/>
      <c r="C5191" s="2"/>
      <c r="D5191" s="2" t="b">
        <f>IF(AND(NOT(ISBLANK(Table1[[#This Row],[Fetal Sex (Male, Female or Unknown)]])),ISNUMBER(Table1[[#This Row],[Birthweight (grams)]]),ISNUMBER(Table1[[#This Row],[Gestation (days)]])),TRUE,FALSE)</f>
        <v>0</v>
      </c>
      <c r="E5191" s="2" t="str">
        <f>IF(Table1[[#This Row],[Is Data Valid]]=TRUE,IF(Table1[[#This Row],[Fetal Sex (Male, Female or Unknown)]]="Male",Backend!$C$6,IF(Table1[[#This Row],[Fetal Sex (Male, Female or Unknown)]]="Female",Backend!$C$7,IF(Table1[[#This Row],[Fetal Sex (Male, Female or Unknown)]]="Unknown",Backend!$C$8,"Error"))),"")</f>
        <v/>
      </c>
      <c r="F5191" s="8" t="str">
        <f>IF(Table1[[#This Row],[Is Data Valid]]=TRUE,EXP(0.578+0.332*((Table1[[#This Row],[Gestation (days)]]+0.5)/7)-0.00354*((Table1[[#This Row],[Gestation (days)]]+0.5)/7)^2)*Table1[[#This Row],[BW40_3705]],"")</f>
        <v/>
      </c>
      <c r="G5191" s="2" t="str">
        <f>IF(Table1[[#This Row],[Is Data Valid]]=TRUE,((Table1[[#This Row],[Birthweight (grams)]]/Table1[[#This Row],[BW_GA]])-1)/(Backend!$B$4/100*Table1[[#This Row],[BW40_3705]]),"")</f>
        <v/>
      </c>
      <c r="H5191" s="7" t="str">
        <f>IF(Table1[[#This Row],[Is Data Valid]]=TRUE,((Table1[[#This Row],[Birthweight (grams)]]*0.9/Table1[[#This Row],[BW_GA]])-1)/(Backend!$B$4/100*Table1[[#This Row],[BW40_3705]]),"")</f>
        <v/>
      </c>
      <c r="I5191" s="7" t="str">
        <f>IF(Table1[[#This Row],[Is Data Valid]]=TRUE,((Table1[[#This Row],[Birthweight (grams)]]*1.1/Table1[[#This Row],[BW_GA]])-1)/(Backend!$B$4/100*Table1[[#This Row],[BW40_3705]]),"")</f>
        <v/>
      </c>
      <c r="J5191" s="7" t="str">
        <f>IF(Table1[[#This Row],[Is Data Valid]]=TRUE,_xlfn.NORM.S.DIST(Table1[[#This Row],[Birthweight Z-Score]],TRUE)*100,"")</f>
        <v/>
      </c>
      <c r="K5191" s="7" t="str">
        <f>IF(Table1[[#This Row],[Is Data Valid]]=TRUE,_xlfn.NORM.S.DIST(Table1[[#This Row],[Birthweight Z-Score (BW-10%)]],TRUE)*100,"")</f>
        <v/>
      </c>
      <c r="L5191" s="7" t="str">
        <f>IF(Table1[[#This Row],[Is Data Valid]]=TRUE,_xlfn.NORM.S.DIST(Table1[[#This Row],[Birthweight Z-Score (BW+10%)]],TRUE)*100,"")</f>
        <v/>
      </c>
    </row>
    <row r="5192" spans="1:12" x14ac:dyDescent="0.35">
      <c r="A5192" s="3"/>
      <c r="B5192" s="2"/>
      <c r="C5192" s="2"/>
      <c r="D5192" s="2" t="b">
        <f>IF(AND(NOT(ISBLANK(Table1[[#This Row],[Fetal Sex (Male, Female or Unknown)]])),ISNUMBER(Table1[[#This Row],[Birthweight (grams)]]),ISNUMBER(Table1[[#This Row],[Gestation (days)]])),TRUE,FALSE)</f>
        <v>0</v>
      </c>
      <c r="E5192" s="2" t="str">
        <f>IF(Table1[[#This Row],[Is Data Valid]]=TRUE,IF(Table1[[#This Row],[Fetal Sex (Male, Female or Unknown)]]="Male",Backend!$C$6,IF(Table1[[#This Row],[Fetal Sex (Male, Female or Unknown)]]="Female",Backend!$C$7,IF(Table1[[#This Row],[Fetal Sex (Male, Female or Unknown)]]="Unknown",Backend!$C$8,"Error"))),"")</f>
        <v/>
      </c>
      <c r="F5192" s="8" t="str">
        <f>IF(Table1[[#This Row],[Is Data Valid]]=TRUE,EXP(0.578+0.332*((Table1[[#This Row],[Gestation (days)]]+0.5)/7)-0.00354*((Table1[[#This Row],[Gestation (days)]]+0.5)/7)^2)*Table1[[#This Row],[BW40_3705]],"")</f>
        <v/>
      </c>
      <c r="G5192" s="2" t="str">
        <f>IF(Table1[[#This Row],[Is Data Valid]]=TRUE,((Table1[[#This Row],[Birthweight (grams)]]/Table1[[#This Row],[BW_GA]])-1)/(Backend!$B$4/100*Table1[[#This Row],[BW40_3705]]),"")</f>
        <v/>
      </c>
      <c r="H5192" s="7" t="str">
        <f>IF(Table1[[#This Row],[Is Data Valid]]=TRUE,((Table1[[#This Row],[Birthweight (grams)]]*0.9/Table1[[#This Row],[BW_GA]])-1)/(Backend!$B$4/100*Table1[[#This Row],[BW40_3705]]),"")</f>
        <v/>
      </c>
      <c r="I5192" s="7" t="str">
        <f>IF(Table1[[#This Row],[Is Data Valid]]=TRUE,((Table1[[#This Row],[Birthweight (grams)]]*1.1/Table1[[#This Row],[BW_GA]])-1)/(Backend!$B$4/100*Table1[[#This Row],[BW40_3705]]),"")</f>
        <v/>
      </c>
      <c r="J5192" s="7" t="str">
        <f>IF(Table1[[#This Row],[Is Data Valid]]=TRUE,_xlfn.NORM.S.DIST(Table1[[#This Row],[Birthweight Z-Score]],TRUE)*100,"")</f>
        <v/>
      </c>
      <c r="K5192" s="7" t="str">
        <f>IF(Table1[[#This Row],[Is Data Valid]]=TRUE,_xlfn.NORM.S.DIST(Table1[[#This Row],[Birthweight Z-Score (BW-10%)]],TRUE)*100,"")</f>
        <v/>
      </c>
      <c r="L5192" s="7" t="str">
        <f>IF(Table1[[#This Row],[Is Data Valid]]=TRUE,_xlfn.NORM.S.DIST(Table1[[#This Row],[Birthweight Z-Score (BW+10%)]],TRUE)*100,"")</f>
        <v/>
      </c>
    </row>
    <row r="5193" spans="1:12" x14ac:dyDescent="0.35">
      <c r="A5193" s="3"/>
      <c r="B5193" s="2"/>
      <c r="C5193" s="2"/>
      <c r="D5193" s="2" t="b">
        <f>IF(AND(NOT(ISBLANK(Table1[[#This Row],[Fetal Sex (Male, Female or Unknown)]])),ISNUMBER(Table1[[#This Row],[Birthweight (grams)]]),ISNUMBER(Table1[[#This Row],[Gestation (days)]])),TRUE,FALSE)</f>
        <v>0</v>
      </c>
      <c r="E5193" s="2" t="str">
        <f>IF(Table1[[#This Row],[Is Data Valid]]=TRUE,IF(Table1[[#This Row],[Fetal Sex (Male, Female or Unknown)]]="Male",Backend!$C$6,IF(Table1[[#This Row],[Fetal Sex (Male, Female or Unknown)]]="Female",Backend!$C$7,IF(Table1[[#This Row],[Fetal Sex (Male, Female or Unknown)]]="Unknown",Backend!$C$8,"Error"))),"")</f>
        <v/>
      </c>
      <c r="F5193" s="8" t="str">
        <f>IF(Table1[[#This Row],[Is Data Valid]]=TRUE,EXP(0.578+0.332*((Table1[[#This Row],[Gestation (days)]]+0.5)/7)-0.00354*((Table1[[#This Row],[Gestation (days)]]+0.5)/7)^2)*Table1[[#This Row],[BW40_3705]],"")</f>
        <v/>
      </c>
      <c r="G5193" s="2" t="str">
        <f>IF(Table1[[#This Row],[Is Data Valid]]=TRUE,((Table1[[#This Row],[Birthweight (grams)]]/Table1[[#This Row],[BW_GA]])-1)/(Backend!$B$4/100*Table1[[#This Row],[BW40_3705]]),"")</f>
        <v/>
      </c>
      <c r="H5193" s="7" t="str">
        <f>IF(Table1[[#This Row],[Is Data Valid]]=TRUE,((Table1[[#This Row],[Birthweight (grams)]]*0.9/Table1[[#This Row],[BW_GA]])-1)/(Backend!$B$4/100*Table1[[#This Row],[BW40_3705]]),"")</f>
        <v/>
      </c>
      <c r="I5193" s="7" t="str">
        <f>IF(Table1[[#This Row],[Is Data Valid]]=TRUE,((Table1[[#This Row],[Birthweight (grams)]]*1.1/Table1[[#This Row],[BW_GA]])-1)/(Backend!$B$4/100*Table1[[#This Row],[BW40_3705]]),"")</f>
        <v/>
      </c>
      <c r="J5193" s="7" t="str">
        <f>IF(Table1[[#This Row],[Is Data Valid]]=TRUE,_xlfn.NORM.S.DIST(Table1[[#This Row],[Birthweight Z-Score]],TRUE)*100,"")</f>
        <v/>
      </c>
      <c r="K5193" s="7" t="str">
        <f>IF(Table1[[#This Row],[Is Data Valid]]=TRUE,_xlfn.NORM.S.DIST(Table1[[#This Row],[Birthweight Z-Score (BW-10%)]],TRUE)*100,"")</f>
        <v/>
      </c>
      <c r="L5193" s="7" t="str">
        <f>IF(Table1[[#This Row],[Is Data Valid]]=TRUE,_xlfn.NORM.S.DIST(Table1[[#This Row],[Birthweight Z-Score (BW+10%)]],TRUE)*100,"")</f>
        <v/>
      </c>
    </row>
    <row r="5194" spans="1:12" x14ac:dyDescent="0.35">
      <c r="A5194" s="3"/>
      <c r="B5194" s="2"/>
      <c r="C5194" s="2"/>
      <c r="D5194" s="2" t="b">
        <f>IF(AND(NOT(ISBLANK(Table1[[#This Row],[Fetal Sex (Male, Female or Unknown)]])),ISNUMBER(Table1[[#This Row],[Birthweight (grams)]]),ISNUMBER(Table1[[#This Row],[Gestation (days)]])),TRUE,FALSE)</f>
        <v>0</v>
      </c>
      <c r="E5194" s="2" t="str">
        <f>IF(Table1[[#This Row],[Is Data Valid]]=TRUE,IF(Table1[[#This Row],[Fetal Sex (Male, Female or Unknown)]]="Male",Backend!$C$6,IF(Table1[[#This Row],[Fetal Sex (Male, Female or Unknown)]]="Female",Backend!$C$7,IF(Table1[[#This Row],[Fetal Sex (Male, Female or Unknown)]]="Unknown",Backend!$C$8,"Error"))),"")</f>
        <v/>
      </c>
      <c r="F5194" s="8" t="str">
        <f>IF(Table1[[#This Row],[Is Data Valid]]=TRUE,EXP(0.578+0.332*((Table1[[#This Row],[Gestation (days)]]+0.5)/7)-0.00354*((Table1[[#This Row],[Gestation (days)]]+0.5)/7)^2)*Table1[[#This Row],[BW40_3705]],"")</f>
        <v/>
      </c>
      <c r="G5194" s="2" t="str">
        <f>IF(Table1[[#This Row],[Is Data Valid]]=TRUE,((Table1[[#This Row],[Birthweight (grams)]]/Table1[[#This Row],[BW_GA]])-1)/(Backend!$B$4/100*Table1[[#This Row],[BW40_3705]]),"")</f>
        <v/>
      </c>
      <c r="H5194" s="7" t="str">
        <f>IF(Table1[[#This Row],[Is Data Valid]]=TRUE,((Table1[[#This Row],[Birthweight (grams)]]*0.9/Table1[[#This Row],[BW_GA]])-1)/(Backend!$B$4/100*Table1[[#This Row],[BW40_3705]]),"")</f>
        <v/>
      </c>
      <c r="I5194" s="7" t="str">
        <f>IF(Table1[[#This Row],[Is Data Valid]]=TRUE,((Table1[[#This Row],[Birthweight (grams)]]*1.1/Table1[[#This Row],[BW_GA]])-1)/(Backend!$B$4/100*Table1[[#This Row],[BW40_3705]]),"")</f>
        <v/>
      </c>
      <c r="J5194" s="7" t="str">
        <f>IF(Table1[[#This Row],[Is Data Valid]]=TRUE,_xlfn.NORM.S.DIST(Table1[[#This Row],[Birthweight Z-Score]],TRUE)*100,"")</f>
        <v/>
      </c>
      <c r="K5194" s="7" t="str">
        <f>IF(Table1[[#This Row],[Is Data Valid]]=TRUE,_xlfn.NORM.S.DIST(Table1[[#This Row],[Birthweight Z-Score (BW-10%)]],TRUE)*100,"")</f>
        <v/>
      </c>
      <c r="L5194" s="7" t="str">
        <f>IF(Table1[[#This Row],[Is Data Valid]]=TRUE,_xlfn.NORM.S.DIST(Table1[[#This Row],[Birthweight Z-Score (BW+10%)]],TRUE)*100,"")</f>
        <v/>
      </c>
    </row>
    <row r="5195" spans="1:12" x14ac:dyDescent="0.35">
      <c r="A5195" s="3"/>
      <c r="B5195" s="2"/>
      <c r="C5195" s="2"/>
      <c r="D5195" s="2" t="b">
        <f>IF(AND(NOT(ISBLANK(Table1[[#This Row],[Fetal Sex (Male, Female or Unknown)]])),ISNUMBER(Table1[[#This Row],[Birthweight (grams)]]),ISNUMBER(Table1[[#This Row],[Gestation (days)]])),TRUE,FALSE)</f>
        <v>0</v>
      </c>
      <c r="E5195" s="2" t="str">
        <f>IF(Table1[[#This Row],[Is Data Valid]]=TRUE,IF(Table1[[#This Row],[Fetal Sex (Male, Female or Unknown)]]="Male",Backend!$C$6,IF(Table1[[#This Row],[Fetal Sex (Male, Female or Unknown)]]="Female",Backend!$C$7,IF(Table1[[#This Row],[Fetal Sex (Male, Female or Unknown)]]="Unknown",Backend!$C$8,"Error"))),"")</f>
        <v/>
      </c>
      <c r="F5195" s="8" t="str">
        <f>IF(Table1[[#This Row],[Is Data Valid]]=TRUE,EXP(0.578+0.332*((Table1[[#This Row],[Gestation (days)]]+0.5)/7)-0.00354*((Table1[[#This Row],[Gestation (days)]]+0.5)/7)^2)*Table1[[#This Row],[BW40_3705]],"")</f>
        <v/>
      </c>
      <c r="G5195" s="2" t="str">
        <f>IF(Table1[[#This Row],[Is Data Valid]]=TRUE,((Table1[[#This Row],[Birthweight (grams)]]/Table1[[#This Row],[BW_GA]])-1)/(Backend!$B$4/100*Table1[[#This Row],[BW40_3705]]),"")</f>
        <v/>
      </c>
      <c r="H5195" s="7" t="str">
        <f>IF(Table1[[#This Row],[Is Data Valid]]=TRUE,((Table1[[#This Row],[Birthweight (grams)]]*0.9/Table1[[#This Row],[BW_GA]])-1)/(Backend!$B$4/100*Table1[[#This Row],[BW40_3705]]),"")</f>
        <v/>
      </c>
      <c r="I5195" s="7" t="str">
        <f>IF(Table1[[#This Row],[Is Data Valid]]=TRUE,((Table1[[#This Row],[Birthweight (grams)]]*1.1/Table1[[#This Row],[BW_GA]])-1)/(Backend!$B$4/100*Table1[[#This Row],[BW40_3705]]),"")</f>
        <v/>
      </c>
      <c r="J5195" s="7" t="str">
        <f>IF(Table1[[#This Row],[Is Data Valid]]=TRUE,_xlfn.NORM.S.DIST(Table1[[#This Row],[Birthweight Z-Score]],TRUE)*100,"")</f>
        <v/>
      </c>
      <c r="K5195" s="7" t="str">
        <f>IF(Table1[[#This Row],[Is Data Valid]]=TRUE,_xlfn.NORM.S.DIST(Table1[[#This Row],[Birthweight Z-Score (BW-10%)]],TRUE)*100,"")</f>
        <v/>
      </c>
      <c r="L5195" s="7" t="str">
        <f>IF(Table1[[#This Row],[Is Data Valid]]=TRUE,_xlfn.NORM.S.DIST(Table1[[#This Row],[Birthweight Z-Score (BW+10%)]],TRUE)*100,"")</f>
        <v/>
      </c>
    </row>
    <row r="5196" spans="1:12" x14ac:dyDescent="0.35">
      <c r="A5196" s="3"/>
      <c r="B5196" s="2"/>
      <c r="C5196" s="2"/>
      <c r="D5196" s="2" t="b">
        <f>IF(AND(NOT(ISBLANK(Table1[[#This Row],[Fetal Sex (Male, Female or Unknown)]])),ISNUMBER(Table1[[#This Row],[Birthweight (grams)]]),ISNUMBER(Table1[[#This Row],[Gestation (days)]])),TRUE,FALSE)</f>
        <v>0</v>
      </c>
      <c r="E5196" s="2" t="str">
        <f>IF(Table1[[#This Row],[Is Data Valid]]=TRUE,IF(Table1[[#This Row],[Fetal Sex (Male, Female or Unknown)]]="Male",Backend!$C$6,IF(Table1[[#This Row],[Fetal Sex (Male, Female or Unknown)]]="Female",Backend!$C$7,IF(Table1[[#This Row],[Fetal Sex (Male, Female or Unknown)]]="Unknown",Backend!$C$8,"Error"))),"")</f>
        <v/>
      </c>
      <c r="F5196" s="8" t="str">
        <f>IF(Table1[[#This Row],[Is Data Valid]]=TRUE,EXP(0.578+0.332*((Table1[[#This Row],[Gestation (days)]]+0.5)/7)-0.00354*((Table1[[#This Row],[Gestation (days)]]+0.5)/7)^2)*Table1[[#This Row],[BW40_3705]],"")</f>
        <v/>
      </c>
      <c r="G5196" s="2" t="str">
        <f>IF(Table1[[#This Row],[Is Data Valid]]=TRUE,((Table1[[#This Row],[Birthweight (grams)]]/Table1[[#This Row],[BW_GA]])-1)/(Backend!$B$4/100*Table1[[#This Row],[BW40_3705]]),"")</f>
        <v/>
      </c>
      <c r="H5196" s="7" t="str">
        <f>IF(Table1[[#This Row],[Is Data Valid]]=TRUE,((Table1[[#This Row],[Birthweight (grams)]]*0.9/Table1[[#This Row],[BW_GA]])-1)/(Backend!$B$4/100*Table1[[#This Row],[BW40_3705]]),"")</f>
        <v/>
      </c>
      <c r="I5196" s="7" t="str">
        <f>IF(Table1[[#This Row],[Is Data Valid]]=TRUE,((Table1[[#This Row],[Birthweight (grams)]]*1.1/Table1[[#This Row],[BW_GA]])-1)/(Backend!$B$4/100*Table1[[#This Row],[BW40_3705]]),"")</f>
        <v/>
      </c>
      <c r="J5196" s="7" t="str">
        <f>IF(Table1[[#This Row],[Is Data Valid]]=TRUE,_xlfn.NORM.S.DIST(Table1[[#This Row],[Birthweight Z-Score]],TRUE)*100,"")</f>
        <v/>
      </c>
      <c r="K5196" s="7" t="str">
        <f>IF(Table1[[#This Row],[Is Data Valid]]=TRUE,_xlfn.NORM.S.DIST(Table1[[#This Row],[Birthweight Z-Score (BW-10%)]],TRUE)*100,"")</f>
        <v/>
      </c>
      <c r="L5196" s="7" t="str">
        <f>IF(Table1[[#This Row],[Is Data Valid]]=TRUE,_xlfn.NORM.S.DIST(Table1[[#This Row],[Birthweight Z-Score (BW+10%)]],TRUE)*100,"")</f>
        <v/>
      </c>
    </row>
    <row r="5197" spans="1:12" x14ac:dyDescent="0.35">
      <c r="A5197" s="3"/>
      <c r="B5197" s="2"/>
      <c r="C5197" s="2"/>
      <c r="D5197" s="2" t="b">
        <f>IF(AND(NOT(ISBLANK(Table1[[#This Row],[Fetal Sex (Male, Female or Unknown)]])),ISNUMBER(Table1[[#This Row],[Birthweight (grams)]]),ISNUMBER(Table1[[#This Row],[Gestation (days)]])),TRUE,FALSE)</f>
        <v>0</v>
      </c>
      <c r="E5197" s="2" t="str">
        <f>IF(Table1[[#This Row],[Is Data Valid]]=TRUE,IF(Table1[[#This Row],[Fetal Sex (Male, Female or Unknown)]]="Male",Backend!$C$6,IF(Table1[[#This Row],[Fetal Sex (Male, Female or Unknown)]]="Female",Backend!$C$7,IF(Table1[[#This Row],[Fetal Sex (Male, Female or Unknown)]]="Unknown",Backend!$C$8,"Error"))),"")</f>
        <v/>
      </c>
      <c r="F5197" s="8" t="str">
        <f>IF(Table1[[#This Row],[Is Data Valid]]=TRUE,EXP(0.578+0.332*((Table1[[#This Row],[Gestation (days)]]+0.5)/7)-0.00354*((Table1[[#This Row],[Gestation (days)]]+0.5)/7)^2)*Table1[[#This Row],[BW40_3705]],"")</f>
        <v/>
      </c>
      <c r="G5197" s="2" t="str">
        <f>IF(Table1[[#This Row],[Is Data Valid]]=TRUE,((Table1[[#This Row],[Birthweight (grams)]]/Table1[[#This Row],[BW_GA]])-1)/(Backend!$B$4/100*Table1[[#This Row],[BW40_3705]]),"")</f>
        <v/>
      </c>
      <c r="H5197" s="7" t="str">
        <f>IF(Table1[[#This Row],[Is Data Valid]]=TRUE,((Table1[[#This Row],[Birthweight (grams)]]*0.9/Table1[[#This Row],[BW_GA]])-1)/(Backend!$B$4/100*Table1[[#This Row],[BW40_3705]]),"")</f>
        <v/>
      </c>
      <c r="I5197" s="7" t="str">
        <f>IF(Table1[[#This Row],[Is Data Valid]]=TRUE,((Table1[[#This Row],[Birthweight (grams)]]*1.1/Table1[[#This Row],[BW_GA]])-1)/(Backend!$B$4/100*Table1[[#This Row],[BW40_3705]]),"")</f>
        <v/>
      </c>
      <c r="J5197" s="7" t="str">
        <f>IF(Table1[[#This Row],[Is Data Valid]]=TRUE,_xlfn.NORM.S.DIST(Table1[[#This Row],[Birthweight Z-Score]],TRUE)*100,"")</f>
        <v/>
      </c>
      <c r="K5197" s="7" t="str">
        <f>IF(Table1[[#This Row],[Is Data Valid]]=TRUE,_xlfn.NORM.S.DIST(Table1[[#This Row],[Birthweight Z-Score (BW-10%)]],TRUE)*100,"")</f>
        <v/>
      </c>
      <c r="L5197" s="7" t="str">
        <f>IF(Table1[[#This Row],[Is Data Valid]]=TRUE,_xlfn.NORM.S.DIST(Table1[[#This Row],[Birthweight Z-Score (BW+10%)]],TRUE)*100,"")</f>
        <v/>
      </c>
    </row>
    <row r="5198" spans="1:12" x14ac:dyDescent="0.35">
      <c r="A5198" s="3"/>
      <c r="B5198" s="2"/>
      <c r="C5198" s="2"/>
      <c r="D5198" s="2" t="b">
        <f>IF(AND(NOT(ISBLANK(Table1[[#This Row],[Fetal Sex (Male, Female or Unknown)]])),ISNUMBER(Table1[[#This Row],[Birthweight (grams)]]),ISNUMBER(Table1[[#This Row],[Gestation (days)]])),TRUE,FALSE)</f>
        <v>0</v>
      </c>
      <c r="E5198" s="2" t="str">
        <f>IF(Table1[[#This Row],[Is Data Valid]]=TRUE,IF(Table1[[#This Row],[Fetal Sex (Male, Female or Unknown)]]="Male",Backend!$C$6,IF(Table1[[#This Row],[Fetal Sex (Male, Female or Unknown)]]="Female",Backend!$C$7,IF(Table1[[#This Row],[Fetal Sex (Male, Female or Unknown)]]="Unknown",Backend!$C$8,"Error"))),"")</f>
        <v/>
      </c>
      <c r="F5198" s="8" t="str">
        <f>IF(Table1[[#This Row],[Is Data Valid]]=TRUE,EXP(0.578+0.332*((Table1[[#This Row],[Gestation (days)]]+0.5)/7)-0.00354*((Table1[[#This Row],[Gestation (days)]]+0.5)/7)^2)*Table1[[#This Row],[BW40_3705]],"")</f>
        <v/>
      </c>
      <c r="G5198" s="2" t="str">
        <f>IF(Table1[[#This Row],[Is Data Valid]]=TRUE,((Table1[[#This Row],[Birthweight (grams)]]/Table1[[#This Row],[BW_GA]])-1)/(Backend!$B$4/100*Table1[[#This Row],[BW40_3705]]),"")</f>
        <v/>
      </c>
      <c r="H5198" s="7" t="str">
        <f>IF(Table1[[#This Row],[Is Data Valid]]=TRUE,((Table1[[#This Row],[Birthweight (grams)]]*0.9/Table1[[#This Row],[BW_GA]])-1)/(Backend!$B$4/100*Table1[[#This Row],[BW40_3705]]),"")</f>
        <v/>
      </c>
      <c r="I5198" s="7" t="str">
        <f>IF(Table1[[#This Row],[Is Data Valid]]=TRUE,((Table1[[#This Row],[Birthweight (grams)]]*1.1/Table1[[#This Row],[BW_GA]])-1)/(Backend!$B$4/100*Table1[[#This Row],[BW40_3705]]),"")</f>
        <v/>
      </c>
      <c r="J5198" s="7" t="str">
        <f>IF(Table1[[#This Row],[Is Data Valid]]=TRUE,_xlfn.NORM.S.DIST(Table1[[#This Row],[Birthweight Z-Score]],TRUE)*100,"")</f>
        <v/>
      </c>
      <c r="K5198" s="7" t="str">
        <f>IF(Table1[[#This Row],[Is Data Valid]]=TRUE,_xlfn.NORM.S.DIST(Table1[[#This Row],[Birthweight Z-Score (BW-10%)]],TRUE)*100,"")</f>
        <v/>
      </c>
      <c r="L5198" s="7" t="str">
        <f>IF(Table1[[#This Row],[Is Data Valid]]=TRUE,_xlfn.NORM.S.DIST(Table1[[#This Row],[Birthweight Z-Score (BW+10%)]],TRUE)*100,"")</f>
        <v/>
      </c>
    </row>
    <row r="5199" spans="1:12" x14ac:dyDescent="0.35">
      <c r="A5199" s="3"/>
      <c r="B5199" s="2"/>
      <c r="C5199" s="2"/>
      <c r="D5199" s="2" t="b">
        <f>IF(AND(NOT(ISBLANK(Table1[[#This Row],[Fetal Sex (Male, Female or Unknown)]])),ISNUMBER(Table1[[#This Row],[Birthweight (grams)]]),ISNUMBER(Table1[[#This Row],[Gestation (days)]])),TRUE,FALSE)</f>
        <v>0</v>
      </c>
      <c r="E5199" s="2" t="str">
        <f>IF(Table1[[#This Row],[Is Data Valid]]=TRUE,IF(Table1[[#This Row],[Fetal Sex (Male, Female or Unknown)]]="Male",Backend!$C$6,IF(Table1[[#This Row],[Fetal Sex (Male, Female or Unknown)]]="Female",Backend!$C$7,IF(Table1[[#This Row],[Fetal Sex (Male, Female or Unknown)]]="Unknown",Backend!$C$8,"Error"))),"")</f>
        <v/>
      </c>
      <c r="F5199" s="8" t="str">
        <f>IF(Table1[[#This Row],[Is Data Valid]]=TRUE,EXP(0.578+0.332*((Table1[[#This Row],[Gestation (days)]]+0.5)/7)-0.00354*((Table1[[#This Row],[Gestation (days)]]+0.5)/7)^2)*Table1[[#This Row],[BW40_3705]],"")</f>
        <v/>
      </c>
      <c r="G5199" s="2" t="str">
        <f>IF(Table1[[#This Row],[Is Data Valid]]=TRUE,((Table1[[#This Row],[Birthweight (grams)]]/Table1[[#This Row],[BW_GA]])-1)/(Backend!$B$4/100*Table1[[#This Row],[BW40_3705]]),"")</f>
        <v/>
      </c>
      <c r="H5199" s="7" t="str">
        <f>IF(Table1[[#This Row],[Is Data Valid]]=TRUE,((Table1[[#This Row],[Birthweight (grams)]]*0.9/Table1[[#This Row],[BW_GA]])-1)/(Backend!$B$4/100*Table1[[#This Row],[BW40_3705]]),"")</f>
        <v/>
      </c>
      <c r="I5199" s="7" t="str">
        <f>IF(Table1[[#This Row],[Is Data Valid]]=TRUE,((Table1[[#This Row],[Birthweight (grams)]]*1.1/Table1[[#This Row],[BW_GA]])-1)/(Backend!$B$4/100*Table1[[#This Row],[BW40_3705]]),"")</f>
        <v/>
      </c>
      <c r="J5199" s="7" t="str">
        <f>IF(Table1[[#This Row],[Is Data Valid]]=TRUE,_xlfn.NORM.S.DIST(Table1[[#This Row],[Birthweight Z-Score]],TRUE)*100,"")</f>
        <v/>
      </c>
      <c r="K5199" s="7" t="str">
        <f>IF(Table1[[#This Row],[Is Data Valid]]=TRUE,_xlfn.NORM.S.DIST(Table1[[#This Row],[Birthweight Z-Score (BW-10%)]],TRUE)*100,"")</f>
        <v/>
      </c>
      <c r="L5199" s="7" t="str">
        <f>IF(Table1[[#This Row],[Is Data Valid]]=TRUE,_xlfn.NORM.S.DIST(Table1[[#This Row],[Birthweight Z-Score (BW+10%)]],TRUE)*100,"")</f>
        <v/>
      </c>
    </row>
    <row r="5200" spans="1:12" x14ac:dyDescent="0.35">
      <c r="A5200" s="3"/>
      <c r="B5200" s="2"/>
      <c r="C5200" s="2"/>
      <c r="D5200" s="2" t="b">
        <f>IF(AND(NOT(ISBLANK(Table1[[#This Row],[Fetal Sex (Male, Female or Unknown)]])),ISNUMBER(Table1[[#This Row],[Birthweight (grams)]]),ISNUMBER(Table1[[#This Row],[Gestation (days)]])),TRUE,FALSE)</f>
        <v>0</v>
      </c>
      <c r="E5200" s="2" t="str">
        <f>IF(Table1[[#This Row],[Is Data Valid]]=TRUE,IF(Table1[[#This Row],[Fetal Sex (Male, Female or Unknown)]]="Male",Backend!$C$6,IF(Table1[[#This Row],[Fetal Sex (Male, Female or Unknown)]]="Female",Backend!$C$7,IF(Table1[[#This Row],[Fetal Sex (Male, Female or Unknown)]]="Unknown",Backend!$C$8,"Error"))),"")</f>
        <v/>
      </c>
      <c r="F5200" s="8" t="str">
        <f>IF(Table1[[#This Row],[Is Data Valid]]=TRUE,EXP(0.578+0.332*((Table1[[#This Row],[Gestation (days)]]+0.5)/7)-0.00354*((Table1[[#This Row],[Gestation (days)]]+0.5)/7)^2)*Table1[[#This Row],[BW40_3705]],"")</f>
        <v/>
      </c>
      <c r="G5200" s="2" t="str">
        <f>IF(Table1[[#This Row],[Is Data Valid]]=TRUE,((Table1[[#This Row],[Birthweight (grams)]]/Table1[[#This Row],[BW_GA]])-1)/(Backend!$B$4/100*Table1[[#This Row],[BW40_3705]]),"")</f>
        <v/>
      </c>
      <c r="H5200" s="7" t="str">
        <f>IF(Table1[[#This Row],[Is Data Valid]]=TRUE,((Table1[[#This Row],[Birthweight (grams)]]*0.9/Table1[[#This Row],[BW_GA]])-1)/(Backend!$B$4/100*Table1[[#This Row],[BW40_3705]]),"")</f>
        <v/>
      </c>
      <c r="I5200" s="7" t="str">
        <f>IF(Table1[[#This Row],[Is Data Valid]]=TRUE,((Table1[[#This Row],[Birthweight (grams)]]*1.1/Table1[[#This Row],[BW_GA]])-1)/(Backend!$B$4/100*Table1[[#This Row],[BW40_3705]]),"")</f>
        <v/>
      </c>
      <c r="J5200" s="7" t="str">
        <f>IF(Table1[[#This Row],[Is Data Valid]]=TRUE,_xlfn.NORM.S.DIST(Table1[[#This Row],[Birthweight Z-Score]],TRUE)*100,"")</f>
        <v/>
      </c>
      <c r="K5200" s="7" t="str">
        <f>IF(Table1[[#This Row],[Is Data Valid]]=TRUE,_xlfn.NORM.S.DIST(Table1[[#This Row],[Birthweight Z-Score (BW-10%)]],TRUE)*100,"")</f>
        <v/>
      </c>
      <c r="L5200" s="7" t="str">
        <f>IF(Table1[[#This Row],[Is Data Valid]]=TRUE,_xlfn.NORM.S.DIST(Table1[[#This Row],[Birthweight Z-Score (BW+10%)]],TRUE)*100,"")</f>
        <v/>
      </c>
    </row>
    <row r="5201" spans="1:12" x14ac:dyDescent="0.35">
      <c r="A5201" s="3"/>
      <c r="B5201" s="2"/>
      <c r="C5201" s="2"/>
      <c r="D5201" s="2" t="b">
        <f>IF(AND(NOT(ISBLANK(Table1[[#This Row],[Fetal Sex (Male, Female or Unknown)]])),ISNUMBER(Table1[[#This Row],[Birthweight (grams)]]),ISNUMBER(Table1[[#This Row],[Gestation (days)]])),TRUE,FALSE)</f>
        <v>0</v>
      </c>
      <c r="E5201" s="2" t="str">
        <f>IF(Table1[[#This Row],[Is Data Valid]]=TRUE,IF(Table1[[#This Row],[Fetal Sex (Male, Female or Unknown)]]="Male",Backend!$C$6,IF(Table1[[#This Row],[Fetal Sex (Male, Female or Unknown)]]="Female",Backend!$C$7,IF(Table1[[#This Row],[Fetal Sex (Male, Female or Unknown)]]="Unknown",Backend!$C$8,"Error"))),"")</f>
        <v/>
      </c>
      <c r="F5201" s="8" t="str">
        <f>IF(Table1[[#This Row],[Is Data Valid]]=TRUE,EXP(0.578+0.332*((Table1[[#This Row],[Gestation (days)]]+0.5)/7)-0.00354*((Table1[[#This Row],[Gestation (days)]]+0.5)/7)^2)*Table1[[#This Row],[BW40_3705]],"")</f>
        <v/>
      </c>
      <c r="G5201" s="2" t="str">
        <f>IF(Table1[[#This Row],[Is Data Valid]]=TRUE,((Table1[[#This Row],[Birthweight (grams)]]/Table1[[#This Row],[BW_GA]])-1)/(Backend!$B$4/100*Table1[[#This Row],[BW40_3705]]),"")</f>
        <v/>
      </c>
      <c r="H5201" s="7" t="str">
        <f>IF(Table1[[#This Row],[Is Data Valid]]=TRUE,((Table1[[#This Row],[Birthweight (grams)]]*0.9/Table1[[#This Row],[BW_GA]])-1)/(Backend!$B$4/100*Table1[[#This Row],[BW40_3705]]),"")</f>
        <v/>
      </c>
      <c r="I5201" s="7" t="str">
        <f>IF(Table1[[#This Row],[Is Data Valid]]=TRUE,((Table1[[#This Row],[Birthweight (grams)]]*1.1/Table1[[#This Row],[BW_GA]])-1)/(Backend!$B$4/100*Table1[[#This Row],[BW40_3705]]),"")</f>
        <v/>
      </c>
      <c r="J5201" s="7" t="str">
        <f>IF(Table1[[#This Row],[Is Data Valid]]=TRUE,_xlfn.NORM.S.DIST(Table1[[#This Row],[Birthweight Z-Score]],TRUE)*100,"")</f>
        <v/>
      </c>
      <c r="K5201" s="7" t="str">
        <f>IF(Table1[[#This Row],[Is Data Valid]]=TRUE,_xlfn.NORM.S.DIST(Table1[[#This Row],[Birthweight Z-Score (BW-10%)]],TRUE)*100,"")</f>
        <v/>
      </c>
      <c r="L5201" s="7" t="str">
        <f>IF(Table1[[#This Row],[Is Data Valid]]=TRUE,_xlfn.NORM.S.DIST(Table1[[#This Row],[Birthweight Z-Score (BW+10%)]],TRUE)*100,"")</f>
        <v/>
      </c>
    </row>
    <row r="5202" spans="1:12" x14ac:dyDescent="0.35">
      <c r="A5202" s="3"/>
      <c r="B5202" s="2"/>
      <c r="C5202" s="2"/>
      <c r="D5202" s="2" t="b">
        <f>IF(AND(NOT(ISBLANK(Table1[[#This Row],[Fetal Sex (Male, Female or Unknown)]])),ISNUMBER(Table1[[#This Row],[Birthweight (grams)]]),ISNUMBER(Table1[[#This Row],[Gestation (days)]])),TRUE,FALSE)</f>
        <v>0</v>
      </c>
      <c r="E5202" s="2" t="str">
        <f>IF(Table1[[#This Row],[Is Data Valid]]=TRUE,IF(Table1[[#This Row],[Fetal Sex (Male, Female or Unknown)]]="Male",Backend!$C$6,IF(Table1[[#This Row],[Fetal Sex (Male, Female or Unknown)]]="Female",Backend!$C$7,IF(Table1[[#This Row],[Fetal Sex (Male, Female or Unknown)]]="Unknown",Backend!$C$8,"Error"))),"")</f>
        <v/>
      </c>
      <c r="F5202" s="8" t="str">
        <f>IF(Table1[[#This Row],[Is Data Valid]]=TRUE,EXP(0.578+0.332*((Table1[[#This Row],[Gestation (days)]]+0.5)/7)-0.00354*((Table1[[#This Row],[Gestation (days)]]+0.5)/7)^2)*Table1[[#This Row],[BW40_3705]],"")</f>
        <v/>
      </c>
      <c r="G5202" s="2" t="str">
        <f>IF(Table1[[#This Row],[Is Data Valid]]=TRUE,((Table1[[#This Row],[Birthweight (grams)]]/Table1[[#This Row],[BW_GA]])-1)/(Backend!$B$4/100*Table1[[#This Row],[BW40_3705]]),"")</f>
        <v/>
      </c>
      <c r="H5202" s="7" t="str">
        <f>IF(Table1[[#This Row],[Is Data Valid]]=TRUE,((Table1[[#This Row],[Birthweight (grams)]]*0.9/Table1[[#This Row],[BW_GA]])-1)/(Backend!$B$4/100*Table1[[#This Row],[BW40_3705]]),"")</f>
        <v/>
      </c>
      <c r="I5202" s="7" t="str">
        <f>IF(Table1[[#This Row],[Is Data Valid]]=TRUE,((Table1[[#This Row],[Birthweight (grams)]]*1.1/Table1[[#This Row],[BW_GA]])-1)/(Backend!$B$4/100*Table1[[#This Row],[BW40_3705]]),"")</f>
        <v/>
      </c>
      <c r="J5202" s="7" t="str">
        <f>IF(Table1[[#This Row],[Is Data Valid]]=TRUE,_xlfn.NORM.S.DIST(Table1[[#This Row],[Birthweight Z-Score]],TRUE)*100,"")</f>
        <v/>
      </c>
      <c r="K5202" s="7" t="str">
        <f>IF(Table1[[#This Row],[Is Data Valid]]=TRUE,_xlfn.NORM.S.DIST(Table1[[#This Row],[Birthweight Z-Score (BW-10%)]],TRUE)*100,"")</f>
        <v/>
      </c>
      <c r="L5202" s="7" t="str">
        <f>IF(Table1[[#This Row],[Is Data Valid]]=TRUE,_xlfn.NORM.S.DIST(Table1[[#This Row],[Birthweight Z-Score (BW+10%)]],TRUE)*100,"")</f>
        <v/>
      </c>
    </row>
    <row r="5203" spans="1:12" x14ac:dyDescent="0.35">
      <c r="A5203" s="3"/>
      <c r="B5203" s="2"/>
      <c r="C5203" s="2"/>
      <c r="D5203" s="2" t="b">
        <f>IF(AND(NOT(ISBLANK(Table1[[#This Row],[Fetal Sex (Male, Female or Unknown)]])),ISNUMBER(Table1[[#This Row],[Birthweight (grams)]]),ISNUMBER(Table1[[#This Row],[Gestation (days)]])),TRUE,FALSE)</f>
        <v>0</v>
      </c>
      <c r="E5203" s="2" t="str">
        <f>IF(Table1[[#This Row],[Is Data Valid]]=TRUE,IF(Table1[[#This Row],[Fetal Sex (Male, Female or Unknown)]]="Male",Backend!$C$6,IF(Table1[[#This Row],[Fetal Sex (Male, Female or Unknown)]]="Female",Backend!$C$7,IF(Table1[[#This Row],[Fetal Sex (Male, Female or Unknown)]]="Unknown",Backend!$C$8,"Error"))),"")</f>
        <v/>
      </c>
      <c r="F5203" s="8" t="str">
        <f>IF(Table1[[#This Row],[Is Data Valid]]=TRUE,EXP(0.578+0.332*((Table1[[#This Row],[Gestation (days)]]+0.5)/7)-0.00354*((Table1[[#This Row],[Gestation (days)]]+0.5)/7)^2)*Table1[[#This Row],[BW40_3705]],"")</f>
        <v/>
      </c>
      <c r="G5203" s="2" t="str">
        <f>IF(Table1[[#This Row],[Is Data Valid]]=TRUE,((Table1[[#This Row],[Birthweight (grams)]]/Table1[[#This Row],[BW_GA]])-1)/(Backend!$B$4/100*Table1[[#This Row],[BW40_3705]]),"")</f>
        <v/>
      </c>
      <c r="H5203" s="7" t="str">
        <f>IF(Table1[[#This Row],[Is Data Valid]]=TRUE,((Table1[[#This Row],[Birthweight (grams)]]*0.9/Table1[[#This Row],[BW_GA]])-1)/(Backend!$B$4/100*Table1[[#This Row],[BW40_3705]]),"")</f>
        <v/>
      </c>
      <c r="I5203" s="7" t="str">
        <f>IF(Table1[[#This Row],[Is Data Valid]]=TRUE,((Table1[[#This Row],[Birthweight (grams)]]*1.1/Table1[[#This Row],[BW_GA]])-1)/(Backend!$B$4/100*Table1[[#This Row],[BW40_3705]]),"")</f>
        <v/>
      </c>
      <c r="J5203" s="7" t="str">
        <f>IF(Table1[[#This Row],[Is Data Valid]]=TRUE,_xlfn.NORM.S.DIST(Table1[[#This Row],[Birthweight Z-Score]],TRUE)*100,"")</f>
        <v/>
      </c>
      <c r="K5203" s="7" t="str">
        <f>IF(Table1[[#This Row],[Is Data Valid]]=TRUE,_xlfn.NORM.S.DIST(Table1[[#This Row],[Birthweight Z-Score (BW-10%)]],TRUE)*100,"")</f>
        <v/>
      </c>
      <c r="L5203" s="7" t="str">
        <f>IF(Table1[[#This Row],[Is Data Valid]]=TRUE,_xlfn.NORM.S.DIST(Table1[[#This Row],[Birthweight Z-Score (BW+10%)]],TRUE)*100,"")</f>
        <v/>
      </c>
    </row>
    <row r="5204" spans="1:12" x14ac:dyDescent="0.35">
      <c r="A5204" s="3"/>
      <c r="B5204" s="2"/>
      <c r="C5204" s="2"/>
      <c r="D5204" s="2" t="b">
        <f>IF(AND(NOT(ISBLANK(Table1[[#This Row],[Fetal Sex (Male, Female or Unknown)]])),ISNUMBER(Table1[[#This Row],[Birthweight (grams)]]),ISNUMBER(Table1[[#This Row],[Gestation (days)]])),TRUE,FALSE)</f>
        <v>0</v>
      </c>
      <c r="E5204" s="2" t="str">
        <f>IF(Table1[[#This Row],[Is Data Valid]]=TRUE,IF(Table1[[#This Row],[Fetal Sex (Male, Female or Unknown)]]="Male",Backend!$C$6,IF(Table1[[#This Row],[Fetal Sex (Male, Female or Unknown)]]="Female",Backend!$C$7,IF(Table1[[#This Row],[Fetal Sex (Male, Female or Unknown)]]="Unknown",Backend!$C$8,"Error"))),"")</f>
        <v/>
      </c>
      <c r="F5204" s="8" t="str">
        <f>IF(Table1[[#This Row],[Is Data Valid]]=TRUE,EXP(0.578+0.332*((Table1[[#This Row],[Gestation (days)]]+0.5)/7)-0.00354*((Table1[[#This Row],[Gestation (days)]]+0.5)/7)^2)*Table1[[#This Row],[BW40_3705]],"")</f>
        <v/>
      </c>
      <c r="G5204" s="2" t="str">
        <f>IF(Table1[[#This Row],[Is Data Valid]]=TRUE,((Table1[[#This Row],[Birthweight (grams)]]/Table1[[#This Row],[BW_GA]])-1)/(Backend!$B$4/100*Table1[[#This Row],[BW40_3705]]),"")</f>
        <v/>
      </c>
      <c r="H5204" s="7" t="str">
        <f>IF(Table1[[#This Row],[Is Data Valid]]=TRUE,((Table1[[#This Row],[Birthweight (grams)]]*0.9/Table1[[#This Row],[BW_GA]])-1)/(Backend!$B$4/100*Table1[[#This Row],[BW40_3705]]),"")</f>
        <v/>
      </c>
      <c r="I5204" s="7" t="str">
        <f>IF(Table1[[#This Row],[Is Data Valid]]=TRUE,((Table1[[#This Row],[Birthweight (grams)]]*1.1/Table1[[#This Row],[BW_GA]])-1)/(Backend!$B$4/100*Table1[[#This Row],[BW40_3705]]),"")</f>
        <v/>
      </c>
      <c r="J5204" s="7" t="str">
        <f>IF(Table1[[#This Row],[Is Data Valid]]=TRUE,_xlfn.NORM.S.DIST(Table1[[#This Row],[Birthweight Z-Score]],TRUE)*100,"")</f>
        <v/>
      </c>
      <c r="K5204" s="7" t="str">
        <f>IF(Table1[[#This Row],[Is Data Valid]]=TRUE,_xlfn.NORM.S.DIST(Table1[[#This Row],[Birthweight Z-Score (BW-10%)]],TRUE)*100,"")</f>
        <v/>
      </c>
      <c r="L5204" s="7" t="str">
        <f>IF(Table1[[#This Row],[Is Data Valid]]=TRUE,_xlfn.NORM.S.DIST(Table1[[#This Row],[Birthweight Z-Score (BW+10%)]],TRUE)*100,"")</f>
        <v/>
      </c>
    </row>
    <row r="5205" spans="1:12" x14ac:dyDescent="0.35">
      <c r="A5205" s="3"/>
      <c r="B5205" s="2"/>
      <c r="C5205" s="2"/>
      <c r="D5205" s="2" t="b">
        <f>IF(AND(NOT(ISBLANK(Table1[[#This Row],[Fetal Sex (Male, Female or Unknown)]])),ISNUMBER(Table1[[#This Row],[Birthweight (grams)]]),ISNUMBER(Table1[[#This Row],[Gestation (days)]])),TRUE,FALSE)</f>
        <v>0</v>
      </c>
      <c r="E5205" s="2" t="str">
        <f>IF(Table1[[#This Row],[Is Data Valid]]=TRUE,IF(Table1[[#This Row],[Fetal Sex (Male, Female or Unknown)]]="Male",Backend!$C$6,IF(Table1[[#This Row],[Fetal Sex (Male, Female or Unknown)]]="Female",Backend!$C$7,IF(Table1[[#This Row],[Fetal Sex (Male, Female or Unknown)]]="Unknown",Backend!$C$8,"Error"))),"")</f>
        <v/>
      </c>
      <c r="F5205" s="8" t="str">
        <f>IF(Table1[[#This Row],[Is Data Valid]]=TRUE,EXP(0.578+0.332*((Table1[[#This Row],[Gestation (days)]]+0.5)/7)-0.00354*((Table1[[#This Row],[Gestation (days)]]+0.5)/7)^2)*Table1[[#This Row],[BW40_3705]],"")</f>
        <v/>
      </c>
      <c r="G5205" s="2" t="str">
        <f>IF(Table1[[#This Row],[Is Data Valid]]=TRUE,((Table1[[#This Row],[Birthweight (grams)]]/Table1[[#This Row],[BW_GA]])-1)/(Backend!$B$4/100*Table1[[#This Row],[BW40_3705]]),"")</f>
        <v/>
      </c>
      <c r="H5205" s="7" t="str">
        <f>IF(Table1[[#This Row],[Is Data Valid]]=TRUE,((Table1[[#This Row],[Birthweight (grams)]]*0.9/Table1[[#This Row],[BW_GA]])-1)/(Backend!$B$4/100*Table1[[#This Row],[BW40_3705]]),"")</f>
        <v/>
      </c>
      <c r="I5205" s="7" t="str">
        <f>IF(Table1[[#This Row],[Is Data Valid]]=TRUE,((Table1[[#This Row],[Birthweight (grams)]]*1.1/Table1[[#This Row],[BW_GA]])-1)/(Backend!$B$4/100*Table1[[#This Row],[BW40_3705]]),"")</f>
        <v/>
      </c>
      <c r="J5205" s="7" t="str">
        <f>IF(Table1[[#This Row],[Is Data Valid]]=TRUE,_xlfn.NORM.S.DIST(Table1[[#This Row],[Birthweight Z-Score]],TRUE)*100,"")</f>
        <v/>
      </c>
      <c r="K5205" s="7" t="str">
        <f>IF(Table1[[#This Row],[Is Data Valid]]=TRUE,_xlfn.NORM.S.DIST(Table1[[#This Row],[Birthweight Z-Score (BW-10%)]],TRUE)*100,"")</f>
        <v/>
      </c>
      <c r="L5205" s="7" t="str">
        <f>IF(Table1[[#This Row],[Is Data Valid]]=TRUE,_xlfn.NORM.S.DIST(Table1[[#This Row],[Birthweight Z-Score (BW+10%)]],TRUE)*100,"")</f>
        <v/>
      </c>
    </row>
    <row r="5206" spans="1:12" x14ac:dyDescent="0.35">
      <c r="A5206" s="3"/>
      <c r="B5206" s="2"/>
      <c r="C5206" s="2"/>
      <c r="D5206" s="2" t="b">
        <f>IF(AND(NOT(ISBLANK(Table1[[#This Row],[Fetal Sex (Male, Female or Unknown)]])),ISNUMBER(Table1[[#This Row],[Birthweight (grams)]]),ISNUMBER(Table1[[#This Row],[Gestation (days)]])),TRUE,FALSE)</f>
        <v>0</v>
      </c>
      <c r="E5206" s="2" t="str">
        <f>IF(Table1[[#This Row],[Is Data Valid]]=TRUE,IF(Table1[[#This Row],[Fetal Sex (Male, Female or Unknown)]]="Male",Backend!$C$6,IF(Table1[[#This Row],[Fetal Sex (Male, Female or Unknown)]]="Female",Backend!$C$7,IF(Table1[[#This Row],[Fetal Sex (Male, Female or Unknown)]]="Unknown",Backend!$C$8,"Error"))),"")</f>
        <v/>
      </c>
      <c r="F5206" s="8" t="str">
        <f>IF(Table1[[#This Row],[Is Data Valid]]=TRUE,EXP(0.578+0.332*((Table1[[#This Row],[Gestation (days)]]+0.5)/7)-0.00354*((Table1[[#This Row],[Gestation (days)]]+0.5)/7)^2)*Table1[[#This Row],[BW40_3705]],"")</f>
        <v/>
      </c>
      <c r="G5206" s="2" t="str">
        <f>IF(Table1[[#This Row],[Is Data Valid]]=TRUE,((Table1[[#This Row],[Birthweight (grams)]]/Table1[[#This Row],[BW_GA]])-1)/(Backend!$B$4/100*Table1[[#This Row],[BW40_3705]]),"")</f>
        <v/>
      </c>
      <c r="H5206" s="7" t="str">
        <f>IF(Table1[[#This Row],[Is Data Valid]]=TRUE,((Table1[[#This Row],[Birthweight (grams)]]*0.9/Table1[[#This Row],[BW_GA]])-1)/(Backend!$B$4/100*Table1[[#This Row],[BW40_3705]]),"")</f>
        <v/>
      </c>
      <c r="I5206" s="7" t="str">
        <f>IF(Table1[[#This Row],[Is Data Valid]]=TRUE,((Table1[[#This Row],[Birthweight (grams)]]*1.1/Table1[[#This Row],[BW_GA]])-1)/(Backend!$B$4/100*Table1[[#This Row],[BW40_3705]]),"")</f>
        <v/>
      </c>
      <c r="J5206" s="7" t="str">
        <f>IF(Table1[[#This Row],[Is Data Valid]]=TRUE,_xlfn.NORM.S.DIST(Table1[[#This Row],[Birthweight Z-Score]],TRUE)*100,"")</f>
        <v/>
      </c>
      <c r="K5206" s="7" t="str">
        <f>IF(Table1[[#This Row],[Is Data Valid]]=TRUE,_xlfn.NORM.S.DIST(Table1[[#This Row],[Birthweight Z-Score (BW-10%)]],TRUE)*100,"")</f>
        <v/>
      </c>
      <c r="L5206" s="7" t="str">
        <f>IF(Table1[[#This Row],[Is Data Valid]]=TRUE,_xlfn.NORM.S.DIST(Table1[[#This Row],[Birthweight Z-Score (BW+10%)]],TRUE)*100,"")</f>
        <v/>
      </c>
    </row>
    <row r="5207" spans="1:12" x14ac:dyDescent="0.35">
      <c r="A5207" s="3"/>
      <c r="B5207" s="2"/>
      <c r="C5207" s="2"/>
      <c r="D5207" s="2" t="b">
        <f>IF(AND(NOT(ISBLANK(Table1[[#This Row],[Fetal Sex (Male, Female or Unknown)]])),ISNUMBER(Table1[[#This Row],[Birthweight (grams)]]),ISNUMBER(Table1[[#This Row],[Gestation (days)]])),TRUE,FALSE)</f>
        <v>0</v>
      </c>
      <c r="E5207" s="2" t="str">
        <f>IF(Table1[[#This Row],[Is Data Valid]]=TRUE,IF(Table1[[#This Row],[Fetal Sex (Male, Female or Unknown)]]="Male",Backend!$C$6,IF(Table1[[#This Row],[Fetal Sex (Male, Female or Unknown)]]="Female",Backend!$C$7,IF(Table1[[#This Row],[Fetal Sex (Male, Female or Unknown)]]="Unknown",Backend!$C$8,"Error"))),"")</f>
        <v/>
      </c>
      <c r="F5207" s="8" t="str">
        <f>IF(Table1[[#This Row],[Is Data Valid]]=TRUE,EXP(0.578+0.332*((Table1[[#This Row],[Gestation (days)]]+0.5)/7)-0.00354*((Table1[[#This Row],[Gestation (days)]]+0.5)/7)^2)*Table1[[#This Row],[BW40_3705]],"")</f>
        <v/>
      </c>
      <c r="G5207" s="2" t="str">
        <f>IF(Table1[[#This Row],[Is Data Valid]]=TRUE,((Table1[[#This Row],[Birthweight (grams)]]/Table1[[#This Row],[BW_GA]])-1)/(Backend!$B$4/100*Table1[[#This Row],[BW40_3705]]),"")</f>
        <v/>
      </c>
      <c r="H5207" s="7" t="str">
        <f>IF(Table1[[#This Row],[Is Data Valid]]=TRUE,((Table1[[#This Row],[Birthweight (grams)]]*0.9/Table1[[#This Row],[BW_GA]])-1)/(Backend!$B$4/100*Table1[[#This Row],[BW40_3705]]),"")</f>
        <v/>
      </c>
      <c r="I5207" s="7" t="str">
        <f>IF(Table1[[#This Row],[Is Data Valid]]=TRUE,((Table1[[#This Row],[Birthweight (grams)]]*1.1/Table1[[#This Row],[BW_GA]])-1)/(Backend!$B$4/100*Table1[[#This Row],[BW40_3705]]),"")</f>
        <v/>
      </c>
      <c r="J5207" s="7" t="str">
        <f>IF(Table1[[#This Row],[Is Data Valid]]=TRUE,_xlfn.NORM.S.DIST(Table1[[#This Row],[Birthweight Z-Score]],TRUE)*100,"")</f>
        <v/>
      </c>
      <c r="K5207" s="7" t="str">
        <f>IF(Table1[[#This Row],[Is Data Valid]]=TRUE,_xlfn.NORM.S.DIST(Table1[[#This Row],[Birthweight Z-Score (BW-10%)]],TRUE)*100,"")</f>
        <v/>
      </c>
      <c r="L5207" s="7" t="str">
        <f>IF(Table1[[#This Row],[Is Data Valid]]=TRUE,_xlfn.NORM.S.DIST(Table1[[#This Row],[Birthweight Z-Score (BW+10%)]],TRUE)*100,"")</f>
        <v/>
      </c>
    </row>
    <row r="5208" spans="1:12" x14ac:dyDescent="0.35">
      <c r="A5208" s="3"/>
      <c r="B5208" s="2"/>
      <c r="C5208" s="2"/>
      <c r="D5208" s="2" t="b">
        <f>IF(AND(NOT(ISBLANK(Table1[[#This Row],[Fetal Sex (Male, Female or Unknown)]])),ISNUMBER(Table1[[#This Row],[Birthweight (grams)]]),ISNUMBER(Table1[[#This Row],[Gestation (days)]])),TRUE,FALSE)</f>
        <v>0</v>
      </c>
      <c r="E5208" s="2" t="str">
        <f>IF(Table1[[#This Row],[Is Data Valid]]=TRUE,IF(Table1[[#This Row],[Fetal Sex (Male, Female or Unknown)]]="Male",Backend!$C$6,IF(Table1[[#This Row],[Fetal Sex (Male, Female or Unknown)]]="Female",Backend!$C$7,IF(Table1[[#This Row],[Fetal Sex (Male, Female or Unknown)]]="Unknown",Backend!$C$8,"Error"))),"")</f>
        <v/>
      </c>
      <c r="F5208" s="8" t="str">
        <f>IF(Table1[[#This Row],[Is Data Valid]]=TRUE,EXP(0.578+0.332*((Table1[[#This Row],[Gestation (days)]]+0.5)/7)-0.00354*((Table1[[#This Row],[Gestation (days)]]+0.5)/7)^2)*Table1[[#This Row],[BW40_3705]],"")</f>
        <v/>
      </c>
      <c r="G5208" s="2" t="str">
        <f>IF(Table1[[#This Row],[Is Data Valid]]=TRUE,((Table1[[#This Row],[Birthweight (grams)]]/Table1[[#This Row],[BW_GA]])-1)/(Backend!$B$4/100*Table1[[#This Row],[BW40_3705]]),"")</f>
        <v/>
      </c>
      <c r="H5208" s="7" t="str">
        <f>IF(Table1[[#This Row],[Is Data Valid]]=TRUE,((Table1[[#This Row],[Birthweight (grams)]]*0.9/Table1[[#This Row],[BW_GA]])-1)/(Backend!$B$4/100*Table1[[#This Row],[BW40_3705]]),"")</f>
        <v/>
      </c>
      <c r="I5208" s="7" t="str">
        <f>IF(Table1[[#This Row],[Is Data Valid]]=TRUE,((Table1[[#This Row],[Birthweight (grams)]]*1.1/Table1[[#This Row],[BW_GA]])-1)/(Backend!$B$4/100*Table1[[#This Row],[BW40_3705]]),"")</f>
        <v/>
      </c>
      <c r="J5208" s="7" t="str">
        <f>IF(Table1[[#This Row],[Is Data Valid]]=TRUE,_xlfn.NORM.S.DIST(Table1[[#This Row],[Birthweight Z-Score]],TRUE)*100,"")</f>
        <v/>
      </c>
      <c r="K5208" s="7" t="str">
        <f>IF(Table1[[#This Row],[Is Data Valid]]=TRUE,_xlfn.NORM.S.DIST(Table1[[#This Row],[Birthweight Z-Score (BW-10%)]],TRUE)*100,"")</f>
        <v/>
      </c>
      <c r="L5208" s="7" t="str">
        <f>IF(Table1[[#This Row],[Is Data Valid]]=TRUE,_xlfn.NORM.S.DIST(Table1[[#This Row],[Birthweight Z-Score (BW+10%)]],TRUE)*100,"")</f>
        <v/>
      </c>
    </row>
    <row r="5209" spans="1:12" x14ac:dyDescent="0.35">
      <c r="A5209" s="3"/>
      <c r="B5209" s="2"/>
      <c r="C5209" s="2"/>
      <c r="D5209" s="2" t="b">
        <f>IF(AND(NOT(ISBLANK(Table1[[#This Row],[Fetal Sex (Male, Female or Unknown)]])),ISNUMBER(Table1[[#This Row],[Birthweight (grams)]]),ISNUMBER(Table1[[#This Row],[Gestation (days)]])),TRUE,FALSE)</f>
        <v>0</v>
      </c>
      <c r="E5209" s="2" t="str">
        <f>IF(Table1[[#This Row],[Is Data Valid]]=TRUE,IF(Table1[[#This Row],[Fetal Sex (Male, Female or Unknown)]]="Male",Backend!$C$6,IF(Table1[[#This Row],[Fetal Sex (Male, Female or Unknown)]]="Female",Backend!$C$7,IF(Table1[[#This Row],[Fetal Sex (Male, Female or Unknown)]]="Unknown",Backend!$C$8,"Error"))),"")</f>
        <v/>
      </c>
      <c r="F5209" s="8" t="str">
        <f>IF(Table1[[#This Row],[Is Data Valid]]=TRUE,EXP(0.578+0.332*((Table1[[#This Row],[Gestation (days)]]+0.5)/7)-0.00354*((Table1[[#This Row],[Gestation (days)]]+0.5)/7)^2)*Table1[[#This Row],[BW40_3705]],"")</f>
        <v/>
      </c>
      <c r="G5209" s="2" t="str">
        <f>IF(Table1[[#This Row],[Is Data Valid]]=TRUE,((Table1[[#This Row],[Birthweight (grams)]]/Table1[[#This Row],[BW_GA]])-1)/(Backend!$B$4/100*Table1[[#This Row],[BW40_3705]]),"")</f>
        <v/>
      </c>
      <c r="H5209" s="7" t="str">
        <f>IF(Table1[[#This Row],[Is Data Valid]]=TRUE,((Table1[[#This Row],[Birthweight (grams)]]*0.9/Table1[[#This Row],[BW_GA]])-1)/(Backend!$B$4/100*Table1[[#This Row],[BW40_3705]]),"")</f>
        <v/>
      </c>
      <c r="I5209" s="7" t="str">
        <f>IF(Table1[[#This Row],[Is Data Valid]]=TRUE,((Table1[[#This Row],[Birthweight (grams)]]*1.1/Table1[[#This Row],[BW_GA]])-1)/(Backend!$B$4/100*Table1[[#This Row],[BW40_3705]]),"")</f>
        <v/>
      </c>
      <c r="J5209" s="7" t="str">
        <f>IF(Table1[[#This Row],[Is Data Valid]]=TRUE,_xlfn.NORM.S.DIST(Table1[[#This Row],[Birthweight Z-Score]],TRUE)*100,"")</f>
        <v/>
      </c>
      <c r="K5209" s="7" t="str">
        <f>IF(Table1[[#This Row],[Is Data Valid]]=TRUE,_xlfn.NORM.S.DIST(Table1[[#This Row],[Birthweight Z-Score (BW-10%)]],TRUE)*100,"")</f>
        <v/>
      </c>
      <c r="L5209" s="7" t="str">
        <f>IF(Table1[[#This Row],[Is Data Valid]]=TRUE,_xlfn.NORM.S.DIST(Table1[[#This Row],[Birthweight Z-Score (BW+10%)]],TRUE)*100,"")</f>
        <v/>
      </c>
    </row>
    <row r="5210" spans="1:12" x14ac:dyDescent="0.35">
      <c r="A5210" s="3"/>
      <c r="B5210" s="2"/>
      <c r="C5210" s="2"/>
      <c r="D5210" s="2" t="b">
        <f>IF(AND(NOT(ISBLANK(Table1[[#This Row],[Fetal Sex (Male, Female or Unknown)]])),ISNUMBER(Table1[[#This Row],[Birthweight (grams)]]),ISNUMBER(Table1[[#This Row],[Gestation (days)]])),TRUE,FALSE)</f>
        <v>0</v>
      </c>
      <c r="E5210" s="2" t="str">
        <f>IF(Table1[[#This Row],[Is Data Valid]]=TRUE,IF(Table1[[#This Row],[Fetal Sex (Male, Female or Unknown)]]="Male",Backend!$C$6,IF(Table1[[#This Row],[Fetal Sex (Male, Female or Unknown)]]="Female",Backend!$C$7,IF(Table1[[#This Row],[Fetal Sex (Male, Female or Unknown)]]="Unknown",Backend!$C$8,"Error"))),"")</f>
        <v/>
      </c>
      <c r="F5210" s="8" t="str">
        <f>IF(Table1[[#This Row],[Is Data Valid]]=TRUE,EXP(0.578+0.332*((Table1[[#This Row],[Gestation (days)]]+0.5)/7)-0.00354*((Table1[[#This Row],[Gestation (days)]]+0.5)/7)^2)*Table1[[#This Row],[BW40_3705]],"")</f>
        <v/>
      </c>
      <c r="G5210" s="2" t="str">
        <f>IF(Table1[[#This Row],[Is Data Valid]]=TRUE,((Table1[[#This Row],[Birthweight (grams)]]/Table1[[#This Row],[BW_GA]])-1)/(Backend!$B$4/100*Table1[[#This Row],[BW40_3705]]),"")</f>
        <v/>
      </c>
      <c r="H5210" s="7" t="str">
        <f>IF(Table1[[#This Row],[Is Data Valid]]=TRUE,((Table1[[#This Row],[Birthweight (grams)]]*0.9/Table1[[#This Row],[BW_GA]])-1)/(Backend!$B$4/100*Table1[[#This Row],[BW40_3705]]),"")</f>
        <v/>
      </c>
      <c r="I5210" s="7" t="str">
        <f>IF(Table1[[#This Row],[Is Data Valid]]=TRUE,((Table1[[#This Row],[Birthweight (grams)]]*1.1/Table1[[#This Row],[BW_GA]])-1)/(Backend!$B$4/100*Table1[[#This Row],[BW40_3705]]),"")</f>
        <v/>
      </c>
      <c r="J5210" s="7" t="str">
        <f>IF(Table1[[#This Row],[Is Data Valid]]=TRUE,_xlfn.NORM.S.DIST(Table1[[#This Row],[Birthweight Z-Score]],TRUE)*100,"")</f>
        <v/>
      </c>
      <c r="K5210" s="7" t="str">
        <f>IF(Table1[[#This Row],[Is Data Valid]]=TRUE,_xlfn.NORM.S.DIST(Table1[[#This Row],[Birthweight Z-Score (BW-10%)]],TRUE)*100,"")</f>
        <v/>
      </c>
      <c r="L5210" s="7" t="str">
        <f>IF(Table1[[#This Row],[Is Data Valid]]=TRUE,_xlfn.NORM.S.DIST(Table1[[#This Row],[Birthweight Z-Score (BW+10%)]],TRUE)*100,"")</f>
        <v/>
      </c>
    </row>
    <row r="5211" spans="1:12" x14ac:dyDescent="0.35">
      <c r="A5211" s="3"/>
      <c r="B5211" s="2"/>
      <c r="C5211" s="2"/>
      <c r="D5211" s="2" t="b">
        <f>IF(AND(NOT(ISBLANK(Table1[[#This Row],[Fetal Sex (Male, Female or Unknown)]])),ISNUMBER(Table1[[#This Row],[Birthweight (grams)]]),ISNUMBER(Table1[[#This Row],[Gestation (days)]])),TRUE,FALSE)</f>
        <v>0</v>
      </c>
      <c r="E5211" s="2" t="str">
        <f>IF(Table1[[#This Row],[Is Data Valid]]=TRUE,IF(Table1[[#This Row],[Fetal Sex (Male, Female or Unknown)]]="Male",Backend!$C$6,IF(Table1[[#This Row],[Fetal Sex (Male, Female or Unknown)]]="Female",Backend!$C$7,IF(Table1[[#This Row],[Fetal Sex (Male, Female or Unknown)]]="Unknown",Backend!$C$8,"Error"))),"")</f>
        <v/>
      </c>
      <c r="F5211" s="8" t="str">
        <f>IF(Table1[[#This Row],[Is Data Valid]]=TRUE,EXP(0.578+0.332*((Table1[[#This Row],[Gestation (days)]]+0.5)/7)-0.00354*((Table1[[#This Row],[Gestation (days)]]+0.5)/7)^2)*Table1[[#This Row],[BW40_3705]],"")</f>
        <v/>
      </c>
      <c r="G5211" s="2" t="str">
        <f>IF(Table1[[#This Row],[Is Data Valid]]=TRUE,((Table1[[#This Row],[Birthweight (grams)]]/Table1[[#This Row],[BW_GA]])-1)/(Backend!$B$4/100*Table1[[#This Row],[BW40_3705]]),"")</f>
        <v/>
      </c>
      <c r="H5211" s="7" t="str">
        <f>IF(Table1[[#This Row],[Is Data Valid]]=TRUE,((Table1[[#This Row],[Birthweight (grams)]]*0.9/Table1[[#This Row],[BW_GA]])-1)/(Backend!$B$4/100*Table1[[#This Row],[BW40_3705]]),"")</f>
        <v/>
      </c>
      <c r="I5211" s="7" t="str">
        <f>IF(Table1[[#This Row],[Is Data Valid]]=TRUE,((Table1[[#This Row],[Birthweight (grams)]]*1.1/Table1[[#This Row],[BW_GA]])-1)/(Backend!$B$4/100*Table1[[#This Row],[BW40_3705]]),"")</f>
        <v/>
      </c>
      <c r="J5211" s="7" t="str">
        <f>IF(Table1[[#This Row],[Is Data Valid]]=TRUE,_xlfn.NORM.S.DIST(Table1[[#This Row],[Birthweight Z-Score]],TRUE)*100,"")</f>
        <v/>
      </c>
      <c r="K5211" s="7" t="str">
        <f>IF(Table1[[#This Row],[Is Data Valid]]=TRUE,_xlfn.NORM.S.DIST(Table1[[#This Row],[Birthweight Z-Score (BW-10%)]],TRUE)*100,"")</f>
        <v/>
      </c>
      <c r="L5211" s="7" t="str">
        <f>IF(Table1[[#This Row],[Is Data Valid]]=TRUE,_xlfn.NORM.S.DIST(Table1[[#This Row],[Birthweight Z-Score (BW+10%)]],TRUE)*100,"")</f>
        <v/>
      </c>
    </row>
    <row r="5212" spans="1:12" x14ac:dyDescent="0.35">
      <c r="A5212" s="3"/>
      <c r="B5212" s="2"/>
      <c r="C5212" s="2"/>
      <c r="D5212" s="2" t="b">
        <f>IF(AND(NOT(ISBLANK(Table1[[#This Row],[Fetal Sex (Male, Female or Unknown)]])),ISNUMBER(Table1[[#This Row],[Birthweight (grams)]]),ISNUMBER(Table1[[#This Row],[Gestation (days)]])),TRUE,FALSE)</f>
        <v>0</v>
      </c>
      <c r="E5212" s="2" t="str">
        <f>IF(Table1[[#This Row],[Is Data Valid]]=TRUE,IF(Table1[[#This Row],[Fetal Sex (Male, Female or Unknown)]]="Male",Backend!$C$6,IF(Table1[[#This Row],[Fetal Sex (Male, Female or Unknown)]]="Female",Backend!$C$7,IF(Table1[[#This Row],[Fetal Sex (Male, Female or Unknown)]]="Unknown",Backend!$C$8,"Error"))),"")</f>
        <v/>
      </c>
      <c r="F5212" s="8" t="str">
        <f>IF(Table1[[#This Row],[Is Data Valid]]=TRUE,EXP(0.578+0.332*((Table1[[#This Row],[Gestation (days)]]+0.5)/7)-0.00354*((Table1[[#This Row],[Gestation (days)]]+0.5)/7)^2)*Table1[[#This Row],[BW40_3705]],"")</f>
        <v/>
      </c>
      <c r="G5212" s="2" t="str">
        <f>IF(Table1[[#This Row],[Is Data Valid]]=TRUE,((Table1[[#This Row],[Birthweight (grams)]]/Table1[[#This Row],[BW_GA]])-1)/(Backend!$B$4/100*Table1[[#This Row],[BW40_3705]]),"")</f>
        <v/>
      </c>
      <c r="H5212" s="7" t="str">
        <f>IF(Table1[[#This Row],[Is Data Valid]]=TRUE,((Table1[[#This Row],[Birthweight (grams)]]*0.9/Table1[[#This Row],[BW_GA]])-1)/(Backend!$B$4/100*Table1[[#This Row],[BW40_3705]]),"")</f>
        <v/>
      </c>
      <c r="I5212" s="7" t="str">
        <f>IF(Table1[[#This Row],[Is Data Valid]]=TRUE,((Table1[[#This Row],[Birthweight (grams)]]*1.1/Table1[[#This Row],[BW_GA]])-1)/(Backend!$B$4/100*Table1[[#This Row],[BW40_3705]]),"")</f>
        <v/>
      </c>
      <c r="J5212" s="7" t="str">
        <f>IF(Table1[[#This Row],[Is Data Valid]]=TRUE,_xlfn.NORM.S.DIST(Table1[[#This Row],[Birthweight Z-Score]],TRUE)*100,"")</f>
        <v/>
      </c>
      <c r="K5212" s="7" t="str">
        <f>IF(Table1[[#This Row],[Is Data Valid]]=TRUE,_xlfn.NORM.S.DIST(Table1[[#This Row],[Birthweight Z-Score (BW-10%)]],TRUE)*100,"")</f>
        <v/>
      </c>
      <c r="L5212" s="7" t="str">
        <f>IF(Table1[[#This Row],[Is Data Valid]]=TRUE,_xlfn.NORM.S.DIST(Table1[[#This Row],[Birthweight Z-Score (BW+10%)]],TRUE)*100,"")</f>
        <v/>
      </c>
    </row>
    <row r="5213" spans="1:12" x14ac:dyDescent="0.35">
      <c r="A5213" s="3"/>
      <c r="B5213" s="2"/>
      <c r="C5213" s="2"/>
      <c r="D5213" s="2" t="b">
        <f>IF(AND(NOT(ISBLANK(Table1[[#This Row],[Fetal Sex (Male, Female or Unknown)]])),ISNUMBER(Table1[[#This Row],[Birthweight (grams)]]),ISNUMBER(Table1[[#This Row],[Gestation (days)]])),TRUE,FALSE)</f>
        <v>0</v>
      </c>
      <c r="E5213" s="2" t="str">
        <f>IF(Table1[[#This Row],[Is Data Valid]]=TRUE,IF(Table1[[#This Row],[Fetal Sex (Male, Female or Unknown)]]="Male",Backend!$C$6,IF(Table1[[#This Row],[Fetal Sex (Male, Female or Unknown)]]="Female",Backend!$C$7,IF(Table1[[#This Row],[Fetal Sex (Male, Female or Unknown)]]="Unknown",Backend!$C$8,"Error"))),"")</f>
        <v/>
      </c>
      <c r="F5213" s="8" t="str">
        <f>IF(Table1[[#This Row],[Is Data Valid]]=TRUE,EXP(0.578+0.332*((Table1[[#This Row],[Gestation (days)]]+0.5)/7)-0.00354*((Table1[[#This Row],[Gestation (days)]]+0.5)/7)^2)*Table1[[#This Row],[BW40_3705]],"")</f>
        <v/>
      </c>
      <c r="G5213" s="2" t="str">
        <f>IF(Table1[[#This Row],[Is Data Valid]]=TRUE,((Table1[[#This Row],[Birthweight (grams)]]/Table1[[#This Row],[BW_GA]])-1)/(Backend!$B$4/100*Table1[[#This Row],[BW40_3705]]),"")</f>
        <v/>
      </c>
      <c r="H5213" s="7" t="str">
        <f>IF(Table1[[#This Row],[Is Data Valid]]=TRUE,((Table1[[#This Row],[Birthweight (grams)]]*0.9/Table1[[#This Row],[BW_GA]])-1)/(Backend!$B$4/100*Table1[[#This Row],[BW40_3705]]),"")</f>
        <v/>
      </c>
      <c r="I5213" s="7" t="str">
        <f>IF(Table1[[#This Row],[Is Data Valid]]=TRUE,((Table1[[#This Row],[Birthweight (grams)]]*1.1/Table1[[#This Row],[BW_GA]])-1)/(Backend!$B$4/100*Table1[[#This Row],[BW40_3705]]),"")</f>
        <v/>
      </c>
      <c r="J5213" s="7" t="str">
        <f>IF(Table1[[#This Row],[Is Data Valid]]=TRUE,_xlfn.NORM.S.DIST(Table1[[#This Row],[Birthweight Z-Score]],TRUE)*100,"")</f>
        <v/>
      </c>
      <c r="K5213" s="7" t="str">
        <f>IF(Table1[[#This Row],[Is Data Valid]]=TRUE,_xlfn.NORM.S.DIST(Table1[[#This Row],[Birthweight Z-Score (BW-10%)]],TRUE)*100,"")</f>
        <v/>
      </c>
      <c r="L5213" s="7" t="str">
        <f>IF(Table1[[#This Row],[Is Data Valid]]=TRUE,_xlfn.NORM.S.DIST(Table1[[#This Row],[Birthweight Z-Score (BW+10%)]],TRUE)*100,"")</f>
        <v/>
      </c>
    </row>
    <row r="5214" spans="1:12" x14ac:dyDescent="0.35">
      <c r="A5214" s="3"/>
      <c r="B5214" s="2"/>
      <c r="C5214" s="2"/>
      <c r="D5214" s="2" t="b">
        <f>IF(AND(NOT(ISBLANK(Table1[[#This Row],[Fetal Sex (Male, Female or Unknown)]])),ISNUMBER(Table1[[#This Row],[Birthweight (grams)]]),ISNUMBER(Table1[[#This Row],[Gestation (days)]])),TRUE,FALSE)</f>
        <v>0</v>
      </c>
      <c r="E5214" s="2" t="str">
        <f>IF(Table1[[#This Row],[Is Data Valid]]=TRUE,IF(Table1[[#This Row],[Fetal Sex (Male, Female or Unknown)]]="Male",Backend!$C$6,IF(Table1[[#This Row],[Fetal Sex (Male, Female or Unknown)]]="Female",Backend!$C$7,IF(Table1[[#This Row],[Fetal Sex (Male, Female or Unknown)]]="Unknown",Backend!$C$8,"Error"))),"")</f>
        <v/>
      </c>
      <c r="F5214" s="8" t="str">
        <f>IF(Table1[[#This Row],[Is Data Valid]]=TRUE,EXP(0.578+0.332*((Table1[[#This Row],[Gestation (days)]]+0.5)/7)-0.00354*((Table1[[#This Row],[Gestation (days)]]+0.5)/7)^2)*Table1[[#This Row],[BW40_3705]],"")</f>
        <v/>
      </c>
      <c r="G5214" s="2" t="str">
        <f>IF(Table1[[#This Row],[Is Data Valid]]=TRUE,((Table1[[#This Row],[Birthweight (grams)]]/Table1[[#This Row],[BW_GA]])-1)/(Backend!$B$4/100*Table1[[#This Row],[BW40_3705]]),"")</f>
        <v/>
      </c>
      <c r="H5214" s="7" t="str">
        <f>IF(Table1[[#This Row],[Is Data Valid]]=TRUE,((Table1[[#This Row],[Birthweight (grams)]]*0.9/Table1[[#This Row],[BW_GA]])-1)/(Backend!$B$4/100*Table1[[#This Row],[BW40_3705]]),"")</f>
        <v/>
      </c>
      <c r="I5214" s="7" t="str">
        <f>IF(Table1[[#This Row],[Is Data Valid]]=TRUE,((Table1[[#This Row],[Birthweight (grams)]]*1.1/Table1[[#This Row],[BW_GA]])-1)/(Backend!$B$4/100*Table1[[#This Row],[BW40_3705]]),"")</f>
        <v/>
      </c>
      <c r="J5214" s="7" t="str">
        <f>IF(Table1[[#This Row],[Is Data Valid]]=TRUE,_xlfn.NORM.S.DIST(Table1[[#This Row],[Birthweight Z-Score]],TRUE)*100,"")</f>
        <v/>
      </c>
      <c r="K5214" s="7" t="str">
        <f>IF(Table1[[#This Row],[Is Data Valid]]=TRUE,_xlfn.NORM.S.DIST(Table1[[#This Row],[Birthweight Z-Score (BW-10%)]],TRUE)*100,"")</f>
        <v/>
      </c>
      <c r="L5214" s="7" t="str">
        <f>IF(Table1[[#This Row],[Is Data Valid]]=TRUE,_xlfn.NORM.S.DIST(Table1[[#This Row],[Birthweight Z-Score (BW+10%)]],TRUE)*100,"")</f>
        <v/>
      </c>
    </row>
    <row r="5215" spans="1:12" x14ac:dyDescent="0.35">
      <c r="A5215" s="3"/>
      <c r="B5215" s="2"/>
      <c r="C5215" s="2"/>
      <c r="D5215" s="2" t="b">
        <f>IF(AND(NOT(ISBLANK(Table1[[#This Row],[Fetal Sex (Male, Female or Unknown)]])),ISNUMBER(Table1[[#This Row],[Birthweight (grams)]]),ISNUMBER(Table1[[#This Row],[Gestation (days)]])),TRUE,FALSE)</f>
        <v>0</v>
      </c>
      <c r="E5215" s="2" t="str">
        <f>IF(Table1[[#This Row],[Is Data Valid]]=TRUE,IF(Table1[[#This Row],[Fetal Sex (Male, Female or Unknown)]]="Male",Backend!$C$6,IF(Table1[[#This Row],[Fetal Sex (Male, Female or Unknown)]]="Female",Backend!$C$7,IF(Table1[[#This Row],[Fetal Sex (Male, Female or Unknown)]]="Unknown",Backend!$C$8,"Error"))),"")</f>
        <v/>
      </c>
      <c r="F5215" s="8" t="str">
        <f>IF(Table1[[#This Row],[Is Data Valid]]=TRUE,EXP(0.578+0.332*((Table1[[#This Row],[Gestation (days)]]+0.5)/7)-0.00354*((Table1[[#This Row],[Gestation (days)]]+0.5)/7)^2)*Table1[[#This Row],[BW40_3705]],"")</f>
        <v/>
      </c>
      <c r="G5215" s="2" t="str">
        <f>IF(Table1[[#This Row],[Is Data Valid]]=TRUE,((Table1[[#This Row],[Birthweight (grams)]]/Table1[[#This Row],[BW_GA]])-1)/(Backend!$B$4/100*Table1[[#This Row],[BW40_3705]]),"")</f>
        <v/>
      </c>
      <c r="H5215" s="7" t="str">
        <f>IF(Table1[[#This Row],[Is Data Valid]]=TRUE,((Table1[[#This Row],[Birthweight (grams)]]*0.9/Table1[[#This Row],[BW_GA]])-1)/(Backend!$B$4/100*Table1[[#This Row],[BW40_3705]]),"")</f>
        <v/>
      </c>
      <c r="I5215" s="7" t="str">
        <f>IF(Table1[[#This Row],[Is Data Valid]]=TRUE,((Table1[[#This Row],[Birthweight (grams)]]*1.1/Table1[[#This Row],[BW_GA]])-1)/(Backend!$B$4/100*Table1[[#This Row],[BW40_3705]]),"")</f>
        <v/>
      </c>
      <c r="J5215" s="7" t="str">
        <f>IF(Table1[[#This Row],[Is Data Valid]]=TRUE,_xlfn.NORM.S.DIST(Table1[[#This Row],[Birthweight Z-Score]],TRUE)*100,"")</f>
        <v/>
      </c>
      <c r="K5215" s="7" t="str">
        <f>IF(Table1[[#This Row],[Is Data Valid]]=TRUE,_xlfn.NORM.S.DIST(Table1[[#This Row],[Birthweight Z-Score (BW-10%)]],TRUE)*100,"")</f>
        <v/>
      </c>
      <c r="L5215" s="7" t="str">
        <f>IF(Table1[[#This Row],[Is Data Valid]]=TRUE,_xlfn.NORM.S.DIST(Table1[[#This Row],[Birthweight Z-Score (BW+10%)]],TRUE)*100,"")</f>
        <v/>
      </c>
    </row>
    <row r="5216" spans="1:12" x14ac:dyDescent="0.35">
      <c r="A5216" s="3"/>
      <c r="B5216" s="2"/>
      <c r="C5216" s="2"/>
      <c r="D5216" s="2" t="b">
        <f>IF(AND(NOT(ISBLANK(Table1[[#This Row],[Fetal Sex (Male, Female or Unknown)]])),ISNUMBER(Table1[[#This Row],[Birthweight (grams)]]),ISNUMBER(Table1[[#This Row],[Gestation (days)]])),TRUE,FALSE)</f>
        <v>0</v>
      </c>
      <c r="E5216" s="2" t="str">
        <f>IF(Table1[[#This Row],[Is Data Valid]]=TRUE,IF(Table1[[#This Row],[Fetal Sex (Male, Female or Unknown)]]="Male",Backend!$C$6,IF(Table1[[#This Row],[Fetal Sex (Male, Female or Unknown)]]="Female",Backend!$C$7,IF(Table1[[#This Row],[Fetal Sex (Male, Female or Unknown)]]="Unknown",Backend!$C$8,"Error"))),"")</f>
        <v/>
      </c>
      <c r="F5216" s="8" t="str">
        <f>IF(Table1[[#This Row],[Is Data Valid]]=TRUE,EXP(0.578+0.332*((Table1[[#This Row],[Gestation (days)]]+0.5)/7)-0.00354*((Table1[[#This Row],[Gestation (days)]]+0.5)/7)^2)*Table1[[#This Row],[BW40_3705]],"")</f>
        <v/>
      </c>
      <c r="G5216" s="2" t="str">
        <f>IF(Table1[[#This Row],[Is Data Valid]]=TRUE,((Table1[[#This Row],[Birthweight (grams)]]/Table1[[#This Row],[BW_GA]])-1)/(Backend!$B$4/100*Table1[[#This Row],[BW40_3705]]),"")</f>
        <v/>
      </c>
      <c r="H5216" s="7" t="str">
        <f>IF(Table1[[#This Row],[Is Data Valid]]=TRUE,((Table1[[#This Row],[Birthweight (grams)]]*0.9/Table1[[#This Row],[BW_GA]])-1)/(Backend!$B$4/100*Table1[[#This Row],[BW40_3705]]),"")</f>
        <v/>
      </c>
      <c r="I5216" s="7" t="str">
        <f>IF(Table1[[#This Row],[Is Data Valid]]=TRUE,((Table1[[#This Row],[Birthweight (grams)]]*1.1/Table1[[#This Row],[BW_GA]])-1)/(Backend!$B$4/100*Table1[[#This Row],[BW40_3705]]),"")</f>
        <v/>
      </c>
      <c r="J5216" s="7" t="str">
        <f>IF(Table1[[#This Row],[Is Data Valid]]=TRUE,_xlfn.NORM.S.DIST(Table1[[#This Row],[Birthweight Z-Score]],TRUE)*100,"")</f>
        <v/>
      </c>
      <c r="K5216" s="7" t="str">
        <f>IF(Table1[[#This Row],[Is Data Valid]]=TRUE,_xlfn.NORM.S.DIST(Table1[[#This Row],[Birthweight Z-Score (BW-10%)]],TRUE)*100,"")</f>
        <v/>
      </c>
      <c r="L5216" s="7" t="str">
        <f>IF(Table1[[#This Row],[Is Data Valid]]=TRUE,_xlfn.NORM.S.DIST(Table1[[#This Row],[Birthweight Z-Score (BW+10%)]],TRUE)*100,"")</f>
        <v/>
      </c>
    </row>
    <row r="5217" spans="1:12" x14ac:dyDescent="0.35">
      <c r="A5217" s="3"/>
      <c r="B5217" s="2"/>
      <c r="C5217" s="2"/>
      <c r="D5217" s="2" t="b">
        <f>IF(AND(NOT(ISBLANK(Table1[[#This Row],[Fetal Sex (Male, Female or Unknown)]])),ISNUMBER(Table1[[#This Row],[Birthweight (grams)]]),ISNUMBER(Table1[[#This Row],[Gestation (days)]])),TRUE,FALSE)</f>
        <v>0</v>
      </c>
      <c r="E5217" s="2" t="str">
        <f>IF(Table1[[#This Row],[Is Data Valid]]=TRUE,IF(Table1[[#This Row],[Fetal Sex (Male, Female or Unknown)]]="Male",Backend!$C$6,IF(Table1[[#This Row],[Fetal Sex (Male, Female or Unknown)]]="Female",Backend!$C$7,IF(Table1[[#This Row],[Fetal Sex (Male, Female or Unknown)]]="Unknown",Backend!$C$8,"Error"))),"")</f>
        <v/>
      </c>
      <c r="F5217" s="8" t="str">
        <f>IF(Table1[[#This Row],[Is Data Valid]]=TRUE,EXP(0.578+0.332*((Table1[[#This Row],[Gestation (days)]]+0.5)/7)-0.00354*((Table1[[#This Row],[Gestation (days)]]+0.5)/7)^2)*Table1[[#This Row],[BW40_3705]],"")</f>
        <v/>
      </c>
      <c r="G5217" s="2" t="str">
        <f>IF(Table1[[#This Row],[Is Data Valid]]=TRUE,((Table1[[#This Row],[Birthweight (grams)]]/Table1[[#This Row],[BW_GA]])-1)/(Backend!$B$4/100*Table1[[#This Row],[BW40_3705]]),"")</f>
        <v/>
      </c>
      <c r="H5217" s="7" t="str">
        <f>IF(Table1[[#This Row],[Is Data Valid]]=TRUE,((Table1[[#This Row],[Birthweight (grams)]]*0.9/Table1[[#This Row],[BW_GA]])-1)/(Backend!$B$4/100*Table1[[#This Row],[BW40_3705]]),"")</f>
        <v/>
      </c>
      <c r="I5217" s="7" t="str">
        <f>IF(Table1[[#This Row],[Is Data Valid]]=TRUE,((Table1[[#This Row],[Birthweight (grams)]]*1.1/Table1[[#This Row],[BW_GA]])-1)/(Backend!$B$4/100*Table1[[#This Row],[BW40_3705]]),"")</f>
        <v/>
      </c>
      <c r="J5217" s="7" t="str">
        <f>IF(Table1[[#This Row],[Is Data Valid]]=TRUE,_xlfn.NORM.S.DIST(Table1[[#This Row],[Birthweight Z-Score]],TRUE)*100,"")</f>
        <v/>
      </c>
      <c r="K5217" s="7" t="str">
        <f>IF(Table1[[#This Row],[Is Data Valid]]=TRUE,_xlfn.NORM.S.DIST(Table1[[#This Row],[Birthweight Z-Score (BW-10%)]],TRUE)*100,"")</f>
        <v/>
      </c>
      <c r="L5217" s="7" t="str">
        <f>IF(Table1[[#This Row],[Is Data Valid]]=TRUE,_xlfn.NORM.S.DIST(Table1[[#This Row],[Birthweight Z-Score (BW+10%)]],TRUE)*100,"")</f>
        <v/>
      </c>
    </row>
    <row r="5218" spans="1:12" x14ac:dyDescent="0.35">
      <c r="A5218" s="3"/>
      <c r="B5218" s="2"/>
      <c r="C5218" s="2"/>
      <c r="D5218" s="2" t="b">
        <f>IF(AND(NOT(ISBLANK(Table1[[#This Row],[Fetal Sex (Male, Female or Unknown)]])),ISNUMBER(Table1[[#This Row],[Birthweight (grams)]]),ISNUMBER(Table1[[#This Row],[Gestation (days)]])),TRUE,FALSE)</f>
        <v>0</v>
      </c>
      <c r="E5218" s="2" t="str">
        <f>IF(Table1[[#This Row],[Is Data Valid]]=TRUE,IF(Table1[[#This Row],[Fetal Sex (Male, Female or Unknown)]]="Male",Backend!$C$6,IF(Table1[[#This Row],[Fetal Sex (Male, Female or Unknown)]]="Female",Backend!$C$7,IF(Table1[[#This Row],[Fetal Sex (Male, Female or Unknown)]]="Unknown",Backend!$C$8,"Error"))),"")</f>
        <v/>
      </c>
      <c r="F5218" s="8" t="str">
        <f>IF(Table1[[#This Row],[Is Data Valid]]=TRUE,EXP(0.578+0.332*((Table1[[#This Row],[Gestation (days)]]+0.5)/7)-0.00354*((Table1[[#This Row],[Gestation (days)]]+0.5)/7)^2)*Table1[[#This Row],[BW40_3705]],"")</f>
        <v/>
      </c>
      <c r="G5218" s="2" t="str">
        <f>IF(Table1[[#This Row],[Is Data Valid]]=TRUE,((Table1[[#This Row],[Birthweight (grams)]]/Table1[[#This Row],[BW_GA]])-1)/(Backend!$B$4/100*Table1[[#This Row],[BW40_3705]]),"")</f>
        <v/>
      </c>
      <c r="H5218" s="7" t="str">
        <f>IF(Table1[[#This Row],[Is Data Valid]]=TRUE,((Table1[[#This Row],[Birthweight (grams)]]*0.9/Table1[[#This Row],[BW_GA]])-1)/(Backend!$B$4/100*Table1[[#This Row],[BW40_3705]]),"")</f>
        <v/>
      </c>
      <c r="I5218" s="7" t="str">
        <f>IF(Table1[[#This Row],[Is Data Valid]]=TRUE,((Table1[[#This Row],[Birthweight (grams)]]*1.1/Table1[[#This Row],[BW_GA]])-1)/(Backend!$B$4/100*Table1[[#This Row],[BW40_3705]]),"")</f>
        <v/>
      </c>
      <c r="J5218" s="7" t="str">
        <f>IF(Table1[[#This Row],[Is Data Valid]]=TRUE,_xlfn.NORM.S.DIST(Table1[[#This Row],[Birthweight Z-Score]],TRUE)*100,"")</f>
        <v/>
      </c>
      <c r="K5218" s="7" t="str">
        <f>IF(Table1[[#This Row],[Is Data Valid]]=TRUE,_xlfn.NORM.S.DIST(Table1[[#This Row],[Birthweight Z-Score (BW-10%)]],TRUE)*100,"")</f>
        <v/>
      </c>
      <c r="L5218" s="7" t="str">
        <f>IF(Table1[[#This Row],[Is Data Valid]]=TRUE,_xlfn.NORM.S.DIST(Table1[[#This Row],[Birthweight Z-Score (BW+10%)]],TRUE)*100,"")</f>
        <v/>
      </c>
    </row>
    <row r="5219" spans="1:12" x14ac:dyDescent="0.35">
      <c r="A5219" s="3"/>
      <c r="B5219" s="2"/>
      <c r="C5219" s="2"/>
      <c r="D5219" s="2" t="b">
        <f>IF(AND(NOT(ISBLANK(Table1[[#This Row],[Fetal Sex (Male, Female or Unknown)]])),ISNUMBER(Table1[[#This Row],[Birthweight (grams)]]),ISNUMBER(Table1[[#This Row],[Gestation (days)]])),TRUE,FALSE)</f>
        <v>0</v>
      </c>
      <c r="E5219" s="2" t="str">
        <f>IF(Table1[[#This Row],[Is Data Valid]]=TRUE,IF(Table1[[#This Row],[Fetal Sex (Male, Female or Unknown)]]="Male",Backend!$C$6,IF(Table1[[#This Row],[Fetal Sex (Male, Female or Unknown)]]="Female",Backend!$C$7,IF(Table1[[#This Row],[Fetal Sex (Male, Female or Unknown)]]="Unknown",Backend!$C$8,"Error"))),"")</f>
        <v/>
      </c>
      <c r="F5219" s="8" t="str">
        <f>IF(Table1[[#This Row],[Is Data Valid]]=TRUE,EXP(0.578+0.332*((Table1[[#This Row],[Gestation (days)]]+0.5)/7)-0.00354*((Table1[[#This Row],[Gestation (days)]]+0.5)/7)^2)*Table1[[#This Row],[BW40_3705]],"")</f>
        <v/>
      </c>
      <c r="G5219" s="2" t="str">
        <f>IF(Table1[[#This Row],[Is Data Valid]]=TRUE,((Table1[[#This Row],[Birthweight (grams)]]/Table1[[#This Row],[BW_GA]])-1)/(Backend!$B$4/100*Table1[[#This Row],[BW40_3705]]),"")</f>
        <v/>
      </c>
      <c r="H5219" s="7" t="str">
        <f>IF(Table1[[#This Row],[Is Data Valid]]=TRUE,((Table1[[#This Row],[Birthweight (grams)]]*0.9/Table1[[#This Row],[BW_GA]])-1)/(Backend!$B$4/100*Table1[[#This Row],[BW40_3705]]),"")</f>
        <v/>
      </c>
      <c r="I5219" s="7" t="str">
        <f>IF(Table1[[#This Row],[Is Data Valid]]=TRUE,((Table1[[#This Row],[Birthweight (grams)]]*1.1/Table1[[#This Row],[BW_GA]])-1)/(Backend!$B$4/100*Table1[[#This Row],[BW40_3705]]),"")</f>
        <v/>
      </c>
      <c r="J5219" s="7" t="str">
        <f>IF(Table1[[#This Row],[Is Data Valid]]=TRUE,_xlfn.NORM.S.DIST(Table1[[#This Row],[Birthweight Z-Score]],TRUE)*100,"")</f>
        <v/>
      </c>
      <c r="K5219" s="7" t="str">
        <f>IF(Table1[[#This Row],[Is Data Valid]]=TRUE,_xlfn.NORM.S.DIST(Table1[[#This Row],[Birthweight Z-Score (BW-10%)]],TRUE)*100,"")</f>
        <v/>
      </c>
      <c r="L5219" s="7" t="str">
        <f>IF(Table1[[#This Row],[Is Data Valid]]=TRUE,_xlfn.NORM.S.DIST(Table1[[#This Row],[Birthweight Z-Score (BW+10%)]],TRUE)*100,"")</f>
        <v/>
      </c>
    </row>
    <row r="5220" spans="1:12" x14ac:dyDescent="0.35">
      <c r="A5220" s="3"/>
      <c r="B5220" s="2"/>
      <c r="C5220" s="2"/>
      <c r="D5220" s="2" t="b">
        <f>IF(AND(NOT(ISBLANK(Table1[[#This Row],[Fetal Sex (Male, Female or Unknown)]])),ISNUMBER(Table1[[#This Row],[Birthweight (grams)]]),ISNUMBER(Table1[[#This Row],[Gestation (days)]])),TRUE,FALSE)</f>
        <v>0</v>
      </c>
      <c r="E5220" s="2" t="str">
        <f>IF(Table1[[#This Row],[Is Data Valid]]=TRUE,IF(Table1[[#This Row],[Fetal Sex (Male, Female or Unknown)]]="Male",Backend!$C$6,IF(Table1[[#This Row],[Fetal Sex (Male, Female or Unknown)]]="Female",Backend!$C$7,IF(Table1[[#This Row],[Fetal Sex (Male, Female or Unknown)]]="Unknown",Backend!$C$8,"Error"))),"")</f>
        <v/>
      </c>
      <c r="F5220" s="8" t="str">
        <f>IF(Table1[[#This Row],[Is Data Valid]]=TRUE,EXP(0.578+0.332*((Table1[[#This Row],[Gestation (days)]]+0.5)/7)-0.00354*((Table1[[#This Row],[Gestation (days)]]+0.5)/7)^2)*Table1[[#This Row],[BW40_3705]],"")</f>
        <v/>
      </c>
      <c r="G5220" s="2" t="str">
        <f>IF(Table1[[#This Row],[Is Data Valid]]=TRUE,((Table1[[#This Row],[Birthweight (grams)]]/Table1[[#This Row],[BW_GA]])-1)/(Backend!$B$4/100*Table1[[#This Row],[BW40_3705]]),"")</f>
        <v/>
      </c>
      <c r="H5220" s="7" t="str">
        <f>IF(Table1[[#This Row],[Is Data Valid]]=TRUE,((Table1[[#This Row],[Birthweight (grams)]]*0.9/Table1[[#This Row],[BW_GA]])-1)/(Backend!$B$4/100*Table1[[#This Row],[BW40_3705]]),"")</f>
        <v/>
      </c>
      <c r="I5220" s="7" t="str">
        <f>IF(Table1[[#This Row],[Is Data Valid]]=TRUE,((Table1[[#This Row],[Birthweight (grams)]]*1.1/Table1[[#This Row],[BW_GA]])-1)/(Backend!$B$4/100*Table1[[#This Row],[BW40_3705]]),"")</f>
        <v/>
      </c>
      <c r="J5220" s="7" t="str">
        <f>IF(Table1[[#This Row],[Is Data Valid]]=TRUE,_xlfn.NORM.S.DIST(Table1[[#This Row],[Birthweight Z-Score]],TRUE)*100,"")</f>
        <v/>
      </c>
      <c r="K5220" s="7" t="str">
        <f>IF(Table1[[#This Row],[Is Data Valid]]=TRUE,_xlfn.NORM.S.DIST(Table1[[#This Row],[Birthweight Z-Score (BW-10%)]],TRUE)*100,"")</f>
        <v/>
      </c>
      <c r="L5220" s="7" t="str">
        <f>IF(Table1[[#This Row],[Is Data Valid]]=TRUE,_xlfn.NORM.S.DIST(Table1[[#This Row],[Birthweight Z-Score (BW+10%)]],TRUE)*100,"")</f>
        <v/>
      </c>
    </row>
    <row r="5221" spans="1:12" x14ac:dyDescent="0.35">
      <c r="A5221" s="3"/>
      <c r="B5221" s="2"/>
      <c r="C5221" s="2"/>
      <c r="D5221" s="2" t="b">
        <f>IF(AND(NOT(ISBLANK(Table1[[#This Row],[Fetal Sex (Male, Female or Unknown)]])),ISNUMBER(Table1[[#This Row],[Birthweight (grams)]]),ISNUMBER(Table1[[#This Row],[Gestation (days)]])),TRUE,FALSE)</f>
        <v>0</v>
      </c>
      <c r="E5221" s="2" t="str">
        <f>IF(Table1[[#This Row],[Is Data Valid]]=TRUE,IF(Table1[[#This Row],[Fetal Sex (Male, Female or Unknown)]]="Male",Backend!$C$6,IF(Table1[[#This Row],[Fetal Sex (Male, Female or Unknown)]]="Female",Backend!$C$7,IF(Table1[[#This Row],[Fetal Sex (Male, Female or Unknown)]]="Unknown",Backend!$C$8,"Error"))),"")</f>
        <v/>
      </c>
      <c r="F5221" s="8" t="str">
        <f>IF(Table1[[#This Row],[Is Data Valid]]=TRUE,EXP(0.578+0.332*((Table1[[#This Row],[Gestation (days)]]+0.5)/7)-0.00354*((Table1[[#This Row],[Gestation (days)]]+0.5)/7)^2)*Table1[[#This Row],[BW40_3705]],"")</f>
        <v/>
      </c>
      <c r="G5221" s="2" t="str">
        <f>IF(Table1[[#This Row],[Is Data Valid]]=TRUE,((Table1[[#This Row],[Birthweight (grams)]]/Table1[[#This Row],[BW_GA]])-1)/(Backend!$B$4/100*Table1[[#This Row],[BW40_3705]]),"")</f>
        <v/>
      </c>
      <c r="H5221" s="7" t="str">
        <f>IF(Table1[[#This Row],[Is Data Valid]]=TRUE,((Table1[[#This Row],[Birthweight (grams)]]*0.9/Table1[[#This Row],[BW_GA]])-1)/(Backend!$B$4/100*Table1[[#This Row],[BW40_3705]]),"")</f>
        <v/>
      </c>
      <c r="I5221" s="7" t="str">
        <f>IF(Table1[[#This Row],[Is Data Valid]]=TRUE,((Table1[[#This Row],[Birthweight (grams)]]*1.1/Table1[[#This Row],[BW_GA]])-1)/(Backend!$B$4/100*Table1[[#This Row],[BW40_3705]]),"")</f>
        <v/>
      </c>
      <c r="J5221" s="7" t="str">
        <f>IF(Table1[[#This Row],[Is Data Valid]]=TRUE,_xlfn.NORM.S.DIST(Table1[[#This Row],[Birthweight Z-Score]],TRUE)*100,"")</f>
        <v/>
      </c>
      <c r="K5221" s="7" t="str">
        <f>IF(Table1[[#This Row],[Is Data Valid]]=TRUE,_xlfn.NORM.S.DIST(Table1[[#This Row],[Birthweight Z-Score (BW-10%)]],TRUE)*100,"")</f>
        <v/>
      </c>
      <c r="L5221" s="7" t="str">
        <f>IF(Table1[[#This Row],[Is Data Valid]]=TRUE,_xlfn.NORM.S.DIST(Table1[[#This Row],[Birthweight Z-Score (BW+10%)]],TRUE)*100,"")</f>
        <v/>
      </c>
    </row>
    <row r="5222" spans="1:12" x14ac:dyDescent="0.35">
      <c r="A5222" s="3"/>
      <c r="B5222" s="2"/>
      <c r="C5222" s="2"/>
      <c r="D5222" s="2" t="b">
        <f>IF(AND(NOT(ISBLANK(Table1[[#This Row],[Fetal Sex (Male, Female or Unknown)]])),ISNUMBER(Table1[[#This Row],[Birthweight (grams)]]),ISNUMBER(Table1[[#This Row],[Gestation (days)]])),TRUE,FALSE)</f>
        <v>0</v>
      </c>
      <c r="E5222" s="2" t="str">
        <f>IF(Table1[[#This Row],[Is Data Valid]]=TRUE,IF(Table1[[#This Row],[Fetal Sex (Male, Female or Unknown)]]="Male",Backend!$C$6,IF(Table1[[#This Row],[Fetal Sex (Male, Female or Unknown)]]="Female",Backend!$C$7,IF(Table1[[#This Row],[Fetal Sex (Male, Female or Unknown)]]="Unknown",Backend!$C$8,"Error"))),"")</f>
        <v/>
      </c>
      <c r="F5222" s="8" t="str">
        <f>IF(Table1[[#This Row],[Is Data Valid]]=TRUE,EXP(0.578+0.332*((Table1[[#This Row],[Gestation (days)]]+0.5)/7)-0.00354*((Table1[[#This Row],[Gestation (days)]]+0.5)/7)^2)*Table1[[#This Row],[BW40_3705]],"")</f>
        <v/>
      </c>
      <c r="G5222" s="2" t="str">
        <f>IF(Table1[[#This Row],[Is Data Valid]]=TRUE,((Table1[[#This Row],[Birthweight (grams)]]/Table1[[#This Row],[BW_GA]])-1)/(Backend!$B$4/100*Table1[[#This Row],[BW40_3705]]),"")</f>
        <v/>
      </c>
      <c r="H5222" s="7" t="str">
        <f>IF(Table1[[#This Row],[Is Data Valid]]=TRUE,((Table1[[#This Row],[Birthweight (grams)]]*0.9/Table1[[#This Row],[BW_GA]])-1)/(Backend!$B$4/100*Table1[[#This Row],[BW40_3705]]),"")</f>
        <v/>
      </c>
      <c r="I5222" s="7" t="str">
        <f>IF(Table1[[#This Row],[Is Data Valid]]=TRUE,((Table1[[#This Row],[Birthweight (grams)]]*1.1/Table1[[#This Row],[BW_GA]])-1)/(Backend!$B$4/100*Table1[[#This Row],[BW40_3705]]),"")</f>
        <v/>
      </c>
      <c r="J5222" s="7" t="str">
        <f>IF(Table1[[#This Row],[Is Data Valid]]=TRUE,_xlfn.NORM.S.DIST(Table1[[#This Row],[Birthweight Z-Score]],TRUE)*100,"")</f>
        <v/>
      </c>
      <c r="K5222" s="7" t="str">
        <f>IF(Table1[[#This Row],[Is Data Valid]]=TRUE,_xlfn.NORM.S.DIST(Table1[[#This Row],[Birthweight Z-Score (BW-10%)]],TRUE)*100,"")</f>
        <v/>
      </c>
      <c r="L5222" s="7" t="str">
        <f>IF(Table1[[#This Row],[Is Data Valid]]=TRUE,_xlfn.NORM.S.DIST(Table1[[#This Row],[Birthweight Z-Score (BW+10%)]],TRUE)*100,"")</f>
        <v/>
      </c>
    </row>
    <row r="5223" spans="1:12" x14ac:dyDescent="0.35">
      <c r="A5223" s="3"/>
      <c r="B5223" s="2"/>
      <c r="C5223" s="2"/>
      <c r="D5223" s="2" t="b">
        <f>IF(AND(NOT(ISBLANK(Table1[[#This Row],[Fetal Sex (Male, Female or Unknown)]])),ISNUMBER(Table1[[#This Row],[Birthweight (grams)]]),ISNUMBER(Table1[[#This Row],[Gestation (days)]])),TRUE,FALSE)</f>
        <v>0</v>
      </c>
      <c r="E5223" s="2" t="str">
        <f>IF(Table1[[#This Row],[Is Data Valid]]=TRUE,IF(Table1[[#This Row],[Fetal Sex (Male, Female or Unknown)]]="Male",Backend!$C$6,IF(Table1[[#This Row],[Fetal Sex (Male, Female or Unknown)]]="Female",Backend!$C$7,IF(Table1[[#This Row],[Fetal Sex (Male, Female or Unknown)]]="Unknown",Backend!$C$8,"Error"))),"")</f>
        <v/>
      </c>
      <c r="F5223" s="8" t="str">
        <f>IF(Table1[[#This Row],[Is Data Valid]]=TRUE,EXP(0.578+0.332*((Table1[[#This Row],[Gestation (days)]]+0.5)/7)-0.00354*((Table1[[#This Row],[Gestation (days)]]+0.5)/7)^2)*Table1[[#This Row],[BW40_3705]],"")</f>
        <v/>
      </c>
      <c r="G5223" s="2" t="str">
        <f>IF(Table1[[#This Row],[Is Data Valid]]=TRUE,((Table1[[#This Row],[Birthweight (grams)]]/Table1[[#This Row],[BW_GA]])-1)/(Backend!$B$4/100*Table1[[#This Row],[BW40_3705]]),"")</f>
        <v/>
      </c>
      <c r="H5223" s="7" t="str">
        <f>IF(Table1[[#This Row],[Is Data Valid]]=TRUE,((Table1[[#This Row],[Birthweight (grams)]]*0.9/Table1[[#This Row],[BW_GA]])-1)/(Backend!$B$4/100*Table1[[#This Row],[BW40_3705]]),"")</f>
        <v/>
      </c>
      <c r="I5223" s="7" t="str">
        <f>IF(Table1[[#This Row],[Is Data Valid]]=TRUE,((Table1[[#This Row],[Birthweight (grams)]]*1.1/Table1[[#This Row],[BW_GA]])-1)/(Backend!$B$4/100*Table1[[#This Row],[BW40_3705]]),"")</f>
        <v/>
      </c>
      <c r="J5223" s="7" t="str">
        <f>IF(Table1[[#This Row],[Is Data Valid]]=TRUE,_xlfn.NORM.S.DIST(Table1[[#This Row],[Birthweight Z-Score]],TRUE)*100,"")</f>
        <v/>
      </c>
      <c r="K5223" s="7" t="str">
        <f>IF(Table1[[#This Row],[Is Data Valid]]=TRUE,_xlfn.NORM.S.DIST(Table1[[#This Row],[Birthweight Z-Score (BW-10%)]],TRUE)*100,"")</f>
        <v/>
      </c>
      <c r="L5223" s="7" t="str">
        <f>IF(Table1[[#This Row],[Is Data Valid]]=TRUE,_xlfn.NORM.S.DIST(Table1[[#This Row],[Birthweight Z-Score (BW+10%)]],TRUE)*100,"")</f>
        <v/>
      </c>
    </row>
    <row r="5224" spans="1:12" x14ac:dyDescent="0.35">
      <c r="A5224" s="3"/>
      <c r="B5224" s="2"/>
      <c r="C5224" s="2"/>
      <c r="D5224" s="2" t="b">
        <f>IF(AND(NOT(ISBLANK(Table1[[#This Row],[Fetal Sex (Male, Female or Unknown)]])),ISNUMBER(Table1[[#This Row],[Birthweight (grams)]]),ISNUMBER(Table1[[#This Row],[Gestation (days)]])),TRUE,FALSE)</f>
        <v>0</v>
      </c>
      <c r="E5224" s="2" t="str">
        <f>IF(Table1[[#This Row],[Is Data Valid]]=TRUE,IF(Table1[[#This Row],[Fetal Sex (Male, Female or Unknown)]]="Male",Backend!$C$6,IF(Table1[[#This Row],[Fetal Sex (Male, Female or Unknown)]]="Female",Backend!$C$7,IF(Table1[[#This Row],[Fetal Sex (Male, Female or Unknown)]]="Unknown",Backend!$C$8,"Error"))),"")</f>
        <v/>
      </c>
      <c r="F5224" s="8" t="str">
        <f>IF(Table1[[#This Row],[Is Data Valid]]=TRUE,EXP(0.578+0.332*((Table1[[#This Row],[Gestation (days)]]+0.5)/7)-0.00354*((Table1[[#This Row],[Gestation (days)]]+0.5)/7)^2)*Table1[[#This Row],[BW40_3705]],"")</f>
        <v/>
      </c>
      <c r="G5224" s="2" t="str">
        <f>IF(Table1[[#This Row],[Is Data Valid]]=TRUE,((Table1[[#This Row],[Birthweight (grams)]]/Table1[[#This Row],[BW_GA]])-1)/(Backend!$B$4/100*Table1[[#This Row],[BW40_3705]]),"")</f>
        <v/>
      </c>
      <c r="H5224" s="7" t="str">
        <f>IF(Table1[[#This Row],[Is Data Valid]]=TRUE,((Table1[[#This Row],[Birthweight (grams)]]*0.9/Table1[[#This Row],[BW_GA]])-1)/(Backend!$B$4/100*Table1[[#This Row],[BW40_3705]]),"")</f>
        <v/>
      </c>
      <c r="I5224" s="7" t="str">
        <f>IF(Table1[[#This Row],[Is Data Valid]]=TRUE,((Table1[[#This Row],[Birthweight (grams)]]*1.1/Table1[[#This Row],[BW_GA]])-1)/(Backend!$B$4/100*Table1[[#This Row],[BW40_3705]]),"")</f>
        <v/>
      </c>
      <c r="J5224" s="7" t="str">
        <f>IF(Table1[[#This Row],[Is Data Valid]]=TRUE,_xlfn.NORM.S.DIST(Table1[[#This Row],[Birthweight Z-Score]],TRUE)*100,"")</f>
        <v/>
      </c>
      <c r="K5224" s="7" t="str">
        <f>IF(Table1[[#This Row],[Is Data Valid]]=TRUE,_xlfn.NORM.S.DIST(Table1[[#This Row],[Birthweight Z-Score (BW-10%)]],TRUE)*100,"")</f>
        <v/>
      </c>
      <c r="L5224" s="7" t="str">
        <f>IF(Table1[[#This Row],[Is Data Valid]]=TRUE,_xlfn.NORM.S.DIST(Table1[[#This Row],[Birthweight Z-Score (BW+10%)]],TRUE)*100,"")</f>
        <v/>
      </c>
    </row>
    <row r="5225" spans="1:12" x14ac:dyDescent="0.35">
      <c r="A5225" s="3"/>
      <c r="B5225" s="2"/>
      <c r="C5225" s="2"/>
      <c r="D5225" s="2" t="b">
        <f>IF(AND(NOT(ISBLANK(Table1[[#This Row],[Fetal Sex (Male, Female or Unknown)]])),ISNUMBER(Table1[[#This Row],[Birthweight (grams)]]),ISNUMBER(Table1[[#This Row],[Gestation (days)]])),TRUE,FALSE)</f>
        <v>0</v>
      </c>
      <c r="E5225" s="2" t="str">
        <f>IF(Table1[[#This Row],[Is Data Valid]]=TRUE,IF(Table1[[#This Row],[Fetal Sex (Male, Female or Unknown)]]="Male",Backend!$C$6,IF(Table1[[#This Row],[Fetal Sex (Male, Female or Unknown)]]="Female",Backend!$C$7,IF(Table1[[#This Row],[Fetal Sex (Male, Female or Unknown)]]="Unknown",Backend!$C$8,"Error"))),"")</f>
        <v/>
      </c>
      <c r="F5225" s="8" t="str">
        <f>IF(Table1[[#This Row],[Is Data Valid]]=TRUE,EXP(0.578+0.332*((Table1[[#This Row],[Gestation (days)]]+0.5)/7)-0.00354*((Table1[[#This Row],[Gestation (days)]]+0.5)/7)^2)*Table1[[#This Row],[BW40_3705]],"")</f>
        <v/>
      </c>
      <c r="G5225" s="2" t="str">
        <f>IF(Table1[[#This Row],[Is Data Valid]]=TRUE,((Table1[[#This Row],[Birthweight (grams)]]/Table1[[#This Row],[BW_GA]])-1)/(Backend!$B$4/100*Table1[[#This Row],[BW40_3705]]),"")</f>
        <v/>
      </c>
      <c r="H5225" s="7" t="str">
        <f>IF(Table1[[#This Row],[Is Data Valid]]=TRUE,((Table1[[#This Row],[Birthweight (grams)]]*0.9/Table1[[#This Row],[BW_GA]])-1)/(Backend!$B$4/100*Table1[[#This Row],[BW40_3705]]),"")</f>
        <v/>
      </c>
      <c r="I5225" s="7" t="str">
        <f>IF(Table1[[#This Row],[Is Data Valid]]=TRUE,((Table1[[#This Row],[Birthweight (grams)]]*1.1/Table1[[#This Row],[BW_GA]])-1)/(Backend!$B$4/100*Table1[[#This Row],[BW40_3705]]),"")</f>
        <v/>
      </c>
      <c r="J5225" s="7" t="str">
        <f>IF(Table1[[#This Row],[Is Data Valid]]=TRUE,_xlfn.NORM.S.DIST(Table1[[#This Row],[Birthweight Z-Score]],TRUE)*100,"")</f>
        <v/>
      </c>
      <c r="K5225" s="7" t="str">
        <f>IF(Table1[[#This Row],[Is Data Valid]]=TRUE,_xlfn.NORM.S.DIST(Table1[[#This Row],[Birthweight Z-Score (BW-10%)]],TRUE)*100,"")</f>
        <v/>
      </c>
      <c r="L5225" s="7" t="str">
        <f>IF(Table1[[#This Row],[Is Data Valid]]=TRUE,_xlfn.NORM.S.DIST(Table1[[#This Row],[Birthweight Z-Score (BW+10%)]],TRUE)*100,"")</f>
        <v/>
      </c>
    </row>
    <row r="5226" spans="1:12" x14ac:dyDescent="0.35">
      <c r="A5226" s="3"/>
      <c r="B5226" s="2"/>
      <c r="C5226" s="2"/>
      <c r="D5226" s="2" t="b">
        <f>IF(AND(NOT(ISBLANK(Table1[[#This Row],[Fetal Sex (Male, Female or Unknown)]])),ISNUMBER(Table1[[#This Row],[Birthweight (grams)]]),ISNUMBER(Table1[[#This Row],[Gestation (days)]])),TRUE,FALSE)</f>
        <v>0</v>
      </c>
      <c r="E5226" s="2" t="str">
        <f>IF(Table1[[#This Row],[Is Data Valid]]=TRUE,IF(Table1[[#This Row],[Fetal Sex (Male, Female or Unknown)]]="Male",Backend!$C$6,IF(Table1[[#This Row],[Fetal Sex (Male, Female or Unknown)]]="Female",Backend!$C$7,IF(Table1[[#This Row],[Fetal Sex (Male, Female or Unknown)]]="Unknown",Backend!$C$8,"Error"))),"")</f>
        <v/>
      </c>
      <c r="F5226" s="8" t="str">
        <f>IF(Table1[[#This Row],[Is Data Valid]]=TRUE,EXP(0.578+0.332*((Table1[[#This Row],[Gestation (days)]]+0.5)/7)-0.00354*((Table1[[#This Row],[Gestation (days)]]+0.5)/7)^2)*Table1[[#This Row],[BW40_3705]],"")</f>
        <v/>
      </c>
      <c r="G5226" s="2" t="str">
        <f>IF(Table1[[#This Row],[Is Data Valid]]=TRUE,((Table1[[#This Row],[Birthweight (grams)]]/Table1[[#This Row],[BW_GA]])-1)/(Backend!$B$4/100*Table1[[#This Row],[BW40_3705]]),"")</f>
        <v/>
      </c>
      <c r="H5226" s="7" t="str">
        <f>IF(Table1[[#This Row],[Is Data Valid]]=TRUE,((Table1[[#This Row],[Birthweight (grams)]]*0.9/Table1[[#This Row],[BW_GA]])-1)/(Backend!$B$4/100*Table1[[#This Row],[BW40_3705]]),"")</f>
        <v/>
      </c>
      <c r="I5226" s="7" t="str">
        <f>IF(Table1[[#This Row],[Is Data Valid]]=TRUE,((Table1[[#This Row],[Birthweight (grams)]]*1.1/Table1[[#This Row],[BW_GA]])-1)/(Backend!$B$4/100*Table1[[#This Row],[BW40_3705]]),"")</f>
        <v/>
      </c>
      <c r="J5226" s="7" t="str">
        <f>IF(Table1[[#This Row],[Is Data Valid]]=TRUE,_xlfn.NORM.S.DIST(Table1[[#This Row],[Birthweight Z-Score]],TRUE)*100,"")</f>
        <v/>
      </c>
      <c r="K5226" s="7" t="str">
        <f>IF(Table1[[#This Row],[Is Data Valid]]=TRUE,_xlfn.NORM.S.DIST(Table1[[#This Row],[Birthweight Z-Score (BW-10%)]],TRUE)*100,"")</f>
        <v/>
      </c>
      <c r="L5226" s="7" t="str">
        <f>IF(Table1[[#This Row],[Is Data Valid]]=TRUE,_xlfn.NORM.S.DIST(Table1[[#This Row],[Birthweight Z-Score (BW+10%)]],TRUE)*100,"")</f>
        <v/>
      </c>
    </row>
    <row r="5227" spans="1:12" x14ac:dyDescent="0.35">
      <c r="A5227" s="3"/>
      <c r="B5227" s="2"/>
      <c r="C5227" s="2"/>
      <c r="D5227" s="2" t="b">
        <f>IF(AND(NOT(ISBLANK(Table1[[#This Row],[Fetal Sex (Male, Female or Unknown)]])),ISNUMBER(Table1[[#This Row],[Birthweight (grams)]]),ISNUMBER(Table1[[#This Row],[Gestation (days)]])),TRUE,FALSE)</f>
        <v>0</v>
      </c>
      <c r="E5227" s="2" t="str">
        <f>IF(Table1[[#This Row],[Is Data Valid]]=TRUE,IF(Table1[[#This Row],[Fetal Sex (Male, Female or Unknown)]]="Male",Backend!$C$6,IF(Table1[[#This Row],[Fetal Sex (Male, Female or Unknown)]]="Female",Backend!$C$7,IF(Table1[[#This Row],[Fetal Sex (Male, Female or Unknown)]]="Unknown",Backend!$C$8,"Error"))),"")</f>
        <v/>
      </c>
      <c r="F5227" s="8" t="str">
        <f>IF(Table1[[#This Row],[Is Data Valid]]=TRUE,EXP(0.578+0.332*((Table1[[#This Row],[Gestation (days)]]+0.5)/7)-0.00354*((Table1[[#This Row],[Gestation (days)]]+0.5)/7)^2)*Table1[[#This Row],[BW40_3705]],"")</f>
        <v/>
      </c>
      <c r="G5227" s="2" t="str">
        <f>IF(Table1[[#This Row],[Is Data Valid]]=TRUE,((Table1[[#This Row],[Birthweight (grams)]]/Table1[[#This Row],[BW_GA]])-1)/(Backend!$B$4/100*Table1[[#This Row],[BW40_3705]]),"")</f>
        <v/>
      </c>
      <c r="H5227" s="7" t="str">
        <f>IF(Table1[[#This Row],[Is Data Valid]]=TRUE,((Table1[[#This Row],[Birthweight (grams)]]*0.9/Table1[[#This Row],[BW_GA]])-1)/(Backend!$B$4/100*Table1[[#This Row],[BW40_3705]]),"")</f>
        <v/>
      </c>
      <c r="I5227" s="7" t="str">
        <f>IF(Table1[[#This Row],[Is Data Valid]]=TRUE,((Table1[[#This Row],[Birthweight (grams)]]*1.1/Table1[[#This Row],[BW_GA]])-1)/(Backend!$B$4/100*Table1[[#This Row],[BW40_3705]]),"")</f>
        <v/>
      </c>
      <c r="J5227" s="7" t="str">
        <f>IF(Table1[[#This Row],[Is Data Valid]]=TRUE,_xlfn.NORM.S.DIST(Table1[[#This Row],[Birthweight Z-Score]],TRUE)*100,"")</f>
        <v/>
      </c>
      <c r="K5227" s="7" t="str">
        <f>IF(Table1[[#This Row],[Is Data Valid]]=TRUE,_xlfn.NORM.S.DIST(Table1[[#This Row],[Birthweight Z-Score (BW-10%)]],TRUE)*100,"")</f>
        <v/>
      </c>
      <c r="L5227" s="7" t="str">
        <f>IF(Table1[[#This Row],[Is Data Valid]]=TRUE,_xlfn.NORM.S.DIST(Table1[[#This Row],[Birthweight Z-Score (BW+10%)]],TRUE)*100,"")</f>
        <v/>
      </c>
    </row>
    <row r="5228" spans="1:12" x14ac:dyDescent="0.35">
      <c r="A5228" s="3"/>
      <c r="B5228" s="2"/>
      <c r="C5228" s="2"/>
      <c r="D5228" s="2" t="b">
        <f>IF(AND(NOT(ISBLANK(Table1[[#This Row],[Fetal Sex (Male, Female or Unknown)]])),ISNUMBER(Table1[[#This Row],[Birthweight (grams)]]),ISNUMBER(Table1[[#This Row],[Gestation (days)]])),TRUE,FALSE)</f>
        <v>0</v>
      </c>
      <c r="E5228" s="2" t="str">
        <f>IF(Table1[[#This Row],[Is Data Valid]]=TRUE,IF(Table1[[#This Row],[Fetal Sex (Male, Female or Unknown)]]="Male",Backend!$C$6,IF(Table1[[#This Row],[Fetal Sex (Male, Female or Unknown)]]="Female",Backend!$C$7,IF(Table1[[#This Row],[Fetal Sex (Male, Female or Unknown)]]="Unknown",Backend!$C$8,"Error"))),"")</f>
        <v/>
      </c>
      <c r="F5228" s="8" t="str">
        <f>IF(Table1[[#This Row],[Is Data Valid]]=TRUE,EXP(0.578+0.332*((Table1[[#This Row],[Gestation (days)]]+0.5)/7)-0.00354*((Table1[[#This Row],[Gestation (days)]]+0.5)/7)^2)*Table1[[#This Row],[BW40_3705]],"")</f>
        <v/>
      </c>
      <c r="G5228" s="2" t="str">
        <f>IF(Table1[[#This Row],[Is Data Valid]]=TRUE,((Table1[[#This Row],[Birthweight (grams)]]/Table1[[#This Row],[BW_GA]])-1)/(Backend!$B$4/100*Table1[[#This Row],[BW40_3705]]),"")</f>
        <v/>
      </c>
      <c r="H5228" s="7" t="str">
        <f>IF(Table1[[#This Row],[Is Data Valid]]=TRUE,((Table1[[#This Row],[Birthweight (grams)]]*0.9/Table1[[#This Row],[BW_GA]])-1)/(Backend!$B$4/100*Table1[[#This Row],[BW40_3705]]),"")</f>
        <v/>
      </c>
      <c r="I5228" s="7" t="str">
        <f>IF(Table1[[#This Row],[Is Data Valid]]=TRUE,((Table1[[#This Row],[Birthweight (grams)]]*1.1/Table1[[#This Row],[BW_GA]])-1)/(Backend!$B$4/100*Table1[[#This Row],[BW40_3705]]),"")</f>
        <v/>
      </c>
      <c r="J5228" s="7" t="str">
        <f>IF(Table1[[#This Row],[Is Data Valid]]=TRUE,_xlfn.NORM.S.DIST(Table1[[#This Row],[Birthweight Z-Score]],TRUE)*100,"")</f>
        <v/>
      </c>
      <c r="K5228" s="7" t="str">
        <f>IF(Table1[[#This Row],[Is Data Valid]]=TRUE,_xlfn.NORM.S.DIST(Table1[[#This Row],[Birthweight Z-Score (BW-10%)]],TRUE)*100,"")</f>
        <v/>
      </c>
      <c r="L5228" s="7" t="str">
        <f>IF(Table1[[#This Row],[Is Data Valid]]=TRUE,_xlfn.NORM.S.DIST(Table1[[#This Row],[Birthweight Z-Score (BW+10%)]],TRUE)*100,"")</f>
        <v/>
      </c>
    </row>
    <row r="5229" spans="1:12" x14ac:dyDescent="0.35">
      <c r="A5229" s="3"/>
      <c r="B5229" s="2"/>
      <c r="C5229" s="2"/>
      <c r="D5229" s="2" t="b">
        <f>IF(AND(NOT(ISBLANK(Table1[[#This Row],[Fetal Sex (Male, Female or Unknown)]])),ISNUMBER(Table1[[#This Row],[Birthweight (grams)]]),ISNUMBER(Table1[[#This Row],[Gestation (days)]])),TRUE,FALSE)</f>
        <v>0</v>
      </c>
      <c r="E5229" s="2" t="str">
        <f>IF(Table1[[#This Row],[Is Data Valid]]=TRUE,IF(Table1[[#This Row],[Fetal Sex (Male, Female or Unknown)]]="Male",Backend!$C$6,IF(Table1[[#This Row],[Fetal Sex (Male, Female or Unknown)]]="Female",Backend!$C$7,IF(Table1[[#This Row],[Fetal Sex (Male, Female or Unknown)]]="Unknown",Backend!$C$8,"Error"))),"")</f>
        <v/>
      </c>
      <c r="F5229" s="8" t="str">
        <f>IF(Table1[[#This Row],[Is Data Valid]]=TRUE,EXP(0.578+0.332*((Table1[[#This Row],[Gestation (days)]]+0.5)/7)-0.00354*((Table1[[#This Row],[Gestation (days)]]+0.5)/7)^2)*Table1[[#This Row],[BW40_3705]],"")</f>
        <v/>
      </c>
      <c r="G5229" s="2" t="str">
        <f>IF(Table1[[#This Row],[Is Data Valid]]=TRUE,((Table1[[#This Row],[Birthweight (grams)]]/Table1[[#This Row],[BW_GA]])-1)/(Backend!$B$4/100*Table1[[#This Row],[BW40_3705]]),"")</f>
        <v/>
      </c>
      <c r="H5229" s="7" t="str">
        <f>IF(Table1[[#This Row],[Is Data Valid]]=TRUE,((Table1[[#This Row],[Birthweight (grams)]]*0.9/Table1[[#This Row],[BW_GA]])-1)/(Backend!$B$4/100*Table1[[#This Row],[BW40_3705]]),"")</f>
        <v/>
      </c>
      <c r="I5229" s="7" t="str">
        <f>IF(Table1[[#This Row],[Is Data Valid]]=TRUE,((Table1[[#This Row],[Birthweight (grams)]]*1.1/Table1[[#This Row],[BW_GA]])-1)/(Backend!$B$4/100*Table1[[#This Row],[BW40_3705]]),"")</f>
        <v/>
      </c>
      <c r="J5229" s="7" t="str">
        <f>IF(Table1[[#This Row],[Is Data Valid]]=TRUE,_xlfn.NORM.S.DIST(Table1[[#This Row],[Birthweight Z-Score]],TRUE)*100,"")</f>
        <v/>
      </c>
      <c r="K5229" s="7" t="str">
        <f>IF(Table1[[#This Row],[Is Data Valid]]=TRUE,_xlfn.NORM.S.DIST(Table1[[#This Row],[Birthweight Z-Score (BW-10%)]],TRUE)*100,"")</f>
        <v/>
      </c>
      <c r="L5229" s="7" t="str">
        <f>IF(Table1[[#This Row],[Is Data Valid]]=TRUE,_xlfn.NORM.S.DIST(Table1[[#This Row],[Birthweight Z-Score (BW+10%)]],TRUE)*100,"")</f>
        <v/>
      </c>
    </row>
    <row r="5230" spans="1:12" x14ac:dyDescent="0.35">
      <c r="A5230" s="3"/>
      <c r="B5230" s="2"/>
      <c r="C5230" s="2"/>
      <c r="D5230" s="2" t="b">
        <f>IF(AND(NOT(ISBLANK(Table1[[#This Row],[Fetal Sex (Male, Female or Unknown)]])),ISNUMBER(Table1[[#This Row],[Birthweight (grams)]]),ISNUMBER(Table1[[#This Row],[Gestation (days)]])),TRUE,FALSE)</f>
        <v>0</v>
      </c>
      <c r="E5230" s="2" t="str">
        <f>IF(Table1[[#This Row],[Is Data Valid]]=TRUE,IF(Table1[[#This Row],[Fetal Sex (Male, Female or Unknown)]]="Male",Backend!$C$6,IF(Table1[[#This Row],[Fetal Sex (Male, Female or Unknown)]]="Female",Backend!$C$7,IF(Table1[[#This Row],[Fetal Sex (Male, Female or Unknown)]]="Unknown",Backend!$C$8,"Error"))),"")</f>
        <v/>
      </c>
      <c r="F5230" s="8" t="str">
        <f>IF(Table1[[#This Row],[Is Data Valid]]=TRUE,EXP(0.578+0.332*((Table1[[#This Row],[Gestation (days)]]+0.5)/7)-0.00354*((Table1[[#This Row],[Gestation (days)]]+0.5)/7)^2)*Table1[[#This Row],[BW40_3705]],"")</f>
        <v/>
      </c>
      <c r="G5230" s="2" t="str">
        <f>IF(Table1[[#This Row],[Is Data Valid]]=TRUE,((Table1[[#This Row],[Birthweight (grams)]]/Table1[[#This Row],[BW_GA]])-1)/(Backend!$B$4/100*Table1[[#This Row],[BW40_3705]]),"")</f>
        <v/>
      </c>
      <c r="H5230" s="7" t="str">
        <f>IF(Table1[[#This Row],[Is Data Valid]]=TRUE,((Table1[[#This Row],[Birthweight (grams)]]*0.9/Table1[[#This Row],[BW_GA]])-1)/(Backend!$B$4/100*Table1[[#This Row],[BW40_3705]]),"")</f>
        <v/>
      </c>
      <c r="I5230" s="7" t="str">
        <f>IF(Table1[[#This Row],[Is Data Valid]]=TRUE,((Table1[[#This Row],[Birthweight (grams)]]*1.1/Table1[[#This Row],[BW_GA]])-1)/(Backend!$B$4/100*Table1[[#This Row],[BW40_3705]]),"")</f>
        <v/>
      </c>
      <c r="J5230" s="7" t="str">
        <f>IF(Table1[[#This Row],[Is Data Valid]]=TRUE,_xlfn.NORM.S.DIST(Table1[[#This Row],[Birthweight Z-Score]],TRUE)*100,"")</f>
        <v/>
      </c>
      <c r="K5230" s="7" t="str">
        <f>IF(Table1[[#This Row],[Is Data Valid]]=TRUE,_xlfn.NORM.S.DIST(Table1[[#This Row],[Birthweight Z-Score (BW-10%)]],TRUE)*100,"")</f>
        <v/>
      </c>
      <c r="L5230" s="7" t="str">
        <f>IF(Table1[[#This Row],[Is Data Valid]]=TRUE,_xlfn.NORM.S.DIST(Table1[[#This Row],[Birthweight Z-Score (BW+10%)]],TRUE)*100,"")</f>
        <v/>
      </c>
    </row>
    <row r="5231" spans="1:12" x14ac:dyDescent="0.35">
      <c r="A5231" s="3"/>
      <c r="B5231" s="2"/>
      <c r="C5231" s="2"/>
      <c r="D5231" s="2" t="b">
        <f>IF(AND(NOT(ISBLANK(Table1[[#This Row],[Fetal Sex (Male, Female or Unknown)]])),ISNUMBER(Table1[[#This Row],[Birthweight (grams)]]),ISNUMBER(Table1[[#This Row],[Gestation (days)]])),TRUE,FALSE)</f>
        <v>0</v>
      </c>
      <c r="E5231" s="2" t="str">
        <f>IF(Table1[[#This Row],[Is Data Valid]]=TRUE,IF(Table1[[#This Row],[Fetal Sex (Male, Female or Unknown)]]="Male",Backend!$C$6,IF(Table1[[#This Row],[Fetal Sex (Male, Female or Unknown)]]="Female",Backend!$C$7,IF(Table1[[#This Row],[Fetal Sex (Male, Female or Unknown)]]="Unknown",Backend!$C$8,"Error"))),"")</f>
        <v/>
      </c>
      <c r="F5231" s="8" t="str">
        <f>IF(Table1[[#This Row],[Is Data Valid]]=TRUE,EXP(0.578+0.332*((Table1[[#This Row],[Gestation (days)]]+0.5)/7)-0.00354*((Table1[[#This Row],[Gestation (days)]]+0.5)/7)^2)*Table1[[#This Row],[BW40_3705]],"")</f>
        <v/>
      </c>
      <c r="G5231" s="2" t="str">
        <f>IF(Table1[[#This Row],[Is Data Valid]]=TRUE,((Table1[[#This Row],[Birthweight (grams)]]/Table1[[#This Row],[BW_GA]])-1)/(Backend!$B$4/100*Table1[[#This Row],[BW40_3705]]),"")</f>
        <v/>
      </c>
      <c r="H5231" s="7" t="str">
        <f>IF(Table1[[#This Row],[Is Data Valid]]=TRUE,((Table1[[#This Row],[Birthweight (grams)]]*0.9/Table1[[#This Row],[BW_GA]])-1)/(Backend!$B$4/100*Table1[[#This Row],[BW40_3705]]),"")</f>
        <v/>
      </c>
      <c r="I5231" s="7" t="str">
        <f>IF(Table1[[#This Row],[Is Data Valid]]=TRUE,((Table1[[#This Row],[Birthweight (grams)]]*1.1/Table1[[#This Row],[BW_GA]])-1)/(Backend!$B$4/100*Table1[[#This Row],[BW40_3705]]),"")</f>
        <v/>
      </c>
      <c r="J5231" s="7" t="str">
        <f>IF(Table1[[#This Row],[Is Data Valid]]=TRUE,_xlfn.NORM.S.DIST(Table1[[#This Row],[Birthweight Z-Score]],TRUE)*100,"")</f>
        <v/>
      </c>
      <c r="K5231" s="7" t="str">
        <f>IF(Table1[[#This Row],[Is Data Valid]]=TRUE,_xlfn.NORM.S.DIST(Table1[[#This Row],[Birthweight Z-Score (BW-10%)]],TRUE)*100,"")</f>
        <v/>
      </c>
      <c r="L5231" s="7" t="str">
        <f>IF(Table1[[#This Row],[Is Data Valid]]=TRUE,_xlfn.NORM.S.DIST(Table1[[#This Row],[Birthweight Z-Score (BW+10%)]],TRUE)*100,"")</f>
        <v/>
      </c>
    </row>
    <row r="5232" spans="1:12" x14ac:dyDescent="0.35">
      <c r="A5232" s="3"/>
      <c r="B5232" s="2"/>
      <c r="C5232" s="2"/>
      <c r="D5232" s="2" t="b">
        <f>IF(AND(NOT(ISBLANK(Table1[[#This Row],[Fetal Sex (Male, Female or Unknown)]])),ISNUMBER(Table1[[#This Row],[Birthweight (grams)]]),ISNUMBER(Table1[[#This Row],[Gestation (days)]])),TRUE,FALSE)</f>
        <v>0</v>
      </c>
      <c r="E5232" s="2" t="str">
        <f>IF(Table1[[#This Row],[Is Data Valid]]=TRUE,IF(Table1[[#This Row],[Fetal Sex (Male, Female or Unknown)]]="Male",Backend!$C$6,IF(Table1[[#This Row],[Fetal Sex (Male, Female or Unknown)]]="Female",Backend!$C$7,IF(Table1[[#This Row],[Fetal Sex (Male, Female or Unknown)]]="Unknown",Backend!$C$8,"Error"))),"")</f>
        <v/>
      </c>
      <c r="F5232" s="8" t="str">
        <f>IF(Table1[[#This Row],[Is Data Valid]]=TRUE,EXP(0.578+0.332*((Table1[[#This Row],[Gestation (days)]]+0.5)/7)-0.00354*((Table1[[#This Row],[Gestation (days)]]+0.5)/7)^2)*Table1[[#This Row],[BW40_3705]],"")</f>
        <v/>
      </c>
      <c r="G5232" s="2" t="str">
        <f>IF(Table1[[#This Row],[Is Data Valid]]=TRUE,((Table1[[#This Row],[Birthweight (grams)]]/Table1[[#This Row],[BW_GA]])-1)/(Backend!$B$4/100*Table1[[#This Row],[BW40_3705]]),"")</f>
        <v/>
      </c>
      <c r="H5232" s="7" t="str">
        <f>IF(Table1[[#This Row],[Is Data Valid]]=TRUE,((Table1[[#This Row],[Birthweight (grams)]]*0.9/Table1[[#This Row],[BW_GA]])-1)/(Backend!$B$4/100*Table1[[#This Row],[BW40_3705]]),"")</f>
        <v/>
      </c>
      <c r="I5232" s="7" t="str">
        <f>IF(Table1[[#This Row],[Is Data Valid]]=TRUE,((Table1[[#This Row],[Birthweight (grams)]]*1.1/Table1[[#This Row],[BW_GA]])-1)/(Backend!$B$4/100*Table1[[#This Row],[BW40_3705]]),"")</f>
        <v/>
      </c>
      <c r="J5232" s="7" t="str">
        <f>IF(Table1[[#This Row],[Is Data Valid]]=TRUE,_xlfn.NORM.S.DIST(Table1[[#This Row],[Birthweight Z-Score]],TRUE)*100,"")</f>
        <v/>
      </c>
      <c r="K5232" s="7" t="str">
        <f>IF(Table1[[#This Row],[Is Data Valid]]=TRUE,_xlfn.NORM.S.DIST(Table1[[#This Row],[Birthweight Z-Score (BW-10%)]],TRUE)*100,"")</f>
        <v/>
      </c>
      <c r="L5232" s="7" t="str">
        <f>IF(Table1[[#This Row],[Is Data Valid]]=TRUE,_xlfn.NORM.S.DIST(Table1[[#This Row],[Birthweight Z-Score (BW+10%)]],TRUE)*100,"")</f>
        <v/>
      </c>
    </row>
    <row r="5233" spans="1:12" x14ac:dyDescent="0.35">
      <c r="A5233" s="3"/>
      <c r="B5233" s="2"/>
      <c r="C5233" s="2"/>
      <c r="D5233" s="2" t="b">
        <f>IF(AND(NOT(ISBLANK(Table1[[#This Row],[Fetal Sex (Male, Female or Unknown)]])),ISNUMBER(Table1[[#This Row],[Birthweight (grams)]]),ISNUMBER(Table1[[#This Row],[Gestation (days)]])),TRUE,FALSE)</f>
        <v>0</v>
      </c>
      <c r="E5233" s="2" t="str">
        <f>IF(Table1[[#This Row],[Is Data Valid]]=TRUE,IF(Table1[[#This Row],[Fetal Sex (Male, Female or Unknown)]]="Male",Backend!$C$6,IF(Table1[[#This Row],[Fetal Sex (Male, Female or Unknown)]]="Female",Backend!$C$7,IF(Table1[[#This Row],[Fetal Sex (Male, Female or Unknown)]]="Unknown",Backend!$C$8,"Error"))),"")</f>
        <v/>
      </c>
      <c r="F5233" s="8" t="str">
        <f>IF(Table1[[#This Row],[Is Data Valid]]=TRUE,EXP(0.578+0.332*((Table1[[#This Row],[Gestation (days)]]+0.5)/7)-0.00354*((Table1[[#This Row],[Gestation (days)]]+0.5)/7)^2)*Table1[[#This Row],[BW40_3705]],"")</f>
        <v/>
      </c>
      <c r="G5233" s="2" t="str">
        <f>IF(Table1[[#This Row],[Is Data Valid]]=TRUE,((Table1[[#This Row],[Birthweight (grams)]]/Table1[[#This Row],[BW_GA]])-1)/(Backend!$B$4/100*Table1[[#This Row],[BW40_3705]]),"")</f>
        <v/>
      </c>
      <c r="H5233" s="7" t="str">
        <f>IF(Table1[[#This Row],[Is Data Valid]]=TRUE,((Table1[[#This Row],[Birthweight (grams)]]*0.9/Table1[[#This Row],[BW_GA]])-1)/(Backend!$B$4/100*Table1[[#This Row],[BW40_3705]]),"")</f>
        <v/>
      </c>
      <c r="I5233" s="7" t="str">
        <f>IF(Table1[[#This Row],[Is Data Valid]]=TRUE,((Table1[[#This Row],[Birthweight (grams)]]*1.1/Table1[[#This Row],[BW_GA]])-1)/(Backend!$B$4/100*Table1[[#This Row],[BW40_3705]]),"")</f>
        <v/>
      </c>
      <c r="J5233" s="7" t="str">
        <f>IF(Table1[[#This Row],[Is Data Valid]]=TRUE,_xlfn.NORM.S.DIST(Table1[[#This Row],[Birthweight Z-Score]],TRUE)*100,"")</f>
        <v/>
      </c>
      <c r="K5233" s="7" t="str">
        <f>IF(Table1[[#This Row],[Is Data Valid]]=TRUE,_xlfn.NORM.S.DIST(Table1[[#This Row],[Birthweight Z-Score (BW-10%)]],TRUE)*100,"")</f>
        <v/>
      </c>
      <c r="L5233" s="7" t="str">
        <f>IF(Table1[[#This Row],[Is Data Valid]]=TRUE,_xlfn.NORM.S.DIST(Table1[[#This Row],[Birthweight Z-Score (BW+10%)]],TRUE)*100,"")</f>
        <v/>
      </c>
    </row>
    <row r="5234" spans="1:12" x14ac:dyDescent="0.35">
      <c r="A5234" s="3"/>
      <c r="B5234" s="2"/>
      <c r="C5234" s="2"/>
      <c r="D5234" s="2" t="b">
        <f>IF(AND(NOT(ISBLANK(Table1[[#This Row],[Fetal Sex (Male, Female or Unknown)]])),ISNUMBER(Table1[[#This Row],[Birthweight (grams)]]),ISNUMBER(Table1[[#This Row],[Gestation (days)]])),TRUE,FALSE)</f>
        <v>0</v>
      </c>
      <c r="E5234" s="2" t="str">
        <f>IF(Table1[[#This Row],[Is Data Valid]]=TRUE,IF(Table1[[#This Row],[Fetal Sex (Male, Female or Unknown)]]="Male",Backend!$C$6,IF(Table1[[#This Row],[Fetal Sex (Male, Female or Unknown)]]="Female",Backend!$C$7,IF(Table1[[#This Row],[Fetal Sex (Male, Female or Unknown)]]="Unknown",Backend!$C$8,"Error"))),"")</f>
        <v/>
      </c>
      <c r="F5234" s="8" t="str">
        <f>IF(Table1[[#This Row],[Is Data Valid]]=TRUE,EXP(0.578+0.332*((Table1[[#This Row],[Gestation (days)]]+0.5)/7)-0.00354*((Table1[[#This Row],[Gestation (days)]]+0.5)/7)^2)*Table1[[#This Row],[BW40_3705]],"")</f>
        <v/>
      </c>
      <c r="G5234" s="2" t="str">
        <f>IF(Table1[[#This Row],[Is Data Valid]]=TRUE,((Table1[[#This Row],[Birthweight (grams)]]/Table1[[#This Row],[BW_GA]])-1)/(Backend!$B$4/100*Table1[[#This Row],[BW40_3705]]),"")</f>
        <v/>
      </c>
      <c r="H5234" s="7" t="str">
        <f>IF(Table1[[#This Row],[Is Data Valid]]=TRUE,((Table1[[#This Row],[Birthweight (grams)]]*0.9/Table1[[#This Row],[BW_GA]])-1)/(Backend!$B$4/100*Table1[[#This Row],[BW40_3705]]),"")</f>
        <v/>
      </c>
      <c r="I5234" s="7" t="str">
        <f>IF(Table1[[#This Row],[Is Data Valid]]=TRUE,((Table1[[#This Row],[Birthweight (grams)]]*1.1/Table1[[#This Row],[BW_GA]])-1)/(Backend!$B$4/100*Table1[[#This Row],[BW40_3705]]),"")</f>
        <v/>
      </c>
      <c r="J5234" s="7" t="str">
        <f>IF(Table1[[#This Row],[Is Data Valid]]=TRUE,_xlfn.NORM.S.DIST(Table1[[#This Row],[Birthweight Z-Score]],TRUE)*100,"")</f>
        <v/>
      </c>
      <c r="K5234" s="7" t="str">
        <f>IF(Table1[[#This Row],[Is Data Valid]]=TRUE,_xlfn.NORM.S.DIST(Table1[[#This Row],[Birthweight Z-Score (BW-10%)]],TRUE)*100,"")</f>
        <v/>
      </c>
      <c r="L5234" s="7" t="str">
        <f>IF(Table1[[#This Row],[Is Data Valid]]=TRUE,_xlfn.NORM.S.DIST(Table1[[#This Row],[Birthweight Z-Score (BW+10%)]],TRUE)*100,"")</f>
        <v/>
      </c>
    </row>
    <row r="5235" spans="1:12" x14ac:dyDescent="0.35">
      <c r="A5235" s="3"/>
      <c r="B5235" s="2"/>
      <c r="C5235" s="2"/>
      <c r="D5235" s="2" t="b">
        <f>IF(AND(NOT(ISBLANK(Table1[[#This Row],[Fetal Sex (Male, Female or Unknown)]])),ISNUMBER(Table1[[#This Row],[Birthweight (grams)]]),ISNUMBER(Table1[[#This Row],[Gestation (days)]])),TRUE,FALSE)</f>
        <v>0</v>
      </c>
      <c r="E5235" s="2" t="str">
        <f>IF(Table1[[#This Row],[Is Data Valid]]=TRUE,IF(Table1[[#This Row],[Fetal Sex (Male, Female or Unknown)]]="Male",Backend!$C$6,IF(Table1[[#This Row],[Fetal Sex (Male, Female or Unknown)]]="Female",Backend!$C$7,IF(Table1[[#This Row],[Fetal Sex (Male, Female or Unknown)]]="Unknown",Backend!$C$8,"Error"))),"")</f>
        <v/>
      </c>
      <c r="F5235" s="8" t="str">
        <f>IF(Table1[[#This Row],[Is Data Valid]]=TRUE,EXP(0.578+0.332*((Table1[[#This Row],[Gestation (days)]]+0.5)/7)-0.00354*((Table1[[#This Row],[Gestation (days)]]+0.5)/7)^2)*Table1[[#This Row],[BW40_3705]],"")</f>
        <v/>
      </c>
      <c r="G5235" s="2" t="str">
        <f>IF(Table1[[#This Row],[Is Data Valid]]=TRUE,((Table1[[#This Row],[Birthweight (grams)]]/Table1[[#This Row],[BW_GA]])-1)/(Backend!$B$4/100*Table1[[#This Row],[BW40_3705]]),"")</f>
        <v/>
      </c>
      <c r="H5235" s="7" t="str">
        <f>IF(Table1[[#This Row],[Is Data Valid]]=TRUE,((Table1[[#This Row],[Birthweight (grams)]]*0.9/Table1[[#This Row],[BW_GA]])-1)/(Backend!$B$4/100*Table1[[#This Row],[BW40_3705]]),"")</f>
        <v/>
      </c>
      <c r="I5235" s="7" t="str">
        <f>IF(Table1[[#This Row],[Is Data Valid]]=TRUE,((Table1[[#This Row],[Birthweight (grams)]]*1.1/Table1[[#This Row],[BW_GA]])-1)/(Backend!$B$4/100*Table1[[#This Row],[BW40_3705]]),"")</f>
        <v/>
      </c>
      <c r="J5235" s="7" t="str">
        <f>IF(Table1[[#This Row],[Is Data Valid]]=TRUE,_xlfn.NORM.S.DIST(Table1[[#This Row],[Birthweight Z-Score]],TRUE)*100,"")</f>
        <v/>
      </c>
      <c r="K5235" s="7" t="str">
        <f>IF(Table1[[#This Row],[Is Data Valid]]=TRUE,_xlfn.NORM.S.DIST(Table1[[#This Row],[Birthweight Z-Score (BW-10%)]],TRUE)*100,"")</f>
        <v/>
      </c>
      <c r="L5235" s="7" t="str">
        <f>IF(Table1[[#This Row],[Is Data Valid]]=TRUE,_xlfn.NORM.S.DIST(Table1[[#This Row],[Birthweight Z-Score (BW+10%)]],TRUE)*100,"")</f>
        <v/>
      </c>
    </row>
    <row r="5236" spans="1:12" x14ac:dyDescent="0.35">
      <c r="A5236" s="3"/>
      <c r="B5236" s="2"/>
      <c r="C5236" s="2"/>
      <c r="D5236" s="2" t="b">
        <f>IF(AND(NOT(ISBLANK(Table1[[#This Row],[Fetal Sex (Male, Female or Unknown)]])),ISNUMBER(Table1[[#This Row],[Birthweight (grams)]]),ISNUMBER(Table1[[#This Row],[Gestation (days)]])),TRUE,FALSE)</f>
        <v>0</v>
      </c>
      <c r="E5236" s="2" t="str">
        <f>IF(Table1[[#This Row],[Is Data Valid]]=TRUE,IF(Table1[[#This Row],[Fetal Sex (Male, Female or Unknown)]]="Male",Backend!$C$6,IF(Table1[[#This Row],[Fetal Sex (Male, Female or Unknown)]]="Female",Backend!$C$7,IF(Table1[[#This Row],[Fetal Sex (Male, Female or Unknown)]]="Unknown",Backend!$C$8,"Error"))),"")</f>
        <v/>
      </c>
      <c r="F5236" s="8" t="str">
        <f>IF(Table1[[#This Row],[Is Data Valid]]=TRUE,EXP(0.578+0.332*((Table1[[#This Row],[Gestation (days)]]+0.5)/7)-0.00354*((Table1[[#This Row],[Gestation (days)]]+0.5)/7)^2)*Table1[[#This Row],[BW40_3705]],"")</f>
        <v/>
      </c>
      <c r="G5236" s="2" t="str">
        <f>IF(Table1[[#This Row],[Is Data Valid]]=TRUE,((Table1[[#This Row],[Birthweight (grams)]]/Table1[[#This Row],[BW_GA]])-1)/(Backend!$B$4/100*Table1[[#This Row],[BW40_3705]]),"")</f>
        <v/>
      </c>
      <c r="H5236" s="7" t="str">
        <f>IF(Table1[[#This Row],[Is Data Valid]]=TRUE,((Table1[[#This Row],[Birthweight (grams)]]*0.9/Table1[[#This Row],[BW_GA]])-1)/(Backend!$B$4/100*Table1[[#This Row],[BW40_3705]]),"")</f>
        <v/>
      </c>
      <c r="I5236" s="7" t="str">
        <f>IF(Table1[[#This Row],[Is Data Valid]]=TRUE,((Table1[[#This Row],[Birthweight (grams)]]*1.1/Table1[[#This Row],[BW_GA]])-1)/(Backend!$B$4/100*Table1[[#This Row],[BW40_3705]]),"")</f>
        <v/>
      </c>
      <c r="J5236" s="7" t="str">
        <f>IF(Table1[[#This Row],[Is Data Valid]]=TRUE,_xlfn.NORM.S.DIST(Table1[[#This Row],[Birthweight Z-Score]],TRUE)*100,"")</f>
        <v/>
      </c>
      <c r="K5236" s="7" t="str">
        <f>IF(Table1[[#This Row],[Is Data Valid]]=TRUE,_xlfn.NORM.S.DIST(Table1[[#This Row],[Birthweight Z-Score (BW-10%)]],TRUE)*100,"")</f>
        <v/>
      </c>
      <c r="L5236" s="7" t="str">
        <f>IF(Table1[[#This Row],[Is Data Valid]]=TRUE,_xlfn.NORM.S.DIST(Table1[[#This Row],[Birthweight Z-Score (BW+10%)]],TRUE)*100,"")</f>
        <v/>
      </c>
    </row>
    <row r="5237" spans="1:12" x14ac:dyDescent="0.35">
      <c r="A5237" s="3"/>
      <c r="B5237" s="2"/>
      <c r="C5237" s="2"/>
      <c r="D5237" s="2" t="b">
        <f>IF(AND(NOT(ISBLANK(Table1[[#This Row],[Fetal Sex (Male, Female or Unknown)]])),ISNUMBER(Table1[[#This Row],[Birthweight (grams)]]),ISNUMBER(Table1[[#This Row],[Gestation (days)]])),TRUE,FALSE)</f>
        <v>0</v>
      </c>
      <c r="E5237" s="2" t="str">
        <f>IF(Table1[[#This Row],[Is Data Valid]]=TRUE,IF(Table1[[#This Row],[Fetal Sex (Male, Female or Unknown)]]="Male",Backend!$C$6,IF(Table1[[#This Row],[Fetal Sex (Male, Female or Unknown)]]="Female",Backend!$C$7,IF(Table1[[#This Row],[Fetal Sex (Male, Female or Unknown)]]="Unknown",Backend!$C$8,"Error"))),"")</f>
        <v/>
      </c>
      <c r="F5237" s="8" t="str">
        <f>IF(Table1[[#This Row],[Is Data Valid]]=TRUE,EXP(0.578+0.332*((Table1[[#This Row],[Gestation (days)]]+0.5)/7)-0.00354*((Table1[[#This Row],[Gestation (days)]]+0.5)/7)^2)*Table1[[#This Row],[BW40_3705]],"")</f>
        <v/>
      </c>
      <c r="G5237" s="2" t="str">
        <f>IF(Table1[[#This Row],[Is Data Valid]]=TRUE,((Table1[[#This Row],[Birthweight (grams)]]/Table1[[#This Row],[BW_GA]])-1)/(Backend!$B$4/100*Table1[[#This Row],[BW40_3705]]),"")</f>
        <v/>
      </c>
      <c r="H5237" s="7" t="str">
        <f>IF(Table1[[#This Row],[Is Data Valid]]=TRUE,((Table1[[#This Row],[Birthweight (grams)]]*0.9/Table1[[#This Row],[BW_GA]])-1)/(Backend!$B$4/100*Table1[[#This Row],[BW40_3705]]),"")</f>
        <v/>
      </c>
      <c r="I5237" s="7" t="str">
        <f>IF(Table1[[#This Row],[Is Data Valid]]=TRUE,((Table1[[#This Row],[Birthweight (grams)]]*1.1/Table1[[#This Row],[BW_GA]])-1)/(Backend!$B$4/100*Table1[[#This Row],[BW40_3705]]),"")</f>
        <v/>
      </c>
      <c r="J5237" s="7" t="str">
        <f>IF(Table1[[#This Row],[Is Data Valid]]=TRUE,_xlfn.NORM.S.DIST(Table1[[#This Row],[Birthweight Z-Score]],TRUE)*100,"")</f>
        <v/>
      </c>
      <c r="K5237" s="7" t="str">
        <f>IF(Table1[[#This Row],[Is Data Valid]]=TRUE,_xlfn.NORM.S.DIST(Table1[[#This Row],[Birthweight Z-Score (BW-10%)]],TRUE)*100,"")</f>
        <v/>
      </c>
      <c r="L5237" s="7" t="str">
        <f>IF(Table1[[#This Row],[Is Data Valid]]=TRUE,_xlfn.NORM.S.DIST(Table1[[#This Row],[Birthweight Z-Score (BW+10%)]],TRUE)*100,"")</f>
        <v/>
      </c>
    </row>
    <row r="5238" spans="1:12" x14ac:dyDescent="0.35">
      <c r="A5238" s="3"/>
      <c r="B5238" s="2"/>
      <c r="C5238" s="2"/>
      <c r="D5238" s="2" t="b">
        <f>IF(AND(NOT(ISBLANK(Table1[[#This Row],[Fetal Sex (Male, Female or Unknown)]])),ISNUMBER(Table1[[#This Row],[Birthweight (grams)]]),ISNUMBER(Table1[[#This Row],[Gestation (days)]])),TRUE,FALSE)</f>
        <v>0</v>
      </c>
      <c r="E5238" s="2" t="str">
        <f>IF(Table1[[#This Row],[Is Data Valid]]=TRUE,IF(Table1[[#This Row],[Fetal Sex (Male, Female or Unknown)]]="Male",Backend!$C$6,IF(Table1[[#This Row],[Fetal Sex (Male, Female or Unknown)]]="Female",Backend!$C$7,IF(Table1[[#This Row],[Fetal Sex (Male, Female or Unknown)]]="Unknown",Backend!$C$8,"Error"))),"")</f>
        <v/>
      </c>
      <c r="F5238" s="8" t="str">
        <f>IF(Table1[[#This Row],[Is Data Valid]]=TRUE,EXP(0.578+0.332*((Table1[[#This Row],[Gestation (days)]]+0.5)/7)-0.00354*((Table1[[#This Row],[Gestation (days)]]+0.5)/7)^2)*Table1[[#This Row],[BW40_3705]],"")</f>
        <v/>
      </c>
      <c r="G5238" s="2" t="str">
        <f>IF(Table1[[#This Row],[Is Data Valid]]=TRUE,((Table1[[#This Row],[Birthweight (grams)]]/Table1[[#This Row],[BW_GA]])-1)/(Backend!$B$4/100*Table1[[#This Row],[BW40_3705]]),"")</f>
        <v/>
      </c>
      <c r="H5238" s="7" t="str">
        <f>IF(Table1[[#This Row],[Is Data Valid]]=TRUE,((Table1[[#This Row],[Birthweight (grams)]]*0.9/Table1[[#This Row],[BW_GA]])-1)/(Backend!$B$4/100*Table1[[#This Row],[BW40_3705]]),"")</f>
        <v/>
      </c>
      <c r="I5238" s="7" t="str">
        <f>IF(Table1[[#This Row],[Is Data Valid]]=TRUE,((Table1[[#This Row],[Birthweight (grams)]]*1.1/Table1[[#This Row],[BW_GA]])-1)/(Backend!$B$4/100*Table1[[#This Row],[BW40_3705]]),"")</f>
        <v/>
      </c>
      <c r="J5238" s="7" t="str">
        <f>IF(Table1[[#This Row],[Is Data Valid]]=TRUE,_xlfn.NORM.S.DIST(Table1[[#This Row],[Birthweight Z-Score]],TRUE)*100,"")</f>
        <v/>
      </c>
      <c r="K5238" s="7" t="str">
        <f>IF(Table1[[#This Row],[Is Data Valid]]=TRUE,_xlfn.NORM.S.DIST(Table1[[#This Row],[Birthweight Z-Score (BW-10%)]],TRUE)*100,"")</f>
        <v/>
      </c>
      <c r="L5238" s="7" t="str">
        <f>IF(Table1[[#This Row],[Is Data Valid]]=TRUE,_xlfn.NORM.S.DIST(Table1[[#This Row],[Birthweight Z-Score (BW+10%)]],TRUE)*100,"")</f>
        <v/>
      </c>
    </row>
    <row r="5239" spans="1:12" x14ac:dyDescent="0.35">
      <c r="A5239" s="3"/>
      <c r="B5239" s="2"/>
      <c r="C5239" s="2"/>
      <c r="D5239" s="2" t="b">
        <f>IF(AND(NOT(ISBLANK(Table1[[#This Row],[Fetal Sex (Male, Female or Unknown)]])),ISNUMBER(Table1[[#This Row],[Birthweight (grams)]]),ISNUMBER(Table1[[#This Row],[Gestation (days)]])),TRUE,FALSE)</f>
        <v>0</v>
      </c>
      <c r="E5239" s="2" t="str">
        <f>IF(Table1[[#This Row],[Is Data Valid]]=TRUE,IF(Table1[[#This Row],[Fetal Sex (Male, Female or Unknown)]]="Male",Backend!$C$6,IF(Table1[[#This Row],[Fetal Sex (Male, Female or Unknown)]]="Female",Backend!$C$7,IF(Table1[[#This Row],[Fetal Sex (Male, Female or Unknown)]]="Unknown",Backend!$C$8,"Error"))),"")</f>
        <v/>
      </c>
      <c r="F5239" s="8" t="str">
        <f>IF(Table1[[#This Row],[Is Data Valid]]=TRUE,EXP(0.578+0.332*((Table1[[#This Row],[Gestation (days)]]+0.5)/7)-0.00354*((Table1[[#This Row],[Gestation (days)]]+0.5)/7)^2)*Table1[[#This Row],[BW40_3705]],"")</f>
        <v/>
      </c>
      <c r="G5239" s="2" t="str">
        <f>IF(Table1[[#This Row],[Is Data Valid]]=TRUE,((Table1[[#This Row],[Birthweight (grams)]]/Table1[[#This Row],[BW_GA]])-1)/(Backend!$B$4/100*Table1[[#This Row],[BW40_3705]]),"")</f>
        <v/>
      </c>
      <c r="H5239" s="7" t="str">
        <f>IF(Table1[[#This Row],[Is Data Valid]]=TRUE,((Table1[[#This Row],[Birthweight (grams)]]*0.9/Table1[[#This Row],[BW_GA]])-1)/(Backend!$B$4/100*Table1[[#This Row],[BW40_3705]]),"")</f>
        <v/>
      </c>
      <c r="I5239" s="7" t="str">
        <f>IF(Table1[[#This Row],[Is Data Valid]]=TRUE,((Table1[[#This Row],[Birthweight (grams)]]*1.1/Table1[[#This Row],[BW_GA]])-1)/(Backend!$B$4/100*Table1[[#This Row],[BW40_3705]]),"")</f>
        <v/>
      </c>
      <c r="J5239" s="7" t="str">
        <f>IF(Table1[[#This Row],[Is Data Valid]]=TRUE,_xlfn.NORM.S.DIST(Table1[[#This Row],[Birthweight Z-Score]],TRUE)*100,"")</f>
        <v/>
      </c>
      <c r="K5239" s="7" t="str">
        <f>IF(Table1[[#This Row],[Is Data Valid]]=TRUE,_xlfn.NORM.S.DIST(Table1[[#This Row],[Birthweight Z-Score (BW-10%)]],TRUE)*100,"")</f>
        <v/>
      </c>
      <c r="L5239" s="7" t="str">
        <f>IF(Table1[[#This Row],[Is Data Valid]]=TRUE,_xlfn.NORM.S.DIST(Table1[[#This Row],[Birthweight Z-Score (BW+10%)]],TRUE)*100,"")</f>
        <v/>
      </c>
    </row>
    <row r="5240" spans="1:12" x14ac:dyDescent="0.35">
      <c r="A5240" s="3"/>
      <c r="B5240" s="2"/>
      <c r="C5240" s="2"/>
      <c r="D5240" s="2" t="b">
        <f>IF(AND(NOT(ISBLANK(Table1[[#This Row],[Fetal Sex (Male, Female or Unknown)]])),ISNUMBER(Table1[[#This Row],[Birthweight (grams)]]),ISNUMBER(Table1[[#This Row],[Gestation (days)]])),TRUE,FALSE)</f>
        <v>0</v>
      </c>
      <c r="E5240" s="2" t="str">
        <f>IF(Table1[[#This Row],[Is Data Valid]]=TRUE,IF(Table1[[#This Row],[Fetal Sex (Male, Female or Unknown)]]="Male",Backend!$C$6,IF(Table1[[#This Row],[Fetal Sex (Male, Female or Unknown)]]="Female",Backend!$C$7,IF(Table1[[#This Row],[Fetal Sex (Male, Female or Unknown)]]="Unknown",Backend!$C$8,"Error"))),"")</f>
        <v/>
      </c>
      <c r="F5240" s="8" t="str">
        <f>IF(Table1[[#This Row],[Is Data Valid]]=TRUE,EXP(0.578+0.332*((Table1[[#This Row],[Gestation (days)]]+0.5)/7)-0.00354*((Table1[[#This Row],[Gestation (days)]]+0.5)/7)^2)*Table1[[#This Row],[BW40_3705]],"")</f>
        <v/>
      </c>
      <c r="G5240" s="2" t="str">
        <f>IF(Table1[[#This Row],[Is Data Valid]]=TRUE,((Table1[[#This Row],[Birthweight (grams)]]/Table1[[#This Row],[BW_GA]])-1)/(Backend!$B$4/100*Table1[[#This Row],[BW40_3705]]),"")</f>
        <v/>
      </c>
      <c r="H5240" s="7" t="str">
        <f>IF(Table1[[#This Row],[Is Data Valid]]=TRUE,((Table1[[#This Row],[Birthweight (grams)]]*0.9/Table1[[#This Row],[BW_GA]])-1)/(Backend!$B$4/100*Table1[[#This Row],[BW40_3705]]),"")</f>
        <v/>
      </c>
      <c r="I5240" s="7" t="str">
        <f>IF(Table1[[#This Row],[Is Data Valid]]=TRUE,((Table1[[#This Row],[Birthweight (grams)]]*1.1/Table1[[#This Row],[BW_GA]])-1)/(Backend!$B$4/100*Table1[[#This Row],[BW40_3705]]),"")</f>
        <v/>
      </c>
      <c r="J5240" s="7" t="str">
        <f>IF(Table1[[#This Row],[Is Data Valid]]=TRUE,_xlfn.NORM.S.DIST(Table1[[#This Row],[Birthweight Z-Score]],TRUE)*100,"")</f>
        <v/>
      </c>
      <c r="K5240" s="7" t="str">
        <f>IF(Table1[[#This Row],[Is Data Valid]]=TRUE,_xlfn.NORM.S.DIST(Table1[[#This Row],[Birthweight Z-Score (BW-10%)]],TRUE)*100,"")</f>
        <v/>
      </c>
      <c r="L5240" s="7" t="str">
        <f>IF(Table1[[#This Row],[Is Data Valid]]=TRUE,_xlfn.NORM.S.DIST(Table1[[#This Row],[Birthweight Z-Score (BW+10%)]],TRUE)*100,"")</f>
        <v/>
      </c>
    </row>
    <row r="5241" spans="1:12" x14ac:dyDescent="0.35">
      <c r="A5241" s="3"/>
      <c r="B5241" s="2"/>
      <c r="C5241" s="2"/>
      <c r="D5241" s="2" t="b">
        <f>IF(AND(NOT(ISBLANK(Table1[[#This Row],[Fetal Sex (Male, Female or Unknown)]])),ISNUMBER(Table1[[#This Row],[Birthweight (grams)]]),ISNUMBER(Table1[[#This Row],[Gestation (days)]])),TRUE,FALSE)</f>
        <v>0</v>
      </c>
      <c r="E5241" s="2" t="str">
        <f>IF(Table1[[#This Row],[Is Data Valid]]=TRUE,IF(Table1[[#This Row],[Fetal Sex (Male, Female or Unknown)]]="Male",Backend!$C$6,IF(Table1[[#This Row],[Fetal Sex (Male, Female or Unknown)]]="Female",Backend!$C$7,IF(Table1[[#This Row],[Fetal Sex (Male, Female or Unknown)]]="Unknown",Backend!$C$8,"Error"))),"")</f>
        <v/>
      </c>
      <c r="F5241" s="8" t="str">
        <f>IF(Table1[[#This Row],[Is Data Valid]]=TRUE,EXP(0.578+0.332*((Table1[[#This Row],[Gestation (days)]]+0.5)/7)-0.00354*((Table1[[#This Row],[Gestation (days)]]+0.5)/7)^2)*Table1[[#This Row],[BW40_3705]],"")</f>
        <v/>
      </c>
      <c r="G5241" s="2" t="str">
        <f>IF(Table1[[#This Row],[Is Data Valid]]=TRUE,((Table1[[#This Row],[Birthweight (grams)]]/Table1[[#This Row],[BW_GA]])-1)/(Backend!$B$4/100*Table1[[#This Row],[BW40_3705]]),"")</f>
        <v/>
      </c>
      <c r="H5241" s="7" t="str">
        <f>IF(Table1[[#This Row],[Is Data Valid]]=TRUE,((Table1[[#This Row],[Birthweight (grams)]]*0.9/Table1[[#This Row],[BW_GA]])-1)/(Backend!$B$4/100*Table1[[#This Row],[BW40_3705]]),"")</f>
        <v/>
      </c>
      <c r="I5241" s="7" t="str">
        <f>IF(Table1[[#This Row],[Is Data Valid]]=TRUE,((Table1[[#This Row],[Birthweight (grams)]]*1.1/Table1[[#This Row],[BW_GA]])-1)/(Backend!$B$4/100*Table1[[#This Row],[BW40_3705]]),"")</f>
        <v/>
      </c>
      <c r="J5241" s="7" t="str">
        <f>IF(Table1[[#This Row],[Is Data Valid]]=TRUE,_xlfn.NORM.S.DIST(Table1[[#This Row],[Birthweight Z-Score]],TRUE)*100,"")</f>
        <v/>
      </c>
      <c r="K5241" s="7" t="str">
        <f>IF(Table1[[#This Row],[Is Data Valid]]=TRUE,_xlfn.NORM.S.DIST(Table1[[#This Row],[Birthweight Z-Score (BW-10%)]],TRUE)*100,"")</f>
        <v/>
      </c>
      <c r="L5241" s="7" t="str">
        <f>IF(Table1[[#This Row],[Is Data Valid]]=TRUE,_xlfn.NORM.S.DIST(Table1[[#This Row],[Birthweight Z-Score (BW+10%)]],TRUE)*100,"")</f>
        <v/>
      </c>
    </row>
    <row r="5242" spans="1:12" x14ac:dyDescent="0.35">
      <c r="A5242" s="3"/>
      <c r="B5242" s="2"/>
      <c r="C5242" s="2"/>
      <c r="D5242" s="2" t="b">
        <f>IF(AND(NOT(ISBLANK(Table1[[#This Row],[Fetal Sex (Male, Female or Unknown)]])),ISNUMBER(Table1[[#This Row],[Birthweight (grams)]]),ISNUMBER(Table1[[#This Row],[Gestation (days)]])),TRUE,FALSE)</f>
        <v>0</v>
      </c>
      <c r="E5242" s="2" t="str">
        <f>IF(Table1[[#This Row],[Is Data Valid]]=TRUE,IF(Table1[[#This Row],[Fetal Sex (Male, Female or Unknown)]]="Male",Backend!$C$6,IF(Table1[[#This Row],[Fetal Sex (Male, Female or Unknown)]]="Female",Backend!$C$7,IF(Table1[[#This Row],[Fetal Sex (Male, Female or Unknown)]]="Unknown",Backend!$C$8,"Error"))),"")</f>
        <v/>
      </c>
      <c r="F5242" s="8" t="str">
        <f>IF(Table1[[#This Row],[Is Data Valid]]=TRUE,EXP(0.578+0.332*((Table1[[#This Row],[Gestation (days)]]+0.5)/7)-0.00354*((Table1[[#This Row],[Gestation (days)]]+0.5)/7)^2)*Table1[[#This Row],[BW40_3705]],"")</f>
        <v/>
      </c>
      <c r="G5242" s="2" t="str">
        <f>IF(Table1[[#This Row],[Is Data Valid]]=TRUE,((Table1[[#This Row],[Birthweight (grams)]]/Table1[[#This Row],[BW_GA]])-1)/(Backend!$B$4/100*Table1[[#This Row],[BW40_3705]]),"")</f>
        <v/>
      </c>
      <c r="H5242" s="7" t="str">
        <f>IF(Table1[[#This Row],[Is Data Valid]]=TRUE,((Table1[[#This Row],[Birthweight (grams)]]*0.9/Table1[[#This Row],[BW_GA]])-1)/(Backend!$B$4/100*Table1[[#This Row],[BW40_3705]]),"")</f>
        <v/>
      </c>
      <c r="I5242" s="7" t="str">
        <f>IF(Table1[[#This Row],[Is Data Valid]]=TRUE,((Table1[[#This Row],[Birthweight (grams)]]*1.1/Table1[[#This Row],[BW_GA]])-1)/(Backend!$B$4/100*Table1[[#This Row],[BW40_3705]]),"")</f>
        <v/>
      </c>
      <c r="J5242" s="7" t="str">
        <f>IF(Table1[[#This Row],[Is Data Valid]]=TRUE,_xlfn.NORM.S.DIST(Table1[[#This Row],[Birthweight Z-Score]],TRUE)*100,"")</f>
        <v/>
      </c>
      <c r="K5242" s="7" t="str">
        <f>IF(Table1[[#This Row],[Is Data Valid]]=TRUE,_xlfn.NORM.S.DIST(Table1[[#This Row],[Birthweight Z-Score (BW-10%)]],TRUE)*100,"")</f>
        <v/>
      </c>
      <c r="L5242" s="7" t="str">
        <f>IF(Table1[[#This Row],[Is Data Valid]]=TRUE,_xlfn.NORM.S.DIST(Table1[[#This Row],[Birthweight Z-Score (BW+10%)]],TRUE)*100,"")</f>
        <v/>
      </c>
    </row>
    <row r="5243" spans="1:12" x14ac:dyDescent="0.35">
      <c r="A5243" s="3"/>
      <c r="B5243" s="2"/>
      <c r="C5243" s="2"/>
      <c r="D5243" s="2" t="b">
        <f>IF(AND(NOT(ISBLANK(Table1[[#This Row],[Fetal Sex (Male, Female or Unknown)]])),ISNUMBER(Table1[[#This Row],[Birthweight (grams)]]),ISNUMBER(Table1[[#This Row],[Gestation (days)]])),TRUE,FALSE)</f>
        <v>0</v>
      </c>
      <c r="E5243" s="2" t="str">
        <f>IF(Table1[[#This Row],[Is Data Valid]]=TRUE,IF(Table1[[#This Row],[Fetal Sex (Male, Female or Unknown)]]="Male",Backend!$C$6,IF(Table1[[#This Row],[Fetal Sex (Male, Female or Unknown)]]="Female",Backend!$C$7,IF(Table1[[#This Row],[Fetal Sex (Male, Female or Unknown)]]="Unknown",Backend!$C$8,"Error"))),"")</f>
        <v/>
      </c>
      <c r="F5243" s="8" t="str">
        <f>IF(Table1[[#This Row],[Is Data Valid]]=TRUE,EXP(0.578+0.332*((Table1[[#This Row],[Gestation (days)]]+0.5)/7)-0.00354*((Table1[[#This Row],[Gestation (days)]]+0.5)/7)^2)*Table1[[#This Row],[BW40_3705]],"")</f>
        <v/>
      </c>
      <c r="G5243" s="2" t="str">
        <f>IF(Table1[[#This Row],[Is Data Valid]]=TRUE,((Table1[[#This Row],[Birthweight (grams)]]/Table1[[#This Row],[BW_GA]])-1)/(Backend!$B$4/100*Table1[[#This Row],[BW40_3705]]),"")</f>
        <v/>
      </c>
      <c r="H5243" s="7" t="str">
        <f>IF(Table1[[#This Row],[Is Data Valid]]=TRUE,((Table1[[#This Row],[Birthweight (grams)]]*0.9/Table1[[#This Row],[BW_GA]])-1)/(Backend!$B$4/100*Table1[[#This Row],[BW40_3705]]),"")</f>
        <v/>
      </c>
      <c r="I5243" s="7" t="str">
        <f>IF(Table1[[#This Row],[Is Data Valid]]=TRUE,((Table1[[#This Row],[Birthweight (grams)]]*1.1/Table1[[#This Row],[BW_GA]])-1)/(Backend!$B$4/100*Table1[[#This Row],[BW40_3705]]),"")</f>
        <v/>
      </c>
      <c r="J5243" s="7" t="str">
        <f>IF(Table1[[#This Row],[Is Data Valid]]=TRUE,_xlfn.NORM.S.DIST(Table1[[#This Row],[Birthweight Z-Score]],TRUE)*100,"")</f>
        <v/>
      </c>
      <c r="K5243" s="7" t="str">
        <f>IF(Table1[[#This Row],[Is Data Valid]]=TRUE,_xlfn.NORM.S.DIST(Table1[[#This Row],[Birthweight Z-Score (BW-10%)]],TRUE)*100,"")</f>
        <v/>
      </c>
      <c r="L5243" s="7" t="str">
        <f>IF(Table1[[#This Row],[Is Data Valid]]=TRUE,_xlfn.NORM.S.DIST(Table1[[#This Row],[Birthweight Z-Score (BW+10%)]],TRUE)*100,"")</f>
        <v/>
      </c>
    </row>
    <row r="5244" spans="1:12" x14ac:dyDescent="0.35">
      <c r="A5244" s="3"/>
      <c r="B5244" s="2"/>
      <c r="C5244" s="2"/>
      <c r="D5244" s="2" t="b">
        <f>IF(AND(NOT(ISBLANK(Table1[[#This Row],[Fetal Sex (Male, Female or Unknown)]])),ISNUMBER(Table1[[#This Row],[Birthweight (grams)]]),ISNUMBER(Table1[[#This Row],[Gestation (days)]])),TRUE,FALSE)</f>
        <v>0</v>
      </c>
      <c r="E5244" s="2" t="str">
        <f>IF(Table1[[#This Row],[Is Data Valid]]=TRUE,IF(Table1[[#This Row],[Fetal Sex (Male, Female or Unknown)]]="Male",Backend!$C$6,IF(Table1[[#This Row],[Fetal Sex (Male, Female or Unknown)]]="Female",Backend!$C$7,IF(Table1[[#This Row],[Fetal Sex (Male, Female or Unknown)]]="Unknown",Backend!$C$8,"Error"))),"")</f>
        <v/>
      </c>
      <c r="F5244" s="8" t="str">
        <f>IF(Table1[[#This Row],[Is Data Valid]]=TRUE,EXP(0.578+0.332*((Table1[[#This Row],[Gestation (days)]]+0.5)/7)-0.00354*((Table1[[#This Row],[Gestation (days)]]+0.5)/7)^2)*Table1[[#This Row],[BW40_3705]],"")</f>
        <v/>
      </c>
      <c r="G5244" s="2" t="str">
        <f>IF(Table1[[#This Row],[Is Data Valid]]=TRUE,((Table1[[#This Row],[Birthweight (grams)]]/Table1[[#This Row],[BW_GA]])-1)/(Backend!$B$4/100*Table1[[#This Row],[BW40_3705]]),"")</f>
        <v/>
      </c>
      <c r="H5244" s="7" t="str">
        <f>IF(Table1[[#This Row],[Is Data Valid]]=TRUE,((Table1[[#This Row],[Birthweight (grams)]]*0.9/Table1[[#This Row],[BW_GA]])-1)/(Backend!$B$4/100*Table1[[#This Row],[BW40_3705]]),"")</f>
        <v/>
      </c>
      <c r="I5244" s="7" t="str">
        <f>IF(Table1[[#This Row],[Is Data Valid]]=TRUE,((Table1[[#This Row],[Birthweight (grams)]]*1.1/Table1[[#This Row],[BW_GA]])-1)/(Backend!$B$4/100*Table1[[#This Row],[BW40_3705]]),"")</f>
        <v/>
      </c>
      <c r="J5244" s="7" t="str">
        <f>IF(Table1[[#This Row],[Is Data Valid]]=TRUE,_xlfn.NORM.S.DIST(Table1[[#This Row],[Birthweight Z-Score]],TRUE)*100,"")</f>
        <v/>
      </c>
      <c r="K5244" s="7" t="str">
        <f>IF(Table1[[#This Row],[Is Data Valid]]=TRUE,_xlfn.NORM.S.DIST(Table1[[#This Row],[Birthweight Z-Score (BW-10%)]],TRUE)*100,"")</f>
        <v/>
      </c>
      <c r="L5244" s="7" t="str">
        <f>IF(Table1[[#This Row],[Is Data Valid]]=TRUE,_xlfn.NORM.S.DIST(Table1[[#This Row],[Birthweight Z-Score (BW+10%)]],TRUE)*100,"")</f>
        <v/>
      </c>
    </row>
    <row r="5245" spans="1:12" x14ac:dyDescent="0.35">
      <c r="A5245" s="3"/>
      <c r="B5245" s="2"/>
      <c r="C5245" s="2"/>
      <c r="D5245" s="2" t="b">
        <f>IF(AND(NOT(ISBLANK(Table1[[#This Row],[Fetal Sex (Male, Female or Unknown)]])),ISNUMBER(Table1[[#This Row],[Birthweight (grams)]]),ISNUMBER(Table1[[#This Row],[Gestation (days)]])),TRUE,FALSE)</f>
        <v>0</v>
      </c>
      <c r="E5245" s="2" t="str">
        <f>IF(Table1[[#This Row],[Is Data Valid]]=TRUE,IF(Table1[[#This Row],[Fetal Sex (Male, Female or Unknown)]]="Male",Backend!$C$6,IF(Table1[[#This Row],[Fetal Sex (Male, Female or Unknown)]]="Female",Backend!$C$7,IF(Table1[[#This Row],[Fetal Sex (Male, Female or Unknown)]]="Unknown",Backend!$C$8,"Error"))),"")</f>
        <v/>
      </c>
      <c r="F5245" s="8" t="str">
        <f>IF(Table1[[#This Row],[Is Data Valid]]=TRUE,EXP(0.578+0.332*((Table1[[#This Row],[Gestation (days)]]+0.5)/7)-0.00354*((Table1[[#This Row],[Gestation (days)]]+0.5)/7)^2)*Table1[[#This Row],[BW40_3705]],"")</f>
        <v/>
      </c>
      <c r="G5245" s="2" t="str">
        <f>IF(Table1[[#This Row],[Is Data Valid]]=TRUE,((Table1[[#This Row],[Birthweight (grams)]]/Table1[[#This Row],[BW_GA]])-1)/(Backend!$B$4/100*Table1[[#This Row],[BW40_3705]]),"")</f>
        <v/>
      </c>
      <c r="H5245" s="7" t="str">
        <f>IF(Table1[[#This Row],[Is Data Valid]]=TRUE,((Table1[[#This Row],[Birthweight (grams)]]*0.9/Table1[[#This Row],[BW_GA]])-1)/(Backend!$B$4/100*Table1[[#This Row],[BW40_3705]]),"")</f>
        <v/>
      </c>
      <c r="I5245" s="7" t="str">
        <f>IF(Table1[[#This Row],[Is Data Valid]]=TRUE,((Table1[[#This Row],[Birthweight (grams)]]*1.1/Table1[[#This Row],[BW_GA]])-1)/(Backend!$B$4/100*Table1[[#This Row],[BW40_3705]]),"")</f>
        <v/>
      </c>
      <c r="J5245" s="7" t="str">
        <f>IF(Table1[[#This Row],[Is Data Valid]]=TRUE,_xlfn.NORM.S.DIST(Table1[[#This Row],[Birthweight Z-Score]],TRUE)*100,"")</f>
        <v/>
      </c>
      <c r="K5245" s="7" t="str">
        <f>IF(Table1[[#This Row],[Is Data Valid]]=TRUE,_xlfn.NORM.S.DIST(Table1[[#This Row],[Birthweight Z-Score (BW-10%)]],TRUE)*100,"")</f>
        <v/>
      </c>
      <c r="L5245" s="7" t="str">
        <f>IF(Table1[[#This Row],[Is Data Valid]]=TRUE,_xlfn.NORM.S.DIST(Table1[[#This Row],[Birthweight Z-Score (BW+10%)]],TRUE)*100,"")</f>
        <v/>
      </c>
    </row>
    <row r="5246" spans="1:12" x14ac:dyDescent="0.35">
      <c r="A5246" s="3"/>
      <c r="B5246" s="2"/>
      <c r="C5246" s="2"/>
      <c r="D5246" s="2" t="b">
        <f>IF(AND(NOT(ISBLANK(Table1[[#This Row],[Fetal Sex (Male, Female or Unknown)]])),ISNUMBER(Table1[[#This Row],[Birthweight (grams)]]),ISNUMBER(Table1[[#This Row],[Gestation (days)]])),TRUE,FALSE)</f>
        <v>0</v>
      </c>
      <c r="E5246" s="2" t="str">
        <f>IF(Table1[[#This Row],[Is Data Valid]]=TRUE,IF(Table1[[#This Row],[Fetal Sex (Male, Female or Unknown)]]="Male",Backend!$C$6,IF(Table1[[#This Row],[Fetal Sex (Male, Female or Unknown)]]="Female",Backend!$C$7,IF(Table1[[#This Row],[Fetal Sex (Male, Female or Unknown)]]="Unknown",Backend!$C$8,"Error"))),"")</f>
        <v/>
      </c>
      <c r="F5246" s="8" t="str">
        <f>IF(Table1[[#This Row],[Is Data Valid]]=TRUE,EXP(0.578+0.332*((Table1[[#This Row],[Gestation (days)]]+0.5)/7)-0.00354*((Table1[[#This Row],[Gestation (days)]]+0.5)/7)^2)*Table1[[#This Row],[BW40_3705]],"")</f>
        <v/>
      </c>
      <c r="G5246" s="2" t="str">
        <f>IF(Table1[[#This Row],[Is Data Valid]]=TRUE,((Table1[[#This Row],[Birthweight (grams)]]/Table1[[#This Row],[BW_GA]])-1)/(Backend!$B$4/100*Table1[[#This Row],[BW40_3705]]),"")</f>
        <v/>
      </c>
      <c r="H5246" s="7" t="str">
        <f>IF(Table1[[#This Row],[Is Data Valid]]=TRUE,((Table1[[#This Row],[Birthweight (grams)]]*0.9/Table1[[#This Row],[BW_GA]])-1)/(Backend!$B$4/100*Table1[[#This Row],[BW40_3705]]),"")</f>
        <v/>
      </c>
      <c r="I5246" s="7" t="str">
        <f>IF(Table1[[#This Row],[Is Data Valid]]=TRUE,((Table1[[#This Row],[Birthweight (grams)]]*1.1/Table1[[#This Row],[BW_GA]])-1)/(Backend!$B$4/100*Table1[[#This Row],[BW40_3705]]),"")</f>
        <v/>
      </c>
      <c r="J5246" s="7" t="str">
        <f>IF(Table1[[#This Row],[Is Data Valid]]=TRUE,_xlfn.NORM.S.DIST(Table1[[#This Row],[Birthweight Z-Score]],TRUE)*100,"")</f>
        <v/>
      </c>
      <c r="K5246" s="7" t="str">
        <f>IF(Table1[[#This Row],[Is Data Valid]]=TRUE,_xlfn.NORM.S.DIST(Table1[[#This Row],[Birthweight Z-Score (BW-10%)]],TRUE)*100,"")</f>
        <v/>
      </c>
      <c r="L5246" s="7" t="str">
        <f>IF(Table1[[#This Row],[Is Data Valid]]=TRUE,_xlfn.NORM.S.DIST(Table1[[#This Row],[Birthweight Z-Score (BW+10%)]],TRUE)*100,"")</f>
        <v/>
      </c>
    </row>
    <row r="5247" spans="1:12" x14ac:dyDescent="0.35">
      <c r="A5247" s="3"/>
      <c r="B5247" s="2"/>
      <c r="C5247" s="2"/>
      <c r="D5247" s="2" t="b">
        <f>IF(AND(NOT(ISBLANK(Table1[[#This Row],[Fetal Sex (Male, Female or Unknown)]])),ISNUMBER(Table1[[#This Row],[Birthweight (grams)]]),ISNUMBER(Table1[[#This Row],[Gestation (days)]])),TRUE,FALSE)</f>
        <v>0</v>
      </c>
      <c r="E5247" s="2" t="str">
        <f>IF(Table1[[#This Row],[Is Data Valid]]=TRUE,IF(Table1[[#This Row],[Fetal Sex (Male, Female or Unknown)]]="Male",Backend!$C$6,IF(Table1[[#This Row],[Fetal Sex (Male, Female or Unknown)]]="Female",Backend!$C$7,IF(Table1[[#This Row],[Fetal Sex (Male, Female or Unknown)]]="Unknown",Backend!$C$8,"Error"))),"")</f>
        <v/>
      </c>
      <c r="F5247" s="8" t="str">
        <f>IF(Table1[[#This Row],[Is Data Valid]]=TRUE,EXP(0.578+0.332*((Table1[[#This Row],[Gestation (days)]]+0.5)/7)-0.00354*((Table1[[#This Row],[Gestation (days)]]+0.5)/7)^2)*Table1[[#This Row],[BW40_3705]],"")</f>
        <v/>
      </c>
      <c r="G5247" s="2" t="str">
        <f>IF(Table1[[#This Row],[Is Data Valid]]=TRUE,((Table1[[#This Row],[Birthweight (grams)]]/Table1[[#This Row],[BW_GA]])-1)/(Backend!$B$4/100*Table1[[#This Row],[BW40_3705]]),"")</f>
        <v/>
      </c>
      <c r="H5247" s="7" t="str">
        <f>IF(Table1[[#This Row],[Is Data Valid]]=TRUE,((Table1[[#This Row],[Birthweight (grams)]]*0.9/Table1[[#This Row],[BW_GA]])-1)/(Backend!$B$4/100*Table1[[#This Row],[BW40_3705]]),"")</f>
        <v/>
      </c>
      <c r="I5247" s="7" t="str">
        <f>IF(Table1[[#This Row],[Is Data Valid]]=TRUE,((Table1[[#This Row],[Birthweight (grams)]]*1.1/Table1[[#This Row],[BW_GA]])-1)/(Backend!$B$4/100*Table1[[#This Row],[BW40_3705]]),"")</f>
        <v/>
      </c>
      <c r="J5247" s="7" t="str">
        <f>IF(Table1[[#This Row],[Is Data Valid]]=TRUE,_xlfn.NORM.S.DIST(Table1[[#This Row],[Birthweight Z-Score]],TRUE)*100,"")</f>
        <v/>
      </c>
      <c r="K5247" s="7" t="str">
        <f>IF(Table1[[#This Row],[Is Data Valid]]=TRUE,_xlfn.NORM.S.DIST(Table1[[#This Row],[Birthweight Z-Score (BW-10%)]],TRUE)*100,"")</f>
        <v/>
      </c>
      <c r="L5247" s="7" t="str">
        <f>IF(Table1[[#This Row],[Is Data Valid]]=TRUE,_xlfn.NORM.S.DIST(Table1[[#This Row],[Birthweight Z-Score (BW+10%)]],TRUE)*100,"")</f>
        <v/>
      </c>
    </row>
    <row r="5248" spans="1:12" x14ac:dyDescent="0.35">
      <c r="A5248" s="3"/>
      <c r="B5248" s="2"/>
      <c r="C5248" s="2"/>
      <c r="D5248" s="2" t="b">
        <f>IF(AND(NOT(ISBLANK(Table1[[#This Row],[Fetal Sex (Male, Female or Unknown)]])),ISNUMBER(Table1[[#This Row],[Birthweight (grams)]]),ISNUMBER(Table1[[#This Row],[Gestation (days)]])),TRUE,FALSE)</f>
        <v>0</v>
      </c>
      <c r="E5248" s="2" t="str">
        <f>IF(Table1[[#This Row],[Is Data Valid]]=TRUE,IF(Table1[[#This Row],[Fetal Sex (Male, Female or Unknown)]]="Male",Backend!$C$6,IF(Table1[[#This Row],[Fetal Sex (Male, Female or Unknown)]]="Female",Backend!$C$7,IF(Table1[[#This Row],[Fetal Sex (Male, Female or Unknown)]]="Unknown",Backend!$C$8,"Error"))),"")</f>
        <v/>
      </c>
      <c r="F5248" s="8" t="str">
        <f>IF(Table1[[#This Row],[Is Data Valid]]=TRUE,EXP(0.578+0.332*((Table1[[#This Row],[Gestation (days)]]+0.5)/7)-0.00354*((Table1[[#This Row],[Gestation (days)]]+0.5)/7)^2)*Table1[[#This Row],[BW40_3705]],"")</f>
        <v/>
      </c>
      <c r="G5248" s="2" t="str">
        <f>IF(Table1[[#This Row],[Is Data Valid]]=TRUE,((Table1[[#This Row],[Birthweight (grams)]]/Table1[[#This Row],[BW_GA]])-1)/(Backend!$B$4/100*Table1[[#This Row],[BW40_3705]]),"")</f>
        <v/>
      </c>
      <c r="H5248" s="7" t="str">
        <f>IF(Table1[[#This Row],[Is Data Valid]]=TRUE,((Table1[[#This Row],[Birthweight (grams)]]*0.9/Table1[[#This Row],[BW_GA]])-1)/(Backend!$B$4/100*Table1[[#This Row],[BW40_3705]]),"")</f>
        <v/>
      </c>
      <c r="I5248" s="7" t="str">
        <f>IF(Table1[[#This Row],[Is Data Valid]]=TRUE,((Table1[[#This Row],[Birthweight (grams)]]*1.1/Table1[[#This Row],[BW_GA]])-1)/(Backend!$B$4/100*Table1[[#This Row],[BW40_3705]]),"")</f>
        <v/>
      </c>
      <c r="J5248" s="7" t="str">
        <f>IF(Table1[[#This Row],[Is Data Valid]]=TRUE,_xlfn.NORM.S.DIST(Table1[[#This Row],[Birthweight Z-Score]],TRUE)*100,"")</f>
        <v/>
      </c>
      <c r="K5248" s="7" t="str">
        <f>IF(Table1[[#This Row],[Is Data Valid]]=TRUE,_xlfn.NORM.S.DIST(Table1[[#This Row],[Birthweight Z-Score (BW-10%)]],TRUE)*100,"")</f>
        <v/>
      </c>
      <c r="L5248" s="7" t="str">
        <f>IF(Table1[[#This Row],[Is Data Valid]]=TRUE,_xlfn.NORM.S.DIST(Table1[[#This Row],[Birthweight Z-Score (BW+10%)]],TRUE)*100,"")</f>
        <v/>
      </c>
    </row>
    <row r="5249" spans="1:12" x14ac:dyDescent="0.35">
      <c r="A5249" s="3"/>
      <c r="B5249" s="2"/>
      <c r="C5249" s="2"/>
      <c r="D5249" s="2" t="b">
        <f>IF(AND(NOT(ISBLANK(Table1[[#This Row],[Fetal Sex (Male, Female or Unknown)]])),ISNUMBER(Table1[[#This Row],[Birthweight (grams)]]),ISNUMBER(Table1[[#This Row],[Gestation (days)]])),TRUE,FALSE)</f>
        <v>0</v>
      </c>
      <c r="E5249" s="2" t="str">
        <f>IF(Table1[[#This Row],[Is Data Valid]]=TRUE,IF(Table1[[#This Row],[Fetal Sex (Male, Female or Unknown)]]="Male",Backend!$C$6,IF(Table1[[#This Row],[Fetal Sex (Male, Female or Unknown)]]="Female",Backend!$C$7,IF(Table1[[#This Row],[Fetal Sex (Male, Female or Unknown)]]="Unknown",Backend!$C$8,"Error"))),"")</f>
        <v/>
      </c>
      <c r="F5249" s="8" t="str">
        <f>IF(Table1[[#This Row],[Is Data Valid]]=TRUE,EXP(0.578+0.332*((Table1[[#This Row],[Gestation (days)]]+0.5)/7)-0.00354*((Table1[[#This Row],[Gestation (days)]]+0.5)/7)^2)*Table1[[#This Row],[BW40_3705]],"")</f>
        <v/>
      </c>
      <c r="G5249" s="2" t="str">
        <f>IF(Table1[[#This Row],[Is Data Valid]]=TRUE,((Table1[[#This Row],[Birthweight (grams)]]/Table1[[#This Row],[BW_GA]])-1)/(Backend!$B$4/100*Table1[[#This Row],[BW40_3705]]),"")</f>
        <v/>
      </c>
      <c r="H5249" s="7" t="str">
        <f>IF(Table1[[#This Row],[Is Data Valid]]=TRUE,((Table1[[#This Row],[Birthweight (grams)]]*0.9/Table1[[#This Row],[BW_GA]])-1)/(Backend!$B$4/100*Table1[[#This Row],[BW40_3705]]),"")</f>
        <v/>
      </c>
      <c r="I5249" s="7" t="str">
        <f>IF(Table1[[#This Row],[Is Data Valid]]=TRUE,((Table1[[#This Row],[Birthweight (grams)]]*1.1/Table1[[#This Row],[BW_GA]])-1)/(Backend!$B$4/100*Table1[[#This Row],[BW40_3705]]),"")</f>
        <v/>
      </c>
      <c r="J5249" s="7" t="str">
        <f>IF(Table1[[#This Row],[Is Data Valid]]=TRUE,_xlfn.NORM.S.DIST(Table1[[#This Row],[Birthweight Z-Score]],TRUE)*100,"")</f>
        <v/>
      </c>
      <c r="K5249" s="7" t="str">
        <f>IF(Table1[[#This Row],[Is Data Valid]]=TRUE,_xlfn.NORM.S.DIST(Table1[[#This Row],[Birthweight Z-Score (BW-10%)]],TRUE)*100,"")</f>
        <v/>
      </c>
      <c r="L5249" s="7" t="str">
        <f>IF(Table1[[#This Row],[Is Data Valid]]=TRUE,_xlfn.NORM.S.DIST(Table1[[#This Row],[Birthweight Z-Score (BW+10%)]],TRUE)*100,"")</f>
        <v/>
      </c>
    </row>
    <row r="5250" spans="1:12" x14ac:dyDescent="0.35">
      <c r="A5250" s="3"/>
      <c r="B5250" s="2"/>
      <c r="C5250" s="2"/>
      <c r="D5250" s="2" t="b">
        <f>IF(AND(NOT(ISBLANK(Table1[[#This Row],[Fetal Sex (Male, Female or Unknown)]])),ISNUMBER(Table1[[#This Row],[Birthweight (grams)]]),ISNUMBER(Table1[[#This Row],[Gestation (days)]])),TRUE,FALSE)</f>
        <v>0</v>
      </c>
      <c r="E5250" s="2" t="str">
        <f>IF(Table1[[#This Row],[Is Data Valid]]=TRUE,IF(Table1[[#This Row],[Fetal Sex (Male, Female or Unknown)]]="Male",Backend!$C$6,IF(Table1[[#This Row],[Fetal Sex (Male, Female or Unknown)]]="Female",Backend!$C$7,IF(Table1[[#This Row],[Fetal Sex (Male, Female or Unknown)]]="Unknown",Backend!$C$8,"Error"))),"")</f>
        <v/>
      </c>
      <c r="F5250" s="8" t="str">
        <f>IF(Table1[[#This Row],[Is Data Valid]]=TRUE,EXP(0.578+0.332*((Table1[[#This Row],[Gestation (days)]]+0.5)/7)-0.00354*((Table1[[#This Row],[Gestation (days)]]+0.5)/7)^2)*Table1[[#This Row],[BW40_3705]],"")</f>
        <v/>
      </c>
      <c r="G5250" s="2" t="str">
        <f>IF(Table1[[#This Row],[Is Data Valid]]=TRUE,((Table1[[#This Row],[Birthweight (grams)]]/Table1[[#This Row],[BW_GA]])-1)/(Backend!$B$4/100*Table1[[#This Row],[BW40_3705]]),"")</f>
        <v/>
      </c>
      <c r="H5250" s="7" t="str">
        <f>IF(Table1[[#This Row],[Is Data Valid]]=TRUE,((Table1[[#This Row],[Birthweight (grams)]]*0.9/Table1[[#This Row],[BW_GA]])-1)/(Backend!$B$4/100*Table1[[#This Row],[BW40_3705]]),"")</f>
        <v/>
      </c>
      <c r="I5250" s="7" t="str">
        <f>IF(Table1[[#This Row],[Is Data Valid]]=TRUE,((Table1[[#This Row],[Birthweight (grams)]]*1.1/Table1[[#This Row],[BW_GA]])-1)/(Backend!$B$4/100*Table1[[#This Row],[BW40_3705]]),"")</f>
        <v/>
      </c>
      <c r="J5250" s="7" t="str">
        <f>IF(Table1[[#This Row],[Is Data Valid]]=TRUE,_xlfn.NORM.S.DIST(Table1[[#This Row],[Birthweight Z-Score]],TRUE)*100,"")</f>
        <v/>
      </c>
      <c r="K5250" s="7" t="str">
        <f>IF(Table1[[#This Row],[Is Data Valid]]=TRUE,_xlfn.NORM.S.DIST(Table1[[#This Row],[Birthweight Z-Score (BW-10%)]],TRUE)*100,"")</f>
        <v/>
      </c>
      <c r="L5250" s="7" t="str">
        <f>IF(Table1[[#This Row],[Is Data Valid]]=TRUE,_xlfn.NORM.S.DIST(Table1[[#This Row],[Birthweight Z-Score (BW+10%)]],TRUE)*100,"")</f>
        <v/>
      </c>
    </row>
    <row r="5251" spans="1:12" x14ac:dyDescent="0.35">
      <c r="A5251" s="3"/>
      <c r="B5251" s="2"/>
      <c r="C5251" s="2"/>
      <c r="D5251" s="2" t="b">
        <f>IF(AND(NOT(ISBLANK(Table1[[#This Row],[Fetal Sex (Male, Female or Unknown)]])),ISNUMBER(Table1[[#This Row],[Birthweight (grams)]]),ISNUMBER(Table1[[#This Row],[Gestation (days)]])),TRUE,FALSE)</f>
        <v>0</v>
      </c>
      <c r="E5251" s="2" t="str">
        <f>IF(Table1[[#This Row],[Is Data Valid]]=TRUE,IF(Table1[[#This Row],[Fetal Sex (Male, Female or Unknown)]]="Male",Backend!$C$6,IF(Table1[[#This Row],[Fetal Sex (Male, Female or Unknown)]]="Female",Backend!$C$7,IF(Table1[[#This Row],[Fetal Sex (Male, Female or Unknown)]]="Unknown",Backend!$C$8,"Error"))),"")</f>
        <v/>
      </c>
      <c r="F5251" s="8" t="str">
        <f>IF(Table1[[#This Row],[Is Data Valid]]=TRUE,EXP(0.578+0.332*((Table1[[#This Row],[Gestation (days)]]+0.5)/7)-0.00354*((Table1[[#This Row],[Gestation (days)]]+0.5)/7)^2)*Table1[[#This Row],[BW40_3705]],"")</f>
        <v/>
      </c>
      <c r="G5251" s="2" t="str">
        <f>IF(Table1[[#This Row],[Is Data Valid]]=TRUE,((Table1[[#This Row],[Birthweight (grams)]]/Table1[[#This Row],[BW_GA]])-1)/(Backend!$B$4/100*Table1[[#This Row],[BW40_3705]]),"")</f>
        <v/>
      </c>
      <c r="H5251" s="7" t="str">
        <f>IF(Table1[[#This Row],[Is Data Valid]]=TRUE,((Table1[[#This Row],[Birthweight (grams)]]*0.9/Table1[[#This Row],[BW_GA]])-1)/(Backend!$B$4/100*Table1[[#This Row],[BW40_3705]]),"")</f>
        <v/>
      </c>
      <c r="I5251" s="7" t="str">
        <f>IF(Table1[[#This Row],[Is Data Valid]]=TRUE,((Table1[[#This Row],[Birthweight (grams)]]*1.1/Table1[[#This Row],[BW_GA]])-1)/(Backend!$B$4/100*Table1[[#This Row],[BW40_3705]]),"")</f>
        <v/>
      </c>
      <c r="J5251" s="7" t="str">
        <f>IF(Table1[[#This Row],[Is Data Valid]]=TRUE,_xlfn.NORM.S.DIST(Table1[[#This Row],[Birthweight Z-Score]],TRUE)*100,"")</f>
        <v/>
      </c>
      <c r="K5251" s="7" t="str">
        <f>IF(Table1[[#This Row],[Is Data Valid]]=TRUE,_xlfn.NORM.S.DIST(Table1[[#This Row],[Birthweight Z-Score (BW-10%)]],TRUE)*100,"")</f>
        <v/>
      </c>
      <c r="L5251" s="7" t="str">
        <f>IF(Table1[[#This Row],[Is Data Valid]]=TRUE,_xlfn.NORM.S.DIST(Table1[[#This Row],[Birthweight Z-Score (BW+10%)]],TRUE)*100,"")</f>
        <v/>
      </c>
    </row>
    <row r="5252" spans="1:12" x14ac:dyDescent="0.35">
      <c r="A5252" s="3"/>
      <c r="B5252" s="2"/>
      <c r="C5252" s="2"/>
      <c r="D5252" s="2" t="b">
        <f>IF(AND(NOT(ISBLANK(Table1[[#This Row],[Fetal Sex (Male, Female or Unknown)]])),ISNUMBER(Table1[[#This Row],[Birthweight (grams)]]),ISNUMBER(Table1[[#This Row],[Gestation (days)]])),TRUE,FALSE)</f>
        <v>0</v>
      </c>
      <c r="E5252" s="2" t="str">
        <f>IF(Table1[[#This Row],[Is Data Valid]]=TRUE,IF(Table1[[#This Row],[Fetal Sex (Male, Female or Unknown)]]="Male",Backend!$C$6,IF(Table1[[#This Row],[Fetal Sex (Male, Female or Unknown)]]="Female",Backend!$C$7,IF(Table1[[#This Row],[Fetal Sex (Male, Female or Unknown)]]="Unknown",Backend!$C$8,"Error"))),"")</f>
        <v/>
      </c>
      <c r="F5252" s="8" t="str">
        <f>IF(Table1[[#This Row],[Is Data Valid]]=TRUE,EXP(0.578+0.332*((Table1[[#This Row],[Gestation (days)]]+0.5)/7)-0.00354*((Table1[[#This Row],[Gestation (days)]]+0.5)/7)^2)*Table1[[#This Row],[BW40_3705]],"")</f>
        <v/>
      </c>
      <c r="G5252" s="2" t="str">
        <f>IF(Table1[[#This Row],[Is Data Valid]]=TRUE,((Table1[[#This Row],[Birthweight (grams)]]/Table1[[#This Row],[BW_GA]])-1)/(Backend!$B$4/100*Table1[[#This Row],[BW40_3705]]),"")</f>
        <v/>
      </c>
      <c r="H5252" s="7" t="str">
        <f>IF(Table1[[#This Row],[Is Data Valid]]=TRUE,((Table1[[#This Row],[Birthweight (grams)]]*0.9/Table1[[#This Row],[BW_GA]])-1)/(Backend!$B$4/100*Table1[[#This Row],[BW40_3705]]),"")</f>
        <v/>
      </c>
      <c r="I5252" s="7" t="str">
        <f>IF(Table1[[#This Row],[Is Data Valid]]=TRUE,((Table1[[#This Row],[Birthweight (grams)]]*1.1/Table1[[#This Row],[BW_GA]])-1)/(Backend!$B$4/100*Table1[[#This Row],[BW40_3705]]),"")</f>
        <v/>
      </c>
      <c r="J5252" s="7" t="str">
        <f>IF(Table1[[#This Row],[Is Data Valid]]=TRUE,_xlfn.NORM.S.DIST(Table1[[#This Row],[Birthweight Z-Score]],TRUE)*100,"")</f>
        <v/>
      </c>
      <c r="K5252" s="7" t="str">
        <f>IF(Table1[[#This Row],[Is Data Valid]]=TRUE,_xlfn.NORM.S.DIST(Table1[[#This Row],[Birthweight Z-Score (BW-10%)]],TRUE)*100,"")</f>
        <v/>
      </c>
      <c r="L5252" s="7" t="str">
        <f>IF(Table1[[#This Row],[Is Data Valid]]=TRUE,_xlfn.NORM.S.DIST(Table1[[#This Row],[Birthweight Z-Score (BW+10%)]],TRUE)*100,"")</f>
        <v/>
      </c>
    </row>
    <row r="5253" spans="1:12" x14ac:dyDescent="0.35">
      <c r="A5253" s="3"/>
      <c r="B5253" s="2"/>
      <c r="C5253" s="2"/>
      <c r="D5253" s="2" t="b">
        <f>IF(AND(NOT(ISBLANK(Table1[[#This Row],[Fetal Sex (Male, Female or Unknown)]])),ISNUMBER(Table1[[#This Row],[Birthweight (grams)]]),ISNUMBER(Table1[[#This Row],[Gestation (days)]])),TRUE,FALSE)</f>
        <v>0</v>
      </c>
      <c r="E5253" s="2" t="str">
        <f>IF(Table1[[#This Row],[Is Data Valid]]=TRUE,IF(Table1[[#This Row],[Fetal Sex (Male, Female or Unknown)]]="Male",Backend!$C$6,IF(Table1[[#This Row],[Fetal Sex (Male, Female or Unknown)]]="Female",Backend!$C$7,IF(Table1[[#This Row],[Fetal Sex (Male, Female or Unknown)]]="Unknown",Backend!$C$8,"Error"))),"")</f>
        <v/>
      </c>
      <c r="F5253" s="8" t="str">
        <f>IF(Table1[[#This Row],[Is Data Valid]]=TRUE,EXP(0.578+0.332*((Table1[[#This Row],[Gestation (days)]]+0.5)/7)-0.00354*((Table1[[#This Row],[Gestation (days)]]+0.5)/7)^2)*Table1[[#This Row],[BW40_3705]],"")</f>
        <v/>
      </c>
      <c r="G5253" s="2" t="str">
        <f>IF(Table1[[#This Row],[Is Data Valid]]=TRUE,((Table1[[#This Row],[Birthweight (grams)]]/Table1[[#This Row],[BW_GA]])-1)/(Backend!$B$4/100*Table1[[#This Row],[BW40_3705]]),"")</f>
        <v/>
      </c>
      <c r="H5253" s="7" t="str">
        <f>IF(Table1[[#This Row],[Is Data Valid]]=TRUE,((Table1[[#This Row],[Birthweight (grams)]]*0.9/Table1[[#This Row],[BW_GA]])-1)/(Backend!$B$4/100*Table1[[#This Row],[BW40_3705]]),"")</f>
        <v/>
      </c>
      <c r="I5253" s="7" t="str">
        <f>IF(Table1[[#This Row],[Is Data Valid]]=TRUE,((Table1[[#This Row],[Birthweight (grams)]]*1.1/Table1[[#This Row],[BW_GA]])-1)/(Backend!$B$4/100*Table1[[#This Row],[BW40_3705]]),"")</f>
        <v/>
      </c>
      <c r="J5253" s="7" t="str">
        <f>IF(Table1[[#This Row],[Is Data Valid]]=TRUE,_xlfn.NORM.S.DIST(Table1[[#This Row],[Birthweight Z-Score]],TRUE)*100,"")</f>
        <v/>
      </c>
      <c r="K5253" s="7" t="str">
        <f>IF(Table1[[#This Row],[Is Data Valid]]=TRUE,_xlfn.NORM.S.DIST(Table1[[#This Row],[Birthweight Z-Score (BW-10%)]],TRUE)*100,"")</f>
        <v/>
      </c>
      <c r="L5253" s="7" t="str">
        <f>IF(Table1[[#This Row],[Is Data Valid]]=TRUE,_xlfn.NORM.S.DIST(Table1[[#This Row],[Birthweight Z-Score (BW+10%)]],TRUE)*100,"")</f>
        <v/>
      </c>
    </row>
    <row r="5254" spans="1:12" x14ac:dyDescent="0.35">
      <c r="A5254" s="3"/>
      <c r="B5254" s="2"/>
      <c r="C5254" s="2"/>
      <c r="D5254" s="2" t="b">
        <f>IF(AND(NOT(ISBLANK(Table1[[#This Row],[Fetal Sex (Male, Female or Unknown)]])),ISNUMBER(Table1[[#This Row],[Birthweight (grams)]]),ISNUMBER(Table1[[#This Row],[Gestation (days)]])),TRUE,FALSE)</f>
        <v>0</v>
      </c>
      <c r="E5254" s="2" t="str">
        <f>IF(Table1[[#This Row],[Is Data Valid]]=TRUE,IF(Table1[[#This Row],[Fetal Sex (Male, Female or Unknown)]]="Male",Backend!$C$6,IF(Table1[[#This Row],[Fetal Sex (Male, Female or Unknown)]]="Female",Backend!$C$7,IF(Table1[[#This Row],[Fetal Sex (Male, Female or Unknown)]]="Unknown",Backend!$C$8,"Error"))),"")</f>
        <v/>
      </c>
      <c r="F5254" s="8" t="str">
        <f>IF(Table1[[#This Row],[Is Data Valid]]=TRUE,EXP(0.578+0.332*((Table1[[#This Row],[Gestation (days)]]+0.5)/7)-0.00354*((Table1[[#This Row],[Gestation (days)]]+0.5)/7)^2)*Table1[[#This Row],[BW40_3705]],"")</f>
        <v/>
      </c>
      <c r="G5254" s="2" t="str">
        <f>IF(Table1[[#This Row],[Is Data Valid]]=TRUE,((Table1[[#This Row],[Birthweight (grams)]]/Table1[[#This Row],[BW_GA]])-1)/(Backend!$B$4/100*Table1[[#This Row],[BW40_3705]]),"")</f>
        <v/>
      </c>
      <c r="H5254" s="7" t="str">
        <f>IF(Table1[[#This Row],[Is Data Valid]]=TRUE,((Table1[[#This Row],[Birthweight (grams)]]*0.9/Table1[[#This Row],[BW_GA]])-1)/(Backend!$B$4/100*Table1[[#This Row],[BW40_3705]]),"")</f>
        <v/>
      </c>
      <c r="I5254" s="7" t="str">
        <f>IF(Table1[[#This Row],[Is Data Valid]]=TRUE,((Table1[[#This Row],[Birthweight (grams)]]*1.1/Table1[[#This Row],[BW_GA]])-1)/(Backend!$B$4/100*Table1[[#This Row],[BW40_3705]]),"")</f>
        <v/>
      </c>
      <c r="J5254" s="7" t="str">
        <f>IF(Table1[[#This Row],[Is Data Valid]]=TRUE,_xlfn.NORM.S.DIST(Table1[[#This Row],[Birthweight Z-Score]],TRUE)*100,"")</f>
        <v/>
      </c>
      <c r="K5254" s="7" t="str">
        <f>IF(Table1[[#This Row],[Is Data Valid]]=TRUE,_xlfn.NORM.S.DIST(Table1[[#This Row],[Birthweight Z-Score (BW-10%)]],TRUE)*100,"")</f>
        <v/>
      </c>
      <c r="L5254" s="7" t="str">
        <f>IF(Table1[[#This Row],[Is Data Valid]]=TRUE,_xlfn.NORM.S.DIST(Table1[[#This Row],[Birthweight Z-Score (BW+10%)]],TRUE)*100,"")</f>
        <v/>
      </c>
    </row>
    <row r="5255" spans="1:12" x14ac:dyDescent="0.35">
      <c r="A5255" s="3"/>
      <c r="B5255" s="2"/>
      <c r="C5255" s="2"/>
      <c r="D5255" s="2" t="b">
        <f>IF(AND(NOT(ISBLANK(Table1[[#This Row],[Fetal Sex (Male, Female or Unknown)]])),ISNUMBER(Table1[[#This Row],[Birthweight (grams)]]),ISNUMBER(Table1[[#This Row],[Gestation (days)]])),TRUE,FALSE)</f>
        <v>0</v>
      </c>
      <c r="E5255" s="2" t="str">
        <f>IF(Table1[[#This Row],[Is Data Valid]]=TRUE,IF(Table1[[#This Row],[Fetal Sex (Male, Female or Unknown)]]="Male",Backend!$C$6,IF(Table1[[#This Row],[Fetal Sex (Male, Female or Unknown)]]="Female",Backend!$C$7,IF(Table1[[#This Row],[Fetal Sex (Male, Female or Unknown)]]="Unknown",Backend!$C$8,"Error"))),"")</f>
        <v/>
      </c>
      <c r="F5255" s="8" t="str">
        <f>IF(Table1[[#This Row],[Is Data Valid]]=TRUE,EXP(0.578+0.332*((Table1[[#This Row],[Gestation (days)]]+0.5)/7)-0.00354*((Table1[[#This Row],[Gestation (days)]]+0.5)/7)^2)*Table1[[#This Row],[BW40_3705]],"")</f>
        <v/>
      </c>
      <c r="G5255" s="2" t="str">
        <f>IF(Table1[[#This Row],[Is Data Valid]]=TRUE,((Table1[[#This Row],[Birthweight (grams)]]/Table1[[#This Row],[BW_GA]])-1)/(Backend!$B$4/100*Table1[[#This Row],[BW40_3705]]),"")</f>
        <v/>
      </c>
      <c r="H5255" s="7" t="str">
        <f>IF(Table1[[#This Row],[Is Data Valid]]=TRUE,((Table1[[#This Row],[Birthweight (grams)]]*0.9/Table1[[#This Row],[BW_GA]])-1)/(Backend!$B$4/100*Table1[[#This Row],[BW40_3705]]),"")</f>
        <v/>
      </c>
      <c r="I5255" s="7" t="str">
        <f>IF(Table1[[#This Row],[Is Data Valid]]=TRUE,((Table1[[#This Row],[Birthweight (grams)]]*1.1/Table1[[#This Row],[BW_GA]])-1)/(Backend!$B$4/100*Table1[[#This Row],[BW40_3705]]),"")</f>
        <v/>
      </c>
      <c r="J5255" s="7" t="str">
        <f>IF(Table1[[#This Row],[Is Data Valid]]=TRUE,_xlfn.NORM.S.DIST(Table1[[#This Row],[Birthweight Z-Score]],TRUE)*100,"")</f>
        <v/>
      </c>
      <c r="K5255" s="7" t="str">
        <f>IF(Table1[[#This Row],[Is Data Valid]]=TRUE,_xlfn.NORM.S.DIST(Table1[[#This Row],[Birthweight Z-Score (BW-10%)]],TRUE)*100,"")</f>
        <v/>
      </c>
      <c r="L5255" s="7" t="str">
        <f>IF(Table1[[#This Row],[Is Data Valid]]=TRUE,_xlfn.NORM.S.DIST(Table1[[#This Row],[Birthweight Z-Score (BW+10%)]],TRUE)*100,"")</f>
        <v/>
      </c>
    </row>
    <row r="5256" spans="1:12" x14ac:dyDescent="0.35">
      <c r="A5256" s="3"/>
      <c r="B5256" s="2"/>
      <c r="C5256" s="2"/>
      <c r="D5256" s="2" t="b">
        <f>IF(AND(NOT(ISBLANK(Table1[[#This Row],[Fetal Sex (Male, Female or Unknown)]])),ISNUMBER(Table1[[#This Row],[Birthweight (grams)]]),ISNUMBER(Table1[[#This Row],[Gestation (days)]])),TRUE,FALSE)</f>
        <v>0</v>
      </c>
      <c r="E5256" s="2" t="str">
        <f>IF(Table1[[#This Row],[Is Data Valid]]=TRUE,IF(Table1[[#This Row],[Fetal Sex (Male, Female or Unknown)]]="Male",Backend!$C$6,IF(Table1[[#This Row],[Fetal Sex (Male, Female or Unknown)]]="Female",Backend!$C$7,IF(Table1[[#This Row],[Fetal Sex (Male, Female or Unknown)]]="Unknown",Backend!$C$8,"Error"))),"")</f>
        <v/>
      </c>
      <c r="F5256" s="8" t="str">
        <f>IF(Table1[[#This Row],[Is Data Valid]]=TRUE,EXP(0.578+0.332*((Table1[[#This Row],[Gestation (days)]]+0.5)/7)-0.00354*((Table1[[#This Row],[Gestation (days)]]+0.5)/7)^2)*Table1[[#This Row],[BW40_3705]],"")</f>
        <v/>
      </c>
      <c r="G5256" s="2" t="str">
        <f>IF(Table1[[#This Row],[Is Data Valid]]=TRUE,((Table1[[#This Row],[Birthweight (grams)]]/Table1[[#This Row],[BW_GA]])-1)/(Backend!$B$4/100*Table1[[#This Row],[BW40_3705]]),"")</f>
        <v/>
      </c>
      <c r="H5256" s="7" t="str">
        <f>IF(Table1[[#This Row],[Is Data Valid]]=TRUE,((Table1[[#This Row],[Birthweight (grams)]]*0.9/Table1[[#This Row],[BW_GA]])-1)/(Backend!$B$4/100*Table1[[#This Row],[BW40_3705]]),"")</f>
        <v/>
      </c>
      <c r="I5256" s="7" t="str">
        <f>IF(Table1[[#This Row],[Is Data Valid]]=TRUE,((Table1[[#This Row],[Birthweight (grams)]]*1.1/Table1[[#This Row],[BW_GA]])-1)/(Backend!$B$4/100*Table1[[#This Row],[BW40_3705]]),"")</f>
        <v/>
      </c>
      <c r="J5256" s="7" t="str">
        <f>IF(Table1[[#This Row],[Is Data Valid]]=TRUE,_xlfn.NORM.S.DIST(Table1[[#This Row],[Birthweight Z-Score]],TRUE)*100,"")</f>
        <v/>
      </c>
      <c r="K5256" s="7" t="str">
        <f>IF(Table1[[#This Row],[Is Data Valid]]=TRUE,_xlfn.NORM.S.DIST(Table1[[#This Row],[Birthweight Z-Score (BW-10%)]],TRUE)*100,"")</f>
        <v/>
      </c>
      <c r="L5256" s="7" t="str">
        <f>IF(Table1[[#This Row],[Is Data Valid]]=TRUE,_xlfn.NORM.S.DIST(Table1[[#This Row],[Birthweight Z-Score (BW+10%)]],TRUE)*100,"")</f>
        <v/>
      </c>
    </row>
    <row r="5257" spans="1:12" x14ac:dyDescent="0.35">
      <c r="A5257" s="3"/>
      <c r="B5257" s="2"/>
      <c r="C5257" s="2"/>
      <c r="D5257" s="2" t="b">
        <f>IF(AND(NOT(ISBLANK(Table1[[#This Row],[Fetal Sex (Male, Female or Unknown)]])),ISNUMBER(Table1[[#This Row],[Birthweight (grams)]]),ISNUMBER(Table1[[#This Row],[Gestation (days)]])),TRUE,FALSE)</f>
        <v>0</v>
      </c>
      <c r="E5257" s="2" t="str">
        <f>IF(Table1[[#This Row],[Is Data Valid]]=TRUE,IF(Table1[[#This Row],[Fetal Sex (Male, Female or Unknown)]]="Male",Backend!$C$6,IF(Table1[[#This Row],[Fetal Sex (Male, Female or Unknown)]]="Female",Backend!$C$7,IF(Table1[[#This Row],[Fetal Sex (Male, Female or Unknown)]]="Unknown",Backend!$C$8,"Error"))),"")</f>
        <v/>
      </c>
      <c r="F5257" s="8" t="str">
        <f>IF(Table1[[#This Row],[Is Data Valid]]=TRUE,EXP(0.578+0.332*((Table1[[#This Row],[Gestation (days)]]+0.5)/7)-0.00354*((Table1[[#This Row],[Gestation (days)]]+0.5)/7)^2)*Table1[[#This Row],[BW40_3705]],"")</f>
        <v/>
      </c>
      <c r="G5257" s="2" t="str">
        <f>IF(Table1[[#This Row],[Is Data Valid]]=TRUE,((Table1[[#This Row],[Birthweight (grams)]]/Table1[[#This Row],[BW_GA]])-1)/(Backend!$B$4/100*Table1[[#This Row],[BW40_3705]]),"")</f>
        <v/>
      </c>
      <c r="H5257" s="7" t="str">
        <f>IF(Table1[[#This Row],[Is Data Valid]]=TRUE,((Table1[[#This Row],[Birthweight (grams)]]*0.9/Table1[[#This Row],[BW_GA]])-1)/(Backend!$B$4/100*Table1[[#This Row],[BW40_3705]]),"")</f>
        <v/>
      </c>
      <c r="I5257" s="7" t="str">
        <f>IF(Table1[[#This Row],[Is Data Valid]]=TRUE,((Table1[[#This Row],[Birthweight (grams)]]*1.1/Table1[[#This Row],[BW_GA]])-1)/(Backend!$B$4/100*Table1[[#This Row],[BW40_3705]]),"")</f>
        <v/>
      </c>
      <c r="J5257" s="7" t="str">
        <f>IF(Table1[[#This Row],[Is Data Valid]]=TRUE,_xlfn.NORM.S.DIST(Table1[[#This Row],[Birthweight Z-Score]],TRUE)*100,"")</f>
        <v/>
      </c>
      <c r="K5257" s="7" t="str">
        <f>IF(Table1[[#This Row],[Is Data Valid]]=TRUE,_xlfn.NORM.S.DIST(Table1[[#This Row],[Birthweight Z-Score (BW-10%)]],TRUE)*100,"")</f>
        <v/>
      </c>
      <c r="L5257" s="7" t="str">
        <f>IF(Table1[[#This Row],[Is Data Valid]]=TRUE,_xlfn.NORM.S.DIST(Table1[[#This Row],[Birthweight Z-Score (BW+10%)]],TRUE)*100,"")</f>
        <v/>
      </c>
    </row>
    <row r="5258" spans="1:12" x14ac:dyDescent="0.35">
      <c r="A5258" s="3"/>
      <c r="B5258" s="2"/>
      <c r="C5258" s="2"/>
      <c r="D5258" s="2" t="b">
        <f>IF(AND(NOT(ISBLANK(Table1[[#This Row],[Fetal Sex (Male, Female or Unknown)]])),ISNUMBER(Table1[[#This Row],[Birthweight (grams)]]),ISNUMBER(Table1[[#This Row],[Gestation (days)]])),TRUE,FALSE)</f>
        <v>0</v>
      </c>
      <c r="E5258" s="2" t="str">
        <f>IF(Table1[[#This Row],[Is Data Valid]]=TRUE,IF(Table1[[#This Row],[Fetal Sex (Male, Female or Unknown)]]="Male",Backend!$C$6,IF(Table1[[#This Row],[Fetal Sex (Male, Female or Unknown)]]="Female",Backend!$C$7,IF(Table1[[#This Row],[Fetal Sex (Male, Female or Unknown)]]="Unknown",Backend!$C$8,"Error"))),"")</f>
        <v/>
      </c>
      <c r="F5258" s="8" t="str">
        <f>IF(Table1[[#This Row],[Is Data Valid]]=TRUE,EXP(0.578+0.332*((Table1[[#This Row],[Gestation (days)]]+0.5)/7)-0.00354*((Table1[[#This Row],[Gestation (days)]]+0.5)/7)^2)*Table1[[#This Row],[BW40_3705]],"")</f>
        <v/>
      </c>
      <c r="G5258" s="2" t="str">
        <f>IF(Table1[[#This Row],[Is Data Valid]]=TRUE,((Table1[[#This Row],[Birthweight (grams)]]/Table1[[#This Row],[BW_GA]])-1)/(Backend!$B$4/100*Table1[[#This Row],[BW40_3705]]),"")</f>
        <v/>
      </c>
      <c r="H5258" s="7" t="str">
        <f>IF(Table1[[#This Row],[Is Data Valid]]=TRUE,((Table1[[#This Row],[Birthweight (grams)]]*0.9/Table1[[#This Row],[BW_GA]])-1)/(Backend!$B$4/100*Table1[[#This Row],[BW40_3705]]),"")</f>
        <v/>
      </c>
      <c r="I5258" s="7" t="str">
        <f>IF(Table1[[#This Row],[Is Data Valid]]=TRUE,((Table1[[#This Row],[Birthweight (grams)]]*1.1/Table1[[#This Row],[BW_GA]])-1)/(Backend!$B$4/100*Table1[[#This Row],[BW40_3705]]),"")</f>
        <v/>
      </c>
      <c r="J5258" s="7" t="str">
        <f>IF(Table1[[#This Row],[Is Data Valid]]=TRUE,_xlfn.NORM.S.DIST(Table1[[#This Row],[Birthweight Z-Score]],TRUE)*100,"")</f>
        <v/>
      </c>
      <c r="K5258" s="7" t="str">
        <f>IF(Table1[[#This Row],[Is Data Valid]]=TRUE,_xlfn.NORM.S.DIST(Table1[[#This Row],[Birthweight Z-Score (BW-10%)]],TRUE)*100,"")</f>
        <v/>
      </c>
      <c r="L5258" s="7" t="str">
        <f>IF(Table1[[#This Row],[Is Data Valid]]=TRUE,_xlfn.NORM.S.DIST(Table1[[#This Row],[Birthweight Z-Score (BW+10%)]],TRUE)*100,"")</f>
        <v/>
      </c>
    </row>
    <row r="5259" spans="1:12" x14ac:dyDescent="0.35">
      <c r="A5259" s="3"/>
      <c r="B5259" s="2"/>
      <c r="C5259" s="2"/>
      <c r="D5259" s="2" t="b">
        <f>IF(AND(NOT(ISBLANK(Table1[[#This Row],[Fetal Sex (Male, Female or Unknown)]])),ISNUMBER(Table1[[#This Row],[Birthweight (grams)]]),ISNUMBER(Table1[[#This Row],[Gestation (days)]])),TRUE,FALSE)</f>
        <v>0</v>
      </c>
      <c r="E5259" s="2" t="str">
        <f>IF(Table1[[#This Row],[Is Data Valid]]=TRUE,IF(Table1[[#This Row],[Fetal Sex (Male, Female or Unknown)]]="Male",Backend!$C$6,IF(Table1[[#This Row],[Fetal Sex (Male, Female or Unknown)]]="Female",Backend!$C$7,IF(Table1[[#This Row],[Fetal Sex (Male, Female or Unknown)]]="Unknown",Backend!$C$8,"Error"))),"")</f>
        <v/>
      </c>
      <c r="F5259" s="8" t="str">
        <f>IF(Table1[[#This Row],[Is Data Valid]]=TRUE,EXP(0.578+0.332*((Table1[[#This Row],[Gestation (days)]]+0.5)/7)-0.00354*((Table1[[#This Row],[Gestation (days)]]+0.5)/7)^2)*Table1[[#This Row],[BW40_3705]],"")</f>
        <v/>
      </c>
      <c r="G5259" s="2" t="str">
        <f>IF(Table1[[#This Row],[Is Data Valid]]=TRUE,((Table1[[#This Row],[Birthweight (grams)]]/Table1[[#This Row],[BW_GA]])-1)/(Backend!$B$4/100*Table1[[#This Row],[BW40_3705]]),"")</f>
        <v/>
      </c>
      <c r="H5259" s="7" t="str">
        <f>IF(Table1[[#This Row],[Is Data Valid]]=TRUE,((Table1[[#This Row],[Birthweight (grams)]]*0.9/Table1[[#This Row],[BW_GA]])-1)/(Backend!$B$4/100*Table1[[#This Row],[BW40_3705]]),"")</f>
        <v/>
      </c>
      <c r="I5259" s="7" t="str">
        <f>IF(Table1[[#This Row],[Is Data Valid]]=TRUE,((Table1[[#This Row],[Birthweight (grams)]]*1.1/Table1[[#This Row],[BW_GA]])-1)/(Backend!$B$4/100*Table1[[#This Row],[BW40_3705]]),"")</f>
        <v/>
      </c>
      <c r="J5259" s="7" t="str">
        <f>IF(Table1[[#This Row],[Is Data Valid]]=TRUE,_xlfn.NORM.S.DIST(Table1[[#This Row],[Birthweight Z-Score]],TRUE)*100,"")</f>
        <v/>
      </c>
      <c r="K5259" s="7" t="str">
        <f>IF(Table1[[#This Row],[Is Data Valid]]=TRUE,_xlfn.NORM.S.DIST(Table1[[#This Row],[Birthweight Z-Score (BW-10%)]],TRUE)*100,"")</f>
        <v/>
      </c>
      <c r="L5259" s="7" t="str">
        <f>IF(Table1[[#This Row],[Is Data Valid]]=TRUE,_xlfn.NORM.S.DIST(Table1[[#This Row],[Birthweight Z-Score (BW+10%)]],TRUE)*100,"")</f>
        <v/>
      </c>
    </row>
    <row r="5260" spans="1:12" x14ac:dyDescent="0.35">
      <c r="A5260" s="3"/>
      <c r="B5260" s="2"/>
      <c r="C5260" s="2"/>
      <c r="D5260" s="2" t="b">
        <f>IF(AND(NOT(ISBLANK(Table1[[#This Row],[Fetal Sex (Male, Female or Unknown)]])),ISNUMBER(Table1[[#This Row],[Birthweight (grams)]]),ISNUMBER(Table1[[#This Row],[Gestation (days)]])),TRUE,FALSE)</f>
        <v>0</v>
      </c>
      <c r="E5260" s="2" t="str">
        <f>IF(Table1[[#This Row],[Is Data Valid]]=TRUE,IF(Table1[[#This Row],[Fetal Sex (Male, Female or Unknown)]]="Male",Backend!$C$6,IF(Table1[[#This Row],[Fetal Sex (Male, Female or Unknown)]]="Female",Backend!$C$7,IF(Table1[[#This Row],[Fetal Sex (Male, Female or Unknown)]]="Unknown",Backend!$C$8,"Error"))),"")</f>
        <v/>
      </c>
      <c r="F5260" s="8" t="str">
        <f>IF(Table1[[#This Row],[Is Data Valid]]=TRUE,EXP(0.578+0.332*((Table1[[#This Row],[Gestation (days)]]+0.5)/7)-0.00354*((Table1[[#This Row],[Gestation (days)]]+0.5)/7)^2)*Table1[[#This Row],[BW40_3705]],"")</f>
        <v/>
      </c>
      <c r="G5260" s="2" t="str">
        <f>IF(Table1[[#This Row],[Is Data Valid]]=TRUE,((Table1[[#This Row],[Birthweight (grams)]]/Table1[[#This Row],[BW_GA]])-1)/(Backend!$B$4/100*Table1[[#This Row],[BW40_3705]]),"")</f>
        <v/>
      </c>
      <c r="H5260" s="7" t="str">
        <f>IF(Table1[[#This Row],[Is Data Valid]]=TRUE,((Table1[[#This Row],[Birthweight (grams)]]*0.9/Table1[[#This Row],[BW_GA]])-1)/(Backend!$B$4/100*Table1[[#This Row],[BW40_3705]]),"")</f>
        <v/>
      </c>
      <c r="I5260" s="7" t="str">
        <f>IF(Table1[[#This Row],[Is Data Valid]]=TRUE,((Table1[[#This Row],[Birthweight (grams)]]*1.1/Table1[[#This Row],[BW_GA]])-1)/(Backend!$B$4/100*Table1[[#This Row],[BW40_3705]]),"")</f>
        <v/>
      </c>
      <c r="J5260" s="7" t="str">
        <f>IF(Table1[[#This Row],[Is Data Valid]]=TRUE,_xlfn.NORM.S.DIST(Table1[[#This Row],[Birthweight Z-Score]],TRUE)*100,"")</f>
        <v/>
      </c>
      <c r="K5260" s="7" t="str">
        <f>IF(Table1[[#This Row],[Is Data Valid]]=TRUE,_xlfn.NORM.S.DIST(Table1[[#This Row],[Birthweight Z-Score (BW-10%)]],TRUE)*100,"")</f>
        <v/>
      </c>
      <c r="L5260" s="7" t="str">
        <f>IF(Table1[[#This Row],[Is Data Valid]]=TRUE,_xlfn.NORM.S.DIST(Table1[[#This Row],[Birthweight Z-Score (BW+10%)]],TRUE)*100,"")</f>
        <v/>
      </c>
    </row>
    <row r="5261" spans="1:12" x14ac:dyDescent="0.35">
      <c r="A5261" s="3"/>
      <c r="B5261" s="2"/>
      <c r="C5261" s="2"/>
      <c r="D5261" s="2" t="b">
        <f>IF(AND(NOT(ISBLANK(Table1[[#This Row],[Fetal Sex (Male, Female or Unknown)]])),ISNUMBER(Table1[[#This Row],[Birthweight (grams)]]),ISNUMBER(Table1[[#This Row],[Gestation (days)]])),TRUE,FALSE)</f>
        <v>0</v>
      </c>
      <c r="E5261" s="2" t="str">
        <f>IF(Table1[[#This Row],[Is Data Valid]]=TRUE,IF(Table1[[#This Row],[Fetal Sex (Male, Female or Unknown)]]="Male",Backend!$C$6,IF(Table1[[#This Row],[Fetal Sex (Male, Female or Unknown)]]="Female",Backend!$C$7,IF(Table1[[#This Row],[Fetal Sex (Male, Female or Unknown)]]="Unknown",Backend!$C$8,"Error"))),"")</f>
        <v/>
      </c>
      <c r="F5261" s="8" t="str">
        <f>IF(Table1[[#This Row],[Is Data Valid]]=TRUE,EXP(0.578+0.332*((Table1[[#This Row],[Gestation (days)]]+0.5)/7)-0.00354*((Table1[[#This Row],[Gestation (days)]]+0.5)/7)^2)*Table1[[#This Row],[BW40_3705]],"")</f>
        <v/>
      </c>
      <c r="G5261" s="2" t="str">
        <f>IF(Table1[[#This Row],[Is Data Valid]]=TRUE,((Table1[[#This Row],[Birthweight (grams)]]/Table1[[#This Row],[BW_GA]])-1)/(Backend!$B$4/100*Table1[[#This Row],[BW40_3705]]),"")</f>
        <v/>
      </c>
      <c r="H5261" s="7" t="str">
        <f>IF(Table1[[#This Row],[Is Data Valid]]=TRUE,((Table1[[#This Row],[Birthweight (grams)]]*0.9/Table1[[#This Row],[BW_GA]])-1)/(Backend!$B$4/100*Table1[[#This Row],[BW40_3705]]),"")</f>
        <v/>
      </c>
      <c r="I5261" s="7" t="str">
        <f>IF(Table1[[#This Row],[Is Data Valid]]=TRUE,((Table1[[#This Row],[Birthweight (grams)]]*1.1/Table1[[#This Row],[BW_GA]])-1)/(Backend!$B$4/100*Table1[[#This Row],[BW40_3705]]),"")</f>
        <v/>
      </c>
      <c r="J5261" s="7" t="str">
        <f>IF(Table1[[#This Row],[Is Data Valid]]=TRUE,_xlfn.NORM.S.DIST(Table1[[#This Row],[Birthweight Z-Score]],TRUE)*100,"")</f>
        <v/>
      </c>
      <c r="K5261" s="7" t="str">
        <f>IF(Table1[[#This Row],[Is Data Valid]]=TRUE,_xlfn.NORM.S.DIST(Table1[[#This Row],[Birthweight Z-Score (BW-10%)]],TRUE)*100,"")</f>
        <v/>
      </c>
      <c r="L5261" s="7" t="str">
        <f>IF(Table1[[#This Row],[Is Data Valid]]=TRUE,_xlfn.NORM.S.DIST(Table1[[#This Row],[Birthweight Z-Score (BW+10%)]],TRUE)*100,"")</f>
        <v/>
      </c>
    </row>
    <row r="5262" spans="1:12" x14ac:dyDescent="0.35">
      <c r="A5262" s="3"/>
      <c r="B5262" s="2"/>
      <c r="C5262" s="2"/>
      <c r="D5262" s="2" t="b">
        <f>IF(AND(NOT(ISBLANK(Table1[[#This Row],[Fetal Sex (Male, Female or Unknown)]])),ISNUMBER(Table1[[#This Row],[Birthweight (grams)]]),ISNUMBER(Table1[[#This Row],[Gestation (days)]])),TRUE,FALSE)</f>
        <v>0</v>
      </c>
      <c r="E5262" s="2" t="str">
        <f>IF(Table1[[#This Row],[Is Data Valid]]=TRUE,IF(Table1[[#This Row],[Fetal Sex (Male, Female or Unknown)]]="Male",Backend!$C$6,IF(Table1[[#This Row],[Fetal Sex (Male, Female or Unknown)]]="Female",Backend!$C$7,IF(Table1[[#This Row],[Fetal Sex (Male, Female or Unknown)]]="Unknown",Backend!$C$8,"Error"))),"")</f>
        <v/>
      </c>
      <c r="F5262" s="8" t="str">
        <f>IF(Table1[[#This Row],[Is Data Valid]]=TRUE,EXP(0.578+0.332*((Table1[[#This Row],[Gestation (days)]]+0.5)/7)-0.00354*((Table1[[#This Row],[Gestation (days)]]+0.5)/7)^2)*Table1[[#This Row],[BW40_3705]],"")</f>
        <v/>
      </c>
      <c r="G5262" s="2" t="str">
        <f>IF(Table1[[#This Row],[Is Data Valid]]=TRUE,((Table1[[#This Row],[Birthweight (grams)]]/Table1[[#This Row],[BW_GA]])-1)/(Backend!$B$4/100*Table1[[#This Row],[BW40_3705]]),"")</f>
        <v/>
      </c>
      <c r="H5262" s="7" t="str">
        <f>IF(Table1[[#This Row],[Is Data Valid]]=TRUE,((Table1[[#This Row],[Birthweight (grams)]]*0.9/Table1[[#This Row],[BW_GA]])-1)/(Backend!$B$4/100*Table1[[#This Row],[BW40_3705]]),"")</f>
        <v/>
      </c>
      <c r="I5262" s="7" t="str">
        <f>IF(Table1[[#This Row],[Is Data Valid]]=TRUE,((Table1[[#This Row],[Birthweight (grams)]]*1.1/Table1[[#This Row],[BW_GA]])-1)/(Backend!$B$4/100*Table1[[#This Row],[BW40_3705]]),"")</f>
        <v/>
      </c>
      <c r="J5262" s="7" t="str">
        <f>IF(Table1[[#This Row],[Is Data Valid]]=TRUE,_xlfn.NORM.S.DIST(Table1[[#This Row],[Birthweight Z-Score]],TRUE)*100,"")</f>
        <v/>
      </c>
      <c r="K5262" s="7" t="str">
        <f>IF(Table1[[#This Row],[Is Data Valid]]=TRUE,_xlfn.NORM.S.DIST(Table1[[#This Row],[Birthweight Z-Score (BW-10%)]],TRUE)*100,"")</f>
        <v/>
      </c>
      <c r="L5262" s="7" t="str">
        <f>IF(Table1[[#This Row],[Is Data Valid]]=TRUE,_xlfn.NORM.S.DIST(Table1[[#This Row],[Birthweight Z-Score (BW+10%)]],TRUE)*100,"")</f>
        <v/>
      </c>
    </row>
    <row r="5263" spans="1:12" x14ac:dyDescent="0.35">
      <c r="A5263" s="3"/>
      <c r="B5263" s="2"/>
      <c r="C5263" s="2"/>
      <c r="D5263" s="2" t="b">
        <f>IF(AND(NOT(ISBLANK(Table1[[#This Row],[Fetal Sex (Male, Female or Unknown)]])),ISNUMBER(Table1[[#This Row],[Birthweight (grams)]]),ISNUMBER(Table1[[#This Row],[Gestation (days)]])),TRUE,FALSE)</f>
        <v>0</v>
      </c>
      <c r="E5263" s="2" t="str">
        <f>IF(Table1[[#This Row],[Is Data Valid]]=TRUE,IF(Table1[[#This Row],[Fetal Sex (Male, Female or Unknown)]]="Male",Backend!$C$6,IF(Table1[[#This Row],[Fetal Sex (Male, Female or Unknown)]]="Female",Backend!$C$7,IF(Table1[[#This Row],[Fetal Sex (Male, Female or Unknown)]]="Unknown",Backend!$C$8,"Error"))),"")</f>
        <v/>
      </c>
      <c r="F5263" s="8" t="str">
        <f>IF(Table1[[#This Row],[Is Data Valid]]=TRUE,EXP(0.578+0.332*((Table1[[#This Row],[Gestation (days)]]+0.5)/7)-0.00354*((Table1[[#This Row],[Gestation (days)]]+0.5)/7)^2)*Table1[[#This Row],[BW40_3705]],"")</f>
        <v/>
      </c>
      <c r="G5263" s="2" t="str">
        <f>IF(Table1[[#This Row],[Is Data Valid]]=TRUE,((Table1[[#This Row],[Birthweight (grams)]]/Table1[[#This Row],[BW_GA]])-1)/(Backend!$B$4/100*Table1[[#This Row],[BW40_3705]]),"")</f>
        <v/>
      </c>
      <c r="H5263" s="7" t="str">
        <f>IF(Table1[[#This Row],[Is Data Valid]]=TRUE,((Table1[[#This Row],[Birthweight (grams)]]*0.9/Table1[[#This Row],[BW_GA]])-1)/(Backend!$B$4/100*Table1[[#This Row],[BW40_3705]]),"")</f>
        <v/>
      </c>
      <c r="I5263" s="7" t="str">
        <f>IF(Table1[[#This Row],[Is Data Valid]]=TRUE,((Table1[[#This Row],[Birthweight (grams)]]*1.1/Table1[[#This Row],[BW_GA]])-1)/(Backend!$B$4/100*Table1[[#This Row],[BW40_3705]]),"")</f>
        <v/>
      </c>
      <c r="J5263" s="7" t="str">
        <f>IF(Table1[[#This Row],[Is Data Valid]]=TRUE,_xlfn.NORM.S.DIST(Table1[[#This Row],[Birthweight Z-Score]],TRUE)*100,"")</f>
        <v/>
      </c>
      <c r="K5263" s="7" t="str">
        <f>IF(Table1[[#This Row],[Is Data Valid]]=TRUE,_xlfn.NORM.S.DIST(Table1[[#This Row],[Birthweight Z-Score (BW-10%)]],TRUE)*100,"")</f>
        <v/>
      </c>
      <c r="L5263" s="7" t="str">
        <f>IF(Table1[[#This Row],[Is Data Valid]]=TRUE,_xlfn.NORM.S.DIST(Table1[[#This Row],[Birthweight Z-Score (BW+10%)]],TRUE)*100,"")</f>
        <v/>
      </c>
    </row>
    <row r="5264" spans="1:12" x14ac:dyDescent="0.35">
      <c r="A5264" s="3"/>
      <c r="B5264" s="2"/>
      <c r="C5264" s="2"/>
      <c r="D5264" s="2" t="b">
        <f>IF(AND(NOT(ISBLANK(Table1[[#This Row],[Fetal Sex (Male, Female or Unknown)]])),ISNUMBER(Table1[[#This Row],[Birthweight (grams)]]),ISNUMBER(Table1[[#This Row],[Gestation (days)]])),TRUE,FALSE)</f>
        <v>0</v>
      </c>
      <c r="E5264" s="2" t="str">
        <f>IF(Table1[[#This Row],[Is Data Valid]]=TRUE,IF(Table1[[#This Row],[Fetal Sex (Male, Female or Unknown)]]="Male",Backend!$C$6,IF(Table1[[#This Row],[Fetal Sex (Male, Female or Unknown)]]="Female",Backend!$C$7,IF(Table1[[#This Row],[Fetal Sex (Male, Female or Unknown)]]="Unknown",Backend!$C$8,"Error"))),"")</f>
        <v/>
      </c>
      <c r="F5264" s="8" t="str">
        <f>IF(Table1[[#This Row],[Is Data Valid]]=TRUE,EXP(0.578+0.332*((Table1[[#This Row],[Gestation (days)]]+0.5)/7)-0.00354*((Table1[[#This Row],[Gestation (days)]]+0.5)/7)^2)*Table1[[#This Row],[BW40_3705]],"")</f>
        <v/>
      </c>
      <c r="G5264" s="2" t="str">
        <f>IF(Table1[[#This Row],[Is Data Valid]]=TRUE,((Table1[[#This Row],[Birthweight (grams)]]/Table1[[#This Row],[BW_GA]])-1)/(Backend!$B$4/100*Table1[[#This Row],[BW40_3705]]),"")</f>
        <v/>
      </c>
      <c r="H5264" s="7" t="str">
        <f>IF(Table1[[#This Row],[Is Data Valid]]=TRUE,((Table1[[#This Row],[Birthweight (grams)]]*0.9/Table1[[#This Row],[BW_GA]])-1)/(Backend!$B$4/100*Table1[[#This Row],[BW40_3705]]),"")</f>
        <v/>
      </c>
      <c r="I5264" s="7" t="str">
        <f>IF(Table1[[#This Row],[Is Data Valid]]=TRUE,((Table1[[#This Row],[Birthweight (grams)]]*1.1/Table1[[#This Row],[BW_GA]])-1)/(Backend!$B$4/100*Table1[[#This Row],[BW40_3705]]),"")</f>
        <v/>
      </c>
      <c r="J5264" s="7" t="str">
        <f>IF(Table1[[#This Row],[Is Data Valid]]=TRUE,_xlfn.NORM.S.DIST(Table1[[#This Row],[Birthweight Z-Score]],TRUE)*100,"")</f>
        <v/>
      </c>
      <c r="K5264" s="7" t="str">
        <f>IF(Table1[[#This Row],[Is Data Valid]]=TRUE,_xlfn.NORM.S.DIST(Table1[[#This Row],[Birthweight Z-Score (BW-10%)]],TRUE)*100,"")</f>
        <v/>
      </c>
      <c r="L5264" s="7" t="str">
        <f>IF(Table1[[#This Row],[Is Data Valid]]=TRUE,_xlfn.NORM.S.DIST(Table1[[#This Row],[Birthweight Z-Score (BW+10%)]],TRUE)*100,"")</f>
        <v/>
      </c>
    </row>
    <row r="5265" spans="1:12" x14ac:dyDescent="0.35">
      <c r="A5265" s="3"/>
      <c r="B5265" s="2"/>
      <c r="C5265" s="2"/>
      <c r="D5265" s="2" t="b">
        <f>IF(AND(NOT(ISBLANK(Table1[[#This Row],[Fetal Sex (Male, Female or Unknown)]])),ISNUMBER(Table1[[#This Row],[Birthweight (grams)]]),ISNUMBER(Table1[[#This Row],[Gestation (days)]])),TRUE,FALSE)</f>
        <v>0</v>
      </c>
      <c r="E5265" s="2" t="str">
        <f>IF(Table1[[#This Row],[Is Data Valid]]=TRUE,IF(Table1[[#This Row],[Fetal Sex (Male, Female or Unknown)]]="Male",Backend!$C$6,IF(Table1[[#This Row],[Fetal Sex (Male, Female or Unknown)]]="Female",Backend!$C$7,IF(Table1[[#This Row],[Fetal Sex (Male, Female or Unknown)]]="Unknown",Backend!$C$8,"Error"))),"")</f>
        <v/>
      </c>
      <c r="F5265" s="8" t="str">
        <f>IF(Table1[[#This Row],[Is Data Valid]]=TRUE,EXP(0.578+0.332*((Table1[[#This Row],[Gestation (days)]]+0.5)/7)-0.00354*((Table1[[#This Row],[Gestation (days)]]+0.5)/7)^2)*Table1[[#This Row],[BW40_3705]],"")</f>
        <v/>
      </c>
      <c r="G5265" s="2" t="str">
        <f>IF(Table1[[#This Row],[Is Data Valid]]=TRUE,((Table1[[#This Row],[Birthweight (grams)]]/Table1[[#This Row],[BW_GA]])-1)/(Backend!$B$4/100*Table1[[#This Row],[BW40_3705]]),"")</f>
        <v/>
      </c>
      <c r="H5265" s="7" t="str">
        <f>IF(Table1[[#This Row],[Is Data Valid]]=TRUE,((Table1[[#This Row],[Birthweight (grams)]]*0.9/Table1[[#This Row],[BW_GA]])-1)/(Backend!$B$4/100*Table1[[#This Row],[BW40_3705]]),"")</f>
        <v/>
      </c>
      <c r="I5265" s="7" t="str">
        <f>IF(Table1[[#This Row],[Is Data Valid]]=TRUE,((Table1[[#This Row],[Birthweight (grams)]]*1.1/Table1[[#This Row],[BW_GA]])-1)/(Backend!$B$4/100*Table1[[#This Row],[BW40_3705]]),"")</f>
        <v/>
      </c>
      <c r="J5265" s="7" t="str">
        <f>IF(Table1[[#This Row],[Is Data Valid]]=TRUE,_xlfn.NORM.S.DIST(Table1[[#This Row],[Birthweight Z-Score]],TRUE)*100,"")</f>
        <v/>
      </c>
      <c r="K5265" s="7" t="str">
        <f>IF(Table1[[#This Row],[Is Data Valid]]=TRUE,_xlfn.NORM.S.DIST(Table1[[#This Row],[Birthweight Z-Score (BW-10%)]],TRUE)*100,"")</f>
        <v/>
      </c>
      <c r="L5265" s="7" t="str">
        <f>IF(Table1[[#This Row],[Is Data Valid]]=TRUE,_xlfn.NORM.S.DIST(Table1[[#This Row],[Birthweight Z-Score (BW+10%)]],TRUE)*100,"")</f>
        <v/>
      </c>
    </row>
    <row r="5266" spans="1:12" x14ac:dyDescent="0.35">
      <c r="A5266" s="3"/>
      <c r="B5266" s="2"/>
      <c r="C5266" s="2"/>
      <c r="D5266" s="2" t="b">
        <f>IF(AND(NOT(ISBLANK(Table1[[#This Row],[Fetal Sex (Male, Female or Unknown)]])),ISNUMBER(Table1[[#This Row],[Birthweight (grams)]]),ISNUMBER(Table1[[#This Row],[Gestation (days)]])),TRUE,FALSE)</f>
        <v>0</v>
      </c>
      <c r="E5266" s="2" t="str">
        <f>IF(Table1[[#This Row],[Is Data Valid]]=TRUE,IF(Table1[[#This Row],[Fetal Sex (Male, Female or Unknown)]]="Male",Backend!$C$6,IF(Table1[[#This Row],[Fetal Sex (Male, Female or Unknown)]]="Female",Backend!$C$7,IF(Table1[[#This Row],[Fetal Sex (Male, Female or Unknown)]]="Unknown",Backend!$C$8,"Error"))),"")</f>
        <v/>
      </c>
      <c r="F5266" s="8" t="str">
        <f>IF(Table1[[#This Row],[Is Data Valid]]=TRUE,EXP(0.578+0.332*((Table1[[#This Row],[Gestation (days)]]+0.5)/7)-0.00354*((Table1[[#This Row],[Gestation (days)]]+0.5)/7)^2)*Table1[[#This Row],[BW40_3705]],"")</f>
        <v/>
      </c>
      <c r="G5266" s="2" t="str">
        <f>IF(Table1[[#This Row],[Is Data Valid]]=TRUE,((Table1[[#This Row],[Birthweight (grams)]]/Table1[[#This Row],[BW_GA]])-1)/(Backend!$B$4/100*Table1[[#This Row],[BW40_3705]]),"")</f>
        <v/>
      </c>
      <c r="H5266" s="7" t="str">
        <f>IF(Table1[[#This Row],[Is Data Valid]]=TRUE,((Table1[[#This Row],[Birthweight (grams)]]*0.9/Table1[[#This Row],[BW_GA]])-1)/(Backend!$B$4/100*Table1[[#This Row],[BW40_3705]]),"")</f>
        <v/>
      </c>
      <c r="I5266" s="7" t="str">
        <f>IF(Table1[[#This Row],[Is Data Valid]]=TRUE,((Table1[[#This Row],[Birthweight (grams)]]*1.1/Table1[[#This Row],[BW_GA]])-1)/(Backend!$B$4/100*Table1[[#This Row],[BW40_3705]]),"")</f>
        <v/>
      </c>
      <c r="J5266" s="7" t="str">
        <f>IF(Table1[[#This Row],[Is Data Valid]]=TRUE,_xlfn.NORM.S.DIST(Table1[[#This Row],[Birthweight Z-Score]],TRUE)*100,"")</f>
        <v/>
      </c>
      <c r="K5266" s="7" t="str">
        <f>IF(Table1[[#This Row],[Is Data Valid]]=TRUE,_xlfn.NORM.S.DIST(Table1[[#This Row],[Birthweight Z-Score (BW-10%)]],TRUE)*100,"")</f>
        <v/>
      </c>
      <c r="L5266" s="7" t="str">
        <f>IF(Table1[[#This Row],[Is Data Valid]]=TRUE,_xlfn.NORM.S.DIST(Table1[[#This Row],[Birthweight Z-Score (BW+10%)]],TRUE)*100,"")</f>
        <v/>
      </c>
    </row>
    <row r="5267" spans="1:12" x14ac:dyDescent="0.35">
      <c r="A5267" s="3"/>
      <c r="B5267" s="2"/>
      <c r="C5267" s="2"/>
      <c r="D5267" s="2" t="b">
        <f>IF(AND(NOT(ISBLANK(Table1[[#This Row],[Fetal Sex (Male, Female or Unknown)]])),ISNUMBER(Table1[[#This Row],[Birthweight (grams)]]),ISNUMBER(Table1[[#This Row],[Gestation (days)]])),TRUE,FALSE)</f>
        <v>0</v>
      </c>
      <c r="E5267" s="2" t="str">
        <f>IF(Table1[[#This Row],[Is Data Valid]]=TRUE,IF(Table1[[#This Row],[Fetal Sex (Male, Female or Unknown)]]="Male",Backend!$C$6,IF(Table1[[#This Row],[Fetal Sex (Male, Female or Unknown)]]="Female",Backend!$C$7,IF(Table1[[#This Row],[Fetal Sex (Male, Female or Unknown)]]="Unknown",Backend!$C$8,"Error"))),"")</f>
        <v/>
      </c>
      <c r="F5267" s="8" t="str">
        <f>IF(Table1[[#This Row],[Is Data Valid]]=TRUE,EXP(0.578+0.332*((Table1[[#This Row],[Gestation (days)]]+0.5)/7)-0.00354*((Table1[[#This Row],[Gestation (days)]]+0.5)/7)^2)*Table1[[#This Row],[BW40_3705]],"")</f>
        <v/>
      </c>
      <c r="G5267" s="2" t="str">
        <f>IF(Table1[[#This Row],[Is Data Valid]]=TRUE,((Table1[[#This Row],[Birthweight (grams)]]/Table1[[#This Row],[BW_GA]])-1)/(Backend!$B$4/100*Table1[[#This Row],[BW40_3705]]),"")</f>
        <v/>
      </c>
      <c r="H5267" s="7" t="str">
        <f>IF(Table1[[#This Row],[Is Data Valid]]=TRUE,((Table1[[#This Row],[Birthweight (grams)]]*0.9/Table1[[#This Row],[BW_GA]])-1)/(Backend!$B$4/100*Table1[[#This Row],[BW40_3705]]),"")</f>
        <v/>
      </c>
      <c r="I5267" s="7" t="str">
        <f>IF(Table1[[#This Row],[Is Data Valid]]=TRUE,((Table1[[#This Row],[Birthweight (grams)]]*1.1/Table1[[#This Row],[BW_GA]])-1)/(Backend!$B$4/100*Table1[[#This Row],[BW40_3705]]),"")</f>
        <v/>
      </c>
      <c r="J5267" s="7" t="str">
        <f>IF(Table1[[#This Row],[Is Data Valid]]=TRUE,_xlfn.NORM.S.DIST(Table1[[#This Row],[Birthweight Z-Score]],TRUE)*100,"")</f>
        <v/>
      </c>
      <c r="K5267" s="7" t="str">
        <f>IF(Table1[[#This Row],[Is Data Valid]]=TRUE,_xlfn.NORM.S.DIST(Table1[[#This Row],[Birthweight Z-Score (BW-10%)]],TRUE)*100,"")</f>
        <v/>
      </c>
      <c r="L5267" s="7" t="str">
        <f>IF(Table1[[#This Row],[Is Data Valid]]=TRUE,_xlfn.NORM.S.DIST(Table1[[#This Row],[Birthweight Z-Score (BW+10%)]],TRUE)*100,"")</f>
        <v/>
      </c>
    </row>
    <row r="5268" spans="1:12" x14ac:dyDescent="0.35">
      <c r="A5268" s="3"/>
      <c r="B5268" s="2"/>
      <c r="C5268" s="2"/>
      <c r="D5268" s="2" t="b">
        <f>IF(AND(NOT(ISBLANK(Table1[[#This Row],[Fetal Sex (Male, Female or Unknown)]])),ISNUMBER(Table1[[#This Row],[Birthweight (grams)]]),ISNUMBER(Table1[[#This Row],[Gestation (days)]])),TRUE,FALSE)</f>
        <v>0</v>
      </c>
      <c r="E5268" s="2" t="str">
        <f>IF(Table1[[#This Row],[Is Data Valid]]=TRUE,IF(Table1[[#This Row],[Fetal Sex (Male, Female or Unknown)]]="Male",Backend!$C$6,IF(Table1[[#This Row],[Fetal Sex (Male, Female or Unknown)]]="Female",Backend!$C$7,IF(Table1[[#This Row],[Fetal Sex (Male, Female or Unknown)]]="Unknown",Backend!$C$8,"Error"))),"")</f>
        <v/>
      </c>
      <c r="F5268" s="8" t="str">
        <f>IF(Table1[[#This Row],[Is Data Valid]]=TRUE,EXP(0.578+0.332*((Table1[[#This Row],[Gestation (days)]]+0.5)/7)-0.00354*((Table1[[#This Row],[Gestation (days)]]+0.5)/7)^2)*Table1[[#This Row],[BW40_3705]],"")</f>
        <v/>
      </c>
      <c r="G5268" s="2" t="str">
        <f>IF(Table1[[#This Row],[Is Data Valid]]=TRUE,((Table1[[#This Row],[Birthweight (grams)]]/Table1[[#This Row],[BW_GA]])-1)/(Backend!$B$4/100*Table1[[#This Row],[BW40_3705]]),"")</f>
        <v/>
      </c>
      <c r="H5268" s="7" t="str">
        <f>IF(Table1[[#This Row],[Is Data Valid]]=TRUE,((Table1[[#This Row],[Birthweight (grams)]]*0.9/Table1[[#This Row],[BW_GA]])-1)/(Backend!$B$4/100*Table1[[#This Row],[BW40_3705]]),"")</f>
        <v/>
      </c>
      <c r="I5268" s="7" t="str">
        <f>IF(Table1[[#This Row],[Is Data Valid]]=TRUE,((Table1[[#This Row],[Birthweight (grams)]]*1.1/Table1[[#This Row],[BW_GA]])-1)/(Backend!$B$4/100*Table1[[#This Row],[BW40_3705]]),"")</f>
        <v/>
      </c>
      <c r="J5268" s="7" t="str">
        <f>IF(Table1[[#This Row],[Is Data Valid]]=TRUE,_xlfn.NORM.S.DIST(Table1[[#This Row],[Birthweight Z-Score]],TRUE)*100,"")</f>
        <v/>
      </c>
      <c r="K5268" s="7" t="str">
        <f>IF(Table1[[#This Row],[Is Data Valid]]=TRUE,_xlfn.NORM.S.DIST(Table1[[#This Row],[Birthweight Z-Score (BW-10%)]],TRUE)*100,"")</f>
        <v/>
      </c>
      <c r="L5268" s="7" t="str">
        <f>IF(Table1[[#This Row],[Is Data Valid]]=TRUE,_xlfn.NORM.S.DIST(Table1[[#This Row],[Birthweight Z-Score (BW+10%)]],TRUE)*100,"")</f>
        <v/>
      </c>
    </row>
    <row r="5269" spans="1:12" x14ac:dyDescent="0.35">
      <c r="A5269" s="3"/>
      <c r="B5269" s="2"/>
      <c r="C5269" s="2"/>
      <c r="D5269" s="2" t="b">
        <f>IF(AND(NOT(ISBLANK(Table1[[#This Row],[Fetal Sex (Male, Female or Unknown)]])),ISNUMBER(Table1[[#This Row],[Birthweight (grams)]]),ISNUMBER(Table1[[#This Row],[Gestation (days)]])),TRUE,FALSE)</f>
        <v>0</v>
      </c>
      <c r="E5269" s="2" t="str">
        <f>IF(Table1[[#This Row],[Is Data Valid]]=TRUE,IF(Table1[[#This Row],[Fetal Sex (Male, Female or Unknown)]]="Male",Backend!$C$6,IF(Table1[[#This Row],[Fetal Sex (Male, Female or Unknown)]]="Female",Backend!$C$7,IF(Table1[[#This Row],[Fetal Sex (Male, Female or Unknown)]]="Unknown",Backend!$C$8,"Error"))),"")</f>
        <v/>
      </c>
      <c r="F5269" s="8" t="str">
        <f>IF(Table1[[#This Row],[Is Data Valid]]=TRUE,EXP(0.578+0.332*((Table1[[#This Row],[Gestation (days)]]+0.5)/7)-0.00354*((Table1[[#This Row],[Gestation (days)]]+0.5)/7)^2)*Table1[[#This Row],[BW40_3705]],"")</f>
        <v/>
      </c>
      <c r="G5269" s="2" t="str">
        <f>IF(Table1[[#This Row],[Is Data Valid]]=TRUE,((Table1[[#This Row],[Birthweight (grams)]]/Table1[[#This Row],[BW_GA]])-1)/(Backend!$B$4/100*Table1[[#This Row],[BW40_3705]]),"")</f>
        <v/>
      </c>
      <c r="H5269" s="7" t="str">
        <f>IF(Table1[[#This Row],[Is Data Valid]]=TRUE,((Table1[[#This Row],[Birthweight (grams)]]*0.9/Table1[[#This Row],[BW_GA]])-1)/(Backend!$B$4/100*Table1[[#This Row],[BW40_3705]]),"")</f>
        <v/>
      </c>
      <c r="I5269" s="7" t="str">
        <f>IF(Table1[[#This Row],[Is Data Valid]]=TRUE,((Table1[[#This Row],[Birthweight (grams)]]*1.1/Table1[[#This Row],[BW_GA]])-1)/(Backend!$B$4/100*Table1[[#This Row],[BW40_3705]]),"")</f>
        <v/>
      </c>
      <c r="J5269" s="7" t="str">
        <f>IF(Table1[[#This Row],[Is Data Valid]]=TRUE,_xlfn.NORM.S.DIST(Table1[[#This Row],[Birthweight Z-Score]],TRUE)*100,"")</f>
        <v/>
      </c>
      <c r="K5269" s="7" t="str">
        <f>IF(Table1[[#This Row],[Is Data Valid]]=TRUE,_xlfn.NORM.S.DIST(Table1[[#This Row],[Birthweight Z-Score (BW-10%)]],TRUE)*100,"")</f>
        <v/>
      </c>
      <c r="L5269" s="7" t="str">
        <f>IF(Table1[[#This Row],[Is Data Valid]]=TRUE,_xlfn.NORM.S.DIST(Table1[[#This Row],[Birthweight Z-Score (BW+10%)]],TRUE)*100,"")</f>
        <v/>
      </c>
    </row>
    <row r="5270" spans="1:12" x14ac:dyDescent="0.35">
      <c r="A5270" s="3"/>
      <c r="B5270" s="2"/>
      <c r="C5270" s="2"/>
      <c r="D5270" s="2" t="b">
        <f>IF(AND(NOT(ISBLANK(Table1[[#This Row],[Fetal Sex (Male, Female or Unknown)]])),ISNUMBER(Table1[[#This Row],[Birthweight (grams)]]),ISNUMBER(Table1[[#This Row],[Gestation (days)]])),TRUE,FALSE)</f>
        <v>0</v>
      </c>
      <c r="E5270" s="2" t="str">
        <f>IF(Table1[[#This Row],[Is Data Valid]]=TRUE,IF(Table1[[#This Row],[Fetal Sex (Male, Female or Unknown)]]="Male",Backend!$C$6,IF(Table1[[#This Row],[Fetal Sex (Male, Female or Unknown)]]="Female",Backend!$C$7,IF(Table1[[#This Row],[Fetal Sex (Male, Female or Unknown)]]="Unknown",Backend!$C$8,"Error"))),"")</f>
        <v/>
      </c>
      <c r="F5270" s="8" t="str">
        <f>IF(Table1[[#This Row],[Is Data Valid]]=TRUE,EXP(0.578+0.332*((Table1[[#This Row],[Gestation (days)]]+0.5)/7)-0.00354*((Table1[[#This Row],[Gestation (days)]]+0.5)/7)^2)*Table1[[#This Row],[BW40_3705]],"")</f>
        <v/>
      </c>
      <c r="G5270" s="2" t="str">
        <f>IF(Table1[[#This Row],[Is Data Valid]]=TRUE,((Table1[[#This Row],[Birthweight (grams)]]/Table1[[#This Row],[BW_GA]])-1)/(Backend!$B$4/100*Table1[[#This Row],[BW40_3705]]),"")</f>
        <v/>
      </c>
      <c r="H5270" s="7" t="str">
        <f>IF(Table1[[#This Row],[Is Data Valid]]=TRUE,((Table1[[#This Row],[Birthweight (grams)]]*0.9/Table1[[#This Row],[BW_GA]])-1)/(Backend!$B$4/100*Table1[[#This Row],[BW40_3705]]),"")</f>
        <v/>
      </c>
      <c r="I5270" s="7" t="str">
        <f>IF(Table1[[#This Row],[Is Data Valid]]=TRUE,((Table1[[#This Row],[Birthweight (grams)]]*1.1/Table1[[#This Row],[BW_GA]])-1)/(Backend!$B$4/100*Table1[[#This Row],[BW40_3705]]),"")</f>
        <v/>
      </c>
      <c r="J5270" s="7" t="str">
        <f>IF(Table1[[#This Row],[Is Data Valid]]=TRUE,_xlfn.NORM.S.DIST(Table1[[#This Row],[Birthweight Z-Score]],TRUE)*100,"")</f>
        <v/>
      </c>
      <c r="K5270" s="7" t="str">
        <f>IF(Table1[[#This Row],[Is Data Valid]]=TRUE,_xlfn.NORM.S.DIST(Table1[[#This Row],[Birthweight Z-Score (BW-10%)]],TRUE)*100,"")</f>
        <v/>
      </c>
      <c r="L5270" s="7" t="str">
        <f>IF(Table1[[#This Row],[Is Data Valid]]=TRUE,_xlfn.NORM.S.DIST(Table1[[#This Row],[Birthweight Z-Score (BW+10%)]],TRUE)*100,"")</f>
        <v/>
      </c>
    </row>
    <row r="5271" spans="1:12" x14ac:dyDescent="0.35">
      <c r="A5271" s="3"/>
      <c r="B5271" s="2"/>
      <c r="C5271" s="2"/>
      <c r="D5271" s="2" t="b">
        <f>IF(AND(NOT(ISBLANK(Table1[[#This Row],[Fetal Sex (Male, Female or Unknown)]])),ISNUMBER(Table1[[#This Row],[Birthweight (grams)]]),ISNUMBER(Table1[[#This Row],[Gestation (days)]])),TRUE,FALSE)</f>
        <v>0</v>
      </c>
      <c r="E5271" s="2" t="str">
        <f>IF(Table1[[#This Row],[Is Data Valid]]=TRUE,IF(Table1[[#This Row],[Fetal Sex (Male, Female or Unknown)]]="Male",Backend!$C$6,IF(Table1[[#This Row],[Fetal Sex (Male, Female or Unknown)]]="Female",Backend!$C$7,IF(Table1[[#This Row],[Fetal Sex (Male, Female or Unknown)]]="Unknown",Backend!$C$8,"Error"))),"")</f>
        <v/>
      </c>
      <c r="F5271" s="8" t="str">
        <f>IF(Table1[[#This Row],[Is Data Valid]]=TRUE,EXP(0.578+0.332*((Table1[[#This Row],[Gestation (days)]]+0.5)/7)-0.00354*((Table1[[#This Row],[Gestation (days)]]+0.5)/7)^2)*Table1[[#This Row],[BW40_3705]],"")</f>
        <v/>
      </c>
      <c r="G5271" s="2" t="str">
        <f>IF(Table1[[#This Row],[Is Data Valid]]=TRUE,((Table1[[#This Row],[Birthweight (grams)]]/Table1[[#This Row],[BW_GA]])-1)/(Backend!$B$4/100*Table1[[#This Row],[BW40_3705]]),"")</f>
        <v/>
      </c>
      <c r="H5271" s="7" t="str">
        <f>IF(Table1[[#This Row],[Is Data Valid]]=TRUE,((Table1[[#This Row],[Birthweight (grams)]]*0.9/Table1[[#This Row],[BW_GA]])-1)/(Backend!$B$4/100*Table1[[#This Row],[BW40_3705]]),"")</f>
        <v/>
      </c>
      <c r="I5271" s="7" t="str">
        <f>IF(Table1[[#This Row],[Is Data Valid]]=TRUE,((Table1[[#This Row],[Birthweight (grams)]]*1.1/Table1[[#This Row],[BW_GA]])-1)/(Backend!$B$4/100*Table1[[#This Row],[BW40_3705]]),"")</f>
        <v/>
      </c>
      <c r="J5271" s="7" t="str">
        <f>IF(Table1[[#This Row],[Is Data Valid]]=TRUE,_xlfn.NORM.S.DIST(Table1[[#This Row],[Birthweight Z-Score]],TRUE)*100,"")</f>
        <v/>
      </c>
      <c r="K5271" s="7" t="str">
        <f>IF(Table1[[#This Row],[Is Data Valid]]=TRUE,_xlfn.NORM.S.DIST(Table1[[#This Row],[Birthweight Z-Score (BW-10%)]],TRUE)*100,"")</f>
        <v/>
      </c>
      <c r="L5271" s="7" t="str">
        <f>IF(Table1[[#This Row],[Is Data Valid]]=TRUE,_xlfn.NORM.S.DIST(Table1[[#This Row],[Birthweight Z-Score (BW+10%)]],TRUE)*100,"")</f>
        <v/>
      </c>
    </row>
    <row r="5272" spans="1:12" x14ac:dyDescent="0.35">
      <c r="A5272" s="3"/>
      <c r="B5272" s="2"/>
      <c r="C5272" s="2"/>
      <c r="D5272" s="2" t="b">
        <f>IF(AND(NOT(ISBLANK(Table1[[#This Row],[Fetal Sex (Male, Female or Unknown)]])),ISNUMBER(Table1[[#This Row],[Birthweight (grams)]]),ISNUMBER(Table1[[#This Row],[Gestation (days)]])),TRUE,FALSE)</f>
        <v>0</v>
      </c>
      <c r="E5272" s="2" t="str">
        <f>IF(Table1[[#This Row],[Is Data Valid]]=TRUE,IF(Table1[[#This Row],[Fetal Sex (Male, Female or Unknown)]]="Male",Backend!$C$6,IF(Table1[[#This Row],[Fetal Sex (Male, Female or Unknown)]]="Female",Backend!$C$7,IF(Table1[[#This Row],[Fetal Sex (Male, Female or Unknown)]]="Unknown",Backend!$C$8,"Error"))),"")</f>
        <v/>
      </c>
      <c r="F5272" s="8" t="str">
        <f>IF(Table1[[#This Row],[Is Data Valid]]=TRUE,EXP(0.578+0.332*((Table1[[#This Row],[Gestation (days)]]+0.5)/7)-0.00354*((Table1[[#This Row],[Gestation (days)]]+0.5)/7)^2)*Table1[[#This Row],[BW40_3705]],"")</f>
        <v/>
      </c>
      <c r="G5272" s="2" t="str">
        <f>IF(Table1[[#This Row],[Is Data Valid]]=TRUE,((Table1[[#This Row],[Birthweight (grams)]]/Table1[[#This Row],[BW_GA]])-1)/(Backend!$B$4/100*Table1[[#This Row],[BW40_3705]]),"")</f>
        <v/>
      </c>
      <c r="H5272" s="7" t="str">
        <f>IF(Table1[[#This Row],[Is Data Valid]]=TRUE,((Table1[[#This Row],[Birthweight (grams)]]*0.9/Table1[[#This Row],[BW_GA]])-1)/(Backend!$B$4/100*Table1[[#This Row],[BW40_3705]]),"")</f>
        <v/>
      </c>
      <c r="I5272" s="7" t="str">
        <f>IF(Table1[[#This Row],[Is Data Valid]]=TRUE,((Table1[[#This Row],[Birthweight (grams)]]*1.1/Table1[[#This Row],[BW_GA]])-1)/(Backend!$B$4/100*Table1[[#This Row],[BW40_3705]]),"")</f>
        <v/>
      </c>
      <c r="J5272" s="7" t="str">
        <f>IF(Table1[[#This Row],[Is Data Valid]]=TRUE,_xlfn.NORM.S.DIST(Table1[[#This Row],[Birthweight Z-Score]],TRUE)*100,"")</f>
        <v/>
      </c>
      <c r="K5272" s="7" t="str">
        <f>IF(Table1[[#This Row],[Is Data Valid]]=TRUE,_xlfn.NORM.S.DIST(Table1[[#This Row],[Birthweight Z-Score (BW-10%)]],TRUE)*100,"")</f>
        <v/>
      </c>
      <c r="L5272" s="7" t="str">
        <f>IF(Table1[[#This Row],[Is Data Valid]]=TRUE,_xlfn.NORM.S.DIST(Table1[[#This Row],[Birthweight Z-Score (BW+10%)]],TRUE)*100,"")</f>
        <v/>
      </c>
    </row>
    <row r="5273" spans="1:12" x14ac:dyDescent="0.35">
      <c r="A5273" s="3"/>
      <c r="B5273" s="2"/>
      <c r="C5273" s="2"/>
      <c r="D5273" s="2" t="b">
        <f>IF(AND(NOT(ISBLANK(Table1[[#This Row],[Fetal Sex (Male, Female or Unknown)]])),ISNUMBER(Table1[[#This Row],[Birthweight (grams)]]),ISNUMBER(Table1[[#This Row],[Gestation (days)]])),TRUE,FALSE)</f>
        <v>0</v>
      </c>
      <c r="E5273" s="2" t="str">
        <f>IF(Table1[[#This Row],[Is Data Valid]]=TRUE,IF(Table1[[#This Row],[Fetal Sex (Male, Female or Unknown)]]="Male",Backend!$C$6,IF(Table1[[#This Row],[Fetal Sex (Male, Female or Unknown)]]="Female",Backend!$C$7,IF(Table1[[#This Row],[Fetal Sex (Male, Female or Unknown)]]="Unknown",Backend!$C$8,"Error"))),"")</f>
        <v/>
      </c>
      <c r="F5273" s="8" t="str">
        <f>IF(Table1[[#This Row],[Is Data Valid]]=TRUE,EXP(0.578+0.332*((Table1[[#This Row],[Gestation (days)]]+0.5)/7)-0.00354*((Table1[[#This Row],[Gestation (days)]]+0.5)/7)^2)*Table1[[#This Row],[BW40_3705]],"")</f>
        <v/>
      </c>
      <c r="G5273" s="2" t="str">
        <f>IF(Table1[[#This Row],[Is Data Valid]]=TRUE,((Table1[[#This Row],[Birthweight (grams)]]/Table1[[#This Row],[BW_GA]])-1)/(Backend!$B$4/100*Table1[[#This Row],[BW40_3705]]),"")</f>
        <v/>
      </c>
      <c r="H5273" s="7" t="str">
        <f>IF(Table1[[#This Row],[Is Data Valid]]=TRUE,((Table1[[#This Row],[Birthweight (grams)]]*0.9/Table1[[#This Row],[BW_GA]])-1)/(Backend!$B$4/100*Table1[[#This Row],[BW40_3705]]),"")</f>
        <v/>
      </c>
      <c r="I5273" s="7" t="str">
        <f>IF(Table1[[#This Row],[Is Data Valid]]=TRUE,((Table1[[#This Row],[Birthweight (grams)]]*1.1/Table1[[#This Row],[BW_GA]])-1)/(Backend!$B$4/100*Table1[[#This Row],[BW40_3705]]),"")</f>
        <v/>
      </c>
      <c r="J5273" s="7" t="str">
        <f>IF(Table1[[#This Row],[Is Data Valid]]=TRUE,_xlfn.NORM.S.DIST(Table1[[#This Row],[Birthweight Z-Score]],TRUE)*100,"")</f>
        <v/>
      </c>
      <c r="K5273" s="7" t="str">
        <f>IF(Table1[[#This Row],[Is Data Valid]]=TRUE,_xlfn.NORM.S.DIST(Table1[[#This Row],[Birthweight Z-Score (BW-10%)]],TRUE)*100,"")</f>
        <v/>
      </c>
      <c r="L5273" s="7" t="str">
        <f>IF(Table1[[#This Row],[Is Data Valid]]=TRUE,_xlfn.NORM.S.DIST(Table1[[#This Row],[Birthweight Z-Score (BW+10%)]],TRUE)*100,"")</f>
        <v/>
      </c>
    </row>
    <row r="5274" spans="1:12" x14ac:dyDescent="0.35">
      <c r="A5274" s="3"/>
      <c r="B5274" s="2"/>
      <c r="C5274" s="2"/>
      <c r="D5274" s="2" t="b">
        <f>IF(AND(NOT(ISBLANK(Table1[[#This Row],[Fetal Sex (Male, Female or Unknown)]])),ISNUMBER(Table1[[#This Row],[Birthweight (grams)]]),ISNUMBER(Table1[[#This Row],[Gestation (days)]])),TRUE,FALSE)</f>
        <v>0</v>
      </c>
      <c r="E5274" s="2" t="str">
        <f>IF(Table1[[#This Row],[Is Data Valid]]=TRUE,IF(Table1[[#This Row],[Fetal Sex (Male, Female or Unknown)]]="Male",Backend!$C$6,IF(Table1[[#This Row],[Fetal Sex (Male, Female or Unknown)]]="Female",Backend!$C$7,IF(Table1[[#This Row],[Fetal Sex (Male, Female or Unknown)]]="Unknown",Backend!$C$8,"Error"))),"")</f>
        <v/>
      </c>
      <c r="F5274" s="8" t="str">
        <f>IF(Table1[[#This Row],[Is Data Valid]]=TRUE,EXP(0.578+0.332*((Table1[[#This Row],[Gestation (days)]]+0.5)/7)-0.00354*((Table1[[#This Row],[Gestation (days)]]+0.5)/7)^2)*Table1[[#This Row],[BW40_3705]],"")</f>
        <v/>
      </c>
      <c r="G5274" s="2" t="str">
        <f>IF(Table1[[#This Row],[Is Data Valid]]=TRUE,((Table1[[#This Row],[Birthweight (grams)]]/Table1[[#This Row],[BW_GA]])-1)/(Backend!$B$4/100*Table1[[#This Row],[BW40_3705]]),"")</f>
        <v/>
      </c>
      <c r="H5274" s="7" t="str">
        <f>IF(Table1[[#This Row],[Is Data Valid]]=TRUE,((Table1[[#This Row],[Birthweight (grams)]]*0.9/Table1[[#This Row],[BW_GA]])-1)/(Backend!$B$4/100*Table1[[#This Row],[BW40_3705]]),"")</f>
        <v/>
      </c>
      <c r="I5274" s="7" t="str">
        <f>IF(Table1[[#This Row],[Is Data Valid]]=TRUE,((Table1[[#This Row],[Birthweight (grams)]]*1.1/Table1[[#This Row],[BW_GA]])-1)/(Backend!$B$4/100*Table1[[#This Row],[BW40_3705]]),"")</f>
        <v/>
      </c>
      <c r="J5274" s="7" t="str">
        <f>IF(Table1[[#This Row],[Is Data Valid]]=TRUE,_xlfn.NORM.S.DIST(Table1[[#This Row],[Birthweight Z-Score]],TRUE)*100,"")</f>
        <v/>
      </c>
      <c r="K5274" s="7" t="str">
        <f>IF(Table1[[#This Row],[Is Data Valid]]=TRUE,_xlfn.NORM.S.DIST(Table1[[#This Row],[Birthweight Z-Score (BW-10%)]],TRUE)*100,"")</f>
        <v/>
      </c>
      <c r="L5274" s="7" t="str">
        <f>IF(Table1[[#This Row],[Is Data Valid]]=TRUE,_xlfn.NORM.S.DIST(Table1[[#This Row],[Birthweight Z-Score (BW+10%)]],TRUE)*100,"")</f>
        <v/>
      </c>
    </row>
    <row r="5275" spans="1:12" x14ac:dyDescent="0.35">
      <c r="A5275" s="3"/>
      <c r="B5275" s="2"/>
      <c r="C5275" s="2"/>
      <c r="D5275" s="2" t="b">
        <f>IF(AND(NOT(ISBLANK(Table1[[#This Row],[Fetal Sex (Male, Female or Unknown)]])),ISNUMBER(Table1[[#This Row],[Birthweight (grams)]]),ISNUMBER(Table1[[#This Row],[Gestation (days)]])),TRUE,FALSE)</f>
        <v>0</v>
      </c>
      <c r="E5275" s="2" t="str">
        <f>IF(Table1[[#This Row],[Is Data Valid]]=TRUE,IF(Table1[[#This Row],[Fetal Sex (Male, Female or Unknown)]]="Male",Backend!$C$6,IF(Table1[[#This Row],[Fetal Sex (Male, Female or Unknown)]]="Female",Backend!$C$7,IF(Table1[[#This Row],[Fetal Sex (Male, Female or Unknown)]]="Unknown",Backend!$C$8,"Error"))),"")</f>
        <v/>
      </c>
      <c r="F5275" s="8" t="str">
        <f>IF(Table1[[#This Row],[Is Data Valid]]=TRUE,EXP(0.578+0.332*((Table1[[#This Row],[Gestation (days)]]+0.5)/7)-0.00354*((Table1[[#This Row],[Gestation (days)]]+0.5)/7)^2)*Table1[[#This Row],[BW40_3705]],"")</f>
        <v/>
      </c>
      <c r="G5275" s="2" t="str">
        <f>IF(Table1[[#This Row],[Is Data Valid]]=TRUE,((Table1[[#This Row],[Birthweight (grams)]]/Table1[[#This Row],[BW_GA]])-1)/(Backend!$B$4/100*Table1[[#This Row],[BW40_3705]]),"")</f>
        <v/>
      </c>
      <c r="H5275" s="7" t="str">
        <f>IF(Table1[[#This Row],[Is Data Valid]]=TRUE,((Table1[[#This Row],[Birthweight (grams)]]*0.9/Table1[[#This Row],[BW_GA]])-1)/(Backend!$B$4/100*Table1[[#This Row],[BW40_3705]]),"")</f>
        <v/>
      </c>
      <c r="I5275" s="7" t="str">
        <f>IF(Table1[[#This Row],[Is Data Valid]]=TRUE,((Table1[[#This Row],[Birthweight (grams)]]*1.1/Table1[[#This Row],[BW_GA]])-1)/(Backend!$B$4/100*Table1[[#This Row],[BW40_3705]]),"")</f>
        <v/>
      </c>
      <c r="J5275" s="7" t="str">
        <f>IF(Table1[[#This Row],[Is Data Valid]]=TRUE,_xlfn.NORM.S.DIST(Table1[[#This Row],[Birthweight Z-Score]],TRUE)*100,"")</f>
        <v/>
      </c>
      <c r="K5275" s="7" t="str">
        <f>IF(Table1[[#This Row],[Is Data Valid]]=TRUE,_xlfn.NORM.S.DIST(Table1[[#This Row],[Birthweight Z-Score (BW-10%)]],TRUE)*100,"")</f>
        <v/>
      </c>
      <c r="L5275" s="7" t="str">
        <f>IF(Table1[[#This Row],[Is Data Valid]]=TRUE,_xlfn.NORM.S.DIST(Table1[[#This Row],[Birthweight Z-Score (BW+10%)]],TRUE)*100,"")</f>
        <v/>
      </c>
    </row>
    <row r="5276" spans="1:12" x14ac:dyDescent="0.35">
      <c r="A5276" s="3"/>
      <c r="B5276" s="2"/>
      <c r="C5276" s="2"/>
      <c r="D5276" s="2" t="b">
        <f>IF(AND(NOT(ISBLANK(Table1[[#This Row],[Fetal Sex (Male, Female or Unknown)]])),ISNUMBER(Table1[[#This Row],[Birthweight (grams)]]),ISNUMBER(Table1[[#This Row],[Gestation (days)]])),TRUE,FALSE)</f>
        <v>0</v>
      </c>
      <c r="E5276" s="2" t="str">
        <f>IF(Table1[[#This Row],[Is Data Valid]]=TRUE,IF(Table1[[#This Row],[Fetal Sex (Male, Female or Unknown)]]="Male",Backend!$C$6,IF(Table1[[#This Row],[Fetal Sex (Male, Female or Unknown)]]="Female",Backend!$C$7,IF(Table1[[#This Row],[Fetal Sex (Male, Female or Unknown)]]="Unknown",Backend!$C$8,"Error"))),"")</f>
        <v/>
      </c>
      <c r="F5276" s="8" t="str">
        <f>IF(Table1[[#This Row],[Is Data Valid]]=TRUE,EXP(0.578+0.332*((Table1[[#This Row],[Gestation (days)]]+0.5)/7)-0.00354*((Table1[[#This Row],[Gestation (days)]]+0.5)/7)^2)*Table1[[#This Row],[BW40_3705]],"")</f>
        <v/>
      </c>
      <c r="G5276" s="2" t="str">
        <f>IF(Table1[[#This Row],[Is Data Valid]]=TRUE,((Table1[[#This Row],[Birthweight (grams)]]/Table1[[#This Row],[BW_GA]])-1)/(Backend!$B$4/100*Table1[[#This Row],[BW40_3705]]),"")</f>
        <v/>
      </c>
      <c r="H5276" s="7" t="str">
        <f>IF(Table1[[#This Row],[Is Data Valid]]=TRUE,((Table1[[#This Row],[Birthweight (grams)]]*0.9/Table1[[#This Row],[BW_GA]])-1)/(Backend!$B$4/100*Table1[[#This Row],[BW40_3705]]),"")</f>
        <v/>
      </c>
      <c r="I5276" s="7" t="str">
        <f>IF(Table1[[#This Row],[Is Data Valid]]=TRUE,((Table1[[#This Row],[Birthweight (grams)]]*1.1/Table1[[#This Row],[BW_GA]])-1)/(Backend!$B$4/100*Table1[[#This Row],[BW40_3705]]),"")</f>
        <v/>
      </c>
      <c r="J5276" s="7" t="str">
        <f>IF(Table1[[#This Row],[Is Data Valid]]=TRUE,_xlfn.NORM.S.DIST(Table1[[#This Row],[Birthweight Z-Score]],TRUE)*100,"")</f>
        <v/>
      </c>
      <c r="K5276" s="7" t="str">
        <f>IF(Table1[[#This Row],[Is Data Valid]]=TRUE,_xlfn.NORM.S.DIST(Table1[[#This Row],[Birthweight Z-Score (BW-10%)]],TRUE)*100,"")</f>
        <v/>
      </c>
      <c r="L5276" s="7" t="str">
        <f>IF(Table1[[#This Row],[Is Data Valid]]=TRUE,_xlfn.NORM.S.DIST(Table1[[#This Row],[Birthweight Z-Score (BW+10%)]],TRUE)*100,"")</f>
        <v/>
      </c>
    </row>
    <row r="5277" spans="1:12" x14ac:dyDescent="0.35">
      <c r="A5277" s="3"/>
      <c r="B5277" s="2"/>
      <c r="C5277" s="2"/>
      <c r="D5277" s="2" t="b">
        <f>IF(AND(NOT(ISBLANK(Table1[[#This Row],[Fetal Sex (Male, Female or Unknown)]])),ISNUMBER(Table1[[#This Row],[Birthweight (grams)]]),ISNUMBER(Table1[[#This Row],[Gestation (days)]])),TRUE,FALSE)</f>
        <v>0</v>
      </c>
      <c r="E5277" s="2" t="str">
        <f>IF(Table1[[#This Row],[Is Data Valid]]=TRUE,IF(Table1[[#This Row],[Fetal Sex (Male, Female or Unknown)]]="Male",Backend!$C$6,IF(Table1[[#This Row],[Fetal Sex (Male, Female or Unknown)]]="Female",Backend!$C$7,IF(Table1[[#This Row],[Fetal Sex (Male, Female or Unknown)]]="Unknown",Backend!$C$8,"Error"))),"")</f>
        <v/>
      </c>
      <c r="F5277" s="8" t="str">
        <f>IF(Table1[[#This Row],[Is Data Valid]]=TRUE,EXP(0.578+0.332*((Table1[[#This Row],[Gestation (days)]]+0.5)/7)-0.00354*((Table1[[#This Row],[Gestation (days)]]+0.5)/7)^2)*Table1[[#This Row],[BW40_3705]],"")</f>
        <v/>
      </c>
      <c r="G5277" s="2" t="str">
        <f>IF(Table1[[#This Row],[Is Data Valid]]=TRUE,((Table1[[#This Row],[Birthweight (grams)]]/Table1[[#This Row],[BW_GA]])-1)/(Backend!$B$4/100*Table1[[#This Row],[BW40_3705]]),"")</f>
        <v/>
      </c>
      <c r="H5277" s="7" t="str">
        <f>IF(Table1[[#This Row],[Is Data Valid]]=TRUE,((Table1[[#This Row],[Birthweight (grams)]]*0.9/Table1[[#This Row],[BW_GA]])-1)/(Backend!$B$4/100*Table1[[#This Row],[BW40_3705]]),"")</f>
        <v/>
      </c>
      <c r="I5277" s="7" t="str">
        <f>IF(Table1[[#This Row],[Is Data Valid]]=TRUE,((Table1[[#This Row],[Birthweight (grams)]]*1.1/Table1[[#This Row],[BW_GA]])-1)/(Backend!$B$4/100*Table1[[#This Row],[BW40_3705]]),"")</f>
        <v/>
      </c>
      <c r="J5277" s="7" t="str">
        <f>IF(Table1[[#This Row],[Is Data Valid]]=TRUE,_xlfn.NORM.S.DIST(Table1[[#This Row],[Birthweight Z-Score]],TRUE)*100,"")</f>
        <v/>
      </c>
      <c r="K5277" s="7" t="str">
        <f>IF(Table1[[#This Row],[Is Data Valid]]=TRUE,_xlfn.NORM.S.DIST(Table1[[#This Row],[Birthweight Z-Score (BW-10%)]],TRUE)*100,"")</f>
        <v/>
      </c>
      <c r="L5277" s="7" t="str">
        <f>IF(Table1[[#This Row],[Is Data Valid]]=TRUE,_xlfn.NORM.S.DIST(Table1[[#This Row],[Birthweight Z-Score (BW+10%)]],TRUE)*100,"")</f>
        <v/>
      </c>
    </row>
    <row r="5278" spans="1:12" x14ac:dyDescent="0.35">
      <c r="A5278" s="3"/>
      <c r="B5278" s="2"/>
      <c r="C5278" s="2"/>
      <c r="D5278" s="2" t="b">
        <f>IF(AND(NOT(ISBLANK(Table1[[#This Row],[Fetal Sex (Male, Female or Unknown)]])),ISNUMBER(Table1[[#This Row],[Birthweight (grams)]]),ISNUMBER(Table1[[#This Row],[Gestation (days)]])),TRUE,FALSE)</f>
        <v>0</v>
      </c>
      <c r="E5278" s="2" t="str">
        <f>IF(Table1[[#This Row],[Is Data Valid]]=TRUE,IF(Table1[[#This Row],[Fetal Sex (Male, Female or Unknown)]]="Male",Backend!$C$6,IF(Table1[[#This Row],[Fetal Sex (Male, Female or Unknown)]]="Female",Backend!$C$7,IF(Table1[[#This Row],[Fetal Sex (Male, Female or Unknown)]]="Unknown",Backend!$C$8,"Error"))),"")</f>
        <v/>
      </c>
      <c r="F5278" s="8" t="str">
        <f>IF(Table1[[#This Row],[Is Data Valid]]=TRUE,EXP(0.578+0.332*((Table1[[#This Row],[Gestation (days)]]+0.5)/7)-0.00354*((Table1[[#This Row],[Gestation (days)]]+0.5)/7)^2)*Table1[[#This Row],[BW40_3705]],"")</f>
        <v/>
      </c>
      <c r="G5278" s="2" t="str">
        <f>IF(Table1[[#This Row],[Is Data Valid]]=TRUE,((Table1[[#This Row],[Birthweight (grams)]]/Table1[[#This Row],[BW_GA]])-1)/(Backend!$B$4/100*Table1[[#This Row],[BW40_3705]]),"")</f>
        <v/>
      </c>
      <c r="H5278" s="7" t="str">
        <f>IF(Table1[[#This Row],[Is Data Valid]]=TRUE,((Table1[[#This Row],[Birthweight (grams)]]*0.9/Table1[[#This Row],[BW_GA]])-1)/(Backend!$B$4/100*Table1[[#This Row],[BW40_3705]]),"")</f>
        <v/>
      </c>
      <c r="I5278" s="7" t="str">
        <f>IF(Table1[[#This Row],[Is Data Valid]]=TRUE,((Table1[[#This Row],[Birthweight (grams)]]*1.1/Table1[[#This Row],[BW_GA]])-1)/(Backend!$B$4/100*Table1[[#This Row],[BW40_3705]]),"")</f>
        <v/>
      </c>
      <c r="J5278" s="7" t="str">
        <f>IF(Table1[[#This Row],[Is Data Valid]]=TRUE,_xlfn.NORM.S.DIST(Table1[[#This Row],[Birthweight Z-Score]],TRUE)*100,"")</f>
        <v/>
      </c>
      <c r="K5278" s="7" t="str">
        <f>IF(Table1[[#This Row],[Is Data Valid]]=TRUE,_xlfn.NORM.S.DIST(Table1[[#This Row],[Birthweight Z-Score (BW-10%)]],TRUE)*100,"")</f>
        <v/>
      </c>
      <c r="L5278" s="7" t="str">
        <f>IF(Table1[[#This Row],[Is Data Valid]]=TRUE,_xlfn.NORM.S.DIST(Table1[[#This Row],[Birthweight Z-Score (BW+10%)]],TRUE)*100,"")</f>
        <v/>
      </c>
    </row>
    <row r="5279" spans="1:12" x14ac:dyDescent="0.35">
      <c r="A5279" s="3"/>
      <c r="B5279" s="2"/>
      <c r="C5279" s="2"/>
      <c r="D5279" s="2" t="b">
        <f>IF(AND(NOT(ISBLANK(Table1[[#This Row],[Fetal Sex (Male, Female or Unknown)]])),ISNUMBER(Table1[[#This Row],[Birthweight (grams)]]),ISNUMBER(Table1[[#This Row],[Gestation (days)]])),TRUE,FALSE)</f>
        <v>0</v>
      </c>
      <c r="E5279" s="2" t="str">
        <f>IF(Table1[[#This Row],[Is Data Valid]]=TRUE,IF(Table1[[#This Row],[Fetal Sex (Male, Female or Unknown)]]="Male",Backend!$C$6,IF(Table1[[#This Row],[Fetal Sex (Male, Female or Unknown)]]="Female",Backend!$C$7,IF(Table1[[#This Row],[Fetal Sex (Male, Female or Unknown)]]="Unknown",Backend!$C$8,"Error"))),"")</f>
        <v/>
      </c>
      <c r="F5279" s="8" t="str">
        <f>IF(Table1[[#This Row],[Is Data Valid]]=TRUE,EXP(0.578+0.332*((Table1[[#This Row],[Gestation (days)]]+0.5)/7)-0.00354*((Table1[[#This Row],[Gestation (days)]]+0.5)/7)^2)*Table1[[#This Row],[BW40_3705]],"")</f>
        <v/>
      </c>
      <c r="G5279" s="2" t="str">
        <f>IF(Table1[[#This Row],[Is Data Valid]]=TRUE,((Table1[[#This Row],[Birthweight (grams)]]/Table1[[#This Row],[BW_GA]])-1)/(Backend!$B$4/100*Table1[[#This Row],[BW40_3705]]),"")</f>
        <v/>
      </c>
      <c r="H5279" s="7" t="str">
        <f>IF(Table1[[#This Row],[Is Data Valid]]=TRUE,((Table1[[#This Row],[Birthweight (grams)]]*0.9/Table1[[#This Row],[BW_GA]])-1)/(Backend!$B$4/100*Table1[[#This Row],[BW40_3705]]),"")</f>
        <v/>
      </c>
      <c r="I5279" s="7" t="str">
        <f>IF(Table1[[#This Row],[Is Data Valid]]=TRUE,((Table1[[#This Row],[Birthweight (grams)]]*1.1/Table1[[#This Row],[BW_GA]])-1)/(Backend!$B$4/100*Table1[[#This Row],[BW40_3705]]),"")</f>
        <v/>
      </c>
      <c r="J5279" s="7" t="str">
        <f>IF(Table1[[#This Row],[Is Data Valid]]=TRUE,_xlfn.NORM.S.DIST(Table1[[#This Row],[Birthweight Z-Score]],TRUE)*100,"")</f>
        <v/>
      </c>
      <c r="K5279" s="7" t="str">
        <f>IF(Table1[[#This Row],[Is Data Valid]]=TRUE,_xlfn.NORM.S.DIST(Table1[[#This Row],[Birthweight Z-Score (BW-10%)]],TRUE)*100,"")</f>
        <v/>
      </c>
      <c r="L5279" s="7" t="str">
        <f>IF(Table1[[#This Row],[Is Data Valid]]=TRUE,_xlfn.NORM.S.DIST(Table1[[#This Row],[Birthweight Z-Score (BW+10%)]],TRUE)*100,"")</f>
        <v/>
      </c>
    </row>
    <row r="5280" spans="1:12" x14ac:dyDescent="0.35">
      <c r="A5280" s="3"/>
      <c r="B5280" s="2"/>
      <c r="C5280" s="2"/>
      <c r="D5280" s="2" t="b">
        <f>IF(AND(NOT(ISBLANK(Table1[[#This Row],[Fetal Sex (Male, Female or Unknown)]])),ISNUMBER(Table1[[#This Row],[Birthweight (grams)]]),ISNUMBER(Table1[[#This Row],[Gestation (days)]])),TRUE,FALSE)</f>
        <v>0</v>
      </c>
      <c r="E5280" s="2" t="str">
        <f>IF(Table1[[#This Row],[Is Data Valid]]=TRUE,IF(Table1[[#This Row],[Fetal Sex (Male, Female or Unknown)]]="Male",Backend!$C$6,IF(Table1[[#This Row],[Fetal Sex (Male, Female or Unknown)]]="Female",Backend!$C$7,IF(Table1[[#This Row],[Fetal Sex (Male, Female or Unknown)]]="Unknown",Backend!$C$8,"Error"))),"")</f>
        <v/>
      </c>
      <c r="F5280" s="8" t="str">
        <f>IF(Table1[[#This Row],[Is Data Valid]]=TRUE,EXP(0.578+0.332*((Table1[[#This Row],[Gestation (days)]]+0.5)/7)-0.00354*((Table1[[#This Row],[Gestation (days)]]+0.5)/7)^2)*Table1[[#This Row],[BW40_3705]],"")</f>
        <v/>
      </c>
      <c r="G5280" s="2" t="str">
        <f>IF(Table1[[#This Row],[Is Data Valid]]=TRUE,((Table1[[#This Row],[Birthweight (grams)]]/Table1[[#This Row],[BW_GA]])-1)/(Backend!$B$4/100*Table1[[#This Row],[BW40_3705]]),"")</f>
        <v/>
      </c>
      <c r="H5280" s="7" t="str">
        <f>IF(Table1[[#This Row],[Is Data Valid]]=TRUE,((Table1[[#This Row],[Birthweight (grams)]]*0.9/Table1[[#This Row],[BW_GA]])-1)/(Backend!$B$4/100*Table1[[#This Row],[BW40_3705]]),"")</f>
        <v/>
      </c>
      <c r="I5280" s="7" t="str">
        <f>IF(Table1[[#This Row],[Is Data Valid]]=TRUE,((Table1[[#This Row],[Birthweight (grams)]]*1.1/Table1[[#This Row],[BW_GA]])-1)/(Backend!$B$4/100*Table1[[#This Row],[BW40_3705]]),"")</f>
        <v/>
      </c>
      <c r="J5280" s="7" t="str">
        <f>IF(Table1[[#This Row],[Is Data Valid]]=TRUE,_xlfn.NORM.S.DIST(Table1[[#This Row],[Birthweight Z-Score]],TRUE)*100,"")</f>
        <v/>
      </c>
      <c r="K5280" s="7" t="str">
        <f>IF(Table1[[#This Row],[Is Data Valid]]=TRUE,_xlfn.NORM.S.DIST(Table1[[#This Row],[Birthweight Z-Score (BW-10%)]],TRUE)*100,"")</f>
        <v/>
      </c>
      <c r="L5280" s="7" t="str">
        <f>IF(Table1[[#This Row],[Is Data Valid]]=TRUE,_xlfn.NORM.S.DIST(Table1[[#This Row],[Birthweight Z-Score (BW+10%)]],TRUE)*100,"")</f>
        <v/>
      </c>
    </row>
    <row r="5281" spans="1:12" x14ac:dyDescent="0.35">
      <c r="A5281" s="3"/>
      <c r="B5281" s="2"/>
      <c r="C5281" s="2"/>
      <c r="D5281" s="2" t="b">
        <f>IF(AND(NOT(ISBLANK(Table1[[#This Row],[Fetal Sex (Male, Female or Unknown)]])),ISNUMBER(Table1[[#This Row],[Birthweight (grams)]]),ISNUMBER(Table1[[#This Row],[Gestation (days)]])),TRUE,FALSE)</f>
        <v>0</v>
      </c>
      <c r="E5281" s="2" t="str">
        <f>IF(Table1[[#This Row],[Is Data Valid]]=TRUE,IF(Table1[[#This Row],[Fetal Sex (Male, Female or Unknown)]]="Male",Backend!$C$6,IF(Table1[[#This Row],[Fetal Sex (Male, Female or Unknown)]]="Female",Backend!$C$7,IF(Table1[[#This Row],[Fetal Sex (Male, Female or Unknown)]]="Unknown",Backend!$C$8,"Error"))),"")</f>
        <v/>
      </c>
      <c r="F5281" s="8" t="str">
        <f>IF(Table1[[#This Row],[Is Data Valid]]=TRUE,EXP(0.578+0.332*((Table1[[#This Row],[Gestation (days)]]+0.5)/7)-0.00354*((Table1[[#This Row],[Gestation (days)]]+0.5)/7)^2)*Table1[[#This Row],[BW40_3705]],"")</f>
        <v/>
      </c>
      <c r="G5281" s="2" t="str">
        <f>IF(Table1[[#This Row],[Is Data Valid]]=TRUE,((Table1[[#This Row],[Birthweight (grams)]]/Table1[[#This Row],[BW_GA]])-1)/(Backend!$B$4/100*Table1[[#This Row],[BW40_3705]]),"")</f>
        <v/>
      </c>
      <c r="H5281" s="7" t="str">
        <f>IF(Table1[[#This Row],[Is Data Valid]]=TRUE,((Table1[[#This Row],[Birthweight (grams)]]*0.9/Table1[[#This Row],[BW_GA]])-1)/(Backend!$B$4/100*Table1[[#This Row],[BW40_3705]]),"")</f>
        <v/>
      </c>
      <c r="I5281" s="7" t="str">
        <f>IF(Table1[[#This Row],[Is Data Valid]]=TRUE,((Table1[[#This Row],[Birthweight (grams)]]*1.1/Table1[[#This Row],[BW_GA]])-1)/(Backend!$B$4/100*Table1[[#This Row],[BW40_3705]]),"")</f>
        <v/>
      </c>
      <c r="J5281" s="7" t="str">
        <f>IF(Table1[[#This Row],[Is Data Valid]]=TRUE,_xlfn.NORM.S.DIST(Table1[[#This Row],[Birthweight Z-Score]],TRUE)*100,"")</f>
        <v/>
      </c>
      <c r="K5281" s="7" t="str">
        <f>IF(Table1[[#This Row],[Is Data Valid]]=TRUE,_xlfn.NORM.S.DIST(Table1[[#This Row],[Birthweight Z-Score (BW-10%)]],TRUE)*100,"")</f>
        <v/>
      </c>
      <c r="L5281" s="7" t="str">
        <f>IF(Table1[[#This Row],[Is Data Valid]]=TRUE,_xlfn.NORM.S.DIST(Table1[[#This Row],[Birthweight Z-Score (BW+10%)]],TRUE)*100,"")</f>
        <v/>
      </c>
    </row>
    <row r="5282" spans="1:12" x14ac:dyDescent="0.35">
      <c r="A5282" s="3"/>
      <c r="B5282" s="2"/>
      <c r="C5282" s="2"/>
      <c r="D5282" s="2" t="b">
        <f>IF(AND(NOT(ISBLANK(Table1[[#This Row],[Fetal Sex (Male, Female or Unknown)]])),ISNUMBER(Table1[[#This Row],[Birthweight (grams)]]),ISNUMBER(Table1[[#This Row],[Gestation (days)]])),TRUE,FALSE)</f>
        <v>0</v>
      </c>
      <c r="E5282" s="2" t="str">
        <f>IF(Table1[[#This Row],[Is Data Valid]]=TRUE,IF(Table1[[#This Row],[Fetal Sex (Male, Female or Unknown)]]="Male",Backend!$C$6,IF(Table1[[#This Row],[Fetal Sex (Male, Female or Unknown)]]="Female",Backend!$C$7,IF(Table1[[#This Row],[Fetal Sex (Male, Female or Unknown)]]="Unknown",Backend!$C$8,"Error"))),"")</f>
        <v/>
      </c>
      <c r="F5282" s="8" t="str">
        <f>IF(Table1[[#This Row],[Is Data Valid]]=TRUE,EXP(0.578+0.332*((Table1[[#This Row],[Gestation (days)]]+0.5)/7)-0.00354*((Table1[[#This Row],[Gestation (days)]]+0.5)/7)^2)*Table1[[#This Row],[BW40_3705]],"")</f>
        <v/>
      </c>
      <c r="G5282" s="2" t="str">
        <f>IF(Table1[[#This Row],[Is Data Valid]]=TRUE,((Table1[[#This Row],[Birthweight (grams)]]/Table1[[#This Row],[BW_GA]])-1)/(Backend!$B$4/100*Table1[[#This Row],[BW40_3705]]),"")</f>
        <v/>
      </c>
      <c r="H5282" s="7" t="str">
        <f>IF(Table1[[#This Row],[Is Data Valid]]=TRUE,((Table1[[#This Row],[Birthweight (grams)]]*0.9/Table1[[#This Row],[BW_GA]])-1)/(Backend!$B$4/100*Table1[[#This Row],[BW40_3705]]),"")</f>
        <v/>
      </c>
      <c r="I5282" s="7" t="str">
        <f>IF(Table1[[#This Row],[Is Data Valid]]=TRUE,((Table1[[#This Row],[Birthweight (grams)]]*1.1/Table1[[#This Row],[BW_GA]])-1)/(Backend!$B$4/100*Table1[[#This Row],[BW40_3705]]),"")</f>
        <v/>
      </c>
      <c r="J5282" s="7" t="str">
        <f>IF(Table1[[#This Row],[Is Data Valid]]=TRUE,_xlfn.NORM.S.DIST(Table1[[#This Row],[Birthweight Z-Score]],TRUE)*100,"")</f>
        <v/>
      </c>
      <c r="K5282" s="7" t="str">
        <f>IF(Table1[[#This Row],[Is Data Valid]]=TRUE,_xlfn.NORM.S.DIST(Table1[[#This Row],[Birthweight Z-Score (BW-10%)]],TRUE)*100,"")</f>
        <v/>
      </c>
      <c r="L5282" s="7" t="str">
        <f>IF(Table1[[#This Row],[Is Data Valid]]=TRUE,_xlfn.NORM.S.DIST(Table1[[#This Row],[Birthweight Z-Score (BW+10%)]],TRUE)*100,"")</f>
        <v/>
      </c>
    </row>
    <row r="5283" spans="1:12" x14ac:dyDescent="0.35">
      <c r="A5283" s="3"/>
      <c r="B5283" s="2"/>
      <c r="C5283" s="2"/>
      <c r="D5283" s="2" t="b">
        <f>IF(AND(NOT(ISBLANK(Table1[[#This Row],[Fetal Sex (Male, Female or Unknown)]])),ISNUMBER(Table1[[#This Row],[Birthweight (grams)]]),ISNUMBER(Table1[[#This Row],[Gestation (days)]])),TRUE,FALSE)</f>
        <v>0</v>
      </c>
      <c r="E5283" s="2" t="str">
        <f>IF(Table1[[#This Row],[Is Data Valid]]=TRUE,IF(Table1[[#This Row],[Fetal Sex (Male, Female or Unknown)]]="Male",Backend!$C$6,IF(Table1[[#This Row],[Fetal Sex (Male, Female or Unknown)]]="Female",Backend!$C$7,IF(Table1[[#This Row],[Fetal Sex (Male, Female or Unknown)]]="Unknown",Backend!$C$8,"Error"))),"")</f>
        <v/>
      </c>
      <c r="F5283" s="8" t="str">
        <f>IF(Table1[[#This Row],[Is Data Valid]]=TRUE,EXP(0.578+0.332*((Table1[[#This Row],[Gestation (days)]]+0.5)/7)-0.00354*((Table1[[#This Row],[Gestation (days)]]+0.5)/7)^2)*Table1[[#This Row],[BW40_3705]],"")</f>
        <v/>
      </c>
      <c r="G5283" s="2" t="str">
        <f>IF(Table1[[#This Row],[Is Data Valid]]=TRUE,((Table1[[#This Row],[Birthweight (grams)]]/Table1[[#This Row],[BW_GA]])-1)/(Backend!$B$4/100*Table1[[#This Row],[BW40_3705]]),"")</f>
        <v/>
      </c>
      <c r="H5283" s="7" t="str">
        <f>IF(Table1[[#This Row],[Is Data Valid]]=TRUE,((Table1[[#This Row],[Birthweight (grams)]]*0.9/Table1[[#This Row],[BW_GA]])-1)/(Backend!$B$4/100*Table1[[#This Row],[BW40_3705]]),"")</f>
        <v/>
      </c>
      <c r="I5283" s="7" t="str">
        <f>IF(Table1[[#This Row],[Is Data Valid]]=TRUE,((Table1[[#This Row],[Birthweight (grams)]]*1.1/Table1[[#This Row],[BW_GA]])-1)/(Backend!$B$4/100*Table1[[#This Row],[BW40_3705]]),"")</f>
        <v/>
      </c>
      <c r="J5283" s="7" t="str">
        <f>IF(Table1[[#This Row],[Is Data Valid]]=TRUE,_xlfn.NORM.S.DIST(Table1[[#This Row],[Birthweight Z-Score]],TRUE)*100,"")</f>
        <v/>
      </c>
      <c r="K5283" s="7" t="str">
        <f>IF(Table1[[#This Row],[Is Data Valid]]=TRUE,_xlfn.NORM.S.DIST(Table1[[#This Row],[Birthweight Z-Score (BW-10%)]],TRUE)*100,"")</f>
        <v/>
      </c>
      <c r="L5283" s="7" t="str">
        <f>IF(Table1[[#This Row],[Is Data Valid]]=TRUE,_xlfn.NORM.S.DIST(Table1[[#This Row],[Birthweight Z-Score (BW+10%)]],TRUE)*100,"")</f>
        <v/>
      </c>
    </row>
    <row r="5284" spans="1:12" x14ac:dyDescent="0.35">
      <c r="A5284" s="3"/>
      <c r="B5284" s="2"/>
      <c r="C5284" s="2"/>
      <c r="D5284" s="2" t="b">
        <f>IF(AND(NOT(ISBLANK(Table1[[#This Row],[Fetal Sex (Male, Female or Unknown)]])),ISNUMBER(Table1[[#This Row],[Birthweight (grams)]]),ISNUMBER(Table1[[#This Row],[Gestation (days)]])),TRUE,FALSE)</f>
        <v>0</v>
      </c>
      <c r="E5284" s="2" t="str">
        <f>IF(Table1[[#This Row],[Is Data Valid]]=TRUE,IF(Table1[[#This Row],[Fetal Sex (Male, Female or Unknown)]]="Male",Backend!$C$6,IF(Table1[[#This Row],[Fetal Sex (Male, Female or Unknown)]]="Female",Backend!$C$7,IF(Table1[[#This Row],[Fetal Sex (Male, Female or Unknown)]]="Unknown",Backend!$C$8,"Error"))),"")</f>
        <v/>
      </c>
      <c r="F5284" s="8" t="str">
        <f>IF(Table1[[#This Row],[Is Data Valid]]=TRUE,EXP(0.578+0.332*((Table1[[#This Row],[Gestation (days)]]+0.5)/7)-0.00354*((Table1[[#This Row],[Gestation (days)]]+0.5)/7)^2)*Table1[[#This Row],[BW40_3705]],"")</f>
        <v/>
      </c>
      <c r="G5284" s="2" t="str">
        <f>IF(Table1[[#This Row],[Is Data Valid]]=TRUE,((Table1[[#This Row],[Birthweight (grams)]]/Table1[[#This Row],[BW_GA]])-1)/(Backend!$B$4/100*Table1[[#This Row],[BW40_3705]]),"")</f>
        <v/>
      </c>
      <c r="H5284" s="7" t="str">
        <f>IF(Table1[[#This Row],[Is Data Valid]]=TRUE,((Table1[[#This Row],[Birthweight (grams)]]*0.9/Table1[[#This Row],[BW_GA]])-1)/(Backend!$B$4/100*Table1[[#This Row],[BW40_3705]]),"")</f>
        <v/>
      </c>
      <c r="I5284" s="7" t="str">
        <f>IF(Table1[[#This Row],[Is Data Valid]]=TRUE,((Table1[[#This Row],[Birthweight (grams)]]*1.1/Table1[[#This Row],[BW_GA]])-1)/(Backend!$B$4/100*Table1[[#This Row],[BW40_3705]]),"")</f>
        <v/>
      </c>
      <c r="J5284" s="7" t="str">
        <f>IF(Table1[[#This Row],[Is Data Valid]]=TRUE,_xlfn.NORM.S.DIST(Table1[[#This Row],[Birthweight Z-Score]],TRUE)*100,"")</f>
        <v/>
      </c>
      <c r="K5284" s="7" t="str">
        <f>IF(Table1[[#This Row],[Is Data Valid]]=TRUE,_xlfn.NORM.S.DIST(Table1[[#This Row],[Birthweight Z-Score (BW-10%)]],TRUE)*100,"")</f>
        <v/>
      </c>
      <c r="L5284" s="7" t="str">
        <f>IF(Table1[[#This Row],[Is Data Valid]]=TRUE,_xlfn.NORM.S.DIST(Table1[[#This Row],[Birthweight Z-Score (BW+10%)]],TRUE)*100,"")</f>
        <v/>
      </c>
    </row>
    <row r="5285" spans="1:12" x14ac:dyDescent="0.35">
      <c r="A5285" s="3"/>
      <c r="B5285" s="2"/>
      <c r="C5285" s="2"/>
      <c r="D5285" s="2" t="b">
        <f>IF(AND(NOT(ISBLANK(Table1[[#This Row],[Fetal Sex (Male, Female or Unknown)]])),ISNUMBER(Table1[[#This Row],[Birthweight (grams)]]),ISNUMBER(Table1[[#This Row],[Gestation (days)]])),TRUE,FALSE)</f>
        <v>0</v>
      </c>
      <c r="E5285" s="2" t="str">
        <f>IF(Table1[[#This Row],[Is Data Valid]]=TRUE,IF(Table1[[#This Row],[Fetal Sex (Male, Female or Unknown)]]="Male",Backend!$C$6,IF(Table1[[#This Row],[Fetal Sex (Male, Female or Unknown)]]="Female",Backend!$C$7,IF(Table1[[#This Row],[Fetal Sex (Male, Female or Unknown)]]="Unknown",Backend!$C$8,"Error"))),"")</f>
        <v/>
      </c>
      <c r="F5285" s="8" t="str">
        <f>IF(Table1[[#This Row],[Is Data Valid]]=TRUE,EXP(0.578+0.332*((Table1[[#This Row],[Gestation (days)]]+0.5)/7)-0.00354*((Table1[[#This Row],[Gestation (days)]]+0.5)/7)^2)*Table1[[#This Row],[BW40_3705]],"")</f>
        <v/>
      </c>
      <c r="G5285" s="2" t="str">
        <f>IF(Table1[[#This Row],[Is Data Valid]]=TRUE,((Table1[[#This Row],[Birthweight (grams)]]/Table1[[#This Row],[BW_GA]])-1)/(Backend!$B$4/100*Table1[[#This Row],[BW40_3705]]),"")</f>
        <v/>
      </c>
      <c r="H5285" s="7" t="str">
        <f>IF(Table1[[#This Row],[Is Data Valid]]=TRUE,((Table1[[#This Row],[Birthweight (grams)]]*0.9/Table1[[#This Row],[BW_GA]])-1)/(Backend!$B$4/100*Table1[[#This Row],[BW40_3705]]),"")</f>
        <v/>
      </c>
      <c r="I5285" s="7" t="str">
        <f>IF(Table1[[#This Row],[Is Data Valid]]=TRUE,((Table1[[#This Row],[Birthweight (grams)]]*1.1/Table1[[#This Row],[BW_GA]])-1)/(Backend!$B$4/100*Table1[[#This Row],[BW40_3705]]),"")</f>
        <v/>
      </c>
      <c r="J5285" s="7" t="str">
        <f>IF(Table1[[#This Row],[Is Data Valid]]=TRUE,_xlfn.NORM.S.DIST(Table1[[#This Row],[Birthweight Z-Score]],TRUE)*100,"")</f>
        <v/>
      </c>
      <c r="K5285" s="7" t="str">
        <f>IF(Table1[[#This Row],[Is Data Valid]]=TRUE,_xlfn.NORM.S.DIST(Table1[[#This Row],[Birthweight Z-Score (BW-10%)]],TRUE)*100,"")</f>
        <v/>
      </c>
      <c r="L5285" s="7" t="str">
        <f>IF(Table1[[#This Row],[Is Data Valid]]=TRUE,_xlfn.NORM.S.DIST(Table1[[#This Row],[Birthweight Z-Score (BW+10%)]],TRUE)*100,"")</f>
        <v/>
      </c>
    </row>
    <row r="5286" spans="1:12" x14ac:dyDescent="0.35">
      <c r="A5286" s="3"/>
      <c r="B5286" s="2"/>
      <c r="C5286" s="2"/>
      <c r="D5286" s="2" t="b">
        <f>IF(AND(NOT(ISBLANK(Table1[[#This Row],[Fetal Sex (Male, Female or Unknown)]])),ISNUMBER(Table1[[#This Row],[Birthweight (grams)]]),ISNUMBER(Table1[[#This Row],[Gestation (days)]])),TRUE,FALSE)</f>
        <v>0</v>
      </c>
      <c r="E5286" s="2" t="str">
        <f>IF(Table1[[#This Row],[Is Data Valid]]=TRUE,IF(Table1[[#This Row],[Fetal Sex (Male, Female or Unknown)]]="Male",Backend!$C$6,IF(Table1[[#This Row],[Fetal Sex (Male, Female or Unknown)]]="Female",Backend!$C$7,IF(Table1[[#This Row],[Fetal Sex (Male, Female or Unknown)]]="Unknown",Backend!$C$8,"Error"))),"")</f>
        <v/>
      </c>
      <c r="F5286" s="8" t="str">
        <f>IF(Table1[[#This Row],[Is Data Valid]]=TRUE,EXP(0.578+0.332*((Table1[[#This Row],[Gestation (days)]]+0.5)/7)-0.00354*((Table1[[#This Row],[Gestation (days)]]+0.5)/7)^2)*Table1[[#This Row],[BW40_3705]],"")</f>
        <v/>
      </c>
      <c r="G5286" s="2" t="str">
        <f>IF(Table1[[#This Row],[Is Data Valid]]=TRUE,((Table1[[#This Row],[Birthweight (grams)]]/Table1[[#This Row],[BW_GA]])-1)/(Backend!$B$4/100*Table1[[#This Row],[BW40_3705]]),"")</f>
        <v/>
      </c>
      <c r="H5286" s="7" t="str">
        <f>IF(Table1[[#This Row],[Is Data Valid]]=TRUE,((Table1[[#This Row],[Birthweight (grams)]]*0.9/Table1[[#This Row],[BW_GA]])-1)/(Backend!$B$4/100*Table1[[#This Row],[BW40_3705]]),"")</f>
        <v/>
      </c>
      <c r="I5286" s="7" t="str">
        <f>IF(Table1[[#This Row],[Is Data Valid]]=TRUE,((Table1[[#This Row],[Birthweight (grams)]]*1.1/Table1[[#This Row],[BW_GA]])-1)/(Backend!$B$4/100*Table1[[#This Row],[BW40_3705]]),"")</f>
        <v/>
      </c>
      <c r="J5286" s="7" t="str">
        <f>IF(Table1[[#This Row],[Is Data Valid]]=TRUE,_xlfn.NORM.S.DIST(Table1[[#This Row],[Birthweight Z-Score]],TRUE)*100,"")</f>
        <v/>
      </c>
      <c r="K5286" s="7" t="str">
        <f>IF(Table1[[#This Row],[Is Data Valid]]=TRUE,_xlfn.NORM.S.DIST(Table1[[#This Row],[Birthweight Z-Score (BW-10%)]],TRUE)*100,"")</f>
        <v/>
      </c>
      <c r="L5286" s="7" t="str">
        <f>IF(Table1[[#This Row],[Is Data Valid]]=TRUE,_xlfn.NORM.S.DIST(Table1[[#This Row],[Birthweight Z-Score (BW+10%)]],TRUE)*100,"")</f>
        <v/>
      </c>
    </row>
    <row r="5287" spans="1:12" x14ac:dyDescent="0.35">
      <c r="A5287" s="3"/>
      <c r="B5287" s="2"/>
      <c r="C5287" s="2"/>
      <c r="D5287" s="2" t="b">
        <f>IF(AND(NOT(ISBLANK(Table1[[#This Row],[Fetal Sex (Male, Female or Unknown)]])),ISNUMBER(Table1[[#This Row],[Birthweight (grams)]]),ISNUMBER(Table1[[#This Row],[Gestation (days)]])),TRUE,FALSE)</f>
        <v>0</v>
      </c>
      <c r="E5287" s="2" t="str">
        <f>IF(Table1[[#This Row],[Is Data Valid]]=TRUE,IF(Table1[[#This Row],[Fetal Sex (Male, Female or Unknown)]]="Male",Backend!$C$6,IF(Table1[[#This Row],[Fetal Sex (Male, Female or Unknown)]]="Female",Backend!$C$7,IF(Table1[[#This Row],[Fetal Sex (Male, Female or Unknown)]]="Unknown",Backend!$C$8,"Error"))),"")</f>
        <v/>
      </c>
      <c r="F5287" s="8" t="str">
        <f>IF(Table1[[#This Row],[Is Data Valid]]=TRUE,EXP(0.578+0.332*((Table1[[#This Row],[Gestation (days)]]+0.5)/7)-0.00354*((Table1[[#This Row],[Gestation (days)]]+0.5)/7)^2)*Table1[[#This Row],[BW40_3705]],"")</f>
        <v/>
      </c>
      <c r="G5287" s="2" t="str">
        <f>IF(Table1[[#This Row],[Is Data Valid]]=TRUE,((Table1[[#This Row],[Birthweight (grams)]]/Table1[[#This Row],[BW_GA]])-1)/(Backend!$B$4/100*Table1[[#This Row],[BW40_3705]]),"")</f>
        <v/>
      </c>
      <c r="H5287" s="7" t="str">
        <f>IF(Table1[[#This Row],[Is Data Valid]]=TRUE,((Table1[[#This Row],[Birthweight (grams)]]*0.9/Table1[[#This Row],[BW_GA]])-1)/(Backend!$B$4/100*Table1[[#This Row],[BW40_3705]]),"")</f>
        <v/>
      </c>
      <c r="I5287" s="7" t="str">
        <f>IF(Table1[[#This Row],[Is Data Valid]]=TRUE,((Table1[[#This Row],[Birthweight (grams)]]*1.1/Table1[[#This Row],[BW_GA]])-1)/(Backend!$B$4/100*Table1[[#This Row],[BW40_3705]]),"")</f>
        <v/>
      </c>
      <c r="J5287" s="7" t="str">
        <f>IF(Table1[[#This Row],[Is Data Valid]]=TRUE,_xlfn.NORM.S.DIST(Table1[[#This Row],[Birthweight Z-Score]],TRUE)*100,"")</f>
        <v/>
      </c>
      <c r="K5287" s="7" t="str">
        <f>IF(Table1[[#This Row],[Is Data Valid]]=TRUE,_xlfn.NORM.S.DIST(Table1[[#This Row],[Birthweight Z-Score (BW-10%)]],TRUE)*100,"")</f>
        <v/>
      </c>
      <c r="L5287" s="7" t="str">
        <f>IF(Table1[[#This Row],[Is Data Valid]]=TRUE,_xlfn.NORM.S.DIST(Table1[[#This Row],[Birthweight Z-Score (BW+10%)]],TRUE)*100,"")</f>
        <v/>
      </c>
    </row>
    <row r="5288" spans="1:12" x14ac:dyDescent="0.35">
      <c r="A5288" s="3"/>
      <c r="B5288" s="2"/>
      <c r="C5288" s="2"/>
      <c r="D5288" s="2" t="b">
        <f>IF(AND(NOT(ISBLANK(Table1[[#This Row],[Fetal Sex (Male, Female or Unknown)]])),ISNUMBER(Table1[[#This Row],[Birthweight (grams)]]),ISNUMBER(Table1[[#This Row],[Gestation (days)]])),TRUE,FALSE)</f>
        <v>0</v>
      </c>
      <c r="E5288" s="2" t="str">
        <f>IF(Table1[[#This Row],[Is Data Valid]]=TRUE,IF(Table1[[#This Row],[Fetal Sex (Male, Female or Unknown)]]="Male",Backend!$C$6,IF(Table1[[#This Row],[Fetal Sex (Male, Female or Unknown)]]="Female",Backend!$C$7,IF(Table1[[#This Row],[Fetal Sex (Male, Female or Unknown)]]="Unknown",Backend!$C$8,"Error"))),"")</f>
        <v/>
      </c>
      <c r="F5288" s="8" t="str">
        <f>IF(Table1[[#This Row],[Is Data Valid]]=TRUE,EXP(0.578+0.332*((Table1[[#This Row],[Gestation (days)]]+0.5)/7)-0.00354*((Table1[[#This Row],[Gestation (days)]]+0.5)/7)^2)*Table1[[#This Row],[BW40_3705]],"")</f>
        <v/>
      </c>
      <c r="G5288" s="2" t="str">
        <f>IF(Table1[[#This Row],[Is Data Valid]]=TRUE,((Table1[[#This Row],[Birthweight (grams)]]/Table1[[#This Row],[BW_GA]])-1)/(Backend!$B$4/100*Table1[[#This Row],[BW40_3705]]),"")</f>
        <v/>
      </c>
      <c r="H5288" s="7" t="str">
        <f>IF(Table1[[#This Row],[Is Data Valid]]=TRUE,((Table1[[#This Row],[Birthweight (grams)]]*0.9/Table1[[#This Row],[BW_GA]])-1)/(Backend!$B$4/100*Table1[[#This Row],[BW40_3705]]),"")</f>
        <v/>
      </c>
      <c r="I5288" s="7" t="str">
        <f>IF(Table1[[#This Row],[Is Data Valid]]=TRUE,((Table1[[#This Row],[Birthweight (grams)]]*1.1/Table1[[#This Row],[BW_GA]])-1)/(Backend!$B$4/100*Table1[[#This Row],[BW40_3705]]),"")</f>
        <v/>
      </c>
      <c r="J5288" s="7" t="str">
        <f>IF(Table1[[#This Row],[Is Data Valid]]=TRUE,_xlfn.NORM.S.DIST(Table1[[#This Row],[Birthweight Z-Score]],TRUE)*100,"")</f>
        <v/>
      </c>
      <c r="K5288" s="7" t="str">
        <f>IF(Table1[[#This Row],[Is Data Valid]]=TRUE,_xlfn.NORM.S.DIST(Table1[[#This Row],[Birthweight Z-Score (BW-10%)]],TRUE)*100,"")</f>
        <v/>
      </c>
      <c r="L5288" s="7" t="str">
        <f>IF(Table1[[#This Row],[Is Data Valid]]=TRUE,_xlfn.NORM.S.DIST(Table1[[#This Row],[Birthweight Z-Score (BW+10%)]],TRUE)*100,"")</f>
        <v/>
      </c>
    </row>
    <row r="5289" spans="1:12" x14ac:dyDescent="0.35">
      <c r="A5289" s="3"/>
      <c r="B5289" s="2"/>
      <c r="C5289" s="2"/>
      <c r="D5289" s="2" t="b">
        <f>IF(AND(NOT(ISBLANK(Table1[[#This Row],[Fetal Sex (Male, Female or Unknown)]])),ISNUMBER(Table1[[#This Row],[Birthweight (grams)]]),ISNUMBER(Table1[[#This Row],[Gestation (days)]])),TRUE,FALSE)</f>
        <v>0</v>
      </c>
      <c r="E5289" s="2" t="str">
        <f>IF(Table1[[#This Row],[Is Data Valid]]=TRUE,IF(Table1[[#This Row],[Fetal Sex (Male, Female or Unknown)]]="Male",Backend!$C$6,IF(Table1[[#This Row],[Fetal Sex (Male, Female or Unknown)]]="Female",Backend!$C$7,IF(Table1[[#This Row],[Fetal Sex (Male, Female or Unknown)]]="Unknown",Backend!$C$8,"Error"))),"")</f>
        <v/>
      </c>
      <c r="F5289" s="8" t="str">
        <f>IF(Table1[[#This Row],[Is Data Valid]]=TRUE,EXP(0.578+0.332*((Table1[[#This Row],[Gestation (days)]]+0.5)/7)-0.00354*((Table1[[#This Row],[Gestation (days)]]+0.5)/7)^2)*Table1[[#This Row],[BW40_3705]],"")</f>
        <v/>
      </c>
      <c r="G5289" s="2" t="str">
        <f>IF(Table1[[#This Row],[Is Data Valid]]=TRUE,((Table1[[#This Row],[Birthweight (grams)]]/Table1[[#This Row],[BW_GA]])-1)/(Backend!$B$4/100*Table1[[#This Row],[BW40_3705]]),"")</f>
        <v/>
      </c>
      <c r="H5289" s="7" t="str">
        <f>IF(Table1[[#This Row],[Is Data Valid]]=TRUE,((Table1[[#This Row],[Birthweight (grams)]]*0.9/Table1[[#This Row],[BW_GA]])-1)/(Backend!$B$4/100*Table1[[#This Row],[BW40_3705]]),"")</f>
        <v/>
      </c>
      <c r="I5289" s="7" t="str">
        <f>IF(Table1[[#This Row],[Is Data Valid]]=TRUE,((Table1[[#This Row],[Birthweight (grams)]]*1.1/Table1[[#This Row],[BW_GA]])-1)/(Backend!$B$4/100*Table1[[#This Row],[BW40_3705]]),"")</f>
        <v/>
      </c>
      <c r="J5289" s="7" t="str">
        <f>IF(Table1[[#This Row],[Is Data Valid]]=TRUE,_xlfn.NORM.S.DIST(Table1[[#This Row],[Birthweight Z-Score]],TRUE)*100,"")</f>
        <v/>
      </c>
      <c r="K5289" s="7" t="str">
        <f>IF(Table1[[#This Row],[Is Data Valid]]=TRUE,_xlfn.NORM.S.DIST(Table1[[#This Row],[Birthweight Z-Score (BW-10%)]],TRUE)*100,"")</f>
        <v/>
      </c>
      <c r="L5289" s="7" t="str">
        <f>IF(Table1[[#This Row],[Is Data Valid]]=TRUE,_xlfn.NORM.S.DIST(Table1[[#This Row],[Birthweight Z-Score (BW+10%)]],TRUE)*100,"")</f>
        <v/>
      </c>
    </row>
    <row r="5290" spans="1:12" x14ac:dyDescent="0.35">
      <c r="A5290" s="3"/>
      <c r="B5290" s="2"/>
      <c r="C5290" s="2"/>
      <c r="D5290" s="2" t="b">
        <f>IF(AND(NOT(ISBLANK(Table1[[#This Row],[Fetal Sex (Male, Female or Unknown)]])),ISNUMBER(Table1[[#This Row],[Birthweight (grams)]]),ISNUMBER(Table1[[#This Row],[Gestation (days)]])),TRUE,FALSE)</f>
        <v>0</v>
      </c>
      <c r="E5290" s="2" t="str">
        <f>IF(Table1[[#This Row],[Is Data Valid]]=TRUE,IF(Table1[[#This Row],[Fetal Sex (Male, Female or Unknown)]]="Male",Backend!$C$6,IF(Table1[[#This Row],[Fetal Sex (Male, Female or Unknown)]]="Female",Backend!$C$7,IF(Table1[[#This Row],[Fetal Sex (Male, Female or Unknown)]]="Unknown",Backend!$C$8,"Error"))),"")</f>
        <v/>
      </c>
      <c r="F5290" s="8" t="str">
        <f>IF(Table1[[#This Row],[Is Data Valid]]=TRUE,EXP(0.578+0.332*((Table1[[#This Row],[Gestation (days)]]+0.5)/7)-0.00354*((Table1[[#This Row],[Gestation (days)]]+0.5)/7)^2)*Table1[[#This Row],[BW40_3705]],"")</f>
        <v/>
      </c>
      <c r="G5290" s="2" t="str">
        <f>IF(Table1[[#This Row],[Is Data Valid]]=TRUE,((Table1[[#This Row],[Birthweight (grams)]]/Table1[[#This Row],[BW_GA]])-1)/(Backend!$B$4/100*Table1[[#This Row],[BW40_3705]]),"")</f>
        <v/>
      </c>
      <c r="H5290" s="7" t="str">
        <f>IF(Table1[[#This Row],[Is Data Valid]]=TRUE,((Table1[[#This Row],[Birthweight (grams)]]*0.9/Table1[[#This Row],[BW_GA]])-1)/(Backend!$B$4/100*Table1[[#This Row],[BW40_3705]]),"")</f>
        <v/>
      </c>
      <c r="I5290" s="7" t="str">
        <f>IF(Table1[[#This Row],[Is Data Valid]]=TRUE,((Table1[[#This Row],[Birthweight (grams)]]*1.1/Table1[[#This Row],[BW_GA]])-1)/(Backend!$B$4/100*Table1[[#This Row],[BW40_3705]]),"")</f>
        <v/>
      </c>
      <c r="J5290" s="7" t="str">
        <f>IF(Table1[[#This Row],[Is Data Valid]]=TRUE,_xlfn.NORM.S.DIST(Table1[[#This Row],[Birthweight Z-Score]],TRUE)*100,"")</f>
        <v/>
      </c>
      <c r="K5290" s="7" t="str">
        <f>IF(Table1[[#This Row],[Is Data Valid]]=TRUE,_xlfn.NORM.S.DIST(Table1[[#This Row],[Birthweight Z-Score (BW-10%)]],TRUE)*100,"")</f>
        <v/>
      </c>
      <c r="L5290" s="7" t="str">
        <f>IF(Table1[[#This Row],[Is Data Valid]]=TRUE,_xlfn.NORM.S.DIST(Table1[[#This Row],[Birthweight Z-Score (BW+10%)]],TRUE)*100,"")</f>
        <v/>
      </c>
    </row>
    <row r="5291" spans="1:12" x14ac:dyDescent="0.35">
      <c r="A5291" s="3"/>
      <c r="B5291" s="2"/>
      <c r="C5291" s="2"/>
      <c r="D5291" s="2" t="b">
        <f>IF(AND(NOT(ISBLANK(Table1[[#This Row],[Fetal Sex (Male, Female or Unknown)]])),ISNUMBER(Table1[[#This Row],[Birthweight (grams)]]),ISNUMBER(Table1[[#This Row],[Gestation (days)]])),TRUE,FALSE)</f>
        <v>0</v>
      </c>
      <c r="E5291" s="2" t="str">
        <f>IF(Table1[[#This Row],[Is Data Valid]]=TRUE,IF(Table1[[#This Row],[Fetal Sex (Male, Female or Unknown)]]="Male",Backend!$C$6,IF(Table1[[#This Row],[Fetal Sex (Male, Female or Unknown)]]="Female",Backend!$C$7,IF(Table1[[#This Row],[Fetal Sex (Male, Female or Unknown)]]="Unknown",Backend!$C$8,"Error"))),"")</f>
        <v/>
      </c>
      <c r="F5291" s="8" t="str">
        <f>IF(Table1[[#This Row],[Is Data Valid]]=TRUE,EXP(0.578+0.332*((Table1[[#This Row],[Gestation (days)]]+0.5)/7)-0.00354*((Table1[[#This Row],[Gestation (days)]]+0.5)/7)^2)*Table1[[#This Row],[BW40_3705]],"")</f>
        <v/>
      </c>
      <c r="G5291" s="2" t="str">
        <f>IF(Table1[[#This Row],[Is Data Valid]]=TRUE,((Table1[[#This Row],[Birthweight (grams)]]/Table1[[#This Row],[BW_GA]])-1)/(Backend!$B$4/100*Table1[[#This Row],[BW40_3705]]),"")</f>
        <v/>
      </c>
      <c r="H5291" s="7" t="str">
        <f>IF(Table1[[#This Row],[Is Data Valid]]=TRUE,((Table1[[#This Row],[Birthweight (grams)]]*0.9/Table1[[#This Row],[BW_GA]])-1)/(Backend!$B$4/100*Table1[[#This Row],[BW40_3705]]),"")</f>
        <v/>
      </c>
      <c r="I5291" s="7" t="str">
        <f>IF(Table1[[#This Row],[Is Data Valid]]=TRUE,((Table1[[#This Row],[Birthweight (grams)]]*1.1/Table1[[#This Row],[BW_GA]])-1)/(Backend!$B$4/100*Table1[[#This Row],[BW40_3705]]),"")</f>
        <v/>
      </c>
      <c r="J5291" s="7" t="str">
        <f>IF(Table1[[#This Row],[Is Data Valid]]=TRUE,_xlfn.NORM.S.DIST(Table1[[#This Row],[Birthweight Z-Score]],TRUE)*100,"")</f>
        <v/>
      </c>
      <c r="K5291" s="7" t="str">
        <f>IF(Table1[[#This Row],[Is Data Valid]]=TRUE,_xlfn.NORM.S.DIST(Table1[[#This Row],[Birthweight Z-Score (BW-10%)]],TRUE)*100,"")</f>
        <v/>
      </c>
      <c r="L5291" s="7" t="str">
        <f>IF(Table1[[#This Row],[Is Data Valid]]=TRUE,_xlfn.NORM.S.DIST(Table1[[#This Row],[Birthweight Z-Score (BW+10%)]],TRUE)*100,"")</f>
        <v/>
      </c>
    </row>
    <row r="5292" spans="1:12" x14ac:dyDescent="0.35">
      <c r="A5292" s="3"/>
      <c r="B5292" s="2"/>
      <c r="C5292" s="2"/>
      <c r="D5292" s="2" t="b">
        <f>IF(AND(NOT(ISBLANK(Table1[[#This Row],[Fetal Sex (Male, Female or Unknown)]])),ISNUMBER(Table1[[#This Row],[Birthweight (grams)]]),ISNUMBER(Table1[[#This Row],[Gestation (days)]])),TRUE,FALSE)</f>
        <v>0</v>
      </c>
      <c r="E5292" s="2" t="str">
        <f>IF(Table1[[#This Row],[Is Data Valid]]=TRUE,IF(Table1[[#This Row],[Fetal Sex (Male, Female or Unknown)]]="Male",Backend!$C$6,IF(Table1[[#This Row],[Fetal Sex (Male, Female or Unknown)]]="Female",Backend!$C$7,IF(Table1[[#This Row],[Fetal Sex (Male, Female or Unknown)]]="Unknown",Backend!$C$8,"Error"))),"")</f>
        <v/>
      </c>
      <c r="F5292" s="8" t="str">
        <f>IF(Table1[[#This Row],[Is Data Valid]]=TRUE,EXP(0.578+0.332*((Table1[[#This Row],[Gestation (days)]]+0.5)/7)-0.00354*((Table1[[#This Row],[Gestation (days)]]+0.5)/7)^2)*Table1[[#This Row],[BW40_3705]],"")</f>
        <v/>
      </c>
      <c r="G5292" s="2" t="str">
        <f>IF(Table1[[#This Row],[Is Data Valid]]=TRUE,((Table1[[#This Row],[Birthweight (grams)]]/Table1[[#This Row],[BW_GA]])-1)/(Backend!$B$4/100*Table1[[#This Row],[BW40_3705]]),"")</f>
        <v/>
      </c>
      <c r="H5292" s="7" t="str">
        <f>IF(Table1[[#This Row],[Is Data Valid]]=TRUE,((Table1[[#This Row],[Birthweight (grams)]]*0.9/Table1[[#This Row],[BW_GA]])-1)/(Backend!$B$4/100*Table1[[#This Row],[BW40_3705]]),"")</f>
        <v/>
      </c>
      <c r="I5292" s="7" t="str">
        <f>IF(Table1[[#This Row],[Is Data Valid]]=TRUE,((Table1[[#This Row],[Birthweight (grams)]]*1.1/Table1[[#This Row],[BW_GA]])-1)/(Backend!$B$4/100*Table1[[#This Row],[BW40_3705]]),"")</f>
        <v/>
      </c>
      <c r="J5292" s="7" t="str">
        <f>IF(Table1[[#This Row],[Is Data Valid]]=TRUE,_xlfn.NORM.S.DIST(Table1[[#This Row],[Birthweight Z-Score]],TRUE)*100,"")</f>
        <v/>
      </c>
      <c r="K5292" s="7" t="str">
        <f>IF(Table1[[#This Row],[Is Data Valid]]=TRUE,_xlfn.NORM.S.DIST(Table1[[#This Row],[Birthweight Z-Score (BW-10%)]],TRUE)*100,"")</f>
        <v/>
      </c>
      <c r="L5292" s="7" t="str">
        <f>IF(Table1[[#This Row],[Is Data Valid]]=TRUE,_xlfn.NORM.S.DIST(Table1[[#This Row],[Birthweight Z-Score (BW+10%)]],TRUE)*100,"")</f>
        <v/>
      </c>
    </row>
    <row r="5293" spans="1:12" x14ac:dyDescent="0.35">
      <c r="A5293" s="3"/>
      <c r="B5293" s="2"/>
      <c r="C5293" s="2"/>
      <c r="D5293" s="2" t="b">
        <f>IF(AND(NOT(ISBLANK(Table1[[#This Row],[Fetal Sex (Male, Female or Unknown)]])),ISNUMBER(Table1[[#This Row],[Birthweight (grams)]]),ISNUMBER(Table1[[#This Row],[Gestation (days)]])),TRUE,FALSE)</f>
        <v>0</v>
      </c>
      <c r="E5293" s="2" t="str">
        <f>IF(Table1[[#This Row],[Is Data Valid]]=TRUE,IF(Table1[[#This Row],[Fetal Sex (Male, Female or Unknown)]]="Male",Backend!$C$6,IF(Table1[[#This Row],[Fetal Sex (Male, Female or Unknown)]]="Female",Backend!$C$7,IF(Table1[[#This Row],[Fetal Sex (Male, Female or Unknown)]]="Unknown",Backend!$C$8,"Error"))),"")</f>
        <v/>
      </c>
      <c r="F5293" s="8" t="str">
        <f>IF(Table1[[#This Row],[Is Data Valid]]=TRUE,EXP(0.578+0.332*((Table1[[#This Row],[Gestation (days)]]+0.5)/7)-0.00354*((Table1[[#This Row],[Gestation (days)]]+0.5)/7)^2)*Table1[[#This Row],[BW40_3705]],"")</f>
        <v/>
      </c>
      <c r="G5293" s="2" t="str">
        <f>IF(Table1[[#This Row],[Is Data Valid]]=TRUE,((Table1[[#This Row],[Birthweight (grams)]]/Table1[[#This Row],[BW_GA]])-1)/(Backend!$B$4/100*Table1[[#This Row],[BW40_3705]]),"")</f>
        <v/>
      </c>
      <c r="H5293" s="7" t="str">
        <f>IF(Table1[[#This Row],[Is Data Valid]]=TRUE,((Table1[[#This Row],[Birthweight (grams)]]*0.9/Table1[[#This Row],[BW_GA]])-1)/(Backend!$B$4/100*Table1[[#This Row],[BW40_3705]]),"")</f>
        <v/>
      </c>
      <c r="I5293" s="7" t="str">
        <f>IF(Table1[[#This Row],[Is Data Valid]]=TRUE,((Table1[[#This Row],[Birthweight (grams)]]*1.1/Table1[[#This Row],[BW_GA]])-1)/(Backend!$B$4/100*Table1[[#This Row],[BW40_3705]]),"")</f>
        <v/>
      </c>
      <c r="J5293" s="7" t="str">
        <f>IF(Table1[[#This Row],[Is Data Valid]]=TRUE,_xlfn.NORM.S.DIST(Table1[[#This Row],[Birthweight Z-Score]],TRUE)*100,"")</f>
        <v/>
      </c>
      <c r="K5293" s="7" t="str">
        <f>IF(Table1[[#This Row],[Is Data Valid]]=TRUE,_xlfn.NORM.S.DIST(Table1[[#This Row],[Birthweight Z-Score (BW-10%)]],TRUE)*100,"")</f>
        <v/>
      </c>
      <c r="L5293" s="7" t="str">
        <f>IF(Table1[[#This Row],[Is Data Valid]]=TRUE,_xlfn.NORM.S.DIST(Table1[[#This Row],[Birthweight Z-Score (BW+10%)]],TRUE)*100,"")</f>
        <v/>
      </c>
    </row>
    <row r="5294" spans="1:12" x14ac:dyDescent="0.35">
      <c r="A5294" s="3"/>
      <c r="B5294" s="2"/>
      <c r="C5294" s="2"/>
      <c r="D5294" s="2" t="b">
        <f>IF(AND(NOT(ISBLANK(Table1[[#This Row],[Fetal Sex (Male, Female or Unknown)]])),ISNUMBER(Table1[[#This Row],[Birthweight (grams)]]),ISNUMBER(Table1[[#This Row],[Gestation (days)]])),TRUE,FALSE)</f>
        <v>0</v>
      </c>
      <c r="E5294" s="2" t="str">
        <f>IF(Table1[[#This Row],[Is Data Valid]]=TRUE,IF(Table1[[#This Row],[Fetal Sex (Male, Female or Unknown)]]="Male",Backend!$C$6,IF(Table1[[#This Row],[Fetal Sex (Male, Female or Unknown)]]="Female",Backend!$C$7,IF(Table1[[#This Row],[Fetal Sex (Male, Female or Unknown)]]="Unknown",Backend!$C$8,"Error"))),"")</f>
        <v/>
      </c>
      <c r="F5294" s="8" t="str">
        <f>IF(Table1[[#This Row],[Is Data Valid]]=TRUE,EXP(0.578+0.332*((Table1[[#This Row],[Gestation (days)]]+0.5)/7)-0.00354*((Table1[[#This Row],[Gestation (days)]]+0.5)/7)^2)*Table1[[#This Row],[BW40_3705]],"")</f>
        <v/>
      </c>
      <c r="G5294" s="2" t="str">
        <f>IF(Table1[[#This Row],[Is Data Valid]]=TRUE,((Table1[[#This Row],[Birthweight (grams)]]/Table1[[#This Row],[BW_GA]])-1)/(Backend!$B$4/100*Table1[[#This Row],[BW40_3705]]),"")</f>
        <v/>
      </c>
      <c r="H5294" s="7" t="str">
        <f>IF(Table1[[#This Row],[Is Data Valid]]=TRUE,((Table1[[#This Row],[Birthweight (grams)]]*0.9/Table1[[#This Row],[BW_GA]])-1)/(Backend!$B$4/100*Table1[[#This Row],[BW40_3705]]),"")</f>
        <v/>
      </c>
      <c r="I5294" s="7" t="str">
        <f>IF(Table1[[#This Row],[Is Data Valid]]=TRUE,((Table1[[#This Row],[Birthweight (grams)]]*1.1/Table1[[#This Row],[BW_GA]])-1)/(Backend!$B$4/100*Table1[[#This Row],[BW40_3705]]),"")</f>
        <v/>
      </c>
      <c r="J5294" s="7" t="str">
        <f>IF(Table1[[#This Row],[Is Data Valid]]=TRUE,_xlfn.NORM.S.DIST(Table1[[#This Row],[Birthweight Z-Score]],TRUE)*100,"")</f>
        <v/>
      </c>
      <c r="K5294" s="7" t="str">
        <f>IF(Table1[[#This Row],[Is Data Valid]]=TRUE,_xlfn.NORM.S.DIST(Table1[[#This Row],[Birthweight Z-Score (BW-10%)]],TRUE)*100,"")</f>
        <v/>
      </c>
      <c r="L5294" s="7" t="str">
        <f>IF(Table1[[#This Row],[Is Data Valid]]=TRUE,_xlfn.NORM.S.DIST(Table1[[#This Row],[Birthweight Z-Score (BW+10%)]],TRUE)*100,"")</f>
        <v/>
      </c>
    </row>
    <row r="5295" spans="1:12" x14ac:dyDescent="0.35">
      <c r="A5295" s="3"/>
      <c r="B5295" s="2"/>
      <c r="C5295" s="2"/>
      <c r="D5295" s="2" t="b">
        <f>IF(AND(NOT(ISBLANK(Table1[[#This Row],[Fetal Sex (Male, Female or Unknown)]])),ISNUMBER(Table1[[#This Row],[Birthweight (grams)]]),ISNUMBER(Table1[[#This Row],[Gestation (days)]])),TRUE,FALSE)</f>
        <v>0</v>
      </c>
      <c r="E5295" s="2" t="str">
        <f>IF(Table1[[#This Row],[Is Data Valid]]=TRUE,IF(Table1[[#This Row],[Fetal Sex (Male, Female or Unknown)]]="Male",Backend!$C$6,IF(Table1[[#This Row],[Fetal Sex (Male, Female or Unknown)]]="Female",Backend!$C$7,IF(Table1[[#This Row],[Fetal Sex (Male, Female or Unknown)]]="Unknown",Backend!$C$8,"Error"))),"")</f>
        <v/>
      </c>
      <c r="F5295" s="8" t="str">
        <f>IF(Table1[[#This Row],[Is Data Valid]]=TRUE,EXP(0.578+0.332*((Table1[[#This Row],[Gestation (days)]]+0.5)/7)-0.00354*((Table1[[#This Row],[Gestation (days)]]+0.5)/7)^2)*Table1[[#This Row],[BW40_3705]],"")</f>
        <v/>
      </c>
      <c r="G5295" s="2" t="str">
        <f>IF(Table1[[#This Row],[Is Data Valid]]=TRUE,((Table1[[#This Row],[Birthweight (grams)]]/Table1[[#This Row],[BW_GA]])-1)/(Backend!$B$4/100*Table1[[#This Row],[BW40_3705]]),"")</f>
        <v/>
      </c>
      <c r="H5295" s="7" t="str">
        <f>IF(Table1[[#This Row],[Is Data Valid]]=TRUE,((Table1[[#This Row],[Birthweight (grams)]]*0.9/Table1[[#This Row],[BW_GA]])-1)/(Backend!$B$4/100*Table1[[#This Row],[BW40_3705]]),"")</f>
        <v/>
      </c>
      <c r="I5295" s="7" t="str">
        <f>IF(Table1[[#This Row],[Is Data Valid]]=TRUE,((Table1[[#This Row],[Birthweight (grams)]]*1.1/Table1[[#This Row],[BW_GA]])-1)/(Backend!$B$4/100*Table1[[#This Row],[BW40_3705]]),"")</f>
        <v/>
      </c>
      <c r="J5295" s="7" t="str">
        <f>IF(Table1[[#This Row],[Is Data Valid]]=TRUE,_xlfn.NORM.S.DIST(Table1[[#This Row],[Birthweight Z-Score]],TRUE)*100,"")</f>
        <v/>
      </c>
      <c r="K5295" s="7" t="str">
        <f>IF(Table1[[#This Row],[Is Data Valid]]=TRUE,_xlfn.NORM.S.DIST(Table1[[#This Row],[Birthweight Z-Score (BW-10%)]],TRUE)*100,"")</f>
        <v/>
      </c>
      <c r="L5295" s="7" t="str">
        <f>IF(Table1[[#This Row],[Is Data Valid]]=TRUE,_xlfn.NORM.S.DIST(Table1[[#This Row],[Birthweight Z-Score (BW+10%)]],TRUE)*100,"")</f>
        <v/>
      </c>
    </row>
    <row r="5296" spans="1:12" x14ac:dyDescent="0.35">
      <c r="A5296" s="3"/>
      <c r="B5296" s="2"/>
      <c r="C5296" s="2"/>
      <c r="D5296" s="2" t="b">
        <f>IF(AND(NOT(ISBLANK(Table1[[#This Row],[Fetal Sex (Male, Female or Unknown)]])),ISNUMBER(Table1[[#This Row],[Birthweight (grams)]]),ISNUMBER(Table1[[#This Row],[Gestation (days)]])),TRUE,FALSE)</f>
        <v>0</v>
      </c>
      <c r="E5296" s="2" t="str">
        <f>IF(Table1[[#This Row],[Is Data Valid]]=TRUE,IF(Table1[[#This Row],[Fetal Sex (Male, Female or Unknown)]]="Male",Backend!$C$6,IF(Table1[[#This Row],[Fetal Sex (Male, Female or Unknown)]]="Female",Backend!$C$7,IF(Table1[[#This Row],[Fetal Sex (Male, Female or Unknown)]]="Unknown",Backend!$C$8,"Error"))),"")</f>
        <v/>
      </c>
      <c r="F5296" s="8" t="str">
        <f>IF(Table1[[#This Row],[Is Data Valid]]=TRUE,EXP(0.578+0.332*((Table1[[#This Row],[Gestation (days)]]+0.5)/7)-0.00354*((Table1[[#This Row],[Gestation (days)]]+0.5)/7)^2)*Table1[[#This Row],[BW40_3705]],"")</f>
        <v/>
      </c>
      <c r="G5296" s="2" t="str">
        <f>IF(Table1[[#This Row],[Is Data Valid]]=TRUE,((Table1[[#This Row],[Birthweight (grams)]]/Table1[[#This Row],[BW_GA]])-1)/(Backend!$B$4/100*Table1[[#This Row],[BW40_3705]]),"")</f>
        <v/>
      </c>
      <c r="H5296" s="7" t="str">
        <f>IF(Table1[[#This Row],[Is Data Valid]]=TRUE,((Table1[[#This Row],[Birthweight (grams)]]*0.9/Table1[[#This Row],[BW_GA]])-1)/(Backend!$B$4/100*Table1[[#This Row],[BW40_3705]]),"")</f>
        <v/>
      </c>
      <c r="I5296" s="7" t="str">
        <f>IF(Table1[[#This Row],[Is Data Valid]]=TRUE,((Table1[[#This Row],[Birthweight (grams)]]*1.1/Table1[[#This Row],[BW_GA]])-1)/(Backend!$B$4/100*Table1[[#This Row],[BW40_3705]]),"")</f>
        <v/>
      </c>
      <c r="J5296" s="7" t="str">
        <f>IF(Table1[[#This Row],[Is Data Valid]]=TRUE,_xlfn.NORM.S.DIST(Table1[[#This Row],[Birthweight Z-Score]],TRUE)*100,"")</f>
        <v/>
      </c>
      <c r="K5296" s="7" t="str">
        <f>IF(Table1[[#This Row],[Is Data Valid]]=TRUE,_xlfn.NORM.S.DIST(Table1[[#This Row],[Birthweight Z-Score (BW-10%)]],TRUE)*100,"")</f>
        <v/>
      </c>
      <c r="L5296" s="7" t="str">
        <f>IF(Table1[[#This Row],[Is Data Valid]]=TRUE,_xlfn.NORM.S.DIST(Table1[[#This Row],[Birthweight Z-Score (BW+10%)]],TRUE)*100,"")</f>
        <v/>
      </c>
    </row>
    <row r="5297" spans="1:12" x14ac:dyDescent="0.35">
      <c r="A5297" s="3"/>
      <c r="B5297" s="2"/>
      <c r="C5297" s="2"/>
      <c r="D5297" s="2" t="b">
        <f>IF(AND(NOT(ISBLANK(Table1[[#This Row],[Fetal Sex (Male, Female or Unknown)]])),ISNUMBER(Table1[[#This Row],[Birthweight (grams)]]),ISNUMBER(Table1[[#This Row],[Gestation (days)]])),TRUE,FALSE)</f>
        <v>0</v>
      </c>
      <c r="E5297" s="2" t="str">
        <f>IF(Table1[[#This Row],[Is Data Valid]]=TRUE,IF(Table1[[#This Row],[Fetal Sex (Male, Female or Unknown)]]="Male",Backend!$C$6,IF(Table1[[#This Row],[Fetal Sex (Male, Female or Unknown)]]="Female",Backend!$C$7,IF(Table1[[#This Row],[Fetal Sex (Male, Female or Unknown)]]="Unknown",Backend!$C$8,"Error"))),"")</f>
        <v/>
      </c>
      <c r="F5297" s="8" t="str">
        <f>IF(Table1[[#This Row],[Is Data Valid]]=TRUE,EXP(0.578+0.332*((Table1[[#This Row],[Gestation (days)]]+0.5)/7)-0.00354*((Table1[[#This Row],[Gestation (days)]]+0.5)/7)^2)*Table1[[#This Row],[BW40_3705]],"")</f>
        <v/>
      </c>
      <c r="G5297" s="2" t="str">
        <f>IF(Table1[[#This Row],[Is Data Valid]]=TRUE,((Table1[[#This Row],[Birthweight (grams)]]/Table1[[#This Row],[BW_GA]])-1)/(Backend!$B$4/100*Table1[[#This Row],[BW40_3705]]),"")</f>
        <v/>
      </c>
      <c r="H5297" s="7" t="str">
        <f>IF(Table1[[#This Row],[Is Data Valid]]=TRUE,((Table1[[#This Row],[Birthweight (grams)]]*0.9/Table1[[#This Row],[BW_GA]])-1)/(Backend!$B$4/100*Table1[[#This Row],[BW40_3705]]),"")</f>
        <v/>
      </c>
      <c r="I5297" s="7" t="str">
        <f>IF(Table1[[#This Row],[Is Data Valid]]=TRUE,((Table1[[#This Row],[Birthweight (grams)]]*1.1/Table1[[#This Row],[BW_GA]])-1)/(Backend!$B$4/100*Table1[[#This Row],[BW40_3705]]),"")</f>
        <v/>
      </c>
      <c r="J5297" s="7" t="str">
        <f>IF(Table1[[#This Row],[Is Data Valid]]=TRUE,_xlfn.NORM.S.DIST(Table1[[#This Row],[Birthweight Z-Score]],TRUE)*100,"")</f>
        <v/>
      </c>
      <c r="K5297" s="7" t="str">
        <f>IF(Table1[[#This Row],[Is Data Valid]]=TRUE,_xlfn.NORM.S.DIST(Table1[[#This Row],[Birthweight Z-Score (BW-10%)]],TRUE)*100,"")</f>
        <v/>
      </c>
      <c r="L5297" s="7" t="str">
        <f>IF(Table1[[#This Row],[Is Data Valid]]=TRUE,_xlfn.NORM.S.DIST(Table1[[#This Row],[Birthweight Z-Score (BW+10%)]],TRUE)*100,"")</f>
        <v/>
      </c>
    </row>
    <row r="5298" spans="1:12" x14ac:dyDescent="0.35">
      <c r="A5298" s="3"/>
      <c r="B5298" s="2"/>
      <c r="C5298" s="2"/>
      <c r="D5298" s="2" t="b">
        <f>IF(AND(NOT(ISBLANK(Table1[[#This Row],[Fetal Sex (Male, Female or Unknown)]])),ISNUMBER(Table1[[#This Row],[Birthweight (grams)]]),ISNUMBER(Table1[[#This Row],[Gestation (days)]])),TRUE,FALSE)</f>
        <v>0</v>
      </c>
      <c r="E5298" s="2" t="str">
        <f>IF(Table1[[#This Row],[Is Data Valid]]=TRUE,IF(Table1[[#This Row],[Fetal Sex (Male, Female or Unknown)]]="Male",Backend!$C$6,IF(Table1[[#This Row],[Fetal Sex (Male, Female or Unknown)]]="Female",Backend!$C$7,IF(Table1[[#This Row],[Fetal Sex (Male, Female or Unknown)]]="Unknown",Backend!$C$8,"Error"))),"")</f>
        <v/>
      </c>
      <c r="F5298" s="8" t="str">
        <f>IF(Table1[[#This Row],[Is Data Valid]]=TRUE,EXP(0.578+0.332*((Table1[[#This Row],[Gestation (days)]]+0.5)/7)-0.00354*((Table1[[#This Row],[Gestation (days)]]+0.5)/7)^2)*Table1[[#This Row],[BW40_3705]],"")</f>
        <v/>
      </c>
      <c r="G5298" s="2" t="str">
        <f>IF(Table1[[#This Row],[Is Data Valid]]=TRUE,((Table1[[#This Row],[Birthweight (grams)]]/Table1[[#This Row],[BW_GA]])-1)/(Backend!$B$4/100*Table1[[#This Row],[BW40_3705]]),"")</f>
        <v/>
      </c>
      <c r="H5298" s="7" t="str">
        <f>IF(Table1[[#This Row],[Is Data Valid]]=TRUE,((Table1[[#This Row],[Birthweight (grams)]]*0.9/Table1[[#This Row],[BW_GA]])-1)/(Backend!$B$4/100*Table1[[#This Row],[BW40_3705]]),"")</f>
        <v/>
      </c>
      <c r="I5298" s="7" t="str">
        <f>IF(Table1[[#This Row],[Is Data Valid]]=TRUE,((Table1[[#This Row],[Birthweight (grams)]]*1.1/Table1[[#This Row],[BW_GA]])-1)/(Backend!$B$4/100*Table1[[#This Row],[BW40_3705]]),"")</f>
        <v/>
      </c>
      <c r="J5298" s="7" t="str">
        <f>IF(Table1[[#This Row],[Is Data Valid]]=TRUE,_xlfn.NORM.S.DIST(Table1[[#This Row],[Birthweight Z-Score]],TRUE)*100,"")</f>
        <v/>
      </c>
      <c r="K5298" s="7" t="str">
        <f>IF(Table1[[#This Row],[Is Data Valid]]=TRUE,_xlfn.NORM.S.DIST(Table1[[#This Row],[Birthweight Z-Score (BW-10%)]],TRUE)*100,"")</f>
        <v/>
      </c>
      <c r="L5298" s="7" t="str">
        <f>IF(Table1[[#This Row],[Is Data Valid]]=TRUE,_xlfn.NORM.S.DIST(Table1[[#This Row],[Birthweight Z-Score (BW+10%)]],TRUE)*100,"")</f>
        <v/>
      </c>
    </row>
    <row r="5299" spans="1:12" x14ac:dyDescent="0.35">
      <c r="A5299" s="3"/>
      <c r="B5299" s="2"/>
      <c r="C5299" s="2"/>
      <c r="D5299" s="2" t="b">
        <f>IF(AND(NOT(ISBLANK(Table1[[#This Row],[Fetal Sex (Male, Female or Unknown)]])),ISNUMBER(Table1[[#This Row],[Birthweight (grams)]]),ISNUMBER(Table1[[#This Row],[Gestation (days)]])),TRUE,FALSE)</f>
        <v>0</v>
      </c>
      <c r="E5299" s="2" t="str">
        <f>IF(Table1[[#This Row],[Is Data Valid]]=TRUE,IF(Table1[[#This Row],[Fetal Sex (Male, Female or Unknown)]]="Male",Backend!$C$6,IF(Table1[[#This Row],[Fetal Sex (Male, Female or Unknown)]]="Female",Backend!$C$7,IF(Table1[[#This Row],[Fetal Sex (Male, Female or Unknown)]]="Unknown",Backend!$C$8,"Error"))),"")</f>
        <v/>
      </c>
      <c r="F5299" s="8" t="str">
        <f>IF(Table1[[#This Row],[Is Data Valid]]=TRUE,EXP(0.578+0.332*((Table1[[#This Row],[Gestation (days)]]+0.5)/7)-0.00354*((Table1[[#This Row],[Gestation (days)]]+0.5)/7)^2)*Table1[[#This Row],[BW40_3705]],"")</f>
        <v/>
      </c>
      <c r="G5299" s="2" t="str">
        <f>IF(Table1[[#This Row],[Is Data Valid]]=TRUE,((Table1[[#This Row],[Birthweight (grams)]]/Table1[[#This Row],[BW_GA]])-1)/(Backend!$B$4/100*Table1[[#This Row],[BW40_3705]]),"")</f>
        <v/>
      </c>
      <c r="H5299" s="7" t="str">
        <f>IF(Table1[[#This Row],[Is Data Valid]]=TRUE,((Table1[[#This Row],[Birthweight (grams)]]*0.9/Table1[[#This Row],[BW_GA]])-1)/(Backend!$B$4/100*Table1[[#This Row],[BW40_3705]]),"")</f>
        <v/>
      </c>
      <c r="I5299" s="7" t="str">
        <f>IF(Table1[[#This Row],[Is Data Valid]]=TRUE,((Table1[[#This Row],[Birthweight (grams)]]*1.1/Table1[[#This Row],[BW_GA]])-1)/(Backend!$B$4/100*Table1[[#This Row],[BW40_3705]]),"")</f>
        <v/>
      </c>
      <c r="J5299" s="7" t="str">
        <f>IF(Table1[[#This Row],[Is Data Valid]]=TRUE,_xlfn.NORM.S.DIST(Table1[[#This Row],[Birthweight Z-Score]],TRUE)*100,"")</f>
        <v/>
      </c>
      <c r="K5299" s="7" t="str">
        <f>IF(Table1[[#This Row],[Is Data Valid]]=TRUE,_xlfn.NORM.S.DIST(Table1[[#This Row],[Birthweight Z-Score (BW-10%)]],TRUE)*100,"")</f>
        <v/>
      </c>
      <c r="L5299" s="7" t="str">
        <f>IF(Table1[[#This Row],[Is Data Valid]]=TRUE,_xlfn.NORM.S.DIST(Table1[[#This Row],[Birthweight Z-Score (BW+10%)]],TRUE)*100,"")</f>
        <v/>
      </c>
    </row>
    <row r="5300" spans="1:12" x14ac:dyDescent="0.35">
      <c r="A5300" s="3"/>
      <c r="B5300" s="2"/>
      <c r="C5300" s="2"/>
      <c r="D5300" s="2" t="b">
        <f>IF(AND(NOT(ISBLANK(Table1[[#This Row],[Fetal Sex (Male, Female or Unknown)]])),ISNUMBER(Table1[[#This Row],[Birthweight (grams)]]),ISNUMBER(Table1[[#This Row],[Gestation (days)]])),TRUE,FALSE)</f>
        <v>0</v>
      </c>
      <c r="E5300" s="2" t="str">
        <f>IF(Table1[[#This Row],[Is Data Valid]]=TRUE,IF(Table1[[#This Row],[Fetal Sex (Male, Female or Unknown)]]="Male",Backend!$C$6,IF(Table1[[#This Row],[Fetal Sex (Male, Female or Unknown)]]="Female",Backend!$C$7,IF(Table1[[#This Row],[Fetal Sex (Male, Female or Unknown)]]="Unknown",Backend!$C$8,"Error"))),"")</f>
        <v/>
      </c>
      <c r="F5300" s="8" t="str">
        <f>IF(Table1[[#This Row],[Is Data Valid]]=TRUE,EXP(0.578+0.332*((Table1[[#This Row],[Gestation (days)]]+0.5)/7)-0.00354*((Table1[[#This Row],[Gestation (days)]]+0.5)/7)^2)*Table1[[#This Row],[BW40_3705]],"")</f>
        <v/>
      </c>
      <c r="G5300" s="2" t="str">
        <f>IF(Table1[[#This Row],[Is Data Valid]]=TRUE,((Table1[[#This Row],[Birthweight (grams)]]/Table1[[#This Row],[BW_GA]])-1)/(Backend!$B$4/100*Table1[[#This Row],[BW40_3705]]),"")</f>
        <v/>
      </c>
      <c r="H5300" s="7" t="str">
        <f>IF(Table1[[#This Row],[Is Data Valid]]=TRUE,((Table1[[#This Row],[Birthweight (grams)]]*0.9/Table1[[#This Row],[BW_GA]])-1)/(Backend!$B$4/100*Table1[[#This Row],[BW40_3705]]),"")</f>
        <v/>
      </c>
      <c r="I5300" s="7" t="str">
        <f>IF(Table1[[#This Row],[Is Data Valid]]=TRUE,((Table1[[#This Row],[Birthweight (grams)]]*1.1/Table1[[#This Row],[BW_GA]])-1)/(Backend!$B$4/100*Table1[[#This Row],[BW40_3705]]),"")</f>
        <v/>
      </c>
      <c r="J5300" s="7" t="str">
        <f>IF(Table1[[#This Row],[Is Data Valid]]=TRUE,_xlfn.NORM.S.DIST(Table1[[#This Row],[Birthweight Z-Score]],TRUE)*100,"")</f>
        <v/>
      </c>
      <c r="K5300" s="7" t="str">
        <f>IF(Table1[[#This Row],[Is Data Valid]]=TRUE,_xlfn.NORM.S.DIST(Table1[[#This Row],[Birthweight Z-Score (BW-10%)]],TRUE)*100,"")</f>
        <v/>
      </c>
      <c r="L5300" s="7" t="str">
        <f>IF(Table1[[#This Row],[Is Data Valid]]=TRUE,_xlfn.NORM.S.DIST(Table1[[#This Row],[Birthweight Z-Score (BW+10%)]],TRUE)*100,"")</f>
        <v/>
      </c>
    </row>
    <row r="5301" spans="1:12" x14ac:dyDescent="0.35">
      <c r="A5301" s="3"/>
      <c r="B5301" s="2"/>
      <c r="C5301" s="2"/>
      <c r="D5301" s="2" t="b">
        <f>IF(AND(NOT(ISBLANK(Table1[[#This Row],[Fetal Sex (Male, Female or Unknown)]])),ISNUMBER(Table1[[#This Row],[Birthweight (grams)]]),ISNUMBER(Table1[[#This Row],[Gestation (days)]])),TRUE,FALSE)</f>
        <v>0</v>
      </c>
      <c r="E5301" s="2" t="str">
        <f>IF(Table1[[#This Row],[Is Data Valid]]=TRUE,IF(Table1[[#This Row],[Fetal Sex (Male, Female or Unknown)]]="Male",Backend!$C$6,IF(Table1[[#This Row],[Fetal Sex (Male, Female or Unknown)]]="Female",Backend!$C$7,IF(Table1[[#This Row],[Fetal Sex (Male, Female or Unknown)]]="Unknown",Backend!$C$8,"Error"))),"")</f>
        <v/>
      </c>
      <c r="F5301" s="8" t="str">
        <f>IF(Table1[[#This Row],[Is Data Valid]]=TRUE,EXP(0.578+0.332*((Table1[[#This Row],[Gestation (days)]]+0.5)/7)-0.00354*((Table1[[#This Row],[Gestation (days)]]+0.5)/7)^2)*Table1[[#This Row],[BW40_3705]],"")</f>
        <v/>
      </c>
      <c r="G5301" s="2" t="str">
        <f>IF(Table1[[#This Row],[Is Data Valid]]=TRUE,((Table1[[#This Row],[Birthweight (grams)]]/Table1[[#This Row],[BW_GA]])-1)/(Backend!$B$4/100*Table1[[#This Row],[BW40_3705]]),"")</f>
        <v/>
      </c>
      <c r="H5301" s="7" t="str">
        <f>IF(Table1[[#This Row],[Is Data Valid]]=TRUE,((Table1[[#This Row],[Birthweight (grams)]]*0.9/Table1[[#This Row],[BW_GA]])-1)/(Backend!$B$4/100*Table1[[#This Row],[BW40_3705]]),"")</f>
        <v/>
      </c>
      <c r="I5301" s="7" t="str">
        <f>IF(Table1[[#This Row],[Is Data Valid]]=TRUE,((Table1[[#This Row],[Birthweight (grams)]]*1.1/Table1[[#This Row],[BW_GA]])-1)/(Backend!$B$4/100*Table1[[#This Row],[BW40_3705]]),"")</f>
        <v/>
      </c>
      <c r="J5301" s="7" t="str">
        <f>IF(Table1[[#This Row],[Is Data Valid]]=TRUE,_xlfn.NORM.S.DIST(Table1[[#This Row],[Birthweight Z-Score]],TRUE)*100,"")</f>
        <v/>
      </c>
      <c r="K5301" s="7" t="str">
        <f>IF(Table1[[#This Row],[Is Data Valid]]=TRUE,_xlfn.NORM.S.DIST(Table1[[#This Row],[Birthweight Z-Score (BW-10%)]],TRUE)*100,"")</f>
        <v/>
      </c>
      <c r="L5301" s="7" t="str">
        <f>IF(Table1[[#This Row],[Is Data Valid]]=TRUE,_xlfn.NORM.S.DIST(Table1[[#This Row],[Birthweight Z-Score (BW+10%)]],TRUE)*100,"")</f>
        <v/>
      </c>
    </row>
    <row r="5302" spans="1:12" x14ac:dyDescent="0.35">
      <c r="A5302" s="3"/>
      <c r="B5302" s="2"/>
      <c r="C5302" s="2"/>
      <c r="D5302" s="2" t="b">
        <f>IF(AND(NOT(ISBLANK(Table1[[#This Row],[Fetal Sex (Male, Female or Unknown)]])),ISNUMBER(Table1[[#This Row],[Birthweight (grams)]]),ISNUMBER(Table1[[#This Row],[Gestation (days)]])),TRUE,FALSE)</f>
        <v>0</v>
      </c>
      <c r="E5302" s="2" t="str">
        <f>IF(Table1[[#This Row],[Is Data Valid]]=TRUE,IF(Table1[[#This Row],[Fetal Sex (Male, Female or Unknown)]]="Male",Backend!$C$6,IF(Table1[[#This Row],[Fetal Sex (Male, Female or Unknown)]]="Female",Backend!$C$7,IF(Table1[[#This Row],[Fetal Sex (Male, Female or Unknown)]]="Unknown",Backend!$C$8,"Error"))),"")</f>
        <v/>
      </c>
      <c r="F5302" s="8" t="str">
        <f>IF(Table1[[#This Row],[Is Data Valid]]=TRUE,EXP(0.578+0.332*((Table1[[#This Row],[Gestation (days)]]+0.5)/7)-0.00354*((Table1[[#This Row],[Gestation (days)]]+0.5)/7)^2)*Table1[[#This Row],[BW40_3705]],"")</f>
        <v/>
      </c>
      <c r="G5302" s="2" t="str">
        <f>IF(Table1[[#This Row],[Is Data Valid]]=TRUE,((Table1[[#This Row],[Birthweight (grams)]]/Table1[[#This Row],[BW_GA]])-1)/(Backend!$B$4/100*Table1[[#This Row],[BW40_3705]]),"")</f>
        <v/>
      </c>
      <c r="H5302" s="7" t="str">
        <f>IF(Table1[[#This Row],[Is Data Valid]]=TRUE,((Table1[[#This Row],[Birthweight (grams)]]*0.9/Table1[[#This Row],[BW_GA]])-1)/(Backend!$B$4/100*Table1[[#This Row],[BW40_3705]]),"")</f>
        <v/>
      </c>
      <c r="I5302" s="7" t="str">
        <f>IF(Table1[[#This Row],[Is Data Valid]]=TRUE,((Table1[[#This Row],[Birthweight (grams)]]*1.1/Table1[[#This Row],[BW_GA]])-1)/(Backend!$B$4/100*Table1[[#This Row],[BW40_3705]]),"")</f>
        <v/>
      </c>
      <c r="J5302" s="7" t="str">
        <f>IF(Table1[[#This Row],[Is Data Valid]]=TRUE,_xlfn.NORM.S.DIST(Table1[[#This Row],[Birthweight Z-Score]],TRUE)*100,"")</f>
        <v/>
      </c>
      <c r="K5302" s="7" t="str">
        <f>IF(Table1[[#This Row],[Is Data Valid]]=TRUE,_xlfn.NORM.S.DIST(Table1[[#This Row],[Birthweight Z-Score (BW-10%)]],TRUE)*100,"")</f>
        <v/>
      </c>
      <c r="L5302" s="7" t="str">
        <f>IF(Table1[[#This Row],[Is Data Valid]]=TRUE,_xlfn.NORM.S.DIST(Table1[[#This Row],[Birthweight Z-Score (BW+10%)]],TRUE)*100,"")</f>
        <v/>
      </c>
    </row>
    <row r="5303" spans="1:12" x14ac:dyDescent="0.35">
      <c r="A5303" s="3"/>
      <c r="B5303" s="2"/>
      <c r="C5303" s="2"/>
      <c r="D5303" s="2" t="b">
        <f>IF(AND(NOT(ISBLANK(Table1[[#This Row],[Fetal Sex (Male, Female or Unknown)]])),ISNUMBER(Table1[[#This Row],[Birthweight (grams)]]),ISNUMBER(Table1[[#This Row],[Gestation (days)]])),TRUE,FALSE)</f>
        <v>0</v>
      </c>
      <c r="E5303" s="2" t="str">
        <f>IF(Table1[[#This Row],[Is Data Valid]]=TRUE,IF(Table1[[#This Row],[Fetal Sex (Male, Female or Unknown)]]="Male",Backend!$C$6,IF(Table1[[#This Row],[Fetal Sex (Male, Female or Unknown)]]="Female",Backend!$C$7,IF(Table1[[#This Row],[Fetal Sex (Male, Female or Unknown)]]="Unknown",Backend!$C$8,"Error"))),"")</f>
        <v/>
      </c>
      <c r="F5303" s="8" t="str">
        <f>IF(Table1[[#This Row],[Is Data Valid]]=TRUE,EXP(0.578+0.332*((Table1[[#This Row],[Gestation (days)]]+0.5)/7)-0.00354*((Table1[[#This Row],[Gestation (days)]]+0.5)/7)^2)*Table1[[#This Row],[BW40_3705]],"")</f>
        <v/>
      </c>
      <c r="G5303" s="2" t="str">
        <f>IF(Table1[[#This Row],[Is Data Valid]]=TRUE,((Table1[[#This Row],[Birthweight (grams)]]/Table1[[#This Row],[BW_GA]])-1)/(Backend!$B$4/100*Table1[[#This Row],[BW40_3705]]),"")</f>
        <v/>
      </c>
      <c r="H5303" s="7" t="str">
        <f>IF(Table1[[#This Row],[Is Data Valid]]=TRUE,((Table1[[#This Row],[Birthweight (grams)]]*0.9/Table1[[#This Row],[BW_GA]])-1)/(Backend!$B$4/100*Table1[[#This Row],[BW40_3705]]),"")</f>
        <v/>
      </c>
      <c r="I5303" s="7" t="str">
        <f>IF(Table1[[#This Row],[Is Data Valid]]=TRUE,((Table1[[#This Row],[Birthweight (grams)]]*1.1/Table1[[#This Row],[BW_GA]])-1)/(Backend!$B$4/100*Table1[[#This Row],[BW40_3705]]),"")</f>
        <v/>
      </c>
      <c r="J5303" s="7" t="str">
        <f>IF(Table1[[#This Row],[Is Data Valid]]=TRUE,_xlfn.NORM.S.DIST(Table1[[#This Row],[Birthweight Z-Score]],TRUE)*100,"")</f>
        <v/>
      </c>
      <c r="K5303" s="7" t="str">
        <f>IF(Table1[[#This Row],[Is Data Valid]]=TRUE,_xlfn.NORM.S.DIST(Table1[[#This Row],[Birthweight Z-Score (BW-10%)]],TRUE)*100,"")</f>
        <v/>
      </c>
      <c r="L5303" s="7" t="str">
        <f>IF(Table1[[#This Row],[Is Data Valid]]=TRUE,_xlfn.NORM.S.DIST(Table1[[#This Row],[Birthweight Z-Score (BW+10%)]],TRUE)*100,"")</f>
        <v/>
      </c>
    </row>
    <row r="5304" spans="1:12" x14ac:dyDescent="0.35">
      <c r="A5304" s="3"/>
      <c r="B5304" s="2"/>
      <c r="C5304" s="2"/>
      <c r="D5304" s="2" t="b">
        <f>IF(AND(NOT(ISBLANK(Table1[[#This Row],[Fetal Sex (Male, Female or Unknown)]])),ISNUMBER(Table1[[#This Row],[Birthweight (grams)]]),ISNUMBER(Table1[[#This Row],[Gestation (days)]])),TRUE,FALSE)</f>
        <v>0</v>
      </c>
      <c r="E5304" s="2" t="str">
        <f>IF(Table1[[#This Row],[Is Data Valid]]=TRUE,IF(Table1[[#This Row],[Fetal Sex (Male, Female or Unknown)]]="Male",Backend!$C$6,IF(Table1[[#This Row],[Fetal Sex (Male, Female or Unknown)]]="Female",Backend!$C$7,IF(Table1[[#This Row],[Fetal Sex (Male, Female or Unknown)]]="Unknown",Backend!$C$8,"Error"))),"")</f>
        <v/>
      </c>
      <c r="F5304" s="8" t="str">
        <f>IF(Table1[[#This Row],[Is Data Valid]]=TRUE,EXP(0.578+0.332*((Table1[[#This Row],[Gestation (days)]]+0.5)/7)-0.00354*((Table1[[#This Row],[Gestation (days)]]+0.5)/7)^2)*Table1[[#This Row],[BW40_3705]],"")</f>
        <v/>
      </c>
      <c r="G5304" s="2" t="str">
        <f>IF(Table1[[#This Row],[Is Data Valid]]=TRUE,((Table1[[#This Row],[Birthweight (grams)]]/Table1[[#This Row],[BW_GA]])-1)/(Backend!$B$4/100*Table1[[#This Row],[BW40_3705]]),"")</f>
        <v/>
      </c>
      <c r="H5304" s="7" t="str">
        <f>IF(Table1[[#This Row],[Is Data Valid]]=TRUE,((Table1[[#This Row],[Birthweight (grams)]]*0.9/Table1[[#This Row],[BW_GA]])-1)/(Backend!$B$4/100*Table1[[#This Row],[BW40_3705]]),"")</f>
        <v/>
      </c>
      <c r="I5304" s="7" t="str">
        <f>IF(Table1[[#This Row],[Is Data Valid]]=TRUE,((Table1[[#This Row],[Birthweight (grams)]]*1.1/Table1[[#This Row],[BW_GA]])-1)/(Backend!$B$4/100*Table1[[#This Row],[BW40_3705]]),"")</f>
        <v/>
      </c>
      <c r="J5304" s="7" t="str">
        <f>IF(Table1[[#This Row],[Is Data Valid]]=TRUE,_xlfn.NORM.S.DIST(Table1[[#This Row],[Birthweight Z-Score]],TRUE)*100,"")</f>
        <v/>
      </c>
      <c r="K5304" s="7" t="str">
        <f>IF(Table1[[#This Row],[Is Data Valid]]=TRUE,_xlfn.NORM.S.DIST(Table1[[#This Row],[Birthweight Z-Score (BW-10%)]],TRUE)*100,"")</f>
        <v/>
      </c>
      <c r="L5304" s="7" t="str">
        <f>IF(Table1[[#This Row],[Is Data Valid]]=TRUE,_xlfn.NORM.S.DIST(Table1[[#This Row],[Birthweight Z-Score (BW+10%)]],TRUE)*100,"")</f>
        <v/>
      </c>
    </row>
    <row r="5305" spans="1:12" x14ac:dyDescent="0.35">
      <c r="A5305" s="3"/>
      <c r="B5305" s="2"/>
      <c r="C5305" s="2"/>
      <c r="D5305" s="2" t="b">
        <f>IF(AND(NOT(ISBLANK(Table1[[#This Row],[Fetal Sex (Male, Female or Unknown)]])),ISNUMBER(Table1[[#This Row],[Birthweight (grams)]]),ISNUMBER(Table1[[#This Row],[Gestation (days)]])),TRUE,FALSE)</f>
        <v>0</v>
      </c>
      <c r="E5305" s="2" t="str">
        <f>IF(Table1[[#This Row],[Is Data Valid]]=TRUE,IF(Table1[[#This Row],[Fetal Sex (Male, Female or Unknown)]]="Male",Backend!$C$6,IF(Table1[[#This Row],[Fetal Sex (Male, Female or Unknown)]]="Female",Backend!$C$7,IF(Table1[[#This Row],[Fetal Sex (Male, Female or Unknown)]]="Unknown",Backend!$C$8,"Error"))),"")</f>
        <v/>
      </c>
      <c r="F5305" s="8" t="str">
        <f>IF(Table1[[#This Row],[Is Data Valid]]=TRUE,EXP(0.578+0.332*((Table1[[#This Row],[Gestation (days)]]+0.5)/7)-0.00354*((Table1[[#This Row],[Gestation (days)]]+0.5)/7)^2)*Table1[[#This Row],[BW40_3705]],"")</f>
        <v/>
      </c>
      <c r="G5305" s="2" t="str">
        <f>IF(Table1[[#This Row],[Is Data Valid]]=TRUE,((Table1[[#This Row],[Birthweight (grams)]]/Table1[[#This Row],[BW_GA]])-1)/(Backend!$B$4/100*Table1[[#This Row],[BW40_3705]]),"")</f>
        <v/>
      </c>
      <c r="H5305" s="7" t="str">
        <f>IF(Table1[[#This Row],[Is Data Valid]]=TRUE,((Table1[[#This Row],[Birthweight (grams)]]*0.9/Table1[[#This Row],[BW_GA]])-1)/(Backend!$B$4/100*Table1[[#This Row],[BW40_3705]]),"")</f>
        <v/>
      </c>
      <c r="I5305" s="7" t="str">
        <f>IF(Table1[[#This Row],[Is Data Valid]]=TRUE,((Table1[[#This Row],[Birthweight (grams)]]*1.1/Table1[[#This Row],[BW_GA]])-1)/(Backend!$B$4/100*Table1[[#This Row],[BW40_3705]]),"")</f>
        <v/>
      </c>
      <c r="J5305" s="7" t="str">
        <f>IF(Table1[[#This Row],[Is Data Valid]]=TRUE,_xlfn.NORM.S.DIST(Table1[[#This Row],[Birthweight Z-Score]],TRUE)*100,"")</f>
        <v/>
      </c>
      <c r="K5305" s="7" t="str">
        <f>IF(Table1[[#This Row],[Is Data Valid]]=TRUE,_xlfn.NORM.S.DIST(Table1[[#This Row],[Birthweight Z-Score (BW-10%)]],TRUE)*100,"")</f>
        <v/>
      </c>
      <c r="L5305" s="7" t="str">
        <f>IF(Table1[[#This Row],[Is Data Valid]]=TRUE,_xlfn.NORM.S.DIST(Table1[[#This Row],[Birthweight Z-Score (BW+10%)]],TRUE)*100,"")</f>
        <v/>
      </c>
    </row>
    <row r="5306" spans="1:12" x14ac:dyDescent="0.35">
      <c r="A5306" s="3"/>
      <c r="B5306" s="2"/>
      <c r="C5306" s="2"/>
      <c r="D5306" s="2" t="b">
        <f>IF(AND(NOT(ISBLANK(Table1[[#This Row],[Fetal Sex (Male, Female or Unknown)]])),ISNUMBER(Table1[[#This Row],[Birthweight (grams)]]),ISNUMBER(Table1[[#This Row],[Gestation (days)]])),TRUE,FALSE)</f>
        <v>0</v>
      </c>
      <c r="E5306" s="2" t="str">
        <f>IF(Table1[[#This Row],[Is Data Valid]]=TRUE,IF(Table1[[#This Row],[Fetal Sex (Male, Female or Unknown)]]="Male",Backend!$C$6,IF(Table1[[#This Row],[Fetal Sex (Male, Female or Unknown)]]="Female",Backend!$C$7,IF(Table1[[#This Row],[Fetal Sex (Male, Female or Unknown)]]="Unknown",Backend!$C$8,"Error"))),"")</f>
        <v/>
      </c>
      <c r="F5306" s="8" t="str">
        <f>IF(Table1[[#This Row],[Is Data Valid]]=TRUE,EXP(0.578+0.332*((Table1[[#This Row],[Gestation (days)]]+0.5)/7)-0.00354*((Table1[[#This Row],[Gestation (days)]]+0.5)/7)^2)*Table1[[#This Row],[BW40_3705]],"")</f>
        <v/>
      </c>
      <c r="G5306" s="2" t="str">
        <f>IF(Table1[[#This Row],[Is Data Valid]]=TRUE,((Table1[[#This Row],[Birthweight (grams)]]/Table1[[#This Row],[BW_GA]])-1)/(Backend!$B$4/100*Table1[[#This Row],[BW40_3705]]),"")</f>
        <v/>
      </c>
      <c r="H5306" s="7" t="str">
        <f>IF(Table1[[#This Row],[Is Data Valid]]=TRUE,((Table1[[#This Row],[Birthweight (grams)]]*0.9/Table1[[#This Row],[BW_GA]])-1)/(Backend!$B$4/100*Table1[[#This Row],[BW40_3705]]),"")</f>
        <v/>
      </c>
      <c r="I5306" s="7" t="str">
        <f>IF(Table1[[#This Row],[Is Data Valid]]=TRUE,((Table1[[#This Row],[Birthweight (grams)]]*1.1/Table1[[#This Row],[BW_GA]])-1)/(Backend!$B$4/100*Table1[[#This Row],[BW40_3705]]),"")</f>
        <v/>
      </c>
      <c r="J5306" s="7" t="str">
        <f>IF(Table1[[#This Row],[Is Data Valid]]=TRUE,_xlfn.NORM.S.DIST(Table1[[#This Row],[Birthweight Z-Score]],TRUE)*100,"")</f>
        <v/>
      </c>
      <c r="K5306" s="7" t="str">
        <f>IF(Table1[[#This Row],[Is Data Valid]]=TRUE,_xlfn.NORM.S.DIST(Table1[[#This Row],[Birthweight Z-Score (BW-10%)]],TRUE)*100,"")</f>
        <v/>
      </c>
      <c r="L5306" s="7" t="str">
        <f>IF(Table1[[#This Row],[Is Data Valid]]=TRUE,_xlfn.NORM.S.DIST(Table1[[#This Row],[Birthweight Z-Score (BW+10%)]],TRUE)*100,"")</f>
        <v/>
      </c>
    </row>
    <row r="5307" spans="1:12" x14ac:dyDescent="0.35">
      <c r="A5307" s="3"/>
      <c r="B5307" s="2"/>
      <c r="C5307" s="2"/>
      <c r="D5307" s="2" t="b">
        <f>IF(AND(NOT(ISBLANK(Table1[[#This Row],[Fetal Sex (Male, Female or Unknown)]])),ISNUMBER(Table1[[#This Row],[Birthweight (grams)]]),ISNUMBER(Table1[[#This Row],[Gestation (days)]])),TRUE,FALSE)</f>
        <v>0</v>
      </c>
      <c r="E5307" s="2" t="str">
        <f>IF(Table1[[#This Row],[Is Data Valid]]=TRUE,IF(Table1[[#This Row],[Fetal Sex (Male, Female or Unknown)]]="Male",Backend!$C$6,IF(Table1[[#This Row],[Fetal Sex (Male, Female or Unknown)]]="Female",Backend!$C$7,IF(Table1[[#This Row],[Fetal Sex (Male, Female or Unknown)]]="Unknown",Backend!$C$8,"Error"))),"")</f>
        <v/>
      </c>
      <c r="F5307" s="8" t="str">
        <f>IF(Table1[[#This Row],[Is Data Valid]]=TRUE,EXP(0.578+0.332*((Table1[[#This Row],[Gestation (days)]]+0.5)/7)-0.00354*((Table1[[#This Row],[Gestation (days)]]+0.5)/7)^2)*Table1[[#This Row],[BW40_3705]],"")</f>
        <v/>
      </c>
      <c r="G5307" s="2" t="str">
        <f>IF(Table1[[#This Row],[Is Data Valid]]=TRUE,((Table1[[#This Row],[Birthweight (grams)]]/Table1[[#This Row],[BW_GA]])-1)/(Backend!$B$4/100*Table1[[#This Row],[BW40_3705]]),"")</f>
        <v/>
      </c>
      <c r="H5307" s="7" t="str">
        <f>IF(Table1[[#This Row],[Is Data Valid]]=TRUE,((Table1[[#This Row],[Birthweight (grams)]]*0.9/Table1[[#This Row],[BW_GA]])-1)/(Backend!$B$4/100*Table1[[#This Row],[BW40_3705]]),"")</f>
        <v/>
      </c>
      <c r="I5307" s="7" t="str">
        <f>IF(Table1[[#This Row],[Is Data Valid]]=TRUE,((Table1[[#This Row],[Birthweight (grams)]]*1.1/Table1[[#This Row],[BW_GA]])-1)/(Backend!$B$4/100*Table1[[#This Row],[BW40_3705]]),"")</f>
        <v/>
      </c>
      <c r="J5307" s="7" t="str">
        <f>IF(Table1[[#This Row],[Is Data Valid]]=TRUE,_xlfn.NORM.S.DIST(Table1[[#This Row],[Birthweight Z-Score]],TRUE)*100,"")</f>
        <v/>
      </c>
      <c r="K5307" s="7" t="str">
        <f>IF(Table1[[#This Row],[Is Data Valid]]=TRUE,_xlfn.NORM.S.DIST(Table1[[#This Row],[Birthweight Z-Score (BW-10%)]],TRUE)*100,"")</f>
        <v/>
      </c>
      <c r="L5307" s="7" t="str">
        <f>IF(Table1[[#This Row],[Is Data Valid]]=TRUE,_xlfn.NORM.S.DIST(Table1[[#This Row],[Birthweight Z-Score (BW+10%)]],TRUE)*100,"")</f>
        <v/>
      </c>
    </row>
    <row r="5308" spans="1:12" x14ac:dyDescent="0.35">
      <c r="A5308" s="3"/>
      <c r="B5308" s="2"/>
      <c r="C5308" s="2"/>
      <c r="D5308" s="2" t="b">
        <f>IF(AND(NOT(ISBLANK(Table1[[#This Row],[Fetal Sex (Male, Female or Unknown)]])),ISNUMBER(Table1[[#This Row],[Birthweight (grams)]]),ISNUMBER(Table1[[#This Row],[Gestation (days)]])),TRUE,FALSE)</f>
        <v>0</v>
      </c>
      <c r="E5308" s="2" t="str">
        <f>IF(Table1[[#This Row],[Is Data Valid]]=TRUE,IF(Table1[[#This Row],[Fetal Sex (Male, Female or Unknown)]]="Male",Backend!$C$6,IF(Table1[[#This Row],[Fetal Sex (Male, Female or Unknown)]]="Female",Backend!$C$7,IF(Table1[[#This Row],[Fetal Sex (Male, Female or Unknown)]]="Unknown",Backend!$C$8,"Error"))),"")</f>
        <v/>
      </c>
      <c r="F5308" s="8" t="str">
        <f>IF(Table1[[#This Row],[Is Data Valid]]=TRUE,EXP(0.578+0.332*((Table1[[#This Row],[Gestation (days)]]+0.5)/7)-0.00354*((Table1[[#This Row],[Gestation (days)]]+0.5)/7)^2)*Table1[[#This Row],[BW40_3705]],"")</f>
        <v/>
      </c>
      <c r="G5308" s="2" t="str">
        <f>IF(Table1[[#This Row],[Is Data Valid]]=TRUE,((Table1[[#This Row],[Birthweight (grams)]]/Table1[[#This Row],[BW_GA]])-1)/(Backend!$B$4/100*Table1[[#This Row],[BW40_3705]]),"")</f>
        <v/>
      </c>
      <c r="H5308" s="7" t="str">
        <f>IF(Table1[[#This Row],[Is Data Valid]]=TRUE,((Table1[[#This Row],[Birthweight (grams)]]*0.9/Table1[[#This Row],[BW_GA]])-1)/(Backend!$B$4/100*Table1[[#This Row],[BW40_3705]]),"")</f>
        <v/>
      </c>
      <c r="I5308" s="7" t="str">
        <f>IF(Table1[[#This Row],[Is Data Valid]]=TRUE,((Table1[[#This Row],[Birthweight (grams)]]*1.1/Table1[[#This Row],[BW_GA]])-1)/(Backend!$B$4/100*Table1[[#This Row],[BW40_3705]]),"")</f>
        <v/>
      </c>
      <c r="J5308" s="7" t="str">
        <f>IF(Table1[[#This Row],[Is Data Valid]]=TRUE,_xlfn.NORM.S.DIST(Table1[[#This Row],[Birthweight Z-Score]],TRUE)*100,"")</f>
        <v/>
      </c>
      <c r="K5308" s="7" t="str">
        <f>IF(Table1[[#This Row],[Is Data Valid]]=TRUE,_xlfn.NORM.S.DIST(Table1[[#This Row],[Birthweight Z-Score (BW-10%)]],TRUE)*100,"")</f>
        <v/>
      </c>
      <c r="L5308" s="7" t="str">
        <f>IF(Table1[[#This Row],[Is Data Valid]]=TRUE,_xlfn.NORM.S.DIST(Table1[[#This Row],[Birthweight Z-Score (BW+10%)]],TRUE)*100,"")</f>
        <v/>
      </c>
    </row>
    <row r="5309" spans="1:12" x14ac:dyDescent="0.35">
      <c r="A5309" s="3"/>
      <c r="B5309" s="2"/>
      <c r="C5309" s="2"/>
      <c r="D5309" s="2" t="b">
        <f>IF(AND(NOT(ISBLANK(Table1[[#This Row],[Fetal Sex (Male, Female or Unknown)]])),ISNUMBER(Table1[[#This Row],[Birthweight (grams)]]),ISNUMBER(Table1[[#This Row],[Gestation (days)]])),TRUE,FALSE)</f>
        <v>0</v>
      </c>
      <c r="E5309" s="2" t="str">
        <f>IF(Table1[[#This Row],[Is Data Valid]]=TRUE,IF(Table1[[#This Row],[Fetal Sex (Male, Female or Unknown)]]="Male",Backend!$C$6,IF(Table1[[#This Row],[Fetal Sex (Male, Female or Unknown)]]="Female",Backend!$C$7,IF(Table1[[#This Row],[Fetal Sex (Male, Female or Unknown)]]="Unknown",Backend!$C$8,"Error"))),"")</f>
        <v/>
      </c>
      <c r="F5309" s="8" t="str">
        <f>IF(Table1[[#This Row],[Is Data Valid]]=TRUE,EXP(0.578+0.332*((Table1[[#This Row],[Gestation (days)]]+0.5)/7)-0.00354*((Table1[[#This Row],[Gestation (days)]]+0.5)/7)^2)*Table1[[#This Row],[BW40_3705]],"")</f>
        <v/>
      </c>
      <c r="G5309" s="2" t="str">
        <f>IF(Table1[[#This Row],[Is Data Valid]]=TRUE,((Table1[[#This Row],[Birthweight (grams)]]/Table1[[#This Row],[BW_GA]])-1)/(Backend!$B$4/100*Table1[[#This Row],[BW40_3705]]),"")</f>
        <v/>
      </c>
      <c r="H5309" s="7" t="str">
        <f>IF(Table1[[#This Row],[Is Data Valid]]=TRUE,((Table1[[#This Row],[Birthweight (grams)]]*0.9/Table1[[#This Row],[BW_GA]])-1)/(Backend!$B$4/100*Table1[[#This Row],[BW40_3705]]),"")</f>
        <v/>
      </c>
      <c r="I5309" s="7" t="str">
        <f>IF(Table1[[#This Row],[Is Data Valid]]=TRUE,((Table1[[#This Row],[Birthweight (grams)]]*1.1/Table1[[#This Row],[BW_GA]])-1)/(Backend!$B$4/100*Table1[[#This Row],[BW40_3705]]),"")</f>
        <v/>
      </c>
      <c r="J5309" s="7" t="str">
        <f>IF(Table1[[#This Row],[Is Data Valid]]=TRUE,_xlfn.NORM.S.DIST(Table1[[#This Row],[Birthweight Z-Score]],TRUE)*100,"")</f>
        <v/>
      </c>
      <c r="K5309" s="7" t="str">
        <f>IF(Table1[[#This Row],[Is Data Valid]]=TRUE,_xlfn.NORM.S.DIST(Table1[[#This Row],[Birthweight Z-Score (BW-10%)]],TRUE)*100,"")</f>
        <v/>
      </c>
      <c r="L5309" s="7" t="str">
        <f>IF(Table1[[#This Row],[Is Data Valid]]=TRUE,_xlfn.NORM.S.DIST(Table1[[#This Row],[Birthweight Z-Score (BW+10%)]],TRUE)*100,"")</f>
        <v/>
      </c>
    </row>
    <row r="5310" spans="1:12" x14ac:dyDescent="0.35">
      <c r="A5310" s="3"/>
      <c r="B5310" s="2"/>
      <c r="C5310" s="2"/>
      <c r="D5310" s="2" t="b">
        <f>IF(AND(NOT(ISBLANK(Table1[[#This Row],[Fetal Sex (Male, Female or Unknown)]])),ISNUMBER(Table1[[#This Row],[Birthweight (grams)]]),ISNUMBER(Table1[[#This Row],[Gestation (days)]])),TRUE,FALSE)</f>
        <v>0</v>
      </c>
      <c r="E5310" s="2" t="str">
        <f>IF(Table1[[#This Row],[Is Data Valid]]=TRUE,IF(Table1[[#This Row],[Fetal Sex (Male, Female or Unknown)]]="Male",Backend!$C$6,IF(Table1[[#This Row],[Fetal Sex (Male, Female or Unknown)]]="Female",Backend!$C$7,IF(Table1[[#This Row],[Fetal Sex (Male, Female or Unknown)]]="Unknown",Backend!$C$8,"Error"))),"")</f>
        <v/>
      </c>
      <c r="F5310" s="8" t="str">
        <f>IF(Table1[[#This Row],[Is Data Valid]]=TRUE,EXP(0.578+0.332*((Table1[[#This Row],[Gestation (days)]]+0.5)/7)-0.00354*((Table1[[#This Row],[Gestation (days)]]+0.5)/7)^2)*Table1[[#This Row],[BW40_3705]],"")</f>
        <v/>
      </c>
      <c r="G5310" s="2" t="str">
        <f>IF(Table1[[#This Row],[Is Data Valid]]=TRUE,((Table1[[#This Row],[Birthweight (grams)]]/Table1[[#This Row],[BW_GA]])-1)/(Backend!$B$4/100*Table1[[#This Row],[BW40_3705]]),"")</f>
        <v/>
      </c>
      <c r="H5310" s="7" t="str">
        <f>IF(Table1[[#This Row],[Is Data Valid]]=TRUE,((Table1[[#This Row],[Birthweight (grams)]]*0.9/Table1[[#This Row],[BW_GA]])-1)/(Backend!$B$4/100*Table1[[#This Row],[BW40_3705]]),"")</f>
        <v/>
      </c>
      <c r="I5310" s="7" t="str">
        <f>IF(Table1[[#This Row],[Is Data Valid]]=TRUE,((Table1[[#This Row],[Birthweight (grams)]]*1.1/Table1[[#This Row],[BW_GA]])-1)/(Backend!$B$4/100*Table1[[#This Row],[BW40_3705]]),"")</f>
        <v/>
      </c>
      <c r="J5310" s="7" t="str">
        <f>IF(Table1[[#This Row],[Is Data Valid]]=TRUE,_xlfn.NORM.S.DIST(Table1[[#This Row],[Birthweight Z-Score]],TRUE)*100,"")</f>
        <v/>
      </c>
      <c r="K5310" s="7" t="str">
        <f>IF(Table1[[#This Row],[Is Data Valid]]=TRUE,_xlfn.NORM.S.DIST(Table1[[#This Row],[Birthweight Z-Score (BW-10%)]],TRUE)*100,"")</f>
        <v/>
      </c>
      <c r="L5310" s="7" t="str">
        <f>IF(Table1[[#This Row],[Is Data Valid]]=TRUE,_xlfn.NORM.S.DIST(Table1[[#This Row],[Birthweight Z-Score (BW+10%)]],TRUE)*100,"")</f>
        <v/>
      </c>
    </row>
    <row r="5311" spans="1:12" x14ac:dyDescent="0.35">
      <c r="A5311" s="3"/>
      <c r="B5311" s="2"/>
      <c r="C5311" s="2"/>
      <c r="D5311" s="2" t="b">
        <f>IF(AND(NOT(ISBLANK(Table1[[#This Row],[Fetal Sex (Male, Female or Unknown)]])),ISNUMBER(Table1[[#This Row],[Birthweight (grams)]]),ISNUMBER(Table1[[#This Row],[Gestation (days)]])),TRUE,FALSE)</f>
        <v>0</v>
      </c>
      <c r="E5311" s="2" t="str">
        <f>IF(Table1[[#This Row],[Is Data Valid]]=TRUE,IF(Table1[[#This Row],[Fetal Sex (Male, Female or Unknown)]]="Male",Backend!$C$6,IF(Table1[[#This Row],[Fetal Sex (Male, Female or Unknown)]]="Female",Backend!$C$7,IF(Table1[[#This Row],[Fetal Sex (Male, Female or Unknown)]]="Unknown",Backend!$C$8,"Error"))),"")</f>
        <v/>
      </c>
      <c r="F5311" s="8" t="str">
        <f>IF(Table1[[#This Row],[Is Data Valid]]=TRUE,EXP(0.578+0.332*((Table1[[#This Row],[Gestation (days)]]+0.5)/7)-0.00354*((Table1[[#This Row],[Gestation (days)]]+0.5)/7)^2)*Table1[[#This Row],[BW40_3705]],"")</f>
        <v/>
      </c>
      <c r="G5311" s="2" t="str">
        <f>IF(Table1[[#This Row],[Is Data Valid]]=TRUE,((Table1[[#This Row],[Birthweight (grams)]]/Table1[[#This Row],[BW_GA]])-1)/(Backend!$B$4/100*Table1[[#This Row],[BW40_3705]]),"")</f>
        <v/>
      </c>
      <c r="H5311" s="7" t="str">
        <f>IF(Table1[[#This Row],[Is Data Valid]]=TRUE,((Table1[[#This Row],[Birthweight (grams)]]*0.9/Table1[[#This Row],[BW_GA]])-1)/(Backend!$B$4/100*Table1[[#This Row],[BW40_3705]]),"")</f>
        <v/>
      </c>
      <c r="I5311" s="7" t="str">
        <f>IF(Table1[[#This Row],[Is Data Valid]]=TRUE,((Table1[[#This Row],[Birthweight (grams)]]*1.1/Table1[[#This Row],[BW_GA]])-1)/(Backend!$B$4/100*Table1[[#This Row],[BW40_3705]]),"")</f>
        <v/>
      </c>
      <c r="J5311" s="7" t="str">
        <f>IF(Table1[[#This Row],[Is Data Valid]]=TRUE,_xlfn.NORM.S.DIST(Table1[[#This Row],[Birthweight Z-Score]],TRUE)*100,"")</f>
        <v/>
      </c>
      <c r="K5311" s="7" t="str">
        <f>IF(Table1[[#This Row],[Is Data Valid]]=TRUE,_xlfn.NORM.S.DIST(Table1[[#This Row],[Birthweight Z-Score (BW-10%)]],TRUE)*100,"")</f>
        <v/>
      </c>
      <c r="L5311" s="7" t="str">
        <f>IF(Table1[[#This Row],[Is Data Valid]]=TRUE,_xlfn.NORM.S.DIST(Table1[[#This Row],[Birthweight Z-Score (BW+10%)]],TRUE)*100,"")</f>
        <v/>
      </c>
    </row>
    <row r="5312" spans="1:12" x14ac:dyDescent="0.35">
      <c r="A5312" s="3"/>
      <c r="B5312" s="2"/>
      <c r="C5312" s="2"/>
      <c r="D5312" s="2" t="b">
        <f>IF(AND(NOT(ISBLANK(Table1[[#This Row],[Fetal Sex (Male, Female or Unknown)]])),ISNUMBER(Table1[[#This Row],[Birthweight (grams)]]),ISNUMBER(Table1[[#This Row],[Gestation (days)]])),TRUE,FALSE)</f>
        <v>0</v>
      </c>
      <c r="E5312" s="2" t="str">
        <f>IF(Table1[[#This Row],[Is Data Valid]]=TRUE,IF(Table1[[#This Row],[Fetal Sex (Male, Female or Unknown)]]="Male",Backend!$C$6,IF(Table1[[#This Row],[Fetal Sex (Male, Female or Unknown)]]="Female",Backend!$C$7,IF(Table1[[#This Row],[Fetal Sex (Male, Female or Unknown)]]="Unknown",Backend!$C$8,"Error"))),"")</f>
        <v/>
      </c>
      <c r="F5312" s="8" t="str">
        <f>IF(Table1[[#This Row],[Is Data Valid]]=TRUE,EXP(0.578+0.332*((Table1[[#This Row],[Gestation (days)]]+0.5)/7)-0.00354*((Table1[[#This Row],[Gestation (days)]]+0.5)/7)^2)*Table1[[#This Row],[BW40_3705]],"")</f>
        <v/>
      </c>
      <c r="G5312" s="2" t="str">
        <f>IF(Table1[[#This Row],[Is Data Valid]]=TRUE,((Table1[[#This Row],[Birthweight (grams)]]/Table1[[#This Row],[BW_GA]])-1)/(Backend!$B$4/100*Table1[[#This Row],[BW40_3705]]),"")</f>
        <v/>
      </c>
      <c r="H5312" s="7" t="str">
        <f>IF(Table1[[#This Row],[Is Data Valid]]=TRUE,((Table1[[#This Row],[Birthweight (grams)]]*0.9/Table1[[#This Row],[BW_GA]])-1)/(Backend!$B$4/100*Table1[[#This Row],[BW40_3705]]),"")</f>
        <v/>
      </c>
      <c r="I5312" s="7" t="str">
        <f>IF(Table1[[#This Row],[Is Data Valid]]=TRUE,((Table1[[#This Row],[Birthweight (grams)]]*1.1/Table1[[#This Row],[BW_GA]])-1)/(Backend!$B$4/100*Table1[[#This Row],[BW40_3705]]),"")</f>
        <v/>
      </c>
      <c r="J5312" s="7" t="str">
        <f>IF(Table1[[#This Row],[Is Data Valid]]=TRUE,_xlfn.NORM.S.DIST(Table1[[#This Row],[Birthweight Z-Score]],TRUE)*100,"")</f>
        <v/>
      </c>
      <c r="K5312" s="7" t="str">
        <f>IF(Table1[[#This Row],[Is Data Valid]]=TRUE,_xlfn.NORM.S.DIST(Table1[[#This Row],[Birthweight Z-Score (BW-10%)]],TRUE)*100,"")</f>
        <v/>
      </c>
      <c r="L5312" s="7" t="str">
        <f>IF(Table1[[#This Row],[Is Data Valid]]=TRUE,_xlfn.NORM.S.DIST(Table1[[#This Row],[Birthweight Z-Score (BW+10%)]],TRUE)*100,"")</f>
        <v/>
      </c>
    </row>
    <row r="5313" spans="1:12" x14ac:dyDescent="0.35">
      <c r="A5313" s="3"/>
      <c r="B5313" s="2"/>
      <c r="C5313" s="2"/>
      <c r="D5313" s="2" t="b">
        <f>IF(AND(NOT(ISBLANK(Table1[[#This Row],[Fetal Sex (Male, Female or Unknown)]])),ISNUMBER(Table1[[#This Row],[Birthweight (grams)]]),ISNUMBER(Table1[[#This Row],[Gestation (days)]])),TRUE,FALSE)</f>
        <v>0</v>
      </c>
      <c r="E5313" s="2" t="str">
        <f>IF(Table1[[#This Row],[Is Data Valid]]=TRUE,IF(Table1[[#This Row],[Fetal Sex (Male, Female or Unknown)]]="Male",Backend!$C$6,IF(Table1[[#This Row],[Fetal Sex (Male, Female or Unknown)]]="Female",Backend!$C$7,IF(Table1[[#This Row],[Fetal Sex (Male, Female or Unknown)]]="Unknown",Backend!$C$8,"Error"))),"")</f>
        <v/>
      </c>
      <c r="F5313" s="8" t="str">
        <f>IF(Table1[[#This Row],[Is Data Valid]]=TRUE,EXP(0.578+0.332*((Table1[[#This Row],[Gestation (days)]]+0.5)/7)-0.00354*((Table1[[#This Row],[Gestation (days)]]+0.5)/7)^2)*Table1[[#This Row],[BW40_3705]],"")</f>
        <v/>
      </c>
      <c r="G5313" s="2" t="str">
        <f>IF(Table1[[#This Row],[Is Data Valid]]=TRUE,((Table1[[#This Row],[Birthweight (grams)]]/Table1[[#This Row],[BW_GA]])-1)/(Backend!$B$4/100*Table1[[#This Row],[BW40_3705]]),"")</f>
        <v/>
      </c>
      <c r="H5313" s="7" t="str">
        <f>IF(Table1[[#This Row],[Is Data Valid]]=TRUE,((Table1[[#This Row],[Birthweight (grams)]]*0.9/Table1[[#This Row],[BW_GA]])-1)/(Backend!$B$4/100*Table1[[#This Row],[BW40_3705]]),"")</f>
        <v/>
      </c>
      <c r="I5313" s="7" t="str">
        <f>IF(Table1[[#This Row],[Is Data Valid]]=TRUE,((Table1[[#This Row],[Birthweight (grams)]]*1.1/Table1[[#This Row],[BW_GA]])-1)/(Backend!$B$4/100*Table1[[#This Row],[BW40_3705]]),"")</f>
        <v/>
      </c>
      <c r="J5313" s="7" t="str">
        <f>IF(Table1[[#This Row],[Is Data Valid]]=TRUE,_xlfn.NORM.S.DIST(Table1[[#This Row],[Birthweight Z-Score]],TRUE)*100,"")</f>
        <v/>
      </c>
      <c r="K5313" s="7" t="str">
        <f>IF(Table1[[#This Row],[Is Data Valid]]=TRUE,_xlfn.NORM.S.DIST(Table1[[#This Row],[Birthweight Z-Score (BW-10%)]],TRUE)*100,"")</f>
        <v/>
      </c>
      <c r="L5313" s="7" t="str">
        <f>IF(Table1[[#This Row],[Is Data Valid]]=TRUE,_xlfn.NORM.S.DIST(Table1[[#This Row],[Birthweight Z-Score (BW+10%)]],TRUE)*100,"")</f>
        <v/>
      </c>
    </row>
    <row r="5314" spans="1:12" x14ac:dyDescent="0.35">
      <c r="A5314" s="3"/>
      <c r="B5314" s="2"/>
      <c r="C5314" s="2"/>
      <c r="D5314" s="2" t="b">
        <f>IF(AND(NOT(ISBLANK(Table1[[#This Row],[Fetal Sex (Male, Female or Unknown)]])),ISNUMBER(Table1[[#This Row],[Birthweight (grams)]]),ISNUMBER(Table1[[#This Row],[Gestation (days)]])),TRUE,FALSE)</f>
        <v>0</v>
      </c>
      <c r="E5314" s="2" t="str">
        <f>IF(Table1[[#This Row],[Is Data Valid]]=TRUE,IF(Table1[[#This Row],[Fetal Sex (Male, Female or Unknown)]]="Male",Backend!$C$6,IF(Table1[[#This Row],[Fetal Sex (Male, Female or Unknown)]]="Female",Backend!$C$7,IF(Table1[[#This Row],[Fetal Sex (Male, Female or Unknown)]]="Unknown",Backend!$C$8,"Error"))),"")</f>
        <v/>
      </c>
      <c r="F5314" s="8" t="str">
        <f>IF(Table1[[#This Row],[Is Data Valid]]=TRUE,EXP(0.578+0.332*((Table1[[#This Row],[Gestation (days)]]+0.5)/7)-0.00354*((Table1[[#This Row],[Gestation (days)]]+0.5)/7)^2)*Table1[[#This Row],[BW40_3705]],"")</f>
        <v/>
      </c>
      <c r="G5314" s="2" t="str">
        <f>IF(Table1[[#This Row],[Is Data Valid]]=TRUE,((Table1[[#This Row],[Birthweight (grams)]]/Table1[[#This Row],[BW_GA]])-1)/(Backend!$B$4/100*Table1[[#This Row],[BW40_3705]]),"")</f>
        <v/>
      </c>
      <c r="H5314" s="7" t="str">
        <f>IF(Table1[[#This Row],[Is Data Valid]]=TRUE,((Table1[[#This Row],[Birthweight (grams)]]*0.9/Table1[[#This Row],[BW_GA]])-1)/(Backend!$B$4/100*Table1[[#This Row],[BW40_3705]]),"")</f>
        <v/>
      </c>
      <c r="I5314" s="7" t="str">
        <f>IF(Table1[[#This Row],[Is Data Valid]]=TRUE,((Table1[[#This Row],[Birthweight (grams)]]*1.1/Table1[[#This Row],[BW_GA]])-1)/(Backend!$B$4/100*Table1[[#This Row],[BW40_3705]]),"")</f>
        <v/>
      </c>
      <c r="J5314" s="7" t="str">
        <f>IF(Table1[[#This Row],[Is Data Valid]]=TRUE,_xlfn.NORM.S.DIST(Table1[[#This Row],[Birthweight Z-Score]],TRUE)*100,"")</f>
        <v/>
      </c>
      <c r="K5314" s="7" t="str">
        <f>IF(Table1[[#This Row],[Is Data Valid]]=TRUE,_xlfn.NORM.S.DIST(Table1[[#This Row],[Birthweight Z-Score (BW-10%)]],TRUE)*100,"")</f>
        <v/>
      </c>
      <c r="L5314" s="7" t="str">
        <f>IF(Table1[[#This Row],[Is Data Valid]]=TRUE,_xlfn.NORM.S.DIST(Table1[[#This Row],[Birthweight Z-Score (BW+10%)]],TRUE)*100,"")</f>
        <v/>
      </c>
    </row>
    <row r="5315" spans="1:12" x14ac:dyDescent="0.35">
      <c r="A5315" s="3"/>
      <c r="B5315" s="2"/>
      <c r="C5315" s="2"/>
      <c r="D5315" s="2" t="b">
        <f>IF(AND(NOT(ISBLANK(Table1[[#This Row],[Fetal Sex (Male, Female or Unknown)]])),ISNUMBER(Table1[[#This Row],[Birthweight (grams)]]),ISNUMBER(Table1[[#This Row],[Gestation (days)]])),TRUE,FALSE)</f>
        <v>0</v>
      </c>
      <c r="E5315" s="2" t="str">
        <f>IF(Table1[[#This Row],[Is Data Valid]]=TRUE,IF(Table1[[#This Row],[Fetal Sex (Male, Female or Unknown)]]="Male",Backend!$C$6,IF(Table1[[#This Row],[Fetal Sex (Male, Female or Unknown)]]="Female",Backend!$C$7,IF(Table1[[#This Row],[Fetal Sex (Male, Female or Unknown)]]="Unknown",Backend!$C$8,"Error"))),"")</f>
        <v/>
      </c>
      <c r="F5315" s="8" t="str">
        <f>IF(Table1[[#This Row],[Is Data Valid]]=TRUE,EXP(0.578+0.332*((Table1[[#This Row],[Gestation (days)]]+0.5)/7)-0.00354*((Table1[[#This Row],[Gestation (days)]]+0.5)/7)^2)*Table1[[#This Row],[BW40_3705]],"")</f>
        <v/>
      </c>
      <c r="G5315" s="2" t="str">
        <f>IF(Table1[[#This Row],[Is Data Valid]]=TRUE,((Table1[[#This Row],[Birthweight (grams)]]/Table1[[#This Row],[BW_GA]])-1)/(Backend!$B$4/100*Table1[[#This Row],[BW40_3705]]),"")</f>
        <v/>
      </c>
      <c r="H5315" s="7" t="str">
        <f>IF(Table1[[#This Row],[Is Data Valid]]=TRUE,((Table1[[#This Row],[Birthweight (grams)]]*0.9/Table1[[#This Row],[BW_GA]])-1)/(Backend!$B$4/100*Table1[[#This Row],[BW40_3705]]),"")</f>
        <v/>
      </c>
      <c r="I5315" s="7" t="str">
        <f>IF(Table1[[#This Row],[Is Data Valid]]=TRUE,((Table1[[#This Row],[Birthweight (grams)]]*1.1/Table1[[#This Row],[BW_GA]])-1)/(Backend!$B$4/100*Table1[[#This Row],[BW40_3705]]),"")</f>
        <v/>
      </c>
      <c r="J5315" s="7" t="str">
        <f>IF(Table1[[#This Row],[Is Data Valid]]=TRUE,_xlfn.NORM.S.DIST(Table1[[#This Row],[Birthweight Z-Score]],TRUE)*100,"")</f>
        <v/>
      </c>
      <c r="K5315" s="7" t="str">
        <f>IF(Table1[[#This Row],[Is Data Valid]]=TRUE,_xlfn.NORM.S.DIST(Table1[[#This Row],[Birthweight Z-Score (BW-10%)]],TRUE)*100,"")</f>
        <v/>
      </c>
      <c r="L5315" s="7" t="str">
        <f>IF(Table1[[#This Row],[Is Data Valid]]=TRUE,_xlfn.NORM.S.DIST(Table1[[#This Row],[Birthweight Z-Score (BW+10%)]],TRUE)*100,"")</f>
        <v/>
      </c>
    </row>
    <row r="5316" spans="1:12" x14ac:dyDescent="0.35">
      <c r="A5316" s="3"/>
      <c r="B5316" s="2"/>
      <c r="C5316" s="2"/>
      <c r="D5316" s="2" t="b">
        <f>IF(AND(NOT(ISBLANK(Table1[[#This Row],[Fetal Sex (Male, Female or Unknown)]])),ISNUMBER(Table1[[#This Row],[Birthweight (grams)]]),ISNUMBER(Table1[[#This Row],[Gestation (days)]])),TRUE,FALSE)</f>
        <v>0</v>
      </c>
      <c r="E5316" s="2" t="str">
        <f>IF(Table1[[#This Row],[Is Data Valid]]=TRUE,IF(Table1[[#This Row],[Fetal Sex (Male, Female or Unknown)]]="Male",Backend!$C$6,IF(Table1[[#This Row],[Fetal Sex (Male, Female or Unknown)]]="Female",Backend!$C$7,IF(Table1[[#This Row],[Fetal Sex (Male, Female or Unknown)]]="Unknown",Backend!$C$8,"Error"))),"")</f>
        <v/>
      </c>
      <c r="F5316" s="8" t="str">
        <f>IF(Table1[[#This Row],[Is Data Valid]]=TRUE,EXP(0.578+0.332*((Table1[[#This Row],[Gestation (days)]]+0.5)/7)-0.00354*((Table1[[#This Row],[Gestation (days)]]+0.5)/7)^2)*Table1[[#This Row],[BW40_3705]],"")</f>
        <v/>
      </c>
      <c r="G5316" s="2" t="str">
        <f>IF(Table1[[#This Row],[Is Data Valid]]=TRUE,((Table1[[#This Row],[Birthweight (grams)]]/Table1[[#This Row],[BW_GA]])-1)/(Backend!$B$4/100*Table1[[#This Row],[BW40_3705]]),"")</f>
        <v/>
      </c>
      <c r="H5316" s="7" t="str">
        <f>IF(Table1[[#This Row],[Is Data Valid]]=TRUE,((Table1[[#This Row],[Birthweight (grams)]]*0.9/Table1[[#This Row],[BW_GA]])-1)/(Backend!$B$4/100*Table1[[#This Row],[BW40_3705]]),"")</f>
        <v/>
      </c>
      <c r="I5316" s="7" t="str">
        <f>IF(Table1[[#This Row],[Is Data Valid]]=TRUE,((Table1[[#This Row],[Birthweight (grams)]]*1.1/Table1[[#This Row],[BW_GA]])-1)/(Backend!$B$4/100*Table1[[#This Row],[BW40_3705]]),"")</f>
        <v/>
      </c>
      <c r="J5316" s="7" t="str">
        <f>IF(Table1[[#This Row],[Is Data Valid]]=TRUE,_xlfn.NORM.S.DIST(Table1[[#This Row],[Birthweight Z-Score]],TRUE)*100,"")</f>
        <v/>
      </c>
      <c r="K5316" s="7" t="str">
        <f>IF(Table1[[#This Row],[Is Data Valid]]=TRUE,_xlfn.NORM.S.DIST(Table1[[#This Row],[Birthweight Z-Score (BW-10%)]],TRUE)*100,"")</f>
        <v/>
      </c>
      <c r="L5316" s="7" t="str">
        <f>IF(Table1[[#This Row],[Is Data Valid]]=TRUE,_xlfn.NORM.S.DIST(Table1[[#This Row],[Birthweight Z-Score (BW+10%)]],TRUE)*100,"")</f>
        <v/>
      </c>
    </row>
    <row r="5317" spans="1:12" x14ac:dyDescent="0.35">
      <c r="A5317" s="3"/>
      <c r="B5317" s="2"/>
      <c r="C5317" s="2"/>
      <c r="D5317" s="2" t="b">
        <f>IF(AND(NOT(ISBLANK(Table1[[#This Row],[Fetal Sex (Male, Female or Unknown)]])),ISNUMBER(Table1[[#This Row],[Birthweight (grams)]]),ISNUMBER(Table1[[#This Row],[Gestation (days)]])),TRUE,FALSE)</f>
        <v>0</v>
      </c>
      <c r="E5317" s="2" t="str">
        <f>IF(Table1[[#This Row],[Is Data Valid]]=TRUE,IF(Table1[[#This Row],[Fetal Sex (Male, Female or Unknown)]]="Male",Backend!$C$6,IF(Table1[[#This Row],[Fetal Sex (Male, Female or Unknown)]]="Female",Backend!$C$7,IF(Table1[[#This Row],[Fetal Sex (Male, Female or Unknown)]]="Unknown",Backend!$C$8,"Error"))),"")</f>
        <v/>
      </c>
      <c r="F5317" s="8" t="str">
        <f>IF(Table1[[#This Row],[Is Data Valid]]=TRUE,EXP(0.578+0.332*((Table1[[#This Row],[Gestation (days)]]+0.5)/7)-0.00354*((Table1[[#This Row],[Gestation (days)]]+0.5)/7)^2)*Table1[[#This Row],[BW40_3705]],"")</f>
        <v/>
      </c>
      <c r="G5317" s="2" t="str">
        <f>IF(Table1[[#This Row],[Is Data Valid]]=TRUE,((Table1[[#This Row],[Birthweight (grams)]]/Table1[[#This Row],[BW_GA]])-1)/(Backend!$B$4/100*Table1[[#This Row],[BW40_3705]]),"")</f>
        <v/>
      </c>
      <c r="H5317" s="7" t="str">
        <f>IF(Table1[[#This Row],[Is Data Valid]]=TRUE,((Table1[[#This Row],[Birthweight (grams)]]*0.9/Table1[[#This Row],[BW_GA]])-1)/(Backend!$B$4/100*Table1[[#This Row],[BW40_3705]]),"")</f>
        <v/>
      </c>
      <c r="I5317" s="7" t="str">
        <f>IF(Table1[[#This Row],[Is Data Valid]]=TRUE,((Table1[[#This Row],[Birthweight (grams)]]*1.1/Table1[[#This Row],[BW_GA]])-1)/(Backend!$B$4/100*Table1[[#This Row],[BW40_3705]]),"")</f>
        <v/>
      </c>
      <c r="J5317" s="7" t="str">
        <f>IF(Table1[[#This Row],[Is Data Valid]]=TRUE,_xlfn.NORM.S.DIST(Table1[[#This Row],[Birthweight Z-Score]],TRUE)*100,"")</f>
        <v/>
      </c>
      <c r="K5317" s="7" t="str">
        <f>IF(Table1[[#This Row],[Is Data Valid]]=TRUE,_xlfn.NORM.S.DIST(Table1[[#This Row],[Birthweight Z-Score (BW-10%)]],TRUE)*100,"")</f>
        <v/>
      </c>
      <c r="L5317" s="7" t="str">
        <f>IF(Table1[[#This Row],[Is Data Valid]]=TRUE,_xlfn.NORM.S.DIST(Table1[[#This Row],[Birthweight Z-Score (BW+10%)]],TRUE)*100,"")</f>
        <v/>
      </c>
    </row>
    <row r="5318" spans="1:12" x14ac:dyDescent="0.35">
      <c r="A5318" s="3"/>
      <c r="B5318" s="2"/>
      <c r="C5318" s="2"/>
      <c r="D5318" s="2" t="b">
        <f>IF(AND(NOT(ISBLANK(Table1[[#This Row],[Fetal Sex (Male, Female or Unknown)]])),ISNUMBER(Table1[[#This Row],[Birthweight (grams)]]),ISNUMBER(Table1[[#This Row],[Gestation (days)]])),TRUE,FALSE)</f>
        <v>0</v>
      </c>
      <c r="E5318" s="2" t="str">
        <f>IF(Table1[[#This Row],[Is Data Valid]]=TRUE,IF(Table1[[#This Row],[Fetal Sex (Male, Female or Unknown)]]="Male",Backend!$C$6,IF(Table1[[#This Row],[Fetal Sex (Male, Female or Unknown)]]="Female",Backend!$C$7,IF(Table1[[#This Row],[Fetal Sex (Male, Female or Unknown)]]="Unknown",Backend!$C$8,"Error"))),"")</f>
        <v/>
      </c>
      <c r="F5318" s="8" t="str">
        <f>IF(Table1[[#This Row],[Is Data Valid]]=TRUE,EXP(0.578+0.332*((Table1[[#This Row],[Gestation (days)]]+0.5)/7)-0.00354*((Table1[[#This Row],[Gestation (days)]]+0.5)/7)^2)*Table1[[#This Row],[BW40_3705]],"")</f>
        <v/>
      </c>
      <c r="G5318" s="2" t="str">
        <f>IF(Table1[[#This Row],[Is Data Valid]]=TRUE,((Table1[[#This Row],[Birthweight (grams)]]/Table1[[#This Row],[BW_GA]])-1)/(Backend!$B$4/100*Table1[[#This Row],[BW40_3705]]),"")</f>
        <v/>
      </c>
      <c r="H5318" s="7" t="str">
        <f>IF(Table1[[#This Row],[Is Data Valid]]=TRUE,((Table1[[#This Row],[Birthweight (grams)]]*0.9/Table1[[#This Row],[BW_GA]])-1)/(Backend!$B$4/100*Table1[[#This Row],[BW40_3705]]),"")</f>
        <v/>
      </c>
      <c r="I5318" s="7" t="str">
        <f>IF(Table1[[#This Row],[Is Data Valid]]=TRUE,((Table1[[#This Row],[Birthweight (grams)]]*1.1/Table1[[#This Row],[BW_GA]])-1)/(Backend!$B$4/100*Table1[[#This Row],[BW40_3705]]),"")</f>
        <v/>
      </c>
      <c r="J5318" s="7" t="str">
        <f>IF(Table1[[#This Row],[Is Data Valid]]=TRUE,_xlfn.NORM.S.DIST(Table1[[#This Row],[Birthweight Z-Score]],TRUE)*100,"")</f>
        <v/>
      </c>
      <c r="K5318" s="7" t="str">
        <f>IF(Table1[[#This Row],[Is Data Valid]]=TRUE,_xlfn.NORM.S.DIST(Table1[[#This Row],[Birthweight Z-Score (BW-10%)]],TRUE)*100,"")</f>
        <v/>
      </c>
      <c r="L5318" s="7" t="str">
        <f>IF(Table1[[#This Row],[Is Data Valid]]=TRUE,_xlfn.NORM.S.DIST(Table1[[#This Row],[Birthweight Z-Score (BW+10%)]],TRUE)*100,"")</f>
        <v/>
      </c>
    </row>
    <row r="5319" spans="1:12" x14ac:dyDescent="0.35">
      <c r="A5319" s="3"/>
      <c r="B5319" s="2"/>
      <c r="C5319" s="2"/>
      <c r="D5319" s="2" t="b">
        <f>IF(AND(NOT(ISBLANK(Table1[[#This Row],[Fetal Sex (Male, Female or Unknown)]])),ISNUMBER(Table1[[#This Row],[Birthweight (grams)]]),ISNUMBER(Table1[[#This Row],[Gestation (days)]])),TRUE,FALSE)</f>
        <v>0</v>
      </c>
      <c r="E5319" s="2" t="str">
        <f>IF(Table1[[#This Row],[Is Data Valid]]=TRUE,IF(Table1[[#This Row],[Fetal Sex (Male, Female or Unknown)]]="Male",Backend!$C$6,IF(Table1[[#This Row],[Fetal Sex (Male, Female or Unknown)]]="Female",Backend!$C$7,IF(Table1[[#This Row],[Fetal Sex (Male, Female or Unknown)]]="Unknown",Backend!$C$8,"Error"))),"")</f>
        <v/>
      </c>
      <c r="F5319" s="8" t="str">
        <f>IF(Table1[[#This Row],[Is Data Valid]]=TRUE,EXP(0.578+0.332*((Table1[[#This Row],[Gestation (days)]]+0.5)/7)-0.00354*((Table1[[#This Row],[Gestation (days)]]+0.5)/7)^2)*Table1[[#This Row],[BW40_3705]],"")</f>
        <v/>
      </c>
      <c r="G5319" s="2" t="str">
        <f>IF(Table1[[#This Row],[Is Data Valid]]=TRUE,((Table1[[#This Row],[Birthweight (grams)]]/Table1[[#This Row],[BW_GA]])-1)/(Backend!$B$4/100*Table1[[#This Row],[BW40_3705]]),"")</f>
        <v/>
      </c>
      <c r="H5319" s="7" t="str">
        <f>IF(Table1[[#This Row],[Is Data Valid]]=TRUE,((Table1[[#This Row],[Birthweight (grams)]]*0.9/Table1[[#This Row],[BW_GA]])-1)/(Backend!$B$4/100*Table1[[#This Row],[BW40_3705]]),"")</f>
        <v/>
      </c>
      <c r="I5319" s="7" t="str">
        <f>IF(Table1[[#This Row],[Is Data Valid]]=TRUE,((Table1[[#This Row],[Birthweight (grams)]]*1.1/Table1[[#This Row],[BW_GA]])-1)/(Backend!$B$4/100*Table1[[#This Row],[BW40_3705]]),"")</f>
        <v/>
      </c>
      <c r="J5319" s="7" t="str">
        <f>IF(Table1[[#This Row],[Is Data Valid]]=TRUE,_xlfn.NORM.S.DIST(Table1[[#This Row],[Birthweight Z-Score]],TRUE)*100,"")</f>
        <v/>
      </c>
      <c r="K5319" s="7" t="str">
        <f>IF(Table1[[#This Row],[Is Data Valid]]=TRUE,_xlfn.NORM.S.DIST(Table1[[#This Row],[Birthweight Z-Score (BW-10%)]],TRUE)*100,"")</f>
        <v/>
      </c>
      <c r="L5319" s="7" t="str">
        <f>IF(Table1[[#This Row],[Is Data Valid]]=TRUE,_xlfn.NORM.S.DIST(Table1[[#This Row],[Birthweight Z-Score (BW+10%)]],TRUE)*100,"")</f>
        <v/>
      </c>
    </row>
    <row r="5320" spans="1:12" x14ac:dyDescent="0.35">
      <c r="A5320" s="3"/>
      <c r="B5320" s="2"/>
      <c r="C5320" s="2"/>
      <c r="D5320" s="2" t="b">
        <f>IF(AND(NOT(ISBLANK(Table1[[#This Row],[Fetal Sex (Male, Female or Unknown)]])),ISNUMBER(Table1[[#This Row],[Birthweight (grams)]]),ISNUMBER(Table1[[#This Row],[Gestation (days)]])),TRUE,FALSE)</f>
        <v>0</v>
      </c>
      <c r="E5320" s="2" t="str">
        <f>IF(Table1[[#This Row],[Is Data Valid]]=TRUE,IF(Table1[[#This Row],[Fetal Sex (Male, Female or Unknown)]]="Male",Backend!$C$6,IF(Table1[[#This Row],[Fetal Sex (Male, Female or Unknown)]]="Female",Backend!$C$7,IF(Table1[[#This Row],[Fetal Sex (Male, Female or Unknown)]]="Unknown",Backend!$C$8,"Error"))),"")</f>
        <v/>
      </c>
      <c r="F5320" s="8" t="str">
        <f>IF(Table1[[#This Row],[Is Data Valid]]=TRUE,EXP(0.578+0.332*((Table1[[#This Row],[Gestation (days)]]+0.5)/7)-0.00354*((Table1[[#This Row],[Gestation (days)]]+0.5)/7)^2)*Table1[[#This Row],[BW40_3705]],"")</f>
        <v/>
      </c>
      <c r="G5320" s="2" t="str">
        <f>IF(Table1[[#This Row],[Is Data Valid]]=TRUE,((Table1[[#This Row],[Birthweight (grams)]]/Table1[[#This Row],[BW_GA]])-1)/(Backend!$B$4/100*Table1[[#This Row],[BW40_3705]]),"")</f>
        <v/>
      </c>
      <c r="H5320" s="7" t="str">
        <f>IF(Table1[[#This Row],[Is Data Valid]]=TRUE,((Table1[[#This Row],[Birthweight (grams)]]*0.9/Table1[[#This Row],[BW_GA]])-1)/(Backend!$B$4/100*Table1[[#This Row],[BW40_3705]]),"")</f>
        <v/>
      </c>
      <c r="I5320" s="7" t="str">
        <f>IF(Table1[[#This Row],[Is Data Valid]]=TRUE,((Table1[[#This Row],[Birthweight (grams)]]*1.1/Table1[[#This Row],[BW_GA]])-1)/(Backend!$B$4/100*Table1[[#This Row],[BW40_3705]]),"")</f>
        <v/>
      </c>
      <c r="J5320" s="7" t="str">
        <f>IF(Table1[[#This Row],[Is Data Valid]]=TRUE,_xlfn.NORM.S.DIST(Table1[[#This Row],[Birthweight Z-Score]],TRUE)*100,"")</f>
        <v/>
      </c>
      <c r="K5320" s="7" t="str">
        <f>IF(Table1[[#This Row],[Is Data Valid]]=TRUE,_xlfn.NORM.S.DIST(Table1[[#This Row],[Birthweight Z-Score (BW-10%)]],TRUE)*100,"")</f>
        <v/>
      </c>
      <c r="L5320" s="7" t="str">
        <f>IF(Table1[[#This Row],[Is Data Valid]]=TRUE,_xlfn.NORM.S.DIST(Table1[[#This Row],[Birthweight Z-Score (BW+10%)]],TRUE)*100,"")</f>
        <v/>
      </c>
    </row>
    <row r="5321" spans="1:12" x14ac:dyDescent="0.35">
      <c r="A5321" s="3"/>
      <c r="B5321" s="2"/>
      <c r="C5321" s="2"/>
      <c r="D5321" s="2" t="b">
        <f>IF(AND(NOT(ISBLANK(Table1[[#This Row],[Fetal Sex (Male, Female or Unknown)]])),ISNUMBER(Table1[[#This Row],[Birthweight (grams)]]),ISNUMBER(Table1[[#This Row],[Gestation (days)]])),TRUE,FALSE)</f>
        <v>0</v>
      </c>
      <c r="E5321" s="2" t="str">
        <f>IF(Table1[[#This Row],[Is Data Valid]]=TRUE,IF(Table1[[#This Row],[Fetal Sex (Male, Female or Unknown)]]="Male",Backend!$C$6,IF(Table1[[#This Row],[Fetal Sex (Male, Female or Unknown)]]="Female",Backend!$C$7,IF(Table1[[#This Row],[Fetal Sex (Male, Female or Unknown)]]="Unknown",Backend!$C$8,"Error"))),"")</f>
        <v/>
      </c>
      <c r="F5321" s="8" t="str">
        <f>IF(Table1[[#This Row],[Is Data Valid]]=TRUE,EXP(0.578+0.332*((Table1[[#This Row],[Gestation (days)]]+0.5)/7)-0.00354*((Table1[[#This Row],[Gestation (days)]]+0.5)/7)^2)*Table1[[#This Row],[BW40_3705]],"")</f>
        <v/>
      </c>
      <c r="G5321" s="2" t="str">
        <f>IF(Table1[[#This Row],[Is Data Valid]]=TRUE,((Table1[[#This Row],[Birthweight (grams)]]/Table1[[#This Row],[BW_GA]])-1)/(Backend!$B$4/100*Table1[[#This Row],[BW40_3705]]),"")</f>
        <v/>
      </c>
      <c r="H5321" s="7" t="str">
        <f>IF(Table1[[#This Row],[Is Data Valid]]=TRUE,((Table1[[#This Row],[Birthweight (grams)]]*0.9/Table1[[#This Row],[BW_GA]])-1)/(Backend!$B$4/100*Table1[[#This Row],[BW40_3705]]),"")</f>
        <v/>
      </c>
      <c r="I5321" s="7" t="str">
        <f>IF(Table1[[#This Row],[Is Data Valid]]=TRUE,((Table1[[#This Row],[Birthweight (grams)]]*1.1/Table1[[#This Row],[BW_GA]])-1)/(Backend!$B$4/100*Table1[[#This Row],[BW40_3705]]),"")</f>
        <v/>
      </c>
      <c r="J5321" s="7" t="str">
        <f>IF(Table1[[#This Row],[Is Data Valid]]=TRUE,_xlfn.NORM.S.DIST(Table1[[#This Row],[Birthweight Z-Score]],TRUE)*100,"")</f>
        <v/>
      </c>
      <c r="K5321" s="7" t="str">
        <f>IF(Table1[[#This Row],[Is Data Valid]]=TRUE,_xlfn.NORM.S.DIST(Table1[[#This Row],[Birthweight Z-Score (BW-10%)]],TRUE)*100,"")</f>
        <v/>
      </c>
      <c r="L5321" s="7" t="str">
        <f>IF(Table1[[#This Row],[Is Data Valid]]=TRUE,_xlfn.NORM.S.DIST(Table1[[#This Row],[Birthweight Z-Score (BW+10%)]],TRUE)*100,"")</f>
        <v/>
      </c>
    </row>
    <row r="5322" spans="1:12" x14ac:dyDescent="0.35">
      <c r="A5322" s="3"/>
      <c r="B5322" s="2"/>
      <c r="C5322" s="2"/>
      <c r="D5322" s="2" t="b">
        <f>IF(AND(NOT(ISBLANK(Table1[[#This Row],[Fetal Sex (Male, Female or Unknown)]])),ISNUMBER(Table1[[#This Row],[Birthweight (grams)]]),ISNUMBER(Table1[[#This Row],[Gestation (days)]])),TRUE,FALSE)</f>
        <v>0</v>
      </c>
      <c r="E5322" s="2" t="str">
        <f>IF(Table1[[#This Row],[Is Data Valid]]=TRUE,IF(Table1[[#This Row],[Fetal Sex (Male, Female or Unknown)]]="Male",Backend!$C$6,IF(Table1[[#This Row],[Fetal Sex (Male, Female or Unknown)]]="Female",Backend!$C$7,IF(Table1[[#This Row],[Fetal Sex (Male, Female or Unknown)]]="Unknown",Backend!$C$8,"Error"))),"")</f>
        <v/>
      </c>
      <c r="F5322" s="8" t="str">
        <f>IF(Table1[[#This Row],[Is Data Valid]]=TRUE,EXP(0.578+0.332*((Table1[[#This Row],[Gestation (days)]]+0.5)/7)-0.00354*((Table1[[#This Row],[Gestation (days)]]+0.5)/7)^2)*Table1[[#This Row],[BW40_3705]],"")</f>
        <v/>
      </c>
      <c r="G5322" s="2" t="str">
        <f>IF(Table1[[#This Row],[Is Data Valid]]=TRUE,((Table1[[#This Row],[Birthweight (grams)]]/Table1[[#This Row],[BW_GA]])-1)/(Backend!$B$4/100*Table1[[#This Row],[BW40_3705]]),"")</f>
        <v/>
      </c>
      <c r="H5322" s="7" t="str">
        <f>IF(Table1[[#This Row],[Is Data Valid]]=TRUE,((Table1[[#This Row],[Birthweight (grams)]]*0.9/Table1[[#This Row],[BW_GA]])-1)/(Backend!$B$4/100*Table1[[#This Row],[BW40_3705]]),"")</f>
        <v/>
      </c>
      <c r="I5322" s="7" t="str">
        <f>IF(Table1[[#This Row],[Is Data Valid]]=TRUE,((Table1[[#This Row],[Birthweight (grams)]]*1.1/Table1[[#This Row],[BW_GA]])-1)/(Backend!$B$4/100*Table1[[#This Row],[BW40_3705]]),"")</f>
        <v/>
      </c>
      <c r="J5322" s="7" t="str">
        <f>IF(Table1[[#This Row],[Is Data Valid]]=TRUE,_xlfn.NORM.S.DIST(Table1[[#This Row],[Birthweight Z-Score]],TRUE)*100,"")</f>
        <v/>
      </c>
      <c r="K5322" s="7" t="str">
        <f>IF(Table1[[#This Row],[Is Data Valid]]=TRUE,_xlfn.NORM.S.DIST(Table1[[#This Row],[Birthweight Z-Score (BW-10%)]],TRUE)*100,"")</f>
        <v/>
      </c>
      <c r="L5322" s="7" t="str">
        <f>IF(Table1[[#This Row],[Is Data Valid]]=TRUE,_xlfn.NORM.S.DIST(Table1[[#This Row],[Birthweight Z-Score (BW+10%)]],TRUE)*100,"")</f>
        <v/>
      </c>
    </row>
    <row r="5323" spans="1:12" x14ac:dyDescent="0.35">
      <c r="A5323" s="3"/>
      <c r="B5323" s="2"/>
      <c r="C5323" s="2"/>
      <c r="D5323" s="2" t="b">
        <f>IF(AND(NOT(ISBLANK(Table1[[#This Row],[Fetal Sex (Male, Female or Unknown)]])),ISNUMBER(Table1[[#This Row],[Birthweight (grams)]]),ISNUMBER(Table1[[#This Row],[Gestation (days)]])),TRUE,FALSE)</f>
        <v>0</v>
      </c>
      <c r="E5323" s="2" t="str">
        <f>IF(Table1[[#This Row],[Is Data Valid]]=TRUE,IF(Table1[[#This Row],[Fetal Sex (Male, Female or Unknown)]]="Male",Backend!$C$6,IF(Table1[[#This Row],[Fetal Sex (Male, Female or Unknown)]]="Female",Backend!$C$7,IF(Table1[[#This Row],[Fetal Sex (Male, Female or Unknown)]]="Unknown",Backend!$C$8,"Error"))),"")</f>
        <v/>
      </c>
      <c r="F5323" s="8" t="str">
        <f>IF(Table1[[#This Row],[Is Data Valid]]=TRUE,EXP(0.578+0.332*((Table1[[#This Row],[Gestation (days)]]+0.5)/7)-0.00354*((Table1[[#This Row],[Gestation (days)]]+0.5)/7)^2)*Table1[[#This Row],[BW40_3705]],"")</f>
        <v/>
      </c>
      <c r="G5323" s="2" t="str">
        <f>IF(Table1[[#This Row],[Is Data Valid]]=TRUE,((Table1[[#This Row],[Birthweight (grams)]]/Table1[[#This Row],[BW_GA]])-1)/(Backend!$B$4/100*Table1[[#This Row],[BW40_3705]]),"")</f>
        <v/>
      </c>
      <c r="H5323" s="7" t="str">
        <f>IF(Table1[[#This Row],[Is Data Valid]]=TRUE,((Table1[[#This Row],[Birthweight (grams)]]*0.9/Table1[[#This Row],[BW_GA]])-1)/(Backend!$B$4/100*Table1[[#This Row],[BW40_3705]]),"")</f>
        <v/>
      </c>
      <c r="I5323" s="7" t="str">
        <f>IF(Table1[[#This Row],[Is Data Valid]]=TRUE,((Table1[[#This Row],[Birthweight (grams)]]*1.1/Table1[[#This Row],[BW_GA]])-1)/(Backend!$B$4/100*Table1[[#This Row],[BW40_3705]]),"")</f>
        <v/>
      </c>
      <c r="J5323" s="7" t="str">
        <f>IF(Table1[[#This Row],[Is Data Valid]]=TRUE,_xlfn.NORM.S.DIST(Table1[[#This Row],[Birthweight Z-Score]],TRUE)*100,"")</f>
        <v/>
      </c>
      <c r="K5323" s="7" t="str">
        <f>IF(Table1[[#This Row],[Is Data Valid]]=TRUE,_xlfn.NORM.S.DIST(Table1[[#This Row],[Birthweight Z-Score (BW-10%)]],TRUE)*100,"")</f>
        <v/>
      </c>
      <c r="L5323" s="7" t="str">
        <f>IF(Table1[[#This Row],[Is Data Valid]]=TRUE,_xlfn.NORM.S.DIST(Table1[[#This Row],[Birthweight Z-Score (BW+10%)]],TRUE)*100,"")</f>
        <v/>
      </c>
    </row>
    <row r="5324" spans="1:12" x14ac:dyDescent="0.35">
      <c r="A5324" s="3"/>
      <c r="B5324" s="2"/>
      <c r="C5324" s="2"/>
      <c r="D5324" s="2" t="b">
        <f>IF(AND(NOT(ISBLANK(Table1[[#This Row],[Fetal Sex (Male, Female or Unknown)]])),ISNUMBER(Table1[[#This Row],[Birthweight (grams)]]),ISNUMBER(Table1[[#This Row],[Gestation (days)]])),TRUE,FALSE)</f>
        <v>0</v>
      </c>
      <c r="E5324" s="2" t="str">
        <f>IF(Table1[[#This Row],[Is Data Valid]]=TRUE,IF(Table1[[#This Row],[Fetal Sex (Male, Female or Unknown)]]="Male",Backend!$C$6,IF(Table1[[#This Row],[Fetal Sex (Male, Female or Unknown)]]="Female",Backend!$C$7,IF(Table1[[#This Row],[Fetal Sex (Male, Female or Unknown)]]="Unknown",Backend!$C$8,"Error"))),"")</f>
        <v/>
      </c>
      <c r="F5324" s="8" t="str">
        <f>IF(Table1[[#This Row],[Is Data Valid]]=TRUE,EXP(0.578+0.332*((Table1[[#This Row],[Gestation (days)]]+0.5)/7)-0.00354*((Table1[[#This Row],[Gestation (days)]]+0.5)/7)^2)*Table1[[#This Row],[BW40_3705]],"")</f>
        <v/>
      </c>
      <c r="G5324" s="2" t="str">
        <f>IF(Table1[[#This Row],[Is Data Valid]]=TRUE,((Table1[[#This Row],[Birthweight (grams)]]/Table1[[#This Row],[BW_GA]])-1)/(Backend!$B$4/100*Table1[[#This Row],[BW40_3705]]),"")</f>
        <v/>
      </c>
      <c r="H5324" s="7" t="str">
        <f>IF(Table1[[#This Row],[Is Data Valid]]=TRUE,((Table1[[#This Row],[Birthweight (grams)]]*0.9/Table1[[#This Row],[BW_GA]])-1)/(Backend!$B$4/100*Table1[[#This Row],[BW40_3705]]),"")</f>
        <v/>
      </c>
      <c r="I5324" s="7" t="str">
        <f>IF(Table1[[#This Row],[Is Data Valid]]=TRUE,((Table1[[#This Row],[Birthweight (grams)]]*1.1/Table1[[#This Row],[BW_GA]])-1)/(Backend!$B$4/100*Table1[[#This Row],[BW40_3705]]),"")</f>
        <v/>
      </c>
      <c r="J5324" s="7" t="str">
        <f>IF(Table1[[#This Row],[Is Data Valid]]=TRUE,_xlfn.NORM.S.DIST(Table1[[#This Row],[Birthweight Z-Score]],TRUE)*100,"")</f>
        <v/>
      </c>
      <c r="K5324" s="7" t="str">
        <f>IF(Table1[[#This Row],[Is Data Valid]]=TRUE,_xlfn.NORM.S.DIST(Table1[[#This Row],[Birthweight Z-Score (BW-10%)]],TRUE)*100,"")</f>
        <v/>
      </c>
      <c r="L5324" s="7" t="str">
        <f>IF(Table1[[#This Row],[Is Data Valid]]=TRUE,_xlfn.NORM.S.DIST(Table1[[#This Row],[Birthweight Z-Score (BW+10%)]],TRUE)*100,"")</f>
        <v/>
      </c>
    </row>
    <row r="5325" spans="1:12" x14ac:dyDescent="0.35">
      <c r="A5325" s="3"/>
      <c r="B5325" s="2"/>
      <c r="C5325" s="2"/>
      <c r="D5325" s="2" t="b">
        <f>IF(AND(NOT(ISBLANK(Table1[[#This Row],[Fetal Sex (Male, Female or Unknown)]])),ISNUMBER(Table1[[#This Row],[Birthweight (grams)]]),ISNUMBER(Table1[[#This Row],[Gestation (days)]])),TRUE,FALSE)</f>
        <v>0</v>
      </c>
      <c r="E5325" s="2" t="str">
        <f>IF(Table1[[#This Row],[Is Data Valid]]=TRUE,IF(Table1[[#This Row],[Fetal Sex (Male, Female or Unknown)]]="Male",Backend!$C$6,IF(Table1[[#This Row],[Fetal Sex (Male, Female or Unknown)]]="Female",Backend!$C$7,IF(Table1[[#This Row],[Fetal Sex (Male, Female or Unknown)]]="Unknown",Backend!$C$8,"Error"))),"")</f>
        <v/>
      </c>
      <c r="F5325" s="8" t="str">
        <f>IF(Table1[[#This Row],[Is Data Valid]]=TRUE,EXP(0.578+0.332*((Table1[[#This Row],[Gestation (days)]]+0.5)/7)-0.00354*((Table1[[#This Row],[Gestation (days)]]+0.5)/7)^2)*Table1[[#This Row],[BW40_3705]],"")</f>
        <v/>
      </c>
      <c r="G5325" s="2" t="str">
        <f>IF(Table1[[#This Row],[Is Data Valid]]=TRUE,((Table1[[#This Row],[Birthweight (grams)]]/Table1[[#This Row],[BW_GA]])-1)/(Backend!$B$4/100*Table1[[#This Row],[BW40_3705]]),"")</f>
        <v/>
      </c>
      <c r="H5325" s="7" t="str">
        <f>IF(Table1[[#This Row],[Is Data Valid]]=TRUE,((Table1[[#This Row],[Birthweight (grams)]]*0.9/Table1[[#This Row],[BW_GA]])-1)/(Backend!$B$4/100*Table1[[#This Row],[BW40_3705]]),"")</f>
        <v/>
      </c>
      <c r="I5325" s="7" t="str">
        <f>IF(Table1[[#This Row],[Is Data Valid]]=TRUE,((Table1[[#This Row],[Birthweight (grams)]]*1.1/Table1[[#This Row],[BW_GA]])-1)/(Backend!$B$4/100*Table1[[#This Row],[BW40_3705]]),"")</f>
        <v/>
      </c>
      <c r="J5325" s="7" t="str">
        <f>IF(Table1[[#This Row],[Is Data Valid]]=TRUE,_xlfn.NORM.S.DIST(Table1[[#This Row],[Birthweight Z-Score]],TRUE)*100,"")</f>
        <v/>
      </c>
      <c r="K5325" s="7" t="str">
        <f>IF(Table1[[#This Row],[Is Data Valid]]=TRUE,_xlfn.NORM.S.DIST(Table1[[#This Row],[Birthweight Z-Score (BW-10%)]],TRUE)*100,"")</f>
        <v/>
      </c>
      <c r="L5325" s="7" t="str">
        <f>IF(Table1[[#This Row],[Is Data Valid]]=TRUE,_xlfn.NORM.S.DIST(Table1[[#This Row],[Birthweight Z-Score (BW+10%)]],TRUE)*100,"")</f>
        <v/>
      </c>
    </row>
    <row r="5326" spans="1:12" x14ac:dyDescent="0.35">
      <c r="A5326" s="3"/>
      <c r="B5326" s="2"/>
      <c r="C5326" s="2"/>
      <c r="D5326" s="2" t="b">
        <f>IF(AND(NOT(ISBLANK(Table1[[#This Row],[Fetal Sex (Male, Female or Unknown)]])),ISNUMBER(Table1[[#This Row],[Birthweight (grams)]]),ISNUMBER(Table1[[#This Row],[Gestation (days)]])),TRUE,FALSE)</f>
        <v>0</v>
      </c>
      <c r="E5326" s="2" t="str">
        <f>IF(Table1[[#This Row],[Is Data Valid]]=TRUE,IF(Table1[[#This Row],[Fetal Sex (Male, Female or Unknown)]]="Male",Backend!$C$6,IF(Table1[[#This Row],[Fetal Sex (Male, Female or Unknown)]]="Female",Backend!$C$7,IF(Table1[[#This Row],[Fetal Sex (Male, Female or Unknown)]]="Unknown",Backend!$C$8,"Error"))),"")</f>
        <v/>
      </c>
      <c r="F5326" s="8" t="str">
        <f>IF(Table1[[#This Row],[Is Data Valid]]=TRUE,EXP(0.578+0.332*((Table1[[#This Row],[Gestation (days)]]+0.5)/7)-0.00354*((Table1[[#This Row],[Gestation (days)]]+0.5)/7)^2)*Table1[[#This Row],[BW40_3705]],"")</f>
        <v/>
      </c>
      <c r="G5326" s="2" t="str">
        <f>IF(Table1[[#This Row],[Is Data Valid]]=TRUE,((Table1[[#This Row],[Birthweight (grams)]]/Table1[[#This Row],[BW_GA]])-1)/(Backend!$B$4/100*Table1[[#This Row],[BW40_3705]]),"")</f>
        <v/>
      </c>
      <c r="H5326" s="7" t="str">
        <f>IF(Table1[[#This Row],[Is Data Valid]]=TRUE,((Table1[[#This Row],[Birthweight (grams)]]*0.9/Table1[[#This Row],[BW_GA]])-1)/(Backend!$B$4/100*Table1[[#This Row],[BW40_3705]]),"")</f>
        <v/>
      </c>
      <c r="I5326" s="7" t="str">
        <f>IF(Table1[[#This Row],[Is Data Valid]]=TRUE,((Table1[[#This Row],[Birthweight (grams)]]*1.1/Table1[[#This Row],[BW_GA]])-1)/(Backend!$B$4/100*Table1[[#This Row],[BW40_3705]]),"")</f>
        <v/>
      </c>
      <c r="J5326" s="7" t="str">
        <f>IF(Table1[[#This Row],[Is Data Valid]]=TRUE,_xlfn.NORM.S.DIST(Table1[[#This Row],[Birthweight Z-Score]],TRUE)*100,"")</f>
        <v/>
      </c>
      <c r="K5326" s="7" t="str">
        <f>IF(Table1[[#This Row],[Is Data Valid]]=TRUE,_xlfn.NORM.S.DIST(Table1[[#This Row],[Birthweight Z-Score (BW-10%)]],TRUE)*100,"")</f>
        <v/>
      </c>
      <c r="L5326" s="7" t="str">
        <f>IF(Table1[[#This Row],[Is Data Valid]]=TRUE,_xlfn.NORM.S.DIST(Table1[[#This Row],[Birthweight Z-Score (BW+10%)]],TRUE)*100,"")</f>
        <v/>
      </c>
    </row>
    <row r="5327" spans="1:12" x14ac:dyDescent="0.35">
      <c r="A5327" s="3"/>
      <c r="B5327" s="2"/>
      <c r="C5327" s="2"/>
      <c r="D5327" s="2" t="b">
        <f>IF(AND(NOT(ISBLANK(Table1[[#This Row],[Fetal Sex (Male, Female or Unknown)]])),ISNUMBER(Table1[[#This Row],[Birthweight (grams)]]),ISNUMBER(Table1[[#This Row],[Gestation (days)]])),TRUE,FALSE)</f>
        <v>0</v>
      </c>
      <c r="E5327" s="2" t="str">
        <f>IF(Table1[[#This Row],[Is Data Valid]]=TRUE,IF(Table1[[#This Row],[Fetal Sex (Male, Female or Unknown)]]="Male",Backend!$C$6,IF(Table1[[#This Row],[Fetal Sex (Male, Female or Unknown)]]="Female",Backend!$C$7,IF(Table1[[#This Row],[Fetal Sex (Male, Female or Unknown)]]="Unknown",Backend!$C$8,"Error"))),"")</f>
        <v/>
      </c>
      <c r="F5327" s="8" t="str">
        <f>IF(Table1[[#This Row],[Is Data Valid]]=TRUE,EXP(0.578+0.332*((Table1[[#This Row],[Gestation (days)]]+0.5)/7)-0.00354*((Table1[[#This Row],[Gestation (days)]]+0.5)/7)^2)*Table1[[#This Row],[BW40_3705]],"")</f>
        <v/>
      </c>
      <c r="G5327" s="2" t="str">
        <f>IF(Table1[[#This Row],[Is Data Valid]]=TRUE,((Table1[[#This Row],[Birthweight (grams)]]/Table1[[#This Row],[BW_GA]])-1)/(Backend!$B$4/100*Table1[[#This Row],[BW40_3705]]),"")</f>
        <v/>
      </c>
      <c r="H5327" s="7" t="str">
        <f>IF(Table1[[#This Row],[Is Data Valid]]=TRUE,((Table1[[#This Row],[Birthweight (grams)]]*0.9/Table1[[#This Row],[BW_GA]])-1)/(Backend!$B$4/100*Table1[[#This Row],[BW40_3705]]),"")</f>
        <v/>
      </c>
      <c r="I5327" s="7" t="str">
        <f>IF(Table1[[#This Row],[Is Data Valid]]=TRUE,((Table1[[#This Row],[Birthweight (grams)]]*1.1/Table1[[#This Row],[BW_GA]])-1)/(Backend!$B$4/100*Table1[[#This Row],[BW40_3705]]),"")</f>
        <v/>
      </c>
      <c r="J5327" s="7" t="str">
        <f>IF(Table1[[#This Row],[Is Data Valid]]=TRUE,_xlfn.NORM.S.DIST(Table1[[#This Row],[Birthweight Z-Score]],TRUE)*100,"")</f>
        <v/>
      </c>
      <c r="K5327" s="7" t="str">
        <f>IF(Table1[[#This Row],[Is Data Valid]]=TRUE,_xlfn.NORM.S.DIST(Table1[[#This Row],[Birthweight Z-Score (BW-10%)]],TRUE)*100,"")</f>
        <v/>
      </c>
      <c r="L5327" s="7" t="str">
        <f>IF(Table1[[#This Row],[Is Data Valid]]=TRUE,_xlfn.NORM.S.DIST(Table1[[#This Row],[Birthweight Z-Score (BW+10%)]],TRUE)*100,"")</f>
        <v/>
      </c>
    </row>
    <row r="5328" spans="1:12" x14ac:dyDescent="0.35">
      <c r="A5328" s="3"/>
      <c r="B5328" s="2"/>
      <c r="C5328" s="2"/>
      <c r="D5328" s="2" t="b">
        <f>IF(AND(NOT(ISBLANK(Table1[[#This Row],[Fetal Sex (Male, Female or Unknown)]])),ISNUMBER(Table1[[#This Row],[Birthweight (grams)]]),ISNUMBER(Table1[[#This Row],[Gestation (days)]])),TRUE,FALSE)</f>
        <v>0</v>
      </c>
      <c r="E5328" s="2" t="str">
        <f>IF(Table1[[#This Row],[Is Data Valid]]=TRUE,IF(Table1[[#This Row],[Fetal Sex (Male, Female or Unknown)]]="Male",Backend!$C$6,IF(Table1[[#This Row],[Fetal Sex (Male, Female or Unknown)]]="Female",Backend!$C$7,IF(Table1[[#This Row],[Fetal Sex (Male, Female or Unknown)]]="Unknown",Backend!$C$8,"Error"))),"")</f>
        <v/>
      </c>
      <c r="F5328" s="8" t="str">
        <f>IF(Table1[[#This Row],[Is Data Valid]]=TRUE,EXP(0.578+0.332*((Table1[[#This Row],[Gestation (days)]]+0.5)/7)-0.00354*((Table1[[#This Row],[Gestation (days)]]+0.5)/7)^2)*Table1[[#This Row],[BW40_3705]],"")</f>
        <v/>
      </c>
      <c r="G5328" s="2" t="str">
        <f>IF(Table1[[#This Row],[Is Data Valid]]=TRUE,((Table1[[#This Row],[Birthweight (grams)]]/Table1[[#This Row],[BW_GA]])-1)/(Backend!$B$4/100*Table1[[#This Row],[BW40_3705]]),"")</f>
        <v/>
      </c>
      <c r="H5328" s="7" t="str">
        <f>IF(Table1[[#This Row],[Is Data Valid]]=TRUE,((Table1[[#This Row],[Birthweight (grams)]]*0.9/Table1[[#This Row],[BW_GA]])-1)/(Backend!$B$4/100*Table1[[#This Row],[BW40_3705]]),"")</f>
        <v/>
      </c>
      <c r="I5328" s="7" t="str">
        <f>IF(Table1[[#This Row],[Is Data Valid]]=TRUE,((Table1[[#This Row],[Birthweight (grams)]]*1.1/Table1[[#This Row],[BW_GA]])-1)/(Backend!$B$4/100*Table1[[#This Row],[BW40_3705]]),"")</f>
        <v/>
      </c>
      <c r="J5328" s="7" t="str">
        <f>IF(Table1[[#This Row],[Is Data Valid]]=TRUE,_xlfn.NORM.S.DIST(Table1[[#This Row],[Birthweight Z-Score]],TRUE)*100,"")</f>
        <v/>
      </c>
      <c r="K5328" s="7" t="str">
        <f>IF(Table1[[#This Row],[Is Data Valid]]=TRUE,_xlfn.NORM.S.DIST(Table1[[#This Row],[Birthweight Z-Score (BW-10%)]],TRUE)*100,"")</f>
        <v/>
      </c>
      <c r="L5328" s="7" t="str">
        <f>IF(Table1[[#This Row],[Is Data Valid]]=TRUE,_xlfn.NORM.S.DIST(Table1[[#This Row],[Birthweight Z-Score (BW+10%)]],TRUE)*100,"")</f>
        <v/>
      </c>
    </row>
    <row r="5329" spans="1:12" x14ac:dyDescent="0.35">
      <c r="A5329" s="3"/>
      <c r="B5329" s="2"/>
      <c r="C5329" s="2"/>
      <c r="D5329" s="2" t="b">
        <f>IF(AND(NOT(ISBLANK(Table1[[#This Row],[Fetal Sex (Male, Female or Unknown)]])),ISNUMBER(Table1[[#This Row],[Birthweight (grams)]]),ISNUMBER(Table1[[#This Row],[Gestation (days)]])),TRUE,FALSE)</f>
        <v>0</v>
      </c>
      <c r="E5329" s="2" t="str">
        <f>IF(Table1[[#This Row],[Is Data Valid]]=TRUE,IF(Table1[[#This Row],[Fetal Sex (Male, Female or Unknown)]]="Male",Backend!$C$6,IF(Table1[[#This Row],[Fetal Sex (Male, Female or Unknown)]]="Female",Backend!$C$7,IF(Table1[[#This Row],[Fetal Sex (Male, Female or Unknown)]]="Unknown",Backend!$C$8,"Error"))),"")</f>
        <v/>
      </c>
      <c r="F5329" s="8" t="str">
        <f>IF(Table1[[#This Row],[Is Data Valid]]=TRUE,EXP(0.578+0.332*((Table1[[#This Row],[Gestation (days)]]+0.5)/7)-0.00354*((Table1[[#This Row],[Gestation (days)]]+0.5)/7)^2)*Table1[[#This Row],[BW40_3705]],"")</f>
        <v/>
      </c>
      <c r="G5329" s="2" t="str">
        <f>IF(Table1[[#This Row],[Is Data Valid]]=TRUE,((Table1[[#This Row],[Birthweight (grams)]]/Table1[[#This Row],[BW_GA]])-1)/(Backend!$B$4/100*Table1[[#This Row],[BW40_3705]]),"")</f>
        <v/>
      </c>
      <c r="H5329" s="7" t="str">
        <f>IF(Table1[[#This Row],[Is Data Valid]]=TRUE,((Table1[[#This Row],[Birthweight (grams)]]*0.9/Table1[[#This Row],[BW_GA]])-1)/(Backend!$B$4/100*Table1[[#This Row],[BW40_3705]]),"")</f>
        <v/>
      </c>
      <c r="I5329" s="7" t="str">
        <f>IF(Table1[[#This Row],[Is Data Valid]]=TRUE,((Table1[[#This Row],[Birthweight (grams)]]*1.1/Table1[[#This Row],[BW_GA]])-1)/(Backend!$B$4/100*Table1[[#This Row],[BW40_3705]]),"")</f>
        <v/>
      </c>
      <c r="J5329" s="7" t="str">
        <f>IF(Table1[[#This Row],[Is Data Valid]]=TRUE,_xlfn.NORM.S.DIST(Table1[[#This Row],[Birthweight Z-Score]],TRUE)*100,"")</f>
        <v/>
      </c>
      <c r="K5329" s="7" t="str">
        <f>IF(Table1[[#This Row],[Is Data Valid]]=TRUE,_xlfn.NORM.S.DIST(Table1[[#This Row],[Birthweight Z-Score (BW-10%)]],TRUE)*100,"")</f>
        <v/>
      </c>
      <c r="L5329" s="7" t="str">
        <f>IF(Table1[[#This Row],[Is Data Valid]]=TRUE,_xlfn.NORM.S.DIST(Table1[[#This Row],[Birthweight Z-Score (BW+10%)]],TRUE)*100,"")</f>
        <v/>
      </c>
    </row>
    <row r="5330" spans="1:12" x14ac:dyDescent="0.35">
      <c r="A5330" s="3"/>
      <c r="B5330" s="2"/>
      <c r="C5330" s="2"/>
      <c r="D5330" s="2" t="b">
        <f>IF(AND(NOT(ISBLANK(Table1[[#This Row],[Fetal Sex (Male, Female or Unknown)]])),ISNUMBER(Table1[[#This Row],[Birthweight (grams)]]),ISNUMBER(Table1[[#This Row],[Gestation (days)]])),TRUE,FALSE)</f>
        <v>0</v>
      </c>
      <c r="E5330" s="2" t="str">
        <f>IF(Table1[[#This Row],[Is Data Valid]]=TRUE,IF(Table1[[#This Row],[Fetal Sex (Male, Female or Unknown)]]="Male",Backend!$C$6,IF(Table1[[#This Row],[Fetal Sex (Male, Female or Unknown)]]="Female",Backend!$C$7,IF(Table1[[#This Row],[Fetal Sex (Male, Female or Unknown)]]="Unknown",Backend!$C$8,"Error"))),"")</f>
        <v/>
      </c>
      <c r="F5330" s="8" t="str">
        <f>IF(Table1[[#This Row],[Is Data Valid]]=TRUE,EXP(0.578+0.332*((Table1[[#This Row],[Gestation (days)]]+0.5)/7)-0.00354*((Table1[[#This Row],[Gestation (days)]]+0.5)/7)^2)*Table1[[#This Row],[BW40_3705]],"")</f>
        <v/>
      </c>
      <c r="G5330" s="2" t="str">
        <f>IF(Table1[[#This Row],[Is Data Valid]]=TRUE,((Table1[[#This Row],[Birthweight (grams)]]/Table1[[#This Row],[BW_GA]])-1)/(Backend!$B$4/100*Table1[[#This Row],[BW40_3705]]),"")</f>
        <v/>
      </c>
      <c r="H5330" s="7" t="str">
        <f>IF(Table1[[#This Row],[Is Data Valid]]=TRUE,((Table1[[#This Row],[Birthweight (grams)]]*0.9/Table1[[#This Row],[BW_GA]])-1)/(Backend!$B$4/100*Table1[[#This Row],[BW40_3705]]),"")</f>
        <v/>
      </c>
      <c r="I5330" s="7" t="str">
        <f>IF(Table1[[#This Row],[Is Data Valid]]=TRUE,((Table1[[#This Row],[Birthweight (grams)]]*1.1/Table1[[#This Row],[BW_GA]])-1)/(Backend!$B$4/100*Table1[[#This Row],[BW40_3705]]),"")</f>
        <v/>
      </c>
      <c r="J5330" s="7" t="str">
        <f>IF(Table1[[#This Row],[Is Data Valid]]=TRUE,_xlfn.NORM.S.DIST(Table1[[#This Row],[Birthweight Z-Score]],TRUE)*100,"")</f>
        <v/>
      </c>
      <c r="K5330" s="7" t="str">
        <f>IF(Table1[[#This Row],[Is Data Valid]]=TRUE,_xlfn.NORM.S.DIST(Table1[[#This Row],[Birthweight Z-Score (BW-10%)]],TRUE)*100,"")</f>
        <v/>
      </c>
      <c r="L5330" s="7" t="str">
        <f>IF(Table1[[#This Row],[Is Data Valid]]=TRUE,_xlfn.NORM.S.DIST(Table1[[#This Row],[Birthweight Z-Score (BW+10%)]],TRUE)*100,"")</f>
        <v/>
      </c>
    </row>
    <row r="5331" spans="1:12" x14ac:dyDescent="0.35">
      <c r="A5331" s="3"/>
      <c r="B5331" s="2"/>
      <c r="C5331" s="2"/>
      <c r="D5331" s="2" t="b">
        <f>IF(AND(NOT(ISBLANK(Table1[[#This Row],[Fetal Sex (Male, Female or Unknown)]])),ISNUMBER(Table1[[#This Row],[Birthweight (grams)]]),ISNUMBER(Table1[[#This Row],[Gestation (days)]])),TRUE,FALSE)</f>
        <v>0</v>
      </c>
      <c r="E5331" s="2" t="str">
        <f>IF(Table1[[#This Row],[Is Data Valid]]=TRUE,IF(Table1[[#This Row],[Fetal Sex (Male, Female or Unknown)]]="Male",Backend!$C$6,IF(Table1[[#This Row],[Fetal Sex (Male, Female or Unknown)]]="Female",Backend!$C$7,IF(Table1[[#This Row],[Fetal Sex (Male, Female or Unknown)]]="Unknown",Backend!$C$8,"Error"))),"")</f>
        <v/>
      </c>
      <c r="F5331" s="8" t="str">
        <f>IF(Table1[[#This Row],[Is Data Valid]]=TRUE,EXP(0.578+0.332*((Table1[[#This Row],[Gestation (days)]]+0.5)/7)-0.00354*((Table1[[#This Row],[Gestation (days)]]+0.5)/7)^2)*Table1[[#This Row],[BW40_3705]],"")</f>
        <v/>
      </c>
      <c r="G5331" s="2" t="str">
        <f>IF(Table1[[#This Row],[Is Data Valid]]=TRUE,((Table1[[#This Row],[Birthweight (grams)]]/Table1[[#This Row],[BW_GA]])-1)/(Backend!$B$4/100*Table1[[#This Row],[BW40_3705]]),"")</f>
        <v/>
      </c>
      <c r="H5331" s="7" t="str">
        <f>IF(Table1[[#This Row],[Is Data Valid]]=TRUE,((Table1[[#This Row],[Birthweight (grams)]]*0.9/Table1[[#This Row],[BW_GA]])-1)/(Backend!$B$4/100*Table1[[#This Row],[BW40_3705]]),"")</f>
        <v/>
      </c>
      <c r="I5331" s="7" t="str">
        <f>IF(Table1[[#This Row],[Is Data Valid]]=TRUE,((Table1[[#This Row],[Birthweight (grams)]]*1.1/Table1[[#This Row],[BW_GA]])-1)/(Backend!$B$4/100*Table1[[#This Row],[BW40_3705]]),"")</f>
        <v/>
      </c>
      <c r="J5331" s="7" t="str">
        <f>IF(Table1[[#This Row],[Is Data Valid]]=TRUE,_xlfn.NORM.S.DIST(Table1[[#This Row],[Birthweight Z-Score]],TRUE)*100,"")</f>
        <v/>
      </c>
      <c r="K5331" s="7" t="str">
        <f>IF(Table1[[#This Row],[Is Data Valid]]=TRUE,_xlfn.NORM.S.DIST(Table1[[#This Row],[Birthweight Z-Score (BW-10%)]],TRUE)*100,"")</f>
        <v/>
      </c>
      <c r="L5331" s="7" t="str">
        <f>IF(Table1[[#This Row],[Is Data Valid]]=TRUE,_xlfn.NORM.S.DIST(Table1[[#This Row],[Birthweight Z-Score (BW+10%)]],TRUE)*100,"")</f>
        <v/>
      </c>
    </row>
    <row r="5332" spans="1:12" x14ac:dyDescent="0.35">
      <c r="A5332" s="3"/>
      <c r="B5332" s="2"/>
      <c r="C5332" s="2"/>
      <c r="D5332" s="2" t="b">
        <f>IF(AND(NOT(ISBLANK(Table1[[#This Row],[Fetal Sex (Male, Female or Unknown)]])),ISNUMBER(Table1[[#This Row],[Birthweight (grams)]]),ISNUMBER(Table1[[#This Row],[Gestation (days)]])),TRUE,FALSE)</f>
        <v>0</v>
      </c>
      <c r="E5332" s="2" t="str">
        <f>IF(Table1[[#This Row],[Is Data Valid]]=TRUE,IF(Table1[[#This Row],[Fetal Sex (Male, Female or Unknown)]]="Male",Backend!$C$6,IF(Table1[[#This Row],[Fetal Sex (Male, Female or Unknown)]]="Female",Backend!$C$7,IF(Table1[[#This Row],[Fetal Sex (Male, Female or Unknown)]]="Unknown",Backend!$C$8,"Error"))),"")</f>
        <v/>
      </c>
      <c r="F5332" s="8" t="str">
        <f>IF(Table1[[#This Row],[Is Data Valid]]=TRUE,EXP(0.578+0.332*((Table1[[#This Row],[Gestation (days)]]+0.5)/7)-0.00354*((Table1[[#This Row],[Gestation (days)]]+0.5)/7)^2)*Table1[[#This Row],[BW40_3705]],"")</f>
        <v/>
      </c>
      <c r="G5332" s="2" t="str">
        <f>IF(Table1[[#This Row],[Is Data Valid]]=TRUE,((Table1[[#This Row],[Birthweight (grams)]]/Table1[[#This Row],[BW_GA]])-1)/(Backend!$B$4/100*Table1[[#This Row],[BW40_3705]]),"")</f>
        <v/>
      </c>
      <c r="H5332" s="7" t="str">
        <f>IF(Table1[[#This Row],[Is Data Valid]]=TRUE,((Table1[[#This Row],[Birthweight (grams)]]*0.9/Table1[[#This Row],[BW_GA]])-1)/(Backend!$B$4/100*Table1[[#This Row],[BW40_3705]]),"")</f>
        <v/>
      </c>
      <c r="I5332" s="7" t="str">
        <f>IF(Table1[[#This Row],[Is Data Valid]]=TRUE,((Table1[[#This Row],[Birthweight (grams)]]*1.1/Table1[[#This Row],[BW_GA]])-1)/(Backend!$B$4/100*Table1[[#This Row],[BW40_3705]]),"")</f>
        <v/>
      </c>
      <c r="J5332" s="7" t="str">
        <f>IF(Table1[[#This Row],[Is Data Valid]]=TRUE,_xlfn.NORM.S.DIST(Table1[[#This Row],[Birthweight Z-Score]],TRUE)*100,"")</f>
        <v/>
      </c>
      <c r="K5332" s="7" t="str">
        <f>IF(Table1[[#This Row],[Is Data Valid]]=TRUE,_xlfn.NORM.S.DIST(Table1[[#This Row],[Birthweight Z-Score (BW-10%)]],TRUE)*100,"")</f>
        <v/>
      </c>
      <c r="L5332" s="7" t="str">
        <f>IF(Table1[[#This Row],[Is Data Valid]]=TRUE,_xlfn.NORM.S.DIST(Table1[[#This Row],[Birthweight Z-Score (BW+10%)]],TRUE)*100,"")</f>
        <v/>
      </c>
    </row>
    <row r="5333" spans="1:12" x14ac:dyDescent="0.35">
      <c r="A5333" s="3"/>
      <c r="B5333" s="2"/>
      <c r="C5333" s="2"/>
      <c r="D5333" s="2" t="b">
        <f>IF(AND(NOT(ISBLANK(Table1[[#This Row],[Fetal Sex (Male, Female or Unknown)]])),ISNUMBER(Table1[[#This Row],[Birthweight (grams)]]),ISNUMBER(Table1[[#This Row],[Gestation (days)]])),TRUE,FALSE)</f>
        <v>0</v>
      </c>
      <c r="E5333" s="2" t="str">
        <f>IF(Table1[[#This Row],[Is Data Valid]]=TRUE,IF(Table1[[#This Row],[Fetal Sex (Male, Female or Unknown)]]="Male",Backend!$C$6,IF(Table1[[#This Row],[Fetal Sex (Male, Female or Unknown)]]="Female",Backend!$C$7,IF(Table1[[#This Row],[Fetal Sex (Male, Female or Unknown)]]="Unknown",Backend!$C$8,"Error"))),"")</f>
        <v/>
      </c>
      <c r="F5333" s="8" t="str">
        <f>IF(Table1[[#This Row],[Is Data Valid]]=TRUE,EXP(0.578+0.332*((Table1[[#This Row],[Gestation (days)]]+0.5)/7)-0.00354*((Table1[[#This Row],[Gestation (days)]]+0.5)/7)^2)*Table1[[#This Row],[BW40_3705]],"")</f>
        <v/>
      </c>
      <c r="G5333" s="2" t="str">
        <f>IF(Table1[[#This Row],[Is Data Valid]]=TRUE,((Table1[[#This Row],[Birthweight (grams)]]/Table1[[#This Row],[BW_GA]])-1)/(Backend!$B$4/100*Table1[[#This Row],[BW40_3705]]),"")</f>
        <v/>
      </c>
      <c r="H5333" s="7" t="str">
        <f>IF(Table1[[#This Row],[Is Data Valid]]=TRUE,((Table1[[#This Row],[Birthweight (grams)]]*0.9/Table1[[#This Row],[BW_GA]])-1)/(Backend!$B$4/100*Table1[[#This Row],[BW40_3705]]),"")</f>
        <v/>
      </c>
      <c r="I5333" s="7" t="str">
        <f>IF(Table1[[#This Row],[Is Data Valid]]=TRUE,((Table1[[#This Row],[Birthweight (grams)]]*1.1/Table1[[#This Row],[BW_GA]])-1)/(Backend!$B$4/100*Table1[[#This Row],[BW40_3705]]),"")</f>
        <v/>
      </c>
      <c r="J5333" s="7" t="str">
        <f>IF(Table1[[#This Row],[Is Data Valid]]=TRUE,_xlfn.NORM.S.DIST(Table1[[#This Row],[Birthweight Z-Score]],TRUE)*100,"")</f>
        <v/>
      </c>
      <c r="K5333" s="7" t="str">
        <f>IF(Table1[[#This Row],[Is Data Valid]]=TRUE,_xlfn.NORM.S.DIST(Table1[[#This Row],[Birthweight Z-Score (BW-10%)]],TRUE)*100,"")</f>
        <v/>
      </c>
      <c r="L5333" s="7" t="str">
        <f>IF(Table1[[#This Row],[Is Data Valid]]=TRUE,_xlfn.NORM.S.DIST(Table1[[#This Row],[Birthweight Z-Score (BW+10%)]],TRUE)*100,"")</f>
        <v/>
      </c>
    </row>
    <row r="5334" spans="1:12" x14ac:dyDescent="0.35">
      <c r="A5334" s="3"/>
      <c r="B5334" s="2"/>
      <c r="C5334" s="2"/>
      <c r="D5334" s="2" t="b">
        <f>IF(AND(NOT(ISBLANK(Table1[[#This Row],[Fetal Sex (Male, Female or Unknown)]])),ISNUMBER(Table1[[#This Row],[Birthweight (grams)]]),ISNUMBER(Table1[[#This Row],[Gestation (days)]])),TRUE,FALSE)</f>
        <v>0</v>
      </c>
      <c r="E5334" s="2" t="str">
        <f>IF(Table1[[#This Row],[Is Data Valid]]=TRUE,IF(Table1[[#This Row],[Fetal Sex (Male, Female or Unknown)]]="Male",Backend!$C$6,IF(Table1[[#This Row],[Fetal Sex (Male, Female or Unknown)]]="Female",Backend!$C$7,IF(Table1[[#This Row],[Fetal Sex (Male, Female or Unknown)]]="Unknown",Backend!$C$8,"Error"))),"")</f>
        <v/>
      </c>
      <c r="F5334" s="8" t="str">
        <f>IF(Table1[[#This Row],[Is Data Valid]]=TRUE,EXP(0.578+0.332*((Table1[[#This Row],[Gestation (days)]]+0.5)/7)-0.00354*((Table1[[#This Row],[Gestation (days)]]+0.5)/7)^2)*Table1[[#This Row],[BW40_3705]],"")</f>
        <v/>
      </c>
      <c r="G5334" s="2" t="str">
        <f>IF(Table1[[#This Row],[Is Data Valid]]=TRUE,((Table1[[#This Row],[Birthweight (grams)]]/Table1[[#This Row],[BW_GA]])-1)/(Backend!$B$4/100*Table1[[#This Row],[BW40_3705]]),"")</f>
        <v/>
      </c>
      <c r="H5334" s="7" t="str">
        <f>IF(Table1[[#This Row],[Is Data Valid]]=TRUE,((Table1[[#This Row],[Birthweight (grams)]]*0.9/Table1[[#This Row],[BW_GA]])-1)/(Backend!$B$4/100*Table1[[#This Row],[BW40_3705]]),"")</f>
        <v/>
      </c>
      <c r="I5334" s="7" t="str">
        <f>IF(Table1[[#This Row],[Is Data Valid]]=TRUE,((Table1[[#This Row],[Birthweight (grams)]]*1.1/Table1[[#This Row],[BW_GA]])-1)/(Backend!$B$4/100*Table1[[#This Row],[BW40_3705]]),"")</f>
        <v/>
      </c>
      <c r="J5334" s="7" t="str">
        <f>IF(Table1[[#This Row],[Is Data Valid]]=TRUE,_xlfn.NORM.S.DIST(Table1[[#This Row],[Birthweight Z-Score]],TRUE)*100,"")</f>
        <v/>
      </c>
      <c r="K5334" s="7" t="str">
        <f>IF(Table1[[#This Row],[Is Data Valid]]=TRUE,_xlfn.NORM.S.DIST(Table1[[#This Row],[Birthweight Z-Score (BW-10%)]],TRUE)*100,"")</f>
        <v/>
      </c>
      <c r="L5334" s="7" t="str">
        <f>IF(Table1[[#This Row],[Is Data Valid]]=TRUE,_xlfn.NORM.S.DIST(Table1[[#This Row],[Birthweight Z-Score (BW+10%)]],TRUE)*100,"")</f>
        <v/>
      </c>
    </row>
    <row r="5335" spans="1:12" x14ac:dyDescent="0.35">
      <c r="A5335" s="3"/>
      <c r="B5335" s="2"/>
      <c r="C5335" s="2"/>
      <c r="D5335" s="2" t="b">
        <f>IF(AND(NOT(ISBLANK(Table1[[#This Row],[Fetal Sex (Male, Female or Unknown)]])),ISNUMBER(Table1[[#This Row],[Birthweight (grams)]]),ISNUMBER(Table1[[#This Row],[Gestation (days)]])),TRUE,FALSE)</f>
        <v>0</v>
      </c>
      <c r="E5335" s="2" t="str">
        <f>IF(Table1[[#This Row],[Is Data Valid]]=TRUE,IF(Table1[[#This Row],[Fetal Sex (Male, Female or Unknown)]]="Male",Backend!$C$6,IF(Table1[[#This Row],[Fetal Sex (Male, Female or Unknown)]]="Female",Backend!$C$7,IF(Table1[[#This Row],[Fetal Sex (Male, Female or Unknown)]]="Unknown",Backend!$C$8,"Error"))),"")</f>
        <v/>
      </c>
      <c r="F5335" s="8" t="str">
        <f>IF(Table1[[#This Row],[Is Data Valid]]=TRUE,EXP(0.578+0.332*((Table1[[#This Row],[Gestation (days)]]+0.5)/7)-0.00354*((Table1[[#This Row],[Gestation (days)]]+0.5)/7)^2)*Table1[[#This Row],[BW40_3705]],"")</f>
        <v/>
      </c>
      <c r="G5335" s="2" t="str">
        <f>IF(Table1[[#This Row],[Is Data Valid]]=TRUE,((Table1[[#This Row],[Birthweight (grams)]]/Table1[[#This Row],[BW_GA]])-1)/(Backend!$B$4/100*Table1[[#This Row],[BW40_3705]]),"")</f>
        <v/>
      </c>
      <c r="H5335" s="7" t="str">
        <f>IF(Table1[[#This Row],[Is Data Valid]]=TRUE,((Table1[[#This Row],[Birthweight (grams)]]*0.9/Table1[[#This Row],[BW_GA]])-1)/(Backend!$B$4/100*Table1[[#This Row],[BW40_3705]]),"")</f>
        <v/>
      </c>
      <c r="I5335" s="7" t="str">
        <f>IF(Table1[[#This Row],[Is Data Valid]]=TRUE,((Table1[[#This Row],[Birthweight (grams)]]*1.1/Table1[[#This Row],[BW_GA]])-1)/(Backend!$B$4/100*Table1[[#This Row],[BW40_3705]]),"")</f>
        <v/>
      </c>
      <c r="J5335" s="7" t="str">
        <f>IF(Table1[[#This Row],[Is Data Valid]]=TRUE,_xlfn.NORM.S.DIST(Table1[[#This Row],[Birthweight Z-Score]],TRUE)*100,"")</f>
        <v/>
      </c>
      <c r="K5335" s="7" t="str">
        <f>IF(Table1[[#This Row],[Is Data Valid]]=TRUE,_xlfn.NORM.S.DIST(Table1[[#This Row],[Birthweight Z-Score (BW-10%)]],TRUE)*100,"")</f>
        <v/>
      </c>
      <c r="L5335" s="7" t="str">
        <f>IF(Table1[[#This Row],[Is Data Valid]]=TRUE,_xlfn.NORM.S.DIST(Table1[[#This Row],[Birthweight Z-Score (BW+10%)]],TRUE)*100,"")</f>
        <v/>
      </c>
    </row>
    <row r="5336" spans="1:12" x14ac:dyDescent="0.35">
      <c r="A5336" s="3"/>
      <c r="B5336" s="2"/>
      <c r="C5336" s="2"/>
      <c r="D5336" s="2" t="b">
        <f>IF(AND(NOT(ISBLANK(Table1[[#This Row],[Fetal Sex (Male, Female or Unknown)]])),ISNUMBER(Table1[[#This Row],[Birthweight (grams)]]),ISNUMBER(Table1[[#This Row],[Gestation (days)]])),TRUE,FALSE)</f>
        <v>0</v>
      </c>
      <c r="E5336" s="2" t="str">
        <f>IF(Table1[[#This Row],[Is Data Valid]]=TRUE,IF(Table1[[#This Row],[Fetal Sex (Male, Female or Unknown)]]="Male",Backend!$C$6,IF(Table1[[#This Row],[Fetal Sex (Male, Female or Unknown)]]="Female",Backend!$C$7,IF(Table1[[#This Row],[Fetal Sex (Male, Female or Unknown)]]="Unknown",Backend!$C$8,"Error"))),"")</f>
        <v/>
      </c>
      <c r="F5336" s="8" t="str">
        <f>IF(Table1[[#This Row],[Is Data Valid]]=TRUE,EXP(0.578+0.332*((Table1[[#This Row],[Gestation (days)]]+0.5)/7)-0.00354*((Table1[[#This Row],[Gestation (days)]]+0.5)/7)^2)*Table1[[#This Row],[BW40_3705]],"")</f>
        <v/>
      </c>
      <c r="G5336" s="2" t="str">
        <f>IF(Table1[[#This Row],[Is Data Valid]]=TRUE,((Table1[[#This Row],[Birthweight (grams)]]/Table1[[#This Row],[BW_GA]])-1)/(Backend!$B$4/100*Table1[[#This Row],[BW40_3705]]),"")</f>
        <v/>
      </c>
      <c r="H5336" s="7" t="str">
        <f>IF(Table1[[#This Row],[Is Data Valid]]=TRUE,((Table1[[#This Row],[Birthweight (grams)]]*0.9/Table1[[#This Row],[BW_GA]])-1)/(Backend!$B$4/100*Table1[[#This Row],[BW40_3705]]),"")</f>
        <v/>
      </c>
      <c r="I5336" s="7" t="str">
        <f>IF(Table1[[#This Row],[Is Data Valid]]=TRUE,((Table1[[#This Row],[Birthweight (grams)]]*1.1/Table1[[#This Row],[BW_GA]])-1)/(Backend!$B$4/100*Table1[[#This Row],[BW40_3705]]),"")</f>
        <v/>
      </c>
      <c r="J5336" s="7" t="str">
        <f>IF(Table1[[#This Row],[Is Data Valid]]=TRUE,_xlfn.NORM.S.DIST(Table1[[#This Row],[Birthweight Z-Score]],TRUE)*100,"")</f>
        <v/>
      </c>
      <c r="K5336" s="7" t="str">
        <f>IF(Table1[[#This Row],[Is Data Valid]]=TRUE,_xlfn.NORM.S.DIST(Table1[[#This Row],[Birthweight Z-Score (BW-10%)]],TRUE)*100,"")</f>
        <v/>
      </c>
      <c r="L5336" s="7" t="str">
        <f>IF(Table1[[#This Row],[Is Data Valid]]=TRUE,_xlfn.NORM.S.DIST(Table1[[#This Row],[Birthweight Z-Score (BW+10%)]],TRUE)*100,"")</f>
        <v/>
      </c>
    </row>
    <row r="5337" spans="1:12" x14ac:dyDescent="0.35">
      <c r="A5337" s="3"/>
      <c r="B5337" s="2"/>
      <c r="C5337" s="2"/>
      <c r="D5337" s="2" t="b">
        <f>IF(AND(NOT(ISBLANK(Table1[[#This Row],[Fetal Sex (Male, Female or Unknown)]])),ISNUMBER(Table1[[#This Row],[Birthweight (grams)]]),ISNUMBER(Table1[[#This Row],[Gestation (days)]])),TRUE,FALSE)</f>
        <v>0</v>
      </c>
      <c r="E5337" s="2" t="str">
        <f>IF(Table1[[#This Row],[Is Data Valid]]=TRUE,IF(Table1[[#This Row],[Fetal Sex (Male, Female or Unknown)]]="Male",Backend!$C$6,IF(Table1[[#This Row],[Fetal Sex (Male, Female or Unknown)]]="Female",Backend!$C$7,IF(Table1[[#This Row],[Fetal Sex (Male, Female or Unknown)]]="Unknown",Backend!$C$8,"Error"))),"")</f>
        <v/>
      </c>
      <c r="F5337" s="8" t="str">
        <f>IF(Table1[[#This Row],[Is Data Valid]]=TRUE,EXP(0.578+0.332*((Table1[[#This Row],[Gestation (days)]]+0.5)/7)-0.00354*((Table1[[#This Row],[Gestation (days)]]+0.5)/7)^2)*Table1[[#This Row],[BW40_3705]],"")</f>
        <v/>
      </c>
      <c r="G5337" s="2" t="str">
        <f>IF(Table1[[#This Row],[Is Data Valid]]=TRUE,((Table1[[#This Row],[Birthweight (grams)]]/Table1[[#This Row],[BW_GA]])-1)/(Backend!$B$4/100*Table1[[#This Row],[BW40_3705]]),"")</f>
        <v/>
      </c>
      <c r="H5337" s="7" t="str">
        <f>IF(Table1[[#This Row],[Is Data Valid]]=TRUE,((Table1[[#This Row],[Birthweight (grams)]]*0.9/Table1[[#This Row],[BW_GA]])-1)/(Backend!$B$4/100*Table1[[#This Row],[BW40_3705]]),"")</f>
        <v/>
      </c>
      <c r="I5337" s="7" t="str">
        <f>IF(Table1[[#This Row],[Is Data Valid]]=TRUE,((Table1[[#This Row],[Birthweight (grams)]]*1.1/Table1[[#This Row],[BW_GA]])-1)/(Backend!$B$4/100*Table1[[#This Row],[BW40_3705]]),"")</f>
        <v/>
      </c>
      <c r="J5337" s="7" t="str">
        <f>IF(Table1[[#This Row],[Is Data Valid]]=TRUE,_xlfn.NORM.S.DIST(Table1[[#This Row],[Birthweight Z-Score]],TRUE)*100,"")</f>
        <v/>
      </c>
      <c r="K5337" s="7" t="str">
        <f>IF(Table1[[#This Row],[Is Data Valid]]=TRUE,_xlfn.NORM.S.DIST(Table1[[#This Row],[Birthweight Z-Score (BW-10%)]],TRUE)*100,"")</f>
        <v/>
      </c>
      <c r="L5337" s="7" t="str">
        <f>IF(Table1[[#This Row],[Is Data Valid]]=TRUE,_xlfn.NORM.S.DIST(Table1[[#This Row],[Birthweight Z-Score (BW+10%)]],TRUE)*100,"")</f>
        <v/>
      </c>
    </row>
    <row r="5338" spans="1:12" x14ac:dyDescent="0.35">
      <c r="A5338" s="3"/>
      <c r="B5338" s="2"/>
      <c r="C5338" s="2"/>
      <c r="D5338" s="2" t="b">
        <f>IF(AND(NOT(ISBLANK(Table1[[#This Row],[Fetal Sex (Male, Female or Unknown)]])),ISNUMBER(Table1[[#This Row],[Birthweight (grams)]]),ISNUMBER(Table1[[#This Row],[Gestation (days)]])),TRUE,FALSE)</f>
        <v>0</v>
      </c>
      <c r="E5338" s="2" t="str">
        <f>IF(Table1[[#This Row],[Is Data Valid]]=TRUE,IF(Table1[[#This Row],[Fetal Sex (Male, Female or Unknown)]]="Male",Backend!$C$6,IF(Table1[[#This Row],[Fetal Sex (Male, Female or Unknown)]]="Female",Backend!$C$7,IF(Table1[[#This Row],[Fetal Sex (Male, Female or Unknown)]]="Unknown",Backend!$C$8,"Error"))),"")</f>
        <v/>
      </c>
      <c r="F5338" s="8" t="str">
        <f>IF(Table1[[#This Row],[Is Data Valid]]=TRUE,EXP(0.578+0.332*((Table1[[#This Row],[Gestation (days)]]+0.5)/7)-0.00354*((Table1[[#This Row],[Gestation (days)]]+0.5)/7)^2)*Table1[[#This Row],[BW40_3705]],"")</f>
        <v/>
      </c>
      <c r="G5338" s="2" t="str">
        <f>IF(Table1[[#This Row],[Is Data Valid]]=TRUE,((Table1[[#This Row],[Birthweight (grams)]]/Table1[[#This Row],[BW_GA]])-1)/(Backend!$B$4/100*Table1[[#This Row],[BW40_3705]]),"")</f>
        <v/>
      </c>
      <c r="H5338" s="7" t="str">
        <f>IF(Table1[[#This Row],[Is Data Valid]]=TRUE,((Table1[[#This Row],[Birthweight (grams)]]*0.9/Table1[[#This Row],[BW_GA]])-1)/(Backend!$B$4/100*Table1[[#This Row],[BW40_3705]]),"")</f>
        <v/>
      </c>
      <c r="I5338" s="7" t="str">
        <f>IF(Table1[[#This Row],[Is Data Valid]]=TRUE,((Table1[[#This Row],[Birthweight (grams)]]*1.1/Table1[[#This Row],[BW_GA]])-1)/(Backend!$B$4/100*Table1[[#This Row],[BW40_3705]]),"")</f>
        <v/>
      </c>
      <c r="J5338" s="7" t="str">
        <f>IF(Table1[[#This Row],[Is Data Valid]]=TRUE,_xlfn.NORM.S.DIST(Table1[[#This Row],[Birthweight Z-Score]],TRUE)*100,"")</f>
        <v/>
      </c>
      <c r="K5338" s="7" t="str">
        <f>IF(Table1[[#This Row],[Is Data Valid]]=TRUE,_xlfn.NORM.S.DIST(Table1[[#This Row],[Birthweight Z-Score (BW-10%)]],TRUE)*100,"")</f>
        <v/>
      </c>
      <c r="L5338" s="7" t="str">
        <f>IF(Table1[[#This Row],[Is Data Valid]]=TRUE,_xlfn.NORM.S.DIST(Table1[[#This Row],[Birthweight Z-Score (BW+10%)]],TRUE)*100,"")</f>
        <v/>
      </c>
    </row>
    <row r="5339" spans="1:12" x14ac:dyDescent="0.35">
      <c r="A5339" s="3"/>
      <c r="B5339" s="2"/>
      <c r="C5339" s="2"/>
      <c r="D5339" s="2" t="b">
        <f>IF(AND(NOT(ISBLANK(Table1[[#This Row],[Fetal Sex (Male, Female or Unknown)]])),ISNUMBER(Table1[[#This Row],[Birthweight (grams)]]),ISNUMBER(Table1[[#This Row],[Gestation (days)]])),TRUE,FALSE)</f>
        <v>0</v>
      </c>
      <c r="E5339" s="2" t="str">
        <f>IF(Table1[[#This Row],[Is Data Valid]]=TRUE,IF(Table1[[#This Row],[Fetal Sex (Male, Female or Unknown)]]="Male",Backend!$C$6,IF(Table1[[#This Row],[Fetal Sex (Male, Female or Unknown)]]="Female",Backend!$C$7,IF(Table1[[#This Row],[Fetal Sex (Male, Female or Unknown)]]="Unknown",Backend!$C$8,"Error"))),"")</f>
        <v/>
      </c>
      <c r="F5339" s="8" t="str">
        <f>IF(Table1[[#This Row],[Is Data Valid]]=TRUE,EXP(0.578+0.332*((Table1[[#This Row],[Gestation (days)]]+0.5)/7)-0.00354*((Table1[[#This Row],[Gestation (days)]]+0.5)/7)^2)*Table1[[#This Row],[BW40_3705]],"")</f>
        <v/>
      </c>
      <c r="G5339" s="2" t="str">
        <f>IF(Table1[[#This Row],[Is Data Valid]]=TRUE,((Table1[[#This Row],[Birthweight (grams)]]/Table1[[#This Row],[BW_GA]])-1)/(Backend!$B$4/100*Table1[[#This Row],[BW40_3705]]),"")</f>
        <v/>
      </c>
      <c r="H5339" s="7" t="str">
        <f>IF(Table1[[#This Row],[Is Data Valid]]=TRUE,((Table1[[#This Row],[Birthweight (grams)]]*0.9/Table1[[#This Row],[BW_GA]])-1)/(Backend!$B$4/100*Table1[[#This Row],[BW40_3705]]),"")</f>
        <v/>
      </c>
      <c r="I5339" s="7" t="str">
        <f>IF(Table1[[#This Row],[Is Data Valid]]=TRUE,((Table1[[#This Row],[Birthweight (grams)]]*1.1/Table1[[#This Row],[BW_GA]])-1)/(Backend!$B$4/100*Table1[[#This Row],[BW40_3705]]),"")</f>
        <v/>
      </c>
      <c r="J5339" s="7" t="str">
        <f>IF(Table1[[#This Row],[Is Data Valid]]=TRUE,_xlfn.NORM.S.DIST(Table1[[#This Row],[Birthweight Z-Score]],TRUE)*100,"")</f>
        <v/>
      </c>
      <c r="K5339" s="7" t="str">
        <f>IF(Table1[[#This Row],[Is Data Valid]]=TRUE,_xlfn.NORM.S.DIST(Table1[[#This Row],[Birthweight Z-Score (BW-10%)]],TRUE)*100,"")</f>
        <v/>
      </c>
      <c r="L5339" s="7" t="str">
        <f>IF(Table1[[#This Row],[Is Data Valid]]=TRUE,_xlfn.NORM.S.DIST(Table1[[#This Row],[Birthweight Z-Score (BW+10%)]],TRUE)*100,"")</f>
        <v/>
      </c>
    </row>
    <row r="5340" spans="1:12" x14ac:dyDescent="0.35">
      <c r="A5340" s="3"/>
      <c r="B5340" s="2"/>
      <c r="C5340" s="2"/>
      <c r="D5340" s="2" t="b">
        <f>IF(AND(NOT(ISBLANK(Table1[[#This Row],[Fetal Sex (Male, Female or Unknown)]])),ISNUMBER(Table1[[#This Row],[Birthweight (grams)]]),ISNUMBER(Table1[[#This Row],[Gestation (days)]])),TRUE,FALSE)</f>
        <v>0</v>
      </c>
      <c r="E5340" s="2" t="str">
        <f>IF(Table1[[#This Row],[Is Data Valid]]=TRUE,IF(Table1[[#This Row],[Fetal Sex (Male, Female or Unknown)]]="Male",Backend!$C$6,IF(Table1[[#This Row],[Fetal Sex (Male, Female or Unknown)]]="Female",Backend!$C$7,IF(Table1[[#This Row],[Fetal Sex (Male, Female or Unknown)]]="Unknown",Backend!$C$8,"Error"))),"")</f>
        <v/>
      </c>
      <c r="F5340" s="8" t="str">
        <f>IF(Table1[[#This Row],[Is Data Valid]]=TRUE,EXP(0.578+0.332*((Table1[[#This Row],[Gestation (days)]]+0.5)/7)-0.00354*((Table1[[#This Row],[Gestation (days)]]+0.5)/7)^2)*Table1[[#This Row],[BW40_3705]],"")</f>
        <v/>
      </c>
      <c r="G5340" s="2" t="str">
        <f>IF(Table1[[#This Row],[Is Data Valid]]=TRUE,((Table1[[#This Row],[Birthweight (grams)]]/Table1[[#This Row],[BW_GA]])-1)/(Backend!$B$4/100*Table1[[#This Row],[BW40_3705]]),"")</f>
        <v/>
      </c>
      <c r="H5340" s="7" t="str">
        <f>IF(Table1[[#This Row],[Is Data Valid]]=TRUE,((Table1[[#This Row],[Birthweight (grams)]]*0.9/Table1[[#This Row],[BW_GA]])-1)/(Backend!$B$4/100*Table1[[#This Row],[BW40_3705]]),"")</f>
        <v/>
      </c>
      <c r="I5340" s="7" t="str">
        <f>IF(Table1[[#This Row],[Is Data Valid]]=TRUE,((Table1[[#This Row],[Birthweight (grams)]]*1.1/Table1[[#This Row],[BW_GA]])-1)/(Backend!$B$4/100*Table1[[#This Row],[BW40_3705]]),"")</f>
        <v/>
      </c>
      <c r="J5340" s="7" t="str">
        <f>IF(Table1[[#This Row],[Is Data Valid]]=TRUE,_xlfn.NORM.S.DIST(Table1[[#This Row],[Birthweight Z-Score]],TRUE)*100,"")</f>
        <v/>
      </c>
      <c r="K5340" s="7" t="str">
        <f>IF(Table1[[#This Row],[Is Data Valid]]=TRUE,_xlfn.NORM.S.DIST(Table1[[#This Row],[Birthweight Z-Score (BW-10%)]],TRUE)*100,"")</f>
        <v/>
      </c>
      <c r="L5340" s="7" t="str">
        <f>IF(Table1[[#This Row],[Is Data Valid]]=TRUE,_xlfn.NORM.S.DIST(Table1[[#This Row],[Birthweight Z-Score (BW+10%)]],TRUE)*100,"")</f>
        <v/>
      </c>
    </row>
    <row r="5341" spans="1:12" x14ac:dyDescent="0.35">
      <c r="A5341" s="3"/>
      <c r="B5341" s="2"/>
      <c r="C5341" s="2"/>
      <c r="D5341" s="2" t="b">
        <f>IF(AND(NOT(ISBLANK(Table1[[#This Row],[Fetal Sex (Male, Female or Unknown)]])),ISNUMBER(Table1[[#This Row],[Birthweight (grams)]]),ISNUMBER(Table1[[#This Row],[Gestation (days)]])),TRUE,FALSE)</f>
        <v>0</v>
      </c>
      <c r="E5341" s="2" t="str">
        <f>IF(Table1[[#This Row],[Is Data Valid]]=TRUE,IF(Table1[[#This Row],[Fetal Sex (Male, Female or Unknown)]]="Male",Backend!$C$6,IF(Table1[[#This Row],[Fetal Sex (Male, Female or Unknown)]]="Female",Backend!$C$7,IF(Table1[[#This Row],[Fetal Sex (Male, Female or Unknown)]]="Unknown",Backend!$C$8,"Error"))),"")</f>
        <v/>
      </c>
      <c r="F5341" s="8" t="str">
        <f>IF(Table1[[#This Row],[Is Data Valid]]=TRUE,EXP(0.578+0.332*((Table1[[#This Row],[Gestation (days)]]+0.5)/7)-0.00354*((Table1[[#This Row],[Gestation (days)]]+0.5)/7)^2)*Table1[[#This Row],[BW40_3705]],"")</f>
        <v/>
      </c>
      <c r="G5341" s="2" t="str">
        <f>IF(Table1[[#This Row],[Is Data Valid]]=TRUE,((Table1[[#This Row],[Birthweight (grams)]]/Table1[[#This Row],[BW_GA]])-1)/(Backend!$B$4/100*Table1[[#This Row],[BW40_3705]]),"")</f>
        <v/>
      </c>
      <c r="H5341" s="7" t="str">
        <f>IF(Table1[[#This Row],[Is Data Valid]]=TRUE,((Table1[[#This Row],[Birthweight (grams)]]*0.9/Table1[[#This Row],[BW_GA]])-1)/(Backend!$B$4/100*Table1[[#This Row],[BW40_3705]]),"")</f>
        <v/>
      </c>
      <c r="I5341" s="7" t="str">
        <f>IF(Table1[[#This Row],[Is Data Valid]]=TRUE,((Table1[[#This Row],[Birthweight (grams)]]*1.1/Table1[[#This Row],[BW_GA]])-1)/(Backend!$B$4/100*Table1[[#This Row],[BW40_3705]]),"")</f>
        <v/>
      </c>
      <c r="J5341" s="7" t="str">
        <f>IF(Table1[[#This Row],[Is Data Valid]]=TRUE,_xlfn.NORM.S.DIST(Table1[[#This Row],[Birthweight Z-Score]],TRUE)*100,"")</f>
        <v/>
      </c>
      <c r="K5341" s="7" t="str">
        <f>IF(Table1[[#This Row],[Is Data Valid]]=TRUE,_xlfn.NORM.S.DIST(Table1[[#This Row],[Birthweight Z-Score (BW-10%)]],TRUE)*100,"")</f>
        <v/>
      </c>
      <c r="L5341" s="7" t="str">
        <f>IF(Table1[[#This Row],[Is Data Valid]]=TRUE,_xlfn.NORM.S.DIST(Table1[[#This Row],[Birthweight Z-Score (BW+10%)]],TRUE)*100,"")</f>
        <v/>
      </c>
    </row>
    <row r="5342" spans="1:12" x14ac:dyDescent="0.35">
      <c r="A5342" s="3"/>
      <c r="B5342" s="2"/>
      <c r="C5342" s="2"/>
      <c r="D5342" s="2" t="b">
        <f>IF(AND(NOT(ISBLANK(Table1[[#This Row],[Fetal Sex (Male, Female or Unknown)]])),ISNUMBER(Table1[[#This Row],[Birthweight (grams)]]),ISNUMBER(Table1[[#This Row],[Gestation (days)]])),TRUE,FALSE)</f>
        <v>0</v>
      </c>
      <c r="E5342" s="2" t="str">
        <f>IF(Table1[[#This Row],[Is Data Valid]]=TRUE,IF(Table1[[#This Row],[Fetal Sex (Male, Female or Unknown)]]="Male",Backend!$C$6,IF(Table1[[#This Row],[Fetal Sex (Male, Female or Unknown)]]="Female",Backend!$C$7,IF(Table1[[#This Row],[Fetal Sex (Male, Female or Unknown)]]="Unknown",Backend!$C$8,"Error"))),"")</f>
        <v/>
      </c>
      <c r="F5342" s="8" t="str">
        <f>IF(Table1[[#This Row],[Is Data Valid]]=TRUE,EXP(0.578+0.332*((Table1[[#This Row],[Gestation (days)]]+0.5)/7)-0.00354*((Table1[[#This Row],[Gestation (days)]]+0.5)/7)^2)*Table1[[#This Row],[BW40_3705]],"")</f>
        <v/>
      </c>
      <c r="G5342" s="2" t="str">
        <f>IF(Table1[[#This Row],[Is Data Valid]]=TRUE,((Table1[[#This Row],[Birthweight (grams)]]/Table1[[#This Row],[BW_GA]])-1)/(Backend!$B$4/100*Table1[[#This Row],[BW40_3705]]),"")</f>
        <v/>
      </c>
      <c r="H5342" s="7" t="str">
        <f>IF(Table1[[#This Row],[Is Data Valid]]=TRUE,((Table1[[#This Row],[Birthweight (grams)]]*0.9/Table1[[#This Row],[BW_GA]])-1)/(Backend!$B$4/100*Table1[[#This Row],[BW40_3705]]),"")</f>
        <v/>
      </c>
      <c r="I5342" s="7" t="str">
        <f>IF(Table1[[#This Row],[Is Data Valid]]=TRUE,((Table1[[#This Row],[Birthweight (grams)]]*1.1/Table1[[#This Row],[BW_GA]])-1)/(Backend!$B$4/100*Table1[[#This Row],[BW40_3705]]),"")</f>
        <v/>
      </c>
      <c r="J5342" s="7" t="str">
        <f>IF(Table1[[#This Row],[Is Data Valid]]=TRUE,_xlfn.NORM.S.DIST(Table1[[#This Row],[Birthweight Z-Score]],TRUE)*100,"")</f>
        <v/>
      </c>
      <c r="K5342" s="7" t="str">
        <f>IF(Table1[[#This Row],[Is Data Valid]]=TRUE,_xlfn.NORM.S.DIST(Table1[[#This Row],[Birthweight Z-Score (BW-10%)]],TRUE)*100,"")</f>
        <v/>
      </c>
      <c r="L5342" s="7" t="str">
        <f>IF(Table1[[#This Row],[Is Data Valid]]=TRUE,_xlfn.NORM.S.DIST(Table1[[#This Row],[Birthweight Z-Score (BW+10%)]],TRUE)*100,"")</f>
        <v/>
      </c>
    </row>
    <row r="5343" spans="1:12" x14ac:dyDescent="0.35">
      <c r="A5343" s="3"/>
      <c r="B5343" s="2"/>
      <c r="C5343" s="2"/>
      <c r="D5343" s="2" t="b">
        <f>IF(AND(NOT(ISBLANK(Table1[[#This Row],[Fetal Sex (Male, Female or Unknown)]])),ISNUMBER(Table1[[#This Row],[Birthweight (grams)]]),ISNUMBER(Table1[[#This Row],[Gestation (days)]])),TRUE,FALSE)</f>
        <v>0</v>
      </c>
      <c r="E5343" s="2" t="str">
        <f>IF(Table1[[#This Row],[Is Data Valid]]=TRUE,IF(Table1[[#This Row],[Fetal Sex (Male, Female or Unknown)]]="Male",Backend!$C$6,IF(Table1[[#This Row],[Fetal Sex (Male, Female or Unknown)]]="Female",Backend!$C$7,IF(Table1[[#This Row],[Fetal Sex (Male, Female or Unknown)]]="Unknown",Backend!$C$8,"Error"))),"")</f>
        <v/>
      </c>
      <c r="F5343" s="8" t="str">
        <f>IF(Table1[[#This Row],[Is Data Valid]]=TRUE,EXP(0.578+0.332*((Table1[[#This Row],[Gestation (days)]]+0.5)/7)-0.00354*((Table1[[#This Row],[Gestation (days)]]+0.5)/7)^2)*Table1[[#This Row],[BW40_3705]],"")</f>
        <v/>
      </c>
      <c r="G5343" s="2" t="str">
        <f>IF(Table1[[#This Row],[Is Data Valid]]=TRUE,((Table1[[#This Row],[Birthweight (grams)]]/Table1[[#This Row],[BW_GA]])-1)/(Backend!$B$4/100*Table1[[#This Row],[BW40_3705]]),"")</f>
        <v/>
      </c>
      <c r="H5343" s="7" t="str">
        <f>IF(Table1[[#This Row],[Is Data Valid]]=TRUE,((Table1[[#This Row],[Birthweight (grams)]]*0.9/Table1[[#This Row],[BW_GA]])-1)/(Backend!$B$4/100*Table1[[#This Row],[BW40_3705]]),"")</f>
        <v/>
      </c>
      <c r="I5343" s="7" t="str">
        <f>IF(Table1[[#This Row],[Is Data Valid]]=TRUE,((Table1[[#This Row],[Birthweight (grams)]]*1.1/Table1[[#This Row],[BW_GA]])-1)/(Backend!$B$4/100*Table1[[#This Row],[BW40_3705]]),"")</f>
        <v/>
      </c>
      <c r="J5343" s="7" t="str">
        <f>IF(Table1[[#This Row],[Is Data Valid]]=TRUE,_xlfn.NORM.S.DIST(Table1[[#This Row],[Birthweight Z-Score]],TRUE)*100,"")</f>
        <v/>
      </c>
      <c r="K5343" s="7" t="str">
        <f>IF(Table1[[#This Row],[Is Data Valid]]=TRUE,_xlfn.NORM.S.DIST(Table1[[#This Row],[Birthweight Z-Score (BW-10%)]],TRUE)*100,"")</f>
        <v/>
      </c>
      <c r="L5343" s="7" t="str">
        <f>IF(Table1[[#This Row],[Is Data Valid]]=TRUE,_xlfn.NORM.S.DIST(Table1[[#This Row],[Birthweight Z-Score (BW+10%)]],TRUE)*100,"")</f>
        <v/>
      </c>
    </row>
    <row r="5344" spans="1:12" x14ac:dyDescent="0.35">
      <c r="A5344" s="3"/>
      <c r="B5344" s="2"/>
      <c r="C5344" s="2"/>
      <c r="D5344" s="2" t="b">
        <f>IF(AND(NOT(ISBLANK(Table1[[#This Row],[Fetal Sex (Male, Female or Unknown)]])),ISNUMBER(Table1[[#This Row],[Birthweight (grams)]]),ISNUMBER(Table1[[#This Row],[Gestation (days)]])),TRUE,FALSE)</f>
        <v>0</v>
      </c>
      <c r="E5344" s="2" t="str">
        <f>IF(Table1[[#This Row],[Is Data Valid]]=TRUE,IF(Table1[[#This Row],[Fetal Sex (Male, Female or Unknown)]]="Male",Backend!$C$6,IF(Table1[[#This Row],[Fetal Sex (Male, Female or Unknown)]]="Female",Backend!$C$7,IF(Table1[[#This Row],[Fetal Sex (Male, Female or Unknown)]]="Unknown",Backend!$C$8,"Error"))),"")</f>
        <v/>
      </c>
      <c r="F5344" s="8" t="str">
        <f>IF(Table1[[#This Row],[Is Data Valid]]=TRUE,EXP(0.578+0.332*((Table1[[#This Row],[Gestation (days)]]+0.5)/7)-0.00354*((Table1[[#This Row],[Gestation (days)]]+0.5)/7)^2)*Table1[[#This Row],[BW40_3705]],"")</f>
        <v/>
      </c>
      <c r="G5344" s="2" t="str">
        <f>IF(Table1[[#This Row],[Is Data Valid]]=TRUE,((Table1[[#This Row],[Birthweight (grams)]]/Table1[[#This Row],[BW_GA]])-1)/(Backend!$B$4/100*Table1[[#This Row],[BW40_3705]]),"")</f>
        <v/>
      </c>
      <c r="H5344" s="7" t="str">
        <f>IF(Table1[[#This Row],[Is Data Valid]]=TRUE,((Table1[[#This Row],[Birthweight (grams)]]*0.9/Table1[[#This Row],[BW_GA]])-1)/(Backend!$B$4/100*Table1[[#This Row],[BW40_3705]]),"")</f>
        <v/>
      </c>
      <c r="I5344" s="7" t="str">
        <f>IF(Table1[[#This Row],[Is Data Valid]]=TRUE,((Table1[[#This Row],[Birthweight (grams)]]*1.1/Table1[[#This Row],[BW_GA]])-1)/(Backend!$B$4/100*Table1[[#This Row],[BW40_3705]]),"")</f>
        <v/>
      </c>
      <c r="J5344" s="7" t="str">
        <f>IF(Table1[[#This Row],[Is Data Valid]]=TRUE,_xlfn.NORM.S.DIST(Table1[[#This Row],[Birthweight Z-Score]],TRUE)*100,"")</f>
        <v/>
      </c>
      <c r="K5344" s="7" t="str">
        <f>IF(Table1[[#This Row],[Is Data Valid]]=TRUE,_xlfn.NORM.S.DIST(Table1[[#This Row],[Birthweight Z-Score (BW-10%)]],TRUE)*100,"")</f>
        <v/>
      </c>
      <c r="L5344" s="7" t="str">
        <f>IF(Table1[[#This Row],[Is Data Valid]]=TRUE,_xlfn.NORM.S.DIST(Table1[[#This Row],[Birthweight Z-Score (BW+10%)]],TRUE)*100,"")</f>
        <v/>
      </c>
    </row>
    <row r="5345" spans="1:12" x14ac:dyDescent="0.35">
      <c r="A5345" s="3"/>
      <c r="B5345" s="2"/>
      <c r="C5345" s="2"/>
      <c r="D5345" s="2" t="b">
        <f>IF(AND(NOT(ISBLANK(Table1[[#This Row],[Fetal Sex (Male, Female or Unknown)]])),ISNUMBER(Table1[[#This Row],[Birthweight (grams)]]),ISNUMBER(Table1[[#This Row],[Gestation (days)]])),TRUE,FALSE)</f>
        <v>0</v>
      </c>
      <c r="E5345" s="2" t="str">
        <f>IF(Table1[[#This Row],[Is Data Valid]]=TRUE,IF(Table1[[#This Row],[Fetal Sex (Male, Female or Unknown)]]="Male",Backend!$C$6,IF(Table1[[#This Row],[Fetal Sex (Male, Female or Unknown)]]="Female",Backend!$C$7,IF(Table1[[#This Row],[Fetal Sex (Male, Female or Unknown)]]="Unknown",Backend!$C$8,"Error"))),"")</f>
        <v/>
      </c>
      <c r="F5345" s="8" t="str">
        <f>IF(Table1[[#This Row],[Is Data Valid]]=TRUE,EXP(0.578+0.332*((Table1[[#This Row],[Gestation (days)]]+0.5)/7)-0.00354*((Table1[[#This Row],[Gestation (days)]]+0.5)/7)^2)*Table1[[#This Row],[BW40_3705]],"")</f>
        <v/>
      </c>
      <c r="G5345" s="2" t="str">
        <f>IF(Table1[[#This Row],[Is Data Valid]]=TRUE,((Table1[[#This Row],[Birthweight (grams)]]/Table1[[#This Row],[BW_GA]])-1)/(Backend!$B$4/100*Table1[[#This Row],[BW40_3705]]),"")</f>
        <v/>
      </c>
      <c r="H5345" s="7" t="str">
        <f>IF(Table1[[#This Row],[Is Data Valid]]=TRUE,((Table1[[#This Row],[Birthweight (grams)]]*0.9/Table1[[#This Row],[BW_GA]])-1)/(Backend!$B$4/100*Table1[[#This Row],[BW40_3705]]),"")</f>
        <v/>
      </c>
      <c r="I5345" s="7" t="str">
        <f>IF(Table1[[#This Row],[Is Data Valid]]=TRUE,((Table1[[#This Row],[Birthweight (grams)]]*1.1/Table1[[#This Row],[BW_GA]])-1)/(Backend!$B$4/100*Table1[[#This Row],[BW40_3705]]),"")</f>
        <v/>
      </c>
      <c r="J5345" s="7" t="str">
        <f>IF(Table1[[#This Row],[Is Data Valid]]=TRUE,_xlfn.NORM.S.DIST(Table1[[#This Row],[Birthweight Z-Score]],TRUE)*100,"")</f>
        <v/>
      </c>
      <c r="K5345" s="7" t="str">
        <f>IF(Table1[[#This Row],[Is Data Valid]]=TRUE,_xlfn.NORM.S.DIST(Table1[[#This Row],[Birthweight Z-Score (BW-10%)]],TRUE)*100,"")</f>
        <v/>
      </c>
      <c r="L5345" s="7" t="str">
        <f>IF(Table1[[#This Row],[Is Data Valid]]=TRUE,_xlfn.NORM.S.DIST(Table1[[#This Row],[Birthweight Z-Score (BW+10%)]],TRUE)*100,"")</f>
        <v/>
      </c>
    </row>
    <row r="5346" spans="1:12" x14ac:dyDescent="0.35">
      <c r="A5346" s="3"/>
      <c r="B5346" s="2"/>
      <c r="C5346" s="2"/>
      <c r="D5346" s="2" t="b">
        <f>IF(AND(NOT(ISBLANK(Table1[[#This Row],[Fetal Sex (Male, Female or Unknown)]])),ISNUMBER(Table1[[#This Row],[Birthweight (grams)]]),ISNUMBER(Table1[[#This Row],[Gestation (days)]])),TRUE,FALSE)</f>
        <v>0</v>
      </c>
      <c r="E5346" s="2" t="str">
        <f>IF(Table1[[#This Row],[Is Data Valid]]=TRUE,IF(Table1[[#This Row],[Fetal Sex (Male, Female or Unknown)]]="Male",Backend!$C$6,IF(Table1[[#This Row],[Fetal Sex (Male, Female or Unknown)]]="Female",Backend!$C$7,IF(Table1[[#This Row],[Fetal Sex (Male, Female or Unknown)]]="Unknown",Backend!$C$8,"Error"))),"")</f>
        <v/>
      </c>
      <c r="F5346" s="8" t="str">
        <f>IF(Table1[[#This Row],[Is Data Valid]]=TRUE,EXP(0.578+0.332*((Table1[[#This Row],[Gestation (days)]]+0.5)/7)-0.00354*((Table1[[#This Row],[Gestation (days)]]+0.5)/7)^2)*Table1[[#This Row],[BW40_3705]],"")</f>
        <v/>
      </c>
      <c r="G5346" s="2" t="str">
        <f>IF(Table1[[#This Row],[Is Data Valid]]=TRUE,((Table1[[#This Row],[Birthweight (grams)]]/Table1[[#This Row],[BW_GA]])-1)/(Backend!$B$4/100*Table1[[#This Row],[BW40_3705]]),"")</f>
        <v/>
      </c>
      <c r="H5346" s="7" t="str">
        <f>IF(Table1[[#This Row],[Is Data Valid]]=TRUE,((Table1[[#This Row],[Birthweight (grams)]]*0.9/Table1[[#This Row],[BW_GA]])-1)/(Backend!$B$4/100*Table1[[#This Row],[BW40_3705]]),"")</f>
        <v/>
      </c>
      <c r="I5346" s="7" t="str">
        <f>IF(Table1[[#This Row],[Is Data Valid]]=TRUE,((Table1[[#This Row],[Birthweight (grams)]]*1.1/Table1[[#This Row],[BW_GA]])-1)/(Backend!$B$4/100*Table1[[#This Row],[BW40_3705]]),"")</f>
        <v/>
      </c>
      <c r="J5346" s="7" t="str">
        <f>IF(Table1[[#This Row],[Is Data Valid]]=TRUE,_xlfn.NORM.S.DIST(Table1[[#This Row],[Birthweight Z-Score]],TRUE)*100,"")</f>
        <v/>
      </c>
      <c r="K5346" s="7" t="str">
        <f>IF(Table1[[#This Row],[Is Data Valid]]=TRUE,_xlfn.NORM.S.DIST(Table1[[#This Row],[Birthweight Z-Score (BW-10%)]],TRUE)*100,"")</f>
        <v/>
      </c>
      <c r="L5346" s="7" t="str">
        <f>IF(Table1[[#This Row],[Is Data Valid]]=TRUE,_xlfn.NORM.S.DIST(Table1[[#This Row],[Birthweight Z-Score (BW+10%)]],TRUE)*100,"")</f>
        <v/>
      </c>
    </row>
    <row r="5347" spans="1:12" x14ac:dyDescent="0.35">
      <c r="A5347" s="3"/>
      <c r="B5347" s="2"/>
      <c r="C5347" s="2"/>
      <c r="D5347" s="2" t="b">
        <f>IF(AND(NOT(ISBLANK(Table1[[#This Row],[Fetal Sex (Male, Female or Unknown)]])),ISNUMBER(Table1[[#This Row],[Birthweight (grams)]]),ISNUMBER(Table1[[#This Row],[Gestation (days)]])),TRUE,FALSE)</f>
        <v>0</v>
      </c>
      <c r="E5347" s="2" t="str">
        <f>IF(Table1[[#This Row],[Is Data Valid]]=TRUE,IF(Table1[[#This Row],[Fetal Sex (Male, Female or Unknown)]]="Male",Backend!$C$6,IF(Table1[[#This Row],[Fetal Sex (Male, Female or Unknown)]]="Female",Backend!$C$7,IF(Table1[[#This Row],[Fetal Sex (Male, Female or Unknown)]]="Unknown",Backend!$C$8,"Error"))),"")</f>
        <v/>
      </c>
      <c r="F5347" s="8" t="str">
        <f>IF(Table1[[#This Row],[Is Data Valid]]=TRUE,EXP(0.578+0.332*((Table1[[#This Row],[Gestation (days)]]+0.5)/7)-0.00354*((Table1[[#This Row],[Gestation (days)]]+0.5)/7)^2)*Table1[[#This Row],[BW40_3705]],"")</f>
        <v/>
      </c>
      <c r="G5347" s="2" t="str">
        <f>IF(Table1[[#This Row],[Is Data Valid]]=TRUE,((Table1[[#This Row],[Birthweight (grams)]]/Table1[[#This Row],[BW_GA]])-1)/(Backend!$B$4/100*Table1[[#This Row],[BW40_3705]]),"")</f>
        <v/>
      </c>
      <c r="H5347" s="7" t="str">
        <f>IF(Table1[[#This Row],[Is Data Valid]]=TRUE,((Table1[[#This Row],[Birthweight (grams)]]*0.9/Table1[[#This Row],[BW_GA]])-1)/(Backend!$B$4/100*Table1[[#This Row],[BW40_3705]]),"")</f>
        <v/>
      </c>
      <c r="I5347" s="7" t="str">
        <f>IF(Table1[[#This Row],[Is Data Valid]]=TRUE,((Table1[[#This Row],[Birthweight (grams)]]*1.1/Table1[[#This Row],[BW_GA]])-1)/(Backend!$B$4/100*Table1[[#This Row],[BW40_3705]]),"")</f>
        <v/>
      </c>
      <c r="J5347" s="7" t="str">
        <f>IF(Table1[[#This Row],[Is Data Valid]]=TRUE,_xlfn.NORM.S.DIST(Table1[[#This Row],[Birthweight Z-Score]],TRUE)*100,"")</f>
        <v/>
      </c>
      <c r="K5347" s="7" t="str">
        <f>IF(Table1[[#This Row],[Is Data Valid]]=TRUE,_xlfn.NORM.S.DIST(Table1[[#This Row],[Birthweight Z-Score (BW-10%)]],TRUE)*100,"")</f>
        <v/>
      </c>
      <c r="L5347" s="7" t="str">
        <f>IF(Table1[[#This Row],[Is Data Valid]]=TRUE,_xlfn.NORM.S.DIST(Table1[[#This Row],[Birthweight Z-Score (BW+10%)]],TRUE)*100,"")</f>
        <v/>
      </c>
    </row>
    <row r="5348" spans="1:12" x14ac:dyDescent="0.35">
      <c r="A5348" s="3"/>
      <c r="B5348" s="2"/>
      <c r="C5348" s="2"/>
      <c r="D5348" s="2" t="b">
        <f>IF(AND(NOT(ISBLANK(Table1[[#This Row],[Fetal Sex (Male, Female or Unknown)]])),ISNUMBER(Table1[[#This Row],[Birthweight (grams)]]),ISNUMBER(Table1[[#This Row],[Gestation (days)]])),TRUE,FALSE)</f>
        <v>0</v>
      </c>
      <c r="E5348" s="2" t="str">
        <f>IF(Table1[[#This Row],[Is Data Valid]]=TRUE,IF(Table1[[#This Row],[Fetal Sex (Male, Female or Unknown)]]="Male",Backend!$C$6,IF(Table1[[#This Row],[Fetal Sex (Male, Female or Unknown)]]="Female",Backend!$C$7,IF(Table1[[#This Row],[Fetal Sex (Male, Female or Unknown)]]="Unknown",Backend!$C$8,"Error"))),"")</f>
        <v/>
      </c>
      <c r="F5348" s="8" t="str">
        <f>IF(Table1[[#This Row],[Is Data Valid]]=TRUE,EXP(0.578+0.332*((Table1[[#This Row],[Gestation (days)]]+0.5)/7)-0.00354*((Table1[[#This Row],[Gestation (days)]]+0.5)/7)^2)*Table1[[#This Row],[BW40_3705]],"")</f>
        <v/>
      </c>
      <c r="G5348" s="2" t="str">
        <f>IF(Table1[[#This Row],[Is Data Valid]]=TRUE,((Table1[[#This Row],[Birthweight (grams)]]/Table1[[#This Row],[BW_GA]])-1)/(Backend!$B$4/100*Table1[[#This Row],[BW40_3705]]),"")</f>
        <v/>
      </c>
      <c r="H5348" s="7" t="str">
        <f>IF(Table1[[#This Row],[Is Data Valid]]=TRUE,((Table1[[#This Row],[Birthweight (grams)]]*0.9/Table1[[#This Row],[BW_GA]])-1)/(Backend!$B$4/100*Table1[[#This Row],[BW40_3705]]),"")</f>
        <v/>
      </c>
      <c r="I5348" s="7" t="str">
        <f>IF(Table1[[#This Row],[Is Data Valid]]=TRUE,((Table1[[#This Row],[Birthweight (grams)]]*1.1/Table1[[#This Row],[BW_GA]])-1)/(Backend!$B$4/100*Table1[[#This Row],[BW40_3705]]),"")</f>
        <v/>
      </c>
      <c r="J5348" s="7" t="str">
        <f>IF(Table1[[#This Row],[Is Data Valid]]=TRUE,_xlfn.NORM.S.DIST(Table1[[#This Row],[Birthweight Z-Score]],TRUE)*100,"")</f>
        <v/>
      </c>
      <c r="K5348" s="7" t="str">
        <f>IF(Table1[[#This Row],[Is Data Valid]]=TRUE,_xlfn.NORM.S.DIST(Table1[[#This Row],[Birthweight Z-Score (BW-10%)]],TRUE)*100,"")</f>
        <v/>
      </c>
      <c r="L5348" s="7" t="str">
        <f>IF(Table1[[#This Row],[Is Data Valid]]=TRUE,_xlfn.NORM.S.DIST(Table1[[#This Row],[Birthweight Z-Score (BW+10%)]],TRUE)*100,"")</f>
        <v/>
      </c>
    </row>
    <row r="5349" spans="1:12" x14ac:dyDescent="0.35">
      <c r="A5349" s="3"/>
      <c r="B5349" s="2"/>
      <c r="C5349" s="2"/>
      <c r="D5349" s="2" t="b">
        <f>IF(AND(NOT(ISBLANK(Table1[[#This Row],[Fetal Sex (Male, Female or Unknown)]])),ISNUMBER(Table1[[#This Row],[Birthweight (grams)]]),ISNUMBER(Table1[[#This Row],[Gestation (days)]])),TRUE,FALSE)</f>
        <v>0</v>
      </c>
      <c r="E5349" s="2" t="str">
        <f>IF(Table1[[#This Row],[Is Data Valid]]=TRUE,IF(Table1[[#This Row],[Fetal Sex (Male, Female or Unknown)]]="Male",Backend!$C$6,IF(Table1[[#This Row],[Fetal Sex (Male, Female or Unknown)]]="Female",Backend!$C$7,IF(Table1[[#This Row],[Fetal Sex (Male, Female or Unknown)]]="Unknown",Backend!$C$8,"Error"))),"")</f>
        <v/>
      </c>
      <c r="F5349" s="8" t="str">
        <f>IF(Table1[[#This Row],[Is Data Valid]]=TRUE,EXP(0.578+0.332*((Table1[[#This Row],[Gestation (days)]]+0.5)/7)-0.00354*((Table1[[#This Row],[Gestation (days)]]+0.5)/7)^2)*Table1[[#This Row],[BW40_3705]],"")</f>
        <v/>
      </c>
      <c r="G5349" s="2" t="str">
        <f>IF(Table1[[#This Row],[Is Data Valid]]=TRUE,((Table1[[#This Row],[Birthweight (grams)]]/Table1[[#This Row],[BW_GA]])-1)/(Backend!$B$4/100*Table1[[#This Row],[BW40_3705]]),"")</f>
        <v/>
      </c>
      <c r="H5349" s="7" t="str">
        <f>IF(Table1[[#This Row],[Is Data Valid]]=TRUE,((Table1[[#This Row],[Birthweight (grams)]]*0.9/Table1[[#This Row],[BW_GA]])-1)/(Backend!$B$4/100*Table1[[#This Row],[BW40_3705]]),"")</f>
        <v/>
      </c>
      <c r="I5349" s="7" t="str">
        <f>IF(Table1[[#This Row],[Is Data Valid]]=TRUE,((Table1[[#This Row],[Birthweight (grams)]]*1.1/Table1[[#This Row],[BW_GA]])-1)/(Backend!$B$4/100*Table1[[#This Row],[BW40_3705]]),"")</f>
        <v/>
      </c>
      <c r="J5349" s="7" t="str">
        <f>IF(Table1[[#This Row],[Is Data Valid]]=TRUE,_xlfn.NORM.S.DIST(Table1[[#This Row],[Birthweight Z-Score]],TRUE)*100,"")</f>
        <v/>
      </c>
      <c r="K5349" s="7" t="str">
        <f>IF(Table1[[#This Row],[Is Data Valid]]=TRUE,_xlfn.NORM.S.DIST(Table1[[#This Row],[Birthweight Z-Score (BW-10%)]],TRUE)*100,"")</f>
        <v/>
      </c>
      <c r="L5349" s="7" t="str">
        <f>IF(Table1[[#This Row],[Is Data Valid]]=TRUE,_xlfn.NORM.S.DIST(Table1[[#This Row],[Birthweight Z-Score (BW+10%)]],TRUE)*100,"")</f>
        <v/>
      </c>
    </row>
    <row r="5350" spans="1:12" x14ac:dyDescent="0.35">
      <c r="A5350" s="3"/>
      <c r="B5350" s="2"/>
      <c r="C5350" s="2"/>
      <c r="D5350" s="2" t="b">
        <f>IF(AND(NOT(ISBLANK(Table1[[#This Row],[Fetal Sex (Male, Female or Unknown)]])),ISNUMBER(Table1[[#This Row],[Birthweight (grams)]]),ISNUMBER(Table1[[#This Row],[Gestation (days)]])),TRUE,FALSE)</f>
        <v>0</v>
      </c>
      <c r="E5350" s="2" t="str">
        <f>IF(Table1[[#This Row],[Is Data Valid]]=TRUE,IF(Table1[[#This Row],[Fetal Sex (Male, Female or Unknown)]]="Male",Backend!$C$6,IF(Table1[[#This Row],[Fetal Sex (Male, Female or Unknown)]]="Female",Backend!$C$7,IF(Table1[[#This Row],[Fetal Sex (Male, Female or Unknown)]]="Unknown",Backend!$C$8,"Error"))),"")</f>
        <v/>
      </c>
      <c r="F5350" s="8" t="str">
        <f>IF(Table1[[#This Row],[Is Data Valid]]=TRUE,EXP(0.578+0.332*((Table1[[#This Row],[Gestation (days)]]+0.5)/7)-0.00354*((Table1[[#This Row],[Gestation (days)]]+0.5)/7)^2)*Table1[[#This Row],[BW40_3705]],"")</f>
        <v/>
      </c>
      <c r="G5350" s="2" t="str">
        <f>IF(Table1[[#This Row],[Is Data Valid]]=TRUE,((Table1[[#This Row],[Birthweight (grams)]]/Table1[[#This Row],[BW_GA]])-1)/(Backend!$B$4/100*Table1[[#This Row],[BW40_3705]]),"")</f>
        <v/>
      </c>
      <c r="H5350" s="7" t="str">
        <f>IF(Table1[[#This Row],[Is Data Valid]]=TRUE,((Table1[[#This Row],[Birthweight (grams)]]*0.9/Table1[[#This Row],[BW_GA]])-1)/(Backend!$B$4/100*Table1[[#This Row],[BW40_3705]]),"")</f>
        <v/>
      </c>
      <c r="I5350" s="7" t="str">
        <f>IF(Table1[[#This Row],[Is Data Valid]]=TRUE,((Table1[[#This Row],[Birthweight (grams)]]*1.1/Table1[[#This Row],[BW_GA]])-1)/(Backend!$B$4/100*Table1[[#This Row],[BW40_3705]]),"")</f>
        <v/>
      </c>
      <c r="J5350" s="7" t="str">
        <f>IF(Table1[[#This Row],[Is Data Valid]]=TRUE,_xlfn.NORM.S.DIST(Table1[[#This Row],[Birthweight Z-Score]],TRUE)*100,"")</f>
        <v/>
      </c>
      <c r="K5350" s="7" t="str">
        <f>IF(Table1[[#This Row],[Is Data Valid]]=TRUE,_xlfn.NORM.S.DIST(Table1[[#This Row],[Birthweight Z-Score (BW-10%)]],TRUE)*100,"")</f>
        <v/>
      </c>
      <c r="L5350" s="7" t="str">
        <f>IF(Table1[[#This Row],[Is Data Valid]]=TRUE,_xlfn.NORM.S.DIST(Table1[[#This Row],[Birthweight Z-Score (BW+10%)]],TRUE)*100,"")</f>
        <v/>
      </c>
    </row>
    <row r="5351" spans="1:12" x14ac:dyDescent="0.35">
      <c r="A5351" s="3"/>
      <c r="B5351" s="2"/>
      <c r="C5351" s="2"/>
      <c r="D5351" s="2" t="b">
        <f>IF(AND(NOT(ISBLANK(Table1[[#This Row],[Fetal Sex (Male, Female or Unknown)]])),ISNUMBER(Table1[[#This Row],[Birthweight (grams)]]),ISNUMBER(Table1[[#This Row],[Gestation (days)]])),TRUE,FALSE)</f>
        <v>0</v>
      </c>
      <c r="E5351" s="2" t="str">
        <f>IF(Table1[[#This Row],[Is Data Valid]]=TRUE,IF(Table1[[#This Row],[Fetal Sex (Male, Female or Unknown)]]="Male",Backend!$C$6,IF(Table1[[#This Row],[Fetal Sex (Male, Female or Unknown)]]="Female",Backend!$C$7,IF(Table1[[#This Row],[Fetal Sex (Male, Female or Unknown)]]="Unknown",Backend!$C$8,"Error"))),"")</f>
        <v/>
      </c>
      <c r="F5351" s="8" t="str">
        <f>IF(Table1[[#This Row],[Is Data Valid]]=TRUE,EXP(0.578+0.332*((Table1[[#This Row],[Gestation (days)]]+0.5)/7)-0.00354*((Table1[[#This Row],[Gestation (days)]]+0.5)/7)^2)*Table1[[#This Row],[BW40_3705]],"")</f>
        <v/>
      </c>
      <c r="G5351" s="2" t="str">
        <f>IF(Table1[[#This Row],[Is Data Valid]]=TRUE,((Table1[[#This Row],[Birthweight (grams)]]/Table1[[#This Row],[BW_GA]])-1)/(Backend!$B$4/100*Table1[[#This Row],[BW40_3705]]),"")</f>
        <v/>
      </c>
      <c r="H5351" s="7" t="str">
        <f>IF(Table1[[#This Row],[Is Data Valid]]=TRUE,((Table1[[#This Row],[Birthweight (grams)]]*0.9/Table1[[#This Row],[BW_GA]])-1)/(Backend!$B$4/100*Table1[[#This Row],[BW40_3705]]),"")</f>
        <v/>
      </c>
      <c r="I5351" s="7" t="str">
        <f>IF(Table1[[#This Row],[Is Data Valid]]=TRUE,((Table1[[#This Row],[Birthweight (grams)]]*1.1/Table1[[#This Row],[BW_GA]])-1)/(Backend!$B$4/100*Table1[[#This Row],[BW40_3705]]),"")</f>
        <v/>
      </c>
      <c r="J5351" s="7" t="str">
        <f>IF(Table1[[#This Row],[Is Data Valid]]=TRUE,_xlfn.NORM.S.DIST(Table1[[#This Row],[Birthweight Z-Score]],TRUE)*100,"")</f>
        <v/>
      </c>
      <c r="K5351" s="7" t="str">
        <f>IF(Table1[[#This Row],[Is Data Valid]]=TRUE,_xlfn.NORM.S.DIST(Table1[[#This Row],[Birthweight Z-Score (BW-10%)]],TRUE)*100,"")</f>
        <v/>
      </c>
      <c r="L5351" s="7" t="str">
        <f>IF(Table1[[#This Row],[Is Data Valid]]=TRUE,_xlfn.NORM.S.DIST(Table1[[#This Row],[Birthweight Z-Score (BW+10%)]],TRUE)*100,"")</f>
        <v/>
      </c>
    </row>
    <row r="5352" spans="1:12" x14ac:dyDescent="0.35">
      <c r="A5352" s="3"/>
      <c r="B5352" s="2"/>
      <c r="C5352" s="2"/>
      <c r="D5352" s="2" t="b">
        <f>IF(AND(NOT(ISBLANK(Table1[[#This Row],[Fetal Sex (Male, Female or Unknown)]])),ISNUMBER(Table1[[#This Row],[Birthweight (grams)]]),ISNUMBER(Table1[[#This Row],[Gestation (days)]])),TRUE,FALSE)</f>
        <v>0</v>
      </c>
      <c r="E5352" s="2" t="str">
        <f>IF(Table1[[#This Row],[Is Data Valid]]=TRUE,IF(Table1[[#This Row],[Fetal Sex (Male, Female or Unknown)]]="Male",Backend!$C$6,IF(Table1[[#This Row],[Fetal Sex (Male, Female or Unknown)]]="Female",Backend!$C$7,IF(Table1[[#This Row],[Fetal Sex (Male, Female or Unknown)]]="Unknown",Backend!$C$8,"Error"))),"")</f>
        <v/>
      </c>
      <c r="F5352" s="8" t="str">
        <f>IF(Table1[[#This Row],[Is Data Valid]]=TRUE,EXP(0.578+0.332*((Table1[[#This Row],[Gestation (days)]]+0.5)/7)-0.00354*((Table1[[#This Row],[Gestation (days)]]+0.5)/7)^2)*Table1[[#This Row],[BW40_3705]],"")</f>
        <v/>
      </c>
      <c r="G5352" s="2" t="str">
        <f>IF(Table1[[#This Row],[Is Data Valid]]=TRUE,((Table1[[#This Row],[Birthweight (grams)]]/Table1[[#This Row],[BW_GA]])-1)/(Backend!$B$4/100*Table1[[#This Row],[BW40_3705]]),"")</f>
        <v/>
      </c>
      <c r="H5352" s="7" t="str">
        <f>IF(Table1[[#This Row],[Is Data Valid]]=TRUE,((Table1[[#This Row],[Birthweight (grams)]]*0.9/Table1[[#This Row],[BW_GA]])-1)/(Backend!$B$4/100*Table1[[#This Row],[BW40_3705]]),"")</f>
        <v/>
      </c>
      <c r="I5352" s="7" t="str">
        <f>IF(Table1[[#This Row],[Is Data Valid]]=TRUE,((Table1[[#This Row],[Birthweight (grams)]]*1.1/Table1[[#This Row],[BW_GA]])-1)/(Backend!$B$4/100*Table1[[#This Row],[BW40_3705]]),"")</f>
        <v/>
      </c>
      <c r="J5352" s="7" t="str">
        <f>IF(Table1[[#This Row],[Is Data Valid]]=TRUE,_xlfn.NORM.S.DIST(Table1[[#This Row],[Birthweight Z-Score]],TRUE)*100,"")</f>
        <v/>
      </c>
      <c r="K5352" s="7" t="str">
        <f>IF(Table1[[#This Row],[Is Data Valid]]=TRUE,_xlfn.NORM.S.DIST(Table1[[#This Row],[Birthweight Z-Score (BW-10%)]],TRUE)*100,"")</f>
        <v/>
      </c>
      <c r="L5352" s="7" t="str">
        <f>IF(Table1[[#This Row],[Is Data Valid]]=TRUE,_xlfn.NORM.S.DIST(Table1[[#This Row],[Birthweight Z-Score (BW+10%)]],TRUE)*100,"")</f>
        <v/>
      </c>
    </row>
    <row r="5353" spans="1:12" x14ac:dyDescent="0.35">
      <c r="A5353" s="3"/>
      <c r="B5353" s="2"/>
      <c r="C5353" s="2"/>
      <c r="D5353" s="2" t="b">
        <f>IF(AND(NOT(ISBLANK(Table1[[#This Row],[Fetal Sex (Male, Female or Unknown)]])),ISNUMBER(Table1[[#This Row],[Birthweight (grams)]]),ISNUMBER(Table1[[#This Row],[Gestation (days)]])),TRUE,FALSE)</f>
        <v>0</v>
      </c>
      <c r="E5353" s="2" t="str">
        <f>IF(Table1[[#This Row],[Is Data Valid]]=TRUE,IF(Table1[[#This Row],[Fetal Sex (Male, Female or Unknown)]]="Male",Backend!$C$6,IF(Table1[[#This Row],[Fetal Sex (Male, Female or Unknown)]]="Female",Backend!$C$7,IF(Table1[[#This Row],[Fetal Sex (Male, Female or Unknown)]]="Unknown",Backend!$C$8,"Error"))),"")</f>
        <v/>
      </c>
      <c r="F5353" s="8" t="str">
        <f>IF(Table1[[#This Row],[Is Data Valid]]=TRUE,EXP(0.578+0.332*((Table1[[#This Row],[Gestation (days)]]+0.5)/7)-0.00354*((Table1[[#This Row],[Gestation (days)]]+0.5)/7)^2)*Table1[[#This Row],[BW40_3705]],"")</f>
        <v/>
      </c>
      <c r="G5353" s="2" t="str">
        <f>IF(Table1[[#This Row],[Is Data Valid]]=TRUE,((Table1[[#This Row],[Birthweight (grams)]]/Table1[[#This Row],[BW_GA]])-1)/(Backend!$B$4/100*Table1[[#This Row],[BW40_3705]]),"")</f>
        <v/>
      </c>
      <c r="H5353" s="7" t="str">
        <f>IF(Table1[[#This Row],[Is Data Valid]]=TRUE,((Table1[[#This Row],[Birthweight (grams)]]*0.9/Table1[[#This Row],[BW_GA]])-1)/(Backend!$B$4/100*Table1[[#This Row],[BW40_3705]]),"")</f>
        <v/>
      </c>
      <c r="I5353" s="7" t="str">
        <f>IF(Table1[[#This Row],[Is Data Valid]]=TRUE,((Table1[[#This Row],[Birthweight (grams)]]*1.1/Table1[[#This Row],[BW_GA]])-1)/(Backend!$B$4/100*Table1[[#This Row],[BW40_3705]]),"")</f>
        <v/>
      </c>
      <c r="J5353" s="7" t="str">
        <f>IF(Table1[[#This Row],[Is Data Valid]]=TRUE,_xlfn.NORM.S.DIST(Table1[[#This Row],[Birthweight Z-Score]],TRUE)*100,"")</f>
        <v/>
      </c>
      <c r="K5353" s="7" t="str">
        <f>IF(Table1[[#This Row],[Is Data Valid]]=TRUE,_xlfn.NORM.S.DIST(Table1[[#This Row],[Birthweight Z-Score (BW-10%)]],TRUE)*100,"")</f>
        <v/>
      </c>
      <c r="L5353" s="7" t="str">
        <f>IF(Table1[[#This Row],[Is Data Valid]]=TRUE,_xlfn.NORM.S.DIST(Table1[[#This Row],[Birthweight Z-Score (BW+10%)]],TRUE)*100,"")</f>
        <v/>
      </c>
    </row>
    <row r="5354" spans="1:12" x14ac:dyDescent="0.35">
      <c r="A5354" s="3"/>
      <c r="B5354" s="2"/>
      <c r="C5354" s="2"/>
      <c r="D5354" s="2" t="b">
        <f>IF(AND(NOT(ISBLANK(Table1[[#This Row],[Fetal Sex (Male, Female or Unknown)]])),ISNUMBER(Table1[[#This Row],[Birthweight (grams)]]),ISNUMBER(Table1[[#This Row],[Gestation (days)]])),TRUE,FALSE)</f>
        <v>0</v>
      </c>
      <c r="E5354" s="2" t="str">
        <f>IF(Table1[[#This Row],[Is Data Valid]]=TRUE,IF(Table1[[#This Row],[Fetal Sex (Male, Female or Unknown)]]="Male",Backend!$C$6,IF(Table1[[#This Row],[Fetal Sex (Male, Female or Unknown)]]="Female",Backend!$C$7,IF(Table1[[#This Row],[Fetal Sex (Male, Female or Unknown)]]="Unknown",Backend!$C$8,"Error"))),"")</f>
        <v/>
      </c>
      <c r="F5354" s="8" t="str">
        <f>IF(Table1[[#This Row],[Is Data Valid]]=TRUE,EXP(0.578+0.332*((Table1[[#This Row],[Gestation (days)]]+0.5)/7)-0.00354*((Table1[[#This Row],[Gestation (days)]]+0.5)/7)^2)*Table1[[#This Row],[BW40_3705]],"")</f>
        <v/>
      </c>
      <c r="G5354" s="2" t="str">
        <f>IF(Table1[[#This Row],[Is Data Valid]]=TRUE,((Table1[[#This Row],[Birthweight (grams)]]/Table1[[#This Row],[BW_GA]])-1)/(Backend!$B$4/100*Table1[[#This Row],[BW40_3705]]),"")</f>
        <v/>
      </c>
      <c r="H5354" s="7" t="str">
        <f>IF(Table1[[#This Row],[Is Data Valid]]=TRUE,((Table1[[#This Row],[Birthweight (grams)]]*0.9/Table1[[#This Row],[BW_GA]])-1)/(Backend!$B$4/100*Table1[[#This Row],[BW40_3705]]),"")</f>
        <v/>
      </c>
      <c r="I5354" s="7" t="str">
        <f>IF(Table1[[#This Row],[Is Data Valid]]=TRUE,((Table1[[#This Row],[Birthweight (grams)]]*1.1/Table1[[#This Row],[BW_GA]])-1)/(Backend!$B$4/100*Table1[[#This Row],[BW40_3705]]),"")</f>
        <v/>
      </c>
      <c r="J5354" s="7" t="str">
        <f>IF(Table1[[#This Row],[Is Data Valid]]=TRUE,_xlfn.NORM.S.DIST(Table1[[#This Row],[Birthweight Z-Score]],TRUE)*100,"")</f>
        <v/>
      </c>
      <c r="K5354" s="7" t="str">
        <f>IF(Table1[[#This Row],[Is Data Valid]]=TRUE,_xlfn.NORM.S.DIST(Table1[[#This Row],[Birthweight Z-Score (BW-10%)]],TRUE)*100,"")</f>
        <v/>
      </c>
      <c r="L5354" s="7" t="str">
        <f>IF(Table1[[#This Row],[Is Data Valid]]=TRUE,_xlfn.NORM.S.DIST(Table1[[#This Row],[Birthweight Z-Score (BW+10%)]],TRUE)*100,"")</f>
        <v/>
      </c>
    </row>
    <row r="5355" spans="1:12" x14ac:dyDescent="0.35">
      <c r="A5355" s="3"/>
      <c r="B5355" s="2"/>
      <c r="C5355" s="2"/>
      <c r="D5355" s="2" t="b">
        <f>IF(AND(NOT(ISBLANK(Table1[[#This Row],[Fetal Sex (Male, Female or Unknown)]])),ISNUMBER(Table1[[#This Row],[Birthweight (grams)]]),ISNUMBER(Table1[[#This Row],[Gestation (days)]])),TRUE,FALSE)</f>
        <v>0</v>
      </c>
      <c r="E5355" s="2" t="str">
        <f>IF(Table1[[#This Row],[Is Data Valid]]=TRUE,IF(Table1[[#This Row],[Fetal Sex (Male, Female or Unknown)]]="Male",Backend!$C$6,IF(Table1[[#This Row],[Fetal Sex (Male, Female or Unknown)]]="Female",Backend!$C$7,IF(Table1[[#This Row],[Fetal Sex (Male, Female or Unknown)]]="Unknown",Backend!$C$8,"Error"))),"")</f>
        <v/>
      </c>
      <c r="F5355" s="8" t="str">
        <f>IF(Table1[[#This Row],[Is Data Valid]]=TRUE,EXP(0.578+0.332*((Table1[[#This Row],[Gestation (days)]]+0.5)/7)-0.00354*((Table1[[#This Row],[Gestation (days)]]+0.5)/7)^2)*Table1[[#This Row],[BW40_3705]],"")</f>
        <v/>
      </c>
      <c r="G5355" s="2" t="str">
        <f>IF(Table1[[#This Row],[Is Data Valid]]=TRUE,((Table1[[#This Row],[Birthweight (grams)]]/Table1[[#This Row],[BW_GA]])-1)/(Backend!$B$4/100*Table1[[#This Row],[BW40_3705]]),"")</f>
        <v/>
      </c>
      <c r="H5355" s="7" t="str">
        <f>IF(Table1[[#This Row],[Is Data Valid]]=TRUE,((Table1[[#This Row],[Birthweight (grams)]]*0.9/Table1[[#This Row],[BW_GA]])-1)/(Backend!$B$4/100*Table1[[#This Row],[BW40_3705]]),"")</f>
        <v/>
      </c>
      <c r="I5355" s="7" t="str">
        <f>IF(Table1[[#This Row],[Is Data Valid]]=TRUE,((Table1[[#This Row],[Birthweight (grams)]]*1.1/Table1[[#This Row],[BW_GA]])-1)/(Backend!$B$4/100*Table1[[#This Row],[BW40_3705]]),"")</f>
        <v/>
      </c>
      <c r="J5355" s="7" t="str">
        <f>IF(Table1[[#This Row],[Is Data Valid]]=TRUE,_xlfn.NORM.S.DIST(Table1[[#This Row],[Birthweight Z-Score]],TRUE)*100,"")</f>
        <v/>
      </c>
      <c r="K5355" s="7" t="str">
        <f>IF(Table1[[#This Row],[Is Data Valid]]=TRUE,_xlfn.NORM.S.DIST(Table1[[#This Row],[Birthweight Z-Score (BW-10%)]],TRUE)*100,"")</f>
        <v/>
      </c>
      <c r="L5355" s="7" t="str">
        <f>IF(Table1[[#This Row],[Is Data Valid]]=TRUE,_xlfn.NORM.S.DIST(Table1[[#This Row],[Birthweight Z-Score (BW+10%)]],TRUE)*100,"")</f>
        <v/>
      </c>
    </row>
    <row r="5356" spans="1:12" x14ac:dyDescent="0.35">
      <c r="A5356" s="3"/>
      <c r="B5356" s="2"/>
      <c r="C5356" s="2"/>
      <c r="D5356" s="2" t="b">
        <f>IF(AND(NOT(ISBLANK(Table1[[#This Row],[Fetal Sex (Male, Female or Unknown)]])),ISNUMBER(Table1[[#This Row],[Birthweight (grams)]]),ISNUMBER(Table1[[#This Row],[Gestation (days)]])),TRUE,FALSE)</f>
        <v>0</v>
      </c>
      <c r="E5356" s="2" t="str">
        <f>IF(Table1[[#This Row],[Is Data Valid]]=TRUE,IF(Table1[[#This Row],[Fetal Sex (Male, Female or Unknown)]]="Male",Backend!$C$6,IF(Table1[[#This Row],[Fetal Sex (Male, Female or Unknown)]]="Female",Backend!$C$7,IF(Table1[[#This Row],[Fetal Sex (Male, Female or Unknown)]]="Unknown",Backend!$C$8,"Error"))),"")</f>
        <v/>
      </c>
      <c r="F5356" s="8" t="str">
        <f>IF(Table1[[#This Row],[Is Data Valid]]=TRUE,EXP(0.578+0.332*((Table1[[#This Row],[Gestation (days)]]+0.5)/7)-0.00354*((Table1[[#This Row],[Gestation (days)]]+0.5)/7)^2)*Table1[[#This Row],[BW40_3705]],"")</f>
        <v/>
      </c>
      <c r="G5356" s="2" t="str">
        <f>IF(Table1[[#This Row],[Is Data Valid]]=TRUE,((Table1[[#This Row],[Birthweight (grams)]]/Table1[[#This Row],[BW_GA]])-1)/(Backend!$B$4/100*Table1[[#This Row],[BW40_3705]]),"")</f>
        <v/>
      </c>
      <c r="H5356" s="7" t="str">
        <f>IF(Table1[[#This Row],[Is Data Valid]]=TRUE,((Table1[[#This Row],[Birthweight (grams)]]*0.9/Table1[[#This Row],[BW_GA]])-1)/(Backend!$B$4/100*Table1[[#This Row],[BW40_3705]]),"")</f>
        <v/>
      </c>
      <c r="I5356" s="7" t="str">
        <f>IF(Table1[[#This Row],[Is Data Valid]]=TRUE,((Table1[[#This Row],[Birthweight (grams)]]*1.1/Table1[[#This Row],[BW_GA]])-1)/(Backend!$B$4/100*Table1[[#This Row],[BW40_3705]]),"")</f>
        <v/>
      </c>
      <c r="J5356" s="7" t="str">
        <f>IF(Table1[[#This Row],[Is Data Valid]]=TRUE,_xlfn.NORM.S.DIST(Table1[[#This Row],[Birthweight Z-Score]],TRUE)*100,"")</f>
        <v/>
      </c>
      <c r="K5356" s="7" t="str">
        <f>IF(Table1[[#This Row],[Is Data Valid]]=TRUE,_xlfn.NORM.S.DIST(Table1[[#This Row],[Birthweight Z-Score (BW-10%)]],TRUE)*100,"")</f>
        <v/>
      </c>
      <c r="L5356" s="7" t="str">
        <f>IF(Table1[[#This Row],[Is Data Valid]]=TRUE,_xlfn.NORM.S.DIST(Table1[[#This Row],[Birthweight Z-Score (BW+10%)]],TRUE)*100,"")</f>
        <v/>
      </c>
    </row>
    <row r="5357" spans="1:12" x14ac:dyDescent="0.35">
      <c r="A5357" s="3"/>
      <c r="B5357" s="2"/>
      <c r="C5357" s="2"/>
      <c r="D5357" s="2" t="b">
        <f>IF(AND(NOT(ISBLANK(Table1[[#This Row],[Fetal Sex (Male, Female or Unknown)]])),ISNUMBER(Table1[[#This Row],[Birthweight (grams)]]),ISNUMBER(Table1[[#This Row],[Gestation (days)]])),TRUE,FALSE)</f>
        <v>0</v>
      </c>
      <c r="E5357" s="2" t="str">
        <f>IF(Table1[[#This Row],[Is Data Valid]]=TRUE,IF(Table1[[#This Row],[Fetal Sex (Male, Female or Unknown)]]="Male",Backend!$C$6,IF(Table1[[#This Row],[Fetal Sex (Male, Female or Unknown)]]="Female",Backend!$C$7,IF(Table1[[#This Row],[Fetal Sex (Male, Female or Unknown)]]="Unknown",Backend!$C$8,"Error"))),"")</f>
        <v/>
      </c>
      <c r="F5357" s="8" t="str">
        <f>IF(Table1[[#This Row],[Is Data Valid]]=TRUE,EXP(0.578+0.332*((Table1[[#This Row],[Gestation (days)]]+0.5)/7)-0.00354*((Table1[[#This Row],[Gestation (days)]]+0.5)/7)^2)*Table1[[#This Row],[BW40_3705]],"")</f>
        <v/>
      </c>
      <c r="G5357" s="2" t="str">
        <f>IF(Table1[[#This Row],[Is Data Valid]]=TRUE,((Table1[[#This Row],[Birthweight (grams)]]/Table1[[#This Row],[BW_GA]])-1)/(Backend!$B$4/100*Table1[[#This Row],[BW40_3705]]),"")</f>
        <v/>
      </c>
      <c r="H5357" s="7" t="str">
        <f>IF(Table1[[#This Row],[Is Data Valid]]=TRUE,((Table1[[#This Row],[Birthweight (grams)]]*0.9/Table1[[#This Row],[BW_GA]])-1)/(Backend!$B$4/100*Table1[[#This Row],[BW40_3705]]),"")</f>
        <v/>
      </c>
      <c r="I5357" s="7" t="str">
        <f>IF(Table1[[#This Row],[Is Data Valid]]=TRUE,((Table1[[#This Row],[Birthweight (grams)]]*1.1/Table1[[#This Row],[BW_GA]])-1)/(Backend!$B$4/100*Table1[[#This Row],[BW40_3705]]),"")</f>
        <v/>
      </c>
      <c r="J5357" s="7" t="str">
        <f>IF(Table1[[#This Row],[Is Data Valid]]=TRUE,_xlfn.NORM.S.DIST(Table1[[#This Row],[Birthweight Z-Score]],TRUE)*100,"")</f>
        <v/>
      </c>
      <c r="K5357" s="7" t="str">
        <f>IF(Table1[[#This Row],[Is Data Valid]]=TRUE,_xlfn.NORM.S.DIST(Table1[[#This Row],[Birthweight Z-Score (BW-10%)]],TRUE)*100,"")</f>
        <v/>
      </c>
      <c r="L5357" s="7" t="str">
        <f>IF(Table1[[#This Row],[Is Data Valid]]=TRUE,_xlfn.NORM.S.DIST(Table1[[#This Row],[Birthweight Z-Score (BW+10%)]],TRUE)*100,"")</f>
        <v/>
      </c>
    </row>
    <row r="5358" spans="1:12" x14ac:dyDescent="0.35">
      <c r="A5358" s="3"/>
      <c r="B5358" s="2"/>
      <c r="C5358" s="2"/>
      <c r="D5358" s="2" t="b">
        <f>IF(AND(NOT(ISBLANK(Table1[[#This Row],[Fetal Sex (Male, Female or Unknown)]])),ISNUMBER(Table1[[#This Row],[Birthweight (grams)]]),ISNUMBER(Table1[[#This Row],[Gestation (days)]])),TRUE,FALSE)</f>
        <v>0</v>
      </c>
      <c r="E5358" s="2" t="str">
        <f>IF(Table1[[#This Row],[Is Data Valid]]=TRUE,IF(Table1[[#This Row],[Fetal Sex (Male, Female or Unknown)]]="Male",Backend!$C$6,IF(Table1[[#This Row],[Fetal Sex (Male, Female or Unknown)]]="Female",Backend!$C$7,IF(Table1[[#This Row],[Fetal Sex (Male, Female or Unknown)]]="Unknown",Backend!$C$8,"Error"))),"")</f>
        <v/>
      </c>
      <c r="F5358" s="8" t="str">
        <f>IF(Table1[[#This Row],[Is Data Valid]]=TRUE,EXP(0.578+0.332*((Table1[[#This Row],[Gestation (days)]]+0.5)/7)-0.00354*((Table1[[#This Row],[Gestation (days)]]+0.5)/7)^2)*Table1[[#This Row],[BW40_3705]],"")</f>
        <v/>
      </c>
      <c r="G5358" s="2" t="str">
        <f>IF(Table1[[#This Row],[Is Data Valid]]=TRUE,((Table1[[#This Row],[Birthweight (grams)]]/Table1[[#This Row],[BW_GA]])-1)/(Backend!$B$4/100*Table1[[#This Row],[BW40_3705]]),"")</f>
        <v/>
      </c>
      <c r="H5358" s="7" t="str">
        <f>IF(Table1[[#This Row],[Is Data Valid]]=TRUE,((Table1[[#This Row],[Birthweight (grams)]]*0.9/Table1[[#This Row],[BW_GA]])-1)/(Backend!$B$4/100*Table1[[#This Row],[BW40_3705]]),"")</f>
        <v/>
      </c>
      <c r="I5358" s="7" t="str">
        <f>IF(Table1[[#This Row],[Is Data Valid]]=TRUE,((Table1[[#This Row],[Birthweight (grams)]]*1.1/Table1[[#This Row],[BW_GA]])-1)/(Backend!$B$4/100*Table1[[#This Row],[BW40_3705]]),"")</f>
        <v/>
      </c>
      <c r="J5358" s="7" t="str">
        <f>IF(Table1[[#This Row],[Is Data Valid]]=TRUE,_xlfn.NORM.S.DIST(Table1[[#This Row],[Birthweight Z-Score]],TRUE)*100,"")</f>
        <v/>
      </c>
      <c r="K5358" s="7" t="str">
        <f>IF(Table1[[#This Row],[Is Data Valid]]=TRUE,_xlfn.NORM.S.DIST(Table1[[#This Row],[Birthweight Z-Score (BW-10%)]],TRUE)*100,"")</f>
        <v/>
      </c>
      <c r="L5358" s="7" t="str">
        <f>IF(Table1[[#This Row],[Is Data Valid]]=TRUE,_xlfn.NORM.S.DIST(Table1[[#This Row],[Birthweight Z-Score (BW+10%)]],TRUE)*100,"")</f>
        <v/>
      </c>
    </row>
    <row r="5359" spans="1:12" x14ac:dyDescent="0.35">
      <c r="A5359" s="3"/>
      <c r="B5359" s="2"/>
      <c r="C5359" s="2"/>
      <c r="D5359" s="2" t="b">
        <f>IF(AND(NOT(ISBLANK(Table1[[#This Row],[Fetal Sex (Male, Female or Unknown)]])),ISNUMBER(Table1[[#This Row],[Birthweight (grams)]]),ISNUMBER(Table1[[#This Row],[Gestation (days)]])),TRUE,FALSE)</f>
        <v>0</v>
      </c>
      <c r="E5359" s="2" t="str">
        <f>IF(Table1[[#This Row],[Is Data Valid]]=TRUE,IF(Table1[[#This Row],[Fetal Sex (Male, Female or Unknown)]]="Male",Backend!$C$6,IF(Table1[[#This Row],[Fetal Sex (Male, Female or Unknown)]]="Female",Backend!$C$7,IF(Table1[[#This Row],[Fetal Sex (Male, Female or Unknown)]]="Unknown",Backend!$C$8,"Error"))),"")</f>
        <v/>
      </c>
      <c r="F5359" s="8" t="str">
        <f>IF(Table1[[#This Row],[Is Data Valid]]=TRUE,EXP(0.578+0.332*((Table1[[#This Row],[Gestation (days)]]+0.5)/7)-0.00354*((Table1[[#This Row],[Gestation (days)]]+0.5)/7)^2)*Table1[[#This Row],[BW40_3705]],"")</f>
        <v/>
      </c>
      <c r="G5359" s="2" t="str">
        <f>IF(Table1[[#This Row],[Is Data Valid]]=TRUE,((Table1[[#This Row],[Birthweight (grams)]]/Table1[[#This Row],[BW_GA]])-1)/(Backend!$B$4/100*Table1[[#This Row],[BW40_3705]]),"")</f>
        <v/>
      </c>
      <c r="H5359" s="7" t="str">
        <f>IF(Table1[[#This Row],[Is Data Valid]]=TRUE,((Table1[[#This Row],[Birthweight (grams)]]*0.9/Table1[[#This Row],[BW_GA]])-1)/(Backend!$B$4/100*Table1[[#This Row],[BW40_3705]]),"")</f>
        <v/>
      </c>
      <c r="I5359" s="7" t="str">
        <f>IF(Table1[[#This Row],[Is Data Valid]]=TRUE,((Table1[[#This Row],[Birthweight (grams)]]*1.1/Table1[[#This Row],[BW_GA]])-1)/(Backend!$B$4/100*Table1[[#This Row],[BW40_3705]]),"")</f>
        <v/>
      </c>
      <c r="J5359" s="7" t="str">
        <f>IF(Table1[[#This Row],[Is Data Valid]]=TRUE,_xlfn.NORM.S.DIST(Table1[[#This Row],[Birthweight Z-Score]],TRUE)*100,"")</f>
        <v/>
      </c>
      <c r="K5359" s="7" t="str">
        <f>IF(Table1[[#This Row],[Is Data Valid]]=TRUE,_xlfn.NORM.S.DIST(Table1[[#This Row],[Birthweight Z-Score (BW-10%)]],TRUE)*100,"")</f>
        <v/>
      </c>
      <c r="L5359" s="7" t="str">
        <f>IF(Table1[[#This Row],[Is Data Valid]]=TRUE,_xlfn.NORM.S.DIST(Table1[[#This Row],[Birthweight Z-Score (BW+10%)]],TRUE)*100,"")</f>
        <v/>
      </c>
    </row>
    <row r="5360" spans="1:12" x14ac:dyDescent="0.35">
      <c r="A5360" s="3"/>
      <c r="B5360" s="2"/>
      <c r="C5360" s="2"/>
      <c r="D5360" s="2" t="b">
        <f>IF(AND(NOT(ISBLANK(Table1[[#This Row],[Fetal Sex (Male, Female or Unknown)]])),ISNUMBER(Table1[[#This Row],[Birthweight (grams)]]),ISNUMBER(Table1[[#This Row],[Gestation (days)]])),TRUE,FALSE)</f>
        <v>0</v>
      </c>
      <c r="E5360" s="2" t="str">
        <f>IF(Table1[[#This Row],[Is Data Valid]]=TRUE,IF(Table1[[#This Row],[Fetal Sex (Male, Female or Unknown)]]="Male",Backend!$C$6,IF(Table1[[#This Row],[Fetal Sex (Male, Female or Unknown)]]="Female",Backend!$C$7,IF(Table1[[#This Row],[Fetal Sex (Male, Female or Unknown)]]="Unknown",Backend!$C$8,"Error"))),"")</f>
        <v/>
      </c>
      <c r="F5360" s="8" t="str">
        <f>IF(Table1[[#This Row],[Is Data Valid]]=TRUE,EXP(0.578+0.332*((Table1[[#This Row],[Gestation (days)]]+0.5)/7)-0.00354*((Table1[[#This Row],[Gestation (days)]]+0.5)/7)^2)*Table1[[#This Row],[BW40_3705]],"")</f>
        <v/>
      </c>
      <c r="G5360" s="2" t="str">
        <f>IF(Table1[[#This Row],[Is Data Valid]]=TRUE,((Table1[[#This Row],[Birthweight (grams)]]/Table1[[#This Row],[BW_GA]])-1)/(Backend!$B$4/100*Table1[[#This Row],[BW40_3705]]),"")</f>
        <v/>
      </c>
      <c r="H5360" s="7" t="str">
        <f>IF(Table1[[#This Row],[Is Data Valid]]=TRUE,((Table1[[#This Row],[Birthweight (grams)]]*0.9/Table1[[#This Row],[BW_GA]])-1)/(Backend!$B$4/100*Table1[[#This Row],[BW40_3705]]),"")</f>
        <v/>
      </c>
      <c r="I5360" s="7" t="str">
        <f>IF(Table1[[#This Row],[Is Data Valid]]=TRUE,((Table1[[#This Row],[Birthweight (grams)]]*1.1/Table1[[#This Row],[BW_GA]])-1)/(Backend!$B$4/100*Table1[[#This Row],[BW40_3705]]),"")</f>
        <v/>
      </c>
      <c r="J5360" s="7" t="str">
        <f>IF(Table1[[#This Row],[Is Data Valid]]=TRUE,_xlfn.NORM.S.DIST(Table1[[#This Row],[Birthweight Z-Score]],TRUE)*100,"")</f>
        <v/>
      </c>
      <c r="K5360" s="7" t="str">
        <f>IF(Table1[[#This Row],[Is Data Valid]]=TRUE,_xlfn.NORM.S.DIST(Table1[[#This Row],[Birthweight Z-Score (BW-10%)]],TRUE)*100,"")</f>
        <v/>
      </c>
      <c r="L5360" s="7" t="str">
        <f>IF(Table1[[#This Row],[Is Data Valid]]=TRUE,_xlfn.NORM.S.DIST(Table1[[#This Row],[Birthweight Z-Score (BW+10%)]],TRUE)*100,"")</f>
        <v/>
      </c>
    </row>
    <row r="5361" spans="1:12" x14ac:dyDescent="0.35">
      <c r="A5361" s="3"/>
      <c r="B5361" s="2"/>
      <c r="C5361" s="2"/>
      <c r="D5361" s="2" t="b">
        <f>IF(AND(NOT(ISBLANK(Table1[[#This Row],[Fetal Sex (Male, Female or Unknown)]])),ISNUMBER(Table1[[#This Row],[Birthweight (grams)]]),ISNUMBER(Table1[[#This Row],[Gestation (days)]])),TRUE,FALSE)</f>
        <v>0</v>
      </c>
      <c r="E5361" s="2" t="str">
        <f>IF(Table1[[#This Row],[Is Data Valid]]=TRUE,IF(Table1[[#This Row],[Fetal Sex (Male, Female or Unknown)]]="Male",Backend!$C$6,IF(Table1[[#This Row],[Fetal Sex (Male, Female or Unknown)]]="Female",Backend!$C$7,IF(Table1[[#This Row],[Fetal Sex (Male, Female or Unknown)]]="Unknown",Backend!$C$8,"Error"))),"")</f>
        <v/>
      </c>
      <c r="F5361" s="8" t="str">
        <f>IF(Table1[[#This Row],[Is Data Valid]]=TRUE,EXP(0.578+0.332*((Table1[[#This Row],[Gestation (days)]]+0.5)/7)-0.00354*((Table1[[#This Row],[Gestation (days)]]+0.5)/7)^2)*Table1[[#This Row],[BW40_3705]],"")</f>
        <v/>
      </c>
      <c r="G5361" s="2" t="str">
        <f>IF(Table1[[#This Row],[Is Data Valid]]=TRUE,((Table1[[#This Row],[Birthweight (grams)]]/Table1[[#This Row],[BW_GA]])-1)/(Backend!$B$4/100*Table1[[#This Row],[BW40_3705]]),"")</f>
        <v/>
      </c>
      <c r="H5361" s="7" t="str">
        <f>IF(Table1[[#This Row],[Is Data Valid]]=TRUE,((Table1[[#This Row],[Birthweight (grams)]]*0.9/Table1[[#This Row],[BW_GA]])-1)/(Backend!$B$4/100*Table1[[#This Row],[BW40_3705]]),"")</f>
        <v/>
      </c>
      <c r="I5361" s="7" t="str">
        <f>IF(Table1[[#This Row],[Is Data Valid]]=TRUE,((Table1[[#This Row],[Birthweight (grams)]]*1.1/Table1[[#This Row],[BW_GA]])-1)/(Backend!$B$4/100*Table1[[#This Row],[BW40_3705]]),"")</f>
        <v/>
      </c>
      <c r="J5361" s="7" t="str">
        <f>IF(Table1[[#This Row],[Is Data Valid]]=TRUE,_xlfn.NORM.S.DIST(Table1[[#This Row],[Birthweight Z-Score]],TRUE)*100,"")</f>
        <v/>
      </c>
      <c r="K5361" s="7" t="str">
        <f>IF(Table1[[#This Row],[Is Data Valid]]=TRUE,_xlfn.NORM.S.DIST(Table1[[#This Row],[Birthweight Z-Score (BW-10%)]],TRUE)*100,"")</f>
        <v/>
      </c>
      <c r="L5361" s="7" t="str">
        <f>IF(Table1[[#This Row],[Is Data Valid]]=TRUE,_xlfn.NORM.S.DIST(Table1[[#This Row],[Birthweight Z-Score (BW+10%)]],TRUE)*100,"")</f>
        <v/>
      </c>
    </row>
    <row r="5362" spans="1:12" x14ac:dyDescent="0.35">
      <c r="A5362" s="3"/>
      <c r="B5362" s="2"/>
      <c r="C5362" s="2"/>
      <c r="D5362" s="2" t="b">
        <f>IF(AND(NOT(ISBLANK(Table1[[#This Row],[Fetal Sex (Male, Female or Unknown)]])),ISNUMBER(Table1[[#This Row],[Birthweight (grams)]]),ISNUMBER(Table1[[#This Row],[Gestation (days)]])),TRUE,FALSE)</f>
        <v>0</v>
      </c>
      <c r="E5362" s="2" t="str">
        <f>IF(Table1[[#This Row],[Is Data Valid]]=TRUE,IF(Table1[[#This Row],[Fetal Sex (Male, Female or Unknown)]]="Male",Backend!$C$6,IF(Table1[[#This Row],[Fetal Sex (Male, Female or Unknown)]]="Female",Backend!$C$7,IF(Table1[[#This Row],[Fetal Sex (Male, Female or Unknown)]]="Unknown",Backend!$C$8,"Error"))),"")</f>
        <v/>
      </c>
      <c r="F5362" s="8" t="str">
        <f>IF(Table1[[#This Row],[Is Data Valid]]=TRUE,EXP(0.578+0.332*((Table1[[#This Row],[Gestation (days)]]+0.5)/7)-0.00354*((Table1[[#This Row],[Gestation (days)]]+0.5)/7)^2)*Table1[[#This Row],[BW40_3705]],"")</f>
        <v/>
      </c>
      <c r="G5362" s="2" t="str">
        <f>IF(Table1[[#This Row],[Is Data Valid]]=TRUE,((Table1[[#This Row],[Birthweight (grams)]]/Table1[[#This Row],[BW_GA]])-1)/(Backend!$B$4/100*Table1[[#This Row],[BW40_3705]]),"")</f>
        <v/>
      </c>
      <c r="H5362" s="7" t="str">
        <f>IF(Table1[[#This Row],[Is Data Valid]]=TRUE,((Table1[[#This Row],[Birthweight (grams)]]*0.9/Table1[[#This Row],[BW_GA]])-1)/(Backend!$B$4/100*Table1[[#This Row],[BW40_3705]]),"")</f>
        <v/>
      </c>
      <c r="I5362" s="7" t="str">
        <f>IF(Table1[[#This Row],[Is Data Valid]]=TRUE,((Table1[[#This Row],[Birthweight (grams)]]*1.1/Table1[[#This Row],[BW_GA]])-1)/(Backend!$B$4/100*Table1[[#This Row],[BW40_3705]]),"")</f>
        <v/>
      </c>
      <c r="J5362" s="7" t="str">
        <f>IF(Table1[[#This Row],[Is Data Valid]]=TRUE,_xlfn.NORM.S.DIST(Table1[[#This Row],[Birthweight Z-Score]],TRUE)*100,"")</f>
        <v/>
      </c>
      <c r="K5362" s="7" t="str">
        <f>IF(Table1[[#This Row],[Is Data Valid]]=TRUE,_xlfn.NORM.S.DIST(Table1[[#This Row],[Birthweight Z-Score (BW-10%)]],TRUE)*100,"")</f>
        <v/>
      </c>
      <c r="L5362" s="7" t="str">
        <f>IF(Table1[[#This Row],[Is Data Valid]]=TRUE,_xlfn.NORM.S.DIST(Table1[[#This Row],[Birthweight Z-Score (BW+10%)]],TRUE)*100,"")</f>
        <v/>
      </c>
    </row>
    <row r="5363" spans="1:12" x14ac:dyDescent="0.35">
      <c r="A5363" s="3"/>
      <c r="B5363" s="2"/>
      <c r="C5363" s="2"/>
      <c r="D5363" s="2" t="b">
        <f>IF(AND(NOT(ISBLANK(Table1[[#This Row],[Fetal Sex (Male, Female or Unknown)]])),ISNUMBER(Table1[[#This Row],[Birthweight (grams)]]),ISNUMBER(Table1[[#This Row],[Gestation (days)]])),TRUE,FALSE)</f>
        <v>0</v>
      </c>
      <c r="E5363" s="2" t="str">
        <f>IF(Table1[[#This Row],[Is Data Valid]]=TRUE,IF(Table1[[#This Row],[Fetal Sex (Male, Female or Unknown)]]="Male",Backend!$C$6,IF(Table1[[#This Row],[Fetal Sex (Male, Female or Unknown)]]="Female",Backend!$C$7,IF(Table1[[#This Row],[Fetal Sex (Male, Female or Unknown)]]="Unknown",Backend!$C$8,"Error"))),"")</f>
        <v/>
      </c>
      <c r="F5363" s="8" t="str">
        <f>IF(Table1[[#This Row],[Is Data Valid]]=TRUE,EXP(0.578+0.332*((Table1[[#This Row],[Gestation (days)]]+0.5)/7)-0.00354*((Table1[[#This Row],[Gestation (days)]]+0.5)/7)^2)*Table1[[#This Row],[BW40_3705]],"")</f>
        <v/>
      </c>
      <c r="G5363" s="2" t="str">
        <f>IF(Table1[[#This Row],[Is Data Valid]]=TRUE,((Table1[[#This Row],[Birthweight (grams)]]/Table1[[#This Row],[BW_GA]])-1)/(Backend!$B$4/100*Table1[[#This Row],[BW40_3705]]),"")</f>
        <v/>
      </c>
      <c r="H5363" s="7" t="str">
        <f>IF(Table1[[#This Row],[Is Data Valid]]=TRUE,((Table1[[#This Row],[Birthweight (grams)]]*0.9/Table1[[#This Row],[BW_GA]])-1)/(Backend!$B$4/100*Table1[[#This Row],[BW40_3705]]),"")</f>
        <v/>
      </c>
      <c r="I5363" s="7" t="str">
        <f>IF(Table1[[#This Row],[Is Data Valid]]=TRUE,((Table1[[#This Row],[Birthweight (grams)]]*1.1/Table1[[#This Row],[BW_GA]])-1)/(Backend!$B$4/100*Table1[[#This Row],[BW40_3705]]),"")</f>
        <v/>
      </c>
      <c r="J5363" s="7" t="str">
        <f>IF(Table1[[#This Row],[Is Data Valid]]=TRUE,_xlfn.NORM.S.DIST(Table1[[#This Row],[Birthweight Z-Score]],TRUE)*100,"")</f>
        <v/>
      </c>
      <c r="K5363" s="7" t="str">
        <f>IF(Table1[[#This Row],[Is Data Valid]]=TRUE,_xlfn.NORM.S.DIST(Table1[[#This Row],[Birthweight Z-Score (BW-10%)]],TRUE)*100,"")</f>
        <v/>
      </c>
      <c r="L5363" s="7" t="str">
        <f>IF(Table1[[#This Row],[Is Data Valid]]=TRUE,_xlfn.NORM.S.DIST(Table1[[#This Row],[Birthweight Z-Score (BW+10%)]],TRUE)*100,"")</f>
        <v/>
      </c>
    </row>
    <row r="5364" spans="1:12" x14ac:dyDescent="0.35">
      <c r="A5364" s="3"/>
      <c r="B5364" s="2"/>
      <c r="C5364" s="2"/>
      <c r="D5364" s="2" t="b">
        <f>IF(AND(NOT(ISBLANK(Table1[[#This Row],[Fetal Sex (Male, Female or Unknown)]])),ISNUMBER(Table1[[#This Row],[Birthweight (grams)]]),ISNUMBER(Table1[[#This Row],[Gestation (days)]])),TRUE,FALSE)</f>
        <v>0</v>
      </c>
      <c r="E5364" s="2" t="str">
        <f>IF(Table1[[#This Row],[Is Data Valid]]=TRUE,IF(Table1[[#This Row],[Fetal Sex (Male, Female or Unknown)]]="Male",Backend!$C$6,IF(Table1[[#This Row],[Fetal Sex (Male, Female or Unknown)]]="Female",Backend!$C$7,IF(Table1[[#This Row],[Fetal Sex (Male, Female or Unknown)]]="Unknown",Backend!$C$8,"Error"))),"")</f>
        <v/>
      </c>
      <c r="F5364" s="8" t="str">
        <f>IF(Table1[[#This Row],[Is Data Valid]]=TRUE,EXP(0.578+0.332*((Table1[[#This Row],[Gestation (days)]]+0.5)/7)-0.00354*((Table1[[#This Row],[Gestation (days)]]+0.5)/7)^2)*Table1[[#This Row],[BW40_3705]],"")</f>
        <v/>
      </c>
      <c r="G5364" s="2" t="str">
        <f>IF(Table1[[#This Row],[Is Data Valid]]=TRUE,((Table1[[#This Row],[Birthweight (grams)]]/Table1[[#This Row],[BW_GA]])-1)/(Backend!$B$4/100*Table1[[#This Row],[BW40_3705]]),"")</f>
        <v/>
      </c>
      <c r="H5364" s="7" t="str">
        <f>IF(Table1[[#This Row],[Is Data Valid]]=TRUE,((Table1[[#This Row],[Birthweight (grams)]]*0.9/Table1[[#This Row],[BW_GA]])-1)/(Backend!$B$4/100*Table1[[#This Row],[BW40_3705]]),"")</f>
        <v/>
      </c>
      <c r="I5364" s="7" t="str">
        <f>IF(Table1[[#This Row],[Is Data Valid]]=TRUE,((Table1[[#This Row],[Birthweight (grams)]]*1.1/Table1[[#This Row],[BW_GA]])-1)/(Backend!$B$4/100*Table1[[#This Row],[BW40_3705]]),"")</f>
        <v/>
      </c>
      <c r="J5364" s="7" t="str">
        <f>IF(Table1[[#This Row],[Is Data Valid]]=TRUE,_xlfn.NORM.S.DIST(Table1[[#This Row],[Birthweight Z-Score]],TRUE)*100,"")</f>
        <v/>
      </c>
      <c r="K5364" s="7" t="str">
        <f>IF(Table1[[#This Row],[Is Data Valid]]=TRUE,_xlfn.NORM.S.DIST(Table1[[#This Row],[Birthweight Z-Score (BW-10%)]],TRUE)*100,"")</f>
        <v/>
      </c>
      <c r="L5364" s="7" t="str">
        <f>IF(Table1[[#This Row],[Is Data Valid]]=TRUE,_xlfn.NORM.S.DIST(Table1[[#This Row],[Birthweight Z-Score (BW+10%)]],TRUE)*100,"")</f>
        <v/>
      </c>
    </row>
    <row r="5365" spans="1:12" x14ac:dyDescent="0.35">
      <c r="A5365" s="3"/>
      <c r="B5365" s="2"/>
      <c r="C5365" s="2"/>
      <c r="D5365" s="2" t="b">
        <f>IF(AND(NOT(ISBLANK(Table1[[#This Row],[Fetal Sex (Male, Female or Unknown)]])),ISNUMBER(Table1[[#This Row],[Birthweight (grams)]]),ISNUMBER(Table1[[#This Row],[Gestation (days)]])),TRUE,FALSE)</f>
        <v>0</v>
      </c>
      <c r="E5365" s="2" t="str">
        <f>IF(Table1[[#This Row],[Is Data Valid]]=TRUE,IF(Table1[[#This Row],[Fetal Sex (Male, Female or Unknown)]]="Male",Backend!$C$6,IF(Table1[[#This Row],[Fetal Sex (Male, Female or Unknown)]]="Female",Backend!$C$7,IF(Table1[[#This Row],[Fetal Sex (Male, Female or Unknown)]]="Unknown",Backend!$C$8,"Error"))),"")</f>
        <v/>
      </c>
      <c r="F5365" s="8" t="str">
        <f>IF(Table1[[#This Row],[Is Data Valid]]=TRUE,EXP(0.578+0.332*((Table1[[#This Row],[Gestation (days)]]+0.5)/7)-0.00354*((Table1[[#This Row],[Gestation (days)]]+0.5)/7)^2)*Table1[[#This Row],[BW40_3705]],"")</f>
        <v/>
      </c>
      <c r="G5365" s="2" t="str">
        <f>IF(Table1[[#This Row],[Is Data Valid]]=TRUE,((Table1[[#This Row],[Birthweight (grams)]]/Table1[[#This Row],[BW_GA]])-1)/(Backend!$B$4/100*Table1[[#This Row],[BW40_3705]]),"")</f>
        <v/>
      </c>
      <c r="H5365" s="7" t="str">
        <f>IF(Table1[[#This Row],[Is Data Valid]]=TRUE,((Table1[[#This Row],[Birthweight (grams)]]*0.9/Table1[[#This Row],[BW_GA]])-1)/(Backend!$B$4/100*Table1[[#This Row],[BW40_3705]]),"")</f>
        <v/>
      </c>
      <c r="I5365" s="7" t="str">
        <f>IF(Table1[[#This Row],[Is Data Valid]]=TRUE,((Table1[[#This Row],[Birthweight (grams)]]*1.1/Table1[[#This Row],[BW_GA]])-1)/(Backend!$B$4/100*Table1[[#This Row],[BW40_3705]]),"")</f>
        <v/>
      </c>
      <c r="J5365" s="7" t="str">
        <f>IF(Table1[[#This Row],[Is Data Valid]]=TRUE,_xlfn.NORM.S.DIST(Table1[[#This Row],[Birthweight Z-Score]],TRUE)*100,"")</f>
        <v/>
      </c>
      <c r="K5365" s="7" t="str">
        <f>IF(Table1[[#This Row],[Is Data Valid]]=TRUE,_xlfn.NORM.S.DIST(Table1[[#This Row],[Birthweight Z-Score (BW-10%)]],TRUE)*100,"")</f>
        <v/>
      </c>
      <c r="L5365" s="7" t="str">
        <f>IF(Table1[[#This Row],[Is Data Valid]]=TRUE,_xlfn.NORM.S.DIST(Table1[[#This Row],[Birthweight Z-Score (BW+10%)]],TRUE)*100,"")</f>
        <v/>
      </c>
    </row>
    <row r="5366" spans="1:12" x14ac:dyDescent="0.35">
      <c r="A5366" s="3"/>
      <c r="B5366" s="2"/>
      <c r="C5366" s="2"/>
      <c r="D5366" s="2" t="b">
        <f>IF(AND(NOT(ISBLANK(Table1[[#This Row],[Fetal Sex (Male, Female or Unknown)]])),ISNUMBER(Table1[[#This Row],[Birthweight (grams)]]),ISNUMBER(Table1[[#This Row],[Gestation (days)]])),TRUE,FALSE)</f>
        <v>0</v>
      </c>
      <c r="E5366" s="2" t="str">
        <f>IF(Table1[[#This Row],[Is Data Valid]]=TRUE,IF(Table1[[#This Row],[Fetal Sex (Male, Female or Unknown)]]="Male",Backend!$C$6,IF(Table1[[#This Row],[Fetal Sex (Male, Female or Unknown)]]="Female",Backend!$C$7,IF(Table1[[#This Row],[Fetal Sex (Male, Female or Unknown)]]="Unknown",Backend!$C$8,"Error"))),"")</f>
        <v/>
      </c>
      <c r="F5366" s="8" t="str">
        <f>IF(Table1[[#This Row],[Is Data Valid]]=TRUE,EXP(0.578+0.332*((Table1[[#This Row],[Gestation (days)]]+0.5)/7)-0.00354*((Table1[[#This Row],[Gestation (days)]]+0.5)/7)^2)*Table1[[#This Row],[BW40_3705]],"")</f>
        <v/>
      </c>
      <c r="G5366" s="2" t="str">
        <f>IF(Table1[[#This Row],[Is Data Valid]]=TRUE,((Table1[[#This Row],[Birthweight (grams)]]/Table1[[#This Row],[BW_GA]])-1)/(Backend!$B$4/100*Table1[[#This Row],[BW40_3705]]),"")</f>
        <v/>
      </c>
      <c r="H5366" s="7" t="str">
        <f>IF(Table1[[#This Row],[Is Data Valid]]=TRUE,((Table1[[#This Row],[Birthweight (grams)]]*0.9/Table1[[#This Row],[BW_GA]])-1)/(Backend!$B$4/100*Table1[[#This Row],[BW40_3705]]),"")</f>
        <v/>
      </c>
      <c r="I5366" s="7" t="str">
        <f>IF(Table1[[#This Row],[Is Data Valid]]=TRUE,((Table1[[#This Row],[Birthweight (grams)]]*1.1/Table1[[#This Row],[BW_GA]])-1)/(Backend!$B$4/100*Table1[[#This Row],[BW40_3705]]),"")</f>
        <v/>
      </c>
      <c r="J5366" s="7" t="str">
        <f>IF(Table1[[#This Row],[Is Data Valid]]=TRUE,_xlfn.NORM.S.DIST(Table1[[#This Row],[Birthweight Z-Score]],TRUE)*100,"")</f>
        <v/>
      </c>
      <c r="K5366" s="7" t="str">
        <f>IF(Table1[[#This Row],[Is Data Valid]]=TRUE,_xlfn.NORM.S.DIST(Table1[[#This Row],[Birthweight Z-Score (BW-10%)]],TRUE)*100,"")</f>
        <v/>
      </c>
      <c r="L5366" s="7" t="str">
        <f>IF(Table1[[#This Row],[Is Data Valid]]=TRUE,_xlfn.NORM.S.DIST(Table1[[#This Row],[Birthweight Z-Score (BW+10%)]],TRUE)*100,"")</f>
        <v/>
      </c>
    </row>
    <row r="5367" spans="1:12" x14ac:dyDescent="0.35">
      <c r="A5367" s="3"/>
      <c r="B5367" s="2"/>
      <c r="C5367" s="2"/>
      <c r="D5367" s="2" t="b">
        <f>IF(AND(NOT(ISBLANK(Table1[[#This Row],[Fetal Sex (Male, Female or Unknown)]])),ISNUMBER(Table1[[#This Row],[Birthweight (grams)]]),ISNUMBER(Table1[[#This Row],[Gestation (days)]])),TRUE,FALSE)</f>
        <v>0</v>
      </c>
      <c r="E5367" s="2" t="str">
        <f>IF(Table1[[#This Row],[Is Data Valid]]=TRUE,IF(Table1[[#This Row],[Fetal Sex (Male, Female or Unknown)]]="Male",Backend!$C$6,IF(Table1[[#This Row],[Fetal Sex (Male, Female or Unknown)]]="Female",Backend!$C$7,IF(Table1[[#This Row],[Fetal Sex (Male, Female or Unknown)]]="Unknown",Backend!$C$8,"Error"))),"")</f>
        <v/>
      </c>
      <c r="F5367" s="8" t="str">
        <f>IF(Table1[[#This Row],[Is Data Valid]]=TRUE,EXP(0.578+0.332*((Table1[[#This Row],[Gestation (days)]]+0.5)/7)-0.00354*((Table1[[#This Row],[Gestation (days)]]+0.5)/7)^2)*Table1[[#This Row],[BW40_3705]],"")</f>
        <v/>
      </c>
      <c r="G5367" s="2" t="str">
        <f>IF(Table1[[#This Row],[Is Data Valid]]=TRUE,((Table1[[#This Row],[Birthweight (grams)]]/Table1[[#This Row],[BW_GA]])-1)/(Backend!$B$4/100*Table1[[#This Row],[BW40_3705]]),"")</f>
        <v/>
      </c>
      <c r="H5367" s="7" t="str">
        <f>IF(Table1[[#This Row],[Is Data Valid]]=TRUE,((Table1[[#This Row],[Birthweight (grams)]]*0.9/Table1[[#This Row],[BW_GA]])-1)/(Backend!$B$4/100*Table1[[#This Row],[BW40_3705]]),"")</f>
        <v/>
      </c>
      <c r="I5367" s="7" t="str">
        <f>IF(Table1[[#This Row],[Is Data Valid]]=TRUE,((Table1[[#This Row],[Birthweight (grams)]]*1.1/Table1[[#This Row],[BW_GA]])-1)/(Backend!$B$4/100*Table1[[#This Row],[BW40_3705]]),"")</f>
        <v/>
      </c>
      <c r="J5367" s="7" t="str">
        <f>IF(Table1[[#This Row],[Is Data Valid]]=TRUE,_xlfn.NORM.S.DIST(Table1[[#This Row],[Birthweight Z-Score]],TRUE)*100,"")</f>
        <v/>
      </c>
      <c r="K5367" s="7" t="str">
        <f>IF(Table1[[#This Row],[Is Data Valid]]=TRUE,_xlfn.NORM.S.DIST(Table1[[#This Row],[Birthweight Z-Score (BW-10%)]],TRUE)*100,"")</f>
        <v/>
      </c>
      <c r="L5367" s="7" t="str">
        <f>IF(Table1[[#This Row],[Is Data Valid]]=TRUE,_xlfn.NORM.S.DIST(Table1[[#This Row],[Birthweight Z-Score (BW+10%)]],TRUE)*100,"")</f>
        <v/>
      </c>
    </row>
    <row r="5368" spans="1:12" x14ac:dyDescent="0.35">
      <c r="A5368" s="3"/>
      <c r="B5368" s="2"/>
      <c r="C5368" s="2"/>
      <c r="D5368" s="2" t="b">
        <f>IF(AND(NOT(ISBLANK(Table1[[#This Row],[Fetal Sex (Male, Female or Unknown)]])),ISNUMBER(Table1[[#This Row],[Birthweight (grams)]]),ISNUMBER(Table1[[#This Row],[Gestation (days)]])),TRUE,FALSE)</f>
        <v>0</v>
      </c>
      <c r="E5368" s="2" t="str">
        <f>IF(Table1[[#This Row],[Is Data Valid]]=TRUE,IF(Table1[[#This Row],[Fetal Sex (Male, Female or Unknown)]]="Male",Backend!$C$6,IF(Table1[[#This Row],[Fetal Sex (Male, Female or Unknown)]]="Female",Backend!$C$7,IF(Table1[[#This Row],[Fetal Sex (Male, Female or Unknown)]]="Unknown",Backend!$C$8,"Error"))),"")</f>
        <v/>
      </c>
      <c r="F5368" s="8" t="str">
        <f>IF(Table1[[#This Row],[Is Data Valid]]=TRUE,EXP(0.578+0.332*((Table1[[#This Row],[Gestation (days)]]+0.5)/7)-0.00354*((Table1[[#This Row],[Gestation (days)]]+0.5)/7)^2)*Table1[[#This Row],[BW40_3705]],"")</f>
        <v/>
      </c>
      <c r="G5368" s="2" t="str">
        <f>IF(Table1[[#This Row],[Is Data Valid]]=TRUE,((Table1[[#This Row],[Birthweight (grams)]]/Table1[[#This Row],[BW_GA]])-1)/(Backend!$B$4/100*Table1[[#This Row],[BW40_3705]]),"")</f>
        <v/>
      </c>
      <c r="H5368" s="7" t="str">
        <f>IF(Table1[[#This Row],[Is Data Valid]]=TRUE,((Table1[[#This Row],[Birthweight (grams)]]*0.9/Table1[[#This Row],[BW_GA]])-1)/(Backend!$B$4/100*Table1[[#This Row],[BW40_3705]]),"")</f>
        <v/>
      </c>
      <c r="I5368" s="7" t="str">
        <f>IF(Table1[[#This Row],[Is Data Valid]]=TRUE,((Table1[[#This Row],[Birthweight (grams)]]*1.1/Table1[[#This Row],[BW_GA]])-1)/(Backend!$B$4/100*Table1[[#This Row],[BW40_3705]]),"")</f>
        <v/>
      </c>
      <c r="J5368" s="7" t="str">
        <f>IF(Table1[[#This Row],[Is Data Valid]]=TRUE,_xlfn.NORM.S.DIST(Table1[[#This Row],[Birthweight Z-Score]],TRUE)*100,"")</f>
        <v/>
      </c>
      <c r="K5368" s="7" t="str">
        <f>IF(Table1[[#This Row],[Is Data Valid]]=TRUE,_xlfn.NORM.S.DIST(Table1[[#This Row],[Birthweight Z-Score (BW-10%)]],TRUE)*100,"")</f>
        <v/>
      </c>
      <c r="L5368" s="7" t="str">
        <f>IF(Table1[[#This Row],[Is Data Valid]]=TRUE,_xlfn.NORM.S.DIST(Table1[[#This Row],[Birthweight Z-Score (BW+10%)]],TRUE)*100,"")</f>
        <v/>
      </c>
    </row>
    <row r="5369" spans="1:12" x14ac:dyDescent="0.35">
      <c r="A5369" s="3"/>
      <c r="B5369" s="2"/>
      <c r="C5369" s="2"/>
      <c r="D5369" s="2" t="b">
        <f>IF(AND(NOT(ISBLANK(Table1[[#This Row],[Fetal Sex (Male, Female or Unknown)]])),ISNUMBER(Table1[[#This Row],[Birthweight (grams)]]),ISNUMBER(Table1[[#This Row],[Gestation (days)]])),TRUE,FALSE)</f>
        <v>0</v>
      </c>
      <c r="E5369" s="2" t="str">
        <f>IF(Table1[[#This Row],[Is Data Valid]]=TRUE,IF(Table1[[#This Row],[Fetal Sex (Male, Female or Unknown)]]="Male",Backend!$C$6,IF(Table1[[#This Row],[Fetal Sex (Male, Female or Unknown)]]="Female",Backend!$C$7,IF(Table1[[#This Row],[Fetal Sex (Male, Female or Unknown)]]="Unknown",Backend!$C$8,"Error"))),"")</f>
        <v/>
      </c>
      <c r="F5369" s="8" t="str">
        <f>IF(Table1[[#This Row],[Is Data Valid]]=TRUE,EXP(0.578+0.332*((Table1[[#This Row],[Gestation (days)]]+0.5)/7)-0.00354*((Table1[[#This Row],[Gestation (days)]]+0.5)/7)^2)*Table1[[#This Row],[BW40_3705]],"")</f>
        <v/>
      </c>
      <c r="G5369" s="2" t="str">
        <f>IF(Table1[[#This Row],[Is Data Valid]]=TRUE,((Table1[[#This Row],[Birthweight (grams)]]/Table1[[#This Row],[BW_GA]])-1)/(Backend!$B$4/100*Table1[[#This Row],[BW40_3705]]),"")</f>
        <v/>
      </c>
      <c r="H5369" s="7" t="str">
        <f>IF(Table1[[#This Row],[Is Data Valid]]=TRUE,((Table1[[#This Row],[Birthweight (grams)]]*0.9/Table1[[#This Row],[BW_GA]])-1)/(Backend!$B$4/100*Table1[[#This Row],[BW40_3705]]),"")</f>
        <v/>
      </c>
      <c r="I5369" s="7" t="str">
        <f>IF(Table1[[#This Row],[Is Data Valid]]=TRUE,((Table1[[#This Row],[Birthweight (grams)]]*1.1/Table1[[#This Row],[BW_GA]])-1)/(Backend!$B$4/100*Table1[[#This Row],[BW40_3705]]),"")</f>
        <v/>
      </c>
      <c r="J5369" s="7" t="str">
        <f>IF(Table1[[#This Row],[Is Data Valid]]=TRUE,_xlfn.NORM.S.DIST(Table1[[#This Row],[Birthweight Z-Score]],TRUE)*100,"")</f>
        <v/>
      </c>
      <c r="K5369" s="7" t="str">
        <f>IF(Table1[[#This Row],[Is Data Valid]]=TRUE,_xlfn.NORM.S.DIST(Table1[[#This Row],[Birthweight Z-Score (BW-10%)]],TRUE)*100,"")</f>
        <v/>
      </c>
      <c r="L5369" s="7" t="str">
        <f>IF(Table1[[#This Row],[Is Data Valid]]=TRUE,_xlfn.NORM.S.DIST(Table1[[#This Row],[Birthweight Z-Score (BW+10%)]],TRUE)*100,"")</f>
        <v/>
      </c>
    </row>
    <row r="5370" spans="1:12" x14ac:dyDescent="0.35">
      <c r="A5370" s="3"/>
      <c r="B5370" s="2"/>
      <c r="C5370" s="2"/>
      <c r="D5370" s="2" t="b">
        <f>IF(AND(NOT(ISBLANK(Table1[[#This Row],[Fetal Sex (Male, Female or Unknown)]])),ISNUMBER(Table1[[#This Row],[Birthweight (grams)]]),ISNUMBER(Table1[[#This Row],[Gestation (days)]])),TRUE,FALSE)</f>
        <v>0</v>
      </c>
      <c r="E5370" s="2" t="str">
        <f>IF(Table1[[#This Row],[Is Data Valid]]=TRUE,IF(Table1[[#This Row],[Fetal Sex (Male, Female or Unknown)]]="Male",Backend!$C$6,IF(Table1[[#This Row],[Fetal Sex (Male, Female or Unknown)]]="Female",Backend!$C$7,IF(Table1[[#This Row],[Fetal Sex (Male, Female or Unknown)]]="Unknown",Backend!$C$8,"Error"))),"")</f>
        <v/>
      </c>
      <c r="F5370" s="8" t="str">
        <f>IF(Table1[[#This Row],[Is Data Valid]]=TRUE,EXP(0.578+0.332*((Table1[[#This Row],[Gestation (days)]]+0.5)/7)-0.00354*((Table1[[#This Row],[Gestation (days)]]+0.5)/7)^2)*Table1[[#This Row],[BW40_3705]],"")</f>
        <v/>
      </c>
      <c r="G5370" s="2" t="str">
        <f>IF(Table1[[#This Row],[Is Data Valid]]=TRUE,((Table1[[#This Row],[Birthweight (grams)]]/Table1[[#This Row],[BW_GA]])-1)/(Backend!$B$4/100*Table1[[#This Row],[BW40_3705]]),"")</f>
        <v/>
      </c>
      <c r="H5370" s="7" t="str">
        <f>IF(Table1[[#This Row],[Is Data Valid]]=TRUE,((Table1[[#This Row],[Birthweight (grams)]]*0.9/Table1[[#This Row],[BW_GA]])-1)/(Backend!$B$4/100*Table1[[#This Row],[BW40_3705]]),"")</f>
        <v/>
      </c>
      <c r="I5370" s="7" t="str">
        <f>IF(Table1[[#This Row],[Is Data Valid]]=TRUE,((Table1[[#This Row],[Birthweight (grams)]]*1.1/Table1[[#This Row],[BW_GA]])-1)/(Backend!$B$4/100*Table1[[#This Row],[BW40_3705]]),"")</f>
        <v/>
      </c>
      <c r="J5370" s="7" t="str">
        <f>IF(Table1[[#This Row],[Is Data Valid]]=TRUE,_xlfn.NORM.S.DIST(Table1[[#This Row],[Birthweight Z-Score]],TRUE)*100,"")</f>
        <v/>
      </c>
      <c r="K5370" s="7" t="str">
        <f>IF(Table1[[#This Row],[Is Data Valid]]=TRUE,_xlfn.NORM.S.DIST(Table1[[#This Row],[Birthweight Z-Score (BW-10%)]],TRUE)*100,"")</f>
        <v/>
      </c>
      <c r="L5370" s="7" t="str">
        <f>IF(Table1[[#This Row],[Is Data Valid]]=TRUE,_xlfn.NORM.S.DIST(Table1[[#This Row],[Birthweight Z-Score (BW+10%)]],TRUE)*100,"")</f>
        <v/>
      </c>
    </row>
    <row r="5371" spans="1:12" x14ac:dyDescent="0.35">
      <c r="A5371" s="3"/>
      <c r="B5371" s="2"/>
      <c r="C5371" s="2"/>
      <c r="D5371" s="2" t="b">
        <f>IF(AND(NOT(ISBLANK(Table1[[#This Row],[Fetal Sex (Male, Female or Unknown)]])),ISNUMBER(Table1[[#This Row],[Birthweight (grams)]]),ISNUMBER(Table1[[#This Row],[Gestation (days)]])),TRUE,FALSE)</f>
        <v>0</v>
      </c>
      <c r="E5371" s="2" t="str">
        <f>IF(Table1[[#This Row],[Is Data Valid]]=TRUE,IF(Table1[[#This Row],[Fetal Sex (Male, Female or Unknown)]]="Male",Backend!$C$6,IF(Table1[[#This Row],[Fetal Sex (Male, Female or Unknown)]]="Female",Backend!$C$7,IF(Table1[[#This Row],[Fetal Sex (Male, Female or Unknown)]]="Unknown",Backend!$C$8,"Error"))),"")</f>
        <v/>
      </c>
      <c r="F5371" s="8" t="str">
        <f>IF(Table1[[#This Row],[Is Data Valid]]=TRUE,EXP(0.578+0.332*((Table1[[#This Row],[Gestation (days)]]+0.5)/7)-0.00354*((Table1[[#This Row],[Gestation (days)]]+0.5)/7)^2)*Table1[[#This Row],[BW40_3705]],"")</f>
        <v/>
      </c>
      <c r="G5371" s="2" t="str">
        <f>IF(Table1[[#This Row],[Is Data Valid]]=TRUE,((Table1[[#This Row],[Birthweight (grams)]]/Table1[[#This Row],[BW_GA]])-1)/(Backend!$B$4/100*Table1[[#This Row],[BW40_3705]]),"")</f>
        <v/>
      </c>
      <c r="H5371" s="7" t="str">
        <f>IF(Table1[[#This Row],[Is Data Valid]]=TRUE,((Table1[[#This Row],[Birthweight (grams)]]*0.9/Table1[[#This Row],[BW_GA]])-1)/(Backend!$B$4/100*Table1[[#This Row],[BW40_3705]]),"")</f>
        <v/>
      </c>
      <c r="I5371" s="7" t="str">
        <f>IF(Table1[[#This Row],[Is Data Valid]]=TRUE,((Table1[[#This Row],[Birthweight (grams)]]*1.1/Table1[[#This Row],[BW_GA]])-1)/(Backend!$B$4/100*Table1[[#This Row],[BW40_3705]]),"")</f>
        <v/>
      </c>
      <c r="J5371" s="7" t="str">
        <f>IF(Table1[[#This Row],[Is Data Valid]]=TRUE,_xlfn.NORM.S.DIST(Table1[[#This Row],[Birthweight Z-Score]],TRUE)*100,"")</f>
        <v/>
      </c>
      <c r="K5371" s="7" t="str">
        <f>IF(Table1[[#This Row],[Is Data Valid]]=TRUE,_xlfn.NORM.S.DIST(Table1[[#This Row],[Birthweight Z-Score (BW-10%)]],TRUE)*100,"")</f>
        <v/>
      </c>
      <c r="L5371" s="7" t="str">
        <f>IF(Table1[[#This Row],[Is Data Valid]]=TRUE,_xlfn.NORM.S.DIST(Table1[[#This Row],[Birthweight Z-Score (BW+10%)]],TRUE)*100,"")</f>
        <v/>
      </c>
    </row>
    <row r="5372" spans="1:12" x14ac:dyDescent="0.35">
      <c r="A5372" s="3"/>
      <c r="B5372" s="2"/>
      <c r="C5372" s="2"/>
      <c r="D5372" s="2" t="b">
        <f>IF(AND(NOT(ISBLANK(Table1[[#This Row],[Fetal Sex (Male, Female or Unknown)]])),ISNUMBER(Table1[[#This Row],[Birthweight (grams)]]),ISNUMBER(Table1[[#This Row],[Gestation (days)]])),TRUE,FALSE)</f>
        <v>0</v>
      </c>
      <c r="E5372" s="2" t="str">
        <f>IF(Table1[[#This Row],[Is Data Valid]]=TRUE,IF(Table1[[#This Row],[Fetal Sex (Male, Female or Unknown)]]="Male",Backend!$C$6,IF(Table1[[#This Row],[Fetal Sex (Male, Female or Unknown)]]="Female",Backend!$C$7,IF(Table1[[#This Row],[Fetal Sex (Male, Female or Unknown)]]="Unknown",Backend!$C$8,"Error"))),"")</f>
        <v/>
      </c>
      <c r="F5372" s="8" t="str">
        <f>IF(Table1[[#This Row],[Is Data Valid]]=TRUE,EXP(0.578+0.332*((Table1[[#This Row],[Gestation (days)]]+0.5)/7)-0.00354*((Table1[[#This Row],[Gestation (days)]]+0.5)/7)^2)*Table1[[#This Row],[BW40_3705]],"")</f>
        <v/>
      </c>
      <c r="G5372" s="2" t="str">
        <f>IF(Table1[[#This Row],[Is Data Valid]]=TRUE,((Table1[[#This Row],[Birthweight (grams)]]/Table1[[#This Row],[BW_GA]])-1)/(Backend!$B$4/100*Table1[[#This Row],[BW40_3705]]),"")</f>
        <v/>
      </c>
      <c r="H5372" s="7" t="str">
        <f>IF(Table1[[#This Row],[Is Data Valid]]=TRUE,((Table1[[#This Row],[Birthweight (grams)]]*0.9/Table1[[#This Row],[BW_GA]])-1)/(Backend!$B$4/100*Table1[[#This Row],[BW40_3705]]),"")</f>
        <v/>
      </c>
      <c r="I5372" s="7" t="str">
        <f>IF(Table1[[#This Row],[Is Data Valid]]=TRUE,((Table1[[#This Row],[Birthweight (grams)]]*1.1/Table1[[#This Row],[BW_GA]])-1)/(Backend!$B$4/100*Table1[[#This Row],[BW40_3705]]),"")</f>
        <v/>
      </c>
      <c r="J5372" s="7" t="str">
        <f>IF(Table1[[#This Row],[Is Data Valid]]=TRUE,_xlfn.NORM.S.DIST(Table1[[#This Row],[Birthweight Z-Score]],TRUE)*100,"")</f>
        <v/>
      </c>
      <c r="K5372" s="7" t="str">
        <f>IF(Table1[[#This Row],[Is Data Valid]]=TRUE,_xlfn.NORM.S.DIST(Table1[[#This Row],[Birthweight Z-Score (BW-10%)]],TRUE)*100,"")</f>
        <v/>
      </c>
      <c r="L5372" s="7" t="str">
        <f>IF(Table1[[#This Row],[Is Data Valid]]=TRUE,_xlfn.NORM.S.DIST(Table1[[#This Row],[Birthweight Z-Score (BW+10%)]],TRUE)*100,"")</f>
        <v/>
      </c>
    </row>
    <row r="5373" spans="1:12" x14ac:dyDescent="0.35">
      <c r="A5373" s="3"/>
      <c r="B5373" s="2"/>
      <c r="C5373" s="2"/>
      <c r="D5373" s="2" t="b">
        <f>IF(AND(NOT(ISBLANK(Table1[[#This Row],[Fetal Sex (Male, Female or Unknown)]])),ISNUMBER(Table1[[#This Row],[Birthweight (grams)]]),ISNUMBER(Table1[[#This Row],[Gestation (days)]])),TRUE,FALSE)</f>
        <v>0</v>
      </c>
      <c r="E5373" s="2" t="str">
        <f>IF(Table1[[#This Row],[Is Data Valid]]=TRUE,IF(Table1[[#This Row],[Fetal Sex (Male, Female or Unknown)]]="Male",Backend!$C$6,IF(Table1[[#This Row],[Fetal Sex (Male, Female or Unknown)]]="Female",Backend!$C$7,IF(Table1[[#This Row],[Fetal Sex (Male, Female or Unknown)]]="Unknown",Backend!$C$8,"Error"))),"")</f>
        <v/>
      </c>
      <c r="F5373" s="8" t="str">
        <f>IF(Table1[[#This Row],[Is Data Valid]]=TRUE,EXP(0.578+0.332*((Table1[[#This Row],[Gestation (days)]]+0.5)/7)-0.00354*((Table1[[#This Row],[Gestation (days)]]+0.5)/7)^2)*Table1[[#This Row],[BW40_3705]],"")</f>
        <v/>
      </c>
      <c r="G5373" s="2" t="str">
        <f>IF(Table1[[#This Row],[Is Data Valid]]=TRUE,((Table1[[#This Row],[Birthweight (grams)]]/Table1[[#This Row],[BW_GA]])-1)/(Backend!$B$4/100*Table1[[#This Row],[BW40_3705]]),"")</f>
        <v/>
      </c>
      <c r="H5373" s="7" t="str">
        <f>IF(Table1[[#This Row],[Is Data Valid]]=TRUE,((Table1[[#This Row],[Birthweight (grams)]]*0.9/Table1[[#This Row],[BW_GA]])-1)/(Backend!$B$4/100*Table1[[#This Row],[BW40_3705]]),"")</f>
        <v/>
      </c>
      <c r="I5373" s="7" t="str">
        <f>IF(Table1[[#This Row],[Is Data Valid]]=TRUE,((Table1[[#This Row],[Birthweight (grams)]]*1.1/Table1[[#This Row],[BW_GA]])-1)/(Backend!$B$4/100*Table1[[#This Row],[BW40_3705]]),"")</f>
        <v/>
      </c>
      <c r="J5373" s="7" t="str">
        <f>IF(Table1[[#This Row],[Is Data Valid]]=TRUE,_xlfn.NORM.S.DIST(Table1[[#This Row],[Birthweight Z-Score]],TRUE)*100,"")</f>
        <v/>
      </c>
      <c r="K5373" s="7" t="str">
        <f>IF(Table1[[#This Row],[Is Data Valid]]=TRUE,_xlfn.NORM.S.DIST(Table1[[#This Row],[Birthweight Z-Score (BW-10%)]],TRUE)*100,"")</f>
        <v/>
      </c>
      <c r="L5373" s="7" t="str">
        <f>IF(Table1[[#This Row],[Is Data Valid]]=TRUE,_xlfn.NORM.S.DIST(Table1[[#This Row],[Birthweight Z-Score (BW+10%)]],TRUE)*100,"")</f>
        <v/>
      </c>
    </row>
    <row r="5374" spans="1:12" x14ac:dyDescent="0.35">
      <c r="A5374" s="3"/>
      <c r="B5374" s="2"/>
      <c r="C5374" s="2"/>
      <c r="D5374" s="2" t="b">
        <f>IF(AND(NOT(ISBLANK(Table1[[#This Row],[Fetal Sex (Male, Female or Unknown)]])),ISNUMBER(Table1[[#This Row],[Birthweight (grams)]]),ISNUMBER(Table1[[#This Row],[Gestation (days)]])),TRUE,FALSE)</f>
        <v>0</v>
      </c>
      <c r="E5374" s="2" t="str">
        <f>IF(Table1[[#This Row],[Is Data Valid]]=TRUE,IF(Table1[[#This Row],[Fetal Sex (Male, Female or Unknown)]]="Male",Backend!$C$6,IF(Table1[[#This Row],[Fetal Sex (Male, Female or Unknown)]]="Female",Backend!$C$7,IF(Table1[[#This Row],[Fetal Sex (Male, Female or Unknown)]]="Unknown",Backend!$C$8,"Error"))),"")</f>
        <v/>
      </c>
      <c r="F5374" s="8" t="str">
        <f>IF(Table1[[#This Row],[Is Data Valid]]=TRUE,EXP(0.578+0.332*((Table1[[#This Row],[Gestation (days)]]+0.5)/7)-0.00354*((Table1[[#This Row],[Gestation (days)]]+0.5)/7)^2)*Table1[[#This Row],[BW40_3705]],"")</f>
        <v/>
      </c>
      <c r="G5374" s="2" t="str">
        <f>IF(Table1[[#This Row],[Is Data Valid]]=TRUE,((Table1[[#This Row],[Birthweight (grams)]]/Table1[[#This Row],[BW_GA]])-1)/(Backend!$B$4/100*Table1[[#This Row],[BW40_3705]]),"")</f>
        <v/>
      </c>
      <c r="H5374" s="7" t="str">
        <f>IF(Table1[[#This Row],[Is Data Valid]]=TRUE,((Table1[[#This Row],[Birthweight (grams)]]*0.9/Table1[[#This Row],[BW_GA]])-1)/(Backend!$B$4/100*Table1[[#This Row],[BW40_3705]]),"")</f>
        <v/>
      </c>
      <c r="I5374" s="7" t="str">
        <f>IF(Table1[[#This Row],[Is Data Valid]]=TRUE,((Table1[[#This Row],[Birthweight (grams)]]*1.1/Table1[[#This Row],[BW_GA]])-1)/(Backend!$B$4/100*Table1[[#This Row],[BW40_3705]]),"")</f>
        <v/>
      </c>
      <c r="J5374" s="7" t="str">
        <f>IF(Table1[[#This Row],[Is Data Valid]]=TRUE,_xlfn.NORM.S.DIST(Table1[[#This Row],[Birthweight Z-Score]],TRUE)*100,"")</f>
        <v/>
      </c>
      <c r="K5374" s="7" t="str">
        <f>IF(Table1[[#This Row],[Is Data Valid]]=TRUE,_xlfn.NORM.S.DIST(Table1[[#This Row],[Birthweight Z-Score (BW-10%)]],TRUE)*100,"")</f>
        <v/>
      </c>
      <c r="L5374" s="7" t="str">
        <f>IF(Table1[[#This Row],[Is Data Valid]]=TRUE,_xlfn.NORM.S.DIST(Table1[[#This Row],[Birthweight Z-Score (BW+10%)]],TRUE)*100,"")</f>
        <v/>
      </c>
    </row>
    <row r="5375" spans="1:12" x14ac:dyDescent="0.35">
      <c r="A5375" s="3"/>
      <c r="B5375" s="2"/>
      <c r="C5375" s="2"/>
      <c r="D5375" s="2" t="b">
        <f>IF(AND(NOT(ISBLANK(Table1[[#This Row],[Fetal Sex (Male, Female or Unknown)]])),ISNUMBER(Table1[[#This Row],[Birthweight (grams)]]),ISNUMBER(Table1[[#This Row],[Gestation (days)]])),TRUE,FALSE)</f>
        <v>0</v>
      </c>
      <c r="E5375" s="2" t="str">
        <f>IF(Table1[[#This Row],[Is Data Valid]]=TRUE,IF(Table1[[#This Row],[Fetal Sex (Male, Female or Unknown)]]="Male",Backend!$C$6,IF(Table1[[#This Row],[Fetal Sex (Male, Female or Unknown)]]="Female",Backend!$C$7,IF(Table1[[#This Row],[Fetal Sex (Male, Female or Unknown)]]="Unknown",Backend!$C$8,"Error"))),"")</f>
        <v/>
      </c>
      <c r="F5375" s="8" t="str">
        <f>IF(Table1[[#This Row],[Is Data Valid]]=TRUE,EXP(0.578+0.332*((Table1[[#This Row],[Gestation (days)]]+0.5)/7)-0.00354*((Table1[[#This Row],[Gestation (days)]]+0.5)/7)^2)*Table1[[#This Row],[BW40_3705]],"")</f>
        <v/>
      </c>
      <c r="G5375" s="2" t="str">
        <f>IF(Table1[[#This Row],[Is Data Valid]]=TRUE,((Table1[[#This Row],[Birthweight (grams)]]/Table1[[#This Row],[BW_GA]])-1)/(Backend!$B$4/100*Table1[[#This Row],[BW40_3705]]),"")</f>
        <v/>
      </c>
      <c r="H5375" s="7" t="str">
        <f>IF(Table1[[#This Row],[Is Data Valid]]=TRUE,((Table1[[#This Row],[Birthweight (grams)]]*0.9/Table1[[#This Row],[BW_GA]])-1)/(Backend!$B$4/100*Table1[[#This Row],[BW40_3705]]),"")</f>
        <v/>
      </c>
      <c r="I5375" s="7" t="str">
        <f>IF(Table1[[#This Row],[Is Data Valid]]=TRUE,((Table1[[#This Row],[Birthweight (grams)]]*1.1/Table1[[#This Row],[BW_GA]])-1)/(Backend!$B$4/100*Table1[[#This Row],[BW40_3705]]),"")</f>
        <v/>
      </c>
      <c r="J5375" s="7" t="str">
        <f>IF(Table1[[#This Row],[Is Data Valid]]=TRUE,_xlfn.NORM.S.DIST(Table1[[#This Row],[Birthweight Z-Score]],TRUE)*100,"")</f>
        <v/>
      </c>
      <c r="K5375" s="7" t="str">
        <f>IF(Table1[[#This Row],[Is Data Valid]]=TRUE,_xlfn.NORM.S.DIST(Table1[[#This Row],[Birthweight Z-Score (BW-10%)]],TRUE)*100,"")</f>
        <v/>
      </c>
      <c r="L5375" s="7" t="str">
        <f>IF(Table1[[#This Row],[Is Data Valid]]=TRUE,_xlfn.NORM.S.DIST(Table1[[#This Row],[Birthweight Z-Score (BW+10%)]],TRUE)*100,"")</f>
        <v/>
      </c>
    </row>
    <row r="5376" spans="1:12" x14ac:dyDescent="0.35">
      <c r="A5376" s="3"/>
      <c r="B5376" s="2"/>
      <c r="C5376" s="2"/>
      <c r="D5376" s="2" t="b">
        <f>IF(AND(NOT(ISBLANK(Table1[[#This Row],[Fetal Sex (Male, Female or Unknown)]])),ISNUMBER(Table1[[#This Row],[Birthweight (grams)]]),ISNUMBER(Table1[[#This Row],[Gestation (days)]])),TRUE,FALSE)</f>
        <v>0</v>
      </c>
      <c r="E5376" s="2" t="str">
        <f>IF(Table1[[#This Row],[Is Data Valid]]=TRUE,IF(Table1[[#This Row],[Fetal Sex (Male, Female or Unknown)]]="Male",Backend!$C$6,IF(Table1[[#This Row],[Fetal Sex (Male, Female or Unknown)]]="Female",Backend!$C$7,IF(Table1[[#This Row],[Fetal Sex (Male, Female or Unknown)]]="Unknown",Backend!$C$8,"Error"))),"")</f>
        <v/>
      </c>
      <c r="F5376" s="8" t="str">
        <f>IF(Table1[[#This Row],[Is Data Valid]]=TRUE,EXP(0.578+0.332*((Table1[[#This Row],[Gestation (days)]]+0.5)/7)-0.00354*((Table1[[#This Row],[Gestation (days)]]+0.5)/7)^2)*Table1[[#This Row],[BW40_3705]],"")</f>
        <v/>
      </c>
      <c r="G5376" s="2" t="str">
        <f>IF(Table1[[#This Row],[Is Data Valid]]=TRUE,((Table1[[#This Row],[Birthweight (grams)]]/Table1[[#This Row],[BW_GA]])-1)/(Backend!$B$4/100*Table1[[#This Row],[BW40_3705]]),"")</f>
        <v/>
      </c>
      <c r="H5376" s="7" t="str">
        <f>IF(Table1[[#This Row],[Is Data Valid]]=TRUE,((Table1[[#This Row],[Birthweight (grams)]]*0.9/Table1[[#This Row],[BW_GA]])-1)/(Backend!$B$4/100*Table1[[#This Row],[BW40_3705]]),"")</f>
        <v/>
      </c>
      <c r="I5376" s="7" t="str">
        <f>IF(Table1[[#This Row],[Is Data Valid]]=TRUE,((Table1[[#This Row],[Birthweight (grams)]]*1.1/Table1[[#This Row],[BW_GA]])-1)/(Backend!$B$4/100*Table1[[#This Row],[BW40_3705]]),"")</f>
        <v/>
      </c>
      <c r="J5376" s="7" t="str">
        <f>IF(Table1[[#This Row],[Is Data Valid]]=TRUE,_xlfn.NORM.S.DIST(Table1[[#This Row],[Birthweight Z-Score]],TRUE)*100,"")</f>
        <v/>
      </c>
      <c r="K5376" s="7" t="str">
        <f>IF(Table1[[#This Row],[Is Data Valid]]=TRUE,_xlfn.NORM.S.DIST(Table1[[#This Row],[Birthweight Z-Score (BW-10%)]],TRUE)*100,"")</f>
        <v/>
      </c>
      <c r="L5376" s="7" t="str">
        <f>IF(Table1[[#This Row],[Is Data Valid]]=TRUE,_xlfn.NORM.S.DIST(Table1[[#This Row],[Birthweight Z-Score (BW+10%)]],TRUE)*100,"")</f>
        <v/>
      </c>
    </row>
    <row r="5377" spans="1:12" x14ac:dyDescent="0.35">
      <c r="A5377" s="3"/>
      <c r="B5377" s="2"/>
      <c r="C5377" s="2"/>
      <c r="D5377" s="2" t="b">
        <f>IF(AND(NOT(ISBLANK(Table1[[#This Row],[Fetal Sex (Male, Female or Unknown)]])),ISNUMBER(Table1[[#This Row],[Birthweight (grams)]]),ISNUMBER(Table1[[#This Row],[Gestation (days)]])),TRUE,FALSE)</f>
        <v>0</v>
      </c>
      <c r="E5377" s="2" t="str">
        <f>IF(Table1[[#This Row],[Is Data Valid]]=TRUE,IF(Table1[[#This Row],[Fetal Sex (Male, Female or Unknown)]]="Male",Backend!$C$6,IF(Table1[[#This Row],[Fetal Sex (Male, Female or Unknown)]]="Female",Backend!$C$7,IF(Table1[[#This Row],[Fetal Sex (Male, Female or Unknown)]]="Unknown",Backend!$C$8,"Error"))),"")</f>
        <v/>
      </c>
      <c r="F5377" s="8" t="str">
        <f>IF(Table1[[#This Row],[Is Data Valid]]=TRUE,EXP(0.578+0.332*((Table1[[#This Row],[Gestation (days)]]+0.5)/7)-0.00354*((Table1[[#This Row],[Gestation (days)]]+0.5)/7)^2)*Table1[[#This Row],[BW40_3705]],"")</f>
        <v/>
      </c>
      <c r="G5377" s="2" t="str">
        <f>IF(Table1[[#This Row],[Is Data Valid]]=TRUE,((Table1[[#This Row],[Birthweight (grams)]]/Table1[[#This Row],[BW_GA]])-1)/(Backend!$B$4/100*Table1[[#This Row],[BW40_3705]]),"")</f>
        <v/>
      </c>
      <c r="H5377" s="7" t="str">
        <f>IF(Table1[[#This Row],[Is Data Valid]]=TRUE,((Table1[[#This Row],[Birthweight (grams)]]*0.9/Table1[[#This Row],[BW_GA]])-1)/(Backend!$B$4/100*Table1[[#This Row],[BW40_3705]]),"")</f>
        <v/>
      </c>
      <c r="I5377" s="7" t="str">
        <f>IF(Table1[[#This Row],[Is Data Valid]]=TRUE,((Table1[[#This Row],[Birthweight (grams)]]*1.1/Table1[[#This Row],[BW_GA]])-1)/(Backend!$B$4/100*Table1[[#This Row],[BW40_3705]]),"")</f>
        <v/>
      </c>
      <c r="J5377" s="7" t="str">
        <f>IF(Table1[[#This Row],[Is Data Valid]]=TRUE,_xlfn.NORM.S.DIST(Table1[[#This Row],[Birthweight Z-Score]],TRUE)*100,"")</f>
        <v/>
      </c>
      <c r="K5377" s="7" t="str">
        <f>IF(Table1[[#This Row],[Is Data Valid]]=TRUE,_xlfn.NORM.S.DIST(Table1[[#This Row],[Birthweight Z-Score (BW-10%)]],TRUE)*100,"")</f>
        <v/>
      </c>
      <c r="L5377" s="7" t="str">
        <f>IF(Table1[[#This Row],[Is Data Valid]]=TRUE,_xlfn.NORM.S.DIST(Table1[[#This Row],[Birthweight Z-Score (BW+10%)]],TRUE)*100,"")</f>
        <v/>
      </c>
    </row>
    <row r="5378" spans="1:12" x14ac:dyDescent="0.35">
      <c r="A5378" s="3"/>
      <c r="B5378" s="2"/>
      <c r="C5378" s="2"/>
      <c r="D5378" s="2" t="b">
        <f>IF(AND(NOT(ISBLANK(Table1[[#This Row],[Fetal Sex (Male, Female or Unknown)]])),ISNUMBER(Table1[[#This Row],[Birthweight (grams)]]),ISNUMBER(Table1[[#This Row],[Gestation (days)]])),TRUE,FALSE)</f>
        <v>0</v>
      </c>
      <c r="E5378" s="2" t="str">
        <f>IF(Table1[[#This Row],[Is Data Valid]]=TRUE,IF(Table1[[#This Row],[Fetal Sex (Male, Female or Unknown)]]="Male",Backend!$C$6,IF(Table1[[#This Row],[Fetal Sex (Male, Female or Unknown)]]="Female",Backend!$C$7,IF(Table1[[#This Row],[Fetal Sex (Male, Female or Unknown)]]="Unknown",Backend!$C$8,"Error"))),"")</f>
        <v/>
      </c>
      <c r="F5378" s="8" t="str">
        <f>IF(Table1[[#This Row],[Is Data Valid]]=TRUE,EXP(0.578+0.332*((Table1[[#This Row],[Gestation (days)]]+0.5)/7)-0.00354*((Table1[[#This Row],[Gestation (days)]]+0.5)/7)^2)*Table1[[#This Row],[BW40_3705]],"")</f>
        <v/>
      </c>
      <c r="G5378" s="2" t="str">
        <f>IF(Table1[[#This Row],[Is Data Valid]]=TRUE,((Table1[[#This Row],[Birthweight (grams)]]/Table1[[#This Row],[BW_GA]])-1)/(Backend!$B$4/100*Table1[[#This Row],[BW40_3705]]),"")</f>
        <v/>
      </c>
      <c r="H5378" s="7" t="str">
        <f>IF(Table1[[#This Row],[Is Data Valid]]=TRUE,((Table1[[#This Row],[Birthweight (grams)]]*0.9/Table1[[#This Row],[BW_GA]])-1)/(Backend!$B$4/100*Table1[[#This Row],[BW40_3705]]),"")</f>
        <v/>
      </c>
      <c r="I5378" s="7" t="str">
        <f>IF(Table1[[#This Row],[Is Data Valid]]=TRUE,((Table1[[#This Row],[Birthweight (grams)]]*1.1/Table1[[#This Row],[BW_GA]])-1)/(Backend!$B$4/100*Table1[[#This Row],[BW40_3705]]),"")</f>
        <v/>
      </c>
      <c r="J5378" s="7" t="str">
        <f>IF(Table1[[#This Row],[Is Data Valid]]=TRUE,_xlfn.NORM.S.DIST(Table1[[#This Row],[Birthweight Z-Score]],TRUE)*100,"")</f>
        <v/>
      </c>
      <c r="K5378" s="7" t="str">
        <f>IF(Table1[[#This Row],[Is Data Valid]]=TRUE,_xlfn.NORM.S.DIST(Table1[[#This Row],[Birthweight Z-Score (BW-10%)]],TRUE)*100,"")</f>
        <v/>
      </c>
      <c r="L5378" s="7" t="str">
        <f>IF(Table1[[#This Row],[Is Data Valid]]=TRUE,_xlfn.NORM.S.DIST(Table1[[#This Row],[Birthweight Z-Score (BW+10%)]],TRUE)*100,"")</f>
        <v/>
      </c>
    </row>
    <row r="5379" spans="1:12" x14ac:dyDescent="0.35">
      <c r="A5379" s="3"/>
      <c r="B5379" s="2"/>
      <c r="C5379" s="2"/>
      <c r="D5379" s="2" t="b">
        <f>IF(AND(NOT(ISBLANK(Table1[[#This Row],[Fetal Sex (Male, Female or Unknown)]])),ISNUMBER(Table1[[#This Row],[Birthweight (grams)]]),ISNUMBER(Table1[[#This Row],[Gestation (days)]])),TRUE,FALSE)</f>
        <v>0</v>
      </c>
      <c r="E5379" s="2" t="str">
        <f>IF(Table1[[#This Row],[Is Data Valid]]=TRUE,IF(Table1[[#This Row],[Fetal Sex (Male, Female or Unknown)]]="Male",Backend!$C$6,IF(Table1[[#This Row],[Fetal Sex (Male, Female or Unknown)]]="Female",Backend!$C$7,IF(Table1[[#This Row],[Fetal Sex (Male, Female or Unknown)]]="Unknown",Backend!$C$8,"Error"))),"")</f>
        <v/>
      </c>
      <c r="F5379" s="8" t="str">
        <f>IF(Table1[[#This Row],[Is Data Valid]]=TRUE,EXP(0.578+0.332*((Table1[[#This Row],[Gestation (days)]]+0.5)/7)-0.00354*((Table1[[#This Row],[Gestation (days)]]+0.5)/7)^2)*Table1[[#This Row],[BW40_3705]],"")</f>
        <v/>
      </c>
      <c r="G5379" s="2" t="str">
        <f>IF(Table1[[#This Row],[Is Data Valid]]=TRUE,((Table1[[#This Row],[Birthweight (grams)]]/Table1[[#This Row],[BW_GA]])-1)/(Backend!$B$4/100*Table1[[#This Row],[BW40_3705]]),"")</f>
        <v/>
      </c>
      <c r="H5379" s="7" t="str">
        <f>IF(Table1[[#This Row],[Is Data Valid]]=TRUE,((Table1[[#This Row],[Birthweight (grams)]]*0.9/Table1[[#This Row],[BW_GA]])-1)/(Backend!$B$4/100*Table1[[#This Row],[BW40_3705]]),"")</f>
        <v/>
      </c>
      <c r="I5379" s="7" t="str">
        <f>IF(Table1[[#This Row],[Is Data Valid]]=TRUE,((Table1[[#This Row],[Birthweight (grams)]]*1.1/Table1[[#This Row],[BW_GA]])-1)/(Backend!$B$4/100*Table1[[#This Row],[BW40_3705]]),"")</f>
        <v/>
      </c>
      <c r="J5379" s="7" t="str">
        <f>IF(Table1[[#This Row],[Is Data Valid]]=TRUE,_xlfn.NORM.S.DIST(Table1[[#This Row],[Birthweight Z-Score]],TRUE)*100,"")</f>
        <v/>
      </c>
      <c r="K5379" s="7" t="str">
        <f>IF(Table1[[#This Row],[Is Data Valid]]=TRUE,_xlfn.NORM.S.DIST(Table1[[#This Row],[Birthweight Z-Score (BW-10%)]],TRUE)*100,"")</f>
        <v/>
      </c>
      <c r="L5379" s="7" t="str">
        <f>IF(Table1[[#This Row],[Is Data Valid]]=TRUE,_xlfn.NORM.S.DIST(Table1[[#This Row],[Birthweight Z-Score (BW+10%)]],TRUE)*100,"")</f>
        <v/>
      </c>
    </row>
    <row r="5380" spans="1:12" x14ac:dyDescent="0.35">
      <c r="A5380" s="3"/>
      <c r="B5380" s="2"/>
      <c r="C5380" s="2"/>
      <c r="D5380" s="2" t="b">
        <f>IF(AND(NOT(ISBLANK(Table1[[#This Row],[Fetal Sex (Male, Female or Unknown)]])),ISNUMBER(Table1[[#This Row],[Birthweight (grams)]]),ISNUMBER(Table1[[#This Row],[Gestation (days)]])),TRUE,FALSE)</f>
        <v>0</v>
      </c>
      <c r="E5380" s="2" t="str">
        <f>IF(Table1[[#This Row],[Is Data Valid]]=TRUE,IF(Table1[[#This Row],[Fetal Sex (Male, Female or Unknown)]]="Male",Backend!$C$6,IF(Table1[[#This Row],[Fetal Sex (Male, Female or Unknown)]]="Female",Backend!$C$7,IF(Table1[[#This Row],[Fetal Sex (Male, Female or Unknown)]]="Unknown",Backend!$C$8,"Error"))),"")</f>
        <v/>
      </c>
      <c r="F5380" s="8" t="str">
        <f>IF(Table1[[#This Row],[Is Data Valid]]=TRUE,EXP(0.578+0.332*((Table1[[#This Row],[Gestation (days)]]+0.5)/7)-0.00354*((Table1[[#This Row],[Gestation (days)]]+0.5)/7)^2)*Table1[[#This Row],[BW40_3705]],"")</f>
        <v/>
      </c>
      <c r="G5380" s="2" t="str">
        <f>IF(Table1[[#This Row],[Is Data Valid]]=TRUE,((Table1[[#This Row],[Birthweight (grams)]]/Table1[[#This Row],[BW_GA]])-1)/(Backend!$B$4/100*Table1[[#This Row],[BW40_3705]]),"")</f>
        <v/>
      </c>
      <c r="H5380" s="7" t="str">
        <f>IF(Table1[[#This Row],[Is Data Valid]]=TRUE,((Table1[[#This Row],[Birthweight (grams)]]*0.9/Table1[[#This Row],[BW_GA]])-1)/(Backend!$B$4/100*Table1[[#This Row],[BW40_3705]]),"")</f>
        <v/>
      </c>
      <c r="I5380" s="7" t="str">
        <f>IF(Table1[[#This Row],[Is Data Valid]]=TRUE,((Table1[[#This Row],[Birthweight (grams)]]*1.1/Table1[[#This Row],[BW_GA]])-1)/(Backend!$B$4/100*Table1[[#This Row],[BW40_3705]]),"")</f>
        <v/>
      </c>
      <c r="J5380" s="7" t="str">
        <f>IF(Table1[[#This Row],[Is Data Valid]]=TRUE,_xlfn.NORM.S.DIST(Table1[[#This Row],[Birthweight Z-Score]],TRUE)*100,"")</f>
        <v/>
      </c>
      <c r="K5380" s="7" t="str">
        <f>IF(Table1[[#This Row],[Is Data Valid]]=TRUE,_xlfn.NORM.S.DIST(Table1[[#This Row],[Birthweight Z-Score (BW-10%)]],TRUE)*100,"")</f>
        <v/>
      </c>
      <c r="L5380" s="7" t="str">
        <f>IF(Table1[[#This Row],[Is Data Valid]]=TRUE,_xlfn.NORM.S.DIST(Table1[[#This Row],[Birthweight Z-Score (BW+10%)]],TRUE)*100,"")</f>
        <v/>
      </c>
    </row>
    <row r="5381" spans="1:12" x14ac:dyDescent="0.35">
      <c r="A5381" s="3"/>
      <c r="B5381" s="2"/>
      <c r="C5381" s="2"/>
      <c r="D5381" s="2" t="b">
        <f>IF(AND(NOT(ISBLANK(Table1[[#This Row],[Fetal Sex (Male, Female or Unknown)]])),ISNUMBER(Table1[[#This Row],[Birthweight (grams)]]),ISNUMBER(Table1[[#This Row],[Gestation (days)]])),TRUE,FALSE)</f>
        <v>0</v>
      </c>
      <c r="E5381" s="2" t="str">
        <f>IF(Table1[[#This Row],[Is Data Valid]]=TRUE,IF(Table1[[#This Row],[Fetal Sex (Male, Female or Unknown)]]="Male",Backend!$C$6,IF(Table1[[#This Row],[Fetal Sex (Male, Female or Unknown)]]="Female",Backend!$C$7,IF(Table1[[#This Row],[Fetal Sex (Male, Female or Unknown)]]="Unknown",Backend!$C$8,"Error"))),"")</f>
        <v/>
      </c>
      <c r="F5381" s="8" t="str">
        <f>IF(Table1[[#This Row],[Is Data Valid]]=TRUE,EXP(0.578+0.332*((Table1[[#This Row],[Gestation (days)]]+0.5)/7)-0.00354*((Table1[[#This Row],[Gestation (days)]]+0.5)/7)^2)*Table1[[#This Row],[BW40_3705]],"")</f>
        <v/>
      </c>
      <c r="G5381" s="2" t="str">
        <f>IF(Table1[[#This Row],[Is Data Valid]]=TRUE,((Table1[[#This Row],[Birthweight (grams)]]/Table1[[#This Row],[BW_GA]])-1)/(Backend!$B$4/100*Table1[[#This Row],[BW40_3705]]),"")</f>
        <v/>
      </c>
      <c r="H5381" s="7" t="str">
        <f>IF(Table1[[#This Row],[Is Data Valid]]=TRUE,((Table1[[#This Row],[Birthweight (grams)]]*0.9/Table1[[#This Row],[BW_GA]])-1)/(Backend!$B$4/100*Table1[[#This Row],[BW40_3705]]),"")</f>
        <v/>
      </c>
      <c r="I5381" s="7" t="str">
        <f>IF(Table1[[#This Row],[Is Data Valid]]=TRUE,((Table1[[#This Row],[Birthweight (grams)]]*1.1/Table1[[#This Row],[BW_GA]])-1)/(Backend!$B$4/100*Table1[[#This Row],[BW40_3705]]),"")</f>
        <v/>
      </c>
      <c r="J5381" s="7" t="str">
        <f>IF(Table1[[#This Row],[Is Data Valid]]=TRUE,_xlfn.NORM.S.DIST(Table1[[#This Row],[Birthweight Z-Score]],TRUE)*100,"")</f>
        <v/>
      </c>
      <c r="K5381" s="7" t="str">
        <f>IF(Table1[[#This Row],[Is Data Valid]]=TRUE,_xlfn.NORM.S.DIST(Table1[[#This Row],[Birthweight Z-Score (BW-10%)]],TRUE)*100,"")</f>
        <v/>
      </c>
      <c r="L5381" s="7" t="str">
        <f>IF(Table1[[#This Row],[Is Data Valid]]=TRUE,_xlfn.NORM.S.DIST(Table1[[#This Row],[Birthweight Z-Score (BW+10%)]],TRUE)*100,"")</f>
        <v/>
      </c>
    </row>
    <row r="5382" spans="1:12" x14ac:dyDescent="0.35">
      <c r="A5382" s="3"/>
      <c r="B5382" s="2"/>
      <c r="C5382" s="2"/>
      <c r="D5382" s="2" t="b">
        <f>IF(AND(NOT(ISBLANK(Table1[[#This Row],[Fetal Sex (Male, Female or Unknown)]])),ISNUMBER(Table1[[#This Row],[Birthweight (grams)]]),ISNUMBER(Table1[[#This Row],[Gestation (days)]])),TRUE,FALSE)</f>
        <v>0</v>
      </c>
      <c r="E5382" s="2" t="str">
        <f>IF(Table1[[#This Row],[Is Data Valid]]=TRUE,IF(Table1[[#This Row],[Fetal Sex (Male, Female or Unknown)]]="Male",Backend!$C$6,IF(Table1[[#This Row],[Fetal Sex (Male, Female or Unknown)]]="Female",Backend!$C$7,IF(Table1[[#This Row],[Fetal Sex (Male, Female or Unknown)]]="Unknown",Backend!$C$8,"Error"))),"")</f>
        <v/>
      </c>
      <c r="F5382" s="8" t="str">
        <f>IF(Table1[[#This Row],[Is Data Valid]]=TRUE,EXP(0.578+0.332*((Table1[[#This Row],[Gestation (days)]]+0.5)/7)-0.00354*((Table1[[#This Row],[Gestation (days)]]+0.5)/7)^2)*Table1[[#This Row],[BW40_3705]],"")</f>
        <v/>
      </c>
      <c r="G5382" s="2" t="str">
        <f>IF(Table1[[#This Row],[Is Data Valid]]=TRUE,((Table1[[#This Row],[Birthweight (grams)]]/Table1[[#This Row],[BW_GA]])-1)/(Backend!$B$4/100*Table1[[#This Row],[BW40_3705]]),"")</f>
        <v/>
      </c>
      <c r="H5382" s="7" t="str">
        <f>IF(Table1[[#This Row],[Is Data Valid]]=TRUE,((Table1[[#This Row],[Birthweight (grams)]]*0.9/Table1[[#This Row],[BW_GA]])-1)/(Backend!$B$4/100*Table1[[#This Row],[BW40_3705]]),"")</f>
        <v/>
      </c>
      <c r="I5382" s="7" t="str">
        <f>IF(Table1[[#This Row],[Is Data Valid]]=TRUE,((Table1[[#This Row],[Birthweight (grams)]]*1.1/Table1[[#This Row],[BW_GA]])-1)/(Backend!$B$4/100*Table1[[#This Row],[BW40_3705]]),"")</f>
        <v/>
      </c>
      <c r="J5382" s="7" t="str">
        <f>IF(Table1[[#This Row],[Is Data Valid]]=TRUE,_xlfn.NORM.S.DIST(Table1[[#This Row],[Birthweight Z-Score]],TRUE)*100,"")</f>
        <v/>
      </c>
      <c r="K5382" s="7" t="str">
        <f>IF(Table1[[#This Row],[Is Data Valid]]=TRUE,_xlfn.NORM.S.DIST(Table1[[#This Row],[Birthweight Z-Score (BW-10%)]],TRUE)*100,"")</f>
        <v/>
      </c>
      <c r="L5382" s="7" t="str">
        <f>IF(Table1[[#This Row],[Is Data Valid]]=TRUE,_xlfn.NORM.S.DIST(Table1[[#This Row],[Birthweight Z-Score (BW+10%)]],TRUE)*100,"")</f>
        <v/>
      </c>
    </row>
    <row r="5383" spans="1:12" x14ac:dyDescent="0.35">
      <c r="A5383" s="3"/>
      <c r="B5383" s="2"/>
      <c r="C5383" s="2"/>
      <c r="D5383" s="2" t="b">
        <f>IF(AND(NOT(ISBLANK(Table1[[#This Row],[Fetal Sex (Male, Female or Unknown)]])),ISNUMBER(Table1[[#This Row],[Birthweight (grams)]]),ISNUMBER(Table1[[#This Row],[Gestation (days)]])),TRUE,FALSE)</f>
        <v>0</v>
      </c>
      <c r="E5383" s="2" t="str">
        <f>IF(Table1[[#This Row],[Is Data Valid]]=TRUE,IF(Table1[[#This Row],[Fetal Sex (Male, Female or Unknown)]]="Male",Backend!$C$6,IF(Table1[[#This Row],[Fetal Sex (Male, Female or Unknown)]]="Female",Backend!$C$7,IF(Table1[[#This Row],[Fetal Sex (Male, Female or Unknown)]]="Unknown",Backend!$C$8,"Error"))),"")</f>
        <v/>
      </c>
      <c r="F5383" s="8" t="str">
        <f>IF(Table1[[#This Row],[Is Data Valid]]=TRUE,EXP(0.578+0.332*((Table1[[#This Row],[Gestation (days)]]+0.5)/7)-0.00354*((Table1[[#This Row],[Gestation (days)]]+0.5)/7)^2)*Table1[[#This Row],[BW40_3705]],"")</f>
        <v/>
      </c>
      <c r="G5383" s="2" t="str">
        <f>IF(Table1[[#This Row],[Is Data Valid]]=TRUE,((Table1[[#This Row],[Birthweight (grams)]]/Table1[[#This Row],[BW_GA]])-1)/(Backend!$B$4/100*Table1[[#This Row],[BW40_3705]]),"")</f>
        <v/>
      </c>
      <c r="H5383" s="7" t="str">
        <f>IF(Table1[[#This Row],[Is Data Valid]]=TRUE,((Table1[[#This Row],[Birthweight (grams)]]*0.9/Table1[[#This Row],[BW_GA]])-1)/(Backend!$B$4/100*Table1[[#This Row],[BW40_3705]]),"")</f>
        <v/>
      </c>
      <c r="I5383" s="7" t="str">
        <f>IF(Table1[[#This Row],[Is Data Valid]]=TRUE,((Table1[[#This Row],[Birthweight (grams)]]*1.1/Table1[[#This Row],[BW_GA]])-1)/(Backend!$B$4/100*Table1[[#This Row],[BW40_3705]]),"")</f>
        <v/>
      </c>
      <c r="J5383" s="7" t="str">
        <f>IF(Table1[[#This Row],[Is Data Valid]]=TRUE,_xlfn.NORM.S.DIST(Table1[[#This Row],[Birthweight Z-Score]],TRUE)*100,"")</f>
        <v/>
      </c>
      <c r="K5383" s="7" t="str">
        <f>IF(Table1[[#This Row],[Is Data Valid]]=TRUE,_xlfn.NORM.S.DIST(Table1[[#This Row],[Birthweight Z-Score (BW-10%)]],TRUE)*100,"")</f>
        <v/>
      </c>
      <c r="L5383" s="7" t="str">
        <f>IF(Table1[[#This Row],[Is Data Valid]]=TRUE,_xlfn.NORM.S.DIST(Table1[[#This Row],[Birthweight Z-Score (BW+10%)]],TRUE)*100,"")</f>
        <v/>
      </c>
    </row>
    <row r="5384" spans="1:12" x14ac:dyDescent="0.35">
      <c r="A5384" s="3"/>
      <c r="B5384" s="2"/>
      <c r="C5384" s="2"/>
      <c r="D5384" s="2" t="b">
        <f>IF(AND(NOT(ISBLANK(Table1[[#This Row],[Fetal Sex (Male, Female or Unknown)]])),ISNUMBER(Table1[[#This Row],[Birthweight (grams)]]),ISNUMBER(Table1[[#This Row],[Gestation (days)]])),TRUE,FALSE)</f>
        <v>0</v>
      </c>
      <c r="E5384" s="2" t="str">
        <f>IF(Table1[[#This Row],[Is Data Valid]]=TRUE,IF(Table1[[#This Row],[Fetal Sex (Male, Female or Unknown)]]="Male",Backend!$C$6,IF(Table1[[#This Row],[Fetal Sex (Male, Female or Unknown)]]="Female",Backend!$C$7,IF(Table1[[#This Row],[Fetal Sex (Male, Female or Unknown)]]="Unknown",Backend!$C$8,"Error"))),"")</f>
        <v/>
      </c>
      <c r="F5384" s="8" t="str">
        <f>IF(Table1[[#This Row],[Is Data Valid]]=TRUE,EXP(0.578+0.332*((Table1[[#This Row],[Gestation (days)]]+0.5)/7)-0.00354*((Table1[[#This Row],[Gestation (days)]]+0.5)/7)^2)*Table1[[#This Row],[BW40_3705]],"")</f>
        <v/>
      </c>
      <c r="G5384" s="2" t="str">
        <f>IF(Table1[[#This Row],[Is Data Valid]]=TRUE,((Table1[[#This Row],[Birthweight (grams)]]/Table1[[#This Row],[BW_GA]])-1)/(Backend!$B$4/100*Table1[[#This Row],[BW40_3705]]),"")</f>
        <v/>
      </c>
      <c r="H5384" s="7" t="str">
        <f>IF(Table1[[#This Row],[Is Data Valid]]=TRUE,((Table1[[#This Row],[Birthweight (grams)]]*0.9/Table1[[#This Row],[BW_GA]])-1)/(Backend!$B$4/100*Table1[[#This Row],[BW40_3705]]),"")</f>
        <v/>
      </c>
      <c r="I5384" s="7" t="str">
        <f>IF(Table1[[#This Row],[Is Data Valid]]=TRUE,((Table1[[#This Row],[Birthweight (grams)]]*1.1/Table1[[#This Row],[BW_GA]])-1)/(Backend!$B$4/100*Table1[[#This Row],[BW40_3705]]),"")</f>
        <v/>
      </c>
      <c r="J5384" s="7" t="str">
        <f>IF(Table1[[#This Row],[Is Data Valid]]=TRUE,_xlfn.NORM.S.DIST(Table1[[#This Row],[Birthweight Z-Score]],TRUE)*100,"")</f>
        <v/>
      </c>
      <c r="K5384" s="7" t="str">
        <f>IF(Table1[[#This Row],[Is Data Valid]]=TRUE,_xlfn.NORM.S.DIST(Table1[[#This Row],[Birthweight Z-Score (BW-10%)]],TRUE)*100,"")</f>
        <v/>
      </c>
      <c r="L5384" s="7" t="str">
        <f>IF(Table1[[#This Row],[Is Data Valid]]=TRUE,_xlfn.NORM.S.DIST(Table1[[#This Row],[Birthweight Z-Score (BW+10%)]],TRUE)*100,"")</f>
        <v/>
      </c>
    </row>
    <row r="5385" spans="1:12" x14ac:dyDescent="0.35">
      <c r="A5385" s="3"/>
      <c r="B5385" s="2"/>
      <c r="C5385" s="2"/>
      <c r="D5385" s="2" t="b">
        <f>IF(AND(NOT(ISBLANK(Table1[[#This Row],[Fetal Sex (Male, Female or Unknown)]])),ISNUMBER(Table1[[#This Row],[Birthweight (grams)]]),ISNUMBER(Table1[[#This Row],[Gestation (days)]])),TRUE,FALSE)</f>
        <v>0</v>
      </c>
      <c r="E5385" s="2" t="str">
        <f>IF(Table1[[#This Row],[Is Data Valid]]=TRUE,IF(Table1[[#This Row],[Fetal Sex (Male, Female or Unknown)]]="Male",Backend!$C$6,IF(Table1[[#This Row],[Fetal Sex (Male, Female or Unknown)]]="Female",Backend!$C$7,IF(Table1[[#This Row],[Fetal Sex (Male, Female or Unknown)]]="Unknown",Backend!$C$8,"Error"))),"")</f>
        <v/>
      </c>
      <c r="F5385" s="8" t="str">
        <f>IF(Table1[[#This Row],[Is Data Valid]]=TRUE,EXP(0.578+0.332*((Table1[[#This Row],[Gestation (days)]]+0.5)/7)-0.00354*((Table1[[#This Row],[Gestation (days)]]+0.5)/7)^2)*Table1[[#This Row],[BW40_3705]],"")</f>
        <v/>
      </c>
      <c r="G5385" s="2" t="str">
        <f>IF(Table1[[#This Row],[Is Data Valid]]=TRUE,((Table1[[#This Row],[Birthweight (grams)]]/Table1[[#This Row],[BW_GA]])-1)/(Backend!$B$4/100*Table1[[#This Row],[BW40_3705]]),"")</f>
        <v/>
      </c>
      <c r="H5385" s="7" t="str">
        <f>IF(Table1[[#This Row],[Is Data Valid]]=TRUE,((Table1[[#This Row],[Birthweight (grams)]]*0.9/Table1[[#This Row],[BW_GA]])-1)/(Backend!$B$4/100*Table1[[#This Row],[BW40_3705]]),"")</f>
        <v/>
      </c>
      <c r="I5385" s="7" t="str">
        <f>IF(Table1[[#This Row],[Is Data Valid]]=TRUE,((Table1[[#This Row],[Birthweight (grams)]]*1.1/Table1[[#This Row],[BW_GA]])-1)/(Backend!$B$4/100*Table1[[#This Row],[BW40_3705]]),"")</f>
        <v/>
      </c>
      <c r="J5385" s="7" t="str">
        <f>IF(Table1[[#This Row],[Is Data Valid]]=TRUE,_xlfn.NORM.S.DIST(Table1[[#This Row],[Birthweight Z-Score]],TRUE)*100,"")</f>
        <v/>
      </c>
      <c r="K5385" s="7" t="str">
        <f>IF(Table1[[#This Row],[Is Data Valid]]=TRUE,_xlfn.NORM.S.DIST(Table1[[#This Row],[Birthweight Z-Score (BW-10%)]],TRUE)*100,"")</f>
        <v/>
      </c>
      <c r="L5385" s="7" t="str">
        <f>IF(Table1[[#This Row],[Is Data Valid]]=TRUE,_xlfn.NORM.S.DIST(Table1[[#This Row],[Birthweight Z-Score (BW+10%)]],TRUE)*100,"")</f>
        <v/>
      </c>
    </row>
    <row r="5386" spans="1:12" x14ac:dyDescent="0.35">
      <c r="A5386" s="3"/>
      <c r="B5386" s="2"/>
      <c r="C5386" s="2"/>
      <c r="D5386" s="2" t="b">
        <f>IF(AND(NOT(ISBLANK(Table1[[#This Row],[Fetal Sex (Male, Female or Unknown)]])),ISNUMBER(Table1[[#This Row],[Birthweight (grams)]]),ISNUMBER(Table1[[#This Row],[Gestation (days)]])),TRUE,FALSE)</f>
        <v>0</v>
      </c>
      <c r="E5386" s="2" t="str">
        <f>IF(Table1[[#This Row],[Is Data Valid]]=TRUE,IF(Table1[[#This Row],[Fetal Sex (Male, Female or Unknown)]]="Male",Backend!$C$6,IF(Table1[[#This Row],[Fetal Sex (Male, Female or Unknown)]]="Female",Backend!$C$7,IF(Table1[[#This Row],[Fetal Sex (Male, Female or Unknown)]]="Unknown",Backend!$C$8,"Error"))),"")</f>
        <v/>
      </c>
      <c r="F5386" s="8" t="str">
        <f>IF(Table1[[#This Row],[Is Data Valid]]=TRUE,EXP(0.578+0.332*((Table1[[#This Row],[Gestation (days)]]+0.5)/7)-0.00354*((Table1[[#This Row],[Gestation (days)]]+0.5)/7)^2)*Table1[[#This Row],[BW40_3705]],"")</f>
        <v/>
      </c>
      <c r="G5386" s="2" t="str">
        <f>IF(Table1[[#This Row],[Is Data Valid]]=TRUE,((Table1[[#This Row],[Birthweight (grams)]]/Table1[[#This Row],[BW_GA]])-1)/(Backend!$B$4/100*Table1[[#This Row],[BW40_3705]]),"")</f>
        <v/>
      </c>
      <c r="H5386" s="7" t="str">
        <f>IF(Table1[[#This Row],[Is Data Valid]]=TRUE,((Table1[[#This Row],[Birthweight (grams)]]*0.9/Table1[[#This Row],[BW_GA]])-1)/(Backend!$B$4/100*Table1[[#This Row],[BW40_3705]]),"")</f>
        <v/>
      </c>
      <c r="I5386" s="7" t="str">
        <f>IF(Table1[[#This Row],[Is Data Valid]]=TRUE,((Table1[[#This Row],[Birthweight (grams)]]*1.1/Table1[[#This Row],[BW_GA]])-1)/(Backend!$B$4/100*Table1[[#This Row],[BW40_3705]]),"")</f>
        <v/>
      </c>
      <c r="J5386" s="7" t="str">
        <f>IF(Table1[[#This Row],[Is Data Valid]]=TRUE,_xlfn.NORM.S.DIST(Table1[[#This Row],[Birthweight Z-Score]],TRUE)*100,"")</f>
        <v/>
      </c>
      <c r="K5386" s="7" t="str">
        <f>IF(Table1[[#This Row],[Is Data Valid]]=TRUE,_xlfn.NORM.S.DIST(Table1[[#This Row],[Birthweight Z-Score (BW-10%)]],TRUE)*100,"")</f>
        <v/>
      </c>
      <c r="L5386" s="7" t="str">
        <f>IF(Table1[[#This Row],[Is Data Valid]]=TRUE,_xlfn.NORM.S.DIST(Table1[[#This Row],[Birthweight Z-Score (BW+10%)]],TRUE)*100,"")</f>
        <v/>
      </c>
    </row>
    <row r="5387" spans="1:12" x14ac:dyDescent="0.35">
      <c r="A5387" s="3"/>
      <c r="B5387" s="2"/>
      <c r="C5387" s="2"/>
      <c r="D5387" s="2" t="b">
        <f>IF(AND(NOT(ISBLANK(Table1[[#This Row],[Fetal Sex (Male, Female or Unknown)]])),ISNUMBER(Table1[[#This Row],[Birthweight (grams)]]),ISNUMBER(Table1[[#This Row],[Gestation (days)]])),TRUE,FALSE)</f>
        <v>0</v>
      </c>
      <c r="E5387" s="2" t="str">
        <f>IF(Table1[[#This Row],[Is Data Valid]]=TRUE,IF(Table1[[#This Row],[Fetal Sex (Male, Female or Unknown)]]="Male",Backend!$C$6,IF(Table1[[#This Row],[Fetal Sex (Male, Female or Unknown)]]="Female",Backend!$C$7,IF(Table1[[#This Row],[Fetal Sex (Male, Female or Unknown)]]="Unknown",Backend!$C$8,"Error"))),"")</f>
        <v/>
      </c>
      <c r="F5387" s="8" t="str">
        <f>IF(Table1[[#This Row],[Is Data Valid]]=TRUE,EXP(0.578+0.332*((Table1[[#This Row],[Gestation (days)]]+0.5)/7)-0.00354*((Table1[[#This Row],[Gestation (days)]]+0.5)/7)^2)*Table1[[#This Row],[BW40_3705]],"")</f>
        <v/>
      </c>
      <c r="G5387" s="2" t="str">
        <f>IF(Table1[[#This Row],[Is Data Valid]]=TRUE,((Table1[[#This Row],[Birthweight (grams)]]/Table1[[#This Row],[BW_GA]])-1)/(Backend!$B$4/100*Table1[[#This Row],[BW40_3705]]),"")</f>
        <v/>
      </c>
      <c r="H5387" s="7" t="str">
        <f>IF(Table1[[#This Row],[Is Data Valid]]=TRUE,((Table1[[#This Row],[Birthweight (grams)]]*0.9/Table1[[#This Row],[BW_GA]])-1)/(Backend!$B$4/100*Table1[[#This Row],[BW40_3705]]),"")</f>
        <v/>
      </c>
      <c r="I5387" s="7" t="str">
        <f>IF(Table1[[#This Row],[Is Data Valid]]=TRUE,((Table1[[#This Row],[Birthweight (grams)]]*1.1/Table1[[#This Row],[BW_GA]])-1)/(Backend!$B$4/100*Table1[[#This Row],[BW40_3705]]),"")</f>
        <v/>
      </c>
      <c r="J5387" s="7" t="str">
        <f>IF(Table1[[#This Row],[Is Data Valid]]=TRUE,_xlfn.NORM.S.DIST(Table1[[#This Row],[Birthweight Z-Score]],TRUE)*100,"")</f>
        <v/>
      </c>
      <c r="K5387" s="7" t="str">
        <f>IF(Table1[[#This Row],[Is Data Valid]]=TRUE,_xlfn.NORM.S.DIST(Table1[[#This Row],[Birthweight Z-Score (BW-10%)]],TRUE)*100,"")</f>
        <v/>
      </c>
      <c r="L5387" s="7" t="str">
        <f>IF(Table1[[#This Row],[Is Data Valid]]=TRUE,_xlfn.NORM.S.DIST(Table1[[#This Row],[Birthweight Z-Score (BW+10%)]],TRUE)*100,"")</f>
        <v/>
      </c>
    </row>
    <row r="5388" spans="1:12" x14ac:dyDescent="0.35">
      <c r="A5388" s="3"/>
      <c r="B5388" s="2"/>
      <c r="C5388" s="2"/>
      <c r="D5388" s="2" t="b">
        <f>IF(AND(NOT(ISBLANK(Table1[[#This Row],[Fetal Sex (Male, Female or Unknown)]])),ISNUMBER(Table1[[#This Row],[Birthweight (grams)]]),ISNUMBER(Table1[[#This Row],[Gestation (days)]])),TRUE,FALSE)</f>
        <v>0</v>
      </c>
      <c r="E5388" s="2" t="str">
        <f>IF(Table1[[#This Row],[Is Data Valid]]=TRUE,IF(Table1[[#This Row],[Fetal Sex (Male, Female or Unknown)]]="Male",Backend!$C$6,IF(Table1[[#This Row],[Fetal Sex (Male, Female or Unknown)]]="Female",Backend!$C$7,IF(Table1[[#This Row],[Fetal Sex (Male, Female or Unknown)]]="Unknown",Backend!$C$8,"Error"))),"")</f>
        <v/>
      </c>
      <c r="F5388" s="8" t="str">
        <f>IF(Table1[[#This Row],[Is Data Valid]]=TRUE,EXP(0.578+0.332*((Table1[[#This Row],[Gestation (days)]]+0.5)/7)-0.00354*((Table1[[#This Row],[Gestation (days)]]+0.5)/7)^2)*Table1[[#This Row],[BW40_3705]],"")</f>
        <v/>
      </c>
      <c r="G5388" s="2" t="str">
        <f>IF(Table1[[#This Row],[Is Data Valid]]=TRUE,((Table1[[#This Row],[Birthweight (grams)]]/Table1[[#This Row],[BW_GA]])-1)/(Backend!$B$4/100*Table1[[#This Row],[BW40_3705]]),"")</f>
        <v/>
      </c>
      <c r="H5388" s="7" t="str">
        <f>IF(Table1[[#This Row],[Is Data Valid]]=TRUE,((Table1[[#This Row],[Birthweight (grams)]]*0.9/Table1[[#This Row],[BW_GA]])-1)/(Backend!$B$4/100*Table1[[#This Row],[BW40_3705]]),"")</f>
        <v/>
      </c>
      <c r="I5388" s="7" t="str">
        <f>IF(Table1[[#This Row],[Is Data Valid]]=TRUE,((Table1[[#This Row],[Birthweight (grams)]]*1.1/Table1[[#This Row],[BW_GA]])-1)/(Backend!$B$4/100*Table1[[#This Row],[BW40_3705]]),"")</f>
        <v/>
      </c>
      <c r="J5388" s="7" t="str">
        <f>IF(Table1[[#This Row],[Is Data Valid]]=TRUE,_xlfn.NORM.S.DIST(Table1[[#This Row],[Birthweight Z-Score]],TRUE)*100,"")</f>
        <v/>
      </c>
      <c r="K5388" s="7" t="str">
        <f>IF(Table1[[#This Row],[Is Data Valid]]=TRUE,_xlfn.NORM.S.DIST(Table1[[#This Row],[Birthweight Z-Score (BW-10%)]],TRUE)*100,"")</f>
        <v/>
      </c>
      <c r="L5388" s="7" t="str">
        <f>IF(Table1[[#This Row],[Is Data Valid]]=TRUE,_xlfn.NORM.S.DIST(Table1[[#This Row],[Birthweight Z-Score (BW+10%)]],TRUE)*100,"")</f>
        <v/>
      </c>
    </row>
    <row r="5389" spans="1:12" x14ac:dyDescent="0.35">
      <c r="A5389" s="3"/>
      <c r="B5389" s="2"/>
      <c r="C5389" s="2"/>
      <c r="D5389" s="2" t="b">
        <f>IF(AND(NOT(ISBLANK(Table1[[#This Row],[Fetal Sex (Male, Female or Unknown)]])),ISNUMBER(Table1[[#This Row],[Birthweight (grams)]]),ISNUMBER(Table1[[#This Row],[Gestation (days)]])),TRUE,FALSE)</f>
        <v>0</v>
      </c>
      <c r="E5389" s="2" t="str">
        <f>IF(Table1[[#This Row],[Is Data Valid]]=TRUE,IF(Table1[[#This Row],[Fetal Sex (Male, Female or Unknown)]]="Male",Backend!$C$6,IF(Table1[[#This Row],[Fetal Sex (Male, Female or Unknown)]]="Female",Backend!$C$7,IF(Table1[[#This Row],[Fetal Sex (Male, Female or Unknown)]]="Unknown",Backend!$C$8,"Error"))),"")</f>
        <v/>
      </c>
      <c r="F5389" s="8" t="str">
        <f>IF(Table1[[#This Row],[Is Data Valid]]=TRUE,EXP(0.578+0.332*((Table1[[#This Row],[Gestation (days)]]+0.5)/7)-0.00354*((Table1[[#This Row],[Gestation (days)]]+0.5)/7)^2)*Table1[[#This Row],[BW40_3705]],"")</f>
        <v/>
      </c>
      <c r="G5389" s="2" t="str">
        <f>IF(Table1[[#This Row],[Is Data Valid]]=TRUE,((Table1[[#This Row],[Birthweight (grams)]]/Table1[[#This Row],[BW_GA]])-1)/(Backend!$B$4/100*Table1[[#This Row],[BW40_3705]]),"")</f>
        <v/>
      </c>
      <c r="H5389" s="7" t="str">
        <f>IF(Table1[[#This Row],[Is Data Valid]]=TRUE,((Table1[[#This Row],[Birthweight (grams)]]*0.9/Table1[[#This Row],[BW_GA]])-1)/(Backend!$B$4/100*Table1[[#This Row],[BW40_3705]]),"")</f>
        <v/>
      </c>
      <c r="I5389" s="7" t="str">
        <f>IF(Table1[[#This Row],[Is Data Valid]]=TRUE,((Table1[[#This Row],[Birthweight (grams)]]*1.1/Table1[[#This Row],[BW_GA]])-1)/(Backend!$B$4/100*Table1[[#This Row],[BW40_3705]]),"")</f>
        <v/>
      </c>
      <c r="J5389" s="7" t="str">
        <f>IF(Table1[[#This Row],[Is Data Valid]]=TRUE,_xlfn.NORM.S.DIST(Table1[[#This Row],[Birthweight Z-Score]],TRUE)*100,"")</f>
        <v/>
      </c>
      <c r="K5389" s="7" t="str">
        <f>IF(Table1[[#This Row],[Is Data Valid]]=TRUE,_xlfn.NORM.S.DIST(Table1[[#This Row],[Birthweight Z-Score (BW-10%)]],TRUE)*100,"")</f>
        <v/>
      </c>
      <c r="L5389" s="7" t="str">
        <f>IF(Table1[[#This Row],[Is Data Valid]]=TRUE,_xlfn.NORM.S.DIST(Table1[[#This Row],[Birthweight Z-Score (BW+10%)]],TRUE)*100,"")</f>
        <v/>
      </c>
    </row>
    <row r="5390" spans="1:12" x14ac:dyDescent="0.35">
      <c r="A5390" s="3"/>
      <c r="B5390" s="2"/>
      <c r="C5390" s="2"/>
      <c r="D5390" s="2" t="b">
        <f>IF(AND(NOT(ISBLANK(Table1[[#This Row],[Fetal Sex (Male, Female or Unknown)]])),ISNUMBER(Table1[[#This Row],[Birthweight (grams)]]),ISNUMBER(Table1[[#This Row],[Gestation (days)]])),TRUE,FALSE)</f>
        <v>0</v>
      </c>
      <c r="E5390" s="2" t="str">
        <f>IF(Table1[[#This Row],[Is Data Valid]]=TRUE,IF(Table1[[#This Row],[Fetal Sex (Male, Female or Unknown)]]="Male",Backend!$C$6,IF(Table1[[#This Row],[Fetal Sex (Male, Female or Unknown)]]="Female",Backend!$C$7,IF(Table1[[#This Row],[Fetal Sex (Male, Female or Unknown)]]="Unknown",Backend!$C$8,"Error"))),"")</f>
        <v/>
      </c>
      <c r="F5390" s="8" t="str">
        <f>IF(Table1[[#This Row],[Is Data Valid]]=TRUE,EXP(0.578+0.332*((Table1[[#This Row],[Gestation (days)]]+0.5)/7)-0.00354*((Table1[[#This Row],[Gestation (days)]]+0.5)/7)^2)*Table1[[#This Row],[BW40_3705]],"")</f>
        <v/>
      </c>
      <c r="G5390" s="2" t="str">
        <f>IF(Table1[[#This Row],[Is Data Valid]]=TRUE,((Table1[[#This Row],[Birthweight (grams)]]/Table1[[#This Row],[BW_GA]])-1)/(Backend!$B$4/100*Table1[[#This Row],[BW40_3705]]),"")</f>
        <v/>
      </c>
      <c r="H5390" s="7" t="str">
        <f>IF(Table1[[#This Row],[Is Data Valid]]=TRUE,((Table1[[#This Row],[Birthweight (grams)]]*0.9/Table1[[#This Row],[BW_GA]])-1)/(Backend!$B$4/100*Table1[[#This Row],[BW40_3705]]),"")</f>
        <v/>
      </c>
      <c r="I5390" s="7" t="str">
        <f>IF(Table1[[#This Row],[Is Data Valid]]=TRUE,((Table1[[#This Row],[Birthweight (grams)]]*1.1/Table1[[#This Row],[BW_GA]])-1)/(Backend!$B$4/100*Table1[[#This Row],[BW40_3705]]),"")</f>
        <v/>
      </c>
      <c r="J5390" s="7" t="str">
        <f>IF(Table1[[#This Row],[Is Data Valid]]=TRUE,_xlfn.NORM.S.DIST(Table1[[#This Row],[Birthweight Z-Score]],TRUE)*100,"")</f>
        <v/>
      </c>
      <c r="K5390" s="7" t="str">
        <f>IF(Table1[[#This Row],[Is Data Valid]]=TRUE,_xlfn.NORM.S.DIST(Table1[[#This Row],[Birthweight Z-Score (BW-10%)]],TRUE)*100,"")</f>
        <v/>
      </c>
      <c r="L5390" s="7" t="str">
        <f>IF(Table1[[#This Row],[Is Data Valid]]=TRUE,_xlfn.NORM.S.DIST(Table1[[#This Row],[Birthweight Z-Score (BW+10%)]],TRUE)*100,"")</f>
        <v/>
      </c>
    </row>
    <row r="5391" spans="1:12" x14ac:dyDescent="0.35">
      <c r="A5391" s="3"/>
      <c r="B5391" s="2"/>
      <c r="C5391" s="2"/>
      <c r="D5391" s="2" t="b">
        <f>IF(AND(NOT(ISBLANK(Table1[[#This Row],[Fetal Sex (Male, Female or Unknown)]])),ISNUMBER(Table1[[#This Row],[Birthweight (grams)]]),ISNUMBER(Table1[[#This Row],[Gestation (days)]])),TRUE,FALSE)</f>
        <v>0</v>
      </c>
      <c r="E5391" s="2" t="str">
        <f>IF(Table1[[#This Row],[Is Data Valid]]=TRUE,IF(Table1[[#This Row],[Fetal Sex (Male, Female or Unknown)]]="Male",Backend!$C$6,IF(Table1[[#This Row],[Fetal Sex (Male, Female or Unknown)]]="Female",Backend!$C$7,IF(Table1[[#This Row],[Fetal Sex (Male, Female or Unknown)]]="Unknown",Backend!$C$8,"Error"))),"")</f>
        <v/>
      </c>
      <c r="F5391" s="8" t="str">
        <f>IF(Table1[[#This Row],[Is Data Valid]]=TRUE,EXP(0.578+0.332*((Table1[[#This Row],[Gestation (days)]]+0.5)/7)-0.00354*((Table1[[#This Row],[Gestation (days)]]+0.5)/7)^2)*Table1[[#This Row],[BW40_3705]],"")</f>
        <v/>
      </c>
      <c r="G5391" s="2" t="str">
        <f>IF(Table1[[#This Row],[Is Data Valid]]=TRUE,((Table1[[#This Row],[Birthweight (grams)]]/Table1[[#This Row],[BW_GA]])-1)/(Backend!$B$4/100*Table1[[#This Row],[BW40_3705]]),"")</f>
        <v/>
      </c>
      <c r="H5391" s="7" t="str">
        <f>IF(Table1[[#This Row],[Is Data Valid]]=TRUE,((Table1[[#This Row],[Birthweight (grams)]]*0.9/Table1[[#This Row],[BW_GA]])-1)/(Backend!$B$4/100*Table1[[#This Row],[BW40_3705]]),"")</f>
        <v/>
      </c>
      <c r="I5391" s="7" t="str">
        <f>IF(Table1[[#This Row],[Is Data Valid]]=TRUE,((Table1[[#This Row],[Birthweight (grams)]]*1.1/Table1[[#This Row],[BW_GA]])-1)/(Backend!$B$4/100*Table1[[#This Row],[BW40_3705]]),"")</f>
        <v/>
      </c>
      <c r="J5391" s="7" t="str">
        <f>IF(Table1[[#This Row],[Is Data Valid]]=TRUE,_xlfn.NORM.S.DIST(Table1[[#This Row],[Birthweight Z-Score]],TRUE)*100,"")</f>
        <v/>
      </c>
      <c r="K5391" s="7" t="str">
        <f>IF(Table1[[#This Row],[Is Data Valid]]=TRUE,_xlfn.NORM.S.DIST(Table1[[#This Row],[Birthweight Z-Score (BW-10%)]],TRUE)*100,"")</f>
        <v/>
      </c>
      <c r="L5391" s="7" t="str">
        <f>IF(Table1[[#This Row],[Is Data Valid]]=TRUE,_xlfn.NORM.S.DIST(Table1[[#This Row],[Birthweight Z-Score (BW+10%)]],TRUE)*100,"")</f>
        <v/>
      </c>
    </row>
    <row r="5392" spans="1:12" x14ac:dyDescent="0.35">
      <c r="A5392" s="3"/>
      <c r="B5392" s="2"/>
      <c r="C5392" s="2"/>
      <c r="D5392" s="2" t="b">
        <f>IF(AND(NOT(ISBLANK(Table1[[#This Row],[Fetal Sex (Male, Female or Unknown)]])),ISNUMBER(Table1[[#This Row],[Birthweight (grams)]]),ISNUMBER(Table1[[#This Row],[Gestation (days)]])),TRUE,FALSE)</f>
        <v>0</v>
      </c>
      <c r="E5392" s="2" t="str">
        <f>IF(Table1[[#This Row],[Is Data Valid]]=TRUE,IF(Table1[[#This Row],[Fetal Sex (Male, Female or Unknown)]]="Male",Backend!$C$6,IF(Table1[[#This Row],[Fetal Sex (Male, Female or Unknown)]]="Female",Backend!$C$7,IF(Table1[[#This Row],[Fetal Sex (Male, Female or Unknown)]]="Unknown",Backend!$C$8,"Error"))),"")</f>
        <v/>
      </c>
      <c r="F5392" s="8" t="str">
        <f>IF(Table1[[#This Row],[Is Data Valid]]=TRUE,EXP(0.578+0.332*((Table1[[#This Row],[Gestation (days)]]+0.5)/7)-0.00354*((Table1[[#This Row],[Gestation (days)]]+0.5)/7)^2)*Table1[[#This Row],[BW40_3705]],"")</f>
        <v/>
      </c>
      <c r="G5392" s="2" t="str">
        <f>IF(Table1[[#This Row],[Is Data Valid]]=TRUE,((Table1[[#This Row],[Birthweight (grams)]]/Table1[[#This Row],[BW_GA]])-1)/(Backend!$B$4/100*Table1[[#This Row],[BW40_3705]]),"")</f>
        <v/>
      </c>
      <c r="H5392" s="7" t="str">
        <f>IF(Table1[[#This Row],[Is Data Valid]]=TRUE,((Table1[[#This Row],[Birthweight (grams)]]*0.9/Table1[[#This Row],[BW_GA]])-1)/(Backend!$B$4/100*Table1[[#This Row],[BW40_3705]]),"")</f>
        <v/>
      </c>
      <c r="I5392" s="7" t="str">
        <f>IF(Table1[[#This Row],[Is Data Valid]]=TRUE,((Table1[[#This Row],[Birthweight (grams)]]*1.1/Table1[[#This Row],[BW_GA]])-1)/(Backend!$B$4/100*Table1[[#This Row],[BW40_3705]]),"")</f>
        <v/>
      </c>
      <c r="J5392" s="7" t="str">
        <f>IF(Table1[[#This Row],[Is Data Valid]]=TRUE,_xlfn.NORM.S.DIST(Table1[[#This Row],[Birthweight Z-Score]],TRUE)*100,"")</f>
        <v/>
      </c>
      <c r="K5392" s="7" t="str">
        <f>IF(Table1[[#This Row],[Is Data Valid]]=TRUE,_xlfn.NORM.S.DIST(Table1[[#This Row],[Birthweight Z-Score (BW-10%)]],TRUE)*100,"")</f>
        <v/>
      </c>
      <c r="L5392" s="7" t="str">
        <f>IF(Table1[[#This Row],[Is Data Valid]]=TRUE,_xlfn.NORM.S.DIST(Table1[[#This Row],[Birthweight Z-Score (BW+10%)]],TRUE)*100,"")</f>
        <v/>
      </c>
    </row>
    <row r="5393" spans="1:12" x14ac:dyDescent="0.35">
      <c r="A5393" s="3"/>
      <c r="B5393" s="2"/>
      <c r="C5393" s="2"/>
      <c r="D5393" s="2" t="b">
        <f>IF(AND(NOT(ISBLANK(Table1[[#This Row],[Fetal Sex (Male, Female or Unknown)]])),ISNUMBER(Table1[[#This Row],[Birthweight (grams)]]),ISNUMBER(Table1[[#This Row],[Gestation (days)]])),TRUE,FALSE)</f>
        <v>0</v>
      </c>
      <c r="E5393" s="2" t="str">
        <f>IF(Table1[[#This Row],[Is Data Valid]]=TRUE,IF(Table1[[#This Row],[Fetal Sex (Male, Female or Unknown)]]="Male",Backend!$C$6,IF(Table1[[#This Row],[Fetal Sex (Male, Female or Unknown)]]="Female",Backend!$C$7,IF(Table1[[#This Row],[Fetal Sex (Male, Female or Unknown)]]="Unknown",Backend!$C$8,"Error"))),"")</f>
        <v/>
      </c>
      <c r="F5393" s="8" t="str">
        <f>IF(Table1[[#This Row],[Is Data Valid]]=TRUE,EXP(0.578+0.332*((Table1[[#This Row],[Gestation (days)]]+0.5)/7)-0.00354*((Table1[[#This Row],[Gestation (days)]]+0.5)/7)^2)*Table1[[#This Row],[BW40_3705]],"")</f>
        <v/>
      </c>
      <c r="G5393" s="2" t="str">
        <f>IF(Table1[[#This Row],[Is Data Valid]]=TRUE,((Table1[[#This Row],[Birthweight (grams)]]/Table1[[#This Row],[BW_GA]])-1)/(Backend!$B$4/100*Table1[[#This Row],[BW40_3705]]),"")</f>
        <v/>
      </c>
      <c r="H5393" s="7" t="str">
        <f>IF(Table1[[#This Row],[Is Data Valid]]=TRUE,((Table1[[#This Row],[Birthweight (grams)]]*0.9/Table1[[#This Row],[BW_GA]])-1)/(Backend!$B$4/100*Table1[[#This Row],[BW40_3705]]),"")</f>
        <v/>
      </c>
      <c r="I5393" s="7" t="str">
        <f>IF(Table1[[#This Row],[Is Data Valid]]=TRUE,((Table1[[#This Row],[Birthweight (grams)]]*1.1/Table1[[#This Row],[BW_GA]])-1)/(Backend!$B$4/100*Table1[[#This Row],[BW40_3705]]),"")</f>
        <v/>
      </c>
      <c r="J5393" s="7" t="str">
        <f>IF(Table1[[#This Row],[Is Data Valid]]=TRUE,_xlfn.NORM.S.DIST(Table1[[#This Row],[Birthweight Z-Score]],TRUE)*100,"")</f>
        <v/>
      </c>
      <c r="K5393" s="7" t="str">
        <f>IF(Table1[[#This Row],[Is Data Valid]]=TRUE,_xlfn.NORM.S.DIST(Table1[[#This Row],[Birthweight Z-Score (BW-10%)]],TRUE)*100,"")</f>
        <v/>
      </c>
      <c r="L5393" s="7" t="str">
        <f>IF(Table1[[#This Row],[Is Data Valid]]=TRUE,_xlfn.NORM.S.DIST(Table1[[#This Row],[Birthweight Z-Score (BW+10%)]],TRUE)*100,"")</f>
        <v/>
      </c>
    </row>
    <row r="5394" spans="1:12" x14ac:dyDescent="0.35">
      <c r="A5394" s="3"/>
      <c r="B5394" s="2"/>
      <c r="C5394" s="2"/>
      <c r="D5394" s="2" t="b">
        <f>IF(AND(NOT(ISBLANK(Table1[[#This Row],[Fetal Sex (Male, Female or Unknown)]])),ISNUMBER(Table1[[#This Row],[Birthweight (grams)]]),ISNUMBER(Table1[[#This Row],[Gestation (days)]])),TRUE,FALSE)</f>
        <v>0</v>
      </c>
      <c r="E5394" s="2" t="str">
        <f>IF(Table1[[#This Row],[Is Data Valid]]=TRUE,IF(Table1[[#This Row],[Fetal Sex (Male, Female or Unknown)]]="Male",Backend!$C$6,IF(Table1[[#This Row],[Fetal Sex (Male, Female or Unknown)]]="Female",Backend!$C$7,IF(Table1[[#This Row],[Fetal Sex (Male, Female or Unknown)]]="Unknown",Backend!$C$8,"Error"))),"")</f>
        <v/>
      </c>
      <c r="F5394" s="8" t="str">
        <f>IF(Table1[[#This Row],[Is Data Valid]]=TRUE,EXP(0.578+0.332*((Table1[[#This Row],[Gestation (days)]]+0.5)/7)-0.00354*((Table1[[#This Row],[Gestation (days)]]+0.5)/7)^2)*Table1[[#This Row],[BW40_3705]],"")</f>
        <v/>
      </c>
      <c r="G5394" s="2" t="str">
        <f>IF(Table1[[#This Row],[Is Data Valid]]=TRUE,((Table1[[#This Row],[Birthweight (grams)]]/Table1[[#This Row],[BW_GA]])-1)/(Backend!$B$4/100*Table1[[#This Row],[BW40_3705]]),"")</f>
        <v/>
      </c>
      <c r="H5394" s="7" t="str">
        <f>IF(Table1[[#This Row],[Is Data Valid]]=TRUE,((Table1[[#This Row],[Birthweight (grams)]]*0.9/Table1[[#This Row],[BW_GA]])-1)/(Backend!$B$4/100*Table1[[#This Row],[BW40_3705]]),"")</f>
        <v/>
      </c>
      <c r="I5394" s="7" t="str">
        <f>IF(Table1[[#This Row],[Is Data Valid]]=TRUE,((Table1[[#This Row],[Birthweight (grams)]]*1.1/Table1[[#This Row],[BW_GA]])-1)/(Backend!$B$4/100*Table1[[#This Row],[BW40_3705]]),"")</f>
        <v/>
      </c>
      <c r="J5394" s="7" t="str">
        <f>IF(Table1[[#This Row],[Is Data Valid]]=TRUE,_xlfn.NORM.S.DIST(Table1[[#This Row],[Birthweight Z-Score]],TRUE)*100,"")</f>
        <v/>
      </c>
      <c r="K5394" s="7" t="str">
        <f>IF(Table1[[#This Row],[Is Data Valid]]=TRUE,_xlfn.NORM.S.DIST(Table1[[#This Row],[Birthweight Z-Score (BW-10%)]],TRUE)*100,"")</f>
        <v/>
      </c>
      <c r="L5394" s="7" t="str">
        <f>IF(Table1[[#This Row],[Is Data Valid]]=TRUE,_xlfn.NORM.S.DIST(Table1[[#This Row],[Birthweight Z-Score (BW+10%)]],TRUE)*100,"")</f>
        <v/>
      </c>
    </row>
    <row r="5395" spans="1:12" x14ac:dyDescent="0.35">
      <c r="A5395" s="3"/>
      <c r="B5395" s="2"/>
      <c r="C5395" s="2"/>
      <c r="D5395" s="2" t="b">
        <f>IF(AND(NOT(ISBLANK(Table1[[#This Row],[Fetal Sex (Male, Female or Unknown)]])),ISNUMBER(Table1[[#This Row],[Birthweight (grams)]]),ISNUMBER(Table1[[#This Row],[Gestation (days)]])),TRUE,FALSE)</f>
        <v>0</v>
      </c>
      <c r="E5395" s="2" t="str">
        <f>IF(Table1[[#This Row],[Is Data Valid]]=TRUE,IF(Table1[[#This Row],[Fetal Sex (Male, Female or Unknown)]]="Male",Backend!$C$6,IF(Table1[[#This Row],[Fetal Sex (Male, Female or Unknown)]]="Female",Backend!$C$7,IF(Table1[[#This Row],[Fetal Sex (Male, Female or Unknown)]]="Unknown",Backend!$C$8,"Error"))),"")</f>
        <v/>
      </c>
      <c r="F5395" s="8" t="str">
        <f>IF(Table1[[#This Row],[Is Data Valid]]=TRUE,EXP(0.578+0.332*((Table1[[#This Row],[Gestation (days)]]+0.5)/7)-0.00354*((Table1[[#This Row],[Gestation (days)]]+0.5)/7)^2)*Table1[[#This Row],[BW40_3705]],"")</f>
        <v/>
      </c>
      <c r="G5395" s="2" t="str">
        <f>IF(Table1[[#This Row],[Is Data Valid]]=TRUE,((Table1[[#This Row],[Birthweight (grams)]]/Table1[[#This Row],[BW_GA]])-1)/(Backend!$B$4/100*Table1[[#This Row],[BW40_3705]]),"")</f>
        <v/>
      </c>
      <c r="H5395" s="7" t="str">
        <f>IF(Table1[[#This Row],[Is Data Valid]]=TRUE,((Table1[[#This Row],[Birthweight (grams)]]*0.9/Table1[[#This Row],[BW_GA]])-1)/(Backend!$B$4/100*Table1[[#This Row],[BW40_3705]]),"")</f>
        <v/>
      </c>
      <c r="I5395" s="7" t="str">
        <f>IF(Table1[[#This Row],[Is Data Valid]]=TRUE,((Table1[[#This Row],[Birthweight (grams)]]*1.1/Table1[[#This Row],[BW_GA]])-1)/(Backend!$B$4/100*Table1[[#This Row],[BW40_3705]]),"")</f>
        <v/>
      </c>
      <c r="J5395" s="7" t="str">
        <f>IF(Table1[[#This Row],[Is Data Valid]]=TRUE,_xlfn.NORM.S.DIST(Table1[[#This Row],[Birthweight Z-Score]],TRUE)*100,"")</f>
        <v/>
      </c>
      <c r="K5395" s="7" t="str">
        <f>IF(Table1[[#This Row],[Is Data Valid]]=TRUE,_xlfn.NORM.S.DIST(Table1[[#This Row],[Birthweight Z-Score (BW-10%)]],TRUE)*100,"")</f>
        <v/>
      </c>
      <c r="L5395" s="7" t="str">
        <f>IF(Table1[[#This Row],[Is Data Valid]]=TRUE,_xlfn.NORM.S.DIST(Table1[[#This Row],[Birthweight Z-Score (BW+10%)]],TRUE)*100,"")</f>
        <v/>
      </c>
    </row>
    <row r="5396" spans="1:12" x14ac:dyDescent="0.35">
      <c r="A5396" s="3"/>
      <c r="B5396" s="2"/>
      <c r="C5396" s="2"/>
      <c r="D5396" s="2" t="b">
        <f>IF(AND(NOT(ISBLANK(Table1[[#This Row],[Fetal Sex (Male, Female or Unknown)]])),ISNUMBER(Table1[[#This Row],[Birthweight (grams)]]),ISNUMBER(Table1[[#This Row],[Gestation (days)]])),TRUE,FALSE)</f>
        <v>0</v>
      </c>
      <c r="E5396" s="2" t="str">
        <f>IF(Table1[[#This Row],[Is Data Valid]]=TRUE,IF(Table1[[#This Row],[Fetal Sex (Male, Female or Unknown)]]="Male",Backend!$C$6,IF(Table1[[#This Row],[Fetal Sex (Male, Female or Unknown)]]="Female",Backend!$C$7,IF(Table1[[#This Row],[Fetal Sex (Male, Female or Unknown)]]="Unknown",Backend!$C$8,"Error"))),"")</f>
        <v/>
      </c>
      <c r="F5396" s="8" t="str">
        <f>IF(Table1[[#This Row],[Is Data Valid]]=TRUE,EXP(0.578+0.332*((Table1[[#This Row],[Gestation (days)]]+0.5)/7)-0.00354*((Table1[[#This Row],[Gestation (days)]]+0.5)/7)^2)*Table1[[#This Row],[BW40_3705]],"")</f>
        <v/>
      </c>
      <c r="G5396" s="2" t="str">
        <f>IF(Table1[[#This Row],[Is Data Valid]]=TRUE,((Table1[[#This Row],[Birthweight (grams)]]/Table1[[#This Row],[BW_GA]])-1)/(Backend!$B$4/100*Table1[[#This Row],[BW40_3705]]),"")</f>
        <v/>
      </c>
      <c r="H5396" s="7" t="str">
        <f>IF(Table1[[#This Row],[Is Data Valid]]=TRUE,((Table1[[#This Row],[Birthweight (grams)]]*0.9/Table1[[#This Row],[BW_GA]])-1)/(Backend!$B$4/100*Table1[[#This Row],[BW40_3705]]),"")</f>
        <v/>
      </c>
      <c r="I5396" s="7" t="str">
        <f>IF(Table1[[#This Row],[Is Data Valid]]=TRUE,((Table1[[#This Row],[Birthweight (grams)]]*1.1/Table1[[#This Row],[BW_GA]])-1)/(Backend!$B$4/100*Table1[[#This Row],[BW40_3705]]),"")</f>
        <v/>
      </c>
      <c r="J5396" s="7" t="str">
        <f>IF(Table1[[#This Row],[Is Data Valid]]=TRUE,_xlfn.NORM.S.DIST(Table1[[#This Row],[Birthweight Z-Score]],TRUE)*100,"")</f>
        <v/>
      </c>
      <c r="K5396" s="7" t="str">
        <f>IF(Table1[[#This Row],[Is Data Valid]]=TRUE,_xlfn.NORM.S.DIST(Table1[[#This Row],[Birthweight Z-Score (BW-10%)]],TRUE)*100,"")</f>
        <v/>
      </c>
      <c r="L5396" s="7" t="str">
        <f>IF(Table1[[#This Row],[Is Data Valid]]=TRUE,_xlfn.NORM.S.DIST(Table1[[#This Row],[Birthweight Z-Score (BW+10%)]],TRUE)*100,"")</f>
        <v/>
      </c>
    </row>
    <row r="5397" spans="1:12" x14ac:dyDescent="0.35">
      <c r="A5397" s="3"/>
      <c r="B5397" s="2"/>
      <c r="C5397" s="2"/>
      <c r="D5397" s="2" t="b">
        <f>IF(AND(NOT(ISBLANK(Table1[[#This Row],[Fetal Sex (Male, Female or Unknown)]])),ISNUMBER(Table1[[#This Row],[Birthweight (grams)]]),ISNUMBER(Table1[[#This Row],[Gestation (days)]])),TRUE,FALSE)</f>
        <v>0</v>
      </c>
      <c r="E5397" s="2" t="str">
        <f>IF(Table1[[#This Row],[Is Data Valid]]=TRUE,IF(Table1[[#This Row],[Fetal Sex (Male, Female or Unknown)]]="Male",Backend!$C$6,IF(Table1[[#This Row],[Fetal Sex (Male, Female or Unknown)]]="Female",Backend!$C$7,IF(Table1[[#This Row],[Fetal Sex (Male, Female or Unknown)]]="Unknown",Backend!$C$8,"Error"))),"")</f>
        <v/>
      </c>
      <c r="F5397" s="8" t="str">
        <f>IF(Table1[[#This Row],[Is Data Valid]]=TRUE,EXP(0.578+0.332*((Table1[[#This Row],[Gestation (days)]]+0.5)/7)-0.00354*((Table1[[#This Row],[Gestation (days)]]+0.5)/7)^2)*Table1[[#This Row],[BW40_3705]],"")</f>
        <v/>
      </c>
      <c r="G5397" s="2" t="str">
        <f>IF(Table1[[#This Row],[Is Data Valid]]=TRUE,((Table1[[#This Row],[Birthweight (grams)]]/Table1[[#This Row],[BW_GA]])-1)/(Backend!$B$4/100*Table1[[#This Row],[BW40_3705]]),"")</f>
        <v/>
      </c>
      <c r="H5397" s="7" t="str">
        <f>IF(Table1[[#This Row],[Is Data Valid]]=TRUE,((Table1[[#This Row],[Birthweight (grams)]]*0.9/Table1[[#This Row],[BW_GA]])-1)/(Backend!$B$4/100*Table1[[#This Row],[BW40_3705]]),"")</f>
        <v/>
      </c>
      <c r="I5397" s="7" t="str">
        <f>IF(Table1[[#This Row],[Is Data Valid]]=TRUE,((Table1[[#This Row],[Birthweight (grams)]]*1.1/Table1[[#This Row],[BW_GA]])-1)/(Backend!$B$4/100*Table1[[#This Row],[BW40_3705]]),"")</f>
        <v/>
      </c>
      <c r="J5397" s="7" t="str">
        <f>IF(Table1[[#This Row],[Is Data Valid]]=TRUE,_xlfn.NORM.S.DIST(Table1[[#This Row],[Birthweight Z-Score]],TRUE)*100,"")</f>
        <v/>
      </c>
      <c r="K5397" s="7" t="str">
        <f>IF(Table1[[#This Row],[Is Data Valid]]=TRUE,_xlfn.NORM.S.DIST(Table1[[#This Row],[Birthweight Z-Score (BW-10%)]],TRUE)*100,"")</f>
        <v/>
      </c>
      <c r="L5397" s="7" t="str">
        <f>IF(Table1[[#This Row],[Is Data Valid]]=TRUE,_xlfn.NORM.S.DIST(Table1[[#This Row],[Birthweight Z-Score (BW+10%)]],TRUE)*100,"")</f>
        <v/>
      </c>
    </row>
    <row r="5398" spans="1:12" x14ac:dyDescent="0.35">
      <c r="A5398" s="3"/>
      <c r="B5398" s="2"/>
      <c r="C5398" s="2"/>
      <c r="D5398" s="2" t="b">
        <f>IF(AND(NOT(ISBLANK(Table1[[#This Row],[Fetal Sex (Male, Female or Unknown)]])),ISNUMBER(Table1[[#This Row],[Birthweight (grams)]]),ISNUMBER(Table1[[#This Row],[Gestation (days)]])),TRUE,FALSE)</f>
        <v>0</v>
      </c>
      <c r="E5398" s="2" t="str">
        <f>IF(Table1[[#This Row],[Is Data Valid]]=TRUE,IF(Table1[[#This Row],[Fetal Sex (Male, Female or Unknown)]]="Male",Backend!$C$6,IF(Table1[[#This Row],[Fetal Sex (Male, Female or Unknown)]]="Female",Backend!$C$7,IF(Table1[[#This Row],[Fetal Sex (Male, Female or Unknown)]]="Unknown",Backend!$C$8,"Error"))),"")</f>
        <v/>
      </c>
      <c r="F5398" s="8" t="str">
        <f>IF(Table1[[#This Row],[Is Data Valid]]=TRUE,EXP(0.578+0.332*((Table1[[#This Row],[Gestation (days)]]+0.5)/7)-0.00354*((Table1[[#This Row],[Gestation (days)]]+0.5)/7)^2)*Table1[[#This Row],[BW40_3705]],"")</f>
        <v/>
      </c>
      <c r="G5398" s="2" t="str">
        <f>IF(Table1[[#This Row],[Is Data Valid]]=TRUE,((Table1[[#This Row],[Birthweight (grams)]]/Table1[[#This Row],[BW_GA]])-1)/(Backend!$B$4/100*Table1[[#This Row],[BW40_3705]]),"")</f>
        <v/>
      </c>
      <c r="H5398" s="7" t="str">
        <f>IF(Table1[[#This Row],[Is Data Valid]]=TRUE,((Table1[[#This Row],[Birthweight (grams)]]*0.9/Table1[[#This Row],[BW_GA]])-1)/(Backend!$B$4/100*Table1[[#This Row],[BW40_3705]]),"")</f>
        <v/>
      </c>
      <c r="I5398" s="7" t="str">
        <f>IF(Table1[[#This Row],[Is Data Valid]]=TRUE,((Table1[[#This Row],[Birthweight (grams)]]*1.1/Table1[[#This Row],[BW_GA]])-1)/(Backend!$B$4/100*Table1[[#This Row],[BW40_3705]]),"")</f>
        <v/>
      </c>
      <c r="J5398" s="7" t="str">
        <f>IF(Table1[[#This Row],[Is Data Valid]]=TRUE,_xlfn.NORM.S.DIST(Table1[[#This Row],[Birthweight Z-Score]],TRUE)*100,"")</f>
        <v/>
      </c>
      <c r="K5398" s="7" t="str">
        <f>IF(Table1[[#This Row],[Is Data Valid]]=TRUE,_xlfn.NORM.S.DIST(Table1[[#This Row],[Birthweight Z-Score (BW-10%)]],TRUE)*100,"")</f>
        <v/>
      </c>
      <c r="L5398" s="7" t="str">
        <f>IF(Table1[[#This Row],[Is Data Valid]]=TRUE,_xlfn.NORM.S.DIST(Table1[[#This Row],[Birthweight Z-Score (BW+10%)]],TRUE)*100,"")</f>
        <v/>
      </c>
    </row>
    <row r="5399" spans="1:12" x14ac:dyDescent="0.35">
      <c r="A5399" s="3"/>
      <c r="B5399" s="2"/>
      <c r="C5399" s="2"/>
      <c r="D5399" s="2" t="b">
        <f>IF(AND(NOT(ISBLANK(Table1[[#This Row],[Fetal Sex (Male, Female or Unknown)]])),ISNUMBER(Table1[[#This Row],[Birthweight (grams)]]),ISNUMBER(Table1[[#This Row],[Gestation (days)]])),TRUE,FALSE)</f>
        <v>0</v>
      </c>
      <c r="E5399" s="2" t="str">
        <f>IF(Table1[[#This Row],[Is Data Valid]]=TRUE,IF(Table1[[#This Row],[Fetal Sex (Male, Female or Unknown)]]="Male",Backend!$C$6,IF(Table1[[#This Row],[Fetal Sex (Male, Female or Unknown)]]="Female",Backend!$C$7,IF(Table1[[#This Row],[Fetal Sex (Male, Female or Unknown)]]="Unknown",Backend!$C$8,"Error"))),"")</f>
        <v/>
      </c>
      <c r="F5399" s="8" t="str">
        <f>IF(Table1[[#This Row],[Is Data Valid]]=TRUE,EXP(0.578+0.332*((Table1[[#This Row],[Gestation (days)]]+0.5)/7)-0.00354*((Table1[[#This Row],[Gestation (days)]]+0.5)/7)^2)*Table1[[#This Row],[BW40_3705]],"")</f>
        <v/>
      </c>
      <c r="G5399" s="2" t="str">
        <f>IF(Table1[[#This Row],[Is Data Valid]]=TRUE,((Table1[[#This Row],[Birthweight (grams)]]/Table1[[#This Row],[BW_GA]])-1)/(Backend!$B$4/100*Table1[[#This Row],[BW40_3705]]),"")</f>
        <v/>
      </c>
      <c r="H5399" s="7" t="str">
        <f>IF(Table1[[#This Row],[Is Data Valid]]=TRUE,((Table1[[#This Row],[Birthweight (grams)]]*0.9/Table1[[#This Row],[BW_GA]])-1)/(Backend!$B$4/100*Table1[[#This Row],[BW40_3705]]),"")</f>
        <v/>
      </c>
      <c r="I5399" s="7" t="str">
        <f>IF(Table1[[#This Row],[Is Data Valid]]=TRUE,((Table1[[#This Row],[Birthweight (grams)]]*1.1/Table1[[#This Row],[BW_GA]])-1)/(Backend!$B$4/100*Table1[[#This Row],[BW40_3705]]),"")</f>
        <v/>
      </c>
      <c r="J5399" s="7" t="str">
        <f>IF(Table1[[#This Row],[Is Data Valid]]=TRUE,_xlfn.NORM.S.DIST(Table1[[#This Row],[Birthweight Z-Score]],TRUE)*100,"")</f>
        <v/>
      </c>
      <c r="K5399" s="7" t="str">
        <f>IF(Table1[[#This Row],[Is Data Valid]]=TRUE,_xlfn.NORM.S.DIST(Table1[[#This Row],[Birthweight Z-Score (BW-10%)]],TRUE)*100,"")</f>
        <v/>
      </c>
      <c r="L5399" s="7" t="str">
        <f>IF(Table1[[#This Row],[Is Data Valid]]=TRUE,_xlfn.NORM.S.DIST(Table1[[#This Row],[Birthweight Z-Score (BW+10%)]],TRUE)*100,"")</f>
        <v/>
      </c>
    </row>
    <row r="5400" spans="1:12" x14ac:dyDescent="0.35">
      <c r="A5400" s="3"/>
      <c r="B5400" s="2"/>
      <c r="C5400" s="2"/>
      <c r="D5400" s="2" t="b">
        <f>IF(AND(NOT(ISBLANK(Table1[[#This Row],[Fetal Sex (Male, Female or Unknown)]])),ISNUMBER(Table1[[#This Row],[Birthweight (grams)]]),ISNUMBER(Table1[[#This Row],[Gestation (days)]])),TRUE,FALSE)</f>
        <v>0</v>
      </c>
      <c r="E5400" s="2" t="str">
        <f>IF(Table1[[#This Row],[Is Data Valid]]=TRUE,IF(Table1[[#This Row],[Fetal Sex (Male, Female or Unknown)]]="Male",Backend!$C$6,IF(Table1[[#This Row],[Fetal Sex (Male, Female or Unknown)]]="Female",Backend!$C$7,IF(Table1[[#This Row],[Fetal Sex (Male, Female or Unknown)]]="Unknown",Backend!$C$8,"Error"))),"")</f>
        <v/>
      </c>
      <c r="F5400" s="8" t="str">
        <f>IF(Table1[[#This Row],[Is Data Valid]]=TRUE,EXP(0.578+0.332*((Table1[[#This Row],[Gestation (days)]]+0.5)/7)-0.00354*((Table1[[#This Row],[Gestation (days)]]+0.5)/7)^2)*Table1[[#This Row],[BW40_3705]],"")</f>
        <v/>
      </c>
      <c r="G5400" s="2" t="str">
        <f>IF(Table1[[#This Row],[Is Data Valid]]=TRUE,((Table1[[#This Row],[Birthweight (grams)]]/Table1[[#This Row],[BW_GA]])-1)/(Backend!$B$4/100*Table1[[#This Row],[BW40_3705]]),"")</f>
        <v/>
      </c>
      <c r="H5400" s="7" t="str">
        <f>IF(Table1[[#This Row],[Is Data Valid]]=TRUE,((Table1[[#This Row],[Birthweight (grams)]]*0.9/Table1[[#This Row],[BW_GA]])-1)/(Backend!$B$4/100*Table1[[#This Row],[BW40_3705]]),"")</f>
        <v/>
      </c>
      <c r="I5400" s="7" t="str">
        <f>IF(Table1[[#This Row],[Is Data Valid]]=TRUE,((Table1[[#This Row],[Birthweight (grams)]]*1.1/Table1[[#This Row],[BW_GA]])-1)/(Backend!$B$4/100*Table1[[#This Row],[BW40_3705]]),"")</f>
        <v/>
      </c>
      <c r="J5400" s="7" t="str">
        <f>IF(Table1[[#This Row],[Is Data Valid]]=TRUE,_xlfn.NORM.S.DIST(Table1[[#This Row],[Birthweight Z-Score]],TRUE)*100,"")</f>
        <v/>
      </c>
      <c r="K5400" s="7" t="str">
        <f>IF(Table1[[#This Row],[Is Data Valid]]=TRUE,_xlfn.NORM.S.DIST(Table1[[#This Row],[Birthweight Z-Score (BW-10%)]],TRUE)*100,"")</f>
        <v/>
      </c>
      <c r="L5400" s="7" t="str">
        <f>IF(Table1[[#This Row],[Is Data Valid]]=TRUE,_xlfn.NORM.S.DIST(Table1[[#This Row],[Birthweight Z-Score (BW+10%)]],TRUE)*100,"")</f>
        <v/>
      </c>
    </row>
    <row r="5401" spans="1:12" x14ac:dyDescent="0.35">
      <c r="A5401" s="3"/>
      <c r="B5401" s="2"/>
      <c r="C5401" s="2"/>
      <c r="D5401" s="2" t="b">
        <f>IF(AND(NOT(ISBLANK(Table1[[#This Row],[Fetal Sex (Male, Female or Unknown)]])),ISNUMBER(Table1[[#This Row],[Birthweight (grams)]]),ISNUMBER(Table1[[#This Row],[Gestation (days)]])),TRUE,FALSE)</f>
        <v>0</v>
      </c>
      <c r="E5401" s="2" t="str">
        <f>IF(Table1[[#This Row],[Is Data Valid]]=TRUE,IF(Table1[[#This Row],[Fetal Sex (Male, Female or Unknown)]]="Male",Backend!$C$6,IF(Table1[[#This Row],[Fetal Sex (Male, Female or Unknown)]]="Female",Backend!$C$7,IF(Table1[[#This Row],[Fetal Sex (Male, Female or Unknown)]]="Unknown",Backend!$C$8,"Error"))),"")</f>
        <v/>
      </c>
      <c r="F5401" s="8" t="str">
        <f>IF(Table1[[#This Row],[Is Data Valid]]=TRUE,EXP(0.578+0.332*((Table1[[#This Row],[Gestation (days)]]+0.5)/7)-0.00354*((Table1[[#This Row],[Gestation (days)]]+0.5)/7)^2)*Table1[[#This Row],[BW40_3705]],"")</f>
        <v/>
      </c>
      <c r="G5401" s="2" t="str">
        <f>IF(Table1[[#This Row],[Is Data Valid]]=TRUE,((Table1[[#This Row],[Birthweight (grams)]]/Table1[[#This Row],[BW_GA]])-1)/(Backend!$B$4/100*Table1[[#This Row],[BW40_3705]]),"")</f>
        <v/>
      </c>
      <c r="H5401" s="7" t="str">
        <f>IF(Table1[[#This Row],[Is Data Valid]]=TRUE,((Table1[[#This Row],[Birthweight (grams)]]*0.9/Table1[[#This Row],[BW_GA]])-1)/(Backend!$B$4/100*Table1[[#This Row],[BW40_3705]]),"")</f>
        <v/>
      </c>
      <c r="I5401" s="7" t="str">
        <f>IF(Table1[[#This Row],[Is Data Valid]]=TRUE,((Table1[[#This Row],[Birthweight (grams)]]*1.1/Table1[[#This Row],[BW_GA]])-1)/(Backend!$B$4/100*Table1[[#This Row],[BW40_3705]]),"")</f>
        <v/>
      </c>
      <c r="J5401" s="7" t="str">
        <f>IF(Table1[[#This Row],[Is Data Valid]]=TRUE,_xlfn.NORM.S.DIST(Table1[[#This Row],[Birthweight Z-Score]],TRUE)*100,"")</f>
        <v/>
      </c>
      <c r="K5401" s="7" t="str">
        <f>IF(Table1[[#This Row],[Is Data Valid]]=TRUE,_xlfn.NORM.S.DIST(Table1[[#This Row],[Birthweight Z-Score (BW-10%)]],TRUE)*100,"")</f>
        <v/>
      </c>
      <c r="L5401" s="7" t="str">
        <f>IF(Table1[[#This Row],[Is Data Valid]]=TRUE,_xlfn.NORM.S.DIST(Table1[[#This Row],[Birthweight Z-Score (BW+10%)]],TRUE)*100,"")</f>
        <v/>
      </c>
    </row>
    <row r="5402" spans="1:12" x14ac:dyDescent="0.35">
      <c r="A5402" s="3"/>
      <c r="B5402" s="2"/>
      <c r="C5402" s="2"/>
      <c r="D5402" s="2" t="b">
        <f>IF(AND(NOT(ISBLANK(Table1[[#This Row],[Fetal Sex (Male, Female or Unknown)]])),ISNUMBER(Table1[[#This Row],[Birthweight (grams)]]),ISNUMBER(Table1[[#This Row],[Gestation (days)]])),TRUE,FALSE)</f>
        <v>0</v>
      </c>
      <c r="E5402" s="2" t="str">
        <f>IF(Table1[[#This Row],[Is Data Valid]]=TRUE,IF(Table1[[#This Row],[Fetal Sex (Male, Female or Unknown)]]="Male",Backend!$C$6,IF(Table1[[#This Row],[Fetal Sex (Male, Female or Unknown)]]="Female",Backend!$C$7,IF(Table1[[#This Row],[Fetal Sex (Male, Female or Unknown)]]="Unknown",Backend!$C$8,"Error"))),"")</f>
        <v/>
      </c>
      <c r="F5402" s="8" t="str">
        <f>IF(Table1[[#This Row],[Is Data Valid]]=TRUE,EXP(0.578+0.332*((Table1[[#This Row],[Gestation (days)]]+0.5)/7)-0.00354*((Table1[[#This Row],[Gestation (days)]]+0.5)/7)^2)*Table1[[#This Row],[BW40_3705]],"")</f>
        <v/>
      </c>
      <c r="G5402" s="2" t="str">
        <f>IF(Table1[[#This Row],[Is Data Valid]]=TRUE,((Table1[[#This Row],[Birthweight (grams)]]/Table1[[#This Row],[BW_GA]])-1)/(Backend!$B$4/100*Table1[[#This Row],[BW40_3705]]),"")</f>
        <v/>
      </c>
      <c r="H5402" s="7" t="str">
        <f>IF(Table1[[#This Row],[Is Data Valid]]=TRUE,((Table1[[#This Row],[Birthweight (grams)]]*0.9/Table1[[#This Row],[BW_GA]])-1)/(Backend!$B$4/100*Table1[[#This Row],[BW40_3705]]),"")</f>
        <v/>
      </c>
      <c r="I5402" s="7" t="str">
        <f>IF(Table1[[#This Row],[Is Data Valid]]=TRUE,((Table1[[#This Row],[Birthweight (grams)]]*1.1/Table1[[#This Row],[BW_GA]])-1)/(Backend!$B$4/100*Table1[[#This Row],[BW40_3705]]),"")</f>
        <v/>
      </c>
      <c r="J5402" s="7" t="str">
        <f>IF(Table1[[#This Row],[Is Data Valid]]=TRUE,_xlfn.NORM.S.DIST(Table1[[#This Row],[Birthweight Z-Score]],TRUE)*100,"")</f>
        <v/>
      </c>
      <c r="K5402" s="7" t="str">
        <f>IF(Table1[[#This Row],[Is Data Valid]]=TRUE,_xlfn.NORM.S.DIST(Table1[[#This Row],[Birthweight Z-Score (BW-10%)]],TRUE)*100,"")</f>
        <v/>
      </c>
      <c r="L5402" s="7" t="str">
        <f>IF(Table1[[#This Row],[Is Data Valid]]=TRUE,_xlfn.NORM.S.DIST(Table1[[#This Row],[Birthweight Z-Score (BW+10%)]],TRUE)*100,"")</f>
        <v/>
      </c>
    </row>
    <row r="5403" spans="1:12" x14ac:dyDescent="0.35">
      <c r="A5403" s="3"/>
      <c r="B5403" s="2"/>
      <c r="C5403" s="2"/>
      <c r="D5403" s="2" t="b">
        <f>IF(AND(NOT(ISBLANK(Table1[[#This Row],[Fetal Sex (Male, Female or Unknown)]])),ISNUMBER(Table1[[#This Row],[Birthweight (grams)]]),ISNUMBER(Table1[[#This Row],[Gestation (days)]])),TRUE,FALSE)</f>
        <v>0</v>
      </c>
      <c r="E5403" s="2" t="str">
        <f>IF(Table1[[#This Row],[Is Data Valid]]=TRUE,IF(Table1[[#This Row],[Fetal Sex (Male, Female or Unknown)]]="Male",Backend!$C$6,IF(Table1[[#This Row],[Fetal Sex (Male, Female or Unknown)]]="Female",Backend!$C$7,IF(Table1[[#This Row],[Fetal Sex (Male, Female or Unknown)]]="Unknown",Backend!$C$8,"Error"))),"")</f>
        <v/>
      </c>
      <c r="F5403" s="8" t="str">
        <f>IF(Table1[[#This Row],[Is Data Valid]]=TRUE,EXP(0.578+0.332*((Table1[[#This Row],[Gestation (days)]]+0.5)/7)-0.00354*((Table1[[#This Row],[Gestation (days)]]+0.5)/7)^2)*Table1[[#This Row],[BW40_3705]],"")</f>
        <v/>
      </c>
      <c r="G5403" s="2" t="str">
        <f>IF(Table1[[#This Row],[Is Data Valid]]=TRUE,((Table1[[#This Row],[Birthweight (grams)]]/Table1[[#This Row],[BW_GA]])-1)/(Backend!$B$4/100*Table1[[#This Row],[BW40_3705]]),"")</f>
        <v/>
      </c>
      <c r="H5403" s="7" t="str">
        <f>IF(Table1[[#This Row],[Is Data Valid]]=TRUE,((Table1[[#This Row],[Birthweight (grams)]]*0.9/Table1[[#This Row],[BW_GA]])-1)/(Backend!$B$4/100*Table1[[#This Row],[BW40_3705]]),"")</f>
        <v/>
      </c>
      <c r="I5403" s="7" t="str">
        <f>IF(Table1[[#This Row],[Is Data Valid]]=TRUE,((Table1[[#This Row],[Birthweight (grams)]]*1.1/Table1[[#This Row],[BW_GA]])-1)/(Backend!$B$4/100*Table1[[#This Row],[BW40_3705]]),"")</f>
        <v/>
      </c>
      <c r="J5403" s="7" t="str">
        <f>IF(Table1[[#This Row],[Is Data Valid]]=TRUE,_xlfn.NORM.S.DIST(Table1[[#This Row],[Birthweight Z-Score]],TRUE)*100,"")</f>
        <v/>
      </c>
      <c r="K5403" s="7" t="str">
        <f>IF(Table1[[#This Row],[Is Data Valid]]=TRUE,_xlfn.NORM.S.DIST(Table1[[#This Row],[Birthweight Z-Score (BW-10%)]],TRUE)*100,"")</f>
        <v/>
      </c>
      <c r="L5403" s="7" t="str">
        <f>IF(Table1[[#This Row],[Is Data Valid]]=TRUE,_xlfn.NORM.S.DIST(Table1[[#This Row],[Birthweight Z-Score (BW+10%)]],TRUE)*100,"")</f>
        <v/>
      </c>
    </row>
    <row r="5404" spans="1:12" x14ac:dyDescent="0.35">
      <c r="A5404" s="3"/>
      <c r="B5404" s="2"/>
      <c r="C5404" s="2"/>
      <c r="D5404" s="2" t="b">
        <f>IF(AND(NOT(ISBLANK(Table1[[#This Row],[Fetal Sex (Male, Female or Unknown)]])),ISNUMBER(Table1[[#This Row],[Birthweight (grams)]]),ISNUMBER(Table1[[#This Row],[Gestation (days)]])),TRUE,FALSE)</f>
        <v>0</v>
      </c>
      <c r="E5404" s="2" t="str">
        <f>IF(Table1[[#This Row],[Is Data Valid]]=TRUE,IF(Table1[[#This Row],[Fetal Sex (Male, Female or Unknown)]]="Male",Backend!$C$6,IF(Table1[[#This Row],[Fetal Sex (Male, Female or Unknown)]]="Female",Backend!$C$7,IF(Table1[[#This Row],[Fetal Sex (Male, Female or Unknown)]]="Unknown",Backend!$C$8,"Error"))),"")</f>
        <v/>
      </c>
      <c r="F5404" s="8" t="str">
        <f>IF(Table1[[#This Row],[Is Data Valid]]=TRUE,EXP(0.578+0.332*((Table1[[#This Row],[Gestation (days)]]+0.5)/7)-0.00354*((Table1[[#This Row],[Gestation (days)]]+0.5)/7)^2)*Table1[[#This Row],[BW40_3705]],"")</f>
        <v/>
      </c>
      <c r="G5404" s="2" t="str">
        <f>IF(Table1[[#This Row],[Is Data Valid]]=TRUE,((Table1[[#This Row],[Birthweight (grams)]]/Table1[[#This Row],[BW_GA]])-1)/(Backend!$B$4/100*Table1[[#This Row],[BW40_3705]]),"")</f>
        <v/>
      </c>
      <c r="H5404" s="7" t="str">
        <f>IF(Table1[[#This Row],[Is Data Valid]]=TRUE,((Table1[[#This Row],[Birthweight (grams)]]*0.9/Table1[[#This Row],[BW_GA]])-1)/(Backend!$B$4/100*Table1[[#This Row],[BW40_3705]]),"")</f>
        <v/>
      </c>
      <c r="I5404" s="7" t="str">
        <f>IF(Table1[[#This Row],[Is Data Valid]]=TRUE,((Table1[[#This Row],[Birthweight (grams)]]*1.1/Table1[[#This Row],[BW_GA]])-1)/(Backend!$B$4/100*Table1[[#This Row],[BW40_3705]]),"")</f>
        <v/>
      </c>
      <c r="J5404" s="7" t="str">
        <f>IF(Table1[[#This Row],[Is Data Valid]]=TRUE,_xlfn.NORM.S.DIST(Table1[[#This Row],[Birthweight Z-Score]],TRUE)*100,"")</f>
        <v/>
      </c>
      <c r="K5404" s="7" t="str">
        <f>IF(Table1[[#This Row],[Is Data Valid]]=TRUE,_xlfn.NORM.S.DIST(Table1[[#This Row],[Birthweight Z-Score (BW-10%)]],TRUE)*100,"")</f>
        <v/>
      </c>
      <c r="L5404" s="7" t="str">
        <f>IF(Table1[[#This Row],[Is Data Valid]]=TRUE,_xlfn.NORM.S.DIST(Table1[[#This Row],[Birthweight Z-Score (BW+10%)]],TRUE)*100,"")</f>
        <v/>
      </c>
    </row>
    <row r="5405" spans="1:12" x14ac:dyDescent="0.35">
      <c r="A5405" s="3"/>
      <c r="B5405" s="2"/>
      <c r="C5405" s="2"/>
      <c r="D5405" s="2" t="b">
        <f>IF(AND(NOT(ISBLANK(Table1[[#This Row],[Fetal Sex (Male, Female or Unknown)]])),ISNUMBER(Table1[[#This Row],[Birthweight (grams)]]),ISNUMBER(Table1[[#This Row],[Gestation (days)]])),TRUE,FALSE)</f>
        <v>0</v>
      </c>
      <c r="E5405" s="2" t="str">
        <f>IF(Table1[[#This Row],[Is Data Valid]]=TRUE,IF(Table1[[#This Row],[Fetal Sex (Male, Female or Unknown)]]="Male",Backend!$C$6,IF(Table1[[#This Row],[Fetal Sex (Male, Female or Unknown)]]="Female",Backend!$C$7,IF(Table1[[#This Row],[Fetal Sex (Male, Female or Unknown)]]="Unknown",Backend!$C$8,"Error"))),"")</f>
        <v/>
      </c>
      <c r="F5405" s="8" t="str">
        <f>IF(Table1[[#This Row],[Is Data Valid]]=TRUE,EXP(0.578+0.332*((Table1[[#This Row],[Gestation (days)]]+0.5)/7)-0.00354*((Table1[[#This Row],[Gestation (days)]]+0.5)/7)^2)*Table1[[#This Row],[BW40_3705]],"")</f>
        <v/>
      </c>
      <c r="G5405" s="2" t="str">
        <f>IF(Table1[[#This Row],[Is Data Valid]]=TRUE,((Table1[[#This Row],[Birthweight (grams)]]/Table1[[#This Row],[BW_GA]])-1)/(Backend!$B$4/100*Table1[[#This Row],[BW40_3705]]),"")</f>
        <v/>
      </c>
      <c r="H5405" s="7" t="str">
        <f>IF(Table1[[#This Row],[Is Data Valid]]=TRUE,((Table1[[#This Row],[Birthweight (grams)]]*0.9/Table1[[#This Row],[BW_GA]])-1)/(Backend!$B$4/100*Table1[[#This Row],[BW40_3705]]),"")</f>
        <v/>
      </c>
      <c r="I5405" s="7" t="str">
        <f>IF(Table1[[#This Row],[Is Data Valid]]=TRUE,((Table1[[#This Row],[Birthweight (grams)]]*1.1/Table1[[#This Row],[BW_GA]])-1)/(Backend!$B$4/100*Table1[[#This Row],[BW40_3705]]),"")</f>
        <v/>
      </c>
      <c r="J5405" s="7" t="str">
        <f>IF(Table1[[#This Row],[Is Data Valid]]=TRUE,_xlfn.NORM.S.DIST(Table1[[#This Row],[Birthweight Z-Score]],TRUE)*100,"")</f>
        <v/>
      </c>
      <c r="K5405" s="7" t="str">
        <f>IF(Table1[[#This Row],[Is Data Valid]]=TRUE,_xlfn.NORM.S.DIST(Table1[[#This Row],[Birthweight Z-Score (BW-10%)]],TRUE)*100,"")</f>
        <v/>
      </c>
      <c r="L5405" s="7" t="str">
        <f>IF(Table1[[#This Row],[Is Data Valid]]=TRUE,_xlfn.NORM.S.DIST(Table1[[#This Row],[Birthweight Z-Score (BW+10%)]],TRUE)*100,"")</f>
        <v/>
      </c>
    </row>
    <row r="5406" spans="1:12" x14ac:dyDescent="0.35">
      <c r="A5406" s="3"/>
      <c r="B5406" s="2"/>
      <c r="C5406" s="2"/>
      <c r="D5406" s="2" t="b">
        <f>IF(AND(NOT(ISBLANK(Table1[[#This Row],[Fetal Sex (Male, Female or Unknown)]])),ISNUMBER(Table1[[#This Row],[Birthweight (grams)]]),ISNUMBER(Table1[[#This Row],[Gestation (days)]])),TRUE,FALSE)</f>
        <v>0</v>
      </c>
      <c r="E5406" s="2" t="str">
        <f>IF(Table1[[#This Row],[Is Data Valid]]=TRUE,IF(Table1[[#This Row],[Fetal Sex (Male, Female or Unknown)]]="Male",Backend!$C$6,IF(Table1[[#This Row],[Fetal Sex (Male, Female or Unknown)]]="Female",Backend!$C$7,IF(Table1[[#This Row],[Fetal Sex (Male, Female or Unknown)]]="Unknown",Backend!$C$8,"Error"))),"")</f>
        <v/>
      </c>
      <c r="F5406" s="8" t="str">
        <f>IF(Table1[[#This Row],[Is Data Valid]]=TRUE,EXP(0.578+0.332*((Table1[[#This Row],[Gestation (days)]]+0.5)/7)-0.00354*((Table1[[#This Row],[Gestation (days)]]+0.5)/7)^2)*Table1[[#This Row],[BW40_3705]],"")</f>
        <v/>
      </c>
      <c r="G5406" s="2" t="str">
        <f>IF(Table1[[#This Row],[Is Data Valid]]=TRUE,((Table1[[#This Row],[Birthweight (grams)]]/Table1[[#This Row],[BW_GA]])-1)/(Backend!$B$4/100*Table1[[#This Row],[BW40_3705]]),"")</f>
        <v/>
      </c>
      <c r="H5406" s="7" t="str">
        <f>IF(Table1[[#This Row],[Is Data Valid]]=TRUE,((Table1[[#This Row],[Birthweight (grams)]]*0.9/Table1[[#This Row],[BW_GA]])-1)/(Backend!$B$4/100*Table1[[#This Row],[BW40_3705]]),"")</f>
        <v/>
      </c>
      <c r="I5406" s="7" t="str">
        <f>IF(Table1[[#This Row],[Is Data Valid]]=TRUE,((Table1[[#This Row],[Birthweight (grams)]]*1.1/Table1[[#This Row],[BW_GA]])-1)/(Backend!$B$4/100*Table1[[#This Row],[BW40_3705]]),"")</f>
        <v/>
      </c>
      <c r="J5406" s="7" t="str">
        <f>IF(Table1[[#This Row],[Is Data Valid]]=TRUE,_xlfn.NORM.S.DIST(Table1[[#This Row],[Birthweight Z-Score]],TRUE)*100,"")</f>
        <v/>
      </c>
      <c r="K5406" s="7" t="str">
        <f>IF(Table1[[#This Row],[Is Data Valid]]=TRUE,_xlfn.NORM.S.DIST(Table1[[#This Row],[Birthweight Z-Score (BW-10%)]],TRUE)*100,"")</f>
        <v/>
      </c>
      <c r="L5406" s="7" t="str">
        <f>IF(Table1[[#This Row],[Is Data Valid]]=TRUE,_xlfn.NORM.S.DIST(Table1[[#This Row],[Birthweight Z-Score (BW+10%)]],TRUE)*100,"")</f>
        <v/>
      </c>
    </row>
    <row r="5407" spans="1:12" x14ac:dyDescent="0.35">
      <c r="A5407" s="3"/>
      <c r="B5407" s="2"/>
      <c r="C5407" s="2"/>
      <c r="D5407" s="2" t="b">
        <f>IF(AND(NOT(ISBLANK(Table1[[#This Row],[Fetal Sex (Male, Female or Unknown)]])),ISNUMBER(Table1[[#This Row],[Birthweight (grams)]]),ISNUMBER(Table1[[#This Row],[Gestation (days)]])),TRUE,FALSE)</f>
        <v>0</v>
      </c>
      <c r="E5407" s="2" t="str">
        <f>IF(Table1[[#This Row],[Is Data Valid]]=TRUE,IF(Table1[[#This Row],[Fetal Sex (Male, Female or Unknown)]]="Male",Backend!$C$6,IF(Table1[[#This Row],[Fetal Sex (Male, Female or Unknown)]]="Female",Backend!$C$7,IF(Table1[[#This Row],[Fetal Sex (Male, Female or Unknown)]]="Unknown",Backend!$C$8,"Error"))),"")</f>
        <v/>
      </c>
      <c r="F5407" s="8" t="str">
        <f>IF(Table1[[#This Row],[Is Data Valid]]=TRUE,EXP(0.578+0.332*((Table1[[#This Row],[Gestation (days)]]+0.5)/7)-0.00354*((Table1[[#This Row],[Gestation (days)]]+0.5)/7)^2)*Table1[[#This Row],[BW40_3705]],"")</f>
        <v/>
      </c>
      <c r="G5407" s="2" t="str">
        <f>IF(Table1[[#This Row],[Is Data Valid]]=TRUE,((Table1[[#This Row],[Birthweight (grams)]]/Table1[[#This Row],[BW_GA]])-1)/(Backend!$B$4/100*Table1[[#This Row],[BW40_3705]]),"")</f>
        <v/>
      </c>
      <c r="H5407" s="7" t="str">
        <f>IF(Table1[[#This Row],[Is Data Valid]]=TRUE,((Table1[[#This Row],[Birthweight (grams)]]*0.9/Table1[[#This Row],[BW_GA]])-1)/(Backend!$B$4/100*Table1[[#This Row],[BW40_3705]]),"")</f>
        <v/>
      </c>
      <c r="I5407" s="7" t="str">
        <f>IF(Table1[[#This Row],[Is Data Valid]]=TRUE,((Table1[[#This Row],[Birthweight (grams)]]*1.1/Table1[[#This Row],[BW_GA]])-1)/(Backend!$B$4/100*Table1[[#This Row],[BW40_3705]]),"")</f>
        <v/>
      </c>
      <c r="J5407" s="7" t="str">
        <f>IF(Table1[[#This Row],[Is Data Valid]]=TRUE,_xlfn.NORM.S.DIST(Table1[[#This Row],[Birthweight Z-Score]],TRUE)*100,"")</f>
        <v/>
      </c>
      <c r="K5407" s="7" t="str">
        <f>IF(Table1[[#This Row],[Is Data Valid]]=TRUE,_xlfn.NORM.S.DIST(Table1[[#This Row],[Birthweight Z-Score (BW-10%)]],TRUE)*100,"")</f>
        <v/>
      </c>
      <c r="L5407" s="7" t="str">
        <f>IF(Table1[[#This Row],[Is Data Valid]]=TRUE,_xlfn.NORM.S.DIST(Table1[[#This Row],[Birthweight Z-Score (BW+10%)]],TRUE)*100,"")</f>
        <v/>
      </c>
    </row>
    <row r="5408" spans="1:12" x14ac:dyDescent="0.35">
      <c r="A5408" s="3"/>
      <c r="B5408" s="2"/>
      <c r="C5408" s="2"/>
      <c r="D5408" s="2" t="b">
        <f>IF(AND(NOT(ISBLANK(Table1[[#This Row],[Fetal Sex (Male, Female or Unknown)]])),ISNUMBER(Table1[[#This Row],[Birthweight (grams)]]),ISNUMBER(Table1[[#This Row],[Gestation (days)]])),TRUE,FALSE)</f>
        <v>0</v>
      </c>
      <c r="E5408" s="2" t="str">
        <f>IF(Table1[[#This Row],[Is Data Valid]]=TRUE,IF(Table1[[#This Row],[Fetal Sex (Male, Female or Unknown)]]="Male",Backend!$C$6,IF(Table1[[#This Row],[Fetal Sex (Male, Female or Unknown)]]="Female",Backend!$C$7,IF(Table1[[#This Row],[Fetal Sex (Male, Female or Unknown)]]="Unknown",Backend!$C$8,"Error"))),"")</f>
        <v/>
      </c>
      <c r="F5408" s="8" t="str">
        <f>IF(Table1[[#This Row],[Is Data Valid]]=TRUE,EXP(0.578+0.332*((Table1[[#This Row],[Gestation (days)]]+0.5)/7)-0.00354*((Table1[[#This Row],[Gestation (days)]]+0.5)/7)^2)*Table1[[#This Row],[BW40_3705]],"")</f>
        <v/>
      </c>
      <c r="G5408" s="2" t="str">
        <f>IF(Table1[[#This Row],[Is Data Valid]]=TRUE,((Table1[[#This Row],[Birthweight (grams)]]/Table1[[#This Row],[BW_GA]])-1)/(Backend!$B$4/100*Table1[[#This Row],[BW40_3705]]),"")</f>
        <v/>
      </c>
      <c r="H5408" s="7" t="str">
        <f>IF(Table1[[#This Row],[Is Data Valid]]=TRUE,((Table1[[#This Row],[Birthweight (grams)]]*0.9/Table1[[#This Row],[BW_GA]])-1)/(Backend!$B$4/100*Table1[[#This Row],[BW40_3705]]),"")</f>
        <v/>
      </c>
      <c r="I5408" s="7" t="str">
        <f>IF(Table1[[#This Row],[Is Data Valid]]=TRUE,((Table1[[#This Row],[Birthweight (grams)]]*1.1/Table1[[#This Row],[BW_GA]])-1)/(Backend!$B$4/100*Table1[[#This Row],[BW40_3705]]),"")</f>
        <v/>
      </c>
      <c r="J5408" s="7" t="str">
        <f>IF(Table1[[#This Row],[Is Data Valid]]=TRUE,_xlfn.NORM.S.DIST(Table1[[#This Row],[Birthweight Z-Score]],TRUE)*100,"")</f>
        <v/>
      </c>
      <c r="K5408" s="7" t="str">
        <f>IF(Table1[[#This Row],[Is Data Valid]]=TRUE,_xlfn.NORM.S.DIST(Table1[[#This Row],[Birthweight Z-Score (BW-10%)]],TRUE)*100,"")</f>
        <v/>
      </c>
      <c r="L5408" s="7" t="str">
        <f>IF(Table1[[#This Row],[Is Data Valid]]=TRUE,_xlfn.NORM.S.DIST(Table1[[#This Row],[Birthweight Z-Score (BW+10%)]],TRUE)*100,"")</f>
        <v/>
      </c>
    </row>
    <row r="5409" spans="1:12" x14ac:dyDescent="0.35">
      <c r="A5409" s="3"/>
      <c r="B5409" s="2"/>
      <c r="C5409" s="2"/>
      <c r="D5409" s="2" t="b">
        <f>IF(AND(NOT(ISBLANK(Table1[[#This Row],[Fetal Sex (Male, Female or Unknown)]])),ISNUMBER(Table1[[#This Row],[Birthweight (grams)]]),ISNUMBER(Table1[[#This Row],[Gestation (days)]])),TRUE,FALSE)</f>
        <v>0</v>
      </c>
      <c r="E5409" s="2" t="str">
        <f>IF(Table1[[#This Row],[Is Data Valid]]=TRUE,IF(Table1[[#This Row],[Fetal Sex (Male, Female or Unknown)]]="Male",Backend!$C$6,IF(Table1[[#This Row],[Fetal Sex (Male, Female or Unknown)]]="Female",Backend!$C$7,IF(Table1[[#This Row],[Fetal Sex (Male, Female or Unknown)]]="Unknown",Backend!$C$8,"Error"))),"")</f>
        <v/>
      </c>
      <c r="F5409" s="8" t="str">
        <f>IF(Table1[[#This Row],[Is Data Valid]]=TRUE,EXP(0.578+0.332*((Table1[[#This Row],[Gestation (days)]]+0.5)/7)-0.00354*((Table1[[#This Row],[Gestation (days)]]+0.5)/7)^2)*Table1[[#This Row],[BW40_3705]],"")</f>
        <v/>
      </c>
      <c r="G5409" s="2" t="str">
        <f>IF(Table1[[#This Row],[Is Data Valid]]=TRUE,((Table1[[#This Row],[Birthweight (grams)]]/Table1[[#This Row],[BW_GA]])-1)/(Backend!$B$4/100*Table1[[#This Row],[BW40_3705]]),"")</f>
        <v/>
      </c>
      <c r="H5409" s="7" t="str">
        <f>IF(Table1[[#This Row],[Is Data Valid]]=TRUE,((Table1[[#This Row],[Birthweight (grams)]]*0.9/Table1[[#This Row],[BW_GA]])-1)/(Backend!$B$4/100*Table1[[#This Row],[BW40_3705]]),"")</f>
        <v/>
      </c>
      <c r="I5409" s="7" t="str">
        <f>IF(Table1[[#This Row],[Is Data Valid]]=TRUE,((Table1[[#This Row],[Birthweight (grams)]]*1.1/Table1[[#This Row],[BW_GA]])-1)/(Backend!$B$4/100*Table1[[#This Row],[BW40_3705]]),"")</f>
        <v/>
      </c>
      <c r="J5409" s="7" t="str">
        <f>IF(Table1[[#This Row],[Is Data Valid]]=TRUE,_xlfn.NORM.S.DIST(Table1[[#This Row],[Birthweight Z-Score]],TRUE)*100,"")</f>
        <v/>
      </c>
      <c r="K5409" s="7" t="str">
        <f>IF(Table1[[#This Row],[Is Data Valid]]=TRUE,_xlfn.NORM.S.DIST(Table1[[#This Row],[Birthweight Z-Score (BW-10%)]],TRUE)*100,"")</f>
        <v/>
      </c>
      <c r="L5409" s="7" t="str">
        <f>IF(Table1[[#This Row],[Is Data Valid]]=TRUE,_xlfn.NORM.S.DIST(Table1[[#This Row],[Birthweight Z-Score (BW+10%)]],TRUE)*100,"")</f>
        <v/>
      </c>
    </row>
    <row r="5410" spans="1:12" x14ac:dyDescent="0.35">
      <c r="A5410" s="3"/>
      <c r="B5410" s="2"/>
      <c r="C5410" s="2"/>
      <c r="D5410" s="2" t="b">
        <f>IF(AND(NOT(ISBLANK(Table1[[#This Row],[Fetal Sex (Male, Female or Unknown)]])),ISNUMBER(Table1[[#This Row],[Birthweight (grams)]]),ISNUMBER(Table1[[#This Row],[Gestation (days)]])),TRUE,FALSE)</f>
        <v>0</v>
      </c>
      <c r="E5410" s="2" t="str">
        <f>IF(Table1[[#This Row],[Is Data Valid]]=TRUE,IF(Table1[[#This Row],[Fetal Sex (Male, Female or Unknown)]]="Male",Backend!$C$6,IF(Table1[[#This Row],[Fetal Sex (Male, Female or Unknown)]]="Female",Backend!$C$7,IF(Table1[[#This Row],[Fetal Sex (Male, Female or Unknown)]]="Unknown",Backend!$C$8,"Error"))),"")</f>
        <v/>
      </c>
      <c r="F5410" s="8" t="str">
        <f>IF(Table1[[#This Row],[Is Data Valid]]=TRUE,EXP(0.578+0.332*((Table1[[#This Row],[Gestation (days)]]+0.5)/7)-0.00354*((Table1[[#This Row],[Gestation (days)]]+0.5)/7)^2)*Table1[[#This Row],[BW40_3705]],"")</f>
        <v/>
      </c>
      <c r="G5410" s="2" t="str">
        <f>IF(Table1[[#This Row],[Is Data Valid]]=TRUE,((Table1[[#This Row],[Birthweight (grams)]]/Table1[[#This Row],[BW_GA]])-1)/(Backend!$B$4/100*Table1[[#This Row],[BW40_3705]]),"")</f>
        <v/>
      </c>
      <c r="H5410" s="7" t="str">
        <f>IF(Table1[[#This Row],[Is Data Valid]]=TRUE,((Table1[[#This Row],[Birthweight (grams)]]*0.9/Table1[[#This Row],[BW_GA]])-1)/(Backend!$B$4/100*Table1[[#This Row],[BW40_3705]]),"")</f>
        <v/>
      </c>
      <c r="I5410" s="7" t="str">
        <f>IF(Table1[[#This Row],[Is Data Valid]]=TRUE,((Table1[[#This Row],[Birthweight (grams)]]*1.1/Table1[[#This Row],[BW_GA]])-1)/(Backend!$B$4/100*Table1[[#This Row],[BW40_3705]]),"")</f>
        <v/>
      </c>
      <c r="J5410" s="7" t="str">
        <f>IF(Table1[[#This Row],[Is Data Valid]]=TRUE,_xlfn.NORM.S.DIST(Table1[[#This Row],[Birthweight Z-Score]],TRUE)*100,"")</f>
        <v/>
      </c>
      <c r="K5410" s="7" t="str">
        <f>IF(Table1[[#This Row],[Is Data Valid]]=TRUE,_xlfn.NORM.S.DIST(Table1[[#This Row],[Birthweight Z-Score (BW-10%)]],TRUE)*100,"")</f>
        <v/>
      </c>
      <c r="L5410" s="7" t="str">
        <f>IF(Table1[[#This Row],[Is Data Valid]]=TRUE,_xlfn.NORM.S.DIST(Table1[[#This Row],[Birthweight Z-Score (BW+10%)]],TRUE)*100,"")</f>
        <v/>
      </c>
    </row>
    <row r="5411" spans="1:12" x14ac:dyDescent="0.35">
      <c r="A5411" s="3"/>
      <c r="B5411" s="2"/>
      <c r="C5411" s="2"/>
      <c r="D5411" s="2" t="b">
        <f>IF(AND(NOT(ISBLANK(Table1[[#This Row],[Fetal Sex (Male, Female or Unknown)]])),ISNUMBER(Table1[[#This Row],[Birthweight (grams)]]),ISNUMBER(Table1[[#This Row],[Gestation (days)]])),TRUE,FALSE)</f>
        <v>0</v>
      </c>
      <c r="E5411" s="2" t="str">
        <f>IF(Table1[[#This Row],[Is Data Valid]]=TRUE,IF(Table1[[#This Row],[Fetal Sex (Male, Female or Unknown)]]="Male",Backend!$C$6,IF(Table1[[#This Row],[Fetal Sex (Male, Female or Unknown)]]="Female",Backend!$C$7,IF(Table1[[#This Row],[Fetal Sex (Male, Female or Unknown)]]="Unknown",Backend!$C$8,"Error"))),"")</f>
        <v/>
      </c>
      <c r="F5411" s="8" t="str">
        <f>IF(Table1[[#This Row],[Is Data Valid]]=TRUE,EXP(0.578+0.332*((Table1[[#This Row],[Gestation (days)]]+0.5)/7)-0.00354*((Table1[[#This Row],[Gestation (days)]]+0.5)/7)^2)*Table1[[#This Row],[BW40_3705]],"")</f>
        <v/>
      </c>
      <c r="G5411" s="2" t="str">
        <f>IF(Table1[[#This Row],[Is Data Valid]]=TRUE,((Table1[[#This Row],[Birthweight (grams)]]/Table1[[#This Row],[BW_GA]])-1)/(Backend!$B$4/100*Table1[[#This Row],[BW40_3705]]),"")</f>
        <v/>
      </c>
      <c r="H5411" s="7" t="str">
        <f>IF(Table1[[#This Row],[Is Data Valid]]=TRUE,((Table1[[#This Row],[Birthweight (grams)]]*0.9/Table1[[#This Row],[BW_GA]])-1)/(Backend!$B$4/100*Table1[[#This Row],[BW40_3705]]),"")</f>
        <v/>
      </c>
      <c r="I5411" s="7" t="str">
        <f>IF(Table1[[#This Row],[Is Data Valid]]=TRUE,((Table1[[#This Row],[Birthweight (grams)]]*1.1/Table1[[#This Row],[BW_GA]])-1)/(Backend!$B$4/100*Table1[[#This Row],[BW40_3705]]),"")</f>
        <v/>
      </c>
      <c r="J5411" s="7" t="str">
        <f>IF(Table1[[#This Row],[Is Data Valid]]=TRUE,_xlfn.NORM.S.DIST(Table1[[#This Row],[Birthweight Z-Score]],TRUE)*100,"")</f>
        <v/>
      </c>
      <c r="K5411" s="7" t="str">
        <f>IF(Table1[[#This Row],[Is Data Valid]]=TRUE,_xlfn.NORM.S.DIST(Table1[[#This Row],[Birthweight Z-Score (BW-10%)]],TRUE)*100,"")</f>
        <v/>
      </c>
      <c r="L5411" s="7" t="str">
        <f>IF(Table1[[#This Row],[Is Data Valid]]=TRUE,_xlfn.NORM.S.DIST(Table1[[#This Row],[Birthweight Z-Score (BW+10%)]],TRUE)*100,"")</f>
        <v/>
      </c>
    </row>
    <row r="5412" spans="1:12" x14ac:dyDescent="0.35">
      <c r="A5412" s="3"/>
      <c r="B5412" s="2"/>
      <c r="C5412" s="2"/>
      <c r="D5412" s="2" t="b">
        <f>IF(AND(NOT(ISBLANK(Table1[[#This Row],[Fetal Sex (Male, Female or Unknown)]])),ISNUMBER(Table1[[#This Row],[Birthweight (grams)]]),ISNUMBER(Table1[[#This Row],[Gestation (days)]])),TRUE,FALSE)</f>
        <v>0</v>
      </c>
      <c r="E5412" s="2" t="str">
        <f>IF(Table1[[#This Row],[Is Data Valid]]=TRUE,IF(Table1[[#This Row],[Fetal Sex (Male, Female or Unknown)]]="Male",Backend!$C$6,IF(Table1[[#This Row],[Fetal Sex (Male, Female or Unknown)]]="Female",Backend!$C$7,IF(Table1[[#This Row],[Fetal Sex (Male, Female or Unknown)]]="Unknown",Backend!$C$8,"Error"))),"")</f>
        <v/>
      </c>
      <c r="F5412" s="8" t="str">
        <f>IF(Table1[[#This Row],[Is Data Valid]]=TRUE,EXP(0.578+0.332*((Table1[[#This Row],[Gestation (days)]]+0.5)/7)-0.00354*((Table1[[#This Row],[Gestation (days)]]+0.5)/7)^2)*Table1[[#This Row],[BW40_3705]],"")</f>
        <v/>
      </c>
      <c r="G5412" s="2" t="str">
        <f>IF(Table1[[#This Row],[Is Data Valid]]=TRUE,((Table1[[#This Row],[Birthweight (grams)]]/Table1[[#This Row],[BW_GA]])-1)/(Backend!$B$4/100*Table1[[#This Row],[BW40_3705]]),"")</f>
        <v/>
      </c>
      <c r="H5412" s="7" t="str">
        <f>IF(Table1[[#This Row],[Is Data Valid]]=TRUE,((Table1[[#This Row],[Birthweight (grams)]]*0.9/Table1[[#This Row],[BW_GA]])-1)/(Backend!$B$4/100*Table1[[#This Row],[BW40_3705]]),"")</f>
        <v/>
      </c>
      <c r="I5412" s="7" t="str">
        <f>IF(Table1[[#This Row],[Is Data Valid]]=TRUE,((Table1[[#This Row],[Birthweight (grams)]]*1.1/Table1[[#This Row],[BW_GA]])-1)/(Backend!$B$4/100*Table1[[#This Row],[BW40_3705]]),"")</f>
        <v/>
      </c>
      <c r="J5412" s="7" t="str">
        <f>IF(Table1[[#This Row],[Is Data Valid]]=TRUE,_xlfn.NORM.S.DIST(Table1[[#This Row],[Birthweight Z-Score]],TRUE)*100,"")</f>
        <v/>
      </c>
      <c r="K5412" s="7" t="str">
        <f>IF(Table1[[#This Row],[Is Data Valid]]=TRUE,_xlfn.NORM.S.DIST(Table1[[#This Row],[Birthweight Z-Score (BW-10%)]],TRUE)*100,"")</f>
        <v/>
      </c>
      <c r="L5412" s="7" t="str">
        <f>IF(Table1[[#This Row],[Is Data Valid]]=TRUE,_xlfn.NORM.S.DIST(Table1[[#This Row],[Birthweight Z-Score (BW+10%)]],TRUE)*100,"")</f>
        <v/>
      </c>
    </row>
    <row r="5413" spans="1:12" x14ac:dyDescent="0.35">
      <c r="A5413" s="3"/>
      <c r="B5413" s="2"/>
      <c r="C5413" s="2"/>
      <c r="D5413" s="2" t="b">
        <f>IF(AND(NOT(ISBLANK(Table1[[#This Row],[Fetal Sex (Male, Female or Unknown)]])),ISNUMBER(Table1[[#This Row],[Birthweight (grams)]]),ISNUMBER(Table1[[#This Row],[Gestation (days)]])),TRUE,FALSE)</f>
        <v>0</v>
      </c>
      <c r="E5413" s="2" t="str">
        <f>IF(Table1[[#This Row],[Is Data Valid]]=TRUE,IF(Table1[[#This Row],[Fetal Sex (Male, Female or Unknown)]]="Male",Backend!$C$6,IF(Table1[[#This Row],[Fetal Sex (Male, Female or Unknown)]]="Female",Backend!$C$7,IF(Table1[[#This Row],[Fetal Sex (Male, Female or Unknown)]]="Unknown",Backend!$C$8,"Error"))),"")</f>
        <v/>
      </c>
      <c r="F5413" s="8" t="str">
        <f>IF(Table1[[#This Row],[Is Data Valid]]=TRUE,EXP(0.578+0.332*((Table1[[#This Row],[Gestation (days)]]+0.5)/7)-0.00354*((Table1[[#This Row],[Gestation (days)]]+0.5)/7)^2)*Table1[[#This Row],[BW40_3705]],"")</f>
        <v/>
      </c>
      <c r="G5413" s="2" t="str">
        <f>IF(Table1[[#This Row],[Is Data Valid]]=TRUE,((Table1[[#This Row],[Birthweight (grams)]]/Table1[[#This Row],[BW_GA]])-1)/(Backend!$B$4/100*Table1[[#This Row],[BW40_3705]]),"")</f>
        <v/>
      </c>
      <c r="H5413" s="7" t="str">
        <f>IF(Table1[[#This Row],[Is Data Valid]]=TRUE,((Table1[[#This Row],[Birthweight (grams)]]*0.9/Table1[[#This Row],[BW_GA]])-1)/(Backend!$B$4/100*Table1[[#This Row],[BW40_3705]]),"")</f>
        <v/>
      </c>
      <c r="I5413" s="7" t="str">
        <f>IF(Table1[[#This Row],[Is Data Valid]]=TRUE,((Table1[[#This Row],[Birthweight (grams)]]*1.1/Table1[[#This Row],[BW_GA]])-1)/(Backend!$B$4/100*Table1[[#This Row],[BW40_3705]]),"")</f>
        <v/>
      </c>
      <c r="J5413" s="7" t="str">
        <f>IF(Table1[[#This Row],[Is Data Valid]]=TRUE,_xlfn.NORM.S.DIST(Table1[[#This Row],[Birthweight Z-Score]],TRUE)*100,"")</f>
        <v/>
      </c>
      <c r="K5413" s="7" t="str">
        <f>IF(Table1[[#This Row],[Is Data Valid]]=TRUE,_xlfn.NORM.S.DIST(Table1[[#This Row],[Birthweight Z-Score (BW-10%)]],TRUE)*100,"")</f>
        <v/>
      </c>
      <c r="L5413" s="7" t="str">
        <f>IF(Table1[[#This Row],[Is Data Valid]]=TRUE,_xlfn.NORM.S.DIST(Table1[[#This Row],[Birthweight Z-Score (BW+10%)]],TRUE)*100,"")</f>
        <v/>
      </c>
    </row>
    <row r="5414" spans="1:12" x14ac:dyDescent="0.35">
      <c r="A5414" s="3"/>
      <c r="B5414" s="2"/>
      <c r="C5414" s="2"/>
      <c r="D5414" s="2" t="b">
        <f>IF(AND(NOT(ISBLANK(Table1[[#This Row],[Fetal Sex (Male, Female or Unknown)]])),ISNUMBER(Table1[[#This Row],[Birthweight (grams)]]),ISNUMBER(Table1[[#This Row],[Gestation (days)]])),TRUE,FALSE)</f>
        <v>0</v>
      </c>
      <c r="E5414" s="2" t="str">
        <f>IF(Table1[[#This Row],[Is Data Valid]]=TRUE,IF(Table1[[#This Row],[Fetal Sex (Male, Female or Unknown)]]="Male",Backend!$C$6,IF(Table1[[#This Row],[Fetal Sex (Male, Female or Unknown)]]="Female",Backend!$C$7,IF(Table1[[#This Row],[Fetal Sex (Male, Female or Unknown)]]="Unknown",Backend!$C$8,"Error"))),"")</f>
        <v/>
      </c>
      <c r="F5414" s="8" t="str">
        <f>IF(Table1[[#This Row],[Is Data Valid]]=TRUE,EXP(0.578+0.332*((Table1[[#This Row],[Gestation (days)]]+0.5)/7)-0.00354*((Table1[[#This Row],[Gestation (days)]]+0.5)/7)^2)*Table1[[#This Row],[BW40_3705]],"")</f>
        <v/>
      </c>
      <c r="G5414" s="2" t="str">
        <f>IF(Table1[[#This Row],[Is Data Valid]]=TRUE,((Table1[[#This Row],[Birthweight (grams)]]/Table1[[#This Row],[BW_GA]])-1)/(Backend!$B$4/100*Table1[[#This Row],[BW40_3705]]),"")</f>
        <v/>
      </c>
      <c r="H5414" s="7" t="str">
        <f>IF(Table1[[#This Row],[Is Data Valid]]=TRUE,((Table1[[#This Row],[Birthweight (grams)]]*0.9/Table1[[#This Row],[BW_GA]])-1)/(Backend!$B$4/100*Table1[[#This Row],[BW40_3705]]),"")</f>
        <v/>
      </c>
      <c r="I5414" s="7" t="str">
        <f>IF(Table1[[#This Row],[Is Data Valid]]=TRUE,((Table1[[#This Row],[Birthweight (grams)]]*1.1/Table1[[#This Row],[BW_GA]])-1)/(Backend!$B$4/100*Table1[[#This Row],[BW40_3705]]),"")</f>
        <v/>
      </c>
      <c r="J5414" s="7" t="str">
        <f>IF(Table1[[#This Row],[Is Data Valid]]=TRUE,_xlfn.NORM.S.DIST(Table1[[#This Row],[Birthweight Z-Score]],TRUE)*100,"")</f>
        <v/>
      </c>
      <c r="K5414" s="7" t="str">
        <f>IF(Table1[[#This Row],[Is Data Valid]]=TRUE,_xlfn.NORM.S.DIST(Table1[[#This Row],[Birthweight Z-Score (BW-10%)]],TRUE)*100,"")</f>
        <v/>
      </c>
      <c r="L5414" s="7" t="str">
        <f>IF(Table1[[#This Row],[Is Data Valid]]=TRUE,_xlfn.NORM.S.DIST(Table1[[#This Row],[Birthweight Z-Score (BW+10%)]],TRUE)*100,"")</f>
        <v/>
      </c>
    </row>
    <row r="5415" spans="1:12" x14ac:dyDescent="0.35">
      <c r="A5415" s="3"/>
      <c r="B5415" s="2"/>
      <c r="C5415" s="2"/>
      <c r="D5415" s="2" t="b">
        <f>IF(AND(NOT(ISBLANK(Table1[[#This Row],[Fetal Sex (Male, Female or Unknown)]])),ISNUMBER(Table1[[#This Row],[Birthweight (grams)]]),ISNUMBER(Table1[[#This Row],[Gestation (days)]])),TRUE,FALSE)</f>
        <v>0</v>
      </c>
      <c r="E5415" s="2" t="str">
        <f>IF(Table1[[#This Row],[Is Data Valid]]=TRUE,IF(Table1[[#This Row],[Fetal Sex (Male, Female or Unknown)]]="Male",Backend!$C$6,IF(Table1[[#This Row],[Fetal Sex (Male, Female or Unknown)]]="Female",Backend!$C$7,IF(Table1[[#This Row],[Fetal Sex (Male, Female or Unknown)]]="Unknown",Backend!$C$8,"Error"))),"")</f>
        <v/>
      </c>
      <c r="F5415" s="8" t="str">
        <f>IF(Table1[[#This Row],[Is Data Valid]]=TRUE,EXP(0.578+0.332*((Table1[[#This Row],[Gestation (days)]]+0.5)/7)-0.00354*((Table1[[#This Row],[Gestation (days)]]+0.5)/7)^2)*Table1[[#This Row],[BW40_3705]],"")</f>
        <v/>
      </c>
      <c r="G5415" s="2" t="str">
        <f>IF(Table1[[#This Row],[Is Data Valid]]=TRUE,((Table1[[#This Row],[Birthweight (grams)]]/Table1[[#This Row],[BW_GA]])-1)/(Backend!$B$4/100*Table1[[#This Row],[BW40_3705]]),"")</f>
        <v/>
      </c>
      <c r="H5415" s="7" t="str">
        <f>IF(Table1[[#This Row],[Is Data Valid]]=TRUE,((Table1[[#This Row],[Birthweight (grams)]]*0.9/Table1[[#This Row],[BW_GA]])-1)/(Backend!$B$4/100*Table1[[#This Row],[BW40_3705]]),"")</f>
        <v/>
      </c>
      <c r="I5415" s="7" t="str">
        <f>IF(Table1[[#This Row],[Is Data Valid]]=TRUE,((Table1[[#This Row],[Birthweight (grams)]]*1.1/Table1[[#This Row],[BW_GA]])-1)/(Backend!$B$4/100*Table1[[#This Row],[BW40_3705]]),"")</f>
        <v/>
      </c>
      <c r="J5415" s="7" t="str">
        <f>IF(Table1[[#This Row],[Is Data Valid]]=TRUE,_xlfn.NORM.S.DIST(Table1[[#This Row],[Birthweight Z-Score]],TRUE)*100,"")</f>
        <v/>
      </c>
      <c r="K5415" s="7" t="str">
        <f>IF(Table1[[#This Row],[Is Data Valid]]=TRUE,_xlfn.NORM.S.DIST(Table1[[#This Row],[Birthweight Z-Score (BW-10%)]],TRUE)*100,"")</f>
        <v/>
      </c>
      <c r="L5415" s="7" t="str">
        <f>IF(Table1[[#This Row],[Is Data Valid]]=TRUE,_xlfn.NORM.S.DIST(Table1[[#This Row],[Birthweight Z-Score (BW+10%)]],TRUE)*100,"")</f>
        <v/>
      </c>
    </row>
    <row r="5416" spans="1:12" x14ac:dyDescent="0.35">
      <c r="A5416" s="3"/>
      <c r="B5416" s="2"/>
      <c r="C5416" s="2"/>
      <c r="D5416" s="2" t="b">
        <f>IF(AND(NOT(ISBLANK(Table1[[#This Row],[Fetal Sex (Male, Female or Unknown)]])),ISNUMBER(Table1[[#This Row],[Birthweight (grams)]]),ISNUMBER(Table1[[#This Row],[Gestation (days)]])),TRUE,FALSE)</f>
        <v>0</v>
      </c>
      <c r="E5416" s="2" t="str">
        <f>IF(Table1[[#This Row],[Is Data Valid]]=TRUE,IF(Table1[[#This Row],[Fetal Sex (Male, Female or Unknown)]]="Male",Backend!$C$6,IF(Table1[[#This Row],[Fetal Sex (Male, Female or Unknown)]]="Female",Backend!$C$7,IF(Table1[[#This Row],[Fetal Sex (Male, Female or Unknown)]]="Unknown",Backend!$C$8,"Error"))),"")</f>
        <v/>
      </c>
      <c r="F5416" s="8" t="str">
        <f>IF(Table1[[#This Row],[Is Data Valid]]=TRUE,EXP(0.578+0.332*((Table1[[#This Row],[Gestation (days)]]+0.5)/7)-0.00354*((Table1[[#This Row],[Gestation (days)]]+0.5)/7)^2)*Table1[[#This Row],[BW40_3705]],"")</f>
        <v/>
      </c>
      <c r="G5416" s="2" t="str">
        <f>IF(Table1[[#This Row],[Is Data Valid]]=TRUE,((Table1[[#This Row],[Birthweight (grams)]]/Table1[[#This Row],[BW_GA]])-1)/(Backend!$B$4/100*Table1[[#This Row],[BW40_3705]]),"")</f>
        <v/>
      </c>
      <c r="H5416" s="7" t="str">
        <f>IF(Table1[[#This Row],[Is Data Valid]]=TRUE,((Table1[[#This Row],[Birthweight (grams)]]*0.9/Table1[[#This Row],[BW_GA]])-1)/(Backend!$B$4/100*Table1[[#This Row],[BW40_3705]]),"")</f>
        <v/>
      </c>
      <c r="I5416" s="7" t="str">
        <f>IF(Table1[[#This Row],[Is Data Valid]]=TRUE,((Table1[[#This Row],[Birthweight (grams)]]*1.1/Table1[[#This Row],[BW_GA]])-1)/(Backend!$B$4/100*Table1[[#This Row],[BW40_3705]]),"")</f>
        <v/>
      </c>
      <c r="J5416" s="7" t="str">
        <f>IF(Table1[[#This Row],[Is Data Valid]]=TRUE,_xlfn.NORM.S.DIST(Table1[[#This Row],[Birthweight Z-Score]],TRUE)*100,"")</f>
        <v/>
      </c>
      <c r="K5416" s="7" t="str">
        <f>IF(Table1[[#This Row],[Is Data Valid]]=TRUE,_xlfn.NORM.S.DIST(Table1[[#This Row],[Birthweight Z-Score (BW-10%)]],TRUE)*100,"")</f>
        <v/>
      </c>
      <c r="L5416" s="7" t="str">
        <f>IF(Table1[[#This Row],[Is Data Valid]]=TRUE,_xlfn.NORM.S.DIST(Table1[[#This Row],[Birthweight Z-Score (BW+10%)]],TRUE)*100,"")</f>
        <v/>
      </c>
    </row>
    <row r="5417" spans="1:12" x14ac:dyDescent="0.35">
      <c r="A5417" s="3"/>
      <c r="B5417" s="2"/>
      <c r="C5417" s="2"/>
      <c r="D5417" s="2" t="b">
        <f>IF(AND(NOT(ISBLANK(Table1[[#This Row],[Fetal Sex (Male, Female or Unknown)]])),ISNUMBER(Table1[[#This Row],[Birthweight (grams)]]),ISNUMBER(Table1[[#This Row],[Gestation (days)]])),TRUE,FALSE)</f>
        <v>0</v>
      </c>
      <c r="E5417" s="2" t="str">
        <f>IF(Table1[[#This Row],[Is Data Valid]]=TRUE,IF(Table1[[#This Row],[Fetal Sex (Male, Female or Unknown)]]="Male",Backend!$C$6,IF(Table1[[#This Row],[Fetal Sex (Male, Female or Unknown)]]="Female",Backend!$C$7,IF(Table1[[#This Row],[Fetal Sex (Male, Female or Unknown)]]="Unknown",Backend!$C$8,"Error"))),"")</f>
        <v/>
      </c>
      <c r="F5417" s="8" t="str">
        <f>IF(Table1[[#This Row],[Is Data Valid]]=TRUE,EXP(0.578+0.332*((Table1[[#This Row],[Gestation (days)]]+0.5)/7)-0.00354*((Table1[[#This Row],[Gestation (days)]]+0.5)/7)^2)*Table1[[#This Row],[BW40_3705]],"")</f>
        <v/>
      </c>
      <c r="G5417" s="2" t="str">
        <f>IF(Table1[[#This Row],[Is Data Valid]]=TRUE,((Table1[[#This Row],[Birthweight (grams)]]/Table1[[#This Row],[BW_GA]])-1)/(Backend!$B$4/100*Table1[[#This Row],[BW40_3705]]),"")</f>
        <v/>
      </c>
      <c r="H5417" s="7" t="str">
        <f>IF(Table1[[#This Row],[Is Data Valid]]=TRUE,((Table1[[#This Row],[Birthweight (grams)]]*0.9/Table1[[#This Row],[BW_GA]])-1)/(Backend!$B$4/100*Table1[[#This Row],[BW40_3705]]),"")</f>
        <v/>
      </c>
      <c r="I5417" s="7" t="str">
        <f>IF(Table1[[#This Row],[Is Data Valid]]=TRUE,((Table1[[#This Row],[Birthweight (grams)]]*1.1/Table1[[#This Row],[BW_GA]])-1)/(Backend!$B$4/100*Table1[[#This Row],[BW40_3705]]),"")</f>
        <v/>
      </c>
      <c r="J5417" s="7" t="str">
        <f>IF(Table1[[#This Row],[Is Data Valid]]=TRUE,_xlfn.NORM.S.DIST(Table1[[#This Row],[Birthweight Z-Score]],TRUE)*100,"")</f>
        <v/>
      </c>
      <c r="K5417" s="7" t="str">
        <f>IF(Table1[[#This Row],[Is Data Valid]]=TRUE,_xlfn.NORM.S.DIST(Table1[[#This Row],[Birthweight Z-Score (BW-10%)]],TRUE)*100,"")</f>
        <v/>
      </c>
      <c r="L5417" s="7" t="str">
        <f>IF(Table1[[#This Row],[Is Data Valid]]=TRUE,_xlfn.NORM.S.DIST(Table1[[#This Row],[Birthweight Z-Score (BW+10%)]],TRUE)*100,"")</f>
        <v/>
      </c>
    </row>
    <row r="5418" spans="1:12" x14ac:dyDescent="0.35">
      <c r="A5418" s="3"/>
      <c r="B5418" s="2"/>
      <c r="C5418" s="2"/>
      <c r="D5418" s="2" t="b">
        <f>IF(AND(NOT(ISBLANK(Table1[[#This Row],[Fetal Sex (Male, Female or Unknown)]])),ISNUMBER(Table1[[#This Row],[Birthweight (grams)]]),ISNUMBER(Table1[[#This Row],[Gestation (days)]])),TRUE,FALSE)</f>
        <v>0</v>
      </c>
      <c r="E5418" s="2" t="str">
        <f>IF(Table1[[#This Row],[Is Data Valid]]=TRUE,IF(Table1[[#This Row],[Fetal Sex (Male, Female or Unknown)]]="Male",Backend!$C$6,IF(Table1[[#This Row],[Fetal Sex (Male, Female or Unknown)]]="Female",Backend!$C$7,IF(Table1[[#This Row],[Fetal Sex (Male, Female or Unknown)]]="Unknown",Backend!$C$8,"Error"))),"")</f>
        <v/>
      </c>
      <c r="F5418" s="8" t="str">
        <f>IF(Table1[[#This Row],[Is Data Valid]]=TRUE,EXP(0.578+0.332*((Table1[[#This Row],[Gestation (days)]]+0.5)/7)-0.00354*((Table1[[#This Row],[Gestation (days)]]+0.5)/7)^2)*Table1[[#This Row],[BW40_3705]],"")</f>
        <v/>
      </c>
      <c r="G5418" s="2" t="str">
        <f>IF(Table1[[#This Row],[Is Data Valid]]=TRUE,((Table1[[#This Row],[Birthweight (grams)]]/Table1[[#This Row],[BW_GA]])-1)/(Backend!$B$4/100*Table1[[#This Row],[BW40_3705]]),"")</f>
        <v/>
      </c>
      <c r="H5418" s="7" t="str">
        <f>IF(Table1[[#This Row],[Is Data Valid]]=TRUE,((Table1[[#This Row],[Birthweight (grams)]]*0.9/Table1[[#This Row],[BW_GA]])-1)/(Backend!$B$4/100*Table1[[#This Row],[BW40_3705]]),"")</f>
        <v/>
      </c>
      <c r="I5418" s="7" t="str">
        <f>IF(Table1[[#This Row],[Is Data Valid]]=TRUE,((Table1[[#This Row],[Birthweight (grams)]]*1.1/Table1[[#This Row],[BW_GA]])-1)/(Backend!$B$4/100*Table1[[#This Row],[BW40_3705]]),"")</f>
        <v/>
      </c>
      <c r="J5418" s="7" t="str">
        <f>IF(Table1[[#This Row],[Is Data Valid]]=TRUE,_xlfn.NORM.S.DIST(Table1[[#This Row],[Birthweight Z-Score]],TRUE)*100,"")</f>
        <v/>
      </c>
      <c r="K5418" s="7" t="str">
        <f>IF(Table1[[#This Row],[Is Data Valid]]=TRUE,_xlfn.NORM.S.DIST(Table1[[#This Row],[Birthweight Z-Score (BW-10%)]],TRUE)*100,"")</f>
        <v/>
      </c>
      <c r="L5418" s="7" t="str">
        <f>IF(Table1[[#This Row],[Is Data Valid]]=TRUE,_xlfn.NORM.S.DIST(Table1[[#This Row],[Birthweight Z-Score (BW+10%)]],TRUE)*100,"")</f>
        <v/>
      </c>
    </row>
    <row r="5419" spans="1:12" x14ac:dyDescent="0.35">
      <c r="A5419" s="3"/>
      <c r="B5419" s="2"/>
      <c r="C5419" s="2"/>
      <c r="D5419" s="2" t="b">
        <f>IF(AND(NOT(ISBLANK(Table1[[#This Row],[Fetal Sex (Male, Female or Unknown)]])),ISNUMBER(Table1[[#This Row],[Birthweight (grams)]]),ISNUMBER(Table1[[#This Row],[Gestation (days)]])),TRUE,FALSE)</f>
        <v>0</v>
      </c>
      <c r="E5419" s="2" t="str">
        <f>IF(Table1[[#This Row],[Is Data Valid]]=TRUE,IF(Table1[[#This Row],[Fetal Sex (Male, Female or Unknown)]]="Male",Backend!$C$6,IF(Table1[[#This Row],[Fetal Sex (Male, Female or Unknown)]]="Female",Backend!$C$7,IF(Table1[[#This Row],[Fetal Sex (Male, Female or Unknown)]]="Unknown",Backend!$C$8,"Error"))),"")</f>
        <v/>
      </c>
      <c r="F5419" s="8" t="str">
        <f>IF(Table1[[#This Row],[Is Data Valid]]=TRUE,EXP(0.578+0.332*((Table1[[#This Row],[Gestation (days)]]+0.5)/7)-0.00354*((Table1[[#This Row],[Gestation (days)]]+0.5)/7)^2)*Table1[[#This Row],[BW40_3705]],"")</f>
        <v/>
      </c>
      <c r="G5419" s="2" t="str">
        <f>IF(Table1[[#This Row],[Is Data Valid]]=TRUE,((Table1[[#This Row],[Birthweight (grams)]]/Table1[[#This Row],[BW_GA]])-1)/(Backend!$B$4/100*Table1[[#This Row],[BW40_3705]]),"")</f>
        <v/>
      </c>
      <c r="H5419" s="7" t="str">
        <f>IF(Table1[[#This Row],[Is Data Valid]]=TRUE,((Table1[[#This Row],[Birthweight (grams)]]*0.9/Table1[[#This Row],[BW_GA]])-1)/(Backend!$B$4/100*Table1[[#This Row],[BW40_3705]]),"")</f>
        <v/>
      </c>
      <c r="I5419" s="7" t="str">
        <f>IF(Table1[[#This Row],[Is Data Valid]]=TRUE,((Table1[[#This Row],[Birthweight (grams)]]*1.1/Table1[[#This Row],[BW_GA]])-1)/(Backend!$B$4/100*Table1[[#This Row],[BW40_3705]]),"")</f>
        <v/>
      </c>
      <c r="J5419" s="7" t="str">
        <f>IF(Table1[[#This Row],[Is Data Valid]]=TRUE,_xlfn.NORM.S.DIST(Table1[[#This Row],[Birthweight Z-Score]],TRUE)*100,"")</f>
        <v/>
      </c>
      <c r="K5419" s="7" t="str">
        <f>IF(Table1[[#This Row],[Is Data Valid]]=TRUE,_xlfn.NORM.S.DIST(Table1[[#This Row],[Birthweight Z-Score (BW-10%)]],TRUE)*100,"")</f>
        <v/>
      </c>
      <c r="L5419" s="7" t="str">
        <f>IF(Table1[[#This Row],[Is Data Valid]]=TRUE,_xlfn.NORM.S.DIST(Table1[[#This Row],[Birthweight Z-Score (BW+10%)]],TRUE)*100,"")</f>
        <v/>
      </c>
    </row>
    <row r="5420" spans="1:12" x14ac:dyDescent="0.35">
      <c r="A5420" s="3"/>
      <c r="B5420" s="2"/>
      <c r="C5420" s="2"/>
      <c r="D5420" s="2" t="b">
        <f>IF(AND(NOT(ISBLANK(Table1[[#This Row],[Fetal Sex (Male, Female or Unknown)]])),ISNUMBER(Table1[[#This Row],[Birthweight (grams)]]),ISNUMBER(Table1[[#This Row],[Gestation (days)]])),TRUE,FALSE)</f>
        <v>0</v>
      </c>
      <c r="E5420" s="2" t="str">
        <f>IF(Table1[[#This Row],[Is Data Valid]]=TRUE,IF(Table1[[#This Row],[Fetal Sex (Male, Female or Unknown)]]="Male",Backend!$C$6,IF(Table1[[#This Row],[Fetal Sex (Male, Female or Unknown)]]="Female",Backend!$C$7,IF(Table1[[#This Row],[Fetal Sex (Male, Female or Unknown)]]="Unknown",Backend!$C$8,"Error"))),"")</f>
        <v/>
      </c>
      <c r="F5420" s="8" t="str">
        <f>IF(Table1[[#This Row],[Is Data Valid]]=TRUE,EXP(0.578+0.332*((Table1[[#This Row],[Gestation (days)]]+0.5)/7)-0.00354*((Table1[[#This Row],[Gestation (days)]]+0.5)/7)^2)*Table1[[#This Row],[BW40_3705]],"")</f>
        <v/>
      </c>
      <c r="G5420" s="2" t="str">
        <f>IF(Table1[[#This Row],[Is Data Valid]]=TRUE,((Table1[[#This Row],[Birthweight (grams)]]/Table1[[#This Row],[BW_GA]])-1)/(Backend!$B$4/100*Table1[[#This Row],[BW40_3705]]),"")</f>
        <v/>
      </c>
      <c r="H5420" s="7" t="str">
        <f>IF(Table1[[#This Row],[Is Data Valid]]=TRUE,((Table1[[#This Row],[Birthweight (grams)]]*0.9/Table1[[#This Row],[BW_GA]])-1)/(Backend!$B$4/100*Table1[[#This Row],[BW40_3705]]),"")</f>
        <v/>
      </c>
      <c r="I5420" s="7" t="str">
        <f>IF(Table1[[#This Row],[Is Data Valid]]=TRUE,((Table1[[#This Row],[Birthweight (grams)]]*1.1/Table1[[#This Row],[BW_GA]])-1)/(Backend!$B$4/100*Table1[[#This Row],[BW40_3705]]),"")</f>
        <v/>
      </c>
      <c r="J5420" s="7" t="str">
        <f>IF(Table1[[#This Row],[Is Data Valid]]=TRUE,_xlfn.NORM.S.DIST(Table1[[#This Row],[Birthweight Z-Score]],TRUE)*100,"")</f>
        <v/>
      </c>
      <c r="K5420" s="7" t="str">
        <f>IF(Table1[[#This Row],[Is Data Valid]]=TRUE,_xlfn.NORM.S.DIST(Table1[[#This Row],[Birthweight Z-Score (BW-10%)]],TRUE)*100,"")</f>
        <v/>
      </c>
      <c r="L5420" s="7" t="str">
        <f>IF(Table1[[#This Row],[Is Data Valid]]=TRUE,_xlfn.NORM.S.DIST(Table1[[#This Row],[Birthweight Z-Score (BW+10%)]],TRUE)*100,"")</f>
        <v/>
      </c>
    </row>
    <row r="5421" spans="1:12" x14ac:dyDescent="0.35">
      <c r="A5421" s="3"/>
      <c r="B5421" s="2"/>
      <c r="C5421" s="2"/>
      <c r="D5421" s="2" t="b">
        <f>IF(AND(NOT(ISBLANK(Table1[[#This Row],[Fetal Sex (Male, Female or Unknown)]])),ISNUMBER(Table1[[#This Row],[Birthweight (grams)]]),ISNUMBER(Table1[[#This Row],[Gestation (days)]])),TRUE,FALSE)</f>
        <v>0</v>
      </c>
      <c r="E5421" s="2" t="str">
        <f>IF(Table1[[#This Row],[Is Data Valid]]=TRUE,IF(Table1[[#This Row],[Fetal Sex (Male, Female or Unknown)]]="Male",Backend!$C$6,IF(Table1[[#This Row],[Fetal Sex (Male, Female or Unknown)]]="Female",Backend!$C$7,IF(Table1[[#This Row],[Fetal Sex (Male, Female or Unknown)]]="Unknown",Backend!$C$8,"Error"))),"")</f>
        <v/>
      </c>
      <c r="F5421" s="8" t="str">
        <f>IF(Table1[[#This Row],[Is Data Valid]]=TRUE,EXP(0.578+0.332*((Table1[[#This Row],[Gestation (days)]]+0.5)/7)-0.00354*((Table1[[#This Row],[Gestation (days)]]+0.5)/7)^2)*Table1[[#This Row],[BW40_3705]],"")</f>
        <v/>
      </c>
      <c r="G5421" s="2" t="str">
        <f>IF(Table1[[#This Row],[Is Data Valid]]=TRUE,((Table1[[#This Row],[Birthweight (grams)]]/Table1[[#This Row],[BW_GA]])-1)/(Backend!$B$4/100*Table1[[#This Row],[BW40_3705]]),"")</f>
        <v/>
      </c>
      <c r="H5421" s="7" t="str">
        <f>IF(Table1[[#This Row],[Is Data Valid]]=TRUE,((Table1[[#This Row],[Birthweight (grams)]]*0.9/Table1[[#This Row],[BW_GA]])-1)/(Backend!$B$4/100*Table1[[#This Row],[BW40_3705]]),"")</f>
        <v/>
      </c>
      <c r="I5421" s="7" t="str">
        <f>IF(Table1[[#This Row],[Is Data Valid]]=TRUE,((Table1[[#This Row],[Birthweight (grams)]]*1.1/Table1[[#This Row],[BW_GA]])-1)/(Backend!$B$4/100*Table1[[#This Row],[BW40_3705]]),"")</f>
        <v/>
      </c>
      <c r="J5421" s="7" t="str">
        <f>IF(Table1[[#This Row],[Is Data Valid]]=TRUE,_xlfn.NORM.S.DIST(Table1[[#This Row],[Birthweight Z-Score]],TRUE)*100,"")</f>
        <v/>
      </c>
      <c r="K5421" s="7" t="str">
        <f>IF(Table1[[#This Row],[Is Data Valid]]=TRUE,_xlfn.NORM.S.DIST(Table1[[#This Row],[Birthweight Z-Score (BW-10%)]],TRUE)*100,"")</f>
        <v/>
      </c>
      <c r="L5421" s="7" t="str">
        <f>IF(Table1[[#This Row],[Is Data Valid]]=TRUE,_xlfn.NORM.S.DIST(Table1[[#This Row],[Birthweight Z-Score (BW+10%)]],TRUE)*100,"")</f>
        <v/>
      </c>
    </row>
    <row r="5422" spans="1:12" x14ac:dyDescent="0.35">
      <c r="A5422" s="3"/>
      <c r="B5422" s="2"/>
      <c r="C5422" s="2"/>
      <c r="D5422" s="2" t="b">
        <f>IF(AND(NOT(ISBLANK(Table1[[#This Row],[Fetal Sex (Male, Female or Unknown)]])),ISNUMBER(Table1[[#This Row],[Birthweight (grams)]]),ISNUMBER(Table1[[#This Row],[Gestation (days)]])),TRUE,FALSE)</f>
        <v>0</v>
      </c>
      <c r="E5422" s="2" t="str">
        <f>IF(Table1[[#This Row],[Is Data Valid]]=TRUE,IF(Table1[[#This Row],[Fetal Sex (Male, Female or Unknown)]]="Male",Backend!$C$6,IF(Table1[[#This Row],[Fetal Sex (Male, Female or Unknown)]]="Female",Backend!$C$7,IF(Table1[[#This Row],[Fetal Sex (Male, Female or Unknown)]]="Unknown",Backend!$C$8,"Error"))),"")</f>
        <v/>
      </c>
      <c r="F5422" s="8" t="str">
        <f>IF(Table1[[#This Row],[Is Data Valid]]=TRUE,EXP(0.578+0.332*((Table1[[#This Row],[Gestation (days)]]+0.5)/7)-0.00354*((Table1[[#This Row],[Gestation (days)]]+0.5)/7)^2)*Table1[[#This Row],[BW40_3705]],"")</f>
        <v/>
      </c>
      <c r="G5422" s="2" t="str">
        <f>IF(Table1[[#This Row],[Is Data Valid]]=TRUE,((Table1[[#This Row],[Birthweight (grams)]]/Table1[[#This Row],[BW_GA]])-1)/(Backend!$B$4/100*Table1[[#This Row],[BW40_3705]]),"")</f>
        <v/>
      </c>
      <c r="H5422" s="7" t="str">
        <f>IF(Table1[[#This Row],[Is Data Valid]]=TRUE,((Table1[[#This Row],[Birthweight (grams)]]*0.9/Table1[[#This Row],[BW_GA]])-1)/(Backend!$B$4/100*Table1[[#This Row],[BW40_3705]]),"")</f>
        <v/>
      </c>
      <c r="I5422" s="7" t="str">
        <f>IF(Table1[[#This Row],[Is Data Valid]]=TRUE,((Table1[[#This Row],[Birthweight (grams)]]*1.1/Table1[[#This Row],[BW_GA]])-1)/(Backend!$B$4/100*Table1[[#This Row],[BW40_3705]]),"")</f>
        <v/>
      </c>
      <c r="J5422" s="7" t="str">
        <f>IF(Table1[[#This Row],[Is Data Valid]]=TRUE,_xlfn.NORM.S.DIST(Table1[[#This Row],[Birthweight Z-Score]],TRUE)*100,"")</f>
        <v/>
      </c>
      <c r="K5422" s="7" t="str">
        <f>IF(Table1[[#This Row],[Is Data Valid]]=TRUE,_xlfn.NORM.S.DIST(Table1[[#This Row],[Birthweight Z-Score (BW-10%)]],TRUE)*100,"")</f>
        <v/>
      </c>
      <c r="L5422" s="7" t="str">
        <f>IF(Table1[[#This Row],[Is Data Valid]]=TRUE,_xlfn.NORM.S.DIST(Table1[[#This Row],[Birthweight Z-Score (BW+10%)]],TRUE)*100,"")</f>
        <v/>
      </c>
    </row>
    <row r="5423" spans="1:12" x14ac:dyDescent="0.35">
      <c r="A5423" s="3"/>
      <c r="B5423" s="2"/>
      <c r="C5423" s="2"/>
      <c r="D5423" s="2" t="b">
        <f>IF(AND(NOT(ISBLANK(Table1[[#This Row],[Fetal Sex (Male, Female or Unknown)]])),ISNUMBER(Table1[[#This Row],[Birthweight (grams)]]),ISNUMBER(Table1[[#This Row],[Gestation (days)]])),TRUE,FALSE)</f>
        <v>0</v>
      </c>
      <c r="E5423" s="2" t="str">
        <f>IF(Table1[[#This Row],[Is Data Valid]]=TRUE,IF(Table1[[#This Row],[Fetal Sex (Male, Female or Unknown)]]="Male",Backend!$C$6,IF(Table1[[#This Row],[Fetal Sex (Male, Female or Unknown)]]="Female",Backend!$C$7,IF(Table1[[#This Row],[Fetal Sex (Male, Female or Unknown)]]="Unknown",Backend!$C$8,"Error"))),"")</f>
        <v/>
      </c>
      <c r="F5423" s="8" t="str">
        <f>IF(Table1[[#This Row],[Is Data Valid]]=TRUE,EXP(0.578+0.332*((Table1[[#This Row],[Gestation (days)]]+0.5)/7)-0.00354*((Table1[[#This Row],[Gestation (days)]]+0.5)/7)^2)*Table1[[#This Row],[BW40_3705]],"")</f>
        <v/>
      </c>
      <c r="G5423" s="2" t="str">
        <f>IF(Table1[[#This Row],[Is Data Valid]]=TRUE,((Table1[[#This Row],[Birthweight (grams)]]/Table1[[#This Row],[BW_GA]])-1)/(Backend!$B$4/100*Table1[[#This Row],[BW40_3705]]),"")</f>
        <v/>
      </c>
      <c r="H5423" s="7" t="str">
        <f>IF(Table1[[#This Row],[Is Data Valid]]=TRUE,((Table1[[#This Row],[Birthweight (grams)]]*0.9/Table1[[#This Row],[BW_GA]])-1)/(Backend!$B$4/100*Table1[[#This Row],[BW40_3705]]),"")</f>
        <v/>
      </c>
      <c r="I5423" s="7" t="str">
        <f>IF(Table1[[#This Row],[Is Data Valid]]=TRUE,((Table1[[#This Row],[Birthweight (grams)]]*1.1/Table1[[#This Row],[BW_GA]])-1)/(Backend!$B$4/100*Table1[[#This Row],[BW40_3705]]),"")</f>
        <v/>
      </c>
      <c r="J5423" s="7" t="str">
        <f>IF(Table1[[#This Row],[Is Data Valid]]=TRUE,_xlfn.NORM.S.DIST(Table1[[#This Row],[Birthweight Z-Score]],TRUE)*100,"")</f>
        <v/>
      </c>
      <c r="K5423" s="7" t="str">
        <f>IF(Table1[[#This Row],[Is Data Valid]]=TRUE,_xlfn.NORM.S.DIST(Table1[[#This Row],[Birthweight Z-Score (BW-10%)]],TRUE)*100,"")</f>
        <v/>
      </c>
      <c r="L5423" s="7" t="str">
        <f>IF(Table1[[#This Row],[Is Data Valid]]=TRUE,_xlfn.NORM.S.DIST(Table1[[#This Row],[Birthweight Z-Score (BW+10%)]],TRUE)*100,"")</f>
        <v/>
      </c>
    </row>
    <row r="5424" spans="1:12" x14ac:dyDescent="0.35">
      <c r="A5424" s="3"/>
      <c r="B5424" s="2"/>
      <c r="C5424" s="2"/>
      <c r="D5424" s="2" t="b">
        <f>IF(AND(NOT(ISBLANK(Table1[[#This Row],[Fetal Sex (Male, Female or Unknown)]])),ISNUMBER(Table1[[#This Row],[Birthweight (grams)]]),ISNUMBER(Table1[[#This Row],[Gestation (days)]])),TRUE,FALSE)</f>
        <v>0</v>
      </c>
      <c r="E5424" s="2" t="str">
        <f>IF(Table1[[#This Row],[Is Data Valid]]=TRUE,IF(Table1[[#This Row],[Fetal Sex (Male, Female or Unknown)]]="Male",Backend!$C$6,IF(Table1[[#This Row],[Fetal Sex (Male, Female or Unknown)]]="Female",Backend!$C$7,IF(Table1[[#This Row],[Fetal Sex (Male, Female or Unknown)]]="Unknown",Backend!$C$8,"Error"))),"")</f>
        <v/>
      </c>
      <c r="F5424" s="8" t="str">
        <f>IF(Table1[[#This Row],[Is Data Valid]]=TRUE,EXP(0.578+0.332*((Table1[[#This Row],[Gestation (days)]]+0.5)/7)-0.00354*((Table1[[#This Row],[Gestation (days)]]+0.5)/7)^2)*Table1[[#This Row],[BW40_3705]],"")</f>
        <v/>
      </c>
      <c r="G5424" s="2" t="str">
        <f>IF(Table1[[#This Row],[Is Data Valid]]=TRUE,((Table1[[#This Row],[Birthweight (grams)]]/Table1[[#This Row],[BW_GA]])-1)/(Backend!$B$4/100*Table1[[#This Row],[BW40_3705]]),"")</f>
        <v/>
      </c>
      <c r="H5424" s="7" t="str">
        <f>IF(Table1[[#This Row],[Is Data Valid]]=TRUE,((Table1[[#This Row],[Birthweight (grams)]]*0.9/Table1[[#This Row],[BW_GA]])-1)/(Backend!$B$4/100*Table1[[#This Row],[BW40_3705]]),"")</f>
        <v/>
      </c>
      <c r="I5424" s="7" t="str">
        <f>IF(Table1[[#This Row],[Is Data Valid]]=TRUE,((Table1[[#This Row],[Birthweight (grams)]]*1.1/Table1[[#This Row],[BW_GA]])-1)/(Backend!$B$4/100*Table1[[#This Row],[BW40_3705]]),"")</f>
        <v/>
      </c>
      <c r="J5424" s="7" t="str">
        <f>IF(Table1[[#This Row],[Is Data Valid]]=TRUE,_xlfn.NORM.S.DIST(Table1[[#This Row],[Birthweight Z-Score]],TRUE)*100,"")</f>
        <v/>
      </c>
      <c r="K5424" s="7" t="str">
        <f>IF(Table1[[#This Row],[Is Data Valid]]=TRUE,_xlfn.NORM.S.DIST(Table1[[#This Row],[Birthweight Z-Score (BW-10%)]],TRUE)*100,"")</f>
        <v/>
      </c>
      <c r="L5424" s="7" t="str">
        <f>IF(Table1[[#This Row],[Is Data Valid]]=TRUE,_xlfn.NORM.S.DIST(Table1[[#This Row],[Birthweight Z-Score (BW+10%)]],TRUE)*100,"")</f>
        <v/>
      </c>
    </row>
    <row r="5425" spans="1:12" x14ac:dyDescent="0.35">
      <c r="A5425" s="3"/>
      <c r="B5425" s="2"/>
      <c r="C5425" s="2"/>
      <c r="D5425" s="2" t="b">
        <f>IF(AND(NOT(ISBLANK(Table1[[#This Row],[Fetal Sex (Male, Female or Unknown)]])),ISNUMBER(Table1[[#This Row],[Birthweight (grams)]]),ISNUMBER(Table1[[#This Row],[Gestation (days)]])),TRUE,FALSE)</f>
        <v>0</v>
      </c>
      <c r="E5425" s="2" t="str">
        <f>IF(Table1[[#This Row],[Is Data Valid]]=TRUE,IF(Table1[[#This Row],[Fetal Sex (Male, Female or Unknown)]]="Male",Backend!$C$6,IF(Table1[[#This Row],[Fetal Sex (Male, Female or Unknown)]]="Female",Backend!$C$7,IF(Table1[[#This Row],[Fetal Sex (Male, Female or Unknown)]]="Unknown",Backend!$C$8,"Error"))),"")</f>
        <v/>
      </c>
      <c r="F5425" s="8" t="str">
        <f>IF(Table1[[#This Row],[Is Data Valid]]=TRUE,EXP(0.578+0.332*((Table1[[#This Row],[Gestation (days)]]+0.5)/7)-0.00354*((Table1[[#This Row],[Gestation (days)]]+0.5)/7)^2)*Table1[[#This Row],[BW40_3705]],"")</f>
        <v/>
      </c>
      <c r="G5425" s="2" t="str">
        <f>IF(Table1[[#This Row],[Is Data Valid]]=TRUE,((Table1[[#This Row],[Birthweight (grams)]]/Table1[[#This Row],[BW_GA]])-1)/(Backend!$B$4/100*Table1[[#This Row],[BW40_3705]]),"")</f>
        <v/>
      </c>
      <c r="H5425" s="7" t="str">
        <f>IF(Table1[[#This Row],[Is Data Valid]]=TRUE,((Table1[[#This Row],[Birthweight (grams)]]*0.9/Table1[[#This Row],[BW_GA]])-1)/(Backend!$B$4/100*Table1[[#This Row],[BW40_3705]]),"")</f>
        <v/>
      </c>
      <c r="I5425" s="7" t="str">
        <f>IF(Table1[[#This Row],[Is Data Valid]]=TRUE,((Table1[[#This Row],[Birthweight (grams)]]*1.1/Table1[[#This Row],[BW_GA]])-1)/(Backend!$B$4/100*Table1[[#This Row],[BW40_3705]]),"")</f>
        <v/>
      </c>
      <c r="J5425" s="7" t="str">
        <f>IF(Table1[[#This Row],[Is Data Valid]]=TRUE,_xlfn.NORM.S.DIST(Table1[[#This Row],[Birthweight Z-Score]],TRUE)*100,"")</f>
        <v/>
      </c>
      <c r="K5425" s="7" t="str">
        <f>IF(Table1[[#This Row],[Is Data Valid]]=TRUE,_xlfn.NORM.S.DIST(Table1[[#This Row],[Birthweight Z-Score (BW-10%)]],TRUE)*100,"")</f>
        <v/>
      </c>
      <c r="L5425" s="7" t="str">
        <f>IF(Table1[[#This Row],[Is Data Valid]]=TRUE,_xlfn.NORM.S.DIST(Table1[[#This Row],[Birthweight Z-Score (BW+10%)]],TRUE)*100,"")</f>
        <v/>
      </c>
    </row>
    <row r="5426" spans="1:12" x14ac:dyDescent="0.35">
      <c r="A5426" s="3"/>
      <c r="B5426" s="2"/>
      <c r="C5426" s="2"/>
      <c r="D5426" s="2" t="b">
        <f>IF(AND(NOT(ISBLANK(Table1[[#This Row],[Fetal Sex (Male, Female or Unknown)]])),ISNUMBER(Table1[[#This Row],[Birthweight (grams)]]),ISNUMBER(Table1[[#This Row],[Gestation (days)]])),TRUE,FALSE)</f>
        <v>0</v>
      </c>
      <c r="E5426" s="2" t="str">
        <f>IF(Table1[[#This Row],[Is Data Valid]]=TRUE,IF(Table1[[#This Row],[Fetal Sex (Male, Female or Unknown)]]="Male",Backend!$C$6,IF(Table1[[#This Row],[Fetal Sex (Male, Female or Unknown)]]="Female",Backend!$C$7,IF(Table1[[#This Row],[Fetal Sex (Male, Female or Unknown)]]="Unknown",Backend!$C$8,"Error"))),"")</f>
        <v/>
      </c>
      <c r="F5426" s="8" t="str">
        <f>IF(Table1[[#This Row],[Is Data Valid]]=TRUE,EXP(0.578+0.332*((Table1[[#This Row],[Gestation (days)]]+0.5)/7)-0.00354*((Table1[[#This Row],[Gestation (days)]]+0.5)/7)^2)*Table1[[#This Row],[BW40_3705]],"")</f>
        <v/>
      </c>
      <c r="G5426" s="2" t="str">
        <f>IF(Table1[[#This Row],[Is Data Valid]]=TRUE,((Table1[[#This Row],[Birthweight (grams)]]/Table1[[#This Row],[BW_GA]])-1)/(Backend!$B$4/100*Table1[[#This Row],[BW40_3705]]),"")</f>
        <v/>
      </c>
      <c r="H5426" s="7" t="str">
        <f>IF(Table1[[#This Row],[Is Data Valid]]=TRUE,((Table1[[#This Row],[Birthweight (grams)]]*0.9/Table1[[#This Row],[BW_GA]])-1)/(Backend!$B$4/100*Table1[[#This Row],[BW40_3705]]),"")</f>
        <v/>
      </c>
      <c r="I5426" s="7" t="str">
        <f>IF(Table1[[#This Row],[Is Data Valid]]=TRUE,((Table1[[#This Row],[Birthweight (grams)]]*1.1/Table1[[#This Row],[BW_GA]])-1)/(Backend!$B$4/100*Table1[[#This Row],[BW40_3705]]),"")</f>
        <v/>
      </c>
      <c r="J5426" s="7" t="str">
        <f>IF(Table1[[#This Row],[Is Data Valid]]=TRUE,_xlfn.NORM.S.DIST(Table1[[#This Row],[Birthweight Z-Score]],TRUE)*100,"")</f>
        <v/>
      </c>
      <c r="K5426" s="7" t="str">
        <f>IF(Table1[[#This Row],[Is Data Valid]]=TRUE,_xlfn.NORM.S.DIST(Table1[[#This Row],[Birthweight Z-Score (BW-10%)]],TRUE)*100,"")</f>
        <v/>
      </c>
      <c r="L5426" s="7" t="str">
        <f>IF(Table1[[#This Row],[Is Data Valid]]=TRUE,_xlfn.NORM.S.DIST(Table1[[#This Row],[Birthweight Z-Score (BW+10%)]],TRUE)*100,"")</f>
        <v/>
      </c>
    </row>
    <row r="5427" spans="1:12" x14ac:dyDescent="0.35">
      <c r="A5427" s="3"/>
      <c r="B5427" s="2"/>
      <c r="C5427" s="2"/>
      <c r="D5427" s="2" t="b">
        <f>IF(AND(NOT(ISBLANK(Table1[[#This Row],[Fetal Sex (Male, Female or Unknown)]])),ISNUMBER(Table1[[#This Row],[Birthweight (grams)]]),ISNUMBER(Table1[[#This Row],[Gestation (days)]])),TRUE,FALSE)</f>
        <v>0</v>
      </c>
      <c r="E5427" s="2" t="str">
        <f>IF(Table1[[#This Row],[Is Data Valid]]=TRUE,IF(Table1[[#This Row],[Fetal Sex (Male, Female or Unknown)]]="Male",Backend!$C$6,IF(Table1[[#This Row],[Fetal Sex (Male, Female or Unknown)]]="Female",Backend!$C$7,IF(Table1[[#This Row],[Fetal Sex (Male, Female or Unknown)]]="Unknown",Backend!$C$8,"Error"))),"")</f>
        <v/>
      </c>
      <c r="F5427" s="8" t="str">
        <f>IF(Table1[[#This Row],[Is Data Valid]]=TRUE,EXP(0.578+0.332*((Table1[[#This Row],[Gestation (days)]]+0.5)/7)-0.00354*((Table1[[#This Row],[Gestation (days)]]+0.5)/7)^2)*Table1[[#This Row],[BW40_3705]],"")</f>
        <v/>
      </c>
      <c r="G5427" s="2" t="str">
        <f>IF(Table1[[#This Row],[Is Data Valid]]=TRUE,((Table1[[#This Row],[Birthweight (grams)]]/Table1[[#This Row],[BW_GA]])-1)/(Backend!$B$4/100*Table1[[#This Row],[BW40_3705]]),"")</f>
        <v/>
      </c>
      <c r="H5427" s="7" t="str">
        <f>IF(Table1[[#This Row],[Is Data Valid]]=TRUE,((Table1[[#This Row],[Birthweight (grams)]]*0.9/Table1[[#This Row],[BW_GA]])-1)/(Backend!$B$4/100*Table1[[#This Row],[BW40_3705]]),"")</f>
        <v/>
      </c>
      <c r="I5427" s="7" t="str">
        <f>IF(Table1[[#This Row],[Is Data Valid]]=TRUE,((Table1[[#This Row],[Birthweight (grams)]]*1.1/Table1[[#This Row],[BW_GA]])-1)/(Backend!$B$4/100*Table1[[#This Row],[BW40_3705]]),"")</f>
        <v/>
      </c>
      <c r="J5427" s="7" t="str">
        <f>IF(Table1[[#This Row],[Is Data Valid]]=TRUE,_xlfn.NORM.S.DIST(Table1[[#This Row],[Birthweight Z-Score]],TRUE)*100,"")</f>
        <v/>
      </c>
      <c r="K5427" s="7" t="str">
        <f>IF(Table1[[#This Row],[Is Data Valid]]=TRUE,_xlfn.NORM.S.DIST(Table1[[#This Row],[Birthweight Z-Score (BW-10%)]],TRUE)*100,"")</f>
        <v/>
      </c>
      <c r="L5427" s="7" t="str">
        <f>IF(Table1[[#This Row],[Is Data Valid]]=TRUE,_xlfn.NORM.S.DIST(Table1[[#This Row],[Birthweight Z-Score (BW+10%)]],TRUE)*100,"")</f>
        <v/>
      </c>
    </row>
    <row r="5428" spans="1:12" x14ac:dyDescent="0.35">
      <c r="A5428" s="3"/>
      <c r="B5428" s="2"/>
      <c r="C5428" s="2"/>
      <c r="D5428" s="2" t="b">
        <f>IF(AND(NOT(ISBLANK(Table1[[#This Row],[Fetal Sex (Male, Female or Unknown)]])),ISNUMBER(Table1[[#This Row],[Birthweight (grams)]]),ISNUMBER(Table1[[#This Row],[Gestation (days)]])),TRUE,FALSE)</f>
        <v>0</v>
      </c>
      <c r="E5428" s="2" t="str">
        <f>IF(Table1[[#This Row],[Is Data Valid]]=TRUE,IF(Table1[[#This Row],[Fetal Sex (Male, Female or Unknown)]]="Male",Backend!$C$6,IF(Table1[[#This Row],[Fetal Sex (Male, Female or Unknown)]]="Female",Backend!$C$7,IF(Table1[[#This Row],[Fetal Sex (Male, Female or Unknown)]]="Unknown",Backend!$C$8,"Error"))),"")</f>
        <v/>
      </c>
      <c r="F5428" s="8" t="str">
        <f>IF(Table1[[#This Row],[Is Data Valid]]=TRUE,EXP(0.578+0.332*((Table1[[#This Row],[Gestation (days)]]+0.5)/7)-0.00354*((Table1[[#This Row],[Gestation (days)]]+0.5)/7)^2)*Table1[[#This Row],[BW40_3705]],"")</f>
        <v/>
      </c>
      <c r="G5428" s="2" t="str">
        <f>IF(Table1[[#This Row],[Is Data Valid]]=TRUE,((Table1[[#This Row],[Birthweight (grams)]]/Table1[[#This Row],[BW_GA]])-1)/(Backend!$B$4/100*Table1[[#This Row],[BW40_3705]]),"")</f>
        <v/>
      </c>
      <c r="H5428" s="7" t="str">
        <f>IF(Table1[[#This Row],[Is Data Valid]]=TRUE,((Table1[[#This Row],[Birthweight (grams)]]*0.9/Table1[[#This Row],[BW_GA]])-1)/(Backend!$B$4/100*Table1[[#This Row],[BW40_3705]]),"")</f>
        <v/>
      </c>
      <c r="I5428" s="7" t="str">
        <f>IF(Table1[[#This Row],[Is Data Valid]]=TRUE,((Table1[[#This Row],[Birthweight (grams)]]*1.1/Table1[[#This Row],[BW_GA]])-1)/(Backend!$B$4/100*Table1[[#This Row],[BW40_3705]]),"")</f>
        <v/>
      </c>
      <c r="J5428" s="7" t="str">
        <f>IF(Table1[[#This Row],[Is Data Valid]]=TRUE,_xlfn.NORM.S.DIST(Table1[[#This Row],[Birthweight Z-Score]],TRUE)*100,"")</f>
        <v/>
      </c>
      <c r="K5428" s="7" t="str">
        <f>IF(Table1[[#This Row],[Is Data Valid]]=TRUE,_xlfn.NORM.S.DIST(Table1[[#This Row],[Birthweight Z-Score (BW-10%)]],TRUE)*100,"")</f>
        <v/>
      </c>
      <c r="L5428" s="7" t="str">
        <f>IF(Table1[[#This Row],[Is Data Valid]]=TRUE,_xlfn.NORM.S.DIST(Table1[[#This Row],[Birthweight Z-Score (BW+10%)]],TRUE)*100,"")</f>
        <v/>
      </c>
    </row>
    <row r="5429" spans="1:12" x14ac:dyDescent="0.35">
      <c r="A5429" s="3"/>
      <c r="B5429" s="2"/>
      <c r="C5429" s="2"/>
      <c r="D5429" s="2" t="b">
        <f>IF(AND(NOT(ISBLANK(Table1[[#This Row],[Fetal Sex (Male, Female or Unknown)]])),ISNUMBER(Table1[[#This Row],[Birthweight (grams)]]),ISNUMBER(Table1[[#This Row],[Gestation (days)]])),TRUE,FALSE)</f>
        <v>0</v>
      </c>
      <c r="E5429" s="2" t="str">
        <f>IF(Table1[[#This Row],[Is Data Valid]]=TRUE,IF(Table1[[#This Row],[Fetal Sex (Male, Female or Unknown)]]="Male",Backend!$C$6,IF(Table1[[#This Row],[Fetal Sex (Male, Female or Unknown)]]="Female",Backend!$C$7,IF(Table1[[#This Row],[Fetal Sex (Male, Female or Unknown)]]="Unknown",Backend!$C$8,"Error"))),"")</f>
        <v/>
      </c>
      <c r="F5429" s="8" t="str">
        <f>IF(Table1[[#This Row],[Is Data Valid]]=TRUE,EXP(0.578+0.332*((Table1[[#This Row],[Gestation (days)]]+0.5)/7)-0.00354*((Table1[[#This Row],[Gestation (days)]]+0.5)/7)^2)*Table1[[#This Row],[BW40_3705]],"")</f>
        <v/>
      </c>
      <c r="G5429" s="2" t="str">
        <f>IF(Table1[[#This Row],[Is Data Valid]]=TRUE,((Table1[[#This Row],[Birthweight (grams)]]/Table1[[#This Row],[BW_GA]])-1)/(Backend!$B$4/100*Table1[[#This Row],[BW40_3705]]),"")</f>
        <v/>
      </c>
      <c r="H5429" s="7" t="str">
        <f>IF(Table1[[#This Row],[Is Data Valid]]=TRUE,((Table1[[#This Row],[Birthweight (grams)]]*0.9/Table1[[#This Row],[BW_GA]])-1)/(Backend!$B$4/100*Table1[[#This Row],[BW40_3705]]),"")</f>
        <v/>
      </c>
      <c r="I5429" s="7" t="str">
        <f>IF(Table1[[#This Row],[Is Data Valid]]=TRUE,((Table1[[#This Row],[Birthweight (grams)]]*1.1/Table1[[#This Row],[BW_GA]])-1)/(Backend!$B$4/100*Table1[[#This Row],[BW40_3705]]),"")</f>
        <v/>
      </c>
      <c r="J5429" s="7" t="str">
        <f>IF(Table1[[#This Row],[Is Data Valid]]=TRUE,_xlfn.NORM.S.DIST(Table1[[#This Row],[Birthweight Z-Score]],TRUE)*100,"")</f>
        <v/>
      </c>
      <c r="K5429" s="7" t="str">
        <f>IF(Table1[[#This Row],[Is Data Valid]]=TRUE,_xlfn.NORM.S.DIST(Table1[[#This Row],[Birthweight Z-Score (BW-10%)]],TRUE)*100,"")</f>
        <v/>
      </c>
      <c r="L5429" s="7" t="str">
        <f>IF(Table1[[#This Row],[Is Data Valid]]=TRUE,_xlfn.NORM.S.DIST(Table1[[#This Row],[Birthweight Z-Score (BW+10%)]],TRUE)*100,"")</f>
        <v/>
      </c>
    </row>
    <row r="5430" spans="1:12" x14ac:dyDescent="0.35">
      <c r="A5430" s="3"/>
      <c r="B5430" s="2"/>
      <c r="C5430" s="2"/>
      <c r="D5430" s="2" t="b">
        <f>IF(AND(NOT(ISBLANK(Table1[[#This Row],[Fetal Sex (Male, Female or Unknown)]])),ISNUMBER(Table1[[#This Row],[Birthweight (grams)]]),ISNUMBER(Table1[[#This Row],[Gestation (days)]])),TRUE,FALSE)</f>
        <v>0</v>
      </c>
      <c r="E5430" s="2" t="str">
        <f>IF(Table1[[#This Row],[Is Data Valid]]=TRUE,IF(Table1[[#This Row],[Fetal Sex (Male, Female or Unknown)]]="Male",Backend!$C$6,IF(Table1[[#This Row],[Fetal Sex (Male, Female or Unknown)]]="Female",Backend!$C$7,IF(Table1[[#This Row],[Fetal Sex (Male, Female or Unknown)]]="Unknown",Backend!$C$8,"Error"))),"")</f>
        <v/>
      </c>
      <c r="F5430" s="8" t="str">
        <f>IF(Table1[[#This Row],[Is Data Valid]]=TRUE,EXP(0.578+0.332*((Table1[[#This Row],[Gestation (days)]]+0.5)/7)-0.00354*((Table1[[#This Row],[Gestation (days)]]+0.5)/7)^2)*Table1[[#This Row],[BW40_3705]],"")</f>
        <v/>
      </c>
      <c r="G5430" s="2" t="str">
        <f>IF(Table1[[#This Row],[Is Data Valid]]=TRUE,((Table1[[#This Row],[Birthweight (grams)]]/Table1[[#This Row],[BW_GA]])-1)/(Backend!$B$4/100*Table1[[#This Row],[BW40_3705]]),"")</f>
        <v/>
      </c>
      <c r="H5430" s="7" t="str">
        <f>IF(Table1[[#This Row],[Is Data Valid]]=TRUE,((Table1[[#This Row],[Birthweight (grams)]]*0.9/Table1[[#This Row],[BW_GA]])-1)/(Backend!$B$4/100*Table1[[#This Row],[BW40_3705]]),"")</f>
        <v/>
      </c>
      <c r="I5430" s="7" t="str">
        <f>IF(Table1[[#This Row],[Is Data Valid]]=TRUE,((Table1[[#This Row],[Birthweight (grams)]]*1.1/Table1[[#This Row],[BW_GA]])-1)/(Backend!$B$4/100*Table1[[#This Row],[BW40_3705]]),"")</f>
        <v/>
      </c>
      <c r="J5430" s="7" t="str">
        <f>IF(Table1[[#This Row],[Is Data Valid]]=TRUE,_xlfn.NORM.S.DIST(Table1[[#This Row],[Birthweight Z-Score]],TRUE)*100,"")</f>
        <v/>
      </c>
      <c r="K5430" s="7" t="str">
        <f>IF(Table1[[#This Row],[Is Data Valid]]=TRUE,_xlfn.NORM.S.DIST(Table1[[#This Row],[Birthweight Z-Score (BW-10%)]],TRUE)*100,"")</f>
        <v/>
      </c>
      <c r="L5430" s="7" t="str">
        <f>IF(Table1[[#This Row],[Is Data Valid]]=TRUE,_xlfn.NORM.S.DIST(Table1[[#This Row],[Birthweight Z-Score (BW+10%)]],TRUE)*100,"")</f>
        <v/>
      </c>
    </row>
    <row r="5431" spans="1:12" x14ac:dyDescent="0.35">
      <c r="A5431" s="3"/>
      <c r="B5431" s="2"/>
      <c r="C5431" s="2"/>
      <c r="D5431" s="2" t="b">
        <f>IF(AND(NOT(ISBLANK(Table1[[#This Row],[Fetal Sex (Male, Female or Unknown)]])),ISNUMBER(Table1[[#This Row],[Birthweight (grams)]]),ISNUMBER(Table1[[#This Row],[Gestation (days)]])),TRUE,FALSE)</f>
        <v>0</v>
      </c>
      <c r="E5431" s="2" t="str">
        <f>IF(Table1[[#This Row],[Is Data Valid]]=TRUE,IF(Table1[[#This Row],[Fetal Sex (Male, Female or Unknown)]]="Male",Backend!$C$6,IF(Table1[[#This Row],[Fetal Sex (Male, Female or Unknown)]]="Female",Backend!$C$7,IF(Table1[[#This Row],[Fetal Sex (Male, Female or Unknown)]]="Unknown",Backend!$C$8,"Error"))),"")</f>
        <v/>
      </c>
      <c r="F5431" s="8" t="str">
        <f>IF(Table1[[#This Row],[Is Data Valid]]=TRUE,EXP(0.578+0.332*((Table1[[#This Row],[Gestation (days)]]+0.5)/7)-0.00354*((Table1[[#This Row],[Gestation (days)]]+0.5)/7)^2)*Table1[[#This Row],[BW40_3705]],"")</f>
        <v/>
      </c>
      <c r="G5431" s="2" t="str">
        <f>IF(Table1[[#This Row],[Is Data Valid]]=TRUE,((Table1[[#This Row],[Birthweight (grams)]]/Table1[[#This Row],[BW_GA]])-1)/(Backend!$B$4/100*Table1[[#This Row],[BW40_3705]]),"")</f>
        <v/>
      </c>
      <c r="H5431" s="7" t="str">
        <f>IF(Table1[[#This Row],[Is Data Valid]]=TRUE,((Table1[[#This Row],[Birthweight (grams)]]*0.9/Table1[[#This Row],[BW_GA]])-1)/(Backend!$B$4/100*Table1[[#This Row],[BW40_3705]]),"")</f>
        <v/>
      </c>
      <c r="I5431" s="7" t="str">
        <f>IF(Table1[[#This Row],[Is Data Valid]]=TRUE,((Table1[[#This Row],[Birthweight (grams)]]*1.1/Table1[[#This Row],[BW_GA]])-1)/(Backend!$B$4/100*Table1[[#This Row],[BW40_3705]]),"")</f>
        <v/>
      </c>
      <c r="J5431" s="7" t="str">
        <f>IF(Table1[[#This Row],[Is Data Valid]]=TRUE,_xlfn.NORM.S.DIST(Table1[[#This Row],[Birthweight Z-Score]],TRUE)*100,"")</f>
        <v/>
      </c>
      <c r="K5431" s="7" t="str">
        <f>IF(Table1[[#This Row],[Is Data Valid]]=TRUE,_xlfn.NORM.S.DIST(Table1[[#This Row],[Birthweight Z-Score (BW-10%)]],TRUE)*100,"")</f>
        <v/>
      </c>
      <c r="L5431" s="7" t="str">
        <f>IF(Table1[[#This Row],[Is Data Valid]]=TRUE,_xlfn.NORM.S.DIST(Table1[[#This Row],[Birthweight Z-Score (BW+10%)]],TRUE)*100,"")</f>
        <v/>
      </c>
    </row>
    <row r="5432" spans="1:12" x14ac:dyDescent="0.35">
      <c r="A5432" s="3"/>
      <c r="B5432" s="2"/>
      <c r="C5432" s="2"/>
      <c r="D5432" s="2" t="b">
        <f>IF(AND(NOT(ISBLANK(Table1[[#This Row],[Fetal Sex (Male, Female or Unknown)]])),ISNUMBER(Table1[[#This Row],[Birthweight (grams)]]),ISNUMBER(Table1[[#This Row],[Gestation (days)]])),TRUE,FALSE)</f>
        <v>0</v>
      </c>
      <c r="E5432" s="2" t="str">
        <f>IF(Table1[[#This Row],[Is Data Valid]]=TRUE,IF(Table1[[#This Row],[Fetal Sex (Male, Female or Unknown)]]="Male",Backend!$C$6,IF(Table1[[#This Row],[Fetal Sex (Male, Female or Unknown)]]="Female",Backend!$C$7,IF(Table1[[#This Row],[Fetal Sex (Male, Female or Unknown)]]="Unknown",Backend!$C$8,"Error"))),"")</f>
        <v/>
      </c>
      <c r="F5432" s="8" t="str">
        <f>IF(Table1[[#This Row],[Is Data Valid]]=TRUE,EXP(0.578+0.332*((Table1[[#This Row],[Gestation (days)]]+0.5)/7)-0.00354*((Table1[[#This Row],[Gestation (days)]]+0.5)/7)^2)*Table1[[#This Row],[BW40_3705]],"")</f>
        <v/>
      </c>
      <c r="G5432" s="2" t="str">
        <f>IF(Table1[[#This Row],[Is Data Valid]]=TRUE,((Table1[[#This Row],[Birthweight (grams)]]/Table1[[#This Row],[BW_GA]])-1)/(Backend!$B$4/100*Table1[[#This Row],[BW40_3705]]),"")</f>
        <v/>
      </c>
      <c r="H5432" s="7" t="str">
        <f>IF(Table1[[#This Row],[Is Data Valid]]=TRUE,((Table1[[#This Row],[Birthweight (grams)]]*0.9/Table1[[#This Row],[BW_GA]])-1)/(Backend!$B$4/100*Table1[[#This Row],[BW40_3705]]),"")</f>
        <v/>
      </c>
      <c r="I5432" s="7" t="str">
        <f>IF(Table1[[#This Row],[Is Data Valid]]=TRUE,((Table1[[#This Row],[Birthweight (grams)]]*1.1/Table1[[#This Row],[BW_GA]])-1)/(Backend!$B$4/100*Table1[[#This Row],[BW40_3705]]),"")</f>
        <v/>
      </c>
      <c r="J5432" s="7" t="str">
        <f>IF(Table1[[#This Row],[Is Data Valid]]=TRUE,_xlfn.NORM.S.DIST(Table1[[#This Row],[Birthweight Z-Score]],TRUE)*100,"")</f>
        <v/>
      </c>
      <c r="K5432" s="7" t="str">
        <f>IF(Table1[[#This Row],[Is Data Valid]]=TRUE,_xlfn.NORM.S.DIST(Table1[[#This Row],[Birthweight Z-Score (BW-10%)]],TRUE)*100,"")</f>
        <v/>
      </c>
      <c r="L5432" s="7" t="str">
        <f>IF(Table1[[#This Row],[Is Data Valid]]=TRUE,_xlfn.NORM.S.DIST(Table1[[#This Row],[Birthweight Z-Score (BW+10%)]],TRUE)*100,"")</f>
        <v/>
      </c>
    </row>
    <row r="5433" spans="1:12" x14ac:dyDescent="0.35">
      <c r="A5433" s="3"/>
      <c r="B5433" s="2"/>
      <c r="C5433" s="2"/>
      <c r="D5433" s="2" t="b">
        <f>IF(AND(NOT(ISBLANK(Table1[[#This Row],[Fetal Sex (Male, Female or Unknown)]])),ISNUMBER(Table1[[#This Row],[Birthweight (grams)]]),ISNUMBER(Table1[[#This Row],[Gestation (days)]])),TRUE,FALSE)</f>
        <v>0</v>
      </c>
      <c r="E5433" s="2" t="str">
        <f>IF(Table1[[#This Row],[Is Data Valid]]=TRUE,IF(Table1[[#This Row],[Fetal Sex (Male, Female or Unknown)]]="Male",Backend!$C$6,IF(Table1[[#This Row],[Fetal Sex (Male, Female or Unknown)]]="Female",Backend!$C$7,IF(Table1[[#This Row],[Fetal Sex (Male, Female or Unknown)]]="Unknown",Backend!$C$8,"Error"))),"")</f>
        <v/>
      </c>
      <c r="F5433" s="8" t="str">
        <f>IF(Table1[[#This Row],[Is Data Valid]]=TRUE,EXP(0.578+0.332*((Table1[[#This Row],[Gestation (days)]]+0.5)/7)-0.00354*((Table1[[#This Row],[Gestation (days)]]+0.5)/7)^2)*Table1[[#This Row],[BW40_3705]],"")</f>
        <v/>
      </c>
      <c r="G5433" s="2" t="str">
        <f>IF(Table1[[#This Row],[Is Data Valid]]=TRUE,((Table1[[#This Row],[Birthweight (grams)]]/Table1[[#This Row],[BW_GA]])-1)/(Backend!$B$4/100*Table1[[#This Row],[BW40_3705]]),"")</f>
        <v/>
      </c>
      <c r="H5433" s="7" t="str">
        <f>IF(Table1[[#This Row],[Is Data Valid]]=TRUE,((Table1[[#This Row],[Birthweight (grams)]]*0.9/Table1[[#This Row],[BW_GA]])-1)/(Backend!$B$4/100*Table1[[#This Row],[BW40_3705]]),"")</f>
        <v/>
      </c>
      <c r="I5433" s="7" t="str">
        <f>IF(Table1[[#This Row],[Is Data Valid]]=TRUE,((Table1[[#This Row],[Birthweight (grams)]]*1.1/Table1[[#This Row],[BW_GA]])-1)/(Backend!$B$4/100*Table1[[#This Row],[BW40_3705]]),"")</f>
        <v/>
      </c>
      <c r="J5433" s="7" t="str">
        <f>IF(Table1[[#This Row],[Is Data Valid]]=TRUE,_xlfn.NORM.S.DIST(Table1[[#This Row],[Birthweight Z-Score]],TRUE)*100,"")</f>
        <v/>
      </c>
      <c r="K5433" s="7" t="str">
        <f>IF(Table1[[#This Row],[Is Data Valid]]=TRUE,_xlfn.NORM.S.DIST(Table1[[#This Row],[Birthweight Z-Score (BW-10%)]],TRUE)*100,"")</f>
        <v/>
      </c>
      <c r="L5433" s="7" t="str">
        <f>IF(Table1[[#This Row],[Is Data Valid]]=TRUE,_xlfn.NORM.S.DIST(Table1[[#This Row],[Birthweight Z-Score (BW+10%)]],TRUE)*100,"")</f>
        <v/>
      </c>
    </row>
    <row r="5434" spans="1:12" x14ac:dyDescent="0.35">
      <c r="A5434" s="3"/>
      <c r="B5434" s="2"/>
      <c r="C5434" s="2"/>
      <c r="D5434" s="2" t="b">
        <f>IF(AND(NOT(ISBLANK(Table1[[#This Row],[Fetal Sex (Male, Female or Unknown)]])),ISNUMBER(Table1[[#This Row],[Birthweight (grams)]]),ISNUMBER(Table1[[#This Row],[Gestation (days)]])),TRUE,FALSE)</f>
        <v>0</v>
      </c>
      <c r="E5434" s="2" t="str">
        <f>IF(Table1[[#This Row],[Is Data Valid]]=TRUE,IF(Table1[[#This Row],[Fetal Sex (Male, Female or Unknown)]]="Male",Backend!$C$6,IF(Table1[[#This Row],[Fetal Sex (Male, Female or Unknown)]]="Female",Backend!$C$7,IF(Table1[[#This Row],[Fetal Sex (Male, Female or Unknown)]]="Unknown",Backend!$C$8,"Error"))),"")</f>
        <v/>
      </c>
      <c r="F5434" s="8" t="str">
        <f>IF(Table1[[#This Row],[Is Data Valid]]=TRUE,EXP(0.578+0.332*((Table1[[#This Row],[Gestation (days)]]+0.5)/7)-0.00354*((Table1[[#This Row],[Gestation (days)]]+0.5)/7)^2)*Table1[[#This Row],[BW40_3705]],"")</f>
        <v/>
      </c>
      <c r="G5434" s="2" t="str">
        <f>IF(Table1[[#This Row],[Is Data Valid]]=TRUE,((Table1[[#This Row],[Birthweight (grams)]]/Table1[[#This Row],[BW_GA]])-1)/(Backend!$B$4/100*Table1[[#This Row],[BW40_3705]]),"")</f>
        <v/>
      </c>
      <c r="H5434" s="7" t="str">
        <f>IF(Table1[[#This Row],[Is Data Valid]]=TRUE,((Table1[[#This Row],[Birthweight (grams)]]*0.9/Table1[[#This Row],[BW_GA]])-1)/(Backend!$B$4/100*Table1[[#This Row],[BW40_3705]]),"")</f>
        <v/>
      </c>
      <c r="I5434" s="7" t="str">
        <f>IF(Table1[[#This Row],[Is Data Valid]]=TRUE,((Table1[[#This Row],[Birthweight (grams)]]*1.1/Table1[[#This Row],[BW_GA]])-1)/(Backend!$B$4/100*Table1[[#This Row],[BW40_3705]]),"")</f>
        <v/>
      </c>
      <c r="J5434" s="7" t="str">
        <f>IF(Table1[[#This Row],[Is Data Valid]]=TRUE,_xlfn.NORM.S.DIST(Table1[[#This Row],[Birthweight Z-Score]],TRUE)*100,"")</f>
        <v/>
      </c>
      <c r="K5434" s="7" t="str">
        <f>IF(Table1[[#This Row],[Is Data Valid]]=TRUE,_xlfn.NORM.S.DIST(Table1[[#This Row],[Birthweight Z-Score (BW-10%)]],TRUE)*100,"")</f>
        <v/>
      </c>
      <c r="L5434" s="7" t="str">
        <f>IF(Table1[[#This Row],[Is Data Valid]]=TRUE,_xlfn.NORM.S.DIST(Table1[[#This Row],[Birthweight Z-Score (BW+10%)]],TRUE)*100,"")</f>
        <v/>
      </c>
    </row>
    <row r="5435" spans="1:12" x14ac:dyDescent="0.35">
      <c r="A5435" s="3"/>
      <c r="B5435" s="2"/>
      <c r="C5435" s="2"/>
      <c r="D5435" s="2" t="b">
        <f>IF(AND(NOT(ISBLANK(Table1[[#This Row],[Fetal Sex (Male, Female or Unknown)]])),ISNUMBER(Table1[[#This Row],[Birthweight (grams)]]),ISNUMBER(Table1[[#This Row],[Gestation (days)]])),TRUE,FALSE)</f>
        <v>0</v>
      </c>
      <c r="E5435" s="2" t="str">
        <f>IF(Table1[[#This Row],[Is Data Valid]]=TRUE,IF(Table1[[#This Row],[Fetal Sex (Male, Female or Unknown)]]="Male",Backend!$C$6,IF(Table1[[#This Row],[Fetal Sex (Male, Female or Unknown)]]="Female",Backend!$C$7,IF(Table1[[#This Row],[Fetal Sex (Male, Female or Unknown)]]="Unknown",Backend!$C$8,"Error"))),"")</f>
        <v/>
      </c>
      <c r="F5435" s="8" t="str">
        <f>IF(Table1[[#This Row],[Is Data Valid]]=TRUE,EXP(0.578+0.332*((Table1[[#This Row],[Gestation (days)]]+0.5)/7)-0.00354*((Table1[[#This Row],[Gestation (days)]]+0.5)/7)^2)*Table1[[#This Row],[BW40_3705]],"")</f>
        <v/>
      </c>
      <c r="G5435" s="2" t="str">
        <f>IF(Table1[[#This Row],[Is Data Valid]]=TRUE,((Table1[[#This Row],[Birthweight (grams)]]/Table1[[#This Row],[BW_GA]])-1)/(Backend!$B$4/100*Table1[[#This Row],[BW40_3705]]),"")</f>
        <v/>
      </c>
      <c r="H5435" s="7" t="str">
        <f>IF(Table1[[#This Row],[Is Data Valid]]=TRUE,((Table1[[#This Row],[Birthweight (grams)]]*0.9/Table1[[#This Row],[BW_GA]])-1)/(Backend!$B$4/100*Table1[[#This Row],[BW40_3705]]),"")</f>
        <v/>
      </c>
      <c r="I5435" s="7" t="str">
        <f>IF(Table1[[#This Row],[Is Data Valid]]=TRUE,((Table1[[#This Row],[Birthweight (grams)]]*1.1/Table1[[#This Row],[BW_GA]])-1)/(Backend!$B$4/100*Table1[[#This Row],[BW40_3705]]),"")</f>
        <v/>
      </c>
      <c r="J5435" s="7" t="str">
        <f>IF(Table1[[#This Row],[Is Data Valid]]=TRUE,_xlfn.NORM.S.DIST(Table1[[#This Row],[Birthweight Z-Score]],TRUE)*100,"")</f>
        <v/>
      </c>
      <c r="K5435" s="7" t="str">
        <f>IF(Table1[[#This Row],[Is Data Valid]]=TRUE,_xlfn.NORM.S.DIST(Table1[[#This Row],[Birthweight Z-Score (BW-10%)]],TRUE)*100,"")</f>
        <v/>
      </c>
      <c r="L5435" s="7" t="str">
        <f>IF(Table1[[#This Row],[Is Data Valid]]=TRUE,_xlfn.NORM.S.DIST(Table1[[#This Row],[Birthweight Z-Score (BW+10%)]],TRUE)*100,"")</f>
        <v/>
      </c>
    </row>
    <row r="5436" spans="1:12" x14ac:dyDescent="0.35">
      <c r="A5436" s="3"/>
      <c r="B5436" s="2"/>
      <c r="C5436" s="2"/>
      <c r="D5436" s="2" t="b">
        <f>IF(AND(NOT(ISBLANK(Table1[[#This Row],[Fetal Sex (Male, Female or Unknown)]])),ISNUMBER(Table1[[#This Row],[Birthweight (grams)]]),ISNUMBER(Table1[[#This Row],[Gestation (days)]])),TRUE,FALSE)</f>
        <v>0</v>
      </c>
      <c r="E5436" s="2" t="str">
        <f>IF(Table1[[#This Row],[Is Data Valid]]=TRUE,IF(Table1[[#This Row],[Fetal Sex (Male, Female or Unknown)]]="Male",Backend!$C$6,IF(Table1[[#This Row],[Fetal Sex (Male, Female or Unknown)]]="Female",Backend!$C$7,IF(Table1[[#This Row],[Fetal Sex (Male, Female or Unknown)]]="Unknown",Backend!$C$8,"Error"))),"")</f>
        <v/>
      </c>
      <c r="F5436" s="8" t="str">
        <f>IF(Table1[[#This Row],[Is Data Valid]]=TRUE,EXP(0.578+0.332*((Table1[[#This Row],[Gestation (days)]]+0.5)/7)-0.00354*((Table1[[#This Row],[Gestation (days)]]+0.5)/7)^2)*Table1[[#This Row],[BW40_3705]],"")</f>
        <v/>
      </c>
      <c r="G5436" s="2" t="str">
        <f>IF(Table1[[#This Row],[Is Data Valid]]=TRUE,((Table1[[#This Row],[Birthweight (grams)]]/Table1[[#This Row],[BW_GA]])-1)/(Backend!$B$4/100*Table1[[#This Row],[BW40_3705]]),"")</f>
        <v/>
      </c>
      <c r="H5436" s="7" t="str">
        <f>IF(Table1[[#This Row],[Is Data Valid]]=TRUE,((Table1[[#This Row],[Birthweight (grams)]]*0.9/Table1[[#This Row],[BW_GA]])-1)/(Backend!$B$4/100*Table1[[#This Row],[BW40_3705]]),"")</f>
        <v/>
      </c>
      <c r="I5436" s="7" t="str">
        <f>IF(Table1[[#This Row],[Is Data Valid]]=TRUE,((Table1[[#This Row],[Birthweight (grams)]]*1.1/Table1[[#This Row],[BW_GA]])-1)/(Backend!$B$4/100*Table1[[#This Row],[BW40_3705]]),"")</f>
        <v/>
      </c>
      <c r="J5436" s="7" t="str">
        <f>IF(Table1[[#This Row],[Is Data Valid]]=TRUE,_xlfn.NORM.S.DIST(Table1[[#This Row],[Birthweight Z-Score]],TRUE)*100,"")</f>
        <v/>
      </c>
      <c r="K5436" s="7" t="str">
        <f>IF(Table1[[#This Row],[Is Data Valid]]=TRUE,_xlfn.NORM.S.DIST(Table1[[#This Row],[Birthweight Z-Score (BW-10%)]],TRUE)*100,"")</f>
        <v/>
      </c>
      <c r="L5436" s="7" t="str">
        <f>IF(Table1[[#This Row],[Is Data Valid]]=TRUE,_xlfn.NORM.S.DIST(Table1[[#This Row],[Birthweight Z-Score (BW+10%)]],TRUE)*100,"")</f>
        <v/>
      </c>
    </row>
    <row r="5437" spans="1:12" x14ac:dyDescent="0.35">
      <c r="A5437" s="3"/>
      <c r="B5437" s="2"/>
      <c r="C5437" s="2"/>
      <c r="D5437" s="2" t="b">
        <f>IF(AND(NOT(ISBLANK(Table1[[#This Row],[Fetal Sex (Male, Female or Unknown)]])),ISNUMBER(Table1[[#This Row],[Birthweight (grams)]]),ISNUMBER(Table1[[#This Row],[Gestation (days)]])),TRUE,FALSE)</f>
        <v>0</v>
      </c>
      <c r="E5437" s="2" t="str">
        <f>IF(Table1[[#This Row],[Is Data Valid]]=TRUE,IF(Table1[[#This Row],[Fetal Sex (Male, Female or Unknown)]]="Male",Backend!$C$6,IF(Table1[[#This Row],[Fetal Sex (Male, Female or Unknown)]]="Female",Backend!$C$7,IF(Table1[[#This Row],[Fetal Sex (Male, Female or Unknown)]]="Unknown",Backend!$C$8,"Error"))),"")</f>
        <v/>
      </c>
      <c r="F5437" s="8" t="str">
        <f>IF(Table1[[#This Row],[Is Data Valid]]=TRUE,EXP(0.578+0.332*((Table1[[#This Row],[Gestation (days)]]+0.5)/7)-0.00354*((Table1[[#This Row],[Gestation (days)]]+0.5)/7)^2)*Table1[[#This Row],[BW40_3705]],"")</f>
        <v/>
      </c>
      <c r="G5437" s="2" t="str">
        <f>IF(Table1[[#This Row],[Is Data Valid]]=TRUE,((Table1[[#This Row],[Birthweight (grams)]]/Table1[[#This Row],[BW_GA]])-1)/(Backend!$B$4/100*Table1[[#This Row],[BW40_3705]]),"")</f>
        <v/>
      </c>
      <c r="H5437" s="7" t="str">
        <f>IF(Table1[[#This Row],[Is Data Valid]]=TRUE,((Table1[[#This Row],[Birthweight (grams)]]*0.9/Table1[[#This Row],[BW_GA]])-1)/(Backend!$B$4/100*Table1[[#This Row],[BW40_3705]]),"")</f>
        <v/>
      </c>
      <c r="I5437" s="7" t="str">
        <f>IF(Table1[[#This Row],[Is Data Valid]]=TRUE,((Table1[[#This Row],[Birthweight (grams)]]*1.1/Table1[[#This Row],[BW_GA]])-1)/(Backend!$B$4/100*Table1[[#This Row],[BW40_3705]]),"")</f>
        <v/>
      </c>
      <c r="J5437" s="7" t="str">
        <f>IF(Table1[[#This Row],[Is Data Valid]]=TRUE,_xlfn.NORM.S.DIST(Table1[[#This Row],[Birthweight Z-Score]],TRUE)*100,"")</f>
        <v/>
      </c>
      <c r="K5437" s="7" t="str">
        <f>IF(Table1[[#This Row],[Is Data Valid]]=TRUE,_xlfn.NORM.S.DIST(Table1[[#This Row],[Birthweight Z-Score (BW-10%)]],TRUE)*100,"")</f>
        <v/>
      </c>
      <c r="L5437" s="7" t="str">
        <f>IF(Table1[[#This Row],[Is Data Valid]]=TRUE,_xlfn.NORM.S.DIST(Table1[[#This Row],[Birthweight Z-Score (BW+10%)]],TRUE)*100,"")</f>
        <v/>
      </c>
    </row>
    <row r="5438" spans="1:12" x14ac:dyDescent="0.35">
      <c r="A5438" s="3"/>
      <c r="B5438" s="2"/>
      <c r="C5438" s="2"/>
      <c r="D5438" s="2" t="b">
        <f>IF(AND(NOT(ISBLANK(Table1[[#This Row],[Fetal Sex (Male, Female or Unknown)]])),ISNUMBER(Table1[[#This Row],[Birthweight (grams)]]),ISNUMBER(Table1[[#This Row],[Gestation (days)]])),TRUE,FALSE)</f>
        <v>0</v>
      </c>
      <c r="E5438" s="2" t="str">
        <f>IF(Table1[[#This Row],[Is Data Valid]]=TRUE,IF(Table1[[#This Row],[Fetal Sex (Male, Female or Unknown)]]="Male",Backend!$C$6,IF(Table1[[#This Row],[Fetal Sex (Male, Female or Unknown)]]="Female",Backend!$C$7,IF(Table1[[#This Row],[Fetal Sex (Male, Female or Unknown)]]="Unknown",Backend!$C$8,"Error"))),"")</f>
        <v/>
      </c>
      <c r="F5438" s="8" t="str">
        <f>IF(Table1[[#This Row],[Is Data Valid]]=TRUE,EXP(0.578+0.332*((Table1[[#This Row],[Gestation (days)]]+0.5)/7)-0.00354*((Table1[[#This Row],[Gestation (days)]]+0.5)/7)^2)*Table1[[#This Row],[BW40_3705]],"")</f>
        <v/>
      </c>
      <c r="G5438" s="2" t="str">
        <f>IF(Table1[[#This Row],[Is Data Valid]]=TRUE,((Table1[[#This Row],[Birthweight (grams)]]/Table1[[#This Row],[BW_GA]])-1)/(Backend!$B$4/100*Table1[[#This Row],[BW40_3705]]),"")</f>
        <v/>
      </c>
      <c r="H5438" s="7" t="str">
        <f>IF(Table1[[#This Row],[Is Data Valid]]=TRUE,((Table1[[#This Row],[Birthweight (grams)]]*0.9/Table1[[#This Row],[BW_GA]])-1)/(Backend!$B$4/100*Table1[[#This Row],[BW40_3705]]),"")</f>
        <v/>
      </c>
      <c r="I5438" s="7" t="str">
        <f>IF(Table1[[#This Row],[Is Data Valid]]=TRUE,((Table1[[#This Row],[Birthweight (grams)]]*1.1/Table1[[#This Row],[BW_GA]])-1)/(Backend!$B$4/100*Table1[[#This Row],[BW40_3705]]),"")</f>
        <v/>
      </c>
      <c r="J5438" s="7" t="str">
        <f>IF(Table1[[#This Row],[Is Data Valid]]=TRUE,_xlfn.NORM.S.DIST(Table1[[#This Row],[Birthweight Z-Score]],TRUE)*100,"")</f>
        <v/>
      </c>
      <c r="K5438" s="7" t="str">
        <f>IF(Table1[[#This Row],[Is Data Valid]]=TRUE,_xlfn.NORM.S.DIST(Table1[[#This Row],[Birthweight Z-Score (BW-10%)]],TRUE)*100,"")</f>
        <v/>
      </c>
      <c r="L5438" s="7" t="str">
        <f>IF(Table1[[#This Row],[Is Data Valid]]=TRUE,_xlfn.NORM.S.DIST(Table1[[#This Row],[Birthweight Z-Score (BW+10%)]],TRUE)*100,"")</f>
        <v/>
      </c>
    </row>
    <row r="5439" spans="1:12" x14ac:dyDescent="0.35">
      <c r="A5439" s="3"/>
      <c r="B5439" s="2"/>
      <c r="C5439" s="2"/>
      <c r="D5439" s="2" t="b">
        <f>IF(AND(NOT(ISBLANK(Table1[[#This Row],[Fetal Sex (Male, Female or Unknown)]])),ISNUMBER(Table1[[#This Row],[Birthweight (grams)]]),ISNUMBER(Table1[[#This Row],[Gestation (days)]])),TRUE,FALSE)</f>
        <v>0</v>
      </c>
      <c r="E5439" s="2" t="str">
        <f>IF(Table1[[#This Row],[Is Data Valid]]=TRUE,IF(Table1[[#This Row],[Fetal Sex (Male, Female or Unknown)]]="Male",Backend!$C$6,IF(Table1[[#This Row],[Fetal Sex (Male, Female or Unknown)]]="Female",Backend!$C$7,IF(Table1[[#This Row],[Fetal Sex (Male, Female or Unknown)]]="Unknown",Backend!$C$8,"Error"))),"")</f>
        <v/>
      </c>
      <c r="F5439" s="8" t="str">
        <f>IF(Table1[[#This Row],[Is Data Valid]]=TRUE,EXP(0.578+0.332*((Table1[[#This Row],[Gestation (days)]]+0.5)/7)-0.00354*((Table1[[#This Row],[Gestation (days)]]+0.5)/7)^2)*Table1[[#This Row],[BW40_3705]],"")</f>
        <v/>
      </c>
      <c r="G5439" s="2" t="str">
        <f>IF(Table1[[#This Row],[Is Data Valid]]=TRUE,((Table1[[#This Row],[Birthweight (grams)]]/Table1[[#This Row],[BW_GA]])-1)/(Backend!$B$4/100*Table1[[#This Row],[BW40_3705]]),"")</f>
        <v/>
      </c>
      <c r="H5439" s="7" t="str">
        <f>IF(Table1[[#This Row],[Is Data Valid]]=TRUE,((Table1[[#This Row],[Birthweight (grams)]]*0.9/Table1[[#This Row],[BW_GA]])-1)/(Backend!$B$4/100*Table1[[#This Row],[BW40_3705]]),"")</f>
        <v/>
      </c>
      <c r="I5439" s="7" t="str">
        <f>IF(Table1[[#This Row],[Is Data Valid]]=TRUE,((Table1[[#This Row],[Birthweight (grams)]]*1.1/Table1[[#This Row],[BW_GA]])-1)/(Backend!$B$4/100*Table1[[#This Row],[BW40_3705]]),"")</f>
        <v/>
      </c>
      <c r="J5439" s="7" t="str">
        <f>IF(Table1[[#This Row],[Is Data Valid]]=TRUE,_xlfn.NORM.S.DIST(Table1[[#This Row],[Birthweight Z-Score]],TRUE)*100,"")</f>
        <v/>
      </c>
      <c r="K5439" s="7" t="str">
        <f>IF(Table1[[#This Row],[Is Data Valid]]=TRUE,_xlfn.NORM.S.DIST(Table1[[#This Row],[Birthweight Z-Score (BW-10%)]],TRUE)*100,"")</f>
        <v/>
      </c>
      <c r="L5439" s="7" t="str">
        <f>IF(Table1[[#This Row],[Is Data Valid]]=TRUE,_xlfn.NORM.S.DIST(Table1[[#This Row],[Birthweight Z-Score (BW+10%)]],TRUE)*100,"")</f>
        <v/>
      </c>
    </row>
    <row r="5440" spans="1:12" x14ac:dyDescent="0.35">
      <c r="A5440" s="3"/>
      <c r="B5440" s="2"/>
      <c r="C5440" s="2"/>
      <c r="D5440" s="2" t="b">
        <f>IF(AND(NOT(ISBLANK(Table1[[#This Row],[Fetal Sex (Male, Female or Unknown)]])),ISNUMBER(Table1[[#This Row],[Birthweight (grams)]]),ISNUMBER(Table1[[#This Row],[Gestation (days)]])),TRUE,FALSE)</f>
        <v>0</v>
      </c>
      <c r="E5440" s="2" t="str">
        <f>IF(Table1[[#This Row],[Is Data Valid]]=TRUE,IF(Table1[[#This Row],[Fetal Sex (Male, Female or Unknown)]]="Male",Backend!$C$6,IF(Table1[[#This Row],[Fetal Sex (Male, Female or Unknown)]]="Female",Backend!$C$7,IF(Table1[[#This Row],[Fetal Sex (Male, Female or Unknown)]]="Unknown",Backend!$C$8,"Error"))),"")</f>
        <v/>
      </c>
      <c r="F5440" s="8" t="str">
        <f>IF(Table1[[#This Row],[Is Data Valid]]=TRUE,EXP(0.578+0.332*((Table1[[#This Row],[Gestation (days)]]+0.5)/7)-0.00354*((Table1[[#This Row],[Gestation (days)]]+0.5)/7)^2)*Table1[[#This Row],[BW40_3705]],"")</f>
        <v/>
      </c>
      <c r="G5440" s="2" t="str">
        <f>IF(Table1[[#This Row],[Is Data Valid]]=TRUE,((Table1[[#This Row],[Birthweight (grams)]]/Table1[[#This Row],[BW_GA]])-1)/(Backend!$B$4/100*Table1[[#This Row],[BW40_3705]]),"")</f>
        <v/>
      </c>
      <c r="H5440" s="7" t="str">
        <f>IF(Table1[[#This Row],[Is Data Valid]]=TRUE,((Table1[[#This Row],[Birthweight (grams)]]*0.9/Table1[[#This Row],[BW_GA]])-1)/(Backend!$B$4/100*Table1[[#This Row],[BW40_3705]]),"")</f>
        <v/>
      </c>
      <c r="I5440" s="7" t="str">
        <f>IF(Table1[[#This Row],[Is Data Valid]]=TRUE,((Table1[[#This Row],[Birthweight (grams)]]*1.1/Table1[[#This Row],[BW_GA]])-1)/(Backend!$B$4/100*Table1[[#This Row],[BW40_3705]]),"")</f>
        <v/>
      </c>
      <c r="J5440" s="7" t="str">
        <f>IF(Table1[[#This Row],[Is Data Valid]]=TRUE,_xlfn.NORM.S.DIST(Table1[[#This Row],[Birthweight Z-Score]],TRUE)*100,"")</f>
        <v/>
      </c>
      <c r="K5440" s="7" t="str">
        <f>IF(Table1[[#This Row],[Is Data Valid]]=TRUE,_xlfn.NORM.S.DIST(Table1[[#This Row],[Birthweight Z-Score (BW-10%)]],TRUE)*100,"")</f>
        <v/>
      </c>
      <c r="L5440" s="7" t="str">
        <f>IF(Table1[[#This Row],[Is Data Valid]]=TRUE,_xlfn.NORM.S.DIST(Table1[[#This Row],[Birthweight Z-Score (BW+10%)]],TRUE)*100,"")</f>
        <v/>
      </c>
    </row>
    <row r="5441" spans="1:12" x14ac:dyDescent="0.35">
      <c r="A5441" s="3"/>
      <c r="B5441" s="2"/>
      <c r="C5441" s="2"/>
      <c r="D5441" s="2" t="b">
        <f>IF(AND(NOT(ISBLANK(Table1[[#This Row],[Fetal Sex (Male, Female or Unknown)]])),ISNUMBER(Table1[[#This Row],[Birthweight (grams)]]),ISNUMBER(Table1[[#This Row],[Gestation (days)]])),TRUE,FALSE)</f>
        <v>0</v>
      </c>
      <c r="E5441" s="2" t="str">
        <f>IF(Table1[[#This Row],[Is Data Valid]]=TRUE,IF(Table1[[#This Row],[Fetal Sex (Male, Female or Unknown)]]="Male",Backend!$C$6,IF(Table1[[#This Row],[Fetal Sex (Male, Female or Unknown)]]="Female",Backend!$C$7,IF(Table1[[#This Row],[Fetal Sex (Male, Female or Unknown)]]="Unknown",Backend!$C$8,"Error"))),"")</f>
        <v/>
      </c>
      <c r="F5441" s="8" t="str">
        <f>IF(Table1[[#This Row],[Is Data Valid]]=TRUE,EXP(0.578+0.332*((Table1[[#This Row],[Gestation (days)]]+0.5)/7)-0.00354*((Table1[[#This Row],[Gestation (days)]]+0.5)/7)^2)*Table1[[#This Row],[BW40_3705]],"")</f>
        <v/>
      </c>
      <c r="G5441" s="2" t="str">
        <f>IF(Table1[[#This Row],[Is Data Valid]]=TRUE,((Table1[[#This Row],[Birthweight (grams)]]/Table1[[#This Row],[BW_GA]])-1)/(Backend!$B$4/100*Table1[[#This Row],[BW40_3705]]),"")</f>
        <v/>
      </c>
      <c r="H5441" s="7" t="str">
        <f>IF(Table1[[#This Row],[Is Data Valid]]=TRUE,((Table1[[#This Row],[Birthweight (grams)]]*0.9/Table1[[#This Row],[BW_GA]])-1)/(Backend!$B$4/100*Table1[[#This Row],[BW40_3705]]),"")</f>
        <v/>
      </c>
      <c r="I5441" s="7" t="str">
        <f>IF(Table1[[#This Row],[Is Data Valid]]=TRUE,((Table1[[#This Row],[Birthweight (grams)]]*1.1/Table1[[#This Row],[BW_GA]])-1)/(Backend!$B$4/100*Table1[[#This Row],[BW40_3705]]),"")</f>
        <v/>
      </c>
      <c r="J5441" s="7" t="str">
        <f>IF(Table1[[#This Row],[Is Data Valid]]=TRUE,_xlfn.NORM.S.DIST(Table1[[#This Row],[Birthweight Z-Score]],TRUE)*100,"")</f>
        <v/>
      </c>
      <c r="K5441" s="7" t="str">
        <f>IF(Table1[[#This Row],[Is Data Valid]]=TRUE,_xlfn.NORM.S.DIST(Table1[[#This Row],[Birthweight Z-Score (BW-10%)]],TRUE)*100,"")</f>
        <v/>
      </c>
      <c r="L5441" s="7" t="str">
        <f>IF(Table1[[#This Row],[Is Data Valid]]=TRUE,_xlfn.NORM.S.DIST(Table1[[#This Row],[Birthweight Z-Score (BW+10%)]],TRUE)*100,"")</f>
        <v/>
      </c>
    </row>
    <row r="5442" spans="1:12" x14ac:dyDescent="0.35">
      <c r="A5442" s="3"/>
      <c r="B5442" s="2"/>
      <c r="C5442" s="2"/>
      <c r="D5442" s="2" t="b">
        <f>IF(AND(NOT(ISBLANK(Table1[[#This Row],[Fetal Sex (Male, Female or Unknown)]])),ISNUMBER(Table1[[#This Row],[Birthweight (grams)]]),ISNUMBER(Table1[[#This Row],[Gestation (days)]])),TRUE,FALSE)</f>
        <v>0</v>
      </c>
      <c r="E5442" s="2" t="str">
        <f>IF(Table1[[#This Row],[Is Data Valid]]=TRUE,IF(Table1[[#This Row],[Fetal Sex (Male, Female or Unknown)]]="Male",Backend!$C$6,IF(Table1[[#This Row],[Fetal Sex (Male, Female or Unknown)]]="Female",Backend!$C$7,IF(Table1[[#This Row],[Fetal Sex (Male, Female or Unknown)]]="Unknown",Backend!$C$8,"Error"))),"")</f>
        <v/>
      </c>
      <c r="F5442" s="8" t="str">
        <f>IF(Table1[[#This Row],[Is Data Valid]]=TRUE,EXP(0.578+0.332*((Table1[[#This Row],[Gestation (days)]]+0.5)/7)-0.00354*((Table1[[#This Row],[Gestation (days)]]+0.5)/7)^2)*Table1[[#This Row],[BW40_3705]],"")</f>
        <v/>
      </c>
      <c r="G5442" s="2" t="str">
        <f>IF(Table1[[#This Row],[Is Data Valid]]=TRUE,((Table1[[#This Row],[Birthweight (grams)]]/Table1[[#This Row],[BW_GA]])-1)/(Backend!$B$4/100*Table1[[#This Row],[BW40_3705]]),"")</f>
        <v/>
      </c>
      <c r="H5442" s="7" t="str">
        <f>IF(Table1[[#This Row],[Is Data Valid]]=TRUE,((Table1[[#This Row],[Birthweight (grams)]]*0.9/Table1[[#This Row],[BW_GA]])-1)/(Backend!$B$4/100*Table1[[#This Row],[BW40_3705]]),"")</f>
        <v/>
      </c>
      <c r="I5442" s="7" t="str">
        <f>IF(Table1[[#This Row],[Is Data Valid]]=TRUE,((Table1[[#This Row],[Birthweight (grams)]]*1.1/Table1[[#This Row],[BW_GA]])-1)/(Backend!$B$4/100*Table1[[#This Row],[BW40_3705]]),"")</f>
        <v/>
      </c>
      <c r="J5442" s="7" t="str">
        <f>IF(Table1[[#This Row],[Is Data Valid]]=TRUE,_xlfn.NORM.S.DIST(Table1[[#This Row],[Birthweight Z-Score]],TRUE)*100,"")</f>
        <v/>
      </c>
      <c r="K5442" s="7" t="str">
        <f>IF(Table1[[#This Row],[Is Data Valid]]=TRUE,_xlfn.NORM.S.DIST(Table1[[#This Row],[Birthweight Z-Score (BW-10%)]],TRUE)*100,"")</f>
        <v/>
      </c>
      <c r="L5442" s="7" t="str">
        <f>IF(Table1[[#This Row],[Is Data Valid]]=TRUE,_xlfn.NORM.S.DIST(Table1[[#This Row],[Birthweight Z-Score (BW+10%)]],TRUE)*100,"")</f>
        <v/>
      </c>
    </row>
    <row r="5443" spans="1:12" x14ac:dyDescent="0.35">
      <c r="A5443" s="3"/>
      <c r="B5443" s="2"/>
      <c r="C5443" s="2"/>
      <c r="D5443" s="2" t="b">
        <f>IF(AND(NOT(ISBLANK(Table1[[#This Row],[Fetal Sex (Male, Female or Unknown)]])),ISNUMBER(Table1[[#This Row],[Birthweight (grams)]]),ISNUMBER(Table1[[#This Row],[Gestation (days)]])),TRUE,FALSE)</f>
        <v>0</v>
      </c>
      <c r="E5443" s="2" t="str">
        <f>IF(Table1[[#This Row],[Is Data Valid]]=TRUE,IF(Table1[[#This Row],[Fetal Sex (Male, Female or Unknown)]]="Male",Backend!$C$6,IF(Table1[[#This Row],[Fetal Sex (Male, Female or Unknown)]]="Female",Backend!$C$7,IF(Table1[[#This Row],[Fetal Sex (Male, Female or Unknown)]]="Unknown",Backend!$C$8,"Error"))),"")</f>
        <v/>
      </c>
      <c r="F5443" s="8" t="str">
        <f>IF(Table1[[#This Row],[Is Data Valid]]=TRUE,EXP(0.578+0.332*((Table1[[#This Row],[Gestation (days)]]+0.5)/7)-0.00354*((Table1[[#This Row],[Gestation (days)]]+0.5)/7)^2)*Table1[[#This Row],[BW40_3705]],"")</f>
        <v/>
      </c>
      <c r="G5443" s="2" t="str">
        <f>IF(Table1[[#This Row],[Is Data Valid]]=TRUE,((Table1[[#This Row],[Birthweight (grams)]]/Table1[[#This Row],[BW_GA]])-1)/(Backend!$B$4/100*Table1[[#This Row],[BW40_3705]]),"")</f>
        <v/>
      </c>
      <c r="H5443" s="7" t="str">
        <f>IF(Table1[[#This Row],[Is Data Valid]]=TRUE,((Table1[[#This Row],[Birthweight (grams)]]*0.9/Table1[[#This Row],[BW_GA]])-1)/(Backend!$B$4/100*Table1[[#This Row],[BW40_3705]]),"")</f>
        <v/>
      </c>
      <c r="I5443" s="7" t="str">
        <f>IF(Table1[[#This Row],[Is Data Valid]]=TRUE,((Table1[[#This Row],[Birthweight (grams)]]*1.1/Table1[[#This Row],[BW_GA]])-1)/(Backend!$B$4/100*Table1[[#This Row],[BW40_3705]]),"")</f>
        <v/>
      </c>
      <c r="J5443" s="7" t="str">
        <f>IF(Table1[[#This Row],[Is Data Valid]]=TRUE,_xlfn.NORM.S.DIST(Table1[[#This Row],[Birthweight Z-Score]],TRUE)*100,"")</f>
        <v/>
      </c>
      <c r="K5443" s="7" t="str">
        <f>IF(Table1[[#This Row],[Is Data Valid]]=TRUE,_xlfn.NORM.S.DIST(Table1[[#This Row],[Birthweight Z-Score (BW-10%)]],TRUE)*100,"")</f>
        <v/>
      </c>
      <c r="L5443" s="7" t="str">
        <f>IF(Table1[[#This Row],[Is Data Valid]]=TRUE,_xlfn.NORM.S.DIST(Table1[[#This Row],[Birthweight Z-Score (BW+10%)]],TRUE)*100,"")</f>
        <v/>
      </c>
    </row>
    <row r="5444" spans="1:12" x14ac:dyDescent="0.35">
      <c r="A5444" s="3"/>
      <c r="B5444" s="2"/>
      <c r="C5444" s="2"/>
      <c r="D5444" s="2" t="b">
        <f>IF(AND(NOT(ISBLANK(Table1[[#This Row],[Fetal Sex (Male, Female or Unknown)]])),ISNUMBER(Table1[[#This Row],[Birthweight (grams)]]),ISNUMBER(Table1[[#This Row],[Gestation (days)]])),TRUE,FALSE)</f>
        <v>0</v>
      </c>
      <c r="E5444" s="2" t="str">
        <f>IF(Table1[[#This Row],[Is Data Valid]]=TRUE,IF(Table1[[#This Row],[Fetal Sex (Male, Female or Unknown)]]="Male",Backend!$C$6,IF(Table1[[#This Row],[Fetal Sex (Male, Female or Unknown)]]="Female",Backend!$C$7,IF(Table1[[#This Row],[Fetal Sex (Male, Female or Unknown)]]="Unknown",Backend!$C$8,"Error"))),"")</f>
        <v/>
      </c>
      <c r="F5444" s="8" t="str">
        <f>IF(Table1[[#This Row],[Is Data Valid]]=TRUE,EXP(0.578+0.332*((Table1[[#This Row],[Gestation (days)]]+0.5)/7)-0.00354*((Table1[[#This Row],[Gestation (days)]]+0.5)/7)^2)*Table1[[#This Row],[BW40_3705]],"")</f>
        <v/>
      </c>
      <c r="G5444" s="2" t="str">
        <f>IF(Table1[[#This Row],[Is Data Valid]]=TRUE,((Table1[[#This Row],[Birthweight (grams)]]/Table1[[#This Row],[BW_GA]])-1)/(Backend!$B$4/100*Table1[[#This Row],[BW40_3705]]),"")</f>
        <v/>
      </c>
      <c r="H5444" s="7" t="str">
        <f>IF(Table1[[#This Row],[Is Data Valid]]=TRUE,((Table1[[#This Row],[Birthweight (grams)]]*0.9/Table1[[#This Row],[BW_GA]])-1)/(Backend!$B$4/100*Table1[[#This Row],[BW40_3705]]),"")</f>
        <v/>
      </c>
      <c r="I5444" s="7" t="str">
        <f>IF(Table1[[#This Row],[Is Data Valid]]=TRUE,((Table1[[#This Row],[Birthweight (grams)]]*1.1/Table1[[#This Row],[BW_GA]])-1)/(Backend!$B$4/100*Table1[[#This Row],[BW40_3705]]),"")</f>
        <v/>
      </c>
      <c r="J5444" s="7" t="str">
        <f>IF(Table1[[#This Row],[Is Data Valid]]=TRUE,_xlfn.NORM.S.DIST(Table1[[#This Row],[Birthweight Z-Score]],TRUE)*100,"")</f>
        <v/>
      </c>
      <c r="K5444" s="7" t="str">
        <f>IF(Table1[[#This Row],[Is Data Valid]]=TRUE,_xlfn.NORM.S.DIST(Table1[[#This Row],[Birthweight Z-Score (BW-10%)]],TRUE)*100,"")</f>
        <v/>
      </c>
      <c r="L5444" s="7" t="str">
        <f>IF(Table1[[#This Row],[Is Data Valid]]=TRUE,_xlfn.NORM.S.DIST(Table1[[#This Row],[Birthweight Z-Score (BW+10%)]],TRUE)*100,"")</f>
        <v/>
      </c>
    </row>
    <row r="5445" spans="1:12" x14ac:dyDescent="0.35">
      <c r="A5445" s="3"/>
      <c r="B5445" s="2"/>
      <c r="C5445" s="2"/>
      <c r="D5445" s="2" t="b">
        <f>IF(AND(NOT(ISBLANK(Table1[[#This Row],[Fetal Sex (Male, Female or Unknown)]])),ISNUMBER(Table1[[#This Row],[Birthweight (grams)]]),ISNUMBER(Table1[[#This Row],[Gestation (days)]])),TRUE,FALSE)</f>
        <v>0</v>
      </c>
      <c r="E5445" s="2" t="str">
        <f>IF(Table1[[#This Row],[Is Data Valid]]=TRUE,IF(Table1[[#This Row],[Fetal Sex (Male, Female or Unknown)]]="Male",Backend!$C$6,IF(Table1[[#This Row],[Fetal Sex (Male, Female or Unknown)]]="Female",Backend!$C$7,IF(Table1[[#This Row],[Fetal Sex (Male, Female or Unknown)]]="Unknown",Backend!$C$8,"Error"))),"")</f>
        <v/>
      </c>
      <c r="F5445" s="8" t="str">
        <f>IF(Table1[[#This Row],[Is Data Valid]]=TRUE,EXP(0.578+0.332*((Table1[[#This Row],[Gestation (days)]]+0.5)/7)-0.00354*((Table1[[#This Row],[Gestation (days)]]+0.5)/7)^2)*Table1[[#This Row],[BW40_3705]],"")</f>
        <v/>
      </c>
      <c r="G5445" s="2" t="str">
        <f>IF(Table1[[#This Row],[Is Data Valid]]=TRUE,((Table1[[#This Row],[Birthweight (grams)]]/Table1[[#This Row],[BW_GA]])-1)/(Backend!$B$4/100*Table1[[#This Row],[BW40_3705]]),"")</f>
        <v/>
      </c>
      <c r="H5445" s="7" t="str">
        <f>IF(Table1[[#This Row],[Is Data Valid]]=TRUE,((Table1[[#This Row],[Birthweight (grams)]]*0.9/Table1[[#This Row],[BW_GA]])-1)/(Backend!$B$4/100*Table1[[#This Row],[BW40_3705]]),"")</f>
        <v/>
      </c>
      <c r="I5445" s="7" t="str">
        <f>IF(Table1[[#This Row],[Is Data Valid]]=TRUE,((Table1[[#This Row],[Birthweight (grams)]]*1.1/Table1[[#This Row],[BW_GA]])-1)/(Backend!$B$4/100*Table1[[#This Row],[BW40_3705]]),"")</f>
        <v/>
      </c>
      <c r="J5445" s="7" t="str">
        <f>IF(Table1[[#This Row],[Is Data Valid]]=TRUE,_xlfn.NORM.S.DIST(Table1[[#This Row],[Birthweight Z-Score]],TRUE)*100,"")</f>
        <v/>
      </c>
      <c r="K5445" s="7" t="str">
        <f>IF(Table1[[#This Row],[Is Data Valid]]=TRUE,_xlfn.NORM.S.DIST(Table1[[#This Row],[Birthweight Z-Score (BW-10%)]],TRUE)*100,"")</f>
        <v/>
      </c>
      <c r="L5445" s="7" t="str">
        <f>IF(Table1[[#This Row],[Is Data Valid]]=TRUE,_xlfn.NORM.S.DIST(Table1[[#This Row],[Birthweight Z-Score (BW+10%)]],TRUE)*100,"")</f>
        <v/>
      </c>
    </row>
    <row r="5446" spans="1:12" x14ac:dyDescent="0.35">
      <c r="A5446" s="3"/>
      <c r="B5446" s="2"/>
      <c r="C5446" s="2"/>
      <c r="D5446" s="2" t="b">
        <f>IF(AND(NOT(ISBLANK(Table1[[#This Row],[Fetal Sex (Male, Female or Unknown)]])),ISNUMBER(Table1[[#This Row],[Birthweight (grams)]]),ISNUMBER(Table1[[#This Row],[Gestation (days)]])),TRUE,FALSE)</f>
        <v>0</v>
      </c>
      <c r="E5446" s="2" t="str">
        <f>IF(Table1[[#This Row],[Is Data Valid]]=TRUE,IF(Table1[[#This Row],[Fetal Sex (Male, Female or Unknown)]]="Male",Backend!$C$6,IF(Table1[[#This Row],[Fetal Sex (Male, Female or Unknown)]]="Female",Backend!$C$7,IF(Table1[[#This Row],[Fetal Sex (Male, Female or Unknown)]]="Unknown",Backend!$C$8,"Error"))),"")</f>
        <v/>
      </c>
      <c r="F5446" s="8" t="str">
        <f>IF(Table1[[#This Row],[Is Data Valid]]=TRUE,EXP(0.578+0.332*((Table1[[#This Row],[Gestation (days)]]+0.5)/7)-0.00354*((Table1[[#This Row],[Gestation (days)]]+0.5)/7)^2)*Table1[[#This Row],[BW40_3705]],"")</f>
        <v/>
      </c>
      <c r="G5446" s="2" t="str">
        <f>IF(Table1[[#This Row],[Is Data Valid]]=TRUE,((Table1[[#This Row],[Birthweight (grams)]]/Table1[[#This Row],[BW_GA]])-1)/(Backend!$B$4/100*Table1[[#This Row],[BW40_3705]]),"")</f>
        <v/>
      </c>
      <c r="H5446" s="7" t="str">
        <f>IF(Table1[[#This Row],[Is Data Valid]]=TRUE,((Table1[[#This Row],[Birthweight (grams)]]*0.9/Table1[[#This Row],[BW_GA]])-1)/(Backend!$B$4/100*Table1[[#This Row],[BW40_3705]]),"")</f>
        <v/>
      </c>
      <c r="I5446" s="7" t="str">
        <f>IF(Table1[[#This Row],[Is Data Valid]]=TRUE,((Table1[[#This Row],[Birthweight (grams)]]*1.1/Table1[[#This Row],[BW_GA]])-1)/(Backend!$B$4/100*Table1[[#This Row],[BW40_3705]]),"")</f>
        <v/>
      </c>
      <c r="J5446" s="7" t="str">
        <f>IF(Table1[[#This Row],[Is Data Valid]]=TRUE,_xlfn.NORM.S.DIST(Table1[[#This Row],[Birthweight Z-Score]],TRUE)*100,"")</f>
        <v/>
      </c>
      <c r="K5446" s="7" t="str">
        <f>IF(Table1[[#This Row],[Is Data Valid]]=TRUE,_xlfn.NORM.S.DIST(Table1[[#This Row],[Birthweight Z-Score (BW-10%)]],TRUE)*100,"")</f>
        <v/>
      </c>
      <c r="L5446" s="7" t="str">
        <f>IF(Table1[[#This Row],[Is Data Valid]]=TRUE,_xlfn.NORM.S.DIST(Table1[[#This Row],[Birthweight Z-Score (BW+10%)]],TRUE)*100,"")</f>
        <v/>
      </c>
    </row>
    <row r="5447" spans="1:12" x14ac:dyDescent="0.35">
      <c r="A5447" s="3"/>
      <c r="B5447" s="2"/>
      <c r="C5447" s="2"/>
      <c r="D5447" s="2" t="b">
        <f>IF(AND(NOT(ISBLANK(Table1[[#This Row],[Fetal Sex (Male, Female or Unknown)]])),ISNUMBER(Table1[[#This Row],[Birthweight (grams)]]),ISNUMBER(Table1[[#This Row],[Gestation (days)]])),TRUE,FALSE)</f>
        <v>0</v>
      </c>
      <c r="E5447" s="2" t="str">
        <f>IF(Table1[[#This Row],[Is Data Valid]]=TRUE,IF(Table1[[#This Row],[Fetal Sex (Male, Female or Unknown)]]="Male",Backend!$C$6,IF(Table1[[#This Row],[Fetal Sex (Male, Female or Unknown)]]="Female",Backend!$C$7,IF(Table1[[#This Row],[Fetal Sex (Male, Female or Unknown)]]="Unknown",Backend!$C$8,"Error"))),"")</f>
        <v/>
      </c>
      <c r="F5447" s="8" t="str">
        <f>IF(Table1[[#This Row],[Is Data Valid]]=TRUE,EXP(0.578+0.332*((Table1[[#This Row],[Gestation (days)]]+0.5)/7)-0.00354*((Table1[[#This Row],[Gestation (days)]]+0.5)/7)^2)*Table1[[#This Row],[BW40_3705]],"")</f>
        <v/>
      </c>
      <c r="G5447" s="2" t="str">
        <f>IF(Table1[[#This Row],[Is Data Valid]]=TRUE,((Table1[[#This Row],[Birthweight (grams)]]/Table1[[#This Row],[BW_GA]])-1)/(Backend!$B$4/100*Table1[[#This Row],[BW40_3705]]),"")</f>
        <v/>
      </c>
      <c r="H5447" s="7" t="str">
        <f>IF(Table1[[#This Row],[Is Data Valid]]=TRUE,((Table1[[#This Row],[Birthweight (grams)]]*0.9/Table1[[#This Row],[BW_GA]])-1)/(Backend!$B$4/100*Table1[[#This Row],[BW40_3705]]),"")</f>
        <v/>
      </c>
      <c r="I5447" s="7" t="str">
        <f>IF(Table1[[#This Row],[Is Data Valid]]=TRUE,((Table1[[#This Row],[Birthweight (grams)]]*1.1/Table1[[#This Row],[BW_GA]])-1)/(Backend!$B$4/100*Table1[[#This Row],[BW40_3705]]),"")</f>
        <v/>
      </c>
      <c r="J5447" s="7" t="str">
        <f>IF(Table1[[#This Row],[Is Data Valid]]=TRUE,_xlfn.NORM.S.DIST(Table1[[#This Row],[Birthweight Z-Score]],TRUE)*100,"")</f>
        <v/>
      </c>
      <c r="K5447" s="7" t="str">
        <f>IF(Table1[[#This Row],[Is Data Valid]]=TRUE,_xlfn.NORM.S.DIST(Table1[[#This Row],[Birthweight Z-Score (BW-10%)]],TRUE)*100,"")</f>
        <v/>
      </c>
      <c r="L5447" s="7" t="str">
        <f>IF(Table1[[#This Row],[Is Data Valid]]=TRUE,_xlfn.NORM.S.DIST(Table1[[#This Row],[Birthweight Z-Score (BW+10%)]],TRUE)*100,"")</f>
        <v/>
      </c>
    </row>
    <row r="5448" spans="1:12" x14ac:dyDescent="0.35">
      <c r="A5448" s="3"/>
      <c r="B5448" s="2"/>
      <c r="C5448" s="2"/>
      <c r="D5448" s="2" t="b">
        <f>IF(AND(NOT(ISBLANK(Table1[[#This Row],[Fetal Sex (Male, Female or Unknown)]])),ISNUMBER(Table1[[#This Row],[Birthweight (grams)]]),ISNUMBER(Table1[[#This Row],[Gestation (days)]])),TRUE,FALSE)</f>
        <v>0</v>
      </c>
      <c r="E5448" s="2" t="str">
        <f>IF(Table1[[#This Row],[Is Data Valid]]=TRUE,IF(Table1[[#This Row],[Fetal Sex (Male, Female or Unknown)]]="Male",Backend!$C$6,IF(Table1[[#This Row],[Fetal Sex (Male, Female or Unknown)]]="Female",Backend!$C$7,IF(Table1[[#This Row],[Fetal Sex (Male, Female or Unknown)]]="Unknown",Backend!$C$8,"Error"))),"")</f>
        <v/>
      </c>
      <c r="F5448" s="8" t="str">
        <f>IF(Table1[[#This Row],[Is Data Valid]]=TRUE,EXP(0.578+0.332*((Table1[[#This Row],[Gestation (days)]]+0.5)/7)-0.00354*((Table1[[#This Row],[Gestation (days)]]+0.5)/7)^2)*Table1[[#This Row],[BW40_3705]],"")</f>
        <v/>
      </c>
      <c r="G5448" s="2" t="str">
        <f>IF(Table1[[#This Row],[Is Data Valid]]=TRUE,((Table1[[#This Row],[Birthweight (grams)]]/Table1[[#This Row],[BW_GA]])-1)/(Backend!$B$4/100*Table1[[#This Row],[BW40_3705]]),"")</f>
        <v/>
      </c>
      <c r="H5448" s="7" t="str">
        <f>IF(Table1[[#This Row],[Is Data Valid]]=TRUE,((Table1[[#This Row],[Birthweight (grams)]]*0.9/Table1[[#This Row],[BW_GA]])-1)/(Backend!$B$4/100*Table1[[#This Row],[BW40_3705]]),"")</f>
        <v/>
      </c>
      <c r="I5448" s="7" t="str">
        <f>IF(Table1[[#This Row],[Is Data Valid]]=TRUE,((Table1[[#This Row],[Birthweight (grams)]]*1.1/Table1[[#This Row],[BW_GA]])-1)/(Backend!$B$4/100*Table1[[#This Row],[BW40_3705]]),"")</f>
        <v/>
      </c>
      <c r="J5448" s="7" t="str">
        <f>IF(Table1[[#This Row],[Is Data Valid]]=TRUE,_xlfn.NORM.S.DIST(Table1[[#This Row],[Birthweight Z-Score]],TRUE)*100,"")</f>
        <v/>
      </c>
      <c r="K5448" s="7" t="str">
        <f>IF(Table1[[#This Row],[Is Data Valid]]=TRUE,_xlfn.NORM.S.DIST(Table1[[#This Row],[Birthweight Z-Score (BW-10%)]],TRUE)*100,"")</f>
        <v/>
      </c>
      <c r="L5448" s="7" t="str">
        <f>IF(Table1[[#This Row],[Is Data Valid]]=TRUE,_xlfn.NORM.S.DIST(Table1[[#This Row],[Birthweight Z-Score (BW+10%)]],TRUE)*100,"")</f>
        <v/>
      </c>
    </row>
    <row r="5449" spans="1:12" x14ac:dyDescent="0.35">
      <c r="A5449" s="3"/>
      <c r="B5449" s="2"/>
      <c r="C5449" s="2"/>
      <c r="D5449" s="2" t="b">
        <f>IF(AND(NOT(ISBLANK(Table1[[#This Row],[Fetal Sex (Male, Female or Unknown)]])),ISNUMBER(Table1[[#This Row],[Birthweight (grams)]]),ISNUMBER(Table1[[#This Row],[Gestation (days)]])),TRUE,FALSE)</f>
        <v>0</v>
      </c>
      <c r="E5449" s="2" t="str">
        <f>IF(Table1[[#This Row],[Is Data Valid]]=TRUE,IF(Table1[[#This Row],[Fetal Sex (Male, Female or Unknown)]]="Male",Backend!$C$6,IF(Table1[[#This Row],[Fetal Sex (Male, Female or Unknown)]]="Female",Backend!$C$7,IF(Table1[[#This Row],[Fetal Sex (Male, Female or Unknown)]]="Unknown",Backend!$C$8,"Error"))),"")</f>
        <v/>
      </c>
      <c r="F5449" s="8" t="str">
        <f>IF(Table1[[#This Row],[Is Data Valid]]=TRUE,EXP(0.578+0.332*((Table1[[#This Row],[Gestation (days)]]+0.5)/7)-0.00354*((Table1[[#This Row],[Gestation (days)]]+0.5)/7)^2)*Table1[[#This Row],[BW40_3705]],"")</f>
        <v/>
      </c>
      <c r="G5449" s="2" t="str">
        <f>IF(Table1[[#This Row],[Is Data Valid]]=TRUE,((Table1[[#This Row],[Birthweight (grams)]]/Table1[[#This Row],[BW_GA]])-1)/(Backend!$B$4/100*Table1[[#This Row],[BW40_3705]]),"")</f>
        <v/>
      </c>
      <c r="H5449" s="7" t="str">
        <f>IF(Table1[[#This Row],[Is Data Valid]]=TRUE,((Table1[[#This Row],[Birthweight (grams)]]*0.9/Table1[[#This Row],[BW_GA]])-1)/(Backend!$B$4/100*Table1[[#This Row],[BW40_3705]]),"")</f>
        <v/>
      </c>
      <c r="I5449" s="7" t="str">
        <f>IF(Table1[[#This Row],[Is Data Valid]]=TRUE,((Table1[[#This Row],[Birthweight (grams)]]*1.1/Table1[[#This Row],[BW_GA]])-1)/(Backend!$B$4/100*Table1[[#This Row],[BW40_3705]]),"")</f>
        <v/>
      </c>
      <c r="J5449" s="7" t="str">
        <f>IF(Table1[[#This Row],[Is Data Valid]]=TRUE,_xlfn.NORM.S.DIST(Table1[[#This Row],[Birthweight Z-Score]],TRUE)*100,"")</f>
        <v/>
      </c>
      <c r="K5449" s="7" t="str">
        <f>IF(Table1[[#This Row],[Is Data Valid]]=TRUE,_xlfn.NORM.S.DIST(Table1[[#This Row],[Birthweight Z-Score (BW-10%)]],TRUE)*100,"")</f>
        <v/>
      </c>
      <c r="L5449" s="7" t="str">
        <f>IF(Table1[[#This Row],[Is Data Valid]]=TRUE,_xlfn.NORM.S.DIST(Table1[[#This Row],[Birthweight Z-Score (BW+10%)]],TRUE)*100,"")</f>
        <v/>
      </c>
    </row>
    <row r="5450" spans="1:12" x14ac:dyDescent="0.35">
      <c r="A5450" s="3"/>
      <c r="B5450" s="2"/>
      <c r="C5450" s="2"/>
      <c r="D5450" s="2" t="b">
        <f>IF(AND(NOT(ISBLANK(Table1[[#This Row],[Fetal Sex (Male, Female or Unknown)]])),ISNUMBER(Table1[[#This Row],[Birthweight (grams)]]),ISNUMBER(Table1[[#This Row],[Gestation (days)]])),TRUE,FALSE)</f>
        <v>0</v>
      </c>
      <c r="E5450" s="2" t="str">
        <f>IF(Table1[[#This Row],[Is Data Valid]]=TRUE,IF(Table1[[#This Row],[Fetal Sex (Male, Female or Unknown)]]="Male",Backend!$C$6,IF(Table1[[#This Row],[Fetal Sex (Male, Female or Unknown)]]="Female",Backend!$C$7,IF(Table1[[#This Row],[Fetal Sex (Male, Female or Unknown)]]="Unknown",Backend!$C$8,"Error"))),"")</f>
        <v/>
      </c>
      <c r="F5450" s="8" t="str">
        <f>IF(Table1[[#This Row],[Is Data Valid]]=TRUE,EXP(0.578+0.332*((Table1[[#This Row],[Gestation (days)]]+0.5)/7)-0.00354*((Table1[[#This Row],[Gestation (days)]]+0.5)/7)^2)*Table1[[#This Row],[BW40_3705]],"")</f>
        <v/>
      </c>
      <c r="G5450" s="2" t="str">
        <f>IF(Table1[[#This Row],[Is Data Valid]]=TRUE,((Table1[[#This Row],[Birthweight (grams)]]/Table1[[#This Row],[BW_GA]])-1)/(Backend!$B$4/100*Table1[[#This Row],[BW40_3705]]),"")</f>
        <v/>
      </c>
      <c r="H5450" s="7" t="str">
        <f>IF(Table1[[#This Row],[Is Data Valid]]=TRUE,((Table1[[#This Row],[Birthweight (grams)]]*0.9/Table1[[#This Row],[BW_GA]])-1)/(Backend!$B$4/100*Table1[[#This Row],[BW40_3705]]),"")</f>
        <v/>
      </c>
      <c r="I5450" s="7" t="str">
        <f>IF(Table1[[#This Row],[Is Data Valid]]=TRUE,((Table1[[#This Row],[Birthweight (grams)]]*1.1/Table1[[#This Row],[BW_GA]])-1)/(Backend!$B$4/100*Table1[[#This Row],[BW40_3705]]),"")</f>
        <v/>
      </c>
      <c r="J5450" s="7" t="str">
        <f>IF(Table1[[#This Row],[Is Data Valid]]=TRUE,_xlfn.NORM.S.DIST(Table1[[#This Row],[Birthweight Z-Score]],TRUE)*100,"")</f>
        <v/>
      </c>
      <c r="K5450" s="7" t="str">
        <f>IF(Table1[[#This Row],[Is Data Valid]]=TRUE,_xlfn.NORM.S.DIST(Table1[[#This Row],[Birthweight Z-Score (BW-10%)]],TRUE)*100,"")</f>
        <v/>
      </c>
      <c r="L5450" s="7" t="str">
        <f>IF(Table1[[#This Row],[Is Data Valid]]=TRUE,_xlfn.NORM.S.DIST(Table1[[#This Row],[Birthweight Z-Score (BW+10%)]],TRUE)*100,"")</f>
        <v/>
      </c>
    </row>
    <row r="5451" spans="1:12" x14ac:dyDescent="0.35">
      <c r="A5451" s="3"/>
      <c r="B5451" s="2"/>
      <c r="C5451" s="2"/>
      <c r="D5451" s="2" t="b">
        <f>IF(AND(NOT(ISBLANK(Table1[[#This Row],[Fetal Sex (Male, Female or Unknown)]])),ISNUMBER(Table1[[#This Row],[Birthweight (grams)]]),ISNUMBER(Table1[[#This Row],[Gestation (days)]])),TRUE,FALSE)</f>
        <v>0</v>
      </c>
      <c r="E5451" s="2" t="str">
        <f>IF(Table1[[#This Row],[Is Data Valid]]=TRUE,IF(Table1[[#This Row],[Fetal Sex (Male, Female or Unknown)]]="Male",Backend!$C$6,IF(Table1[[#This Row],[Fetal Sex (Male, Female or Unknown)]]="Female",Backend!$C$7,IF(Table1[[#This Row],[Fetal Sex (Male, Female or Unknown)]]="Unknown",Backend!$C$8,"Error"))),"")</f>
        <v/>
      </c>
      <c r="F5451" s="8" t="str">
        <f>IF(Table1[[#This Row],[Is Data Valid]]=TRUE,EXP(0.578+0.332*((Table1[[#This Row],[Gestation (days)]]+0.5)/7)-0.00354*((Table1[[#This Row],[Gestation (days)]]+0.5)/7)^2)*Table1[[#This Row],[BW40_3705]],"")</f>
        <v/>
      </c>
      <c r="G5451" s="2" t="str">
        <f>IF(Table1[[#This Row],[Is Data Valid]]=TRUE,((Table1[[#This Row],[Birthweight (grams)]]/Table1[[#This Row],[BW_GA]])-1)/(Backend!$B$4/100*Table1[[#This Row],[BW40_3705]]),"")</f>
        <v/>
      </c>
      <c r="H5451" s="7" t="str">
        <f>IF(Table1[[#This Row],[Is Data Valid]]=TRUE,((Table1[[#This Row],[Birthweight (grams)]]*0.9/Table1[[#This Row],[BW_GA]])-1)/(Backend!$B$4/100*Table1[[#This Row],[BW40_3705]]),"")</f>
        <v/>
      </c>
      <c r="I5451" s="7" t="str">
        <f>IF(Table1[[#This Row],[Is Data Valid]]=TRUE,((Table1[[#This Row],[Birthweight (grams)]]*1.1/Table1[[#This Row],[BW_GA]])-1)/(Backend!$B$4/100*Table1[[#This Row],[BW40_3705]]),"")</f>
        <v/>
      </c>
      <c r="J5451" s="7" t="str">
        <f>IF(Table1[[#This Row],[Is Data Valid]]=TRUE,_xlfn.NORM.S.DIST(Table1[[#This Row],[Birthweight Z-Score]],TRUE)*100,"")</f>
        <v/>
      </c>
      <c r="K5451" s="7" t="str">
        <f>IF(Table1[[#This Row],[Is Data Valid]]=TRUE,_xlfn.NORM.S.DIST(Table1[[#This Row],[Birthweight Z-Score (BW-10%)]],TRUE)*100,"")</f>
        <v/>
      </c>
      <c r="L5451" s="7" t="str">
        <f>IF(Table1[[#This Row],[Is Data Valid]]=TRUE,_xlfn.NORM.S.DIST(Table1[[#This Row],[Birthweight Z-Score (BW+10%)]],TRUE)*100,"")</f>
        <v/>
      </c>
    </row>
    <row r="5452" spans="1:12" x14ac:dyDescent="0.35">
      <c r="A5452" s="3"/>
      <c r="B5452" s="2"/>
      <c r="C5452" s="2"/>
      <c r="D5452" s="2" t="b">
        <f>IF(AND(NOT(ISBLANK(Table1[[#This Row],[Fetal Sex (Male, Female or Unknown)]])),ISNUMBER(Table1[[#This Row],[Birthweight (grams)]]),ISNUMBER(Table1[[#This Row],[Gestation (days)]])),TRUE,FALSE)</f>
        <v>0</v>
      </c>
      <c r="E5452" s="2" t="str">
        <f>IF(Table1[[#This Row],[Is Data Valid]]=TRUE,IF(Table1[[#This Row],[Fetal Sex (Male, Female or Unknown)]]="Male",Backend!$C$6,IF(Table1[[#This Row],[Fetal Sex (Male, Female or Unknown)]]="Female",Backend!$C$7,IF(Table1[[#This Row],[Fetal Sex (Male, Female or Unknown)]]="Unknown",Backend!$C$8,"Error"))),"")</f>
        <v/>
      </c>
      <c r="F5452" s="8" t="str">
        <f>IF(Table1[[#This Row],[Is Data Valid]]=TRUE,EXP(0.578+0.332*((Table1[[#This Row],[Gestation (days)]]+0.5)/7)-0.00354*((Table1[[#This Row],[Gestation (days)]]+0.5)/7)^2)*Table1[[#This Row],[BW40_3705]],"")</f>
        <v/>
      </c>
      <c r="G5452" s="2" t="str">
        <f>IF(Table1[[#This Row],[Is Data Valid]]=TRUE,((Table1[[#This Row],[Birthweight (grams)]]/Table1[[#This Row],[BW_GA]])-1)/(Backend!$B$4/100*Table1[[#This Row],[BW40_3705]]),"")</f>
        <v/>
      </c>
      <c r="H5452" s="7" t="str">
        <f>IF(Table1[[#This Row],[Is Data Valid]]=TRUE,((Table1[[#This Row],[Birthweight (grams)]]*0.9/Table1[[#This Row],[BW_GA]])-1)/(Backend!$B$4/100*Table1[[#This Row],[BW40_3705]]),"")</f>
        <v/>
      </c>
      <c r="I5452" s="7" t="str">
        <f>IF(Table1[[#This Row],[Is Data Valid]]=TRUE,((Table1[[#This Row],[Birthweight (grams)]]*1.1/Table1[[#This Row],[BW_GA]])-1)/(Backend!$B$4/100*Table1[[#This Row],[BW40_3705]]),"")</f>
        <v/>
      </c>
      <c r="J5452" s="7" t="str">
        <f>IF(Table1[[#This Row],[Is Data Valid]]=TRUE,_xlfn.NORM.S.DIST(Table1[[#This Row],[Birthweight Z-Score]],TRUE)*100,"")</f>
        <v/>
      </c>
      <c r="K5452" s="7" t="str">
        <f>IF(Table1[[#This Row],[Is Data Valid]]=TRUE,_xlfn.NORM.S.DIST(Table1[[#This Row],[Birthweight Z-Score (BW-10%)]],TRUE)*100,"")</f>
        <v/>
      </c>
      <c r="L5452" s="7" t="str">
        <f>IF(Table1[[#This Row],[Is Data Valid]]=TRUE,_xlfn.NORM.S.DIST(Table1[[#This Row],[Birthweight Z-Score (BW+10%)]],TRUE)*100,"")</f>
        <v/>
      </c>
    </row>
    <row r="5453" spans="1:12" x14ac:dyDescent="0.35">
      <c r="A5453" s="3"/>
      <c r="B5453" s="2"/>
      <c r="C5453" s="2"/>
      <c r="D5453" s="2" t="b">
        <f>IF(AND(NOT(ISBLANK(Table1[[#This Row],[Fetal Sex (Male, Female or Unknown)]])),ISNUMBER(Table1[[#This Row],[Birthweight (grams)]]),ISNUMBER(Table1[[#This Row],[Gestation (days)]])),TRUE,FALSE)</f>
        <v>0</v>
      </c>
      <c r="E5453" s="2" t="str">
        <f>IF(Table1[[#This Row],[Is Data Valid]]=TRUE,IF(Table1[[#This Row],[Fetal Sex (Male, Female or Unknown)]]="Male",Backend!$C$6,IF(Table1[[#This Row],[Fetal Sex (Male, Female or Unknown)]]="Female",Backend!$C$7,IF(Table1[[#This Row],[Fetal Sex (Male, Female or Unknown)]]="Unknown",Backend!$C$8,"Error"))),"")</f>
        <v/>
      </c>
      <c r="F5453" s="8" t="str">
        <f>IF(Table1[[#This Row],[Is Data Valid]]=TRUE,EXP(0.578+0.332*((Table1[[#This Row],[Gestation (days)]]+0.5)/7)-0.00354*((Table1[[#This Row],[Gestation (days)]]+0.5)/7)^2)*Table1[[#This Row],[BW40_3705]],"")</f>
        <v/>
      </c>
      <c r="G5453" s="2" t="str">
        <f>IF(Table1[[#This Row],[Is Data Valid]]=TRUE,((Table1[[#This Row],[Birthweight (grams)]]/Table1[[#This Row],[BW_GA]])-1)/(Backend!$B$4/100*Table1[[#This Row],[BW40_3705]]),"")</f>
        <v/>
      </c>
      <c r="H5453" s="7" t="str">
        <f>IF(Table1[[#This Row],[Is Data Valid]]=TRUE,((Table1[[#This Row],[Birthweight (grams)]]*0.9/Table1[[#This Row],[BW_GA]])-1)/(Backend!$B$4/100*Table1[[#This Row],[BW40_3705]]),"")</f>
        <v/>
      </c>
      <c r="I5453" s="7" t="str">
        <f>IF(Table1[[#This Row],[Is Data Valid]]=TRUE,((Table1[[#This Row],[Birthweight (grams)]]*1.1/Table1[[#This Row],[BW_GA]])-1)/(Backend!$B$4/100*Table1[[#This Row],[BW40_3705]]),"")</f>
        <v/>
      </c>
      <c r="J5453" s="7" t="str">
        <f>IF(Table1[[#This Row],[Is Data Valid]]=TRUE,_xlfn.NORM.S.DIST(Table1[[#This Row],[Birthweight Z-Score]],TRUE)*100,"")</f>
        <v/>
      </c>
      <c r="K5453" s="7" t="str">
        <f>IF(Table1[[#This Row],[Is Data Valid]]=TRUE,_xlfn.NORM.S.DIST(Table1[[#This Row],[Birthweight Z-Score (BW-10%)]],TRUE)*100,"")</f>
        <v/>
      </c>
      <c r="L5453" s="7" t="str">
        <f>IF(Table1[[#This Row],[Is Data Valid]]=TRUE,_xlfn.NORM.S.DIST(Table1[[#This Row],[Birthweight Z-Score (BW+10%)]],TRUE)*100,"")</f>
        <v/>
      </c>
    </row>
    <row r="5454" spans="1:12" x14ac:dyDescent="0.35">
      <c r="A5454" s="3"/>
      <c r="B5454" s="2"/>
      <c r="C5454" s="2"/>
      <c r="D5454" s="2" t="b">
        <f>IF(AND(NOT(ISBLANK(Table1[[#This Row],[Fetal Sex (Male, Female or Unknown)]])),ISNUMBER(Table1[[#This Row],[Birthweight (grams)]]),ISNUMBER(Table1[[#This Row],[Gestation (days)]])),TRUE,FALSE)</f>
        <v>0</v>
      </c>
      <c r="E5454" s="2" t="str">
        <f>IF(Table1[[#This Row],[Is Data Valid]]=TRUE,IF(Table1[[#This Row],[Fetal Sex (Male, Female or Unknown)]]="Male",Backend!$C$6,IF(Table1[[#This Row],[Fetal Sex (Male, Female or Unknown)]]="Female",Backend!$C$7,IF(Table1[[#This Row],[Fetal Sex (Male, Female or Unknown)]]="Unknown",Backend!$C$8,"Error"))),"")</f>
        <v/>
      </c>
      <c r="F5454" s="8" t="str">
        <f>IF(Table1[[#This Row],[Is Data Valid]]=TRUE,EXP(0.578+0.332*((Table1[[#This Row],[Gestation (days)]]+0.5)/7)-0.00354*((Table1[[#This Row],[Gestation (days)]]+0.5)/7)^2)*Table1[[#This Row],[BW40_3705]],"")</f>
        <v/>
      </c>
      <c r="G5454" s="2" t="str">
        <f>IF(Table1[[#This Row],[Is Data Valid]]=TRUE,((Table1[[#This Row],[Birthweight (grams)]]/Table1[[#This Row],[BW_GA]])-1)/(Backend!$B$4/100*Table1[[#This Row],[BW40_3705]]),"")</f>
        <v/>
      </c>
      <c r="H5454" s="7" t="str">
        <f>IF(Table1[[#This Row],[Is Data Valid]]=TRUE,((Table1[[#This Row],[Birthweight (grams)]]*0.9/Table1[[#This Row],[BW_GA]])-1)/(Backend!$B$4/100*Table1[[#This Row],[BW40_3705]]),"")</f>
        <v/>
      </c>
      <c r="I5454" s="7" t="str">
        <f>IF(Table1[[#This Row],[Is Data Valid]]=TRUE,((Table1[[#This Row],[Birthweight (grams)]]*1.1/Table1[[#This Row],[BW_GA]])-1)/(Backend!$B$4/100*Table1[[#This Row],[BW40_3705]]),"")</f>
        <v/>
      </c>
      <c r="J5454" s="7" t="str">
        <f>IF(Table1[[#This Row],[Is Data Valid]]=TRUE,_xlfn.NORM.S.DIST(Table1[[#This Row],[Birthweight Z-Score]],TRUE)*100,"")</f>
        <v/>
      </c>
      <c r="K5454" s="7" t="str">
        <f>IF(Table1[[#This Row],[Is Data Valid]]=TRUE,_xlfn.NORM.S.DIST(Table1[[#This Row],[Birthweight Z-Score (BW-10%)]],TRUE)*100,"")</f>
        <v/>
      </c>
      <c r="L5454" s="7" t="str">
        <f>IF(Table1[[#This Row],[Is Data Valid]]=TRUE,_xlfn.NORM.S.DIST(Table1[[#This Row],[Birthweight Z-Score (BW+10%)]],TRUE)*100,"")</f>
        <v/>
      </c>
    </row>
    <row r="5455" spans="1:12" x14ac:dyDescent="0.35">
      <c r="A5455" s="3"/>
      <c r="B5455" s="2"/>
      <c r="C5455" s="2"/>
      <c r="D5455" s="2" t="b">
        <f>IF(AND(NOT(ISBLANK(Table1[[#This Row],[Fetal Sex (Male, Female or Unknown)]])),ISNUMBER(Table1[[#This Row],[Birthweight (grams)]]),ISNUMBER(Table1[[#This Row],[Gestation (days)]])),TRUE,FALSE)</f>
        <v>0</v>
      </c>
      <c r="E5455" s="2" t="str">
        <f>IF(Table1[[#This Row],[Is Data Valid]]=TRUE,IF(Table1[[#This Row],[Fetal Sex (Male, Female or Unknown)]]="Male",Backend!$C$6,IF(Table1[[#This Row],[Fetal Sex (Male, Female or Unknown)]]="Female",Backend!$C$7,IF(Table1[[#This Row],[Fetal Sex (Male, Female or Unknown)]]="Unknown",Backend!$C$8,"Error"))),"")</f>
        <v/>
      </c>
      <c r="F5455" s="8" t="str">
        <f>IF(Table1[[#This Row],[Is Data Valid]]=TRUE,EXP(0.578+0.332*((Table1[[#This Row],[Gestation (days)]]+0.5)/7)-0.00354*((Table1[[#This Row],[Gestation (days)]]+0.5)/7)^2)*Table1[[#This Row],[BW40_3705]],"")</f>
        <v/>
      </c>
      <c r="G5455" s="2" t="str">
        <f>IF(Table1[[#This Row],[Is Data Valid]]=TRUE,((Table1[[#This Row],[Birthweight (grams)]]/Table1[[#This Row],[BW_GA]])-1)/(Backend!$B$4/100*Table1[[#This Row],[BW40_3705]]),"")</f>
        <v/>
      </c>
      <c r="H5455" s="7" t="str">
        <f>IF(Table1[[#This Row],[Is Data Valid]]=TRUE,((Table1[[#This Row],[Birthweight (grams)]]*0.9/Table1[[#This Row],[BW_GA]])-1)/(Backend!$B$4/100*Table1[[#This Row],[BW40_3705]]),"")</f>
        <v/>
      </c>
      <c r="I5455" s="7" t="str">
        <f>IF(Table1[[#This Row],[Is Data Valid]]=TRUE,((Table1[[#This Row],[Birthweight (grams)]]*1.1/Table1[[#This Row],[BW_GA]])-1)/(Backend!$B$4/100*Table1[[#This Row],[BW40_3705]]),"")</f>
        <v/>
      </c>
      <c r="J5455" s="7" t="str">
        <f>IF(Table1[[#This Row],[Is Data Valid]]=TRUE,_xlfn.NORM.S.DIST(Table1[[#This Row],[Birthweight Z-Score]],TRUE)*100,"")</f>
        <v/>
      </c>
      <c r="K5455" s="7" t="str">
        <f>IF(Table1[[#This Row],[Is Data Valid]]=TRUE,_xlfn.NORM.S.DIST(Table1[[#This Row],[Birthweight Z-Score (BW-10%)]],TRUE)*100,"")</f>
        <v/>
      </c>
      <c r="L5455" s="7" t="str">
        <f>IF(Table1[[#This Row],[Is Data Valid]]=TRUE,_xlfn.NORM.S.DIST(Table1[[#This Row],[Birthweight Z-Score (BW+10%)]],TRUE)*100,"")</f>
        <v/>
      </c>
    </row>
    <row r="5456" spans="1:12" x14ac:dyDescent="0.35">
      <c r="A5456" s="3"/>
      <c r="B5456" s="2"/>
      <c r="C5456" s="2"/>
      <c r="D5456" s="2" t="b">
        <f>IF(AND(NOT(ISBLANK(Table1[[#This Row],[Fetal Sex (Male, Female or Unknown)]])),ISNUMBER(Table1[[#This Row],[Birthweight (grams)]]),ISNUMBER(Table1[[#This Row],[Gestation (days)]])),TRUE,FALSE)</f>
        <v>0</v>
      </c>
      <c r="E5456" s="2" t="str">
        <f>IF(Table1[[#This Row],[Is Data Valid]]=TRUE,IF(Table1[[#This Row],[Fetal Sex (Male, Female or Unknown)]]="Male",Backend!$C$6,IF(Table1[[#This Row],[Fetal Sex (Male, Female or Unknown)]]="Female",Backend!$C$7,IF(Table1[[#This Row],[Fetal Sex (Male, Female or Unknown)]]="Unknown",Backend!$C$8,"Error"))),"")</f>
        <v/>
      </c>
      <c r="F5456" s="8" t="str">
        <f>IF(Table1[[#This Row],[Is Data Valid]]=TRUE,EXP(0.578+0.332*((Table1[[#This Row],[Gestation (days)]]+0.5)/7)-0.00354*((Table1[[#This Row],[Gestation (days)]]+0.5)/7)^2)*Table1[[#This Row],[BW40_3705]],"")</f>
        <v/>
      </c>
      <c r="G5456" s="2" t="str">
        <f>IF(Table1[[#This Row],[Is Data Valid]]=TRUE,((Table1[[#This Row],[Birthweight (grams)]]/Table1[[#This Row],[BW_GA]])-1)/(Backend!$B$4/100*Table1[[#This Row],[BW40_3705]]),"")</f>
        <v/>
      </c>
      <c r="H5456" s="7" t="str">
        <f>IF(Table1[[#This Row],[Is Data Valid]]=TRUE,((Table1[[#This Row],[Birthweight (grams)]]*0.9/Table1[[#This Row],[BW_GA]])-1)/(Backend!$B$4/100*Table1[[#This Row],[BW40_3705]]),"")</f>
        <v/>
      </c>
      <c r="I5456" s="7" t="str">
        <f>IF(Table1[[#This Row],[Is Data Valid]]=TRUE,((Table1[[#This Row],[Birthweight (grams)]]*1.1/Table1[[#This Row],[BW_GA]])-1)/(Backend!$B$4/100*Table1[[#This Row],[BW40_3705]]),"")</f>
        <v/>
      </c>
      <c r="J5456" s="7" t="str">
        <f>IF(Table1[[#This Row],[Is Data Valid]]=TRUE,_xlfn.NORM.S.DIST(Table1[[#This Row],[Birthweight Z-Score]],TRUE)*100,"")</f>
        <v/>
      </c>
      <c r="K5456" s="7" t="str">
        <f>IF(Table1[[#This Row],[Is Data Valid]]=TRUE,_xlfn.NORM.S.DIST(Table1[[#This Row],[Birthweight Z-Score (BW-10%)]],TRUE)*100,"")</f>
        <v/>
      </c>
      <c r="L5456" s="7" t="str">
        <f>IF(Table1[[#This Row],[Is Data Valid]]=TRUE,_xlfn.NORM.S.DIST(Table1[[#This Row],[Birthweight Z-Score (BW+10%)]],TRUE)*100,"")</f>
        <v/>
      </c>
    </row>
    <row r="5457" spans="1:12" x14ac:dyDescent="0.35">
      <c r="A5457" s="3"/>
      <c r="B5457" s="2"/>
      <c r="C5457" s="2"/>
      <c r="D5457" s="2" t="b">
        <f>IF(AND(NOT(ISBLANK(Table1[[#This Row],[Fetal Sex (Male, Female or Unknown)]])),ISNUMBER(Table1[[#This Row],[Birthweight (grams)]]),ISNUMBER(Table1[[#This Row],[Gestation (days)]])),TRUE,FALSE)</f>
        <v>0</v>
      </c>
      <c r="E5457" s="2" t="str">
        <f>IF(Table1[[#This Row],[Is Data Valid]]=TRUE,IF(Table1[[#This Row],[Fetal Sex (Male, Female or Unknown)]]="Male",Backend!$C$6,IF(Table1[[#This Row],[Fetal Sex (Male, Female or Unknown)]]="Female",Backend!$C$7,IF(Table1[[#This Row],[Fetal Sex (Male, Female or Unknown)]]="Unknown",Backend!$C$8,"Error"))),"")</f>
        <v/>
      </c>
      <c r="F5457" s="8" t="str">
        <f>IF(Table1[[#This Row],[Is Data Valid]]=TRUE,EXP(0.578+0.332*((Table1[[#This Row],[Gestation (days)]]+0.5)/7)-0.00354*((Table1[[#This Row],[Gestation (days)]]+0.5)/7)^2)*Table1[[#This Row],[BW40_3705]],"")</f>
        <v/>
      </c>
      <c r="G5457" s="2" t="str">
        <f>IF(Table1[[#This Row],[Is Data Valid]]=TRUE,((Table1[[#This Row],[Birthweight (grams)]]/Table1[[#This Row],[BW_GA]])-1)/(Backend!$B$4/100*Table1[[#This Row],[BW40_3705]]),"")</f>
        <v/>
      </c>
      <c r="H5457" s="7" t="str">
        <f>IF(Table1[[#This Row],[Is Data Valid]]=TRUE,((Table1[[#This Row],[Birthweight (grams)]]*0.9/Table1[[#This Row],[BW_GA]])-1)/(Backend!$B$4/100*Table1[[#This Row],[BW40_3705]]),"")</f>
        <v/>
      </c>
      <c r="I5457" s="7" t="str">
        <f>IF(Table1[[#This Row],[Is Data Valid]]=TRUE,((Table1[[#This Row],[Birthweight (grams)]]*1.1/Table1[[#This Row],[BW_GA]])-1)/(Backend!$B$4/100*Table1[[#This Row],[BW40_3705]]),"")</f>
        <v/>
      </c>
      <c r="J5457" s="7" t="str">
        <f>IF(Table1[[#This Row],[Is Data Valid]]=TRUE,_xlfn.NORM.S.DIST(Table1[[#This Row],[Birthweight Z-Score]],TRUE)*100,"")</f>
        <v/>
      </c>
      <c r="K5457" s="7" t="str">
        <f>IF(Table1[[#This Row],[Is Data Valid]]=TRUE,_xlfn.NORM.S.DIST(Table1[[#This Row],[Birthweight Z-Score (BW-10%)]],TRUE)*100,"")</f>
        <v/>
      </c>
      <c r="L5457" s="7" t="str">
        <f>IF(Table1[[#This Row],[Is Data Valid]]=TRUE,_xlfn.NORM.S.DIST(Table1[[#This Row],[Birthweight Z-Score (BW+10%)]],TRUE)*100,"")</f>
        <v/>
      </c>
    </row>
    <row r="5458" spans="1:12" x14ac:dyDescent="0.35">
      <c r="A5458" s="3"/>
      <c r="B5458" s="2"/>
      <c r="C5458" s="2"/>
      <c r="D5458" s="2" t="b">
        <f>IF(AND(NOT(ISBLANK(Table1[[#This Row],[Fetal Sex (Male, Female or Unknown)]])),ISNUMBER(Table1[[#This Row],[Birthweight (grams)]]),ISNUMBER(Table1[[#This Row],[Gestation (days)]])),TRUE,FALSE)</f>
        <v>0</v>
      </c>
      <c r="E5458" s="2" t="str">
        <f>IF(Table1[[#This Row],[Is Data Valid]]=TRUE,IF(Table1[[#This Row],[Fetal Sex (Male, Female or Unknown)]]="Male",Backend!$C$6,IF(Table1[[#This Row],[Fetal Sex (Male, Female or Unknown)]]="Female",Backend!$C$7,IF(Table1[[#This Row],[Fetal Sex (Male, Female or Unknown)]]="Unknown",Backend!$C$8,"Error"))),"")</f>
        <v/>
      </c>
      <c r="F5458" s="8" t="str">
        <f>IF(Table1[[#This Row],[Is Data Valid]]=TRUE,EXP(0.578+0.332*((Table1[[#This Row],[Gestation (days)]]+0.5)/7)-0.00354*((Table1[[#This Row],[Gestation (days)]]+0.5)/7)^2)*Table1[[#This Row],[BW40_3705]],"")</f>
        <v/>
      </c>
      <c r="G5458" s="2" t="str">
        <f>IF(Table1[[#This Row],[Is Data Valid]]=TRUE,((Table1[[#This Row],[Birthweight (grams)]]/Table1[[#This Row],[BW_GA]])-1)/(Backend!$B$4/100*Table1[[#This Row],[BW40_3705]]),"")</f>
        <v/>
      </c>
      <c r="H5458" s="7" t="str">
        <f>IF(Table1[[#This Row],[Is Data Valid]]=TRUE,((Table1[[#This Row],[Birthweight (grams)]]*0.9/Table1[[#This Row],[BW_GA]])-1)/(Backend!$B$4/100*Table1[[#This Row],[BW40_3705]]),"")</f>
        <v/>
      </c>
      <c r="I5458" s="7" t="str">
        <f>IF(Table1[[#This Row],[Is Data Valid]]=TRUE,((Table1[[#This Row],[Birthweight (grams)]]*1.1/Table1[[#This Row],[BW_GA]])-1)/(Backend!$B$4/100*Table1[[#This Row],[BW40_3705]]),"")</f>
        <v/>
      </c>
      <c r="J5458" s="7" t="str">
        <f>IF(Table1[[#This Row],[Is Data Valid]]=TRUE,_xlfn.NORM.S.DIST(Table1[[#This Row],[Birthweight Z-Score]],TRUE)*100,"")</f>
        <v/>
      </c>
      <c r="K5458" s="7" t="str">
        <f>IF(Table1[[#This Row],[Is Data Valid]]=TRUE,_xlfn.NORM.S.DIST(Table1[[#This Row],[Birthweight Z-Score (BW-10%)]],TRUE)*100,"")</f>
        <v/>
      </c>
      <c r="L5458" s="7" t="str">
        <f>IF(Table1[[#This Row],[Is Data Valid]]=TRUE,_xlfn.NORM.S.DIST(Table1[[#This Row],[Birthweight Z-Score (BW+10%)]],TRUE)*100,"")</f>
        <v/>
      </c>
    </row>
    <row r="5459" spans="1:12" x14ac:dyDescent="0.35">
      <c r="A5459" s="3"/>
      <c r="B5459" s="2"/>
      <c r="C5459" s="2"/>
      <c r="D5459" s="2" t="b">
        <f>IF(AND(NOT(ISBLANK(Table1[[#This Row],[Fetal Sex (Male, Female or Unknown)]])),ISNUMBER(Table1[[#This Row],[Birthweight (grams)]]),ISNUMBER(Table1[[#This Row],[Gestation (days)]])),TRUE,FALSE)</f>
        <v>0</v>
      </c>
      <c r="E5459" s="2" t="str">
        <f>IF(Table1[[#This Row],[Is Data Valid]]=TRUE,IF(Table1[[#This Row],[Fetal Sex (Male, Female or Unknown)]]="Male",Backend!$C$6,IF(Table1[[#This Row],[Fetal Sex (Male, Female or Unknown)]]="Female",Backend!$C$7,IF(Table1[[#This Row],[Fetal Sex (Male, Female or Unknown)]]="Unknown",Backend!$C$8,"Error"))),"")</f>
        <v/>
      </c>
      <c r="F5459" s="8" t="str">
        <f>IF(Table1[[#This Row],[Is Data Valid]]=TRUE,EXP(0.578+0.332*((Table1[[#This Row],[Gestation (days)]]+0.5)/7)-0.00354*((Table1[[#This Row],[Gestation (days)]]+0.5)/7)^2)*Table1[[#This Row],[BW40_3705]],"")</f>
        <v/>
      </c>
      <c r="G5459" s="2" t="str">
        <f>IF(Table1[[#This Row],[Is Data Valid]]=TRUE,((Table1[[#This Row],[Birthweight (grams)]]/Table1[[#This Row],[BW_GA]])-1)/(Backend!$B$4/100*Table1[[#This Row],[BW40_3705]]),"")</f>
        <v/>
      </c>
      <c r="H5459" s="7" t="str">
        <f>IF(Table1[[#This Row],[Is Data Valid]]=TRUE,((Table1[[#This Row],[Birthweight (grams)]]*0.9/Table1[[#This Row],[BW_GA]])-1)/(Backend!$B$4/100*Table1[[#This Row],[BW40_3705]]),"")</f>
        <v/>
      </c>
      <c r="I5459" s="7" t="str">
        <f>IF(Table1[[#This Row],[Is Data Valid]]=TRUE,((Table1[[#This Row],[Birthweight (grams)]]*1.1/Table1[[#This Row],[BW_GA]])-1)/(Backend!$B$4/100*Table1[[#This Row],[BW40_3705]]),"")</f>
        <v/>
      </c>
      <c r="J5459" s="7" t="str">
        <f>IF(Table1[[#This Row],[Is Data Valid]]=TRUE,_xlfn.NORM.S.DIST(Table1[[#This Row],[Birthweight Z-Score]],TRUE)*100,"")</f>
        <v/>
      </c>
      <c r="K5459" s="7" t="str">
        <f>IF(Table1[[#This Row],[Is Data Valid]]=TRUE,_xlfn.NORM.S.DIST(Table1[[#This Row],[Birthweight Z-Score (BW-10%)]],TRUE)*100,"")</f>
        <v/>
      </c>
      <c r="L5459" s="7" t="str">
        <f>IF(Table1[[#This Row],[Is Data Valid]]=TRUE,_xlfn.NORM.S.DIST(Table1[[#This Row],[Birthweight Z-Score (BW+10%)]],TRUE)*100,"")</f>
        <v/>
      </c>
    </row>
    <row r="5460" spans="1:12" x14ac:dyDescent="0.35">
      <c r="A5460" s="3"/>
      <c r="B5460" s="2"/>
      <c r="C5460" s="2"/>
      <c r="D5460" s="2" t="b">
        <f>IF(AND(NOT(ISBLANK(Table1[[#This Row],[Fetal Sex (Male, Female or Unknown)]])),ISNUMBER(Table1[[#This Row],[Birthweight (grams)]]),ISNUMBER(Table1[[#This Row],[Gestation (days)]])),TRUE,FALSE)</f>
        <v>0</v>
      </c>
      <c r="E5460" s="2" t="str">
        <f>IF(Table1[[#This Row],[Is Data Valid]]=TRUE,IF(Table1[[#This Row],[Fetal Sex (Male, Female or Unknown)]]="Male",Backend!$C$6,IF(Table1[[#This Row],[Fetal Sex (Male, Female or Unknown)]]="Female",Backend!$C$7,IF(Table1[[#This Row],[Fetal Sex (Male, Female or Unknown)]]="Unknown",Backend!$C$8,"Error"))),"")</f>
        <v/>
      </c>
      <c r="F5460" s="8" t="str">
        <f>IF(Table1[[#This Row],[Is Data Valid]]=TRUE,EXP(0.578+0.332*((Table1[[#This Row],[Gestation (days)]]+0.5)/7)-0.00354*((Table1[[#This Row],[Gestation (days)]]+0.5)/7)^2)*Table1[[#This Row],[BW40_3705]],"")</f>
        <v/>
      </c>
      <c r="G5460" s="2" t="str">
        <f>IF(Table1[[#This Row],[Is Data Valid]]=TRUE,((Table1[[#This Row],[Birthweight (grams)]]/Table1[[#This Row],[BW_GA]])-1)/(Backend!$B$4/100*Table1[[#This Row],[BW40_3705]]),"")</f>
        <v/>
      </c>
      <c r="H5460" s="7" t="str">
        <f>IF(Table1[[#This Row],[Is Data Valid]]=TRUE,((Table1[[#This Row],[Birthweight (grams)]]*0.9/Table1[[#This Row],[BW_GA]])-1)/(Backend!$B$4/100*Table1[[#This Row],[BW40_3705]]),"")</f>
        <v/>
      </c>
      <c r="I5460" s="7" t="str">
        <f>IF(Table1[[#This Row],[Is Data Valid]]=TRUE,((Table1[[#This Row],[Birthweight (grams)]]*1.1/Table1[[#This Row],[BW_GA]])-1)/(Backend!$B$4/100*Table1[[#This Row],[BW40_3705]]),"")</f>
        <v/>
      </c>
      <c r="J5460" s="7" t="str">
        <f>IF(Table1[[#This Row],[Is Data Valid]]=TRUE,_xlfn.NORM.S.DIST(Table1[[#This Row],[Birthweight Z-Score]],TRUE)*100,"")</f>
        <v/>
      </c>
      <c r="K5460" s="7" t="str">
        <f>IF(Table1[[#This Row],[Is Data Valid]]=TRUE,_xlfn.NORM.S.DIST(Table1[[#This Row],[Birthweight Z-Score (BW-10%)]],TRUE)*100,"")</f>
        <v/>
      </c>
      <c r="L5460" s="7" t="str">
        <f>IF(Table1[[#This Row],[Is Data Valid]]=TRUE,_xlfn.NORM.S.DIST(Table1[[#This Row],[Birthweight Z-Score (BW+10%)]],TRUE)*100,"")</f>
        <v/>
      </c>
    </row>
    <row r="5461" spans="1:12" x14ac:dyDescent="0.35">
      <c r="A5461" s="3"/>
      <c r="B5461" s="2"/>
      <c r="C5461" s="2"/>
      <c r="D5461" s="2" t="b">
        <f>IF(AND(NOT(ISBLANK(Table1[[#This Row],[Fetal Sex (Male, Female or Unknown)]])),ISNUMBER(Table1[[#This Row],[Birthweight (grams)]]),ISNUMBER(Table1[[#This Row],[Gestation (days)]])),TRUE,FALSE)</f>
        <v>0</v>
      </c>
      <c r="E5461" s="2" t="str">
        <f>IF(Table1[[#This Row],[Is Data Valid]]=TRUE,IF(Table1[[#This Row],[Fetal Sex (Male, Female or Unknown)]]="Male",Backend!$C$6,IF(Table1[[#This Row],[Fetal Sex (Male, Female or Unknown)]]="Female",Backend!$C$7,IF(Table1[[#This Row],[Fetal Sex (Male, Female or Unknown)]]="Unknown",Backend!$C$8,"Error"))),"")</f>
        <v/>
      </c>
      <c r="F5461" s="8" t="str">
        <f>IF(Table1[[#This Row],[Is Data Valid]]=TRUE,EXP(0.578+0.332*((Table1[[#This Row],[Gestation (days)]]+0.5)/7)-0.00354*((Table1[[#This Row],[Gestation (days)]]+0.5)/7)^2)*Table1[[#This Row],[BW40_3705]],"")</f>
        <v/>
      </c>
      <c r="G5461" s="2" t="str">
        <f>IF(Table1[[#This Row],[Is Data Valid]]=TRUE,((Table1[[#This Row],[Birthweight (grams)]]/Table1[[#This Row],[BW_GA]])-1)/(Backend!$B$4/100*Table1[[#This Row],[BW40_3705]]),"")</f>
        <v/>
      </c>
      <c r="H5461" s="7" t="str">
        <f>IF(Table1[[#This Row],[Is Data Valid]]=TRUE,((Table1[[#This Row],[Birthweight (grams)]]*0.9/Table1[[#This Row],[BW_GA]])-1)/(Backend!$B$4/100*Table1[[#This Row],[BW40_3705]]),"")</f>
        <v/>
      </c>
      <c r="I5461" s="7" t="str">
        <f>IF(Table1[[#This Row],[Is Data Valid]]=TRUE,((Table1[[#This Row],[Birthweight (grams)]]*1.1/Table1[[#This Row],[BW_GA]])-1)/(Backend!$B$4/100*Table1[[#This Row],[BW40_3705]]),"")</f>
        <v/>
      </c>
      <c r="J5461" s="7" t="str">
        <f>IF(Table1[[#This Row],[Is Data Valid]]=TRUE,_xlfn.NORM.S.DIST(Table1[[#This Row],[Birthweight Z-Score]],TRUE)*100,"")</f>
        <v/>
      </c>
      <c r="K5461" s="7" t="str">
        <f>IF(Table1[[#This Row],[Is Data Valid]]=TRUE,_xlfn.NORM.S.DIST(Table1[[#This Row],[Birthweight Z-Score (BW-10%)]],TRUE)*100,"")</f>
        <v/>
      </c>
      <c r="L5461" s="7" t="str">
        <f>IF(Table1[[#This Row],[Is Data Valid]]=TRUE,_xlfn.NORM.S.DIST(Table1[[#This Row],[Birthweight Z-Score (BW+10%)]],TRUE)*100,"")</f>
        <v/>
      </c>
    </row>
    <row r="5462" spans="1:12" x14ac:dyDescent="0.35">
      <c r="A5462" s="3"/>
      <c r="B5462" s="2"/>
      <c r="C5462" s="2"/>
      <c r="D5462" s="2" t="b">
        <f>IF(AND(NOT(ISBLANK(Table1[[#This Row],[Fetal Sex (Male, Female or Unknown)]])),ISNUMBER(Table1[[#This Row],[Birthweight (grams)]]),ISNUMBER(Table1[[#This Row],[Gestation (days)]])),TRUE,FALSE)</f>
        <v>0</v>
      </c>
      <c r="E5462" s="2" t="str">
        <f>IF(Table1[[#This Row],[Is Data Valid]]=TRUE,IF(Table1[[#This Row],[Fetal Sex (Male, Female or Unknown)]]="Male",Backend!$C$6,IF(Table1[[#This Row],[Fetal Sex (Male, Female or Unknown)]]="Female",Backend!$C$7,IF(Table1[[#This Row],[Fetal Sex (Male, Female or Unknown)]]="Unknown",Backend!$C$8,"Error"))),"")</f>
        <v/>
      </c>
      <c r="F5462" s="8" t="str">
        <f>IF(Table1[[#This Row],[Is Data Valid]]=TRUE,EXP(0.578+0.332*((Table1[[#This Row],[Gestation (days)]]+0.5)/7)-0.00354*((Table1[[#This Row],[Gestation (days)]]+0.5)/7)^2)*Table1[[#This Row],[BW40_3705]],"")</f>
        <v/>
      </c>
      <c r="G5462" s="2" t="str">
        <f>IF(Table1[[#This Row],[Is Data Valid]]=TRUE,((Table1[[#This Row],[Birthweight (grams)]]/Table1[[#This Row],[BW_GA]])-1)/(Backend!$B$4/100*Table1[[#This Row],[BW40_3705]]),"")</f>
        <v/>
      </c>
      <c r="H5462" s="7" t="str">
        <f>IF(Table1[[#This Row],[Is Data Valid]]=TRUE,((Table1[[#This Row],[Birthweight (grams)]]*0.9/Table1[[#This Row],[BW_GA]])-1)/(Backend!$B$4/100*Table1[[#This Row],[BW40_3705]]),"")</f>
        <v/>
      </c>
      <c r="I5462" s="7" t="str">
        <f>IF(Table1[[#This Row],[Is Data Valid]]=TRUE,((Table1[[#This Row],[Birthweight (grams)]]*1.1/Table1[[#This Row],[BW_GA]])-1)/(Backend!$B$4/100*Table1[[#This Row],[BW40_3705]]),"")</f>
        <v/>
      </c>
      <c r="J5462" s="7" t="str">
        <f>IF(Table1[[#This Row],[Is Data Valid]]=TRUE,_xlfn.NORM.S.DIST(Table1[[#This Row],[Birthweight Z-Score]],TRUE)*100,"")</f>
        <v/>
      </c>
      <c r="K5462" s="7" t="str">
        <f>IF(Table1[[#This Row],[Is Data Valid]]=TRUE,_xlfn.NORM.S.DIST(Table1[[#This Row],[Birthweight Z-Score (BW-10%)]],TRUE)*100,"")</f>
        <v/>
      </c>
      <c r="L5462" s="7" t="str">
        <f>IF(Table1[[#This Row],[Is Data Valid]]=TRUE,_xlfn.NORM.S.DIST(Table1[[#This Row],[Birthweight Z-Score (BW+10%)]],TRUE)*100,"")</f>
        <v/>
      </c>
    </row>
    <row r="5463" spans="1:12" x14ac:dyDescent="0.35">
      <c r="A5463" s="3"/>
      <c r="B5463" s="2"/>
      <c r="C5463" s="2"/>
      <c r="D5463" s="2" t="b">
        <f>IF(AND(NOT(ISBLANK(Table1[[#This Row],[Fetal Sex (Male, Female or Unknown)]])),ISNUMBER(Table1[[#This Row],[Birthweight (grams)]]),ISNUMBER(Table1[[#This Row],[Gestation (days)]])),TRUE,FALSE)</f>
        <v>0</v>
      </c>
      <c r="E5463" s="2" t="str">
        <f>IF(Table1[[#This Row],[Is Data Valid]]=TRUE,IF(Table1[[#This Row],[Fetal Sex (Male, Female or Unknown)]]="Male",Backend!$C$6,IF(Table1[[#This Row],[Fetal Sex (Male, Female or Unknown)]]="Female",Backend!$C$7,IF(Table1[[#This Row],[Fetal Sex (Male, Female or Unknown)]]="Unknown",Backend!$C$8,"Error"))),"")</f>
        <v/>
      </c>
      <c r="F5463" s="8" t="str">
        <f>IF(Table1[[#This Row],[Is Data Valid]]=TRUE,EXP(0.578+0.332*((Table1[[#This Row],[Gestation (days)]]+0.5)/7)-0.00354*((Table1[[#This Row],[Gestation (days)]]+0.5)/7)^2)*Table1[[#This Row],[BW40_3705]],"")</f>
        <v/>
      </c>
      <c r="G5463" s="2" t="str">
        <f>IF(Table1[[#This Row],[Is Data Valid]]=TRUE,((Table1[[#This Row],[Birthweight (grams)]]/Table1[[#This Row],[BW_GA]])-1)/(Backend!$B$4/100*Table1[[#This Row],[BW40_3705]]),"")</f>
        <v/>
      </c>
      <c r="H5463" s="7" t="str">
        <f>IF(Table1[[#This Row],[Is Data Valid]]=TRUE,((Table1[[#This Row],[Birthweight (grams)]]*0.9/Table1[[#This Row],[BW_GA]])-1)/(Backend!$B$4/100*Table1[[#This Row],[BW40_3705]]),"")</f>
        <v/>
      </c>
      <c r="I5463" s="7" t="str">
        <f>IF(Table1[[#This Row],[Is Data Valid]]=TRUE,((Table1[[#This Row],[Birthweight (grams)]]*1.1/Table1[[#This Row],[BW_GA]])-1)/(Backend!$B$4/100*Table1[[#This Row],[BW40_3705]]),"")</f>
        <v/>
      </c>
      <c r="J5463" s="7" t="str">
        <f>IF(Table1[[#This Row],[Is Data Valid]]=TRUE,_xlfn.NORM.S.DIST(Table1[[#This Row],[Birthweight Z-Score]],TRUE)*100,"")</f>
        <v/>
      </c>
      <c r="K5463" s="7" t="str">
        <f>IF(Table1[[#This Row],[Is Data Valid]]=TRUE,_xlfn.NORM.S.DIST(Table1[[#This Row],[Birthweight Z-Score (BW-10%)]],TRUE)*100,"")</f>
        <v/>
      </c>
      <c r="L5463" s="7" t="str">
        <f>IF(Table1[[#This Row],[Is Data Valid]]=TRUE,_xlfn.NORM.S.DIST(Table1[[#This Row],[Birthweight Z-Score (BW+10%)]],TRUE)*100,"")</f>
        <v/>
      </c>
    </row>
    <row r="5464" spans="1:12" x14ac:dyDescent="0.35">
      <c r="A5464" s="3"/>
      <c r="B5464" s="2"/>
      <c r="C5464" s="2"/>
      <c r="D5464" s="2" t="b">
        <f>IF(AND(NOT(ISBLANK(Table1[[#This Row],[Fetal Sex (Male, Female or Unknown)]])),ISNUMBER(Table1[[#This Row],[Birthweight (grams)]]),ISNUMBER(Table1[[#This Row],[Gestation (days)]])),TRUE,FALSE)</f>
        <v>0</v>
      </c>
      <c r="E5464" s="2" t="str">
        <f>IF(Table1[[#This Row],[Is Data Valid]]=TRUE,IF(Table1[[#This Row],[Fetal Sex (Male, Female or Unknown)]]="Male",Backend!$C$6,IF(Table1[[#This Row],[Fetal Sex (Male, Female or Unknown)]]="Female",Backend!$C$7,IF(Table1[[#This Row],[Fetal Sex (Male, Female or Unknown)]]="Unknown",Backend!$C$8,"Error"))),"")</f>
        <v/>
      </c>
      <c r="F5464" s="8" t="str">
        <f>IF(Table1[[#This Row],[Is Data Valid]]=TRUE,EXP(0.578+0.332*((Table1[[#This Row],[Gestation (days)]]+0.5)/7)-0.00354*((Table1[[#This Row],[Gestation (days)]]+0.5)/7)^2)*Table1[[#This Row],[BW40_3705]],"")</f>
        <v/>
      </c>
      <c r="G5464" s="2" t="str">
        <f>IF(Table1[[#This Row],[Is Data Valid]]=TRUE,((Table1[[#This Row],[Birthweight (grams)]]/Table1[[#This Row],[BW_GA]])-1)/(Backend!$B$4/100*Table1[[#This Row],[BW40_3705]]),"")</f>
        <v/>
      </c>
      <c r="H5464" s="7" t="str">
        <f>IF(Table1[[#This Row],[Is Data Valid]]=TRUE,((Table1[[#This Row],[Birthweight (grams)]]*0.9/Table1[[#This Row],[BW_GA]])-1)/(Backend!$B$4/100*Table1[[#This Row],[BW40_3705]]),"")</f>
        <v/>
      </c>
      <c r="I5464" s="7" t="str">
        <f>IF(Table1[[#This Row],[Is Data Valid]]=TRUE,((Table1[[#This Row],[Birthweight (grams)]]*1.1/Table1[[#This Row],[BW_GA]])-1)/(Backend!$B$4/100*Table1[[#This Row],[BW40_3705]]),"")</f>
        <v/>
      </c>
      <c r="J5464" s="7" t="str">
        <f>IF(Table1[[#This Row],[Is Data Valid]]=TRUE,_xlfn.NORM.S.DIST(Table1[[#This Row],[Birthweight Z-Score]],TRUE)*100,"")</f>
        <v/>
      </c>
      <c r="K5464" s="7" t="str">
        <f>IF(Table1[[#This Row],[Is Data Valid]]=TRUE,_xlfn.NORM.S.DIST(Table1[[#This Row],[Birthweight Z-Score (BW-10%)]],TRUE)*100,"")</f>
        <v/>
      </c>
      <c r="L5464" s="7" t="str">
        <f>IF(Table1[[#This Row],[Is Data Valid]]=TRUE,_xlfn.NORM.S.DIST(Table1[[#This Row],[Birthweight Z-Score (BW+10%)]],TRUE)*100,"")</f>
        <v/>
      </c>
    </row>
    <row r="5465" spans="1:12" x14ac:dyDescent="0.35">
      <c r="A5465" s="3"/>
      <c r="B5465" s="2"/>
      <c r="C5465" s="2"/>
      <c r="D5465" s="2" t="b">
        <f>IF(AND(NOT(ISBLANK(Table1[[#This Row],[Fetal Sex (Male, Female or Unknown)]])),ISNUMBER(Table1[[#This Row],[Birthweight (grams)]]),ISNUMBER(Table1[[#This Row],[Gestation (days)]])),TRUE,FALSE)</f>
        <v>0</v>
      </c>
      <c r="E5465" s="2" t="str">
        <f>IF(Table1[[#This Row],[Is Data Valid]]=TRUE,IF(Table1[[#This Row],[Fetal Sex (Male, Female or Unknown)]]="Male",Backend!$C$6,IF(Table1[[#This Row],[Fetal Sex (Male, Female or Unknown)]]="Female",Backend!$C$7,IF(Table1[[#This Row],[Fetal Sex (Male, Female or Unknown)]]="Unknown",Backend!$C$8,"Error"))),"")</f>
        <v/>
      </c>
      <c r="F5465" s="8" t="str">
        <f>IF(Table1[[#This Row],[Is Data Valid]]=TRUE,EXP(0.578+0.332*((Table1[[#This Row],[Gestation (days)]]+0.5)/7)-0.00354*((Table1[[#This Row],[Gestation (days)]]+0.5)/7)^2)*Table1[[#This Row],[BW40_3705]],"")</f>
        <v/>
      </c>
      <c r="G5465" s="2" t="str">
        <f>IF(Table1[[#This Row],[Is Data Valid]]=TRUE,((Table1[[#This Row],[Birthweight (grams)]]/Table1[[#This Row],[BW_GA]])-1)/(Backend!$B$4/100*Table1[[#This Row],[BW40_3705]]),"")</f>
        <v/>
      </c>
      <c r="H5465" s="7" t="str">
        <f>IF(Table1[[#This Row],[Is Data Valid]]=TRUE,((Table1[[#This Row],[Birthweight (grams)]]*0.9/Table1[[#This Row],[BW_GA]])-1)/(Backend!$B$4/100*Table1[[#This Row],[BW40_3705]]),"")</f>
        <v/>
      </c>
      <c r="I5465" s="7" t="str">
        <f>IF(Table1[[#This Row],[Is Data Valid]]=TRUE,((Table1[[#This Row],[Birthweight (grams)]]*1.1/Table1[[#This Row],[BW_GA]])-1)/(Backend!$B$4/100*Table1[[#This Row],[BW40_3705]]),"")</f>
        <v/>
      </c>
      <c r="J5465" s="7" t="str">
        <f>IF(Table1[[#This Row],[Is Data Valid]]=TRUE,_xlfn.NORM.S.DIST(Table1[[#This Row],[Birthweight Z-Score]],TRUE)*100,"")</f>
        <v/>
      </c>
      <c r="K5465" s="7" t="str">
        <f>IF(Table1[[#This Row],[Is Data Valid]]=TRUE,_xlfn.NORM.S.DIST(Table1[[#This Row],[Birthweight Z-Score (BW-10%)]],TRUE)*100,"")</f>
        <v/>
      </c>
      <c r="L5465" s="7" t="str">
        <f>IF(Table1[[#This Row],[Is Data Valid]]=TRUE,_xlfn.NORM.S.DIST(Table1[[#This Row],[Birthweight Z-Score (BW+10%)]],TRUE)*100,"")</f>
        <v/>
      </c>
    </row>
    <row r="5466" spans="1:12" x14ac:dyDescent="0.35">
      <c r="A5466" s="3"/>
      <c r="B5466" s="2"/>
      <c r="C5466" s="2"/>
      <c r="D5466" s="2" t="b">
        <f>IF(AND(NOT(ISBLANK(Table1[[#This Row],[Fetal Sex (Male, Female or Unknown)]])),ISNUMBER(Table1[[#This Row],[Birthweight (grams)]]),ISNUMBER(Table1[[#This Row],[Gestation (days)]])),TRUE,FALSE)</f>
        <v>0</v>
      </c>
      <c r="E5466" s="2" t="str">
        <f>IF(Table1[[#This Row],[Is Data Valid]]=TRUE,IF(Table1[[#This Row],[Fetal Sex (Male, Female or Unknown)]]="Male",Backend!$C$6,IF(Table1[[#This Row],[Fetal Sex (Male, Female or Unknown)]]="Female",Backend!$C$7,IF(Table1[[#This Row],[Fetal Sex (Male, Female or Unknown)]]="Unknown",Backend!$C$8,"Error"))),"")</f>
        <v/>
      </c>
      <c r="F5466" s="8" t="str">
        <f>IF(Table1[[#This Row],[Is Data Valid]]=TRUE,EXP(0.578+0.332*((Table1[[#This Row],[Gestation (days)]]+0.5)/7)-0.00354*((Table1[[#This Row],[Gestation (days)]]+0.5)/7)^2)*Table1[[#This Row],[BW40_3705]],"")</f>
        <v/>
      </c>
      <c r="G5466" s="2" t="str">
        <f>IF(Table1[[#This Row],[Is Data Valid]]=TRUE,((Table1[[#This Row],[Birthweight (grams)]]/Table1[[#This Row],[BW_GA]])-1)/(Backend!$B$4/100*Table1[[#This Row],[BW40_3705]]),"")</f>
        <v/>
      </c>
      <c r="H5466" s="7" t="str">
        <f>IF(Table1[[#This Row],[Is Data Valid]]=TRUE,((Table1[[#This Row],[Birthweight (grams)]]*0.9/Table1[[#This Row],[BW_GA]])-1)/(Backend!$B$4/100*Table1[[#This Row],[BW40_3705]]),"")</f>
        <v/>
      </c>
      <c r="I5466" s="7" t="str">
        <f>IF(Table1[[#This Row],[Is Data Valid]]=TRUE,((Table1[[#This Row],[Birthweight (grams)]]*1.1/Table1[[#This Row],[BW_GA]])-1)/(Backend!$B$4/100*Table1[[#This Row],[BW40_3705]]),"")</f>
        <v/>
      </c>
      <c r="J5466" s="7" t="str">
        <f>IF(Table1[[#This Row],[Is Data Valid]]=TRUE,_xlfn.NORM.S.DIST(Table1[[#This Row],[Birthweight Z-Score]],TRUE)*100,"")</f>
        <v/>
      </c>
      <c r="K5466" s="7" t="str">
        <f>IF(Table1[[#This Row],[Is Data Valid]]=TRUE,_xlfn.NORM.S.DIST(Table1[[#This Row],[Birthweight Z-Score (BW-10%)]],TRUE)*100,"")</f>
        <v/>
      </c>
      <c r="L5466" s="7" t="str">
        <f>IF(Table1[[#This Row],[Is Data Valid]]=TRUE,_xlfn.NORM.S.DIST(Table1[[#This Row],[Birthweight Z-Score (BW+10%)]],TRUE)*100,"")</f>
        <v/>
      </c>
    </row>
    <row r="5467" spans="1:12" x14ac:dyDescent="0.35">
      <c r="A5467" s="3"/>
      <c r="B5467" s="2"/>
      <c r="C5467" s="2"/>
      <c r="D5467" s="2" t="b">
        <f>IF(AND(NOT(ISBLANK(Table1[[#This Row],[Fetal Sex (Male, Female or Unknown)]])),ISNUMBER(Table1[[#This Row],[Birthweight (grams)]]),ISNUMBER(Table1[[#This Row],[Gestation (days)]])),TRUE,FALSE)</f>
        <v>0</v>
      </c>
      <c r="E5467" s="2" t="str">
        <f>IF(Table1[[#This Row],[Is Data Valid]]=TRUE,IF(Table1[[#This Row],[Fetal Sex (Male, Female or Unknown)]]="Male",Backend!$C$6,IF(Table1[[#This Row],[Fetal Sex (Male, Female or Unknown)]]="Female",Backend!$C$7,IF(Table1[[#This Row],[Fetal Sex (Male, Female or Unknown)]]="Unknown",Backend!$C$8,"Error"))),"")</f>
        <v/>
      </c>
      <c r="F5467" s="8" t="str">
        <f>IF(Table1[[#This Row],[Is Data Valid]]=TRUE,EXP(0.578+0.332*((Table1[[#This Row],[Gestation (days)]]+0.5)/7)-0.00354*((Table1[[#This Row],[Gestation (days)]]+0.5)/7)^2)*Table1[[#This Row],[BW40_3705]],"")</f>
        <v/>
      </c>
      <c r="G5467" s="2" t="str">
        <f>IF(Table1[[#This Row],[Is Data Valid]]=TRUE,((Table1[[#This Row],[Birthweight (grams)]]/Table1[[#This Row],[BW_GA]])-1)/(Backend!$B$4/100*Table1[[#This Row],[BW40_3705]]),"")</f>
        <v/>
      </c>
      <c r="H5467" s="7" t="str">
        <f>IF(Table1[[#This Row],[Is Data Valid]]=TRUE,((Table1[[#This Row],[Birthweight (grams)]]*0.9/Table1[[#This Row],[BW_GA]])-1)/(Backend!$B$4/100*Table1[[#This Row],[BW40_3705]]),"")</f>
        <v/>
      </c>
      <c r="I5467" s="7" t="str">
        <f>IF(Table1[[#This Row],[Is Data Valid]]=TRUE,((Table1[[#This Row],[Birthweight (grams)]]*1.1/Table1[[#This Row],[BW_GA]])-1)/(Backend!$B$4/100*Table1[[#This Row],[BW40_3705]]),"")</f>
        <v/>
      </c>
      <c r="J5467" s="7" t="str">
        <f>IF(Table1[[#This Row],[Is Data Valid]]=TRUE,_xlfn.NORM.S.DIST(Table1[[#This Row],[Birthweight Z-Score]],TRUE)*100,"")</f>
        <v/>
      </c>
      <c r="K5467" s="7" t="str">
        <f>IF(Table1[[#This Row],[Is Data Valid]]=TRUE,_xlfn.NORM.S.DIST(Table1[[#This Row],[Birthweight Z-Score (BW-10%)]],TRUE)*100,"")</f>
        <v/>
      </c>
      <c r="L5467" s="7" t="str">
        <f>IF(Table1[[#This Row],[Is Data Valid]]=TRUE,_xlfn.NORM.S.DIST(Table1[[#This Row],[Birthweight Z-Score (BW+10%)]],TRUE)*100,"")</f>
        <v/>
      </c>
    </row>
    <row r="5468" spans="1:12" x14ac:dyDescent="0.35">
      <c r="A5468" s="3"/>
      <c r="B5468" s="2"/>
      <c r="C5468" s="2"/>
      <c r="D5468" s="2" t="b">
        <f>IF(AND(NOT(ISBLANK(Table1[[#This Row],[Fetal Sex (Male, Female or Unknown)]])),ISNUMBER(Table1[[#This Row],[Birthweight (grams)]]),ISNUMBER(Table1[[#This Row],[Gestation (days)]])),TRUE,FALSE)</f>
        <v>0</v>
      </c>
      <c r="E5468" s="2" t="str">
        <f>IF(Table1[[#This Row],[Is Data Valid]]=TRUE,IF(Table1[[#This Row],[Fetal Sex (Male, Female or Unknown)]]="Male",Backend!$C$6,IF(Table1[[#This Row],[Fetal Sex (Male, Female or Unknown)]]="Female",Backend!$C$7,IF(Table1[[#This Row],[Fetal Sex (Male, Female or Unknown)]]="Unknown",Backend!$C$8,"Error"))),"")</f>
        <v/>
      </c>
      <c r="F5468" s="8" t="str">
        <f>IF(Table1[[#This Row],[Is Data Valid]]=TRUE,EXP(0.578+0.332*((Table1[[#This Row],[Gestation (days)]]+0.5)/7)-0.00354*((Table1[[#This Row],[Gestation (days)]]+0.5)/7)^2)*Table1[[#This Row],[BW40_3705]],"")</f>
        <v/>
      </c>
      <c r="G5468" s="2" t="str">
        <f>IF(Table1[[#This Row],[Is Data Valid]]=TRUE,((Table1[[#This Row],[Birthweight (grams)]]/Table1[[#This Row],[BW_GA]])-1)/(Backend!$B$4/100*Table1[[#This Row],[BW40_3705]]),"")</f>
        <v/>
      </c>
      <c r="H5468" s="7" t="str">
        <f>IF(Table1[[#This Row],[Is Data Valid]]=TRUE,((Table1[[#This Row],[Birthweight (grams)]]*0.9/Table1[[#This Row],[BW_GA]])-1)/(Backend!$B$4/100*Table1[[#This Row],[BW40_3705]]),"")</f>
        <v/>
      </c>
      <c r="I5468" s="7" t="str">
        <f>IF(Table1[[#This Row],[Is Data Valid]]=TRUE,((Table1[[#This Row],[Birthweight (grams)]]*1.1/Table1[[#This Row],[BW_GA]])-1)/(Backend!$B$4/100*Table1[[#This Row],[BW40_3705]]),"")</f>
        <v/>
      </c>
      <c r="J5468" s="7" t="str">
        <f>IF(Table1[[#This Row],[Is Data Valid]]=TRUE,_xlfn.NORM.S.DIST(Table1[[#This Row],[Birthweight Z-Score]],TRUE)*100,"")</f>
        <v/>
      </c>
      <c r="K5468" s="7" t="str">
        <f>IF(Table1[[#This Row],[Is Data Valid]]=TRUE,_xlfn.NORM.S.DIST(Table1[[#This Row],[Birthweight Z-Score (BW-10%)]],TRUE)*100,"")</f>
        <v/>
      </c>
      <c r="L5468" s="7" t="str">
        <f>IF(Table1[[#This Row],[Is Data Valid]]=TRUE,_xlfn.NORM.S.DIST(Table1[[#This Row],[Birthweight Z-Score (BW+10%)]],TRUE)*100,"")</f>
        <v/>
      </c>
    </row>
    <row r="5469" spans="1:12" x14ac:dyDescent="0.35">
      <c r="A5469" s="3"/>
      <c r="B5469" s="2"/>
      <c r="C5469" s="2"/>
      <c r="D5469" s="2" t="b">
        <f>IF(AND(NOT(ISBLANK(Table1[[#This Row],[Fetal Sex (Male, Female or Unknown)]])),ISNUMBER(Table1[[#This Row],[Birthweight (grams)]]),ISNUMBER(Table1[[#This Row],[Gestation (days)]])),TRUE,FALSE)</f>
        <v>0</v>
      </c>
      <c r="E5469" s="2" t="str">
        <f>IF(Table1[[#This Row],[Is Data Valid]]=TRUE,IF(Table1[[#This Row],[Fetal Sex (Male, Female or Unknown)]]="Male",Backend!$C$6,IF(Table1[[#This Row],[Fetal Sex (Male, Female or Unknown)]]="Female",Backend!$C$7,IF(Table1[[#This Row],[Fetal Sex (Male, Female or Unknown)]]="Unknown",Backend!$C$8,"Error"))),"")</f>
        <v/>
      </c>
      <c r="F5469" s="8" t="str">
        <f>IF(Table1[[#This Row],[Is Data Valid]]=TRUE,EXP(0.578+0.332*((Table1[[#This Row],[Gestation (days)]]+0.5)/7)-0.00354*((Table1[[#This Row],[Gestation (days)]]+0.5)/7)^2)*Table1[[#This Row],[BW40_3705]],"")</f>
        <v/>
      </c>
      <c r="G5469" s="2" t="str">
        <f>IF(Table1[[#This Row],[Is Data Valid]]=TRUE,((Table1[[#This Row],[Birthweight (grams)]]/Table1[[#This Row],[BW_GA]])-1)/(Backend!$B$4/100*Table1[[#This Row],[BW40_3705]]),"")</f>
        <v/>
      </c>
      <c r="H5469" s="7" t="str">
        <f>IF(Table1[[#This Row],[Is Data Valid]]=TRUE,((Table1[[#This Row],[Birthweight (grams)]]*0.9/Table1[[#This Row],[BW_GA]])-1)/(Backend!$B$4/100*Table1[[#This Row],[BW40_3705]]),"")</f>
        <v/>
      </c>
      <c r="I5469" s="7" t="str">
        <f>IF(Table1[[#This Row],[Is Data Valid]]=TRUE,((Table1[[#This Row],[Birthweight (grams)]]*1.1/Table1[[#This Row],[BW_GA]])-1)/(Backend!$B$4/100*Table1[[#This Row],[BW40_3705]]),"")</f>
        <v/>
      </c>
      <c r="J5469" s="7" t="str">
        <f>IF(Table1[[#This Row],[Is Data Valid]]=TRUE,_xlfn.NORM.S.DIST(Table1[[#This Row],[Birthweight Z-Score]],TRUE)*100,"")</f>
        <v/>
      </c>
      <c r="K5469" s="7" t="str">
        <f>IF(Table1[[#This Row],[Is Data Valid]]=TRUE,_xlfn.NORM.S.DIST(Table1[[#This Row],[Birthweight Z-Score (BW-10%)]],TRUE)*100,"")</f>
        <v/>
      </c>
      <c r="L5469" s="7" t="str">
        <f>IF(Table1[[#This Row],[Is Data Valid]]=TRUE,_xlfn.NORM.S.DIST(Table1[[#This Row],[Birthweight Z-Score (BW+10%)]],TRUE)*100,"")</f>
        <v/>
      </c>
    </row>
    <row r="5470" spans="1:12" x14ac:dyDescent="0.35">
      <c r="A5470" s="3"/>
      <c r="B5470" s="2"/>
      <c r="C5470" s="2"/>
      <c r="D5470" s="2" t="b">
        <f>IF(AND(NOT(ISBLANK(Table1[[#This Row],[Fetal Sex (Male, Female or Unknown)]])),ISNUMBER(Table1[[#This Row],[Birthweight (grams)]]),ISNUMBER(Table1[[#This Row],[Gestation (days)]])),TRUE,FALSE)</f>
        <v>0</v>
      </c>
      <c r="E5470" s="2" t="str">
        <f>IF(Table1[[#This Row],[Is Data Valid]]=TRUE,IF(Table1[[#This Row],[Fetal Sex (Male, Female or Unknown)]]="Male",Backend!$C$6,IF(Table1[[#This Row],[Fetal Sex (Male, Female or Unknown)]]="Female",Backend!$C$7,IF(Table1[[#This Row],[Fetal Sex (Male, Female or Unknown)]]="Unknown",Backend!$C$8,"Error"))),"")</f>
        <v/>
      </c>
      <c r="F5470" s="8" t="str">
        <f>IF(Table1[[#This Row],[Is Data Valid]]=TRUE,EXP(0.578+0.332*((Table1[[#This Row],[Gestation (days)]]+0.5)/7)-0.00354*((Table1[[#This Row],[Gestation (days)]]+0.5)/7)^2)*Table1[[#This Row],[BW40_3705]],"")</f>
        <v/>
      </c>
      <c r="G5470" s="2" t="str">
        <f>IF(Table1[[#This Row],[Is Data Valid]]=TRUE,((Table1[[#This Row],[Birthweight (grams)]]/Table1[[#This Row],[BW_GA]])-1)/(Backend!$B$4/100*Table1[[#This Row],[BW40_3705]]),"")</f>
        <v/>
      </c>
      <c r="H5470" s="7" t="str">
        <f>IF(Table1[[#This Row],[Is Data Valid]]=TRUE,((Table1[[#This Row],[Birthweight (grams)]]*0.9/Table1[[#This Row],[BW_GA]])-1)/(Backend!$B$4/100*Table1[[#This Row],[BW40_3705]]),"")</f>
        <v/>
      </c>
      <c r="I5470" s="7" t="str">
        <f>IF(Table1[[#This Row],[Is Data Valid]]=TRUE,((Table1[[#This Row],[Birthweight (grams)]]*1.1/Table1[[#This Row],[BW_GA]])-1)/(Backend!$B$4/100*Table1[[#This Row],[BW40_3705]]),"")</f>
        <v/>
      </c>
      <c r="J5470" s="7" t="str">
        <f>IF(Table1[[#This Row],[Is Data Valid]]=TRUE,_xlfn.NORM.S.DIST(Table1[[#This Row],[Birthweight Z-Score]],TRUE)*100,"")</f>
        <v/>
      </c>
      <c r="K5470" s="7" t="str">
        <f>IF(Table1[[#This Row],[Is Data Valid]]=TRUE,_xlfn.NORM.S.DIST(Table1[[#This Row],[Birthweight Z-Score (BW-10%)]],TRUE)*100,"")</f>
        <v/>
      </c>
      <c r="L5470" s="7" t="str">
        <f>IF(Table1[[#This Row],[Is Data Valid]]=TRUE,_xlfn.NORM.S.DIST(Table1[[#This Row],[Birthweight Z-Score (BW+10%)]],TRUE)*100,"")</f>
        <v/>
      </c>
    </row>
    <row r="5471" spans="1:12" x14ac:dyDescent="0.35">
      <c r="A5471" s="3"/>
      <c r="B5471" s="2"/>
      <c r="C5471" s="2"/>
      <c r="D5471" s="2" t="b">
        <f>IF(AND(NOT(ISBLANK(Table1[[#This Row],[Fetal Sex (Male, Female or Unknown)]])),ISNUMBER(Table1[[#This Row],[Birthweight (grams)]]),ISNUMBER(Table1[[#This Row],[Gestation (days)]])),TRUE,FALSE)</f>
        <v>0</v>
      </c>
      <c r="E5471" s="2" t="str">
        <f>IF(Table1[[#This Row],[Is Data Valid]]=TRUE,IF(Table1[[#This Row],[Fetal Sex (Male, Female or Unknown)]]="Male",Backend!$C$6,IF(Table1[[#This Row],[Fetal Sex (Male, Female or Unknown)]]="Female",Backend!$C$7,IF(Table1[[#This Row],[Fetal Sex (Male, Female or Unknown)]]="Unknown",Backend!$C$8,"Error"))),"")</f>
        <v/>
      </c>
      <c r="F5471" s="8" t="str">
        <f>IF(Table1[[#This Row],[Is Data Valid]]=TRUE,EXP(0.578+0.332*((Table1[[#This Row],[Gestation (days)]]+0.5)/7)-0.00354*((Table1[[#This Row],[Gestation (days)]]+0.5)/7)^2)*Table1[[#This Row],[BW40_3705]],"")</f>
        <v/>
      </c>
      <c r="G5471" s="2" t="str">
        <f>IF(Table1[[#This Row],[Is Data Valid]]=TRUE,((Table1[[#This Row],[Birthweight (grams)]]/Table1[[#This Row],[BW_GA]])-1)/(Backend!$B$4/100*Table1[[#This Row],[BW40_3705]]),"")</f>
        <v/>
      </c>
      <c r="H5471" s="7" t="str">
        <f>IF(Table1[[#This Row],[Is Data Valid]]=TRUE,((Table1[[#This Row],[Birthweight (grams)]]*0.9/Table1[[#This Row],[BW_GA]])-1)/(Backend!$B$4/100*Table1[[#This Row],[BW40_3705]]),"")</f>
        <v/>
      </c>
      <c r="I5471" s="7" t="str">
        <f>IF(Table1[[#This Row],[Is Data Valid]]=TRUE,((Table1[[#This Row],[Birthweight (grams)]]*1.1/Table1[[#This Row],[BW_GA]])-1)/(Backend!$B$4/100*Table1[[#This Row],[BW40_3705]]),"")</f>
        <v/>
      </c>
      <c r="J5471" s="7" t="str">
        <f>IF(Table1[[#This Row],[Is Data Valid]]=TRUE,_xlfn.NORM.S.DIST(Table1[[#This Row],[Birthweight Z-Score]],TRUE)*100,"")</f>
        <v/>
      </c>
      <c r="K5471" s="7" t="str">
        <f>IF(Table1[[#This Row],[Is Data Valid]]=TRUE,_xlfn.NORM.S.DIST(Table1[[#This Row],[Birthweight Z-Score (BW-10%)]],TRUE)*100,"")</f>
        <v/>
      </c>
      <c r="L5471" s="7" t="str">
        <f>IF(Table1[[#This Row],[Is Data Valid]]=TRUE,_xlfn.NORM.S.DIST(Table1[[#This Row],[Birthweight Z-Score (BW+10%)]],TRUE)*100,"")</f>
        <v/>
      </c>
    </row>
    <row r="5472" spans="1:12" x14ac:dyDescent="0.35">
      <c r="A5472" s="3"/>
      <c r="B5472" s="2"/>
      <c r="C5472" s="2"/>
      <c r="D5472" s="2" t="b">
        <f>IF(AND(NOT(ISBLANK(Table1[[#This Row],[Fetal Sex (Male, Female or Unknown)]])),ISNUMBER(Table1[[#This Row],[Birthweight (grams)]]),ISNUMBER(Table1[[#This Row],[Gestation (days)]])),TRUE,FALSE)</f>
        <v>0</v>
      </c>
      <c r="E5472" s="2" t="str">
        <f>IF(Table1[[#This Row],[Is Data Valid]]=TRUE,IF(Table1[[#This Row],[Fetal Sex (Male, Female or Unknown)]]="Male",Backend!$C$6,IF(Table1[[#This Row],[Fetal Sex (Male, Female or Unknown)]]="Female",Backend!$C$7,IF(Table1[[#This Row],[Fetal Sex (Male, Female or Unknown)]]="Unknown",Backend!$C$8,"Error"))),"")</f>
        <v/>
      </c>
      <c r="F5472" s="8" t="str">
        <f>IF(Table1[[#This Row],[Is Data Valid]]=TRUE,EXP(0.578+0.332*((Table1[[#This Row],[Gestation (days)]]+0.5)/7)-0.00354*((Table1[[#This Row],[Gestation (days)]]+0.5)/7)^2)*Table1[[#This Row],[BW40_3705]],"")</f>
        <v/>
      </c>
      <c r="G5472" s="2" t="str">
        <f>IF(Table1[[#This Row],[Is Data Valid]]=TRUE,((Table1[[#This Row],[Birthweight (grams)]]/Table1[[#This Row],[BW_GA]])-1)/(Backend!$B$4/100*Table1[[#This Row],[BW40_3705]]),"")</f>
        <v/>
      </c>
      <c r="H5472" s="7" t="str">
        <f>IF(Table1[[#This Row],[Is Data Valid]]=TRUE,((Table1[[#This Row],[Birthweight (grams)]]*0.9/Table1[[#This Row],[BW_GA]])-1)/(Backend!$B$4/100*Table1[[#This Row],[BW40_3705]]),"")</f>
        <v/>
      </c>
      <c r="I5472" s="7" t="str">
        <f>IF(Table1[[#This Row],[Is Data Valid]]=TRUE,((Table1[[#This Row],[Birthweight (grams)]]*1.1/Table1[[#This Row],[BW_GA]])-1)/(Backend!$B$4/100*Table1[[#This Row],[BW40_3705]]),"")</f>
        <v/>
      </c>
      <c r="J5472" s="7" t="str">
        <f>IF(Table1[[#This Row],[Is Data Valid]]=TRUE,_xlfn.NORM.S.DIST(Table1[[#This Row],[Birthweight Z-Score]],TRUE)*100,"")</f>
        <v/>
      </c>
      <c r="K5472" s="7" t="str">
        <f>IF(Table1[[#This Row],[Is Data Valid]]=TRUE,_xlfn.NORM.S.DIST(Table1[[#This Row],[Birthweight Z-Score (BW-10%)]],TRUE)*100,"")</f>
        <v/>
      </c>
      <c r="L5472" s="7" t="str">
        <f>IF(Table1[[#This Row],[Is Data Valid]]=TRUE,_xlfn.NORM.S.DIST(Table1[[#This Row],[Birthweight Z-Score (BW+10%)]],TRUE)*100,"")</f>
        <v/>
      </c>
    </row>
    <row r="5473" spans="1:12" x14ac:dyDescent="0.35">
      <c r="A5473" s="3"/>
      <c r="B5473" s="2"/>
      <c r="C5473" s="2"/>
      <c r="D5473" s="2" t="b">
        <f>IF(AND(NOT(ISBLANK(Table1[[#This Row],[Fetal Sex (Male, Female or Unknown)]])),ISNUMBER(Table1[[#This Row],[Birthweight (grams)]]),ISNUMBER(Table1[[#This Row],[Gestation (days)]])),TRUE,FALSE)</f>
        <v>0</v>
      </c>
      <c r="E5473" s="2" t="str">
        <f>IF(Table1[[#This Row],[Is Data Valid]]=TRUE,IF(Table1[[#This Row],[Fetal Sex (Male, Female or Unknown)]]="Male",Backend!$C$6,IF(Table1[[#This Row],[Fetal Sex (Male, Female or Unknown)]]="Female",Backend!$C$7,IF(Table1[[#This Row],[Fetal Sex (Male, Female or Unknown)]]="Unknown",Backend!$C$8,"Error"))),"")</f>
        <v/>
      </c>
      <c r="F5473" s="8" t="str">
        <f>IF(Table1[[#This Row],[Is Data Valid]]=TRUE,EXP(0.578+0.332*((Table1[[#This Row],[Gestation (days)]]+0.5)/7)-0.00354*((Table1[[#This Row],[Gestation (days)]]+0.5)/7)^2)*Table1[[#This Row],[BW40_3705]],"")</f>
        <v/>
      </c>
      <c r="G5473" s="2" t="str">
        <f>IF(Table1[[#This Row],[Is Data Valid]]=TRUE,((Table1[[#This Row],[Birthweight (grams)]]/Table1[[#This Row],[BW_GA]])-1)/(Backend!$B$4/100*Table1[[#This Row],[BW40_3705]]),"")</f>
        <v/>
      </c>
      <c r="H5473" s="7" t="str">
        <f>IF(Table1[[#This Row],[Is Data Valid]]=TRUE,((Table1[[#This Row],[Birthweight (grams)]]*0.9/Table1[[#This Row],[BW_GA]])-1)/(Backend!$B$4/100*Table1[[#This Row],[BW40_3705]]),"")</f>
        <v/>
      </c>
      <c r="I5473" s="7" t="str">
        <f>IF(Table1[[#This Row],[Is Data Valid]]=TRUE,((Table1[[#This Row],[Birthweight (grams)]]*1.1/Table1[[#This Row],[BW_GA]])-1)/(Backend!$B$4/100*Table1[[#This Row],[BW40_3705]]),"")</f>
        <v/>
      </c>
      <c r="J5473" s="7" t="str">
        <f>IF(Table1[[#This Row],[Is Data Valid]]=TRUE,_xlfn.NORM.S.DIST(Table1[[#This Row],[Birthweight Z-Score]],TRUE)*100,"")</f>
        <v/>
      </c>
      <c r="K5473" s="7" t="str">
        <f>IF(Table1[[#This Row],[Is Data Valid]]=TRUE,_xlfn.NORM.S.DIST(Table1[[#This Row],[Birthweight Z-Score (BW-10%)]],TRUE)*100,"")</f>
        <v/>
      </c>
      <c r="L5473" s="7" t="str">
        <f>IF(Table1[[#This Row],[Is Data Valid]]=TRUE,_xlfn.NORM.S.DIST(Table1[[#This Row],[Birthweight Z-Score (BW+10%)]],TRUE)*100,"")</f>
        <v/>
      </c>
    </row>
    <row r="5474" spans="1:12" x14ac:dyDescent="0.35">
      <c r="A5474" s="3"/>
      <c r="B5474" s="2"/>
      <c r="C5474" s="2"/>
      <c r="D5474" s="2" t="b">
        <f>IF(AND(NOT(ISBLANK(Table1[[#This Row],[Fetal Sex (Male, Female or Unknown)]])),ISNUMBER(Table1[[#This Row],[Birthweight (grams)]]),ISNUMBER(Table1[[#This Row],[Gestation (days)]])),TRUE,FALSE)</f>
        <v>0</v>
      </c>
      <c r="E5474" s="2" t="str">
        <f>IF(Table1[[#This Row],[Is Data Valid]]=TRUE,IF(Table1[[#This Row],[Fetal Sex (Male, Female or Unknown)]]="Male",Backend!$C$6,IF(Table1[[#This Row],[Fetal Sex (Male, Female or Unknown)]]="Female",Backend!$C$7,IF(Table1[[#This Row],[Fetal Sex (Male, Female or Unknown)]]="Unknown",Backend!$C$8,"Error"))),"")</f>
        <v/>
      </c>
      <c r="F5474" s="8" t="str">
        <f>IF(Table1[[#This Row],[Is Data Valid]]=TRUE,EXP(0.578+0.332*((Table1[[#This Row],[Gestation (days)]]+0.5)/7)-0.00354*((Table1[[#This Row],[Gestation (days)]]+0.5)/7)^2)*Table1[[#This Row],[BW40_3705]],"")</f>
        <v/>
      </c>
      <c r="G5474" s="2" t="str">
        <f>IF(Table1[[#This Row],[Is Data Valid]]=TRUE,((Table1[[#This Row],[Birthweight (grams)]]/Table1[[#This Row],[BW_GA]])-1)/(Backend!$B$4/100*Table1[[#This Row],[BW40_3705]]),"")</f>
        <v/>
      </c>
      <c r="H5474" s="7" t="str">
        <f>IF(Table1[[#This Row],[Is Data Valid]]=TRUE,((Table1[[#This Row],[Birthweight (grams)]]*0.9/Table1[[#This Row],[BW_GA]])-1)/(Backend!$B$4/100*Table1[[#This Row],[BW40_3705]]),"")</f>
        <v/>
      </c>
      <c r="I5474" s="7" t="str">
        <f>IF(Table1[[#This Row],[Is Data Valid]]=TRUE,((Table1[[#This Row],[Birthweight (grams)]]*1.1/Table1[[#This Row],[BW_GA]])-1)/(Backend!$B$4/100*Table1[[#This Row],[BW40_3705]]),"")</f>
        <v/>
      </c>
      <c r="J5474" s="7" t="str">
        <f>IF(Table1[[#This Row],[Is Data Valid]]=TRUE,_xlfn.NORM.S.DIST(Table1[[#This Row],[Birthweight Z-Score]],TRUE)*100,"")</f>
        <v/>
      </c>
      <c r="K5474" s="7" t="str">
        <f>IF(Table1[[#This Row],[Is Data Valid]]=TRUE,_xlfn.NORM.S.DIST(Table1[[#This Row],[Birthweight Z-Score (BW-10%)]],TRUE)*100,"")</f>
        <v/>
      </c>
      <c r="L5474" s="7" t="str">
        <f>IF(Table1[[#This Row],[Is Data Valid]]=TRUE,_xlfn.NORM.S.DIST(Table1[[#This Row],[Birthweight Z-Score (BW+10%)]],TRUE)*100,"")</f>
        <v/>
      </c>
    </row>
    <row r="5475" spans="1:12" x14ac:dyDescent="0.35">
      <c r="A5475" s="3"/>
      <c r="B5475" s="2"/>
      <c r="C5475" s="2"/>
      <c r="D5475" s="2" t="b">
        <f>IF(AND(NOT(ISBLANK(Table1[[#This Row],[Fetal Sex (Male, Female or Unknown)]])),ISNUMBER(Table1[[#This Row],[Birthweight (grams)]]),ISNUMBER(Table1[[#This Row],[Gestation (days)]])),TRUE,FALSE)</f>
        <v>0</v>
      </c>
      <c r="E5475" s="2" t="str">
        <f>IF(Table1[[#This Row],[Is Data Valid]]=TRUE,IF(Table1[[#This Row],[Fetal Sex (Male, Female or Unknown)]]="Male",Backend!$C$6,IF(Table1[[#This Row],[Fetal Sex (Male, Female or Unknown)]]="Female",Backend!$C$7,IF(Table1[[#This Row],[Fetal Sex (Male, Female or Unknown)]]="Unknown",Backend!$C$8,"Error"))),"")</f>
        <v/>
      </c>
      <c r="F5475" s="8" t="str">
        <f>IF(Table1[[#This Row],[Is Data Valid]]=TRUE,EXP(0.578+0.332*((Table1[[#This Row],[Gestation (days)]]+0.5)/7)-0.00354*((Table1[[#This Row],[Gestation (days)]]+0.5)/7)^2)*Table1[[#This Row],[BW40_3705]],"")</f>
        <v/>
      </c>
      <c r="G5475" s="2" t="str">
        <f>IF(Table1[[#This Row],[Is Data Valid]]=TRUE,((Table1[[#This Row],[Birthweight (grams)]]/Table1[[#This Row],[BW_GA]])-1)/(Backend!$B$4/100*Table1[[#This Row],[BW40_3705]]),"")</f>
        <v/>
      </c>
      <c r="H5475" s="7" t="str">
        <f>IF(Table1[[#This Row],[Is Data Valid]]=TRUE,((Table1[[#This Row],[Birthweight (grams)]]*0.9/Table1[[#This Row],[BW_GA]])-1)/(Backend!$B$4/100*Table1[[#This Row],[BW40_3705]]),"")</f>
        <v/>
      </c>
      <c r="I5475" s="7" t="str">
        <f>IF(Table1[[#This Row],[Is Data Valid]]=TRUE,((Table1[[#This Row],[Birthweight (grams)]]*1.1/Table1[[#This Row],[BW_GA]])-1)/(Backend!$B$4/100*Table1[[#This Row],[BW40_3705]]),"")</f>
        <v/>
      </c>
      <c r="J5475" s="7" t="str">
        <f>IF(Table1[[#This Row],[Is Data Valid]]=TRUE,_xlfn.NORM.S.DIST(Table1[[#This Row],[Birthweight Z-Score]],TRUE)*100,"")</f>
        <v/>
      </c>
      <c r="K5475" s="7" t="str">
        <f>IF(Table1[[#This Row],[Is Data Valid]]=TRUE,_xlfn.NORM.S.DIST(Table1[[#This Row],[Birthweight Z-Score (BW-10%)]],TRUE)*100,"")</f>
        <v/>
      </c>
      <c r="L5475" s="7" t="str">
        <f>IF(Table1[[#This Row],[Is Data Valid]]=TRUE,_xlfn.NORM.S.DIST(Table1[[#This Row],[Birthweight Z-Score (BW+10%)]],TRUE)*100,"")</f>
        <v/>
      </c>
    </row>
    <row r="5476" spans="1:12" x14ac:dyDescent="0.35">
      <c r="A5476" s="3"/>
      <c r="B5476" s="2"/>
      <c r="C5476" s="2"/>
      <c r="D5476" s="2" t="b">
        <f>IF(AND(NOT(ISBLANK(Table1[[#This Row],[Fetal Sex (Male, Female or Unknown)]])),ISNUMBER(Table1[[#This Row],[Birthweight (grams)]]),ISNUMBER(Table1[[#This Row],[Gestation (days)]])),TRUE,FALSE)</f>
        <v>0</v>
      </c>
      <c r="E5476" s="2" t="str">
        <f>IF(Table1[[#This Row],[Is Data Valid]]=TRUE,IF(Table1[[#This Row],[Fetal Sex (Male, Female or Unknown)]]="Male",Backend!$C$6,IF(Table1[[#This Row],[Fetal Sex (Male, Female or Unknown)]]="Female",Backend!$C$7,IF(Table1[[#This Row],[Fetal Sex (Male, Female or Unknown)]]="Unknown",Backend!$C$8,"Error"))),"")</f>
        <v/>
      </c>
      <c r="F5476" s="8" t="str">
        <f>IF(Table1[[#This Row],[Is Data Valid]]=TRUE,EXP(0.578+0.332*((Table1[[#This Row],[Gestation (days)]]+0.5)/7)-0.00354*((Table1[[#This Row],[Gestation (days)]]+0.5)/7)^2)*Table1[[#This Row],[BW40_3705]],"")</f>
        <v/>
      </c>
      <c r="G5476" s="2" t="str">
        <f>IF(Table1[[#This Row],[Is Data Valid]]=TRUE,((Table1[[#This Row],[Birthweight (grams)]]/Table1[[#This Row],[BW_GA]])-1)/(Backend!$B$4/100*Table1[[#This Row],[BW40_3705]]),"")</f>
        <v/>
      </c>
      <c r="H5476" s="7" t="str">
        <f>IF(Table1[[#This Row],[Is Data Valid]]=TRUE,((Table1[[#This Row],[Birthweight (grams)]]*0.9/Table1[[#This Row],[BW_GA]])-1)/(Backend!$B$4/100*Table1[[#This Row],[BW40_3705]]),"")</f>
        <v/>
      </c>
      <c r="I5476" s="7" t="str">
        <f>IF(Table1[[#This Row],[Is Data Valid]]=TRUE,((Table1[[#This Row],[Birthweight (grams)]]*1.1/Table1[[#This Row],[BW_GA]])-1)/(Backend!$B$4/100*Table1[[#This Row],[BW40_3705]]),"")</f>
        <v/>
      </c>
      <c r="J5476" s="7" t="str">
        <f>IF(Table1[[#This Row],[Is Data Valid]]=TRUE,_xlfn.NORM.S.DIST(Table1[[#This Row],[Birthweight Z-Score]],TRUE)*100,"")</f>
        <v/>
      </c>
      <c r="K5476" s="7" t="str">
        <f>IF(Table1[[#This Row],[Is Data Valid]]=TRUE,_xlfn.NORM.S.DIST(Table1[[#This Row],[Birthweight Z-Score (BW-10%)]],TRUE)*100,"")</f>
        <v/>
      </c>
      <c r="L5476" s="7" t="str">
        <f>IF(Table1[[#This Row],[Is Data Valid]]=TRUE,_xlfn.NORM.S.DIST(Table1[[#This Row],[Birthweight Z-Score (BW+10%)]],TRUE)*100,"")</f>
        <v/>
      </c>
    </row>
    <row r="5477" spans="1:12" x14ac:dyDescent="0.35">
      <c r="A5477" s="3"/>
      <c r="B5477" s="2"/>
      <c r="C5477" s="2"/>
      <c r="D5477" s="2" t="b">
        <f>IF(AND(NOT(ISBLANK(Table1[[#This Row],[Fetal Sex (Male, Female or Unknown)]])),ISNUMBER(Table1[[#This Row],[Birthweight (grams)]]),ISNUMBER(Table1[[#This Row],[Gestation (days)]])),TRUE,FALSE)</f>
        <v>0</v>
      </c>
      <c r="E5477" s="2" t="str">
        <f>IF(Table1[[#This Row],[Is Data Valid]]=TRUE,IF(Table1[[#This Row],[Fetal Sex (Male, Female or Unknown)]]="Male",Backend!$C$6,IF(Table1[[#This Row],[Fetal Sex (Male, Female or Unknown)]]="Female",Backend!$C$7,IF(Table1[[#This Row],[Fetal Sex (Male, Female or Unknown)]]="Unknown",Backend!$C$8,"Error"))),"")</f>
        <v/>
      </c>
      <c r="F5477" s="8" t="str">
        <f>IF(Table1[[#This Row],[Is Data Valid]]=TRUE,EXP(0.578+0.332*((Table1[[#This Row],[Gestation (days)]]+0.5)/7)-0.00354*((Table1[[#This Row],[Gestation (days)]]+0.5)/7)^2)*Table1[[#This Row],[BW40_3705]],"")</f>
        <v/>
      </c>
      <c r="G5477" s="2" t="str">
        <f>IF(Table1[[#This Row],[Is Data Valid]]=TRUE,((Table1[[#This Row],[Birthweight (grams)]]/Table1[[#This Row],[BW_GA]])-1)/(Backend!$B$4/100*Table1[[#This Row],[BW40_3705]]),"")</f>
        <v/>
      </c>
      <c r="H5477" s="7" t="str">
        <f>IF(Table1[[#This Row],[Is Data Valid]]=TRUE,((Table1[[#This Row],[Birthweight (grams)]]*0.9/Table1[[#This Row],[BW_GA]])-1)/(Backend!$B$4/100*Table1[[#This Row],[BW40_3705]]),"")</f>
        <v/>
      </c>
      <c r="I5477" s="7" t="str">
        <f>IF(Table1[[#This Row],[Is Data Valid]]=TRUE,((Table1[[#This Row],[Birthweight (grams)]]*1.1/Table1[[#This Row],[BW_GA]])-1)/(Backend!$B$4/100*Table1[[#This Row],[BW40_3705]]),"")</f>
        <v/>
      </c>
      <c r="J5477" s="7" t="str">
        <f>IF(Table1[[#This Row],[Is Data Valid]]=TRUE,_xlfn.NORM.S.DIST(Table1[[#This Row],[Birthweight Z-Score]],TRUE)*100,"")</f>
        <v/>
      </c>
      <c r="K5477" s="7" t="str">
        <f>IF(Table1[[#This Row],[Is Data Valid]]=TRUE,_xlfn.NORM.S.DIST(Table1[[#This Row],[Birthweight Z-Score (BW-10%)]],TRUE)*100,"")</f>
        <v/>
      </c>
      <c r="L5477" s="7" t="str">
        <f>IF(Table1[[#This Row],[Is Data Valid]]=TRUE,_xlfn.NORM.S.DIST(Table1[[#This Row],[Birthweight Z-Score (BW+10%)]],TRUE)*100,"")</f>
        <v/>
      </c>
    </row>
    <row r="5478" spans="1:12" x14ac:dyDescent="0.35">
      <c r="A5478" s="3"/>
      <c r="B5478" s="2"/>
      <c r="C5478" s="2"/>
      <c r="D5478" s="2" t="b">
        <f>IF(AND(NOT(ISBLANK(Table1[[#This Row],[Fetal Sex (Male, Female or Unknown)]])),ISNUMBER(Table1[[#This Row],[Birthweight (grams)]]),ISNUMBER(Table1[[#This Row],[Gestation (days)]])),TRUE,FALSE)</f>
        <v>0</v>
      </c>
      <c r="E5478" s="2" t="str">
        <f>IF(Table1[[#This Row],[Is Data Valid]]=TRUE,IF(Table1[[#This Row],[Fetal Sex (Male, Female or Unknown)]]="Male",Backend!$C$6,IF(Table1[[#This Row],[Fetal Sex (Male, Female or Unknown)]]="Female",Backend!$C$7,IF(Table1[[#This Row],[Fetal Sex (Male, Female or Unknown)]]="Unknown",Backend!$C$8,"Error"))),"")</f>
        <v/>
      </c>
      <c r="F5478" s="8" t="str">
        <f>IF(Table1[[#This Row],[Is Data Valid]]=TRUE,EXP(0.578+0.332*((Table1[[#This Row],[Gestation (days)]]+0.5)/7)-0.00354*((Table1[[#This Row],[Gestation (days)]]+0.5)/7)^2)*Table1[[#This Row],[BW40_3705]],"")</f>
        <v/>
      </c>
      <c r="G5478" s="2" t="str">
        <f>IF(Table1[[#This Row],[Is Data Valid]]=TRUE,((Table1[[#This Row],[Birthweight (grams)]]/Table1[[#This Row],[BW_GA]])-1)/(Backend!$B$4/100*Table1[[#This Row],[BW40_3705]]),"")</f>
        <v/>
      </c>
      <c r="H5478" s="7" t="str">
        <f>IF(Table1[[#This Row],[Is Data Valid]]=TRUE,((Table1[[#This Row],[Birthweight (grams)]]*0.9/Table1[[#This Row],[BW_GA]])-1)/(Backend!$B$4/100*Table1[[#This Row],[BW40_3705]]),"")</f>
        <v/>
      </c>
      <c r="I5478" s="7" t="str">
        <f>IF(Table1[[#This Row],[Is Data Valid]]=TRUE,((Table1[[#This Row],[Birthweight (grams)]]*1.1/Table1[[#This Row],[BW_GA]])-1)/(Backend!$B$4/100*Table1[[#This Row],[BW40_3705]]),"")</f>
        <v/>
      </c>
      <c r="J5478" s="7" t="str">
        <f>IF(Table1[[#This Row],[Is Data Valid]]=TRUE,_xlfn.NORM.S.DIST(Table1[[#This Row],[Birthweight Z-Score]],TRUE)*100,"")</f>
        <v/>
      </c>
      <c r="K5478" s="7" t="str">
        <f>IF(Table1[[#This Row],[Is Data Valid]]=TRUE,_xlfn.NORM.S.DIST(Table1[[#This Row],[Birthweight Z-Score (BW-10%)]],TRUE)*100,"")</f>
        <v/>
      </c>
      <c r="L5478" s="7" t="str">
        <f>IF(Table1[[#This Row],[Is Data Valid]]=TRUE,_xlfn.NORM.S.DIST(Table1[[#This Row],[Birthweight Z-Score (BW+10%)]],TRUE)*100,"")</f>
        <v/>
      </c>
    </row>
    <row r="5479" spans="1:12" x14ac:dyDescent="0.35">
      <c r="A5479" s="3"/>
      <c r="B5479" s="2"/>
      <c r="C5479" s="2"/>
      <c r="D5479" s="2" t="b">
        <f>IF(AND(NOT(ISBLANK(Table1[[#This Row],[Fetal Sex (Male, Female or Unknown)]])),ISNUMBER(Table1[[#This Row],[Birthweight (grams)]]),ISNUMBER(Table1[[#This Row],[Gestation (days)]])),TRUE,FALSE)</f>
        <v>0</v>
      </c>
      <c r="E5479" s="2" t="str">
        <f>IF(Table1[[#This Row],[Is Data Valid]]=TRUE,IF(Table1[[#This Row],[Fetal Sex (Male, Female or Unknown)]]="Male",Backend!$C$6,IF(Table1[[#This Row],[Fetal Sex (Male, Female or Unknown)]]="Female",Backend!$C$7,IF(Table1[[#This Row],[Fetal Sex (Male, Female or Unknown)]]="Unknown",Backend!$C$8,"Error"))),"")</f>
        <v/>
      </c>
      <c r="F5479" s="8" t="str">
        <f>IF(Table1[[#This Row],[Is Data Valid]]=TRUE,EXP(0.578+0.332*((Table1[[#This Row],[Gestation (days)]]+0.5)/7)-0.00354*((Table1[[#This Row],[Gestation (days)]]+0.5)/7)^2)*Table1[[#This Row],[BW40_3705]],"")</f>
        <v/>
      </c>
      <c r="G5479" s="2" t="str">
        <f>IF(Table1[[#This Row],[Is Data Valid]]=TRUE,((Table1[[#This Row],[Birthweight (grams)]]/Table1[[#This Row],[BW_GA]])-1)/(Backend!$B$4/100*Table1[[#This Row],[BW40_3705]]),"")</f>
        <v/>
      </c>
      <c r="H5479" s="7" t="str">
        <f>IF(Table1[[#This Row],[Is Data Valid]]=TRUE,((Table1[[#This Row],[Birthweight (grams)]]*0.9/Table1[[#This Row],[BW_GA]])-1)/(Backend!$B$4/100*Table1[[#This Row],[BW40_3705]]),"")</f>
        <v/>
      </c>
      <c r="I5479" s="7" t="str">
        <f>IF(Table1[[#This Row],[Is Data Valid]]=TRUE,((Table1[[#This Row],[Birthweight (grams)]]*1.1/Table1[[#This Row],[BW_GA]])-1)/(Backend!$B$4/100*Table1[[#This Row],[BW40_3705]]),"")</f>
        <v/>
      </c>
      <c r="J5479" s="7" t="str">
        <f>IF(Table1[[#This Row],[Is Data Valid]]=TRUE,_xlfn.NORM.S.DIST(Table1[[#This Row],[Birthweight Z-Score]],TRUE)*100,"")</f>
        <v/>
      </c>
      <c r="K5479" s="7" t="str">
        <f>IF(Table1[[#This Row],[Is Data Valid]]=TRUE,_xlfn.NORM.S.DIST(Table1[[#This Row],[Birthweight Z-Score (BW-10%)]],TRUE)*100,"")</f>
        <v/>
      </c>
      <c r="L5479" s="7" t="str">
        <f>IF(Table1[[#This Row],[Is Data Valid]]=TRUE,_xlfn.NORM.S.DIST(Table1[[#This Row],[Birthweight Z-Score (BW+10%)]],TRUE)*100,"")</f>
        <v/>
      </c>
    </row>
    <row r="5480" spans="1:12" x14ac:dyDescent="0.35">
      <c r="A5480" s="3"/>
      <c r="B5480" s="2"/>
      <c r="C5480" s="2"/>
      <c r="D5480" s="2" t="b">
        <f>IF(AND(NOT(ISBLANK(Table1[[#This Row],[Fetal Sex (Male, Female or Unknown)]])),ISNUMBER(Table1[[#This Row],[Birthweight (grams)]]),ISNUMBER(Table1[[#This Row],[Gestation (days)]])),TRUE,FALSE)</f>
        <v>0</v>
      </c>
      <c r="E5480" s="2" t="str">
        <f>IF(Table1[[#This Row],[Is Data Valid]]=TRUE,IF(Table1[[#This Row],[Fetal Sex (Male, Female or Unknown)]]="Male",Backend!$C$6,IF(Table1[[#This Row],[Fetal Sex (Male, Female or Unknown)]]="Female",Backend!$C$7,IF(Table1[[#This Row],[Fetal Sex (Male, Female or Unknown)]]="Unknown",Backend!$C$8,"Error"))),"")</f>
        <v/>
      </c>
      <c r="F5480" s="8" t="str">
        <f>IF(Table1[[#This Row],[Is Data Valid]]=TRUE,EXP(0.578+0.332*((Table1[[#This Row],[Gestation (days)]]+0.5)/7)-0.00354*((Table1[[#This Row],[Gestation (days)]]+0.5)/7)^2)*Table1[[#This Row],[BW40_3705]],"")</f>
        <v/>
      </c>
      <c r="G5480" s="2" t="str">
        <f>IF(Table1[[#This Row],[Is Data Valid]]=TRUE,((Table1[[#This Row],[Birthweight (grams)]]/Table1[[#This Row],[BW_GA]])-1)/(Backend!$B$4/100*Table1[[#This Row],[BW40_3705]]),"")</f>
        <v/>
      </c>
      <c r="H5480" s="7" t="str">
        <f>IF(Table1[[#This Row],[Is Data Valid]]=TRUE,((Table1[[#This Row],[Birthweight (grams)]]*0.9/Table1[[#This Row],[BW_GA]])-1)/(Backend!$B$4/100*Table1[[#This Row],[BW40_3705]]),"")</f>
        <v/>
      </c>
      <c r="I5480" s="7" t="str">
        <f>IF(Table1[[#This Row],[Is Data Valid]]=TRUE,((Table1[[#This Row],[Birthweight (grams)]]*1.1/Table1[[#This Row],[BW_GA]])-1)/(Backend!$B$4/100*Table1[[#This Row],[BW40_3705]]),"")</f>
        <v/>
      </c>
      <c r="J5480" s="7" t="str">
        <f>IF(Table1[[#This Row],[Is Data Valid]]=TRUE,_xlfn.NORM.S.DIST(Table1[[#This Row],[Birthweight Z-Score]],TRUE)*100,"")</f>
        <v/>
      </c>
      <c r="K5480" s="7" t="str">
        <f>IF(Table1[[#This Row],[Is Data Valid]]=TRUE,_xlfn.NORM.S.DIST(Table1[[#This Row],[Birthweight Z-Score (BW-10%)]],TRUE)*100,"")</f>
        <v/>
      </c>
      <c r="L5480" s="7" t="str">
        <f>IF(Table1[[#This Row],[Is Data Valid]]=TRUE,_xlfn.NORM.S.DIST(Table1[[#This Row],[Birthweight Z-Score (BW+10%)]],TRUE)*100,"")</f>
        <v/>
      </c>
    </row>
    <row r="5481" spans="1:12" x14ac:dyDescent="0.35">
      <c r="A5481" s="3"/>
      <c r="B5481" s="2"/>
      <c r="C5481" s="2"/>
      <c r="D5481" s="2" t="b">
        <f>IF(AND(NOT(ISBLANK(Table1[[#This Row],[Fetal Sex (Male, Female or Unknown)]])),ISNUMBER(Table1[[#This Row],[Birthweight (grams)]]),ISNUMBER(Table1[[#This Row],[Gestation (days)]])),TRUE,FALSE)</f>
        <v>0</v>
      </c>
      <c r="E5481" s="2" t="str">
        <f>IF(Table1[[#This Row],[Is Data Valid]]=TRUE,IF(Table1[[#This Row],[Fetal Sex (Male, Female or Unknown)]]="Male",Backend!$C$6,IF(Table1[[#This Row],[Fetal Sex (Male, Female or Unknown)]]="Female",Backend!$C$7,IF(Table1[[#This Row],[Fetal Sex (Male, Female or Unknown)]]="Unknown",Backend!$C$8,"Error"))),"")</f>
        <v/>
      </c>
      <c r="F5481" s="8" t="str">
        <f>IF(Table1[[#This Row],[Is Data Valid]]=TRUE,EXP(0.578+0.332*((Table1[[#This Row],[Gestation (days)]]+0.5)/7)-0.00354*((Table1[[#This Row],[Gestation (days)]]+0.5)/7)^2)*Table1[[#This Row],[BW40_3705]],"")</f>
        <v/>
      </c>
      <c r="G5481" s="2" t="str">
        <f>IF(Table1[[#This Row],[Is Data Valid]]=TRUE,((Table1[[#This Row],[Birthweight (grams)]]/Table1[[#This Row],[BW_GA]])-1)/(Backend!$B$4/100*Table1[[#This Row],[BW40_3705]]),"")</f>
        <v/>
      </c>
      <c r="H5481" s="7" t="str">
        <f>IF(Table1[[#This Row],[Is Data Valid]]=TRUE,((Table1[[#This Row],[Birthweight (grams)]]*0.9/Table1[[#This Row],[BW_GA]])-1)/(Backend!$B$4/100*Table1[[#This Row],[BW40_3705]]),"")</f>
        <v/>
      </c>
      <c r="I5481" s="7" t="str">
        <f>IF(Table1[[#This Row],[Is Data Valid]]=TRUE,((Table1[[#This Row],[Birthweight (grams)]]*1.1/Table1[[#This Row],[BW_GA]])-1)/(Backend!$B$4/100*Table1[[#This Row],[BW40_3705]]),"")</f>
        <v/>
      </c>
      <c r="J5481" s="7" t="str">
        <f>IF(Table1[[#This Row],[Is Data Valid]]=TRUE,_xlfn.NORM.S.DIST(Table1[[#This Row],[Birthweight Z-Score]],TRUE)*100,"")</f>
        <v/>
      </c>
      <c r="K5481" s="7" t="str">
        <f>IF(Table1[[#This Row],[Is Data Valid]]=TRUE,_xlfn.NORM.S.DIST(Table1[[#This Row],[Birthweight Z-Score (BW-10%)]],TRUE)*100,"")</f>
        <v/>
      </c>
      <c r="L5481" s="7" t="str">
        <f>IF(Table1[[#This Row],[Is Data Valid]]=TRUE,_xlfn.NORM.S.DIST(Table1[[#This Row],[Birthweight Z-Score (BW+10%)]],TRUE)*100,"")</f>
        <v/>
      </c>
    </row>
    <row r="5482" spans="1:12" x14ac:dyDescent="0.35">
      <c r="A5482" s="3"/>
      <c r="B5482" s="2"/>
      <c r="C5482" s="2"/>
      <c r="D5482" s="2" t="b">
        <f>IF(AND(NOT(ISBLANK(Table1[[#This Row],[Fetal Sex (Male, Female or Unknown)]])),ISNUMBER(Table1[[#This Row],[Birthweight (grams)]]),ISNUMBER(Table1[[#This Row],[Gestation (days)]])),TRUE,FALSE)</f>
        <v>0</v>
      </c>
      <c r="E5482" s="2" t="str">
        <f>IF(Table1[[#This Row],[Is Data Valid]]=TRUE,IF(Table1[[#This Row],[Fetal Sex (Male, Female or Unknown)]]="Male",Backend!$C$6,IF(Table1[[#This Row],[Fetal Sex (Male, Female or Unknown)]]="Female",Backend!$C$7,IF(Table1[[#This Row],[Fetal Sex (Male, Female or Unknown)]]="Unknown",Backend!$C$8,"Error"))),"")</f>
        <v/>
      </c>
      <c r="F5482" s="8" t="str">
        <f>IF(Table1[[#This Row],[Is Data Valid]]=TRUE,EXP(0.578+0.332*((Table1[[#This Row],[Gestation (days)]]+0.5)/7)-0.00354*((Table1[[#This Row],[Gestation (days)]]+0.5)/7)^2)*Table1[[#This Row],[BW40_3705]],"")</f>
        <v/>
      </c>
      <c r="G5482" s="2" t="str">
        <f>IF(Table1[[#This Row],[Is Data Valid]]=TRUE,((Table1[[#This Row],[Birthweight (grams)]]/Table1[[#This Row],[BW_GA]])-1)/(Backend!$B$4/100*Table1[[#This Row],[BW40_3705]]),"")</f>
        <v/>
      </c>
      <c r="H5482" s="7" t="str">
        <f>IF(Table1[[#This Row],[Is Data Valid]]=TRUE,((Table1[[#This Row],[Birthweight (grams)]]*0.9/Table1[[#This Row],[BW_GA]])-1)/(Backend!$B$4/100*Table1[[#This Row],[BW40_3705]]),"")</f>
        <v/>
      </c>
      <c r="I5482" s="7" t="str">
        <f>IF(Table1[[#This Row],[Is Data Valid]]=TRUE,((Table1[[#This Row],[Birthweight (grams)]]*1.1/Table1[[#This Row],[BW_GA]])-1)/(Backend!$B$4/100*Table1[[#This Row],[BW40_3705]]),"")</f>
        <v/>
      </c>
      <c r="J5482" s="7" t="str">
        <f>IF(Table1[[#This Row],[Is Data Valid]]=TRUE,_xlfn.NORM.S.DIST(Table1[[#This Row],[Birthweight Z-Score]],TRUE)*100,"")</f>
        <v/>
      </c>
      <c r="K5482" s="7" t="str">
        <f>IF(Table1[[#This Row],[Is Data Valid]]=TRUE,_xlfn.NORM.S.DIST(Table1[[#This Row],[Birthweight Z-Score (BW-10%)]],TRUE)*100,"")</f>
        <v/>
      </c>
      <c r="L5482" s="7" t="str">
        <f>IF(Table1[[#This Row],[Is Data Valid]]=TRUE,_xlfn.NORM.S.DIST(Table1[[#This Row],[Birthweight Z-Score (BW+10%)]],TRUE)*100,"")</f>
        <v/>
      </c>
    </row>
    <row r="5483" spans="1:12" x14ac:dyDescent="0.35">
      <c r="A5483" s="3"/>
      <c r="B5483" s="2"/>
      <c r="C5483" s="2"/>
      <c r="D5483" s="2" t="b">
        <f>IF(AND(NOT(ISBLANK(Table1[[#This Row],[Fetal Sex (Male, Female or Unknown)]])),ISNUMBER(Table1[[#This Row],[Birthweight (grams)]]),ISNUMBER(Table1[[#This Row],[Gestation (days)]])),TRUE,FALSE)</f>
        <v>0</v>
      </c>
      <c r="E5483" s="2" t="str">
        <f>IF(Table1[[#This Row],[Is Data Valid]]=TRUE,IF(Table1[[#This Row],[Fetal Sex (Male, Female or Unknown)]]="Male",Backend!$C$6,IF(Table1[[#This Row],[Fetal Sex (Male, Female or Unknown)]]="Female",Backend!$C$7,IF(Table1[[#This Row],[Fetal Sex (Male, Female or Unknown)]]="Unknown",Backend!$C$8,"Error"))),"")</f>
        <v/>
      </c>
      <c r="F5483" s="8" t="str">
        <f>IF(Table1[[#This Row],[Is Data Valid]]=TRUE,EXP(0.578+0.332*((Table1[[#This Row],[Gestation (days)]]+0.5)/7)-0.00354*((Table1[[#This Row],[Gestation (days)]]+0.5)/7)^2)*Table1[[#This Row],[BW40_3705]],"")</f>
        <v/>
      </c>
      <c r="G5483" s="2" t="str">
        <f>IF(Table1[[#This Row],[Is Data Valid]]=TRUE,((Table1[[#This Row],[Birthweight (grams)]]/Table1[[#This Row],[BW_GA]])-1)/(Backend!$B$4/100*Table1[[#This Row],[BW40_3705]]),"")</f>
        <v/>
      </c>
      <c r="H5483" s="7" t="str">
        <f>IF(Table1[[#This Row],[Is Data Valid]]=TRUE,((Table1[[#This Row],[Birthweight (grams)]]*0.9/Table1[[#This Row],[BW_GA]])-1)/(Backend!$B$4/100*Table1[[#This Row],[BW40_3705]]),"")</f>
        <v/>
      </c>
      <c r="I5483" s="7" t="str">
        <f>IF(Table1[[#This Row],[Is Data Valid]]=TRUE,((Table1[[#This Row],[Birthweight (grams)]]*1.1/Table1[[#This Row],[BW_GA]])-1)/(Backend!$B$4/100*Table1[[#This Row],[BW40_3705]]),"")</f>
        <v/>
      </c>
      <c r="J5483" s="7" t="str">
        <f>IF(Table1[[#This Row],[Is Data Valid]]=TRUE,_xlfn.NORM.S.DIST(Table1[[#This Row],[Birthweight Z-Score]],TRUE)*100,"")</f>
        <v/>
      </c>
      <c r="K5483" s="7" t="str">
        <f>IF(Table1[[#This Row],[Is Data Valid]]=TRUE,_xlfn.NORM.S.DIST(Table1[[#This Row],[Birthweight Z-Score (BW-10%)]],TRUE)*100,"")</f>
        <v/>
      </c>
      <c r="L5483" s="7" t="str">
        <f>IF(Table1[[#This Row],[Is Data Valid]]=TRUE,_xlfn.NORM.S.DIST(Table1[[#This Row],[Birthweight Z-Score (BW+10%)]],TRUE)*100,"")</f>
        <v/>
      </c>
    </row>
    <row r="5484" spans="1:12" x14ac:dyDescent="0.35">
      <c r="A5484" s="3"/>
      <c r="B5484" s="2"/>
      <c r="C5484" s="2"/>
      <c r="D5484" s="2" t="b">
        <f>IF(AND(NOT(ISBLANK(Table1[[#This Row],[Fetal Sex (Male, Female or Unknown)]])),ISNUMBER(Table1[[#This Row],[Birthweight (grams)]]),ISNUMBER(Table1[[#This Row],[Gestation (days)]])),TRUE,FALSE)</f>
        <v>0</v>
      </c>
      <c r="E5484" s="2" t="str">
        <f>IF(Table1[[#This Row],[Is Data Valid]]=TRUE,IF(Table1[[#This Row],[Fetal Sex (Male, Female or Unknown)]]="Male",Backend!$C$6,IF(Table1[[#This Row],[Fetal Sex (Male, Female or Unknown)]]="Female",Backend!$C$7,IF(Table1[[#This Row],[Fetal Sex (Male, Female or Unknown)]]="Unknown",Backend!$C$8,"Error"))),"")</f>
        <v/>
      </c>
      <c r="F5484" s="8" t="str">
        <f>IF(Table1[[#This Row],[Is Data Valid]]=TRUE,EXP(0.578+0.332*((Table1[[#This Row],[Gestation (days)]]+0.5)/7)-0.00354*((Table1[[#This Row],[Gestation (days)]]+0.5)/7)^2)*Table1[[#This Row],[BW40_3705]],"")</f>
        <v/>
      </c>
      <c r="G5484" s="2" t="str">
        <f>IF(Table1[[#This Row],[Is Data Valid]]=TRUE,((Table1[[#This Row],[Birthweight (grams)]]/Table1[[#This Row],[BW_GA]])-1)/(Backend!$B$4/100*Table1[[#This Row],[BW40_3705]]),"")</f>
        <v/>
      </c>
      <c r="H5484" s="7" t="str">
        <f>IF(Table1[[#This Row],[Is Data Valid]]=TRUE,((Table1[[#This Row],[Birthweight (grams)]]*0.9/Table1[[#This Row],[BW_GA]])-1)/(Backend!$B$4/100*Table1[[#This Row],[BW40_3705]]),"")</f>
        <v/>
      </c>
      <c r="I5484" s="7" t="str">
        <f>IF(Table1[[#This Row],[Is Data Valid]]=TRUE,((Table1[[#This Row],[Birthweight (grams)]]*1.1/Table1[[#This Row],[BW_GA]])-1)/(Backend!$B$4/100*Table1[[#This Row],[BW40_3705]]),"")</f>
        <v/>
      </c>
      <c r="J5484" s="7" t="str">
        <f>IF(Table1[[#This Row],[Is Data Valid]]=TRUE,_xlfn.NORM.S.DIST(Table1[[#This Row],[Birthweight Z-Score]],TRUE)*100,"")</f>
        <v/>
      </c>
      <c r="K5484" s="7" t="str">
        <f>IF(Table1[[#This Row],[Is Data Valid]]=TRUE,_xlfn.NORM.S.DIST(Table1[[#This Row],[Birthweight Z-Score (BW-10%)]],TRUE)*100,"")</f>
        <v/>
      </c>
      <c r="L5484" s="7" t="str">
        <f>IF(Table1[[#This Row],[Is Data Valid]]=TRUE,_xlfn.NORM.S.DIST(Table1[[#This Row],[Birthweight Z-Score (BW+10%)]],TRUE)*100,"")</f>
        <v/>
      </c>
    </row>
    <row r="5485" spans="1:12" x14ac:dyDescent="0.35">
      <c r="A5485" s="3"/>
      <c r="B5485" s="2"/>
      <c r="C5485" s="2"/>
      <c r="D5485" s="2" t="b">
        <f>IF(AND(NOT(ISBLANK(Table1[[#This Row],[Fetal Sex (Male, Female or Unknown)]])),ISNUMBER(Table1[[#This Row],[Birthweight (grams)]]),ISNUMBER(Table1[[#This Row],[Gestation (days)]])),TRUE,FALSE)</f>
        <v>0</v>
      </c>
      <c r="E5485" s="2" t="str">
        <f>IF(Table1[[#This Row],[Is Data Valid]]=TRUE,IF(Table1[[#This Row],[Fetal Sex (Male, Female or Unknown)]]="Male",Backend!$C$6,IF(Table1[[#This Row],[Fetal Sex (Male, Female or Unknown)]]="Female",Backend!$C$7,IF(Table1[[#This Row],[Fetal Sex (Male, Female or Unknown)]]="Unknown",Backend!$C$8,"Error"))),"")</f>
        <v/>
      </c>
      <c r="F5485" s="8" t="str">
        <f>IF(Table1[[#This Row],[Is Data Valid]]=TRUE,EXP(0.578+0.332*((Table1[[#This Row],[Gestation (days)]]+0.5)/7)-0.00354*((Table1[[#This Row],[Gestation (days)]]+0.5)/7)^2)*Table1[[#This Row],[BW40_3705]],"")</f>
        <v/>
      </c>
      <c r="G5485" s="2" t="str">
        <f>IF(Table1[[#This Row],[Is Data Valid]]=TRUE,((Table1[[#This Row],[Birthweight (grams)]]/Table1[[#This Row],[BW_GA]])-1)/(Backend!$B$4/100*Table1[[#This Row],[BW40_3705]]),"")</f>
        <v/>
      </c>
      <c r="H5485" s="7" t="str">
        <f>IF(Table1[[#This Row],[Is Data Valid]]=TRUE,((Table1[[#This Row],[Birthweight (grams)]]*0.9/Table1[[#This Row],[BW_GA]])-1)/(Backend!$B$4/100*Table1[[#This Row],[BW40_3705]]),"")</f>
        <v/>
      </c>
      <c r="I5485" s="7" t="str">
        <f>IF(Table1[[#This Row],[Is Data Valid]]=TRUE,((Table1[[#This Row],[Birthweight (grams)]]*1.1/Table1[[#This Row],[BW_GA]])-1)/(Backend!$B$4/100*Table1[[#This Row],[BW40_3705]]),"")</f>
        <v/>
      </c>
      <c r="J5485" s="7" t="str">
        <f>IF(Table1[[#This Row],[Is Data Valid]]=TRUE,_xlfn.NORM.S.DIST(Table1[[#This Row],[Birthweight Z-Score]],TRUE)*100,"")</f>
        <v/>
      </c>
      <c r="K5485" s="7" t="str">
        <f>IF(Table1[[#This Row],[Is Data Valid]]=TRUE,_xlfn.NORM.S.DIST(Table1[[#This Row],[Birthweight Z-Score (BW-10%)]],TRUE)*100,"")</f>
        <v/>
      </c>
      <c r="L5485" s="7" t="str">
        <f>IF(Table1[[#This Row],[Is Data Valid]]=TRUE,_xlfn.NORM.S.DIST(Table1[[#This Row],[Birthweight Z-Score (BW+10%)]],TRUE)*100,"")</f>
        <v/>
      </c>
    </row>
    <row r="5486" spans="1:12" x14ac:dyDescent="0.35">
      <c r="A5486" s="3"/>
      <c r="B5486" s="2"/>
      <c r="C5486" s="2"/>
      <c r="D5486" s="2" t="b">
        <f>IF(AND(NOT(ISBLANK(Table1[[#This Row],[Fetal Sex (Male, Female or Unknown)]])),ISNUMBER(Table1[[#This Row],[Birthweight (grams)]]),ISNUMBER(Table1[[#This Row],[Gestation (days)]])),TRUE,FALSE)</f>
        <v>0</v>
      </c>
      <c r="E5486" s="2" t="str">
        <f>IF(Table1[[#This Row],[Is Data Valid]]=TRUE,IF(Table1[[#This Row],[Fetal Sex (Male, Female or Unknown)]]="Male",Backend!$C$6,IF(Table1[[#This Row],[Fetal Sex (Male, Female or Unknown)]]="Female",Backend!$C$7,IF(Table1[[#This Row],[Fetal Sex (Male, Female or Unknown)]]="Unknown",Backend!$C$8,"Error"))),"")</f>
        <v/>
      </c>
      <c r="F5486" s="8" t="str">
        <f>IF(Table1[[#This Row],[Is Data Valid]]=TRUE,EXP(0.578+0.332*((Table1[[#This Row],[Gestation (days)]]+0.5)/7)-0.00354*((Table1[[#This Row],[Gestation (days)]]+0.5)/7)^2)*Table1[[#This Row],[BW40_3705]],"")</f>
        <v/>
      </c>
      <c r="G5486" s="2" t="str">
        <f>IF(Table1[[#This Row],[Is Data Valid]]=TRUE,((Table1[[#This Row],[Birthweight (grams)]]/Table1[[#This Row],[BW_GA]])-1)/(Backend!$B$4/100*Table1[[#This Row],[BW40_3705]]),"")</f>
        <v/>
      </c>
      <c r="H5486" s="7" t="str">
        <f>IF(Table1[[#This Row],[Is Data Valid]]=TRUE,((Table1[[#This Row],[Birthweight (grams)]]*0.9/Table1[[#This Row],[BW_GA]])-1)/(Backend!$B$4/100*Table1[[#This Row],[BW40_3705]]),"")</f>
        <v/>
      </c>
      <c r="I5486" s="7" t="str">
        <f>IF(Table1[[#This Row],[Is Data Valid]]=TRUE,((Table1[[#This Row],[Birthweight (grams)]]*1.1/Table1[[#This Row],[BW_GA]])-1)/(Backend!$B$4/100*Table1[[#This Row],[BW40_3705]]),"")</f>
        <v/>
      </c>
      <c r="J5486" s="7" t="str">
        <f>IF(Table1[[#This Row],[Is Data Valid]]=TRUE,_xlfn.NORM.S.DIST(Table1[[#This Row],[Birthweight Z-Score]],TRUE)*100,"")</f>
        <v/>
      </c>
      <c r="K5486" s="7" t="str">
        <f>IF(Table1[[#This Row],[Is Data Valid]]=TRUE,_xlfn.NORM.S.DIST(Table1[[#This Row],[Birthweight Z-Score (BW-10%)]],TRUE)*100,"")</f>
        <v/>
      </c>
      <c r="L5486" s="7" t="str">
        <f>IF(Table1[[#This Row],[Is Data Valid]]=TRUE,_xlfn.NORM.S.DIST(Table1[[#This Row],[Birthweight Z-Score (BW+10%)]],TRUE)*100,"")</f>
        <v/>
      </c>
    </row>
    <row r="5487" spans="1:12" x14ac:dyDescent="0.35">
      <c r="A5487" s="3"/>
      <c r="B5487" s="2"/>
      <c r="C5487" s="2"/>
      <c r="D5487" s="2" t="b">
        <f>IF(AND(NOT(ISBLANK(Table1[[#This Row],[Fetal Sex (Male, Female or Unknown)]])),ISNUMBER(Table1[[#This Row],[Birthweight (grams)]]),ISNUMBER(Table1[[#This Row],[Gestation (days)]])),TRUE,FALSE)</f>
        <v>0</v>
      </c>
      <c r="E5487" s="2" t="str">
        <f>IF(Table1[[#This Row],[Is Data Valid]]=TRUE,IF(Table1[[#This Row],[Fetal Sex (Male, Female or Unknown)]]="Male",Backend!$C$6,IF(Table1[[#This Row],[Fetal Sex (Male, Female or Unknown)]]="Female",Backend!$C$7,IF(Table1[[#This Row],[Fetal Sex (Male, Female or Unknown)]]="Unknown",Backend!$C$8,"Error"))),"")</f>
        <v/>
      </c>
      <c r="F5487" s="8" t="str">
        <f>IF(Table1[[#This Row],[Is Data Valid]]=TRUE,EXP(0.578+0.332*((Table1[[#This Row],[Gestation (days)]]+0.5)/7)-0.00354*((Table1[[#This Row],[Gestation (days)]]+0.5)/7)^2)*Table1[[#This Row],[BW40_3705]],"")</f>
        <v/>
      </c>
      <c r="G5487" s="2" t="str">
        <f>IF(Table1[[#This Row],[Is Data Valid]]=TRUE,((Table1[[#This Row],[Birthweight (grams)]]/Table1[[#This Row],[BW_GA]])-1)/(Backend!$B$4/100*Table1[[#This Row],[BW40_3705]]),"")</f>
        <v/>
      </c>
      <c r="H5487" s="7" t="str">
        <f>IF(Table1[[#This Row],[Is Data Valid]]=TRUE,((Table1[[#This Row],[Birthweight (grams)]]*0.9/Table1[[#This Row],[BW_GA]])-1)/(Backend!$B$4/100*Table1[[#This Row],[BW40_3705]]),"")</f>
        <v/>
      </c>
      <c r="I5487" s="7" t="str">
        <f>IF(Table1[[#This Row],[Is Data Valid]]=TRUE,((Table1[[#This Row],[Birthweight (grams)]]*1.1/Table1[[#This Row],[BW_GA]])-1)/(Backend!$B$4/100*Table1[[#This Row],[BW40_3705]]),"")</f>
        <v/>
      </c>
      <c r="J5487" s="7" t="str">
        <f>IF(Table1[[#This Row],[Is Data Valid]]=TRUE,_xlfn.NORM.S.DIST(Table1[[#This Row],[Birthweight Z-Score]],TRUE)*100,"")</f>
        <v/>
      </c>
      <c r="K5487" s="7" t="str">
        <f>IF(Table1[[#This Row],[Is Data Valid]]=TRUE,_xlfn.NORM.S.DIST(Table1[[#This Row],[Birthweight Z-Score (BW-10%)]],TRUE)*100,"")</f>
        <v/>
      </c>
      <c r="L5487" s="7" t="str">
        <f>IF(Table1[[#This Row],[Is Data Valid]]=TRUE,_xlfn.NORM.S.DIST(Table1[[#This Row],[Birthweight Z-Score (BW+10%)]],TRUE)*100,"")</f>
        <v/>
      </c>
    </row>
    <row r="5488" spans="1:12" x14ac:dyDescent="0.35">
      <c r="A5488" s="3"/>
      <c r="B5488" s="2"/>
      <c r="C5488" s="2"/>
      <c r="D5488" s="2" t="b">
        <f>IF(AND(NOT(ISBLANK(Table1[[#This Row],[Fetal Sex (Male, Female or Unknown)]])),ISNUMBER(Table1[[#This Row],[Birthweight (grams)]]),ISNUMBER(Table1[[#This Row],[Gestation (days)]])),TRUE,FALSE)</f>
        <v>0</v>
      </c>
      <c r="E5488" s="2" t="str">
        <f>IF(Table1[[#This Row],[Is Data Valid]]=TRUE,IF(Table1[[#This Row],[Fetal Sex (Male, Female or Unknown)]]="Male",Backend!$C$6,IF(Table1[[#This Row],[Fetal Sex (Male, Female or Unknown)]]="Female",Backend!$C$7,IF(Table1[[#This Row],[Fetal Sex (Male, Female or Unknown)]]="Unknown",Backend!$C$8,"Error"))),"")</f>
        <v/>
      </c>
      <c r="F5488" s="8" t="str">
        <f>IF(Table1[[#This Row],[Is Data Valid]]=TRUE,EXP(0.578+0.332*((Table1[[#This Row],[Gestation (days)]]+0.5)/7)-0.00354*((Table1[[#This Row],[Gestation (days)]]+0.5)/7)^2)*Table1[[#This Row],[BW40_3705]],"")</f>
        <v/>
      </c>
      <c r="G5488" s="2" t="str">
        <f>IF(Table1[[#This Row],[Is Data Valid]]=TRUE,((Table1[[#This Row],[Birthweight (grams)]]/Table1[[#This Row],[BW_GA]])-1)/(Backend!$B$4/100*Table1[[#This Row],[BW40_3705]]),"")</f>
        <v/>
      </c>
      <c r="H5488" s="7" t="str">
        <f>IF(Table1[[#This Row],[Is Data Valid]]=TRUE,((Table1[[#This Row],[Birthweight (grams)]]*0.9/Table1[[#This Row],[BW_GA]])-1)/(Backend!$B$4/100*Table1[[#This Row],[BW40_3705]]),"")</f>
        <v/>
      </c>
      <c r="I5488" s="7" t="str">
        <f>IF(Table1[[#This Row],[Is Data Valid]]=TRUE,((Table1[[#This Row],[Birthweight (grams)]]*1.1/Table1[[#This Row],[BW_GA]])-1)/(Backend!$B$4/100*Table1[[#This Row],[BW40_3705]]),"")</f>
        <v/>
      </c>
      <c r="J5488" s="7" t="str">
        <f>IF(Table1[[#This Row],[Is Data Valid]]=TRUE,_xlfn.NORM.S.DIST(Table1[[#This Row],[Birthweight Z-Score]],TRUE)*100,"")</f>
        <v/>
      </c>
      <c r="K5488" s="7" t="str">
        <f>IF(Table1[[#This Row],[Is Data Valid]]=TRUE,_xlfn.NORM.S.DIST(Table1[[#This Row],[Birthweight Z-Score (BW-10%)]],TRUE)*100,"")</f>
        <v/>
      </c>
      <c r="L5488" s="7" t="str">
        <f>IF(Table1[[#This Row],[Is Data Valid]]=TRUE,_xlfn.NORM.S.DIST(Table1[[#This Row],[Birthweight Z-Score (BW+10%)]],TRUE)*100,"")</f>
        <v/>
      </c>
    </row>
    <row r="5489" spans="1:12" x14ac:dyDescent="0.35">
      <c r="A5489" s="3"/>
      <c r="B5489" s="2"/>
      <c r="C5489" s="2"/>
      <c r="D5489" s="2" t="b">
        <f>IF(AND(NOT(ISBLANK(Table1[[#This Row],[Fetal Sex (Male, Female or Unknown)]])),ISNUMBER(Table1[[#This Row],[Birthweight (grams)]]),ISNUMBER(Table1[[#This Row],[Gestation (days)]])),TRUE,FALSE)</f>
        <v>0</v>
      </c>
      <c r="E5489" s="2" t="str">
        <f>IF(Table1[[#This Row],[Is Data Valid]]=TRUE,IF(Table1[[#This Row],[Fetal Sex (Male, Female or Unknown)]]="Male",Backend!$C$6,IF(Table1[[#This Row],[Fetal Sex (Male, Female or Unknown)]]="Female",Backend!$C$7,IF(Table1[[#This Row],[Fetal Sex (Male, Female or Unknown)]]="Unknown",Backend!$C$8,"Error"))),"")</f>
        <v/>
      </c>
      <c r="F5489" s="8" t="str">
        <f>IF(Table1[[#This Row],[Is Data Valid]]=TRUE,EXP(0.578+0.332*((Table1[[#This Row],[Gestation (days)]]+0.5)/7)-0.00354*((Table1[[#This Row],[Gestation (days)]]+0.5)/7)^2)*Table1[[#This Row],[BW40_3705]],"")</f>
        <v/>
      </c>
      <c r="G5489" s="2" t="str">
        <f>IF(Table1[[#This Row],[Is Data Valid]]=TRUE,((Table1[[#This Row],[Birthweight (grams)]]/Table1[[#This Row],[BW_GA]])-1)/(Backend!$B$4/100*Table1[[#This Row],[BW40_3705]]),"")</f>
        <v/>
      </c>
      <c r="H5489" s="7" t="str">
        <f>IF(Table1[[#This Row],[Is Data Valid]]=TRUE,((Table1[[#This Row],[Birthweight (grams)]]*0.9/Table1[[#This Row],[BW_GA]])-1)/(Backend!$B$4/100*Table1[[#This Row],[BW40_3705]]),"")</f>
        <v/>
      </c>
      <c r="I5489" s="7" t="str">
        <f>IF(Table1[[#This Row],[Is Data Valid]]=TRUE,((Table1[[#This Row],[Birthweight (grams)]]*1.1/Table1[[#This Row],[BW_GA]])-1)/(Backend!$B$4/100*Table1[[#This Row],[BW40_3705]]),"")</f>
        <v/>
      </c>
      <c r="J5489" s="7" t="str">
        <f>IF(Table1[[#This Row],[Is Data Valid]]=TRUE,_xlfn.NORM.S.DIST(Table1[[#This Row],[Birthweight Z-Score]],TRUE)*100,"")</f>
        <v/>
      </c>
      <c r="K5489" s="7" t="str">
        <f>IF(Table1[[#This Row],[Is Data Valid]]=TRUE,_xlfn.NORM.S.DIST(Table1[[#This Row],[Birthweight Z-Score (BW-10%)]],TRUE)*100,"")</f>
        <v/>
      </c>
      <c r="L5489" s="7" t="str">
        <f>IF(Table1[[#This Row],[Is Data Valid]]=TRUE,_xlfn.NORM.S.DIST(Table1[[#This Row],[Birthweight Z-Score (BW+10%)]],TRUE)*100,"")</f>
        <v/>
      </c>
    </row>
    <row r="5490" spans="1:12" x14ac:dyDescent="0.35">
      <c r="A5490" s="3"/>
      <c r="B5490" s="2"/>
      <c r="C5490" s="2"/>
      <c r="D5490" s="2" t="b">
        <f>IF(AND(NOT(ISBLANK(Table1[[#This Row],[Fetal Sex (Male, Female or Unknown)]])),ISNUMBER(Table1[[#This Row],[Birthweight (grams)]]),ISNUMBER(Table1[[#This Row],[Gestation (days)]])),TRUE,FALSE)</f>
        <v>0</v>
      </c>
      <c r="E5490" s="2" t="str">
        <f>IF(Table1[[#This Row],[Is Data Valid]]=TRUE,IF(Table1[[#This Row],[Fetal Sex (Male, Female or Unknown)]]="Male",Backend!$C$6,IF(Table1[[#This Row],[Fetal Sex (Male, Female or Unknown)]]="Female",Backend!$C$7,IF(Table1[[#This Row],[Fetal Sex (Male, Female or Unknown)]]="Unknown",Backend!$C$8,"Error"))),"")</f>
        <v/>
      </c>
      <c r="F5490" s="8" t="str">
        <f>IF(Table1[[#This Row],[Is Data Valid]]=TRUE,EXP(0.578+0.332*((Table1[[#This Row],[Gestation (days)]]+0.5)/7)-0.00354*((Table1[[#This Row],[Gestation (days)]]+0.5)/7)^2)*Table1[[#This Row],[BW40_3705]],"")</f>
        <v/>
      </c>
      <c r="G5490" s="2" t="str">
        <f>IF(Table1[[#This Row],[Is Data Valid]]=TRUE,((Table1[[#This Row],[Birthweight (grams)]]/Table1[[#This Row],[BW_GA]])-1)/(Backend!$B$4/100*Table1[[#This Row],[BW40_3705]]),"")</f>
        <v/>
      </c>
      <c r="H5490" s="7" t="str">
        <f>IF(Table1[[#This Row],[Is Data Valid]]=TRUE,((Table1[[#This Row],[Birthweight (grams)]]*0.9/Table1[[#This Row],[BW_GA]])-1)/(Backend!$B$4/100*Table1[[#This Row],[BW40_3705]]),"")</f>
        <v/>
      </c>
      <c r="I5490" s="7" t="str">
        <f>IF(Table1[[#This Row],[Is Data Valid]]=TRUE,((Table1[[#This Row],[Birthweight (grams)]]*1.1/Table1[[#This Row],[BW_GA]])-1)/(Backend!$B$4/100*Table1[[#This Row],[BW40_3705]]),"")</f>
        <v/>
      </c>
      <c r="J5490" s="7" t="str">
        <f>IF(Table1[[#This Row],[Is Data Valid]]=TRUE,_xlfn.NORM.S.DIST(Table1[[#This Row],[Birthweight Z-Score]],TRUE)*100,"")</f>
        <v/>
      </c>
      <c r="K5490" s="7" t="str">
        <f>IF(Table1[[#This Row],[Is Data Valid]]=TRUE,_xlfn.NORM.S.DIST(Table1[[#This Row],[Birthweight Z-Score (BW-10%)]],TRUE)*100,"")</f>
        <v/>
      </c>
      <c r="L5490" s="7" t="str">
        <f>IF(Table1[[#This Row],[Is Data Valid]]=TRUE,_xlfn.NORM.S.DIST(Table1[[#This Row],[Birthweight Z-Score (BW+10%)]],TRUE)*100,"")</f>
        <v/>
      </c>
    </row>
    <row r="5491" spans="1:12" x14ac:dyDescent="0.35">
      <c r="A5491" s="3"/>
      <c r="B5491" s="2"/>
      <c r="C5491" s="2"/>
      <c r="D5491" s="2" t="b">
        <f>IF(AND(NOT(ISBLANK(Table1[[#This Row],[Fetal Sex (Male, Female or Unknown)]])),ISNUMBER(Table1[[#This Row],[Birthweight (grams)]]),ISNUMBER(Table1[[#This Row],[Gestation (days)]])),TRUE,FALSE)</f>
        <v>0</v>
      </c>
      <c r="E5491" s="2" t="str">
        <f>IF(Table1[[#This Row],[Is Data Valid]]=TRUE,IF(Table1[[#This Row],[Fetal Sex (Male, Female or Unknown)]]="Male",Backend!$C$6,IF(Table1[[#This Row],[Fetal Sex (Male, Female or Unknown)]]="Female",Backend!$C$7,IF(Table1[[#This Row],[Fetal Sex (Male, Female or Unknown)]]="Unknown",Backend!$C$8,"Error"))),"")</f>
        <v/>
      </c>
      <c r="F5491" s="8" t="str">
        <f>IF(Table1[[#This Row],[Is Data Valid]]=TRUE,EXP(0.578+0.332*((Table1[[#This Row],[Gestation (days)]]+0.5)/7)-0.00354*((Table1[[#This Row],[Gestation (days)]]+0.5)/7)^2)*Table1[[#This Row],[BW40_3705]],"")</f>
        <v/>
      </c>
      <c r="G5491" s="2" t="str">
        <f>IF(Table1[[#This Row],[Is Data Valid]]=TRUE,((Table1[[#This Row],[Birthweight (grams)]]/Table1[[#This Row],[BW_GA]])-1)/(Backend!$B$4/100*Table1[[#This Row],[BW40_3705]]),"")</f>
        <v/>
      </c>
      <c r="H5491" s="7" t="str">
        <f>IF(Table1[[#This Row],[Is Data Valid]]=TRUE,((Table1[[#This Row],[Birthweight (grams)]]*0.9/Table1[[#This Row],[BW_GA]])-1)/(Backend!$B$4/100*Table1[[#This Row],[BW40_3705]]),"")</f>
        <v/>
      </c>
      <c r="I5491" s="7" t="str">
        <f>IF(Table1[[#This Row],[Is Data Valid]]=TRUE,((Table1[[#This Row],[Birthweight (grams)]]*1.1/Table1[[#This Row],[BW_GA]])-1)/(Backend!$B$4/100*Table1[[#This Row],[BW40_3705]]),"")</f>
        <v/>
      </c>
      <c r="J5491" s="7" t="str">
        <f>IF(Table1[[#This Row],[Is Data Valid]]=TRUE,_xlfn.NORM.S.DIST(Table1[[#This Row],[Birthweight Z-Score]],TRUE)*100,"")</f>
        <v/>
      </c>
      <c r="K5491" s="7" t="str">
        <f>IF(Table1[[#This Row],[Is Data Valid]]=TRUE,_xlfn.NORM.S.DIST(Table1[[#This Row],[Birthweight Z-Score (BW-10%)]],TRUE)*100,"")</f>
        <v/>
      </c>
      <c r="L5491" s="7" t="str">
        <f>IF(Table1[[#This Row],[Is Data Valid]]=TRUE,_xlfn.NORM.S.DIST(Table1[[#This Row],[Birthweight Z-Score (BW+10%)]],TRUE)*100,"")</f>
        <v/>
      </c>
    </row>
    <row r="5492" spans="1:12" x14ac:dyDescent="0.35">
      <c r="A5492" s="3"/>
      <c r="B5492" s="2"/>
      <c r="C5492" s="2"/>
      <c r="D5492" s="2" t="b">
        <f>IF(AND(NOT(ISBLANK(Table1[[#This Row],[Fetal Sex (Male, Female or Unknown)]])),ISNUMBER(Table1[[#This Row],[Birthweight (grams)]]),ISNUMBER(Table1[[#This Row],[Gestation (days)]])),TRUE,FALSE)</f>
        <v>0</v>
      </c>
      <c r="E5492" s="2" t="str">
        <f>IF(Table1[[#This Row],[Is Data Valid]]=TRUE,IF(Table1[[#This Row],[Fetal Sex (Male, Female or Unknown)]]="Male",Backend!$C$6,IF(Table1[[#This Row],[Fetal Sex (Male, Female or Unknown)]]="Female",Backend!$C$7,IF(Table1[[#This Row],[Fetal Sex (Male, Female or Unknown)]]="Unknown",Backend!$C$8,"Error"))),"")</f>
        <v/>
      </c>
      <c r="F5492" s="8" t="str">
        <f>IF(Table1[[#This Row],[Is Data Valid]]=TRUE,EXP(0.578+0.332*((Table1[[#This Row],[Gestation (days)]]+0.5)/7)-0.00354*((Table1[[#This Row],[Gestation (days)]]+0.5)/7)^2)*Table1[[#This Row],[BW40_3705]],"")</f>
        <v/>
      </c>
      <c r="G5492" s="2" t="str">
        <f>IF(Table1[[#This Row],[Is Data Valid]]=TRUE,((Table1[[#This Row],[Birthweight (grams)]]/Table1[[#This Row],[BW_GA]])-1)/(Backend!$B$4/100*Table1[[#This Row],[BW40_3705]]),"")</f>
        <v/>
      </c>
      <c r="H5492" s="7" t="str">
        <f>IF(Table1[[#This Row],[Is Data Valid]]=TRUE,((Table1[[#This Row],[Birthweight (grams)]]*0.9/Table1[[#This Row],[BW_GA]])-1)/(Backend!$B$4/100*Table1[[#This Row],[BW40_3705]]),"")</f>
        <v/>
      </c>
      <c r="I5492" s="7" t="str">
        <f>IF(Table1[[#This Row],[Is Data Valid]]=TRUE,((Table1[[#This Row],[Birthweight (grams)]]*1.1/Table1[[#This Row],[BW_GA]])-1)/(Backend!$B$4/100*Table1[[#This Row],[BW40_3705]]),"")</f>
        <v/>
      </c>
      <c r="J5492" s="7" t="str">
        <f>IF(Table1[[#This Row],[Is Data Valid]]=TRUE,_xlfn.NORM.S.DIST(Table1[[#This Row],[Birthweight Z-Score]],TRUE)*100,"")</f>
        <v/>
      </c>
      <c r="K5492" s="7" t="str">
        <f>IF(Table1[[#This Row],[Is Data Valid]]=TRUE,_xlfn.NORM.S.DIST(Table1[[#This Row],[Birthweight Z-Score (BW-10%)]],TRUE)*100,"")</f>
        <v/>
      </c>
      <c r="L5492" s="7" t="str">
        <f>IF(Table1[[#This Row],[Is Data Valid]]=TRUE,_xlfn.NORM.S.DIST(Table1[[#This Row],[Birthweight Z-Score (BW+10%)]],TRUE)*100,"")</f>
        <v/>
      </c>
    </row>
    <row r="5493" spans="1:12" x14ac:dyDescent="0.35">
      <c r="A5493" s="3"/>
      <c r="B5493" s="2"/>
      <c r="C5493" s="2"/>
      <c r="D5493" s="2" t="b">
        <f>IF(AND(NOT(ISBLANK(Table1[[#This Row],[Fetal Sex (Male, Female or Unknown)]])),ISNUMBER(Table1[[#This Row],[Birthweight (grams)]]),ISNUMBER(Table1[[#This Row],[Gestation (days)]])),TRUE,FALSE)</f>
        <v>0</v>
      </c>
      <c r="E5493" s="2" t="str">
        <f>IF(Table1[[#This Row],[Is Data Valid]]=TRUE,IF(Table1[[#This Row],[Fetal Sex (Male, Female or Unknown)]]="Male",Backend!$C$6,IF(Table1[[#This Row],[Fetal Sex (Male, Female or Unknown)]]="Female",Backend!$C$7,IF(Table1[[#This Row],[Fetal Sex (Male, Female or Unknown)]]="Unknown",Backend!$C$8,"Error"))),"")</f>
        <v/>
      </c>
      <c r="F5493" s="8" t="str">
        <f>IF(Table1[[#This Row],[Is Data Valid]]=TRUE,EXP(0.578+0.332*((Table1[[#This Row],[Gestation (days)]]+0.5)/7)-0.00354*((Table1[[#This Row],[Gestation (days)]]+0.5)/7)^2)*Table1[[#This Row],[BW40_3705]],"")</f>
        <v/>
      </c>
      <c r="G5493" s="2" t="str">
        <f>IF(Table1[[#This Row],[Is Data Valid]]=TRUE,((Table1[[#This Row],[Birthweight (grams)]]/Table1[[#This Row],[BW_GA]])-1)/(Backend!$B$4/100*Table1[[#This Row],[BW40_3705]]),"")</f>
        <v/>
      </c>
      <c r="H5493" s="7" t="str">
        <f>IF(Table1[[#This Row],[Is Data Valid]]=TRUE,((Table1[[#This Row],[Birthweight (grams)]]*0.9/Table1[[#This Row],[BW_GA]])-1)/(Backend!$B$4/100*Table1[[#This Row],[BW40_3705]]),"")</f>
        <v/>
      </c>
      <c r="I5493" s="7" t="str">
        <f>IF(Table1[[#This Row],[Is Data Valid]]=TRUE,((Table1[[#This Row],[Birthweight (grams)]]*1.1/Table1[[#This Row],[BW_GA]])-1)/(Backend!$B$4/100*Table1[[#This Row],[BW40_3705]]),"")</f>
        <v/>
      </c>
      <c r="J5493" s="7" t="str">
        <f>IF(Table1[[#This Row],[Is Data Valid]]=TRUE,_xlfn.NORM.S.DIST(Table1[[#This Row],[Birthweight Z-Score]],TRUE)*100,"")</f>
        <v/>
      </c>
      <c r="K5493" s="7" t="str">
        <f>IF(Table1[[#This Row],[Is Data Valid]]=TRUE,_xlfn.NORM.S.DIST(Table1[[#This Row],[Birthweight Z-Score (BW-10%)]],TRUE)*100,"")</f>
        <v/>
      </c>
      <c r="L5493" s="7" t="str">
        <f>IF(Table1[[#This Row],[Is Data Valid]]=TRUE,_xlfn.NORM.S.DIST(Table1[[#This Row],[Birthweight Z-Score (BW+10%)]],TRUE)*100,"")</f>
        <v/>
      </c>
    </row>
    <row r="5494" spans="1:12" x14ac:dyDescent="0.35">
      <c r="A5494" s="3"/>
      <c r="B5494" s="2"/>
      <c r="C5494" s="2"/>
      <c r="D5494" s="2" t="b">
        <f>IF(AND(NOT(ISBLANK(Table1[[#This Row],[Fetal Sex (Male, Female or Unknown)]])),ISNUMBER(Table1[[#This Row],[Birthweight (grams)]]),ISNUMBER(Table1[[#This Row],[Gestation (days)]])),TRUE,FALSE)</f>
        <v>0</v>
      </c>
      <c r="E5494" s="2" t="str">
        <f>IF(Table1[[#This Row],[Is Data Valid]]=TRUE,IF(Table1[[#This Row],[Fetal Sex (Male, Female or Unknown)]]="Male",Backend!$C$6,IF(Table1[[#This Row],[Fetal Sex (Male, Female or Unknown)]]="Female",Backend!$C$7,IF(Table1[[#This Row],[Fetal Sex (Male, Female or Unknown)]]="Unknown",Backend!$C$8,"Error"))),"")</f>
        <v/>
      </c>
      <c r="F5494" s="8" t="str">
        <f>IF(Table1[[#This Row],[Is Data Valid]]=TRUE,EXP(0.578+0.332*((Table1[[#This Row],[Gestation (days)]]+0.5)/7)-0.00354*((Table1[[#This Row],[Gestation (days)]]+0.5)/7)^2)*Table1[[#This Row],[BW40_3705]],"")</f>
        <v/>
      </c>
      <c r="G5494" s="2" t="str">
        <f>IF(Table1[[#This Row],[Is Data Valid]]=TRUE,((Table1[[#This Row],[Birthweight (grams)]]/Table1[[#This Row],[BW_GA]])-1)/(Backend!$B$4/100*Table1[[#This Row],[BW40_3705]]),"")</f>
        <v/>
      </c>
      <c r="H5494" s="7" t="str">
        <f>IF(Table1[[#This Row],[Is Data Valid]]=TRUE,((Table1[[#This Row],[Birthweight (grams)]]*0.9/Table1[[#This Row],[BW_GA]])-1)/(Backend!$B$4/100*Table1[[#This Row],[BW40_3705]]),"")</f>
        <v/>
      </c>
      <c r="I5494" s="7" t="str">
        <f>IF(Table1[[#This Row],[Is Data Valid]]=TRUE,((Table1[[#This Row],[Birthweight (grams)]]*1.1/Table1[[#This Row],[BW_GA]])-1)/(Backend!$B$4/100*Table1[[#This Row],[BW40_3705]]),"")</f>
        <v/>
      </c>
      <c r="J5494" s="7" t="str">
        <f>IF(Table1[[#This Row],[Is Data Valid]]=TRUE,_xlfn.NORM.S.DIST(Table1[[#This Row],[Birthweight Z-Score]],TRUE)*100,"")</f>
        <v/>
      </c>
      <c r="K5494" s="7" t="str">
        <f>IF(Table1[[#This Row],[Is Data Valid]]=TRUE,_xlfn.NORM.S.DIST(Table1[[#This Row],[Birthweight Z-Score (BW-10%)]],TRUE)*100,"")</f>
        <v/>
      </c>
      <c r="L5494" s="7" t="str">
        <f>IF(Table1[[#This Row],[Is Data Valid]]=TRUE,_xlfn.NORM.S.DIST(Table1[[#This Row],[Birthweight Z-Score (BW+10%)]],TRUE)*100,"")</f>
        <v/>
      </c>
    </row>
    <row r="5495" spans="1:12" x14ac:dyDescent="0.35">
      <c r="A5495" s="3"/>
      <c r="B5495" s="2"/>
      <c r="C5495" s="2"/>
      <c r="D5495" s="2" t="b">
        <f>IF(AND(NOT(ISBLANK(Table1[[#This Row],[Fetal Sex (Male, Female or Unknown)]])),ISNUMBER(Table1[[#This Row],[Birthweight (grams)]]),ISNUMBER(Table1[[#This Row],[Gestation (days)]])),TRUE,FALSE)</f>
        <v>0</v>
      </c>
      <c r="E5495" s="2" t="str">
        <f>IF(Table1[[#This Row],[Is Data Valid]]=TRUE,IF(Table1[[#This Row],[Fetal Sex (Male, Female or Unknown)]]="Male",Backend!$C$6,IF(Table1[[#This Row],[Fetal Sex (Male, Female or Unknown)]]="Female",Backend!$C$7,IF(Table1[[#This Row],[Fetal Sex (Male, Female or Unknown)]]="Unknown",Backend!$C$8,"Error"))),"")</f>
        <v/>
      </c>
      <c r="F5495" s="8" t="str">
        <f>IF(Table1[[#This Row],[Is Data Valid]]=TRUE,EXP(0.578+0.332*((Table1[[#This Row],[Gestation (days)]]+0.5)/7)-0.00354*((Table1[[#This Row],[Gestation (days)]]+0.5)/7)^2)*Table1[[#This Row],[BW40_3705]],"")</f>
        <v/>
      </c>
      <c r="G5495" s="2" t="str">
        <f>IF(Table1[[#This Row],[Is Data Valid]]=TRUE,((Table1[[#This Row],[Birthweight (grams)]]/Table1[[#This Row],[BW_GA]])-1)/(Backend!$B$4/100*Table1[[#This Row],[BW40_3705]]),"")</f>
        <v/>
      </c>
      <c r="H5495" s="7" t="str">
        <f>IF(Table1[[#This Row],[Is Data Valid]]=TRUE,((Table1[[#This Row],[Birthweight (grams)]]*0.9/Table1[[#This Row],[BW_GA]])-1)/(Backend!$B$4/100*Table1[[#This Row],[BW40_3705]]),"")</f>
        <v/>
      </c>
      <c r="I5495" s="7" t="str">
        <f>IF(Table1[[#This Row],[Is Data Valid]]=TRUE,((Table1[[#This Row],[Birthweight (grams)]]*1.1/Table1[[#This Row],[BW_GA]])-1)/(Backend!$B$4/100*Table1[[#This Row],[BW40_3705]]),"")</f>
        <v/>
      </c>
      <c r="J5495" s="7" t="str">
        <f>IF(Table1[[#This Row],[Is Data Valid]]=TRUE,_xlfn.NORM.S.DIST(Table1[[#This Row],[Birthweight Z-Score]],TRUE)*100,"")</f>
        <v/>
      </c>
      <c r="K5495" s="7" t="str">
        <f>IF(Table1[[#This Row],[Is Data Valid]]=TRUE,_xlfn.NORM.S.DIST(Table1[[#This Row],[Birthweight Z-Score (BW-10%)]],TRUE)*100,"")</f>
        <v/>
      </c>
      <c r="L5495" s="7" t="str">
        <f>IF(Table1[[#This Row],[Is Data Valid]]=TRUE,_xlfn.NORM.S.DIST(Table1[[#This Row],[Birthweight Z-Score (BW+10%)]],TRUE)*100,"")</f>
        <v/>
      </c>
    </row>
    <row r="5496" spans="1:12" x14ac:dyDescent="0.35">
      <c r="A5496" s="3"/>
      <c r="B5496" s="2"/>
      <c r="C5496" s="2"/>
      <c r="D5496" s="2" t="b">
        <f>IF(AND(NOT(ISBLANK(Table1[[#This Row],[Fetal Sex (Male, Female or Unknown)]])),ISNUMBER(Table1[[#This Row],[Birthweight (grams)]]),ISNUMBER(Table1[[#This Row],[Gestation (days)]])),TRUE,FALSE)</f>
        <v>0</v>
      </c>
      <c r="E5496" s="2" t="str">
        <f>IF(Table1[[#This Row],[Is Data Valid]]=TRUE,IF(Table1[[#This Row],[Fetal Sex (Male, Female or Unknown)]]="Male",Backend!$C$6,IF(Table1[[#This Row],[Fetal Sex (Male, Female or Unknown)]]="Female",Backend!$C$7,IF(Table1[[#This Row],[Fetal Sex (Male, Female or Unknown)]]="Unknown",Backend!$C$8,"Error"))),"")</f>
        <v/>
      </c>
      <c r="F5496" s="8" t="str">
        <f>IF(Table1[[#This Row],[Is Data Valid]]=TRUE,EXP(0.578+0.332*((Table1[[#This Row],[Gestation (days)]]+0.5)/7)-0.00354*((Table1[[#This Row],[Gestation (days)]]+0.5)/7)^2)*Table1[[#This Row],[BW40_3705]],"")</f>
        <v/>
      </c>
      <c r="G5496" s="2" t="str">
        <f>IF(Table1[[#This Row],[Is Data Valid]]=TRUE,((Table1[[#This Row],[Birthweight (grams)]]/Table1[[#This Row],[BW_GA]])-1)/(Backend!$B$4/100*Table1[[#This Row],[BW40_3705]]),"")</f>
        <v/>
      </c>
      <c r="H5496" s="7" t="str">
        <f>IF(Table1[[#This Row],[Is Data Valid]]=TRUE,((Table1[[#This Row],[Birthweight (grams)]]*0.9/Table1[[#This Row],[BW_GA]])-1)/(Backend!$B$4/100*Table1[[#This Row],[BW40_3705]]),"")</f>
        <v/>
      </c>
      <c r="I5496" s="7" t="str">
        <f>IF(Table1[[#This Row],[Is Data Valid]]=TRUE,((Table1[[#This Row],[Birthweight (grams)]]*1.1/Table1[[#This Row],[BW_GA]])-1)/(Backend!$B$4/100*Table1[[#This Row],[BW40_3705]]),"")</f>
        <v/>
      </c>
      <c r="J5496" s="7" t="str">
        <f>IF(Table1[[#This Row],[Is Data Valid]]=TRUE,_xlfn.NORM.S.DIST(Table1[[#This Row],[Birthweight Z-Score]],TRUE)*100,"")</f>
        <v/>
      </c>
      <c r="K5496" s="7" t="str">
        <f>IF(Table1[[#This Row],[Is Data Valid]]=TRUE,_xlfn.NORM.S.DIST(Table1[[#This Row],[Birthweight Z-Score (BW-10%)]],TRUE)*100,"")</f>
        <v/>
      </c>
      <c r="L5496" s="7" t="str">
        <f>IF(Table1[[#This Row],[Is Data Valid]]=TRUE,_xlfn.NORM.S.DIST(Table1[[#This Row],[Birthweight Z-Score (BW+10%)]],TRUE)*100,"")</f>
        <v/>
      </c>
    </row>
    <row r="5497" spans="1:12" x14ac:dyDescent="0.35">
      <c r="A5497" s="3"/>
      <c r="B5497" s="2"/>
      <c r="C5497" s="2"/>
      <c r="D5497" s="2" t="b">
        <f>IF(AND(NOT(ISBLANK(Table1[[#This Row],[Fetal Sex (Male, Female or Unknown)]])),ISNUMBER(Table1[[#This Row],[Birthweight (grams)]]),ISNUMBER(Table1[[#This Row],[Gestation (days)]])),TRUE,FALSE)</f>
        <v>0</v>
      </c>
      <c r="E5497" s="2" t="str">
        <f>IF(Table1[[#This Row],[Is Data Valid]]=TRUE,IF(Table1[[#This Row],[Fetal Sex (Male, Female or Unknown)]]="Male",Backend!$C$6,IF(Table1[[#This Row],[Fetal Sex (Male, Female or Unknown)]]="Female",Backend!$C$7,IF(Table1[[#This Row],[Fetal Sex (Male, Female or Unknown)]]="Unknown",Backend!$C$8,"Error"))),"")</f>
        <v/>
      </c>
      <c r="F5497" s="8" t="str">
        <f>IF(Table1[[#This Row],[Is Data Valid]]=TRUE,EXP(0.578+0.332*((Table1[[#This Row],[Gestation (days)]]+0.5)/7)-0.00354*((Table1[[#This Row],[Gestation (days)]]+0.5)/7)^2)*Table1[[#This Row],[BW40_3705]],"")</f>
        <v/>
      </c>
      <c r="G5497" s="2" t="str">
        <f>IF(Table1[[#This Row],[Is Data Valid]]=TRUE,((Table1[[#This Row],[Birthweight (grams)]]/Table1[[#This Row],[BW_GA]])-1)/(Backend!$B$4/100*Table1[[#This Row],[BW40_3705]]),"")</f>
        <v/>
      </c>
      <c r="H5497" s="7" t="str">
        <f>IF(Table1[[#This Row],[Is Data Valid]]=TRUE,((Table1[[#This Row],[Birthweight (grams)]]*0.9/Table1[[#This Row],[BW_GA]])-1)/(Backend!$B$4/100*Table1[[#This Row],[BW40_3705]]),"")</f>
        <v/>
      </c>
      <c r="I5497" s="7" t="str">
        <f>IF(Table1[[#This Row],[Is Data Valid]]=TRUE,((Table1[[#This Row],[Birthweight (grams)]]*1.1/Table1[[#This Row],[BW_GA]])-1)/(Backend!$B$4/100*Table1[[#This Row],[BW40_3705]]),"")</f>
        <v/>
      </c>
      <c r="J5497" s="7" t="str">
        <f>IF(Table1[[#This Row],[Is Data Valid]]=TRUE,_xlfn.NORM.S.DIST(Table1[[#This Row],[Birthweight Z-Score]],TRUE)*100,"")</f>
        <v/>
      </c>
      <c r="K5497" s="7" t="str">
        <f>IF(Table1[[#This Row],[Is Data Valid]]=TRUE,_xlfn.NORM.S.DIST(Table1[[#This Row],[Birthweight Z-Score (BW-10%)]],TRUE)*100,"")</f>
        <v/>
      </c>
      <c r="L5497" s="7" t="str">
        <f>IF(Table1[[#This Row],[Is Data Valid]]=TRUE,_xlfn.NORM.S.DIST(Table1[[#This Row],[Birthweight Z-Score (BW+10%)]],TRUE)*100,"")</f>
        <v/>
      </c>
    </row>
    <row r="5498" spans="1:12" x14ac:dyDescent="0.35">
      <c r="A5498" s="3"/>
      <c r="B5498" s="2"/>
      <c r="C5498" s="2"/>
      <c r="D5498" s="2" t="b">
        <f>IF(AND(NOT(ISBLANK(Table1[[#This Row],[Fetal Sex (Male, Female or Unknown)]])),ISNUMBER(Table1[[#This Row],[Birthweight (grams)]]),ISNUMBER(Table1[[#This Row],[Gestation (days)]])),TRUE,FALSE)</f>
        <v>0</v>
      </c>
      <c r="E5498" s="2" t="str">
        <f>IF(Table1[[#This Row],[Is Data Valid]]=TRUE,IF(Table1[[#This Row],[Fetal Sex (Male, Female or Unknown)]]="Male",Backend!$C$6,IF(Table1[[#This Row],[Fetal Sex (Male, Female or Unknown)]]="Female",Backend!$C$7,IF(Table1[[#This Row],[Fetal Sex (Male, Female or Unknown)]]="Unknown",Backend!$C$8,"Error"))),"")</f>
        <v/>
      </c>
      <c r="F5498" s="8" t="str">
        <f>IF(Table1[[#This Row],[Is Data Valid]]=TRUE,EXP(0.578+0.332*((Table1[[#This Row],[Gestation (days)]]+0.5)/7)-0.00354*((Table1[[#This Row],[Gestation (days)]]+0.5)/7)^2)*Table1[[#This Row],[BW40_3705]],"")</f>
        <v/>
      </c>
      <c r="G5498" s="2" t="str">
        <f>IF(Table1[[#This Row],[Is Data Valid]]=TRUE,((Table1[[#This Row],[Birthweight (grams)]]/Table1[[#This Row],[BW_GA]])-1)/(Backend!$B$4/100*Table1[[#This Row],[BW40_3705]]),"")</f>
        <v/>
      </c>
      <c r="H5498" s="7" t="str">
        <f>IF(Table1[[#This Row],[Is Data Valid]]=TRUE,((Table1[[#This Row],[Birthweight (grams)]]*0.9/Table1[[#This Row],[BW_GA]])-1)/(Backend!$B$4/100*Table1[[#This Row],[BW40_3705]]),"")</f>
        <v/>
      </c>
      <c r="I5498" s="7" t="str">
        <f>IF(Table1[[#This Row],[Is Data Valid]]=TRUE,((Table1[[#This Row],[Birthweight (grams)]]*1.1/Table1[[#This Row],[BW_GA]])-1)/(Backend!$B$4/100*Table1[[#This Row],[BW40_3705]]),"")</f>
        <v/>
      </c>
      <c r="J5498" s="7" t="str">
        <f>IF(Table1[[#This Row],[Is Data Valid]]=TRUE,_xlfn.NORM.S.DIST(Table1[[#This Row],[Birthweight Z-Score]],TRUE)*100,"")</f>
        <v/>
      </c>
      <c r="K5498" s="7" t="str">
        <f>IF(Table1[[#This Row],[Is Data Valid]]=TRUE,_xlfn.NORM.S.DIST(Table1[[#This Row],[Birthweight Z-Score (BW-10%)]],TRUE)*100,"")</f>
        <v/>
      </c>
      <c r="L5498" s="7" t="str">
        <f>IF(Table1[[#This Row],[Is Data Valid]]=TRUE,_xlfn.NORM.S.DIST(Table1[[#This Row],[Birthweight Z-Score (BW+10%)]],TRUE)*100,"")</f>
        <v/>
      </c>
    </row>
    <row r="5499" spans="1:12" x14ac:dyDescent="0.35">
      <c r="A5499" s="3"/>
      <c r="B5499" s="2"/>
      <c r="C5499" s="2"/>
      <c r="D5499" s="2" t="b">
        <f>IF(AND(NOT(ISBLANK(Table1[[#This Row],[Fetal Sex (Male, Female or Unknown)]])),ISNUMBER(Table1[[#This Row],[Birthweight (grams)]]),ISNUMBER(Table1[[#This Row],[Gestation (days)]])),TRUE,FALSE)</f>
        <v>0</v>
      </c>
      <c r="E5499" s="2" t="str">
        <f>IF(Table1[[#This Row],[Is Data Valid]]=TRUE,IF(Table1[[#This Row],[Fetal Sex (Male, Female or Unknown)]]="Male",Backend!$C$6,IF(Table1[[#This Row],[Fetal Sex (Male, Female or Unknown)]]="Female",Backend!$C$7,IF(Table1[[#This Row],[Fetal Sex (Male, Female or Unknown)]]="Unknown",Backend!$C$8,"Error"))),"")</f>
        <v/>
      </c>
      <c r="F5499" s="8" t="str">
        <f>IF(Table1[[#This Row],[Is Data Valid]]=TRUE,EXP(0.578+0.332*((Table1[[#This Row],[Gestation (days)]]+0.5)/7)-0.00354*((Table1[[#This Row],[Gestation (days)]]+0.5)/7)^2)*Table1[[#This Row],[BW40_3705]],"")</f>
        <v/>
      </c>
      <c r="G5499" s="2" t="str">
        <f>IF(Table1[[#This Row],[Is Data Valid]]=TRUE,((Table1[[#This Row],[Birthweight (grams)]]/Table1[[#This Row],[BW_GA]])-1)/(Backend!$B$4/100*Table1[[#This Row],[BW40_3705]]),"")</f>
        <v/>
      </c>
      <c r="H5499" s="7" t="str">
        <f>IF(Table1[[#This Row],[Is Data Valid]]=TRUE,((Table1[[#This Row],[Birthweight (grams)]]*0.9/Table1[[#This Row],[BW_GA]])-1)/(Backend!$B$4/100*Table1[[#This Row],[BW40_3705]]),"")</f>
        <v/>
      </c>
      <c r="I5499" s="7" t="str">
        <f>IF(Table1[[#This Row],[Is Data Valid]]=TRUE,((Table1[[#This Row],[Birthweight (grams)]]*1.1/Table1[[#This Row],[BW_GA]])-1)/(Backend!$B$4/100*Table1[[#This Row],[BW40_3705]]),"")</f>
        <v/>
      </c>
      <c r="J5499" s="7" t="str">
        <f>IF(Table1[[#This Row],[Is Data Valid]]=TRUE,_xlfn.NORM.S.DIST(Table1[[#This Row],[Birthweight Z-Score]],TRUE)*100,"")</f>
        <v/>
      </c>
      <c r="K5499" s="7" t="str">
        <f>IF(Table1[[#This Row],[Is Data Valid]]=TRUE,_xlfn.NORM.S.DIST(Table1[[#This Row],[Birthweight Z-Score (BW-10%)]],TRUE)*100,"")</f>
        <v/>
      </c>
      <c r="L5499" s="7" t="str">
        <f>IF(Table1[[#This Row],[Is Data Valid]]=TRUE,_xlfn.NORM.S.DIST(Table1[[#This Row],[Birthweight Z-Score (BW+10%)]],TRUE)*100,"")</f>
        <v/>
      </c>
    </row>
    <row r="5500" spans="1:12" x14ac:dyDescent="0.35">
      <c r="A5500" s="3"/>
      <c r="B5500" s="2"/>
      <c r="C5500" s="2"/>
      <c r="D5500" s="2" t="b">
        <f>IF(AND(NOT(ISBLANK(Table1[[#This Row],[Fetal Sex (Male, Female or Unknown)]])),ISNUMBER(Table1[[#This Row],[Birthweight (grams)]]),ISNUMBER(Table1[[#This Row],[Gestation (days)]])),TRUE,FALSE)</f>
        <v>0</v>
      </c>
      <c r="E5500" s="2" t="str">
        <f>IF(Table1[[#This Row],[Is Data Valid]]=TRUE,IF(Table1[[#This Row],[Fetal Sex (Male, Female or Unknown)]]="Male",Backend!$C$6,IF(Table1[[#This Row],[Fetal Sex (Male, Female or Unknown)]]="Female",Backend!$C$7,IF(Table1[[#This Row],[Fetal Sex (Male, Female or Unknown)]]="Unknown",Backend!$C$8,"Error"))),"")</f>
        <v/>
      </c>
      <c r="F5500" s="8" t="str">
        <f>IF(Table1[[#This Row],[Is Data Valid]]=TRUE,EXP(0.578+0.332*((Table1[[#This Row],[Gestation (days)]]+0.5)/7)-0.00354*((Table1[[#This Row],[Gestation (days)]]+0.5)/7)^2)*Table1[[#This Row],[BW40_3705]],"")</f>
        <v/>
      </c>
      <c r="G5500" s="2" t="str">
        <f>IF(Table1[[#This Row],[Is Data Valid]]=TRUE,((Table1[[#This Row],[Birthweight (grams)]]/Table1[[#This Row],[BW_GA]])-1)/(Backend!$B$4/100*Table1[[#This Row],[BW40_3705]]),"")</f>
        <v/>
      </c>
      <c r="H5500" s="7" t="str">
        <f>IF(Table1[[#This Row],[Is Data Valid]]=TRUE,((Table1[[#This Row],[Birthweight (grams)]]*0.9/Table1[[#This Row],[BW_GA]])-1)/(Backend!$B$4/100*Table1[[#This Row],[BW40_3705]]),"")</f>
        <v/>
      </c>
      <c r="I5500" s="7" t="str">
        <f>IF(Table1[[#This Row],[Is Data Valid]]=TRUE,((Table1[[#This Row],[Birthweight (grams)]]*1.1/Table1[[#This Row],[BW_GA]])-1)/(Backend!$B$4/100*Table1[[#This Row],[BW40_3705]]),"")</f>
        <v/>
      </c>
      <c r="J5500" s="7" t="str">
        <f>IF(Table1[[#This Row],[Is Data Valid]]=TRUE,_xlfn.NORM.S.DIST(Table1[[#This Row],[Birthweight Z-Score]],TRUE)*100,"")</f>
        <v/>
      </c>
      <c r="K5500" s="7" t="str">
        <f>IF(Table1[[#This Row],[Is Data Valid]]=TRUE,_xlfn.NORM.S.DIST(Table1[[#This Row],[Birthweight Z-Score (BW-10%)]],TRUE)*100,"")</f>
        <v/>
      </c>
      <c r="L5500" s="7" t="str">
        <f>IF(Table1[[#This Row],[Is Data Valid]]=TRUE,_xlfn.NORM.S.DIST(Table1[[#This Row],[Birthweight Z-Score (BW+10%)]],TRUE)*100,"")</f>
        <v/>
      </c>
    </row>
    <row r="5501" spans="1:12" x14ac:dyDescent="0.35">
      <c r="A5501" s="3"/>
      <c r="B5501" s="2"/>
      <c r="C5501" s="2"/>
      <c r="D5501" s="2" t="b">
        <f>IF(AND(NOT(ISBLANK(Table1[[#This Row],[Fetal Sex (Male, Female or Unknown)]])),ISNUMBER(Table1[[#This Row],[Birthweight (grams)]]),ISNUMBER(Table1[[#This Row],[Gestation (days)]])),TRUE,FALSE)</f>
        <v>0</v>
      </c>
      <c r="E5501" s="2" t="str">
        <f>IF(Table1[[#This Row],[Is Data Valid]]=TRUE,IF(Table1[[#This Row],[Fetal Sex (Male, Female or Unknown)]]="Male",Backend!$C$6,IF(Table1[[#This Row],[Fetal Sex (Male, Female or Unknown)]]="Female",Backend!$C$7,IF(Table1[[#This Row],[Fetal Sex (Male, Female or Unknown)]]="Unknown",Backend!$C$8,"Error"))),"")</f>
        <v/>
      </c>
      <c r="F5501" s="8" t="str">
        <f>IF(Table1[[#This Row],[Is Data Valid]]=TRUE,EXP(0.578+0.332*((Table1[[#This Row],[Gestation (days)]]+0.5)/7)-0.00354*((Table1[[#This Row],[Gestation (days)]]+0.5)/7)^2)*Table1[[#This Row],[BW40_3705]],"")</f>
        <v/>
      </c>
      <c r="G5501" s="2" t="str">
        <f>IF(Table1[[#This Row],[Is Data Valid]]=TRUE,((Table1[[#This Row],[Birthweight (grams)]]/Table1[[#This Row],[BW_GA]])-1)/(Backend!$B$4/100*Table1[[#This Row],[BW40_3705]]),"")</f>
        <v/>
      </c>
      <c r="H5501" s="7" t="str">
        <f>IF(Table1[[#This Row],[Is Data Valid]]=TRUE,((Table1[[#This Row],[Birthweight (grams)]]*0.9/Table1[[#This Row],[BW_GA]])-1)/(Backend!$B$4/100*Table1[[#This Row],[BW40_3705]]),"")</f>
        <v/>
      </c>
      <c r="I5501" s="7" t="str">
        <f>IF(Table1[[#This Row],[Is Data Valid]]=TRUE,((Table1[[#This Row],[Birthweight (grams)]]*1.1/Table1[[#This Row],[BW_GA]])-1)/(Backend!$B$4/100*Table1[[#This Row],[BW40_3705]]),"")</f>
        <v/>
      </c>
      <c r="J5501" s="7" t="str">
        <f>IF(Table1[[#This Row],[Is Data Valid]]=TRUE,_xlfn.NORM.S.DIST(Table1[[#This Row],[Birthweight Z-Score]],TRUE)*100,"")</f>
        <v/>
      </c>
      <c r="K5501" s="7" t="str">
        <f>IF(Table1[[#This Row],[Is Data Valid]]=TRUE,_xlfn.NORM.S.DIST(Table1[[#This Row],[Birthweight Z-Score (BW-10%)]],TRUE)*100,"")</f>
        <v/>
      </c>
      <c r="L5501" s="7" t="str">
        <f>IF(Table1[[#This Row],[Is Data Valid]]=TRUE,_xlfn.NORM.S.DIST(Table1[[#This Row],[Birthweight Z-Score (BW+10%)]],TRUE)*100,"")</f>
        <v/>
      </c>
    </row>
    <row r="5502" spans="1:12" x14ac:dyDescent="0.35">
      <c r="A5502" s="3"/>
      <c r="B5502" s="2"/>
      <c r="C5502" s="2"/>
      <c r="D5502" s="2" t="b">
        <f>IF(AND(NOT(ISBLANK(Table1[[#This Row],[Fetal Sex (Male, Female or Unknown)]])),ISNUMBER(Table1[[#This Row],[Birthweight (grams)]]),ISNUMBER(Table1[[#This Row],[Gestation (days)]])),TRUE,FALSE)</f>
        <v>0</v>
      </c>
      <c r="E5502" s="2" t="str">
        <f>IF(Table1[[#This Row],[Is Data Valid]]=TRUE,IF(Table1[[#This Row],[Fetal Sex (Male, Female or Unknown)]]="Male",Backend!$C$6,IF(Table1[[#This Row],[Fetal Sex (Male, Female or Unknown)]]="Female",Backend!$C$7,IF(Table1[[#This Row],[Fetal Sex (Male, Female or Unknown)]]="Unknown",Backend!$C$8,"Error"))),"")</f>
        <v/>
      </c>
      <c r="F5502" s="8" t="str">
        <f>IF(Table1[[#This Row],[Is Data Valid]]=TRUE,EXP(0.578+0.332*((Table1[[#This Row],[Gestation (days)]]+0.5)/7)-0.00354*((Table1[[#This Row],[Gestation (days)]]+0.5)/7)^2)*Table1[[#This Row],[BW40_3705]],"")</f>
        <v/>
      </c>
      <c r="G5502" s="2" t="str">
        <f>IF(Table1[[#This Row],[Is Data Valid]]=TRUE,((Table1[[#This Row],[Birthweight (grams)]]/Table1[[#This Row],[BW_GA]])-1)/(Backend!$B$4/100*Table1[[#This Row],[BW40_3705]]),"")</f>
        <v/>
      </c>
      <c r="H5502" s="7" t="str">
        <f>IF(Table1[[#This Row],[Is Data Valid]]=TRUE,((Table1[[#This Row],[Birthweight (grams)]]*0.9/Table1[[#This Row],[BW_GA]])-1)/(Backend!$B$4/100*Table1[[#This Row],[BW40_3705]]),"")</f>
        <v/>
      </c>
      <c r="I5502" s="7" t="str">
        <f>IF(Table1[[#This Row],[Is Data Valid]]=TRUE,((Table1[[#This Row],[Birthweight (grams)]]*1.1/Table1[[#This Row],[BW_GA]])-1)/(Backend!$B$4/100*Table1[[#This Row],[BW40_3705]]),"")</f>
        <v/>
      </c>
      <c r="J5502" s="7" t="str">
        <f>IF(Table1[[#This Row],[Is Data Valid]]=TRUE,_xlfn.NORM.S.DIST(Table1[[#This Row],[Birthweight Z-Score]],TRUE)*100,"")</f>
        <v/>
      </c>
      <c r="K5502" s="7" t="str">
        <f>IF(Table1[[#This Row],[Is Data Valid]]=TRUE,_xlfn.NORM.S.DIST(Table1[[#This Row],[Birthweight Z-Score (BW-10%)]],TRUE)*100,"")</f>
        <v/>
      </c>
      <c r="L5502" s="7" t="str">
        <f>IF(Table1[[#This Row],[Is Data Valid]]=TRUE,_xlfn.NORM.S.DIST(Table1[[#This Row],[Birthweight Z-Score (BW+10%)]],TRUE)*100,"")</f>
        <v/>
      </c>
    </row>
    <row r="5503" spans="1:12" x14ac:dyDescent="0.35">
      <c r="A5503" s="3"/>
      <c r="B5503" s="2"/>
      <c r="C5503" s="2"/>
      <c r="D5503" s="2" t="b">
        <f>IF(AND(NOT(ISBLANK(Table1[[#This Row],[Fetal Sex (Male, Female or Unknown)]])),ISNUMBER(Table1[[#This Row],[Birthweight (grams)]]),ISNUMBER(Table1[[#This Row],[Gestation (days)]])),TRUE,FALSE)</f>
        <v>0</v>
      </c>
      <c r="E5503" s="2" t="str">
        <f>IF(Table1[[#This Row],[Is Data Valid]]=TRUE,IF(Table1[[#This Row],[Fetal Sex (Male, Female or Unknown)]]="Male",Backend!$C$6,IF(Table1[[#This Row],[Fetal Sex (Male, Female or Unknown)]]="Female",Backend!$C$7,IF(Table1[[#This Row],[Fetal Sex (Male, Female or Unknown)]]="Unknown",Backend!$C$8,"Error"))),"")</f>
        <v/>
      </c>
      <c r="F5503" s="8" t="str">
        <f>IF(Table1[[#This Row],[Is Data Valid]]=TRUE,EXP(0.578+0.332*((Table1[[#This Row],[Gestation (days)]]+0.5)/7)-0.00354*((Table1[[#This Row],[Gestation (days)]]+0.5)/7)^2)*Table1[[#This Row],[BW40_3705]],"")</f>
        <v/>
      </c>
      <c r="G5503" s="2" t="str">
        <f>IF(Table1[[#This Row],[Is Data Valid]]=TRUE,((Table1[[#This Row],[Birthweight (grams)]]/Table1[[#This Row],[BW_GA]])-1)/(Backend!$B$4/100*Table1[[#This Row],[BW40_3705]]),"")</f>
        <v/>
      </c>
      <c r="H5503" s="7" t="str">
        <f>IF(Table1[[#This Row],[Is Data Valid]]=TRUE,((Table1[[#This Row],[Birthweight (grams)]]*0.9/Table1[[#This Row],[BW_GA]])-1)/(Backend!$B$4/100*Table1[[#This Row],[BW40_3705]]),"")</f>
        <v/>
      </c>
      <c r="I5503" s="7" t="str">
        <f>IF(Table1[[#This Row],[Is Data Valid]]=TRUE,((Table1[[#This Row],[Birthweight (grams)]]*1.1/Table1[[#This Row],[BW_GA]])-1)/(Backend!$B$4/100*Table1[[#This Row],[BW40_3705]]),"")</f>
        <v/>
      </c>
      <c r="J5503" s="7" t="str">
        <f>IF(Table1[[#This Row],[Is Data Valid]]=TRUE,_xlfn.NORM.S.DIST(Table1[[#This Row],[Birthweight Z-Score]],TRUE)*100,"")</f>
        <v/>
      </c>
      <c r="K5503" s="7" t="str">
        <f>IF(Table1[[#This Row],[Is Data Valid]]=TRUE,_xlfn.NORM.S.DIST(Table1[[#This Row],[Birthweight Z-Score (BW-10%)]],TRUE)*100,"")</f>
        <v/>
      </c>
      <c r="L5503" s="7" t="str">
        <f>IF(Table1[[#This Row],[Is Data Valid]]=TRUE,_xlfn.NORM.S.DIST(Table1[[#This Row],[Birthweight Z-Score (BW+10%)]],TRUE)*100,"")</f>
        <v/>
      </c>
    </row>
    <row r="5504" spans="1:12" x14ac:dyDescent="0.35">
      <c r="A5504" s="3"/>
      <c r="B5504" s="2"/>
      <c r="C5504" s="2"/>
      <c r="D5504" s="2" t="b">
        <f>IF(AND(NOT(ISBLANK(Table1[[#This Row],[Fetal Sex (Male, Female or Unknown)]])),ISNUMBER(Table1[[#This Row],[Birthweight (grams)]]),ISNUMBER(Table1[[#This Row],[Gestation (days)]])),TRUE,FALSE)</f>
        <v>0</v>
      </c>
      <c r="E5504" s="2" t="str">
        <f>IF(Table1[[#This Row],[Is Data Valid]]=TRUE,IF(Table1[[#This Row],[Fetal Sex (Male, Female or Unknown)]]="Male",Backend!$C$6,IF(Table1[[#This Row],[Fetal Sex (Male, Female or Unknown)]]="Female",Backend!$C$7,IF(Table1[[#This Row],[Fetal Sex (Male, Female or Unknown)]]="Unknown",Backend!$C$8,"Error"))),"")</f>
        <v/>
      </c>
      <c r="F5504" s="8" t="str">
        <f>IF(Table1[[#This Row],[Is Data Valid]]=TRUE,EXP(0.578+0.332*((Table1[[#This Row],[Gestation (days)]]+0.5)/7)-0.00354*((Table1[[#This Row],[Gestation (days)]]+0.5)/7)^2)*Table1[[#This Row],[BW40_3705]],"")</f>
        <v/>
      </c>
      <c r="G5504" s="2" t="str">
        <f>IF(Table1[[#This Row],[Is Data Valid]]=TRUE,((Table1[[#This Row],[Birthweight (grams)]]/Table1[[#This Row],[BW_GA]])-1)/(Backend!$B$4/100*Table1[[#This Row],[BW40_3705]]),"")</f>
        <v/>
      </c>
      <c r="H5504" s="7" t="str">
        <f>IF(Table1[[#This Row],[Is Data Valid]]=TRUE,((Table1[[#This Row],[Birthweight (grams)]]*0.9/Table1[[#This Row],[BW_GA]])-1)/(Backend!$B$4/100*Table1[[#This Row],[BW40_3705]]),"")</f>
        <v/>
      </c>
      <c r="I5504" s="7" t="str">
        <f>IF(Table1[[#This Row],[Is Data Valid]]=TRUE,((Table1[[#This Row],[Birthweight (grams)]]*1.1/Table1[[#This Row],[BW_GA]])-1)/(Backend!$B$4/100*Table1[[#This Row],[BW40_3705]]),"")</f>
        <v/>
      </c>
      <c r="J5504" s="7" t="str">
        <f>IF(Table1[[#This Row],[Is Data Valid]]=TRUE,_xlfn.NORM.S.DIST(Table1[[#This Row],[Birthweight Z-Score]],TRUE)*100,"")</f>
        <v/>
      </c>
      <c r="K5504" s="7" t="str">
        <f>IF(Table1[[#This Row],[Is Data Valid]]=TRUE,_xlfn.NORM.S.DIST(Table1[[#This Row],[Birthweight Z-Score (BW-10%)]],TRUE)*100,"")</f>
        <v/>
      </c>
      <c r="L5504" s="7" t="str">
        <f>IF(Table1[[#This Row],[Is Data Valid]]=TRUE,_xlfn.NORM.S.DIST(Table1[[#This Row],[Birthweight Z-Score (BW+10%)]],TRUE)*100,"")</f>
        <v/>
      </c>
    </row>
    <row r="5505" spans="1:12" x14ac:dyDescent="0.35">
      <c r="A5505" s="3"/>
      <c r="B5505" s="2"/>
      <c r="C5505" s="2"/>
      <c r="D5505" s="2" t="b">
        <f>IF(AND(NOT(ISBLANK(Table1[[#This Row],[Fetal Sex (Male, Female or Unknown)]])),ISNUMBER(Table1[[#This Row],[Birthweight (grams)]]),ISNUMBER(Table1[[#This Row],[Gestation (days)]])),TRUE,FALSE)</f>
        <v>0</v>
      </c>
      <c r="E5505" s="2" t="str">
        <f>IF(Table1[[#This Row],[Is Data Valid]]=TRUE,IF(Table1[[#This Row],[Fetal Sex (Male, Female or Unknown)]]="Male",Backend!$C$6,IF(Table1[[#This Row],[Fetal Sex (Male, Female or Unknown)]]="Female",Backend!$C$7,IF(Table1[[#This Row],[Fetal Sex (Male, Female or Unknown)]]="Unknown",Backend!$C$8,"Error"))),"")</f>
        <v/>
      </c>
      <c r="F5505" s="8" t="str">
        <f>IF(Table1[[#This Row],[Is Data Valid]]=TRUE,EXP(0.578+0.332*((Table1[[#This Row],[Gestation (days)]]+0.5)/7)-0.00354*((Table1[[#This Row],[Gestation (days)]]+0.5)/7)^2)*Table1[[#This Row],[BW40_3705]],"")</f>
        <v/>
      </c>
      <c r="G5505" s="2" t="str">
        <f>IF(Table1[[#This Row],[Is Data Valid]]=TRUE,((Table1[[#This Row],[Birthweight (grams)]]/Table1[[#This Row],[BW_GA]])-1)/(Backend!$B$4/100*Table1[[#This Row],[BW40_3705]]),"")</f>
        <v/>
      </c>
      <c r="H5505" s="7" t="str">
        <f>IF(Table1[[#This Row],[Is Data Valid]]=TRUE,((Table1[[#This Row],[Birthweight (grams)]]*0.9/Table1[[#This Row],[BW_GA]])-1)/(Backend!$B$4/100*Table1[[#This Row],[BW40_3705]]),"")</f>
        <v/>
      </c>
      <c r="I5505" s="7" t="str">
        <f>IF(Table1[[#This Row],[Is Data Valid]]=TRUE,((Table1[[#This Row],[Birthweight (grams)]]*1.1/Table1[[#This Row],[BW_GA]])-1)/(Backend!$B$4/100*Table1[[#This Row],[BW40_3705]]),"")</f>
        <v/>
      </c>
      <c r="J5505" s="7" t="str">
        <f>IF(Table1[[#This Row],[Is Data Valid]]=TRUE,_xlfn.NORM.S.DIST(Table1[[#This Row],[Birthweight Z-Score]],TRUE)*100,"")</f>
        <v/>
      </c>
      <c r="K5505" s="7" t="str">
        <f>IF(Table1[[#This Row],[Is Data Valid]]=TRUE,_xlfn.NORM.S.DIST(Table1[[#This Row],[Birthweight Z-Score (BW-10%)]],TRUE)*100,"")</f>
        <v/>
      </c>
      <c r="L5505" s="7" t="str">
        <f>IF(Table1[[#This Row],[Is Data Valid]]=TRUE,_xlfn.NORM.S.DIST(Table1[[#This Row],[Birthweight Z-Score (BW+10%)]],TRUE)*100,"")</f>
        <v/>
      </c>
    </row>
    <row r="5506" spans="1:12" x14ac:dyDescent="0.35">
      <c r="A5506" s="3"/>
      <c r="B5506" s="2"/>
      <c r="C5506" s="2"/>
      <c r="D5506" s="2" t="b">
        <f>IF(AND(NOT(ISBLANK(Table1[[#This Row],[Fetal Sex (Male, Female or Unknown)]])),ISNUMBER(Table1[[#This Row],[Birthweight (grams)]]),ISNUMBER(Table1[[#This Row],[Gestation (days)]])),TRUE,FALSE)</f>
        <v>0</v>
      </c>
      <c r="E5506" s="2" t="str">
        <f>IF(Table1[[#This Row],[Is Data Valid]]=TRUE,IF(Table1[[#This Row],[Fetal Sex (Male, Female or Unknown)]]="Male",Backend!$C$6,IF(Table1[[#This Row],[Fetal Sex (Male, Female or Unknown)]]="Female",Backend!$C$7,IF(Table1[[#This Row],[Fetal Sex (Male, Female or Unknown)]]="Unknown",Backend!$C$8,"Error"))),"")</f>
        <v/>
      </c>
      <c r="F5506" s="8" t="str">
        <f>IF(Table1[[#This Row],[Is Data Valid]]=TRUE,EXP(0.578+0.332*((Table1[[#This Row],[Gestation (days)]]+0.5)/7)-0.00354*((Table1[[#This Row],[Gestation (days)]]+0.5)/7)^2)*Table1[[#This Row],[BW40_3705]],"")</f>
        <v/>
      </c>
      <c r="G5506" s="2" t="str">
        <f>IF(Table1[[#This Row],[Is Data Valid]]=TRUE,((Table1[[#This Row],[Birthweight (grams)]]/Table1[[#This Row],[BW_GA]])-1)/(Backend!$B$4/100*Table1[[#This Row],[BW40_3705]]),"")</f>
        <v/>
      </c>
      <c r="H5506" s="7" t="str">
        <f>IF(Table1[[#This Row],[Is Data Valid]]=TRUE,((Table1[[#This Row],[Birthweight (grams)]]*0.9/Table1[[#This Row],[BW_GA]])-1)/(Backend!$B$4/100*Table1[[#This Row],[BW40_3705]]),"")</f>
        <v/>
      </c>
      <c r="I5506" s="7" t="str">
        <f>IF(Table1[[#This Row],[Is Data Valid]]=TRUE,((Table1[[#This Row],[Birthweight (grams)]]*1.1/Table1[[#This Row],[BW_GA]])-1)/(Backend!$B$4/100*Table1[[#This Row],[BW40_3705]]),"")</f>
        <v/>
      </c>
      <c r="J5506" s="7" t="str">
        <f>IF(Table1[[#This Row],[Is Data Valid]]=TRUE,_xlfn.NORM.S.DIST(Table1[[#This Row],[Birthweight Z-Score]],TRUE)*100,"")</f>
        <v/>
      </c>
      <c r="K5506" s="7" t="str">
        <f>IF(Table1[[#This Row],[Is Data Valid]]=TRUE,_xlfn.NORM.S.DIST(Table1[[#This Row],[Birthweight Z-Score (BW-10%)]],TRUE)*100,"")</f>
        <v/>
      </c>
      <c r="L5506" s="7" t="str">
        <f>IF(Table1[[#This Row],[Is Data Valid]]=TRUE,_xlfn.NORM.S.DIST(Table1[[#This Row],[Birthweight Z-Score (BW+10%)]],TRUE)*100,"")</f>
        <v/>
      </c>
    </row>
    <row r="5507" spans="1:12" x14ac:dyDescent="0.35">
      <c r="A5507" s="3"/>
      <c r="B5507" s="2"/>
      <c r="C5507" s="2"/>
      <c r="D5507" s="2" t="b">
        <f>IF(AND(NOT(ISBLANK(Table1[[#This Row],[Fetal Sex (Male, Female or Unknown)]])),ISNUMBER(Table1[[#This Row],[Birthweight (grams)]]),ISNUMBER(Table1[[#This Row],[Gestation (days)]])),TRUE,FALSE)</f>
        <v>0</v>
      </c>
      <c r="E5507" s="2" t="str">
        <f>IF(Table1[[#This Row],[Is Data Valid]]=TRUE,IF(Table1[[#This Row],[Fetal Sex (Male, Female or Unknown)]]="Male",Backend!$C$6,IF(Table1[[#This Row],[Fetal Sex (Male, Female or Unknown)]]="Female",Backend!$C$7,IF(Table1[[#This Row],[Fetal Sex (Male, Female or Unknown)]]="Unknown",Backend!$C$8,"Error"))),"")</f>
        <v/>
      </c>
      <c r="F5507" s="8" t="str">
        <f>IF(Table1[[#This Row],[Is Data Valid]]=TRUE,EXP(0.578+0.332*((Table1[[#This Row],[Gestation (days)]]+0.5)/7)-0.00354*((Table1[[#This Row],[Gestation (days)]]+0.5)/7)^2)*Table1[[#This Row],[BW40_3705]],"")</f>
        <v/>
      </c>
      <c r="G5507" s="2" t="str">
        <f>IF(Table1[[#This Row],[Is Data Valid]]=TRUE,((Table1[[#This Row],[Birthweight (grams)]]/Table1[[#This Row],[BW_GA]])-1)/(Backend!$B$4/100*Table1[[#This Row],[BW40_3705]]),"")</f>
        <v/>
      </c>
      <c r="H5507" s="7" t="str">
        <f>IF(Table1[[#This Row],[Is Data Valid]]=TRUE,((Table1[[#This Row],[Birthweight (grams)]]*0.9/Table1[[#This Row],[BW_GA]])-1)/(Backend!$B$4/100*Table1[[#This Row],[BW40_3705]]),"")</f>
        <v/>
      </c>
      <c r="I5507" s="7" t="str">
        <f>IF(Table1[[#This Row],[Is Data Valid]]=TRUE,((Table1[[#This Row],[Birthweight (grams)]]*1.1/Table1[[#This Row],[BW_GA]])-1)/(Backend!$B$4/100*Table1[[#This Row],[BW40_3705]]),"")</f>
        <v/>
      </c>
      <c r="J5507" s="7" t="str">
        <f>IF(Table1[[#This Row],[Is Data Valid]]=TRUE,_xlfn.NORM.S.DIST(Table1[[#This Row],[Birthweight Z-Score]],TRUE)*100,"")</f>
        <v/>
      </c>
      <c r="K5507" s="7" t="str">
        <f>IF(Table1[[#This Row],[Is Data Valid]]=TRUE,_xlfn.NORM.S.DIST(Table1[[#This Row],[Birthweight Z-Score (BW-10%)]],TRUE)*100,"")</f>
        <v/>
      </c>
      <c r="L5507" s="7" t="str">
        <f>IF(Table1[[#This Row],[Is Data Valid]]=TRUE,_xlfn.NORM.S.DIST(Table1[[#This Row],[Birthweight Z-Score (BW+10%)]],TRUE)*100,"")</f>
        <v/>
      </c>
    </row>
    <row r="5508" spans="1:12" x14ac:dyDescent="0.35">
      <c r="A5508" s="3"/>
      <c r="B5508" s="2"/>
      <c r="C5508" s="2"/>
      <c r="D5508" s="2" t="b">
        <f>IF(AND(NOT(ISBLANK(Table1[[#This Row],[Fetal Sex (Male, Female or Unknown)]])),ISNUMBER(Table1[[#This Row],[Birthweight (grams)]]),ISNUMBER(Table1[[#This Row],[Gestation (days)]])),TRUE,FALSE)</f>
        <v>0</v>
      </c>
      <c r="E5508" s="2" t="str">
        <f>IF(Table1[[#This Row],[Is Data Valid]]=TRUE,IF(Table1[[#This Row],[Fetal Sex (Male, Female or Unknown)]]="Male",Backend!$C$6,IF(Table1[[#This Row],[Fetal Sex (Male, Female or Unknown)]]="Female",Backend!$C$7,IF(Table1[[#This Row],[Fetal Sex (Male, Female or Unknown)]]="Unknown",Backend!$C$8,"Error"))),"")</f>
        <v/>
      </c>
      <c r="F5508" s="8" t="str">
        <f>IF(Table1[[#This Row],[Is Data Valid]]=TRUE,EXP(0.578+0.332*((Table1[[#This Row],[Gestation (days)]]+0.5)/7)-0.00354*((Table1[[#This Row],[Gestation (days)]]+0.5)/7)^2)*Table1[[#This Row],[BW40_3705]],"")</f>
        <v/>
      </c>
      <c r="G5508" s="2" t="str">
        <f>IF(Table1[[#This Row],[Is Data Valid]]=TRUE,((Table1[[#This Row],[Birthweight (grams)]]/Table1[[#This Row],[BW_GA]])-1)/(Backend!$B$4/100*Table1[[#This Row],[BW40_3705]]),"")</f>
        <v/>
      </c>
      <c r="H5508" s="7" t="str">
        <f>IF(Table1[[#This Row],[Is Data Valid]]=TRUE,((Table1[[#This Row],[Birthweight (grams)]]*0.9/Table1[[#This Row],[BW_GA]])-1)/(Backend!$B$4/100*Table1[[#This Row],[BW40_3705]]),"")</f>
        <v/>
      </c>
      <c r="I5508" s="7" t="str">
        <f>IF(Table1[[#This Row],[Is Data Valid]]=TRUE,((Table1[[#This Row],[Birthweight (grams)]]*1.1/Table1[[#This Row],[BW_GA]])-1)/(Backend!$B$4/100*Table1[[#This Row],[BW40_3705]]),"")</f>
        <v/>
      </c>
      <c r="J5508" s="7" t="str">
        <f>IF(Table1[[#This Row],[Is Data Valid]]=TRUE,_xlfn.NORM.S.DIST(Table1[[#This Row],[Birthweight Z-Score]],TRUE)*100,"")</f>
        <v/>
      </c>
      <c r="K5508" s="7" t="str">
        <f>IF(Table1[[#This Row],[Is Data Valid]]=TRUE,_xlfn.NORM.S.DIST(Table1[[#This Row],[Birthweight Z-Score (BW-10%)]],TRUE)*100,"")</f>
        <v/>
      </c>
      <c r="L5508" s="7" t="str">
        <f>IF(Table1[[#This Row],[Is Data Valid]]=TRUE,_xlfn.NORM.S.DIST(Table1[[#This Row],[Birthweight Z-Score (BW+10%)]],TRUE)*100,"")</f>
        <v/>
      </c>
    </row>
    <row r="5509" spans="1:12" x14ac:dyDescent="0.35">
      <c r="A5509" s="3"/>
      <c r="B5509" s="2"/>
      <c r="C5509" s="2"/>
      <c r="D5509" s="2" t="b">
        <f>IF(AND(NOT(ISBLANK(Table1[[#This Row],[Fetal Sex (Male, Female or Unknown)]])),ISNUMBER(Table1[[#This Row],[Birthweight (grams)]]),ISNUMBER(Table1[[#This Row],[Gestation (days)]])),TRUE,FALSE)</f>
        <v>0</v>
      </c>
      <c r="E5509" s="2" t="str">
        <f>IF(Table1[[#This Row],[Is Data Valid]]=TRUE,IF(Table1[[#This Row],[Fetal Sex (Male, Female or Unknown)]]="Male",Backend!$C$6,IF(Table1[[#This Row],[Fetal Sex (Male, Female or Unknown)]]="Female",Backend!$C$7,IF(Table1[[#This Row],[Fetal Sex (Male, Female or Unknown)]]="Unknown",Backend!$C$8,"Error"))),"")</f>
        <v/>
      </c>
      <c r="F5509" s="8" t="str">
        <f>IF(Table1[[#This Row],[Is Data Valid]]=TRUE,EXP(0.578+0.332*((Table1[[#This Row],[Gestation (days)]]+0.5)/7)-0.00354*((Table1[[#This Row],[Gestation (days)]]+0.5)/7)^2)*Table1[[#This Row],[BW40_3705]],"")</f>
        <v/>
      </c>
      <c r="G5509" s="2" t="str">
        <f>IF(Table1[[#This Row],[Is Data Valid]]=TRUE,((Table1[[#This Row],[Birthweight (grams)]]/Table1[[#This Row],[BW_GA]])-1)/(Backend!$B$4/100*Table1[[#This Row],[BW40_3705]]),"")</f>
        <v/>
      </c>
      <c r="H5509" s="7" t="str">
        <f>IF(Table1[[#This Row],[Is Data Valid]]=TRUE,((Table1[[#This Row],[Birthweight (grams)]]*0.9/Table1[[#This Row],[BW_GA]])-1)/(Backend!$B$4/100*Table1[[#This Row],[BW40_3705]]),"")</f>
        <v/>
      </c>
      <c r="I5509" s="7" t="str">
        <f>IF(Table1[[#This Row],[Is Data Valid]]=TRUE,((Table1[[#This Row],[Birthweight (grams)]]*1.1/Table1[[#This Row],[BW_GA]])-1)/(Backend!$B$4/100*Table1[[#This Row],[BW40_3705]]),"")</f>
        <v/>
      </c>
      <c r="J5509" s="7" t="str">
        <f>IF(Table1[[#This Row],[Is Data Valid]]=TRUE,_xlfn.NORM.S.DIST(Table1[[#This Row],[Birthweight Z-Score]],TRUE)*100,"")</f>
        <v/>
      </c>
      <c r="K5509" s="7" t="str">
        <f>IF(Table1[[#This Row],[Is Data Valid]]=TRUE,_xlfn.NORM.S.DIST(Table1[[#This Row],[Birthweight Z-Score (BW-10%)]],TRUE)*100,"")</f>
        <v/>
      </c>
      <c r="L5509" s="7" t="str">
        <f>IF(Table1[[#This Row],[Is Data Valid]]=TRUE,_xlfn.NORM.S.DIST(Table1[[#This Row],[Birthweight Z-Score (BW+10%)]],TRUE)*100,"")</f>
        <v/>
      </c>
    </row>
    <row r="5510" spans="1:12" x14ac:dyDescent="0.35">
      <c r="A5510" s="3"/>
      <c r="B5510" s="2"/>
      <c r="C5510" s="2"/>
      <c r="D5510" s="2" t="b">
        <f>IF(AND(NOT(ISBLANK(Table1[[#This Row],[Fetal Sex (Male, Female or Unknown)]])),ISNUMBER(Table1[[#This Row],[Birthweight (grams)]]),ISNUMBER(Table1[[#This Row],[Gestation (days)]])),TRUE,FALSE)</f>
        <v>0</v>
      </c>
      <c r="E5510" s="2" t="str">
        <f>IF(Table1[[#This Row],[Is Data Valid]]=TRUE,IF(Table1[[#This Row],[Fetal Sex (Male, Female or Unknown)]]="Male",Backend!$C$6,IF(Table1[[#This Row],[Fetal Sex (Male, Female or Unknown)]]="Female",Backend!$C$7,IF(Table1[[#This Row],[Fetal Sex (Male, Female or Unknown)]]="Unknown",Backend!$C$8,"Error"))),"")</f>
        <v/>
      </c>
      <c r="F5510" s="8" t="str">
        <f>IF(Table1[[#This Row],[Is Data Valid]]=TRUE,EXP(0.578+0.332*((Table1[[#This Row],[Gestation (days)]]+0.5)/7)-0.00354*((Table1[[#This Row],[Gestation (days)]]+0.5)/7)^2)*Table1[[#This Row],[BW40_3705]],"")</f>
        <v/>
      </c>
      <c r="G5510" s="2" t="str">
        <f>IF(Table1[[#This Row],[Is Data Valid]]=TRUE,((Table1[[#This Row],[Birthweight (grams)]]/Table1[[#This Row],[BW_GA]])-1)/(Backend!$B$4/100*Table1[[#This Row],[BW40_3705]]),"")</f>
        <v/>
      </c>
      <c r="H5510" s="7" t="str">
        <f>IF(Table1[[#This Row],[Is Data Valid]]=TRUE,((Table1[[#This Row],[Birthweight (grams)]]*0.9/Table1[[#This Row],[BW_GA]])-1)/(Backend!$B$4/100*Table1[[#This Row],[BW40_3705]]),"")</f>
        <v/>
      </c>
      <c r="I5510" s="7" t="str">
        <f>IF(Table1[[#This Row],[Is Data Valid]]=TRUE,((Table1[[#This Row],[Birthweight (grams)]]*1.1/Table1[[#This Row],[BW_GA]])-1)/(Backend!$B$4/100*Table1[[#This Row],[BW40_3705]]),"")</f>
        <v/>
      </c>
      <c r="J5510" s="7" t="str">
        <f>IF(Table1[[#This Row],[Is Data Valid]]=TRUE,_xlfn.NORM.S.DIST(Table1[[#This Row],[Birthweight Z-Score]],TRUE)*100,"")</f>
        <v/>
      </c>
      <c r="K5510" s="7" t="str">
        <f>IF(Table1[[#This Row],[Is Data Valid]]=TRUE,_xlfn.NORM.S.DIST(Table1[[#This Row],[Birthweight Z-Score (BW-10%)]],TRUE)*100,"")</f>
        <v/>
      </c>
      <c r="L5510" s="7" t="str">
        <f>IF(Table1[[#This Row],[Is Data Valid]]=TRUE,_xlfn.NORM.S.DIST(Table1[[#This Row],[Birthweight Z-Score (BW+10%)]],TRUE)*100,"")</f>
        <v/>
      </c>
    </row>
    <row r="5511" spans="1:12" x14ac:dyDescent="0.35">
      <c r="A5511" s="3"/>
      <c r="B5511" s="2"/>
      <c r="C5511" s="2"/>
      <c r="D5511" s="2" t="b">
        <f>IF(AND(NOT(ISBLANK(Table1[[#This Row],[Fetal Sex (Male, Female or Unknown)]])),ISNUMBER(Table1[[#This Row],[Birthweight (grams)]]),ISNUMBER(Table1[[#This Row],[Gestation (days)]])),TRUE,FALSE)</f>
        <v>0</v>
      </c>
      <c r="E5511" s="2" t="str">
        <f>IF(Table1[[#This Row],[Is Data Valid]]=TRUE,IF(Table1[[#This Row],[Fetal Sex (Male, Female or Unknown)]]="Male",Backend!$C$6,IF(Table1[[#This Row],[Fetal Sex (Male, Female or Unknown)]]="Female",Backend!$C$7,IF(Table1[[#This Row],[Fetal Sex (Male, Female or Unknown)]]="Unknown",Backend!$C$8,"Error"))),"")</f>
        <v/>
      </c>
      <c r="F5511" s="8" t="str">
        <f>IF(Table1[[#This Row],[Is Data Valid]]=TRUE,EXP(0.578+0.332*((Table1[[#This Row],[Gestation (days)]]+0.5)/7)-0.00354*((Table1[[#This Row],[Gestation (days)]]+0.5)/7)^2)*Table1[[#This Row],[BW40_3705]],"")</f>
        <v/>
      </c>
      <c r="G5511" s="2" t="str">
        <f>IF(Table1[[#This Row],[Is Data Valid]]=TRUE,((Table1[[#This Row],[Birthweight (grams)]]/Table1[[#This Row],[BW_GA]])-1)/(Backend!$B$4/100*Table1[[#This Row],[BW40_3705]]),"")</f>
        <v/>
      </c>
      <c r="H5511" s="7" t="str">
        <f>IF(Table1[[#This Row],[Is Data Valid]]=TRUE,((Table1[[#This Row],[Birthweight (grams)]]*0.9/Table1[[#This Row],[BW_GA]])-1)/(Backend!$B$4/100*Table1[[#This Row],[BW40_3705]]),"")</f>
        <v/>
      </c>
      <c r="I5511" s="7" t="str">
        <f>IF(Table1[[#This Row],[Is Data Valid]]=TRUE,((Table1[[#This Row],[Birthweight (grams)]]*1.1/Table1[[#This Row],[BW_GA]])-1)/(Backend!$B$4/100*Table1[[#This Row],[BW40_3705]]),"")</f>
        <v/>
      </c>
      <c r="J5511" s="7" t="str">
        <f>IF(Table1[[#This Row],[Is Data Valid]]=TRUE,_xlfn.NORM.S.DIST(Table1[[#This Row],[Birthweight Z-Score]],TRUE)*100,"")</f>
        <v/>
      </c>
      <c r="K5511" s="7" t="str">
        <f>IF(Table1[[#This Row],[Is Data Valid]]=TRUE,_xlfn.NORM.S.DIST(Table1[[#This Row],[Birthweight Z-Score (BW-10%)]],TRUE)*100,"")</f>
        <v/>
      </c>
      <c r="L5511" s="7" t="str">
        <f>IF(Table1[[#This Row],[Is Data Valid]]=TRUE,_xlfn.NORM.S.DIST(Table1[[#This Row],[Birthweight Z-Score (BW+10%)]],TRUE)*100,"")</f>
        <v/>
      </c>
    </row>
    <row r="5512" spans="1:12" x14ac:dyDescent="0.35">
      <c r="A5512" s="3"/>
      <c r="B5512" s="2"/>
      <c r="C5512" s="2"/>
      <c r="D5512" s="2" t="b">
        <f>IF(AND(NOT(ISBLANK(Table1[[#This Row],[Fetal Sex (Male, Female or Unknown)]])),ISNUMBER(Table1[[#This Row],[Birthweight (grams)]]),ISNUMBER(Table1[[#This Row],[Gestation (days)]])),TRUE,FALSE)</f>
        <v>0</v>
      </c>
      <c r="E5512" s="2" t="str">
        <f>IF(Table1[[#This Row],[Is Data Valid]]=TRUE,IF(Table1[[#This Row],[Fetal Sex (Male, Female or Unknown)]]="Male",Backend!$C$6,IF(Table1[[#This Row],[Fetal Sex (Male, Female or Unknown)]]="Female",Backend!$C$7,IF(Table1[[#This Row],[Fetal Sex (Male, Female or Unknown)]]="Unknown",Backend!$C$8,"Error"))),"")</f>
        <v/>
      </c>
      <c r="F5512" s="8" t="str">
        <f>IF(Table1[[#This Row],[Is Data Valid]]=TRUE,EXP(0.578+0.332*((Table1[[#This Row],[Gestation (days)]]+0.5)/7)-0.00354*((Table1[[#This Row],[Gestation (days)]]+0.5)/7)^2)*Table1[[#This Row],[BW40_3705]],"")</f>
        <v/>
      </c>
      <c r="G5512" s="2" t="str">
        <f>IF(Table1[[#This Row],[Is Data Valid]]=TRUE,((Table1[[#This Row],[Birthweight (grams)]]/Table1[[#This Row],[BW_GA]])-1)/(Backend!$B$4/100*Table1[[#This Row],[BW40_3705]]),"")</f>
        <v/>
      </c>
      <c r="H5512" s="7" t="str">
        <f>IF(Table1[[#This Row],[Is Data Valid]]=TRUE,((Table1[[#This Row],[Birthweight (grams)]]*0.9/Table1[[#This Row],[BW_GA]])-1)/(Backend!$B$4/100*Table1[[#This Row],[BW40_3705]]),"")</f>
        <v/>
      </c>
      <c r="I5512" s="7" t="str">
        <f>IF(Table1[[#This Row],[Is Data Valid]]=TRUE,((Table1[[#This Row],[Birthweight (grams)]]*1.1/Table1[[#This Row],[BW_GA]])-1)/(Backend!$B$4/100*Table1[[#This Row],[BW40_3705]]),"")</f>
        <v/>
      </c>
      <c r="J5512" s="7" t="str">
        <f>IF(Table1[[#This Row],[Is Data Valid]]=TRUE,_xlfn.NORM.S.DIST(Table1[[#This Row],[Birthweight Z-Score]],TRUE)*100,"")</f>
        <v/>
      </c>
      <c r="K5512" s="7" t="str">
        <f>IF(Table1[[#This Row],[Is Data Valid]]=TRUE,_xlfn.NORM.S.DIST(Table1[[#This Row],[Birthweight Z-Score (BW-10%)]],TRUE)*100,"")</f>
        <v/>
      </c>
      <c r="L5512" s="7" t="str">
        <f>IF(Table1[[#This Row],[Is Data Valid]]=TRUE,_xlfn.NORM.S.DIST(Table1[[#This Row],[Birthweight Z-Score (BW+10%)]],TRUE)*100,"")</f>
        <v/>
      </c>
    </row>
    <row r="5513" spans="1:12" x14ac:dyDescent="0.35">
      <c r="A5513" s="3"/>
      <c r="B5513" s="2"/>
      <c r="C5513" s="2"/>
      <c r="D5513" s="2" t="b">
        <f>IF(AND(NOT(ISBLANK(Table1[[#This Row],[Fetal Sex (Male, Female or Unknown)]])),ISNUMBER(Table1[[#This Row],[Birthweight (grams)]]),ISNUMBER(Table1[[#This Row],[Gestation (days)]])),TRUE,FALSE)</f>
        <v>0</v>
      </c>
      <c r="E5513" s="2" t="str">
        <f>IF(Table1[[#This Row],[Is Data Valid]]=TRUE,IF(Table1[[#This Row],[Fetal Sex (Male, Female or Unknown)]]="Male",Backend!$C$6,IF(Table1[[#This Row],[Fetal Sex (Male, Female or Unknown)]]="Female",Backend!$C$7,IF(Table1[[#This Row],[Fetal Sex (Male, Female or Unknown)]]="Unknown",Backend!$C$8,"Error"))),"")</f>
        <v/>
      </c>
      <c r="F5513" s="8" t="str">
        <f>IF(Table1[[#This Row],[Is Data Valid]]=TRUE,EXP(0.578+0.332*((Table1[[#This Row],[Gestation (days)]]+0.5)/7)-0.00354*((Table1[[#This Row],[Gestation (days)]]+0.5)/7)^2)*Table1[[#This Row],[BW40_3705]],"")</f>
        <v/>
      </c>
      <c r="G5513" s="2" t="str">
        <f>IF(Table1[[#This Row],[Is Data Valid]]=TRUE,((Table1[[#This Row],[Birthweight (grams)]]/Table1[[#This Row],[BW_GA]])-1)/(Backend!$B$4/100*Table1[[#This Row],[BW40_3705]]),"")</f>
        <v/>
      </c>
      <c r="H5513" s="7" t="str">
        <f>IF(Table1[[#This Row],[Is Data Valid]]=TRUE,((Table1[[#This Row],[Birthweight (grams)]]*0.9/Table1[[#This Row],[BW_GA]])-1)/(Backend!$B$4/100*Table1[[#This Row],[BW40_3705]]),"")</f>
        <v/>
      </c>
      <c r="I5513" s="7" t="str">
        <f>IF(Table1[[#This Row],[Is Data Valid]]=TRUE,((Table1[[#This Row],[Birthweight (grams)]]*1.1/Table1[[#This Row],[BW_GA]])-1)/(Backend!$B$4/100*Table1[[#This Row],[BW40_3705]]),"")</f>
        <v/>
      </c>
      <c r="J5513" s="7" t="str">
        <f>IF(Table1[[#This Row],[Is Data Valid]]=TRUE,_xlfn.NORM.S.DIST(Table1[[#This Row],[Birthweight Z-Score]],TRUE)*100,"")</f>
        <v/>
      </c>
      <c r="K5513" s="7" t="str">
        <f>IF(Table1[[#This Row],[Is Data Valid]]=TRUE,_xlfn.NORM.S.DIST(Table1[[#This Row],[Birthweight Z-Score (BW-10%)]],TRUE)*100,"")</f>
        <v/>
      </c>
      <c r="L5513" s="7" t="str">
        <f>IF(Table1[[#This Row],[Is Data Valid]]=TRUE,_xlfn.NORM.S.DIST(Table1[[#This Row],[Birthweight Z-Score (BW+10%)]],TRUE)*100,"")</f>
        <v/>
      </c>
    </row>
    <row r="5514" spans="1:12" x14ac:dyDescent="0.35">
      <c r="A5514" s="3"/>
      <c r="B5514" s="2"/>
      <c r="C5514" s="2"/>
      <c r="D5514" s="2" t="b">
        <f>IF(AND(NOT(ISBLANK(Table1[[#This Row],[Fetal Sex (Male, Female or Unknown)]])),ISNUMBER(Table1[[#This Row],[Birthweight (grams)]]),ISNUMBER(Table1[[#This Row],[Gestation (days)]])),TRUE,FALSE)</f>
        <v>0</v>
      </c>
      <c r="E5514" s="2" t="str">
        <f>IF(Table1[[#This Row],[Is Data Valid]]=TRUE,IF(Table1[[#This Row],[Fetal Sex (Male, Female or Unknown)]]="Male",Backend!$C$6,IF(Table1[[#This Row],[Fetal Sex (Male, Female or Unknown)]]="Female",Backend!$C$7,IF(Table1[[#This Row],[Fetal Sex (Male, Female or Unknown)]]="Unknown",Backend!$C$8,"Error"))),"")</f>
        <v/>
      </c>
      <c r="F5514" s="8" t="str">
        <f>IF(Table1[[#This Row],[Is Data Valid]]=TRUE,EXP(0.578+0.332*((Table1[[#This Row],[Gestation (days)]]+0.5)/7)-0.00354*((Table1[[#This Row],[Gestation (days)]]+0.5)/7)^2)*Table1[[#This Row],[BW40_3705]],"")</f>
        <v/>
      </c>
      <c r="G5514" s="2" t="str">
        <f>IF(Table1[[#This Row],[Is Data Valid]]=TRUE,((Table1[[#This Row],[Birthweight (grams)]]/Table1[[#This Row],[BW_GA]])-1)/(Backend!$B$4/100*Table1[[#This Row],[BW40_3705]]),"")</f>
        <v/>
      </c>
      <c r="H5514" s="7" t="str">
        <f>IF(Table1[[#This Row],[Is Data Valid]]=TRUE,((Table1[[#This Row],[Birthweight (grams)]]*0.9/Table1[[#This Row],[BW_GA]])-1)/(Backend!$B$4/100*Table1[[#This Row],[BW40_3705]]),"")</f>
        <v/>
      </c>
      <c r="I5514" s="7" t="str">
        <f>IF(Table1[[#This Row],[Is Data Valid]]=TRUE,((Table1[[#This Row],[Birthweight (grams)]]*1.1/Table1[[#This Row],[BW_GA]])-1)/(Backend!$B$4/100*Table1[[#This Row],[BW40_3705]]),"")</f>
        <v/>
      </c>
      <c r="J5514" s="7" t="str">
        <f>IF(Table1[[#This Row],[Is Data Valid]]=TRUE,_xlfn.NORM.S.DIST(Table1[[#This Row],[Birthweight Z-Score]],TRUE)*100,"")</f>
        <v/>
      </c>
      <c r="K5514" s="7" t="str">
        <f>IF(Table1[[#This Row],[Is Data Valid]]=TRUE,_xlfn.NORM.S.DIST(Table1[[#This Row],[Birthweight Z-Score (BW-10%)]],TRUE)*100,"")</f>
        <v/>
      </c>
      <c r="L5514" s="7" t="str">
        <f>IF(Table1[[#This Row],[Is Data Valid]]=TRUE,_xlfn.NORM.S.DIST(Table1[[#This Row],[Birthweight Z-Score (BW+10%)]],TRUE)*100,"")</f>
        <v/>
      </c>
    </row>
    <row r="5515" spans="1:12" x14ac:dyDescent="0.35">
      <c r="A5515" s="3"/>
      <c r="B5515" s="2"/>
      <c r="C5515" s="2"/>
      <c r="D5515" s="2" t="b">
        <f>IF(AND(NOT(ISBLANK(Table1[[#This Row],[Fetal Sex (Male, Female or Unknown)]])),ISNUMBER(Table1[[#This Row],[Birthweight (grams)]]),ISNUMBER(Table1[[#This Row],[Gestation (days)]])),TRUE,FALSE)</f>
        <v>0</v>
      </c>
      <c r="E5515" s="2" t="str">
        <f>IF(Table1[[#This Row],[Is Data Valid]]=TRUE,IF(Table1[[#This Row],[Fetal Sex (Male, Female or Unknown)]]="Male",Backend!$C$6,IF(Table1[[#This Row],[Fetal Sex (Male, Female or Unknown)]]="Female",Backend!$C$7,IF(Table1[[#This Row],[Fetal Sex (Male, Female or Unknown)]]="Unknown",Backend!$C$8,"Error"))),"")</f>
        <v/>
      </c>
      <c r="F5515" s="8" t="str">
        <f>IF(Table1[[#This Row],[Is Data Valid]]=TRUE,EXP(0.578+0.332*((Table1[[#This Row],[Gestation (days)]]+0.5)/7)-0.00354*((Table1[[#This Row],[Gestation (days)]]+0.5)/7)^2)*Table1[[#This Row],[BW40_3705]],"")</f>
        <v/>
      </c>
      <c r="G5515" s="2" t="str">
        <f>IF(Table1[[#This Row],[Is Data Valid]]=TRUE,((Table1[[#This Row],[Birthweight (grams)]]/Table1[[#This Row],[BW_GA]])-1)/(Backend!$B$4/100*Table1[[#This Row],[BW40_3705]]),"")</f>
        <v/>
      </c>
      <c r="H5515" s="7" t="str">
        <f>IF(Table1[[#This Row],[Is Data Valid]]=TRUE,((Table1[[#This Row],[Birthweight (grams)]]*0.9/Table1[[#This Row],[BW_GA]])-1)/(Backend!$B$4/100*Table1[[#This Row],[BW40_3705]]),"")</f>
        <v/>
      </c>
      <c r="I5515" s="7" t="str">
        <f>IF(Table1[[#This Row],[Is Data Valid]]=TRUE,((Table1[[#This Row],[Birthweight (grams)]]*1.1/Table1[[#This Row],[BW_GA]])-1)/(Backend!$B$4/100*Table1[[#This Row],[BW40_3705]]),"")</f>
        <v/>
      </c>
      <c r="J5515" s="7" t="str">
        <f>IF(Table1[[#This Row],[Is Data Valid]]=TRUE,_xlfn.NORM.S.DIST(Table1[[#This Row],[Birthweight Z-Score]],TRUE)*100,"")</f>
        <v/>
      </c>
      <c r="K5515" s="7" t="str">
        <f>IF(Table1[[#This Row],[Is Data Valid]]=TRUE,_xlfn.NORM.S.DIST(Table1[[#This Row],[Birthweight Z-Score (BW-10%)]],TRUE)*100,"")</f>
        <v/>
      </c>
      <c r="L5515" s="7" t="str">
        <f>IF(Table1[[#This Row],[Is Data Valid]]=TRUE,_xlfn.NORM.S.DIST(Table1[[#This Row],[Birthweight Z-Score (BW+10%)]],TRUE)*100,"")</f>
        <v/>
      </c>
    </row>
    <row r="5516" spans="1:12" x14ac:dyDescent="0.35">
      <c r="A5516" s="3"/>
      <c r="B5516" s="2"/>
      <c r="C5516" s="2"/>
      <c r="D5516" s="2" t="b">
        <f>IF(AND(NOT(ISBLANK(Table1[[#This Row],[Fetal Sex (Male, Female or Unknown)]])),ISNUMBER(Table1[[#This Row],[Birthweight (grams)]]),ISNUMBER(Table1[[#This Row],[Gestation (days)]])),TRUE,FALSE)</f>
        <v>0</v>
      </c>
      <c r="E5516" s="2" t="str">
        <f>IF(Table1[[#This Row],[Is Data Valid]]=TRUE,IF(Table1[[#This Row],[Fetal Sex (Male, Female or Unknown)]]="Male",Backend!$C$6,IF(Table1[[#This Row],[Fetal Sex (Male, Female or Unknown)]]="Female",Backend!$C$7,IF(Table1[[#This Row],[Fetal Sex (Male, Female or Unknown)]]="Unknown",Backend!$C$8,"Error"))),"")</f>
        <v/>
      </c>
      <c r="F5516" s="8" t="str">
        <f>IF(Table1[[#This Row],[Is Data Valid]]=TRUE,EXP(0.578+0.332*((Table1[[#This Row],[Gestation (days)]]+0.5)/7)-0.00354*((Table1[[#This Row],[Gestation (days)]]+0.5)/7)^2)*Table1[[#This Row],[BW40_3705]],"")</f>
        <v/>
      </c>
      <c r="G5516" s="2" t="str">
        <f>IF(Table1[[#This Row],[Is Data Valid]]=TRUE,((Table1[[#This Row],[Birthweight (grams)]]/Table1[[#This Row],[BW_GA]])-1)/(Backend!$B$4/100*Table1[[#This Row],[BW40_3705]]),"")</f>
        <v/>
      </c>
      <c r="H5516" s="7" t="str">
        <f>IF(Table1[[#This Row],[Is Data Valid]]=TRUE,((Table1[[#This Row],[Birthweight (grams)]]*0.9/Table1[[#This Row],[BW_GA]])-1)/(Backend!$B$4/100*Table1[[#This Row],[BW40_3705]]),"")</f>
        <v/>
      </c>
      <c r="I5516" s="7" t="str">
        <f>IF(Table1[[#This Row],[Is Data Valid]]=TRUE,((Table1[[#This Row],[Birthweight (grams)]]*1.1/Table1[[#This Row],[BW_GA]])-1)/(Backend!$B$4/100*Table1[[#This Row],[BW40_3705]]),"")</f>
        <v/>
      </c>
      <c r="J5516" s="7" t="str">
        <f>IF(Table1[[#This Row],[Is Data Valid]]=TRUE,_xlfn.NORM.S.DIST(Table1[[#This Row],[Birthweight Z-Score]],TRUE)*100,"")</f>
        <v/>
      </c>
      <c r="K5516" s="7" t="str">
        <f>IF(Table1[[#This Row],[Is Data Valid]]=TRUE,_xlfn.NORM.S.DIST(Table1[[#This Row],[Birthweight Z-Score (BW-10%)]],TRUE)*100,"")</f>
        <v/>
      </c>
      <c r="L5516" s="7" t="str">
        <f>IF(Table1[[#This Row],[Is Data Valid]]=TRUE,_xlfn.NORM.S.DIST(Table1[[#This Row],[Birthweight Z-Score (BW+10%)]],TRUE)*100,"")</f>
        <v/>
      </c>
    </row>
    <row r="5517" spans="1:12" x14ac:dyDescent="0.35">
      <c r="A5517" s="3"/>
      <c r="B5517" s="2"/>
      <c r="C5517" s="2"/>
      <c r="D5517" s="2" t="b">
        <f>IF(AND(NOT(ISBLANK(Table1[[#This Row],[Fetal Sex (Male, Female or Unknown)]])),ISNUMBER(Table1[[#This Row],[Birthweight (grams)]]),ISNUMBER(Table1[[#This Row],[Gestation (days)]])),TRUE,FALSE)</f>
        <v>0</v>
      </c>
      <c r="E5517" s="2" t="str">
        <f>IF(Table1[[#This Row],[Is Data Valid]]=TRUE,IF(Table1[[#This Row],[Fetal Sex (Male, Female or Unknown)]]="Male",Backend!$C$6,IF(Table1[[#This Row],[Fetal Sex (Male, Female or Unknown)]]="Female",Backend!$C$7,IF(Table1[[#This Row],[Fetal Sex (Male, Female or Unknown)]]="Unknown",Backend!$C$8,"Error"))),"")</f>
        <v/>
      </c>
      <c r="F5517" s="8" t="str">
        <f>IF(Table1[[#This Row],[Is Data Valid]]=TRUE,EXP(0.578+0.332*((Table1[[#This Row],[Gestation (days)]]+0.5)/7)-0.00354*((Table1[[#This Row],[Gestation (days)]]+0.5)/7)^2)*Table1[[#This Row],[BW40_3705]],"")</f>
        <v/>
      </c>
      <c r="G5517" s="2" t="str">
        <f>IF(Table1[[#This Row],[Is Data Valid]]=TRUE,((Table1[[#This Row],[Birthweight (grams)]]/Table1[[#This Row],[BW_GA]])-1)/(Backend!$B$4/100*Table1[[#This Row],[BW40_3705]]),"")</f>
        <v/>
      </c>
      <c r="H5517" s="7" t="str">
        <f>IF(Table1[[#This Row],[Is Data Valid]]=TRUE,((Table1[[#This Row],[Birthweight (grams)]]*0.9/Table1[[#This Row],[BW_GA]])-1)/(Backend!$B$4/100*Table1[[#This Row],[BW40_3705]]),"")</f>
        <v/>
      </c>
      <c r="I5517" s="7" t="str">
        <f>IF(Table1[[#This Row],[Is Data Valid]]=TRUE,((Table1[[#This Row],[Birthweight (grams)]]*1.1/Table1[[#This Row],[BW_GA]])-1)/(Backend!$B$4/100*Table1[[#This Row],[BW40_3705]]),"")</f>
        <v/>
      </c>
      <c r="J5517" s="7" t="str">
        <f>IF(Table1[[#This Row],[Is Data Valid]]=TRUE,_xlfn.NORM.S.DIST(Table1[[#This Row],[Birthweight Z-Score]],TRUE)*100,"")</f>
        <v/>
      </c>
      <c r="K5517" s="7" t="str">
        <f>IF(Table1[[#This Row],[Is Data Valid]]=TRUE,_xlfn.NORM.S.DIST(Table1[[#This Row],[Birthweight Z-Score (BW-10%)]],TRUE)*100,"")</f>
        <v/>
      </c>
      <c r="L5517" s="7" t="str">
        <f>IF(Table1[[#This Row],[Is Data Valid]]=TRUE,_xlfn.NORM.S.DIST(Table1[[#This Row],[Birthweight Z-Score (BW+10%)]],TRUE)*100,"")</f>
        <v/>
      </c>
    </row>
    <row r="5518" spans="1:12" x14ac:dyDescent="0.35">
      <c r="A5518" s="3"/>
      <c r="B5518" s="2"/>
      <c r="C5518" s="2"/>
      <c r="D5518" s="2" t="b">
        <f>IF(AND(NOT(ISBLANK(Table1[[#This Row],[Fetal Sex (Male, Female or Unknown)]])),ISNUMBER(Table1[[#This Row],[Birthweight (grams)]]),ISNUMBER(Table1[[#This Row],[Gestation (days)]])),TRUE,FALSE)</f>
        <v>0</v>
      </c>
      <c r="E5518" s="2" t="str">
        <f>IF(Table1[[#This Row],[Is Data Valid]]=TRUE,IF(Table1[[#This Row],[Fetal Sex (Male, Female or Unknown)]]="Male",Backend!$C$6,IF(Table1[[#This Row],[Fetal Sex (Male, Female or Unknown)]]="Female",Backend!$C$7,IF(Table1[[#This Row],[Fetal Sex (Male, Female or Unknown)]]="Unknown",Backend!$C$8,"Error"))),"")</f>
        <v/>
      </c>
      <c r="F5518" s="8" t="str">
        <f>IF(Table1[[#This Row],[Is Data Valid]]=TRUE,EXP(0.578+0.332*((Table1[[#This Row],[Gestation (days)]]+0.5)/7)-0.00354*((Table1[[#This Row],[Gestation (days)]]+0.5)/7)^2)*Table1[[#This Row],[BW40_3705]],"")</f>
        <v/>
      </c>
      <c r="G5518" s="2" t="str">
        <f>IF(Table1[[#This Row],[Is Data Valid]]=TRUE,((Table1[[#This Row],[Birthweight (grams)]]/Table1[[#This Row],[BW_GA]])-1)/(Backend!$B$4/100*Table1[[#This Row],[BW40_3705]]),"")</f>
        <v/>
      </c>
      <c r="H5518" s="7" t="str">
        <f>IF(Table1[[#This Row],[Is Data Valid]]=TRUE,((Table1[[#This Row],[Birthweight (grams)]]*0.9/Table1[[#This Row],[BW_GA]])-1)/(Backend!$B$4/100*Table1[[#This Row],[BW40_3705]]),"")</f>
        <v/>
      </c>
      <c r="I5518" s="7" t="str">
        <f>IF(Table1[[#This Row],[Is Data Valid]]=TRUE,((Table1[[#This Row],[Birthweight (grams)]]*1.1/Table1[[#This Row],[BW_GA]])-1)/(Backend!$B$4/100*Table1[[#This Row],[BW40_3705]]),"")</f>
        <v/>
      </c>
      <c r="J5518" s="7" t="str">
        <f>IF(Table1[[#This Row],[Is Data Valid]]=TRUE,_xlfn.NORM.S.DIST(Table1[[#This Row],[Birthweight Z-Score]],TRUE)*100,"")</f>
        <v/>
      </c>
      <c r="K5518" s="7" t="str">
        <f>IF(Table1[[#This Row],[Is Data Valid]]=TRUE,_xlfn.NORM.S.DIST(Table1[[#This Row],[Birthweight Z-Score (BW-10%)]],TRUE)*100,"")</f>
        <v/>
      </c>
      <c r="L5518" s="7" t="str">
        <f>IF(Table1[[#This Row],[Is Data Valid]]=TRUE,_xlfn.NORM.S.DIST(Table1[[#This Row],[Birthweight Z-Score (BW+10%)]],TRUE)*100,"")</f>
        <v/>
      </c>
    </row>
    <row r="5519" spans="1:12" x14ac:dyDescent="0.35">
      <c r="A5519" s="3"/>
      <c r="B5519" s="2"/>
      <c r="C5519" s="2"/>
      <c r="D5519" s="2" t="b">
        <f>IF(AND(NOT(ISBLANK(Table1[[#This Row],[Fetal Sex (Male, Female or Unknown)]])),ISNUMBER(Table1[[#This Row],[Birthweight (grams)]]),ISNUMBER(Table1[[#This Row],[Gestation (days)]])),TRUE,FALSE)</f>
        <v>0</v>
      </c>
      <c r="E5519" s="2" t="str">
        <f>IF(Table1[[#This Row],[Is Data Valid]]=TRUE,IF(Table1[[#This Row],[Fetal Sex (Male, Female or Unknown)]]="Male",Backend!$C$6,IF(Table1[[#This Row],[Fetal Sex (Male, Female or Unknown)]]="Female",Backend!$C$7,IF(Table1[[#This Row],[Fetal Sex (Male, Female or Unknown)]]="Unknown",Backend!$C$8,"Error"))),"")</f>
        <v/>
      </c>
      <c r="F5519" s="8" t="str">
        <f>IF(Table1[[#This Row],[Is Data Valid]]=TRUE,EXP(0.578+0.332*((Table1[[#This Row],[Gestation (days)]]+0.5)/7)-0.00354*((Table1[[#This Row],[Gestation (days)]]+0.5)/7)^2)*Table1[[#This Row],[BW40_3705]],"")</f>
        <v/>
      </c>
      <c r="G5519" s="2" t="str">
        <f>IF(Table1[[#This Row],[Is Data Valid]]=TRUE,((Table1[[#This Row],[Birthweight (grams)]]/Table1[[#This Row],[BW_GA]])-1)/(Backend!$B$4/100*Table1[[#This Row],[BW40_3705]]),"")</f>
        <v/>
      </c>
      <c r="H5519" s="7" t="str">
        <f>IF(Table1[[#This Row],[Is Data Valid]]=TRUE,((Table1[[#This Row],[Birthweight (grams)]]*0.9/Table1[[#This Row],[BW_GA]])-1)/(Backend!$B$4/100*Table1[[#This Row],[BW40_3705]]),"")</f>
        <v/>
      </c>
      <c r="I5519" s="7" t="str">
        <f>IF(Table1[[#This Row],[Is Data Valid]]=TRUE,((Table1[[#This Row],[Birthweight (grams)]]*1.1/Table1[[#This Row],[BW_GA]])-1)/(Backend!$B$4/100*Table1[[#This Row],[BW40_3705]]),"")</f>
        <v/>
      </c>
      <c r="J5519" s="7" t="str">
        <f>IF(Table1[[#This Row],[Is Data Valid]]=TRUE,_xlfn.NORM.S.DIST(Table1[[#This Row],[Birthweight Z-Score]],TRUE)*100,"")</f>
        <v/>
      </c>
      <c r="K5519" s="7" t="str">
        <f>IF(Table1[[#This Row],[Is Data Valid]]=TRUE,_xlfn.NORM.S.DIST(Table1[[#This Row],[Birthweight Z-Score (BW-10%)]],TRUE)*100,"")</f>
        <v/>
      </c>
      <c r="L5519" s="7" t="str">
        <f>IF(Table1[[#This Row],[Is Data Valid]]=TRUE,_xlfn.NORM.S.DIST(Table1[[#This Row],[Birthweight Z-Score (BW+10%)]],TRUE)*100,"")</f>
        <v/>
      </c>
    </row>
    <row r="5520" spans="1:12" x14ac:dyDescent="0.35">
      <c r="A5520" s="3"/>
      <c r="B5520" s="2"/>
      <c r="C5520" s="2"/>
      <c r="D5520" s="2" t="b">
        <f>IF(AND(NOT(ISBLANK(Table1[[#This Row],[Fetal Sex (Male, Female or Unknown)]])),ISNUMBER(Table1[[#This Row],[Birthweight (grams)]]),ISNUMBER(Table1[[#This Row],[Gestation (days)]])),TRUE,FALSE)</f>
        <v>0</v>
      </c>
      <c r="E5520" s="2" t="str">
        <f>IF(Table1[[#This Row],[Is Data Valid]]=TRUE,IF(Table1[[#This Row],[Fetal Sex (Male, Female or Unknown)]]="Male",Backend!$C$6,IF(Table1[[#This Row],[Fetal Sex (Male, Female or Unknown)]]="Female",Backend!$C$7,IF(Table1[[#This Row],[Fetal Sex (Male, Female or Unknown)]]="Unknown",Backend!$C$8,"Error"))),"")</f>
        <v/>
      </c>
      <c r="F5520" s="8" t="str">
        <f>IF(Table1[[#This Row],[Is Data Valid]]=TRUE,EXP(0.578+0.332*((Table1[[#This Row],[Gestation (days)]]+0.5)/7)-0.00354*((Table1[[#This Row],[Gestation (days)]]+0.5)/7)^2)*Table1[[#This Row],[BW40_3705]],"")</f>
        <v/>
      </c>
      <c r="G5520" s="2" t="str">
        <f>IF(Table1[[#This Row],[Is Data Valid]]=TRUE,((Table1[[#This Row],[Birthweight (grams)]]/Table1[[#This Row],[BW_GA]])-1)/(Backend!$B$4/100*Table1[[#This Row],[BW40_3705]]),"")</f>
        <v/>
      </c>
      <c r="H5520" s="7" t="str">
        <f>IF(Table1[[#This Row],[Is Data Valid]]=TRUE,((Table1[[#This Row],[Birthweight (grams)]]*0.9/Table1[[#This Row],[BW_GA]])-1)/(Backend!$B$4/100*Table1[[#This Row],[BW40_3705]]),"")</f>
        <v/>
      </c>
      <c r="I5520" s="7" t="str">
        <f>IF(Table1[[#This Row],[Is Data Valid]]=TRUE,((Table1[[#This Row],[Birthweight (grams)]]*1.1/Table1[[#This Row],[BW_GA]])-1)/(Backend!$B$4/100*Table1[[#This Row],[BW40_3705]]),"")</f>
        <v/>
      </c>
      <c r="J5520" s="7" t="str">
        <f>IF(Table1[[#This Row],[Is Data Valid]]=TRUE,_xlfn.NORM.S.DIST(Table1[[#This Row],[Birthweight Z-Score]],TRUE)*100,"")</f>
        <v/>
      </c>
      <c r="K5520" s="7" t="str">
        <f>IF(Table1[[#This Row],[Is Data Valid]]=TRUE,_xlfn.NORM.S.DIST(Table1[[#This Row],[Birthweight Z-Score (BW-10%)]],TRUE)*100,"")</f>
        <v/>
      </c>
      <c r="L5520" s="7" t="str">
        <f>IF(Table1[[#This Row],[Is Data Valid]]=TRUE,_xlfn.NORM.S.DIST(Table1[[#This Row],[Birthweight Z-Score (BW+10%)]],TRUE)*100,"")</f>
        <v/>
      </c>
    </row>
    <row r="5521" spans="1:12" x14ac:dyDescent="0.35">
      <c r="A5521" s="3"/>
      <c r="B5521" s="2"/>
      <c r="C5521" s="2"/>
      <c r="D5521" s="2" t="b">
        <f>IF(AND(NOT(ISBLANK(Table1[[#This Row],[Fetal Sex (Male, Female or Unknown)]])),ISNUMBER(Table1[[#This Row],[Birthweight (grams)]]),ISNUMBER(Table1[[#This Row],[Gestation (days)]])),TRUE,FALSE)</f>
        <v>0</v>
      </c>
      <c r="E5521" s="2" t="str">
        <f>IF(Table1[[#This Row],[Is Data Valid]]=TRUE,IF(Table1[[#This Row],[Fetal Sex (Male, Female or Unknown)]]="Male",Backend!$C$6,IF(Table1[[#This Row],[Fetal Sex (Male, Female or Unknown)]]="Female",Backend!$C$7,IF(Table1[[#This Row],[Fetal Sex (Male, Female or Unknown)]]="Unknown",Backend!$C$8,"Error"))),"")</f>
        <v/>
      </c>
      <c r="F5521" s="8" t="str">
        <f>IF(Table1[[#This Row],[Is Data Valid]]=TRUE,EXP(0.578+0.332*((Table1[[#This Row],[Gestation (days)]]+0.5)/7)-0.00354*((Table1[[#This Row],[Gestation (days)]]+0.5)/7)^2)*Table1[[#This Row],[BW40_3705]],"")</f>
        <v/>
      </c>
      <c r="G5521" s="2" t="str">
        <f>IF(Table1[[#This Row],[Is Data Valid]]=TRUE,((Table1[[#This Row],[Birthweight (grams)]]/Table1[[#This Row],[BW_GA]])-1)/(Backend!$B$4/100*Table1[[#This Row],[BW40_3705]]),"")</f>
        <v/>
      </c>
      <c r="H5521" s="7" t="str">
        <f>IF(Table1[[#This Row],[Is Data Valid]]=TRUE,((Table1[[#This Row],[Birthweight (grams)]]*0.9/Table1[[#This Row],[BW_GA]])-1)/(Backend!$B$4/100*Table1[[#This Row],[BW40_3705]]),"")</f>
        <v/>
      </c>
      <c r="I5521" s="7" t="str">
        <f>IF(Table1[[#This Row],[Is Data Valid]]=TRUE,((Table1[[#This Row],[Birthweight (grams)]]*1.1/Table1[[#This Row],[BW_GA]])-1)/(Backend!$B$4/100*Table1[[#This Row],[BW40_3705]]),"")</f>
        <v/>
      </c>
      <c r="J5521" s="7" t="str">
        <f>IF(Table1[[#This Row],[Is Data Valid]]=TRUE,_xlfn.NORM.S.DIST(Table1[[#This Row],[Birthweight Z-Score]],TRUE)*100,"")</f>
        <v/>
      </c>
      <c r="K5521" s="7" t="str">
        <f>IF(Table1[[#This Row],[Is Data Valid]]=TRUE,_xlfn.NORM.S.DIST(Table1[[#This Row],[Birthweight Z-Score (BW-10%)]],TRUE)*100,"")</f>
        <v/>
      </c>
      <c r="L5521" s="7" t="str">
        <f>IF(Table1[[#This Row],[Is Data Valid]]=TRUE,_xlfn.NORM.S.DIST(Table1[[#This Row],[Birthweight Z-Score (BW+10%)]],TRUE)*100,"")</f>
        <v/>
      </c>
    </row>
    <row r="5522" spans="1:12" x14ac:dyDescent="0.35">
      <c r="A5522" s="3"/>
      <c r="B5522" s="2"/>
      <c r="C5522" s="2"/>
      <c r="D5522" s="2" t="b">
        <f>IF(AND(NOT(ISBLANK(Table1[[#This Row],[Fetal Sex (Male, Female or Unknown)]])),ISNUMBER(Table1[[#This Row],[Birthweight (grams)]]),ISNUMBER(Table1[[#This Row],[Gestation (days)]])),TRUE,FALSE)</f>
        <v>0</v>
      </c>
      <c r="E5522" s="2" t="str">
        <f>IF(Table1[[#This Row],[Is Data Valid]]=TRUE,IF(Table1[[#This Row],[Fetal Sex (Male, Female or Unknown)]]="Male",Backend!$C$6,IF(Table1[[#This Row],[Fetal Sex (Male, Female or Unknown)]]="Female",Backend!$C$7,IF(Table1[[#This Row],[Fetal Sex (Male, Female or Unknown)]]="Unknown",Backend!$C$8,"Error"))),"")</f>
        <v/>
      </c>
      <c r="F5522" s="8" t="str">
        <f>IF(Table1[[#This Row],[Is Data Valid]]=TRUE,EXP(0.578+0.332*((Table1[[#This Row],[Gestation (days)]]+0.5)/7)-0.00354*((Table1[[#This Row],[Gestation (days)]]+0.5)/7)^2)*Table1[[#This Row],[BW40_3705]],"")</f>
        <v/>
      </c>
      <c r="G5522" s="2" t="str">
        <f>IF(Table1[[#This Row],[Is Data Valid]]=TRUE,((Table1[[#This Row],[Birthweight (grams)]]/Table1[[#This Row],[BW_GA]])-1)/(Backend!$B$4/100*Table1[[#This Row],[BW40_3705]]),"")</f>
        <v/>
      </c>
      <c r="H5522" s="7" t="str">
        <f>IF(Table1[[#This Row],[Is Data Valid]]=TRUE,((Table1[[#This Row],[Birthweight (grams)]]*0.9/Table1[[#This Row],[BW_GA]])-1)/(Backend!$B$4/100*Table1[[#This Row],[BW40_3705]]),"")</f>
        <v/>
      </c>
      <c r="I5522" s="7" t="str">
        <f>IF(Table1[[#This Row],[Is Data Valid]]=TRUE,((Table1[[#This Row],[Birthweight (grams)]]*1.1/Table1[[#This Row],[BW_GA]])-1)/(Backend!$B$4/100*Table1[[#This Row],[BW40_3705]]),"")</f>
        <v/>
      </c>
      <c r="J5522" s="7" t="str">
        <f>IF(Table1[[#This Row],[Is Data Valid]]=TRUE,_xlfn.NORM.S.DIST(Table1[[#This Row],[Birthweight Z-Score]],TRUE)*100,"")</f>
        <v/>
      </c>
      <c r="K5522" s="7" t="str">
        <f>IF(Table1[[#This Row],[Is Data Valid]]=TRUE,_xlfn.NORM.S.DIST(Table1[[#This Row],[Birthweight Z-Score (BW-10%)]],TRUE)*100,"")</f>
        <v/>
      </c>
      <c r="L5522" s="7" t="str">
        <f>IF(Table1[[#This Row],[Is Data Valid]]=TRUE,_xlfn.NORM.S.DIST(Table1[[#This Row],[Birthweight Z-Score (BW+10%)]],TRUE)*100,"")</f>
        <v/>
      </c>
    </row>
    <row r="5523" spans="1:12" x14ac:dyDescent="0.35">
      <c r="A5523" s="3"/>
      <c r="B5523" s="2"/>
      <c r="C5523" s="2"/>
      <c r="D5523" s="2" t="b">
        <f>IF(AND(NOT(ISBLANK(Table1[[#This Row],[Fetal Sex (Male, Female or Unknown)]])),ISNUMBER(Table1[[#This Row],[Birthweight (grams)]]),ISNUMBER(Table1[[#This Row],[Gestation (days)]])),TRUE,FALSE)</f>
        <v>0</v>
      </c>
      <c r="E5523" s="2" t="str">
        <f>IF(Table1[[#This Row],[Is Data Valid]]=TRUE,IF(Table1[[#This Row],[Fetal Sex (Male, Female or Unknown)]]="Male",Backend!$C$6,IF(Table1[[#This Row],[Fetal Sex (Male, Female or Unknown)]]="Female",Backend!$C$7,IF(Table1[[#This Row],[Fetal Sex (Male, Female or Unknown)]]="Unknown",Backend!$C$8,"Error"))),"")</f>
        <v/>
      </c>
      <c r="F5523" s="8" t="str">
        <f>IF(Table1[[#This Row],[Is Data Valid]]=TRUE,EXP(0.578+0.332*((Table1[[#This Row],[Gestation (days)]]+0.5)/7)-0.00354*((Table1[[#This Row],[Gestation (days)]]+0.5)/7)^2)*Table1[[#This Row],[BW40_3705]],"")</f>
        <v/>
      </c>
      <c r="G5523" s="2" t="str">
        <f>IF(Table1[[#This Row],[Is Data Valid]]=TRUE,((Table1[[#This Row],[Birthweight (grams)]]/Table1[[#This Row],[BW_GA]])-1)/(Backend!$B$4/100*Table1[[#This Row],[BW40_3705]]),"")</f>
        <v/>
      </c>
      <c r="H5523" s="7" t="str">
        <f>IF(Table1[[#This Row],[Is Data Valid]]=TRUE,((Table1[[#This Row],[Birthweight (grams)]]*0.9/Table1[[#This Row],[BW_GA]])-1)/(Backend!$B$4/100*Table1[[#This Row],[BW40_3705]]),"")</f>
        <v/>
      </c>
      <c r="I5523" s="7" t="str">
        <f>IF(Table1[[#This Row],[Is Data Valid]]=TRUE,((Table1[[#This Row],[Birthweight (grams)]]*1.1/Table1[[#This Row],[BW_GA]])-1)/(Backend!$B$4/100*Table1[[#This Row],[BW40_3705]]),"")</f>
        <v/>
      </c>
      <c r="J5523" s="7" t="str">
        <f>IF(Table1[[#This Row],[Is Data Valid]]=TRUE,_xlfn.NORM.S.DIST(Table1[[#This Row],[Birthweight Z-Score]],TRUE)*100,"")</f>
        <v/>
      </c>
      <c r="K5523" s="7" t="str">
        <f>IF(Table1[[#This Row],[Is Data Valid]]=TRUE,_xlfn.NORM.S.DIST(Table1[[#This Row],[Birthweight Z-Score (BW-10%)]],TRUE)*100,"")</f>
        <v/>
      </c>
      <c r="L5523" s="7" t="str">
        <f>IF(Table1[[#This Row],[Is Data Valid]]=TRUE,_xlfn.NORM.S.DIST(Table1[[#This Row],[Birthweight Z-Score (BW+10%)]],TRUE)*100,"")</f>
        <v/>
      </c>
    </row>
    <row r="5524" spans="1:12" x14ac:dyDescent="0.35">
      <c r="A5524" s="3"/>
      <c r="B5524" s="2"/>
      <c r="C5524" s="2"/>
      <c r="D5524" s="2" t="b">
        <f>IF(AND(NOT(ISBLANK(Table1[[#This Row],[Fetal Sex (Male, Female or Unknown)]])),ISNUMBER(Table1[[#This Row],[Birthweight (grams)]]),ISNUMBER(Table1[[#This Row],[Gestation (days)]])),TRUE,FALSE)</f>
        <v>0</v>
      </c>
      <c r="E5524" s="2" t="str">
        <f>IF(Table1[[#This Row],[Is Data Valid]]=TRUE,IF(Table1[[#This Row],[Fetal Sex (Male, Female or Unknown)]]="Male",Backend!$C$6,IF(Table1[[#This Row],[Fetal Sex (Male, Female or Unknown)]]="Female",Backend!$C$7,IF(Table1[[#This Row],[Fetal Sex (Male, Female or Unknown)]]="Unknown",Backend!$C$8,"Error"))),"")</f>
        <v/>
      </c>
      <c r="F5524" s="8" t="str">
        <f>IF(Table1[[#This Row],[Is Data Valid]]=TRUE,EXP(0.578+0.332*((Table1[[#This Row],[Gestation (days)]]+0.5)/7)-0.00354*((Table1[[#This Row],[Gestation (days)]]+0.5)/7)^2)*Table1[[#This Row],[BW40_3705]],"")</f>
        <v/>
      </c>
      <c r="G5524" s="2" t="str">
        <f>IF(Table1[[#This Row],[Is Data Valid]]=TRUE,((Table1[[#This Row],[Birthweight (grams)]]/Table1[[#This Row],[BW_GA]])-1)/(Backend!$B$4/100*Table1[[#This Row],[BW40_3705]]),"")</f>
        <v/>
      </c>
      <c r="H5524" s="7" t="str">
        <f>IF(Table1[[#This Row],[Is Data Valid]]=TRUE,((Table1[[#This Row],[Birthweight (grams)]]*0.9/Table1[[#This Row],[BW_GA]])-1)/(Backend!$B$4/100*Table1[[#This Row],[BW40_3705]]),"")</f>
        <v/>
      </c>
      <c r="I5524" s="7" t="str">
        <f>IF(Table1[[#This Row],[Is Data Valid]]=TRUE,((Table1[[#This Row],[Birthweight (grams)]]*1.1/Table1[[#This Row],[BW_GA]])-1)/(Backend!$B$4/100*Table1[[#This Row],[BW40_3705]]),"")</f>
        <v/>
      </c>
      <c r="J5524" s="7" t="str">
        <f>IF(Table1[[#This Row],[Is Data Valid]]=TRUE,_xlfn.NORM.S.DIST(Table1[[#This Row],[Birthweight Z-Score]],TRUE)*100,"")</f>
        <v/>
      </c>
      <c r="K5524" s="7" t="str">
        <f>IF(Table1[[#This Row],[Is Data Valid]]=TRUE,_xlfn.NORM.S.DIST(Table1[[#This Row],[Birthweight Z-Score (BW-10%)]],TRUE)*100,"")</f>
        <v/>
      </c>
      <c r="L5524" s="7" t="str">
        <f>IF(Table1[[#This Row],[Is Data Valid]]=TRUE,_xlfn.NORM.S.DIST(Table1[[#This Row],[Birthweight Z-Score (BW+10%)]],TRUE)*100,"")</f>
        <v/>
      </c>
    </row>
    <row r="5525" spans="1:12" x14ac:dyDescent="0.35">
      <c r="A5525" s="3"/>
      <c r="B5525" s="2"/>
      <c r="C5525" s="2"/>
      <c r="D5525" s="2" t="b">
        <f>IF(AND(NOT(ISBLANK(Table1[[#This Row],[Fetal Sex (Male, Female or Unknown)]])),ISNUMBER(Table1[[#This Row],[Birthweight (grams)]]),ISNUMBER(Table1[[#This Row],[Gestation (days)]])),TRUE,FALSE)</f>
        <v>0</v>
      </c>
      <c r="E5525" s="2" t="str">
        <f>IF(Table1[[#This Row],[Is Data Valid]]=TRUE,IF(Table1[[#This Row],[Fetal Sex (Male, Female or Unknown)]]="Male",Backend!$C$6,IF(Table1[[#This Row],[Fetal Sex (Male, Female or Unknown)]]="Female",Backend!$C$7,IF(Table1[[#This Row],[Fetal Sex (Male, Female or Unknown)]]="Unknown",Backend!$C$8,"Error"))),"")</f>
        <v/>
      </c>
      <c r="F5525" s="8" t="str">
        <f>IF(Table1[[#This Row],[Is Data Valid]]=TRUE,EXP(0.578+0.332*((Table1[[#This Row],[Gestation (days)]]+0.5)/7)-0.00354*((Table1[[#This Row],[Gestation (days)]]+0.5)/7)^2)*Table1[[#This Row],[BW40_3705]],"")</f>
        <v/>
      </c>
      <c r="G5525" s="2" t="str">
        <f>IF(Table1[[#This Row],[Is Data Valid]]=TRUE,((Table1[[#This Row],[Birthweight (grams)]]/Table1[[#This Row],[BW_GA]])-1)/(Backend!$B$4/100*Table1[[#This Row],[BW40_3705]]),"")</f>
        <v/>
      </c>
      <c r="H5525" s="7" t="str">
        <f>IF(Table1[[#This Row],[Is Data Valid]]=TRUE,((Table1[[#This Row],[Birthweight (grams)]]*0.9/Table1[[#This Row],[BW_GA]])-1)/(Backend!$B$4/100*Table1[[#This Row],[BW40_3705]]),"")</f>
        <v/>
      </c>
      <c r="I5525" s="7" t="str">
        <f>IF(Table1[[#This Row],[Is Data Valid]]=TRUE,((Table1[[#This Row],[Birthweight (grams)]]*1.1/Table1[[#This Row],[BW_GA]])-1)/(Backend!$B$4/100*Table1[[#This Row],[BW40_3705]]),"")</f>
        <v/>
      </c>
      <c r="J5525" s="7" t="str">
        <f>IF(Table1[[#This Row],[Is Data Valid]]=TRUE,_xlfn.NORM.S.DIST(Table1[[#This Row],[Birthweight Z-Score]],TRUE)*100,"")</f>
        <v/>
      </c>
      <c r="K5525" s="7" t="str">
        <f>IF(Table1[[#This Row],[Is Data Valid]]=TRUE,_xlfn.NORM.S.DIST(Table1[[#This Row],[Birthweight Z-Score (BW-10%)]],TRUE)*100,"")</f>
        <v/>
      </c>
      <c r="L5525" s="7" t="str">
        <f>IF(Table1[[#This Row],[Is Data Valid]]=TRUE,_xlfn.NORM.S.DIST(Table1[[#This Row],[Birthweight Z-Score (BW+10%)]],TRUE)*100,"")</f>
        <v/>
      </c>
    </row>
    <row r="5526" spans="1:12" x14ac:dyDescent="0.35">
      <c r="A5526" s="3"/>
      <c r="B5526" s="2"/>
      <c r="C5526" s="2"/>
      <c r="D5526" s="2" t="b">
        <f>IF(AND(NOT(ISBLANK(Table1[[#This Row],[Fetal Sex (Male, Female or Unknown)]])),ISNUMBER(Table1[[#This Row],[Birthweight (grams)]]),ISNUMBER(Table1[[#This Row],[Gestation (days)]])),TRUE,FALSE)</f>
        <v>0</v>
      </c>
      <c r="E5526" s="2" t="str">
        <f>IF(Table1[[#This Row],[Is Data Valid]]=TRUE,IF(Table1[[#This Row],[Fetal Sex (Male, Female or Unknown)]]="Male",Backend!$C$6,IF(Table1[[#This Row],[Fetal Sex (Male, Female or Unknown)]]="Female",Backend!$C$7,IF(Table1[[#This Row],[Fetal Sex (Male, Female or Unknown)]]="Unknown",Backend!$C$8,"Error"))),"")</f>
        <v/>
      </c>
      <c r="F5526" s="8" t="str">
        <f>IF(Table1[[#This Row],[Is Data Valid]]=TRUE,EXP(0.578+0.332*((Table1[[#This Row],[Gestation (days)]]+0.5)/7)-0.00354*((Table1[[#This Row],[Gestation (days)]]+0.5)/7)^2)*Table1[[#This Row],[BW40_3705]],"")</f>
        <v/>
      </c>
      <c r="G5526" s="2" t="str">
        <f>IF(Table1[[#This Row],[Is Data Valid]]=TRUE,((Table1[[#This Row],[Birthweight (grams)]]/Table1[[#This Row],[BW_GA]])-1)/(Backend!$B$4/100*Table1[[#This Row],[BW40_3705]]),"")</f>
        <v/>
      </c>
      <c r="H5526" s="7" t="str">
        <f>IF(Table1[[#This Row],[Is Data Valid]]=TRUE,((Table1[[#This Row],[Birthweight (grams)]]*0.9/Table1[[#This Row],[BW_GA]])-1)/(Backend!$B$4/100*Table1[[#This Row],[BW40_3705]]),"")</f>
        <v/>
      </c>
      <c r="I5526" s="7" t="str">
        <f>IF(Table1[[#This Row],[Is Data Valid]]=TRUE,((Table1[[#This Row],[Birthweight (grams)]]*1.1/Table1[[#This Row],[BW_GA]])-1)/(Backend!$B$4/100*Table1[[#This Row],[BW40_3705]]),"")</f>
        <v/>
      </c>
      <c r="J5526" s="7" t="str">
        <f>IF(Table1[[#This Row],[Is Data Valid]]=TRUE,_xlfn.NORM.S.DIST(Table1[[#This Row],[Birthweight Z-Score]],TRUE)*100,"")</f>
        <v/>
      </c>
      <c r="K5526" s="7" t="str">
        <f>IF(Table1[[#This Row],[Is Data Valid]]=TRUE,_xlfn.NORM.S.DIST(Table1[[#This Row],[Birthweight Z-Score (BW-10%)]],TRUE)*100,"")</f>
        <v/>
      </c>
      <c r="L5526" s="7" t="str">
        <f>IF(Table1[[#This Row],[Is Data Valid]]=TRUE,_xlfn.NORM.S.DIST(Table1[[#This Row],[Birthweight Z-Score (BW+10%)]],TRUE)*100,"")</f>
        <v/>
      </c>
    </row>
    <row r="5527" spans="1:12" x14ac:dyDescent="0.35">
      <c r="A5527" s="3"/>
      <c r="B5527" s="2"/>
      <c r="C5527" s="2"/>
      <c r="D5527" s="2" t="b">
        <f>IF(AND(NOT(ISBLANK(Table1[[#This Row],[Fetal Sex (Male, Female or Unknown)]])),ISNUMBER(Table1[[#This Row],[Birthweight (grams)]]),ISNUMBER(Table1[[#This Row],[Gestation (days)]])),TRUE,FALSE)</f>
        <v>0</v>
      </c>
      <c r="E5527" s="2" t="str">
        <f>IF(Table1[[#This Row],[Is Data Valid]]=TRUE,IF(Table1[[#This Row],[Fetal Sex (Male, Female or Unknown)]]="Male",Backend!$C$6,IF(Table1[[#This Row],[Fetal Sex (Male, Female or Unknown)]]="Female",Backend!$C$7,IF(Table1[[#This Row],[Fetal Sex (Male, Female or Unknown)]]="Unknown",Backend!$C$8,"Error"))),"")</f>
        <v/>
      </c>
      <c r="F5527" s="8" t="str">
        <f>IF(Table1[[#This Row],[Is Data Valid]]=TRUE,EXP(0.578+0.332*((Table1[[#This Row],[Gestation (days)]]+0.5)/7)-0.00354*((Table1[[#This Row],[Gestation (days)]]+0.5)/7)^2)*Table1[[#This Row],[BW40_3705]],"")</f>
        <v/>
      </c>
      <c r="G5527" s="2" t="str">
        <f>IF(Table1[[#This Row],[Is Data Valid]]=TRUE,((Table1[[#This Row],[Birthweight (grams)]]/Table1[[#This Row],[BW_GA]])-1)/(Backend!$B$4/100*Table1[[#This Row],[BW40_3705]]),"")</f>
        <v/>
      </c>
      <c r="H5527" s="7" t="str">
        <f>IF(Table1[[#This Row],[Is Data Valid]]=TRUE,((Table1[[#This Row],[Birthweight (grams)]]*0.9/Table1[[#This Row],[BW_GA]])-1)/(Backend!$B$4/100*Table1[[#This Row],[BW40_3705]]),"")</f>
        <v/>
      </c>
      <c r="I5527" s="7" t="str">
        <f>IF(Table1[[#This Row],[Is Data Valid]]=TRUE,((Table1[[#This Row],[Birthweight (grams)]]*1.1/Table1[[#This Row],[BW_GA]])-1)/(Backend!$B$4/100*Table1[[#This Row],[BW40_3705]]),"")</f>
        <v/>
      </c>
      <c r="J5527" s="7" t="str">
        <f>IF(Table1[[#This Row],[Is Data Valid]]=TRUE,_xlfn.NORM.S.DIST(Table1[[#This Row],[Birthweight Z-Score]],TRUE)*100,"")</f>
        <v/>
      </c>
      <c r="K5527" s="7" t="str">
        <f>IF(Table1[[#This Row],[Is Data Valid]]=TRUE,_xlfn.NORM.S.DIST(Table1[[#This Row],[Birthweight Z-Score (BW-10%)]],TRUE)*100,"")</f>
        <v/>
      </c>
      <c r="L5527" s="7" t="str">
        <f>IF(Table1[[#This Row],[Is Data Valid]]=TRUE,_xlfn.NORM.S.DIST(Table1[[#This Row],[Birthweight Z-Score (BW+10%)]],TRUE)*100,"")</f>
        <v/>
      </c>
    </row>
    <row r="5528" spans="1:12" x14ac:dyDescent="0.35">
      <c r="A5528" s="3"/>
      <c r="B5528" s="2"/>
      <c r="C5528" s="2"/>
      <c r="D5528" s="2" t="b">
        <f>IF(AND(NOT(ISBLANK(Table1[[#This Row],[Fetal Sex (Male, Female or Unknown)]])),ISNUMBER(Table1[[#This Row],[Birthweight (grams)]]),ISNUMBER(Table1[[#This Row],[Gestation (days)]])),TRUE,FALSE)</f>
        <v>0</v>
      </c>
      <c r="E5528" s="2" t="str">
        <f>IF(Table1[[#This Row],[Is Data Valid]]=TRUE,IF(Table1[[#This Row],[Fetal Sex (Male, Female or Unknown)]]="Male",Backend!$C$6,IF(Table1[[#This Row],[Fetal Sex (Male, Female or Unknown)]]="Female",Backend!$C$7,IF(Table1[[#This Row],[Fetal Sex (Male, Female or Unknown)]]="Unknown",Backend!$C$8,"Error"))),"")</f>
        <v/>
      </c>
      <c r="F5528" s="8" t="str">
        <f>IF(Table1[[#This Row],[Is Data Valid]]=TRUE,EXP(0.578+0.332*((Table1[[#This Row],[Gestation (days)]]+0.5)/7)-0.00354*((Table1[[#This Row],[Gestation (days)]]+0.5)/7)^2)*Table1[[#This Row],[BW40_3705]],"")</f>
        <v/>
      </c>
      <c r="G5528" s="2" t="str">
        <f>IF(Table1[[#This Row],[Is Data Valid]]=TRUE,((Table1[[#This Row],[Birthweight (grams)]]/Table1[[#This Row],[BW_GA]])-1)/(Backend!$B$4/100*Table1[[#This Row],[BW40_3705]]),"")</f>
        <v/>
      </c>
      <c r="H5528" s="7" t="str">
        <f>IF(Table1[[#This Row],[Is Data Valid]]=TRUE,((Table1[[#This Row],[Birthweight (grams)]]*0.9/Table1[[#This Row],[BW_GA]])-1)/(Backend!$B$4/100*Table1[[#This Row],[BW40_3705]]),"")</f>
        <v/>
      </c>
      <c r="I5528" s="7" t="str">
        <f>IF(Table1[[#This Row],[Is Data Valid]]=TRUE,((Table1[[#This Row],[Birthweight (grams)]]*1.1/Table1[[#This Row],[BW_GA]])-1)/(Backend!$B$4/100*Table1[[#This Row],[BW40_3705]]),"")</f>
        <v/>
      </c>
      <c r="J5528" s="7" t="str">
        <f>IF(Table1[[#This Row],[Is Data Valid]]=TRUE,_xlfn.NORM.S.DIST(Table1[[#This Row],[Birthweight Z-Score]],TRUE)*100,"")</f>
        <v/>
      </c>
      <c r="K5528" s="7" t="str">
        <f>IF(Table1[[#This Row],[Is Data Valid]]=TRUE,_xlfn.NORM.S.DIST(Table1[[#This Row],[Birthweight Z-Score (BW-10%)]],TRUE)*100,"")</f>
        <v/>
      </c>
      <c r="L5528" s="7" t="str">
        <f>IF(Table1[[#This Row],[Is Data Valid]]=TRUE,_xlfn.NORM.S.DIST(Table1[[#This Row],[Birthweight Z-Score (BW+10%)]],TRUE)*100,"")</f>
        <v/>
      </c>
    </row>
    <row r="5529" spans="1:12" x14ac:dyDescent="0.35">
      <c r="A5529" s="3"/>
      <c r="B5529" s="2"/>
      <c r="C5529" s="2"/>
      <c r="D5529" s="2" t="b">
        <f>IF(AND(NOT(ISBLANK(Table1[[#This Row],[Fetal Sex (Male, Female or Unknown)]])),ISNUMBER(Table1[[#This Row],[Birthweight (grams)]]),ISNUMBER(Table1[[#This Row],[Gestation (days)]])),TRUE,FALSE)</f>
        <v>0</v>
      </c>
      <c r="E5529" s="2" t="str">
        <f>IF(Table1[[#This Row],[Is Data Valid]]=TRUE,IF(Table1[[#This Row],[Fetal Sex (Male, Female or Unknown)]]="Male",Backend!$C$6,IF(Table1[[#This Row],[Fetal Sex (Male, Female or Unknown)]]="Female",Backend!$C$7,IF(Table1[[#This Row],[Fetal Sex (Male, Female or Unknown)]]="Unknown",Backend!$C$8,"Error"))),"")</f>
        <v/>
      </c>
      <c r="F5529" s="8" t="str">
        <f>IF(Table1[[#This Row],[Is Data Valid]]=TRUE,EXP(0.578+0.332*((Table1[[#This Row],[Gestation (days)]]+0.5)/7)-0.00354*((Table1[[#This Row],[Gestation (days)]]+0.5)/7)^2)*Table1[[#This Row],[BW40_3705]],"")</f>
        <v/>
      </c>
      <c r="G5529" s="2" t="str">
        <f>IF(Table1[[#This Row],[Is Data Valid]]=TRUE,((Table1[[#This Row],[Birthweight (grams)]]/Table1[[#This Row],[BW_GA]])-1)/(Backend!$B$4/100*Table1[[#This Row],[BW40_3705]]),"")</f>
        <v/>
      </c>
      <c r="H5529" s="7" t="str">
        <f>IF(Table1[[#This Row],[Is Data Valid]]=TRUE,((Table1[[#This Row],[Birthweight (grams)]]*0.9/Table1[[#This Row],[BW_GA]])-1)/(Backend!$B$4/100*Table1[[#This Row],[BW40_3705]]),"")</f>
        <v/>
      </c>
      <c r="I5529" s="7" t="str">
        <f>IF(Table1[[#This Row],[Is Data Valid]]=TRUE,((Table1[[#This Row],[Birthweight (grams)]]*1.1/Table1[[#This Row],[BW_GA]])-1)/(Backend!$B$4/100*Table1[[#This Row],[BW40_3705]]),"")</f>
        <v/>
      </c>
      <c r="J5529" s="7" t="str">
        <f>IF(Table1[[#This Row],[Is Data Valid]]=TRUE,_xlfn.NORM.S.DIST(Table1[[#This Row],[Birthweight Z-Score]],TRUE)*100,"")</f>
        <v/>
      </c>
      <c r="K5529" s="7" t="str">
        <f>IF(Table1[[#This Row],[Is Data Valid]]=TRUE,_xlfn.NORM.S.DIST(Table1[[#This Row],[Birthweight Z-Score (BW-10%)]],TRUE)*100,"")</f>
        <v/>
      </c>
      <c r="L5529" s="7" t="str">
        <f>IF(Table1[[#This Row],[Is Data Valid]]=TRUE,_xlfn.NORM.S.DIST(Table1[[#This Row],[Birthweight Z-Score (BW+10%)]],TRUE)*100,"")</f>
        <v/>
      </c>
    </row>
    <row r="5530" spans="1:12" x14ac:dyDescent="0.35">
      <c r="A5530" s="3"/>
      <c r="B5530" s="2"/>
      <c r="C5530" s="2"/>
      <c r="D5530" s="2" t="b">
        <f>IF(AND(NOT(ISBLANK(Table1[[#This Row],[Fetal Sex (Male, Female or Unknown)]])),ISNUMBER(Table1[[#This Row],[Birthweight (grams)]]),ISNUMBER(Table1[[#This Row],[Gestation (days)]])),TRUE,FALSE)</f>
        <v>0</v>
      </c>
      <c r="E5530" s="2" t="str">
        <f>IF(Table1[[#This Row],[Is Data Valid]]=TRUE,IF(Table1[[#This Row],[Fetal Sex (Male, Female or Unknown)]]="Male",Backend!$C$6,IF(Table1[[#This Row],[Fetal Sex (Male, Female or Unknown)]]="Female",Backend!$C$7,IF(Table1[[#This Row],[Fetal Sex (Male, Female or Unknown)]]="Unknown",Backend!$C$8,"Error"))),"")</f>
        <v/>
      </c>
      <c r="F5530" s="8" t="str">
        <f>IF(Table1[[#This Row],[Is Data Valid]]=TRUE,EXP(0.578+0.332*((Table1[[#This Row],[Gestation (days)]]+0.5)/7)-0.00354*((Table1[[#This Row],[Gestation (days)]]+0.5)/7)^2)*Table1[[#This Row],[BW40_3705]],"")</f>
        <v/>
      </c>
      <c r="G5530" s="2" t="str">
        <f>IF(Table1[[#This Row],[Is Data Valid]]=TRUE,((Table1[[#This Row],[Birthweight (grams)]]/Table1[[#This Row],[BW_GA]])-1)/(Backend!$B$4/100*Table1[[#This Row],[BW40_3705]]),"")</f>
        <v/>
      </c>
      <c r="H5530" s="7" t="str">
        <f>IF(Table1[[#This Row],[Is Data Valid]]=TRUE,((Table1[[#This Row],[Birthweight (grams)]]*0.9/Table1[[#This Row],[BW_GA]])-1)/(Backend!$B$4/100*Table1[[#This Row],[BW40_3705]]),"")</f>
        <v/>
      </c>
      <c r="I5530" s="7" t="str">
        <f>IF(Table1[[#This Row],[Is Data Valid]]=TRUE,((Table1[[#This Row],[Birthweight (grams)]]*1.1/Table1[[#This Row],[BW_GA]])-1)/(Backend!$B$4/100*Table1[[#This Row],[BW40_3705]]),"")</f>
        <v/>
      </c>
      <c r="J5530" s="7" t="str">
        <f>IF(Table1[[#This Row],[Is Data Valid]]=TRUE,_xlfn.NORM.S.DIST(Table1[[#This Row],[Birthweight Z-Score]],TRUE)*100,"")</f>
        <v/>
      </c>
      <c r="K5530" s="7" t="str">
        <f>IF(Table1[[#This Row],[Is Data Valid]]=TRUE,_xlfn.NORM.S.DIST(Table1[[#This Row],[Birthweight Z-Score (BW-10%)]],TRUE)*100,"")</f>
        <v/>
      </c>
      <c r="L5530" s="7" t="str">
        <f>IF(Table1[[#This Row],[Is Data Valid]]=TRUE,_xlfn.NORM.S.DIST(Table1[[#This Row],[Birthweight Z-Score (BW+10%)]],TRUE)*100,"")</f>
        <v/>
      </c>
    </row>
    <row r="5531" spans="1:12" x14ac:dyDescent="0.35">
      <c r="A5531" s="3"/>
      <c r="B5531" s="2"/>
      <c r="C5531" s="2"/>
      <c r="D5531" s="2" t="b">
        <f>IF(AND(NOT(ISBLANK(Table1[[#This Row],[Fetal Sex (Male, Female or Unknown)]])),ISNUMBER(Table1[[#This Row],[Birthweight (grams)]]),ISNUMBER(Table1[[#This Row],[Gestation (days)]])),TRUE,FALSE)</f>
        <v>0</v>
      </c>
      <c r="E5531" s="2" t="str">
        <f>IF(Table1[[#This Row],[Is Data Valid]]=TRUE,IF(Table1[[#This Row],[Fetal Sex (Male, Female or Unknown)]]="Male",Backend!$C$6,IF(Table1[[#This Row],[Fetal Sex (Male, Female or Unknown)]]="Female",Backend!$C$7,IF(Table1[[#This Row],[Fetal Sex (Male, Female or Unknown)]]="Unknown",Backend!$C$8,"Error"))),"")</f>
        <v/>
      </c>
      <c r="F5531" s="8" t="str">
        <f>IF(Table1[[#This Row],[Is Data Valid]]=TRUE,EXP(0.578+0.332*((Table1[[#This Row],[Gestation (days)]]+0.5)/7)-0.00354*((Table1[[#This Row],[Gestation (days)]]+0.5)/7)^2)*Table1[[#This Row],[BW40_3705]],"")</f>
        <v/>
      </c>
      <c r="G5531" s="2" t="str">
        <f>IF(Table1[[#This Row],[Is Data Valid]]=TRUE,((Table1[[#This Row],[Birthweight (grams)]]/Table1[[#This Row],[BW_GA]])-1)/(Backend!$B$4/100*Table1[[#This Row],[BW40_3705]]),"")</f>
        <v/>
      </c>
      <c r="H5531" s="7" t="str">
        <f>IF(Table1[[#This Row],[Is Data Valid]]=TRUE,((Table1[[#This Row],[Birthweight (grams)]]*0.9/Table1[[#This Row],[BW_GA]])-1)/(Backend!$B$4/100*Table1[[#This Row],[BW40_3705]]),"")</f>
        <v/>
      </c>
      <c r="I5531" s="7" t="str">
        <f>IF(Table1[[#This Row],[Is Data Valid]]=TRUE,((Table1[[#This Row],[Birthweight (grams)]]*1.1/Table1[[#This Row],[BW_GA]])-1)/(Backend!$B$4/100*Table1[[#This Row],[BW40_3705]]),"")</f>
        <v/>
      </c>
      <c r="J5531" s="7" t="str">
        <f>IF(Table1[[#This Row],[Is Data Valid]]=TRUE,_xlfn.NORM.S.DIST(Table1[[#This Row],[Birthweight Z-Score]],TRUE)*100,"")</f>
        <v/>
      </c>
      <c r="K5531" s="7" t="str">
        <f>IF(Table1[[#This Row],[Is Data Valid]]=TRUE,_xlfn.NORM.S.DIST(Table1[[#This Row],[Birthweight Z-Score (BW-10%)]],TRUE)*100,"")</f>
        <v/>
      </c>
      <c r="L5531" s="7" t="str">
        <f>IF(Table1[[#This Row],[Is Data Valid]]=TRUE,_xlfn.NORM.S.DIST(Table1[[#This Row],[Birthweight Z-Score (BW+10%)]],TRUE)*100,"")</f>
        <v/>
      </c>
    </row>
    <row r="5532" spans="1:12" x14ac:dyDescent="0.35">
      <c r="A5532" s="3"/>
      <c r="B5532" s="2"/>
      <c r="C5532" s="2"/>
      <c r="D5532" s="2" t="b">
        <f>IF(AND(NOT(ISBLANK(Table1[[#This Row],[Fetal Sex (Male, Female or Unknown)]])),ISNUMBER(Table1[[#This Row],[Birthweight (grams)]]),ISNUMBER(Table1[[#This Row],[Gestation (days)]])),TRUE,FALSE)</f>
        <v>0</v>
      </c>
      <c r="E5532" s="2" t="str">
        <f>IF(Table1[[#This Row],[Is Data Valid]]=TRUE,IF(Table1[[#This Row],[Fetal Sex (Male, Female or Unknown)]]="Male",Backend!$C$6,IF(Table1[[#This Row],[Fetal Sex (Male, Female or Unknown)]]="Female",Backend!$C$7,IF(Table1[[#This Row],[Fetal Sex (Male, Female or Unknown)]]="Unknown",Backend!$C$8,"Error"))),"")</f>
        <v/>
      </c>
      <c r="F5532" s="8" t="str">
        <f>IF(Table1[[#This Row],[Is Data Valid]]=TRUE,EXP(0.578+0.332*((Table1[[#This Row],[Gestation (days)]]+0.5)/7)-0.00354*((Table1[[#This Row],[Gestation (days)]]+0.5)/7)^2)*Table1[[#This Row],[BW40_3705]],"")</f>
        <v/>
      </c>
      <c r="G5532" s="2" t="str">
        <f>IF(Table1[[#This Row],[Is Data Valid]]=TRUE,((Table1[[#This Row],[Birthweight (grams)]]/Table1[[#This Row],[BW_GA]])-1)/(Backend!$B$4/100*Table1[[#This Row],[BW40_3705]]),"")</f>
        <v/>
      </c>
      <c r="H5532" s="7" t="str">
        <f>IF(Table1[[#This Row],[Is Data Valid]]=TRUE,((Table1[[#This Row],[Birthweight (grams)]]*0.9/Table1[[#This Row],[BW_GA]])-1)/(Backend!$B$4/100*Table1[[#This Row],[BW40_3705]]),"")</f>
        <v/>
      </c>
      <c r="I5532" s="7" t="str">
        <f>IF(Table1[[#This Row],[Is Data Valid]]=TRUE,((Table1[[#This Row],[Birthweight (grams)]]*1.1/Table1[[#This Row],[BW_GA]])-1)/(Backend!$B$4/100*Table1[[#This Row],[BW40_3705]]),"")</f>
        <v/>
      </c>
      <c r="J5532" s="7" t="str">
        <f>IF(Table1[[#This Row],[Is Data Valid]]=TRUE,_xlfn.NORM.S.DIST(Table1[[#This Row],[Birthweight Z-Score]],TRUE)*100,"")</f>
        <v/>
      </c>
      <c r="K5532" s="7" t="str">
        <f>IF(Table1[[#This Row],[Is Data Valid]]=TRUE,_xlfn.NORM.S.DIST(Table1[[#This Row],[Birthweight Z-Score (BW-10%)]],TRUE)*100,"")</f>
        <v/>
      </c>
      <c r="L5532" s="7" t="str">
        <f>IF(Table1[[#This Row],[Is Data Valid]]=TRUE,_xlfn.NORM.S.DIST(Table1[[#This Row],[Birthweight Z-Score (BW+10%)]],TRUE)*100,"")</f>
        <v/>
      </c>
    </row>
    <row r="5533" spans="1:12" x14ac:dyDescent="0.35">
      <c r="A5533" s="3"/>
      <c r="B5533" s="2"/>
      <c r="C5533" s="2"/>
      <c r="D5533" s="2" t="b">
        <f>IF(AND(NOT(ISBLANK(Table1[[#This Row],[Fetal Sex (Male, Female or Unknown)]])),ISNUMBER(Table1[[#This Row],[Birthweight (grams)]]),ISNUMBER(Table1[[#This Row],[Gestation (days)]])),TRUE,FALSE)</f>
        <v>0</v>
      </c>
      <c r="E5533" s="2" t="str">
        <f>IF(Table1[[#This Row],[Is Data Valid]]=TRUE,IF(Table1[[#This Row],[Fetal Sex (Male, Female or Unknown)]]="Male",Backend!$C$6,IF(Table1[[#This Row],[Fetal Sex (Male, Female or Unknown)]]="Female",Backend!$C$7,IF(Table1[[#This Row],[Fetal Sex (Male, Female or Unknown)]]="Unknown",Backend!$C$8,"Error"))),"")</f>
        <v/>
      </c>
      <c r="F5533" s="8" t="str">
        <f>IF(Table1[[#This Row],[Is Data Valid]]=TRUE,EXP(0.578+0.332*((Table1[[#This Row],[Gestation (days)]]+0.5)/7)-0.00354*((Table1[[#This Row],[Gestation (days)]]+0.5)/7)^2)*Table1[[#This Row],[BW40_3705]],"")</f>
        <v/>
      </c>
      <c r="G5533" s="2" t="str">
        <f>IF(Table1[[#This Row],[Is Data Valid]]=TRUE,((Table1[[#This Row],[Birthweight (grams)]]/Table1[[#This Row],[BW_GA]])-1)/(Backend!$B$4/100*Table1[[#This Row],[BW40_3705]]),"")</f>
        <v/>
      </c>
      <c r="H5533" s="7" t="str">
        <f>IF(Table1[[#This Row],[Is Data Valid]]=TRUE,((Table1[[#This Row],[Birthweight (grams)]]*0.9/Table1[[#This Row],[BW_GA]])-1)/(Backend!$B$4/100*Table1[[#This Row],[BW40_3705]]),"")</f>
        <v/>
      </c>
      <c r="I5533" s="7" t="str">
        <f>IF(Table1[[#This Row],[Is Data Valid]]=TRUE,((Table1[[#This Row],[Birthweight (grams)]]*1.1/Table1[[#This Row],[BW_GA]])-1)/(Backend!$B$4/100*Table1[[#This Row],[BW40_3705]]),"")</f>
        <v/>
      </c>
      <c r="J5533" s="7" t="str">
        <f>IF(Table1[[#This Row],[Is Data Valid]]=TRUE,_xlfn.NORM.S.DIST(Table1[[#This Row],[Birthweight Z-Score]],TRUE)*100,"")</f>
        <v/>
      </c>
      <c r="K5533" s="7" t="str">
        <f>IF(Table1[[#This Row],[Is Data Valid]]=TRUE,_xlfn.NORM.S.DIST(Table1[[#This Row],[Birthweight Z-Score (BW-10%)]],TRUE)*100,"")</f>
        <v/>
      </c>
      <c r="L5533" s="7" t="str">
        <f>IF(Table1[[#This Row],[Is Data Valid]]=TRUE,_xlfn.NORM.S.DIST(Table1[[#This Row],[Birthweight Z-Score (BW+10%)]],TRUE)*100,"")</f>
        <v/>
      </c>
    </row>
    <row r="5534" spans="1:12" x14ac:dyDescent="0.35">
      <c r="A5534" s="3"/>
      <c r="B5534" s="2"/>
      <c r="C5534" s="2"/>
      <c r="D5534" s="2" t="b">
        <f>IF(AND(NOT(ISBLANK(Table1[[#This Row],[Fetal Sex (Male, Female or Unknown)]])),ISNUMBER(Table1[[#This Row],[Birthweight (grams)]]),ISNUMBER(Table1[[#This Row],[Gestation (days)]])),TRUE,FALSE)</f>
        <v>0</v>
      </c>
      <c r="E5534" s="2" t="str">
        <f>IF(Table1[[#This Row],[Is Data Valid]]=TRUE,IF(Table1[[#This Row],[Fetal Sex (Male, Female or Unknown)]]="Male",Backend!$C$6,IF(Table1[[#This Row],[Fetal Sex (Male, Female or Unknown)]]="Female",Backend!$C$7,IF(Table1[[#This Row],[Fetal Sex (Male, Female or Unknown)]]="Unknown",Backend!$C$8,"Error"))),"")</f>
        <v/>
      </c>
      <c r="F5534" s="8" t="str">
        <f>IF(Table1[[#This Row],[Is Data Valid]]=TRUE,EXP(0.578+0.332*((Table1[[#This Row],[Gestation (days)]]+0.5)/7)-0.00354*((Table1[[#This Row],[Gestation (days)]]+0.5)/7)^2)*Table1[[#This Row],[BW40_3705]],"")</f>
        <v/>
      </c>
      <c r="G5534" s="2" t="str">
        <f>IF(Table1[[#This Row],[Is Data Valid]]=TRUE,((Table1[[#This Row],[Birthweight (grams)]]/Table1[[#This Row],[BW_GA]])-1)/(Backend!$B$4/100*Table1[[#This Row],[BW40_3705]]),"")</f>
        <v/>
      </c>
      <c r="H5534" s="7" t="str">
        <f>IF(Table1[[#This Row],[Is Data Valid]]=TRUE,((Table1[[#This Row],[Birthweight (grams)]]*0.9/Table1[[#This Row],[BW_GA]])-1)/(Backend!$B$4/100*Table1[[#This Row],[BW40_3705]]),"")</f>
        <v/>
      </c>
      <c r="I5534" s="7" t="str">
        <f>IF(Table1[[#This Row],[Is Data Valid]]=TRUE,((Table1[[#This Row],[Birthweight (grams)]]*1.1/Table1[[#This Row],[BW_GA]])-1)/(Backend!$B$4/100*Table1[[#This Row],[BW40_3705]]),"")</f>
        <v/>
      </c>
      <c r="J5534" s="7" t="str">
        <f>IF(Table1[[#This Row],[Is Data Valid]]=TRUE,_xlfn.NORM.S.DIST(Table1[[#This Row],[Birthweight Z-Score]],TRUE)*100,"")</f>
        <v/>
      </c>
      <c r="K5534" s="7" t="str">
        <f>IF(Table1[[#This Row],[Is Data Valid]]=TRUE,_xlfn.NORM.S.DIST(Table1[[#This Row],[Birthweight Z-Score (BW-10%)]],TRUE)*100,"")</f>
        <v/>
      </c>
      <c r="L5534" s="7" t="str">
        <f>IF(Table1[[#This Row],[Is Data Valid]]=TRUE,_xlfn.NORM.S.DIST(Table1[[#This Row],[Birthweight Z-Score (BW+10%)]],TRUE)*100,"")</f>
        <v/>
      </c>
    </row>
    <row r="5535" spans="1:12" x14ac:dyDescent="0.35">
      <c r="A5535" s="3"/>
      <c r="B5535" s="2"/>
      <c r="C5535" s="2"/>
      <c r="D5535" s="2" t="b">
        <f>IF(AND(NOT(ISBLANK(Table1[[#This Row],[Fetal Sex (Male, Female or Unknown)]])),ISNUMBER(Table1[[#This Row],[Birthweight (grams)]]),ISNUMBER(Table1[[#This Row],[Gestation (days)]])),TRUE,FALSE)</f>
        <v>0</v>
      </c>
      <c r="E5535" s="2" t="str">
        <f>IF(Table1[[#This Row],[Is Data Valid]]=TRUE,IF(Table1[[#This Row],[Fetal Sex (Male, Female or Unknown)]]="Male",Backend!$C$6,IF(Table1[[#This Row],[Fetal Sex (Male, Female or Unknown)]]="Female",Backend!$C$7,IF(Table1[[#This Row],[Fetal Sex (Male, Female or Unknown)]]="Unknown",Backend!$C$8,"Error"))),"")</f>
        <v/>
      </c>
      <c r="F5535" s="8" t="str">
        <f>IF(Table1[[#This Row],[Is Data Valid]]=TRUE,EXP(0.578+0.332*((Table1[[#This Row],[Gestation (days)]]+0.5)/7)-0.00354*((Table1[[#This Row],[Gestation (days)]]+0.5)/7)^2)*Table1[[#This Row],[BW40_3705]],"")</f>
        <v/>
      </c>
      <c r="G5535" s="2" t="str">
        <f>IF(Table1[[#This Row],[Is Data Valid]]=TRUE,((Table1[[#This Row],[Birthweight (grams)]]/Table1[[#This Row],[BW_GA]])-1)/(Backend!$B$4/100*Table1[[#This Row],[BW40_3705]]),"")</f>
        <v/>
      </c>
      <c r="H5535" s="7" t="str">
        <f>IF(Table1[[#This Row],[Is Data Valid]]=TRUE,((Table1[[#This Row],[Birthweight (grams)]]*0.9/Table1[[#This Row],[BW_GA]])-1)/(Backend!$B$4/100*Table1[[#This Row],[BW40_3705]]),"")</f>
        <v/>
      </c>
      <c r="I5535" s="7" t="str">
        <f>IF(Table1[[#This Row],[Is Data Valid]]=TRUE,((Table1[[#This Row],[Birthweight (grams)]]*1.1/Table1[[#This Row],[BW_GA]])-1)/(Backend!$B$4/100*Table1[[#This Row],[BW40_3705]]),"")</f>
        <v/>
      </c>
      <c r="J5535" s="7" t="str">
        <f>IF(Table1[[#This Row],[Is Data Valid]]=TRUE,_xlfn.NORM.S.DIST(Table1[[#This Row],[Birthweight Z-Score]],TRUE)*100,"")</f>
        <v/>
      </c>
      <c r="K5535" s="7" t="str">
        <f>IF(Table1[[#This Row],[Is Data Valid]]=TRUE,_xlfn.NORM.S.DIST(Table1[[#This Row],[Birthweight Z-Score (BW-10%)]],TRUE)*100,"")</f>
        <v/>
      </c>
      <c r="L5535" s="7" t="str">
        <f>IF(Table1[[#This Row],[Is Data Valid]]=TRUE,_xlfn.NORM.S.DIST(Table1[[#This Row],[Birthweight Z-Score (BW+10%)]],TRUE)*100,"")</f>
        <v/>
      </c>
    </row>
    <row r="5536" spans="1:12" x14ac:dyDescent="0.35">
      <c r="A5536" s="3"/>
      <c r="B5536" s="2"/>
      <c r="C5536" s="2"/>
      <c r="D5536" s="2" t="b">
        <f>IF(AND(NOT(ISBLANK(Table1[[#This Row],[Fetal Sex (Male, Female or Unknown)]])),ISNUMBER(Table1[[#This Row],[Birthweight (grams)]]),ISNUMBER(Table1[[#This Row],[Gestation (days)]])),TRUE,FALSE)</f>
        <v>0</v>
      </c>
      <c r="E5536" s="2" t="str">
        <f>IF(Table1[[#This Row],[Is Data Valid]]=TRUE,IF(Table1[[#This Row],[Fetal Sex (Male, Female or Unknown)]]="Male",Backend!$C$6,IF(Table1[[#This Row],[Fetal Sex (Male, Female or Unknown)]]="Female",Backend!$C$7,IF(Table1[[#This Row],[Fetal Sex (Male, Female or Unknown)]]="Unknown",Backend!$C$8,"Error"))),"")</f>
        <v/>
      </c>
      <c r="F5536" s="8" t="str">
        <f>IF(Table1[[#This Row],[Is Data Valid]]=TRUE,EXP(0.578+0.332*((Table1[[#This Row],[Gestation (days)]]+0.5)/7)-0.00354*((Table1[[#This Row],[Gestation (days)]]+0.5)/7)^2)*Table1[[#This Row],[BW40_3705]],"")</f>
        <v/>
      </c>
      <c r="G5536" s="2" t="str">
        <f>IF(Table1[[#This Row],[Is Data Valid]]=TRUE,((Table1[[#This Row],[Birthweight (grams)]]/Table1[[#This Row],[BW_GA]])-1)/(Backend!$B$4/100*Table1[[#This Row],[BW40_3705]]),"")</f>
        <v/>
      </c>
      <c r="H5536" s="7" t="str">
        <f>IF(Table1[[#This Row],[Is Data Valid]]=TRUE,((Table1[[#This Row],[Birthweight (grams)]]*0.9/Table1[[#This Row],[BW_GA]])-1)/(Backend!$B$4/100*Table1[[#This Row],[BW40_3705]]),"")</f>
        <v/>
      </c>
      <c r="I5536" s="7" t="str">
        <f>IF(Table1[[#This Row],[Is Data Valid]]=TRUE,((Table1[[#This Row],[Birthweight (grams)]]*1.1/Table1[[#This Row],[BW_GA]])-1)/(Backend!$B$4/100*Table1[[#This Row],[BW40_3705]]),"")</f>
        <v/>
      </c>
      <c r="J5536" s="7" t="str">
        <f>IF(Table1[[#This Row],[Is Data Valid]]=TRUE,_xlfn.NORM.S.DIST(Table1[[#This Row],[Birthweight Z-Score]],TRUE)*100,"")</f>
        <v/>
      </c>
      <c r="K5536" s="7" t="str">
        <f>IF(Table1[[#This Row],[Is Data Valid]]=TRUE,_xlfn.NORM.S.DIST(Table1[[#This Row],[Birthweight Z-Score (BW-10%)]],TRUE)*100,"")</f>
        <v/>
      </c>
      <c r="L5536" s="7" t="str">
        <f>IF(Table1[[#This Row],[Is Data Valid]]=TRUE,_xlfn.NORM.S.DIST(Table1[[#This Row],[Birthweight Z-Score (BW+10%)]],TRUE)*100,"")</f>
        <v/>
      </c>
    </row>
    <row r="5537" spans="1:12" x14ac:dyDescent="0.35">
      <c r="A5537" s="3"/>
      <c r="B5537" s="2"/>
      <c r="C5537" s="2"/>
      <c r="D5537" s="2" t="b">
        <f>IF(AND(NOT(ISBLANK(Table1[[#This Row],[Fetal Sex (Male, Female or Unknown)]])),ISNUMBER(Table1[[#This Row],[Birthweight (grams)]]),ISNUMBER(Table1[[#This Row],[Gestation (days)]])),TRUE,FALSE)</f>
        <v>0</v>
      </c>
      <c r="E5537" s="2" t="str">
        <f>IF(Table1[[#This Row],[Is Data Valid]]=TRUE,IF(Table1[[#This Row],[Fetal Sex (Male, Female or Unknown)]]="Male",Backend!$C$6,IF(Table1[[#This Row],[Fetal Sex (Male, Female or Unknown)]]="Female",Backend!$C$7,IF(Table1[[#This Row],[Fetal Sex (Male, Female or Unknown)]]="Unknown",Backend!$C$8,"Error"))),"")</f>
        <v/>
      </c>
      <c r="F5537" s="8" t="str">
        <f>IF(Table1[[#This Row],[Is Data Valid]]=TRUE,EXP(0.578+0.332*((Table1[[#This Row],[Gestation (days)]]+0.5)/7)-0.00354*((Table1[[#This Row],[Gestation (days)]]+0.5)/7)^2)*Table1[[#This Row],[BW40_3705]],"")</f>
        <v/>
      </c>
      <c r="G5537" s="2" t="str">
        <f>IF(Table1[[#This Row],[Is Data Valid]]=TRUE,((Table1[[#This Row],[Birthweight (grams)]]/Table1[[#This Row],[BW_GA]])-1)/(Backend!$B$4/100*Table1[[#This Row],[BW40_3705]]),"")</f>
        <v/>
      </c>
      <c r="H5537" s="7" t="str">
        <f>IF(Table1[[#This Row],[Is Data Valid]]=TRUE,((Table1[[#This Row],[Birthweight (grams)]]*0.9/Table1[[#This Row],[BW_GA]])-1)/(Backend!$B$4/100*Table1[[#This Row],[BW40_3705]]),"")</f>
        <v/>
      </c>
      <c r="I5537" s="7" t="str">
        <f>IF(Table1[[#This Row],[Is Data Valid]]=TRUE,((Table1[[#This Row],[Birthweight (grams)]]*1.1/Table1[[#This Row],[BW_GA]])-1)/(Backend!$B$4/100*Table1[[#This Row],[BW40_3705]]),"")</f>
        <v/>
      </c>
      <c r="J5537" s="7" t="str">
        <f>IF(Table1[[#This Row],[Is Data Valid]]=TRUE,_xlfn.NORM.S.DIST(Table1[[#This Row],[Birthweight Z-Score]],TRUE)*100,"")</f>
        <v/>
      </c>
      <c r="K5537" s="7" t="str">
        <f>IF(Table1[[#This Row],[Is Data Valid]]=TRUE,_xlfn.NORM.S.DIST(Table1[[#This Row],[Birthweight Z-Score (BW-10%)]],TRUE)*100,"")</f>
        <v/>
      </c>
      <c r="L5537" s="7" t="str">
        <f>IF(Table1[[#This Row],[Is Data Valid]]=TRUE,_xlfn.NORM.S.DIST(Table1[[#This Row],[Birthweight Z-Score (BW+10%)]],TRUE)*100,"")</f>
        <v/>
      </c>
    </row>
    <row r="5538" spans="1:12" x14ac:dyDescent="0.35">
      <c r="A5538" s="3"/>
      <c r="B5538" s="2"/>
      <c r="C5538" s="2"/>
      <c r="D5538" s="2" t="b">
        <f>IF(AND(NOT(ISBLANK(Table1[[#This Row],[Fetal Sex (Male, Female or Unknown)]])),ISNUMBER(Table1[[#This Row],[Birthweight (grams)]]),ISNUMBER(Table1[[#This Row],[Gestation (days)]])),TRUE,FALSE)</f>
        <v>0</v>
      </c>
      <c r="E5538" s="2" t="str">
        <f>IF(Table1[[#This Row],[Is Data Valid]]=TRUE,IF(Table1[[#This Row],[Fetal Sex (Male, Female or Unknown)]]="Male",Backend!$C$6,IF(Table1[[#This Row],[Fetal Sex (Male, Female or Unknown)]]="Female",Backend!$C$7,IF(Table1[[#This Row],[Fetal Sex (Male, Female or Unknown)]]="Unknown",Backend!$C$8,"Error"))),"")</f>
        <v/>
      </c>
      <c r="F5538" s="8" t="str">
        <f>IF(Table1[[#This Row],[Is Data Valid]]=TRUE,EXP(0.578+0.332*((Table1[[#This Row],[Gestation (days)]]+0.5)/7)-0.00354*((Table1[[#This Row],[Gestation (days)]]+0.5)/7)^2)*Table1[[#This Row],[BW40_3705]],"")</f>
        <v/>
      </c>
      <c r="G5538" s="2" t="str">
        <f>IF(Table1[[#This Row],[Is Data Valid]]=TRUE,((Table1[[#This Row],[Birthweight (grams)]]/Table1[[#This Row],[BW_GA]])-1)/(Backend!$B$4/100*Table1[[#This Row],[BW40_3705]]),"")</f>
        <v/>
      </c>
      <c r="H5538" s="7" t="str">
        <f>IF(Table1[[#This Row],[Is Data Valid]]=TRUE,((Table1[[#This Row],[Birthweight (grams)]]*0.9/Table1[[#This Row],[BW_GA]])-1)/(Backend!$B$4/100*Table1[[#This Row],[BW40_3705]]),"")</f>
        <v/>
      </c>
      <c r="I5538" s="7" t="str">
        <f>IF(Table1[[#This Row],[Is Data Valid]]=TRUE,((Table1[[#This Row],[Birthweight (grams)]]*1.1/Table1[[#This Row],[BW_GA]])-1)/(Backend!$B$4/100*Table1[[#This Row],[BW40_3705]]),"")</f>
        <v/>
      </c>
      <c r="J5538" s="7" t="str">
        <f>IF(Table1[[#This Row],[Is Data Valid]]=TRUE,_xlfn.NORM.S.DIST(Table1[[#This Row],[Birthweight Z-Score]],TRUE)*100,"")</f>
        <v/>
      </c>
      <c r="K5538" s="7" t="str">
        <f>IF(Table1[[#This Row],[Is Data Valid]]=TRUE,_xlfn.NORM.S.DIST(Table1[[#This Row],[Birthweight Z-Score (BW-10%)]],TRUE)*100,"")</f>
        <v/>
      </c>
      <c r="L5538" s="7" t="str">
        <f>IF(Table1[[#This Row],[Is Data Valid]]=TRUE,_xlfn.NORM.S.DIST(Table1[[#This Row],[Birthweight Z-Score (BW+10%)]],TRUE)*100,"")</f>
        <v/>
      </c>
    </row>
    <row r="5539" spans="1:12" x14ac:dyDescent="0.35">
      <c r="A5539" s="3"/>
      <c r="B5539" s="2"/>
      <c r="C5539" s="2"/>
      <c r="D5539" s="2" t="b">
        <f>IF(AND(NOT(ISBLANK(Table1[[#This Row],[Fetal Sex (Male, Female or Unknown)]])),ISNUMBER(Table1[[#This Row],[Birthweight (grams)]]),ISNUMBER(Table1[[#This Row],[Gestation (days)]])),TRUE,FALSE)</f>
        <v>0</v>
      </c>
      <c r="E5539" s="2" t="str">
        <f>IF(Table1[[#This Row],[Is Data Valid]]=TRUE,IF(Table1[[#This Row],[Fetal Sex (Male, Female or Unknown)]]="Male",Backend!$C$6,IF(Table1[[#This Row],[Fetal Sex (Male, Female or Unknown)]]="Female",Backend!$C$7,IF(Table1[[#This Row],[Fetal Sex (Male, Female or Unknown)]]="Unknown",Backend!$C$8,"Error"))),"")</f>
        <v/>
      </c>
      <c r="F5539" s="8" t="str">
        <f>IF(Table1[[#This Row],[Is Data Valid]]=TRUE,EXP(0.578+0.332*((Table1[[#This Row],[Gestation (days)]]+0.5)/7)-0.00354*((Table1[[#This Row],[Gestation (days)]]+0.5)/7)^2)*Table1[[#This Row],[BW40_3705]],"")</f>
        <v/>
      </c>
      <c r="G5539" s="2" t="str">
        <f>IF(Table1[[#This Row],[Is Data Valid]]=TRUE,((Table1[[#This Row],[Birthweight (grams)]]/Table1[[#This Row],[BW_GA]])-1)/(Backend!$B$4/100*Table1[[#This Row],[BW40_3705]]),"")</f>
        <v/>
      </c>
      <c r="H5539" s="7" t="str">
        <f>IF(Table1[[#This Row],[Is Data Valid]]=TRUE,((Table1[[#This Row],[Birthweight (grams)]]*0.9/Table1[[#This Row],[BW_GA]])-1)/(Backend!$B$4/100*Table1[[#This Row],[BW40_3705]]),"")</f>
        <v/>
      </c>
      <c r="I5539" s="7" t="str">
        <f>IF(Table1[[#This Row],[Is Data Valid]]=TRUE,((Table1[[#This Row],[Birthweight (grams)]]*1.1/Table1[[#This Row],[BW_GA]])-1)/(Backend!$B$4/100*Table1[[#This Row],[BW40_3705]]),"")</f>
        <v/>
      </c>
      <c r="J5539" s="7" t="str">
        <f>IF(Table1[[#This Row],[Is Data Valid]]=TRUE,_xlfn.NORM.S.DIST(Table1[[#This Row],[Birthweight Z-Score]],TRUE)*100,"")</f>
        <v/>
      </c>
      <c r="K5539" s="7" t="str">
        <f>IF(Table1[[#This Row],[Is Data Valid]]=TRUE,_xlfn.NORM.S.DIST(Table1[[#This Row],[Birthweight Z-Score (BW-10%)]],TRUE)*100,"")</f>
        <v/>
      </c>
      <c r="L5539" s="7" t="str">
        <f>IF(Table1[[#This Row],[Is Data Valid]]=TRUE,_xlfn.NORM.S.DIST(Table1[[#This Row],[Birthweight Z-Score (BW+10%)]],TRUE)*100,"")</f>
        <v/>
      </c>
    </row>
    <row r="5540" spans="1:12" x14ac:dyDescent="0.35">
      <c r="A5540" s="3"/>
      <c r="B5540" s="2"/>
      <c r="C5540" s="2"/>
      <c r="D5540" s="2" t="b">
        <f>IF(AND(NOT(ISBLANK(Table1[[#This Row],[Fetal Sex (Male, Female or Unknown)]])),ISNUMBER(Table1[[#This Row],[Birthweight (grams)]]),ISNUMBER(Table1[[#This Row],[Gestation (days)]])),TRUE,FALSE)</f>
        <v>0</v>
      </c>
      <c r="E5540" s="2" t="str">
        <f>IF(Table1[[#This Row],[Is Data Valid]]=TRUE,IF(Table1[[#This Row],[Fetal Sex (Male, Female or Unknown)]]="Male",Backend!$C$6,IF(Table1[[#This Row],[Fetal Sex (Male, Female or Unknown)]]="Female",Backend!$C$7,IF(Table1[[#This Row],[Fetal Sex (Male, Female or Unknown)]]="Unknown",Backend!$C$8,"Error"))),"")</f>
        <v/>
      </c>
      <c r="F5540" s="8" t="str">
        <f>IF(Table1[[#This Row],[Is Data Valid]]=TRUE,EXP(0.578+0.332*((Table1[[#This Row],[Gestation (days)]]+0.5)/7)-0.00354*((Table1[[#This Row],[Gestation (days)]]+0.5)/7)^2)*Table1[[#This Row],[BW40_3705]],"")</f>
        <v/>
      </c>
      <c r="G5540" s="2" t="str">
        <f>IF(Table1[[#This Row],[Is Data Valid]]=TRUE,((Table1[[#This Row],[Birthweight (grams)]]/Table1[[#This Row],[BW_GA]])-1)/(Backend!$B$4/100*Table1[[#This Row],[BW40_3705]]),"")</f>
        <v/>
      </c>
      <c r="H5540" s="7" t="str">
        <f>IF(Table1[[#This Row],[Is Data Valid]]=TRUE,((Table1[[#This Row],[Birthweight (grams)]]*0.9/Table1[[#This Row],[BW_GA]])-1)/(Backend!$B$4/100*Table1[[#This Row],[BW40_3705]]),"")</f>
        <v/>
      </c>
      <c r="I5540" s="7" t="str">
        <f>IF(Table1[[#This Row],[Is Data Valid]]=TRUE,((Table1[[#This Row],[Birthweight (grams)]]*1.1/Table1[[#This Row],[BW_GA]])-1)/(Backend!$B$4/100*Table1[[#This Row],[BW40_3705]]),"")</f>
        <v/>
      </c>
      <c r="J5540" s="7" t="str">
        <f>IF(Table1[[#This Row],[Is Data Valid]]=TRUE,_xlfn.NORM.S.DIST(Table1[[#This Row],[Birthweight Z-Score]],TRUE)*100,"")</f>
        <v/>
      </c>
      <c r="K5540" s="7" t="str">
        <f>IF(Table1[[#This Row],[Is Data Valid]]=TRUE,_xlfn.NORM.S.DIST(Table1[[#This Row],[Birthweight Z-Score (BW-10%)]],TRUE)*100,"")</f>
        <v/>
      </c>
      <c r="L5540" s="7" t="str">
        <f>IF(Table1[[#This Row],[Is Data Valid]]=TRUE,_xlfn.NORM.S.DIST(Table1[[#This Row],[Birthweight Z-Score (BW+10%)]],TRUE)*100,"")</f>
        <v/>
      </c>
    </row>
    <row r="5541" spans="1:12" x14ac:dyDescent="0.35">
      <c r="A5541" s="3"/>
      <c r="B5541" s="2"/>
      <c r="C5541" s="2"/>
      <c r="D5541" s="2" t="b">
        <f>IF(AND(NOT(ISBLANK(Table1[[#This Row],[Fetal Sex (Male, Female or Unknown)]])),ISNUMBER(Table1[[#This Row],[Birthweight (grams)]]),ISNUMBER(Table1[[#This Row],[Gestation (days)]])),TRUE,FALSE)</f>
        <v>0</v>
      </c>
      <c r="E5541" s="2" t="str">
        <f>IF(Table1[[#This Row],[Is Data Valid]]=TRUE,IF(Table1[[#This Row],[Fetal Sex (Male, Female or Unknown)]]="Male",Backend!$C$6,IF(Table1[[#This Row],[Fetal Sex (Male, Female or Unknown)]]="Female",Backend!$C$7,IF(Table1[[#This Row],[Fetal Sex (Male, Female or Unknown)]]="Unknown",Backend!$C$8,"Error"))),"")</f>
        <v/>
      </c>
      <c r="F5541" s="8" t="str">
        <f>IF(Table1[[#This Row],[Is Data Valid]]=TRUE,EXP(0.578+0.332*((Table1[[#This Row],[Gestation (days)]]+0.5)/7)-0.00354*((Table1[[#This Row],[Gestation (days)]]+0.5)/7)^2)*Table1[[#This Row],[BW40_3705]],"")</f>
        <v/>
      </c>
      <c r="G5541" s="2" t="str">
        <f>IF(Table1[[#This Row],[Is Data Valid]]=TRUE,((Table1[[#This Row],[Birthweight (grams)]]/Table1[[#This Row],[BW_GA]])-1)/(Backend!$B$4/100*Table1[[#This Row],[BW40_3705]]),"")</f>
        <v/>
      </c>
      <c r="H5541" s="7" t="str">
        <f>IF(Table1[[#This Row],[Is Data Valid]]=TRUE,((Table1[[#This Row],[Birthweight (grams)]]*0.9/Table1[[#This Row],[BW_GA]])-1)/(Backend!$B$4/100*Table1[[#This Row],[BW40_3705]]),"")</f>
        <v/>
      </c>
      <c r="I5541" s="7" t="str">
        <f>IF(Table1[[#This Row],[Is Data Valid]]=TRUE,((Table1[[#This Row],[Birthweight (grams)]]*1.1/Table1[[#This Row],[BW_GA]])-1)/(Backend!$B$4/100*Table1[[#This Row],[BW40_3705]]),"")</f>
        <v/>
      </c>
      <c r="J5541" s="7" t="str">
        <f>IF(Table1[[#This Row],[Is Data Valid]]=TRUE,_xlfn.NORM.S.DIST(Table1[[#This Row],[Birthweight Z-Score]],TRUE)*100,"")</f>
        <v/>
      </c>
      <c r="K5541" s="7" t="str">
        <f>IF(Table1[[#This Row],[Is Data Valid]]=TRUE,_xlfn.NORM.S.DIST(Table1[[#This Row],[Birthweight Z-Score (BW-10%)]],TRUE)*100,"")</f>
        <v/>
      </c>
      <c r="L5541" s="7" t="str">
        <f>IF(Table1[[#This Row],[Is Data Valid]]=TRUE,_xlfn.NORM.S.DIST(Table1[[#This Row],[Birthweight Z-Score (BW+10%)]],TRUE)*100,"")</f>
        <v/>
      </c>
    </row>
    <row r="5542" spans="1:12" x14ac:dyDescent="0.35">
      <c r="A5542" s="3"/>
      <c r="B5542" s="2"/>
      <c r="C5542" s="2"/>
      <c r="D5542" s="2" t="b">
        <f>IF(AND(NOT(ISBLANK(Table1[[#This Row],[Fetal Sex (Male, Female or Unknown)]])),ISNUMBER(Table1[[#This Row],[Birthweight (grams)]]),ISNUMBER(Table1[[#This Row],[Gestation (days)]])),TRUE,FALSE)</f>
        <v>0</v>
      </c>
      <c r="E5542" s="2" t="str">
        <f>IF(Table1[[#This Row],[Is Data Valid]]=TRUE,IF(Table1[[#This Row],[Fetal Sex (Male, Female or Unknown)]]="Male",Backend!$C$6,IF(Table1[[#This Row],[Fetal Sex (Male, Female or Unknown)]]="Female",Backend!$C$7,IF(Table1[[#This Row],[Fetal Sex (Male, Female or Unknown)]]="Unknown",Backend!$C$8,"Error"))),"")</f>
        <v/>
      </c>
      <c r="F5542" s="8" t="str">
        <f>IF(Table1[[#This Row],[Is Data Valid]]=TRUE,EXP(0.578+0.332*((Table1[[#This Row],[Gestation (days)]]+0.5)/7)-0.00354*((Table1[[#This Row],[Gestation (days)]]+0.5)/7)^2)*Table1[[#This Row],[BW40_3705]],"")</f>
        <v/>
      </c>
      <c r="G5542" s="2" t="str">
        <f>IF(Table1[[#This Row],[Is Data Valid]]=TRUE,((Table1[[#This Row],[Birthweight (grams)]]/Table1[[#This Row],[BW_GA]])-1)/(Backend!$B$4/100*Table1[[#This Row],[BW40_3705]]),"")</f>
        <v/>
      </c>
      <c r="H5542" s="7" t="str">
        <f>IF(Table1[[#This Row],[Is Data Valid]]=TRUE,((Table1[[#This Row],[Birthweight (grams)]]*0.9/Table1[[#This Row],[BW_GA]])-1)/(Backend!$B$4/100*Table1[[#This Row],[BW40_3705]]),"")</f>
        <v/>
      </c>
      <c r="I5542" s="7" t="str">
        <f>IF(Table1[[#This Row],[Is Data Valid]]=TRUE,((Table1[[#This Row],[Birthweight (grams)]]*1.1/Table1[[#This Row],[BW_GA]])-1)/(Backend!$B$4/100*Table1[[#This Row],[BW40_3705]]),"")</f>
        <v/>
      </c>
      <c r="J5542" s="7" t="str">
        <f>IF(Table1[[#This Row],[Is Data Valid]]=TRUE,_xlfn.NORM.S.DIST(Table1[[#This Row],[Birthweight Z-Score]],TRUE)*100,"")</f>
        <v/>
      </c>
      <c r="K5542" s="7" t="str">
        <f>IF(Table1[[#This Row],[Is Data Valid]]=TRUE,_xlfn.NORM.S.DIST(Table1[[#This Row],[Birthweight Z-Score (BW-10%)]],TRUE)*100,"")</f>
        <v/>
      </c>
      <c r="L5542" s="7" t="str">
        <f>IF(Table1[[#This Row],[Is Data Valid]]=TRUE,_xlfn.NORM.S.DIST(Table1[[#This Row],[Birthweight Z-Score (BW+10%)]],TRUE)*100,"")</f>
        <v/>
      </c>
    </row>
    <row r="5543" spans="1:12" x14ac:dyDescent="0.35">
      <c r="A5543" s="3"/>
      <c r="B5543" s="2"/>
      <c r="C5543" s="2"/>
      <c r="D5543" s="2" t="b">
        <f>IF(AND(NOT(ISBLANK(Table1[[#This Row],[Fetal Sex (Male, Female or Unknown)]])),ISNUMBER(Table1[[#This Row],[Birthweight (grams)]]),ISNUMBER(Table1[[#This Row],[Gestation (days)]])),TRUE,FALSE)</f>
        <v>0</v>
      </c>
      <c r="E5543" s="2" t="str">
        <f>IF(Table1[[#This Row],[Is Data Valid]]=TRUE,IF(Table1[[#This Row],[Fetal Sex (Male, Female or Unknown)]]="Male",Backend!$C$6,IF(Table1[[#This Row],[Fetal Sex (Male, Female or Unknown)]]="Female",Backend!$C$7,IF(Table1[[#This Row],[Fetal Sex (Male, Female or Unknown)]]="Unknown",Backend!$C$8,"Error"))),"")</f>
        <v/>
      </c>
      <c r="F5543" s="8" t="str">
        <f>IF(Table1[[#This Row],[Is Data Valid]]=TRUE,EXP(0.578+0.332*((Table1[[#This Row],[Gestation (days)]]+0.5)/7)-0.00354*((Table1[[#This Row],[Gestation (days)]]+0.5)/7)^2)*Table1[[#This Row],[BW40_3705]],"")</f>
        <v/>
      </c>
      <c r="G5543" s="2" t="str">
        <f>IF(Table1[[#This Row],[Is Data Valid]]=TRUE,((Table1[[#This Row],[Birthweight (grams)]]/Table1[[#This Row],[BW_GA]])-1)/(Backend!$B$4/100*Table1[[#This Row],[BW40_3705]]),"")</f>
        <v/>
      </c>
      <c r="H5543" s="7" t="str">
        <f>IF(Table1[[#This Row],[Is Data Valid]]=TRUE,((Table1[[#This Row],[Birthweight (grams)]]*0.9/Table1[[#This Row],[BW_GA]])-1)/(Backend!$B$4/100*Table1[[#This Row],[BW40_3705]]),"")</f>
        <v/>
      </c>
      <c r="I5543" s="7" t="str">
        <f>IF(Table1[[#This Row],[Is Data Valid]]=TRUE,((Table1[[#This Row],[Birthweight (grams)]]*1.1/Table1[[#This Row],[BW_GA]])-1)/(Backend!$B$4/100*Table1[[#This Row],[BW40_3705]]),"")</f>
        <v/>
      </c>
      <c r="J5543" s="7" t="str">
        <f>IF(Table1[[#This Row],[Is Data Valid]]=TRUE,_xlfn.NORM.S.DIST(Table1[[#This Row],[Birthweight Z-Score]],TRUE)*100,"")</f>
        <v/>
      </c>
      <c r="K5543" s="7" t="str">
        <f>IF(Table1[[#This Row],[Is Data Valid]]=TRUE,_xlfn.NORM.S.DIST(Table1[[#This Row],[Birthweight Z-Score (BW-10%)]],TRUE)*100,"")</f>
        <v/>
      </c>
      <c r="L5543" s="7" t="str">
        <f>IF(Table1[[#This Row],[Is Data Valid]]=TRUE,_xlfn.NORM.S.DIST(Table1[[#This Row],[Birthweight Z-Score (BW+10%)]],TRUE)*100,"")</f>
        <v/>
      </c>
    </row>
    <row r="5544" spans="1:12" x14ac:dyDescent="0.35">
      <c r="A5544" s="3"/>
      <c r="B5544" s="2"/>
      <c r="C5544" s="2"/>
      <c r="D5544" s="2" t="b">
        <f>IF(AND(NOT(ISBLANK(Table1[[#This Row],[Fetal Sex (Male, Female or Unknown)]])),ISNUMBER(Table1[[#This Row],[Birthweight (grams)]]),ISNUMBER(Table1[[#This Row],[Gestation (days)]])),TRUE,FALSE)</f>
        <v>0</v>
      </c>
      <c r="E5544" s="2" t="str">
        <f>IF(Table1[[#This Row],[Is Data Valid]]=TRUE,IF(Table1[[#This Row],[Fetal Sex (Male, Female or Unknown)]]="Male",Backend!$C$6,IF(Table1[[#This Row],[Fetal Sex (Male, Female or Unknown)]]="Female",Backend!$C$7,IF(Table1[[#This Row],[Fetal Sex (Male, Female or Unknown)]]="Unknown",Backend!$C$8,"Error"))),"")</f>
        <v/>
      </c>
      <c r="F5544" s="8" t="str">
        <f>IF(Table1[[#This Row],[Is Data Valid]]=TRUE,EXP(0.578+0.332*((Table1[[#This Row],[Gestation (days)]]+0.5)/7)-0.00354*((Table1[[#This Row],[Gestation (days)]]+0.5)/7)^2)*Table1[[#This Row],[BW40_3705]],"")</f>
        <v/>
      </c>
      <c r="G5544" s="2" t="str">
        <f>IF(Table1[[#This Row],[Is Data Valid]]=TRUE,((Table1[[#This Row],[Birthweight (grams)]]/Table1[[#This Row],[BW_GA]])-1)/(Backend!$B$4/100*Table1[[#This Row],[BW40_3705]]),"")</f>
        <v/>
      </c>
      <c r="H5544" s="7" t="str">
        <f>IF(Table1[[#This Row],[Is Data Valid]]=TRUE,((Table1[[#This Row],[Birthweight (grams)]]*0.9/Table1[[#This Row],[BW_GA]])-1)/(Backend!$B$4/100*Table1[[#This Row],[BW40_3705]]),"")</f>
        <v/>
      </c>
      <c r="I5544" s="7" t="str">
        <f>IF(Table1[[#This Row],[Is Data Valid]]=TRUE,((Table1[[#This Row],[Birthweight (grams)]]*1.1/Table1[[#This Row],[BW_GA]])-1)/(Backend!$B$4/100*Table1[[#This Row],[BW40_3705]]),"")</f>
        <v/>
      </c>
      <c r="J5544" s="7" t="str">
        <f>IF(Table1[[#This Row],[Is Data Valid]]=TRUE,_xlfn.NORM.S.DIST(Table1[[#This Row],[Birthweight Z-Score]],TRUE)*100,"")</f>
        <v/>
      </c>
      <c r="K5544" s="7" t="str">
        <f>IF(Table1[[#This Row],[Is Data Valid]]=TRUE,_xlfn.NORM.S.DIST(Table1[[#This Row],[Birthweight Z-Score (BW-10%)]],TRUE)*100,"")</f>
        <v/>
      </c>
      <c r="L5544" s="7" t="str">
        <f>IF(Table1[[#This Row],[Is Data Valid]]=TRUE,_xlfn.NORM.S.DIST(Table1[[#This Row],[Birthweight Z-Score (BW+10%)]],TRUE)*100,"")</f>
        <v/>
      </c>
    </row>
    <row r="5545" spans="1:12" x14ac:dyDescent="0.35">
      <c r="A5545" s="3"/>
      <c r="B5545" s="2"/>
      <c r="C5545" s="2"/>
      <c r="D5545" s="2" t="b">
        <f>IF(AND(NOT(ISBLANK(Table1[[#This Row],[Fetal Sex (Male, Female or Unknown)]])),ISNUMBER(Table1[[#This Row],[Birthweight (grams)]]),ISNUMBER(Table1[[#This Row],[Gestation (days)]])),TRUE,FALSE)</f>
        <v>0</v>
      </c>
      <c r="E5545" s="2" t="str">
        <f>IF(Table1[[#This Row],[Is Data Valid]]=TRUE,IF(Table1[[#This Row],[Fetal Sex (Male, Female or Unknown)]]="Male",Backend!$C$6,IF(Table1[[#This Row],[Fetal Sex (Male, Female or Unknown)]]="Female",Backend!$C$7,IF(Table1[[#This Row],[Fetal Sex (Male, Female or Unknown)]]="Unknown",Backend!$C$8,"Error"))),"")</f>
        <v/>
      </c>
      <c r="F5545" s="8" t="str">
        <f>IF(Table1[[#This Row],[Is Data Valid]]=TRUE,EXP(0.578+0.332*((Table1[[#This Row],[Gestation (days)]]+0.5)/7)-0.00354*((Table1[[#This Row],[Gestation (days)]]+0.5)/7)^2)*Table1[[#This Row],[BW40_3705]],"")</f>
        <v/>
      </c>
      <c r="G5545" s="2" t="str">
        <f>IF(Table1[[#This Row],[Is Data Valid]]=TRUE,((Table1[[#This Row],[Birthweight (grams)]]/Table1[[#This Row],[BW_GA]])-1)/(Backend!$B$4/100*Table1[[#This Row],[BW40_3705]]),"")</f>
        <v/>
      </c>
      <c r="H5545" s="7" t="str">
        <f>IF(Table1[[#This Row],[Is Data Valid]]=TRUE,((Table1[[#This Row],[Birthweight (grams)]]*0.9/Table1[[#This Row],[BW_GA]])-1)/(Backend!$B$4/100*Table1[[#This Row],[BW40_3705]]),"")</f>
        <v/>
      </c>
      <c r="I5545" s="7" t="str">
        <f>IF(Table1[[#This Row],[Is Data Valid]]=TRUE,((Table1[[#This Row],[Birthweight (grams)]]*1.1/Table1[[#This Row],[BW_GA]])-1)/(Backend!$B$4/100*Table1[[#This Row],[BW40_3705]]),"")</f>
        <v/>
      </c>
      <c r="J5545" s="7" t="str">
        <f>IF(Table1[[#This Row],[Is Data Valid]]=TRUE,_xlfn.NORM.S.DIST(Table1[[#This Row],[Birthweight Z-Score]],TRUE)*100,"")</f>
        <v/>
      </c>
      <c r="K5545" s="7" t="str">
        <f>IF(Table1[[#This Row],[Is Data Valid]]=TRUE,_xlfn.NORM.S.DIST(Table1[[#This Row],[Birthweight Z-Score (BW-10%)]],TRUE)*100,"")</f>
        <v/>
      </c>
      <c r="L5545" s="7" t="str">
        <f>IF(Table1[[#This Row],[Is Data Valid]]=TRUE,_xlfn.NORM.S.DIST(Table1[[#This Row],[Birthweight Z-Score (BW+10%)]],TRUE)*100,"")</f>
        <v/>
      </c>
    </row>
    <row r="5546" spans="1:12" x14ac:dyDescent="0.35">
      <c r="A5546" s="3"/>
      <c r="B5546" s="2"/>
      <c r="C5546" s="2"/>
      <c r="D5546" s="2" t="b">
        <f>IF(AND(NOT(ISBLANK(Table1[[#This Row],[Fetal Sex (Male, Female or Unknown)]])),ISNUMBER(Table1[[#This Row],[Birthweight (grams)]]),ISNUMBER(Table1[[#This Row],[Gestation (days)]])),TRUE,FALSE)</f>
        <v>0</v>
      </c>
      <c r="E5546" s="2" t="str">
        <f>IF(Table1[[#This Row],[Is Data Valid]]=TRUE,IF(Table1[[#This Row],[Fetal Sex (Male, Female or Unknown)]]="Male",Backend!$C$6,IF(Table1[[#This Row],[Fetal Sex (Male, Female or Unknown)]]="Female",Backend!$C$7,IF(Table1[[#This Row],[Fetal Sex (Male, Female or Unknown)]]="Unknown",Backend!$C$8,"Error"))),"")</f>
        <v/>
      </c>
      <c r="F5546" s="8" t="str">
        <f>IF(Table1[[#This Row],[Is Data Valid]]=TRUE,EXP(0.578+0.332*((Table1[[#This Row],[Gestation (days)]]+0.5)/7)-0.00354*((Table1[[#This Row],[Gestation (days)]]+0.5)/7)^2)*Table1[[#This Row],[BW40_3705]],"")</f>
        <v/>
      </c>
      <c r="G5546" s="2" t="str">
        <f>IF(Table1[[#This Row],[Is Data Valid]]=TRUE,((Table1[[#This Row],[Birthweight (grams)]]/Table1[[#This Row],[BW_GA]])-1)/(Backend!$B$4/100*Table1[[#This Row],[BW40_3705]]),"")</f>
        <v/>
      </c>
      <c r="H5546" s="7" t="str">
        <f>IF(Table1[[#This Row],[Is Data Valid]]=TRUE,((Table1[[#This Row],[Birthweight (grams)]]*0.9/Table1[[#This Row],[BW_GA]])-1)/(Backend!$B$4/100*Table1[[#This Row],[BW40_3705]]),"")</f>
        <v/>
      </c>
      <c r="I5546" s="7" t="str">
        <f>IF(Table1[[#This Row],[Is Data Valid]]=TRUE,((Table1[[#This Row],[Birthweight (grams)]]*1.1/Table1[[#This Row],[BW_GA]])-1)/(Backend!$B$4/100*Table1[[#This Row],[BW40_3705]]),"")</f>
        <v/>
      </c>
      <c r="J5546" s="7" t="str">
        <f>IF(Table1[[#This Row],[Is Data Valid]]=TRUE,_xlfn.NORM.S.DIST(Table1[[#This Row],[Birthweight Z-Score]],TRUE)*100,"")</f>
        <v/>
      </c>
      <c r="K5546" s="7" t="str">
        <f>IF(Table1[[#This Row],[Is Data Valid]]=TRUE,_xlfn.NORM.S.DIST(Table1[[#This Row],[Birthweight Z-Score (BW-10%)]],TRUE)*100,"")</f>
        <v/>
      </c>
      <c r="L5546" s="7" t="str">
        <f>IF(Table1[[#This Row],[Is Data Valid]]=TRUE,_xlfn.NORM.S.DIST(Table1[[#This Row],[Birthweight Z-Score (BW+10%)]],TRUE)*100,"")</f>
        <v/>
      </c>
    </row>
    <row r="5547" spans="1:12" x14ac:dyDescent="0.35">
      <c r="A5547" s="3"/>
      <c r="B5547" s="2"/>
      <c r="C5547" s="2"/>
      <c r="D5547" s="2" t="b">
        <f>IF(AND(NOT(ISBLANK(Table1[[#This Row],[Fetal Sex (Male, Female or Unknown)]])),ISNUMBER(Table1[[#This Row],[Birthweight (grams)]]),ISNUMBER(Table1[[#This Row],[Gestation (days)]])),TRUE,FALSE)</f>
        <v>0</v>
      </c>
      <c r="E5547" s="2" t="str">
        <f>IF(Table1[[#This Row],[Is Data Valid]]=TRUE,IF(Table1[[#This Row],[Fetal Sex (Male, Female or Unknown)]]="Male",Backend!$C$6,IF(Table1[[#This Row],[Fetal Sex (Male, Female or Unknown)]]="Female",Backend!$C$7,IF(Table1[[#This Row],[Fetal Sex (Male, Female or Unknown)]]="Unknown",Backend!$C$8,"Error"))),"")</f>
        <v/>
      </c>
      <c r="F5547" s="8" t="str">
        <f>IF(Table1[[#This Row],[Is Data Valid]]=TRUE,EXP(0.578+0.332*((Table1[[#This Row],[Gestation (days)]]+0.5)/7)-0.00354*((Table1[[#This Row],[Gestation (days)]]+0.5)/7)^2)*Table1[[#This Row],[BW40_3705]],"")</f>
        <v/>
      </c>
      <c r="G5547" s="2" t="str">
        <f>IF(Table1[[#This Row],[Is Data Valid]]=TRUE,((Table1[[#This Row],[Birthweight (grams)]]/Table1[[#This Row],[BW_GA]])-1)/(Backend!$B$4/100*Table1[[#This Row],[BW40_3705]]),"")</f>
        <v/>
      </c>
      <c r="H5547" s="7" t="str">
        <f>IF(Table1[[#This Row],[Is Data Valid]]=TRUE,((Table1[[#This Row],[Birthweight (grams)]]*0.9/Table1[[#This Row],[BW_GA]])-1)/(Backend!$B$4/100*Table1[[#This Row],[BW40_3705]]),"")</f>
        <v/>
      </c>
      <c r="I5547" s="7" t="str">
        <f>IF(Table1[[#This Row],[Is Data Valid]]=TRUE,((Table1[[#This Row],[Birthweight (grams)]]*1.1/Table1[[#This Row],[BW_GA]])-1)/(Backend!$B$4/100*Table1[[#This Row],[BW40_3705]]),"")</f>
        <v/>
      </c>
      <c r="J5547" s="7" t="str">
        <f>IF(Table1[[#This Row],[Is Data Valid]]=TRUE,_xlfn.NORM.S.DIST(Table1[[#This Row],[Birthweight Z-Score]],TRUE)*100,"")</f>
        <v/>
      </c>
      <c r="K5547" s="7" t="str">
        <f>IF(Table1[[#This Row],[Is Data Valid]]=TRUE,_xlfn.NORM.S.DIST(Table1[[#This Row],[Birthweight Z-Score (BW-10%)]],TRUE)*100,"")</f>
        <v/>
      </c>
      <c r="L5547" s="7" t="str">
        <f>IF(Table1[[#This Row],[Is Data Valid]]=TRUE,_xlfn.NORM.S.DIST(Table1[[#This Row],[Birthweight Z-Score (BW+10%)]],TRUE)*100,"")</f>
        <v/>
      </c>
    </row>
    <row r="5548" spans="1:12" x14ac:dyDescent="0.35">
      <c r="A5548" s="3"/>
      <c r="B5548" s="2"/>
      <c r="C5548" s="2"/>
      <c r="D5548" s="2" t="b">
        <f>IF(AND(NOT(ISBLANK(Table1[[#This Row],[Fetal Sex (Male, Female or Unknown)]])),ISNUMBER(Table1[[#This Row],[Birthweight (grams)]]),ISNUMBER(Table1[[#This Row],[Gestation (days)]])),TRUE,FALSE)</f>
        <v>0</v>
      </c>
      <c r="E5548" s="2" t="str">
        <f>IF(Table1[[#This Row],[Is Data Valid]]=TRUE,IF(Table1[[#This Row],[Fetal Sex (Male, Female or Unknown)]]="Male",Backend!$C$6,IF(Table1[[#This Row],[Fetal Sex (Male, Female or Unknown)]]="Female",Backend!$C$7,IF(Table1[[#This Row],[Fetal Sex (Male, Female or Unknown)]]="Unknown",Backend!$C$8,"Error"))),"")</f>
        <v/>
      </c>
      <c r="F5548" s="8" t="str">
        <f>IF(Table1[[#This Row],[Is Data Valid]]=TRUE,EXP(0.578+0.332*((Table1[[#This Row],[Gestation (days)]]+0.5)/7)-0.00354*((Table1[[#This Row],[Gestation (days)]]+0.5)/7)^2)*Table1[[#This Row],[BW40_3705]],"")</f>
        <v/>
      </c>
      <c r="G5548" s="2" t="str">
        <f>IF(Table1[[#This Row],[Is Data Valid]]=TRUE,((Table1[[#This Row],[Birthweight (grams)]]/Table1[[#This Row],[BW_GA]])-1)/(Backend!$B$4/100*Table1[[#This Row],[BW40_3705]]),"")</f>
        <v/>
      </c>
      <c r="H5548" s="7" t="str">
        <f>IF(Table1[[#This Row],[Is Data Valid]]=TRUE,((Table1[[#This Row],[Birthweight (grams)]]*0.9/Table1[[#This Row],[BW_GA]])-1)/(Backend!$B$4/100*Table1[[#This Row],[BW40_3705]]),"")</f>
        <v/>
      </c>
      <c r="I5548" s="7" t="str">
        <f>IF(Table1[[#This Row],[Is Data Valid]]=TRUE,((Table1[[#This Row],[Birthweight (grams)]]*1.1/Table1[[#This Row],[BW_GA]])-1)/(Backend!$B$4/100*Table1[[#This Row],[BW40_3705]]),"")</f>
        <v/>
      </c>
      <c r="J5548" s="7" t="str">
        <f>IF(Table1[[#This Row],[Is Data Valid]]=TRUE,_xlfn.NORM.S.DIST(Table1[[#This Row],[Birthweight Z-Score]],TRUE)*100,"")</f>
        <v/>
      </c>
      <c r="K5548" s="7" t="str">
        <f>IF(Table1[[#This Row],[Is Data Valid]]=TRUE,_xlfn.NORM.S.DIST(Table1[[#This Row],[Birthweight Z-Score (BW-10%)]],TRUE)*100,"")</f>
        <v/>
      </c>
      <c r="L5548" s="7" t="str">
        <f>IF(Table1[[#This Row],[Is Data Valid]]=TRUE,_xlfn.NORM.S.DIST(Table1[[#This Row],[Birthweight Z-Score (BW+10%)]],TRUE)*100,"")</f>
        <v/>
      </c>
    </row>
    <row r="5549" spans="1:12" x14ac:dyDescent="0.35">
      <c r="A5549" s="3"/>
      <c r="B5549" s="2"/>
      <c r="C5549" s="2"/>
      <c r="D5549" s="2" t="b">
        <f>IF(AND(NOT(ISBLANK(Table1[[#This Row],[Fetal Sex (Male, Female or Unknown)]])),ISNUMBER(Table1[[#This Row],[Birthweight (grams)]]),ISNUMBER(Table1[[#This Row],[Gestation (days)]])),TRUE,FALSE)</f>
        <v>0</v>
      </c>
      <c r="E5549" s="2" t="str">
        <f>IF(Table1[[#This Row],[Is Data Valid]]=TRUE,IF(Table1[[#This Row],[Fetal Sex (Male, Female or Unknown)]]="Male",Backend!$C$6,IF(Table1[[#This Row],[Fetal Sex (Male, Female or Unknown)]]="Female",Backend!$C$7,IF(Table1[[#This Row],[Fetal Sex (Male, Female or Unknown)]]="Unknown",Backend!$C$8,"Error"))),"")</f>
        <v/>
      </c>
      <c r="F5549" s="8" t="str">
        <f>IF(Table1[[#This Row],[Is Data Valid]]=TRUE,EXP(0.578+0.332*((Table1[[#This Row],[Gestation (days)]]+0.5)/7)-0.00354*((Table1[[#This Row],[Gestation (days)]]+0.5)/7)^2)*Table1[[#This Row],[BW40_3705]],"")</f>
        <v/>
      </c>
      <c r="G5549" s="2" t="str">
        <f>IF(Table1[[#This Row],[Is Data Valid]]=TRUE,((Table1[[#This Row],[Birthweight (grams)]]/Table1[[#This Row],[BW_GA]])-1)/(Backend!$B$4/100*Table1[[#This Row],[BW40_3705]]),"")</f>
        <v/>
      </c>
      <c r="H5549" s="7" t="str">
        <f>IF(Table1[[#This Row],[Is Data Valid]]=TRUE,((Table1[[#This Row],[Birthweight (grams)]]*0.9/Table1[[#This Row],[BW_GA]])-1)/(Backend!$B$4/100*Table1[[#This Row],[BW40_3705]]),"")</f>
        <v/>
      </c>
      <c r="I5549" s="7" t="str">
        <f>IF(Table1[[#This Row],[Is Data Valid]]=TRUE,((Table1[[#This Row],[Birthweight (grams)]]*1.1/Table1[[#This Row],[BW_GA]])-1)/(Backend!$B$4/100*Table1[[#This Row],[BW40_3705]]),"")</f>
        <v/>
      </c>
      <c r="J5549" s="7" t="str">
        <f>IF(Table1[[#This Row],[Is Data Valid]]=TRUE,_xlfn.NORM.S.DIST(Table1[[#This Row],[Birthweight Z-Score]],TRUE)*100,"")</f>
        <v/>
      </c>
      <c r="K5549" s="7" t="str">
        <f>IF(Table1[[#This Row],[Is Data Valid]]=TRUE,_xlfn.NORM.S.DIST(Table1[[#This Row],[Birthweight Z-Score (BW-10%)]],TRUE)*100,"")</f>
        <v/>
      </c>
      <c r="L5549" s="7" t="str">
        <f>IF(Table1[[#This Row],[Is Data Valid]]=TRUE,_xlfn.NORM.S.DIST(Table1[[#This Row],[Birthweight Z-Score (BW+10%)]],TRUE)*100,"")</f>
        <v/>
      </c>
    </row>
    <row r="5550" spans="1:12" x14ac:dyDescent="0.35">
      <c r="A5550" s="3"/>
      <c r="B5550" s="2"/>
      <c r="C5550" s="2"/>
      <c r="D5550" s="2" t="b">
        <f>IF(AND(NOT(ISBLANK(Table1[[#This Row],[Fetal Sex (Male, Female or Unknown)]])),ISNUMBER(Table1[[#This Row],[Birthweight (grams)]]),ISNUMBER(Table1[[#This Row],[Gestation (days)]])),TRUE,FALSE)</f>
        <v>0</v>
      </c>
      <c r="E5550" s="2" t="str">
        <f>IF(Table1[[#This Row],[Is Data Valid]]=TRUE,IF(Table1[[#This Row],[Fetal Sex (Male, Female or Unknown)]]="Male",Backend!$C$6,IF(Table1[[#This Row],[Fetal Sex (Male, Female or Unknown)]]="Female",Backend!$C$7,IF(Table1[[#This Row],[Fetal Sex (Male, Female or Unknown)]]="Unknown",Backend!$C$8,"Error"))),"")</f>
        <v/>
      </c>
      <c r="F5550" s="8" t="str">
        <f>IF(Table1[[#This Row],[Is Data Valid]]=TRUE,EXP(0.578+0.332*((Table1[[#This Row],[Gestation (days)]]+0.5)/7)-0.00354*((Table1[[#This Row],[Gestation (days)]]+0.5)/7)^2)*Table1[[#This Row],[BW40_3705]],"")</f>
        <v/>
      </c>
      <c r="G5550" s="2" t="str">
        <f>IF(Table1[[#This Row],[Is Data Valid]]=TRUE,((Table1[[#This Row],[Birthweight (grams)]]/Table1[[#This Row],[BW_GA]])-1)/(Backend!$B$4/100*Table1[[#This Row],[BW40_3705]]),"")</f>
        <v/>
      </c>
      <c r="H5550" s="7" t="str">
        <f>IF(Table1[[#This Row],[Is Data Valid]]=TRUE,((Table1[[#This Row],[Birthweight (grams)]]*0.9/Table1[[#This Row],[BW_GA]])-1)/(Backend!$B$4/100*Table1[[#This Row],[BW40_3705]]),"")</f>
        <v/>
      </c>
      <c r="I5550" s="7" t="str">
        <f>IF(Table1[[#This Row],[Is Data Valid]]=TRUE,((Table1[[#This Row],[Birthweight (grams)]]*1.1/Table1[[#This Row],[BW_GA]])-1)/(Backend!$B$4/100*Table1[[#This Row],[BW40_3705]]),"")</f>
        <v/>
      </c>
      <c r="J5550" s="7" t="str">
        <f>IF(Table1[[#This Row],[Is Data Valid]]=TRUE,_xlfn.NORM.S.DIST(Table1[[#This Row],[Birthweight Z-Score]],TRUE)*100,"")</f>
        <v/>
      </c>
      <c r="K5550" s="7" t="str">
        <f>IF(Table1[[#This Row],[Is Data Valid]]=TRUE,_xlfn.NORM.S.DIST(Table1[[#This Row],[Birthweight Z-Score (BW-10%)]],TRUE)*100,"")</f>
        <v/>
      </c>
      <c r="L5550" s="7" t="str">
        <f>IF(Table1[[#This Row],[Is Data Valid]]=TRUE,_xlfn.NORM.S.DIST(Table1[[#This Row],[Birthweight Z-Score (BW+10%)]],TRUE)*100,"")</f>
        <v/>
      </c>
    </row>
    <row r="5551" spans="1:12" x14ac:dyDescent="0.35">
      <c r="A5551" s="3"/>
      <c r="B5551" s="2"/>
      <c r="C5551" s="2"/>
      <c r="D5551" s="2" t="b">
        <f>IF(AND(NOT(ISBLANK(Table1[[#This Row],[Fetal Sex (Male, Female or Unknown)]])),ISNUMBER(Table1[[#This Row],[Birthweight (grams)]]),ISNUMBER(Table1[[#This Row],[Gestation (days)]])),TRUE,FALSE)</f>
        <v>0</v>
      </c>
      <c r="E5551" s="2" t="str">
        <f>IF(Table1[[#This Row],[Is Data Valid]]=TRUE,IF(Table1[[#This Row],[Fetal Sex (Male, Female or Unknown)]]="Male",Backend!$C$6,IF(Table1[[#This Row],[Fetal Sex (Male, Female or Unknown)]]="Female",Backend!$C$7,IF(Table1[[#This Row],[Fetal Sex (Male, Female or Unknown)]]="Unknown",Backend!$C$8,"Error"))),"")</f>
        <v/>
      </c>
      <c r="F5551" s="8" t="str">
        <f>IF(Table1[[#This Row],[Is Data Valid]]=TRUE,EXP(0.578+0.332*((Table1[[#This Row],[Gestation (days)]]+0.5)/7)-0.00354*((Table1[[#This Row],[Gestation (days)]]+0.5)/7)^2)*Table1[[#This Row],[BW40_3705]],"")</f>
        <v/>
      </c>
      <c r="G5551" s="2" t="str">
        <f>IF(Table1[[#This Row],[Is Data Valid]]=TRUE,((Table1[[#This Row],[Birthweight (grams)]]/Table1[[#This Row],[BW_GA]])-1)/(Backend!$B$4/100*Table1[[#This Row],[BW40_3705]]),"")</f>
        <v/>
      </c>
      <c r="H5551" s="7" t="str">
        <f>IF(Table1[[#This Row],[Is Data Valid]]=TRUE,((Table1[[#This Row],[Birthweight (grams)]]*0.9/Table1[[#This Row],[BW_GA]])-1)/(Backend!$B$4/100*Table1[[#This Row],[BW40_3705]]),"")</f>
        <v/>
      </c>
      <c r="I5551" s="7" t="str">
        <f>IF(Table1[[#This Row],[Is Data Valid]]=TRUE,((Table1[[#This Row],[Birthweight (grams)]]*1.1/Table1[[#This Row],[BW_GA]])-1)/(Backend!$B$4/100*Table1[[#This Row],[BW40_3705]]),"")</f>
        <v/>
      </c>
      <c r="J5551" s="7" t="str">
        <f>IF(Table1[[#This Row],[Is Data Valid]]=TRUE,_xlfn.NORM.S.DIST(Table1[[#This Row],[Birthweight Z-Score]],TRUE)*100,"")</f>
        <v/>
      </c>
      <c r="K5551" s="7" t="str">
        <f>IF(Table1[[#This Row],[Is Data Valid]]=TRUE,_xlfn.NORM.S.DIST(Table1[[#This Row],[Birthweight Z-Score (BW-10%)]],TRUE)*100,"")</f>
        <v/>
      </c>
      <c r="L5551" s="7" t="str">
        <f>IF(Table1[[#This Row],[Is Data Valid]]=TRUE,_xlfn.NORM.S.DIST(Table1[[#This Row],[Birthweight Z-Score (BW+10%)]],TRUE)*100,"")</f>
        <v/>
      </c>
    </row>
    <row r="5552" spans="1:12" x14ac:dyDescent="0.35">
      <c r="A5552" s="3"/>
      <c r="B5552" s="2"/>
      <c r="C5552" s="2"/>
      <c r="D5552" s="2" t="b">
        <f>IF(AND(NOT(ISBLANK(Table1[[#This Row],[Fetal Sex (Male, Female or Unknown)]])),ISNUMBER(Table1[[#This Row],[Birthweight (grams)]]),ISNUMBER(Table1[[#This Row],[Gestation (days)]])),TRUE,FALSE)</f>
        <v>0</v>
      </c>
      <c r="E5552" s="2" t="str">
        <f>IF(Table1[[#This Row],[Is Data Valid]]=TRUE,IF(Table1[[#This Row],[Fetal Sex (Male, Female or Unknown)]]="Male",Backend!$C$6,IF(Table1[[#This Row],[Fetal Sex (Male, Female or Unknown)]]="Female",Backend!$C$7,IF(Table1[[#This Row],[Fetal Sex (Male, Female or Unknown)]]="Unknown",Backend!$C$8,"Error"))),"")</f>
        <v/>
      </c>
      <c r="F5552" s="8" t="str">
        <f>IF(Table1[[#This Row],[Is Data Valid]]=TRUE,EXP(0.578+0.332*((Table1[[#This Row],[Gestation (days)]]+0.5)/7)-0.00354*((Table1[[#This Row],[Gestation (days)]]+0.5)/7)^2)*Table1[[#This Row],[BW40_3705]],"")</f>
        <v/>
      </c>
      <c r="G5552" s="2" t="str">
        <f>IF(Table1[[#This Row],[Is Data Valid]]=TRUE,((Table1[[#This Row],[Birthweight (grams)]]/Table1[[#This Row],[BW_GA]])-1)/(Backend!$B$4/100*Table1[[#This Row],[BW40_3705]]),"")</f>
        <v/>
      </c>
      <c r="H5552" s="7" t="str">
        <f>IF(Table1[[#This Row],[Is Data Valid]]=TRUE,((Table1[[#This Row],[Birthweight (grams)]]*0.9/Table1[[#This Row],[BW_GA]])-1)/(Backend!$B$4/100*Table1[[#This Row],[BW40_3705]]),"")</f>
        <v/>
      </c>
      <c r="I5552" s="7" t="str">
        <f>IF(Table1[[#This Row],[Is Data Valid]]=TRUE,((Table1[[#This Row],[Birthweight (grams)]]*1.1/Table1[[#This Row],[BW_GA]])-1)/(Backend!$B$4/100*Table1[[#This Row],[BW40_3705]]),"")</f>
        <v/>
      </c>
      <c r="J5552" s="7" t="str">
        <f>IF(Table1[[#This Row],[Is Data Valid]]=TRUE,_xlfn.NORM.S.DIST(Table1[[#This Row],[Birthweight Z-Score]],TRUE)*100,"")</f>
        <v/>
      </c>
      <c r="K5552" s="7" t="str">
        <f>IF(Table1[[#This Row],[Is Data Valid]]=TRUE,_xlfn.NORM.S.DIST(Table1[[#This Row],[Birthweight Z-Score (BW-10%)]],TRUE)*100,"")</f>
        <v/>
      </c>
      <c r="L5552" s="7" t="str">
        <f>IF(Table1[[#This Row],[Is Data Valid]]=TRUE,_xlfn.NORM.S.DIST(Table1[[#This Row],[Birthweight Z-Score (BW+10%)]],TRUE)*100,"")</f>
        <v/>
      </c>
    </row>
    <row r="5553" spans="1:12" x14ac:dyDescent="0.35">
      <c r="A5553" s="3"/>
      <c r="B5553" s="2"/>
      <c r="C5553" s="2"/>
      <c r="D5553" s="2" t="b">
        <f>IF(AND(NOT(ISBLANK(Table1[[#This Row],[Fetal Sex (Male, Female or Unknown)]])),ISNUMBER(Table1[[#This Row],[Birthweight (grams)]]),ISNUMBER(Table1[[#This Row],[Gestation (days)]])),TRUE,FALSE)</f>
        <v>0</v>
      </c>
      <c r="E5553" s="2" t="str">
        <f>IF(Table1[[#This Row],[Is Data Valid]]=TRUE,IF(Table1[[#This Row],[Fetal Sex (Male, Female or Unknown)]]="Male",Backend!$C$6,IF(Table1[[#This Row],[Fetal Sex (Male, Female or Unknown)]]="Female",Backend!$C$7,IF(Table1[[#This Row],[Fetal Sex (Male, Female or Unknown)]]="Unknown",Backend!$C$8,"Error"))),"")</f>
        <v/>
      </c>
      <c r="F5553" s="8" t="str">
        <f>IF(Table1[[#This Row],[Is Data Valid]]=TRUE,EXP(0.578+0.332*((Table1[[#This Row],[Gestation (days)]]+0.5)/7)-0.00354*((Table1[[#This Row],[Gestation (days)]]+0.5)/7)^2)*Table1[[#This Row],[BW40_3705]],"")</f>
        <v/>
      </c>
      <c r="G5553" s="2" t="str">
        <f>IF(Table1[[#This Row],[Is Data Valid]]=TRUE,((Table1[[#This Row],[Birthweight (grams)]]/Table1[[#This Row],[BW_GA]])-1)/(Backend!$B$4/100*Table1[[#This Row],[BW40_3705]]),"")</f>
        <v/>
      </c>
      <c r="H5553" s="7" t="str">
        <f>IF(Table1[[#This Row],[Is Data Valid]]=TRUE,((Table1[[#This Row],[Birthweight (grams)]]*0.9/Table1[[#This Row],[BW_GA]])-1)/(Backend!$B$4/100*Table1[[#This Row],[BW40_3705]]),"")</f>
        <v/>
      </c>
      <c r="I5553" s="7" t="str">
        <f>IF(Table1[[#This Row],[Is Data Valid]]=TRUE,((Table1[[#This Row],[Birthweight (grams)]]*1.1/Table1[[#This Row],[BW_GA]])-1)/(Backend!$B$4/100*Table1[[#This Row],[BW40_3705]]),"")</f>
        <v/>
      </c>
      <c r="J5553" s="7" t="str">
        <f>IF(Table1[[#This Row],[Is Data Valid]]=TRUE,_xlfn.NORM.S.DIST(Table1[[#This Row],[Birthweight Z-Score]],TRUE)*100,"")</f>
        <v/>
      </c>
      <c r="K5553" s="7" t="str">
        <f>IF(Table1[[#This Row],[Is Data Valid]]=TRUE,_xlfn.NORM.S.DIST(Table1[[#This Row],[Birthweight Z-Score (BW-10%)]],TRUE)*100,"")</f>
        <v/>
      </c>
      <c r="L5553" s="7" t="str">
        <f>IF(Table1[[#This Row],[Is Data Valid]]=TRUE,_xlfn.NORM.S.DIST(Table1[[#This Row],[Birthweight Z-Score (BW+10%)]],TRUE)*100,"")</f>
        <v/>
      </c>
    </row>
    <row r="5554" spans="1:12" x14ac:dyDescent="0.35">
      <c r="A5554" s="3"/>
      <c r="B5554" s="2"/>
      <c r="C5554" s="2"/>
      <c r="D5554" s="2" t="b">
        <f>IF(AND(NOT(ISBLANK(Table1[[#This Row],[Fetal Sex (Male, Female or Unknown)]])),ISNUMBER(Table1[[#This Row],[Birthweight (grams)]]),ISNUMBER(Table1[[#This Row],[Gestation (days)]])),TRUE,FALSE)</f>
        <v>0</v>
      </c>
      <c r="E5554" s="2" t="str">
        <f>IF(Table1[[#This Row],[Is Data Valid]]=TRUE,IF(Table1[[#This Row],[Fetal Sex (Male, Female or Unknown)]]="Male",Backend!$C$6,IF(Table1[[#This Row],[Fetal Sex (Male, Female or Unknown)]]="Female",Backend!$C$7,IF(Table1[[#This Row],[Fetal Sex (Male, Female or Unknown)]]="Unknown",Backend!$C$8,"Error"))),"")</f>
        <v/>
      </c>
      <c r="F5554" s="8" t="str">
        <f>IF(Table1[[#This Row],[Is Data Valid]]=TRUE,EXP(0.578+0.332*((Table1[[#This Row],[Gestation (days)]]+0.5)/7)-0.00354*((Table1[[#This Row],[Gestation (days)]]+0.5)/7)^2)*Table1[[#This Row],[BW40_3705]],"")</f>
        <v/>
      </c>
      <c r="G5554" s="2" t="str">
        <f>IF(Table1[[#This Row],[Is Data Valid]]=TRUE,((Table1[[#This Row],[Birthweight (grams)]]/Table1[[#This Row],[BW_GA]])-1)/(Backend!$B$4/100*Table1[[#This Row],[BW40_3705]]),"")</f>
        <v/>
      </c>
      <c r="H5554" s="7" t="str">
        <f>IF(Table1[[#This Row],[Is Data Valid]]=TRUE,((Table1[[#This Row],[Birthweight (grams)]]*0.9/Table1[[#This Row],[BW_GA]])-1)/(Backend!$B$4/100*Table1[[#This Row],[BW40_3705]]),"")</f>
        <v/>
      </c>
      <c r="I5554" s="7" t="str">
        <f>IF(Table1[[#This Row],[Is Data Valid]]=TRUE,((Table1[[#This Row],[Birthweight (grams)]]*1.1/Table1[[#This Row],[BW_GA]])-1)/(Backend!$B$4/100*Table1[[#This Row],[BW40_3705]]),"")</f>
        <v/>
      </c>
      <c r="J5554" s="7" t="str">
        <f>IF(Table1[[#This Row],[Is Data Valid]]=TRUE,_xlfn.NORM.S.DIST(Table1[[#This Row],[Birthweight Z-Score]],TRUE)*100,"")</f>
        <v/>
      </c>
      <c r="K5554" s="7" t="str">
        <f>IF(Table1[[#This Row],[Is Data Valid]]=TRUE,_xlfn.NORM.S.DIST(Table1[[#This Row],[Birthweight Z-Score (BW-10%)]],TRUE)*100,"")</f>
        <v/>
      </c>
      <c r="L5554" s="7" t="str">
        <f>IF(Table1[[#This Row],[Is Data Valid]]=TRUE,_xlfn.NORM.S.DIST(Table1[[#This Row],[Birthweight Z-Score (BW+10%)]],TRUE)*100,"")</f>
        <v/>
      </c>
    </row>
    <row r="5555" spans="1:12" x14ac:dyDescent="0.35">
      <c r="A5555" s="3"/>
      <c r="B5555" s="2"/>
      <c r="C5555" s="2"/>
      <c r="D5555" s="2" t="b">
        <f>IF(AND(NOT(ISBLANK(Table1[[#This Row],[Fetal Sex (Male, Female or Unknown)]])),ISNUMBER(Table1[[#This Row],[Birthweight (grams)]]),ISNUMBER(Table1[[#This Row],[Gestation (days)]])),TRUE,FALSE)</f>
        <v>0</v>
      </c>
      <c r="E5555" s="2" t="str">
        <f>IF(Table1[[#This Row],[Is Data Valid]]=TRUE,IF(Table1[[#This Row],[Fetal Sex (Male, Female or Unknown)]]="Male",Backend!$C$6,IF(Table1[[#This Row],[Fetal Sex (Male, Female or Unknown)]]="Female",Backend!$C$7,IF(Table1[[#This Row],[Fetal Sex (Male, Female or Unknown)]]="Unknown",Backend!$C$8,"Error"))),"")</f>
        <v/>
      </c>
      <c r="F5555" s="8" t="str">
        <f>IF(Table1[[#This Row],[Is Data Valid]]=TRUE,EXP(0.578+0.332*((Table1[[#This Row],[Gestation (days)]]+0.5)/7)-0.00354*((Table1[[#This Row],[Gestation (days)]]+0.5)/7)^2)*Table1[[#This Row],[BW40_3705]],"")</f>
        <v/>
      </c>
      <c r="G5555" s="2" t="str">
        <f>IF(Table1[[#This Row],[Is Data Valid]]=TRUE,((Table1[[#This Row],[Birthweight (grams)]]/Table1[[#This Row],[BW_GA]])-1)/(Backend!$B$4/100*Table1[[#This Row],[BW40_3705]]),"")</f>
        <v/>
      </c>
      <c r="H5555" s="7" t="str">
        <f>IF(Table1[[#This Row],[Is Data Valid]]=TRUE,((Table1[[#This Row],[Birthweight (grams)]]*0.9/Table1[[#This Row],[BW_GA]])-1)/(Backend!$B$4/100*Table1[[#This Row],[BW40_3705]]),"")</f>
        <v/>
      </c>
      <c r="I5555" s="7" t="str">
        <f>IF(Table1[[#This Row],[Is Data Valid]]=TRUE,((Table1[[#This Row],[Birthweight (grams)]]*1.1/Table1[[#This Row],[BW_GA]])-1)/(Backend!$B$4/100*Table1[[#This Row],[BW40_3705]]),"")</f>
        <v/>
      </c>
      <c r="J5555" s="7" t="str">
        <f>IF(Table1[[#This Row],[Is Data Valid]]=TRUE,_xlfn.NORM.S.DIST(Table1[[#This Row],[Birthweight Z-Score]],TRUE)*100,"")</f>
        <v/>
      </c>
      <c r="K5555" s="7" t="str">
        <f>IF(Table1[[#This Row],[Is Data Valid]]=TRUE,_xlfn.NORM.S.DIST(Table1[[#This Row],[Birthweight Z-Score (BW-10%)]],TRUE)*100,"")</f>
        <v/>
      </c>
      <c r="L5555" s="7" t="str">
        <f>IF(Table1[[#This Row],[Is Data Valid]]=TRUE,_xlfn.NORM.S.DIST(Table1[[#This Row],[Birthweight Z-Score (BW+10%)]],TRUE)*100,"")</f>
        <v/>
      </c>
    </row>
    <row r="5556" spans="1:12" x14ac:dyDescent="0.35">
      <c r="A5556" s="3"/>
      <c r="B5556" s="2"/>
      <c r="C5556" s="2"/>
      <c r="D5556" s="2" t="b">
        <f>IF(AND(NOT(ISBLANK(Table1[[#This Row],[Fetal Sex (Male, Female or Unknown)]])),ISNUMBER(Table1[[#This Row],[Birthweight (grams)]]),ISNUMBER(Table1[[#This Row],[Gestation (days)]])),TRUE,FALSE)</f>
        <v>0</v>
      </c>
      <c r="E5556" s="2" t="str">
        <f>IF(Table1[[#This Row],[Is Data Valid]]=TRUE,IF(Table1[[#This Row],[Fetal Sex (Male, Female or Unknown)]]="Male",Backend!$C$6,IF(Table1[[#This Row],[Fetal Sex (Male, Female or Unknown)]]="Female",Backend!$C$7,IF(Table1[[#This Row],[Fetal Sex (Male, Female or Unknown)]]="Unknown",Backend!$C$8,"Error"))),"")</f>
        <v/>
      </c>
      <c r="F5556" s="8" t="str">
        <f>IF(Table1[[#This Row],[Is Data Valid]]=TRUE,EXP(0.578+0.332*((Table1[[#This Row],[Gestation (days)]]+0.5)/7)-0.00354*((Table1[[#This Row],[Gestation (days)]]+0.5)/7)^2)*Table1[[#This Row],[BW40_3705]],"")</f>
        <v/>
      </c>
      <c r="G5556" s="2" t="str">
        <f>IF(Table1[[#This Row],[Is Data Valid]]=TRUE,((Table1[[#This Row],[Birthweight (grams)]]/Table1[[#This Row],[BW_GA]])-1)/(Backend!$B$4/100*Table1[[#This Row],[BW40_3705]]),"")</f>
        <v/>
      </c>
      <c r="H5556" s="7" t="str">
        <f>IF(Table1[[#This Row],[Is Data Valid]]=TRUE,((Table1[[#This Row],[Birthweight (grams)]]*0.9/Table1[[#This Row],[BW_GA]])-1)/(Backend!$B$4/100*Table1[[#This Row],[BW40_3705]]),"")</f>
        <v/>
      </c>
      <c r="I5556" s="7" t="str">
        <f>IF(Table1[[#This Row],[Is Data Valid]]=TRUE,((Table1[[#This Row],[Birthweight (grams)]]*1.1/Table1[[#This Row],[BW_GA]])-1)/(Backend!$B$4/100*Table1[[#This Row],[BW40_3705]]),"")</f>
        <v/>
      </c>
      <c r="J5556" s="7" t="str">
        <f>IF(Table1[[#This Row],[Is Data Valid]]=TRUE,_xlfn.NORM.S.DIST(Table1[[#This Row],[Birthweight Z-Score]],TRUE)*100,"")</f>
        <v/>
      </c>
      <c r="K5556" s="7" t="str">
        <f>IF(Table1[[#This Row],[Is Data Valid]]=TRUE,_xlfn.NORM.S.DIST(Table1[[#This Row],[Birthweight Z-Score (BW-10%)]],TRUE)*100,"")</f>
        <v/>
      </c>
      <c r="L5556" s="7" t="str">
        <f>IF(Table1[[#This Row],[Is Data Valid]]=TRUE,_xlfn.NORM.S.DIST(Table1[[#This Row],[Birthweight Z-Score (BW+10%)]],TRUE)*100,"")</f>
        <v/>
      </c>
    </row>
    <row r="5557" spans="1:12" x14ac:dyDescent="0.35">
      <c r="A5557" s="3"/>
      <c r="B5557" s="2"/>
      <c r="C5557" s="2"/>
      <c r="D5557" s="2" t="b">
        <f>IF(AND(NOT(ISBLANK(Table1[[#This Row],[Fetal Sex (Male, Female or Unknown)]])),ISNUMBER(Table1[[#This Row],[Birthweight (grams)]]),ISNUMBER(Table1[[#This Row],[Gestation (days)]])),TRUE,FALSE)</f>
        <v>0</v>
      </c>
      <c r="E5557" s="2" t="str">
        <f>IF(Table1[[#This Row],[Is Data Valid]]=TRUE,IF(Table1[[#This Row],[Fetal Sex (Male, Female or Unknown)]]="Male",Backend!$C$6,IF(Table1[[#This Row],[Fetal Sex (Male, Female or Unknown)]]="Female",Backend!$C$7,IF(Table1[[#This Row],[Fetal Sex (Male, Female or Unknown)]]="Unknown",Backend!$C$8,"Error"))),"")</f>
        <v/>
      </c>
      <c r="F5557" s="8" t="str">
        <f>IF(Table1[[#This Row],[Is Data Valid]]=TRUE,EXP(0.578+0.332*((Table1[[#This Row],[Gestation (days)]]+0.5)/7)-0.00354*((Table1[[#This Row],[Gestation (days)]]+0.5)/7)^2)*Table1[[#This Row],[BW40_3705]],"")</f>
        <v/>
      </c>
      <c r="G5557" s="2" t="str">
        <f>IF(Table1[[#This Row],[Is Data Valid]]=TRUE,((Table1[[#This Row],[Birthweight (grams)]]/Table1[[#This Row],[BW_GA]])-1)/(Backend!$B$4/100*Table1[[#This Row],[BW40_3705]]),"")</f>
        <v/>
      </c>
      <c r="H5557" s="7" t="str">
        <f>IF(Table1[[#This Row],[Is Data Valid]]=TRUE,((Table1[[#This Row],[Birthweight (grams)]]*0.9/Table1[[#This Row],[BW_GA]])-1)/(Backend!$B$4/100*Table1[[#This Row],[BW40_3705]]),"")</f>
        <v/>
      </c>
      <c r="I5557" s="7" t="str">
        <f>IF(Table1[[#This Row],[Is Data Valid]]=TRUE,((Table1[[#This Row],[Birthweight (grams)]]*1.1/Table1[[#This Row],[BW_GA]])-1)/(Backend!$B$4/100*Table1[[#This Row],[BW40_3705]]),"")</f>
        <v/>
      </c>
      <c r="J5557" s="7" t="str">
        <f>IF(Table1[[#This Row],[Is Data Valid]]=TRUE,_xlfn.NORM.S.DIST(Table1[[#This Row],[Birthweight Z-Score]],TRUE)*100,"")</f>
        <v/>
      </c>
      <c r="K5557" s="7" t="str">
        <f>IF(Table1[[#This Row],[Is Data Valid]]=TRUE,_xlfn.NORM.S.DIST(Table1[[#This Row],[Birthweight Z-Score (BW-10%)]],TRUE)*100,"")</f>
        <v/>
      </c>
      <c r="L5557" s="7" t="str">
        <f>IF(Table1[[#This Row],[Is Data Valid]]=TRUE,_xlfn.NORM.S.DIST(Table1[[#This Row],[Birthweight Z-Score (BW+10%)]],TRUE)*100,"")</f>
        <v/>
      </c>
    </row>
    <row r="5558" spans="1:12" x14ac:dyDescent="0.35">
      <c r="A5558" s="3"/>
      <c r="B5558" s="2"/>
      <c r="C5558" s="2"/>
      <c r="D5558" s="2" t="b">
        <f>IF(AND(NOT(ISBLANK(Table1[[#This Row],[Fetal Sex (Male, Female or Unknown)]])),ISNUMBER(Table1[[#This Row],[Birthweight (grams)]]),ISNUMBER(Table1[[#This Row],[Gestation (days)]])),TRUE,FALSE)</f>
        <v>0</v>
      </c>
      <c r="E5558" s="2" t="str">
        <f>IF(Table1[[#This Row],[Is Data Valid]]=TRUE,IF(Table1[[#This Row],[Fetal Sex (Male, Female or Unknown)]]="Male",Backend!$C$6,IF(Table1[[#This Row],[Fetal Sex (Male, Female or Unknown)]]="Female",Backend!$C$7,IF(Table1[[#This Row],[Fetal Sex (Male, Female or Unknown)]]="Unknown",Backend!$C$8,"Error"))),"")</f>
        <v/>
      </c>
      <c r="F5558" s="8" t="str">
        <f>IF(Table1[[#This Row],[Is Data Valid]]=TRUE,EXP(0.578+0.332*((Table1[[#This Row],[Gestation (days)]]+0.5)/7)-0.00354*((Table1[[#This Row],[Gestation (days)]]+0.5)/7)^2)*Table1[[#This Row],[BW40_3705]],"")</f>
        <v/>
      </c>
      <c r="G5558" s="2" t="str">
        <f>IF(Table1[[#This Row],[Is Data Valid]]=TRUE,((Table1[[#This Row],[Birthweight (grams)]]/Table1[[#This Row],[BW_GA]])-1)/(Backend!$B$4/100*Table1[[#This Row],[BW40_3705]]),"")</f>
        <v/>
      </c>
      <c r="H5558" s="7" t="str">
        <f>IF(Table1[[#This Row],[Is Data Valid]]=TRUE,((Table1[[#This Row],[Birthweight (grams)]]*0.9/Table1[[#This Row],[BW_GA]])-1)/(Backend!$B$4/100*Table1[[#This Row],[BW40_3705]]),"")</f>
        <v/>
      </c>
      <c r="I5558" s="7" t="str">
        <f>IF(Table1[[#This Row],[Is Data Valid]]=TRUE,((Table1[[#This Row],[Birthweight (grams)]]*1.1/Table1[[#This Row],[BW_GA]])-1)/(Backend!$B$4/100*Table1[[#This Row],[BW40_3705]]),"")</f>
        <v/>
      </c>
      <c r="J5558" s="7" t="str">
        <f>IF(Table1[[#This Row],[Is Data Valid]]=TRUE,_xlfn.NORM.S.DIST(Table1[[#This Row],[Birthweight Z-Score]],TRUE)*100,"")</f>
        <v/>
      </c>
      <c r="K5558" s="7" t="str">
        <f>IF(Table1[[#This Row],[Is Data Valid]]=TRUE,_xlfn.NORM.S.DIST(Table1[[#This Row],[Birthweight Z-Score (BW-10%)]],TRUE)*100,"")</f>
        <v/>
      </c>
      <c r="L5558" s="7" t="str">
        <f>IF(Table1[[#This Row],[Is Data Valid]]=TRUE,_xlfn.NORM.S.DIST(Table1[[#This Row],[Birthweight Z-Score (BW+10%)]],TRUE)*100,"")</f>
        <v/>
      </c>
    </row>
    <row r="5559" spans="1:12" x14ac:dyDescent="0.35">
      <c r="A5559" s="3"/>
      <c r="B5559" s="2"/>
      <c r="C5559" s="2"/>
      <c r="D5559" s="2" t="b">
        <f>IF(AND(NOT(ISBLANK(Table1[[#This Row],[Fetal Sex (Male, Female or Unknown)]])),ISNUMBER(Table1[[#This Row],[Birthweight (grams)]]),ISNUMBER(Table1[[#This Row],[Gestation (days)]])),TRUE,FALSE)</f>
        <v>0</v>
      </c>
      <c r="E5559" s="2" t="str">
        <f>IF(Table1[[#This Row],[Is Data Valid]]=TRUE,IF(Table1[[#This Row],[Fetal Sex (Male, Female or Unknown)]]="Male",Backend!$C$6,IF(Table1[[#This Row],[Fetal Sex (Male, Female or Unknown)]]="Female",Backend!$C$7,IF(Table1[[#This Row],[Fetal Sex (Male, Female or Unknown)]]="Unknown",Backend!$C$8,"Error"))),"")</f>
        <v/>
      </c>
      <c r="F5559" s="8" t="str">
        <f>IF(Table1[[#This Row],[Is Data Valid]]=TRUE,EXP(0.578+0.332*((Table1[[#This Row],[Gestation (days)]]+0.5)/7)-0.00354*((Table1[[#This Row],[Gestation (days)]]+0.5)/7)^2)*Table1[[#This Row],[BW40_3705]],"")</f>
        <v/>
      </c>
      <c r="G5559" s="2" t="str">
        <f>IF(Table1[[#This Row],[Is Data Valid]]=TRUE,((Table1[[#This Row],[Birthweight (grams)]]/Table1[[#This Row],[BW_GA]])-1)/(Backend!$B$4/100*Table1[[#This Row],[BW40_3705]]),"")</f>
        <v/>
      </c>
      <c r="H5559" s="7" t="str">
        <f>IF(Table1[[#This Row],[Is Data Valid]]=TRUE,((Table1[[#This Row],[Birthweight (grams)]]*0.9/Table1[[#This Row],[BW_GA]])-1)/(Backend!$B$4/100*Table1[[#This Row],[BW40_3705]]),"")</f>
        <v/>
      </c>
      <c r="I5559" s="7" t="str">
        <f>IF(Table1[[#This Row],[Is Data Valid]]=TRUE,((Table1[[#This Row],[Birthweight (grams)]]*1.1/Table1[[#This Row],[BW_GA]])-1)/(Backend!$B$4/100*Table1[[#This Row],[BW40_3705]]),"")</f>
        <v/>
      </c>
      <c r="J5559" s="7" t="str">
        <f>IF(Table1[[#This Row],[Is Data Valid]]=TRUE,_xlfn.NORM.S.DIST(Table1[[#This Row],[Birthweight Z-Score]],TRUE)*100,"")</f>
        <v/>
      </c>
      <c r="K5559" s="7" t="str">
        <f>IF(Table1[[#This Row],[Is Data Valid]]=TRUE,_xlfn.NORM.S.DIST(Table1[[#This Row],[Birthweight Z-Score (BW-10%)]],TRUE)*100,"")</f>
        <v/>
      </c>
      <c r="L5559" s="7" t="str">
        <f>IF(Table1[[#This Row],[Is Data Valid]]=TRUE,_xlfn.NORM.S.DIST(Table1[[#This Row],[Birthweight Z-Score (BW+10%)]],TRUE)*100,"")</f>
        <v/>
      </c>
    </row>
    <row r="5560" spans="1:12" x14ac:dyDescent="0.35">
      <c r="A5560" s="3"/>
      <c r="B5560" s="2"/>
      <c r="C5560" s="2"/>
      <c r="D5560" s="2" t="b">
        <f>IF(AND(NOT(ISBLANK(Table1[[#This Row],[Fetal Sex (Male, Female or Unknown)]])),ISNUMBER(Table1[[#This Row],[Birthweight (grams)]]),ISNUMBER(Table1[[#This Row],[Gestation (days)]])),TRUE,FALSE)</f>
        <v>0</v>
      </c>
      <c r="E5560" s="2" t="str">
        <f>IF(Table1[[#This Row],[Is Data Valid]]=TRUE,IF(Table1[[#This Row],[Fetal Sex (Male, Female or Unknown)]]="Male",Backend!$C$6,IF(Table1[[#This Row],[Fetal Sex (Male, Female or Unknown)]]="Female",Backend!$C$7,IF(Table1[[#This Row],[Fetal Sex (Male, Female or Unknown)]]="Unknown",Backend!$C$8,"Error"))),"")</f>
        <v/>
      </c>
      <c r="F5560" s="8" t="str">
        <f>IF(Table1[[#This Row],[Is Data Valid]]=TRUE,EXP(0.578+0.332*((Table1[[#This Row],[Gestation (days)]]+0.5)/7)-0.00354*((Table1[[#This Row],[Gestation (days)]]+0.5)/7)^2)*Table1[[#This Row],[BW40_3705]],"")</f>
        <v/>
      </c>
      <c r="G5560" s="2" t="str">
        <f>IF(Table1[[#This Row],[Is Data Valid]]=TRUE,((Table1[[#This Row],[Birthweight (grams)]]/Table1[[#This Row],[BW_GA]])-1)/(Backend!$B$4/100*Table1[[#This Row],[BW40_3705]]),"")</f>
        <v/>
      </c>
      <c r="H5560" s="7" t="str">
        <f>IF(Table1[[#This Row],[Is Data Valid]]=TRUE,((Table1[[#This Row],[Birthweight (grams)]]*0.9/Table1[[#This Row],[BW_GA]])-1)/(Backend!$B$4/100*Table1[[#This Row],[BW40_3705]]),"")</f>
        <v/>
      </c>
      <c r="I5560" s="7" t="str">
        <f>IF(Table1[[#This Row],[Is Data Valid]]=TRUE,((Table1[[#This Row],[Birthweight (grams)]]*1.1/Table1[[#This Row],[BW_GA]])-1)/(Backend!$B$4/100*Table1[[#This Row],[BW40_3705]]),"")</f>
        <v/>
      </c>
      <c r="J5560" s="7" t="str">
        <f>IF(Table1[[#This Row],[Is Data Valid]]=TRUE,_xlfn.NORM.S.DIST(Table1[[#This Row],[Birthweight Z-Score]],TRUE)*100,"")</f>
        <v/>
      </c>
      <c r="K5560" s="7" t="str">
        <f>IF(Table1[[#This Row],[Is Data Valid]]=TRUE,_xlfn.NORM.S.DIST(Table1[[#This Row],[Birthweight Z-Score (BW-10%)]],TRUE)*100,"")</f>
        <v/>
      </c>
      <c r="L5560" s="7" t="str">
        <f>IF(Table1[[#This Row],[Is Data Valid]]=TRUE,_xlfn.NORM.S.DIST(Table1[[#This Row],[Birthweight Z-Score (BW+10%)]],TRUE)*100,"")</f>
        <v/>
      </c>
    </row>
    <row r="5561" spans="1:12" x14ac:dyDescent="0.35">
      <c r="A5561" s="3"/>
      <c r="B5561" s="2"/>
      <c r="C5561" s="2"/>
      <c r="D5561" s="2" t="b">
        <f>IF(AND(NOT(ISBLANK(Table1[[#This Row],[Fetal Sex (Male, Female or Unknown)]])),ISNUMBER(Table1[[#This Row],[Birthweight (grams)]]),ISNUMBER(Table1[[#This Row],[Gestation (days)]])),TRUE,FALSE)</f>
        <v>0</v>
      </c>
      <c r="E5561" s="2" t="str">
        <f>IF(Table1[[#This Row],[Is Data Valid]]=TRUE,IF(Table1[[#This Row],[Fetal Sex (Male, Female or Unknown)]]="Male",Backend!$C$6,IF(Table1[[#This Row],[Fetal Sex (Male, Female or Unknown)]]="Female",Backend!$C$7,IF(Table1[[#This Row],[Fetal Sex (Male, Female or Unknown)]]="Unknown",Backend!$C$8,"Error"))),"")</f>
        <v/>
      </c>
      <c r="F5561" s="8" t="str">
        <f>IF(Table1[[#This Row],[Is Data Valid]]=TRUE,EXP(0.578+0.332*((Table1[[#This Row],[Gestation (days)]]+0.5)/7)-0.00354*((Table1[[#This Row],[Gestation (days)]]+0.5)/7)^2)*Table1[[#This Row],[BW40_3705]],"")</f>
        <v/>
      </c>
      <c r="G5561" s="2" t="str">
        <f>IF(Table1[[#This Row],[Is Data Valid]]=TRUE,((Table1[[#This Row],[Birthweight (grams)]]/Table1[[#This Row],[BW_GA]])-1)/(Backend!$B$4/100*Table1[[#This Row],[BW40_3705]]),"")</f>
        <v/>
      </c>
      <c r="H5561" s="7" t="str">
        <f>IF(Table1[[#This Row],[Is Data Valid]]=TRUE,((Table1[[#This Row],[Birthweight (grams)]]*0.9/Table1[[#This Row],[BW_GA]])-1)/(Backend!$B$4/100*Table1[[#This Row],[BW40_3705]]),"")</f>
        <v/>
      </c>
      <c r="I5561" s="7" t="str">
        <f>IF(Table1[[#This Row],[Is Data Valid]]=TRUE,((Table1[[#This Row],[Birthweight (grams)]]*1.1/Table1[[#This Row],[BW_GA]])-1)/(Backend!$B$4/100*Table1[[#This Row],[BW40_3705]]),"")</f>
        <v/>
      </c>
      <c r="J5561" s="7" t="str">
        <f>IF(Table1[[#This Row],[Is Data Valid]]=TRUE,_xlfn.NORM.S.DIST(Table1[[#This Row],[Birthweight Z-Score]],TRUE)*100,"")</f>
        <v/>
      </c>
      <c r="K5561" s="7" t="str">
        <f>IF(Table1[[#This Row],[Is Data Valid]]=TRUE,_xlfn.NORM.S.DIST(Table1[[#This Row],[Birthweight Z-Score (BW-10%)]],TRUE)*100,"")</f>
        <v/>
      </c>
      <c r="L5561" s="7" t="str">
        <f>IF(Table1[[#This Row],[Is Data Valid]]=TRUE,_xlfn.NORM.S.DIST(Table1[[#This Row],[Birthweight Z-Score (BW+10%)]],TRUE)*100,"")</f>
        <v/>
      </c>
    </row>
    <row r="5562" spans="1:12" x14ac:dyDescent="0.35">
      <c r="A5562" s="3"/>
      <c r="B5562" s="2"/>
      <c r="C5562" s="2"/>
      <c r="D5562" s="2" t="b">
        <f>IF(AND(NOT(ISBLANK(Table1[[#This Row],[Fetal Sex (Male, Female or Unknown)]])),ISNUMBER(Table1[[#This Row],[Birthweight (grams)]]),ISNUMBER(Table1[[#This Row],[Gestation (days)]])),TRUE,FALSE)</f>
        <v>0</v>
      </c>
      <c r="E5562" s="2" t="str">
        <f>IF(Table1[[#This Row],[Is Data Valid]]=TRUE,IF(Table1[[#This Row],[Fetal Sex (Male, Female or Unknown)]]="Male",Backend!$C$6,IF(Table1[[#This Row],[Fetal Sex (Male, Female or Unknown)]]="Female",Backend!$C$7,IF(Table1[[#This Row],[Fetal Sex (Male, Female or Unknown)]]="Unknown",Backend!$C$8,"Error"))),"")</f>
        <v/>
      </c>
      <c r="F5562" s="8" t="str">
        <f>IF(Table1[[#This Row],[Is Data Valid]]=TRUE,EXP(0.578+0.332*((Table1[[#This Row],[Gestation (days)]]+0.5)/7)-0.00354*((Table1[[#This Row],[Gestation (days)]]+0.5)/7)^2)*Table1[[#This Row],[BW40_3705]],"")</f>
        <v/>
      </c>
      <c r="G5562" s="2" t="str">
        <f>IF(Table1[[#This Row],[Is Data Valid]]=TRUE,((Table1[[#This Row],[Birthweight (grams)]]/Table1[[#This Row],[BW_GA]])-1)/(Backend!$B$4/100*Table1[[#This Row],[BW40_3705]]),"")</f>
        <v/>
      </c>
      <c r="H5562" s="7" t="str">
        <f>IF(Table1[[#This Row],[Is Data Valid]]=TRUE,((Table1[[#This Row],[Birthweight (grams)]]*0.9/Table1[[#This Row],[BW_GA]])-1)/(Backend!$B$4/100*Table1[[#This Row],[BW40_3705]]),"")</f>
        <v/>
      </c>
      <c r="I5562" s="7" t="str">
        <f>IF(Table1[[#This Row],[Is Data Valid]]=TRUE,((Table1[[#This Row],[Birthweight (grams)]]*1.1/Table1[[#This Row],[BW_GA]])-1)/(Backend!$B$4/100*Table1[[#This Row],[BW40_3705]]),"")</f>
        <v/>
      </c>
      <c r="J5562" s="7" t="str">
        <f>IF(Table1[[#This Row],[Is Data Valid]]=TRUE,_xlfn.NORM.S.DIST(Table1[[#This Row],[Birthweight Z-Score]],TRUE)*100,"")</f>
        <v/>
      </c>
      <c r="K5562" s="7" t="str">
        <f>IF(Table1[[#This Row],[Is Data Valid]]=TRUE,_xlfn.NORM.S.DIST(Table1[[#This Row],[Birthweight Z-Score (BW-10%)]],TRUE)*100,"")</f>
        <v/>
      </c>
      <c r="L5562" s="7" t="str">
        <f>IF(Table1[[#This Row],[Is Data Valid]]=TRUE,_xlfn.NORM.S.DIST(Table1[[#This Row],[Birthweight Z-Score (BW+10%)]],TRUE)*100,"")</f>
        <v/>
      </c>
    </row>
    <row r="5563" spans="1:12" x14ac:dyDescent="0.35">
      <c r="A5563" s="3"/>
      <c r="B5563" s="2"/>
      <c r="C5563" s="2"/>
      <c r="D5563" s="2" t="b">
        <f>IF(AND(NOT(ISBLANK(Table1[[#This Row],[Fetal Sex (Male, Female or Unknown)]])),ISNUMBER(Table1[[#This Row],[Birthweight (grams)]]),ISNUMBER(Table1[[#This Row],[Gestation (days)]])),TRUE,FALSE)</f>
        <v>0</v>
      </c>
      <c r="E5563" s="2" t="str">
        <f>IF(Table1[[#This Row],[Is Data Valid]]=TRUE,IF(Table1[[#This Row],[Fetal Sex (Male, Female or Unknown)]]="Male",Backend!$C$6,IF(Table1[[#This Row],[Fetal Sex (Male, Female or Unknown)]]="Female",Backend!$C$7,IF(Table1[[#This Row],[Fetal Sex (Male, Female or Unknown)]]="Unknown",Backend!$C$8,"Error"))),"")</f>
        <v/>
      </c>
      <c r="F5563" s="8" t="str">
        <f>IF(Table1[[#This Row],[Is Data Valid]]=TRUE,EXP(0.578+0.332*((Table1[[#This Row],[Gestation (days)]]+0.5)/7)-0.00354*((Table1[[#This Row],[Gestation (days)]]+0.5)/7)^2)*Table1[[#This Row],[BW40_3705]],"")</f>
        <v/>
      </c>
      <c r="G5563" s="2" t="str">
        <f>IF(Table1[[#This Row],[Is Data Valid]]=TRUE,((Table1[[#This Row],[Birthweight (grams)]]/Table1[[#This Row],[BW_GA]])-1)/(Backend!$B$4/100*Table1[[#This Row],[BW40_3705]]),"")</f>
        <v/>
      </c>
      <c r="H5563" s="7" t="str">
        <f>IF(Table1[[#This Row],[Is Data Valid]]=TRUE,((Table1[[#This Row],[Birthweight (grams)]]*0.9/Table1[[#This Row],[BW_GA]])-1)/(Backend!$B$4/100*Table1[[#This Row],[BW40_3705]]),"")</f>
        <v/>
      </c>
      <c r="I5563" s="7" t="str">
        <f>IF(Table1[[#This Row],[Is Data Valid]]=TRUE,((Table1[[#This Row],[Birthweight (grams)]]*1.1/Table1[[#This Row],[BW_GA]])-1)/(Backend!$B$4/100*Table1[[#This Row],[BW40_3705]]),"")</f>
        <v/>
      </c>
      <c r="J5563" s="7" t="str">
        <f>IF(Table1[[#This Row],[Is Data Valid]]=TRUE,_xlfn.NORM.S.DIST(Table1[[#This Row],[Birthweight Z-Score]],TRUE)*100,"")</f>
        <v/>
      </c>
      <c r="K5563" s="7" t="str">
        <f>IF(Table1[[#This Row],[Is Data Valid]]=TRUE,_xlfn.NORM.S.DIST(Table1[[#This Row],[Birthweight Z-Score (BW-10%)]],TRUE)*100,"")</f>
        <v/>
      </c>
      <c r="L5563" s="7" t="str">
        <f>IF(Table1[[#This Row],[Is Data Valid]]=TRUE,_xlfn.NORM.S.DIST(Table1[[#This Row],[Birthweight Z-Score (BW+10%)]],TRUE)*100,"")</f>
        <v/>
      </c>
    </row>
    <row r="5564" spans="1:12" x14ac:dyDescent="0.35">
      <c r="A5564" s="3"/>
      <c r="B5564" s="2"/>
      <c r="C5564" s="2"/>
      <c r="D5564" s="2" t="b">
        <f>IF(AND(NOT(ISBLANK(Table1[[#This Row],[Fetal Sex (Male, Female or Unknown)]])),ISNUMBER(Table1[[#This Row],[Birthweight (grams)]]),ISNUMBER(Table1[[#This Row],[Gestation (days)]])),TRUE,FALSE)</f>
        <v>0</v>
      </c>
      <c r="E5564" s="2" t="str">
        <f>IF(Table1[[#This Row],[Is Data Valid]]=TRUE,IF(Table1[[#This Row],[Fetal Sex (Male, Female or Unknown)]]="Male",Backend!$C$6,IF(Table1[[#This Row],[Fetal Sex (Male, Female or Unknown)]]="Female",Backend!$C$7,IF(Table1[[#This Row],[Fetal Sex (Male, Female or Unknown)]]="Unknown",Backend!$C$8,"Error"))),"")</f>
        <v/>
      </c>
      <c r="F5564" s="8" t="str">
        <f>IF(Table1[[#This Row],[Is Data Valid]]=TRUE,EXP(0.578+0.332*((Table1[[#This Row],[Gestation (days)]]+0.5)/7)-0.00354*((Table1[[#This Row],[Gestation (days)]]+0.5)/7)^2)*Table1[[#This Row],[BW40_3705]],"")</f>
        <v/>
      </c>
      <c r="G5564" s="2" t="str">
        <f>IF(Table1[[#This Row],[Is Data Valid]]=TRUE,((Table1[[#This Row],[Birthweight (grams)]]/Table1[[#This Row],[BW_GA]])-1)/(Backend!$B$4/100*Table1[[#This Row],[BW40_3705]]),"")</f>
        <v/>
      </c>
      <c r="H5564" s="7" t="str">
        <f>IF(Table1[[#This Row],[Is Data Valid]]=TRUE,((Table1[[#This Row],[Birthweight (grams)]]*0.9/Table1[[#This Row],[BW_GA]])-1)/(Backend!$B$4/100*Table1[[#This Row],[BW40_3705]]),"")</f>
        <v/>
      </c>
      <c r="I5564" s="7" t="str">
        <f>IF(Table1[[#This Row],[Is Data Valid]]=TRUE,((Table1[[#This Row],[Birthweight (grams)]]*1.1/Table1[[#This Row],[BW_GA]])-1)/(Backend!$B$4/100*Table1[[#This Row],[BW40_3705]]),"")</f>
        <v/>
      </c>
      <c r="J5564" s="7" t="str">
        <f>IF(Table1[[#This Row],[Is Data Valid]]=TRUE,_xlfn.NORM.S.DIST(Table1[[#This Row],[Birthweight Z-Score]],TRUE)*100,"")</f>
        <v/>
      </c>
      <c r="K5564" s="7" t="str">
        <f>IF(Table1[[#This Row],[Is Data Valid]]=TRUE,_xlfn.NORM.S.DIST(Table1[[#This Row],[Birthweight Z-Score (BW-10%)]],TRUE)*100,"")</f>
        <v/>
      </c>
      <c r="L5564" s="7" t="str">
        <f>IF(Table1[[#This Row],[Is Data Valid]]=TRUE,_xlfn.NORM.S.DIST(Table1[[#This Row],[Birthweight Z-Score (BW+10%)]],TRUE)*100,"")</f>
        <v/>
      </c>
    </row>
    <row r="5565" spans="1:12" x14ac:dyDescent="0.35">
      <c r="A5565" s="3"/>
      <c r="B5565" s="2"/>
      <c r="C5565" s="2"/>
      <c r="D5565" s="2" t="b">
        <f>IF(AND(NOT(ISBLANK(Table1[[#This Row],[Fetal Sex (Male, Female or Unknown)]])),ISNUMBER(Table1[[#This Row],[Birthweight (grams)]]),ISNUMBER(Table1[[#This Row],[Gestation (days)]])),TRUE,FALSE)</f>
        <v>0</v>
      </c>
      <c r="E5565" s="2" t="str">
        <f>IF(Table1[[#This Row],[Is Data Valid]]=TRUE,IF(Table1[[#This Row],[Fetal Sex (Male, Female or Unknown)]]="Male",Backend!$C$6,IF(Table1[[#This Row],[Fetal Sex (Male, Female or Unknown)]]="Female",Backend!$C$7,IF(Table1[[#This Row],[Fetal Sex (Male, Female or Unknown)]]="Unknown",Backend!$C$8,"Error"))),"")</f>
        <v/>
      </c>
      <c r="F5565" s="8" t="str">
        <f>IF(Table1[[#This Row],[Is Data Valid]]=TRUE,EXP(0.578+0.332*((Table1[[#This Row],[Gestation (days)]]+0.5)/7)-0.00354*((Table1[[#This Row],[Gestation (days)]]+0.5)/7)^2)*Table1[[#This Row],[BW40_3705]],"")</f>
        <v/>
      </c>
      <c r="G5565" s="2" t="str">
        <f>IF(Table1[[#This Row],[Is Data Valid]]=TRUE,((Table1[[#This Row],[Birthweight (grams)]]/Table1[[#This Row],[BW_GA]])-1)/(Backend!$B$4/100*Table1[[#This Row],[BW40_3705]]),"")</f>
        <v/>
      </c>
      <c r="H5565" s="7" t="str">
        <f>IF(Table1[[#This Row],[Is Data Valid]]=TRUE,((Table1[[#This Row],[Birthweight (grams)]]*0.9/Table1[[#This Row],[BW_GA]])-1)/(Backend!$B$4/100*Table1[[#This Row],[BW40_3705]]),"")</f>
        <v/>
      </c>
      <c r="I5565" s="7" t="str">
        <f>IF(Table1[[#This Row],[Is Data Valid]]=TRUE,((Table1[[#This Row],[Birthweight (grams)]]*1.1/Table1[[#This Row],[BW_GA]])-1)/(Backend!$B$4/100*Table1[[#This Row],[BW40_3705]]),"")</f>
        <v/>
      </c>
      <c r="J5565" s="7" t="str">
        <f>IF(Table1[[#This Row],[Is Data Valid]]=TRUE,_xlfn.NORM.S.DIST(Table1[[#This Row],[Birthweight Z-Score]],TRUE)*100,"")</f>
        <v/>
      </c>
      <c r="K5565" s="7" t="str">
        <f>IF(Table1[[#This Row],[Is Data Valid]]=TRUE,_xlfn.NORM.S.DIST(Table1[[#This Row],[Birthweight Z-Score (BW-10%)]],TRUE)*100,"")</f>
        <v/>
      </c>
      <c r="L5565" s="7" t="str">
        <f>IF(Table1[[#This Row],[Is Data Valid]]=TRUE,_xlfn.NORM.S.DIST(Table1[[#This Row],[Birthweight Z-Score (BW+10%)]],TRUE)*100,"")</f>
        <v/>
      </c>
    </row>
    <row r="5566" spans="1:12" x14ac:dyDescent="0.35">
      <c r="A5566" s="3"/>
      <c r="B5566" s="2"/>
      <c r="C5566" s="2"/>
      <c r="D5566" s="2" t="b">
        <f>IF(AND(NOT(ISBLANK(Table1[[#This Row],[Fetal Sex (Male, Female or Unknown)]])),ISNUMBER(Table1[[#This Row],[Birthweight (grams)]]),ISNUMBER(Table1[[#This Row],[Gestation (days)]])),TRUE,FALSE)</f>
        <v>0</v>
      </c>
      <c r="E5566" s="2" t="str">
        <f>IF(Table1[[#This Row],[Is Data Valid]]=TRUE,IF(Table1[[#This Row],[Fetal Sex (Male, Female or Unknown)]]="Male",Backend!$C$6,IF(Table1[[#This Row],[Fetal Sex (Male, Female or Unknown)]]="Female",Backend!$C$7,IF(Table1[[#This Row],[Fetal Sex (Male, Female or Unknown)]]="Unknown",Backend!$C$8,"Error"))),"")</f>
        <v/>
      </c>
      <c r="F5566" s="8" t="str">
        <f>IF(Table1[[#This Row],[Is Data Valid]]=TRUE,EXP(0.578+0.332*((Table1[[#This Row],[Gestation (days)]]+0.5)/7)-0.00354*((Table1[[#This Row],[Gestation (days)]]+0.5)/7)^2)*Table1[[#This Row],[BW40_3705]],"")</f>
        <v/>
      </c>
      <c r="G5566" s="2" t="str">
        <f>IF(Table1[[#This Row],[Is Data Valid]]=TRUE,((Table1[[#This Row],[Birthweight (grams)]]/Table1[[#This Row],[BW_GA]])-1)/(Backend!$B$4/100*Table1[[#This Row],[BW40_3705]]),"")</f>
        <v/>
      </c>
      <c r="H5566" s="7" t="str">
        <f>IF(Table1[[#This Row],[Is Data Valid]]=TRUE,((Table1[[#This Row],[Birthweight (grams)]]*0.9/Table1[[#This Row],[BW_GA]])-1)/(Backend!$B$4/100*Table1[[#This Row],[BW40_3705]]),"")</f>
        <v/>
      </c>
      <c r="I5566" s="7" t="str">
        <f>IF(Table1[[#This Row],[Is Data Valid]]=TRUE,((Table1[[#This Row],[Birthweight (grams)]]*1.1/Table1[[#This Row],[BW_GA]])-1)/(Backend!$B$4/100*Table1[[#This Row],[BW40_3705]]),"")</f>
        <v/>
      </c>
      <c r="J5566" s="7" t="str">
        <f>IF(Table1[[#This Row],[Is Data Valid]]=TRUE,_xlfn.NORM.S.DIST(Table1[[#This Row],[Birthweight Z-Score]],TRUE)*100,"")</f>
        <v/>
      </c>
      <c r="K5566" s="7" t="str">
        <f>IF(Table1[[#This Row],[Is Data Valid]]=TRUE,_xlfn.NORM.S.DIST(Table1[[#This Row],[Birthweight Z-Score (BW-10%)]],TRUE)*100,"")</f>
        <v/>
      </c>
      <c r="L5566" s="7" t="str">
        <f>IF(Table1[[#This Row],[Is Data Valid]]=TRUE,_xlfn.NORM.S.DIST(Table1[[#This Row],[Birthweight Z-Score (BW+10%)]],TRUE)*100,"")</f>
        <v/>
      </c>
    </row>
    <row r="5567" spans="1:12" x14ac:dyDescent="0.35">
      <c r="A5567" s="3"/>
      <c r="B5567" s="2"/>
      <c r="C5567" s="2"/>
      <c r="D5567" s="2" t="b">
        <f>IF(AND(NOT(ISBLANK(Table1[[#This Row],[Fetal Sex (Male, Female or Unknown)]])),ISNUMBER(Table1[[#This Row],[Birthweight (grams)]]),ISNUMBER(Table1[[#This Row],[Gestation (days)]])),TRUE,FALSE)</f>
        <v>0</v>
      </c>
      <c r="E5567" s="2" t="str">
        <f>IF(Table1[[#This Row],[Is Data Valid]]=TRUE,IF(Table1[[#This Row],[Fetal Sex (Male, Female or Unknown)]]="Male",Backend!$C$6,IF(Table1[[#This Row],[Fetal Sex (Male, Female or Unknown)]]="Female",Backend!$C$7,IF(Table1[[#This Row],[Fetal Sex (Male, Female or Unknown)]]="Unknown",Backend!$C$8,"Error"))),"")</f>
        <v/>
      </c>
      <c r="F5567" s="8" t="str">
        <f>IF(Table1[[#This Row],[Is Data Valid]]=TRUE,EXP(0.578+0.332*((Table1[[#This Row],[Gestation (days)]]+0.5)/7)-0.00354*((Table1[[#This Row],[Gestation (days)]]+0.5)/7)^2)*Table1[[#This Row],[BW40_3705]],"")</f>
        <v/>
      </c>
      <c r="G5567" s="2" t="str">
        <f>IF(Table1[[#This Row],[Is Data Valid]]=TRUE,((Table1[[#This Row],[Birthweight (grams)]]/Table1[[#This Row],[BW_GA]])-1)/(Backend!$B$4/100*Table1[[#This Row],[BW40_3705]]),"")</f>
        <v/>
      </c>
      <c r="H5567" s="7" t="str">
        <f>IF(Table1[[#This Row],[Is Data Valid]]=TRUE,((Table1[[#This Row],[Birthweight (grams)]]*0.9/Table1[[#This Row],[BW_GA]])-1)/(Backend!$B$4/100*Table1[[#This Row],[BW40_3705]]),"")</f>
        <v/>
      </c>
      <c r="I5567" s="7" t="str">
        <f>IF(Table1[[#This Row],[Is Data Valid]]=TRUE,((Table1[[#This Row],[Birthweight (grams)]]*1.1/Table1[[#This Row],[BW_GA]])-1)/(Backend!$B$4/100*Table1[[#This Row],[BW40_3705]]),"")</f>
        <v/>
      </c>
      <c r="J5567" s="7" t="str">
        <f>IF(Table1[[#This Row],[Is Data Valid]]=TRUE,_xlfn.NORM.S.DIST(Table1[[#This Row],[Birthweight Z-Score]],TRUE)*100,"")</f>
        <v/>
      </c>
      <c r="K5567" s="7" t="str">
        <f>IF(Table1[[#This Row],[Is Data Valid]]=TRUE,_xlfn.NORM.S.DIST(Table1[[#This Row],[Birthweight Z-Score (BW-10%)]],TRUE)*100,"")</f>
        <v/>
      </c>
      <c r="L5567" s="7" t="str">
        <f>IF(Table1[[#This Row],[Is Data Valid]]=TRUE,_xlfn.NORM.S.DIST(Table1[[#This Row],[Birthweight Z-Score (BW+10%)]],TRUE)*100,"")</f>
        <v/>
      </c>
    </row>
    <row r="5568" spans="1:12" x14ac:dyDescent="0.35">
      <c r="A5568" s="3"/>
      <c r="B5568" s="2"/>
      <c r="C5568" s="2"/>
      <c r="D5568" s="2" t="b">
        <f>IF(AND(NOT(ISBLANK(Table1[[#This Row],[Fetal Sex (Male, Female or Unknown)]])),ISNUMBER(Table1[[#This Row],[Birthweight (grams)]]),ISNUMBER(Table1[[#This Row],[Gestation (days)]])),TRUE,FALSE)</f>
        <v>0</v>
      </c>
      <c r="E5568" s="2" t="str">
        <f>IF(Table1[[#This Row],[Is Data Valid]]=TRUE,IF(Table1[[#This Row],[Fetal Sex (Male, Female or Unknown)]]="Male",Backend!$C$6,IF(Table1[[#This Row],[Fetal Sex (Male, Female or Unknown)]]="Female",Backend!$C$7,IF(Table1[[#This Row],[Fetal Sex (Male, Female or Unknown)]]="Unknown",Backend!$C$8,"Error"))),"")</f>
        <v/>
      </c>
      <c r="F5568" s="8" t="str">
        <f>IF(Table1[[#This Row],[Is Data Valid]]=TRUE,EXP(0.578+0.332*((Table1[[#This Row],[Gestation (days)]]+0.5)/7)-0.00354*((Table1[[#This Row],[Gestation (days)]]+0.5)/7)^2)*Table1[[#This Row],[BW40_3705]],"")</f>
        <v/>
      </c>
      <c r="G5568" s="2" t="str">
        <f>IF(Table1[[#This Row],[Is Data Valid]]=TRUE,((Table1[[#This Row],[Birthweight (grams)]]/Table1[[#This Row],[BW_GA]])-1)/(Backend!$B$4/100*Table1[[#This Row],[BW40_3705]]),"")</f>
        <v/>
      </c>
      <c r="H5568" s="7" t="str">
        <f>IF(Table1[[#This Row],[Is Data Valid]]=TRUE,((Table1[[#This Row],[Birthweight (grams)]]*0.9/Table1[[#This Row],[BW_GA]])-1)/(Backend!$B$4/100*Table1[[#This Row],[BW40_3705]]),"")</f>
        <v/>
      </c>
      <c r="I5568" s="7" t="str">
        <f>IF(Table1[[#This Row],[Is Data Valid]]=TRUE,((Table1[[#This Row],[Birthweight (grams)]]*1.1/Table1[[#This Row],[BW_GA]])-1)/(Backend!$B$4/100*Table1[[#This Row],[BW40_3705]]),"")</f>
        <v/>
      </c>
      <c r="J5568" s="7" t="str">
        <f>IF(Table1[[#This Row],[Is Data Valid]]=TRUE,_xlfn.NORM.S.DIST(Table1[[#This Row],[Birthweight Z-Score]],TRUE)*100,"")</f>
        <v/>
      </c>
      <c r="K5568" s="7" t="str">
        <f>IF(Table1[[#This Row],[Is Data Valid]]=TRUE,_xlfn.NORM.S.DIST(Table1[[#This Row],[Birthweight Z-Score (BW-10%)]],TRUE)*100,"")</f>
        <v/>
      </c>
      <c r="L5568" s="7" t="str">
        <f>IF(Table1[[#This Row],[Is Data Valid]]=TRUE,_xlfn.NORM.S.DIST(Table1[[#This Row],[Birthweight Z-Score (BW+10%)]],TRUE)*100,"")</f>
        <v/>
      </c>
    </row>
    <row r="5569" spans="1:12" x14ac:dyDescent="0.35">
      <c r="A5569" s="3"/>
      <c r="B5569" s="2"/>
      <c r="C5569" s="2"/>
      <c r="D5569" s="2" t="b">
        <f>IF(AND(NOT(ISBLANK(Table1[[#This Row],[Fetal Sex (Male, Female or Unknown)]])),ISNUMBER(Table1[[#This Row],[Birthweight (grams)]]),ISNUMBER(Table1[[#This Row],[Gestation (days)]])),TRUE,FALSE)</f>
        <v>0</v>
      </c>
      <c r="E5569" s="2" t="str">
        <f>IF(Table1[[#This Row],[Is Data Valid]]=TRUE,IF(Table1[[#This Row],[Fetal Sex (Male, Female or Unknown)]]="Male",Backend!$C$6,IF(Table1[[#This Row],[Fetal Sex (Male, Female or Unknown)]]="Female",Backend!$C$7,IF(Table1[[#This Row],[Fetal Sex (Male, Female or Unknown)]]="Unknown",Backend!$C$8,"Error"))),"")</f>
        <v/>
      </c>
      <c r="F5569" s="8" t="str">
        <f>IF(Table1[[#This Row],[Is Data Valid]]=TRUE,EXP(0.578+0.332*((Table1[[#This Row],[Gestation (days)]]+0.5)/7)-0.00354*((Table1[[#This Row],[Gestation (days)]]+0.5)/7)^2)*Table1[[#This Row],[BW40_3705]],"")</f>
        <v/>
      </c>
      <c r="G5569" s="2" t="str">
        <f>IF(Table1[[#This Row],[Is Data Valid]]=TRUE,((Table1[[#This Row],[Birthweight (grams)]]/Table1[[#This Row],[BW_GA]])-1)/(Backend!$B$4/100*Table1[[#This Row],[BW40_3705]]),"")</f>
        <v/>
      </c>
      <c r="H5569" s="7" t="str">
        <f>IF(Table1[[#This Row],[Is Data Valid]]=TRUE,((Table1[[#This Row],[Birthweight (grams)]]*0.9/Table1[[#This Row],[BW_GA]])-1)/(Backend!$B$4/100*Table1[[#This Row],[BW40_3705]]),"")</f>
        <v/>
      </c>
      <c r="I5569" s="7" t="str">
        <f>IF(Table1[[#This Row],[Is Data Valid]]=TRUE,((Table1[[#This Row],[Birthweight (grams)]]*1.1/Table1[[#This Row],[BW_GA]])-1)/(Backend!$B$4/100*Table1[[#This Row],[BW40_3705]]),"")</f>
        <v/>
      </c>
      <c r="J5569" s="7" t="str">
        <f>IF(Table1[[#This Row],[Is Data Valid]]=TRUE,_xlfn.NORM.S.DIST(Table1[[#This Row],[Birthweight Z-Score]],TRUE)*100,"")</f>
        <v/>
      </c>
      <c r="K5569" s="7" t="str">
        <f>IF(Table1[[#This Row],[Is Data Valid]]=TRUE,_xlfn.NORM.S.DIST(Table1[[#This Row],[Birthweight Z-Score (BW-10%)]],TRUE)*100,"")</f>
        <v/>
      </c>
      <c r="L5569" s="7" t="str">
        <f>IF(Table1[[#This Row],[Is Data Valid]]=TRUE,_xlfn.NORM.S.DIST(Table1[[#This Row],[Birthweight Z-Score (BW+10%)]],TRUE)*100,"")</f>
        <v/>
      </c>
    </row>
    <row r="5570" spans="1:12" x14ac:dyDescent="0.35">
      <c r="A5570" s="3"/>
      <c r="B5570" s="2"/>
      <c r="C5570" s="2"/>
      <c r="D5570" s="2" t="b">
        <f>IF(AND(NOT(ISBLANK(Table1[[#This Row],[Fetal Sex (Male, Female or Unknown)]])),ISNUMBER(Table1[[#This Row],[Birthweight (grams)]]),ISNUMBER(Table1[[#This Row],[Gestation (days)]])),TRUE,FALSE)</f>
        <v>0</v>
      </c>
      <c r="E5570" s="2" t="str">
        <f>IF(Table1[[#This Row],[Is Data Valid]]=TRUE,IF(Table1[[#This Row],[Fetal Sex (Male, Female or Unknown)]]="Male",Backend!$C$6,IF(Table1[[#This Row],[Fetal Sex (Male, Female or Unknown)]]="Female",Backend!$C$7,IF(Table1[[#This Row],[Fetal Sex (Male, Female or Unknown)]]="Unknown",Backend!$C$8,"Error"))),"")</f>
        <v/>
      </c>
      <c r="F5570" s="8" t="str">
        <f>IF(Table1[[#This Row],[Is Data Valid]]=TRUE,EXP(0.578+0.332*((Table1[[#This Row],[Gestation (days)]]+0.5)/7)-0.00354*((Table1[[#This Row],[Gestation (days)]]+0.5)/7)^2)*Table1[[#This Row],[BW40_3705]],"")</f>
        <v/>
      </c>
      <c r="G5570" s="2" t="str">
        <f>IF(Table1[[#This Row],[Is Data Valid]]=TRUE,((Table1[[#This Row],[Birthweight (grams)]]/Table1[[#This Row],[BW_GA]])-1)/(Backend!$B$4/100*Table1[[#This Row],[BW40_3705]]),"")</f>
        <v/>
      </c>
      <c r="H5570" s="7" t="str">
        <f>IF(Table1[[#This Row],[Is Data Valid]]=TRUE,((Table1[[#This Row],[Birthweight (grams)]]*0.9/Table1[[#This Row],[BW_GA]])-1)/(Backend!$B$4/100*Table1[[#This Row],[BW40_3705]]),"")</f>
        <v/>
      </c>
      <c r="I5570" s="7" t="str">
        <f>IF(Table1[[#This Row],[Is Data Valid]]=TRUE,((Table1[[#This Row],[Birthweight (grams)]]*1.1/Table1[[#This Row],[BW_GA]])-1)/(Backend!$B$4/100*Table1[[#This Row],[BW40_3705]]),"")</f>
        <v/>
      </c>
      <c r="J5570" s="7" t="str">
        <f>IF(Table1[[#This Row],[Is Data Valid]]=TRUE,_xlfn.NORM.S.DIST(Table1[[#This Row],[Birthweight Z-Score]],TRUE)*100,"")</f>
        <v/>
      </c>
      <c r="K5570" s="7" t="str">
        <f>IF(Table1[[#This Row],[Is Data Valid]]=TRUE,_xlfn.NORM.S.DIST(Table1[[#This Row],[Birthweight Z-Score (BW-10%)]],TRUE)*100,"")</f>
        <v/>
      </c>
      <c r="L5570" s="7" t="str">
        <f>IF(Table1[[#This Row],[Is Data Valid]]=TRUE,_xlfn.NORM.S.DIST(Table1[[#This Row],[Birthweight Z-Score (BW+10%)]],TRUE)*100,"")</f>
        <v/>
      </c>
    </row>
    <row r="5571" spans="1:12" x14ac:dyDescent="0.35">
      <c r="A5571" s="3"/>
      <c r="B5571" s="2"/>
      <c r="C5571" s="2"/>
      <c r="D5571" s="2" t="b">
        <f>IF(AND(NOT(ISBLANK(Table1[[#This Row],[Fetal Sex (Male, Female or Unknown)]])),ISNUMBER(Table1[[#This Row],[Birthweight (grams)]]),ISNUMBER(Table1[[#This Row],[Gestation (days)]])),TRUE,FALSE)</f>
        <v>0</v>
      </c>
      <c r="E5571" s="2" t="str">
        <f>IF(Table1[[#This Row],[Is Data Valid]]=TRUE,IF(Table1[[#This Row],[Fetal Sex (Male, Female or Unknown)]]="Male",Backend!$C$6,IF(Table1[[#This Row],[Fetal Sex (Male, Female or Unknown)]]="Female",Backend!$C$7,IF(Table1[[#This Row],[Fetal Sex (Male, Female or Unknown)]]="Unknown",Backend!$C$8,"Error"))),"")</f>
        <v/>
      </c>
      <c r="F5571" s="8" t="str">
        <f>IF(Table1[[#This Row],[Is Data Valid]]=TRUE,EXP(0.578+0.332*((Table1[[#This Row],[Gestation (days)]]+0.5)/7)-0.00354*((Table1[[#This Row],[Gestation (days)]]+0.5)/7)^2)*Table1[[#This Row],[BW40_3705]],"")</f>
        <v/>
      </c>
      <c r="G5571" s="2" t="str">
        <f>IF(Table1[[#This Row],[Is Data Valid]]=TRUE,((Table1[[#This Row],[Birthweight (grams)]]/Table1[[#This Row],[BW_GA]])-1)/(Backend!$B$4/100*Table1[[#This Row],[BW40_3705]]),"")</f>
        <v/>
      </c>
      <c r="H5571" s="7" t="str">
        <f>IF(Table1[[#This Row],[Is Data Valid]]=TRUE,((Table1[[#This Row],[Birthweight (grams)]]*0.9/Table1[[#This Row],[BW_GA]])-1)/(Backend!$B$4/100*Table1[[#This Row],[BW40_3705]]),"")</f>
        <v/>
      </c>
      <c r="I5571" s="7" t="str">
        <f>IF(Table1[[#This Row],[Is Data Valid]]=TRUE,((Table1[[#This Row],[Birthweight (grams)]]*1.1/Table1[[#This Row],[BW_GA]])-1)/(Backend!$B$4/100*Table1[[#This Row],[BW40_3705]]),"")</f>
        <v/>
      </c>
      <c r="J5571" s="7" t="str">
        <f>IF(Table1[[#This Row],[Is Data Valid]]=TRUE,_xlfn.NORM.S.DIST(Table1[[#This Row],[Birthweight Z-Score]],TRUE)*100,"")</f>
        <v/>
      </c>
      <c r="K5571" s="7" t="str">
        <f>IF(Table1[[#This Row],[Is Data Valid]]=TRUE,_xlfn.NORM.S.DIST(Table1[[#This Row],[Birthweight Z-Score (BW-10%)]],TRUE)*100,"")</f>
        <v/>
      </c>
      <c r="L5571" s="7" t="str">
        <f>IF(Table1[[#This Row],[Is Data Valid]]=TRUE,_xlfn.NORM.S.DIST(Table1[[#This Row],[Birthweight Z-Score (BW+10%)]],TRUE)*100,"")</f>
        <v/>
      </c>
    </row>
    <row r="5572" spans="1:12" x14ac:dyDescent="0.35">
      <c r="A5572" s="3"/>
      <c r="B5572" s="2"/>
      <c r="C5572" s="2"/>
      <c r="D5572" s="2" t="b">
        <f>IF(AND(NOT(ISBLANK(Table1[[#This Row],[Fetal Sex (Male, Female or Unknown)]])),ISNUMBER(Table1[[#This Row],[Birthweight (grams)]]),ISNUMBER(Table1[[#This Row],[Gestation (days)]])),TRUE,FALSE)</f>
        <v>0</v>
      </c>
      <c r="E5572" s="2" t="str">
        <f>IF(Table1[[#This Row],[Is Data Valid]]=TRUE,IF(Table1[[#This Row],[Fetal Sex (Male, Female or Unknown)]]="Male",Backend!$C$6,IF(Table1[[#This Row],[Fetal Sex (Male, Female or Unknown)]]="Female",Backend!$C$7,IF(Table1[[#This Row],[Fetal Sex (Male, Female or Unknown)]]="Unknown",Backend!$C$8,"Error"))),"")</f>
        <v/>
      </c>
      <c r="F5572" s="8" t="str">
        <f>IF(Table1[[#This Row],[Is Data Valid]]=TRUE,EXP(0.578+0.332*((Table1[[#This Row],[Gestation (days)]]+0.5)/7)-0.00354*((Table1[[#This Row],[Gestation (days)]]+0.5)/7)^2)*Table1[[#This Row],[BW40_3705]],"")</f>
        <v/>
      </c>
      <c r="G5572" s="2" t="str">
        <f>IF(Table1[[#This Row],[Is Data Valid]]=TRUE,((Table1[[#This Row],[Birthweight (grams)]]/Table1[[#This Row],[BW_GA]])-1)/(Backend!$B$4/100*Table1[[#This Row],[BW40_3705]]),"")</f>
        <v/>
      </c>
      <c r="H5572" s="7" t="str">
        <f>IF(Table1[[#This Row],[Is Data Valid]]=TRUE,((Table1[[#This Row],[Birthweight (grams)]]*0.9/Table1[[#This Row],[BW_GA]])-1)/(Backend!$B$4/100*Table1[[#This Row],[BW40_3705]]),"")</f>
        <v/>
      </c>
      <c r="I5572" s="7" t="str">
        <f>IF(Table1[[#This Row],[Is Data Valid]]=TRUE,((Table1[[#This Row],[Birthweight (grams)]]*1.1/Table1[[#This Row],[BW_GA]])-1)/(Backend!$B$4/100*Table1[[#This Row],[BW40_3705]]),"")</f>
        <v/>
      </c>
      <c r="J5572" s="7" t="str">
        <f>IF(Table1[[#This Row],[Is Data Valid]]=TRUE,_xlfn.NORM.S.DIST(Table1[[#This Row],[Birthweight Z-Score]],TRUE)*100,"")</f>
        <v/>
      </c>
      <c r="K5572" s="7" t="str">
        <f>IF(Table1[[#This Row],[Is Data Valid]]=TRUE,_xlfn.NORM.S.DIST(Table1[[#This Row],[Birthweight Z-Score (BW-10%)]],TRUE)*100,"")</f>
        <v/>
      </c>
      <c r="L5572" s="7" t="str">
        <f>IF(Table1[[#This Row],[Is Data Valid]]=TRUE,_xlfn.NORM.S.DIST(Table1[[#This Row],[Birthweight Z-Score (BW+10%)]],TRUE)*100,"")</f>
        <v/>
      </c>
    </row>
    <row r="5573" spans="1:12" x14ac:dyDescent="0.35">
      <c r="A5573" s="3"/>
      <c r="B5573" s="2"/>
      <c r="C5573" s="2"/>
      <c r="D5573" s="2" t="b">
        <f>IF(AND(NOT(ISBLANK(Table1[[#This Row],[Fetal Sex (Male, Female or Unknown)]])),ISNUMBER(Table1[[#This Row],[Birthweight (grams)]]),ISNUMBER(Table1[[#This Row],[Gestation (days)]])),TRUE,FALSE)</f>
        <v>0</v>
      </c>
      <c r="E5573" s="2" t="str">
        <f>IF(Table1[[#This Row],[Is Data Valid]]=TRUE,IF(Table1[[#This Row],[Fetal Sex (Male, Female or Unknown)]]="Male",Backend!$C$6,IF(Table1[[#This Row],[Fetal Sex (Male, Female or Unknown)]]="Female",Backend!$C$7,IF(Table1[[#This Row],[Fetal Sex (Male, Female or Unknown)]]="Unknown",Backend!$C$8,"Error"))),"")</f>
        <v/>
      </c>
      <c r="F5573" s="8" t="str">
        <f>IF(Table1[[#This Row],[Is Data Valid]]=TRUE,EXP(0.578+0.332*((Table1[[#This Row],[Gestation (days)]]+0.5)/7)-0.00354*((Table1[[#This Row],[Gestation (days)]]+0.5)/7)^2)*Table1[[#This Row],[BW40_3705]],"")</f>
        <v/>
      </c>
      <c r="G5573" s="2" t="str">
        <f>IF(Table1[[#This Row],[Is Data Valid]]=TRUE,((Table1[[#This Row],[Birthweight (grams)]]/Table1[[#This Row],[BW_GA]])-1)/(Backend!$B$4/100*Table1[[#This Row],[BW40_3705]]),"")</f>
        <v/>
      </c>
      <c r="H5573" s="7" t="str">
        <f>IF(Table1[[#This Row],[Is Data Valid]]=TRUE,((Table1[[#This Row],[Birthweight (grams)]]*0.9/Table1[[#This Row],[BW_GA]])-1)/(Backend!$B$4/100*Table1[[#This Row],[BW40_3705]]),"")</f>
        <v/>
      </c>
      <c r="I5573" s="7" t="str">
        <f>IF(Table1[[#This Row],[Is Data Valid]]=TRUE,((Table1[[#This Row],[Birthweight (grams)]]*1.1/Table1[[#This Row],[BW_GA]])-1)/(Backend!$B$4/100*Table1[[#This Row],[BW40_3705]]),"")</f>
        <v/>
      </c>
      <c r="J5573" s="7" t="str">
        <f>IF(Table1[[#This Row],[Is Data Valid]]=TRUE,_xlfn.NORM.S.DIST(Table1[[#This Row],[Birthweight Z-Score]],TRUE)*100,"")</f>
        <v/>
      </c>
      <c r="K5573" s="7" t="str">
        <f>IF(Table1[[#This Row],[Is Data Valid]]=TRUE,_xlfn.NORM.S.DIST(Table1[[#This Row],[Birthweight Z-Score (BW-10%)]],TRUE)*100,"")</f>
        <v/>
      </c>
      <c r="L5573" s="7" t="str">
        <f>IF(Table1[[#This Row],[Is Data Valid]]=TRUE,_xlfn.NORM.S.DIST(Table1[[#This Row],[Birthweight Z-Score (BW+10%)]],TRUE)*100,"")</f>
        <v/>
      </c>
    </row>
    <row r="5574" spans="1:12" x14ac:dyDescent="0.35">
      <c r="A5574" s="3"/>
      <c r="B5574" s="2"/>
      <c r="C5574" s="2"/>
      <c r="D5574" s="2" t="b">
        <f>IF(AND(NOT(ISBLANK(Table1[[#This Row],[Fetal Sex (Male, Female or Unknown)]])),ISNUMBER(Table1[[#This Row],[Birthweight (grams)]]),ISNUMBER(Table1[[#This Row],[Gestation (days)]])),TRUE,FALSE)</f>
        <v>0</v>
      </c>
      <c r="E5574" s="2" t="str">
        <f>IF(Table1[[#This Row],[Is Data Valid]]=TRUE,IF(Table1[[#This Row],[Fetal Sex (Male, Female or Unknown)]]="Male",Backend!$C$6,IF(Table1[[#This Row],[Fetal Sex (Male, Female or Unknown)]]="Female",Backend!$C$7,IF(Table1[[#This Row],[Fetal Sex (Male, Female or Unknown)]]="Unknown",Backend!$C$8,"Error"))),"")</f>
        <v/>
      </c>
      <c r="F5574" s="8" t="str">
        <f>IF(Table1[[#This Row],[Is Data Valid]]=TRUE,EXP(0.578+0.332*((Table1[[#This Row],[Gestation (days)]]+0.5)/7)-0.00354*((Table1[[#This Row],[Gestation (days)]]+0.5)/7)^2)*Table1[[#This Row],[BW40_3705]],"")</f>
        <v/>
      </c>
      <c r="G5574" s="2" t="str">
        <f>IF(Table1[[#This Row],[Is Data Valid]]=TRUE,((Table1[[#This Row],[Birthweight (grams)]]/Table1[[#This Row],[BW_GA]])-1)/(Backend!$B$4/100*Table1[[#This Row],[BW40_3705]]),"")</f>
        <v/>
      </c>
      <c r="H5574" s="7" t="str">
        <f>IF(Table1[[#This Row],[Is Data Valid]]=TRUE,((Table1[[#This Row],[Birthweight (grams)]]*0.9/Table1[[#This Row],[BW_GA]])-1)/(Backend!$B$4/100*Table1[[#This Row],[BW40_3705]]),"")</f>
        <v/>
      </c>
      <c r="I5574" s="7" t="str">
        <f>IF(Table1[[#This Row],[Is Data Valid]]=TRUE,((Table1[[#This Row],[Birthweight (grams)]]*1.1/Table1[[#This Row],[BW_GA]])-1)/(Backend!$B$4/100*Table1[[#This Row],[BW40_3705]]),"")</f>
        <v/>
      </c>
      <c r="J5574" s="7" t="str">
        <f>IF(Table1[[#This Row],[Is Data Valid]]=TRUE,_xlfn.NORM.S.DIST(Table1[[#This Row],[Birthweight Z-Score]],TRUE)*100,"")</f>
        <v/>
      </c>
      <c r="K5574" s="7" t="str">
        <f>IF(Table1[[#This Row],[Is Data Valid]]=TRUE,_xlfn.NORM.S.DIST(Table1[[#This Row],[Birthweight Z-Score (BW-10%)]],TRUE)*100,"")</f>
        <v/>
      </c>
      <c r="L5574" s="7" t="str">
        <f>IF(Table1[[#This Row],[Is Data Valid]]=TRUE,_xlfn.NORM.S.DIST(Table1[[#This Row],[Birthweight Z-Score (BW+10%)]],TRUE)*100,"")</f>
        <v/>
      </c>
    </row>
    <row r="5575" spans="1:12" x14ac:dyDescent="0.35">
      <c r="A5575" s="3"/>
      <c r="B5575" s="2"/>
      <c r="C5575" s="2"/>
      <c r="D5575" s="2" t="b">
        <f>IF(AND(NOT(ISBLANK(Table1[[#This Row],[Fetal Sex (Male, Female or Unknown)]])),ISNUMBER(Table1[[#This Row],[Birthweight (grams)]]),ISNUMBER(Table1[[#This Row],[Gestation (days)]])),TRUE,FALSE)</f>
        <v>0</v>
      </c>
      <c r="E5575" s="2" t="str">
        <f>IF(Table1[[#This Row],[Is Data Valid]]=TRUE,IF(Table1[[#This Row],[Fetal Sex (Male, Female or Unknown)]]="Male",Backend!$C$6,IF(Table1[[#This Row],[Fetal Sex (Male, Female or Unknown)]]="Female",Backend!$C$7,IF(Table1[[#This Row],[Fetal Sex (Male, Female or Unknown)]]="Unknown",Backend!$C$8,"Error"))),"")</f>
        <v/>
      </c>
      <c r="F5575" s="8" t="str">
        <f>IF(Table1[[#This Row],[Is Data Valid]]=TRUE,EXP(0.578+0.332*((Table1[[#This Row],[Gestation (days)]]+0.5)/7)-0.00354*((Table1[[#This Row],[Gestation (days)]]+0.5)/7)^2)*Table1[[#This Row],[BW40_3705]],"")</f>
        <v/>
      </c>
      <c r="G5575" s="2" t="str">
        <f>IF(Table1[[#This Row],[Is Data Valid]]=TRUE,((Table1[[#This Row],[Birthweight (grams)]]/Table1[[#This Row],[BW_GA]])-1)/(Backend!$B$4/100*Table1[[#This Row],[BW40_3705]]),"")</f>
        <v/>
      </c>
      <c r="H5575" s="7" t="str">
        <f>IF(Table1[[#This Row],[Is Data Valid]]=TRUE,((Table1[[#This Row],[Birthweight (grams)]]*0.9/Table1[[#This Row],[BW_GA]])-1)/(Backend!$B$4/100*Table1[[#This Row],[BW40_3705]]),"")</f>
        <v/>
      </c>
      <c r="I5575" s="7" t="str">
        <f>IF(Table1[[#This Row],[Is Data Valid]]=TRUE,((Table1[[#This Row],[Birthweight (grams)]]*1.1/Table1[[#This Row],[BW_GA]])-1)/(Backend!$B$4/100*Table1[[#This Row],[BW40_3705]]),"")</f>
        <v/>
      </c>
      <c r="J5575" s="7" t="str">
        <f>IF(Table1[[#This Row],[Is Data Valid]]=TRUE,_xlfn.NORM.S.DIST(Table1[[#This Row],[Birthweight Z-Score]],TRUE)*100,"")</f>
        <v/>
      </c>
      <c r="K5575" s="7" t="str">
        <f>IF(Table1[[#This Row],[Is Data Valid]]=TRUE,_xlfn.NORM.S.DIST(Table1[[#This Row],[Birthweight Z-Score (BW-10%)]],TRUE)*100,"")</f>
        <v/>
      </c>
      <c r="L5575" s="7" t="str">
        <f>IF(Table1[[#This Row],[Is Data Valid]]=TRUE,_xlfn.NORM.S.DIST(Table1[[#This Row],[Birthweight Z-Score (BW+10%)]],TRUE)*100,"")</f>
        <v/>
      </c>
    </row>
    <row r="5576" spans="1:12" x14ac:dyDescent="0.35">
      <c r="A5576" s="3"/>
      <c r="B5576" s="2"/>
      <c r="C5576" s="2"/>
      <c r="D5576" s="2" t="b">
        <f>IF(AND(NOT(ISBLANK(Table1[[#This Row],[Fetal Sex (Male, Female or Unknown)]])),ISNUMBER(Table1[[#This Row],[Birthweight (grams)]]),ISNUMBER(Table1[[#This Row],[Gestation (days)]])),TRUE,FALSE)</f>
        <v>0</v>
      </c>
      <c r="E5576" s="2" t="str">
        <f>IF(Table1[[#This Row],[Is Data Valid]]=TRUE,IF(Table1[[#This Row],[Fetal Sex (Male, Female or Unknown)]]="Male",Backend!$C$6,IF(Table1[[#This Row],[Fetal Sex (Male, Female or Unknown)]]="Female",Backend!$C$7,IF(Table1[[#This Row],[Fetal Sex (Male, Female or Unknown)]]="Unknown",Backend!$C$8,"Error"))),"")</f>
        <v/>
      </c>
      <c r="F5576" s="8" t="str">
        <f>IF(Table1[[#This Row],[Is Data Valid]]=TRUE,EXP(0.578+0.332*((Table1[[#This Row],[Gestation (days)]]+0.5)/7)-0.00354*((Table1[[#This Row],[Gestation (days)]]+0.5)/7)^2)*Table1[[#This Row],[BW40_3705]],"")</f>
        <v/>
      </c>
      <c r="G5576" s="2" t="str">
        <f>IF(Table1[[#This Row],[Is Data Valid]]=TRUE,((Table1[[#This Row],[Birthweight (grams)]]/Table1[[#This Row],[BW_GA]])-1)/(Backend!$B$4/100*Table1[[#This Row],[BW40_3705]]),"")</f>
        <v/>
      </c>
      <c r="H5576" s="7" t="str">
        <f>IF(Table1[[#This Row],[Is Data Valid]]=TRUE,((Table1[[#This Row],[Birthweight (grams)]]*0.9/Table1[[#This Row],[BW_GA]])-1)/(Backend!$B$4/100*Table1[[#This Row],[BW40_3705]]),"")</f>
        <v/>
      </c>
      <c r="I5576" s="7" t="str">
        <f>IF(Table1[[#This Row],[Is Data Valid]]=TRUE,((Table1[[#This Row],[Birthweight (grams)]]*1.1/Table1[[#This Row],[BW_GA]])-1)/(Backend!$B$4/100*Table1[[#This Row],[BW40_3705]]),"")</f>
        <v/>
      </c>
      <c r="J5576" s="7" t="str">
        <f>IF(Table1[[#This Row],[Is Data Valid]]=TRUE,_xlfn.NORM.S.DIST(Table1[[#This Row],[Birthweight Z-Score]],TRUE)*100,"")</f>
        <v/>
      </c>
      <c r="K5576" s="7" t="str">
        <f>IF(Table1[[#This Row],[Is Data Valid]]=TRUE,_xlfn.NORM.S.DIST(Table1[[#This Row],[Birthweight Z-Score (BW-10%)]],TRUE)*100,"")</f>
        <v/>
      </c>
      <c r="L5576" s="7" t="str">
        <f>IF(Table1[[#This Row],[Is Data Valid]]=TRUE,_xlfn.NORM.S.DIST(Table1[[#This Row],[Birthweight Z-Score (BW+10%)]],TRUE)*100,"")</f>
        <v/>
      </c>
    </row>
    <row r="5577" spans="1:12" x14ac:dyDescent="0.35">
      <c r="A5577" s="3"/>
      <c r="B5577" s="2"/>
      <c r="C5577" s="2"/>
      <c r="D5577" s="2" t="b">
        <f>IF(AND(NOT(ISBLANK(Table1[[#This Row],[Fetal Sex (Male, Female or Unknown)]])),ISNUMBER(Table1[[#This Row],[Birthweight (grams)]]),ISNUMBER(Table1[[#This Row],[Gestation (days)]])),TRUE,FALSE)</f>
        <v>0</v>
      </c>
      <c r="E5577" s="2" t="str">
        <f>IF(Table1[[#This Row],[Is Data Valid]]=TRUE,IF(Table1[[#This Row],[Fetal Sex (Male, Female or Unknown)]]="Male",Backend!$C$6,IF(Table1[[#This Row],[Fetal Sex (Male, Female or Unknown)]]="Female",Backend!$C$7,IF(Table1[[#This Row],[Fetal Sex (Male, Female or Unknown)]]="Unknown",Backend!$C$8,"Error"))),"")</f>
        <v/>
      </c>
      <c r="F5577" s="8" t="str">
        <f>IF(Table1[[#This Row],[Is Data Valid]]=TRUE,EXP(0.578+0.332*((Table1[[#This Row],[Gestation (days)]]+0.5)/7)-0.00354*((Table1[[#This Row],[Gestation (days)]]+0.5)/7)^2)*Table1[[#This Row],[BW40_3705]],"")</f>
        <v/>
      </c>
      <c r="G5577" s="2" t="str">
        <f>IF(Table1[[#This Row],[Is Data Valid]]=TRUE,((Table1[[#This Row],[Birthweight (grams)]]/Table1[[#This Row],[BW_GA]])-1)/(Backend!$B$4/100*Table1[[#This Row],[BW40_3705]]),"")</f>
        <v/>
      </c>
      <c r="H5577" s="7" t="str">
        <f>IF(Table1[[#This Row],[Is Data Valid]]=TRUE,((Table1[[#This Row],[Birthweight (grams)]]*0.9/Table1[[#This Row],[BW_GA]])-1)/(Backend!$B$4/100*Table1[[#This Row],[BW40_3705]]),"")</f>
        <v/>
      </c>
      <c r="I5577" s="7" t="str">
        <f>IF(Table1[[#This Row],[Is Data Valid]]=TRUE,((Table1[[#This Row],[Birthweight (grams)]]*1.1/Table1[[#This Row],[BW_GA]])-1)/(Backend!$B$4/100*Table1[[#This Row],[BW40_3705]]),"")</f>
        <v/>
      </c>
      <c r="J5577" s="7" t="str">
        <f>IF(Table1[[#This Row],[Is Data Valid]]=TRUE,_xlfn.NORM.S.DIST(Table1[[#This Row],[Birthweight Z-Score]],TRUE)*100,"")</f>
        <v/>
      </c>
      <c r="K5577" s="7" t="str">
        <f>IF(Table1[[#This Row],[Is Data Valid]]=TRUE,_xlfn.NORM.S.DIST(Table1[[#This Row],[Birthweight Z-Score (BW-10%)]],TRUE)*100,"")</f>
        <v/>
      </c>
      <c r="L5577" s="7" t="str">
        <f>IF(Table1[[#This Row],[Is Data Valid]]=TRUE,_xlfn.NORM.S.DIST(Table1[[#This Row],[Birthweight Z-Score (BW+10%)]],TRUE)*100,"")</f>
        <v/>
      </c>
    </row>
    <row r="5578" spans="1:12" x14ac:dyDescent="0.35">
      <c r="A5578" s="3"/>
      <c r="B5578" s="2"/>
      <c r="C5578" s="2"/>
      <c r="D5578" s="2" t="b">
        <f>IF(AND(NOT(ISBLANK(Table1[[#This Row],[Fetal Sex (Male, Female or Unknown)]])),ISNUMBER(Table1[[#This Row],[Birthweight (grams)]]),ISNUMBER(Table1[[#This Row],[Gestation (days)]])),TRUE,FALSE)</f>
        <v>0</v>
      </c>
      <c r="E5578" s="2" t="str">
        <f>IF(Table1[[#This Row],[Is Data Valid]]=TRUE,IF(Table1[[#This Row],[Fetal Sex (Male, Female or Unknown)]]="Male",Backend!$C$6,IF(Table1[[#This Row],[Fetal Sex (Male, Female or Unknown)]]="Female",Backend!$C$7,IF(Table1[[#This Row],[Fetal Sex (Male, Female or Unknown)]]="Unknown",Backend!$C$8,"Error"))),"")</f>
        <v/>
      </c>
      <c r="F5578" s="8" t="str">
        <f>IF(Table1[[#This Row],[Is Data Valid]]=TRUE,EXP(0.578+0.332*((Table1[[#This Row],[Gestation (days)]]+0.5)/7)-0.00354*((Table1[[#This Row],[Gestation (days)]]+0.5)/7)^2)*Table1[[#This Row],[BW40_3705]],"")</f>
        <v/>
      </c>
      <c r="G5578" s="2" t="str">
        <f>IF(Table1[[#This Row],[Is Data Valid]]=TRUE,((Table1[[#This Row],[Birthweight (grams)]]/Table1[[#This Row],[BW_GA]])-1)/(Backend!$B$4/100*Table1[[#This Row],[BW40_3705]]),"")</f>
        <v/>
      </c>
      <c r="H5578" s="7" t="str">
        <f>IF(Table1[[#This Row],[Is Data Valid]]=TRUE,((Table1[[#This Row],[Birthweight (grams)]]*0.9/Table1[[#This Row],[BW_GA]])-1)/(Backend!$B$4/100*Table1[[#This Row],[BW40_3705]]),"")</f>
        <v/>
      </c>
      <c r="I5578" s="7" t="str">
        <f>IF(Table1[[#This Row],[Is Data Valid]]=TRUE,((Table1[[#This Row],[Birthweight (grams)]]*1.1/Table1[[#This Row],[BW_GA]])-1)/(Backend!$B$4/100*Table1[[#This Row],[BW40_3705]]),"")</f>
        <v/>
      </c>
      <c r="J5578" s="7" t="str">
        <f>IF(Table1[[#This Row],[Is Data Valid]]=TRUE,_xlfn.NORM.S.DIST(Table1[[#This Row],[Birthweight Z-Score]],TRUE)*100,"")</f>
        <v/>
      </c>
      <c r="K5578" s="7" t="str">
        <f>IF(Table1[[#This Row],[Is Data Valid]]=TRUE,_xlfn.NORM.S.DIST(Table1[[#This Row],[Birthweight Z-Score (BW-10%)]],TRUE)*100,"")</f>
        <v/>
      </c>
      <c r="L5578" s="7" t="str">
        <f>IF(Table1[[#This Row],[Is Data Valid]]=TRUE,_xlfn.NORM.S.DIST(Table1[[#This Row],[Birthweight Z-Score (BW+10%)]],TRUE)*100,"")</f>
        <v/>
      </c>
    </row>
    <row r="5579" spans="1:12" x14ac:dyDescent="0.35">
      <c r="A5579" s="3"/>
      <c r="B5579" s="2"/>
      <c r="C5579" s="2"/>
      <c r="D5579" s="2" t="b">
        <f>IF(AND(NOT(ISBLANK(Table1[[#This Row],[Fetal Sex (Male, Female or Unknown)]])),ISNUMBER(Table1[[#This Row],[Birthweight (grams)]]),ISNUMBER(Table1[[#This Row],[Gestation (days)]])),TRUE,FALSE)</f>
        <v>0</v>
      </c>
      <c r="E5579" s="2" t="str">
        <f>IF(Table1[[#This Row],[Is Data Valid]]=TRUE,IF(Table1[[#This Row],[Fetal Sex (Male, Female or Unknown)]]="Male",Backend!$C$6,IF(Table1[[#This Row],[Fetal Sex (Male, Female or Unknown)]]="Female",Backend!$C$7,IF(Table1[[#This Row],[Fetal Sex (Male, Female or Unknown)]]="Unknown",Backend!$C$8,"Error"))),"")</f>
        <v/>
      </c>
      <c r="F5579" s="8" t="str">
        <f>IF(Table1[[#This Row],[Is Data Valid]]=TRUE,EXP(0.578+0.332*((Table1[[#This Row],[Gestation (days)]]+0.5)/7)-0.00354*((Table1[[#This Row],[Gestation (days)]]+0.5)/7)^2)*Table1[[#This Row],[BW40_3705]],"")</f>
        <v/>
      </c>
      <c r="G5579" s="2" t="str">
        <f>IF(Table1[[#This Row],[Is Data Valid]]=TRUE,((Table1[[#This Row],[Birthweight (grams)]]/Table1[[#This Row],[BW_GA]])-1)/(Backend!$B$4/100*Table1[[#This Row],[BW40_3705]]),"")</f>
        <v/>
      </c>
      <c r="H5579" s="7" t="str">
        <f>IF(Table1[[#This Row],[Is Data Valid]]=TRUE,((Table1[[#This Row],[Birthweight (grams)]]*0.9/Table1[[#This Row],[BW_GA]])-1)/(Backend!$B$4/100*Table1[[#This Row],[BW40_3705]]),"")</f>
        <v/>
      </c>
      <c r="I5579" s="7" t="str">
        <f>IF(Table1[[#This Row],[Is Data Valid]]=TRUE,((Table1[[#This Row],[Birthweight (grams)]]*1.1/Table1[[#This Row],[BW_GA]])-1)/(Backend!$B$4/100*Table1[[#This Row],[BW40_3705]]),"")</f>
        <v/>
      </c>
      <c r="J5579" s="7" t="str">
        <f>IF(Table1[[#This Row],[Is Data Valid]]=TRUE,_xlfn.NORM.S.DIST(Table1[[#This Row],[Birthweight Z-Score]],TRUE)*100,"")</f>
        <v/>
      </c>
      <c r="K5579" s="7" t="str">
        <f>IF(Table1[[#This Row],[Is Data Valid]]=TRUE,_xlfn.NORM.S.DIST(Table1[[#This Row],[Birthweight Z-Score (BW-10%)]],TRUE)*100,"")</f>
        <v/>
      </c>
      <c r="L5579" s="7" t="str">
        <f>IF(Table1[[#This Row],[Is Data Valid]]=TRUE,_xlfn.NORM.S.DIST(Table1[[#This Row],[Birthweight Z-Score (BW+10%)]],TRUE)*100,"")</f>
        <v/>
      </c>
    </row>
    <row r="5580" spans="1:12" x14ac:dyDescent="0.35">
      <c r="A5580" s="3"/>
      <c r="B5580" s="2"/>
      <c r="C5580" s="2"/>
      <c r="D5580" s="2" t="b">
        <f>IF(AND(NOT(ISBLANK(Table1[[#This Row],[Fetal Sex (Male, Female or Unknown)]])),ISNUMBER(Table1[[#This Row],[Birthweight (grams)]]),ISNUMBER(Table1[[#This Row],[Gestation (days)]])),TRUE,FALSE)</f>
        <v>0</v>
      </c>
      <c r="E5580" s="2" t="str">
        <f>IF(Table1[[#This Row],[Is Data Valid]]=TRUE,IF(Table1[[#This Row],[Fetal Sex (Male, Female or Unknown)]]="Male",Backend!$C$6,IF(Table1[[#This Row],[Fetal Sex (Male, Female or Unknown)]]="Female",Backend!$C$7,IF(Table1[[#This Row],[Fetal Sex (Male, Female or Unknown)]]="Unknown",Backend!$C$8,"Error"))),"")</f>
        <v/>
      </c>
      <c r="F5580" s="8" t="str">
        <f>IF(Table1[[#This Row],[Is Data Valid]]=TRUE,EXP(0.578+0.332*((Table1[[#This Row],[Gestation (days)]]+0.5)/7)-0.00354*((Table1[[#This Row],[Gestation (days)]]+0.5)/7)^2)*Table1[[#This Row],[BW40_3705]],"")</f>
        <v/>
      </c>
      <c r="G5580" s="2" t="str">
        <f>IF(Table1[[#This Row],[Is Data Valid]]=TRUE,((Table1[[#This Row],[Birthweight (grams)]]/Table1[[#This Row],[BW_GA]])-1)/(Backend!$B$4/100*Table1[[#This Row],[BW40_3705]]),"")</f>
        <v/>
      </c>
      <c r="H5580" s="7" t="str">
        <f>IF(Table1[[#This Row],[Is Data Valid]]=TRUE,((Table1[[#This Row],[Birthweight (grams)]]*0.9/Table1[[#This Row],[BW_GA]])-1)/(Backend!$B$4/100*Table1[[#This Row],[BW40_3705]]),"")</f>
        <v/>
      </c>
      <c r="I5580" s="7" t="str">
        <f>IF(Table1[[#This Row],[Is Data Valid]]=TRUE,((Table1[[#This Row],[Birthweight (grams)]]*1.1/Table1[[#This Row],[BW_GA]])-1)/(Backend!$B$4/100*Table1[[#This Row],[BW40_3705]]),"")</f>
        <v/>
      </c>
      <c r="J5580" s="7" t="str">
        <f>IF(Table1[[#This Row],[Is Data Valid]]=TRUE,_xlfn.NORM.S.DIST(Table1[[#This Row],[Birthweight Z-Score]],TRUE)*100,"")</f>
        <v/>
      </c>
      <c r="K5580" s="7" t="str">
        <f>IF(Table1[[#This Row],[Is Data Valid]]=TRUE,_xlfn.NORM.S.DIST(Table1[[#This Row],[Birthweight Z-Score (BW-10%)]],TRUE)*100,"")</f>
        <v/>
      </c>
      <c r="L5580" s="7" t="str">
        <f>IF(Table1[[#This Row],[Is Data Valid]]=TRUE,_xlfn.NORM.S.DIST(Table1[[#This Row],[Birthweight Z-Score (BW+10%)]],TRUE)*100,"")</f>
        <v/>
      </c>
    </row>
    <row r="5581" spans="1:12" x14ac:dyDescent="0.35">
      <c r="A5581" s="3"/>
      <c r="B5581" s="2"/>
      <c r="C5581" s="2"/>
      <c r="D5581" s="2" t="b">
        <f>IF(AND(NOT(ISBLANK(Table1[[#This Row],[Fetal Sex (Male, Female or Unknown)]])),ISNUMBER(Table1[[#This Row],[Birthweight (grams)]]),ISNUMBER(Table1[[#This Row],[Gestation (days)]])),TRUE,FALSE)</f>
        <v>0</v>
      </c>
      <c r="E5581" s="2" t="str">
        <f>IF(Table1[[#This Row],[Is Data Valid]]=TRUE,IF(Table1[[#This Row],[Fetal Sex (Male, Female or Unknown)]]="Male",Backend!$C$6,IF(Table1[[#This Row],[Fetal Sex (Male, Female or Unknown)]]="Female",Backend!$C$7,IF(Table1[[#This Row],[Fetal Sex (Male, Female or Unknown)]]="Unknown",Backend!$C$8,"Error"))),"")</f>
        <v/>
      </c>
      <c r="F5581" s="8" t="str">
        <f>IF(Table1[[#This Row],[Is Data Valid]]=TRUE,EXP(0.578+0.332*((Table1[[#This Row],[Gestation (days)]]+0.5)/7)-0.00354*((Table1[[#This Row],[Gestation (days)]]+0.5)/7)^2)*Table1[[#This Row],[BW40_3705]],"")</f>
        <v/>
      </c>
      <c r="G5581" s="2" t="str">
        <f>IF(Table1[[#This Row],[Is Data Valid]]=TRUE,((Table1[[#This Row],[Birthweight (grams)]]/Table1[[#This Row],[BW_GA]])-1)/(Backend!$B$4/100*Table1[[#This Row],[BW40_3705]]),"")</f>
        <v/>
      </c>
      <c r="H5581" s="7" t="str">
        <f>IF(Table1[[#This Row],[Is Data Valid]]=TRUE,((Table1[[#This Row],[Birthweight (grams)]]*0.9/Table1[[#This Row],[BW_GA]])-1)/(Backend!$B$4/100*Table1[[#This Row],[BW40_3705]]),"")</f>
        <v/>
      </c>
      <c r="I5581" s="7" t="str">
        <f>IF(Table1[[#This Row],[Is Data Valid]]=TRUE,((Table1[[#This Row],[Birthweight (grams)]]*1.1/Table1[[#This Row],[BW_GA]])-1)/(Backend!$B$4/100*Table1[[#This Row],[BW40_3705]]),"")</f>
        <v/>
      </c>
      <c r="J5581" s="7" t="str">
        <f>IF(Table1[[#This Row],[Is Data Valid]]=TRUE,_xlfn.NORM.S.DIST(Table1[[#This Row],[Birthweight Z-Score]],TRUE)*100,"")</f>
        <v/>
      </c>
      <c r="K5581" s="7" t="str">
        <f>IF(Table1[[#This Row],[Is Data Valid]]=TRUE,_xlfn.NORM.S.DIST(Table1[[#This Row],[Birthweight Z-Score (BW-10%)]],TRUE)*100,"")</f>
        <v/>
      </c>
      <c r="L5581" s="7" t="str">
        <f>IF(Table1[[#This Row],[Is Data Valid]]=TRUE,_xlfn.NORM.S.DIST(Table1[[#This Row],[Birthweight Z-Score (BW+10%)]],TRUE)*100,"")</f>
        <v/>
      </c>
    </row>
    <row r="5582" spans="1:12" x14ac:dyDescent="0.35">
      <c r="A5582" s="3"/>
      <c r="B5582" s="2"/>
      <c r="C5582" s="2"/>
      <c r="D5582" s="2" t="b">
        <f>IF(AND(NOT(ISBLANK(Table1[[#This Row],[Fetal Sex (Male, Female or Unknown)]])),ISNUMBER(Table1[[#This Row],[Birthweight (grams)]]),ISNUMBER(Table1[[#This Row],[Gestation (days)]])),TRUE,FALSE)</f>
        <v>0</v>
      </c>
      <c r="E5582" s="2" t="str">
        <f>IF(Table1[[#This Row],[Is Data Valid]]=TRUE,IF(Table1[[#This Row],[Fetal Sex (Male, Female or Unknown)]]="Male",Backend!$C$6,IF(Table1[[#This Row],[Fetal Sex (Male, Female or Unknown)]]="Female",Backend!$C$7,IF(Table1[[#This Row],[Fetal Sex (Male, Female or Unknown)]]="Unknown",Backend!$C$8,"Error"))),"")</f>
        <v/>
      </c>
      <c r="F5582" s="8" t="str">
        <f>IF(Table1[[#This Row],[Is Data Valid]]=TRUE,EXP(0.578+0.332*((Table1[[#This Row],[Gestation (days)]]+0.5)/7)-0.00354*((Table1[[#This Row],[Gestation (days)]]+0.5)/7)^2)*Table1[[#This Row],[BW40_3705]],"")</f>
        <v/>
      </c>
      <c r="G5582" s="2" t="str">
        <f>IF(Table1[[#This Row],[Is Data Valid]]=TRUE,((Table1[[#This Row],[Birthweight (grams)]]/Table1[[#This Row],[BW_GA]])-1)/(Backend!$B$4/100*Table1[[#This Row],[BW40_3705]]),"")</f>
        <v/>
      </c>
      <c r="H5582" s="7" t="str">
        <f>IF(Table1[[#This Row],[Is Data Valid]]=TRUE,((Table1[[#This Row],[Birthweight (grams)]]*0.9/Table1[[#This Row],[BW_GA]])-1)/(Backend!$B$4/100*Table1[[#This Row],[BW40_3705]]),"")</f>
        <v/>
      </c>
      <c r="I5582" s="7" t="str">
        <f>IF(Table1[[#This Row],[Is Data Valid]]=TRUE,((Table1[[#This Row],[Birthweight (grams)]]*1.1/Table1[[#This Row],[BW_GA]])-1)/(Backend!$B$4/100*Table1[[#This Row],[BW40_3705]]),"")</f>
        <v/>
      </c>
      <c r="J5582" s="7" t="str">
        <f>IF(Table1[[#This Row],[Is Data Valid]]=TRUE,_xlfn.NORM.S.DIST(Table1[[#This Row],[Birthweight Z-Score]],TRUE)*100,"")</f>
        <v/>
      </c>
      <c r="K5582" s="7" t="str">
        <f>IF(Table1[[#This Row],[Is Data Valid]]=TRUE,_xlfn.NORM.S.DIST(Table1[[#This Row],[Birthweight Z-Score (BW-10%)]],TRUE)*100,"")</f>
        <v/>
      </c>
      <c r="L5582" s="7" t="str">
        <f>IF(Table1[[#This Row],[Is Data Valid]]=TRUE,_xlfn.NORM.S.DIST(Table1[[#This Row],[Birthweight Z-Score (BW+10%)]],TRUE)*100,"")</f>
        <v/>
      </c>
    </row>
    <row r="5583" spans="1:12" x14ac:dyDescent="0.35">
      <c r="A5583" s="3"/>
      <c r="B5583" s="2"/>
      <c r="C5583" s="2"/>
      <c r="D5583" s="2" t="b">
        <f>IF(AND(NOT(ISBLANK(Table1[[#This Row],[Fetal Sex (Male, Female or Unknown)]])),ISNUMBER(Table1[[#This Row],[Birthweight (grams)]]),ISNUMBER(Table1[[#This Row],[Gestation (days)]])),TRUE,FALSE)</f>
        <v>0</v>
      </c>
      <c r="E5583" s="2" t="str">
        <f>IF(Table1[[#This Row],[Is Data Valid]]=TRUE,IF(Table1[[#This Row],[Fetal Sex (Male, Female or Unknown)]]="Male",Backend!$C$6,IF(Table1[[#This Row],[Fetal Sex (Male, Female or Unknown)]]="Female",Backend!$C$7,IF(Table1[[#This Row],[Fetal Sex (Male, Female or Unknown)]]="Unknown",Backend!$C$8,"Error"))),"")</f>
        <v/>
      </c>
      <c r="F5583" s="8" t="str">
        <f>IF(Table1[[#This Row],[Is Data Valid]]=TRUE,EXP(0.578+0.332*((Table1[[#This Row],[Gestation (days)]]+0.5)/7)-0.00354*((Table1[[#This Row],[Gestation (days)]]+0.5)/7)^2)*Table1[[#This Row],[BW40_3705]],"")</f>
        <v/>
      </c>
      <c r="G5583" s="2" t="str">
        <f>IF(Table1[[#This Row],[Is Data Valid]]=TRUE,((Table1[[#This Row],[Birthweight (grams)]]/Table1[[#This Row],[BW_GA]])-1)/(Backend!$B$4/100*Table1[[#This Row],[BW40_3705]]),"")</f>
        <v/>
      </c>
      <c r="H5583" s="7" t="str">
        <f>IF(Table1[[#This Row],[Is Data Valid]]=TRUE,((Table1[[#This Row],[Birthweight (grams)]]*0.9/Table1[[#This Row],[BW_GA]])-1)/(Backend!$B$4/100*Table1[[#This Row],[BW40_3705]]),"")</f>
        <v/>
      </c>
      <c r="I5583" s="7" t="str">
        <f>IF(Table1[[#This Row],[Is Data Valid]]=TRUE,((Table1[[#This Row],[Birthweight (grams)]]*1.1/Table1[[#This Row],[BW_GA]])-1)/(Backend!$B$4/100*Table1[[#This Row],[BW40_3705]]),"")</f>
        <v/>
      </c>
      <c r="J5583" s="7" t="str">
        <f>IF(Table1[[#This Row],[Is Data Valid]]=TRUE,_xlfn.NORM.S.DIST(Table1[[#This Row],[Birthweight Z-Score]],TRUE)*100,"")</f>
        <v/>
      </c>
      <c r="K5583" s="7" t="str">
        <f>IF(Table1[[#This Row],[Is Data Valid]]=TRUE,_xlfn.NORM.S.DIST(Table1[[#This Row],[Birthweight Z-Score (BW-10%)]],TRUE)*100,"")</f>
        <v/>
      </c>
      <c r="L5583" s="7" t="str">
        <f>IF(Table1[[#This Row],[Is Data Valid]]=TRUE,_xlfn.NORM.S.DIST(Table1[[#This Row],[Birthweight Z-Score (BW+10%)]],TRUE)*100,"")</f>
        <v/>
      </c>
    </row>
    <row r="5584" spans="1:12" x14ac:dyDescent="0.35">
      <c r="A5584" s="3"/>
      <c r="B5584" s="2"/>
      <c r="C5584" s="2"/>
      <c r="D5584" s="2" t="b">
        <f>IF(AND(NOT(ISBLANK(Table1[[#This Row],[Fetal Sex (Male, Female or Unknown)]])),ISNUMBER(Table1[[#This Row],[Birthweight (grams)]]),ISNUMBER(Table1[[#This Row],[Gestation (days)]])),TRUE,FALSE)</f>
        <v>0</v>
      </c>
      <c r="E5584" s="2" t="str">
        <f>IF(Table1[[#This Row],[Is Data Valid]]=TRUE,IF(Table1[[#This Row],[Fetal Sex (Male, Female or Unknown)]]="Male",Backend!$C$6,IF(Table1[[#This Row],[Fetal Sex (Male, Female or Unknown)]]="Female",Backend!$C$7,IF(Table1[[#This Row],[Fetal Sex (Male, Female or Unknown)]]="Unknown",Backend!$C$8,"Error"))),"")</f>
        <v/>
      </c>
      <c r="F5584" s="8" t="str">
        <f>IF(Table1[[#This Row],[Is Data Valid]]=TRUE,EXP(0.578+0.332*((Table1[[#This Row],[Gestation (days)]]+0.5)/7)-0.00354*((Table1[[#This Row],[Gestation (days)]]+0.5)/7)^2)*Table1[[#This Row],[BW40_3705]],"")</f>
        <v/>
      </c>
      <c r="G5584" s="2" t="str">
        <f>IF(Table1[[#This Row],[Is Data Valid]]=TRUE,((Table1[[#This Row],[Birthweight (grams)]]/Table1[[#This Row],[BW_GA]])-1)/(Backend!$B$4/100*Table1[[#This Row],[BW40_3705]]),"")</f>
        <v/>
      </c>
      <c r="H5584" s="7" t="str">
        <f>IF(Table1[[#This Row],[Is Data Valid]]=TRUE,((Table1[[#This Row],[Birthweight (grams)]]*0.9/Table1[[#This Row],[BW_GA]])-1)/(Backend!$B$4/100*Table1[[#This Row],[BW40_3705]]),"")</f>
        <v/>
      </c>
      <c r="I5584" s="7" t="str">
        <f>IF(Table1[[#This Row],[Is Data Valid]]=TRUE,((Table1[[#This Row],[Birthweight (grams)]]*1.1/Table1[[#This Row],[BW_GA]])-1)/(Backend!$B$4/100*Table1[[#This Row],[BW40_3705]]),"")</f>
        <v/>
      </c>
      <c r="J5584" s="7" t="str">
        <f>IF(Table1[[#This Row],[Is Data Valid]]=TRUE,_xlfn.NORM.S.DIST(Table1[[#This Row],[Birthweight Z-Score]],TRUE)*100,"")</f>
        <v/>
      </c>
      <c r="K5584" s="7" t="str">
        <f>IF(Table1[[#This Row],[Is Data Valid]]=TRUE,_xlfn.NORM.S.DIST(Table1[[#This Row],[Birthweight Z-Score (BW-10%)]],TRUE)*100,"")</f>
        <v/>
      </c>
      <c r="L5584" s="7" t="str">
        <f>IF(Table1[[#This Row],[Is Data Valid]]=TRUE,_xlfn.NORM.S.DIST(Table1[[#This Row],[Birthweight Z-Score (BW+10%)]],TRUE)*100,"")</f>
        <v/>
      </c>
    </row>
    <row r="5585" spans="1:12" x14ac:dyDescent="0.35">
      <c r="A5585" s="3"/>
      <c r="B5585" s="2"/>
      <c r="C5585" s="2"/>
      <c r="D5585" s="2" t="b">
        <f>IF(AND(NOT(ISBLANK(Table1[[#This Row],[Fetal Sex (Male, Female or Unknown)]])),ISNUMBER(Table1[[#This Row],[Birthweight (grams)]]),ISNUMBER(Table1[[#This Row],[Gestation (days)]])),TRUE,FALSE)</f>
        <v>0</v>
      </c>
      <c r="E5585" s="2" t="str">
        <f>IF(Table1[[#This Row],[Is Data Valid]]=TRUE,IF(Table1[[#This Row],[Fetal Sex (Male, Female or Unknown)]]="Male",Backend!$C$6,IF(Table1[[#This Row],[Fetal Sex (Male, Female or Unknown)]]="Female",Backend!$C$7,IF(Table1[[#This Row],[Fetal Sex (Male, Female or Unknown)]]="Unknown",Backend!$C$8,"Error"))),"")</f>
        <v/>
      </c>
      <c r="F5585" s="8" t="str">
        <f>IF(Table1[[#This Row],[Is Data Valid]]=TRUE,EXP(0.578+0.332*((Table1[[#This Row],[Gestation (days)]]+0.5)/7)-0.00354*((Table1[[#This Row],[Gestation (days)]]+0.5)/7)^2)*Table1[[#This Row],[BW40_3705]],"")</f>
        <v/>
      </c>
      <c r="G5585" s="2" t="str">
        <f>IF(Table1[[#This Row],[Is Data Valid]]=TRUE,((Table1[[#This Row],[Birthweight (grams)]]/Table1[[#This Row],[BW_GA]])-1)/(Backend!$B$4/100*Table1[[#This Row],[BW40_3705]]),"")</f>
        <v/>
      </c>
      <c r="H5585" s="7" t="str">
        <f>IF(Table1[[#This Row],[Is Data Valid]]=TRUE,((Table1[[#This Row],[Birthweight (grams)]]*0.9/Table1[[#This Row],[BW_GA]])-1)/(Backend!$B$4/100*Table1[[#This Row],[BW40_3705]]),"")</f>
        <v/>
      </c>
      <c r="I5585" s="7" t="str">
        <f>IF(Table1[[#This Row],[Is Data Valid]]=TRUE,((Table1[[#This Row],[Birthweight (grams)]]*1.1/Table1[[#This Row],[BW_GA]])-1)/(Backend!$B$4/100*Table1[[#This Row],[BW40_3705]]),"")</f>
        <v/>
      </c>
      <c r="J5585" s="7" t="str">
        <f>IF(Table1[[#This Row],[Is Data Valid]]=TRUE,_xlfn.NORM.S.DIST(Table1[[#This Row],[Birthweight Z-Score]],TRUE)*100,"")</f>
        <v/>
      </c>
      <c r="K5585" s="7" t="str">
        <f>IF(Table1[[#This Row],[Is Data Valid]]=TRUE,_xlfn.NORM.S.DIST(Table1[[#This Row],[Birthweight Z-Score (BW-10%)]],TRUE)*100,"")</f>
        <v/>
      </c>
      <c r="L5585" s="7" t="str">
        <f>IF(Table1[[#This Row],[Is Data Valid]]=TRUE,_xlfn.NORM.S.DIST(Table1[[#This Row],[Birthweight Z-Score (BW+10%)]],TRUE)*100,"")</f>
        <v/>
      </c>
    </row>
    <row r="5586" spans="1:12" x14ac:dyDescent="0.35">
      <c r="A5586" s="3"/>
      <c r="B5586" s="2"/>
      <c r="C5586" s="2"/>
      <c r="D5586" s="2" t="b">
        <f>IF(AND(NOT(ISBLANK(Table1[[#This Row],[Fetal Sex (Male, Female or Unknown)]])),ISNUMBER(Table1[[#This Row],[Birthweight (grams)]]),ISNUMBER(Table1[[#This Row],[Gestation (days)]])),TRUE,FALSE)</f>
        <v>0</v>
      </c>
      <c r="E5586" s="2" t="str">
        <f>IF(Table1[[#This Row],[Is Data Valid]]=TRUE,IF(Table1[[#This Row],[Fetal Sex (Male, Female or Unknown)]]="Male",Backend!$C$6,IF(Table1[[#This Row],[Fetal Sex (Male, Female or Unknown)]]="Female",Backend!$C$7,IF(Table1[[#This Row],[Fetal Sex (Male, Female or Unknown)]]="Unknown",Backend!$C$8,"Error"))),"")</f>
        <v/>
      </c>
      <c r="F5586" s="8" t="str">
        <f>IF(Table1[[#This Row],[Is Data Valid]]=TRUE,EXP(0.578+0.332*((Table1[[#This Row],[Gestation (days)]]+0.5)/7)-0.00354*((Table1[[#This Row],[Gestation (days)]]+0.5)/7)^2)*Table1[[#This Row],[BW40_3705]],"")</f>
        <v/>
      </c>
      <c r="G5586" s="2" t="str">
        <f>IF(Table1[[#This Row],[Is Data Valid]]=TRUE,((Table1[[#This Row],[Birthweight (grams)]]/Table1[[#This Row],[BW_GA]])-1)/(Backend!$B$4/100*Table1[[#This Row],[BW40_3705]]),"")</f>
        <v/>
      </c>
      <c r="H5586" s="7" t="str">
        <f>IF(Table1[[#This Row],[Is Data Valid]]=TRUE,((Table1[[#This Row],[Birthweight (grams)]]*0.9/Table1[[#This Row],[BW_GA]])-1)/(Backend!$B$4/100*Table1[[#This Row],[BW40_3705]]),"")</f>
        <v/>
      </c>
      <c r="I5586" s="7" t="str">
        <f>IF(Table1[[#This Row],[Is Data Valid]]=TRUE,((Table1[[#This Row],[Birthweight (grams)]]*1.1/Table1[[#This Row],[BW_GA]])-1)/(Backend!$B$4/100*Table1[[#This Row],[BW40_3705]]),"")</f>
        <v/>
      </c>
      <c r="J5586" s="7" t="str">
        <f>IF(Table1[[#This Row],[Is Data Valid]]=TRUE,_xlfn.NORM.S.DIST(Table1[[#This Row],[Birthweight Z-Score]],TRUE)*100,"")</f>
        <v/>
      </c>
      <c r="K5586" s="7" t="str">
        <f>IF(Table1[[#This Row],[Is Data Valid]]=TRUE,_xlfn.NORM.S.DIST(Table1[[#This Row],[Birthweight Z-Score (BW-10%)]],TRUE)*100,"")</f>
        <v/>
      </c>
      <c r="L5586" s="7" t="str">
        <f>IF(Table1[[#This Row],[Is Data Valid]]=TRUE,_xlfn.NORM.S.DIST(Table1[[#This Row],[Birthweight Z-Score (BW+10%)]],TRUE)*100,"")</f>
        <v/>
      </c>
    </row>
    <row r="5587" spans="1:12" x14ac:dyDescent="0.35">
      <c r="A5587" s="3"/>
      <c r="B5587" s="2"/>
      <c r="C5587" s="2"/>
      <c r="D5587" s="2" t="b">
        <f>IF(AND(NOT(ISBLANK(Table1[[#This Row],[Fetal Sex (Male, Female or Unknown)]])),ISNUMBER(Table1[[#This Row],[Birthweight (grams)]]),ISNUMBER(Table1[[#This Row],[Gestation (days)]])),TRUE,FALSE)</f>
        <v>0</v>
      </c>
      <c r="E5587" s="2" t="str">
        <f>IF(Table1[[#This Row],[Is Data Valid]]=TRUE,IF(Table1[[#This Row],[Fetal Sex (Male, Female or Unknown)]]="Male",Backend!$C$6,IF(Table1[[#This Row],[Fetal Sex (Male, Female or Unknown)]]="Female",Backend!$C$7,IF(Table1[[#This Row],[Fetal Sex (Male, Female or Unknown)]]="Unknown",Backend!$C$8,"Error"))),"")</f>
        <v/>
      </c>
      <c r="F5587" s="8" t="str">
        <f>IF(Table1[[#This Row],[Is Data Valid]]=TRUE,EXP(0.578+0.332*((Table1[[#This Row],[Gestation (days)]]+0.5)/7)-0.00354*((Table1[[#This Row],[Gestation (days)]]+0.5)/7)^2)*Table1[[#This Row],[BW40_3705]],"")</f>
        <v/>
      </c>
      <c r="G5587" s="2" t="str">
        <f>IF(Table1[[#This Row],[Is Data Valid]]=TRUE,((Table1[[#This Row],[Birthweight (grams)]]/Table1[[#This Row],[BW_GA]])-1)/(Backend!$B$4/100*Table1[[#This Row],[BW40_3705]]),"")</f>
        <v/>
      </c>
      <c r="H5587" s="7" t="str">
        <f>IF(Table1[[#This Row],[Is Data Valid]]=TRUE,((Table1[[#This Row],[Birthweight (grams)]]*0.9/Table1[[#This Row],[BW_GA]])-1)/(Backend!$B$4/100*Table1[[#This Row],[BW40_3705]]),"")</f>
        <v/>
      </c>
      <c r="I5587" s="7" t="str">
        <f>IF(Table1[[#This Row],[Is Data Valid]]=TRUE,((Table1[[#This Row],[Birthweight (grams)]]*1.1/Table1[[#This Row],[BW_GA]])-1)/(Backend!$B$4/100*Table1[[#This Row],[BW40_3705]]),"")</f>
        <v/>
      </c>
      <c r="J5587" s="7" t="str">
        <f>IF(Table1[[#This Row],[Is Data Valid]]=TRUE,_xlfn.NORM.S.DIST(Table1[[#This Row],[Birthweight Z-Score]],TRUE)*100,"")</f>
        <v/>
      </c>
      <c r="K5587" s="7" t="str">
        <f>IF(Table1[[#This Row],[Is Data Valid]]=TRUE,_xlfn.NORM.S.DIST(Table1[[#This Row],[Birthweight Z-Score (BW-10%)]],TRUE)*100,"")</f>
        <v/>
      </c>
      <c r="L5587" s="7" t="str">
        <f>IF(Table1[[#This Row],[Is Data Valid]]=TRUE,_xlfn.NORM.S.DIST(Table1[[#This Row],[Birthweight Z-Score (BW+10%)]],TRUE)*100,"")</f>
        <v/>
      </c>
    </row>
    <row r="5588" spans="1:12" x14ac:dyDescent="0.35">
      <c r="A5588" s="3"/>
      <c r="B5588" s="2"/>
      <c r="C5588" s="2"/>
      <c r="D5588" s="2" t="b">
        <f>IF(AND(NOT(ISBLANK(Table1[[#This Row],[Fetal Sex (Male, Female or Unknown)]])),ISNUMBER(Table1[[#This Row],[Birthweight (grams)]]),ISNUMBER(Table1[[#This Row],[Gestation (days)]])),TRUE,FALSE)</f>
        <v>0</v>
      </c>
      <c r="E5588" s="2" t="str">
        <f>IF(Table1[[#This Row],[Is Data Valid]]=TRUE,IF(Table1[[#This Row],[Fetal Sex (Male, Female or Unknown)]]="Male",Backend!$C$6,IF(Table1[[#This Row],[Fetal Sex (Male, Female or Unknown)]]="Female",Backend!$C$7,IF(Table1[[#This Row],[Fetal Sex (Male, Female or Unknown)]]="Unknown",Backend!$C$8,"Error"))),"")</f>
        <v/>
      </c>
      <c r="F5588" s="8" t="str">
        <f>IF(Table1[[#This Row],[Is Data Valid]]=TRUE,EXP(0.578+0.332*((Table1[[#This Row],[Gestation (days)]]+0.5)/7)-0.00354*((Table1[[#This Row],[Gestation (days)]]+0.5)/7)^2)*Table1[[#This Row],[BW40_3705]],"")</f>
        <v/>
      </c>
      <c r="G5588" s="2" t="str">
        <f>IF(Table1[[#This Row],[Is Data Valid]]=TRUE,((Table1[[#This Row],[Birthweight (grams)]]/Table1[[#This Row],[BW_GA]])-1)/(Backend!$B$4/100*Table1[[#This Row],[BW40_3705]]),"")</f>
        <v/>
      </c>
      <c r="H5588" s="7" t="str">
        <f>IF(Table1[[#This Row],[Is Data Valid]]=TRUE,((Table1[[#This Row],[Birthweight (grams)]]*0.9/Table1[[#This Row],[BW_GA]])-1)/(Backend!$B$4/100*Table1[[#This Row],[BW40_3705]]),"")</f>
        <v/>
      </c>
      <c r="I5588" s="7" t="str">
        <f>IF(Table1[[#This Row],[Is Data Valid]]=TRUE,((Table1[[#This Row],[Birthweight (grams)]]*1.1/Table1[[#This Row],[BW_GA]])-1)/(Backend!$B$4/100*Table1[[#This Row],[BW40_3705]]),"")</f>
        <v/>
      </c>
      <c r="J5588" s="7" t="str">
        <f>IF(Table1[[#This Row],[Is Data Valid]]=TRUE,_xlfn.NORM.S.DIST(Table1[[#This Row],[Birthweight Z-Score]],TRUE)*100,"")</f>
        <v/>
      </c>
      <c r="K5588" s="7" t="str">
        <f>IF(Table1[[#This Row],[Is Data Valid]]=TRUE,_xlfn.NORM.S.DIST(Table1[[#This Row],[Birthweight Z-Score (BW-10%)]],TRUE)*100,"")</f>
        <v/>
      </c>
      <c r="L5588" s="7" t="str">
        <f>IF(Table1[[#This Row],[Is Data Valid]]=TRUE,_xlfn.NORM.S.DIST(Table1[[#This Row],[Birthweight Z-Score (BW+10%)]],TRUE)*100,"")</f>
        <v/>
      </c>
    </row>
    <row r="5589" spans="1:12" x14ac:dyDescent="0.35">
      <c r="A5589" s="3"/>
      <c r="B5589" s="2"/>
      <c r="C5589" s="2"/>
      <c r="D5589" s="2" t="b">
        <f>IF(AND(NOT(ISBLANK(Table1[[#This Row],[Fetal Sex (Male, Female or Unknown)]])),ISNUMBER(Table1[[#This Row],[Birthweight (grams)]]),ISNUMBER(Table1[[#This Row],[Gestation (days)]])),TRUE,FALSE)</f>
        <v>0</v>
      </c>
      <c r="E5589" s="2" t="str">
        <f>IF(Table1[[#This Row],[Is Data Valid]]=TRUE,IF(Table1[[#This Row],[Fetal Sex (Male, Female or Unknown)]]="Male",Backend!$C$6,IF(Table1[[#This Row],[Fetal Sex (Male, Female or Unknown)]]="Female",Backend!$C$7,IF(Table1[[#This Row],[Fetal Sex (Male, Female or Unknown)]]="Unknown",Backend!$C$8,"Error"))),"")</f>
        <v/>
      </c>
      <c r="F5589" s="8" t="str">
        <f>IF(Table1[[#This Row],[Is Data Valid]]=TRUE,EXP(0.578+0.332*((Table1[[#This Row],[Gestation (days)]]+0.5)/7)-0.00354*((Table1[[#This Row],[Gestation (days)]]+0.5)/7)^2)*Table1[[#This Row],[BW40_3705]],"")</f>
        <v/>
      </c>
      <c r="G5589" s="2" t="str">
        <f>IF(Table1[[#This Row],[Is Data Valid]]=TRUE,((Table1[[#This Row],[Birthweight (grams)]]/Table1[[#This Row],[BW_GA]])-1)/(Backend!$B$4/100*Table1[[#This Row],[BW40_3705]]),"")</f>
        <v/>
      </c>
      <c r="H5589" s="7" t="str">
        <f>IF(Table1[[#This Row],[Is Data Valid]]=TRUE,((Table1[[#This Row],[Birthweight (grams)]]*0.9/Table1[[#This Row],[BW_GA]])-1)/(Backend!$B$4/100*Table1[[#This Row],[BW40_3705]]),"")</f>
        <v/>
      </c>
      <c r="I5589" s="7" t="str">
        <f>IF(Table1[[#This Row],[Is Data Valid]]=TRUE,((Table1[[#This Row],[Birthweight (grams)]]*1.1/Table1[[#This Row],[BW_GA]])-1)/(Backend!$B$4/100*Table1[[#This Row],[BW40_3705]]),"")</f>
        <v/>
      </c>
      <c r="J5589" s="7" t="str">
        <f>IF(Table1[[#This Row],[Is Data Valid]]=TRUE,_xlfn.NORM.S.DIST(Table1[[#This Row],[Birthweight Z-Score]],TRUE)*100,"")</f>
        <v/>
      </c>
      <c r="K5589" s="7" t="str">
        <f>IF(Table1[[#This Row],[Is Data Valid]]=TRUE,_xlfn.NORM.S.DIST(Table1[[#This Row],[Birthweight Z-Score (BW-10%)]],TRUE)*100,"")</f>
        <v/>
      </c>
      <c r="L5589" s="7" t="str">
        <f>IF(Table1[[#This Row],[Is Data Valid]]=TRUE,_xlfn.NORM.S.DIST(Table1[[#This Row],[Birthweight Z-Score (BW+10%)]],TRUE)*100,"")</f>
        <v/>
      </c>
    </row>
    <row r="5590" spans="1:12" x14ac:dyDescent="0.35">
      <c r="A5590" s="3"/>
      <c r="B5590" s="2"/>
      <c r="C5590" s="2"/>
      <c r="D5590" s="2" t="b">
        <f>IF(AND(NOT(ISBLANK(Table1[[#This Row],[Fetal Sex (Male, Female or Unknown)]])),ISNUMBER(Table1[[#This Row],[Birthweight (grams)]]),ISNUMBER(Table1[[#This Row],[Gestation (days)]])),TRUE,FALSE)</f>
        <v>0</v>
      </c>
      <c r="E5590" s="2" t="str">
        <f>IF(Table1[[#This Row],[Is Data Valid]]=TRUE,IF(Table1[[#This Row],[Fetal Sex (Male, Female or Unknown)]]="Male",Backend!$C$6,IF(Table1[[#This Row],[Fetal Sex (Male, Female or Unknown)]]="Female",Backend!$C$7,IF(Table1[[#This Row],[Fetal Sex (Male, Female or Unknown)]]="Unknown",Backend!$C$8,"Error"))),"")</f>
        <v/>
      </c>
      <c r="F5590" s="8" t="str">
        <f>IF(Table1[[#This Row],[Is Data Valid]]=TRUE,EXP(0.578+0.332*((Table1[[#This Row],[Gestation (days)]]+0.5)/7)-0.00354*((Table1[[#This Row],[Gestation (days)]]+0.5)/7)^2)*Table1[[#This Row],[BW40_3705]],"")</f>
        <v/>
      </c>
      <c r="G5590" s="2" t="str">
        <f>IF(Table1[[#This Row],[Is Data Valid]]=TRUE,((Table1[[#This Row],[Birthweight (grams)]]/Table1[[#This Row],[BW_GA]])-1)/(Backend!$B$4/100*Table1[[#This Row],[BW40_3705]]),"")</f>
        <v/>
      </c>
      <c r="H5590" s="7" t="str">
        <f>IF(Table1[[#This Row],[Is Data Valid]]=TRUE,((Table1[[#This Row],[Birthweight (grams)]]*0.9/Table1[[#This Row],[BW_GA]])-1)/(Backend!$B$4/100*Table1[[#This Row],[BW40_3705]]),"")</f>
        <v/>
      </c>
      <c r="I5590" s="7" t="str">
        <f>IF(Table1[[#This Row],[Is Data Valid]]=TRUE,((Table1[[#This Row],[Birthweight (grams)]]*1.1/Table1[[#This Row],[BW_GA]])-1)/(Backend!$B$4/100*Table1[[#This Row],[BW40_3705]]),"")</f>
        <v/>
      </c>
      <c r="J5590" s="7" t="str">
        <f>IF(Table1[[#This Row],[Is Data Valid]]=TRUE,_xlfn.NORM.S.DIST(Table1[[#This Row],[Birthweight Z-Score]],TRUE)*100,"")</f>
        <v/>
      </c>
      <c r="K5590" s="7" t="str">
        <f>IF(Table1[[#This Row],[Is Data Valid]]=TRUE,_xlfn.NORM.S.DIST(Table1[[#This Row],[Birthweight Z-Score (BW-10%)]],TRUE)*100,"")</f>
        <v/>
      </c>
      <c r="L5590" s="7" t="str">
        <f>IF(Table1[[#This Row],[Is Data Valid]]=TRUE,_xlfn.NORM.S.DIST(Table1[[#This Row],[Birthweight Z-Score (BW+10%)]],TRUE)*100,"")</f>
        <v/>
      </c>
    </row>
    <row r="5591" spans="1:12" x14ac:dyDescent="0.35">
      <c r="A5591" s="3"/>
      <c r="B5591" s="2"/>
      <c r="C5591" s="2"/>
      <c r="D5591" s="2" t="b">
        <f>IF(AND(NOT(ISBLANK(Table1[[#This Row],[Fetal Sex (Male, Female or Unknown)]])),ISNUMBER(Table1[[#This Row],[Birthweight (grams)]]),ISNUMBER(Table1[[#This Row],[Gestation (days)]])),TRUE,FALSE)</f>
        <v>0</v>
      </c>
      <c r="E5591" s="2" t="str">
        <f>IF(Table1[[#This Row],[Is Data Valid]]=TRUE,IF(Table1[[#This Row],[Fetal Sex (Male, Female or Unknown)]]="Male",Backend!$C$6,IF(Table1[[#This Row],[Fetal Sex (Male, Female or Unknown)]]="Female",Backend!$C$7,IF(Table1[[#This Row],[Fetal Sex (Male, Female or Unknown)]]="Unknown",Backend!$C$8,"Error"))),"")</f>
        <v/>
      </c>
      <c r="F5591" s="8" t="str">
        <f>IF(Table1[[#This Row],[Is Data Valid]]=TRUE,EXP(0.578+0.332*((Table1[[#This Row],[Gestation (days)]]+0.5)/7)-0.00354*((Table1[[#This Row],[Gestation (days)]]+0.5)/7)^2)*Table1[[#This Row],[BW40_3705]],"")</f>
        <v/>
      </c>
      <c r="G5591" s="2" t="str">
        <f>IF(Table1[[#This Row],[Is Data Valid]]=TRUE,((Table1[[#This Row],[Birthweight (grams)]]/Table1[[#This Row],[BW_GA]])-1)/(Backend!$B$4/100*Table1[[#This Row],[BW40_3705]]),"")</f>
        <v/>
      </c>
      <c r="H5591" s="7" t="str">
        <f>IF(Table1[[#This Row],[Is Data Valid]]=TRUE,((Table1[[#This Row],[Birthweight (grams)]]*0.9/Table1[[#This Row],[BW_GA]])-1)/(Backend!$B$4/100*Table1[[#This Row],[BW40_3705]]),"")</f>
        <v/>
      </c>
      <c r="I5591" s="7" t="str">
        <f>IF(Table1[[#This Row],[Is Data Valid]]=TRUE,((Table1[[#This Row],[Birthweight (grams)]]*1.1/Table1[[#This Row],[BW_GA]])-1)/(Backend!$B$4/100*Table1[[#This Row],[BW40_3705]]),"")</f>
        <v/>
      </c>
      <c r="J5591" s="7" t="str">
        <f>IF(Table1[[#This Row],[Is Data Valid]]=TRUE,_xlfn.NORM.S.DIST(Table1[[#This Row],[Birthweight Z-Score]],TRUE)*100,"")</f>
        <v/>
      </c>
      <c r="K5591" s="7" t="str">
        <f>IF(Table1[[#This Row],[Is Data Valid]]=TRUE,_xlfn.NORM.S.DIST(Table1[[#This Row],[Birthweight Z-Score (BW-10%)]],TRUE)*100,"")</f>
        <v/>
      </c>
      <c r="L5591" s="7" t="str">
        <f>IF(Table1[[#This Row],[Is Data Valid]]=TRUE,_xlfn.NORM.S.DIST(Table1[[#This Row],[Birthweight Z-Score (BW+10%)]],TRUE)*100,"")</f>
        <v/>
      </c>
    </row>
    <row r="5592" spans="1:12" x14ac:dyDescent="0.35">
      <c r="A5592" s="3"/>
      <c r="B5592" s="2"/>
      <c r="C5592" s="2"/>
      <c r="D5592" s="2" t="b">
        <f>IF(AND(NOT(ISBLANK(Table1[[#This Row],[Fetal Sex (Male, Female or Unknown)]])),ISNUMBER(Table1[[#This Row],[Birthweight (grams)]]),ISNUMBER(Table1[[#This Row],[Gestation (days)]])),TRUE,FALSE)</f>
        <v>0</v>
      </c>
      <c r="E5592" s="2" t="str">
        <f>IF(Table1[[#This Row],[Is Data Valid]]=TRUE,IF(Table1[[#This Row],[Fetal Sex (Male, Female or Unknown)]]="Male",Backend!$C$6,IF(Table1[[#This Row],[Fetal Sex (Male, Female or Unknown)]]="Female",Backend!$C$7,IF(Table1[[#This Row],[Fetal Sex (Male, Female or Unknown)]]="Unknown",Backend!$C$8,"Error"))),"")</f>
        <v/>
      </c>
      <c r="F5592" s="8" t="str">
        <f>IF(Table1[[#This Row],[Is Data Valid]]=TRUE,EXP(0.578+0.332*((Table1[[#This Row],[Gestation (days)]]+0.5)/7)-0.00354*((Table1[[#This Row],[Gestation (days)]]+0.5)/7)^2)*Table1[[#This Row],[BW40_3705]],"")</f>
        <v/>
      </c>
      <c r="G5592" s="2" t="str">
        <f>IF(Table1[[#This Row],[Is Data Valid]]=TRUE,((Table1[[#This Row],[Birthweight (grams)]]/Table1[[#This Row],[BW_GA]])-1)/(Backend!$B$4/100*Table1[[#This Row],[BW40_3705]]),"")</f>
        <v/>
      </c>
      <c r="H5592" s="7" t="str">
        <f>IF(Table1[[#This Row],[Is Data Valid]]=TRUE,((Table1[[#This Row],[Birthweight (grams)]]*0.9/Table1[[#This Row],[BW_GA]])-1)/(Backend!$B$4/100*Table1[[#This Row],[BW40_3705]]),"")</f>
        <v/>
      </c>
      <c r="I5592" s="7" t="str">
        <f>IF(Table1[[#This Row],[Is Data Valid]]=TRUE,((Table1[[#This Row],[Birthweight (grams)]]*1.1/Table1[[#This Row],[BW_GA]])-1)/(Backend!$B$4/100*Table1[[#This Row],[BW40_3705]]),"")</f>
        <v/>
      </c>
      <c r="J5592" s="7" t="str">
        <f>IF(Table1[[#This Row],[Is Data Valid]]=TRUE,_xlfn.NORM.S.DIST(Table1[[#This Row],[Birthweight Z-Score]],TRUE)*100,"")</f>
        <v/>
      </c>
      <c r="K5592" s="7" t="str">
        <f>IF(Table1[[#This Row],[Is Data Valid]]=TRUE,_xlfn.NORM.S.DIST(Table1[[#This Row],[Birthweight Z-Score (BW-10%)]],TRUE)*100,"")</f>
        <v/>
      </c>
      <c r="L5592" s="7" t="str">
        <f>IF(Table1[[#This Row],[Is Data Valid]]=TRUE,_xlfn.NORM.S.DIST(Table1[[#This Row],[Birthweight Z-Score (BW+10%)]],TRUE)*100,"")</f>
        <v/>
      </c>
    </row>
    <row r="5593" spans="1:12" x14ac:dyDescent="0.35">
      <c r="A5593" s="3"/>
      <c r="B5593" s="2"/>
      <c r="C5593" s="2"/>
      <c r="D5593" s="2" t="b">
        <f>IF(AND(NOT(ISBLANK(Table1[[#This Row],[Fetal Sex (Male, Female or Unknown)]])),ISNUMBER(Table1[[#This Row],[Birthweight (grams)]]),ISNUMBER(Table1[[#This Row],[Gestation (days)]])),TRUE,FALSE)</f>
        <v>0</v>
      </c>
      <c r="E5593" s="2" t="str">
        <f>IF(Table1[[#This Row],[Is Data Valid]]=TRUE,IF(Table1[[#This Row],[Fetal Sex (Male, Female or Unknown)]]="Male",Backend!$C$6,IF(Table1[[#This Row],[Fetal Sex (Male, Female or Unknown)]]="Female",Backend!$C$7,IF(Table1[[#This Row],[Fetal Sex (Male, Female or Unknown)]]="Unknown",Backend!$C$8,"Error"))),"")</f>
        <v/>
      </c>
      <c r="F5593" s="8" t="str">
        <f>IF(Table1[[#This Row],[Is Data Valid]]=TRUE,EXP(0.578+0.332*((Table1[[#This Row],[Gestation (days)]]+0.5)/7)-0.00354*((Table1[[#This Row],[Gestation (days)]]+0.5)/7)^2)*Table1[[#This Row],[BW40_3705]],"")</f>
        <v/>
      </c>
      <c r="G5593" s="2" t="str">
        <f>IF(Table1[[#This Row],[Is Data Valid]]=TRUE,((Table1[[#This Row],[Birthweight (grams)]]/Table1[[#This Row],[BW_GA]])-1)/(Backend!$B$4/100*Table1[[#This Row],[BW40_3705]]),"")</f>
        <v/>
      </c>
      <c r="H5593" s="7" t="str">
        <f>IF(Table1[[#This Row],[Is Data Valid]]=TRUE,((Table1[[#This Row],[Birthweight (grams)]]*0.9/Table1[[#This Row],[BW_GA]])-1)/(Backend!$B$4/100*Table1[[#This Row],[BW40_3705]]),"")</f>
        <v/>
      </c>
      <c r="I5593" s="7" t="str">
        <f>IF(Table1[[#This Row],[Is Data Valid]]=TRUE,((Table1[[#This Row],[Birthweight (grams)]]*1.1/Table1[[#This Row],[BW_GA]])-1)/(Backend!$B$4/100*Table1[[#This Row],[BW40_3705]]),"")</f>
        <v/>
      </c>
      <c r="J5593" s="7" t="str">
        <f>IF(Table1[[#This Row],[Is Data Valid]]=TRUE,_xlfn.NORM.S.DIST(Table1[[#This Row],[Birthweight Z-Score]],TRUE)*100,"")</f>
        <v/>
      </c>
      <c r="K5593" s="7" t="str">
        <f>IF(Table1[[#This Row],[Is Data Valid]]=TRUE,_xlfn.NORM.S.DIST(Table1[[#This Row],[Birthweight Z-Score (BW-10%)]],TRUE)*100,"")</f>
        <v/>
      </c>
      <c r="L5593" s="7" t="str">
        <f>IF(Table1[[#This Row],[Is Data Valid]]=TRUE,_xlfn.NORM.S.DIST(Table1[[#This Row],[Birthweight Z-Score (BW+10%)]],TRUE)*100,"")</f>
        <v/>
      </c>
    </row>
    <row r="5594" spans="1:12" x14ac:dyDescent="0.35">
      <c r="A5594" s="3"/>
      <c r="B5594" s="2"/>
      <c r="C5594" s="2"/>
      <c r="D5594" s="2" t="b">
        <f>IF(AND(NOT(ISBLANK(Table1[[#This Row],[Fetal Sex (Male, Female or Unknown)]])),ISNUMBER(Table1[[#This Row],[Birthweight (grams)]]),ISNUMBER(Table1[[#This Row],[Gestation (days)]])),TRUE,FALSE)</f>
        <v>0</v>
      </c>
      <c r="E5594" s="2" t="str">
        <f>IF(Table1[[#This Row],[Is Data Valid]]=TRUE,IF(Table1[[#This Row],[Fetal Sex (Male, Female or Unknown)]]="Male",Backend!$C$6,IF(Table1[[#This Row],[Fetal Sex (Male, Female or Unknown)]]="Female",Backend!$C$7,IF(Table1[[#This Row],[Fetal Sex (Male, Female or Unknown)]]="Unknown",Backend!$C$8,"Error"))),"")</f>
        <v/>
      </c>
      <c r="F5594" s="8" t="str">
        <f>IF(Table1[[#This Row],[Is Data Valid]]=TRUE,EXP(0.578+0.332*((Table1[[#This Row],[Gestation (days)]]+0.5)/7)-0.00354*((Table1[[#This Row],[Gestation (days)]]+0.5)/7)^2)*Table1[[#This Row],[BW40_3705]],"")</f>
        <v/>
      </c>
      <c r="G5594" s="2" t="str">
        <f>IF(Table1[[#This Row],[Is Data Valid]]=TRUE,((Table1[[#This Row],[Birthweight (grams)]]/Table1[[#This Row],[BW_GA]])-1)/(Backend!$B$4/100*Table1[[#This Row],[BW40_3705]]),"")</f>
        <v/>
      </c>
      <c r="H5594" s="7" t="str">
        <f>IF(Table1[[#This Row],[Is Data Valid]]=TRUE,((Table1[[#This Row],[Birthweight (grams)]]*0.9/Table1[[#This Row],[BW_GA]])-1)/(Backend!$B$4/100*Table1[[#This Row],[BW40_3705]]),"")</f>
        <v/>
      </c>
      <c r="I5594" s="7" t="str">
        <f>IF(Table1[[#This Row],[Is Data Valid]]=TRUE,((Table1[[#This Row],[Birthweight (grams)]]*1.1/Table1[[#This Row],[BW_GA]])-1)/(Backend!$B$4/100*Table1[[#This Row],[BW40_3705]]),"")</f>
        <v/>
      </c>
      <c r="J5594" s="7" t="str">
        <f>IF(Table1[[#This Row],[Is Data Valid]]=TRUE,_xlfn.NORM.S.DIST(Table1[[#This Row],[Birthweight Z-Score]],TRUE)*100,"")</f>
        <v/>
      </c>
      <c r="K5594" s="7" t="str">
        <f>IF(Table1[[#This Row],[Is Data Valid]]=TRUE,_xlfn.NORM.S.DIST(Table1[[#This Row],[Birthweight Z-Score (BW-10%)]],TRUE)*100,"")</f>
        <v/>
      </c>
      <c r="L5594" s="7" t="str">
        <f>IF(Table1[[#This Row],[Is Data Valid]]=TRUE,_xlfn.NORM.S.DIST(Table1[[#This Row],[Birthweight Z-Score (BW+10%)]],TRUE)*100,"")</f>
        <v/>
      </c>
    </row>
    <row r="5595" spans="1:12" x14ac:dyDescent="0.35">
      <c r="A5595" s="3"/>
      <c r="B5595" s="2"/>
      <c r="C5595" s="2"/>
      <c r="D5595" s="2" t="b">
        <f>IF(AND(NOT(ISBLANK(Table1[[#This Row],[Fetal Sex (Male, Female or Unknown)]])),ISNUMBER(Table1[[#This Row],[Birthweight (grams)]]),ISNUMBER(Table1[[#This Row],[Gestation (days)]])),TRUE,FALSE)</f>
        <v>0</v>
      </c>
      <c r="E5595" s="2" t="str">
        <f>IF(Table1[[#This Row],[Is Data Valid]]=TRUE,IF(Table1[[#This Row],[Fetal Sex (Male, Female or Unknown)]]="Male",Backend!$C$6,IF(Table1[[#This Row],[Fetal Sex (Male, Female or Unknown)]]="Female",Backend!$C$7,IF(Table1[[#This Row],[Fetal Sex (Male, Female or Unknown)]]="Unknown",Backend!$C$8,"Error"))),"")</f>
        <v/>
      </c>
      <c r="F5595" s="8" t="str">
        <f>IF(Table1[[#This Row],[Is Data Valid]]=TRUE,EXP(0.578+0.332*((Table1[[#This Row],[Gestation (days)]]+0.5)/7)-0.00354*((Table1[[#This Row],[Gestation (days)]]+0.5)/7)^2)*Table1[[#This Row],[BW40_3705]],"")</f>
        <v/>
      </c>
      <c r="G5595" s="2" t="str">
        <f>IF(Table1[[#This Row],[Is Data Valid]]=TRUE,((Table1[[#This Row],[Birthweight (grams)]]/Table1[[#This Row],[BW_GA]])-1)/(Backend!$B$4/100*Table1[[#This Row],[BW40_3705]]),"")</f>
        <v/>
      </c>
      <c r="H5595" s="7" t="str">
        <f>IF(Table1[[#This Row],[Is Data Valid]]=TRUE,((Table1[[#This Row],[Birthweight (grams)]]*0.9/Table1[[#This Row],[BW_GA]])-1)/(Backend!$B$4/100*Table1[[#This Row],[BW40_3705]]),"")</f>
        <v/>
      </c>
      <c r="I5595" s="7" t="str">
        <f>IF(Table1[[#This Row],[Is Data Valid]]=TRUE,((Table1[[#This Row],[Birthweight (grams)]]*1.1/Table1[[#This Row],[BW_GA]])-1)/(Backend!$B$4/100*Table1[[#This Row],[BW40_3705]]),"")</f>
        <v/>
      </c>
      <c r="J5595" s="7" t="str">
        <f>IF(Table1[[#This Row],[Is Data Valid]]=TRUE,_xlfn.NORM.S.DIST(Table1[[#This Row],[Birthweight Z-Score]],TRUE)*100,"")</f>
        <v/>
      </c>
      <c r="K5595" s="7" t="str">
        <f>IF(Table1[[#This Row],[Is Data Valid]]=TRUE,_xlfn.NORM.S.DIST(Table1[[#This Row],[Birthweight Z-Score (BW-10%)]],TRUE)*100,"")</f>
        <v/>
      </c>
      <c r="L5595" s="7" t="str">
        <f>IF(Table1[[#This Row],[Is Data Valid]]=TRUE,_xlfn.NORM.S.DIST(Table1[[#This Row],[Birthweight Z-Score (BW+10%)]],TRUE)*100,"")</f>
        <v/>
      </c>
    </row>
    <row r="5596" spans="1:12" x14ac:dyDescent="0.35">
      <c r="A5596" s="3"/>
      <c r="B5596" s="2"/>
      <c r="C5596" s="2"/>
      <c r="D5596" s="2" t="b">
        <f>IF(AND(NOT(ISBLANK(Table1[[#This Row],[Fetal Sex (Male, Female or Unknown)]])),ISNUMBER(Table1[[#This Row],[Birthweight (grams)]]),ISNUMBER(Table1[[#This Row],[Gestation (days)]])),TRUE,FALSE)</f>
        <v>0</v>
      </c>
      <c r="E5596" s="2" t="str">
        <f>IF(Table1[[#This Row],[Is Data Valid]]=TRUE,IF(Table1[[#This Row],[Fetal Sex (Male, Female or Unknown)]]="Male",Backend!$C$6,IF(Table1[[#This Row],[Fetal Sex (Male, Female or Unknown)]]="Female",Backend!$C$7,IF(Table1[[#This Row],[Fetal Sex (Male, Female or Unknown)]]="Unknown",Backend!$C$8,"Error"))),"")</f>
        <v/>
      </c>
      <c r="F5596" s="8" t="str">
        <f>IF(Table1[[#This Row],[Is Data Valid]]=TRUE,EXP(0.578+0.332*((Table1[[#This Row],[Gestation (days)]]+0.5)/7)-0.00354*((Table1[[#This Row],[Gestation (days)]]+0.5)/7)^2)*Table1[[#This Row],[BW40_3705]],"")</f>
        <v/>
      </c>
      <c r="G5596" s="2" t="str">
        <f>IF(Table1[[#This Row],[Is Data Valid]]=TRUE,((Table1[[#This Row],[Birthweight (grams)]]/Table1[[#This Row],[BW_GA]])-1)/(Backend!$B$4/100*Table1[[#This Row],[BW40_3705]]),"")</f>
        <v/>
      </c>
      <c r="H5596" s="7" t="str">
        <f>IF(Table1[[#This Row],[Is Data Valid]]=TRUE,((Table1[[#This Row],[Birthweight (grams)]]*0.9/Table1[[#This Row],[BW_GA]])-1)/(Backend!$B$4/100*Table1[[#This Row],[BW40_3705]]),"")</f>
        <v/>
      </c>
      <c r="I5596" s="7" t="str">
        <f>IF(Table1[[#This Row],[Is Data Valid]]=TRUE,((Table1[[#This Row],[Birthweight (grams)]]*1.1/Table1[[#This Row],[BW_GA]])-1)/(Backend!$B$4/100*Table1[[#This Row],[BW40_3705]]),"")</f>
        <v/>
      </c>
      <c r="J5596" s="7" t="str">
        <f>IF(Table1[[#This Row],[Is Data Valid]]=TRUE,_xlfn.NORM.S.DIST(Table1[[#This Row],[Birthweight Z-Score]],TRUE)*100,"")</f>
        <v/>
      </c>
      <c r="K5596" s="7" t="str">
        <f>IF(Table1[[#This Row],[Is Data Valid]]=TRUE,_xlfn.NORM.S.DIST(Table1[[#This Row],[Birthweight Z-Score (BW-10%)]],TRUE)*100,"")</f>
        <v/>
      </c>
      <c r="L5596" s="7" t="str">
        <f>IF(Table1[[#This Row],[Is Data Valid]]=TRUE,_xlfn.NORM.S.DIST(Table1[[#This Row],[Birthweight Z-Score (BW+10%)]],TRUE)*100,"")</f>
        <v/>
      </c>
    </row>
    <row r="5597" spans="1:12" x14ac:dyDescent="0.35">
      <c r="A5597" s="3"/>
      <c r="B5597" s="2"/>
      <c r="C5597" s="2"/>
      <c r="D5597" s="2" t="b">
        <f>IF(AND(NOT(ISBLANK(Table1[[#This Row],[Fetal Sex (Male, Female or Unknown)]])),ISNUMBER(Table1[[#This Row],[Birthweight (grams)]]),ISNUMBER(Table1[[#This Row],[Gestation (days)]])),TRUE,FALSE)</f>
        <v>0</v>
      </c>
      <c r="E5597" s="2" t="str">
        <f>IF(Table1[[#This Row],[Is Data Valid]]=TRUE,IF(Table1[[#This Row],[Fetal Sex (Male, Female or Unknown)]]="Male",Backend!$C$6,IF(Table1[[#This Row],[Fetal Sex (Male, Female or Unknown)]]="Female",Backend!$C$7,IF(Table1[[#This Row],[Fetal Sex (Male, Female or Unknown)]]="Unknown",Backend!$C$8,"Error"))),"")</f>
        <v/>
      </c>
      <c r="F5597" s="8" t="str">
        <f>IF(Table1[[#This Row],[Is Data Valid]]=TRUE,EXP(0.578+0.332*((Table1[[#This Row],[Gestation (days)]]+0.5)/7)-0.00354*((Table1[[#This Row],[Gestation (days)]]+0.5)/7)^2)*Table1[[#This Row],[BW40_3705]],"")</f>
        <v/>
      </c>
      <c r="G5597" s="2" t="str">
        <f>IF(Table1[[#This Row],[Is Data Valid]]=TRUE,((Table1[[#This Row],[Birthweight (grams)]]/Table1[[#This Row],[BW_GA]])-1)/(Backend!$B$4/100*Table1[[#This Row],[BW40_3705]]),"")</f>
        <v/>
      </c>
      <c r="H5597" s="7" t="str">
        <f>IF(Table1[[#This Row],[Is Data Valid]]=TRUE,((Table1[[#This Row],[Birthweight (grams)]]*0.9/Table1[[#This Row],[BW_GA]])-1)/(Backend!$B$4/100*Table1[[#This Row],[BW40_3705]]),"")</f>
        <v/>
      </c>
      <c r="I5597" s="7" t="str">
        <f>IF(Table1[[#This Row],[Is Data Valid]]=TRUE,((Table1[[#This Row],[Birthweight (grams)]]*1.1/Table1[[#This Row],[BW_GA]])-1)/(Backend!$B$4/100*Table1[[#This Row],[BW40_3705]]),"")</f>
        <v/>
      </c>
      <c r="J5597" s="7" t="str">
        <f>IF(Table1[[#This Row],[Is Data Valid]]=TRUE,_xlfn.NORM.S.DIST(Table1[[#This Row],[Birthweight Z-Score]],TRUE)*100,"")</f>
        <v/>
      </c>
      <c r="K5597" s="7" t="str">
        <f>IF(Table1[[#This Row],[Is Data Valid]]=TRUE,_xlfn.NORM.S.DIST(Table1[[#This Row],[Birthweight Z-Score (BW-10%)]],TRUE)*100,"")</f>
        <v/>
      </c>
      <c r="L5597" s="7" t="str">
        <f>IF(Table1[[#This Row],[Is Data Valid]]=TRUE,_xlfn.NORM.S.DIST(Table1[[#This Row],[Birthweight Z-Score (BW+10%)]],TRUE)*100,"")</f>
        <v/>
      </c>
    </row>
    <row r="5598" spans="1:12" x14ac:dyDescent="0.35">
      <c r="A5598" s="3"/>
      <c r="B5598" s="2"/>
      <c r="C5598" s="2"/>
      <c r="D5598" s="2" t="b">
        <f>IF(AND(NOT(ISBLANK(Table1[[#This Row],[Fetal Sex (Male, Female or Unknown)]])),ISNUMBER(Table1[[#This Row],[Birthweight (grams)]]),ISNUMBER(Table1[[#This Row],[Gestation (days)]])),TRUE,FALSE)</f>
        <v>0</v>
      </c>
      <c r="E5598" s="2" t="str">
        <f>IF(Table1[[#This Row],[Is Data Valid]]=TRUE,IF(Table1[[#This Row],[Fetal Sex (Male, Female or Unknown)]]="Male",Backend!$C$6,IF(Table1[[#This Row],[Fetal Sex (Male, Female or Unknown)]]="Female",Backend!$C$7,IF(Table1[[#This Row],[Fetal Sex (Male, Female or Unknown)]]="Unknown",Backend!$C$8,"Error"))),"")</f>
        <v/>
      </c>
      <c r="F5598" s="8" t="str">
        <f>IF(Table1[[#This Row],[Is Data Valid]]=TRUE,EXP(0.578+0.332*((Table1[[#This Row],[Gestation (days)]]+0.5)/7)-0.00354*((Table1[[#This Row],[Gestation (days)]]+0.5)/7)^2)*Table1[[#This Row],[BW40_3705]],"")</f>
        <v/>
      </c>
      <c r="G5598" s="2" t="str">
        <f>IF(Table1[[#This Row],[Is Data Valid]]=TRUE,((Table1[[#This Row],[Birthweight (grams)]]/Table1[[#This Row],[BW_GA]])-1)/(Backend!$B$4/100*Table1[[#This Row],[BW40_3705]]),"")</f>
        <v/>
      </c>
      <c r="H5598" s="7" t="str">
        <f>IF(Table1[[#This Row],[Is Data Valid]]=TRUE,((Table1[[#This Row],[Birthweight (grams)]]*0.9/Table1[[#This Row],[BW_GA]])-1)/(Backend!$B$4/100*Table1[[#This Row],[BW40_3705]]),"")</f>
        <v/>
      </c>
      <c r="I5598" s="7" t="str">
        <f>IF(Table1[[#This Row],[Is Data Valid]]=TRUE,((Table1[[#This Row],[Birthweight (grams)]]*1.1/Table1[[#This Row],[BW_GA]])-1)/(Backend!$B$4/100*Table1[[#This Row],[BW40_3705]]),"")</f>
        <v/>
      </c>
      <c r="J5598" s="7" t="str">
        <f>IF(Table1[[#This Row],[Is Data Valid]]=TRUE,_xlfn.NORM.S.DIST(Table1[[#This Row],[Birthweight Z-Score]],TRUE)*100,"")</f>
        <v/>
      </c>
      <c r="K5598" s="7" t="str">
        <f>IF(Table1[[#This Row],[Is Data Valid]]=TRUE,_xlfn.NORM.S.DIST(Table1[[#This Row],[Birthweight Z-Score (BW-10%)]],TRUE)*100,"")</f>
        <v/>
      </c>
      <c r="L5598" s="7" t="str">
        <f>IF(Table1[[#This Row],[Is Data Valid]]=TRUE,_xlfn.NORM.S.DIST(Table1[[#This Row],[Birthweight Z-Score (BW+10%)]],TRUE)*100,"")</f>
        <v/>
      </c>
    </row>
    <row r="5599" spans="1:12" x14ac:dyDescent="0.35">
      <c r="A5599" s="3"/>
      <c r="B5599" s="2"/>
      <c r="C5599" s="2"/>
      <c r="D5599" s="2" t="b">
        <f>IF(AND(NOT(ISBLANK(Table1[[#This Row],[Fetal Sex (Male, Female or Unknown)]])),ISNUMBER(Table1[[#This Row],[Birthweight (grams)]]),ISNUMBER(Table1[[#This Row],[Gestation (days)]])),TRUE,FALSE)</f>
        <v>0</v>
      </c>
      <c r="E5599" s="2" t="str">
        <f>IF(Table1[[#This Row],[Is Data Valid]]=TRUE,IF(Table1[[#This Row],[Fetal Sex (Male, Female or Unknown)]]="Male",Backend!$C$6,IF(Table1[[#This Row],[Fetal Sex (Male, Female or Unknown)]]="Female",Backend!$C$7,IF(Table1[[#This Row],[Fetal Sex (Male, Female or Unknown)]]="Unknown",Backend!$C$8,"Error"))),"")</f>
        <v/>
      </c>
      <c r="F5599" s="8" t="str">
        <f>IF(Table1[[#This Row],[Is Data Valid]]=TRUE,EXP(0.578+0.332*((Table1[[#This Row],[Gestation (days)]]+0.5)/7)-0.00354*((Table1[[#This Row],[Gestation (days)]]+0.5)/7)^2)*Table1[[#This Row],[BW40_3705]],"")</f>
        <v/>
      </c>
      <c r="G5599" s="2" t="str">
        <f>IF(Table1[[#This Row],[Is Data Valid]]=TRUE,((Table1[[#This Row],[Birthweight (grams)]]/Table1[[#This Row],[BW_GA]])-1)/(Backend!$B$4/100*Table1[[#This Row],[BW40_3705]]),"")</f>
        <v/>
      </c>
      <c r="H5599" s="7" t="str">
        <f>IF(Table1[[#This Row],[Is Data Valid]]=TRUE,((Table1[[#This Row],[Birthweight (grams)]]*0.9/Table1[[#This Row],[BW_GA]])-1)/(Backend!$B$4/100*Table1[[#This Row],[BW40_3705]]),"")</f>
        <v/>
      </c>
      <c r="I5599" s="7" t="str">
        <f>IF(Table1[[#This Row],[Is Data Valid]]=TRUE,((Table1[[#This Row],[Birthweight (grams)]]*1.1/Table1[[#This Row],[BW_GA]])-1)/(Backend!$B$4/100*Table1[[#This Row],[BW40_3705]]),"")</f>
        <v/>
      </c>
      <c r="J5599" s="7" t="str">
        <f>IF(Table1[[#This Row],[Is Data Valid]]=TRUE,_xlfn.NORM.S.DIST(Table1[[#This Row],[Birthweight Z-Score]],TRUE)*100,"")</f>
        <v/>
      </c>
      <c r="K5599" s="7" t="str">
        <f>IF(Table1[[#This Row],[Is Data Valid]]=TRUE,_xlfn.NORM.S.DIST(Table1[[#This Row],[Birthweight Z-Score (BW-10%)]],TRUE)*100,"")</f>
        <v/>
      </c>
      <c r="L5599" s="7" t="str">
        <f>IF(Table1[[#This Row],[Is Data Valid]]=TRUE,_xlfn.NORM.S.DIST(Table1[[#This Row],[Birthweight Z-Score (BW+10%)]],TRUE)*100,"")</f>
        <v/>
      </c>
    </row>
    <row r="5600" spans="1:12" x14ac:dyDescent="0.35">
      <c r="A5600" s="3"/>
      <c r="B5600" s="2"/>
      <c r="C5600" s="2"/>
      <c r="D5600" s="2" t="b">
        <f>IF(AND(NOT(ISBLANK(Table1[[#This Row],[Fetal Sex (Male, Female or Unknown)]])),ISNUMBER(Table1[[#This Row],[Birthweight (grams)]]),ISNUMBER(Table1[[#This Row],[Gestation (days)]])),TRUE,FALSE)</f>
        <v>0</v>
      </c>
      <c r="E5600" s="2" t="str">
        <f>IF(Table1[[#This Row],[Is Data Valid]]=TRUE,IF(Table1[[#This Row],[Fetal Sex (Male, Female or Unknown)]]="Male",Backend!$C$6,IF(Table1[[#This Row],[Fetal Sex (Male, Female or Unknown)]]="Female",Backend!$C$7,IF(Table1[[#This Row],[Fetal Sex (Male, Female or Unknown)]]="Unknown",Backend!$C$8,"Error"))),"")</f>
        <v/>
      </c>
      <c r="F5600" s="8" t="str">
        <f>IF(Table1[[#This Row],[Is Data Valid]]=TRUE,EXP(0.578+0.332*((Table1[[#This Row],[Gestation (days)]]+0.5)/7)-0.00354*((Table1[[#This Row],[Gestation (days)]]+0.5)/7)^2)*Table1[[#This Row],[BW40_3705]],"")</f>
        <v/>
      </c>
      <c r="G5600" s="2" t="str">
        <f>IF(Table1[[#This Row],[Is Data Valid]]=TRUE,((Table1[[#This Row],[Birthweight (grams)]]/Table1[[#This Row],[BW_GA]])-1)/(Backend!$B$4/100*Table1[[#This Row],[BW40_3705]]),"")</f>
        <v/>
      </c>
      <c r="H5600" s="7" t="str">
        <f>IF(Table1[[#This Row],[Is Data Valid]]=TRUE,((Table1[[#This Row],[Birthweight (grams)]]*0.9/Table1[[#This Row],[BW_GA]])-1)/(Backend!$B$4/100*Table1[[#This Row],[BW40_3705]]),"")</f>
        <v/>
      </c>
      <c r="I5600" s="7" t="str">
        <f>IF(Table1[[#This Row],[Is Data Valid]]=TRUE,((Table1[[#This Row],[Birthweight (grams)]]*1.1/Table1[[#This Row],[BW_GA]])-1)/(Backend!$B$4/100*Table1[[#This Row],[BW40_3705]]),"")</f>
        <v/>
      </c>
      <c r="J5600" s="7" t="str">
        <f>IF(Table1[[#This Row],[Is Data Valid]]=TRUE,_xlfn.NORM.S.DIST(Table1[[#This Row],[Birthweight Z-Score]],TRUE)*100,"")</f>
        <v/>
      </c>
      <c r="K5600" s="7" t="str">
        <f>IF(Table1[[#This Row],[Is Data Valid]]=TRUE,_xlfn.NORM.S.DIST(Table1[[#This Row],[Birthweight Z-Score (BW-10%)]],TRUE)*100,"")</f>
        <v/>
      </c>
      <c r="L5600" s="7" t="str">
        <f>IF(Table1[[#This Row],[Is Data Valid]]=TRUE,_xlfn.NORM.S.DIST(Table1[[#This Row],[Birthweight Z-Score (BW+10%)]],TRUE)*100,"")</f>
        <v/>
      </c>
    </row>
    <row r="5601" spans="1:12" x14ac:dyDescent="0.35">
      <c r="A5601" s="3"/>
      <c r="B5601" s="2"/>
      <c r="C5601" s="2"/>
      <c r="D5601" s="2" t="b">
        <f>IF(AND(NOT(ISBLANK(Table1[[#This Row],[Fetal Sex (Male, Female or Unknown)]])),ISNUMBER(Table1[[#This Row],[Birthweight (grams)]]),ISNUMBER(Table1[[#This Row],[Gestation (days)]])),TRUE,FALSE)</f>
        <v>0</v>
      </c>
      <c r="E5601" s="2" t="str">
        <f>IF(Table1[[#This Row],[Is Data Valid]]=TRUE,IF(Table1[[#This Row],[Fetal Sex (Male, Female or Unknown)]]="Male",Backend!$C$6,IF(Table1[[#This Row],[Fetal Sex (Male, Female or Unknown)]]="Female",Backend!$C$7,IF(Table1[[#This Row],[Fetal Sex (Male, Female or Unknown)]]="Unknown",Backend!$C$8,"Error"))),"")</f>
        <v/>
      </c>
      <c r="F5601" s="8" t="str">
        <f>IF(Table1[[#This Row],[Is Data Valid]]=TRUE,EXP(0.578+0.332*((Table1[[#This Row],[Gestation (days)]]+0.5)/7)-0.00354*((Table1[[#This Row],[Gestation (days)]]+0.5)/7)^2)*Table1[[#This Row],[BW40_3705]],"")</f>
        <v/>
      </c>
      <c r="G5601" s="2" t="str">
        <f>IF(Table1[[#This Row],[Is Data Valid]]=TRUE,((Table1[[#This Row],[Birthweight (grams)]]/Table1[[#This Row],[BW_GA]])-1)/(Backend!$B$4/100*Table1[[#This Row],[BW40_3705]]),"")</f>
        <v/>
      </c>
      <c r="H5601" s="7" t="str">
        <f>IF(Table1[[#This Row],[Is Data Valid]]=TRUE,((Table1[[#This Row],[Birthweight (grams)]]*0.9/Table1[[#This Row],[BW_GA]])-1)/(Backend!$B$4/100*Table1[[#This Row],[BW40_3705]]),"")</f>
        <v/>
      </c>
      <c r="I5601" s="7" t="str">
        <f>IF(Table1[[#This Row],[Is Data Valid]]=TRUE,((Table1[[#This Row],[Birthweight (grams)]]*1.1/Table1[[#This Row],[BW_GA]])-1)/(Backend!$B$4/100*Table1[[#This Row],[BW40_3705]]),"")</f>
        <v/>
      </c>
      <c r="J5601" s="7" t="str">
        <f>IF(Table1[[#This Row],[Is Data Valid]]=TRUE,_xlfn.NORM.S.DIST(Table1[[#This Row],[Birthweight Z-Score]],TRUE)*100,"")</f>
        <v/>
      </c>
      <c r="K5601" s="7" t="str">
        <f>IF(Table1[[#This Row],[Is Data Valid]]=TRUE,_xlfn.NORM.S.DIST(Table1[[#This Row],[Birthweight Z-Score (BW-10%)]],TRUE)*100,"")</f>
        <v/>
      </c>
      <c r="L5601" s="7" t="str">
        <f>IF(Table1[[#This Row],[Is Data Valid]]=TRUE,_xlfn.NORM.S.DIST(Table1[[#This Row],[Birthweight Z-Score (BW+10%)]],TRUE)*100,"")</f>
        <v/>
      </c>
    </row>
    <row r="5602" spans="1:12" x14ac:dyDescent="0.35">
      <c r="A5602" s="3"/>
      <c r="B5602" s="2"/>
      <c r="C5602" s="2"/>
      <c r="D5602" s="2" t="b">
        <f>IF(AND(NOT(ISBLANK(Table1[[#This Row],[Fetal Sex (Male, Female or Unknown)]])),ISNUMBER(Table1[[#This Row],[Birthweight (grams)]]),ISNUMBER(Table1[[#This Row],[Gestation (days)]])),TRUE,FALSE)</f>
        <v>0</v>
      </c>
      <c r="E5602" s="2" t="str">
        <f>IF(Table1[[#This Row],[Is Data Valid]]=TRUE,IF(Table1[[#This Row],[Fetal Sex (Male, Female or Unknown)]]="Male",Backend!$C$6,IF(Table1[[#This Row],[Fetal Sex (Male, Female or Unknown)]]="Female",Backend!$C$7,IF(Table1[[#This Row],[Fetal Sex (Male, Female or Unknown)]]="Unknown",Backend!$C$8,"Error"))),"")</f>
        <v/>
      </c>
      <c r="F5602" s="8" t="str">
        <f>IF(Table1[[#This Row],[Is Data Valid]]=TRUE,EXP(0.578+0.332*((Table1[[#This Row],[Gestation (days)]]+0.5)/7)-0.00354*((Table1[[#This Row],[Gestation (days)]]+0.5)/7)^2)*Table1[[#This Row],[BW40_3705]],"")</f>
        <v/>
      </c>
      <c r="G5602" s="2" t="str">
        <f>IF(Table1[[#This Row],[Is Data Valid]]=TRUE,((Table1[[#This Row],[Birthweight (grams)]]/Table1[[#This Row],[BW_GA]])-1)/(Backend!$B$4/100*Table1[[#This Row],[BW40_3705]]),"")</f>
        <v/>
      </c>
      <c r="H5602" s="7" t="str">
        <f>IF(Table1[[#This Row],[Is Data Valid]]=TRUE,((Table1[[#This Row],[Birthweight (grams)]]*0.9/Table1[[#This Row],[BW_GA]])-1)/(Backend!$B$4/100*Table1[[#This Row],[BW40_3705]]),"")</f>
        <v/>
      </c>
      <c r="I5602" s="7" t="str">
        <f>IF(Table1[[#This Row],[Is Data Valid]]=TRUE,((Table1[[#This Row],[Birthweight (grams)]]*1.1/Table1[[#This Row],[BW_GA]])-1)/(Backend!$B$4/100*Table1[[#This Row],[BW40_3705]]),"")</f>
        <v/>
      </c>
      <c r="J5602" s="7" t="str">
        <f>IF(Table1[[#This Row],[Is Data Valid]]=TRUE,_xlfn.NORM.S.DIST(Table1[[#This Row],[Birthweight Z-Score]],TRUE)*100,"")</f>
        <v/>
      </c>
      <c r="K5602" s="7" t="str">
        <f>IF(Table1[[#This Row],[Is Data Valid]]=TRUE,_xlfn.NORM.S.DIST(Table1[[#This Row],[Birthweight Z-Score (BW-10%)]],TRUE)*100,"")</f>
        <v/>
      </c>
      <c r="L5602" s="7" t="str">
        <f>IF(Table1[[#This Row],[Is Data Valid]]=TRUE,_xlfn.NORM.S.DIST(Table1[[#This Row],[Birthweight Z-Score (BW+10%)]],TRUE)*100,"")</f>
        <v/>
      </c>
    </row>
    <row r="5603" spans="1:12" x14ac:dyDescent="0.35">
      <c r="A5603" s="3"/>
      <c r="B5603" s="2"/>
      <c r="C5603" s="2"/>
      <c r="D5603" s="2" t="b">
        <f>IF(AND(NOT(ISBLANK(Table1[[#This Row],[Fetal Sex (Male, Female or Unknown)]])),ISNUMBER(Table1[[#This Row],[Birthweight (grams)]]),ISNUMBER(Table1[[#This Row],[Gestation (days)]])),TRUE,FALSE)</f>
        <v>0</v>
      </c>
      <c r="E5603" s="2" t="str">
        <f>IF(Table1[[#This Row],[Is Data Valid]]=TRUE,IF(Table1[[#This Row],[Fetal Sex (Male, Female or Unknown)]]="Male",Backend!$C$6,IF(Table1[[#This Row],[Fetal Sex (Male, Female or Unknown)]]="Female",Backend!$C$7,IF(Table1[[#This Row],[Fetal Sex (Male, Female or Unknown)]]="Unknown",Backend!$C$8,"Error"))),"")</f>
        <v/>
      </c>
      <c r="F5603" s="8" t="str">
        <f>IF(Table1[[#This Row],[Is Data Valid]]=TRUE,EXP(0.578+0.332*((Table1[[#This Row],[Gestation (days)]]+0.5)/7)-0.00354*((Table1[[#This Row],[Gestation (days)]]+0.5)/7)^2)*Table1[[#This Row],[BW40_3705]],"")</f>
        <v/>
      </c>
      <c r="G5603" s="2" t="str">
        <f>IF(Table1[[#This Row],[Is Data Valid]]=TRUE,((Table1[[#This Row],[Birthweight (grams)]]/Table1[[#This Row],[BW_GA]])-1)/(Backend!$B$4/100*Table1[[#This Row],[BW40_3705]]),"")</f>
        <v/>
      </c>
      <c r="H5603" s="7" t="str">
        <f>IF(Table1[[#This Row],[Is Data Valid]]=TRUE,((Table1[[#This Row],[Birthweight (grams)]]*0.9/Table1[[#This Row],[BW_GA]])-1)/(Backend!$B$4/100*Table1[[#This Row],[BW40_3705]]),"")</f>
        <v/>
      </c>
      <c r="I5603" s="7" t="str">
        <f>IF(Table1[[#This Row],[Is Data Valid]]=TRUE,((Table1[[#This Row],[Birthweight (grams)]]*1.1/Table1[[#This Row],[BW_GA]])-1)/(Backend!$B$4/100*Table1[[#This Row],[BW40_3705]]),"")</f>
        <v/>
      </c>
      <c r="J5603" s="7" t="str">
        <f>IF(Table1[[#This Row],[Is Data Valid]]=TRUE,_xlfn.NORM.S.DIST(Table1[[#This Row],[Birthweight Z-Score]],TRUE)*100,"")</f>
        <v/>
      </c>
      <c r="K5603" s="7" t="str">
        <f>IF(Table1[[#This Row],[Is Data Valid]]=TRUE,_xlfn.NORM.S.DIST(Table1[[#This Row],[Birthweight Z-Score (BW-10%)]],TRUE)*100,"")</f>
        <v/>
      </c>
      <c r="L5603" s="7" t="str">
        <f>IF(Table1[[#This Row],[Is Data Valid]]=TRUE,_xlfn.NORM.S.DIST(Table1[[#This Row],[Birthweight Z-Score (BW+10%)]],TRUE)*100,"")</f>
        <v/>
      </c>
    </row>
    <row r="5604" spans="1:12" x14ac:dyDescent="0.35">
      <c r="A5604" s="3"/>
      <c r="B5604" s="2"/>
      <c r="C5604" s="2"/>
      <c r="D5604" s="2" t="b">
        <f>IF(AND(NOT(ISBLANK(Table1[[#This Row],[Fetal Sex (Male, Female or Unknown)]])),ISNUMBER(Table1[[#This Row],[Birthweight (grams)]]),ISNUMBER(Table1[[#This Row],[Gestation (days)]])),TRUE,FALSE)</f>
        <v>0</v>
      </c>
      <c r="E5604" s="2" t="str">
        <f>IF(Table1[[#This Row],[Is Data Valid]]=TRUE,IF(Table1[[#This Row],[Fetal Sex (Male, Female or Unknown)]]="Male",Backend!$C$6,IF(Table1[[#This Row],[Fetal Sex (Male, Female or Unknown)]]="Female",Backend!$C$7,IF(Table1[[#This Row],[Fetal Sex (Male, Female or Unknown)]]="Unknown",Backend!$C$8,"Error"))),"")</f>
        <v/>
      </c>
      <c r="F5604" s="8" t="str">
        <f>IF(Table1[[#This Row],[Is Data Valid]]=TRUE,EXP(0.578+0.332*((Table1[[#This Row],[Gestation (days)]]+0.5)/7)-0.00354*((Table1[[#This Row],[Gestation (days)]]+0.5)/7)^2)*Table1[[#This Row],[BW40_3705]],"")</f>
        <v/>
      </c>
      <c r="G5604" s="2" t="str">
        <f>IF(Table1[[#This Row],[Is Data Valid]]=TRUE,((Table1[[#This Row],[Birthweight (grams)]]/Table1[[#This Row],[BW_GA]])-1)/(Backend!$B$4/100*Table1[[#This Row],[BW40_3705]]),"")</f>
        <v/>
      </c>
      <c r="H5604" s="7" t="str">
        <f>IF(Table1[[#This Row],[Is Data Valid]]=TRUE,((Table1[[#This Row],[Birthweight (grams)]]*0.9/Table1[[#This Row],[BW_GA]])-1)/(Backend!$B$4/100*Table1[[#This Row],[BW40_3705]]),"")</f>
        <v/>
      </c>
      <c r="I5604" s="7" t="str">
        <f>IF(Table1[[#This Row],[Is Data Valid]]=TRUE,((Table1[[#This Row],[Birthweight (grams)]]*1.1/Table1[[#This Row],[BW_GA]])-1)/(Backend!$B$4/100*Table1[[#This Row],[BW40_3705]]),"")</f>
        <v/>
      </c>
      <c r="J5604" s="7" t="str">
        <f>IF(Table1[[#This Row],[Is Data Valid]]=TRUE,_xlfn.NORM.S.DIST(Table1[[#This Row],[Birthweight Z-Score]],TRUE)*100,"")</f>
        <v/>
      </c>
      <c r="K5604" s="7" t="str">
        <f>IF(Table1[[#This Row],[Is Data Valid]]=TRUE,_xlfn.NORM.S.DIST(Table1[[#This Row],[Birthweight Z-Score (BW-10%)]],TRUE)*100,"")</f>
        <v/>
      </c>
      <c r="L5604" s="7" t="str">
        <f>IF(Table1[[#This Row],[Is Data Valid]]=TRUE,_xlfn.NORM.S.DIST(Table1[[#This Row],[Birthweight Z-Score (BW+10%)]],TRUE)*100,"")</f>
        <v/>
      </c>
    </row>
    <row r="5605" spans="1:12" x14ac:dyDescent="0.35">
      <c r="A5605" s="3"/>
      <c r="B5605" s="2"/>
      <c r="C5605" s="2"/>
      <c r="D5605" s="2" t="b">
        <f>IF(AND(NOT(ISBLANK(Table1[[#This Row],[Fetal Sex (Male, Female or Unknown)]])),ISNUMBER(Table1[[#This Row],[Birthweight (grams)]]),ISNUMBER(Table1[[#This Row],[Gestation (days)]])),TRUE,FALSE)</f>
        <v>0</v>
      </c>
      <c r="E5605" s="2" t="str">
        <f>IF(Table1[[#This Row],[Is Data Valid]]=TRUE,IF(Table1[[#This Row],[Fetal Sex (Male, Female or Unknown)]]="Male",Backend!$C$6,IF(Table1[[#This Row],[Fetal Sex (Male, Female or Unknown)]]="Female",Backend!$C$7,IF(Table1[[#This Row],[Fetal Sex (Male, Female or Unknown)]]="Unknown",Backend!$C$8,"Error"))),"")</f>
        <v/>
      </c>
      <c r="F5605" s="8" t="str">
        <f>IF(Table1[[#This Row],[Is Data Valid]]=TRUE,EXP(0.578+0.332*((Table1[[#This Row],[Gestation (days)]]+0.5)/7)-0.00354*((Table1[[#This Row],[Gestation (days)]]+0.5)/7)^2)*Table1[[#This Row],[BW40_3705]],"")</f>
        <v/>
      </c>
      <c r="G5605" s="2" t="str">
        <f>IF(Table1[[#This Row],[Is Data Valid]]=TRUE,((Table1[[#This Row],[Birthweight (grams)]]/Table1[[#This Row],[BW_GA]])-1)/(Backend!$B$4/100*Table1[[#This Row],[BW40_3705]]),"")</f>
        <v/>
      </c>
      <c r="H5605" s="7" t="str">
        <f>IF(Table1[[#This Row],[Is Data Valid]]=TRUE,((Table1[[#This Row],[Birthweight (grams)]]*0.9/Table1[[#This Row],[BW_GA]])-1)/(Backend!$B$4/100*Table1[[#This Row],[BW40_3705]]),"")</f>
        <v/>
      </c>
      <c r="I5605" s="7" t="str">
        <f>IF(Table1[[#This Row],[Is Data Valid]]=TRUE,((Table1[[#This Row],[Birthweight (grams)]]*1.1/Table1[[#This Row],[BW_GA]])-1)/(Backend!$B$4/100*Table1[[#This Row],[BW40_3705]]),"")</f>
        <v/>
      </c>
      <c r="J5605" s="7" t="str">
        <f>IF(Table1[[#This Row],[Is Data Valid]]=TRUE,_xlfn.NORM.S.DIST(Table1[[#This Row],[Birthweight Z-Score]],TRUE)*100,"")</f>
        <v/>
      </c>
      <c r="K5605" s="7" t="str">
        <f>IF(Table1[[#This Row],[Is Data Valid]]=TRUE,_xlfn.NORM.S.DIST(Table1[[#This Row],[Birthweight Z-Score (BW-10%)]],TRUE)*100,"")</f>
        <v/>
      </c>
      <c r="L5605" s="7" t="str">
        <f>IF(Table1[[#This Row],[Is Data Valid]]=TRUE,_xlfn.NORM.S.DIST(Table1[[#This Row],[Birthweight Z-Score (BW+10%)]],TRUE)*100,"")</f>
        <v/>
      </c>
    </row>
    <row r="5606" spans="1:12" x14ac:dyDescent="0.35">
      <c r="A5606" s="3"/>
      <c r="B5606" s="2"/>
      <c r="C5606" s="2"/>
      <c r="D5606" s="2" t="b">
        <f>IF(AND(NOT(ISBLANK(Table1[[#This Row],[Fetal Sex (Male, Female or Unknown)]])),ISNUMBER(Table1[[#This Row],[Birthweight (grams)]]),ISNUMBER(Table1[[#This Row],[Gestation (days)]])),TRUE,FALSE)</f>
        <v>0</v>
      </c>
      <c r="E5606" s="2" t="str">
        <f>IF(Table1[[#This Row],[Is Data Valid]]=TRUE,IF(Table1[[#This Row],[Fetal Sex (Male, Female or Unknown)]]="Male",Backend!$C$6,IF(Table1[[#This Row],[Fetal Sex (Male, Female or Unknown)]]="Female",Backend!$C$7,IF(Table1[[#This Row],[Fetal Sex (Male, Female or Unknown)]]="Unknown",Backend!$C$8,"Error"))),"")</f>
        <v/>
      </c>
      <c r="F5606" s="8" t="str">
        <f>IF(Table1[[#This Row],[Is Data Valid]]=TRUE,EXP(0.578+0.332*((Table1[[#This Row],[Gestation (days)]]+0.5)/7)-0.00354*((Table1[[#This Row],[Gestation (days)]]+0.5)/7)^2)*Table1[[#This Row],[BW40_3705]],"")</f>
        <v/>
      </c>
      <c r="G5606" s="2" t="str">
        <f>IF(Table1[[#This Row],[Is Data Valid]]=TRUE,((Table1[[#This Row],[Birthweight (grams)]]/Table1[[#This Row],[BW_GA]])-1)/(Backend!$B$4/100*Table1[[#This Row],[BW40_3705]]),"")</f>
        <v/>
      </c>
      <c r="H5606" s="7" t="str">
        <f>IF(Table1[[#This Row],[Is Data Valid]]=TRUE,((Table1[[#This Row],[Birthweight (grams)]]*0.9/Table1[[#This Row],[BW_GA]])-1)/(Backend!$B$4/100*Table1[[#This Row],[BW40_3705]]),"")</f>
        <v/>
      </c>
      <c r="I5606" s="7" t="str">
        <f>IF(Table1[[#This Row],[Is Data Valid]]=TRUE,((Table1[[#This Row],[Birthweight (grams)]]*1.1/Table1[[#This Row],[BW_GA]])-1)/(Backend!$B$4/100*Table1[[#This Row],[BW40_3705]]),"")</f>
        <v/>
      </c>
      <c r="J5606" s="7" t="str">
        <f>IF(Table1[[#This Row],[Is Data Valid]]=TRUE,_xlfn.NORM.S.DIST(Table1[[#This Row],[Birthweight Z-Score]],TRUE)*100,"")</f>
        <v/>
      </c>
      <c r="K5606" s="7" t="str">
        <f>IF(Table1[[#This Row],[Is Data Valid]]=TRUE,_xlfn.NORM.S.DIST(Table1[[#This Row],[Birthweight Z-Score (BW-10%)]],TRUE)*100,"")</f>
        <v/>
      </c>
      <c r="L5606" s="7" t="str">
        <f>IF(Table1[[#This Row],[Is Data Valid]]=TRUE,_xlfn.NORM.S.DIST(Table1[[#This Row],[Birthweight Z-Score (BW+10%)]],TRUE)*100,"")</f>
        <v/>
      </c>
    </row>
    <row r="5607" spans="1:12" x14ac:dyDescent="0.35">
      <c r="A5607" s="3"/>
      <c r="B5607" s="2"/>
      <c r="C5607" s="2"/>
      <c r="D5607" s="2" t="b">
        <f>IF(AND(NOT(ISBLANK(Table1[[#This Row],[Fetal Sex (Male, Female or Unknown)]])),ISNUMBER(Table1[[#This Row],[Birthweight (grams)]]),ISNUMBER(Table1[[#This Row],[Gestation (days)]])),TRUE,FALSE)</f>
        <v>0</v>
      </c>
      <c r="E5607" s="2" t="str">
        <f>IF(Table1[[#This Row],[Is Data Valid]]=TRUE,IF(Table1[[#This Row],[Fetal Sex (Male, Female or Unknown)]]="Male",Backend!$C$6,IF(Table1[[#This Row],[Fetal Sex (Male, Female or Unknown)]]="Female",Backend!$C$7,IF(Table1[[#This Row],[Fetal Sex (Male, Female or Unknown)]]="Unknown",Backend!$C$8,"Error"))),"")</f>
        <v/>
      </c>
      <c r="F5607" s="8" t="str">
        <f>IF(Table1[[#This Row],[Is Data Valid]]=TRUE,EXP(0.578+0.332*((Table1[[#This Row],[Gestation (days)]]+0.5)/7)-0.00354*((Table1[[#This Row],[Gestation (days)]]+0.5)/7)^2)*Table1[[#This Row],[BW40_3705]],"")</f>
        <v/>
      </c>
      <c r="G5607" s="2" t="str">
        <f>IF(Table1[[#This Row],[Is Data Valid]]=TRUE,((Table1[[#This Row],[Birthweight (grams)]]/Table1[[#This Row],[BW_GA]])-1)/(Backend!$B$4/100*Table1[[#This Row],[BW40_3705]]),"")</f>
        <v/>
      </c>
      <c r="H5607" s="7" t="str">
        <f>IF(Table1[[#This Row],[Is Data Valid]]=TRUE,((Table1[[#This Row],[Birthweight (grams)]]*0.9/Table1[[#This Row],[BW_GA]])-1)/(Backend!$B$4/100*Table1[[#This Row],[BW40_3705]]),"")</f>
        <v/>
      </c>
      <c r="I5607" s="7" t="str">
        <f>IF(Table1[[#This Row],[Is Data Valid]]=TRUE,((Table1[[#This Row],[Birthweight (grams)]]*1.1/Table1[[#This Row],[BW_GA]])-1)/(Backend!$B$4/100*Table1[[#This Row],[BW40_3705]]),"")</f>
        <v/>
      </c>
      <c r="J5607" s="7" t="str">
        <f>IF(Table1[[#This Row],[Is Data Valid]]=TRUE,_xlfn.NORM.S.DIST(Table1[[#This Row],[Birthweight Z-Score]],TRUE)*100,"")</f>
        <v/>
      </c>
      <c r="K5607" s="7" t="str">
        <f>IF(Table1[[#This Row],[Is Data Valid]]=TRUE,_xlfn.NORM.S.DIST(Table1[[#This Row],[Birthweight Z-Score (BW-10%)]],TRUE)*100,"")</f>
        <v/>
      </c>
      <c r="L5607" s="7" t="str">
        <f>IF(Table1[[#This Row],[Is Data Valid]]=TRUE,_xlfn.NORM.S.DIST(Table1[[#This Row],[Birthweight Z-Score (BW+10%)]],TRUE)*100,"")</f>
        <v/>
      </c>
    </row>
    <row r="5608" spans="1:12" x14ac:dyDescent="0.35">
      <c r="A5608" s="3"/>
      <c r="B5608" s="2"/>
      <c r="C5608" s="2"/>
      <c r="D5608" s="2" t="b">
        <f>IF(AND(NOT(ISBLANK(Table1[[#This Row],[Fetal Sex (Male, Female or Unknown)]])),ISNUMBER(Table1[[#This Row],[Birthweight (grams)]]),ISNUMBER(Table1[[#This Row],[Gestation (days)]])),TRUE,FALSE)</f>
        <v>0</v>
      </c>
      <c r="E5608" s="2" t="str">
        <f>IF(Table1[[#This Row],[Is Data Valid]]=TRUE,IF(Table1[[#This Row],[Fetal Sex (Male, Female or Unknown)]]="Male",Backend!$C$6,IF(Table1[[#This Row],[Fetal Sex (Male, Female or Unknown)]]="Female",Backend!$C$7,IF(Table1[[#This Row],[Fetal Sex (Male, Female or Unknown)]]="Unknown",Backend!$C$8,"Error"))),"")</f>
        <v/>
      </c>
      <c r="F5608" s="8" t="str">
        <f>IF(Table1[[#This Row],[Is Data Valid]]=TRUE,EXP(0.578+0.332*((Table1[[#This Row],[Gestation (days)]]+0.5)/7)-0.00354*((Table1[[#This Row],[Gestation (days)]]+0.5)/7)^2)*Table1[[#This Row],[BW40_3705]],"")</f>
        <v/>
      </c>
      <c r="G5608" s="2" t="str">
        <f>IF(Table1[[#This Row],[Is Data Valid]]=TRUE,((Table1[[#This Row],[Birthweight (grams)]]/Table1[[#This Row],[BW_GA]])-1)/(Backend!$B$4/100*Table1[[#This Row],[BW40_3705]]),"")</f>
        <v/>
      </c>
      <c r="H5608" s="7" t="str">
        <f>IF(Table1[[#This Row],[Is Data Valid]]=TRUE,((Table1[[#This Row],[Birthweight (grams)]]*0.9/Table1[[#This Row],[BW_GA]])-1)/(Backend!$B$4/100*Table1[[#This Row],[BW40_3705]]),"")</f>
        <v/>
      </c>
      <c r="I5608" s="7" t="str">
        <f>IF(Table1[[#This Row],[Is Data Valid]]=TRUE,((Table1[[#This Row],[Birthweight (grams)]]*1.1/Table1[[#This Row],[BW_GA]])-1)/(Backend!$B$4/100*Table1[[#This Row],[BW40_3705]]),"")</f>
        <v/>
      </c>
      <c r="J5608" s="7" t="str">
        <f>IF(Table1[[#This Row],[Is Data Valid]]=TRUE,_xlfn.NORM.S.DIST(Table1[[#This Row],[Birthweight Z-Score]],TRUE)*100,"")</f>
        <v/>
      </c>
      <c r="K5608" s="7" t="str">
        <f>IF(Table1[[#This Row],[Is Data Valid]]=TRUE,_xlfn.NORM.S.DIST(Table1[[#This Row],[Birthweight Z-Score (BW-10%)]],TRUE)*100,"")</f>
        <v/>
      </c>
      <c r="L5608" s="7" t="str">
        <f>IF(Table1[[#This Row],[Is Data Valid]]=TRUE,_xlfn.NORM.S.DIST(Table1[[#This Row],[Birthweight Z-Score (BW+10%)]],TRUE)*100,"")</f>
        <v/>
      </c>
    </row>
    <row r="5609" spans="1:12" x14ac:dyDescent="0.35">
      <c r="A5609" s="3"/>
      <c r="B5609" s="2"/>
      <c r="C5609" s="2"/>
      <c r="D5609" s="2" t="b">
        <f>IF(AND(NOT(ISBLANK(Table1[[#This Row],[Fetal Sex (Male, Female or Unknown)]])),ISNUMBER(Table1[[#This Row],[Birthweight (grams)]]),ISNUMBER(Table1[[#This Row],[Gestation (days)]])),TRUE,FALSE)</f>
        <v>0</v>
      </c>
      <c r="E5609" s="2" t="str">
        <f>IF(Table1[[#This Row],[Is Data Valid]]=TRUE,IF(Table1[[#This Row],[Fetal Sex (Male, Female or Unknown)]]="Male",Backend!$C$6,IF(Table1[[#This Row],[Fetal Sex (Male, Female or Unknown)]]="Female",Backend!$C$7,IF(Table1[[#This Row],[Fetal Sex (Male, Female or Unknown)]]="Unknown",Backend!$C$8,"Error"))),"")</f>
        <v/>
      </c>
      <c r="F5609" s="8" t="str">
        <f>IF(Table1[[#This Row],[Is Data Valid]]=TRUE,EXP(0.578+0.332*((Table1[[#This Row],[Gestation (days)]]+0.5)/7)-0.00354*((Table1[[#This Row],[Gestation (days)]]+0.5)/7)^2)*Table1[[#This Row],[BW40_3705]],"")</f>
        <v/>
      </c>
      <c r="G5609" s="2" t="str">
        <f>IF(Table1[[#This Row],[Is Data Valid]]=TRUE,((Table1[[#This Row],[Birthweight (grams)]]/Table1[[#This Row],[BW_GA]])-1)/(Backend!$B$4/100*Table1[[#This Row],[BW40_3705]]),"")</f>
        <v/>
      </c>
      <c r="H5609" s="7" t="str">
        <f>IF(Table1[[#This Row],[Is Data Valid]]=TRUE,((Table1[[#This Row],[Birthweight (grams)]]*0.9/Table1[[#This Row],[BW_GA]])-1)/(Backend!$B$4/100*Table1[[#This Row],[BW40_3705]]),"")</f>
        <v/>
      </c>
      <c r="I5609" s="7" t="str">
        <f>IF(Table1[[#This Row],[Is Data Valid]]=TRUE,((Table1[[#This Row],[Birthweight (grams)]]*1.1/Table1[[#This Row],[BW_GA]])-1)/(Backend!$B$4/100*Table1[[#This Row],[BW40_3705]]),"")</f>
        <v/>
      </c>
      <c r="J5609" s="7" t="str">
        <f>IF(Table1[[#This Row],[Is Data Valid]]=TRUE,_xlfn.NORM.S.DIST(Table1[[#This Row],[Birthweight Z-Score]],TRUE)*100,"")</f>
        <v/>
      </c>
      <c r="K5609" s="7" t="str">
        <f>IF(Table1[[#This Row],[Is Data Valid]]=TRUE,_xlfn.NORM.S.DIST(Table1[[#This Row],[Birthweight Z-Score (BW-10%)]],TRUE)*100,"")</f>
        <v/>
      </c>
      <c r="L5609" s="7" t="str">
        <f>IF(Table1[[#This Row],[Is Data Valid]]=TRUE,_xlfn.NORM.S.DIST(Table1[[#This Row],[Birthweight Z-Score (BW+10%)]],TRUE)*100,"")</f>
        <v/>
      </c>
    </row>
    <row r="5610" spans="1:12" x14ac:dyDescent="0.35">
      <c r="A5610" s="3"/>
      <c r="B5610" s="2"/>
      <c r="C5610" s="2"/>
      <c r="D5610" s="2" t="b">
        <f>IF(AND(NOT(ISBLANK(Table1[[#This Row],[Fetal Sex (Male, Female or Unknown)]])),ISNUMBER(Table1[[#This Row],[Birthweight (grams)]]),ISNUMBER(Table1[[#This Row],[Gestation (days)]])),TRUE,FALSE)</f>
        <v>0</v>
      </c>
      <c r="E5610" s="2" t="str">
        <f>IF(Table1[[#This Row],[Is Data Valid]]=TRUE,IF(Table1[[#This Row],[Fetal Sex (Male, Female or Unknown)]]="Male",Backend!$C$6,IF(Table1[[#This Row],[Fetal Sex (Male, Female or Unknown)]]="Female",Backend!$C$7,IF(Table1[[#This Row],[Fetal Sex (Male, Female or Unknown)]]="Unknown",Backend!$C$8,"Error"))),"")</f>
        <v/>
      </c>
      <c r="F5610" s="8" t="str">
        <f>IF(Table1[[#This Row],[Is Data Valid]]=TRUE,EXP(0.578+0.332*((Table1[[#This Row],[Gestation (days)]]+0.5)/7)-0.00354*((Table1[[#This Row],[Gestation (days)]]+0.5)/7)^2)*Table1[[#This Row],[BW40_3705]],"")</f>
        <v/>
      </c>
      <c r="G5610" s="2" t="str">
        <f>IF(Table1[[#This Row],[Is Data Valid]]=TRUE,((Table1[[#This Row],[Birthweight (grams)]]/Table1[[#This Row],[BW_GA]])-1)/(Backend!$B$4/100*Table1[[#This Row],[BW40_3705]]),"")</f>
        <v/>
      </c>
      <c r="H5610" s="7" t="str">
        <f>IF(Table1[[#This Row],[Is Data Valid]]=TRUE,((Table1[[#This Row],[Birthweight (grams)]]*0.9/Table1[[#This Row],[BW_GA]])-1)/(Backend!$B$4/100*Table1[[#This Row],[BW40_3705]]),"")</f>
        <v/>
      </c>
      <c r="I5610" s="7" t="str">
        <f>IF(Table1[[#This Row],[Is Data Valid]]=TRUE,((Table1[[#This Row],[Birthweight (grams)]]*1.1/Table1[[#This Row],[BW_GA]])-1)/(Backend!$B$4/100*Table1[[#This Row],[BW40_3705]]),"")</f>
        <v/>
      </c>
      <c r="J5610" s="7" t="str">
        <f>IF(Table1[[#This Row],[Is Data Valid]]=TRUE,_xlfn.NORM.S.DIST(Table1[[#This Row],[Birthweight Z-Score]],TRUE)*100,"")</f>
        <v/>
      </c>
      <c r="K5610" s="7" t="str">
        <f>IF(Table1[[#This Row],[Is Data Valid]]=TRUE,_xlfn.NORM.S.DIST(Table1[[#This Row],[Birthweight Z-Score (BW-10%)]],TRUE)*100,"")</f>
        <v/>
      </c>
      <c r="L5610" s="7" t="str">
        <f>IF(Table1[[#This Row],[Is Data Valid]]=TRUE,_xlfn.NORM.S.DIST(Table1[[#This Row],[Birthweight Z-Score (BW+10%)]],TRUE)*100,"")</f>
        <v/>
      </c>
    </row>
    <row r="5611" spans="1:12" x14ac:dyDescent="0.35">
      <c r="A5611" s="3"/>
      <c r="B5611" s="2"/>
      <c r="C5611" s="2"/>
      <c r="D5611" s="2" t="b">
        <f>IF(AND(NOT(ISBLANK(Table1[[#This Row],[Fetal Sex (Male, Female or Unknown)]])),ISNUMBER(Table1[[#This Row],[Birthweight (grams)]]),ISNUMBER(Table1[[#This Row],[Gestation (days)]])),TRUE,FALSE)</f>
        <v>0</v>
      </c>
      <c r="E5611" s="2" t="str">
        <f>IF(Table1[[#This Row],[Is Data Valid]]=TRUE,IF(Table1[[#This Row],[Fetal Sex (Male, Female or Unknown)]]="Male",Backend!$C$6,IF(Table1[[#This Row],[Fetal Sex (Male, Female or Unknown)]]="Female",Backend!$C$7,IF(Table1[[#This Row],[Fetal Sex (Male, Female or Unknown)]]="Unknown",Backend!$C$8,"Error"))),"")</f>
        <v/>
      </c>
      <c r="F5611" s="8" t="str">
        <f>IF(Table1[[#This Row],[Is Data Valid]]=TRUE,EXP(0.578+0.332*((Table1[[#This Row],[Gestation (days)]]+0.5)/7)-0.00354*((Table1[[#This Row],[Gestation (days)]]+0.5)/7)^2)*Table1[[#This Row],[BW40_3705]],"")</f>
        <v/>
      </c>
      <c r="G5611" s="2" t="str">
        <f>IF(Table1[[#This Row],[Is Data Valid]]=TRUE,((Table1[[#This Row],[Birthweight (grams)]]/Table1[[#This Row],[BW_GA]])-1)/(Backend!$B$4/100*Table1[[#This Row],[BW40_3705]]),"")</f>
        <v/>
      </c>
      <c r="H5611" s="7" t="str">
        <f>IF(Table1[[#This Row],[Is Data Valid]]=TRUE,((Table1[[#This Row],[Birthweight (grams)]]*0.9/Table1[[#This Row],[BW_GA]])-1)/(Backend!$B$4/100*Table1[[#This Row],[BW40_3705]]),"")</f>
        <v/>
      </c>
      <c r="I5611" s="7" t="str">
        <f>IF(Table1[[#This Row],[Is Data Valid]]=TRUE,((Table1[[#This Row],[Birthweight (grams)]]*1.1/Table1[[#This Row],[BW_GA]])-1)/(Backend!$B$4/100*Table1[[#This Row],[BW40_3705]]),"")</f>
        <v/>
      </c>
      <c r="J5611" s="7" t="str">
        <f>IF(Table1[[#This Row],[Is Data Valid]]=TRUE,_xlfn.NORM.S.DIST(Table1[[#This Row],[Birthweight Z-Score]],TRUE)*100,"")</f>
        <v/>
      </c>
      <c r="K5611" s="7" t="str">
        <f>IF(Table1[[#This Row],[Is Data Valid]]=TRUE,_xlfn.NORM.S.DIST(Table1[[#This Row],[Birthweight Z-Score (BW-10%)]],TRUE)*100,"")</f>
        <v/>
      </c>
      <c r="L5611" s="7" t="str">
        <f>IF(Table1[[#This Row],[Is Data Valid]]=TRUE,_xlfn.NORM.S.DIST(Table1[[#This Row],[Birthweight Z-Score (BW+10%)]],TRUE)*100,"")</f>
        <v/>
      </c>
    </row>
    <row r="5612" spans="1:12" x14ac:dyDescent="0.35">
      <c r="A5612" s="3"/>
      <c r="B5612" s="2"/>
      <c r="C5612" s="2"/>
      <c r="D5612" s="2" t="b">
        <f>IF(AND(NOT(ISBLANK(Table1[[#This Row],[Fetal Sex (Male, Female or Unknown)]])),ISNUMBER(Table1[[#This Row],[Birthweight (grams)]]),ISNUMBER(Table1[[#This Row],[Gestation (days)]])),TRUE,FALSE)</f>
        <v>0</v>
      </c>
      <c r="E5612" s="2" t="str">
        <f>IF(Table1[[#This Row],[Is Data Valid]]=TRUE,IF(Table1[[#This Row],[Fetal Sex (Male, Female or Unknown)]]="Male",Backend!$C$6,IF(Table1[[#This Row],[Fetal Sex (Male, Female or Unknown)]]="Female",Backend!$C$7,IF(Table1[[#This Row],[Fetal Sex (Male, Female or Unknown)]]="Unknown",Backend!$C$8,"Error"))),"")</f>
        <v/>
      </c>
      <c r="F5612" s="8" t="str">
        <f>IF(Table1[[#This Row],[Is Data Valid]]=TRUE,EXP(0.578+0.332*((Table1[[#This Row],[Gestation (days)]]+0.5)/7)-0.00354*((Table1[[#This Row],[Gestation (days)]]+0.5)/7)^2)*Table1[[#This Row],[BW40_3705]],"")</f>
        <v/>
      </c>
      <c r="G5612" s="2" t="str">
        <f>IF(Table1[[#This Row],[Is Data Valid]]=TRUE,((Table1[[#This Row],[Birthweight (grams)]]/Table1[[#This Row],[BW_GA]])-1)/(Backend!$B$4/100*Table1[[#This Row],[BW40_3705]]),"")</f>
        <v/>
      </c>
      <c r="H5612" s="7" t="str">
        <f>IF(Table1[[#This Row],[Is Data Valid]]=TRUE,((Table1[[#This Row],[Birthweight (grams)]]*0.9/Table1[[#This Row],[BW_GA]])-1)/(Backend!$B$4/100*Table1[[#This Row],[BW40_3705]]),"")</f>
        <v/>
      </c>
      <c r="I5612" s="7" t="str">
        <f>IF(Table1[[#This Row],[Is Data Valid]]=TRUE,((Table1[[#This Row],[Birthweight (grams)]]*1.1/Table1[[#This Row],[BW_GA]])-1)/(Backend!$B$4/100*Table1[[#This Row],[BW40_3705]]),"")</f>
        <v/>
      </c>
      <c r="J5612" s="7" t="str">
        <f>IF(Table1[[#This Row],[Is Data Valid]]=TRUE,_xlfn.NORM.S.DIST(Table1[[#This Row],[Birthweight Z-Score]],TRUE)*100,"")</f>
        <v/>
      </c>
      <c r="K5612" s="7" t="str">
        <f>IF(Table1[[#This Row],[Is Data Valid]]=TRUE,_xlfn.NORM.S.DIST(Table1[[#This Row],[Birthweight Z-Score (BW-10%)]],TRUE)*100,"")</f>
        <v/>
      </c>
      <c r="L5612" s="7" t="str">
        <f>IF(Table1[[#This Row],[Is Data Valid]]=TRUE,_xlfn.NORM.S.DIST(Table1[[#This Row],[Birthweight Z-Score (BW+10%)]],TRUE)*100,"")</f>
        <v/>
      </c>
    </row>
    <row r="5613" spans="1:12" x14ac:dyDescent="0.35">
      <c r="A5613" s="3"/>
      <c r="B5613" s="2"/>
      <c r="C5613" s="2"/>
      <c r="D5613" s="2" t="b">
        <f>IF(AND(NOT(ISBLANK(Table1[[#This Row],[Fetal Sex (Male, Female or Unknown)]])),ISNUMBER(Table1[[#This Row],[Birthweight (grams)]]),ISNUMBER(Table1[[#This Row],[Gestation (days)]])),TRUE,FALSE)</f>
        <v>0</v>
      </c>
      <c r="E5613" s="2" t="str">
        <f>IF(Table1[[#This Row],[Is Data Valid]]=TRUE,IF(Table1[[#This Row],[Fetal Sex (Male, Female or Unknown)]]="Male",Backend!$C$6,IF(Table1[[#This Row],[Fetal Sex (Male, Female or Unknown)]]="Female",Backend!$C$7,IF(Table1[[#This Row],[Fetal Sex (Male, Female or Unknown)]]="Unknown",Backend!$C$8,"Error"))),"")</f>
        <v/>
      </c>
      <c r="F5613" s="8" t="str">
        <f>IF(Table1[[#This Row],[Is Data Valid]]=TRUE,EXP(0.578+0.332*((Table1[[#This Row],[Gestation (days)]]+0.5)/7)-0.00354*((Table1[[#This Row],[Gestation (days)]]+0.5)/7)^2)*Table1[[#This Row],[BW40_3705]],"")</f>
        <v/>
      </c>
      <c r="G5613" s="2" t="str">
        <f>IF(Table1[[#This Row],[Is Data Valid]]=TRUE,((Table1[[#This Row],[Birthweight (grams)]]/Table1[[#This Row],[BW_GA]])-1)/(Backend!$B$4/100*Table1[[#This Row],[BW40_3705]]),"")</f>
        <v/>
      </c>
      <c r="H5613" s="7" t="str">
        <f>IF(Table1[[#This Row],[Is Data Valid]]=TRUE,((Table1[[#This Row],[Birthweight (grams)]]*0.9/Table1[[#This Row],[BW_GA]])-1)/(Backend!$B$4/100*Table1[[#This Row],[BW40_3705]]),"")</f>
        <v/>
      </c>
      <c r="I5613" s="7" t="str">
        <f>IF(Table1[[#This Row],[Is Data Valid]]=TRUE,((Table1[[#This Row],[Birthweight (grams)]]*1.1/Table1[[#This Row],[BW_GA]])-1)/(Backend!$B$4/100*Table1[[#This Row],[BW40_3705]]),"")</f>
        <v/>
      </c>
      <c r="J5613" s="7" t="str">
        <f>IF(Table1[[#This Row],[Is Data Valid]]=TRUE,_xlfn.NORM.S.DIST(Table1[[#This Row],[Birthweight Z-Score]],TRUE)*100,"")</f>
        <v/>
      </c>
      <c r="K5613" s="7" t="str">
        <f>IF(Table1[[#This Row],[Is Data Valid]]=TRUE,_xlfn.NORM.S.DIST(Table1[[#This Row],[Birthweight Z-Score (BW-10%)]],TRUE)*100,"")</f>
        <v/>
      </c>
      <c r="L5613" s="7" t="str">
        <f>IF(Table1[[#This Row],[Is Data Valid]]=TRUE,_xlfn.NORM.S.DIST(Table1[[#This Row],[Birthweight Z-Score (BW+10%)]],TRUE)*100,"")</f>
        <v/>
      </c>
    </row>
    <row r="5614" spans="1:12" x14ac:dyDescent="0.35">
      <c r="A5614" s="3"/>
      <c r="B5614" s="2"/>
      <c r="C5614" s="2"/>
      <c r="D5614" s="2" t="b">
        <f>IF(AND(NOT(ISBLANK(Table1[[#This Row],[Fetal Sex (Male, Female or Unknown)]])),ISNUMBER(Table1[[#This Row],[Birthweight (grams)]]),ISNUMBER(Table1[[#This Row],[Gestation (days)]])),TRUE,FALSE)</f>
        <v>0</v>
      </c>
      <c r="E5614" s="2" t="str">
        <f>IF(Table1[[#This Row],[Is Data Valid]]=TRUE,IF(Table1[[#This Row],[Fetal Sex (Male, Female or Unknown)]]="Male",Backend!$C$6,IF(Table1[[#This Row],[Fetal Sex (Male, Female or Unknown)]]="Female",Backend!$C$7,IF(Table1[[#This Row],[Fetal Sex (Male, Female or Unknown)]]="Unknown",Backend!$C$8,"Error"))),"")</f>
        <v/>
      </c>
      <c r="F5614" s="8" t="str">
        <f>IF(Table1[[#This Row],[Is Data Valid]]=TRUE,EXP(0.578+0.332*((Table1[[#This Row],[Gestation (days)]]+0.5)/7)-0.00354*((Table1[[#This Row],[Gestation (days)]]+0.5)/7)^2)*Table1[[#This Row],[BW40_3705]],"")</f>
        <v/>
      </c>
      <c r="G5614" s="2" t="str">
        <f>IF(Table1[[#This Row],[Is Data Valid]]=TRUE,((Table1[[#This Row],[Birthweight (grams)]]/Table1[[#This Row],[BW_GA]])-1)/(Backend!$B$4/100*Table1[[#This Row],[BW40_3705]]),"")</f>
        <v/>
      </c>
      <c r="H5614" s="7" t="str">
        <f>IF(Table1[[#This Row],[Is Data Valid]]=TRUE,((Table1[[#This Row],[Birthweight (grams)]]*0.9/Table1[[#This Row],[BW_GA]])-1)/(Backend!$B$4/100*Table1[[#This Row],[BW40_3705]]),"")</f>
        <v/>
      </c>
      <c r="I5614" s="7" t="str">
        <f>IF(Table1[[#This Row],[Is Data Valid]]=TRUE,((Table1[[#This Row],[Birthweight (grams)]]*1.1/Table1[[#This Row],[BW_GA]])-1)/(Backend!$B$4/100*Table1[[#This Row],[BW40_3705]]),"")</f>
        <v/>
      </c>
      <c r="J5614" s="7" t="str">
        <f>IF(Table1[[#This Row],[Is Data Valid]]=TRUE,_xlfn.NORM.S.DIST(Table1[[#This Row],[Birthweight Z-Score]],TRUE)*100,"")</f>
        <v/>
      </c>
      <c r="K5614" s="7" t="str">
        <f>IF(Table1[[#This Row],[Is Data Valid]]=TRUE,_xlfn.NORM.S.DIST(Table1[[#This Row],[Birthweight Z-Score (BW-10%)]],TRUE)*100,"")</f>
        <v/>
      </c>
      <c r="L5614" s="7" t="str">
        <f>IF(Table1[[#This Row],[Is Data Valid]]=TRUE,_xlfn.NORM.S.DIST(Table1[[#This Row],[Birthweight Z-Score (BW+10%)]],TRUE)*100,"")</f>
        <v/>
      </c>
    </row>
    <row r="5615" spans="1:12" x14ac:dyDescent="0.35">
      <c r="A5615" s="3"/>
      <c r="B5615" s="2"/>
      <c r="C5615" s="2"/>
      <c r="D5615" s="2" t="b">
        <f>IF(AND(NOT(ISBLANK(Table1[[#This Row],[Fetal Sex (Male, Female or Unknown)]])),ISNUMBER(Table1[[#This Row],[Birthweight (grams)]]),ISNUMBER(Table1[[#This Row],[Gestation (days)]])),TRUE,FALSE)</f>
        <v>0</v>
      </c>
      <c r="E5615" s="2" t="str">
        <f>IF(Table1[[#This Row],[Is Data Valid]]=TRUE,IF(Table1[[#This Row],[Fetal Sex (Male, Female or Unknown)]]="Male",Backend!$C$6,IF(Table1[[#This Row],[Fetal Sex (Male, Female or Unknown)]]="Female",Backend!$C$7,IF(Table1[[#This Row],[Fetal Sex (Male, Female or Unknown)]]="Unknown",Backend!$C$8,"Error"))),"")</f>
        <v/>
      </c>
      <c r="F5615" s="8" t="str">
        <f>IF(Table1[[#This Row],[Is Data Valid]]=TRUE,EXP(0.578+0.332*((Table1[[#This Row],[Gestation (days)]]+0.5)/7)-0.00354*((Table1[[#This Row],[Gestation (days)]]+0.5)/7)^2)*Table1[[#This Row],[BW40_3705]],"")</f>
        <v/>
      </c>
      <c r="G5615" s="2" t="str">
        <f>IF(Table1[[#This Row],[Is Data Valid]]=TRUE,((Table1[[#This Row],[Birthweight (grams)]]/Table1[[#This Row],[BW_GA]])-1)/(Backend!$B$4/100*Table1[[#This Row],[BW40_3705]]),"")</f>
        <v/>
      </c>
      <c r="H5615" s="7" t="str">
        <f>IF(Table1[[#This Row],[Is Data Valid]]=TRUE,((Table1[[#This Row],[Birthweight (grams)]]*0.9/Table1[[#This Row],[BW_GA]])-1)/(Backend!$B$4/100*Table1[[#This Row],[BW40_3705]]),"")</f>
        <v/>
      </c>
      <c r="I5615" s="7" t="str">
        <f>IF(Table1[[#This Row],[Is Data Valid]]=TRUE,((Table1[[#This Row],[Birthweight (grams)]]*1.1/Table1[[#This Row],[BW_GA]])-1)/(Backend!$B$4/100*Table1[[#This Row],[BW40_3705]]),"")</f>
        <v/>
      </c>
      <c r="J5615" s="7" t="str">
        <f>IF(Table1[[#This Row],[Is Data Valid]]=TRUE,_xlfn.NORM.S.DIST(Table1[[#This Row],[Birthweight Z-Score]],TRUE)*100,"")</f>
        <v/>
      </c>
      <c r="K5615" s="7" t="str">
        <f>IF(Table1[[#This Row],[Is Data Valid]]=TRUE,_xlfn.NORM.S.DIST(Table1[[#This Row],[Birthweight Z-Score (BW-10%)]],TRUE)*100,"")</f>
        <v/>
      </c>
      <c r="L5615" s="7" t="str">
        <f>IF(Table1[[#This Row],[Is Data Valid]]=TRUE,_xlfn.NORM.S.DIST(Table1[[#This Row],[Birthweight Z-Score (BW+10%)]],TRUE)*100,"")</f>
        <v/>
      </c>
    </row>
    <row r="5616" spans="1:12" x14ac:dyDescent="0.35">
      <c r="A5616" s="3"/>
      <c r="B5616" s="2"/>
      <c r="C5616" s="2"/>
      <c r="D5616" s="2" t="b">
        <f>IF(AND(NOT(ISBLANK(Table1[[#This Row],[Fetal Sex (Male, Female or Unknown)]])),ISNUMBER(Table1[[#This Row],[Birthweight (grams)]]),ISNUMBER(Table1[[#This Row],[Gestation (days)]])),TRUE,FALSE)</f>
        <v>0</v>
      </c>
      <c r="E5616" s="2" t="str">
        <f>IF(Table1[[#This Row],[Is Data Valid]]=TRUE,IF(Table1[[#This Row],[Fetal Sex (Male, Female or Unknown)]]="Male",Backend!$C$6,IF(Table1[[#This Row],[Fetal Sex (Male, Female or Unknown)]]="Female",Backend!$C$7,IF(Table1[[#This Row],[Fetal Sex (Male, Female or Unknown)]]="Unknown",Backend!$C$8,"Error"))),"")</f>
        <v/>
      </c>
      <c r="F5616" s="8" t="str">
        <f>IF(Table1[[#This Row],[Is Data Valid]]=TRUE,EXP(0.578+0.332*((Table1[[#This Row],[Gestation (days)]]+0.5)/7)-0.00354*((Table1[[#This Row],[Gestation (days)]]+0.5)/7)^2)*Table1[[#This Row],[BW40_3705]],"")</f>
        <v/>
      </c>
      <c r="G5616" s="2" t="str">
        <f>IF(Table1[[#This Row],[Is Data Valid]]=TRUE,((Table1[[#This Row],[Birthweight (grams)]]/Table1[[#This Row],[BW_GA]])-1)/(Backend!$B$4/100*Table1[[#This Row],[BW40_3705]]),"")</f>
        <v/>
      </c>
      <c r="H5616" s="7" t="str">
        <f>IF(Table1[[#This Row],[Is Data Valid]]=TRUE,((Table1[[#This Row],[Birthweight (grams)]]*0.9/Table1[[#This Row],[BW_GA]])-1)/(Backend!$B$4/100*Table1[[#This Row],[BW40_3705]]),"")</f>
        <v/>
      </c>
      <c r="I5616" s="7" t="str">
        <f>IF(Table1[[#This Row],[Is Data Valid]]=TRUE,((Table1[[#This Row],[Birthweight (grams)]]*1.1/Table1[[#This Row],[BW_GA]])-1)/(Backend!$B$4/100*Table1[[#This Row],[BW40_3705]]),"")</f>
        <v/>
      </c>
      <c r="J5616" s="7" t="str">
        <f>IF(Table1[[#This Row],[Is Data Valid]]=TRUE,_xlfn.NORM.S.DIST(Table1[[#This Row],[Birthweight Z-Score]],TRUE)*100,"")</f>
        <v/>
      </c>
      <c r="K5616" s="7" t="str">
        <f>IF(Table1[[#This Row],[Is Data Valid]]=TRUE,_xlfn.NORM.S.DIST(Table1[[#This Row],[Birthweight Z-Score (BW-10%)]],TRUE)*100,"")</f>
        <v/>
      </c>
      <c r="L5616" s="7" t="str">
        <f>IF(Table1[[#This Row],[Is Data Valid]]=TRUE,_xlfn.NORM.S.DIST(Table1[[#This Row],[Birthweight Z-Score (BW+10%)]],TRUE)*100,"")</f>
        <v/>
      </c>
    </row>
    <row r="5617" spans="1:12" x14ac:dyDescent="0.35">
      <c r="A5617" s="3"/>
      <c r="B5617" s="2"/>
      <c r="C5617" s="2"/>
      <c r="D5617" s="2" t="b">
        <f>IF(AND(NOT(ISBLANK(Table1[[#This Row],[Fetal Sex (Male, Female or Unknown)]])),ISNUMBER(Table1[[#This Row],[Birthweight (grams)]]),ISNUMBER(Table1[[#This Row],[Gestation (days)]])),TRUE,FALSE)</f>
        <v>0</v>
      </c>
      <c r="E5617" s="2" t="str">
        <f>IF(Table1[[#This Row],[Is Data Valid]]=TRUE,IF(Table1[[#This Row],[Fetal Sex (Male, Female or Unknown)]]="Male",Backend!$C$6,IF(Table1[[#This Row],[Fetal Sex (Male, Female or Unknown)]]="Female",Backend!$C$7,IF(Table1[[#This Row],[Fetal Sex (Male, Female or Unknown)]]="Unknown",Backend!$C$8,"Error"))),"")</f>
        <v/>
      </c>
      <c r="F5617" s="8" t="str">
        <f>IF(Table1[[#This Row],[Is Data Valid]]=TRUE,EXP(0.578+0.332*((Table1[[#This Row],[Gestation (days)]]+0.5)/7)-0.00354*((Table1[[#This Row],[Gestation (days)]]+0.5)/7)^2)*Table1[[#This Row],[BW40_3705]],"")</f>
        <v/>
      </c>
      <c r="G5617" s="2" t="str">
        <f>IF(Table1[[#This Row],[Is Data Valid]]=TRUE,((Table1[[#This Row],[Birthweight (grams)]]/Table1[[#This Row],[BW_GA]])-1)/(Backend!$B$4/100*Table1[[#This Row],[BW40_3705]]),"")</f>
        <v/>
      </c>
      <c r="H5617" s="7" t="str">
        <f>IF(Table1[[#This Row],[Is Data Valid]]=TRUE,((Table1[[#This Row],[Birthweight (grams)]]*0.9/Table1[[#This Row],[BW_GA]])-1)/(Backend!$B$4/100*Table1[[#This Row],[BW40_3705]]),"")</f>
        <v/>
      </c>
      <c r="I5617" s="7" t="str">
        <f>IF(Table1[[#This Row],[Is Data Valid]]=TRUE,((Table1[[#This Row],[Birthweight (grams)]]*1.1/Table1[[#This Row],[BW_GA]])-1)/(Backend!$B$4/100*Table1[[#This Row],[BW40_3705]]),"")</f>
        <v/>
      </c>
      <c r="J5617" s="7" t="str">
        <f>IF(Table1[[#This Row],[Is Data Valid]]=TRUE,_xlfn.NORM.S.DIST(Table1[[#This Row],[Birthweight Z-Score]],TRUE)*100,"")</f>
        <v/>
      </c>
      <c r="K5617" s="7" t="str">
        <f>IF(Table1[[#This Row],[Is Data Valid]]=TRUE,_xlfn.NORM.S.DIST(Table1[[#This Row],[Birthweight Z-Score (BW-10%)]],TRUE)*100,"")</f>
        <v/>
      </c>
      <c r="L5617" s="7" t="str">
        <f>IF(Table1[[#This Row],[Is Data Valid]]=TRUE,_xlfn.NORM.S.DIST(Table1[[#This Row],[Birthweight Z-Score (BW+10%)]],TRUE)*100,"")</f>
        <v/>
      </c>
    </row>
    <row r="5618" spans="1:12" x14ac:dyDescent="0.35">
      <c r="A5618" s="3"/>
      <c r="B5618" s="2"/>
      <c r="C5618" s="2"/>
      <c r="D5618" s="2" t="b">
        <f>IF(AND(NOT(ISBLANK(Table1[[#This Row],[Fetal Sex (Male, Female or Unknown)]])),ISNUMBER(Table1[[#This Row],[Birthweight (grams)]]),ISNUMBER(Table1[[#This Row],[Gestation (days)]])),TRUE,FALSE)</f>
        <v>0</v>
      </c>
      <c r="E5618" s="2" t="str">
        <f>IF(Table1[[#This Row],[Is Data Valid]]=TRUE,IF(Table1[[#This Row],[Fetal Sex (Male, Female or Unknown)]]="Male",Backend!$C$6,IF(Table1[[#This Row],[Fetal Sex (Male, Female or Unknown)]]="Female",Backend!$C$7,IF(Table1[[#This Row],[Fetal Sex (Male, Female or Unknown)]]="Unknown",Backend!$C$8,"Error"))),"")</f>
        <v/>
      </c>
      <c r="F5618" s="8" t="str">
        <f>IF(Table1[[#This Row],[Is Data Valid]]=TRUE,EXP(0.578+0.332*((Table1[[#This Row],[Gestation (days)]]+0.5)/7)-0.00354*((Table1[[#This Row],[Gestation (days)]]+0.5)/7)^2)*Table1[[#This Row],[BW40_3705]],"")</f>
        <v/>
      </c>
      <c r="G5618" s="2" t="str">
        <f>IF(Table1[[#This Row],[Is Data Valid]]=TRUE,((Table1[[#This Row],[Birthweight (grams)]]/Table1[[#This Row],[BW_GA]])-1)/(Backend!$B$4/100*Table1[[#This Row],[BW40_3705]]),"")</f>
        <v/>
      </c>
      <c r="H5618" s="7" t="str">
        <f>IF(Table1[[#This Row],[Is Data Valid]]=TRUE,((Table1[[#This Row],[Birthweight (grams)]]*0.9/Table1[[#This Row],[BW_GA]])-1)/(Backend!$B$4/100*Table1[[#This Row],[BW40_3705]]),"")</f>
        <v/>
      </c>
      <c r="I5618" s="7" t="str">
        <f>IF(Table1[[#This Row],[Is Data Valid]]=TRUE,((Table1[[#This Row],[Birthweight (grams)]]*1.1/Table1[[#This Row],[BW_GA]])-1)/(Backend!$B$4/100*Table1[[#This Row],[BW40_3705]]),"")</f>
        <v/>
      </c>
      <c r="J5618" s="7" t="str">
        <f>IF(Table1[[#This Row],[Is Data Valid]]=TRUE,_xlfn.NORM.S.DIST(Table1[[#This Row],[Birthweight Z-Score]],TRUE)*100,"")</f>
        <v/>
      </c>
      <c r="K5618" s="7" t="str">
        <f>IF(Table1[[#This Row],[Is Data Valid]]=TRUE,_xlfn.NORM.S.DIST(Table1[[#This Row],[Birthweight Z-Score (BW-10%)]],TRUE)*100,"")</f>
        <v/>
      </c>
      <c r="L5618" s="7" t="str">
        <f>IF(Table1[[#This Row],[Is Data Valid]]=TRUE,_xlfn.NORM.S.DIST(Table1[[#This Row],[Birthweight Z-Score (BW+10%)]],TRUE)*100,"")</f>
        <v/>
      </c>
    </row>
    <row r="5619" spans="1:12" x14ac:dyDescent="0.35">
      <c r="A5619" s="3"/>
      <c r="B5619" s="2"/>
      <c r="C5619" s="2"/>
      <c r="D5619" s="2" t="b">
        <f>IF(AND(NOT(ISBLANK(Table1[[#This Row],[Fetal Sex (Male, Female or Unknown)]])),ISNUMBER(Table1[[#This Row],[Birthweight (grams)]]),ISNUMBER(Table1[[#This Row],[Gestation (days)]])),TRUE,FALSE)</f>
        <v>0</v>
      </c>
      <c r="E5619" s="2" t="str">
        <f>IF(Table1[[#This Row],[Is Data Valid]]=TRUE,IF(Table1[[#This Row],[Fetal Sex (Male, Female or Unknown)]]="Male",Backend!$C$6,IF(Table1[[#This Row],[Fetal Sex (Male, Female or Unknown)]]="Female",Backend!$C$7,IF(Table1[[#This Row],[Fetal Sex (Male, Female or Unknown)]]="Unknown",Backend!$C$8,"Error"))),"")</f>
        <v/>
      </c>
      <c r="F5619" s="8" t="str">
        <f>IF(Table1[[#This Row],[Is Data Valid]]=TRUE,EXP(0.578+0.332*((Table1[[#This Row],[Gestation (days)]]+0.5)/7)-0.00354*((Table1[[#This Row],[Gestation (days)]]+0.5)/7)^2)*Table1[[#This Row],[BW40_3705]],"")</f>
        <v/>
      </c>
      <c r="G5619" s="2" t="str">
        <f>IF(Table1[[#This Row],[Is Data Valid]]=TRUE,((Table1[[#This Row],[Birthweight (grams)]]/Table1[[#This Row],[BW_GA]])-1)/(Backend!$B$4/100*Table1[[#This Row],[BW40_3705]]),"")</f>
        <v/>
      </c>
      <c r="H5619" s="7" t="str">
        <f>IF(Table1[[#This Row],[Is Data Valid]]=TRUE,((Table1[[#This Row],[Birthweight (grams)]]*0.9/Table1[[#This Row],[BW_GA]])-1)/(Backend!$B$4/100*Table1[[#This Row],[BW40_3705]]),"")</f>
        <v/>
      </c>
      <c r="I5619" s="7" t="str">
        <f>IF(Table1[[#This Row],[Is Data Valid]]=TRUE,((Table1[[#This Row],[Birthweight (grams)]]*1.1/Table1[[#This Row],[BW_GA]])-1)/(Backend!$B$4/100*Table1[[#This Row],[BW40_3705]]),"")</f>
        <v/>
      </c>
      <c r="J5619" s="7" t="str">
        <f>IF(Table1[[#This Row],[Is Data Valid]]=TRUE,_xlfn.NORM.S.DIST(Table1[[#This Row],[Birthweight Z-Score]],TRUE)*100,"")</f>
        <v/>
      </c>
      <c r="K5619" s="7" t="str">
        <f>IF(Table1[[#This Row],[Is Data Valid]]=TRUE,_xlfn.NORM.S.DIST(Table1[[#This Row],[Birthweight Z-Score (BW-10%)]],TRUE)*100,"")</f>
        <v/>
      </c>
      <c r="L5619" s="7" t="str">
        <f>IF(Table1[[#This Row],[Is Data Valid]]=TRUE,_xlfn.NORM.S.DIST(Table1[[#This Row],[Birthweight Z-Score (BW+10%)]],TRUE)*100,"")</f>
        <v/>
      </c>
    </row>
    <row r="5620" spans="1:12" x14ac:dyDescent="0.35">
      <c r="A5620" s="3"/>
      <c r="B5620" s="2"/>
      <c r="C5620" s="2"/>
      <c r="D5620" s="2" t="b">
        <f>IF(AND(NOT(ISBLANK(Table1[[#This Row],[Fetal Sex (Male, Female or Unknown)]])),ISNUMBER(Table1[[#This Row],[Birthweight (grams)]]),ISNUMBER(Table1[[#This Row],[Gestation (days)]])),TRUE,FALSE)</f>
        <v>0</v>
      </c>
      <c r="E5620" s="2" t="str">
        <f>IF(Table1[[#This Row],[Is Data Valid]]=TRUE,IF(Table1[[#This Row],[Fetal Sex (Male, Female or Unknown)]]="Male",Backend!$C$6,IF(Table1[[#This Row],[Fetal Sex (Male, Female or Unknown)]]="Female",Backend!$C$7,IF(Table1[[#This Row],[Fetal Sex (Male, Female or Unknown)]]="Unknown",Backend!$C$8,"Error"))),"")</f>
        <v/>
      </c>
      <c r="F5620" s="8" t="str">
        <f>IF(Table1[[#This Row],[Is Data Valid]]=TRUE,EXP(0.578+0.332*((Table1[[#This Row],[Gestation (days)]]+0.5)/7)-0.00354*((Table1[[#This Row],[Gestation (days)]]+0.5)/7)^2)*Table1[[#This Row],[BW40_3705]],"")</f>
        <v/>
      </c>
      <c r="G5620" s="2" t="str">
        <f>IF(Table1[[#This Row],[Is Data Valid]]=TRUE,((Table1[[#This Row],[Birthweight (grams)]]/Table1[[#This Row],[BW_GA]])-1)/(Backend!$B$4/100*Table1[[#This Row],[BW40_3705]]),"")</f>
        <v/>
      </c>
      <c r="H5620" s="7" t="str">
        <f>IF(Table1[[#This Row],[Is Data Valid]]=TRUE,((Table1[[#This Row],[Birthweight (grams)]]*0.9/Table1[[#This Row],[BW_GA]])-1)/(Backend!$B$4/100*Table1[[#This Row],[BW40_3705]]),"")</f>
        <v/>
      </c>
      <c r="I5620" s="7" t="str">
        <f>IF(Table1[[#This Row],[Is Data Valid]]=TRUE,((Table1[[#This Row],[Birthweight (grams)]]*1.1/Table1[[#This Row],[BW_GA]])-1)/(Backend!$B$4/100*Table1[[#This Row],[BW40_3705]]),"")</f>
        <v/>
      </c>
      <c r="J5620" s="7" t="str">
        <f>IF(Table1[[#This Row],[Is Data Valid]]=TRUE,_xlfn.NORM.S.DIST(Table1[[#This Row],[Birthweight Z-Score]],TRUE)*100,"")</f>
        <v/>
      </c>
      <c r="K5620" s="7" t="str">
        <f>IF(Table1[[#This Row],[Is Data Valid]]=TRUE,_xlfn.NORM.S.DIST(Table1[[#This Row],[Birthweight Z-Score (BW-10%)]],TRUE)*100,"")</f>
        <v/>
      </c>
      <c r="L5620" s="7" t="str">
        <f>IF(Table1[[#This Row],[Is Data Valid]]=TRUE,_xlfn.NORM.S.DIST(Table1[[#This Row],[Birthweight Z-Score (BW+10%)]],TRUE)*100,"")</f>
        <v/>
      </c>
    </row>
    <row r="5621" spans="1:12" x14ac:dyDescent="0.35">
      <c r="A5621" s="3"/>
      <c r="B5621" s="2"/>
      <c r="C5621" s="2"/>
      <c r="D5621" s="2" t="b">
        <f>IF(AND(NOT(ISBLANK(Table1[[#This Row],[Fetal Sex (Male, Female or Unknown)]])),ISNUMBER(Table1[[#This Row],[Birthweight (grams)]]),ISNUMBER(Table1[[#This Row],[Gestation (days)]])),TRUE,FALSE)</f>
        <v>0</v>
      </c>
      <c r="E5621" s="2" t="str">
        <f>IF(Table1[[#This Row],[Is Data Valid]]=TRUE,IF(Table1[[#This Row],[Fetal Sex (Male, Female or Unknown)]]="Male",Backend!$C$6,IF(Table1[[#This Row],[Fetal Sex (Male, Female or Unknown)]]="Female",Backend!$C$7,IF(Table1[[#This Row],[Fetal Sex (Male, Female or Unknown)]]="Unknown",Backend!$C$8,"Error"))),"")</f>
        <v/>
      </c>
      <c r="F5621" s="8" t="str">
        <f>IF(Table1[[#This Row],[Is Data Valid]]=TRUE,EXP(0.578+0.332*((Table1[[#This Row],[Gestation (days)]]+0.5)/7)-0.00354*((Table1[[#This Row],[Gestation (days)]]+0.5)/7)^2)*Table1[[#This Row],[BW40_3705]],"")</f>
        <v/>
      </c>
      <c r="G5621" s="2" t="str">
        <f>IF(Table1[[#This Row],[Is Data Valid]]=TRUE,((Table1[[#This Row],[Birthweight (grams)]]/Table1[[#This Row],[BW_GA]])-1)/(Backend!$B$4/100*Table1[[#This Row],[BW40_3705]]),"")</f>
        <v/>
      </c>
      <c r="H5621" s="7" t="str">
        <f>IF(Table1[[#This Row],[Is Data Valid]]=TRUE,((Table1[[#This Row],[Birthweight (grams)]]*0.9/Table1[[#This Row],[BW_GA]])-1)/(Backend!$B$4/100*Table1[[#This Row],[BW40_3705]]),"")</f>
        <v/>
      </c>
      <c r="I5621" s="7" t="str">
        <f>IF(Table1[[#This Row],[Is Data Valid]]=TRUE,((Table1[[#This Row],[Birthweight (grams)]]*1.1/Table1[[#This Row],[BW_GA]])-1)/(Backend!$B$4/100*Table1[[#This Row],[BW40_3705]]),"")</f>
        <v/>
      </c>
      <c r="J5621" s="7" t="str">
        <f>IF(Table1[[#This Row],[Is Data Valid]]=TRUE,_xlfn.NORM.S.DIST(Table1[[#This Row],[Birthweight Z-Score]],TRUE)*100,"")</f>
        <v/>
      </c>
      <c r="K5621" s="7" t="str">
        <f>IF(Table1[[#This Row],[Is Data Valid]]=TRUE,_xlfn.NORM.S.DIST(Table1[[#This Row],[Birthweight Z-Score (BW-10%)]],TRUE)*100,"")</f>
        <v/>
      </c>
      <c r="L5621" s="7" t="str">
        <f>IF(Table1[[#This Row],[Is Data Valid]]=TRUE,_xlfn.NORM.S.DIST(Table1[[#This Row],[Birthweight Z-Score (BW+10%)]],TRUE)*100,"")</f>
        <v/>
      </c>
    </row>
    <row r="5622" spans="1:12" x14ac:dyDescent="0.35">
      <c r="A5622" s="3"/>
      <c r="B5622" s="2"/>
      <c r="C5622" s="2"/>
      <c r="D5622" s="2" t="b">
        <f>IF(AND(NOT(ISBLANK(Table1[[#This Row],[Fetal Sex (Male, Female or Unknown)]])),ISNUMBER(Table1[[#This Row],[Birthweight (grams)]]),ISNUMBER(Table1[[#This Row],[Gestation (days)]])),TRUE,FALSE)</f>
        <v>0</v>
      </c>
      <c r="E5622" s="2" t="str">
        <f>IF(Table1[[#This Row],[Is Data Valid]]=TRUE,IF(Table1[[#This Row],[Fetal Sex (Male, Female or Unknown)]]="Male",Backend!$C$6,IF(Table1[[#This Row],[Fetal Sex (Male, Female or Unknown)]]="Female",Backend!$C$7,IF(Table1[[#This Row],[Fetal Sex (Male, Female or Unknown)]]="Unknown",Backend!$C$8,"Error"))),"")</f>
        <v/>
      </c>
      <c r="F5622" s="8" t="str">
        <f>IF(Table1[[#This Row],[Is Data Valid]]=TRUE,EXP(0.578+0.332*((Table1[[#This Row],[Gestation (days)]]+0.5)/7)-0.00354*((Table1[[#This Row],[Gestation (days)]]+0.5)/7)^2)*Table1[[#This Row],[BW40_3705]],"")</f>
        <v/>
      </c>
      <c r="G5622" s="2" t="str">
        <f>IF(Table1[[#This Row],[Is Data Valid]]=TRUE,((Table1[[#This Row],[Birthweight (grams)]]/Table1[[#This Row],[BW_GA]])-1)/(Backend!$B$4/100*Table1[[#This Row],[BW40_3705]]),"")</f>
        <v/>
      </c>
      <c r="H5622" s="7" t="str">
        <f>IF(Table1[[#This Row],[Is Data Valid]]=TRUE,((Table1[[#This Row],[Birthweight (grams)]]*0.9/Table1[[#This Row],[BW_GA]])-1)/(Backend!$B$4/100*Table1[[#This Row],[BW40_3705]]),"")</f>
        <v/>
      </c>
      <c r="I5622" s="7" t="str">
        <f>IF(Table1[[#This Row],[Is Data Valid]]=TRUE,((Table1[[#This Row],[Birthweight (grams)]]*1.1/Table1[[#This Row],[BW_GA]])-1)/(Backend!$B$4/100*Table1[[#This Row],[BW40_3705]]),"")</f>
        <v/>
      </c>
      <c r="J5622" s="7" t="str">
        <f>IF(Table1[[#This Row],[Is Data Valid]]=TRUE,_xlfn.NORM.S.DIST(Table1[[#This Row],[Birthweight Z-Score]],TRUE)*100,"")</f>
        <v/>
      </c>
      <c r="K5622" s="7" t="str">
        <f>IF(Table1[[#This Row],[Is Data Valid]]=TRUE,_xlfn.NORM.S.DIST(Table1[[#This Row],[Birthweight Z-Score (BW-10%)]],TRUE)*100,"")</f>
        <v/>
      </c>
      <c r="L5622" s="7" t="str">
        <f>IF(Table1[[#This Row],[Is Data Valid]]=TRUE,_xlfn.NORM.S.DIST(Table1[[#This Row],[Birthweight Z-Score (BW+10%)]],TRUE)*100,"")</f>
        <v/>
      </c>
    </row>
    <row r="5623" spans="1:12" x14ac:dyDescent="0.35">
      <c r="A5623" s="3"/>
      <c r="B5623" s="2"/>
      <c r="C5623" s="2"/>
      <c r="D5623" s="2" t="b">
        <f>IF(AND(NOT(ISBLANK(Table1[[#This Row],[Fetal Sex (Male, Female or Unknown)]])),ISNUMBER(Table1[[#This Row],[Birthweight (grams)]]),ISNUMBER(Table1[[#This Row],[Gestation (days)]])),TRUE,FALSE)</f>
        <v>0</v>
      </c>
      <c r="E5623" s="2" t="str">
        <f>IF(Table1[[#This Row],[Is Data Valid]]=TRUE,IF(Table1[[#This Row],[Fetal Sex (Male, Female or Unknown)]]="Male",Backend!$C$6,IF(Table1[[#This Row],[Fetal Sex (Male, Female or Unknown)]]="Female",Backend!$C$7,IF(Table1[[#This Row],[Fetal Sex (Male, Female or Unknown)]]="Unknown",Backend!$C$8,"Error"))),"")</f>
        <v/>
      </c>
      <c r="F5623" s="8" t="str">
        <f>IF(Table1[[#This Row],[Is Data Valid]]=TRUE,EXP(0.578+0.332*((Table1[[#This Row],[Gestation (days)]]+0.5)/7)-0.00354*((Table1[[#This Row],[Gestation (days)]]+0.5)/7)^2)*Table1[[#This Row],[BW40_3705]],"")</f>
        <v/>
      </c>
      <c r="G5623" s="2" t="str">
        <f>IF(Table1[[#This Row],[Is Data Valid]]=TRUE,((Table1[[#This Row],[Birthweight (grams)]]/Table1[[#This Row],[BW_GA]])-1)/(Backend!$B$4/100*Table1[[#This Row],[BW40_3705]]),"")</f>
        <v/>
      </c>
      <c r="H5623" s="7" t="str">
        <f>IF(Table1[[#This Row],[Is Data Valid]]=TRUE,((Table1[[#This Row],[Birthweight (grams)]]*0.9/Table1[[#This Row],[BW_GA]])-1)/(Backend!$B$4/100*Table1[[#This Row],[BW40_3705]]),"")</f>
        <v/>
      </c>
      <c r="I5623" s="7" t="str">
        <f>IF(Table1[[#This Row],[Is Data Valid]]=TRUE,((Table1[[#This Row],[Birthweight (grams)]]*1.1/Table1[[#This Row],[BW_GA]])-1)/(Backend!$B$4/100*Table1[[#This Row],[BW40_3705]]),"")</f>
        <v/>
      </c>
      <c r="J5623" s="7" t="str">
        <f>IF(Table1[[#This Row],[Is Data Valid]]=TRUE,_xlfn.NORM.S.DIST(Table1[[#This Row],[Birthweight Z-Score]],TRUE)*100,"")</f>
        <v/>
      </c>
      <c r="K5623" s="7" t="str">
        <f>IF(Table1[[#This Row],[Is Data Valid]]=TRUE,_xlfn.NORM.S.DIST(Table1[[#This Row],[Birthweight Z-Score (BW-10%)]],TRUE)*100,"")</f>
        <v/>
      </c>
      <c r="L5623" s="7" t="str">
        <f>IF(Table1[[#This Row],[Is Data Valid]]=TRUE,_xlfn.NORM.S.DIST(Table1[[#This Row],[Birthweight Z-Score (BW+10%)]],TRUE)*100,"")</f>
        <v/>
      </c>
    </row>
    <row r="5624" spans="1:12" x14ac:dyDescent="0.35">
      <c r="A5624" s="3"/>
      <c r="B5624" s="2"/>
      <c r="C5624" s="2"/>
      <c r="D5624" s="2" t="b">
        <f>IF(AND(NOT(ISBLANK(Table1[[#This Row],[Fetal Sex (Male, Female or Unknown)]])),ISNUMBER(Table1[[#This Row],[Birthweight (grams)]]),ISNUMBER(Table1[[#This Row],[Gestation (days)]])),TRUE,FALSE)</f>
        <v>0</v>
      </c>
      <c r="E5624" s="2" t="str">
        <f>IF(Table1[[#This Row],[Is Data Valid]]=TRUE,IF(Table1[[#This Row],[Fetal Sex (Male, Female or Unknown)]]="Male",Backend!$C$6,IF(Table1[[#This Row],[Fetal Sex (Male, Female or Unknown)]]="Female",Backend!$C$7,IF(Table1[[#This Row],[Fetal Sex (Male, Female or Unknown)]]="Unknown",Backend!$C$8,"Error"))),"")</f>
        <v/>
      </c>
      <c r="F5624" s="8" t="str">
        <f>IF(Table1[[#This Row],[Is Data Valid]]=TRUE,EXP(0.578+0.332*((Table1[[#This Row],[Gestation (days)]]+0.5)/7)-0.00354*((Table1[[#This Row],[Gestation (days)]]+0.5)/7)^2)*Table1[[#This Row],[BW40_3705]],"")</f>
        <v/>
      </c>
      <c r="G5624" s="2" t="str">
        <f>IF(Table1[[#This Row],[Is Data Valid]]=TRUE,((Table1[[#This Row],[Birthweight (grams)]]/Table1[[#This Row],[BW_GA]])-1)/(Backend!$B$4/100*Table1[[#This Row],[BW40_3705]]),"")</f>
        <v/>
      </c>
      <c r="H5624" s="7" t="str">
        <f>IF(Table1[[#This Row],[Is Data Valid]]=TRUE,((Table1[[#This Row],[Birthweight (grams)]]*0.9/Table1[[#This Row],[BW_GA]])-1)/(Backend!$B$4/100*Table1[[#This Row],[BW40_3705]]),"")</f>
        <v/>
      </c>
      <c r="I5624" s="7" t="str">
        <f>IF(Table1[[#This Row],[Is Data Valid]]=TRUE,((Table1[[#This Row],[Birthweight (grams)]]*1.1/Table1[[#This Row],[BW_GA]])-1)/(Backend!$B$4/100*Table1[[#This Row],[BW40_3705]]),"")</f>
        <v/>
      </c>
      <c r="J5624" s="7" t="str">
        <f>IF(Table1[[#This Row],[Is Data Valid]]=TRUE,_xlfn.NORM.S.DIST(Table1[[#This Row],[Birthweight Z-Score]],TRUE)*100,"")</f>
        <v/>
      </c>
      <c r="K5624" s="7" t="str">
        <f>IF(Table1[[#This Row],[Is Data Valid]]=TRUE,_xlfn.NORM.S.DIST(Table1[[#This Row],[Birthweight Z-Score (BW-10%)]],TRUE)*100,"")</f>
        <v/>
      </c>
      <c r="L5624" s="7" t="str">
        <f>IF(Table1[[#This Row],[Is Data Valid]]=TRUE,_xlfn.NORM.S.DIST(Table1[[#This Row],[Birthweight Z-Score (BW+10%)]],TRUE)*100,"")</f>
        <v/>
      </c>
    </row>
    <row r="5625" spans="1:12" x14ac:dyDescent="0.35">
      <c r="A5625" s="3"/>
      <c r="B5625" s="2"/>
      <c r="C5625" s="2"/>
      <c r="D5625" s="2" t="b">
        <f>IF(AND(NOT(ISBLANK(Table1[[#This Row],[Fetal Sex (Male, Female or Unknown)]])),ISNUMBER(Table1[[#This Row],[Birthweight (grams)]]),ISNUMBER(Table1[[#This Row],[Gestation (days)]])),TRUE,FALSE)</f>
        <v>0</v>
      </c>
      <c r="E5625" s="2" t="str">
        <f>IF(Table1[[#This Row],[Is Data Valid]]=TRUE,IF(Table1[[#This Row],[Fetal Sex (Male, Female or Unknown)]]="Male",Backend!$C$6,IF(Table1[[#This Row],[Fetal Sex (Male, Female or Unknown)]]="Female",Backend!$C$7,IF(Table1[[#This Row],[Fetal Sex (Male, Female or Unknown)]]="Unknown",Backend!$C$8,"Error"))),"")</f>
        <v/>
      </c>
      <c r="F5625" s="8" t="str">
        <f>IF(Table1[[#This Row],[Is Data Valid]]=TRUE,EXP(0.578+0.332*((Table1[[#This Row],[Gestation (days)]]+0.5)/7)-0.00354*((Table1[[#This Row],[Gestation (days)]]+0.5)/7)^2)*Table1[[#This Row],[BW40_3705]],"")</f>
        <v/>
      </c>
      <c r="G5625" s="2" t="str">
        <f>IF(Table1[[#This Row],[Is Data Valid]]=TRUE,((Table1[[#This Row],[Birthweight (grams)]]/Table1[[#This Row],[BW_GA]])-1)/(Backend!$B$4/100*Table1[[#This Row],[BW40_3705]]),"")</f>
        <v/>
      </c>
      <c r="H5625" s="7" t="str">
        <f>IF(Table1[[#This Row],[Is Data Valid]]=TRUE,((Table1[[#This Row],[Birthweight (grams)]]*0.9/Table1[[#This Row],[BW_GA]])-1)/(Backend!$B$4/100*Table1[[#This Row],[BW40_3705]]),"")</f>
        <v/>
      </c>
      <c r="I5625" s="7" t="str">
        <f>IF(Table1[[#This Row],[Is Data Valid]]=TRUE,((Table1[[#This Row],[Birthweight (grams)]]*1.1/Table1[[#This Row],[BW_GA]])-1)/(Backend!$B$4/100*Table1[[#This Row],[BW40_3705]]),"")</f>
        <v/>
      </c>
      <c r="J5625" s="7" t="str">
        <f>IF(Table1[[#This Row],[Is Data Valid]]=TRUE,_xlfn.NORM.S.DIST(Table1[[#This Row],[Birthweight Z-Score]],TRUE)*100,"")</f>
        <v/>
      </c>
      <c r="K5625" s="7" t="str">
        <f>IF(Table1[[#This Row],[Is Data Valid]]=TRUE,_xlfn.NORM.S.DIST(Table1[[#This Row],[Birthweight Z-Score (BW-10%)]],TRUE)*100,"")</f>
        <v/>
      </c>
      <c r="L5625" s="7" t="str">
        <f>IF(Table1[[#This Row],[Is Data Valid]]=TRUE,_xlfn.NORM.S.DIST(Table1[[#This Row],[Birthweight Z-Score (BW+10%)]],TRUE)*100,"")</f>
        <v/>
      </c>
    </row>
    <row r="5626" spans="1:12" x14ac:dyDescent="0.35">
      <c r="A5626" s="3"/>
      <c r="B5626" s="2"/>
      <c r="C5626" s="2"/>
      <c r="D5626" s="2" t="b">
        <f>IF(AND(NOT(ISBLANK(Table1[[#This Row],[Fetal Sex (Male, Female or Unknown)]])),ISNUMBER(Table1[[#This Row],[Birthweight (grams)]]),ISNUMBER(Table1[[#This Row],[Gestation (days)]])),TRUE,FALSE)</f>
        <v>0</v>
      </c>
      <c r="E5626" s="2" t="str">
        <f>IF(Table1[[#This Row],[Is Data Valid]]=TRUE,IF(Table1[[#This Row],[Fetal Sex (Male, Female or Unknown)]]="Male",Backend!$C$6,IF(Table1[[#This Row],[Fetal Sex (Male, Female or Unknown)]]="Female",Backend!$C$7,IF(Table1[[#This Row],[Fetal Sex (Male, Female or Unknown)]]="Unknown",Backend!$C$8,"Error"))),"")</f>
        <v/>
      </c>
      <c r="F5626" s="8" t="str">
        <f>IF(Table1[[#This Row],[Is Data Valid]]=TRUE,EXP(0.578+0.332*((Table1[[#This Row],[Gestation (days)]]+0.5)/7)-0.00354*((Table1[[#This Row],[Gestation (days)]]+0.5)/7)^2)*Table1[[#This Row],[BW40_3705]],"")</f>
        <v/>
      </c>
      <c r="G5626" s="2" t="str">
        <f>IF(Table1[[#This Row],[Is Data Valid]]=TRUE,((Table1[[#This Row],[Birthweight (grams)]]/Table1[[#This Row],[BW_GA]])-1)/(Backend!$B$4/100*Table1[[#This Row],[BW40_3705]]),"")</f>
        <v/>
      </c>
      <c r="H5626" s="7" t="str">
        <f>IF(Table1[[#This Row],[Is Data Valid]]=TRUE,((Table1[[#This Row],[Birthweight (grams)]]*0.9/Table1[[#This Row],[BW_GA]])-1)/(Backend!$B$4/100*Table1[[#This Row],[BW40_3705]]),"")</f>
        <v/>
      </c>
      <c r="I5626" s="7" t="str">
        <f>IF(Table1[[#This Row],[Is Data Valid]]=TRUE,((Table1[[#This Row],[Birthweight (grams)]]*1.1/Table1[[#This Row],[BW_GA]])-1)/(Backend!$B$4/100*Table1[[#This Row],[BW40_3705]]),"")</f>
        <v/>
      </c>
      <c r="J5626" s="7" t="str">
        <f>IF(Table1[[#This Row],[Is Data Valid]]=TRUE,_xlfn.NORM.S.DIST(Table1[[#This Row],[Birthweight Z-Score]],TRUE)*100,"")</f>
        <v/>
      </c>
      <c r="K5626" s="7" t="str">
        <f>IF(Table1[[#This Row],[Is Data Valid]]=TRUE,_xlfn.NORM.S.DIST(Table1[[#This Row],[Birthweight Z-Score (BW-10%)]],TRUE)*100,"")</f>
        <v/>
      </c>
      <c r="L5626" s="7" t="str">
        <f>IF(Table1[[#This Row],[Is Data Valid]]=TRUE,_xlfn.NORM.S.DIST(Table1[[#This Row],[Birthweight Z-Score (BW+10%)]],TRUE)*100,"")</f>
        <v/>
      </c>
    </row>
    <row r="5627" spans="1:12" x14ac:dyDescent="0.35">
      <c r="A5627" s="3"/>
      <c r="B5627" s="2"/>
      <c r="C5627" s="2"/>
      <c r="D5627" s="2" t="b">
        <f>IF(AND(NOT(ISBLANK(Table1[[#This Row],[Fetal Sex (Male, Female or Unknown)]])),ISNUMBER(Table1[[#This Row],[Birthweight (grams)]]),ISNUMBER(Table1[[#This Row],[Gestation (days)]])),TRUE,FALSE)</f>
        <v>0</v>
      </c>
      <c r="E5627" s="2" t="str">
        <f>IF(Table1[[#This Row],[Is Data Valid]]=TRUE,IF(Table1[[#This Row],[Fetal Sex (Male, Female or Unknown)]]="Male",Backend!$C$6,IF(Table1[[#This Row],[Fetal Sex (Male, Female or Unknown)]]="Female",Backend!$C$7,IF(Table1[[#This Row],[Fetal Sex (Male, Female or Unknown)]]="Unknown",Backend!$C$8,"Error"))),"")</f>
        <v/>
      </c>
      <c r="F5627" s="8" t="str">
        <f>IF(Table1[[#This Row],[Is Data Valid]]=TRUE,EXP(0.578+0.332*((Table1[[#This Row],[Gestation (days)]]+0.5)/7)-0.00354*((Table1[[#This Row],[Gestation (days)]]+0.5)/7)^2)*Table1[[#This Row],[BW40_3705]],"")</f>
        <v/>
      </c>
      <c r="G5627" s="2" t="str">
        <f>IF(Table1[[#This Row],[Is Data Valid]]=TRUE,((Table1[[#This Row],[Birthweight (grams)]]/Table1[[#This Row],[BW_GA]])-1)/(Backend!$B$4/100*Table1[[#This Row],[BW40_3705]]),"")</f>
        <v/>
      </c>
      <c r="H5627" s="7" t="str">
        <f>IF(Table1[[#This Row],[Is Data Valid]]=TRUE,((Table1[[#This Row],[Birthweight (grams)]]*0.9/Table1[[#This Row],[BW_GA]])-1)/(Backend!$B$4/100*Table1[[#This Row],[BW40_3705]]),"")</f>
        <v/>
      </c>
      <c r="I5627" s="7" t="str">
        <f>IF(Table1[[#This Row],[Is Data Valid]]=TRUE,((Table1[[#This Row],[Birthweight (grams)]]*1.1/Table1[[#This Row],[BW_GA]])-1)/(Backend!$B$4/100*Table1[[#This Row],[BW40_3705]]),"")</f>
        <v/>
      </c>
      <c r="J5627" s="7" t="str">
        <f>IF(Table1[[#This Row],[Is Data Valid]]=TRUE,_xlfn.NORM.S.DIST(Table1[[#This Row],[Birthweight Z-Score]],TRUE)*100,"")</f>
        <v/>
      </c>
      <c r="K5627" s="7" t="str">
        <f>IF(Table1[[#This Row],[Is Data Valid]]=TRUE,_xlfn.NORM.S.DIST(Table1[[#This Row],[Birthweight Z-Score (BW-10%)]],TRUE)*100,"")</f>
        <v/>
      </c>
      <c r="L5627" s="7" t="str">
        <f>IF(Table1[[#This Row],[Is Data Valid]]=TRUE,_xlfn.NORM.S.DIST(Table1[[#This Row],[Birthweight Z-Score (BW+10%)]],TRUE)*100,"")</f>
        <v/>
      </c>
    </row>
    <row r="5628" spans="1:12" x14ac:dyDescent="0.35">
      <c r="A5628" s="3"/>
      <c r="B5628" s="2"/>
      <c r="C5628" s="2"/>
      <c r="D5628" s="2" t="b">
        <f>IF(AND(NOT(ISBLANK(Table1[[#This Row],[Fetal Sex (Male, Female or Unknown)]])),ISNUMBER(Table1[[#This Row],[Birthweight (grams)]]),ISNUMBER(Table1[[#This Row],[Gestation (days)]])),TRUE,FALSE)</f>
        <v>0</v>
      </c>
      <c r="E5628" s="2" t="str">
        <f>IF(Table1[[#This Row],[Is Data Valid]]=TRUE,IF(Table1[[#This Row],[Fetal Sex (Male, Female or Unknown)]]="Male",Backend!$C$6,IF(Table1[[#This Row],[Fetal Sex (Male, Female or Unknown)]]="Female",Backend!$C$7,IF(Table1[[#This Row],[Fetal Sex (Male, Female or Unknown)]]="Unknown",Backend!$C$8,"Error"))),"")</f>
        <v/>
      </c>
      <c r="F5628" s="8" t="str">
        <f>IF(Table1[[#This Row],[Is Data Valid]]=TRUE,EXP(0.578+0.332*((Table1[[#This Row],[Gestation (days)]]+0.5)/7)-0.00354*((Table1[[#This Row],[Gestation (days)]]+0.5)/7)^2)*Table1[[#This Row],[BW40_3705]],"")</f>
        <v/>
      </c>
      <c r="G5628" s="2" t="str">
        <f>IF(Table1[[#This Row],[Is Data Valid]]=TRUE,((Table1[[#This Row],[Birthweight (grams)]]/Table1[[#This Row],[BW_GA]])-1)/(Backend!$B$4/100*Table1[[#This Row],[BW40_3705]]),"")</f>
        <v/>
      </c>
      <c r="H5628" s="7" t="str">
        <f>IF(Table1[[#This Row],[Is Data Valid]]=TRUE,((Table1[[#This Row],[Birthweight (grams)]]*0.9/Table1[[#This Row],[BW_GA]])-1)/(Backend!$B$4/100*Table1[[#This Row],[BW40_3705]]),"")</f>
        <v/>
      </c>
      <c r="I5628" s="7" t="str">
        <f>IF(Table1[[#This Row],[Is Data Valid]]=TRUE,((Table1[[#This Row],[Birthweight (grams)]]*1.1/Table1[[#This Row],[BW_GA]])-1)/(Backend!$B$4/100*Table1[[#This Row],[BW40_3705]]),"")</f>
        <v/>
      </c>
      <c r="J5628" s="7" t="str">
        <f>IF(Table1[[#This Row],[Is Data Valid]]=TRUE,_xlfn.NORM.S.DIST(Table1[[#This Row],[Birthweight Z-Score]],TRUE)*100,"")</f>
        <v/>
      </c>
      <c r="K5628" s="7" t="str">
        <f>IF(Table1[[#This Row],[Is Data Valid]]=TRUE,_xlfn.NORM.S.DIST(Table1[[#This Row],[Birthweight Z-Score (BW-10%)]],TRUE)*100,"")</f>
        <v/>
      </c>
      <c r="L5628" s="7" t="str">
        <f>IF(Table1[[#This Row],[Is Data Valid]]=TRUE,_xlfn.NORM.S.DIST(Table1[[#This Row],[Birthweight Z-Score (BW+10%)]],TRUE)*100,"")</f>
        <v/>
      </c>
    </row>
    <row r="5629" spans="1:12" x14ac:dyDescent="0.35">
      <c r="A5629" s="3"/>
      <c r="B5629" s="2"/>
      <c r="C5629" s="2"/>
      <c r="D5629" s="2" t="b">
        <f>IF(AND(NOT(ISBLANK(Table1[[#This Row],[Fetal Sex (Male, Female or Unknown)]])),ISNUMBER(Table1[[#This Row],[Birthweight (grams)]]),ISNUMBER(Table1[[#This Row],[Gestation (days)]])),TRUE,FALSE)</f>
        <v>0</v>
      </c>
      <c r="E5629" s="2" t="str">
        <f>IF(Table1[[#This Row],[Is Data Valid]]=TRUE,IF(Table1[[#This Row],[Fetal Sex (Male, Female or Unknown)]]="Male",Backend!$C$6,IF(Table1[[#This Row],[Fetal Sex (Male, Female or Unknown)]]="Female",Backend!$C$7,IF(Table1[[#This Row],[Fetal Sex (Male, Female or Unknown)]]="Unknown",Backend!$C$8,"Error"))),"")</f>
        <v/>
      </c>
      <c r="F5629" s="8" t="str">
        <f>IF(Table1[[#This Row],[Is Data Valid]]=TRUE,EXP(0.578+0.332*((Table1[[#This Row],[Gestation (days)]]+0.5)/7)-0.00354*((Table1[[#This Row],[Gestation (days)]]+0.5)/7)^2)*Table1[[#This Row],[BW40_3705]],"")</f>
        <v/>
      </c>
      <c r="G5629" s="2" t="str">
        <f>IF(Table1[[#This Row],[Is Data Valid]]=TRUE,((Table1[[#This Row],[Birthweight (grams)]]/Table1[[#This Row],[BW_GA]])-1)/(Backend!$B$4/100*Table1[[#This Row],[BW40_3705]]),"")</f>
        <v/>
      </c>
      <c r="H5629" s="7" t="str">
        <f>IF(Table1[[#This Row],[Is Data Valid]]=TRUE,((Table1[[#This Row],[Birthweight (grams)]]*0.9/Table1[[#This Row],[BW_GA]])-1)/(Backend!$B$4/100*Table1[[#This Row],[BW40_3705]]),"")</f>
        <v/>
      </c>
      <c r="I5629" s="7" t="str">
        <f>IF(Table1[[#This Row],[Is Data Valid]]=TRUE,((Table1[[#This Row],[Birthweight (grams)]]*1.1/Table1[[#This Row],[BW_GA]])-1)/(Backend!$B$4/100*Table1[[#This Row],[BW40_3705]]),"")</f>
        <v/>
      </c>
      <c r="J5629" s="7" t="str">
        <f>IF(Table1[[#This Row],[Is Data Valid]]=TRUE,_xlfn.NORM.S.DIST(Table1[[#This Row],[Birthweight Z-Score]],TRUE)*100,"")</f>
        <v/>
      </c>
      <c r="K5629" s="7" t="str">
        <f>IF(Table1[[#This Row],[Is Data Valid]]=TRUE,_xlfn.NORM.S.DIST(Table1[[#This Row],[Birthweight Z-Score (BW-10%)]],TRUE)*100,"")</f>
        <v/>
      </c>
      <c r="L5629" s="7" t="str">
        <f>IF(Table1[[#This Row],[Is Data Valid]]=TRUE,_xlfn.NORM.S.DIST(Table1[[#This Row],[Birthweight Z-Score (BW+10%)]],TRUE)*100,"")</f>
        <v/>
      </c>
    </row>
    <row r="5630" spans="1:12" x14ac:dyDescent="0.35">
      <c r="A5630" s="3"/>
      <c r="B5630" s="2"/>
      <c r="C5630" s="2"/>
      <c r="D5630" s="2" t="b">
        <f>IF(AND(NOT(ISBLANK(Table1[[#This Row],[Fetal Sex (Male, Female or Unknown)]])),ISNUMBER(Table1[[#This Row],[Birthweight (grams)]]),ISNUMBER(Table1[[#This Row],[Gestation (days)]])),TRUE,FALSE)</f>
        <v>0</v>
      </c>
      <c r="E5630" s="2" t="str">
        <f>IF(Table1[[#This Row],[Is Data Valid]]=TRUE,IF(Table1[[#This Row],[Fetal Sex (Male, Female or Unknown)]]="Male",Backend!$C$6,IF(Table1[[#This Row],[Fetal Sex (Male, Female or Unknown)]]="Female",Backend!$C$7,IF(Table1[[#This Row],[Fetal Sex (Male, Female or Unknown)]]="Unknown",Backend!$C$8,"Error"))),"")</f>
        <v/>
      </c>
      <c r="F5630" s="8" t="str">
        <f>IF(Table1[[#This Row],[Is Data Valid]]=TRUE,EXP(0.578+0.332*((Table1[[#This Row],[Gestation (days)]]+0.5)/7)-0.00354*((Table1[[#This Row],[Gestation (days)]]+0.5)/7)^2)*Table1[[#This Row],[BW40_3705]],"")</f>
        <v/>
      </c>
      <c r="G5630" s="2" t="str">
        <f>IF(Table1[[#This Row],[Is Data Valid]]=TRUE,((Table1[[#This Row],[Birthweight (grams)]]/Table1[[#This Row],[BW_GA]])-1)/(Backend!$B$4/100*Table1[[#This Row],[BW40_3705]]),"")</f>
        <v/>
      </c>
      <c r="H5630" s="7" t="str">
        <f>IF(Table1[[#This Row],[Is Data Valid]]=TRUE,((Table1[[#This Row],[Birthweight (grams)]]*0.9/Table1[[#This Row],[BW_GA]])-1)/(Backend!$B$4/100*Table1[[#This Row],[BW40_3705]]),"")</f>
        <v/>
      </c>
      <c r="I5630" s="7" t="str">
        <f>IF(Table1[[#This Row],[Is Data Valid]]=TRUE,((Table1[[#This Row],[Birthweight (grams)]]*1.1/Table1[[#This Row],[BW_GA]])-1)/(Backend!$B$4/100*Table1[[#This Row],[BW40_3705]]),"")</f>
        <v/>
      </c>
      <c r="J5630" s="7" t="str">
        <f>IF(Table1[[#This Row],[Is Data Valid]]=TRUE,_xlfn.NORM.S.DIST(Table1[[#This Row],[Birthweight Z-Score]],TRUE)*100,"")</f>
        <v/>
      </c>
      <c r="K5630" s="7" t="str">
        <f>IF(Table1[[#This Row],[Is Data Valid]]=TRUE,_xlfn.NORM.S.DIST(Table1[[#This Row],[Birthweight Z-Score (BW-10%)]],TRUE)*100,"")</f>
        <v/>
      </c>
      <c r="L5630" s="7" t="str">
        <f>IF(Table1[[#This Row],[Is Data Valid]]=TRUE,_xlfn.NORM.S.DIST(Table1[[#This Row],[Birthweight Z-Score (BW+10%)]],TRUE)*100,"")</f>
        <v/>
      </c>
    </row>
    <row r="5631" spans="1:12" x14ac:dyDescent="0.35">
      <c r="A5631" s="3"/>
      <c r="B5631" s="2"/>
      <c r="C5631" s="2"/>
      <c r="D5631" s="2" t="b">
        <f>IF(AND(NOT(ISBLANK(Table1[[#This Row],[Fetal Sex (Male, Female or Unknown)]])),ISNUMBER(Table1[[#This Row],[Birthweight (grams)]]),ISNUMBER(Table1[[#This Row],[Gestation (days)]])),TRUE,FALSE)</f>
        <v>0</v>
      </c>
      <c r="E5631" s="2" t="str">
        <f>IF(Table1[[#This Row],[Is Data Valid]]=TRUE,IF(Table1[[#This Row],[Fetal Sex (Male, Female or Unknown)]]="Male",Backend!$C$6,IF(Table1[[#This Row],[Fetal Sex (Male, Female or Unknown)]]="Female",Backend!$C$7,IF(Table1[[#This Row],[Fetal Sex (Male, Female or Unknown)]]="Unknown",Backend!$C$8,"Error"))),"")</f>
        <v/>
      </c>
      <c r="F5631" s="8" t="str">
        <f>IF(Table1[[#This Row],[Is Data Valid]]=TRUE,EXP(0.578+0.332*((Table1[[#This Row],[Gestation (days)]]+0.5)/7)-0.00354*((Table1[[#This Row],[Gestation (days)]]+0.5)/7)^2)*Table1[[#This Row],[BW40_3705]],"")</f>
        <v/>
      </c>
      <c r="G5631" s="2" t="str">
        <f>IF(Table1[[#This Row],[Is Data Valid]]=TRUE,((Table1[[#This Row],[Birthweight (grams)]]/Table1[[#This Row],[BW_GA]])-1)/(Backend!$B$4/100*Table1[[#This Row],[BW40_3705]]),"")</f>
        <v/>
      </c>
      <c r="H5631" s="7" t="str">
        <f>IF(Table1[[#This Row],[Is Data Valid]]=TRUE,((Table1[[#This Row],[Birthweight (grams)]]*0.9/Table1[[#This Row],[BW_GA]])-1)/(Backend!$B$4/100*Table1[[#This Row],[BW40_3705]]),"")</f>
        <v/>
      </c>
      <c r="I5631" s="7" t="str">
        <f>IF(Table1[[#This Row],[Is Data Valid]]=TRUE,((Table1[[#This Row],[Birthweight (grams)]]*1.1/Table1[[#This Row],[BW_GA]])-1)/(Backend!$B$4/100*Table1[[#This Row],[BW40_3705]]),"")</f>
        <v/>
      </c>
      <c r="J5631" s="7" t="str">
        <f>IF(Table1[[#This Row],[Is Data Valid]]=TRUE,_xlfn.NORM.S.DIST(Table1[[#This Row],[Birthweight Z-Score]],TRUE)*100,"")</f>
        <v/>
      </c>
      <c r="K5631" s="7" t="str">
        <f>IF(Table1[[#This Row],[Is Data Valid]]=TRUE,_xlfn.NORM.S.DIST(Table1[[#This Row],[Birthweight Z-Score (BW-10%)]],TRUE)*100,"")</f>
        <v/>
      </c>
      <c r="L5631" s="7" t="str">
        <f>IF(Table1[[#This Row],[Is Data Valid]]=TRUE,_xlfn.NORM.S.DIST(Table1[[#This Row],[Birthweight Z-Score (BW+10%)]],TRUE)*100,"")</f>
        <v/>
      </c>
    </row>
    <row r="5632" spans="1:12" x14ac:dyDescent="0.35">
      <c r="A5632" s="3"/>
      <c r="B5632" s="2"/>
      <c r="C5632" s="2"/>
      <c r="D5632" s="2" t="b">
        <f>IF(AND(NOT(ISBLANK(Table1[[#This Row],[Fetal Sex (Male, Female or Unknown)]])),ISNUMBER(Table1[[#This Row],[Birthweight (grams)]]),ISNUMBER(Table1[[#This Row],[Gestation (days)]])),TRUE,FALSE)</f>
        <v>0</v>
      </c>
      <c r="E5632" s="2" t="str">
        <f>IF(Table1[[#This Row],[Is Data Valid]]=TRUE,IF(Table1[[#This Row],[Fetal Sex (Male, Female or Unknown)]]="Male",Backend!$C$6,IF(Table1[[#This Row],[Fetal Sex (Male, Female or Unknown)]]="Female",Backend!$C$7,IF(Table1[[#This Row],[Fetal Sex (Male, Female or Unknown)]]="Unknown",Backend!$C$8,"Error"))),"")</f>
        <v/>
      </c>
      <c r="F5632" s="8" t="str">
        <f>IF(Table1[[#This Row],[Is Data Valid]]=TRUE,EXP(0.578+0.332*((Table1[[#This Row],[Gestation (days)]]+0.5)/7)-0.00354*((Table1[[#This Row],[Gestation (days)]]+0.5)/7)^2)*Table1[[#This Row],[BW40_3705]],"")</f>
        <v/>
      </c>
      <c r="G5632" s="2" t="str">
        <f>IF(Table1[[#This Row],[Is Data Valid]]=TRUE,((Table1[[#This Row],[Birthweight (grams)]]/Table1[[#This Row],[BW_GA]])-1)/(Backend!$B$4/100*Table1[[#This Row],[BW40_3705]]),"")</f>
        <v/>
      </c>
      <c r="H5632" s="7" t="str">
        <f>IF(Table1[[#This Row],[Is Data Valid]]=TRUE,((Table1[[#This Row],[Birthweight (grams)]]*0.9/Table1[[#This Row],[BW_GA]])-1)/(Backend!$B$4/100*Table1[[#This Row],[BW40_3705]]),"")</f>
        <v/>
      </c>
      <c r="I5632" s="7" t="str">
        <f>IF(Table1[[#This Row],[Is Data Valid]]=TRUE,((Table1[[#This Row],[Birthweight (grams)]]*1.1/Table1[[#This Row],[BW_GA]])-1)/(Backend!$B$4/100*Table1[[#This Row],[BW40_3705]]),"")</f>
        <v/>
      </c>
      <c r="J5632" s="7" t="str">
        <f>IF(Table1[[#This Row],[Is Data Valid]]=TRUE,_xlfn.NORM.S.DIST(Table1[[#This Row],[Birthweight Z-Score]],TRUE)*100,"")</f>
        <v/>
      </c>
      <c r="K5632" s="7" t="str">
        <f>IF(Table1[[#This Row],[Is Data Valid]]=TRUE,_xlfn.NORM.S.DIST(Table1[[#This Row],[Birthweight Z-Score (BW-10%)]],TRUE)*100,"")</f>
        <v/>
      </c>
      <c r="L5632" s="7" t="str">
        <f>IF(Table1[[#This Row],[Is Data Valid]]=TRUE,_xlfn.NORM.S.DIST(Table1[[#This Row],[Birthweight Z-Score (BW+10%)]],TRUE)*100,"")</f>
        <v/>
      </c>
    </row>
    <row r="5633" spans="1:12" x14ac:dyDescent="0.35">
      <c r="A5633" s="3"/>
      <c r="B5633" s="2"/>
      <c r="C5633" s="2"/>
      <c r="D5633" s="2" t="b">
        <f>IF(AND(NOT(ISBLANK(Table1[[#This Row],[Fetal Sex (Male, Female or Unknown)]])),ISNUMBER(Table1[[#This Row],[Birthweight (grams)]]),ISNUMBER(Table1[[#This Row],[Gestation (days)]])),TRUE,FALSE)</f>
        <v>0</v>
      </c>
      <c r="E5633" s="2" t="str">
        <f>IF(Table1[[#This Row],[Is Data Valid]]=TRUE,IF(Table1[[#This Row],[Fetal Sex (Male, Female or Unknown)]]="Male",Backend!$C$6,IF(Table1[[#This Row],[Fetal Sex (Male, Female or Unknown)]]="Female",Backend!$C$7,IF(Table1[[#This Row],[Fetal Sex (Male, Female or Unknown)]]="Unknown",Backend!$C$8,"Error"))),"")</f>
        <v/>
      </c>
      <c r="F5633" s="8" t="str">
        <f>IF(Table1[[#This Row],[Is Data Valid]]=TRUE,EXP(0.578+0.332*((Table1[[#This Row],[Gestation (days)]]+0.5)/7)-0.00354*((Table1[[#This Row],[Gestation (days)]]+0.5)/7)^2)*Table1[[#This Row],[BW40_3705]],"")</f>
        <v/>
      </c>
      <c r="G5633" s="2" t="str">
        <f>IF(Table1[[#This Row],[Is Data Valid]]=TRUE,((Table1[[#This Row],[Birthweight (grams)]]/Table1[[#This Row],[BW_GA]])-1)/(Backend!$B$4/100*Table1[[#This Row],[BW40_3705]]),"")</f>
        <v/>
      </c>
      <c r="H5633" s="7" t="str">
        <f>IF(Table1[[#This Row],[Is Data Valid]]=TRUE,((Table1[[#This Row],[Birthweight (grams)]]*0.9/Table1[[#This Row],[BW_GA]])-1)/(Backend!$B$4/100*Table1[[#This Row],[BW40_3705]]),"")</f>
        <v/>
      </c>
      <c r="I5633" s="7" t="str">
        <f>IF(Table1[[#This Row],[Is Data Valid]]=TRUE,((Table1[[#This Row],[Birthweight (grams)]]*1.1/Table1[[#This Row],[BW_GA]])-1)/(Backend!$B$4/100*Table1[[#This Row],[BW40_3705]]),"")</f>
        <v/>
      </c>
      <c r="J5633" s="7" t="str">
        <f>IF(Table1[[#This Row],[Is Data Valid]]=TRUE,_xlfn.NORM.S.DIST(Table1[[#This Row],[Birthweight Z-Score]],TRUE)*100,"")</f>
        <v/>
      </c>
      <c r="K5633" s="7" t="str">
        <f>IF(Table1[[#This Row],[Is Data Valid]]=TRUE,_xlfn.NORM.S.DIST(Table1[[#This Row],[Birthweight Z-Score (BW-10%)]],TRUE)*100,"")</f>
        <v/>
      </c>
      <c r="L5633" s="7" t="str">
        <f>IF(Table1[[#This Row],[Is Data Valid]]=TRUE,_xlfn.NORM.S.DIST(Table1[[#This Row],[Birthweight Z-Score (BW+10%)]],TRUE)*100,"")</f>
        <v/>
      </c>
    </row>
    <row r="5634" spans="1:12" x14ac:dyDescent="0.35">
      <c r="A5634" s="3"/>
      <c r="B5634" s="2"/>
      <c r="C5634" s="2"/>
      <c r="D5634" s="2" t="b">
        <f>IF(AND(NOT(ISBLANK(Table1[[#This Row],[Fetal Sex (Male, Female or Unknown)]])),ISNUMBER(Table1[[#This Row],[Birthweight (grams)]]),ISNUMBER(Table1[[#This Row],[Gestation (days)]])),TRUE,FALSE)</f>
        <v>0</v>
      </c>
      <c r="E5634" s="2" t="str">
        <f>IF(Table1[[#This Row],[Is Data Valid]]=TRUE,IF(Table1[[#This Row],[Fetal Sex (Male, Female or Unknown)]]="Male",Backend!$C$6,IF(Table1[[#This Row],[Fetal Sex (Male, Female or Unknown)]]="Female",Backend!$C$7,IF(Table1[[#This Row],[Fetal Sex (Male, Female or Unknown)]]="Unknown",Backend!$C$8,"Error"))),"")</f>
        <v/>
      </c>
      <c r="F5634" s="8" t="str">
        <f>IF(Table1[[#This Row],[Is Data Valid]]=TRUE,EXP(0.578+0.332*((Table1[[#This Row],[Gestation (days)]]+0.5)/7)-0.00354*((Table1[[#This Row],[Gestation (days)]]+0.5)/7)^2)*Table1[[#This Row],[BW40_3705]],"")</f>
        <v/>
      </c>
      <c r="G5634" s="2" t="str">
        <f>IF(Table1[[#This Row],[Is Data Valid]]=TRUE,((Table1[[#This Row],[Birthweight (grams)]]/Table1[[#This Row],[BW_GA]])-1)/(Backend!$B$4/100*Table1[[#This Row],[BW40_3705]]),"")</f>
        <v/>
      </c>
      <c r="H5634" s="7" t="str">
        <f>IF(Table1[[#This Row],[Is Data Valid]]=TRUE,((Table1[[#This Row],[Birthweight (grams)]]*0.9/Table1[[#This Row],[BW_GA]])-1)/(Backend!$B$4/100*Table1[[#This Row],[BW40_3705]]),"")</f>
        <v/>
      </c>
      <c r="I5634" s="7" t="str">
        <f>IF(Table1[[#This Row],[Is Data Valid]]=TRUE,((Table1[[#This Row],[Birthweight (grams)]]*1.1/Table1[[#This Row],[BW_GA]])-1)/(Backend!$B$4/100*Table1[[#This Row],[BW40_3705]]),"")</f>
        <v/>
      </c>
      <c r="J5634" s="7" t="str">
        <f>IF(Table1[[#This Row],[Is Data Valid]]=TRUE,_xlfn.NORM.S.DIST(Table1[[#This Row],[Birthweight Z-Score]],TRUE)*100,"")</f>
        <v/>
      </c>
      <c r="K5634" s="7" t="str">
        <f>IF(Table1[[#This Row],[Is Data Valid]]=TRUE,_xlfn.NORM.S.DIST(Table1[[#This Row],[Birthweight Z-Score (BW-10%)]],TRUE)*100,"")</f>
        <v/>
      </c>
      <c r="L5634" s="7" t="str">
        <f>IF(Table1[[#This Row],[Is Data Valid]]=TRUE,_xlfn.NORM.S.DIST(Table1[[#This Row],[Birthweight Z-Score (BW+10%)]],TRUE)*100,"")</f>
        <v/>
      </c>
    </row>
    <row r="5635" spans="1:12" x14ac:dyDescent="0.35">
      <c r="A5635" s="3"/>
      <c r="B5635" s="2"/>
      <c r="C5635" s="2"/>
      <c r="D5635" s="2" t="b">
        <f>IF(AND(NOT(ISBLANK(Table1[[#This Row],[Fetal Sex (Male, Female or Unknown)]])),ISNUMBER(Table1[[#This Row],[Birthweight (grams)]]),ISNUMBER(Table1[[#This Row],[Gestation (days)]])),TRUE,FALSE)</f>
        <v>0</v>
      </c>
      <c r="E5635" s="2" t="str">
        <f>IF(Table1[[#This Row],[Is Data Valid]]=TRUE,IF(Table1[[#This Row],[Fetal Sex (Male, Female or Unknown)]]="Male",Backend!$C$6,IF(Table1[[#This Row],[Fetal Sex (Male, Female or Unknown)]]="Female",Backend!$C$7,IF(Table1[[#This Row],[Fetal Sex (Male, Female or Unknown)]]="Unknown",Backend!$C$8,"Error"))),"")</f>
        <v/>
      </c>
      <c r="F5635" s="8" t="str">
        <f>IF(Table1[[#This Row],[Is Data Valid]]=TRUE,EXP(0.578+0.332*((Table1[[#This Row],[Gestation (days)]]+0.5)/7)-0.00354*((Table1[[#This Row],[Gestation (days)]]+0.5)/7)^2)*Table1[[#This Row],[BW40_3705]],"")</f>
        <v/>
      </c>
      <c r="G5635" s="2" t="str">
        <f>IF(Table1[[#This Row],[Is Data Valid]]=TRUE,((Table1[[#This Row],[Birthweight (grams)]]/Table1[[#This Row],[BW_GA]])-1)/(Backend!$B$4/100*Table1[[#This Row],[BW40_3705]]),"")</f>
        <v/>
      </c>
      <c r="H5635" s="7" t="str">
        <f>IF(Table1[[#This Row],[Is Data Valid]]=TRUE,((Table1[[#This Row],[Birthweight (grams)]]*0.9/Table1[[#This Row],[BW_GA]])-1)/(Backend!$B$4/100*Table1[[#This Row],[BW40_3705]]),"")</f>
        <v/>
      </c>
      <c r="I5635" s="7" t="str">
        <f>IF(Table1[[#This Row],[Is Data Valid]]=TRUE,((Table1[[#This Row],[Birthweight (grams)]]*1.1/Table1[[#This Row],[BW_GA]])-1)/(Backend!$B$4/100*Table1[[#This Row],[BW40_3705]]),"")</f>
        <v/>
      </c>
      <c r="J5635" s="7" t="str">
        <f>IF(Table1[[#This Row],[Is Data Valid]]=TRUE,_xlfn.NORM.S.DIST(Table1[[#This Row],[Birthweight Z-Score]],TRUE)*100,"")</f>
        <v/>
      </c>
      <c r="K5635" s="7" t="str">
        <f>IF(Table1[[#This Row],[Is Data Valid]]=TRUE,_xlfn.NORM.S.DIST(Table1[[#This Row],[Birthweight Z-Score (BW-10%)]],TRUE)*100,"")</f>
        <v/>
      </c>
      <c r="L5635" s="7" t="str">
        <f>IF(Table1[[#This Row],[Is Data Valid]]=TRUE,_xlfn.NORM.S.DIST(Table1[[#This Row],[Birthweight Z-Score (BW+10%)]],TRUE)*100,"")</f>
        <v/>
      </c>
    </row>
    <row r="5636" spans="1:12" x14ac:dyDescent="0.35">
      <c r="A5636" s="3"/>
      <c r="B5636" s="2"/>
      <c r="C5636" s="2"/>
      <c r="D5636" s="2" t="b">
        <f>IF(AND(NOT(ISBLANK(Table1[[#This Row],[Fetal Sex (Male, Female or Unknown)]])),ISNUMBER(Table1[[#This Row],[Birthweight (grams)]]),ISNUMBER(Table1[[#This Row],[Gestation (days)]])),TRUE,FALSE)</f>
        <v>0</v>
      </c>
      <c r="E5636" s="2" t="str">
        <f>IF(Table1[[#This Row],[Is Data Valid]]=TRUE,IF(Table1[[#This Row],[Fetal Sex (Male, Female or Unknown)]]="Male",Backend!$C$6,IF(Table1[[#This Row],[Fetal Sex (Male, Female or Unknown)]]="Female",Backend!$C$7,IF(Table1[[#This Row],[Fetal Sex (Male, Female or Unknown)]]="Unknown",Backend!$C$8,"Error"))),"")</f>
        <v/>
      </c>
      <c r="F5636" s="8" t="str">
        <f>IF(Table1[[#This Row],[Is Data Valid]]=TRUE,EXP(0.578+0.332*((Table1[[#This Row],[Gestation (days)]]+0.5)/7)-0.00354*((Table1[[#This Row],[Gestation (days)]]+0.5)/7)^2)*Table1[[#This Row],[BW40_3705]],"")</f>
        <v/>
      </c>
      <c r="G5636" s="2" t="str">
        <f>IF(Table1[[#This Row],[Is Data Valid]]=TRUE,((Table1[[#This Row],[Birthweight (grams)]]/Table1[[#This Row],[BW_GA]])-1)/(Backend!$B$4/100*Table1[[#This Row],[BW40_3705]]),"")</f>
        <v/>
      </c>
      <c r="H5636" s="7" t="str">
        <f>IF(Table1[[#This Row],[Is Data Valid]]=TRUE,((Table1[[#This Row],[Birthweight (grams)]]*0.9/Table1[[#This Row],[BW_GA]])-1)/(Backend!$B$4/100*Table1[[#This Row],[BW40_3705]]),"")</f>
        <v/>
      </c>
      <c r="I5636" s="7" t="str">
        <f>IF(Table1[[#This Row],[Is Data Valid]]=TRUE,((Table1[[#This Row],[Birthweight (grams)]]*1.1/Table1[[#This Row],[BW_GA]])-1)/(Backend!$B$4/100*Table1[[#This Row],[BW40_3705]]),"")</f>
        <v/>
      </c>
      <c r="J5636" s="7" t="str">
        <f>IF(Table1[[#This Row],[Is Data Valid]]=TRUE,_xlfn.NORM.S.DIST(Table1[[#This Row],[Birthweight Z-Score]],TRUE)*100,"")</f>
        <v/>
      </c>
      <c r="K5636" s="7" t="str">
        <f>IF(Table1[[#This Row],[Is Data Valid]]=TRUE,_xlfn.NORM.S.DIST(Table1[[#This Row],[Birthweight Z-Score (BW-10%)]],TRUE)*100,"")</f>
        <v/>
      </c>
      <c r="L5636" s="7" t="str">
        <f>IF(Table1[[#This Row],[Is Data Valid]]=TRUE,_xlfn.NORM.S.DIST(Table1[[#This Row],[Birthweight Z-Score (BW+10%)]],TRUE)*100,"")</f>
        <v/>
      </c>
    </row>
    <row r="5637" spans="1:12" x14ac:dyDescent="0.35">
      <c r="A5637" s="3"/>
      <c r="B5637" s="2"/>
      <c r="C5637" s="2"/>
      <c r="D5637" s="2" t="b">
        <f>IF(AND(NOT(ISBLANK(Table1[[#This Row],[Fetal Sex (Male, Female or Unknown)]])),ISNUMBER(Table1[[#This Row],[Birthweight (grams)]]),ISNUMBER(Table1[[#This Row],[Gestation (days)]])),TRUE,FALSE)</f>
        <v>0</v>
      </c>
      <c r="E5637" s="2" t="str">
        <f>IF(Table1[[#This Row],[Is Data Valid]]=TRUE,IF(Table1[[#This Row],[Fetal Sex (Male, Female or Unknown)]]="Male",Backend!$C$6,IF(Table1[[#This Row],[Fetal Sex (Male, Female or Unknown)]]="Female",Backend!$C$7,IF(Table1[[#This Row],[Fetal Sex (Male, Female or Unknown)]]="Unknown",Backend!$C$8,"Error"))),"")</f>
        <v/>
      </c>
      <c r="F5637" s="8" t="str">
        <f>IF(Table1[[#This Row],[Is Data Valid]]=TRUE,EXP(0.578+0.332*((Table1[[#This Row],[Gestation (days)]]+0.5)/7)-0.00354*((Table1[[#This Row],[Gestation (days)]]+0.5)/7)^2)*Table1[[#This Row],[BW40_3705]],"")</f>
        <v/>
      </c>
      <c r="G5637" s="2" t="str">
        <f>IF(Table1[[#This Row],[Is Data Valid]]=TRUE,((Table1[[#This Row],[Birthweight (grams)]]/Table1[[#This Row],[BW_GA]])-1)/(Backend!$B$4/100*Table1[[#This Row],[BW40_3705]]),"")</f>
        <v/>
      </c>
      <c r="H5637" s="7" t="str">
        <f>IF(Table1[[#This Row],[Is Data Valid]]=TRUE,((Table1[[#This Row],[Birthweight (grams)]]*0.9/Table1[[#This Row],[BW_GA]])-1)/(Backend!$B$4/100*Table1[[#This Row],[BW40_3705]]),"")</f>
        <v/>
      </c>
      <c r="I5637" s="7" t="str">
        <f>IF(Table1[[#This Row],[Is Data Valid]]=TRUE,((Table1[[#This Row],[Birthweight (grams)]]*1.1/Table1[[#This Row],[BW_GA]])-1)/(Backend!$B$4/100*Table1[[#This Row],[BW40_3705]]),"")</f>
        <v/>
      </c>
      <c r="J5637" s="7" t="str">
        <f>IF(Table1[[#This Row],[Is Data Valid]]=TRUE,_xlfn.NORM.S.DIST(Table1[[#This Row],[Birthweight Z-Score]],TRUE)*100,"")</f>
        <v/>
      </c>
      <c r="K5637" s="7" t="str">
        <f>IF(Table1[[#This Row],[Is Data Valid]]=TRUE,_xlfn.NORM.S.DIST(Table1[[#This Row],[Birthweight Z-Score (BW-10%)]],TRUE)*100,"")</f>
        <v/>
      </c>
      <c r="L5637" s="7" t="str">
        <f>IF(Table1[[#This Row],[Is Data Valid]]=TRUE,_xlfn.NORM.S.DIST(Table1[[#This Row],[Birthweight Z-Score (BW+10%)]],TRUE)*100,"")</f>
        <v/>
      </c>
    </row>
    <row r="5638" spans="1:12" x14ac:dyDescent="0.35">
      <c r="A5638" s="3"/>
      <c r="B5638" s="2"/>
      <c r="C5638" s="2"/>
      <c r="D5638" s="2" t="b">
        <f>IF(AND(NOT(ISBLANK(Table1[[#This Row],[Fetal Sex (Male, Female or Unknown)]])),ISNUMBER(Table1[[#This Row],[Birthweight (grams)]]),ISNUMBER(Table1[[#This Row],[Gestation (days)]])),TRUE,FALSE)</f>
        <v>0</v>
      </c>
      <c r="E5638" s="2" t="str">
        <f>IF(Table1[[#This Row],[Is Data Valid]]=TRUE,IF(Table1[[#This Row],[Fetal Sex (Male, Female or Unknown)]]="Male",Backend!$C$6,IF(Table1[[#This Row],[Fetal Sex (Male, Female or Unknown)]]="Female",Backend!$C$7,IF(Table1[[#This Row],[Fetal Sex (Male, Female or Unknown)]]="Unknown",Backend!$C$8,"Error"))),"")</f>
        <v/>
      </c>
      <c r="F5638" s="8" t="str">
        <f>IF(Table1[[#This Row],[Is Data Valid]]=TRUE,EXP(0.578+0.332*((Table1[[#This Row],[Gestation (days)]]+0.5)/7)-0.00354*((Table1[[#This Row],[Gestation (days)]]+0.5)/7)^2)*Table1[[#This Row],[BW40_3705]],"")</f>
        <v/>
      </c>
      <c r="G5638" s="2" t="str">
        <f>IF(Table1[[#This Row],[Is Data Valid]]=TRUE,((Table1[[#This Row],[Birthweight (grams)]]/Table1[[#This Row],[BW_GA]])-1)/(Backend!$B$4/100*Table1[[#This Row],[BW40_3705]]),"")</f>
        <v/>
      </c>
      <c r="H5638" s="7" t="str">
        <f>IF(Table1[[#This Row],[Is Data Valid]]=TRUE,((Table1[[#This Row],[Birthweight (grams)]]*0.9/Table1[[#This Row],[BW_GA]])-1)/(Backend!$B$4/100*Table1[[#This Row],[BW40_3705]]),"")</f>
        <v/>
      </c>
      <c r="I5638" s="7" t="str">
        <f>IF(Table1[[#This Row],[Is Data Valid]]=TRUE,((Table1[[#This Row],[Birthweight (grams)]]*1.1/Table1[[#This Row],[BW_GA]])-1)/(Backend!$B$4/100*Table1[[#This Row],[BW40_3705]]),"")</f>
        <v/>
      </c>
      <c r="J5638" s="7" t="str">
        <f>IF(Table1[[#This Row],[Is Data Valid]]=TRUE,_xlfn.NORM.S.DIST(Table1[[#This Row],[Birthweight Z-Score]],TRUE)*100,"")</f>
        <v/>
      </c>
      <c r="K5638" s="7" t="str">
        <f>IF(Table1[[#This Row],[Is Data Valid]]=TRUE,_xlfn.NORM.S.DIST(Table1[[#This Row],[Birthweight Z-Score (BW-10%)]],TRUE)*100,"")</f>
        <v/>
      </c>
      <c r="L5638" s="7" t="str">
        <f>IF(Table1[[#This Row],[Is Data Valid]]=TRUE,_xlfn.NORM.S.DIST(Table1[[#This Row],[Birthweight Z-Score (BW+10%)]],TRUE)*100,"")</f>
        <v/>
      </c>
    </row>
    <row r="5639" spans="1:12" x14ac:dyDescent="0.35">
      <c r="A5639" s="3"/>
      <c r="B5639" s="2"/>
      <c r="C5639" s="2"/>
      <c r="D5639" s="2" t="b">
        <f>IF(AND(NOT(ISBLANK(Table1[[#This Row],[Fetal Sex (Male, Female or Unknown)]])),ISNUMBER(Table1[[#This Row],[Birthweight (grams)]]),ISNUMBER(Table1[[#This Row],[Gestation (days)]])),TRUE,FALSE)</f>
        <v>0</v>
      </c>
      <c r="E5639" s="2" t="str">
        <f>IF(Table1[[#This Row],[Is Data Valid]]=TRUE,IF(Table1[[#This Row],[Fetal Sex (Male, Female or Unknown)]]="Male",Backend!$C$6,IF(Table1[[#This Row],[Fetal Sex (Male, Female or Unknown)]]="Female",Backend!$C$7,IF(Table1[[#This Row],[Fetal Sex (Male, Female or Unknown)]]="Unknown",Backend!$C$8,"Error"))),"")</f>
        <v/>
      </c>
      <c r="F5639" s="8" t="str">
        <f>IF(Table1[[#This Row],[Is Data Valid]]=TRUE,EXP(0.578+0.332*((Table1[[#This Row],[Gestation (days)]]+0.5)/7)-0.00354*((Table1[[#This Row],[Gestation (days)]]+0.5)/7)^2)*Table1[[#This Row],[BW40_3705]],"")</f>
        <v/>
      </c>
      <c r="G5639" s="2" t="str">
        <f>IF(Table1[[#This Row],[Is Data Valid]]=TRUE,((Table1[[#This Row],[Birthweight (grams)]]/Table1[[#This Row],[BW_GA]])-1)/(Backend!$B$4/100*Table1[[#This Row],[BW40_3705]]),"")</f>
        <v/>
      </c>
      <c r="H5639" s="7" t="str">
        <f>IF(Table1[[#This Row],[Is Data Valid]]=TRUE,((Table1[[#This Row],[Birthweight (grams)]]*0.9/Table1[[#This Row],[BW_GA]])-1)/(Backend!$B$4/100*Table1[[#This Row],[BW40_3705]]),"")</f>
        <v/>
      </c>
      <c r="I5639" s="7" t="str">
        <f>IF(Table1[[#This Row],[Is Data Valid]]=TRUE,((Table1[[#This Row],[Birthweight (grams)]]*1.1/Table1[[#This Row],[BW_GA]])-1)/(Backend!$B$4/100*Table1[[#This Row],[BW40_3705]]),"")</f>
        <v/>
      </c>
      <c r="J5639" s="7" t="str">
        <f>IF(Table1[[#This Row],[Is Data Valid]]=TRUE,_xlfn.NORM.S.DIST(Table1[[#This Row],[Birthweight Z-Score]],TRUE)*100,"")</f>
        <v/>
      </c>
      <c r="K5639" s="7" t="str">
        <f>IF(Table1[[#This Row],[Is Data Valid]]=TRUE,_xlfn.NORM.S.DIST(Table1[[#This Row],[Birthweight Z-Score (BW-10%)]],TRUE)*100,"")</f>
        <v/>
      </c>
      <c r="L5639" s="7" t="str">
        <f>IF(Table1[[#This Row],[Is Data Valid]]=TRUE,_xlfn.NORM.S.DIST(Table1[[#This Row],[Birthweight Z-Score (BW+10%)]],TRUE)*100,"")</f>
        <v/>
      </c>
    </row>
    <row r="5640" spans="1:12" x14ac:dyDescent="0.35">
      <c r="A5640" s="3"/>
      <c r="B5640" s="2"/>
      <c r="C5640" s="2"/>
      <c r="D5640" s="2" t="b">
        <f>IF(AND(NOT(ISBLANK(Table1[[#This Row],[Fetal Sex (Male, Female or Unknown)]])),ISNUMBER(Table1[[#This Row],[Birthweight (grams)]]),ISNUMBER(Table1[[#This Row],[Gestation (days)]])),TRUE,FALSE)</f>
        <v>0</v>
      </c>
      <c r="E5640" s="2" t="str">
        <f>IF(Table1[[#This Row],[Is Data Valid]]=TRUE,IF(Table1[[#This Row],[Fetal Sex (Male, Female or Unknown)]]="Male",Backend!$C$6,IF(Table1[[#This Row],[Fetal Sex (Male, Female or Unknown)]]="Female",Backend!$C$7,IF(Table1[[#This Row],[Fetal Sex (Male, Female or Unknown)]]="Unknown",Backend!$C$8,"Error"))),"")</f>
        <v/>
      </c>
      <c r="F5640" s="8" t="str">
        <f>IF(Table1[[#This Row],[Is Data Valid]]=TRUE,EXP(0.578+0.332*((Table1[[#This Row],[Gestation (days)]]+0.5)/7)-0.00354*((Table1[[#This Row],[Gestation (days)]]+0.5)/7)^2)*Table1[[#This Row],[BW40_3705]],"")</f>
        <v/>
      </c>
      <c r="G5640" s="2" t="str">
        <f>IF(Table1[[#This Row],[Is Data Valid]]=TRUE,((Table1[[#This Row],[Birthweight (grams)]]/Table1[[#This Row],[BW_GA]])-1)/(Backend!$B$4/100*Table1[[#This Row],[BW40_3705]]),"")</f>
        <v/>
      </c>
      <c r="H5640" s="7" t="str">
        <f>IF(Table1[[#This Row],[Is Data Valid]]=TRUE,((Table1[[#This Row],[Birthweight (grams)]]*0.9/Table1[[#This Row],[BW_GA]])-1)/(Backend!$B$4/100*Table1[[#This Row],[BW40_3705]]),"")</f>
        <v/>
      </c>
      <c r="I5640" s="7" t="str">
        <f>IF(Table1[[#This Row],[Is Data Valid]]=TRUE,((Table1[[#This Row],[Birthweight (grams)]]*1.1/Table1[[#This Row],[BW_GA]])-1)/(Backend!$B$4/100*Table1[[#This Row],[BW40_3705]]),"")</f>
        <v/>
      </c>
      <c r="J5640" s="7" t="str">
        <f>IF(Table1[[#This Row],[Is Data Valid]]=TRUE,_xlfn.NORM.S.DIST(Table1[[#This Row],[Birthweight Z-Score]],TRUE)*100,"")</f>
        <v/>
      </c>
      <c r="K5640" s="7" t="str">
        <f>IF(Table1[[#This Row],[Is Data Valid]]=TRUE,_xlfn.NORM.S.DIST(Table1[[#This Row],[Birthweight Z-Score (BW-10%)]],TRUE)*100,"")</f>
        <v/>
      </c>
      <c r="L5640" s="7" t="str">
        <f>IF(Table1[[#This Row],[Is Data Valid]]=TRUE,_xlfn.NORM.S.DIST(Table1[[#This Row],[Birthweight Z-Score (BW+10%)]],TRUE)*100,"")</f>
        <v/>
      </c>
    </row>
    <row r="5641" spans="1:12" x14ac:dyDescent="0.35">
      <c r="A5641" s="3"/>
      <c r="B5641" s="2"/>
      <c r="C5641" s="2"/>
      <c r="D5641" s="2" t="b">
        <f>IF(AND(NOT(ISBLANK(Table1[[#This Row],[Fetal Sex (Male, Female or Unknown)]])),ISNUMBER(Table1[[#This Row],[Birthweight (grams)]]),ISNUMBER(Table1[[#This Row],[Gestation (days)]])),TRUE,FALSE)</f>
        <v>0</v>
      </c>
      <c r="E5641" s="2" t="str">
        <f>IF(Table1[[#This Row],[Is Data Valid]]=TRUE,IF(Table1[[#This Row],[Fetal Sex (Male, Female or Unknown)]]="Male",Backend!$C$6,IF(Table1[[#This Row],[Fetal Sex (Male, Female or Unknown)]]="Female",Backend!$C$7,IF(Table1[[#This Row],[Fetal Sex (Male, Female or Unknown)]]="Unknown",Backend!$C$8,"Error"))),"")</f>
        <v/>
      </c>
      <c r="F5641" s="8" t="str">
        <f>IF(Table1[[#This Row],[Is Data Valid]]=TRUE,EXP(0.578+0.332*((Table1[[#This Row],[Gestation (days)]]+0.5)/7)-0.00354*((Table1[[#This Row],[Gestation (days)]]+0.5)/7)^2)*Table1[[#This Row],[BW40_3705]],"")</f>
        <v/>
      </c>
      <c r="G5641" s="2" t="str">
        <f>IF(Table1[[#This Row],[Is Data Valid]]=TRUE,((Table1[[#This Row],[Birthweight (grams)]]/Table1[[#This Row],[BW_GA]])-1)/(Backend!$B$4/100*Table1[[#This Row],[BW40_3705]]),"")</f>
        <v/>
      </c>
      <c r="H5641" s="7" t="str">
        <f>IF(Table1[[#This Row],[Is Data Valid]]=TRUE,((Table1[[#This Row],[Birthweight (grams)]]*0.9/Table1[[#This Row],[BW_GA]])-1)/(Backend!$B$4/100*Table1[[#This Row],[BW40_3705]]),"")</f>
        <v/>
      </c>
      <c r="I5641" s="7" t="str">
        <f>IF(Table1[[#This Row],[Is Data Valid]]=TRUE,((Table1[[#This Row],[Birthweight (grams)]]*1.1/Table1[[#This Row],[BW_GA]])-1)/(Backend!$B$4/100*Table1[[#This Row],[BW40_3705]]),"")</f>
        <v/>
      </c>
      <c r="J5641" s="7" t="str">
        <f>IF(Table1[[#This Row],[Is Data Valid]]=TRUE,_xlfn.NORM.S.DIST(Table1[[#This Row],[Birthweight Z-Score]],TRUE)*100,"")</f>
        <v/>
      </c>
      <c r="K5641" s="7" t="str">
        <f>IF(Table1[[#This Row],[Is Data Valid]]=TRUE,_xlfn.NORM.S.DIST(Table1[[#This Row],[Birthweight Z-Score (BW-10%)]],TRUE)*100,"")</f>
        <v/>
      </c>
      <c r="L5641" s="7" t="str">
        <f>IF(Table1[[#This Row],[Is Data Valid]]=TRUE,_xlfn.NORM.S.DIST(Table1[[#This Row],[Birthweight Z-Score (BW+10%)]],TRUE)*100,"")</f>
        <v/>
      </c>
    </row>
    <row r="5642" spans="1:12" x14ac:dyDescent="0.35">
      <c r="A5642" s="3"/>
      <c r="B5642" s="2"/>
      <c r="C5642" s="2"/>
      <c r="D5642" s="2" t="b">
        <f>IF(AND(NOT(ISBLANK(Table1[[#This Row],[Fetal Sex (Male, Female or Unknown)]])),ISNUMBER(Table1[[#This Row],[Birthweight (grams)]]),ISNUMBER(Table1[[#This Row],[Gestation (days)]])),TRUE,FALSE)</f>
        <v>0</v>
      </c>
      <c r="E5642" s="2" t="str">
        <f>IF(Table1[[#This Row],[Is Data Valid]]=TRUE,IF(Table1[[#This Row],[Fetal Sex (Male, Female or Unknown)]]="Male",Backend!$C$6,IF(Table1[[#This Row],[Fetal Sex (Male, Female or Unknown)]]="Female",Backend!$C$7,IF(Table1[[#This Row],[Fetal Sex (Male, Female or Unknown)]]="Unknown",Backend!$C$8,"Error"))),"")</f>
        <v/>
      </c>
      <c r="F5642" s="8" t="str">
        <f>IF(Table1[[#This Row],[Is Data Valid]]=TRUE,EXP(0.578+0.332*((Table1[[#This Row],[Gestation (days)]]+0.5)/7)-0.00354*((Table1[[#This Row],[Gestation (days)]]+0.5)/7)^2)*Table1[[#This Row],[BW40_3705]],"")</f>
        <v/>
      </c>
      <c r="G5642" s="2" t="str">
        <f>IF(Table1[[#This Row],[Is Data Valid]]=TRUE,((Table1[[#This Row],[Birthweight (grams)]]/Table1[[#This Row],[BW_GA]])-1)/(Backend!$B$4/100*Table1[[#This Row],[BW40_3705]]),"")</f>
        <v/>
      </c>
      <c r="H5642" s="7" t="str">
        <f>IF(Table1[[#This Row],[Is Data Valid]]=TRUE,((Table1[[#This Row],[Birthweight (grams)]]*0.9/Table1[[#This Row],[BW_GA]])-1)/(Backend!$B$4/100*Table1[[#This Row],[BW40_3705]]),"")</f>
        <v/>
      </c>
      <c r="I5642" s="7" t="str">
        <f>IF(Table1[[#This Row],[Is Data Valid]]=TRUE,((Table1[[#This Row],[Birthweight (grams)]]*1.1/Table1[[#This Row],[BW_GA]])-1)/(Backend!$B$4/100*Table1[[#This Row],[BW40_3705]]),"")</f>
        <v/>
      </c>
      <c r="J5642" s="7" t="str">
        <f>IF(Table1[[#This Row],[Is Data Valid]]=TRUE,_xlfn.NORM.S.DIST(Table1[[#This Row],[Birthweight Z-Score]],TRUE)*100,"")</f>
        <v/>
      </c>
      <c r="K5642" s="7" t="str">
        <f>IF(Table1[[#This Row],[Is Data Valid]]=TRUE,_xlfn.NORM.S.DIST(Table1[[#This Row],[Birthweight Z-Score (BW-10%)]],TRUE)*100,"")</f>
        <v/>
      </c>
      <c r="L5642" s="7" t="str">
        <f>IF(Table1[[#This Row],[Is Data Valid]]=TRUE,_xlfn.NORM.S.DIST(Table1[[#This Row],[Birthweight Z-Score (BW+10%)]],TRUE)*100,"")</f>
        <v/>
      </c>
    </row>
    <row r="5643" spans="1:12" x14ac:dyDescent="0.35">
      <c r="A5643" s="3"/>
      <c r="B5643" s="2"/>
      <c r="C5643" s="2"/>
      <c r="D5643" s="2" t="b">
        <f>IF(AND(NOT(ISBLANK(Table1[[#This Row],[Fetal Sex (Male, Female or Unknown)]])),ISNUMBER(Table1[[#This Row],[Birthweight (grams)]]),ISNUMBER(Table1[[#This Row],[Gestation (days)]])),TRUE,FALSE)</f>
        <v>0</v>
      </c>
      <c r="E5643" s="2" t="str">
        <f>IF(Table1[[#This Row],[Is Data Valid]]=TRUE,IF(Table1[[#This Row],[Fetal Sex (Male, Female or Unknown)]]="Male",Backend!$C$6,IF(Table1[[#This Row],[Fetal Sex (Male, Female or Unknown)]]="Female",Backend!$C$7,IF(Table1[[#This Row],[Fetal Sex (Male, Female or Unknown)]]="Unknown",Backend!$C$8,"Error"))),"")</f>
        <v/>
      </c>
      <c r="F5643" s="8" t="str">
        <f>IF(Table1[[#This Row],[Is Data Valid]]=TRUE,EXP(0.578+0.332*((Table1[[#This Row],[Gestation (days)]]+0.5)/7)-0.00354*((Table1[[#This Row],[Gestation (days)]]+0.5)/7)^2)*Table1[[#This Row],[BW40_3705]],"")</f>
        <v/>
      </c>
      <c r="G5643" s="2" t="str">
        <f>IF(Table1[[#This Row],[Is Data Valid]]=TRUE,((Table1[[#This Row],[Birthweight (grams)]]/Table1[[#This Row],[BW_GA]])-1)/(Backend!$B$4/100*Table1[[#This Row],[BW40_3705]]),"")</f>
        <v/>
      </c>
      <c r="H5643" s="7" t="str">
        <f>IF(Table1[[#This Row],[Is Data Valid]]=TRUE,((Table1[[#This Row],[Birthweight (grams)]]*0.9/Table1[[#This Row],[BW_GA]])-1)/(Backend!$B$4/100*Table1[[#This Row],[BW40_3705]]),"")</f>
        <v/>
      </c>
      <c r="I5643" s="7" t="str">
        <f>IF(Table1[[#This Row],[Is Data Valid]]=TRUE,((Table1[[#This Row],[Birthweight (grams)]]*1.1/Table1[[#This Row],[BW_GA]])-1)/(Backend!$B$4/100*Table1[[#This Row],[BW40_3705]]),"")</f>
        <v/>
      </c>
      <c r="J5643" s="7" t="str">
        <f>IF(Table1[[#This Row],[Is Data Valid]]=TRUE,_xlfn.NORM.S.DIST(Table1[[#This Row],[Birthweight Z-Score]],TRUE)*100,"")</f>
        <v/>
      </c>
      <c r="K5643" s="7" t="str">
        <f>IF(Table1[[#This Row],[Is Data Valid]]=TRUE,_xlfn.NORM.S.DIST(Table1[[#This Row],[Birthweight Z-Score (BW-10%)]],TRUE)*100,"")</f>
        <v/>
      </c>
      <c r="L5643" s="7" t="str">
        <f>IF(Table1[[#This Row],[Is Data Valid]]=TRUE,_xlfn.NORM.S.DIST(Table1[[#This Row],[Birthweight Z-Score (BW+10%)]],TRUE)*100,"")</f>
        <v/>
      </c>
    </row>
    <row r="5644" spans="1:12" x14ac:dyDescent="0.35">
      <c r="A5644" s="3"/>
      <c r="B5644" s="2"/>
      <c r="C5644" s="2"/>
      <c r="D5644" s="2" t="b">
        <f>IF(AND(NOT(ISBLANK(Table1[[#This Row],[Fetal Sex (Male, Female or Unknown)]])),ISNUMBER(Table1[[#This Row],[Birthweight (grams)]]),ISNUMBER(Table1[[#This Row],[Gestation (days)]])),TRUE,FALSE)</f>
        <v>0</v>
      </c>
      <c r="E5644" s="2" t="str">
        <f>IF(Table1[[#This Row],[Is Data Valid]]=TRUE,IF(Table1[[#This Row],[Fetal Sex (Male, Female or Unknown)]]="Male",Backend!$C$6,IF(Table1[[#This Row],[Fetal Sex (Male, Female or Unknown)]]="Female",Backend!$C$7,IF(Table1[[#This Row],[Fetal Sex (Male, Female or Unknown)]]="Unknown",Backend!$C$8,"Error"))),"")</f>
        <v/>
      </c>
      <c r="F5644" s="8" t="str">
        <f>IF(Table1[[#This Row],[Is Data Valid]]=TRUE,EXP(0.578+0.332*((Table1[[#This Row],[Gestation (days)]]+0.5)/7)-0.00354*((Table1[[#This Row],[Gestation (days)]]+0.5)/7)^2)*Table1[[#This Row],[BW40_3705]],"")</f>
        <v/>
      </c>
      <c r="G5644" s="2" t="str">
        <f>IF(Table1[[#This Row],[Is Data Valid]]=TRUE,((Table1[[#This Row],[Birthweight (grams)]]/Table1[[#This Row],[BW_GA]])-1)/(Backend!$B$4/100*Table1[[#This Row],[BW40_3705]]),"")</f>
        <v/>
      </c>
      <c r="H5644" s="7" t="str">
        <f>IF(Table1[[#This Row],[Is Data Valid]]=TRUE,((Table1[[#This Row],[Birthweight (grams)]]*0.9/Table1[[#This Row],[BW_GA]])-1)/(Backend!$B$4/100*Table1[[#This Row],[BW40_3705]]),"")</f>
        <v/>
      </c>
      <c r="I5644" s="7" t="str">
        <f>IF(Table1[[#This Row],[Is Data Valid]]=TRUE,((Table1[[#This Row],[Birthweight (grams)]]*1.1/Table1[[#This Row],[BW_GA]])-1)/(Backend!$B$4/100*Table1[[#This Row],[BW40_3705]]),"")</f>
        <v/>
      </c>
      <c r="J5644" s="7" t="str">
        <f>IF(Table1[[#This Row],[Is Data Valid]]=TRUE,_xlfn.NORM.S.DIST(Table1[[#This Row],[Birthweight Z-Score]],TRUE)*100,"")</f>
        <v/>
      </c>
      <c r="K5644" s="7" t="str">
        <f>IF(Table1[[#This Row],[Is Data Valid]]=TRUE,_xlfn.NORM.S.DIST(Table1[[#This Row],[Birthweight Z-Score (BW-10%)]],TRUE)*100,"")</f>
        <v/>
      </c>
      <c r="L5644" s="7" t="str">
        <f>IF(Table1[[#This Row],[Is Data Valid]]=TRUE,_xlfn.NORM.S.DIST(Table1[[#This Row],[Birthweight Z-Score (BW+10%)]],TRUE)*100,"")</f>
        <v/>
      </c>
    </row>
    <row r="5645" spans="1:12" x14ac:dyDescent="0.35">
      <c r="A5645" s="3"/>
      <c r="B5645" s="2"/>
      <c r="C5645" s="2"/>
      <c r="D5645" s="2" t="b">
        <f>IF(AND(NOT(ISBLANK(Table1[[#This Row],[Fetal Sex (Male, Female or Unknown)]])),ISNUMBER(Table1[[#This Row],[Birthweight (grams)]]),ISNUMBER(Table1[[#This Row],[Gestation (days)]])),TRUE,FALSE)</f>
        <v>0</v>
      </c>
      <c r="E5645" s="2" t="str">
        <f>IF(Table1[[#This Row],[Is Data Valid]]=TRUE,IF(Table1[[#This Row],[Fetal Sex (Male, Female or Unknown)]]="Male",Backend!$C$6,IF(Table1[[#This Row],[Fetal Sex (Male, Female or Unknown)]]="Female",Backend!$C$7,IF(Table1[[#This Row],[Fetal Sex (Male, Female or Unknown)]]="Unknown",Backend!$C$8,"Error"))),"")</f>
        <v/>
      </c>
      <c r="F5645" s="8" t="str">
        <f>IF(Table1[[#This Row],[Is Data Valid]]=TRUE,EXP(0.578+0.332*((Table1[[#This Row],[Gestation (days)]]+0.5)/7)-0.00354*((Table1[[#This Row],[Gestation (days)]]+0.5)/7)^2)*Table1[[#This Row],[BW40_3705]],"")</f>
        <v/>
      </c>
      <c r="G5645" s="2" t="str">
        <f>IF(Table1[[#This Row],[Is Data Valid]]=TRUE,((Table1[[#This Row],[Birthweight (grams)]]/Table1[[#This Row],[BW_GA]])-1)/(Backend!$B$4/100*Table1[[#This Row],[BW40_3705]]),"")</f>
        <v/>
      </c>
      <c r="H5645" s="7" t="str">
        <f>IF(Table1[[#This Row],[Is Data Valid]]=TRUE,((Table1[[#This Row],[Birthweight (grams)]]*0.9/Table1[[#This Row],[BW_GA]])-1)/(Backend!$B$4/100*Table1[[#This Row],[BW40_3705]]),"")</f>
        <v/>
      </c>
      <c r="I5645" s="7" t="str">
        <f>IF(Table1[[#This Row],[Is Data Valid]]=TRUE,((Table1[[#This Row],[Birthweight (grams)]]*1.1/Table1[[#This Row],[BW_GA]])-1)/(Backend!$B$4/100*Table1[[#This Row],[BW40_3705]]),"")</f>
        <v/>
      </c>
      <c r="J5645" s="7" t="str">
        <f>IF(Table1[[#This Row],[Is Data Valid]]=TRUE,_xlfn.NORM.S.DIST(Table1[[#This Row],[Birthweight Z-Score]],TRUE)*100,"")</f>
        <v/>
      </c>
      <c r="K5645" s="7" t="str">
        <f>IF(Table1[[#This Row],[Is Data Valid]]=TRUE,_xlfn.NORM.S.DIST(Table1[[#This Row],[Birthweight Z-Score (BW-10%)]],TRUE)*100,"")</f>
        <v/>
      </c>
      <c r="L5645" s="7" t="str">
        <f>IF(Table1[[#This Row],[Is Data Valid]]=TRUE,_xlfn.NORM.S.DIST(Table1[[#This Row],[Birthweight Z-Score (BW+10%)]],TRUE)*100,"")</f>
        <v/>
      </c>
    </row>
    <row r="5646" spans="1:12" x14ac:dyDescent="0.35">
      <c r="A5646" s="3"/>
      <c r="B5646" s="2"/>
      <c r="C5646" s="2"/>
      <c r="D5646" s="2" t="b">
        <f>IF(AND(NOT(ISBLANK(Table1[[#This Row],[Fetal Sex (Male, Female or Unknown)]])),ISNUMBER(Table1[[#This Row],[Birthweight (grams)]]),ISNUMBER(Table1[[#This Row],[Gestation (days)]])),TRUE,FALSE)</f>
        <v>0</v>
      </c>
      <c r="E5646" s="2" t="str">
        <f>IF(Table1[[#This Row],[Is Data Valid]]=TRUE,IF(Table1[[#This Row],[Fetal Sex (Male, Female or Unknown)]]="Male",Backend!$C$6,IF(Table1[[#This Row],[Fetal Sex (Male, Female or Unknown)]]="Female",Backend!$C$7,IF(Table1[[#This Row],[Fetal Sex (Male, Female or Unknown)]]="Unknown",Backend!$C$8,"Error"))),"")</f>
        <v/>
      </c>
      <c r="F5646" s="8" t="str">
        <f>IF(Table1[[#This Row],[Is Data Valid]]=TRUE,EXP(0.578+0.332*((Table1[[#This Row],[Gestation (days)]]+0.5)/7)-0.00354*((Table1[[#This Row],[Gestation (days)]]+0.5)/7)^2)*Table1[[#This Row],[BW40_3705]],"")</f>
        <v/>
      </c>
      <c r="G5646" s="2" t="str">
        <f>IF(Table1[[#This Row],[Is Data Valid]]=TRUE,((Table1[[#This Row],[Birthweight (grams)]]/Table1[[#This Row],[BW_GA]])-1)/(Backend!$B$4/100*Table1[[#This Row],[BW40_3705]]),"")</f>
        <v/>
      </c>
      <c r="H5646" s="7" t="str">
        <f>IF(Table1[[#This Row],[Is Data Valid]]=TRUE,((Table1[[#This Row],[Birthweight (grams)]]*0.9/Table1[[#This Row],[BW_GA]])-1)/(Backend!$B$4/100*Table1[[#This Row],[BW40_3705]]),"")</f>
        <v/>
      </c>
      <c r="I5646" s="7" t="str">
        <f>IF(Table1[[#This Row],[Is Data Valid]]=TRUE,((Table1[[#This Row],[Birthweight (grams)]]*1.1/Table1[[#This Row],[BW_GA]])-1)/(Backend!$B$4/100*Table1[[#This Row],[BW40_3705]]),"")</f>
        <v/>
      </c>
      <c r="J5646" s="7" t="str">
        <f>IF(Table1[[#This Row],[Is Data Valid]]=TRUE,_xlfn.NORM.S.DIST(Table1[[#This Row],[Birthweight Z-Score]],TRUE)*100,"")</f>
        <v/>
      </c>
      <c r="K5646" s="7" t="str">
        <f>IF(Table1[[#This Row],[Is Data Valid]]=TRUE,_xlfn.NORM.S.DIST(Table1[[#This Row],[Birthweight Z-Score (BW-10%)]],TRUE)*100,"")</f>
        <v/>
      </c>
      <c r="L5646" s="7" t="str">
        <f>IF(Table1[[#This Row],[Is Data Valid]]=TRUE,_xlfn.NORM.S.DIST(Table1[[#This Row],[Birthweight Z-Score (BW+10%)]],TRUE)*100,"")</f>
        <v/>
      </c>
    </row>
    <row r="5647" spans="1:12" x14ac:dyDescent="0.35">
      <c r="A5647" s="3"/>
      <c r="B5647" s="2"/>
      <c r="C5647" s="2"/>
      <c r="D5647" s="2" t="b">
        <f>IF(AND(NOT(ISBLANK(Table1[[#This Row],[Fetal Sex (Male, Female or Unknown)]])),ISNUMBER(Table1[[#This Row],[Birthweight (grams)]]),ISNUMBER(Table1[[#This Row],[Gestation (days)]])),TRUE,FALSE)</f>
        <v>0</v>
      </c>
      <c r="E5647" s="2" t="str">
        <f>IF(Table1[[#This Row],[Is Data Valid]]=TRUE,IF(Table1[[#This Row],[Fetal Sex (Male, Female or Unknown)]]="Male",Backend!$C$6,IF(Table1[[#This Row],[Fetal Sex (Male, Female or Unknown)]]="Female",Backend!$C$7,IF(Table1[[#This Row],[Fetal Sex (Male, Female or Unknown)]]="Unknown",Backend!$C$8,"Error"))),"")</f>
        <v/>
      </c>
      <c r="F5647" s="8" t="str">
        <f>IF(Table1[[#This Row],[Is Data Valid]]=TRUE,EXP(0.578+0.332*((Table1[[#This Row],[Gestation (days)]]+0.5)/7)-0.00354*((Table1[[#This Row],[Gestation (days)]]+0.5)/7)^2)*Table1[[#This Row],[BW40_3705]],"")</f>
        <v/>
      </c>
      <c r="G5647" s="2" t="str">
        <f>IF(Table1[[#This Row],[Is Data Valid]]=TRUE,((Table1[[#This Row],[Birthweight (grams)]]/Table1[[#This Row],[BW_GA]])-1)/(Backend!$B$4/100*Table1[[#This Row],[BW40_3705]]),"")</f>
        <v/>
      </c>
      <c r="H5647" s="7" t="str">
        <f>IF(Table1[[#This Row],[Is Data Valid]]=TRUE,((Table1[[#This Row],[Birthweight (grams)]]*0.9/Table1[[#This Row],[BW_GA]])-1)/(Backend!$B$4/100*Table1[[#This Row],[BW40_3705]]),"")</f>
        <v/>
      </c>
      <c r="I5647" s="7" t="str">
        <f>IF(Table1[[#This Row],[Is Data Valid]]=TRUE,((Table1[[#This Row],[Birthweight (grams)]]*1.1/Table1[[#This Row],[BW_GA]])-1)/(Backend!$B$4/100*Table1[[#This Row],[BW40_3705]]),"")</f>
        <v/>
      </c>
      <c r="J5647" s="7" t="str">
        <f>IF(Table1[[#This Row],[Is Data Valid]]=TRUE,_xlfn.NORM.S.DIST(Table1[[#This Row],[Birthweight Z-Score]],TRUE)*100,"")</f>
        <v/>
      </c>
      <c r="K5647" s="7" t="str">
        <f>IF(Table1[[#This Row],[Is Data Valid]]=TRUE,_xlfn.NORM.S.DIST(Table1[[#This Row],[Birthweight Z-Score (BW-10%)]],TRUE)*100,"")</f>
        <v/>
      </c>
      <c r="L5647" s="7" t="str">
        <f>IF(Table1[[#This Row],[Is Data Valid]]=TRUE,_xlfn.NORM.S.DIST(Table1[[#This Row],[Birthweight Z-Score (BW+10%)]],TRUE)*100,"")</f>
        <v/>
      </c>
    </row>
    <row r="5648" spans="1:12" x14ac:dyDescent="0.35">
      <c r="A5648" s="3"/>
      <c r="B5648" s="2"/>
      <c r="C5648" s="2"/>
      <c r="D5648" s="2" t="b">
        <f>IF(AND(NOT(ISBLANK(Table1[[#This Row],[Fetal Sex (Male, Female or Unknown)]])),ISNUMBER(Table1[[#This Row],[Birthweight (grams)]]),ISNUMBER(Table1[[#This Row],[Gestation (days)]])),TRUE,FALSE)</f>
        <v>0</v>
      </c>
      <c r="E5648" s="2" t="str">
        <f>IF(Table1[[#This Row],[Is Data Valid]]=TRUE,IF(Table1[[#This Row],[Fetal Sex (Male, Female or Unknown)]]="Male",Backend!$C$6,IF(Table1[[#This Row],[Fetal Sex (Male, Female or Unknown)]]="Female",Backend!$C$7,IF(Table1[[#This Row],[Fetal Sex (Male, Female or Unknown)]]="Unknown",Backend!$C$8,"Error"))),"")</f>
        <v/>
      </c>
      <c r="F5648" s="8" t="str">
        <f>IF(Table1[[#This Row],[Is Data Valid]]=TRUE,EXP(0.578+0.332*((Table1[[#This Row],[Gestation (days)]]+0.5)/7)-0.00354*((Table1[[#This Row],[Gestation (days)]]+0.5)/7)^2)*Table1[[#This Row],[BW40_3705]],"")</f>
        <v/>
      </c>
      <c r="G5648" s="2" t="str">
        <f>IF(Table1[[#This Row],[Is Data Valid]]=TRUE,((Table1[[#This Row],[Birthweight (grams)]]/Table1[[#This Row],[BW_GA]])-1)/(Backend!$B$4/100*Table1[[#This Row],[BW40_3705]]),"")</f>
        <v/>
      </c>
      <c r="H5648" s="7" t="str">
        <f>IF(Table1[[#This Row],[Is Data Valid]]=TRUE,((Table1[[#This Row],[Birthweight (grams)]]*0.9/Table1[[#This Row],[BW_GA]])-1)/(Backend!$B$4/100*Table1[[#This Row],[BW40_3705]]),"")</f>
        <v/>
      </c>
      <c r="I5648" s="7" t="str">
        <f>IF(Table1[[#This Row],[Is Data Valid]]=TRUE,((Table1[[#This Row],[Birthweight (grams)]]*1.1/Table1[[#This Row],[BW_GA]])-1)/(Backend!$B$4/100*Table1[[#This Row],[BW40_3705]]),"")</f>
        <v/>
      </c>
      <c r="J5648" s="7" t="str">
        <f>IF(Table1[[#This Row],[Is Data Valid]]=TRUE,_xlfn.NORM.S.DIST(Table1[[#This Row],[Birthweight Z-Score]],TRUE)*100,"")</f>
        <v/>
      </c>
      <c r="K5648" s="7" t="str">
        <f>IF(Table1[[#This Row],[Is Data Valid]]=TRUE,_xlfn.NORM.S.DIST(Table1[[#This Row],[Birthweight Z-Score (BW-10%)]],TRUE)*100,"")</f>
        <v/>
      </c>
      <c r="L5648" s="7" t="str">
        <f>IF(Table1[[#This Row],[Is Data Valid]]=TRUE,_xlfn.NORM.S.DIST(Table1[[#This Row],[Birthweight Z-Score (BW+10%)]],TRUE)*100,"")</f>
        <v/>
      </c>
    </row>
    <row r="5649" spans="1:12" x14ac:dyDescent="0.35">
      <c r="A5649" s="3"/>
      <c r="B5649" s="2"/>
      <c r="C5649" s="2"/>
      <c r="D5649" s="2" t="b">
        <f>IF(AND(NOT(ISBLANK(Table1[[#This Row],[Fetal Sex (Male, Female or Unknown)]])),ISNUMBER(Table1[[#This Row],[Birthweight (grams)]]),ISNUMBER(Table1[[#This Row],[Gestation (days)]])),TRUE,FALSE)</f>
        <v>0</v>
      </c>
      <c r="E5649" s="2" t="str">
        <f>IF(Table1[[#This Row],[Is Data Valid]]=TRUE,IF(Table1[[#This Row],[Fetal Sex (Male, Female or Unknown)]]="Male",Backend!$C$6,IF(Table1[[#This Row],[Fetal Sex (Male, Female or Unknown)]]="Female",Backend!$C$7,IF(Table1[[#This Row],[Fetal Sex (Male, Female or Unknown)]]="Unknown",Backend!$C$8,"Error"))),"")</f>
        <v/>
      </c>
      <c r="F5649" s="8" t="str">
        <f>IF(Table1[[#This Row],[Is Data Valid]]=TRUE,EXP(0.578+0.332*((Table1[[#This Row],[Gestation (days)]]+0.5)/7)-0.00354*((Table1[[#This Row],[Gestation (days)]]+0.5)/7)^2)*Table1[[#This Row],[BW40_3705]],"")</f>
        <v/>
      </c>
      <c r="G5649" s="2" t="str">
        <f>IF(Table1[[#This Row],[Is Data Valid]]=TRUE,((Table1[[#This Row],[Birthweight (grams)]]/Table1[[#This Row],[BW_GA]])-1)/(Backend!$B$4/100*Table1[[#This Row],[BW40_3705]]),"")</f>
        <v/>
      </c>
      <c r="H5649" s="7" t="str">
        <f>IF(Table1[[#This Row],[Is Data Valid]]=TRUE,((Table1[[#This Row],[Birthweight (grams)]]*0.9/Table1[[#This Row],[BW_GA]])-1)/(Backend!$B$4/100*Table1[[#This Row],[BW40_3705]]),"")</f>
        <v/>
      </c>
      <c r="I5649" s="7" t="str">
        <f>IF(Table1[[#This Row],[Is Data Valid]]=TRUE,((Table1[[#This Row],[Birthweight (grams)]]*1.1/Table1[[#This Row],[BW_GA]])-1)/(Backend!$B$4/100*Table1[[#This Row],[BW40_3705]]),"")</f>
        <v/>
      </c>
      <c r="J5649" s="7" t="str">
        <f>IF(Table1[[#This Row],[Is Data Valid]]=TRUE,_xlfn.NORM.S.DIST(Table1[[#This Row],[Birthweight Z-Score]],TRUE)*100,"")</f>
        <v/>
      </c>
      <c r="K5649" s="7" t="str">
        <f>IF(Table1[[#This Row],[Is Data Valid]]=TRUE,_xlfn.NORM.S.DIST(Table1[[#This Row],[Birthweight Z-Score (BW-10%)]],TRUE)*100,"")</f>
        <v/>
      </c>
      <c r="L5649" s="7" t="str">
        <f>IF(Table1[[#This Row],[Is Data Valid]]=TRUE,_xlfn.NORM.S.DIST(Table1[[#This Row],[Birthweight Z-Score (BW+10%)]],TRUE)*100,"")</f>
        <v/>
      </c>
    </row>
    <row r="5650" spans="1:12" x14ac:dyDescent="0.35">
      <c r="A5650" s="3"/>
      <c r="B5650" s="2"/>
      <c r="C5650" s="2"/>
      <c r="D5650" s="2" t="b">
        <f>IF(AND(NOT(ISBLANK(Table1[[#This Row],[Fetal Sex (Male, Female or Unknown)]])),ISNUMBER(Table1[[#This Row],[Birthweight (grams)]]),ISNUMBER(Table1[[#This Row],[Gestation (days)]])),TRUE,FALSE)</f>
        <v>0</v>
      </c>
      <c r="E5650" s="2" t="str">
        <f>IF(Table1[[#This Row],[Is Data Valid]]=TRUE,IF(Table1[[#This Row],[Fetal Sex (Male, Female or Unknown)]]="Male",Backend!$C$6,IF(Table1[[#This Row],[Fetal Sex (Male, Female or Unknown)]]="Female",Backend!$C$7,IF(Table1[[#This Row],[Fetal Sex (Male, Female or Unknown)]]="Unknown",Backend!$C$8,"Error"))),"")</f>
        <v/>
      </c>
      <c r="F5650" s="8" t="str">
        <f>IF(Table1[[#This Row],[Is Data Valid]]=TRUE,EXP(0.578+0.332*((Table1[[#This Row],[Gestation (days)]]+0.5)/7)-0.00354*((Table1[[#This Row],[Gestation (days)]]+0.5)/7)^2)*Table1[[#This Row],[BW40_3705]],"")</f>
        <v/>
      </c>
      <c r="G5650" s="2" t="str">
        <f>IF(Table1[[#This Row],[Is Data Valid]]=TRUE,((Table1[[#This Row],[Birthweight (grams)]]/Table1[[#This Row],[BW_GA]])-1)/(Backend!$B$4/100*Table1[[#This Row],[BW40_3705]]),"")</f>
        <v/>
      </c>
      <c r="H5650" s="7" t="str">
        <f>IF(Table1[[#This Row],[Is Data Valid]]=TRUE,((Table1[[#This Row],[Birthweight (grams)]]*0.9/Table1[[#This Row],[BW_GA]])-1)/(Backend!$B$4/100*Table1[[#This Row],[BW40_3705]]),"")</f>
        <v/>
      </c>
      <c r="I5650" s="7" t="str">
        <f>IF(Table1[[#This Row],[Is Data Valid]]=TRUE,((Table1[[#This Row],[Birthweight (grams)]]*1.1/Table1[[#This Row],[BW_GA]])-1)/(Backend!$B$4/100*Table1[[#This Row],[BW40_3705]]),"")</f>
        <v/>
      </c>
      <c r="J5650" s="7" t="str">
        <f>IF(Table1[[#This Row],[Is Data Valid]]=TRUE,_xlfn.NORM.S.DIST(Table1[[#This Row],[Birthweight Z-Score]],TRUE)*100,"")</f>
        <v/>
      </c>
      <c r="K5650" s="7" t="str">
        <f>IF(Table1[[#This Row],[Is Data Valid]]=TRUE,_xlfn.NORM.S.DIST(Table1[[#This Row],[Birthweight Z-Score (BW-10%)]],TRUE)*100,"")</f>
        <v/>
      </c>
      <c r="L5650" s="7" t="str">
        <f>IF(Table1[[#This Row],[Is Data Valid]]=TRUE,_xlfn.NORM.S.DIST(Table1[[#This Row],[Birthweight Z-Score (BW+10%)]],TRUE)*100,"")</f>
        <v/>
      </c>
    </row>
    <row r="5651" spans="1:12" x14ac:dyDescent="0.35">
      <c r="A5651" s="3"/>
      <c r="B5651" s="2"/>
      <c r="C5651" s="2"/>
      <c r="D5651" s="2" t="b">
        <f>IF(AND(NOT(ISBLANK(Table1[[#This Row],[Fetal Sex (Male, Female or Unknown)]])),ISNUMBER(Table1[[#This Row],[Birthweight (grams)]]),ISNUMBER(Table1[[#This Row],[Gestation (days)]])),TRUE,FALSE)</f>
        <v>0</v>
      </c>
      <c r="E5651" s="2" t="str">
        <f>IF(Table1[[#This Row],[Is Data Valid]]=TRUE,IF(Table1[[#This Row],[Fetal Sex (Male, Female or Unknown)]]="Male",Backend!$C$6,IF(Table1[[#This Row],[Fetal Sex (Male, Female or Unknown)]]="Female",Backend!$C$7,IF(Table1[[#This Row],[Fetal Sex (Male, Female or Unknown)]]="Unknown",Backend!$C$8,"Error"))),"")</f>
        <v/>
      </c>
      <c r="F5651" s="8" t="str">
        <f>IF(Table1[[#This Row],[Is Data Valid]]=TRUE,EXP(0.578+0.332*((Table1[[#This Row],[Gestation (days)]]+0.5)/7)-0.00354*((Table1[[#This Row],[Gestation (days)]]+0.5)/7)^2)*Table1[[#This Row],[BW40_3705]],"")</f>
        <v/>
      </c>
      <c r="G5651" s="2" t="str">
        <f>IF(Table1[[#This Row],[Is Data Valid]]=TRUE,((Table1[[#This Row],[Birthweight (grams)]]/Table1[[#This Row],[BW_GA]])-1)/(Backend!$B$4/100*Table1[[#This Row],[BW40_3705]]),"")</f>
        <v/>
      </c>
      <c r="H5651" s="7" t="str">
        <f>IF(Table1[[#This Row],[Is Data Valid]]=TRUE,((Table1[[#This Row],[Birthweight (grams)]]*0.9/Table1[[#This Row],[BW_GA]])-1)/(Backend!$B$4/100*Table1[[#This Row],[BW40_3705]]),"")</f>
        <v/>
      </c>
      <c r="I5651" s="7" t="str">
        <f>IF(Table1[[#This Row],[Is Data Valid]]=TRUE,((Table1[[#This Row],[Birthweight (grams)]]*1.1/Table1[[#This Row],[BW_GA]])-1)/(Backend!$B$4/100*Table1[[#This Row],[BW40_3705]]),"")</f>
        <v/>
      </c>
      <c r="J5651" s="7" t="str">
        <f>IF(Table1[[#This Row],[Is Data Valid]]=TRUE,_xlfn.NORM.S.DIST(Table1[[#This Row],[Birthweight Z-Score]],TRUE)*100,"")</f>
        <v/>
      </c>
      <c r="K5651" s="7" t="str">
        <f>IF(Table1[[#This Row],[Is Data Valid]]=TRUE,_xlfn.NORM.S.DIST(Table1[[#This Row],[Birthweight Z-Score (BW-10%)]],TRUE)*100,"")</f>
        <v/>
      </c>
      <c r="L5651" s="7" t="str">
        <f>IF(Table1[[#This Row],[Is Data Valid]]=TRUE,_xlfn.NORM.S.DIST(Table1[[#This Row],[Birthweight Z-Score (BW+10%)]],TRUE)*100,"")</f>
        <v/>
      </c>
    </row>
    <row r="5652" spans="1:12" x14ac:dyDescent="0.35">
      <c r="A5652" s="3"/>
      <c r="B5652" s="2"/>
      <c r="C5652" s="2"/>
      <c r="D5652" s="2" t="b">
        <f>IF(AND(NOT(ISBLANK(Table1[[#This Row],[Fetal Sex (Male, Female or Unknown)]])),ISNUMBER(Table1[[#This Row],[Birthweight (grams)]]),ISNUMBER(Table1[[#This Row],[Gestation (days)]])),TRUE,FALSE)</f>
        <v>0</v>
      </c>
      <c r="E5652" s="2" t="str">
        <f>IF(Table1[[#This Row],[Is Data Valid]]=TRUE,IF(Table1[[#This Row],[Fetal Sex (Male, Female or Unknown)]]="Male",Backend!$C$6,IF(Table1[[#This Row],[Fetal Sex (Male, Female or Unknown)]]="Female",Backend!$C$7,IF(Table1[[#This Row],[Fetal Sex (Male, Female or Unknown)]]="Unknown",Backend!$C$8,"Error"))),"")</f>
        <v/>
      </c>
      <c r="F5652" s="8" t="str">
        <f>IF(Table1[[#This Row],[Is Data Valid]]=TRUE,EXP(0.578+0.332*((Table1[[#This Row],[Gestation (days)]]+0.5)/7)-0.00354*((Table1[[#This Row],[Gestation (days)]]+0.5)/7)^2)*Table1[[#This Row],[BW40_3705]],"")</f>
        <v/>
      </c>
      <c r="G5652" s="2" t="str">
        <f>IF(Table1[[#This Row],[Is Data Valid]]=TRUE,((Table1[[#This Row],[Birthweight (grams)]]/Table1[[#This Row],[BW_GA]])-1)/(Backend!$B$4/100*Table1[[#This Row],[BW40_3705]]),"")</f>
        <v/>
      </c>
      <c r="H5652" s="7" t="str">
        <f>IF(Table1[[#This Row],[Is Data Valid]]=TRUE,((Table1[[#This Row],[Birthweight (grams)]]*0.9/Table1[[#This Row],[BW_GA]])-1)/(Backend!$B$4/100*Table1[[#This Row],[BW40_3705]]),"")</f>
        <v/>
      </c>
      <c r="I5652" s="7" t="str">
        <f>IF(Table1[[#This Row],[Is Data Valid]]=TRUE,((Table1[[#This Row],[Birthweight (grams)]]*1.1/Table1[[#This Row],[BW_GA]])-1)/(Backend!$B$4/100*Table1[[#This Row],[BW40_3705]]),"")</f>
        <v/>
      </c>
      <c r="J5652" s="7" t="str">
        <f>IF(Table1[[#This Row],[Is Data Valid]]=TRUE,_xlfn.NORM.S.DIST(Table1[[#This Row],[Birthweight Z-Score]],TRUE)*100,"")</f>
        <v/>
      </c>
      <c r="K5652" s="7" t="str">
        <f>IF(Table1[[#This Row],[Is Data Valid]]=TRUE,_xlfn.NORM.S.DIST(Table1[[#This Row],[Birthweight Z-Score (BW-10%)]],TRUE)*100,"")</f>
        <v/>
      </c>
      <c r="L5652" s="7" t="str">
        <f>IF(Table1[[#This Row],[Is Data Valid]]=TRUE,_xlfn.NORM.S.DIST(Table1[[#This Row],[Birthweight Z-Score (BW+10%)]],TRUE)*100,"")</f>
        <v/>
      </c>
    </row>
    <row r="5653" spans="1:12" x14ac:dyDescent="0.35">
      <c r="A5653" s="3"/>
      <c r="B5653" s="2"/>
      <c r="C5653" s="2"/>
      <c r="D5653" s="2" t="b">
        <f>IF(AND(NOT(ISBLANK(Table1[[#This Row],[Fetal Sex (Male, Female or Unknown)]])),ISNUMBER(Table1[[#This Row],[Birthweight (grams)]]),ISNUMBER(Table1[[#This Row],[Gestation (days)]])),TRUE,FALSE)</f>
        <v>0</v>
      </c>
      <c r="E5653" s="2" t="str">
        <f>IF(Table1[[#This Row],[Is Data Valid]]=TRUE,IF(Table1[[#This Row],[Fetal Sex (Male, Female or Unknown)]]="Male",Backend!$C$6,IF(Table1[[#This Row],[Fetal Sex (Male, Female or Unknown)]]="Female",Backend!$C$7,IF(Table1[[#This Row],[Fetal Sex (Male, Female or Unknown)]]="Unknown",Backend!$C$8,"Error"))),"")</f>
        <v/>
      </c>
      <c r="F5653" s="8" t="str">
        <f>IF(Table1[[#This Row],[Is Data Valid]]=TRUE,EXP(0.578+0.332*((Table1[[#This Row],[Gestation (days)]]+0.5)/7)-0.00354*((Table1[[#This Row],[Gestation (days)]]+0.5)/7)^2)*Table1[[#This Row],[BW40_3705]],"")</f>
        <v/>
      </c>
      <c r="G5653" s="2" t="str">
        <f>IF(Table1[[#This Row],[Is Data Valid]]=TRUE,((Table1[[#This Row],[Birthweight (grams)]]/Table1[[#This Row],[BW_GA]])-1)/(Backend!$B$4/100*Table1[[#This Row],[BW40_3705]]),"")</f>
        <v/>
      </c>
      <c r="H5653" s="7" t="str">
        <f>IF(Table1[[#This Row],[Is Data Valid]]=TRUE,((Table1[[#This Row],[Birthweight (grams)]]*0.9/Table1[[#This Row],[BW_GA]])-1)/(Backend!$B$4/100*Table1[[#This Row],[BW40_3705]]),"")</f>
        <v/>
      </c>
      <c r="I5653" s="7" t="str">
        <f>IF(Table1[[#This Row],[Is Data Valid]]=TRUE,((Table1[[#This Row],[Birthweight (grams)]]*1.1/Table1[[#This Row],[BW_GA]])-1)/(Backend!$B$4/100*Table1[[#This Row],[BW40_3705]]),"")</f>
        <v/>
      </c>
      <c r="J5653" s="7" t="str">
        <f>IF(Table1[[#This Row],[Is Data Valid]]=TRUE,_xlfn.NORM.S.DIST(Table1[[#This Row],[Birthweight Z-Score]],TRUE)*100,"")</f>
        <v/>
      </c>
      <c r="K5653" s="7" t="str">
        <f>IF(Table1[[#This Row],[Is Data Valid]]=TRUE,_xlfn.NORM.S.DIST(Table1[[#This Row],[Birthweight Z-Score (BW-10%)]],TRUE)*100,"")</f>
        <v/>
      </c>
      <c r="L5653" s="7" t="str">
        <f>IF(Table1[[#This Row],[Is Data Valid]]=TRUE,_xlfn.NORM.S.DIST(Table1[[#This Row],[Birthweight Z-Score (BW+10%)]],TRUE)*100,"")</f>
        <v/>
      </c>
    </row>
    <row r="5654" spans="1:12" x14ac:dyDescent="0.35">
      <c r="A5654" s="3"/>
      <c r="B5654" s="2"/>
      <c r="C5654" s="2"/>
      <c r="D5654" s="2" t="b">
        <f>IF(AND(NOT(ISBLANK(Table1[[#This Row],[Fetal Sex (Male, Female or Unknown)]])),ISNUMBER(Table1[[#This Row],[Birthweight (grams)]]),ISNUMBER(Table1[[#This Row],[Gestation (days)]])),TRUE,FALSE)</f>
        <v>0</v>
      </c>
      <c r="E5654" s="2" t="str">
        <f>IF(Table1[[#This Row],[Is Data Valid]]=TRUE,IF(Table1[[#This Row],[Fetal Sex (Male, Female or Unknown)]]="Male",Backend!$C$6,IF(Table1[[#This Row],[Fetal Sex (Male, Female or Unknown)]]="Female",Backend!$C$7,IF(Table1[[#This Row],[Fetal Sex (Male, Female or Unknown)]]="Unknown",Backend!$C$8,"Error"))),"")</f>
        <v/>
      </c>
      <c r="F5654" s="8" t="str">
        <f>IF(Table1[[#This Row],[Is Data Valid]]=TRUE,EXP(0.578+0.332*((Table1[[#This Row],[Gestation (days)]]+0.5)/7)-0.00354*((Table1[[#This Row],[Gestation (days)]]+0.5)/7)^2)*Table1[[#This Row],[BW40_3705]],"")</f>
        <v/>
      </c>
      <c r="G5654" s="2" t="str">
        <f>IF(Table1[[#This Row],[Is Data Valid]]=TRUE,((Table1[[#This Row],[Birthweight (grams)]]/Table1[[#This Row],[BW_GA]])-1)/(Backend!$B$4/100*Table1[[#This Row],[BW40_3705]]),"")</f>
        <v/>
      </c>
      <c r="H5654" s="7" t="str">
        <f>IF(Table1[[#This Row],[Is Data Valid]]=TRUE,((Table1[[#This Row],[Birthweight (grams)]]*0.9/Table1[[#This Row],[BW_GA]])-1)/(Backend!$B$4/100*Table1[[#This Row],[BW40_3705]]),"")</f>
        <v/>
      </c>
      <c r="I5654" s="7" t="str">
        <f>IF(Table1[[#This Row],[Is Data Valid]]=TRUE,((Table1[[#This Row],[Birthweight (grams)]]*1.1/Table1[[#This Row],[BW_GA]])-1)/(Backend!$B$4/100*Table1[[#This Row],[BW40_3705]]),"")</f>
        <v/>
      </c>
      <c r="J5654" s="7" t="str">
        <f>IF(Table1[[#This Row],[Is Data Valid]]=TRUE,_xlfn.NORM.S.DIST(Table1[[#This Row],[Birthweight Z-Score]],TRUE)*100,"")</f>
        <v/>
      </c>
      <c r="K5654" s="7" t="str">
        <f>IF(Table1[[#This Row],[Is Data Valid]]=TRUE,_xlfn.NORM.S.DIST(Table1[[#This Row],[Birthweight Z-Score (BW-10%)]],TRUE)*100,"")</f>
        <v/>
      </c>
      <c r="L5654" s="7" t="str">
        <f>IF(Table1[[#This Row],[Is Data Valid]]=TRUE,_xlfn.NORM.S.DIST(Table1[[#This Row],[Birthweight Z-Score (BW+10%)]],TRUE)*100,"")</f>
        <v/>
      </c>
    </row>
    <row r="5655" spans="1:12" x14ac:dyDescent="0.35">
      <c r="A5655" s="3"/>
      <c r="B5655" s="2"/>
      <c r="C5655" s="2"/>
      <c r="D5655" s="2" t="b">
        <f>IF(AND(NOT(ISBLANK(Table1[[#This Row],[Fetal Sex (Male, Female or Unknown)]])),ISNUMBER(Table1[[#This Row],[Birthweight (grams)]]),ISNUMBER(Table1[[#This Row],[Gestation (days)]])),TRUE,FALSE)</f>
        <v>0</v>
      </c>
      <c r="E5655" s="2" t="str">
        <f>IF(Table1[[#This Row],[Is Data Valid]]=TRUE,IF(Table1[[#This Row],[Fetal Sex (Male, Female or Unknown)]]="Male",Backend!$C$6,IF(Table1[[#This Row],[Fetal Sex (Male, Female or Unknown)]]="Female",Backend!$C$7,IF(Table1[[#This Row],[Fetal Sex (Male, Female or Unknown)]]="Unknown",Backend!$C$8,"Error"))),"")</f>
        <v/>
      </c>
      <c r="F5655" s="8" t="str">
        <f>IF(Table1[[#This Row],[Is Data Valid]]=TRUE,EXP(0.578+0.332*((Table1[[#This Row],[Gestation (days)]]+0.5)/7)-0.00354*((Table1[[#This Row],[Gestation (days)]]+0.5)/7)^2)*Table1[[#This Row],[BW40_3705]],"")</f>
        <v/>
      </c>
      <c r="G5655" s="2" t="str">
        <f>IF(Table1[[#This Row],[Is Data Valid]]=TRUE,((Table1[[#This Row],[Birthweight (grams)]]/Table1[[#This Row],[BW_GA]])-1)/(Backend!$B$4/100*Table1[[#This Row],[BW40_3705]]),"")</f>
        <v/>
      </c>
      <c r="H5655" s="7" t="str">
        <f>IF(Table1[[#This Row],[Is Data Valid]]=TRUE,((Table1[[#This Row],[Birthweight (grams)]]*0.9/Table1[[#This Row],[BW_GA]])-1)/(Backend!$B$4/100*Table1[[#This Row],[BW40_3705]]),"")</f>
        <v/>
      </c>
      <c r="I5655" s="7" t="str">
        <f>IF(Table1[[#This Row],[Is Data Valid]]=TRUE,((Table1[[#This Row],[Birthweight (grams)]]*1.1/Table1[[#This Row],[BW_GA]])-1)/(Backend!$B$4/100*Table1[[#This Row],[BW40_3705]]),"")</f>
        <v/>
      </c>
      <c r="J5655" s="7" t="str">
        <f>IF(Table1[[#This Row],[Is Data Valid]]=TRUE,_xlfn.NORM.S.DIST(Table1[[#This Row],[Birthweight Z-Score]],TRUE)*100,"")</f>
        <v/>
      </c>
      <c r="K5655" s="7" t="str">
        <f>IF(Table1[[#This Row],[Is Data Valid]]=TRUE,_xlfn.NORM.S.DIST(Table1[[#This Row],[Birthweight Z-Score (BW-10%)]],TRUE)*100,"")</f>
        <v/>
      </c>
      <c r="L5655" s="7" t="str">
        <f>IF(Table1[[#This Row],[Is Data Valid]]=TRUE,_xlfn.NORM.S.DIST(Table1[[#This Row],[Birthweight Z-Score (BW+10%)]],TRUE)*100,"")</f>
        <v/>
      </c>
    </row>
    <row r="5656" spans="1:12" x14ac:dyDescent="0.35">
      <c r="A5656" s="3"/>
      <c r="B5656" s="2"/>
      <c r="C5656" s="2"/>
      <c r="D5656" s="2" t="b">
        <f>IF(AND(NOT(ISBLANK(Table1[[#This Row],[Fetal Sex (Male, Female or Unknown)]])),ISNUMBER(Table1[[#This Row],[Birthweight (grams)]]),ISNUMBER(Table1[[#This Row],[Gestation (days)]])),TRUE,FALSE)</f>
        <v>0</v>
      </c>
      <c r="E5656" s="2" t="str">
        <f>IF(Table1[[#This Row],[Is Data Valid]]=TRUE,IF(Table1[[#This Row],[Fetal Sex (Male, Female or Unknown)]]="Male",Backend!$C$6,IF(Table1[[#This Row],[Fetal Sex (Male, Female or Unknown)]]="Female",Backend!$C$7,IF(Table1[[#This Row],[Fetal Sex (Male, Female or Unknown)]]="Unknown",Backend!$C$8,"Error"))),"")</f>
        <v/>
      </c>
      <c r="F5656" s="8" t="str">
        <f>IF(Table1[[#This Row],[Is Data Valid]]=TRUE,EXP(0.578+0.332*((Table1[[#This Row],[Gestation (days)]]+0.5)/7)-0.00354*((Table1[[#This Row],[Gestation (days)]]+0.5)/7)^2)*Table1[[#This Row],[BW40_3705]],"")</f>
        <v/>
      </c>
      <c r="G5656" s="2" t="str">
        <f>IF(Table1[[#This Row],[Is Data Valid]]=TRUE,((Table1[[#This Row],[Birthweight (grams)]]/Table1[[#This Row],[BW_GA]])-1)/(Backend!$B$4/100*Table1[[#This Row],[BW40_3705]]),"")</f>
        <v/>
      </c>
      <c r="H5656" s="7" t="str">
        <f>IF(Table1[[#This Row],[Is Data Valid]]=TRUE,((Table1[[#This Row],[Birthweight (grams)]]*0.9/Table1[[#This Row],[BW_GA]])-1)/(Backend!$B$4/100*Table1[[#This Row],[BW40_3705]]),"")</f>
        <v/>
      </c>
      <c r="I5656" s="7" t="str">
        <f>IF(Table1[[#This Row],[Is Data Valid]]=TRUE,((Table1[[#This Row],[Birthweight (grams)]]*1.1/Table1[[#This Row],[BW_GA]])-1)/(Backend!$B$4/100*Table1[[#This Row],[BW40_3705]]),"")</f>
        <v/>
      </c>
      <c r="J5656" s="7" t="str">
        <f>IF(Table1[[#This Row],[Is Data Valid]]=TRUE,_xlfn.NORM.S.DIST(Table1[[#This Row],[Birthweight Z-Score]],TRUE)*100,"")</f>
        <v/>
      </c>
      <c r="K5656" s="7" t="str">
        <f>IF(Table1[[#This Row],[Is Data Valid]]=TRUE,_xlfn.NORM.S.DIST(Table1[[#This Row],[Birthweight Z-Score (BW-10%)]],TRUE)*100,"")</f>
        <v/>
      </c>
      <c r="L5656" s="7" t="str">
        <f>IF(Table1[[#This Row],[Is Data Valid]]=TRUE,_xlfn.NORM.S.DIST(Table1[[#This Row],[Birthweight Z-Score (BW+10%)]],TRUE)*100,"")</f>
        <v/>
      </c>
    </row>
    <row r="5657" spans="1:12" x14ac:dyDescent="0.35">
      <c r="A5657" s="3"/>
      <c r="B5657" s="2"/>
      <c r="C5657" s="2"/>
      <c r="D5657" s="2" t="b">
        <f>IF(AND(NOT(ISBLANK(Table1[[#This Row],[Fetal Sex (Male, Female or Unknown)]])),ISNUMBER(Table1[[#This Row],[Birthweight (grams)]]),ISNUMBER(Table1[[#This Row],[Gestation (days)]])),TRUE,FALSE)</f>
        <v>0</v>
      </c>
      <c r="E5657" s="2" t="str">
        <f>IF(Table1[[#This Row],[Is Data Valid]]=TRUE,IF(Table1[[#This Row],[Fetal Sex (Male, Female or Unknown)]]="Male",Backend!$C$6,IF(Table1[[#This Row],[Fetal Sex (Male, Female or Unknown)]]="Female",Backend!$C$7,IF(Table1[[#This Row],[Fetal Sex (Male, Female or Unknown)]]="Unknown",Backend!$C$8,"Error"))),"")</f>
        <v/>
      </c>
      <c r="F5657" s="8" t="str">
        <f>IF(Table1[[#This Row],[Is Data Valid]]=TRUE,EXP(0.578+0.332*((Table1[[#This Row],[Gestation (days)]]+0.5)/7)-0.00354*((Table1[[#This Row],[Gestation (days)]]+0.5)/7)^2)*Table1[[#This Row],[BW40_3705]],"")</f>
        <v/>
      </c>
      <c r="G5657" s="2" t="str">
        <f>IF(Table1[[#This Row],[Is Data Valid]]=TRUE,((Table1[[#This Row],[Birthweight (grams)]]/Table1[[#This Row],[BW_GA]])-1)/(Backend!$B$4/100*Table1[[#This Row],[BW40_3705]]),"")</f>
        <v/>
      </c>
      <c r="H5657" s="7" t="str">
        <f>IF(Table1[[#This Row],[Is Data Valid]]=TRUE,((Table1[[#This Row],[Birthweight (grams)]]*0.9/Table1[[#This Row],[BW_GA]])-1)/(Backend!$B$4/100*Table1[[#This Row],[BW40_3705]]),"")</f>
        <v/>
      </c>
      <c r="I5657" s="7" t="str">
        <f>IF(Table1[[#This Row],[Is Data Valid]]=TRUE,((Table1[[#This Row],[Birthweight (grams)]]*1.1/Table1[[#This Row],[BW_GA]])-1)/(Backend!$B$4/100*Table1[[#This Row],[BW40_3705]]),"")</f>
        <v/>
      </c>
      <c r="J5657" s="7" t="str">
        <f>IF(Table1[[#This Row],[Is Data Valid]]=TRUE,_xlfn.NORM.S.DIST(Table1[[#This Row],[Birthweight Z-Score]],TRUE)*100,"")</f>
        <v/>
      </c>
      <c r="K5657" s="7" t="str">
        <f>IF(Table1[[#This Row],[Is Data Valid]]=TRUE,_xlfn.NORM.S.DIST(Table1[[#This Row],[Birthweight Z-Score (BW-10%)]],TRUE)*100,"")</f>
        <v/>
      </c>
      <c r="L5657" s="7" t="str">
        <f>IF(Table1[[#This Row],[Is Data Valid]]=TRUE,_xlfn.NORM.S.DIST(Table1[[#This Row],[Birthweight Z-Score (BW+10%)]],TRUE)*100,"")</f>
        <v/>
      </c>
    </row>
    <row r="5658" spans="1:12" x14ac:dyDescent="0.35">
      <c r="A5658" s="3"/>
      <c r="B5658" s="2"/>
      <c r="C5658" s="2"/>
      <c r="D5658" s="2" t="b">
        <f>IF(AND(NOT(ISBLANK(Table1[[#This Row],[Fetal Sex (Male, Female or Unknown)]])),ISNUMBER(Table1[[#This Row],[Birthweight (grams)]]),ISNUMBER(Table1[[#This Row],[Gestation (days)]])),TRUE,FALSE)</f>
        <v>0</v>
      </c>
      <c r="E5658" s="2" t="str">
        <f>IF(Table1[[#This Row],[Is Data Valid]]=TRUE,IF(Table1[[#This Row],[Fetal Sex (Male, Female or Unknown)]]="Male",Backend!$C$6,IF(Table1[[#This Row],[Fetal Sex (Male, Female or Unknown)]]="Female",Backend!$C$7,IF(Table1[[#This Row],[Fetal Sex (Male, Female or Unknown)]]="Unknown",Backend!$C$8,"Error"))),"")</f>
        <v/>
      </c>
      <c r="F5658" s="8" t="str">
        <f>IF(Table1[[#This Row],[Is Data Valid]]=TRUE,EXP(0.578+0.332*((Table1[[#This Row],[Gestation (days)]]+0.5)/7)-0.00354*((Table1[[#This Row],[Gestation (days)]]+0.5)/7)^2)*Table1[[#This Row],[BW40_3705]],"")</f>
        <v/>
      </c>
      <c r="G5658" s="2" t="str">
        <f>IF(Table1[[#This Row],[Is Data Valid]]=TRUE,((Table1[[#This Row],[Birthweight (grams)]]/Table1[[#This Row],[BW_GA]])-1)/(Backend!$B$4/100*Table1[[#This Row],[BW40_3705]]),"")</f>
        <v/>
      </c>
      <c r="H5658" s="7" t="str">
        <f>IF(Table1[[#This Row],[Is Data Valid]]=TRUE,((Table1[[#This Row],[Birthweight (grams)]]*0.9/Table1[[#This Row],[BW_GA]])-1)/(Backend!$B$4/100*Table1[[#This Row],[BW40_3705]]),"")</f>
        <v/>
      </c>
      <c r="I5658" s="7" t="str">
        <f>IF(Table1[[#This Row],[Is Data Valid]]=TRUE,((Table1[[#This Row],[Birthweight (grams)]]*1.1/Table1[[#This Row],[BW_GA]])-1)/(Backend!$B$4/100*Table1[[#This Row],[BW40_3705]]),"")</f>
        <v/>
      </c>
      <c r="J5658" s="7" t="str">
        <f>IF(Table1[[#This Row],[Is Data Valid]]=TRUE,_xlfn.NORM.S.DIST(Table1[[#This Row],[Birthweight Z-Score]],TRUE)*100,"")</f>
        <v/>
      </c>
      <c r="K5658" s="7" t="str">
        <f>IF(Table1[[#This Row],[Is Data Valid]]=TRUE,_xlfn.NORM.S.DIST(Table1[[#This Row],[Birthweight Z-Score (BW-10%)]],TRUE)*100,"")</f>
        <v/>
      </c>
      <c r="L5658" s="7" t="str">
        <f>IF(Table1[[#This Row],[Is Data Valid]]=TRUE,_xlfn.NORM.S.DIST(Table1[[#This Row],[Birthweight Z-Score (BW+10%)]],TRUE)*100,"")</f>
        <v/>
      </c>
    </row>
    <row r="5659" spans="1:12" x14ac:dyDescent="0.35">
      <c r="A5659" s="3"/>
      <c r="B5659" s="2"/>
      <c r="C5659" s="2"/>
      <c r="D5659" s="2" t="b">
        <f>IF(AND(NOT(ISBLANK(Table1[[#This Row],[Fetal Sex (Male, Female or Unknown)]])),ISNUMBER(Table1[[#This Row],[Birthweight (grams)]]),ISNUMBER(Table1[[#This Row],[Gestation (days)]])),TRUE,FALSE)</f>
        <v>0</v>
      </c>
      <c r="E5659" s="2" t="str">
        <f>IF(Table1[[#This Row],[Is Data Valid]]=TRUE,IF(Table1[[#This Row],[Fetal Sex (Male, Female or Unknown)]]="Male",Backend!$C$6,IF(Table1[[#This Row],[Fetal Sex (Male, Female or Unknown)]]="Female",Backend!$C$7,IF(Table1[[#This Row],[Fetal Sex (Male, Female or Unknown)]]="Unknown",Backend!$C$8,"Error"))),"")</f>
        <v/>
      </c>
      <c r="F5659" s="8" t="str">
        <f>IF(Table1[[#This Row],[Is Data Valid]]=TRUE,EXP(0.578+0.332*((Table1[[#This Row],[Gestation (days)]]+0.5)/7)-0.00354*((Table1[[#This Row],[Gestation (days)]]+0.5)/7)^2)*Table1[[#This Row],[BW40_3705]],"")</f>
        <v/>
      </c>
      <c r="G5659" s="2" t="str">
        <f>IF(Table1[[#This Row],[Is Data Valid]]=TRUE,((Table1[[#This Row],[Birthweight (grams)]]/Table1[[#This Row],[BW_GA]])-1)/(Backend!$B$4/100*Table1[[#This Row],[BW40_3705]]),"")</f>
        <v/>
      </c>
      <c r="H5659" s="7" t="str">
        <f>IF(Table1[[#This Row],[Is Data Valid]]=TRUE,((Table1[[#This Row],[Birthweight (grams)]]*0.9/Table1[[#This Row],[BW_GA]])-1)/(Backend!$B$4/100*Table1[[#This Row],[BW40_3705]]),"")</f>
        <v/>
      </c>
      <c r="I5659" s="7" t="str">
        <f>IF(Table1[[#This Row],[Is Data Valid]]=TRUE,((Table1[[#This Row],[Birthweight (grams)]]*1.1/Table1[[#This Row],[BW_GA]])-1)/(Backend!$B$4/100*Table1[[#This Row],[BW40_3705]]),"")</f>
        <v/>
      </c>
      <c r="J5659" s="7" t="str">
        <f>IF(Table1[[#This Row],[Is Data Valid]]=TRUE,_xlfn.NORM.S.DIST(Table1[[#This Row],[Birthweight Z-Score]],TRUE)*100,"")</f>
        <v/>
      </c>
      <c r="K5659" s="7" t="str">
        <f>IF(Table1[[#This Row],[Is Data Valid]]=TRUE,_xlfn.NORM.S.DIST(Table1[[#This Row],[Birthweight Z-Score (BW-10%)]],TRUE)*100,"")</f>
        <v/>
      </c>
      <c r="L5659" s="7" t="str">
        <f>IF(Table1[[#This Row],[Is Data Valid]]=TRUE,_xlfn.NORM.S.DIST(Table1[[#This Row],[Birthweight Z-Score (BW+10%)]],TRUE)*100,"")</f>
        <v/>
      </c>
    </row>
    <row r="5660" spans="1:12" x14ac:dyDescent="0.35">
      <c r="A5660" s="3"/>
      <c r="B5660" s="2"/>
      <c r="C5660" s="2"/>
      <c r="D5660" s="2" t="b">
        <f>IF(AND(NOT(ISBLANK(Table1[[#This Row],[Fetal Sex (Male, Female or Unknown)]])),ISNUMBER(Table1[[#This Row],[Birthweight (grams)]]),ISNUMBER(Table1[[#This Row],[Gestation (days)]])),TRUE,FALSE)</f>
        <v>0</v>
      </c>
      <c r="E5660" s="2" t="str">
        <f>IF(Table1[[#This Row],[Is Data Valid]]=TRUE,IF(Table1[[#This Row],[Fetal Sex (Male, Female or Unknown)]]="Male",Backend!$C$6,IF(Table1[[#This Row],[Fetal Sex (Male, Female or Unknown)]]="Female",Backend!$C$7,IF(Table1[[#This Row],[Fetal Sex (Male, Female or Unknown)]]="Unknown",Backend!$C$8,"Error"))),"")</f>
        <v/>
      </c>
      <c r="F5660" s="8" t="str">
        <f>IF(Table1[[#This Row],[Is Data Valid]]=TRUE,EXP(0.578+0.332*((Table1[[#This Row],[Gestation (days)]]+0.5)/7)-0.00354*((Table1[[#This Row],[Gestation (days)]]+0.5)/7)^2)*Table1[[#This Row],[BW40_3705]],"")</f>
        <v/>
      </c>
      <c r="G5660" s="2" t="str">
        <f>IF(Table1[[#This Row],[Is Data Valid]]=TRUE,((Table1[[#This Row],[Birthweight (grams)]]/Table1[[#This Row],[BW_GA]])-1)/(Backend!$B$4/100*Table1[[#This Row],[BW40_3705]]),"")</f>
        <v/>
      </c>
      <c r="H5660" s="7" t="str">
        <f>IF(Table1[[#This Row],[Is Data Valid]]=TRUE,((Table1[[#This Row],[Birthweight (grams)]]*0.9/Table1[[#This Row],[BW_GA]])-1)/(Backend!$B$4/100*Table1[[#This Row],[BW40_3705]]),"")</f>
        <v/>
      </c>
      <c r="I5660" s="7" t="str">
        <f>IF(Table1[[#This Row],[Is Data Valid]]=TRUE,((Table1[[#This Row],[Birthweight (grams)]]*1.1/Table1[[#This Row],[BW_GA]])-1)/(Backend!$B$4/100*Table1[[#This Row],[BW40_3705]]),"")</f>
        <v/>
      </c>
      <c r="J5660" s="7" t="str">
        <f>IF(Table1[[#This Row],[Is Data Valid]]=TRUE,_xlfn.NORM.S.DIST(Table1[[#This Row],[Birthweight Z-Score]],TRUE)*100,"")</f>
        <v/>
      </c>
      <c r="K5660" s="7" t="str">
        <f>IF(Table1[[#This Row],[Is Data Valid]]=TRUE,_xlfn.NORM.S.DIST(Table1[[#This Row],[Birthweight Z-Score (BW-10%)]],TRUE)*100,"")</f>
        <v/>
      </c>
      <c r="L5660" s="7" t="str">
        <f>IF(Table1[[#This Row],[Is Data Valid]]=TRUE,_xlfn.NORM.S.DIST(Table1[[#This Row],[Birthweight Z-Score (BW+10%)]],TRUE)*100,"")</f>
        <v/>
      </c>
    </row>
    <row r="5661" spans="1:12" x14ac:dyDescent="0.35">
      <c r="A5661" s="3"/>
      <c r="B5661" s="2"/>
      <c r="C5661" s="2"/>
      <c r="D5661" s="2" t="b">
        <f>IF(AND(NOT(ISBLANK(Table1[[#This Row],[Fetal Sex (Male, Female or Unknown)]])),ISNUMBER(Table1[[#This Row],[Birthweight (grams)]]),ISNUMBER(Table1[[#This Row],[Gestation (days)]])),TRUE,FALSE)</f>
        <v>0</v>
      </c>
      <c r="E5661" s="2" t="str">
        <f>IF(Table1[[#This Row],[Is Data Valid]]=TRUE,IF(Table1[[#This Row],[Fetal Sex (Male, Female or Unknown)]]="Male",Backend!$C$6,IF(Table1[[#This Row],[Fetal Sex (Male, Female or Unknown)]]="Female",Backend!$C$7,IF(Table1[[#This Row],[Fetal Sex (Male, Female or Unknown)]]="Unknown",Backend!$C$8,"Error"))),"")</f>
        <v/>
      </c>
      <c r="F5661" s="8" t="str">
        <f>IF(Table1[[#This Row],[Is Data Valid]]=TRUE,EXP(0.578+0.332*((Table1[[#This Row],[Gestation (days)]]+0.5)/7)-0.00354*((Table1[[#This Row],[Gestation (days)]]+0.5)/7)^2)*Table1[[#This Row],[BW40_3705]],"")</f>
        <v/>
      </c>
      <c r="G5661" s="2" t="str">
        <f>IF(Table1[[#This Row],[Is Data Valid]]=TRUE,((Table1[[#This Row],[Birthweight (grams)]]/Table1[[#This Row],[BW_GA]])-1)/(Backend!$B$4/100*Table1[[#This Row],[BW40_3705]]),"")</f>
        <v/>
      </c>
      <c r="H5661" s="7" t="str">
        <f>IF(Table1[[#This Row],[Is Data Valid]]=TRUE,((Table1[[#This Row],[Birthweight (grams)]]*0.9/Table1[[#This Row],[BW_GA]])-1)/(Backend!$B$4/100*Table1[[#This Row],[BW40_3705]]),"")</f>
        <v/>
      </c>
      <c r="I5661" s="7" t="str">
        <f>IF(Table1[[#This Row],[Is Data Valid]]=TRUE,((Table1[[#This Row],[Birthweight (grams)]]*1.1/Table1[[#This Row],[BW_GA]])-1)/(Backend!$B$4/100*Table1[[#This Row],[BW40_3705]]),"")</f>
        <v/>
      </c>
      <c r="J5661" s="7" t="str">
        <f>IF(Table1[[#This Row],[Is Data Valid]]=TRUE,_xlfn.NORM.S.DIST(Table1[[#This Row],[Birthweight Z-Score]],TRUE)*100,"")</f>
        <v/>
      </c>
      <c r="K5661" s="7" t="str">
        <f>IF(Table1[[#This Row],[Is Data Valid]]=TRUE,_xlfn.NORM.S.DIST(Table1[[#This Row],[Birthweight Z-Score (BW-10%)]],TRUE)*100,"")</f>
        <v/>
      </c>
      <c r="L5661" s="7" t="str">
        <f>IF(Table1[[#This Row],[Is Data Valid]]=TRUE,_xlfn.NORM.S.DIST(Table1[[#This Row],[Birthweight Z-Score (BW+10%)]],TRUE)*100,"")</f>
        <v/>
      </c>
    </row>
    <row r="5662" spans="1:12" x14ac:dyDescent="0.35">
      <c r="A5662" s="3"/>
      <c r="B5662" s="2"/>
      <c r="C5662" s="2"/>
      <c r="D5662" s="2" t="b">
        <f>IF(AND(NOT(ISBLANK(Table1[[#This Row],[Fetal Sex (Male, Female or Unknown)]])),ISNUMBER(Table1[[#This Row],[Birthweight (grams)]]),ISNUMBER(Table1[[#This Row],[Gestation (days)]])),TRUE,FALSE)</f>
        <v>0</v>
      </c>
      <c r="E5662" s="2" t="str">
        <f>IF(Table1[[#This Row],[Is Data Valid]]=TRUE,IF(Table1[[#This Row],[Fetal Sex (Male, Female or Unknown)]]="Male",Backend!$C$6,IF(Table1[[#This Row],[Fetal Sex (Male, Female or Unknown)]]="Female",Backend!$C$7,IF(Table1[[#This Row],[Fetal Sex (Male, Female or Unknown)]]="Unknown",Backend!$C$8,"Error"))),"")</f>
        <v/>
      </c>
      <c r="F5662" s="8" t="str">
        <f>IF(Table1[[#This Row],[Is Data Valid]]=TRUE,EXP(0.578+0.332*((Table1[[#This Row],[Gestation (days)]]+0.5)/7)-0.00354*((Table1[[#This Row],[Gestation (days)]]+0.5)/7)^2)*Table1[[#This Row],[BW40_3705]],"")</f>
        <v/>
      </c>
      <c r="G5662" s="2" t="str">
        <f>IF(Table1[[#This Row],[Is Data Valid]]=TRUE,((Table1[[#This Row],[Birthweight (grams)]]/Table1[[#This Row],[BW_GA]])-1)/(Backend!$B$4/100*Table1[[#This Row],[BW40_3705]]),"")</f>
        <v/>
      </c>
      <c r="H5662" s="7" t="str">
        <f>IF(Table1[[#This Row],[Is Data Valid]]=TRUE,((Table1[[#This Row],[Birthweight (grams)]]*0.9/Table1[[#This Row],[BW_GA]])-1)/(Backend!$B$4/100*Table1[[#This Row],[BW40_3705]]),"")</f>
        <v/>
      </c>
      <c r="I5662" s="7" t="str">
        <f>IF(Table1[[#This Row],[Is Data Valid]]=TRUE,((Table1[[#This Row],[Birthweight (grams)]]*1.1/Table1[[#This Row],[BW_GA]])-1)/(Backend!$B$4/100*Table1[[#This Row],[BW40_3705]]),"")</f>
        <v/>
      </c>
      <c r="J5662" s="7" t="str">
        <f>IF(Table1[[#This Row],[Is Data Valid]]=TRUE,_xlfn.NORM.S.DIST(Table1[[#This Row],[Birthweight Z-Score]],TRUE)*100,"")</f>
        <v/>
      </c>
      <c r="K5662" s="7" t="str">
        <f>IF(Table1[[#This Row],[Is Data Valid]]=TRUE,_xlfn.NORM.S.DIST(Table1[[#This Row],[Birthweight Z-Score (BW-10%)]],TRUE)*100,"")</f>
        <v/>
      </c>
      <c r="L5662" s="7" t="str">
        <f>IF(Table1[[#This Row],[Is Data Valid]]=TRUE,_xlfn.NORM.S.DIST(Table1[[#This Row],[Birthweight Z-Score (BW+10%)]],TRUE)*100,"")</f>
        <v/>
      </c>
    </row>
    <row r="5663" spans="1:12" x14ac:dyDescent="0.35">
      <c r="A5663" s="3"/>
      <c r="B5663" s="2"/>
      <c r="C5663" s="2"/>
      <c r="D5663" s="2" t="b">
        <f>IF(AND(NOT(ISBLANK(Table1[[#This Row],[Fetal Sex (Male, Female or Unknown)]])),ISNUMBER(Table1[[#This Row],[Birthweight (grams)]]),ISNUMBER(Table1[[#This Row],[Gestation (days)]])),TRUE,FALSE)</f>
        <v>0</v>
      </c>
      <c r="E5663" s="2" t="str">
        <f>IF(Table1[[#This Row],[Is Data Valid]]=TRUE,IF(Table1[[#This Row],[Fetal Sex (Male, Female or Unknown)]]="Male",Backend!$C$6,IF(Table1[[#This Row],[Fetal Sex (Male, Female or Unknown)]]="Female",Backend!$C$7,IF(Table1[[#This Row],[Fetal Sex (Male, Female or Unknown)]]="Unknown",Backend!$C$8,"Error"))),"")</f>
        <v/>
      </c>
      <c r="F5663" s="8" t="str">
        <f>IF(Table1[[#This Row],[Is Data Valid]]=TRUE,EXP(0.578+0.332*((Table1[[#This Row],[Gestation (days)]]+0.5)/7)-0.00354*((Table1[[#This Row],[Gestation (days)]]+0.5)/7)^2)*Table1[[#This Row],[BW40_3705]],"")</f>
        <v/>
      </c>
      <c r="G5663" s="2" t="str">
        <f>IF(Table1[[#This Row],[Is Data Valid]]=TRUE,((Table1[[#This Row],[Birthweight (grams)]]/Table1[[#This Row],[BW_GA]])-1)/(Backend!$B$4/100*Table1[[#This Row],[BW40_3705]]),"")</f>
        <v/>
      </c>
      <c r="H5663" s="7" t="str">
        <f>IF(Table1[[#This Row],[Is Data Valid]]=TRUE,((Table1[[#This Row],[Birthweight (grams)]]*0.9/Table1[[#This Row],[BW_GA]])-1)/(Backend!$B$4/100*Table1[[#This Row],[BW40_3705]]),"")</f>
        <v/>
      </c>
      <c r="I5663" s="7" t="str">
        <f>IF(Table1[[#This Row],[Is Data Valid]]=TRUE,((Table1[[#This Row],[Birthweight (grams)]]*1.1/Table1[[#This Row],[BW_GA]])-1)/(Backend!$B$4/100*Table1[[#This Row],[BW40_3705]]),"")</f>
        <v/>
      </c>
      <c r="J5663" s="7" t="str">
        <f>IF(Table1[[#This Row],[Is Data Valid]]=TRUE,_xlfn.NORM.S.DIST(Table1[[#This Row],[Birthweight Z-Score]],TRUE)*100,"")</f>
        <v/>
      </c>
      <c r="K5663" s="7" t="str">
        <f>IF(Table1[[#This Row],[Is Data Valid]]=TRUE,_xlfn.NORM.S.DIST(Table1[[#This Row],[Birthweight Z-Score (BW-10%)]],TRUE)*100,"")</f>
        <v/>
      </c>
      <c r="L5663" s="7" t="str">
        <f>IF(Table1[[#This Row],[Is Data Valid]]=TRUE,_xlfn.NORM.S.DIST(Table1[[#This Row],[Birthweight Z-Score (BW+10%)]],TRUE)*100,"")</f>
        <v/>
      </c>
    </row>
    <row r="5664" spans="1:12" x14ac:dyDescent="0.35">
      <c r="A5664" s="3"/>
      <c r="B5664" s="2"/>
      <c r="C5664" s="2"/>
      <c r="D5664" s="2" t="b">
        <f>IF(AND(NOT(ISBLANK(Table1[[#This Row],[Fetal Sex (Male, Female or Unknown)]])),ISNUMBER(Table1[[#This Row],[Birthweight (grams)]]),ISNUMBER(Table1[[#This Row],[Gestation (days)]])),TRUE,FALSE)</f>
        <v>0</v>
      </c>
      <c r="E5664" s="2" t="str">
        <f>IF(Table1[[#This Row],[Is Data Valid]]=TRUE,IF(Table1[[#This Row],[Fetal Sex (Male, Female or Unknown)]]="Male",Backend!$C$6,IF(Table1[[#This Row],[Fetal Sex (Male, Female or Unknown)]]="Female",Backend!$C$7,IF(Table1[[#This Row],[Fetal Sex (Male, Female or Unknown)]]="Unknown",Backend!$C$8,"Error"))),"")</f>
        <v/>
      </c>
      <c r="F5664" s="8" t="str">
        <f>IF(Table1[[#This Row],[Is Data Valid]]=TRUE,EXP(0.578+0.332*((Table1[[#This Row],[Gestation (days)]]+0.5)/7)-0.00354*((Table1[[#This Row],[Gestation (days)]]+0.5)/7)^2)*Table1[[#This Row],[BW40_3705]],"")</f>
        <v/>
      </c>
      <c r="G5664" s="2" t="str">
        <f>IF(Table1[[#This Row],[Is Data Valid]]=TRUE,((Table1[[#This Row],[Birthweight (grams)]]/Table1[[#This Row],[BW_GA]])-1)/(Backend!$B$4/100*Table1[[#This Row],[BW40_3705]]),"")</f>
        <v/>
      </c>
      <c r="H5664" s="7" t="str">
        <f>IF(Table1[[#This Row],[Is Data Valid]]=TRUE,((Table1[[#This Row],[Birthweight (grams)]]*0.9/Table1[[#This Row],[BW_GA]])-1)/(Backend!$B$4/100*Table1[[#This Row],[BW40_3705]]),"")</f>
        <v/>
      </c>
      <c r="I5664" s="7" t="str">
        <f>IF(Table1[[#This Row],[Is Data Valid]]=TRUE,((Table1[[#This Row],[Birthweight (grams)]]*1.1/Table1[[#This Row],[BW_GA]])-1)/(Backend!$B$4/100*Table1[[#This Row],[BW40_3705]]),"")</f>
        <v/>
      </c>
      <c r="J5664" s="7" t="str">
        <f>IF(Table1[[#This Row],[Is Data Valid]]=TRUE,_xlfn.NORM.S.DIST(Table1[[#This Row],[Birthweight Z-Score]],TRUE)*100,"")</f>
        <v/>
      </c>
      <c r="K5664" s="7" t="str">
        <f>IF(Table1[[#This Row],[Is Data Valid]]=TRUE,_xlfn.NORM.S.DIST(Table1[[#This Row],[Birthweight Z-Score (BW-10%)]],TRUE)*100,"")</f>
        <v/>
      </c>
      <c r="L5664" s="7" t="str">
        <f>IF(Table1[[#This Row],[Is Data Valid]]=TRUE,_xlfn.NORM.S.DIST(Table1[[#This Row],[Birthweight Z-Score (BW+10%)]],TRUE)*100,"")</f>
        <v/>
      </c>
    </row>
    <row r="5665" spans="1:12" x14ac:dyDescent="0.35">
      <c r="A5665" s="3"/>
      <c r="B5665" s="2"/>
      <c r="C5665" s="2"/>
      <c r="D5665" s="2" t="b">
        <f>IF(AND(NOT(ISBLANK(Table1[[#This Row],[Fetal Sex (Male, Female or Unknown)]])),ISNUMBER(Table1[[#This Row],[Birthweight (grams)]]),ISNUMBER(Table1[[#This Row],[Gestation (days)]])),TRUE,FALSE)</f>
        <v>0</v>
      </c>
      <c r="E5665" s="2" t="str">
        <f>IF(Table1[[#This Row],[Is Data Valid]]=TRUE,IF(Table1[[#This Row],[Fetal Sex (Male, Female or Unknown)]]="Male",Backend!$C$6,IF(Table1[[#This Row],[Fetal Sex (Male, Female or Unknown)]]="Female",Backend!$C$7,IF(Table1[[#This Row],[Fetal Sex (Male, Female or Unknown)]]="Unknown",Backend!$C$8,"Error"))),"")</f>
        <v/>
      </c>
      <c r="F5665" s="8" t="str">
        <f>IF(Table1[[#This Row],[Is Data Valid]]=TRUE,EXP(0.578+0.332*((Table1[[#This Row],[Gestation (days)]]+0.5)/7)-0.00354*((Table1[[#This Row],[Gestation (days)]]+0.5)/7)^2)*Table1[[#This Row],[BW40_3705]],"")</f>
        <v/>
      </c>
      <c r="G5665" s="2" t="str">
        <f>IF(Table1[[#This Row],[Is Data Valid]]=TRUE,((Table1[[#This Row],[Birthweight (grams)]]/Table1[[#This Row],[BW_GA]])-1)/(Backend!$B$4/100*Table1[[#This Row],[BW40_3705]]),"")</f>
        <v/>
      </c>
      <c r="H5665" s="7" t="str">
        <f>IF(Table1[[#This Row],[Is Data Valid]]=TRUE,((Table1[[#This Row],[Birthweight (grams)]]*0.9/Table1[[#This Row],[BW_GA]])-1)/(Backend!$B$4/100*Table1[[#This Row],[BW40_3705]]),"")</f>
        <v/>
      </c>
      <c r="I5665" s="7" t="str">
        <f>IF(Table1[[#This Row],[Is Data Valid]]=TRUE,((Table1[[#This Row],[Birthweight (grams)]]*1.1/Table1[[#This Row],[BW_GA]])-1)/(Backend!$B$4/100*Table1[[#This Row],[BW40_3705]]),"")</f>
        <v/>
      </c>
      <c r="J5665" s="7" t="str">
        <f>IF(Table1[[#This Row],[Is Data Valid]]=TRUE,_xlfn.NORM.S.DIST(Table1[[#This Row],[Birthweight Z-Score]],TRUE)*100,"")</f>
        <v/>
      </c>
      <c r="K5665" s="7" t="str">
        <f>IF(Table1[[#This Row],[Is Data Valid]]=TRUE,_xlfn.NORM.S.DIST(Table1[[#This Row],[Birthweight Z-Score (BW-10%)]],TRUE)*100,"")</f>
        <v/>
      </c>
      <c r="L5665" s="7" t="str">
        <f>IF(Table1[[#This Row],[Is Data Valid]]=TRUE,_xlfn.NORM.S.DIST(Table1[[#This Row],[Birthweight Z-Score (BW+10%)]],TRUE)*100,"")</f>
        <v/>
      </c>
    </row>
    <row r="5666" spans="1:12" x14ac:dyDescent="0.35">
      <c r="A5666" s="3"/>
      <c r="B5666" s="2"/>
      <c r="C5666" s="2"/>
      <c r="D5666" s="2" t="b">
        <f>IF(AND(NOT(ISBLANK(Table1[[#This Row],[Fetal Sex (Male, Female or Unknown)]])),ISNUMBER(Table1[[#This Row],[Birthweight (grams)]]),ISNUMBER(Table1[[#This Row],[Gestation (days)]])),TRUE,FALSE)</f>
        <v>0</v>
      </c>
      <c r="E5666" s="2" t="str">
        <f>IF(Table1[[#This Row],[Is Data Valid]]=TRUE,IF(Table1[[#This Row],[Fetal Sex (Male, Female or Unknown)]]="Male",Backend!$C$6,IF(Table1[[#This Row],[Fetal Sex (Male, Female or Unknown)]]="Female",Backend!$C$7,IF(Table1[[#This Row],[Fetal Sex (Male, Female or Unknown)]]="Unknown",Backend!$C$8,"Error"))),"")</f>
        <v/>
      </c>
      <c r="F5666" s="8" t="str">
        <f>IF(Table1[[#This Row],[Is Data Valid]]=TRUE,EXP(0.578+0.332*((Table1[[#This Row],[Gestation (days)]]+0.5)/7)-0.00354*((Table1[[#This Row],[Gestation (days)]]+0.5)/7)^2)*Table1[[#This Row],[BW40_3705]],"")</f>
        <v/>
      </c>
      <c r="G5666" s="2" t="str">
        <f>IF(Table1[[#This Row],[Is Data Valid]]=TRUE,((Table1[[#This Row],[Birthweight (grams)]]/Table1[[#This Row],[BW_GA]])-1)/(Backend!$B$4/100*Table1[[#This Row],[BW40_3705]]),"")</f>
        <v/>
      </c>
      <c r="H5666" s="7" t="str">
        <f>IF(Table1[[#This Row],[Is Data Valid]]=TRUE,((Table1[[#This Row],[Birthweight (grams)]]*0.9/Table1[[#This Row],[BW_GA]])-1)/(Backend!$B$4/100*Table1[[#This Row],[BW40_3705]]),"")</f>
        <v/>
      </c>
      <c r="I5666" s="7" t="str">
        <f>IF(Table1[[#This Row],[Is Data Valid]]=TRUE,((Table1[[#This Row],[Birthweight (grams)]]*1.1/Table1[[#This Row],[BW_GA]])-1)/(Backend!$B$4/100*Table1[[#This Row],[BW40_3705]]),"")</f>
        <v/>
      </c>
      <c r="J5666" s="7" t="str">
        <f>IF(Table1[[#This Row],[Is Data Valid]]=TRUE,_xlfn.NORM.S.DIST(Table1[[#This Row],[Birthweight Z-Score]],TRUE)*100,"")</f>
        <v/>
      </c>
      <c r="K5666" s="7" t="str">
        <f>IF(Table1[[#This Row],[Is Data Valid]]=TRUE,_xlfn.NORM.S.DIST(Table1[[#This Row],[Birthweight Z-Score (BW-10%)]],TRUE)*100,"")</f>
        <v/>
      </c>
      <c r="L5666" s="7" t="str">
        <f>IF(Table1[[#This Row],[Is Data Valid]]=TRUE,_xlfn.NORM.S.DIST(Table1[[#This Row],[Birthweight Z-Score (BW+10%)]],TRUE)*100,"")</f>
        <v/>
      </c>
    </row>
    <row r="5667" spans="1:12" x14ac:dyDescent="0.35">
      <c r="A5667" s="3"/>
      <c r="B5667" s="2"/>
      <c r="C5667" s="2"/>
      <c r="D5667" s="2" t="b">
        <f>IF(AND(NOT(ISBLANK(Table1[[#This Row],[Fetal Sex (Male, Female or Unknown)]])),ISNUMBER(Table1[[#This Row],[Birthweight (grams)]]),ISNUMBER(Table1[[#This Row],[Gestation (days)]])),TRUE,FALSE)</f>
        <v>0</v>
      </c>
      <c r="E5667" s="2" t="str">
        <f>IF(Table1[[#This Row],[Is Data Valid]]=TRUE,IF(Table1[[#This Row],[Fetal Sex (Male, Female or Unknown)]]="Male",Backend!$C$6,IF(Table1[[#This Row],[Fetal Sex (Male, Female or Unknown)]]="Female",Backend!$C$7,IF(Table1[[#This Row],[Fetal Sex (Male, Female or Unknown)]]="Unknown",Backend!$C$8,"Error"))),"")</f>
        <v/>
      </c>
      <c r="F5667" s="8" t="str">
        <f>IF(Table1[[#This Row],[Is Data Valid]]=TRUE,EXP(0.578+0.332*((Table1[[#This Row],[Gestation (days)]]+0.5)/7)-0.00354*((Table1[[#This Row],[Gestation (days)]]+0.5)/7)^2)*Table1[[#This Row],[BW40_3705]],"")</f>
        <v/>
      </c>
      <c r="G5667" s="2" t="str">
        <f>IF(Table1[[#This Row],[Is Data Valid]]=TRUE,((Table1[[#This Row],[Birthweight (grams)]]/Table1[[#This Row],[BW_GA]])-1)/(Backend!$B$4/100*Table1[[#This Row],[BW40_3705]]),"")</f>
        <v/>
      </c>
      <c r="H5667" s="7" t="str">
        <f>IF(Table1[[#This Row],[Is Data Valid]]=TRUE,((Table1[[#This Row],[Birthweight (grams)]]*0.9/Table1[[#This Row],[BW_GA]])-1)/(Backend!$B$4/100*Table1[[#This Row],[BW40_3705]]),"")</f>
        <v/>
      </c>
      <c r="I5667" s="7" t="str">
        <f>IF(Table1[[#This Row],[Is Data Valid]]=TRUE,((Table1[[#This Row],[Birthweight (grams)]]*1.1/Table1[[#This Row],[BW_GA]])-1)/(Backend!$B$4/100*Table1[[#This Row],[BW40_3705]]),"")</f>
        <v/>
      </c>
      <c r="J5667" s="7" t="str">
        <f>IF(Table1[[#This Row],[Is Data Valid]]=TRUE,_xlfn.NORM.S.DIST(Table1[[#This Row],[Birthweight Z-Score]],TRUE)*100,"")</f>
        <v/>
      </c>
      <c r="K5667" s="7" t="str">
        <f>IF(Table1[[#This Row],[Is Data Valid]]=TRUE,_xlfn.NORM.S.DIST(Table1[[#This Row],[Birthweight Z-Score (BW-10%)]],TRUE)*100,"")</f>
        <v/>
      </c>
      <c r="L5667" s="7" t="str">
        <f>IF(Table1[[#This Row],[Is Data Valid]]=TRUE,_xlfn.NORM.S.DIST(Table1[[#This Row],[Birthweight Z-Score (BW+10%)]],TRUE)*100,"")</f>
        <v/>
      </c>
    </row>
    <row r="5668" spans="1:12" x14ac:dyDescent="0.35">
      <c r="A5668" s="3"/>
      <c r="B5668" s="2"/>
      <c r="C5668" s="2"/>
      <c r="D5668" s="2" t="b">
        <f>IF(AND(NOT(ISBLANK(Table1[[#This Row],[Fetal Sex (Male, Female or Unknown)]])),ISNUMBER(Table1[[#This Row],[Birthweight (grams)]]),ISNUMBER(Table1[[#This Row],[Gestation (days)]])),TRUE,FALSE)</f>
        <v>0</v>
      </c>
      <c r="E5668" s="2" t="str">
        <f>IF(Table1[[#This Row],[Is Data Valid]]=TRUE,IF(Table1[[#This Row],[Fetal Sex (Male, Female or Unknown)]]="Male",Backend!$C$6,IF(Table1[[#This Row],[Fetal Sex (Male, Female or Unknown)]]="Female",Backend!$C$7,IF(Table1[[#This Row],[Fetal Sex (Male, Female or Unknown)]]="Unknown",Backend!$C$8,"Error"))),"")</f>
        <v/>
      </c>
      <c r="F5668" s="8" t="str">
        <f>IF(Table1[[#This Row],[Is Data Valid]]=TRUE,EXP(0.578+0.332*((Table1[[#This Row],[Gestation (days)]]+0.5)/7)-0.00354*((Table1[[#This Row],[Gestation (days)]]+0.5)/7)^2)*Table1[[#This Row],[BW40_3705]],"")</f>
        <v/>
      </c>
      <c r="G5668" s="2" t="str">
        <f>IF(Table1[[#This Row],[Is Data Valid]]=TRUE,((Table1[[#This Row],[Birthweight (grams)]]/Table1[[#This Row],[BW_GA]])-1)/(Backend!$B$4/100*Table1[[#This Row],[BW40_3705]]),"")</f>
        <v/>
      </c>
      <c r="H5668" s="7" t="str">
        <f>IF(Table1[[#This Row],[Is Data Valid]]=TRUE,((Table1[[#This Row],[Birthweight (grams)]]*0.9/Table1[[#This Row],[BW_GA]])-1)/(Backend!$B$4/100*Table1[[#This Row],[BW40_3705]]),"")</f>
        <v/>
      </c>
      <c r="I5668" s="7" t="str">
        <f>IF(Table1[[#This Row],[Is Data Valid]]=TRUE,((Table1[[#This Row],[Birthweight (grams)]]*1.1/Table1[[#This Row],[BW_GA]])-1)/(Backend!$B$4/100*Table1[[#This Row],[BW40_3705]]),"")</f>
        <v/>
      </c>
      <c r="J5668" s="7" t="str">
        <f>IF(Table1[[#This Row],[Is Data Valid]]=TRUE,_xlfn.NORM.S.DIST(Table1[[#This Row],[Birthweight Z-Score]],TRUE)*100,"")</f>
        <v/>
      </c>
      <c r="K5668" s="7" t="str">
        <f>IF(Table1[[#This Row],[Is Data Valid]]=TRUE,_xlfn.NORM.S.DIST(Table1[[#This Row],[Birthweight Z-Score (BW-10%)]],TRUE)*100,"")</f>
        <v/>
      </c>
      <c r="L5668" s="7" t="str">
        <f>IF(Table1[[#This Row],[Is Data Valid]]=TRUE,_xlfn.NORM.S.DIST(Table1[[#This Row],[Birthweight Z-Score (BW+10%)]],TRUE)*100,"")</f>
        <v/>
      </c>
    </row>
    <row r="5669" spans="1:12" x14ac:dyDescent="0.35">
      <c r="A5669" s="3"/>
      <c r="B5669" s="2"/>
      <c r="C5669" s="2"/>
      <c r="D5669" s="2" t="b">
        <f>IF(AND(NOT(ISBLANK(Table1[[#This Row],[Fetal Sex (Male, Female or Unknown)]])),ISNUMBER(Table1[[#This Row],[Birthweight (grams)]]),ISNUMBER(Table1[[#This Row],[Gestation (days)]])),TRUE,FALSE)</f>
        <v>0</v>
      </c>
      <c r="E5669" s="2" t="str">
        <f>IF(Table1[[#This Row],[Is Data Valid]]=TRUE,IF(Table1[[#This Row],[Fetal Sex (Male, Female or Unknown)]]="Male",Backend!$C$6,IF(Table1[[#This Row],[Fetal Sex (Male, Female or Unknown)]]="Female",Backend!$C$7,IF(Table1[[#This Row],[Fetal Sex (Male, Female or Unknown)]]="Unknown",Backend!$C$8,"Error"))),"")</f>
        <v/>
      </c>
      <c r="F5669" s="8" t="str">
        <f>IF(Table1[[#This Row],[Is Data Valid]]=TRUE,EXP(0.578+0.332*((Table1[[#This Row],[Gestation (days)]]+0.5)/7)-0.00354*((Table1[[#This Row],[Gestation (days)]]+0.5)/7)^2)*Table1[[#This Row],[BW40_3705]],"")</f>
        <v/>
      </c>
      <c r="G5669" s="2" t="str">
        <f>IF(Table1[[#This Row],[Is Data Valid]]=TRUE,((Table1[[#This Row],[Birthweight (grams)]]/Table1[[#This Row],[BW_GA]])-1)/(Backend!$B$4/100*Table1[[#This Row],[BW40_3705]]),"")</f>
        <v/>
      </c>
      <c r="H5669" s="7" t="str">
        <f>IF(Table1[[#This Row],[Is Data Valid]]=TRUE,((Table1[[#This Row],[Birthweight (grams)]]*0.9/Table1[[#This Row],[BW_GA]])-1)/(Backend!$B$4/100*Table1[[#This Row],[BW40_3705]]),"")</f>
        <v/>
      </c>
      <c r="I5669" s="7" t="str">
        <f>IF(Table1[[#This Row],[Is Data Valid]]=TRUE,((Table1[[#This Row],[Birthweight (grams)]]*1.1/Table1[[#This Row],[BW_GA]])-1)/(Backend!$B$4/100*Table1[[#This Row],[BW40_3705]]),"")</f>
        <v/>
      </c>
      <c r="J5669" s="7" t="str">
        <f>IF(Table1[[#This Row],[Is Data Valid]]=TRUE,_xlfn.NORM.S.DIST(Table1[[#This Row],[Birthweight Z-Score]],TRUE)*100,"")</f>
        <v/>
      </c>
      <c r="K5669" s="7" t="str">
        <f>IF(Table1[[#This Row],[Is Data Valid]]=TRUE,_xlfn.NORM.S.DIST(Table1[[#This Row],[Birthweight Z-Score (BW-10%)]],TRUE)*100,"")</f>
        <v/>
      </c>
      <c r="L5669" s="7" t="str">
        <f>IF(Table1[[#This Row],[Is Data Valid]]=TRUE,_xlfn.NORM.S.DIST(Table1[[#This Row],[Birthweight Z-Score (BW+10%)]],TRUE)*100,"")</f>
        <v/>
      </c>
    </row>
    <row r="5670" spans="1:12" x14ac:dyDescent="0.35">
      <c r="A5670" s="3"/>
      <c r="B5670" s="2"/>
      <c r="C5670" s="2"/>
      <c r="D5670" s="2" t="b">
        <f>IF(AND(NOT(ISBLANK(Table1[[#This Row],[Fetal Sex (Male, Female or Unknown)]])),ISNUMBER(Table1[[#This Row],[Birthweight (grams)]]),ISNUMBER(Table1[[#This Row],[Gestation (days)]])),TRUE,FALSE)</f>
        <v>0</v>
      </c>
      <c r="E5670" s="2" t="str">
        <f>IF(Table1[[#This Row],[Is Data Valid]]=TRUE,IF(Table1[[#This Row],[Fetal Sex (Male, Female or Unknown)]]="Male",Backend!$C$6,IF(Table1[[#This Row],[Fetal Sex (Male, Female or Unknown)]]="Female",Backend!$C$7,IF(Table1[[#This Row],[Fetal Sex (Male, Female or Unknown)]]="Unknown",Backend!$C$8,"Error"))),"")</f>
        <v/>
      </c>
      <c r="F5670" s="8" t="str">
        <f>IF(Table1[[#This Row],[Is Data Valid]]=TRUE,EXP(0.578+0.332*((Table1[[#This Row],[Gestation (days)]]+0.5)/7)-0.00354*((Table1[[#This Row],[Gestation (days)]]+0.5)/7)^2)*Table1[[#This Row],[BW40_3705]],"")</f>
        <v/>
      </c>
      <c r="G5670" s="2" t="str">
        <f>IF(Table1[[#This Row],[Is Data Valid]]=TRUE,((Table1[[#This Row],[Birthweight (grams)]]/Table1[[#This Row],[BW_GA]])-1)/(Backend!$B$4/100*Table1[[#This Row],[BW40_3705]]),"")</f>
        <v/>
      </c>
      <c r="H5670" s="7" t="str">
        <f>IF(Table1[[#This Row],[Is Data Valid]]=TRUE,((Table1[[#This Row],[Birthweight (grams)]]*0.9/Table1[[#This Row],[BW_GA]])-1)/(Backend!$B$4/100*Table1[[#This Row],[BW40_3705]]),"")</f>
        <v/>
      </c>
      <c r="I5670" s="7" t="str">
        <f>IF(Table1[[#This Row],[Is Data Valid]]=TRUE,((Table1[[#This Row],[Birthweight (grams)]]*1.1/Table1[[#This Row],[BW_GA]])-1)/(Backend!$B$4/100*Table1[[#This Row],[BW40_3705]]),"")</f>
        <v/>
      </c>
      <c r="J5670" s="7" t="str">
        <f>IF(Table1[[#This Row],[Is Data Valid]]=TRUE,_xlfn.NORM.S.DIST(Table1[[#This Row],[Birthweight Z-Score]],TRUE)*100,"")</f>
        <v/>
      </c>
      <c r="K5670" s="7" t="str">
        <f>IF(Table1[[#This Row],[Is Data Valid]]=TRUE,_xlfn.NORM.S.DIST(Table1[[#This Row],[Birthweight Z-Score (BW-10%)]],TRUE)*100,"")</f>
        <v/>
      </c>
      <c r="L5670" s="7" t="str">
        <f>IF(Table1[[#This Row],[Is Data Valid]]=TRUE,_xlfn.NORM.S.DIST(Table1[[#This Row],[Birthweight Z-Score (BW+10%)]],TRUE)*100,"")</f>
        <v/>
      </c>
    </row>
    <row r="5671" spans="1:12" x14ac:dyDescent="0.35">
      <c r="A5671" s="3"/>
      <c r="B5671" s="2"/>
      <c r="C5671" s="2"/>
      <c r="D5671" s="2" t="b">
        <f>IF(AND(NOT(ISBLANK(Table1[[#This Row],[Fetal Sex (Male, Female or Unknown)]])),ISNUMBER(Table1[[#This Row],[Birthweight (grams)]]),ISNUMBER(Table1[[#This Row],[Gestation (days)]])),TRUE,FALSE)</f>
        <v>0</v>
      </c>
      <c r="E5671" s="2" t="str">
        <f>IF(Table1[[#This Row],[Is Data Valid]]=TRUE,IF(Table1[[#This Row],[Fetal Sex (Male, Female or Unknown)]]="Male",Backend!$C$6,IF(Table1[[#This Row],[Fetal Sex (Male, Female or Unknown)]]="Female",Backend!$C$7,IF(Table1[[#This Row],[Fetal Sex (Male, Female or Unknown)]]="Unknown",Backend!$C$8,"Error"))),"")</f>
        <v/>
      </c>
      <c r="F5671" s="8" t="str">
        <f>IF(Table1[[#This Row],[Is Data Valid]]=TRUE,EXP(0.578+0.332*((Table1[[#This Row],[Gestation (days)]]+0.5)/7)-0.00354*((Table1[[#This Row],[Gestation (days)]]+0.5)/7)^2)*Table1[[#This Row],[BW40_3705]],"")</f>
        <v/>
      </c>
      <c r="G5671" s="2" t="str">
        <f>IF(Table1[[#This Row],[Is Data Valid]]=TRUE,((Table1[[#This Row],[Birthweight (grams)]]/Table1[[#This Row],[BW_GA]])-1)/(Backend!$B$4/100*Table1[[#This Row],[BW40_3705]]),"")</f>
        <v/>
      </c>
      <c r="H5671" s="7" t="str">
        <f>IF(Table1[[#This Row],[Is Data Valid]]=TRUE,((Table1[[#This Row],[Birthweight (grams)]]*0.9/Table1[[#This Row],[BW_GA]])-1)/(Backend!$B$4/100*Table1[[#This Row],[BW40_3705]]),"")</f>
        <v/>
      </c>
      <c r="I5671" s="7" t="str">
        <f>IF(Table1[[#This Row],[Is Data Valid]]=TRUE,((Table1[[#This Row],[Birthweight (grams)]]*1.1/Table1[[#This Row],[BW_GA]])-1)/(Backend!$B$4/100*Table1[[#This Row],[BW40_3705]]),"")</f>
        <v/>
      </c>
      <c r="J5671" s="7" t="str">
        <f>IF(Table1[[#This Row],[Is Data Valid]]=TRUE,_xlfn.NORM.S.DIST(Table1[[#This Row],[Birthweight Z-Score]],TRUE)*100,"")</f>
        <v/>
      </c>
      <c r="K5671" s="7" t="str">
        <f>IF(Table1[[#This Row],[Is Data Valid]]=TRUE,_xlfn.NORM.S.DIST(Table1[[#This Row],[Birthweight Z-Score (BW-10%)]],TRUE)*100,"")</f>
        <v/>
      </c>
      <c r="L5671" s="7" t="str">
        <f>IF(Table1[[#This Row],[Is Data Valid]]=TRUE,_xlfn.NORM.S.DIST(Table1[[#This Row],[Birthweight Z-Score (BW+10%)]],TRUE)*100,"")</f>
        <v/>
      </c>
    </row>
    <row r="5672" spans="1:12" x14ac:dyDescent="0.35">
      <c r="A5672" s="3"/>
      <c r="B5672" s="2"/>
      <c r="C5672" s="2"/>
      <c r="D5672" s="2" t="b">
        <f>IF(AND(NOT(ISBLANK(Table1[[#This Row],[Fetal Sex (Male, Female or Unknown)]])),ISNUMBER(Table1[[#This Row],[Birthweight (grams)]]),ISNUMBER(Table1[[#This Row],[Gestation (days)]])),TRUE,FALSE)</f>
        <v>0</v>
      </c>
      <c r="E5672" s="2" t="str">
        <f>IF(Table1[[#This Row],[Is Data Valid]]=TRUE,IF(Table1[[#This Row],[Fetal Sex (Male, Female or Unknown)]]="Male",Backend!$C$6,IF(Table1[[#This Row],[Fetal Sex (Male, Female or Unknown)]]="Female",Backend!$C$7,IF(Table1[[#This Row],[Fetal Sex (Male, Female or Unknown)]]="Unknown",Backend!$C$8,"Error"))),"")</f>
        <v/>
      </c>
      <c r="F5672" s="8" t="str">
        <f>IF(Table1[[#This Row],[Is Data Valid]]=TRUE,EXP(0.578+0.332*((Table1[[#This Row],[Gestation (days)]]+0.5)/7)-0.00354*((Table1[[#This Row],[Gestation (days)]]+0.5)/7)^2)*Table1[[#This Row],[BW40_3705]],"")</f>
        <v/>
      </c>
      <c r="G5672" s="2" t="str">
        <f>IF(Table1[[#This Row],[Is Data Valid]]=TRUE,((Table1[[#This Row],[Birthweight (grams)]]/Table1[[#This Row],[BW_GA]])-1)/(Backend!$B$4/100*Table1[[#This Row],[BW40_3705]]),"")</f>
        <v/>
      </c>
      <c r="H5672" s="7" t="str">
        <f>IF(Table1[[#This Row],[Is Data Valid]]=TRUE,((Table1[[#This Row],[Birthweight (grams)]]*0.9/Table1[[#This Row],[BW_GA]])-1)/(Backend!$B$4/100*Table1[[#This Row],[BW40_3705]]),"")</f>
        <v/>
      </c>
      <c r="I5672" s="7" t="str">
        <f>IF(Table1[[#This Row],[Is Data Valid]]=TRUE,((Table1[[#This Row],[Birthweight (grams)]]*1.1/Table1[[#This Row],[BW_GA]])-1)/(Backend!$B$4/100*Table1[[#This Row],[BW40_3705]]),"")</f>
        <v/>
      </c>
      <c r="J5672" s="7" t="str">
        <f>IF(Table1[[#This Row],[Is Data Valid]]=TRUE,_xlfn.NORM.S.DIST(Table1[[#This Row],[Birthweight Z-Score]],TRUE)*100,"")</f>
        <v/>
      </c>
      <c r="K5672" s="7" t="str">
        <f>IF(Table1[[#This Row],[Is Data Valid]]=TRUE,_xlfn.NORM.S.DIST(Table1[[#This Row],[Birthweight Z-Score (BW-10%)]],TRUE)*100,"")</f>
        <v/>
      </c>
      <c r="L5672" s="7" t="str">
        <f>IF(Table1[[#This Row],[Is Data Valid]]=TRUE,_xlfn.NORM.S.DIST(Table1[[#This Row],[Birthweight Z-Score (BW+10%)]],TRUE)*100,"")</f>
        <v/>
      </c>
    </row>
    <row r="5673" spans="1:12" x14ac:dyDescent="0.35">
      <c r="A5673" s="3"/>
      <c r="B5673" s="2"/>
      <c r="C5673" s="2"/>
      <c r="D5673" s="2" t="b">
        <f>IF(AND(NOT(ISBLANK(Table1[[#This Row],[Fetal Sex (Male, Female or Unknown)]])),ISNUMBER(Table1[[#This Row],[Birthweight (grams)]]),ISNUMBER(Table1[[#This Row],[Gestation (days)]])),TRUE,FALSE)</f>
        <v>0</v>
      </c>
      <c r="E5673" s="2" t="str">
        <f>IF(Table1[[#This Row],[Is Data Valid]]=TRUE,IF(Table1[[#This Row],[Fetal Sex (Male, Female or Unknown)]]="Male",Backend!$C$6,IF(Table1[[#This Row],[Fetal Sex (Male, Female or Unknown)]]="Female",Backend!$C$7,IF(Table1[[#This Row],[Fetal Sex (Male, Female or Unknown)]]="Unknown",Backend!$C$8,"Error"))),"")</f>
        <v/>
      </c>
      <c r="F5673" s="8" t="str">
        <f>IF(Table1[[#This Row],[Is Data Valid]]=TRUE,EXP(0.578+0.332*((Table1[[#This Row],[Gestation (days)]]+0.5)/7)-0.00354*((Table1[[#This Row],[Gestation (days)]]+0.5)/7)^2)*Table1[[#This Row],[BW40_3705]],"")</f>
        <v/>
      </c>
      <c r="G5673" s="2" t="str">
        <f>IF(Table1[[#This Row],[Is Data Valid]]=TRUE,((Table1[[#This Row],[Birthweight (grams)]]/Table1[[#This Row],[BW_GA]])-1)/(Backend!$B$4/100*Table1[[#This Row],[BW40_3705]]),"")</f>
        <v/>
      </c>
      <c r="H5673" s="7" t="str">
        <f>IF(Table1[[#This Row],[Is Data Valid]]=TRUE,((Table1[[#This Row],[Birthweight (grams)]]*0.9/Table1[[#This Row],[BW_GA]])-1)/(Backend!$B$4/100*Table1[[#This Row],[BW40_3705]]),"")</f>
        <v/>
      </c>
      <c r="I5673" s="7" t="str">
        <f>IF(Table1[[#This Row],[Is Data Valid]]=TRUE,((Table1[[#This Row],[Birthweight (grams)]]*1.1/Table1[[#This Row],[BW_GA]])-1)/(Backend!$B$4/100*Table1[[#This Row],[BW40_3705]]),"")</f>
        <v/>
      </c>
      <c r="J5673" s="7" t="str">
        <f>IF(Table1[[#This Row],[Is Data Valid]]=TRUE,_xlfn.NORM.S.DIST(Table1[[#This Row],[Birthweight Z-Score]],TRUE)*100,"")</f>
        <v/>
      </c>
      <c r="K5673" s="7" t="str">
        <f>IF(Table1[[#This Row],[Is Data Valid]]=TRUE,_xlfn.NORM.S.DIST(Table1[[#This Row],[Birthweight Z-Score (BW-10%)]],TRUE)*100,"")</f>
        <v/>
      </c>
      <c r="L5673" s="7" t="str">
        <f>IF(Table1[[#This Row],[Is Data Valid]]=TRUE,_xlfn.NORM.S.DIST(Table1[[#This Row],[Birthweight Z-Score (BW+10%)]],TRUE)*100,"")</f>
        <v/>
      </c>
    </row>
    <row r="5674" spans="1:12" x14ac:dyDescent="0.35">
      <c r="A5674" s="3"/>
      <c r="B5674" s="2"/>
      <c r="C5674" s="2"/>
      <c r="D5674" s="2" t="b">
        <f>IF(AND(NOT(ISBLANK(Table1[[#This Row],[Fetal Sex (Male, Female or Unknown)]])),ISNUMBER(Table1[[#This Row],[Birthweight (grams)]]),ISNUMBER(Table1[[#This Row],[Gestation (days)]])),TRUE,FALSE)</f>
        <v>0</v>
      </c>
      <c r="E5674" s="2" t="str">
        <f>IF(Table1[[#This Row],[Is Data Valid]]=TRUE,IF(Table1[[#This Row],[Fetal Sex (Male, Female or Unknown)]]="Male",Backend!$C$6,IF(Table1[[#This Row],[Fetal Sex (Male, Female or Unknown)]]="Female",Backend!$C$7,IF(Table1[[#This Row],[Fetal Sex (Male, Female or Unknown)]]="Unknown",Backend!$C$8,"Error"))),"")</f>
        <v/>
      </c>
      <c r="F5674" s="8" t="str">
        <f>IF(Table1[[#This Row],[Is Data Valid]]=TRUE,EXP(0.578+0.332*((Table1[[#This Row],[Gestation (days)]]+0.5)/7)-0.00354*((Table1[[#This Row],[Gestation (days)]]+0.5)/7)^2)*Table1[[#This Row],[BW40_3705]],"")</f>
        <v/>
      </c>
      <c r="G5674" s="2" t="str">
        <f>IF(Table1[[#This Row],[Is Data Valid]]=TRUE,((Table1[[#This Row],[Birthweight (grams)]]/Table1[[#This Row],[BW_GA]])-1)/(Backend!$B$4/100*Table1[[#This Row],[BW40_3705]]),"")</f>
        <v/>
      </c>
      <c r="H5674" s="7" t="str">
        <f>IF(Table1[[#This Row],[Is Data Valid]]=TRUE,((Table1[[#This Row],[Birthweight (grams)]]*0.9/Table1[[#This Row],[BW_GA]])-1)/(Backend!$B$4/100*Table1[[#This Row],[BW40_3705]]),"")</f>
        <v/>
      </c>
      <c r="I5674" s="7" t="str">
        <f>IF(Table1[[#This Row],[Is Data Valid]]=TRUE,((Table1[[#This Row],[Birthweight (grams)]]*1.1/Table1[[#This Row],[BW_GA]])-1)/(Backend!$B$4/100*Table1[[#This Row],[BW40_3705]]),"")</f>
        <v/>
      </c>
      <c r="J5674" s="7" t="str">
        <f>IF(Table1[[#This Row],[Is Data Valid]]=TRUE,_xlfn.NORM.S.DIST(Table1[[#This Row],[Birthweight Z-Score]],TRUE)*100,"")</f>
        <v/>
      </c>
      <c r="K5674" s="7" t="str">
        <f>IF(Table1[[#This Row],[Is Data Valid]]=TRUE,_xlfn.NORM.S.DIST(Table1[[#This Row],[Birthweight Z-Score (BW-10%)]],TRUE)*100,"")</f>
        <v/>
      </c>
      <c r="L5674" s="7" t="str">
        <f>IF(Table1[[#This Row],[Is Data Valid]]=TRUE,_xlfn.NORM.S.DIST(Table1[[#This Row],[Birthweight Z-Score (BW+10%)]],TRUE)*100,"")</f>
        <v/>
      </c>
    </row>
    <row r="5675" spans="1:12" x14ac:dyDescent="0.35">
      <c r="A5675" s="3"/>
      <c r="B5675" s="2"/>
      <c r="C5675" s="2"/>
      <c r="D5675" s="2" t="b">
        <f>IF(AND(NOT(ISBLANK(Table1[[#This Row],[Fetal Sex (Male, Female or Unknown)]])),ISNUMBER(Table1[[#This Row],[Birthweight (grams)]]),ISNUMBER(Table1[[#This Row],[Gestation (days)]])),TRUE,FALSE)</f>
        <v>0</v>
      </c>
      <c r="E5675" s="2" t="str">
        <f>IF(Table1[[#This Row],[Is Data Valid]]=TRUE,IF(Table1[[#This Row],[Fetal Sex (Male, Female or Unknown)]]="Male",Backend!$C$6,IF(Table1[[#This Row],[Fetal Sex (Male, Female or Unknown)]]="Female",Backend!$C$7,IF(Table1[[#This Row],[Fetal Sex (Male, Female or Unknown)]]="Unknown",Backend!$C$8,"Error"))),"")</f>
        <v/>
      </c>
      <c r="F5675" s="8" t="str">
        <f>IF(Table1[[#This Row],[Is Data Valid]]=TRUE,EXP(0.578+0.332*((Table1[[#This Row],[Gestation (days)]]+0.5)/7)-0.00354*((Table1[[#This Row],[Gestation (days)]]+0.5)/7)^2)*Table1[[#This Row],[BW40_3705]],"")</f>
        <v/>
      </c>
      <c r="G5675" s="2" t="str">
        <f>IF(Table1[[#This Row],[Is Data Valid]]=TRUE,((Table1[[#This Row],[Birthweight (grams)]]/Table1[[#This Row],[BW_GA]])-1)/(Backend!$B$4/100*Table1[[#This Row],[BW40_3705]]),"")</f>
        <v/>
      </c>
      <c r="H5675" s="7" t="str">
        <f>IF(Table1[[#This Row],[Is Data Valid]]=TRUE,((Table1[[#This Row],[Birthweight (grams)]]*0.9/Table1[[#This Row],[BW_GA]])-1)/(Backend!$B$4/100*Table1[[#This Row],[BW40_3705]]),"")</f>
        <v/>
      </c>
      <c r="I5675" s="7" t="str">
        <f>IF(Table1[[#This Row],[Is Data Valid]]=TRUE,((Table1[[#This Row],[Birthweight (grams)]]*1.1/Table1[[#This Row],[BW_GA]])-1)/(Backend!$B$4/100*Table1[[#This Row],[BW40_3705]]),"")</f>
        <v/>
      </c>
      <c r="J5675" s="7" t="str">
        <f>IF(Table1[[#This Row],[Is Data Valid]]=TRUE,_xlfn.NORM.S.DIST(Table1[[#This Row],[Birthweight Z-Score]],TRUE)*100,"")</f>
        <v/>
      </c>
      <c r="K5675" s="7" t="str">
        <f>IF(Table1[[#This Row],[Is Data Valid]]=TRUE,_xlfn.NORM.S.DIST(Table1[[#This Row],[Birthweight Z-Score (BW-10%)]],TRUE)*100,"")</f>
        <v/>
      </c>
      <c r="L5675" s="7" t="str">
        <f>IF(Table1[[#This Row],[Is Data Valid]]=TRUE,_xlfn.NORM.S.DIST(Table1[[#This Row],[Birthweight Z-Score (BW+10%)]],TRUE)*100,"")</f>
        <v/>
      </c>
    </row>
    <row r="5676" spans="1:12" x14ac:dyDescent="0.35">
      <c r="A5676" s="3"/>
      <c r="B5676" s="2"/>
      <c r="C5676" s="2"/>
      <c r="D5676" s="2" t="b">
        <f>IF(AND(NOT(ISBLANK(Table1[[#This Row],[Fetal Sex (Male, Female or Unknown)]])),ISNUMBER(Table1[[#This Row],[Birthweight (grams)]]),ISNUMBER(Table1[[#This Row],[Gestation (days)]])),TRUE,FALSE)</f>
        <v>0</v>
      </c>
      <c r="E5676" s="2" t="str">
        <f>IF(Table1[[#This Row],[Is Data Valid]]=TRUE,IF(Table1[[#This Row],[Fetal Sex (Male, Female or Unknown)]]="Male",Backend!$C$6,IF(Table1[[#This Row],[Fetal Sex (Male, Female or Unknown)]]="Female",Backend!$C$7,IF(Table1[[#This Row],[Fetal Sex (Male, Female or Unknown)]]="Unknown",Backend!$C$8,"Error"))),"")</f>
        <v/>
      </c>
      <c r="F5676" s="8" t="str">
        <f>IF(Table1[[#This Row],[Is Data Valid]]=TRUE,EXP(0.578+0.332*((Table1[[#This Row],[Gestation (days)]]+0.5)/7)-0.00354*((Table1[[#This Row],[Gestation (days)]]+0.5)/7)^2)*Table1[[#This Row],[BW40_3705]],"")</f>
        <v/>
      </c>
      <c r="G5676" s="2" t="str">
        <f>IF(Table1[[#This Row],[Is Data Valid]]=TRUE,((Table1[[#This Row],[Birthweight (grams)]]/Table1[[#This Row],[BW_GA]])-1)/(Backend!$B$4/100*Table1[[#This Row],[BW40_3705]]),"")</f>
        <v/>
      </c>
      <c r="H5676" s="7" t="str">
        <f>IF(Table1[[#This Row],[Is Data Valid]]=TRUE,((Table1[[#This Row],[Birthweight (grams)]]*0.9/Table1[[#This Row],[BW_GA]])-1)/(Backend!$B$4/100*Table1[[#This Row],[BW40_3705]]),"")</f>
        <v/>
      </c>
      <c r="I5676" s="7" t="str">
        <f>IF(Table1[[#This Row],[Is Data Valid]]=TRUE,((Table1[[#This Row],[Birthweight (grams)]]*1.1/Table1[[#This Row],[BW_GA]])-1)/(Backend!$B$4/100*Table1[[#This Row],[BW40_3705]]),"")</f>
        <v/>
      </c>
      <c r="J5676" s="7" t="str">
        <f>IF(Table1[[#This Row],[Is Data Valid]]=TRUE,_xlfn.NORM.S.DIST(Table1[[#This Row],[Birthweight Z-Score]],TRUE)*100,"")</f>
        <v/>
      </c>
      <c r="K5676" s="7" t="str">
        <f>IF(Table1[[#This Row],[Is Data Valid]]=TRUE,_xlfn.NORM.S.DIST(Table1[[#This Row],[Birthweight Z-Score (BW-10%)]],TRUE)*100,"")</f>
        <v/>
      </c>
      <c r="L5676" s="7" t="str">
        <f>IF(Table1[[#This Row],[Is Data Valid]]=TRUE,_xlfn.NORM.S.DIST(Table1[[#This Row],[Birthweight Z-Score (BW+10%)]],TRUE)*100,"")</f>
        <v/>
      </c>
    </row>
    <row r="5677" spans="1:12" x14ac:dyDescent="0.35">
      <c r="A5677" s="3"/>
      <c r="B5677" s="2"/>
      <c r="C5677" s="2"/>
      <c r="D5677" s="2" t="b">
        <f>IF(AND(NOT(ISBLANK(Table1[[#This Row],[Fetal Sex (Male, Female or Unknown)]])),ISNUMBER(Table1[[#This Row],[Birthweight (grams)]]),ISNUMBER(Table1[[#This Row],[Gestation (days)]])),TRUE,FALSE)</f>
        <v>0</v>
      </c>
      <c r="E5677" s="2" t="str">
        <f>IF(Table1[[#This Row],[Is Data Valid]]=TRUE,IF(Table1[[#This Row],[Fetal Sex (Male, Female or Unknown)]]="Male",Backend!$C$6,IF(Table1[[#This Row],[Fetal Sex (Male, Female or Unknown)]]="Female",Backend!$C$7,IF(Table1[[#This Row],[Fetal Sex (Male, Female or Unknown)]]="Unknown",Backend!$C$8,"Error"))),"")</f>
        <v/>
      </c>
      <c r="F5677" s="8" t="str">
        <f>IF(Table1[[#This Row],[Is Data Valid]]=TRUE,EXP(0.578+0.332*((Table1[[#This Row],[Gestation (days)]]+0.5)/7)-0.00354*((Table1[[#This Row],[Gestation (days)]]+0.5)/7)^2)*Table1[[#This Row],[BW40_3705]],"")</f>
        <v/>
      </c>
      <c r="G5677" s="2" t="str">
        <f>IF(Table1[[#This Row],[Is Data Valid]]=TRUE,((Table1[[#This Row],[Birthweight (grams)]]/Table1[[#This Row],[BW_GA]])-1)/(Backend!$B$4/100*Table1[[#This Row],[BW40_3705]]),"")</f>
        <v/>
      </c>
      <c r="H5677" s="7" t="str">
        <f>IF(Table1[[#This Row],[Is Data Valid]]=TRUE,((Table1[[#This Row],[Birthweight (grams)]]*0.9/Table1[[#This Row],[BW_GA]])-1)/(Backend!$B$4/100*Table1[[#This Row],[BW40_3705]]),"")</f>
        <v/>
      </c>
      <c r="I5677" s="7" t="str">
        <f>IF(Table1[[#This Row],[Is Data Valid]]=TRUE,((Table1[[#This Row],[Birthweight (grams)]]*1.1/Table1[[#This Row],[BW_GA]])-1)/(Backend!$B$4/100*Table1[[#This Row],[BW40_3705]]),"")</f>
        <v/>
      </c>
      <c r="J5677" s="7" t="str">
        <f>IF(Table1[[#This Row],[Is Data Valid]]=TRUE,_xlfn.NORM.S.DIST(Table1[[#This Row],[Birthweight Z-Score]],TRUE)*100,"")</f>
        <v/>
      </c>
      <c r="K5677" s="7" t="str">
        <f>IF(Table1[[#This Row],[Is Data Valid]]=TRUE,_xlfn.NORM.S.DIST(Table1[[#This Row],[Birthweight Z-Score (BW-10%)]],TRUE)*100,"")</f>
        <v/>
      </c>
      <c r="L5677" s="7" t="str">
        <f>IF(Table1[[#This Row],[Is Data Valid]]=TRUE,_xlfn.NORM.S.DIST(Table1[[#This Row],[Birthweight Z-Score (BW+10%)]],TRUE)*100,"")</f>
        <v/>
      </c>
    </row>
    <row r="5678" spans="1:12" x14ac:dyDescent="0.35">
      <c r="A5678" s="3"/>
      <c r="B5678" s="2"/>
      <c r="C5678" s="2"/>
      <c r="D5678" s="2" t="b">
        <f>IF(AND(NOT(ISBLANK(Table1[[#This Row],[Fetal Sex (Male, Female or Unknown)]])),ISNUMBER(Table1[[#This Row],[Birthweight (grams)]]),ISNUMBER(Table1[[#This Row],[Gestation (days)]])),TRUE,FALSE)</f>
        <v>0</v>
      </c>
      <c r="E5678" s="2" t="str">
        <f>IF(Table1[[#This Row],[Is Data Valid]]=TRUE,IF(Table1[[#This Row],[Fetal Sex (Male, Female or Unknown)]]="Male",Backend!$C$6,IF(Table1[[#This Row],[Fetal Sex (Male, Female or Unknown)]]="Female",Backend!$C$7,IF(Table1[[#This Row],[Fetal Sex (Male, Female or Unknown)]]="Unknown",Backend!$C$8,"Error"))),"")</f>
        <v/>
      </c>
      <c r="F5678" s="8" t="str">
        <f>IF(Table1[[#This Row],[Is Data Valid]]=TRUE,EXP(0.578+0.332*((Table1[[#This Row],[Gestation (days)]]+0.5)/7)-0.00354*((Table1[[#This Row],[Gestation (days)]]+0.5)/7)^2)*Table1[[#This Row],[BW40_3705]],"")</f>
        <v/>
      </c>
      <c r="G5678" s="2" t="str">
        <f>IF(Table1[[#This Row],[Is Data Valid]]=TRUE,((Table1[[#This Row],[Birthweight (grams)]]/Table1[[#This Row],[BW_GA]])-1)/(Backend!$B$4/100*Table1[[#This Row],[BW40_3705]]),"")</f>
        <v/>
      </c>
      <c r="H5678" s="7" t="str">
        <f>IF(Table1[[#This Row],[Is Data Valid]]=TRUE,((Table1[[#This Row],[Birthweight (grams)]]*0.9/Table1[[#This Row],[BW_GA]])-1)/(Backend!$B$4/100*Table1[[#This Row],[BW40_3705]]),"")</f>
        <v/>
      </c>
      <c r="I5678" s="7" t="str">
        <f>IF(Table1[[#This Row],[Is Data Valid]]=TRUE,((Table1[[#This Row],[Birthweight (grams)]]*1.1/Table1[[#This Row],[BW_GA]])-1)/(Backend!$B$4/100*Table1[[#This Row],[BW40_3705]]),"")</f>
        <v/>
      </c>
      <c r="J5678" s="7" t="str">
        <f>IF(Table1[[#This Row],[Is Data Valid]]=TRUE,_xlfn.NORM.S.DIST(Table1[[#This Row],[Birthweight Z-Score]],TRUE)*100,"")</f>
        <v/>
      </c>
      <c r="K5678" s="7" t="str">
        <f>IF(Table1[[#This Row],[Is Data Valid]]=TRUE,_xlfn.NORM.S.DIST(Table1[[#This Row],[Birthweight Z-Score (BW-10%)]],TRUE)*100,"")</f>
        <v/>
      </c>
      <c r="L5678" s="7" t="str">
        <f>IF(Table1[[#This Row],[Is Data Valid]]=TRUE,_xlfn.NORM.S.DIST(Table1[[#This Row],[Birthweight Z-Score (BW+10%)]],TRUE)*100,"")</f>
        <v/>
      </c>
    </row>
    <row r="5679" spans="1:12" x14ac:dyDescent="0.35">
      <c r="A5679" s="3"/>
      <c r="B5679" s="2"/>
      <c r="C5679" s="2"/>
      <c r="D5679" s="2" t="b">
        <f>IF(AND(NOT(ISBLANK(Table1[[#This Row],[Fetal Sex (Male, Female or Unknown)]])),ISNUMBER(Table1[[#This Row],[Birthweight (grams)]]),ISNUMBER(Table1[[#This Row],[Gestation (days)]])),TRUE,FALSE)</f>
        <v>0</v>
      </c>
      <c r="E5679" s="2" t="str">
        <f>IF(Table1[[#This Row],[Is Data Valid]]=TRUE,IF(Table1[[#This Row],[Fetal Sex (Male, Female or Unknown)]]="Male",Backend!$C$6,IF(Table1[[#This Row],[Fetal Sex (Male, Female or Unknown)]]="Female",Backend!$C$7,IF(Table1[[#This Row],[Fetal Sex (Male, Female or Unknown)]]="Unknown",Backend!$C$8,"Error"))),"")</f>
        <v/>
      </c>
      <c r="F5679" s="8" t="str">
        <f>IF(Table1[[#This Row],[Is Data Valid]]=TRUE,EXP(0.578+0.332*((Table1[[#This Row],[Gestation (days)]]+0.5)/7)-0.00354*((Table1[[#This Row],[Gestation (days)]]+0.5)/7)^2)*Table1[[#This Row],[BW40_3705]],"")</f>
        <v/>
      </c>
      <c r="G5679" s="2" t="str">
        <f>IF(Table1[[#This Row],[Is Data Valid]]=TRUE,((Table1[[#This Row],[Birthweight (grams)]]/Table1[[#This Row],[BW_GA]])-1)/(Backend!$B$4/100*Table1[[#This Row],[BW40_3705]]),"")</f>
        <v/>
      </c>
      <c r="H5679" s="7" t="str">
        <f>IF(Table1[[#This Row],[Is Data Valid]]=TRUE,((Table1[[#This Row],[Birthweight (grams)]]*0.9/Table1[[#This Row],[BW_GA]])-1)/(Backend!$B$4/100*Table1[[#This Row],[BW40_3705]]),"")</f>
        <v/>
      </c>
      <c r="I5679" s="7" t="str">
        <f>IF(Table1[[#This Row],[Is Data Valid]]=TRUE,((Table1[[#This Row],[Birthweight (grams)]]*1.1/Table1[[#This Row],[BW_GA]])-1)/(Backend!$B$4/100*Table1[[#This Row],[BW40_3705]]),"")</f>
        <v/>
      </c>
      <c r="J5679" s="7" t="str">
        <f>IF(Table1[[#This Row],[Is Data Valid]]=TRUE,_xlfn.NORM.S.DIST(Table1[[#This Row],[Birthweight Z-Score]],TRUE)*100,"")</f>
        <v/>
      </c>
      <c r="K5679" s="7" t="str">
        <f>IF(Table1[[#This Row],[Is Data Valid]]=TRUE,_xlfn.NORM.S.DIST(Table1[[#This Row],[Birthweight Z-Score (BW-10%)]],TRUE)*100,"")</f>
        <v/>
      </c>
      <c r="L5679" s="7" t="str">
        <f>IF(Table1[[#This Row],[Is Data Valid]]=TRUE,_xlfn.NORM.S.DIST(Table1[[#This Row],[Birthweight Z-Score (BW+10%)]],TRUE)*100,"")</f>
        <v/>
      </c>
    </row>
    <row r="5680" spans="1:12" x14ac:dyDescent="0.35">
      <c r="A5680" s="3"/>
      <c r="B5680" s="2"/>
      <c r="C5680" s="2"/>
      <c r="D5680" s="2" t="b">
        <f>IF(AND(NOT(ISBLANK(Table1[[#This Row],[Fetal Sex (Male, Female or Unknown)]])),ISNUMBER(Table1[[#This Row],[Birthweight (grams)]]),ISNUMBER(Table1[[#This Row],[Gestation (days)]])),TRUE,FALSE)</f>
        <v>0</v>
      </c>
      <c r="E5680" s="2" t="str">
        <f>IF(Table1[[#This Row],[Is Data Valid]]=TRUE,IF(Table1[[#This Row],[Fetal Sex (Male, Female or Unknown)]]="Male",Backend!$C$6,IF(Table1[[#This Row],[Fetal Sex (Male, Female or Unknown)]]="Female",Backend!$C$7,IF(Table1[[#This Row],[Fetal Sex (Male, Female or Unknown)]]="Unknown",Backend!$C$8,"Error"))),"")</f>
        <v/>
      </c>
      <c r="F5680" s="8" t="str">
        <f>IF(Table1[[#This Row],[Is Data Valid]]=TRUE,EXP(0.578+0.332*((Table1[[#This Row],[Gestation (days)]]+0.5)/7)-0.00354*((Table1[[#This Row],[Gestation (days)]]+0.5)/7)^2)*Table1[[#This Row],[BW40_3705]],"")</f>
        <v/>
      </c>
      <c r="G5680" s="2" t="str">
        <f>IF(Table1[[#This Row],[Is Data Valid]]=TRUE,((Table1[[#This Row],[Birthweight (grams)]]/Table1[[#This Row],[BW_GA]])-1)/(Backend!$B$4/100*Table1[[#This Row],[BW40_3705]]),"")</f>
        <v/>
      </c>
      <c r="H5680" s="7" t="str">
        <f>IF(Table1[[#This Row],[Is Data Valid]]=TRUE,((Table1[[#This Row],[Birthweight (grams)]]*0.9/Table1[[#This Row],[BW_GA]])-1)/(Backend!$B$4/100*Table1[[#This Row],[BW40_3705]]),"")</f>
        <v/>
      </c>
      <c r="I5680" s="7" t="str">
        <f>IF(Table1[[#This Row],[Is Data Valid]]=TRUE,((Table1[[#This Row],[Birthweight (grams)]]*1.1/Table1[[#This Row],[BW_GA]])-1)/(Backend!$B$4/100*Table1[[#This Row],[BW40_3705]]),"")</f>
        <v/>
      </c>
      <c r="J5680" s="7" t="str">
        <f>IF(Table1[[#This Row],[Is Data Valid]]=TRUE,_xlfn.NORM.S.DIST(Table1[[#This Row],[Birthweight Z-Score]],TRUE)*100,"")</f>
        <v/>
      </c>
      <c r="K5680" s="7" t="str">
        <f>IF(Table1[[#This Row],[Is Data Valid]]=TRUE,_xlfn.NORM.S.DIST(Table1[[#This Row],[Birthweight Z-Score (BW-10%)]],TRUE)*100,"")</f>
        <v/>
      </c>
      <c r="L5680" s="7" t="str">
        <f>IF(Table1[[#This Row],[Is Data Valid]]=TRUE,_xlfn.NORM.S.DIST(Table1[[#This Row],[Birthweight Z-Score (BW+10%)]],TRUE)*100,"")</f>
        <v/>
      </c>
    </row>
    <row r="5681" spans="1:12" x14ac:dyDescent="0.35">
      <c r="A5681" s="3"/>
      <c r="B5681" s="2"/>
      <c r="C5681" s="2"/>
      <c r="D5681" s="2" t="b">
        <f>IF(AND(NOT(ISBLANK(Table1[[#This Row],[Fetal Sex (Male, Female or Unknown)]])),ISNUMBER(Table1[[#This Row],[Birthweight (grams)]]),ISNUMBER(Table1[[#This Row],[Gestation (days)]])),TRUE,FALSE)</f>
        <v>0</v>
      </c>
      <c r="E5681" s="2" t="str">
        <f>IF(Table1[[#This Row],[Is Data Valid]]=TRUE,IF(Table1[[#This Row],[Fetal Sex (Male, Female or Unknown)]]="Male",Backend!$C$6,IF(Table1[[#This Row],[Fetal Sex (Male, Female or Unknown)]]="Female",Backend!$C$7,IF(Table1[[#This Row],[Fetal Sex (Male, Female or Unknown)]]="Unknown",Backend!$C$8,"Error"))),"")</f>
        <v/>
      </c>
      <c r="F5681" s="8" t="str">
        <f>IF(Table1[[#This Row],[Is Data Valid]]=TRUE,EXP(0.578+0.332*((Table1[[#This Row],[Gestation (days)]]+0.5)/7)-0.00354*((Table1[[#This Row],[Gestation (days)]]+0.5)/7)^2)*Table1[[#This Row],[BW40_3705]],"")</f>
        <v/>
      </c>
      <c r="G5681" s="2" t="str">
        <f>IF(Table1[[#This Row],[Is Data Valid]]=TRUE,((Table1[[#This Row],[Birthweight (grams)]]/Table1[[#This Row],[BW_GA]])-1)/(Backend!$B$4/100*Table1[[#This Row],[BW40_3705]]),"")</f>
        <v/>
      </c>
      <c r="H5681" s="7" t="str">
        <f>IF(Table1[[#This Row],[Is Data Valid]]=TRUE,((Table1[[#This Row],[Birthweight (grams)]]*0.9/Table1[[#This Row],[BW_GA]])-1)/(Backend!$B$4/100*Table1[[#This Row],[BW40_3705]]),"")</f>
        <v/>
      </c>
      <c r="I5681" s="7" t="str">
        <f>IF(Table1[[#This Row],[Is Data Valid]]=TRUE,((Table1[[#This Row],[Birthweight (grams)]]*1.1/Table1[[#This Row],[BW_GA]])-1)/(Backend!$B$4/100*Table1[[#This Row],[BW40_3705]]),"")</f>
        <v/>
      </c>
      <c r="J5681" s="7" t="str">
        <f>IF(Table1[[#This Row],[Is Data Valid]]=TRUE,_xlfn.NORM.S.DIST(Table1[[#This Row],[Birthweight Z-Score]],TRUE)*100,"")</f>
        <v/>
      </c>
      <c r="K5681" s="7" t="str">
        <f>IF(Table1[[#This Row],[Is Data Valid]]=TRUE,_xlfn.NORM.S.DIST(Table1[[#This Row],[Birthweight Z-Score (BW-10%)]],TRUE)*100,"")</f>
        <v/>
      </c>
      <c r="L5681" s="7" t="str">
        <f>IF(Table1[[#This Row],[Is Data Valid]]=TRUE,_xlfn.NORM.S.DIST(Table1[[#This Row],[Birthweight Z-Score (BW+10%)]],TRUE)*100,"")</f>
        <v/>
      </c>
    </row>
    <row r="5682" spans="1:12" x14ac:dyDescent="0.35">
      <c r="A5682" s="3"/>
      <c r="B5682" s="2"/>
      <c r="C5682" s="2"/>
      <c r="D5682" s="2" t="b">
        <f>IF(AND(NOT(ISBLANK(Table1[[#This Row],[Fetal Sex (Male, Female or Unknown)]])),ISNUMBER(Table1[[#This Row],[Birthweight (grams)]]),ISNUMBER(Table1[[#This Row],[Gestation (days)]])),TRUE,FALSE)</f>
        <v>0</v>
      </c>
      <c r="E5682" s="2" t="str">
        <f>IF(Table1[[#This Row],[Is Data Valid]]=TRUE,IF(Table1[[#This Row],[Fetal Sex (Male, Female or Unknown)]]="Male",Backend!$C$6,IF(Table1[[#This Row],[Fetal Sex (Male, Female or Unknown)]]="Female",Backend!$C$7,IF(Table1[[#This Row],[Fetal Sex (Male, Female or Unknown)]]="Unknown",Backend!$C$8,"Error"))),"")</f>
        <v/>
      </c>
      <c r="F5682" s="8" t="str">
        <f>IF(Table1[[#This Row],[Is Data Valid]]=TRUE,EXP(0.578+0.332*((Table1[[#This Row],[Gestation (days)]]+0.5)/7)-0.00354*((Table1[[#This Row],[Gestation (days)]]+0.5)/7)^2)*Table1[[#This Row],[BW40_3705]],"")</f>
        <v/>
      </c>
      <c r="G5682" s="2" t="str">
        <f>IF(Table1[[#This Row],[Is Data Valid]]=TRUE,((Table1[[#This Row],[Birthweight (grams)]]/Table1[[#This Row],[BW_GA]])-1)/(Backend!$B$4/100*Table1[[#This Row],[BW40_3705]]),"")</f>
        <v/>
      </c>
      <c r="H5682" s="7" t="str">
        <f>IF(Table1[[#This Row],[Is Data Valid]]=TRUE,((Table1[[#This Row],[Birthweight (grams)]]*0.9/Table1[[#This Row],[BW_GA]])-1)/(Backend!$B$4/100*Table1[[#This Row],[BW40_3705]]),"")</f>
        <v/>
      </c>
      <c r="I5682" s="7" t="str">
        <f>IF(Table1[[#This Row],[Is Data Valid]]=TRUE,((Table1[[#This Row],[Birthweight (grams)]]*1.1/Table1[[#This Row],[BW_GA]])-1)/(Backend!$B$4/100*Table1[[#This Row],[BW40_3705]]),"")</f>
        <v/>
      </c>
      <c r="J5682" s="7" t="str">
        <f>IF(Table1[[#This Row],[Is Data Valid]]=TRUE,_xlfn.NORM.S.DIST(Table1[[#This Row],[Birthweight Z-Score]],TRUE)*100,"")</f>
        <v/>
      </c>
      <c r="K5682" s="7" t="str">
        <f>IF(Table1[[#This Row],[Is Data Valid]]=TRUE,_xlfn.NORM.S.DIST(Table1[[#This Row],[Birthweight Z-Score (BW-10%)]],TRUE)*100,"")</f>
        <v/>
      </c>
      <c r="L5682" s="7" t="str">
        <f>IF(Table1[[#This Row],[Is Data Valid]]=TRUE,_xlfn.NORM.S.DIST(Table1[[#This Row],[Birthweight Z-Score (BW+10%)]],TRUE)*100,"")</f>
        <v/>
      </c>
    </row>
    <row r="5683" spans="1:12" x14ac:dyDescent="0.35">
      <c r="A5683" s="3"/>
      <c r="B5683" s="2"/>
      <c r="C5683" s="2"/>
      <c r="D5683" s="2" t="b">
        <f>IF(AND(NOT(ISBLANK(Table1[[#This Row],[Fetal Sex (Male, Female or Unknown)]])),ISNUMBER(Table1[[#This Row],[Birthweight (grams)]]),ISNUMBER(Table1[[#This Row],[Gestation (days)]])),TRUE,FALSE)</f>
        <v>0</v>
      </c>
      <c r="E5683" s="2" t="str">
        <f>IF(Table1[[#This Row],[Is Data Valid]]=TRUE,IF(Table1[[#This Row],[Fetal Sex (Male, Female or Unknown)]]="Male",Backend!$C$6,IF(Table1[[#This Row],[Fetal Sex (Male, Female or Unknown)]]="Female",Backend!$C$7,IF(Table1[[#This Row],[Fetal Sex (Male, Female or Unknown)]]="Unknown",Backend!$C$8,"Error"))),"")</f>
        <v/>
      </c>
      <c r="F5683" s="8" t="str">
        <f>IF(Table1[[#This Row],[Is Data Valid]]=TRUE,EXP(0.578+0.332*((Table1[[#This Row],[Gestation (days)]]+0.5)/7)-0.00354*((Table1[[#This Row],[Gestation (days)]]+0.5)/7)^2)*Table1[[#This Row],[BW40_3705]],"")</f>
        <v/>
      </c>
      <c r="G5683" s="2" t="str">
        <f>IF(Table1[[#This Row],[Is Data Valid]]=TRUE,((Table1[[#This Row],[Birthweight (grams)]]/Table1[[#This Row],[BW_GA]])-1)/(Backend!$B$4/100*Table1[[#This Row],[BW40_3705]]),"")</f>
        <v/>
      </c>
      <c r="H5683" s="7" t="str">
        <f>IF(Table1[[#This Row],[Is Data Valid]]=TRUE,((Table1[[#This Row],[Birthweight (grams)]]*0.9/Table1[[#This Row],[BW_GA]])-1)/(Backend!$B$4/100*Table1[[#This Row],[BW40_3705]]),"")</f>
        <v/>
      </c>
      <c r="I5683" s="7" t="str">
        <f>IF(Table1[[#This Row],[Is Data Valid]]=TRUE,((Table1[[#This Row],[Birthweight (grams)]]*1.1/Table1[[#This Row],[BW_GA]])-1)/(Backend!$B$4/100*Table1[[#This Row],[BW40_3705]]),"")</f>
        <v/>
      </c>
      <c r="J5683" s="7" t="str">
        <f>IF(Table1[[#This Row],[Is Data Valid]]=TRUE,_xlfn.NORM.S.DIST(Table1[[#This Row],[Birthweight Z-Score]],TRUE)*100,"")</f>
        <v/>
      </c>
      <c r="K5683" s="7" t="str">
        <f>IF(Table1[[#This Row],[Is Data Valid]]=TRUE,_xlfn.NORM.S.DIST(Table1[[#This Row],[Birthweight Z-Score (BW-10%)]],TRUE)*100,"")</f>
        <v/>
      </c>
      <c r="L5683" s="7" t="str">
        <f>IF(Table1[[#This Row],[Is Data Valid]]=TRUE,_xlfn.NORM.S.DIST(Table1[[#This Row],[Birthweight Z-Score (BW+10%)]],TRUE)*100,"")</f>
        <v/>
      </c>
    </row>
    <row r="5684" spans="1:12" x14ac:dyDescent="0.35">
      <c r="A5684" s="3"/>
      <c r="B5684" s="2"/>
      <c r="C5684" s="2"/>
      <c r="D5684" s="2" t="b">
        <f>IF(AND(NOT(ISBLANK(Table1[[#This Row],[Fetal Sex (Male, Female or Unknown)]])),ISNUMBER(Table1[[#This Row],[Birthweight (grams)]]),ISNUMBER(Table1[[#This Row],[Gestation (days)]])),TRUE,FALSE)</f>
        <v>0</v>
      </c>
      <c r="E5684" s="2" t="str">
        <f>IF(Table1[[#This Row],[Is Data Valid]]=TRUE,IF(Table1[[#This Row],[Fetal Sex (Male, Female or Unknown)]]="Male",Backend!$C$6,IF(Table1[[#This Row],[Fetal Sex (Male, Female or Unknown)]]="Female",Backend!$C$7,IF(Table1[[#This Row],[Fetal Sex (Male, Female or Unknown)]]="Unknown",Backend!$C$8,"Error"))),"")</f>
        <v/>
      </c>
      <c r="F5684" s="8" t="str">
        <f>IF(Table1[[#This Row],[Is Data Valid]]=TRUE,EXP(0.578+0.332*((Table1[[#This Row],[Gestation (days)]]+0.5)/7)-0.00354*((Table1[[#This Row],[Gestation (days)]]+0.5)/7)^2)*Table1[[#This Row],[BW40_3705]],"")</f>
        <v/>
      </c>
      <c r="G5684" s="2" t="str">
        <f>IF(Table1[[#This Row],[Is Data Valid]]=TRUE,((Table1[[#This Row],[Birthweight (grams)]]/Table1[[#This Row],[BW_GA]])-1)/(Backend!$B$4/100*Table1[[#This Row],[BW40_3705]]),"")</f>
        <v/>
      </c>
      <c r="H5684" s="7" t="str">
        <f>IF(Table1[[#This Row],[Is Data Valid]]=TRUE,((Table1[[#This Row],[Birthweight (grams)]]*0.9/Table1[[#This Row],[BW_GA]])-1)/(Backend!$B$4/100*Table1[[#This Row],[BW40_3705]]),"")</f>
        <v/>
      </c>
      <c r="I5684" s="7" t="str">
        <f>IF(Table1[[#This Row],[Is Data Valid]]=TRUE,((Table1[[#This Row],[Birthweight (grams)]]*1.1/Table1[[#This Row],[BW_GA]])-1)/(Backend!$B$4/100*Table1[[#This Row],[BW40_3705]]),"")</f>
        <v/>
      </c>
      <c r="J5684" s="7" t="str">
        <f>IF(Table1[[#This Row],[Is Data Valid]]=TRUE,_xlfn.NORM.S.DIST(Table1[[#This Row],[Birthweight Z-Score]],TRUE)*100,"")</f>
        <v/>
      </c>
      <c r="K5684" s="7" t="str">
        <f>IF(Table1[[#This Row],[Is Data Valid]]=TRUE,_xlfn.NORM.S.DIST(Table1[[#This Row],[Birthweight Z-Score (BW-10%)]],TRUE)*100,"")</f>
        <v/>
      </c>
      <c r="L5684" s="7" t="str">
        <f>IF(Table1[[#This Row],[Is Data Valid]]=TRUE,_xlfn.NORM.S.DIST(Table1[[#This Row],[Birthweight Z-Score (BW+10%)]],TRUE)*100,"")</f>
        <v/>
      </c>
    </row>
    <row r="5685" spans="1:12" x14ac:dyDescent="0.35">
      <c r="A5685" s="3"/>
      <c r="B5685" s="2"/>
      <c r="C5685" s="2"/>
      <c r="D5685" s="2" t="b">
        <f>IF(AND(NOT(ISBLANK(Table1[[#This Row],[Fetal Sex (Male, Female or Unknown)]])),ISNUMBER(Table1[[#This Row],[Birthweight (grams)]]),ISNUMBER(Table1[[#This Row],[Gestation (days)]])),TRUE,FALSE)</f>
        <v>0</v>
      </c>
      <c r="E5685" s="2" t="str">
        <f>IF(Table1[[#This Row],[Is Data Valid]]=TRUE,IF(Table1[[#This Row],[Fetal Sex (Male, Female or Unknown)]]="Male",Backend!$C$6,IF(Table1[[#This Row],[Fetal Sex (Male, Female or Unknown)]]="Female",Backend!$C$7,IF(Table1[[#This Row],[Fetal Sex (Male, Female or Unknown)]]="Unknown",Backend!$C$8,"Error"))),"")</f>
        <v/>
      </c>
      <c r="F5685" s="8" t="str">
        <f>IF(Table1[[#This Row],[Is Data Valid]]=TRUE,EXP(0.578+0.332*((Table1[[#This Row],[Gestation (days)]]+0.5)/7)-0.00354*((Table1[[#This Row],[Gestation (days)]]+0.5)/7)^2)*Table1[[#This Row],[BW40_3705]],"")</f>
        <v/>
      </c>
      <c r="G5685" s="2" t="str">
        <f>IF(Table1[[#This Row],[Is Data Valid]]=TRUE,((Table1[[#This Row],[Birthweight (grams)]]/Table1[[#This Row],[BW_GA]])-1)/(Backend!$B$4/100*Table1[[#This Row],[BW40_3705]]),"")</f>
        <v/>
      </c>
      <c r="H5685" s="7" t="str">
        <f>IF(Table1[[#This Row],[Is Data Valid]]=TRUE,((Table1[[#This Row],[Birthweight (grams)]]*0.9/Table1[[#This Row],[BW_GA]])-1)/(Backend!$B$4/100*Table1[[#This Row],[BW40_3705]]),"")</f>
        <v/>
      </c>
      <c r="I5685" s="7" t="str">
        <f>IF(Table1[[#This Row],[Is Data Valid]]=TRUE,((Table1[[#This Row],[Birthweight (grams)]]*1.1/Table1[[#This Row],[BW_GA]])-1)/(Backend!$B$4/100*Table1[[#This Row],[BW40_3705]]),"")</f>
        <v/>
      </c>
      <c r="J5685" s="7" t="str">
        <f>IF(Table1[[#This Row],[Is Data Valid]]=TRUE,_xlfn.NORM.S.DIST(Table1[[#This Row],[Birthweight Z-Score]],TRUE)*100,"")</f>
        <v/>
      </c>
      <c r="K5685" s="7" t="str">
        <f>IF(Table1[[#This Row],[Is Data Valid]]=TRUE,_xlfn.NORM.S.DIST(Table1[[#This Row],[Birthweight Z-Score (BW-10%)]],TRUE)*100,"")</f>
        <v/>
      </c>
      <c r="L5685" s="7" t="str">
        <f>IF(Table1[[#This Row],[Is Data Valid]]=TRUE,_xlfn.NORM.S.DIST(Table1[[#This Row],[Birthweight Z-Score (BW+10%)]],TRUE)*100,"")</f>
        <v/>
      </c>
    </row>
    <row r="5686" spans="1:12" x14ac:dyDescent="0.35">
      <c r="A5686" s="3"/>
      <c r="B5686" s="2"/>
      <c r="C5686" s="2"/>
      <c r="D5686" s="2" t="b">
        <f>IF(AND(NOT(ISBLANK(Table1[[#This Row],[Fetal Sex (Male, Female or Unknown)]])),ISNUMBER(Table1[[#This Row],[Birthweight (grams)]]),ISNUMBER(Table1[[#This Row],[Gestation (days)]])),TRUE,FALSE)</f>
        <v>0</v>
      </c>
      <c r="E5686" s="2" t="str">
        <f>IF(Table1[[#This Row],[Is Data Valid]]=TRUE,IF(Table1[[#This Row],[Fetal Sex (Male, Female or Unknown)]]="Male",Backend!$C$6,IF(Table1[[#This Row],[Fetal Sex (Male, Female or Unknown)]]="Female",Backend!$C$7,IF(Table1[[#This Row],[Fetal Sex (Male, Female or Unknown)]]="Unknown",Backend!$C$8,"Error"))),"")</f>
        <v/>
      </c>
      <c r="F5686" s="8" t="str">
        <f>IF(Table1[[#This Row],[Is Data Valid]]=TRUE,EXP(0.578+0.332*((Table1[[#This Row],[Gestation (days)]]+0.5)/7)-0.00354*((Table1[[#This Row],[Gestation (days)]]+0.5)/7)^2)*Table1[[#This Row],[BW40_3705]],"")</f>
        <v/>
      </c>
      <c r="G5686" s="2" t="str">
        <f>IF(Table1[[#This Row],[Is Data Valid]]=TRUE,((Table1[[#This Row],[Birthweight (grams)]]/Table1[[#This Row],[BW_GA]])-1)/(Backend!$B$4/100*Table1[[#This Row],[BW40_3705]]),"")</f>
        <v/>
      </c>
      <c r="H5686" s="7" t="str">
        <f>IF(Table1[[#This Row],[Is Data Valid]]=TRUE,((Table1[[#This Row],[Birthweight (grams)]]*0.9/Table1[[#This Row],[BW_GA]])-1)/(Backend!$B$4/100*Table1[[#This Row],[BW40_3705]]),"")</f>
        <v/>
      </c>
      <c r="I5686" s="7" t="str">
        <f>IF(Table1[[#This Row],[Is Data Valid]]=TRUE,((Table1[[#This Row],[Birthweight (grams)]]*1.1/Table1[[#This Row],[BW_GA]])-1)/(Backend!$B$4/100*Table1[[#This Row],[BW40_3705]]),"")</f>
        <v/>
      </c>
      <c r="J5686" s="7" t="str">
        <f>IF(Table1[[#This Row],[Is Data Valid]]=TRUE,_xlfn.NORM.S.DIST(Table1[[#This Row],[Birthweight Z-Score]],TRUE)*100,"")</f>
        <v/>
      </c>
      <c r="K5686" s="7" t="str">
        <f>IF(Table1[[#This Row],[Is Data Valid]]=TRUE,_xlfn.NORM.S.DIST(Table1[[#This Row],[Birthweight Z-Score (BW-10%)]],TRUE)*100,"")</f>
        <v/>
      </c>
      <c r="L5686" s="7" t="str">
        <f>IF(Table1[[#This Row],[Is Data Valid]]=TRUE,_xlfn.NORM.S.DIST(Table1[[#This Row],[Birthweight Z-Score (BW+10%)]],TRUE)*100,"")</f>
        <v/>
      </c>
    </row>
    <row r="5687" spans="1:12" x14ac:dyDescent="0.35">
      <c r="A5687" s="3"/>
      <c r="B5687" s="2"/>
      <c r="C5687" s="2"/>
      <c r="D5687" s="2" t="b">
        <f>IF(AND(NOT(ISBLANK(Table1[[#This Row],[Fetal Sex (Male, Female or Unknown)]])),ISNUMBER(Table1[[#This Row],[Birthweight (grams)]]),ISNUMBER(Table1[[#This Row],[Gestation (days)]])),TRUE,FALSE)</f>
        <v>0</v>
      </c>
      <c r="E5687" s="2" t="str">
        <f>IF(Table1[[#This Row],[Is Data Valid]]=TRUE,IF(Table1[[#This Row],[Fetal Sex (Male, Female or Unknown)]]="Male",Backend!$C$6,IF(Table1[[#This Row],[Fetal Sex (Male, Female or Unknown)]]="Female",Backend!$C$7,IF(Table1[[#This Row],[Fetal Sex (Male, Female or Unknown)]]="Unknown",Backend!$C$8,"Error"))),"")</f>
        <v/>
      </c>
      <c r="F5687" s="8" t="str">
        <f>IF(Table1[[#This Row],[Is Data Valid]]=TRUE,EXP(0.578+0.332*((Table1[[#This Row],[Gestation (days)]]+0.5)/7)-0.00354*((Table1[[#This Row],[Gestation (days)]]+0.5)/7)^2)*Table1[[#This Row],[BW40_3705]],"")</f>
        <v/>
      </c>
      <c r="G5687" s="2" t="str">
        <f>IF(Table1[[#This Row],[Is Data Valid]]=TRUE,((Table1[[#This Row],[Birthweight (grams)]]/Table1[[#This Row],[BW_GA]])-1)/(Backend!$B$4/100*Table1[[#This Row],[BW40_3705]]),"")</f>
        <v/>
      </c>
      <c r="H5687" s="7" t="str">
        <f>IF(Table1[[#This Row],[Is Data Valid]]=TRUE,((Table1[[#This Row],[Birthweight (grams)]]*0.9/Table1[[#This Row],[BW_GA]])-1)/(Backend!$B$4/100*Table1[[#This Row],[BW40_3705]]),"")</f>
        <v/>
      </c>
      <c r="I5687" s="7" t="str">
        <f>IF(Table1[[#This Row],[Is Data Valid]]=TRUE,((Table1[[#This Row],[Birthweight (grams)]]*1.1/Table1[[#This Row],[BW_GA]])-1)/(Backend!$B$4/100*Table1[[#This Row],[BW40_3705]]),"")</f>
        <v/>
      </c>
      <c r="J5687" s="7" t="str">
        <f>IF(Table1[[#This Row],[Is Data Valid]]=TRUE,_xlfn.NORM.S.DIST(Table1[[#This Row],[Birthweight Z-Score]],TRUE)*100,"")</f>
        <v/>
      </c>
      <c r="K5687" s="7" t="str">
        <f>IF(Table1[[#This Row],[Is Data Valid]]=TRUE,_xlfn.NORM.S.DIST(Table1[[#This Row],[Birthweight Z-Score (BW-10%)]],TRUE)*100,"")</f>
        <v/>
      </c>
      <c r="L5687" s="7" t="str">
        <f>IF(Table1[[#This Row],[Is Data Valid]]=TRUE,_xlfn.NORM.S.DIST(Table1[[#This Row],[Birthweight Z-Score (BW+10%)]],TRUE)*100,"")</f>
        <v/>
      </c>
    </row>
    <row r="5688" spans="1:12" x14ac:dyDescent="0.35">
      <c r="A5688" s="3"/>
      <c r="B5688" s="2"/>
      <c r="C5688" s="2"/>
      <c r="D5688" s="2" t="b">
        <f>IF(AND(NOT(ISBLANK(Table1[[#This Row],[Fetal Sex (Male, Female or Unknown)]])),ISNUMBER(Table1[[#This Row],[Birthweight (grams)]]),ISNUMBER(Table1[[#This Row],[Gestation (days)]])),TRUE,FALSE)</f>
        <v>0</v>
      </c>
      <c r="E5688" s="2" t="str">
        <f>IF(Table1[[#This Row],[Is Data Valid]]=TRUE,IF(Table1[[#This Row],[Fetal Sex (Male, Female or Unknown)]]="Male",Backend!$C$6,IF(Table1[[#This Row],[Fetal Sex (Male, Female or Unknown)]]="Female",Backend!$C$7,IF(Table1[[#This Row],[Fetal Sex (Male, Female or Unknown)]]="Unknown",Backend!$C$8,"Error"))),"")</f>
        <v/>
      </c>
      <c r="F5688" s="8" t="str">
        <f>IF(Table1[[#This Row],[Is Data Valid]]=TRUE,EXP(0.578+0.332*((Table1[[#This Row],[Gestation (days)]]+0.5)/7)-0.00354*((Table1[[#This Row],[Gestation (days)]]+0.5)/7)^2)*Table1[[#This Row],[BW40_3705]],"")</f>
        <v/>
      </c>
      <c r="G5688" s="2" t="str">
        <f>IF(Table1[[#This Row],[Is Data Valid]]=TRUE,((Table1[[#This Row],[Birthweight (grams)]]/Table1[[#This Row],[BW_GA]])-1)/(Backend!$B$4/100*Table1[[#This Row],[BW40_3705]]),"")</f>
        <v/>
      </c>
      <c r="H5688" s="7" t="str">
        <f>IF(Table1[[#This Row],[Is Data Valid]]=TRUE,((Table1[[#This Row],[Birthweight (grams)]]*0.9/Table1[[#This Row],[BW_GA]])-1)/(Backend!$B$4/100*Table1[[#This Row],[BW40_3705]]),"")</f>
        <v/>
      </c>
      <c r="I5688" s="7" t="str">
        <f>IF(Table1[[#This Row],[Is Data Valid]]=TRUE,((Table1[[#This Row],[Birthweight (grams)]]*1.1/Table1[[#This Row],[BW_GA]])-1)/(Backend!$B$4/100*Table1[[#This Row],[BW40_3705]]),"")</f>
        <v/>
      </c>
      <c r="J5688" s="7" t="str">
        <f>IF(Table1[[#This Row],[Is Data Valid]]=TRUE,_xlfn.NORM.S.DIST(Table1[[#This Row],[Birthweight Z-Score]],TRUE)*100,"")</f>
        <v/>
      </c>
      <c r="K5688" s="7" t="str">
        <f>IF(Table1[[#This Row],[Is Data Valid]]=TRUE,_xlfn.NORM.S.DIST(Table1[[#This Row],[Birthweight Z-Score (BW-10%)]],TRUE)*100,"")</f>
        <v/>
      </c>
      <c r="L5688" s="7" t="str">
        <f>IF(Table1[[#This Row],[Is Data Valid]]=TRUE,_xlfn.NORM.S.DIST(Table1[[#This Row],[Birthweight Z-Score (BW+10%)]],TRUE)*100,"")</f>
        <v/>
      </c>
    </row>
    <row r="5689" spans="1:12" x14ac:dyDescent="0.35">
      <c r="A5689" s="3"/>
      <c r="B5689" s="2"/>
      <c r="C5689" s="2"/>
      <c r="D5689" s="2" t="b">
        <f>IF(AND(NOT(ISBLANK(Table1[[#This Row],[Fetal Sex (Male, Female or Unknown)]])),ISNUMBER(Table1[[#This Row],[Birthweight (grams)]]),ISNUMBER(Table1[[#This Row],[Gestation (days)]])),TRUE,FALSE)</f>
        <v>0</v>
      </c>
      <c r="E5689" s="2" t="str">
        <f>IF(Table1[[#This Row],[Is Data Valid]]=TRUE,IF(Table1[[#This Row],[Fetal Sex (Male, Female or Unknown)]]="Male",Backend!$C$6,IF(Table1[[#This Row],[Fetal Sex (Male, Female or Unknown)]]="Female",Backend!$C$7,IF(Table1[[#This Row],[Fetal Sex (Male, Female or Unknown)]]="Unknown",Backend!$C$8,"Error"))),"")</f>
        <v/>
      </c>
      <c r="F5689" s="8" t="str">
        <f>IF(Table1[[#This Row],[Is Data Valid]]=TRUE,EXP(0.578+0.332*((Table1[[#This Row],[Gestation (days)]]+0.5)/7)-0.00354*((Table1[[#This Row],[Gestation (days)]]+0.5)/7)^2)*Table1[[#This Row],[BW40_3705]],"")</f>
        <v/>
      </c>
      <c r="G5689" s="2" t="str">
        <f>IF(Table1[[#This Row],[Is Data Valid]]=TRUE,((Table1[[#This Row],[Birthweight (grams)]]/Table1[[#This Row],[BW_GA]])-1)/(Backend!$B$4/100*Table1[[#This Row],[BW40_3705]]),"")</f>
        <v/>
      </c>
      <c r="H5689" s="7" t="str">
        <f>IF(Table1[[#This Row],[Is Data Valid]]=TRUE,((Table1[[#This Row],[Birthweight (grams)]]*0.9/Table1[[#This Row],[BW_GA]])-1)/(Backend!$B$4/100*Table1[[#This Row],[BW40_3705]]),"")</f>
        <v/>
      </c>
      <c r="I5689" s="7" t="str">
        <f>IF(Table1[[#This Row],[Is Data Valid]]=TRUE,((Table1[[#This Row],[Birthweight (grams)]]*1.1/Table1[[#This Row],[BW_GA]])-1)/(Backend!$B$4/100*Table1[[#This Row],[BW40_3705]]),"")</f>
        <v/>
      </c>
      <c r="J5689" s="7" t="str">
        <f>IF(Table1[[#This Row],[Is Data Valid]]=TRUE,_xlfn.NORM.S.DIST(Table1[[#This Row],[Birthweight Z-Score]],TRUE)*100,"")</f>
        <v/>
      </c>
      <c r="K5689" s="7" t="str">
        <f>IF(Table1[[#This Row],[Is Data Valid]]=TRUE,_xlfn.NORM.S.DIST(Table1[[#This Row],[Birthweight Z-Score (BW-10%)]],TRUE)*100,"")</f>
        <v/>
      </c>
      <c r="L5689" s="7" t="str">
        <f>IF(Table1[[#This Row],[Is Data Valid]]=TRUE,_xlfn.NORM.S.DIST(Table1[[#This Row],[Birthweight Z-Score (BW+10%)]],TRUE)*100,"")</f>
        <v/>
      </c>
    </row>
    <row r="5690" spans="1:12" x14ac:dyDescent="0.35">
      <c r="A5690" s="3"/>
      <c r="B5690" s="2"/>
      <c r="C5690" s="2"/>
      <c r="D5690" s="2" t="b">
        <f>IF(AND(NOT(ISBLANK(Table1[[#This Row],[Fetal Sex (Male, Female or Unknown)]])),ISNUMBER(Table1[[#This Row],[Birthweight (grams)]]),ISNUMBER(Table1[[#This Row],[Gestation (days)]])),TRUE,FALSE)</f>
        <v>0</v>
      </c>
      <c r="E5690" s="2" t="str">
        <f>IF(Table1[[#This Row],[Is Data Valid]]=TRUE,IF(Table1[[#This Row],[Fetal Sex (Male, Female or Unknown)]]="Male",Backend!$C$6,IF(Table1[[#This Row],[Fetal Sex (Male, Female or Unknown)]]="Female",Backend!$C$7,IF(Table1[[#This Row],[Fetal Sex (Male, Female or Unknown)]]="Unknown",Backend!$C$8,"Error"))),"")</f>
        <v/>
      </c>
      <c r="F5690" s="8" t="str">
        <f>IF(Table1[[#This Row],[Is Data Valid]]=TRUE,EXP(0.578+0.332*((Table1[[#This Row],[Gestation (days)]]+0.5)/7)-0.00354*((Table1[[#This Row],[Gestation (days)]]+0.5)/7)^2)*Table1[[#This Row],[BW40_3705]],"")</f>
        <v/>
      </c>
      <c r="G5690" s="2" t="str">
        <f>IF(Table1[[#This Row],[Is Data Valid]]=TRUE,((Table1[[#This Row],[Birthweight (grams)]]/Table1[[#This Row],[BW_GA]])-1)/(Backend!$B$4/100*Table1[[#This Row],[BW40_3705]]),"")</f>
        <v/>
      </c>
      <c r="H5690" s="7" t="str">
        <f>IF(Table1[[#This Row],[Is Data Valid]]=TRUE,((Table1[[#This Row],[Birthweight (grams)]]*0.9/Table1[[#This Row],[BW_GA]])-1)/(Backend!$B$4/100*Table1[[#This Row],[BW40_3705]]),"")</f>
        <v/>
      </c>
      <c r="I5690" s="7" t="str">
        <f>IF(Table1[[#This Row],[Is Data Valid]]=TRUE,((Table1[[#This Row],[Birthweight (grams)]]*1.1/Table1[[#This Row],[BW_GA]])-1)/(Backend!$B$4/100*Table1[[#This Row],[BW40_3705]]),"")</f>
        <v/>
      </c>
      <c r="J5690" s="7" t="str">
        <f>IF(Table1[[#This Row],[Is Data Valid]]=TRUE,_xlfn.NORM.S.DIST(Table1[[#This Row],[Birthweight Z-Score]],TRUE)*100,"")</f>
        <v/>
      </c>
      <c r="K5690" s="7" t="str">
        <f>IF(Table1[[#This Row],[Is Data Valid]]=TRUE,_xlfn.NORM.S.DIST(Table1[[#This Row],[Birthweight Z-Score (BW-10%)]],TRUE)*100,"")</f>
        <v/>
      </c>
      <c r="L5690" s="7" t="str">
        <f>IF(Table1[[#This Row],[Is Data Valid]]=TRUE,_xlfn.NORM.S.DIST(Table1[[#This Row],[Birthweight Z-Score (BW+10%)]],TRUE)*100,"")</f>
        <v/>
      </c>
    </row>
    <row r="5691" spans="1:12" x14ac:dyDescent="0.35">
      <c r="A5691" s="3"/>
      <c r="B5691" s="2"/>
      <c r="C5691" s="2"/>
      <c r="D5691" s="2" t="b">
        <f>IF(AND(NOT(ISBLANK(Table1[[#This Row],[Fetal Sex (Male, Female or Unknown)]])),ISNUMBER(Table1[[#This Row],[Birthweight (grams)]]),ISNUMBER(Table1[[#This Row],[Gestation (days)]])),TRUE,FALSE)</f>
        <v>0</v>
      </c>
      <c r="E5691" s="2" t="str">
        <f>IF(Table1[[#This Row],[Is Data Valid]]=TRUE,IF(Table1[[#This Row],[Fetal Sex (Male, Female or Unknown)]]="Male",Backend!$C$6,IF(Table1[[#This Row],[Fetal Sex (Male, Female or Unknown)]]="Female",Backend!$C$7,IF(Table1[[#This Row],[Fetal Sex (Male, Female or Unknown)]]="Unknown",Backend!$C$8,"Error"))),"")</f>
        <v/>
      </c>
      <c r="F5691" s="8" t="str">
        <f>IF(Table1[[#This Row],[Is Data Valid]]=TRUE,EXP(0.578+0.332*((Table1[[#This Row],[Gestation (days)]]+0.5)/7)-0.00354*((Table1[[#This Row],[Gestation (days)]]+0.5)/7)^2)*Table1[[#This Row],[BW40_3705]],"")</f>
        <v/>
      </c>
      <c r="G5691" s="2" t="str">
        <f>IF(Table1[[#This Row],[Is Data Valid]]=TRUE,((Table1[[#This Row],[Birthweight (grams)]]/Table1[[#This Row],[BW_GA]])-1)/(Backend!$B$4/100*Table1[[#This Row],[BW40_3705]]),"")</f>
        <v/>
      </c>
      <c r="H5691" s="7" t="str">
        <f>IF(Table1[[#This Row],[Is Data Valid]]=TRUE,((Table1[[#This Row],[Birthweight (grams)]]*0.9/Table1[[#This Row],[BW_GA]])-1)/(Backend!$B$4/100*Table1[[#This Row],[BW40_3705]]),"")</f>
        <v/>
      </c>
      <c r="I5691" s="7" t="str">
        <f>IF(Table1[[#This Row],[Is Data Valid]]=TRUE,((Table1[[#This Row],[Birthweight (grams)]]*1.1/Table1[[#This Row],[BW_GA]])-1)/(Backend!$B$4/100*Table1[[#This Row],[BW40_3705]]),"")</f>
        <v/>
      </c>
      <c r="J5691" s="7" t="str">
        <f>IF(Table1[[#This Row],[Is Data Valid]]=TRUE,_xlfn.NORM.S.DIST(Table1[[#This Row],[Birthweight Z-Score]],TRUE)*100,"")</f>
        <v/>
      </c>
      <c r="K5691" s="7" t="str">
        <f>IF(Table1[[#This Row],[Is Data Valid]]=TRUE,_xlfn.NORM.S.DIST(Table1[[#This Row],[Birthweight Z-Score (BW-10%)]],TRUE)*100,"")</f>
        <v/>
      </c>
      <c r="L5691" s="7" t="str">
        <f>IF(Table1[[#This Row],[Is Data Valid]]=TRUE,_xlfn.NORM.S.DIST(Table1[[#This Row],[Birthweight Z-Score (BW+10%)]],TRUE)*100,"")</f>
        <v/>
      </c>
    </row>
    <row r="5692" spans="1:12" x14ac:dyDescent="0.35">
      <c r="A5692" s="3"/>
      <c r="B5692" s="2"/>
      <c r="C5692" s="2"/>
      <c r="D5692" s="2" t="b">
        <f>IF(AND(NOT(ISBLANK(Table1[[#This Row],[Fetal Sex (Male, Female or Unknown)]])),ISNUMBER(Table1[[#This Row],[Birthweight (grams)]]),ISNUMBER(Table1[[#This Row],[Gestation (days)]])),TRUE,FALSE)</f>
        <v>0</v>
      </c>
      <c r="E5692" s="2" t="str">
        <f>IF(Table1[[#This Row],[Is Data Valid]]=TRUE,IF(Table1[[#This Row],[Fetal Sex (Male, Female or Unknown)]]="Male",Backend!$C$6,IF(Table1[[#This Row],[Fetal Sex (Male, Female or Unknown)]]="Female",Backend!$C$7,IF(Table1[[#This Row],[Fetal Sex (Male, Female or Unknown)]]="Unknown",Backend!$C$8,"Error"))),"")</f>
        <v/>
      </c>
      <c r="F5692" s="8" t="str">
        <f>IF(Table1[[#This Row],[Is Data Valid]]=TRUE,EXP(0.578+0.332*((Table1[[#This Row],[Gestation (days)]]+0.5)/7)-0.00354*((Table1[[#This Row],[Gestation (days)]]+0.5)/7)^2)*Table1[[#This Row],[BW40_3705]],"")</f>
        <v/>
      </c>
      <c r="G5692" s="2" t="str">
        <f>IF(Table1[[#This Row],[Is Data Valid]]=TRUE,((Table1[[#This Row],[Birthweight (grams)]]/Table1[[#This Row],[BW_GA]])-1)/(Backend!$B$4/100*Table1[[#This Row],[BW40_3705]]),"")</f>
        <v/>
      </c>
      <c r="H5692" s="7" t="str">
        <f>IF(Table1[[#This Row],[Is Data Valid]]=TRUE,((Table1[[#This Row],[Birthweight (grams)]]*0.9/Table1[[#This Row],[BW_GA]])-1)/(Backend!$B$4/100*Table1[[#This Row],[BW40_3705]]),"")</f>
        <v/>
      </c>
      <c r="I5692" s="7" t="str">
        <f>IF(Table1[[#This Row],[Is Data Valid]]=TRUE,((Table1[[#This Row],[Birthweight (grams)]]*1.1/Table1[[#This Row],[BW_GA]])-1)/(Backend!$B$4/100*Table1[[#This Row],[BW40_3705]]),"")</f>
        <v/>
      </c>
      <c r="J5692" s="7" t="str">
        <f>IF(Table1[[#This Row],[Is Data Valid]]=TRUE,_xlfn.NORM.S.DIST(Table1[[#This Row],[Birthweight Z-Score]],TRUE)*100,"")</f>
        <v/>
      </c>
      <c r="K5692" s="7" t="str">
        <f>IF(Table1[[#This Row],[Is Data Valid]]=TRUE,_xlfn.NORM.S.DIST(Table1[[#This Row],[Birthweight Z-Score (BW-10%)]],TRUE)*100,"")</f>
        <v/>
      </c>
      <c r="L5692" s="7" t="str">
        <f>IF(Table1[[#This Row],[Is Data Valid]]=TRUE,_xlfn.NORM.S.DIST(Table1[[#This Row],[Birthweight Z-Score (BW+10%)]],TRUE)*100,"")</f>
        <v/>
      </c>
    </row>
    <row r="5693" spans="1:12" x14ac:dyDescent="0.35">
      <c r="A5693" s="3"/>
      <c r="B5693" s="2"/>
      <c r="C5693" s="2"/>
      <c r="D5693" s="2" t="b">
        <f>IF(AND(NOT(ISBLANK(Table1[[#This Row],[Fetal Sex (Male, Female or Unknown)]])),ISNUMBER(Table1[[#This Row],[Birthweight (grams)]]),ISNUMBER(Table1[[#This Row],[Gestation (days)]])),TRUE,FALSE)</f>
        <v>0</v>
      </c>
      <c r="E5693" s="2" t="str">
        <f>IF(Table1[[#This Row],[Is Data Valid]]=TRUE,IF(Table1[[#This Row],[Fetal Sex (Male, Female or Unknown)]]="Male",Backend!$C$6,IF(Table1[[#This Row],[Fetal Sex (Male, Female or Unknown)]]="Female",Backend!$C$7,IF(Table1[[#This Row],[Fetal Sex (Male, Female or Unknown)]]="Unknown",Backend!$C$8,"Error"))),"")</f>
        <v/>
      </c>
      <c r="F5693" s="8" t="str">
        <f>IF(Table1[[#This Row],[Is Data Valid]]=TRUE,EXP(0.578+0.332*((Table1[[#This Row],[Gestation (days)]]+0.5)/7)-0.00354*((Table1[[#This Row],[Gestation (days)]]+0.5)/7)^2)*Table1[[#This Row],[BW40_3705]],"")</f>
        <v/>
      </c>
      <c r="G5693" s="2" t="str">
        <f>IF(Table1[[#This Row],[Is Data Valid]]=TRUE,((Table1[[#This Row],[Birthweight (grams)]]/Table1[[#This Row],[BW_GA]])-1)/(Backend!$B$4/100*Table1[[#This Row],[BW40_3705]]),"")</f>
        <v/>
      </c>
      <c r="H5693" s="7" t="str">
        <f>IF(Table1[[#This Row],[Is Data Valid]]=TRUE,((Table1[[#This Row],[Birthweight (grams)]]*0.9/Table1[[#This Row],[BW_GA]])-1)/(Backend!$B$4/100*Table1[[#This Row],[BW40_3705]]),"")</f>
        <v/>
      </c>
      <c r="I5693" s="7" t="str">
        <f>IF(Table1[[#This Row],[Is Data Valid]]=TRUE,((Table1[[#This Row],[Birthweight (grams)]]*1.1/Table1[[#This Row],[BW_GA]])-1)/(Backend!$B$4/100*Table1[[#This Row],[BW40_3705]]),"")</f>
        <v/>
      </c>
      <c r="J5693" s="7" t="str">
        <f>IF(Table1[[#This Row],[Is Data Valid]]=TRUE,_xlfn.NORM.S.DIST(Table1[[#This Row],[Birthweight Z-Score]],TRUE)*100,"")</f>
        <v/>
      </c>
      <c r="K5693" s="7" t="str">
        <f>IF(Table1[[#This Row],[Is Data Valid]]=TRUE,_xlfn.NORM.S.DIST(Table1[[#This Row],[Birthweight Z-Score (BW-10%)]],TRUE)*100,"")</f>
        <v/>
      </c>
      <c r="L5693" s="7" t="str">
        <f>IF(Table1[[#This Row],[Is Data Valid]]=TRUE,_xlfn.NORM.S.DIST(Table1[[#This Row],[Birthweight Z-Score (BW+10%)]],TRUE)*100,"")</f>
        <v/>
      </c>
    </row>
    <row r="5694" spans="1:12" x14ac:dyDescent="0.35">
      <c r="A5694" s="3"/>
      <c r="B5694" s="2"/>
      <c r="C5694" s="2"/>
      <c r="D5694" s="2" t="b">
        <f>IF(AND(NOT(ISBLANK(Table1[[#This Row],[Fetal Sex (Male, Female or Unknown)]])),ISNUMBER(Table1[[#This Row],[Birthweight (grams)]]),ISNUMBER(Table1[[#This Row],[Gestation (days)]])),TRUE,FALSE)</f>
        <v>0</v>
      </c>
      <c r="E5694" s="2" t="str">
        <f>IF(Table1[[#This Row],[Is Data Valid]]=TRUE,IF(Table1[[#This Row],[Fetal Sex (Male, Female or Unknown)]]="Male",Backend!$C$6,IF(Table1[[#This Row],[Fetal Sex (Male, Female or Unknown)]]="Female",Backend!$C$7,IF(Table1[[#This Row],[Fetal Sex (Male, Female or Unknown)]]="Unknown",Backend!$C$8,"Error"))),"")</f>
        <v/>
      </c>
      <c r="F5694" s="8" t="str">
        <f>IF(Table1[[#This Row],[Is Data Valid]]=TRUE,EXP(0.578+0.332*((Table1[[#This Row],[Gestation (days)]]+0.5)/7)-0.00354*((Table1[[#This Row],[Gestation (days)]]+0.5)/7)^2)*Table1[[#This Row],[BW40_3705]],"")</f>
        <v/>
      </c>
      <c r="G5694" s="2" t="str">
        <f>IF(Table1[[#This Row],[Is Data Valid]]=TRUE,((Table1[[#This Row],[Birthweight (grams)]]/Table1[[#This Row],[BW_GA]])-1)/(Backend!$B$4/100*Table1[[#This Row],[BW40_3705]]),"")</f>
        <v/>
      </c>
      <c r="H5694" s="7" t="str">
        <f>IF(Table1[[#This Row],[Is Data Valid]]=TRUE,((Table1[[#This Row],[Birthweight (grams)]]*0.9/Table1[[#This Row],[BW_GA]])-1)/(Backend!$B$4/100*Table1[[#This Row],[BW40_3705]]),"")</f>
        <v/>
      </c>
      <c r="I5694" s="7" t="str">
        <f>IF(Table1[[#This Row],[Is Data Valid]]=TRUE,((Table1[[#This Row],[Birthweight (grams)]]*1.1/Table1[[#This Row],[BW_GA]])-1)/(Backend!$B$4/100*Table1[[#This Row],[BW40_3705]]),"")</f>
        <v/>
      </c>
      <c r="J5694" s="7" t="str">
        <f>IF(Table1[[#This Row],[Is Data Valid]]=TRUE,_xlfn.NORM.S.DIST(Table1[[#This Row],[Birthweight Z-Score]],TRUE)*100,"")</f>
        <v/>
      </c>
      <c r="K5694" s="7" t="str">
        <f>IF(Table1[[#This Row],[Is Data Valid]]=TRUE,_xlfn.NORM.S.DIST(Table1[[#This Row],[Birthweight Z-Score (BW-10%)]],TRUE)*100,"")</f>
        <v/>
      </c>
      <c r="L5694" s="7" t="str">
        <f>IF(Table1[[#This Row],[Is Data Valid]]=TRUE,_xlfn.NORM.S.DIST(Table1[[#This Row],[Birthweight Z-Score (BW+10%)]],TRUE)*100,"")</f>
        <v/>
      </c>
    </row>
    <row r="5695" spans="1:12" x14ac:dyDescent="0.35">
      <c r="A5695" s="3"/>
      <c r="B5695" s="2"/>
      <c r="C5695" s="2"/>
      <c r="D5695" s="2" t="b">
        <f>IF(AND(NOT(ISBLANK(Table1[[#This Row],[Fetal Sex (Male, Female or Unknown)]])),ISNUMBER(Table1[[#This Row],[Birthweight (grams)]]),ISNUMBER(Table1[[#This Row],[Gestation (days)]])),TRUE,FALSE)</f>
        <v>0</v>
      </c>
      <c r="E5695" s="2" t="str">
        <f>IF(Table1[[#This Row],[Is Data Valid]]=TRUE,IF(Table1[[#This Row],[Fetal Sex (Male, Female or Unknown)]]="Male",Backend!$C$6,IF(Table1[[#This Row],[Fetal Sex (Male, Female or Unknown)]]="Female",Backend!$C$7,IF(Table1[[#This Row],[Fetal Sex (Male, Female or Unknown)]]="Unknown",Backend!$C$8,"Error"))),"")</f>
        <v/>
      </c>
      <c r="F5695" s="8" t="str">
        <f>IF(Table1[[#This Row],[Is Data Valid]]=TRUE,EXP(0.578+0.332*((Table1[[#This Row],[Gestation (days)]]+0.5)/7)-0.00354*((Table1[[#This Row],[Gestation (days)]]+0.5)/7)^2)*Table1[[#This Row],[BW40_3705]],"")</f>
        <v/>
      </c>
      <c r="G5695" s="2" t="str">
        <f>IF(Table1[[#This Row],[Is Data Valid]]=TRUE,((Table1[[#This Row],[Birthweight (grams)]]/Table1[[#This Row],[BW_GA]])-1)/(Backend!$B$4/100*Table1[[#This Row],[BW40_3705]]),"")</f>
        <v/>
      </c>
      <c r="H5695" s="7" t="str">
        <f>IF(Table1[[#This Row],[Is Data Valid]]=TRUE,((Table1[[#This Row],[Birthweight (grams)]]*0.9/Table1[[#This Row],[BW_GA]])-1)/(Backend!$B$4/100*Table1[[#This Row],[BW40_3705]]),"")</f>
        <v/>
      </c>
      <c r="I5695" s="7" t="str">
        <f>IF(Table1[[#This Row],[Is Data Valid]]=TRUE,((Table1[[#This Row],[Birthweight (grams)]]*1.1/Table1[[#This Row],[BW_GA]])-1)/(Backend!$B$4/100*Table1[[#This Row],[BW40_3705]]),"")</f>
        <v/>
      </c>
      <c r="J5695" s="7" t="str">
        <f>IF(Table1[[#This Row],[Is Data Valid]]=TRUE,_xlfn.NORM.S.DIST(Table1[[#This Row],[Birthweight Z-Score]],TRUE)*100,"")</f>
        <v/>
      </c>
      <c r="K5695" s="7" t="str">
        <f>IF(Table1[[#This Row],[Is Data Valid]]=TRUE,_xlfn.NORM.S.DIST(Table1[[#This Row],[Birthweight Z-Score (BW-10%)]],TRUE)*100,"")</f>
        <v/>
      </c>
      <c r="L5695" s="7" t="str">
        <f>IF(Table1[[#This Row],[Is Data Valid]]=TRUE,_xlfn.NORM.S.DIST(Table1[[#This Row],[Birthweight Z-Score (BW+10%)]],TRUE)*100,"")</f>
        <v/>
      </c>
    </row>
    <row r="5696" spans="1:12" x14ac:dyDescent="0.35">
      <c r="A5696" s="3"/>
      <c r="B5696" s="2"/>
      <c r="C5696" s="2"/>
      <c r="D5696" s="2" t="b">
        <f>IF(AND(NOT(ISBLANK(Table1[[#This Row],[Fetal Sex (Male, Female or Unknown)]])),ISNUMBER(Table1[[#This Row],[Birthweight (grams)]]),ISNUMBER(Table1[[#This Row],[Gestation (days)]])),TRUE,FALSE)</f>
        <v>0</v>
      </c>
      <c r="E5696" s="2" t="str">
        <f>IF(Table1[[#This Row],[Is Data Valid]]=TRUE,IF(Table1[[#This Row],[Fetal Sex (Male, Female or Unknown)]]="Male",Backend!$C$6,IF(Table1[[#This Row],[Fetal Sex (Male, Female or Unknown)]]="Female",Backend!$C$7,IF(Table1[[#This Row],[Fetal Sex (Male, Female or Unknown)]]="Unknown",Backend!$C$8,"Error"))),"")</f>
        <v/>
      </c>
      <c r="F5696" s="8" t="str">
        <f>IF(Table1[[#This Row],[Is Data Valid]]=TRUE,EXP(0.578+0.332*((Table1[[#This Row],[Gestation (days)]]+0.5)/7)-0.00354*((Table1[[#This Row],[Gestation (days)]]+0.5)/7)^2)*Table1[[#This Row],[BW40_3705]],"")</f>
        <v/>
      </c>
      <c r="G5696" s="2" t="str">
        <f>IF(Table1[[#This Row],[Is Data Valid]]=TRUE,((Table1[[#This Row],[Birthweight (grams)]]/Table1[[#This Row],[BW_GA]])-1)/(Backend!$B$4/100*Table1[[#This Row],[BW40_3705]]),"")</f>
        <v/>
      </c>
      <c r="H5696" s="7" t="str">
        <f>IF(Table1[[#This Row],[Is Data Valid]]=TRUE,((Table1[[#This Row],[Birthweight (grams)]]*0.9/Table1[[#This Row],[BW_GA]])-1)/(Backend!$B$4/100*Table1[[#This Row],[BW40_3705]]),"")</f>
        <v/>
      </c>
      <c r="I5696" s="7" t="str">
        <f>IF(Table1[[#This Row],[Is Data Valid]]=TRUE,((Table1[[#This Row],[Birthweight (grams)]]*1.1/Table1[[#This Row],[BW_GA]])-1)/(Backend!$B$4/100*Table1[[#This Row],[BW40_3705]]),"")</f>
        <v/>
      </c>
      <c r="J5696" s="7" t="str">
        <f>IF(Table1[[#This Row],[Is Data Valid]]=TRUE,_xlfn.NORM.S.DIST(Table1[[#This Row],[Birthweight Z-Score]],TRUE)*100,"")</f>
        <v/>
      </c>
      <c r="K5696" s="7" t="str">
        <f>IF(Table1[[#This Row],[Is Data Valid]]=TRUE,_xlfn.NORM.S.DIST(Table1[[#This Row],[Birthweight Z-Score (BW-10%)]],TRUE)*100,"")</f>
        <v/>
      </c>
      <c r="L5696" s="7" t="str">
        <f>IF(Table1[[#This Row],[Is Data Valid]]=TRUE,_xlfn.NORM.S.DIST(Table1[[#This Row],[Birthweight Z-Score (BW+10%)]],TRUE)*100,"")</f>
        <v/>
      </c>
    </row>
    <row r="5697" spans="1:12" x14ac:dyDescent="0.35">
      <c r="A5697" s="3"/>
      <c r="B5697" s="2"/>
      <c r="C5697" s="2"/>
      <c r="D5697" s="2" t="b">
        <f>IF(AND(NOT(ISBLANK(Table1[[#This Row],[Fetal Sex (Male, Female or Unknown)]])),ISNUMBER(Table1[[#This Row],[Birthweight (grams)]]),ISNUMBER(Table1[[#This Row],[Gestation (days)]])),TRUE,FALSE)</f>
        <v>0</v>
      </c>
      <c r="E5697" s="2" t="str">
        <f>IF(Table1[[#This Row],[Is Data Valid]]=TRUE,IF(Table1[[#This Row],[Fetal Sex (Male, Female or Unknown)]]="Male",Backend!$C$6,IF(Table1[[#This Row],[Fetal Sex (Male, Female or Unknown)]]="Female",Backend!$C$7,IF(Table1[[#This Row],[Fetal Sex (Male, Female or Unknown)]]="Unknown",Backend!$C$8,"Error"))),"")</f>
        <v/>
      </c>
      <c r="F5697" s="8" t="str">
        <f>IF(Table1[[#This Row],[Is Data Valid]]=TRUE,EXP(0.578+0.332*((Table1[[#This Row],[Gestation (days)]]+0.5)/7)-0.00354*((Table1[[#This Row],[Gestation (days)]]+0.5)/7)^2)*Table1[[#This Row],[BW40_3705]],"")</f>
        <v/>
      </c>
      <c r="G5697" s="2" t="str">
        <f>IF(Table1[[#This Row],[Is Data Valid]]=TRUE,((Table1[[#This Row],[Birthweight (grams)]]/Table1[[#This Row],[BW_GA]])-1)/(Backend!$B$4/100*Table1[[#This Row],[BW40_3705]]),"")</f>
        <v/>
      </c>
      <c r="H5697" s="7" t="str">
        <f>IF(Table1[[#This Row],[Is Data Valid]]=TRUE,((Table1[[#This Row],[Birthweight (grams)]]*0.9/Table1[[#This Row],[BW_GA]])-1)/(Backend!$B$4/100*Table1[[#This Row],[BW40_3705]]),"")</f>
        <v/>
      </c>
      <c r="I5697" s="7" t="str">
        <f>IF(Table1[[#This Row],[Is Data Valid]]=TRUE,((Table1[[#This Row],[Birthweight (grams)]]*1.1/Table1[[#This Row],[BW_GA]])-1)/(Backend!$B$4/100*Table1[[#This Row],[BW40_3705]]),"")</f>
        <v/>
      </c>
      <c r="J5697" s="7" t="str">
        <f>IF(Table1[[#This Row],[Is Data Valid]]=TRUE,_xlfn.NORM.S.DIST(Table1[[#This Row],[Birthweight Z-Score]],TRUE)*100,"")</f>
        <v/>
      </c>
      <c r="K5697" s="7" t="str">
        <f>IF(Table1[[#This Row],[Is Data Valid]]=TRUE,_xlfn.NORM.S.DIST(Table1[[#This Row],[Birthweight Z-Score (BW-10%)]],TRUE)*100,"")</f>
        <v/>
      </c>
      <c r="L5697" s="7" t="str">
        <f>IF(Table1[[#This Row],[Is Data Valid]]=TRUE,_xlfn.NORM.S.DIST(Table1[[#This Row],[Birthweight Z-Score (BW+10%)]],TRUE)*100,"")</f>
        <v/>
      </c>
    </row>
    <row r="5698" spans="1:12" x14ac:dyDescent="0.35">
      <c r="A5698" s="3"/>
      <c r="B5698" s="2"/>
      <c r="C5698" s="2"/>
      <c r="D5698" s="2" t="b">
        <f>IF(AND(NOT(ISBLANK(Table1[[#This Row],[Fetal Sex (Male, Female or Unknown)]])),ISNUMBER(Table1[[#This Row],[Birthweight (grams)]]),ISNUMBER(Table1[[#This Row],[Gestation (days)]])),TRUE,FALSE)</f>
        <v>0</v>
      </c>
      <c r="E5698" s="2" t="str">
        <f>IF(Table1[[#This Row],[Is Data Valid]]=TRUE,IF(Table1[[#This Row],[Fetal Sex (Male, Female or Unknown)]]="Male",Backend!$C$6,IF(Table1[[#This Row],[Fetal Sex (Male, Female or Unknown)]]="Female",Backend!$C$7,IF(Table1[[#This Row],[Fetal Sex (Male, Female or Unknown)]]="Unknown",Backend!$C$8,"Error"))),"")</f>
        <v/>
      </c>
      <c r="F5698" s="8" t="str">
        <f>IF(Table1[[#This Row],[Is Data Valid]]=TRUE,EXP(0.578+0.332*((Table1[[#This Row],[Gestation (days)]]+0.5)/7)-0.00354*((Table1[[#This Row],[Gestation (days)]]+0.5)/7)^2)*Table1[[#This Row],[BW40_3705]],"")</f>
        <v/>
      </c>
      <c r="G5698" s="2" t="str">
        <f>IF(Table1[[#This Row],[Is Data Valid]]=TRUE,((Table1[[#This Row],[Birthweight (grams)]]/Table1[[#This Row],[BW_GA]])-1)/(Backend!$B$4/100*Table1[[#This Row],[BW40_3705]]),"")</f>
        <v/>
      </c>
      <c r="H5698" s="7" t="str">
        <f>IF(Table1[[#This Row],[Is Data Valid]]=TRUE,((Table1[[#This Row],[Birthweight (grams)]]*0.9/Table1[[#This Row],[BW_GA]])-1)/(Backend!$B$4/100*Table1[[#This Row],[BW40_3705]]),"")</f>
        <v/>
      </c>
      <c r="I5698" s="7" t="str">
        <f>IF(Table1[[#This Row],[Is Data Valid]]=TRUE,((Table1[[#This Row],[Birthweight (grams)]]*1.1/Table1[[#This Row],[BW_GA]])-1)/(Backend!$B$4/100*Table1[[#This Row],[BW40_3705]]),"")</f>
        <v/>
      </c>
      <c r="J5698" s="7" t="str">
        <f>IF(Table1[[#This Row],[Is Data Valid]]=TRUE,_xlfn.NORM.S.DIST(Table1[[#This Row],[Birthweight Z-Score]],TRUE)*100,"")</f>
        <v/>
      </c>
      <c r="K5698" s="7" t="str">
        <f>IF(Table1[[#This Row],[Is Data Valid]]=TRUE,_xlfn.NORM.S.DIST(Table1[[#This Row],[Birthweight Z-Score (BW-10%)]],TRUE)*100,"")</f>
        <v/>
      </c>
      <c r="L5698" s="7" t="str">
        <f>IF(Table1[[#This Row],[Is Data Valid]]=TRUE,_xlfn.NORM.S.DIST(Table1[[#This Row],[Birthweight Z-Score (BW+10%)]],TRUE)*100,"")</f>
        <v/>
      </c>
    </row>
    <row r="5699" spans="1:12" x14ac:dyDescent="0.35">
      <c r="A5699" s="3"/>
      <c r="B5699" s="2"/>
      <c r="C5699" s="2"/>
      <c r="D5699" s="2" t="b">
        <f>IF(AND(NOT(ISBLANK(Table1[[#This Row],[Fetal Sex (Male, Female or Unknown)]])),ISNUMBER(Table1[[#This Row],[Birthweight (grams)]]),ISNUMBER(Table1[[#This Row],[Gestation (days)]])),TRUE,FALSE)</f>
        <v>0</v>
      </c>
      <c r="E5699" s="2" t="str">
        <f>IF(Table1[[#This Row],[Is Data Valid]]=TRUE,IF(Table1[[#This Row],[Fetal Sex (Male, Female or Unknown)]]="Male",Backend!$C$6,IF(Table1[[#This Row],[Fetal Sex (Male, Female or Unknown)]]="Female",Backend!$C$7,IF(Table1[[#This Row],[Fetal Sex (Male, Female or Unknown)]]="Unknown",Backend!$C$8,"Error"))),"")</f>
        <v/>
      </c>
      <c r="F5699" s="8" t="str">
        <f>IF(Table1[[#This Row],[Is Data Valid]]=TRUE,EXP(0.578+0.332*((Table1[[#This Row],[Gestation (days)]]+0.5)/7)-0.00354*((Table1[[#This Row],[Gestation (days)]]+0.5)/7)^2)*Table1[[#This Row],[BW40_3705]],"")</f>
        <v/>
      </c>
      <c r="G5699" s="2" t="str">
        <f>IF(Table1[[#This Row],[Is Data Valid]]=TRUE,((Table1[[#This Row],[Birthweight (grams)]]/Table1[[#This Row],[BW_GA]])-1)/(Backend!$B$4/100*Table1[[#This Row],[BW40_3705]]),"")</f>
        <v/>
      </c>
      <c r="H5699" s="7" t="str">
        <f>IF(Table1[[#This Row],[Is Data Valid]]=TRUE,((Table1[[#This Row],[Birthweight (grams)]]*0.9/Table1[[#This Row],[BW_GA]])-1)/(Backend!$B$4/100*Table1[[#This Row],[BW40_3705]]),"")</f>
        <v/>
      </c>
      <c r="I5699" s="7" t="str">
        <f>IF(Table1[[#This Row],[Is Data Valid]]=TRUE,((Table1[[#This Row],[Birthweight (grams)]]*1.1/Table1[[#This Row],[BW_GA]])-1)/(Backend!$B$4/100*Table1[[#This Row],[BW40_3705]]),"")</f>
        <v/>
      </c>
      <c r="J5699" s="7" t="str">
        <f>IF(Table1[[#This Row],[Is Data Valid]]=TRUE,_xlfn.NORM.S.DIST(Table1[[#This Row],[Birthweight Z-Score]],TRUE)*100,"")</f>
        <v/>
      </c>
      <c r="K5699" s="7" t="str">
        <f>IF(Table1[[#This Row],[Is Data Valid]]=TRUE,_xlfn.NORM.S.DIST(Table1[[#This Row],[Birthweight Z-Score (BW-10%)]],TRUE)*100,"")</f>
        <v/>
      </c>
      <c r="L5699" s="7" t="str">
        <f>IF(Table1[[#This Row],[Is Data Valid]]=TRUE,_xlfn.NORM.S.DIST(Table1[[#This Row],[Birthweight Z-Score (BW+10%)]],TRUE)*100,"")</f>
        <v/>
      </c>
    </row>
    <row r="5700" spans="1:12" x14ac:dyDescent="0.35">
      <c r="A5700" s="3"/>
      <c r="B5700" s="2"/>
      <c r="C5700" s="2"/>
      <c r="D5700" s="2" t="b">
        <f>IF(AND(NOT(ISBLANK(Table1[[#This Row],[Fetal Sex (Male, Female or Unknown)]])),ISNUMBER(Table1[[#This Row],[Birthweight (grams)]]),ISNUMBER(Table1[[#This Row],[Gestation (days)]])),TRUE,FALSE)</f>
        <v>0</v>
      </c>
      <c r="E5700" s="2" t="str">
        <f>IF(Table1[[#This Row],[Is Data Valid]]=TRUE,IF(Table1[[#This Row],[Fetal Sex (Male, Female or Unknown)]]="Male",Backend!$C$6,IF(Table1[[#This Row],[Fetal Sex (Male, Female or Unknown)]]="Female",Backend!$C$7,IF(Table1[[#This Row],[Fetal Sex (Male, Female or Unknown)]]="Unknown",Backend!$C$8,"Error"))),"")</f>
        <v/>
      </c>
      <c r="F5700" s="8" t="str">
        <f>IF(Table1[[#This Row],[Is Data Valid]]=TRUE,EXP(0.578+0.332*((Table1[[#This Row],[Gestation (days)]]+0.5)/7)-0.00354*((Table1[[#This Row],[Gestation (days)]]+0.5)/7)^2)*Table1[[#This Row],[BW40_3705]],"")</f>
        <v/>
      </c>
      <c r="G5700" s="2" t="str">
        <f>IF(Table1[[#This Row],[Is Data Valid]]=TRUE,((Table1[[#This Row],[Birthweight (grams)]]/Table1[[#This Row],[BW_GA]])-1)/(Backend!$B$4/100*Table1[[#This Row],[BW40_3705]]),"")</f>
        <v/>
      </c>
      <c r="H5700" s="7" t="str">
        <f>IF(Table1[[#This Row],[Is Data Valid]]=TRUE,((Table1[[#This Row],[Birthweight (grams)]]*0.9/Table1[[#This Row],[BW_GA]])-1)/(Backend!$B$4/100*Table1[[#This Row],[BW40_3705]]),"")</f>
        <v/>
      </c>
      <c r="I5700" s="7" t="str">
        <f>IF(Table1[[#This Row],[Is Data Valid]]=TRUE,((Table1[[#This Row],[Birthweight (grams)]]*1.1/Table1[[#This Row],[BW_GA]])-1)/(Backend!$B$4/100*Table1[[#This Row],[BW40_3705]]),"")</f>
        <v/>
      </c>
      <c r="J5700" s="7" t="str">
        <f>IF(Table1[[#This Row],[Is Data Valid]]=TRUE,_xlfn.NORM.S.DIST(Table1[[#This Row],[Birthweight Z-Score]],TRUE)*100,"")</f>
        <v/>
      </c>
      <c r="K5700" s="7" t="str">
        <f>IF(Table1[[#This Row],[Is Data Valid]]=TRUE,_xlfn.NORM.S.DIST(Table1[[#This Row],[Birthweight Z-Score (BW-10%)]],TRUE)*100,"")</f>
        <v/>
      </c>
      <c r="L5700" s="7" t="str">
        <f>IF(Table1[[#This Row],[Is Data Valid]]=TRUE,_xlfn.NORM.S.DIST(Table1[[#This Row],[Birthweight Z-Score (BW+10%)]],TRUE)*100,"")</f>
        <v/>
      </c>
    </row>
    <row r="5701" spans="1:12" x14ac:dyDescent="0.35">
      <c r="A5701" s="3"/>
      <c r="B5701" s="2"/>
      <c r="C5701" s="2"/>
      <c r="D5701" s="2" t="b">
        <f>IF(AND(NOT(ISBLANK(Table1[[#This Row],[Fetal Sex (Male, Female or Unknown)]])),ISNUMBER(Table1[[#This Row],[Birthweight (grams)]]),ISNUMBER(Table1[[#This Row],[Gestation (days)]])),TRUE,FALSE)</f>
        <v>0</v>
      </c>
      <c r="E5701" s="2" t="str">
        <f>IF(Table1[[#This Row],[Is Data Valid]]=TRUE,IF(Table1[[#This Row],[Fetal Sex (Male, Female or Unknown)]]="Male",Backend!$C$6,IF(Table1[[#This Row],[Fetal Sex (Male, Female or Unknown)]]="Female",Backend!$C$7,IF(Table1[[#This Row],[Fetal Sex (Male, Female or Unknown)]]="Unknown",Backend!$C$8,"Error"))),"")</f>
        <v/>
      </c>
      <c r="F5701" s="8" t="str">
        <f>IF(Table1[[#This Row],[Is Data Valid]]=TRUE,EXP(0.578+0.332*((Table1[[#This Row],[Gestation (days)]]+0.5)/7)-0.00354*((Table1[[#This Row],[Gestation (days)]]+0.5)/7)^2)*Table1[[#This Row],[BW40_3705]],"")</f>
        <v/>
      </c>
      <c r="G5701" s="2" t="str">
        <f>IF(Table1[[#This Row],[Is Data Valid]]=TRUE,((Table1[[#This Row],[Birthweight (grams)]]/Table1[[#This Row],[BW_GA]])-1)/(Backend!$B$4/100*Table1[[#This Row],[BW40_3705]]),"")</f>
        <v/>
      </c>
      <c r="H5701" s="7" t="str">
        <f>IF(Table1[[#This Row],[Is Data Valid]]=TRUE,((Table1[[#This Row],[Birthweight (grams)]]*0.9/Table1[[#This Row],[BW_GA]])-1)/(Backend!$B$4/100*Table1[[#This Row],[BW40_3705]]),"")</f>
        <v/>
      </c>
      <c r="I5701" s="7" t="str">
        <f>IF(Table1[[#This Row],[Is Data Valid]]=TRUE,((Table1[[#This Row],[Birthweight (grams)]]*1.1/Table1[[#This Row],[BW_GA]])-1)/(Backend!$B$4/100*Table1[[#This Row],[BW40_3705]]),"")</f>
        <v/>
      </c>
      <c r="J5701" s="7" t="str">
        <f>IF(Table1[[#This Row],[Is Data Valid]]=TRUE,_xlfn.NORM.S.DIST(Table1[[#This Row],[Birthweight Z-Score]],TRUE)*100,"")</f>
        <v/>
      </c>
      <c r="K5701" s="7" t="str">
        <f>IF(Table1[[#This Row],[Is Data Valid]]=TRUE,_xlfn.NORM.S.DIST(Table1[[#This Row],[Birthweight Z-Score (BW-10%)]],TRUE)*100,"")</f>
        <v/>
      </c>
      <c r="L5701" s="7" t="str">
        <f>IF(Table1[[#This Row],[Is Data Valid]]=TRUE,_xlfn.NORM.S.DIST(Table1[[#This Row],[Birthweight Z-Score (BW+10%)]],TRUE)*100,"")</f>
        <v/>
      </c>
    </row>
    <row r="5702" spans="1:12" x14ac:dyDescent="0.35">
      <c r="A5702" s="3"/>
      <c r="B5702" s="2"/>
      <c r="C5702" s="2"/>
      <c r="D5702" s="2" t="b">
        <f>IF(AND(NOT(ISBLANK(Table1[[#This Row],[Fetal Sex (Male, Female or Unknown)]])),ISNUMBER(Table1[[#This Row],[Birthweight (grams)]]),ISNUMBER(Table1[[#This Row],[Gestation (days)]])),TRUE,FALSE)</f>
        <v>0</v>
      </c>
      <c r="E5702" s="2" t="str">
        <f>IF(Table1[[#This Row],[Is Data Valid]]=TRUE,IF(Table1[[#This Row],[Fetal Sex (Male, Female or Unknown)]]="Male",Backend!$C$6,IF(Table1[[#This Row],[Fetal Sex (Male, Female or Unknown)]]="Female",Backend!$C$7,IF(Table1[[#This Row],[Fetal Sex (Male, Female or Unknown)]]="Unknown",Backend!$C$8,"Error"))),"")</f>
        <v/>
      </c>
      <c r="F5702" s="8" t="str">
        <f>IF(Table1[[#This Row],[Is Data Valid]]=TRUE,EXP(0.578+0.332*((Table1[[#This Row],[Gestation (days)]]+0.5)/7)-0.00354*((Table1[[#This Row],[Gestation (days)]]+0.5)/7)^2)*Table1[[#This Row],[BW40_3705]],"")</f>
        <v/>
      </c>
      <c r="G5702" s="2" t="str">
        <f>IF(Table1[[#This Row],[Is Data Valid]]=TRUE,((Table1[[#This Row],[Birthweight (grams)]]/Table1[[#This Row],[BW_GA]])-1)/(Backend!$B$4/100*Table1[[#This Row],[BW40_3705]]),"")</f>
        <v/>
      </c>
      <c r="H5702" s="7" t="str">
        <f>IF(Table1[[#This Row],[Is Data Valid]]=TRUE,((Table1[[#This Row],[Birthweight (grams)]]*0.9/Table1[[#This Row],[BW_GA]])-1)/(Backend!$B$4/100*Table1[[#This Row],[BW40_3705]]),"")</f>
        <v/>
      </c>
      <c r="I5702" s="7" t="str">
        <f>IF(Table1[[#This Row],[Is Data Valid]]=TRUE,((Table1[[#This Row],[Birthweight (grams)]]*1.1/Table1[[#This Row],[BW_GA]])-1)/(Backend!$B$4/100*Table1[[#This Row],[BW40_3705]]),"")</f>
        <v/>
      </c>
      <c r="J5702" s="7" t="str">
        <f>IF(Table1[[#This Row],[Is Data Valid]]=TRUE,_xlfn.NORM.S.DIST(Table1[[#This Row],[Birthweight Z-Score]],TRUE)*100,"")</f>
        <v/>
      </c>
      <c r="K5702" s="7" t="str">
        <f>IF(Table1[[#This Row],[Is Data Valid]]=TRUE,_xlfn.NORM.S.DIST(Table1[[#This Row],[Birthweight Z-Score (BW-10%)]],TRUE)*100,"")</f>
        <v/>
      </c>
      <c r="L5702" s="7" t="str">
        <f>IF(Table1[[#This Row],[Is Data Valid]]=TRUE,_xlfn.NORM.S.DIST(Table1[[#This Row],[Birthweight Z-Score (BW+10%)]],TRUE)*100,"")</f>
        <v/>
      </c>
    </row>
    <row r="5703" spans="1:12" x14ac:dyDescent="0.35">
      <c r="A5703" s="3"/>
      <c r="B5703" s="2"/>
      <c r="C5703" s="2"/>
      <c r="D5703" s="2" t="b">
        <f>IF(AND(NOT(ISBLANK(Table1[[#This Row],[Fetal Sex (Male, Female or Unknown)]])),ISNUMBER(Table1[[#This Row],[Birthweight (grams)]]),ISNUMBER(Table1[[#This Row],[Gestation (days)]])),TRUE,FALSE)</f>
        <v>0</v>
      </c>
      <c r="E5703" s="2" t="str">
        <f>IF(Table1[[#This Row],[Is Data Valid]]=TRUE,IF(Table1[[#This Row],[Fetal Sex (Male, Female or Unknown)]]="Male",Backend!$C$6,IF(Table1[[#This Row],[Fetal Sex (Male, Female or Unknown)]]="Female",Backend!$C$7,IF(Table1[[#This Row],[Fetal Sex (Male, Female or Unknown)]]="Unknown",Backend!$C$8,"Error"))),"")</f>
        <v/>
      </c>
      <c r="F5703" s="8" t="str">
        <f>IF(Table1[[#This Row],[Is Data Valid]]=TRUE,EXP(0.578+0.332*((Table1[[#This Row],[Gestation (days)]]+0.5)/7)-0.00354*((Table1[[#This Row],[Gestation (days)]]+0.5)/7)^2)*Table1[[#This Row],[BW40_3705]],"")</f>
        <v/>
      </c>
      <c r="G5703" s="2" t="str">
        <f>IF(Table1[[#This Row],[Is Data Valid]]=TRUE,((Table1[[#This Row],[Birthweight (grams)]]/Table1[[#This Row],[BW_GA]])-1)/(Backend!$B$4/100*Table1[[#This Row],[BW40_3705]]),"")</f>
        <v/>
      </c>
      <c r="H5703" s="7" t="str">
        <f>IF(Table1[[#This Row],[Is Data Valid]]=TRUE,((Table1[[#This Row],[Birthweight (grams)]]*0.9/Table1[[#This Row],[BW_GA]])-1)/(Backend!$B$4/100*Table1[[#This Row],[BW40_3705]]),"")</f>
        <v/>
      </c>
      <c r="I5703" s="7" t="str">
        <f>IF(Table1[[#This Row],[Is Data Valid]]=TRUE,((Table1[[#This Row],[Birthweight (grams)]]*1.1/Table1[[#This Row],[BW_GA]])-1)/(Backend!$B$4/100*Table1[[#This Row],[BW40_3705]]),"")</f>
        <v/>
      </c>
      <c r="J5703" s="7" t="str">
        <f>IF(Table1[[#This Row],[Is Data Valid]]=TRUE,_xlfn.NORM.S.DIST(Table1[[#This Row],[Birthweight Z-Score]],TRUE)*100,"")</f>
        <v/>
      </c>
      <c r="K5703" s="7" t="str">
        <f>IF(Table1[[#This Row],[Is Data Valid]]=TRUE,_xlfn.NORM.S.DIST(Table1[[#This Row],[Birthweight Z-Score (BW-10%)]],TRUE)*100,"")</f>
        <v/>
      </c>
      <c r="L5703" s="7" t="str">
        <f>IF(Table1[[#This Row],[Is Data Valid]]=TRUE,_xlfn.NORM.S.DIST(Table1[[#This Row],[Birthweight Z-Score (BW+10%)]],TRUE)*100,"")</f>
        <v/>
      </c>
    </row>
    <row r="5704" spans="1:12" x14ac:dyDescent="0.35">
      <c r="A5704" s="3"/>
      <c r="B5704" s="2"/>
      <c r="C5704" s="2"/>
      <c r="D5704" s="2" t="b">
        <f>IF(AND(NOT(ISBLANK(Table1[[#This Row],[Fetal Sex (Male, Female or Unknown)]])),ISNUMBER(Table1[[#This Row],[Birthweight (grams)]]),ISNUMBER(Table1[[#This Row],[Gestation (days)]])),TRUE,FALSE)</f>
        <v>0</v>
      </c>
      <c r="E5704" s="2" t="str">
        <f>IF(Table1[[#This Row],[Is Data Valid]]=TRUE,IF(Table1[[#This Row],[Fetal Sex (Male, Female or Unknown)]]="Male",Backend!$C$6,IF(Table1[[#This Row],[Fetal Sex (Male, Female or Unknown)]]="Female",Backend!$C$7,IF(Table1[[#This Row],[Fetal Sex (Male, Female or Unknown)]]="Unknown",Backend!$C$8,"Error"))),"")</f>
        <v/>
      </c>
      <c r="F5704" s="8" t="str">
        <f>IF(Table1[[#This Row],[Is Data Valid]]=TRUE,EXP(0.578+0.332*((Table1[[#This Row],[Gestation (days)]]+0.5)/7)-0.00354*((Table1[[#This Row],[Gestation (days)]]+0.5)/7)^2)*Table1[[#This Row],[BW40_3705]],"")</f>
        <v/>
      </c>
      <c r="G5704" s="2" t="str">
        <f>IF(Table1[[#This Row],[Is Data Valid]]=TRUE,((Table1[[#This Row],[Birthweight (grams)]]/Table1[[#This Row],[BW_GA]])-1)/(Backend!$B$4/100*Table1[[#This Row],[BW40_3705]]),"")</f>
        <v/>
      </c>
      <c r="H5704" s="7" t="str">
        <f>IF(Table1[[#This Row],[Is Data Valid]]=TRUE,((Table1[[#This Row],[Birthweight (grams)]]*0.9/Table1[[#This Row],[BW_GA]])-1)/(Backend!$B$4/100*Table1[[#This Row],[BW40_3705]]),"")</f>
        <v/>
      </c>
      <c r="I5704" s="7" t="str">
        <f>IF(Table1[[#This Row],[Is Data Valid]]=TRUE,((Table1[[#This Row],[Birthweight (grams)]]*1.1/Table1[[#This Row],[BW_GA]])-1)/(Backend!$B$4/100*Table1[[#This Row],[BW40_3705]]),"")</f>
        <v/>
      </c>
      <c r="J5704" s="7" t="str">
        <f>IF(Table1[[#This Row],[Is Data Valid]]=TRUE,_xlfn.NORM.S.DIST(Table1[[#This Row],[Birthweight Z-Score]],TRUE)*100,"")</f>
        <v/>
      </c>
      <c r="K5704" s="7" t="str">
        <f>IF(Table1[[#This Row],[Is Data Valid]]=TRUE,_xlfn.NORM.S.DIST(Table1[[#This Row],[Birthweight Z-Score (BW-10%)]],TRUE)*100,"")</f>
        <v/>
      </c>
      <c r="L5704" s="7" t="str">
        <f>IF(Table1[[#This Row],[Is Data Valid]]=TRUE,_xlfn.NORM.S.DIST(Table1[[#This Row],[Birthweight Z-Score (BW+10%)]],TRUE)*100,"")</f>
        <v/>
      </c>
    </row>
    <row r="5705" spans="1:12" x14ac:dyDescent="0.35">
      <c r="A5705" s="3"/>
      <c r="B5705" s="2"/>
      <c r="C5705" s="2"/>
      <c r="D5705" s="2" t="b">
        <f>IF(AND(NOT(ISBLANK(Table1[[#This Row],[Fetal Sex (Male, Female or Unknown)]])),ISNUMBER(Table1[[#This Row],[Birthweight (grams)]]),ISNUMBER(Table1[[#This Row],[Gestation (days)]])),TRUE,FALSE)</f>
        <v>0</v>
      </c>
      <c r="E5705" s="2" t="str">
        <f>IF(Table1[[#This Row],[Is Data Valid]]=TRUE,IF(Table1[[#This Row],[Fetal Sex (Male, Female or Unknown)]]="Male",Backend!$C$6,IF(Table1[[#This Row],[Fetal Sex (Male, Female or Unknown)]]="Female",Backend!$C$7,IF(Table1[[#This Row],[Fetal Sex (Male, Female or Unknown)]]="Unknown",Backend!$C$8,"Error"))),"")</f>
        <v/>
      </c>
      <c r="F5705" s="8" t="str">
        <f>IF(Table1[[#This Row],[Is Data Valid]]=TRUE,EXP(0.578+0.332*((Table1[[#This Row],[Gestation (days)]]+0.5)/7)-0.00354*((Table1[[#This Row],[Gestation (days)]]+0.5)/7)^2)*Table1[[#This Row],[BW40_3705]],"")</f>
        <v/>
      </c>
      <c r="G5705" s="2" t="str">
        <f>IF(Table1[[#This Row],[Is Data Valid]]=TRUE,((Table1[[#This Row],[Birthweight (grams)]]/Table1[[#This Row],[BW_GA]])-1)/(Backend!$B$4/100*Table1[[#This Row],[BW40_3705]]),"")</f>
        <v/>
      </c>
      <c r="H5705" s="7" t="str">
        <f>IF(Table1[[#This Row],[Is Data Valid]]=TRUE,((Table1[[#This Row],[Birthweight (grams)]]*0.9/Table1[[#This Row],[BW_GA]])-1)/(Backend!$B$4/100*Table1[[#This Row],[BW40_3705]]),"")</f>
        <v/>
      </c>
      <c r="I5705" s="7" t="str">
        <f>IF(Table1[[#This Row],[Is Data Valid]]=TRUE,((Table1[[#This Row],[Birthweight (grams)]]*1.1/Table1[[#This Row],[BW_GA]])-1)/(Backend!$B$4/100*Table1[[#This Row],[BW40_3705]]),"")</f>
        <v/>
      </c>
      <c r="J5705" s="7" t="str">
        <f>IF(Table1[[#This Row],[Is Data Valid]]=TRUE,_xlfn.NORM.S.DIST(Table1[[#This Row],[Birthweight Z-Score]],TRUE)*100,"")</f>
        <v/>
      </c>
      <c r="K5705" s="7" t="str">
        <f>IF(Table1[[#This Row],[Is Data Valid]]=TRUE,_xlfn.NORM.S.DIST(Table1[[#This Row],[Birthweight Z-Score (BW-10%)]],TRUE)*100,"")</f>
        <v/>
      </c>
      <c r="L5705" s="7" t="str">
        <f>IF(Table1[[#This Row],[Is Data Valid]]=TRUE,_xlfn.NORM.S.DIST(Table1[[#This Row],[Birthweight Z-Score (BW+10%)]],TRUE)*100,"")</f>
        <v/>
      </c>
    </row>
    <row r="5706" spans="1:12" x14ac:dyDescent="0.35">
      <c r="A5706" s="3"/>
      <c r="B5706" s="2"/>
      <c r="C5706" s="2"/>
      <c r="D5706" s="2" t="b">
        <f>IF(AND(NOT(ISBLANK(Table1[[#This Row],[Fetal Sex (Male, Female or Unknown)]])),ISNUMBER(Table1[[#This Row],[Birthweight (grams)]]),ISNUMBER(Table1[[#This Row],[Gestation (days)]])),TRUE,FALSE)</f>
        <v>0</v>
      </c>
      <c r="E5706" s="2" t="str">
        <f>IF(Table1[[#This Row],[Is Data Valid]]=TRUE,IF(Table1[[#This Row],[Fetal Sex (Male, Female or Unknown)]]="Male",Backend!$C$6,IF(Table1[[#This Row],[Fetal Sex (Male, Female or Unknown)]]="Female",Backend!$C$7,IF(Table1[[#This Row],[Fetal Sex (Male, Female or Unknown)]]="Unknown",Backend!$C$8,"Error"))),"")</f>
        <v/>
      </c>
      <c r="F5706" s="8" t="str">
        <f>IF(Table1[[#This Row],[Is Data Valid]]=TRUE,EXP(0.578+0.332*((Table1[[#This Row],[Gestation (days)]]+0.5)/7)-0.00354*((Table1[[#This Row],[Gestation (days)]]+0.5)/7)^2)*Table1[[#This Row],[BW40_3705]],"")</f>
        <v/>
      </c>
      <c r="G5706" s="2" t="str">
        <f>IF(Table1[[#This Row],[Is Data Valid]]=TRUE,((Table1[[#This Row],[Birthweight (grams)]]/Table1[[#This Row],[BW_GA]])-1)/(Backend!$B$4/100*Table1[[#This Row],[BW40_3705]]),"")</f>
        <v/>
      </c>
      <c r="H5706" s="7" t="str">
        <f>IF(Table1[[#This Row],[Is Data Valid]]=TRUE,((Table1[[#This Row],[Birthweight (grams)]]*0.9/Table1[[#This Row],[BW_GA]])-1)/(Backend!$B$4/100*Table1[[#This Row],[BW40_3705]]),"")</f>
        <v/>
      </c>
      <c r="I5706" s="7" t="str">
        <f>IF(Table1[[#This Row],[Is Data Valid]]=TRUE,((Table1[[#This Row],[Birthweight (grams)]]*1.1/Table1[[#This Row],[BW_GA]])-1)/(Backend!$B$4/100*Table1[[#This Row],[BW40_3705]]),"")</f>
        <v/>
      </c>
      <c r="J5706" s="7" t="str">
        <f>IF(Table1[[#This Row],[Is Data Valid]]=TRUE,_xlfn.NORM.S.DIST(Table1[[#This Row],[Birthweight Z-Score]],TRUE)*100,"")</f>
        <v/>
      </c>
      <c r="K5706" s="7" t="str">
        <f>IF(Table1[[#This Row],[Is Data Valid]]=TRUE,_xlfn.NORM.S.DIST(Table1[[#This Row],[Birthweight Z-Score (BW-10%)]],TRUE)*100,"")</f>
        <v/>
      </c>
      <c r="L5706" s="7" t="str">
        <f>IF(Table1[[#This Row],[Is Data Valid]]=TRUE,_xlfn.NORM.S.DIST(Table1[[#This Row],[Birthweight Z-Score (BW+10%)]],TRUE)*100,"")</f>
        <v/>
      </c>
    </row>
    <row r="5707" spans="1:12" x14ac:dyDescent="0.35">
      <c r="A5707" s="3"/>
      <c r="B5707" s="2"/>
      <c r="C5707" s="2"/>
      <c r="D5707" s="2" t="b">
        <f>IF(AND(NOT(ISBLANK(Table1[[#This Row],[Fetal Sex (Male, Female or Unknown)]])),ISNUMBER(Table1[[#This Row],[Birthweight (grams)]]),ISNUMBER(Table1[[#This Row],[Gestation (days)]])),TRUE,FALSE)</f>
        <v>0</v>
      </c>
      <c r="E5707" s="2" t="str">
        <f>IF(Table1[[#This Row],[Is Data Valid]]=TRUE,IF(Table1[[#This Row],[Fetal Sex (Male, Female or Unknown)]]="Male",Backend!$C$6,IF(Table1[[#This Row],[Fetal Sex (Male, Female or Unknown)]]="Female",Backend!$C$7,IF(Table1[[#This Row],[Fetal Sex (Male, Female or Unknown)]]="Unknown",Backend!$C$8,"Error"))),"")</f>
        <v/>
      </c>
      <c r="F5707" s="8" t="str">
        <f>IF(Table1[[#This Row],[Is Data Valid]]=TRUE,EXP(0.578+0.332*((Table1[[#This Row],[Gestation (days)]]+0.5)/7)-0.00354*((Table1[[#This Row],[Gestation (days)]]+0.5)/7)^2)*Table1[[#This Row],[BW40_3705]],"")</f>
        <v/>
      </c>
      <c r="G5707" s="2" t="str">
        <f>IF(Table1[[#This Row],[Is Data Valid]]=TRUE,((Table1[[#This Row],[Birthweight (grams)]]/Table1[[#This Row],[BW_GA]])-1)/(Backend!$B$4/100*Table1[[#This Row],[BW40_3705]]),"")</f>
        <v/>
      </c>
      <c r="H5707" s="7" t="str">
        <f>IF(Table1[[#This Row],[Is Data Valid]]=TRUE,((Table1[[#This Row],[Birthweight (grams)]]*0.9/Table1[[#This Row],[BW_GA]])-1)/(Backend!$B$4/100*Table1[[#This Row],[BW40_3705]]),"")</f>
        <v/>
      </c>
      <c r="I5707" s="7" t="str">
        <f>IF(Table1[[#This Row],[Is Data Valid]]=TRUE,((Table1[[#This Row],[Birthweight (grams)]]*1.1/Table1[[#This Row],[BW_GA]])-1)/(Backend!$B$4/100*Table1[[#This Row],[BW40_3705]]),"")</f>
        <v/>
      </c>
      <c r="J5707" s="7" t="str">
        <f>IF(Table1[[#This Row],[Is Data Valid]]=TRUE,_xlfn.NORM.S.DIST(Table1[[#This Row],[Birthweight Z-Score]],TRUE)*100,"")</f>
        <v/>
      </c>
      <c r="K5707" s="7" t="str">
        <f>IF(Table1[[#This Row],[Is Data Valid]]=TRUE,_xlfn.NORM.S.DIST(Table1[[#This Row],[Birthweight Z-Score (BW-10%)]],TRUE)*100,"")</f>
        <v/>
      </c>
      <c r="L5707" s="7" t="str">
        <f>IF(Table1[[#This Row],[Is Data Valid]]=TRUE,_xlfn.NORM.S.DIST(Table1[[#This Row],[Birthweight Z-Score (BW+10%)]],TRUE)*100,"")</f>
        <v/>
      </c>
    </row>
    <row r="5708" spans="1:12" x14ac:dyDescent="0.35">
      <c r="A5708" s="3"/>
      <c r="B5708" s="2"/>
      <c r="C5708" s="2"/>
      <c r="D5708" s="2" t="b">
        <f>IF(AND(NOT(ISBLANK(Table1[[#This Row],[Fetal Sex (Male, Female or Unknown)]])),ISNUMBER(Table1[[#This Row],[Birthweight (grams)]]),ISNUMBER(Table1[[#This Row],[Gestation (days)]])),TRUE,FALSE)</f>
        <v>0</v>
      </c>
      <c r="E5708" s="2" t="str">
        <f>IF(Table1[[#This Row],[Is Data Valid]]=TRUE,IF(Table1[[#This Row],[Fetal Sex (Male, Female or Unknown)]]="Male",Backend!$C$6,IF(Table1[[#This Row],[Fetal Sex (Male, Female or Unknown)]]="Female",Backend!$C$7,IF(Table1[[#This Row],[Fetal Sex (Male, Female or Unknown)]]="Unknown",Backend!$C$8,"Error"))),"")</f>
        <v/>
      </c>
      <c r="F5708" s="8" t="str">
        <f>IF(Table1[[#This Row],[Is Data Valid]]=TRUE,EXP(0.578+0.332*((Table1[[#This Row],[Gestation (days)]]+0.5)/7)-0.00354*((Table1[[#This Row],[Gestation (days)]]+0.5)/7)^2)*Table1[[#This Row],[BW40_3705]],"")</f>
        <v/>
      </c>
      <c r="G5708" s="2" t="str">
        <f>IF(Table1[[#This Row],[Is Data Valid]]=TRUE,((Table1[[#This Row],[Birthweight (grams)]]/Table1[[#This Row],[BW_GA]])-1)/(Backend!$B$4/100*Table1[[#This Row],[BW40_3705]]),"")</f>
        <v/>
      </c>
      <c r="H5708" s="7" t="str">
        <f>IF(Table1[[#This Row],[Is Data Valid]]=TRUE,((Table1[[#This Row],[Birthweight (grams)]]*0.9/Table1[[#This Row],[BW_GA]])-1)/(Backend!$B$4/100*Table1[[#This Row],[BW40_3705]]),"")</f>
        <v/>
      </c>
      <c r="I5708" s="7" t="str">
        <f>IF(Table1[[#This Row],[Is Data Valid]]=TRUE,((Table1[[#This Row],[Birthweight (grams)]]*1.1/Table1[[#This Row],[BW_GA]])-1)/(Backend!$B$4/100*Table1[[#This Row],[BW40_3705]]),"")</f>
        <v/>
      </c>
      <c r="J5708" s="7" t="str">
        <f>IF(Table1[[#This Row],[Is Data Valid]]=TRUE,_xlfn.NORM.S.DIST(Table1[[#This Row],[Birthweight Z-Score]],TRUE)*100,"")</f>
        <v/>
      </c>
      <c r="K5708" s="7" t="str">
        <f>IF(Table1[[#This Row],[Is Data Valid]]=TRUE,_xlfn.NORM.S.DIST(Table1[[#This Row],[Birthweight Z-Score (BW-10%)]],TRUE)*100,"")</f>
        <v/>
      </c>
      <c r="L5708" s="7" t="str">
        <f>IF(Table1[[#This Row],[Is Data Valid]]=TRUE,_xlfn.NORM.S.DIST(Table1[[#This Row],[Birthweight Z-Score (BW+10%)]],TRUE)*100,"")</f>
        <v/>
      </c>
    </row>
    <row r="5709" spans="1:12" x14ac:dyDescent="0.35">
      <c r="A5709" s="3"/>
      <c r="B5709" s="2"/>
      <c r="C5709" s="2"/>
      <c r="D5709" s="2" t="b">
        <f>IF(AND(NOT(ISBLANK(Table1[[#This Row],[Fetal Sex (Male, Female or Unknown)]])),ISNUMBER(Table1[[#This Row],[Birthweight (grams)]]),ISNUMBER(Table1[[#This Row],[Gestation (days)]])),TRUE,FALSE)</f>
        <v>0</v>
      </c>
      <c r="E5709" s="2" t="str">
        <f>IF(Table1[[#This Row],[Is Data Valid]]=TRUE,IF(Table1[[#This Row],[Fetal Sex (Male, Female or Unknown)]]="Male",Backend!$C$6,IF(Table1[[#This Row],[Fetal Sex (Male, Female or Unknown)]]="Female",Backend!$C$7,IF(Table1[[#This Row],[Fetal Sex (Male, Female or Unknown)]]="Unknown",Backend!$C$8,"Error"))),"")</f>
        <v/>
      </c>
      <c r="F5709" s="8" t="str">
        <f>IF(Table1[[#This Row],[Is Data Valid]]=TRUE,EXP(0.578+0.332*((Table1[[#This Row],[Gestation (days)]]+0.5)/7)-0.00354*((Table1[[#This Row],[Gestation (days)]]+0.5)/7)^2)*Table1[[#This Row],[BW40_3705]],"")</f>
        <v/>
      </c>
      <c r="G5709" s="2" t="str">
        <f>IF(Table1[[#This Row],[Is Data Valid]]=TRUE,((Table1[[#This Row],[Birthweight (grams)]]/Table1[[#This Row],[BW_GA]])-1)/(Backend!$B$4/100*Table1[[#This Row],[BW40_3705]]),"")</f>
        <v/>
      </c>
      <c r="H5709" s="7" t="str">
        <f>IF(Table1[[#This Row],[Is Data Valid]]=TRUE,((Table1[[#This Row],[Birthweight (grams)]]*0.9/Table1[[#This Row],[BW_GA]])-1)/(Backend!$B$4/100*Table1[[#This Row],[BW40_3705]]),"")</f>
        <v/>
      </c>
      <c r="I5709" s="7" t="str">
        <f>IF(Table1[[#This Row],[Is Data Valid]]=TRUE,((Table1[[#This Row],[Birthweight (grams)]]*1.1/Table1[[#This Row],[BW_GA]])-1)/(Backend!$B$4/100*Table1[[#This Row],[BW40_3705]]),"")</f>
        <v/>
      </c>
      <c r="J5709" s="7" t="str">
        <f>IF(Table1[[#This Row],[Is Data Valid]]=TRUE,_xlfn.NORM.S.DIST(Table1[[#This Row],[Birthweight Z-Score]],TRUE)*100,"")</f>
        <v/>
      </c>
      <c r="K5709" s="7" t="str">
        <f>IF(Table1[[#This Row],[Is Data Valid]]=TRUE,_xlfn.NORM.S.DIST(Table1[[#This Row],[Birthweight Z-Score (BW-10%)]],TRUE)*100,"")</f>
        <v/>
      </c>
      <c r="L5709" s="7" t="str">
        <f>IF(Table1[[#This Row],[Is Data Valid]]=TRUE,_xlfn.NORM.S.DIST(Table1[[#This Row],[Birthweight Z-Score (BW+10%)]],TRUE)*100,"")</f>
        <v/>
      </c>
    </row>
    <row r="5710" spans="1:12" x14ac:dyDescent="0.35">
      <c r="A5710" s="3"/>
      <c r="B5710" s="2"/>
      <c r="C5710" s="2"/>
      <c r="D5710" s="2" t="b">
        <f>IF(AND(NOT(ISBLANK(Table1[[#This Row],[Fetal Sex (Male, Female or Unknown)]])),ISNUMBER(Table1[[#This Row],[Birthweight (grams)]]),ISNUMBER(Table1[[#This Row],[Gestation (days)]])),TRUE,FALSE)</f>
        <v>0</v>
      </c>
      <c r="E5710" s="2" t="str">
        <f>IF(Table1[[#This Row],[Is Data Valid]]=TRUE,IF(Table1[[#This Row],[Fetal Sex (Male, Female or Unknown)]]="Male",Backend!$C$6,IF(Table1[[#This Row],[Fetal Sex (Male, Female or Unknown)]]="Female",Backend!$C$7,IF(Table1[[#This Row],[Fetal Sex (Male, Female or Unknown)]]="Unknown",Backend!$C$8,"Error"))),"")</f>
        <v/>
      </c>
      <c r="F5710" s="8" t="str">
        <f>IF(Table1[[#This Row],[Is Data Valid]]=TRUE,EXP(0.578+0.332*((Table1[[#This Row],[Gestation (days)]]+0.5)/7)-0.00354*((Table1[[#This Row],[Gestation (days)]]+0.5)/7)^2)*Table1[[#This Row],[BW40_3705]],"")</f>
        <v/>
      </c>
      <c r="G5710" s="2" t="str">
        <f>IF(Table1[[#This Row],[Is Data Valid]]=TRUE,((Table1[[#This Row],[Birthweight (grams)]]/Table1[[#This Row],[BW_GA]])-1)/(Backend!$B$4/100*Table1[[#This Row],[BW40_3705]]),"")</f>
        <v/>
      </c>
      <c r="H5710" s="7" t="str">
        <f>IF(Table1[[#This Row],[Is Data Valid]]=TRUE,((Table1[[#This Row],[Birthweight (grams)]]*0.9/Table1[[#This Row],[BW_GA]])-1)/(Backend!$B$4/100*Table1[[#This Row],[BW40_3705]]),"")</f>
        <v/>
      </c>
      <c r="I5710" s="7" t="str">
        <f>IF(Table1[[#This Row],[Is Data Valid]]=TRUE,((Table1[[#This Row],[Birthweight (grams)]]*1.1/Table1[[#This Row],[BW_GA]])-1)/(Backend!$B$4/100*Table1[[#This Row],[BW40_3705]]),"")</f>
        <v/>
      </c>
      <c r="J5710" s="7" t="str">
        <f>IF(Table1[[#This Row],[Is Data Valid]]=TRUE,_xlfn.NORM.S.DIST(Table1[[#This Row],[Birthweight Z-Score]],TRUE)*100,"")</f>
        <v/>
      </c>
      <c r="K5710" s="7" t="str">
        <f>IF(Table1[[#This Row],[Is Data Valid]]=TRUE,_xlfn.NORM.S.DIST(Table1[[#This Row],[Birthweight Z-Score (BW-10%)]],TRUE)*100,"")</f>
        <v/>
      </c>
      <c r="L5710" s="7" t="str">
        <f>IF(Table1[[#This Row],[Is Data Valid]]=TRUE,_xlfn.NORM.S.DIST(Table1[[#This Row],[Birthweight Z-Score (BW+10%)]],TRUE)*100,"")</f>
        <v/>
      </c>
    </row>
    <row r="5711" spans="1:12" x14ac:dyDescent="0.35">
      <c r="A5711" s="3"/>
      <c r="B5711" s="2"/>
      <c r="C5711" s="2"/>
      <c r="D5711" s="2" t="b">
        <f>IF(AND(NOT(ISBLANK(Table1[[#This Row],[Fetal Sex (Male, Female or Unknown)]])),ISNUMBER(Table1[[#This Row],[Birthweight (grams)]]),ISNUMBER(Table1[[#This Row],[Gestation (days)]])),TRUE,FALSE)</f>
        <v>0</v>
      </c>
      <c r="E5711" s="2" t="str">
        <f>IF(Table1[[#This Row],[Is Data Valid]]=TRUE,IF(Table1[[#This Row],[Fetal Sex (Male, Female or Unknown)]]="Male",Backend!$C$6,IF(Table1[[#This Row],[Fetal Sex (Male, Female or Unknown)]]="Female",Backend!$C$7,IF(Table1[[#This Row],[Fetal Sex (Male, Female or Unknown)]]="Unknown",Backend!$C$8,"Error"))),"")</f>
        <v/>
      </c>
      <c r="F5711" s="8" t="str">
        <f>IF(Table1[[#This Row],[Is Data Valid]]=TRUE,EXP(0.578+0.332*((Table1[[#This Row],[Gestation (days)]]+0.5)/7)-0.00354*((Table1[[#This Row],[Gestation (days)]]+0.5)/7)^2)*Table1[[#This Row],[BW40_3705]],"")</f>
        <v/>
      </c>
      <c r="G5711" s="2" t="str">
        <f>IF(Table1[[#This Row],[Is Data Valid]]=TRUE,((Table1[[#This Row],[Birthweight (grams)]]/Table1[[#This Row],[BW_GA]])-1)/(Backend!$B$4/100*Table1[[#This Row],[BW40_3705]]),"")</f>
        <v/>
      </c>
      <c r="H5711" s="7" t="str">
        <f>IF(Table1[[#This Row],[Is Data Valid]]=TRUE,((Table1[[#This Row],[Birthweight (grams)]]*0.9/Table1[[#This Row],[BW_GA]])-1)/(Backend!$B$4/100*Table1[[#This Row],[BW40_3705]]),"")</f>
        <v/>
      </c>
      <c r="I5711" s="7" t="str">
        <f>IF(Table1[[#This Row],[Is Data Valid]]=TRUE,((Table1[[#This Row],[Birthweight (grams)]]*1.1/Table1[[#This Row],[BW_GA]])-1)/(Backend!$B$4/100*Table1[[#This Row],[BW40_3705]]),"")</f>
        <v/>
      </c>
      <c r="J5711" s="7" t="str">
        <f>IF(Table1[[#This Row],[Is Data Valid]]=TRUE,_xlfn.NORM.S.DIST(Table1[[#This Row],[Birthweight Z-Score]],TRUE)*100,"")</f>
        <v/>
      </c>
      <c r="K5711" s="7" t="str">
        <f>IF(Table1[[#This Row],[Is Data Valid]]=TRUE,_xlfn.NORM.S.DIST(Table1[[#This Row],[Birthweight Z-Score (BW-10%)]],TRUE)*100,"")</f>
        <v/>
      </c>
      <c r="L5711" s="7" t="str">
        <f>IF(Table1[[#This Row],[Is Data Valid]]=TRUE,_xlfn.NORM.S.DIST(Table1[[#This Row],[Birthweight Z-Score (BW+10%)]],TRUE)*100,"")</f>
        <v/>
      </c>
    </row>
    <row r="5712" spans="1:12" x14ac:dyDescent="0.35">
      <c r="A5712" s="3"/>
      <c r="B5712" s="2"/>
      <c r="C5712" s="2"/>
      <c r="D5712" s="2" t="b">
        <f>IF(AND(NOT(ISBLANK(Table1[[#This Row],[Fetal Sex (Male, Female or Unknown)]])),ISNUMBER(Table1[[#This Row],[Birthweight (grams)]]),ISNUMBER(Table1[[#This Row],[Gestation (days)]])),TRUE,FALSE)</f>
        <v>0</v>
      </c>
      <c r="E5712" s="2" t="str">
        <f>IF(Table1[[#This Row],[Is Data Valid]]=TRUE,IF(Table1[[#This Row],[Fetal Sex (Male, Female or Unknown)]]="Male",Backend!$C$6,IF(Table1[[#This Row],[Fetal Sex (Male, Female or Unknown)]]="Female",Backend!$C$7,IF(Table1[[#This Row],[Fetal Sex (Male, Female or Unknown)]]="Unknown",Backend!$C$8,"Error"))),"")</f>
        <v/>
      </c>
      <c r="F5712" s="8" t="str">
        <f>IF(Table1[[#This Row],[Is Data Valid]]=TRUE,EXP(0.578+0.332*((Table1[[#This Row],[Gestation (days)]]+0.5)/7)-0.00354*((Table1[[#This Row],[Gestation (days)]]+0.5)/7)^2)*Table1[[#This Row],[BW40_3705]],"")</f>
        <v/>
      </c>
      <c r="G5712" s="2" t="str">
        <f>IF(Table1[[#This Row],[Is Data Valid]]=TRUE,((Table1[[#This Row],[Birthweight (grams)]]/Table1[[#This Row],[BW_GA]])-1)/(Backend!$B$4/100*Table1[[#This Row],[BW40_3705]]),"")</f>
        <v/>
      </c>
      <c r="H5712" s="7" t="str">
        <f>IF(Table1[[#This Row],[Is Data Valid]]=TRUE,((Table1[[#This Row],[Birthweight (grams)]]*0.9/Table1[[#This Row],[BW_GA]])-1)/(Backend!$B$4/100*Table1[[#This Row],[BW40_3705]]),"")</f>
        <v/>
      </c>
      <c r="I5712" s="7" t="str">
        <f>IF(Table1[[#This Row],[Is Data Valid]]=TRUE,((Table1[[#This Row],[Birthweight (grams)]]*1.1/Table1[[#This Row],[BW_GA]])-1)/(Backend!$B$4/100*Table1[[#This Row],[BW40_3705]]),"")</f>
        <v/>
      </c>
      <c r="J5712" s="7" t="str">
        <f>IF(Table1[[#This Row],[Is Data Valid]]=TRUE,_xlfn.NORM.S.DIST(Table1[[#This Row],[Birthweight Z-Score]],TRUE)*100,"")</f>
        <v/>
      </c>
      <c r="K5712" s="7" t="str">
        <f>IF(Table1[[#This Row],[Is Data Valid]]=TRUE,_xlfn.NORM.S.DIST(Table1[[#This Row],[Birthweight Z-Score (BW-10%)]],TRUE)*100,"")</f>
        <v/>
      </c>
      <c r="L5712" s="7" t="str">
        <f>IF(Table1[[#This Row],[Is Data Valid]]=TRUE,_xlfn.NORM.S.DIST(Table1[[#This Row],[Birthweight Z-Score (BW+10%)]],TRUE)*100,"")</f>
        <v/>
      </c>
    </row>
    <row r="5713" spans="1:12" x14ac:dyDescent="0.35">
      <c r="A5713" s="3"/>
      <c r="B5713" s="2"/>
      <c r="C5713" s="2"/>
      <c r="D5713" s="2" t="b">
        <f>IF(AND(NOT(ISBLANK(Table1[[#This Row],[Fetal Sex (Male, Female or Unknown)]])),ISNUMBER(Table1[[#This Row],[Birthweight (grams)]]),ISNUMBER(Table1[[#This Row],[Gestation (days)]])),TRUE,FALSE)</f>
        <v>0</v>
      </c>
      <c r="E5713" s="2" t="str">
        <f>IF(Table1[[#This Row],[Is Data Valid]]=TRUE,IF(Table1[[#This Row],[Fetal Sex (Male, Female or Unknown)]]="Male",Backend!$C$6,IF(Table1[[#This Row],[Fetal Sex (Male, Female or Unknown)]]="Female",Backend!$C$7,IF(Table1[[#This Row],[Fetal Sex (Male, Female or Unknown)]]="Unknown",Backend!$C$8,"Error"))),"")</f>
        <v/>
      </c>
      <c r="F5713" s="8" t="str">
        <f>IF(Table1[[#This Row],[Is Data Valid]]=TRUE,EXP(0.578+0.332*((Table1[[#This Row],[Gestation (days)]]+0.5)/7)-0.00354*((Table1[[#This Row],[Gestation (days)]]+0.5)/7)^2)*Table1[[#This Row],[BW40_3705]],"")</f>
        <v/>
      </c>
      <c r="G5713" s="2" t="str">
        <f>IF(Table1[[#This Row],[Is Data Valid]]=TRUE,((Table1[[#This Row],[Birthweight (grams)]]/Table1[[#This Row],[BW_GA]])-1)/(Backend!$B$4/100*Table1[[#This Row],[BW40_3705]]),"")</f>
        <v/>
      </c>
      <c r="H5713" s="7" t="str">
        <f>IF(Table1[[#This Row],[Is Data Valid]]=TRUE,((Table1[[#This Row],[Birthweight (grams)]]*0.9/Table1[[#This Row],[BW_GA]])-1)/(Backend!$B$4/100*Table1[[#This Row],[BW40_3705]]),"")</f>
        <v/>
      </c>
      <c r="I5713" s="7" t="str">
        <f>IF(Table1[[#This Row],[Is Data Valid]]=TRUE,((Table1[[#This Row],[Birthweight (grams)]]*1.1/Table1[[#This Row],[BW_GA]])-1)/(Backend!$B$4/100*Table1[[#This Row],[BW40_3705]]),"")</f>
        <v/>
      </c>
      <c r="J5713" s="7" t="str">
        <f>IF(Table1[[#This Row],[Is Data Valid]]=TRUE,_xlfn.NORM.S.DIST(Table1[[#This Row],[Birthweight Z-Score]],TRUE)*100,"")</f>
        <v/>
      </c>
      <c r="K5713" s="7" t="str">
        <f>IF(Table1[[#This Row],[Is Data Valid]]=TRUE,_xlfn.NORM.S.DIST(Table1[[#This Row],[Birthweight Z-Score (BW-10%)]],TRUE)*100,"")</f>
        <v/>
      </c>
      <c r="L5713" s="7" t="str">
        <f>IF(Table1[[#This Row],[Is Data Valid]]=TRUE,_xlfn.NORM.S.DIST(Table1[[#This Row],[Birthweight Z-Score (BW+10%)]],TRUE)*100,"")</f>
        <v/>
      </c>
    </row>
    <row r="5714" spans="1:12" x14ac:dyDescent="0.35">
      <c r="A5714" s="3"/>
      <c r="B5714" s="2"/>
      <c r="C5714" s="2"/>
      <c r="D5714" s="2" t="b">
        <f>IF(AND(NOT(ISBLANK(Table1[[#This Row],[Fetal Sex (Male, Female or Unknown)]])),ISNUMBER(Table1[[#This Row],[Birthweight (grams)]]),ISNUMBER(Table1[[#This Row],[Gestation (days)]])),TRUE,FALSE)</f>
        <v>0</v>
      </c>
      <c r="E5714" s="2" t="str">
        <f>IF(Table1[[#This Row],[Is Data Valid]]=TRUE,IF(Table1[[#This Row],[Fetal Sex (Male, Female or Unknown)]]="Male",Backend!$C$6,IF(Table1[[#This Row],[Fetal Sex (Male, Female or Unknown)]]="Female",Backend!$C$7,IF(Table1[[#This Row],[Fetal Sex (Male, Female or Unknown)]]="Unknown",Backend!$C$8,"Error"))),"")</f>
        <v/>
      </c>
      <c r="F5714" s="8" t="str">
        <f>IF(Table1[[#This Row],[Is Data Valid]]=TRUE,EXP(0.578+0.332*((Table1[[#This Row],[Gestation (days)]]+0.5)/7)-0.00354*((Table1[[#This Row],[Gestation (days)]]+0.5)/7)^2)*Table1[[#This Row],[BW40_3705]],"")</f>
        <v/>
      </c>
      <c r="G5714" s="2" t="str">
        <f>IF(Table1[[#This Row],[Is Data Valid]]=TRUE,((Table1[[#This Row],[Birthweight (grams)]]/Table1[[#This Row],[BW_GA]])-1)/(Backend!$B$4/100*Table1[[#This Row],[BW40_3705]]),"")</f>
        <v/>
      </c>
      <c r="H5714" s="7" t="str">
        <f>IF(Table1[[#This Row],[Is Data Valid]]=TRUE,((Table1[[#This Row],[Birthweight (grams)]]*0.9/Table1[[#This Row],[BW_GA]])-1)/(Backend!$B$4/100*Table1[[#This Row],[BW40_3705]]),"")</f>
        <v/>
      </c>
      <c r="I5714" s="7" t="str">
        <f>IF(Table1[[#This Row],[Is Data Valid]]=TRUE,((Table1[[#This Row],[Birthweight (grams)]]*1.1/Table1[[#This Row],[BW_GA]])-1)/(Backend!$B$4/100*Table1[[#This Row],[BW40_3705]]),"")</f>
        <v/>
      </c>
      <c r="J5714" s="7" t="str">
        <f>IF(Table1[[#This Row],[Is Data Valid]]=TRUE,_xlfn.NORM.S.DIST(Table1[[#This Row],[Birthweight Z-Score]],TRUE)*100,"")</f>
        <v/>
      </c>
      <c r="K5714" s="7" t="str">
        <f>IF(Table1[[#This Row],[Is Data Valid]]=TRUE,_xlfn.NORM.S.DIST(Table1[[#This Row],[Birthweight Z-Score (BW-10%)]],TRUE)*100,"")</f>
        <v/>
      </c>
      <c r="L5714" s="7" t="str">
        <f>IF(Table1[[#This Row],[Is Data Valid]]=TRUE,_xlfn.NORM.S.DIST(Table1[[#This Row],[Birthweight Z-Score (BW+10%)]],TRUE)*100,"")</f>
        <v/>
      </c>
    </row>
    <row r="5715" spans="1:12" x14ac:dyDescent="0.35">
      <c r="A5715" s="3"/>
      <c r="B5715" s="2"/>
      <c r="C5715" s="2"/>
      <c r="D5715" s="2" t="b">
        <f>IF(AND(NOT(ISBLANK(Table1[[#This Row],[Fetal Sex (Male, Female or Unknown)]])),ISNUMBER(Table1[[#This Row],[Birthweight (grams)]]),ISNUMBER(Table1[[#This Row],[Gestation (days)]])),TRUE,FALSE)</f>
        <v>0</v>
      </c>
      <c r="E5715" s="2" t="str">
        <f>IF(Table1[[#This Row],[Is Data Valid]]=TRUE,IF(Table1[[#This Row],[Fetal Sex (Male, Female or Unknown)]]="Male",Backend!$C$6,IF(Table1[[#This Row],[Fetal Sex (Male, Female or Unknown)]]="Female",Backend!$C$7,IF(Table1[[#This Row],[Fetal Sex (Male, Female or Unknown)]]="Unknown",Backend!$C$8,"Error"))),"")</f>
        <v/>
      </c>
      <c r="F5715" s="8" t="str">
        <f>IF(Table1[[#This Row],[Is Data Valid]]=TRUE,EXP(0.578+0.332*((Table1[[#This Row],[Gestation (days)]]+0.5)/7)-0.00354*((Table1[[#This Row],[Gestation (days)]]+0.5)/7)^2)*Table1[[#This Row],[BW40_3705]],"")</f>
        <v/>
      </c>
      <c r="G5715" s="2" t="str">
        <f>IF(Table1[[#This Row],[Is Data Valid]]=TRUE,((Table1[[#This Row],[Birthweight (grams)]]/Table1[[#This Row],[BW_GA]])-1)/(Backend!$B$4/100*Table1[[#This Row],[BW40_3705]]),"")</f>
        <v/>
      </c>
      <c r="H5715" s="7" t="str">
        <f>IF(Table1[[#This Row],[Is Data Valid]]=TRUE,((Table1[[#This Row],[Birthweight (grams)]]*0.9/Table1[[#This Row],[BW_GA]])-1)/(Backend!$B$4/100*Table1[[#This Row],[BW40_3705]]),"")</f>
        <v/>
      </c>
      <c r="I5715" s="7" t="str">
        <f>IF(Table1[[#This Row],[Is Data Valid]]=TRUE,((Table1[[#This Row],[Birthweight (grams)]]*1.1/Table1[[#This Row],[BW_GA]])-1)/(Backend!$B$4/100*Table1[[#This Row],[BW40_3705]]),"")</f>
        <v/>
      </c>
      <c r="J5715" s="7" t="str">
        <f>IF(Table1[[#This Row],[Is Data Valid]]=TRUE,_xlfn.NORM.S.DIST(Table1[[#This Row],[Birthweight Z-Score]],TRUE)*100,"")</f>
        <v/>
      </c>
      <c r="K5715" s="7" t="str">
        <f>IF(Table1[[#This Row],[Is Data Valid]]=TRUE,_xlfn.NORM.S.DIST(Table1[[#This Row],[Birthweight Z-Score (BW-10%)]],TRUE)*100,"")</f>
        <v/>
      </c>
      <c r="L5715" s="7" t="str">
        <f>IF(Table1[[#This Row],[Is Data Valid]]=TRUE,_xlfn.NORM.S.DIST(Table1[[#This Row],[Birthweight Z-Score (BW+10%)]],TRUE)*100,"")</f>
        <v/>
      </c>
    </row>
    <row r="5716" spans="1:12" x14ac:dyDescent="0.35">
      <c r="A5716" s="3"/>
      <c r="B5716" s="2"/>
      <c r="C5716" s="2"/>
      <c r="D5716" s="2" t="b">
        <f>IF(AND(NOT(ISBLANK(Table1[[#This Row],[Fetal Sex (Male, Female or Unknown)]])),ISNUMBER(Table1[[#This Row],[Birthweight (grams)]]),ISNUMBER(Table1[[#This Row],[Gestation (days)]])),TRUE,FALSE)</f>
        <v>0</v>
      </c>
      <c r="E5716" s="2" t="str">
        <f>IF(Table1[[#This Row],[Is Data Valid]]=TRUE,IF(Table1[[#This Row],[Fetal Sex (Male, Female or Unknown)]]="Male",Backend!$C$6,IF(Table1[[#This Row],[Fetal Sex (Male, Female or Unknown)]]="Female",Backend!$C$7,IF(Table1[[#This Row],[Fetal Sex (Male, Female or Unknown)]]="Unknown",Backend!$C$8,"Error"))),"")</f>
        <v/>
      </c>
      <c r="F5716" s="8" t="str">
        <f>IF(Table1[[#This Row],[Is Data Valid]]=TRUE,EXP(0.578+0.332*((Table1[[#This Row],[Gestation (days)]]+0.5)/7)-0.00354*((Table1[[#This Row],[Gestation (days)]]+0.5)/7)^2)*Table1[[#This Row],[BW40_3705]],"")</f>
        <v/>
      </c>
      <c r="G5716" s="2" t="str">
        <f>IF(Table1[[#This Row],[Is Data Valid]]=TRUE,((Table1[[#This Row],[Birthweight (grams)]]/Table1[[#This Row],[BW_GA]])-1)/(Backend!$B$4/100*Table1[[#This Row],[BW40_3705]]),"")</f>
        <v/>
      </c>
      <c r="H5716" s="7" t="str">
        <f>IF(Table1[[#This Row],[Is Data Valid]]=TRUE,((Table1[[#This Row],[Birthweight (grams)]]*0.9/Table1[[#This Row],[BW_GA]])-1)/(Backend!$B$4/100*Table1[[#This Row],[BW40_3705]]),"")</f>
        <v/>
      </c>
      <c r="I5716" s="7" t="str">
        <f>IF(Table1[[#This Row],[Is Data Valid]]=TRUE,((Table1[[#This Row],[Birthweight (grams)]]*1.1/Table1[[#This Row],[BW_GA]])-1)/(Backend!$B$4/100*Table1[[#This Row],[BW40_3705]]),"")</f>
        <v/>
      </c>
      <c r="J5716" s="7" t="str">
        <f>IF(Table1[[#This Row],[Is Data Valid]]=TRUE,_xlfn.NORM.S.DIST(Table1[[#This Row],[Birthweight Z-Score]],TRUE)*100,"")</f>
        <v/>
      </c>
      <c r="K5716" s="7" t="str">
        <f>IF(Table1[[#This Row],[Is Data Valid]]=TRUE,_xlfn.NORM.S.DIST(Table1[[#This Row],[Birthweight Z-Score (BW-10%)]],TRUE)*100,"")</f>
        <v/>
      </c>
      <c r="L5716" s="7" t="str">
        <f>IF(Table1[[#This Row],[Is Data Valid]]=TRUE,_xlfn.NORM.S.DIST(Table1[[#This Row],[Birthweight Z-Score (BW+10%)]],TRUE)*100,"")</f>
        <v/>
      </c>
    </row>
    <row r="5717" spans="1:12" x14ac:dyDescent="0.35">
      <c r="A5717" s="3"/>
      <c r="B5717" s="2"/>
      <c r="C5717" s="2"/>
      <c r="D5717" s="2" t="b">
        <f>IF(AND(NOT(ISBLANK(Table1[[#This Row],[Fetal Sex (Male, Female or Unknown)]])),ISNUMBER(Table1[[#This Row],[Birthweight (grams)]]),ISNUMBER(Table1[[#This Row],[Gestation (days)]])),TRUE,FALSE)</f>
        <v>0</v>
      </c>
      <c r="E5717" s="2" t="str">
        <f>IF(Table1[[#This Row],[Is Data Valid]]=TRUE,IF(Table1[[#This Row],[Fetal Sex (Male, Female or Unknown)]]="Male",Backend!$C$6,IF(Table1[[#This Row],[Fetal Sex (Male, Female or Unknown)]]="Female",Backend!$C$7,IF(Table1[[#This Row],[Fetal Sex (Male, Female or Unknown)]]="Unknown",Backend!$C$8,"Error"))),"")</f>
        <v/>
      </c>
      <c r="F5717" s="8" t="str">
        <f>IF(Table1[[#This Row],[Is Data Valid]]=TRUE,EXP(0.578+0.332*((Table1[[#This Row],[Gestation (days)]]+0.5)/7)-0.00354*((Table1[[#This Row],[Gestation (days)]]+0.5)/7)^2)*Table1[[#This Row],[BW40_3705]],"")</f>
        <v/>
      </c>
      <c r="G5717" s="2" t="str">
        <f>IF(Table1[[#This Row],[Is Data Valid]]=TRUE,((Table1[[#This Row],[Birthweight (grams)]]/Table1[[#This Row],[BW_GA]])-1)/(Backend!$B$4/100*Table1[[#This Row],[BW40_3705]]),"")</f>
        <v/>
      </c>
      <c r="H5717" s="7" t="str">
        <f>IF(Table1[[#This Row],[Is Data Valid]]=TRUE,((Table1[[#This Row],[Birthweight (grams)]]*0.9/Table1[[#This Row],[BW_GA]])-1)/(Backend!$B$4/100*Table1[[#This Row],[BW40_3705]]),"")</f>
        <v/>
      </c>
      <c r="I5717" s="7" t="str">
        <f>IF(Table1[[#This Row],[Is Data Valid]]=TRUE,((Table1[[#This Row],[Birthweight (grams)]]*1.1/Table1[[#This Row],[BW_GA]])-1)/(Backend!$B$4/100*Table1[[#This Row],[BW40_3705]]),"")</f>
        <v/>
      </c>
      <c r="J5717" s="7" t="str">
        <f>IF(Table1[[#This Row],[Is Data Valid]]=TRUE,_xlfn.NORM.S.DIST(Table1[[#This Row],[Birthweight Z-Score]],TRUE)*100,"")</f>
        <v/>
      </c>
      <c r="K5717" s="7" t="str">
        <f>IF(Table1[[#This Row],[Is Data Valid]]=TRUE,_xlfn.NORM.S.DIST(Table1[[#This Row],[Birthweight Z-Score (BW-10%)]],TRUE)*100,"")</f>
        <v/>
      </c>
      <c r="L5717" s="7" t="str">
        <f>IF(Table1[[#This Row],[Is Data Valid]]=TRUE,_xlfn.NORM.S.DIST(Table1[[#This Row],[Birthweight Z-Score (BW+10%)]],TRUE)*100,"")</f>
        <v/>
      </c>
    </row>
    <row r="5718" spans="1:12" x14ac:dyDescent="0.35">
      <c r="A5718" s="3"/>
      <c r="B5718" s="2"/>
      <c r="C5718" s="2"/>
      <c r="D5718" s="2" t="b">
        <f>IF(AND(NOT(ISBLANK(Table1[[#This Row],[Fetal Sex (Male, Female or Unknown)]])),ISNUMBER(Table1[[#This Row],[Birthweight (grams)]]),ISNUMBER(Table1[[#This Row],[Gestation (days)]])),TRUE,FALSE)</f>
        <v>0</v>
      </c>
      <c r="E5718" s="2" t="str">
        <f>IF(Table1[[#This Row],[Is Data Valid]]=TRUE,IF(Table1[[#This Row],[Fetal Sex (Male, Female or Unknown)]]="Male",Backend!$C$6,IF(Table1[[#This Row],[Fetal Sex (Male, Female or Unknown)]]="Female",Backend!$C$7,IF(Table1[[#This Row],[Fetal Sex (Male, Female or Unknown)]]="Unknown",Backend!$C$8,"Error"))),"")</f>
        <v/>
      </c>
      <c r="F5718" s="8" t="str">
        <f>IF(Table1[[#This Row],[Is Data Valid]]=TRUE,EXP(0.578+0.332*((Table1[[#This Row],[Gestation (days)]]+0.5)/7)-0.00354*((Table1[[#This Row],[Gestation (days)]]+0.5)/7)^2)*Table1[[#This Row],[BW40_3705]],"")</f>
        <v/>
      </c>
      <c r="G5718" s="2" t="str">
        <f>IF(Table1[[#This Row],[Is Data Valid]]=TRUE,((Table1[[#This Row],[Birthweight (grams)]]/Table1[[#This Row],[BW_GA]])-1)/(Backend!$B$4/100*Table1[[#This Row],[BW40_3705]]),"")</f>
        <v/>
      </c>
      <c r="H5718" s="7" t="str">
        <f>IF(Table1[[#This Row],[Is Data Valid]]=TRUE,((Table1[[#This Row],[Birthweight (grams)]]*0.9/Table1[[#This Row],[BW_GA]])-1)/(Backend!$B$4/100*Table1[[#This Row],[BW40_3705]]),"")</f>
        <v/>
      </c>
      <c r="I5718" s="7" t="str">
        <f>IF(Table1[[#This Row],[Is Data Valid]]=TRUE,((Table1[[#This Row],[Birthweight (grams)]]*1.1/Table1[[#This Row],[BW_GA]])-1)/(Backend!$B$4/100*Table1[[#This Row],[BW40_3705]]),"")</f>
        <v/>
      </c>
      <c r="J5718" s="7" t="str">
        <f>IF(Table1[[#This Row],[Is Data Valid]]=TRUE,_xlfn.NORM.S.DIST(Table1[[#This Row],[Birthweight Z-Score]],TRUE)*100,"")</f>
        <v/>
      </c>
      <c r="K5718" s="7" t="str">
        <f>IF(Table1[[#This Row],[Is Data Valid]]=TRUE,_xlfn.NORM.S.DIST(Table1[[#This Row],[Birthweight Z-Score (BW-10%)]],TRUE)*100,"")</f>
        <v/>
      </c>
      <c r="L5718" s="7" t="str">
        <f>IF(Table1[[#This Row],[Is Data Valid]]=TRUE,_xlfn.NORM.S.DIST(Table1[[#This Row],[Birthweight Z-Score (BW+10%)]],TRUE)*100,"")</f>
        <v/>
      </c>
    </row>
    <row r="5719" spans="1:12" x14ac:dyDescent="0.35">
      <c r="A5719" s="3"/>
      <c r="B5719" s="2"/>
      <c r="C5719" s="2"/>
      <c r="D5719" s="2" t="b">
        <f>IF(AND(NOT(ISBLANK(Table1[[#This Row],[Fetal Sex (Male, Female or Unknown)]])),ISNUMBER(Table1[[#This Row],[Birthweight (grams)]]),ISNUMBER(Table1[[#This Row],[Gestation (days)]])),TRUE,FALSE)</f>
        <v>0</v>
      </c>
      <c r="E5719" s="2" t="str">
        <f>IF(Table1[[#This Row],[Is Data Valid]]=TRUE,IF(Table1[[#This Row],[Fetal Sex (Male, Female or Unknown)]]="Male",Backend!$C$6,IF(Table1[[#This Row],[Fetal Sex (Male, Female or Unknown)]]="Female",Backend!$C$7,IF(Table1[[#This Row],[Fetal Sex (Male, Female or Unknown)]]="Unknown",Backend!$C$8,"Error"))),"")</f>
        <v/>
      </c>
      <c r="F5719" s="8" t="str">
        <f>IF(Table1[[#This Row],[Is Data Valid]]=TRUE,EXP(0.578+0.332*((Table1[[#This Row],[Gestation (days)]]+0.5)/7)-0.00354*((Table1[[#This Row],[Gestation (days)]]+0.5)/7)^2)*Table1[[#This Row],[BW40_3705]],"")</f>
        <v/>
      </c>
      <c r="G5719" s="2" t="str">
        <f>IF(Table1[[#This Row],[Is Data Valid]]=TRUE,((Table1[[#This Row],[Birthweight (grams)]]/Table1[[#This Row],[BW_GA]])-1)/(Backend!$B$4/100*Table1[[#This Row],[BW40_3705]]),"")</f>
        <v/>
      </c>
      <c r="H5719" s="7" t="str">
        <f>IF(Table1[[#This Row],[Is Data Valid]]=TRUE,((Table1[[#This Row],[Birthweight (grams)]]*0.9/Table1[[#This Row],[BW_GA]])-1)/(Backend!$B$4/100*Table1[[#This Row],[BW40_3705]]),"")</f>
        <v/>
      </c>
      <c r="I5719" s="7" t="str">
        <f>IF(Table1[[#This Row],[Is Data Valid]]=TRUE,((Table1[[#This Row],[Birthweight (grams)]]*1.1/Table1[[#This Row],[BW_GA]])-1)/(Backend!$B$4/100*Table1[[#This Row],[BW40_3705]]),"")</f>
        <v/>
      </c>
      <c r="J5719" s="7" t="str">
        <f>IF(Table1[[#This Row],[Is Data Valid]]=TRUE,_xlfn.NORM.S.DIST(Table1[[#This Row],[Birthweight Z-Score]],TRUE)*100,"")</f>
        <v/>
      </c>
      <c r="K5719" s="7" t="str">
        <f>IF(Table1[[#This Row],[Is Data Valid]]=TRUE,_xlfn.NORM.S.DIST(Table1[[#This Row],[Birthweight Z-Score (BW-10%)]],TRUE)*100,"")</f>
        <v/>
      </c>
      <c r="L5719" s="7" t="str">
        <f>IF(Table1[[#This Row],[Is Data Valid]]=TRUE,_xlfn.NORM.S.DIST(Table1[[#This Row],[Birthweight Z-Score (BW+10%)]],TRUE)*100,"")</f>
        <v/>
      </c>
    </row>
    <row r="5720" spans="1:12" x14ac:dyDescent="0.35">
      <c r="A5720" s="3"/>
      <c r="B5720" s="2"/>
      <c r="C5720" s="2"/>
      <c r="D5720" s="2" t="b">
        <f>IF(AND(NOT(ISBLANK(Table1[[#This Row],[Fetal Sex (Male, Female or Unknown)]])),ISNUMBER(Table1[[#This Row],[Birthweight (grams)]]),ISNUMBER(Table1[[#This Row],[Gestation (days)]])),TRUE,FALSE)</f>
        <v>0</v>
      </c>
      <c r="E5720" s="2" t="str">
        <f>IF(Table1[[#This Row],[Is Data Valid]]=TRUE,IF(Table1[[#This Row],[Fetal Sex (Male, Female or Unknown)]]="Male",Backend!$C$6,IF(Table1[[#This Row],[Fetal Sex (Male, Female or Unknown)]]="Female",Backend!$C$7,IF(Table1[[#This Row],[Fetal Sex (Male, Female or Unknown)]]="Unknown",Backend!$C$8,"Error"))),"")</f>
        <v/>
      </c>
      <c r="F5720" s="8" t="str">
        <f>IF(Table1[[#This Row],[Is Data Valid]]=TRUE,EXP(0.578+0.332*((Table1[[#This Row],[Gestation (days)]]+0.5)/7)-0.00354*((Table1[[#This Row],[Gestation (days)]]+0.5)/7)^2)*Table1[[#This Row],[BW40_3705]],"")</f>
        <v/>
      </c>
      <c r="G5720" s="2" t="str">
        <f>IF(Table1[[#This Row],[Is Data Valid]]=TRUE,((Table1[[#This Row],[Birthweight (grams)]]/Table1[[#This Row],[BW_GA]])-1)/(Backend!$B$4/100*Table1[[#This Row],[BW40_3705]]),"")</f>
        <v/>
      </c>
      <c r="H5720" s="7" t="str">
        <f>IF(Table1[[#This Row],[Is Data Valid]]=TRUE,((Table1[[#This Row],[Birthweight (grams)]]*0.9/Table1[[#This Row],[BW_GA]])-1)/(Backend!$B$4/100*Table1[[#This Row],[BW40_3705]]),"")</f>
        <v/>
      </c>
      <c r="I5720" s="7" t="str">
        <f>IF(Table1[[#This Row],[Is Data Valid]]=TRUE,((Table1[[#This Row],[Birthweight (grams)]]*1.1/Table1[[#This Row],[BW_GA]])-1)/(Backend!$B$4/100*Table1[[#This Row],[BW40_3705]]),"")</f>
        <v/>
      </c>
      <c r="J5720" s="7" t="str">
        <f>IF(Table1[[#This Row],[Is Data Valid]]=TRUE,_xlfn.NORM.S.DIST(Table1[[#This Row],[Birthweight Z-Score]],TRUE)*100,"")</f>
        <v/>
      </c>
      <c r="K5720" s="7" t="str">
        <f>IF(Table1[[#This Row],[Is Data Valid]]=TRUE,_xlfn.NORM.S.DIST(Table1[[#This Row],[Birthweight Z-Score (BW-10%)]],TRUE)*100,"")</f>
        <v/>
      </c>
      <c r="L5720" s="7" t="str">
        <f>IF(Table1[[#This Row],[Is Data Valid]]=TRUE,_xlfn.NORM.S.DIST(Table1[[#This Row],[Birthweight Z-Score (BW+10%)]],TRUE)*100,"")</f>
        <v/>
      </c>
    </row>
    <row r="5721" spans="1:12" x14ac:dyDescent="0.35">
      <c r="A5721" s="3"/>
      <c r="B5721" s="2"/>
      <c r="C5721" s="2"/>
      <c r="D5721" s="2" t="b">
        <f>IF(AND(NOT(ISBLANK(Table1[[#This Row],[Fetal Sex (Male, Female or Unknown)]])),ISNUMBER(Table1[[#This Row],[Birthweight (grams)]]),ISNUMBER(Table1[[#This Row],[Gestation (days)]])),TRUE,FALSE)</f>
        <v>0</v>
      </c>
      <c r="E5721" s="2" t="str">
        <f>IF(Table1[[#This Row],[Is Data Valid]]=TRUE,IF(Table1[[#This Row],[Fetal Sex (Male, Female or Unknown)]]="Male",Backend!$C$6,IF(Table1[[#This Row],[Fetal Sex (Male, Female or Unknown)]]="Female",Backend!$C$7,IF(Table1[[#This Row],[Fetal Sex (Male, Female or Unknown)]]="Unknown",Backend!$C$8,"Error"))),"")</f>
        <v/>
      </c>
      <c r="F5721" s="8" t="str">
        <f>IF(Table1[[#This Row],[Is Data Valid]]=TRUE,EXP(0.578+0.332*((Table1[[#This Row],[Gestation (days)]]+0.5)/7)-0.00354*((Table1[[#This Row],[Gestation (days)]]+0.5)/7)^2)*Table1[[#This Row],[BW40_3705]],"")</f>
        <v/>
      </c>
      <c r="G5721" s="2" t="str">
        <f>IF(Table1[[#This Row],[Is Data Valid]]=TRUE,((Table1[[#This Row],[Birthweight (grams)]]/Table1[[#This Row],[BW_GA]])-1)/(Backend!$B$4/100*Table1[[#This Row],[BW40_3705]]),"")</f>
        <v/>
      </c>
      <c r="H5721" s="7" t="str">
        <f>IF(Table1[[#This Row],[Is Data Valid]]=TRUE,((Table1[[#This Row],[Birthweight (grams)]]*0.9/Table1[[#This Row],[BW_GA]])-1)/(Backend!$B$4/100*Table1[[#This Row],[BW40_3705]]),"")</f>
        <v/>
      </c>
      <c r="I5721" s="7" t="str">
        <f>IF(Table1[[#This Row],[Is Data Valid]]=TRUE,((Table1[[#This Row],[Birthweight (grams)]]*1.1/Table1[[#This Row],[BW_GA]])-1)/(Backend!$B$4/100*Table1[[#This Row],[BW40_3705]]),"")</f>
        <v/>
      </c>
      <c r="J5721" s="7" t="str">
        <f>IF(Table1[[#This Row],[Is Data Valid]]=TRUE,_xlfn.NORM.S.DIST(Table1[[#This Row],[Birthweight Z-Score]],TRUE)*100,"")</f>
        <v/>
      </c>
      <c r="K5721" s="7" t="str">
        <f>IF(Table1[[#This Row],[Is Data Valid]]=TRUE,_xlfn.NORM.S.DIST(Table1[[#This Row],[Birthweight Z-Score (BW-10%)]],TRUE)*100,"")</f>
        <v/>
      </c>
      <c r="L5721" s="7" t="str">
        <f>IF(Table1[[#This Row],[Is Data Valid]]=TRUE,_xlfn.NORM.S.DIST(Table1[[#This Row],[Birthweight Z-Score (BW+10%)]],TRUE)*100,"")</f>
        <v/>
      </c>
    </row>
    <row r="5722" spans="1:12" x14ac:dyDescent="0.35">
      <c r="A5722" s="3"/>
      <c r="B5722" s="2"/>
      <c r="C5722" s="2"/>
      <c r="D5722" s="2" t="b">
        <f>IF(AND(NOT(ISBLANK(Table1[[#This Row],[Fetal Sex (Male, Female or Unknown)]])),ISNUMBER(Table1[[#This Row],[Birthweight (grams)]]),ISNUMBER(Table1[[#This Row],[Gestation (days)]])),TRUE,FALSE)</f>
        <v>0</v>
      </c>
      <c r="E5722" s="2" t="str">
        <f>IF(Table1[[#This Row],[Is Data Valid]]=TRUE,IF(Table1[[#This Row],[Fetal Sex (Male, Female or Unknown)]]="Male",Backend!$C$6,IF(Table1[[#This Row],[Fetal Sex (Male, Female or Unknown)]]="Female",Backend!$C$7,IF(Table1[[#This Row],[Fetal Sex (Male, Female or Unknown)]]="Unknown",Backend!$C$8,"Error"))),"")</f>
        <v/>
      </c>
      <c r="F5722" s="8" t="str">
        <f>IF(Table1[[#This Row],[Is Data Valid]]=TRUE,EXP(0.578+0.332*((Table1[[#This Row],[Gestation (days)]]+0.5)/7)-0.00354*((Table1[[#This Row],[Gestation (days)]]+0.5)/7)^2)*Table1[[#This Row],[BW40_3705]],"")</f>
        <v/>
      </c>
      <c r="G5722" s="2" t="str">
        <f>IF(Table1[[#This Row],[Is Data Valid]]=TRUE,((Table1[[#This Row],[Birthweight (grams)]]/Table1[[#This Row],[BW_GA]])-1)/(Backend!$B$4/100*Table1[[#This Row],[BW40_3705]]),"")</f>
        <v/>
      </c>
      <c r="H5722" s="7" t="str">
        <f>IF(Table1[[#This Row],[Is Data Valid]]=TRUE,((Table1[[#This Row],[Birthweight (grams)]]*0.9/Table1[[#This Row],[BW_GA]])-1)/(Backend!$B$4/100*Table1[[#This Row],[BW40_3705]]),"")</f>
        <v/>
      </c>
      <c r="I5722" s="7" t="str">
        <f>IF(Table1[[#This Row],[Is Data Valid]]=TRUE,((Table1[[#This Row],[Birthweight (grams)]]*1.1/Table1[[#This Row],[BW_GA]])-1)/(Backend!$B$4/100*Table1[[#This Row],[BW40_3705]]),"")</f>
        <v/>
      </c>
      <c r="J5722" s="7" t="str">
        <f>IF(Table1[[#This Row],[Is Data Valid]]=TRUE,_xlfn.NORM.S.DIST(Table1[[#This Row],[Birthweight Z-Score]],TRUE)*100,"")</f>
        <v/>
      </c>
      <c r="K5722" s="7" t="str">
        <f>IF(Table1[[#This Row],[Is Data Valid]]=TRUE,_xlfn.NORM.S.DIST(Table1[[#This Row],[Birthweight Z-Score (BW-10%)]],TRUE)*100,"")</f>
        <v/>
      </c>
      <c r="L5722" s="7" t="str">
        <f>IF(Table1[[#This Row],[Is Data Valid]]=TRUE,_xlfn.NORM.S.DIST(Table1[[#This Row],[Birthweight Z-Score (BW+10%)]],TRUE)*100,"")</f>
        <v/>
      </c>
    </row>
    <row r="5723" spans="1:12" x14ac:dyDescent="0.35">
      <c r="A5723" s="3"/>
      <c r="B5723" s="2"/>
      <c r="C5723" s="2"/>
      <c r="D5723" s="2" t="b">
        <f>IF(AND(NOT(ISBLANK(Table1[[#This Row],[Fetal Sex (Male, Female or Unknown)]])),ISNUMBER(Table1[[#This Row],[Birthweight (grams)]]),ISNUMBER(Table1[[#This Row],[Gestation (days)]])),TRUE,FALSE)</f>
        <v>0</v>
      </c>
      <c r="E5723" s="2" t="str">
        <f>IF(Table1[[#This Row],[Is Data Valid]]=TRUE,IF(Table1[[#This Row],[Fetal Sex (Male, Female or Unknown)]]="Male",Backend!$C$6,IF(Table1[[#This Row],[Fetal Sex (Male, Female or Unknown)]]="Female",Backend!$C$7,IF(Table1[[#This Row],[Fetal Sex (Male, Female or Unknown)]]="Unknown",Backend!$C$8,"Error"))),"")</f>
        <v/>
      </c>
      <c r="F5723" s="8" t="str">
        <f>IF(Table1[[#This Row],[Is Data Valid]]=TRUE,EXP(0.578+0.332*((Table1[[#This Row],[Gestation (days)]]+0.5)/7)-0.00354*((Table1[[#This Row],[Gestation (days)]]+0.5)/7)^2)*Table1[[#This Row],[BW40_3705]],"")</f>
        <v/>
      </c>
      <c r="G5723" s="2" t="str">
        <f>IF(Table1[[#This Row],[Is Data Valid]]=TRUE,((Table1[[#This Row],[Birthweight (grams)]]/Table1[[#This Row],[BW_GA]])-1)/(Backend!$B$4/100*Table1[[#This Row],[BW40_3705]]),"")</f>
        <v/>
      </c>
      <c r="H5723" s="7" t="str">
        <f>IF(Table1[[#This Row],[Is Data Valid]]=TRUE,((Table1[[#This Row],[Birthweight (grams)]]*0.9/Table1[[#This Row],[BW_GA]])-1)/(Backend!$B$4/100*Table1[[#This Row],[BW40_3705]]),"")</f>
        <v/>
      </c>
      <c r="I5723" s="7" t="str">
        <f>IF(Table1[[#This Row],[Is Data Valid]]=TRUE,((Table1[[#This Row],[Birthweight (grams)]]*1.1/Table1[[#This Row],[BW_GA]])-1)/(Backend!$B$4/100*Table1[[#This Row],[BW40_3705]]),"")</f>
        <v/>
      </c>
      <c r="J5723" s="7" t="str">
        <f>IF(Table1[[#This Row],[Is Data Valid]]=TRUE,_xlfn.NORM.S.DIST(Table1[[#This Row],[Birthweight Z-Score]],TRUE)*100,"")</f>
        <v/>
      </c>
      <c r="K5723" s="7" t="str">
        <f>IF(Table1[[#This Row],[Is Data Valid]]=TRUE,_xlfn.NORM.S.DIST(Table1[[#This Row],[Birthweight Z-Score (BW-10%)]],TRUE)*100,"")</f>
        <v/>
      </c>
      <c r="L5723" s="7" t="str">
        <f>IF(Table1[[#This Row],[Is Data Valid]]=TRUE,_xlfn.NORM.S.DIST(Table1[[#This Row],[Birthweight Z-Score (BW+10%)]],TRUE)*100,"")</f>
        <v/>
      </c>
    </row>
    <row r="5724" spans="1:12" x14ac:dyDescent="0.35">
      <c r="A5724" s="3"/>
      <c r="B5724" s="2"/>
      <c r="C5724" s="2"/>
      <c r="D5724" s="2" t="b">
        <f>IF(AND(NOT(ISBLANK(Table1[[#This Row],[Fetal Sex (Male, Female or Unknown)]])),ISNUMBER(Table1[[#This Row],[Birthweight (grams)]]),ISNUMBER(Table1[[#This Row],[Gestation (days)]])),TRUE,FALSE)</f>
        <v>0</v>
      </c>
      <c r="E5724" s="2" t="str">
        <f>IF(Table1[[#This Row],[Is Data Valid]]=TRUE,IF(Table1[[#This Row],[Fetal Sex (Male, Female or Unknown)]]="Male",Backend!$C$6,IF(Table1[[#This Row],[Fetal Sex (Male, Female or Unknown)]]="Female",Backend!$C$7,IF(Table1[[#This Row],[Fetal Sex (Male, Female or Unknown)]]="Unknown",Backend!$C$8,"Error"))),"")</f>
        <v/>
      </c>
      <c r="F5724" s="8" t="str">
        <f>IF(Table1[[#This Row],[Is Data Valid]]=TRUE,EXP(0.578+0.332*((Table1[[#This Row],[Gestation (days)]]+0.5)/7)-0.00354*((Table1[[#This Row],[Gestation (days)]]+0.5)/7)^2)*Table1[[#This Row],[BW40_3705]],"")</f>
        <v/>
      </c>
      <c r="G5724" s="2" t="str">
        <f>IF(Table1[[#This Row],[Is Data Valid]]=TRUE,((Table1[[#This Row],[Birthweight (grams)]]/Table1[[#This Row],[BW_GA]])-1)/(Backend!$B$4/100*Table1[[#This Row],[BW40_3705]]),"")</f>
        <v/>
      </c>
      <c r="H5724" s="7" t="str">
        <f>IF(Table1[[#This Row],[Is Data Valid]]=TRUE,((Table1[[#This Row],[Birthweight (grams)]]*0.9/Table1[[#This Row],[BW_GA]])-1)/(Backend!$B$4/100*Table1[[#This Row],[BW40_3705]]),"")</f>
        <v/>
      </c>
      <c r="I5724" s="7" t="str">
        <f>IF(Table1[[#This Row],[Is Data Valid]]=TRUE,((Table1[[#This Row],[Birthweight (grams)]]*1.1/Table1[[#This Row],[BW_GA]])-1)/(Backend!$B$4/100*Table1[[#This Row],[BW40_3705]]),"")</f>
        <v/>
      </c>
      <c r="J5724" s="7" t="str">
        <f>IF(Table1[[#This Row],[Is Data Valid]]=TRUE,_xlfn.NORM.S.DIST(Table1[[#This Row],[Birthweight Z-Score]],TRUE)*100,"")</f>
        <v/>
      </c>
      <c r="K5724" s="7" t="str">
        <f>IF(Table1[[#This Row],[Is Data Valid]]=TRUE,_xlfn.NORM.S.DIST(Table1[[#This Row],[Birthweight Z-Score (BW-10%)]],TRUE)*100,"")</f>
        <v/>
      </c>
      <c r="L5724" s="7" t="str">
        <f>IF(Table1[[#This Row],[Is Data Valid]]=TRUE,_xlfn.NORM.S.DIST(Table1[[#This Row],[Birthweight Z-Score (BW+10%)]],TRUE)*100,"")</f>
        <v/>
      </c>
    </row>
    <row r="5725" spans="1:12" x14ac:dyDescent="0.35">
      <c r="A5725" s="3"/>
      <c r="B5725" s="2"/>
      <c r="C5725" s="2"/>
      <c r="D5725" s="2" t="b">
        <f>IF(AND(NOT(ISBLANK(Table1[[#This Row],[Fetal Sex (Male, Female or Unknown)]])),ISNUMBER(Table1[[#This Row],[Birthweight (grams)]]),ISNUMBER(Table1[[#This Row],[Gestation (days)]])),TRUE,FALSE)</f>
        <v>0</v>
      </c>
      <c r="E5725" s="2" t="str">
        <f>IF(Table1[[#This Row],[Is Data Valid]]=TRUE,IF(Table1[[#This Row],[Fetal Sex (Male, Female or Unknown)]]="Male",Backend!$C$6,IF(Table1[[#This Row],[Fetal Sex (Male, Female or Unknown)]]="Female",Backend!$C$7,IF(Table1[[#This Row],[Fetal Sex (Male, Female or Unknown)]]="Unknown",Backend!$C$8,"Error"))),"")</f>
        <v/>
      </c>
      <c r="F5725" s="8" t="str">
        <f>IF(Table1[[#This Row],[Is Data Valid]]=TRUE,EXP(0.578+0.332*((Table1[[#This Row],[Gestation (days)]]+0.5)/7)-0.00354*((Table1[[#This Row],[Gestation (days)]]+0.5)/7)^2)*Table1[[#This Row],[BW40_3705]],"")</f>
        <v/>
      </c>
      <c r="G5725" s="2" t="str">
        <f>IF(Table1[[#This Row],[Is Data Valid]]=TRUE,((Table1[[#This Row],[Birthweight (grams)]]/Table1[[#This Row],[BW_GA]])-1)/(Backend!$B$4/100*Table1[[#This Row],[BW40_3705]]),"")</f>
        <v/>
      </c>
      <c r="H5725" s="7" t="str">
        <f>IF(Table1[[#This Row],[Is Data Valid]]=TRUE,((Table1[[#This Row],[Birthweight (grams)]]*0.9/Table1[[#This Row],[BW_GA]])-1)/(Backend!$B$4/100*Table1[[#This Row],[BW40_3705]]),"")</f>
        <v/>
      </c>
      <c r="I5725" s="7" t="str">
        <f>IF(Table1[[#This Row],[Is Data Valid]]=TRUE,((Table1[[#This Row],[Birthweight (grams)]]*1.1/Table1[[#This Row],[BW_GA]])-1)/(Backend!$B$4/100*Table1[[#This Row],[BW40_3705]]),"")</f>
        <v/>
      </c>
      <c r="J5725" s="7" t="str">
        <f>IF(Table1[[#This Row],[Is Data Valid]]=TRUE,_xlfn.NORM.S.DIST(Table1[[#This Row],[Birthweight Z-Score]],TRUE)*100,"")</f>
        <v/>
      </c>
      <c r="K5725" s="7" t="str">
        <f>IF(Table1[[#This Row],[Is Data Valid]]=TRUE,_xlfn.NORM.S.DIST(Table1[[#This Row],[Birthweight Z-Score (BW-10%)]],TRUE)*100,"")</f>
        <v/>
      </c>
      <c r="L5725" s="7" t="str">
        <f>IF(Table1[[#This Row],[Is Data Valid]]=TRUE,_xlfn.NORM.S.DIST(Table1[[#This Row],[Birthweight Z-Score (BW+10%)]],TRUE)*100,"")</f>
        <v/>
      </c>
    </row>
    <row r="5726" spans="1:12" x14ac:dyDescent="0.35">
      <c r="A5726" s="3"/>
      <c r="B5726" s="2"/>
      <c r="C5726" s="2"/>
      <c r="D5726" s="2" t="b">
        <f>IF(AND(NOT(ISBLANK(Table1[[#This Row],[Fetal Sex (Male, Female or Unknown)]])),ISNUMBER(Table1[[#This Row],[Birthweight (grams)]]),ISNUMBER(Table1[[#This Row],[Gestation (days)]])),TRUE,FALSE)</f>
        <v>0</v>
      </c>
      <c r="E5726" s="2" t="str">
        <f>IF(Table1[[#This Row],[Is Data Valid]]=TRUE,IF(Table1[[#This Row],[Fetal Sex (Male, Female or Unknown)]]="Male",Backend!$C$6,IF(Table1[[#This Row],[Fetal Sex (Male, Female or Unknown)]]="Female",Backend!$C$7,IF(Table1[[#This Row],[Fetal Sex (Male, Female or Unknown)]]="Unknown",Backend!$C$8,"Error"))),"")</f>
        <v/>
      </c>
      <c r="F5726" s="8" t="str">
        <f>IF(Table1[[#This Row],[Is Data Valid]]=TRUE,EXP(0.578+0.332*((Table1[[#This Row],[Gestation (days)]]+0.5)/7)-0.00354*((Table1[[#This Row],[Gestation (days)]]+0.5)/7)^2)*Table1[[#This Row],[BW40_3705]],"")</f>
        <v/>
      </c>
      <c r="G5726" s="2" t="str">
        <f>IF(Table1[[#This Row],[Is Data Valid]]=TRUE,((Table1[[#This Row],[Birthweight (grams)]]/Table1[[#This Row],[BW_GA]])-1)/(Backend!$B$4/100*Table1[[#This Row],[BW40_3705]]),"")</f>
        <v/>
      </c>
      <c r="H5726" s="7" t="str">
        <f>IF(Table1[[#This Row],[Is Data Valid]]=TRUE,((Table1[[#This Row],[Birthweight (grams)]]*0.9/Table1[[#This Row],[BW_GA]])-1)/(Backend!$B$4/100*Table1[[#This Row],[BW40_3705]]),"")</f>
        <v/>
      </c>
      <c r="I5726" s="7" t="str">
        <f>IF(Table1[[#This Row],[Is Data Valid]]=TRUE,((Table1[[#This Row],[Birthweight (grams)]]*1.1/Table1[[#This Row],[BW_GA]])-1)/(Backend!$B$4/100*Table1[[#This Row],[BW40_3705]]),"")</f>
        <v/>
      </c>
      <c r="J5726" s="7" t="str">
        <f>IF(Table1[[#This Row],[Is Data Valid]]=TRUE,_xlfn.NORM.S.DIST(Table1[[#This Row],[Birthweight Z-Score]],TRUE)*100,"")</f>
        <v/>
      </c>
      <c r="K5726" s="7" t="str">
        <f>IF(Table1[[#This Row],[Is Data Valid]]=TRUE,_xlfn.NORM.S.DIST(Table1[[#This Row],[Birthweight Z-Score (BW-10%)]],TRUE)*100,"")</f>
        <v/>
      </c>
      <c r="L5726" s="7" t="str">
        <f>IF(Table1[[#This Row],[Is Data Valid]]=TRUE,_xlfn.NORM.S.DIST(Table1[[#This Row],[Birthweight Z-Score (BW+10%)]],TRUE)*100,"")</f>
        <v/>
      </c>
    </row>
    <row r="5727" spans="1:12" x14ac:dyDescent="0.35">
      <c r="A5727" s="3"/>
      <c r="B5727" s="2"/>
      <c r="C5727" s="2"/>
      <c r="D5727" s="2" t="b">
        <f>IF(AND(NOT(ISBLANK(Table1[[#This Row],[Fetal Sex (Male, Female or Unknown)]])),ISNUMBER(Table1[[#This Row],[Birthweight (grams)]]),ISNUMBER(Table1[[#This Row],[Gestation (days)]])),TRUE,FALSE)</f>
        <v>0</v>
      </c>
      <c r="E5727" s="2" t="str">
        <f>IF(Table1[[#This Row],[Is Data Valid]]=TRUE,IF(Table1[[#This Row],[Fetal Sex (Male, Female or Unknown)]]="Male",Backend!$C$6,IF(Table1[[#This Row],[Fetal Sex (Male, Female or Unknown)]]="Female",Backend!$C$7,IF(Table1[[#This Row],[Fetal Sex (Male, Female or Unknown)]]="Unknown",Backend!$C$8,"Error"))),"")</f>
        <v/>
      </c>
      <c r="F5727" s="8" t="str">
        <f>IF(Table1[[#This Row],[Is Data Valid]]=TRUE,EXP(0.578+0.332*((Table1[[#This Row],[Gestation (days)]]+0.5)/7)-0.00354*((Table1[[#This Row],[Gestation (days)]]+0.5)/7)^2)*Table1[[#This Row],[BW40_3705]],"")</f>
        <v/>
      </c>
      <c r="G5727" s="2" t="str">
        <f>IF(Table1[[#This Row],[Is Data Valid]]=TRUE,((Table1[[#This Row],[Birthweight (grams)]]/Table1[[#This Row],[BW_GA]])-1)/(Backend!$B$4/100*Table1[[#This Row],[BW40_3705]]),"")</f>
        <v/>
      </c>
      <c r="H5727" s="7" t="str">
        <f>IF(Table1[[#This Row],[Is Data Valid]]=TRUE,((Table1[[#This Row],[Birthweight (grams)]]*0.9/Table1[[#This Row],[BW_GA]])-1)/(Backend!$B$4/100*Table1[[#This Row],[BW40_3705]]),"")</f>
        <v/>
      </c>
      <c r="I5727" s="7" t="str">
        <f>IF(Table1[[#This Row],[Is Data Valid]]=TRUE,((Table1[[#This Row],[Birthweight (grams)]]*1.1/Table1[[#This Row],[BW_GA]])-1)/(Backend!$B$4/100*Table1[[#This Row],[BW40_3705]]),"")</f>
        <v/>
      </c>
      <c r="J5727" s="7" t="str">
        <f>IF(Table1[[#This Row],[Is Data Valid]]=TRUE,_xlfn.NORM.S.DIST(Table1[[#This Row],[Birthweight Z-Score]],TRUE)*100,"")</f>
        <v/>
      </c>
      <c r="K5727" s="7" t="str">
        <f>IF(Table1[[#This Row],[Is Data Valid]]=TRUE,_xlfn.NORM.S.DIST(Table1[[#This Row],[Birthweight Z-Score (BW-10%)]],TRUE)*100,"")</f>
        <v/>
      </c>
      <c r="L5727" s="7" t="str">
        <f>IF(Table1[[#This Row],[Is Data Valid]]=TRUE,_xlfn.NORM.S.DIST(Table1[[#This Row],[Birthweight Z-Score (BW+10%)]],TRUE)*100,"")</f>
        <v/>
      </c>
    </row>
    <row r="5728" spans="1:12" x14ac:dyDescent="0.35">
      <c r="A5728" s="3"/>
      <c r="B5728" s="2"/>
      <c r="C5728" s="2"/>
      <c r="D5728" s="2" t="b">
        <f>IF(AND(NOT(ISBLANK(Table1[[#This Row],[Fetal Sex (Male, Female or Unknown)]])),ISNUMBER(Table1[[#This Row],[Birthweight (grams)]]),ISNUMBER(Table1[[#This Row],[Gestation (days)]])),TRUE,FALSE)</f>
        <v>0</v>
      </c>
      <c r="E5728" s="2" t="str">
        <f>IF(Table1[[#This Row],[Is Data Valid]]=TRUE,IF(Table1[[#This Row],[Fetal Sex (Male, Female or Unknown)]]="Male",Backend!$C$6,IF(Table1[[#This Row],[Fetal Sex (Male, Female or Unknown)]]="Female",Backend!$C$7,IF(Table1[[#This Row],[Fetal Sex (Male, Female or Unknown)]]="Unknown",Backend!$C$8,"Error"))),"")</f>
        <v/>
      </c>
      <c r="F5728" s="8" t="str">
        <f>IF(Table1[[#This Row],[Is Data Valid]]=TRUE,EXP(0.578+0.332*((Table1[[#This Row],[Gestation (days)]]+0.5)/7)-0.00354*((Table1[[#This Row],[Gestation (days)]]+0.5)/7)^2)*Table1[[#This Row],[BW40_3705]],"")</f>
        <v/>
      </c>
      <c r="G5728" s="2" t="str">
        <f>IF(Table1[[#This Row],[Is Data Valid]]=TRUE,((Table1[[#This Row],[Birthweight (grams)]]/Table1[[#This Row],[BW_GA]])-1)/(Backend!$B$4/100*Table1[[#This Row],[BW40_3705]]),"")</f>
        <v/>
      </c>
      <c r="H5728" s="7" t="str">
        <f>IF(Table1[[#This Row],[Is Data Valid]]=TRUE,((Table1[[#This Row],[Birthweight (grams)]]*0.9/Table1[[#This Row],[BW_GA]])-1)/(Backend!$B$4/100*Table1[[#This Row],[BW40_3705]]),"")</f>
        <v/>
      </c>
      <c r="I5728" s="7" t="str">
        <f>IF(Table1[[#This Row],[Is Data Valid]]=TRUE,((Table1[[#This Row],[Birthweight (grams)]]*1.1/Table1[[#This Row],[BW_GA]])-1)/(Backend!$B$4/100*Table1[[#This Row],[BW40_3705]]),"")</f>
        <v/>
      </c>
      <c r="J5728" s="7" t="str">
        <f>IF(Table1[[#This Row],[Is Data Valid]]=TRUE,_xlfn.NORM.S.DIST(Table1[[#This Row],[Birthweight Z-Score]],TRUE)*100,"")</f>
        <v/>
      </c>
      <c r="K5728" s="7" t="str">
        <f>IF(Table1[[#This Row],[Is Data Valid]]=TRUE,_xlfn.NORM.S.DIST(Table1[[#This Row],[Birthweight Z-Score (BW-10%)]],TRUE)*100,"")</f>
        <v/>
      </c>
      <c r="L5728" s="7" t="str">
        <f>IF(Table1[[#This Row],[Is Data Valid]]=TRUE,_xlfn.NORM.S.DIST(Table1[[#This Row],[Birthweight Z-Score (BW+10%)]],TRUE)*100,"")</f>
        <v/>
      </c>
    </row>
    <row r="5729" spans="1:12" x14ac:dyDescent="0.35">
      <c r="A5729" s="3"/>
      <c r="B5729" s="2"/>
      <c r="C5729" s="2"/>
      <c r="D5729" s="2" t="b">
        <f>IF(AND(NOT(ISBLANK(Table1[[#This Row],[Fetal Sex (Male, Female or Unknown)]])),ISNUMBER(Table1[[#This Row],[Birthweight (grams)]]),ISNUMBER(Table1[[#This Row],[Gestation (days)]])),TRUE,FALSE)</f>
        <v>0</v>
      </c>
      <c r="E5729" s="2" t="str">
        <f>IF(Table1[[#This Row],[Is Data Valid]]=TRUE,IF(Table1[[#This Row],[Fetal Sex (Male, Female or Unknown)]]="Male",Backend!$C$6,IF(Table1[[#This Row],[Fetal Sex (Male, Female or Unknown)]]="Female",Backend!$C$7,IF(Table1[[#This Row],[Fetal Sex (Male, Female or Unknown)]]="Unknown",Backend!$C$8,"Error"))),"")</f>
        <v/>
      </c>
      <c r="F5729" s="8" t="str">
        <f>IF(Table1[[#This Row],[Is Data Valid]]=TRUE,EXP(0.578+0.332*((Table1[[#This Row],[Gestation (days)]]+0.5)/7)-0.00354*((Table1[[#This Row],[Gestation (days)]]+0.5)/7)^2)*Table1[[#This Row],[BW40_3705]],"")</f>
        <v/>
      </c>
      <c r="G5729" s="2" t="str">
        <f>IF(Table1[[#This Row],[Is Data Valid]]=TRUE,((Table1[[#This Row],[Birthweight (grams)]]/Table1[[#This Row],[BW_GA]])-1)/(Backend!$B$4/100*Table1[[#This Row],[BW40_3705]]),"")</f>
        <v/>
      </c>
      <c r="H5729" s="7" t="str">
        <f>IF(Table1[[#This Row],[Is Data Valid]]=TRUE,((Table1[[#This Row],[Birthweight (grams)]]*0.9/Table1[[#This Row],[BW_GA]])-1)/(Backend!$B$4/100*Table1[[#This Row],[BW40_3705]]),"")</f>
        <v/>
      </c>
      <c r="I5729" s="7" t="str">
        <f>IF(Table1[[#This Row],[Is Data Valid]]=TRUE,((Table1[[#This Row],[Birthweight (grams)]]*1.1/Table1[[#This Row],[BW_GA]])-1)/(Backend!$B$4/100*Table1[[#This Row],[BW40_3705]]),"")</f>
        <v/>
      </c>
      <c r="J5729" s="7" t="str">
        <f>IF(Table1[[#This Row],[Is Data Valid]]=TRUE,_xlfn.NORM.S.DIST(Table1[[#This Row],[Birthweight Z-Score]],TRUE)*100,"")</f>
        <v/>
      </c>
      <c r="K5729" s="7" t="str">
        <f>IF(Table1[[#This Row],[Is Data Valid]]=TRUE,_xlfn.NORM.S.DIST(Table1[[#This Row],[Birthweight Z-Score (BW-10%)]],TRUE)*100,"")</f>
        <v/>
      </c>
      <c r="L5729" s="7" t="str">
        <f>IF(Table1[[#This Row],[Is Data Valid]]=TRUE,_xlfn.NORM.S.DIST(Table1[[#This Row],[Birthweight Z-Score (BW+10%)]],TRUE)*100,"")</f>
        <v/>
      </c>
    </row>
    <row r="5730" spans="1:12" x14ac:dyDescent="0.35">
      <c r="A5730" s="3"/>
      <c r="B5730" s="2"/>
      <c r="C5730" s="2"/>
      <c r="D5730" s="2" t="b">
        <f>IF(AND(NOT(ISBLANK(Table1[[#This Row],[Fetal Sex (Male, Female or Unknown)]])),ISNUMBER(Table1[[#This Row],[Birthweight (grams)]]),ISNUMBER(Table1[[#This Row],[Gestation (days)]])),TRUE,FALSE)</f>
        <v>0</v>
      </c>
      <c r="E5730" s="2" t="str">
        <f>IF(Table1[[#This Row],[Is Data Valid]]=TRUE,IF(Table1[[#This Row],[Fetal Sex (Male, Female or Unknown)]]="Male",Backend!$C$6,IF(Table1[[#This Row],[Fetal Sex (Male, Female or Unknown)]]="Female",Backend!$C$7,IF(Table1[[#This Row],[Fetal Sex (Male, Female or Unknown)]]="Unknown",Backend!$C$8,"Error"))),"")</f>
        <v/>
      </c>
      <c r="F5730" s="8" t="str">
        <f>IF(Table1[[#This Row],[Is Data Valid]]=TRUE,EXP(0.578+0.332*((Table1[[#This Row],[Gestation (days)]]+0.5)/7)-0.00354*((Table1[[#This Row],[Gestation (days)]]+0.5)/7)^2)*Table1[[#This Row],[BW40_3705]],"")</f>
        <v/>
      </c>
      <c r="G5730" s="2" t="str">
        <f>IF(Table1[[#This Row],[Is Data Valid]]=TRUE,((Table1[[#This Row],[Birthweight (grams)]]/Table1[[#This Row],[BW_GA]])-1)/(Backend!$B$4/100*Table1[[#This Row],[BW40_3705]]),"")</f>
        <v/>
      </c>
      <c r="H5730" s="7" t="str">
        <f>IF(Table1[[#This Row],[Is Data Valid]]=TRUE,((Table1[[#This Row],[Birthweight (grams)]]*0.9/Table1[[#This Row],[BW_GA]])-1)/(Backend!$B$4/100*Table1[[#This Row],[BW40_3705]]),"")</f>
        <v/>
      </c>
      <c r="I5730" s="7" t="str">
        <f>IF(Table1[[#This Row],[Is Data Valid]]=TRUE,((Table1[[#This Row],[Birthweight (grams)]]*1.1/Table1[[#This Row],[BW_GA]])-1)/(Backend!$B$4/100*Table1[[#This Row],[BW40_3705]]),"")</f>
        <v/>
      </c>
      <c r="J5730" s="7" t="str">
        <f>IF(Table1[[#This Row],[Is Data Valid]]=TRUE,_xlfn.NORM.S.DIST(Table1[[#This Row],[Birthweight Z-Score]],TRUE)*100,"")</f>
        <v/>
      </c>
      <c r="K5730" s="7" t="str">
        <f>IF(Table1[[#This Row],[Is Data Valid]]=TRUE,_xlfn.NORM.S.DIST(Table1[[#This Row],[Birthweight Z-Score (BW-10%)]],TRUE)*100,"")</f>
        <v/>
      </c>
      <c r="L5730" s="7" t="str">
        <f>IF(Table1[[#This Row],[Is Data Valid]]=TRUE,_xlfn.NORM.S.DIST(Table1[[#This Row],[Birthweight Z-Score (BW+10%)]],TRUE)*100,"")</f>
        <v/>
      </c>
    </row>
    <row r="5731" spans="1:12" x14ac:dyDescent="0.35">
      <c r="A5731" s="3"/>
      <c r="B5731" s="2"/>
      <c r="C5731" s="2"/>
      <c r="D5731" s="2" t="b">
        <f>IF(AND(NOT(ISBLANK(Table1[[#This Row],[Fetal Sex (Male, Female or Unknown)]])),ISNUMBER(Table1[[#This Row],[Birthweight (grams)]]),ISNUMBER(Table1[[#This Row],[Gestation (days)]])),TRUE,FALSE)</f>
        <v>0</v>
      </c>
      <c r="E5731" s="2" t="str">
        <f>IF(Table1[[#This Row],[Is Data Valid]]=TRUE,IF(Table1[[#This Row],[Fetal Sex (Male, Female or Unknown)]]="Male",Backend!$C$6,IF(Table1[[#This Row],[Fetal Sex (Male, Female or Unknown)]]="Female",Backend!$C$7,IF(Table1[[#This Row],[Fetal Sex (Male, Female or Unknown)]]="Unknown",Backend!$C$8,"Error"))),"")</f>
        <v/>
      </c>
      <c r="F5731" s="8" t="str">
        <f>IF(Table1[[#This Row],[Is Data Valid]]=TRUE,EXP(0.578+0.332*((Table1[[#This Row],[Gestation (days)]]+0.5)/7)-0.00354*((Table1[[#This Row],[Gestation (days)]]+0.5)/7)^2)*Table1[[#This Row],[BW40_3705]],"")</f>
        <v/>
      </c>
      <c r="G5731" s="2" t="str">
        <f>IF(Table1[[#This Row],[Is Data Valid]]=TRUE,((Table1[[#This Row],[Birthweight (grams)]]/Table1[[#This Row],[BW_GA]])-1)/(Backend!$B$4/100*Table1[[#This Row],[BW40_3705]]),"")</f>
        <v/>
      </c>
      <c r="H5731" s="7" t="str">
        <f>IF(Table1[[#This Row],[Is Data Valid]]=TRUE,((Table1[[#This Row],[Birthweight (grams)]]*0.9/Table1[[#This Row],[BW_GA]])-1)/(Backend!$B$4/100*Table1[[#This Row],[BW40_3705]]),"")</f>
        <v/>
      </c>
      <c r="I5731" s="7" t="str">
        <f>IF(Table1[[#This Row],[Is Data Valid]]=TRUE,((Table1[[#This Row],[Birthweight (grams)]]*1.1/Table1[[#This Row],[BW_GA]])-1)/(Backend!$B$4/100*Table1[[#This Row],[BW40_3705]]),"")</f>
        <v/>
      </c>
      <c r="J5731" s="7" t="str">
        <f>IF(Table1[[#This Row],[Is Data Valid]]=TRUE,_xlfn.NORM.S.DIST(Table1[[#This Row],[Birthweight Z-Score]],TRUE)*100,"")</f>
        <v/>
      </c>
      <c r="K5731" s="7" t="str">
        <f>IF(Table1[[#This Row],[Is Data Valid]]=TRUE,_xlfn.NORM.S.DIST(Table1[[#This Row],[Birthweight Z-Score (BW-10%)]],TRUE)*100,"")</f>
        <v/>
      </c>
      <c r="L5731" s="7" t="str">
        <f>IF(Table1[[#This Row],[Is Data Valid]]=TRUE,_xlfn.NORM.S.DIST(Table1[[#This Row],[Birthweight Z-Score (BW+10%)]],TRUE)*100,"")</f>
        <v/>
      </c>
    </row>
    <row r="5732" spans="1:12" x14ac:dyDescent="0.35">
      <c r="A5732" s="3"/>
      <c r="B5732" s="2"/>
      <c r="C5732" s="2"/>
      <c r="D5732" s="2" t="b">
        <f>IF(AND(NOT(ISBLANK(Table1[[#This Row],[Fetal Sex (Male, Female or Unknown)]])),ISNUMBER(Table1[[#This Row],[Birthweight (grams)]]),ISNUMBER(Table1[[#This Row],[Gestation (days)]])),TRUE,FALSE)</f>
        <v>0</v>
      </c>
      <c r="E5732" s="2" t="str">
        <f>IF(Table1[[#This Row],[Is Data Valid]]=TRUE,IF(Table1[[#This Row],[Fetal Sex (Male, Female or Unknown)]]="Male",Backend!$C$6,IF(Table1[[#This Row],[Fetal Sex (Male, Female or Unknown)]]="Female",Backend!$C$7,IF(Table1[[#This Row],[Fetal Sex (Male, Female or Unknown)]]="Unknown",Backend!$C$8,"Error"))),"")</f>
        <v/>
      </c>
      <c r="F5732" s="8" t="str">
        <f>IF(Table1[[#This Row],[Is Data Valid]]=TRUE,EXP(0.578+0.332*((Table1[[#This Row],[Gestation (days)]]+0.5)/7)-0.00354*((Table1[[#This Row],[Gestation (days)]]+0.5)/7)^2)*Table1[[#This Row],[BW40_3705]],"")</f>
        <v/>
      </c>
      <c r="G5732" s="2" t="str">
        <f>IF(Table1[[#This Row],[Is Data Valid]]=TRUE,((Table1[[#This Row],[Birthweight (grams)]]/Table1[[#This Row],[BW_GA]])-1)/(Backend!$B$4/100*Table1[[#This Row],[BW40_3705]]),"")</f>
        <v/>
      </c>
      <c r="H5732" s="7" t="str">
        <f>IF(Table1[[#This Row],[Is Data Valid]]=TRUE,((Table1[[#This Row],[Birthweight (grams)]]*0.9/Table1[[#This Row],[BW_GA]])-1)/(Backend!$B$4/100*Table1[[#This Row],[BW40_3705]]),"")</f>
        <v/>
      </c>
      <c r="I5732" s="7" t="str">
        <f>IF(Table1[[#This Row],[Is Data Valid]]=TRUE,((Table1[[#This Row],[Birthweight (grams)]]*1.1/Table1[[#This Row],[BW_GA]])-1)/(Backend!$B$4/100*Table1[[#This Row],[BW40_3705]]),"")</f>
        <v/>
      </c>
      <c r="J5732" s="7" t="str">
        <f>IF(Table1[[#This Row],[Is Data Valid]]=TRUE,_xlfn.NORM.S.DIST(Table1[[#This Row],[Birthweight Z-Score]],TRUE)*100,"")</f>
        <v/>
      </c>
      <c r="K5732" s="7" t="str">
        <f>IF(Table1[[#This Row],[Is Data Valid]]=TRUE,_xlfn.NORM.S.DIST(Table1[[#This Row],[Birthweight Z-Score (BW-10%)]],TRUE)*100,"")</f>
        <v/>
      </c>
      <c r="L5732" s="7" t="str">
        <f>IF(Table1[[#This Row],[Is Data Valid]]=TRUE,_xlfn.NORM.S.DIST(Table1[[#This Row],[Birthweight Z-Score (BW+10%)]],TRUE)*100,"")</f>
        <v/>
      </c>
    </row>
    <row r="5733" spans="1:12" x14ac:dyDescent="0.35">
      <c r="A5733" s="3"/>
      <c r="B5733" s="2"/>
      <c r="C5733" s="2"/>
      <c r="D5733" s="2" t="b">
        <f>IF(AND(NOT(ISBLANK(Table1[[#This Row],[Fetal Sex (Male, Female or Unknown)]])),ISNUMBER(Table1[[#This Row],[Birthweight (grams)]]),ISNUMBER(Table1[[#This Row],[Gestation (days)]])),TRUE,FALSE)</f>
        <v>0</v>
      </c>
      <c r="E5733" s="2" t="str">
        <f>IF(Table1[[#This Row],[Is Data Valid]]=TRUE,IF(Table1[[#This Row],[Fetal Sex (Male, Female or Unknown)]]="Male",Backend!$C$6,IF(Table1[[#This Row],[Fetal Sex (Male, Female or Unknown)]]="Female",Backend!$C$7,IF(Table1[[#This Row],[Fetal Sex (Male, Female or Unknown)]]="Unknown",Backend!$C$8,"Error"))),"")</f>
        <v/>
      </c>
      <c r="F5733" s="8" t="str">
        <f>IF(Table1[[#This Row],[Is Data Valid]]=TRUE,EXP(0.578+0.332*((Table1[[#This Row],[Gestation (days)]]+0.5)/7)-0.00354*((Table1[[#This Row],[Gestation (days)]]+0.5)/7)^2)*Table1[[#This Row],[BW40_3705]],"")</f>
        <v/>
      </c>
      <c r="G5733" s="2" t="str">
        <f>IF(Table1[[#This Row],[Is Data Valid]]=TRUE,((Table1[[#This Row],[Birthweight (grams)]]/Table1[[#This Row],[BW_GA]])-1)/(Backend!$B$4/100*Table1[[#This Row],[BW40_3705]]),"")</f>
        <v/>
      </c>
      <c r="H5733" s="7" t="str">
        <f>IF(Table1[[#This Row],[Is Data Valid]]=TRUE,((Table1[[#This Row],[Birthweight (grams)]]*0.9/Table1[[#This Row],[BW_GA]])-1)/(Backend!$B$4/100*Table1[[#This Row],[BW40_3705]]),"")</f>
        <v/>
      </c>
      <c r="I5733" s="7" t="str">
        <f>IF(Table1[[#This Row],[Is Data Valid]]=TRUE,((Table1[[#This Row],[Birthweight (grams)]]*1.1/Table1[[#This Row],[BW_GA]])-1)/(Backend!$B$4/100*Table1[[#This Row],[BW40_3705]]),"")</f>
        <v/>
      </c>
      <c r="J5733" s="7" t="str">
        <f>IF(Table1[[#This Row],[Is Data Valid]]=TRUE,_xlfn.NORM.S.DIST(Table1[[#This Row],[Birthweight Z-Score]],TRUE)*100,"")</f>
        <v/>
      </c>
      <c r="K5733" s="7" t="str">
        <f>IF(Table1[[#This Row],[Is Data Valid]]=TRUE,_xlfn.NORM.S.DIST(Table1[[#This Row],[Birthweight Z-Score (BW-10%)]],TRUE)*100,"")</f>
        <v/>
      </c>
      <c r="L5733" s="7" t="str">
        <f>IF(Table1[[#This Row],[Is Data Valid]]=TRUE,_xlfn.NORM.S.DIST(Table1[[#This Row],[Birthweight Z-Score (BW+10%)]],TRUE)*100,"")</f>
        <v/>
      </c>
    </row>
    <row r="5734" spans="1:12" x14ac:dyDescent="0.35">
      <c r="A5734" s="3"/>
      <c r="B5734" s="2"/>
      <c r="C5734" s="2"/>
      <c r="D5734" s="2" t="b">
        <f>IF(AND(NOT(ISBLANK(Table1[[#This Row],[Fetal Sex (Male, Female or Unknown)]])),ISNUMBER(Table1[[#This Row],[Birthweight (grams)]]),ISNUMBER(Table1[[#This Row],[Gestation (days)]])),TRUE,FALSE)</f>
        <v>0</v>
      </c>
      <c r="E5734" s="2" t="str">
        <f>IF(Table1[[#This Row],[Is Data Valid]]=TRUE,IF(Table1[[#This Row],[Fetal Sex (Male, Female or Unknown)]]="Male",Backend!$C$6,IF(Table1[[#This Row],[Fetal Sex (Male, Female or Unknown)]]="Female",Backend!$C$7,IF(Table1[[#This Row],[Fetal Sex (Male, Female or Unknown)]]="Unknown",Backend!$C$8,"Error"))),"")</f>
        <v/>
      </c>
      <c r="F5734" s="8" t="str">
        <f>IF(Table1[[#This Row],[Is Data Valid]]=TRUE,EXP(0.578+0.332*((Table1[[#This Row],[Gestation (days)]]+0.5)/7)-0.00354*((Table1[[#This Row],[Gestation (days)]]+0.5)/7)^2)*Table1[[#This Row],[BW40_3705]],"")</f>
        <v/>
      </c>
      <c r="G5734" s="2" t="str">
        <f>IF(Table1[[#This Row],[Is Data Valid]]=TRUE,((Table1[[#This Row],[Birthweight (grams)]]/Table1[[#This Row],[BW_GA]])-1)/(Backend!$B$4/100*Table1[[#This Row],[BW40_3705]]),"")</f>
        <v/>
      </c>
      <c r="H5734" s="7" t="str">
        <f>IF(Table1[[#This Row],[Is Data Valid]]=TRUE,((Table1[[#This Row],[Birthweight (grams)]]*0.9/Table1[[#This Row],[BW_GA]])-1)/(Backend!$B$4/100*Table1[[#This Row],[BW40_3705]]),"")</f>
        <v/>
      </c>
      <c r="I5734" s="7" t="str">
        <f>IF(Table1[[#This Row],[Is Data Valid]]=TRUE,((Table1[[#This Row],[Birthweight (grams)]]*1.1/Table1[[#This Row],[BW_GA]])-1)/(Backend!$B$4/100*Table1[[#This Row],[BW40_3705]]),"")</f>
        <v/>
      </c>
      <c r="J5734" s="7" t="str">
        <f>IF(Table1[[#This Row],[Is Data Valid]]=TRUE,_xlfn.NORM.S.DIST(Table1[[#This Row],[Birthweight Z-Score]],TRUE)*100,"")</f>
        <v/>
      </c>
      <c r="K5734" s="7" t="str">
        <f>IF(Table1[[#This Row],[Is Data Valid]]=TRUE,_xlfn.NORM.S.DIST(Table1[[#This Row],[Birthweight Z-Score (BW-10%)]],TRUE)*100,"")</f>
        <v/>
      </c>
      <c r="L5734" s="7" t="str">
        <f>IF(Table1[[#This Row],[Is Data Valid]]=TRUE,_xlfn.NORM.S.DIST(Table1[[#This Row],[Birthweight Z-Score (BW+10%)]],TRUE)*100,"")</f>
        <v/>
      </c>
    </row>
    <row r="5735" spans="1:12" x14ac:dyDescent="0.35">
      <c r="A5735" s="3"/>
      <c r="B5735" s="2"/>
      <c r="C5735" s="2"/>
      <c r="D5735" s="2" t="b">
        <f>IF(AND(NOT(ISBLANK(Table1[[#This Row],[Fetal Sex (Male, Female or Unknown)]])),ISNUMBER(Table1[[#This Row],[Birthweight (grams)]]),ISNUMBER(Table1[[#This Row],[Gestation (days)]])),TRUE,FALSE)</f>
        <v>0</v>
      </c>
      <c r="E5735" s="2" t="str">
        <f>IF(Table1[[#This Row],[Is Data Valid]]=TRUE,IF(Table1[[#This Row],[Fetal Sex (Male, Female or Unknown)]]="Male",Backend!$C$6,IF(Table1[[#This Row],[Fetal Sex (Male, Female or Unknown)]]="Female",Backend!$C$7,IF(Table1[[#This Row],[Fetal Sex (Male, Female or Unknown)]]="Unknown",Backend!$C$8,"Error"))),"")</f>
        <v/>
      </c>
      <c r="F5735" s="8" t="str">
        <f>IF(Table1[[#This Row],[Is Data Valid]]=TRUE,EXP(0.578+0.332*((Table1[[#This Row],[Gestation (days)]]+0.5)/7)-0.00354*((Table1[[#This Row],[Gestation (days)]]+0.5)/7)^2)*Table1[[#This Row],[BW40_3705]],"")</f>
        <v/>
      </c>
      <c r="G5735" s="2" t="str">
        <f>IF(Table1[[#This Row],[Is Data Valid]]=TRUE,((Table1[[#This Row],[Birthweight (grams)]]/Table1[[#This Row],[BW_GA]])-1)/(Backend!$B$4/100*Table1[[#This Row],[BW40_3705]]),"")</f>
        <v/>
      </c>
      <c r="H5735" s="7" t="str">
        <f>IF(Table1[[#This Row],[Is Data Valid]]=TRUE,((Table1[[#This Row],[Birthweight (grams)]]*0.9/Table1[[#This Row],[BW_GA]])-1)/(Backend!$B$4/100*Table1[[#This Row],[BW40_3705]]),"")</f>
        <v/>
      </c>
      <c r="I5735" s="7" t="str">
        <f>IF(Table1[[#This Row],[Is Data Valid]]=TRUE,((Table1[[#This Row],[Birthweight (grams)]]*1.1/Table1[[#This Row],[BW_GA]])-1)/(Backend!$B$4/100*Table1[[#This Row],[BW40_3705]]),"")</f>
        <v/>
      </c>
      <c r="J5735" s="7" t="str">
        <f>IF(Table1[[#This Row],[Is Data Valid]]=TRUE,_xlfn.NORM.S.DIST(Table1[[#This Row],[Birthweight Z-Score]],TRUE)*100,"")</f>
        <v/>
      </c>
      <c r="K5735" s="7" t="str">
        <f>IF(Table1[[#This Row],[Is Data Valid]]=TRUE,_xlfn.NORM.S.DIST(Table1[[#This Row],[Birthweight Z-Score (BW-10%)]],TRUE)*100,"")</f>
        <v/>
      </c>
      <c r="L5735" s="7" t="str">
        <f>IF(Table1[[#This Row],[Is Data Valid]]=TRUE,_xlfn.NORM.S.DIST(Table1[[#This Row],[Birthweight Z-Score (BW+10%)]],TRUE)*100,"")</f>
        <v/>
      </c>
    </row>
    <row r="5736" spans="1:12" x14ac:dyDescent="0.35">
      <c r="A5736" s="3"/>
      <c r="B5736" s="2"/>
      <c r="C5736" s="2"/>
      <c r="D5736" s="2" t="b">
        <f>IF(AND(NOT(ISBLANK(Table1[[#This Row],[Fetal Sex (Male, Female or Unknown)]])),ISNUMBER(Table1[[#This Row],[Birthweight (grams)]]),ISNUMBER(Table1[[#This Row],[Gestation (days)]])),TRUE,FALSE)</f>
        <v>0</v>
      </c>
      <c r="E5736" s="2" t="str">
        <f>IF(Table1[[#This Row],[Is Data Valid]]=TRUE,IF(Table1[[#This Row],[Fetal Sex (Male, Female or Unknown)]]="Male",Backend!$C$6,IF(Table1[[#This Row],[Fetal Sex (Male, Female or Unknown)]]="Female",Backend!$C$7,IF(Table1[[#This Row],[Fetal Sex (Male, Female or Unknown)]]="Unknown",Backend!$C$8,"Error"))),"")</f>
        <v/>
      </c>
      <c r="F5736" s="8" t="str">
        <f>IF(Table1[[#This Row],[Is Data Valid]]=TRUE,EXP(0.578+0.332*((Table1[[#This Row],[Gestation (days)]]+0.5)/7)-0.00354*((Table1[[#This Row],[Gestation (days)]]+0.5)/7)^2)*Table1[[#This Row],[BW40_3705]],"")</f>
        <v/>
      </c>
      <c r="G5736" s="2" t="str">
        <f>IF(Table1[[#This Row],[Is Data Valid]]=TRUE,((Table1[[#This Row],[Birthweight (grams)]]/Table1[[#This Row],[BW_GA]])-1)/(Backend!$B$4/100*Table1[[#This Row],[BW40_3705]]),"")</f>
        <v/>
      </c>
      <c r="H5736" s="7" t="str">
        <f>IF(Table1[[#This Row],[Is Data Valid]]=TRUE,((Table1[[#This Row],[Birthweight (grams)]]*0.9/Table1[[#This Row],[BW_GA]])-1)/(Backend!$B$4/100*Table1[[#This Row],[BW40_3705]]),"")</f>
        <v/>
      </c>
      <c r="I5736" s="7" t="str">
        <f>IF(Table1[[#This Row],[Is Data Valid]]=TRUE,((Table1[[#This Row],[Birthweight (grams)]]*1.1/Table1[[#This Row],[BW_GA]])-1)/(Backend!$B$4/100*Table1[[#This Row],[BW40_3705]]),"")</f>
        <v/>
      </c>
      <c r="J5736" s="7" t="str">
        <f>IF(Table1[[#This Row],[Is Data Valid]]=TRUE,_xlfn.NORM.S.DIST(Table1[[#This Row],[Birthweight Z-Score]],TRUE)*100,"")</f>
        <v/>
      </c>
      <c r="K5736" s="7" t="str">
        <f>IF(Table1[[#This Row],[Is Data Valid]]=TRUE,_xlfn.NORM.S.DIST(Table1[[#This Row],[Birthweight Z-Score (BW-10%)]],TRUE)*100,"")</f>
        <v/>
      </c>
      <c r="L5736" s="7" t="str">
        <f>IF(Table1[[#This Row],[Is Data Valid]]=TRUE,_xlfn.NORM.S.DIST(Table1[[#This Row],[Birthweight Z-Score (BW+10%)]],TRUE)*100,"")</f>
        <v/>
      </c>
    </row>
    <row r="5737" spans="1:12" x14ac:dyDescent="0.35">
      <c r="A5737" s="3"/>
      <c r="B5737" s="2"/>
      <c r="C5737" s="2"/>
      <c r="D5737" s="2" t="b">
        <f>IF(AND(NOT(ISBLANK(Table1[[#This Row],[Fetal Sex (Male, Female or Unknown)]])),ISNUMBER(Table1[[#This Row],[Birthweight (grams)]]),ISNUMBER(Table1[[#This Row],[Gestation (days)]])),TRUE,FALSE)</f>
        <v>0</v>
      </c>
      <c r="E5737" s="2" t="str">
        <f>IF(Table1[[#This Row],[Is Data Valid]]=TRUE,IF(Table1[[#This Row],[Fetal Sex (Male, Female or Unknown)]]="Male",Backend!$C$6,IF(Table1[[#This Row],[Fetal Sex (Male, Female or Unknown)]]="Female",Backend!$C$7,IF(Table1[[#This Row],[Fetal Sex (Male, Female or Unknown)]]="Unknown",Backend!$C$8,"Error"))),"")</f>
        <v/>
      </c>
      <c r="F5737" s="8" t="str">
        <f>IF(Table1[[#This Row],[Is Data Valid]]=TRUE,EXP(0.578+0.332*((Table1[[#This Row],[Gestation (days)]]+0.5)/7)-0.00354*((Table1[[#This Row],[Gestation (days)]]+0.5)/7)^2)*Table1[[#This Row],[BW40_3705]],"")</f>
        <v/>
      </c>
      <c r="G5737" s="2" t="str">
        <f>IF(Table1[[#This Row],[Is Data Valid]]=TRUE,((Table1[[#This Row],[Birthweight (grams)]]/Table1[[#This Row],[BW_GA]])-1)/(Backend!$B$4/100*Table1[[#This Row],[BW40_3705]]),"")</f>
        <v/>
      </c>
      <c r="H5737" s="7" t="str">
        <f>IF(Table1[[#This Row],[Is Data Valid]]=TRUE,((Table1[[#This Row],[Birthweight (grams)]]*0.9/Table1[[#This Row],[BW_GA]])-1)/(Backend!$B$4/100*Table1[[#This Row],[BW40_3705]]),"")</f>
        <v/>
      </c>
      <c r="I5737" s="7" t="str">
        <f>IF(Table1[[#This Row],[Is Data Valid]]=TRUE,((Table1[[#This Row],[Birthweight (grams)]]*1.1/Table1[[#This Row],[BW_GA]])-1)/(Backend!$B$4/100*Table1[[#This Row],[BW40_3705]]),"")</f>
        <v/>
      </c>
      <c r="J5737" s="7" t="str">
        <f>IF(Table1[[#This Row],[Is Data Valid]]=TRUE,_xlfn.NORM.S.DIST(Table1[[#This Row],[Birthweight Z-Score]],TRUE)*100,"")</f>
        <v/>
      </c>
      <c r="K5737" s="7" t="str">
        <f>IF(Table1[[#This Row],[Is Data Valid]]=TRUE,_xlfn.NORM.S.DIST(Table1[[#This Row],[Birthweight Z-Score (BW-10%)]],TRUE)*100,"")</f>
        <v/>
      </c>
      <c r="L5737" s="7" t="str">
        <f>IF(Table1[[#This Row],[Is Data Valid]]=TRUE,_xlfn.NORM.S.DIST(Table1[[#This Row],[Birthweight Z-Score (BW+10%)]],TRUE)*100,"")</f>
        <v/>
      </c>
    </row>
    <row r="5738" spans="1:12" x14ac:dyDescent="0.35">
      <c r="A5738" s="3"/>
      <c r="B5738" s="2"/>
      <c r="C5738" s="2"/>
      <c r="D5738" s="2" t="b">
        <f>IF(AND(NOT(ISBLANK(Table1[[#This Row],[Fetal Sex (Male, Female or Unknown)]])),ISNUMBER(Table1[[#This Row],[Birthweight (grams)]]),ISNUMBER(Table1[[#This Row],[Gestation (days)]])),TRUE,FALSE)</f>
        <v>0</v>
      </c>
      <c r="E5738" s="2" t="str">
        <f>IF(Table1[[#This Row],[Is Data Valid]]=TRUE,IF(Table1[[#This Row],[Fetal Sex (Male, Female or Unknown)]]="Male",Backend!$C$6,IF(Table1[[#This Row],[Fetal Sex (Male, Female or Unknown)]]="Female",Backend!$C$7,IF(Table1[[#This Row],[Fetal Sex (Male, Female or Unknown)]]="Unknown",Backend!$C$8,"Error"))),"")</f>
        <v/>
      </c>
      <c r="F5738" s="8" t="str">
        <f>IF(Table1[[#This Row],[Is Data Valid]]=TRUE,EXP(0.578+0.332*((Table1[[#This Row],[Gestation (days)]]+0.5)/7)-0.00354*((Table1[[#This Row],[Gestation (days)]]+0.5)/7)^2)*Table1[[#This Row],[BW40_3705]],"")</f>
        <v/>
      </c>
      <c r="G5738" s="2" t="str">
        <f>IF(Table1[[#This Row],[Is Data Valid]]=TRUE,((Table1[[#This Row],[Birthweight (grams)]]/Table1[[#This Row],[BW_GA]])-1)/(Backend!$B$4/100*Table1[[#This Row],[BW40_3705]]),"")</f>
        <v/>
      </c>
      <c r="H5738" s="7" t="str">
        <f>IF(Table1[[#This Row],[Is Data Valid]]=TRUE,((Table1[[#This Row],[Birthweight (grams)]]*0.9/Table1[[#This Row],[BW_GA]])-1)/(Backend!$B$4/100*Table1[[#This Row],[BW40_3705]]),"")</f>
        <v/>
      </c>
      <c r="I5738" s="7" t="str">
        <f>IF(Table1[[#This Row],[Is Data Valid]]=TRUE,((Table1[[#This Row],[Birthweight (grams)]]*1.1/Table1[[#This Row],[BW_GA]])-1)/(Backend!$B$4/100*Table1[[#This Row],[BW40_3705]]),"")</f>
        <v/>
      </c>
      <c r="J5738" s="7" t="str">
        <f>IF(Table1[[#This Row],[Is Data Valid]]=TRUE,_xlfn.NORM.S.DIST(Table1[[#This Row],[Birthweight Z-Score]],TRUE)*100,"")</f>
        <v/>
      </c>
      <c r="K5738" s="7" t="str">
        <f>IF(Table1[[#This Row],[Is Data Valid]]=TRUE,_xlfn.NORM.S.DIST(Table1[[#This Row],[Birthweight Z-Score (BW-10%)]],TRUE)*100,"")</f>
        <v/>
      </c>
      <c r="L5738" s="7" t="str">
        <f>IF(Table1[[#This Row],[Is Data Valid]]=TRUE,_xlfn.NORM.S.DIST(Table1[[#This Row],[Birthweight Z-Score (BW+10%)]],TRUE)*100,"")</f>
        <v/>
      </c>
    </row>
    <row r="5739" spans="1:12" x14ac:dyDescent="0.35">
      <c r="A5739" s="3"/>
      <c r="B5739" s="2"/>
      <c r="C5739" s="2"/>
      <c r="D5739" s="2" t="b">
        <f>IF(AND(NOT(ISBLANK(Table1[[#This Row],[Fetal Sex (Male, Female or Unknown)]])),ISNUMBER(Table1[[#This Row],[Birthweight (grams)]]),ISNUMBER(Table1[[#This Row],[Gestation (days)]])),TRUE,FALSE)</f>
        <v>0</v>
      </c>
      <c r="E5739" s="2" t="str">
        <f>IF(Table1[[#This Row],[Is Data Valid]]=TRUE,IF(Table1[[#This Row],[Fetal Sex (Male, Female or Unknown)]]="Male",Backend!$C$6,IF(Table1[[#This Row],[Fetal Sex (Male, Female or Unknown)]]="Female",Backend!$C$7,IF(Table1[[#This Row],[Fetal Sex (Male, Female or Unknown)]]="Unknown",Backend!$C$8,"Error"))),"")</f>
        <v/>
      </c>
      <c r="F5739" s="8" t="str">
        <f>IF(Table1[[#This Row],[Is Data Valid]]=TRUE,EXP(0.578+0.332*((Table1[[#This Row],[Gestation (days)]]+0.5)/7)-0.00354*((Table1[[#This Row],[Gestation (days)]]+0.5)/7)^2)*Table1[[#This Row],[BW40_3705]],"")</f>
        <v/>
      </c>
      <c r="G5739" s="2" t="str">
        <f>IF(Table1[[#This Row],[Is Data Valid]]=TRUE,((Table1[[#This Row],[Birthweight (grams)]]/Table1[[#This Row],[BW_GA]])-1)/(Backend!$B$4/100*Table1[[#This Row],[BW40_3705]]),"")</f>
        <v/>
      </c>
      <c r="H5739" s="7" t="str">
        <f>IF(Table1[[#This Row],[Is Data Valid]]=TRUE,((Table1[[#This Row],[Birthweight (grams)]]*0.9/Table1[[#This Row],[BW_GA]])-1)/(Backend!$B$4/100*Table1[[#This Row],[BW40_3705]]),"")</f>
        <v/>
      </c>
      <c r="I5739" s="7" t="str">
        <f>IF(Table1[[#This Row],[Is Data Valid]]=TRUE,((Table1[[#This Row],[Birthweight (grams)]]*1.1/Table1[[#This Row],[BW_GA]])-1)/(Backend!$B$4/100*Table1[[#This Row],[BW40_3705]]),"")</f>
        <v/>
      </c>
      <c r="J5739" s="7" t="str">
        <f>IF(Table1[[#This Row],[Is Data Valid]]=TRUE,_xlfn.NORM.S.DIST(Table1[[#This Row],[Birthweight Z-Score]],TRUE)*100,"")</f>
        <v/>
      </c>
      <c r="K5739" s="7" t="str">
        <f>IF(Table1[[#This Row],[Is Data Valid]]=TRUE,_xlfn.NORM.S.DIST(Table1[[#This Row],[Birthweight Z-Score (BW-10%)]],TRUE)*100,"")</f>
        <v/>
      </c>
      <c r="L5739" s="7" t="str">
        <f>IF(Table1[[#This Row],[Is Data Valid]]=TRUE,_xlfn.NORM.S.DIST(Table1[[#This Row],[Birthweight Z-Score (BW+10%)]],TRUE)*100,"")</f>
        <v/>
      </c>
    </row>
    <row r="5740" spans="1:12" x14ac:dyDescent="0.35">
      <c r="A5740" s="3"/>
      <c r="B5740" s="2"/>
      <c r="C5740" s="2"/>
      <c r="D5740" s="2" t="b">
        <f>IF(AND(NOT(ISBLANK(Table1[[#This Row],[Fetal Sex (Male, Female or Unknown)]])),ISNUMBER(Table1[[#This Row],[Birthweight (grams)]]),ISNUMBER(Table1[[#This Row],[Gestation (days)]])),TRUE,FALSE)</f>
        <v>0</v>
      </c>
      <c r="E5740" s="2" t="str">
        <f>IF(Table1[[#This Row],[Is Data Valid]]=TRUE,IF(Table1[[#This Row],[Fetal Sex (Male, Female or Unknown)]]="Male",Backend!$C$6,IF(Table1[[#This Row],[Fetal Sex (Male, Female or Unknown)]]="Female",Backend!$C$7,IF(Table1[[#This Row],[Fetal Sex (Male, Female or Unknown)]]="Unknown",Backend!$C$8,"Error"))),"")</f>
        <v/>
      </c>
      <c r="F5740" s="8" t="str">
        <f>IF(Table1[[#This Row],[Is Data Valid]]=TRUE,EXP(0.578+0.332*((Table1[[#This Row],[Gestation (days)]]+0.5)/7)-0.00354*((Table1[[#This Row],[Gestation (days)]]+0.5)/7)^2)*Table1[[#This Row],[BW40_3705]],"")</f>
        <v/>
      </c>
      <c r="G5740" s="2" t="str">
        <f>IF(Table1[[#This Row],[Is Data Valid]]=TRUE,((Table1[[#This Row],[Birthweight (grams)]]/Table1[[#This Row],[BW_GA]])-1)/(Backend!$B$4/100*Table1[[#This Row],[BW40_3705]]),"")</f>
        <v/>
      </c>
      <c r="H5740" s="7" t="str">
        <f>IF(Table1[[#This Row],[Is Data Valid]]=TRUE,((Table1[[#This Row],[Birthweight (grams)]]*0.9/Table1[[#This Row],[BW_GA]])-1)/(Backend!$B$4/100*Table1[[#This Row],[BW40_3705]]),"")</f>
        <v/>
      </c>
      <c r="I5740" s="7" t="str">
        <f>IF(Table1[[#This Row],[Is Data Valid]]=TRUE,((Table1[[#This Row],[Birthweight (grams)]]*1.1/Table1[[#This Row],[BW_GA]])-1)/(Backend!$B$4/100*Table1[[#This Row],[BW40_3705]]),"")</f>
        <v/>
      </c>
      <c r="J5740" s="7" t="str">
        <f>IF(Table1[[#This Row],[Is Data Valid]]=TRUE,_xlfn.NORM.S.DIST(Table1[[#This Row],[Birthweight Z-Score]],TRUE)*100,"")</f>
        <v/>
      </c>
      <c r="K5740" s="7" t="str">
        <f>IF(Table1[[#This Row],[Is Data Valid]]=TRUE,_xlfn.NORM.S.DIST(Table1[[#This Row],[Birthweight Z-Score (BW-10%)]],TRUE)*100,"")</f>
        <v/>
      </c>
      <c r="L5740" s="7" t="str">
        <f>IF(Table1[[#This Row],[Is Data Valid]]=TRUE,_xlfn.NORM.S.DIST(Table1[[#This Row],[Birthweight Z-Score (BW+10%)]],TRUE)*100,"")</f>
        <v/>
      </c>
    </row>
    <row r="5741" spans="1:12" x14ac:dyDescent="0.35">
      <c r="A5741" s="3"/>
      <c r="B5741" s="2"/>
      <c r="C5741" s="2"/>
      <c r="D5741" s="2" t="b">
        <f>IF(AND(NOT(ISBLANK(Table1[[#This Row],[Fetal Sex (Male, Female or Unknown)]])),ISNUMBER(Table1[[#This Row],[Birthweight (grams)]]),ISNUMBER(Table1[[#This Row],[Gestation (days)]])),TRUE,FALSE)</f>
        <v>0</v>
      </c>
      <c r="E5741" s="2" t="str">
        <f>IF(Table1[[#This Row],[Is Data Valid]]=TRUE,IF(Table1[[#This Row],[Fetal Sex (Male, Female or Unknown)]]="Male",Backend!$C$6,IF(Table1[[#This Row],[Fetal Sex (Male, Female or Unknown)]]="Female",Backend!$C$7,IF(Table1[[#This Row],[Fetal Sex (Male, Female or Unknown)]]="Unknown",Backend!$C$8,"Error"))),"")</f>
        <v/>
      </c>
      <c r="F5741" s="8" t="str">
        <f>IF(Table1[[#This Row],[Is Data Valid]]=TRUE,EXP(0.578+0.332*((Table1[[#This Row],[Gestation (days)]]+0.5)/7)-0.00354*((Table1[[#This Row],[Gestation (days)]]+0.5)/7)^2)*Table1[[#This Row],[BW40_3705]],"")</f>
        <v/>
      </c>
      <c r="G5741" s="2" t="str">
        <f>IF(Table1[[#This Row],[Is Data Valid]]=TRUE,((Table1[[#This Row],[Birthweight (grams)]]/Table1[[#This Row],[BW_GA]])-1)/(Backend!$B$4/100*Table1[[#This Row],[BW40_3705]]),"")</f>
        <v/>
      </c>
      <c r="H5741" s="7" t="str">
        <f>IF(Table1[[#This Row],[Is Data Valid]]=TRUE,((Table1[[#This Row],[Birthweight (grams)]]*0.9/Table1[[#This Row],[BW_GA]])-1)/(Backend!$B$4/100*Table1[[#This Row],[BW40_3705]]),"")</f>
        <v/>
      </c>
      <c r="I5741" s="7" t="str">
        <f>IF(Table1[[#This Row],[Is Data Valid]]=TRUE,((Table1[[#This Row],[Birthweight (grams)]]*1.1/Table1[[#This Row],[BW_GA]])-1)/(Backend!$B$4/100*Table1[[#This Row],[BW40_3705]]),"")</f>
        <v/>
      </c>
      <c r="J5741" s="7" t="str">
        <f>IF(Table1[[#This Row],[Is Data Valid]]=TRUE,_xlfn.NORM.S.DIST(Table1[[#This Row],[Birthweight Z-Score]],TRUE)*100,"")</f>
        <v/>
      </c>
      <c r="K5741" s="7" t="str">
        <f>IF(Table1[[#This Row],[Is Data Valid]]=TRUE,_xlfn.NORM.S.DIST(Table1[[#This Row],[Birthweight Z-Score (BW-10%)]],TRUE)*100,"")</f>
        <v/>
      </c>
      <c r="L5741" s="7" t="str">
        <f>IF(Table1[[#This Row],[Is Data Valid]]=TRUE,_xlfn.NORM.S.DIST(Table1[[#This Row],[Birthweight Z-Score (BW+10%)]],TRUE)*100,"")</f>
        <v/>
      </c>
    </row>
    <row r="5742" spans="1:12" x14ac:dyDescent="0.35">
      <c r="A5742" s="3"/>
      <c r="B5742" s="2"/>
      <c r="C5742" s="2"/>
      <c r="D5742" s="2" t="b">
        <f>IF(AND(NOT(ISBLANK(Table1[[#This Row],[Fetal Sex (Male, Female or Unknown)]])),ISNUMBER(Table1[[#This Row],[Birthweight (grams)]]),ISNUMBER(Table1[[#This Row],[Gestation (days)]])),TRUE,FALSE)</f>
        <v>0</v>
      </c>
      <c r="E5742" s="2" t="str">
        <f>IF(Table1[[#This Row],[Is Data Valid]]=TRUE,IF(Table1[[#This Row],[Fetal Sex (Male, Female or Unknown)]]="Male",Backend!$C$6,IF(Table1[[#This Row],[Fetal Sex (Male, Female or Unknown)]]="Female",Backend!$C$7,IF(Table1[[#This Row],[Fetal Sex (Male, Female or Unknown)]]="Unknown",Backend!$C$8,"Error"))),"")</f>
        <v/>
      </c>
      <c r="F5742" s="8" t="str">
        <f>IF(Table1[[#This Row],[Is Data Valid]]=TRUE,EXP(0.578+0.332*((Table1[[#This Row],[Gestation (days)]]+0.5)/7)-0.00354*((Table1[[#This Row],[Gestation (days)]]+0.5)/7)^2)*Table1[[#This Row],[BW40_3705]],"")</f>
        <v/>
      </c>
      <c r="G5742" s="2" t="str">
        <f>IF(Table1[[#This Row],[Is Data Valid]]=TRUE,((Table1[[#This Row],[Birthweight (grams)]]/Table1[[#This Row],[BW_GA]])-1)/(Backend!$B$4/100*Table1[[#This Row],[BW40_3705]]),"")</f>
        <v/>
      </c>
      <c r="H5742" s="7" t="str">
        <f>IF(Table1[[#This Row],[Is Data Valid]]=TRUE,((Table1[[#This Row],[Birthweight (grams)]]*0.9/Table1[[#This Row],[BW_GA]])-1)/(Backend!$B$4/100*Table1[[#This Row],[BW40_3705]]),"")</f>
        <v/>
      </c>
      <c r="I5742" s="7" t="str">
        <f>IF(Table1[[#This Row],[Is Data Valid]]=TRUE,((Table1[[#This Row],[Birthweight (grams)]]*1.1/Table1[[#This Row],[BW_GA]])-1)/(Backend!$B$4/100*Table1[[#This Row],[BW40_3705]]),"")</f>
        <v/>
      </c>
      <c r="J5742" s="7" t="str">
        <f>IF(Table1[[#This Row],[Is Data Valid]]=TRUE,_xlfn.NORM.S.DIST(Table1[[#This Row],[Birthweight Z-Score]],TRUE)*100,"")</f>
        <v/>
      </c>
      <c r="K5742" s="7" t="str">
        <f>IF(Table1[[#This Row],[Is Data Valid]]=TRUE,_xlfn.NORM.S.DIST(Table1[[#This Row],[Birthweight Z-Score (BW-10%)]],TRUE)*100,"")</f>
        <v/>
      </c>
      <c r="L5742" s="7" t="str">
        <f>IF(Table1[[#This Row],[Is Data Valid]]=TRUE,_xlfn.NORM.S.DIST(Table1[[#This Row],[Birthweight Z-Score (BW+10%)]],TRUE)*100,"")</f>
        <v/>
      </c>
    </row>
    <row r="5743" spans="1:12" x14ac:dyDescent="0.35">
      <c r="A5743" s="3"/>
      <c r="B5743" s="2"/>
      <c r="C5743" s="2"/>
      <c r="D5743" s="2" t="b">
        <f>IF(AND(NOT(ISBLANK(Table1[[#This Row],[Fetal Sex (Male, Female or Unknown)]])),ISNUMBER(Table1[[#This Row],[Birthweight (grams)]]),ISNUMBER(Table1[[#This Row],[Gestation (days)]])),TRUE,FALSE)</f>
        <v>0</v>
      </c>
      <c r="E5743" s="2" t="str">
        <f>IF(Table1[[#This Row],[Is Data Valid]]=TRUE,IF(Table1[[#This Row],[Fetal Sex (Male, Female or Unknown)]]="Male",Backend!$C$6,IF(Table1[[#This Row],[Fetal Sex (Male, Female or Unknown)]]="Female",Backend!$C$7,IF(Table1[[#This Row],[Fetal Sex (Male, Female or Unknown)]]="Unknown",Backend!$C$8,"Error"))),"")</f>
        <v/>
      </c>
      <c r="F5743" s="8" t="str">
        <f>IF(Table1[[#This Row],[Is Data Valid]]=TRUE,EXP(0.578+0.332*((Table1[[#This Row],[Gestation (days)]]+0.5)/7)-0.00354*((Table1[[#This Row],[Gestation (days)]]+0.5)/7)^2)*Table1[[#This Row],[BW40_3705]],"")</f>
        <v/>
      </c>
      <c r="G5743" s="2" t="str">
        <f>IF(Table1[[#This Row],[Is Data Valid]]=TRUE,((Table1[[#This Row],[Birthweight (grams)]]/Table1[[#This Row],[BW_GA]])-1)/(Backend!$B$4/100*Table1[[#This Row],[BW40_3705]]),"")</f>
        <v/>
      </c>
      <c r="H5743" s="7" t="str">
        <f>IF(Table1[[#This Row],[Is Data Valid]]=TRUE,((Table1[[#This Row],[Birthweight (grams)]]*0.9/Table1[[#This Row],[BW_GA]])-1)/(Backend!$B$4/100*Table1[[#This Row],[BW40_3705]]),"")</f>
        <v/>
      </c>
      <c r="I5743" s="7" t="str">
        <f>IF(Table1[[#This Row],[Is Data Valid]]=TRUE,((Table1[[#This Row],[Birthweight (grams)]]*1.1/Table1[[#This Row],[BW_GA]])-1)/(Backend!$B$4/100*Table1[[#This Row],[BW40_3705]]),"")</f>
        <v/>
      </c>
      <c r="J5743" s="7" t="str">
        <f>IF(Table1[[#This Row],[Is Data Valid]]=TRUE,_xlfn.NORM.S.DIST(Table1[[#This Row],[Birthweight Z-Score]],TRUE)*100,"")</f>
        <v/>
      </c>
      <c r="K5743" s="7" t="str">
        <f>IF(Table1[[#This Row],[Is Data Valid]]=TRUE,_xlfn.NORM.S.DIST(Table1[[#This Row],[Birthweight Z-Score (BW-10%)]],TRUE)*100,"")</f>
        <v/>
      </c>
      <c r="L5743" s="7" t="str">
        <f>IF(Table1[[#This Row],[Is Data Valid]]=TRUE,_xlfn.NORM.S.DIST(Table1[[#This Row],[Birthweight Z-Score (BW+10%)]],TRUE)*100,"")</f>
        <v/>
      </c>
    </row>
    <row r="5744" spans="1:12" x14ac:dyDescent="0.35">
      <c r="A5744" s="3"/>
      <c r="B5744" s="2"/>
      <c r="C5744" s="2"/>
      <c r="D5744" s="2" t="b">
        <f>IF(AND(NOT(ISBLANK(Table1[[#This Row],[Fetal Sex (Male, Female or Unknown)]])),ISNUMBER(Table1[[#This Row],[Birthweight (grams)]]),ISNUMBER(Table1[[#This Row],[Gestation (days)]])),TRUE,FALSE)</f>
        <v>0</v>
      </c>
      <c r="E5744" s="2" t="str">
        <f>IF(Table1[[#This Row],[Is Data Valid]]=TRUE,IF(Table1[[#This Row],[Fetal Sex (Male, Female or Unknown)]]="Male",Backend!$C$6,IF(Table1[[#This Row],[Fetal Sex (Male, Female or Unknown)]]="Female",Backend!$C$7,IF(Table1[[#This Row],[Fetal Sex (Male, Female or Unknown)]]="Unknown",Backend!$C$8,"Error"))),"")</f>
        <v/>
      </c>
      <c r="F5744" s="8" t="str">
        <f>IF(Table1[[#This Row],[Is Data Valid]]=TRUE,EXP(0.578+0.332*((Table1[[#This Row],[Gestation (days)]]+0.5)/7)-0.00354*((Table1[[#This Row],[Gestation (days)]]+0.5)/7)^2)*Table1[[#This Row],[BW40_3705]],"")</f>
        <v/>
      </c>
      <c r="G5744" s="2" t="str">
        <f>IF(Table1[[#This Row],[Is Data Valid]]=TRUE,((Table1[[#This Row],[Birthweight (grams)]]/Table1[[#This Row],[BW_GA]])-1)/(Backend!$B$4/100*Table1[[#This Row],[BW40_3705]]),"")</f>
        <v/>
      </c>
      <c r="H5744" s="7" t="str">
        <f>IF(Table1[[#This Row],[Is Data Valid]]=TRUE,((Table1[[#This Row],[Birthweight (grams)]]*0.9/Table1[[#This Row],[BW_GA]])-1)/(Backend!$B$4/100*Table1[[#This Row],[BW40_3705]]),"")</f>
        <v/>
      </c>
      <c r="I5744" s="7" t="str">
        <f>IF(Table1[[#This Row],[Is Data Valid]]=TRUE,((Table1[[#This Row],[Birthweight (grams)]]*1.1/Table1[[#This Row],[BW_GA]])-1)/(Backend!$B$4/100*Table1[[#This Row],[BW40_3705]]),"")</f>
        <v/>
      </c>
      <c r="J5744" s="7" t="str">
        <f>IF(Table1[[#This Row],[Is Data Valid]]=TRUE,_xlfn.NORM.S.DIST(Table1[[#This Row],[Birthweight Z-Score]],TRUE)*100,"")</f>
        <v/>
      </c>
      <c r="K5744" s="7" t="str">
        <f>IF(Table1[[#This Row],[Is Data Valid]]=TRUE,_xlfn.NORM.S.DIST(Table1[[#This Row],[Birthweight Z-Score (BW-10%)]],TRUE)*100,"")</f>
        <v/>
      </c>
      <c r="L5744" s="7" t="str">
        <f>IF(Table1[[#This Row],[Is Data Valid]]=TRUE,_xlfn.NORM.S.DIST(Table1[[#This Row],[Birthweight Z-Score (BW+10%)]],TRUE)*100,"")</f>
        <v/>
      </c>
    </row>
    <row r="5745" spans="1:12" x14ac:dyDescent="0.35">
      <c r="A5745" s="3"/>
      <c r="B5745" s="2"/>
      <c r="C5745" s="2"/>
      <c r="D5745" s="2" t="b">
        <f>IF(AND(NOT(ISBLANK(Table1[[#This Row],[Fetal Sex (Male, Female or Unknown)]])),ISNUMBER(Table1[[#This Row],[Birthweight (grams)]]),ISNUMBER(Table1[[#This Row],[Gestation (days)]])),TRUE,FALSE)</f>
        <v>0</v>
      </c>
      <c r="E5745" s="2" t="str">
        <f>IF(Table1[[#This Row],[Is Data Valid]]=TRUE,IF(Table1[[#This Row],[Fetal Sex (Male, Female or Unknown)]]="Male",Backend!$C$6,IF(Table1[[#This Row],[Fetal Sex (Male, Female or Unknown)]]="Female",Backend!$C$7,IF(Table1[[#This Row],[Fetal Sex (Male, Female or Unknown)]]="Unknown",Backend!$C$8,"Error"))),"")</f>
        <v/>
      </c>
      <c r="F5745" s="8" t="str">
        <f>IF(Table1[[#This Row],[Is Data Valid]]=TRUE,EXP(0.578+0.332*((Table1[[#This Row],[Gestation (days)]]+0.5)/7)-0.00354*((Table1[[#This Row],[Gestation (days)]]+0.5)/7)^2)*Table1[[#This Row],[BW40_3705]],"")</f>
        <v/>
      </c>
      <c r="G5745" s="2" t="str">
        <f>IF(Table1[[#This Row],[Is Data Valid]]=TRUE,((Table1[[#This Row],[Birthweight (grams)]]/Table1[[#This Row],[BW_GA]])-1)/(Backend!$B$4/100*Table1[[#This Row],[BW40_3705]]),"")</f>
        <v/>
      </c>
      <c r="H5745" s="7" t="str">
        <f>IF(Table1[[#This Row],[Is Data Valid]]=TRUE,((Table1[[#This Row],[Birthweight (grams)]]*0.9/Table1[[#This Row],[BW_GA]])-1)/(Backend!$B$4/100*Table1[[#This Row],[BW40_3705]]),"")</f>
        <v/>
      </c>
      <c r="I5745" s="7" t="str">
        <f>IF(Table1[[#This Row],[Is Data Valid]]=TRUE,((Table1[[#This Row],[Birthweight (grams)]]*1.1/Table1[[#This Row],[BW_GA]])-1)/(Backend!$B$4/100*Table1[[#This Row],[BW40_3705]]),"")</f>
        <v/>
      </c>
      <c r="J5745" s="7" t="str">
        <f>IF(Table1[[#This Row],[Is Data Valid]]=TRUE,_xlfn.NORM.S.DIST(Table1[[#This Row],[Birthweight Z-Score]],TRUE)*100,"")</f>
        <v/>
      </c>
      <c r="K5745" s="7" t="str">
        <f>IF(Table1[[#This Row],[Is Data Valid]]=TRUE,_xlfn.NORM.S.DIST(Table1[[#This Row],[Birthweight Z-Score (BW-10%)]],TRUE)*100,"")</f>
        <v/>
      </c>
      <c r="L5745" s="7" t="str">
        <f>IF(Table1[[#This Row],[Is Data Valid]]=TRUE,_xlfn.NORM.S.DIST(Table1[[#This Row],[Birthweight Z-Score (BW+10%)]],TRUE)*100,"")</f>
        <v/>
      </c>
    </row>
    <row r="5746" spans="1:12" x14ac:dyDescent="0.35">
      <c r="A5746" s="3"/>
      <c r="B5746" s="2"/>
      <c r="C5746" s="2"/>
      <c r="D5746" s="2" t="b">
        <f>IF(AND(NOT(ISBLANK(Table1[[#This Row],[Fetal Sex (Male, Female or Unknown)]])),ISNUMBER(Table1[[#This Row],[Birthweight (grams)]]),ISNUMBER(Table1[[#This Row],[Gestation (days)]])),TRUE,FALSE)</f>
        <v>0</v>
      </c>
      <c r="E5746" s="2" t="str">
        <f>IF(Table1[[#This Row],[Is Data Valid]]=TRUE,IF(Table1[[#This Row],[Fetal Sex (Male, Female or Unknown)]]="Male",Backend!$C$6,IF(Table1[[#This Row],[Fetal Sex (Male, Female or Unknown)]]="Female",Backend!$C$7,IF(Table1[[#This Row],[Fetal Sex (Male, Female or Unknown)]]="Unknown",Backend!$C$8,"Error"))),"")</f>
        <v/>
      </c>
      <c r="F5746" s="8" t="str">
        <f>IF(Table1[[#This Row],[Is Data Valid]]=TRUE,EXP(0.578+0.332*((Table1[[#This Row],[Gestation (days)]]+0.5)/7)-0.00354*((Table1[[#This Row],[Gestation (days)]]+0.5)/7)^2)*Table1[[#This Row],[BW40_3705]],"")</f>
        <v/>
      </c>
      <c r="G5746" s="2" t="str">
        <f>IF(Table1[[#This Row],[Is Data Valid]]=TRUE,((Table1[[#This Row],[Birthweight (grams)]]/Table1[[#This Row],[BW_GA]])-1)/(Backend!$B$4/100*Table1[[#This Row],[BW40_3705]]),"")</f>
        <v/>
      </c>
      <c r="H5746" s="7" t="str">
        <f>IF(Table1[[#This Row],[Is Data Valid]]=TRUE,((Table1[[#This Row],[Birthweight (grams)]]*0.9/Table1[[#This Row],[BW_GA]])-1)/(Backend!$B$4/100*Table1[[#This Row],[BW40_3705]]),"")</f>
        <v/>
      </c>
      <c r="I5746" s="7" t="str">
        <f>IF(Table1[[#This Row],[Is Data Valid]]=TRUE,((Table1[[#This Row],[Birthweight (grams)]]*1.1/Table1[[#This Row],[BW_GA]])-1)/(Backend!$B$4/100*Table1[[#This Row],[BW40_3705]]),"")</f>
        <v/>
      </c>
      <c r="J5746" s="7" t="str">
        <f>IF(Table1[[#This Row],[Is Data Valid]]=TRUE,_xlfn.NORM.S.DIST(Table1[[#This Row],[Birthweight Z-Score]],TRUE)*100,"")</f>
        <v/>
      </c>
      <c r="K5746" s="7" t="str">
        <f>IF(Table1[[#This Row],[Is Data Valid]]=TRUE,_xlfn.NORM.S.DIST(Table1[[#This Row],[Birthweight Z-Score (BW-10%)]],TRUE)*100,"")</f>
        <v/>
      </c>
      <c r="L5746" s="7" t="str">
        <f>IF(Table1[[#This Row],[Is Data Valid]]=TRUE,_xlfn.NORM.S.DIST(Table1[[#This Row],[Birthweight Z-Score (BW+10%)]],TRUE)*100,"")</f>
        <v/>
      </c>
    </row>
    <row r="5747" spans="1:12" x14ac:dyDescent="0.35">
      <c r="A5747" s="3"/>
      <c r="B5747" s="2"/>
      <c r="C5747" s="2"/>
      <c r="D5747" s="2" t="b">
        <f>IF(AND(NOT(ISBLANK(Table1[[#This Row],[Fetal Sex (Male, Female or Unknown)]])),ISNUMBER(Table1[[#This Row],[Birthweight (grams)]]),ISNUMBER(Table1[[#This Row],[Gestation (days)]])),TRUE,FALSE)</f>
        <v>0</v>
      </c>
      <c r="E5747" s="2" t="str">
        <f>IF(Table1[[#This Row],[Is Data Valid]]=TRUE,IF(Table1[[#This Row],[Fetal Sex (Male, Female or Unknown)]]="Male",Backend!$C$6,IF(Table1[[#This Row],[Fetal Sex (Male, Female or Unknown)]]="Female",Backend!$C$7,IF(Table1[[#This Row],[Fetal Sex (Male, Female or Unknown)]]="Unknown",Backend!$C$8,"Error"))),"")</f>
        <v/>
      </c>
      <c r="F5747" s="8" t="str">
        <f>IF(Table1[[#This Row],[Is Data Valid]]=TRUE,EXP(0.578+0.332*((Table1[[#This Row],[Gestation (days)]]+0.5)/7)-0.00354*((Table1[[#This Row],[Gestation (days)]]+0.5)/7)^2)*Table1[[#This Row],[BW40_3705]],"")</f>
        <v/>
      </c>
      <c r="G5747" s="2" t="str">
        <f>IF(Table1[[#This Row],[Is Data Valid]]=TRUE,((Table1[[#This Row],[Birthweight (grams)]]/Table1[[#This Row],[BW_GA]])-1)/(Backend!$B$4/100*Table1[[#This Row],[BW40_3705]]),"")</f>
        <v/>
      </c>
      <c r="H5747" s="7" t="str">
        <f>IF(Table1[[#This Row],[Is Data Valid]]=TRUE,((Table1[[#This Row],[Birthweight (grams)]]*0.9/Table1[[#This Row],[BW_GA]])-1)/(Backend!$B$4/100*Table1[[#This Row],[BW40_3705]]),"")</f>
        <v/>
      </c>
      <c r="I5747" s="7" t="str">
        <f>IF(Table1[[#This Row],[Is Data Valid]]=TRUE,((Table1[[#This Row],[Birthweight (grams)]]*1.1/Table1[[#This Row],[BW_GA]])-1)/(Backend!$B$4/100*Table1[[#This Row],[BW40_3705]]),"")</f>
        <v/>
      </c>
      <c r="J5747" s="7" t="str">
        <f>IF(Table1[[#This Row],[Is Data Valid]]=TRUE,_xlfn.NORM.S.DIST(Table1[[#This Row],[Birthweight Z-Score]],TRUE)*100,"")</f>
        <v/>
      </c>
      <c r="K5747" s="7" t="str">
        <f>IF(Table1[[#This Row],[Is Data Valid]]=TRUE,_xlfn.NORM.S.DIST(Table1[[#This Row],[Birthweight Z-Score (BW-10%)]],TRUE)*100,"")</f>
        <v/>
      </c>
      <c r="L5747" s="7" t="str">
        <f>IF(Table1[[#This Row],[Is Data Valid]]=TRUE,_xlfn.NORM.S.DIST(Table1[[#This Row],[Birthweight Z-Score (BW+10%)]],TRUE)*100,"")</f>
        <v/>
      </c>
    </row>
    <row r="5748" spans="1:12" x14ac:dyDescent="0.35">
      <c r="A5748" s="3"/>
      <c r="B5748" s="2"/>
      <c r="C5748" s="2"/>
      <c r="D5748" s="2" t="b">
        <f>IF(AND(NOT(ISBLANK(Table1[[#This Row],[Fetal Sex (Male, Female or Unknown)]])),ISNUMBER(Table1[[#This Row],[Birthweight (grams)]]),ISNUMBER(Table1[[#This Row],[Gestation (days)]])),TRUE,FALSE)</f>
        <v>0</v>
      </c>
      <c r="E5748" s="2" t="str">
        <f>IF(Table1[[#This Row],[Is Data Valid]]=TRUE,IF(Table1[[#This Row],[Fetal Sex (Male, Female or Unknown)]]="Male",Backend!$C$6,IF(Table1[[#This Row],[Fetal Sex (Male, Female or Unknown)]]="Female",Backend!$C$7,IF(Table1[[#This Row],[Fetal Sex (Male, Female or Unknown)]]="Unknown",Backend!$C$8,"Error"))),"")</f>
        <v/>
      </c>
      <c r="F5748" s="8" t="str">
        <f>IF(Table1[[#This Row],[Is Data Valid]]=TRUE,EXP(0.578+0.332*((Table1[[#This Row],[Gestation (days)]]+0.5)/7)-0.00354*((Table1[[#This Row],[Gestation (days)]]+0.5)/7)^2)*Table1[[#This Row],[BW40_3705]],"")</f>
        <v/>
      </c>
      <c r="G5748" s="2" t="str">
        <f>IF(Table1[[#This Row],[Is Data Valid]]=TRUE,((Table1[[#This Row],[Birthweight (grams)]]/Table1[[#This Row],[BW_GA]])-1)/(Backend!$B$4/100*Table1[[#This Row],[BW40_3705]]),"")</f>
        <v/>
      </c>
      <c r="H5748" s="7" t="str">
        <f>IF(Table1[[#This Row],[Is Data Valid]]=TRUE,((Table1[[#This Row],[Birthweight (grams)]]*0.9/Table1[[#This Row],[BW_GA]])-1)/(Backend!$B$4/100*Table1[[#This Row],[BW40_3705]]),"")</f>
        <v/>
      </c>
      <c r="I5748" s="7" t="str">
        <f>IF(Table1[[#This Row],[Is Data Valid]]=TRUE,((Table1[[#This Row],[Birthweight (grams)]]*1.1/Table1[[#This Row],[BW_GA]])-1)/(Backend!$B$4/100*Table1[[#This Row],[BW40_3705]]),"")</f>
        <v/>
      </c>
      <c r="J5748" s="7" t="str">
        <f>IF(Table1[[#This Row],[Is Data Valid]]=TRUE,_xlfn.NORM.S.DIST(Table1[[#This Row],[Birthweight Z-Score]],TRUE)*100,"")</f>
        <v/>
      </c>
      <c r="K5748" s="7" t="str">
        <f>IF(Table1[[#This Row],[Is Data Valid]]=TRUE,_xlfn.NORM.S.DIST(Table1[[#This Row],[Birthweight Z-Score (BW-10%)]],TRUE)*100,"")</f>
        <v/>
      </c>
      <c r="L5748" s="7" t="str">
        <f>IF(Table1[[#This Row],[Is Data Valid]]=TRUE,_xlfn.NORM.S.DIST(Table1[[#This Row],[Birthweight Z-Score (BW+10%)]],TRUE)*100,"")</f>
        <v/>
      </c>
    </row>
    <row r="5749" spans="1:12" x14ac:dyDescent="0.35">
      <c r="A5749" s="3"/>
      <c r="B5749" s="2"/>
      <c r="C5749" s="2"/>
      <c r="D5749" s="2" t="b">
        <f>IF(AND(NOT(ISBLANK(Table1[[#This Row],[Fetal Sex (Male, Female or Unknown)]])),ISNUMBER(Table1[[#This Row],[Birthweight (grams)]]),ISNUMBER(Table1[[#This Row],[Gestation (days)]])),TRUE,FALSE)</f>
        <v>0</v>
      </c>
      <c r="E5749" s="2" t="str">
        <f>IF(Table1[[#This Row],[Is Data Valid]]=TRUE,IF(Table1[[#This Row],[Fetal Sex (Male, Female or Unknown)]]="Male",Backend!$C$6,IF(Table1[[#This Row],[Fetal Sex (Male, Female or Unknown)]]="Female",Backend!$C$7,IF(Table1[[#This Row],[Fetal Sex (Male, Female or Unknown)]]="Unknown",Backend!$C$8,"Error"))),"")</f>
        <v/>
      </c>
      <c r="F5749" s="8" t="str">
        <f>IF(Table1[[#This Row],[Is Data Valid]]=TRUE,EXP(0.578+0.332*((Table1[[#This Row],[Gestation (days)]]+0.5)/7)-0.00354*((Table1[[#This Row],[Gestation (days)]]+0.5)/7)^2)*Table1[[#This Row],[BW40_3705]],"")</f>
        <v/>
      </c>
      <c r="G5749" s="2" t="str">
        <f>IF(Table1[[#This Row],[Is Data Valid]]=TRUE,((Table1[[#This Row],[Birthweight (grams)]]/Table1[[#This Row],[BW_GA]])-1)/(Backend!$B$4/100*Table1[[#This Row],[BW40_3705]]),"")</f>
        <v/>
      </c>
      <c r="H5749" s="7" t="str">
        <f>IF(Table1[[#This Row],[Is Data Valid]]=TRUE,((Table1[[#This Row],[Birthweight (grams)]]*0.9/Table1[[#This Row],[BW_GA]])-1)/(Backend!$B$4/100*Table1[[#This Row],[BW40_3705]]),"")</f>
        <v/>
      </c>
      <c r="I5749" s="7" t="str">
        <f>IF(Table1[[#This Row],[Is Data Valid]]=TRUE,((Table1[[#This Row],[Birthweight (grams)]]*1.1/Table1[[#This Row],[BW_GA]])-1)/(Backend!$B$4/100*Table1[[#This Row],[BW40_3705]]),"")</f>
        <v/>
      </c>
      <c r="J5749" s="7" t="str">
        <f>IF(Table1[[#This Row],[Is Data Valid]]=TRUE,_xlfn.NORM.S.DIST(Table1[[#This Row],[Birthweight Z-Score]],TRUE)*100,"")</f>
        <v/>
      </c>
      <c r="K5749" s="7" t="str">
        <f>IF(Table1[[#This Row],[Is Data Valid]]=TRUE,_xlfn.NORM.S.DIST(Table1[[#This Row],[Birthweight Z-Score (BW-10%)]],TRUE)*100,"")</f>
        <v/>
      </c>
      <c r="L5749" s="7" t="str">
        <f>IF(Table1[[#This Row],[Is Data Valid]]=TRUE,_xlfn.NORM.S.DIST(Table1[[#This Row],[Birthweight Z-Score (BW+10%)]],TRUE)*100,"")</f>
        <v/>
      </c>
    </row>
    <row r="5750" spans="1:12" x14ac:dyDescent="0.35">
      <c r="A5750" s="3"/>
      <c r="B5750" s="2"/>
      <c r="C5750" s="2"/>
      <c r="D5750" s="2" t="b">
        <f>IF(AND(NOT(ISBLANK(Table1[[#This Row],[Fetal Sex (Male, Female or Unknown)]])),ISNUMBER(Table1[[#This Row],[Birthweight (grams)]]),ISNUMBER(Table1[[#This Row],[Gestation (days)]])),TRUE,FALSE)</f>
        <v>0</v>
      </c>
      <c r="E5750" s="2" t="str">
        <f>IF(Table1[[#This Row],[Is Data Valid]]=TRUE,IF(Table1[[#This Row],[Fetal Sex (Male, Female or Unknown)]]="Male",Backend!$C$6,IF(Table1[[#This Row],[Fetal Sex (Male, Female or Unknown)]]="Female",Backend!$C$7,IF(Table1[[#This Row],[Fetal Sex (Male, Female or Unknown)]]="Unknown",Backend!$C$8,"Error"))),"")</f>
        <v/>
      </c>
      <c r="F5750" s="8" t="str">
        <f>IF(Table1[[#This Row],[Is Data Valid]]=TRUE,EXP(0.578+0.332*((Table1[[#This Row],[Gestation (days)]]+0.5)/7)-0.00354*((Table1[[#This Row],[Gestation (days)]]+0.5)/7)^2)*Table1[[#This Row],[BW40_3705]],"")</f>
        <v/>
      </c>
      <c r="G5750" s="2" t="str">
        <f>IF(Table1[[#This Row],[Is Data Valid]]=TRUE,((Table1[[#This Row],[Birthweight (grams)]]/Table1[[#This Row],[BW_GA]])-1)/(Backend!$B$4/100*Table1[[#This Row],[BW40_3705]]),"")</f>
        <v/>
      </c>
      <c r="H5750" s="7" t="str">
        <f>IF(Table1[[#This Row],[Is Data Valid]]=TRUE,((Table1[[#This Row],[Birthweight (grams)]]*0.9/Table1[[#This Row],[BW_GA]])-1)/(Backend!$B$4/100*Table1[[#This Row],[BW40_3705]]),"")</f>
        <v/>
      </c>
      <c r="I5750" s="7" t="str">
        <f>IF(Table1[[#This Row],[Is Data Valid]]=TRUE,((Table1[[#This Row],[Birthweight (grams)]]*1.1/Table1[[#This Row],[BW_GA]])-1)/(Backend!$B$4/100*Table1[[#This Row],[BW40_3705]]),"")</f>
        <v/>
      </c>
      <c r="J5750" s="7" t="str">
        <f>IF(Table1[[#This Row],[Is Data Valid]]=TRUE,_xlfn.NORM.S.DIST(Table1[[#This Row],[Birthweight Z-Score]],TRUE)*100,"")</f>
        <v/>
      </c>
      <c r="K5750" s="7" t="str">
        <f>IF(Table1[[#This Row],[Is Data Valid]]=TRUE,_xlfn.NORM.S.DIST(Table1[[#This Row],[Birthweight Z-Score (BW-10%)]],TRUE)*100,"")</f>
        <v/>
      </c>
      <c r="L5750" s="7" t="str">
        <f>IF(Table1[[#This Row],[Is Data Valid]]=TRUE,_xlfn.NORM.S.DIST(Table1[[#This Row],[Birthweight Z-Score (BW+10%)]],TRUE)*100,"")</f>
        <v/>
      </c>
    </row>
    <row r="5751" spans="1:12" x14ac:dyDescent="0.35">
      <c r="A5751" s="3"/>
      <c r="B5751" s="2"/>
      <c r="C5751" s="2"/>
      <c r="D5751" s="2" t="b">
        <f>IF(AND(NOT(ISBLANK(Table1[[#This Row],[Fetal Sex (Male, Female or Unknown)]])),ISNUMBER(Table1[[#This Row],[Birthweight (grams)]]),ISNUMBER(Table1[[#This Row],[Gestation (days)]])),TRUE,FALSE)</f>
        <v>0</v>
      </c>
      <c r="E5751" s="2" t="str">
        <f>IF(Table1[[#This Row],[Is Data Valid]]=TRUE,IF(Table1[[#This Row],[Fetal Sex (Male, Female or Unknown)]]="Male",Backend!$C$6,IF(Table1[[#This Row],[Fetal Sex (Male, Female or Unknown)]]="Female",Backend!$C$7,IF(Table1[[#This Row],[Fetal Sex (Male, Female or Unknown)]]="Unknown",Backend!$C$8,"Error"))),"")</f>
        <v/>
      </c>
      <c r="F5751" s="8" t="str">
        <f>IF(Table1[[#This Row],[Is Data Valid]]=TRUE,EXP(0.578+0.332*((Table1[[#This Row],[Gestation (days)]]+0.5)/7)-0.00354*((Table1[[#This Row],[Gestation (days)]]+0.5)/7)^2)*Table1[[#This Row],[BW40_3705]],"")</f>
        <v/>
      </c>
      <c r="G5751" s="2" t="str">
        <f>IF(Table1[[#This Row],[Is Data Valid]]=TRUE,((Table1[[#This Row],[Birthweight (grams)]]/Table1[[#This Row],[BW_GA]])-1)/(Backend!$B$4/100*Table1[[#This Row],[BW40_3705]]),"")</f>
        <v/>
      </c>
      <c r="H5751" s="7" t="str">
        <f>IF(Table1[[#This Row],[Is Data Valid]]=TRUE,((Table1[[#This Row],[Birthweight (grams)]]*0.9/Table1[[#This Row],[BW_GA]])-1)/(Backend!$B$4/100*Table1[[#This Row],[BW40_3705]]),"")</f>
        <v/>
      </c>
      <c r="I5751" s="7" t="str">
        <f>IF(Table1[[#This Row],[Is Data Valid]]=TRUE,((Table1[[#This Row],[Birthweight (grams)]]*1.1/Table1[[#This Row],[BW_GA]])-1)/(Backend!$B$4/100*Table1[[#This Row],[BW40_3705]]),"")</f>
        <v/>
      </c>
      <c r="J5751" s="7" t="str">
        <f>IF(Table1[[#This Row],[Is Data Valid]]=TRUE,_xlfn.NORM.S.DIST(Table1[[#This Row],[Birthweight Z-Score]],TRUE)*100,"")</f>
        <v/>
      </c>
      <c r="K5751" s="7" t="str">
        <f>IF(Table1[[#This Row],[Is Data Valid]]=TRUE,_xlfn.NORM.S.DIST(Table1[[#This Row],[Birthweight Z-Score (BW-10%)]],TRUE)*100,"")</f>
        <v/>
      </c>
      <c r="L5751" s="7" t="str">
        <f>IF(Table1[[#This Row],[Is Data Valid]]=TRUE,_xlfn.NORM.S.DIST(Table1[[#This Row],[Birthweight Z-Score (BW+10%)]],TRUE)*100,"")</f>
        <v/>
      </c>
    </row>
    <row r="5752" spans="1:12" x14ac:dyDescent="0.35">
      <c r="A5752" s="3"/>
      <c r="B5752" s="2"/>
      <c r="C5752" s="2"/>
      <c r="D5752" s="2" t="b">
        <f>IF(AND(NOT(ISBLANK(Table1[[#This Row],[Fetal Sex (Male, Female or Unknown)]])),ISNUMBER(Table1[[#This Row],[Birthweight (grams)]]),ISNUMBER(Table1[[#This Row],[Gestation (days)]])),TRUE,FALSE)</f>
        <v>0</v>
      </c>
      <c r="E5752" s="2" t="str">
        <f>IF(Table1[[#This Row],[Is Data Valid]]=TRUE,IF(Table1[[#This Row],[Fetal Sex (Male, Female or Unknown)]]="Male",Backend!$C$6,IF(Table1[[#This Row],[Fetal Sex (Male, Female or Unknown)]]="Female",Backend!$C$7,IF(Table1[[#This Row],[Fetal Sex (Male, Female or Unknown)]]="Unknown",Backend!$C$8,"Error"))),"")</f>
        <v/>
      </c>
      <c r="F5752" s="8" t="str">
        <f>IF(Table1[[#This Row],[Is Data Valid]]=TRUE,EXP(0.578+0.332*((Table1[[#This Row],[Gestation (days)]]+0.5)/7)-0.00354*((Table1[[#This Row],[Gestation (days)]]+0.5)/7)^2)*Table1[[#This Row],[BW40_3705]],"")</f>
        <v/>
      </c>
      <c r="G5752" s="2" t="str">
        <f>IF(Table1[[#This Row],[Is Data Valid]]=TRUE,((Table1[[#This Row],[Birthweight (grams)]]/Table1[[#This Row],[BW_GA]])-1)/(Backend!$B$4/100*Table1[[#This Row],[BW40_3705]]),"")</f>
        <v/>
      </c>
      <c r="H5752" s="7" t="str">
        <f>IF(Table1[[#This Row],[Is Data Valid]]=TRUE,((Table1[[#This Row],[Birthweight (grams)]]*0.9/Table1[[#This Row],[BW_GA]])-1)/(Backend!$B$4/100*Table1[[#This Row],[BW40_3705]]),"")</f>
        <v/>
      </c>
      <c r="I5752" s="7" t="str">
        <f>IF(Table1[[#This Row],[Is Data Valid]]=TRUE,((Table1[[#This Row],[Birthweight (grams)]]*1.1/Table1[[#This Row],[BW_GA]])-1)/(Backend!$B$4/100*Table1[[#This Row],[BW40_3705]]),"")</f>
        <v/>
      </c>
      <c r="J5752" s="7" t="str">
        <f>IF(Table1[[#This Row],[Is Data Valid]]=TRUE,_xlfn.NORM.S.DIST(Table1[[#This Row],[Birthweight Z-Score]],TRUE)*100,"")</f>
        <v/>
      </c>
      <c r="K5752" s="7" t="str">
        <f>IF(Table1[[#This Row],[Is Data Valid]]=TRUE,_xlfn.NORM.S.DIST(Table1[[#This Row],[Birthweight Z-Score (BW-10%)]],TRUE)*100,"")</f>
        <v/>
      </c>
      <c r="L5752" s="7" t="str">
        <f>IF(Table1[[#This Row],[Is Data Valid]]=TRUE,_xlfn.NORM.S.DIST(Table1[[#This Row],[Birthweight Z-Score (BW+10%)]],TRUE)*100,"")</f>
        <v/>
      </c>
    </row>
    <row r="5753" spans="1:12" x14ac:dyDescent="0.35">
      <c r="A5753" s="3"/>
      <c r="B5753" s="2"/>
      <c r="C5753" s="2"/>
      <c r="D5753" s="2" t="b">
        <f>IF(AND(NOT(ISBLANK(Table1[[#This Row],[Fetal Sex (Male, Female or Unknown)]])),ISNUMBER(Table1[[#This Row],[Birthweight (grams)]]),ISNUMBER(Table1[[#This Row],[Gestation (days)]])),TRUE,FALSE)</f>
        <v>0</v>
      </c>
      <c r="E5753" s="2" t="str">
        <f>IF(Table1[[#This Row],[Is Data Valid]]=TRUE,IF(Table1[[#This Row],[Fetal Sex (Male, Female or Unknown)]]="Male",Backend!$C$6,IF(Table1[[#This Row],[Fetal Sex (Male, Female or Unknown)]]="Female",Backend!$C$7,IF(Table1[[#This Row],[Fetal Sex (Male, Female or Unknown)]]="Unknown",Backend!$C$8,"Error"))),"")</f>
        <v/>
      </c>
      <c r="F5753" s="8" t="str">
        <f>IF(Table1[[#This Row],[Is Data Valid]]=TRUE,EXP(0.578+0.332*((Table1[[#This Row],[Gestation (days)]]+0.5)/7)-0.00354*((Table1[[#This Row],[Gestation (days)]]+0.5)/7)^2)*Table1[[#This Row],[BW40_3705]],"")</f>
        <v/>
      </c>
      <c r="G5753" s="2" t="str">
        <f>IF(Table1[[#This Row],[Is Data Valid]]=TRUE,((Table1[[#This Row],[Birthweight (grams)]]/Table1[[#This Row],[BW_GA]])-1)/(Backend!$B$4/100*Table1[[#This Row],[BW40_3705]]),"")</f>
        <v/>
      </c>
      <c r="H5753" s="7" t="str">
        <f>IF(Table1[[#This Row],[Is Data Valid]]=TRUE,((Table1[[#This Row],[Birthweight (grams)]]*0.9/Table1[[#This Row],[BW_GA]])-1)/(Backend!$B$4/100*Table1[[#This Row],[BW40_3705]]),"")</f>
        <v/>
      </c>
      <c r="I5753" s="7" t="str">
        <f>IF(Table1[[#This Row],[Is Data Valid]]=TRUE,((Table1[[#This Row],[Birthweight (grams)]]*1.1/Table1[[#This Row],[BW_GA]])-1)/(Backend!$B$4/100*Table1[[#This Row],[BW40_3705]]),"")</f>
        <v/>
      </c>
      <c r="J5753" s="7" t="str">
        <f>IF(Table1[[#This Row],[Is Data Valid]]=TRUE,_xlfn.NORM.S.DIST(Table1[[#This Row],[Birthweight Z-Score]],TRUE)*100,"")</f>
        <v/>
      </c>
      <c r="K5753" s="7" t="str">
        <f>IF(Table1[[#This Row],[Is Data Valid]]=TRUE,_xlfn.NORM.S.DIST(Table1[[#This Row],[Birthweight Z-Score (BW-10%)]],TRUE)*100,"")</f>
        <v/>
      </c>
      <c r="L5753" s="7" t="str">
        <f>IF(Table1[[#This Row],[Is Data Valid]]=TRUE,_xlfn.NORM.S.DIST(Table1[[#This Row],[Birthweight Z-Score (BW+10%)]],TRUE)*100,"")</f>
        <v/>
      </c>
    </row>
    <row r="5754" spans="1:12" x14ac:dyDescent="0.35">
      <c r="A5754" s="3"/>
      <c r="B5754" s="2"/>
      <c r="C5754" s="2"/>
      <c r="D5754" s="2" t="b">
        <f>IF(AND(NOT(ISBLANK(Table1[[#This Row],[Fetal Sex (Male, Female or Unknown)]])),ISNUMBER(Table1[[#This Row],[Birthweight (grams)]]),ISNUMBER(Table1[[#This Row],[Gestation (days)]])),TRUE,FALSE)</f>
        <v>0</v>
      </c>
      <c r="E5754" s="2" t="str">
        <f>IF(Table1[[#This Row],[Is Data Valid]]=TRUE,IF(Table1[[#This Row],[Fetal Sex (Male, Female or Unknown)]]="Male",Backend!$C$6,IF(Table1[[#This Row],[Fetal Sex (Male, Female or Unknown)]]="Female",Backend!$C$7,IF(Table1[[#This Row],[Fetal Sex (Male, Female or Unknown)]]="Unknown",Backend!$C$8,"Error"))),"")</f>
        <v/>
      </c>
      <c r="F5754" s="8" t="str">
        <f>IF(Table1[[#This Row],[Is Data Valid]]=TRUE,EXP(0.578+0.332*((Table1[[#This Row],[Gestation (days)]]+0.5)/7)-0.00354*((Table1[[#This Row],[Gestation (days)]]+0.5)/7)^2)*Table1[[#This Row],[BW40_3705]],"")</f>
        <v/>
      </c>
      <c r="G5754" s="2" t="str">
        <f>IF(Table1[[#This Row],[Is Data Valid]]=TRUE,((Table1[[#This Row],[Birthweight (grams)]]/Table1[[#This Row],[BW_GA]])-1)/(Backend!$B$4/100*Table1[[#This Row],[BW40_3705]]),"")</f>
        <v/>
      </c>
      <c r="H5754" s="7" t="str">
        <f>IF(Table1[[#This Row],[Is Data Valid]]=TRUE,((Table1[[#This Row],[Birthweight (grams)]]*0.9/Table1[[#This Row],[BW_GA]])-1)/(Backend!$B$4/100*Table1[[#This Row],[BW40_3705]]),"")</f>
        <v/>
      </c>
      <c r="I5754" s="7" t="str">
        <f>IF(Table1[[#This Row],[Is Data Valid]]=TRUE,((Table1[[#This Row],[Birthweight (grams)]]*1.1/Table1[[#This Row],[BW_GA]])-1)/(Backend!$B$4/100*Table1[[#This Row],[BW40_3705]]),"")</f>
        <v/>
      </c>
      <c r="J5754" s="7" t="str">
        <f>IF(Table1[[#This Row],[Is Data Valid]]=TRUE,_xlfn.NORM.S.DIST(Table1[[#This Row],[Birthweight Z-Score]],TRUE)*100,"")</f>
        <v/>
      </c>
      <c r="K5754" s="7" t="str">
        <f>IF(Table1[[#This Row],[Is Data Valid]]=TRUE,_xlfn.NORM.S.DIST(Table1[[#This Row],[Birthweight Z-Score (BW-10%)]],TRUE)*100,"")</f>
        <v/>
      </c>
      <c r="L5754" s="7" t="str">
        <f>IF(Table1[[#This Row],[Is Data Valid]]=TRUE,_xlfn.NORM.S.DIST(Table1[[#This Row],[Birthweight Z-Score (BW+10%)]],TRUE)*100,"")</f>
        <v/>
      </c>
    </row>
    <row r="5755" spans="1:12" x14ac:dyDescent="0.35">
      <c r="A5755" s="3"/>
      <c r="B5755" s="2"/>
      <c r="C5755" s="2"/>
      <c r="D5755" s="2" t="b">
        <f>IF(AND(NOT(ISBLANK(Table1[[#This Row],[Fetal Sex (Male, Female or Unknown)]])),ISNUMBER(Table1[[#This Row],[Birthweight (grams)]]),ISNUMBER(Table1[[#This Row],[Gestation (days)]])),TRUE,FALSE)</f>
        <v>0</v>
      </c>
      <c r="E5755" s="2" t="str">
        <f>IF(Table1[[#This Row],[Is Data Valid]]=TRUE,IF(Table1[[#This Row],[Fetal Sex (Male, Female or Unknown)]]="Male",Backend!$C$6,IF(Table1[[#This Row],[Fetal Sex (Male, Female or Unknown)]]="Female",Backend!$C$7,IF(Table1[[#This Row],[Fetal Sex (Male, Female or Unknown)]]="Unknown",Backend!$C$8,"Error"))),"")</f>
        <v/>
      </c>
      <c r="F5755" s="8" t="str">
        <f>IF(Table1[[#This Row],[Is Data Valid]]=TRUE,EXP(0.578+0.332*((Table1[[#This Row],[Gestation (days)]]+0.5)/7)-0.00354*((Table1[[#This Row],[Gestation (days)]]+0.5)/7)^2)*Table1[[#This Row],[BW40_3705]],"")</f>
        <v/>
      </c>
      <c r="G5755" s="2" t="str">
        <f>IF(Table1[[#This Row],[Is Data Valid]]=TRUE,((Table1[[#This Row],[Birthweight (grams)]]/Table1[[#This Row],[BW_GA]])-1)/(Backend!$B$4/100*Table1[[#This Row],[BW40_3705]]),"")</f>
        <v/>
      </c>
      <c r="H5755" s="7" t="str">
        <f>IF(Table1[[#This Row],[Is Data Valid]]=TRUE,((Table1[[#This Row],[Birthweight (grams)]]*0.9/Table1[[#This Row],[BW_GA]])-1)/(Backend!$B$4/100*Table1[[#This Row],[BW40_3705]]),"")</f>
        <v/>
      </c>
      <c r="I5755" s="7" t="str">
        <f>IF(Table1[[#This Row],[Is Data Valid]]=TRUE,((Table1[[#This Row],[Birthweight (grams)]]*1.1/Table1[[#This Row],[BW_GA]])-1)/(Backend!$B$4/100*Table1[[#This Row],[BW40_3705]]),"")</f>
        <v/>
      </c>
      <c r="J5755" s="7" t="str">
        <f>IF(Table1[[#This Row],[Is Data Valid]]=TRUE,_xlfn.NORM.S.DIST(Table1[[#This Row],[Birthweight Z-Score]],TRUE)*100,"")</f>
        <v/>
      </c>
      <c r="K5755" s="7" t="str">
        <f>IF(Table1[[#This Row],[Is Data Valid]]=TRUE,_xlfn.NORM.S.DIST(Table1[[#This Row],[Birthweight Z-Score (BW-10%)]],TRUE)*100,"")</f>
        <v/>
      </c>
      <c r="L5755" s="7" t="str">
        <f>IF(Table1[[#This Row],[Is Data Valid]]=TRUE,_xlfn.NORM.S.DIST(Table1[[#This Row],[Birthweight Z-Score (BW+10%)]],TRUE)*100,"")</f>
        <v/>
      </c>
    </row>
    <row r="5756" spans="1:12" x14ac:dyDescent="0.35">
      <c r="A5756" s="3"/>
      <c r="B5756" s="2"/>
      <c r="C5756" s="2"/>
      <c r="D5756" s="2" t="b">
        <f>IF(AND(NOT(ISBLANK(Table1[[#This Row],[Fetal Sex (Male, Female or Unknown)]])),ISNUMBER(Table1[[#This Row],[Birthweight (grams)]]),ISNUMBER(Table1[[#This Row],[Gestation (days)]])),TRUE,FALSE)</f>
        <v>0</v>
      </c>
      <c r="E5756" s="2" t="str">
        <f>IF(Table1[[#This Row],[Is Data Valid]]=TRUE,IF(Table1[[#This Row],[Fetal Sex (Male, Female or Unknown)]]="Male",Backend!$C$6,IF(Table1[[#This Row],[Fetal Sex (Male, Female or Unknown)]]="Female",Backend!$C$7,IF(Table1[[#This Row],[Fetal Sex (Male, Female or Unknown)]]="Unknown",Backend!$C$8,"Error"))),"")</f>
        <v/>
      </c>
      <c r="F5756" s="8" t="str">
        <f>IF(Table1[[#This Row],[Is Data Valid]]=TRUE,EXP(0.578+0.332*((Table1[[#This Row],[Gestation (days)]]+0.5)/7)-0.00354*((Table1[[#This Row],[Gestation (days)]]+0.5)/7)^2)*Table1[[#This Row],[BW40_3705]],"")</f>
        <v/>
      </c>
      <c r="G5756" s="2" t="str">
        <f>IF(Table1[[#This Row],[Is Data Valid]]=TRUE,((Table1[[#This Row],[Birthweight (grams)]]/Table1[[#This Row],[BW_GA]])-1)/(Backend!$B$4/100*Table1[[#This Row],[BW40_3705]]),"")</f>
        <v/>
      </c>
      <c r="H5756" s="7" t="str">
        <f>IF(Table1[[#This Row],[Is Data Valid]]=TRUE,((Table1[[#This Row],[Birthweight (grams)]]*0.9/Table1[[#This Row],[BW_GA]])-1)/(Backend!$B$4/100*Table1[[#This Row],[BW40_3705]]),"")</f>
        <v/>
      </c>
      <c r="I5756" s="7" t="str">
        <f>IF(Table1[[#This Row],[Is Data Valid]]=TRUE,((Table1[[#This Row],[Birthweight (grams)]]*1.1/Table1[[#This Row],[BW_GA]])-1)/(Backend!$B$4/100*Table1[[#This Row],[BW40_3705]]),"")</f>
        <v/>
      </c>
      <c r="J5756" s="7" t="str">
        <f>IF(Table1[[#This Row],[Is Data Valid]]=TRUE,_xlfn.NORM.S.DIST(Table1[[#This Row],[Birthweight Z-Score]],TRUE)*100,"")</f>
        <v/>
      </c>
      <c r="K5756" s="7" t="str">
        <f>IF(Table1[[#This Row],[Is Data Valid]]=TRUE,_xlfn.NORM.S.DIST(Table1[[#This Row],[Birthweight Z-Score (BW-10%)]],TRUE)*100,"")</f>
        <v/>
      </c>
      <c r="L5756" s="7" t="str">
        <f>IF(Table1[[#This Row],[Is Data Valid]]=TRUE,_xlfn.NORM.S.DIST(Table1[[#This Row],[Birthweight Z-Score (BW+10%)]],TRUE)*100,"")</f>
        <v/>
      </c>
    </row>
    <row r="5757" spans="1:12" x14ac:dyDescent="0.35">
      <c r="A5757" s="3"/>
      <c r="B5757" s="2"/>
      <c r="C5757" s="2"/>
      <c r="D5757" s="2" t="b">
        <f>IF(AND(NOT(ISBLANK(Table1[[#This Row],[Fetal Sex (Male, Female or Unknown)]])),ISNUMBER(Table1[[#This Row],[Birthweight (grams)]]),ISNUMBER(Table1[[#This Row],[Gestation (days)]])),TRUE,FALSE)</f>
        <v>0</v>
      </c>
      <c r="E5757" s="2" t="str">
        <f>IF(Table1[[#This Row],[Is Data Valid]]=TRUE,IF(Table1[[#This Row],[Fetal Sex (Male, Female or Unknown)]]="Male",Backend!$C$6,IF(Table1[[#This Row],[Fetal Sex (Male, Female or Unknown)]]="Female",Backend!$C$7,IF(Table1[[#This Row],[Fetal Sex (Male, Female or Unknown)]]="Unknown",Backend!$C$8,"Error"))),"")</f>
        <v/>
      </c>
      <c r="F5757" s="8" t="str">
        <f>IF(Table1[[#This Row],[Is Data Valid]]=TRUE,EXP(0.578+0.332*((Table1[[#This Row],[Gestation (days)]]+0.5)/7)-0.00354*((Table1[[#This Row],[Gestation (days)]]+0.5)/7)^2)*Table1[[#This Row],[BW40_3705]],"")</f>
        <v/>
      </c>
      <c r="G5757" s="2" t="str">
        <f>IF(Table1[[#This Row],[Is Data Valid]]=TRUE,((Table1[[#This Row],[Birthweight (grams)]]/Table1[[#This Row],[BW_GA]])-1)/(Backend!$B$4/100*Table1[[#This Row],[BW40_3705]]),"")</f>
        <v/>
      </c>
      <c r="H5757" s="7" t="str">
        <f>IF(Table1[[#This Row],[Is Data Valid]]=TRUE,((Table1[[#This Row],[Birthweight (grams)]]*0.9/Table1[[#This Row],[BW_GA]])-1)/(Backend!$B$4/100*Table1[[#This Row],[BW40_3705]]),"")</f>
        <v/>
      </c>
      <c r="I5757" s="7" t="str">
        <f>IF(Table1[[#This Row],[Is Data Valid]]=TRUE,((Table1[[#This Row],[Birthweight (grams)]]*1.1/Table1[[#This Row],[BW_GA]])-1)/(Backend!$B$4/100*Table1[[#This Row],[BW40_3705]]),"")</f>
        <v/>
      </c>
      <c r="J5757" s="7" t="str">
        <f>IF(Table1[[#This Row],[Is Data Valid]]=TRUE,_xlfn.NORM.S.DIST(Table1[[#This Row],[Birthweight Z-Score]],TRUE)*100,"")</f>
        <v/>
      </c>
      <c r="K5757" s="7" t="str">
        <f>IF(Table1[[#This Row],[Is Data Valid]]=TRUE,_xlfn.NORM.S.DIST(Table1[[#This Row],[Birthweight Z-Score (BW-10%)]],TRUE)*100,"")</f>
        <v/>
      </c>
      <c r="L5757" s="7" t="str">
        <f>IF(Table1[[#This Row],[Is Data Valid]]=TRUE,_xlfn.NORM.S.DIST(Table1[[#This Row],[Birthweight Z-Score (BW+10%)]],TRUE)*100,"")</f>
        <v/>
      </c>
    </row>
    <row r="5758" spans="1:12" x14ac:dyDescent="0.35">
      <c r="A5758" s="3"/>
      <c r="B5758" s="2"/>
      <c r="C5758" s="2"/>
      <c r="D5758" s="2" t="b">
        <f>IF(AND(NOT(ISBLANK(Table1[[#This Row],[Fetal Sex (Male, Female or Unknown)]])),ISNUMBER(Table1[[#This Row],[Birthweight (grams)]]),ISNUMBER(Table1[[#This Row],[Gestation (days)]])),TRUE,FALSE)</f>
        <v>0</v>
      </c>
      <c r="E5758" s="2" t="str">
        <f>IF(Table1[[#This Row],[Is Data Valid]]=TRUE,IF(Table1[[#This Row],[Fetal Sex (Male, Female or Unknown)]]="Male",Backend!$C$6,IF(Table1[[#This Row],[Fetal Sex (Male, Female or Unknown)]]="Female",Backend!$C$7,IF(Table1[[#This Row],[Fetal Sex (Male, Female or Unknown)]]="Unknown",Backend!$C$8,"Error"))),"")</f>
        <v/>
      </c>
      <c r="F5758" s="8" t="str">
        <f>IF(Table1[[#This Row],[Is Data Valid]]=TRUE,EXP(0.578+0.332*((Table1[[#This Row],[Gestation (days)]]+0.5)/7)-0.00354*((Table1[[#This Row],[Gestation (days)]]+0.5)/7)^2)*Table1[[#This Row],[BW40_3705]],"")</f>
        <v/>
      </c>
      <c r="G5758" s="2" t="str">
        <f>IF(Table1[[#This Row],[Is Data Valid]]=TRUE,((Table1[[#This Row],[Birthweight (grams)]]/Table1[[#This Row],[BW_GA]])-1)/(Backend!$B$4/100*Table1[[#This Row],[BW40_3705]]),"")</f>
        <v/>
      </c>
      <c r="H5758" s="7" t="str">
        <f>IF(Table1[[#This Row],[Is Data Valid]]=TRUE,((Table1[[#This Row],[Birthweight (grams)]]*0.9/Table1[[#This Row],[BW_GA]])-1)/(Backend!$B$4/100*Table1[[#This Row],[BW40_3705]]),"")</f>
        <v/>
      </c>
      <c r="I5758" s="7" t="str">
        <f>IF(Table1[[#This Row],[Is Data Valid]]=TRUE,((Table1[[#This Row],[Birthweight (grams)]]*1.1/Table1[[#This Row],[BW_GA]])-1)/(Backend!$B$4/100*Table1[[#This Row],[BW40_3705]]),"")</f>
        <v/>
      </c>
      <c r="J5758" s="7" t="str">
        <f>IF(Table1[[#This Row],[Is Data Valid]]=TRUE,_xlfn.NORM.S.DIST(Table1[[#This Row],[Birthweight Z-Score]],TRUE)*100,"")</f>
        <v/>
      </c>
      <c r="K5758" s="7" t="str">
        <f>IF(Table1[[#This Row],[Is Data Valid]]=TRUE,_xlfn.NORM.S.DIST(Table1[[#This Row],[Birthweight Z-Score (BW-10%)]],TRUE)*100,"")</f>
        <v/>
      </c>
      <c r="L5758" s="7" t="str">
        <f>IF(Table1[[#This Row],[Is Data Valid]]=TRUE,_xlfn.NORM.S.DIST(Table1[[#This Row],[Birthweight Z-Score (BW+10%)]],TRUE)*100,"")</f>
        <v/>
      </c>
    </row>
    <row r="5759" spans="1:12" x14ac:dyDescent="0.35">
      <c r="A5759" s="3"/>
      <c r="B5759" s="2"/>
      <c r="C5759" s="2"/>
      <c r="D5759" s="2" t="b">
        <f>IF(AND(NOT(ISBLANK(Table1[[#This Row],[Fetal Sex (Male, Female or Unknown)]])),ISNUMBER(Table1[[#This Row],[Birthweight (grams)]]),ISNUMBER(Table1[[#This Row],[Gestation (days)]])),TRUE,FALSE)</f>
        <v>0</v>
      </c>
      <c r="E5759" s="2" t="str">
        <f>IF(Table1[[#This Row],[Is Data Valid]]=TRUE,IF(Table1[[#This Row],[Fetal Sex (Male, Female or Unknown)]]="Male",Backend!$C$6,IF(Table1[[#This Row],[Fetal Sex (Male, Female or Unknown)]]="Female",Backend!$C$7,IF(Table1[[#This Row],[Fetal Sex (Male, Female or Unknown)]]="Unknown",Backend!$C$8,"Error"))),"")</f>
        <v/>
      </c>
      <c r="F5759" s="8" t="str">
        <f>IF(Table1[[#This Row],[Is Data Valid]]=TRUE,EXP(0.578+0.332*((Table1[[#This Row],[Gestation (days)]]+0.5)/7)-0.00354*((Table1[[#This Row],[Gestation (days)]]+0.5)/7)^2)*Table1[[#This Row],[BW40_3705]],"")</f>
        <v/>
      </c>
      <c r="G5759" s="2" t="str">
        <f>IF(Table1[[#This Row],[Is Data Valid]]=TRUE,((Table1[[#This Row],[Birthweight (grams)]]/Table1[[#This Row],[BW_GA]])-1)/(Backend!$B$4/100*Table1[[#This Row],[BW40_3705]]),"")</f>
        <v/>
      </c>
      <c r="H5759" s="7" t="str">
        <f>IF(Table1[[#This Row],[Is Data Valid]]=TRUE,((Table1[[#This Row],[Birthweight (grams)]]*0.9/Table1[[#This Row],[BW_GA]])-1)/(Backend!$B$4/100*Table1[[#This Row],[BW40_3705]]),"")</f>
        <v/>
      </c>
      <c r="I5759" s="7" t="str">
        <f>IF(Table1[[#This Row],[Is Data Valid]]=TRUE,((Table1[[#This Row],[Birthweight (grams)]]*1.1/Table1[[#This Row],[BW_GA]])-1)/(Backend!$B$4/100*Table1[[#This Row],[BW40_3705]]),"")</f>
        <v/>
      </c>
      <c r="J5759" s="7" t="str">
        <f>IF(Table1[[#This Row],[Is Data Valid]]=TRUE,_xlfn.NORM.S.DIST(Table1[[#This Row],[Birthweight Z-Score]],TRUE)*100,"")</f>
        <v/>
      </c>
      <c r="K5759" s="7" t="str">
        <f>IF(Table1[[#This Row],[Is Data Valid]]=TRUE,_xlfn.NORM.S.DIST(Table1[[#This Row],[Birthweight Z-Score (BW-10%)]],TRUE)*100,"")</f>
        <v/>
      </c>
      <c r="L5759" s="7" t="str">
        <f>IF(Table1[[#This Row],[Is Data Valid]]=TRUE,_xlfn.NORM.S.DIST(Table1[[#This Row],[Birthweight Z-Score (BW+10%)]],TRUE)*100,"")</f>
        <v/>
      </c>
    </row>
    <row r="5760" spans="1:12" x14ac:dyDescent="0.35">
      <c r="A5760" s="3"/>
      <c r="B5760" s="2"/>
      <c r="C5760" s="2"/>
      <c r="D5760" s="2" t="b">
        <f>IF(AND(NOT(ISBLANK(Table1[[#This Row],[Fetal Sex (Male, Female or Unknown)]])),ISNUMBER(Table1[[#This Row],[Birthweight (grams)]]),ISNUMBER(Table1[[#This Row],[Gestation (days)]])),TRUE,FALSE)</f>
        <v>0</v>
      </c>
      <c r="E5760" s="2" t="str">
        <f>IF(Table1[[#This Row],[Is Data Valid]]=TRUE,IF(Table1[[#This Row],[Fetal Sex (Male, Female or Unknown)]]="Male",Backend!$C$6,IF(Table1[[#This Row],[Fetal Sex (Male, Female or Unknown)]]="Female",Backend!$C$7,IF(Table1[[#This Row],[Fetal Sex (Male, Female or Unknown)]]="Unknown",Backend!$C$8,"Error"))),"")</f>
        <v/>
      </c>
      <c r="F5760" s="8" t="str">
        <f>IF(Table1[[#This Row],[Is Data Valid]]=TRUE,EXP(0.578+0.332*((Table1[[#This Row],[Gestation (days)]]+0.5)/7)-0.00354*((Table1[[#This Row],[Gestation (days)]]+0.5)/7)^2)*Table1[[#This Row],[BW40_3705]],"")</f>
        <v/>
      </c>
      <c r="G5760" s="2" t="str">
        <f>IF(Table1[[#This Row],[Is Data Valid]]=TRUE,((Table1[[#This Row],[Birthweight (grams)]]/Table1[[#This Row],[BW_GA]])-1)/(Backend!$B$4/100*Table1[[#This Row],[BW40_3705]]),"")</f>
        <v/>
      </c>
      <c r="H5760" s="7" t="str">
        <f>IF(Table1[[#This Row],[Is Data Valid]]=TRUE,((Table1[[#This Row],[Birthweight (grams)]]*0.9/Table1[[#This Row],[BW_GA]])-1)/(Backend!$B$4/100*Table1[[#This Row],[BW40_3705]]),"")</f>
        <v/>
      </c>
      <c r="I5760" s="7" t="str">
        <f>IF(Table1[[#This Row],[Is Data Valid]]=TRUE,((Table1[[#This Row],[Birthweight (grams)]]*1.1/Table1[[#This Row],[BW_GA]])-1)/(Backend!$B$4/100*Table1[[#This Row],[BW40_3705]]),"")</f>
        <v/>
      </c>
      <c r="J5760" s="7" t="str">
        <f>IF(Table1[[#This Row],[Is Data Valid]]=TRUE,_xlfn.NORM.S.DIST(Table1[[#This Row],[Birthweight Z-Score]],TRUE)*100,"")</f>
        <v/>
      </c>
      <c r="K5760" s="7" t="str">
        <f>IF(Table1[[#This Row],[Is Data Valid]]=TRUE,_xlfn.NORM.S.DIST(Table1[[#This Row],[Birthweight Z-Score (BW-10%)]],TRUE)*100,"")</f>
        <v/>
      </c>
      <c r="L5760" s="7" t="str">
        <f>IF(Table1[[#This Row],[Is Data Valid]]=TRUE,_xlfn.NORM.S.DIST(Table1[[#This Row],[Birthweight Z-Score (BW+10%)]],TRUE)*100,"")</f>
        <v/>
      </c>
    </row>
    <row r="5761" spans="1:12" x14ac:dyDescent="0.35">
      <c r="A5761" s="3"/>
      <c r="B5761" s="2"/>
      <c r="C5761" s="2"/>
      <c r="D5761" s="2" t="b">
        <f>IF(AND(NOT(ISBLANK(Table1[[#This Row],[Fetal Sex (Male, Female or Unknown)]])),ISNUMBER(Table1[[#This Row],[Birthweight (grams)]]),ISNUMBER(Table1[[#This Row],[Gestation (days)]])),TRUE,FALSE)</f>
        <v>0</v>
      </c>
      <c r="E5761" s="2" t="str">
        <f>IF(Table1[[#This Row],[Is Data Valid]]=TRUE,IF(Table1[[#This Row],[Fetal Sex (Male, Female or Unknown)]]="Male",Backend!$C$6,IF(Table1[[#This Row],[Fetal Sex (Male, Female or Unknown)]]="Female",Backend!$C$7,IF(Table1[[#This Row],[Fetal Sex (Male, Female or Unknown)]]="Unknown",Backend!$C$8,"Error"))),"")</f>
        <v/>
      </c>
      <c r="F5761" s="8" t="str">
        <f>IF(Table1[[#This Row],[Is Data Valid]]=TRUE,EXP(0.578+0.332*((Table1[[#This Row],[Gestation (days)]]+0.5)/7)-0.00354*((Table1[[#This Row],[Gestation (days)]]+0.5)/7)^2)*Table1[[#This Row],[BW40_3705]],"")</f>
        <v/>
      </c>
      <c r="G5761" s="2" t="str">
        <f>IF(Table1[[#This Row],[Is Data Valid]]=TRUE,((Table1[[#This Row],[Birthweight (grams)]]/Table1[[#This Row],[BW_GA]])-1)/(Backend!$B$4/100*Table1[[#This Row],[BW40_3705]]),"")</f>
        <v/>
      </c>
      <c r="H5761" s="7" t="str">
        <f>IF(Table1[[#This Row],[Is Data Valid]]=TRUE,((Table1[[#This Row],[Birthweight (grams)]]*0.9/Table1[[#This Row],[BW_GA]])-1)/(Backend!$B$4/100*Table1[[#This Row],[BW40_3705]]),"")</f>
        <v/>
      </c>
      <c r="I5761" s="7" t="str">
        <f>IF(Table1[[#This Row],[Is Data Valid]]=TRUE,((Table1[[#This Row],[Birthweight (grams)]]*1.1/Table1[[#This Row],[BW_GA]])-1)/(Backend!$B$4/100*Table1[[#This Row],[BW40_3705]]),"")</f>
        <v/>
      </c>
      <c r="J5761" s="7" t="str">
        <f>IF(Table1[[#This Row],[Is Data Valid]]=TRUE,_xlfn.NORM.S.DIST(Table1[[#This Row],[Birthweight Z-Score]],TRUE)*100,"")</f>
        <v/>
      </c>
      <c r="K5761" s="7" t="str">
        <f>IF(Table1[[#This Row],[Is Data Valid]]=TRUE,_xlfn.NORM.S.DIST(Table1[[#This Row],[Birthweight Z-Score (BW-10%)]],TRUE)*100,"")</f>
        <v/>
      </c>
      <c r="L5761" s="7" t="str">
        <f>IF(Table1[[#This Row],[Is Data Valid]]=TRUE,_xlfn.NORM.S.DIST(Table1[[#This Row],[Birthweight Z-Score (BW+10%)]],TRUE)*100,"")</f>
        <v/>
      </c>
    </row>
    <row r="5762" spans="1:12" x14ac:dyDescent="0.35">
      <c r="A5762" s="3"/>
      <c r="B5762" s="2"/>
      <c r="C5762" s="2"/>
      <c r="D5762" s="2" t="b">
        <f>IF(AND(NOT(ISBLANK(Table1[[#This Row],[Fetal Sex (Male, Female or Unknown)]])),ISNUMBER(Table1[[#This Row],[Birthweight (grams)]]),ISNUMBER(Table1[[#This Row],[Gestation (days)]])),TRUE,FALSE)</f>
        <v>0</v>
      </c>
      <c r="E5762" s="2" t="str">
        <f>IF(Table1[[#This Row],[Is Data Valid]]=TRUE,IF(Table1[[#This Row],[Fetal Sex (Male, Female or Unknown)]]="Male",Backend!$C$6,IF(Table1[[#This Row],[Fetal Sex (Male, Female or Unknown)]]="Female",Backend!$C$7,IF(Table1[[#This Row],[Fetal Sex (Male, Female or Unknown)]]="Unknown",Backend!$C$8,"Error"))),"")</f>
        <v/>
      </c>
      <c r="F5762" s="8" t="str">
        <f>IF(Table1[[#This Row],[Is Data Valid]]=TRUE,EXP(0.578+0.332*((Table1[[#This Row],[Gestation (days)]]+0.5)/7)-0.00354*((Table1[[#This Row],[Gestation (days)]]+0.5)/7)^2)*Table1[[#This Row],[BW40_3705]],"")</f>
        <v/>
      </c>
      <c r="G5762" s="2" t="str">
        <f>IF(Table1[[#This Row],[Is Data Valid]]=TRUE,((Table1[[#This Row],[Birthweight (grams)]]/Table1[[#This Row],[BW_GA]])-1)/(Backend!$B$4/100*Table1[[#This Row],[BW40_3705]]),"")</f>
        <v/>
      </c>
      <c r="H5762" s="7" t="str">
        <f>IF(Table1[[#This Row],[Is Data Valid]]=TRUE,((Table1[[#This Row],[Birthweight (grams)]]*0.9/Table1[[#This Row],[BW_GA]])-1)/(Backend!$B$4/100*Table1[[#This Row],[BW40_3705]]),"")</f>
        <v/>
      </c>
      <c r="I5762" s="7" t="str">
        <f>IF(Table1[[#This Row],[Is Data Valid]]=TRUE,((Table1[[#This Row],[Birthweight (grams)]]*1.1/Table1[[#This Row],[BW_GA]])-1)/(Backend!$B$4/100*Table1[[#This Row],[BW40_3705]]),"")</f>
        <v/>
      </c>
      <c r="J5762" s="7" t="str">
        <f>IF(Table1[[#This Row],[Is Data Valid]]=TRUE,_xlfn.NORM.S.DIST(Table1[[#This Row],[Birthweight Z-Score]],TRUE)*100,"")</f>
        <v/>
      </c>
      <c r="K5762" s="7" t="str">
        <f>IF(Table1[[#This Row],[Is Data Valid]]=TRUE,_xlfn.NORM.S.DIST(Table1[[#This Row],[Birthweight Z-Score (BW-10%)]],TRUE)*100,"")</f>
        <v/>
      </c>
      <c r="L5762" s="7" t="str">
        <f>IF(Table1[[#This Row],[Is Data Valid]]=TRUE,_xlfn.NORM.S.DIST(Table1[[#This Row],[Birthweight Z-Score (BW+10%)]],TRUE)*100,"")</f>
        <v/>
      </c>
    </row>
    <row r="5763" spans="1:12" x14ac:dyDescent="0.35">
      <c r="A5763" s="3"/>
      <c r="B5763" s="2"/>
      <c r="C5763" s="2"/>
      <c r="D5763" s="2" t="b">
        <f>IF(AND(NOT(ISBLANK(Table1[[#This Row],[Fetal Sex (Male, Female or Unknown)]])),ISNUMBER(Table1[[#This Row],[Birthweight (grams)]]),ISNUMBER(Table1[[#This Row],[Gestation (days)]])),TRUE,FALSE)</f>
        <v>0</v>
      </c>
      <c r="E5763" s="2" t="str">
        <f>IF(Table1[[#This Row],[Is Data Valid]]=TRUE,IF(Table1[[#This Row],[Fetal Sex (Male, Female or Unknown)]]="Male",Backend!$C$6,IF(Table1[[#This Row],[Fetal Sex (Male, Female or Unknown)]]="Female",Backend!$C$7,IF(Table1[[#This Row],[Fetal Sex (Male, Female or Unknown)]]="Unknown",Backend!$C$8,"Error"))),"")</f>
        <v/>
      </c>
      <c r="F5763" s="8" t="str">
        <f>IF(Table1[[#This Row],[Is Data Valid]]=TRUE,EXP(0.578+0.332*((Table1[[#This Row],[Gestation (days)]]+0.5)/7)-0.00354*((Table1[[#This Row],[Gestation (days)]]+0.5)/7)^2)*Table1[[#This Row],[BW40_3705]],"")</f>
        <v/>
      </c>
      <c r="G5763" s="2" t="str">
        <f>IF(Table1[[#This Row],[Is Data Valid]]=TRUE,((Table1[[#This Row],[Birthweight (grams)]]/Table1[[#This Row],[BW_GA]])-1)/(Backend!$B$4/100*Table1[[#This Row],[BW40_3705]]),"")</f>
        <v/>
      </c>
      <c r="H5763" s="7" t="str">
        <f>IF(Table1[[#This Row],[Is Data Valid]]=TRUE,((Table1[[#This Row],[Birthweight (grams)]]*0.9/Table1[[#This Row],[BW_GA]])-1)/(Backend!$B$4/100*Table1[[#This Row],[BW40_3705]]),"")</f>
        <v/>
      </c>
      <c r="I5763" s="7" t="str">
        <f>IF(Table1[[#This Row],[Is Data Valid]]=TRUE,((Table1[[#This Row],[Birthweight (grams)]]*1.1/Table1[[#This Row],[BW_GA]])-1)/(Backend!$B$4/100*Table1[[#This Row],[BW40_3705]]),"")</f>
        <v/>
      </c>
      <c r="J5763" s="7" t="str">
        <f>IF(Table1[[#This Row],[Is Data Valid]]=TRUE,_xlfn.NORM.S.DIST(Table1[[#This Row],[Birthweight Z-Score]],TRUE)*100,"")</f>
        <v/>
      </c>
      <c r="K5763" s="7" t="str">
        <f>IF(Table1[[#This Row],[Is Data Valid]]=TRUE,_xlfn.NORM.S.DIST(Table1[[#This Row],[Birthweight Z-Score (BW-10%)]],TRUE)*100,"")</f>
        <v/>
      </c>
      <c r="L5763" s="7" t="str">
        <f>IF(Table1[[#This Row],[Is Data Valid]]=TRUE,_xlfn.NORM.S.DIST(Table1[[#This Row],[Birthweight Z-Score (BW+10%)]],TRUE)*100,"")</f>
        <v/>
      </c>
    </row>
    <row r="5764" spans="1:12" x14ac:dyDescent="0.35">
      <c r="A5764" s="3"/>
      <c r="B5764" s="2"/>
      <c r="C5764" s="2"/>
      <c r="D5764" s="2" t="b">
        <f>IF(AND(NOT(ISBLANK(Table1[[#This Row],[Fetal Sex (Male, Female or Unknown)]])),ISNUMBER(Table1[[#This Row],[Birthweight (grams)]]),ISNUMBER(Table1[[#This Row],[Gestation (days)]])),TRUE,FALSE)</f>
        <v>0</v>
      </c>
      <c r="E5764" s="2" t="str">
        <f>IF(Table1[[#This Row],[Is Data Valid]]=TRUE,IF(Table1[[#This Row],[Fetal Sex (Male, Female or Unknown)]]="Male",Backend!$C$6,IF(Table1[[#This Row],[Fetal Sex (Male, Female or Unknown)]]="Female",Backend!$C$7,IF(Table1[[#This Row],[Fetal Sex (Male, Female or Unknown)]]="Unknown",Backend!$C$8,"Error"))),"")</f>
        <v/>
      </c>
      <c r="F5764" s="8" t="str">
        <f>IF(Table1[[#This Row],[Is Data Valid]]=TRUE,EXP(0.578+0.332*((Table1[[#This Row],[Gestation (days)]]+0.5)/7)-0.00354*((Table1[[#This Row],[Gestation (days)]]+0.5)/7)^2)*Table1[[#This Row],[BW40_3705]],"")</f>
        <v/>
      </c>
      <c r="G5764" s="2" t="str">
        <f>IF(Table1[[#This Row],[Is Data Valid]]=TRUE,((Table1[[#This Row],[Birthweight (grams)]]/Table1[[#This Row],[BW_GA]])-1)/(Backend!$B$4/100*Table1[[#This Row],[BW40_3705]]),"")</f>
        <v/>
      </c>
      <c r="H5764" s="7" t="str">
        <f>IF(Table1[[#This Row],[Is Data Valid]]=TRUE,((Table1[[#This Row],[Birthweight (grams)]]*0.9/Table1[[#This Row],[BW_GA]])-1)/(Backend!$B$4/100*Table1[[#This Row],[BW40_3705]]),"")</f>
        <v/>
      </c>
      <c r="I5764" s="7" t="str">
        <f>IF(Table1[[#This Row],[Is Data Valid]]=TRUE,((Table1[[#This Row],[Birthweight (grams)]]*1.1/Table1[[#This Row],[BW_GA]])-1)/(Backend!$B$4/100*Table1[[#This Row],[BW40_3705]]),"")</f>
        <v/>
      </c>
      <c r="J5764" s="7" t="str">
        <f>IF(Table1[[#This Row],[Is Data Valid]]=TRUE,_xlfn.NORM.S.DIST(Table1[[#This Row],[Birthweight Z-Score]],TRUE)*100,"")</f>
        <v/>
      </c>
      <c r="K5764" s="7" t="str">
        <f>IF(Table1[[#This Row],[Is Data Valid]]=TRUE,_xlfn.NORM.S.DIST(Table1[[#This Row],[Birthweight Z-Score (BW-10%)]],TRUE)*100,"")</f>
        <v/>
      </c>
      <c r="L5764" s="7" t="str">
        <f>IF(Table1[[#This Row],[Is Data Valid]]=TRUE,_xlfn.NORM.S.DIST(Table1[[#This Row],[Birthweight Z-Score (BW+10%)]],TRUE)*100,"")</f>
        <v/>
      </c>
    </row>
    <row r="5765" spans="1:12" x14ac:dyDescent="0.35">
      <c r="A5765" s="3"/>
      <c r="B5765" s="2"/>
      <c r="C5765" s="2"/>
      <c r="D5765" s="2" t="b">
        <f>IF(AND(NOT(ISBLANK(Table1[[#This Row],[Fetal Sex (Male, Female or Unknown)]])),ISNUMBER(Table1[[#This Row],[Birthweight (grams)]]),ISNUMBER(Table1[[#This Row],[Gestation (days)]])),TRUE,FALSE)</f>
        <v>0</v>
      </c>
      <c r="E5765" s="2" t="str">
        <f>IF(Table1[[#This Row],[Is Data Valid]]=TRUE,IF(Table1[[#This Row],[Fetal Sex (Male, Female or Unknown)]]="Male",Backend!$C$6,IF(Table1[[#This Row],[Fetal Sex (Male, Female or Unknown)]]="Female",Backend!$C$7,IF(Table1[[#This Row],[Fetal Sex (Male, Female or Unknown)]]="Unknown",Backend!$C$8,"Error"))),"")</f>
        <v/>
      </c>
      <c r="F5765" s="8" t="str">
        <f>IF(Table1[[#This Row],[Is Data Valid]]=TRUE,EXP(0.578+0.332*((Table1[[#This Row],[Gestation (days)]]+0.5)/7)-0.00354*((Table1[[#This Row],[Gestation (days)]]+0.5)/7)^2)*Table1[[#This Row],[BW40_3705]],"")</f>
        <v/>
      </c>
      <c r="G5765" s="2" t="str">
        <f>IF(Table1[[#This Row],[Is Data Valid]]=TRUE,((Table1[[#This Row],[Birthweight (grams)]]/Table1[[#This Row],[BW_GA]])-1)/(Backend!$B$4/100*Table1[[#This Row],[BW40_3705]]),"")</f>
        <v/>
      </c>
      <c r="H5765" s="7" t="str">
        <f>IF(Table1[[#This Row],[Is Data Valid]]=TRUE,((Table1[[#This Row],[Birthweight (grams)]]*0.9/Table1[[#This Row],[BW_GA]])-1)/(Backend!$B$4/100*Table1[[#This Row],[BW40_3705]]),"")</f>
        <v/>
      </c>
      <c r="I5765" s="7" t="str">
        <f>IF(Table1[[#This Row],[Is Data Valid]]=TRUE,((Table1[[#This Row],[Birthweight (grams)]]*1.1/Table1[[#This Row],[BW_GA]])-1)/(Backend!$B$4/100*Table1[[#This Row],[BW40_3705]]),"")</f>
        <v/>
      </c>
      <c r="J5765" s="7" t="str">
        <f>IF(Table1[[#This Row],[Is Data Valid]]=TRUE,_xlfn.NORM.S.DIST(Table1[[#This Row],[Birthweight Z-Score]],TRUE)*100,"")</f>
        <v/>
      </c>
      <c r="K5765" s="7" t="str">
        <f>IF(Table1[[#This Row],[Is Data Valid]]=TRUE,_xlfn.NORM.S.DIST(Table1[[#This Row],[Birthweight Z-Score (BW-10%)]],TRUE)*100,"")</f>
        <v/>
      </c>
      <c r="L5765" s="7" t="str">
        <f>IF(Table1[[#This Row],[Is Data Valid]]=TRUE,_xlfn.NORM.S.DIST(Table1[[#This Row],[Birthweight Z-Score (BW+10%)]],TRUE)*100,"")</f>
        <v/>
      </c>
    </row>
    <row r="5766" spans="1:12" x14ac:dyDescent="0.35">
      <c r="A5766" s="3"/>
      <c r="B5766" s="2"/>
      <c r="C5766" s="2"/>
      <c r="D5766" s="2" t="b">
        <f>IF(AND(NOT(ISBLANK(Table1[[#This Row],[Fetal Sex (Male, Female or Unknown)]])),ISNUMBER(Table1[[#This Row],[Birthweight (grams)]]),ISNUMBER(Table1[[#This Row],[Gestation (days)]])),TRUE,FALSE)</f>
        <v>0</v>
      </c>
      <c r="E5766" s="2" t="str">
        <f>IF(Table1[[#This Row],[Is Data Valid]]=TRUE,IF(Table1[[#This Row],[Fetal Sex (Male, Female or Unknown)]]="Male",Backend!$C$6,IF(Table1[[#This Row],[Fetal Sex (Male, Female or Unknown)]]="Female",Backend!$C$7,IF(Table1[[#This Row],[Fetal Sex (Male, Female or Unknown)]]="Unknown",Backend!$C$8,"Error"))),"")</f>
        <v/>
      </c>
      <c r="F5766" s="8" t="str">
        <f>IF(Table1[[#This Row],[Is Data Valid]]=TRUE,EXP(0.578+0.332*((Table1[[#This Row],[Gestation (days)]]+0.5)/7)-0.00354*((Table1[[#This Row],[Gestation (days)]]+0.5)/7)^2)*Table1[[#This Row],[BW40_3705]],"")</f>
        <v/>
      </c>
      <c r="G5766" s="2" t="str">
        <f>IF(Table1[[#This Row],[Is Data Valid]]=TRUE,((Table1[[#This Row],[Birthweight (grams)]]/Table1[[#This Row],[BW_GA]])-1)/(Backend!$B$4/100*Table1[[#This Row],[BW40_3705]]),"")</f>
        <v/>
      </c>
      <c r="H5766" s="7" t="str">
        <f>IF(Table1[[#This Row],[Is Data Valid]]=TRUE,((Table1[[#This Row],[Birthweight (grams)]]*0.9/Table1[[#This Row],[BW_GA]])-1)/(Backend!$B$4/100*Table1[[#This Row],[BW40_3705]]),"")</f>
        <v/>
      </c>
      <c r="I5766" s="7" t="str">
        <f>IF(Table1[[#This Row],[Is Data Valid]]=TRUE,((Table1[[#This Row],[Birthweight (grams)]]*1.1/Table1[[#This Row],[BW_GA]])-1)/(Backend!$B$4/100*Table1[[#This Row],[BW40_3705]]),"")</f>
        <v/>
      </c>
      <c r="J5766" s="7" t="str">
        <f>IF(Table1[[#This Row],[Is Data Valid]]=TRUE,_xlfn.NORM.S.DIST(Table1[[#This Row],[Birthweight Z-Score]],TRUE)*100,"")</f>
        <v/>
      </c>
      <c r="K5766" s="7" t="str">
        <f>IF(Table1[[#This Row],[Is Data Valid]]=TRUE,_xlfn.NORM.S.DIST(Table1[[#This Row],[Birthweight Z-Score (BW-10%)]],TRUE)*100,"")</f>
        <v/>
      </c>
      <c r="L5766" s="7" t="str">
        <f>IF(Table1[[#This Row],[Is Data Valid]]=TRUE,_xlfn.NORM.S.DIST(Table1[[#This Row],[Birthweight Z-Score (BW+10%)]],TRUE)*100,"")</f>
        <v/>
      </c>
    </row>
    <row r="5767" spans="1:12" x14ac:dyDescent="0.35">
      <c r="A5767" s="3"/>
      <c r="B5767" s="2"/>
      <c r="C5767" s="2"/>
      <c r="D5767" s="2" t="b">
        <f>IF(AND(NOT(ISBLANK(Table1[[#This Row],[Fetal Sex (Male, Female or Unknown)]])),ISNUMBER(Table1[[#This Row],[Birthweight (grams)]]),ISNUMBER(Table1[[#This Row],[Gestation (days)]])),TRUE,FALSE)</f>
        <v>0</v>
      </c>
      <c r="E5767" s="2" t="str">
        <f>IF(Table1[[#This Row],[Is Data Valid]]=TRUE,IF(Table1[[#This Row],[Fetal Sex (Male, Female or Unknown)]]="Male",Backend!$C$6,IF(Table1[[#This Row],[Fetal Sex (Male, Female or Unknown)]]="Female",Backend!$C$7,IF(Table1[[#This Row],[Fetal Sex (Male, Female or Unknown)]]="Unknown",Backend!$C$8,"Error"))),"")</f>
        <v/>
      </c>
      <c r="F5767" s="8" t="str">
        <f>IF(Table1[[#This Row],[Is Data Valid]]=TRUE,EXP(0.578+0.332*((Table1[[#This Row],[Gestation (days)]]+0.5)/7)-0.00354*((Table1[[#This Row],[Gestation (days)]]+0.5)/7)^2)*Table1[[#This Row],[BW40_3705]],"")</f>
        <v/>
      </c>
      <c r="G5767" s="2" t="str">
        <f>IF(Table1[[#This Row],[Is Data Valid]]=TRUE,((Table1[[#This Row],[Birthweight (grams)]]/Table1[[#This Row],[BW_GA]])-1)/(Backend!$B$4/100*Table1[[#This Row],[BW40_3705]]),"")</f>
        <v/>
      </c>
      <c r="H5767" s="7" t="str">
        <f>IF(Table1[[#This Row],[Is Data Valid]]=TRUE,((Table1[[#This Row],[Birthweight (grams)]]*0.9/Table1[[#This Row],[BW_GA]])-1)/(Backend!$B$4/100*Table1[[#This Row],[BW40_3705]]),"")</f>
        <v/>
      </c>
      <c r="I5767" s="7" t="str">
        <f>IF(Table1[[#This Row],[Is Data Valid]]=TRUE,((Table1[[#This Row],[Birthweight (grams)]]*1.1/Table1[[#This Row],[BW_GA]])-1)/(Backend!$B$4/100*Table1[[#This Row],[BW40_3705]]),"")</f>
        <v/>
      </c>
      <c r="J5767" s="7" t="str">
        <f>IF(Table1[[#This Row],[Is Data Valid]]=TRUE,_xlfn.NORM.S.DIST(Table1[[#This Row],[Birthweight Z-Score]],TRUE)*100,"")</f>
        <v/>
      </c>
      <c r="K5767" s="7" t="str">
        <f>IF(Table1[[#This Row],[Is Data Valid]]=TRUE,_xlfn.NORM.S.DIST(Table1[[#This Row],[Birthweight Z-Score (BW-10%)]],TRUE)*100,"")</f>
        <v/>
      </c>
      <c r="L5767" s="7" t="str">
        <f>IF(Table1[[#This Row],[Is Data Valid]]=TRUE,_xlfn.NORM.S.DIST(Table1[[#This Row],[Birthweight Z-Score (BW+10%)]],TRUE)*100,"")</f>
        <v/>
      </c>
    </row>
    <row r="5768" spans="1:12" x14ac:dyDescent="0.35">
      <c r="A5768" s="3"/>
      <c r="B5768" s="2"/>
      <c r="C5768" s="2"/>
      <c r="D5768" s="2" t="b">
        <f>IF(AND(NOT(ISBLANK(Table1[[#This Row],[Fetal Sex (Male, Female or Unknown)]])),ISNUMBER(Table1[[#This Row],[Birthweight (grams)]]),ISNUMBER(Table1[[#This Row],[Gestation (days)]])),TRUE,FALSE)</f>
        <v>0</v>
      </c>
      <c r="E5768" s="2" t="str">
        <f>IF(Table1[[#This Row],[Is Data Valid]]=TRUE,IF(Table1[[#This Row],[Fetal Sex (Male, Female or Unknown)]]="Male",Backend!$C$6,IF(Table1[[#This Row],[Fetal Sex (Male, Female or Unknown)]]="Female",Backend!$C$7,IF(Table1[[#This Row],[Fetal Sex (Male, Female or Unknown)]]="Unknown",Backend!$C$8,"Error"))),"")</f>
        <v/>
      </c>
      <c r="F5768" s="8" t="str">
        <f>IF(Table1[[#This Row],[Is Data Valid]]=TRUE,EXP(0.578+0.332*((Table1[[#This Row],[Gestation (days)]]+0.5)/7)-0.00354*((Table1[[#This Row],[Gestation (days)]]+0.5)/7)^2)*Table1[[#This Row],[BW40_3705]],"")</f>
        <v/>
      </c>
      <c r="G5768" s="2" t="str">
        <f>IF(Table1[[#This Row],[Is Data Valid]]=TRUE,((Table1[[#This Row],[Birthweight (grams)]]/Table1[[#This Row],[BW_GA]])-1)/(Backend!$B$4/100*Table1[[#This Row],[BW40_3705]]),"")</f>
        <v/>
      </c>
      <c r="H5768" s="7" t="str">
        <f>IF(Table1[[#This Row],[Is Data Valid]]=TRUE,((Table1[[#This Row],[Birthweight (grams)]]*0.9/Table1[[#This Row],[BW_GA]])-1)/(Backend!$B$4/100*Table1[[#This Row],[BW40_3705]]),"")</f>
        <v/>
      </c>
      <c r="I5768" s="7" t="str">
        <f>IF(Table1[[#This Row],[Is Data Valid]]=TRUE,((Table1[[#This Row],[Birthweight (grams)]]*1.1/Table1[[#This Row],[BW_GA]])-1)/(Backend!$B$4/100*Table1[[#This Row],[BW40_3705]]),"")</f>
        <v/>
      </c>
      <c r="J5768" s="7" t="str">
        <f>IF(Table1[[#This Row],[Is Data Valid]]=TRUE,_xlfn.NORM.S.DIST(Table1[[#This Row],[Birthweight Z-Score]],TRUE)*100,"")</f>
        <v/>
      </c>
      <c r="K5768" s="7" t="str">
        <f>IF(Table1[[#This Row],[Is Data Valid]]=TRUE,_xlfn.NORM.S.DIST(Table1[[#This Row],[Birthweight Z-Score (BW-10%)]],TRUE)*100,"")</f>
        <v/>
      </c>
      <c r="L5768" s="7" t="str">
        <f>IF(Table1[[#This Row],[Is Data Valid]]=TRUE,_xlfn.NORM.S.DIST(Table1[[#This Row],[Birthweight Z-Score (BW+10%)]],TRUE)*100,"")</f>
        <v/>
      </c>
    </row>
    <row r="5769" spans="1:12" x14ac:dyDescent="0.35">
      <c r="A5769" s="3"/>
      <c r="B5769" s="2"/>
      <c r="C5769" s="2"/>
      <c r="D5769" s="2" t="b">
        <f>IF(AND(NOT(ISBLANK(Table1[[#This Row],[Fetal Sex (Male, Female or Unknown)]])),ISNUMBER(Table1[[#This Row],[Birthweight (grams)]]),ISNUMBER(Table1[[#This Row],[Gestation (days)]])),TRUE,FALSE)</f>
        <v>0</v>
      </c>
      <c r="E5769" s="2" t="str">
        <f>IF(Table1[[#This Row],[Is Data Valid]]=TRUE,IF(Table1[[#This Row],[Fetal Sex (Male, Female or Unknown)]]="Male",Backend!$C$6,IF(Table1[[#This Row],[Fetal Sex (Male, Female or Unknown)]]="Female",Backend!$C$7,IF(Table1[[#This Row],[Fetal Sex (Male, Female or Unknown)]]="Unknown",Backend!$C$8,"Error"))),"")</f>
        <v/>
      </c>
      <c r="F5769" s="8" t="str">
        <f>IF(Table1[[#This Row],[Is Data Valid]]=TRUE,EXP(0.578+0.332*((Table1[[#This Row],[Gestation (days)]]+0.5)/7)-0.00354*((Table1[[#This Row],[Gestation (days)]]+0.5)/7)^2)*Table1[[#This Row],[BW40_3705]],"")</f>
        <v/>
      </c>
      <c r="G5769" s="2" t="str">
        <f>IF(Table1[[#This Row],[Is Data Valid]]=TRUE,((Table1[[#This Row],[Birthweight (grams)]]/Table1[[#This Row],[BW_GA]])-1)/(Backend!$B$4/100*Table1[[#This Row],[BW40_3705]]),"")</f>
        <v/>
      </c>
      <c r="H5769" s="7" t="str">
        <f>IF(Table1[[#This Row],[Is Data Valid]]=TRUE,((Table1[[#This Row],[Birthweight (grams)]]*0.9/Table1[[#This Row],[BW_GA]])-1)/(Backend!$B$4/100*Table1[[#This Row],[BW40_3705]]),"")</f>
        <v/>
      </c>
      <c r="I5769" s="7" t="str">
        <f>IF(Table1[[#This Row],[Is Data Valid]]=TRUE,((Table1[[#This Row],[Birthweight (grams)]]*1.1/Table1[[#This Row],[BW_GA]])-1)/(Backend!$B$4/100*Table1[[#This Row],[BW40_3705]]),"")</f>
        <v/>
      </c>
      <c r="J5769" s="7" t="str">
        <f>IF(Table1[[#This Row],[Is Data Valid]]=TRUE,_xlfn.NORM.S.DIST(Table1[[#This Row],[Birthweight Z-Score]],TRUE)*100,"")</f>
        <v/>
      </c>
      <c r="K5769" s="7" t="str">
        <f>IF(Table1[[#This Row],[Is Data Valid]]=TRUE,_xlfn.NORM.S.DIST(Table1[[#This Row],[Birthweight Z-Score (BW-10%)]],TRUE)*100,"")</f>
        <v/>
      </c>
      <c r="L5769" s="7" t="str">
        <f>IF(Table1[[#This Row],[Is Data Valid]]=TRUE,_xlfn.NORM.S.DIST(Table1[[#This Row],[Birthweight Z-Score (BW+10%)]],TRUE)*100,"")</f>
        <v/>
      </c>
    </row>
    <row r="5770" spans="1:12" x14ac:dyDescent="0.35">
      <c r="A5770" s="3"/>
      <c r="B5770" s="2"/>
      <c r="C5770" s="2"/>
      <c r="D5770" s="2" t="b">
        <f>IF(AND(NOT(ISBLANK(Table1[[#This Row],[Fetal Sex (Male, Female or Unknown)]])),ISNUMBER(Table1[[#This Row],[Birthweight (grams)]]),ISNUMBER(Table1[[#This Row],[Gestation (days)]])),TRUE,FALSE)</f>
        <v>0</v>
      </c>
      <c r="E5770" s="2" t="str">
        <f>IF(Table1[[#This Row],[Is Data Valid]]=TRUE,IF(Table1[[#This Row],[Fetal Sex (Male, Female or Unknown)]]="Male",Backend!$C$6,IF(Table1[[#This Row],[Fetal Sex (Male, Female or Unknown)]]="Female",Backend!$C$7,IF(Table1[[#This Row],[Fetal Sex (Male, Female or Unknown)]]="Unknown",Backend!$C$8,"Error"))),"")</f>
        <v/>
      </c>
      <c r="F5770" s="8" t="str">
        <f>IF(Table1[[#This Row],[Is Data Valid]]=TRUE,EXP(0.578+0.332*((Table1[[#This Row],[Gestation (days)]]+0.5)/7)-0.00354*((Table1[[#This Row],[Gestation (days)]]+0.5)/7)^2)*Table1[[#This Row],[BW40_3705]],"")</f>
        <v/>
      </c>
      <c r="G5770" s="2" t="str">
        <f>IF(Table1[[#This Row],[Is Data Valid]]=TRUE,((Table1[[#This Row],[Birthweight (grams)]]/Table1[[#This Row],[BW_GA]])-1)/(Backend!$B$4/100*Table1[[#This Row],[BW40_3705]]),"")</f>
        <v/>
      </c>
      <c r="H5770" s="7" t="str">
        <f>IF(Table1[[#This Row],[Is Data Valid]]=TRUE,((Table1[[#This Row],[Birthweight (grams)]]*0.9/Table1[[#This Row],[BW_GA]])-1)/(Backend!$B$4/100*Table1[[#This Row],[BW40_3705]]),"")</f>
        <v/>
      </c>
      <c r="I5770" s="7" t="str">
        <f>IF(Table1[[#This Row],[Is Data Valid]]=TRUE,((Table1[[#This Row],[Birthweight (grams)]]*1.1/Table1[[#This Row],[BW_GA]])-1)/(Backend!$B$4/100*Table1[[#This Row],[BW40_3705]]),"")</f>
        <v/>
      </c>
      <c r="J5770" s="7" t="str">
        <f>IF(Table1[[#This Row],[Is Data Valid]]=TRUE,_xlfn.NORM.S.DIST(Table1[[#This Row],[Birthweight Z-Score]],TRUE)*100,"")</f>
        <v/>
      </c>
      <c r="K5770" s="7" t="str">
        <f>IF(Table1[[#This Row],[Is Data Valid]]=TRUE,_xlfn.NORM.S.DIST(Table1[[#This Row],[Birthweight Z-Score (BW-10%)]],TRUE)*100,"")</f>
        <v/>
      </c>
      <c r="L5770" s="7" t="str">
        <f>IF(Table1[[#This Row],[Is Data Valid]]=TRUE,_xlfn.NORM.S.DIST(Table1[[#This Row],[Birthweight Z-Score (BW+10%)]],TRUE)*100,"")</f>
        <v/>
      </c>
    </row>
    <row r="5771" spans="1:12" x14ac:dyDescent="0.35">
      <c r="A5771" s="3"/>
      <c r="B5771" s="2"/>
      <c r="C5771" s="2"/>
      <c r="D5771" s="2" t="b">
        <f>IF(AND(NOT(ISBLANK(Table1[[#This Row],[Fetal Sex (Male, Female or Unknown)]])),ISNUMBER(Table1[[#This Row],[Birthweight (grams)]]),ISNUMBER(Table1[[#This Row],[Gestation (days)]])),TRUE,FALSE)</f>
        <v>0</v>
      </c>
      <c r="E5771" s="2" t="str">
        <f>IF(Table1[[#This Row],[Is Data Valid]]=TRUE,IF(Table1[[#This Row],[Fetal Sex (Male, Female or Unknown)]]="Male",Backend!$C$6,IF(Table1[[#This Row],[Fetal Sex (Male, Female or Unknown)]]="Female",Backend!$C$7,IF(Table1[[#This Row],[Fetal Sex (Male, Female or Unknown)]]="Unknown",Backend!$C$8,"Error"))),"")</f>
        <v/>
      </c>
      <c r="F5771" s="8" t="str">
        <f>IF(Table1[[#This Row],[Is Data Valid]]=TRUE,EXP(0.578+0.332*((Table1[[#This Row],[Gestation (days)]]+0.5)/7)-0.00354*((Table1[[#This Row],[Gestation (days)]]+0.5)/7)^2)*Table1[[#This Row],[BW40_3705]],"")</f>
        <v/>
      </c>
      <c r="G5771" s="2" t="str">
        <f>IF(Table1[[#This Row],[Is Data Valid]]=TRUE,((Table1[[#This Row],[Birthweight (grams)]]/Table1[[#This Row],[BW_GA]])-1)/(Backend!$B$4/100*Table1[[#This Row],[BW40_3705]]),"")</f>
        <v/>
      </c>
      <c r="H5771" s="7" t="str">
        <f>IF(Table1[[#This Row],[Is Data Valid]]=TRUE,((Table1[[#This Row],[Birthweight (grams)]]*0.9/Table1[[#This Row],[BW_GA]])-1)/(Backend!$B$4/100*Table1[[#This Row],[BW40_3705]]),"")</f>
        <v/>
      </c>
      <c r="I5771" s="7" t="str">
        <f>IF(Table1[[#This Row],[Is Data Valid]]=TRUE,((Table1[[#This Row],[Birthweight (grams)]]*1.1/Table1[[#This Row],[BW_GA]])-1)/(Backend!$B$4/100*Table1[[#This Row],[BW40_3705]]),"")</f>
        <v/>
      </c>
      <c r="J5771" s="7" t="str">
        <f>IF(Table1[[#This Row],[Is Data Valid]]=TRUE,_xlfn.NORM.S.DIST(Table1[[#This Row],[Birthweight Z-Score]],TRUE)*100,"")</f>
        <v/>
      </c>
      <c r="K5771" s="7" t="str">
        <f>IF(Table1[[#This Row],[Is Data Valid]]=TRUE,_xlfn.NORM.S.DIST(Table1[[#This Row],[Birthweight Z-Score (BW-10%)]],TRUE)*100,"")</f>
        <v/>
      </c>
      <c r="L5771" s="7" t="str">
        <f>IF(Table1[[#This Row],[Is Data Valid]]=TRUE,_xlfn.NORM.S.DIST(Table1[[#This Row],[Birthweight Z-Score (BW+10%)]],TRUE)*100,"")</f>
        <v/>
      </c>
    </row>
    <row r="5772" spans="1:12" x14ac:dyDescent="0.35">
      <c r="A5772" s="3"/>
      <c r="B5772" s="2"/>
      <c r="C5772" s="2"/>
      <c r="D5772" s="2" t="b">
        <f>IF(AND(NOT(ISBLANK(Table1[[#This Row],[Fetal Sex (Male, Female or Unknown)]])),ISNUMBER(Table1[[#This Row],[Birthweight (grams)]]),ISNUMBER(Table1[[#This Row],[Gestation (days)]])),TRUE,FALSE)</f>
        <v>0</v>
      </c>
      <c r="E5772" s="2" t="str">
        <f>IF(Table1[[#This Row],[Is Data Valid]]=TRUE,IF(Table1[[#This Row],[Fetal Sex (Male, Female or Unknown)]]="Male",Backend!$C$6,IF(Table1[[#This Row],[Fetal Sex (Male, Female or Unknown)]]="Female",Backend!$C$7,IF(Table1[[#This Row],[Fetal Sex (Male, Female or Unknown)]]="Unknown",Backend!$C$8,"Error"))),"")</f>
        <v/>
      </c>
      <c r="F5772" s="8" t="str">
        <f>IF(Table1[[#This Row],[Is Data Valid]]=TRUE,EXP(0.578+0.332*((Table1[[#This Row],[Gestation (days)]]+0.5)/7)-0.00354*((Table1[[#This Row],[Gestation (days)]]+0.5)/7)^2)*Table1[[#This Row],[BW40_3705]],"")</f>
        <v/>
      </c>
      <c r="G5772" s="2" t="str">
        <f>IF(Table1[[#This Row],[Is Data Valid]]=TRUE,((Table1[[#This Row],[Birthweight (grams)]]/Table1[[#This Row],[BW_GA]])-1)/(Backend!$B$4/100*Table1[[#This Row],[BW40_3705]]),"")</f>
        <v/>
      </c>
      <c r="H5772" s="7" t="str">
        <f>IF(Table1[[#This Row],[Is Data Valid]]=TRUE,((Table1[[#This Row],[Birthweight (grams)]]*0.9/Table1[[#This Row],[BW_GA]])-1)/(Backend!$B$4/100*Table1[[#This Row],[BW40_3705]]),"")</f>
        <v/>
      </c>
      <c r="I5772" s="7" t="str">
        <f>IF(Table1[[#This Row],[Is Data Valid]]=TRUE,((Table1[[#This Row],[Birthweight (grams)]]*1.1/Table1[[#This Row],[BW_GA]])-1)/(Backend!$B$4/100*Table1[[#This Row],[BW40_3705]]),"")</f>
        <v/>
      </c>
      <c r="J5772" s="7" t="str">
        <f>IF(Table1[[#This Row],[Is Data Valid]]=TRUE,_xlfn.NORM.S.DIST(Table1[[#This Row],[Birthweight Z-Score]],TRUE)*100,"")</f>
        <v/>
      </c>
      <c r="K5772" s="7" t="str">
        <f>IF(Table1[[#This Row],[Is Data Valid]]=TRUE,_xlfn.NORM.S.DIST(Table1[[#This Row],[Birthweight Z-Score (BW-10%)]],TRUE)*100,"")</f>
        <v/>
      </c>
      <c r="L5772" s="7" t="str">
        <f>IF(Table1[[#This Row],[Is Data Valid]]=TRUE,_xlfn.NORM.S.DIST(Table1[[#This Row],[Birthweight Z-Score (BW+10%)]],TRUE)*100,"")</f>
        <v/>
      </c>
    </row>
    <row r="5773" spans="1:12" x14ac:dyDescent="0.35">
      <c r="A5773" s="3"/>
      <c r="B5773" s="2"/>
      <c r="C5773" s="2"/>
      <c r="D5773" s="2" t="b">
        <f>IF(AND(NOT(ISBLANK(Table1[[#This Row],[Fetal Sex (Male, Female or Unknown)]])),ISNUMBER(Table1[[#This Row],[Birthweight (grams)]]),ISNUMBER(Table1[[#This Row],[Gestation (days)]])),TRUE,FALSE)</f>
        <v>0</v>
      </c>
      <c r="E5773" s="2" t="str">
        <f>IF(Table1[[#This Row],[Is Data Valid]]=TRUE,IF(Table1[[#This Row],[Fetal Sex (Male, Female or Unknown)]]="Male",Backend!$C$6,IF(Table1[[#This Row],[Fetal Sex (Male, Female or Unknown)]]="Female",Backend!$C$7,IF(Table1[[#This Row],[Fetal Sex (Male, Female or Unknown)]]="Unknown",Backend!$C$8,"Error"))),"")</f>
        <v/>
      </c>
      <c r="F5773" s="8" t="str">
        <f>IF(Table1[[#This Row],[Is Data Valid]]=TRUE,EXP(0.578+0.332*((Table1[[#This Row],[Gestation (days)]]+0.5)/7)-0.00354*((Table1[[#This Row],[Gestation (days)]]+0.5)/7)^2)*Table1[[#This Row],[BW40_3705]],"")</f>
        <v/>
      </c>
      <c r="G5773" s="2" t="str">
        <f>IF(Table1[[#This Row],[Is Data Valid]]=TRUE,((Table1[[#This Row],[Birthweight (grams)]]/Table1[[#This Row],[BW_GA]])-1)/(Backend!$B$4/100*Table1[[#This Row],[BW40_3705]]),"")</f>
        <v/>
      </c>
      <c r="H5773" s="7" t="str">
        <f>IF(Table1[[#This Row],[Is Data Valid]]=TRUE,((Table1[[#This Row],[Birthweight (grams)]]*0.9/Table1[[#This Row],[BW_GA]])-1)/(Backend!$B$4/100*Table1[[#This Row],[BW40_3705]]),"")</f>
        <v/>
      </c>
      <c r="I5773" s="7" t="str">
        <f>IF(Table1[[#This Row],[Is Data Valid]]=TRUE,((Table1[[#This Row],[Birthweight (grams)]]*1.1/Table1[[#This Row],[BW_GA]])-1)/(Backend!$B$4/100*Table1[[#This Row],[BW40_3705]]),"")</f>
        <v/>
      </c>
      <c r="J5773" s="7" t="str">
        <f>IF(Table1[[#This Row],[Is Data Valid]]=TRUE,_xlfn.NORM.S.DIST(Table1[[#This Row],[Birthweight Z-Score]],TRUE)*100,"")</f>
        <v/>
      </c>
      <c r="K5773" s="7" t="str">
        <f>IF(Table1[[#This Row],[Is Data Valid]]=TRUE,_xlfn.NORM.S.DIST(Table1[[#This Row],[Birthweight Z-Score (BW-10%)]],TRUE)*100,"")</f>
        <v/>
      </c>
      <c r="L5773" s="7" t="str">
        <f>IF(Table1[[#This Row],[Is Data Valid]]=TRUE,_xlfn.NORM.S.DIST(Table1[[#This Row],[Birthweight Z-Score (BW+10%)]],TRUE)*100,"")</f>
        <v/>
      </c>
    </row>
    <row r="5774" spans="1:12" x14ac:dyDescent="0.35">
      <c r="A5774" s="3"/>
      <c r="B5774" s="2"/>
      <c r="C5774" s="2"/>
      <c r="D5774" s="2" t="b">
        <f>IF(AND(NOT(ISBLANK(Table1[[#This Row],[Fetal Sex (Male, Female or Unknown)]])),ISNUMBER(Table1[[#This Row],[Birthweight (grams)]]),ISNUMBER(Table1[[#This Row],[Gestation (days)]])),TRUE,FALSE)</f>
        <v>0</v>
      </c>
      <c r="E5774" s="2" t="str">
        <f>IF(Table1[[#This Row],[Is Data Valid]]=TRUE,IF(Table1[[#This Row],[Fetal Sex (Male, Female or Unknown)]]="Male",Backend!$C$6,IF(Table1[[#This Row],[Fetal Sex (Male, Female or Unknown)]]="Female",Backend!$C$7,IF(Table1[[#This Row],[Fetal Sex (Male, Female or Unknown)]]="Unknown",Backend!$C$8,"Error"))),"")</f>
        <v/>
      </c>
      <c r="F5774" s="8" t="str">
        <f>IF(Table1[[#This Row],[Is Data Valid]]=TRUE,EXP(0.578+0.332*((Table1[[#This Row],[Gestation (days)]]+0.5)/7)-0.00354*((Table1[[#This Row],[Gestation (days)]]+0.5)/7)^2)*Table1[[#This Row],[BW40_3705]],"")</f>
        <v/>
      </c>
      <c r="G5774" s="2" t="str">
        <f>IF(Table1[[#This Row],[Is Data Valid]]=TRUE,((Table1[[#This Row],[Birthweight (grams)]]/Table1[[#This Row],[BW_GA]])-1)/(Backend!$B$4/100*Table1[[#This Row],[BW40_3705]]),"")</f>
        <v/>
      </c>
      <c r="H5774" s="7" t="str">
        <f>IF(Table1[[#This Row],[Is Data Valid]]=TRUE,((Table1[[#This Row],[Birthweight (grams)]]*0.9/Table1[[#This Row],[BW_GA]])-1)/(Backend!$B$4/100*Table1[[#This Row],[BW40_3705]]),"")</f>
        <v/>
      </c>
      <c r="I5774" s="7" t="str">
        <f>IF(Table1[[#This Row],[Is Data Valid]]=TRUE,((Table1[[#This Row],[Birthweight (grams)]]*1.1/Table1[[#This Row],[BW_GA]])-1)/(Backend!$B$4/100*Table1[[#This Row],[BW40_3705]]),"")</f>
        <v/>
      </c>
      <c r="J5774" s="7" t="str">
        <f>IF(Table1[[#This Row],[Is Data Valid]]=TRUE,_xlfn.NORM.S.DIST(Table1[[#This Row],[Birthweight Z-Score]],TRUE)*100,"")</f>
        <v/>
      </c>
      <c r="K5774" s="7" t="str">
        <f>IF(Table1[[#This Row],[Is Data Valid]]=TRUE,_xlfn.NORM.S.DIST(Table1[[#This Row],[Birthweight Z-Score (BW-10%)]],TRUE)*100,"")</f>
        <v/>
      </c>
      <c r="L5774" s="7" t="str">
        <f>IF(Table1[[#This Row],[Is Data Valid]]=TRUE,_xlfn.NORM.S.DIST(Table1[[#This Row],[Birthweight Z-Score (BW+10%)]],TRUE)*100,"")</f>
        <v/>
      </c>
    </row>
    <row r="5775" spans="1:12" x14ac:dyDescent="0.35">
      <c r="A5775" s="3"/>
      <c r="B5775" s="2"/>
      <c r="C5775" s="2"/>
      <c r="D5775" s="2" t="b">
        <f>IF(AND(NOT(ISBLANK(Table1[[#This Row],[Fetal Sex (Male, Female or Unknown)]])),ISNUMBER(Table1[[#This Row],[Birthweight (grams)]]),ISNUMBER(Table1[[#This Row],[Gestation (days)]])),TRUE,FALSE)</f>
        <v>0</v>
      </c>
      <c r="E5775" s="2" t="str">
        <f>IF(Table1[[#This Row],[Is Data Valid]]=TRUE,IF(Table1[[#This Row],[Fetal Sex (Male, Female or Unknown)]]="Male",Backend!$C$6,IF(Table1[[#This Row],[Fetal Sex (Male, Female or Unknown)]]="Female",Backend!$C$7,IF(Table1[[#This Row],[Fetal Sex (Male, Female or Unknown)]]="Unknown",Backend!$C$8,"Error"))),"")</f>
        <v/>
      </c>
      <c r="F5775" s="8" t="str">
        <f>IF(Table1[[#This Row],[Is Data Valid]]=TRUE,EXP(0.578+0.332*((Table1[[#This Row],[Gestation (days)]]+0.5)/7)-0.00354*((Table1[[#This Row],[Gestation (days)]]+0.5)/7)^2)*Table1[[#This Row],[BW40_3705]],"")</f>
        <v/>
      </c>
      <c r="G5775" s="2" t="str">
        <f>IF(Table1[[#This Row],[Is Data Valid]]=TRUE,((Table1[[#This Row],[Birthweight (grams)]]/Table1[[#This Row],[BW_GA]])-1)/(Backend!$B$4/100*Table1[[#This Row],[BW40_3705]]),"")</f>
        <v/>
      </c>
      <c r="H5775" s="7" t="str">
        <f>IF(Table1[[#This Row],[Is Data Valid]]=TRUE,((Table1[[#This Row],[Birthweight (grams)]]*0.9/Table1[[#This Row],[BW_GA]])-1)/(Backend!$B$4/100*Table1[[#This Row],[BW40_3705]]),"")</f>
        <v/>
      </c>
      <c r="I5775" s="7" t="str">
        <f>IF(Table1[[#This Row],[Is Data Valid]]=TRUE,((Table1[[#This Row],[Birthweight (grams)]]*1.1/Table1[[#This Row],[BW_GA]])-1)/(Backend!$B$4/100*Table1[[#This Row],[BW40_3705]]),"")</f>
        <v/>
      </c>
      <c r="J5775" s="7" t="str">
        <f>IF(Table1[[#This Row],[Is Data Valid]]=TRUE,_xlfn.NORM.S.DIST(Table1[[#This Row],[Birthweight Z-Score]],TRUE)*100,"")</f>
        <v/>
      </c>
      <c r="K5775" s="7" t="str">
        <f>IF(Table1[[#This Row],[Is Data Valid]]=TRUE,_xlfn.NORM.S.DIST(Table1[[#This Row],[Birthweight Z-Score (BW-10%)]],TRUE)*100,"")</f>
        <v/>
      </c>
      <c r="L5775" s="7" t="str">
        <f>IF(Table1[[#This Row],[Is Data Valid]]=TRUE,_xlfn.NORM.S.DIST(Table1[[#This Row],[Birthweight Z-Score (BW+10%)]],TRUE)*100,"")</f>
        <v/>
      </c>
    </row>
    <row r="5776" spans="1:12" x14ac:dyDescent="0.35">
      <c r="A5776" s="3"/>
      <c r="B5776" s="2"/>
      <c r="C5776" s="2"/>
      <c r="D5776" s="2" t="b">
        <f>IF(AND(NOT(ISBLANK(Table1[[#This Row],[Fetal Sex (Male, Female or Unknown)]])),ISNUMBER(Table1[[#This Row],[Birthweight (grams)]]),ISNUMBER(Table1[[#This Row],[Gestation (days)]])),TRUE,FALSE)</f>
        <v>0</v>
      </c>
      <c r="E5776" s="2" t="str">
        <f>IF(Table1[[#This Row],[Is Data Valid]]=TRUE,IF(Table1[[#This Row],[Fetal Sex (Male, Female or Unknown)]]="Male",Backend!$C$6,IF(Table1[[#This Row],[Fetal Sex (Male, Female or Unknown)]]="Female",Backend!$C$7,IF(Table1[[#This Row],[Fetal Sex (Male, Female or Unknown)]]="Unknown",Backend!$C$8,"Error"))),"")</f>
        <v/>
      </c>
      <c r="F5776" s="8" t="str">
        <f>IF(Table1[[#This Row],[Is Data Valid]]=TRUE,EXP(0.578+0.332*((Table1[[#This Row],[Gestation (days)]]+0.5)/7)-0.00354*((Table1[[#This Row],[Gestation (days)]]+0.5)/7)^2)*Table1[[#This Row],[BW40_3705]],"")</f>
        <v/>
      </c>
      <c r="G5776" s="2" t="str">
        <f>IF(Table1[[#This Row],[Is Data Valid]]=TRUE,((Table1[[#This Row],[Birthweight (grams)]]/Table1[[#This Row],[BW_GA]])-1)/(Backend!$B$4/100*Table1[[#This Row],[BW40_3705]]),"")</f>
        <v/>
      </c>
      <c r="H5776" s="7" t="str">
        <f>IF(Table1[[#This Row],[Is Data Valid]]=TRUE,((Table1[[#This Row],[Birthweight (grams)]]*0.9/Table1[[#This Row],[BW_GA]])-1)/(Backend!$B$4/100*Table1[[#This Row],[BW40_3705]]),"")</f>
        <v/>
      </c>
      <c r="I5776" s="7" t="str">
        <f>IF(Table1[[#This Row],[Is Data Valid]]=TRUE,((Table1[[#This Row],[Birthweight (grams)]]*1.1/Table1[[#This Row],[BW_GA]])-1)/(Backend!$B$4/100*Table1[[#This Row],[BW40_3705]]),"")</f>
        <v/>
      </c>
      <c r="J5776" s="7" t="str">
        <f>IF(Table1[[#This Row],[Is Data Valid]]=TRUE,_xlfn.NORM.S.DIST(Table1[[#This Row],[Birthweight Z-Score]],TRUE)*100,"")</f>
        <v/>
      </c>
      <c r="K5776" s="7" t="str">
        <f>IF(Table1[[#This Row],[Is Data Valid]]=TRUE,_xlfn.NORM.S.DIST(Table1[[#This Row],[Birthweight Z-Score (BW-10%)]],TRUE)*100,"")</f>
        <v/>
      </c>
      <c r="L5776" s="7" t="str">
        <f>IF(Table1[[#This Row],[Is Data Valid]]=TRUE,_xlfn.NORM.S.DIST(Table1[[#This Row],[Birthweight Z-Score (BW+10%)]],TRUE)*100,"")</f>
        <v/>
      </c>
    </row>
    <row r="5777" spans="1:12" x14ac:dyDescent="0.35">
      <c r="A5777" s="3"/>
      <c r="B5777" s="2"/>
      <c r="C5777" s="2"/>
      <c r="D5777" s="2" t="b">
        <f>IF(AND(NOT(ISBLANK(Table1[[#This Row],[Fetal Sex (Male, Female or Unknown)]])),ISNUMBER(Table1[[#This Row],[Birthweight (grams)]]),ISNUMBER(Table1[[#This Row],[Gestation (days)]])),TRUE,FALSE)</f>
        <v>0</v>
      </c>
      <c r="E5777" s="2" t="str">
        <f>IF(Table1[[#This Row],[Is Data Valid]]=TRUE,IF(Table1[[#This Row],[Fetal Sex (Male, Female or Unknown)]]="Male",Backend!$C$6,IF(Table1[[#This Row],[Fetal Sex (Male, Female or Unknown)]]="Female",Backend!$C$7,IF(Table1[[#This Row],[Fetal Sex (Male, Female or Unknown)]]="Unknown",Backend!$C$8,"Error"))),"")</f>
        <v/>
      </c>
      <c r="F5777" s="8" t="str">
        <f>IF(Table1[[#This Row],[Is Data Valid]]=TRUE,EXP(0.578+0.332*((Table1[[#This Row],[Gestation (days)]]+0.5)/7)-0.00354*((Table1[[#This Row],[Gestation (days)]]+0.5)/7)^2)*Table1[[#This Row],[BW40_3705]],"")</f>
        <v/>
      </c>
      <c r="G5777" s="2" t="str">
        <f>IF(Table1[[#This Row],[Is Data Valid]]=TRUE,((Table1[[#This Row],[Birthweight (grams)]]/Table1[[#This Row],[BW_GA]])-1)/(Backend!$B$4/100*Table1[[#This Row],[BW40_3705]]),"")</f>
        <v/>
      </c>
      <c r="H5777" s="7" t="str">
        <f>IF(Table1[[#This Row],[Is Data Valid]]=TRUE,((Table1[[#This Row],[Birthweight (grams)]]*0.9/Table1[[#This Row],[BW_GA]])-1)/(Backend!$B$4/100*Table1[[#This Row],[BW40_3705]]),"")</f>
        <v/>
      </c>
      <c r="I5777" s="7" t="str">
        <f>IF(Table1[[#This Row],[Is Data Valid]]=TRUE,((Table1[[#This Row],[Birthweight (grams)]]*1.1/Table1[[#This Row],[BW_GA]])-1)/(Backend!$B$4/100*Table1[[#This Row],[BW40_3705]]),"")</f>
        <v/>
      </c>
      <c r="J5777" s="7" t="str">
        <f>IF(Table1[[#This Row],[Is Data Valid]]=TRUE,_xlfn.NORM.S.DIST(Table1[[#This Row],[Birthweight Z-Score]],TRUE)*100,"")</f>
        <v/>
      </c>
      <c r="K5777" s="7" t="str">
        <f>IF(Table1[[#This Row],[Is Data Valid]]=TRUE,_xlfn.NORM.S.DIST(Table1[[#This Row],[Birthweight Z-Score (BW-10%)]],TRUE)*100,"")</f>
        <v/>
      </c>
      <c r="L5777" s="7" t="str">
        <f>IF(Table1[[#This Row],[Is Data Valid]]=TRUE,_xlfn.NORM.S.DIST(Table1[[#This Row],[Birthweight Z-Score (BW+10%)]],TRUE)*100,"")</f>
        <v/>
      </c>
    </row>
    <row r="5778" spans="1:12" x14ac:dyDescent="0.35">
      <c r="A5778" s="3"/>
      <c r="B5778" s="2"/>
      <c r="C5778" s="2"/>
      <c r="D5778" s="2" t="b">
        <f>IF(AND(NOT(ISBLANK(Table1[[#This Row],[Fetal Sex (Male, Female or Unknown)]])),ISNUMBER(Table1[[#This Row],[Birthweight (grams)]]),ISNUMBER(Table1[[#This Row],[Gestation (days)]])),TRUE,FALSE)</f>
        <v>0</v>
      </c>
      <c r="E5778" s="2" t="str">
        <f>IF(Table1[[#This Row],[Is Data Valid]]=TRUE,IF(Table1[[#This Row],[Fetal Sex (Male, Female or Unknown)]]="Male",Backend!$C$6,IF(Table1[[#This Row],[Fetal Sex (Male, Female or Unknown)]]="Female",Backend!$C$7,IF(Table1[[#This Row],[Fetal Sex (Male, Female or Unknown)]]="Unknown",Backend!$C$8,"Error"))),"")</f>
        <v/>
      </c>
      <c r="F5778" s="8" t="str">
        <f>IF(Table1[[#This Row],[Is Data Valid]]=TRUE,EXP(0.578+0.332*((Table1[[#This Row],[Gestation (days)]]+0.5)/7)-0.00354*((Table1[[#This Row],[Gestation (days)]]+0.5)/7)^2)*Table1[[#This Row],[BW40_3705]],"")</f>
        <v/>
      </c>
      <c r="G5778" s="2" t="str">
        <f>IF(Table1[[#This Row],[Is Data Valid]]=TRUE,((Table1[[#This Row],[Birthweight (grams)]]/Table1[[#This Row],[BW_GA]])-1)/(Backend!$B$4/100*Table1[[#This Row],[BW40_3705]]),"")</f>
        <v/>
      </c>
      <c r="H5778" s="7" t="str">
        <f>IF(Table1[[#This Row],[Is Data Valid]]=TRUE,((Table1[[#This Row],[Birthweight (grams)]]*0.9/Table1[[#This Row],[BW_GA]])-1)/(Backend!$B$4/100*Table1[[#This Row],[BW40_3705]]),"")</f>
        <v/>
      </c>
      <c r="I5778" s="7" t="str">
        <f>IF(Table1[[#This Row],[Is Data Valid]]=TRUE,((Table1[[#This Row],[Birthweight (grams)]]*1.1/Table1[[#This Row],[BW_GA]])-1)/(Backend!$B$4/100*Table1[[#This Row],[BW40_3705]]),"")</f>
        <v/>
      </c>
      <c r="J5778" s="7" t="str">
        <f>IF(Table1[[#This Row],[Is Data Valid]]=TRUE,_xlfn.NORM.S.DIST(Table1[[#This Row],[Birthweight Z-Score]],TRUE)*100,"")</f>
        <v/>
      </c>
      <c r="K5778" s="7" t="str">
        <f>IF(Table1[[#This Row],[Is Data Valid]]=TRUE,_xlfn.NORM.S.DIST(Table1[[#This Row],[Birthweight Z-Score (BW-10%)]],TRUE)*100,"")</f>
        <v/>
      </c>
      <c r="L5778" s="7" t="str">
        <f>IF(Table1[[#This Row],[Is Data Valid]]=TRUE,_xlfn.NORM.S.DIST(Table1[[#This Row],[Birthweight Z-Score (BW+10%)]],TRUE)*100,"")</f>
        <v/>
      </c>
    </row>
    <row r="5779" spans="1:12" x14ac:dyDescent="0.35">
      <c r="A5779" s="3"/>
      <c r="B5779" s="2"/>
      <c r="C5779" s="2"/>
      <c r="D5779" s="2" t="b">
        <f>IF(AND(NOT(ISBLANK(Table1[[#This Row],[Fetal Sex (Male, Female or Unknown)]])),ISNUMBER(Table1[[#This Row],[Birthweight (grams)]]),ISNUMBER(Table1[[#This Row],[Gestation (days)]])),TRUE,FALSE)</f>
        <v>0</v>
      </c>
      <c r="E5779" s="2" t="str">
        <f>IF(Table1[[#This Row],[Is Data Valid]]=TRUE,IF(Table1[[#This Row],[Fetal Sex (Male, Female or Unknown)]]="Male",Backend!$C$6,IF(Table1[[#This Row],[Fetal Sex (Male, Female or Unknown)]]="Female",Backend!$C$7,IF(Table1[[#This Row],[Fetal Sex (Male, Female or Unknown)]]="Unknown",Backend!$C$8,"Error"))),"")</f>
        <v/>
      </c>
      <c r="F5779" s="8" t="str">
        <f>IF(Table1[[#This Row],[Is Data Valid]]=TRUE,EXP(0.578+0.332*((Table1[[#This Row],[Gestation (days)]]+0.5)/7)-0.00354*((Table1[[#This Row],[Gestation (days)]]+0.5)/7)^2)*Table1[[#This Row],[BW40_3705]],"")</f>
        <v/>
      </c>
      <c r="G5779" s="2" t="str">
        <f>IF(Table1[[#This Row],[Is Data Valid]]=TRUE,((Table1[[#This Row],[Birthweight (grams)]]/Table1[[#This Row],[BW_GA]])-1)/(Backend!$B$4/100*Table1[[#This Row],[BW40_3705]]),"")</f>
        <v/>
      </c>
      <c r="H5779" s="7" t="str">
        <f>IF(Table1[[#This Row],[Is Data Valid]]=TRUE,((Table1[[#This Row],[Birthweight (grams)]]*0.9/Table1[[#This Row],[BW_GA]])-1)/(Backend!$B$4/100*Table1[[#This Row],[BW40_3705]]),"")</f>
        <v/>
      </c>
      <c r="I5779" s="7" t="str">
        <f>IF(Table1[[#This Row],[Is Data Valid]]=TRUE,((Table1[[#This Row],[Birthweight (grams)]]*1.1/Table1[[#This Row],[BW_GA]])-1)/(Backend!$B$4/100*Table1[[#This Row],[BW40_3705]]),"")</f>
        <v/>
      </c>
      <c r="J5779" s="7" t="str">
        <f>IF(Table1[[#This Row],[Is Data Valid]]=TRUE,_xlfn.NORM.S.DIST(Table1[[#This Row],[Birthweight Z-Score]],TRUE)*100,"")</f>
        <v/>
      </c>
      <c r="K5779" s="7" t="str">
        <f>IF(Table1[[#This Row],[Is Data Valid]]=TRUE,_xlfn.NORM.S.DIST(Table1[[#This Row],[Birthweight Z-Score (BW-10%)]],TRUE)*100,"")</f>
        <v/>
      </c>
      <c r="L5779" s="7" t="str">
        <f>IF(Table1[[#This Row],[Is Data Valid]]=TRUE,_xlfn.NORM.S.DIST(Table1[[#This Row],[Birthweight Z-Score (BW+10%)]],TRUE)*100,"")</f>
        <v/>
      </c>
    </row>
    <row r="5780" spans="1:12" x14ac:dyDescent="0.35">
      <c r="A5780" s="3"/>
      <c r="B5780" s="2"/>
      <c r="C5780" s="2"/>
      <c r="D5780" s="2" t="b">
        <f>IF(AND(NOT(ISBLANK(Table1[[#This Row],[Fetal Sex (Male, Female or Unknown)]])),ISNUMBER(Table1[[#This Row],[Birthweight (grams)]]),ISNUMBER(Table1[[#This Row],[Gestation (days)]])),TRUE,FALSE)</f>
        <v>0</v>
      </c>
      <c r="E5780" s="2" t="str">
        <f>IF(Table1[[#This Row],[Is Data Valid]]=TRUE,IF(Table1[[#This Row],[Fetal Sex (Male, Female or Unknown)]]="Male",Backend!$C$6,IF(Table1[[#This Row],[Fetal Sex (Male, Female or Unknown)]]="Female",Backend!$C$7,IF(Table1[[#This Row],[Fetal Sex (Male, Female or Unknown)]]="Unknown",Backend!$C$8,"Error"))),"")</f>
        <v/>
      </c>
      <c r="F5780" s="8" t="str">
        <f>IF(Table1[[#This Row],[Is Data Valid]]=TRUE,EXP(0.578+0.332*((Table1[[#This Row],[Gestation (days)]]+0.5)/7)-0.00354*((Table1[[#This Row],[Gestation (days)]]+0.5)/7)^2)*Table1[[#This Row],[BW40_3705]],"")</f>
        <v/>
      </c>
      <c r="G5780" s="2" t="str">
        <f>IF(Table1[[#This Row],[Is Data Valid]]=TRUE,((Table1[[#This Row],[Birthweight (grams)]]/Table1[[#This Row],[BW_GA]])-1)/(Backend!$B$4/100*Table1[[#This Row],[BW40_3705]]),"")</f>
        <v/>
      </c>
      <c r="H5780" s="7" t="str">
        <f>IF(Table1[[#This Row],[Is Data Valid]]=TRUE,((Table1[[#This Row],[Birthweight (grams)]]*0.9/Table1[[#This Row],[BW_GA]])-1)/(Backend!$B$4/100*Table1[[#This Row],[BW40_3705]]),"")</f>
        <v/>
      </c>
      <c r="I5780" s="7" t="str">
        <f>IF(Table1[[#This Row],[Is Data Valid]]=TRUE,((Table1[[#This Row],[Birthweight (grams)]]*1.1/Table1[[#This Row],[BW_GA]])-1)/(Backend!$B$4/100*Table1[[#This Row],[BW40_3705]]),"")</f>
        <v/>
      </c>
      <c r="J5780" s="7" t="str">
        <f>IF(Table1[[#This Row],[Is Data Valid]]=TRUE,_xlfn.NORM.S.DIST(Table1[[#This Row],[Birthweight Z-Score]],TRUE)*100,"")</f>
        <v/>
      </c>
      <c r="K5780" s="7" t="str">
        <f>IF(Table1[[#This Row],[Is Data Valid]]=TRUE,_xlfn.NORM.S.DIST(Table1[[#This Row],[Birthweight Z-Score (BW-10%)]],TRUE)*100,"")</f>
        <v/>
      </c>
      <c r="L5780" s="7" t="str">
        <f>IF(Table1[[#This Row],[Is Data Valid]]=TRUE,_xlfn.NORM.S.DIST(Table1[[#This Row],[Birthweight Z-Score (BW+10%)]],TRUE)*100,"")</f>
        <v/>
      </c>
    </row>
    <row r="5781" spans="1:12" x14ac:dyDescent="0.35">
      <c r="A5781" s="3"/>
      <c r="B5781" s="2"/>
      <c r="C5781" s="2"/>
      <c r="D5781" s="2" t="b">
        <f>IF(AND(NOT(ISBLANK(Table1[[#This Row],[Fetal Sex (Male, Female or Unknown)]])),ISNUMBER(Table1[[#This Row],[Birthweight (grams)]]),ISNUMBER(Table1[[#This Row],[Gestation (days)]])),TRUE,FALSE)</f>
        <v>0</v>
      </c>
      <c r="E5781" s="2" t="str">
        <f>IF(Table1[[#This Row],[Is Data Valid]]=TRUE,IF(Table1[[#This Row],[Fetal Sex (Male, Female or Unknown)]]="Male",Backend!$C$6,IF(Table1[[#This Row],[Fetal Sex (Male, Female or Unknown)]]="Female",Backend!$C$7,IF(Table1[[#This Row],[Fetal Sex (Male, Female or Unknown)]]="Unknown",Backend!$C$8,"Error"))),"")</f>
        <v/>
      </c>
      <c r="F5781" s="8" t="str">
        <f>IF(Table1[[#This Row],[Is Data Valid]]=TRUE,EXP(0.578+0.332*((Table1[[#This Row],[Gestation (days)]]+0.5)/7)-0.00354*((Table1[[#This Row],[Gestation (days)]]+0.5)/7)^2)*Table1[[#This Row],[BW40_3705]],"")</f>
        <v/>
      </c>
      <c r="G5781" s="2" t="str">
        <f>IF(Table1[[#This Row],[Is Data Valid]]=TRUE,((Table1[[#This Row],[Birthweight (grams)]]/Table1[[#This Row],[BW_GA]])-1)/(Backend!$B$4/100*Table1[[#This Row],[BW40_3705]]),"")</f>
        <v/>
      </c>
      <c r="H5781" s="7" t="str">
        <f>IF(Table1[[#This Row],[Is Data Valid]]=TRUE,((Table1[[#This Row],[Birthweight (grams)]]*0.9/Table1[[#This Row],[BW_GA]])-1)/(Backend!$B$4/100*Table1[[#This Row],[BW40_3705]]),"")</f>
        <v/>
      </c>
      <c r="I5781" s="7" t="str">
        <f>IF(Table1[[#This Row],[Is Data Valid]]=TRUE,((Table1[[#This Row],[Birthweight (grams)]]*1.1/Table1[[#This Row],[BW_GA]])-1)/(Backend!$B$4/100*Table1[[#This Row],[BW40_3705]]),"")</f>
        <v/>
      </c>
      <c r="J5781" s="7" t="str">
        <f>IF(Table1[[#This Row],[Is Data Valid]]=TRUE,_xlfn.NORM.S.DIST(Table1[[#This Row],[Birthweight Z-Score]],TRUE)*100,"")</f>
        <v/>
      </c>
      <c r="K5781" s="7" t="str">
        <f>IF(Table1[[#This Row],[Is Data Valid]]=TRUE,_xlfn.NORM.S.DIST(Table1[[#This Row],[Birthweight Z-Score (BW-10%)]],TRUE)*100,"")</f>
        <v/>
      </c>
      <c r="L5781" s="7" t="str">
        <f>IF(Table1[[#This Row],[Is Data Valid]]=TRUE,_xlfn.NORM.S.DIST(Table1[[#This Row],[Birthweight Z-Score (BW+10%)]],TRUE)*100,"")</f>
        <v/>
      </c>
    </row>
    <row r="5782" spans="1:12" x14ac:dyDescent="0.35">
      <c r="A5782" s="3"/>
      <c r="B5782" s="2"/>
      <c r="C5782" s="2"/>
      <c r="D5782" s="2" t="b">
        <f>IF(AND(NOT(ISBLANK(Table1[[#This Row],[Fetal Sex (Male, Female or Unknown)]])),ISNUMBER(Table1[[#This Row],[Birthweight (grams)]]),ISNUMBER(Table1[[#This Row],[Gestation (days)]])),TRUE,FALSE)</f>
        <v>0</v>
      </c>
      <c r="E5782" s="2" t="str">
        <f>IF(Table1[[#This Row],[Is Data Valid]]=TRUE,IF(Table1[[#This Row],[Fetal Sex (Male, Female or Unknown)]]="Male",Backend!$C$6,IF(Table1[[#This Row],[Fetal Sex (Male, Female or Unknown)]]="Female",Backend!$C$7,IF(Table1[[#This Row],[Fetal Sex (Male, Female or Unknown)]]="Unknown",Backend!$C$8,"Error"))),"")</f>
        <v/>
      </c>
      <c r="F5782" s="8" t="str">
        <f>IF(Table1[[#This Row],[Is Data Valid]]=TRUE,EXP(0.578+0.332*((Table1[[#This Row],[Gestation (days)]]+0.5)/7)-0.00354*((Table1[[#This Row],[Gestation (days)]]+0.5)/7)^2)*Table1[[#This Row],[BW40_3705]],"")</f>
        <v/>
      </c>
      <c r="G5782" s="2" t="str">
        <f>IF(Table1[[#This Row],[Is Data Valid]]=TRUE,((Table1[[#This Row],[Birthweight (grams)]]/Table1[[#This Row],[BW_GA]])-1)/(Backend!$B$4/100*Table1[[#This Row],[BW40_3705]]),"")</f>
        <v/>
      </c>
      <c r="H5782" s="7" t="str">
        <f>IF(Table1[[#This Row],[Is Data Valid]]=TRUE,((Table1[[#This Row],[Birthweight (grams)]]*0.9/Table1[[#This Row],[BW_GA]])-1)/(Backend!$B$4/100*Table1[[#This Row],[BW40_3705]]),"")</f>
        <v/>
      </c>
      <c r="I5782" s="7" t="str">
        <f>IF(Table1[[#This Row],[Is Data Valid]]=TRUE,((Table1[[#This Row],[Birthweight (grams)]]*1.1/Table1[[#This Row],[BW_GA]])-1)/(Backend!$B$4/100*Table1[[#This Row],[BW40_3705]]),"")</f>
        <v/>
      </c>
      <c r="J5782" s="7" t="str">
        <f>IF(Table1[[#This Row],[Is Data Valid]]=TRUE,_xlfn.NORM.S.DIST(Table1[[#This Row],[Birthweight Z-Score]],TRUE)*100,"")</f>
        <v/>
      </c>
      <c r="K5782" s="7" t="str">
        <f>IF(Table1[[#This Row],[Is Data Valid]]=TRUE,_xlfn.NORM.S.DIST(Table1[[#This Row],[Birthweight Z-Score (BW-10%)]],TRUE)*100,"")</f>
        <v/>
      </c>
      <c r="L5782" s="7" t="str">
        <f>IF(Table1[[#This Row],[Is Data Valid]]=TRUE,_xlfn.NORM.S.DIST(Table1[[#This Row],[Birthweight Z-Score (BW+10%)]],TRUE)*100,"")</f>
        <v/>
      </c>
    </row>
    <row r="5783" spans="1:12" x14ac:dyDescent="0.35">
      <c r="A5783" s="3"/>
      <c r="B5783" s="2"/>
      <c r="C5783" s="2"/>
      <c r="D5783" s="2" t="b">
        <f>IF(AND(NOT(ISBLANK(Table1[[#This Row],[Fetal Sex (Male, Female or Unknown)]])),ISNUMBER(Table1[[#This Row],[Birthweight (grams)]]),ISNUMBER(Table1[[#This Row],[Gestation (days)]])),TRUE,FALSE)</f>
        <v>0</v>
      </c>
      <c r="E5783" s="2" t="str">
        <f>IF(Table1[[#This Row],[Is Data Valid]]=TRUE,IF(Table1[[#This Row],[Fetal Sex (Male, Female or Unknown)]]="Male",Backend!$C$6,IF(Table1[[#This Row],[Fetal Sex (Male, Female or Unknown)]]="Female",Backend!$C$7,IF(Table1[[#This Row],[Fetal Sex (Male, Female or Unknown)]]="Unknown",Backend!$C$8,"Error"))),"")</f>
        <v/>
      </c>
      <c r="F5783" s="8" t="str">
        <f>IF(Table1[[#This Row],[Is Data Valid]]=TRUE,EXP(0.578+0.332*((Table1[[#This Row],[Gestation (days)]]+0.5)/7)-0.00354*((Table1[[#This Row],[Gestation (days)]]+0.5)/7)^2)*Table1[[#This Row],[BW40_3705]],"")</f>
        <v/>
      </c>
      <c r="G5783" s="2" t="str">
        <f>IF(Table1[[#This Row],[Is Data Valid]]=TRUE,((Table1[[#This Row],[Birthweight (grams)]]/Table1[[#This Row],[BW_GA]])-1)/(Backend!$B$4/100*Table1[[#This Row],[BW40_3705]]),"")</f>
        <v/>
      </c>
      <c r="H5783" s="7" t="str">
        <f>IF(Table1[[#This Row],[Is Data Valid]]=TRUE,((Table1[[#This Row],[Birthweight (grams)]]*0.9/Table1[[#This Row],[BW_GA]])-1)/(Backend!$B$4/100*Table1[[#This Row],[BW40_3705]]),"")</f>
        <v/>
      </c>
      <c r="I5783" s="7" t="str">
        <f>IF(Table1[[#This Row],[Is Data Valid]]=TRUE,((Table1[[#This Row],[Birthweight (grams)]]*1.1/Table1[[#This Row],[BW_GA]])-1)/(Backend!$B$4/100*Table1[[#This Row],[BW40_3705]]),"")</f>
        <v/>
      </c>
      <c r="J5783" s="7" t="str">
        <f>IF(Table1[[#This Row],[Is Data Valid]]=TRUE,_xlfn.NORM.S.DIST(Table1[[#This Row],[Birthweight Z-Score]],TRUE)*100,"")</f>
        <v/>
      </c>
      <c r="K5783" s="7" t="str">
        <f>IF(Table1[[#This Row],[Is Data Valid]]=TRUE,_xlfn.NORM.S.DIST(Table1[[#This Row],[Birthweight Z-Score (BW-10%)]],TRUE)*100,"")</f>
        <v/>
      </c>
      <c r="L5783" s="7" t="str">
        <f>IF(Table1[[#This Row],[Is Data Valid]]=TRUE,_xlfn.NORM.S.DIST(Table1[[#This Row],[Birthweight Z-Score (BW+10%)]],TRUE)*100,"")</f>
        <v/>
      </c>
    </row>
    <row r="5784" spans="1:12" x14ac:dyDescent="0.35">
      <c r="A5784" s="3"/>
      <c r="B5784" s="2"/>
      <c r="C5784" s="2"/>
      <c r="D5784" s="2" t="b">
        <f>IF(AND(NOT(ISBLANK(Table1[[#This Row],[Fetal Sex (Male, Female or Unknown)]])),ISNUMBER(Table1[[#This Row],[Birthweight (grams)]]),ISNUMBER(Table1[[#This Row],[Gestation (days)]])),TRUE,FALSE)</f>
        <v>0</v>
      </c>
      <c r="E5784" s="2" t="str">
        <f>IF(Table1[[#This Row],[Is Data Valid]]=TRUE,IF(Table1[[#This Row],[Fetal Sex (Male, Female or Unknown)]]="Male",Backend!$C$6,IF(Table1[[#This Row],[Fetal Sex (Male, Female or Unknown)]]="Female",Backend!$C$7,IF(Table1[[#This Row],[Fetal Sex (Male, Female or Unknown)]]="Unknown",Backend!$C$8,"Error"))),"")</f>
        <v/>
      </c>
      <c r="F5784" s="8" t="str">
        <f>IF(Table1[[#This Row],[Is Data Valid]]=TRUE,EXP(0.578+0.332*((Table1[[#This Row],[Gestation (days)]]+0.5)/7)-0.00354*((Table1[[#This Row],[Gestation (days)]]+0.5)/7)^2)*Table1[[#This Row],[BW40_3705]],"")</f>
        <v/>
      </c>
      <c r="G5784" s="2" t="str">
        <f>IF(Table1[[#This Row],[Is Data Valid]]=TRUE,((Table1[[#This Row],[Birthweight (grams)]]/Table1[[#This Row],[BW_GA]])-1)/(Backend!$B$4/100*Table1[[#This Row],[BW40_3705]]),"")</f>
        <v/>
      </c>
      <c r="H5784" s="7" t="str">
        <f>IF(Table1[[#This Row],[Is Data Valid]]=TRUE,((Table1[[#This Row],[Birthweight (grams)]]*0.9/Table1[[#This Row],[BW_GA]])-1)/(Backend!$B$4/100*Table1[[#This Row],[BW40_3705]]),"")</f>
        <v/>
      </c>
      <c r="I5784" s="7" t="str">
        <f>IF(Table1[[#This Row],[Is Data Valid]]=TRUE,((Table1[[#This Row],[Birthweight (grams)]]*1.1/Table1[[#This Row],[BW_GA]])-1)/(Backend!$B$4/100*Table1[[#This Row],[BW40_3705]]),"")</f>
        <v/>
      </c>
      <c r="J5784" s="7" t="str">
        <f>IF(Table1[[#This Row],[Is Data Valid]]=TRUE,_xlfn.NORM.S.DIST(Table1[[#This Row],[Birthweight Z-Score]],TRUE)*100,"")</f>
        <v/>
      </c>
      <c r="K5784" s="7" t="str">
        <f>IF(Table1[[#This Row],[Is Data Valid]]=TRUE,_xlfn.NORM.S.DIST(Table1[[#This Row],[Birthweight Z-Score (BW-10%)]],TRUE)*100,"")</f>
        <v/>
      </c>
      <c r="L5784" s="7" t="str">
        <f>IF(Table1[[#This Row],[Is Data Valid]]=TRUE,_xlfn.NORM.S.DIST(Table1[[#This Row],[Birthweight Z-Score (BW+10%)]],TRUE)*100,"")</f>
        <v/>
      </c>
    </row>
    <row r="5785" spans="1:12" x14ac:dyDescent="0.35">
      <c r="A5785" s="3"/>
      <c r="B5785" s="2"/>
      <c r="C5785" s="2"/>
      <c r="D5785" s="2" t="b">
        <f>IF(AND(NOT(ISBLANK(Table1[[#This Row],[Fetal Sex (Male, Female or Unknown)]])),ISNUMBER(Table1[[#This Row],[Birthweight (grams)]]),ISNUMBER(Table1[[#This Row],[Gestation (days)]])),TRUE,FALSE)</f>
        <v>0</v>
      </c>
      <c r="E5785" s="2" t="str">
        <f>IF(Table1[[#This Row],[Is Data Valid]]=TRUE,IF(Table1[[#This Row],[Fetal Sex (Male, Female or Unknown)]]="Male",Backend!$C$6,IF(Table1[[#This Row],[Fetal Sex (Male, Female or Unknown)]]="Female",Backend!$C$7,IF(Table1[[#This Row],[Fetal Sex (Male, Female or Unknown)]]="Unknown",Backend!$C$8,"Error"))),"")</f>
        <v/>
      </c>
      <c r="F5785" s="8" t="str">
        <f>IF(Table1[[#This Row],[Is Data Valid]]=TRUE,EXP(0.578+0.332*((Table1[[#This Row],[Gestation (days)]]+0.5)/7)-0.00354*((Table1[[#This Row],[Gestation (days)]]+0.5)/7)^2)*Table1[[#This Row],[BW40_3705]],"")</f>
        <v/>
      </c>
      <c r="G5785" s="2" t="str">
        <f>IF(Table1[[#This Row],[Is Data Valid]]=TRUE,((Table1[[#This Row],[Birthweight (grams)]]/Table1[[#This Row],[BW_GA]])-1)/(Backend!$B$4/100*Table1[[#This Row],[BW40_3705]]),"")</f>
        <v/>
      </c>
      <c r="H5785" s="7" t="str">
        <f>IF(Table1[[#This Row],[Is Data Valid]]=TRUE,((Table1[[#This Row],[Birthweight (grams)]]*0.9/Table1[[#This Row],[BW_GA]])-1)/(Backend!$B$4/100*Table1[[#This Row],[BW40_3705]]),"")</f>
        <v/>
      </c>
      <c r="I5785" s="7" t="str">
        <f>IF(Table1[[#This Row],[Is Data Valid]]=TRUE,((Table1[[#This Row],[Birthweight (grams)]]*1.1/Table1[[#This Row],[BW_GA]])-1)/(Backend!$B$4/100*Table1[[#This Row],[BW40_3705]]),"")</f>
        <v/>
      </c>
      <c r="J5785" s="7" t="str">
        <f>IF(Table1[[#This Row],[Is Data Valid]]=TRUE,_xlfn.NORM.S.DIST(Table1[[#This Row],[Birthweight Z-Score]],TRUE)*100,"")</f>
        <v/>
      </c>
      <c r="K5785" s="7" t="str">
        <f>IF(Table1[[#This Row],[Is Data Valid]]=TRUE,_xlfn.NORM.S.DIST(Table1[[#This Row],[Birthweight Z-Score (BW-10%)]],TRUE)*100,"")</f>
        <v/>
      </c>
      <c r="L5785" s="7" t="str">
        <f>IF(Table1[[#This Row],[Is Data Valid]]=TRUE,_xlfn.NORM.S.DIST(Table1[[#This Row],[Birthweight Z-Score (BW+10%)]],TRUE)*100,"")</f>
        <v/>
      </c>
    </row>
    <row r="5786" spans="1:12" x14ac:dyDescent="0.35">
      <c r="A5786" s="3"/>
      <c r="B5786" s="2"/>
      <c r="C5786" s="2"/>
      <c r="D5786" s="2" t="b">
        <f>IF(AND(NOT(ISBLANK(Table1[[#This Row],[Fetal Sex (Male, Female or Unknown)]])),ISNUMBER(Table1[[#This Row],[Birthweight (grams)]]),ISNUMBER(Table1[[#This Row],[Gestation (days)]])),TRUE,FALSE)</f>
        <v>0</v>
      </c>
      <c r="E5786" s="2" t="str">
        <f>IF(Table1[[#This Row],[Is Data Valid]]=TRUE,IF(Table1[[#This Row],[Fetal Sex (Male, Female or Unknown)]]="Male",Backend!$C$6,IF(Table1[[#This Row],[Fetal Sex (Male, Female or Unknown)]]="Female",Backend!$C$7,IF(Table1[[#This Row],[Fetal Sex (Male, Female or Unknown)]]="Unknown",Backend!$C$8,"Error"))),"")</f>
        <v/>
      </c>
      <c r="F5786" s="8" t="str">
        <f>IF(Table1[[#This Row],[Is Data Valid]]=TRUE,EXP(0.578+0.332*((Table1[[#This Row],[Gestation (days)]]+0.5)/7)-0.00354*((Table1[[#This Row],[Gestation (days)]]+0.5)/7)^2)*Table1[[#This Row],[BW40_3705]],"")</f>
        <v/>
      </c>
      <c r="G5786" s="2" t="str">
        <f>IF(Table1[[#This Row],[Is Data Valid]]=TRUE,((Table1[[#This Row],[Birthweight (grams)]]/Table1[[#This Row],[BW_GA]])-1)/(Backend!$B$4/100*Table1[[#This Row],[BW40_3705]]),"")</f>
        <v/>
      </c>
      <c r="H5786" s="7" t="str">
        <f>IF(Table1[[#This Row],[Is Data Valid]]=TRUE,((Table1[[#This Row],[Birthweight (grams)]]*0.9/Table1[[#This Row],[BW_GA]])-1)/(Backend!$B$4/100*Table1[[#This Row],[BW40_3705]]),"")</f>
        <v/>
      </c>
      <c r="I5786" s="7" t="str">
        <f>IF(Table1[[#This Row],[Is Data Valid]]=TRUE,((Table1[[#This Row],[Birthweight (grams)]]*1.1/Table1[[#This Row],[BW_GA]])-1)/(Backend!$B$4/100*Table1[[#This Row],[BW40_3705]]),"")</f>
        <v/>
      </c>
      <c r="J5786" s="7" t="str">
        <f>IF(Table1[[#This Row],[Is Data Valid]]=TRUE,_xlfn.NORM.S.DIST(Table1[[#This Row],[Birthweight Z-Score]],TRUE)*100,"")</f>
        <v/>
      </c>
      <c r="K5786" s="7" t="str">
        <f>IF(Table1[[#This Row],[Is Data Valid]]=TRUE,_xlfn.NORM.S.DIST(Table1[[#This Row],[Birthweight Z-Score (BW-10%)]],TRUE)*100,"")</f>
        <v/>
      </c>
      <c r="L5786" s="7" t="str">
        <f>IF(Table1[[#This Row],[Is Data Valid]]=TRUE,_xlfn.NORM.S.DIST(Table1[[#This Row],[Birthweight Z-Score (BW+10%)]],TRUE)*100,"")</f>
        <v/>
      </c>
    </row>
    <row r="5787" spans="1:12" x14ac:dyDescent="0.35">
      <c r="A5787" s="3"/>
      <c r="B5787" s="2"/>
      <c r="C5787" s="2"/>
      <c r="D5787" s="2" t="b">
        <f>IF(AND(NOT(ISBLANK(Table1[[#This Row],[Fetal Sex (Male, Female or Unknown)]])),ISNUMBER(Table1[[#This Row],[Birthweight (grams)]]),ISNUMBER(Table1[[#This Row],[Gestation (days)]])),TRUE,FALSE)</f>
        <v>0</v>
      </c>
      <c r="E5787" s="2" t="str">
        <f>IF(Table1[[#This Row],[Is Data Valid]]=TRUE,IF(Table1[[#This Row],[Fetal Sex (Male, Female or Unknown)]]="Male",Backend!$C$6,IF(Table1[[#This Row],[Fetal Sex (Male, Female or Unknown)]]="Female",Backend!$C$7,IF(Table1[[#This Row],[Fetal Sex (Male, Female or Unknown)]]="Unknown",Backend!$C$8,"Error"))),"")</f>
        <v/>
      </c>
      <c r="F5787" s="8" t="str">
        <f>IF(Table1[[#This Row],[Is Data Valid]]=TRUE,EXP(0.578+0.332*((Table1[[#This Row],[Gestation (days)]]+0.5)/7)-0.00354*((Table1[[#This Row],[Gestation (days)]]+0.5)/7)^2)*Table1[[#This Row],[BW40_3705]],"")</f>
        <v/>
      </c>
      <c r="G5787" s="2" t="str">
        <f>IF(Table1[[#This Row],[Is Data Valid]]=TRUE,((Table1[[#This Row],[Birthweight (grams)]]/Table1[[#This Row],[BW_GA]])-1)/(Backend!$B$4/100*Table1[[#This Row],[BW40_3705]]),"")</f>
        <v/>
      </c>
      <c r="H5787" s="7" t="str">
        <f>IF(Table1[[#This Row],[Is Data Valid]]=TRUE,((Table1[[#This Row],[Birthweight (grams)]]*0.9/Table1[[#This Row],[BW_GA]])-1)/(Backend!$B$4/100*Table1[[#This Row],[BW40_3705]]),"")</f>
        <v/>
      </c>
      <c r="I5787" s="7" t="str">
        <f>IF(Table1[[#This Row],[Is Data Valid]]=TRUE,((Table1[[#This Row],[Birthweight (grams)]]*1.1/Table1[[#This Row],[BW_GA]])-1)/(Backend!$B$4/100*Table1[[#This Row],[BW40_3705]]),"")</f>
        <v/>
      </c>
      <c r="J5787" s="7" t="str">
        <f>IF(Table1[[#This Row],[Is Data Valid]]=TRUE,_xlfn.NORM.S.DIST(Table1[[#This Row],[Birthweight Z-Score]],TRUE)*100,"")</f>
        <v/>
      </c>
      <c r="K5787" s="7" t="str">
        <f>IF(Table1[[#This Row],[Is Data Valid]]=TRUE,_xlfn.NORM.S.DIST(Table1[[#This Row],[Birthweight Z-Score (BW-10%)]],TRUE)*100,"")</f>
        <v/>
      </c>
      <c r="L5787" s="7" t="str">
        <f>IF(Table1[[#This Row],[Is Data Valid]]=TRUE,_xlfn.NORM.S.DIST(Table1[[#This Row],[Birthweight Z-Score (BW+10%)]],TRUE)*100,"")</f>
        <v/>
      </c>
    </row>
    <row r="5788" spans="1:12" x14ac:dyDescent="0.35">
      <c r="A5788" s="3"/>
      <c r="B5788" s="2"/>
      <c r="C5788" s="2"/>
      <c r="D5788" s="2" t="b">
        <f>IF(AND(NOT(ISBLANK(Table1[[#This Row],[Fetal Sex (Male, Female or Unknown)]])),ISNUMBER(Table1[[#This Row],[Birthweight (grams)]]),ISNUMBER(Table1[[#This Row],[Gestation (days)]])),TRUE,FALSE)</f>
        <v>0</v>
      </c>
      <c r="E5788" s="2" t="str">
        <f>IF(Table1[[#This Row],[Is Data Valid]]=TRUE,IF(Table1[[#This Row],[Fetal Sex (Male, Female or Unknown)]]="Male",Backend!$C$6,IF(Table1[[#This Row],[Fetal Sex (Male, Female or Unknown)]]="Female",Backend!$C$7,IF(Table1[[#This Row],[Fetal Sex (Male, Female or Unknown)]]="Unknown",Backend!$C$8,"Error"))),"")</f>
        <v/>
      </c>
      <c r="F5788" s="8" t="str">
        <f>IF(Table1[[#This Row],[Is Data Valid]]=TRUE,EXP(0.578+0.332*((Table1[[#This Row],[Gestation (days)]]+0.5)/7)-0.00354*((Table1[[#This Row],[Gestation (days)]]+0.5)/7)^2)*Table1[[#This Row],[BW40_3705]],"")</f>
        <v/>
      </c>
      <c r="G5788" s="2" t="str">
        <f>IF(Table1[[#This Row],[Is Data Valid]]=TRUE,((Table1[[#This Row],[Birthweight (grams)]]/Table1[[#This Row],[BW_GA]])-1)/(Backend!$B$4/100*Table1[[#This Row],[BW40_3705]]),"")</f>
        <v/>
      </c>
      <c r="H5788" s="7" t="str">
        <f>IF(Table1[[#This Row],[Is Data Valid]]=TRUE,((Table1[[#This Row],[Birthweight (grams)]]*0.9/Table1[[#This Row],[BW_GA]])-1)/(Backend!$B$4/100*Table1[[#This Row],[BW40_3705]]),"")</f>
        <v/>
      </c>
      <c r="I5788" s="7" t="str">
        <f>IF(Table1[[#This Row],[Is Data Valid]]=TRUE,((Table1[[#This Row],[Birthweight (grams)]]*1.1/Table1[[#This Row],[BW_GA]])-1)/(Backend!$B$4/100*Table1[[#This Row],[BW40_3705]]),"")</f>
        <v/>
      </c>
      <c r="J5788" s="7" t="str">
        <f>IF(Table1[[#This Row],[Is Data Valid]]=TRUE,_xlfn.NORM.S.DIST(Table1[[#This Row],[Birthweight Z-Score]],TRUE)*100,"")</f>
        <v/>
      </c>
      <c r="K5788" s="7" t="str">
        <f>IF(Table1[[#This Row],[Is Data Valid]]=TRUE,_xlfn.NORM.S.DIST(Table1[[#This Row],[Birthweight Z-Score (BW-10%)]],TRUE)*100,"")</f>
        <v/>
      </c>
      <c r="L5788" s="7" t="str">
        <f>IF(Table1[[#This Row],[Is Data Valid]]=TRUE,_xlfn.NORM.S.DIST(Table1[[#This Row],[Birthweight Z-Score (BW+10%)]],TRUE)*100,"")</f>
        <v/>
      </c>
    </row>
    <row r="5789" spans="1:12" x14ac:dyDescent="0.35">
      <c r="A5789" s="3"/>
      <c r="B5789" s="2"/>
      <c r="C5789" s="2"/>
      <c r="D5789" s="2" t="b">
        <f>IF(AND(NOT(ISBLANK(Table1[[#This Row],[Fetal Sex (Male, Female or Unknown)]])),ISNUMBER(Table1[[#This Row],[Birthweight (grams)]]),ISNUMBER(Table1[[#This Row],[Gestation (days)]])),TRUE,FALSE)</f>
        <v>0</v>
      </c>
      <c r="E5789" s="2" t="str">
        <f>IF(Table1[[#This Row],[Is Data Valid]]=TRUE,IF(Table1[[#This Row],[Fetal Sex (Male, Female or Unknown)]]="Male",Backend!$C$6,IF(Table1[[#This Row],[Fetal Sex (Male, Female or Unknown)]]="Female",Backend!$C$7,IF(Table1[[#This Row],[Fetal Sex (Male, Female or Unknown)]]="Unknown",Backend!$C$8,"Error"))),"")</f>
        <v/>
      </c>
      <c r="F5789" s="8" t="str">
        <f>IF(Table1[[#This Row],[Is Data Valid]]=TRUE,EXP(0.578+0.332*((Table1[[#This Row],[Gestation (days)]]+0.5)/7)-0.00354*((Table1[[#This Row],[Gestation (days)]]+0.5)/7)^2)*Table1[[#This Row],[BW40_3705]],"")</f>
        <v/>
      </c>
      <c r="G5789" s="2" t="str">
        <f>IF(Table1[[#This Row],[Is Data Valid]]=TRUE,((Table1[[#This Row],[Birthweight (grams)]]/Table1[[#This Row],[BW_GA]])-1)/(Backend!$B$4/100*Table1[[#This Row],[BW40_3705]]),"")</f>
        <v/>
      </c>
      <c r="H5789" s="7" t="str">
        <f>IF(Table1[[#This Row],[Is Data Valid]]=TRUE,((Table1[[#This Row],[Birthweight (grams)]]*0.9/Table1[[#This Row],[BW_GA]])-1)/(Backend!$B$4/100*Table1[[#This Row],[BW40_3705]]),"")</f>
        <v/>
      </c>
      <c r="I5789" s="7" t="str">
        <f>IF(Table1[[#This Row],[Is Data Valid]]=TRUE,((Table1[[#This Row],[Birthweight (grams)]]*1.1/Table1[[#This Row],[BW_GA]])-1)/(Backend!$B$4/100*Table1[[#This Row],[BW40_3705]]),"")</f>
        <v/>
      </c>
      <c r="J5789" s="7" t="str">
        <f>IF(Table1[[#This Row],[Is Data Valid]]=TRUE,_xlfn.NORM.S.DIST(Table1[[#This Row],[Birthweight Z-Score]],TRUE)*100,"")</f>
        <v/>
      </c>
      <c r="K5789" s="7" t="str">
        <f>IF(Table1[[#This Row],[Is Data Valid]]=TRUE,_xlfn.NORM.S.DIST(Table1[[#This Row],[Birthweight Z-Score (BW-10%)]],TRUE)*100,"")</f>
        <v/>
      </c>
      <c r="L5789" s="7" t="str">
        <f>IF(Table1[[#This Row],[Is Data Valid]]=TRUE,_xlfn.NORM.S.DIST(Table1[[#This Row],[Birthweight Z-Score (BW+10%)]],TRUE)*100,"")</f>
        <v/>
      </c>
    </row>
    <row r="5790" spans="1:12" x14ac:dyDescent="0.35">
      <c r="A5790" s="3"/>
      <c r="B5790" s="2"/>
      <c r="C5790" s="2"/>
      <c r="D5790" s="2" t="b">
        <f>IF(AND(NOT(ISBLANK(Table1[[#This Row],[Fetal Sex (Male, Female or Unknown)]])),ISNUMBER(Table1[[#This Row],[Birthweight (grams)]]),ISNUMBER(Table1[[#This Row],[Gestation (days)]])),TRUE,FALSE)</f>
        <v>0</v>
      </c>
      <c r="E5790" s="2" t="str">
        <f>IF(Table1[[#This Row],[Is Data Valid]]=TRUE,IF(Table1[[#This Row],[Fetal Sex (Male, Female or Unknown)]]="Male",Backend!$C$6,IF(Table1[[#This Row],[Fetal Sex (Male, Female or Unknown)]]="Female",Backend!$C$7,IF(Table1[[#This Row],[Fetal Sex (Male, Female or Unknown)]]="Unknown",Backend!$C$8,"Error"))),"")</f>
        <v/>
      </c>
      <c r="F5790" s="8" t="str">
        <f>IF(Table1[[#This Row],[Is Data Valid]]=TRUE,EXP(0.578+0.332*((Table1[[#This Row],[Gestation (days)]]+0.5)/7)-0.00354*((Table1[[#This Row],[Gestation (days)]]+0.5)/7)^2)*Table1[[#This Row],[BW40_3705]],"")</f>
        <v/>
      </c>
      <c r="G5790" s="2" t="str">
        <f>IF(Table1[[#This Row],[Is Data Valid]]=TRUE,((Table1[[#This Row],[Birthweight (grams)]]/Table1[[#This Row],[BW_GA]])-1)/(Backend!$B$4/100*Table1[[#This Row],[BW40_3705]]),"")</f>
        <v/>
      </c>
      <c r="H5790" s="7" t="str">
        <f>IF(Table1[[#This Row],[Is Data Valid]]=TRUE,((Table1[[#This Row],[Birthweight (grams)]]*0.9/Table1[[#This Row],[BW_GA]])-1)/(Backend!$B$4/100*Table1[[#This Row],[BW40_3705]]),"")</f>
        <v/>
      </c>
      <c r="I5790" s="7" t="str">
        <f>IF(Table1[[#This Row],[Is Data Valid]]=TRUE,((Table1[[#This Row],[Birthweight (grams)]]*1.1/Table1[[#This Row],[BW_GA]])-1)/(Backend!$B$4/100*Table1[[#This Row],[BW40_3705]]),"")</f>
        <v/>
      </c>
      <c r="J5790" s="7" t="str">
        <f>IF(Table1[[#This Row],[Is Data Valid]]=TRUE,_xlfn.NORM.S.DIST(Table1[[#This Row],[Birthweight Z-Score]],TRUE)*100,"")</f>
        <v/>
      </c>
      <c r="K5790" s="7" t="str">
        <f>IF(Table1[[#This Row],[Is Data Valid]]=TRUE,_xlfn.NORM.S.DIST(Table1[[#This Row],[Birthweight Z-Score (BW-10%)]],TRUE)*100,"")</f>
        <v/>
      </c>
      <c r="L5790" s="7" t="str">
        <f>IF(Table1[[#This Row],[Is Data Valid]]=TRUE,_xlfn.NORM.S.DIST(Table1[[#This Row],[Birthweight Z-Score (BW+10%)]],TRUE)*100,"")</f>
        <v/>
      </c>
    </row>
    <row r="5791" spans="1:12" x14ac:dyDescent="0.35">
      <c r="A5791" s="3"/>
      <c r="B5791" s="2"/>
      <c r="C5791" s="2"/>
      <c r="D5791" s="2" t="b">
        <f>IF(AND(NOT(ISBLANK(Table1[[#This Row],[Fetal Sex (Male, Female or Unknown)]])),ISNUMBER(Table1[[#This Row],[Birthweight (grams)]]),ISNUMBER(Table1[[#This Row],[Gestation (days)]])),TRUE,FALSE)</f>
        <v>0</v>
      </c>
      <c r="E5791" s="2" t="str">
        <f>IF(Table1[[#This Row],[Is Data Valid]]=TRUE,IF(Table1[[#This Row],[Fetal Sex (Male, Female or Unknown)]]="Male",Backend!$C$6,IF(Table1[[#This Row],[Fetal Sex (Male, Female or Unknown)]]="Female",Backend!$C$7,IF(Table1[[#This Row],[Fetal Sex (Male, Female or Unknown)]]="Unknown",Backend!$C$8,"Error"))),"")</f>
        <v/>
      </c>
      <c r="F5791" s="8" t="str">
        <f>IF(Table1[[#This Row],[Is Data Valid]]=TRUE,EXP(0.578+0.332*((Table1[[#This Row],[Gestation (days)]]+0.5)/7)-0.00354*((Table1[[#This Row],[Gestation (days)]]+0.5)/7)^2)*Table1[[#This Row],[BW40_3705]],"")</f>
        <v/>
      </c>
      <c r="G5791" s="2" t="str">
        <f>IF(Table1[[#This Row],[Is Data Valid]]=TRUE,((Table1[[#This Row],[Birthweight (grams)]]/Table1[[#This Row],[BW_GA]])-1)/(Backend!$B$4/100*Table1[[#This Row],[BW40_3705]]),"")</f>
        <v/>
      </c>
      <c r="H5791" s="7" t="str">
        <f>IF(Table1[[#This Row],[Is Data Valid]]=TRUE,((Table1[[#This Row],[Birthweight (grams)]]*0.9/Table1[[#This Row],[BW_GA]])-1)/(Backend!$B$4/100*Table1[[#This Row],[BW40_3705]]),"")</f>
        <v/>
      </c>
      <c r="I5791" s="7" t="str">
        <f>IF(Table1[[#This Row],[Is Data Valid]]=TRUE,((Table1[[#This Row],[Birthweight (grams)]]*1.1/Table1[[#This Row],[BW_GA]])-1)/(Backend!$B$4/100*Table1[[#This Row],[BW40_3705]]),"")</f>
        <v/>
      </c>
      <c r="J5791" s="7" t="str">
        <f>IF(Table1[[#This Row],[Is Data Valid]]=TRUE,_xlfn.NORM.S.DIST(Table1[[#This Row],[Birthweight Z-Score]],TRUE)*100,"")</f>
        <v/>
      </c>
      <c r="K5791" s="7" t="str">
        <f>IF(Table1[[#This Row],[Is Data Valid]]=TRUE,_xlfn.NORM.S.DIST(Table1[[#This Row],[Birthweight Z-Score (BW-10%)]],TRUE)*100,"")</f>
        <v/>
      </c>
      <c r="L5791" s="7" t="str">
        <f>IF(Table1[[#This Row],[Is Data Valid]]=TRUE,_xlfn.NORM.S.DIST(Table1[[#This Row],[Birthweight Z-Score (BW+10%)]],TRUE)*100,"")</f>
        <v/>
      </c>
    </row>
    <row r="5792" spans="1:12" x14ac:dyDescent="0.35">
      <c r="A5792" s="3"/>
      <c r="B5792" s="2"/>
      <c r="C5792" s="2"/>
      <c r="D5792" s="2" t="b">
        <f>IF(AND(NOT(ISBLANK(Table1[[#This Row],[Fetal Sex (Male, Female or Unknown)]])),ISNUMBER(Table1[[#This Row],[Birthweight (grams)]]),ISNUMBER(Table1[[#This Row],[Gestation (days)]])),TRUE,FALSE)</f>
        <v>0</v>
      </c>
      <c r="E5792" s="2" t="str">
        <f>IF(Table1[[#This Row],[Is Data Valid]]=TRUE,IF(Table1[[#This Row],[Fetal Sex (Male, Female or Unknown)]]="Male",Backend!$C$6,IF(Table1[[#This Row],[Fetal Sex (Male, Female or Unknown)]]="Female",Backend!$C$7,IF(Table1[[#This Row],[Fetal Sex (Male, Female or Unknown)]]="Unknown",Backend!$C$8,"Error"))),"")</f>
        <v/>
      </c>
      <c r="F5792" s="8" t="str">
        <f>IF(Table1[[#This Row],[Is Data Valid]]=TRUE,EXP(0.578+0.332*((Table1[[#This Row],[Gestation (days)]]+0.5)/7)-0.00354*((Table1[[#This Row],[Gestation (days)]]+0.5)/7)^2)*Table1[[#This Row],[BW40_3705]],"")</f>
        <v/>
      </c>
      <c r="G5792" s="2" t="str">
        <f>IF(Table1[[#This Row],[Is Data Valid]]=TRUE,((Table1[[#This Row],[Birthweight (grams)]]/Table1[[#This Row],[BW_GA]])-1)/(Backend!$B$4/100*Table1[[#This Row],[BW40_3705]]),"")</f>
        <v/>
      </c>
      <c r="H5792" s="7" t="str">
        <f>IF(Table1[[#This Row],[Is Data Valid]]=TRUE,((Table1[[#This Row],[Birthweight (grams)]]*0.9/Table1[[#This Row],[BW_GA]])-1)/(Backend!$B$4/100*Table1[[#This Row],[BW40_3705]]),"")</f>
        <v/>
      </c>
      <c r="I5792" s="7" t="str">
        <f>IF(Table1[[#This Row],[Is Data Valid]]=TRUE,((Table1[[#This Row],[Birthweight (grams)]]*1.1/Table1[[#This Row],[BW_GA]])-1)/(Backend!$B$4/100*Table1[[#This Row],[BW40_3705]]),"")</f>
        <v/>
      </c>
      <c r="J5792" s="7" t="str">
        <f>IF(Table1[[#This Row],[Is Data Valid]]=TRUE,_xlfn.NORM.S.DIST(Table1[[#This Row],[Birthweight Z-Score]],TRUE)*100,"")</f>
        <v/>
      </c>
      <c r="K5792" s="7" t="str">
        <f>IF(Table1[[#This Row],[Is Data Valid]]=TRUE,_xlfn.NORM.S.DIST(Table1[[#This Row],[Birthweight Z-Score (BW-10%)]],TRUE)*100,"")</f>
        <v/>
      </c>
      <c r="L5792" s="7" t="str">
        <f>IF(Table1[[#This Row],[Is Data Valid]]=TRUE,_xlfn.NORM.S.DIST(Table1[[#This Row],[Birthweight Z-Score (BW+10%)]],TRUE)*100,"")</f>
        <v/>
      </c>
    </row>
    <row r="5793" spans="1:12" x14ac:dyDescent="0.35">
      <c r="A5793" s="3"/>
      <c r="B5793" s="2"/>
      <c r="C5793" s="2"/>
      <c r="D5793" s="2" t="b">
        <f>IF(AND(NOT(ISBLANK(Table1[[#This Row],[Fetal Sex (Male, Female or Unknown)]])),ISNUMBER(Table1[[#This Row],[Birthweight (grams)]]),ISNUMBER(Table1[[#This Row],[Gestation (days)]])),TRUE,FALSE)</f>
        <v>0</v>
      </c>
      <c r="E5793" s="2" t="str">
        <f>IF(Table1[[#This Row],[Is Data Valid]]=TRUE,IF(Table1[[#This Row],[Fetal Sex (Male, Female or Unknown)]]="Male",Backend!$C$6,IF(Table1[[#This Row],[Fetal Sex (Male, Female or Unknown)]]="Female",Backend!$C$7,IF(Table1[[#This Row],[Fetal Sex (Male, Female or Unknown)]]="Unknown",Backend!$C$8,"Error"))),"")</f>
        <v/>
      </c>
      <c r="F5793" s="8" t="str">
        <f>IF(Table1[[#This Row],[Is Data Valid]]=TRUE,EXP(0.578+0.332*((Table1[[#This Row],[Gestation (days)]]+0.5)/7)-0.00354*((Table1[[#This Row],[Gestation (days)]]+0.5)/7)^2)*Table1[[#This Row],[BW40_3705]],"")</f>
        <v/>
      </c>
      <c r="G5793" s="2" t="str">
        <f>IF(Table1[[#This Row],[Is Data Valid]]=TRUE,((Table1[[#This Row],[Birthweight (grams)]]/Table1[[#This Row],[BW_GA]])-1)/(Backend!$B$4/100*Table1[[#This Row],[BW40_3705]]),"")</f>
        <v/>
      </c>
      <c r="H5793" s="7" t="str">
        <f>IF(Table1[[#This Row],[Is Data Valid]]=TRUE,((Table1[[#This Row],[Birthweight (grams)]]*0.9/Table1[[#This Row],[BW_GA]])-1)/(Backend!$B$4/100*Table1[[#This Row],[BW40_3705]]),"")</f>
        <v/>
      </c>
      <c r="I5793" s="7" t="str">
        <f>IF(Table1[[#This Row],[Is Data Valid]]=TRUE,((Table1[[#This Row],[Birthweight (grams)]]*1.1/Table1[[#This Row],[BW_GA]])-1)/(Backend!$B$4/100*Table1[[#This Row],[BW40_3705]]),"")</f>
        <v/>
      </c>
      <c r="J5793" s="7" t="str">
        <f>IF(Table1[[#This Row],[Is Data Valid]]=TRUE,_xlfn.NORM.S.DIST(Table1[[#This Row],[Birthweight Z-Score]],TRUE)*100,"")</f>
        <v/>
      </c>
      <c r="K5793" s="7" t="str">
        <f>IF(Table1[[#This Row],[Is Data Valid]]=TRUE,_xlfn.NORM.S.DIST(Table1[[#This Row],[Birthweight Z-Score (BW-10%)]],TRUE)*100,"")</f>
        <v/>
      </c>
      <c r="L5793" s="7" t="str">
        <f>IF(Table1[[#This Row],[Is Data Valid]]=TRUE,_xlfn.NORM.S.DIST(Table1[[#This Row],[Birthweight Z-Score (BW+10%)]],TRUE)*100,"")</f>
        <v/>
      </c>
    </row>
    <row r="5794" spans="1:12" x14ac:dyDescent="0.35">
      <c r="A5794" s="3"/>
      <c r="B5794" s="2"/>
      <c r="C5794" s="2"/>
      <c r="D5794" s="2" t="b">
        <f>IF(AND(NOT(ISBLANK(Table1[[#This Row],[Fetal Sex (Male, Female or Unknown)]])),ISNUMBER(Table1[[#This Row],[Birthweight (grams)]]),ISNUMBER(Table1[[#This Row],[Gestation (days)]])),TRUE,FALSE)</f>
        <v>0</v>
      </c>
      <c r="E5794" s="2" t="str">
        <f>IF(Table1[[#This Row],[Is Data Valid]]=TRUE,IF(Table1[[#This Row],[Fetal Sex (Male, Female or Unknown)]]="Male",Backend!$C$6,IF(Table1[[#This Row],[Fetal Sex (Male, Female or Unknown)]]="Female",Backend!$C$7,IF(Table1[[#This Row],[Fetal Sex (Male, Female or Unknown)]]="Unknown",Backend!$C$8,"Error"))),"")</f>
        <v/>
      </c>
      <c r="F5794" s="8" t="str">
        <f>IF(Table1[[#This Row],[Is Data Valid]]=TRUE,EXP(0.578+0.332*((Table1[[#This Row],[Gestation (days)]]+0.5)/7)-0.00354*((Table1[[#This Row],[Gestation (days)]]+0.5)/7)^2)*Table1[[#This Row],[BW40_3705]],"")</f>
        <v/>
      </c>
      <c r="G5794" s="2" t="str">
        <f>IF(Table1[[#This Row],[Is Data Valid]]=TRUE,((Table1[[#This Row],[Birthweight (grams)]]/Table1[[#This Row],[BW_GA]])-1)/(Backend!$B$4/100*Table1[[#This Row],[BW40_3705]]),"")</f>
        <v/>
      </c>
      <c r="H5794" s="7" t="str">
        <f>IF(Table1[[#This Row],[Is Data Valid]]=TRUE,((Table1[[#This Row],[Birthweight (grams)]]*0.9/Table1[[#This Row],[BW_GA]])-1)/(Backend!$B$4/100*Table1[[#This Row],[BW40_3705]]),"")</f>
        <v/>
      </c>
      <c r="I5794" s="7" t="str">
        <f>IF(Table1[[#This Row],[Is Data Valid]]=TRUE,((Table1[[#This Row],[Birthweight (grams)]]*1.1/Table1[[#This Row],[BW_GA]])-1)/(Backend!$B$4/100*Table1[[#This Row],[BW40_3705]]),"")</f>
        <v/>
      </c>
      <c r="J5794" s="7" t="str">
        <f>IF(Table1[[#This Row],[Is Data Valid]]=TRUE,_xlfn.NORM.S.DIST(Table1[[#This Row],[Birthweight Z-Score]],TRUE)*100,"")</f>
        <v/>
      </c>
      <c r="K5794" s="7" t="str">
        <f>IF(Table1[[#This Row],[Is Data Valid]]=TRUE,_xlfn.NORM.S.DIST(Table1[[#This Row],[Birthweight Z-Score (BW-10%)]],TRUE)*100,"")</f>
        <v/>
      </c>
      <c r="L5794" s="7" t="str">
        <f>IF(Table1[[#This Row],[Is Data Valid]]=TRUE,_xlfn.NORM.S.DIST(Table1[[#This Row],[Birthweight Z-Score (BW+10%)]],TRUE)*100,"")</f>
        <v/>
      </c>
    </row>
    <row r="5795" spans="1:12" x14ac:dyDescent="0.35">
      <c r="A5795" s="3"/>
      <c r="B5795" s="2"/>
      <c r="C5795" s="2"/>
      <c r="D5795" s="2" t="b">
        <f>IF(AND(NOT(ISBLANK(Table1[[#This Row],[Fetal Sex (Male, Female or Unknown)]])),ISNUMBER(Table1[[#This Row],[Birthweight (grams)]]),ISNUMBER(Table1[[#This Row],[Gestation (days)]])),TRUE,FALSE)</f>
        <v>0</v>
      </c>
      <c r="E5795" s="2" t="str">
        <f>IF(Table1[[#This Row],[Is Data Valid]]=TRUE,IF(Table1[[#This Row],[Fetal Sex (Male, Female or Unknown)]]="Male",Backend!$C$6,IF(Table1[[#This Row],[Fetal Sex (Male, Female or Unknown)]]="Female",Backend!$C$7,IF(Table1[[#This Row],[Fetal Sex (Male, Female or Unknown)]]="Unknown",Backend!$C$8,"Error"))),"")</f>
        <v/>
      </c>
      <c r="F5795" s="8" t="str">
        <f>IF(Table1[[#This Row],[Is Data Valid]]=TRUE,EXP(0.578+0.332*((Table1[[#This Row],[Gestation (days)]]+0.5)/7)-0.00354*((Table1[[#This Row],[Gestation (days)]]+0.5)/7)^2)*Table1[[#This Row],[BW40_3705]],"")</f>
        <v/>
      </c>
      <c r="G5795" s="2" t="str">
        <f>IF(Table1[[#This Row],[Is Data Valid]]=TRUE,((Table1[[#This Row],[Birthweight (grams)]]/Table1[[#This Row],[BW_GA]])-1)/(Backend!$B$4/100*Table1[[#This Row],[BW40_3705]]),"")</f>
        <v/>
      </c>
      <c r="H5795" s="7" t="str">
        <f>IF(Table1[[#This Row],[Is Data Valid]]=TRUE,((Table1[[#This Row],[Birthweight (grams)]]*0.9/Table1[[#This Row],[BW_GA]])-1)/(Backend!$B$4/100*Table1[[#This Row],[BW40_3705]]),"")</f>
        <v/>
      </c>
      <c r="I5795" s="7" t="str">
        <f>IF(Table1[[#This Row],[Is Data Valid]]=TRUE,((Table1[[#This Row],[Birthweight (grams)]]*1.1/Table1[[#This Row],[BW_GA]])-1)/(Backend!$B$4/100*Table1[[#This Row],[BW40_3705]]),"")</f>
        <v/>
      </c>
      <c r="J5795" s="7" t="str">
        <f>IF(Table1[[#This Row],[Is Data Valid]]=TRUE,_xlfn.NORM.S.DIST(Table1[[#This Row],[Birthweight Z-Score]],TRUE)*100,"")</f>
        <v/>
      </c>
      <c r="K5795" s="7" t="str">
        <f>IF(Table1[[#This Row],[Is Data Valid]]=TRUE,_xlfn.NORM.S.DIST(Table1[[#This Row],[Birthweight Z-Score (BW-10%)]],TRUE)*100,"")</f>
        <v/>
      </c>
      <c r="L5795" s="7" t="str">
        <f>IF(Table1[[#This Row],[Is Data Valid]]=TRUE,_xlfn.NORM.S.DIST(Table1[[#This Row],[Birthweight Z-Score (BW+10%)]],TRUE)*100,"")</f>
        <v/>
      </c>
    </row>
    <row r="5796" spans="1:12" x14ac:dyDescent="0.35">
      <c r="A5796" s="3"/>
      <c r="B5796" s="2"/>
      <c r="C5796" s="2"/>
      <c r="D5796" s="2" t="b">
        <f>IF(AND(NOT(ISBLANK(Table1[[#This Row],[Fetal Sex (Male, Female or Unknown)]])),ISNUMBER(Table1[[#This Row],[Birthweight (grams)]]),ISNUMBER(Table1[[#This Row],[Gestation (days)]])),TRUE,FALSE)</f>
        <v>0</v>
      </c>
      <c r="E5796" s="2" t="str">
        <f>IF(Table1[[#This Row],[Is Data Valid]]=TRUE,IF(Table1[[#This Row],[Fetal Sex (Male, Female or Unknown)]]="Male",Backend!$C$6,IF(Table1[[#This Row],[Fetal Sex (Male, Female or Unknown)]]="Female",Backend!$C$7,IF(Table1[[#This Row],[Fetal Sex (Male, Female or Unknown)]]="Unknown",Backend!$C$8,"Error"))),"")</f>
        <v/>
      </c>
      <c r="F5796" s="8" t="str">
        <f>IF(Table1[[#This Row],[Is Data Valid]]=TRUE,EXP(0.578+0.332*((Table1[[#This Row],[Gestation (days)]]+0.5)/7)-0.00354*((Table1[[#This Row],[Gestation (days)]]+0.5)/7)^2)*Table1[[#This Row],[BW40_3705]],"")</f>
        <v/>
      </c>
      <c r="G5796" s="2" t="str">
        <f>IF(Table1[[#This Row],[Is Data Valid]]=TRUE,((Table1[[#This Row],[Birthweight (grams)]]/Table1[[#This Row],[BW_GA]])-1)/(Backend!$B$4/100*Table1[[#This Row],[BW40_3705]]),"")</f>
        <v/>
      </c>
      <c r="H5796" s="7" t="str">
        <f>IF(Table1[[#This Row],[Is Data Valid]]=TRUE,((Table1[[#This Row],[Birthweight (grams)]]*0.9/Table1[[#This Row],[BW_GA]])-1)/(Backend!$B$4/100*Table1[[#This Row],[BW40_3705]]),"")</f>
        <v/>
      </c>
      <c r="I5796" s="7" t="str">
        <f>IF(Table1[[#This Row],[Is Data Valid]]=TRUE,((Table1[[#This Row],[Birthweight (grams)]]*1.1/Table1[[#This Row],[BW_GA]])-1)/(Backend!$B$4/100*Table1[[#This Row],[BW40_3705]]),"")</f>
        <v/>
      </c>
      <c r="J5796" s="7" t="str">
        <f>IF(Table1[[#This Row],[Is Data Valid]]=TRUE,_xlfn.NORM.S.DIST(Table1[[#This Row],[Birthweight Z-Score]],TRUE)*100,"")</f>
        <v/>
      </c>
      <c r="K5796" s="7" t="str">
        <f>IF(Table1[[#This Row],[Is Data Valid]]=TRUE,_xlfn.NORM.S.DIST(Table1[[#This Row],[Birthweight Z-Score (BW-10%)]],TRUE)*100,"")</f>
        <v/>
      </c>
      <c r="L5796" s="7" t="str">
        <f>IF(Table1[[#This Row],[Is Data Valid]]=TRUE,_xlfn.NORM.S.DIST(Table1[[#This Row],[Birthweight Z-Score (BW+10%)]],TRUE)*100,"")</f>
        <v/>
      </c>
    </row>
    <row r="5797" spans="1:12" x14ac:dyDescent="0.35">
      <c r="A5797" s="3"/>
      <c r="B5797" s="2"/>
      <c r="C5797" s="2"/>
      <c r="D5797" s="2" t="b">
        <f>IF(AND(NOT(ISBLANK(Table1[[#This Row],[Fetal Sex (Male, Female or Unknown)]])),ISNUMBER(Table1[[#This Row],[Birthweight (grams)]]),ISNUMBER(Table1[[#This Row],[Gestation (days)]])),TRUE,FALSE)</f>
        <v>0</v>
      </c>
      <c r="E5797" s="2" t="str">
        <f>IF(Table1[[#This Row],[Is Data Valid]]=TRUE,IF(Table1[[#This Row],[Fetal Sex (Male, Female or Unknown)]]="Male",Backend!$C$6,IF(Table1[[#This Row],[Fetal Sex (Male, Female or Unknown)]]="Female",Backend!$C$7,IF(Table1[[#This Row],[Fetal Sex (Male, Female or Unknown)]]="Unknown",Backend!$C$8,"Error"))),"")</f>
        <v/>
      </c>
      <c r="F5797" s="8" t="str">
        <f>IF(Table1[[#This Row],[Is Data Valid]]=TRUE,EXP(0.578+0.332*((Table1[[#This Row],[Gestation (days)]]+0.5)/7)-0.00354*((Table1[[#This Row],[Gestation (days)]]+0.5)/7)^2)*Table1[[#This Row],[BW40_3705]],"")</f>
        <v/>
      </c>
      <c r="G5797" s="2" t="str">
        <f>IF(Table1[[#This Row],[Is Data Valid]]=TRUE,((Table1[[#This Row],[Birthweight (grams)]]/Table1[[#This Row],[BW_GA]])-1)/(Backend!$B$4/100*Table1[[#This Row],[BW40_3705]]),"")</f>
        <v/>
      </c>
      <c r="H5797" s="7" t="str">
        <f>IF(Table1[[#This Row],[Is Data Valid]]=TRUE,((Table1[[#This Row],[Birthweight (grams)]]*0.9/Table1[[#This Row],[BW_GA]])-1)/(Backend!$B$4/100*Table1[[#This Row],[BW40_3705]]),"")</f>
        <v/>
      </c>
      <c r="I5797" s="7" t="str">
        <f>IF(Table1[[#This Row],[Is Data Valid]]=TRUE,((Table1[[#This Row],[Birthweight (grams)]]*1.1/Table1[[#This Row],[BW_GA]])-1)/(Backend!$B$4/100*Table1[[#This Row],[BW40_3705]]),"")</f>
        <v/>
      </c>
      <c r="J5797" s="7" t="str">
        <f>IF(Table1[[#This Row],[Is Data Valid]]=TRUE,_xlfn.NORM.S.DIST(Table1[[#This Row],[Birthweight Z-Score]],TRUE)*100,"")</f>
        <v/>
      </c>
      <c r="K5797" s="7" t="str">
        <f>IF(Table1[[#This Row],[Is Data Valid]]=TRUE,_xlfn.NORM.S.DIST(Table1[[#This Row],[Birthweight Z-Score (BW-10%)]],TRUE)*100,"")</f>
        <v/>
      </c>
      <c r="L5797" s="7" t="str">
        <f>IF(Table1[[#This Row],[Is Data Valid]]=TRUE,_xlfn.NORM.S.DIST(Table1[[#This Row],[Birthweight Z-Score (BW+10%)]],TRUE)*100,"")</f>
        <v/>
      </c>
    </row>
    <row r="5798" spans="1:12" x14ac:dyDescent="0.35">
      <c r="A5798" s="3"/>
      <c r="B5798" s="2"/>
      <c r="C5798" s="2"/>
      <c r="D5798" s="2" t="b">
        <f>IF(AND(NOT(ISBLANK(Table1[[#This Row],[Fetal Sex (Male, Female or Unknown)]])),ISNUMBER(Table1[[#This Row],[Birthweight (grams)]]),ISNUMBER(Table1[[#This Row],[Gestation (days)]])),TRUE,FALSE)</f>
        <v>0</v>
      </c>
      <c r="E5798" s="2" t="str">
        <f>IF(Table1[[#This Row],[Is Data Valid]]=TRUE,IF(Table1[[#This Row],[Fetal Sex (Male, Female or Unknown)]]="Male",Backend!$C$6,IF(Table1[[#This Row],[Fetal Sex (Male, Female or Unknown)]]="Female",Backend!$C$7,IF(Table1[[#This Row],[Fetal Sex (Male, Female or Unknown)]]="Unknown",Backend!$C$8,"Error"))),"")</f>
        <v/>
      </c>
      <c r="F5798" s="8" t="str">
        <f>IF(Table1[[#This Row],[Is Data Valid]]=TRUE,EXP(0.578+0.332*((Table1[[#This Row],[Gestation (days)]]+0.5)/7)-0.00354*((Table1[[#This Row],[Gestation (days)]]+0.5)/7)^2)*Table1[[#This Row],[BW40_3705]],"")</f>
        <v/>
      </c>
      <c r="G5798" s="2" t="str">
        <f>IF(Table1[[#This Row],[Is Data Valid]]=TRUE,((Table1[[#This Row],[Birthweight (grams)]]/Table1[[#This Row],[BW_GA]])-1)/(Backend!$B$4/100*Table1[[#This Row],[BW40_3705]]),"")</f>
        <v/>
      </c>
      <c r="H5798" s="7" t="str">
        <f>IF(Table1[[#This Row],[Is Data Valid]]=TRUE,((Table1[[#This Row],[Birthweight (grams)]]*0.9/Table1[[#This Row],[BW_GA]])-1)/(Backend!$B$4/100*Table1[[#This Row],[BW40_3705]]),"")</f>
        <v/>
      </c>
      <c r="I5798" s="7" t="str">
        <f>IF(Table1[[#This Row],[Is Data Valid]]=TRUE,((Table1[[#This Row],[Birthweight (grams)]]*1.1/Table1[[#This Row],[BW_GA]])-1)/(Backend!$B$4/100*Table1[[#This Row],[BW40_3705]]),"")</f>
        <v/>
      </c>
      <c r="J5798" s="7" t="str">
        <f>IF(Table1[[#This Row],[Is Data Valid]]=TRUE,_xlfn.NORM.S.DIST(Table1[[#This Row],[Birthweight Z-Score]],TRUE)*100,"")</f>
        <v/>
      </c>
      <c r="K5798" s="7" t="str">
        <f>IF(Table1[[#This Row],[Is Data Valid]]=TRUE,_xlfn.NORM.S.DIST(Table1[[#This Row],[Birthweight Z-Score (BW-10%)]],TRUE)*100,"")</f>
        <v/>
      </c>
      <c r="L5798" s="7" t="str">
        <f>IF(Table1[[#This Row],[Is Data Valid]]=TRUE,_xlfn.NORM.S.DIST(Table1[[#This Row],[Birthweight Z-Score (BW+10%)]],TRUE)*100,"")</f>
        <v/>
      </c>
    </row>
    <row r="5799" spans="1:12" x14ac:dyDescent="0.35">
      <c r="A5799" s="3"/>
      <c r="B5799" s="2"/>
      <c r="C5799" s="2"/>
      <c r="D5799" s="2" t="b">
        <f>IF(AND(NOT(ISBLANK(Table1[[#This Row],[Fetal Sex (Male, Female or Unknown)]])),ISNUMBER(Table1[[#This Row],[Birthweight (grams)]]),ISNUMBER(Table1[[#This Row],[Gestation (days)]])),TRUE,FALSE)</f>
        <v>0</v>
      </c>
      <c r="E5799" s="2" t="str">
        <f>IF(Table1[[#This Row],[Is Data Valid]]=TRUE,IF(Table1[[#This Row],[Fetal Sex (Male, Female or Unknown)]]="Male",Backend!$C$6,IF(Table1[[#This Row],[Fetal Sex (Male, Female or Unknown)]]="Female",Backend!$C$7,IF(Table1[[#This Row],[Fetal Sex (Male, Female or Unknown)]]="Unknown",Backend!$C$8,"Error"))),"")</f>
        <v/>
      </c>
      <c r="F5799" s="8" t="str">
        <f>IF(Table1[[#This Row],[Is Data Valid]]=TRUE,EXP(0.578+0.332*((Table1[[#This Row],[Gestation (days)]]+0.5)/7)-0.00354*((Table1[[#This Row],[Gestation (days)]]+0.5)/7)^2)*Table1[[#This Row],[BW40_3705]],"")</f>
        <v/>
      </c>
      <c r="G5799" s="2" t="str">
        <f>IF(Table1[[#This Row],[Is Data Valid]]=TRUE,((Table1[[#This Row],[Birthweight (grams)]]/Table1[[#This Row],[BW_GA]])-1)/(Backend!$B$4/100*Table1[[#This Row],[BW40_3705]]),"")</f>
        <v/>
      </c>
      <c r="H5799" s="7" t="str">
        <f>IF(Table1[[#This Row],[Is Data Valid]]=TRUE,((Table1[[#This Row],[Birthweight (grams)]]*0.9/Table1[[#This Row],[BW_GA]])-1)/(Backend!$B$4/100*Table1[[#This Row],[BW40_3705]]),"")</f>
        <v/>
      </c>
      <c r="I5799" s="7" t="str">
        <f>IF(Table1[[#This Row],[Is Data Valid]]=TRUE,((Table1[[#This Row],[Birthweight (grams)]]*1.1/Table1[[#This Row],[BW_GA]])-1)/(Backend!$B$4/100*Table1[[#This Row],[BW40_3705]]),"")</f>
        <v/>
      </c>
      <c r="J5799" s="7" t="str">
        <f>IF(Table1[[#This Row],[Is Data Valid]]=TRUE,_xlfn.NORM.S.DIST(Table1[[#This Row],[Birthweight Z-Score]],TRUE)*100,"")</f>
        <v/>
      </c>
      <c r="K5799" s="7" t="str">
        <f>IF(Table1[[#This Row],[Is Data Valid]]=TRUE,_xlfn.NORM.S.DIST(Table1[[#This Row],[Birthweight Z-Score (BW-10%)]],TRUE)*100,"")</f>
        <v/>
      </c>
      <c r="L5799" s="7" t="str">
        <f>IF(Table1[[#This Row],[Is Data Valid]]=TRUE,_xlfn.NORM.S.DIST(Table1[[#This Row],[Birthweight Z-Score (BW+10%)]],TRUE)*100,"")</f>
        <v/>
      </c>
    </row>
    <row r="5800" spans="1:12" x14ac:dyDescent="0.35">
      <c r="A5800" s="3"/>
      <c r="B5800" s="2"/>
      <c r="C5800" s="2"/>
      <c r="D5800" s="2" t="b">
        <f>IF(AND(NOT(ISBLANK(Table1[[#This Row],[Fetal Sex (Male, Female or Unknown)]])),ISNUMBER(Table1[[#This Row],[Birthweight (grams)]]),ISNUMBER(Table1[[#This Row],[Gestation (days)]])),TRUE,FALSE)</f>
        <v>0</v>
      </c>
      <c r="E5800" s="2" t="str">
        <f>IF(Table1[[#This Row],[Is Data Valid]]=TRUE,IF(Table1[[#This Row],[Fetal Sex (Male, Female or Unknown)]]="Male",Backend!$C$6,IF(Table1[[#This Row],[Fetal Sex (Male, Female or Unknown)]]="Female",Backend!$C$7,IF(Table1[[#This Row],[Fetal Sex (Male, Female or Unknown)]]="Unknown",Backend!$C$8,"Error"))),"")</f>
        <v/>
      </c>
      <c r="F5800" s="8" t="str">
        <f>IF(Table1[[#This Row],[Is Data Valid]]=TRUE,EXP(0.578+0.332*((Table1[[#This Row],[Gestation (days)]]+0.5)/7)-0.00354*((Table1[[#This Row],[Gestation (days)]]+0.5)/7)^2)*Table1[[#This Row],[BW40_3705]],"")</f>
        <v/>
      </c>
      <c r="G5800" s="2" t="str">
        <f>IF(Table1[[#This Row],[Is Data Valid]]=TRUE,((Table1[[#This Row],[Birthweight (grams)]]/Table1[[#This Row],[BW_GA]])-1)/(Backend!$B$4/100*Table1[[#This Row],[BW40_3705]]),"")</f>
        <v/>
      </c>
      <c r="H5800" s="7" t="str">
        <f>IF(Table1[[#This Row],[Is Data Valid]]=TRUE,((Table1[[#This Row],[Birthweight (grams)]]*0.9/Table1[[#This Row],[BW_GA]])-1)/(Backend!$B$4/100*Table1[[#This Row],[BW40_3705]]),"")</f>
        <v/>
      </c>
      <c r="I5800" s="7" t="str">
        <f>IF(Table1[[#This Row],[Is Data Valid]]=TRUE,((Table1[[#This Row],[Birthweight (grams)]]*1.1/Table1[[#This Row],[BW_GA]])-1)/(Backend!$B$4/100*Table1[[#This Row],[BW40_3705]]),"")</f>
        <v/>
      </c>
      <c r="J5800" s="7" t="str">
        <f>IF(Table1[[#This Row],[Is Data Valid]]=TRUE,_xlfn.NORM.S.DIST(Table1[[#This Row],[Birthweight Z-Score]],TRUE)*100,"")</f>
        <v/>
      </c>
      <c r="K5800" s="7" t="str">
        <f>IF(Table1[[#This Row],[Is Data Valid]]=TRUE,_xlfn.NORM.S.DIST(Table1[[#This Row],[Birthweight Z-Score (BW-10%)]],TRUE)*100,"")</f>
        <v/>
      </c>
      <c r="L5800" s="7" t="str">
        <f>IF(Table1[[#This Row],[Is Data Valid]]=TRUE,_xlfn.NORM.S.DIST(Table1[[#This Row],[Birthweight Z-Score (BW+10%)]],TRUE)*100,"")</f>
        <v/>
      </c>
    </row>
    <row r="5801" spans="1:12" x14ac:dyDescent="0.35">
      <c r="A5801" s="3"/>
      <c r="B5801" s="2"/>
      <c r="C5801" s="2"/>
      <c r="D5801" s="2" t="b">
        <f>IF(AND(NOT(ISBLANK(Table1[[#This Row],[Fetal Sex (Male, Female or Unknown)]])),ISNUMBER(Table1[[#This Row],[Birthweight (grams)]]),ISNUMBER(Table1[[#This Row],[Gestation (days)]])),TRUE,FALSE)</f>
        <v>0</v>
      </c>
      <c r="E5801" s="2" t="str">
        <f>IF(Table1[[#This Row],[Is Data Valid]]=TRUE,IF(Table1[[#This Row],[Fetal Sex (Male, Female or Unknown)]]="Male",Backend!$C$6,IF(Table1[[#This Row],[Fetal Sex (Male, Female or Unknown)]]="Female",Backend!$C$7,IF(Table1[[#This Row],[Fetal Sex (Male, Female or Unknown)]]="Unknown",Backend!$C$8,"Error"))),"")</f>
        <v/>
      </c>
      <c r="F5801" s="8" t="str">
        <f>IF(Table1[[#This Row],[Is Data Valid]]=TRUE,EXP(0.578+0.332*((Table1[[#This Row],[Gestation (days)]]+0.5)/7)-0.00354*((Table1[[#This Row],[Gestation (days)]]+0.5)/7)^2)*Table1[[#This Row],[BW40_3705]],"")</f>
        <v/>
      </c>
      <c r="G5801" s="2" t="str">
        <f>IF(Table1[[#This Row],[Is Data Valid]]=TRUE,((Table1[[#This Row],[Birthweight (grams)]]/Table1[[#This Row],[BW_GA]])-1)/(Backend!$B$4/100*Table1[[#This Row],[BW40_3705]]),"")</f>
        <v/>
      </c>
      <c r="H5801" s="7" t="str">
        <f>IF(Table1[[#This Row],[Is Data Valid]]=TRUE,((Table1[[#This Row],[Birthweight (grams)]]*0.9/Table1[[#This Row],[BW_GA]])-1)/(Backend!$B$4/100*Table1[[#This Row],[BW40_3705]]),"")</f>
        <v/>
      </c>
      <c r="I5801" s="7" t="str">
        <f>IF(Table1[[#This Row],[Is Data Valid]]=TRUE,((Table1[[#This Row],[Birthweight (grams)]]*1.1/Table1[[#This Row],[BW_GA]])-1)/(Backend!$B$4/100*Table1[[#This Row],[BW40_3705]]),"")</f>
        <v/>
      </c>
      <c r="J5801" s="7" t="str">
        <f>IF(Table1[[#This Row],[Is Data Valid]]=TRUE,_xlfn.NORM.S.DIST(Table1[[#This Row],[Birthweight Z-Score]],TRUE)*100,"")</f>
        <v/>
      </c>
      <c r="K5801" s="7" t="str">
        <f>IF(Table1[[#This Row],[Is Data Valid]]=TRUE,_xlfn.NORM.S.DIST(Table1[[#This Row],[Birthweight Z-Score (BW-10%)]],TRUE)*100,"")</f>
        <v/>
      </c>
      <c r="L5801" s="7" t="str">
        <f>IF(Table1[[#This Row],[Is Data Valid]]=TRUE,_xlfn.NORM.S.DIST(Table1[[#This Row],[Birthweight Z-Score (BW+10%)]],TRUE)*100,"")</f>
        <v/>
      </c>
    </row>
    <row r="5802" spans="1:12" x14ac:dyDescent="0.35">
      <c r="A5802" s="3"/>
      <c r="B5802" s="2"/>
      <c r="C5802" s="2"/>
      <c r="D5802" s="2" t="b">
        <f>IF(AND(NOT(ISBLANK(Table1[[#This Row],[Fetal Sex (Male, Female or Unknown)]])),ISNUMBER(Table1[[#This Row],[Birthweight (grams)]]),ISNUMBER(Table1[[#This Row],[Gestation (days)]])),TRUE,FALSE)</f>
        <v>0</v>
      </c>
      <c r="E5802" s="2" t="str">
        <f>IF(Table1[[#This Row],[Is Data Valid]]=TRUE,IF(Table1[[#This Row],[Fetal Sex (Male, Female or Unknown)]]="Male",Backend!$C$6,IF(Table1[[#This Row],[Fetal Sex (Male, Female or Unknown)]]="Female",Backend!$C$7,IF(Table1[[#This Row],[Fetal Sex (Male, Female or Unknown)]]="Unknown",Backend!$C$8,"Error"))),"")</f>
        <v/>
      </c>
      <c r="F5802" s="8" t="str">
        <f>IF(Table1[[#This Row],[Is Data Valid]]=TRUE,EXP(0.578+0.332*((Table1[[#This Row],[Gestation (days)]]+0.5)/7)-0.00354*((Table1[[#This Row],[Gestation (days)]]+0.5)/7)^2)*Table1[[#This Row],[BW40_3705]],"")</f>
        <v/>
      </c>
      <c r="G5802" s="2" t="str">
        <f>IF(Table1[[#This Row],[Is Data Valid]]=TRUE,((Table1[[#This Row],[Birthweight (grams)]]/Table1[[#This Row],[BW_GA]])-1)/(Backend!$B$4/100*Table1[[#This Row],[BW40_3705]]),"")</f>
        <v/>
      </c>
      <c r="H5802" s="7" t="str">
        <f>IF(Table1[[#This Row],[Is Data Valid]]=TRUE,((Table1[[#This Row],[Birthweight (grams)]]*0.9/Table1[[#This Row],[BW_GA]])-1)/(Backend!$B$4/100*Table1[[#This Row],[BW40_3705]]),"")</f>
        <v/>
      </c>
      <c r="I5802" s="7" t="str">
        <f>IF(Table1[[#This Row],[Is Data Valid]]=TRUE,((Table1[[#This Row],[Birthweight (grams)]]*1.1/Table1[[#This Row],[BW_GA]])-1)/(Backend!$B$4/100*Table1[[#This Row],[BW40_3705]]),"")</f>
        <v/>
      </c>
      <c r="J5802" s="7" t="str">
        <f>IF(Table1[[#This Row],[Is Data Valid]]=TRUE,_xlfn.NORM.S.DIST(Table1[[#This Row],[Birthweight Z-Score]],TRUE)*100,"")</f>
        <v/>
      </c>
      <c r="K5802" s="7" t="str">
        <f>IF(Table1[[#This Row],[Is Data Valid]]=TRUE,_xlfn.NORM.S.DIST(Table1[[#This Row],[Birthweight Z-Score (BW-10%)]],TRUE)*100,"")</f>
        <v/>
      </c>
      <c r="L5802" s="7" t="str">
        <f>IF(Table1[[#This Row],[Is Data Valid]]=TRUE,_xlfn.NORM.S.DIST(Table1[[#This Row],[Birthweight Z-Score (BW+10%)]],TRUE)*100,"")</f>
        <v/>
      </c>
    </row>
    <row r="5803" spans="1:12" x14ac:dyDescent="0.35">
      <c r="A5803" s="3"/>
      <c r="B5803" s="2"/>
      <c r="C5803" s="2"/>
      <c r="D5803" s="2" t="b">
        <f>IF(AND(NOT(ISBLANK(Table1[[#This Row],[Fetal Sex (Male, Female or Unknown)]])),ISNUMBER(Table1[[#This Row],[Birthweight (grams)]]),ISNUMBER(Table1[[#This Row],[Gestation (days)]])),TRUE,FALSE)</f>
        <v>0</v>
      </c>
      <c r="E5803" s="2" t="str">
        <f>IF(Table1[[#This Row],[Is Data Valid]]=TRUE,IF(Table1[[#This Row],[Fetal Sex (Male, Female or Unknown)]]="Male",Backend!$C$6,IF(Table1[[#This Row],[Fetal Sex (Male, Female or Unknown)]]="Female",Backend!$C$7,IF(Table1[[#This Row],[Fetal Sex (Male, Female or Unknown)]]="Unknown",Backend!$C$8,"Error"))),"")</f>
        <v/>
      </c>
      <c r="F5803" s="8" t="str">
        <f>IF(Table1[[#This Row],[Is Data Valid]]=TRUE,EXP(0.578+0.332*((Table1[[#This Row],[Gestation (days)]]+0.5)/7)-0.00354*((Table1[[#This Row],[Gestation (days)]]+0.5)/7)^2)*Table1[[#This Row],[BW40_3705]],"")</f>
        <v/>
      </c>
      <c r="G5803" s="2" t="str">
        <f>IF(Table1[[#This Row],[Is Data Valid]]=TRUE,((Table1[[#This Row],[Birthweight (grams)]]/Table1[[#This Row],[BW_GA]])-1)/(Backend!$B$4/100*Table1[[#This Row],[BW40_3705]]),"")</f>
        <v/>
      </c>
      <c r="H5803" s="7" t="str">
        <f>IF(Table1[[#This Row],[Is Data Valid]]=TRUE,((Table1[[#This Row],[Birthweight (grams)]]*0.9/Table1[[#This Row],[BW_GA]])-1)/(Backend!$B$4/100*Table1[[#This Row],[BW40_3705]]),"")</f>
        <v/>
      </c>
      <c r="I5803" s="7" t="str">
        <f>IF(Table1[[#This Row],[Is Data Valid]]=TRUE,((Table1[[#This Row],[Birthweight (grams)]]*1.1/Table1[[#This Row],[BW_GA]])-1)/(Backend!$B$4/100*Table1[[#This Row],[BW40_3705]]),"")</f>
        <v/>
      </c>
      <c r="J5803" s="7" t="str">
        <f>IF(Table1[[#This Row],[Is Data Valid]]=TRUE,_xlfn.NORM.S.DIST(Table1[[#This Row],[Birthweight Z-Score]],TRUE)*100,"")</f>
        <v/>
      </c>
      <c r="K5803" s="7" t="str">
        <f>IF(Table1[[#This Row],[Is Data Valid]]=TRUE,_xlfn.NORM.S.DIST(Table1[[#This Row],[Birthweight Z-Score (BW-10%)]],TRUE)*100,"")</f>
        <v/>
      </c>
      <c r="L5803" s="7" t="str">
        <f>IF(Table1[[#This Row],[Is Data Valid]]=TRUE,_xlfn.NORM.S.DIST(Table1[[#This Row],[Birthweight Z-Score (BW+10%)]],TRUE)*100,"")</f>
        <v/>
      </c>
    </row>
    <row r="5804" spans="1:12" x14ac:dyDescent="0.35">
      <c r="A5804" s="3"/>
      <c r="B5804" s="2"/>
      <c r="C5804" s="2"/>
      <c r="D5804" s="2" t="b">
        <f>IF(AND(NOT(ISBLANK(Table1[[#This Row],[Fetal Sex (Male, Female or Unknown)]])),ISNUMBER(Table1[[#This Row],[Birthweight (grams)]]),ISNUMBER(Table1[[#This Row],[Gestation (days)]])),TRUE,FALSE)</f>
        <v>0</v>
      </c>
      <c r="E5804" s="2" t="str">
        <f>IF(Table1[[#This Row],[Is Data Valid]]=TRUE,IF(Table1[[#This Row],[Fetal Sex (Male, Female or Unknown)]]="Male",Backend!$C$6,IF(Table1[[#This Row],[Fetal Sex (Male, Female or Unknown)]]="Female",Backend!$C$7,IF(Table1[[#This Row],[Fetal Sex (Male, Female or Unknown)]]="Unknown",Backend!$C$8,"Error"))),"")</f>
        <v/>
      </c>
      <c r="F5804" s="8" t="str">
        <f>IF(Table1[[#This Row],[Is Data Valid]]=TRUE,EXP(0.578+0.332*((Table1[[#This Row],[Gestation (days)]]+0.5)/7)-0.00354*((Table1[[#This Row],[Gestation (days)]]+0.5)/7)^2)*Table1[[#This Row],[BW40_3705]],"")</f>
        <v/>
      </c>
      <c r="G5804" s="2" t="str">
        <f>IF(Table1[[#This Row],[Is Data Valid]]=TRUE,((Table1[[#This Row],[Birthweight (grams)]]/Table1[[#This Row],[BW_GA]])-1)/(Backend!$B$4/100*Table1[[#This Row],[BW40_3705]]),"")</f>
        <v/>
      </c>
      <c r="H5804" s="7" t="str">
        <f>IF(Table1[[#This Row],[Is Data Valid]]=TRUE,((Table1[[#This Row],[Birthweight (grams)]]*0.9/Table1[[#This Row],[BW_GA]])-1)/(Backend!$B$4/100*Table1[[#This Row],[BW40_3705]]),"")</f>
        <v/>
      </c>
      <c r="I5804" s="7" t="str">
        <f>IF(Table1[[#This Row],[Is Data Valid]]=TRUE,((Table1[[#This Row],[Birthweight (grams)]]*1.1/Table1[[#This Row],[BW_GA]])-1)/(Backend!$B$4/100*Table1[[#This Row],[BW40_3705]]),"")</f>
        <v/>
      </c>
      <c r="J5804" s="7" t="str">
        <f>IF(Table1[[#This Row],[Is Data Valid]]=TRUE,_xlfn.NORM.S.DIST(Table1[[#This Row],[Birthweight Z-Score]],TRUE)*100,"")</f>
        <v/>
      </c>
      <c r="K5804" s="7" t="str">
        <f>IF(Table1[[#This Row],[Is Data Valid]]=TRUE,_xlfn.NORM.S.DIST(Table1[[#This Row],[Birthweight Z-Score (BW-10%)]],TRUE)*100,"")</f>
        <v/>
      </c>
      <c r="L5804" s="7" t="str">
        <f>IF(Table1[[#This Row],[Is Data Valid]]=TRUE,_xlfn.NORM.S.DIST(Table1[[#This Row],[Birthweight Z-Score (BW+10%)]],TRUE)*100,"")</f>
        <v/>
      </c>
    </row>
    <row r="5805" spans="1:12" x14ac:dyDescent="0.35">
      <c r="A5805" s="3"/>
      <c r="B5805" s="2"/>
      <c r="C5805" s="2"/>
      <c r="D5805" s="2" t="b">
        <f>IF(AND(NOT(ISBLANK(Table1[[#This Row],[Fetal Sex (Male, Female or Unknown)]])),ISNUMBER(Table1[[#This Row],[Birthweight (grams)]]),ISNUMBER(Table1[[#This Row],[Gestation (days)]])),TRUE,FALSE)</f>
        <v>0</v>
      </c>
      <c r="E5805" s="2" t="str">
        <f>IF(Table1[[#This Row],[Is Data Valid]]=TRUE,IF(Table1[[#This Row],[Fetal Sex (Male, Female or Unknown)]]="Male",Backend!$C$6,IF(Table1[[#This Row],[Fetal Sex (Male, Female or Unknown)]]="Female",Backend!$C$7,IF(Table1[[#This Row],[Fetal Sex (Male, Female or Unknown)]]="Unknown",Backend!$C$8,"Error"))),"")</f>
        <v/>
      </c>
      <c r="F5805" s="8" t="str">
        <f>IF(Table1[[#This Row],[Is Data Valid]]=TRUE,EXP(0.578+0.332*((Table1[[#This Row],[Gestation (days)]]+0.5)/7)-0.00354*((Table1[[#This Row],[Gestation (days)]]+0.5)/7)^2)*Table1[[#This Row],[BW40_3705]],"")</f>
        <v/>
      </c>
      <c r="G5805" s="2" t="str">
        <f>IF(Table1[[#This Row],[Is Data Valid]]=TRUE,((Table1[[#This Row],[Birthweight (grams)]]/Table1[[#This Row],[BW_GA]])-1)/(Backend!$B$4/100*Table1[[#This Row],[BW40_3705]]),"")</f>
        <v/>
      </c>
      <c r="H5805" s="7" t="str">
        <f>IF(Table1[[#This Row],[Is Data Valid]]=TRUE,((Table1[[#This Row],[Birthweight (grams)]]*0.9/Table1[[#This Row],[BW_GA]])-1)/(Backend!$B$4/100*Table1[[#This Row],[BW40_3705]]),"")</f>
        <v/>
      </c>
      <c r="I5805" s="7" t="str">
        <f>IF(Table1[[#This Row],[Is Data Valid]]=TRUE,((Table1[[#This Row],[Birthweight (grams)]]*1.1/Table1[[#This Row],[BW_GA]])-1)/(Backend!$B$4/100*Table1[[#This Row],[BW40_3705]]),"")</f>
        <v/>
      </c>
      <c r="J5805" s="7" t="str">
        <f>IF(Table1[[#This Row],[Is Data Valid]]=TRUE,_xlfn.NORM.S.DIST(Table1[[#This Row],[Birthweight Z-Score]],TRUE)*100,"")</f>
        <v/>
      </c>
      <c r="K5805" s="7" t="str">
        <f>IF(Table1[[#This Row],[Is Data Valid]]=TRUE,_xlfn.NORM.S.DIST(Table1[[#This Row],[Birthweight Z-Score (BW-10%)]],TRUE)*100,"")</f>
        <v/>
      </c>
      <c r="L5805" s="7" t="str">
        <f>IF(Table1[[#This Row],[Is Data Valid]]=TRUE,_xlfn.NORM.S.DIST(Table1[[#This Row],[Birthweight Z-Score (BW+10%)]],TRUE)*100,"")</f>
        <v/>
      </c>
    </row>
    <row r="5806" spans="1:12" x14ac:dyDescent="0.35">
      <c r="A5806" s="3"/>
      <c r="B5806" s="2"/>
      <c r="C5806" s="2"/>
      <c r="D5806" s="2" t="b">
        <f>IF(AND(NOT(ISBLANK(Table1[[#This Row],[Fetal Sex (Male, Female or Unknown)]])),ISNUMBER(Table1[[#This Row],[Birthweight (grams)]]),ISNUMBER(Table1[[#This Row],[Gestation (days)]])),TRUE,FALSE)</f>
        <v>0</v>
      </c>
      <c r="E5806" s="2" t="str">
        <f>IF(Table1[[#This Row],[Is Data Valid]]=TRUE,IF(Table1[[#This Row],[Fetal Sex (Male, Female or Unknown)]]="Male",Backend!$C$6,IF(Table1[[#This Row],[Fetal Sex (Male, Female or Unknown)]]="Female",Backend!$C$7,IF(Table1[[#This Row],[Fetal Sex (Male, Female or Unknown)]]="Unknown",Backend!$C$8,"Error"))),"")</f>
        <v/>
      </c>
      <c r="F5806" s="8" t="str">
        <f>IF(Table1[[#This Row],[Is Data Valid]]=TRUE,EXP(0.578+0.332*((Table1[[#This Row],[Gestation (days)]]+0.5)/7)-0.00354*((Table1[[#This Row],[Gestation (days)]]+0.5)/7)^2)*Table1[[#This Row],[BW40_3705]],"")</f>
        <v/>
      </c>
      <c r="G5806" s="2" t="str">
        <f>IF(Table1[[#This Row],[Is Data Valid]]=TRUE,((Table1[[#This Row],[Birthweight (grams)]]/Table1[[#This Row],[BW_GA]])-1)/(Backend!$B$4/100*Table1[[#This Row],[BW40_3705]]),"")</f>
        <v/>
      </c>
      <c r="H5806" s="7" t="str">
        <f>IF(Table1[[#This Row],[Is Data Valid]]=TRUE,((Table1[[#This Row],[Birthweight (grams)]]*0.9/Table1[[#This Row],[BW_GA]])-1)/(Backend!$B$4/100*Table1[[#This Row],[BW40_3705]]),"")</f>
        <v/>
      </c>
      <c r="I5806" s="7" t="str">
        <f>IF(Table1[[#This Row],[Is Data Valid]]=TRUE,((Table1[[#This Row],[Birthweight (grams)]]*1.1/Table1[[#This Row],[BW_GA]])-1)/(Backend!$B$4/100*Table1[[#This Row],[BW40_3705]]),"")</f>
        <v/>
      </c>
      <c r="J5806" s="7" t="str">
        <f>IF(Table1[[#This Row],[Is Data Valid]]=TRUE,_xlfn.NORM.S.DIST(Table1[[#This Row],[Birthweight Z-Score]],TRUE)*100,"")</f>
        <v/>
      </c>
      <c r="K5806" s="7" t="str">
        <f>IF(Table1[[#This Row],[Is Data Valid]]=TRUE,_xlfn.NORM.S.DIST(Table1[[#This Row],[Birthweight Z-Score (BW-10%)]],TRUE)*100,"")</f>
        <v/>
      </c>
      <c r="L5806" s="7" t="str">
        <f>IF(Table1[[#This Row],[Is Data Valid]]=TRUE,_xlfn.NORM.S.DIST(Table1[[#This Row],[Birthweight Z-Score (BW+10%)]],TRUE)*100,"")</f>
        <v/>
      </c>
    </row>
    <row r="5807" spans="1:12" x14ac:dyDescent="0.35">
      <c r="A5807" s="3"/>
      <c r="B5807" s="2"/>
      <c r="C5807" s="2"/>
      <c r="D5807" s="2" t="b">
        <f>IF(AND(NOT(ISBLANK(Table1[[#This Row],[Fetal Sex (Male, Female or Unknown)]])),ISNUMBER(Table1[[#This Row],[Birthweight (grams)]]),ISNUMBER(Table1[[#This Row],[Gestation (days)]])),TRUE,FALSE)</f>
        <v>0</v>
      </c>
      <c r="E5807" s="2" t="str">
        <f>IF(Table1[[#This Row],[Is Data Valid]]=TRUE,IF(Table1[[#This Row],[Fetal Sex (Male, Female or Unknown)]]="Male",Backend!$C$6,IF(Table1[[#This Row],[Fetal Sex (Male, Female or Unknown)]]="Female",Backend!$C$7,IF(Table1[[#This Row],[Fetal Sex (Male, Female or Unknown)]]="Unknown",Backend!$C$8,"Error"))),"")</f>
        <v/>
      </c>
      <c r="F5807" s="8" t="str">
        <f>IF(Table1[[#This Row],[Is Data Valid]]=TRUE,EXP(0.578+0.332*((Table1[[#This Row],[Gestation (days)]]+0.5)/7)-0.00354*((Table1[[#This Row],[Gestation (days)]]+0.5)/7)^2)*Table1[[#This Row],[BW40_3705]],"")</f>
        <v/>
      </c>
      <c r="G5807" s="2" t="str">
        <f>IF(Table1[[#This Row],[Is Data Valid]]=TRUE,((Table1[[#This Row],[Birthweight (grams)]]/Table1[[#This Row],[BW_GA]])-1)/(Backend!$B$4/100*Table1[[#This Row],[BW40_3705]]),"")</f>
        <v/>
      </c>
      <c r="H5807" s="7" t="str">
        <f>IF(Table1[[#This Row],[Is Data Valid]]=TRUE,((Table1[[#This Row],[Birthweight (grams)]]*0.9/Table1[[#This Row],[BW_GA]])-1)/(Backend!$B$4/100*Table1[[#This Row],[BW40_3705]]),"")</f>
        <v/>
      </c>
      <c r="I5807" s="7" t="str">
        <f>IF(Table1[[#This Row],[Is Data Valid]]=TRUE,((Table1[[#This Row],[Birthweight (grams)]]*1.1/Table1[[#This Row],[BW_GA]])-1)/(Backend!$B$4/100*Table1[[#This Row],[BW40_3705]]),"")</f>
        <v/>
      </c>
      <c r="J5807" s="7" t="str">
        <f>IF(Table1[[#This Row],[Is Data Valid]]=TRUE,_xlfn.NORM.S.DIST(Table1[[#This Row],[Birthweight Z-Score]],TRUE)*100,"")</f>
        <v/>
      </c>
      <c r="K5807" s="7" t="str">
        <f>IF(Table1[[#This Row],[Is Data Valid]]=TRUE,_xlfn.NORM.S.DIST(Table1[[#This Row],[Birthweight Z-Score (BW-10%)]],TRUE)*100,"")</f>
        <v/>
      </c>
      <c r="L5807" s="7" t="str">
        <f>IF(Table1[[#This Row],[Is Data Valid]]=TRUE,_xlfn.NORM.S.DIST(Table1[[#This Row],[Birthweight Z-Score (BW+10%)]],TRUE)*100,"")</f>
        <v/>
      </c>
    </row>
    <row r="5808" spans="1:12" x14ac:dyDescent="0.35">
      <c r="A5808" s="3"/>
      <c r="B5808" s="2"/>
      <c r="C5808" s="2"/>
      <c r="D5808" s="2" t="b">
        <f>IF(AND(NOT(ISBLANK(Table1[[#This Row],[Fetal Sex (Male, Female or Unknown)]])),ISNUMBER(Table1[[#This Row],[Birthweight (grams)]]),ISNUMBER(Table1[[#This Row],[Gestation (days)]])),TRUE,FALSE)</f>
        <v>0</v>
      </c>
      <c r="E5808" s="2" t="str">
        <f>IF(Table1[[#This Row],[Is Data Valid]]=TRUE,IF(Table1[[#This Row],[Fetal Sex (Male, Female or Unknown)]]="Male",Backend!$C$6,IF(Table1[[#This Row],[Fetal Sex (Male, Female or Unknown)]]="Female",Backend!$C$7,IF(Table1[[#This Row],[Fetal Sex (Male, Female or Unknown)]]="Unknown",Backend!$C$8,"Error"))),"")</f>
        <v/>
      </c>
      <c r="F5808" s="8" t="str">
        <f>IF(Table1[[#This Row],[Is Data Valid]]=TRUE,EXP(0.578+0.332*((Table1[[#This Row],[Gestation (days)]]+0.5)/7)-0.00354*((Table1[[#This Row],[Gestation (days)]]+0.5)/7)^2)*Table1[[#This Row],[BW40_3705]],"")</f>
        <v/>
      </c>
      <c r="G5808" s="2" t="str">
        <f>IF(Table1[[#This Row],[Is Data Valid]]=TRUE,((Table1[[#This Row],[Birthweight (grams)]]/Table1[[#This Row],[BW_GA]])-1)/(Backend!$B$4/100*Table1[[#This Row],[BW40_3705]]),"")</f>
        <v/>
      </c>
      <c r="H5808" s="7" t="str">
        <f>IF(Table1[[#This Row],[Is Data Valid]]=TRUE,((Table1[[#This Row],[Birthweight (grams)]]*0.9/Table1[[#This Row],[BW_GA]])-1)/(Backend!$B$4/100*Table1[[#This Row],[BW40_3705]]),"")</f>
        <v/>
      </c>
      <c r="I5808" s="7" t="str">
        <f>IF(Table1[[#This Row],[Is Data Valid]]=TRUE,((Table1[[#This Row],[Birthweight (grams)]]*1.1/Table1[[#This Row],[BW_GA]])-1)/(Backend!$B$4/100*Table1[[#This Row],[BW40_3705]]),"")</f>
        <v/>
      </c>
      <c r="J5808" s="7" t="str">
        <f>IF(Table1[[#This Row],[Is Data Valid]]=TRUE,_xlfn.NORM.S.DIST(Table1[[#This Row],[Birthweight Z-Score]],TRUE)*100,"")</f>
        <v/>
      </c>
      <c r="K5808" s="7" t="str">
        <f>IF(Table1[[#This Row],[Is Data Valid]]=TRUE,_xlfn.NORM.S.DIST(Table1[[#This Row],[Birthweight Z-Score (BW-10%)]],TRUE)*100,"")</f>
        <v/>
      </c>
      <c r="L5808" s="7" t="str">
        <f>IF(Table1[[#This Row],[Is Data Valid]]=TRUE,_xlfn.NORM.S.DIST(Table1[[#This Row],[Birthweight Z-Score (BW+10%)]],TRUE)*100,"")</f>
        <v/>
      </c>
    </row>
    <row r="5809" spans="1:12" x14ac:dyDescent="0.35">
      <c r="A5809" s="3"/>
      <c r="B5809" s="2"/>
      <c r="C5809" s="2"/>
      <c r="D5809" s="2" t="b">
        <f>IF(AND(NOT(ISBLANK(Table1[[#This Row],[Fetal Sex (Male, Female or Unknown)]])),ISNUMBER(Table1[[#This Row],[Birthweight (grams)]]),ISNUMBER(Table1[[#This Row],[Gestation (days)]])),TRUE,FALSE)</f>
        <v>0</v>
      </c>
      <c r="E5809" s="2" t="str">
        <f>IF(Table1[[#This Row],[Is Data Valid]]=TRUE,IF(Table1[[#This Row],[Fetal Sex (Male, Female or Unknown)]]="Male",Backend!$C$6,IF(Table1[[#This Row],[Fetal Sex (Male, Female or Unknown)]]="Female",Backend!$C$7,IF(Table1[[#This Row],[Fetal Sex (Male, Female or Unknown)]]="Unknown",Backend!$C$8,"Error"))),"")</f>
        <v/>
      </c>
      <c r="F5809" s="8" t="str">
        <f>IF(Table1[[#This Row],[Is Data Valid]]=TRUE,EXP(0.578+0.332*((Table1[[#This Row],[Gestation (days)]]+0.5)/7)-0.00354*((Table1[[#This Row],[Gestation (days)]]+0.5)/7)^2)*Table1[[#This Row],[BW40_3705]],"")</f>
        <v/>
      </c>
      <c r="G5809" s="2" t="str">
        <f>IF(Table1[[#This Row],[Is Data Valid]]=TRUE,((Table1[[#This Row],[Birthweight (grams)]]/Table1[[#This Row],[BW_GA]])-1)/(Backend!$B$4/100*Table1[[#This Row],[BW40_3705]]),"")</f>
        <v/>
      </c>
      <c r="H5809" s="7" t="str">
        <f>IF(Table1[[#This Row],[Is Data Valid]]=TRUE,((Table1[[#This Row],[Birthweight (grams)]]*0.9/Table1[[#This Row],[BW_GA]])-1)/(Backend!$B$4/100*Table1[[#This Row],[BW40_3705]]),"")</f>
        <v/>
      </c>
      <c r="I5809" s="7" t="str">
        <f>IF(Table1[[#This Row],[Is Data Valid]]=TRUE,((Table1[[#This Row],[Birthweight (grams)]]*1.1/Table1[[#This Row],[BW_GA]])-1)/(Backend!$B$4/100*Table1[[#This Row],[BW40_3705]]),"")</f>
        <v/>
      </c>
      <c r="J5809" s="7" t="str">
        <f>IF(Table1[[#This Row],[Is Data Valid]]=TRUE,_xlfn.NORM.S.DIST(Table1[[#This Row],[Birthweight Z-Score]],TRUE)*100,"")</f>
        <v/>
      </c>
      <c r="K5809" s="7" t="str">
        <f>IF(Table1[[#This Row],[Is Data Valid]]=TRUE,_xlfn.NORM.S.DIST(Table1[[#This Row],[Birthweight Z-Score (BW-10%)]],TRUE)*100,"")</f>
        <v/>
      </c>
      <c r="L5809" s="7" t="str">
        <f>IF(Table1[[#This Row],[Is Data Valid]]=TRUE,_xlfn.NORM.S.DIST(Table1[[#This Row],[Birthweight Z-Score (BW+10%)]],TRUE)*100,"")</f>
        <v/>
      </c>
    </row>
    <row r="5810" spans="1:12" x14ac:dyDescent="0.35">
      <c r="A5810" s="3"/>
      <c r="B5810" s="2"/>
      <c r="C5810" s="2"/>
      <c r="D5810" s="2" t="b">
        <f>IF(AND(NOT(ISBLANK(Table1[[#This Row],[Fetal Sex (Male, Female or Unknown)]])),ISNUMBER(Table1[[#This Row],[Birthweight (grams)]]),ISNUMBER(Table1[[#This Row],[Gestation (days)]])),TRUE,FALSE)</f>
        <v>0</v>
      </c>
      <c r="E5810" s="2" t="str">
        <f>IF(Table1[[#This Row],[Is Data Valid]]=TRUE,IF(Table1[[#This Row],[Fetal Sex (Male, Female or Unknown)]]="Male",Backend!$C$6,IF(Table1[[#This Row],[Fetal Sex (Male, Female or Unknown)]]="Female",Backend!$C$7,IF(Table1[[#This Row],[Fetal Sex (Male, Female or Unknown)]]="Unknown",Backend!$C$8,"Error"))),"")</f>
        <v/>
      </c>
      <c r="F5810" s="8" t="str">
        <f>IF(Table1[[#This Row],[Is Data Valid]]=TRUE,EXP(0.578+0.332*((Table1[[#This Row],[Gestation (days)]]+0.5)/7)-0.00354*((Table1[[#This Row],[Gestation (days)]]+0.5)/7)^2)*Table1[[#This Row],[BW40_3705]],"")</f>
        <v/>
      </c>
      <c r="G5810" s="2" t="str">
        <f>IF(Table1[[#This Row],[Is Data Valid]]=TRUE,((Table1[[#This Row],[Birthweight (grams)]]/Table1[[#This Row],[BW_GA]])-1)/(Backend!$B$4/100*Table1[[#This Row],[BW40_3705]]),"")</f>
        <v/>
      </c>
      <c r="H5810" s="7" t="str">
        <f>IF(Table1[[#This Row],[Is Data Valid]]=TRUE,((Table1[[#This Row],[Birthweight (grams)]]*0.9/Table1[[#This Row],[BW_GA]])-1)/(Backend!$B$4/100*Table1[[#This Row],[BW40_3705]]),"")</f>
        <v/>
      </c>
      <c r="I5810" s="7" t="str">
        <f>IF(Table1[[#This Row],[Is Data Valid]]=TRUE,((Table1[[#This Row],[Birthweight (grams)]]*1.1/Table1[[#This Row],[BW_GA]])-1)/(Backend!$B$4/100*Table1[[#This Row],[BW40_3705]]),"")</f>
        <v/>
      </c>
      <c r="J5810" s="7" t="str">
        <f>IF(Table1[[#This Row],[Is Data Valid]]=TRUE,_xlfn.NORM.S.DIST(Table1[[#This Row],[Birthweight Z-Score]],TRUE)*100,"")</f>
        <v/>
      </c>
      <c r="K5810" s="7" t="str">
        <f>IF(Table1[[#This Row],[Is Data Valid]]=TRUE,_xlfn.NORM.S.DIST(Table1[[#This Row],[Birthweight Z-Score (BW-10%)]],TRUE)*100,"")</f>
        <v/>
      </c>
      <c r="L5810" s="7" t="str">
        <f>IF(Table1[[#This Row],[Is Data Valid]]=TRUE,_xlfn.NORM.S.DIST(Table1[[#This Row],[Birthweight Z-Score (BW+10%)]],TRUE)*100,"")</f>
        <v/>
      </c>
    </row>
    <row r="5811" spans="1:12" x14ac:dyDescent="0.35">
      <c r="A5811" s="3"/>
      <c r="B5811" s="2"/>
      <c r="C5811" s="2"/>
      <c r="D5811" s="2" t="b">
        <f>IF(AND(NOT(ISBLANK(Table1[[#This Row],[Fetal Sex (Male, Female or Unknown)]])),ISNUMBER(Table1[[#This Row],[Birthweight (grams)]]),ISNUMBER(Table1[[#This Row],[Gestation (days)]])),TRUE,FALSE)</f>
        <v>0</v>
      </c>
      <c r="E5811" s="2" t="str">
        <f>IF(Table1[[#This Row],[Is Data Valid]]=TRUE,IF(Table1[[#This Row],[Fetal Sex (Male, Female or Unknown)]]="Male",Backend!$C$6,IF(Table1[[#This Row],[Fetal Sex (Male, Female or Unknown)]]="Female",Backend!$C$7,IF(Table1[[#This Row],[Fetal Sex (Male, Female or Unknown)]]="Unknown",Backend!$C$8,"Error"))),"")</f>
        <v/>
      </c>
      <c r="F5811" s="8" t="str">
        <f>IF(Table1[[#This Row],[Is Data Valid]]=TRUE,EXP(0.578+0.332*((Table1[[#This Row],[Gestation (days)]]+0.5)/7)-0.00354*((Table1[[#This Row],[Gestation (days)]]+0.5)/7)^2)*Table1[[#This Row],[BW40_3705]],"")</f>
        <v/>
      </c>
      <c r="G5811" s="2" t="str">
        <f>IF(Table1[[#This Row],[Is Data Valid]]=TRUE,((Table1[[#This Row],[Birthweight (grams)]]/Table1[[#This Row],[BW_GA]])-1)/(Backend!$B$4/100*Table1[[#This Row],[BW40_3705]]),"")</f>
        <v/>
      </c>
      <c r="H5811" s="7" t="str">
        <f>IF(Table1[[#This Row],[Is Data Valid]]=TRUE,((Table1[[#This Row],[Birthweight (grams)]]*0.9/Table1[[#This Row],[BW_GA]])-1)/(Backend!$B$4/100*Table1[[#This Row],[BW40_3705]]),"")</f>
        <v/>
      </c>
      <c r="I5811" s="7" t="str">
        <f>IF(Table1[[#This Row],[Is Data Valid]]=TRUE,((Table1[[#This Row],[Birthweight (grams)]]*1.1/Table1[[#This Row],[BW_GA]])-1)/(Backend!$B$4/100*Table1[[#This Row],[BW40_3705]]),"")</f>
        <v/>
      </c>
      <c r="J5811" s="7" t="str">
        <f>IF(Table1[[#This Row],[Is Data Valid]]=TRUE,_xlfn.NORM.S.DIST(Table1[[#This Row],[Birthweight Z-Score]],TRUE)*100,"")</f>
        <v/>
      </c>
      <c r="K5811" s="7" t="str">
        <f>IF(Table1[[#This Row],[Is Data Valid]]=TRUE,_xlfn.NORM.S.DIST(Table1[[#This Row],[Birthweight Z-Score (BW-10%)]],TRUE)*100,"")</f>
        <v/>
      </c>
      <c r="L5811" s="7" t="str">
        <f>IF(Table1[[#This Row],[Is Data Valid]]=TRUE,_xlfn.NORM.S.DIST(Table1[[#This Row],[Birthweight Z-Score (BW+10%)]],TRUE)*100,"")</f>
        <v/>
      </c>
    </row>
    <row r="5812" spans="1:12" x14ac:dyDescent="0.35">
      <c r="A5812" s="3"/>
      <c r="B5812" s="2"/>
      <c r="C5812" s="2"/>
      <c r="D5812" s="2" t="b">
        <f>IF(AND(NOT(ISBLANK(Table1[[#This Row],[Fetal Sex (Male, Female or Unknown)]])),ISNUMBER(Table1[[#This Row],[Birthweight (grams)]]),ISNUMBER(Table1[[#This Row],[Gestation (days)]])),TRUE,FALSE)</f>
        <v>0</v>
      </c>
      <c r="E5812" s="2" t="str">
        <f>IF(Table1[[#This Row],[Is Data Valid]]=TRUE,IF(Table1[[#This Row],[Fetal Sex (Male, Female or Unknown)]]="Male",Backend!$C$6,IF(Table1[[#This Row],[Fetal Sex (Male, Female or Unknown)]]="Female",Backend!$C$7,IF(Table1[[#This Row],[Fetal Sex (Male, Female or Unknown)]]="Unknown",Backend!$C$8,"Error"))),"")</f>
        <v/>
      </c>
      <c r="F5812" s="8" t="str">
        <f>IF(Table1[[#This Row],[Is Data Valid]]=TRUE,EXP(0.578+0.332*((Table1[[#This Row],[Gestation (days)]]+0.5)/7)-0.00354*((Table1[[#This Row],[Gestation (days)]]+0.5)/7)^2)*Table1[[#This Row],[BW40_3705]],"")</f>
        <v/>
      </c>
      <c r="G5812" s="2" t="str">
        <f>IF(Table1[[#This Row],[Is Data Valid]]=TRUE,((Table1[[#This Row],[Birthweight (grams)]]/Table1[[#This Row],[BW_GA]])-1)/(Backend!$B$4/100*Table1[[#This Row],[BW40_3705]]),"")</f>
        <v/>
      </c>
      <c r="H5812" s="7" t="str">
        <f>IF(Table1[[#This Row],[Is Data Valid]]=TRUE,((Table1[[#This Row],[Birthweight (grams)]]*0.9/Table1[[#This Row],[BW_GA]])-1)/(Backend!$B$4/100*Table1[[#This Row],[BW40_3705]]),"")</f>
        <v/>
      </c>
      <c r="I5812" s="7" t="str">
        <f>IF(Table1[[#This Row],[Is Data Valid]]=TRUE,((Table1[[#This Row],[Birthweight (grams)]]*1.1/Table1[[#This Row],[BW_GA]])-1)/(Backend!$B$4/100*Table1[[#This Row],[BW40_3705]]),"")</f>
        <v/>
      </c>
      <c r="J5812" s="7" t="str">
        <f>IF(Table1[[#This Row],[Is Data Valid]]=TRUE,_xlfn.NORM.S.DIST(Table1[[#This Row],[Birthweight Z-Score]],TRUE)*100,"")</f>
        <v/>
      </c>
      <c r="K5812" s="7" t="str">
        <f>IF(Table1[[#This Row],[Is Data Valid]]=TRUE,_xlfn.NORM.S.DIST(Table1[[#This Row],[Birthweight Z-Score (BW-10%)]],TRUE)*100,"")</f>
        <v/>
      </c>
      <c r="L5812" s="7" t="str">
        <f>IF(Table1[[#This Row],[Is Data Valid]]=TRUE,_xlfn.NORM.S.DIST(Table1[[#This Row],[Birthweight Z-Score (BW+10%)]],TRUE)*100,"")</f>
        <v/>
      </c>
    </row>
    <row r="5813" spans="1:12" x14ac:dyDescent="0.35">
      <c r="A5813" s="3"/>
      <c r="B5813" s="2"/>
      <c r="C5813" s="2"/>
      <c r="D5813" s="2" t="b">
        <f>IF(AND(NOT(ISBLANK(Table1[[#This Row],[Fetal Sex (Male, Female or Unknown)]])),ISNUMBER(Table1[[#This Row],[Birthweight (grams)]]),ISNUMBER(Table1[[#This Row],[Gestation (days)]])),TRUE,FALSE)</f>
        <v>0</v>
      </c>
      <c r="E5813" s="2" t="str">
        <f>IF(Table1[[#This Row],[Is Data Valid]]=TRUE,IF(Table1[[#This Row],[Fetal Sex (Male, Female or Unknown)]]="Male",Backend!$C$6,IF(Table1[[#This Row],[Fetal Sex (Male, Female or Unknown)]]="Female",Backend!$C$7,IF(Table1[[#This Row],[Fetal Sex (Male, Female or Unknown)]]="Unknown",Backend!$C$8,"Error"))),"")</f>
        <v/>
      </c>
      <c r="F5813" s="8" t="str">
        <f>IF(Table1[[#This Row],[Is Data Valid]]=TRUE,EXP(0.578+0.332*((Table1[[#This Row],[Gestation (days)]]+0.5)/7)-0.00354*((Table1[[#This Row],[Gestation (days)]]+0.5)/7)^2)*Table1[[#This Row],[BW40_3705]],"")</f>
        <v/>
      </c>
      <c r="G5813" s="2" t="str">
        <f>IF(Table1[[#This Row],[Is Data Valid]]=TRUE,((Table1[[#This Row],[Birthweight (grams)]]/Table1[[#This Row],[BW_GA]])-1)/(Backend!$B$4/100*Table1[[#This Row],[BW40_3705]]),"")</f>
        <v/>
      </c>
      <c r="H5813" s="7" t="str">
        <f>IF(Table1[[#This Row],[Is Data Valid]]=TRUE,((Table1[[#This Row],[Birthweight (grams)]]*0.9/Table1[[#This Row],[BW_GA]])-1)/(Backend!$B$4/100*Table1[[#This Row],[BW40_3705]]),"")</f>
        <v/>
      </c>
      <c r="I5813" s="7" t="str">
        <f>IF(Table1[[#This Row],[Is Data Valid]]=TRUE,((Table1[[#This Row],[Birthweight (grams)]]*1.1/Table1[[#This Row],[BW_GA]])-1)/(Backend!$B$4/100*Table1[[#This Row],[BW40_3705]]),"")</f>
        <v/>
      </c>
      <c r="J5813" s="7" t="str">
        <f>IF(Table1[[#This Row],[Is Data Valid]]=TRUE,_xlfn.NORM.S.DIST(Table1[[#This Row],[Birthweight Z-Score]],TRUE)*100,"")</f>
        <v/>
      </c>
      <c r="K5813" s="7" t="str">
        <f>IF(Table1[[#This Row],[Is Data Valid]]=TRUE,_xlfn.NORM.S.DIST(Table1[[#This Row],[Birthweight Z-Score (BW-10%)]],TRUE)*100,"")</f>
        <v/>
      </c>
      <c r="L5813" s="7" t="str">
        <f>IF(Table1[[#This Row],[Is Data Valid]]=TRUE,_xlfn.NORM.S.DIST(Table1[[#This Row],[Birthweight Z-Score (BW+10%)]],TRUE)*100,"")</f>
        <v/>
      </c>
    </row>
    <row r="5814" spans="1:12" x14ac:dyDescent="0.35">
      <c r="A5814" s="3"/>
      <c r="B5814" s="2"/>
      <c r="C5814" s="2"/>
      <c r="D5814" s="2" t="b">
        <f>IF(AND(NOT(ISBLANK(Table1[[#This Row],[Fetal Sex (Male, Female or Unknown)]])),ISNUMBER(Table1[[#This Row],[Birthweight (grams)]]),ISNUMBER(Table1[[#This Row],[Gestation (days)]])),TRUE,FALSE)</f>
        <v>0</v>
      </c>
      <c r="E5814" s="2" t="str">
        <f>IF(Table1[[#This Row],[Is Data Valid]]=TRUE,IF(Table1[[#This Row],[Fetal Sex (Male, Female or Unknown)]]="Male",Backend!$C$6,IF(Table1[[#This Row],[Fetal Sex (Male, Female or Unknown)]]="Female",Backend!$C$7,IF(Table1[[#This Row],[Fetal Sex (Male, Female or Unknown)]]="Unknown",Backend!$C$8,"Error"))),"")</f>
        <v/>
      </c>
      <c r="F5814" s="8" t="str">
        <f>IF(Table1[[#This Row],[Is Data Valid]]=TRUE,EXP(0.578+0.332*((Table1[[#This Row],[Gestation (days)]]+0.5)/7)-0.00354*((Table1[[#This Row],[Gestation (days)]]+0.5)/7)^2)*Table1[[#This Row],[BW40_3705]],"")</f>
        <v/>
      </c>
      <c r="G5814" s="2" t="str">
        <f>IF(Table1[[#This Row],[Is Data Valid]]=TRUE,((Table1[[#This Row],[Birthweight (grams)]]/Table1[[#This Row],[BW_GA]])-1)/(Backend!$B$4/100*Table1[[#This Row],[BW40_3705]]),"")</f>
        <v/>
      </c>
      <c r="H5814" s="7" t="str">
        <f>IF(Table1[[#This Row],[Is Data Valid]]=TRUE,((Table1[[#This Row],[Birthweight (grams)]]*0.9/Table1[[#This Row],[BW_GA]])-1)/(Backend!$B$4/100*Table1[[#This Row],[BW40_3705]]),"")</f>
        <v/>
      </c>
      <c r="I5814" s="7" t="str">
        <f>IF(Table1[[#This Row],[Is Data Valid]]=TRUE,((Table1[[#This Row],[Birthweight (grams)]]*1.1/Table1[[#This Row],[BW_GA]])-1)/(Backend!$B$4/100*Table1[[#This Row],[BW40_3705]]),"")</f>
        <v/>
      </c>
      <c r="J5814" s="7" t="str">
        <f>IF(Table1[[#This Row],[Is Data Valid]]=TRUE,_xlfn.NORM.S.DIST(Table1[[#This Row],[Birthweight Z-Score]],TRUE)*100,"")</f>
        <v/>
      </c>
      <c r="K5814" s="7" t="str">
        <f>IF(Table1[[#This Row],[Is Data Valid]]=TRUE,_xlfn.NORM.S.DIST(Table1[[#This Row],[Birthweight Z-Score (BW-10%)]],TRUE)*100,"")</f>
        <v/>
      </c>
      <c r="L5814" s="7" t="str">
        <f>IF(Table1[[#This Row],[Is Data Valid]]=TRUE,_xlfn.NORM.S.DIST(Table1[[#This Row],[Birthweight Z-Score (BW+10%)]],TRUE)*100,"")</f>
        <v/>
      </c>
    </row>
    <row r="5815" spans="1:12" x14ac:dyDescent="0.35">
      <c r="A5815" s="3"/>
      <c r="B5815" s="2"/>
      <c r="C5815" s="2"/>
      <c r="D5815" s="2" t="b">
        <f>IF(AND(NOT(ISBLANK(Table1[[#This Row],[Fetal Sex (Male, Female or Unknown)]])),ISNUMBER(Table1[[#This Row],[Birthweight (grams)]]),ISNUMBER(Table1[[#This Row],[Gestation (days)]])),TRUE,FALSE)</f>
        <v>0</v>
      </c>
      <c r="E5815" s="2" t="str">
        <f>IF(Table1[[#This Row],[Is Data Valid]]=TRUE,IF(Table1[[#This Row],[Fetal Sex (Male, Female or Unknown)]]="Male",Backend!$C$6,IF(Table1[[#This Row],[Fetal Sex (Male, Female or Unknown)]]="Female",Backend!$C$7,IF(Table1[[#This Row],[Fetal Sex (Male, Female or Unknown)]]="Unknown",Backend!$C$8,"Error"))),"")</f>
        <v/>
      </c>
      <c r="F5815" s="8" t="str">
        <f>IF(Table1[[#This Row],[Is Data Valid]]=TRUE,EXP(0.578+0.332*((Table1[[#This Row],[Gestation (days)]]+0.5)/7)-0.00354*((Table1[[#This Row],[Gestation (days)]]+0.5)/7)^2)*Table1[[#This Row],[BW40_3705]],"")</f>
        <v/>
      </c>
      <c r="G5815" s="2" t="str">
        <f>IF(Table1[[#This Row],[Is Data Valid]]=TRUE,((Table1[[#This Row],[Birthweight (grams)]]/Table1[[#This Row],[BW_GA]])-1)/(Backend!$B$4/100*Table1[[#This Row],[BW40_3705]]),"")</f>
        <v/>
      </c>
      <c r="H5815" s="7" t="str">
        <f>IF(Table1[[#This Row],[Is Data Valid]]=TRUE,((Table1[[#This Row],[Birthweight (grams)]]*0.9/Table1[[#This Row],[BW_GA]])-1)/(Backend!$B$4/100*Table1[[#This Row],[BW40_3705]]),"")</f>
        <v/>
      </c>
      <c r="I5815" s="7" t="str">
        <f>IF(Table1[[#This Row],[Is Data Valid]]=TRUE,((Table1[[#This Row],[Birthweight (grams)]]*1.1/Table1[[#This Row],[BW_GA]])-1)/(Backend!$B$4/100*Table1[[#This Row],[BW40_3705]]),"")</f>
        <v/>
      </c>
      <c r="J5815" s="7" t="str">
        <f>IF(Table1[[#This Row],[Is Data Valid]]=TRUE,_xlfn.NORM.S.DIST(Table1[[#This Row],[Birthweight Z-Score]],TRUE)*100,"")</f>
        <v/>
      </c>
      <c r="K5815" s="7" t="str">
        <f>IF(Table1[[#This Row],[Is Data Valid]]=TRUE,_xlfn.NORM.S.DIST(Table1[[#This Row],[Birthweight Z-Score (BW-10%)]],TRUE)*100,"")</f>
        <v/>
      </c>
      <c r="L5815" s="7" t="str">
        <f>IF(Table1[[#This Row],[Is Data Valid]]=TRUE,_xlfn.NORM.S.DIST(Table1[[#This Row],[Birthweight Z-Score (BW+10%)]],TRUE)*100,"")</f>
        <v/>
      </c>
    </row>
    <row r="5816" spans="1:12" x14ac:dyDescent="0.35">
      <c r="A5816" s="3"/>
      <c r="B5816" s="2"/>
      <c r="C5816" s="2"/>
      <c r="D5816" s="2" t="b">
        <f>IF(AND(NOT(ISBLANK(Table1[[#This Row],[Fetal Sex (Male, Female or Unknown)]])),ISNUMBER(Table1[[#This Row],[Birthweight (grams)]]),ISNUMBER(Table1[[#This Row],[Gestation (days)]])),TRUE,FALSE)</f>
        <v>0</v>
      </c>
      <c r="E5816" s="2" t="str">
        <f>IF(Table1[[#This Row],[Is Data Valid]]=TRUE,IF(Table1[[#This Row],[Fetal Sex (Male, Female or Unknown)]]="Male",Backend!$C$6,IF(Table1[[#This Row],[Fetal Sex (Male, Female or Unknown)]]="Female",Backend!$C$7,IF(Table1[[#This Row],[Fetal Sex (Male, Female or Unknown)]]="Unknown",Backend!$C$8,"Error"))),"")</f>
        <v/>
      </c>
      <c r="F5816" s="8" t="str">
        <f>IF(Table1[[#This Row],[Is Data Valid]]=TRUE,EXP(0.578+0.332*((Table1[[#This Row],[Gestation (days)]]+0.5)/7)-0.00354*((Table1[[#This Row],[Gestation (days)]]+0.5)/7)^2)*Table1[[#This Row],[BW40_3705]],"")</f>
        <v/>
      </c>
      <c r="G5816" s="2" t="str">
        <f>IF(Table1[[#This Row],[Is Data Valid]]=TRUE,((Table1[[#This Row],[Birthweight (grams)]]/Table1[[#This Row],[BW_GA]])-1)/(Backend!$B$4/100*Table1[[#This Row],[BW40_3705]]),"")</f>
        <v/>
      </c>
      <c r="H5816" s="7" t="str">
        <f>IF(Table1[[#This Row],[Is Data Valid]]=TRUE,((Table1[[#This Row],[Birthweight (grams)]]*0.9/Table1[[#This Row],[BW_GA]])-1)/(Backend!$B$4/100*Table1[[#This Row],[BW40_3705]]),"")</f>
        <v/>
      </c>
      <c r="I5816" s="7" t="str">
        <f>IF(Table1[[#This Row],[Is Data Valid]]=TRUE,((Table1[[#This Row],[Birthweight (grams)]]*1.1/Table1[[#This Row],[BW_GA]])-1)/(Backend!$B$4/100*Table1[[#This Row],[BW40_3705]]),"")</f>
        <v/>
      </c>
      <c r="J5816" s="7" t="str">
        <f>IF(Table1[[#This Row],[Is Data Valid]]=TRUE,_xlfn.NORM.S.DIST(Table1[[#This Row],[Birthweight Z-Score]],TRUE)*100,"")</f>
        <v/>
      </c>
      <c r="K5816" s="7" t="str">
        <f>IF(Table1[[#This Row],[Is Data Valid]]=TRUE,_xlfn.NORM.S.DIST(Table1[[#This Row],[Birthweight Z-Score (BW-10%)]],TRUE)*100,"")</f>
        <v/>
      </c>
      <c r="L5816" s="7" t="str">
        <f>IF(Table1[[#This Row],[Is Data Valid]]=TRUE,_xlfn.NORM.S.DIST(Table1[[#This Row],[Birthweight Z-Score (BW+10%)]],TRUE)*100,"")</f>
        <v/>
      </c>
    </row>
    <row r="5817" spans="1:12" x14ac:dyDescent="0.35">
      <c r="A5817" s="3"/>
      <c r="B5817" s="2"/>
      <c r="C5817" s="2"/>
      <c r="D5817" s="2" t="b">
        <f>IF(AND(NOT(ISBLANK(Table1[[#This Row],[Fetal Sex (Male, Female or Unknown)]])),ISNUMBER(Table1[[#This Row],[Birthweight (grams)]]),ISNUMBER(Table1[[#This Row],[Gestation (days)]])),TRUE,FALSE)</f>
        <v>0</v>
      </c>
      <c r="E5817" s="2" t="str">
        <f>IF(Table1[[#This Row],[Is Data Valid]]=TRUE,IF(Table1[[#This Row],[Fetal Sex (Male, Female or Unknown)]]="Male",Backend!$C$6,IF(Table1[[#This Row],[Fetal Sex (Male, Female or Unknown)]]="Female",Backend!$C$7,IF(Table1[[#This Row],[Fetal Sex (Male, Female or Unknown)]]="Unknown",Backend!$C$8,"Error"))),"")</f>
        <v/>
      </c>
      <c r="F5817" s="8" t="str">
        <f>IF(Table1[[#This Row],[Is Data Valid]]=TRUE,EXP(0.578+0.332*((Table1[[#This Row],[Gestation (days)]]+0.5)/7)-0.00354*((Table1[[#This Row],[Gestation (days)]]+0.5)/7)^2)*Table1[[#This Row],[BW40_3705]],"")</f>
        <v/>
      </c>
      <c r="G5817" s="2" t="str">
        <f>IF(Table1[[#This Row],[Is Data Valid]]=TRUE,((Table1[[#This Row],[Birthweight (grams)]]/Table1[[#This Row],[BW_GA]])-1)/(Backend!$B$4/100*Table1[[#This Row],[BW40_3705]]),"")</f>
        <v/>
      </c>
      <c r="H5817" s="7" t="str">
        <f>IF(Table1[[#This Row],[Is Data Valid]]=TRUE,((Table1[[#This Row],[Birthweight (grams)]]*0.9/Table1[[#This Row],[BW_GA]])-1)/(Backend!$B$4/100*Table1[[#This Row],[BW40_3705]]),"")</f>
        <v/>
      </c>
      <c r="I5817" s="7" t="str">
        <f>IF(Table1[[#This Row],[Is Data Valid]]=TRUE,((Table1[[#This Row],[Birthweight (grams)]]*1.1/Table1[[#This Row],[BW_GA]])-1)/(Backend!$B$4/100*Table1[[#This Row],[BW40_3705]]),"")</f>
        <v/>
      </c>
      <c r="J5817" s="7" t="str">
        <f>IF(Table1[[#This Row],[Is Data Valid]]=TRUE,_xlfn.NORM.S.DIST(Table1[[#This Row],[Birthweight Z-Score]],TRUE)*100,"")</f>
        <v/>
      </c>
      <c r="K5817" s="7" t="str">
        <f>IF(Table1[[#This Row],[Is Data Valid]]=TRUE,_xlfn.NORM.S.DIST(Table1[[#This Row],[Birthweight Z-Score (BW-10%)]],TRUE)*100,"")</f>
        <v/>
      </c>
      <c r="L5817" s="7" t="str">
        <f>IF(Table1[[#This Row],[Is Data Valid]]=TRUE,_xlfn.NORM.S.DIST(Table1[[#This Row],[Birthweight Z-Score (BW+10%)]],TRUE)*100,"")</f>
        <v/>
      </c>
    </row>
    <row r="5818" spans="1:12" x14ac:dyDescent="0.35">
      <c r="A5818" s="3"/>
      <c r="B5818" s="2"/>
      <c r="C5818" s="2"/>
      <c r="D5818" s="2" t="b">
        <f>IF(AND(NOT(ISBLANK(Table1[[#This Row],[Fetal Sex (Male, Female or Unknown)]])),ISNUMBER(Table1[[#This Row],[Birthweight (grams)]]),ISNUMBER(Table1[[#This Row],[Gestation (days)]])),TRUE,FALSE)</f>
        <v>0</v>
      </c>
      <c r="E5818" s="2" t="str">
        <f>IF(Table1[[#This Row],[Is Data Valid]]=TRUE,IF(Table1[[#This Row],[Fetal Sex (Male, Female or Unknown)]]="Male",Backend!$C$6,IF(Table1[[#This Row],[Fetal Sex (Male, Female or Unknown)]]="Female",Backend!$C$7,IF(Table1[[#This Row],[Fetal Sex (Male, Female or Unknown)]]="Unknown",Backend!$C$8,"Error"))),"")</f>
        <v/>
      </c>
      <c r="F5818" s="8" t="str">
        <f>IF(Table1[[#This Row],[Is Data Valid]]=TRUE,EXP(0.578+0.332*((Table1[[#This Row],[Gestation (days)]]+0.5)/7)-0.00354*((Table1[[#This Row],[Gestation (days)]]+0.5)/7)^2)*Table1[[#This Row],[BW40_3705]],"")</f>
        <v/>
      </c>
      <c r="G5818" s="2" t="str">
        <f>IF(Table1[[#This Row],[Is Data Valid]]=TRUE,((Table1[[#This Row],[Birthweight (grams)]]/Table1[[#This Row],[BW_GA]])-1)/(Backend!$B$4/100*Table1[[#This Row],[BW40_3705]]),"")</f>
        <v/>
      </c>
      <c r="H5818" s="7" t="str">
        <f>IF(Table1[[#This Row],[Is Data Valid]]=TRUE,((Table1[[#This Row],[Birthweight (grams)]]*0.9/Table1[[#This Row],[BW_GA]])-1)/(Backend!$B$4/100*Table1[[#This Row],[BW40_3705]]),"")</f>
        <v/>
      </c>
      <c r="I5818" s="7" t="str">
        <f>IF(Table1[[#This Row],[Is Data Valid]]=TRUE,((Table1[[#This Row],[Birthweight (grams)]]*1.1/Table1[[#This Row],[BW_GA]])-1)/(Backend!$B$4/100*Table1[[#This Row],[BW40_3705]]),"")</f>
        <v/>
      </c>
      <c r="J5818" s="7" t="str">
        <f>IF(Table1[[#This Row],[Is Data Valid]]=TRUE,_xlfn.NORM.S.DIST(Table1[[#This Row],[Birthweight Z-Score]],TRUE)*100,"")</f>
        <v/>
      </c>
      <c r="K5818" s="7" t="str">
        <f>IF(Table1[[#This Row],[Is Data Valid]]=TRUE,_xlfn.NORM.S.DIST(Table1[[#This Row],[Birthweight Z-Score (BW-10%)]],TRUE)*100,"")</f>
        <v/>
      </c>
      <c r="L5818" s="7" t="str">
        <f>IF(Table1[[#This Row],[Is Data Valid]]=TRUE,_xlfn.NORM.S.DIST(Table1[[#This Row],[Birthweight Z-Score (BW+10%)]],TRUE)*100,"")</f>
        <v/>
      </c>
    </row>
    <row r="5819" spans="1:12" x14ac:dyDescent="0.35">
      <c r="A5819" s="3"/>
      <c r="B5819" s="2"/>
      <c r="C5819" s="2"/>
      <c r="D5819" s="2" t="b">
        <f>IF(AND(NOT(ISBLANK(Table1[[#This Row],[Fetal Sex (Male, Female or Unknown)]])),ISNUMBER(Table1[[#This Row],[Birthweight (grams)]]),ISNUMBER(Table1[[#This Row],[Gestation (days)]])),TRUE,FALSE)</f>
        <v>0</v>
      </c>
      <c r="E5819" s="2" t="str">
        <f>IF(Table1[[#This Row],[Is Data Valid]]=TRUE,IF(Table1[[#This Row],[Fetal Sex (Male, Female or Unknown)]]="Male",Backend!$C$6,IF(Table1[[#This Row],[Fetal Sex (Male, Female or Unknown)]]="Female",Backend!$C$7,IF(Table1[[#This Row],[Fetal Sex (Male, Female or Unknown)]]="Unknown",Backend!$C$8,"Error"))),"")</f>
        <v/>
      </c>
      <c r="F5819" s="8" t="str">
        <f>IF(Table1[[#This Row],[Is Data Valid]]=TRUE,EXP(0.578+0.332*((Table1[[#This Row],[Gestation (days)]]+0.5)/7)-0.00354*((Table1[[#This Row],[Gestation (days)]]+0.5)/7)^2)*Table1[[#This Row],[BW40_3705]],"")</f>
        <v/>
      </c>
      <c r="G5819" s="2" t="str">
        <f>IF(Table1[[#This Row],[Is Data Valid]]=TRUE,((Table1[[#This Row],[Birthweight (grams)]]/Table1[[#This Row],[BW_GA]])-1)/(Backend!$B$4/100*Table1[[#This Row],[BW40_3705]]),"")</f>
        <v/>
      </c>
      <c r="H5819" s="7" t="str">
        <f>IF(Table1[[#This Row],[Is Data Valid]]=TRUE,((Table1[[#This Row],[Birthweight (grams)]]*0.9/Table1[[#This Row],[BW_GA]])-1)/(Backend!$B$4/100*Table1[[#This Row],[BW40_3705]]),"")</f>
        <v/>
      </c>
      <c r="I5819" s="7" t="str">
        <f>IF(Table1[[#This Row],[Is Data Valid]]=TRUE,((Table1[[#This Row],[Birthweight (grams)]]*1.1/Table1[[#This Row],[BW_GA]])-1)/(Backend!$B$4/100*Table1[[#This Row],[BW40_3705]]),"")</f>
        <v/>
      </c>
      <c r="J5819" s="7" t="str">
        <f>IF(Table1[[#This Row],[Is Data Valid]]=TRUE,_xlfn.NORM.S.DIST(Table1[[#This Row],[Birthweight Z-Score]],TRUE)*100,"")</f>
        <v/>
      </c>
      <c r="K5819" s="7" t="str">
        <f>IF(Table1[[#This Row],[Is Data Valid]]=TRUE,_xlfn.NORM.S.DIST(Table1[[#This Row],[Birthweight Z-Score (BW-10%)]],TRUE)*100,"")</f>
        <v/>
      </c>
      <c r="L5819" s="7" t="str">
        <f>IF(Table1[[#This Row],[Is Data Valid]]=TRUE,_xlfn.NORM.S.DIST(Table1[[#This Row],[Birthweight Z-Score (BW+10%)]],TRUE)*100,"")</f>
        <v/>
      </c>
    </row>
    <row r="5820" spans="1:12" x14ac:dyDescent="0.35">
      <c r="A5820" s="3"/>
      <c r="B5820" s="2"/>
      <c r="C5820" s="2"/>
      <c r="D5820" s="2" t="b">
        <f>IF(AND(NOT(ISBLANK(Table1[[#This Row],[Fetal Sex (Male, Female or Unknown)]])),ISNUMBER(Table1[[#This Row],[Birthweight (grams)]]),ISNUMBER(Table1[[#This Row],[Gestation (days)]])),TRUE,FALSE)</f>
        <v>0</v>
      </c>
      <c r="E5820" s="2" t="str">
        <f>IF(Table1[[#This Row],[Is Data Valid]]=TRUE,IF(Table1[[#This Row],[Fetal Sex (Male, Female or Unknown)]]="Male",Backend!$C$6,IF(Table1[[#This Row],[Fetal Sex (Male, Female or Unknown)]]="Female",Backend!$C$7,IF(Table1[[#This Row],[Fetal Sex (Male, Female or Unknown)]]="Unknown",Backend!$C$8,"Error"))),"")</f>
        <v/>
      </c>
      <c r="F5820" s="8" t="str">
        <f>IF(Table1[[#This Row],[Is Data Valid]]=TRUE,EXP(0.578+0.332*((Table1[[#This Row],[Gestation (days)]]+0.5)/7)-0.00354*((Table1[[#This Row],[Gestation (days)]]+0.5)/7)^2)*Table1[[#This Row],[BW40_3705]],"")</f>
        <v/>
      </c>
      <c r="G5820" s="2" t="str">
        <f>IF(Table1[[#This Row],[Is Data Valid]]=TRUE,((Table1[[#This Row],[Birthweight (grams)]]/Table1[[#This Row],[BW_GA]])-1)/(Backend!$B$4/100*Table1[[#This Row],[BW40_3705]]),"")</f>
        <v/>
      </c>
      <c r="H5820" s="7" t="str">
        <f>IF(Table1[[#This Row],[Is Data Valid]]=TRUE,((Table1[[#This Row],[Birthweight (grams)]]*0.9/Table1[[#This Row],[BW_GA]])-1)/(Backend!$B$4/100*Table1[[#This Row],[BW40_3705]]),"")</f>
        <v/>
      </c>
      <c r="I5820" s="7" t="str">
        <f>IF(Table1[[#This Row],[Is Data Valid]]=TRUE,((Table1[[#This Row],[Birthweight (grams)]]*1.1/Table1[[#This Row],[BW_GA]])-1)/(Backend!$B$4/100*Table1[[#This Row],[BW40_3705]]),"")</f>
        <v/>
      </c>
      <c r="J5820" s="7" t="str">
        <f>IF(Table1[[#This Row],[Is Data Valid]]=TRUE,_xlfn.NORM.S.DIST(Table1[[#This Row],[Birthweight Z-Score]],TRUE)*100,"")</f>
        <v/>
      </c>
      <c r="K5820" s="7" t="str">
        <f>IF(Table1[[#This Row],[Is Data Valid]]=TRUE,_xlfn.NORM.S.DIST(Table1[[#This Row],[Birthweight Z-Score (BW-10%)]],TRUE)*100,"")</f>
        <v/>
      </c>
      <c r="L5820" s="7" t="str">
        <f>IF(Table1[[#This Row],[Is Data Valid]]=TRUE,_xlfn.NORM.S.DIST(Table1[[#This Row],[Birthweight Z-Score (BW+10%)]],TRUE)*100,"")</f>
        <v/>
      </c>
    </row>
    <row r="5821" spans="1:12" x14ac:dyDescent="0.35">
      <c r="A5821" s="3"/>
      <c r="B5821" s="2"/>
      <c r="C5821" s="2"/>
      <c r="D5821" s="2" t="b">
        <f>IF(AND(NOT(ISBLANK(Table1[[#This Row],[Fetal Sex (Male, Female or Unknown)]])),ISNUMBER(Table1[[#This Row],[Birthweight (grams)]]),ISNUMBER(Table1[[#This Row],[Gestation (days)]])),TRUE,FALSE)</f>
        <v>0</v>
      </c>
      <c r="E5821" s="2" t="str">
        <f>IF(Table1[[#This Row],[Is Data Valid]]=TRUE,IF(Table1[[#This Row],[Fetal Sex (Male, Female or Unknown)]]="Male",Backend!$C$6,IF(Table1[[#This Row],[Fetal Sex (Male, Female or Unknown)]]="Female",Backend!$C$7,IF(Table1[[#This Row],[Fetal Sex (Male, Female or Unknown)]]="Unknown",Backend!$C$8,"Error"))),"")</f>
        <v/>
      </c>
      <c r="F5821" s="8" t="str">
        <f>IF(Table1[[#This Row],[Is Data Valid]]=TRUE,EXP(0.578+0.332*((Table1[[#This Row],[Gestation (days)]]+0.5)/7)-0.00354*((Table1[[#This Row],[Gestation (days)]]+0.5)/7)^2)*Table1[[#This Row],[BW40_3705]],"")</f>
        <v/>
      </c>
      <c r="G5821" s="2" t="str">
        <f>IF(Table1[[#This Row],[Is Data Valid]]=TRUE,((Table1[[#This Row],[Birthweight (grams)]]/Table1[[#This Row],[BW_GA]])-1)/(Backend!$B$4/100*Table1[[#This Row],[BW40_3705]]),"")</f>
        <v/>
      </c>
      <c r="H5821" s="7" t="str">
        <f>IF(Table1[[#This Row],[Is Data Valid]]=TRUE,((Table1[[#This Row],[Birthweight (grams)]]*0.9/Table1[[#This Row],[BW_GA]])-1)/(Backend!$B$4/100*Table1[[#This Row],[BW40_3705]]),"")</f>
        <v/>
      </c>
      <c r="I5821" s="7" t="str">
        <f>IF(Table1[[#This Row],[Is Data Valid]]=TRUE,((Table1[[#This Row],[Birthweight (grams)]]*1.1/Table1[[#This Row],[BW_GA]])-1)/(Backend!$B$4/100*Table1[[#This Row],[BW40_3705]]),"")</f>
        <v/>
      </c>
      <c r="J5821" s="7" t="str">
        <f>IF(Table1[[#This Row],[Is Data Valid]]=TRUE,_xlfn.NORM.S.DIST(Table1[[#This Row],[Birthweight Z-Score]],TRUE)*100,"")</f>
        <v/>
      </c>
      <c r="K5821" s="7" t="str">
        <f>IF(Table1[[#This Row],[Is Data Valid]]=TRUE,_xlfn.NORM.S.DIST(Table1[[#This Row],[Birthweight Z-Score (BW-10%)]],TRUE)*100,"")</f>
        <v/>
      </c>
      <c r="L5821" s="7" t="str">
        <f>IF(Table1[[#This Row],[Is Data Valid]]=TRUE,_xlfn.NORM.S.DIST(Table1[[#This Row],[Birthweight Z-Score (BW+10%)]],TRUE)*100,"")</f>
        <v/>
      </c>
    </row>
    <row r="5822" spans="1:12" x14ac:dyDescent="0.35">
      <c r="A5822" s="3"/>
      <c r="B5822" s="2"/>
      <c r="C5822" s="2"/>
      <c r="D5822" s="2" t="b">
        <f>IF(AND(NOT(ISBLANK(Table1[[#This Row],[Fetal Sex (Male, Female or Unknown)]])),ISNUMBER(Table1[[#This Row],[Birthweight (grams)]]),ISNUMBER(Table1[[#This Row],[Gestation (days)]])),TRUE,FALSE)</f>
        <v>0</v>
      </c>
      <c r="E5822" s="2" t="str">
        <f>IF(Table1[[#This Row],[Is Data Valid]]=TRUE,IF(Table1[[#This Row],[Fetal Sex (Male, Female or Unknown)]]="Male",Backend!$C$6,IF(Table1[[#This Row],[Fetal Sex (Male, Female or Unknown)]]="Female",Backend!$C$7,IF(Table1[[#This Row],[Fetal Sex (Male, Female or Unknown)]]="Unknown",Backend!$C$8,"Error"))),"")</f>
        <v/>
      </c>
      <c r="F5822" s="8" t="str">
        <f>IF(Table1[[#This Row],[Is Data Valid]]=TRUE,EXP(0.578+0.332*((Table1[[#This Row],[Gestation (days)]]+0.5)/7)-0.00354*((Table1[[#This Row],[Gestation (days)]]+0.5)/7)^2)*Table1[[#This Row],[BW40_3705]],"")</f>
        <v/>
      </c>
      <c r="G5822" s="2" t="str">
        <f>IF(Table1[[#This Row],[Is Data Valid]]=TRUE,((Table1[[#This Row],[Birthweight (grams)]]/Table1[[#This Row],[BW_GA]])-1)/(Backend!$B$4/100*Table1[[#This Row],[BW40_3705]]),"")</f>
        <v/>
      </c>
      <c r="H5822" s="7" t="str">
        <f>IF(Table1[[#This Row],[Is Data Valid]]=TRUE,((Table1[[#This Row],[Birthweight (grams)]]*0.9/Table1[[#This Row],[BW_GA]])-1)/(Backend!$B$4/100*Table1[[#This Row],[BW40_3705]]),"")</f>
        <v/>
      </c>
      <c r="I5822" s="7" t="str">
        <f>IF(Table1[[#This Row],[Is Data Valid]]=TRUE,((Table1[[#This Row],[Birthweight (grams)]]*1.1/Table1[[#This Row],[BW_GA]])-1)/(Backend!$B$4/100*Table1[[#This Row],[BW40_3705]]),"")</f>
        <v/>
      </c>
      <c r="J5822" s="7" t="str">
        <f>IF(Table1[[#This Row],[Is Data Valid]]=TRUE,_xlfn.NORM.S.DIST(Table1[[#This Row],[Birthweight Z-Score]],TRUE)*100,"")</f>
        <v/>
      </c>
      <c r="K5822" s="7" t="str">
        <f>IF(Table1[[#This Row],[Is Data Valid]]=TRUE,_xlfn.NORM.S.DIST(Table1[[#This Row],[Birthweight Z-Score (BW-10%)]],TRUE)*100,"")</f>
        <v/>
      </c>
      <c r="L5822" s="7" t="str">
        <f>IF(Table1[[#This Row],[Is Data Valid]]=TRUE,_xlfn.NORM.S.DIST(Table1[[#This Row],[Birthweight Z-Score (BW+10%)]],TRUE)*100,"")</f>
        <v/>
      </c>
    </row>
    <row r="5823" spans="1:12" x14ac:dyDescent="0.35">
      <c r="A5823" s="3"/>
      <c r="B5823" s="2"/>
      <c r="C5823" s="2"/>
      <c r="D5823" s="2" t="b">
        <f>IF(AND(NOT(ISBLANK(Table1[[#This Row],[Fetal Sex (Male, Female or Unknown)]])),ISNUMBER(Table1[[#This Row],[Birthweight (grams)]]),ISNUMBER(Table1[[#This Row],[Gestation (days)]])),TRUE,FALSE)</f>
        <v>0</v>
      </c>
      <c r="E5823" s="2" t="str">
        <f>IF(Table1[[#This Row],[Is Data Valid]]=TRUE,IF(Table1[[#This Row],[Fetal Sex (Male, Female or Unknown)]]="Male",Backend!$C$6,IF(Table1[[#This Row],[Fetal Sex (Male, Female or Unknown)]]="Female",Backend!$C$7,IF(Table1[[#This Row],[Fetal Sex (Male, Female or Unknown)]]="Unknown",Backend!$C$8,"Error"))),"")</f>
        <v/>
      </c>
      <c r="F5823" s="8" t="str">
        <f>IF(Table1[[#This Row],[Is Data Valid]]=TRUE,EXP(0.578+0.332*((Table1[[#This Row],[Gestation (days)]]+0.5)/7)-0.00354*((Table1[[#This Row],[Gestation (days)]]+0.5)/7)^2)*Table1[[#This Row],[BW40_3705]],"")</f>
        <v/>
      </c>
      <c r="G5823" s="2" t="str">
        <f>IF(Table1[[#This Row],[Is Data Valid]]=TRUE,((Table1[[#This Row],[Birthweight (grams)]]/Table1[[#This Row],[BW_GA]])-1)/(Backend!$B$4/100*Table1[[#This Row],[BW40_3705]]),"")</f>
        <v/>
      </c>
      <c r="H5823" s="7" t="str">
        <f>IF(Table1[[#This Row],[Is Data Valid]]=TRUE,((Table1[[#This Row],[Birthweight (grams)]]*0.9/Table1[[#This Row],[BW_GA]])-1)/(Backend!$B$4/100*Table1[[#This Row],[BW40_3705]]),"")</f>
        <v/>
      </c>
      <c r="I5823" s="7" t="str">
        <f>IF(Table1[[#This Row],[Is Data Valid]]=TRUE,((Table1[[#This Row],[Birthweight (grams)]]*1.1/Table1[[#This Row],[BW_GA]])-1)/(Backend!$B$4/100*Table1[[#This Row],[BW40_3705]]),"")</f>
        <v/>
      </c>
      <c r="J5823" s="7" t="str">
        <f>IF(Table1[[#This Row],[Is Data Valid]]=TRUE,_xlfn.NORM.S.DIST(Table1[[#This Row],[Birthweight Z-Score]],TRUE)*100,"")</f>
        <v/>
      </c>
      <c r="K5823" s="7" t="str">
        <f>IF(Table1[[#This Row],[Is Data Valid]]=TRUE,_xlfn.NORM.S.DIST(Table1[[#This Row],[Birthweight Z-Score (BW-10%)]],TRUE)*100,"")</f>
        <v/>
      </c>
      <c r="L5823" s="7" t="str">
        <f>IF(Table1[[#This Row],[Is Data Valid]]=TRUE,_xlfn.NORM.S.DIST(Table1[[#This Row],[Birthweight Z-Score (BW+10%)]],TRUE)*100,"")</f>
        <v/>
      </c>
    </row>
    <row r="5824" spans="1:12" x14ac:dyDescent="0.35">
      <c r="A5824" s="3"/>
      <c r="B5824" s="2"/>
      <c r="C5824" s="2"/>
      <c r="D5824" s="2" t="b">
        <f>IF(AND(NOT(ISBLANK(Table1[[#This Row],[Fetal Sex (Male, Female or Unknown)]])),ISNUMBER(Table1[[#This Row],[Birthweight (grams)]]),ISNUMBER(Table1[[#This Row],[Gestation (days)]])),TRUE,FALSE)</f>
        <v>0</v>
      </c>
      <c r="E5824" s="2" t="str">
        <f>IF(Table1[[#This Row],[Is Data Valid]]=TRUE,IF(Table1[[#This Row],[Fetal Sex (Male, Female or Unknown)]]="Male",Backend!$C$6,IF(Table1[[#This Row],[Fetal Sex (Male, Female or Unknown)]]="Female",Backend!$C$7,IF(Table1[[#This Row],[Fetal Sex (Male, Female or Unknown)]]="Unknown",Backend!$C$8,"Error"))),"")</f>
        <v/>
      </c>
      <c r="F5824" s="8" t="str">
        <f>IF(Table1[[#This Row],[Is Data Valid]]=TRUE,EXP(0.578+0.332*((Table1[[#This Row],[Gestation (days)]]+0.5)/7)-0.00354*((Table1[[#This Row],[Gestation (days)]]+0.5)/7)^2)*Table1[[#This Row],[BW40_3705]],"")</f>
        <v/>
      </c>
      <c r="G5824" s="2" t="str">
        <f>IF(Table1[[#This Row],[Is Data Valid]]=TRUE,((Table1[[#This Row],[Birthweight (grams)]]/Table1[[#This Row],[BW_GA]])-1)/(Backend!$B$4/100*Table1[[#This Row],[BW40_3705]]),"")</f>
        <v/>
      </c>
      <c r="H5824" s="7" t="str">
        <f>IF(Table1[[#This Row],[Is Data Valid]]=TRUE,((Table1[[#This Row],[Birthweight (grams)]]*0.9/Table1[[#This Row],[BW_GA]])-1)/(Backend!$B$4/100*Table1[[#This Row],[BW40_3705]]),"")</f>
        <v/>
      </c>
      <c r="I5824" s="7" t="str">
        <f>IF(Table1[[#This Row],[Is Data Valid]]=TRUE,((Table1[[#This Row],[Birthweight (grams)]]*1.1/Table1[[#This Row],[BW_GA]])-1)/(Backend!$B$4/100*Table1[[#This Row],[BW40_3705]]),"")</f>
        <v/>
      </c>
      <c r="J5824" s="7" t="str">
        <f>IF(Table1[[#This Row],[Is Data Valid]]=TRUE,_xlfn.NORM.S.DIST(Table1[[#This Row],[Birthweight Z-Score]],TRUE)*100,"")</f>
        <v/>
      </c>
      <c r="K5824" s="7" t="str">
        <f>IF(Table1[[#This Row],[Is Data Valid]]=TRUE,_xlfn.NORM.S.DIST(Table1[[#This Row],[Birthweight Z-Score (BW-10%)]],TRUE)*100,"")</f>
        <v/>
      </c>
      <c r="L5824" s="7" t="str">
        <f>IF(Table1[[#This Row],[Is Data Valid]]=TRUE,_xlfn.NORM.S.DIST(Table1[[#This Row],[Birthweight Z-Score (BW+10%)]],TRUE)*100,"")</f>
        <v/>
      </c>
    </row>
    <row r="5825" spans="1:12" x14ac:dyDescent="0.35">
      <c r="A5825" s="3"/>
      <c r="B5825" s="2"/>
      <c r="C5825" s="2"/>
      <c r="D5825" s="2" t="b">
        <f>IF(AND(NOT(ISBLANK(Table1[[#This Row],[Fetal Sex (Male, Female or Unknown)]])),ISNUMBER(Table1[[#This Row],[Birthweight (grams)]]),ISNUMBER(Table1[[#This Row],[Gestation (days)]])),TRUE,FALSE)</f>
        <v>0</v>
      </c>
      <c r="E5825" s="2" t="str">
        <f>IF(Table1[[#This Row],[Is Data Valid]]=TRUE,IF(Table1[[#This Row],[Fetal Sex (Male, Female or Unknown)]]="Male",Backend!$C$6,IF(Table1[[#This Row],[Fetal Sex (Male, Female or Unknown)]]="Female",Backend!$C$7,IF(Table1[[#This Row],[Fetal Sex (Male, Female or Unknown)]]="Unknown",Backend!$C$8,"Error"))),"")</f>
        <v/>
      </c>
      <c r="F5825" s="8" t="str">
        <f>IF(Table1[[#This Row],[Is Data Valid]]=TRUE,EXP(0.578+0.332*((Table1[[#This Row],[Gestation (days)]]+0.5)/7)-0.00354*((Table1[[#This Row],[Gestation (days)]]+0.5)/7)^2)*Table1[[#This Row],[BW40_3705]],"")</f>
        <v/>
      </c>
      <c r="G5825" s="2" t="str">
        <f>IF(Table1[[#This Row],[Is Data Valid]]=TRUE,((Table1[[#This Row],[Birthweight (grams)]]/Table1[[#This Row],[BW_GA]])-1)/(Backend!$B$4/100*Table1[[#This Row],[BW40_3705]]),"")</f>
        <v/>
      </c>
      <c r="H5825" s="7" t="str">
        <f>IF(Table1[[#This Row],[Is Data Valid]]=TRUE,((Table1[[#This Row],[Birthweight (grams)]]*0.9/Table1[[#This Row],[BW_GA]])-1)/(Backend!$B$4/100*Table1[[#This Row],[BW40_3705]]),"")</f>
        <v/>
      </c>
      <c r="I5825" s="7" t="str">
        <f>IF(Table1[[#This Row],[Is Data Valid]]=TRUE,((Table1[[#This Row],[Birthweight (grams)]]*1.1/Table1[[#This Row],[BW_GA]])-1)/(Backend!$B$4/100*Table1[[#This Row],[BW40_3705]]),"")</f>
        <v/>
      </c>
      <c r="J5825" s="7" t="str">
        <f>IF(Table1[[#This Row],[Is Data Valid]]=TRUE,_xlfn.NORM.S.DIST(Table1[[#This Row],[Birthweight Z-Score]],TRUE)*100,"")</f>
        <v/>
      </c>
      <c r="K5825" s="7" t="str">
        <f>IF(Table1[[#This Row],[Is Data Valid]]=TRUE,_xlfn.NORM.S.DIST(Table1[[#This Row],[Birthweight Z-Score (BW-10%)]],TRUE)*100,"")</f>
        <v/>
      </c>
      <c r="L5825" s="7" t="str">
        <f>IF(Table1[[#This Row],[Is Data Valid]]=TRUE,_xlfn.NORM.S.DIST(Table1[[#This Row],[Birthweight Z-Score (BW+10%)]],TRUE)*100,"")</f>
        <v/>
      </c>
    </row>
    <row r="5826" spans="1:12" x14ac:dyDescent="0.35">
      <c r="A5826" s="3"/>
      <c r="B5826" s="2"/>
      <c r="C5826" s="2"/>
      <c r="D5826" s="2" t="b">
        <f>IF(AND(NOT(ISBLANK(Table1[[#This Row],[Fetal Sex (Male, Female or Unknown)]])),ISNUMBER(Table1[[#This Row],[Birthweight (grams)]]),ISNUMBER(Table1[[#This Row],[Gestation (days)]])),TRUE,FALSE)</f>
        <v>0</v>
      </c>
      <c r="E5826" s="2" t="str">
        <f>IF(Table1[[#This Row],[Is Data Valid]]=TRUE,IF(Table1[[#This Row],[Fetal Sex (Male, Female or Unknown)]]="Male",Backend!$C$6,IF(Table1[[#This Row],[Fetal Sex (Male, Female or Unknown)]]="Female",Backend!$C$7,IF(Table1[[#This Row],[Fetal Sex (Male, Female or Unknown)]]="Unknown",Backend!$C$8,"Error"))),"")</f>
        <v/>
      </c>
      <c r="F5826" s="8" t="str">
        <f>IF(Table1[[#This Row],[Is Data Valid]]=TRUE,EXP(0.578+0.332*((Table1[[#This Row],[Gestation (days)]]+0.5)/7)-0.00354*((Table1[[#This Row],[Gestation (days)]]+0.5)/7)^2)*Table1[[#This Row],[BW40_3705]],"")</f>
        <v/>
      </c>
      <c r="G5826" s="2" t="str">
        <f>IF(Table1[[#This Row],[Is Data Valid]]=TRUE,((Table1[[#This Row],[Birthweight (grams)]]/Table1[[#This Row],[BW_GA]])-1)/(Backend!$B$4/100*Table1[[#This Row],[BW40_3705]]),"")</f>
        <v/>
      </c>
      <c r="H5826" s="7" t="str">
        <f>IF(Table1[[#This Row],[Is Data Valid]]=TRUE,((Table1[[#This Row],[Birthweight (grams)]]*0.9/Table1[[#This Row],[BW_GA]])-1)/(Backend!$B$4/100*Table1[[#This Row],[BW40_3705]]),"")</f>
        <v/>
      </c>
      <c r="I5826" s="7" t="str">
        <f>IF(Table1[[#This Row],[Is Data Valid]]=TRUE,((Table1[[#This Row],[Birthweight (grams)]]*1.1/Table1[[#This Row],[BW_GA]])-1)/(Backend!$B$4/100*Table1[[#This Row],[BW40_3705]]),"")</f>
        <v/>
      </c>
      <c r="J5826" s="7" t="str">
        <f>IF(Table1[[#This Row],[Is Data Valid]]=TRUE,_xlfn.NORM.S.DIST(Table1[[#This Row],[Birthweight Z-Score]],TRUE)*100,"")</f>
        <v/>
      </c>
      <c r="K5826" s="7" t="str">
        <f>IF(Table1[[#This Row],[Is Data Valid]]=TRUE,_xlfn.NORM.S.DIST(Table1[[#This Row],[Birthweight Z-Score (BW-10%)]],TRUE)*100,"")</f>
        <v/>
      </c>
      <c r="L5826" s="7" t="str">
        <f>IF(Table1[[#This Row],[Is Data Valid]]=TRUE,_xlfn.NORM.S.DIST(Table1[[#This Row],[Birthweight Z-Score (BW+10%)]],TRUE)*100,"")</f>
        <v/>
      </c>
    </row>
    <row r="5827" spans="1:12" x14ac:dyDescent="0.35">
      <c r="A5827" s="3"/>
      <c r="B5827" s="2"/>
      <c r="C5827" s="2"/>
      <c r="D5827" s="2" t="b">
        <f>IF(AND(NOT(ISBLANK(Table1[[#This Row],[Fetal Sex (Male, Female or Unknown)]])),ISNUMBER(Table1[[#This Row],[Birthweight (grams)]]),ISNUMBER(Table1[[#This Row],[Gestation (days)]])),TRUE,FALSE)</f>
        <v>0</v>
      </c>
      <c r="E5827" s="2" t="str">
        <f>IF(Table1[[#This Row],[Is Data Valid]]=TRUE,IF(Table1[[#This Row],[Fetal Sex (Male, Female or Unknown)]]="Male",Backend!$C$6,IF(Table1[[#This Row],[Fetal Sex (Male, Female or Unknown)]]="Female",Backend!$C$7,IF(Table1[[#This Row],[Fetal Sex (Male, Female or Unknown)]]="Unknown",Backend!$C$8,"Error"))),"")</f>
        <v/>
      </c>
      <c r="F5827" s="8" t="str">
        <f>IF(Table1[[#This Row],[Is Data Valid]]=TRUE,EXP(0.578+0.332*((Table1[[#This Row],[Gestation (days)]]+0.5)/7)-0.00354*((Table1[[#This Row],[Gestation (days)]]+0.5)/7)^2)*Table1[[#This Row],[BW40_3705]],"")</f>
        <v/>
      </c>
      <c r="G5827" s="2" t="str">
        <f>IF(Table1[[#This Row],[Is Data Valid]]=TRUE,((Table1[[#This Row],[Birthweight (grams)]]/Table1[[#This Row],[BW_GA]])-1)/(Backend!$B$4/100*Table1[[#This Row],[BW40_3705]]),"")</f>
        <v/>
      </c>
      <c r="H5827" s="7" t="str">
        <f>IF(Table1[[#This Row],[Is Data Valid]]=TRUE,((Table1[[#This Row],[Birthweight (grams)]]*0.9/Table1[[#This Row],[BW_GA]])-1)/(Backend!$B$4/100*Table1[[#This Row],[BW40_3705]]),"")</f>
        <v/>
      </c>
      <c r="I5827" s="7" t="str">
        <f>IF(Table1[[#This Row],[Is Data Valid]]=TRUE,((Table1[[#This Row],[Birthweight (grams)]]*1.1/Table1[[#This Row],[BW_GA]])-1)/(Backend!$B$4/100*Table1[[#This Row],[BW40_3705]]),"")</f>
        <v/>
      </c>
      <c r="J5827" s="7" t="str">
        <f>IF(Table1[[#This Row],[Is Data Valid]]=TRUE,_xlfn.NORM.S.DIST(Table1[[#This Row],[Birthweight Z-Score]],TRUE)*100,"")</f>
        <v/>
      </c>
      <c r="K5827" s="7" t="str">
        <f>IF(Table1[[#This Row],[Is Data Valid]]=TRUE,_xlfn.NORM.S.DIST(Table1[[#This Row],[Birthweight Z-Score (BW-10%)]],TRUE)*100,"")</f>
        <v/>
      </c>
      <c r="L5827" s="7" t="str">
        <f>IF(Table1[[#This Row],[Is Data Valid]]=TRUE,_xlfn.NORM.S.DIST(Table1[[#This Row],[Birthweight Z-Score (BW+10%)]],TRUE)*100,"")</f>
        <v/>
      </c>
    </row>
    <row r="5828" spans="1:12" x14ac:dyDescent="0.35">
      <c r="A5828" s="3"/>
      <c r="B5828" s="2"/>
      <c r="C5828" s="2"/>
      <c r="D5828" s="2" t="b">
        <f>IF(AND(NOT(ISBLANK(Table1[[#This Row],[Fetal Sex (Male, Female or Unknown)]])),ISNUMBER(Table1[[#This Row],[Birthweight (grams)]]),ISNUMBER(Table1[[#This Row],[Gestation (days)]])),TRUE,FALSE)</f>
        <v>0</v>
      </c>
      <c r="E5828" s="2" t="str">
        <f>IF(Table1[[#This Row],[Is Data Valid]]=TRUE,IF(Table1[[#This Row],[Fetal Sex (Male, Female or Unknown)]]="Male",Backend!$C$6,IF(Table1[[#This Row],[Fetal Sex (Male, Female or Unknown)]]="Female",Backend!$C$7,IF(Table1[[#This Row],[Fetal Sex (Male, Female or Unknown)]]="Unknown",Backend!$C$8,"Error"))),"")</f>
        <v/>
      </c>
      <c r="F5828" s="8" t="str">
        <f>IF(Table1[[#This Row],[Is Data Valid]]=TRUE,EXP(0.578+0.332*((Table1[[#This Row],[Gestation (days)]]+0.5)/7)-0.00354*((Table1[[#This Row],[Gestation (days)]]+0.5)/7)^2)*Table1[[#This Row],[BW40_3705]],"")</f>
        <v/>
      </c>
      <c r="G5828" s="2" t="str">
        <f>IF(Table1[[#This Row],[Is Data Valid]]=TRUE,((Table1[[#This Row],[Birthweight (grams)]]/Table1[[#This Row],[BW_GA]])-1)/(Backend!$B$4/100*Table1[[#This Row],[BW40_3705]]),"")</f>
        <v/>
      </c>
      <c r="H5828" s="7" t="str">
        <f>IF(Table1[[#This Row],[Is Data Valid]]=TRUE,((Table1[[#This Row],[Birthweight (grams)]]*0.9/Table1[[#This Row],[BW_GA]])-1)/(Backend!$B$4/100*Table1[[#This Row],[BW40_3705]]),"")</f>
        <v/>
      </c>
      <c r="I5828" s="7" t="str">
        <f>IF(Table1[[#This Row],[Is Data Valid]]=TRUE,((Table1[[#This Row],[Birthweight (grams)]]*1.1/Table1[[#This Row],[BW_GA]])-1)/(Backend!$B$4/100*Table1[[#This Row],[BW40_3705]]),"")</f>
        <v/>
      </c>
      <c r="J5828" s="7" t="str">
        <f>IF(Table1[[#This Row],[Is Data Valid]]=TRUE,_xlfn.NORM.S.DIST(Table1[[#This Row],[Birthweight Z-Score]],TRUE)*100,"")</f>
        <v/>
      </c>
      <c r="K5828" s="7" t="str">
        <f>IF(Table1[[#This Row],[Is Data Valid]]=TRUE,_xlfn.NORM.S.DIST(Table1[[#This Row],[Birthweight Z-Score (BW-10%)]],TRUE)*100,"")</f>
        <v/>
      </c>
      <c r="L5828" s="7" t="str">
        <f>IF(Table1[[#This Row],[Is Data Valid]]=TRUE,_xlfn.NORM.S.DIST(Table1[[#This Row],[Birthweight Z-Score (BW+10%)]],TRUE)*100,"")</f>
        <v/>
      </c>
    </row>
    <row r="5829" spans="1:12" x14ac:dyDescent="0.35">
      <c r="A5829" s="3"/>
      <c r="B5829" s="2"/>
      <c r="C5829" s="2"/>
      <c r="D5829" s="2" t="b">
        <f>IF(AND(NOT(ISBLANK(Table1[[#This Row],[Fetal Sex (Male, Female or Unknown)]])),ISNUMBER(Table1[[#This Row],[Birthweight (grams)]]),ISNUMBER(Table1[[#This Row],[Gestation (days)]])),TRUE,FALSE)</f>
        <v>0</v>
      </c>
      <c r="E5829" s="2" t="str">
        <f>IF(Table1[[#This Row],[Is Data Valid]]=TRUE,IF(Table1[[#This Row],[Fetal Sex (Male, Female or Unknown)]]="Male",Backend!$C$6,IF(Table1[[#This Row],[Fetal Sex (Male, Female or Unknown)]]="Female",Backend!$C$7,IF(Table1[[#This Row],[Fetal Sex (Male, Female or Unknown)]]="Unknown",Backend!$C$8,"Error"))),"")</f>
        <v/>
      </c>
      <c r="F5829" s="8" t="str">
        <f>IF(Table1[[#This Row],[Is Data Valid]]=TRUE,EXP(0.578+0.332*((Table1[[#This Row],[Gestation (days)]]+0.5)/7)-0.00354*((Table1[[#This Row],[Gestation (days)]]+0.5)/7)^2)*Table1[[#This Row],[BW40_3705]],"")</f>
        <v/>
      </c>
      <c r="G5829" s="2" t="str">
        <f>IF(Table1[[#This Row],[Is Data Valid]]=TRUE,((Table1[[#This Row],[Birthweight (grams)]]/Table1[[#This Row],[BW_GA]])-1)/(Backend!$B$4/100*Table1[[#This Row],[BW40_3705]]),"")</f>
        <v/>
      </c>
      <c r="H5829" s="7" t="str">
        <f>IF(Table1[[#This Row],[Is Data Valid]]=TRUE,((Table1[[#This Row],[Birthweight (grams)]]*0.9/Table1[[#This Row],[BW_GA]])-1)/(Backend!$B$4/100*Table1[[#This Row],[BW40_3705]]),"")</f>
        <v/>
      </c>
      <c r="I5829" s="7" t="str">
        <f>IF(Table1[[#This Row],[Is Data Valid]]=TRUE,((Table1[[#This Row],[Birthweight (grams)]]*1.1/Table1[[#This Row],[BW_GA]])-1)/(Backend!$B$4/100*Table1[[#This Row],[BW40_3705]]),"")</f>
        <v/>
      </c>
      <c r="J5829" s="7" t="str">
        <f>IF(Table1[[#This Row],[Is Data Valid]]=TRUE,_xlfn.NORM.S.DIST(Table1[[#This Row],[Birthweight Z-Score]],TRUE)*100,"")</f>
        <v/>
      </c>
      <c r="K5829" s="7" t="str">
        <f>IF(Table1[[#This Row],[Is Data Valid]]=TRUE,_xlfn.NORM.S.DIST(Table1[[#This Row],[Birthweight Z-Score (BW-10%)]],TRUE)*100,"")</f>
        <v/>
      </c>
      <c r="L5829" s="7" t="str">
        <f>IF(Table1[[#This Row],[Is Data Valid]]=TRUE,_xlfn.NORM.S.DIST(Table1[[#This Row],[Birthweight Z-Score (BW+10%)]],TRUE)*100,"")</f>
        <v/>
      </c>
    </row>
    <row r="5830" spans="1:12" x14ac:dyDescent="0.35">
      <c r="A5830" s="3"/>
      <c r="B5830" s="2"/>
      <c r="C5830" s="2"/>
      <c r="D5830" s="2" t="b">
        <f>IF(AND(NOT(ISBLANK(Table1[[#This Row],[Fetal Sex (Male, Female or Unknown)]])),ISNUMBER(Table1[[#This Row],[Birthweight (grams)]]),ISNUMBER(Table1[[#This Row],[Gestation (days)]])),TRUE,FALSE)</f>
        <v>0</v>
      </c>
      <c r="E5830" s="2" t="str">
        <f>IF(Table1[[#This Row],[Is Data Valid]]=TRUE,IF(Table1[[#This Row],[Fetal Sex (Male, Female or Unknown)]]="Male",Backend!$C$6,IF(Table1[[#This Row],[Fetal Sex (Male, Female or Unknown)]]="Female",Backend!$C$7,IF(Table1[[#This Row],[Fetal Sex (Male, Female or Unknown)]]="Unknown",Backend!$C$8,"Error"))),"")</f>
        <v/>
      </c>
      <c r="F5830" s="8" t="str">
        <f>IF(Table1[[#This Row],[Is Data Valid]]=TRUE,EXP(0.578+0.332*((Table1[[#This Row],[Gestation (days)]]+0.5)/7)-0.00354*((Table1[[#This Row],[Gestation (days)]]+0.5)/7)^2)*Table1[[#This Row],[BW40_3705]],"")</f>
        <v/>
      </c>
      <c r="G5830" s="2" t="str">
        <f>IF(Table1[[#This Row],[Is Data Valid]]=TRUE,((Table1[[#This Row],[Birthweight (grams)]]/Table1[[#This Row],[BW_GA]])-1)/(Backend!$B$4/100*Table1[[#This Row],[BW40_3705]]),"")</f>
        <v/>
      </c>
      <c r="H5830" s="7" t="str">
        <f>IF(Table1[[#This Row],[Is Data Valid]]=TRUE,((Table1[[#This Row],[Birthweight (grams)]]*0.9/Table1[[#This Row],[BW_GA]])-1)/(Backend!$B$4/100*Table1[[#This Row],[BW40_3705]]),"")</f>
        <v/>
      </c>
      <c r="I5830" s="7" t="str">
        <f>IF(Table1[[#This Row],[Is Data Valid]]=TRUE,((Table1[[#This Row],[Birthweight (grams)]]*1.1/Table1[[#This Row],[BW_GA]])-1)/(Backend!$B$4/100*Table1[[#This Row],[BW40_3705]]),"")</f>
        <v/>
      </c>
      <c r="J5830" s="7" t="str">
        <f>IF(Table1[[#This Row],[Is Data Valid]]=TRUE,_xlfn.NORM.S.DIST(Table1[[#This Row],[Birthweight Z-Score]],TRUE)*100,"")</f>
        <v/>
      </c>
      <c r="K5830" s="7" t="str">
        <f>IF(Table1[[#This Row],[Is Data Valid]]=TRUE,_xlfn.NORM.S.DIST(Table1[[#This Row],[Birthweight Z-Score (BW-10%)]],TRUE)*100,"")</f>
        <v/>
      </c>
      <c r="L5830" s="7" t="str">
        <f>IF(Table1[[#This Row],[Is Data Valid]]=TRUE,_xlfn.NORM.S.DIST(Table1[[#This Row],[Birthweight Z-Score (BW+10%)]],TRUE)*100,"")</f>
        <v/>
      </c>
    </row>
    <row r="5831" spans="1:12" x14ac:dyDescent="0.35">
      <c r="A5831" s="3"/>
      <c r="B5831" s="2"/>
      <c r="C5831" s="2"/>
      <c r="D5831" s="2" t="b">
        <f>IF(AND(NOT(ISBLANK(Table1[[#This Row],[Fetal Sex (Male, Female or Unknown)]])),ISNUMBER(Table1[[#This Row],[Birthweight (grams)]]),ISNUMBER(Table1[[#This Row],[Gestation (days)]])),TRUE,FALSE)</f>
        <v>0</v>
      </c>
      <c r="E5831" s="2" t="str">
        <f>IF(Table1[[#This Row],[Is Data Valid]]=TRUE,IF(Table1[[#This Row],[Fetal Sex (Male, Female or Unknown)]]="Male",Backend!$C$6,IF(Table1[[#This Row],[Fetal Sex (Male, Female or Unknown)]]="Female",Backend!$C$7,IF(Table1[[#This Row],[Fetal Sex (Male, Female or Unknown)]]="Unknown",Backend!$C$8,"Error"))),"")</f>
        <v/>
      </c>
      <c r="F5831" s="8" t="str">
        <f>IF(Table1[[#This Row],[Is Data Valid]]=TRUE,EXP(0.578+0.332*((Table1[[#This Row],[Gestation (days)]]+0.5)/7)-0.00354*((Table1[[#This Row],[Gestation (days)]]+0.5)/7)^2)*Table1[[#This Row],[BW40_3705]],"")</f>
        <v/>
      </c>
      <c r="G5831" s="2" t="str">
        <f>IF(Table1[[#This Row],[Is Data Valid]]=TRUE,((Table1[[#This Row],[Birthweight (grams)]]/Table1[[#This Row],[BW_GA]])-1)/(Backend!$B$4/100*Table1[[#This Row],[BW40_3705]]),"")</f>
        <v/>
      </c>
      <c r="H5831" s="7" t="str">
        <f>IF(Table1[[#This Row],[Is Data Valid]]=TRUE,((Table1[[#This Row],[Birthweight (grams)]]*0.9/Table1[[#This Row],[BW_GA]])-1)/(Backend!$B$4/100*Table1[[#This Row],[BW40_3705]]),"")</f>
        <v/>
      </c>
      <c r="I5831" s="7" t="str">
        <f>IF(Table1[[#This Row],[Is Data Valid]]=TRUE,((Table1[[#This Row],[Birthweight (grams)]]*1.1/Table1[[#This Row],[BW_GA]])-1)/(Backend!$B$4/100*Table1[[#This Row],[BW40_3705]]),"")</f>
        <v/>
      </c>
      <c r="J5831" s="7" t="str">
        <f>IF(Table1[[#This Row],[Is Data Valid]]=TRUE,_xlfn.NORM.S.DIST(Table1[[#This Row],[Birthweight Z-Score]],TRUE)*100,"")</f>
        <v/>
      </c>
      <c r="K5831" s="7" t="str">
        <f>IF(Table1[[#This Row],[Is Data Valid]]=TRUE,_xlfn.NORM.S.DIST(Table1[[#This Row],[Birthweight Z-Score (BW-10%)]],TRUE)*100,"")</f>
        <v/>
      </c>
      <c r="L5831" s="7" t="str">
        <f>IF(Table1[[#This Row],[Is Data Valid]]=TRUE,_xlfn.NORM.S.DIST(Table1[[#This Row],[Birthweight Z-Score (BW+10%)]],TRUE)*100,"")</f>
        <v/>
      </c>
    </row>
    <row r="5832" spans="1:12" x14ac:dyDescent="0.35">
      <c r="A5832" s="3"/>
      <c r="B5832" s="2"/>
      <c r="C5832" s="2"/>
      <c r="D5832" s="2" t="b">
        <f>IF(AND(NOT(ISBLANK(Table1[[#This Row],[Fetal Sex (Male, Female or Unknown)]])),ISNUMBER(Table1[[#This Row],[Birthweight (grams)]]),ISNUMBER(Table1[[#This Row],[Gestation (days)]])),TRUE,FALSE)</f>
        <v>0</v>
      </c>
      <c r="E5832" s="2" t="str">
        <f>IF(Table1[[#This Row],[Is Data Valid]]=TRUE,IF(Table1[[#This Row],[Fetal Sex (Male, Female or Unknown)]]="Male",Backend!$C$6,IF(Table1[[#This Row],[Fetal Sex (Male, Female or Unknown)]]="Female",Backend!$C$7,IF(Table1[[#This Row],[Fetal Sex (Male, Female or Unknown)]]="Unknown",Backend!$C$8,"Error"))),"")</f>
        <v/>
      </c>
      <c r="F5832" s="8" t="str">
        <f>IF(Table1[[#This Row],[Is Data Valid]]=TRUE,EXP(0.578+0.332*((Table1[[#This Row],[Gestation (days)]]+0.5)/7)-0.00354*((Table1[[#This Row],[Gestation (days)]]+0.5)/7)^2)*Table1[[#This Row],[BW40_3705]],"")</f>
        <v/>
      </c>
      <c r="G5832" s="2" t="str">
        <f>IF(Table1[[#This Row],[Is Data Valid]]=TRUE,((Table1[[#This Row],[Birthweight (grams)]]/Table1[[#This Row],[BW_GA]])-1)/(Backend!$B$4/100*Table1[[#This Row],[BW40_3705]]),"")</f>
        <v/>
      </c>
      <c r="H5832" s="7" t="str">
        <f>IF(Table1[[#This Row],[Is Data Valid]]=TRUE,((Table1[[#This Row],[Birthweight (grams)]]*0.9/Table1[[#This Row],[BW_GA]])-1)/(Backend!$B$4/100*Table1[[#This Row],[BW40_3705]]),"")</f>
        <v/>
      </c>
      <c r="I5832" s="7" t="str">
        <f>IF(Table1[[#This Row],[Is Data Valid]]=TRUE,((Table1[[#This Row],[Birthweight (grams)]]*1.1/Table1[[#This Row],[BW_GA]])-1)/(Backend!$B$4/100*Table1[[#This Row],[BW40_3705]]),"")</f>
        <v/>
      </c>
      <c r="J5832" s="7" t="str">
        <f>IF(Table1[[#This Row],[Is Data Valid]]=TRUE,_xlfn.NORM.S.DIST(Table1[[#This Row],[Birthweight Z-Score]],TRUE)*100,"")</f>
        <v/>
      </c>
      <c r="K5832" s="7" t="str">
        <f>IF(Table1[[#This Row],[Is Data Valid]]=TRUE,_xlfn.NORM.S.DIST(Table1[[#This Row],[Birthweight Z-Score (BW-10%)]],TRUE)*100,"")</f>
        <v/>
      </c>
      <c r="L5832" s="7" t="str">
        <f>IF(Table1[[#This Row],[Is Data Valid]]=TRUE,_xlfn.NORM.S.DIST(Table1[[#This Row],[Birthweight Z-Score (BW+10%)]],TRUE)*100,"")</f>
        <v/>
      </c>
    </row>
    <row r="5833" spans="1:12" x14ac:dyDescent="0.35">
      <c r="A5833" s="3"/>
      <c r="B5833" s="2"/>
      <c r="C5833" s="2"/>
      <c r="D5833" s="2" t="b">
        <f>IF(AND(NOT(ISBLANK(Table1[[#This Row],[Fetal Sex (Male, Female or Unknown)]])),ISNUMBER(Table1[[#This Row],[Birthweight (grams)]]),ISNUMBER(Table1[[#This Row],[Gestation (days)]])),TRUE,FALSE)</f>
        <v>0</v>
      </c>
      <c r="E5833" s="2" t="str">
        <f>IF(Table1[[#This Row],[Is Data Valid]]=TRUE,IF(Table1[[#This Row],[Fetal Sex (Male, Female or Unknown)]]="Male",Backend!$C$6,IF(Table1[[#This Row],[Fetal Sex (Male, Female or Unknown)]]="Female",Backend!$C$7,IF(Table1[[#This Row],[Fetal Sex (Male, Female or Unknown)]]="Unknown",Backend!$C$8,"Error"))),"")</f>
        <v/>
      </c>
      <c r="F5833" s="8" t="str">
        <f>IF(Table1[[#This Row],[Is Data Valid]]=TRUE,EXP(0.578+0.332*((Table1[[#This Row],[Gestation (days)]]+0.5)/7)-0.00354*((Table1[[#This Row],[Gestation (days)]]+0.5)/7)^2)*Table1[[#This Row],[BW40_3705]],"")</f>
        <v/>
      </c>
      <c r="G5833" s="2" t="str">
        <f>IF(Table1[[#This Row],[Is Data Valid]]=TRUE,((Table1[[#This Row],[Birthweight (grams)]]/Table1[[#This Row],[BW_GA]])-1)/(Backend!$B$4/100*Table1[[#This Row],[BW40_3705]]),"")</f>
        <v/>
      </c>
      <c r="H5833" s="7" t="str">
        <f>IF(Table1[[#This Row],[Is Data Valid]]=TRUE,((Table1[[#This Row],[Birthweight (grams)]]*0.9/Table1[[#This Row],[BW_GA]])-1)/(Backend!$B$4/100*Table1[[#This Row],[BW40_3705]]),"")</f>
        <v/>
      </c>
      <c r="I5833" s="7" t="str">
        <f>IF(Table1[[#This Row],[Is Data Valid]]=TRUE,((Table1[[#This Row],[Birthweight (grams)]]*1.1/Table1[[#This Row],[BW_GA]])-1)/(Backend!$B$4/100*Table1[[#This Row],[BW40_3705]]),"")</f>
        <v/>
      </c>
      <c r="J5833" s="7" t="str">
        <f>IF(Table1[[#This Row],[Is Data Valid]]=TRUE,_xlfn.NORM.S.DIST(Table1[[#This Row],[Birthweight Z-Score]],TRUE)*100,"")</f>
        <v/>
      </c>
      <c r="K5833" s="7" t="str">
        <f>IF(Table1[[#This Row],[Is Data Valid]]=TRUE,_xlfn.NORM.S.DIST(Table1[[#This Row],[Birthweight Z-Score (BW-10%)]],TRUE)*100,"")</f>
        <v/>
      </c>
      <c r="L5833" s="7" t="str">
        <f>IF(Table1[[#This Row],[Is Data Valid]]=TRUE,_xlfn.NORM.S.DIST(Table1[[#This Row],[Birthweight Z-Score (BW+10%)]],TRUE)*100,"")</f>
        <v/>
      </c>
    </row>
    <row r="5834" spans="1:12" x14ac:dyDescent="0.35">
      <c r="A5834" s="3"/>
      <c r="B5834" s="2"/>
      <c r="C5834" s="2"/>
      <c r="D5834" s="2" t="b">
        <f>IF(AND(NOT(ISBLANK(Table1[[#This Row],[Fetal Sex (Male, Female or Unknown)]])),ISNUMBER(Table1[[#This Row],[Birthweight (grams)]]),ISNUMBER(Table1[[#This Row],[Gestation (days)]])),TRUE,FALSE)</f>
        <v>0</v>
      </c>
      <c r="E5834" s="2" t="str">
        <f>IF(Table1[[#This Row],[Is Data Valid]]=TRUE,IF(Table1[[#This Row],[Fetal Sex (Male, Female or Unknown)]]="Male",Backend!$C$6,IF(Table1[[#This Row],[Fetal Sex (Male, Female or Unknown)]]="Female",Backend!$C$7,IF(Table1[[#This Row],[Fetal Sex (Male, Female or Unknown)]]="Unknown",Backend!$C$8,"Error"))),"")</f>
        <v/>
      </c>
      <c r="F5834" s="8" t="str">
        <f>IF(Table1[[#This Row],[Is Data Valid]]=TRUE,EXP(0.578+0.332*((Table1[[#This Row],[Gestation (days)]]+0.5)/7)-0.00354*((Table1[[#This Row],[Gestation (days)]]+0.5)/7)^2)*Table1[[#This Row],[BW40_3705]],"")</f>
        <v/>
      </c>
      <c r="G5834" s="2" t="str">
        <f>IF(Table1[[#This Row],[Is Data Valid]]=TRUE,((Table1[[#This Row],[Birthweight (grams)]]/Table1[[#This Row],[BW_GA]])-1)/(Backend!$B$4/100*Table1[[#This Row],[BW40_3705]]),"")</f>
        <v/>
      </c>
      <c r="H5834" s="7" t="str">
        <f>IF(Table1[[#This Row],[Is Data Valid]]=TRUE,((Table1[[#This Row],[Birthweight (grams)]]*0.9/Table1[[#This Row],[BW_GA]])-1)/(Backend!$B$4/100*Table1[[#This Row],[BW40_3705]]),"")</f>
        <v/>
      </c>
      <c r="I5834" s="7" t="str">
        <f>IF(Table1[[#This Row],[Is Data Valid]]=TRUE,((Table1[[#This Row],[Birthweight (grams)]]*1.1/Table1[[#This Row],[BW_GA]])-1)/(Backend!$B$4/100*Table1[[#This Row],[BW40_3705]]),"")</f>
        <v/>
      </c>
      <c r="J5834" s="7" t="str">
        <f>IF(Table1[[#This Row],[Is Data Valid]]=TRUE,_xlfn.NORM.S.DIST(Table1[[#This Row],[Birthweight Z-Score]],TRUE)*100,"")</f>
        <v/>
      </c>
      <c r="K5834" s="7" t="str">
        <f>IF(Table1[[#This Row],[Is Data Valid]]=TRUE,_xlfn.NORM.S.DIST(Table1[[#This Row],[Birthweight Z-Score (BW-10%)]],TRUE)*100,"")</f>
        <v/>
      </c>
      <c r="L5834" s="7" t="str">
        <f>IF(Table1[[#This Row],[Is Data Valid]]=TRUE,_xlfn.NORM.S.DIST(Table1[[#This Row],[Birthweight Z-Score (BW+10%)]],TRUE)*100,"")</f>
        <v/>
      </c>
    </row>
    <row r="5835" spans="1:12" x14ac:dyDescent="0.35">
      <c r="A5835" s="3"/>
      <c r="B5835" s="2"/>
      <c r="C5835" s="2"/>
      <c r="D5835" s="2" t="b">
        <f>IF(AND(NOT(ISBLANK(Table1[[#This Row],[Fetal Sex (Male, Female or Unknown)]])),ISNUMBER(Table1[[#This Row],[Birthweight (grams)]]),ISNUMBER(Table1[[#This Row],[Gestation (days)]])),TRUE,FALSE)</f>
        <v>0</v>
      </c>
      <c r="E5835" s="2" t="str">
        <f>IF(Table1[[#This Row],[Is Data Valid]]=TRUE,IF(Table1[[#This Row],[Fetal Sex (Male, Female or Unknown)]]="Male",Backend!$C$6,IF(Table1[[#This Row],[Fetal Sex (Male, Female or Unknown)]]="Female",Backend!$C$7,IF(Table1[[#This Row],[Fetal Sex (Male, Female or Unknown)]]="Unknown",Backend!$C$8,"Error"))),"")</f>
        <v/>
      </c>
      <c r="F5835" s="8" t="str">
        <f>IF(Table1[[#This Row],[Is Data Valid]]=TRUE,EXP(0.578+0.332*((Table1[[#This Row],[Gestation (days)]]+0.5)/7)-0.00354*((Table1[[#This Row],[Gestation (days)]]+0.5)/7)^2)*Table1[[#This Row],[BW40_3705]],"")</f>
        <v/>
      </c>
      <c r="G5835" s="2" t="str">
        <f>IF(Table1[[#This Row],[Is Data Valid]]=TRUE,((Table1[[#This Row],[Birthweight (grams)]]/Table1[[#This Row],[BW_GA]])-1)/(Backend!$B$4/100*Table1[[#This Row],[BW40_3705]]),"")</f>
        <v/>
      </c>
      <c r="H5835" s="7" t="str">
        <f>IF(Table1[[#This Row],[Is Data Valid]]=TRUE,((Table1[[#This Row],[Birthweight (grams)]]*0.9/Table1[[#This Row],[BW_GA]])-1)/(Backend!$B$4/100*Table1[[#This Row],[BW40_3705]]),"")</f>
        <v/>
      </c>
      <c r="I5835" s="7" t="str">
        <f>IF(Table1[[#This Row],[Is Data Valid]]=TRUE,((Table1[[#This Row],[Birthweight (grams)]]*1.1/Table1[[#This Row],[BW_GA]])-1)/(Backend!$B$4/100*Table1[[#This Row],[BW40_3705]]),"")</f>
        <v/>
      </c>
      <c r="J5835" s="7" t="str">
        <f>IF(Table1[[#This Row],[Is Data Valid]]=TRUE,_xlfn.NORM.S.DIST(Table1[[#This Row],[Birthweight Z-Score]],TRUE)*100,"")</f>
        <v/>
      </c>
      <c r="K5835" s="7" t="str">
        <f>IF(Table1[[#This Row],[Is Data Valid]]=TRUE,_xlfn.NORM.S.DIST(Table1[[#This Row],[Birthweight Z-Score (BW-10%)]],TRUE)*100,"")</f>
        <v/>
      </c>
      <c r="L5835" s="7" t="str">
        <f>IF(Table1[[#This Row],[Is Data Valid]]=TRUE,_xlfn.NORM.S.DIST(Table1[[#This Row],[Birthweight Z-Score (BW+10%)]],TRUE)*100,"")</f>
        <v/>
      </c>
    </row>
    <row r="5836" spans="1:12" x14ac:dyDescent="0.35">
      <c r="A5836" s="3"/>
      <c r="B5836" s="2"/>
      <c r="C5836" s="2"/>
      <c r="D5836" s="2" t="b">
        <f>IF(AND(NOT(ISBLANK(Table1[[#This Row],[Fetal Sex (Male, Female or Unknown)]])),ISNUMBER(Table1[[#This Row],[Birthweight (grams)]]),ISNUMBER(Table1[[#This Row],[Gestation (days)]])),TRUE,FALSE)</f>
        <v>0</v>
      </c>
      <c r="E5836" s="2" t="str">
        <f>IF(Table1[[#This Row],[Is Data Valid]]=TRUE,IF(Table1[[#This Row],[Fetal Sex (Male, Female or Unknown)]]="Male",Backend!$C$6,IF(Table1[[#This Row],[Fetal Sex (Male, Female or Unknown)]]="Female",Backend!$C$7,IF(Table1[[#This Row],[Fetal Sex (Male, Female or Unknown)]]="Unknown",Backend!$C$8,"Error"))),"")</f>
        <v/>
      </c>
      <c r="F5836" s="8" t="str">
        <f>IF(Table1[[#This Row],[Is Data Valid]]=TRUE,EXP(0.578+0.332*((Table1[[#This Row],[Gestation (days)]]+0.5)/7)-0.00354*((Table1[[#This Row],[Gestation (days)]]+0.5)/7)^2)*Table1[[#This Row],[BW40_3705]],"")</f>
        <v/>
      </c>
      <c r="G5836" s="2" t="str">
        <f>IF(Table1[[#This Row],[Is Data Valid]]=TRUE,((Table1[[#This Row],[Birthweight (grams)]]/Table1[[#This Row],[BW_GA]])-1)/(Backend!$B$4/100*Table1[[#This Row],[BW40_3705]]),"")</f>
        <v/>
      </c>
      <c r="H5836" s="7" t="str">
        <f>IF(Table1[[#This Row],[Is Data Valid]]=TRUE,((Table1[[#This Row],[Birthweight (grams)]]*0.9/Table1[[#This Row],[BW_GA]])-1)/(Backend!$B$4/100*Table1[[#This Row],[BW40_3705]]),"")</f>
        <v/>
      </c>
      <c r="I5836" s="7" t="str">
        <f>IF(Table1[[#This Row],[Is Data Valid]]=TRUE,((Table1[[#This Row],[Birthweight (grams)]]*1.1/Table1[[#This Row],[BW_GA]])-1)/(Backend!$B$4/100*Table1[[#This Row],[BW40_3705]]),"")</f>
        <v/>
      </c>
      <c r="J5836" s="7" t="str">
        <f>IF(Table1[[#This Row],[Is Data Valid]]=TRUE,_xlfn.NORM.S.DIST(Table1[[#This Row],[Birthweight Z-Score]],TRUE)*100,"")</f>
        <v/>
      </c>
      <c r="K5836" s="7" t="str">
        <f>IF(Table1[[#This Row],[Is Data Valid]]=TRUE,_xlfn.NORM.S.DIST(Table1[[#This Row],[Birthweight Z-Score (BW-10%)]],TRUE)*100,"")</f>
        <v/>
      </c>
      <c r="L5836" s="7" t="str">
        <f>IF(Table1[[#This Row],[Is Data Valid]]=TRUE,_xlfn.NORM.S.DIST(Table1[[#This Row],[Birthweight Z-Score (BW+10%)]],TRUE)*100,"")</f>
        <v/>
      </c>
    </row>
    <row r="5837" spans="1:12" x14ac:dyDescent="0.35">
      <c r="A5837" s="3"/>
      <c r="B5837" s="2"/>
      <c r="C5837" s="2"/>
      <c r="D5837" s="2" t="b">
        <f>IF(AND(NOT(ISBLANK(Table1[[#This Row],[Fetal Sex (Male, Female or Unknown)]])),ISNUMBER(Table1[[#This Row],[Birthweight (grams)]]),ISNUMBER(Table1[[#This Row],[Gestation (days)]])),TRUE,FALSE)</f>
        <v>0</v>
      </c>
      <c r="E5837" s="2" t="str">
        <f>IF(Table1[[#This Row],[Is Data Valid]]=TRUE,IF(Table1[[#This Row],[Fetal Sex (Male, Female or Unknown)]]="Male",Backend!$C$6,IF(Table1[[#This Row],[Fetal Sex (Male, Female or Unknown)]]="Female",Backend!$C$7,IF(Table1[[#This Row],[Fetal Sex (Male, Female or Unknown)]]="Unknown",Backend!$C$8,"Error"))),"")</f>
        <v/>
      </c>
      <c r="F5837" s="8" t="str">
        <f>IF(Table1[[#This Row],[Is Data Valid]]=TRUE,EXP(0.578+0.332*((Table1[[#This Row],[Gestation (days)]]+0.5)/7)-0.00354*((Table1[[#This Row],[Gestation (days)]]+0.5)/7)^2)*Table1[[#This Row],[BW40_3705]],"")</f>
        <v/>
      </c>
      <c r="G5837" s="2" t="str">
        <f>IF(Table1[[#This Row],[Is Data Valid]]=TRUE,((Table1[[#This Row],[Birthweight (grams)]]/Table1[[#This Row],[BW_GA]])-1)/(Backend!$B$4/100*Table1[[#This Row],[BW40_3705]]),"")</f>
        <v/>
      </c>
      <c r="H5837" s="7" t="str">
        <f>IF(Table1[[#This Row],[Is Data Valid]]=TRUE,((Table1[[#This Row],[Birthweight (grams)]]*0.9/Table1[[#This Row],[BW_GA]])-1)/(Backend!$B$4/100*Table1[[#This Row],[BW40_3705]]),"")</f>
        <v/>
      </c>
      <c r="I5837" s="7" t="str">
        <f>IF(Table1[[#This Row],[Is Data Valid]]=TRUE,((Table1[[#This Row],[Birthweight (grams)]]*1.1/Table1[[#This Row],[BW_GA]])-1)/(Backend!$B$4/100*Table1[[#This Row],[BW40_3705]]),"")</f>
        <v/>
      </c>
      <c r="J5837" s="7" t="str">
        <f>IF(Table1[[#This Row],[Is Data Valid]]=TRUE,_xlfn.NORM.S.DIST(Table1[[#This Row],[Birthweight Z-Score]],TRUE)*100,"")</f>
        <v/>
      </c>
      <c r="K5837" s="7" t="str">
        <f>IF(Table1[[#This Row],[Is Data Valid]]=TRUE,_xlfn.NORM.S.DIST(Table1[[#This Row],[Birthweight Z-Score (BW-10%)]],TRUE)*100,"")</f>
        <v/>
      </c>
      <c r="L5837" s="7" t="str">
        <f>IF(Table1[[#This Row],[Is Data Valid]]=TRUE,_xlfn.NORM.S.DIST(Table1[[#This Row],[Birthweight Z-Score (BW+10%)]],TRUE)*100,"")</f>
        <v/>
      </c>
    </row>
    <row r="5838" spans="1:12" x14ac:dyDescent="0.35">
      <c r="A5838" s="3"/>
      <c r="B5838" s="2"/>
      <c r="C5838" s="2"/>
      <c r="D5838" s="2" t="b">
        <f>IF(AND(NOT(ISBLANK(Table1[[#This Row],[Fetal Sex (Male, Female or Unknown)]])),ISNUMBER(Table1[[#This Row],[Birthweight (grams)]]),ISNUMBER(Table1[[#This Row],[Gestation (days)]])),TRUE,FALSE)</f>
        <v>0</v>
      </c>
      <c r="E5838" s="2" t="str">
        <f>IF(Table1[[#This Row],[Is Data Valid]]=TRUE,IF(Table1[[#This Row],[Fetal Sex (Male, Female or Unknown)]]="Male",Backend!$C$6,IF(Table1[[#This Row],[Fetal Sex (Male, Female or Unknown)]]="Female",Backend!$C$7,IF(Table1[[#This Row],[Fetal Sex (Male, Female or Unknown)]]="Unknown",Backend!$C$8,"Error"))),"")</f>
        <v/>
      </c>
      <c r="F5838" s="8" t="str">
        <f>IF(Table1[[#This Row],[Is Data Valid]]=TRUE,EXP(0.578+0.332*((Table1[[#This Row],[Gestation (days)]]+0.5)/7)-0.00354*((Table1[[#This Row],[Gestation (days)]]+0.5)/7)^2)*Table1[[#This Row],[BW40_3705]],"")</f>
        <v/>
      </c>
      <c r="G5838" s="2" t="str">
        <f>IF(Table1[[#This Row],[Is Data Valid]]=TRUE,((Table1[[#This Row],[Birthweight (grams)]]/Table1[[#This Row],[BW_GA]])-1)/(Backend!$B$4/100*Table1[[#This Row],[BW40_3705]]),"")</f>
        <v/>
      </c>
      <c r="H5838" s="7" t="str">
        <f>IF(Table1[[#This Row],[Is Data Valid]]=TRUE,((Table1[[#This Row],[Birthweight (grams)]]*0.9/Table1[[#This Row],[BW_GA]])-1)/(Backend!$B$4/100*Table1[[#This Row],[BW40_3705]]),"")</f>
        <v/>
      </c>
      <c r="I5838" s="7" t="str">
        <f>IF(Table1[[#This Row],[Is Data Valid]]=TRUE,((Table1[[#This Row],[Birthweight (grams)]]*1.1/Table1[[#This Row],[BW_GA]])-1)/(Backend!$B$4/100*Table1[[#This Row],[BW40_3705]]),"")</f>
        <v/>
      </c>
      <c r="J5838" s="7" t="str">
        <f>IF(Table1[[#This Row],[Is Data Valid]]=TRUE,_xlfn.NORM.S.DIST(Table1[[#This Row],[Birthweight Z-Score]],TRUE)*100,"")</f>
        <v/>
      </c>
      <c r="K5838" s="7" t="str">
        <f>IF(Table1[[#This Row],[Is Data Valid]]=TRUE,_xlfn.NORM.S.DIST(Table1[[#This Row],[Birthweight Z-Score (BW-10%)]],TRUE)*100,"")</f>
        <v/>
      </c>
      <c r="L5838" s="7" t="str">
        <f>IF(Table1[[#This Row],[Is Data Valid]]=TRUE,_xlfn.NORM.S.DIST(Table1[[#This Row],[Birthweight Z-Score (BW+10%)]],TRUE)*100,"")</f>
        <v/>
      </c>
    </row>
    <row r="5839" spans="1:12" x14ac:dyDescent="0.35">
      <c r="A5839" s="3"/>
      <c r="B5839" s="2"/>
      <c r="C5839" s="2"/>
      <c r="D5839" s="2" t="b">
        <f>IF(AND(NOT(ISBLANK(Table1[[#This Row],[Fetal Sex (Male, Female or Unknown)]])),ISNUMBER(Table1[[#This Row],[Birthweight (grams)]]),ISNUMBER(Table1[[#This Row],[Gestation (days)]])),TRUE,FALSE)</f>
        <v>0</v>
      </c>
      <c r="E5839" s="2" t="str">
        <f>IF(Table1[[#This Row],[Is Data Valid]]=TRUE,IF(Table1[[#This Row],[Fetal Sex (Male, Female or Unknown)]]="Male",Backend!$C$6,IF(Table1[[#This Row],[Fetal Sex (Male, Female or Unknown)]]="Female",Backend!$C$7,IF(Table1[[#This Row],[Fetal Sex (Male, Female or Unknown)]]="Unknown",Backend!$C$8,"Error"))),"")</f>
        <v/>
      </c>
      <c r="F5839" s="8" t="str">
        <f>IF(Table1[[#This Row],[Is Data Valid]]=TRUE,EXP(0.578+0.332*((Table1[[#This Row],[Gestation (days)]]+0.5)/7)-0.00354*((Table1[[#This Row],[Gestation (days)]]+0.5)/7)^2)*Table1[[#This Row],[BW40_3705]],"")</f>
        <v/>
      </c>
      <c r="G5839" s="2" t="str">
        <f>IF(Table1[[#This Row],[Is Data Valid]]=TRUE,((Table1[[#This Row],[Birthweight (grams)]]/Table1[[#This Row],[BW_GA]])-1)/(Backend!$B$4/100*Table1[[#This Row],[BW40_3705]]),"")</f>
        <v/>
      </c>
      <c r="H5839" s="7" t="str">
        <f>IF(Table1[[#This Row],[Is Data Valid]]=TRUE,((Table1[[#This Row],[Birthweight (grams)]]*0.9/Table1[[#This Row],[BW_GA]])-1)/(Backend!$B$4/100*Table1[[#This Row],[BW40_3705]]),"")</f>
        <v/>
      </c>
      <c r="I5839" s="7" t="str">
        <f>IF(Table1[[#This Row],[Is Data Valid]]=TRUE,((Table1[[#This Row],[Birthweight (grams)]]*1.1/Table1[[#This Row],[BW_GA]])-1)/(Backend!$B$4/100*Table1[[#This Row],[BW40_3705]]),"")</f>
        <v/>
      </c>
      <c r="J5839" s="7" t="str">
        <f>IF(Table1[[#This Row],[Is Data Valid]]=TRUE,_xlfn.NORM.S.DIST(Table1[[#This Row],[Birthweight Z-Score]],TRUE)*100,"")</f>
        <v/>
      </c>
      <c r="K5839" s="7" t="str">
        <f>IF(Table1[[#This Row],[Is Data Valid]]=TRUE,_xlfn.NORM.S.DIST(Table1[[#This Row],[Birthweight Z-Score (BW-10%)]],TRUE)*100,"")</f>
        <v/>
      </c>
      <c r="L5839" s="7" t="str">
        <f>IF(Table1[[#This Row],[Is Data Valid]]=TRUE,_xlfn.NORM.S.DIST(Table1[[#This Row],[Birthweight Z-Score (BW+10%)]],TRUE)*100,"")</f>
        <v/>
      </c>
    </row>
    <row r="5840" spans="1:12" x14ac:dyDescent="0.35">
      <c r="A5840" s="3"/>
      <c r="B5840" s="2"/>
      <c r="C5840" s="2"/>
      <c r="D5840" s="2" t="b">
        <f>IF(AND(NOT(ISBLANK(Table1[[#This Row],[Fetal Sex (Male, Female or Unknown)]])),ISNUMBER(Table1[[#This Row],[Birthweight (grams)]]),ISNUMBER(Table1[[#This Row],[Gestation (days)]])),TRUE,FALSE)</f>
        <v>0</v>
      </c>
      <c r="E5840" s="2" t="str">
        <f>IF(Table1[[#This Row],[Is Data Valid]]=TRUE,IF(Table1[[#This Row],[Fetal Sex (Male, Female or Unknown)]]="Male",Backend!$C$6,IF(Table1[[#This Row],[Fetal Sex (Male, Female or Unknown)]]="Female",Backend!$C$7,IF(Table1[[#This Row],[Fetal Sex (Male, Female or Unknown)]]="Unknown",Backend!$C$8,"Error"))),"")</f>
        <v/>
      </c>
      <c r="F5840" s="8" t="str">
        <f>IF(Table1[[#This Row],[Is Data Valid]]=TRUE,EXP(0.578+0.332*((Table1[[#This Row],[Gestation (days)]]+0.5)/7)-0.00354*((Table1[[#This Row],[Gestation (days)]]+0.5)/7)^2)*Table1[[#This Row],[BW40_3705]],"")</f>
        <v/>
      </c>
      <c r="G5840" s="2" t="str">
        <f>IF(Table1[[#This Row],[Is Data Valid]]=TRUE,((Table1[[#This Row],[Birthweight (grams)]]/Table1[[#This Row],[BW_GA]])-1)/(Backend!$B$4/100*Table1[[#This Row],[BW40_3705]]),"")</f>
        <v/>
      </c>
      <c r="H5840" s="7" t="str">
        <f>IF(Table1[[#This Row],[Is Data Valid]]=TRUE,((Table1[[#This Row],[Birthweight (grams)]]*0.9/Table1[[#This Row],[BW_GA]])-1)/(Backend!$B$4/100*Table1[[#This Row],[BW40_3705]]),"")</f>
        <v/>
      </c>
      <c r="I5840" s="7" t="str">
        <f>IF(Table1[[#This Row],[Is Data Valid]]=TRUE,((Table1[[#This Row],[Birthweight (grams)]]*1.1/Table1[[#This Row],[BW_GA]])-1)/(Backend!$B$4/100*Table1[[#This Row],[BW40_3705]]),"")</f>
        <v/>
      </c>
      <c r="J5840" s="7" t="str">
        <f>IF(Table1[[#This Row],[Is Data Valid]]=TRUE,_xlfn.NORM.S.DIST(Table1[[#This Row],[Birthweight Z-Score]],TRUE)*100,"")</f>
        <v/>
      </c>
      <c r="K5840" s="7" t="str">
        <f>IF(Table1[[#This Row],[Is Data Valid]]=TRUE,_xlfn.NORM.S.DIST(Table1[[#This Row],[Birthweight Z-Score (BW-10%)]],TRUE)*100,"")</f>
        <v/>
      </c>
      <c r="L5840" s="7" t="str">
        <f>IF(Table1[[#This Row],[Is Data Valid]]=TRUE,_xlfn.NORM.S.DIST(Table1[[#This Row],[Birthweight Z-Score (BW+10%)]],TRUE)*100,"")</f>
        <v/>
      </c>
    </row>
    <row r="5841" spans="1:12" x14ac:dyDescent="0.35">
      <c r="A5841" s="3"/>
      <c r="B5841" s="2"/>
      <c r="C5841" s="2"/>
      <c r="D5841" s="2" t="b">
        <f>IF(AND(NOT(ISBLANK(Table1[[#This Row],[Fetal Sex (Male, Female or Unknown)]])),ISNUMBER(Table1[[#This Row],[Birthweight (grams)]]),ISNUMBER(Table1[[#This Row],[Gestation (days)]])),TRUE,FALSE)</f>
        <v>0</v>
      </c>
      <c r="E5841" s="2" t="str">
        <f>IF(Table1[[#This Row],[Is Data Valid]]=TRUE,IF(Table1[[#This Row],[Fetal Sex (Male, Female or Unknown)]]="Male",Backend!$C$6,IF(Table1[[#This Row],[Fetal Sex (Male, Female or Unknown)]]="Female",Backend!$C$7,IF(Table1[[#This Row],[Fetal Sex (Male, Female or Unknown)]]="Unknown",Backend!$C$8,"Error"))),"")</f>
        <v/>
      </c>
      <c r="F5841" s="8" t="str">
        <f>IF(Table1[[#This Row],[Is Data Valid]]=TRUE,EXP(0.578+0.332*((Table1[[#This Row],[Gestation (days)]]+0.5)/7)-0.00354*((Table1[[#This Row],[Gestation (days)]]+0.5)/7)^2)*Table1[[#This Row],[BW40_3705]],"")</f>
        <v/>
      </c>
      <c r="G5841" s="2" t="str">
        <f>IF(Table1[[#This Row],[Is Data Valid]]=TRUE,((Table1[[#This Row],[Birthweight (grams)]]/Table1[[#This Row],[BW_GA]])-1)/(Backend!$B$4/100*Table1[[#This Row],[BW40_3705]]),"")</f>
        <v/>
      </c>
      <c r="H5841" s="7" t="str">
        <f>IF(Table1[[#This Row],[Is Data Valid]]=TRUE,((Table1[[#This Row],[Birthweight (grams)]]*0.9/Table1[[#This Row],[BW_GA]])-1)/(Backend!$B$4/100*Table1[[#This Row],[BW40_3705]]),"")</f>
        <v/>
      </c>
      <c r="I5841" s="7" t="str">
        <f>IF(Table1[[#This Row],[Is Data Valid]]=TRUE,((Table1[[#This Row],[Birthweight (grams)]]*1.1/Table1[[#This Row],[BW_GA]])-1)/(Backend!$B$4/100*Table1[[#This Row],[BW40_3705]]),"")</f>
        <v/>
      </c>
      <c r="J5841" s="7" t="str">
        <f>IF(Table1[[#This Row],[Is Data Valid]]=TRUE,_xlfn.NORM.S.DIST(Table1[[#This Row],[Birthweight Z-Score]],TRUE)*100,"")</f>
        <v/>
      </c>
      <c r="K5841" s="7" t="str">
        <f>IF(Table1[[#This Row],[Is Data Valid]]=TRUE,_xlfn.NORM.S.DIST(Table1[[#This Row],[Birthweight Z-Score (BW-10%)]],TRUE)*100,"")</f>
        <v/>
      </c>
      <c r="L5841" s="7" t="str">
        <f>IF(Table1[[#This Row],[Is Data Valid]]=TRUE,_xlfn.NORM.S.DIST(Table1[[#This Row],[Birthweight Z-Score (BW+10%)]],TRUE)*100,"")</f>
        <v/>
      </c>
    </row>
    <row r="5842" spans="1:12" x14ac:dyDescent="0.35">
      <c r="A5842" s="3"/>
      <c r="B5842" s="2"/>
      <c r="C5842" s="2"/>
      <c r="D5842" s="2" t="b">
        <f>IF(AND(NOT(ISBLANK(Table1[[#This Row],[Fetal Sex (Male, Female or Unknown)]])),ISNUMBER(Table1[[#This Row],[Birthweight (grams)]]),ISNUMBER(Table1[[#This Row],[Gestation (days)]])),TRUE,FALSE)</f>
        <v>0</v>
      </c>
      <c r="E5842" s="2" t="str">
        <f>IF(Table1[[#This Row],[Is Data Valid]]=TRUE,IF(Table1[[#This Row],[Fetal Sex (Male, Female or Unknown)]]="Male",Backend!$C$6,IF(Table1[[#This Row],[Fetal Sex (Male, Female or Unknown)]]="Female",Backend!$C$7,IF(Table1[[#This Row],[Fetal Sex (Male, Female or Unknown)]]="Unknown",Backend!$C$8,"Error"))),"")</f>
        <v/>
      </c>
      <c r="F5842" s="8" t="str">
        <f>IF(Table1[[#This Row],[Is Data Valid]]=TRUE,EXP(0.578+0.332*((Table1[[#This Row],[Gestation (days)]]+0.5)/7)-0.00354*((Table1[[#This Row],[Gestation (days)]]+0.5)/7)^2)*Table1[[#This Row],[BW40_3705]],"")</f>
        <v/>
      </c>
      <c r="G5842" s="2" t="str">
        <f>IF(Table1[[#This Row],[Is Data Valid]]=TRUE,((Table1[[#This Row],[Birthweight (grams)]]/Table1[[#This Row],[BW_GA]])-1)/(Backend!$B$4/100*Table1[[#This Row],[BW40_3705]]),"")</f>
        <v/>
      </c>
      <c r="H5842" s="7" t="str">
        <f>IF(Table1[[#This Row],[Is Data Valid]]=TRUE,((Table1[[#This Row],[Birthweight (grams)]]*0.9/Table1[[#This Row],[BW_GA]])-1)/(Backend!$B$4/100*Table1[[#This Row],[BW40_3705]]),"")</f>
        <v/>
      </c>
      <c r="I5842" s="7" t="str">
        <f>IF(Table1[[#This Row],[Is Data Valid]]=TRUE,((Table1[[#This Row],[Birthweight (grams)]]*1.1/Table1[[#This Row],[BW_GA]])-1)/(Backend!$B$4/100*Table1[[#This Row],[BW40_3705]]),"")</f>
        <v/>
      </c>
      <c r="J5842" s="7" t="str">
        <f>IF(Table1[[#This Row],[Is Data Valid]]=TRUE,_xlfn.NORM.S.DIST(Table1[[#This Row],[Birthweight Z-Score]],TRUE)*100,"")</f>
        <v/>
      </c>
      <c r="K5842" s="7" t="str">
        <f>IF(Table1[[#This Row],[Is Data Valid]]=TRUE,_xlfn.NORM.S.DIST(Table1[[#This Row],[Birthweight Z-Score (BW-10%)]],TRUE)*100,"")</f>
        <v/>
      </c>
      <c r="L5842" s="7" t="str">
        <f>IF(Table1[[#This Row],[Is Data Valid]]=TRUE,_xlfn.NORM.S.DIST(Table1[[#This Row],[Birthweight Z-Score (BW+10%)]],TRUE)*100,"")</f>
        <v/>
      </c>
    </row>
    <row r="5843" spans="1:12" x14ac:dyDescent="0.35">
      <c r="A5843" s="3"/>
      <c r="B5843" s="2"/>
      <c r="C5843" s="2"/>
      <c r="D5843" s="2" t="b">
        <f>IF(AND(NOT(ISBLANK(Table1[[#This Row],[Fetal Sex (Male, Female or Unknown)]])),ISNUMBER(Table1[[#This Row],[Birthweight (grams)]]),ISNUMBER(Table1[[#This Row],[Gestation (days)]])),TRUE,FALSE)</f>
        <v>0</v>
      </c>
      <c r="E5843" s="2" t="str">
        <f>IF(Table1[[#This Row],[Is Data Valid]]=TRUE,IF(Table1[[#This Row],[Fetal Sex (Male, Female or Unknown)]]="Male",Backend!$C$6,IF(Table1[[#This Row],[Fetal Sex (Male, Female or Unknown)]]="Female",Backend!$C$7,IF(Table1[[#This Row],[Fetal Sex (Male, Female or Unknown)]]="Unknown",Backend!$C$8,"Error"))),"")</f>
        <v/>
      </c>
      <c r="F5843" s="8" t="str">
        <f>IF(Table1[[#This Row],[Is Data Valid]]=TRUE,EXP(0.578+0.332*((Table1[[#This Row],[Gestation (days)]]+0.5)/7)-0.00354*((Table1[[#This Row],[Gestation (days)]]+0.5)/7)^2)*Table1[[#This Row],[BW40_3705]],"")</f>
        <v/>
      </c>
      <c r="G5843" s="2" t="str">
        <f>IF(Table1[[#This Row],[Is Data Valid]]=TRUE,((Table1[[#This Row],[Birthweight (grams)]]/Table1[[#This Row],[BW_GA]])-1)/(Backend!$B$4/100*Table1[[#This Row],[BW40_3705]]),"")</f>
        <v/>
      </c>
      <c r="H5843" s="7" t="str">
        <f>IF(Table1[[#This Row],[Is Data Valid]]=TRUE,((Table1[[#This Row],[Birthweight (grams)]]*0.9/Table1[[#This Row],[BW_GA]])-1)/(Backend!$B$4/100*Table1[[#This Row],[BW40_3705]]),"")</f>
        <v/>
      </c>
      <c r="I5843" s="7" t="str">
        <f>IF(Table1[[#This Row],[Is Data Valid]]=TRUE,((Table1[[#This Row],[Birthweight (grams)]]*1.1/Table1[[#This Row],[BW_GA]])-1)/(Backend!$B$4/100*Table1[[#This Row],[BW40_3705]]),"")</f>
        <v/>
      </c>
      <c r="J5843" s="7" t="str">
        <f>IF(Table1[[#This Row],[Is Data Valid]]=TRUE,_xlfn.NORM.S.DIST(Table1[[#This Row],[Birthweight Z-Score]],TRUE)*100,"")</f>
        <v/>
      </c>
      <c r="K5843" s="7" t="str">
        <f>IF(Table1[[#This Row],[Is Data Valid]]=TRUE,_xlfn.NORM.S.DIST(Table1[[#This Row],[Birthweight Z-Score (BW-10%)]],TRUE)*100,"")</f>
        <v/>
      </c>
      <c r="L5843" s="7" t="str">
        <f>IF(Table1[[#This Row],[Is Data Valid]]=TRUE,_xlfn.NORM.S.DIST(Table1[[#This Row],[Birthweight Z-Score (BW+10%)]],TRUE)*100,"")</f>
        <v/>
      </c>
    </row>
    <row r="5844" spans="1:12" x14ac:dyDescent="0.35">
      <c r="A5844" s="3"/>
      <c r="B5844" s="2"/>
      <c r="C5844" s="2"/>
      <c r="D5844" s="2" t="b">
        <f>IF(AND(NOT(ISBLANK(Table1[[#This Row],[Fetal Sex (Male, Female or Unknown)]])),ISNUMBER(Table1[[#This Row],[Birthweight (grams)]]),ISNUMBER(Table1[[#This Row],[Gestation (days)]])),TRUE,FALSE)</f>
        <v>0</v>
      </c>
      <c r="E5844" s="2" t="str">
        <f>IF(Table1[[#This Row],[Is Data Valid]]=TRUE,IF(Table1[[#This Row],[Fetal Sex (Male, Female or Unknown)]]="Male",Backend!$C$6,IF(Table1[[#This Row],[Fetal Sex (Male, Female or Unknown)]]="Female",Backend!$C$7,IF(Table1[[#This Row],[Fetal Sex (Male, Female or Unknown)]]="Unknown",Backend!$C$8,"Error"))),"")</f>
        <v/>
      </c>
      <c r="F5844" s="8" t="str">
        <f>IF(Table1[[#This Row],[Is Data Valid]]=TRUE,EXP(0.578+0.332*((Table1[[#This Row],[Gestation (days)]]+0.5)/7)-0.00354*((Table1[[#This Row],[Gestation (days)]]+0.5)/7)^2)*Table1[[#This Row],[BW40_3705]],"")</f>
        <v/>
      </c>
      <c r="G5844" s="2" t="str">
        <f>IF(Table1[[#This Row],[Is Data Valid]]=TRUE,((Table1[[#This Row],[Birthweight (grams)]]/Table1[[#This Row],[BW_GA]])-1)/(Backend!$B$4/100*Table1[[#This Row],[BW40_3705]]),"")</f>
        <v/>
      </c>
      <c r="H5844" s="7" t="str">
        <f>IF(Table1[[#This Row],[Is Data Valid]]=TRUE,((Table1[[#This Row],[Birthweight (grams)]]*0.9/Table1[[#This Row],[BW_GA]])-1)/(Backend!$B$4/100*Table1[[#This Row],[BW40_3705]]),"")</f>
        <v/>
      </c>
      <c r="I5844" s="7" t="str">
        <f>IF(Table1[[#This Row],[Is Data Valid]]=TRUE,((Table1[[#This Row],[Birthweight (grams)]]*1.1/Table1[[#This Row],[BW_GA]])-1)/(Backend!$B$4/100*Table1[[#This Row],[BW40_3705]]),"")</f>
        <v/>
      </c>
      <c r="J5844" s="7" t="str">
        <f>IF(Table1[[#This Row],[Is Data Valid]]=TRUE,_xlfn.NORM.S.DIST(Table1[[#This Row],[Birthweight Z-Score]],TRUE)*100,"")</f>
        <v/>
      </c>
      <c r="K5844" s="7" t="str">
        <f>IF(Table1[[#This Row],[Is Data Valid]]=TRUE,_xlfn.NORM.S.DIST(Table1[[#This Row],[Birthweight Z-Score (BW-10%)]],TRUE)*100,"")</f>
        <v/>
      </c>
      <c r="L5844" s="7" t="str">
        <f>IF(Table1[[#This Row],[Is Data Valid]]=TRUE,_xlfn.NORM.S.DIST(Table1[[#This Row],[Birthweight Z-Score (BW+10%)]],TRUE)*100,"")</f>
        <v/>
      </c>
    </row>
    <row r="5845" spans="1:12" x14ac:dyDescent="0.35">
      <c r="A5845" s="3"/>
      <c r="B5845" s="2"/>
      <c r="C5845" s="2"/>
      <c r="D5845" s="2" t="b">
        <f>IF(AND(NOT(ISBLANK(Table1[[#This Row],[Fetal Sex (Male, Female or Unknown)]])),ISNUMBER(Table1[[#This Row],[Birthweight (grams)]]),ISNUMBER(Table1[[#This Row],[Gestation (days)]])),TRUE,FALSE)</f>
        <v>0</v>
      </c>
      <c r="E5845" s="2" t="str">
        <f>IF(Table1[[#This Row],[Is Data Valid]]=TRUE,IF(Table1[[#This Row],[Fetal Sex (Male, Female or Unknown)]]="Male",Backend!$C$6,IF(Table1[[#This Row],[Fetal Sex (Male, Female or Unknown)]]="Female",Backend!$C$7,IF(Table1[[#This Row],[Fetal Sex (Male, Female or Unknown)]]="Unknown",Backend!$C$8,"Error"))),"")</f>
        <v/>
      </c>
      <c r="F5845" s="8" t="str">
        <f>IF(Table1[[#This Row],[Is Data Valid]]=TRUE,EXP(0.578+0.332*((Table1[[#This Row],[Gestation (days)]]+0.5)/7)-0.00354*((Table1[[#This Row],[Gestation (days)]]+0.5)/7)^2)*Table1[[#This Row],[BW40_3705]],"")</f>
        <v/>
      </c>
      <c r="G5845" s="2" t="str">
        <f>IF(Table1[[#This Row],[Is Data Valid]]=TRUE,((Table1[[#This Row],[Birthweight (grams)]]/Table1[[#This Row],[BW_GA]])-1)/(Backend!$B$4/100*Table1[[#This Row],[BW40_3705]]),"")</f>
        <v/>
      </c>
      <c r="H5845" s="7" t="str">
        <f>IF(Table1[[#This Row],[Is Data Valid]]=TRUE,((Table1[[#This Row],[Birthweight (grams)]]*0.9/Table1[[#This Row],[BW_GA]])-1)/(Backend!$B$4/100*Table1[[#This Row],[BW40_3705]]),"")</f>
        <v/>
      </c>
      <c r="I5845" s="7" t="str">
        <f>IF(Table1[[#This Row],[Is Data Valid]]=TRUE,((Table1[[#This Row],[Birthweight (grams)]]*1.1/Table1[[#This Row],[BW_GA]])-1)/(Backend!$B$4/100*Table1[[#This Row],[BW40_3705]]),"")</f>
        <v/>
      </c>
      <c r="J5845" s="7" t="str">
        <f>IF(Table1[[#This Row],[Is Data Valid]]=TRUE,_xlfn.NORM.S.DIST(Table1[[#This Row],[Birthweight Z-Score]],TRUE)*100,"")</f>
        <v/>
      </c>
      <c r="K5845" s="7" t="str">
        <f>IF(Table1[[#This Row],[Is Data Valid]]=TRUE,_xlfn.NORM.S.DIST(Table1[[#This Row],[Birthweight Z-Score (BW-10%)]],TRUE)*100,"")</f>
        <v/>
      </c>
      <c r="L5845" s="7" t="str">
        <f>IF(Table1[[#This Row],[Is Data Valid]]=TRUE,_xlfn.NORM.S.DIST(Table1[[#This Row],[Birthweight Z-Score (BW+10%)]],TRUE)*100,"")</f>
        <v/>
      </c>
    </row>
    <row r="5846" spans="1:12" x14ac:dyDescent="0.35">
      <c r="A5846" s="3"/>
      <c r="B5846" s="2"/>
      <c r="C5846" s="2"/>
      <c r="D5846" s="2" t="b">
        <f>IF(AND(NOT(ISBLANK(Table1[[#This Row],[Fetal Sex (Male, Female or Unknown)]])),ISNUMBER(Table1[[#This Row],[Birthweight (grams)]]),ISNUMBER(Table1[[#This Row],[Gestation (days)]])),TRUE,FALSE)</f>
        <v>0</v>
      </c>
      <c r="E5846" s="2" t="str">
        <f>IF(Table1[[#This Row],[Is Data Valid]]=TRUE,IF(Table1[[#This Row],[Fetal Sex (Male, Female or Unknown)]]="Male",Backend!$C$6,IF(Table1[[#This Row],[Fetal Sex (Male, Female or Unknown)]]="Female",Backend!$C$7,IF(Table1[[#This Row],[Fetal Sex (Male, Female or Unknown)]]="Unknown",Backend!$C$8,"Error"))),"")</f>
        <v/>
      </c>
      <c r="F5846" s="8" t="str">
        <f>IF(Table1[[#This Row],[Is Data Valid]]=TRUE,EXP(0.578+0.332*((Table1[[#This Row],[Gestation (days)]]+0.5)/7)-0.00354*((Table1[[#This Row],[Gestation (days)]]+0.5)/7)^2)*Table1[[#This Row],[BW40_3705]],"")</f>
        <v/>
      </c>
      <c r="G5846" s="2" t="str">
        <f>IF(Table1[[#This Row],[Is Data Valid]]=TRUE,((Table1[[#This Row],[Birthweight (grams)]]/Table1[[#This Row],[BW_GA]])-1)/(Backend!$B$4/100*Table1[[#This Row],[BW40_3705]]),"")</f>
        <v/>
      </c>
      <c r="H5846" s="7" t="str">
        <f>IF(Table1[[#This Row],[Is Data Valid]]=TRUE,((Table1[[#This Row],[Birthweight (grams)]]*0.9/Table1[[#This Row],[BW_GA]])-1)/(Backend!$B$4/100*Table1[[#This Row],[BW40_3705]]),"")</f>
        <v/>
      </c>
      <c r="I5846" s="7" t="str">
        <f>IF(Table1[[#This Row],[Is Data Valid]]=TRUE,((Table1[[#This Row],[Birthweight (grams)]]*1.1/Table1[[#This Row],[BW_GA]])-1)/(Backend!$B$4/100*Table1[[#This Row],[BW40_3705]]),"")</f>
        <v/>
      </c>
      <c r="J5846" s="7" t="str">
        <f>IF(Table1[[#This Row],[Is Data Valid]]=TRUE,_xlfn.NORM.S.DIST(Table1[[#This Row],[Birthweight Z-Score]],TRUE)*100,"")</f>
        <v/>
      </c>
      <c r="K5846" s="7" t="str">
        <f>IF(Table1[[#This Row],[Is Data Valid]]=TRUE,_xlfn.NORM.S.DIST(Table1[[#This Row],[Birthweight Z-Score (BW-10%)]],TRUE)*100,"")</f>
        <v/>
      </c>
      <c r="L5846" s="7" t="str">
        <f>IF(Table1[[#This Row],[Is Data Valid]]=TRUE,_xlfn.NORM.S.DIST(Table1[[#This Row],[Birthweight Z-Score (BW+10%)]],TRUE)*100,"")</f>
        <v/>
      </c>
    </row>
    <row r="5847" spans="1:12" x14ac:dyDescent="0.35">
      <c r="A5847" s="3"/>
      <c r="B5847" s="2"/>
      <c r="C5847" s="2"/>
      <c r="D5847" s="2" t="b">
        <f>IF(AND(NOT(ISBLANK(Table1[[#This Row],[Fetal Sex (Male, Female or Unknown)]])),ISNUMBER(Table1[[#This Row],[Birthweight (grams)]]),ISNUMBER(Table1[[#This Row],[Gestation (days)]])),TRUE,FALSE)</f>
        <v>0</v>
      </c>
      <c r="E5847" s="2" t="str">
        <f>IF(Table1[[#This Row],[Is Data Valid]]=TRUE,IF(Table1[[#This Row],[Fetal Sex (Male, Female or Unknown)]]="Male",Backend!$C$6,IF(Table1[[#This Row],[Fetal Sex (Male, Female or Unknown)]]="Female",Backend!$C$7,IF(Table1[[#This Row],[Fetal Sex (Male, Female or Unknown)]]="Unknown",Backend!$C$8,"Error"))),"")</f>
        <v/>
      </c>
      <c r="F5847" s="8" t="str">
        <f>IF(Table1[[#This Row],[Is Data Valid]]=TRUE,EXP(0.578+0.332*((Table1[[#This Row],[Gestation (days)]]+0.5)/7)-0.00354*((Table1[[#This Row],[Gestation (days)]]+0.5)/7)^2)*Table1[[#This Row],[BW40_3705]],"")</f>
        <v/>
      </c>
      <c r="G5847" s="2" t="str">
        <f>IF(Table1[[#This Row],[Is Data Valid]]=TRUE,((Table1[[#This Row],[Birthweight (grams)]]/Table1[[#This Row],[BW_GA]])-1)/(Backend!$B$4/100*Table1[[#This Row],[BW40_3705]]),"")</f>
        <v/>
      </c>
      <c r="H5847" s="7" t="str">
        <f>IF(Table1[[#This Row],[Is Data Valid]]=TRUE,((Table1[[#This Row],[Birthweight (grams)]]*0.9/Table1[[#This Row],[BW_GA]])-1)/(Backend!$B$4/100*Table1[[#This Row],[BW40_3705]]),"")</f>
        <v/>
      </c>
      <c r="I5847" s="7" t="str">
        <f>IF(Table1[[#This Row],[Is Data Valid]]=TRUE,((Table1[[#This Row],[Birthweight (grams)]]*1.1/Table1[[#This Row],[BW_GA]])-1)/(Backend!$B$4/100*Table1[[#This Row],[BW40_3705]]),"")</f>
        <v/>
      </c>
      <c r="J5847" s="7" t="str">
        <f>IF(Table1[[#This Row],[Is Data Valid]]=TRUE,_xlfn.NORM.S.DIST(Table1[[#This Row],[Birthweight Z-Score]],TRUE)*100,"")</f>
        <v/>
      </c>
      <c r="K5847" s="7" t="str">
        <f>IF(Table1[[#This Row],[Is Data Valid]]=TRUE,_xlfn.NORM.S.DIST(Table1[[#This Row],[Birthweight Z-Score (BW-10%)]],TRUE)*100,"")</f>
        <v/>
      </c>
      <c r="L5847" s="7" t="str">
        <f>IF(Table1[[#This Row],[Is Data Valid]]=TRUE,_xlfn.NORM.S.DIST(Table1[[#This Row],[Birthweight Z-Score (BW+10%)]],TRUE)*100,"")</f>
        <v/>
      </c>
    </row>
    <row r="5848" spans="1:12" x14ac:dyDescent="0.35">
      <c r="A5848" s="3"/>
      <c r="B5848" s="2"/>
      <c r="C5848" s="2"/>
      <c r="D5848" s="2" t="b">
        <f>IF(AND(NOT(ISBLANK(Table1[[#This Row],[Fetal Sex (Male, Female or Unknown)]])),ISNUMBER(Table1[[#This Row],[Birthweight (grams)]]),ISNUMBER(Table1[[#This Row],[Gestation (days)]])),TRUE,FALSE)</f>
        <v>0</v>
      </c>
      <c r="E5848" s="2" t="str">
        <f>IF(Table1[[#This Row],[Is Data Valid]]=TRUE,IF(Table1[[#This Row],[Fetal Sex (Male, Female or Unknown)]]="Male",Backend!$C$6,IF(Table1[[#This Row],[Fetal Sex (Male, Female or Unknown)]]="Female",Backend!$C$7,IF(Table1[[#This Row],[Fetal Sex (Male, Female or Unknown)]]="Unknown",Backend!$C$8,"Error"))),"")</f>
        <v/>
      </c>
      <c r="F5848" s="8" t="str">
        <f>IF(Table1[[#This Row],[Is Data Valid]]=TRUE,EXP(0.578+0.332*((Table1[[#This Row],[Gestation (days)]]+0.5)/7)-0.00354*((Table1[[#This Row],[Gestation (days)]]+0.5)/7)^2)*Table1[[#This Row],[BW40_3705]],"")</f>
        <v/>
      </c>
      <c r="G5848" s="2" t="str">
        <f>IF(Table1[[#This Row],[Is Data Valid]]=TRUE,((Table1[[#This Row],[Birthweight (grams)]]/Table1[[#This Row],[BW_GA]])-1)/(Backend!$B$4/100*Table1[[#This Row],[BW40_3705]]),"")</f>
        <v/>
      </c>
      <c r="H5848" s="7" t="str">
        <f>IF(Table1[[#This Row],[Is Data Valid]]=TRUE,((Table1[[#This Row],[Birthweight (grams)]]*0.9/Table1[[#This Row],[BW_GA]])-1)/(Backend!$B$4/100*Table1[[#This Row],[BW40_3705]]),"")</f>
        <v/>
      </c>
      <c r="I5848" s="7" t="str">
        <f>IF(Table1[[#This Row],[Is Data Valid]]=TRUE,((Table1[[#This Row],[Birthweight (grams)]]*1.1/Table1[[#This Row],[BW_GA]])-1)/(Backend!$B$4/100*Table1[[#This Row],[BW40_3705]]),"")</f>
        <v/>
      </c>
      <c r="J5848" s="7" t="str">
        <f>IF(Table1[[#This Row],[Is Data Valid]]=TRUE,_xlfn.NORM.S.DIST(Table1[[#This Row],[Birthweight Z-Score]],TRUE)*100,"")</f>
        <v/>
      </c>
      <c r="K5848" s="7" t="str">
        <f>IF(Table1[[#This Row],[Is Data Valid]]=TRUE,_xlfn.NORM.S.DIST(Table1[[#This Row],[Birthweight Z-Score (BW-10%)]],TRUE)*100,"")</f>
        <v/>
      </c>
      <c r="L5848" s="7" t="str">
        <f>IF(Table1[[#This Row],[Is Data Valid]]=TRUE,_xlfn.NORM.S.DIST(Table1[[#This Row],[Birthweight Z-Score (BW+10%)]],TRUE)*100,"")</f>
        <v/>
      </c>
    </row>
    <row r="5849" spans="1:12" x14ac:dyDescent="0.35">
      <c r="A5849" s="3"/>
      <c r="B5849" s="2"/>
      <c r="C5849" s="2"/>
      <c r="D5849" s="2" t="b">
        <f>IF(AND(NOT(ISBLANK(Table1[[#This Row],[Fetal Sex (Male, Female or Unknown)]])),ISNUMBER(Table1[[#This Row],[Birthweight (grams)]]),ISNUMBER(Table1[[#This Row],[Gestation (days)]])),TRUE,FALSE)</f>
        <v>0</v>
      </c>
      <c r="E5849" s="2" t="str">
        <f>IF(Table1[[#This Row],[Is Data Valid]]=TRUE,IF(Table1[[#This Row],[Fetal Sex (Male, Female or Unknown)]]="Male",Backend!$C$6,IF(Table1[[#This Row],[Fetal Sex (Male, Female or Unknown)]]="Female",Backend!$C$7,IF(Table1[[#This Row],[Fetal Sex (Male, Female or Unknown)]]="Unknown",Backend!$C$8,"Error"))),"")</f>
        <v/>
      </c>
      <c r="F5849" s="8" t="str">
        <f>IF(Table1[[#This Row],[Is Data Valid]]=TRUE,EXP(0.578+0.332*((Table1[[#This Row],[Gestation (days)]]+0.5)/7)-0.00354*((Table1[[#This Row],[Gestation (days)]]+0.5)/7)^2)*Table1[[#This Row],[BW40_3705]],"")</f>
        <v/>
      </c>
      <c r="G5849" s="2" t="str">
        <f>IF(Table1[[#This Row],[Is Data Valid]]=TRUE,((Table1[[#This Row],[Birthweight (grams)]]/Table1[[#This Row],[BW_GA]])-1)/(Backend!$B$4/100*Table1[[#This Row],[BW40_3705]]),"")</f>
        <v/>
      </c>
      <c r="H5849" s="7" t="str">
        <f>IF(Table1[[#This Row],[Is Data Valid]]=TRUE,((Table1[[#This Row],[Birthweight (grams)]]*0.9/Table1[[#This Row],[BW_GA]])-1)/(Backend!$B$4/100*Table1[[#This Row],[BW40_3705]]),"")</f>
        <v/>
      </c>
      <c r="I5849" s="7" t="str">
        <f>IF(Table1[[#This Row],[Is Data Valid]]=TRUE,((Table1[[#This Row],[Birthweight (grams)]]*1.1/Table1[[#This Row],[BW_GA]])-1)/(Backend!$B$4/100*Table1[[#This Row],[BW40_3705]]),"")</f>
        <v/>
      </c>
      <c r="J5849" s="7" t="str">
        <f>IF(Table1[[#This Row],[Is Data Valid]]=TRUE,_xlfn.NORM.S.DIST(Table1[[#This Row],[Birthweight Z-Score]],TRUE)*100,"")</f>
        <v/>
      </c>
      <c r="K5849" s="7" t="str">
        <f>IF(Table1[[#This Row],[Is Data Valid]]=TRUE,_xlfn.NORM.S.DIST(Table1[[#This Row],[Birthweight Z-Score (BW-10%)]],TRUE)*100,"")</f>
        <v/>
      </c>
      <c r="L5849" s="7" t="str">
        <f>IF(Table1[[#This Row],[Is Data Valid]]=TRUE,_xlfn.NORM.S.DIST(Table1[[#This Row],[Birthweight Z-Score (BW+10%)]],TRUE)*100,"")</f>
        <v/>
      </c>
    </row>
    <row r="5850" spans="1:12" x14ac:dyDescent="0.35">
      <c r="A5850" s="3"/>
      <c r="B5850" s="2"/>
      <c r="C5850" s="2"/>
      <c r="D5850" s="2" t="b">
        <f>IF(AND(NOT(ISBLANK(Table1[[#This Row],[Fetal Sex (Male, Female or Unknown)]])),ISNUMBER(Table1[[#This Row],[Birthweight (grams)]]),ISNUMBER(Table1[[#This Row],[Gestation (days)]])),TRUE,FALSE)</f>
        <v>0</v>
      </c>
      <c r="E5850" s="2" t="str">
        <f>IF(Table1[[#This Row],[Is Data Valid]]=TRUE,IF(Table1[[#This Row],[Fetal Sex (Male, Female or Unknown)]]="Male",Backend!$C$6,IF(Table1[[#This Row],[Fetal Sex (Male, Female or Unknown)]]="Female",Backend!$C$7,IF(Table1[[#This Row],[Fetal Sex (Male, Female or Unknown)]]="Unknown",Backend!$C$8,"Error"))),"")</f>
        <v/>
      </c>
      <c r="F5850" s="8" t="str">
        <f>IF(Table1[[#This Row],[Is Data Valid]]=TRUE,EXP(0.578+0.332*((Table1[[#This Row],[Gestation (days)]]+0.5)/7)-0.00354*((Table1[[#This Row],[Gestation (days)]]+0.5)/7)^2)*Table1[[#This Row],[BW40_3705]],"")</f>
        <v/>
      </c>
      <c r="G5850" s="2" t="str">
        <f>IF(Table1[[#This Row],[Is Data Valid]]=TRUE,((Table1[[#This Row],[Birthweight (grams)]]/Table1[[#This Row],[BW_GA]])-1)/(Backend!$B$4/100*Table1[[#This Row],[BW40_3705]]),"")</f>
        <v/>
      </c>
      <c r="H5850" s="7" t="str">
        <f>IF(Table1[[#This Row],[Is Data Valid]]=TRUE,((Table1[[#This Row],[Birthweight (grams)]]*0.9/Table1[[#This Row],[BW_GA]])-1)/(Backend!$B$4/100*Table1[[#This Row],[BW40_3705]]),"")</f>
        <v/>
      </c>
      <c r="I5850" s="7" t="str">
        <f>IF(Table1[[#This Row],[Is Data Valid]]=TRUE,((Table1[[#This Row],[Birthweight (grams)]]*1.1/Table1[[#This Row],[BW_GA]])-1)/(Backend!$B$4/100*Table1[[#This Row],[BW40_3705]]),"")</f>
        <v/>
      </c>
      <c r="J5850" s="7" t="str">
        <f>IF(Table1[[#This Row],[Is Data Valid]]=TRUE,_xlfn.NORM.S.DIST(Table1[[#This Row],[Birthweight Z-Score]],TRUE)*100,"")</f>
        <v/>
      </c>
      <c r="K5850" s="7" t="str">
        <f>IF(Table1[[#This Row],[Is Data Valid]]=TRUE,_xlfn.NORM.S.DIST(Table1[[#This Row],[Birthweight Z-Score (BW-10%)]],TRUE)*100,"")</f>
        <v/>
      </c>
      <c r="L5850" s="7" t="str">
        <f>IF(Table1[[#This Row],[Is Data Valid]]=TRUE,_xlfn.NORM.S.DIST(Table1[[#This Row],[Birthweight Z-Score (BW+10%)]],TRUE)*100,"")</f>
        <v/>
      </c>
    </row>
    <row r="5851" spans="1:12" x14ac:dyDescent="0.35">
      <c r="A5851" s="3"/>
      <c r="B5851" s="2"/>
      <c r="C5851" s="2"/>
      <c r="D5851" s="2" t="b">
        <f>IF(AND(NOT(ISBLANK(Table1[[#This Row],[Fetal Sex (Male, Female or Unknown)]])),ISNUMBER(Table1[[#This Row],[Birthweight (grams)]]),ISNUMBER(Table1[[#This Row],[Gestation (days)]])),TRUE,FALSE)</f>
        <v>0</v>
      </c>
      <c r="E5851" s="2" t="str">
        <f>IF(Table1[[#This Row],[Is Data Valid]]=TRUE,IF(Table1[[#This Row],[Fetal Sex (Male, Female or Unknown)]]="Male",Backend!$C$6,IF(Table1[[#This Row],[Fetal Sex (Male, Female or Unknown)]]="Female",Backend!$C$7,IF(Table1[[#This Row],[Fetal Sex (Male, Female or Unknown)]]="Unknown",Backend!$C$8,"Error"))),"")</f>
        <v/>
      </c>
      <c r="F5851" s="8" t="str">
        <f>IF(Table1[[#This Row],[Is Data Valid]]=TRUE,EXP(0.578+0.332*((Table1[[#This Row],[Gestation (days)]]+0.5)/7)-0.00354*((Table1[[#This Row],[Gestation (days)]]+0.5)/7)^2)*Table1[[#This Row],[BW40_3705]],"")</f>
        <v/>
      </c>
      <c r="G5851" s="2" t="str">
        <f>IF(Table1[[#This Row],[Is Data Valid]]=TRUE,((Table1[[#This Row],[Birthweight (grams)]]/Table1[[#This Row],[BW_GA]])-1)/(Backend!$B$4/100*Table1[[#This Row],[BW40_3705]]),"")</f>
        <v/>
      </c>
      <c r="H5851" s="7" t="str">
        <f>IF(Table1[[#This Row],[Is Data Valid]]=TRUE,((Table1[[#This Row],[Birthweight (grams)]]*0.9/Table1[[#This Row],[BW_GA]])-1)/(Backend!$B$4/100*Table1[[#This Row],[BW40_3705]]),"")</f>
        <v/>
      </c>
      <c r="I5851" s="7" t="str">
        <f>IF(Table1[[#This Row],[Is Data Valid]]=TRUE,((Table1[[#This Row],[Birthweight (grams)]]*1.1/Table1[[#This Row],[BW_GA]])-1)/(Backend!$B$4/100*Table1[[#This Row],[BW40_3705]]),"")</f>
        <v/>
      </c>
      <c r="J5851" s="7" t="str">
        <f>IF(Table1[[#This Row],[Is Data Valid]]=TRUE,_xlfn.NORM.S.DIST(Table1[[#This Row],[Birthweight Z-Score]],TRUE)*100,"")</f>
        <v/>
      </c>
      <c r="K5851" s="7" t="str">
        <f>IF(Table1[[#This Row],[Is Data Valid]]=TRUE,_xlfn.NORM.S.DIST(Table1[[#This Row],[Birthweight Z-Score (BW-10%)]],TRUE)*100,"")</f>
        <v/>
      </c>
      <c r="L5851" s="7" t="str">
        <f>IF(Table1[[#This Row],[Is Data Valid]]=TRUE,_xlfn.NORM.S.DIST(Table1[[#This Row],[Birthweight Z-Score (BW+10%)]],TRUE)*100,"")</f>
        <v/>
      </c>
    </row>
    <row r="5852" spans="1:12" x14ac:dyDescent="0.35">
      <c r="A5852" s="3"/>
      <c r="B5852" s="2"/>
      <c r="C5852" s="2"/>
      <c r="D5852" s="2" t="b">
        <f>IF(AND(NOT(ISBLANK(Table1[[#This Row],[Fetal Sex (Male, Female or Unknown)]])),ISNUMBER(Table1[[#This Row],[Birthweight (grams)]]),ISNUMBER(Table1[[#This Row],[Gestation (days)]])),TRUE,FALSE)</f>
        <v>0</v>
      </c>
      <c r="E5852" s="2" t="str">
        <f>IF(Table1[[#This Row],[Is Data Valid]]=TRUE,IF(Table1[[#This Row],[Fetal Sex (Male, Female or Unknown)]]="Male",Backend!$C$6,IF(Table1[[#This Row],[Fetal Sex (Male, Female or Unknown)]]="Female",Backend!$C$7,IF(Table1[[#This Row],[Fetal Sex (Male, Female or Unknown)]]="Unknown",Backend!$C$8,"Error"))),"")</f>
        <v/>
      </c>
      <c r="F5852" s="8" t="str">
        <f>IF(Table1[[#This Row],[Is Data Valid]]=TRUE,EXP(0.578+0.332*((Table1[[#This Row],[Gestation (days)]]+0.5)/7)-0.00354*((Table1[[#This Row],[Gestation (days)]]+0.5)/7)^2)*Table1[[#This Row],[BW40_3705]],"")</f>
        <v/>
      </c>
      <c r="G5852" s="2" t="str">
        <f>IF(Table1[[#This Row],[Is Data Valid]]=TRUE,((Table1[[#This Row],[Birthweight (grams)]]/Table1[[#This Row],[BW_GA]])-1)/(Backend!$B$4/100*Table1[[#This Row],[BW40_3705]]),"")</f>
        <v/>
      </c>
      <c r="H5852" s="7" t="str">
        <f>IF(Table1[[#This Row],[Is Data Valid]]=TRUE,((Table1[[#This Row],[Birthweight (grams)]]*0.9/Table1[[#This Row],[BW_GA]])-1)/(Backend!$B$4/100*Table1[[#This Row],[BW40_3705]]),"")</f>
        <v/>
      </c>
      <c r="I5852" s="7" t="str">
        <f>IF(Table1[[#This Row],[Is Data Valid]]=TRUE,((Table1[[#This Row],[Birthweight (grams)]]*1.1/Table1[[#This Row],[BW_GA]])-1)/(Backend!$B$4/100*Table1[[#This Row],[BW40_3705]]),"")</f>
        <v/>
      </c>
      <c r="J5852" s="7" t="str">
        <f>IF(Table1[[#This Row],[Is Data Valid]]=TRUE,_xlfn.NORM.S.DIST(Table1[[#This Row],[Birthweight Z-Score]],TRUE)*100,"")</f>
        <v/>
      </c>
      <c r="K5852" s="7" t="str">
        <f>IF(Table1[[#This Row],[Is Data Valid]]=TRUE,_xlfn.NORM.S.DIST(Table1[[#This Row],[Birthweight Z-Score (BW-10%)]],TRUE)*100,"")</f>
        <v/>
      </c>
      <c r="L5852" s="7" t="str">
        <f>IF(Table1[[#This Row],[Is Data Valid]]=TRUE,_xlfn.NORM.S.DIST(Table1[[#This Row],[Birthweight Z-Score (BW+10%)]],TRUE)*100,"")</f>
        <v/>
      </c>
    </row>
    <row r="5853" spans="1:12" x14ac:dyDescent="0.35">
      <c r="A5853" s="3"/>
      <c r="B5853" s="2"/>
      <c r="C5853" s="2"/>
      <c r="D5853" s="2" t="b">
        <f>IF(AND(NOT(ISBLANK(Table1[[#This Row],[Fetal Sex (Male, Female or Unknown)]])),ISNUMBER(Table1[[#This Row],[Birthweight (grams)]]),ISNUMBER(Table1[[#This Row],[Gestation (days)]])),TRUE,FALSE)</f>
        <v>0</v>
      </c>
      <c r="E5853" s="2" t="str">
        <f>IF(Table1[[#This Row],[Is Data Valid]]=TRUE,IF(Table1[[#This Row],[Fetal Sex (Male, Female or Unknown)]]="Male",Backend!$C$6,IF(Table1[[#This Row],[Fetal Sex (Male, Female or Unknown)]]="Female",Backend!$C$7,IF(Table1[[#This Row],[Fetal Sex (Male, Female or Unknown)]]="Unknown",Backend!$C$8,"Error"))),"")</f>
        <v/>
      </c>
      <c r="F5853" s="8" t="str">
        <f>IF(Table1[[#This Row],[Is Data Valid]]=TRUE,EXP(0.578+0.332*((Table1[[#This Row],[Gestation (days)]]+0.5)/7)-0.00354*((Table1[[#This Row],[Gestation (days)]]+0.5)/7)^2)*Table1[[#This Row],[BW40_3705]],"")</f>
        <v/>
      </c>
      <c r="G5853" s="2" t="str">
        <f>IF(Table1[[#This Row],[Is Data Valid]]=TRUE,((Table1[[#This Row],[Birthweight (grams)]]/Table1[[#This Row],[BW_GA]])-1)/(Backend!$B$4/100*Table1[[#This Row],[BW40_3705]]),"")</f>
        <v/>
      </c>
      <c r="H5853" s="7" t="str">
        <f>IF(Table1[[#This Row],[Is Data Valid]]=TRUE,((Table1[[#This Row],[Birthweight (grams)]]*0.9/Table1[[#This Row],[BW_GA]])-1)/(Backend!$B$4/100*Table1[[#This Row],[BW40_3705]]),"")</f>
        <v/>
      </c>
      <c r="I5853" s="7" t="str">
        <f>IF(Table1[[#This Row],[Is Data Valid]]=TRUE,((Table1[[#This Row],[Birthweight (grams)]]*1.1/Table1[[#This Row],[BW_GA]])-1)/(Backend!$B$4/100*Table1[[#This Row],[BW40_3705]]),"")</f>
        <v/>
      </c>
      <c r="J5853" s="7" t="str">
        <f>IF(Table1[[#This Row],[Is Data Valid]]=TRUE,_xlfn.NORM.S.DIST(Table1[[#This Row],[Birthweight Z-Score]],TRUE)*100,"")</f>
        <v/>
      </c>
      <c r="K5853" s="7" t="str">
        <f>IF(Table1[[#This Row],[Is Data Valid]]=TRUE,_xlfn.NORM.S.DIST(Table1[[#This Row],[Birthweight Z-Score (BW-10%)]],TRUE)*100,"")</f>
        <v/>
      </c>
      <c r="L5853" s="7" t="str">
        <f>IF(Table1[[#This Row],[Is Data Valid]]=TRUE,_xlfn.NORM.S.DIST(Table1[[#This Row],[Birthweight Z-Score (BW+10%)]],TRUE)*100,"")</f>
        <v/>
      </c>
    </row>
    <row r="5854" spans="1:12" x14ac:dyDescent="0.35">
      <c r="A5854" s="3"/>
      <c r="B5854" s="2"/>
      <c r="C5854" s="2"/>
      <c r="D5854" s="2" t="b">
        <f>IF(AND(NOT(ISBLANK(Table1[[#This Row],[Fetal Sex (Male, Female or Unknown)]])),ISNUMBER(Table1[[#This Row],[Birthweight (grams)]]),ISNUMBER(Table1[[#This Row],[Gestation (days)]])),TRUE,FALSE)</f>
        <v>0</v>
      </c>
      <c r="E5854" s="2" t="str">
        <f>IF(Table1[[#This Row],[Is Data Valid]]=TRUE,IF(Table1[[#This Row],[Fetal Sex (Male, Female or Unknown)]]="Male",Backend!$C$6,IF(Table1[[#This Row],[Fetal Sex (Male, Female or Unknown)]]="Female",Backend!$C$7,IF(Table1[[#This Row],[Fetal Sex (Male, Female or Unknown)]]="Unknown",Backend!$C$8,"Error"))),"")</f>
        <v/>
      </c>
      <c r="F5854" s="8" t="str">
        <f>IF(Table1[[#This Row],[Is Data Valid]]=TRUE,EXP(0.578+0.332*((Table1[[#This Row],[Gestation (days)]]+0.5)/7)-0.00354*((Table1[[#This Row],[Gestation (days)]]+0.5)/7)^2)*Table1[[#This Row],[BW40_3705]],"")</f>
        <v/>
      </c>
      <c r="G5854" s="2" t="str">
        <f>IF(Table1[[#This Row],[Is Data Valid]]=TRUE,((Table1[[#This Row],[Birthweight (grams)]]/Table1[[#This Row],[BW_GA]])-1)/(Backend!$B$4/100*Table1[[#This Row],[BW40_3705]]),"")</f>
        <v/>
      </c>
      <c r="H5854" s="7" t="str">
        <f>IF(Table1[[#This Row],[Is Data Valid]]=TRUE,((Table1[[#This Row],[Birthweight (grams)]]*0.9/Table1[[#This Row],[BW_GA]])-1)/(Backend!$B$4/100*Table1[[#This Row],[BW40_3705]]),"")</f>
        <v/>
      </c>
      <c r="I5854" s="7" t="str">
        <f>IF(Table1[[#This Row],[Is Data Valid]]=TRUE,((Table1[[#This Row],[Birthweight (grams)]]*1.1/Table1[[#This Row],[BW_GA]])-1)/(Backend!$B$4/100*Table1[[#This Row],[BW40_3705]]),"")</f>
        <v/>
      </c>
      <c r="J5854" s="7" t="str">
        <f>IF(Table1[[#This Row],[Is Data Valid]]=TRUE,_xlfn.NORM.S.DIST(Table1[[#This Row],[Birthweight Z-Score]],TRUE)*100,"")</f>
        <v/>
      </c>
      <c r="K5854" s="7" t="str">
        <f>IF(Table1[[#This Row],[Is Data Valid]]=TRUE,_xlfn.NORM.S.DIST(Table1[[#This Row],[Birthweight Z-Score (BW-10%)]],TRUE)*100,"")</f>
        <v/>
      </c>
      <c r="L5854" s="7" t="str">
        <f>IF(Table1[[#This Row],[Is Data Valid]]=TRUE,_xlfn.NORM.S.DIST(Table1[[#This Row],[Birthweight Z-Score (BW+10%)]],TRUE)*100,"")</f>
        <v/>
      </c>
    </row>
    <row r="5855" spans="1:12" x14ac:dyDescent="0.35">
      <c r="A5855" s="3"/>
      <c r="B5855" s="2"/>
      <c r="C5855" s="2"/>
      <c r="D5855" s="2" t="b">
        <f>IF(AND(NOT(ISBLANK(Table1[[#This Row],[Fetal Sex (Male, Female or Unknown)]])),ISNUMBER(Table1[[#This Row],[Birthweight (grams)]]),ISNUMBER(Table1[[#This Row],[Gestation (days)]])),TRUE,FALSE)</f>
        <v>0</v>
      </c>
      <c r="E5855" s="2" t="str">
        <f>IF(Table1[[#This Row],[Is Data Valid]]=TRUE,IF(Table1[[#This Row],[Fetal Sex (Male, Female or Unknown)]]="Male",Backend!$C$6,IF(Table1[[#This Row],[Fetal Sex (Male, Female or Unknown)]]="Female",Backend!$C$7,IF(Table1[[#This Row],[Fetal Sex (Male, Female or Unknown)]]="Unknown",Backend!$C$8,"Error"))),"")</f>
        <v/>
      </c>
      <c r="F5855" s="8" t="str">
        <f>IF(Table1[[#This Row],[Is Data Valid]]=TRUE,EXP(0.578+0.332*((Table1[[#This Row],[Gestation (days)]]+0.5)/7)-0.00354*((Table1[[#This Row],[Gestation (days)]]+0.5)/7)^2)*Table1[[#This Row],[BW40_3705]],"")</f>
        <v/>
      </c>
      <c r="G5855" s="2" t="str">
        <f>IF(Table1[[#This Row],[Is Data Valid]]=TRUE,((Table1[[#This Row],[Birthweight (grams)]]/Table1[[#This Row],[BW_GA]])-1)/(Backend!$B$4/100*Table1[[#This Row],[BW40_3705]]),"")</f>
        <v/>
      </c>
      <c r="H5855" s="7" t="str">
        <f>IF(Table1[[#This Row],[Is Data Valid]]=TRUE,((Table1[[#This Row],[Birthweight (grams)]]*0.9/Table1[[#This Row],[BW_GA]])-1)/(Backend!$B$4/100*Table1[[#This Row],[BW40_3705]]),"")</f>
        <v/>
      </c>
      <c r="I5855" s="7" t="str">
        <f>IF(Table1[[#This Row],[Is Data Valid]]=TRUE,((Table1[[#This Row],[Birthweight (grams)]]*1.1/Table1[[#This Row],[BW_GA]])-1)/(Backend!$B$4/100*Table1[[#This Row],[BW40_3705]]),"")</f>
        <v/>
      </c>
      <c r="J5855" s="7" t="str">
        <f>IF(Table1[[#This Row],[Is Data Valid]]=TRUE,_xlfn.NORM.S.DIST(Table1[[#This Row],[Birthweight Z-Score]],TRUE)*100,"")</f>
        <v/>
      </c>
      <c r="K5855" s="7" t="str">
        <f>IF(Table1[[#This Row],[Is Data Valid]]=TRUE,_xlfn.NORM.S.DIST(Table1[[#This Row],[Birthweight Z-Score (BW-10%)]],TRUE)*100,"")</f>
        <v/>
      </c>
      <c r="L5855" s="7" t="str">
        <f>IF(Table1[[#This Row],[Is Data Valid]]=TRUE,_xlfn.NORM.S.DIST(Table1[[#This Row],[Birthweight Z-Score (BW+10%)]],TRUE)*100,"")</f>
        <v/>
      </c>
    </row>
    <row r="5856" spans="1:12" x14ac:dyDescent="0.35">
      <c r="A5856" s="3"/>
      <c r="B5856" s="2"/>
      <c r="C5856" s="2"/>
      <c r="D5856" s="2" t="b">
        <f>IF(AND(NOT(ISBLANK(Table1[[#This Row],[Fetal Sex (Male, Female or Unknown)]])),ISNUMBER(Table1[[#This Row],[Birthweight (grams)]]),ISNUMBER(Table1[[#This Row],[Gestation (days)]])),TRUE,FALSE)</f>
        <v>0</v>
      </c>
      <c r="E5856" s="2" t="str">
        <f>IF(Table1[[#This Row],[Is Data Valid]]=TRUE,IF(Table1[[#This Row],[Fetal Sex (Male, Female or Unknown)]]="Male",Backend!$C$6,IF(Table1[[#This Row],[Fetal Sex (Male, Female or Unknown)]]="Female",Backend!$C$7,IF(Table1[[#This Row],[Fetal Sex (Male, Female or Unknown)]]="Unknown",Backend!$C$8,"Error"))),"")</f>
        <v/>
      </c>
      <c r="F5856" s="8" t="str">
        <f>IF(Table1[[#This Row],[Is Data Valid]]=TRUE,EXP(0.578+0.332*((Table1[[#This Row],[Gestation (days)]]+0.5)/7)-0.00354*((Table1[[#This Row],[Gestation (days)]]+0.5)/7)^2)*Table1[[#This Row],[BW40_3705]],"")</f>
        <v/>
      </c>
      <c r="G5856" s="2" t="str">
        <f>IF(Table1[[#This Row],[Is Data Valid]]=TRUE,((Table1[[#This Row],[Birthweight (grams)]]/Table1[[#This Row],[BW_GA]])-1)/(Backend!$B$4/100*Table1[[#This Row],[BW40_3705]]),"")</f>
        <v/>
      </c>
      <c r="H5856" s="7" t="str">
        <f>IF(Table1[[#This Row],[Is Data Valid]]=TRUE,((Table1[[#This Row],[Birthweight (grams)]]*0.9/Table1[[#This Row],[BW_GA]])-1)/(Backend!$B$4/100*Table1[[#This Row],[BW40_3705]]),"")</f>
        <v/>
      </c>
      <c r="I5856" s="7" t="str">
        <f>IF(Table1[[#This Row],[Is Data Valid]]=TRUE,((Table1[[#This Row],[Birthweight (grams)]]*1.1/Table1[[#This Row],[BW_GA]])-1)/(Backend!$B$4/100*Table1[[#This Row],[BW40_3705]]),"")</f>
        <v/>
      </c>
      <c r="J5856" s="7" t="str">
        <f>IF(Table1[[#This Row],[Is Data Valid]]=TRUE,_xlfn.NORM.S.DIST(Table1[[#This Row],[Birthweight Z-Score]],TRUE)*100,"")</f>
        <v/>
      </c>
      <c r="K5856" s="7" t="str">
        <f>IF(Table1[[#This Row],[Is Data Valid]]=TRUE,_xlfn.NORM.S.DIST(Table1[[#This Row],[Birthweight Z-Score (BW-10%)]],TRUE)*100,"")</f>
        <v/>
      </c>
      <c r="L5856" s="7" t="str">
        <f>IF(Table1[[#This Row],[Is Data Valid]]=TRUE,_xlfn.NORM.S.DIST(Table1[[#This Row],[Birthweight Z-Score (BW+10%)]],TRUE)*100,"")</f>
        <v/>
      </c>
    </row>
    <row r="5857" spans="1:12" x14ac:dyDescent="0.35">
      <c r="A5857" s="3"/>
      <c r="B5857" s="2"/>
      <c r="C5857" s="2"/>
      <c r="D5857" s="2" t="b">
        <f>IF(AND(NOT(ISBLANK(Table1[[#This Row],[Fetal Sex (Male, Female or Unknown)]])),ISNUMBER(Table1[[#This Row],[Birthweight (grams)]]),ISNUMBER(Table1[[#This Row],[Gestation (days)]])),TRUE,FALSE)</f>
        <v>0</v>
      </c>
      <c r="E5857" s="2" t="str">
        <f>IF(Table1[[#This Row],[Is Data Valid]]=TRUE,IF(Table1[[#This Row],[Fetal Sex (Male, Female or Unknown)]]="Male",Backend!$C$6,IF(Table1[[#This Row],[Fetal Sex (Male, Female or Unknown)]]="Female",Backend!$C$7,IF(Table1[[#This Row],[Fetal Sex (Male, Female or Unknown)]]="Unknown",Backend!$C$8,"Error"))),"")</f>
        <v/>
      </c>
      <c r="F5857" s="8" t="str">
        <f>IF(Table1[[#This Row],[Is Data Valid]]=TRUE,EXP(0.578+0.332*((Table1[[#This Row],[Gestation (days)]]+0.5)/7)-0.00354*((Table1[[#This Row],[Gestation (days)]]+0.5)/7)^2)*Table1[[#This Row],[BW40_3705]],"")</f>
        <v/>
      </c>
      <c r="G5857" s="2" t="str">
        <f>IF(Table1[[#This Row],[Is Data Valid]]=TRUE,((Table1[[#This Row],[Birthweight (grams)]]/Table1[[#This Row],[BW_GA]])-1)/(Backend!$B$4/100*Table1[[#This Row],[BW40_3705]]),"")</f>
        <v/>
      </c>
      <c r="H5857" s="7" t="str">
        <f>IF(Table1[[#This Row],[Is Data Valid]]=TRUE,((Table1[[#This Row],[Birthweight (grams)]]*0.9/Table1[[#This Row],[BW_GA]])-1)/(Backend!$B$4/100*Table1[[#This Row],[BW40_3705]]),"")</f>
        <v/>
      </c>
      <c r="I5857" s="7" t="str">
        <f>IF(Table1[[#This Row],[Is Data Valid]]=TRUE,((Table1[[#This Row],[Birthweight (grams)]]*1.1/Table1[[#This Row],[BW_GA]])-1)/(Backend!$B$4/100*Table1[[#This Row],[BW40_3705]]),"")</f>
        <v/>
      </c>
      <c r="J5857" s="7" t="str">
        <f>IF(Table1[[#This Row],[Is Data Valid]]=TRUE,_xlfn.NORM.S.DIST(Table1[[#This Row],[Birthweight Z-Score]],TRUE)*100,"")</f>
        <v/>
      </c>
      <c r="K5857" s="7" t="str">
        <f>IF(Table1[[#This Row],[Is Data Valid]]=TRUE,_xlfn.NORM.S.DIST(Table1[[#This Row],[Birthweight Z-Score (BW-10%)]],TRUE)*100,"")</f>
        <v/>
      </c>
      <c r="L5857" s="7" t="str">
        <f>IF(Table1[[#This Row],[Is Data Valid]]=TRUE,_xlfn.NORM.S.DIST(Table1[[#This Row],[Birthweight Z-Score (BW+10%)]],TRUE)*100,"")</f>
        <v/>
      </c>
    </row>
    <row r="5858" spans="1:12" x14ac:dyDescent="0.35">
      <c r="A5858" s="3"/>
      <c r="B5858" s="2"/>
      <c r="C5858" s="2"/>
      <c r="D5858" s="2" t="b">
        <f>IF(AND(NOT(ISBLANK(Table1[[#This Row],[Fetal Sex (Male, Female or Unknown)]])),ISNUMBER(Table1[[#This Row],[Birthweight (grams)]]),ISNUMBER(Table1[[#This Row],[Gestation (days)]])),TRUE,FALSE)</f>
        <v>0</v>
      </c>
      <c r="E5858" s="2" t="str">
        <f>IF(Table1[[#This Row],[Is Data Valid]]=TRUE,IF(Table1[[#This Row],[Fetal Sex (Male, Female or Unknown)]]="Male",Backend!$C$6,IF(Table1[[#This Row],[Fetal Sex (Male, Female or Unknown)]]="Female",Backend!$C$7,IF(Table1[[#This Row],[Fetal Sex (Male, Female or Unknown)]]="Unknown",Backend!$C$8,"Error"))),"")</f>
        <v/>
      </c>
      <c r="F5858" s="8" t="str">
        <f>IF(Table1[[#This Row],[Is Data Valid]]=TRUE,EXP(0.578+0.332*((Table1[[#This Row],[Gestation (days)]]+0.5)/7)-0.00354*((Table1[[#This Row],[Gestation (days)]]+0.5)/7)^2)*Table1[[#This Row],[BW40_3705]],"")</f>
        <v/>
      </c>
      <c r="G5858" s="2" t="str">
        <f>IF(Table1[[#This Row],[Is Data Valid]]=TRUE,((Table1[[#This Row],[Birthweight (grams)]]/Table1[[#This Row],[BW_GA]])-1)/(Backend!$B$4/100*Table1[[#This Row],[BW40_3705]]),"")</f>
        <v/>
      </c>
      <c r="H5858" s="7" t="str">
        <f>IF(Table1[[#This Row],[Is Data Valid]]=TRUE,((Table1[[#This Row],[Birthweight (grams)]]*0.9/Table1[[#This Row],[BW_GA]])-1)/(Backend!$B$4/100*Table1[[#This Row],[BW40_3705]]),"")</f>
        <v/>
      </c>
      <c r="I5858" s="7" t="str">
        <f>IF(Table1[[#This Row],[Is Data Valid]]=TRUE,((Table1[[#This Row],[Birthweight (grams)]]*1.1/Table1[[#This Row],[BW_GA]])-1)/(Backend!$B$4/100*Table1[[#This Row],[BW40_3705]]),"")</f>
        <v/>
      </c>
      <c r="J5858" s="7" t="str">
        <f>IF(Table1[[#This Row],[Is Data Valid]]=TRUE,_xlfn.NORM.S.DIST(Table1[[#This Row],[Birthweight Z-Score]],TRUE)*100,"")</f>
        <v/>
      </c>
      <c r="K5858" s="7" t="str">
        <f>IF(Table1[[#This Row],[Is Data Valid]]=TRUE,_xlfn.NORM.S.DIST(Table1[[#This Row],[Birthweight Z-Score (BW-10%)]],TRUE)*100,"")</f>
        <v/>
      </c>
      <c r="L5858" s="7" t="str">
        <f>IF(Table1[[#This Row],[Is Data Valid]]=TRUE,_xlfn.NORM.S.DIST(Table1[[#This Row],[Birthweight Z-Score (BW+10%)]],TRUE)*100,"")</f>
        <v/>
      </c>
    </row>
    <row r="5859" spans="1:12" x14ac:dyDescent="0.35">
      <c r="A5859" s="3"/>
      <c r="B5859" s="2"/>
      <c r="C5859" s="2"/>
      <c r="D5859" s="2" t="b">
        <f>IF(AND(NOT(ISBLANK(Table1[[#This Row],[Fetal Sex (Male, Female or Unknown)]])),ISNUMBER(Table1[[#This Row],[Birthweight (grams)]]),ISNUMBER(Table1[[#This Row],[Gestation (days)]])),TRUE,FALSE)</f>
        <v>0</v>
      </c>
      <c r="E5859" s="2" t="str">
        <f>IF(Table1[[#This Row],[Is Data Valid]]=TRUE,IF(Table1[[#This Row],[Fetal Sex (Male, Female or Unknown)]]="Male",Backend!$C$6,IF(Table1[[#This Row],[Fetal Sex (Male, Female or Unknown)]]="Female",Backend!$C$7,IF(Table1[[#This Row],[Fetal Sex (Male, Female or Unknown)]]="Unknown",Backend!$C$8,"Error"))),"")</f>
        <v/>
      </c>
      <c r="F5859" s="8" t="str">
        <f>IF(Table1[[#This Row],[Is Data Valid]]=TRUE,EXP(0.578+0.332*((Table1[[#This Row],[Gestation (days)]]+0.5)/7)-0.00354*((Table1[[#This Row],[Gestation (days)]]+0.5)/7)^2)*Table1[[#This Row],[BW40_3705]],"")</f>
        <v/>
      </c>
      <c r="G5859" s="2" t="str">
        <f>IF(Table1[[#This Row],[Is Data Valid]]=TRUE,((Table1[[#This Row],[Birthweight (grams)]]/Table1[[#This Row],[BW_GA]])-1)/(Backend!$B$4/100*Table1[[#This Row],[BW40_3705]]),"")</f>
        <v/>
      </c>
      <c r="H5859" s="7" t="str">
        <f>IF(Table1[[#This Row],[Is Data Valid]]=TRUE,((Table1[[#This Row],[Birthweight (grams)]]*0.9/Table1[[#This Row],[BW_GA]])-1)/(Backend!$B$4/100*Table1[[#This Row],[BW40_3705]]),"")</f>
        <v/>
      </c>
      <c r="I5859" s="7" t="str">
        <f>IF(Table1[[#This Row],[Is Data Valid]]=TRUE,((Table1[[#This Row],[Birthweight (grams)]]*1.1/Table1[[#This Row],[BW_GA]])-1)/(Backend!$B$4/100*Table1[[#This Row],[BW40_3705]]),"")</f>
        <v/>
      </c>
      <c r="J5859" s="7" t="str">
        <f>IF(Table1[[#This Row],[Is Data Valid]]=TRUE,_xlfn.NORM.S.DIST(Table1[[#This Row],[Birthweight Z-Score]],TRUE)*100,"")</f>
        <v/>
      </c>
      <c r="K5859" s="7" t="str">
        <f>IF(Table1[[#This Row],[Is Data Valid]]=TRUE,_xlfn.NORM.S.DIST(Table1[[#This Row],[Birthweight Z-Score (BW-10%)]],TRUE)*100,"")</f>
        <v/>
      </c>
      <c r="L5859" s="7" t="str">
        <f>IF(Table1[[#This Row],[Is Data Valid]]=TRUE,_xlfn.NORM.S.DIST(Table1[[#This Row],[Birthweight Z-Score (BW+10%)]],TRUE)*100,"")</f>
        <v/>
      </c>
    </row>
    <row r="5860" spans="1:12" x14ac:dyDescent="0.35">
      <c r="A5860" s="3"/>
      <c r="B5860" s="2"/>
      <c r="C5860" s="2"/>
      <c r="D5860" s="2" t="b">
        <f>IF(AND(NOT(ISBLANK(Table1[[#This Row],[Fetal Sex (Male, Female or Unknown)]])),ISNUMBER(Table1[[#This Row],[Birthweight (grams)]]),ISNUMBER(Table1[[#This Row],[Gestation (days)]])),TRUE,FALSE)</f>
        <v>0</v>
      </c>
      <c r="E5860" s="2" t="str">
        <f>IF(Table1[[#This Row],[Is Data Valid]]=TRUE,IF(Table1[[#This Row],[Fetal Sex (Male, Female or Unknown)]]="Male",Backend!$C$6,IF(Table1[[#This Row],[Fetal Sex (Male, Female or Unknown)]]="Female",Backend!$C$7,IF(Table1[[#This Row],[Fetal Sex (Male, Female or Unknown)]]="Unknown",Backend!$C$8,"Error"))),"")</f>
        <v/>
      </c>
      <c r="F5860" s="8" t="str">
        <f>IF(Table1[[#This Row],[Is Data Valid]]=TRUE,EXP(0.578+0.332*((Table1[[#This Row],[Gestation (days)]]+0.5)/7)-0.00354*((Table1[[#This Row],[Gestation (days)]]+0.5)/7)^2)*Table1[[#This Row],[BW40_3705]],"")</f>
        <v/>
      </c>
      <c r="G5860" s="2" t="str">
        <f>IF(Table1[[#This Row],[Is Data Valid]]=TRUE,((Table1[[#This Row],[Birthweight (grams)]]/Table1[[#This Row],[BW_GA]])-1)/(Backend!$B$4/100*Table1[[#This Row],[BW40_3705]]),"")</f>
        <v/>
      </c>
      <c r="H5860" s="7" t="str">
        <f>IF(Table1[[#This Row],[Is Data Valid]]=TRUE,((Table1[[#This Row],[Birthweight (grams)]]*0.9/Table1[[#This Row],[BW_GA]])-1)/(Backend!$B$4/100*Table1[[#This Row],[BW40_3705]]),"")</f>
        <v/>
      </c>
      <c r="I5860" s="7" t="str">
        <f>IF(Table1[[#This Row],[Is Data Valid]]=TRUE,((Table1[[#This Row],[Birthweight (grams)]]*1.1/Table1[[#This Row],[BW_GA]])-1)/(Backend!$B$4/100*Table1[[#This Row],[BW40_3705]]),"")</f>
        <v/>
      </c>
      <c r="J5860" s="7" t="str">
        <f>IF(Table1[[#This Row],[Is Data Valid]]=TRUE,_xlfn.NORM.S.DIST(Table1[[#This Row],[Birthweight Z-Score]],TRUE)*100,"")</f>
        <v/>
      </c>
      <c r="K5860" s="7" t="str">
        <f>IF(Table1[[#This Row],[Is Data Valid]]=TRUE,_xlfn.NORM.S.DIST(Table1[[#This Row],[Birthweight Z-Score (BW-10%)]],TRUE)*100,"")</f>
        <v/>
      </c>
      <c r="L5860" s="7" t="str">
        <f>IF(Table1[[#This Row],[Is Data Valid]]=TRUE,_xlfn.NORM.S.DIST(Table1[[#This Row],[Birthweight Z-Score (BW+10%)]],TRUE)*100,"")</f>
        <v/>
      </c>
    </row>
    <row r="5861" spans="1:12" x14ac:dyDescent="0.35">
      <c r="A5861" s="3"/>
      <c r="B5861" s="2"/>
      <c r="C5861" s="2"/>
      <c r="D5861" s="2" t="b">
        <f>IF(AND(NOT(ISBLANK(Table1[[#This Row],[Fetal Sex (Male, Female or Unknown)]])),ISNUMBER(Table1[[#This Row],[Birthweight (grams)]]),ISNUMBER(Table1[[#This Row],[Gestation (days)]])),TRUE,FALSE)</f>
        <v>0</v>
      </c>
      <c r="E5861" s="2" t="str">
        <f>IF(Table1[[#This Row],[Is Data Valid]]=TRUE,IF(Table1[[#This Row],[Fetal Sex (Male, Female or Unknown)]]="Male",Backend!$C$6,IF(Table1[[#This Row],[Fetal Sex (Male, Female or Unknown)]]="Female",Backend!$C$7,IF(Table1[[#This Row],[Fetal Sex (Male, Female or Unknown)]]="Unknown",Backend!$C$8,"Error"))),"")</f>
        <v/>
      </c>
      <c r="F5861" s="8" t="str">
        <f>IF(Table1[[#This Row],[Is Data Valid]]=TRUE,EXP(0.578+0.332*((Table1[[#This Row],[Gestation (days)]]+0.5)/7)-0.00354*((Table1[[#This Row],[Gestation (days)]]+0.5)/7)^2)*Table1[[#This Row],[BW40_3705]],"")</f>
        <v/>
      </c>
      <c r="G5861" s="2" t="str">
        <f>IF(Table1[[#This Row],[Is Data Valid]]=TRUE,((Table1[[#This Row],[Birthweight (grams)]]/Table1[[#This Row],[BW_GA]])-1)/(Backend!$B$4/100*Table1[[#This Row],[BW40_3705]]),"")</f>
        <v/>
      </c>
      <c r="H5861" s="7" t="str">
        <f>IF(Table1[[#This Row],[Is Data Valid]]=TRUE,((Table1[[#This Row],[Birthweight (grams)]]*0.9/Table1[[#This Row],[BW_GA]])-1)/(Backend!$B$4/100*Table1[[#This Row],[BW40_3705]]),"")</f>
        <v/>
      </c>
      <c r="I5861" s="7" t="str">
        <f>IF(Table1[[#This Row],[Is Data Valid]]=TRUE,((Table1[[#This Row],[Birthweight (grams)]]*1.1/Table1[[#This Row],[BW_GA]])-1)/(Backend!$B$4/100*Table1[[#This Row],[BW40_3705]]),"")</f>
        <v/>
      </c>
      <c r="J5861" s="7" t="str">
        <f>IF(Table1[[#This Row],[Is Data Valid]]=TRUE,_xlfn.NORM.S.DIST(Table1[[#This Row],[Birthweight Z-Score]],TRUE)*100,"")</f>
        <v/>
      </c>
      <c r="K5861" s="7" t="str">
        <f>IF(Table1[[#This Row],[Is Data Valid]]=TRUE,_xlfn.NORM.S.DIST(Table1[[#This Row],[Birthweight Z-Score (BW-10%)]],TRUE)*100,"")</f>
        <v/>
      </c>
      <c r="L5861" s="7" t="str">
        <f>IF(Table1[[#This Row],[Is Data Valid]]=TRUE,_xlfn.NORM.S.DIST(Table1[[#This Row],[Birthweight Z-Score (BW+10%)]],TRUE)*100,"")</f>
        <v/>
      </c>
    </row>
    <row r="5862" spans="1:12" x14ac:dyDescent="0.35">
      <c r="A5862" s="3"/>
      <c r="B5862" s="2"/>
      <c r="C5862" s="2"/>
      <c r="D5862" s="2" t="b">
        <f>IF(AND(NOT(ISBLANK(Table1[[#This Row],[Fetal Sex (Male, Female or Unknown)]])),ISNUMBER(Table1[[#This Row],[Birthweight (grams)]]),ISNUMBER(Table1[[#This Row],[Gestation (days)]])),TRUE,FALSE)</f>
        <v>0</v>
      </c>
      <c r="E5862" s="2" t="str">
        <f>IF(Table1[[#This Row],[Is Data Valid]]=TRUE,IF(Table1[[#This Row],[Fetal Sex (Male, Female or Unknown)]]="Male",Backend!$C$6,IF(Table1[[#This Row],[Fetal Sex (Male, Female or Unknown)]]="Female",Backend!$C$7,IF(Table1[[#This Row],[Fetal Sex (Male, Female or Unknown)]]="Unknown",Backend!$C$8,"Error"))),"")</f>
        <v/>
      </c>
      <c r="F5862" s="8" t="str">
        <f>IF(Table1[[#This Row],[Is Data Valid]]=TRUE,EXP(0.578+0.332*((Table1[[#This Row],[Gestation (days)]]+0.5)/7)-0.00354*((Table1[[#This Row],[Gestation (days)]]+0.5)/7)^2)*Table1[[#This Row],[BW40_3705]],"")</f>
        <v/>
      </c>
      <c r="G5862" s="2" t="str">
        <f>IF(Table1[[#This Row],[Is Data Valid]]=TRUE,((Table1[[#This Row],[Birthweight (grams)]]/Table1[[#This Row],[BW_GA]])-1)/(Backend!$B$4/100*Table1[[#This Row],[BW40_3705]]),"")</f>
        <v/>
      </c>
      <c r="H5862" s="7" t="str">
        <f>IF(Table1[[#This Row],[Is Data Valid]]=TRUE,((Table1[[#This Row],[Birthweight (grams)]]*0.9/Table1[[#This Row],[BW_GA]])-1)/(Backend!$B$4/100*Table1[[#This Row],[BW40_3705]]),"")</f>
        <v/>
      </c>
      <c r="I5862" s="7" t="str">
        <f>IF(Table1[[#This Row],[Is Data Valid]]=TRUE,((Table1[[#This Row],[Birthweight (grams)]]*1.1/Table1[[#This Row],[BW_GA]])-1)/(Backend!$B$4/100*Table1[[#This Row],[BW40_3705]]),"")</f>
        <v/>
      </c>
      <c r="J5862" s="7" t="str">
        <f>IF(Table1[[#This Row],[Is Data Valid]]=TRUE,_xlfn.NORM.S.DIST(Table1[[#This Row],[Birthweight Z-Score]],TRUE)*100,"")</f>
        <v/>
      </c>
      <c r="K5862" s="7" t="str">
        <f>IF(Table1[[#This Row],[Is Data Valid]]=TRUE,_xlfn.NORM.S.DIST(Table1[[#This Row],[Birthweight Z-Score (BW-10%)]],TRUE)*100,"")</f>
        <v/>
      </c>
      <c r="L5862" s="7" t="str">
        <f>IF(Table1[[#This Row],[Is Data Valid]]=TRUE,_xlfn.NORM.S.DIST(Table1[[#This Row],[Birthweight Z-Score (BW+10%)]],TRUE)*100,"")</f>
        <v/>
      </c>
    </row>
    <row r="5863" spans="1:12" x14ac:dyDescent="0.35">
      <c r="A5863" s="3"/>
      <c r="B5863" s="2"/>
      <c r="C5863" s="2"/>
      <c r="D5863" s="2" t="b">
        <f>IF(AND(NOT(ISBLANK(Table1[[#This Row],[Fetal Sex (Male, Female or Unknown)]])),ISNUMBER(Table1[[#This Row],[Birthweight (grams)]]),ISNUMBER(Table1[[#This Row],[Gestation (days)]])),TRUE,FALSE)</f>
        <v>0</v>
      </c>
      <c r="E5863" s="2" t="str">
        <f>IF(Table1[[#This Row],[Is Data Valid]]=TRUE,IF(Table1[[#This Row],[Fetal Sex (Male, Female or Unknown)]]="Male",Backend!$C$6,IF(Table1[[#This Row],[Fetal Sex (Male, Female or Unknown)]]="Female",Backend!$C$7,IF(Table1[[#This Row],[Fetal Sex (Male, Female or Unknown)]]="Unknown",Backend!$C$8,"Error"))),"")</f>
        <v/>
      </c>
      <c r="F5863" s="8" t="str">
        <f>IF(Table1[[#This Row],[Is Data Valid]]=TRUE,EXP(0.578+0.332*((Table1[[#This Row],[Gestation (days)]]+0.5)/7)-0.00354*((Table1[[#This Row],[Gestation (days)]]+0.5)/7)^2)*Table1[[#This Row],[BW40_3705]],"")</f>
        <v/>
      </c>
      <c r="G5863" s="2" t="str">
        <f>IF(Table1[[#This Row],[Is Data Valid]]=TRUE,((Table1[[#This Row],[Birthweight (grams)]]/Table1[[#This Row],[BW_GA]])-1)/(Backend!$B$4/100*Table1[[#This Row],[BW40_3705]]),"")</f>
        <v/>
      </c>
      <c r="H5863" s="7" t="str">
        <f>IF(Table1[[#This Row],[Is Data Valid]]=TRUE,((Table1[[#This Row],[Birthweight (grams)]]*0.9/Table1[[#This Row],[BW_GA]])-1)/(Backend!$B$4/100*Table1[[#This Row],[BW40_3705]]),"")</f>
        <v/>
      </c>
      <c r="I5863" s="7" t="str">
        <f>IF(Table1[[#This Row],[Is Data Valid]]=TRUE,((Table1[[#This Row],[Birthweight (grams)]]*1.1/Table1[[#This Row],[BW_GA]])-1)/(Backend!$B$4/100*Table1[[#This Row],[BW40_3705]]),"")</f>
        <v/>
      </c>
      <c r="J5863" s="7" t="str">
        <f>IF(Table1[[#This Row],[Is Data Valid]]=TRUE,_xlfn.NORM.S.DIST(Table1[[#This Row],[Birthweight Z-Score]],TRUE)*100,"")</f>
        <v/>
      </c>
      <c r="K5863" s="7" t="str">
        <f>IF(Table1[[#This Row],[Is Data Valid]]=TRUE,_xlfn.NORM.S.DIST(Table1[[#This Row],[Birthweight Z-Score (BW-10%)]],TRUE)*100,"")</f>
        <v/>
      </c>
      <c r="L5863" s="7" t="str">
        <f>IF(Table1[[#This Row],[Is Data Valid]]=TRUE,_xlfn.NORM.S.DIST(Table1[[#This Row],[Birthweight Z-Score (BW+10%)]],TRUE)*100,"")</f>
        <v/>
      </c>
    </row>
    <row r="5864" spans="1:12" x14ac:dyDescent="0.35">
      <c r="A5864" s="3"/>
      <c r="B5864" s="2"/>
      <c r="C5864" s="2"/>
      <c r="D5864" s="2" t="b">
        <f>IF(AND(NOT(ISBLANK(Table1[[#This Row],[Fetal Sex (Male, Female or Unknown)]])),ISNUMBER(Table1[[#This Row],[Birthweight (grams)]]),ISNUMBER(Table1[[#This Row],[Gestation (days)]])),TRUE,FALSE)</f>
        <v>0</v>
      </c>
      <c r="E5864" s="2" t="str">
        <f>IF(Table1[[#This Row],[Is Data Valid]]=TRUE,IF(Table1[[#This Row],[Fetal Sex (Male, Female or Unknown)]]="Male",Backend!$C$6,IF(Table1[[#This Row],[Fetal Sex (Male, Female or Unknown)]]="Female",Backend!$C$7,IF(Table1[[#This Row],[Fetal Sex (Male, Female or Unknown)]]="Unknown",Backend!$C$8,"Error"))),"")</f>
        <v/>
      </c>
      <c r="F5864" s="8" t="str">
        <f>IF(Table1[[#This Row],[Is Data Valid]]=TRUE,EXP(0.578+0.332*((Table1[[#This Row],[Gestation (days)]]+0.5)/7)-0.00354*((Table1[[#This Row],[Gestation (days)]]+0.5)/7)^2)*Table1[[#This Row],[BW40_3705]],"")</f>
        <v/>
      </c>
      <c r="G5864" s="2" t="str">
        <f>IF(Table1[[#This Row],[Is Data Valid]]=TRUE,((Table1[[#This Row],[Birthweight (grams)]]/Table1[[#This Row],[BW_GA]])-1)/(Backend!$B$4/100*Table1[[#This Row],[BW40_3705]]),"")</f>
        <v/>
      </c>
      <c r="H5864" s="7" t="str">
        <f>IF(Table1[[#This Row],[Is Data Valid]]=TRUE,((Table1[[#This Row],[Birthweight (grams)]]*0.9/Table1[[#This Row],[BW_GA]])-1)/(Backend!$B$4/100*Table1[[#This Row],[BW40_3705]]),"")</f>
        <v/>
      </c>
      <c r="I5864" s="7" t="str">
        <f>IF(Table1[[#This Row],[Is Data Valid]]=TRUE,((Table1[[#This Row],[Birthweight (grams)]]*1.1/Table1[[#This Row],[BW_GA]])-1)/(Backend!$B$4/100*Table1[[#This Row],[BW40_3705]]),"")</f>
        <v/>
      </c>
      <c r="J5864" s="7" t="str">
        <f>IF(Table1[[#This Row],[Is Data Valid]]=TRUE,_xlfn.NORM.S.DIST(Table1[[#This Row],[Birthweight Z-Score]],TRUE)*100,"")</f>
        <v/>
      </c>
      <c r="K5864" s="7" t="str">
        <f>IF(Table1[[#This Row],[Is Data Valid]]=TRUE,_xlfn.NORM.S.DIST(Table1[[#This Row],[Birthweight Z-Score (BW-10%)]],TRUE)*100,"")</f>
        <v/>
      </c>
      <c r="L5864" s="7" t="str">
        <f>IF(Table1[[#This Row],[Is Data Valid]]=TRUE,_xlfn.NORM.S.DIST(Table1[[#This Row],[Birthweight Z-Score (BW+10%)]],TRUE)*100,"")</f>
        <v/>
      </c>
    </row>
    <row r="5865" spans="1:12" x14ac:dyDescent="0.35">
      <c r="A5865" s="3"/>
      <c r="B5865" s="2"/>
      <c r="C5865" s="2"/>
      <c r="D5865" s="2" t="b">
        <f>IF(AND(NOT(ISBLANK(Table1[[#This Row],[Fetal Sex (Male, Female or Unknown)]])),ISNUMBER(Table1[[#This Row],[Birthweight (grams)]]),ISNUMBER(Table1[[#This Row],[Gestation (days)]])),TRUE,FALSE)</f>
        <v>0</v>
      </c>
      <c r="E5865" s="2" t="str">
        <f>IF(Table1[[#This Row],[Is Data Valid]]=TRUE,IF(Table1[[#This Row],[Fetal Sex (Male, Female or Unknown)]]="Male",Backend!$C$6,IF(Table1[[#This Row],[Fetal Sex (Male, Female or Unknown)]]="Female",Backend!$C$7,IF(Table1[[#This Row],[Fetal Sex (Male, Female or Unknown)]]="Unknown",Backend!$C$8,"Error"))),"")</f>
        <v/>
      </c>
      <c r="F5865" s="8" t="str">
        <f>IF(Table1[[#This Row],[Is Data Valid]]=TRUE,EXP(0.578+0.332*((Table1[[#This Row],[Gestation (days)]]+0.5)/7)-0.00354*((Table1[[#This Row],[Gestation (days)]]+0.5)/7)^2)*Table1[[#This Row],[BW40_3705]],"")</f>
        <v/>
      </c>
      <c r="G5865" s="2" t="str">
        <f>IF(Table1[[#This Row],[Is Data Valid]]=TRUE,((Table1[[#This Row],[Birthweight (grams)]]/Table1[[#This Row],[BW_GA]])-1)/(Backend!$B$4/100*Table1[[#This Row],[BW40_3705]]),"")</f>
        <v/>
      </c>
      <c r="H5865" s="7" t="str">
        <f>IF(Table1[[#This Row],[Is Data Valid]]=TRUE,((Table1[[#This Row],[Birthweight (grams)]]*0.9/Table1[[#This Row],[BW_GA]])-1)/(Backend!$B$4/100*Table1[[#This Row],[BW40_3705]]),"")</f>
        <v/>
      </c>
      <c r="I5865" s="7" t="str">
        <f>IF(Table1[[#This Row],[Is Data Valid]]=TRUE,((Table1[[#This Row],[Birthweight (grams)]]*1.1/Table1[[#This Row],[BW_GA]])-1)/(Backend!$B$4/100*Table1[[#This Row],[BW40_3705]]),"")</f>
        <v/>
      </c>
      <c r="J5865" s="7" t="str">
        <f>IF(Table1[[#This Row],[Is Data Valid]]=TRUE,_xlfn.NORM.S.DIST(Table1[[#This Row],[Birthweight Z-Score]],TRUE)*100,"")</f>
        <v/>
      </c>
      <c r="K5865" s="7" t="str">
        <f>IF(Table1[[#This Row],[Is Data Valid]]=TRUE,_xlfn.NORM.S.DIST(Table1[[#This Row],[Birthweight Z-Score (BW-10%)]],TRUE)*100,"")</f>
        <v/>
      </c>
      <c r="L5865" s="7" t="str">
        <f>IF(Table1[[#This Row],[Is Data Valid]]=TRUE,_xlfn.NORM.S.DIST(Table1[[#This Row],[Birthweight Z-Score (BW+10%)]],TRUE)*100,"")</f>
        <v/>
      </c>
    </row>
    <row r="5866" spans="1:12" x14ac:dyDescent="0.35">
      <c r="A5866" s="3"/>
      <c r="B5866" s="2"/>
      <c r="C5866" s="2"/>
      <c r="D5866" s="2" t="b">
        <f>IF(AND(NOT(ISBLANK(Table1[[#This Row],[Fetal Sex (Male, Female or Unknown)]])),ISNUMBER(Table1[[#This Row],[Birthweight (grams)]]),ISNUMBER(Table1[[#This Row],[Gestation (days)]])),TRUE,FALSE)</f>
        <v>0</v>
      </c>
      <c r="E5866" s="2" t="str">
        <f>IF(Table1[[#This Row],[Is Data Valid]]=TRUE,IF(Table1[[#This Row],[Fetal Sex (Male, Female or Unknown)]]="Male",Backend!$C$6,IF(Table1[[#This Row],[Fetal Sex (Male, Female or Unknown)]]="Female",Backend!$C$7,IF(Table1[[#This Row],[Fetal Sex (Male, Female or Unknown)]]="Unknown",Backend!$C$8,"Error"))),"")</f>
        <v/>
      </c>
      <c r="F5866" s="8" t="str">
        <f>IF(Table1[[#This Row],[Is Data Valid]]=TRUE,EXP(0.578+0.332*((Table1[[#This Row],[Gestation (days)]]+0.5)/7)-0.00354*((Table1[[#This Row],[Gestation (days)]]+0.5)/7)^2)*Table1[[#This Row],[BW40_3705]],"")</f>
        <v/>
      </c>
      <c r="G5866" s="2" t="str">
        <f>IF(Table1[[#This Row],[Is Data Valid]]=TRUE,((Table1[[#This Row],[Birthweight (grams)]]/Table1[[#This Row],[BW_GA]])-1)/(Backend!$B$4/100*Table1[[#This Row],[BW40_3705]]),"")</f>
        <v/>
      </c>
      <c r="H5866" s="7" t="str">
        <f>IF(Table1[[#This Row],[Is Data Valid]]=TRUE,((Table1[[#This Row],[Birthweight (grams)]]*0.9/Table1[[#This Row],[BW_GA]])-1)/(Backend!$B$4/100*Table1[[#This Row],[BW40_3705]]),"")</f>
        <v/>
      </c>
      <c r="I5866" s="7" t="str">
        <f>IF(Table1[[#This Row],[Is Data Valid]]=TRUE,((Table1[[#This Row],[Birthweight (grams)]]*1.1/Table1[[#This Row],[BW_GA]])-1)/(Backend!$B$4/100*Table1[[#This Row],[BW40_3705]]),"")</f>
        <v/>
      </c>
      <c r="J5866" s="7" t="str">
        <f>IF(Table1[[#This Row],[Is Data Valid]]=TRUE,_xlfn.NORM.S.DIST(Table1[[#This Row],[Birthweight Z-Score]],TRUE)*100,"")</f>
        <v/>
      </c>
      <c r="K5866" s="7" t="str">
        <f>IF(Table1[[#This Row],[Is Data Valid]]=TRUE,_xlfn.NORM.S.DIST(Table1[[#This Row],[Birthweight Z-Score (BW-10%)]],TRUE)*100,"")</f>
        <v/>
      </c>
      <c r="L5866" s="7" t="str">
        <f>IF(Table1[[#This Row],[Is Data Valid]]=TRUE,_xlfn.NORM.S.DIST(Table1[[#This Row],[Birthweight Z-Score (BW+10%)]],TRUE)*100,"")</f>
        <v/>
      </c>
    </row>
    <row r="5867" spans="1:12" x14ac:dyDescent="0.35">
      <c r="A5867" s="3"/>
      <c r="B5867" s="2"/>
      <c r="C5867" s="2"/>
      <c r="D5867" s="2" t="b">
        <f>IF(AND(NOT(ISBLANK(Table1[[#This Row],[Fetal Sex (Male, Female or Unknown)]])),ISNUMBER(Table1[[#This Row],[Birthweight (grams)]]),ISNUMBER(Table1[[#This Row],[Gestation (days)]])),TRUE,FALSE)</f>
        <v>0</v>
      </c>
      <c r="E5867" s="2" t="str">
        <f>IF(Table1[[#This Row],[Is Data Valid]]=TRUE,IF(Table1[[#This Row],[Fetal Sex (Male, Female or Unknown)]]="Male",Backend!$C$6,IF(Table1[[#This Row],[Fetal Sex (Male, Female or Unknown)]]="Female",Backend!$C$7,IF(Table1[[#This Row],[Fetal Sex (Male, Female or Unknown)]]="Unknown",Backend!$C$8,"Error"))),"")</f>
        <v/>
      </c>
      <c r="F5867" s="8" t="str">
        <f>IF(Table1[[#This Row],[Is Data Valid]]=TRUE,EXP(0.578+0.332*((Table1[[#This Row],[Gestation (days)]]+0.5)/7)-0.00354*((Table1[[#This Row],[Gestation (days)]]+0.5)/7)^2)*Table1[[#This Row],[BW40_3705]],"")</f>
        <v/>
      </c>
      <c r="G5867" s="2" t="str">
        <f>IF(Table1[[#This Row],[Is Data Valid]]=TRUE,((Table1[[#This Row],[Birthweight (grams)]]/Table1[[#This Row],[BW_GA]])-1)/(Backend!$B$4/100*Table1[[#This Row],[BW40_3705]]),"")</f>
        <v/>
      </c>
      <c r="H5867" s="7" t="str">
        <f>IF(Table1[[#This Row],[Is Data Valid]]=TRUE,((Table1[[#This Row],[Birthweight (grams)]]*0.9/Table1[[#This Row],[BW_GA]])-1)/(Backend!$B$4/100*Table1[[#This Row],[BW40_3705]]),"")</f>
        <v/>
      </c>
      <c r="I5867" s="7" t="str">
        <f>IF(Table1[[#This Row],[Is Data Valid]]=TRUE,((Table1[[#This Row],[Birthweight (grams)]]*1.1/Table1[[#This Row],[BW_GA]])-1)/(Backend!$B$4/100*Table1[[#This Row],[BW40_3705]]),"")</f>
        <v/>
      </c>
      <c r="J5867" s="7" t="str">
        <f>IF(Table1[[#This Row],[Is Data Valid]]=TRUE,_xlfn.NORM.S.DIST(Table1[[#This Row],[Birthweight Z-Score]],TRUE)*100,"")</f>
        <v/>
      </c>
      <c r="K5867" s="7" t="str">
        <f>IF(Table1[[#This Row],[Is Data Valid]]=TRUE,_xlfn.NORM.S.DIST(Table1[[#This Row],[Birthweight Z-Score (BW-10%)]],TRUE)*100,"")</f>
        <v/>
      </c>
      <c r="L5867" s="7" t="str">
        <f>IF(Table1[[#This Row],[Is Data Valid]]=TRUE,_xlfn.NORM.S.DIST(Table1[[#This Row],[Birthweight Z-Score (BW+10%)]],TRUE)*100,"")</f>
        <v/>
      </c>
    </row>
    <row r="5868" spans="1:12" x14ac:dyDescent="0.35">
      <c r="A5868" s="3"/>
      <c r="B5868" s="2"/>
      <c r="C5868" s="2"/>
      <c r="D5868" s="2" t="b">
        <f>IF(AND(NOT(ISBLANK(Table1[[#This Row],[Fetal Sex (Male, Female or Unknown)]])),ISNUMBER(Table1[[#This Row],[Birthweight (grams)]]),ISNUMBER(Table1[[#This Row],[Gestation (days)]])),TRUE,FALSE)</f>
        <v>0</v>
      </c>
      <c r="E5868" s="2" t="str">
        <f>IF(Table1[[#This Row],[Is Data Valid]]=TRUE,IF(Table1[[#This Row],[Fetal Sex (Male, Female or Unknown)]]="Male",Backend!$C$6,IF(Table1[[#This Row],[Fetal Sex (Male, Female or Unknown)]]="Female",Backend!$C$7,IF(Table1[[#This Row],[Fetal Sex (Male, Female or Unknown)]]="Unknown",Backend!$C$8,"Error"))),"")</f>
        <v/>
      </c>
      <c r="F5868" s="8" t="str">
        <f>IF(Table1[[#This Row],[Is Data Valid]]=TRUE,EXP(0.578+0.332*((Table1[[#This Row],[Gestation (days)]]+0.5)/7)-0.00354*((Table1[[#This Row],[Gestation (days)]]+0.5)/7)^2)*Table1[[#This Row],[BW40_3705]],"")</f>
        <v/>
      </c>
      <c r="G5868" s="2" t="str">
        <f>IF(Table1[[#This Row],[Is Data Valid]]=TRUE,((Table1[[#This Row],[Birthweight (grams)]]/Table1[[#This Row],[BW_GA]])-1)/(Backend!$B$4/100*Table1[[#This Row],[BW40_3705]]),"")</f>
        <v/>
      </c>
      <c r="H5868" s="7" t="str">
        <f>IF(Table1[[#This Row],[Is Data Valid]]=TRUE,((Table1[[#This Row],[Birthweight (grams)]]*0.9/Table1[[#This Row],[BW_GA]])-1)/(Backend!$B$4/100*Table1[[#This Row],[BW40_3705]]),"")</f>
        <v/>
      </c>
      <c r="I5868" s="7" t="str">
        <f>IF(Table1[[#This Row],[Is Data Valid]]=TRUE,((Table1[[#This Row],[Birthweight (grams)]]*1.1/Table1[[#This Row],[BW_GA]])-1)/(Backend!$B$4/100*Table1[[#This Row],[BW40_3705]]),"")</f>
        <v/>
      </c>
      <c r="J5868" s="7" t="str">
        <f>IF(Table1[[#This Row],[Is Data Valid]]=TRUE,_xlfn.NORM.S.DIST(Table1[[#This Row],[Birthweight Z-Score]],TRUE)*100,"")</f>
        <v/>
      </c>
      <c r="K5868" s="7" t="str">
        <f>IF(Table1[[#This Row],[Is Data Valid]]=TRUE,_xlfn.NORM.S.DIST(Table1[[#This Row],[Birthweight Z-Score (BW-10%)]],TRUE)*100,"")</f>
        <v/>
      </c>
      <c r="L5868" s="7" t="str">
        <f>IF(Table1[[#This Row],[Is Data Valid]]=TRUE,_xlfn.NORM.S.DIST(Table1[[#This Row],[Birthweight Z-Score (BW+10%)]],TRUE)*100,"")</f>
        <v/>
      </c>
    </row>
    <row r="5869" spans="1:12" x14ac:dyDescent="0.35">
      <c r="A5869" s="3"/>
      <c r="B5869" s="2"/>
      <c r="C5869" s="2"/>
      <c r="D5869" s="2" t="b">
        <f>IF(AND(NOT(ISBLANK(Table1[[#This Row],[Fetal Sex (Male, Female or Unknown)]])),ISNUMBER(Table1[[#This Row],[Birthweight (grams)]]),ISNUMBER(Table1[[#This Row],[Gestation (days)]])),TRUE,FALSE)</f>
        <v>0</v>
      </c>
      <c r="E5869" s="2" t="str">
        <f>IF(Table1[[#This Row],[Is Data Valid]]=TRUE,IF(Table1[[#This Row],[Fetal Sex (Male, Female or Unknown)]]="Male",Backend!$C$6,IF(Table1[[#This Row],[Fetal Sex (Male, Female or Unknown)]]="Female",Backend!$C$7,IF(Table1[[#This Row],[Fetal Sex (Male, Female or Unknown)]]="Unknown",Backend!$C$8,"Error"))),"")</f>
        <v/>
      </c>
      <c r="F5869" s="8" t="str">
        <f>IF(Table1[[#This Row],[Is Data Valid]]=TRUE,EXP(0.578+0.332*((Table1[[#This Row],[Gestation (days)]]+0.5)/7)-0.00354*((Table1[[#This Row],[Gestation (days)]]+0.5)/7)^2)*Table1[[#This Row],[BW40_3705]],"")</f>
        <v/>
      </c>
      <c r="G5869" s="2" t="str">
        <f>IF(Table1[[#This Row],[Is Data Valid]]=TRUE,((Table1[[#This Row],[Birthweight (grams)]]/Table1[[#This Row],[BW_GA]])-1)/(Backend!$B$4/100*Table1[[#This Row],[BW40_3705]]),"")</f>
        <v/>
      </c>
      <c r="H5869" s="7" t="str">
        <f>IF(Table1[[#This Row],[Is Data Valid]]=TRUE,((Table1[[#This Row],[Birthweight (grams)]]*0.9/Table1[[#This Row],[BW_GA]])-1)/(Backend!$B$4/100*Table1[[#This Row],[BW40_3705]]),"")</f>
        <v/>
      </c>
      <c r="I5869" s="7" t="str">
        <f>IF(Table1[[#This Row],[Is Data Valid]]=TRUE,((Table1[[#This Row],[Birthweight (grams)]]*1.1/Table1[[#This Row],[BW_GA]])-1)/(Backend!$B$4/100*Table1[[#This Row],[BW40_3705]]),"")</f>
        <v/>
      </c>
      <c r="J5869" s="7" t="str">
        <f>IF(Table1[[#This Row],[Is Data Valid]]=TRUE,_xlfn.NORM.S.DIST(Table1[[#This Row],[Birthweight Z-Score]],TRUE)*100,"")</f>
        <v/>
      </c>
      <c r="K5869" s="7" t="str">
        <f>IF(Table1[[#This Row],[Is Data Valid]]=TRUE,_xlfn.NORM.S.DIST(Table1[[#This Row],[Birthweight Z-Score (BW-10%)]],TRUE)*100,"")</f>
        <v/>
      </c>
      <c r="L5869" s="7" t="str">
        <f>IF(Table1[[#This Row],[Is Data Valid]]=TRUE,_xlfn.NORM.S.DIST(Table1[[#This Row],[Birthweight Z-Score (BW+10%)]],TRUE)*100,"")</f>
        <v/>
      </c>
    </row>
    <row r="5870" spans="1:12" x14ac:dyDescent="0.35">
      <c r="A5870" s="3"/>
      <c r="B5870" s="2"/>
      <c r="C5870" s="2"/>
      <c r="D5870" s="2" t="b">
        <f>IF(AND(NOT(ISBLANK(Table1[[#This Row],[Fetal Sex (Male, Female or Unknown)]])),ISNUMBER(Table1[[#This Row],[Birthweight (grams)]]),ISNUMBER(Table1[[#This Row],[Gestation (days)]])),TRUE,FALSE)</f>
        <v>0</v>
      </c>
      <c r="E5870" s="2" t="str">
        <f>IF(Table1[[#This Row],[Is Data Valid]]=TRUE,IF(Table1[[#This Row],[Fetal Sex (Male, Female or Unknown)]]="Male",Backend!$C$6,IF(Table1[[#This Row],[Fetal Sex (Male, Female or Unknown)]]="Female",Backend!$C$7,IF(Table1[[#This Row],[Fetal Sex (Male, Female or Unknown)]]="Unknown",Backend!$C$8,"Error"))),"")</f>
        <v/>
      </c>
      <c r="F5870" s="8" t="str">
        <f>IF(Table1[[#This Row],[Is Data Valid]]=TRUE,EXP(0.578+0.332*((Table1[[#This Row],[Gestation (days)]]+0.5)/7)-0.00354*((Table1[[#This Row],[Gestation (days)]]+0.5)/7)^2)*Table1[[#This Row],[BW40_3705]],"")</f>
        <v/>
      </c>
      <c r="G5870" s="2" t="str">
        <f>IF(Table1[[#This Row],[Is Data Valid]]=TRUE,((Table1[[#This Row],[Birthweight (grams)]]/Table1[[#This Row],[BW_GA]])-1)/(Backend!$B$4/100*Table1[[#This Row],[BW40_3705]]),"")</f>
        <v/>
      </c>
      <c r="H5870" s="7" t="str">
        <f>IF(Table1[[#This Row],[Is Data Valid]]=TRUE,((Table1[[#This Row],[Birthweight (grams)]]*0.9/Table1[[#This Row],[BW_GA]])-1)/(Backend!$B$4/100*Table1[[#This Row],[BW40_3705]]),"")</f>
        <v/>
      </c>
      <c r="I5870" s="7" t="str">
        <f>IF(Table1[[#This Row],[Is Data Valid]]=TRUE,((Table1[[#This Row],[Birthweight (grams)]]*1.1/Table1[[#This Row],[BW_GA]])-1)/(Backend!$B$4/100*Table1[[#This Row],[BW40_3705]]),"")</f>
        <v/>
      </c>
      <c r="J5870" s="7" t="str">
        <f>IF(Table1[[#This Row],[Is Data Valid]]=TRUE,_xlfn.NORM.S.DIST(Table1[[#This Row],[Birthweight Z-Score]],TRUE)*100,"")</f>
        <v/>
      </c>
      <c r="K5870" s="7" t="str">
        <f>IF(Table1[[#This Row],[Is Data Valid]]=TRUE,_xlfn.NORM.S.DIST(Table1[[#This Row],[Birthweight Z-Score (BW-10%)]],TRUE)*100,"")</f>
        <v/>
      </c>
      <c r="L5870" s="7" t="str">
        <f>IF(Table1[[#This Row],[Is Data Valid]]=TRUE,_xlfn.NORM.S.DIST(Table1[[#This Row],[Birthweight Z-Score (BW+10%)]],TRUE)*100,"")</f>
        <v/>
      </c>
    </row>
    <row r="5871" spans="1:12" x14ac:dyDescent="0.35">
      <c r="A5871" s="3"/>
      <c r="B5871" s="2"/>
      <c r="C5871" s="2"/>
      <c r="D5871" s="2" t="b">
        <f>IF(AND(NOT(ISBLANK(Table1[[#This Row],[Fetal Sex (Male, Female or Unknown)]])),ISNUMBER(Table1[[#This Row],[Birthweight (grams)]]),ISNUMBER(Table1[[#This Row],[Gestation (days)]])),TRUE,FALSE)</f>
        <v>0</v>
      </c>
      <c r="E5871" s="2" t="str">
        <f>IF(Table1[[#This Row],[Is Data Valid]]=TRUE,IF(Table1[[#This Row],[Fetal Sex (Male, Female or Unknown)]]="Male",Backend!$C$6,IF(Table1[[#This Row],[Fetal Sex (Male, Female or Unknown)]]="Female",Backend!$C$7,IF(Table1[[#This Row],[Fetal Sex (Male, Female or Unknown)]]="Unknown",Backend!$C$8,"Error"))),"")</f>
        <v/>
      </c>
      <c r="F5871" s="8" t="str">
        <f>IF(Table1[[#This Row],[Is Data Valid]]=TRUE,EXP(0.578+0.332*((Table1[[#This Row],[Gestation (days)]]+0.5)/7)-0.00354*((Table1[[#This Row],[Gestation (days)]]+0.5)/7)^2)*Table1[[#This Row],[BW40_3705]],"")</f>
        <v/>
      </c>
      <c r="G5871" s="2" t="str">
        <f>IF(Table1[[#This Row],[Is Data Valid]]=TRUE,((Table1[[#This Row],[Birthweight (grams)]]/Table1[[#This Row],[BW_GA]])-1)/(Backend!$B$4/100*Table1[[#This Row],[BW40_3705]]),"")</f>
        <v/>
      </c>
      <c r="H5871" s="7" t="str">
        <f>IF(Table1[[#This Row],[Is Data Valid]]=TRUE,((Table1[[#This Row],[Birthweight (grams)]]*0.9/Table1[[#This Row],[BW_GA]])-1)/(Backend!$B$4/100*Table1[[#This Row],[BW40_3705]]),"")</f>
        <v/>
      </c>
      <c r="I5871" s="7" t="str">
        <f>IF(Table1[[#This Row],[Is Data Valid]]=TRUE,((Table1[[#This Row],[Birthweight (grams)]]*1.1/Table1[[#This Row],[BW_GA]])-1)/(Backend!$B$4/100*Table1[[#This Row],[BW40_3705]]),"")</f>
        <v/>
      </c>
      <c r="J5871" s="7" t="str">
        <f>IF(Table1[[#This Row],[Is Data Valid]]=TRUE,_xlfn.NORM.S.DIST(Table1[[#This Row],[Birthweight Z-Score]],TRUE)*100,"")</f>
        <v/>
      </c>
      <c r="K5871" s="7" t="str">
        <f>IF(Table1[[#This Row],[Is Data Valid]]=TRUE,_xlfn.NORM.S.DIST(Table1[[#This Row],[Birthweight Z-Score (BW-10%)]],TRUE)*100,"")</f>
        <v/>
      </c>
      <c r="L5871" s="7" t="str">
        <f>IF(Table1[[#This Row],[Is Data Valid]]=TRUE,_xlfn.NORM.S.DIST(Table1[[#This Row],[Birthweight Z-Score (BW+10%)]],TRUE)*100,"")</f>
        <v/>
      </c>
    </row>
    <row r="5872" spans="1:12" x14ac:dyDescent="0.35">
      <c r="A5872" s="3"/>
      <c r="B5872" s="2"/>
      <c r="C5872" s="2"/>
      <c r="D5872" s="2" t="b">
        <f>IF(AND(NOT(ISBLANK(Table1[[#This Row],[Fetal Sex (Male, Female or Unknown)]])),ISNUMBER(Table1[[#This Row],[Birthweight (grams)]]),ISNUMBER(Table1[[#This Row],[Gestation (days)]])),TRUE,FALSE)</f>
        <v>0</v>
      </c>
      <c r="E5872" s="2" t="str">
        <f>IF(Table1[[#This Row],[Is Data Valid]]=TRUE,IF(Table1[[#This Row],[Fetal Sex (Male, Female or Unknown)]]="Male",Backend!$C$6,IF(Table1[[#This Row],[Fetal Sex (Male, Female or Unknown)]]="Female",Backend!$C$7,IF(Table1[[#This Row],[Fetal Sex (Male, Female or Unknown)]]="Unknown",Backend!$C$8,"Error"))),"")</f>
        <v/>
      </c>
      <c r="F5872" s="8" t="str">
        <f>IF(Table1[[#This Row],[Is Data Valid]]=TRUE,EXP(0.578+0.332*((Table1[[#This Row],[Gestation (days)]]+0.5)/7)-0.00354*((Table1[[#This Row],[Gestation (days)]]+0.5)/7)^2)*Table1[[#This Row],[BW40_3705]],"")</f>
        <v/>
      </c>
      <c r="G5872" s="2" t="str">
        <f>IF(Table1[[#This Row],[Is Data Valid]]=TRUE,((Table1[[#This Row],[Birthweight (grams)]]/Table1[[#This Row],[BW_GA]])-1)/(Backend!$B$4/100*Table1[[#This Row],[BW40_3705]]),"")</f>
        <v/>
      </c>
      <c r="H5872" s="7" t="str">
        <f>IF(Table1[[#This Row],[Is Data Valid]]=TRUE,((Table1[[#This Row],[Birthweight (grams)]]*0.9/Table1[[#This Row],[BW_GA]])-1)/(Backend!$B$4/100*Table1[[#This Row],[BW40_3705]]),"")</f>
        <v/>
      </c>
      <c r="I5872" s="7" t="str">
        <f>IF(Table1[[#This Row],[Is Data Valid]]=TRUE,((Table1[[#This Row],[Birthweight (grams)]]*1.1/Table1[[#This Row],[BW_GA]])-1)/(Backend!$B$4/100*Table1[[#This Row],[BW40_3705]]),"")</f>
        <v/>
      </c>
      <c r="J5872" s="7" t="str">
        <f>IF(Table1[[#This Row],[Is Data Valid]]=TRUE,_xlfn.NORM.S.DIST(Table1[[#This Row],[Birthweight Z-Score]],TRUE)*100,"")</f>
        <v/>
      </c>
      <c r="K5872" s="7" t="str">
        <f>IF(Table1[[#This Row],[Is Data Valid]]=TRUE,_xlfn.NORM.S.DIST(Table1[[#This Row],[Birthweight Z-Score (BW-10%)]],TRUE)*100,"")</f>
        <v/>
      </c>
      <c r="L5872" s="7" t="str">
        <f>IF(Table1[[#This Row],[Is Data Valid]]=TRUE,_xlfn.NORM.S.DIST(Table1[[#This Row],[Birthweight Z-Score (BW+10%)]],TRUE)*100,"")</f>
        <v/>
      </c>
    </row>
    <row r="5873" spans="1:12" x14ac:dyDescent="0.35">
      <c r="A5873" s="3"/>
      <c r="B5873" s="2"/>
      <c r="C5873" s="2"/>
      <c r="D5873" s="2" t="b">
        <f>IF(AND(NOT(ISBLANK(Table1[[#This Row],[Fetal Sex (Male, Female or Unknown)]])),ISNUMBER(Table1[[#This Row],[Birthweight (grams)]]),ISNUMBER(Table1[[#This Row],[Gestation (days)]])),TRUE,FALSE)</f>
        <v>0</v>
      </c>
      <c r="E5873" s="2" t="str">
        <f>IF(Table1[[#This Row],[Is Data Valid]]=TRUE,IF(Table1[[#This Row],[Fetal Sex (Male, Female or Unknown)]]="Male",Backend!$C$6,IF(Table1[[#This Row],[Fetal Sex (Male, Female or Unknown)]]="Female",Backend!$C$7,IF(Table1[[#This Row],[Fetal Sex (Male, Female or Unknown)]]="Unknown",Backend!$C$8,"Error"))),"")</f>
        <v/>
      </c>
      <c r="F5873" s="8" t="str">
        <f>IF(Table1[[#This Row],[Is Data Valid]]=TRUE,EXP(0.578+0.332*((Table1[[#This Row],[Gestation (days)]]+0.5)/7)-0.00354*((Table1[[#This Row],[Gestation (days)]]+0.5)/7)^2)*Table1[[#This Row],[BW40_3705]],"")</f>
        <v/>
      </c>
      <c r="G5873" s="2" t="str">
        <f>IF(Table1[[#This Row],[Is Data Valid]]=TRUE,((Table1[[#This Row],[Birthweight (grams)]]/Table1[[#This Row],[BW_GA]])-1)/(Backend!$B$4/100*Table1[[#This Row],[BW40_3705]]),"")</f>
        <v/>
      </c>
      <c r="H5873" s="7" t="str">
        <f>IF(Table1[[#This Row],[Is Data Valid]]=TRUE,((Table1[[#This Row],[Birthweight (grams)]]*0.9/Table1[[#This Row],[BW_GA]])-1)/(Backend!$B$4/100*Table1[[#This Row],[BW40_3705]]),"")</f>
        <v/>
      </c>
      <c r="I5873" s="7" t="str">
        <f>IF(Table1[[#This Row],[Is Data Valid]]=TRUE,((Table1[[#This Row],[Birthweight (grams)]]*1.1/Table1[[#This Row],[BW_GA]])-1)/(Backend!$B$4/100*Table1[[#This Row],[BW40_3705]]),"")</f>
        <v/>
      </c>
      <c r="J5873" s="7" t="str">
        <f>IF(Table1[[#This Row],[Is Data Valid]]=TRUE,_xlfn.NORM.S.DIST(Table1[[#This Row],[Birthweight Z-Score]],TRUE)*100,"")</f>
        <v/>
      </c>
      <c r="K5873" s="7" t="str">
        <f>IF(Table1[[#This Row],[Is Data Valid]]=TRUE,_xlfn.NORM.S.DIST(Table1[[#This Row],[Birthweight Z-Score (BW-10%)]],TRUE)*100,"")</f>
        <v/>
      </c>
      <c r="L5873" s="7" t="str">
        <f>IF(Table1[[#This Row],[Is Data Valid]]=TRUE,_xlfn.NORM.S.DIST(Table1[[#This Row],[Birthweight Z-Score (BW+10%)]],TRUE)*100,"")</f>
        <v/>
      </c>
    </row>
    <row r="5874" spans="1:12" x14ac:dyDescent="0.35">
      <c r="A5874" s="3"/>
      <c r="B5874" s="2"/>
      <c r="C5874" s="2"/>
      <c r="D5874" s="2" t="b">
        <f>IF(AND(NOT(ISBLANK(Table1[[#This Row],[Fetal Sex (Male, Female or Unknown)]])),ISNUMBER(Table1[[#This Row],[Birthweight (grams)]]),ISNUMBER(Table1[[#This Row],[Gestation (days)]])),TRUE,FALSE)</f>
        <v>0</v>
      </c>
      <c r="E5874" s="2" t="str">
        <f>IF(Table1[[#This Row],[Is Data Valid]]=TRUE,IF(Table1[[#This Row],[Fetal Sex (Male, Female or Unknown)]]="Male",Backend!$C$6,IF(Table1[[#This Row],[Fetal Sex (Male, Female or Unknown)]]="Female",Backend!$C$7,IF(Table1[[#This Row],[Fetal Sex (Male, Female or Unknown)]]="Unknown",Backend!$C$8,"Error"))),"")</f>
        <v/>
      </c>
      <c r="F5874" s="8" t="str">
        <f>IF(Table1[[#This Row],[Is Data Valid]]=TRUE,EXP(0.578+0.332*((Table1[[#This Row],[Gestation (days)]]+0.5)/7)-0.00354*((Table1[[#This Row],[Gestation (days)]]+0.5)/7)^2)*Table1[[#This Row],[BW40_3705]],"")</f>
        <v/>
      </c>
      <c r="G5874" s="2" t="str">
        <f>IF(Table1[[#This Row],[Is Data Valid]]=TRUE,((Table1[[#This Row],[Birthweight (grams)]]/Table1[[#This Row],[BW_GA]])-1)/(Backend!$B$4/100*Table1[[#This Row],[BW40_3705]]),"")</f>
        <v/>
      </c>
      <c r="H5874" s="7" t="str">
        <f>IF(Table1[[#This Row],[Is Data Valid]]=TRUE,((Table1[[#This Row],[Birthweight (grams)]]*0.9/Table1[[#This Row],[BW_GA]])-1)/(Backend!$B$4/100*Table1[[#This Row],[BW40_3705]]),"")</f>
        <v/>
      </c>
      <c r="I5874" s="7" t="str">
        <f>IF(Table1[[#This Row],[Is Data Valid]]=TRUE,((Table1[[#This Row],[Birthweight (grams)]]*1.1/Table1[[#This Row],[BW_GA]])-1)/(Backend!$B$4/100*Table1[[#This Row],[BW40_3705]]),"")</f>
        <v/>
      </c>
      <c r="J5874" s="7" t="str">
        <f>IF(Table1[[#This Row],[Is Data Valid]]=TRUE,_xlfn.NORM.S.DIST(Table1[[#This Row],[Birthweight Z-Score]],TRUE)*100,"")</f>
        <v/>
      </c>
      <c r="K5874" s="7" t="str">
        <f>IF(Table1[[#This Row],[Is Data Valid]]=TRUE,_xlfn.NORM.S.DIST(Table1[[#This Row],[Birthweight Z-Score (BW-10%)]],TRUE)*100,"")</f>
        <v/>
      </c>
      <c r="L5874" s="7" t="str">
        <f>IF(Table1[[#This Row],[Is Data Valid]]=TRUE,_xlfn.NORM.S.DIST(Table1[[#This Row],[Birthweight Z-Score (BW+10%)]],TRUE)*100,"")</f>
        <v/>
      </c>
    </row>
    <row r="5875" spans="1:12" x14ac:dyDescent="0.35">
      <c r="A5875" s="3"/>
      <c r="B5875" s="2"/>
      <c r="C5875" s="2"/>
      <c r="D5875" s="2" t="b">
        <f>IF(AND(NOT(ISBLANK(Table1[[#This Row],[Fetal Sex (Male, Female or Unknown)]])),ISNUMBER(Table1[[#This Row],[Birthweight (grams)]]),ISNUMBER(Table1[[#This Row],[Gestation (days)]])),TRUE,FALSE)</f>
        <v>0</v>
      </c>
      <c r="E5875" s="2" t="str">
        <f>IF(Table1[[#This Row],[Is Data Valid]]=TRUE,IF(Table1[[#This Row],[Fetal Sex (Male, Female or Unknown)]]="Male",Backend!$C$6,IF(Table1[[#This Row],[Fetal Sex (Male, Female or Unknown)]]="Female",Backend!$C$7,IF(Table1[[#This Row],[Fetal Sex (Male, Female or Unknown)]]="Unknown",Backend!$C$8,"Error"))),"")</f>
        <v/>
      </c>
      <c r="F5875" s="8" t="str">
        <f>IF(Table1[[#This Row],[Is Data Valid]]=TRUE,EXP(0.578+0.332*((Table1[[#This Row],[Gestation (days)]]+0.5)/7)-0.00354*((Table1[[#This Row],[Gestation (days)]]+0.5)/7)^2)*Table1[[#This Row],[BW40_3705]],"")</f>
        <v/>
      </c>
      <c r="G5875" s="2" t="str">
        <f>IF(Table1[[#This Row],[Is Data Valid]]=TRUE,((Table1[[#This Row],[Birthweight (grams)]]/Table1[[#This Row],[BW_GA]])-1)/(Backend!$B$4/100*Table1[[#This Row],[BW40_3705]]),"")</f>
        <v/>
      </c>
      <c r="H5875" s="7" t="str">
        <f>IF(Table1[[#This Row],[Is Data Valid]]=TRUE,((Table1[[#This Row],[Birthweight (grams)]]*0.9/Table1[[#This Row],[BW_GA]])-1)/(Backend!$B$4/100*Table1[[#This Row],[BW40_3705]]),"")</f>
        <v/>
      </c>
      <c r="I5875" s="7" t="str">
        <f>IF(Table1[[#This Row],[Is Data Valid]]=TRUE,((Table1[[#This Row],[Birthweight (grams)]]*1.1/Table1[[#This Row],[BW_GA]])-1)/(Backend!$B$4/100*Table1[[#This Row],[BW40_3705]]),"")</f>
        <v/>
      </c>
      <c r="J5875" s="7" t="str">
        <f>IF(Table1[[#This Row],[Is Data Valid]]=TRUE,_xlfn.NORM.S.DIST(Table1[[#This Row],[Birthweight Z-Score]],TRUE)*100,"")</f>
        <v/>
      </c>
      <c r="K5875" s="7" t="str">
        <f>IF(Table1[[#This Row],[Is Data Valid]]=TRUE,_xlfn.NORM.S.DIST(Table1[[#This Row],[Birthweight Z-Score (BW-10%)]],TRUE)*100,"")</f>
        <v/>
      </c>
      <c r="L5875" s="7" t="str">
        <f>IF(Table1[[#This Row],[Is Data Valid]]=TRUE,_xlfn.NORM.S.DIST(Table1[[#This Row],[Birthweight Z-Score (BW+10%)]],TRUE)*100,"")</f>
        <v/>
      </c>
    </row>
    <row r="5876" spans="1:12" x14ac:dyDescent="0.35">
      <c r="A5876" s="3"/>
      <c r="B5876" s="2"/>
      <c r="C5876" s="2"/>
      <c r="D5876" s="2" t="b">
        <f>IF(AND(NOT(ISBLANK(Table1[[#This Row],[Fetal Sex (Male, Female or Unknown)]])),ISNUMBER(Table1[[#This Row],[Birthweight (grams)]]),ISNUMBER(Table1[[#This Row],[Gestation (days)]])),TRUE,FALSE)</f>
        <v>0</v>
      </c>
      <c r="E5876" s="2" t="str">
        <f>IF(Table1[[#This Row],[Is Data Valid]]=TRUE,IF(Table1[[#This Row],[Fetal Sex (Male, Female or Unknown)]]="Male",Backend!$C$6,IF(Table1[[#This Row],[Fetal Sex (Male, Female or Unknown)]]="Female",Backend!$C$7,IF(Table1[[#This Row],[Fetal Sex (Male, Female or Unknown)]]="Unknown",Backend!$C$8,"Error"))),"")</f>
        <v/>
      </c>
      <c r="F5876" s="8" t="str">
        <f>IF(Table1[[#This Row],[Is Data Valid]]=TRUE,EXP(0.578+0.332*((Table1[[#This Row],[Gestation (days)]]+0.5)/7)-0.00354*((Table1[[#This Row],[Gestation (days)]]+0.5)/7)^2)*Table1[[#This Row],[BW40_3705]],"")</f>
        <v/>
      </c>
      <c r="G5876" s="2" t="str">
        <f>IF(Table1[[#This Row],[Is Data Valid]]=TRUE,((Table1[[#This Row],[Birthweight (grams)]]/Table1[[#This Row],[BW_GA]])-1)/(Backend!$B$4/100*Table1[[#This Row],[BW40_3705]]),"")</f>
        <v/>
      </c>
      <c r="H5876" s="7" t="str">
        <f>IF(Table1[[#This Row],[Is Data Valid]]=TRUE,((Table1[[#This Row],[Birthweight (grams)]]*0.9/Table1[[#This Row],[BW_GA]])-1)/(Backend!$B$4/100*Table1[[#This Row],[BW40_3705]]),"")</f>
        <v/>
      </c>
      <c r="I5876" s="7" t="str">
        <f>IF(Table1[[#This Row],[Is Data Valid]]=TRUE,((Table1[[#This Row],[Birthweight (grams)]]*1.1/Table1[[#This Row],[BW_GA]])-1)/(Backend!$B$4/100*Table1[[#This Row],[BW40_3705]]),"")</f>
        <v/>
      </c>
      <c r="J5876" s="7" t="str">
        <f>IF(Table1[[#This Row],[Is Data Valid]]=TRUE,_xlfn.NORM.S.DIST(Table1[[#This Row],[Birthweight Z-Score]],TRUE)*100,"")</f>
        <v/>
      </c>
      <c r="K5876" s="7" t="str">
        <f>IF(Table1[[#This Row],[Is Data Valid]]=TRUE,_xlfn.NORM.S.DIST(Table1[[#This Row],[Birthweight Z-Score (BW-10%)]],TRUE)*100,"")</f>
        <v/>
      </c>
      <c r="L5876" s="7" t="str">
        <f>IF(Table1[[#This Row],[Is Data Valid]]=TRUE,_xlfn.NORM.S.DIST(Table1[[#This Row],[Birthweight Z-Score (BW+10%)]],TRUE)*100,"")</f>
        <v/>
      </c>
    </row>
    <row r="5877" spans="1:12" x14ac:dyDescent="0.35">
      <c r="A5877" s="3"/>
      <c r="B5877" s="2"/>
      <c r="C5877" s="2"/>
      <c r="D5877" s="2" t="b">
        <f>IF(AND(NOT(ISBLANK(Table1[[#This Row],[Fetal Sex (Male, Female or Unknown)]])),ISNUMBER(Table1[[#This Row],[Birthweight (grams)]]),ISNUMBER(Table1[[#This Row],[Gestation (days)]])),TRUE,FALSE)</f>
        <v>0</v>
      </c>
      <c r="E5877" s="2" t="str">
        <f>IF(Table1[[#This Row],[Is Data Valid]]=TRUE,IF(Table1[[#This Row],[Fetal Sex (Male, Female or Unknown)]]="Male",Backend!$C$6,IF(Table1[[#This Row],[Fetal Sex (Male, Female or Unknown)]]="Female",Backend!$C$7,IF(Table1[[#This Row],[Fetal Sex (Male, Female or Unknown)]]="Unknown",Backend!$C$8,"Error"))),"")</f>
        <v/>
      </c>
      <c r="F5877" s="8" t="str">
        <f>IF(Table1[[#This Row],[Is Data Valid]]=TRUE,EXP(0.578+0.332*((Table1[[#This Row],[Gestation (days)]]+0.5)/7)-0.00354*((Table1[[#This Row],[Gestation (days)]]+0.5)/7)^2)*Table1[[#This Row],[BW40_3705]],"")</f>
        <v/>
      </c>
      <c r="G5877" s="2" t="str">
        <f>IF(Table1[[#This Row],[Is Data Valid]]=TRUE,((Table1[[#This Row],[Birthweight (grams)]]/Table1[[#This Row],[BW_GA]])-1)/(Backend!$B$4/100*Table1[[#This Row],[BW40_3705]]),"")</f>
        <v/>
      </c>
      <c r="H5877" s="7" t="str">
        <f>IF(Table1[[#This Row],[Is Data Valid]]=TRUE,((Table1[[#This Row],[Birthweight (grams)]]*0.9/Table1[[#This Row],[BW_GA]])-1)/(Backend!$B$4/100*Table1[[#This Row],[BW40_3705]]),"")</f>
        <v/>
      </c>
      <c r="I5877" s="7" t="str">
        <f>IF(Table1[[#This Row],[Is Data Valid]]=TRUE,((Table1[[#This Row],[Birthweight (grams)]]*1.1/Table1[[#This Row],[BW_GA]])-1)/(Backend!$B$4/100*Table1[[#This Row],[BW40_3705]]),"")</f>
        <v/>
      </c>
      <c r="J5877" s="7" t="str">
        <f>IF(Table1[[#This Row],[Is Data Valid]]=TRUE,_xlfn.NORM.S.DIST(Table1[[#This Row],[Birthweight Z-Score]],TRUE)*100,"")</f>
        <v/>
      </c>
      <c r="K5877" s="7" t="str">
        <f>IF(Table1[[#This Row],[Is Data Valid]]=TRUE,_xlfn.NORM.S.DIST(Table1[[#This Row],[Birthweight Z-Score (BW-10%)]],TRUE)*100,"")</f>
        <v/>
      </c>
      <c r="L5877" s="7" t="str">
        <f>IF(Table1[[#This Row],[Is Data Valid]]=TRUE,_xlfn.NORM.S.DIST(Table1[[#This Row],[Birthweight Z-Score (BW+10%)]],TRUE)*100,"")</f>
        <v/>
      </c>
    </row>
    <row r="5878" spans="1:12" x14ac:dyDescent="0.35">
      <c r="A5878" s="3"/>
      <c r="B5878" s="2"/>
      <c r="C5878" s="2"/>
      <c r="D5878" s="2" t="b">
        <f>IF(AND(NOT(ISBLANK(Table1[[#This Row],[Fetal Sex (Male, Female or Unknown)]])),ISNUMBER(Table1[[#This Row],[Birthweight (grams)]]),ISNUMBER(Table1[[#This Row],[Gestation (days)]])),TRUE,FALSE)</f>
        <v>0</v>
      </c>
      <c r="E5878" s="2" t="str">
        <f>IF(Table1[[#This Row],[Is Data Valid]]=TRUE,IF(Table1[[#This Row],[Fetal Sex (Male, Female or Unknown)]]="Male",Backend!$C$6,IF(Table1[[#This Row],[Fetal Sex (Male, Female or Unknown)]]="Female",Backend!$C$7,IF(Table1[[#This Row],[Fetal Sex (Male, Female or Unknown)]]="Unknown",Backend!$C$8,"Error"))),"")</f>
        <v/>
      </c>
      <c r="F5878" s="8" t="str">
        <f>IF(Table1[[#This Row],[Is Data Valid]]=TRUE,EXP(0.578+0.332*((Table1[[#This Row],[Gestation (days)]]+0.5)/7)-0.00354*((Table1[[#This Row],[Gestation (days)]]+0.5)/7)^2)*Table1[[#This Row],[BW40_3705]],"")</f>
        <v/>
      </c>
      <c r="G5878" s="2" t="str">
        <f>IF(Table1[[#This Row],[Is Data Valid]]=TRUE,((Table1[[#This Row],[Birthweight (grams)]]/Table1[[#This Row],[BW_GA]])-1)/(Backend!$B$4/100*Table1[[#This Row],[BW40_3705]]),"")</f>
        <v/>
      </c>
      <c r="H5878" s="7" t="str">
        <f>IF(Table1[[#This Row],[Is Data Valid]]=TRUE,((Table1[[#This Row],[Birthweight (grams)]]*0.9/Table1[[#This Row],[BW_GA]])-1)/(Backend!$B$4/100*Table1[[#This Row],[BW40_3705]]),"")</f>
        <v/>
      </c>
      <c r="I5878" s="7" t="str">
        <f>IF(Table1[[#This Row],[Is Data Valid]]=TRUE,((Table1[[#This Row],[Birthweight (grams)]]*1.1/Table1[[#This Row],[BW_GA]])-1)/(Backend!$B$4/100*Table1[[#This Row],[BW40_3705]]),"")</f>
        <v/>
      </c>
      <c r="J5878" s="7" t="str">
        <f>IF(Table1[[#This Row],[Is Data Valid]]=TRUE,_xlfn.NORM.S.DIST(Table1[[#This Row],[Birthweight Z-Score]],TRUE)*100,"")</f>
        <v/>
      </c>
      <c r="K5878" s="7" t="str">
        <f>IF(Table1[[#This Row],[Is Data Valid]]=TRUE,_xlfn.NORM.S.DIST(Table1[[#This Row],[Birthweight Z-Score (BW-10%)]],TRUE)*100,"")</f>
        <v/>
      </c>
      <c r="L5878" s="7" t="str">
        <f>IF(Table1[[#This Row],[Is Data Valid]]=TRUE,_xlfn.NORM.S.DIST(Table1[[#This Row],[Birthweight Z-Score (BW+10%)]],TRUE)*100,"")</f>
        <v/>
      </c>
    </row>
    <row r="5879" spans="1:12" x14ac:dyDescent="0.35">
      <c r="A5879" s="3"/>
      <c r="B5879" s="2"/>
      <c r="C5879" s="2"/>
      <c r="D5879" s="2" t="b">
        <f>IF(AND(NOT(ISBLANK(Table1[[#This Row],[Fetal Sex (Male, Female or Unknown)]])),ISNUMBER(Table1[[#This Row],[Birthweight (grams)]]),ISNUMBER(Table1[[#This Row],[Gestation (days)]])),TRUE,FALSE)</f>
        <v>0</v>
      </c>
      <c r="E5879" s="2" t="str">
        <f>IF(Table1[[#This Row],[Is Data Valid]]=TRUE,IF(Table1[[#This Row],[Fetal Sex (Male, Female or Unknown)]]="Male",Backend!$C$6,IF(Table1[[#This Row],[Fetal Sex (Male, Female or Unknown)]]="Female",Backend!$C$7,IF(Table1[[#This Row],[Fetal Sex (Male, Female or Unknown)]]="Unknown",Backend!$C$8,"Error"))),"")</f>
        <v/>
      </c>
      <c r="F5879" s="8" t="str">
        <f>IF(Table1[[#This Row],[Is Data Valid]]=TRUE,EXP(0.578+0.332*((Table1[[#This Row],[Gestation (days)]]+0.5)/7)-0.00354*((Table1[[#This Row],[Gestation (days)]]+0.5)/7)^2)*Table1[[#This Row],[BW40_3705]],"")</f>
        <v/>
      </c>
      <c r="G5879" s="2" t="str">
        <f>IF(Table1[[#This Row],[Is Data Valid]]=TRUE,((Table1[[#This Row],[Birthweight (grams)]]/Table1[[#This Row],[BW_GA]])-1)/(Backend!$B$4/100*Table1[[#This Row],[BW40_3705]]),"")</f>
        <v/>
      </c>
      <c r="H5879" s="7" t="str">
        <f>IF(Table1[[#This Row],[Is Data Valid]]=TRUE,((Table1[[#This Row],[Birthweight (grams)]]*0.9/Table1[[#This Row],[BW_GA]])-1)/(Backend!$B$4/100*Table1[[#This Row],[BW40_3705]]),"")</f>
        <v/>
      </c>
      <c r="I5879" s="7" t="str">
        <f>IF(Table1[[#This Row],[Is Data Valid]]=TRUE,((Table1[[#This Row],[Birthweight (grams)]]*1.1/Table1[[#This Row],[BW_GA]])-1)/(Backend!$B$4/100*Table1[[#This Row],[BW40_3705]]),"")</f>
        <v/>
      </c>
      <c r="J5879" s="7" t="str">
        <f>IF(Table1[[#This Row],[Is Data Valid]]=TRUE,_xlfn.NORM.S.DIST(Table1[[#This Row],[Birthweight Z-Score]],TRUE)*100,"")</f>
        <v/>
      </c>
      <c r="K5879" s="7" t="str">
        <f>IF(Table1[[#This Row],[Is Data Valid]]=TRUE,_xlfn.NORM.S.DIST(Table1[[#This Row],[Birthweight Z-Score (BW-10%)]],TRUE)*100,"")</f>
        <v/>
      </c>
      <c r="L5879" s="7" t="str">
        <f>IF(Table1[[#This Row],[Is Data Valid]]=TRUE,_xlfn.NORM.S.DIST(Table1[[#This Row],[Birthweight Z-Score (BW+10%)]],TRUE)*100,"")</f>
        <v/>
      </c>
    </row>
    <row r="5880" spans="1:12" x14ac:dyDescent="0.35">
      <c r="A5880" s="3"/>
      <c r="B5880" s="2"/>
      <c r="C5880" s="2"/>
      <c r="D5880" s="2" t="b">
        <f>IF(AND(NOT(ISBLANK(Table1[[#This Row],[Fetal Sex (Male, Female or Unknown)]])),ISNUMBER(Table1[[#This Row],[Birthweight (grams)]]),ISNUMBER(Table1[[#This Row],[Gestation (days)]])),TRUE,FALSE)</f>
        <v>0</v>
      </c>
      <c r="E5880" s="2" t="str">
        <f>IF(Table1[[#This Row],[Is Data Valid]]=TRUE,IF(Table1[[#This Row],[Fetal Sex (Male, Female or Unknown)]]="Male",Backend!$C$6,IF(Table1[[#This Row],[Fetal Sex (Male, Female or Unknown)]]="Female",Backend!$C$7,IF(Table1[[#This Row],[Fetal Sex (Male, Female or Unknown)]]="Unknown",Backend!$C$8,"Error"))),"")</f>
        <v/>
      </c>
      <c r="F5880" s="8" t="str">
        <f>IF(Table1[[#This Row],[Is Data Valid]]=TRUE,EXP(0.578+0.332*((Table1[[#This Row],[Gestation (days)]]+0.5)/7)-0.00354*((Table1[[#This Row],[Gestation (days)]]+0.5)/7)^2)*Table1[[#This Row],[BW40_3705]],"")</f>
        <v/>
      </c>
      <c r="G5880" s="2" t="str">
        <f>IF(Table1[[#This Row],[Is Data Valid]]=TRUE,((Table1[[#This Row],[Birthweight (grams)]]/Table1[[#This Row],[BW_GA]])-1)/(Backend!$B$4/100*Table1[[#This Row],[BW40_3705]]),"")</f>
        <v/>
      </c>
      <c r="H5880" s="7" t="str">
        <f>IF(Table1[[#This Row],[Is Data Valid]]=TRUE,((Table1[[#This Row],[Birthweight (grams)]]*0.9/Table1[[#This Row],[BW_GA]])-1)/(Backend!$B$4/100*Table1[[#This Row],[BW40_3705]]),"")</f>
        <v/>
      </c>
      <c r="I5880" s="7" t="str">
        <f>IF(Table1[[#This Row],[Is Data Valid]]=TRUE,((Table1[[#This Row],[Birthweight (grams)]]*1.1/Table1[[#This Row],[BW_GA]])-1)/(Backend!$B$4/100*Table1[[#This Row],[BW40_3705]]),"")</f>
        <v/>
      </c>
      <c r="J5880" s="7" t="str">
        <f>IF(Table1[[#This Row],[Is Data Valid]]=TRUE,_xlfn.NORM.S.DIST(Table1[[#This Row],[Birthweight Z-Score]],TRUE)*100,"")</f>
        <v/>
      </c>
      <c r="K5880" s="7" t="str">
        <f>IF(Table1[[#This Row],[Is Data Valid]]=TRUE,_xlfn.NORM.S.DIST(Table1[[#This Row],[Birthweight Z-Score (BW-10%)]],TRUE)*100,"")</f>
        <v/>
      </c>
      <c r="L5880" s="7" t="str">
        <f>IF(Table1[[#This Row],[Is Data Valid]]=TRUE,_xlfn.NORM.S.DIST(Table1[[#This Row],[Birthweight Z-Score (BW+10%)]],TRUE)*100,"")</f>
        <v/>
      </c>
    </row>
    <row r="5881" spans="1:12" x14ac:dyDescent="0.35">
      <c r="A5881" s="3"/>
      <c r="B5881" s="2"/>
      <c r="C5881" s="2"/>
      <c r="D5881" s="2" t="b">
        <f>IF(AND(NOT(ISBLANK(Table1[[#This Row],[Fetal Sex (Male, Female or Unknown)]])),ISNUMBER(Table1[[#This Row],[Birthweight (grams)]]),ISNUMBER(Table1[[#This Row],[Gestation (days)]])),TRUE,FALSE)</f>
        <v>0</v>
      </c>
      <c r="E5881" s="2" t="str">
        <f>IF(Table1[[#This Row],[Is Data Valid]]=TRUE,IF(Table1[[#This Row],[Fetal Sex (Male, Female or Unknown)]]="Male",Backend!$C$6,IF(Table1[[#This Row],[Fetal Sex (Male, Female or Unknown)]]="Female",Backend!$C$7,IF(Table1[[#This Row],[Fetal Sex (Male, Female or Unknown)]]="Unknown",Backend!$C$8,"Error"))),"")</f>
        <v/>
      </c>
      <c r="F5881" s="8" t="str">
        <f>IF(Table1[[#This Row],[Is Data Valid]]=TRUE,EXP(0.578+0.332*((Table1[[#This Row],[Gestation (days)]]+0.5)/7)-0.00354*((Table1[[#This Row],[Gestation (days)]]+0.5)/7)^2)*Table1[[#This Row],[BW40_3705]],"")</f>
        <v/>
      </c>
      <c r="G5881" s="2" t="str">
        <f>IF(Table1[[#This Row],[Is Data Valid]]=TRUE,((Table1[[#This Row],[Birthweight (grams)]]/Table1[[#This Row],[BW_GA]])-1)/(Backend!$B$4/100*Table1[[#This Row],[BW40_3705]]),"")</f>
        <v/>
      </c>
      <c r="H5881" s="7" t="str">
        <f>IF(Table1[[#This Row],[Is Data Valid]]=TRUE,((Table1[[#This Row],[Birthweight (grams)]]*0.9/Table1[[#This Row],[BW_GA]])-1)/(Backend!$B$4/100*Table1[[#This Row],[BW40_3705]]),"")</f>
        <v/>
      </c>
      <c r="I5881" s="7" t="str">
        <f>IF(Table1[[#This Row],[Is Data Valid]]=TRUE,((Table1[[#This Row],[Birthweight (grams)]]*1.1/Table1[[#This Row],[BW_GA]])-1)/(Backend!$B$4/100*Table1[[#This Row],[BW40_3705]]),"")</f>
        <v/>
      </c>
      <c r="J5881" s="7" t="str">
        <f>IF(Table1[[#This Row],[Is Data Valid]]=TRUE,_xlfn.NORM.S.DIST(Table1[[#This Row],[Birthweight Z-Score]],TRUE)*100,"")</f>
        <v/>
      </c>
      <c r="K5881" s="7" t="str">
        <f>IF(Table1[[#This Row],[Is Data Valid]]=TRUE,_xlfn.NORM.S.DIST(Table1[[#This Row],[Birthweight Z-Score (BW-10%)]],TRUE)*100,"")</f>
        <v/>
      </c>
      <c r="L5881" s="7" t="str">
        <f>IF(Table1[[#This Row],[Is Data Valid]]=TRUE,_xlfn.NORM.S.DIST(Table1[[#This Row],[Birthweight Z-Score (BW+10%)]],TRUE)*100,"")</f>
        <v/>
      </c>
    </row>
    <row r="5882" spans="1:12" x14ac:dyDescent="0.35">
      <c r="A5882" s="3"/>
      <c r="B5882" s="2"/>
      <c r="C5882" s="2"/>
      <c r="D5882" s="2" t="b">
        <f>IF(AND(NOT(ISBLANK(Table1[[#This Row],[Fetal Sex (Male, Female or Unknown)]])),ISNUMBER(Table1[[#This Row],[Birthweight (grams)]]),ISNUMBER(Table1[[#This Row],[Gestation (days)]])),TRUE,FALSE)</f>
        <v>0</v>
      </c>
      <c r="E5882" s="2" t="str">
        <f>IF(Table1[[#This Row],[Is Data Valid]]=TRUE,IF(Table1[[#This Row],[Fetal Sex (Male, Female or Unknown)]]="Male",Backend!$C$6,IF(Table1[[#This Row],[Fetal Sex (Male, Female or Unknown)]]="Female",Backend!$C$7,IF(Table1[[#This Row],[Fetal Sex (Male, Female or Unknown)]]="Unknown",Backend!$C$8,"Error"))),"")</f>
        <v/>
      </c>
      <c r="F5882" s="8" t="str">
        <f>IF(Table1[[#This Row],[Is Data Valid]]=TRUE,EXP(0.578+0.332*((Table1[[#This Row],[Gestation (days)]]+0.5)/7)-0.00354*((Table1[[#This Row],[Gestation (days)]]+0.5)/7)^2)*Table1[[#This Row],[BW40_3705]],"")</f>
        <v/>
      </c>
      <c r="G5882" s="2" t="str">
        <f>IF(Table1[[#This Row],[Is Data Valid]]=TRUE,((Table1[[#This Row],[Birthweight (grams)]]/Table1[[#This Row],[BW_GA]])-1)/(Backend!$B$4/100*Table1[[#This Row],[BW40_3705]]),"")</f>
        <v/>
      </c>
      <c r="H5882" s="7" t="str">
        <f>IF(Table1[[#This Row],[Is Data Valid]]=TRUE,((Table1[[#This Row],[Birthweight (grams)]]*0.9/Table1[[#This Row],[BW_GA]])-1)/(Backend!$B$4/100*Table1[[#This Row],[BW40_3705]]),"")</f>
        <v/>
      </c>
      <c r="I5882" s="7" t="str">
        <f>IF(Table1[[#This Row],[Is Data Valid]]=TRUE,((Table1[[#This Row],[Birthweight (grams)]]*1.1/Table1[[#This Row],[BW_GA]])-1)/(Backend!$B$4/100*Table1[[#This Row],[BW40_3705]]),"")</f>
        <v/>
      </c>
      <c r="J5882" s="7" t="str">
        <f>IF(Table1[[#This Row],[Is Data Valid]]=TRUE,_xlfn.NORM.S.DIST(Table1[[#This Row],[Birthweight Z-Score]],TRUE)*100,"")</f>
        <v/>
      </c>
      <c r="K5882" s="7" t="str">
        <f>IF(Table1[[#This Row],[Is Data Valid]]=TRUE,_xlfn.NORM.S.DIST(Table1[[#This Row],[Birthweight Z-Score (BW-10%)]],TRUE)*100,"")</f>
        <v/>
      </c>
      <c r="L5882" s="7" t="str">
        <f>IF(Table1[[#This Row],[Is Data Valid]]=TRUE,_xlfn.NORM.S.DIST(Table1[[#This Row],[Birthweight Z-Score (BW+10%)]],TRUE)*100,"")</f>
        <v/>
      </c>
    </row>
    <row r="5883" spans="1:12" x14ac:dyDescent="0.35">
      <c r="A5883" s="3"/>
      <c r="B5883" s="2"/>
      <c r="C5883" s="2"/>
      <c r="D5883" s="2" t="b">
        <f>IF(AND(NOT(ISBLANK(Table1[[#This Row],[Fetal Sex (Male, Female or Unknown)]])),ISNUMBER(Table1[[#This Row],[Birthweight (grams)]]),ISNUMBER(Table1[[#This Row],[Gestation (days)]])),TRUE,FALSE)</f>
        <v>0</v>
      </c>
      <c r="E5883" s="2" t="str">
        <f>IF(Table1[[#This Row],[Is Data Valid]]=TRUE,IF(Table1[[#This Row],[Fetal Sex (Male, Female or Unknown)]]="Male",Backend!$C$6,IF(Table1[[#This Row],[Fetal Sex (Male, Female or Unknown)]]="Female",Backend!$C$7,IF(Table1[[#This Row],[Fetal Sex (Male, Female or Unknown)]]="Unknown",Backend!$C$8,"Error"))),"")</f>
        <v/>
      </c>
      <c r="F5883" s="8" t="str">
        <f>IF(Table1[[#This Row],[Is Data Valid]]=TRUE,EXP(0.578+0.332*((Table1[[#This Row],[Gestation (days)]]+0.5)/7)-0.00354*((Table1[[#This Row],[Gestation (days)]]+0.5)/7)^2)*Table1[[#This Row],[BW40_3705]],"")</f>
        <v/>
      </c>
      <c r="G5883" s="2" t="str">
        <f>IF(Table1[[#This Row],[Is Data Valid]]=TRUE,((Table1[[#This Row],[Birthweight (grams)]]/Table1[[#This Row],[BW_GA]])-1)/(Backend!$B$4/100*Table1[[#This Row],[BW40_3705]]),"")</f>
        <v/>
      </c>
      <c r="H5883" s="7" t="str">
        <f>IF(Table1[[#This Row],[Is Data Valid]]=TRUE,((Table1[[#This Row],[Birthweight (grams)]]*0.9/Table1[[#This Row],[BW_GA]])-1)/(Backend!$B$4/100*Table1[[#This Row],[BW40_3705]]),"")</f>
        <v/>
      </c>
      <c r="I5883" s="7" t="str">
        <f>IF(Table1[[#This Row],[Is Data Valid]]=TRUE,((Table1[[#This Row],[Birthweight (grams)]]*1.1/Table1[[#This Row],[BW_GA]])-1)/(Backend!$B$4/100*Table1[[#This Row],[BW40_3705]]),"")</f>
        <v/>
      </c>
      <c r="J5883" s="7" t="str">
        <f>IF(Table1[[#This Row],[Is Data Valid]]=TRUE,_xlfn.NORM.S.DIST(Table1[[#This Row],[Birthweight Z-Score]],TRUE)*100,"")</f>
        <v/>
      </c>
      <c r="K5883" s="7" t="str">
        <f>IF(Table1[[#This Row],[Is Data Valid]]=TRUE,_xlfn.NORM.S.DIST(Table1[[#This Row],[Birthweight Z-Score (BW-10%)]],TRUE)*100,"")</f>
        <v/>
      </c>
      <c r="L5883" s="7" t="str">
        <f>IF(Table1[[#This Row],[Is Data Valid]]=TRUE,_xlfn.NORM.S.DIST(Table1[[#This Row],[Birthweight Z-Score (BW+10%)]],TRUE)*100,"")</f>
        <v/>
      </c>
    </row>
    <row r="5884" spans="1:12" x14ac:dyDescent="0.35">
      <c r="A5884" s="3"/>
      <c r="B5884" s="2"/>
      <c r="C5884" s="2"/>
      <c r="D5884" s="2" t="b">
        <f>IF(AND(NOT(ISBLANK(Table1[[#This Row],[Fetal Sex (Male, Female or Unknown)]])),ISNUMBER(Table1[[#This Row],[Birthweight (grams)]]),ISNUMBER(Table1[[#This Row],[Gestation (days)]])),TRUE,FALSE)</f>
        <v>0</v>
      </c>
      <c r="E5884" s="2" t="str">
        <f>IF(Table1[[#This Row],[Is Data Valid]]=TRUE,IF(Table1[[#This Row],[Fetal Sex (Male, Female or Unknown)]]="Male",Backend!$C$6,IF(Table1[[#This Row],[Fetal Sex (Male, Female or Unknown)]]="Female",Backend!$C$7,IF(Table1[[#This Row],[Fetal Sex (Male, Female or Unknown)]]="Unknown",Backend!$C$8,"Error"))),"")</f>
        <v/>
      </c>
      <c r="F5884" s="8" t="str">
        <f>IF(Table1[[#This Row],[Is Data Valid]]=TRUE,EXP(0.578+0.332*((Table1[[#This Row],[Gestation (days)]]+0.5)/7)-0.00354*((Table1[[#This Row],[Gestation (days)]]+0.5)/7)^2)*Table1[[#This Row],[BW40_3705]],"")</f>
        <v/>
      </c>
      <c r="G5884" s="2" t="str">
        <f>IF(Table1[[#This Row],[Is Data Valid]]=TRUE,((Table1[[#This Row],[Birthweight (grams)]]/Table1[[#This Row],[BW_GA]])-1)/(Backend!$B$4/100*Table1[[#This Row],[BW40_3705]]),"")</f>
        <v/>
      </c>
      <c r="H5884" s="7" t="str">
        <f>IF(Table1[[#This Row],[Is Data Valid]]=TRUE,((Table1[[#This Row],[Birthweight (grams)]]*0.9/Table1[[#This Row],[BW_GA]])-1)/(Backend!$B$4/100*Table1[[#This Row],[BW40_3705]]),"")</f>
        <v/>
      </c>
      <c r="I5884" s="7" t="str">
        <f>IF(Table1[[#This Row],[Is Data Valid]]=TRUE,((Table1[[#This Row],[Birthweight (grams)]]*1.1/Table1[[#This Row],[BW_GA]])-1)/(Backend!$B$4/100*Table1[[#This Row],[BW40_3705]]),"")</f>
        <v/>
      </c>
      <c r="J5884" s="7" t="str">
        <f>IF(Table1[[#This Row],[Is Data Valid]]=TRUE,_xlfn.NORM.S.DIST(Table1[[#This Row],[Birthweight Z-Score]],TRUE)*100,"")</f>
        <v/>
      </c>
      <c r="K5884" s="7" t="str">
        <f>IF(Table1[[#This Row],[Is Data Valid]]=TRUE,_xlfn.NORM.S.DIST(Table1[[#This Row],[Birthweight Z-Score (BW-10%)]],TRUE)*100,"")</f>
        <v/>
      </c>
      <c r="L5884" s="7" t="str">
        <f>IF(Table1[[#This Row],[Is Data Valid]]=TRUE,_xlfn.NORM.S.DIST(Table1[[#This Row],[Birthweight Z-Score (BW+10%)]],TRUE)*100,"")</f>
        <v/>
      </c>
    </row>
    <row r="5885" spans="1:12" x14ac:dyDescent="0.35">
      <c r="A5885" s="3"/>
      <c r="B5885" s="2"/>
      <c r="C5885" s="2"/>
      <c r="D5885" s="2" t="b">
        <f>IF(AND(NOT(ISBLANK(Table1[[#This Row],[Fetal Sex (Male, Female or Unknown)]])),ISNUMBER(Table1[[#This Row],[Birthweight (grams)]]),ISNUMBER(Table1[[#This Row],[Gestation (days)]])),TRUE,FALSE)</f>
        <v>0</v>
      </c>
      <c r="E5885" s="2" t="str">
        <f>IF(Table1[[#This Row],[Is Data Valid]]=TRUE,IF(Table1[[#This Row],[Fetal Sex (Male, Female or Unknown)]]="Male",Backend!$C$6,IF(Table1[[#This Row],[Fetal Sex (Male, Female or Unknown)]]="Female",Backend!$C$7,IF(Table1[[#This Row],[Fetal Sex (Male, Female or Unknown)]]="Unknown",Backend!$C$8,"Error"))),"")</f>
        <v/>
      </c>
      <c r="F5885" s="8" t="str">
        <f>IF(Table1[[#This Row],[Is Data Valid]]=TRUE,EXP(0.578+0.332*((Table1[[#This Row],[Gestation (days)]]+0.5)/7)-0.00354*((Table1[[#This Row],[Gestation (days)]]+0.5)/7)^2)*Table1[[#This Row],[BW40_3705]],"")</f>
        <v/>
      </c>
      <c r="G5885" s="2" t="str">
        <f>IF(Table1[[#This Row],[Is Data Valid]]=TRUE,((Table1[[#This Row],[Birthweight (grams)]]/Table1[[#This Row],[BW_GA]])-1)/(Backend!$B$4/100*Table1[[#This Row],[BW40_3705]]),"")</f>
        <v/>
      </c>
      <c r="H5885" s="7" t="str">
        <f>IF(Table1[[#This Row],[Is Data Valid]]=TRUE,((Table1[[#This Row],[Birthweight (grams)]]*0.9/Table1[[#This Row],[BW_GA]])-1)/(Backend!$B$4/100*Table1[[#This Row],[BW40_3705]]),"")</f>
        <v/>
      </c>
      <c r="I5885" s="7" t="str">
        <f>IF(Table1[[#This Row],[Is Data Valid]]=TRUE,((Table1[[#This Row],[Birthweight (grams)]]*1.1/Table1[[#This Row],[BW_GA]])-1)/(Backend!$B$4/100*Table1[[#This Row],[BW40_3705]]),"")</f>
        <v/>
      </c>
      <c r="J5885" s="7" t="str">
        <f>IF(Table1[[#This Row],[Is Data Valid]]=TRUE,_xlfn.NORM.S.DIST(Table1[[#This Row],[Birthweight Z-Score]],TRUE)*100,"")</f>
        <v/>
      </c>
      <c r="K5885" s="7" t="str">
        <f>IF(Table1[[#This Row],[Is Data Valid]]=TRUE,_xlfn.NORM.S.DIST(Table1[[#This Row],[Birthweight Z-Score (BW-10%)]],TRUE)*100,"")</f>
        <v/>
      </c>
      <c r="L5885" s="7" t="str">
        <f>IF(Table1[[#This Row],[Is Data Valid]]=TRUE,_xlfn.NORM.S.DIST(Table1[[#This Row],[Birthweight Z-Score (BW+10%)]],TRUE)*100,"")</f>
        <v/>
      </c>
    </row>
    <row r="5886" spans="1:12" x14ac:dyDescent="0.35">
      <c r="A5886" s="3"/>
      <c r="B5886" s="2"/>
      <c r="C5886" s="2"/>
      <c r="D5886" s="2" t="b">
        <f>IF(AND(NOT(ISBLANK(Table1[[#This Row],[Fetal Sex (Male, Female or Unknown)]])),ISNUMBER(Table1[[#This Row],[Birthweight (grams)]]),ISNUMBER(Table1[[#This Row],[Gestation (days)]])),TRUE,FALSE)</f>
        <v>0</v>
      </c>
      <c r="E5886" s="2" t="str">
        <f>IF(Table1[[#This Row],[Is Data Valid]]=TRUE,IF(Table1[[#This Row],[Fetal Sex (Male, Female or Unknown)]]="Male",Backend!$C$6,IF(Table1[[#This Row],[Fetal Sex (Male, Female or Unknown)]]="Female",Backend!$C$7,IF(Table1[[#This Row],[Fetal Sex (Male, Female or Unknown)]]="Unknown",Backend!$C$8,"Error"))),"")</f>
        <v/>
      </c>
      <c r="F5886" s="8" t="str">
        <f>IF(Table1[[#This Row],[Is Data Valid]]=TRUE,EXP(0.578+0.332*((Table1[[#This Row],[Gestation (days)]]+0.5)/7)-0.00354*((Table1[[#This Row],[Gestation (days)]]+0.5)/7)^2)*Table1[[#This Row],[BW40_3705]],"")</f>
        <v/>
      </c>
      <c r="G5886" s="2" t="str">
        <f>IF(Table1[[#This Row],[Is Data Valid]]=TRUE,((Table1[[#This Row],[Birthweight (grams)]]/Table1[[#This Row],[BW_GA]])-1)/(Backend!$B$4/100*Table1[[#This Row],[BW40_3705]]),"")</f>
        <v/>
      </c>
      <c r="H5886" s="7" t="str">
        <f>IF(Table1[[#This Row],[Is Data Valid]]=TRUE,((Table1[[#This Row],[Birthweight (grams)]]*0.9/Table1[[#This Row],[BW_GA]])-1)/(Backend!$B$4/100*Table1[[#This Row],[BW40_3705]]),"")</f>
        <v/>
      </c>
      <c r="I5886" s="7" t="str">
        <f>IF(Table1[[#This Row],[Is Data Valid]]=TRUE,((Table1[[#This Row],[Birthweight (grams)]]*1.1/Table1[[#This Row],[BW_GA]])-1)/(Backend!$B$4/100*Table1[[#This Row],[BW40_3705]]),"")</f>
        <v/>
      </c>
      <c r="J5886" s="7" t="str">
        <f>IF(Table1[[#This Row],[Is Data Valid]]=TRUE,_xlfn.NORM.S.DIST(Table1[[#This Row],[Birthweight Z-Score]],TRUE)*100,"")</f>
        <v/>
      </c>
      <c r="K5886" s="7" t="str">
        <f>IF(Table1[[#This Row],[Is Data Valid]]=TRUE,_xlfn.NORM.S.DIST(Table1[[#This Row],[Birthweight Z-Score (BW-10%)]],TRUE)*100,"")</f>
        <v/>
      </c>
      <c r="L5886" s="7" t="str">
        <f>IF(Table1[[#This Row],[Is Data Valid]]=TRUE,_xlfn.NORM.S.DIST(Table1[[#This Row],[Birthweight Z-Score (BW+10%)]],TRUE)*100,"")</f>
        <v/>
      </c>
    </row>
    <row r="5887" spans="1:12" x14ac:dyDescent="0.35">
      <c r="A5887" s="3"/>
      <c r="B5887" s="2"/>
      <c r="C5887" s="2"/>
      <c r="D5887" s="2" t="b">
        <f>IF(AND(NOT(ISBLANK(Table1[[#This Row],[Fetal Sex (Male, Female or Unknown)]])),ISNUMBER(Table1[[#This Row],[Birthweight (grams)]]),ISNUMBER(Table1[[#This Row],[Gestation (days)]])),TRUE,FALSE)</f>
        <v>0</v>
      </c>
      <c r="E5887" s="2" t="str">
        <f>IF(Table1[[#This Row],[Is Data Valid]]=TRUE,IF(Table1[[#This Row],[Fetal Sex (Male, Female or Unknown)]]="Male",Backend!$C$6,IF(Table1[[#This Row],[Fetal Sex (Male, Female or Unknown)]]="Female",Backend!$C$7,IF(Table1[[#This Row],[Fetal Sex (Male, Female or Unknown)]]="Unknown",Backend!$C$8,"Error"))),"")</f>
        <v/>
      </c>
      <c r="F5887" s="8" t="str">
        <f>IF(Table1[[#This Row],[Is Data Valid]]=TRUE,EXP(0.578+0.332*((Table1[[#This Row],[Gestation (days)]]+0.5)/7)-0.00354*((Table1[[#This Row],[Gestation (days)]]+0.5)/7)^2)*Table1[[#This Row],[BW40_3705]],"")</f>
        <v/>
      </c>
      <c r="G5887" s="2" t="str">
        <f>IF(Table1[[#This Row],[Is Data Valid]]=TRUE,((Table1[[#This Row],[Birthweight (grams)]]/Table1[[#This Row],[BW_GA]])-1)/(Backend!$B$4/100*Table1[[#This Row],[BW40_3705]]),"")</f>
        <v/>
      </c>
      <c r="H5887" s="7" t="str">
        <f>IF(Table1[[#This Row],[Is Data Valid]]=TRUE,((Table1[[#This Row],[Birthweight (grams)]]*0.9/Table1[[#This Row],[BW_GA]])-1)/(Backend!$B$4/100*Table1[[#This Row],[BW40_3705]]),"")</f>
        <v/>
      </c>
      <c r="I5887" s="7" t="str">
        <f>IF(Table1[[#This Row],[Is Data Valid]]=TRUE,((Table1[[#This Row],[Birthweight (grams)]]*1.1/Table1[[#This Row],[BW_GA]])-1)/(Backend!$B$4/100*Table1[[#This Row],[BW40_3705]]),"")</f>
        <v/>
      </c>
      <c r="J5887" s="7" t="str">
        <f>IF(Table1[[#This Row],[Is Data Valid]]=TRUE,_xlfn.NORM.S.DIST(Table1[[#This Row],[Birthweight Z-Score]],TRUE)*100,"")</f>
        <v/>
      </c>
      <c r="K5887" s="7" t="str">
        <f>IF(Table1[[#This Row],[Is Data Valid]]=TRUE,_xlfn.NORM.S.DIST(Table1[[#This Row],[Birthweight Z-Score (BW-10%)]],TRUE)*100,"")</f>
        <v/>
      </c>
      <c r="L5887" s="7" t="str">
        <f>IF(Table1[[#This Row],[Is Data Valid]]=TRUE,_xlfn.NORM.S.DIST(Table1[[#This Row],[Birthweight Z-Score (BW+10%)]],TRUE)*100,"")</f>
        <v/>
      </c>
    </row>
    <row r="5888" spans="1:12" x14ac:dyDescent="0.35">
      <c r="A5888" s="3"/>
      <c r="B5888" s="2"/>
      <c r="C5888" s="2"/>
      <c r="D5888" s="2" t="b">
        <f>IF(AND(NOT(ISBLANK(Table1[[#This Row],[Fetal Sex (Male, Female or Unknown)]])),ISNUMBER(Table1[[#This Row],[Birthweight (grams)]]),ISNUMBER(Table1[[#This Row],[Gestation (days)]])),TRUE,FALSE)</f>
        <v>0</v>
      </c>
      <c r="E5888" s="2" t="str">
        <f>IF(Table1[[#This Row],[Is Data Valid]]=TRUE,IF(Table1[[#This Row],[Fetal Sex (Male, Female or Unknown)]]="Male",Backend!$C$6,IF(Table1[[#This Row],[Fetal Sex (Male, Female or Unknown)]]="Female",Backend!$C$7,IF(Table1[[#This Row],[Fetal Sex (Male, Female or Unknown)]]="Unknown",Backend!$C$8,"Error"))),"")</f>
        <v/>
      </c>
      <c r="F5888" s="8" t="str">
        <f>IF(Table1[[#This Row],[Is Data Valid]]=TRUE,EXP(0.578+0.332*((Table1[[#This Row],[Gestation (days)]]+0.5)/7)-0.00354*((Table1[[#This Row],[Gestation (days)]]+0.5)/7)^2)*Table1[[#This Row],[BW40_3705]],"")</f>
        <v/>
      </c>
      <c r="G5888" s="2" t="str">
        <f>IF(Table1[[#This Row],[Is Data Valid]]=TRUE,((Table1[[#This Row],[Birthweight (grams)]]/Table1[[#This Row],[BW_GA]])-1)/(Backend!$B$4/100*Table1[[#This Row],[BW40_3705]]),"")</f>
        <v/>
      </c>
      <c r="H5888" s="7" t="str">
        <f>IF(Table1[[#This Row],[Is Data Valid]]=TRUE,((Table1[[#This Row],[Birthweight (grams)]]*0.9/Table1[[#This Row],[BW_GA]])-1)/(Backend!$B$4/100*Table1[[#This Row],[BW40_3705]]),"")</f>
        <v/>
      </c>
      <c r="I5888" s="7" t="str">
        <f>IF(Table1[[#This Row],[Is Data Valid]]=TRUE,((Table1[[#This Row],[Birthweight (grams)]]*1.1/Table1[[#This Row],[BW_GA]])-1)/(Backend!$B$4/100*Table1[[#This Row],[BW40_3705]]),"")</f>
        <v/>
      </c>
      <c r="J5888" s="7" t="str">
        <f>IF(Table1[[#This Row],[Is Data Valid]]=TRUE,_xlfn.NORM.S.DIST(Table1[[#This Row],[Birthweight Z-Score]],TRUE)*100,"")</f>
        <v/>
      </c>
      <c r="K5888" s="7" t="str">
        <f>IF(Table1[[#This Row],[Is Data Valid]]=TRUE,_xlfn.NORM.S.DIST(Table1[[#This Row],[Birthweight Z-Score (BW-10%)]],TRUE)*100,"")</f>
        <v/>
      </c>
      <c r="L5888" s="7" t="str">
        <f>IF(Table1[[#This Row],[Is Data Valid]]=TRUE,_xlfn.NORM.S.DIST(Table1[[#This Row],[Birthweight Z-Score (BW+10%)]],TRUE)*100,"")</f>
        <v/>
      </c>
    </row>
    <row r="5889" spans="1:12" x14ac:dyDescent="0.35">
      <c r="A5889" s="3"/>
      <c r="B5889" s="2"/>
      <c r="C5889" s="2"/>
      <c r="D5889" s="2" t="b">
        <f>IF(AND(NOT(ISBLANK(Table1[[#This Row],[Fetal Sex (Male, Female or Unknown)]])),ISNUMBER(Table1[[#This Row],[Birthweight (grams)]]),ISNUMBER(Table1[[#This Row],[Gestation (days)]])),TRUE,FALSE)</f>
        <v>0</v>
      </c>
      <c r="E5889" s="2" t="str">
        <f>IF(Table1[[#This Row],[Is Data Valid]]=TRUE,IF(Table1[[#This Row],[Fetal Sex (Male, Female or Unknown)]]="Male",Backend!$C$6,IF(Table1[[#This Row],[Fetal Sex (Male, Female or Unknown)]]="Female",Backend!$C$7,IF(Table1[[#This Row],[Fetal Sex (Male, Female or Unknown)]]="Unknown",Backend!$C$8,"Error"))),"")</f>
        <v/>
      </c>
      <c r="F5889" s="8" t="str">
        <f>IF(Table1[[#This Row],[Is Data Valid]]=TRUE,EXP(0.578+0.332*((Table1[[#This Row],[Gestation (days)]]+0.5)/7)-0.00354*((Table1[[#This Row],[Gestation (days)]]+0.5)/7)^2)*Table1[[#This Row],[BW40_3705]],"")</f>
        <v/>
      </c>
      <c r="G5889" s="2" t="str">
        <f>IF(Table1[[#This Row],[Is Data Valid]]=TRUE,((Table1[[#This Row],[Birthweight (grams)]]/Table1[[#This Row],[BW_GA]])-1)/(Backend!$B$4/100*Table1[[#This Row],[BW40_3705]]),"")</f>
        <v/>
      </c>
      <c r="H5889" s="7" t="str">
        <f>IF(Table1[[#This Row],[Is Data Valid]]=TRUE,((Table1[[#This Row],[Birthweight (grams)]]*0.9/Table1[[#This Row],[BW_GA]])-1)/(Backend!$B$4/100*Table1[[#This Row],[BW40_3705]]),"")</f>
        <v/>
      </c>
      <c r="I5889" s="7" t="str">
        <f>IF(Table1[[#This Row],[Is Data Valid]]=TRUE,((Table1[[#This Row],[Birthweight (grams)]]*1.1/Table1[[#This Row],[BW_GA]])-1)/(Backend!$B$4/100*Table1[[#This Row],[BW40_3705]]),"")</f>
        <v/>
      </c>
      <c r="J5889" s="7" t="str">
        <f>IF(Table1[[#This Row],[Is Data Valid]]=TRUE,_xlfn.NORM.S.DIST(Table1[[#This Row],[Birthweight Z-Score]],TRUE)*100,"")</f>
        <v/>
      </c>
      <c r="K5889" s="7" t="str">
        <f>IF(Table1[[#This Row],[Is Data Valid]]=TRUE,_xlfn.NORM.S.DIST(Table1[[#This Row],[Birthweight Z-Score (BW-10%)]],TRUE)*100,"")</f>
        <v/>
      </c>
      <c r="L5889" s="7" t="str">
        <f>IF(Table1[[#This Row],[Is Data Valid]]=TRUE,_xlfn.NORM.S.DIST(Table1[[#This Row],[Birthweight Z-Score (BW+10%)]],TRUE)*100,"")</f>
        <v/>
      </c>
    </row>
    <row r="5890" spans="1:12" x14ac:dyDescent="0.35">
      <c r="A5890" s="3"/>
      <c r="B5890" s="2"/>
      <c r="C5890" s="2"/>
      <c r="D5890" s="2" t="b">
        <f>IF(AND(NOT(ISBLANK(Table1[[#This Row],[Fetal Sex (Male, Female or Unknown)]])),ISNUMBER(Table1[[#This Row],[Birthweight (grams)]]),ISNUMBER(Table1[[#This Row],[Gestation (days)]])),TRUE,FALSE)</f>
        <v>0</v>
      </c>
      <c r="E5890" s="2" t="str">
        <f>IF(Table1[[#This Row],[Is Data Valid]]=TRUE,IF(Table1[[#This Row],[Fetal Sex (Male, Female or Unknown)]]="Male",Backend!$C$6,IF(Table1[[#This Row],[Fetal Sex (Male, Female or Unknown)]]="Female",Backend!$C$7,IF(Table1[[#This Row],[Fetal Sex (Male, Female or Unknown)]]="Unknown",Backend!$C$8,"Error"))),"")</f>
        <v/>
      </c>
      <c r="F5890" s="8" t="str">
        <f>IF(Table1[[#This Row],[Is Data Valid]]=TRUE,EXP(0.578+0.332*((Table1[[#This Row],[Gestation (days)]]+0.5)/7)-0.00354*((Table1[[#This Row],[Gestation (days)]]+0.5)/7)^2)*Table1[[#This Row],[BW40_3705]],"")</f>
        <v/>
      </c>
      <c r="G5890" s="2" t="str">
        <f>IF(Table1[[#This Row],[Is Data Valid]]=TRUE,((Table1[[#This Row],[Birthweight (grams)]]/Table1[[#This Row],[BW_GA]])-1)/(Backend!$B$4/100*Table1[[#This Row],[BW40_3705]]),"")</f>
        <v/>
      </c>
      <c r="H5890" s="7" t="str">
        <f>IF(Table1[[#This Row],[Is Data Valid]]=TRUE,((Table1[[#This Row],[Birthweight (grams)]]*0.9/Table1[[#This Row],[BW_GA]])-1)/(Backend!$B$4/100*Table1[[#This Row],[BW40_3705]]),"")</f>
        <v/>
      </c>
      <c r="I5890" s="7" t="str">
        <f>IF(Table1[[#This Row],[Is Data Valid]]=TRUE,((Table1[[#This Row],[Birthweight (grams)]]*1.1/Table1[[#This Row],[BW_GA]])-1)/(Backend!$B$4/100*Table1[[#This Row],[BW40_3705]]),"")</f>
        <v/>
      </c>
      <c r="J5890" s="7" t="str">
        <f>IF(Table1[[#This Row],[Is Data Valid]]=TRUE,_xlfn.NORM.S.DIST(Table1[[#This Row],[Birthweight Z-Score]],TRUE)*100,"")</f>
        <v/>
      </c>
      <c r="K5890" s="7" t="str">
        <f>IF(Table1[[#This Row],[Is Data Valid]]=TRUE,_xlfn.NORM.S.DIST(Table1[[#This Row],[Birthweight Z-Score (BW-10%)]],TRUE)*100,"")</f>
        <v/>
      </c>
      <c r="L5890" s="7" t="str">
        <f>IF(Table1[[#This Row],[Is Data Valid]]=TRUE,_xlfn.NORM.S.DIST(Table1[[#This Row],[Birthweight Z-Score (BW+10%)]],TRUE)*100,"")</f>
        <v/>
      </c>
    </row>
    <row r="5891" spans="1:12" x14ac:dyDescent="0.35">
      <c r="A5891" s="3"/>
      <c r="B5891" s="2"/>
      <c r="C5891" s="2"/>
      <c r="D5891" s="2" t="b">
        <f>IF(AND(NOT(ISBLANK(Table1[[#This Row],[Fetal Sex (Male, Female or Unknown)]])),ISNUMBER(Table1[[#This Row],[Birthweight (grams)]]),ISNUMBER(Table1[[#This Row],[Gestation (days)]])),TRUE,FALSE)</f>
        <v>0</v>
      </c>
      <c r="E5891" s="2" t="str">
        <f>IF(Table1[[#This Row],[Is Data Valid]]=TRUE,IF(Table1[[#This Row],[Fetal Sex (Male, Female or Unknown)]]="Male",Backend!$C$6,IF(Table1[[#This Row],[Fetal Sex (Male, Female or Unknown)]]="Female",Backend!$C$7,IF(Table1[[#This Row],[Fetal Sex (Male, Female or Unknown)]]="Unknown",Backend!$C$8,"Error"))),"")</f>
        <v/>
      </c>
      <c r="F5891" s="8" t="str">
        <f>IF(Table1[[#This Row],[Is Data Valid]]=TRUE,EXP(0.578+0.332*((Table1[[#This Row],[Gestation (days)]]+0.5)/7)-0.00354*((Table1[[#This Row],[Gestation (days)]]+0.5)/7)^2)*Table1[[#This Row],[BW40_3705]],"")</f>
        <v/>
      </c>
      <c r="G5891" s="2" t="str">
        <f>IF(Table1[[#This Row],[Is Data Valid]]=TRUE,((Table1[[#This Row],[Birthweight (grams)]]/Table1[[#This Row],[BW_GA]])-1)/(Backend!$B$4/100*Table1[[#This Row],[BW40_3705]]),"")</f>
        <v/>
      </c>
      <c r="H5891" s="7" t="str">
        <f>IF(Table1[[#This Row],[Is Data Valid]]=TRUE,((Table1[[#This Row],[Birthweight (grams)]]*0.9/Table1[[#This Row],[BW_GA]])-1)/(Backend!$B$4/100*Table1[[#This Row],[BW40_3705]]),"")</f>
        <v/>
      </c>
      <c r="I5891" s="7" t="str">
        <f>IF(Table1[[#This Row],[Is Data Valid]]=TRUE,((Table1[[#This Row],[Birthweight (grams)]]*1.1/Table1[[#This Row],[BW_GA]])-1)/(Backend!$B$4/100*Table1[[#This Row],[BW40_3705]]),"")</f>
        <v/>
      </c>
      <c r="J5891" s="7" t="str">
        <f>IF(Table1[[#This Row],[Is Data Valid]]=TRUE,_xlfn.NORM.S.DIST(Table1[[#This Row],[Birthweight Z-Score]],TRUE)*100,"")</f>
        <v/>
      </c>
      <c r="K5891" s="7" t="str">
        <f>IF(Table1[[#This Row],[Is Data Valid]]=TRUE,_xlfn.NORM.S.DIST(Table1[[#This Row],[Birthweight Z-Score (BW-10%)]],TRUE)*100,"")</f>
        <v/>
      </c>
      <c r="L5891" s="7" t="str">
        <f>IF(Table1[[#This Row],[Is Data Valid]]=TRUE,_xlfn.NORM.S.DIST(Table1[[#This Row],[Birthweight Z-Score (BW+10%)]],TRUE)*100,"")</f>
        <v/>
      </c>
    </row>
    <row r="5892" spans="1:12" x14ac:dyDescent="0.35">
      <c r="A5892" s="3"/>
      <c r="B5892" s="2"/>
      <c r="C5892" s="2"/>
      <c r="D5892" s="2" t="b">
        <f>IF(AND(NOT(ISBLANK(Table1[[#This Row],[Fetal Sex (Male, Female or Unknown)]])),ISNUMBER(Table1[[#This Row],[Birthweight (grams)]]),ISNUMBER(Table1[[#This Row],[Gestation (days)]])),TRUE,FALSE)</f>
        <v>0</v>
      </c>
      <c r="E5892" s="2" t="str">
        <f>IF(Table1[[#This Row],[Is Data Valid]]=TRUE,IF(Table1[[#This Row],[Fetal Sex (Male, Female or Unknown)]]="Male",Backend!$C$6,IF(Table1[[#This Row],[Fetal Sex (Male, Female or Unknown)]]="Female",Backend!$C$7,IF(Table1[[#This Row],[Fetal Sex (Male, Female or Unknown)]]="Unknown",Backend!$C$8,"Error"))),"")</f>
        <v/>
      </c>
      <c r="F5892" s="8" t="str">
        <f>IF(Table1[[#This Row],[Is Data Valid]]=TRUE,EXP(0.578+0.332*((Table1[[#This Row],[Gestation (days)]]+0.5)/7)-0.00354*((Table1[[#This Row],[Gestation (days)]]+0.5)/7)^2)*Table1[[#This Row],[BW40_3705]],"")</f>
        <v/>
      </c>
      <c r="G5892" s="2" t="str">
        <f>IF(Table1[[#This Row],[Is Data Valid]]=TRUE,((Table1[[#This Row],[Birthweight (grams)]]/Table1[[#This Row],[BW_GA]])-1)/(Backend!$B$4/100*Table1[[#This Row],[BW40_3705]]),"")</f>
        <v/>
      </c>
      <c r="H5892" s="7" t="str">
        <f>IF(Table1[[#This Row],[Is Data Valid]]=TRUE,((Table1[[#This Row],[Birthweight (grams)]]*0.9/Table1[[#This Row],[BW_GA]])-1)/(Backend!$B$4/100*Table1[[#This Row],[BW40_3705]]),"")</f>
        <v/>
      </c>
      <c r="I5892" s="7" t="str">
        <f>IF(Table1[[#This Row],[Is Data Valid]]=TRUE,((Table1[[#This Row],[Birthweight (grams)]]*1.1/Table1[[#This Row],[BW_GA]])-1)/(Backend!$B$4/100*Table1[[#This Row],[BW40_3705]]),"")</f>
        <v/>
      </c>
      <c r="J5892" s="7" t="str">
        <f>IF(Table1[[#This Row],[Is Data Valid]]=TRUE,_xlfn.NORM.S.DIST(Table1[[#This Row],[Birthweight Z-Score]],TRUE)*100,"")</f>
        <v/>
      </c>
      <c r="K5892" s="7" t="str">
        <f>IF(Table1[[#This Row],[Is Data Valid]]=TRUE,_xlfn.NORM.S.DIST(Table1[[#This Row],[Birthweight Z-Score (BW-10%)]],TRUE)*100,"")</f>
        <v/>
      </c>
      <c r="L5892" s="7" t="str">
        <f>IF(Table1[[#This Row],[Is Data Valid]]=TRUE,_xlfn.NORM.S.DIST(Table1[[#This Row],[Birthweight Z-Score (BW+10%)]],TRUE)*100,"")</f>
        <v/>
      </c>
    </row>
    <row r="5893" spans="1:12" x14ac:dyDescent="0.35">
      <c r="A5893" s="3"/>
      <c r="B5893" s="2"/>
      <c r="C5893" s="2"/>
      <c r="D5893" s="2" t="b">
        <f>IF(AND(NOT(ISBLANK(Table1[[#This Row],[Fetal Sex (Male, Female or Unknown)]])),ISNUMBER(Table1[[#This Row],[Birthweight (grams)]]),ISNUMBER(Table1[[#This Row],[Gestation (days)]])),TRUE,FALSE)</f>
        <v>0</v>
      </c>
      <c r="E5893" s="2" t="str">
        <f>IF(Table1[[#This Row],[Is Data Valid]]=TRUE,IF(Table1[[#This Row],[Fetal Sex (Male, Female or Unknown)]]="Male",Backend!$C$6,IF(Table1[[#This Row],[Fetal Sex (Male, Female or Unknown)]]="Female",Backend!$C$7,IF(Table1[[#This Row],[Fetal Sex (Male, Female or Unknown)]]="Unknown",Backend!$C$8,"Error"))),"")</f>
        <v/>
      </c>
      <c r="F5893" s="8" t="str">
        <f>IF(Table1[[#This Row],[Is Data Valid]]=TRUE,EXP(0.578+0.332*((Table1[[#This Row],[Gestation (days)]]+0.5)/7)-0.00354*((Table1[[#This Row],[Gestation (days)]]+0.5)/7)^2)*Table1[[#This Row],[BW40_3705]],"")</f>
        <v/>
      </c>
      <c r="G5893" s="2" t="str">
        <f>IF(Table1[[#This Row],[Is Data Valid]]=TRUE,((Table1[[#This Row],[Birthweight (grams)]]/Table1[[#This Row],[BW_GA]])-1)/(Backend!$B$4/100*Table1[[#This Row],[BW40_3705]]),"")</f>
        <v/>
      </c>
      <c r="H5893" s="7" t="str">
        <f>IF(Table1[[#This Row],[Is Data Valid]]=TRUE,((Table1[[#This Row],[Birthweight (grams)]]*0.9/Table1[[#This Row],[BW_GA]])-1)/(Backend!$B$4/100*Table1[[#This Row],[BW40_3705]]),"")</f>
        <v/>
      </c>
      <c r="I5893" s="7" t="str">
        <f>IF(Table1[[#This Row],[Is Data Valid]]=TRUE,((Table1[[#This Row],[Birthweight (grams)]]*1.1/Table1[[#This Row],[BW_GA]])-1)/(Backend!$B$4/100*Table1[[#This Row],[BW40_3705]]),"")</f>
        <v/>
      </c>
      <c r="J5893" s="7" t="str">
        <f>IF(Table1[[#This Row],[Is Data Valid]]=TRUE,_xlfn.NORM.S.DIST(Table1[[#This Row],[Birthweight Z-Score]],TRUE)*100,"")</f>
        <v/>
      </c>
      <c r="K5893" s="7" t="str">
        <f>IF(Table1[[#This Row],[Is Data Valid]]=TRUE,_xlfn.NORM.S.DIST(Table1[[#This Row],[Birthweight Z-Score (BW-10%)]],TRUE)*100,"")</f>
        <v/>
      </c>
      <c r="L5893" s="7" t="str">
        <f>IF(Table1[[#This Row],[Is Data Valid]]=TRUE,_xlfn.NORM.S.DIST(Table1[[#This Row],[Birthweight Z-Score (BW+10%)]],TRUE)*100,"")</f>
        <v/>
      </c>
    </row>
    <row r="5894" spans="1:12" x14ac:dyDescent="0.35">
      <c r="A5894" s="3"/>
      <c r="B5894" s="2"/>
      <c r="C5894" s="2"/>
      <c r="D5894" s="2" t="b">
        <f>IF(AND(NOT(ISBLANK(Table1[[#This Row],[Fetal Sex (Male, Female or Unknown)]])),ISNUMBER(Table1[[#This Row],[Birthweight (grams)]]),ISNUMBER(Table1[[#This Row],[Gestation (days)]])),TRUE,FALSE)</f>
        <v>0</v>
      </c>
      <c r="E5894" s="2" t="str">
        <f>IF(Table1[[#This Row],[Is Data Valid]]=TRUE,IF(Table1[[#This Row],[Fetal Sex (Male, Female or Unknown)]]="Male",Backend!$C$6,IF(Table1[[#This Row],[Fetal Sex (Male, Female or Unknown)]]="Female",Backend!$C$7,IF(Table1[[#This Row],[Fetal Sex (Male, Female or Unknown)]]="Unknown",Backend!$C$8,"Error"))),"")</f>
        <v/>
      </c>
      <c r="F5894" s="8" t="str">
        <f>IF(Table1[[#This Row],[Is Data Valid]]=TRUE,EXP(0.578+0.332*((Table1[[#This Row],[Gestation (days)]]+0.5)/7)-0.00354*((Table1[[#This Row],[Gestation (days)]]+0.5)/7)^2)*Table1[[#This Row],[BW40_3705]],"")</f>
        <v/>
      </c>
      <c r="G5894" s="2" t="str">
        <f>IF(Table1[[#This Row],[Is Data Valid]]=TRUE,((Table1[[#This Row],[Birthweight (grams)]]/Table1[[#This Row],[BW_GA]])-1)/(Backend!$B$4/100*Table1[[#This Row],[BW40_3705]]),"")</f>
        <v/>
      </c>
      <c r="H5894" s="7" t="str">
        <f>IF(Table1[[#This Row],[Is Data Valid]]=TRUE,((Table1[[#This Row],[Birthweight (grams)]]*0.9/Table1[[#This Row],[BW_GA]])-1)/(Backend!$B$4/100*Table1[[#This Row],[BW40_3705]]),"")</f>
        <v/>
      </c>
      <c r="I5894" s="7" t="str">
        <f>IF(Table1[[#This Row],[Is Data Valid]]=TRUE,((Table1[[#This Row],[Birthweight (grams)]]*1.1/Table1[[#This Row],[BW_GA]])-1)/(Backend!$B$4/100*Table1[[#This Row],[BW40_3705]]),"")</f>
        <v/>
      </c>
      <c r="J5894" s="7" t="str">
        <f>IF(Table1[[#This Row],[Is Data Valid]]=TRUE,_xlfn.NORM.S.DIST(Table1[[#This Row],[Birthweight Z-Score]],TRUE)*100,"")</f>
        <v/>
      </c>
      <c r="K5894" s="7" t="str">
        <f>IF(Table1[[#This Row],[Is Data Valid]]=TRUE,_xlfn.NORM.S.DIST(Table1[[#This Row],[Birthweight Z-Score (BW-10%)]],TRUE)*100,"")</f>
        <v/>
      </c>
      <c r="L5894" s="7" t="str">
        <f>IF(Table1[[#This Row],[Is Data Valid]]=TRUE,_xlfn.NORM.S.DIST(Table1[[#This Row],[Birthweight Z-Score (BW+10%)]],TRUE)*100,"")</f>
        <v/>
      </c>
    </row>
    <row r="5895" spans="1:12" x14ac:dyDescent="0.35">
      <c r="A5895" s="3"/>
      <c r="B5895" s="2"/>
      <c r="C5895" s="2"/>
      <c r="D5895" s="2" t="b">
        <f>IF(AND(NOT(ISBLANK(Table1[[#This Row],[Fetal Sex (Male, Female or Unknown)]])),ISNUMBER(Table1[[#This Row],[Birthweight (grams)]]),ISNUMBER(Table1[[#This Row],[Gestation (days)]])),TRUE,FALSE)</f>
        <v>0</v>
      </c>
      <c r="E5895" s="2" t="str">
        <f>IF(Table1[[#This Row],[Is Data Valid]]=TRUE,IF(Table1[[#This Row],[Fetal Sex (Male, Female or Unknown)]]="Male",Backend!$C$6,IF(Table1[[#This Row],[Fetal Sex (Male, Female or Unknown)]]="Female",Backend!$C$7,IF(Table1[[#This Row],[Fetal Sex (Male, Female or Unknown)]]="Unknown",Backend!$C$8,"Error"))),"")</f>
        <v/>
      </c>
      <c r="F5895" s="8" t="str">
        <f>IF(Table1[[#This Row],[Is Data Valid]]=TRUE,EXP(0.578+0.332*((Table1[[#This Row],[Gestation (days)]]+0.5)/7)-0.00354*((Table1[[#This Row],[Gestation (days)]]+0.5)/7)^2)*Table1[[#This Row],[BW40_3705]],"")</f>
        <v/>
      </c>
      <c r="G5895" s="2" t="str">
        <f>IF(Table1[[#This Row],[Is Data Valid]]=TRUE,((Table1[[#This Row],[Birthweight (grams)]]/Table1[[#This Row],[BW_GA]])-1)/(Backend!$B$4/100*Table1[[#This Row],[BW40_3705]]),"")</f>
        <v/>
      </c>
      <c r="H5895" s="7" t="str">
        <f>IF(Table1[[#This Row],[Is Data Valid]]=TRUE,((Table1[[#This Row],[Birthweight (grams)]]*0.9/Table1[[#This Row],[BW_GA]])-1)/(Backend!$B$4/100*Table1[[#This Row],[BW40_3705]]),"")</f>
        <v/>
      </c>
      <c r="I5895" s="7" t="str">
        <f>IF(Table1[[#This Row],[Is Data Valid]]=TRUE,((Table1[[#This Row],[Birthweight (grams)]]*1.1/Table1[[#This Row],[BW_GA]])-1)/(Backend!$B$4/100*Table1[[#This Row],[BW40_3705]]),"")</f>
        <v/>
      </c>
      <c r="J5895" s="7" t="str">
        <f>IF(Table1[[#This Row],[Is Data Valid]]=TRUE,_xlfn.NORM.S.DIST(Table1[[#This Row],[Birthweight Z-Score]],TRUE)*100,"")</f>
        <v/>
      </c>
      <c r="K5895" s="7" t="str">
        <f>IF(Table1[[#This Row],[Is Data Valid]]=TRUE,_xlfn.NORM.S.DIST(Table1[[#This Row],[Birthweight Z-Score (BW-10%)]],TRUE)*100,"")</f>
        <v/>
      </c>
      <c r="L5895" s="7" t="str">
        <f>IF(Table1[[#This Row],[Is Data Valid]]=TRUE,_xlfn.NORM.S.DIST(Table1[[#This Row],[Birthweight Z-Score (BW+10%)]],TRUE)*100,"")</f>
        <v/>
      </c>
    </row>
    <row r="5896" spans="1:12" x14ac:dyDescent="0.35">
      <c r="A5896" s="3"/>
      <c r="B5896" s="2"/>
      <c r="C5896" s="2"/>
      <c r="D5896" s="2" t="b">
        <f>IF(AND(NOT(ISBLANK(Table1[[#This Row],[Fetal Sex (Male, Female or Unknown)]])),ISNUMBER(Table1[[#This Row],[Birthweight (grams)]]),ISNUMBER(Table1[[#This Row],[Gestation (days)]])),TRUE,FALSE)</f>
        <v>0</v>
      </c>
      <c r="E5896" s="2" t="str">
        <f>IF(Table1[[#This Row],[Is Data Valid]]=TRUE,IF(Table1[[#This Row],[Fetal Sex (Male, Female or Unknown)]]="Male",Backend!$C$6,IF(Table1[[#This Row],[Fetal Sex (Male, Female or Unknown)]]="Female",Backend!$C$7,IF(Table1[[#This Row],[Fetal Sex (Male, Female or Unknown)]]="Unknown",Backend!$C$8,"Error"))),"")</f>
        <v/>
      </c>
      <c r="F5896" s="8" t="str">
        <f>IF(Table1[[#This Row],[Is Data Valid]]=TRUE,EXP(0.578+0.332*((Table1[[#This Row],[Gestation (days)]]+0.5)/7)-0.00354*((Table1[[#This Row],[Gestation (days)]]+0.5)/7)^2)*Table1[[#This Row],[BW40_3705]],"")</f>
        <v/>
      </c>
      <c r="G5896" s="2" t="str">
        <f>IF(Table1[[#This Row],[Is Data Valid]]=TRUE,((Table1[[#This Row],[Birthweight (grams)]]/Table1[[#This Row],[BW_GA]])-1)/(Backend!$B$4/100*Table1[[#This Row],[BW40_3705]]),"")</f>
        <v/>
      </c>
      <c r="H5896" s="7" t="str">
        <f>IF(Table1[[#This Row],[Is Data Valid]]=TRUE,((Table1[[#This Row],[Birthweight (grams)]]*0.9/Table1[[#This Row],[BW_GA]])-1)/(Backend!$B$4/100*Table1[[#This Row],[BW40_3705]]),"")</f>
        <v/>
      </c>
      <c r="I5896" s="7" t="str">
        <f>IF(Table1[[#This Row],[Is Data Valid]]=TRUE,((Table1[[#This Row],[Birthweight (grams)]]*1.1/Table1[[#This Row],[BW_GA]])-1)/(Backend!$B$4/100*Table1[[#This Row],[BW40_3705]]),"")</f>
        <v/>
      </c>
      <c r="J5896" s="7" t="str">
        <f>IF(Table1[[#This Row],[Is Data Valid]]=TRUE,_xlfn.NORM.S.DIST(Table1[[#This Row],[Birthweight Z-Score]],TRUE)*100,"")</f>
        <v/>
      </c>
      <c r="K5896" s="7" t="str">
        <f>IF(Table1[[#This Row],[Is Data Valid]]=TRUE,_xlfn.NORM.S.DIST(Table1[[#This Row],[Birthweight Z-Score (BW-10%)]],TRUE)*100,"")</f>
        <v/>
      </c>
      <c r="L5896" s="7" t="str">
        <f>IF(Table1[[#This Row],[Is Data Valid]]=TRUE,_xlfn.NORM.S.DIST(Table1[[#This Row],[Birthweight Z-Score (BW+10%)]],TRUE)*100,"")</f>
        <v/>
      </c>
    </row>
    <row r="5897" spans="1:12" x14ac:dyDescent="0.35">
      <c r="A5897" s="3"/>
      <c r="B5897" s="2"/>
      <c r="C5897" s="2"/>
      <c r="D5897" s="2" t="b">
        <f>IF(AND(NOT(ISBLANK(Table1[[#This Row],[Fetal Sex (Male, Female or Unknown)]])),ISNUMBER(Table1[[#This Row],[Birthweight (grams)]]),ISNUMBER(Table1[[#This Row],[Gestation (days)]])),TRUE,FALSE)</f>
        <v>0</v>
      </c>
      <c r="E5897" s="2" t="str">
        <f>IF(Table1[[#This Row],[Is Data Valid]]=TRUE,IF(Table1[[#This Row],[Fetal Sex (Male, Female or Unknown)]]="Male",Backend!$C$6,IF(Table1[[#This Row],[Fetal Sex (Male, Female or Unknown)]]="Female",Backend!$C$7,IF(Table1[[#This Row],[Fetal Sex (Male, Female or Unknown)]]="Unknown",Backend!$C$8,"Error"))),"")</f>
        <v/>
      </c>
      <c r="F5897" s="8" t="str">
        <f>IF(Table1[[#This Row],[Is Data Valid]]=TRUE,EXP(0.578+0.332*((Table1[[#This Row],[Gestation (days)]]+0.5)/7)-0.00354*((Table1[[#This Row],[Gestation (days)]]+0.5)/7)^2)*Table1[[#This Row],[BW40_3705]],"")</f>
        <v/>
      </c>
      <c r="G5897" s="2" t="str">
        <f>IF(Table1[[#This Row],[Is Data Valid]]=TRUE,((Table1[[#This Row],[Birthweight (grams)]]/Table1[[#This Row],[BW_GA]])-1)/(Backend!$B$4/100*Table1[[#This Row],[BW40_3705]]),"")</f>
        <v/>
      </c>
      <c r="H5897" s="7" t="str">
        <f>IF(Table1[[#This Row],[Is Data Valid]]=TRUE,((Table1[[#This Row],[Birthweight (grams)]]*0.9/Table1[[#This Row],[BW_GA]])-1)/(Backend!$B$4/100*Table1[[#This Row],[BW40_3705]]),"")</f>
        <v/>
      </c>
      <c r="I5897" s="7" t="str">
        <f>IF(Table1[[#This Row],[Is Data Valid]]=TRUE,((Table1[[#This Row],[Birthweight (grams)]]*1.1/Table1[[#This Row],[BW_GA]])-1)/(Backend!$B$4/100*Table1[[#This Row],[BW40_3705]]),"")</f>
        <v/>
      </c>
      <c r="J5897" s="7" t="str">
        <f>IF(Table1[[#This Row],[Is Data Valid]]=TRUE,_xlfn.NORM.S.DIST(Table1[[#This Row],[Birthweight Z-Score]],TRUE)*100,"")</f>
        <v/>
      </c>
      <c r="K5897" s="7" t="str">
        <f>IF(Table1[[#This Row],[Is Data Valid]]=TRUE,_xlfn.NORM.S.DIST(Table1[[#This Row],[Birthweight Z-Score (BW-10%)]],TRUE)*100,"")</f>
        <v/>
      </c>
      <c r="L5897" s="7" t="str">
        <f>IF(Table1[[#This Row],[Is Data Valid]]=TRUE,_xlfn.NORM.S.DIST(Table1[[#This Row],[Birthweight Z-Score (BW+10%)]],TRUE)*100,"")</f>
        <v/>
      </c>
    </row>
    <row r="5898" spans="1:12" x14ac:dyDescent="0.35">
      <c r="A5898" s="3"/>
      <c r="B5898" s="2"/>
      <c r="C5898" s="2"/>
      <c r="D5898" s="2" t="b">
        <f>IF(AND(NOT(ISBLANK(Table1[[#This Row],[Fetal Sex (Male, Female or Unknown)]])),ISNUMBER(Table1[[#This Row],[Birthweight (grams)]]),ISNUMBER(Table1[[#This Row],[Gestation (days)]])),TRUE,FALSE)</f>
        <v>0</v>
      </c>
      <c r="E5898" s="2" t="str">
        <f>IF(Table1[[#This Row],[Is Data Valid]]=TRUE,IF(Table1[[#This Row],[Fetal Sex (Male, Female or Unknown)]]="Male",Backend!$C$6,IF(Table1[[#This Row],[Fetal Sex (Male, Female or Unknown)]]="Female",Backend!$C$7,IF(Table1[[#This Row],[Fetal Sex (Male, Female or Unknown)]]="Unknown",Backend!$C$8,"Error"))),"")</f>
        <v/>
      </c>
      <c r="F5898" s="8" t="str">
        <f>IF(Table1[[#This Row],[Is Data Valid]]=TRUE,EXP(0.578+0.332*((Table1[[#This Row],[Gestation (days)]]+0.5)/7)-0.00354*((Table1[[#This Row],[Gestation (days)]]+0.5)/7)^2)*Table1[[#This Row],[BW40_3705]],"")</f>
        <v/>
      </c>
      <c r="G5898" s="2" t="str">
        <f>IF(Table1[[#This Row],[Is Data Valid]]=TRUE,((Table1[[#This Row],[Birthweight (grams)]]/Table1[[#This Row],[BW_GA]])-1)/(Backend!$B$4/100*Table1[[#This Row],[BW40_3705]]),"")</f>
        <v/>
      </c>
      <c r="H5898" s="7" t="str">
        <f>IF(Table1[[#This Row],[Is Data Valid]]=TRUE,((Table1[[#This Row],[Birthweight (grams)]]*0.9/Table1[[#This Row],[BW_GA]])-1)/(Backend!$B$4/100*Table1[[#This Row],[BW40_3705]]),"")</f>
        <v/>
      </c>
      <c r="I5898" s="7" t="str">
        <f>IF(Table1[[#This Row],[Is Data Valid]]=TRUE,((Table1[[#This Row],[Birthweight (grams)]]*1.1/Table1[[#This Row],[BW_GA]])-1)/(Backend!$B$4/100*Table1[[#This Row],[BW40_3705]]),"")</f>
        <v/>
      </c>
      <c r="J5898" s="7" t="str">
        <f>IF(Table1[[#This Row],[Is Data Valid]]=TRUE,_xlfn.NORM.S.DIST(Table1[[#This Row],[Birthweight Z-Score]],TRUE)*100,"")</f>
        <v/>
      </c>
      <c r="K5898" s="7" t="str">
        <f>IF(Table1[[#This Row],[Is Data Valid]]=TRUE,_xlfn.NORM.S.DIST(Table1[[#This Row],[Birthweight Z-Score (BW-10%)]],TRUE)*100,"")</f>
        <v/>
      </c>
      <c r="L5898" s="7" t="str">
        <f>IF(Table1[[#This Row],[Is Data Valid]]=TRUE,_xlfn.NORM.S.DIST(Table1[[#This Row],[Birthweight Z-Score (BW+10%)]],TRUE)*100,"")</f>
        <v/>
      </c>
    </row>
    <row r="5899" spans="1:12" x14ac:dyDescent="0.35">
      <c r="A5899" s="3"/>
      <c r="B5899" s="2"/>
      <c r="C5899" s="2"/>
      <c r="D5899" s="2" t="b">
        <f>IF(AND(NOT(ISBLANK(Table1[[#This Row],[Fetal Sex (Male, Female or Unknown)]])),ISNUMBER(Table1[[#This Row],[Birthweight (grams)]]),ISNUMBER(Table1[[#This Row],[Gestation (days)]])),TRUE,FALSE)</f>
        <v>0</v>
      </c>
      <c r="E5899" s="2" t="str">
        <f>IF(Table1[[#This Row],[Is Data Valid]]=TRUE,IF(Table1[[#This Row],[Fetal Sex (Male, Female or Unknown)]]="Male",Backend!$C$6,IF(Table1[[#This Row],[Fetal Sex (Male, Female or Unknown)]]="Female",Backend!$C$7,IF(Table1[[#This Row],[Fetal Sex (Male, Female or Unknown)]]="Unknown",Backend!$C$8,"Error"))),"")</f>
        <v/>
      </c>
      <c r="F5899" s="8" t="str">
        <f>IF(Table1[[#This Row],[Is Data Valid]]=TRUE,EXP(0.578+0.332*((Table1[[#This Row],[Gestation (days)]]+0.5)/7)-0.00354*((Table1[[#This Row],[Gestation (days)]]+0.5)/7)^2)*Table1[[#This Row],[BW40_3705]],"")</f>
        <v/>
      </c>
      <c r="G5899" s="2" t="str">
        <f>IF(Table1[[#This Row],[Is Data Valid]]=TRUE,((Table1[[#This Row],[Birthweight (grams)]]/Table1[[#This Row],[BW_GA]])-1)/(Backend!$B$4/100*Table1[[#This Row],[BW40_3705]]),"")</f>
        <v/>
      </c>
      <c r="H5899" s="7" t="str">
        <f>IF(Table1[[#This Row],[Is Data Valid]]=TRUE,((Table1[[#This Row],[Birthweight (grams)]]*0.9/Table1[[#This Row],[BW_GA]])-1)/(Backend!$B$4/100*Table1[[#This Row],[BW40_3705]]),"")</f>
        <v/>
      </c>
      <c r="I5899" s="7" t="str">
        <f>IF(Table1[[#This Row],[Is Data Valid]]=TRUE,((Table1[[#This Row],[Birthweight (grams)]]*1.1/Table1[[#This Row],[BW_GA]])-1)/(Backend!$B$4/100*Table1[[#This Row],[BW40_3705]]),"")</f>
        <v/>
      </c>
      <c r="J5899" s="7" t="str">
        <f>IF(Table1[[#This Row],[Is Data Valid]]=TRUE,_xlfn.NORM.S.DIST(Table1[[#This Row],[Birthweight Z-Score]],TRUE)*100,"")</f>
        <v/>
      </c>
      <c r="K5899" s="7" t="str">
        <f>IF(Table1[[#This Row],[Is Data Valid]]=TRUE,_xlfn.NORM.S.DIST(Table1[[#This Row],[Birthweight Z-Score (BW-10%)]],TRUE)*100,"")</f>
        <v/>
      </c>
      <c r="L5899" s="7" t="str">
        <f>IF(Table1[[#This Row],[Is Data Valid]]=TRUE,_xlfn.NORM.S.DIST(Table1[[#This Row],[Birthweight Z-Score (BW+10%)]],TRUE)*100,"")</f>
        <v/>
      </c>
    </row>
    <row r="5900" spans="1:12" x14ac:dyDescent="0.35">
      <c r="A5900" s="3"/>
      <c r="B5900" s="2"/>
      <c r="C5900" s="2"/>
      <c r="D5900" s="2" t="b">
        <f>IF(AND(NOT(ISBLANK(Table1[[#This Row],[Fetal Sex (Male, Female or Unknown)]])),ISNUMBER(Table1[[#This Row],[Birthweight (grams)]]),ISNUMBER(Table1[[#This Row],[Gestation (days)]])),TRUE,FALSE)</f>
        <v>0</v>
      </c>
      <c r="E5900" s="2" t="str">
        <f>IF(Table1[[#This Row],[Is Data Valid]]=TRUE,IF(Table1[[#This Row],[Fetal Sex (Male, Female or Unknown)]]="Male",Backend!$C$6,IF(Table1[[#This Row],[Fetal Sex (Male, Female or Unknown)]]="Female",Backend!$C$7,IF(Table1[[#This Row],[Fetal Sex (Male, Female or Unknown)]]="Unknown",Backend!$C$8,"Error"))),"")</f>
        <v/>
      </c>
      <c r="F5900" s="8" t="str">
        <f>IF(Table1[[#This Row],[Is Data Valid]]=TRUE,EXP(0.578+0.332*((Table1[[#This Row],[Gestation (days)]]+0.5)/7)-0.00354*((Table1[[#This Row],[Gestation (days)]]+0.5)/7)^2)*Table1[[#This Row],[BW40_3705]],"")</f>
        <v/>
      </c>
      <c r="G5900" s="2" t="str">
        <f>IF(Table1[[#This Row],[Is Data Valid]]=TRUE,((Table1[[#This Row],[Birthweight (grams)]]/Table1[[#This Row],[BW_GA]])-1)/(Backend!$B$4/100*Table1[[#This Row],[BW40_3705]]),"")</f>
        <v/>
      </c>
      <c r="H5900" s="7" t="str">
        <f>IF(Table1[[#This Row],[Is Data Valid]]=TRUE,((Table1[[#This Row],[Birthweight (grams)]]*0.9/Table1[[#This Row],[BW_GA]])-1)/(Backend!$B$4/100*Table1[[#This Row],[BW40_3705]]),"")</f>
        <v/>
      </c>
      <c r="I5900" s="7" t="str">
        <f>IF(Table1[[#This Row],[Is Data Valid]]=TRUE,((Table1[[#This Row],[Birthweight (grams)]]*1.1/Table1[[#This Row],[BW_GA]])-1)/(Backend!$B$4/100*Table1[[#This Row],[BW40_3705]]),"")</f>
        <v/>
      </c>
      <c r="J5900" s="7" t="str">
        <f>IF(Table1[[#This Row],[Is Data Valid]]=TRUE,_xlfn.NORM.S.DIST(Table1[[#This Row],[Birthweight Z-Score]],TRUE)*100,"")</f>
        <v/>
      </c>
      <c r="K5900" s="7" t="str">
        <f>IF(Table1[[#This Row],[Is Data Valid]]=TRUE,_xlfn.NORM.S.DIST(Table1[[#This Row],[Birthweight Z-Score (BW-10%)]],TRUE)*100,"")</f>
        <v/>
      </c>
      <c r="L5900" s="7" t="str">
        <f>IF(Table1[[#This Row],[Is Data Valid]]=TRUE,_xlfn.NORM.S.DIST(Table1[[#This Row],[Birthweight Z-Score (BW+10%)]],TRUE)*100,"")</f>
        <v/>
      </c>
    </row>
    <row r="5901" spans="1:12" x14ac:dyDescent="0.35">
      <c r="A5901" s="3"/>
      <c r="B5901" s="2"/>
      <c r="C5901" s="2"/>
      <c r="D5901" s="2" t="b">
        <f>IF(AND(NOT(ISBLANK(Table1[[#This Row],[Fetal Sex (Male, Female or Unknown)]])),ISNUMBER(Table1[[#This Row],[Birthweight (grams)]]),ISNUMBER(Table1[[#This Row],[Gestation (days)]])),TRUE,FALSE)</f>
        <v>0</v>
      </c>
      <c r="E5901" s="2" t="str">
        <f>IF(Table1[[#This Row],[Is Data Valid]]=TRUE,IF(Table1[[#This Row],[Fetal Sex (Male, Female or Unknown)]]="Male",Backend!$C$6,IF(Table1[[#This Row],[Fetal Sex (Male, Female or Unknown)]]="Female",Backend!$C$7,IF(Table1[[#This Row],[Fetal Sex (Male, Female or Unknown)]]="Unknown",Backend!$C$8,"Error"))),"")</f>
        <v/>
      </c>
      <c r="F5901" s="8" t="str">
        <f>IF(Table1[[#This Row],[Is Data Valid]]=TRUE,EXP(0.578+0.332*((Table1[[#This Row],[Gestation (days)]]+0.5)/7)-0.00354*((Table1[[#This Row],[Gestation (days)]]+0.5)/7)^2)*Table1[[#This Row],[BW40_3705]],"")</f>
        <v/>
      </c>
      <c r="G5901" s="2" t="str">
        <f>IF(Table1[[#This Row],[Is Data Valid]]=TRUE,((Table1[[#This Row],[Birthweight (grams)]]/Table1[[#This Row],[BW_GA]])-1)/(Backend!$B$4/100*Table1[[#This Row],[BW40_3705]]),"")</f>
        <v/>
      </c>
      <c r="H5901" s="7" t="str">
        <f>IF(Table1[[#This Row],[Is Data Valid]]=TRUE,((Table1[[#This Row],[Birthweight (grams)]]*0.9/Table1[[#This Row],[BW_GA]])-1)/(Backend!$B$4/100*Table1[[#This Row],[BW40_3705]]),"")</f>
        <v/>
      </c>
      <c r="I5901" s="7" t="str">
        <f>IF(Table1[[#This Row],[Is Data Valid]]=TRUE,((Table1[[#This Row],[Birthweight (grams)]]*1.1/Table1[[#This Row],[BW_GA]])-1)/(Backend!$B$4/100*Table1[[#This Row],[BW40_3705]]),"")</f>
        <v/>
      </c>
      <c r="J5901" s="7" t="str">
        <f>IF(Table1[[#This Row],[Is Data Valid]]=TRUE,_xlfn.NORM.S.DIST(Table1[[#This Row],[Birthweight Z-Score]],TRUE)*100,"")</f>
        <v/>
      </c>
      <c r="K5901" s="7" t="str">
        <f>IF(Table1[[#This Row],[Is Data Valid]]=TRUE,_xlfn.NORM.S.DIST(Table1[[#This Row],[Birthweight Z-Score (BW-10%)]],TRUE)*100,"")</f>
        <v/>
      </c>
      <c r="L5901" s="7" t="str">
        <f>IF(Table1[[#This Row],[Is Data Valid]]=TRUE,_xlfn.NORM.S.DIST(Table1[[#This Row],[Birthweight Z-Score (BW+10%)]],TRUE)*100,"")</f>
        <v/>
      </c>
    </row>
    <row r="5902" spans="1:12" x14ac:dyDescent="0.35">
      <c r="A5902" s="3"/>
      <c r="B5902" s="2"/>
      <c r="C5902" s="2"/>
      <c r="D5902" s="2" t="b">
        <f>IF(AND(NOT(ISBLANK(Table1[[#This Row],[Fetal Sex (Male, Female or Unknown)]])),ISNUMBER(Table1[[#This Row],[Birthweight (grams)]]),ISNUMBER(Table1[[#This Row],[Gestation (days)]])),TRUE,FALSE)</f>
        <v>0</v>
      </c>
      <c r="E5902" s="2" t="str">
        <f>IF(Table1[[#This Row],[Is Data Valid]]=TRUE,IF(Table1[[#This Row],[Fetal Sex (Male, Female or Unknown)]]="Male",Backend!$C$6,IF(Table1[[#This Row],[Fetal Sex (Male, Female or Unknown)]]="Female",Backend!$C$7,IF(Table1[[#This Row],[Fetal Sex (Male, Female or Unknown)]]="Unknown",Backend!$C$8,"Error"))),"")</f>
        <v/>
      </c>
      <c r="F5902" s="8" t="str">
        <f>IF(Table1[[#This Row],[Is Data Valid]]=TRUE,EXP(0.578+0.332*((Table1[[#This Row],[Gestation (days)]]+0.5)/7)-0.00354*((Table1[[#This Row],[Gestation (days)]]+0.5)/7)^2)*Table1[[#This Row],[BW40_3705]],"")</f>
        <v/>
      </c>
      <c r="G5902" s="2" t="str">
        <f>IF(Table1[[#This Row],[Is Data Valid]]=TRUE,((Table1[[#This Row],[Birthweight (grams)]]/Table1[[#This Row],[BW_GA]])-1)/(Backend!$B$4/100*Table1[[#This Row],[BW40_3705]]),"")</f>
        <v/>
      </c>
      <c r="H5902" s="7" t="str">
        <f>IF(Table1[[#This Row],[Is Data Valid]]=TRUE,((Table1[[#This Row],[Birthweight (grams)]]*0.9/Table1[[#This Row],[BW_GA]])-1)/(Backend!$B$4/100*Table1[[#This Row],[BW40_3705]]),"")</f>
        <v/>
      </c>
      <c r="I5902" s="7" t="str">
        <f>IF(Table1[[#This Row],[Is Data Valid]]=TRUE,((Table1[[#This Row],[Birthweight (grams)]]*1.1/Table1[[#This Row],[BW_GA]])-1)/(Backend!$B$4/100*Table1[[#This Row],[BW40_3705]]),"")</f>
        <v/>
      </c>
      <c r="J5902" s="7" t="str">
        <f>IF(Table1[[#This Row],[Is Data Valid]]=TRUE,_xlfn.NORM.S.DIST(Table1[[#This Row],[Birthweight Z-Score]],TRUE)*100,"")</f>
        <v/>
      </c>
      <c r="K5902" s="7" t="str">
        <f>IF(Table1[[#This Row],[Is Data Valid]]=TRUE,_xlfn.NORM.S.DIST(Table1[[#This Row],[Birthweight Z-Score (BW-10%)]],TRUE)*100,"")</f>
        <v/>
      </c>
      <c r="L5902" s="7" t="str">
        <f>IF(Table1[[#This Row],[Is Data Valid]]=TRUE,_xlfn.NORM.S.DIST(Table1[[#This Row],[Birthweight Z-Score (BW+10%)]],TRUE)*100,"")</f>
        <v/>
      </c>
    </row>
    <row r="5903" spans="1:12" x14ac:dyDescent="0.35">
      <c r="A5903" s="3"/>
      <c r="B5903" s="2"/>
      <c r="C5903" s="2"/>
      <c r="D5903" s="2" t="b">
        <f>IF(AND(NOT(ISBLANK(Table1[[#This Row],[Fetal Sex (Male, Female or Unknown)]])),ISNUMBER(Table1[[#This Row],[Birthweight (grams)]]),ISNUMBER(Table1[[#This Row],[Gestation (days)]])),TRUE,FALSE)</f>
        <v>0</v>
      </c>
      <c r="E5903" s="2" t="str">
        <f>IF(Table1[[#This Row],[Is Data Valid]]=TRUE,IF(Table1[[#This Row],[Fetal Sex (Male, Female or Unknown)]]="Male",Backend!$C$6,IF(Table1[[#This Row],[Fetal Sex (Male, Female or Unknown)]]="Female",Backend!$C$7,IF(Table1[[#This Row],[Fetal Sex (Male, Female or Unknown)]]="Unknown",Backend!$C$8,"Error"))),"")</f>
        <v/>
      </c>
      <c r="F5903" s="8" t="str">
        <f>IF(Table1[[#This Row],[Is Data Valid]]=TRUE,EXP(0.578+0.332*((Table1[[#This Row],[Gestation (days)]]+0.5)/7)-0.00354*((Table1[[#This Row],[Gestation (days)]]+0.5)/7)^2)*Table1[[#This Row],[BW40_3705]],"")</f>
        <v/>
      </c>
      <c r="G5903" s="2" t="str">
        <f>IF(Table1[[#This Row],[Is Data Valid]]=TRUE,((Table1[[#This Row],[Birthweight (grams)]]/Table1[[#This Row],[BW_GA]])-1)/(Backend!$B$4/100*Table1[[#This Row],[BW40_3705]]),"")</f>
        <v/>
      </c>
      <c r="H5903" s="7" t="str">
        <f>IF(Table1[[#This Row],[Is Data Valid]]=TRUE,((Table1[[#This Row],[Birthweight (grams)]]*0.9/Table1[[#This Row],[BW_GA]])-1)/(Backend!$B$4/100*Table1[[#This Row],[BW40_3705]]),"")</f>
        <v/>
      </c>
      <c r="I5903" s="7" t="str">
        <f>IF(Table1[[#This Row],[Is Data Valid]]=TRUE,((Table1[[#This Row],[Birthweight (grams)]]*1.1/Table1[[#This Row],[BW_GA]])-1)/(Backend!$B$4/100*Table1[[#This Row],[BW40_3705]]),"")</f>
        <v/>
      </c>
      <c r="J5903" s="7" t="str">
        <f>IF(Table1[[#This Row],[Is Data Valid]]=TRUE,_xlfn.NORM.S.DIST(Table1[[#This Row],[Birthweight Z-Score]],TRUE)*100,"")</f>
        <v/>
      </c>
      <c r="K5903" s="7" t="str">
        <f>IF(Table1[[#This Row],[Is Data Valid]]=TRUE,_xlfn.NORM.S.DIST(Table1[[#This Row],[Birthweight Z-Score (BW-10%)]],TRUE)*100,"")</f>
        <v/>
      </c>
      <c r="L5903" s="7" t="str">
        <f>IF(Table1[[#This Row],[Is Data Valid]]=TRUE,_xlfn.NORM.S.DIST(Table1[[#This Row],[Birthweight Z-Score (BW+10%)]],TRUE)*100,"")</f>
        <v/>
      </c>
    </row>
    <row r="5904" spans="1:12" x14ac:dyDescent="0.35">
      <c r="A5904" s="3"/>
      <c r="B5904" s="2"/>
      <c r="C5904" s="2"/>
      <c r="D5904" s="2" t="b">
        <f>IF(AND(NOT(ISBLANK(Table1[[#This Row],[Fetal Sex (Male, Female or Unknown)]])),ISNUMBER(Table1[[#This Row],[Birthweight (grams)]]),ISNUMBER(Table1[[#This Row],[Gestation (days)]])),TRUE,FALSE)</f>
        <v>0</v>
      </c>
      <c r="E5904" s="2" t="str">
        <f>IF(Table1[[#This Row],[Is Data Valid]]=TRUE,IF(Table1[[#This Row],[Fetal Sex (Male, Female or Unknown)]]="Male",Backend!$C$6,IF(Table1[[#This Row],[Fetal Sex (Male, Female or Unknown)]]="Female",Backend!$C$7,IF(Table1[[#This Row],[Fetal Sex (Male, Female or Unknown)]]="Unknown",Backend!$C$8,"Error"))),"")</f>
        <v/>
      </c>
      <c r="F5904" s="8" t="str">
        <f>IF(Table1[[#This Row],[Is Data Valid]]=TRUE,EXP(0.578+0.332*((Table1[[#This Row],[Gestation (days)]]+0.5)/7)-0.00354*((Table1[[#This Row],[Gestation (days)]]+0.5)/7)^2)*Table1[[#This Row],[BW40_3705]],"")</f>
        <v/>
      </c>
      <c r="G5904" s="2" t="str">
        <f>IF(Table1[[#This Row],[Is Data Valid]]=TRUE,((Table1[[#This Row],[Birthweight (grams)]]/Table1[[#This Row],[BW_GA]])-1)/(Backend!$B$4/100*Table1[[#This Row],[BW40_3705]]),"")</f>
        <v/>
      </c>
      <c r="H5904" s="7" t="str">
        <f>IF(Table1[[#This Row],[Is Data Valid]]=TRUE,((Table1[[#This Row],[Birthweight (grams)]]*0.9/Table1[[#This Row],[BW_GA]])-1)/(Backend!$B$4/100*Table1[[#This Row],[BW40_3705]]),"")</f>
        <v/>
      </c>
      <c r="I5904" s="7" t="str">
        <f>IF(Table1[[#This Row],[Is Data Valid]]=TRUE,((Table1[[#This Row],[Birthweight (grams)]]*1.1/Table1[[#This Row],[BW_GA]])-1)/(Backend!$B$4/100*Table1[[#This Row],[BW40_3705]]),"")</f>
        <v/>
      </c>
      <c r="J5904" s="7" t="str">
        <f>IF(Table1[[#This Row],[Is Data Valid]]=TRUE,_xlfn.NORM.S.DIST(Table1[[#This Row],[Birthweight Z-Score]],TRUE)*100,"")</f>
        <v/>
      </c>
      <c r="K5904" s="7" t="str">
        <f>IF(Table1[[#This Row],[Is Data Valid]]=TRUE,_xlfn.NORM.S.DIST(Table1[[#This Row],[Birthweight Z-Score (BW-10%)]],TRUE)*100,"")</f>
        <v/>
      </c>
      <c r="L5904" s="7" t="str">
        <f>IF(Table1[[#This Row],[Is Data Valid]]=TRUE,_xlfn.NORM.S.DIST(Table1[[#This Row],[Birthweight Z-Score (BW+10%)]],TRUE)*100,"")</f>
        <v/>
      </c>
    </row>
    <row r="5905" spans="1:12" x14ac:dyDescent="0.35">
      <c r="A5905" s="3"/>
      <c r="B5905" s="2"/>
      <c r="C5905" s="2"/>
      <c r="D5905" s="2" t="b">
        <f>IF(AND(NOT(ISBLANK(Table1[[#This Row],[Fetal Sex (Male, Female or Unknown)]])),ISNUMBER(Table1[[#This Row],[Birthweight (grams)]]),ISNUMBER(Table1[[#This Row],[Gestation (days)]])),TRUE,FALSE)</f>
        <v>0</v>
      </c>
      <c r="E5905" s="2" t="str">
        <f>IF(Table1[[#This Row],[Is Data Valid]]=TRUE,IF(Table1[[#This Row],[Fetal Sex (Male, Female or Unknown)]]="Male",Backend!$C$6,IF(Table1[[#This Row],[Fetal Sex (Male, Female or Unknown)]]="Female",Backend!$C$7,IF(Table1[[#This Row],[Fetal Sex (Male, Female or Unknown)]]="Unknown",Backend!$C$8,"Error"))),"")</f>
        <v/>
      </c>
      <c r="F5905" s="8" t="str">
        <f>IF(Table1[[#This Row],[Is Data Valid]]=TRUE,EXP(0.578+0.332*((Table1[[#This Row],[Gestation (days)]]+0.5)/7)-0.00354*((Table1[[#This Row],[Gestation (days)]]+0.5)/7)^2)*Table1[[#This Row],[BW40_3705]],"")</f>
        <v/>
      </c>
      <c r="G5905" s="2" t="str">
        <f>IF(Table1[[#This Row],[Is Data Valid]]=TRUE,((Table1[[#This Row],[Birthweight (grams)]]/Table1[[#This Row],[BW_GA]])-1)/(Backend!$B$4/100*Table1[[#This Row],[BW40_3705]]),"")</f>
        <v/>
      </c>
      <c r="H5905" s="7" t="str">
        <f>IF(Table1[[#This Row],[Is Data Valid]]=TRUE,((Table1[[#This Row],[Birthweight (grams)]]*0.9/Table1[[#This Row],[BW_GA]])-1)/(Backend!$B$4/100*Table1[[#This Row],[BW40_3705]]),"")</f>
        <v/>
      </c>
      <c r="I5905" s="7" t="str">
        <f>IF(Table1[[#This Row],[Is Data Valid]]=TRUE,((Table1[[#This Row],[Birthweight (grams)]]*1.1/Table1[[#This Row],[BW_GA]])-1)/(Backend!$B$4/100*Table1[[#This Row],[BW40_3705]]),"")</f>
        <v/>
      </c>
      <c r="J5905" s="7" t="str">
        <f>IF(Table1[[#This Row],[Is Data Valid]]=TRUE,_xlfn.NORM.S.DIST(Table1[[#This Row],[Birthweight Z-Score]],TRUE)*100,"")</f>
        <v/>
      </c>
      <c r="K5905" s="7" t="str">
        <f>IF(Table1[[#This Row],[Is Data Valid]]=TRUE,_xlfn.NORM.S.DIST(Table1[[#This Row],[Birthweight Z-Score (BW-10%)]],TRUE)*100,"")</f>
        <v/>
      </c>
      <c r="L5905" s="7" t="str">
        <f>IF(Table1[[#This Row],[Is Data Valid]]=TRUE,_xlfn.NORM.S.DIST(Table1[[#This Row],[Birthweight Z-Score (BW+10%)]],TRUE)*100,"")</f>
        <v/>
      </c>
    </row>
    <row r="5906" spans="1:12" x14ac:dyDescent="0.35">
      <c r="A5906" s="3"/>
      <c r="B5906" s="2"/>
      <c r="C5906" s="2"/>
      <c r="D5906" s="2" t="b">
        <f>IF(AND(NOT(ISBLANK(Table1[[#This Row],[Fetal Sex (Male, Female or Unknown)]])),ISNUMBER(Table1[[#This Row],[Birthweight (grams)]]),ISNUMBER(Table1[[#This Row],[Gestation (days)]])),TRUE,FALSE)</f>
        <v>0</v>
      </c>
      <c r="E5906" s="2" t="str">
        <f>IF(Table1[[#This Row],[Is Data Valid]]=TRUE,IF(Table1[[#This Row],[Fetal Sex (Male, Female or Unknown)]]="Male",Backend!$C$6,IF(Table1[[#This Row],[Fetal Sex (Male, Female or Unknown)]]="Female",Backend!$C$7,IF(Table1[[#This Row],[Fetal Sex (Male, Female or Unknown)]]="Unknown",Backend!$C$8,"Error"))),"")</f>
        <v/>
      </c>
      <c r="F5906" s="8" t="str">
        <f>IF(Table1[[#This Row],[Is Data Valid]]=TRUE,EXP(0.578+0.332*((Table1[[#This Row],[Gestation (days)]]+0.5)/7)-0.00354*((Table1[[#This Row],[Gestation (days)]]+0.5)/7)^2)*Table1[[#This Row],[BW40_3705]],"")</f>
        <v/>
      </c>
      <c r="G5906" s="2" t="str">
        <f>IF(Table1[[#This Row],[Is Data Valid]]=TRUE,((Table1[[#This Row],[Birthweight (grams)]]/Table1[[#This Row],[BW_GA]])-1)/(Backend!$B$4/100*Table1[[#This Row],[BW40_3705]]),"")</f>
        <v/>
      </c>
      <c r="H5906" s="7" t="str">
        <f>IF(Table1[[#This Row],[Is Data Valid]]=TRUE,((Table1[[#This Row],[Birthweight (grams)]]*0.9/Table1[[#This Row],[BW_GA]])-1)/(Backend!$B$4/100*Table1[[#This Row],[BW40_3705]]),"")</f>
        <v/>
      </c>
      <c r="I5906" s="7" t="str">
        <f>IF(Table1[[#This Row],[Is Data Valid]]=TRUE,((Table1[[#This Row],[Birthweight (grams)]]*1.1/Table1[[#This Row],[BW_GA]])-1)/(Backend!$B$4/100*Table1[[#This Row],[BW40_3705]]),"")</f>
        <v/>
      </c>
      <c r="J5906" s="7" t="str">
        <f>IF(Table1[[#This Row],[Is Data Valid]]=TRUE,_xlfn.NORM.S.DIST(Table1[[#This Row],[Birthweight Z-Score]],TRUE)*100,"")</f>
        <v/>
      </c>
      <c r="K5906" s="7" t="str">
        <f>IF(Table1[[#This Row],[Is Data Valid]]=TRUE,_xlfn.NORM.S.DIST(Table1[[#This Row],[Birthweight Z-Score (BW-10%)]],TRUE)*100,"")</f>
        <v/>
      </c>
      <c r="L5906" s="7" t="str">
        <f>IF(Table1[[#This Row],[Is Data Valid]]=TRUE,_xlfn.NORM.S.DIST(Table1[[#This Row],[Birthweight Z-Score (BW+10%)]],TRUE)*100,"")</f>
        <v/>
      </c>
    </row>
    <row r="5907" spans="1:12" x14ac:dyDescent="0.35">
      <c r="A5907" s="3"/>
      <c r="B5907" s="2"/>
      <c r="C5907" s="2"/>
      <c r="D5907" s="2" t="b">
        <f>IF(AND(NOT(ISBLANK(Table1[[#This Row],[Fetal Sex (Male, Female or Unknown)]])),ISNUMBER(Table1[[#This Row],[Birthweight (grams)]]),ISNUMBER(Table1[[#This Row],[Gestation (days)]])),TRUE,FALSE)</f>
        <v>0</v>
      </c>
      <c r="E5907" s="2" t="str">
        <f>IF(Table1[[#This Row],[Is Data Valid]]=TRUE,IF(Table1[[#This Row],[Fetal Sex (Male, Female or Unknown)]]="Male",Backend!$C$6,IF(Table1[[#This Row],[Fetal Sex (Male, Female or Unknown)]]="Female",Backend!$C$7,IF(Table1[[#This Row],[Fetal Sex (Male, Female or Unknown)]]="Unknown",Backend!$C$8,"Error"))),"")</f>
        <v/>
      </c>
      <c r="F5907" s="8" t="str">
        <f>IF(Table1[[#This Row],[Is Data Valid]]=TRUE,EXP(0.578+0.332*((Table1[[#This Row],[Gestation (days)]]+0.5)/7)-0.00354*((Table1[[#This Row],[Gestation (days)]]+0.5)/7)^2)*Table1[[#This Row],[BW40_3705]],"")</f>
        <v/>
      </c>
      <c r="G5907" s="2" t="str">
        <f>IF(Table1[[#This Row],[Is Data Valid]]=TRUE,((Table1[[#This Row],[Birthweight (grams)]]/Table1[[#This Row],[BW_GA]])-1)/(Backend!$B$4/100*Table1[[#This Row],[BW40_3705]]),"")</f>
        <v/>
      </c>
      <c r="H5907" s="7" t="str">
        <f>IF(Table1[[#This Row],[Is Data Valid]]=TRUE,((Table1[[#This Row],[Birthweight (grams)]]*0.9/Table1[[#This Row],[BW_GA]])-1)/(Backend!$B$4/100*Table1[[#This Row],[BW40_3705]]),"")</f>
        <v/>
      </c>
      <c r="I5907" s="7" t="str">
        <f>IF(Table1[[#This Row],[Is Data Valid]]=TRUE,((Table1[[#This Row],[Birthweight (grams)]]*1.1/Table1[[#This Row],[BW_GA]])-1)/(Backend!$B$4/100*Table1[[#This Row],[BW40_3705]]),"")</f>
        <v/>
      </c>
      <c r="J5907" s="7" t="str">
        <f>IF(Table1[[#This Row],[Is Data Valid]]=TRUE,_xlfn.NORM.S.DIST(Table1[[#This Row],[Birthweight Z-Score]],TRUE)*100,"")</f>
        <v/>
      </c>
      <c r="K5907" s="7" t="str">
        <f>IF(Table1[[#This Row],[Is Data Valid]]=TRUE,_xlfn.NORM.S.DIST(Table1[[#This Row],[Birthweight Z-Score (BW-10%)]],TRUE)*100,"")</f>
        <v/>
      </c>
      <c r="L5907" s="7" t="str">
        <f>IF(Table1[[#This Row],[Is Data Valid]]=TRUE,_xlfn.NORM.S.DIST(Table1[[#This Row],[Birthweight Z-Score (BW+10%)]],TRUE)*100,"")</f>
        <v/>
      </c>
    </row>
    <row r="5908" spans="1:12" x14ac:dyDescent="0.35">
      <c r="A5908" s="3"/>
      <c r="B5908" s="2"/>
      <c r="C5908" s="2"/>
      <c r="D5908" s="2" t="b">
        <f>IF(AND(NOT(ISBLANK(Table1[[#This Row],[Fetal Sex (Male, Female or Unknown)]])),ISNUMBER(Table1[[#This Row],[Birthweight (grams)]]),ISNUMBER(Table1[[#This Row],[Gestation (days)]])),TRUE,FALSE)</f>
        <v>0</v>
      </c>
      <c r="E5908" s="2" t="str">
        <f>IF(Table1[[#This Row],[Is Data Valid]]=TRUE,IF(Table1[[#This Row],[Fetal Sex (Male, Female or Unknown)]]="Male",Backend!$C$6,IF(Table1[[#This Row],[Fetal Sex (Male, Female or Unknown)]]="Female",Backend!$C$7,IF(Table1[[#This Row],[Fetal Sex (Male, Female or Unknown)]]="Unknown",Backend!$C$8,"Error"))),"")</f>
        <v/>
      </c>
      <c r="F5908" s="8" t="str">
        <f>IF(Table1[[#This Row],[Is Data Valid]]=TRUE,EXP(0.578+0.332*((Table1[[#This Row],[Gestation (days)]]+0.5)/7)-0.00354*((Table1[[#This Row],[Gestation (days)]]+0.5)/7)^2)*Table1[[#This Row],[BW40_3705]],"")</f>
        <v/>
      </c>
      <c r="G5908" s="2" t="str">
        <f>IF(Table1[[#This Row],[Is Data Valid]]=TRUE,((Table1[[#This Row],[Birthweight (grams)]]/Table1[[#This Row],[BW_GA]])-1)/(Backend!$B$4/100*Table1[[#This Row],[BW40_3705]]),"")</f>
        <v/>
      </c>
      <c r="H5908" s="7" t="str">
        <f>IF(Table1[[#This Row],[Is Data Valid]]=TRUE,((Table1[[#This Row],[Birthweight (grams)]]*0.9/Table1[[#This Row],[BW_GA]])-1)/(Backend!$B$4/100*Table1[[#This Row],[BW40_3705]]),"")</f>
        <v/>
      </c>
      <c r="I5908" s="7" t="str">
        <f>IF(Table1[[#This Row],[Is Data Valid]]=TRUE,((Table1[[#This Row],[Birthweight (grams)]]*1.1/Table1[[#This Row],[BW_GA]])-1)/(Backend!$B$4/100*Table1[[#This Row],[BW40_3705]]),"")</f>
        <v/>
      </c>
      <c r="J5908" s="7" t="str">
        <f>IF(Table1[[#This Row],[Is Data Valid]]=TRUE,_xlfn.NORM.S.DIST(Table1[[#This Row],[Birthweight Z-Score]],TRUE)*100,"")</f>
        <v/>
      </c>
      <c r="K5908" s="7" t="str">
        <f>IF(Table1[[#This Row],[Is Data Valid]]=TRUE,_xlfn.NORM.S.DIST(Table1[[#This Row],[Birthweight Z-Score (BW-10%)]],TRUE)*100,"")</f>
        <v/>
      </c>
      <c r="L5908" s="7" t="str">
        <f>IF(Table1[[#This Row],[Is Data Valid]]=TRUE,_xlfn.NORM.S.DIST(Table1[[#This Row],[Birthweight Z-Score (BW+10%)]],TRUE)*100,"")</f>
        <v/>
      </c>
    </row>
    <row r="5909" spans="1:12" x14ac:dyDescent="0.35">
      <c r="A5909" s="3"/>
      <c r="B5909" s="2"/>
      <c r="C5909" s="2"/>
      <c r="D5909" s="2" t="b">
        <f>IF(AND(NOT(ISBLANK(Table1[[#This Row],[Fetal Sex (Male, Female or Unknown)]])),ISNUMBER(Table1[[#This Row],[Birthweight (grams)]]),ISNUMBER(Table1[[#This Row],[Gestation (days)]])),TRUE,FALSE)</f>
        <v>0</v>
      </c>
      <c r="E5909" s="2" t="str">
        <f>IF(Table1[[#This Row],[Is Data Valid]]=TRUE,IF(Table1[[#This Row],[Fetal Sex (Male, Female or Unknown)]]="Male",Backend!$C$6,IF(Table1[[#This Row],[Fetal Sex (Male, Female or Unknown)]]="Female",Backend!$C$7,IF(Table1[[#This Row],[Fetal Sex (Male, Female or Unknown)]]="Unknown",Backend!$C$8,"Error"))),"")</f>
        <v/>
      </c>
      <c r="F5909" s="8" t="str">
        <f>IF(Table1[[#This Row],[Is Data Valid]]=TRUE,EXP(0.578+0.332*((Table1[[#This Row],[Gestation (days)]]+0.5)/7)-0.00354*((Table1[[#This Row],[Gestation (days)]]+0.5)/7)^2)*Table1[[#This Row],[BW40_3705]],"")</f>
        <v/>
      </c>
      <c r="G5909" s="2" t="str">
        <f>IF(Table1[[#This Row],[Is Data Valid]]=TRUE,((Table1[[#This Row],[Birthweight (grams)]]/Table1[[#This Row],[BW_GA]])-1)/(Backend!$B$4/100*Table1[[#This Row],[BW40_3705]]),"")</f>
        <v/>
      </c>
      <c r="H5909" s="7" t="str">
        <f>IF(Table1[[#This Row],[Is Data Valid]]=TRUE,((Table1[[#This Row],[Birthweight (grams)]]*0.9/Table1[[#This Row],[BW_GA]])-1)/(Backend!$B$4/100*Table1[[#This Row],[BW40_3705]]),"")</f>
        <v/>
      </c>
      <c r="I5909" s="7" t="str">
        <f>IF(Table1[[#This Row],[Is Data Valid]]=TRUE,((Table1[[#This Row],[Birthweight (grams)]]*1.1/Table1[[#This Row],[BW_GA]])-1)/(Backend!$B$4/100*Table1[[#This Row],[BW40_3705]]),"")</f>
        <v/>
      </c>
      <c r="J5909" s="7" t="str">
        <f>IF(Table1[[#This Row],[Is Data Valid]]=TRUE,_xlfn.NORM.S.DIST(Table1[[#This Row],[Birthweight Z-Score]],TRUE)*100,"")</f>
        <v/>
      </c>
      <c r="K5909" s="7" t="str">
        <f>IF(Table1[[#This Row],[Is Data Valid]]=TRUE,_xlfn.NORM.S.DIST(Table1[[#This Row],[Birthweight Z-Score (BW-10%)]],TRUE)*100,"")</f>
        <v/>
      </c>
      <c r="L5909" s="7" t="str">
        <f>IF(Table1[[#This Row],[Is Data Valid]]=TRUE,_xlfn.NORM.S.DIST(Table1[[#This Row],[Birthweight Z-Score (BW+10%)]],TRUE)*100,"")</f>
        <v/>
      </c>
    </row>
    <row r="5910" spans="1:12" x14ac:dyDescent="0.35">
      <c r="A5910" s="3"/>
      <c r="B5910" s="2"/>
      <c r="C5910" s="2"/>
      <c r="D5910" s="2" t="b">
        <f>IF(AND(NOT(ISBLANK(Table1[[#This Row],[Fetal Sex (Male, Female or Unknown)]])),ISNUMBER(Table1[[#This Row],[Birthweight (grams)]]),ISNUMBER(Table1[[#This Row],[Gestation (days)]])),TRUE,FALSE)</f>
        <v>0</v>
      </c>
      <c r="E5910" s="2" t="str">
        <f>IF(Table1[[#This Row],[Is Data Valid]]=TRUE,IF(Table1[[#This Row],[Fetal Sex (Male, Female or Unknown)]]="Male",Backend!$C$6,IF(Table1[[#This Row],[Fetal Sex (Male, Female or Unknown)]]="Female",Backend!$C$7,IF(Table1[[#This Row],[Fetal Sex (Male, Female or Unknown)]]="Unknown",Backend!$C$8,"Error"))),"")</f>
        <v/>
      </c>
      <c r="F5910" s="8" t="str">
        <f>IF(Table1[[#This Row],[Is Data Valid]]=TRUE,EXP(0.578+0.332*((Table1[[#This Row],[Gestation (days)]]+0.5)/7)-0.00354*((Table1[[#This Row],[Gestation (days)]]+0.5)/7)^2)*Table1[[#This Row],[BW40_3705]],"")</f>
        <v/>
      </c>
      <c r="G5910" s="2" t="str">
        <f>IF(Table1[[#This Row],[Is Data Valid]]=TRUE,((Table1[[#This Row],[Birthweight (grams)]]/Table1[[#This Row],[BW_GA]])-1)/(Backend!$B$4/100*Table1[[#This Row],[BW40_3705]]),"")</f>
        <v/>
      </c>
      <c r="H5910" s="7" t="str">
        <f>IF(Table1[[#This Row],[Is Data Valid]]=TRUE,((Table1[[#This Row],[Birthweight (grams)]]*0.9/Table1[[#This Row],[BW_GA]])-1)/(Backend!$B$4/100*Table1[[#This Row],[BW40_3705]]),"")</f>
        <v/>
      </c>
      <c r="I5910" s="7" t="str">
        <f>IF(Table1[[#This Row],[Is Data Valid]]=TRUE,((Table1[[#This Row],[Birthweight (grams)]]*1.1/Table1[[#This Row],[BW_GA]])-1)/(Backend!$B$4/100*Table1[[#This Row],[BW40_3705]]),"")</f>
        <v/>
      </c>
      <c r="J5910" s="7" t="str">
        <f>IF(Table1[[#This Row],[Is Data Valid]]=TRUE,_xlfn.NORM.S.DIST(Table1[[#This Row],[Birthweight Z-Score]],TRUE)*100,"")</f>
        <v/>
      </c>
      <c r="K5910" s="7" t="str">
        <f>IF(Table1[[#This Row],[Is Data Valid]]=TRUE,_xlfn.NORM.S.DIST(Table1[[#This Row],[Birthweight Z-Score (BW-10%)]],TRUE)*100,"")</f>
        <v/>
      </c>
      <c r="L5910" s="7" t="str">
        <f>IF(Table1[[#This Row],[Is Data Valid]]=TRUE,_xlfn.NORM.S.DIST(Table1[[#This Row],[Birthweight Z-Score (BW+10%)]],TRUE)*100,"")</f>
        <v/>
      </c>
    </row>
    <row r="5911" spans="1:12" x14ac:dyDescent="0.35">
      <c r="A5911" s="3"/>
      <c r="B5911" s="2"/>
      <c r="C5911" s="2"/>
      <c r="D5911" s="2" t="b">
        <f>IF(AND(NOT(ISBLANK(Table1[[#This Row],[Fetal Sex (Male, Female or Unknown)]])),ISNUMBER(Table1[[#This Row],[Birthweight (grams)]]),ISNUMBER(Table1[[#This Row],[Gestation (days)]])),TRUE,FALSE)</f>
        <v>0</v>
      </c>
      <c r="E5911" s="2" t="str">
        <f>IF(Table1[[#This Row],[Is Data Valid]]=TRUE,IF(Table1[[#This Row],[Fetal Sex (Male, Female or Unknown)]]="Male",Backend!$C$6,IF(Table1[[#This Row],[Fetal Sex (Male, Female or Unknown)]]="Female",Backend!$C$7,IF(Table1[[#This Row],[Fetal Sex (Male, Female or Unknown)]]="Unknown",Backend!$C$8,"Error"))),"")</f>
        <v/>
      </c>
      <c r="F5911" s="8" t="str">
        <f>IF(Table1[[#This Row],[Is Data Valid]]=TRUE,EXP(0.578+0.332*((Table1[[#This Row],[Gestation (days)]]+0.5)/7)-0.00354*((Table1[[#This Row],[Gestation (days)]]+0.5)/7)^2)*Table1[[#This Row],[BW40_3705]],"")</f>
        <v/>
      </c>
      <c r="G5911" s="2" t="str">
        <f>IF(Table1[[#This Row],[Is Data Valid]]=TRUE,((Table1[[#This Row],[Birthweight (grams)]]/Table1[[#This Row],[BW_GA]])-1)/(Backend!$B$4/100*Table1[[#This Row],[BW40_3705]]),"")</f>
        <v/>
      </c>
      <c r="H5911" s="7" t="str">
        <f>IF(Table1[[#This Row],[Is Data Valid]]=TRUE,((Table1[[#This Row],[Birthweight (grams)]]*0.9/Table1[[#This Row],[BW_GA]])-1)/(Backend!$B$4/100*Table1[[#This Row],[BW40_3705]]),"")</f>
        <v/>
      </c>
      <c r="I5911" s="7" t="str">
        <f>IF(Table1[[#This Row],[Is Data Valid]]=TRUE,((Table1[[#This Row],[Birthweight (grams)]]*1.1/Table1[[#This Row],[BW_GA]])-1)/(Backend!$B$4/100*Table1[[#This Row],[BW40_3705]]),"")</f>
        <v/>
      </c>
      <c r="J5911" s="7" t="str">
        <f>IF(Table1[[#This Row],[Is Data Valid]]=TRUE,_xlfn.NORM.S.DIST(Table1[[#This Row],[Birthweight Z-Score]],TRUE)*100,"")</f>
        <v/>
      </c>
      <c r="K5911" s="7" t="str">
        <f>IF(Table1[[#This Row],[Is Data Valid]]=TRUE,_xlfn.NORM.S.DIST(Table1[[#This Row],[Birthweight Z-Score (BW-10%)]],TRUE)*100,"")</f>
        <v/>
      </c>
      <c r="L5911" s="7" t="str">
        <f>IF(Table1[[#This Row],[Is Data Valid]]=TRUE,_xlfn.NORM.S.DIST(Table1[[#This Row],[Birthweight Z-Score (BW+10%)]],TRUE)*100,"")</f>
        <v/>
      </c>
    </row>
    <row r="5912" spans="1:12" x14ac:dyDescent="0.35">
      <c r="A5912" s="3"/>
      <c r="B5912" s="2"/>
      <c r="C5912" s="2"/>
      <c r="D5912" s="2" t="b">
        <f>IF(AND(NOT(ISBLANK(Table1[[#This Row],[Fetal Sex (Male, Female or Unknown)]])),ISNUMBER(Table1[[#This Row],[Birthweight (grams)]]),ISNUMBER(Table1[[#This Row],[Gestation (days)]])),TRUE,FALSE)</f>
        <v>0</v>
      </c>
      <c r="E5912" s="2" t="str">
        <f>IF(Table1[[#This Row],[Is Data Valid]]=TRUE,IF(Table1[[#This Row],[Fetal Sex (Male, Female or Unknown)]]="Male",Backend!$C$6,IF(Table1[[#This Row],[Fetal Sex (Male, Female or Unknown)]]="Female",Backend!$C$7,IF(Table1[[#This Row],[Fetal Sex (Male, Female or Unknown)]]="Unknown",Backend!$C$8,"Error"))),"")</f>
        <v/>
      </c>
      <c r="F5912" s="8" t="str">
        <f>IF(Table1[[#This Row],[Is Data Valid]]=TRUE,EXP(0.578+0.332*((Table1[[#This Row],[Gestation (days)]]+0.5)/7)-0.00354*((Table1[[#This Row],[Gestation (days)]]+0.5)/7)^2)*Table1[[#This Row],[BW40_3705]],"")</f>
        <v/>
      </c>
      <c r="G5912" s="2" t="str">
        <f>IF(Table1[[#This Row],[Is Data Valid]]=TRUE,((Table1[[#This Row],[Birthweight (grams)]]/Table1[[#This Row],[BW_GA]])-1)/(Backend!$B$4/100*Table1[[#This Row],[BW40_3705]]),"")</f>
        <v/>
      </c>
      <c r="H5912" s="7" t="str">
        <f>IF(Table1[[#This Row],[Is Data Valid]]=TRUE,((Table1[[#This Row],[Birthweight (grams)]]*0.9/Table1[[#This Row],[BW_GA]])-1)/(Backend!$B$4/100*Table1[[#This Row],[BW40_3705]]),"")</f>
        <v/>
      </c>
      <c r="I5912" s="7" t="str">
        <f>IF(Table1[[#This Row],[Is Data Valid]]=TRUE,((Table1[[#This Row],[Birthweight (grams)]]*1.1/Table1[[#This Row],[BW_GA]])-1)/(Backend!$B$4/100*Table1[[#This Row],[BW40_3705]]),"")</f>
        <v/>
      </c>
      <c r="J5912" s="7" t="str">
        <f>IF(Table1[[#This Row],[Is Data Valid]]=TRUE,_xlfn.NORM.S.DIST(Table1[[#This Row],[Birthweight Z-Score]],TRUE)*100,"")</f>
        <v/>
      </c>
      <c r="K5912" s="7" t="str">
        <f>IF(Table1[[#This Row],[Is Data Valid]]=TRUE,_xlfn.NORM.S.DIST(Table1[[#This Row],[Birthweight Z-Score (BW-10%)]],TRUE)*100,"")</f>
        <v/>
      </c>
      <c r="L5912" s="7" t="str">
        <f>IF(Table1[[#This Row],[Is Data Valid]]=TRUE,_xlfn.NORM.S.DIST(Table1[[#This Row],[Birthweight Z-Score (BW+10%)]],TRUE)*100,"")</f>
        <v/>
      </c>
    </row>
    <row r="5913" spans="1:12" x14ac:dyDescent="0.35">
      <c r="A5913" s="3"/>
      <c r="B5913" s="2"/>
      <c r="C5913" s="2"/>
      <c r="D5913" s="2" t="b">
        <f>IF(AND(NOT(ISBLANK(Table1[[#This Row],[Fetal Sex (Male, Female or Unknown)]])),ISNUMBER(Table1[[#This Row],[Birthweight (grams)]]),ISNUMBER(Table1[[#This Row],[Gestation (days)]])),TRUE,FALSE)</f>
        <v>0</v>
      </c>
      <c r="E5913" s="2" t="str">
        <f>IF(Table1[[#This Row],[Is Data Valid]]=TRUE,IF(Table1[[#This Row],[Fetal Sex (Male, Female or Unknown)]]="Male",Backend!$C$6,IF(Table1[[#This Row],[Fetal Sex (Male, Female or Unknown)]]="Female",Backend!$C$7,IF(Table1[[#This Row],[Fetal Sex (Male, Female or Unknown)]]="Unknown",Backend!$C$8,"Error"))),"")</f>
        <v/>
      </c>
      <c r="F5913" s="8" t="str">
        <f>IF(Table1[[#This Row],[Is Data Valid]]=TRUE,EXP(0.578+0.332*((Table1[[#This Row],[Gestation (days)]]+0.5)/7)-0.00354*((Table1[[#This Row],[Gestation (days)]]+0.5)/7)^2)*Table1[[#This Row],[BW40_3705]],"")</f>
        <v/>
      </c>
      <c r="G5913" s="2" t="str">
        <f>IF(Table1[[#This Row],[Is Data Valid]]=TRUE,((Table1[[#This Row],[Birthweight (grams)]]/Table1[[#This Row],[BW_GA]])-1)/(Backend!$B$4/100*Table1[[#This Row],[BW40_3705]]),"")</f>
        <v/>
      </c>
      <c r="H5913" s="7" t="str">
        <f>IF(Table1[[#This Row],[Is Data Valid]]=TRUE,((Table1[[#This Row],[Birthweight (grams)]]*0.9/Table1[[#This Row],[BW_GA]])-1)/(Backend!$B$4/100*Table1[[#This Row],[BW40_3705]]),"")</f>
        <v/>
      </c>
      <c r="I5913" s="7" t="str">
        <f>IF(Table1[[#This Row],[Is Data Valid]]=TRUE,((Table1[[#This Row],[Birthweight (grams)]]*1.1/Table1[[#This Row],[BW_GA]])-1)/(Backend!$B$4/100*Table1[[#This Row],[BW40_3705]]),"")</f>
        <v/>
      </c>
      <c r="J5913" s="7" t="str">
        <f>IF(Table1[[#This Row],[Is Data Valid]]=TRUE,_xlfn.NORM.S.DIST(Table1[[#This Row],[Birthweight Z-Score]],TRUE)*100,"")</f>
        <v/>
      </c>
      <c r="K5913" s="7" t="str">
        <f>IF(Table1[[#This Row],[Is Data Valid]]=TRUE,_xlfn.NORM.S.DIST(Table1[[#This Row],[Birthweight Z-Score (BW-10%)]],TRUE)*100,"")</f>
        <v/>
      </c>
      <c r="L5913" s="7" t="str">
        <f>IF(Table1[[#This Row],[Is Data Valid]]=TRUE,_xlfn.NORM.S.DIST(Table1[[#This Row],[Birthweight Z-Score (BW+10%)]],TRUE)*100,"")</f>
        <v/>
      </c>
    </row>
    <row r="5914" spans="1:12" x14ac:dyDescent="0.35">
      <c r="A5914" s="3"/>
      <c r="B5914" s="2"/>
      <c r="C5914" s="2"/>
      <c r="D5914" s="2" t="b">
        <f>IF(AND(NOT(ISBLANK(Table1[[#This Row],[Fetal Sex (Male, Female or Unknown)]])),ISNUMBER(Table1[[#This Row],[Birthweight (grams)]]),ISNUMBER(Table1[[#This Row],[Gestation (days)]])),TRUE,FALSE)</f>
        <v>0</v>
      </c>
      <c r="E5914" s="2" t="str">
        <f>IF(Table1[[#This Row],[Is Data Valid]]=TRUE,IF(Table1[[#This Row],[Fetal Sex (Male, Female or Unknown)]]="Male",Backend!$C$6,IF(Table1[[#This Row],[Fetal Sex (Male, Female or Unknown)]]="Female",Backend!$C$7,IF(Table1[[#This Row],[Fetal Sex (Male, Female or Unknown)]]="Unknown",Backend!$C$8,"Error"))),"")</f>
        <v/>
      </c>
      <c r="F5914" s="8" t="str">
        <f>IF(Table1[[#This Row],[Is Data Valid]]=TRUE,EXP(0.578+0.332*((Table1[[#This Row],[Gestation (days)]]+0.5)/7)-0.00354*((Table1[[#This Row],[Gestation (days)]]+0.5)/7)^2)*Table1[[#This Row],[BW40_3705]],"")</f>
        <v/>
      </c>
      <c r="G5914" s="2" t="str">
        <f>IF(Table1[[#This Row],[Is Data Valid]]=TRUE,((Table1[[#This Row],[Birthweight (grams)]]/Table1[[#This Row],[BW_GA]])-1)/(Backend!$B$4/100*Table1[[#This Row],[BW40_3705]]),"")</f>
        <v/>
      </c>
      <c r="H5914" s="7" t="str">
        <f>IF(Table1[[#This Row],[Is Data Valid]]=TRUE,((Table1[[#This Row],[Birthweight (grams)]]*0.9/Table1[[#This Row],[BW_GA]])-1)/(Backend!$B$4/100*Table1[[#This Row],[BW40_3705]]),"")</f>
        <v/>
      </c>
      <c r="I5914" s="7" t="str">
        <f>IF(Table1[[#This Row],[Is Data Valid]]=TRUE,((Table1[[#This Row],[Birthweight (grams)]]*1.1/Table1[[#This Row],[BW_GA]])-1)/(Backend!$B$4/100*Table1[[#This Row],[BW40_3705]]),"")</f>
        <v/>
      </c>
      <c r="J5914" s="7" t="str">
        <f>IF(Table1[[#This Row],[Is Data Valid]]=TRUE,_xlfn.NORM.S.DIST(Table1[[#This Row],[Birthweight Z-Score]],TRUE)*100,"")</f>
        <v/>
      </c>
      <c r="K5914" s="7" t="str">
        <f>IF(Table1[[#This Row],[Is Data Valid]]=TRUE,_xlfn.NORM.S.DIST(Table1[[#This Row],[Birthweight Z-Score (BW-10%)]],TRUE)*100,"")</f>
        <v/>
      </c>
      <c r="L5914" s="7" t="str">
        <f>IF(Table1[[#This Row],[Is Data Valid]]=TRUE,_xlfn.NORM.S.DIST(Table1[[#This Row],[Birthweight Z-Score (BW+10%)]],TRUE)*100,"")</f>
        <v/>
      </c>
    </row>
    <row r="5915" spans="1:12" x14ac:dyDescent="0.35">
      <c r="A5915" s="3"/>
      <c r="B5915" s="2"/>
      <c r="C5915" s="2"/>
      <c r="D5915" s="2" t="b">
        <f>IF(AND(NOT(ISBLANK(Table1[[#This Row],[Fetal Sex (Male, Female or Unknown)]])),ISNUMBER(Table1[[#This Row],[Birthweight (grams)]]),ISNUMBER(Table1[[#This Row],[Gestation (days)]])),TRUE,FALSE)</f>
        <v>0</v>
      </c>
      <c r="E5915" s="2" t="str">
        <f>IF(Table1[[#This Row],[Is Data Valid]]=TRUE,IF(Table1[[#This Row],[Fetal Sex (Male, Female or Unknown)]]="Male",Backend!$C$6,IF(Table1[[#This Row],[Fetal Sex (Male, Female or Unknown)]]="Female",Backend!$C$7,IF(Table1[[#This Row],[Fetal Sex (Male, Female or Unknown)]]="Unknown",Backend!$C$8,"Error"))),"")</f>
        <v/>
      </c>
      <c r="F5915" s="8" t="str">
        <f>IF(Table1[[#This Row],[Is Data Valid]]=TRUE,EXP(0.578+0.332*((Table1[[#This Row],[Gestation (days)]]+0.5)/7)-0.00354*((Table1[[#This Row],[Gestation (days)]]+0.5)/7)^2)*Table1[[#This Row],[BW40_3705]],"")</f>
        <v/>
      </c>
      <c r="G5915" s="2" t="str">
        <f>IF(Table1[[#This Row],[Is Data Valid]]=TRUE,((Table1[[#This Row],[Birthweight (grams)]]/Table1[[#This Row],[BW_GA]])-1)/(Backend!$B$4/100*Table1[[#This Row],[BW40_3705]]),"")</f>
        <v/>
      </c>
      <c r="H5915" s="7" t="str">
        <f>IF(Table1[[#This Row],[Is Data Valid]]=TRUE,((Table1[[#This Row],[Birthweight (grams)]]*0.9/Table1[[#This Row],[BW_GA]])-1)/(Backend!$B$4/100*Table1[[#This Row],[BW40_3705]]),"")</f>
        <v/>
      </c>
      <c r="I5915" s="7" t="str">
        <f>IF(Table1[[#This Row],[Is Data Valid]]=TRUE,((Table1[[#This Row],[Birthweight (grams)]]*1.1/Table1[[#This Row],[BW_GA]])-1)/(Backend!$B$4/100*Table1[[#This Row],[BW40_3705]]),"")</f>
        <v/>
      </c>
      <c r="J5915" s="7" t="str">
        <f>IF(Table1[[#This Row],[Is Data Valid]]=TRUE,_xlfn.NORM.S.DIST(Table1[[#This Row],[Birthweight Z-Score]],TRUE)*100,"")</f>
        <v/>
      </c>
      <c r="K5915" s="7" t="str">
        <f>IF(Table1[[#This Row],[Is Data Valid]]=TRUE,_xlfn.NORM.S.DIST(Table1[[#This Row],[Birthweight Z-Score (BW-10%)]],TRUE)*100,"")</f>
        <v/>
      </c>
      <c r="L5915" s="7" t="str">
        <f>IF(Table1[[#This Row],[Is Data Valid]]=TRUE,_xlfn.NORM.S.DIST(Table1[[#This Row],[Birthweight Z-Score (BW+10%)]],TRUE)*100,"")</f>
        <v/>
      </c>
    </row>
    <row r="5916" spans="1:12" x14ac:dyDescent="0.35">
      <c r="A5916" s="3"/>
      <c r="B5916" s="2"/>
      <c r="C5916" s="2"/>
      <c r="D5916" s="2" t="b">
        <f>IF(AND(NOT(ISBLANK(Table1[[#This Row],[Fetal Sex (Male, Female or Unknown)]])),ISNUMBER(Table1[[#This Row],[Birthweight (grams)]]),ISNUMBER(Table1[[#This Row],[Gestation (days)]])),TRUE,FALSE)</f>
        <v>0</v>
      </c>
      <c r="E5916" s="2" t="str">
        <f>IF(Table1[[#This Row],[Is Data Valid]]=TRUE,IF(Table1[[#This Row],[Fetal Sex (Male, Female or Unknown)]]="Male",Backend!$C$6,IF(Table1[[#This Row],[Fetal Sex (Male, Female or Unknown)]]="Female",Backend!$C$7,IF(Table1[[#This Row],[Fetal Sex (Male, Female or Unknown)]]="Unknown",Backend!$C$8,"Error"))),"")</f>
        <v/>
      </c>
      <c r="F5916" s="8" t="str">
        <f>IF(Table1[[#This Row],[Is Data Valid]]=TRUE,EXP(0.578+0.332*((Table1[[#This Row],[Gestation (days)]]+0.5)/7)-0.00354*((Table1[[#This Row],[Gestation (days)]]+0.5)/7)^2)*Table1[[#This Row],[BW40_3705]],"")</f>
        <v/>
      </c>
      <c r="G5916" s="2" t="str">
        <f>IF(Table1[[#This Row],[Is Data Valid]]=TRUE,((Table1[[#This Row],[Birthweight (grams)]]/Table1[[#This Row],[BW_GA]])-1)/(Backend!$B$4/100*Table1[[#This Row],[BW40_3705]]),"")</f>
        <v/>
      </c>
      <c r="H5916" s="7" t="str">
        <f>IF(Table1[[#This Row],[Is Data Valid]]=TRUE,((Table1[[#This Row],[Birthweight (grams)]]*0.9/Table1[[#This Row],[BW_GA]])-1)/(Backend!$B$4/100*Table1[[#This Row],[BW40_3705]]),"")</f>
        <v/>
      </c>
      <c r="I5916" s="7" t="str">
        <f>IF(Table1[[#This Row],[Is Data Valid]]=TRUE,((Table1[[#This Row],[Birthweight (grams)]]*1.1/Table1[[#This Row],[BW_GA]])-1)/(Backend!$B$4/100*Table1[[#This Row],[BW40_3705]]),"")</f>
        <v/>
      </c>
      <c r="J5916" s="7" t="str">
        <f>IF(Table1[[#This Row],[Is Data Valid]]=TRUE,_xlfn.NORM.S.DIST(Table1[[#This Row],[Birthweight Z-Score]],TRUE)*100,"")</f>
        <v/>
      </c>
      <c r="K5916" s="7" t="str">
        <f>IF(Table1[[#This Row],[Is Data Valid]]=TRUE,_xlfn.NORM.S.DIST(Table1[[#This Row],[Birthweight Z-Score (BW-10%)]],TRUE)*100,"")</f>
        <v/>
      </c>
      <c r="L5916" s="7" t="str">
        <f>IF(Table1[[#This Row],[Is Data Valid]]=TRUE,_xlfn.NORM.S.DIST(Table1[[#This Row],[Birthweight Z-Score (BW+10%)]],TRUE)*100,"")</f>
        <v/>
      </c>
    </row>
    <row r="5917" spans="1:12" x14ac:dyDescent="0.35">
      <c r="A5917" s="3"/>
      <c r="B5917" s="2"/>
      <c r="C5917" s="2"/>
      <c r="D5917" s="2" t="b">
        <f>IF(AND(NOT(ISBLANK(Table1[[#This Row],[Fetal Sex (Male, Female or Unknown)]])),ISNUMBER(Table1[[#This Row],[Birthweight (grams)]]),ISNUMBER(Table1[[#This Row],[Gestation (days)]])),TRUE,FALSE)</f>
        <v>0</v>
      </c>
      <c r="E5917" s="2" t="str">
        <f>IF(Table1[[#This Row],[Is Data Valid]]=TRUE,IF(Table1[[#This Row],[Fetal Sex (Male, Female or Unknown)]]="Male",Backend!$C$6,IF(Table1[[#This Row],[Fetal Sex (Male, Female or Unknown)]]="Female",Backend!$C$7,IF(Table1[[#This Row],[Fetal Sex (Male, Female or Unknown)]]="Unknown",Backend!$C$8,"Error"))),"")</f>
        <v/>
      </c>
      <c r="F5917" s="8" t="str">
        <f>IF(Table1[[#This Row],[Is Data Valid]]=TRUE,EXP(0.578+0.332*((Table1[[#This Row],[Gestation (days)]]+0.5)/7)-0.00354*((Table1[[#This Row],[Gestation (days)]]+0.5)/7)^2)*Table1[[#This Row],[BW40_3705]],"")</f>
        <v/>
      </c>
      <c r="G5917" s="2" t="str">
        <f>IF(Table1[[#This Row],[Is Data Valid]]=TRUE,((Table1[[#This Row],[Birthweight (grams)]]/Table1[[#This Row],[BW_GA]])-1)/(Backend!$B$4/100*Table1[[#This Row],[BW40_3705]]),"")</f>
        <v/>
      </c>
      <c r="H5917" s="7" t="str">
        <f>IF(Table1[[#This Row],[Is Data Valid]]=TRUE,((Table1[[#This Row],[Birthweight (grams)]]*0.9/Table1[[#This Row],[BW_GA]])-1)/(Backend!$B$4/100*Table1[[#This Row],[BW40_3705]]),"")</f>
        <v/>
      </c>
      <c r="I5917" s="7" t="str">
        <f>IF(Table1[[#This Row],[Is Data Valid]]=TRUE,((Table1[[#This Row],[Birthweight (grams)]]*1.1/Table1[[#This Row],[BW_GA]])-1)/(Backend!$B$4/100*Table1[[#This Row],[BW40_3705]]),"")</f>
        <v/>
      </c>
      <c r="J5917" s="7" t="str">
        <f>IF(Table1[[#This Row],[Is Data Valid]]=TRUE,_xlfn.NORM.S.DIST(Table1[[#This Row],[Birthweight Z-Score]],TRUE)*100,"")</f>
        <v/>
      </c>
      <c r="K5917" s="7" t="str">
        <f>IF(Table1[[#This Row],[Is Data Valid]]=TRUE,_xlfn.NORM.S.DIST(Table1[[#This Row],[Birthweight Z-Score (BW-10%)]],TRUE)*100,"")</f>
        <v/>
      </c>
      <c r="L5917" s="7" t="str">
        <f>IF(Table1[[#This Row],[Is Data Valid]]=TRUE,_xlfn.NORM.S.DIST(Table1[[#This Row],[Birthweight Z-Score (BW+10%)]],TRUE)*100,"")</f>
        <v/>
      </c>
    </row>
    <row r="5918" spans="1:12" x14ac:dyDescent="0.35">
      <c r="A5918" s="3"/>
      <c r="B5918" s="2"/>
      <c r="C5918" s="2"/>
      <c r="D5918" s="2" t="b">
        <f>IF(AND(NOT(ISBLANK(Table1[[#This Row],[Fetal Sex (Male, Female or Unknown)]])),ISNUMBER(Table1[[#This Row],[Birthweight (grams)]]),ISNUMBER(Table1[[#This Row],[Gestation (days)]])),TRUE,FALSE)</f>
        <v>0</v>
      </c>
      <c r="E5918" s="2" t="str">
        <f>IF(Table1[[#This Row],[Is Data Valid]]=TRUE,IF(Table1[[#This Row],[Fetal Sex (Male, Female or Unknown)]]="Male",Backend!$C$6,IF(Table1[[#This Row],[Fetal Sex (Male, Female or Unknown)]]="Female",Backend!$C$7,IF(Table1[[#This Row],[Fetal Sex (Male, Female or Unknown)]]="Unknown",Backend!$C$8,"Error"))),"")</f>
        <v/>
      </c>
      <c r="F5918" s="8" t="str">
        <f>IF(Table1[[#This Row],[Is Data Valid]]=TRUE,EXP(0.578+0.332*((Table1[[#This Row],[Gestation (days)]]+0.5)/7)-0.00354*((Table1[[#This Row],[Gestation (days)]]+0.5)/7)^2)*Table1[[#This Row],[BW40_3705]],"")</f>
        <v/>
      </c>
      <c r="G5918" s="2" t="str">
        <f>IF(Table1[[#This Row],[Is Data Valid]]=TRUE,((Table1[[#This Row],[Birthweight (grams)]]/Table1[[#This Row],[BW_GA]])-1)/(Backend!$B$4/100*Table1[[#This Row],[BW40_3705]]),"")</f>
        <v/>
      </c>
      <c r="H5918" s="7" t="str">
        <f>IF(Table1[[#This Row],[Is Data Valid]]=TRUE,((Table1[[#This Row],[Birthweight (grams)]]*0.9/Table1[[#This Row],[BW_GA]])-1)/(Backend!$B$4/100*Table1[[#This Row],[BW40_3705]]),"")</f>
        <v/>
      </c>
      <c r="I5918" s="7" t="str">
        <f>IF(Table1[[#This Row],[Is Data Valid]]=TRUE,((Table1[[#This Row],[Birthweight (grams)]]*1.1/Table1[[#This Row],[BW_GA]])-1)/(Backend!$B$4/100*Table1[[#This Row],[BW40_3705]]),"")</f>
        <v/>
      </c>
      <c r="J5918" s="7" t="str">
        <f>IF(Table1[[#This Row],[Is Data Valid]]=TRUE,_xlfn.NORM.S.DIST(Table1[[#This Row],[Birthweight Z-Score]],TRUE)*100,"")</f>
        <v/>
      </c>
      <c r="K5918" s="7" t="str">
        <f>IF(Table1[[#This Row],[Is Data Valid]]=TRUE,_xlfn.NORM.S.DIST(Table1[[#This Row],[Birthweight Z-Score (BW-10%)]],TRUE)*100,"")</f>
        <v/>
      </c>
      <c r="L5918" s="7" t="str">
        <f>IF(Table1[[#This Row],[Is Data Valid]]=TRUE,_xlfn.NORM.S.DIST(Table1[[#This Row],[Birthweight Z-Score (BW+10%)]],TRUE)*100,"")</f>
        <v/>
      </c>
    </row>
    <row r="5919" spans="1:12" x14ac:dyDescent="0.35">
      <c r="A5919" s="3"/>
      <c r="B5919" s="2"/>
      <c r="C5919" s="2"/>
      <c r="D5919" s="2" t="b">
        <f>IF(AND(NOT(ISBLANK(Table1[[#This Row],[Fetal Sex (Male, Female or Unknown)]])),ISNUMBER(Table1[[#This Row],[Birthweight (grams)]]),ISNUMBER(Table1[[#This Row],[Gestation (days)]])),TRUE,FALSE)</f>
        <v>0</v>
      </c>
      <c r="E5919" s="2" t="str">
        <f>IF(Table1[[#This Row],[Is Data Valid]]=TRUE,IF(Table1[[#This Row],[Fetal Sex (Male, Female or Unknown)]]="Male",Backend!$C$6,IF(Table1[[#This Row],[Fetal Sex (Male, Female or Unknown)]]="Female",Backend!$C$7,IF(Table1[[#This Row],[Fetal Sex (Male, Female or Unknown)]]="Unknown",Backend!$C$8,"Error"))),"")</f>
        <v/>
      </c>
      <c r="F5919" s="8" t="str">
        <f>IF(Table1[[#This Row],[Is Data Valid]]=TRUE,EXP(0.578+0.332*((Table1[[#This Row],[Gestation (days)]]+0.5)/7)-0.00354*((Table1[[#This Row],[Gestation (days)]]+0.5)/7)^2)*Table1[[#This Row],[BW40_3705]],"")</f>
        <v/>
      </c>
      <c r="G5919" s="2" t="str">
        <f>IF(Table1[[#This Row],[Is Data Valid]]=TRUE,((Table1[[#This Row],[Birthweight (grams)]]/Table1[[#This Row],[BW_GA]])-1)/(Backend!$B$4/100*Table1[[#This Row],[BW40_3705]]),"")</f>
        <v/>
      </c>
      <c r="H5919" s="7" t="str">
        <f>IF(Table1[[#This Row],[Is Data Valid]]=TRUE,((Table1[[#This Row],[Birthweight (grams)]]*0.9/Table1[[#This Row],[BW_GA]])-1)/(Backend!$B$4/100*Table1[[#This Row],[BW40_3705]]),"")</f>
        <v/>
      </c>
      <c r="I5919" s="7" t="str">
        <f>IF(Table1[[#This Row],[Is Data Valid]]=TRUE,((Table1[[#This Row],[Birthweight (grams)]]*1.1/Table1[[#This Row],[BW_GA]])-1)/(Backend!$B$4/100*Table1[[#This Row],[BW40_3705]]),"")</f>
        <v/>
      </c>
      <c r="J5919" s="7" t="str">
        <f>IF(Table1[[#This Row],[Is Data Valid]]=TRUE,_xlfn.NORM.S.DIST(Table1[[#This Row],[Birthweight Z-Score]],TRUE)*100,"")</f>
        <v/>
      </c>
      <c r="K5919" s="7" t="str">
        <f>IF(Table1[[#This Row],[Is Data Valid]]=TRUE,_xlfn.NORM.S.DIST(Table1[[#This Row],[Birthweight Z-Score (BW-10%)]],TRUE)*100,"")</f>
        <v/>
      </c>
      <c r="L5919" s="7" t="str">
        <f>IF(Table1[[#This Row],[Is Data Valid]]=TRUE,_xlfn.NORM.S.DIST(Table1[[#This Row],[Birthweight Z-Score (BW+10%)]],TRUE)*100,"")</f>
        <v/>
      </c>
    </row>
    <row r="5920" spans="1:12" x14ac:dyDescent="0.35">
      <c r="A5920" s="3"/>
      <c r="B5920" s="2"/>
      <c r="C5920" s="2"/>
      <c r="D5920" s="2" t="b">
        <f>IF(AND(NOT(ISBLANK(Table1[[#This Row],[Fetal Sex (Male, Female or Unknown)]])),ISNUMBER(Table1[[#This Row],[Birthweight (grams)]]),ISNUMBER(Table1[[#This Row],[Gestation (days)]])),TRUE,FALSE)</f>
        <v>0</v>
      </c>
      <c r="E5920" s="2" t="str">
        <f>IF(Table1[[#This Row],[Is Data Valid]]=TRUE,IF(Table1[[#This Row],[Fetal Sex (Male, Female or Unknown)]]="Male",Backend!$C$6,IF(Table1[[#This Row],[Fetal Sex (Male, Female or Unknown)]]="Female",Backend!$C$7,IF(Table1[[#This Row],[Fetal Sex (Male, Female or Unknown)]]="Unknown",Backend!$C$8,"Error"))),"")</f>
        <v/>
      </c>
      <c r="F5920" s="8" t="str">
        <f>IF(Table1[[#This Row],[Is Data Valid]]=TRUE,EXP(0.578+0.332*((Table1[[#This Row],[Gestation (days)]]+0.5)/7)-0.00354*((Table1[[#This Row],[Gestation (days)]]+0.5)/7)^2)*Table1[[#This Row],[BW40_3705]],"")</f>
        <v/>
      </c>
      <c r="G5920" s="2" t="str">
        <f>IF(Table1[[#This Row],[Is Data Valid]]=TRUE,((Table1[[#This Row],[Birthweight (grams)]]/Table1[[#This Row],[BW_GA]])-1)/(Backend!$B$4/100*Table1[[#This Row],[BW40_3705]]),"")</f>
        <v/>
      </c>
      <c r="H5920" s="7" t="str">
        <f>IF(Table1[[#This Row],[Is Data Valid]]=TRUE,((Table1[[#This Row],[Birthweight (grams)]]*0.9/Table1[[#This Row],[BW_GA]])-1)/(Backend!$B$4/100*Table1[[#This Row],[BW40_3705]]),"")</f>
        <v/>
      </c>
      <c r="I5920" s="7" t="str">
        <f>IF(Table1[[#This Row],[Is Data Valid]]=TRUE,((Table1[[#This Row],[Birthweight (grams)]]*1.1/Table1[[#This Row],[BW_GA]])-1)/(Backend!$B$4/100*Table1[[#This Row],[BW40_3705]]),"")</f>
        <v/>
      </c>
      <c r="J5920" s="7" t="str">
        <f>IF(Table1[[#This Row],[Is Data Valid]]=TRUE,_xlfn.NORM.S.DIST(Table1[[#This Row],[Birthweight Z-Score]],TRUE)*100,"")</f>
        <v/>
      </c>
      <c r="K5920" s="7" t="str">
        <f>IF(Table1[[#This Row],[Is Data Valid]]=TRUE,_xlfn.NORM.S.DIST(Table1[[#This Row],[Birthweight Z-Score (BW-10%)]],TRUE)*100,"")</f>
        <v/>
      </c>
      <c r="L5920" s="7" t="str">
        <f>IF(Table1[[#This Row],[Is Data Valid]]=TRUE,_xlfn.NORM.S.DIST(Table1[[#This Row],[Birthweight Z-Score (BW+10%)]],TRUE)*100,"")</f>
        <v/>
      </c>
    </row>
    <row r="5921" spans="1:12" x14ac:dyDescent="0.35">
      <c r="A5921" s="3"/>
      <c r="B5921" s="2"/>
      <c r="C5921" s="2"/>
      <c r="D5921" s="2" t="b">
        <f>IF(AND(NOT(ISBLANK(Table1[[#This Row],[Fetal Sex (Male, Female or Unknown)]])),ISNUMBER(Table1[[#This Row],[Birthweight (grams)]]),ISNUMBER(Table1[[#This Row],[Gestation (days)]])),TRUE,FALSE)</f>
        <v>0</v>
      </c>
      <c r="E5921" s="2" t="str">
        <f>IF(Table1[[#This Row],[Is Data Valid]]=TRUE,IF(Table1[[#This Row],[Fetal Sex (Male, Female or Unknown)]]="Male",Backend!$C$6,IF(Table1[[#This Row],[Fetal Sex (Male, Female or Unknown)]]="Female",Backend!$C$7,IF(Table1[[#This Row],[Fetal Sex (Male, Female or Unknown)]]="Unknown",Backend!$C$8,"Error"))),"")</f>
        <v/>
      </c>
      <c r="F5921" s="8" t="str">
        <f>IF(Table1[[#This Row],[Is Data Valid]]=TRUE,EXP(0.578+0.332*((Table1[[#This Row],[Gestation (days)]]+0.5)/7)-0.00354*((Table1[[#This Row],[Gestation (days)]]+0.5)/7)^2)*Table1[[#This Row],[BW40_3705]],"")</f>
        <v/>
      </c>
      <c r="G5921" s="2" t="str">
        <f>IF(Table1[[#This Row],[Is Data Valid]]=TRUE,((Table1[[#This Row],[Birthweight (grams)]]/Table1[[#This Row],[BW_GA]])-1)/(Backend!$B$4/100*Table1[[#This Row],[BW40_3705]]),"")</f>
        <v/>
      </c>
      <c r="H5921" s="7" t="str">
        <f>IF(Table1[[#This Row],[Is Data Valid]]=TRUE,((Table1[[#This Row],[Birthweight (grams)]]*0.9/Table1[[#This Row],[BW_GA]])-1)/(Backend!$B$4/100*Table1[[#This Row],[BW40_3705]]),"")</f>
        <v/>
      </c>
      <c r="I5921" s="7" t="str">
        <f>IF(Table1[[#This Row],[Is Data Valid]]=TRUE,((Table1[[#This Row],[Birthweight (grams)]]*1.1/Table1[[#This Row],[BW_GA]])-1)/(Backend!$B$4/100*Table1[[#This Row],[BW40_3705]]),"")</f>
        <v/>
      </c>
      <c r="J5921" s="7" t="str">
        <f>IF(Table1[[#This Row],[Is Data Valid]]=TRUE,_xlfn.NORM.S.DIST(Table1[[#This Row],[Birthweight Z-Score]],TRUE)*100,"")</f>
        <v/>
      </c>
      <c r="K5921" s="7" t="str">
        <f>IF(Table1[[#This Row],[Is Data Valid]]=TRUE,_xlfn.NORM.S.DIST(Table1[[#This Row],[Birthweight Z-Score (BW-10%)]],TRUE)*100,"")</f>
        <v/>
      </c>
      <c r="L5921" s="7" t="str">
        <f>IF(Table1[[#This Row],[Is Data Valid]]=TRUE,_xlfn.NORM.S.DIST(Table1[[#This Row],[Birthweight Z-Score (BW+10%)]],TRUE)*100,"")</f>
        <v/>
      </c>
    </row>
    <row r="5922" spans="1:12" x14ac:dyDescent="0.35">
      <c r="A5922" s="3"/>
      <c r="B5922" s="2"/>
      <c r="C5922" s="2"/>
      <c r="D5922" s="2" t="b">
        <f>IF(AND(NOT(ISBLANK(Table1[[#This Row],[Fetal Sex (Male, Female or Unknown)]])),ISNUMBER(Table1[[#This Row],[Birthweight (grams)]]),ISNUMBER(Table1[[#This Row],[Gestation (days)]])),TRUE,FALSE)</f>
        <v>0</v>
      </c>
      <c r="E5922" s="2" t="str">
        <f>IF(Table1[[#This Row],[Is Data Valid]]=TRUE,IF(Table1[[#This Row],[Fetal Sex (Male, Female or Unknown)]]="Male",Backend!$C$6,IF(Table1[[#This Row],[Fetal Sex (Male, Female or Unknown)]]="Female",Backend!$C$7,IF(Table1[[#This Row],[Fetal Sex (Male, Female or Unknown)]]="Unknown",Backend!$C$8,"Error"))),"")</f>
        <v/>
      </c>
      <c r="F5922" s="8" t="str">
        <f>IF(Table1[[#This Row],[Is Data Valid]]=TRUE,EXP(0.578+0.332*((Table1[[#This Row],[Gestation (days)]]+0.5)/7)-0.00354*((Table1[[#This Row],[Gestation (days)]]+0.5)/7)^2)*Table1[[#This Row],[BW40_3705]],"")</f>
        <v/>
      </c>
      <c r="G5922" s="2" t="str">
        <f>IF(Table1[[#This Row],[Is Data Valid]]=TRUE,((Table1[[#This Row],[Birthweight (grams)]]/Table1[[#This Row],[BW_GA]])-1)/(Backend!$B$4/100*Table1[[#This Row],[BW40_3705]]),"")</f>
        <v/>
      </c>
      <c r="H5922" s="7" t="str">
        <f>IF(Table1[[#This Row],[Is Data Valid]]=TRUE,((Table1[[#This Row],[Birthweight (grams)]]*0.9/Table1[[#This Row],[BW_GA]])-1)/(Backend!$B$4/100*Table1[[#This Row],[BW40_3705]]),"")</f>
        <v/>
      </c>
      <c r="I5922" s="7" t="str">
        <f>IF(Table1[[#This Row],[Is Data Valid]]=TRUE,((Table1[[#This Row],[Birthweight (grams)]]*1.1/Table1[[#This Row],[BW_GA]])-1)/(Backend!$B$4/100*Table1[[#This Row],[BW40_3705]]),"")</f>
        <v/>
      </c>
      <c r="J5922" s="7" t="str">
        <f>IF(Table1[[#This Row],[Is Data Valid]]=TRUE,_xlfn.NORM.S.DIST(Table1[[#This Row],[Birthweight Z-Score]],TRUE)*100,"")</f>
        <v/>
      </c>
      <c r="K5922" s="7" t="str">
        <f>IF(Table1[[#This Row],[Is Data Valid]]=TRUE,_xlfn.NORM.S.DIST(Table1[[#This Row],[Birthweight Z-Score (BW-10%)]],TRUE)*100,"")</f>
        <v/>
      </c>
      <c r="L5922" s="7" t="str">
        <f>IF(Table1[[#This Row],[Is Data Valid]]=TRUE,_xlfn.NORM.S.DIST(Table1[[#This Row],[Birthweight Z-Score (BW+10%)]],TRUE)*100,"")</f>
        <v/>
      </c>
    </row>
    <row r="5923" spans="1:12" x14ac:dyDescent="0.35">
      <c r="A5923" s="3"/>
      <c r="B5923" s="2"/>
      <c r="C5923" s="2"/>
      <c r="D5923" s="2" t="b">
        <f>IF(AND(NOT(ISBLANK(Table1[[#This Row],[Fetal Sex (Male, Female or Unknown)]])),ISNUMBER(Table1[[#This Row],[Birthweight (grams)]]),ISNUMBER(Table1[[#This Row],[Gestation (days)]])),TRUE,FALSE)</f>
        <v>0</v>
      </c>
      <c r="E5923" s="2" t="str">
        <f>IF(Table1[[#This Row],[Is Data Valid]]=TRUE,IF(Table1[[#This Row],[Fetal Sex (Male, Female or Unknown)]]="Male",Backend!$C$6,IF(Table1[[#This Row],[Fetal Sex (Male, Female or Unknown)]]="Female",Backend!$C$7,IF(Table1[[#This Row],[Fetal Sex (Male, Female or Unknown)]]="Unknown",Backend!$C$8,"Error"))),"")</f>
        <v/>
      </c>
      <c r="F5923" s="8" t="str">
        <f>IF(Table1[[#This Row],[Is Data Valid]]=TRUE,EXP(0.578+0.332*((Table1[[#This Row],[Gestation (days)]]+0.5)/7)-0.00354*((Table1[[#This Row],[Gestation (days)]]+0.5)/7)^2)*Table1[[#This Row],[BW40_3705]],"")</f>
        <v/>
      </c>
      <c r="G5923" s="2" t="str">
        <f>IF(Table1[[#This Row],[Is Data Valid]]=TRUE,((Table1[[#This Row],[Birthweight (grams)]]/Table1[[#This Row],[BW_GA]])-1)/(Backend!$B$4/100*Table1[[#This Row],[BW40_3705]]),"")</f>
        <v/>
      </c>
      <c r="H5923" s="7" t="str">
        <f>IF(Table1[[#This Row],[Is Data Valid]]=TRUE,((Table1[[#This Row],[Birthweight (grams)]]*0.9/Table1[[#This Row],[BW_GA]])-1)/(Backend!$B$4/100*Table1[[#This Row],[BW40_3705]]),"")</f>
        <v/>
      </c>
      <c r="I5923" s="7" t="str">
        <f>IF(Table1[[#This Row],[Is Data Valid]]=TRUE,((Table1[[#This Row],[Birthweight (grams)]]*1.1/Table1[[#This Row],[BW_GA]])-1)/(Backend!$B$4/100*Table1[[#This Row],[BW40_3705]]),"")</f>
        <v/>
      </c>
      <c r="J5923" s="7" t="str">
        <f>IF(Table1[[#This Row],[Is Data Valid]]=TRUE,_xlfn.NORM.S.DIST(Table1[[#This Row],[Birthweight Z-Score]],TRUE)*100,"")</f>
        <v/>
      </c>
      <c r="K5923" s="7" t="str">
        <f>IF(Table1[[#This Row],[Is Data Valid]]=TRUE,_xlfn.NORM.S.DIST(Table1[[#This Row],[Birthweight Z-Score (BW-10%)]],TRUE)*100,"")</f>
        <v/>
      </c>
      <c r="L5923" s="7" t="str">
        <f>IF(Table1[[#This Row],[Is Data Valid]]=TRUE,_xlfn.NORM.S.DIST(Table1[[#This Row],[Birthweight Z-Score (BW+10%)]],TRUE)*100,"")</f>
        <v/>
      </c>
    </row>
    <row r="5924" spans="1:12" x14ac:dyDescent="0.35">
      <c r="A5924" s="3"/>
      <c r="B5924" s="2"/>
      <c r="C5924" s="2"/>
      <c r="D5924" s="2" t="b">
        <f>IF(AND(NOT(ISBLANK(Table1[[#This Row],[Fetal Sex (Male, Female or Unknown)]])),ISNUMBER(Table1[[#This Row],[Birthweight (grams)]]),ISNUMBER(Table1[[#This Row],[Gestation (days)]])),TRUE,FALSE)</f>
        <v>0</v>
      </c>
      <c r="E5924" s="2" t="str">
        <f>IF(Table1[[#This Row],[Is Data Valid]]=TRUE,IF(Table1[[#This Row],[Fetal Sex (Male, Female or Unknown)]]="Male",Backend!$C$6,IF(Table1[[#This Row],[Fetal Sex (Male, Female or Unknown)]]="Female",Backend!$C$7,IF(Table1[[#This Row],[Fetal Sex (Male, Female or Unknown)]]="Unknown",Backend!$C$8,"Error"))),"")</f>
        <v/>
      </c>
      <c r="F5924" s="8" t="str">
        <f>IF(Table1[[#This Row],[Is Data Valid]]=TRUE,EXP(0.578+0.332*((Table1[[#This Row],[Gestation (days)]]+0.5)/7)-0.00354*((Table1[[#This Row],[Gestation (days)]]+0.5)/7)^2)*Table1[[#This Row],[BW40_3705]],"")</f>
        <v/>
      </c>
      <c r="G5924" s="2" t="str">
        <f>IF(Table1[[#This Row],[Is Data Valid]]=TRUE,((Table1[[#This Row],[Birthweight (grams)]]/Table1[[#This Row],[BW_GA]])-1)/(Backend!$B$4/100*Table1[[#This Row],[BW40_3705]]),"")</f>
        <v/>
      </c>
      <c r="H5924" s="7" t="str">
        <f>IF(Table1[[#This Row],[Is Data Valid]]=TRUE,((Table1[[#This Row],[Birthweight (grams)]]*0.9/Table1[[#This Row],[BW_GA]])-1)/(Backend!$B$4/100*Table1[[#This Row],[BW40_3705]]),"")</f>
        <v/>
      </c>
      <c r="I5924" s="7" t="str">
        <f>IF(Table1[[#This Row],[Is Data Valid]]=TRUE,((Table1[[#This Row],[Birthweight (grams)]]*1.1/Table1[[#This Row],[BW_GA]])-1)/(Backend!$B$4/100*Table1[[#This Row],[BW40_3705]]),"")</f>
        <v/>
      </c>
      <c r="J5924" s="7" t="str">
        <f>IF(Table1[[#This Row],[Is Data Valid]]=TRUE,_xlfn.NORM.S.DIST(Table1[[#This Row],[Birthweight Z-Score]],TRUE)*100,"")</f>
        <v/>
      </c>
      <c r="K5924" s="7" t="str">
        <f>IF(Table1[[#This Row],[Is Data Valid]]=TRUE,_xlfn.NORM.S.DIST(Table1[[#This Row],[Birthweight Z-Score (BW-10%)]],TRUE)*100,"")</f>
        <v/>
      </c>
      <c r="L5924" s="7" t="str">
        <f>IF(Table1[[#This Row],[Is Data Valid]]=TRUE,_xlfn.NORM.S.DIST(Table1[[#This Row],[Birthweight Z-Score (BW+10%)]],TRUE)*100,"")</f>
        <v/>
      </c>
    </row>
    <row r="5925" spans="1:12" x14ac:dyDescent="0.35">
      <c r="A5925" s="3"/>
      <c r="B5925" s="2"/>
      <c r="C5925" s="2"/>
      <c r="D5925" s="2" t="b">
        <f>IF(AND(NOT(ISBLANK(Table1[[#This Row],[Fetal Sex (Male, Female or Unknown)]])),ISNUMBER(Table1[[#This Row],[Birthweight (grams)]]),ISNUMBER(Table1[[#This Row],[Gestation (days)]])),TRUE,FALSE)</f>
        <v>0</v>
      </c>
      <c r="E5925" s="2" t="str">
        <f>IF(Table1[[#This Row],[Is Data Valid]]=TRUE,IF(Table1[[#This Row],[Fetal Sex (Male, Female or Unknown)]]="Male",Backend!$C$6,IF(Table1[[#This Row],[Fetal Sex (Male, Female or Unknown)]]="Female",Backend!$C$7,IF(Table1[[#This Row],[Fetal Sex (Male, Female or Unknown)]]="Unknown",Backend!$C$8,"Error"))),"")</f>
        <v/>
      </c>
      <c r="F5925" s="8" t="str">
        <f>IF(Table1[[#This Row],[Is Data Valid]]=TRUE,EXP(0.578+0.332*((Table1[[#This Row],[Gestation (days)]]+0.5)/7)-0.00354*((Table1[[#This Row],[Gestation (days)]]+0.5)/7)^2)*Table1[[#This Row],[BW40_3705]],"")</f>
        <v/>
      </c>
      <c r="G5925" s="2" t="str">
        <f>IF(Table1[[#This Row],[Is Data Valid]]=TRUE,((Table1[[#This Row],[Birthweight (grams)]]/Table1[[#This Row],[BW_GA]])-1)/(Backend!$B$4/100*Table1[[#This Row],[BW40_3705]]),"")</f>
        <v/>
      </c>
      <c r="H5925" s="7" t="str">
        <f>IF(Table1[[#This Row],[Is Data Valid]]=TRUE,((Table1[[#This Row],[Birthweight (grams)]]*0.9/Table1[[#This Row],[BW_GA]])-1)/(Backend!$B$4/100*Table1[[#This Row],[BW40_3705]]),"")</f>
        <v/>
      </c>
      <c r="I5925" s="7" t="str">
        <f>IF(Table1[[#This Row],[Is Data Valid]]=TRUE,((Table1[[#This Row],[Birthweight (grams)]]*1.1/Table1[[#This Row],[BW_GA]])-1)/(Backend!$B$4/100*Table1[[#This Row],[BW40_3705]]),"")</f>
        <v/>
      </c>
      <c r="J5925" s="7" t="str">
        <f>IF(Table1[[#This Row],[Is Data Valid]]=TRUE,_xlfn.NORM.S.DIST(Table1[[#This Row],[Birthweight Z-Score]],TRUE)*100,"")</f>
        <v/>
      </c>
      <c r="K5925" s="7" t="str">
        <f>IF(Table1[[#This Row],[Is Data Valid]]=TRUE,_xlfn.NORM.S.DIST(Table1[[#This Row],[Birthweight Z-Score (BW-10%)]],TRUE)*100,"")</f>
        <v/>
      </c>
      <c r="L5925" s="7" t="str">
        <f>IF(Table1[[#This Row],[Is Data Valid]]=TRUE,_xlfn.NORM.S.DIST(Table1[[#This Row],[Birthweight Z-Score (BW+10%)]],TRUE)*100,"")</f>
        <v/>
      </c>
    </row>
    <row r="5926" spans="1:12" x14ac:dyDescent="0.35">
      <c r="A5926" s="3"/>
      <c r="B5926" s="2"/>
      <c r="C5926" s="2"/>
      <c r="D5926" s="2" t="b">
        <f>IF(AND(NOT(ISBLANK(Table1[[#This Row],[Fetal Sex (Male, Female or Unknown)]])),ISNUMBER(Table1[[#This Row],[Birthweight (grams)]]),ISNUMBER(Table1[[#This Row],[Gestation (days)]])),TRUE,FALSE)</f>
        <v>0</v>
      </c>
      <c r="E5926" s="2" t="str">
        <f>IF(Table1[[#This Row],[Is Data Valid]]=TRUE,IF(Table1[[#This Row],[Fetal Sex (Male, Female or Unknown)]]="Male",Backend!$C$6,IF(Table1[[#This Row],[Fetal Sex (Male, Female or Unknown)]]="Female",Backend!$C$7,IF(Table1[[#This Row],[Fetal Sex (Male, Female or Unknown)]]="Unknown",Backend!$C$8,"Error"))),"")</f>
        <v/>
      </c>
      <c r="F5926" s="8" t="str">
        <f>IF(Table1[[#This Row],[Is Data Valid]]=TRUE,EXP(0.578+0.332*((Table1[[#This Row],[Gestation (days)]]+0.5)/7)-0.00354*((Table1[[#This Row],[Gestation (days)]]+0.5)/7)^2)*Table1[[#This Row],[BW40_3705]],"")</f>
        <v/>
      </c>
      <c r="G5926" s="2" t="str">
        <f>IF(Table1[[#This Row],[Is Data Valid]]=TRUE,((Table1[[#This Row],[Birthweight (grams)]]/Table1[[#This Row],[BW_GA]])-1)/(Backend!$B$4/100*Table1[[#This Row],[BW40_3705]]),"")</f>
        <v/>
      </c>
      <c r="H5926" s="7" t="str">
        <f>IF(Table1[[#This Row],[Is Data Valid]]=TRUE,((Table1[[#This Row],[Birthweight (grams)]]*0.9/Table1[[#This Row],[BW_GA]])-1)/(Backend!$B$4/100*Table1[[#This Row],[BW40_3705]]),"")</f>
        <v/>
      </c>
      <c r="I5926" s="7" t="str">
        <f>IF(Table1[[#This Row],[Is Data Valid]]=TRUE,((Table1[[#This Row],[Birthweight (grams)]]*1.1/Table1[[#This Row],[BW_GA]])-1)/(Backend!$B$4/100*Table1[[#This Row],[BW40_3705]]),"")</f>
        <v/>
      </c>
      <c r="J5926" s="7" t="str">
        <f>IF(Table1[[#This Row],[Is Data Valid]]=TRUE,_xlfn.NORM.S.DIST(Table1[[#This Row],[Birthweight Z-Score]],TRUE)*100,"")</f>
        <v/>
      </c>
      <c r="K5926" s="7" t="str">
        <f>IF(Table1[[#This Row],[Is Data Valid]]=TRUE,_xlfn.NORM.S.DIST(Table1[[#This Row],[Birthweight Z-Score (BW-10%)]],TRUE)*100,"")</f>
        <v/>
      </c>
      <c r="L5926" s="7" t="str">
        <f>IF(Table1[[#This Row],[Is Data Valid]]=TRUE,_xlfn.NORM.S.DIST(Table1[[#This Row],[Birthweight Z-Score (BW+10%)]],TRUE)*100,"")</f>
        <v/>
      </c>
    </row>
    <row r="5927" spans="1:12" x14ac:dyDescent="0.35">
      <c r="A5927" s="3"/>
      <c r="B5927" s="2"/>
      <c r="C5927" s="2"/>
      <c r="D5927" s="2" t="b">
        <f>IF(AND(NOT(ISBLANK(Table1[[#This Row],[Fetal Sex (Male, Female or Unknown)]])),ISNUMBER(Table1[[#This Row],[Birthweight (grams)]]),ISNUMBER(Table1[[#This Row],[Gestation (days)]])),TRUE,FALSE)</f>
        <v>0</v>
      </c>
      <c r="E5927" s="2" t="str">
        <f>IF(Table1[[#This Row],[Is Data Valid]]=TRUE,IF(Table1[[#This Row],[Fetal Sex (Male, Female or Unknown)]]="Male",Backend!$C$6,IF(Table1[[#This Row],[Fetal Sex (Male, Female or Unknown)]]="Female",Backend!$C$7,IF(Table1[[#This Row],[Fetal Sex (Male, Female or Unknown)]]="Unknown",Backend!$C$8,"Error"))),"")</f>
        <v/>
      </c>
      <c r="F5927" s="8" t="str">
        <f>IF(Table1[[#This Row],[Is Data Valid]]=TRUE,EXP(0.578+0.332*((Table1[[#This Row],[Gestation (days)]]+0.5)/7)-0.00354*((Table1[[#This Row],[Gestation (days)]]+0.5)/7)^2)*Table1[[#This Row],[BW40_3705]],"")</f>
        <v/>
      </c>
      <c r="G5927" s="2" t="str">
        <f>IF(Table1[[#This Row],[Is Data Valid]]=TRUE,((Table1[[#This Row],[Birthweight (grams)]]/Table1[[#This Row],[BW_GA]])-1)/(Backend!$B$4/100*Table1[[#This Row],[BW40_3705]]),"")</f>
        <v/>
      </c>
      <c r="H5927" s="7" t="str">
        <f>IF(Table1[[#This Row],[Is Data Valid]]=TRUE,((Table1[[#This Row],[Birthweight (grams)]]*0.9/Table1[[#This Row],[BW_GA]])-1)/(Backend!$B$4/100*Table1[[#This Row],[BW40_3705]]),"")</f>
        <v/>
      </c>
      <c r="I5927" s="7" t="str">
        <f>IF(Table1[[#This Row],[Is Data Valid]]=TRUE,((Table1[[#This Row],[Birthweight (grams)]]*1.1/Table1[[#This Row],[BW_GA]])-1)/(Backend!$B$4/100*Table1[[#This Row],[BW40_3705]]),"")</f>
        <v/>
      </c>
      <c r="J5927" s="7" t="str">
        <f>IF(Table1[[#This Row],[Is Data Valid]]=TRUE,_xlfn.NORM.S.DIST(Table1[[#This Row],[Birthweight Z-Score]],TRUE)*100,"")</f>
        <v/>
      </c>
      <c r="K5927" s="7" t="str">
        <f>IF(Table1[[#This Row],[Is Data Valid]]=TRUE,_xlfn.NORM.S.DIST(Table1[[#This Row],[Birthweight Z-Score (BW-10%)]],TRUE)*100,"")</f>
        <v/>
      </c>
      <c r="L5927" s="7" t="str">
        <f>IF(Table1[[#This Row],[Is Data Valid]]=TRUE,_xlfn.NORM.S.DIST(Table1[[#This Row],[Birthweight Z-Score (BW+10%)]],TRUE)*100,"")</f>
        <v/>
      </c>
    </row>
    <row r="5928" spans="1:12" x14ac:dyDescent="0.35">
      <c r="A5928" s="3"/>
      <c r="B5928" s="2"/>
      <c r="C5928" s="2"/>
      <c r="D5928" s="2" t="b">
        <f>IF(AND(NOT(ISBLANK(Table1[[#This Row],[Fetal Sex (Male, Female or Unknown)]])),ISNUMBER(Table1[[#This Row],[Birthweight (grams)]]),ISNUMBER(Table1[[#This Row],[Gestation (days)]])),TRUE,FALSE)</f>
        <v>0</v>
      </c>
      <c r="E5928" s="2" t="str">
        <f>IF(Table1[[#This Row],[Is Data Valid]]=TRUE,IF(Table1[[#This Row],[Fetal Sex (Male, Female or Unknown)]]="Male",Backend!$C$6,IF(Table1[[#This Row],[Fetal Sex (Male, Female or Unknown)]]="Female",Backend!$C$7,IF(Table1[[#This Row],[Fetal Sex (Male, Female or Unknown)]]="Unknown",Backend!$C$8,"Error"))),"")</f>
        <v/>
      </c>
      <c r="F5928" s="8" t="str">
        <f>IF(Table1[[#This Row],[Is Data Valid]]=TRUE,EXP(0.578+0.332*((Table1[[#This Row],[Gestation (days)]]+0.5)/7)-0.00354*((Table1[[#This Row],[Gestation (days)]]+0.5)/7)^2)*Table1[[#This Row],[BW40_3705]],"")</f>
        <v/>
      </c>
      <c r="G5928" s="2" t="str">
        <f>IF(Table1[[#This Row],[Is Data Valid]]=TRUE,((Table1[[#This Row],[Birthweight (grams)]]/Table1[[#This Row],[BW_GA]])-1)/(Backend!$B$4/100*Table1[[#This Row],[BW40_3705]]),"")</f>
        <v/>
      </c>
      <c r="H5928" s="7" t="str">
        <f>IF(Table1[[#This Row],[Is Data Valid]]=TRUE,((Table1[[#This Row],[Birthweight (grams)]]*0.9/Table1[[#This Row],[BW_GA]])-1)/(Backend!$B$4/100*Table1[[#This Row],[BW40_3705]]),"")</f>
        <v/>
      </c>
      <c r="I5928" s="7" t="str">
        <f>IF(Table1[[#This Row],[Is Data Valid]]=TRUE,((Table1[[#This Row],[Birthweight (grams)]]*1.1/Table1[[#This Row],[BW_GA]])-1)/(Backend!$B$4/100*Table1[[#This Row],[BW40_3705]]),"")</f>
        <v/>
      </c>
      <c r="J5928" s="7" t="str">
        <f>IF(Table1[[#This Row],[Is Data Valid]]=TRUE,_xlfn.NORM.S.DIST(Table1[[#This Row],[Birthweight Z-Score]],TRUE)*100,"")</f>
        <v/>
      </c>
      <c r="K5928" s="7" t="str">
        <f>IF(Table1[[#This Row],[Is Data Valid]]=TRUE,_xlfn.NORM.S.DIST(Table1[[#This Row],[Birthweight Z-Score (BW-10%)]],TRUE)*100,"")</f>
        <v/>
      </c>
      <c r="L5928" s="7" t="str">
        <f>IF(Table1[[#This Row],[Is Data Valid]]=TRUE,_xlfn.NORM.S.DIST(Table1[[#This Row],[Birthweight Z-Score (BW+10%)]],TRUE)*100,"")</f>
        <v/>
      </c>
    </row>
    <row r="5929" spans="1:12" x14ac:dyDescent="0.35">
      <c r="A5929" s="3"/>
      <c r="B5929" s="2"/>
      <c r="C5929" s="2"/>
      <c r="D5929" s="2" t="b">
        <f>IF(AND(NOT(ISBLANK(Table1[[#This Row],[Fetal Sex (Male, Female or Unknown)]])),ISNUMBER(Table1[[#This Row],[Birthweight (grams)]]),ISNUMBER(Table1[[#This Row],[Gestation (days)]])),TRUE,FALSE)</f>
        <v>0</v>
      </c>
      <c r="E5929" s="2" t="str">
        <f>IF(Table1[[#This Row],[Is Data Valid]]=TRUE,IF(Table1[[#This Row],[Fetal Sex (Male, Female or Unknown)]]="Male",Backend!$C$6,IF(Table1[[#This Row],[Fetal Sex (Male, Female or Unknown)]]="Female",Backend!$C$7,IF(Table1[[#This Row],[Fetal Sex (Male, Female or Unknown)]]="Unknown",Backend!$C$8,"Error"))),"")</f>
        <v/>
      </c>
      <c r="F5929" s="8" t="str">
        <f>IF(Table1[[#This Row],[Is Data Valid]]=TRUE,EXP(0.578+0.332*((Table1[[#This Row],[Gestation (days)]]+0.5)/7)-0.00354*((Table1[[#This Row],[Gestation (days)]]+0.5)/7)^2)*Table1[[#This Row],[BW40_3705]],"")</f>
        <v/>
      </c>
      <c r="G5929" s="2" t="str">
        <f>IF(Table1[[#This Row],[Is Data Valid]]=TRUE,((Table1[[#This Row],[Birthweight (grams)]]/Table1[[#This Row],[BW_GA]])-1)/(Backend!$B$4/100*Table1[[#This Row],[BW40_3705]]),"")</f>
        <v/>
      </c>
      <c r="H5929" s="7" t="str">
        <f>IF(Table1[[#This Row],[Is Data Valid]]=TRUE,((Table1[[#This Row],[Birthweight (grams)]]*0.9/Table1[[#This Row],[BW_GA]])-1)/(Backend!$B$4/100*Table1[[#This Row],[BW40_3705]]),"")</f>
        <v/>
      </c>
      <c r="I5929" s="7" t="str">
        <f>IF(Table1[[#This Row],[Is Data Valid]]=TRUE,((Table1[[#This Row],[Birthweight (grams)]]*1.1/Table1[[#This Row],[BW_GA]])-1)/(Backend!$B$4/100*Table1[[#This Row],[BW40_3705]]),"")</f>
        <v/>
      </c>
      <c r="J5929" s="7" t="str">
        <f>IF(Table1[[#This Row],[Is Data Valid]]=TRUE,_xlfn.NORM.S.DIST(Table1[[#This Row],[Birthweight Z-Score]],TRUE)*100,"")</f>
        <v/>
      </c>
      <c r="K5929" s="7" t="str">
        <f>IF(Table1[[#This Row],[Is Data Valid]]=TRUE,_xlfn.NORM.S.DIST(Table1[[#This Row],[Birthweight Z-Score (BW-10%)]],TRUE)*100,"")</f>
        <v/>
      </c>
      <c r="L5929" s="7" t="str">
        <f>IF(Table1[[#This Row],[Is Data Valid]]=TRUE,_xlfn.NORM.S.DIST(Table1[[#This Row],[Birthweight Z-Score (BW+10%)]],TRUE)*100,"")</f>
        <v/>
      </c>
    </row>
    <row r="5930" spans="1:12" x14ac:dyDescent="0.35">
      <c r="A5930" s="3"/>
      <c r="B5930" s="2"/>
      <c r="C5930" s="2"/>
      <c r="D5930" s="2" t="b">
        <f>IF(AND(NOT(ISBLANK(Table1[[#This Row],[Fetal Sex (Male, Female or Unknown)]])),ISNUMBER(Table1[[#This Row],[Birthweight (grams)]]),ISNUMBER(Table1[[#This Row],[Gestation (days)]])),TRUE,FALSE)</f>
        <v>0</v>
      </c>
      <c r="E5930" s="2" t="str">
        <f>IF(Table1[[#This Row],[Is Data Valid]]=TRUE,IF(Table1[[#This Row],[Fetal Sex (Male, Female or Unknown)]]="Male",Backend!$C$6,IF(Table1[[#This Row],[Fetal Sex (Male, Female or Unknown)]]="Female",Backend!$C$7,IF(Table1[[#This Row],[Fetal Sex (Male, Female or Unknown)]]="Unknown",Backend!$C$8,"Error"))),"")</f>
        <v/>
      </c>
      <c r="F5930" s="8" t="str">
        <f>IF(Table1[[#This Row],[Is Data Valid]]=TRUE,EXP(0.578+0.332*((Table1[[#This Row],[Gestation (days)]]+0.5)/7)-0.00354*((Table1[[#This Row],[Gestation (days)]]+0.5)/7)^2)*Table1[[#This Row],[BW40_3705]],"")</f>
        <v/>
      </c>
      <c r="G5930" s="2" t="str">
        <f>IF(Table1[[#This Row],[Is Data Valid]]=TRUE,((Table1[[#This Row],[Birthweight (grams)]]/Table1[[#This Row],[BW_GA]])-1)/(Backend!$B$4/100*Table1[[#This Row],[BW40_3705]]),"")</f>
        <v/>
      </c>
      <c r="H5930" s="7" t="str">
        <f>IF(Table1[[#This Row],[Is Data Valid]]=TRUE,((Table1[[#This Row],[Birthweight (grams)]]*0.9/Table1[[#This Row],[BW_GA]])-1)/(Backend!$B$4/100*Table1[[#This Row],[BW40_3705]]),"")</f>
        <v/>
      </c>
      <c r="I5930" s="7" t="str">
        <f>IF(Table1[[#This Row],[Is Data Valid]]=TRUE,((Table1[[#This Row],[Birthweight (grams)]]*1.1/Table1[[#This Row],[BW_GA]])-1)/(Backend!$B$4/100*Table1[[#This Row],[BW40_3705]]),"")</f>
        <v/>
      </c>
      <c r="J5930" s="7" t="str">
        <f>IF(Table1[[#This Row],[Is Data Valid]]=TRUE,_xlfn.NORM.S.DIST(Table1[[#This Row],[Birthweight Z-Score]],TRUE)*100,"")</f>
        <v/>
      </c>
      <c r="K5930" s="7" t="str">
        <f>IF(Table1[[#This Row],[Is Data Valid]]=TRUE,_xlfn.NORM.S.DIST(Table1[[#This Row],[Birthweight Z-Score (BW-10%)]],TRUE)*100,"")</f>
        <v/>
      </c>
      <c r="L5930" s="7" t="str">
        <f>IF(Table1[[#This Row],[Is Data Valid]]=TRUE,_xlfn.NORM.S.DIST(Table1[[#This Row],[Birthweight Z-Score (BW+10%)]],TRUE)*100,"")</f>
        <v/>
      </c>
    </row>
    <row r="5931" spans="1:12" x14ac:dyDescent="0.35">
      <c r="A5931" s="3"/>
      <c r="B5931" s="2"/>
      <c r="C5931" s="2"/>
      <c r="D5931" s="2" t="b">
        <f>IF(AND(NOT(ISBLANK(Table1[[#This Row],[Fetal Sex (Male, Female or Unknown)]])),ISNUMBER(Table1[[#This Row],[Birthweight (grams)]]),ISNUMBER(Table1[[#This Row],[Gestation (days)]])),TRUE,FALSE)</f>
        <v>0</v>
      </c>
      <c r="E5931" s="2" t="str">
        <f>IF(Table1[[#This Row],[Is Data Valid]]=TRUE,IF(Table1[[#This Row],[Fetal Sex (Male, Female or Unknown)]]="Male",Backend!$C$6,IF(Table1[[#This Row],[Fetal Sex (Male, Female or Unknown)]]="Female",Backend!$C$7,IF(Table1[[#This Row],[Fetal Sex (Male, Female or Unknown)]]="Unknown",Backend!$C$8,"Error"))),"")</f>
        <v/>
      </c>
      <c r="F5931" s="8" t="str">
        <f>IF(Table1[[#This Row],[Is Data Valid]]=TRUE,EXP(0.578+0.332*((Table1[[#This Row],[Gestation (days)]]+0.5)/7)-0.00354*((Table1[[#This Row],[Gestation (days)]]+0.5)/7)^2)*Table1[[#This Row],[BW40_3705]],"")</f>
        <v/>
      </c>
      <c r="G5931" s="2" t="str">
        <f>IF(Table1[[#This Row],[Is Data Valid]]=TRUE,((Table1[[#This Row],[Birthweight (grams)]]/Table1[[#This Row],[BW_GA]])-1)/(Backend!$B$4/100*Table1[[#This Row],[BW40_3705]]),"")</f>
        <v/>
      </c>
      <c r="H5931" s="7" t="str">
        <f>IF(Table1[[#This Row],[Is Data Valid]]=TRUE,((Table1[[#This Row],[Birthweight (grams)]]*0.9/Table1[[#This Row],[BW_GA]])-1)/(Backend!$B$4/100*Table1[[#This Row],[BW40_3705]]),"")</f>
        <v/>
      </c>
      <c r="I5931" s="7" t="str">
        <f>IF(Table1[[#This Row],[Is Data Valid]]=TRUE,((Table1[[#This Row],[Birthweight (grams)]]*1.1/Table1[[#This Row],[BW_GA]])-1)/(Backend!$B$4/100*Table1[[#This Row],[BW40_3705]]),"")</f>
        <v/>
      </c>
      <c r="J5931" s="7" t="str">
        <f>IF(Table1[[#This Row],[Is Data Valid]]=TRUE,_xlfn.NORM.S.DIST(Table1[[#This Row],[Birthweight Z-Score]],TRUE)*100,"")</f>
        <v/>
      </c>
      <c r="K5931" s="7" t="str">
        <f>IF(Table1[[#This Row],[Is Data Valid]]=TRUE,_xlfn.NORM.S.DIST(Table1[[#This Row],[Birthweight Z-Score (BW-10%)]],TRUE)*100,"")</f>
        <v/>
      </c>
      <c r="L5931" s="7" t="str">
        <f>IF(Table1[[#This Row],[Is Data Valid]]=TRUE,_xlfn.NORM.S.DIST(Table1[[#This Row],[Birthweight Z-Score (BW+10%)]],TRUE)*100,"")</f>
        <v/>
      </c>
    </row>
    <row r="5932" spans="1:12" x14ac:dyDescent="0.35">
      <c r="A5932" s="3"/>
      <c r="B5932" s="2"/>
      <c r="C5932" s="2"/>
      <c r="D5932" s="2" t="b">
        <f>IF(AND(NOT(ISBLANK(Table1[[#This Row],[Fetal Sex (Male, Female or Unknown)]])),ISNUMBER(Table1[[#This Row],[Birthweight (grams)]]),ISNUMBER(Table1[[#This Row],[Gestation (days)]])),TRUE,FALSE)</f>
        <v>0</v>
      </c>
      <c r="E5932" s="2" t="str">
        <f>IF(Table1[[#This Row],[Is Data Valid]]=TRUE,IF(Table1[[#This Row],[Fetal Sex (Male, Female or Unknown)]]="Male",Backend!$C$6,IF(Table1[[#This Row],[Fetal Sex (Male, Female or Unknown)]]="Female",Backend!$C$7,IF(Table1[[#This Row],[Fetal Sex (Male, Female or Unknown)]]="Unknown",Backend!$C$8,"Error"))),"")</f>
        <v/>
      </c>
      <c r="F5932" s="8" t="str">
        <f>IF(Table1[[#This Row],[Is Data Valid]]=TRUE,EXP(0.578+0.332*((Table1[[#This Row],[Gestation (days)]]+0.5)/7)-0.00354*((Table1[[#This Row],[Gestation (days)]]+0.5)/7)^2)*Table1[[#This Row],[BW40_3705]],"")</f>
        <v/>
      </c>
      <c r="G5932" s="2" t="str">
        <f>IF(Table1[[#This Row],[Is Data Valid]]=TRUE,((Table1[[#This Row],[Birthweight (grams)]]/Table1[[#This Row],[BW_GA]])-1)/(Backend!$B$4/100*Table1[[#This Row],[BW40_3705]]),"")</f>
        <v/>
      </c>
      <c r="H5932" s="7" t="str">
        <f>IF(Table1[[#This Row],[Is Data Valid]]=TRUE,((Table1[[#This Row],[Birthweight (grams)]]*0.9/Table1[[#This Row],[BW_GA]])-1)/(Backend!$B$4/100*Table1[[#This Row],[BW40_3705]]),"")</f>
        <v/>
      </c>
      <c r="I5932" s="7" t="str">
        <f>IF(Table1[[#This Row],[Is Data Valid]]=TRUE,((Table1[[#This Row],[Birthweight (grams)]]*1.1/Table1[[#This Row],[BW_GA]])-1)/(Backend!$B$4/100*Table1[[#This Row],[BW40_3705]]),"")</f>
        <v/>
      </c>
      <c r="J5932" s="7" t="str">
        <f>IF(Table1[[#This Row],[Is Data Valid]]=TRUE,_xlfn.NORM.S.DIST(Table1[[#This Row],[Birthweight Z-Score]],TRUE)*100,"")</f>
        <v/>
      </c>
      <c r="K5932" s="7" t="str">
        <f>IF(Table1[[#This Row],[Is Data Valid]]=TRUE,_xlfn.NORM.S.DIST(Table1[[#This Row],[Birthweight Z-Score (BW-10%)]],TRUE)*100,"")</f>
        <v/>
      </c>
      <c r="L5932" s="7" t="str">
        <f>IF(Table1[[#This Row],[Is Data Valid]]=TRUE,_xlfn.NORM.S.DIST(Table1[[#This Row],[Birthweight Z-Score (BW+10%)]],TRUE)*100,"")</f>
        <v/>
      </c>
    </row>
    <row r="5933" spans="1:12" x14ac:dyDescent="0.35">
      <c r="A5933" s="3"/>
      <c r="B5933" s="2"/>
      <c r="C5933" s="2"/>
      <c r="D5933" s="2" t="b">
        <f>IF(AND(NOT(ISBLANK(Table1[[#This Row],[Fetal Sex (Male, Female or Unknown)]])),ISNUMBER(Table1[[#This Row],[Birthweight (grams)]]),ISNUMBER(Table1[[#This Row],[Gestation (days)]])),TRUE,FALSE)</f>
        <v>0</v>
      </c>
      <c r="E5933" s="2" t="str">
        <f>IF(Table1[[#This Row],[Is Data Valid]]=TRUE,IF(Table1[[#This Row],[Fetal Sex (Male, Female or Unknown)]]="Male",Backend!$C$6,IF(Table1[[#This Row],[Fetal Sex (Male, Female or Unknown)]]="Female",Backend!$C$7,IF(Table1[[#This Row],[Fetal Sex (Male, Female or Unknown)]]="Unknown",Backend!$C$8,"Error"))),"")</f>
        <v/>
      </c>
      <c r="F5933" s="8" t="str">
        <f>IF(Table1[[#This Row],[Is Data Valid]]=TRUE,EXP(0.578+0.332*((Table1[[#This Row],[Gestation (days)]]+0.5)/7)-0.00354*((Table1[[#This Row],[Gestation (days)]]+0.5)/7)^2)*Table1[[#This Row],[BW40_3705]],"")</f>
        <v/>
      </c>
      <c r="G5933" s="2" t="str">
        <f>IF(Table1[[#This Row],[Is Data Valid]]=TRUE,((Table1[[#This Row],[Birthweight (grams)]]/Table1[[#This Row],[BW_GA]])-1)/(Backend!$B$4/100*Table1[[#This Row],[BW40_3705]]),"")</f>
        <v/>
      </c>
      <c r="H5933" s="7" t="str">
        <f>IF(Table1[[#This Row],[Is Data Valid]]=TRUE,((Table1[[#This Row],[Birthweight (grams)]]*0.9/Table1[[#This Row],[BW_GA]])-1)/(Backend!$B$4/100*Table1[[#This Row],[BW40_3705]]),"")</f>
        <v/>
      </c>
      <c r="I5933" s="7" t="str">
        <f>IF(Table1[[#This Row],[Is Data Valid]]=TRUE,((Table1[[#This Row],[Birthweight (grams)]]*1.1/Table1[[#This Row],[BW_GA]])-1)/(Backend!$B$4/100*Table1[[#This Row],[BW40_3705]]),"")</f>
        <v/>
      </c>
      <c r="J5933" s="7" t="str">
        <f>IF(Table1[[#This Row],[Is Data Valid]]=TRUE,_xlfn.NORM.S.DIST(Table1[[#This Row],[Birthweight Z-Score]],TRUE)*100,"")</f>
        <v/>
      </c>
      <c r="K5933" s="7" t="str">
        <f>IF(Table1[[#This Row],[Is Data Valid]]=TRUE,_xlfn.NORM.S.DIST(Table1[[#This Row],[Birthweight Z-Score (BW-10%)]],TRUE)*100,"")</f>
        <v/>
      </c>
      <c r="L5933" s="7" t="str">
        <f>IF(Table1[[#This Row],[Is Data Valid]]=TRUE,_xlfn.NORM.S.DIST(Table1[[#This Row],[Birthweight Z-Score (BW+10%)]],TRUE)*100,"")</f>
        <v/>
      </c>
    </row>
    <row r="5934" spans="1:12" x14ac:dyDescent="0.35">
      <c r="A5934" s="3"/>
      <c r="B5934" s="2"/>
      <c r="C5934" s="2"/>
      <c r="D5934" s="2" t="b">
        <f>IF(AND(NOT(ISBLANK(Table1[[#This Row],[Fetal Sex (Male, Female or Unknown)]])),ISNUMBER(Table1[[#This Row],[Birthweight (grams)]]),ISNUMBER(Table1[[#This Row],[Gestation (days)]])),TRUE,FALSE)</f>
        <v>0</v>
      </c>
      <c r="E5934" s="2" t="str">
        <f>IF(Table1[[#This Row],[Is Data Valid]]=TRUE,IF(Table1[[#This Row],[Fetal Sex (Male, Female or Unknown)]]="Male",Backend!$C$6,IF(Table1[[#This Row],[Fetal Sex (Male, Female or Unknown)]]="Female",Backend!$C$7,IF(Table1[[#This Row],[Fetal Sex (Male, Female or Unknown)]]="Unknown",Backend!$C$8,"Error"))),"")</f>
        <v/>
      </c>
      <c r="F5934" s="8" t="str">
        <f>IF(Table1[[#This Row],[Is Data Valid]]=TRUE,EXP(0.578+0.332*((Table1[[#This Row],[Gestation (days)]]+0.5)/7)-0.00354*((Table1[[#This Row],[Gestation (days)]]+0.5)/7)^2)*Table1[[#This Row],[BW40_3705]],"")</f>
        <v/>
      </c>
      <c r="G5934" s="2" t="str">
        <f>IF(Table1[[#This Row],[Is Data Valid]]=TRUE,((Table1[[#This Row],[Birthweight (grams)]]/Table1[[#This Row],[BW_GA]])-1)/(Backend!$B$4/100*Table1[[#This Row],[BW40_3705]]),"")</f>
        <v/>
      </c>
      <c r="H5934" s="7" t="str">
        <f>IF(Table1[[#This Row],[Is Data Valid]]=TRUE,((Table1[[#This Row],[Birthweight (grams)]]*0.9/Table1[[#This Row],[BW_GA]])-1)/(Backend!$B$4/100*Table1[[#This Row],[BW40_3705]]),"")</f>
        <v/>
      </c>
      <c r="I5934" s="7" t="str">
        <f>IF(Table1[[#This Row],[Is Data Valid]]=TRUE,((Table1[[#This Row],[Birthweight (grams)]]*1.1/Table1[[#This Row],[BW_GA]])-1)/(Backend!$B$4/100*Table1[[#This Row],[BW40_3705]]),"")</f>
        <v/>
      </c>
      <c r="J5934" s="7" t="str">
        <f>IF(Table1[[#This Row],[Is Data Valid]]=TRUE,_xlfn.NORM.S.DIST(Table1[[#This Row],[Birthweight Z-Score]],TRUE)*100,"")</f>
        <v/>
      </c>
      <c r="K5934" s="7" t="str">
        <f>IF(Table1[[#This Row],[Is Data Valid]]=TRUE,_xlfn.NORM.S.DIST(Table1[[#This Row],[Birthweight Z-Score (BW-10%)]],TRUE)*100,"")</f>
        <v/>
      </c>
      <c r="L5934" s="7" t="str">
        <f>IF(Table1[[#This Row],[Is Data Valid]]=TRUE,_xlfn.NORM.S.DIST(Table1[[#This Row],[Birthweight Z-Score (BW+10%)]],TRUE)*100,"")</f>
        <v/>
      </c>
    </row>
    <row r="5935" spans="1:12" x14ac:dyDescent="0.35">
      <c r="A5935" s="3"/>
      <c r="B5935" s="2"/>
      <c r="C5935" s="2"/>
      <c r="D5935" s="2" t="b">
        <f>IF(AND(NOT(ISBLANK(Table1[[#This Row],[Fetal Sex (Male, Female or Unknown)]])),ISNUMBER(Table1[[#This Row],[Birthweight (grams)]]),ISNUMBER(Table1[[#This Row],[Gestation (days)]])),TRUE,FALSE)</f>
        <v>0</v>
      </c>
      <c r="E5935" s="2" t="str">
        <f>IF(Table1[[#This Row],[Is Data Valid]]=TRUE,IF(Table1[[#This Row],[Fetal Sex (Male, Female or Unknown)]]="Male",Backend!$C$6,IF(Table1[[#This Row],[Fetal Sex (Male, Female or Unknown)]]="Female",Backend!$C$7,IF(Table1[[#This Row],[Fetal Sex (Male, Female or Unknown)]]="Unknown",Backend!$C$8,"Error"))),"")</f>
        <v/>
      </c>
      <c r="F5935" s="8" t="str">
        <f>IF(Table1[[#This Row],[Is Data Valid]]=TRUE,EXP(0.578+0.332*((Table1[[#This Row],[Gestation (days)]]+0.5)/7)-0.00354*((Table1[[#This Row],[Gestation (days)]]+0.5)/7)^2)*Table1[[#This Row],[BW40_3705]],"")</f>
        <v/>
      </c>
      <c r="G5935" s="2" t="str">
        <f>IF(Table1[[#This Row],[Is Data Valid]]=TRUE,((Table1[[#This Row],[Birthweight (grams)]]/Table1[[#This Row],[BW_GA]])-1)/(Backend!$B$4/100*Table1[[#This Row],[BW40_3705]]),"")</f>
        <v/>
      </c>
      <c r="H5935" s="7" t="str">
        <f>IF(Table1[[#This Row],[Is Data Valid]]=TRUE,((Table1[[#This Row],[Birthweight (grams)]]*0.9/Table1[[#This Row],[BW_GA]])-1)/(Backend!$B$4/100*Table1[[#This Row],[BW40_3705]]),"")</f>
        <v/>
      </c>
      <c r="I5935" s="7" t="str">
        <f>IF(Table1[[#This Row],[Is Data Valid]]=TRUE,((Table1[[#This Row],[Birthweight (grams)]]*1.1/Table1[[#This Row],[BW_GA]])-1)/(Backend!$B$4/100*Table1[[#This Row],[BW40_3705]]),"")</f>
        <v/>
      </c>
      <c r="J5935" s="7" t="str">
        <f>IF(Table1[[#This Row],[Is Data Valid]]=TRUE,_xlfn.NORM.S.DIST(Table1[[#This Row],[Birthweight Z-Score]],TRUE)*100,"")</f>
        <v/>
      </c>
      <c r="K5935" s="7" t="str">
        <f>IF(Table1[[#This Row],[Is Data Valid]]=TRUE,_xlfn.NORM.S.DIST(Table1[[#This Row],[Birthweight Z-Score (BW-10%)]],TRUE)*100,"")</f>
        <v/>
      </c>
      <c r="L5935" s="7" t="str">
        <f>IF(Table1[[#This Row],[Is Data Valid]]=TRUE,_xlfn.NORM.S.DIST(Table1[[#This Row],[Birthweight Z-Score (BW+10%)]],TRUE)*100,"")</f>
        <v/>
      </c>
    </row>
    <row r="5936" spans="1:12" x14ac:dyDescent="0.35">
      <c r="A5936" s="3"/>
      <c r="B5936" s="2"/>
      <c r="C5936" s="2"/>
      <c r="D5936" s="2" t="b">
        <f>IF(AND(NOT(ISBLANK(Table1[[#This Row],[Fetal Sex (Male, Female or Unknown)]])),ISNUMBER(Table1[[#This Row],[Birthweight (grams)]]),ISNUMBER(Table1[[#This Row],[Gestation (days)]])),TRUE,FALSE)</f>
        <v>0</v>
      </c>
      <c r="E5936" s="2" t="str">
        <f>IF(Table1[[#This Row],[Is Data Valid]]=TRUE,IF(Table1[[#This Row],[Fetal Sex (Male, Female or Unknown)]]="Male",Backend!$C$6,IF(Table1[[#This Row],[Fetal Sex (Male, Female or Unknown)]]="Female",Backend!$C$7,IF(Table1[[#This Row],[Fetal Sex (Male, Female or Unknown)]]="Unknown",Backend!$C$8,"Error"))),"")</f>
        <v/>
      </c>
      <c r="F5936" s="8" t="str">
        <f>IF(Table1[[#This Row],[Is Data Valid]]=TRUE,EXP(0.578+0.332*((Table1[[#This Row],[Gestation (days)]]+0.5)/7)-0.00354*((Table1[[#This Row],[Gestation (days)]]+0.5)/7)^2)*Table1[[#This Row],[BW40_3705]],"")</f>
        <v/>
      </c>
      <c r="G5936" s="2" t="str">
        <f>IF(Table1[[#This Row],[Is Data Valid]]=TRUE,((Table1[[#This Row],[Birthweight (grams)]]/Table1[[#This Row],[BW_GA]])-1)/(Backend!$B$4/100*Table1[[#This Row],[BW40_3705]]),"")</f>
        <v/>
      </c>
      <c r="H5936" s="7" t="str">
        <f>IF(Table1[[#This Row],[Is Data Valid]]=TRUE,((Table1[[#This Row],[Birthweight (grams)]]*0.9/Table1[[#This Row],[BW_GA]])-1)/(Backend!$B$4/100*Table1[[#This Row],[BW40_3705]]),"")</f>
        <v/>
      </c>
      <c r="I5936" s="7" t="str">
        <f>IF(Table1[[#This Row],[Is Data Valid]]=TRUE,((Table1[[#This Row],[Birthweight (grams)]]*1.1/Table1[[#This Row],[BW_GA]])-1)/(Backend!$B$4/100*Table1[[#This Row],[BW40_3705]]),"")</f>
        <v/>
      </c>
      <c r="J5936" s="7" t="str">
        <f>IF(Table1[[#This Row],[Is Data Valid]]=TRUE,_xlfn.NORM.S.DIST(Table1[[#This Row],[Birthweight Z-Score]],TRUE)*100,"")</f>
        <v/>
      </c>
      <c r="K5936" s="7" t="str">
        <f>IF(Table1[[#This Row],[Is Data Valid]]=TRUE,_xlfn.NORM.S.DIST(Table1[[#This Row],[Birthweight Z-Score (BW-10%)]],TRUE)*100,"")</f>
        <v/>
      </c>
      <c r="L5936" s="7" t="str">
        <f>IF(Table1[[#This Row],[Is Data Valid]]=TRUE,_xlfn.NORM.S.DIST(Table1[[#This Row],[Birthweight Z-Score (BW+10%)]],TRUE)*100,"")</f>
        <v/>
      </c>
    </row>
    <row r="5937" spans="1:12" x14ac:dyDescent="0.35">
      <c r="A5937" s="3"/>
      <c r="B5937" s="2"/>
      <c r="C5937" s="2"/>
      <c r="D5937" s="2" t="b">
        <f>IF(AND(NOT(ISBLANK(Table1[[#This Row],[Fetal Sex (Male, Female or Unknown)]])),ISNUMBER(Table1[[#This Row],[Birthweight (grams)]]),ISNUMBER(Table1[[#This Row],[Gestation (days)]])),TRUE,FALSE)</f>
        <v>0</v>
      </c>
      <c r="E5937" s="2" t="str">
        <f>IF(Table1[[#This Row],[Is Data Valid]]=TRUE,IF(Table1[[#This Row],[Fetal Sex (Male, Female or Unknown)]]="Male",Backend!$C$6,IF(Table1[[#This Row],[Fetal Sex (Male, Female or Unknown)]]="Female",Backend!$C$7,IF(Table1[[#This Row],[Fetal Sex (Male, Female or Unknown)]]="Unknown",Backend!$C$8,"Error"))),"")</f>
        <v/>
      </c>
      <c r="F5937" s="8" t="str">
        <f>IF(Table1[[#This Row],[Is Data Valid]]=TRUE,EXP(0.578+0.332*((Table1[[#This Row],[Gestation (days)]]+0.5)/7)-0.00354*((Table1[[#This Row],[Gestation (days)]]+0.5)/7)^2)*Table1[[#This Row],[BW40_3705]],"")</f>
        <v/>
      </c>
      <c r="G5937" s="2" t="str">
        <f>IF(Table1[[#This Row],[Is Data Valid]]=TRUE,((Table1[[#This Row],[Birthweight (grams)]]/Table1[[#This Row],[BW_GA]])-1)/(Backend!$B$4/100*Table1[[#This Row],[BW40_3705]]),"")</f>
        <v/>
      </c>
      <c r="H5937" s="7" t="str">
        <f>IF(Table1[[#This Row],[Is Data Valid]]=TRUE,((Table1[[#This Row],[Birthweight (grams)]]*0.9/Table1[[#This Row],[BW_GA]])-1)/(Backend!$B$4/100*Table1[[#This Row],[BW40_3705]]),"")</f>
        <v/>
      </c>
      <c r="I5937" s="7" t="str">
        <f>IF(Table1[[#This Row],[Is Data Valid]]=TRUE,((Table1[[#This Row],[Birthweight (grams)]]*1.1/Table1[[#This Row],[BW_GA]])-1)/(Backend!$B$4/100*Table1[[#This Row],[BW40_3705]]),"")</f>
        <v/>
      </c>
      <c r="J5937" s="7" t="str">
        <f>IF(Table1[[#This Row],[Is Data Valid]]=TRUE,_xlfn.NORM.S.DIST(Table1[[#This Row],[Birthweight Z-Score]],TRUE)*100,"")</f>
        <v/>
      </c>
      <c r="K5937" s="7" t="str">
        <f>IF(Table1[[#This Row],[Is Data Valid]]=TRUE,_xlfn.NORM.S.DIST(Table1[[#This Row],[Birthweight Z-Score (BW-10%)]],TRUE)*100,"")</f>
        <v/>
      </c>
      <c r="L5937" s="7" t="str">
        <f>IF(Table1[[#This Row],[Is Data Valid]]=TRUE,_xlfn.NORM.S.DIST(Table1[[#This Row],[Birthweight Z-Score (BW+10%)]],TRUE)*100,"")</f>
        <v/>
      </c>
    </row>
    <row r="5938" spans="1:12" x14ac:dyDescent="0.35">
      <c r="A5938" s="3"/>
      <c r="B5938" s="2"/>
      <c r="C5938" s="2"/>
      <c r="D5938" s="2" t="b">
        <f>IF(AND(NOT(ISBLANK(Table1[[#This Row],[Fetal Sex (Male, Female or Unknown)]])),ISNUMBER(Table1[[#This Row],[Birthweight (grams)]]),ISNUMBER(Table1[[#This Row],[Gestation (days)]])),TRUE,FALSE)</f>
        <v>0</v>
      </c>
      <c r="E5938" s="2" t="str">
        <f>IF(Table1[[#This Row],[Is Data Valid]]=TRUE,IF(Table1[[#This Row],[Fetal Sex (Male, Female or Unknown)]]="Male",Backend!$C$6,IF(Table1[[#This Row],[Fetal Sex (Male, Female or Unknown)]]="Female",Backend!$C$7,IF(Table1[[#This Row],[Fetal Sex (Male, Female or Unknown)]]="Unknown",Backend!$C$8,"Error"))),"")</f>
        <v/>
      </c>
      <c r="F5938" s="8" t="str">
        <f>IF(Table1[[#This Row],[Is Data Valid]]=TRUE,EXP(0.578+0.332*((Table1[[#This Row],[Gestation (days)]]+0.5)/7)-0.00354*((Table1[[#This Row],[Gestation (days)]]+0.5)/7)^2)*Table1[[#This Row],[BW40_3705]],"")</f>
        <v/>
      </c>
      <c r="G5938" s="2" t="str">
        <f>IF(Table1[[#This Row],[Is Data Valid]]=TRUE,((Table1[[#This Row],[Birthweight (grams)]]/Table1[[#This Row],[BW_GA]])-1)/(Backend!$B$4/100*Table1[[#This Row],[BW40_3705]]),"")</f>
        <v/>
      </c>
      <c r="H5938" s="7" t="str">
        <f>IF(Table1[[#This Row],[Is Data Valid]]=TRUE,((Table1[[#This Row],[Birthweight (grams)]]*0.9/Table1[[#This Row],[BW_GA]])-1)/(Backend!$B$4/100*Table1[[#This Row],[BW40_3705]]),"")</f>
        <v/>
      </c>
      <c r="I5938" s="7" t="str">
        <f>IF(Table1[[#This Row],[Is Data Valid]]=TRUE,((Table1[[#This Row],[Birthweight (grams)]]*1.1/Table1[[#This Row],[BW_GA]])-1)/(Backend!$B$4/100*Table1[[#This Row],[BW40_3705]]),"")</f>
        <v/>
      </c>
      <c r="J5938" s="7" t="str">
        <f>IF(Table1[[#This Row],[Is Data Valid]]=TRUE,_xlfn.NORM.S.DIST(Table1[[#This Row],[Birthweight Z-Score]],TRUE)*100,"")</f>
        <v/>
      </c>
      <c r="K5938" s="7" t="str">
        <f>IF(Table1[[#This Row],[Is Data Valid]]=TRUE,_xlfn.NORM.S.DIST(Table1[[#This Row],[Birthweight Z-Score (BW-10%)]],TRUE)*100,"")</f>
        <v/>
      </c>
      <c r="L5938" s="7" t="str">
        <f>IF(Table1[[#This Row],[Is Data Valid]]=TRUE,_xlfn.NORM.S.DIST(Table1[[#This Row],[Birthweight Z-Score (BW+10%)]],TRUE)*100,"")</f>
        <v/>
      </c>
    </row>
    <row r="5939" spans="1:12" x14ac:dyDescent="0.35">
      <c r="A5939" s="3"/>
      <c r="B5939" s="2"/>
      <c r="C5939" s="2"/>
      <c r="D5939" s="2" t="b">
        <f>IF(AND(NOT(ISBLANK(Table1[[#This Row],[Fetal Sex (Male, Female or Unknown)]])),ISNUMBER(Table1[[#This Row],[Birthweight (grams)]]),ISNUMBER(Table1[[#This Row],[Gestation (days)]])),TRUE,FALSE)</f>
        <v>0</v>
      </c>
      <c r="E5939" s="2" t="str">
        <f>IF(Table1[[#This Row],[Is Data Valid]]=TRUE,IF(Table1[[#This Row],[Fetal Sex (Male, Female or Unknown)]]="Male",Backend!$C$6,IF(Table1[[#This Row],[Fetal Sex (Male, Female or Unknown)]]="Female",Backend!$C$7,IF(Table1[[#This Row],[Fetal Sex (Male, Female or Unknown)]]="Unknown",Backend!$C$8,"Error"))),"")</f>
        <v/>
      </c>
      <c r="F5939" s="8" t="str">
        <f>IF(Table1[[#This Row],[Is Data Valid]]=TRUE,EXP(0.578+0.332*((Table1[[#This Row],[Gestation (days)]]+0.5)/7)-0.00354*((Table1[[#This Row],[Gestation (days)]]+0.5)/7)^2)*Table1[[#This Row],[BW40_3705]],"")</f>
        <v/>
      </c>
      <c r="G5939" s="2" t="str">
        <f>IF(Table1[[#This Row],[Is Data Valid]]=TRUE,((Table1[[#This Row],[Birthweight (grams)]]/Table1[[#This Row],[BW_GA]])-1)/(Backend!$B$4/100*Table1[[#This Row],[BW40_3705]]),"")</f>
        <v/>
      </c>
      <c r="H5939" s="7" t="str">
        <f>IF(Table1[[#This Row],[Is Data Valid]]=TRUE,((Table1[[#This Row],[Birthweight (grams)]]*0.9/Table1[[#This Row],[BW_GA]])-1)/(Backend!$B$4/100*Table1[[#This Row],[BW40_3705]]),"")</f>
        <v/>
      </c>
      <c r="I5939" s="7" t="str">
        <f>IF(Table1[[#This Row],[Is Data Valid]]=TRUE,((Table1[[#This Row],[Birthweight (grams)]]*1.1/Table1[[#This Row],[BW_GA]])-1)/(Backend!$B$4/100*Table1[[#This Row],[BW40_3705]]),"")</f>
        <v/>
      </c>
      <c r="J5939" s="7" t="str">
        <f>IF(Table1[[#This Row],[Is Data Valid]]=TRUE,_xlfn.NORM.S.DIST(Table1[[#This Row],[Birthweight Z-Score]],TRUE)*100,"")</f>
        <v/>
      </c>
      <c r="K5939" s="7" t="str">
        <f>IF(Table1[[#This Row],[Is Data Valid]]=TRUE,_xlfn.NORM.S.DIST(Table1[[#This Row],[Birthweight Z-Score (BW-10%)]],TRUE)*100,"")</f>
        <v/>
      </c>
      <c r="L5939" s="7" t="str">
        <f>IF(Table1[[#This Row],[Is Data Valid]]=TRUE,_xlfn.NORM.S.DIST(Table1[[#This Row],[Birthweight Z-Score (BW+10%)]],TRUE)*100,"")</f>
        <v/>
      </c>
    </row>
    <row r="5940" spans="1:12" x14ac:dyDescent="0.35">
      <c r="A5940" s="3"/>
      <c r="B5940" s="2"/>
      <c r="C5940" s="2"/>
      <c r="D5940" s="2" t="b">
        <f>IF(AND(NOT(ISBLANK(Table1[[#This Row],[Fetal Sex (Male, Female or Unknown)]])),ISNUMBER(Table1[[#This Row],[Birthweight (grams)]]),ISNUMBER(Table1[[#This Row],[Gestation (days)]])),TRUE,FALSE)</f>
        <v>0</v>
      </c>
      <c r="E5940" s="2" t="str">
        <f>IF(Table1[[#This Row],[Is Data Valid]]=TRUE,IF(Table1[[#This Row],[Fetal Sex (Male, Female or Unknown)]]="Male",Backend!$C$6,IF(Table1[[#This Row],[Fetal Sex (Male, Female or Unknown)]]="Female",Backend!$C$7,IF(Table1[[#This Row],[Fetal Sex (Male, Female or Unknown)]]="Unknown",Backend!$C$8,"Error"))),"")</f>
        <v/>
      </c>
      <c r="F5940" s="8" t="str">
        <f>IF(Table1[[#This Row],[Is Data Valid]]=TRUE,EXP(0.578+0.332*((Table1[[#This Row],[Gestation (days)]]+0.5)/7)-0.00354*((Table1[[#This Row],[Gestation (days)]]+0.5)/7)^2)*Table1[[#This Row],[BW40_3705]],"")</f>
        <v/>
      </c>
      <c r="G5940" s="2" t="str">
        <f>IF(Table1[[#This Row],[Is Data Valid]]=TRUE,((Table1[[#This Row],[Birthweight (grams)]]/Table1[[#This Row],[BW_GA]])-1)/(Backend!$B$4/100*Table1[[#This Row],[BW40_3705]]),"")</f>
        <v/>
      </c>
      <c r="H5940" s="7" t="str">
        <f>IF(Table1[[#This Row],[Is Data Valid]]=TRUE,((Table1[[#This Row],[Birthweight (grams)]]*0.9/Table1[[#This Row],[BW_GA]])-1)/(Backend!$B$4/100*Table1[[#This Row],[BW40_3705]]),"")</f>
        <v/>
      </c>
      <c r="I5940" s="7" t="str">
        <f>IF(Table1[[#This Row],[Is Data Valid]]=TRUE,((Table1[[#This Row],[Birthweight (grams)]]*1.1/Table1[[#This Row],[BW_GA]])-1)/(Backend!$B$4/100*Table1[[#This Row],[BW40_3705]]),"")</f>
        <v/>
      </c>
      <c r="J5940" s="7" t="str">
        <f>IF(Table1[[#This Row],[Is Data Valid]]=TRUE,_xlfn.NORM.S.DIST(Table1[[#This Row],[Birthweight Z-Score]],TRUE)*100,"")</f>
        <v/>
      </c>
      <c r="K5940" s="7" t="str">
        <f>IF(Table1[[#This Row],[Is Data Valid]]=TRUE,_xlfn.NORM.S.DIST(Table1[[#This Row],[Birthweight Z-Score (BW-10%)]],TRUE)*100,"")</f>
        <v/>
      </c>
      <c r="L5940" s="7" t="str">
        <f>IF(Table1[[#This Row],[Is Data Valid]]=TRUE,_xlfn.NORM.S.DIST(Table1[[#This Row],[Birthweight Z-Score (BW+10%)]],TRUE)*100,"")</f>
        <v/>
      </c>
    </row>
    <row r="5941" spans="1:12" x14ac:dyDescent="0.35">
      <c r="A5941" s="3"/>
      <c r="B5941" s="2"/>
      <c r="C5941" s="2"/>
      <c r="D5941" s="2" t="b">
        <f>IF(AND(NOT(ISBLANK(Table1[[#This Row],[Fetal Sex (Male, Female or Unknown)]])),ISNUMBER(Table1[[#This Row],[Birthweight (grams)]]),ISNUMBER(Table1[[#This Row],[Gestation (days)]])),TRUE,FALSE)</f>
        <v>0</v>
      </c>
      <c r="E5941" s="2" t="str">
        <f>IF(Table1[[#This Row],[Is Data Valid]]=TRUE,IF(Table1[[#This Row],[Fetal Sex (Male, Female or Unknown)]]="Male",Backend!$C$6,IF(Table1[[#This Row],[Fetal Sex (Male, Female or Unknown)]]="Female",Backend!$C$7,IF(Table1[[#This Row],[Fetal Sex (Male, Female or Unknown)]]="Unknown",Backend!$C$8,"Error"))),"")</f>
        <v/>
      </c>
      <c r="F5941" s="8" t="str">
        <f>IF(Table1[[#This Row],[Is Data Valid]]=TRUE,EXP(0.578+0.332*((Table1[[#This Row],[Gestation (days)]]+0.5)/7)-0.00354*((Table1[[#This Row],[Gestation (days)]]+0.5)/7)^2)*Table1[[#This Row],[BW40_3705]],"")</f>
        <v/>
      </c>
      <c r="G5941" s="2" t="str">
        <f>IF(Table1[[#This Row],[Is Data Valid]]=TRUE,((Table1[[#This Row],[Birthweight (grams)]]/Table1[[#This Row],[BW_GA]])-1)/(Backend!$B$4/100*Table1[[#This Row],[BW40_3705]]),"")</f>
        <v/>
      </c>
      <c r="H5941" s="7" t="str">
        <f>IF(Table1[[#This Row],[Is Data Valid]]=TRUE,((Table1[[#This Row],[Birthweight (grams)]]*0.9/Table1[[#This Row],[BW_GA]])-1)/(Backend!$B$4/100*Table1[[#This Row],[BW40_3705]]),"")</f>
        <v/>
      </c>
      <c r="I5941" s="7" t="str">
        <f>IF(Table1[[#This Row],[Is Data Valid]]=TRUE,((Table1[[#This Row],[Birthweight (grams)]]*1.1/Table1[[#This Row],[BW_GA]])-1)/(Backend!$B$4/100*Table1[[#This Row],[BW40_3705]]),"")</f>
        <v/>
      </c>
      <c r="J5941" s="7" t="str">
        <f>IF(Table1[[#This Row],[Is Data Valid]]=TRUE,_xlfn.NORM.S.DIST(Table1[[#This Row],[Birthweight Z-Score]],TRUE)*100,"")</f>
        <v/>
      </c>
      <c r="K5941" s="7" t="str">
        <f>IF(Table1[[#This Row],[Is Data Valid]]=TRUE,_xlfn.NORM.S.DIST(Table1[[#This Row],[Birthweight Z-Score (BW-10%)]],TRUE)*100,"")</f>
        <v/>
      </c>
      <c r="L5941" s="7" t="str">
        <f>IF(Table1[[#This Row],[Is Data Valid]]=TRUE,_xlfn.NORM.S.DIST(Table1[[#This Row],[Birthweight Z-Score (BW+10%)]],TRUE)*100,"")</f>
        <v/>
      </c>
    </row>
    <row r="5942" spans="1:12" x14ac:dyDescent="0.35">
      <c r="A5942" s="3"/>
      <c r="B5942" s="2"/>
      <c r="C5942" s="2"/>
      <c r="D5942" s="2" t="b">
        <f>IF(AND(NOT(ISBLANK(Table1[[#This Row],[Fetal Sex (Male, Female or Unknown)]])),ISNUMBER(Table1[[#This Row],[Birthweight (grams)]]),ISNUMBER(Table1[[#This Row],[Gestation (days)]])),TRUE,FALSE)</f>
        <v>0</v>
      </c>
      <c r="E5942" s="2" t="str">
        <f>IF(Table1[[#This Row],[Is Data Valid]]=TRUE,IF(Table1[[#This Row],[Fetal Sex (Male, Female or Unknown)]]="Male",Backend!$C$6,IF(Table1[[#This Row],[Fetal Sex (Male, Female or Unknown)]]="Female",Backend!$C$7,IF(Table1[[#This Row],[Fetal Sex (Male, Female or Unknown)]]="Unknown",Backend!$C$8,"Error"))),"")</f>
        <v/>
      </c>
      <c r="F5942" s="8" t="str">
        <f>IF(Table1[[#This Row],[Is Data Valid]]=TRUE,EXP(0.578+0.332*((Table1[[#This Row],[Gestation (days)]]+0.5)/7)-0.00354*((Table1[[#This Row],[Gestation (days)]]+0.5)/7)^2)*Table1[[#This Row],[BW40_3705]],"")</f>
        <v/>
      </c>
      <c r="G5942" s="2" t="str">
        <f>IF(Table1[[#This Row],[Is Data Valid]]=TRUE,((Table1[[#This Row],[Birthweight (grams)]]/Table1[[#This Row],[BW_GA]])-1)/(Backend!$B$4/100*Table1[[#This Row],[BW40_3705]]),"")</f>
        <v/>
      </c>
      <c r="H5942" s="7" t="str">
        <f>IF(Table1[[#This Row],[Is Data Valid]]=TRUE,((Table1[[#This Row],[Birthweight (grams)]]*0.9/Table1[[#This Row],[BW_GA]])-1)/(Backend!$B$4/100*Table1[[#This Row],[BW40_3705]]),"")</f>
        <v/>
      </c>
      <c r="I5942" s="7" t="str">
        <f>IF(Table1[[#This Row],[Is Data Valid]]=TRUE,((Table1[[#This Row],[Birthweight (grams)]]*1.1/Table1[[#This Row],[BW_GA]])-1)/(Backend!$B$4/100*Table1[[#This Row],[BW40_3705]]),"")</f>
        <v/>
      </c>
      <c r="J5942" s="7" t="str">
        <f>IF(Table1[[#This Row],[Is Data Valid]]=TRUE,_xlfn.NORM.S.DIST(Table1[[#This Row],[Birthweight Z-Score]],TRUE)*100,"")</f>
        <v/>
      </c>
      <c r="K5942" s="7" t="str">
        <f>IF(Table1[[#This Row],[Is Data Valid]]=TRUE,_xlfn.NORM.S.DIST(Table1[[#This Row],[Birthweight Z-Score (BW-10%)]],TRUE)*100,"")</f>
        <v/>
      </c>
      <c r="L5942" s="7" t="str">
        <f>IF(Table1[[#This Row],[Is Data Valid]]=TRUE,_xlfn.NORM.S.DIST(Table1[[#This Row],[Birthweight Z-Score (BW+10%)]],TRUE)*100,"")</f>
        <v/>
      </c>
    </row>
    <row r="5943" spans="1:12" x14ac:dyDescent="0.35">
      <c r="A5943" s="3"/>
      <c r="B5943" s="2"/>
      <c r="C5943" s="2"/>
      <c r="D5943" s="2" t="b">
        <f>IF(AND(NOT(ISBLANK(Table1[[#This Row],[Fetal Sex (Male, Female or Unknown)]])),ISNUMBER(Table1[[#This Row],[Birthweight (grams)]]),ISNUMBER(Table1[[#This Row],[Gestation (days)]])),TRUE,FALSE)</f>
        <v>0</v>
      </c>
      <c r="E5943" s="2" t="str">
        <f>IF(Table1[[#This Row],[Is Data Valid]]=TRUE,IF(Table1[[#This Row],[Fetal Sex (Male, Female or Unknown)]]="Male",Backend!$C$6,IF(Table1[[#This Row],[Fetal Sex (Male, Female or Unknown)]]="Female",Backend!$C$7,IF(Table1[[#This Row],[Fetal Sex (Male, Female or Unknown)]]="Unknown",Backend!$C$8,"Error"))),"")</f>
        <v/>
      </c>
      <c r="F5943" s="8" t="str">
        <f>IF(Table1[[#This Row],[Is Data Valid]]=TRUE,EXP(0.578+0.332*((Table1[[#This Row],[Gestation (days)]]+0.5)/7)-0.00354*((Table1[[#This Row],[Gestation (days)]]+0.5)/7)^2)*Table1[[#This Row],[BW40_3705]],"")</f>
        <v/>
      </c>
      <c r="G5943" s="2" t="str">
        <f>IF(Table1[[#This Row],[Is Data Valid]]=TRUE,((Table1[[#This Row],[Birthweight (grams)]]/Table1[[#This Row],[BW_GA]])-1)/(Backend!$B$4/100*Table1[[#This Row],[BW40_3705]]),"")</f>
        <v/>
      </c>
      <c r="H5943" s="7" t="str">
        <f>IF(Table1[[#This Row],[Is Data Valid]]=TRUE,((Table1[[#This Row],[Birthweight (grams)]]*0.9/Table1[[#This Row],[BW_GA]])-1)/(Backend!$B$4/100*Table1[[#This Row],[BW40_3705]]),"")</f>
        <v/>
      </c>
      <c r="I5943" s="7" t="str">
        <f>IF(Table1[[#This Row],[Is Data Valid]]=TRUE,((Table1[[#This Row],[Birthweight (grams)]]*1.1/Table1[[#This Row],[BW_GA]])-1)/(Backend!$B$4/100*Table1[[#This Row],[BW40_3705]]),"")</f>
        <v/>
      </c>
      <c r="J5943" s="7" t="str">
        <f>IF(Table1[[#This Row],[Is Data Valid]]=TRUE,_xlfn.NORM.S.DIST(Table1[[#This Row],[Birthweight Z-Score]],TRUE)*100,"")</f>
        <v/>
      </c>
      <c r="K5943" s="7" t="str">
        <f>IF(Table1[[#This Row],[Is Data Valid]]=TRUE,_xlfn.NORM.S.DIST(Table1[[#This Row],[Birthweight Z-Score (BW-10%)]],TRUE)*100,"")</f>
        <v/>
      </c>
      <c r="L5943" s="7" t="str">
        <f>IF(Table1[[#This Row],[Is Data Valid]]=TRUE,_xlfn.NORM.S.DIST(Table1[[#This Row],[Birthweight Z-Score (BW+10%)]],TRUE)*100,"")</f>
        <v/>
      </c>
    </row>
    <row r="5944" spans="1:12" x14ac:dyDescent="0.35">
      <c r="A5944" s="3"/>
      <c r="B5944" s="2"/>
      <c r="C5944" s="2"/>
      <c r="D5944" s="2" t="b">
        <f>IF(AND(NOT(ISBLANK(Table1[[#This Row],[Fetal Sex (Male, Female or Unknown)]])),ISNUMBER(Table1[[#This Row],[Birthweight (grams)]]),ISNUMBER(Table1[[#This Row],[Gestation (days)]])),TRUE,FALSE)</f>
        <v>0</v>
      </c>
      <c r="E5944" s="2" t="str">
        <f>IF(Table1[[#This Row],[Is Data Valid]]=TRUE,IF(Table1[[#This Row],[Fetal Sex (Male, Female or Unknown)]]="Male",Backend!$C$6,IF(Table1[[#This Row],[Fetal Sex (Male, Female or Unknown)]]="Female",Backend!$C$7,IF(Table1[[#This Row],[Fetal Sex (Male, Female or Unknown)]]="Unknown",Backend!$C$8,"Error"))),"")</f>
        <v/>
      </c>
      <c r="F5944" s="8" t="str">
        <f>IF(Table1[[#This Row],[Is Data Valid]]=TRUE,EXP(0.578+0.332*((Table1[[#This Row],[Gestation (days)]]+0.5)/7)-0.00354*((Table1[[#This Row],[Gestation (days)]]+0.5)/7)^2)*Table1[[#This Row],[BW40_3705]],"")</f>
        <v/>
      </c>
      <c r="G5944" s="2" t="str">
        <f>IF(Table1[[#This Row],[Is Data Valid]]=TRUE,((Table1[[#This Row],[Birthweight (grams)]]/Table1[[#This Row],[BW_GA]])-1)/(Backend!$B$4/100*Table1[[#This Row],[BW40_3705]]),"")</f>
        <v/>
      </c>
      <c r="H5944" s="7" t="str">
        <f>IF(Table1[[#This Row],[Is Data Valid]]=TRUE,((Table1[[#This Row],[Birthweight (grams)]]*0.9/Table1[[#This Row],[BW_GA]])-1)/(Backend!$B$4/100*Table1[[#This Row],[BW40_3705]]),"")</f>
        <v/>
      </c>
      <c r="I5944" s="7" t="str">
        <f>IF(Table1[[#This Row],[Is Data Valid]]=TRUE,((Table1[[#This Row],[Birthweight (grams)]]*1.1/Table1[[#This Row],[BW_GA]])-1)/(Backend!$B$4/100*Table1[[#This Row],[BW40_3705]]),"")</f>
        <v/>
      </c>
      <c r="J5944" s="7" t="str">
        <f>IF(Table1[[#This Row],[Is Data Valid]]=TRUE,_xlfn.NORM.S.DIST(Table1[[#This Row],[Birthweight Z-Score]],TRUE)*100,"")</f>
        <v/>
      </c>
      <c r="K5944" s="7" t="str">
        <f>IF(Table1[[#This Row],[Is Data Valid]]=TRUE,_xlfn.NORM.S.DIST(Table1[[#This Row],[Birthweight Z-Score (BW-10%)]],TRUE)*100,"")</f>
        <v/>
      </c>
      <c r="L5944" s="7" t="str">
        <f>IF(Table1[[#This Row],[Is Data Valid]]=TRUE,_xlfn.NORM.S.DIST(Table1[[#This Row],[Birthweight Z-Score (BW+10%)]],TRUE)*100,"")</f>
        <v/>
      </c>
    </row>
    <row r="5945" spans="1:12" x14ac:dyDescent="0.35">
      <c r="A5945" s="3"/>
      <c r="B5945" s="2"/>
      <c r="C5945" s="2"/>
      <c r="D5945" s="2" t="b">
        <f>IF(AND(NOT(ISBLANK(Table1[[#This Row],[Fetal Sex (Male, Female or Unknown)]])),ISNUMBER(Table1[[#This Row],[Birthweight (grams)]]),ISNUMBER(Table1[[#This Row],[Gestation (days)]])),TRUE,FALSE)</f>
        <v>0</v>
      </c>
      <c r="E5945" s="2" t="str">
        <f>IF(Table1[[#This Row],[Is Data Valid]]=TRUE,IF(Table1[[#This Row],[Fetal Sex (Male, Female or Unknown)]]="Male",Backend!$C$6,IF(Table1[[#This Row],[Fetal Sex (Male, Female or Unknown)]]="Female",Backend!$C$7,IF(Table1[[#This Row],[Fetal Sex (Male, Female or Unknown)]]="Unknown",Backend!$C$8,"Error"))),"")</f>
        <v/>
      </c>
      <c r="F5945" s="8" t="str">
        <f>IF(Table1[[#This Row],[Is Data Valid]]=TRUE,EXP(0.578+0.332*((Table1[[#This Row],[Gestation (days)]]+0.5)/7)-0.00354*((Table1[[#This Row],[Gestation (days)]]+0.5)/7)^2)*Table1[[#This Row],[BW40_3705]],"")</f>
        <v/>
      </c>
      <c r="G5945" s="2" t="str">
        <f>IF(Table1[[#This Row],[Is Data Valid]]=TRUE,((Table1[[#This Row],[Birthweight (grams)]]/Table1[[#This Row],[BW_GA]])-1)/(Backend!$B$4/100*Table1[[#This Row],[BW40_3705]]),"")</f>
        <v/>
      </c>
      <c r="H5945" s="7" t="str">
        <f>IF(Table1[[#This Row],[Is Data Valid]]=TRUE,((Table1[[#This Row],[Birthweight (grams)]]*0.9/Table1[[#This Row],[BW_GA]])-1)/(Backend!$B$4/100*Table1[[#This Row],[BW40_3705]]),"")</f>
        <v/>
      </c>
      <c r="I5945" s="7" t="str">
        <f>IF(Table1[[#This Row],[Is Data Valid]]=TRUE,((Table1[[#This Row],[Birthweight (grams)]]*1.1/Table1[[#This Row],[BW_GA]])-1)/(Backend!$B$4/100*Table1[[#This Row],[BW40_3705]]),"")</f>
        <v/>
      </c>
      <c r="J5945" s="7" t="str">
        <f>IF(Table1[[#This Row],[Is Data Valid]]=TRUE,_xlfn.NORM.S.DIST(Table1[[#This Row],[Birthweight Z-Score]],TRUE)*100,"")</f>
        <v/>
      </c>
      <c r="K5945" s="7" t="str">
        <f>IF(Table1[[#This Row],[Is Data Valid]]=TRUE,_xlfn.NORM.S.DIST(Table1[[#This Row],[Birthweight Z-Score (BW-10%)]],TRUE)*100,"")</f>
        <v/>
      </c>
      <c r="L5945" s="7" t="str">
        <f>IF(Table1[[#This Row],[Is Data Valid]]=TRUE,_xlfn.NORM.S.DIST(Table1[[#This Row],[Birthweight Z-Score (BW+10%)]],TRUE)*100,"")</f>
        <v/>
      </c>
    </row>
    <row r="5946" spans="1:12" x14ac:dyDescent="0.35">
      <c r="A5946" s="3"/>
      <c r="B5946" s="2"/>
      <c r="C5946" s="2"/>
      <c r="D5946" s="2" t="b">
        <f>IF(AND(NOT(ISBLANK(Table1[[#This Row],[Fetal Sex (Male, Female or Unknown)]])),ISNUMBER(Table1[[#This Row],[Birthweight (grams)]]),ISNUMBER(Table1[[#This Row],[Gestation (days)]])),TRUE,FALSE)</f>
        <v>0</v>
      </c>
      <c r="E5946" s="2" t="str">
        <f>IF(Table1[[#This Row],[Is Data Valid]]=TRUE,IF(Table1[[#This Row],[Fetal Sex (Male, Female or Unknown)]]="Male",Backend!$C$6,IF(Table1[[#This Row],[Fetal Sex (Male, Female or Unknown)]]="Female",Backend!$C$7,IF(Table1[[#This Row],[Fetal Sex (Male, Female or Unknown)]]="Unknown",Backend!$C$8,"Error"))),"")</f>
        <v/>
      </c>
      <c r="F5946" s="8" t="str">
        <f>IF(Table1[[#This Row],[Is Data Valid]]=TRUE,EXP(0.578+0.332*((Table1[[#This Row],[Gestation (days)]]+0.5)/7)-0.00354*((Table1[[#This Row],[Gestation (days)]]+0.5)/7)^2)*Table1[[#This Row],[BW40_3705]],"")</f>
        <v/>
      </c>
      <c r="G5946" s="2" t="str">
        <f>IF(Table1[[#This Row],[Is Data Valid]]=TRUE,((Table1[[#This Row],[Birthweight (grams)]]/Table1[[#This Row],[BW_GA]])-1)/(Backend!$B$4/100*Table1[[#This Row],[BW40_3705]]),"")</f>
        <v/>
      </c>
      <c r="H5946" s="7" t="str">
        <f>IF(Table1[[#This Row],[Is Data Valid]]=TRUE,((Table1[[#This Row],[Birthweight (grams)]]*0.9/Table1[[#This Row],[BW_GA]])-1)/(Backend!$B$4/100*Table1[[#This Row],[BW40_3705]]),"")</f>
        <v/>
      </c>
      <c r="I5946" s="7" t="str">
        <f>IF(Table1[[#This Row],[Is Data Valid]]=TRUE,((Table1[[#This Row],[Birthweight (grams)]]*1.1/Table1[[#This Row],[BW_GA]])-1)/(Backend!$B$4/100*Table1[[#This Row],[BW40_3705]]),"")</f>
        <v/>
      </c>
      <c r="J5946" s="7" t="str">
        <f>IF(Table1[[#This Row],[Is Data Valid]]=TRUE,_xlfn.NORM.S.DIST(Table1[[#This Row],[Birthweight Z-Score]],TRUE)*100,"")</f>
        <v/>
      </c>
      <c r="K5946" s="7" t="str">
        <f>IF(Table1[[#This Row],[Is Data Valid]]=TRUE,_xlfn.NORM.S.DIST(Table1[[#This Row],[Birthweight Z-Score (BW-10%)]],TRUE)*100,"")</f>
        <v/>
      </c>
      <c r="L5946" s="7" t="str">
        <f>IF(Table1[[#This Row],[Is Data Valid]]=TRUE,_xlfn.NORM.S.DIST(Table1[[#This Row],[Birthweight Z-Score (BW+10%)]],TRUE)*100,"")</f>
        <v/>
      </c>
    </row>
    <row r="5947" spans="1:12" x14ac:dyDescent="0.35">
      <c r="A5947" s="3"/>
      <c r="B5947" s="2"/>
      <c r="C5947" s="2"/>
      <c r="D5947" s="2" t="b">
        <f>IF(AND(NOT(ISBLANK(Table1[[#This Row],[Fetal Sex (Male, Female or Unknown)]])),ISNUMBER(Table1[[#This Row],[Birthweight (grams)]]),ISNUMBER(Table1[[#This Row],[Gestation (days)]])),TRUE,FALSE)</f>
        <v>0</v>
      </c>
      <c r="E5947" s="2" t="str">
        <f>IF(Table1[[#This Row],[Is Data Valid]]=TRUE,IF(Table1[[#This Row],[Fetal Sex (Male, Female or Unknown)]]="Male",Backend!$C$6,IF(Table1[[#This Row],[Fetal Sex (Male, Female or Unknown)]]="Female",Backend!$C$7,IF(Table1[[#This Row],[Fetal Sex (Male, Female or Unknown)]]="Unknown",Backend!$C$8,"Error"))),"")</f>
        <v/>
      </c>
      <c r="F5947" s="8" t="str">
        <f>IF(Table1[[#This Row],[Is Data Valid]]=TRUE,EXP(0.578+0.332*((Table1[[#This Row],[Gestation (days)]]+0.5)/7)-0.00354*((Table1[[#This Row],[Gestation (days)]]+0.5)/7)^2)*Table1[[#This Row],[BW40_3705]],"")</f>
        <v/>
      </c>
      <c r="G5947" s="2" t="str">
        <f>IF(Table1[[#This Row],[Is Data Valid]]=TRUE,((Table1[[#This Row],[Birthweight (grams)]]/Table1[[#This Row],[BW_GA]])-1)/(Backend!$B$4/100*Table1[[#This Row],[BW40_3705]]),"")</f>
        <v/>
      </c>
      <c r="H5947" s="7" t="str">
        <f>IF(Table1[[#This Row],[Is Data Valid]]=TRUE,((Table1[[#This Row],[Birthweight (grams)]]*0.9/Table1[[#This Row],[BW_GA]])-1)/(Backend!$B$4/100*Table1[[#This Row],[BW40_3705]]),"")</f>
        <v/>
      </c>
      <c r="I5947" s="7" t="str">
        <f>IF(Table1[[#This Row],[Is Data Valid]]=TRUE,((Table1[[#This Row],[Birthweight (grams)]]*1.1/Table1[[#This Row],[BW_GA]])-1)/(Backend!$B$4/100*Table1[[#This Row],[BW40_3705]]),"")</f>
        <v/>
      </c>
      <c r="J5947" s="7" t="str">
        <f>IF(Table1[[#This Row],[Is Data Valid]]=TRUE,_xlfn.NORM.S.DIST(Table1[[#This Row],[Birthweight Z-Score]],TRUE)*100,"")</f>
        <v/>
      </c>
      <c r="K5947" s="7" t="str">
        <f>IF(Table1[[#This Row],[Is Data Valid]]=TRUE,_xlfn.NORM.S.DIST(Table1[[#This Row],[Birthweight Z-Score (BW-10%)]],TRUE)*100,"")</f>
        <v/>
      </c>
      <c r="L5947" s="7" t="str">
        <f>IF(Table1[[#This Row],[Is Data Valid]]=TRUE,_xlfn.NORM.S.DIST(Table1[[#This Row],[Birthweight Z-Score (BW+10%)]],TRUE)*100,"")</f>
        <v/>
      </c>
    </row>
    <row r="5948" spans="1:12" x14ac:dyDescent="0.35">
      <c r="A5948" s="3"/>
      <c r="B5948" s="2"/>
      <c r="C5948" s="2"/>
      <c r="D5948" s="2" t="b">
        <f>IF(AND(NOT(ISBLANK(Table1[[#This Row],[Fetal Sex (Male, Female or Unknown)]])),ISNUMBER(Table1[[#This Row],[Birthweight (grams)]]),ISNUMBER(Table1[[#This Row],[Gestation (days)]])),TRUE,FALSE)</f>
        <v>0</v>
      </c>
      <c r="E5948" s="2" t="str">
        <f>IF(Table1[[#This Row],[Is Data Valid]]=TRUE,IF(Table1[[#This Row],[Fetal Sex (Male, Female or Unknown)]]="Male",Backend!$C$6,IF(Table1[[#This Row],[Fetal Sex (Male, Female or Unknown)]]="Female",Backend!$C$7,IF(Table1[[#This Row],[Fetal Sex (Male, Female or Unknown)]]="Unknown",Backend!$C$8,"Error"))),"")</f>
        <v/>
      </c>
      <c r="F5948" s="8" t="str">
        <f>IF(Table1[[#This Row],[Is Data Valid]]=TRUE,EXP(0.578+0.332*((Table1[[#This Row],[Gestation (days)]]+0.5)/7)-0.00354*((Table1[[#This Row],[Gestation (days)]]+0.5)/7)^2)*Table1[[#This Row],[BW40_3705]],"")</f>
        <v/>
      </c>
      <c r="G5948" s="2" t="str">
        <f>IF(Table1[[#This Row],[Is Data Valid]]=TRUE,((Table1[[#This Row],[Birthweight (grams)]]/Table1[[#This Row],[BW_GA]])-1)/(Backend!$B$4/100*Table1[[#This Row],[BW40_3705]]),"")</f>
        <v/>
      </c>
      <c r="H5948" s="7" t="str">
        <f>IF(Table1[[#This Row],[Is Data Valid]]=TRUE,((Table1[[#This Row],[Birthweight (grams)]]*0.9/Table1[[#This Row],[BW_GA]])-1)/(Backend!$B$4/100*Table1[[#This Row],[BW40_3705]]),"")</f>
        <v/>
      </c>
      <c r="I5948" s="7" t="str">
        <f>IF(Table1[[#This Row],[Is Data Valid]]=TRUE,((Table1[[#This Row],[Birthweight (grams)]]*1.1/Table1[[#This Row],[BW_GA]])-1)/(Backend!$B$4/100*Table1[[#This Row],[BW40_3705]]),"")</f>
        <v/>
      </c>
      <c r="J5948" s="7" t="str">
        <f>IF(Table1[[#This Row],[Is Data Valid]]=TRUE,_xlfn.NORM.S.DIST(Table1[[#This Row],[Birthweight Z-Score]],TRUE)*100,"")</f>
        <v/>
      </c>
      <c r="K5948" s="7" t="str">
        <f>IF(Table1[[#This Row],[Is Data Valid]]=TRUE,_xlfn.NORM.S.DIST(Table1[[#This Row],[Birthweight Z-Score (BW-10%)]],TRUE)*100,"")</f>
        <v/>
      </c>
      <c r="L5948" s="7" t="str">
        <f>IF(Table1[[#This Row],[Is Data Valid]]=TRUE,_xlfn.NORM.S.DIST(Table1[[#This Row],[Birthweight Z-Score (BW+10%)]],TRUE)*100,"")</f>
        <v/>
      </c>
    </row>
    <row r="5949" spans="1:12" x14ac:dyDescent="0.35">
      <c r="A5949" s="3"/>
      <c r="B5949" s="2"/>
      <c r="C5949" s="2"/>
      <c r="D5949" s="2" t="b">
        <f>IF(AND(NOT(ISBLANK(Table1[[#This Row],[Fetal Sex (Male, Female or Unknown)]])),ISNUMBER(Table1[[#This Row],[Birthweight (grams)]]),ISNUMBER(Table1[[#This Row],[Gestation (days)]])),TRUE,FALSE)</f>
        <v>0</v>
      </c>
      <c r="E5949" s="2" t="str">
        <f>IF(Table1[[#This Row],[Is Data Valid]]=TRUE,IF(Table1[[#This Row],[Fetal Sex (Male, Female or Unknown)]]="Male",Backend!$C$6,IF(Table1[[#This Row],[Fetal Sex (Male, Female or Unknown)]]="Female",Backend!$C$7,IF(Table1[[#This Row],[Fetal Sex (Male, Female or Unknown)]]="Unknown",Backend!$C$8,"Error"))),"")</f>
        <v/>
      </c>
      <c r="F5949" s="8" t="str">
        <f>IF(Table1[[#This Row],[Is Data Valid]]=TRUE,EXP(0.578+0.332*((Table1[[#This Row],[Gestation (days)]]+0.5)/7)-0.00354*((Table1[[#This Row],[Gestation (days)]]+0.5)/7)^2)*Table1[[#This Row],[BW40_3705]],"")</f>
        <v/>
      </c>
      <c r="G5949" s="2" t="str">
        <f>IF(Table1[[#This Row],[Is Data Valid]]=TRUE,((Table1[[#This Row],[Birthweight (grams)]]/Table1[[#This Row],[BW_GA]])-1)/(Backend!$B$4/100*Table1[[#This Row],[BW40_3705]]),"")</f>
        <v/>
      </c>
      <c r="H5949" s="7" t="str">
        <f>IF(Table1[[#This Row],[Is Data Valid]]=TRUE,((Table1[[#This Row],[Birthweight (grams)]]*0.9/Table1[[#This Row],[BW_GA]])-1)/(Backend!$B$4/100*Table1[[#This Row],[BW40_3705]]),"")</f>
        <v/>
      </c>
      <c r="I5949" s="7" t="str">
        <f>IF(Table1[[#This Row],[Is Data Valid]]=TRUE,((Table1[[#This Row],[Birthweight (grams)]]*1.1/Table1[[#This Row],[BW_GA]])-1)/(Backend!$B$4/100*Table1[[#This Row],[BW40_3705]]),"")</f>
        <v/>
      </c>
      <c r="J5949" s="7" t="str">
        <f>IF(Table1[[#This Row],[Is Data Valid]]=TRUE,_xlfn.NORM.S.DIST(Table1[[#This Row],[Birthweight Z-Score]],TRUE)*100,"")</f>
        <v/>
      </c>
      <c r="K5949" s="7" t="str">
        <f>IF(Table1[[#This Row],[Is Data Valid]]=TRUE,_xlfn.NORM.S.DIST(Table1[[#This Row],[Birthweight Z-Score (BW-10%)]],TRUE)*100,"")</f>
        <v/>
      </c>
      <c r="L5949" s="7" t="str">
        <f>IF(Table1[[#This Row],[Is Data Valid]]=TRUE,_xlfn.NORM.S.DIST(Table1[[#This Row],[Birthweight Z-Score (BW+10%)]],TRUE)*100,"")</f>
        <v/>
      </c>
    </row>
    <row r="5950" spans="1:12" x14ac:dyDescent="0.35">
      <c r="A5950" s="3"/>
      <c r="B5950" s="2"/>
      <c r="C5950" s="2"/>
      <c r="D5950" s="2" t="b">
        <f>IF(AND(NOT(ISBLANK(Table1[[#This Row],[Fetal Sex (Male, Female or Unknown)]])),ISNUMBER(Table1[[#This Row],[Birthweight (grams)]]),ISNUMBER(Table1[[#This Row],[Gestation (days)]])),TRUE,FALSE)</f>
        <v>0</v>
      </c>
      <c r="E5950" s="2" t="str">
        <f>IF(Table1[[#This Row],[Is Data Valid]]=TRUE,IF(Table1[[#This Row],[Fetal Sex (Male, Female or Unknown)]]="Male",Backend!$C$6,IF(Table1[[#This Row],[Fetal Sex (Male, Female or Unknown)]]="Female",Backend!$C$7,IF(Table1[[#This Row],[Fetal Sex (Male, Female or Unknown)]]="Unknown",Backend!$C$8,"Error"))),"")</f>
        <v/>
      </c>
      <c r="F5950" s="8" t="str">
        <f>IF(Table1[[#This Row],[Is Data Valid]]=TRUE,EXP(0.578+0.332*((Table1[[#This Row],[Gestation (days)]]+0.5)/7)-0.00354*((Table1[[#This Row],[Gestation (days)]]+0.5)/7)^2)*Table1[[#This Row],[BW40_3705]],"")</f>
        <v/>
      </c>
      <c r="G5950" s="2" t="str">
        <f>IF(Table1[[#This Row],[Is Data Valid]]=TRUE,((Table1[[#This Row],[Birthweight (grams)]]/Table1[[#This Row],[BW_GA]])-1)/(Backend!$B$4/100*Table1[[#This Row],[BW40_3705]]),"")</f>
        <v/>
      </c>
      <c r="H5950" s="7" t="str">
        <f>IF(Table1[[#This Row],[Is Data Valid]]=TRUE,((Table1[[#This Row],[Birthweight (grams)]]*0.9/Table1[[#This Row],[BW_GA]])-1)/(Backend!$B$4/100*Table1[[#This Row],[BW40_3705]]),"")</f>
        <v/>
      </c>
      <c r="I5950" s="7" t="str">
        <f>IF(Table1[[#This Row],[Is Data Valid]]=TRUE,((Table1[[#This Row],[Birthweight (grams)]]*1.1/Table1[[#This Row],[BW_GA]])-1)/(Backend!$B$4/100*Table1[[#This Row],[BW40_3705]]),"")</f>
        <v/>
      </c>
      <c r="J5950" s="7" t="str">
        <f>IF(Table1[[#This Row],[Is Data Valid]]=TRUE,_xlfn.NORM.S.DIST(Table1[[#This Row],[Birthweight Z-Score]],TRUE)*100,"")</f>
        <v/>
      </c>
      <c r="K5950" s="7" t="str">
        <f>IF(Table1[[#This Row],[Is Data Valid]]=TRUE,_xlfn.NORM.S.DIST(Table1[[#This Row],[Birthweight Z-Score (BW-10%)]],TRUE)*100,"")</f>
        <v/>
      </c>
      <c r="L5950" s="7" t="str">
        <f>IF(Table1[[#This Row],[Is Data Valid]]=TRUE,_xlfn.NORM.S.DIST(Table1[[#This Row],[Birthweight Z-Score (BW+10%)]],TRUE)*100,"")</f>
        <v/>
      </c>
    </row>
    <row r="5951" spans="1:12" x14ac:dyDescent="0.35">
      <c r="A5951" s="3"/>
      <c r="B5951" s="2"/>
      <c r="C5951" s="2"/>
      <c r="D5951" s="2" t="b">
        <f>IF(AND(NOT(ISBLANK(Table1[[#This Row],[Fetal Sex (Male, Female or Unknown)]])),ISNUMBER(Table1[[#This Row],[Birthweight (grams)]]),ISNUMBER(Table1[[#This Row],[Gestation (days)]])),TRUE,FALSE)</f>
        <v>0</v>
      </c>
      <c r="E5951" s="2" t="str">
        <f>IF(Table1[[#This Row],[Is Data Valid]]=TRUE,IF(Table1[[#This Row],[Fetal Sex (Male, Female or Unknown)]]="Male",Backend!$C$6,IF(Table1[[#This Row],[Fetal Sex (Male, Female or Unknown)]]="Female",Backend!$C$7,IF(Table1[[#This Row],[Fetal Sex (Male, Female or Unknown)]]="Unknown",Backend!$C$8,"Error"))),"")</f>
        <v/>
      </c>
      <c r="F5951" s="8" t="str">
        <f>IF(Table1[[#This Row],[Is Data Valid]]=TRUE,EXP(0.578+0.332*((Table1[[#This Row],[Gestation (days)]]+0.5)/7)-0.00354*((Table1[[#This Row],[Gestation (days)]]+0.5)/7)^2)*Table1[[#This Row],[BW40_3705]],"")</f>
        <v/>
      </c>
      <c r="G5951" s="2" t="str">
        <f>IF(Table1[[#This Row],[Is Data Valid]]=TRUE,((Table1[[#This Row],[Birthweight (grams)]]/Table1[[#This Row],[BW_GA]])-1)/(Backend!$B$4/100*Table1[[#This Row],[BW40_3705]]),"")</f>
        <v/>
      </c>
      <c r="H5951" s="7" t="str">
        <f>IF(Table1[[#This Row],[Is Data Valid]]=TRUE,((Table1[[#This Row],[Birthweight (grams)]]*0.9/Table1[[#This Row],[BW_GA]])-1)/(Backend!$B$4/100*Table1[[#This Row],[BW40_3705]]),"")</f>
        <v/>
      </c>
      <c r="I5951" s="7" t="str">
        <f>IF(Table1[[#This Row],[Is Data Valid]]=TRUE,((Table1[[#This Row],[Birthweight (grams)]]*1.1/Table1[[#This Row],[BW_GA]])-1)/(Backend!$B$4/100*Table1[[#This Row],[BW40_3705]]),"")</f>
        <v/>
      </c>
      <c r="J5951" s="7" t="str">
        <f>IF(Table1[[#This Row],[Is Data Valid]]=TRUE,_xlfn.NORM.S.DIST(Table1[[#This Row],[Birthweight Z-Score]],TRUE)*100,"")</f>
        <v/>
      </c>
      <c r="K5951" s="7" t="str">
        <f>IF(Table1[[#This Row],[Is Data Valid]]=TRUE,_xlfn.NORM.S.DIST(Table1[[#This Row],[Birthweight Z-Score (BW-10%)]],TRUE)*100,"")</f>
        <v/>
      </c>
      <c r="L5951" s="7" t="str">
        <f>IF(Table1[[#This Row],[Is Data Valid]]=TRUE,_xlfn.NORM.S.DIST(Table1[[#This Row],[Birthweight Z-Score (BW+10%)]],TRUE)*100,"")</f>
        <v/>
      </c>
    </row>
    <row r="5952" spans="1:12" x14ac:dyDescent="0.35">
      <c r="A5952" s="3"/>
      <c r="B5952" s="2"/>
      <c r="C5952" s="2"/>
      <c r="D5952" s="2" t="b">
        <f>IF(AND(NOT(ISBLANK(Table1[[#This Row],[Fetal Sex (Male, Female or Unknown)]])),ISNUMBER(Table1[[#This Row],[Birthweight (grams)]]),ISNUMBER(Table1[[#This Row],[Gestation (days)]])),TRUE,FALSE)</f>
        <v>0</v>
      </c>
      <c r="E5952" s="2" t="str">
        <f>IF(Table1[[#This Row],[Is Data Valid]]=TRUE,IF(Table1[[#This Row],[Fetal Sex (Male, Female or Unknown)]]="Male",Backend!$C$6,IF(Table1[[#This Row],[Fetal Sex (Male, Female or Unknown)]]="Female",Backend!$C$7,IF(Table1[[#This Row],[Fetal Sex (Male, Female or Unknown)]]="Unknown",Backend!$C$8,"Error"))),"")</f>
        <v/>
      </c>
      <c r="F5952" s="8" t="str">
        <f>IF(Table1[[#This Row],[Is Data Valid]]=TRUE,EXP(0.578+0.332*((Table1[[#This Row],[Gestation (days)]]+0.5)/7)-0.00354*((Table1[[#This Row],[Gestation (days)]]+0.5)/7)^2)*Table1[[#This Row],[BW40_3705]],"")</f>
        <v/>
      </c>
      <c r="G5952" s="2" t="str">
        <f>IF(Table1[[#This Row],[Is Data Valid]]=TRUE,((Table1[[#This Row],[Birthweight (grams)]]/Table1[[#This Row],[BW_GA]])-1)/(Backend!$B$4/100*Table1[[#This Row],[BW40_3705]]),"")</f>
        <v/>
      </c>
      <c r="H5952" s="7" t="str">
        <f>IF(Table1[[#This Row],[Is Data Valid]]=TRUE,((Table1[[#This Row],[Birthweight (grams)]]*0.9/Table1[[#This Row],[BW_GA]])-1)/(Backend!$B$4/100*Table1[[#This Row],[BW40_3705]]),"")</f>
        <v/>
      </c>
      <c r="I5952" s="7" t="str">
        <f>IF(Table1[[#This Row],[Is Data Valid]]=TRUE,((Table1[[#This Row],[Birthweight (grams)]]*1.1/Table1[[#This Row],[BW_GA]])-1)/(Backend!$B$4/100*Table1[[#This Row],[BW40_3705]]),"")</f>
        <v/>
      </c>
      <c r="J5952" s="7" t="str">
        <f>IF(Table1[[#This Row],[Is Data Valid]]=TRUE,_xlfn.NORM.S.DIST(Table1[[#This Row],[Birthweight Z-Score]],TRUE)*100,"")</f>
        <v/>
      </c>
      <c r="K5952" s="7" t="str">
        <f>IF(Table1[[#This Row],[Is Data Valid]]=TRUE,_xlfn.NORM.S.DIST(Table1[[#This Row],[Birthweight Z-Score (BW-10%)]],TRUE)*100,"")</f>
        <v/>
      </c>
      <c r="L5952" s="7" t="str">
        <f>IF(Table1[[#This Row],[Is Data Valid]]=TRUE,_xlfn.NORM.S.DIST(Table1[[#This Row],[Birthweight Z-Score (BW+10%)]],TRUE)*100,"")</f>
        <v/>
      </c>
    </row>
    <row r="5953" spans="1:12" x14ac:dyDescent="0.35">
      <c r="A5953" s="3"/>
      <c r="B5953" s="2"/>
      <c r="C5953" s="2"/>
      <c r="D5953" s="2" t="b">
        <f>IF(AND(NOT(ISBLANK(Table1[[#This Row],[Fetal Sex (Male, Female or Unknown)]])),ISNUMBER(Table1[[#This Row],[Birthweight (grams)]]),ISNUMBER(Table1[[#This Row],[Gestation (days)]])),TRUE,FALSE)</f>
        <v>0</v>
      </c>
      <c r="E5953" s="2" t="str">
        <f>IF(Table1[[#This Row],[Is Data Valid]]=TRUE,IF(Table1[[#This Row],[Fetal Sex (Male, Female or Unknown)]]="Male",Backend!$C$6,IF(Table1[[#This Row],[Fetal Sex (Male, Female or Unknown)]]="Female",Backend!$C$7,IF(Table1[[#This Row],[Fetal Sex (Male, Female or Unknown)]]="Unknown",Backend!$C$8,"Error"))),"")</f>
        <v/>
      </c>
      <c r="F5953" s="8" t="str">
        <f>IF(Table1[[#This Row],[Is Data Valid]]=TRUE,EXP(0.578+0.332*((Table1[[#This Row],[Gestation (days)]]+0.5)/7)-0.00354*((Table1[[#This Row],[Gestation (days)]]+0.5)/7)^2)*Table1[[#This Row],[BW40_3705]],"")</f>
        <v/>
      </c>
      <c r="G5953" s="2" t="str">
        <f>IF(Table1[[#This Row],[Is Data Valid]]=TRUE,((Table1[[#This Row],[Birthweight (grams)]]/Table1[[#This Row],[BW_GA]])-1)/(Backend!$B$4/100*Table1[[#This Row],[BW40_3705]]),"")</f>
        <v/>
      </c>
      <c r="H5953" s="7" t="str">
        <f>IF(Table1[[#This Row],[Is Data Valid]]=TRUE,((Table1[[#This Row],[Birthweight (grams)]]*0.9/Table1[[#This Row],[BW_GA]])-1)/(Backend!$B$4/100*Table1[[#This Row],[BW40_3705]]),"")</f>
        <v/>
      </c>
      <c r="I5953" s="7" t="str">
        <f>IF(Table1[[#This Row],[Is Data Valid]]=TRUE,((Table1[[#This Row],[Birthweight (grams)]]*1.1/Table1[[#This Row],[BW_GA]])-1)/(Backend!$B$4/100*Table1[[#This Row],[BW40_3705]]),"")</f>
        <v/>
      </c>
      <c r="J5953" s="7" t="str">
        <f>IF(Table1[[#This Row],[Is Data Valid]]=TRUE,_xlfn.NORM.S.DIST(Table1[[#This Row],[Birthweight Z-Score]],TRUE)*100,"")</f>
        <v/>
      </c>
      <c r="K5953" s="7" t="str">
        <f>IF(Table1[[#This Row],[Is Data Valid]]=TRUE,_xlfn.NORM.S.DIST(Table1[[#This Row],[Birthweight Z-Score (BW-10%)]],TRUE)*100,"")</f>
        <v/>
      </c>
      <c r="L5953" s="7" t="str">
        <f>IF(Table1[[#This Row],[Is Data Valid]]=TRUE,_xlfn.NORM.S.DIST(Table1[[#This Row],[Birthweight Z-Score (BW+10%)]],TRUE)*100,"")</f>
        <v/>
      </c>
    </row>
    <row r="5954" spans="1:12" x14ac:dyDescent="0.35">
      <c r="A5954" s="3"/>
      <c r="B5954" s="2"/>
      <c r="C5954" s="2"/>
      <c r="D5954" s="2" t="b">
        <f>IF(AND(NOT(ISBLANK(Table1[[#This Row],[Fetal Sex (Male, Female or Unknown)]])),ISNUMBER(Table1[[#This Row],[Birthweight (grams)]]),ISNUMBER(Table1[[#This Row],[Gestation (days)]])),TRUE,FALSE)</f>
        <v>0</v>
      </c>
      <c r="E5954" s="2" t="str">
        <f>IF(Table1[[#This Row],[Is Data Valid]]=TRUE,IF(Table1[[#This Row],[Fetal Sex (Male, Female or Unknown)]]="Male",Backend!$C$6,IF(Table1[[#This Row],[Fetal Sex (Male, Female or Unknown)]]="Female",Backend!$C$7,IF(Table1[[#This Row],[Fetal Sex (Male, Female or Unknown)]]="Unknown",Backend!$C$8,"Error"))),"")</f>
        <v/>
      </c>
      <c r="F5954" s="8" t="str">
        <f>IF(Table1[[#This Row],[Is Data Valid]]=TRUE,EXP(0.578+0.332*((Table1[[#This Row],[Gestation (days)]]+0.5)/7)-0.00354*((Table1[[#This Row],[Gestation (days)]]+0.5)/7)^2)*Table1[[#This Row],[BW40_3705]],"")</f>
        <v/>
      </c>
      <c r="G5954" s="2" t="str">
        <f>IF(Table1[[#This Row],[Is Data Valid]]=TRUE,((Table1[[#This Row],[Birthweight (grams)]]/Table1[[#This Row],[BW_GA]])-1)/(Backend!$B$4/100*Table1[[#This Row],[BW40_3705]]),"")</f>
        <v/>
      </c>
      <c r="H5954" s="7" t="str">
        <f>IF(Table1[[#This Row],[Is Data Valid]]=TRUE,((Table1[[#This Row],[Birthweight (grams)]]*0.9/Table1[[#This Row],[BW_GA]])-1)/(Backend!$B$4/100*Table1[[#This Row],[BW40_3705]]),"")</f>
        <v/>
      </c>
      <c r="I5954" s="7" t="str">
        <f>IF(Table1[[#This Row],[Is Data Valid]]=TRUE,((Table1[[#This Row],[Birthweight (grams)]]*1.1/Table1[[#This Row],[BW_GA]])-1)/(Backend!$B$4/100*Table1[[#This Row],[BW40_3705]]),"")</f>
        <v/>
      </c>
      <c r="J5954" s="7" t="str">
        <f>IF(Table1[[#This Row],[Is Data Valid]]=TRUE,_xlfn.NORM.S.DIST(Table1[[#This Row],[Birthweight Z-Score]],TRUE)*100,"")</f>
        <v/>
      </c>
      <c r="K5954" s="7" t="str">
        <f>IF(Table1[[#This Row],[Is Data Valid]]=TRUE,_xlfn.NORM.S.DIST(Table1[[#This Row],[Birthweight Z-Score (BW-10%)]],TRUE)*100,"")</f>
        <v/>
      </c>
      <c r="L5954" s="7" t="str">
        <f>IF(Table1[[#This Row],[Is Data Valid]]=TRUE,_xlfn.NORM.S.DIST(Table1[[#This Row],[Birthweight Z-Score (BW+10%)]],TRUE)*100,"")</f>
        <v/>
      </c>
    </row>
    <row r="5955" spans="1:12" x14ac:dyDescent="0.35">
      <c r="A5955" s="3"/>
      <c r="B5955" s="2"/>
      <c r="C5955" s="2"/>
      <c r="D5955" s="2" t="b">
        <f>IF(AND(NOT(ISBLANK(Table1[[#This Row],[Fetal Sex (Male, Female or Unknown)]])),ISNUMBER(Table1[[#This Row],[Birthweight (grams)]]),ISNUMBER(Table1[[#This Row],[Gestation (days)]])),TRUE,FALSE)</f>
        <v>0</v>
      </c>
      <c r="E5955" s="2" t="str">
        <f>IF(Table1[[#This Row],[Is Data Valid]]=TRUE,IF(Table1[[#This Row],[Fetal Sex (Male, Female or Unknown)]]="Male",Backend!$C$6,IF(Table1[[#This Row],[Fetal Sex (Male, Female or Unknown)]]="Female",Backend!$C$7,IF(Table1[[#This Row],[Fetal Sex (Male, Female or Unknown)]]="Unknown",Backend!$C$8,"Error"))),"")</f>
        <v/>
      </c>
      <c r="F5955" s="8" t="str">
        <f>IF(Table1[[#This Row],[Is Data Valid]]=TRUE,EXP(0.578+0.332*((Table1[[#This Row],[Gestation (days)]]+0.5)/7)-0.00354*((Table1[[#This Row],[Gestation (days)]]+0.5)/7)^2)*Table1[[#This Row],[BW40_3705]],"")</f>
        <v/>
      </c>
      <c r="G5955" s="2" t="str">
        <f>IF(Table1[[#This Row],[Is Data Valid]]=TRUE,((Table1[[#This Row],[Birthweight (grams)]]/Table1[[#This Row],[BW_GA]])-1)/(Backend!$B$4/100*Table1[[#This Row],[BW40_3705]]),"")</f>
        <v/>
      </c>
      <c r="H5955" s="7" t="str">
        <f>IF(Table1[[#This Row],[Is Data Valid]]=TRUE,((Table1[[#This Row],[Birthweight (grams)]]*0.9/Table1[[#This Row],[BW_GA]])-1)/(Backend!$B$4/100*Table1[[#This Row],[BW40_3705]]),"")</f>
        <v/>
      </c>
      <c r="I5955" s="7" t="str">
        <f>IF(Table1[[#This Row],[Is Data Valid]]=TRUE,((Table1[[#This Row],[Birthweight (grams)]]*1.1/Table1[[#This Row],[BW_GA]])-1)/(Backend!$B$4/100*Table1[[#This Row],[BW40_3705]]),"")</f>
        <v/>
      </c>
      <c r="J5955" s="7" t="str">
        <f>IF(Table1[[#This Row],[Is Data Valid]]=TRUE,_xlfn.NORM.S.DIST(Table1[[#This Row],[Birthweight Z-Score]],TRUE)*100,"")</f>
        <v/>
      </c>
      <c r="K5955" s="7" t="str">
        <f>IF(Table1[[#This Row],[Is Data Valid]]=TRUE,_xlfn.NORM.S.DIST(Table1[[#This Row],[Birthweight Z-Score (BW-10%)]],TRUE)*100,"")</f>
        <v/>
      </c>
      <c r="L5955" s="7" t="str">
        <f>IF(Table1[[#This Row],[Is Data Valid]]=TRUE,_xlfn.NORM.S.DIST(Table1[[#This Row],[Birthweight Z-Score (BW+10%)]],TRUE)*100,"")</f>
        <v/>
      </c>
    </row>
    <row r="5956" spans="1:12" x14ac:dyDescent="0.35">
      <c r="A5956" s="3"/>
      <c r="B5956" s="2"/>
      <c r="C5956" s="2"/>
      <c r="D5956" s="2" t="b">
        <f>IF(AND(NOT(ISBLANK(Table1[[#This Row],[Fetal Sex (Male, Female or Unknown)]])),ISNUMBER(Table1[[#This Row],[Birthweight (grams)]]),ISNUMBER(Table1[[#This Row],[Gestation (days)]])),TRUE,FALSE)</f>
        <v>0</v>
      </c>
      <c r="E5956" s="2" t="str">
        <f>IF(Table1[[#This Row],[Is Data Valid]]=TRUE,IF(Table1[[#This Row],[Fetal Sex (Male, Female or Unknown)]]="Male",Backend!$C$6,IF(Table1[[#This Row],[Fetal Sex (Male, Female or Unknown)]]="Female",Backend!$C$7,IF(Table1[[#This Row],[Fetal Sex (Male, Female or Unknown)]]="Unknown",Backend!$C$8,"Error"))),"")</f>
        <v/>
      </c>
      <c r="F5956" s="8" t="str">
        <f>IF(Table1[[#This Row],[Is Data Valid]]=TRUE,EXP(0.578+0.332*((Table1[[#This Row],[Gestation (days)]]+0.5)/7)-0.00354*((Table1[[#This Row],[Gestation (days)]]+0.5)/7)^2)*Table1[[#This Row],[BW40_3705]],"")</f>
        <v/>
      </c>
      <c r="G5956" s="2" t="str">
        <f>IF(Table1[[#This Row],[Is Data Valid]]=TRUE,((Table1[[#This Row],[Birthweight (grams)]]/Table1[[#This Row],[BW_GA]])-1)/(Backend!$B$4/100*Table1[[#This Row],[BW40_3705]]),"")</f>
        <v/>
      </c>
      <c r="H5956" s="7" t="str">
        <f>IF(Table1[[#This Row],[Is Data Valid]]=TRUE,((Table1[[#This Row],[Birthweight (grams)]]*0.9/Table1[[#This Row],[BW_GA]])-1)/(Backend!$B$4/100*Table1[[#This Row],[BW40_3705]]),"")</f>
        <v/>
      </c>
      <c r="I5956" s="7" t="str">
        <f>IF(Table1[[#This Row],[Is Data Valid]]=TRUE,((Table1[[#This Row],[Birthweight (grams)]]*1.1/Table1[[#This Row],[BW_GA]])-1)/(Backend!$B$4/100*Table1[[#This Row],[BW40_3705]]),"")</f>
        <v/>
      </c>
      <c r="J5956" s="7" t="str">
        <f>IF(Table1[[#This Row],[Is Data Valid]]=TRUE,_xlfn.NORM.S.DIST(Table1[[#This Row],[Birthweight Z-Score]],TRUE)*100,"")</f>
        <v/>
      </c>
      <c r="K5956" s="7" t="str">
        <f>IF(Table1[[#This Row],[Is Data Valid]]=TRUE,_xlfn.NORM.S.DIST(Table1[[#This Row],[Birthweight Z-Score (BW-10%)]],TRUE)*100,"")</f>
        <v/>
      </c>
      <c r="L5956" s="7" t="str">
        <f>IF(Table1[[#This Row],[Is Data Valid]]=TRUE,_xlfn.NORM.S.DIST(Table1[[#This Row],[Birthweight Z-Score (BW+10%)]],TRUE)*100,"")</f>
        <v/>
      </c>
    </row>
    <row r="5957" spans="1:12" x14ac:dyDescent="0.35">
      <c r="A5957" s="3"/>
      <c r="B5957" s="2"/>
      <c r="C5957" s="2"/>
      <c r="D5957" s="2" t="b">
        <f>IF(AND(NOT(ISBLANK(Table1[[#This Row],[Fetal Sex (Male, Female or Unknown)]])),ISNUMBER(Table1[[#This Row],[Birthweight (grams)]]),ISNUMBER(Table1[[#This Row],[Gestation (days)]])),TRUE,FALSE)</f>
        <v>0</v>
      </c>
      <c r="E5957" s="2" t="str">
        <f>IF(Table1[[#This Row],[Is Data Valid]]=TRUE,IF(Table1[[#This Row],[Fetal Sex (Male, Female or Unknown)]]="Male",Backend!$C$6,IF(Table1[[#This Row],[Fetal Sex (Male, Female or Unknown)]]="Female",Backend!$C$7,IF(Table1[[#This Row],[Fetal Sex (Male, Female or Unknown)]]="Unknown",Backend!$C$8,"Error"))),"")</f>
        <v/>
      </c>
      <c r="F5957" s="8" t="str">
        <f>IF(Table1[[#This Row],[Is Data Valid]]=TRUE,EXP(0.578+0.332*((Table1[[#This Row],[Gestation (days)]]+0.5)/7)-0.00354*((Table1[[#This Row],[Gestation (days)]]+0.5)/7)^2)*Table1[[#This Row],[BW40_3705]],"")</f>
        <v/>
      </c>
      <c r="G5957" s="2" t="str">
        <f>IF(Table1[[#This Row],[Is Data Valid]]=TRUE,((Table1[[#This Row],[Birthweight (grams)]]/Table1[[#This Row],[BW_GA]])-1)/(Backend!$B$4/100*Table1[[#This Row],[BW40_3705]]),"")</f>
        <v/>
      </c>
      <c r="H5957" s="7" t="str">
        <f>IF(Table1[[#This Row],[Is Data Valid]]=TRUE,((Table1[[#This Row],[Birthweight (grams)]]*0.9/Table1[[#This Row],[BW_GA]])-1)/(Backend!$B$4/100*Table1[[#This Row],[BW40_3705]]),"")</f>
        <v/>
      </c>
      <c r="I5957" s="7" t="str">
        <f>IF(Table1[[#This Row],[Is Data Valid]]=TRUE,((Table1[[#This Row],[Birthweight (grams)]]*1.1/Table1[[#This Row],[BW_GA]])-1)/(Backend!$B$4/100*Table1[[#This Row],[BW40_3705]]),"")</f>
        <v/>
      </c>
      <c r="J5957" s="7" t="str">
        <f>IF(Table1[[#This Row],[Is Data Valid]]=TRUE,_xlfn.NORM.S.DIST(Table1[[#This Row],[Birthweight Z-Score]],TRUE)*100,"")</f>
        <v/>
      </c>
      <c r="K5957" s="7" t="str">
        <f>IF(Table1[[#This Row],[Is Data Valid]]=TRUE,_xlfn.NORM.S.DIST(Table1[[#This Row],[Birthweight Z-Score (BW-10%)]],TRUE)*100,"")</f>
        <v/>
      </c>
      <c r="L5957" s="7" t="str">
        <f>IF(Table1[[#This Row],[Is Data Valid]]=TRUE,_xlfn.NORM.S.DIST(Table1[[#This Row],[Birthweight Z-Score (BW+10%)]],TRUE)*100,"")</f>
        <v/>
      </c>
    </row>
    <row r="5958" spans="1:12" x14ac:dyDescent="0.35">
      <c r="A5958" s="3"/>
      <c r="B5958" s="2"/>
      <c r="C5958" s="2"/>
      <c r="D5958" s="2" t="b">
        <f>IF(AND(NOT(ISBLANK(Table1[[#This Row],[Fetal Sex (Male, Female or Unknown)]])),ISNUMBER(Table1[[#This Row],[Birthweight (grams)]]),ISNUMBER(Table1[[#This Row],[Gestation (days)]])),TRUE,FALSE)</f>
        <v>0</v>
      </c>
      <c r="E5958" s="2" t="str">
        <f>IF(Table1[[#This Row],[Is Data Valid]]=TRUE,IF(Table1[[#This Row],[Fetal Sex (Male, Female or Unknown)]]="Male",Backend!$C$6,IF(Table1[[#This Row],[Fetal Sex (Male, Female or Unknown)]]="Female",Backend!$C$7,IF(Table1[[#This Row],[Fetal Sex (Male, Female or Unknown)]]="Unknown",Backend!$C$8,"Error"))),"")</f>
        <v/>
      </c>
      <c r="F5958" s="8" t="str">
        <f>IF(Table1[[#This Row],[Is Data Valid]]=TRUE,EXP(0.578+0.332*((Table1[[#This Row],[Gestation (days)]]+0.5)/7)-0.00354*((Table1[[#This Row],[Gestation (days)]]+0.5)/7)^2)*Table1[[#This Row],[BW40_3705]],"")</f>
        <v/>
      </c>
      <c r="G5958" s="2" t="str">
        <f>IF(Table1[[#This Row],[Is Data Valid]]=TRUE,((Table1[[#This Row],[Birthweight (grams)]]/Table1[[#This Row],[BW_GA]])-1)/(Backend!$B$4/100*Table1[[#This Row],[BW40_3705]]),"")</f>
        <v/>
      </c>
      <c r="H5958" s="7" t="str">
        <f>IF(Table1[[#This Row],[Is Data Valid]]=TRUE,((Table1[[#This Row],[Birthweight (grams)]]*0.9/Table1[[#This Row],[BW_GA]])-1)/(Backend!$B$4/100*Table1[[#This Row],[BW40_3705]]),"")</f>
        <v/>
      </c>
      <c r="I5958" s="7" t="str">
        <f>IF(Table1[[#This Row],[Is Data Valid]]=TRUE,((Table1[[#This Row],[Birthweight (grams)]]*1.1/Table1[[#This Row],[BW_GA]])-1)/(Backend!$B$4/100*Table1[[#This Row],[BW40_3705]]),"")</f>
        <v/>
      </c>
      <c r="J5958" s="7" t="str">
        <f>IF(Table1[[#This Row],[Is Data Valid]]=TRUE,_xlfn.NORM.S.DIST(Table1[[#This Row],[Birthweight Z-Score]],TRUE)*100,"")</f>
        <v/>
      </c>
      <c r="K5958" s="7" t="str">
        <f>IF(Table1[[#This Row],[Is Data Valid]]=TRUE,_xlfn.NORM.S.DIST(Table1[[#This Row],[Birthweight Z-Score (BW-10%)]],TRUE)*100,"")</f>
        <v/>
      </c>
      <c r="L5958" s="7" t="str">
        <f>IF(Table1[[#This Row],[Is Data Valid]]=TRUE,_xlfn.NORM.S.DIST(Table1[[#This Row],[Birthweight Z-Score (BW+10%)]],TRUE)*100,"")</f>
        <v/>
      </c>
    </row>
    <row r="5959" spans="1:12" x14ac:dyDescent="0.35">
      <c r="A5959" s="3"/>
      <c r="B5959" s="2"/>
      <c r="C5959" s="2"/>
      <c r="D5959" s="2" t="b">
        <f>IF(AND(NOT(ISBLANK(Table1[[#This Row],[Fetal Sex (Male, Female or Unknown)]])),ISNUMBER(Table1[[#This Row],[Birthweight (grams)]]),ISNUMBER(Table1[[#This Row],[Gestation (days)]])),TRUE,FALSE)</f>
        <v>0</v>
      </c>
      <c r="E5959" s="2" t="str">
        <f>IF(Table1[[#This Row],[Is Data Valid]]=TRUE,IF(Table1[[#This Row],[Fetal Sex (Male, Female or Unknown)]]="Male",Backend!$C$6,IF(Table1[[#This Row],[Fetal Sex (Male, Female or Unknown)]]="Female",Backend!$C$7,IF(Table1[[#This Row],[Fetal Sex (Male, Female or Unknown)]]="Unknown",Backend!$C$8,"Error"))),"")</f>
        <v/>
      </c>
      <c r="F5959" s="8" t="str">
        <f>IF(Table1[[#This Row],[Is Data Valid]]=TRUE,EXP(0.578+0.332*((Table1[[#This Row],[Gestation (days)]]+0.5)/7)-0.00354*((Table1[[#This Row],[Gestation (days)]]+0.5)/7)^2)*Table1[[#This Row],[BW40_3705]],"")</f>
        <v/>
      </c>
      <c r="G5959" s="2" t="str">
        <f>IF(Table1[[#This Row],[Is Data Valid]]=TRUE,((Table1[[#This Row],[Birthweight (grams)]]/Table1[[#This Row],[BW_GA]])-1)/(Backend!$B$4/100*Table1[[#This Row],[BW40_3705]]),"")</f>
        <v/>
      </c>
      <c r="H5959" s="7" t="str">
        <f>IF(Table1[[#This Row],[Is Data Valid]]=TRUE,((Table1[[#This Row],[Birthweight (grams)]]*0.9/Table1[[#This Row],[BW_GA]])-1)/(Backend!$B$4/100*Table1[[#This Row],[BW40_3705]]),"")</f>
        <v/>
      </c>
      <c r="I5959" s="7" t="str">
        <f>IF(Table1[[#This Row],[Is Data Valid]]=TRUE,((Table1[[#This Row],[Birthweight (grams)]]*1.1/Table1[[#This Row],[BW_GA]])-1)/(Backend!$B$4/100*Table1[[#This Row],[BW40_3705]]),"")</f>
        <v/>
      </c>
      <c r="J5959" s="7" t="str">
        <f>IF(Table1[[#This Row],[Is Data Valid]]=TRUE,_xlfn.NORM.S.DIST(Table1[[#This Row],[Birthweight Z-Score]],TRUE)*100,"")</f>
        <v/>
      </c>
      <c r="K5959" s="7" t="str">
        <f>IF(Table1[[#This Row],[Is Data Valid]]=TRUE,_xlfn.NORM.S.DIST(Table1[[#This Row],[Birthweight Z-Score (BW-10%)]],TRUE)*100,"")</f>
        <v/>
      </c>
      <c r="L5959" s="7" t="str">
        <f>IF(Table1[[#This Row],[Is Data Valid]]=TRUE,_xlfn.NORM.S.DIST(Table1[[#This Row],[Birthweight Z-Score (BW+10%)]],TRUE)*100,"")</f>
        <v/>
      </c>
    </row>
    <row r="5960" spans="1:12" x14ac:dyDescent="0.35">
      <c r="A5960" s="3"/>
      <c r="B5960" s="2"/>
      <c r="C5960" s="2"/>
      <c r="D5960" s="2" t="b">
        <f>IF(AND(NOT(ISBLANK(Table1[[#This Row],[Fetal Sex (Male, Female or Unknown)]])),ISNUMBER(Table1[[#This Row],[Birthweight (grams)]]),ISNUMBER(Table1[[#This Row],[Gestation (days)]])),TRUE,FALSE)</f>
        <v>0</v>
      </c>
      <c r="E5960" s="2" t="str">
        <f>IF(Table1[[#This Row],[Is Data Valid]]=TRUE,IF(Table1[[#This Row],[Fetal Sex (Male, Female or Unknown)]]="Male",Backend!$C$6,IF(Table1[[#This Row],[Fetal Sex (Male, Female or Unknown)]]="Female",Backend!$C$7,IF(Table1[[#This Row],[Fetal Sex (Male, Female or Unknown)]]="Unknown",Backend!$C$8,"Error"))),"")</f>
        <v/>
      </c>
      <c r="F5960" s="8" t="str">
        <f>IF(Table1[[#This Row],[Is Data Valid]]=TRUE,EXP(0.578+0.332*((Table1[[#This Row],[Gestation (days)]]+0.5)/7)-0.00354*((Table1[[#This Row],[Gestation (days)]]+0.5)/7)^2)*Table1[[#This Row],[BW40_3705]],"")</f>
        <v/>
      </c>
      <c r="G5960" s="2" t="str">
        <f>IF(Table1[[#This Row],[Is Data Valid]]=TRUE,((Table1[[#This Row],[Birthweight (grams)]]/Table1[[#This Row],[BW_GA]])-1)/(Backend!$B$4/100*Table1[[#This Row],[BW40_3705]]),"")</f>
        <v/>
      </c>
      <c r="H5960" s="7" t="str">
        <f>IF(Table1[[#This Row],[Is Data Valid]]=TRUE,((Table1[[#This Row],[Birthweight (grams)]]*0.9/Table1[[#This Row],[BW_GA]])-1)/(Backend!$B$4/100*Table1[[#This Row],[BW40_3705]]),"")</f>
        <v/>
      </c>
      <c r="I5960" s="7" t="str">
        <f>IF(Table1[[#This Row],[Is Data Valid]]=TRUE,((Table1[[#This Row],[Birthweight (grams)]]*1.1/Table1[[#This Row],[BW_GA]])-1)/(Backend!$B$4/100*Table1[[#This Row],[BW40_3705]]),"")</f>
        <v/>
      </c>
      <c r="J5960" s="7" t="str">
        <f>IF(Table1[[#This Row],[Is Data Valid]]=TRUE,_xlfn.NORM.S.DIST(Table1[[#This Row],[Birthweight Z-Score]],TRUE)*100,"")</f>
        <v/>
      </c>
      <c r="K5960" s="7" t="str">
        <f>IF(Table1[[#This Row],[Is Data Valid]]=TRUE,_xlfn.NORM.S.DIST(Table1[[#This Row],[Birthweight Z-Score (BW-10%)]],TRUE)*100,"")</f>
        <v/>
      </c>
      <c r="L5960" s="7" t="str">
        <f>IF(Table1[[#This Row],[Is Data Valid]]=TRUE,_xlfn.NORM.S.DIST(Table1[[#This Row],[Birthweight Z-Score (BW+10%)]],TRUE)*100,"")</f>
        <v/>
      </c>
    </row>
    <row r="5961" spans="1:12" x14ac:dyDescent="0.35">
      <c r="A5961" s="3"/>
      <c r="B5961" s="2"/>
      <c r="C5961" s="2"/>
      <c r="D5961" s="2" t="b">
        <f>IF(AND(NOT(ISBLANK(Table1[[#This Row],[Fetal Sex (Male, Female or Unknown)]])),ISNUMBER(Table1[[#This Row],[Birthweight (grams)]]),ISNUMBER(Table1[[#This Row],[Gestation (days)]])),TRUE,FALSE)</f>
        <v>0</v>
      </c>
      <c r="E5961" s="2" t="str">
        <f>IF(Table1[[#This Row],[Is Data Valid]]=TRUE,IF(Table1[[#This Row],[Fetal Sex (Male, Female or Unknown)]]="Male",Backend!$C$6,IF(Table1[[#This Row],[Fetal Sex (Male, Female or Unknown)]]="Female",Backend!$C$7,IF(Table1[[#This Row],[Fetal Sex (Male, Female or Unknown)]]="Unknown",Backend!$C$8,"Error"))),"")</f>
        <v/>
      </c>
      <c r="F5961" s="8" t="str">
        <f>IF(Table1[[#This Row],[Is Data Valid]]=TRUE,EXP(0.578+0.332*((Table1[[#This Row],[Gestation (days)]]+0.5)/7)-0.00354*((Table1[[#This Row],[Gestation (days)]]+0.5)/7)^2)*Table1[[#This Row],[BW40_3705]],"")</f>
        <v/>
      </c>
      <c r="G5961" s="2" t="str">
        <f>IF(Table1[[#This Row],[Is Data Valid]]=TRUE,((Table1[[#This Row],[Birthweight (grams)]]/Table1[[#This Row],[BW_GA]])-1)/(Backend!$B$4/100*Table1[[#This Row],[BW40_3705]]),"")</f>
        <v/>
      </c>
      <c r="H5961" s="7" t="str">
        <f>IF(Table1[[#This Row],[Is Data Valid]]=TRUE,((Table1[[#This Row],[Birthweight (grams)]]*0.9/Table1[[#This Row],[BW_GA]])-1)/(Backend!$B$4/100*Table1[[#This Row],[BW40_3705]]),"")</f>
        <v/>
      </c>
      <c r="I5961" s="7" t="str">
        <f>IF(Table1[[#This Row],[Is Data Valid]]=TRUE,((Table1[[#This Row],[Birthweight (grams)]]*1.1/Table1[[#This Row],[BW_GA]])-1)/(Backend!$B$4/100*Table1[[#This Row],[BW40_3705]]),"")</f>
        <v/>
      </c>
      <c r="J5961" s="7" t="str">
        <f>IF(Table1[[#This Row],[Is Data Valid]]=TRUE,_xlfn.NORM.S.DIST(Table1[[#This Row],[Birthweight Z-Score]],TRUE)*100,"")</f>
        <v/>
      </c>
      <c r="K5961" s="7" t="str">
        <f>IF(Table1[[#This Row],[Is Data Valid]]=TRUE,_xlfn.NORM.S.DIST(Table1[[#This Row],[Birthweight Z-Score (BW-10%)]],TRUE)*100,"")</f>
        <v/>
      </c>
      <c r="L5961" s="7" t="str">
        <f>IF(Table1[[#This Row],[Is Data Valid]]=TRUE,_xlfn.NORM.S.DIST(Table1[[#This Row],[Birthweight Z-Score (BW+10%)]],TRUE)*100,"")</f>
        <v/>
      </c>
    </row>
    <row r="5962" spans="1:12" x14ac:dyDescent="0.35">
      <c r="A5962" s="3"/>
      <c r="B5962" s="2"/>
      <c r="C5962" s="2"/>
      <c r="D5962" s="2" t="b">
        <f>IF(AND(NOT(ISBLANK(Table1[[#This Row],[Fetal Sex (Male, Female or Unknown)]])),ISNUMBER(Table1[[#This Row],[Birthweight (grams)]]),ISNUMBER(Table1[[#This Row],[Gestation (days)]])),TRUE,FALSE)</f>
        <v>0</v>
      </c>
      <c r="E5962" s="2" t="str">
        <f>IF(Table1[[#This Row],[Is Data Valid]]=TRUE,IF(Table1[[#This Row],[Fetal Sex (Male, Female or Unknown)]]="Male",Backend!$C$6,IF(Table1[[#This Row],[Fetal Sex (Male, Female or Unknown)]]="Female",Backend!$C$7,IF(Table1[[#This Row],[Fetal Sex (Male, Female or Unknown)]]="Unknown",Backend!$C$8,"Error"))),"")</f>
        <v/>
      </c>
      <c r="F5962" s="8" t="str">
        <f>IF(Table1[[#This Row],[Is Data Valid]]=TRUE,EXP(0.578+0.332*((Table1[[#This Row],[Gestation (days)]]+0.5)/7)-0.00354*((Table1[[#This Row],[Gestation (days)]]+0.5)/7)^2)*Table1[[#This Row],[BW40_3705]],"")</f>
        <v/>
      </c>
      <c r="G5962" s="2" t="str">
        <f>IF(Table1[[#This Row],[Is Data Valid]]=TRUE,((Table1[[#This Row],[Birthweight (grams)]]/Table1[[#This Row],[BW_GA]])-1)/(Backend!$B$4/100*Table1[[#This Row],[BW40_3705]]),"")</f>
        <v/>
      </c>
      <c r="H5962" s="7" t="str">
        <f>IF(Table1[[#This Row],[Is Data Valid]]=TRUE,((Table1[[#This Row],[Birthweight (grams)]]*0.9/Table1[[#This Row],[BW_GA]])-1)/(Backend!$B$4/100*Table1[[#This Row],[BW40_3705]]),"")</f>
        <v/>
      </c>
      <c r="I5962" s="7" t="str">
        <f>IF(Table1[[#This Row],[Is Data Valid]]=TRUE,((Table1[[#This Row],[Birthweight (grams)]]*1.1/Table1[[#This Row],[BW_GA]])-1)/(Backend!$B$4/100*Table1[[#This Row],[BW40_3705]]),"")</f>
        <v/>
      </c>
      <c r="J5962" s="7" t="str">
        <f>IF(Table1[[#This Row],[Is Data Valid]]=TRUE,_xlfn.NORM.S.DIST(Table1[[#This Row],[Birthweight Z-Score]],TRUE)*100,"")</f>
        <v/>
      </c>
      <c r="K5962" s="7" t="str">
        <f>IF(Table1[[#This Row],[Is Data Valid]]=TRUE,_xlfn.NORM.S.DIST(Table1[[#This Row],[Birthweight Z-Score (BW-10%)]],TRUE)*100,"")</f>
        <v/>
      </c>
      <c r="L5962" s="7" t="str">
        <f>IF(Table1[[#This Row],[Is Data Valid]]=TRUE,_xlfn.NORM.S.DIST(Table1[[#This Row],[Birthweight Z-Score (BW+10%)]],TRUE)*100,"")</f>
        <v/>
      </c>
    </row>
    <row r="5963" spans="1:12" x14ac:dyDescent="0.35">
      <c r="A5963" s="3"/>
      <c r="B5963" s="2"/>
      <c r="C5963" s="2"/>
      <c r="D5963" s="2" t="b">
        <f>IF(AND(NOT(ISBLANK(Table1[[#This Row],[Fetal Sex (Male, Female or Unknown)]])),ISNUMBER(Table1[[#This Row],[Birthweight (grams)]]),ISNUMBER(Table1[[#This Row],[Gestation (days)]])),TRUE,FALSE)</f>
        <v>0</v>
      </c>
      <c r="E5963" s="2" t="str">
        <f>IF(Table1[[#This Row],[Is Data Valid]]=TRUE,IF(Table1[[#This Row],[Fetal Sex (Male, Female or Unknown)]]="Male",Backend!$C$6,IF(Table1[[#This Row],[Fetal Sex (Male, Female or Unknown)]]="Female",Backend!$C$7,IF(Table1[[#This Row],[Fetal Sex (Male, Female or Unknown)]]="Unknown",Backend!$C$8,"Error"))),"")</f>
        <v/>
      </c>
      <c r="F5963" s="8" t="str">
        <f>IF(Table1[[#This Row],[Is Data Valid]]=TRUE,EXP(0.578+0.332*((Table1[[#This Row],[Gestation (days)]]+0.5)/7)-0.00354*((Table1[[#This Row],[Gestation (days)]]+0.5)/7)^2)*Table1[[#This Row],[BW40_3705]],"")</f>
        <v/>
      </c>
      <c r="G5963" s="2" t="str">
        <f>IF(Table1[[#This Row],[Is Data Valid]]=TRUE,((Table1[[#This Row],[Birthweight (grams)]]/Table1[[#This Row],[BW_GA]])-1)/(Backend!$B$4/100*Table1[[#This Row],[BW40_3705]]),"")</f>
        <v/>
      </c>
      <c r="H5963" s="7" t="str">
        <f>IF(Table1[[#This Row],[Is Data Valid]]=TRUE,((Table1[[#This Row],[Birthweight (grams)]]*0.9/Table1[[#This Row],[BW_GA]])-1)/(Backend!$B$4/100*Table1[[#This Row],[BW40_3705]]),"")</f>
        <v/>
      </c>
      <c r="I5963" s="7" t="str">
        <f>IF(Table1[[#This Row],[Is Data Valid]]=TRUE,((Table1[[#This Row],[Birthweight (grams)]]*1.1/Table1[[#This Row],[BW_GA]])-1)/(Backend!$B$4/100*Table1[[#This Row],[BW40_3705]]),"")</f>
        <v/>
      </c>
      <c r="J5963" s="7" t="str">
        <f>IF(Table1[[#This Row],[Is Data Valid]]=TRUE,_xlfn.NORM.S.DIST(Table1[[#This Row],[Birthweight Z-Score]],TRUE)*100,"")</f>
        <v/>
      </c>
      <c r="K5963" s="7" t="str">
        <f>IF(Table1[[#This Row],[Is Data Valid]]=TRUE,_xlfn.NORM.S.DIST(Table1[[#This Row],[Birthweight Z-Score (BW-10%)]],TRUE)*100,"")</f>
        <v/>
      </c>
      <c r="L5963" s="7" t="str">
        <f>IF(Table1[[#This Row],[Is Data Valid]]=TRUE,_xlfn.NORM.S.DIST(Table1[[#This Row],[Birthweight Z-Score (BW+10%)]],TRUE)*100,"")</f>
        <v/>
      </c>
    </row>
    <row r="5964" spans="1:12" x14ac:dyDescent="0.35">
      <c r="A5964" s="3"/>
      <c r="B5964" s="2"/>
      <c r="C5964" s="2"/>
      <c r="D5964" s="2" t="b">
        <f>IF(AND(NOT(ISBLANK(Table1[[#This Row],[Fetal Sex (Male, Female or Unknown)]])),ISNUMBER(Table1[[#This Row],[Birthweight (grams)]]),ISNUMBER(Table1[[#This Row],[Gestation (days)]])),TRUE,FALSE)</f>
        <v>0</v>
      </c>
      <c r="E5964" s="2" t="str">
        <f>IF(Table1[[#This Row],[Is Data Valid]]=TRUE,IF(Table1[[#This Row],[Fetal Sex (Male, Female or Unknown)]]="Male",Backend!$C$6,IF(Table1[[#This Row],[Fetal Sex (Male, Female or Unknown)]]="Female",Backend!$C$7,IF(Table1[[#This Row],[Fetal Sex (Male, Female or Unknown)]]="Unknown",Backend!$C$8,"Error"))),"")</f>
        <v/>
      </c>
      <c r="F5964" s="8" t="str">
        <f>IF(Table1[[#This Row],[Is Data Valid]]=TRUE,EXP(0.578+0.332*((Table1[[#This Row],[Gestation (days)]]+0.5)/7)-0.00354*((Table1[[#This Row],[Gestation (days)]]+0.5)/7)^2)*Table1[[#This Row],[BW40_3705]],"")</f>
        <v/>
      </c>
      <c r="G5964" s="2" t="str">
        <f>IF(Table1[[#This Row],[Is Data Valid]]=TRUE,((Table1[[#This Row],[Birthweight (grams)]]/Table1[[#This Row],[BW_GA]])-1)/(Backend!$B$4/100*Table1[[#This Row],[BW40_3705]]),"")</f>
        <v/>
      </c>
      <c r="H5964" s="7" t="str">
        <f>IF(Table1[[#This Row],[Is Data Valid]]=TRUE,((Table1[[#This Row],[Birthweight (grams)]]*0.9/Table1[[#This Row],[BW_GA]])-1)/(Backend!$B$4/100*Table1[[#This Row],[BW40_3705]]),"")</f>
        <v/>
      </c>
      <c r="I5964" s="7" t="str">
        <f>IF(Table1[[#This Row],[Is Data Valid]]=TRUE,((Table1[[#This Row],[Birthweight (grams)]]*1.1/Table1[[#This Row],[BW_GA]])-1)/(Backend!$B$4/100*Table1[[#This Row],[BW40_3705]]),"")</f>
        <v/>
      </c>
      <c r="J5964" s="7" t="str">
        <f>IF(Table1[[#This Row],[Is Data Valid]]=TRUE,_xlfn.NORM.S.DIST(Table1[[#This Row],[Birthweight Z-Score]],TRUE)*100,"")</f>
        <v/>
      </c>
      <c r="K5964" s="7" t="str">
        <f>IF(Table1[[#This Row],[Is Data Valid]]=TRUE,_xlfn.NORM.S.DIST(Table1[[#This Row],[Birthweight Z-Score (BW-10%)]],TRUE)*100,"")</f>
        <v/>
      </c>
      <c r="L5964" s="7" t="str">
        <f>IF(Table1[[#This Row],[Is Data Valid]]=TRUE,_xlfn.NORM.S.DIST(Table1[[#This Row],[Birthweight Z-Score (BW+10%)]],TRUE)*100,"")</f>
        <v/>
      </c>
    </row>
    <row r="5965" spans="1:12" x14ac:dyDescent="0.35">
      <c r="A5965" s="3"/>
      <c r="B5965" s="2"/>
      <c r="C5965" s="2"/>
      <c r="D5965" s="2" t="b">
        <f>IF(AND(NOT(ISBLANK(Table1[[#This Row],[Fetal Sex (Male, Female or Unknown)]])),ISNUMBER(Table1[[#This Row],[Birthweight (grams)]]),ISNUMBER(Table1[[#This Row],[Gestation (days)]])),TRUE,FALSE)</f>
        <v>0</v>
      </c>
      <c r="E5965" s="2" t="str">
        <f>IF(Table1[[#This Row],[Is Data Valid]]=TRUE,IF(Table1[[#This Row],[Fetal Sex (Male, Female or Unknown)]]="Male",Backend!$C$6,IF(Table1[[#This Row],[Fetal Sex (Male, Female or Unknown)]]="Female",Backend!$C$7,IF(Table1[[#This Row],[Fetal Sex (Male, Female or Unknown)]]="Unknown",Backend!$C$8,"Error"))),"")</f>
        <v/>
      </c>
      <c r="F5965" s="8" t="str">
        <f>IF(Table1[[#This Row],[Is Data Valid]]=TRUE,EXP(0.578+0.332*((Table1[[#This Row],[Gestation (days)]]+0.5)/7)-0.00354*((Table1[[#This Row],[Gestation (days)]]+0.5)/7)^2)*Table1[[#This Row],[BW40_3705]],"")</f>
        <v/>
      </c>
      <c r="G5965" s="2" t="str">
        <f>IF(Table1[[#This Row],[Is Data Valid]]=TRUE,((Table1[[#This Row],[Birthweight (grams)]]/Table1[[#This Row],[BW_GA]])-1)/(Backend!$B$4/100*Table1[[#This Row],[BW40_3705]]),"")</f>
        <v/>
      </c>
      <c r="H5965" s="7" t="str">
        <f>IF(Table1[[#This Row],[Is Data Valid]]=TRUE,((Table1[[#This Row],[Birthweight (grams)]]*0.9/Table1[[#This Row],[BW_GA]])-1)/(Backend!$B$4/100*Table1[[#This Row],[BW40_3705]]),"")</f>
        <v/>
      </c>
      <c r="I5965" s="7" t="str">
        <f>IF(Table1[[#This Row],[Is Data Valid]]=TRUE,((Table1[[#This Row],[Birthweight (grams)]]*1.1/Table1[[#This Row],[BW_GA]])-1)/(Backend!$B$4/100*Table1[[#This Row],[BW40_3705]]),"")</f>
        <v/>
      </c>
      <c r="J5965" s="7" t="str">
        <f>IF(Table1[[#This Row],[Is Data Valid]]=TRUE,_xlfn.NORM.S.DIST(Table1[[#This Row],[Birthweight Z-Score]],TRUE)*100,"")</f>
        <v/>
      </c>
      <c r="K5965" s="7" t="str">
        <f>IF(Table1[[#This Row],[Is Data Valid]]=TRUE,_xlfn.NORM.S.DIST(Table1[[#This Row],[Birthweight Z-Score (BW-10%)]],TRUE)*100,"")</f>
        <v/>
      </c>
      <c r="L5965" s="7" t="str">
        <f>IF(Table1[[#This Row],[Is Data Valid]]=TRUE,_xlfn.NORM.S.DIST(Table1[[#This Row],[Birthweight Z-Score (BW+10%)]],TRUE)*100,"")</f>
        <v/>
      </c>
    </row>
    <row r="5966" spans="1:12" x14ac:dyDescent="0.35">
      <c r="A5966" s="3"/>
      <c r="B5966" s="2"/>
      <c r="C5966" s="2"/>
      <c r="D5966" s="2" t="b">
        <f>IF(AND(NOT(ISBLANK(Table1[[#This Row],[Fetal Sex (Male, Female or Unknown)]])),ISNUMBER(Table1[[#This Row],[Birthweight (grams)]]),ISNUMBER(Table1[[#This Row],[Gestation (days)]])),TRUE,FALSE)</f>
        <v>0</v>
      </c>
      <c r="E5966" s="2" t="str">
        <f>IF(Table1[[#This Row],[Is Data Valid]]=TRUE,IF(Table1[[#This Row],[Fetal Sex (Male, Female or Unknown)]]="Male",Backend!$C$6,IF(Table1[[#This Row],[Fetal Sex (Male, Female or Unknown)]]="Female",Backend!$C$7,IF(Table1[[#This Row],[Fetal Sex (Male, Female or Unknown)]]="Unknown",Backend!$C$8,"Error"))),"")</f>
        <v/>
      </c>
      <c r="F5966" s="8" t="str">
        <f>IF(Table1[[#This Row],[Is Data Valid]]=TRUE,EXP(0.578+0.332*((Table1[[#This Row],[Gestation (days)]]+0.5)/7)-0.00354*((Table1[[#This Row],[Gestation (days)]]+0.5)/7)^2)*Table1[[#This Row],[BW40_3705]],"")</f>
        <v/>
      </c>
      <c r="G5966" s="2" t="str">
        <f>IF(Table1[[#This Row],[Is Data Valid]]=TRUE,((Table1[[#This Row],[Birthweight (grams)]]/Table1[[#This Row],[BW_GA]])-1)/(Backend!$B$4/100*Table1[[#This Row],[BW40_3705]]),"")</f>
        <v/>
      </c>
      <c r="H5966" s="7" t="str">
        <f>IF(Table1[[#This Row],[Is Data Valid]]=TRUE,((Table1[[#This Row],[Birthweight (grams)]]*0.9/Table1[[#This Row],[BW_GA]])-1)/(Backend!$B$4/100*Table1[[#This Row],[BW40_3705]]),"")</f>
        <v/>
      </c>
      <c r="I5966" s="7" t="str">
        <f>IF(Table1[[#This Row],[Is Data Valid]]=TRUE,((Table1[[#This Row],[Birthweight (grams)]]*1.1/Table1[[#This Row],[BW_GA]])-1)/(Backend!$B$4/100*Table1[[#This Row],[BW40_3705]]),"")</f>
        <v/>
      </c>
      <c r="J5966" s="7" t="str">
        <f>IF(Table1[[#This Row],[Is Data Valid]]=TRUE,_xlfn.NORM.S.DIST(Table1[[#This Row],[Birthweight Z-Score]],TRUE)*100,"")</f>
        <v/>
      </c>
      <c r="K5966" s="7" t="str">
        <f>IF(Table1[[#This Row],[Is Data Valid]]=TRUE,_xlfn.NORM.S.DIST(Table1[[#This Row],[Birthweight Z-Score (BW-10%)]],TRUE)*100,"")</f>
        <v/>
      </c>
      <c r="L5966" s="7" t="str">
        <f>IF(Table1[[#This Row],[Is Data Valid]]=TRUE,_xlfn.NORM.S.DIST(Table1[[#This Row],[Birthweight Z-Score (BW+10%)]],TRUE)*100,"")</f>
        <v/>
      </c>
    </row>
    <row r="5967" spans="1:12" x14ac:dyDescent="0.35">
      <c r="A5967" s="3"/>
      <c r="B5967" s="2"/>
      <c r="C5967" s="2"/>
      <c r="D5967" s="2" t="b">
        <f>IF(AND(NOT(ISBLANK(Table1[[#This Row],[Fetal Sex (Male, Female or Unknown)]])),ISNUMBER(Table1[[#This Row],[Birthweight (grams)]]),ISNUMBER(Table1[[#This Row],[Gestation (days)]])),TRUE,FALSE)</f>
        <v>0</v>
      </c>
      <c r="E5967" s="2" t="str">
        <f>IF(Table1[[#This Row],[Is Data Valid]]=TRUE,IF(Table1[[#This Row],[Fetal Sex (Male, Female or Unknown)]]="Male",Backend!$C$6,IF(Table1[[#This Row],[Fetal Sex (Male, Female or Unknown)]]="Female",Backend!$C$7,IF(Table1[[#This Row],[Fetal Sex (Male, Female or Unknown)]]="Unknown",Backend!$C$8,"Error"))),"")</f>
        <v/>
      </c>
      <c r="F5967" s="8" t="str">
        <f>IF(Table1[[#This Row],[Is Data Valid]]=TRUE,EXP(0.578+0.332*((Table1[[#This Row],[Gestation (days)]]+0.5)/7)-0.00354*((Table1[[#This Row],[Gestation (days)]]+0.5)/7)^2)*Table1[[#This Row],[BW40_3705]],"")</f>
        <v/>
      </c>
      <c r="G5967" s="2" t="str">
        <f>IF(Table1[[#This Row],[Is Data Valid]]=TRUE,((Table1[[#This Row],[Birthweight (grams)]]/Table1[[#This Row],[BW_GA]])-1)/(Backend!$B$4/100*Table1[[#This Row],[BW40_3705]]),"")</f>
        <v/>
      </c>
      <c r="H5967" s="7" t="str">
        <f>IF(Table1[[#This Row],[Is Data Valid]]=TRUE,((Table1[[#This Row],[Birthweight (grams)]]*0.9/Table1[[#This Row],[BW_GA]])-1)/(Backend!$B$4/100*Table1[[#This Row],[BW40_3705]]),"")</f>
        <v/>
      </c>
      <c r="I5967" s="7" t="str">
        <f>IF(Table1[[#This Row],[Is Data Valid]]=TRUE,((Table1[[#This Row],[Birthweight (grams)]]*1.1/Table1[[#This Row],[BW_GA]])-1)/(Backend!$B$4/100*Table1[[#This Row],[BW40_3705]]),"")</f>
        <v/>
      </c>
      <c r="J5967" s="7" t="str">
        <f>IF(Table1[[#This Row],[Is Data Valid]]=TRUE,_xlfn.NORM.S.DIST(Table1[[#This Row],[Birthweight Z-Score]],TRUE)*100,"")</f>
        <v/>
      </c>
      <c r="K5967" s="7" t="str">
        <f>IF(Table1[[#This Row],[Is Data Valid]]=TRUE,_xlfn.NORM.S.DIST(Table1[[#This Row],[Birthweight Z-Score (BW-10%)]],TRUE)*100,"")</f>
        <v/>
      </c>
      <c r="L5967" s="7" t="str">
        <f>IF(Table1[[#This Row],[Is Data Valid]]=TRUE,_xlfn.NORM.S.DIST(Table1[[#This Row],[Birthweight Z-Score (BW+10%)]],TRUE)*100,"")</f>
        <v/>
      </c>
    </row>
    <row r="5968" spans="1:12" x14ac:dyDescent="0.35">
      <c r="A5968" s="3"/>
      <c r="B5968" s="2"/>
      <c r="C5968" s="2"/>
      <c r="D5968" s="2" t="b">
        <f>IF(AND(NOT(ISBLANK(Table1[[#This Row],[Fetal Sex (Male, Female or Unknown)]])),ISNUMBER(Table1[[#This Row],[Birthweight (grams)]]),ISNUMBER(Table1[[#This Row],[Gestation (days)]])),TRUE,FALSE)</f>
        <v>0</v>
      </c>
      <c r="E5968" s="2" t="str">
        <f>IF(Table1[[#This Row],[Is Data Valid]]=TRUE,IF(Table1[[#This Row],[Fetal Sex (Male, Female or Unknown)]]="Male",Backend!$C$6,IF(Table1[[#This Row],[Fetal Sex (Male, Female or Unknown)]]="Female",Backend!$C$7,IF(Table1[[#This Row],[Fetal Sex (Male, Female or Unknown)]]="Unknown",Backend!$C$8,"Error"))),"")</f>
        <v/>
      </c>
      <c r="F5968" s="8" t="str">
        <f>IF(Table1[[#This Row],[Is Data Valid]]=TRUE,EXP(0.578+0.332*((Table1[[#This Row],[Gestation (days)]]+0.5)/7)-0.00354*((Table1[[#This Row],[Gestation (days)]]+0.5)/7)^2)*Table1[[#This Row],[BW40_3705]],"")</f>
        <v/>
      </c>
      <c r="G5968" s="2" t="str">
        <f>IF(Table1[[#This Row],[Is Data Valid]]=TRUE,((Table1[[#This Row],[Birthweight (grams)]]/Table1[[#This Row],[BW_GA]])-1)/(Backend!$B$4/100*Table1[[#This Row],[BW40_3705]]),"")</f>
        <v/>
      </c>
      <c r="H5968" s="7" t="str">
        <f>IF(Table1[[#This Row],[Is Data Valid]]=TRUE,((Table1[[#This Row],[Birthweight (grams)]]*0.9/Table1[[#This Row],[BW_GA]])-1)/(Backend!$B$4/100*Table1[[#This Row],[BW40_3705]]),"")</f>
        <v/>
      </c>
      <c r="I5968" s="7" t="str">
        <f>IF(Table1[[#This Row],[Is Data Valid]]=TRUE,((Table1[[#This Row],[Birthweight (grams)]]*1.1/Table1[[#This Row],[BW_GA]])-1)/(Backend!$B$4/100*Table1[[#This Row],[BW40_3705]]),"")</f>
        <v/>
      </c>
      <c r="J5968" s="7" t="str">
        <f>IF(Table1[[#This Row],[Is Data Valid]]=TRUE,_xlfn.NORM.S.DIST(Table1[[#This Row],[Birthweight Z-Score]],TRUE)*100,"")</f>
        <v/>
      </c>
      <c r="K5968" s="7" t="str">
        <f>IF(Table1[[#This Row],[Is Data Valid]]=TRUE,_xlfn.NORM.S.DIST(Table1[[#This Row],[Birthweight Z-Score (BW-10%)]],TRUE)*100,"")</f>
        <v/>
      </c>
      <c r="L5968" s="7" t="str">
        <f>IF(Table1[[#This Row],[Is Data Valid]]=TRUE,_xlfn.NORM.S.DIST(Table1[[#This Row],[Birthweight Z-Score (BW+10%)]],TRUE)*100,"")</f>
        <v/>
      </c>
    </row>
    <row r="5969" spans="1:12" x14ac:dyDescent="0.35">
      <c r="A5969" s="3"/>
      <c r="B5969" s="2"/>
      <c r="C5969" s="2"/>
      <c r="D5969" s="2" t="b">
        <f>IF(AND(NOT(ISBLANK(Table1[[#This Row],[Fetal Sex (Male, Female or Unknown)]])),ISNUMBER(Table1[[#This Row],[Birthweight (grams)]]),ISNUMBER(Table1[[#This Row],[Gestation (days)]])),TRUE,FALSE)</f>
        <v>0</v>
      </c>
      <c r="E5969" s="2" t="str">
        <f>IF(Table1[[#This Row],[Is Data Valid]]=TRUE,IF(Table1[[#This Row],[Fetal Sex (Male, Female or Unknown)]]="Male",Backend!$C$6,IF(Table1[[#This Row],[Fetal Sex (Male, Female or Unknown)]]="Female",Backend!$C$7,IF(Table1[[#This Row],[Fetal Sex (Male, Female or Unknown)]]="Unknown",Backend!$C$8,"Error"))),"")</f>
        <v/>
      </c>
      <c r="F5969" s="8" t="str">
        <f>IF(Table1[[#This Row],[Is Data Valid]]=TRUE,EXP(0.578+0.332*((Table1[[#This Row],[Gestation (days)]]+0.5)/7)-0.00354*((Table1[[#This Row],[Gestation (days)]]+0.5)/7)^2)*Table1[[#This Row],[BW40_3705]],"")</f>
        <v/>
      </c>
      <c r="G5969" s="2" t="str">
        <f>IF(Table1[[#This Row],[Is Data Valid]]=TRUE,((Table1[[#This Row],[Birthweight (grams)]]/Table1[[#This Row],[BW_GA]])-1)/(Backend!$B$4/100*Table1[[#This Row],[BW40_3705]]),"")</f>
        <v/>
      </c>
      <c r="H5969" s="7" t="str">
        <f>IF(Table1[[#This Row],[Is Data Valid]]=TRUE,((Table1[[#This Row],[Birthweight (grams)]]*0.9/Table1[[#This Row],[BW_GA]])-1)/(Backend!$B$4/100*Table1[[#This Row],[BW40_3705]]),"")</f>
        <v/>
      </c>
      <c r="I5969" s="7" t="str">
        <f>IF(Table1[[#This Row],[Is Data Valid]]=TRUE,((Table1[[#This Row],[Birthweight (grams)]]*1.1/Table1[[#This Row],[BW_GA]])-1)/(Backend!$B$4/100*Table1[[#This Row],[BW40_3705]]),"")</f>
        <v/>
      </c>
      <c r="J5969" s="7" t="str">
        <f>IF(Table1[[#This Row],[Is Data Valid]]=TRUE,_xlfn.NORM.S.DIST(Table1[[#This Row],[Birthweight Z-Score]],TRUE)*100,"")</f>
        <v/>
      </c>
      <c r="K5969" s="7" t="str">
        <f>IF(Table1[[#This Row],[Is Data Valid]]=TRUE,_xlfn.NORM.S.DIST(Table1[[#This Row],[Birthweight Z-Score (BW-10%)]],TRUE)*100,"")</f>
        <v/>
      </c>
      <c r="L5969" s="7" t="str">
        <f>IF(Table1[[#This Row],[Is Data Valid]]=TRUE,_xlfn.NORM.S.DIST(Table1[[#This Row],[Birthweight Z-Score (BW+10%)]],TRUE)*100,"")</f>
        <v/>
      </c>
    </row>
    <row r="5970" spans="1:12" x14ac:dyDescent="0.35">
      <c r="A5970" s="3"/>
      <c r="B5970" s="2"/>
      <c r="C5970" s="2"/>
      <c r="D5970" s="2" t="b">
        <f>IF(AND(NOT(ISBLANK(Table1[[#This Row],[Fetal Sex (Male, Female or Unknown)]])),ISNUMBER(Table1[[#This Row],[Birthweight (grams)]]),ISNUMBER(Table1[[#This Row],[Gestation (days)]])),TRUE,FALSE)</f>
        <v>0</v>
      </c>
      <c r="E5970" s="2" t="str">
        <f>IF(Table1[[#This Row],[Is Data Valid]]=TRUE,IF(Table1[[#This Row],[Fetal Sex (Male, Female or Unknown)]]="Male",Backend!$C$6,IF(Table1[[#This Row],[Fetal Sex (Male, Female or Unknown)]]="Female",Backend!$C$7,IF(Table1[[#This Row],[Fetal Sex (Male, Female or Unknown)]]="Unknown",Backend!$C$8,"Error"))),"")</f>
        <v/>
      </c>
      <c r="F5970" s="8" t="str">
        <f>IF(Table1[[#This Row],[Is Data Valid]]=TRUE,EXP(0.578+0.332*((Table1[[#This Row],[Gestation (days)]]+0.5)/7)-0.00354*((Table1[[#This Row],[Gestation (days)]]+0.5)/7)^2)*Table1[[#This Row],[BW40_3705]],"")</f>
        <v/>
      </c>
      <c r="G5970" s="2" t="str">
        <f>IF(Table1[[#This Row],[Is Data Valid]]=TRUE,((Table1[[#This Row],[Birthweight (grams)]]/Table1[[#This Row],[BW_GA]])-1)/(Backend!$B$4/100*Table1[[#This Row],[BW40_3705]]),"")</f>
        <v/>
      </c>
      <c r="H5970" s="7" t="str">
        <f>IF(Table1[[#This Row],[Is Data Valid]]=TRUE,((Table1[[#This Row],[Birthweight (grams)]]*0.9/Table1[[#This Row],[BW_GA]])-1)/(Backend!$B$4/100*Table1[[#This Row],[BW40_3705]]),"")</f>
        <v/>
      </c>
      <c r="I5970" s="7" t="str">
        <f>IF(Table1[[#This Row],[Is Data Valid]]=TRUE,((Table1[[#This Row],[Birthweight (grams)]]*1.1/Table1[[#This Row],[BW_GA]])-1)/(Backend!$B$4/100*Table1[[#This Row],[BW40_3705]]),"")</f>
        <v/>
      </c>
      <c r="J5970" s="7" t="str">
        <f>IF(Table1[[#This Row],[Is Data Valid]]=TRUE,_xlfn.NORM.S.DIST(Table1[[#This Row],[Birthweight Z-Score]],TRUE)*100,"")</f>
        <v/>
      </c>
      <c r="K5970" s="7" t="str">
        <f>IF(Table1[[#This Row],[Is Data Valid]]=TRUE,_xlfn.NORM.S.DIST(Table1[[#This Row],[Birthweight Z-Score (BW-10%)]],TRUE)*100,"")</f>
        <v/>
      </c>
      <c r="L5970" s="7" t="str">
        <f>IF(Table1[[#This Row],[Is Data Valid]]=TRUE,_xlfn.NORM.S.DIST(Table1[[#This Row],[Birthweight Z-Score (BW+10%)]],TRUE)*100,"")</f>
        <v/>
      </c>
    </row>
    <row r="5971" spans="1:12" x14ac:dyDescent="0.35">
      <c r="A5971" s="3"/>
      <c r="B5971" s="2"/>
      <c r="C5971" s="2"/>
      <c r="D5971" s="2" t="b">
        <f>IF(AND(NOT(ISBLANK(Table1[[#This Row],[Fetal Sex (Male, Female or Unknown)]])),ISNUMBER(Table1[[#This Row],[Birthweight (grams)]]),ISNUMBER(Table1[[#This Row],[Gestation (days)]])),TRUE,FALSE)</f>
        <v>0</v>
      </c>
      <c r="E5971" s="2" t="str">
        <f>IF(Table1[[#This Row],[Is Data Valid]]=TRUE,IF(Table1[[#This Row],[Fetal Sex (Male, Female or Unknown)]]="Male",Backend!$C$6,IF(Table1[[#This Row],[Fetal Sex (Male, Female or Unknown)]]="Female",Backend!$C$7,IF(Table1[[#This Row],[Fetal Sex (Male, Female or Unknown)]]="Unknown",Backend!$C$8,"Error"))),"")</f>
        <v/>
      </c>
      <c r="F5971" s="8" t="str">
        <f>IF(Table1[[#This Row],[Is Data Valid]]=TRUE,EXP(0.578+0.332*((Table1[[#This Row],[Gestation (days)]]+0.5)/7)-0.00354*((Table1[[#This Row],[Gestation (days)]]+0.5)/7)^2)*Table1[[#This Row],[BW40_3705]],"")</f>
        <v/>
      </c>
      <c r="G5971" s="2" t="str">
        <f>IF(Table1[[#This Row],[Is Data Valid]]=TRUE,((Table1[[#This Row],[Birthweight (grams)]]/Table1[[#This Row],[BW_GA]])-1)/(Backend!$B$4/100*Table1[[#This Row],[BW40_3705]]),"")</f>
        <v/>
      </c>
      <c r="H5971" s="7" t="str">
        <f>IF(Table1[[#This Row],[Is Data Valid]]=TRUE,((Table1[[#This Row],[Birthweight (grams)]]*0.9/Table1[[#This Row],[BW_GA]])-1)/(Backend!$B$4/100*Table1[[#This Row],[BW40_3705]]),"")</f>
        <v/>
      </c>
      <c r="I5971" s="7" t="str">
        <f>IF(Table1[[#This Row],[Is Data Valid]]=TRUE,((Table1[[#This Row],[Birthweight (grams)]]*1.1/Table1[[#This Row],[BW_GA]])-1)/(Backend!$B$4/100*Table1[[#This Row],[BW40_3705]]),"")</f>
        <v/>
      </c>
      <c r="J5971" s="7" t="str">
        <f>IF(Table1[[#This Row],[Is Data Valid]]=TRUE,_xlfn.NORM.S.DIST(Table1[[#This Row],[Birthweight Z-Score]],TRUE)*100,"")</f>
        <v/>
      </c>
      <c r="K5971" s="7" t="str">
        <f>IF(Table1[[#This Row],[Is Data Valid]]=TRUE,_xlfn.NORM.S.DIST(Table1[[#This Row],[Birthweight Z-Score (BW-10%)]],TRUE)*100,"")</f>
        <v/>
      </c>
      <c r="L5971" s="7" t="str">
        <f>IF(Table1[[#This Row],[Is Data Valid]]=TRUE,_xlfn.NORM.S.DIST(Table1[[#This Row],[Birthweight Z-Score (BW+10%)]],TRUE)*100,"")</f>
        <v/>
      </c>
    </row>
    <row r="5972" spans="1:12" x14ac:dyDescent="0.35">
      <c r="A5972" s="3"/>
      <c r="B5972" s="2"/>
      <c r="C5972" s="2"/>
      <c r="D5972" s="2" t="b">
        <f>IF(AND(NOT(ISBLANK(Table1[[#This Row],[Fetal Sex (Male, Female or Unknown)]])),ISNUMBER(Table1[[#This Row],[Birthweight (grams)]]),ISNUMBER(Table1[[#This Row],[Gestation (days)]])),TRUE,FALSE)</f>
        <v>0</v>
      </c>
      <c r="E5972" s="2" t="str">
        <f>IF(Table1[[#This Row],[Is Data Valid]]=TRUE,IF(Table1[[#This Row],[Fetal Sex (Male, Female or Unknown)]]="Male",Backend!$C$6,IF(Table1[[#This Row],[Fetal Sex (Male, Female or Unknown)]]="Female",Backend!$C$7,IF(Table1[[#This Row],[Fetal Sex (Male, Female or Unknown)]]="Unknown",Backend!$C$8,"Error"))),"")</f>
        <v/>
      </c>
      <c r="F5972" s="8" t="str">
        <f>IF(Table1[[#This Row],[Is Data Valid]]=TRUE,EXP(0.578+0.332*((Table1[[#This Row],[Gestation (days)]]+0.5)/7)-0.00354*((Table1[[#This Row],[Gestation (days)]]+0.5)/7)^2)*Table1[[#This Row],[BW40_3705]],"")</f>
        <v/>
      </c>
      <c r="G5972" s="2" t="str">
        <f>IF(Table1[[#This Row],[Is Data Valid]]=TRUE,((Table1[[#This Row],[Birthweight (grams)]]/Table1[[#This Row],[BW_GA]])-1)/(Backend!$B$4/100*Table1[[#This Row],[BW40_3705]]),"")</f>
        <v/>
      </c>
      <c r="H5972" s="7" t="str">
        <f>IF(Table1[[#This Row],[Is Data Valid]]=TRUE,((Table1[[#This Row],[Birthweight (grams)]]*0.9/Table1[[#This Row],[BW_GA]])-1)/(Backend!$B$4/100*Table1[[#This Row],[BW40_3705]]),"")</f>
        <v/>
      </c>
      <c r="I5972" s="7" t="str">
        <f>IF(Table1[[#This Row],[Is Data Valid]]=TRUE,((Table1[[#This Row],[Birthweight (grams)]]*1.1/Table1[[#This Row],[BW_GA]])-1)/(Backend!$B$4/100*Table1[[#This Row],[BW40_3705]]),"")</f>
        <v/>
      </c>
      <c r="J5972" s="7" t="str">
        <f>IF(Table1[[#This Row],[Is Data Valid]]=TRUE,_xlfn.NORM.S.DIST(Table1[[#This Row],[Birthweight Z-Score]],TRUE)*100,"")</f>
        <v/>
      </c>
      <c r="K5972" s="7" t="str">
        <f>IF(Table1[[#This Row],[Is Data Valid]]=TRUE,_xlfn.NORM.S.DIST(Table1[[#This Row],[Birthweight Z-Score (BW-10%)]],TRUE)*100,"")</f>
        <v/>
      </c>
      <c r="L5972" s="7" t="str">
        <f>IF(Table1[[#This Row],[Is Data Valid]]=TRUE,_xlfn.NORM.S.DIST(Table1[[#This Row],[Birthweight Z-Score (BW+10%)]],TRUE)*100,"")</f>
        <v/>
      </c>
    </row>
    <row r="5973" spans="1:12" x14ac:dyDescent="0.35">
      <c r="A5973" s="3"/>
      <c r="B5973" s="2"/>
      <c r="C5973" s="2"/>
      <c r="D5973" s="2" t="b">
        <f>IF(AND(NOT(ISBLANK(Table1[[#This Row],[Fetal Sex (Male, Female or Unknown)]])),ISNUMBER(Table1[[#This Row],[Birthweight (grams)]]),ISNUMBER(Table1[[#This Row],[Gestation (days)]])),TRUE,FALSE)</f>
        <v>0</v>
      </c>
      <c r="E5973" s="2" t="str">
        <f>IF(Table1[[#This Row],[Is Data Valid]]=TRUE,IF(Table1[[#This Row],[Fetal Sex (Male, Female or Unknown)]]="Male",Backend!$C$6,IF(Table1[[#This Row],[Fetal Sex (Male, Female or Unknown)]]="Female",Backend!$C$7,IF(Table1[[#This Row],[Fetal Sex (Male, Female or Unknown)]]="Unknown",Backend!$C$8,"Error"))),"")</f>
        <v/>
      </c>
      <c r="F5973" s="8" t="str">
        <f>IF(Table1[[#This Row],[Is Data Valid]]=TRUE,EXP(0.578+0.332*((Table1[[#This Row],[Gestation (days)]]+0.5)/7)-0.00354*((Table1[[#This Row],[Gestation (days)]]+0.5)/7)^2)*Table1[[#This Row],[BW40_3705]],"")</f>
        <v/>
      </c>
      <c r="G5973" s="2" t="str">
        <f>IF(Table1[[#This Row],[Is Data Valid]]=TRUE,((Table1[[#This Row],[Birthweight (grams)]]/Table1[[#This Row],[BW_GA]])-1)/(Backend!$B$4/100*Table1[[#This Row],[BW40_3705]]),"")</f>
        <v/>
      </c>
      <c r="H5973" s="7" t="str">
        <f>IF(Table1[[#This Row],[Is Data Valid]]=TRUE,((Table1[[#This Row],[Birthweight (grams)]]*0.9/Table1[[#This Row],[BW_GA]])-1)/(Backend!$B$4/100*Table1[[#This Row],[BW40_3705]]),"")</f>
        <v/>
      </c>
      <c r="I5973" s="7" t="str">
        <f>IF(Table1[[#This Row],[Is Data Valid]]=TRUE,((Table1[[#This Row],[Birthweight (grams)]]*1.1/Table1[[#This Row],[BW_GA]])-1)/(Backend!$B$4/100*Table1[[#This Row],[BW40_3705]]),"")</f>
        <v/>
      </c>
      <c r="J5973" s="7" t="str">
        <f>IF(Table1[[#This Row],[Is Data Valid]]=TRUE,_xlfn.NORM.S.DIST(Table1[[#This Row],[Birthweight Z-Score]],TRUE)*100,"")</f>
        <v/>
      </c>
      <c r="K5973" s="7" t="str">
        <f>IF(Table1[[#This Row],[Is Data Valid]]=TRUE,_xlfn.NORM.S.DIST(Table1[[#This Row],[Birthweight Z-Score (BW-10%)]],TRUE)*100,"")</f>
        <v/>
      </c>
      <c r="L5973" s="7" t="str">
        <f>IF(Table1[[#This Row],[Is Data Valid]]=TRUE,_xlfn.NORM.S.DIST(Table1[[#This Row],[Birthweight Z-Score (BW+10%)]],TRUE)*100,"")</f>
        <v/>
      </c>
    </row>
    <row r="5974" spans="1:12" x14ac:dyDescent="0.35">
      <c r="A5974" s="3"/>
      <c r="B5974" s="2"/>
      <c r="C5974" s="2"/>
      <c r="D5974" s="2" t="b">
        <f>IF(AND(NOT(ISBLANK(Table1[[#This Row],[Fetal Sex (Male, Female or Unknown)]])),ISNUMBER(Table1[[#This Row],[Birthweight (grams)]]),ISNUMBER(Table1[[#This Row],[Gestation (days)]])),TRUE,FALSE)</f>
        <v>0</v>
      </c>
      <c r="E5974" s="2" t="str">
        <f>IF(Table1[[#This Row],[Is Data Valid]]=TRUE,IF(Table1[[#This Row],[Fetal Sex (Male, Female or Unknown)]]="Male",Backend!$C$6,IF(Table1[[#This Row],[Fetal Sex (Male, Female or Unknown)]]="Female",Backend!$C$7,IF(Table1[[#This Row],[Fetal Sex (Male, Female or Unknown)]]="Unknown",Backend!$C$8,"Error"))),"")</f>
        <v/>
      </c>
      <c r="F5974" s="8" t="str">
        <f>IF(Table1[[#This Row],[Is Data Valid]]=TRUE,EXP(0.578+0.332*((Table1[[#This Row],[Gestation (days)]]+0.5)/7)-0.00354*((Table1[[#This Row],[Gestation (days)]]+0.5)/7)^2)*Table1[[#This Row],[BW40_3705]],"")</f>
        <v/>
      </c>
      <c r="G5974" s="2" t="str">
        <f>IF(Table1[[#This Row],[Is Data Valid]]=TRUE,((Table1[[#This Row],[Birthweight (grams)]]/Table1[[#This Row],[BW_GA]])-1)/(Backend!$B$4/100*Table1[[#This Row],[BW40_3705]]),"")</f>
        <v/>
      </c>
      <c r="H5974" s="7" t="str">
        <f>IF(Table1[[#This Row],[Is Data Valid]]=TRUE,((Table1[[#This Row],[Birthweight (grams)]]*0.9/Table1[[#This Row],[BW_GA]])-1)/(Backend!$B$4/100*Table1[[#This Row],[BW40_3705]]),"")</f>
        <v/>
      </c>
      <c r="I5974" s="7" t="str">
        <f>IF(Table1[[#This Row],[Is Data Valid]]=TRUE,((Table1[[#This Row],[Birthweight (grams)]]*1.1/Table1[[#This Row],[BW_GA]])-1)/(Backend!$B$4/100*Table1[[#This Row],[BW40_3705]]),"")</f>
        <v/>
      </c>
      <c r="J5974" s="7" t="str">
        <f>IF(Table1[[#This Row],[Is Data Valid]]=TRUE,_xlfn.NORM.S.DIST(Table1[[#This Row],[Birthweight Z-Score]],TRUE)*100,"")</f>
        <v/>
      </c>
      <c r="K5974" s="7" t="str">
        <f>IF(Table1[[#This Row],[Is Data Valid]]=TRUE,_xlfn.NORM.S.DIST(Table1[[#This Row],[Birthweight Z-Score (BW-10%)]],TRUE)*100,"")</f>
        <v/>
      </c>
      <c r="L5974" s="7" t="str">
        <f>IF(Table1[[#This Row],[Is Data Valid]]=TRUE,_xlfn.NORM.S.DIST(Table1[[#This Row],[Birthweight Z-Score (BW+10%)]],TRUE)*100,"")</f>
        <v/>
      </c>
    </row>
    <row r="5975" spans="1:12" x14ac:dyDescent="0.35">
      <c r="A5975" s="3"/>
      <c r="B5975" s="2"/>
      <c r="C5975" s="2"/>
      <c r="D5975" s="2" t="b">
        <f>IF(AND(NOT(ISBLANK(Table1[[#This Row],[Fetal Sex (Male, Female or Unknown)]])),ISNUMBER(Table1[[#This Row],[Birthweight (grams)]]),ISNUMBER(Table1[[#This Row],[Gestation (days)]])),TRUE,FALSE)</f>
        <v>0</v>
      </c>
      <c r="E5975" s="2" t="str">
        <f>IF(Table1[[#This Row],[Is Data Valid]]=TRUE,IF(Table1[[#This Row],[Fetal Sex (Male, Female or Unknown)]]="Male",Backend!$C$6,IF(Table1[[#This Row],[Fetal Sex (Male, Female or Unknown)]]="Female",Backend!$C$7,IF(Table1[[#This Row],[Fetal Sex (Male, Female or Unknown)]]="Unknown",Backend!$C$8,"Error"))),"")</f>
        <v/>
      </c>
      <c r="F5975" s="8" t="str">
        <f>IF(Table1[[#This Row],[Is Data Valid]]=TRUE,EXP(0.578+0.332*((Table1[[#This Row],[Gestation (days)]]+0.5)/7)-0.00354*((Table1[[#This Row],[Gestation (days)]]+0.5)/7)^2)*Table1[[#This Row],[BW40_3705]],"")</f>
        <v/>
      </c>
      <c r="G5975" s="2" t="str">
        <f>IF(Table1[[#This Row],[Is Data Valid]]=TRUE,((Table1[[#This Row],[Birthweight (grams)]]/Table1[[#This Row],[BW_GA]])-1)/(Backend!$B$4/100*Table1[[#This Row],[BW40_3705]]),"")</f>
        <v/>
      </c>
      <c r="H5975" s="7" t="str">
        <f>IF(Table1[[#This Row],[Is Data Valid]]=TRUE,((Table1[[#This Row],[Birthweight (grams)]]*0.9/Table1[[#This Row],[BW_GA]])-1)/(Backend!$B$4/100*Table1[[#This Row],[BW40_3705]]),"")</f>
        <v/>
      </c>
      <c r="I5975" s="7" t="str">
        <f>IF(Table1[[#This Row],[Is Data Valid]]=TRUE,((Table1[[#This Row],[Birthweight (grams)]]*1.1/Table1[[#This Row],[BW_GA]])-1)/(Backend!$B$4/100*Table1[[#This Row],[BW40_3705]]),"")</f>
        <v/>
      </c>
      <c r="J5975" s="7" t="str">
        <f>IF(Table1[[#This Row],[Is Data Valid]]=TRUE,_xlfn.NORM.S.DIST(Table1[[#This Row],[Birthweight Z-Score]],TRUE)*100,"")</f>
        <v/>
      </c>
      <c r="K5975" s="7" t="str">
        <f>IF(Table1[[#This Row],[Is Data Valid]]=TRUE,_xlfn.NORM.S.DIST(Table1[[#This Row],[Birthweight Z-Score (BW-10%)]],TRUE)*100,"")</f>
        <v/>
      </c>
      <c r="L5975" s="7" t="str">
        <f>IF(Table1[[#This Row],[Is Data Valid]]=TRUE,_xlfn.NORM.S.DIST(Table1[[#This Row],[Birthweight Z-Score (BW+10%)]],TRUE)*100,"")</f>
        <v/>
      </c>
    </row>
    <row r="5976" spans="1:12" x14ac:dyDescent="0.35">
      <c r="A5976" s="3"/>
      <c r="B5976" s="2"/>
      <c r="C5976" s="2"/>
      <c r="D5976" s="2" t="b">
        <f>IF(AND(NOT(ISBLANK(Table1[[#This Row],[Fetal Sex (Male, Female or Unknown)]])),ISNUMBER(Table1[[#This Row],[Birthweight (grams)]]),ISNUMBER(Table1[[#This Row],[Gestation (days)]])),TRUE,FALSE)</f>
        <v>0</v>
      </c>
      <c r="E5976" s="2" t="str">
        <f>IF(Table1[[#This Row],[Is Data Valid]]=TRUE,IF(Table1[[#This Row],[Fetal Sex (Male, Female or Unknown)]]="Male",Backend!$C$6,IF(Table1[[#This Row],[Fetal Sex (Male, Female or Unknown)]]="Female",Backend!$C$7,IF(Table1[[#This Row],[Fetal Sex (Male, Female or Unknown)]]="Unknown",Backend!$C$8,"Error"))),"")</f>
        <v/>
      </c>
      <c r="F5976" s="8" t="str">
        <f>IF(Table1[[#This Row],[Is Data Valid]]=TRUE,EXP(0.578+0.332*((Table1[[#This Row],[Gestation (days)]]+0.5)/7)-0.00354*((Table1[[#This Row],[Gestation (days)]]+0.5)/7)^2)*Table1[[#This Row],[BW40_3705]],"")</f>
        <v/>
      </c>
      <c r="G5976" s="2" t="str">
        <f>IF(Table1[[#This Row],[Is Data Valid]]=TRUE,((Table1[[#This Row],[Birthweight (grams)]]/Table1[[#This Row],[BW_GA]])-1)/(Backend!$B$4/100*Table1[[#This Row],[BW40_3705]]),"")</f>
        <v/>
      </c>
      <c r="H5976" s="7" t="str">
        <f>IF(Table1[[#This Row],[Is Data Valid]]=TRUE,((Table1[[#This Row],[Birthweight (grams)]]*0.9/Table1[[#This Row],[BW_GA]])-1)/(Backend!$B$4/100*Table1[[#This Row],[BW40_3705]]),"")</f>
        <v/>
      </c>
      <c r="I5976" s="7" t="str">
        <f>IF(Table1[[#This Row],[Is Data Valid]]=TRUE,((Table1[[#This Row],[Birthweight (grams)]]*1.1/Table1[[#This Row],[BW_GA]])-1)/(Backend!$B$4/100*Table1[[#This Row],[BW40_3705]]),"")</f>
        <v/>
      </c>
      <c r="J5976" s="7" t="str">
        <f>IF(Table1[[#This Row],[Is Data Valid]]=TRUE,_xlfn.NORM.S.DIST(Table1[[#This Row],[Birthweight Z-Score]],TRUE)*100,"")</f>
        <v/>
      </c>
      <c r="K5976" s="7" t="str">
        <f>IF(Table1[[#This Row],[Is Data Valid]]=TRUE,_xlfn.NORM.S.DIST(Table1[[#This Row],[Birthweight Z-Score (BW-10%)]],TRUE)*100,"")</f>
        <v/>
      </c>
      <c r="L5976" s="7" t="str">
        <f>IF(Table1[[#This Row],[Is Data Valid]]=TRUE,_xlfn.NORM.S.DIST(Table1[[#This Row],[Birthweight Z-Score (BW+10%)]],TRUE)*100,"")</f>
        <v/>
      </c>
    </row>
    <row r="5977" spans="1:12" x14ac:dyDescent="0.35">
      <c r="A5977" s="3"/>
      <c r="B5977" s="2"/>
      <c r="C5977" s="2"/>
      <c r="D5977" s="2" t="b">
        <f>IF(AND(NOT(ISBLANK(Table1[[#This Row],[Fetal Sex (Male, Female or Unknown)]])),ISNUMBER(Table1[[#This Row],[Birthweight (grams)]]),ISNUMBER(Table1[[#This Row],[Gestation (days)]])),TRUE,FALSE)</f>
        <v>0</v>
      </c>
      <c r="E5977" s="2" t="str">
        <f>IF(Table1[[#This Row],[Is Data Valid]]=TRUE,IF(Table1[[#This Row],[Fetal Sex (Male, Female or Unknown)]]="Male",Backend!$C$6,IF(Table1[[#This Row],[Fetal Sex (Male, Female or Unknown)]]="Female",Backend!$C$7,IF(Table1[[#This Row],[Fetal Sex (Male, Female or Unknown)]]="Unknown",Backend!$C$8,"Error"))),"")</f>
        <v/>
      </c>
      <c r="F5977" s="8" t="str">
        <f>IF(Table1[[#This Row],[Is Data Valid]]=TRUE,EXP(0.578+0.332*((Table1[[#This Row],[Gestation (days)]]+0.5)/7)-0.00354*((Table1[[#This Row],[Gestation (days)]]+0.5)/7)^2)*Table1[[#This Row],[BW40_3705]],"")</f>
        <v/>
      </c>
      <c r="G5977" s="2" t="str">
        <f>IF(Table1[[#This Row],[Is Data Valid]]=TRUE,((Table1[[#This Row],[Birthweight (grams)]]/Table1[[#This Row],[BW_GA]])-1)/(Backend!$B$4/100*Table1[[#This Row],[BW40_3705]]),"")</f>
        <v/>
      </c>
      <c r="H5977" s="7" t="str">
        <f>IF(Table1[[#This Row],[Is Data Valid]]=TRUE,((Table1[[#This Row],[Birthweight (grams)]]*0.9/Table1[[#This Row],[BW_GA]])-1)/(Backend!$B$4/100*Table1[[#This Row],[BW40_3705]]),"")</f>
        <v/>
      </c>
      <c r="I5977" s="7" t="str">
        <f>IF(Table1[[#This Row],[Is Data Valid]]=TRUE,((Table1[[#This Row],[Birthweight (grams)]]*1.1/Table1[[#This Row],[BW_GA]])-1)/(Backend!$B$4/100*Table1[[#This Row],[BW40_3705]]),"")</f>
        <v/>
      </c>
      <c r="J5977" s="7" t="str">
        <f>IF(Table1[[#This Row],[Is Data Valid]]=TRUE,_xlfn.NORM.S.DIST(Table1[[#This Row],[Birthweight Z-Score]],TRUE)*100,"")</f>
        <v/>
      </c>
      <c r="K5977" s="7" t="str">
        <f>IF(Table1[[#This Row],[Is Data Valid]]=TRUE,_xlfn.NORM.S.DIST(Table1[[#This Row],[Birthweight Z-Score (BW-10%)]],TRUE)*100,"")</f>
        <v/>
      </c>
      <c r="L5977" s="7" t="str">
        <f>IF(Table1[[#This Row],[Is Data Valid]]=TRUE,_xlfn.NORM.S.DIST(Table1[[#This Row],[Birthweight Z-Score (BW+10%)]],TRUE)*100,"")</f>
        <v/>
      </c>
    </row>
    <row r="5978" spans="1:12" x14ac:dyDescent="0.35">
      <c r="A5978" s="3"/>
      <c r="B5978" s="2"/>
      <c r="C5978" s="2"/>
      <c r="D5978" s="2" t="b">
        <f>IF(AND(NOT(ISBLANK(Table1[[#This Row],[Fetal Sex (Male, Female or Unknown)]])),ISNUMBER(Table1[[#This Row],[Birthweight (grams)]]),ISNUMBER(Table1[[#This Row],[Gestation (days)]])),TRUE,FALSE)</f>
        <v>0</v>
      </c>
      <c r="E5978" s="2" t="str">
        <f>IF(Table1[[#This Row],[Is Data Valid]]=TRUE,IF(Table1[[#This Row],[Fetal Sex (Male, Female or Unknown)]]="Male",Backend!$C$6,IF(Table1[[#This Row],[Fetal Sex (Male, Female or Unknown)]]="Female",Backend!$C$7,IF(Table1[[#This Row],[Fetal Sex (Male, Female or Unknown)]]="Unknown",Backend!$C$8,"Error"))),"")</f>
        <v/>
      </c>
      <c r="F5978" s="8" t="str">
        <f>IF(Table1[[#This Row],[Is Data Valid]]=TRUE,EXP(0.578+0.332*((Table1[[#This Row],[Gestation (days)]]+0.5)/7)-0.00354*((Table1[[#This Row],[Gestation (days)]]+0.5)/7)^2)*Table1[[#This Row],[BW40_3705]],"")</f>
        <v/>
      </c>
      <c r="G5978" s="2" t="str">
        <f>IF(Table1[[#This Row],[Is Data Valid]]=TRUE,((Table1[[#This Row],[Birthweight (grams)]]/Table1[[#This Row],[BW_GA]])-1)/(Backend!$B$4/100*Table1[[#This Row],[BW40_3705]]),"")</f>
        <v/>
      </c>
      <c r="H5978" s="7" t="str">
        <f>IF(Table1[[#This Row],[Is Data Valid]]=TRUE,((Table1[[#This Row],[Birthweight (grams)]]*0.9/Table1[[#This Row],[BW_GA]])-1)/(Backend!$B$4/100*Table1[[#This Row],[BW40_3705]]),"")</f>
        <v/>
      </c>
      <c r="I5978" s="7" t="str">
        <f>IF(Table1[[#This Row],[Is Data Valid]]=TRUE,((Table1[[#This Row],[Birthweight (grams)]]*1.1/Table1[[#This Row],[BW_GA]])-1)/(Backend!$B$4/100*Table1[[#This Row],[BW40_3705]]),"")</f>
        <v/>
      </c>
      <c r="J5978" s="7" t="str">
        <f>IF(Table1[[#This Row],[Is Data Valid]]=TRUE,_xlfn.NORM.S.DIST(Table1[[#This Row],[Birthweight Z-Score]],TRUE)*100,"")</f>
        <v/>
      </c>
      <c r="K5978" s="7" t="str">
        <f>IF(Table1[[#This Row],[Is Data Valid]]=TRUE,_xlfn.NORM.S.DIST(Table1[[#This Row],[Birthweight Z-Score (BW-10%)]],TRUE)*100,"")</f>
        <v/>
      </c>
      <c r="L5978" s="7" t="str">
        <f>IF(Table1[[#This Row],[Is Data Valid]]=TRUE,_xlfn.NORM.S.DIST(Table1[[#This Row],[Birthweight Z-Score (BW+10%)]],TRUE)*100,"")</f>
        <v/>
      </c>
    </row>
    <row r="5979" spans="1:12" x14ac:dyDescent="0.35">
      <c r="A5979" s="3"/>
      <c r="B5979" s="2"/>
      <c r="C5979" s="2"/>
      <c r="D5979" s="2" t="b">
        <f>IF(AND(NOT(ISBLANK(Table1[[#This Row],[Fetal Sex (Male, Female or Unknown)]])),ISNUMBER(Table1[[#This Row],[Birthweight (grams)]]),ISNUMBER(Table1[[#This Row],[Gestation (days)]])),TRUE,FALSE)</f>
        <v>0</v>
      </c>
      <c r="E5979" s="2" t="str">
        <f>IF(Table1[[#This Row],[Is Data Valid]]=TRUE,IF(Table1[[#This Row],[Fetal Sex (Male, Female or Unknown)]]="Male",Backend!$C$6,IF(Table1[[#This Row],[Fetal Sex (Male, Female or Unknown)]]="Female",Backend!$C$7,IF(Table1[[#This Row],[Fetal Sex (Male, Female or Unknown)]]="Unknown",Backend!$C$8,"Error"))),"")</f>
        <v/>
      </c>
      <c r="F5979" s="8" t="str">
        <f>IF(Table1[[#This Row],[Is Data Valid]]=TRUE,EXP(0.578+0.332*((Table1[[#This Row],[Gestation (days)]]+0.5)/7)-0.00354*((Table1[[#This Row],[Gestation (days)]]+0.5)/7)^2)*Table1[[#This Row],[BW40_3705]],"")</f>
        <v/>
      </c>
      <c r="G5979" s="2" t="str">
        <f>IF(Table1[[#This Row],[Is Data Valid]]=TRUE,((Table1[[#This Row],[Birthweight (grams)]]/Table1[[#This Row],[BW_GA]])-1)/(Backend!$B$4/100*Table1[[#This Row],[BW40_3705]]),"")</f>
        <v/>
      </c>
      <c r="H5979" s="7" t="str">
        <f>IF(Table1[[#This Row],[Is Data Valid]]=TRUE,((Table1[[#This Row],[Birthweight (grams)]]*0.9/Table1[[#This Row],[BW_GA]])-1)/(Backend!$B$4/100*Table1[[#This Row],[BW40_3705]]),"")</f>
        <v/>
      </c>
      <c r="I5979" s="7" t="str">
        <f>IF(Table1[[#This Row],[Is Data Valid]]=TRUE,((Table1[[#This Row],[Birthweight (grams)]]*1.1/Table1[[#This Row],[BW_GA]])-1)/(Backend!$B$4/100*Table1[[#This Row],[BW40_3705]]),"")</f>
        <v/>
      </c>
      <c r="J5979" s="7" t="str">
        <f>IF(Table1[[#This Row],[Is Data Valid]]=TRUE,_xlfn.NORM.S.DIST(Table1[[#This Row],[Birthweight Z-Score]],TRUE)*100,"")</f>
        <v/>
      </c>
      <c r="K5979" s="7" t="str">
        <f>IF(Table1[[#This Row],[Is Data Valid]]=TRUE,_xlfn.NORM.S.DIST(Table1[[#This Row],[Birthweight Z-Score (BW-10%)]],TRUE)*100,"")</f>
        <v/>
      </c>
      <c r="L5979" s="7" t="str">
        <f>IF(Table1[[#This Row],[Is Data Valid]]=TRUE,_xlfn.NORM.S.DIST(Table1[[#This Row],[Birthweight Z-Score (BW+10%)]],TRUE)*100,"")</f>
        <v/>
      </c>
    </row>
    <row r="5980" spans="1:12" x14ac:dyDescent="0.35">
      <c r="A5980" s="3"/>
      <c r="B5980" s="2"/>
      <c r="C5980" s="2"/>
      <c r="D5980" s="2" t="b">
        <f>IF(AND(NOT(ISBLANK(Table1[[#This Row],[Fetal Sex (Male, Female or Unknown)]])),ISNUMBER(Table1[[#This Row],[Birthweight (grams)]]),ISNUMBER(Table1[[#This Row],[Gestation (days)]])),TRUE,FALSE)</f>
        <v>0</v>
      </c>
      <c r="E5980" s="2" t="str">
        <f>IF(Table1[[#This Row],[Is Data Valid]]=TRUE,IF(Table1[[#This Row],[Fetal Sex (Male, Female or Unknown)]]="Male",Backend!$C$6,IF(Table1[[#This Row],[Fetal Sex (Male, Female or Unknown)]]="Female",Backend!$C$7,IF(Table1[[#This Row],[Fetal Sex (Male, Female or Unknown)]]="Unknown",Backend!$C$8,"Error"))),"")</f>
        <v/>
      </c>
      <c r="F5980" s="8" t="str">
        <f>IF(Table1[[#This Row],[Is Data Valid]]=TRUE,EXP(0.578+0.332*((Table1[[#This Row],[Gestation (days)]]+0.5)/7)-0.00354*((Table1[[#This Row],[Gestation (days)]]+0.5)/7)^2)*Table1[[#This Row],[BW40_3705]],"")</f>
        <v/>
      </c>
      <c r="G5980" s="2" t="str">
        <f>IF(Table1[[#This Row],[Is Data Valid]]=TRUE,((Table1[[#This Row],[Birthweight (grams)]]/Table1[[#This Row],[BW_GA]])-1)/(Backend!$B$4/100*Table1[[#This Row],[BW40_3705]]),"")</f>
        <v/>
      </c>
      <c r="H5980" s="7" t="str">
        <f>IF(Table1[[#This Row],[Is Data Valid]]=TRUE,((Table1[[#This Row],[Birthweight (grams)]]*0.9/Table1[[#This Row],[BW_GA]])-1)/(Backend!$B$4/100*Table1[[#This Row],[BW40_3705]]),"")</f>
        <v/>
      </c>
      <c r="I5980" s="7" t="str">
        <f>IF(Table1[[#This Row],[Is Data Valid]]=TRUE,((Table1[[#This Row],[Birthweight (grams)]]*1.1/Table1[[#This Row],[BW_GA]])-1)/(Backend!$B$4/100*Table1[[#This Row],[BW40_3705]]),"")</f>
        <v/>
      </c>
      <c r="J5980" s="7" t="str">
        <f>IF(Table1[[#This Row],[Is Data Valid]]=TRUE,_xlfn.NORM.S.DIST(Table1[[#This Row],[Birthweight Z-Score]],TRUE)*100,"")</f>
        <v/>
      </c>
      <c r="K5980" s="7" t="str">
        <f>IF(Table1[[#This Row],[Is Data Valid]]=TRUE,_xlfn.NORM.S.DIST(Table1[[#This Row],[Birthweight Z-Score (BW-10%)]],TRUE)*100,"")</f>
        <v/>
      </c>
      <c r="L5980" s="7" t="str">
        <f>IF(Table1[[#This Row],[Is Data Valid]]=TRUE,_xlfn.NORM.S.DIST(Table1[[#This Row],[Birthweight Z-Score (BW+10%)]],TRUE)*100,"")</f>
        <v/>
      </c>
    </row>
    <row r="5981" spans="1:12" x14ac:dyDescent="0.35">
      <c r="A5981" s="3"/>
      <c r="B5981" s="2"/>
      <c r="C5981" s="2"/>
      <c r="D5981" s="2" t="b">
        <f>IF(AND(NOT(ISBLANK(Table1[[#This Row],[Fetal Sex (Male, Female or Unknown)]])),ISNUMBER(Table1[[#This Row],[Birthweight (grams)]]),ISNUMBER(Table1[[#This Row],[Gestation (days)]])),TRUE,FALSE)</f>
        <v>0</v>
      </c>
      <c r="E5981" s="2" t="str">
        <f>IF(Table1[[#This Row],[Is Data Valid]]=TRUE,IF(Table1[[#This Row],[Fetal Sex (Male, Female or Unknown)]]="Male",Backend!$C$6,IF(Table1[[#This Row],[Fetal Sex (Male, Female or Unknown)]]="Female",Backend!$C$7,IF(Table1[[#This Row],[Fetal Sex (Male, Female or Unknown)]]="Unknown",Backend!$C$8,"Error"))),"")</f>
        <v/>
      </c>
      <c r="F5981" s="8" t="str">
        <f>IF(Table1[[#This Row],[Is Data Valid]]=TRUE,EXP(0.578+0.332*((Table1[[#This Row],[Gestation (days)]]+0.5)/7)-0.00354*((Table1[[#This Row],[Gestation (days)]]+0.5)/7)^2)*Table1[[#This Row],[BW40_3705]],"")</f>
        <v/>
      </c>
      <c r="G5981" s="2" t="str">
        <f>IF(Table1[[#This Row],[Is Data Valid]]=TRUE,((Table1[[#This Row],[Birthweight (grams)]]/Table1[[#This Row],[BW_GA]])-1)/(Backend!$B$4/100*Table1[[#This Row],[BW40_3705]]),"")</f>
        <v/>
      </c>
      <c r="H5981" s="7" t="str">
        <f>IF(Table1[[#This Row],[Is Data Valid]]=TRUE,((Table1[[#This Row],[Birthweight (grams)]]*0.9/Table1[[#This Row],[BW_GA]])-1)/(Backend!$B$4/100*Table1[[#This Row],[BW40_3705]]),"")</f>
        <v/>
      </c>
      <c r="I5981" s="7" t="str">
        <f>IF(Table1[[#This Row],[Is Data Valid]]=TRUE,((Table1[[#This Row],[Birthweight (grams)]]*1.1/Table1[[#This Row],[BW_GA]])-1)/(Backend!$B$4/100*Table1[[#This Row],[BW40_3705]]),"")</f>
        <v/>
      </c>
      <c r="J5981" s="7" t="str">
        <f>IF(Table1[[#This Row],[Is Data Valid]]=TRUE,_xlfn.NORM.S.DIST(Table1[[#This Row],[Birthweight Z-Score]],TRUE)*100,"")</f>
        <v/>
      </c>
      <c r="K5981" s="7" t="str">
        <f>IF(Table1[[#This Row],[Is Data Valid]]=TRUE,_xlfn.NORM.S.DIST(Table1[[#This Row],[Birthweight Z-Score (BW-10%)]],TRUE)*100,"")</f>
        <v/>
      </c>
      <c r="L5981" s="7" t="str">
        <f>IF(Table1[[#This Row],[Is Data Valid]]=TRUE,_xlfn.NORM.S.DIST(Table1[[#This Row],[Birthweight Z-Score (BW+10%)]],TRUE)*100,"")</f>
        <v/>
      </c>
    </row>
    <row r="5982" spans="1:12" x14ac:dyDescent="0.35">
      <c r="A5982" s="3"/>
      <c r="B5982" s="2"/>
      <c r="C5982" s="2"/>
      <c r="D5982" s="2" t="b">
        <f>IF(AND(NOT(ISBLANK(Table1[[#This Row],[Fetal Sex (Male, Female or Unknown)]])),ISNUMBER(Table1[[#This Row],[Birthweight (grams)]]),ISNUMBER(Table1[[#This Row],[Gestation (days)]])),TRUE,FALSE)</f>
        <v>0</v>
      </c>
      <c r="E5982" s="2" t="str">
        <f>IF(Table1[[#This Row],[Is Data Valid]]=TRUE,IF(Table1[[#This Row],[Fetal Sex (Male, Female or Unknown)]]="Male",Backend!$C$6,IF(Table1[[#This Row],[Fetal Sex (Male, Female or Unknown)]]="Female",Backend!$C$7,IF(Table1[[#This Row],[Fetal Sex (Male, Female or Unknown)]]="Unknown",Backend!$C$8,"Error"))),"")</f>
        <v/>
      </c>
      <c r="F5982" s="8" t="str">
        <f>IF(Table1[[#This Row],[Is Data Valid]]=TRUE,EXP(0.578+0.332*((Table1[[#This Row],[Gestation (days)]]+0.5)/7)-0.00354*((Table1[[#This Row],[Gestation (days)]]+0.5)/7)^2)*Table1[[#This Row],[BW40_3705]],"")</f>
        <v/>
      </c>
      <c r="G5982" s="2" t="str">
        <f>IF(Table1[[#This Row],[Is Data Valid]]=TRUE,((Table1[[#This Row],[Birthweight (grams)]]/Table1[[#This Row],[BW_GA]])-1)/(Backend!$B$4/100*Table1[[#This Row],[BW40_3705]]),"")</f>
        <v/>
      </c>
      <c r="H5982" s="7" t="str">
        <f>IF(Table1[[#This Row],[Is Data Valid]]=TRUE,((Table1[[#This Row],[Birthweight (grams)]]*0.9/Table1[[#This Row],[BW_GA]])-1)/(Backend!$B$4/100*Table1[[#This Row],[BW40_3705]]),"")</f>
        <v/>
      </c>
      <c r="I5982" s="7" t="str">
        <f>IF(Table1[[#This Row],[Is Data Valid]]=TRUE,((Table1[[#This Row],[Birthweight (grams)]]*1.1/Table1[[#This Row],[BW_GA]])-1)/(Backend!$B$4/100*Table1[[#This Row],[BW40_3705]]),"")</f>
        <v/>
      </c>
      <c r="J5982" s="7" t="str">
        <f>IF(Table1[[#This Row],[Is Data Valid]]=TRUE,_xlfn.NORM.S.DIST(Table1[[#This Row],[Birthweight Z-Score]],TRUE)*100,"")</f>
        <v/>
      </c>
      <c r="K5982" s="7" t="str">
        <f>IF(Table1[[#This Row],[Is Data Valid]]=TRUE,_xlfn.NORM.S.DIST(Table1[[#This Row],[Birthweight Z-Score (BW-10%)]],TRUE)*100,"")</f>
        <v/>
      </c>
      <c r="L5982" s="7" t="str">
        <f>IF(Table1[[#This Row],[Is Data Valid]]=TRUE,_xlfn.NORM.S.DIST(Table1[[#This Row],[Birthweight Z-Score (BW+10%)]],TRUE)*100,"")</f>
        <v/>
      </c>
    </row>
    <row r="5983" spans="1:12" x14ac:dyDescent="0.35">
      <c r="A5983" s="3"/>
      <c r="B5983" s="2"/>
      <c r="C5983" s="2"/>
      <c r="D5983" s="2" t="b">
        <f>IF(AND(NOT(ISBLANK(Table1[[#This Row],[Fetal Sex (Male, Female or Unknown)]])),ISNUMBER(Table1[[#This Row],[Birthweight (grams)]]),ISNUMBER(Table1[[#This Row],[Gestation (days)]])),TRUE,FALSE)</f>
        <v>0</v>
      </c>
      <c r="E5983" s="2" t="str">
        <f>IF(Table1[[#This Row],[Is Data Valid]]=TRUE,IF(Table1[[#This Row],[Fetal Sex (Male, Female or Unknown)]]="Male",Backend!$C$6,IF(Table1[[#This Row],[Fetal Sex (Male, Female or Unknown)]]="Female",Backend!$C$7,IF(Table1[[#This Row],[Fetal Sex (Male, Female or Unknown)]]="Unknown",Backend!$C$8,"Error"))),"")</f>
        <v/>
      </c>
      <c r="F5983" s="8" t="str">
        <f>IF(Table1[[#This Row],[Is Data Valid]]=TRUE,EXP(0.578+0.332*((Table1[[#This Row],[Gestation (days)]]+0.5)/7)-0.00354*((Table1[[#This Row],[Gestation (days)]]+0.5)/7)^2)*Table1[[#This Row],[BW40_3705]],"")</f>
        <v/>
      </c>
      <c r="G5983" s="2" t="str">
        <f>IF(Table1[[#This Row],[Is Data Valid]]=TRUE,((Table1[[#This Row],[Birthweight (grams)]]/Table1[[#This Row],[BW_GA]])-1)/(Backend!$B$4/100*Table1[[#This Row],[BW40_3705]]),"")</f>
        <v/>
      </c>
      <c r="H5983" s="7" t="str">
        <f>IF(Table1[[#This Row],[Is Data Valid]]=TRUE,((Table1[[#This Row],[Birthweight (grams)]]*0.9/Table1[[#This Row],[BW_GA]])-1)/(Backend!$B$4/100*Table1[[#This Row],[BW40_3705]]),"")</f>
        <v/>
      </c>
      <c r="I5983" s="7" t="str">
        <f>IF(Table1[[#This Row],[Is Data Valid]]=TRUE,((Table1[[#This Row],[Birthweight (grams)]]*1.1/Table1[[#This Row],[BW_GA]])-1)/(Backend!$B$4/100*Table1[[#This Row],[BW40_3705]]),"")</f>
        <v/>
      </c>
      <c r="J5983" s="7" t="str">
        <f>IF(Table1[[#This Row],[Is Data Valid]]=TRUE,_xlfn.NORM.S.DIST(Table1[[#This Row],[Birthweight Z-Score]],TRUE)*100,"")</f>
        <v/>
      </c>
      <c r="K5983" s="7" t="str">
        <f>IF(Table1[[#This Row],[Is Data Valid]]=TRUE,_xlfn.NORM.S.DIST(Table1[[#This Row],[Birthweight Z-Score (BW-10%)]],TRUE)*100,"")</f>
        <v/>
      </c>
      <c r="L5983" s="7" t="str">
        <f>IF(Table1[[#This Row],[Is Data Valid]]=TRUE,_xlfn.NORM.S.DIST(Table1[[#This Row],[Birthweight Z-Score (BW+10%)]],TRUE)*100,"")</f>
        <v/>
      </c>
    </row>
    <row r="5984" spans="1:12" x14ac:dyDescent="0.35">
      <c r="A5984" s="3"/>
      <c r="B5984" s="2"/>
      <c r="C5984" s="2"/>
      <c r="D5984" s="2" t="b">
        <f>IF(AND(NOT(ISBLANK(Table1[[#This Row],[Fetal Sex (Male, Female or Unknown)]])),ISNUMBER(Table1[[#This Row],[Birthweight (grams)]]),ISNUMBER(Table1[[#This Row],[Gestation (days)]])),TRUE,FALSE)</f>
        <v>0</v>
      </c>
      <c r="E5984" s="2" t="str">
        <f>IF(Table1[[#This Row],[Is Data Valid]]=TRUE,IF(Table1[[#This Row],[Fetal Sex (Male, Female or Unknown)]]="Male",Backend!$C$6,IF(Table1[[#This Row],[Fetal Sex (Male, Female or Unknown)]]="Female",Backend!$C$7,IF(Table1[[#This Row],[Fetal Sex (Male, Female or Unknown)]]="Unknown",Backend!$C$8,"Error"))),"")</f>
        <v/>
      </c>
      <c r="F5984" s="8" t="str">
        <f>IF(Table1[[#This Row],[Is Data Valid]]=TRUE,EXP(0.578+0.332*((Table1[[#This Row],[Gestation (days)]]+0.5)/7)-0.00354*((Table1[[#This Row],[Gestation (days)]]+0.5)/7)^2)*Table1[[#This Row],[BW40_3705]],"")</f>
        <v/>
      </c>
      <c r="G5984" s="2" t="str">
        <f>IF(Table1[[#This Row],[Is Data Valid]]=TRUE,((Table1[[#This Row],[Birthweight (grams)]]/Table1[[#This Row],[BW_GA]])-1)/(Backend!$B$4/100*Table1[[#This Row],[BW40_3705]]),"")</f>
        <v/>
      </c>
      <c r="H5984" s="7" t="str">
        <f>IF(Table1[[#This Row],[Is Data Valid]]=TRUE,((Table1[[#This Row],[Birthweight (grams)]]*0.9/Table1[[#This Row],[BW_GA]])-1)/(Backend!$B$4/100*Table1[[#This Row],[BW40_3705]]),"")</f>
        <v/>
      </c>
      <c r="I5984" s="7" t="str">
        <f>IF(Table1[[#This Row],[Is Data Valid]]=TRUE,((Table1[[#This Row],[Birthweight (grams)]]*1.1/Table1[[#This Row],[BW_GA]])-1)/(Backend!$B$4/100*Table1[[#This Row],[BW40_3705]]),"")</f>
        <v/>
      </c>
      <c r="J5984" s="7" t="str">
        <f>IF(Table1[[#This Row],[Is Data Valid]]=TRUE,_xlfn.NORM.S.DIST(Table1[[#This Row],[Birthweight Z-Score]],TRUE)*100,"")</f>
        <v/>
      </c>
      <c r="K5984" s="7" t="str">
        <f>IF(Table1[[#This Row],[Is Data Valid]]=TRUE,_xlfn.NORM.S.DIST(Table1[[#This Row],[Birthweight Z-Score (BW-10%)]],TRUE)*100,"")</f>
        <v/>
      </c>
      <c r="L5984" s="7" t="str">
        <f>IF(Table1[[#This Row],[Is Data Valid]]=TRUE,_xlfn.NORM.S.DIST(Table1[[#This Row],[Birthweight Z-Score (BW+10%)]],TRUE)*100,"")</f>
        <v/>
      </c>
    </row>
    <row r="5985" spans="1:12" x14ac:dyDescent="0.35">
      <c r="A5985" s="3"/>
      <c r="B5985" s="2"/>
      <c r="C5985" s="2"/>
      <c r="D5985" s="2" t="b">
        <f>IF(AND(NOT(ISBLANK(Table1[[#This Row],[Fetal Sex (Male, Female or Unknown)]])),ISNUMBER(Table1[[#This Row],[Birthweight (grams)]]),ISNUMBER(Table1[[#This Row],[Gestation (days)]])),TRUE,FALSE)</f>
        <v>0</v>
      </c>
      <c r="E5985" s="2" t="str">
        <f>IF(Table1[[#This Row],[Is Data Valid]]=TRUE,IF(Table1[[#This Row],[Fetal Sex (Male, Female or Unknown)]]="Male",Backend!$C$6,IF(Table1[[#This Row],[Fetal Sex (Male, Female or Unknown)]]="Female",Backend!$C$7,IF(Table1[[#This Row],[Fetal Sex (Male, Female or Unknown)]]="Unknown",Backend!$C$8,"Error"))),"")</f>
        <v/>
      </c>
      <c r="F5985" s="8" t="str">
        <f>IF(Table1[[#This Row],[Is Data Valid]]=TRUE,EXP(0.578+0.332*((Table1[[#This Row],[Gestation (days)]]+0.5)/7)-0.00354*((Table1[[#This Row],[Gestation (days)]]+0.5)/7)^2)*Table1[[#This Row],[BW40_3705]],"")</f>
        <v/>
      </c>
      <c r="G5985" s="2" t="str">
        <f>IF(Table1[[#This Row],[Is Data Valid]]=TRUE,((Table1[[#This Row],[Birthweight (grams)]]/Table1[[#This Row],[BW_GA]])-1)/(Backend!$B$4/100*Table1[[#This Row],[BW40_3705]]),"")</f>
        <v/>
      </c>
      <c r="H5985" s="7" t="str">
        <f>IF(Table1[[#This Row],[Is Data Valid]]=TRUE,((Table1[[#This Row],[Birthweight (grams)]]*0.9/Table1[[#This Row],[BW_GA]])-1)/(Backend!$B$4/100*Table1[[#This Row],[BW40_3705]]),"")</f>
        <v/>
      </c>
      <c r="I5985" s="7" t="str">
        <f>IF(Table1[[#This Row],[Is Data Valid]]=TRUE,((Table1[[#This Row],[Birthweight (grams)]]*1.1/Table1[[#This Row],[BW_GA]])-1)/(Backend!$B$4/100*Table1[[#This Row],[BW40_3705]]),"")</f>
        <v/>
      </c>
      <c r="J5985" s="7" t="str">
        <f>IF(Table1[[#This Row],[Is Data Valid]]=TRUE,_xlfn.NORM.S.DIST(Table1[[#This Row],[Birthweight Z-Score]],TRUE)*100,"")</f>
        <v/>
      </c>
      <c r="K5985" s="7" t="str">
        <f>IF(Table1[[#This Row],[Is Data Valid]]=TRUE,_xlfn.NORM.S.DIST(Table1[[#This Row],[Birthweight Z-Score (BW-10%)]],TRUE)*100,"")</f>
        <v/>
      </c>
      <c r="L5985" s="7" t="str">
        <f>IF(Table1[[#This Row],[Is Data Valid]]=TRUE,_xlfn.NORM.S.DIST(Table1[[#This Row],[Birthweight Z-Score (BW+10%)]],TRUE)*100,"")</f>
        <v/>
      </c>
    </row>
    <row r="5986" spans="1:12" x14ac:dyDescent="0.35">
      <c r="A5986" s="3"/>
      <c r="B5986" s="2"/>
      <c r="C5986" s="2"/>
      <c r="D5986" s="2" t="b">
        <f>IF(AND(NOT(ISBLANK(Table1[[#This Row],[Fetal Sex (Male, Female or Unknown)]])),ISNUMBER(Table1[[#This Row],[Birthweight (grams)]]),ISNUMBER(Table1[[#This Row],[Gestation (days)]])),TRUE,FALSE)</f>
        <v>0</v>
      </c>
      <c r="E5986" s="2" t="str">
        <f>IF(Table1[[#This Row],[Is Data Valid]]=TRUE,IF(Table1[[#This Row],[Fetal Sex (Male, Female or Unknown)]]="Male",Backend!$C$6,IF(Table1[[#This Row],[Fetal Sex (Male, Female or Unknown)]]="Female",Backend!$C$7,IF(Table1[[#This Row],[Fetal Sex (Male, Female or Unknown)]]="Unknown",Backend!$C$8,"Error"))),"")</f>
        <v/>
      </c>
      <c r="F5986" s="8" t="str">
        <f>IF(Table1[[#This Row],[Is Data Valid]]=TRUE,EXP(0.578+0.332*((Table1[[#This Row],[Gestation (days)]]+0.5)/7)-0.00354*((Table1[[#This Row],[Gestation (days)]]+0.5)/7)^2)*Table1[[#This Row],[BW40_3705]],"")</f>
        <v/>
      </c>
      <c r="G5986" s="2" t="str">
        <f>IF(Table1[[#This Row],[Is Data Valid]]=TRUE,((Table1[[#This Row],[Birthweight (grams)]]/Table1[[#This Row],[BW_GA]])-1)/(Backend!$B$4/100*Table1[[#This Row],[BW40_3705]]),"")</f>
        <v/>
      </c>
      <c r="H5986" s="7" t="str">
        <f>IF(Table1[[#This Row],[Is Data Valid]]=TRUE,((Table1[[#This Row],[Birthweight (grams)]]*0.9/Table1[[#This Row],[BW_GA]])-1)/(Backend!$B$4/100*Table1[[#This Row],[BW40_3705]]),"")</f>
        <v/>
      </c>
      <c r="I5986" s="7" t="str">
        <f>IF(Table1[[#This Row],[Is Data Valid]]=TRUE,((Table1[[#This Row],[Birthweight (grams)]]*1.1/Table1[[#This Row],[BW_GA]])-1)/(Backend!$B$4/100*Table1[[#This Row],[BW40_3705]]),"")</f>
        <v/>
      </c>
      <c r="J5986" s="7" t="str">
        <f>IF(Table1[[#This Row],[Is Data Valid]]=TRUE,_xlfn.NORM.S.DIST(Table1[[#This Row],[Birthweight Z-Score]],TRUE)*100,"")</f>
        <v/>
      </c>
      <c r="K5986" s="7" t="str">
        <f>IF(Table1[[#This Row],[Is Data Valid]]=TRUE,_xlfn.NORM.S.DIST(Table1[[#This Row],[Birthweight Z-Score (BW-10%)]],TRUE)*100,"")</f>
        <v/>
      </c>
      <c r="L5986" s="7" t="str">
        <f>IF(Table1[[#This Row],[Is Data Valid]]=TRUE,_xlfn.NORM.S.DIST(Table1[[#This Row],[Birthweight Z-Score (BW+10%)]],TRUE)*100,"")</f>
        <v/>
      </c>
    </row>
    <row r="5987" spans="1:12" x14ac:dyDescent="0.35">
      <c r="A5987" s="3"/>
      <c r="B5987" s="2"/>
      <c r="C5987" s="2"/>
      <c r="D5987" s="2" t="b">
        <f>IF(AND(NOT(ISBLANK(Table1[[#This Row],[Fetal Sex (Male, Female or Unknown)]])),ISNUMBER(Table1[[#This Row],[Birthweight (grams)]]),ISNUMBER(Table1[[#This Row],[Gestation (days)]])),TRUE,FALSE)</f>
        <v>0</v>
      </c>
      <c r="E5987" s="2" t="str">
        <f>IF(Table1[[#This Row],[Is Data Valid]]=TRUE,IF(Table1[[#This Row],[Fetal Sex (Male, Female or Unknown)]]="Male",Backend!$C$6,IF(Table1[[#This Row],[Fetal Sex (Male, Female or Unknown)]]="Female",Backend!$C$7,IF(Table1[[#This Row],[Fetal Sex (Male, Female or Unknown)]]="Unknown",Backend!$C$8,"Error"))),"")</f>
        <v/>
      </c>
      <c r="F5987" s="8" t="str">
        <f>IF(Table1[[#This Row],[Is Data Valid]]=TRUE,EXP(0.578+0.332*((Table1[[#This Row],[Gestation (days)]]+0.5)/7)-0.00354*((Table1[[#This Row],[Gestation (days)]]+0.5)/7)^2)*Table1[[#This Row],[BW40_3705]],"")</f>
        <v/>
      </c>
      <c r="G5987" s="2" t="str">
        <f>IF(Table1[[#This Row],[Is Data Valid]]=TRUE,((Table1[[#This Row],[Birthweight (grams)]]/Table1[[#This Row],[BW_GA]])-1)/(Backend!$B$4/100*Table1[[#This Row],[BW40_3705]]),"")</f>
        <v/>
      </c>
      <c r="H5987" s="7" t="str">
        <f>IF(Table1[[#This Row],[Is Data Valid]]=TRUE,((Table1[[#This Row],[Birthweight (grams)]]*0.9/Table1[[#This Row],[BW_GA]])-1)/(Backend!$B$4/100*Table1[[#This Row],[BW40_3705]]),"")</f>
        <v/>
      </c>
      <c r="I5987" s="7" t="str">
        <f>IF(Table1[[#This Row],[Is Data Valid]]=TRUE,((Table1[[#This Row],[Birthweight (grams)]]*1.1/Table1[[#This Row],[BW_GA]])-1)/(Backend!$B$4/100*Table1[[#This Row],[BW40_3705]]),"")</f>
        <v/>
      </c>
      <c r="J5987" s="7" t="str">
        <f>IF(Table1[[#This Row],[Is Data Valid]]=TRUE,_xlfn.NORM.S.DIST(Table1[[#This Row],[Birthweight Z-Score]],TRUE)*100,"")</f>
        <v/>
      </c>
      <c r="K5987" s="7" t="str">
        <f>IF(Table1[[#This Row],[Is Data Valid]]=TRUE,_xlfn.NORM.S.DIST(Table1[[#This Row],[Birthweight Z-Score (BW-10%)]],TRUE)*100,"")</f>
        <v/>
      </c>
      <c r="L5987" s="7" t="str">
        <f>IF(Table1[[#This Row],[Is Data Valid]]=TRUE,_xlfn.NORM.S.DIST(Table1[[#This Row],[Birthweight Z-Score (BW+10%)]],TRUE)*100,"")</f>
        <v/>
      </c>
    </row>
    <row r="5988" spans="1:12" x14ac:dyDescent="0.35">
      <c r="A5988" s="3"/>
      <c r="B5988" s="2"/>
      <c r="C5988" s="2"/>
      <c r="D5988" s="2" t="b">
        <f>IF(AND(NOT(ISBLANK(Table1[[#This Row],[Fetal Sex (Male, Female or Unknown)]])),ISNUMBER(Table1[[#This Row],[Birthweight (grams)]]),ISNUMBER(Table1[[#This Row],[Gestation (days)]])),TRUE,FALSE)</f>
        <v>0</v>
      </c>
      <c r="E5988" s="2" t="str">
        <f>IF(Table1[[#This Row],[Is Data Valid]]=TRUE,IF(Table1[[#This Row],[Fetal Sex (Male, Female or Unknown)]]="Male",Backend!$C$6,IF(Table1[[#This Row],[Fetal Sex (Male, Female or Unknown)]]="Female",Backend!$C$7,IF(Table1[[#This Row],[Fetal Sex (Male, Female or Unknown)]]="Unknown",Backend!$C$8,"Error"))),"")</f>
        <v/>
      </c>
      <c r="F5988" s="8" t="str">
        <f>IF(Table1[[#This Row],[Is Data Valid]]=TRUE,EXP(0.578+0.332*((Table1[[#This Row],[Gestation (days)]]+0.5)/7)-0.00354*((Table1[[#This Row],[Gestation (days)]]+0.5)/7)^2)*Table1[[#This Row],[BW40_3705]],"")</f>
        <v/>
      </c>
      <c r="G5988" s="2" t="str">
        <f>IF(Table1[[#This Row],[Is Data Valid]]=TRUE,((Table1[[#This Row],[Birthweight (grams)]]/Table1[[#This Row],[BW_GA]])-1)/(Backend!$B$4/100*Table1[[#This Row],[BW40_3705]]),"")</f>
        <v/>
      </c>
      <c r="H5988" s="7" t="str">
        <f>IF(Table1[[#This Row],[Is Data Valid]]=TRUE,((Table1[[#This Row],[Birthweight (grams)]]*0.9/Table1[[#This Row],[BW_GA]])-1)/(Backend!$B$4/100*Table1[[#This Row],[BW40_3705]]),"")</f>
        <v/>
      </c>
      <c r="I5988" s="7" t="str">
        <f>IF(Table1[[#This Row],[Is Data Valid]]=TRUE,((Table1[[#This Row],[Birthweight (grams)]]*1.1/Table1[[#This Row],[BW_GA]])-1)/(Backend!$B$4/100*Table1[[#This Row],[BW40_3705]]),"")</f>
        <v/>
      </c>
      <c r="J5988" s="7" t="str">
        <f>IF(Table1[[#This Row],[Is Data Valid]]=TRUE,_xlfn.NORM.S.DIST(Table1[[#This Row],[Birthweight Z-Score]],TRUE)*100,"")</f>
        <v/>
      </c>
      <c r="K5988" s="7" t="str">
        <f>IF(Table1[[#This Row],[Is Data Valid]]=TRUE,_xlfn.NORM.S.DIST(Table1[[#This Row],[Birthweight Z-Score (BW-10%)]],TRUE)*100,"")</f>
        <v/>
      </c>
      <c r="L5988" s="7" t="str">
        <f>IF(Table1[[#This Row],[Is Data Valid]]=TRUE,_xlfn.NORM.S.DIST(Table1[[#This Row],[Birthweight Z-Score (BW+10%)]],TRUE)*100,"")</f>
        <v/>
      </c>
    </row>
    <row r="5989" spans="1:12" x14ac:dyDescent="0.35">
      <c r="A5989" s="3"/>
      <c r="B5989" s="2"/>
      <c r="C5989" s="2"/>
      <c r="D5989" s="2" t="b">
        <f>IF(AND(NOT(ISBLANK(Table1[[#This Row],[Fetal Sex (Male, Female or Unknown)]])),ISNUMBER(Table1[[#This Row],[Birthweight (grams)]]),ISNUMBER(Table1[[#This Row],[Gestation (days)]])),TRUE,FALSE)</f>
        <v>0</v>
      </c>
      <c r="E5989" s="2" t="str">
        <f>IF(Table1[[#This Row],[Is Data Valid]]=TRUE,IF(Table1[[#This Row],[Fetal Sex (Male, Female or Unknown)]]="Male",Backend!$C$6,IF(Table1[[#This Row],[Fetal Sex (Male, Female or Unknown)]]="Female",Backend!$C$7,IF(Table1[[#This Row],[Fetal Sex (Male, Female or Unknown)]]="Unknown",Backend!$C$8,"Error"))),"")</f>
        <v/>
      </c>
      <c r="F5989" s="8" t="str">
        <f>IF(Table1[[#This Row],[Is Data Valid]]=TRUE,EXP(0.578+0.332*((Table1[[#This Row],[Gestation (days)]]+0.5)/7)-0.00354*((Table1[[#This Row],[Gestation (days)]]+0.5)/7)^2)*Table1[[#This Row],[BW40_3705]],"")</f>
        <v/>
      </c>
      <c r="G5989" s="2" t="str">
        <f>IF(Table1[[#This Row],[Is Data Valid]]=TRUE,((Table1[[#This Row],[Birthweight (grams)]]/Table1[[#This Row],[BW_GA]])-1)/(Backend!$B$4/100*Table1[[#This Row],[BW40_3705]]),"")</f>
        <v/>
      </c>
      <c r="H5989" s="7" t="str">
        <f>IF(Table1[[#This Row],[Is Data Valid]]=TRUE,((Table1[[#This Row],[Birthweight (grams)]]*0.9/Table1[[#This Row],[BW_GA]])-1)/(Backend!$B$4/100*Table1[[#This Row],[BW40_3705]]),"")</f>
        <v/>
      </c>
      <c r="I5989" s="7" t="str">
        <f>IF(Table1[[#This Row],[Is Data Valid]]=TRUE,((Table1[[#This Row],[Birthweight (grams)]]*1.1/Table1[[#This Row],[BW_GA]])-1)/(Backend!$B$4/100*Table1[[#This Row],[BW40_3705]]),"")</f>
        <v/>
      </c>
      <c r="J5989" s="7" t="str">
        <f>IF(Table1[[#This Row],[Is Data Valid]]=TRUE,_xlfn.NORM.S.DIST(Table1[[#This Row],[Birthweight Z-Score]],TRUE)*100,"")</f>
        <v/>
      </c>
      <c r="K5989" s="7" t="str">
        <f>IF(Table1[[#This Row],[Is Data Valid]]=TRUE,_xlfn.NORM.S.DIST(Table1[[#This Row],[Birthweight Z-Score (BW-10%)]],TRUE)*100,"")</f>
        <v/>
      </c>
      <c r="L5989" s="7" t="str">
        <f>IF(Table1[[#This Row],[Is Data Valid]]=TRUE,_xlfn.NORM.S.DIST(Table1[[#This Row],[Birthweight Z-Score (BW+10%)]],TRUE)*100,"")</f>
        <v/>
      </c>
    </row>
    <row r="5990" spans="1:12" x14ac:dyDescent="0.35">
      <c r="A5990" s="3"/>
      <c r="B5990" s="2"/>
      <c r="C5990" s="2"/>
      <c r="D5990" s="2" t="b">
        <f>IF(AND(NOT(ISBLANK(Table1[[#This Row],[Fetal Sex (Male, Female or Unknown)]])),ISNUMBER(Table1[[#This Row],[Birthweight (grams)]]),ISNUMBER(Table1[[#This Row],[Gestation (days)]])),TRUE,FALSE)</f>
        <v>0</v>
      </c>
      <c r="E5990" s="2" t="str">
        <f>IF(Table1[[#This Row],[Is Data Valid]]=TRUE,IF(Table1[[#This Row],[Fetal Sex (Male, Female or Unknown)]]="Male",Backend!$C$6,IF(Table1[[#This Row],[Fetal Sex (Male, Female or Unknown)]]="Female",Backend!$C$7,IF(Table1[[#This Row],[Fetal Sex (Male, Female or Unknown)]]="Unknown",Backend!$C$8,"Error"))),"")</f>
        <v/>
      </c>
      <c r="F5990" s="8" t="str">
        <f>IF(Table1[[#This Row],[Is Data Valid]]=TRUE,EXP(0.578+0.332*((Table1[[#This Row],[Gestation (days)]]+0.5)/7)-0.00354*((Table1[[#This Row],[Gestation (days)]]+0.5)/7)^2)*Table1[[#This Row],[BW40_3705]],"")</f>
        <v/>
      </c>
      <c r="G5990" s="2" t="str">
        <f>IF(Table1[[#This Row],[Is Data Valid]]=TRUE,((Table1[[#This Row],[Birthweight (grams)]]/Table1[[#This Row],[BW_GA]])-1)/(Backend!$B$4/100*Table1[[#This Row],[BW40_3705]]),"")</f>
        <v/>
      </c>
      <c r="H5990" s="7" t="str">
        <f>IF(Table1[[#This Row],[Is Data Valid]]=TRUE,((Table1[[#This Row],[Birthweight (grams)]]*0.9/Table1[[#This Row],[BW_GA]])-1)/(Backend!$B$4/100*Table1[[#This Row],[BW40_3705]]),"")</f>
        <v/>
      </c>
      <c r="I5990" s="7" t="str">
        <f>IF(Table1[[#This Row],[Is Data Valid]]=TRUE,((Table1[[#This Row],[Birthweight (grams)]]*1.1/Table1[[#This Row],[BW_GA]])-1)/(Backend!$B$4/100*Table1[[#This Row],[BW40_3705]]),"")</f>
        <v/>
      </c>
      <c r="J5990" s="7" t="str">
        <f>IF(Table1[[#This Row],[Is Data Valid]]=TRUE,_xlfn.NORM.S.DIST(Table1[[#This Row],[Birthweight Z-Score]],TRUE)*100,"")</f>
        <v/>
      </c>
      <c r="K5990" s="7" t="str">
        <f>IF(Table1[[#This Row],[Is Data Valid]]=TRUE,_xlfn.NORM.S.DIST(Table1[[#This Row],[Birthweight Z-Score (BW-10%)]],TRUE)*100,"")</f>
        <v/>
      </c>
      <c r="L5990" s="7" t="str">
        <f>IF(Table1[[#This Row],[Is Data Valid]]=TRUE,_xlfn.NORM.S.DIST(Table1[[#This Row],[Birthweight Z-Score (BW+10%)]],TRUE)*100,"")</f>
        <v/>
      </c>
    </row>
    <row r="5991" spans="1:12" x14ac:dyDescent="0.35">
      <c r="A5991" s="3"/>
      <c r="B5991" s="2"/>
      <c r="C5991" s="2"/>
      <c r="D5991" s="2" t="b">
        <f>IF(AND(NOT(ISBLANK(Table1[[#This Row],[Fetal Sex (Male, Female or Unknown)]])),ISNUMBER(Table1[[#This Row],[Birthweight (grams)]]),ISNUMBER(Table1[[#This Row],[Gestation (days)]])),TRUE,FALSE)</f>
        <v>0</v>
      </c>
      <c r="E5991" s="2" t="str">
        <f>IF(Table1[[#This Row],[Is Data Valid]]=TRUE,IF(Table1[[#This Row],[Fetal Sex (Male, Female or Unknown)]]="Male",Backend!$C$6,IF(Table1[[#This Row],[Fetal Sex (Male, Female or Unknown)]]="Female",Backend!$C$7,IF(Table1[[#This Row],[Fetal Sex (Male, Female or Unknown)]]="Unknown",Backend!$C$8,"Error"))),"")</f>
        <v/>
      </c>
      <c r="F5991" s="8" t="str">
        <f>IF(Table1[[#This Row],[Is Data Valid]]=TRUE,EXP(0.578+0.332*((Table1[[#This Row],[Gestation (days)]]+0.5)/7)-0.00354*((Table1[[#This Row],[Gestation (days)]]+0.5)/7)^2)*Table1[[#This Row],[BW40_3705]],"")</f>
        <v/>
      </c>
      <c r="G5991" s="2" t="str">
        <f>IF(Table1[[#This Row],[Is Data Valid]]=TRUE,((Table1[[#This Row],[Birthweight (grams)]]/Table1[[#This Row],[BW_GA]])-1)/(Backend!$B$4/100*Table1[[#This Row],[BW40_3705]]),"")</f>
        <v/>
      </c>
      <c r="H5991" s="7" t="str">
        <f>IF(Table1[[#This Row],[Is Data Valid]]=TRUE,((Table1[[#This Row],[Birthweight (grams)]]*0.9/Table1[[#This Row],[BW_GA]])-1)/(Backend!$B$4/100*Table1[[#This Row],[BW40_3705]]),"")</f>
        <v/>
      </c>
      <c r="I5991" s="7" t="str">
        <f>IF(Table1[[#This Row],[Is Data Valid]]=TRUE,((Table1[[#This Row],[Birthweight (grams)]]*1.1/Table1[[#This Row],[BW_GA]])-1)/(Backend!$B$4/100*Table1[[#This Row],[BW40_3705]]),"")</f>
        <v/>
      </c>
      <c r="J5991" s="7" t="str">
        <f>IF(Table1[[#This Row],[Is Data Valid]]=TRUE,_xlfn.NORM.S.DIST(Table1[[#This Row],[Birthweight Z-Score]],TRUE)*100,"")</f>
        <v/>
      </c>
      <c r="K5991" s="7" t="str">
        <f>IF(Table1[[#This Row],[Is Data Valid]]=TRUE,_xlfn.NORM.S.DIST(Table1[[#This Row],[Birthweight Z-Score (BW-10%)]],TRUE)*100,"")</f>
        <v/>
      </c>
      <c r="L5991" s="7" t="str">
        <f>IF(Table1[[#This Row],[Is Data Valid]]=TRUE,_xlfn.NORM.S.DIST(Table1[[#This Row],[Birthweight Z-Score (BW+10%)]],TRUE)*100,"")</f>
        <v/>
      </c>
    </row>
    <row r="5992" spans="1:12" x14ac:dyDescent="0.35">
      <c r="A5992" s="3"/>
      <c r="B5992" s="2"/>
      <c r="C5992" s="2"/>
      <c r="D5992" s="2" t="b">
        <f>IF(AND(NOT(ISBLANK(Table1[[#This Row],[Fetal Sex (Male, Female or Unknown)]])),ISNUMBER(Table1[[#This Row],[Birthweight (grams)]]),ISNUMBER(Table1[[#This Row],[Gestation (days)]])),TRUE,FALSE)</f>
        <v>0</v>
      </c>
      <c r="E5992" s="2" t="str">
        <f>IF(Table1[[#This Row],[Is Data Valid]]=TRUE,IF(Table1[[#This Row],[Fetal Sex (Male, Female or Unknown)]]="Male",Backend!$C$6,IF(Table1[[#This Row],[Fetal Sex (Male, Female or Unknown)]]="Female",Backend!$C$7,IF(Table1[[#This Row],[Fetal Sex (Male, Female or Unknown)]]="Unknown",Backend!$C$8,"Error"))),"")</f>
        <v/>
      </c>
      <c r="F5992" s="8" t="str">
        <f>IF(Table1[[#This Row],[Is Data Valid]]=TRUE,EXP(0.578+0.332*((Table1[[#This Row],[Gestation (days)]]+0.5)/7)-0.00354*((Table1[[#This Row],[Gestation (days)]]+0.5)/7)^2)*Table1[[#This Row],[BW40_3705]],"")</f>
        <v/>
      </c>
      <c r="G5992" s="2" t="str">
        <f>IF(Table1[[#This Row],[Is Data Valid]]=TRUE,((Table1[[#This Row],[Birthweight (grams)]]/Table1[[#This Row],[BW_GA]])-1)/(Backend!$B$4/100*Table1[[#This Row],[BW40_3705]]),"")</f>
        <v/>
      </c>
      <c r="H5992" s="7" t="str">
        <f>IF(Table1[[#This Row],[Is Data Valid]]=TRUE,((Table1[[#This Row],[Birthweight (grams)]]*0.9/Table1[[#This Row],[BW_GA]])-1)/(Backend!$B$4/100*Table1[[#This Row],[BW40_3705]]),"")</f>
        <v/>
      </c>
      <c r="I5992" s="7" t="str">
        <f>IF(Table1[[#This Row],[Is Data Valid]]=TRUE,((Table1[[#This Row],[Birthweight (grams)]]*1.1/Table1[[#This Row],[BW_GA]])-1)/(Backend!$B$4/100*Table1[[#This Row],[BW40_3705]]),"")</f>
        <v/>
      </c>
      <c r="J5992" s="7" t="str">
        <f>IF(Table1[[#This Row],[Is Data Valid]]=TRUE,_xlfn.NORM.S.DIST(Table1[[#This Row],[Birthweight Z-Score]],TRUE)*100,"")</f>
        <v/>
      </c>
      <c r="K5992" s="7" t="str">
        <f>IF(Table1[[#This Row],[Is Data Valid]]=TRUE,_xlfn.NORM.S.DIST(Table1[[#This Row],[Birthweight Z-Score (BW-10%)]],TRUE)*100,"")</f>
        <v/>
      </c>
      <c r="L5992" s="7" t="str">
        <f>IF(Table1[[#This Row],[Is Data Valid]]=TRUE,_xlfn.NORM.S.DIST(Table1[[#This Row],[Birthweight Z-Score (BW+10%)]],TRUE)*100,"")</f>
        <v/>
      </c>
    </row>
    <row r="5993" spans="1:12" x14ac:dyDescent="0.35">
      <c r="A5993" s="3"/>
      <c r="B5993" s="2"/>
      <c r="C5993" s="2"/>
      <c r="D5993" s="2" t="b">
        <f>IF(AND(NOT(ISBLANK(Table1[[#This Row],[Fetal Sex (Male, Female or Unknown)]])),ISNUMBER(Table1[[#This Row],[Birthweight (grams)]]),ISNUMBER(Table1[[#This Row],[Gestation (days)]])),TRUE,FALSE)</f>
        <v>0</v>
      </c>
      <c r="E5993" s="2" t="str">
        <f>IF(Table1[[#This Row],[Is Data Valid]]=TRUE,IF(Table1[[#This Row],[Fetal Sex (Male, Female or Unknown)]]="Male",Backend!$C$6,IF(Table1[[#This Row],[Fetal Sex (Male, Female or Unknown)]]="Female",Backend!$C$7,IF(Table1[[#This Row],[Fetal Sex (Male, Female or Unknown)]]="Unknown",Backend!$C$8,"Error"))),"")</f>
        <v/>
      </c>
      <c r="F5993" s="8" t="str">
        <f>IF(Table1[[#This Row],[Is Data Valid]]=TRUE,EXP(0.578+0.332*((Table1[[#This Row],[Gestation (days)]]+0.5)/7)-0.00354*((Table1[[#This Row],[Gestation (days)]]+0.5)/7)^2)*Table1[[#This Row],[BW40_3705]],"")</f>
        <v/>
      </c>
      <c r="G5993" s="2" t="str">
        <f>IF(Table1[[#This Row],[Is Data Valid]]=TRUE,((Table1[[#This Row],[Birthweight (grams)]]/Table1[[#This Row],[BW_GA]])-1)/(Backend!$B$4/100*Table1[[#This Row],[BW40_3705]]),"")</f>
        <v/>
      </c>
      <c r="H5993" s="7" t="str">
        <f>IF(Table1[[#This Row],[Is Data Valid]]=TRUE,((Table1[[#This Row],[Birthweight (grams)]]*0.9/Table1[[#This Row],[BW_GA]])-1)/(Backend!$B$4/100*Table1[[#This Row],[BW40_3705]]),"")</f>
        <v/>
      </c>
      <c r="I5993" s="7" t="str">
        <f>IF(Table1[[#This Row],[Is Data Valid]]=TRUE,((Table1[[#This Row],[Birthweight (grams)]]*1.1/Table1[[#This Row],[BW_GA]])-1)/(Backend!$B$4/100*Table1[[#This Row],[BW40_3705]]),"")</f>
        <v/>
      </c>
      <c r="J5993" s="7" t="str">
        <f>IF(Table1[[#This Row],[Is Data Valid]]=TRUE,_xlfn.NORM.S.DIST(Table1[[#This Row],[Birthweight Z-Score]],TRUE)*100,"")</f>
        <v/>
      </c>
      <c r="K5993" s="7" t="str">
        <f>IF(Table1[[#This Row],[Is Data Valid]]=TRUE,_xlfn.NORM.S.DIST(Table1[[#This Row],[Birthweight Z-Score (BW-10%)]],TRUE)*100,"")</f>
        <v/>
      </c>
      <c r="L5993" s="7" t="str">
        <f>IF(Table1[[#This Row],[Is Data Valid]]=TRUE,_xlfn.NORM.S.DIST(Table1[[#This Row],[Birthweight Z-Score (BW+10%)]],TRUE)*100,"")</f>
        <v/>
      </c>
    </row>
    <row r="5994" spans="1:12" x14ac:dyDescent="0.35">
      <c r="A5994" s="3"/>
      <c r="B5994" s="2"/>
      <c r="C5994" s="2"/>
      <c r="D5994" s="2" t="b">
        <f>IF(AND(NOT(ISBLANK(Table1[[#This Row],[Fetal Sex (Male, Female or Unknown)]])),ISNUMBER(Table1[[#This Row],[Birthweight (grams)]]),ISNUMBER(Table1[[#This Row],[Gestation (days)]])),TRUE,FALSE)</f>
        <v>0</v>
      </c>
      <c r="E5994" s="2" t="str">
        <f>IF(Table1[[#This Row],[Is Data Valid]]=TRUE,IF(Table1[[#This Row],[Fetal Sex (Male, Female or Unknown)]]="Male",Backend!$C$6,IF(Table1[[#This Row],[Fetal Sex (Male, Female or Unknown)]]="Female",Backend!$C$7,IF(Table1[[#This Row],[Fetal Sex (Male, Female or Unknown)]]="Unknown",Backend!$C$8,"Error"))),"")</f>
        <v/>
      </c>
      <c r="F5994" s="8" t="str">
        <f>IF(Table1[[#This Row],[Is Data Valid]]=TRUE,EXP(0.578+0.332*((Table1[[#This Row],[Gestation (days)]]+0.5)/7)-0.00354*((Table1[[#This Row],[Gestation (days)]]+0.5)/7)^2)*Table1[[#This Row],[BW40_3705]],"")</f>
        <v/>
      </c>
      <c r="G5994" s="2" t="str">
        <f>IF(Table1[[#This Row],[Is Data Valid]]=TRUE,((Table1[[#This Row],[Birthweight (grams)]]/Table1[[#This Row],[BW_GA]])-1)/(Backend!$B$4/100*Table1[[#This Row],[BW40_3705]]),"")</f>
        <v/>
      </c>
      <c r="H5994" s="7" t="str">
        <f>IF(Table1[[#This Row],[Is Data Valid]]=TRUE,((Table1[[#This Row],[Birthweight (grams)]]*0.9/Table1[[#This Row],[BW_GA]])-1)/(Backend!$B$4/100*Table1[[#This Row],[BW40_3705]]),"")</f>
        <v/>
      </c>
      <c r="I5994" s="7" t="str">
        <f>IF(Table1[[#This Row],[Is Data Valid]]=TRUE,((Table1[[#This Row],[Birthweight (grams)]]*1.1/Table1[[#This Row],[BW_GA]])-1)/(Backend!$B$4/100*Table1[[#This Row],[BW40_3705]]),"")</f>
        <v/>
      </c>
      <c r="J5994" s="7" t="str">
        <f>IF(Table1[[#This Row],[Is Data Valid]]=TRUE,_xlfn.NORM.S.DIST(Table1[[#This Row],[Birthweight Z-Score]],TRUE)*100,"")</f>
        <v/>
      </c>
      <c r="K5994" s="7" t="str">
        <f>IF(Table1[[#This Row],[Is Data Valid]]=TRUE,_xlfn.NORM.S.DIST(Table1[[#This Row],[Birthweight Z-Score (BW-10%)]],TRUE)*100,"")</f>
        <v/>
      </c>
      <c r="L5994" s="7" t="str">
        <f>IF(Table1[[#This Row],[Is Data Valid]]=TRUE,_xlfn.NORM.S.DIST(Table1[[#This Row],[Birthweight Z-Score (BW+10%)]],TRUE)*100,"")</f>
        <v/>
      </c>
    </row>
    <row r="5995" spans="1:12" x14ac:dyDescent="0.35">
      <c r="A5995" s="3"/>
      <c r="B5995" s="2"/>
      <c r="C5995" s="2"/>
      <c r="D5995" s="2" t="b">
        <f>IF(AND(NOT(ISBLANK(Table1[[#This Row],[Fetal Sex (Male, Female or Unknown)]])),ISNUMBER(Table1[[#This Row],[Birthweight (grams)]]),ISNUMBER(Table1[[#This Row],[Gestation (days)]])),TRUE,FALSE)</f>
        <v>0</v>
      </c>
      <c r="E5995" s="2" t="str">
        <f>IF(Table1[[#This Row],[Is Data Valid]]=TRUE,IF(Table1[[#This Row],[Fetal Sex (Male, Female or Unknown)]]="Male",Backend!$C$6,IF(Table1[[#This Row],[Fetal Sex (Male, Female or Unknown)]]="Female",Backend!$C$7,IF(Table1[[#This Row],[Fetal Sex (Male, Female or Unknown)]]="Unknown",Backend!$C$8,"Error"))),"")</f>
        <v/>
      </c>
      <c r="F5995" s="8" t="str">
        <f>IF(Table1[[#This Row],[Is Data Valid]]=TRUE,EXP(0.578+0.332*((Table1[[#This Row],[Gestation (days)]]+0.5)/7)-0.00354*((Table1[[#This Row],[Gestation (days)]]+0.5)/7)^2)*Table1[[#This Row],[BW40_3705]],"")</f>
        <v/>
      </c>
      <c r="G5995" s="2" t="str">
        <f>IF(Table1[[#This Row],[Is Data Valid]]=TRUE,((Table1[[#This Row],[Birthweight (grams)]]/Table1[[#This Row],[BW_GA]])-1)/(Backend!$B$4/100*Table1[[#This Row],[BW40_3705]]),"")</f>
        <v/>
      </c>
      <c r="H5995" s="7" t="str">
        <f>IF(Table1[[#This Row],[Is Data Valid]]=TRUE,((Table1[[#This Row],[Birthweight (grams)]]*0.9/Table1[[#This Row],[BW_GA]])-1)/(Backend!$B$4/100*Table1[[#This Row],[BW40_3705]]),"")</f>
        <v/>
      </c>
      <c r="I5995" s="7" t="str">
        <f>IF(Table1[[#This Row],[Is Data Valid]]=TRUE,((Table1[[#This Row],[Birthweight (grams)]]*1.1/Table1[[#This Row],[BW_GA]])-1)/(Backend!$B$4/100*Table1[[#This Row],[BW40_3705]]),"")</f>
        <v/>
      </c>
      <c r="J5995" s="7" t="str">
        <f>IF(Table1[[#This Row],[Is Data Valid]]=TRUE,_xlfn.NORM.S.DIST(Table1[[#This Row],[Birthweight Z-Score]],TRUE)*100,"")</f>
        <v/>
      </c>
      <c r="K5995" s="7" t="str">
        <f>IF(Table1[[#This Row],[Is Data Valid]]=TRUE,_xlfn.NORM.S.DIST(Table1[[#This Row],[Birthweight Z-Score (BW-10%)]],TRUE)*100,"")</f>
        <v/>
      </c>
      <c r="L5995" s="7" t="str">
        <f>IF(Table1[[#This Row],[Is Data Valid]]=TRUE,_xlfn.NORM.S.DIST(Table1[[#This Row],[Birthweight Z-Score (BW+10%)]],TRUE)*100,"")</f>
        <v/>
      </c>
    </row>
    <row r="5996" spans="1:12" x14ac:dyDescent="0.35">
      <c r="A5996" s="3"/>
      <c r="B5996" s="2"/>
      <c r="C5996" s="2"/>
      <c r="D5996" s="2" t="b">
        <f>IF(AND(NOT(ISBLANK(Table1[[#This Row],[Fetal Sex (Male, Female or Unknown)]])),ISNUMBER(Table1[[#This Row],[Birthweight (grams)]]),ISNUMBER(Table1[[#This Row],[Gestation (days)]])),TRUE,FALSE)</f>
        <v>0</v>
      </c>
      <c r="E5996" s="2" t="str">
        <f>IF(Table1[[#This Row],[Is Data Valid]]=TRUE,IF(Table1[[#This Row],[Fetal Sex (Male, Female or Unknown)]]="Male",Backend!$C$6,IF(Table1[[#This Row],[Fetal Sex (Male, Female or Unknown)]]="Female",Backend!$C$7,IF(Table1[[#This Row],[Fetal Sex (Male, Female or Unknown)]]="Unknown",Backend!$C$8,"Error"))),"")</f>
        <v/>
      </c>
      <c r="F5996" s="8" t="str">
        <f>IF(Table1[[#This Row],[Is Data Valid]]=TRUE,EXP(0.578+0.332*((Table1[[#This Row],[Gestation (days)]]+0.5)/7)-0.00354*((Table1[[#This Row],[Gestation (days)]]+0.5)/7)^2)*Table1[[#This Row],[BW40_3705]],"")</f>
        <v/>
      </c>
      <c r="G5996" s="2" t="str">
        <f>IF(Table1[[#This Row],[Is Data Valid]]=TRUE,((Table1[[#This Row],[Birthweight (grams)]]/Table1[[#This Row],[BW_GA]])-1)/(Backend!$B$4/100*Table1[[#This Row],[BW40_3705]]),"")</f>
        <v/>
      </c>
      <c r="H5996" s="7" t="str">
        <f>IF(Table1[[#This Row],[Is Data Valid]]=TRUE,((Table1[[#This Row],[Birthweight (grams)]]*0.9/Table1[[#This Row],[BW_GA]])-1)/(Backend!$B$4/100*Table1[[#This Row],[BW40_3705]]),"")</f>
        <v/>
      </c>
      <c r="I5996" s="7" t="str">
        <f>IF(Table1[[#This Row],[Is Data Valid]]=TRUE,((Table1[[#This Row],[Birthweight (grams)]]*1.1/Table1[[#This Row],[BW_GA]])-1)/(Backend!$B$4/100*Table1[[#This Row],[BW40_3705]]),"")</f>
        <v/>
      </c>
      <c r="J5996" s="7" t="str">
        <f>IF(Table1[[#This Row],[Is Data Valid]]=TRUE,_xlfn.NORM.S.DIST(Table1[[#This Row],[Birthweight Z-Score]],TRUE)*100,"")</f>
        <v/>
      </c>
      <c r="K5996" s="7" t="str">
        <f>IF(Table1[[#This Row],[Is Data Valid]]=TRUE,_xlfn.NORM.S.DIST(Table1[[#This Row],[Birthweight Z-Score (BW-10%)]],TRUE)*100,"")</f>
        <v/>
      </c>
      <c r="L5996" s="7" t="str">
        <f>IF(Table1[[#This Row],[Is Data Valid]]=TRUE,_xlfn.NORM.S.DIST(Table1[[#This Row],[Birthweight Z-Score (BW+10%)]],TRUE)*100,"")</f>
        <v/>
      </c>
    </row>
    <row r="5997" spans="1:12" x14ac:dyDescent="0.35">
      <c r="A5997" s="3"/>
      <c r="B5997" s="2"/>
      <c r="C5997" s="2"/>
      <c r="D5997" s="2" t="b">
        <f>IF(AND(NOT(ISBLANK(Table1[[#This Row],[Fetal Sex (Male, Female or Unknown)]])),ISNUMBER(Table1[[#This Row],[Birthweight (grams)]]),ISNUMBER(Table1[[#This Row],[Gestation (days)]])),TRUE,FALSE)</f>
        <v>0</v>
      </c>
      <c r="E5997" s="2" t="str">
        <f>IF(Table1[[#This Row],[Is Data Valid]]=TRUE,IF(Table1[[#This Row],[Fetal Sex (Male, Female or Unknown)]]="Male",Backend!$C$6,IF(Table1[[#This Row],[Fetal Sex (Male, Female or Unknown)]]="Female",Backend!$C$7,IF(Table1[[#This Row],[Fetal Sex (Male, Female or Unknown)]]="Unknown",Backend!$C$8,"Error"))),"")</f>
        <v/>
      </c>
      <c r="F5997" s="8" t="str">
        <f>IF(Table1[[#This Row],[Is Data Valid]]=TRUE,EXP(0.578+0.332*((Table1[[#This Row],[Gestation (days)]]+0.5)/7)-0.00354*((Table1[[#This Row],[Gestation (days)]]+0.5)/7)^2)*Table1[[#This Row],[BW40_3705]],"")</f>
        <v/>
      </c>
      <c r="G5997" s="2" t="str">
        <f>IF(Table1[[#This Row],[Is Data Valid]]=TRUE,((Table1[[#This Row],[Birthweight (grams)]]/Table1[[#This Row],[BW_GA]])-1)/(Backend!$B$4/100*Table1[[#This Row],[BW40_3705]]),"")</f>
        <v/>
      </c>
      <c r="H5997" s="7" t="str">
        <f>IF(Table1[[#This Row],[Is Data Valid]]=TRUE,((Table1[[#This Row],[Birthweight (grams)]]*0.9/Table1[[#This Row],[BW_GA]])-1)/(Backend!$B$4/100*Table1[[#This Row],[BW40_3705]]),"")</f>
        <v/>
      </c>
      <c r="I5997" s="7" t="str">
        <f>IF(Table1[[#This Row],[Is Data Valid]]=TRUE,((Table1[[#This Row],[Birthweight (grams)]]*1.1/Table1[[#This Row],[BW_GA]])-1)/(Backend!$B$4/100*Table1[[#This Row],[BW40_3705]]),"")</f>
        <v/>
      </c>
      <c r="J5997" s="7" t="str">
        <f>IF(Table1[[#This Row],[Is Data Valid]]=TRUE,_xlfn.NORM.S.DIST(Table1[[#This Row],[Birthweight Z-Score]],TRUE)*100,"")</f>
        <v/>
      </c>
      <c r="K5997" s="7" t="str">
        <f>IF(Table1[[#This Row],[Is Data Valid]]=TRUE,_xlfn.NORM.S.DIST(Table1[[#This Row],[Birthweight Z-Score (BW-10%)]],TRUE)*100,"")</f>
        <v/>
      </c>
      <c r="L5997" s="7" t="str">
        <f>IF(Table1[[#This Row],[Is Data Valid]]=TRUE,_xlfn.NORM.S.DIST(Table1[[#This Row],[Birthweight Z-Score (BW+10%)]],TRUE)*100,"")</f>
        <v/>
      </c>
    </row>
    <row r="5998" spans="1:12" x14ac:dyDescent="0.35">
      <c r="A5998" s="3"/>
      <c r="B5998" s="2"/>
      <c r="C5998" s="2"/>
      <c r="D5998" s="2" t="b">
        <f>IF(AND(NOT(ISBLANK(Table1[[#This Row],[Fetal Sex (Male, Female or Unknown)]])),ISNUMBER(Table1[[#This Row],[Birthweight (grams)]]),ISNUMBER(Table1[[#This Row],[Gestation (days)]])),TRUE,FALSE)</f>
        <v>0</v>
      </c>
      <c r="E5998" s="2" t="str">
        <f>IF(Table1[[#This Row],[Is Data Valid]]=TRUE,IF(Table1[[#This Row],[Fetal Sex (Male, Female or Unknown)]]="Male",Backend!$C$6,IF(Table1[[#This Row],[Fetal Sex (Male, Female or Unknown)]]="Female",Backend!$C$7,IF(Table1[[#This Row],[Fetal Sex (Male, Female or Unknown)]]="Unknown",Backend!$C$8,"Error"))),"")</f>
        <v/>
      </c>
      <c r="F5998" s="8" t="str">
        <f>IF(Table1[[#This Row],[Is Data Valid]]=TRUE,EXP(0.578+0.332*((Table1[[#This Row],[Gestation (days)]]+0.5)/7)-0.00354*((Table1[[#This Row],[Gestation (days)]]+0.5)/7)^2)*Table1[[#This Row],[BW40_3705]],"")</f>
        <v/>
      </c>
      <c r="G5998" s="2" t="str">
        <f>IF(Table1[[#This Row],[Is Data Valid]]=TRUE,((Table1[[#This Row],[Birthweight (grams)]]/Table1[[#This Row],[BW_GA]])-1)/(Backend!$B$4/100*Table1[[#This Row],[BW40_3705]]),"")</f>
        <v/>
      </c>
      <c r="H5998" s="7" t="str">
        <f>IF(Table1[[#This Row],[Is Data Valid]]=TRUE,((Table1[[#This Row],[Birthweight (grams)]]*0.9/Table1[[#This Row],[BW_GA]])-1)/(Backend!$B$4/100*Table1[[#This Row],[BW40_3705]]),"")</f>
        <v/>
      </c>
      <c r="I5998" s="7" t="str">
        <f>IF(Table1[[#This Row],[Is Data Valid]]=TRUE,((Table1[[#This Row],[Birthweight (grams)]]*1.1/Table1[[#This Row],[BW_GA]])-1)/(Backend!$B$4/100*Table1[[#This Row],[BW40_3705]]),"")</f>
        <v/>
      </c>
      <c r="J5998" s="7" t="str">
        <f>IF(Table1[[#This Row],[Is Data Valid]]=TRUE,_xlfn.NORM.S.DIST(Table1[[#This Row],[Birthweight Z-Score]],TRUE)*100,"")</f>
        <v/>
      </c>
      <c r="K5998" s="7" t="str">
        <f>IF(Table1[[#This Row],[Is Data Valid]]=TRUE,_xlfn.NORM.S.DIST(Table1[[#This Row],[Birthweight Z-Score (BW-10%)]],TRUE)*100,"")</f>
        <v/>
      </c>
      <c r="L5998" s="7" t="str">
        <f>IF(Table1[[#This Row],[Is Data Valid]]=TRUE,_xlfn.NORM.S.DIST(Table1[[#This Row],[Birthweight Z-Score (BW+10%)]],TRUE)*100,"")</f>
        <v/>
      </c>
    </row>
    <row r="5999" spans="1:12" x14ac:dyDescent="0.35">
      <c r="A5999" s="3"/>
      <c r="B5999" s="2"/>
      <c r="C5999" s="2"/>
      <c r="D5999" s="2" t="b">
        <f>IF(AND(NOT(ISBLANK(Table1[[#This Row],[Fetal Sex (Male, Female or Unknown)]])),ISNUMBER(Table1[[#This Row],[Birthweight (grams)]]),ISNUMBER(Table1[[#This Row],[Gestation (days)]])),TRUE,FALSE)</f>
        <v>0</v>
      </c>
      <c r="E5999" s="2" t="str">
        <f>IF(Table1[[#This Row],[Is Data Valid]]=TRUE,IF(Table1[[#This Row],[Fetal Sex (Male, Female or Unknown)]]="Male",Backend!$C$6,IF(Table1[[#This Row],[Fetal Sex (Male, Female or Unknown)]]="Female",Backend!$C$7,IF(Table1[[#This Row],[Fetal Sex (Male, Female or Unknown)]]="Unknown",Backend!$C$8,"Error"))),"")</f>
        <v/>
      </c>
      <c r="F5999" s="8" t="str">
        <f>IF(Table1[[#This Row],[Is Data Valid]]=TRUE,EXP(0.578+0.332*((Table1[[#This Row],[Gestation (days)]]+0.5)/7)-0.00354*((Table1[[#This Row],[Gestation (days)]]+0.5)/7)^2)*Table1[[#This Row],[BW40_3705]],"")</f>
        <v/>
      </c>
      <c r="G5999" s="2" t="str">
        <f>IF(Table1[[#This Row],[Is Data Valid]]=TRUE,((Table1[[#This Row],[Birthweight (grams)]]/Table1[[#This Row],[BW_GA]])-1)/(Backend!$B$4/100*Table1[[#This Row],[BW40_3705]]),"")</f>
        <v/>
      </c>
      <c r="H5999" s="7" t="str">
        <f>IF(Table1[[#This Row],[Is Data Valid]]=TRUE,((Table1[[#This Row],[Birthweight (grams)]]*0.9/Table1[[#This Row],[BW_GA]])-1)/(Backend!$B$4/100*Table1[[#This Row],[BW40_3705]]),"")</f>
        <v/>
      </c>
      <c r="I5999" s="7" t="str">
        <f>IF(Table1[[#This Row],[Is Data Valid]]=TRUE,((Table1[[#This Row],[Birthweight (grams)]]*1.1/Table1[[#This Row],[BW_GA]])-1)/(Backend!$B$4/100*Table1[[#This Row],[BW40_3705]]),"")</f>
        <v/>
      </c>
      <c r="J5999" s="7" t="str">
        <f>IF(Table1[[#This Row],[Is Data Valid]]=TRUE,_xlfn.NORM.S.DIST(Table1[[#This Row],[Birthweight Z-Score]],TRUE)*100,"")</f>
        <v/>
      </c>
      <c r="K5999" s="7" t="str">
        <f>IF(Table1[[#This Row],[Is Data Valid]]=TRUE,_xlfn.NORM.S.DIST(Table1[[#This Row],[Birthweight Z-Score (BW-10%)]],TRUE)*100,"")</f>
        <v/>
      </c>
      <c r="L5999" s="7" t="str">
        <f>IF(Table1[[#This Row],[Is Data Valid]]=TRUE,_xlfn.NORM.S.DIST(Table1[[#This Row],[Birthweight Z-Score (BW+10%)]],TRUE)*100,"")</f>
        <v/>
      </c>
    </row>
    <row r="6000" spans="1:12" x14ac:dyDescent="0.35">
      <c r="A6000" s="3"/>
      <c r="B6000" s="2"/>
      <c r="C6000" s="2"/>
      <c r="D6000" s="2" t="b">
        <f>IF(AND(NOT(ISBLANK(Table1[[#This Row],[Fetal Sex (Male, Female or Unknown)]])),ISNUMBER(Table1[[#This Row],[Birthweight (grams)]]),ISNUMBER(Table1[[#This Row],[Gestation (days)]])),TRUE,FALSE)</f>
        <v>0</v>
      </c>
      <c r="E6000" s="2" t="str">
        <f>IF(Table1[[#This Row],[Is Data Valid]]=TRUE,IF(Table1[[#This Row],[Fetal Sex (Male, Female or Unknown)]]="Male",Backend!$C$6,IF(Table1[[#This Row],[Fetal Sex (Male, Female or Unknown)]]="Female",Backend!$C$7,IF(Table1[[#This Row],[Fetal Sex (Male, Female or Unknown)]]="Unknown",Backend!$C$8,"Error"))),"")</f>
        <v/>
      </c>
      <c r="F6000" s="8" t="str">
        <f>IF(Table1[[#This Row],[Is Data Valid]]=TRUE,EXP(0.578+0.332*((Table1[[#This Row],[Gestation (days)]]+0.5)/7)-0.00354*((Table1[[#This Row],[Gestation (days)]]+0.5)/7)^2)*Table1[[#This Row],[BW40_3705]],"")</f>
        <v/>
      </c>
      <c r="G6000" s="2" t="str">
        <f>IF(Table1[[#This Row],[Is Data Valid]]=TRUE,((Table1[[#This Row],[Birthweight (grams)]]/Table1[[#This Row],[BW_GA]])-1)/(Backend!$B$4/100*Table1[[#This Row],[BW40_3705]]),"")</f>
        <v/>
      </c>
      <c r="H6000" s="7" t="str">
        <f>IF(Table1[[#This Row],[Is Data Valid]]=TRUE,((Table1[[#This Row],[Birthweight (grams)]]*0.9/Table1[[#This Row],[BW_GA]])-1)/(Backend!$B$4/100*Table1[[#This Row],[BW40_3705]]),"")</f>
        <v/>
      </c>
      <c r="I6000" s="7" t="str">
        <f>IF(Table1[[#This Row],[Is Data Valid]]=TRUE,((Table1[[#This Row],[Birthweight (grams)]]*1.1/Table1[[#This Row],[BW_GA]])-1)/(Backend!$B$4/100*Table1[[#This Row],[BW40_3705]]),"")</f>
        <v/>
      </c>
      <c r="J6000" s="7" t="str">
        <f>IF(Table1[[#This Row],[Is Data Valid]]=TRUE,_xlfn.NORM.S.DIST(Table1[[#This Row],[Birthweight Z-Score]],TRUE)*100,"")</f>
        <v/>
      </c>
      <c r="K6000" s="7" t="str">
        <f>IF(Table1[[#This Row],[Is Data Valid]]=TRUE,_xlfn.NORM.S.DIST(Table1[[#This Row],[Birthweight Z-Score (BW-10%)]],TRUE)*100,"")</f>
        <v/>
      </c>
      <c r="L6000" s="7" t="str">
        <f>IF(Table1[[#This Row],[Is Data Valid]]=TRUE,_xlfn.NORM.S.DIST(Table1[[#This Row],[Birthweight Z-Score (BW+10%)]],TRUE)*100,"")</f>
        <v/>
      </c>
    </row>
    <row r="6001" spans="1:12" x14ac:dyDescent="0.35">
      <c r="A6001" s="3"/>
      <c r="B6001" s="2"/>
      <c r="C6001" s="2"/>
      <c r="D6001" s="2" t="b">
        <f>IF(AND(NOT(ISBLANK(Table1[[#This Row],[Fetal Sex (Male, Female or Unknown)]])),ISNUMBER(Table1[[#This Row],[Birthweight (grams)]]),ISNUMBER(Table1[[#This Row],[Gestation (days)]])),TRUE,FALSE)</f>
        <v>0</v>
      </c>
      <c r="E6001" s="2" t="str">
        <f>IF(Table1[[#This Row],[Is Data Valid]]=TRUE,IF(Table1[[#This Row],[Fetal Sex (Male, Female or Unknown)]]="Male",Backend!$C$6,IF(Table1[[#This Row],[Fetal Sex (Male, Female or Unknown)]]="Female",Backend!$C$7,IF(Table1[[#This Row],[Fetal Sex (Male, Female or Unknown)]]="Unknown",Backend!$C$8,"Error"))),"")</f>
        <v/>
      </c>
      <c r="F6001" s="8" t="str">
        <f>IF(Table1[[#This Row],[Is Data Valid]]=TRUE,EXP(0.578+0.332*((Table1[[#This Row],[Gestation (days)]]+0.5)/7)-0.00354*((Table1[[#This Row],[Gestation (days)]]+0.5)/7)^2)*Table1[[#This Row],[BW40_3705]],"")</f>
        <v/>
      </c>
      <c r="G6001" s="2" t="str">
        <f>IF(Table1[[#This Row],[Is Data Valid]]=TRUE,((Table1[[#This Row],[Birthweight (grams)]]/Table1[[#This Row],[BW_GA]])-1)/(Backend!$B$4/100*Table1[[#This Row],[BW40_3705]]),"")</f>
        <v/>
      </c>
      <c r="H6001" s="7" t="str">
        <f>IF(Table1[[#This Row],[Is Data Valid]]=TRUE,((Table1[[#This Row],[Birthweight (grams)]]*0.9/Table1[[#This Row],[BW_GA]])-1)/(Backend!$B$4/100*Table1[[#This Row],[BW40_3705]]),"")</f>
        <v/>
      </c>
      <c r="I6001" s="7" t="str">
        <f>IF(Table1[[#This Row],[Is Data Valid]]=TRUE,((Table1[[#This Row],[Birthweight (grams)]]*1.1/Table1[[#This Row],[BW_GA]])-1)/(Backend!$B$4/100*Table1[[#This Row],[BW40_3705]]),"")</f>
        <v/>
      </c>
      <c r="J6001" s="7" t="str">
        <f>IF(Table1[[#This Row],[Is Data Valid]]=TRUE,_xlfn.NORM.S.DIST(Table1[[#This Row],[Birthweight Z-Score]],TRUE)*100,"")</f>
        <v/>
      </c>
      <c r="K6001" s="7" t="str">
        <f>IF(Table1[[#This Row],[Is Data Valid]]=TRUE,_xlfn.NORM.S.DIST(Table1[[#This Row],[Birthweight Z-Score (BW-10%)]],TRUE)*100,"")</f>
        <v/>
      </c>
      <c r="L6001" s="7" t="str">
        <f>IF(Table1[[#This Row],[Is Data Valid]]=TRUE,_xlfn.NORM.S.DIST(Table1[[#This Row],[Birthweight Z-Score (BW+10%)]],TRUE)*100,"")</f>
        <v/>
      </c>
    </row>
    <row r="6002" spans="1:12" x14ac:dyDescent="0.35">
      <c r="A6002" s="3"/>
      <c r="B6002" s="2"/>
      <c r="C6002" s="2"/>
      <c r="D6002" s="2" t="b">
        <f>IF(AND(NOT(ISBLANK(Table1[[#This Row],[Fetal Sex (Male, Female or Unknown)]])),ISNUMBER(Table1[[#This Row],[Birthweight (grams)]]),ISNUMBER(Table1[[#This Row],[Gestation (days)]])),TRUE,FALSE)</f>
        <v>0</v>
      </c>
      <c r="E6002" s="2" t="str">
        <f>IF(Table1[[#This Row],[Is Data Valid]]=TRUE,IF(Table1[[#This Row],[Fetal Sex (Male, Female or Unknown)]]="Male",Backend!$C$6,IF(Table1[[#This Row],[Fetal Sex (Male, Female or Unknown)]]="Female",Backend!$C$7,IF(Table1[[#This Row],[Fetal Sex (Male, Female or Unknown)]]="Unknown",Backend!$C$8,"Error"))),"")</f>
        <v/>
      </c>
      <c r="F6002" s="8" t="str">
        <f>IF(Table1[[#This Row],[Is Data Valid]]=TRUE,EXP(0.578+0.332*((Table1[[#This Row],[Gestation (days)]]+0.5)/7)-0.00354*((Table1[[#This Row],[Gestation (days)]]+0.5)/7)^2)*Table1[[#This Row],[BW40_3705]],"")</f>
        <v/>
      </c>
      <c r="G6002" s="2" t="str">
        <f>IF(Table1[[#This Row],[Is Data Valid]]=TRUE,((Table1[[#This Row],[Birthweight (grams)]]/Table1[[#This Row],[BW_GA]])-1)/(Backend!$B$4/100*Table1[[#This Row],[BW40_3705]]),"")</f>
        <v/>
      </c>
      <c r="H6002" s="7" t="str">
        <f>IF(Table1[[#This Row],[Is Data Valid]]=TRUE,((Table1[[#This Row],[Birthweight (grams)]]*0.9/Table1[[#This Row],[BW_GA]])-1)/(Backend!$B$4/100*Table1[[#This Row],[BW40_3705]]),"")</f>
        <v/>
      </c>
      <c r="I6002" s="7" t="str">
        <f>IF(Table1[[#This Row],[Is Data Valid]]=TRUE,((Table1[[#This Row],[Birthweight (grams)]]*1.1/Table1[[#This Row],[BW_GA]])-1)/(Backend!$B$4/100*Table1[[#This Row],[BW40_3705]]),"")</f>
        <v/>
      </c>
      <c r="J6002" s="7" t="str">
        <f>IF(Table1[[#This Row],[Is Data Valid]]=TRUE,_xlfn.NORM.S.DIST(Table1[[#This Row],[Birthweight Z-Score]],TRUE)*100,"")</f>
        <v/>
      </c>
      <c r="K6002" s="7" t="str">
        <f>IF(Table1[[#This Row],[Is Data Valid]]=TRUE,_xlfn.NORM.S.DIST(Table1[[#This Row],[Birthweight Z-Score (BW-10%)]],TRUE)*100,"")</f>
        <v/>
      </c>
      <c r="L6002" s="7" t="str">
        <f>IF(Table1[[#This Row],[Is Data Valid]]=TRUE,_xlfn.NORM.S.DIST(Table1[[#This Row],[Birthweight Z-Score (BW+10%)]],TRUE)*100,"")</f>
        <v/>
      </c>
    </row>
    <row r="6003" spans="1:12" x14ac:dyDescent="0.35">
      <c r="A6003" s="3"/>
      <c r="B6003" s="2"/>
      <c r="C6003" s="2"/>
      <c r="D6003" s="2" t="b">
        <f>IF(AND(NOT(ISBLANK(Table1[[#This Row],[Fetal Sex (Male, Female or Unknown)]])),ISNUMBER(Table1[[#This Row],[Birthweight (grams)]]),ISNUMBER(Table1[[#This Row],[Gestation (days)]])),TRUE,FALSE)</f>
        <v>0</v>
      </c>
      <c r="E6003" s="2" t="str">
        <f>IF(Table1[[#This Row],[Is Data Valid]]=TRUE,IF(Table1[[#This Row],[Fetal Sex (Male, Female or Unknown)]]="Male",Backend!$C$6,IF(Table1[[#This Row],[Fetal Sex (Male, Female or Unknown)]]="Female",Backend!$C$7,IF(Table1[[#This Row],[Fetal Sex (Male, Female or Unknown)]]="Unknown",Backend!$C$8,"Error"))),"")</f>
        <v/>
      </c>
      <c r="F6003" s="8" t="str">
        <f>IF(Table1[[#This Row],[Is Data Valid]]=TRUE,EXP(0.578+0.332*((Table1[[#This Row],[Gestation (days)]]+0.5)/7)-0.00354*((Table1[[#This Row],[Gestation (days)]]+0.5)/7)^2)*Table1[[#This Row],[BW40_3705]],"")</f>
        <v/>
      </c>
      <c r="G6003" s="2" t="str">
        <f>IF(Table1[[#This Row],[Is Data Valid]]=TRUE,((Table1[[#This Row],[Birthweight (grams)]]/Table1[[#This Row],[BW_GA]])-1)/(Backend!$B$4/100*Table1[[#This Row],[BW40_3705]]),"")</f>
        <v/>
      </c>
      <c r="H6003" s="7" t="str">
        <f>IF(Table1[[#This Row],[Is Data Valid]]=TRUE,((Table1[[#This Row],[Birthweight (grams)]]*0.9/Table1[[#This Row],[BW_GA]])-1)/(Backend!$B$4/100*Table1[[#This Row],[BW40_3705]]),"")</f>
        <v/>
      </c>
      <c r="I6003" s="7" t="str">
        <f>IF(Table1[[#This Row],[Is Data Valid]]=TRUE,((Table1[[#This Row],[Birthweight (grams)]]*1.1/Table1[[#This Row],[BW_GA]])-1)/(Backend!$B$4/100*Table1[[#This Row],[BW40_3705]]),"")</f>
        <v/>
      </c>
      <c r="J6003" s="7" t="str">
        <f>IF(Table1[[#This Row],[Is Data Valid]]=TRUE,_xlfn.NORM.S.DIST(Table1[[#This Row],[Birthweight Z-Score]],TRUE)*100,"")</f>
        <v/>
      </c>
      <c r="K6003" s="7" t="str">
        <f>IF(Table1[[#This Row],[Is Data Valid]]=TRUE,_xlfn.NORM.S.DIST(Table1[[#This Row],[Birthweight Z-Score (BW-10%)]],TRUE)*100,"")</f>
        <v/>
      </c>
      <c r="L6003" s="7" t="str">
        <f>IF(Table1[[#This Row],[Is Data Valid]]=TRUE,_xlfn.NORM.S.DIST(Table1[[#This Row],[Birthweight Z-Score (BW+10%)]],TRUE)*100,"")</f>
        <v/>
      </c>
    </row>
    <row r="6004" spans="1:12" x14ac:dyDescent="0.35">
      <c r="A6004" s="3"/>
      <c r="B6004" s="2"/>
      <c r="C6004" s="2"/>
      <c r="D6004" s="2" t="b">
        <f>IF(AND(NOT(ISBLANK(Table1[[#This Row],[Fetal Sex (Male, Female or Unknown)]])),ISNUMBER(Table1[[#This Row],[Birthweight (grams)]]),ISNUMBER(Table1[[#This Row],[Gestation (days)]])),TRUE,FALSE)</f>
        <v>0</v>
      </c>
      <c r="E6004" s="2" t="str">
        <f>IF(Table1[[#This Row],[Is Data Valid]]=TRUE,IF(Table1[[#This Row],[Fetal Sex (Male, Female or Unknown)]]="Male",Backend!$C$6,IF(Table1[[#This Row],[Fetal Sex (Male, Female or Unknown)]]="Female",Backend!$C$7,IF(Table1[[#This Row],[Fetal Sex (Male, Female or Unknown)]]="Unknown",Backend!$C$8,"Error"))),"")</f>
        <v/>
      </c>
      <c r="F6004" s="8" t="str">
        <f>IF(Table1[[#This Row],[Is Data Valid]]=TRUE,EXP(0.578+0.332*((Table1[[#This Row],[Gestation (days)]]+0.5)/7)-0.00354*((Table1[[#This Row],[Gestation (days)]]+0.5)/7)^2)*Table1[[#This Row],[BW40_3705]],"")</f>
        <v/>
      </c>
      <c r="G6004" s="2" t="str">
        <f>IF(Table1[[#This Row],[Is Data Valid]]=TRUE,((Table1[[#This Row],[Birthweight (grams)]]/Table1[[#This Row],[BW_GA]])-1)/(Backend!$B$4/100*Table1[[#This Row],[BW40_3705]]),"")</f>
        <v/>
      </c>
      <c r="H6004" s="7" t="str">
        <f>IF(Table1[[#This Row],[Is Data Valid]]=TRUE,((Table1[[#This Row],[Birthweight (grams)]]*0.9/Table1[[#This Row],[BW_GA]])-1)/(Backend!$B$4/100*Table1[[#This Row],[BW40_3705]]),"")</f>
        <v/>
      </c>
      <c r="I6004" s="7" t="str">
        <f>IF(Table1[[#This Row],[Is Data Valid]]=TRUE,((Table1[[#This Row],[Birthweight (grams)]]*1.1/Table1[[#This Row],[BW_GA]])-1)/(Backend!$B$4/100*Table1[[#This Row],[BW40_3705]]),"")</f>
        <v/>
      </c>
      <c r="J6004" s="7" t="str">
        <f>IF(Table1[[#This Row],[Is Data Valid]]=TRUE,_xlfn.NORM.S.DIST(Table1[[#This Row],[Birthweight Z-Score]],TRUE)*100,"")</f>
        <v/>
      </c>
      <c r="K6004" s="7" t="str">
        <f>IF(Table1[[#This Row],[Is Data Valid]]=TRUE,_xlfn.NORM.S.DIST(Table1[[#This Row],[Birthweight Z-Score (BW-10%)]],TRUE)*100,"")</f>
        <v/>
      </c>
      <c r="L6004" s="7" t="str">
        <f>IF(Table1[[#This Row],[Is Data Valid]]=TRUE,_xlfn.NORM.S.DIST(Table1[[#This Row],[Birthweight Z-Score (BW+10%)]],TRUE)*100,"")</f>
        <v/>
      </c>
    </row>
    <row r="6005" spans="1:12" x14ac:dyDescent="0.35">
      <c r="A6005" s="3"/>
      <c r="B6005" s="2"/>
      <c r="C6005" s="2"/>
      <c r="D6005" s="2" t="b">
        <f>IF(AND(NOT(ISBLANK(Table1[[#This Row],[Fetal Sex (Male, Female or Unknown)]])),ISNUMBER(Table1[[#This Row],[Birthweight (grams)]]),ISNUMBER(Table1[[#This Row],[Gestation (days)]])),TRUE,FALSE)</f>
        <v>0</v>
      </c>
      <c r="E6005" s="2" t="str">
        <f>IF(Table1[[#This Row],[Is Data Valid]]=TRUE,IF(Table1[[#This Row],[Fetal Sex (Male, Female or Unknown)]]="Male",Backend!$C$6,IF(Table1[[#This Row],[Fetal Sex (Male, Female or Unknown)]]="Female",Backend!$C$7,IF(Table1[[#This Row],[Fetal Sex (Male, Female or Unknown)]]="Unknown",Backend!$C$8,"Error"))),"")</f>
        <v/>
      </c>
      <c r="F6005" s="8" t="str">
        <f>IF(Table1[[#This Row],[Is Data Valid]]=TRUE,EXP(0.578+0.332*((Table1[[#This Row],[Gestation (days)]]+0.5)/7)-0.00354*((Table1[[#This Row],[Gestation (days)]]+0.5)/7)^2)*Table1[[#This Row],[BW40_3705]],"")</f>
        <v/>
      </c>
      <c r="G6005" s="2" t="str">
        <f>IF(Table1[[#This Row],[Is Data Valid]]=TRUE,((Table1[[#This Row],[Birthweight (grams)]]/Table1[[#This Row],[BW_GA]])-1)/(Backend!$B$4/100*Table1[[#This Row],[BW40_3705]]),"")</f>
        <v/>
      </c>
      <c r="H6005" s="7" t="str">
        <f>IF(Table1[[#This Row],[Is Data Valid]]=TRUE,((Table1[[#This Row],[Birthweight (grams)]]*0.9/Table1[[#This Row],[BW_GA]])-1)/(Backend!$B$4/100*Table1[[#This Row],[BW40_3705]]),"")</f>
        <v/>
      </c>
      <c r="I6005" s="7" t="str">
        <f>IF(Table1[[#This Row],[Is Data Valid]]=TRUE,((Table1[[#This Row],[Birthweight (grams)]]*1.1/Table1[[#This Row],[BW_GA]])-1)/(Backend!$B$4/100*Table1[[#This Row],[BW40_3705]]),"")</f>
        <v/>
      </c>
      <c r="J6005" s="7" t="str">
        <f>IF(Table1[[#This Row],[Is Data Valid]]=TRUE,_xlfn.NORM.S.DIST(Table1[[#This Row],[Birthweight Z-Score]],TRUE)*100,"")</f>
        <v/>
      </c>
      <c r="K6005" s="7" t="str">
        <f>IF(Table1[[#This Row],[Is Data Valid]]=TRUE,_xlfn.NORM.S.DIST(Table1[[#This Row],[Birthweight Z-Score (BW-10%)]],TRUE)*100,"")</f>
        <v/>
      </c>
      <c r="L6005" s="7" t="str">
        <f>IF(Table1[[#This Row],[Is Data Valid]]=TRUE,_xlfn.NORM.S.DIST(Table1[[#This Row],[Birthweight Z-Score (BW+10%)]],TRUE)*100,"")</f>
        <v/>
      </c>
    </row>
    <row r="6006" spans="1:12" x14ac:dyDescent="0.35">
      <c r="A6006" s="3"/>
      <c r="B6006" s="2"/>
      <c r="C6006" s="2"/>
      <c r="D6006" s="2" t="b">
        <f>IF(AND(NOT(ISBLANK(Table1[[#This Row],[Fetal Sex (Male, Female or Unknown)]])),ISNUMBER(Table1[[#This Row],[Birthweight (grams)]]),ISNUMBER(Table1[[#This Row],[Gestation (days)]])),TRUE,FALSE)</f>
        <v>0</v>
      </c>
      <c r="E6006" s="2" t="str">
        <f>IF(Table1[[#This Row],[Is Data Valid]]=TRUE,IF(Table1[[#This Row],[Fetal Sex (Male, Female or Unknown)]]="Male",Backend!$C$6,IF(Table1[[#This Row],[Fetal Sex (Male, Female or Unknown)]]="Female",Backend!$C$7,IF(Table1[[#This Row],[Fetal Sex (Male, Female or Unknown)]]="Unknown",Backend!$C$8,"Error"))),"")</f>
        <v/>
      </c>
      <c r="F6006" s="8" t="str">
        <f>IF(Table1[[#This Row],[Is Data Valid]]=TRUE,EXP(0.578+0.332*((Table1[[#This Row],[Gestation (days)]]+0.5)/7)-0.00354*((Table1[[#This Row],[Gestation (days)]]+0.5)/7)^2)*Table1[[#This Row],[BW40_3705]],"")</f>
        <v/>
      </c>
      <c r="G6006" s="2" t="str">
        <f>IF(Table1[[#This Row],[Is Data Valid]]=TRUE,((Table1[[#This Row],[Birthweight (grams)]]/Table1[[#This Row],[BW_GA]])-1)/(Backend!$B$4/100*Table1[[#This Row],[BW40_3705]]),"")</f>
        <v/>
      </c>
      <c r="H6006" s="7" t="str">
        <f>IF(Table1[[#This Row],[Is Data Valid]]=TRUE,((Table1[[#This Row],[Birthweight (grams)]]*0.9/Table1[[#This Row],[BW_GA]])-1)/(Backend!$B$4/100*Table1[[#This Row],[BW40_3705]]),"")</f>
        <v/>
      </c>
      <c r="I6006" s="7" t="str">
        <f>IF(Table1[[#This Row],[Is Data Valid]]=TRUE,((Table1[[#This Row],[Birthweight (grams)]]*1.1/Table1[[#This Row],[BW_GA]])-1)/(Backend!$B$4/100*Table1[[#This Row],[BW40_3705]]),"")</f>
        <v/>
      </c>
      <c r="J6006" s="7" t="str">
        <f>IF(Table1[[#This Row],[Is Data Valid]]=TRUE,_xlfn.NORM.S.DIST(Table1[[#This Row],[Birthweight Z-Score]],TRUE)*100,"")</f>
        <v/>
      </c>
      <c r="K6006" s="7" t="str">
        <f>IF(Table1[[#This Row],[Is Data Valid]]=TRUE,_xlfn.NORM.S.DIST(Table1[[#This Row],[Birthweight Z-Score (BW-10%)]],TRUE)*100,"")</f>
        <v/>
      </c>
      <c r="L6006" s="7" t="str">
        <f>IF(Table1[[#This Row],[Is Data Valid]]=TRUE,_xlfn.NORM.S.DIST(Table1[[#This Row],[Birthweight Z-Score (BW+10%)]],TRUE)*100,"")</f>
        <v/>
      </c>
    </row>
    <row r="6007" spans="1:12" x14ac:dyDescent="0.35">
      <c r="A6007" s="3"/>
      <c r="B6007" s="2"/>
      <c r="C6007" s="2"/>
      <c r="D6007" s="2" t="b">
        <f>IF(AND(NOT(ISBLANK(Table1[[#This Row],[Fetal Sex (Male, Female or Unknown)]])),ISNUMBER(Table1[[#This Row],[Birthweight (grams)]]),ISNUMBER(Table1[[#This Row],[Gestation (days)]])),TRUE,FALSE)</f>
        <v>0</v>
      </c>
      <c r="E6007" s="2" t="str">
        <f>IF(Table1[[#This Row],[Is Data Valid]]=TRUE,IF(Table1[[#This Row],[Fetal Sex (Male, Female or Unknown)]]="Male",Backend!$C$6,IF(Table1[[#This Row],[Fetal Sex (Male, Female or Unknown)]]="Female",Backend!$C$7,IF(Table1[[#This Row],[Fetal Sex (Male, Female or Unknown)]]="Unknown",Backend!$C$8,"Error"))),"")</f>
        <v/>
      </c>
      <c r="F6007" s="8" t="str">
        <f>IF(Table1[[#This Row],[Is Data Valid]]=TRUE,EXP(0.578+0.332*((Table1[[#This Row],[Gestation (days)]]+0.5)/7)-0.00354*((Table1[[#This Row],[Gestation (days)]]+0.5)/7)^2)*Table1[[#This Row],[BW40_3705]],"")</f>
        <v/>
      </c>
      <c r="G6007" s="2" t="str">
        <f>IF(Table1[[#This Row],[Is Data Valid]]=TRUE,((Table1[[#This Row],[Birthweight (grams)]]/Table1[[#This Row],[BW_GA]])-1)/(Backend!$B$4/100*Table1[[#This Row],[BW40_3705]]),"")</f>
        <v/>
      </c>
      <c r="H6007" s="7" t="str">
        <f>IF(Table1[[#This Row],[Is Data Valid]]=TRUE,((Table1[[#This Row],[Birthweight (grams)]]*0.9/Table1[[#This Row],[BW_GA]])-1)/(Backend!$B$4/100*Table1[[#This Row],[BW40_3705]]),"")</f>
        <v/>
      </c>
      <c r="I6007" s="7" t="str">
        <f>IF(Table1[[#This Row],[Is Data Valid]]=TRUE,((Table1[[#This Row],[Birthweight (grams)]]*1.1/Table1[[#This Row],[BW_GA]])-1)/(Backend!$B$4/100*Table1[[#This Row],[BW40_3705]]),"")</f>
        <v/>
      </c>
      <c r="J6007" s="7" t="str">
        <f>IF(Table1[[#This Row],[Is Data Valid]]=TRUE,_xlfn.NORM.S.DIST(Table1[[#This Row],[Birthweight Z-Score]],TRUE)*100,"")</f>
        <v/>
      </c>
      <c r="K6007" s="7" t="str">
        <f>IF(Table1[[#This Row],[Is Data Valid]]=TRUE,_xlfn.NORM.S.DIST(Table1[[#This Row],[Birthweight Z-Score (BW-10%)]],TRUE)*100,"")</f>
        <v/>
      </c>
      <c r="L6007" s="7" t="str">
        <f>IF(Table1[[#This Row],[Is Data Valid]]=TRUE,_xlfn.NORM.S.DIST(Table1[[#This Row],[Birthweight Z-Score (BW+10%)]],TRUE)*100,"")</f>
        <v/>
      </c>
    </row>
    <row r="6008" spans="1:12" x14ac:dyDescent="0.35">
      <c r="A6008" s="3"/>
      <c r="B6008" s="2"/>
      <c r="C6008" s="2"/>
      <c r="D6008" s="2" t="b">
        <f>IF(AND(NOT(ISBLANK(Table1[[#This Row],[Fetal Sex (Male, Female or Unknown)]])),ISNUMBER(Table1[[#This Row],[Birthweight (grams)]]),ISNUMBER(Table1[[#This Row],[Gestation (days)]])),TRUE,FALSE)</f>
        <v>0</v>
      </c>
      <c r="E6008" s="2" t="str">
        <f>IF(Table1[[#This Row],[Is Data Valid]]=TRUE,IF(Table1[[#This Row],[Fetal Sex (Male, Female or Unknown)]]="Male",Backend!$C$6,IF(Table1[[#This Row],[Fetal Sex (Male, Female or Unknown)]]="Female",Backend!$C$7,IF(Table1[[#This Row],[Fetal Sex (Male, Female or Unknown)]]="Unknown",Backend!$C$8,"Error"))),"")</f>
        <v/>
      </c>
      <c r="F6008" s="8" t="str">
        <f>IF(Table1[[#This Row],[Is Data Valid]]=TRUE,EXP(0.578+0.332*((Table1[[#This Row],[Gestation (days)]]+0.5)/7)-0.00354*((Table1[[#This Row],[Gestation (days)]]+0.5)/7)^2)*Table1[[#This Row],[BW40_3705]],"")</f>
        <v/>
      </c>
      <c r="G6008" s="2" t="str">
        <f>IF(Table1[[#This Row],[Is Data Valid]]=TRUE,((Table1[[#This Row],[Birthweight (grams)]]/Table1[[#This Row],[BW_GA]])-1)/(Backend!$B$4/100*Table1[[#This Row],[BW40_3705]]),"")</f>
        <v/>
      </c>
      <c r="H6008" s="7" t="str">
        <f>IF(Table1[[#This Row],[Is Data Valid]]=TRUE,((Table1[[#This Row],[Birthweight (grams)]]*0.9/Table1[[#This Row],[BW_GA]])-1)/(Backend!$B$4/100*Table1[[#This Row],[BW40_3705]]),"")</f>
        <v/>
      </c>
      <c r="I6008" s="7" t="str">
        <f>IF(Table1[[#This Row],[Is Data Valid]]=TRUE,((Table1[[#This Row],[Birthweight (grams)]]*1.1/Table1[[#This Row],[BW_GA]])-1)/(Backend!$B$4/100*Table1[[#This Row],[BW40_3705]]),"")</f>
        <v/>
      </c>
      <c r="J6008" s="7" t="str">
        <f>IF(Table1[[#This Row],[Is Data Valid]]=TRUE,_xlfn.NORM.S.DIST(Table1[[#This Row],[Birthweight Z-Score]],TRUE)*100,"")</f>
        <v/>
      </c>
      <c r="K6008" s="7" t="str">
        <f>IF(Table1[[#This Row],[Is Data Valid]]=TRUE,_xlfn.NORM.S.DIST(Table1[[#This Row],[Birthweight Z-Score (BW-10%)]],TRUE)*100,"")</f>
        <v/>
      </c>
      <c r="L6008" s="7" t="str">
        <f>IF(Table1[[#This Row],[Is Data Valid]]=TRUE,_xlfn.NORM.S.DIST(Table1[[#This Row],[Birthweight Z-Score (BW+10%)]],TRUE)*100,"")</f>
        <v/>
      </c>
    </row>
    <row r="6009" spans="1:12" x14ac:dyDescent="0.35">
      <c r="A6009" s="3"/>
      <c r="B6009" s="2"/>
      <c r="C6009" s="2"/>
      <c r="D6009" s="2" t="b">
        <f>IF(AND(NOT(ISBLANK(Table1[[#This Row],[Fetal Sex (Male, Female or Unknown)]])),ISNUMBER(Table1[[#This Row],[Birthweight (grams)]]),ISNUMBER(Table1[[#This Row],[Gestation (days)]])),TRUE,FALSE)</f>
        <v>0</v>
      </c>
      <c r="E6009" s="2" t="str">
        <f>IF(Table1[[#This Row],[Is Data Valid]]=TRUE,IF(Table1[[#This Row],[Fetal Sex (Male, Female or Unknown)]]="Male",Backend!$C$6,IF(Table1[[#This Row],[Fetal Sex (Male, Female or Unknown)]]="Female",Backend!$C$7,IF(Table1[[#This Row],[Fetal Sex (Male, Female or Unknown)]]="Unknown",Backend!$C$8,"Error"))),"")</f>
        <v/>
      </c>
      <c r="F6009" s="8" t="str">
        <f>IF(Table1[[#This Row],[Is Data Valid]]=TRUE,EXP(0.578+0.332*((Table1[[#This Row],[Gestation (days)]]+0.5)/7)-0.00354*((Table1[[#This Row],[Gestation (days)]]+0.5)/7)^2)*Table1[[#This Row],[BW40_3705]],"")</f>
        <v/>
      </c>
      <c r="G6009" s="2" t="str">
        <f>IF(Table1[[#This Row],[Is Data Valid]]=TRUE,((Table1[[#This Row],[Birthweight (grams)]]/Table1[[#This Row],[BW_GA]])-1)/(Backend!$B$4/100*Table1[[#This Row],[BW40_3705]]),"")</f>
        <v/>
      </c>
      <c r="H6009" s="7" t="str">
        <f>IF(Table1[[#This Row],[Is Data Valid]]=TRUE,((Table1[[#This Row],[Birthweight (grams)]]*0.9/Table1[[#This Row],[BW_GA]])-1)/(Backend!$B$4/100*Table1[[#This Row],[BW40_3705]]),"")</f>
        <v/>
      </c>
      <c r="I6009" s="7" t="str">
        <f>IF(Table1[[#This Row],[Is Data Valid]]=TRUE,((Table1[[#This Row],[Birthweight (grams)]]*1.1/Table1[[#This Row],[BW_GA]])-1)/(Backend!$B$4/100*Table1[[#This Row],[BW40_3705]]),"")</f>
        <v/>
      </c>
      <c r="J6009" s="7" t="str">
        <f>IF(Table1[[#This Row],[Is Data Valid]]=TRUE,_xlfn.NORM.S.DIST(Table1[[#This Row],[Birthweight Z-Score]],TRUE)*100,"")</f>
        <v/>
      </c>
      <c r="K6009" s="7" t="str">
        <f>IF(Table1[[#This Row],[Is Data Valid]]=TRUE,_xlfn.NORM.S.DIST(Table1[[#This Row],[Birthweight Z-Score (BW-10%)]],TRUE)*100,"")</f>
        <v/>
      </c>
      <c r="L6009" s="7" t="str">
        <f>IF(Table1[[#This Row],[Is Data Valid]]=TRUE,_xlfn.NORM.S.DIST(Table1[[#This Row],[Birthweight Z-Score (BW+10%)]],TRUE)*100,"")</f>
        <v/>
      </c>
    </row>
    <row r="6010" spans="1:12" x14ac:dyDescent="0.35">
      <c r="A6010" s="3"/>
      <c r="B6010" s="2"/>
      <c r="C6010" s="2"/>
      <c r="D6010" s="2" t="b">
        <f>IF(AND(NOT(ISBLANK(Table1[[#This Row],[Fetal Sex (Male, Female or Unknown)]])),ISNUMBER(Table1[[#This Row],[Birthweight (grams)]]),ISNUMBER(Table1[[#This Row],[Gestation (days)]])),TRUE,FALSE)</f>
        <v>0</v>
      </c>
      <c r="E6010" s="2" t="str">
        <f>IF(Table1[[#This Row],[Is Data Valid]]=TRUE,IF(Table1[[#This Row],[Fetal Sex (Male, Female or Unknown)]]="Male",Backend!$C$6,IF(Table1[[#This Row],[Fetal Sex (Male, Female or Unknown)]]="Female",Backend!$C$7,IF(Table1[[#This Row],[Fetal Sex (Male, Female or Unknown)]]="Unknown",Backend!$C$8,"Error"))),"")</f>
        <v/>
      </c>
      <c r="F6010" s="8" t="str">
        <f>IF(Table1[[#This Row],[Is Data Valid]]=TRUE,EXP(0.578+0.332*((Table1[[#This Row],[Gestation (days)]]+0.5)/7)-0.00354*((Table1[[#This Row],[Gestation (days)]]+0.5)/7)^2)*Table1[[#This Row],[BW40_3705]],"")</f>
        <v/>
      </c>
      <c r="G6010" s="2" t="str">
        <f>IF(Table1[[#This Row],[Is Data Valid]]=TRUE,((Table1[[#This Row],[Birthweight (grams)]]/Table1[[#This Row],[BW_GA]])-1)/(Backend!$B$4/100*Table1[[#This Row],[BW40_3705]]),"")</f>
        <v/>
      </c>
      <c r="H6010" s="7" t="str">
        <f>IF(Table1[[#This Row],[Is Data Valid]]=TRUE,((Table1[[#This Row],[Birthweight (grams)]]*0.9/Table1[[#This Row],[BW_GA]])-1)/(Backend!$B$4/100*Table1[[#This Row],[BW40_3705]]),"")</f>
        <v/>
      </c>
      <c r="I6010" s="7" t="str">
        <f>IF(Table1[[#This Row],[Is Data Valid]]=TRUE,((Table1[[#This Row],[Birthweight (grams)]]*1.1/Table1[[#This Row],[BW_GA]])-1)/(Backend!$B$4/100*Table1[[#This Row],[BW40_3705]]),"")</f>
        <v/>
      </c>
      <c r="J6010" s="7" t="str">
        <f>IF(Table1[[#This Row],[Is Data Valid]]=TRUE,_xlfn.NORM.S.DIST(Table1[[#This Row],[Birthweight Z-Score]],TRUE)*100,"")</f>
        <v/>
      </c>
      <c r="K6010" s="7" t="str">
        <f>IF(Table1[[#This Row],[Is Data Valid]]=TRUE,_xlfn.NORM.S.DIST(Table1[[#This Row],[Birthweight Z-Score (BW-10%)]],TRUE)*100,"")</f>
        <v/>
      </c>
      <c r="L6010" s="7" t="str">
        <f>IF(Table1[[#This Row],[Is Data Valid]]=TRUE,_xlfn.NORM.S.DIST(Table1[[#This Row],[Birthweight Z-Score (BW+10%)]],TRUE)*100,"")</f>
        <v/>
      </c>
    </row>
    <row r="6011" spans="1:12" x14ac:dyDescent="0.35">
      <c r="A6011" s="3"/>
      <c r="B6011" s="2"/>
      <c r="C6011" s="2"/>
      <c r="D6011" s="2" t="b">
        <f>IF(AND(NOT(ISBLANK(Table1[[#This Row],[Fetal Sex (Male, Female or Unknown)]])),ISNUMBER(Table1[[#This Row],[Birthweight (grams)]]),ISNUMBER(Table1[[#This Row],[Gestation (days)]])),TRUE,FALSE)</f>
        <v>0</v>
      </c>
      <c r="E6011" s="2" t="str">
        <f>IF(Table1[[#This Row],[Is Data Valid]]=TRUE,IF(Table1[[#This Row],[Fetal Sex (Male, Female or Unknown)]]="Male",Backend!$C$6,IF(Table1[[#This Row],[Fetal Sex (Male, Female or Unknown)]]="Female",Backend!$C$7,IF(Table1[[#This Row],[Fetal Sex (Male, Female or Unknown)]]="Unknown",Backend!$C$8,"Error"))),"")</f>
        <v/>
      </c>
      <c r="F6011" s="8" t="str">
        <f>IF(Table1[[#This Row],[Is Data Valid]]=TRUE,EXP(0.578+0.332*((Table1[[#This Row],[Gestation (days)]]+0.5)/7)-0.00354*((Table1[[#This Row],[Gestation (days)]]+0.5)/7)^2)*Table1[[#This Row],[BW40_3705]],"")</f>
        <v/>
      </c>
      <c r="G6011" s="2" t="str">
        <f>IF(Table1[[#This Row],[Is Data Valid]]=TRUE,((Table1[[#This Row],[Birthweight (grams)]]/Table1[[#This Row],[BW_GA]])-1)/(Backend!$B$4/100*Table1[[#This Row],[BW40_3705]]),"")</f>
        <v/>
      </c>
      <c r="H6011" s="7" t="str">
        <f>IF(Table1[[#This Row],[Is Data Valid]]=TRUE,((Table1[[#This Row],[Birthweight (grams)]]*0.9/Table1[[#This Row],[BW_GA]])-1)/(Backend!$B$4/100*Table1[[#This Row],[BW40_3705]]),"")</f>
        <v/>
      </c>
      <c r="I6011" s="7" t="str">
        <f>IF(Table1[[#This Row],[Is Data Valid]]=TRUE,((Table1[[#This Row],[Birthweight (grams)]]*1.1/Table1[[#This Row],[BW_GA]])-1)/(Backend!$B$4/100*Table1[[#This Row],[BW40_3705]]),"")</f>
        <v/>
      </c>
      <c r="J6011" s="7" t="str">
        <f>IF(Table1[[#This Row],[Is Data Valid]]=TRUE,_xlfn.NORM.S.DIST(Table1[[#This Row],[Birthweight Z-Score]],TRUE)*100,"")</f>
        <v/>
      </c>
      <c r="K6011" s="7" t="str">
        <f>IF(Table1[[#This Row],[Is Data Valid]]=TRUE,_xlfn.NORM.S.DIST(Table1[[#This Row],[Birthweight Z-Score (BW-10%)]],TRUE)*100,"")</f>
        <v/>
      </c>
      <c r="L6011" s="7" t="str">
        <f>IF(Table1[[#This Row],[Is Data Valid]]=TRUE,_xlfn.NORM.S.DIST(Table1[[#This Row],[Birthweight Z-Score (BW+10%)]],TRUE)*100,"")</f>
        <v/>
      </c>
    </row>
    <row r="6012" spans="1:12" x14ac:dyDescent="0.35">
      <c r="A6012" s="3"/>
      <c r="B6012" s="2"/>
      <c r="C6012" s="2"/>
      <c r="D6012" s="2" t="b">
        <f>IF(AND(NOT(ISBLANK(Table1[[#This Row],[Fetal Sex (Male, Female or Unknown)]])),ISNUMBER(Table1[[#This Row],[Birthweight (grams)]]),ISNUMBER(Table1[[#This Row],[Gestation (days)]])),TRUE,FALSE)</f>
        <v>0</v>
      </c>
      <c r="E6012" s="2" t="str">
        <f>IF(Table1[[#This Row],[Is Data Valid]]=TRUE,IF(Table1[[#This Row],[Fetal Sex (Male, Female or Unknown)]]="Male",Backend!$C$6,IF(Table1[[#This Row],[Fetal Sex (Male, Female or Unknown)]]="Female",Backend!$C$7,IF(Table1[[#This Row],[Fetal Sex (Male, Female or Unknown)]]="Unknown",Backend!$C$8,"Error"))),"")</f>
        <v/>
      </c>
      <c r="F6012" s="8" t="str">
        <f>IF(Table1[[#This Row],[Is Data Valid]]=TRUE,EXP(0.578+0.332*((Table1[[#This Row],[Gestation (days)]]+0.5)/7)-0.00354*((Table1[[#This Row],[Gestation (days)]]+0.5)/7)^2)*Table1[[#This Row],[BW40_3705]],"")</f>
        <v/>
      </c>
      <c r="G6012" s="2" t="str">
        <f>IF(Table1[[#This Row],[Is Data Valid]]=TRUE,((Table1[[#This Row],[Birthweight (grams)]]/Table1[[#This Row],[BW_GA]])-1)/(Backend!$B$4/100*Table1[[#This Row],[BW40_3705]]),"")</f>
        <v/>
      </c>
      <c r="H6012" s="7" t="str">
        <f>IF(Table1[[#This Row],[Is Data Valid]]=TRUE,((Table1[[#This Row],[Birthweight (grams)]]*0.9/Table1[[#This Row],[BW_GA]])-1)/(Backend!$B$4/100*Table1[[#This Row],[BW40_3705]]),"")</f>
        <v/>
      </c>
      <c r="I6012" s="7" t="str">
        <f>IF(Table1[[#This Row],[Is Data Valid]]=TRUE,((Table1[[#This Row],[Birthweight (grams)]]*1.1/Table1[[#This Row],[BW_GA]])-1)/(Backend!$B$4/100*Table1[[#This Row],[BW40_3705]]),"")</f>
        <v/>
      </c>
      <c r="J6012" s="7" t="str">
        <f>IF(Table1[[#This Row],[Is Data Valid]]=TRUE,_xlfn.NORM.S.DIST(Table1[[#This Row],[Birthweight Z-Score]],TRUE)*100,"")</f>
        <v/>
      </c>
      <c r="K6012" s="7" t="str">
        <f>IF(Table1[[#This Row],[Is Data Valid]]=TRUE,_xlfn.NORM.S.DIST(Table1[[#This Row],[Birthweight Z-Score (BW-10%)]],TRUE)*100,"")</f>
        <v/>
      </c>
      <c r="L6012" s="7" t="str">
        <f>IF(Table1[[#This Row],[Is Data Valid]]=TRUE,_xlfn.NORM.S.DIST(Table1[[#This Row],[Birthweight Z-Score (BW+10%)]],TRUE)*100,"")</f>
        <v/>
      </c>
    </row>
    <row r="6013" spans="1:12" x14ac:dyDescent="0.35">
      <c r="A6013" s="3"/>
      <c r="B6013" s="2"/>
      <c r="C6013" s="2"/>
      <c r="D6013" s="2" t="b">
        <f>IF(AND(NOT(ISBLANK(Table1[[#This Row],[Fetal Sex (Male, Female or Unknown)]])),ISNUMBER(Table1[[#This Row],[Birthweight (grams)]]),ISNUMBER(Table1[[#This Row],[Gestation (days)]])),TRUE,FALSE)</f>
        <v>0</v>
      </c>
      <c r="E6013" s="2" t="str">
        <f>IF(Table1[[#This Row],[Is Data Valid]]=TRUE,IF(Table1[[#This Row],[Fetal Sex (Male, Female or Unknown)]]="Male",Backend!$C$6,IF(Table1[[#This Row],[Fetal Sex (Male, Female or Unknown)]]="Female",Backend!$C$7,IF(Table1[[#This Row],[Fetal Sex (Male, Female or Unknown)]]="Unknown",Backend!$C$8,"Error"))),"")</f>
        <v/>
      </c>
      <c r="F6013" s="8" t="str">
        <f>IF(Table1[[#This Row],[Is Data Valid]]=TRUE,EXP(0.578+0.332*((Table1[[#This Row],[Gestation (days)]]+0.5)/7)-0.00354*((Table1[[#This Row],[Gestation (days)]]+0.5)/7)^2)*Table1[[#This Row],[BW40_3705]],"")</f>
        <v/>
      </c>
      <c r="G6013" s="2" t="str">
        <f>IF(Table1[[#This Row],[Is Data Valid]]=TRUE,((Table1[[#This Row],[Birthweight (grams)]]/Table1[[#This Row],[BW_GA]])-1)/(Backend!$B$4/100*Table1[[#This Row],[BW40_3705]]),"")</f>
        <v/>
      </c>
      <c r="H6013" s="7" t="str">
        <f>IF(Table1[[#This Row],[Is Data Valid]]=TRUE,((Table1[[#This Row],[Birthweight (grams)]]*0.9/Table1[[#This Row],[BW_GA]])-1)/(Backend!$B$4/100*Table1[[#This Row],[BW40_3705]]),"")</f>
        <v/>
      </c>
      <c r="I6013" s="7" t="str">
        <f>IF(Table1[[#This Row],[Is Data Valid]]=TRUE,((Table1[[#This Row],[Birthweight (grams)]]*1.1/Table1[[#This Row],[BW_GA]])-1)/(Backend!$B$4/100*Table1[[#This Row],[BW40_3705]]),"")</f>
        <v/>
      </c>
      <c r="J6013" s="7" t="str">
        <f>IF(Table1[[#This Row],[Is Data Valid]]=TRUE,_xlfn.NORM.S.DIST(Table1[[#This Row],[Birthweight Z-Score]],TRUE)*100,"")</f>
        <v/>
      </c>
      <c r="K6013" s="7" t="str">
        <f>IF(Table1[[#This Row],[Is Data Valid]]=TRUE,_xlfn.NORM.S.DIST(Table1[[#This Row],[Birthweight Z-Score (BW-10%)]],TRUE)*100,"")</f>
        <v/>
      </c>
      <c r="L6013" s="7" t="str">
        <f>IF(Table1[[#This Row],[Is Data Valid]]=TRUE,_xlfn.NORM.S.DIST(Table1[[#This Row],[Birthweight Z-Score (BW+10%)]],TRUE)*100,"")</f>
        <v/>
      </c>
    </row>
    <row r="6014" spans="1:12" x14ac:dyDescent="0.35">
      <c r="A6014" s="3"/>
      <c r="B6014" s="2"/>
      <c r="C6014" s="2"/>
      <c r="D6014" s="2" t="b">
        <f>IF(AND(NOT(ISBLANK(Table1[[#This Row],[Fetal Sex (Male, Female or Unknown)]])),ISNUMBER(Table1[[#This Row],[Birthweight (grams)]]),ISNUMBER(Table1[[#This Row],[Gestation (days)]])),TRUE,FALSE)</f>
        <v>0</v>
      </c>
      <c r="E6014" s="2" t="str">
        <f>IF(Table1[[#This Row],[Is Data Valid]]=TRUE,IF(Table1[[#This Row],[Fetal Sex (Male, Female or Unknown)]]="Male",Backend!$C$6,IF(Table1[[#This Row],[Fetal Sex (Male, Female or Unknown)]]="Female",Backend!$C$7,IF(Table1[[#This Row],[Fetal Sex (Male, Female or Unknown)]]="Unknown",Backend!$C$8,"Error"))),"")</f>
        <v/>
      </c>
      <c r="F6014" s="8" t="str">
        <f>IF(Table1[[#This Row],[Is Data Valid]]=TRUE,EXP(0.578+0.332*((Table1[[#This Row],[Gestation (days)]]+0.5)/7)-0.00354*((Table1[[#This Row],[Gestation (days)]]+0.5)/7)^2)*Table1[[#This Row],[BW40_3705]],"")</f>
        <v/>
      </c>
      <c r="G6014" s="2" t="str">
        <f>IF(Table1[[#This Row],[Is Data Valid]]=TRUE,((Table1[[#This Row],[Birthweight (grams)]]/Table1[[#This Row],[BW_GA]])-1)/(Backend!$B$4/100*Table1[[#This Row],[BW40_3705]]),"")</f>
        <v/>
      </c>
      <c r="H6014" s="7" t="str">
        <f>IF(Table1[[#This Row],[Is Data Valid]]=TRUE,((Table1[[#This Row],[Birthweight (grams)]]*0.9/Table1[[#This Row],[BW_GA]])-1)/(Backend!$B$4/100*Table1[[#This Row],[BW40_3705]]),"")</f>
        <v/>
      </c>
      <c r="I6014" s="7" t="str">
        <f>IF(Table1[[#This Row],[Is Data Valid]]=TRUE,((Table1[[#This Row],[Birthweight (grams)]]*1.1/Table1[[#This Row],[BW_GA]])-1)/(Backend!$B$4/100*Table1[[#This Row],[BW40_3705]]),"")</f>
        <v/>
      </c>
      <c r="J6014" s="7" t="str">
        <f>IF(Table1[[#This Row],[Is Data Valid]]=TRUE,_xlfn.NORM.S.DIST(Table1[[#This Row],[Birthweight Z-Score]],TRUE)*100,"")</f>
        <v/>
      </c>
      <c r="K6014" s="7" t="str">
        <f>IF(Table1[[#This Row],[Is Data Valid]]=TRUE,_xlfn.NORM.S.DIST(Table1[[#This Row],[Birthweight Z-Score (BW-10%)]],TRUE)*100,"")</f>
        <v/>
      </c>
      <c r="L6014" s="7" t="str">
        <f>IF(Table1[[#This Row],[Is Data Valid]]=TRUE,_xlfn.NORM.S.DIST(Table1[[#This Row],[Birthweight Z-Score (BW+10%)]],TRUE)*100,"")</f>
        <v/>
      </c>
    </row>
    <row r="6015" spans="1:12" x14ac:dyDescent="0.35">
      <c r="A6015" s="3"/>
      <c r="B6015" s="2"/>
      <c r="C6015" s="2"/>
      <c r="D6015" s="2" t="b">
        <f>IF(AND(NOT(ISBLANK(Table1[[#This Row],[Fetal Sex (Male, Female or Unknown)]])),ISNUMBER(Table1[[#This Row],[Birthweight (grams)]]),ISNUMBER(Table1[[#This Row],[Gestation (days)]])),TRUE,FALSE)</f>
        <v>0</v>
      </c>
      <c r="E6015" s="2" t="str">
        <f>IF(Table1[[#This Row],[Is Data Valid]]=TRUE,IF(Table1[[#This Row],[Fetal Sex (Male, Female or Unknown)]]="Male",Backend!$C$6,IF(Table1[[#This Row],[Fetal Sex (Male, Female or Unknown)]]="Female",Backend!$C$7,IF(Table1[[#This Row],[Fetal Sex (Male, Female or Unknown)]]="Unknown",Backend!$C$8,"Error"))),"")</f>
        <v/>
      </c>
      <c r="F6015" s="8" t="str">
        <f>IF(Table1[[#This Row],[Is Data Valid]]=TRUE,EXP(0.578+0.332*((Table1[[#This Row],[Gestation (days)]]+0.5)/7)-0.00354*((Table1[[#This Row],[Gestation (days)]]+0.5)/7)^2)*Table1[[#This Row],[BW40_3705]],"")</f>
        <v/>
      </c>
      <c r="G6015" s="2" t="str">
        <f>IF(Table1[[#This Row],[Is Data Valid]]=TRUE,((Table1[[#This Row],[Birthweight (grams)]]/Table1[[#This Row],[BW_GA]])-1)/(Backend!$B$4/100*Table1[[#This Row],[BW40_3705]]),"")</f>
        <v/>
      </c>
      <c r="H6015" s="7" t="str">
        <f>IF(Table1[[#This Row],[Is Data Valid]]=TRUE,((Table1[[#This Row],[Birthweight (grams)]]*0.9/Table1[[#This Row],[BW_GA]])-1)/(Backend!$B$4/100*Table1[[#This Row],[BW40_3705]]),"")</f>
        <v/>
      </c>
      <c r="I6015" s="7" t="str">
        <f>IF(Table1[[#This Row],[Is Data Valid]]=TRUE,((Table1[[#This Row],[Birthweight (grams)]]*1.1/Table1[[#This Row],[BW_GA]])-1)/(Backend!$B$4/100*Table1[[#This Row],[BW40_3705]]),"")</f>
        <v/>
      </c>
      <c r="J6015" s="7" t="str">
        <f>IF(Table1[[#This Row],[Is Data Valid]]=TRUE,_xlfn.NORM.S.DIST(Table1[[#This Row],[Birthweight Z-Score]],TRUE)*100,"")</f>
        <v/>
      </c>
      <c r="K6015" s="7" t="str">
        <f>IF(Table1[[#This Row],[Is Data Valid]]=TRUE,_xlfn.NORM.S.DIST(Table1[[#This Row],[Birthweight Z-Score (BW-10%)]],TRUE)*100,"")</f>
        <v/>
      </c>
      <c r="L6015" s="7" t="str">
        <f>IF(Table1[[#This Row],[Is Data Valid]]=TRUE,_xlfn.NORM.S.DIST(Table1[[#This Row],[Birthweight Z-Score (BW+10%)]],TRUE)*100,"")</f>
        <v/>
      </c>
    </row>
    <row r="6016" spans="1:12" x14ac:dyDescent="0.35">
      <c r="A6016" s="3"/>
      <c r="B6016" s="2"/>
      <c r="C6016" s="2"/>
      <c r="D6016" s="2" t="b">
        <f>IF(AND(NOT(ISBLANK(Table1[[#This Row],[Fetal Sex (Male, Female or Unknown)]])),ISNUMBER(Table1[[#This Row],[Birthweight (grams)]]),ISNUMBER(Table1[[#This Row],[Gestation (days)]])),TRUE,FALSE)</f>
        <v>0</v>
      </c>
      <c r="E6016" s="2" t="str">
        <f>IF(Table1[[#This Row],[Is Data Valid]]=TRUE,IF(Table1[[#This Row],[Fetal Sex (Male, Female or Unknown)]]="Male",Backend!$C$6,IF(Table1[[#This Row],[Fetal Sex (Male, Female or Unknown)]]="Female",Backend!$C$7,IF(Table1[[#This Row],[Fetal Sex (Male, Female or Unknown)]]="Unknown",Backend!$C$8,"Error"))),"")</f>
        <v/>
      </c>
      <c r="F6016" s="8" t="str">
        <f>IF(Table1[[#This Row],[Is Data Valid]]=TRUE,EXP(0.578+0.332*((Table1[[#This Row],[Gestation (days)]]+0.5)/7)-0.00354*((Table1[[#This Row],[Gestation (days)]]+0.5)/7)^2)*Table1[[#This Row],[BW40_3705]],"")</f>
        <v/>
      </c>
      <c r="G6016" s="2" t="str">
        <f>IF(Table1[[#This Row],[Is Data Valid]]=TRUE,((Table1[[#This Row],[Birthweight (grams)]]/Table1[[#This Row],[BW_GA]])-1)/(Backend!$B$4/100*Table1[[#This Row],[BW40_3705]]),"")</f>
        <v/>
      </c>
      <c r="H6016" s="7" t="str">
        <f>IF(Table1[[#This Row],[Is Data Valid]]=TRUE,((Table1[[#This Row],[Birthweight (grams)]]*0.9/Table1[[#This Row],[BW_GA]])-1)/(Backend!$B$4/100*Table1[[#This Row],[BW40_3705]]),"")</f>
        <v/>
      </c>
      <c r="I6016" s="7" t="str">
        <f>IF(Table1[[#This Row],[Is Data Valid]]=TRUE,((Table1[[#This Row],[Birthweight (grams)]]*1.1/Table1[[#This Row],[BW_GA]])-1)/(Backend!$B$4/100*Table1[[#This Row],[BW40_3705]]),"")</f>
        <v/>
      </c>
      <c r="J6016" s="7" t="str">
        <f>IF(Table1[[#This Row],[Is Data Valid]]=TRUE,_xlfn.NORM.S.DIST(Table1[[#This Row],[Birthweight Z-Score]],TRUE)*100,"")</f>
        <v/>
      </c>
      <c r="K6016" s="7" t="str">
        <f>IF(Table1[[#This Row],[Is Data Valid]]=TRUE,_xlfn.NORM.S.DIST(Table1[[#This Row],[Birthweight Z-Score (BW-10%)]],TRUE)*100,"")</f>
        <v/>
      </c>
      <c r="L6016" s="7" t="str">
        <f>IF(Table1[[#This Row],[Is Data Valid]]=TRUE,_xlfn.NORM.S.DIST(Table1[[#This Row],[Birthweight Z-Score (BW+10%)]],TRUE)*100,"")</f>
        <v/>
      </c>
    </row>
    <row r="6017" spans="1:12" x14ac:dyDescent="0.35">
      <c r="A6017" s="3"/>
      <c r="B6017" s="2"/>
      <c r="C6017" s="2"/>
      <c r="D6017" s="2" t="b">
        <f>IF(AND(NOT(ISBLANK(Table1[[#This Row],[Fetal Sex (Male, Female or Unknown)]])),ISNUMBER(Table1[[#This Row],[Birthweight (grams)]]),ISNUMBER(Table1[[#This Row],[Gestation (days)]])),TRUE,FALSE)</f>
        <v>0</v>
      </c>
      <c r="E6017" s="2" t="str">
        <f>IF(Table1[[#This Row],[Is Data Valid]]=TRUE,IF(Table1[[#This Row],[Fetal Sex (Male, Female or Unknown)]]="Male",Backend!$C$6,IF(Table1[[#This Row],[Fetal Sex (Male, Female or Unknown)]]="Female",Backend!$C$7,IF(Table1[[#This Row],[Fetal Sex (Male, Female or Unknown)]]="Unknown",Backend!$C$8,"Error"))),"")</f>
        <v/>
      </c>
      <c r="F6017" s="8" t="str">
        <f>IF(Table1[[#This Row],[Is Data Valid]]=TRUE,EXP(0.578+0.332*((Table1[[#This Row],[Gestation (days)]]+0.5)/7)-0.00354*((Table1[[#This Row],[Gestation (days)]]+0.5)/7)^2)*Table1[[#This Row],[BW40_3705]],"")</f>
        <v/>
      </c>
      <c r="G6017" s="2" t="str">
        <f>IF(Table1[[#This Row],[Is Data Valid]]=TRUE,((Table1[[#This Row],[Birthweight (grams)]]/Table1[[#This Row],[BW_GA]])-1)/(Backend!$B$4/100*Table1[[#This Row],[BW40_3705]]),"")</f>
        <v/>
      </c>
      <c r="H6017" s="7" t="str">
        <f>IF(Table1[[#This Row],[Is Data Valid]]=TRUE,((Table1[[#This Row],[Birthweight (grams)]]*0.9/Table1[[#This Row],[BW_GA]])-1)/(Backend!$B$4/100*Table1[[#This Row],[BW40_3705]]),"")</f>
        <v/>
      </c>
      <c r="I6017" s="7" t="str">
        <f>IF(Table1[[#This Row],[Is Data Valid]]=TRUE,((Table1[[#This Row],[Birthweight (grams)]]*1.1/Table1[[#This Row],[BW_GA]])-1)/(Backend!$B$4/100*Table1[[#This Row],[BW40_3705]]),"")</f>
        <v/>
      </c>
      <c r="J6017" s="7" t="str">
        <f>IF(Table1[[#This Row],[Is Data Valid]]=TRUE,_xlfn.NORM.S.DIST(Table1[[#This Row],[Birthweight Z-Score]],TRUE)*100,"")</f>
        <v/>
      </c>
      <c r="K6017" s="7" t="str">
        <f>IF(Table1[[#This Row],[Is Data Valid]]=TRUE,_xlfn.NORM.S.DIST(Table1[[#This Row],[Birthweight Z-Score (BW-10%)]],TRUE)*100,"")</f>
        <v/>
      </c>
      <c r="L6017" s="7" t="str">
        <f>IF(Table1[[#This Row],[Is Data Valid]]=TRUE,_xlfn.NORM.S.DIST(Table1[[#This Row],[Birthweight Z-Score (BW+10%)]],TRUE)*100,"")</f>
        <v/>
      </c>
    </row>
    <row r="6018" spans="1:12" x14ac:dyDescent="0.35">
      <c r="A6018" s="3"/>
      <c r="B6018" s="2"/>
      <c r="C6018" s="2"/>
      <c r="D6018" s="2" t="b">
        <f>IF(AND(NOT(ISBLANK(Table1[[#This Row],[Fetal Sex (Male, Female or Unknown)]])),ISNUMBER(Table1[[#This Row],[Birthweight (grams)]]),ISNUMBER(Table1[[#This Row],[Gestation (days)]])),TRUE,FALSE)</f>
        <v>0</v>
      </c>
      <c r="E6018" s="2" t="str">
        <f>IF(Table1[[#This Row],[Is Data Valid]]=TRUE,IF(Table1[[#This Row],[Fetal Sex (Male, Female or Unknown)]]="Male",Backend!$C$6,IF(Table1[[#This Row],[Fetal Sex (Male, Female or Unknown)]]="Female",Backend!$C$7,IF(Table1[[#This Row],[Fetal Sex (Male, Female or Unknown)]]="Unknown",Backend!$C$8,"Error"))),"")</f>
        <v/>
      </c>
      <c r="F6018" s="8" t="str">
        <f>IF(Table1[[#This Row],[Is Data Valid]]=TRUE,EXP(0.578+0.332*((Table1[[#This Row],[Gestation (days)]]+0.5)/7)-0.00354*((Table1[[#This Row],[Gestation (days)]]+0.5)/7)^2)*Table1[[#This Row],[BW40_3705]],"")</f>
        <v/>
      </c>
      <c r="G6018" s="2" t="str">
        <f>IF(Table1[[#This Row],[Is Data Valid]]=TRUE,((Table1[[#This Row],[Birthweight (grams)]]/Table1[[#This Row],[BW_GA]])-1)/(Backend!$B$4/100*Table1[[#This Row],[BW40_3705]]),"")</f>
        <v/>
      </c>
      <c r="H6018" s="7" t="str">
        <f>IF(Table1[[#This Row],[Is Data Valid]]=TRUE,((Table1[[#This Row],[Birthweight (grams)]]*0.9/Table1[[#This Row],[BW_GA]])-1)/(Backend!$B$4/100*Table1[[#This Row],[BW40_3705]]),"")</f>
        <v/>
      </c>
      <c r="I6018" s="7" t="str">
        <f>IF(Table1[[#This Row],[Is Data Valid]]=TRUE,((Table1[[#This Row],[Birthweight (grams)]]*1.1/Table1[[#This Row],[BW_GA]])-1)/(Backend!$B$4/100*Table1[[#This Row],[BW40_3705]]),"")</f>
        <v/>
      </c>
      <c r="J6018" s="7" t="str">
        <f>IF(Table1[[#This Row],[Is Data Valid]]=TRUE,_xlfn.NORM.S.DIST(Table1[[#This Row],[Birthweight Z-Score]],TRUE)*100,"")</f>
        <v/>
      </c>
      <c r="K6018" s="7" t="str">
        <f>IF(Table1[[#This Row],[Is Data Valid]]=TRUE,_xlfn.NORM.S.DIST(Table1[[#This Row],[Birthweight Z-Score (BW-10%)]],TRUE)*100,"")</f>
        <v/>
      </c>
      <c r="L6018" s="7" t="str">
        <f>IF(Table1[[#This Row],[Is Data Valid]]=TRUE,_xlfn.NORM.S.DIST(Table1[[#This Row],[Birthweight Z-Score (BW+10%)]],TRUE)*100,"")</f>
        <v/>
      </c>
    </row>
    <row r="6019" spans="1:12" x14ac:dyDescent="0.35">
      <c r="A6019" s="3"/>
      <c r="B6019" s="2"/>
      <c r="C6019" s="2"/>
      <c r="D6019" s="2" t="b">
        <f>IF(AND(NOT(ISBLANK(Table1[[#This Row],[Fetal Sex (Male, Female or Unknown)]])),ISNUMBER(Table1[[#This Row],[Birthweight (grams)]]),ISNUMBER(Table1[[#This Row],[Gestation (days)]])),TRUE,FALSE)</f>
        <v>0</v>
      </c>
      <c r="E6019" s="2" t="str">
        <f>IF(Table1[[#This Row],[Is Data Valid]]=TRUE,IF(Table1[[#This Row],[Fetal Sex (Male, Female or Unknown)]]="Male",Backend!$C$6,IF(Table1[[#This Row],[Fetal Sex (Male, Female or Unknown)]]="Female",Backend!$C$7,IF(Table1[[#This Row],[Fetal Sex (Male, Female or Unknown)]]="Unknown",Backend!$C$8,"Error"))),"")</f>
        <v/>
      </c>
      <c r="F6019" s="8" t="str">
        <f>IF(Table1[[#This Row],[Is Data Valid]]=TRUE,EXP(0.578+0.332*((Table1[[#This Row],[Gestation (days)]]+0.5)/7)-0.00354*((Table1[[#This Row],[Gestation (days)]]+0.5)/7)^2)*Table1[[#This Row],[BW40_3705]],"")</f>
        <v/>
      </c>
      <c r="G6019" s="2" t="str">
        <f>IF(Table1[[#This Row],[Is Data Valid]]=TRUE,((Table1[[#This Row],[Birthweight (grams)]]/Table1[[#This Row],[BW_GA]])-1)/(Backend!$B$4/100*Table1[[#This Row],[BW40_3705]]),"")</f>
        <v/>
      </c>
      <c r="H6019" s="7" t="str">
        <f>IF(Table1[[#This Row],[Is Data Valid]]=TRUE,((Table1[[#This Row],[Birthweight (grams)]]*0.9/Table1[[#This Row],[BW_GA]])-1)/(Backend!$B$4/100*Table1[[#This Row],[BW40_3705]]),"")</f>
        <v/>
      </c>
      <c r="I6019" s="7" t="str">
        <f>IF(Table1[[#This Row],[Is Data Valid]]=TRUE,((Table1[[#This Row],[Birthweight (grams)]]*1.1/Table1[[#This Row],[BW_GA]])-1)/(Backend!$B$4/100*Table1[[#This Row],[BW40_3705]]),"")</f>
        <v/>
      </c>
      <c r="J6019" s="7" t="str">
        <f>IF(Table1[[#This Row],[Is Data Valid]]=TRUE,_xlfn.NORM.S.DIST(Table1[[#This Row],[Birthweight Z-Score]],TRUE)*100,"")</f>
        <v/>
      </c>
      <c r="K6019" s="7" t="str">
        <f>IF(Table1[[#This Row],[Is Data Valid]]=TRUE,_xlfn.NORM.S.DIST(Table1[[#This Row],[Birthweight Z-Score (BW-10%)]],TRUE)*100,"")</f>
        <v/>
      </c>
      <c r="L6019" s="7" t="str">
        <f>IF(Table1[[#This Row],[Is Data Valid]]=TRUE,_xlfn.NORM.S.DIST(Table1[[#This Row],[Birthweight Z-Score (BW+10%)]],TRUE)*100,"")</f>
        <v/>
      </c>
    </row>
    <row r="6020" spans="1:12" x14ac:dyDescent="0.35">
      <c r="A6020" s="3"/>
      <c r="B6020" s="2"/>
      <c r="C6020" s="2"/>
      <c r="D6020" s="2" t="b">
        <f>IF(AND(NOT(ISBLANK(Table1[[#This Row],[Fetal Sex (Male, Female or Unknown)]])),ISNUMBER(Table1[[#This Row],[Birthweight (grams)]]),ISNUMBER(Table1[[#This Row],[Gestation (days)]])),TRUE,FALSE)</f>
        <v>0</v>
      </c>
      <c r="E6020" s="2" t="str">
        <f>IF(Table1[[#This Row],[Is Data Valid]]=TRUE,IF(Table1[[#This Row],[Fetal Sex (Male, Female or Unknown)]]="Male",Backend!$C$6,IF(Table1[[#This Row],[Fetal Sex (Male, Female or Unknown)]]="Female",Backend!$C$7,IF(Table1[[#This Row],[Fetal Sex (Male, Female or Unknown)]]="Unknown",Backend!$C$8,"Error"))),"")</f>
        <v/>
      </c>
      <c r="F6020" s="8" t="str">
        <f>IF(Table1[[#This Row],[Is Data Valid]]=TRUE,EXP(0.578+0.332*((Table1[[#This Row],[Gestation (days)]]+0.5)/7)-0.00354*((Table1[[#This Row],[Gestation (days)]]+0.5)/7)^2)*Table1[[#This Row],[BW40_3705]],"")</f>
        <v/>
      </c>
      <c r="G6020" s="2" t="str">
        <f>IF(Table1[[#This Row],[Is Data Valid]]=TRUE,((Table1[[#This Row],[Birthweight (grams)]]/Table1[[#This Row],[BW_GA]])-1)/(Backend!$B$4/100*Table1[[#This Row],[BW40_3705]]),"")</f>
        <v/>
      </c>
      <c r="H6020" s="7" t="str">
        <f>IF(Table1[[#This Row],[Is Data Valid]]=TRUE,((Table1[[#This Row],[Birthweight (grams)]]*0.9/Table1[[#This Row],[BW_GA]])-1)/(Backend!$B$4/100*Table1[[#This Row],[BW40_3705]]),"")</f>
        <v/>
      </c>
      <c r="I6020" s="7" t="str">
        <f>IF(Table1[[#This Row],[Is Data Valid]]=TRUE,((Table1[[#This Row],[Birthweight (grams)]]*1.1/Table1[[#This Row],[BW_GA]])-1)/(Backend!$B$4/100*Table1[[#This Row],[BW40_3705]]),"")</f>
        <v/>
      </c>
      <c r="J6020" s="7" t="str">
        <f>IF(Table1[[#This Row],[Is Data Valid]]=TRUE,_xlfn.NORM.S.DIST(Table1[[#This Row],[Birthweight Z-Score]],TRUE)*100,"")</f>
        <v/>
      </c>
      <c r="K6020" s="7" t="str">
        <f>IF(Table1[[#This Row],[Is Data Valid]]=TRUE,_xlfn.NORM.S.DIST(Table1[[#This Row],[Birthweight Z-Score (BW-10%)]],TRUE)*100,"")</f>
        <v/>
      </c>
      <c r="L6020" s="7" t="str">
        <f>IF(Table1[[#This Row],[Is Data Valid]]=TRUE,_xlfn.NORM.S.DIST(Table1[[#This Row],[Birthweight Z-Score (BW+10%)]],TRUE)*100,"")</f>
        <v/>
      </c>
    </row>
    <row r="6021" spans="1:12" x14ac:dyDescent="0.35">
      <c r="A6021" s="3"/>
      <c r="B6021" s="2"/>
      <c r="C6021" s="2"/>
      <c r="D6021" s="2" t="b">
        <f>IF(AND(NOT(ISBLANK(Table1[[#This Row],[Fetal Sex (Male, Female or Unknown)]])),ISNUMBER(Table1[[#This Row],[Birthweight (grams)]]),ISNUMBER(Table1[[#This Row],[Gestation (days)]])),TRUE,FALSE)</f>
        <v>0</v>
      </c>
      <c r="E6021" s="2" t="str">
        <f>IF(Table1[[#This Row],[Is Data Valid]]=TRUE,IF(Table1[[#This Row],[Fetal Sex (Male, Female or Unknown)]]="Male",Backend!$C$6,IF(Table1[[#This Row],[Fetal Sex (Male, Female or Unknown)]]="Female",Backend!$C$7,IF(Table1[[#This Row],[Fetal Sex (Male, Female or Unknown)]]="Unknown",Backend!$C$8,"Error"))),"")</f>
        <v/>
      </c>
      <c r="F6021" s="8" t="str">
        <f>IF(Table1[[#This Row],[Is Data Valid]]=TRUE,EXP(0.578+0.332*((Table1[[#This Row],[Gestation (days)]]+0.5)/7)-0.00354*((Table1[[#This Row],[Gestation (days)]]+0.5)/7)^2)*Table1[[#This Row],[BW40_3705]],"")</f>
        <v/>
      </c>
      <c r="G6021" s="2" t="str">
        <f>IF(Table1[[#This Row],[Is Data Valid]]=TRUE,((Table1[[#This Row],[Birthweight (grams)]]/Table1[[#This Row],[BW_GA]])-1)/(Backend!$B$4/100*Table1[[#This Row],[BW40_3705]]),"")</f>
        <v/>
      </c>
      <c r="H6021" s="7" t="str">
        <f>IF(Table1[[#This Row],[Is Data Valid]]=TRUE,((Table1[[#This Row],[Birthweight (grams)]]*0.9/Table1[[#This Row],[BW_GA]])-1)/(Backend!$B$4/100*Table1[[#This Row],[BW40_3705]]),"")</f>
        <v/>
      </c>
      <c r="I6021" s="7" t="str">
        <f>IF(Table1[[#This Row],[Is Data Valid]]=TRUE,((Table1[[#This Row],[Birthweight (grams)]]*1.1/Table1[[#This Row],[BW_GA]])-1)/(Backend!$B$4/100*Table1[[#This Row],[BW40_3705]]),"")</f>
        <v/>
      </c>
      <c r="J6021" s="7" t="str">
        <f>IF(Table1[[#This Row],[Is Data Valid]]=TRUE,_xlfn.NORM.S.DIST(Table1[[#This Row],[Birthweight Z-Score]],TRUE)*100,"")</f>
        <v/>
      </c>
      <c r="K6021" s="7" t="str">
        <f>IF(Table1[[#This Row],[Is Data Valid]]=TRUE,_xlfn.NORM.S.DIST(Table1[[#This Row],[Birthweight Z-Score (BW-10%)]],TRUE)*100,"")</f>
        <v/>
      </c>
      <c r="L6021" s="7" t="str">
        <f>IF(Table1[[#This Row],[Is Data Valid]]=TRUE,_xlfn.NORM.S.DIST(Table1[[#This Row],[Birthweight Z-Score (BW+10%)]],TRUE)*100,"")</f>
        <v/>
      </c>
    </row>
    <row r="6022" spans="1:12" x14ac:dyDescent="0.35">
      <c r="A6022" s="3"/>
      <c r="B6022" s="2"/>
      <c r="C6022" s="2"/>
      <c r="D6022" s="2" t="b">
        <f>IF(AND(NOT(ISBLANK(Table1[[#This Row],[Fetal Sex (Male, Female or Unknown)]])),ISNUMBER(Table1[[#This Row],[Birthweight (grams)]]),ISNUMBER(Table1[[#This Row],[Gestation (days)]])),TRUE,FALSE)</f>
        <v>0</v>
      </c>
      <c r="E6022" s="2" t="str">
        <f>IF(Table1[[#This Row],[Is Data Valid]]=TRUE,IF(Table1[[#This Row],[Fetal Sex (Male, Female or Unknown)]]="Male",Backend!$C$6,IF(Table1[[#This Row],[Fetal Sex (Male, Female or Unknown)]]="Female",Backend!$C$7,IF(Table1[[#This Row],[Fetal Sex (Male, Female or Unknown)]]="Unknown",Backend!$C$8,"Error"))),"")</f>
        <v/>
      </c>
      <c r="F6022" s="8" t="str">
        <f>IF(Table1[[#This Row],[Is Data Valid]]=TRUE,EXP(0.578+0.332*((Table1[[#This Row],[Gestation (days)]]+0.5)/7)-0.00354*((Table1[[#This Row],[Gestation (days)]]+0.5)/7)^2)*Table1[[#This Row],[BW40_3705]],"")</f>
        <v/>
      </c>
      <c r="G6022" s="2" t="str">
        <f>IF(Table1[[#This Row],[Is Data Valid]]=TRUE,((Table1[[#This Row],[Birthweight (grams)]]/Table1[[#This Row],[BW_GA]])-1)/(Backend!$B$4/100*Table1[[#This Row],[BW40_3705]]),"")</f>
        <v/>
      </c>
      <c r="H6022" s="7" t="str">
        <f>IF(Table1[[#This Row],[Is Data Valid]]=TRUE,((Table1[[#This Row],[Birthweight (grams)]]*0.9/Table1[[#This Row],[BW_GA]])-1)/(Backend!$B$4/100*Table1[[#This Row],[BW40_3705]]),"")</f>
        <v/>
      </c>
      <c r="I6022" s="7" t="str">
        <f>IF(Table1[[#This Row],[Is Data Valid]]=TRUE,((Table1[[#This Row],[Birthweight (grams)]]*1.1/Table1[[#This Row],[BW_GA]])-1)/(Backend!$B$4/100*Table1[[#This Row],[BW40_3705]]),"")</f>
        <v/>
      </c>
      <c r="J6022" s="7" t="str">
        <f>IF(Table1[[#This Row],[Is Data Valid]]=TRUE,_xlfn.NORM.S.DIST(Table1[[#This Row],[Birthweight Z-Score]],TRUE)*100,"")</f>
        <v/>
      </c>
      <c r="K6022" s="7" t="str">
        <f>IF(Table1[[#This Row],[Is Data Valid]]=TRUE,_xlfn.NORM.S.DIST(Table1[[#This Row],[Birthweight Z-Score (BW-10%)]],TRUE)*100,"")</f>
        <v/>
      </c>
      <c r="L6022" s="7" t="str">
        <f>IF(Table1[[#This Row],[Is Data Valid]]=TRUE,_xlfn.NORM.S.DIST(Table1[[#This Row],[Birthweight Z-Score (BW+10%)]],TRUE)*100,"")</f>
        <v/>
      </c>
    </row>
    <row r="6023" spans="1:12" x14ac:dyDescent="0.35">
      <c r="A6023" s="3"/>
      <c r="B6023" s="2"/>
      <c r="C6023" s="2"/>
      <c r="D6023" s="2" t="b">
        <f>IF(AND(NOT(ISBLANK(Table1[[#This Row],[Fetal Sex (Male, Female or Unknown)]])),ISNUMBER(Table1[[#This Row],[Birthweight (grams)]]),ISNUMBER(Table1[[#This Row],[Gestation (days)]])),TRUE,FALSE)</f>
        <v>0</v>
      </c>
      <c r="E6023" s="2" t="str">
        <f>IF(Table1[[#This Row],[Is Data Valid]]=TRUE,IF(Table1[[#This Row],[Fetal Sex (Male, Female or Unknown)]]="Male",Backend!$C$6,IF(Table1[[#This Row],[Fetal Sex (Male, Female or Unknown)]]="Female",Backend!$C$7,IF(Table1[[#This Row],[Fetal Sex (Male, Female or Unknown)]]="Unknown",Backend!$C$8,"Error"))),"")</f>
        <v/>
      </c>
      <c r="F6023" s="8" t="str">
        <f>IF(Table1[[#This Row],[Is Data Valid]]=TRUE,EXP(0.578+0.332*((Table1[[#This Row],[Gestation (days)]]+0.5)/7)-0.00354*((Table1[[#This Row],[Gestation (days)]]+0.5)/7)^2)*Table1[[#This Row],[BW40_3705]],"")</f>
        <v/>
      </c>
      <c r="G6023" s="2" t="str">
        <f>IF(Table1[[#This Row],[Is Data Valid]]=TRUE,((Table1[[#This Row],[Birthweight (grams)]]/Table1[[#This Row],[BW_GA]])-1)/(Backend!$B$4/100*Table1[[#This Row],[BW40_3705]]),"")</f>
        <v/>
      </c>
      <c r="H6023" s="7" t="str">
        <f>IF(Table1[[#This Row],[Is Data Valid]]=TRUE,((Table1[[#This Row],[Birthweight (grams)]]*0.9/Table1[[#This Row],[BW_GA]])-1)/(Backend!$B$4/100*Table1[[#This Row],[BW40_3705]]),"")</f>
        <v/>
      </c>
      <c r="I6023" s="7" t="str">
        <f>IF(Table1[[#This Row],[Is Data Valid]]=TRUE,((Table1[[#This Row],[Birthweight (grams)]]*1.1/Table1[[#This Row],[BW_GA]])-1)/(Backend!$B$4/100*Table1[[#This Row],[BW40_3705]]),"")</f>
        <v/>
      </c>
      <c r="J6023" s="7" t="str">
        <f>IF(Table1[[#This Row],[Is Data Valid]]=TRUE,_xlfn.NORM.S.DIST(Table1[[#This Row],[Birthweight Z-Score]],TRUE)*100,"")</f>
        <v/>
      </c>
      <c r="K6023" s="7" t="str">
        <f>IF(Table1[[#This Row],[Is Data Valid]]=TRUE,_xlfn.NORM.S.DIST(Table1[[#This Row],[Birthweight Z-Score (BW-10%)]],TRUE)*100,"")</f>
        <v/>
      </c>
      <c r="L6023" s="7" t="str">
        <f>IF(Table1[[#This Row],[Is Data Valid]]=TRUE,_xlfn.NORM.S.DIST(Table1[[#This Row],[Birthweight Z-Score (BW+10%)]],TRUE)*100,"")</f>
        <v/>
      </c>
    </row>
    <row r="6024" spans="1:12" x14ac:dyDescent="0.35">
      <c r="A6024" s="3"/>
      <c r="B6024" s="2"/>
      <c r="C6024" s="2"/>
      <c r="D6024" s="2" t="b">
        <f>IF(AND(NOT(ISBLANK(Table1[[#This Row],[Fetal Sex (Male, Female or Unknown)]])),ISNUMBER(Table1[[#This Row],[Birthweight (grams)]]),ISNUMBER(Table1[[#This Row],[Gestation (days)]])),TRUE,FALSE)</f>
        <v>0</v>
      </c>
      <c r="E6024" s="2" t="str">
        <f>IF(Table1[[#This Row],[Is Data Valid]]=TRUE,IF(Table1[[#This Row],[Fetal Sex (Male, Female or Unknown)]]="Male",Backend!$C$6,IF(Table1[[#This Row],[Fetal Sex (Male, Female or Unknown)]]="Female",Backend!$C$7,IF(Table1[[#This Row],[Fetal Sex (Male, Female or Unknown)]]="Unknown",Backend!$C$8,"Error"))),"")</f>
        <v/>
      </c>
      <c r="F6024" s="8" t="str">
        <f>IF(Table1[[#This Row],[Is Data Valid]]=TRUE,EXP(0.578+0.332*((Table1[[#This Row],[Gestation (days)]]+0.5)/7)-0.00354*((Table1[[#This Row],[Gestation (days)]]+0.5)/7)^2)*Table1[[#This Row],[BW40_3705]],"")</f>
        <v/>
      </c>
      <c r="G6024" s="2" t="str">
        <f>IF(Table1[[#This Row],[Is Data Valid]]=TRUE,((Table1[[#This Row],[Birthweight (grams)]]/Table1[[#This Row],[BW_GA]])-1)/(Backend!$B$4/100*Table1[[#This Row],[BW40_3705]]),"")</f>
        <v/>
      </c>
      <c r="H6024" s="7" t="str">
        <f>IF(Table1[[#This Row],[Is Data Valid]]=TRUE,((Table1[[#This Row],[Birthweight (grams)]]*0.9/Table1[[#This Row],[BW_GA]])-1)/(Backend!$B$4/100*Table1[[#This Row],[BW40_3705]]),"")</f>
        <v/>
      </c>
      <c r="I6024" s="7" t="str">
        <f>IF(Table1[[#This Row],[Is Data Valid]]=TRUE,((Table1[[#This Row],[Birthweight (grams)]]*1.1/Table1[[#This Row],[BW_GA]])-1)/(Backend!$B$4/100*Table1[[#This Row],[BW40_3705]]),"")</f>
        <v/>
      </c>
      <c r="J6024" s="7" t="str">
        <f>IF(Table1[[#This Row],[Is Data Valid]]=TRUE,_xlfn.NORM.S.DIST(Table1[[#This Row],[Birthweight Z-Score]],TRUE)*100,"")</f>
        <v/>
      </c>
      <c r="K6024" s="7" t="str">
        <f>IF(Table1[[#This Row],[Is Data Valid]]=TRUE,_xlfn.NORM.S.DIST(Table1[[#This Row],[Birthweight Z-Score (BW-10%)]],TRUE)*100,"")</f>
        <v/>
      </c>
      <c r="L6024" s="7" t="str">
        <f>IF(Table1[[#This Row],[Is Data Valid]]=TRUE,_xlfn.NORM.S.DIST(Table1[[#This Row],[Birthweight Z-Score (BW+10%)]],TRUE)*100,"")</f>
        <v/>
      </c>
    </row>
    <row r="6025" spans="1:12" x14ac:dyDescent="0.35">
      <c r="A6025" s="3"/>
      <c r="B6025" s="2"/>
      <c r="C6025" s="2"/>
      <c r="D6025" s="2" t="b">
        <f>IF(AND(NOT(ISBLANK(Table1[[#This Row],[Fetal Sex (Male, Female or Unknown)]])),ISNUMBER(Table1[[#This Row],[Birthweight (grams)]]),ISNUMBER(Table1[[#This Row],[Gestation (days)]])),TRUE,FALSE)</f>
        <v>0</v>
      </c>
      <c r="E6025" s="2" t="str">
        <f>IF(Table1[[#This Row],[Is Data Valid]]=TRUE,IF(Table1[[#This Row],[Fetal Sex (Male, Female or Unknown)]]="Male",Backend!$C$6,IF(Table1[[#This Row],[Fetal Sex (Male, Female or Unknown)]]="Female",Backend!$C$7,IF(Table1[[#This Row],[Fetal Sex (Male, Female or Unknown)]]="Unknown",Backend!$C$8,"Error"))),"")</f>
        <v/>
      </c>
      <c r="F6025" s="8" t="str">
        <f>IF(Table1[[#This Row],[Is Data Valid]]=TRUE,EXP(0.578+0.332*((Table1[[#This Row],[Gestation (days)]]+0.5)/7)-0.00354*((Table1[[#This Row],[Gestation (days)]]+0.5)/7)^2)*Table1[[#This Row],[BW40_3705]],"")</f>
        <v/>
      </c>
      <c r="G6025" s="2" t="str">
        <f>IF(Table1[[#This Row],[Is Data Valid]]=TRUE,((Table1[[#This Row],[Birthweight (grams)]]/Table1[[#This Row],[BW_GA]])-1)/(Backend!$B$4/100*Table1[[#This Row],[BW40_3705]]),"")</f>
        <v/>
      </c>
      <c r="H6025" s="7" t="str">
        <f>IF(Table1[[#This Row],[Is Data Valid]]=TRUE,((Table1[[#This Row],[Birthweight (grams)]]*0.9/Table1[[#This Row],[BW_GA]])-1)/(Backend!$B$4/100*Table1[[#This Row],[BW40_3705]]),"")</f>
        <v/>
      </c>
      <c r="I6025" s="7" t="str">
        <f>IF(Table1[[#This Row],[Is Data Valid]]=TRUE,((Table1[[#This Row],[Birthweight (grams)]]*1.1/Table1[[#This Row],[BW_GA]])-1)/(Backend!$B$4/100*Table1[[#This Row],[BW40_3705]]),"")</f>
        <v/>
      </c>
      <c r="J6025" s="7" t="str">
        <f>IF(Table1[[#This Row],[Is Data Valid]]=TRUE,_xlfn.NORM.S.DIST(Table1[[#This Row],[Birthweight Z-Score]],TRUE)*100,"")</f>
        <v/>
      </c>
      <c r="K6025" s="7" t="str">
        <f>IF(Table1[[#This Row],[Is Data Valid]]=TRUE,_xlfn.NORM.S.DIST(Table1[[#This Row],[Birthweight Z-Score (BW-10%)]],TRUE)*100,"")</f>
        <v/>
      </c>
      <c r="L6025" s="7" t="str">
        <f>IF(Table1[[#This Row],[Is Data Valid]]=TRUE,_xlfn.NORM.S.DIST(Table1[[#This Row],[Birthweight Z-Score (BW+10%)]],TRUE)*100,"")</f>
        <v/>
      </c>
    </row>
    <row r="6026" spans="1:12" x14ac:dyDescent="0.35">
      <c r="A6026" s="3"/>
      <c r="B6026" s="2"/>
      <c r="C6026" s="2"/>
      <c r="D6026" s="2" t="b">
        <f>IF(AND(NOT(ISBLANK(Table1[[#This Row],[Fetal Sex (Male, Female or Unknown)]])),ISNUMBER(Table1[[#This Row],[Birthweight (grams)]]),ISNUMBER(Table1[[#This Row],[Gestation (days)]])),TRUE,FALSE)</f>
        <v>0</v>
      </c>
      <c r="E6026" s="2" t="str">
        <f>IF(Table1[[#This Row],[Is Data Valid]]=TRUE,IF(Table1[[#This Row],[Fetal Sex (Male, Female or Unknown)]]="Male",Backend!$C$6,IF(Table1[[#This Row],[Fetal Sex (Male, Female or Unknown)]]="Female",Backend!$C$7,IF(Table1[[#This Row],[Fetal Sex (Male, Female or Unknown)]]="Unknown",Backend!$C$8,"Error"))),"")</f>
        <v/>
      </c>
      <c r="F6026" s="8" t="str">
        <f>IF(Table1[[#This Row],[Is Data Valid]]=TRUE,EXP(0.578+0.332*((Table1[[#This Row],[Gestation (days)]]+0.5)/7)-0.00354*((Table1[[#This Row],[Gestation (days)]]+0.5)/7)^2)*Table1[[#This Row],[BW40_3705]],"")</f>
        <v/>
      </c>
      <c r="G6026" s="2" t="str">
        <f>IF(Table1[[#This Row],[Is Data Valid]]=TRUE,((Table1[[#This Row],[Birthweight (grams)]]/Table1[[#This Row],[BW_GA]])-1)/(Backend!$B$4/100*Table1[[#This Row],[BW40_3705]]),"")</f>
        <v/>
      </c>
      <c r="H6026" s="7" t="str">
        <f>IF(Table1[[#This Row],[Is Data Valid]]=TRUE,((Table1[[#This Row],[Birthweight (grams)]]*0.9/Table1[[#This Row],[BW_GA]])-1)/(Backend!$B$4/100*Table1[[#This Row],[BW40_3705]]),"")</f>
        <v/>
      </c>
      <c r="I6026" s="7" t="str">
        <f>IF(Table1[[#This Row],[Is Data Valid]]=TRUE,((Table1[[#This Row],[Birthweight (grams)]]*1.1/Table1[[#This Row],[BW_GA]])-1)/(Backend!$B$4/100*Table1[[#This Row],[BW40_3705]]),"")</f>
        <v/>
      </c>
      <c r="J6026" s="7" t="str">
        <f>IF(Table1[[#This Row],[Is Data Valid]]=TRUE,_xlfn.NORM.S.DIST(Table1[[#This Row],[Birthweight Z-Score]],TRUE)*100,"")</f>
        <v/>
      </c>
      <c r="K6026" s="7" t="str">
        <f>IF(Table1[[#This Row],[Is Data Valid]]=TRUE,_xlfn.NORM.S.DIST(Table1[[#This Row],[Birthweight Z-Score (BW-10%)]],TRUE)*100,"")</f>
        <v/>
      </c>
      <c r="L6026" s="7" t="str">
        <f>IF(Table1[[#This Row],[Is Data Valid]]=TRUE,_xlfn.NORM.S.DIST(Table1[[#This Row],[Birthweight Z-Score (BW+10%)]],TRUE)*100,"")</f>
        <v/>
      </c>
    </row>
    <row r="6027" spans="1:12" x14ac:dyDescent="0.35">
      <c r="A6027" s="3"/>
      <c r="B6027" s="2"/>
      <c r="C6027" s="2"/>
      <c r="D6027" s="2" t="b">
        <f>IF(AND(NOT(ISBLANK(Table1[[#This Row],[Fetal Sex (Male, Female or Unknown)]])),ISNUMBER(Table1[[#This Row],[Birthweight (grams)]]),ISNUMBER(Table1[[#This Row],[Gestation (days)]])),TRUE,FALSE)</f>
        <v>0</v>
      </c>
      <c r="E6027" s="2" t="str">
        <f>IF(Table1[[#This Row],[Is Data Valid]]=TRUE,IF(Table1[[#This Row],[Fetal Sex (Male, Female or Unknown)]]="Male",Backend!$C$6,IF(Table1[[#This Row],[Fetal Sex (Male, Female or Unknown)]]="Female",Backend!$C$7,IF(Table1[[#This Row],[Fetal Sex (Male, Female or Unknown)]]="Unknown",Backend!$C$8,"Error"))),"")</f>
        <v/>
      </c>
      <c r="F6027" s="8" t="str">
        <f>IF(Table1[[#This Row],[Is Data Valid]]=TRUE,EXP(0.578+0.332*((Table1[[#This Row],[Gestation (days)]]+0.5)/7)-0.00354*((Table1[[#This Row],[Gestation (days)]]+0.5)/7)^2)*Table1[[#This Row],[BW40_3705]],"")</f>
        <v/>
      </c>
      <c r="G6027" s="2" t="str">
        <f>IF(Table1[[#This Row],[Is Data Valid]]=TRUE,((Table1[[#This Row],[Birthweight (grams)]]/Table1[[#This Row],[BW_GA]])-1)/(Backend!$B$4/100*Table1[[#This Row],[BW40_3705]]),"")</f>
        <v/>
      </c>
      <c r="H6027" s="7" t="str">
        <f>IF(Table1[[#This Row],[Is Data Valid]]=TRUE,((Table1[[#This Row],[Birthweight (grams)]]*0.9/Table1[[#This Row],[BW_GA]])-1)/(Backend!$B$4/100*Table1[[#This Row],[BW40_3705]]),"")</f>
        <v/>
      </c>
      <c r="I6027" s="7" t="str">
        <f>IF(Table1[[#This Row],[Is Data Valid]]=TRUE,((Table1[[#This Row],[Birthweight (grams)]]*1.1/Table1[[#This Row],[BW_GA]])-1)/(Backend!$B$4/100*Table1[[#This Row],[BW40_3705]]),"")</f>
        <v/>
      </c>
      <c r="J6027" s="7" t="str">
        <f>IF(Table1[[#This Row],[Is Data Valid]]=TRUE,_xlfn.NORM.S.DIST(Table1[[#This Row],[Birthweight Z-Score]],TRUE)*100,"")</f>
        <v/>
      </c>
      <c r="K6027" s="7" t="str">
        <f>IF(Table1[[#This Row],[Is Data Valid]]=TRUE,_xlfn.NORM.S.DIST(Table1[[#This Row],[Birthweight Z-Score (BW-10%)]],TRUE)*100,"")</f>
        <v/>
      </c>
      <c r="L6027" s="7" t="str">
        <f>IF(Table1[[#This Row],[Is Data Valid]]=TRUE,_xlfn.NORM.S.DIST(Table1[[#This Row],[Birthweight Z-Score (BW+10%)]],TRUE)*100,"")</f>
        <v/>
      </c>
    </row>
    <row r="6028" spans="1:12" x14ac:dyDescent="0.35">
      <c r="A6028" s="3"/>
      <c r="B6028" s="2"/>
      <c r="C6028" s="2"/>
      <c r="D6028" s="2" t="b">
        <f>IF(AND(NOT(ISBLANK(Table1[[#This Row],[Fetal Sex (Male, Female or Unknown)]])),ISNUMBER(Table1[[#This Row],[Birthweight (grams)]]),ISNUMBER(Table1[[#This Row],[Gestation (days)]])),TRUE,FALSE)</f>
        <v>0</v>
      </c>
      <c r="E6028" s="2" t="str">
        <f>IF(Table1[[#This Row],[Is Data Valid]]=TRUE,IF(Table1[[#This Row],[Fetal Sex (Male, Female or Unknown)]]="Male",Backend!$C$6,IF(Table1[[#This Row],[Fetal Sex (Male, Female or Unknown)]]="Female",Backend!$C$7,IF(Table1[[#This Row],[Fetal Sex (Male, Female or Unknown)]]="Unknown",Backend!$C$8,"Error"))),"")</f>
        <v/>
      </c>
      <c r="F6028" s="8" t="str">
        <f>IF(Table1[[#This Row],[Is Data Valid]]=TRUE,EXP(0.578+0.332*((Table1[[#This Row],[Gestation (days)]]+0.5)/7)-0.00354*((Table1[[#This Row],[Gestation (days)]]+0.5)/7)^2)*Table1[[#This Row],[BW40_3705]],"")</f>
        <v/>
      </c>
      <c r="G6028" s="2" t="str">
        <f>IF(Table1[[#This Row],[Is Data Valid]]=TRUE,((Table1[[#This Row],[Birthweight (grams)]]/Table1[[#This Row],[BW_GA]])-1)/(Backend!$B$4/100*Table1[[#This Row],[BW40_3705]]),"")</f>
        <v/>
      </c>
      <c r="H6028" s="7" t="str">
        <f>IF(Table1[[#This Row],[Is Data Valid]]=TRUE,((Table1[[#This Row],[Birthweight (grams)]]*0.9/Table1[[#This Row],[BW_GA]])-1)/(Backend!$B$4/100*Table1[[#This Row],[BW40_3705]]),"")</f>
        <v/>
      </c>
      <c r="I6028" s="7" t="str">
        <f>IF(Table1[[#This Row],[Is Data Valid]]=TRUE,((Table1[[#This Row],[Birthweight (grams)]]*1.1/Table1[[#This Row],[BW_GA]])-1)/(Backend!$B$4/100*Table1[[#This Row],[BW40_3705]]),"")</f>
        <v/>
      </c>
      <c r="J6028" s="7" t="str">
        <f>IF(Table1[[#This Row],[Is Data Valid]]=TRUE,_xlfn.NORM.S.DIST(Table1[[#This Row],[Birthweight Z-Score]],TRUE)*100,"")</f>
        <v/>
      </c>
      <c r="K6028" s="7" t="str">
        <f>IF(Table1[[#This Row],[Is Data Valid]]=TRUE,_xlfn.NORM.S.DIST(Table1[[#This Row],[Birthweight Z-Score (BW-10%)]],TRUE)*100,"")</f>
        <v/>
      </c>
      <c r="L6028" s="7" t="str">
        <f>IF(Table1[[#This Row],[Is Data Valid]]=TRUE,_xlfn.NORM.S.DIST(Table1[[#This Row],[Birthweight Z-Score (BW+10%)]],TRUE)*100,"")</f>
        <v/>
      </c>
    </row>
    <row r="6029" spans="1:12" x14ac:dyDescent="0.35">
      <c r="A6029" s="3"/>
      <c r="B6029" s="2"/>
      <c r="C6029" s="2"/>
      <c r="D6029" s="2" t="b">
        <f>IF(AND(NOT(ISBLANK(Table1[[#This Row],[Fetal Sex (Male, Female or Unknown)]])),ISNUMBER(Table1[[#This Row],[Birthweight (grams)]]),ISNUMBER(Table1[[#This Row],[Gestation (days)]])),TRUE,FALSE)</f>
        <v>0</v>
      </c>
      <c r="E6029" s="2" t="str">
        <f>IF(Table1[[#This Row],[Is Data Valid]]=TRUE,IF(Table1[[#This Row],[Fetal Sex (Male, Female or Unknown)]]="Male",Backend!$C$6,IF(Table1[[#This Row],[Fetal Sex (Male, Female or Unknown)]]="Female",Backend!$C$7,IF(Table1[[#This Row],[Fetal Sex (Male, Female or Unknown)]]="Unknown",Backend!$C$8,"Error"))),"")</f>
        <v/>
      </c>
      <c r="F6029" s="8" t="str">
        <f>IF(Table1[[#This Row],[Is Data Valid]]=TRUE,EXP(0.578+0.332*((Table1[[#This Row],[Gestation (days)]]+0.5)/7)-0.00354*((Table1[[#This Row],[Gestation (days)]]+0.5)/7)^2)*Table1[[#This Row],[BW40_3705]],"")</f>
        <v/>
      </c>
      <c r="G6029" s="2" t="str">
        <f>IF(Table1[[#This Row],[Is Data Valid]]=TRUE,((Table1[[#This Row],[Birthweight (grams)]]/Table1[[#This Row],[BW_GA]])-1)/(Backend!$B$4/100*Table1[[#This Row],[BW40_3705]]),"")</f>
        <v/>
      </c>
      <c r="H6029" s="7" t="str">
        <f>IF(Table1[[#This Row],[Is Data Valid]]=TRUE,((Table1[[#This Row],[Birthweight (grams)]]*0.9/Table1[[#This Row],[BW_GA]])-1)/(Backend!$B$4/100*Table1[[#This Row],[BW40_3705]]),"")</f>
        <v/>
      </c>
      <c r="I6029" s="7" t="str">
        <f>IF(Table1[[#This Row],[Is Data Valid]]=TRUE,((Table1[[#This Row],[Birthweight (grams)]]*1.1/Table1[[#This Row],[BW_GA]])-1)/(Backend!$B$4/100*Table1[[#This Row],[BW40_3705]]),"")</f>
        <v/>
      </c>
      <c r="J6029" s="7" t="str">
        <f>IF(Table1[[#This Row],[Is Data Valid]]=TRUE,_xlfn.NORM.S.DIST(Table1[[#This Row],[Birthweight Z-Score]],TRUE)*100,"")</f>
        <v/>
      </c>
      <c r="K6029" s="7" t="str">
        <f>IF(Table1[[#This Row],[Is Data Valid]]=TRUE,_xlfn.NORM.S.DIST(Table1[[#This Row],[Birthweight Z-Score (BW-10%)]],TRUE)*100,"")</f>
        <v/>
      </c>
      <c r="L6029" s="7" t="str">
        <f>IF(Table1[[#This Row],[Is Data Valid]]=TRUE,_xlfn.NORM.S.DIST(Table1[[#This Row],[Birthweight Z-Score (BW+10%)]],TRUE)*100,"")</f>
        <v/>
      </c>
    </row>
    <row r="6030" spans="1:12" x14ac:dyDescent="0.35">
      <c r="A6030" s="3"/>
      <c r="B6030" s="2"/>
      <c r="C6030" s="2"/>
      <c r="D6030" s="2" t="b">
        <f>IF(AND(NOT(ISBLANK(Table1[[#This Row],[Fetal Sex (Male, Female or Unknown)]])),ISNUMBER(Table1[[#This Row],[Birthweight (grams)]]),ISNUMBER(Table1[[#This Row],[Gestation (days)]])),TRUE,FALSE)</f>
        <v>0</v>
      </c>
      <c r="E6030" s="2" t="str">
        <f>IF(Table1[[#This Row],[Is Data Valid]]=TRUE,IF(Table1[[#This Row],[Fetal Sex (Male, Female or Unknown)]]="Male",Backend!$C$6,IF(Table1[[#This Row],[Fetal Sex (Male, Female or Unknown)]]="Female",Backend!$C$7,IF(Table1[[#This Row],[Fetal Sex (Male, Female or Unknown)]]="Unknown",Backend!$C$8,"Error"))),"")</f>
        <v/>
      </c>
      <c r="F6030" s="8" t="str">
        <f>IF(Table1[[#This Row],[Is Data Valid]]=TRUE,EXP(0.578+0.332*((Table1[[#This Row],[Gestation (days)]]+0.5)/7)-0.00354*((Table1[[#This Row],[Gestation (days)]]+0.5)/7)^2)*Table1[[#This Row],[BW40_3705]],"")</f>
        <v/>
      </c>
      <c r="G6030" s="2" t="str">
        <f>IF(Table1[[#This Row],[Is Data Valid]]=TRUE,((Table1[[#This Row],[Birthweight (grams)]]/Table1[[#This Row],[BW_GA]])-1)/(Backend!$B$4/100*Table1[[#This Row],[BW40_3705]]),"")</f>
        <v/>
      </c>
      <c r="H6030" s="7" t="str">
        <f>IF(Table1[[#This Row],[Is Data Valid]]=TRUE,((Table1[[#This Row],[Birthweight (grams)]]*0.9/Table1[[#This Row],[BW_GA]])-1)/(Backend!$B$4/100*Table1[[#This Row],[BW40_3705]]),"")</f>
        <v/>
      </c>
      <c r="I6030" s="7" t="str">
        <f>IF(Table1[[#This Row],[Is Data Valid]]=TRUE,((Table1[[#This Row],[Birthweight (grams)]]*1.1/Table1[[#This Row],[BW_GA]])-1)/(Backend!$B$4/100*Table1[[#This Row],[BW40_3705]]),"")</f>
        <v/>
      </c>
      <c r="J6030" s="7" t="str">
        <f>IF(Table1[[#This Row],[Is Data Valid]]=TRUE,_xlfn.NORM.S.DIST(Table1[[#This Row],[Birthweight Z-Score]],TRUE)*100,"")</f>
        <v/>
      </c>
      <c r="K6030" s="7" t="str">
        <f>IF(Table1[[#This Row],[Is Data Valid]]=TRUE,_xlfn.NORM.S.DIST(Table1[[#This Row],[Birthweight Z-Score (BW-10%)]],TRUE)*100,"")</f>
        <v/>
      </c>
      <c r="L6030" s="7" t="str">
        <f>IF(Table1[[#This Row],[Is Data Valid]]=TRUE,_xlfn.NORM.S.DIST(Table1[[#This Row],[Birthweight Z-Score (BW+10%)]],TRUE)*100,"")</f>
        <v/>
      </c>
    </row>
    <row r="6031" spans="1:12" x14ac:dyDescent="0.35">
      <c r="A6031" s="3"/>
      <c r="B6031" s="2"/>
      <c r="C6031" s="2"/>
      <c r="D6031" s="2" t="b">
        <f>IF(AND(NOT(ISBLANK(Table1[[#This Row],[Fetal Sex (Male, Female or Unknown)]])),ISNUMBER(Table1[[#This Row],[Birthweight (grams)]]),ISNUMBER(Table1[[#This Row],[Gestation (days)]])),TRUE,FALSE)</f>
        <v>0</v>
      </c>
      <c r="E6031" s="2" t="str">
        <f>IF(Table1[[#This Row],[Is Data Valid]]=TRUE,IF(Table1[[#This Row],[Fetal Sex (Male, Female or Unknown)]]="Male",Backend!$C$6,IF(Table1[[#This Row],[Fetal Sex (Male, Female or Unknown)]]="Female",Backend!$C$7,IF(Table1[[#This Row],[Fetal Sex (Male, Female or Unknown)]]="Unknown",Backend!$C$8,"Error"))),"")</f>
        <v/>
      </c>
      <c r="F6031" s="8" t="str">
        <f>IF(Table1[[#This Row],[Is Data Valid]]=TRUE,EXP(0.578+0.332*((Table1[[#This Row],[Gestation (days)]]+0.5)/7)-0.00354*((Table1[[#This Row],[Gestation (days)]]+0.5)/7)^2)*Table1[[#This Row],[BW40_3705]],"")</f>
        <v/>
      </c>
      <c r="G6031" s="2" t="str">
        <f>IF(Table1[[#This Row],[Is Data Valid]]=TRUE,((Table1[[#This Row],[Birthweight (grams)]]/Table1[[#This Row],[BW_GA]])-1)/(Backend!$B$4/100*Table1[[#This Row],[BW40_3705]]),"")</f>
        <v/>
      </c>
      <c r="H6031" s="7" t="str">
        <f>IF(Table1[[#This Row],[Is Data Valid]]=TRUE,((Table1[[#This Row],[Birthweight (grams)]]*0.9/Table1[[#This Row],[BW_GA]])-1)/(Backend!$B$4/100*Table1[[#This Row],[BW40_3705]]),"")</f>
        <v/>
      </c>
      <c r="I6031" s="7" t="str">
        <f>IF(Table1[[#This Row],[Is Data Valid]]=TRUE,((Table1[[#This Row],[Birthweight (grams)]]*1.1/Table1[[#This Row],[BW_GA]])-1)/(Backend!$B$4/100*Table1[[#This Row],[BW40_3705]]),"")</f>
        <v/>
      </c>
      <c r="J6031" s="7" t="str">
        <f>IF(Table1[[#This Row],[Is Data Valid]]=TRUE,_xlfn.NORM.S.DIST(Table1[[#This Row],[Birthweight Z-Score]],TRUE)*100,"")</f>
        <v/>
      </c>
      <c r="K6031" s="7" t="str">
        <f>IF(Table1[[#This Row],[Is Data Valid]]=TRUE,_xlfn.NORM.S.DIST(Table1[[#This Row],[Birthweight Z-Score (BW-10%)]],TRUE)*100,"")</f>
        <v/>
      </c>
      <c r="L6031" s="7" t="str">
        <f>IF(Table1[[#This Row],[Is Data Valid]]=TRUE,_xlfn.NORM.S.DIST(Table1[[#This Row],[Birthweight Z-Score (BW+10%)]],TRUE)*100,"")</f>
        <v/>
      </c>
    </row>
    <row r="6032" spans="1:12" x14ac:dyDescent="0.35">
      <c r="A6032" s="3"/>
      <c r="B6032" s="2"/>
      <c r="C6032" s="2"/>
      <c r="D6032" s="2" t="b">
        <f>IF(AND(NOT(ISBLANK(Table1[[#This Row],[Fetal Sex (Male, Female or Unknown)]])),ISNUMBER(Table1[[#This Row],[Birthweight (grams)]]),ISNUMBER(Table1[[#This Row],[Gestation (days)]])),TRUE,FALSE)</f>
        <v>0</v>
      </c>
      <c r="E6032" s="2" t="str">
        <f>IF(Table1[[#This Row],[Is Data Valid]]=TRUE,IF(Table1[[#This Row],[Fetal Sex (Male, Female or Unknown)]]="Male",Backend!$C$6,IF(Table1[[#This Row],[Fetal Sex (Male, Female or Unknown)]]="Female",Backend!$C$7,IF(Table1[[#This Row],[Fetal Sex (Male, Female or Unknown)]]="Unknown",Backend!$C$8,"Error"))),"")</f>
        <v/>
      </c>
      <c r="F6032" s="8" t="str">
        <f>IF(Table1[[#This Row],[Is Data Valid]]=TRUE,EXP(0.578+0.332*((Table1[[#This Row],[Gestation (days)]]+0.5)/7)-0.00354*((Table1[[#This Row],[Gestation (days)]]+0.5)/7)^2)*Table1[[#This Row],[BW40_3705]],"")</f>
        <v/>
      </c>
      <c r="G6032" s="2" t="str">
        <f>IF(Table1[[#This Row],[Is Data Valid]]=TRUE,((Table1[[#This Row],[Birthweight (grams)]]/Table1[[#This Row],[BW_GA]])-1)/(Backend!$B$4/100*Table1[[#This Row],[BW40_3705]]),"")</f>
        <v/>
      </c>
      <c r="H6032" s="7" t="str">
        <f>IF(Table1[[#This Row],[Is Data Valid]]=TRUE,((Table1[[#This Row],[Birthweight (grams)]]*0.9/Table1[[#This Row],[BW_GA]])-1)/(Backend!$B$4/100*Table1[[#This Row],[BW40_3705]]),"")</f>
        <v/>
      </c>
      <c r="I6032" s="7" t="str">
        <f>IF(Table1[[#This Row],[Is Data Valid]]=TRUE,((Table1[[#This Row],[Birthweight (grams)]]*1.1/Table1[[#This Row],[BW_GA]])-1)/(Backend!$B$4/100*Table1[[#This Row],[BW40_3705]]),"")</f>
        <v/>
      </c>
      <c r="J6032" s="7" t="str">
        <f>IF(Table1[[#This Row],[Is Data Valid]]=TRUE,_xlfn.NORM.S.DIST(Table1[[#This Row],[Birthweight Z-Score]],TRUE)*100,"")</f>
        <v/>
      </c>
      <c r="K6032" s="7" t="str">
        <f>IF(Table1[[#This Row],[Is Data Valid]]=TRUE,_xlfn.NORM.S.DIST(Table1[[#This Row],[Birthweight Z-Score (BW-10%)]],TRUE)*100,"")</f>
        <v/>
      </c>
      <c r="L6032" s="7" t="str">
        <f>IF(Table1[[#This Row],[Is Data Valid]]=TRUE,_xlfn.NORM.S.DIST(Table1[[#This Row],[Birthweight Z-Score (BW+10%)]],TRUE)*100,"")</f>
        <v/>
      </c>
    </row>
    <row r="6033" spans="1:12" x14ac:dyDescent="0.35">
      <c r="A6033" s="3"/>
      <c r="B6033" s="2"/>
      <c r="C6033" s="2"/>
      <c r="D6033" s="2" t="b">
        <f>IF(AND(NOT(ISBLANK(Table1[[#This Row],[Fetal Sex (Male, Female or Unknown)]])),ISNUMBER(Table1[[#This Row],[Birthweight (grams)]]),ISNUMBER(Table1[[#This Row],[Gestation (days)]])),TRUE,FALSE)</f>
        <v>0</v>
      </c>
      <c r="E6033" s="2" t="str">
        <f>IF(Table1[[#This Row],[Is Data Valid]]=TRUE,IF(Table1[[#This Row],[Fetal Sex (Male, Female or Unknown)]]="Male",Backend!$C$6,IF(Table1[[#This Row],[Fetal Sex (Male, Female or Unknown)]]="Female",Backend!$C$7,IF(Table1[[#This Row],[Fetal Sex (Male, Female or Unknown)]]="Unknown",Backend!$C$8,"Error"))),"")</f>
        <v/>
      </c>
      <c r="F6033" s="8" t="str">
        <f>IF(Table1[[#This Row],[Is Data Valid]]=TRUE,EXP(0.578+0.332*((Table1[[#This Row],[Gestation (days)]]+0.5)/7)-0.00354*((Table1[[#This Row],[Gestation (days)]]+0.5)/7)^2)*Table1[[#This Row],[BW40_3705]],"")</f>
        <v/>
      </c>
      <c r="G6033" s="2" t="str">
        <f>IF(Table1[[#This Row],[Is Data Valid]]=TRUE,((Table1[[#This Row],[Birthweight (grams)]]/Table1[[#This Row],[BW_GA]])-1)/(Backend!$B$4/100*Table1[[#This Row],[BW40_3705]]),"")</f>
        <v/>
      </c>
      <c r="H6033" s="7" t="str">
        <f>IF(Table1[[#This Row],[Is Data Valid]]=TRUE,((Table1[[#This Row],[Birthweight (grams)]]*0.9/Table1[[#This Row],[BW_GA]])-1)/(Backend!$B$4/100*Table1[[#This Row],[BW40_3705]]),"")</f>
        <v/>
      </c>
      <c r="I6033" s="7" t="str">
        <f>IF(Table1[[#This Row],[Is Data Valid]]=TRUE,((Table1[[#This Row],[Birthweight (grams)]]*1.1/Table1[[#This Row],[BW_GA]])-1)/(Backend!$B$4/100*Table1[[#This Row],[BW40_3705]]),"")</f>
        <v/>
      </c>
      <c r="J6033" s="7" t="str">
        <f>IF(Table1[[#This Row],[Is Data Valid]]=TRUE,_xlfn.NORM.S.DIST(Table1[[#This Row],[Birthweight Z-Score]],TRUE)*100,"")</f>
        <v/>
      </c>
      <c r="K6033" s="7" t="str">
        <f>IF(Table1[[#This Row],[Is Data Valid]]=TRUE,_xlfn.NORM.S.DIST(Table1[[#This Row],[Birthweight Z-Score (BW-10%)]],TRUE)*100,"")</f>
        <v/>
      </c>
      <c r="L6033" s="7" t="str">
        <f>IF(Table1[[#This Row],[Is Data Valid]]=TRUE,_xlfn.NORM.S.DIST(Table1[[#This Row],[Birthweight Z-Score (BW+10%)]],TRUE)*100,"")</f>
        <v/>
      </c>
    </row>
    <row r="6034" spans="1:12" x14ac:dyDescent="0.35">
      <c r="A6034" s="3"/>
      <c r="B6034" s="2"/>
      <c r="C6034" s="2"/>
      <c r="D6034" s="2" t="b">
        <f>IF(AND(NOT(ISBLANK(Table1[[#This Row],[Fetal Sex (Male, Female or Unknown)]])),ISNUMBER(Table1[[#This Row],[Birthweight (grams)]]),ISNUMBER(Table1[[#This Row],[Gestation (days)]])),TRUE,FALSE)</f>
        <v>0</v>
      </c>
      <c r="E6034" s="2" t="str">
        <f>IF(Table1[[#This Row],[Is Data Valid]]=TRUE,IF(Table1[[#This Row],[Fetal Sex (Male, Female or Unknown)]]="Male",Backend!$C$6,IF(Table1[[#This Row],[Fetal Sex (Male, Female or Unknown)]]="Female",Backend!$C$7,IF(Table1[[#This Row],[Fetal Sex (Male, Female or Unknown)]]="Unknown",Backend!$C$8,"Error"))),"")</f>
        <v/>
      </c>
      <c r="F6034" s="8" t="str">
        <f>IF(Table1[[#This Row],[Is Data Valid]]=TRUE,EXP(0.578+0.332*((Table1[[#This Row],[Gestation (days)]]+0.5)/7)-0.00354*((Table1[[#This Row],[Gestation (days)]]+0.5)/7)^2)*Table1[[#This Row],[BW40_3705]],"")</f>
        <v/>
      </c>
      <c r="G6034" s="2" t="str">
        <f>IF(Table1[[#This Row],[Is Data Valid]]=TRUE,((Table1[[#This Row],[Birthweight (grams)]]/Table1[[#This Row],[BW_GA]])-1)/(Backend!$B$4/100*Table1[[#This Row],[BW40_3705]]),"")</f>
        <v/>
      </c>
      <c r="H6034" s="7" t="str">
        <f>IF(Table1[[#This Row],[Is Data Valid]]=TRUE,((Table1[[#This Row],[Birthweight (grams)]]*0.9/Table1[[#This Row],[BW_GA]])-1)/(Backend!$B$4/100*Table1[[#This Row],[BW40_3705]]),"")</f>
        <v/>
      </c>
      <c r="I6034" s="7" t="str">
        <f>IF(Table1[[#This Row],[Is Data Valid]]=TRUE,((Table1[[#This Row],[Birthweight (grams)]]*1.1/Table1[[#This Row],[BW_GA]])-1)/(Backend!$B$4/100*Table1[[#This Row],[BW40_3705]]),"")</f>
        <v/>
      </c>
      <c r="J6034" s="7" t="str">
        <f>IF(Table1[[#This Row],[Is Data Valid]]=TRUE,_xlfn.NORM.S.DIST(Table1[[#This Row],[Birthweight Z-Score]],TRUE)*100,"")</f>
        <v/>
      </c>
      <c r="K6034" s="7" t="str">
        <f>IF(Table1[[#This Row],[Is Data Valid]]=TRUE,_xlfn.NORM.S.DIST(Table1[[#This Row],[Birthweight Z-Score (BW-10%)]],TRUE)*100,"")</f>
        <v/>
      </c>
      <c r="L6034" s="7" t="str">
        <f>IF(Table1[[#This Row],[Is Data Valid]]=TRUE,_xlfn.NORM.S.DIST(Table1[[#This Row],[Birthweight Z-Score (BW+10%)]],TRUE)*100,"")</f>
        <v/>
      </c>
    </row>
    <row r="6035" spans="1:12" x14ac:dyDescent="0.35">
      <c r="A6035" s="3"/>
      <c r="B6035" s="2"/>
      <c r="C6035" s="2"/>
      <c r="D6035" s="2" t="b">
        <f>IF(AND(NOT(ISBLANK(Table1[[#This Row],[Fetal Sex (Male, Female or Unknown)]])),ISNUMBER(Table1[[#This Row],[Birthweight (grams)]]),ISNUMBER(Table1[[#This Row],[Gestation (days)]])),TRUE,FALSE)</f>
        <v>0</v>
      </c>
      <c r="E6035" s="2" t="str">
        <f>IF(Table1[[#This Row],[Is Data Valid]]=TRUE,IF(Table1[[#This Row],[Fetal Sex (Male, Female or Unknown)]]="Male",Backend!$C$6,IF(Table1[[#This Row],[Fetal Sex (Male, Female or Unknown)]]="Female",Backend!$C$7,IF(Table1[[#This Row],[Fetal Sex (Male, Female or Unknown)]]="Unknown",Backend!$C$8,"Error"))),"")</f>
        <v/>
      </c>
      <c r="F6035" s="8" t="str">
        <f>IF(Table1[[#This Row],[Is Data Valid]]=TRUE,EXP(0.578+0.332*((Table1[[#This Row],[Gestation (days)]]+0.5)/7)-0.00354*((Table1[[#This Row],[Gestation (days)]]+0.5)/7)^2)*Table1[[#This Row],[BW40_3705]],"")</f>
        <v/>
      </c>
      <c r="G6035" s="2" t="str">
        <f>IF(Table1[[#This Row],[Is Data Valid]]=TRUE,((Table1[[#This Row],[Birthweight (grams)]]/Table1[[#This Row],[BW_GA]])-1)/(Backend!$B$4/100*Table1[[#This Row],[BW40_3705]]),"")</f>
        <v/>
      </c>
      <c r="H6035" s="7" t="str">
        <f>IF(Table1[[#This Row],[Is Data Valid]]=TRUE,((Table1[[#This Row],[Birthweight (grams)]]*0.9/Table1[[#This Row],[BW_GA]])-1)/(Backend!$B$4/100*Table1[[#This Row],[BW40_3705]]),"")</f>
        <v/>
      </c>
      <c r="I6035" s="7" t="str">
        <f>IF(Table1[[#This Row],[Is Data Valid]]=TRUE,((Table1[[#This Row],[Birthweight (grams)]]*1.1/Table1[[#This Row],[BW_GA]])-1)/(Backend!$B$4/100*Table1[[#This Row],[BW40_3705]]),"")</f>
        <v/>
      </c>
      <c r="J6035" s="7" t="str">
        <f>IF(Table1[[#This Row],[Is Data Valid]]=TRUE,_xlfn.NORM.S.DIST(Table1[[#This Row],[Birthweight Z-Score]],TRUE)*100,"")</f>
        <v/>
      </c>
      <c r="K6035" s="7" t="str">
        <f>IF(Table1[[#This Row],[Is Data Valid]]=TRUE,_xlfn.NORM.S.DIST(Table1[[#This Row],[Birthweight Z-Score (BW-10%)]],TRUE)*100,"")</f>
        <v/>
      </c>
      <c r="L6035" s="7" t="str">
        <f>IF(Table1[[#This Row],[Is Data Valid]]=TRUE,_xlfn.NORM.S.DIST(Table1[[#This Row],[Birthweight Z-Score (BW+10%)]],TRUE)*100,"")</f>
        <v/>
      </c>
    </row>
    <row r="6036" spans="1:12" x14ac:dyDescent="0.35">
      <c r="A6036" s="3"/>
      <c r="B6036" s="2"/>
      <c r="C6036" s="2"/>
      <c r="D6036" s="2" t="b">
        <f>IF(AND(NOT(ISBLANK(Table1[[#This Row],[Fetal Sex (Male, Female or Unknown)]])),ISNUMBER(Table1[[#This Row],[Birthweight (grams)]]),ISNUMBER(Table1[[#This Row],[Gestation (days)]])),TRUE,FALSE)</f>
        <v>0</v>
      </c>
      <c r="E6036" s="2" t="str">
        <f>IF(Table1[[#This Row],[Is Data Valid]]=TRUE,IF(Table1[[#This Row],[Fetal Sex (Male, Female or Unknown)]]="Male",Backend!$C$6,IF(Table1[[#This Row],[Fetal Sex (Male, Female or Unknown)]]="Female",Backend!$C$7,IF(Table1[[#This Row],[Fetal Sex (Male, Female or Unknown)]]="Unknown",Backend!$C$8,"Error"))),"")</f>
        <v/>
      </c>
      <c r="F6036" s="8" t="str">
        <f>IF(Table1[[#This Row],[Is Data Valid]]=TRUE,EXP(0.578+0.332*((Table1[[#This Row],[Gestation (days)]]+0.5)/7)-0.00354*((Table1[[#This Row],[Gestation (days)]]+0.5)/7)^2)*Table1[[#This Row],[BW40_3705]],"")</f>
        <v/>
      </c>
      <c r="G6036" s="2" t="str">
        <f>IF(Table1[[#This Row],[Is Data Valid]]=TRUE,((Table1[[#This Row],[Birthweight (grams)]]/Table1[[#This Row],[BW_GA]])-1)/(Backend!$B$4/100*Table1[[#This Row],[BW40_3705]]),"")</f>
        <v/>
      </c>
      <c r="H6036" s="7" t="str">
        <f>IF(Table1[[#This Row],[Is Data Valid]]=TRUE,((Table1[[#This Row],[Birthweight (grams)]]*0.9/Table1[[#This Row],[BW_GA]])-1)/(Backend!$B$4/100*Table1[[#This Row],[BW40_3705]]),"")</f>
        <v/>
      </c>
      <c r="I6036" s="7" t="str">
        <f>IF(Table1[[#This Row],[Is Data Valid]]=TRUE,((Table1[[#This Row],[Birthweight (grams)]]*1.1/Table1[[#This Row],[BW_GA]])-1)/(Backend!$B$4/100*Table1[[#This Row],[BW40_3705]]),"")</f>
        <v/>
      </c>
      <c r="J6036" s="7" t="str">
        <f>IF(Table1[[#This Row],[Is Data Valid]]=TRUE,_xlfn.NORM.S.DIST(Table1[[#This Row],[Birthweight Z-Score]],TRUE)*100,"")</f>
        <v/>
      </c>
      <c r="K6036" s="7" t="str">
        <f>IF(Table1[[#This Row],[Is Data Valid]]=TRUE,_xlfn.NORM.S.DIST(Table1[[#This Row],[Birthweight Z-Score (BW-10%)]],TRUE)*100,"")</f>
        <v/>
      </c>
      <c r="L6036" s="7" t="str">
        <f>IF(Table1[[#This Row],[Is Data Valid]]=TRUE,_xlfn.NORM.S.DIST(Table1[[#This Row],[Birthweight Z-Score (BW+10%)]],TRUE)*100,"")</f>
        <v/>
      </c>
    </row>
    <row r="6037" spans="1:12" x14ac:dyDescent="0.35">
      <c r="A6037" s="3"/>
      <c r="B6037" s="2"/>
      <c r="C6037" s="2"/>
      <c r="D6037" s="2" t="b">
        <f>IF(AND(NOT(ISBLANK(Table1[[#This Row],[Fetal Sex (Male, Female or Unknown)]])),ISNUMBER(Table1[[#This Row],[Birthweight (grams)]]),ISNUMBER(Table1[[#This Row],[Gestation (days)]])),TRUE,FALSE)</f>
        <v>0</v>
      </c>
      <c r="E6037" s="2" t="str">
        <f>IF(Table1[[#This Row],[Is Data Valid]]=TRUE,IF(Table1[[#This Row],[Fetal Sex (Male, Female or Unknown)]]="Male",Backend!$C$6,IF(Table1[[#This Row],[Fetal Sex (Male, Female or Unknown)]]="Female",Backend!$C$7,IF(Table1[[#This Row],[Fetal Sex (Male, Female or Unknown)]]="Unknown",Backend!$C$8,"Error"))),"")</f>
        <v/>
      </c>
      <c r="F6037" s="8" t="str">
        <f>IF(Table1[[#This Row],[Is Data Valid]]=TRUE,EXP(0.578+0.332*((Table1[[#This Row],[Gestation (days)]]+0.5)/7)-0.00354*((Table1[[#This Row],[Gestation (days)]]+0.5)/7)^2)*Table1[[#This Row],[BW40_3705]],"")</f>
        <v/>
      </c>
      <c r="G6037" s="2" t="str">
        <f>IF(Table1[[#This Row],[Is Data Valid]]=TRUE,((Table1[[#This Row],[Birthweight (grams)]]/Table1[[#This Row],[BW_GA]])-1)/(Backend!$B$4/100*Table1[[#This Row],[BW40_3705]]),"")</f>
        <v/>
      </c>
      <c r="H6037" s="7" t="str">
        <f>IF(Table1[[#This Row],[Is Data Valid]]=TRUE,((Table1[[#This Row],[Birthweight (grams)]]*0.9/Table1[[#This Row],[BW_GA]])-1)/(Backend!$B$4/100*Table1[[#This Row],[BW40_3705]]),"")</f>
        <v/>
      </c>
      <c r="I6037" s="7" t="str">
        <f>IF(Table1[[#This Row],[Is Data Valid]]=TRUE,((Table1[[#This Row],[Birthweight (grams)]]*1.1/Table1[[#This Row],[BW_GA]])-1)/(Backend!$B$4/100*Table1[[#This Row],[BW40_3705]]),"")</f>
        <v/>
      </c>
      <c r="J6037" s="7" t="str">
        <f>IF(Table1[[#This Row],[Is Data Valid]]=TRUE,_xlfn.NORM.S.DIST(Table1[[#This Row],[Birthweight Z-Score]],TRUE)*100,"")</f>
        <v/>
      </c>
      <c r="K6037" s="7" t="str">
        <f>IF(Table1[[#This Row],[Is Data Valid]]=TRUE,_xlfn.NORM.S.DIST(Table1[[#This Row],[Birthweight Z-Score (BW-10%)]],TRUE)*100,"")</f>
        <v/>
      </c>
      <c r="L6037" s="7" t="str">
        <f>IF(Table1[[#This Row],[Is Data Valid]]=TRUE,_xlfn.NORM.S.DIST(Table1[[#This Row],[Birthweight Z-Score (BW+10%)]],TRUE)*100,"")</f>
        <v/>
      </c>
    </row>
    <row r="6038" spans="1:12" x14ac:dyDescent="0.35">
      <c r="A6038" s="3"/>
      <c r="B6038" s="2"/>
      <c r="C6038" s="2"/>
      <c r="D6038" s="2" t="b">
        <f>IF(AND(NOT(ISBLANK(Table1[[#This Row],[Fetal Sex (Male, Female or Unknown)]])),ISNUMBER(Table1[[#This Row],[Birthweight (grams)]]),ISNUMBER(Table1[[#This Row],[Gestation (days)]])),TRUE,FALSE)</f>
        <v>0</v>
      </c>
      <c r="E6038" s="2" t="str">
        <f>IF(Table1[[#This Row],[Is Data Valid]]=TRUE,IF(Table1[[#This Row],[Fetal Sex (Male, Female or Unknown)]]="Male",Backend!$C$6,IF(Table1[[#This Row],[Fetal Sex (Male, Female or Unknown)]]="Female",Backend!$C$7,IF(Table1[[#This Row],[Fetal Sex (Male, Female or Unknown)]]="Unknown",Backend!$C$8,"Error"))),"")</f>
        <v/>
      </c>
      <c r="F6038" s="8" t="str">
        <f>IF(Table1[[#This Row],[Is Data Valid]]=TRUE,EXP(0.578+0.332*((Table1[[#This Row],[Gestation (days)]]+0.5)/7)-0.00354*((Table1[[#This Row],[Gestation (days)]]+0.5)/7)^2)*Table1[[#This Row],[BW40_3705]],"")</f>
        <v/>
      </c>
      <c r="G6038" s="2" t="str">
        <f>IF(Table1[[#This Row],[Is Data Valid]]=TRUE,((Table1[[#This Row],[Birthweight (grams)]]/Table1[[#This Row],[BW_GA]])-1)/(Backend!$B$4/100*Table1[[#This Row],[BW40_3705]]),"")</f>
        <v/>
      </c>
      <c r="H6038" s="7" t="str">
        <f>IF(Table1[[#This Row],[Is Data Valid]]=TRUE,((Table1[[#This Row],[Birthweight (grams)]]*0.9/Table1[[#This Row],[BW_GA]])-1)/(Backend!$B$4/100*Table1[[#This Row],[BW40_3705]]),"")</f>
        <v/>
      </c>
      <c r="I6038" s="7" t="str">
        <f>IF(Table1[[#This Row],[Is Data Valid]]=TRUE,((Table1[[#This Row],[Birthweight (grams)]]*1.1/Table1[[#This Row],[BW_GA]])-1)/(Backend!$B$4/100*Table1[[#This Row],[BW40_3705]]),"")</f>
        <v/>
      </c>
      <c r="J6038" s="7" t="str">
        <f>IF(Table1[[#This Row],[Is Data Valid]]=TRUE,_xlfn.NORM.S.DIST(Table1[[#This Row],[Birthweight Z-Score]],TRUE)*100,"")</f>
        <v/>
      </c>
      <c r="K6038" s="7" t="str">
        <f>IF(Table1[[#This Row],[Is Data Valid]]=TRUE,_xlfn.NORM.S.DIST(Table1[[#This Row],[Birthweight Z-Score (BW-10%)]],TRUE)*100,"")</f>
        <v/>
      </c>
      <c r="L6038" s="7" t="str">
        <f>IF(Table1[[#This Row],[Is Data Valid]]=TRUE,_xlfn.NORM.S.DIST(Table1[[#This Row],[Birthweight Z-Score (BW+10%)]],TRUE)*100,"")</f>
        <v/>
      </c>
    </row>
    <row r="6039" spans="1:12" x14ac:dyDescent="0.35">
      <c r="A6039" s="3"/>
      <c r="B6039" s="2"/>
      <c r="C6039" s="2"/>
      <c r="D6039" s="2" t="b">
        <f>IF(AND(NOT(ISBLANK(Table1[[#This Row],[Fetal Sex (Male, Female or Unknown)]])),ISNUMBER(Table1[[#This Row],[Birthweight (grams)]]),ISNUMBER(Table1[[#This Row],[Gestation (days)]])),TRUE,FALSE)</f>
        <v>0</v>
      </c>
      <c r="E6039" s="2" t="str">
        <f>IF(Table1[[#This Row],[Is Data Valid]]=TRUE,IF(Table1[[#This Row],[Fetal Sex (Male, Female or Unknown)]]="Male",Backend!$C$6,IF(Table1[[#This Row],[Fetal Sex (Male, Female or Unknown)]]="Female",Backend!$C$7,IF(Table1[[#This Row],[Fetal Sex (Male, Female or Unknown)]]="Unknown",Backend!$C$8,"Error"))),"")</f>
        <v/>
      </c>
      <c r="F6039" s="8" t="str">
        <f>IF(Table1[[#This Row],[Is Data Valid]]=TRUE,EXP(0.578+0.332*((Table1[[#This Row],[Gestation (days)]]+0.5)/7)-0.00354*((Table1[[#This Row],[Gestation (days)]]+0.5)/7)^2)*Table1[[#This Row],[BW40_3705]],"")</f>
        <v/>
      </c>
      <c r="G6039" s="2" t="str">
        <f>IF(Table1[[#This Row],[Is Data Valid]]=TRUE,((Table1[[#This Row],[Birthweight (grams)]]/Table1[[#This Row],[BW_GA]])-1)/(Backend!$B$4/100*Table1[[#This Row],[BW40_3705]]),"")</f>
        <v/>
      </c>
      <c r="H6039" s="7" t="str">
        <f>IF(Table1[[#This Row],[Is Data Valid]]=TRUE,((Table1[[#This Row],[Birthweight (grams)]]*0.9/Table1[[#This Row],[BW_GA]])-1)/(Backend!$B$4/100*Table1[[#This Row],[BW40_3705]]),"")</f>
        <v/>
      </c>
      <c r="I6039" s="7" t="str">
        <f>IF(Table1[[#This Row],[Is Data Valid]]=TRUE,((Table1[[#This Row],[Birthweight (grams)]]*1.1/Table1[[#This Row],[BW_GA]])-1)/(Backend!$B$4/100*Table1[[#This Row],[BW40_3705]]),"")</f>
        <v/>
      </c>
      <c r="J6039" s="7" t="str">
        <f>IF(Table1[[#This Row],[Is Data Valid]]=TRUE,_xlfn.NORM.S.DIST(Table1[[#This Row],[Birthweight Z-Score]],TRUE)*100,"")</f>
        <v/>
      </c>
      <c r="K6039" s="7" t="str">
        <f>IF(Table1[[#This Row],[Is Data Valid]]=TRUE,_xlfn.NORM.S.DIST(Table1[[#This Row],[Birthweight Z-Score (BW-10%)]],TRUE)*100,"")</f>
        <v/>
      </c>
      <c r="L6039" s="7" t="str">
        <f>IF(Table1[[#This Row],[Is Data Valid]]=TRUE,_xlfn.NORM.S.DIST(Table1[[#This Row],[Birthweight Z-Score (BW+10%)]],TRUE)*100,"")</f>
        <v/>
      </c>
    </row>
    <row r="6040" spans="1:12" x14ac:dyDescent="0.35">
      <c r="A6040" s="3"/>
      <c r="B6040" s="2"/>
      <c r="C6040" s="2"/>
      <c r="D6040" s="2" t="b">
        <f>IF(AND(NOT(ISBLANK(Table1[[#This Row],[Fetal Sex (Male, Female or Unknown)]])),ISNUMBER(Table1[[#This Row],[Birthweight (grams)]]),ISNUMBER(Table1[[#This Row],[Gestation (days)]])),TRUE,FALSE)</f>
        <v>0</v>
      </c>
      <c r="E6040" s="2" t="str">
        <f>IF(Table1[[#This Row],[Is Data Valid]]=TRUE,IF(Table1[[#This Row],[Fetal Sex (Male, Female or Unknown)]]="Male",Backend!$C$6,IF(Table1[[#This Row],[Fetal Sex (Male, Female or Unknown)]]="Female",Backend!$C$7,IF(Table1[[#This Row],[Fetal Sex (Male, Female or Unknown)]]="Unknown",Backend!$C$8,"Error"))),"")</f>
        <v/>
      </c>
      <c r="F6040" s="8" t="str">
        <f>IF(Table1[[#This Row],[Is Data Valid]]=TRUE,EXP(0.578+0.332*((Table1[[#This Row],[Gestation (days)]]+0.5)/7)-0.00354*((Table1[[#This Row],[Gestation (days)]]+0.5)/7)^2)*Table1[[#This Row],[BW40_3705]],"")</f>
        <v/>
      </c>
      <c r="G6040" s="2" t="str">
        <f>IF(Table1[[#This Row],[Is Data Valid]]=TRUE,((Table1[[#This Row],[Birthweight (grams)]]/Table1[[#This Row],[BW_GA]])-1)/(Backend!$B$4/100*Table1[[#This Row],[BW40_3705]]),"")</f>
        <v/>
      </c>
      <c r="H6040" s="7" t="str">
        <f>IF(Table1[[#This Row],[Is Data Valid]]=TRUE,((Table1[[#This Row],[Birthweight (grams)]]*0.9/Table1[[#This Row],[BW_GA]])-1)/(Backend!$B$4/100*Table1[[#This Row],[BW40_3705]]),"")</f>
        <v/>
      </c>
      <c r="I6040" s="7" t="str">
        <f>IF(Table1[[#This Row],[Is Data Valid]]=TRUE,((Table1[[#This Row],[Birthweight (grams)]]*1.1/Table1[[#This Row],[BW_GA]])-1)/(Backend!$B$4/100*Table1[[#This Row],[BW40_3705]]),"")</f>
        <v/>
      </c>
      <c r="J6040" s="7" t="str">
        <f>IF(Table1[[#This Row],[Is Data Valid]]=TRUE,_xlfn.NORM.S.DIST(Table1[[#This Row],[Birthweight Z-Score]],TRUE)*100,"")</f>
        <v/>
      </c>
      <c r="K6040" s="7" t="str">
        <f>IF(Table1[[#This Row],[Is Data Valid]]=TRUE,_xlfn.NORM.S.DIST(Table1[[#This Row],[Birthweight Z-Score (BW-10%)]],TRUE)*100,"")</f>
        <v/>
      </c>
      <c r="L6040" s="7" t="str">
        <f>IF(Table1[[#This Row],[Is Data Valid]]=TRUE,_xlfn.NORM.S.DIST(Table1[[#This Row],[Birthweight Z-Score (BW+10%)]],TRUE)*100,"")</f>
        <v/>
      </c>
    </row>
    <row r="6041" spans="1:12" x14ac:dyDescent="0.35">
      <c r="A6041" s="3"/>
      <c r="B6041" s="2"/>
      <c r="C6041" s="2"/>
      <c r="D6041" s="2" t="b">
        <f>IF(AND(NOT(ISBLANK(Table1[[#This Row],[Fetal Sex (Male, Female or Unknown)]])),ISNUMBER(Table1[[#This Row],[Birthweight (grams)]]),ISNUMBER(Table1[[#This Row],[Gestation (days)]])),TRUE,FALSE)</f>
        <v>0</v>
      </c>
      <c r="E6041" s="2" t="str">
        <f>IF(Table1[[#This Row],[Is Data Valid]]=TRUE,IF(Table1[[#This Row],[Fetal Sex (Male, Female or Unknown)]]="Male",Backend!$C$6,IF(Table1[[#This Row],[Fetal Sex (Male, Female or Unknown)]]="Female",Backend!$C$7,IF(Table1[[#This Row],[Fetal Sex (Male, Female or Unknown)]]="Unknown",Backend!$C$8,"Error"))),"")</f>
        <v/>
      </c>
      <c r="F6041" s="8" t="str">
        <f>IF(Table1[[#This Row],[Is Data Valid]]=TRUE,EXP(0.578+0.332*((Table1[[#This Row],[Gestation (days)]]+0.5)/7)-0.00354*((Table1[[#This Row],[Gestation (days)]]+0.5)/7)^2)*Table1[[#This Row],[BW40_3705]],"")</f>
        <v/>
      </c>
      <c r="G6041" s="2" t="str">
        <f>IF(Table1[[#This Row],[Is Data Valid]]=TRUE,((Table1[[#This Row],[Birthweight (grams)]]/Table1[[#This Row],[BW_GA]])-1)/(Backend!$B$4/100*Table1[[#This Row],[BW40_3705]]),"")</f>
        <v/>
      </c>
      <c r="H6041" s="7" t="str">
        <f>IF(Table1[[#This Row],[Is Data Valid]]=TRUE,((Table1[[#This Row],[Birthweight (grams)]]*0.9/Table1[[#This Row],[BW_GA]])-1)/(Backend!$B$4/100*Table1[[#This Row],[BW40_3705]]),"")</f>
        <v/>
      </c>
      <c r="I6041" s="7" t="str">
        <f>IF(Table1[[#This Row],[Is Data Valid]]=TRUE,((Table1[[#This Row],[Birthweight (grams)]]*1.1/Table1[[#This Row],[BW_GA]])-1)/(Backend!$B$4/100*Table1[[#This Row],[BW40_3705]]),"")</f>
        <v/>
      </c>
      <c r="J6041" s="7" t="str">
        <f>IF(Table1[[#This Row],[Is Data Valid]]=TRUE,_xlfn.NORM.S.DIST(Table1[[#This Row],[Birthweight Z-Score]],TRUE)*100,"")</f>
        <v/>
      </c>
      <c r="K6041" s="7" t="str">
        <f>IF(Table1[[#This Row],[Is Data Valid]]=TRUE,_xlfn.NORM.S.DIST(Table1[[#This Row],[Birthweight Z-Score (BW-10%)]],TRUE)*100,"")</f>
        <v/>
      </c>
      <c r="L6041" s="7" t="str">
        <f>IF(Table1[[#This Row],[Is Data Valid]]=TRUE,_xlfn.NORM.S.DIST(Table1[[#This Row],[Birthweight Z-Score (BW+10%)]],TRUE)*100,"")</f>
        <v/>
      </c>
    </row>
    <row r="6042" spans="1:12" x14ac:dyDescent="0.35">
      <c r="A6042" s="3"/>
      <c r="B6042" s="2"/>
      <c r="C6042" s="2"/>
      <c r="D6042" s="2" t="b">
        <f>IF(AND(NOT(ISBLANK(Table1[[#This Row],[Fetal Sex (Male, Female or Unknown)]])),ISNUMBER(Table1[[#This Row],[Birthweight (grams)]]),ISNUMBER(Table1[[#This Row],[Gestation (days)]])),TRUE,FALSE)</f>
        <v>0</v>
      </c>
      <c r="E6042" s="2" t="str">
        <f>IF(Table1[[#This Row],[Is Data Valid]]=TRUE,IF(Table1[[#This Row],[Fetal Sex (Male, Female or Unknown)]]="Male",Backend!$C$6,IF(Table1[[#This Row],[Fetal Sex (Male, Female or Unknown)]]="Female",Backend!$C$7,IF(Table1[[#This Row],[Fetal Sex (Male, Female or Unknown)]]="Unknown",Backend!$C$8,"Error"))),"")</f>
        <v/>
      </c>
      <c r="F6042" s="8" t="str">
        <f>IF(Table1[[#This Row],[Is Data Valid]]=TRUE,EXP(0.578+0.332*((Table1[[#This Row],[Gestation (days)]]+0.5)/7)-0.00354*((Table1[[#This Row],[Gestation (days)]]+0.5)/7)^2)*Table1[[#This Row],[BW40_3705]],"")</f>
        <v/>
      </c>
      <c r="G6042" s="2" t="str">
        <f>IF(Table1[[#This Row],[Is Data Valid]]=TRUE,((Table1[[#This Row],[Birthweight (grams)]]/Table1[[#This Row],[BW_GA]])-1)/(Backend!$B$4/100*Table1[[#This Row],[BW40_3705]]),"")</f>
        <v/>
      </c>
      <c r="H6042" s="7" t="str">
        <f>IF(Table1[[#This Row],[Is Data Valid]]=TRUE,((Table1[[#This Row],[Birthweight (grams)]]*0.9/Table1[[#This Row],[BW_GA]])-1)/(Backend!$B$4/100*Table1[[#This Row],[BW40_3705]]),"")</f>
        <v/>
      </c>
      <c r="I6042" s="7" t="str">
        <f>IF(Table1[[#This Row],[Is Data Valid]]=TRUE,((Table1[[#This Row],[Birthweight (grams)]]*1.1/Table1[[#This Row],[BW_GA]])-1)/(Backend!$B$4/100*Table1[[#This Row],[BW40_3705]]),"")</f>
        <v/>
      </c>
      <c r="J6042" s="7" t="str">
        <f>IF(Table1[[#This Row],[Is Data Valid]]=TRUE,_xlfn.NORM.S.DIST(Table1[[#This Row],[Birthweight Z-Score]],TRUE)*100,"")</f>
        <v/>
      </c>
      <c r="K6042" s="7" t="str">
        <f>IF(Table1[[#This Row],[Is Data Valid]]=TRUE,_xlfn.NORM.S.DIST(Table1[[#This Row],[Birthweight Z-Score (BW-10%)]],TRUE)*100,"")</f>
        <v/>
      </c>
      <c r="L6042" s="7" t="str">
        <f>IF(Table1[[#This Row],[Is Data Valid]]=TRUE,_xlfn.NORM.S.DIST(Table1[[#This Row],[Birthweight Z-Score (BW+10%)]],TRUE)*100,"")</f>
        <v/>
      </c>
    </row>
    <row r="6043" spans="1:12" x14ac:dyDescent="0.35">
      <c r="A6043" s="3"/>
      <c r="B6043" s="2"/>
      <c r="C6043" s="2"/>
      <c r="D6043" s="2" t="b">
        <f>IF(AND(NOT(ISBLANK(Table1[[#This Row],[Fetal Sex (Male, Female or Unknown)]])),ISNUMBER(Table1[[#This Row],[Birthweight (grams)]]),ISNUMBER(Table1[[#This Row],[Gestation (days)]])),TRUE,FALSE)</f>
        <v>0</v>
      </c>
      <c r="E6043" s="2" t="str">
        <f>IF(Table1[[#This Row],[Is Data Valid]]=TRUE,IF(Table1[[#This Row],[Fetal Sex (Male, Female or Unknown)]]="Male",Backend!$C$6,IF(Table1[[#This Row],[Fetal Sex (Male, Female or Unknown)]]="Female",Backend!$C$7,IF(Table1[[#This Row],[Fetal Sex (Male, Female or Unknown)]]="Unknown",Backend!$C$8,"Error"))),"")</f>
        <v/>
      </c>
      <c r="F6043" s="8" t="str">
        <f>IF(Table1[[#This Row],[Is Data Valid]]=TRUE,EXP(0.578+0.332*((Table1[[#This Row],[Gestation (days)]]+0.5)/7)-0.00354*((Table1[[#This Row],[Gestation (days)]]+0.5)/7)^2)*Table1[[#This Row],[BW40_3705]],"")</f>
        <v/>
      </c>
      <c r="G6043" s="2" t="str">
        <f>IF(Table1[[#This Row],[Is Data Valid]]=TRUE,((Table1[[#This Row],[Birthweight (grams)]]/Table1[[#This Row],[BW_GA]])-1)/(Backend!$B$4/100*Table1[[#This Row],[BW40_3705]]),"")</f>
        <v/>
      </c>
      <c r="H6043" s="7" t="str">
        <f>IF(Table1[[#This Row],[Is Data Valid]]=TRUE,((Table1[[#This Row],[Birthweight (grams)]]*0.9/Table1[[#This Row],[BW_GA]])-1)/(Backend!$B$4/100*Table1[[#This Row],[BW40_3705]]),"")</f>
        <v/>
      </c>
      <c r="I6043" s="7" t="str">
        <f>IF(Table1[[#This Row],[Is Data Valid]]=TRUE,((Table1[[#This Row],[Birthweight (grams)]]*1.1/Table1[[#This Row],[BW_GA]])-1)/(Backend!$B$4/100*Table1[[#This Row],[BW40_3705]]),"")</f>
        <v/>
      </c>
      <c r="J6043" s="7" t="str">
        <f>IF(Table1[[#This Row],[Is Data Valid]]=TRUE,_xlfn.NORM.S.DIST(Table1[[#This Row],[Birthweight Z-Score]],TRUE)*100,"")</f>
        <v/>
      </c>
      <c r="K6043" s="7" t="str">
        <f>IF(Table1[[#This Row],[Is Data Valid]]=TRUE,_xlfn.NORM.S.DIST(Table1[[#This Row],[Birthweight Z-Score (BW-10%)]],TRUE)*100,"")</f>
        <v/>
      </c>
      <c r="L6043" s="7" t="str">
        <f>IF(Table1[[#This Row],[Is Data Valid]]=TRUE,_xlfn.NORM.S.DIST(Table1[[#This Row],[Birthweight Z-Score (BW+10%)]],TRUE)*100,"")</f>
        <v/>
      </c>
    </row>
    <row r="6044" spans="1:12" x14ac:dyDescent="0.35">
      <c r="A6044" s="3"/>
      <c r="B6044" s="2"/>
      <c r="C6044" s="2"/>
      <c r="D6044" s="2" t="b">
        <f>IF(AND(NOT(ISBLANK(Table1[[#This Row],[Fetal Sex (Male, Female or Unknown)]])),ISNUMBER(Table1[[#This Row],[Birthweight (grams)]]),ISNUMBER(Table1[[#This Row],[Gestation (days)]])),TRUE,FALSE)</f>
        <v>0</v>
      </c>
      <c r="E6044" s="2" t="str">
        <f>IF(Table1[[#This Row],[Is Data Valid]]=TRUE,IF(Table1[[#This Row],[Fetal Sex (Male, Female or Unknown)]]="Male",Backend!$C$6,IF(Table1[[#This Row],[Fetal Sex (Male, Female or Unknown)]]="Female",Backend!$C$7,IF(Table1[[#This Row],[Fetal Sex (Male, Female or Unknown)]]="Unknown",Backend!$C$8,"Error"))),"")</f>
        <v/>
      </c>
      <c r="F6044" s="8" t="str">
        <f>IF(Table1[[#This Row],[Is Data Valid]]=TRUE,EXP(0.578+0.332*((Table1[[#This Row],[Gestation (days)]]+0.5)/7)-0.00354*((Table1[[#This Row],[Gestation (days)]]+0.5)/7)^2)*Table1[[#This Row],[BW40_3705]],"")</f>
        <v/>
      </c>
      <c r="G6044" s="2" t="str">
        <f>IF(Table1[[#This Row],[Is Data Valid]]=TRUE,((Table1[[#This Row],[Birthweight (grams)]]/Table1[[#This Row],[BW_GA]])-1)/(Backend!$B$4/100*Table1[[#This Row],[BW40_3705]]),"")</f>
        <v/>
      </c>
      <c r="H6044" s="7" t="str">
        <f>IF(Table1[[#This Row],[Is Data Valid]]=TRUE,((Table1[[#This Row],[Birthweight (grams)]]*0.9/Table1[[#This Row],[BW_GA]])-1)/(Backend!$B$4/100*Table1[[#This Row],[BW40_3705]]),"")</f>
        <v/>
      </c>
      <c r="I6044" s="7" t="str">
        <f>IF(Table1[[#This Row],[Is Data Valid]]=TRUE,((Table1[[#This Row],[Birthweight (grams)]]*1.1/Table1[[#This Row],[BW_GA]])-1)/(Backend!$B$4/100*Table1[[#This Row],[BW40_3705]]),"")</f>
        <v/>
      </c>
      <c r="J6044" s="7" t="str">
        <f>IF(Table1[[#This Row],[Is Data Valid]]=TRUE,_xlfn.NORM.S.DIST(Table1[[#This Row],[Birthweight Z-Score]],TRUE)*100,"")</f>
        <v/>
      </c>
      <c r="K6044" s="7" t="str">
        <f>IF(Table1[[#This Row],[Is Data Valid]]=TRUE,_xlfn.NORM.S.DIST(Table1[[#This Row],[Birthweight Z-Score (BW-10%)]],TRUE)*100,"")</f>
        <v/>
      </c>
      <c r="L6044" s="7" t="str">
        <f>IF(Table1[[#This Row],[Is Data Valid]]=TRUE,_xlfn.NORM.S.DIST(Table1[[#This Row],[Birthweight Z-Score (BW+10%)]],TRUE)*100,"")</f>
        <v/>
      </c>
    </row>
    <row r="6045" spans="1:12" x14ac:dyDescent="0.35">
      <c r="A6045" s="3"/>
      <c r="B6045" s="2"/>
      <c r="C6045" s="2"/>
      <c r="D6045" s="2" t="b">
        <f>IF(AND(NOT(ISBLANK(Table1[[#This Row],[Fetal Sex (Male, Female or Unknown)]])),ISNUMBER(Table1[[#This Row],[Birthweight (grams)]]),ISNUMBER(Table1[[#This Row],[Gestation (days)]])),TRUE,FALSE)</f>
        <v>0</v>
      </c>
      <c r="E6045" s="2" t="str">
        <f>IF(Table1[[#This Row],[Is Data Valid]]=TRUE,IF(Table1[[#This Row],[Fetal Sex (Male, Female or Unknown)]]="Male",Backend!$C$6,IF(Table1[[#This Row],[Fetal Sex (Male, Female or Unknown)]]="Female",Backend!$C$7,IF(Table1[[#This Row],[Fetal Sex (Male, Female or Unknown)]]="Unknown",Backend!$C$8,"Error"))),"")</f>
        <v/>
      </c>
      <c r="F6045" s="8" t="str">
        <f>IF(Table1[[#This Row],[Is Data Valid]]=TRUE,EXP(0.578+0.332*((Table1[[#This Row],[Gestation (days)]]+0.5)/7)-0.00354*((Table1[[#This Row],[Gestation (days)]]+0.5)/7)^2)*Table1[[#This Row],[BW40_3705]],"")</f>
        <v/>
      </c>
      <c r="G6045" s="2" t="str">
        <f>IF(Table1[[#This Row],[Is Data Valid]]=TRUE,((Table1[[#This Row],[Birthweight (grams)]]/Table1[[#This Row],[BW_GA]])-1)/(Backend!$B$4/100*Table1[[#This Row],[BW40_3705]]),"")</f>
        <v/>
      </c>
      <c r="H6045" s="7" t="str">
        <f>IF(Table1[[#This Row],[Is Data Valid]]=TRUE,((Table1[[#This Row],[Birthweight (grams)]]*0.9/Table1[[#This Row],[BW_GA]])-1)/(Backend!$B$4/100*Table1[[#This Row],[BW40_3705]]),"")</f>
        <v/>
      </c>
      <c r="I6045" s="7" t="str">
        <f>IF(Table1[[#This Row],[Is Data Valid]]=TRUE,((Table1[[#This Row],[Birthweight (grams)]]*1.1/Table1[[#This Row],[BW_GA]])-1)/(Backend!$B$4/100*Table1[[#This Row],[BW40_3705]]),"")</f>
        <v/>
      </c>
      <c r="J6045" s="7" t="str">
        <f>IF(Table1[[#This Row],[Is Data Valid]]=TRUE,_xlfn.NORM.S.DIST(Table1[[#This Row],[Birthweight Z-Score]],TRUE)*100,"")</f>
        <v/>
      </c>
      <c r="K6045" s="7" t="str">
        <f>IF(Table1[[#This Row],[Is Data Valid]]=TRUE,_xlfn.NORM.S.DIST(Table1[[#This Row],[Birthweight Z-Score (BW-10%)]],TRUE)*100,"")</f>
        <v/>
      </c>
      <c r="L6045" s="7" t="str">
        <f>IF(Table1[[#This Row],[Is Data Valid]]=TRUE,_xlfn.NORM.S.DIST(Table1[[#This Row],[Birthweight Z-Score (BW+10%)]],TRUE)*100,"")</f>
        <v/>
      </c>
    </row>
    <row r="6046" spans="1:12" x14ac:dyDescent="0.35">
      <c r="A6046" s="3"/>
      <c r="B6046" s="2"/>
      <c r="C6046" s="2"/>
      <c r="D6046" s="2" t="b">
        <f>IF(AND(NOT(ISBLANK(Table1[[#This Row],[Fetal Sex (Male, Female or Unknown)]])),ISNUMBER(Table1[[#This Row],[Birthweight (grams)]]),ISNUMBER(Table1[[#This Row],[Gestation (days)]])),TRUE,FALSE)</f>
        <v>0</v>
      </c>
      <c r="E6046" s="2" t="str">
        <f>IF(Table1[[#This Row],[Is Data Valid]]=TRUE,IF(Table1[[#This Row],[Fetal Sex (Male, Female or Unknown)]]="Male",Backend!$C$6,IF(Table1[[#This Row],[Fetal Sex (Male, Female or Unknown)]]="Female",Backend!$C$7,IF(Table1[[#This Row],[Fetal Sex (Male, Female or Unknown)]]="Unknown",Backend!$C$8,"Error"))),"")</f>
        <v/>
      </c>
      <c r="F6046" s="8" t="str">
        <f>IF(Table1[[#This Row],[Is Data Valid]]=TRUE,EXP(0.578+0.332*((Table1[[#This Row],[Gestation (days)]]+0.5)/7)-0.00354*((Table1[[#This Row],[Gestation (days)]]+0.5)/7)^2)*Table1[[#This Row],[BW40_3705]],"")</f>
        <v/>
      </c>
      <c r="G6046" s="2" t="str">
        <f>IF(Table1[[#This Row],[Is Data Valid]]=TRUE,((Table1[[#This Row],[Birthweight (grams)]]/Table1[[#This Row],[BW_GA]])-1)/(Backend!$B$4/100*Table1[[#This Row],[BW40_3705]]),"")</f>
        <v/>
      </c>
      <c r="H6046" s="7" t="str">
        <f>IF(Table1[[#This Row],[Is Data Valid]]=TRUE,((Table1[[#This Row],[Birthweight (grams)]]*0.9/Table1[[#This Row],[BW_GA]])-1)/(Backend!$B$4/100*Table1[[#This Row],[BW40_3705]]),"")</f>
        <v/>
      </c>
      <c r="I6046" s="7" t="str">
        <f>IF(Table1[[#This Row],[Is Data Valid]]=TRUE,((Table1[[#This Row],[Birthweight (grams)]]*1.1/Table1[[#This Row],[BW_GA]])-1)/(Backend!$B$4/100*Table1[[#This Row],[BW40_3705]]),"")</f>
        <v/>
      </c>
      <c r="J6046" s="7" t="str">
        <f>IF(Table1[[#This Row],[Is Data Valid]]=TRUE,_xlfn.NORM.S.DIST(Table1[[#This Row],[Birthweight Z-Score]],TRUE)*100,"")</f>
        <v/>
      </c>
      <c r="K6046" s="7" t="str">
        <f>IF(Table1[[#This Row],[Is Data Valid]]=TRUE,_xlfn.NORM.S.DIST(Table1[[#This Row],[Birthweight Z-Score (BW-10%)]],TRUE)*100,"")</f>
        <v/>
      </c>
      <c r="L6046" s="7" t="str">
        <f>IF(Table1[[#This Row],[Is Data Valid]]=TRUE,_xlfn.NORM.S.DIST(Table1[[#This Row],[Birthweight Z-Score (BW+10%)]],TRUE)*100,"")</f>
        <v/>
      </c>
    </row>
    <row r="6047" spans="1:12" x14ac:dyDescent="0.35">
      <c r="A6047" s="3"/>
      <c r="B6047" s="2"/>
      <c r="C6047" s="2"/>
      <c r="D6047" s="2" t="b">
        <f>IF(AND(NOT(ISBLANK(Table1[[#This Row],[Fetal Sex (Male, Female or Unknown)]])),ISNUMBER(Table1[[#This Row],[Birthweight (grams)]]),ISNUMBER(Table1[[#This Row],[Gestation (days)]])),TRUE,FALSE)</f>
        <v>0</v>
      </c>
      <c r="E6047" s="2" t="str">
        <f>IF(Table1[[#This Row],[Is Data Valid]]=TRUE,IF(Table1[[#This Row],[Fetal Sex (Male, Female or Unknown)]]="Male",Backend!$C$6,IF(Table1[[#This Row],[Fetal Sex (Male, Female or Unknown)]]="Female",Backend!$C$7,IF(Table1[[#This Row],[Fetal Sex (Male, Female or Unknown)]]="Unknown",Backend!$C$8,"Error"))),"")</f>
        <v/>
      </c>
      <c r="F6047" s="8" t="str">
        <f>IF(Table1[[#This Row],[Is Data Valid]]=TRUE,EXP(0.578+0.332*((Table1[[#This Row],[Gestation (days)]]+0.5)/7)-0.00354*((Table1[[#This Row],[Gestation (days)]]+0.5)/7)^2)*Table1[[#This Row],[BW40_3705]],"")</f>
        <v/>
      </c>
      <c r="G6047" s="2" t="str">
        <f>IF(Table1[[#This Row],[Is Data Valid]]=TRUE,((Table1[[#This Row],[Birthweight (grams)]]/Table1[[#This Row],[BW_GA]])-1)/(Backend!$B$4/100*Table1[[#This Row],[BW40_3705]]),"")</f>
        <v/>
      </c>
      <c r="H6047" s="7" t="str">
        <f>IF(Table1[[#This Row],[Is Data Valid]]=TRUE,((Table1[[#This Row],[Birthweight (grams)]]*0.9/Table1[[#This Row],[BW_GA]])-1)/(Backend!$B$4/100*Table1[[#This Row],[BW40_3705]]),"")</f>
        <v/>
      </c>
      <c r="I6047" s="7" t="str">
        <f>IF(Table1[[#This Row],[Is Data Valid]]=TRUE,((Table1[[#This Row],[Birthweight (grams)]]*1.1/Table1[[#This Row],[BW_GA]])-1)/(Backend!$B$4/100*Table1[[#This Row],[BW40_3705]]),"")</f>
        <v/>
      </c>
      <c r="J6047" s="7" t="str">
        <f>IF(Table1[[#This Row],[Is Data Valid]]=TRUE,_xlfn.NORM.S.DIST(Table1[[#This Row],[Birthweight Z-Score]],TRUE)*100,"")</f>
        <v/>
      </c>
      <c r="K6047" s="7" t="str">
        <f>IF(Table1[[#This Row],[Is Data Valid]]=TRUE,_xlfn.NORM.S.DIST(Table1[[#This Row],[Birthweight Z-Score (BW-10%)]],TRUE)*100,"")</f>
        <v/>
      </c>
      <c r="L6047" s="7" t="str">
        <f>IF(Table1[[#This Row],[Is Data Valid]]=TRUE,_xlfn.NORM.S.DIST(Table1[[#This Row],[Birthweight Z-Score (BW+10%)]],TRUE)*100,"")</f>
        <v/>
      </c>
    </row>
    <row r="6048" spans="1:12" x14ac:dyDescent="0.35">
      <c r="A6048" s="3"/>
      <c r="B6048" s="2"/>
      <c r="C6048" s="2"/>
      <c r="D6048" s="2" t="b">
        <f>IF(AND(NOT(ISBLANK(Table1[[#This Row],[Fetal Sex (Male, Female or Unknown)]])),ISNUMBER(Table1[[#This Row],[Birthweight (grams)]]),ISNUMBER(Table1[[#This Row],[Gestation (days)]])),TRUE,FALSE)</f>
        <v>0</v>
      </c>
      <c r="E6048" s="2" t="str">
        <f>IF(Table1[[#This Row],[Is Data Valid]]=TRUE,IF(Table1[[#This Row],[Fetal Sex (Male, Female or Unknown)]]="Male",Backend!$C$6,IF(Table1[[#This Row],[Fetal Sex (Male, Female or Unknown)]]="Female",Backend!$C$7,IF(Table1[[#This Row],[Fetal Sex (Male, Female or Unknown)]]="Unknown",Backend!$C$8,"Error"))),"")</f>
        <v/>
      </c>
      <c r="F6048" s="8" t="str">
        <f>IF(Table1[[#This Row],[Is Data Valid]]=TRUE,EXP(0.578+0.332*((Table1[[#This Row],[Gestation (days)]]+0.5)/7)-0.00354*((Table1[[#This Row],[Gestation (days)]]+0.5)/7)^2)*Table1[[#This Row],[BW40_3705]],"")</f>
        <v/>
      </c>
      <c r="G6048" s="2" t="str">
        <f>IF(Table1[[#This Row],[Is Data Valid]]=TRUE,((Table1[[#This Row],[Birthweight (grams)]]/Table1[[#This Row],[BW_GA]])-1)/(Backend!$B$4/100*Table1[[#This Row],[BW40_3705]]),"")</f>
        <v/>
      </c>
      <c r="H6048" s="7" t="str">
        <f>IF(Table1[[#This Row],[Is Data Valid]]=TRUE,((Table1[[#This Row],[Birthweight (grams)]]*0.9/Table1[[#This Row],[BW_GA]])-1)/(Backend!$B$4/100*Table1[[#This Row],[BW40_3705]]),"")</f>
        <v/>
      </c>
      <c r="I6048" s="7" t="str">
        <f>IF(Table1[[#This Row],[Is Data Valid]]=TRUE,((Table1[[#This Row],[Birthweight (grams)]]*1.1/Table1[[#This Row],[BW_GA]])-1)/(Backend!$B$4/100*Table1[[#This Row],[BW40_3705]]),"")</f>
        <v/>
      </c>
      <c r="J6048" s="7" t="str">
        <f>IF(Table1[[#This Row],[Is Data Valid]]=TRUE,_xlfn.NORM.S.DIST(Table1[[#This Row],[Birthweight Z-Score]],TRUE)*100,"")</f>
        <v/>
      </c>
      <c r="K6048" s="7" t="str">
        <f>IF(Table1[[#This Row],[Is Data Valid]]=TRUE,_xlfn.NORM.S.DIST(Table1[[#This Row],[Birthweight Z-Score (BW-10%)]],TRUE)*100,"")</f>
        <v/>
      </c>
      <c r="L6048" s="7" t="str">
        <f>IF(Table1[[#This Row],[Is Data Valid]]=TRUE,_xlfn.NORM.S.DIST(Table1[[#This Row],[Birthweight Z-Score (BW+10%)]],TRUE)*100,"")</f>
        <v/>
      </c>
    </row>
    <row r="6049" spans="1:12" x14ac:dyDescent="0.35">
      <c r="A6049" s="3"/>
      <c r="B6049" s="2"/>
      <c r="C6049" s="2"/>
      <c r="D6049" s="2" t="b">
        <f>IF(AND(NOT(ISBLANK(Table1[[#This Row],[Fetal Sex (Male, Female or Unknown)]])),ISNUMBER(Table1[[#This Row],[Birthweight (grams)]]),ISNUMBER(Table1[[#This Row],[Gestation (days)]])),TRUE,FALSE)</f>
        <v>0</v>
      </c>
      <c r="E6049" s="2" t="str">
        <f>IF(Table1[[#This Row],[Is Data Valid]]=TRUE,IF(Table1[[#This Row],[Fetal Sex (Male, Female or Unknown)]]="Male",Backend!$C$6,IF(Table1[[#This Row],[Fetal Sex (Male, Female or Unknown)]]="Female",Backend!$C$7,IF(Table1[[#This Row],[Fetal Sex (Male, Female or Unknown)]]="Unknown",Backend!$C$8,"Error"))),"")</f>
        <v/>
      </c>
      <c r="F6049" s="8" t="str">
        <f>IF(Table1[[#This Row],[Is Data Valid]]=TRUE,EXP(0.578+0.332*((Table1[[#This Row],[Gestation (days)]]+0.5)/7)-0.00354*((Table1[[#This Row],[Gestation (days)]]+0.5)/7)^2)*Table1[[#This Row],[BW40_3705]],"")</f>
        <v/>
      </c>
      <c r="G6049" s="2" t="str">
        <f>IF(Table1[[#This Row],[Is Data Valid]]=TRUE,((Table1[[#This Row],[Birthweight (grams)]]/Table1[[#This Row],[BW_GA]])-1)/(Backend!$B$4/100*Table1[[#This Row],[BW40_3705]]),"")</f>
        <v/>
      </c>
      <c r="H6049" s="7" t="str">
        <f>IF(Table1[[#This Row],[Is Data Valid]]=TRUE,((Table1[[#This Row],[Birthweight (grams)]]*0.9/Table1[[#This Row],[BW_GA]])-1)/(Backend!$B$4/100*Table1[[#This Row],[BW40_3705]]),"")</f>
        <v/>
      </c>
      <c r="I6049" s="7" t="str">
        <f>IF(Table1[[#This Row],[Is Data Valid]]=TRUE,((Table1[[#This Row],[Birthweight (grams)]]*1.1/Table1[[#This Row],[BW_GA]])-1)/(Backend!$B$4/100*Table1[[#This Row],[BW40_3705]]),"")</f>
        <v/>
      </c>
      <c r="J6049" s="7" t="str">
        <f>IF(Table1[[#This Row],[Is Data Valid]]=TRUE,_xlfn.NORM.S.DIST(Table1[[#This Row],[Birthweight Z-Score]],TRUE)*100,"")</f>
        <v/>
      </c>
      <c r="K6049" s="7" t="str">
        <f>IF(Table1[[#This Row],[Is Data Valid]]=TRUE,_xlfn.NORM.S.DIST(Table1[[#This Row],[Birthweight Z-Score (BW-10%)]],TRUE)*100,"")</f>
        <v/>
      </c>
      <c r="L6049" s="7" t="str">
        <f>IF(Table1[[#This Row],[Is Data Valid]]=TRUE,_xlfn.NORM.S.DIST(Table1[[#This Row],[Birthweight Z-Score (BW+10%)]],TRUE)*100,"")</f>
        <v/>
      </c>
    </row>
    <row r="6050" spans="1:12" x14ac:dyDescent="0.35">
      <c r="A6050" s="3"/>
      <c r="B6050" s="2"/>
      <c r="C6050" s="2"/>
      <c r="D6050" s="2" t="b">
        <f>IF(AND(NOT(ISBLANK(Table1[[#This Row],[Fetal Sex (Male, Female or Unknown)]])),ISNUMBER(Table1[[#This Row],[Birthweight (grams)]]),ISNUMBER(Table1[[#This Row],[Gestation (days)]])),TRUE,FALSE)</f>
        <v>0</v>
      </c>
      <c r="E6050" s="2" t="str">
        <f>IF(Table1[[#This Row],[Is Data Valid]]=TRUE,IF(Table1[[#This Row],[Fetal Sex (Male, Female or Unknown)]]="Male",Backend!$C$6,IF(Table1[[#This Row],[Fetal Sex (Male, Female or Unknown)]]="Female",Backend!$C$7,IF(Table1[[#This Row],[Fetal Sex (Male, Female or Unknown)]]="Unknown",Backend!$C$8,"Error"))),"")</f>
        <v/>
      </c>
      <c r="F6050" s="8" t="str">
        <f>IF(Table1[[#This Row],[Is Data Valid]]=TRUE,EXP(0.578+0.332*((Table1[[#This Row],[Gestation (days)]]+0.5)/7)-0.00354*((Table1[[#This Row],[Gestation (days)]]+0.5)/7)^2)*Table1[[#This Row],[BW40_3705]],"")</f>
        <v/>
      </c>
      <c r="G6050" s="2" t="str">
        <f>IF(Table1[[#This Row],[Is Data Valid]]=TRUE,((Table1[[#This Row],[Birthweight (grams)]]/Table1[[#This Row],[BW_GA]])-1)/(Backend!$B$4/100*Table1[[#This Row],[BW40_3705]]),"")</f>
        <v/>
      </c>
      <c r="H6050" s="7" t="str">
        <f>IF(Table1[[#This Row],[Is Data Valid]]=TRUE,((Table1[[#This Row],[Birthweight (grams)]]*0.9/Table1[[#This Row],[BW_GA]])-1)/(Backend!$B$4/100*Table1[[#This Row],[BW40_3705]]),"")</f>
        <v/>
      </c>
      <c r="I6050" s="7" t="str">
        <f>IF(Table1[[#This Row],[Is Data Valid]]=TRUE,((Table1[[#This Row],[Birthweight (grams)]]*1.1/Table1[[#This Row],[BW_GA]])-1)/(Backend!$B$4/100*Table1[[#This Row],[BW40_3705]]),"")</f>
        <v/>
      </c>
      <c r="J6050" s="7" t="str">
        <f>IF(Table1[[#This Row],[Is Data Valid]]=TRUE,_xlfn.NORM.S.DIST(Table1[[#This Row],[Birthweight Z-Score]],TRUE)*100,"")</f>
        <v/>
      </c>
      <c r="K6050" s="7" t="str">
        <f>IF(Table1[[#This Row],[Is Data Valid]]=TRUE,_xlfn.NORM.S.DIST(Table1[[#This Row],[Birthweight Z-Score (BW-10%)]],TRUE)*100,"")</f>
        <v/>
      </c>
      <c r="L6050" s="7" t="str">
        <f>IF(Table1[[#This Row],[Is Data Valid]]=TRUE,_xlfn.NORM.S.DIST(Table1[[#This Row],[Birthweight Z-Score (BW+10%)]],TRUE)*100,"")</f>
        <v/>
      </c>
    </row>
    <row r="6051" spans="1:12" x14ac:dyDescent="0.35">
      <c r="A6051" s="3"/>
      <c r="B6051" s="2"/>
      <c r="C6051" s="2"/>
      <c r="D6051" s="2" t="b">
        <f>IF(AND(NOT(ISBLANK(Table1[[#This Row],[Fetal Sex (Male, Female or Unknown)]])),ISNUMBER(Table1[[#This Row],[Birthweight (grams)]]),ISNUMBER(Table1[[#This Row],[Gestation (days)]])),TRUE,FALSE)</f>
        <v>0</v>
      </c>
      <c r="E6051" s="2" t="str">
        <f>IF(Table1[[#This Row],[Is Data Valid]]=TRUE,IF(Table1[[#This Row],[Fetal Sex (Male, Female or Unknown)]]="Male",Backend!$C$6,IF(Table1[[#This Row],[Fetal Sex (Male, Female or Unknown)]]="Female",Backend!$C$7,IF(Table1[[#This Row],[Fetal Sex (Male, Female or Unknown)]]="Unknown",Backend!$C$8,"Error"))),"")</f>
        <v/>
      </c>
      <c r="F6051" s="8" t="str">
        <f>IF(Table1[[#This Row],[Is Data Valid]]=TRUE,EXP(0.578+0.332*((Table1[[#This Row],[Gestation (days)]]+0.5)/7)-0.00354*((Table1[[#This Row],[Gestation (days)]]+0.5)/7)^2)*Table1[[#This Row],[BW40_3705]],"")</f>
        <v/>
      </c>
      <c r="G6051" s="2" t="str">
        <f>IF(Table1[[#This Row],[Is Data Valid]]=TRUE,((Table1[[#This Row],[Birthweight (grams)]]/Table1[[#This Row],[BW_GA]])-1)/(Backend!$B$4/100*Table1[[#This Row],[BW40_3705]]),"")</f>
        <v/>
      </c>
      <c r="H6051" s="7" t="str">
        <f>IF(Table1[[#This Row],[Is Data Valid]]=TRUE,((Table1[[#This Row],[Birthweight (grams)]]*0.9/Table1[[#This Row],[BW_GA]])-1)/(Backend!$B$4/100*Table1[[#This Row],[BW40_3705]]),"")</f>
        <v/>
      </c>
      <c r="I6051" s="7" t="str">
        <f>IF(Table1[[#This Row],[Is Data Valid]]=TRUE,((Table1[[#This Row],[Birthweight (grams)]]*1.1/Table1[[#This Row],[BW_GA]])-1)/(Backend!$B$4/100*Table1[[#This Row],[BW40_3705]]),"")</f>
        <v/>
      </c>
      <c r="J6051" s="7" t="str">
        <f>IF(Table1[[#This Row],[Is Data Valid]]=TRUE,_xlfn.NORM.S.DIST(Table1[[#This Row],[Birthweight Z-Score]],TRUE)*100,"")</f>
        <v/>
      </c>
      <c r="K6051" s="7" t="str">
        <f>IF(Table1[[#This Row],[Is Data Valid]]=TRUE,_xlfn.NORM.S.DIST(Table1[[#This Row],[Birthweight Z-Score (BW-10%)]],TRUE)*100,"")</f>
        <v/>
      </c>
      <c r="L6051" s="7" t="str">
        <f>IF(Table1[[#This Row],[Is Data Valid]]=TRUE,_xlfn.NORM.S.DIST(Table1[[#This Row],[Birthweight Z-Score (BW+10%)]],TRUE)*100,"")</f>
        <v/>
      </c>
    </row>
    <row r="6052" spans="1:12" x14ac:dyDescent="0.35">
      <c r="A6052" s="3"/>
      <c r="B6052" s="2"/>
      <c r="C6052" s="2"/>
      <c r="D6052" s="2" t="b">
        <f>IF(AND(NOT(ISBLANK(Table1[[#This Row],[Fetal Sex (Male, Female or Unknown)]])),ISNUMBER(Table1[[#This Row],[Birthweight (grams)]]),ISNUMBER(Table1[[#This Row],[Gestation (days)]])),TRUE,FALSE)</f>
        <v>0</v>
      </c>
      <c r="E6052" s="2" t="str">
        <f>IF(Table1[[#This Row],[Is Data Valid]]=TRUE,IF(Table1[[#This Row],[Fetal Sex (Male, Female or Unknown)]]="Male",Backend!$C$6,IF(Table1[[#This Row],[Fetal Sex (Male, Female or Unknown)]]="Female",Backend!$C$7,IF(Table1[[#This Row],[Fetal Sex (Male, Female or Unknown)]]="Unknown",Backend!$C$8,"Error"))),"")</f>
        <v/>
      </c>
      <c r="F6052" s="8" t="str">
        <f>IF(Table1[[#This Row],[Is Data Valid]]=TRUE,EXP(0.578+0.332*((Table1[[#This Row],[Gestation (days)]]+0.5)/7)-0.00354*((Table1[[#This Row],[Gestation (days)]]+0.5)/7)^2)*Table1[[#This Row],[BW40_3705]],"")</f>
        <v/>
      </c>
      <c r="G6052" s="2" t="str">
        <f>IF(Table1[[#This Row],[Is Data Valid]]=TRUE,((Table1[[#This Row],[Birthweight (grams)]]/Table1[[#This Row],[BW_GA]])-1)/(Backend!$B$4/100*Table1[[#This Row],[BW40_3705]]),"")</f>
        <v/>
      </c>
      <c r="H6052" s="7" t="str">
        <f>IF(Table1[[#This Row],[Is Data Valid]]=TRUE,((Table1[[#This Row],[Birthweight (grams)]]*0.9/Table1[[#This Row],[BW_GA]])-1)/(Backend!$B$4/100*Table1[[#This Row],[BW40_3705]]),"")</f>
        <v/>
      </c>
      <c r="I6052" s="7" t="str">
        <f>IF(Table1[[#This Row],[Is Data Valid]]=TRUE,((Table1[[#This Row],[Birthweight (grams)]]*1.1/Table1[[#This Row],[BW_GA]])-1)/(Backend!$B$4/100*Table1[[#This Row],[BW40_3705]]),"")</f>
        <v/>
      </c>
      <c r="J6052" s="7" t="str">
        <f>IF(Table1[[#This Row],[Is Data Valid]]=TRUE,_xlfn.NORM.S.DIST(Table1[[#This Row],[Birthweight Z-Score]],TRUE)*100,"")</f>
        <v/>
      </c>
      <c r="K6052" s="7" t="str">
        <f>IF(Table1[[#This Row],[Is Data Valid]]=TRUE,_xlfn.NORM.S.DIST(Table1[[#This Row],[Birthweight Z-Score (BW-10%)]],TRUE)*100,"")</f>
        <v/>
      </c>
      <c r="L6052" s="7" t="str">
        <f>IF(Table1[[#This Row],[Is Data Valid]]=TRUE,_xlfn.NORM.S.DIST(Table1[[#This Row],[Birthweight Z-Score (BW+10%)]],TRUE)*100,"")</f>
        <v/>
      </c>
    </row>
    <row r="6053" spans="1:12" x14ac:dyDescent="0.35">
      <c r="A6053" s="3"/>
      <c r="B6053" s="2"/>
      <c r="C6053" s="2"/>
      <c r="D6053" s="2" t="b">
        <f>IF(AND(NOT(ISBLANK(Table1[[#This Row],[Fetal Sex (Male, Female or Unknown)]])),ISNUMBER(Table1[[#This Row],[Birthweight (grams)]]),ISNUMBER(Table1[[#This Row],[Gestation (days)]])),TRUE,FALSE)</f>
        <v>0</v>
      </c>
      <c r="E6053" s="2" t="str">
        <f>IF(Table1[[#This Row],[Is Data Valid]]=TRUE,IF(Table1[[#This Row],[Fetal Sex (Male, Female or Unknown)]]="Male",Backend!$C$6,IF(Table1[[#This Row],[Fetal Sex (Male, Female or Unknown)]]="Female",Backend!$C$7,IF(Table1[[#This Row],[Fetal Sex (Male, Female or Unknown)]]="Unknown",Backend!$C$8,"Error"))),"")</f>
        <v/>
      </c>
      <c r="F6053" s="8" t="str">
        <f>IF(Table1[[#This Row],[Is Data Valid]]=TRUE,EXP(0.578+0.332*((Table1[[#This Row],[Gestation (days)]]+0.5)/7)-0.00354*((Table1[[#This Row],[Gestation (days)]]+0.5)/7)^2)*Table1[[#This Row],[BW40_3705]],"")</f>
        <v/>
      </c>
      <c r="G6053" s="2" t="str">
        <f>IF(Table1[[#This Row],[Is Data Valid]]=TRUE,((Table1[[#This Row],[Birthweight (grams)]]/Table1[[#This Row],[BW_GA]])-1)/(Backend!$B$4/100*Table1[[#This Row],[BW40_3705]]),"")</f>
        <v/>
      </c>
      <c r="H6053" s="7" t="str">
        <f>IF(Table1[[#This Row],[Is Data Valid]]=TRUE,((Table1[[#This Row],[Birthweight (grams)]]*0.9/Table1[[#This Row],[BW_GA]])-1)/(Backend!$B$4/100*Table1[[#This Row],[BW40_3705]]),"")</f>
        <v/>
      </c>
      <c r="I6053" s="7" t="str">
        <f>IF(Table1[[#This Row],[Is Data Valid]]=TRUE,((Table1[[#This Row],[Birthweight (grams)]]*1.1/Table1[[#This Row],[BW_GA]])-1)/(Backend!$B$4/100*Table1[[#This Row],[BW40_3705]]),"")</f>
        <v/>
      </c>
      <c r="J6053" s="7" t="str">
        <f>IF(Table1[[#This Row],[Is Data Valid]]=TRUE,_xlfn.NORM.S.DIST(Table1[[#This Row],[Birthweight Z-Score]],TRUE)*100,"")</f>
        <v/>
      </c>
      <c r="K6053" s="7" t="str">
        <f>IF(Table1[[#This Row],[Is Data Valid]]=TRUE,_xlfn.NORM.S.DIST(Table1[[#This Row],[Birthweight Z-Score (BW-10%)]],TRUE)*100,"")</f>
        <v/>
      </c>
      <c r="L6053" s="7" t="str">
        <f>IF(Table1[[#This Row],[Is Data Valid]]=TRUE,_xlfn.NORM.S.DIST(Table1[[#This Row],[Birthweight Z-Score (BW+10%)]],TRUE)*100,"")</f>
        <v/>
      </c>
    </row>
    <row r="6054" spans="1:12" x14ac:dyDescent="0.35">
      <c r="A6054" s="3"/>
      <c r="B6054" s="2"/>
      <c r="C6054" s="2"/>
      <c r="D6054" s="2" t="b">
        <f>IF(AND(NOT(ISBLANK(Table1[[#This Row],[Fetal Sex (Male, Female or Unknown)]])),ISNUMBER(Table1[[#This Row],[Birthweight (grams)]]),ISNUMBER(Table1[[#This Row],[Gestation (days)]])),TRUE,FALSE)</f>
        <v>0</v>
      </c>
      <c r="E6054" s="2" t="str">
        <f>IF(Table1[[#This Row],[Is Data Valid]]=TRUE,IF(Table1[[#This Row],[Fetal Sex (Male, Female or Unknown)]]="Male",Backend!$C$6,IF(Table1[[#This Row],[Fetal Sex (Male, Female or Unknown)]]="Female",Backend!$C$7,IF(Table1[[#This Row],[Fetal Sex (Male, Female or Unknown)]]="Unknown",Backend!$C$8,"Error"))),"")</f>
        <v/>
      </c>
      <c r="F6054" s="8" t="str">
        <f>IF(Table1[[#This Row],[Is Data Valid]]=TRUE,EXP(0.578+0.332*((Table1[[#This Row],[Gestation (days)]]+0.5)/7)-0.00354*((Table1[[#This Row],[Gestation (days)]]+0.5)/7)^2)*Table1[[#This Row],[BW40_3705]],"")</f>
        <v/>
      </c>
      <c r="G6054" s="2" t="str">
        <f>IF(Table1[[#This Row],[Is Data Valid]]=TRUE,((Table1[[#This Row],[Birthweight (grams)]]/Table1[[#This Row],[BW_GA]])-1)/(Backend!$B$4/100*Table1[[#This Row],[BW40_3705]]),"")</f>
        <v/>
      </c>
      <c r="H6054" s="7" t="str">
        <f>IF(Table1[[#This Row],[Is Data Valid]]=TRUE,((Table1[[#This Row],[Birthweight (grams)]]*0.9/Table1[[#This Row],[BW_GA]])-1)/(Backend!$B$4/100*Table1[[#This Row],[BW40_3705]]),"")</f>
        <v/>
      </c>
      <c r="I6054" s="7" t="str">
        <f>IF(Table1[[#This Row],[Is Data Valid]]=TRUE,((Table1[[#This Row],[Birthweight (grams)]]*1.1/Table1[[#This Row],[BW_GA]])-1)/(Backend!$B$4/100*Table1[[#This Row],[BW40_3705]]),"")</f>
        <v/>
      </c>
      <c r="J6054" s="7" t="str">
        <f>IF(Table1[[#This Row],[Is Data Valid]]=TRUE,_xlfn.NORM.S.DIST(Table1[[#This Row],[Birthweight Z-Score]],TRUE)*100,"")</f>
        <v/>
      </c>
      <c r="K6054" s="7" t="str">
        <f>IF(Table1[[#This Row],[Is Data Valid]]=TRUE,_xlfn.NORM.S.DIST(Table1[[#This Row],[Birthweight Z-Score (BW-10%)]],TRUE)*100,"")</f>
        <v/>
      </c>
      <c r="L6054" s="7" t="str">
        <f>IF(Table1[[#This Row],[Is Data Valid]]=TRUE,_xlfn.NORM.S.DIST(Table1[[#This Row],[Birthweight Z-Score (BW+10%)]],TRUE)*100,"")</f>
        <v/>
      </c>
    </row>
    <row r="6055" spans="1:12" x14ac:dyDescent="0.35">
      <c r="A6055" s="3"/>
      <c r="B6055" s="2"/>
      <c r="C6055" s="2"/>
      <c r="D6055" s="2" t="b">
        <f>IF(AND(NOT(ISBLANK(Table1[[#This Row],[Fetal Sex (Male, Female or Unknown)]])),ISNUMBER(Table1[[#This Row],[Birthweight (grams)]]),ISNUMBER(Table1[[#This Row],[Gestation (days)]])),TRUE,FALSE)</f>
        <v>0</v>
      </c>
      <c r="E6055" s="2" t="str">
        <f>IF(Table1[[#This Row],[Is Data Valid]]=TRUE,IF(Table1[[#This Row],[Fetal Sex (Male, Female or Unknown)]]="Male",Backend!$C$6,IF(Table1[[#This Row],[Fetal Sex (Male, Female or Unknown)]]="Female",Backend!$C$7,IF(Table1[[#This Row],[Fetal Sex (Male, Female or Unknown)]]="Unknown",Backend!$C$8,"Error"))),"")</f>
        <v/>
      </c>
      <c r="F6055" s="8" t="str">
        <f>IF(Table1[[#This Row],[Is Data Valid]]=TRUE,EXP(0.578+0.332*((Table1[[#This Row],[Gestation (days)]]+0.5)/7)-0.00354*((Table1[[#This Row],[Gestation (days)]]+0.5)/7)^2)*Table1[[#This Row],[BW40_3705]],"")</f>
        <v/>
      </c>
      <c r="G6055" s="2" t="str">
        <f>IF(Table1[[#This Row],[Is Data Valid]]=TRUE,((Table1[[#This Row],[Birthweight (grams)]]/Table1[[#This Row],[BW_GA]])-1)/(Backend!$B$4/100*Table1[[#This Row],[BW40_3705]]),"")</f>
        <v/>
      </c>
      <c r="H6055" s="7" t="str">
        <f>IF(Table1[[#This Row],[Is Data Valid]]=TRUE,((Table1[[#This Row],[Birthweight (grams)]]*0.9/Table1[[#This Row],[BW_GA]])-1)/(Backend!$B$4/100*Table1[[#This Row],[BW40_3705]]),"")</f>
        <v/>
      </c>
      <c r="I6055" s="7" t="str">
        <f>IF(Table1[[#This Row],[Is Data Valid]]=TRUE,((Table1[[#This Row],[Birthweight (grams)]]*1.1/Table1[[#This Row],[BW_GA]])-1)/(Backend!$B$4/100*Table1[[#This Row],[BW40_3705]]),"")</f>
        <v/>
      </c>
      <c r="J6055" s="7" t="str">
        <f>IF(Table1[[#This Row],[Is Data Valid]]=TRUE,_xlfn.NORM.S.DIST(Table1[[#This Row],[Birthweight Z-Score]],TRUE)*100,"")</f>
        <v/>
      </c>
      <c r="K6055" s="7" t="str">
        <f>IF(Table1[[#This Row],[Is Data Valid]]=TRUE,_xlfn.NORM.S.DIST(Table1[[#This Row],[Birthweight Z-Score (BW-10%)]],TRUE)*100,"")</f>
        <v/>
      </c>
      <c r="L6055" s="7" t="str">
        <f>IF(Table1[[#This Row],[Is Data Valid]]=TRUE,_xlfn.NORM.S.DIST(Table1[[#This Row],[Birthweight Z-Score (BW+10%)]],TRUE)*100,"")</f>
        <v/>
      </c>
    </row>
    <row r="6056" spans="1:12" x14ac:dyDescent="0.35">
      <c r="A6056" s="3"/>
      <c r="B6056" s="2"/>
      <c r="C6056" s="2"/>
      <c r="D6056" s="2" t="b">
        <f>IF(AND(NOT(ISBLANK(Table1[[#This Row],[Fetal Sex (Male, Female or Unknown)]])),ISNUMBER(Table1[[#This Row],[Birthweight (grams)]]),ISNUMBER(Table1[[#This Row],[Gestation (days)]])),TRUE,FALSE)</f>
        <v>0</v>
      </c>
      <c r="E6056" s="2" t="str">
        <f>IF(Table1[[#This Row],[Is Data Valid]]=TRUE,IF(Table1[[#This Row],[Fetal Sex (Male, Female or Unknown)]]="Male",Backend!$C$6,IF(Table1[[#This Row],[Fetal Sex (Male, Female or Unknown)]]="Female",Backend!$C$7,IF(Table1[[#This Row],[Fetal Sex (Male, Female or Unknown)]]="Unknown",Backend!$C$8,"Error"))),"")</f>
        <v/>
      </c>
      <c r="F6056" s="8" t="str">
        <f>IF(Table1[[#This Row],[Is Data Valid]]=TRUE,EXP(0.578+0.332*((Table1[[#This Row],[Gestation (days)]]+0.5)/7)-0.00354*((Table1[[#This Row],[Gestation (days)]]+0.5)/7)^2)*Table1[[#This Row],[BW40_3705]],"")</f>
        <v/>
      </c>
      <c r="G6056" s="2" t="str">
        <f>IF(Table1[[#This Row],[Is Data Valid]]=TRUE,((Table1[[#This Row],[Birthweight (grams)]]/Table1[[#This Row],[BW_GA]])-1)/(Backend!$B$4/100*Table1[[#This Row],[BW40_3705]]),"")</f>
        <v/>
      </c>
      <c r="H6056" s="7" t="str">
        <f>IF(Table1[[#This Row],[Is Data Valid]]=TRUE,((Table1[[#This Row],[Birthweight (grams)]]*0.9/Table1[[#This Row],[BW_GA]])-1)/(Backend!$B$4/100*Table1[[#This Row],[BW40_3705]]),"")</f>
        <v/>
      </c>
      <c r="I6056" s="7" t="str">
        <f>IF(Table1[[#This Row],[Is Data Valid]]=TRUE,((Table1[[#This Row],[Birthweight (grams)]]*1.1/Table1[[#This Row],[BW_GA]])-1)/(Backend!$B$4/100*Table1[[#This Row],[BW40_3705]]),"")</f>
        <v/>
      </c>
      <c r="J6056" s="7" t="str">
        <f>IF(Table1[[#This Row],[Is Data Valid]]=TRUE,_xlfn.NORM.S.DIST(Table1[[#This Row],[Birthweight Z-Score]],TRUE)*100,"")</f>
        <v/>
      </c>
      <c r="K6056" s="7" t="str">
        <f>IF(Table1[[#This Row],[Is Data Valid]]=TRUE,_xlfn.NORM.S.DIST(Table1[[#This Row],[Birthweight Z-Score (BW-10%)]],TRUE)*100,"")</f>
        <v/>
      </c>
      <c r="L6056" s="7" t="str">
        <f>IF(Table1[[#This Row],[Is Data Valid]]=TRUE,_xlfn.NORM.S.DIST(Table1[[#This Row],[Birthweight Z-Score (BW+10%)]],TRUE)*100,"")</f>
        <v/>
      </c>
    </row>
    <row r="6057" spans="1:12" x14ac:dyDescent="0.35">
      <c r="A6057" s="3"/>
      <c r="B6057" s="2"/>
      <c r="C6057" s="2"/>
      <c r="D6057" s="2" t="b">
        <f>IF(AND(NOT(ISBLANK(Table1[[#This Row],[Fetal Sex (Male, Female or Unknown)]])),ISNUMBER(Table1[[#This Row],[Birthweight (grams)]]),ISNUMBER(Table1[[#This Row],[Gestation (days)]])),TRUE,FALSE)</f>
        <v>0</v>
      </c>
      <c r="E6057" s="2" t="str">
        <f>IF(Table1[[#This Row],[Is Data Valid]]=TRUE,IF(Table1[[#This Row],[Fetal Sex (Male, Female or Unknown)]]="Male",Backend!$C$6,IF(Table1[[#This Row],[Fetal Sex (Male, Female or Unknown)]]="Female",Backend!$C$7,IF(Table1[[#This Row],[Fetal Sex (Male, Female or Unknown)]]="Unknown",Backend!$C$8,"Error"))),"")</f>
        <v/>
      </c>
      <c r="F6057" s="8" t="str">
        <f>IF(Table1[[#This Row],[Is Data Valid]]=TRUE,EXP(0.578+0.332*((Table1[[#This Row],[Gestation (days)]]+0.5)/7)-0.00354*((Table1[[#This Row],[Gestation (days)]]+0.5)/7)^2)*Table1[[#This Row],[BW40_3705]],"")</f>
        <v/>
      </c>
      <c r="G6057" s="2" t="str">
        <f>IF(Table1[[#This Row],[Is Data Valid]]=TRUE,((Table1[[#This Row],[Birthweight (grams)]]/Table1[[#This Row],[BW_GA]])-1)/(Backend!$B$4/100*Table1[[#This Row],[BW40_3705]]),"")</f>
        <v/>
      </c>
      <c r="H6057" s="7" t="str">
        <f>IF(Table1[[#This Row],[Is Data Valid]]=TRUE,((Table1[[#This Row],[Birthweight (grams)]]*0.9/Table1[[#This Row],[BW_GA]])-1)/(Backend!$B$4/100*Table1[[#This Row],[BW40_3705]]),"")</f>
        <v/>
      </c>
      <c r="I6057" s="7" t="str">
        <f>IF(Table1[[#This Row],[Is Data Valid]]=TRUE,((Table1[[#This Row],[Birthweight (grams)]]*1.1/Table1[[#This Row],[BW_GA]])-1)/(Backend!$B$4/100*Table1[[#This Row],[BW40_3705]]),"")</f>
        <v/>
      </c>
      <c r="J6057" s="7" t="str">
        <f>IF(Table1[[#This Row],[Is Data Valid]]=TRUE,_xlfn.NORM.S.DIST(Table1[[#This Row],[Birthweight Z-Score]],TRUE)*100,"")</f>
        <v/>
      </c>
      <c r="K6057" s="7" t="str">
        <f>IF(Table1[[#This Row],[Is Data Valid]]=TRUE,_xlfn.NORM.S.DIST(Table1[[#This Row],[Birthweight Z-Score (BW-10%)]],TRUE)*100,"")</f>
        <v/>
      </c>
      <c r="L6057" s="7" t="str">
        <f>IF(Table1[[#This Row],[Is Data Valid]]=TRUE,_xlfn.NORM.S.DIST(Table1[[#This Row],[Birthweight Z-Score (BW+10%)]],TRUE)*100,"")</f>
        <v/>
      </c>
    </row>
    <row r="6058" spans="1:12" x14ac:dyDescent="0.35">
      <c r="A6058" s="3"/>
      <c r="B6058" s="2"/>
      <c r="C6058" s="2"/>
      <c r="D6058" s="2" t="b">
        <f>IF(AND(NOT(ISBLANK(Table1[[#This Row],[Fetal Sex (Male, Female or Unknown)]])),ISNUMBER(Table1[[#This Row],[Birthweight (grams)]]),ISNUMBER(Table1[[#This Row],[Gestation (days)]])),TRUE,FALSE)</f>
        <v>0</v>
      </c>
      <c r="E6058" s="2" t="str">
        <f>IF(Table1[[#This Row],[Is Data Valid]]=TRUE,IF(Table1[[#This Row],[Fetal Sex (Male, Female or Unknown)]]="Male",Backend!$C$6,IF(Table1[[#This Row],[Fetal Sex (Male, Female or Unknown)]]="Female",Backend!$C$7,IF(Table1[[#This Row],[Fetal Sex (Male, Female or Unknown)]]="Unknown",Backend!$C$8,"Error"))),"")</f>
        <v/>
      </c>
      <c r="F6058" s="8" t="str">
        <f>IF(Table1[[#This Row],[Is Data Valid]]=TRUE,EXP(0.578+0.332*((Table1[[#This Row],[Gestation (days)]]+0.5)/7)-0.00354*((Table1[[#This Row],[Gestation (days)]]+0.5)/7)^2)*Table1[[#This Row],[BW40_3705]],"")</f>
        <v/>
      </c>
      <c r="G6058" s="2" t="str">
        <f>IF(Table1[[#This Row],[Is Data Valid]]=TRUE,((Table1[[#This Row],[Birthweight (grams)]]/Table1[[#This Row],[BW_GA]])-1)/(Backend!$B$4/100*Table1[[#This Row],[BW40_3705]]),"")</f>
        <v/>
      </c>
      <c r="H6058" s="7" t="str">
        <f>IF(Table1[[#This Row],[Is Data Valid]]=TRUE,((Table1[[#This Row],[Birthweight (grams)]]*0.9/Table1[[#This Row],[BW_GA]])-1)/(Backend!$B$4/100*Table1[[#This Row],[BW40_3705]]),"")</f>
        <v/>
      </c>
      <c r="I6058" s="7" t="str">
        <f>IF(Table1[[#This Row],[Is Data Valid]]=TRUE,((Table1[[#This Row],[Birthweight (grams)]]*1.1/Table1[[#This Row],[BW_GA]])-1)/(Backend!$B$4/100*Table1[[#This Row],[BW40_3705]]),"")</f>
        <v/>
      </c>
      <c r="J6058" s="7" t="str">
        <f>IF(Table1[[#This Row],[Is Data Valid]]=TRUE,_xlfn.NORM.S.DIST(Table1[[#This Row],[Birthweight Z-Score]],TRUE)*100,"")</f>
        <v/>
      </c>
      <c r="K6058" s="7" t="str">
        <f>IF(Table1[[#This Row],[Is Data Valid]]=TRUE,_xlfn.NORM.S.DIST(Table1[[#This Row],[Birthweight Z-Score (BW-10%)]],TRUE)*100,"")</f>
        <v/>
      </c>
      <c r="L6058" s="7" t="str">
        <f>IF(Table1[[#This Row],[Is Data Valid]]=TRUE,_xlfn.NORM.S.DIST(Table1[[#This Row],[Birthweight Z-Score (BW+10%)]],TRUE)*100,"")</f>
        <v/>
      </c>
    </row>
    <row r="6059" spans="1:12" x14ac:dyDescent="0.35">
      <c r="A6059" s="3"/>
      <c r="B6059" s="2"/>
      <c r="C6059" s="2"/>
      <c r="D6059" s="2" t="b">
        <f>IF(AND(NOT(ISBLANK(Table1[[#This Row],[Fetal Sex (Male, Female or Unknown)]])),ISNUMBER(Table1[[#This Row],[Birthweight (grams)]]),ISNUMBER(Table1[[#This Row],[Gestation (days)]])),TRUE,FALSE)</f>
        <v>0</v>
      </c>
      <c r="E6059" s="2" t="str">
        <f>IF(Table1[[#This Row],[Is Data Valid]]=TRUE,IF(Table1[[#This Row],[Fetal Sex (Male, Female or Unknown)]]="Male",Backend!$C$6,IF(Table1[[#This Row],[Fetal Sex (Male, Female or Unknown)]]="Female",Backend!$C$7,IF(Table1[[#This Row],[Fetal Sex (Male, Female or Unknown)]]="Unknown",Backend!$C$8,"Error"))),"")</f>
        <v/>
      </c>
      <c r="F6059" s="8" t="str">
        <f>IF(Table1[[#This Row],[Is Data Valid]]=TRUE,EXP(0.578+0.332*((Table1[[#This Row],[Gestation (days)]]+0.5)/7)-0.00354*((Table1[[#This Row],[Gestation (days)]]+0.5)/7)^2)*Table1[[#This Row],[BW40_3705]],"")</f>
        <v/>
      </c>
      <c r="G6059" s="2" t="str">
        <f>IF(Table1[[#This Row],[Is Data Valid]]=TRUE,((Table1[[#This Row],[Birthweight (grams)]]/Table1[[#This Row],[BW_GA]])-1)/(Backend!$B$4/100*Table1[[#This Row],[BW40_3705]]),"")</f>
        <v/>
      </c>
      <c r="H6059" s="7" t="str">
        <f>IF(Table1[[#This Row],[Is Data Valid]]=TRUE,((Table1[[#This Row],[Birthweight (grams)]]*0.9/Table1[[#This Row],[BW_GA]])-1)/(Backend!$B$4/100*Table1[[#This Row],[BW40_3705]]),"")</f>
        <v/>
      </c>
      <c r="I6059" s="7" t="str">
        <f>IF(Table1[[#This Row],[Is Data Valid]]=TRUE,((Table1[[#This Row],[Birthweight (grams)]]*1.1/Table1[[#This Row],[BW_GA]])-1)/(Backend!$B$4/100*Table1[[#This Row],[BW40_3705]]),"")</f>
        <v/>
      </c>
      <c r="J6059" s="7" t="str">
        <f>IF(Table1[[#This Row],[Is Data Valid]]=TRUE,_xlfn.NORM.S.DIST(Table1[[#This Row],[Birthweight Z-Score]],TRUE)*100,"")</f>
        <v/>
      </c>
      <c r="K6059" s="7" t="str">
        <f>IF(Table1[[#This Row],[Is Data Valid]]=TRUE,_xlfn.NORM.S.DIST(Table1[[#This Row],[Birthweight Z-Score (BW-10%)]],TRUE)*100,"")</f>
        <v/>
      </c>
      <c r="L6059" s="7" t="str">
        <f>IF(Table1[[#This Row],[Is Data Valid]]=TRUE,_xlfn.NORM.S.DIST(Table1[[#This Row],[Birthweight Z-Score (BW+10%)]],TRUE)*100,"")</f>
        <v/>
      </c>
    </row>
    <row r="6060" spans="1:12" x14ac:dyDescent="0.35">
      <c r="A6060" s="3"/>
      <c r="B6060" s="2"/>
      <c r="C6060" s="2"/>
      <c r="D6060" s="2" t="b">
        <f>IF(AND(NOT(ISBLANK(Table1[[#This Row],[Fetal Sex (Male, Female or Unknown)]])),ISNUMBER(Table1[[#This Row],[Birthweight (grams)]]),ISNUMBER(Table1[[#This Row],[Gestation (days)]])),TRUE,FALSE)</f>
        <v>0</v>
      </c>
      <c r="E6060" s="2" t="str">
        <f>IF(Table1[[#This Row],[Is Data Valid]]=TRUE,IF(Table1[[#This Row],[Fetal Sex (Male, Female or Unknown)]]="Male",Backend!$C$6,IF(Table1[[#This Row],[Fetal Sex (Male, Female or Unknown)]]="Female",Backend!$C$7,IF(Table1[[#This Row],[Fetal Sex (Male, Female or Unknown)]]="Unknown",Backend!$C$8,"Error"))),"")</f>
        <v/>
      </c>
      <c r="F6060" s="8" t="str">
        <f>IF(Table1[[#This Row],[Is Data Valid]]=TRUE,EXP(0.578+0.332*((Table1[[#This Row],[Gestation (days)]]+0.5)/7)-0.00354*((Table1[[#This Row],[Gestation (days)]]+0.5)/7)^2)*Table1[[#This Row],[BW40_3705]],"")</f>
        <v/>
      </c>
      <c r="G6060" s="2" t="str">
        <f>IF(Table1[[#This Row],[Is Data Valid]]=TRUE,((Table1[[#This Row],[Birthweight (grams)]]/Table1[[#This Row],[BW_GA]])-1)/(Backend!$B$4/100*Table1[[#This Row],[BW40_3705]]),"")</f>
        <v/>
      </c>
      <c r="H6060" s="7" t="str">
        <f>IF(Table1[[#This Row],[Is Data Valid]]=TRUE,((Table1[[#This Row],[Birthweight (grams)]]*0.9/Table1[[#This Row],[BW_GA]])-1)/(Backend!$B$4/100*Table1[[#This Row],[BW40_3705]]),"")</f>
        <v/>
      </c>
      <c r="I6060" s="7" t="str">
        <f>IF(Table1[[#This Row],[Is Data Valid]]=TRUE,((Table1[[#This Row],[Birthweight (grams)]]*1.1/Table1[[#This Row],[BW_GA]])-1)/(Backend!$B$4/100*Table1[[#This Row],[BW40_3705]]),"")</f>
        <v/>
      </c>
      <c r="J6060" s="7" t="str">
        <f>IF(Table1[[#This Row],[Is Data Valid]]=TRUE,_xlfn.NORM.S.DIST(Table1[[#This Row],[Birthweight Z-Score]],TRUE)*100,"")</f>
        <v/>
      </c>
      <c r="K6060" s="7" t="str">
        <f>IF(Table1[[#This Row],[Is Data Valid]]=TRUE,_xlfn.NORM.S.DIST(Table1[[#This Row],[Birthweight Z-Score (BW-10%)]],TRUE)*100,"")</f>
        <v/>
      </c>
      <c r="L6060" s="7" t="str">
        <f>IF(Table1[[#This Row],[Is Data Valid]]=TRUE,_xlfn.NORM.S.DIST(Table1[[#This Row],[Birthweight Z-Score (BW+10%)]],TRUE)*100,"")</f>
        <v/>
      </c>
    </row>
    <row r="6061" spans="1:12" x14ac:dyDescent="0.35">
      <c r="A6061" s="3"/>
      <c r="B6061" s="2"/>
      <c r="C6061" s="2"/>
      <c r="D6061" s="2" t="b">
        <f>IF(AND(NOT(ISBLANK(Table1[[#This Row],[Fetal Sex (Male, Female or Unknown)]])),ISNUMBER(Table1[[#This Row],[Birthweight (grams)]]),ISNUMBER(Table1[[#This Row],[Gestation (days)]])),TRUE,FALSE)</f>
        <v>0</v>
      </c>
      <c r="E6061" s="2" t="str">
        <f>IF(Table1[[#This Row],[Is Data Valid]]=TRUE,IF(Table1[[#This Row],[Fetal Sex (Male, Female or Unknown)]]="Male",Backend!$C$6,IF(Table1[[#This Row],[Fetal Sex (Male, Female or Unknown)]]="Female",Backend!$C$7,IF(Table1[[#This Row],[Fetal Sex (Male, Female or Unknown)]]="Unknown",Backend!$C$8,"Error"))),"")</f>
        <v/>
      </c>
      <c r="F6061" s="8" t="str">
        <f>IF(Table1[[#This Row],[Is Data Valid]]=TRUE,EXP(0.578+0.332*((Table1[[#This Row],[Gestation (days)]]+0.5)/7)-0.00354*((Table1[[#This Row],[Gestation (days)]]+0.5)/7)^2)*Table1[[#This Row],[BW40_3705]],"")</f>
        <v/>
      </c>
      <c r="G6061" s="2" t="str">
        <f>IF(Table1[[#This Row],[Is Data Valid]]=TRUE,((Table1[[#This Row],[Birthweight (grams)]]/Table1[[#This Row],[BW_GA]])-1)/(Backend!$B$4/100*Table1[[#This Row],[BW40_3705]]),"")</f>
        <v/>
      </c>
      <c r="H6061" s="7" t="str">
        <f>IF(Table1[[#This Row],[Is Data Valid]]=TRUE,((Table1[[#This Row],[Birthweight (grams)]]*0.9/Table1[[#This Row],[BW_GA]])-1)/(Backend!$B$4/100*Table1[[#This Row],[BW40_3705]]),"")</f>
        <v/>
      </c>
      <c r="I6061" s="7" t="str">
        <f>IF(Table1[[#This Row],[Is Data Valid]]=TRUE,((Table1[[#This Row],[Birthweight (grams)]]*1.1/Table1[[#This Row],[BW_GA]])-1)/(Backend!$B$4/100*Table1[[#This Row],[BW40_3705]]),"")</f>
        <v/>
      </c>
      <c r="J6061" s="7" t="str">
        <f>IF(Table1[[#This Row],[Is Data Valid]]=TRUE,_xlfn.NORM.S.DIST(Table1[[#This Row],[Birthweight Z-Score]],TRUE)*100,"")</f>
        <v/>
      </c>
      <c r="K6061" s="7" t="str">
        <f>IF(Table1[[#This Row],[Is Data Valid]]=TRUE,_xlfn.NORM.S.DIST(Table1[[#This Row],[Birthweight Z-Score (BW-10%)]],TRUE)*100,"")</f>
        <v/>
      </c>
      <c r="L6061" s="7" t="str">
        <f>IF(Table1[[#This Row],[Is Data Valid]]=TRUE,_xlfn.NORM.S.DIST(Table1[[#This Row],[Birthweight Z-Score (BW+10%)]],TRUE)*100,"")</f>
        <v/>
      </c>
    </row>
    <row r="6062" spans="1:12" x14ac:dyDescent="0.35">
      <c r="A6062" s="3"/>
      <c r="B6062" s="2"/>
      <c r="C6062" s="2"/>
      <c r="D6062" s="2" t="b">
        <f>IF(AND(NOT(ISBLANK(Table1[[#This Row],[Fetal Sex (Male, Female or Unknown)]])),ISNUMBER(Table1[[#This Row],[Birthweight (grams)]]),ISNUMBER(Table1[[#This Row],[Gestation (days)]])),TRUE,FALSE)</f>
        <v>0</v>
      </c>
      <c r="E6062" s="2" t="str">
        <f>IF(Table1[[#This Row],[Is Data Valid]]=TRUE,IF(Table1[[#This Row],[Fetal Sex (Male, Female or Unknown)]]="Male",Backend!$C$6,IF(Table1[[#This Row],[Fetal Sex (Male, Female or Unknown)]]="Female",Backend!$C$7,IF(Table1[[#This Row],[Fetal Sex (Male, Female or Unknown)]]="Unknown",Backend!$C$8,"Error"))),"")</f>
        <v/>
      </c>
      <c r="F6062" s="8" t="str">
        <f>IF(Table1[[#This Row],[Is Data Valid]]=TRUE,EXP(0.578+0.332*((Table1[[#This Row],[Gestation (days)]]+0.5)/7)-0.00354*((Table1[[#This Row],[Gestation (days)]]+0.5)/7)^2)*Table1[[#This Row],[BW40_3705]],"")</f>
        <v/>
      </c>
      <c r="G6062" s="2" t="str">
        <f>IF(Table1[[#This Row],[Is Data Valid]]=TRUE,((Table1[[#This Row],[Birthweight (grams)]]/Table1[[#This Row],[BW_GA]])-1)/(Backend!$B$4/100*Table1[[#This Row],[BW40_3705]]),"")</f>
        <v/>
      </c>
      <c r="H6062" s="7" t="str">
        <f>IF(Table1[[#This Row],[Is Data Valid]]=TRUE,((Table1[[#This Row],[Birthweight (grams)]]*0.9/Table1[[#This Row],[BW_GA]])-1)/(Backend!$B$4/100*Table1[[#This Row],[BW40_3705]]),"")</f>
        <v/>
      </c>
      <c r="I6062" s="7" t="str">
        <f>IF(Table1[[#This Row],[Is Data Valid]]=TRUE,((Table1[[#This Row],[Birthweight (grams)]]*1.1/Table1[[#This Row],[BW_GA]])-1)/(Backend!$B$4/100*Table1[[#This Row],[BW40_3705]]),"")</f>
        <v/>
      </c>
      <c r="J6062" s="7" t="str">
        <f>IF(Table1[[#This Row],[Is Data Valid]]=TRUE,_xlfn.NORM.S.DIST(Table1[[#This Row],[Birthweight Z-Score]],TRUE)*100,"")</f>
        <v/>
      </c>
      <c r="K6062" s="7" t="str">
        <f>IF(Table1[[#This Row],[Is Data Valid]]=TRUE,_xlfn.NORM.S.DIST(Table1[[#This Row],[Birthweight Z-Score (BW-10%)]],TRUE)*100,"")</f>
        <v/>
      </c>
      <c r="L6062" s="7" t="str">
        <f>IF(Table1[[#This Row],[Is Data Valid]]=TRUE,_xlfn.NORM.S.DIST(Table1[[#This Row],[Birthweight Z-Score (BW+10%)]],TRUE)*100,"")</f>
        <v/>
      </c>
    </row>
    <row r="6063" spans="1:12" x14ac:dyDescent="0.35">
      <c r="A6063" s="3"/>
      <c r="B6063" s="2"/>
      <c r="C6063" s="2"/>
      <c r="D6063" s="2" t="b">
        <f>IF(AND(NOT(ISBLANK(Table1[[#This Row],[Fetal Sex (Male, Female or Unknown)]])),ISNUMBER(Table1[[#This Row],[Birthweight (grams)]]),ISNUMBER(Table1[[#This Row],[Gestation (days)]])),TRUE,FALSE)</f>
        <v>0</v>
      </c>
      <c r="E6063" s="2" t="str">
        <f>IF(Table1[[#This Row],[Is Data Valid]]=TRUE,IF(Table1[[#This Row],[Fetal Sex (Male, Female or Unknown)]]="Male",Backend!$C$6,IF(Table1[[#This Row],[Fetal Sex (Male, Female or Unknown)]]="Female",Backend!$C$7,IF(Table1[[#This Row],[Fetal Sex (Male, Female or Unknown)]]="Unknown",Backend!$C$8,"Error"))),"")</f>
        <v/>
      </c>
      <c r="F6063" s="8" t="str">
        <f>IF(Table1[[#This Row],[Is Data Valid]]=TRUE,EXP(0.578+0.332*((Table1[[#This Row],[Gestation (days)]]+0.5)/7)-0.00354*((Table1[[#This Row],[Gestation (days)]]+0.5)/7)^2)*Table1[[#This Row],[BW40_3705]],"")</f>
        <v/>
      </c>
      <c r="G6063" s="2" t="str">
        <f>IF(Table1[[#This Row],[Is Data Valid]]=TRUE,((Table1[[#This Row],[Birthweight (grams)]]/Table1[[#This Row],[BW_GA]])-1)/(Backend!$B$4/100*Table1[[#This Row],[BW40_3705]]),"")</f>
        <v/>
      </c>
      <c r="H6063" s="7" t="str">
        <f>IF(Table1[[#This Row],[Is Data Valid]]=TRUE,((Table1[[#This Row],[Birthweight (grams)]]*0.9/Table1[[#This Row],[BW_GA]])-1)/(Backend!$B$4/100*Table1[[#This Row],[BW40_3705]]),"")</f>
        <v/>
      </c>
      <c r="I6063" s="7" t="str">
        <f>IF(Table1[[#This Row],[Is Data Valid]]=TRUE,((Table1[[#This Row],[Birthweight (grams)]]*1.1/Table1[[#This Row],[BW_GA]])-1)/(Backend!$B$4/100*Table1[[#This Row],[BW40_3705]]),"")</f>
        <v/>
      </c>
      <c r="J6063" s="7" t="str">
        <f>IF(Table1[[#This Row],[Is Data Valid]]=TRUE,_xlfn.NORM.S.DIST(Table1[[#This Row],[Birthweight Z-Score]],TRUE)*100,"")</f>
        <v/>
      </c>
      <c r="K6063" s="7" t="str">
        <f>IF(Table1[[#This Row],[Is Data Valid]]=TRUE,_xlfn.NORM.S.DIST(Table1[[#This Row],[Birthweight Z-Score (BW-10%)]],TRUE)*100,"")</f>
        <v/>
      </c>
      <c r="L6063" s="7" t="str">
        <f>IF(Table1[[#This Row],[Is Data Valid]]=TRUE,_xlfn.NORM.S.DIST(Table1[[#This Row],[Birthweight Z-Score (BW+10%)]],TRUE)*100,"")</f>
        <v/>
      </c>
    </row>
    <row r="6064" spans="1:12" x14ac:dyDescent="0.35">
      <c r="A6064" s="3"/>
      <c r="B6064" s="2"/>
      <c r="C6064" s="2"/>
      <c r="D6064" s="2" t="b">
        <f>IF(AND(NOT(ISBLANK(Table1[[#This Row],[Fetal Sex (Male, Female or Unknown)]])),ISNUMBER(Table1[[#This Row],[Birthweight (grams)]]),ISNUMBER(Table1[[#This Row],[Gestation (days)]])),TRUE,FALSE)</f>
        <v>0</v>
      </c>
      <c r="E6064" s="2" t="str">
        <f>IF(Table1[[#This Row],[Is Data Valid]]=TRUE,IF(Table1[[#This Row],[Fetal Sex (Male, Female or Unknown)]]="Male",Backend!$C$6,IF(Table1[[#This Row],[Fetal Sex (Male, Female or Unknown)]]="Female",Backend!$C$7,IF(Table1[[#This Row],[Fetal Sex (Male, Female or Unknown)]]="Unknown",Backend!$C$8,"Error"))),"")</f>
        <v/>
      </c>
      <c r="F6064" s="8" t="str">
        <f>IF(Table1[[#This Row],[Is Data Valid]]=TRUE,EXP(0.578+0.332*((Table1[[#This Row],[Gestation (days)]]+0.5)/7)-0.00354*((Table1[[#This Row],[Gestation (days)]]+0.5)/7)^2)*Table1[[#This Row],[BW40_3705]],"")</f>
        <v/>
      </c>
      <c r="G6064" s="2" t="str">
        <f>IF(Table1[[#This Row],[Is Data Valid]]=TRUE,((Table1[[#This Row],[Birthweight (grams)]]/Table1[[#This Row],[BW_GA]])-1)/(Backend!$B$4/100*Table1[[#This Row],[BW40_3705]]),"")</f>
        <v/>
      </c>
      <c r="H6064" s="7" t="str">
        <f>IF(Table1[[#This Row],[Is Data Valid]]=TRUE,((Table1[[#This Row],[Birthweight (grams)]]*0.9/Table1[[#This Row],[BW_GA]])-1)/(Backend!$B$4/100*Table1[[#This Row],[BW40_3705]]),"")</f>
        <v/>
      </c>
      <c r="I6064" s="7" t="str">
        <f>IF(Table1[[#This Row],[Is Data Valid]]=TRUE,((Table1[[#This Row],[Birthweight (grams)]]*1.1/Table1[[#This Row],[BW_GA]])-1)/(Backend!$B$4/100*Table1[[#This Row],[BW40_3705]]),"")</f>
        <v/>
      </c>
      <c r="J6064" s="7" t="str">
        <f>IF(Table1[[#This Row],[Is Data Valid]]=TRUE,_xlfn.NORM.S.DIST(Table1[[#This Row],[Birthweight Z-Score]],TRUE)*100,"")</f>
        <v/>
      </c>
      <c r="K6064" s="7" t="str">
        <f>IF(Table1[[#This Row],[Is Data Valid]]=TRUE,_xlfn.NORM.S.DIST(Table1[[#This Row],[Birthweight Z-Score (BW-10%)]],TRUE)*100,"")</f>
        <v/>
      </c>
      <c r="L6064" s="7" t="str">
        <f>IF(Table1[[#This Row],[Is Data Valid]]=TRUE,_xlfn.NORM.S.DIST(Table1[[#This Row],[Birthweight Z-Score (BW+10%)]],TRUE)*100,"")</f>
        <v/>
      </c>
    </row>
    <row r="6065" spans="1:12" x14ac:dyDescent="0.35">
      <c r="A6065" s="3"/>
      <c r="B6065" s="2"/>
      <c r="C6065" s="2"/>
      <c r="D6065" s="2" t="b">
        <f>IF(AND(NOT(ISBLANK(Table1[[#This Row],[Fetal Sex (Male, Female or Unknown)]])),ISNUMBER(Table1[[#This Row],[Birthweight (grams)]]),ISNUMBER(Table1[[#This Row],[Gestation (days)]])),TRUE,FALSE)</f>
        <v>0</v>
      </c>
      <c r="E6065" s="2" t="str">
        <f>IF(Table1[[#This Row],[Is Data Valid]]=TRUE,IF(Table1[[#This Row],[Fetal Sex (Male, Female or Unknown)]]="Male",Backend!$C$6,IF(Table1[[#This Row],[Fetal Sex (Male, Female or Unknown)]]="Female",Backend!$C$7,IF(Table1[[#This Row],[Fetal Sex (Male, Female or Unknown)]]="Unknown",Backend!$C$8,"Error"))),"")</f>
        <v/>
      </c>
      <c r="F6065" s="8" t="str">
        <f>IF(Table1[[#This Row],[Is Data Valid]]=TRUE,EXP(0.578+0.332*((Table1[[#This Row],[Gestation (days)]]+0.5)/7)-0.00354*((Table1[[#This Row],[Gestation (days)]]+0.5)/7)^2)*Table1[[#This Row],[BW40_3705]],"")</f>
        <v/>
      </c>
      <c r="G6065" s="2" t="str">
        <f>IF(Table1[[#This Row],[Is Data Valid]]=TRUE,((Table1[[#This Row],[Birthweight (grams)]]/Table1[[#This Row],[BW_GA]])-1)/(Backend!$B$4/100*Table1[[#This Row],[BW40_3705]]),"")</f>
        <v/>
      </c>
      <c r="H6065" s="7" t="str">
        <f>IF(Table1[[#This Row],[Is Data Valid]]=TRUE,((Table1[[#This Row],[Birthweight (grams)]]*0.9/Table1[[#This Row],[BW_GA]])-1)/(Backend!$B$4/100*Table1[[#This Row],[BW40_3705]]),"")</f>
        <v/>
      </c>
      <c r="I6065" s="7" t="str">
        <f>IF(Table1[[#This Row],[Is Data Valid]]=TRUE,((Table1[[#This Row],[Birthweight (grams)]]*1.1/Table1[[#This Row],[BW_GA]])-1)/(Backend!$B$4/100*Table1[[#This Row],[BW40_3705]]),"")</f>
        <v/>
      </c>
      <c r="J6065" s="7" t="str">
        <f>IF(Table1[[#This Row],[Is Data Valid]]=TRUE,_xlfn.NORM.S.DIST(Table1[[#This Row],[Birthweight Z-Score]],TRUE)*100,"")</f>
        <v/>
      </c>
      <c r="K6065" s="7" t="str">
        <f>IF(Table1[[#This Row],[Is Data Valid]]=TRUE,_xlfn.NORM.S.DIST(Table1[[#This Row],[Birthweight Z-Score (BW-10%)]],TRUE)*100,"")</f>
        <v/>
      </c>
      <c r="L6065" s="7" t="str">
        <f>IF(Table1[[#This Row],[Is Data Valid]]=TRUE,_xlfn.NORM.S.DIST(Table1[[#This Row],[Birthweight Z-Score (BW+10%)]],TRUE)*100,"")</f>
        <v/>
      </c>
    </row>
    <row r="6066" spans="1:12" x14ac:dyDescent="0.35">
      <c r="A6066" s="3"/>
      <c r="B6066" s="2"/>
      <c r="C6066" s="2"/>
      <c r="D6066" s="2" t="b">
        <f>IF(AND(NOT(ISBLANK(Table1[[#This Row],[Fetal Sex (Male, Female or Unknown)]])),ISNUMBER(Table1[[#This Row],[Birthweight (grams)]]),ISNUMBER(Table1[[#This Row],[Gestation (days)]])),TRUE,FALSE)</f>
        <v>0</v>
      </c>
      <c r="E6066" s="2" t="str">
        <f>IF(Table1[[#This Row],[Is Data Valid]]=TRUE,IF(Table1[[#This Row],[Fetal Sex (Male, Female or Unknown)]]="Male",Backend!$C$6,IF(Table1[[#This Row],[Fetal Sex (Male, Female or Unknown)]]="Female",Backend!$C$7,IF(Table1[[#This Row],[Fetal Sex (Male, Female or Unknown)]]="Unknown",Backend!$C$8,"Error"))),"")</f>
        <v/>
      </c>
      <c r="F6066" s="8" t="str">
        <f>IF(Table1[[#This Row],[Is Data Valid]]=TRUE,EXP(0.578+0.332*((Table1[[#This Row],[Gestation (days)]]+0.5)/7)-0.00354*((Table1[[#This Row],[Gestation (days)]]+0.5)/7)^2)*Table1[[#This Row],[BW40_3705]],"")</f>
        <v/>
      </c>
      <c r="G6066" s="2" t="str">
        <f>IF(Table1[[#This Row],[Is Data Valid]]=TRUE,((Table1[[#This Row],[Birthweight (grams)]]/Table1[[#This Row],[BW_GA]])-1)/(Backend!$B$4/100*Table1[[#This Row],[BW40_3705]]),"")</f>
        <v/>
      </c>
      <c r="H6066" s="7" t="str">
        <f>IF(Table1[[#This Row],[Is Data Valid]]=TRUE,((Table1[[#This Row],[Birthweight (grams)]]*0.9/Table1[[#This Row],[BW_GA]])-1)/(Backend!$B$4/100*Table1[[#This Row],[BW40_3705]]),"")</f>
        <v/>
      </c>
      <c r="I6066" s="7" t="str">
        <f>IF(Table1[[#This Row],[Is Data Valid]]=TRUE,((Table1[[#This Row],[Birthweight (grams)]]*1.1/Table1[[#This Row],[BW_GA]])-1)/(Backend!$B$4/100*Table1[[#This Row],[BW40_3705]]),"")</f>
        <v/>
      </c>
      <c r="J6066" s="7" t="str">
        <f>IF(Table1[[#This Row],[Is Data Valid]]=TRUE,_xlfn.NORM.S.DIST(Table1[[#This Row],[Birthweight Z-Score]],TRUE)*100,"")</f>
        <v/>
      </c>
      <c r="K6066" s="7" t="str">
        <f>IF(Table1[[#This Row],[Is Data Valid]]=TRUE,_xlfn.NORM.S.DIST(Table1[[#This Row],[Birthweight Z-Score (BW-10%)]],TRUE)*100,"")</f>
        <v/>
      </c>
      <c r="L6066" s="7" t="str">
        <f>IF(Table1[[#This Row],[Is Data Valid]]=TRUE,_xlfn.NORM.S.DIST(Table1[[#This Row],[Birthweight Z-Score (BW+10%)]],TRUE)*100,"")</f>
        <v/>
      </c>
    </row>
    <row r="6067" spans="1:12" x14ac:dyDescent="0.35">
      <c r="A6067" s="3"/>
      <c r="B6067" s="2"/>
      <c r="C6067" s="2"/>
      <c r="D6067" s="2" t="b">
        <f>IF(AND(NOT(ISBLANK(Table1[[#This Row],[Fetal Sex (Male, Female or Unknown)]])),ISNUMBER(Table1[[#This Row],[Birthweight (grams)]]),ISNUMBER(Table1[[#This Row],[Gestation (days)]])),TRUE,FALSE)</f>
        <v>0</v>
      </c>
      <c r="E6067" s="2" t="str">
        <f>IF(Table1[[#This Row],[Is Data Valid]]=TRUE,IF(Table1[[#This Row],[Fetal Sex (Male, Female or Unknown)]]="Male",Backend!$C$6,IF(Table1[[#This Row],[Fetal Sex (Male, Female or Unknown)]]="Female",Backend!$C$7,IF(Table1[[#This Row],[Fetal Sex (Male, Female or Unknown)]]="Unknown",Backend!$C$8,"Error"))),"")</f>
        <v/>
      </c>
      <c r="F6067" s="8" t="str">
        <f>IF(Table1[[#This Row],[Is Data Valid]]=TRUE,EXP(0.578+0.332*((Table1[[#This Row],[Gestation (days)]]+0.5)/7)-0.00354*((Table1[[#This Row],[Gestation (days)]]+0.5)/7)^2)*Table1[[#This Row],[BW40_3705]],"")</f>
        <v/>
      </c>
      <c r="G6067" s="2" t="str">
        <f>IF(Table1[[#This Row],[Is Data Valid]]=TRUE,((Table1[[#This Row],[Birthweight (grams)]]/Table1[[#This Row],[BW_GA]])-1)/(Backend!$B$4/100*Table1[[#This Row],[BW40_3705]]),"")</f>
        <v/>
      </c>
      <c r="H6067" s="7" t="str">
        <f>IF(Table1[[#This Row],[Is Data Valid]]=TRUE,((Table1[[#This Row],[Birthweight (grams)]]*0.9/Table1[[#This Row],[BW_GA]])-1)/(Backend!$B$4/100*Table1[[#This Row],[BW40_3705]]),"")</f>
        <v/>
      </c>
      <c r="I6067" s="7" t="str">
        <f>IF(Table1[[#This Row],[Is Data Valid]]=TRUE,((Table1[[#This Row],[Birthweight (grams)]]*1.1/Table1[[#This Row],[BW_GA]])-1)/(Backend!$B$4/100*Table1[[#This Row],[BW40_3705]]),"")</f>
        <v/>
      </c>
      <c r="J6067" s="7" t="str">
        <f>IF(Table1[[#This Row],[Is Data Valid]]=TRUE,_xlfn.NORM.S.DIST(Table1[[#This Row],[Birthweight Z-Score]],TRUE)*100,"")</f>
        <v/>
      </c>
      <c r="K6067" s="7" t="str">
        <f>IF(Table1[[#This Row],[Is Data Valid]]=TRUE,_xlfn.NORM.S.DIST(Table1[[#This Row],[Birthweight Z-Score (BW-10%)]],TRUE)*100,"")</f>
        <v/>
      </c>
      <c r="L6067" s="7" t="str">
        <f>IF(Table1[[#This Row],[Is Data Valid]]=TRUE,_xlfn.NORM.S.DIST(Table1[[#This Row],[Birthweight Z-Score (BW+10%)]],TRUE)*100,"")</f>
        <v/>
      </c>
    </row>
    <row r="6068" spans="1:12" x14ac:dyDescent="0.35">
      <c r="A6068" s="3"/>
      <c r="B6068" s="2"/>
      <c r="C6068" s="2"/>
      <c r="D6068" s="2" t="b">
        <f>IF(AND(NOT(ISBLANK(Table1[[#This Row],[Fetal Sex (Male, Female or Unknown)]])),ISNUMBER(Table1[[#This Row],[Birthweight (grams)]]),ISNUMBER(Table1[[#This Row],[Gestation (days)]])),TRUE,FALSE)</f>
        <v>0</v>
      </c>
      <c r="E6068" s="2" t="str">
        <f>IF(Table1[[#This Row],[Is Data Valid]]=TRUE,IF(Table1[[#This Row],[Fetal Sex (Male, Female or Unknown)]]="Male",Backend!$C$6,IF(Table1[[#This Row],[Fetal Sex (Male, Female or Unknown)]]="Female",Backend!$C$7,IF(Table1[[#This Row],[Fetal Sex (Male, Female or Unknown)]]="Unknown",Backend!$C$8,"Error"))),"")</f>
        <v/>
      </c>
      <c r="F6068" s="8" t="str">
        <f>IF(Table1[[#This Row],[Is Data Valid]]=TRUE,EXP(0.578+0.332*((Table1[[#This Row],[Gestation (days)]]+0.5)/7)-0.00354*((Table1[[#This Row],[Gestation (days)]]+0.5)/7)^2)*Table1[[#This Row],[BW40_3705]],"")</f>
        <v/>
      </c>
      <c r="G6068" s="2" t="str">
        <f>IF(Table1[[#This Row],[Is Data Valid]]=TRUE,((Table1[[#This Row],[Birthweight (grams)]]/Table1[[#This Row],[BW_GA]])-1)/(Backend!$B$4/100*Table1[[#This Row],[BW40_3705]]),"")</f>
        <v/>
      </c>
      <c r="H6068" s="7" t="str">
        <f>IF(Table1[[#This Row],[Is Data Valid]]=TRUE,((Table1[[#This Row],[Birthweight (grams)]]*0.9/Table1[[#This Row],[BW_GA]])-1)/(Backend!$B$4/100*Table1[[#This Row],[BW40_3705]]),"")</f>
        <v/>
      </c>
      <c r="I6068" s="7" t="str">
        <f>IF(Table1[[#This Row],[Is Data Valid]]=TRUE,((Table1[[#This Row],[Birthweight (grams)]]*1.1/Table1[[#This Row],[BW_GA]])-1)/(Backend!$B$4/100*Table1[[#This Row],[BW40_3705]]),"")</f>
        <v/>
      </c>
      <c r="J6068" s="7" t="str">
        <f>IF(Table1[[#This Row],[Is Data Valid]]=TRUE,_xlfn.NORM.S.DIST(Table1[[#This Row],[Birthweight Z-Score]],TRUE)*100,"")</f>
        <v/>
      </c>
      <c r="K6068" s="7" t="str">
        <f>IF(Table1[[#This Row],[Is Data Valid]]=TRUE,_xlfn.NORM.S.DIST(Table1[[#This Row],[Birthweight Z-Score (BW-10%)]],TRUE)*100,"")</f>
        <v/>
      </c>
      <c r="L6068" s="7" t="str">
        <f>IF(Table1[[#This Row],[Is Data Valid]]=TRUE,_xlfn.NORM.S.DIST(Table1[[#This Row],[Birthweight Z-Score (BW+10%)]],TRUE)*100,"")</f>
        <v/>
      </c>
    </row>
    <row r="6069" spans="1:12" x14ac:dyDescent="0.35">
      <c r="A6069" s="3"/>
      <c r="B6069" s="2"/>
      <c r="C6069" s="2"/>
      <c r="D6069" s="2" t="b">
        <f>IF(AND(NOT(ISBLANK(Table1[[#This Row],[Fetal Sex (Male, Female or Unknown)]])),ISNUMBER(Table1[[#This Row],[Birthweight (grams)]]),ISNUMBER(Table1[[#This Row],[Gestation (days)]])),TRUE,FALSE)</f>
        <v>0</v>
      </c>
      <c r="E6069" s="2" t="str">
        <f>IF(Table1[[#This Row],[Is Data Valid]]=TRUE,IF(Table1[[#This Row],[Fetal Sex (Male, Female or Unknown)]]="Male",Backend!$C$6,IF(Table1[[#This Row],[Fetal Sex (Male, Female or Unknown)]]="Female",Backend!$C$7,IF(Table1[[#This Row],[Fetal Sex (Male, Female or Unknown)]]="Unknown",Backend!$C$8,"Error"))),"")</f>
        <v/>
      </c>
      <c r="F6069" s="8" t="str">
        <f>IF(Table1[[#This Row],[Is Data Valid]]=TRUE,EXP(0.578+0.332*((Table1[[#This Row],[Gestation (days)]]+0.5)/7)-0.00354*((Table1[[#This Row],[Gestation (days)]]+0.5)/7)^2)*Table1[[#This Row],[BW40_3705]],"")</f>
        <v/>
      </c>
      <c r="G6069" s="2" t="str">
        <f>IF(Table1[[#This Row],[Is Data Valid]]=TRUE,((Table1[[#This Row],[Birthweight (grams)]]/Table1[[#This Row],[BW_GA]])-1)/(Backend!$B$4/100*Table1[[#This Row],[BW40_3705]]),"")</f>
        <v/>
      </c>
      <c r="H6069" s="7" t="str">
        <f>IF(Table1[[#This Row],[Is Data Valid]]=TRUE,((Table1[[#This Row],[Birthweight (grams)]]*0.9/Table1[[#This Row],[BW_GA]])-1)/(Backend!$B$4/100*Table1[[#This Row],[BW40_3705]]),"")</f>
        <v/>
      </c>
      <c r="I6069" s="7" t="str">
        <f>IF(Table1[[#This Row],[Is Data Valid]]=TRUE,((Table1[[#This Row],[Birthweight (grams)]]*1.1/Table1[[#This Row],[BW_GA]])-1)/(Backend!$B$4/100*Table1[[#This Row],[BW40_3705]]),"")</f>
        <v/>
      </c>
      <c r="J6069" s="7" t="str">
        <f>IF(Table1[[#This Row],[Is Data Valid]]=TRUE,_xlfn.NORM.S.DIST(Table1[[#This Row],[Birthweight Z-Score]],TRUE)*100,"")</f>
        <v/>
      </c>
      <c r="K6069" s="7" t="str">
        <f>IF(Table1[[#This Row],[Is Data Valid]]=TRUE,_xlfn.NORM.S.DIST(Table1[[#This Row],[Birthweight Z-Score (BW-10%)]],TRUE)*100,"")</f>
        <v/>
      </c>
      <c r="L6069" s="7" t="str">
        <f>IF(Table1[[#This Row],[Is Data Valid]]=TRUE,_xlfn.NORM.S.DIST(Table1[[#This Row],[Birthweight Z-Score (BW+10%)]],TRUE)*100,"")</f>
        <v/>
      </c>
    </row>
    <row r="6070" spans="1:12" x14ac:dyDescent="0.35">
      <c r="A6070" s="3"/>
      <c r="B6070" s="2"/>
      <c r="C6070" s="2"/>
      <c r="D6070" s="2" t="b">
        <f>IF(AND(NOT(ISBLANK(Table1[[#This Row],[Fetal Sex (Male, Female or Unknown)]])),ISNUMBER(Table1[[#This Row],[Birthweight (grams)]]),ISNUMBER(Table1[[#This Row],[Gestation (days)]])),TRUE,FALSE)</f>
        <v>0</v>
      </c>
      <c r="E6070" s="2" t="str">
        <f>IF(Table1[[#This Row],[Is Data Valid]]=TRUE,IF(Table1[[#This Row],[Fetal Sex (Male, Female or Unknown)]]="Male",Backend!$C$6,IF(Table1[[#This Row],[Fetal Sex (Male, Female or Unknown)]]="Female",Backend!$C$7,IF(Table1[[#This Row],[Fetal Sex (Male, Female or Unknown)]]="Unknown",Backend!$C$8,"Error"))),"")</f>
        <v/>
      </c>
      <c r="F6070" s="8" t="str">
        <f>IF(Table1[[#This Row],[Is Data Valid]]=TRUE,EXP(0.578+0.332*((Table1[[#This Row],[Gestation (days)]]+0.5)/7)-0.00354*((Table1[[#This Row],[Gestation (days)]]+0.5)/7)^2)*Table1[[#This Row],[BW40_3705]],"")</f>
        <v/>
      </c>
      <c r="G6070" s="2" t="str">
        <f>IF(Table1[[#This Row],[Is Data Valid]]=TRUE,((Table1[[#This Row],[Birthweight (grams)]]/Table1[[#This Row],[BW_GA]])-1)/(Backend!$B$4/100*Table1[[#This Row],[BW40_3705]]),"")</f>
        <v/>
      </c>
      <c r="H6070" s="7" t="str">
        <f>IF(Table1[[#This Row],[Is Data Valid]]=TRUE,((Table1[[#This Row],[Birthweight (grams)]]*0.9/Table1[[#This Row],[BW_GA]])-1)/(Backend!$B$4/100*Table1[[#This Row],[BW40_3705]]),"")</f>
        <v/>
      </c>
      <c r="I6070" s="7" t="str">
        <f>IF(Table1[[#This Row],[Is Data Valid]]=TRUE,((Table1[[#This Row],[Birthweight (grams)]]*1.1/Table1[[#This Row],[BW_GA]])-1)/(Backend!$B$4/100*Table1[[#This Row],[BW40_3705]]),"")</f>
        <v/>
      </c>
      <c r="J6070" s="7" t="str">
        <f>IF(Table1[[#This Row],[Is Data Valid]]=TRUE,_xlfn.NORM.S.DIST(Table1[[#This Row],[Birthweight Z-Score]],TRUE)*100,"")</f>
        <v/>
      </c>
      <c r="K6070" s="7" t="str">
        <f>IF(Table1[[#This Row],[Is Data Valid]]=TRUE,_xlfn.NORM.S.DIST(Table1[[#This Row],[Birthweight Z-Score (BW-10%)]],TRUE)*100,"")</f>
        <v/>
      </c>
      <c r="L6070" s="7" t="str">
        <f>IF(Table1[[#This Row],[Is Data Valid]]=TRUE,_xlfn.NORM.S.DIST(Table1[[#This Row],[Birthweight Z-Score (BW+10%)]],TRUE)*100,"")</f>
        <v/>
      </c>
    </row>
    <row r="6071" spans="1:12" x14ac:dyDescent="0.35">
      <c r="A6071" s="3"/>
      <c r="B6071" s="2"/>
      <c r="C6071" s="2"/>
      <c r="D6071" s="2" t="b">
        <f>IF(AND(NOT(ISBLANK(Table1[[#This Row],[Fetal Sex (Male, Female or Unknown)]])),ISNUMBER(Table1[[#This Row],[Birthweight (grams)]]),ISNUMBER(Table1[[#This Row],[Gestation (days)]])),TRUE,FALSE)</f>
        <v>0</v>
      </c>
      <c r="E6071" s="2" t="str">
        <f>IF(Table1[[#This Row],[Is Data Valid]]=TRUE,IF(Table1[[#This Row],[Fetal Sex (Male, Female or Unknown)]]="Male",Backend!$C$6,IF(Table1[[#This Row],[Fetal Sex (Male, Female or Unknown)]]="Female",Backend!$C$7,IF(Table1[[#This Row],[Fetal Sex (Male, Female or Unknown)]]="Unknown",Backend!$C$8,"Error"))),"")</f>
        <v/>
      </c>
      <c r="F6071" s="8" t="str">
        <f>IF(Table1[[#This Row],[Is Data Valid]]=TRUE,EXP(0.578+0.332*((Table1[[#This Row],[Gestation (days)]]+0.5)/7)-0.00354*((Table1[[#This Row],[Gestation (days)]]+0.5)/7)^2)*Table1[[#This Row],[BW40_3705]],"")</f>
        <v/>
      </c>
      <c r="G6071" s="2" t="str">
        <f>IF(Table1[[#This Row],[Is Data Valid]]=TRUE,((Table1[[#This Row],[Birthweight (grams)]]/Table1[[#This Row],[BW_GA]])-1)/(Backend!$B$4/100*Table1[[#This Row],[BW40_3705]]),"")</f>
        <v/>
      </c>
      <c r="H6071" s="7" t="str">
        <f>IF(Table1[[#This Row],[Is Data Valid]]=TRUE,((Table1[[#This Row],[Birthweight (grams)]]*0.9/Table1[[#This Row],[BW_GA]])-1)/(Backend!$B$4/100*Table1[[#This Row],[BW40_3705]]),"")</f>
        <v/>
      </c>
      <c r="I6071" s="7" t="str">
        <f>IF(Table1[[#This Row],[Is Data Valid]]=TRUE,((Table1[[#This Row],[Birthweight (grams)]]*1.1/Table1[[#This Row],[BW_GA]])-1)/(Backend!$B$4/100*Table1[[#This Row],[BW40_3705]]),"")</f>
        <v/>
      </c>
      <c r="J6071" s="7" t="str">
        <f>IF(Table1[[#This Row],[Is Data Valid]]=TRUE,_xlfn.NORM.S.DIST(Table1[[#This Row],[Birthweight Z-Score]],TRUE)*100,"")</f>
        <v/>
      </c>
      <c r="K6071" s="7" t="str">
        <f>IF(Table1[[#This Row],[Is Data Valid]]=TRUE,_xlfn.NORM.S.DIST(Table1[[#This Row],[Birthweight Z-Score (BW-10%)]],TRUE)*100,"")</f>
        <v/>
      </c>
      <c r="L6071" s="7" t="str">
        <f>IF(Table1[[#This Row],[Is Data Valid]]=TRUE,_xlfn.NORM.S.DIST(Table1[[#This Row],[Birthweight Z-Score (BW+10%)]],TRUE)*100,"")</f>
        <v/>
      </c>
    </row>
    <row r="6072" spans="1:12" x14ac:dyDescent="0.35">
      <c r="A6072" s="3"/>
      <c r="B6072" s="2"/>
      <c r="C6072" s="2"/>
      <c r="D6072" s="2" t="b">
        <f>IF(AND(NOT(ISBLANK(Table1[[#This Row],[Fetal Sex (Male, Female or Unknown)]])),ISNUMBER(Table1[[#This Row],[Birthweight (grams)]]),ISNUMBER(Table1[[#This Row],[Gestation (days)]])),TRUE,FALSE)</f>
        <v>0</v>
      </c>
      <c r="E6072" s="2" t="str">
        <f>IF(Table1[[#This Row],[Is Data Valid]]=TRUE,IF(Table1[[#This Row],[Fetal Sex (Male, Female or Unknown)]]="Male",Backend!$C$6,IF(Table1[[#This Row],[Fetal Sex (Male, Female or Unknown)]]="Female",Backend!$C$7,IF(Table1[[#This Row],[Fetal Sex (Male, Female or Unknown)]]="Unknown",Backend!$C$8,"Error"))),"")</f>
        <v/>
      </c>
      <c r="F6072" s="8" t="str">
        <f>IF(Table1[[#This Row],[Is Data Valid]]=TRUE,EXP(0.578+0.332*((Table1[[#This Row],[Gestation (days)]]+0.5)/7)-0.00354*((Table1[[#This Row],[Gestation (days)]]+0.5)/7)^2)*Table1[[#This Row],[BW40_3705]],"")</f>
        <v/>
      </c>
      <c r="G6072" s="2" t="str">
        <f>IF(Table1[[#This Row],[Is Data Valid]]=TRUE,((Table1[[#This Row],[Birthweight (grams)]]/Table1[[#This Row],[BW_GA]])-1)/(Backend!$B$4/100*Table1[[#This Row],[BW40_3705]]),"")</f>
        <v/>
      </c>
      <c r="H6072" s="7" t="str">
        <f>IF(Table1[[#This Row],[Is Data Valid]]=TRUE,((Table1[[#This Row],[Birthweight (grams)]]*0.9/Table1[[#This Row],[BW_GA]])-1)/(Backend!$B$4/100*Table1[[#This Row],[BW40_3705]]),"")</f>
        <v/>
      </c>
      <c r="I6072" s="7" t="str">
        <f>IF(Table1[[#This Row],[Is Data Valid]]=TRUE,((Table1[[#This Row],[Birthweight (grams)]]*1.1/Table1[[#This Row],[BW_GA]])-1)/(Backend!$B$4/100*Table1[[#This Row],[BW40_3705]]),"")</f>
        <v/>
      </c>
      <c r="J6072" s="7" t="str">
        <f>IF(Table1[[#This Row],[Is Data Valid]]=TRUE,_xlfn.NORM.S.DIST(Table1[[#This Row],[Birthweight Z-Score]],TRUE)*100,"")</f>
        <v/>
      </c>
      <c r="K6072" s="7" t="str">
        <f>IF(Table1[[#This Row],[Is Data Valid]]=TRUE,_xlfn.NORM.S.DIST(Table1[[#This Row],[Birthweight Z-Score (BW-10%)]],TRUE)*100,"")</f>
        <v/>
      </c>
      <c r="L6072" s="7" t="str">
        <f>IF(Table1[[#This Row],[Is Data Valid]]=TRUE,_xlfn.NORM.S.DIST(Table1[[#This Row],[Birthweight Z-Score (BW+10%)]],TRUE)*100,"")</f>
        <v/>
      </c>
    </row>
    <row r="6073" spans="1:12" x14ac:dyDescent="0.35">
      <c r="A6073" s="3"/>
      <c r="B6073" s="2"/>
      <c r="C6073" s="2"/>
      <c r="D6073" s="2" t="b">
        <f>IF(AND(NOT(ISBLANK(Table1[[#This Row],[Fetal Sex (Male, Female or Unknown)]])),ISNUMBER(Table1[[#This Row],[Birthweight (grams)]]),ISNUMBER(Table1[[#This Row],[Gestation (days)]])),TRUE,FALSE)</f>
        <v>0</v>
      </c>
      <c r="E6073" s="2" t="str">
        <f>IF(Table1[[#This Row],[Is Data Valid]]=TRUE,IF(Table1[[#This Row],[Fetal Sex (Male, Female or Unknown)]]="Male",Backend!$C$6,IF(Table1[[#This Row],[Fetal Sex (Male, Female or Unknown)]]="Female",Backend!$C$7,IF(Table1[[#This Row],[Fetal Sex (Male, Female or Unknown)]]="Unknown",Backend!$C$8,"Error"))),"")</f>
        <v/>
      </c>
      <c r="F6073" s="8" t="str">
        <f>IF(Table1[[#This Row],[Is Data Valid]]=TRUE,EXP(0.578+0.332*((Table1[[#This Row],[Gestation (days)]]+0.5)/7)-0.00354*((Table1[[#This Row],[Gestation (days)]]+0.5)/7)^2)*Table1[[#This Row],[BW40_3705]],"")</f>
        <v/>
      </c>
      <c r="G6073" s="2" t="str">
        <f>IF(Table1[[#This Row],[Is Data Valid]]=TRUE,((Table1[[#This Row],[Birthweight (grams)]]/Table1[[#This Row],[BW_GA]])-1)/(Backend!$B$4/100*Table1[[#This Row],[BW40_3705]]),"")</f>
        <v/>
      </c>
      <c r="H6073" s="7" t="str">
        <f>IF(Table1[[#This Row],[Is Data Valid]]=TRUE,((Table1[[#This Row],[Birthweight (grams)]]*0.9/Table1[[#This Row],[BW_GA]])-1)/(Backend!$B$4/100*Table1[[#This Row],[BW40_3705]]),"")</f>
        <v/>
      </c>
      <c r="I6073" s="7" t="str">
        <f>IF(Table1[[#This Row],[Is Data Valid]]=TRUE,((Table1[[#This Row],[Birthweight (grams)]]*1.1/Table1[[#This Row],[BW_GA]])-1)/(Backend!$B$4/100*Table1[[#This Row],[BW40_3705]]),"")</f>
        <v/>
      </c>
      <c r="J6073" s="7" t="str">
        <f>IF(Table1[[#This Row],[Is Data Valid]]=TRUE,_xlfn.NORM.S.DIST(Table1[[#This Row],[Birthweight Z-Score]],TRUE)*100,"")</f>
        <v/>
      </c>
      <c r="K6073" s="7" t="str">
        <f>IF(Table1[[#This Row],[Is Data Valid]]=TRUE,_xlfn.NORM.S.DIST(Table1[[#This Row],[Birthweight Z-Score (BW-10%)]],TRUE)*100,"")</f>
        <v/>
      </c>
      <c r="L6073" s="7" t="str">
        <f>IF(Table1[[#This Row],[Is Data Valid]]=TRUE,_xlfn.NORM.S.DIST(Table1[[#This Row],[Birthweight Z-Score (BW+10%)]],TRUE)*100,"")</f>
        <v/>
      </c>
    </row>
    <row r="6074" spans="1:12" x14ac:dyDescent="0.35">
      <c r="A6074" s="3"/>
      <c r="B6074" s="2"/>
      <c r="C6074" s="2"/>
      <c r="D6074" s="2" t="b">
        <f>IF(AND(NOT(ISBLANK(Table1[[#This Row],[Fetal Sex (Male, Female or Unknown)]])),ISNUMBER(Table1[[#This Row],[Birthweight (grams)]]),ISNUMBER(Table1[[#This Row],[Gestation (days)]])),TRUE,FALSE)</f>
        <v>0</v>
      </c>
      <c r="E6074" s="2" t="str">
        <f>IF(Table1[[#This Row],[Is Data Valid]]=TRUE,IF(Table1[[#This Row],[Fetal Sex (Male, Female or Unknown)]]="Male",Backend!$C$6,IF(Table1[[#This Row],[Fetal Sex (Male, Female or Unknown)]]="Female",Backend!$C$7,IF(Table1[[#This Row],[Fetal Sex (Male, Female or Unknown)]]="Unknown",Backend!$C$8,"Error"))),"")</f>
        <v/>
      </c>
      <c r="F6074" s="8" t="str">
        <f>IF(Table1[[#This Row],[Is Data Valid]]=TRUE,EXP(0.578+0.332*((Table1[[#This Row],[Gestation (days)]]+0.5)/7)-0.00354*((Table1[[#This Row],[Gestation (days)]]+0.5)/7)^2)*Table1[[#This Row],[BW40_3705]],"")</f>
        <v/>
      </c>
      <c r="G6074" s="2" t="str">
        <f>IF(Table1[[#This Row],[Is Data Valid]]=TRUE,((Table1[[#This Row],[Birthweight (grams)]]/Table1[[#This Row],[BW_GA]])-1)/(Backend!$B$4/100*Table1[[#This Row],[BW40_3705]]),"")</f>
        <v/>
      </c>
      <c r="H6074" s="7" t="str">
        <f>IF(Table1[[#This Row],[Is Data Valid]]=TRUE,((Table1[[#This Row],[Birthweight (grams)]]*0.9/Table1[[#This Row],[BW_GA]])-1)/(Backend!$B$4/100*Table1[[#This Row],[BW40_3705]]),"")</f>
        <v/>
      </c>
      <c r="I6074" s="7" t="str">
        <f>IF(Table1[[#This Row],[Is Data Valid]]=TRUE,((Table1[[#This Row],[Birthweight (grams)]]*1.1/Table1[[#This Row],[BW_GA]])-1)/(Backend!$B$4/100*Table1[[#This Row],[BW40_3705]]),"")</f>
        <v/>
      </c>
      <c r="J6074" s="7" t="str">
        <f>IF(Table1[[#This Row],[Is Data Valid]]=TRUE,_xlfn.NORM.S.DIST(Table1[[#This Row],[Birthweight Z-Score]],TRUE)*100,"")</f>
        <v/>
      </c>
      <c r="K6074" s="7" t="str">
        <f>IF(Table1[[#This Row],[Is Data Valid]]=TRUE,_xlfn.NORM.S.DIST(Table1[[#This Row],[Birthweight Z-Score (BW-10%)]],TRUE)*100,"")</f>
        <v/>
      </c>
      <c r="L6074" s="7" t="str">
        <f>IF(Table1[[#This Row],[Is Data Valid]]=TRUE,_xlfn.NORM.S.DIST(Table1[[#This Row],[Birthweight Z-Score (BW+10%)]],TRUE)*100,"")</f>
        <v/>
      </c>
    </row>
    <row r="6075" spans="1:12" x14ac:dyDescent="0.35">
      <c r="A6075" s="3"/>
      <c r="B6075" s="2"/>
      <c r="C6075" s="2"/>
      <c r="D6075" s="2" t="b">
        <f>IF(AND(NOT(ISBLANK(Table1[[#This Row],[Fetal Sex (Male, Female or Unknown)]])),ISNUMBER(Table1[[#This Row],[Birthweight (grams)]]),ISNUMBER(Table1[[#This Row],[Gestation (days)]])),TRUE,FALSE)</f>
        <v>0</v>
      </c>
      <c r="E6075" s="2" t="str">
        <f>IF(Table1[[#This Row],[Is Data Valid]]=TRUE,IF(Table1[[#This Row],[Fetal Sex (Male, Female or Unknown)]]="Male",Backend!$C$6,IF(Table1[[#This Row],[Fetal Sex (Male, Female or Unknown)]]="Female",Backend!$C$7,IF(Table1[[#This Row],[Fetal Sex (Male, Female or Unknown)]]="Unknown",Backend!$C$8,"Error"))),"")</f>
        <v/>
      </c>
      <c r="F6075" s="8" t="str">
        <f>IF(Table1[[#This Row],[Is Data Valid]]=TRUE,EXP(0.578+0.332*((Table1[[#This Row],[Gestation (days)]]+0.5)/7)-0.00354*((Table1[[#This Row],[Gestation (days)]]+0.5)/7)^2)*Table1[[#This Row],[BW40_3705]],"")</f>
        <v/>
      </c>
      <c r="G6075" s="2" t="str">
        <f>IF(Table1[[#This Row],[Is Data Valid]]=TRUE,((Table1[[#This Row],[Birthweight (grams)]]/Table1[[#This Row],[BW_GA]])-1)/(Backend!$B$4/100*Table1[[#This Row],[BW40_3705]]),"")</f>
        <v/>
      </c>
      <c r="H6075" s="7" t="str">
        <f>IF(Table1[[#This Row],[Is Data Valid]]=TRUE,((Table1[[#This Row],[Birthweight (grams)]]*0.9/Table1[[#This Row],[BW_GA]])-1)/(Backend!$B$4/100*Table1[[#This Row],[BW40_3705]]),"")</f>
        <v/>
      </c>
      <c r="I6075" s="7" t="str">
        <f>IF(Table1[[#This Row],[Is Data Valid]]=TRUE,((Table1[[#This Row],[Birthweight (grams)]]*1.1/Table1[[#This Row],[BW_GA]])-1)/(Backend!$B$4/100*Table1[[#This Row],[BW40_3705]]),"")</f>
        <v/>
      </c>
      <c r="J6075" s="7" t="str">
        <f>IF(Table1[[#This Row],[Is Data Valid]]=TRUE,_xlfn.NORM.S.DIST(Table1[[#This Row],[Birthweight Z-Score]],TRUE)*100,"")</f>
        <v/>
      </c>
      <c r="K6075" s="7" t="str">
        <f>IF(Table1[[#This Row],[Is Data Valid]]=TRUE,_xlfn.NORM.S.DIST(Table1[[#This Row],[Birthweight Z-Score (BW-10%)]],TRUE)*100,"")</f>
        <v/>
      </c>
      <c r="L6075" s="7" t="str">
        <f>IF(Table1[[#This Row],[Is Data Valid]]=TRUE,_xlfn.NORM.S.DIST(Table1[[#This Row],[Birthweight Z-Score (BW+10%)]],TRUE)*100,"")</f>
        <v/>
      </c>
    </row>
    <row r="6076" spans="1:12" x14ac:dyDescent="0.35">
      <c r="A6076" s="3"/>
      <c r="B6076" s="2"/>
      <c r="C6076" s="2"/>
      <c r="D6076" s="2" t="b">
        <f>IF(AND(NOT(ISBLANK(Table1[[#This Row],[Fetal Sex (Male, Female or Unknown)]])),ISNUMBER(Table1[[#This Row],[Birthweight (grams)]]),ISNUMBER(Table1[[#This Row],[Gestation (days)]])),TRUE,FALSE)</f>
        <v>0</v>
      </c>
      <c r="E6076" s="2" t="str">
        <f>IF(Table1[[#This Row],[Is Data Valid]]=TRUE,IF(Table1[[#This Row],[Fetal Sex (Male, Female or Unknown)]]="Male",Backend!$C$6,IF(Table1[[#This Row],[Fetal Sex (Male, Female or Unknown)]]="Female",Backend!$C$7,IF(Table1[[#This Row],[Fetal Sex (Male, Female or Unknown)]]="Unknown",Backend!$C$8,"Error"))),"")</f>
        <v/>
      </c>
      <c r="F6076" s="8" t="str">
        <f>IF(Table1[[#This Row],[Is Data Valid]]=TRUE,EXP(0.578+0.332*((Table1[[#This Row],[Gestation (days)]]+0.5)/7)-0.00354*((Table1[[#This Row],[Gestation (days)]]+0.5)/7)^2)*Table1[[#This Row],[BW40_3705]],"")</f>
        <v/>
      </c>
      <c r="G6076" s="2" t="str">
        <f>IF(Table1[[#This Row],[Is Data Valid]]=TRUE,((Table1[[#This Row],[Birthweight (grams)]]/Table1[[#This Row],[BW_GA]])-1)/(Backend!$B$4/100*Table1[[#This Row],[BW40_3705]]),"")</f>
        <v/>
      </c>
      <c r="H6076" s="7" t="str">
        <f>IF(Table1[[#This Row],[Is Data Valid]]=TRUE,((Table1[[#This Row],[Birthweight (grams)]]*0.9/Table1[[#This Row],[BW_GA]])-1)/(Backend!$B$4/100*Table1[[#This Row],[BW40_3705]]),"")</f>
        <v/>
      </c>
      <c r="I6076" s="7" t="str">
        <f>IF(Table1[[#This Row],[Is Data Valid]]=TRUE,((Table1[[#This Row],[Birthweight (grams)]]*1.1/Table1[[#This Row],[BW_GA]])-1)/(Backend!$B$4/100*Table1[[#This Row],[BW40_3705]]),"")</f>
        <v/>
      </c>
      <c r="J6076" s="7" t="str">
        <f>IF(Table1[[#This Row],[Is Data Valid]]=TRUE,_xlfn.NORM.S.DIST(Table1[[#This Row],[Birthweight Z-Score]],TRUE)*100,"")</f>
        <v/>
      </c>
      <c r="K6076" s="7" t="str">
        <f>IF(Table1[[#This Row],[Is Data Valid]]=TRUE,_xlfn.NORM.S.DIST(Table1[[#This Row],[Birthweight Z-Score (BW-10%)]],TRUE)*100,"")</f>
        <v/>
      </c>
      <c r="L6076" s="7" t="str">
        <f>IF(Table1[[#This Row],[Is Data Valid]]=TRUE,_xlfn.NORM.S.DIST(Table1[[#This Row],[Birthweight Z-Score (BW+10%)]],TRUE)*100,"")</f>
        <v/>
      </c>
    </row>
    <row r="6077" spans="1:12" x14ac:dyDescent="0.35">
      <c r="A6077" s="3"/>
      <c r="B6077" s="2"/>
      <c r="C6077" s="2"/>
      <c r="D6077" s="2" t="b">
        <f>IF(AND(NOT(ISBLANK(Table1[[#This Row],[Fetal Sex (Male, Female or Unknown)]])),ISNUMBER(Table1[[#This Row],[Birthweight (grams)]]),ISNUMBER(Table1[[#This Row],[Gestation (days)]])),TRUE,FALSE)</f>
        <v>0</v>
      </c>
      <c r="E6077" s="2" t="str">
        <f>IF(Table1[[#This Row],[Is Data Valid]]=TRUE,IF(Table1[[#This Row],[Fetal Sex (Male, Female or Unknown)]]="Male",Backend!$C$6,IF(Table1[[#This Row],[Fetal Sex (Male, Female or Unknown)]]="Female",Backend!$C$7,IF(Table1[[#This Row],[Fetal Sex (Male, Female or Unknown)]]="Unknown",Backend!$C$8,"Error"))),"")</f>
        <v/>
      </c>
      <c r="F6077" s="8" t="str">
        <f>IF(Table1[[#This Row],[Is Data Valid]]=TRUE,EXP(0.578+0.332*((Table1[[#This Row],[Gestation (days)]]+0.5)/7)-0.00354*((Table1[[#This Row],[Gestation (days)]]+0.5)/7)^2)*Table1[[#This Row],[BW40_3705]],"")</f>
        <v/>
      </c>
      <c r="G6077" s="2" t="str">
        <f>IF(Table1[[#This Row],[Is Data Valid]]=TRUE,((Table1[[#This Row],[Birthweight (grams)]]/Table1[[#This Row],[BW_GA]])-1)/(Backend!$B$4/100*Table1[[#This Row],[BW40_3705]]),"")</f>
        <v/>
      </c>
      <c r="H6077" s="7" t="str">
        <f>IF(Table1[[#This Row],[Is Data Valid]]=TRUE,((Table1[[#This Row],[Birthweight (grams)]]*0.9/Table1[[#This Row],[BW_GA]])-1)/(Backend!$B$4/100*Table1[[#This Row],[BW40_3705]]),"")</f>
        <v/>
      </c>
      <c r="I6077" s="7" t="str">
        <f>IF(Table1[[#This Row],[Is Data Valid]]=TRUE,((Table1[[#This Row],[Birthweight (grams)]]*1.1/Table1[[#This Row],[BW_GA]])-1)/(Backend!$B$4/100*Table1[[#This Row],[BW40_3705]]),"")</f>
        <v/>
      </c>
      <c r="J6077" s="7" t="str">
        <f>IF(Table1[[#This Row],[Is Data Valid]]=TRUE,_xlfn.NORM.S.DIST(Table1[[#This Row],[Birthweight Z-Score]],TRUE)*100,"")</f>
        <v/>
      </c>
      <c r="K6077" s="7" t="str">
        <f>IF(Table1[[#This Row],[Is Data Valid]]=TRUE,_xlfn.NORM.S.DIST(Table1[[#This Row],[Birthweight Z-Score (BW-10%)]],TRUE)*100,"")</f>
        <v/>
      </c>
      <c r="L6077" s="7" t="str">
        <f>IF(Table1[[#This Row],[Is Data Valid]]=TRUE,_xlfn.NORM.S.DIST(Table1[[#This Row],[Birthweight Z-Score (BW+10%)]],TRUE)*100,"")</f>
        <v/>
      </c>
    </row>
    <row r="6078" spans="1:12" x14ac:dyDescent="0.35">
      <c r="A6078" s="3"/>
      <c r="B6078" s="2"/>
      <c r="C6078" s="2"/>
      <c r="D6078" s="2" t="b">
        <f>IF(AND(NOT(ISBLANK(Table1[[#This Row],[Fetal Sex (Male, Female or Unknown)]])),ISNUMBER(Table1[[#This Row],[Birthweight (grams)]]),ISNUMBER(Table1[[#This Row],[Gestation (days)]])),TRUE,FALSE)</f>
        <v>0</v>
      </c>
      <c r="E6078" s="2" t="str">
        <f>IF(Table1[[#This Row],[Is Data Valid]]=TRUE,IF(Table1[[#This Row],[Fetal Sex (Male, Female or Unknown)]]="Male",Backend!$C$6,IF(Table1[[#This Row],[Fetal Sex (Male, Female or Unknown)]]="Female",Backend!$C$7,IF(Table1[[#This Row],[Fetal Sex (Male, Female or Unknown)]]="Unknown",Backend!$C$8,"Error"))),"")</f>
        <v/>
      </c>
      <c r="F6078" s="8" t="str">
        <f>IF(Table1[[#This Row],[Is Data Valid]]=TRUE,EXP(0.578+0.332*((Table1[[#This Row],[Gestation (days)]]+0.5)/7)-0.00354*((Table1[[#This Row],[Gestation (days)]]+0.5)/7)^2)*Table1[[#This Row],[BW40_3705]],"")</f>
        <v/>
      </c>
      <c r="G6078" s="2" t="str">
        <f>IF(Table1[[#This Row],[Is Data Valid]]=TRUE,((Table1[[#This Row],[Birthweight (grams)]]/Table1[[#This Row],[BW_GA]])-1)/(Backend!$B$4/100*Table1[[#This Row],[BW40_3705]]),"")</f>
        <v/>
      </c>
      <c r="H6078" s="7" t="str">
        <f>IF(Table1[[#This Row],[Is Data Valid]]=TRUE,((Table1[[#This Row],[Birthweight (grams)]]*0.9/Table1[[#This Row],[BW_GA]])-1)/(Backend!$B$4/100*Table1[[#This Row],[BW40_3705]]),"")</f>
        <v/>
      </c>
      <c r="I6078" s="7" t="str">
        <f>IF(Table1[[#This Row],[Is Data Valid]]=TRUE,((Table1[[#This Row],[Birthweight (grams)]]*1.1/Table1[[#This Row],[BW_GA]])-1)/(Backend!$B$4/100*Table1[[#This Row],[BW40_3705]]),"")</f>
        <v/>
      </c>
      <c r="J6078" s="7" t="str">
        <f>IF(Table1[[#This Row],[Is Data Valid]]=TRUE,_xlfn.NORM.S.DIST(Table1[[#This Row],[Birthweight Z-Score]],TRUE)*100,"")</f>
        <v/>
      </c>
      <c r="K6078" s="7" t="str">
        <f>IF(Table1[[#This Row],[Is Data Valid]]=TRUE,_xlfn.NORM.S.DIST(Table1[[#This Row],[Birthweight Z-Score (BW-10%)]],TRUE)*100,"")</f>
        <v/>
      </c>
      <c r="L6078" s="7" t="str">
        <f>IF(Table1[[#This Row],[Is Data Valid]]=TRUE,_xlfn.NORM.S.DIST(Table1[[#This Row],[Birthweight Z-Score (BW+10%)]],TRUE)*100,"")</f>
        <v/>
      </c>
    </row>
    <row r="6079" spans="1:12" x14ac:dyDescent="0.35">
      <c r="A6079" s="3"/>
      <c r="B6079" s="2"/>
      <c r="C6079" s="2"/>
      <c r="D6079" s="2" t="b">
        <f>IF(AND(NOT(ISBLANK(Table1[[#This Row],[Fetal Sex (Male, Female or Unknown)]])),ISNUMBER(Table1[[#This Row],[Birthweight (grams)]]),ISNUMBER(Table1[[#This Row],[Gestation (days)]])),TRUE,FALSE)</f>
        <v>0</v>
      </c>
      <c r="E6079" s="2" t="str">
        <f>IF(Table1[[#This Row],[Is Data Valid]]=TRUE,IF(Table1[[#This Row],[Fetal Sex (Male, Female or Unknown)]]="Male",Backend!$C$6,IF(Table1[[#This Row],[Fetal Sex (Male, Female or Unknown)]]="Female",Backend!$C$7,IF(Table1[[#This Row],[Fetal Sex (Male, Female or Unknown)]]="Unknown",Backend!$C$8,"Error"))),"")</f>
        <v/>
      </c>
      <c r="F6079" s="8" t="str">
        <f>IF(Table1[[#This Row],[Is Data Valid]]=TRUE,EXP(0.578+0.332*((Table1[[#This Row],[Gestation (days)]]+0.5)/7)-0.00354*((Table1[[#This Row],[Gestation (days)]]+0.5)/7)^2)*Table1[[#This Row],[BW40_3705]],"")</f>
        <v/>
      </c>
      <c r="G6079" s="2" t="str">
        <f>IF(Table1[[#This Row],[Is Data Valid]]=TRUE,((Table1[[#This Row],[Birthweight (grams)]]/Table1[[#This Row],[BW_GA]])-1)/(Backend!$B$4/100*Table1[[#This Row],[BW40_3705]]),"")</f>
        <v/>
      </c>
      <c r="H6079" s="7" t="str">
        <f>IF(Table1[[#This Row],[Is Data Valid]]=TRUE,((Table1[[#This Row],[Birthweight (grams)]]*0.9/Table1[[#This Row],[BW_GA]])-1)/(Backend!$B$4/100*Table1[[#This Row],[BW40_3705]]),"")</f>
        <v/>
      </c>
      <c r="I6079" s="7" t="str">
        <f>IF(Table1[[#This Row],[Is Data Valid]]=TRUE,((Table1[[#This Row],[Birthweight (grams)]]*1.1/Table1[[#This Row],[BW_GA]])-1)/(Backend!$B$4/100*Table1[[#This Row],[BW40_3705]]),"")</f>
        <v/>
      </c>
      <c r="J6079" s="7" t="str">
        <f>IF(Table1[[#This Row],[Is Data Valid]]=TRUE,_xlfn.NORM.S.DIST(Table1[[#This Row],[Birthweight Z-Score]],TRUE)*100,"")</f>
        <v/>
      </c>
      <c r="K6079" s="7" t="str">
        <f>IF(Table1[[#This Row],[Is Data Valid]]=TRUE,_xlfn.NORM.S.DIST(Table1[[#This Row],[Birthweight Z-Score (BW-10%)]],TRUE)*100,"")</f>
        <v/>
      </c>
      <c r="L6079" s="7" t="str">
        <f>IF(Table1[[#This Row],[Is Data Valid]]=TRUE,_xlfn.NORM.S.DIST(Table1[[#This Row],[Birthweight Z-Score (BW+10%)]],TRUE)*100,"")</f>
        <v/>
      </c>
    </row>
    <row r="6080" spans="1:12" x14ac:dyDescent="0.35">
      <c r="A6080" s="3"/>
      <c r="B6080" s="2"/>
      <c r="C6080" s="2"/>
      <c r="D6080" s="2" t="b">
        <f>IF(AND(NOT(ISBLANK(Table1[[#This Row],[Fetal Sex (Male, Female or Unknown)]])),ISNUMBER(Table1[[#This Row],[Birthweight (grams)]]),ISNUMBER(Table1[[#This Row],[Gestation (days)]])),TRUE,FALSE)</f>
        <v>0</v>
      </c>
      <c r="E6080" s="2" t="str">
        <f>IF(Table1[[#This Row],[Is Data Valid]]=TRUE,IF(Table1[[#This Row],[Fetal Sex (Male, Female or Unknown)]]="Male",Backend!$C$6,IF(Table1[[#This Row],[Fetal Sex (Male, Female or Unknown)]]="Female",Backend!$C$7,IF(Table1[[#This Row],[Fetal Sex (Male, Female or Unknown)]]="Unknown",Backend!$C$8,"Error"))),"")</f>
        <v/>
      </c>
      <c r="F6080" s="8" t="str">
        <f>IF(Table1[[#This Row],[Is Data Valid]]=TRUE,EXP(0.578+0.332*((Table1[[#This Row],[Gestation (days)]]+0.5)/7)-0.00354*((Table1[[#This Row],[Gestation (days)]]+0.5)/7)^2)*Table1[[#This Row],[BW40_3705]],"")</f>
        <v/>
      </c>
      <c r="G6080" s="2" t="str">
        <f>IF(Table1[[#This Row],[Is Data Valid]]=TRUE,((Table1[[#This Row],[Birthweight (grams)]]/Table1[[#This Row],[BW_GA]])-1)/(Backend!$B$4/100*Table1[[#This Row],[BW40_3705]]),"")</f>
        <v/>
      </c>
      <c r="H6080" s="7" t="str">
        <f>IF(Table1[[#This Row],[Is Data Valid]]=TRUE,((Table1[[#This Row],[Birthweight (grams)]]*0.9/Table1[[#This Row],[BW_GA]])-1)/(Backend!$B$4/100*Table1[[#This Row],[BW40_3705]]),"")</f>
        <v/>
      </c>
      <c r="I6080" s="7" t="str">
        <f>IF(Table1[[#This Row],[Is Data Valid]]=TRUE,((Table1[[#This Row],[Birthweight (grams)]]*1.1/Table1[[#This Row],[BW_GA]])-1)/(Backend!$B$4/100*Table1[[#This Row],[BW40_3705]]),"")</f>
        <v/>
      </c>
      <c r="J6080" s="7" t="str">
        <f>IF(Table1[[#This Row],[Is Data Valid]]=TRUE,_xlfn.NORM.S.DIST(Table1[[#This Row],[Birthweight Z-Score]],TRUE)*100,"")</f>
        <v/>
      </c>
      <c r="K6080" s="7" t="str">
        <f>IF(Table1[[#This Row],[Is Data Valid]]=TRUE,_xlfn.NORM.S.DIST(Table1[[#This Row],[Birthweight Z-Score (BW-10%)]],TRUE)*100,"")</f>
        <v/>
      </c>
      <c r="L6080" s="7" t="str">
        <f>IF(Table1[[#This Row],[Is Data Valid]]=TRUE,_xlfn.NORM.S.DIST(Table1[[#This Row],[Birthweight Z-Score (BW+10%)]],TRUE)*100,"")</f>
        <v/>
      </c>
    </row>
    <row r="6081" spans="1:12" x14ac:dyDescent="0.35">
      <c r="A6081" s="3"/>
      <c r="B6081" s="2"/>
      <c r="C6081" s="2"/>
      <c r="D6081" s="2" t="b">
        <f>IF(AND(NOT(ISBLANK(Table1[[#This Row],[Fetal Sex (Male, Female or Unknown)]])),ISNUMBER(Table1[[#This Row],[Birthweight (grams)]]),ISNUMBER(Table1[[#This Row],[Gestation (days)]])),TRUE,FALSE)</f>
        <v>0</v>
      </c>
      <c r="E6081" s="2" t="str">
        <f>IF(Table1[[#This Row],[Is Data Valid]]=TRUE,IF(Table1[[#This Row],[Fetal Sex (Male, Female or Unknown)]]="Male",Backend!$C$6,IF(Table1[[#This Row],[Fetal Sex (Male, Female or Unknown)]]="Female",Backend!$C$7,IF(Table1[[#This Row],[Fetal Sex (Male, Female or Unknown)]]="Unknown",Backend!$C$8,"Error"))),"")</f>
        <v/>
      </c>
      <c r="F6081" s="8" t="str">
        <f>IF(Table1[[#This Row],[Is Data Valid]]=TRUE,EXP(0.578+0.332*((Table1[[#This Row],[Gestation (days)]]+0.5)/7)-0.00354*((Table1[[#This Row],[Gestation (days)]]+0.5)/7)^2)*Table1[[#This Row],[BW40_3705]],"")</f>
        <v/>
      </c>
      <c r="G6081" s="2" t="str">
        <f>IF(Table1[[#This Row],[Is Data Valid]]=TRUE,((Table1[[#This Row],[Birthweight (grams)]]/Table1[[#This Row],[BW_GA]])-1)/(Backend!$B$4/100*Table1[[#This Row],[BW40_3705]]),"")</f>
        <v/>
      </c>
      <c r="H6081" s="7" t="str">
        <f>IF(Table1[[#This Row],[Is Data Valid]]=TRUE,((Table1[[#This Row],[Birthweight (grams)]]*0.9/Table1[[#This Row],[BW_GA]])-1)/(Backend!$B$4/100*Table1[[#This Row],[BW40_3705]]),"")</f>
        <v/>
      </c>
      <c r="I6081" s="7" t="str">
        <f>IF(Table1[[#This Row],[Is Data Valid]]=TRUE,((Table1[[#This Row],[Birthweight (grams)]]*1.1/Table1[[#This Row],[BW_GA]])-1)/(Backend!$B$4/100*Table1[[#This Row],[BW40_3705]]),"")</f>
        <v/>
      </c>
      <c r="J6081" s="7" t="str">
        <f>IF(Table1[[#This Row],[Is Data Valid]]=TRUE,_xlfn.NORM.S.DIST(Table1[[#This Row],[Birthweight Z-Score]],TRUE)*100,"")</f>
        <v/>
      </c>
      <c r="K6081" s="7" t="str">
        <f>IF(Table1[[#This Row],[Is Data Valid]]=TRUE,_xlfn.NORM.S.DIST(Table1[[#This Row],[Birthweight Z-Score (BW-10%)]],TRUE)*100,"")</f>
        <v/>
      </c>
      <c r="L6081" s="7" t="str">
        <f>IF(Table1[[#This Row],[Is Data Valid]]=TRUE,_xlfn.NORM.S.DIST(Table1[[#This Row],[Birthweight Z-Score (BW+10%)]],TRUE)*100,"")</f>
        <v/>
      </c>
    </row>
    <row r="6082" spans="1:12" x14ac:dyDescent="0.35">
      <c r="A6082" s="3"/>
      <c r="B6082" s="2"/>
      <c r="C6082" s="2"/>
      <c r="D6082" s="2" t="b">
        <f>IF(AND(NOT(ISBLANK(Table1[[#This Row],[Fetal Sex (Male, Female or Unknown)]])),ISNUMBER(Table1[[#This Row],[Birthweight (grams)]]),ISNUMBER(Table1[[#This Row],[Gestation (days)]])),TRUE,FALSE)</f>
        <v>0</v>
      </c>
      <c r="E6082" s="2" t="str">
        <f>IF(Table1[[#This Row],[Is Data Valid]]=TRUE,IF(Table1[[#This Row],[Fetal Sex (Male, Female or Unknown)]]="Male",Backend!$C$6,IF(Table1[[#This Row],[Fetal Sex (Male, Female or Unknown)]]="Female",Backend!$C$7,IF(Table1[[#This Row],[Fetal Sex (Male, Female or Unknown)]]="Unknown",Backend!$C$8,"Error"))),"")</f>
        <v/>
      </c>
      <c r="F6082" s="8" t="str">
        <f>IF(Table1[[#This Row],[Is Data Valid]]=TRUE,EXP(0.578+0.332*((Table1[[#This Row],[Gestation (days)]]+0.5)/7)-0.00354*((Table1[[#This Row],[Gestation (days)]]+0.5)/7)^2)*Table1[[#This Row],[BW40_3705]],"")</f>
        <v/>
      </c>
      <c r="G6082" s="2" t="str">
        <f>IF(Table1[[#This Row],[Is Data Valid]]=TRUE,((Table1[[#This Row],[Birthweight (grams)]]/Table1[[#This Row],[BW_GA]])-1)/(Backend!$B$4/100*Table1[[#This Row],[BW40_3705]]),"")</f>
        <v/>
      </c>
      <c r="H6082" s="7" t="str">
        <f>IF(Table1[[#This Row],[Is Data Valid]]=TRUE,((Table1[[#This Row],[Birthweight (grams)]]*0.9/Table1[[#This Row],[BW_GA]])-1)/(Backend!$B$4/100*Table1[[#This Row],[BW40_3705]]),"")</f>
        <v/>
      </c>
      <c r="I6082" s="7" t="str">
        <f>IF(Table1[[#This Row],[Is Data Valid]]=TRUE,((Table1[[#This Row],[Birthweight (grams)]]*1.1/Table1[[#This Row],[BW_GA]])-1)/(Backend!$B$4/100*Table1[[#This Row],[BW40_3705]]),"")</f>
        <v/>
      </c>
      <c r="J6082" s="7" t="str">
        <f>IF(Table1[[#This Row],[Is Data Valid]]=TRUE,_xlfn.NORM.S.DIST(Table1[[#This Row],[Birthweight Z-Score]],TRUE)*100,"")</f>
        <v/>
      </c>
      <c r="K6082" s="7" t="str">
        <f>IF(Table1[[#This Row],[Is Data Valid]]=TRUE,_xlfn.NORM.S.DIST(Table1[[#This Row],[Birthweight Z-Score (BW-10%)]],TRUE)*100,"")</f>
        <v/>
      </c>
      <c r="L6082" s="7" t="str">
        <f>IF(Table1[[#This Row],[Is Data Valid]]=TRUE,_xlfn.NORM.S.DIST(Table1[[#This Row],[Birthweight Z-Score (BW+10%)]],TRUE)*100,"")</f>
        <v/>
      </c>
    </row>
    <row r="6083" spans="1:12" x14ac:dyDescent="0.35">
      <c r="A6083" s="3"/>
      <c r="B6083" s="2"/>
      <c r="C6083" s="2"/>
      <c r="D6083" s="2" t="b">
        <f>IF(AND(NOT(ISBLANK(Table1[[#This Row],[Fetal Sex (Male, Female or Unknown)]])),ISNUMBER(Table1[[#This Row],[Birthweight (grams)]]),ISNUMBER(Table1[[#This Row],[Gestation (days)]])),TRUE,FALSE)</f>
        <v>0</v>
      </c>
      <c r="E6083" s="2" t="str">
        <f>IF(Table1[[#This Row],[Is Data Valid]]=TRUE,IF(Table1[[#This Row],[Fetal Sex (Male, Female or Unknown)]]="Male",Backend!$C$6,IF(Table1[[#This Row],[Fetal Sex (Male, Female or Unknown)]]="Female",Backend!$C$7,IF(Table1[[#This Row],[Fetal Sex (Male, Female or Unknown)]]="Unknown",Backend!$C$8,"Error"))),"")</f>
        <v/>
      </c>
      <c r="F6083" s="8" t="str">
        <f>IF(Table1[[#This Row],[Is Data Valid]]=TRUE,EXP(0.578+0.332*((Table1[[#This Row],[Gestation (days)]]+0.5)/7)-0.00354*((Table1[[#This Row],[Gestation (days)]]+0.5)/7)^2)*Table1[[#This Row],[BW40_3705]],"")</f>
        <v/>
      </c>
      <c r="G6083" s="2" t="str">
        <f>IF(Table1[[#This Row],[Is Data Valid]]=TRUE,((Table1[[#This Row],[Birthweight (grams)]]/Table1[[#This Row],[BW_GA]])-1)/(Backend!$B$4/100*Table1[[#This Row],[BW40_3705]]),"")</f>
        <v/>
      </c>
      <c r="H6083" s="7" t="str">
        <f>IF(Table1[[#This Row],[Is Data Valid]]=TRUE,((Table1[[#This Row],[Birthweight (grams)]]*0.9/Table1[[#This Row],[BW_GA]])-1)/(Backend!$B$4/100*Table1[[#This Row],[BW40_3705]]),"")</f>
        <v/>
      </c>
      <c r="I6083" s="7" t="str">
        <f>IF(Table1[[#This Row],[Is Data Valid]]=TRUE,((Table1[[#This Row],[Birthweight (grams)]]*1.1/Table1[[#This Row],[BW_GA]])-1)/(Backend!$B$4/100*Table1[[#This Row],[BW40_3705]]),"")</f>
        <v/>
      </c>
      <c r="J6083" s="7" t="str">
        <f>IF(Table1[[#This Row],[Is Data Valid]]=TRUE,_xlfn.NORM.S.DIST(Table1[[#This Row],[Birthweight Z-Score]],TRUE)*100,"")</f>
        <v/>
      </c>
      <c r="K6083" s="7" t="str">
        <f>IF(Table1[[#This Row],[Is Data Valid]]=TRUE,_xlfn.NORM.S.DIST(Table1[[#This Row],[Birthweight Z-Score (BW-10%)]],TRUE)*100,"")</f>
        <v/>
      </c>
      <c r="L6083" s="7" t="str">
        <f>IF(Table1[[#This Row],[Is Data Valid]]=TRUE,_xlfn.NORM.S.DIST(Table1[[#This Row],[Birthweight Z-Score (BW+10%)]],TRUE)*100,"")</f>
        <v/>
      </c>
    </row>
    <row r="6084" spans="1:12" x14ac:dyDescent="0.35">
      <c r="A6084" s="3"/>
      <c r="B6084" s="2"/>
      <c r="C6084" s="2"/>
      <c r="D6084" s="2" t="b">
        <f>IF(AND(NOT(ISBLANK(Table1[[#This Row],[Fetal Sex (Male, Female or Unknown)]])),ISNUMBER(Table1[[#This Row],[Birthweight (grams)]]),ISNUMBER(Table1[[#This Row],[Gestation (days)]])),TRUE,FALSE)</f>
        <v>0</v>
      </c>
      <c r="E6084" s="2" t="str">
        <f>IF(Table1[[#This Row],[Is Data Valid]]=TRUE,IF(Table1[[#This Row],[Fetal Sex (Male, Female or Unknown)]]="Male",Backend!$C$6,IF(Table1[[#This Row],[Fetal Sex (Male, Female or Unknown)]]="Female",Backend!$C$7,IF(Table1[[#This Row],[Fetal Sex (Male, Female or Unknown)]]="Unknown",Backend!$C$8,"Error"))),"")</f>
        <v/>
      </c>
      <c r="F6084" s="8" t="str">
        <f>IF(Table1[[#This Row],[Is Data Valid]]=TRUE,EXP(0.578+0.332*((Table1[[#This Row],[Gestation (days)]]+0.5)/7)-0.00354*((Table1[[#This Row],[Gestation (days)]]+0.5)/7)^2)*Table1[[#This Row],[BW40_3705]],"")</f>
        <v/>
      </c>
      <c r="G6084" s="2" t="str">
        <f>IF(Table1[[#This Row],[Is Data Valid]]=TRUE,((Table1[[#This Row],[Birthweight (grams)]]/Table1[[#This Row],[BW_GA]])-1)/(Backend!$B$4/100*Table1[[#This Row],[BW40_3705]]),"")</f>
        <v/>
      </c>
      <c r="H6084" s="7" t="str">
        <f>IF(Table1[[#This Row],[Is Data Valid]]=TRUE,((Table1[[#This Row],[Birthweight (grams)]]*0.9/Table1[[#This Row],[BW_GA]])-1)/(Backend!$B$4/100*Table1[[#This Row],[BW40_3705]]),"")</f>
        <v/>
      </c>
      <c r="I6084" s="7" t="str">
        <f>IF(Table1[[#This Row],[Is Data Valid]]=TRUE,((Table1[[#This Row],[Birthweight (grams)]]*1.1/Table1[[#This Row],[BW_GA]])-1)/(Backend!$B$4/100*Table1[[#This Row],[BW40_3705]]),"")</f>
        <v/>
      </c>
      <c r="J6084" s="7" t="str">
        <f>IF(Table1[[#This Row],[Is Data Valid]]=TRUE,_xlfn.NORM.S.DIST(Table1[[#This Row],[Birthweight Z-Score]],TRUE)*100,"")</f>
        <v/>
      </c>
      <c r="K6084" s="7" t="str">
        <f>IF(Table1[[#This Row],[Is Data Valid]]=TRUE,_xlfn.NORM.S.DIST(Table1[[#This Row],[Birthweight Z-Score (BW-10%)]],TRUE)*100,"")</f>
        <v/>
      </c>
      <c r="L6084" s="7" t="str">
        <f>IF(Table1[[#This Row],[Is Data Valid]]=TRUE,_xlfn.NORM.S.DIST(Table1[[#This Row],[Birthweight Z-Score (BW+10%)]],TRUE)*100,"")</f>
        <v/>
      </c>
    </row>
    <row r="6085" spans="1:12" x14ac:dyDescent="0.35">
      <c r="A6085" s="3"/>
      <c r="B6085" s="2"/>
      <c r="C6085" s="2"/>
      <c r="D6085" s="2" t="b">
        <f>IF(AND(NOT(ISBLANK(Table1[[#This Row],[Fetal Sex (Male, Female or Unknown)]])),ISNUMBER(Table1[[#This Row],[Birthweight (grams)]]),ISNUMBER(Table1[[#This Row],[Gestation (days)]])),TRUE,FALSE)</f>
        <v>0</v>
      </c>
      <c r="E6085" s="2" t="str">
        <f>IF(Table1[[#This Row],[Is Data Valid]]=TRUE,IF(Table1[[#This Row],[Fetal Sex (Male, Female or Unknown)]]="Male",Backend!$C$6,IF(Table1[[#This Row],[Fetal Sex (Male, Female or Unknown)]]="Female",Backend!$C$7,IF(Table1[[#This Row],[Fetal Sex (Male, Female or Unknown)]]="Unknown",Backend!$C$8,"Error"))),"")</f>
        <v/>
      </c>
      <c r="F6085" s="8" t="str">
        <f>IF(Table1[[#This Row],[Is Data Valid]]=TRUE,EXP(0.578+0.332*((Table1[[#This Row],[Gestation (days)]]+0.5)/7)-0.00354*((Table1[[#This Row],[Gestation (days)]]+0.5)/7)^2)*Table1[[#This Row],[BW40_3705]],"")</f>
        <v/>
      </c>
      <c r="G6085" s="2" t="str">
        <f>IF(Table1[[#This Row],[Is Data Valid]]=TRUE,((Table1[[#This Row],[Birthweight (grams)]]/Table1[[#This Row],[BW_GA]])-1)/(Backend!$B$4/100*Table1[[#This Row],[BW40_3705]]),"")</f>
        <v/>
      </c>
      <c r="H6085" s="7" t="str">
        <f>IF(Table1[[#This Row],[Is Data Valid]]=TRUE,((Table1[[#This Row],[Birthweight (grams)]]*0.9/Table1[[#This Row],[BW_GA]])-1)/(Backend!$B$4/100*Table1[[#This Row],[BW40_3705]]),"")</f>
        <v/>
      </c>
      <c r="I6085" s="7" t="str">
        <f>IF(Table1[[#This Row],[Is Data Valid]]=TRUE,((Table1[[#This Row],[Birthweight (grams)]]*1.1/Table1[[#This Row],[BW_GA]])-1)/(Backend!$B$4/100*Table1[[#This Row],[BW40_3705]]),"")</f>
        <v/>
      </c>
      <c r="J6085" s="7" t="str">
        <f>IF(Table1[[#This Row],[Is Data Valid]]=TRUE,_xlfn.NORM.S.DIST(Table1[[#This Row],[Birthweight Z-Score]],TRUE)*100,"")</f>
        <v/>
      </c>
      <c r="K6085" s="7" t="str">
        <f>IF(Table1[[#This Row],[Is Data Valid]]=TRUE,_xlfn.NORM.S.DIST(Table1[[#This Row],[Birthweight Z-Score (BW-10%)]],TRUE)*100,"")</f>
        <v/>
      </c>
      <c r="L6085" s="7" t="str">
        <f>IF(Table1[[#This Row],[Is Data Valid]]=TRUE,_xlfn.NORM.S.DIST(Table1[[#This Row],[Birthweight Z-Score (BW+10%)]],TRUE)*100,"")</f>
        <v/>
      </c>
    </row>
    <row r="6086" spans="1:12" x14ac:dyDescent="0.35">
      <c r="A6086" s="3"/>
      <c r="B6086" s="2"/>
      <c r="C6086" s="2"/>
      <c r="D6086" s="2" t="b">
        <f>IF(AND(NOT(ISBLANK(Table1[[#This Row],[Fetal Sex (Male, Female or Unknown)]])),ISNUMBER(Table1[[#This Row],[Birthweight (grams)]]),ISNUMBER(Table1[[#This Row],[Gestation (days)]])),TRUE,FALSE)</f>
        <v>0</v>
      </c>
      <c r="E6086" s="2" t="str">
        <f>IF(Table1[[#This Row],[Is Data Valid]]=TRUE,IF(Table1[[#This Row],[Fetal Sex (Male, Female or Unknown)]]="Male",Backend!$C$6,IF(Table1[[#This Row],[Fetal Sex (Male, Female or Unknown)]]="Female",Backend!$C$7,IF(Table1[[#This Row],[Fetal Sex (Male, Female or Unknown)]]="Unknown",Backend!$C$8,"Error"))),"")</f>
        <v/>
      </c>
      <c r="F6086" s="8" t="str">
        <f>IF(Table1[[#This Row],[Is Data Valid]]=TRUE,EXP(0.578+0.332*((Table1[[#This Row],[Gestation (days)]]+0.5)/7)-0.00354*((Table1[[#This Row],[Gestation (days)]]+0.5)/7)^2)*Table1[[#This Row],[BW40_3705]],"")</f>
        <v/>
      </c>
      <c r="G6086" s="2" t="str">
        <f>IF(Table1[[#This Row],[Is Data Valid]]=TRUE,((Table1[[#This Row],[Birthweight (grams)]]/Table1[[#This Row],[BW_GA]])-1)/(Backend!$B$4/100*Table1[[#This Row],[BW40_3705]]),"")</f>
        <v/>
      </c>
      <c r="H6086" s="7" t="str">
        <f>IF(Table1[[#This Row],[Is Data Valid]]=TRUE,((Table1[[#This Row],[Birthweight (grams)]]*0.9/Table1[[#This Row],[BW_GA]])-1)/(Backend!$B$4/100*Table1[[#This Row],[BW40_3705]]),"")</f>
        <v/>
      </c>
      <c r="I6086" s="7" t="str">
        <f>IF(Table1[[#This Row],[Is Data Valid]]=TRUE,((Table1[[#This Row],[Birthweight (grams)]]*1.1/Table1[[#This Row],[BW_GA]])-1)/(Backend!$B$4/100*Table1[[#This Row],[BW40_3705]]),"")</f>
        <v/>
      </c>
      <c r="J6086" s="7" t="str">
        <f>IF(Table1[[#This Row],[Is Data Valid]]=TRUE,_xlfn.NORM.S.DIST(Table1[[#This Row],[Birthweight Z-Score]],TRUE)*100,"")</f>
        <v/>
      </c>
      <c r="K6086" s="7" t="str">
        <f>IF(Table1[[#This Row],[Is Data Valid]]=TRUE,_xlfn.NORM.S.DIST(Table1[[#This Row],[Birthweight Z-Score (BW-10%)]],TRUE)*100,"")</f>
        <v/>
      </c>
      <c r="L6086" s="7" t="str">
        <f>IF(Table1[[#This Row],[Is Data Valid]]=TRUE,_xlfn.NORM.S.DIST(Table1[[#This Row],[Birthweight Z-Score (BW+10%)]],TRUE)*100,"")</f>
        <v/>
      </c>
    </row>
    <row r="6087" spans="1:12" x14ac:dyDescent="0.35">
      <c r="A6087" s="3"/>
      <c r="B6087" s="2"/>
      <c r="C6087" s="2"/>
      <c r="D6087" s="2" t="b">
        <f>IF(AND(NOT(ISBLANK(Table1[[#This Row],[Fetal Sex (Male, Female or Unknown)]])),ISNUMBER(Table1[[#This Row],[Birthweight (grams)]]),ISNUMBER(Table1[[#This Row],[Gestation (days)]])),TRUE,FALSE)</f>
        <v>0</v>
      </c>
      <c r="E6087" s="2" t="str">
        <f>IF(Table1[[#This Row],[Is Data Valid]]=TRUE,IF(Table1[[#This Row],[Fetal Sex (Male, Female or Unknown)]]="Male",Backend!$C$6,IF(Table1[[#This Row],[Fetal Sex (Male, Female or Unknown)]]="Female",Backend!$C$7,IF(Table1[[#This Row],[Fetal Sex (Male, Female or Unknown)]]="Unknown",Backend!$C$8,"Error"))),"")</f>
        <v/>
      </c>
      <c r="F6087" s="8" t="str">
        <f>IF(Table1[[#This Row],[Is Data Valid]]=TRUE,EXP(0.578+0.332*((Table1[[#This Row],[Gestation (days)]]+0.5)/7)-0.00354*((Table1[[#This Row],[Gestation (days)]]+0.5)/7)^2)*Table1[[#This Row],[BW40_3705]],"")</f>
        <v/>
      </c>
      <c r="G6087" s="2" t="str">
        <f>IF(Table1[[#This Row],[Is Data Valid]]=TRUE,((Table1[[#This Row],[Birthweight (grams)]]/Table1[[#This Row],[BW_GA]])-1)/(Backend!$B$4/100*Table1[[#This Row],[BW40_3705]]),"")</f>
        <v/>
      </c>
      <c r="H6087" s="7" t="str">
        <f>IF(Table1[[#This Row],[Is Data Valid]]=TRUE,((Table1[[#This Row],[Birthweight (grams)]]*0.9/Table1[[#This Row],[BW_GA]])-1)/(Backend!$B$4/100*Table1[[#This Row],[BW40_3705]]),"")</f>
        <v/>
      </c>
      <c r="I6087" s="7" t="str">
        <f>IF(Table1[[#This Row],[Is Data Valid]]=TRUE,((Table1[[#This Row],[Birthweight (grams)]]*1.1/Table1[[#This Row],[BW_GA]])-1)/(Backend!$B$4/100*Table1[[#This Row],[BW40_3705]]),"")</f>
        <v/>
      </c>
      <c r="J6087" s="7" t="str">
        <f>IF(Table1[[#This Row],[Is Data Valid]]=TRUE,_xlfn.NORM.S.DIST(Table1[[#This Row],[Birthweight Z-Score]],TRUE)*100,"")</f>
        <v/>
      </c>
      <c r="K6087" s="7" t="str">
        <f>IF(Table1[[#This Row],[Is Data Valid]]=TRUE,_xlfn.NORM.S.DIST(Table1[[#This Row],[Birthweight Z-Score (BW-10%)]],TRUE)*100,"")</f>
        <v/>
      </c>
      <c r="L6087" s="7" t="str">
        <f>IF(Table1[[#This Row],[Is Data Valid]]=TRUE,_xlfn.NORM.S.DIST(Table1[[#This Row],[Birthweight Z-Score (BW+10%)]],TRUE)*100,"")</f>
        <v/>
      </c>
    </row>
    <row r="6088" spans="1:12" x14ac:dyDescent="0.35">
      <c r="A6088" s="3"/>
      <c r="B6088" s="2"/>
      <c r="C6088" s="2"/>
      <c r="D6088" s="2" t="b">
        <f>IF(AND(NOT(ISBLANK(Table1[[#This Row],[Fetal Sex (Male, Female or Unknown)]])),ISNUMBER(Table1[[#This Row],[Birthweight (grams)]]),ISNUMBER(Table1[[#This Row],[Gestation (days)]])),TRUE,FALSE)</f>
        <v>0</v>
      </c>
      <c r="E6088" s="2" t="str">
        <f>IF(Table1[[#This Row],[Is Data Valid]]=TRUE,IF(Table1[[#This Row],[Fetal Sex (Male, Female or Unknown)]]="Male",Backend!$C$6,IF(Table1[[#This Row],[Fetal Sex (Male, Female or Unknown)]]="Female",Backend!$C$7,IF(Table1[[#This Row],[Fetal Sex (Male, Female or Unknown)]]="Unknown",Backend!$C$8,"Error"))),"")</f>
        <v/>
      </c>
      <c r="F6088" s="8" t="str">
        <f>IF(Table1[[#This Row],[Is Data Valid]]=TRUE,EXP(0.578+0.332*((Table1[[#This Row],[Gestation (days)]]+0.5)/7)-0.00354*((Table1[[#This Row],[Gestation (days)]]+0.5)/7)^2)*Table1[[#This Row],[BW40_3705]],"")</f>
        <v/>
      </c>
      <c r="G6088" s="2" t="str">
        <f>IF(Table1[[#This Row],[Is Data Valid]]=TRUE,((Table1[[#This Row],[Birthweight (grams)]]/Table1[[#This Row],[BW_GA]])-1)/(Backend!$B$4/100*Table1[[#This Row],[BW40_3705]]),"")</f>
        <v/>
      </c>
      <c r="H6088" s="7" t="str">
        <f>IF(Table1[[#This Row],[Is Data Valid]]=TRUE,((Table1[[#This Row],[Birthweight (grams)]]*0.9/Table1[[#This Row],[BW_GA]])-1)/(Backend!$B$4/100*Table1[[#This Row],[BW40_3705]]),"")</f>
        <v/>
      </c>
      <c r="I6088" s="7" t="str">
        <f>IF(Table1[[#This Row],[Is Data Valid]]=TRUE,((Table1[[#This Row],[Birthweight (grams)]]*1.1/Table1[[#This Row],[BW_GA]])-1)/(Backend!$B$4/100*Table1[[#This Row],[BW40_3705]]),"")</f>
        <v/>
      </c>
      <c r="J6088" s="7" t="str">
        <f>IF(Table1[[#This Row],[Is Data Valid]]=TRUE,_xlfn.NORM.S.DIST(Table1[[#This Row],[Birthweight Z-Score]],TRUE)*100,"")</f>
        <v/>
      </c>
      <c r="K6088" s="7" t="str">
        <f>IF(Table1[[#This Row],[Is Data Valid]]=TRUE,_xlfn.NORM.S.DIST(Table1[[#This Row],[Birthweight Z-Score (BW-10%)]],TRUE)*100,"")</f>
        <v/>
      </c>
      <c r="L6088" s="7" t="str">
        <f>IF(Table1[[#This Row],[Is Data Valid]]=TRUE,_xlfn.NORM.S.DIST(Table1[[#This Row],[Birthweight Z-Score (BW+10%)]],TRUE)*100,"")</f>
        <v/>
      </c>
    </row>
    <row r="6089" spans="1:12" x14ac:dyDescent="0.35">
      <c r="A6089" s="3"/>
      <c r="B6089" s="2"/>
      <c r="C6089" s="2"/>
      <c r="D6089" s="2" t="b">
        <f>IF(AND(NOT(ISBLANK(Table1[[#This Row],[Fetal Sex (Male, Female or Unknown)]])),ISNUMBER(Table1[[#This Row],[Birthweight (grams)]]),ISNUMBER(Table1[[#This Row],[Gestation (days)]])),TRUE,FALSE)</f>
        <v>0</v>
      </c>
      <c r="E6089" s="2" t="str">
        <f>IF(Table1[[#This Row],[Is Data Valid]]=TRUE,IF(Table1[[#This Row],[Fetal Sex (Male, Female or Unknown)]]="Male",Backend!$C$6,IF(Table1[[#This Row],[Fetal Sex (Male, Female or Unknown)]]="Female",Backend!$C$7,IF(Table1[[#This Row],[Fetal Sex (Male, Female or Unknown)]]="Unknown",Backend!$C$8,"Error"))),"")</f>
        <v/>
      </c>
      <c r="F6089" s="8" t="str">
        <f>IF(Table1[[#This Row],[Is Data Valid]]=TRUE,EXP(0.578+0.332*((Table1[[#This Row],[Gestation (days)]]+0.5)/7)-0.00354*((Table1[[#This Row],[Gestation (days)]]+0.5)/7)^2)*Table1[[#This Row],[BW40_3705]],"")</f>
        <v/>
      </c>
      <c r="G6089" s="2" t="str">
        <f>IF(Table1[[#This Row],[Is Data Valid]]=TRUE,((Table1[[#This Row],[Birthweight (grams)]]/Table1[[#This Row],[BW_GA]])-1)/(Backend!$B$4/100*Table1[[#This Row],[BW40_3705]]),"")</f>
        <v/>
      </c>
      <c r="H6089" s="7" t="str">
        <f>IF(Table1[[#This Row],[Is Data Valid]]=TRUE,((Table1[[#This Row],[Birthweight (grams)]]*0.9/Table1[[#This Row],[BW_GA]])-1)/(Backend!$B$4/100*Table1[[#This Row],[BW40_3705]]),"")</f>
        <v/>
      </c>
      <c r="I6089" s="7" t="str">
        <f>IF(Table1[[#This Row],[Is Data Valid]]=TRUE,((Table1[[#This Row],[Birthweight (grams)]]*1.1/Table1[[#This Row],[BW_GA]])-1)/(Backend!$B$4/100*Table1[[#This Row],[BW40_3705]]),"")</f>
        <v/>
      </c>
      <c r="J6089" s="7" t="str">
        <f>IF(Table1[[#This Row],[Is Data Valid]]=TRUE,_xlfn.NORM.S.DIST(Table1[[#This Row],[Birthweight Z-Score]],TRUE)*100,"")</f>
        <v/>
      </c>
      <c r="K6089" s="7" t="str">
        <f>IF(Table1[[#This Row],[Is Data Valid]]=TRUE,_xlfn.NORM.S.DIST(Table1[[#This Row],[Birthweight Z-Score (BW-10%)]],TRUE)*100,"")</f>
        <v/>
      </c>
      <c r="L6089" s="7" t="str">
        <f>IF(Table1[[#This Row],[Is Data Valid]]=TRUE,_xlfn.NORM.S.DIST(Table1[[#This Row],[Birthweight Z-Score (BW+10%)]],TRUE)*100,"")</f>
        <v/>
      </c>
    </row>
    <row r="6090" spans="1:12" x14ac:dyDescent="0.35">
      <c r="A6090" s="3"/>
      <c r="B6090" s="2"/>
      <c r="C6090" s="2"/>
      <c r="D6090" s="2" t="b">
        <f>IF(AND(NOT(ISBLANK(Table1[[#This Row],[Fetal Sex (Male, Female or Unknown)]])),ISNUMBER(Table1[[#This Row],[Birthweight (grams)]]),ISNUMBER(Table1[[#This Row],[Gestation (days)]])),TRUE,FALSE)</f>
        <v>0</v>
      </c>
      <c r="E6090" s="2" t="str">
        <f>IF(Table1[[#This Row],[Is Data Valid]]=TRUE,IF(Table1[[#This Row],[Fetal Sex (Male, Female or Unknown)]]="Male",Backend!$C$6,IF(Table1[[#This Row],[Fetal Sex (Male, Female or Unknown)]]="Female",Backend!$C$7,IF(Table1[[#This Row],[Fetal Sex (Male, Female or Unknown)]]="Unknown",Backend!$C$8,"Error"))),"")</f>
        <v/>
      </c>
      <c r="F6090" s="8" t="str">
        <f>IF(Table1[[#This Row],[Is Data Valid]]=TRUE,EXP(0.578+0.332*((Table1[[#This Row],[Gestation (days)]]+0.5)/7)-0.00354*((Table1[[#This Row],[Gestation (days)]]+0.5)/7)^2)*Table1[[#This Row],[BW40_3705]],"")</f>
        <v/>
      </c>
      <c r="G6090" s="2" t="str">
        <f>IF(Table1[[#This Row],[Is Data Valid]]=TRUE,((Table1[[#This Row],[Birthweight (grams)]]/Table1[[#This Row],[BW_GA]])-1)/(Backend!$B$4/100*Table1[[#This Row],[BW40_3705]]),"")</f>
        <v/>
      </c>
      <c r="H6090" s="7" t="str">
        <f>IF(Table1[[#This Row],[Is Data Valid]]=TRUE,((Table1[[#This Row],[Birthweight (grams)]]*0.9/Table1[[#This Row],[BW_GA]])-1)/(Backend!$B$4/100*Table1[[#This Row],[BW40_3705]]),"")</f>
        <v/>
      </c>
      <c r="I6090" s="7" t="str">
        <f>IF(Table1[[#This Row],[Is Data Valid]]=TRUE,((Table1[[#This Row],[Birthweight (grams)]]*1.1/Table1[[#This Row],[BW_GA]])-1)/(Backend!$B$4/100*Table1[[#This Row],[BW40_3705]]),"")</f>
        <v/>
      </c>
      <c r="J6090" s="7" t="str">
        <f>IF(Table1[[#This Row],[Is Data Valid]]=TRUE,_xlfn.NORM.S.DIST(Table1[[#This Row],[Birthweight Z-Score]],TRUE)*100,"")</f>
        <v/>
      </c>
      <c r="K6090" s="7" t="str">
        <f>IF(Table1[[#This Row],[Is Data Valid]]=TRUE,_xlfn.NORM.S.DIST(Table1[[#This Row],[Birthweight Z-Score (BW-10%)]],TRUE)*100,"")</f>
        <v/>
      </c>
      <c r="L6090" s="7" t="str">
        <f>IF(Table1[[#This Row],[Is Data Valid]]=TRUE,_xlfn.NORM.S.DIST(Table1[[#This Row],[Birthweight Z-Score (BW+10%)]],TRUE)*100,"")</f>
        <v/>
      </c>
    </row>
    <row r="6091" spans="1:12" x14ac:dyDescent="0.35">
      <c r="A6091" s="3"/>
      <c r="B6091" s="2"/>
      <c r="C6091" s="2"/>
      <c r="D6091" s="2" t="b">
        <f>IF(AND(NOT(ISBLANK(Table1[[#This Row],[Fetal Sex (Male, Female or Unknown)]])),ISNUMBER(Table1[[#This Row],[Birthweight (grams)]]),ISNUMBER(Table1[[#This Row],[Gestation (days)]])),TRUE,FALSE)</f>
        <v>0</v>
      </c>
      <c r="E6091" s="2" t="str">
        <f>IF(Table1[[#This Row],[Is Data Valid]]=TRUE,IF(Table1[[#This Row],[Fetal Sex (Male, Female or Unknown)]]="Male",Backend!$C$6,IF(Table1[[#This Row],[Fetal Sex (Male, Female or Unknown)]]="Female",Backend!$C$7,IF(Table1[[#This Row],[Fetal Sex (Male, Female or Unknown)]]="Unknown",Backend!$C$8,"Error"))),"")</f>
        <v/>
      </c>
      <c r="F6091" s="8" t="str">
        <f>IF(Table1[[#This Row],[Is Data Valid]]=TRUE,EXP(0.578+0.332*((Table1[[#This Row],[Gestation (days)]]+0.5)/7)-0.00354*((Table1[[#This Row],[Gestation (days)]]+0.5)/7)^2)*Table1[[#This Row],[BW40_3705]],"")</f>
        <v/>
      </c>
      <c r="G6091" s="2" t="str">
        <f>IF(Table1[[#This Row],[Is Data Valid]]=TRUE,((Table1[[#This Row],[Birthweight (grams)]]/Table1[[#This Row],[BW_GA]])-1)/(Backend!$B$4/100*Table1[[#This Row],[BW40_3705]]),"")</f>
        <v/>
      </c>
      <c r="H6091" s="7" t="str">
        <f>IF(Table1[[#This Row],[Is Data Valid]]=TRUE,((Table1[[#This Row],[Birthweight (grams)]]*0.9/Table1[[#This Row],[BW_GA]])-1)/(Backend!$B$4/100*Table1[[#This Row],[BW40_3705]]),"")</f>
        <v/>
      </c>
      <c r="I6091" s="7" t="str">
        <f>IF(Table1[[#This Row],[Is Data Valid]]=TRUE,((Table1[[#This Row],[Birthweight (grams)]]*1.1/Table1[[#This Row],[BW_GA]])-1)/(Backend!$B$4/100*Table1[[#This Row],[BW40_3705]]),"")</f>
        <v/>
      </c>
      <c r="J6091" s="7" t="str">
        <f>IF(Table1[[#This Row],[Is Data Valid]]=TRUE,_xlfn.NORM.S.DIST(Table1[[#This Row],[Birthweight Z-Score]],TRUE)*100,"")</f>
        <v/>
      </c>
      <c r="K6091" s="7" t="str">
        <f>IF(Table1[[#This Row],[Is Data Valid]]=TRUE,_xlfn.NORM.S.DIST(Table1[[#This Row],[Birthweight Z-Score (BW-10%)]],TRUE)*100,"")</f>
        <v/>
      </c>
      <c r="L6091" s="7" t="str">
        <f>IF(Table1[[#This Row],[Is Data Valid]]=TRUE,_xlfn.NORM.S.DIST(Table1[[#This Row],[Birthweight Z-Score (BW+10%)]],TRUE)*100,"")</f>
        <v/>
      </c>
    </row>
    <row r="6092" spans="1:12" x14ac:dyDescent="0.35">
      <c r="A6092" s="3"/>
      <c r="B6092" s="2"/>
      <c r="C6092" s="2"/>
      <c r="D6092" s="2" t="b">
        <f>IF(AND(NOT(ISBLANK(Table1[[#This Row],[Fetal Sex (Male, Female or Unknown)]])),ISNUMBER(Table1[[#This Row],[Birthweight (grams)]]),ISNUMBER(Table1[[#This Row],[Gestation (days)]])),TRUE,FALSE)</f>
        <v>0</v>
      </c>
      <c r="E6092" s="2" t="str">
        <f>IF(Table1[[#This Row],[Is Data Valid]]=TRUE,IF(Table1[[#This Row],[Fetal Sex (Male, Female or Unknown)]]="Male",Backend!$C$6,IF(Table1[[#This Row],[Fetal Sex (Male, Female or Unknown)]]="Female",Backend!$C$7,IF(Table1[[#This Row],[Fetal Sex (Male, Female or Unknown)]]="Unknown",Backend!$C$8,"Error"))),"")</f>
        <v/>
      </c>
      <c r="F6092" s="8" t="str">
        <f>IF(Table1[[#This Row],[Is Data Valid]]=TRUE,EXP(0.578+0.332*((Table1[[#This Row],[Gestation (days)]]+0.5)/7)-0.00354*((Table1[[#This Row],[Gestation (days)]]+0.5)/7)^2)*Table1[[#This Row],[BW40_3705]],"")</f>
        <v/>
      </c>
      <c r="G6092" s="2" t="str">
        <f>IF(Table1[[#This Row],[Is Data Valid]]=TRUE,((Table1[[#This Row],[Birthweight (grams)]]/Table1[[#This Row],[BW_GA]])-1)/(Backend!$B$4/100*Table1[[#This Row],[BW40_3705]]),"")</f>
        <v/>
      </c>
      <c r="H6092" s="7" t="str">
        <f>IF(Table1[[#This Row],[Is Data Valid]]=TRUE,((Table1[[#This Row],[Birthweight (grams)]]*0.9/Table1[[#This Row],[BW_GA]])-1)/(Backend!$B$4/100*Table1[[#This Row],[BW40_3705]]),"")</f>
        <v/>
      </c>
      <c r="I6092" s="7" t="str">
        <f>IF(Table1[[#This Row],[Is Data Valid]]=TRUE,((Table1[[#This Row],[Birthweight (grams)]]*1.1/Table1[[#This Row],[BW_GA]])-1)/(Backend!$B$4/100*Table1[[#This Row],[BW40_3705]]),"")</f>
        <v/>
      </c>
      <c r="J6092" s="7" t="str">
        <f>IF(Table1[[#This Row],[Is Data Valid]]=TRUE,_xlfn.NORM.S.DIST(Table1[[#This Row],[Birthweight Z-Score]],TRUE)*100,"")</f>
        <v/>
      </c>
      <c r="K6092" s="7" t="str">
        <f>IF(Table1[[#This Row],[Is Data Valid]]=TRUE,_xlfn.NORM.S.DIST(Table1[[#This Row],[Birthweight Z-Score (BW-10%)]],TRUE)*100,"")</f>
        <v/>
      </c>
      <c r="L6092" s="7" t="str">
        <f>IF(Table1[[#This Row],[Is Data Valid]]=TRUE,_xlfn.NORM.S.DIST(Table1[[#This Row],[Birthweight Z-Score (BW+10%)]],TRUE)*100,"")</f>
        <v/>
      </c>
    </row>
    <row r="6093" spans="1:12" x14ac:dyDescent="0.35">
      <c r="A6093" s="3"/>
      <c r="B6093" s="2"/>
      <c r="C6093" s="2"/>
      <c r="D6093" s="2" t="b">
        <f>IF(AND(NOT(ISBLANK(Table1[[#This Row],[Fetal Sex (Male, Female or Unknown)]])),ISNUMBER(Table1[[#This Row],[Birthweight (grams)]]),ISNUMBER(Table1[[#This Row],[Gestation (days)]])),TRUE,FALSE)</f>
        <v>0</v>
      </c>
      <c r="E6093" s="2" t="str">
        <f>IF(Table1[[#This Row],[Is Data Valid]]=TRUE,IF(Table1[[#This Row],[Fetal Sex (Male, Female or Unknown)]]="Male",Backend!$C$6,IF(Table1[[#This Row],[Fetal Sex (Male, Female or Unknown)]]="Female",Backend!$C$7,IF(Table1[[#This Row],[Fetal Sex (Male, Female or Unknown)]]="Unknown",Backend!$C$8,"Error"))),"")</f>
        <v/>
      </c>
      <c r="F6093" s="8" t="str">
        <f>IF(Table1[[#This Row],[Is Data Valid]]=TRUE,EXP(0.578+0.332*((Table1[[#This Row],[Gestation (days)]]+0.5)/7)-0.00354*((Table1[[#This Row],[Gestation (days)]]+0.5)/7)^2)*Table1[[#This Row],[BW40_3705]],"")</f>
        <v/>
      </c>
      <c r="G6093" s="2" t="str">
        <f>IF(Table1[[#This Row],[Is Data Valid]]=TRUE,((Table1[[#This Row],[Birthweight (grams)]]/Table1[[#This Row],[BW_GA]])-1)/(Backend!$B$4/100*Table1[[#This Row],[BW40_3705]]),"")</f>
        <v/>
      </c>
      <c r="H6093" s="7" t="str">
        <f>IF(Table1[[#This Row],[Is Data Valid]]=TRUE,((Table1[[#This Row],[Birthweight (grams)]]*0.9/Table1[[#This Row],[BW_GA]])-1)/(Backend!$B$4/100*Table1[[#This Row],[BW40_3705]]),"")</f>
        <v/>
      </c>
      <c r="I6093" s="7" t="str">
        <f>IF(Table1[[#This Row],[Is Data Valid]]=TRUE,((Table1[[#This Row],[Birthweight (grams)]]*1.1/Table1[[#This Row],[BW_GA]])-1)/(Backend!$B$4/100*Table1[[#This Row],[BW40_3705]]),"")</f>
        <v/>
      </c>
      <c r="J6093" s="7" t="str">
        <f>IF(Table1[[#This Row],[Is Data Valid]]=TRUE,_xlfn.NORM.S.DIST(Table1[[#This Row],[Birthweight Z-Score]],TRUE)*100,"")</f>
        <v/>
      </c>
      <c r="K6093" s="7" t="str">
        <f>IF(Table1[[#This Row],[Is Data Valid]]=TRUE,_xlfn.NORM.S.DIST(Table1[[#This Row],[Birthweight Z-Score (BW-10%)]],TRUE)*100,"")</f>
        <v/>
      </c>
      <c r="L6093" s="7" t="str">
        <f>IF(Table1[[#This Row],[Is Data Valid]]=TRUE,_xlfn.NORM.S.DIST(Table1[[#This Row],[Birthweight Z-Score (BW+10%)]],TRUE)*100,"")</f>
        <v/>
      </c>
    </row>
    <row r="6094" spans="1:12" x14ac:dyDescent="0.35">
      <c r="A6094" s="3"/>
      <c r="B6094" s="2"/>
      <c r="C6094" s="2"/>
      <c r="D6094" s="2" t="b">
        <f>IF(AND(NOT(ISBLANK(Table1[[#This Row],[Fetal Sex (Male, Female or Unknown)]])),ISNUMBER(Table1[[#This Row],[Birthweight (grams)]]),ISNUMBER(Table1[[#This Row],[Gestation (days)]])),TRUE,FALSE)</f>
        <v>0</v>
      </c>
      <c r="E6094" s="2" t="str">
        <f>IF(Table1[[#This Row],[Is Data Valid]]=TRUE,IF(Table1[[#This Row],[Fetal Sex (Male, Female or Unknown)]]="Male",Backend!$C$6,IF(Table1[[#This Row],[Fetal Sex (Male, Female or Unknown)]]="Female",Backend!$C$7,IF(Table1[[#This Row],[Fetal Sex (Male, Female or Unknown)]]="Unknown",Backend!$C$8,"Error"))),"")</f>
        <v/>
      </c>
      <c r="F6094" s="8" t="str">
        <f>IF(Table1[[#This Row],[Is Data Valid]]=TRUE,EXP(0.578+0.332*((Table1[[#This Row],[Gestation (days)]]+0.5)/7)-0.00354*((Table1[[#This Row],[Gestation (days)]]+0.5)/7)^2)*Table1[[#This Row],[BW40_3705]],"")</f>
        <v/>
      </c>
      <c r="G6094" s="2" t="str">
        <f>IF(Table1[[#This Row],[Is Data Valid]]=TRUE,((Table1[[#This Row],[Birthweight (grams)]]/Table1[[#This Row],[BW_GA]])-1)/(Backend!$B$4/100*Table1[[#This Row],[BW40_3705]]),"")</f>
        <v/>
      </c>
      <c r="H6094" s="7" t="str">
        <f>IF(Table1[[#This Row],[Is Data Valid]]=TRUE,((Table1[[#This Row],[Birthweight (grams)]]*0.9/Table1[[#This Row],[BW_GA]])-1)/(Backend!$B$4/100*Table1[[#This Row],[BW40_3705]]),"")</f>
        <v/>
      </c>
      <c r="I6094" s="7" t="str">
        <f>IF(Table1[[#This Row],[Is Data Valid]]=TRUE,((Table1[[#This Row],[Birthweight (grams)]]*1.1/Table1[[#This Row],[BW_GA]])-1)/(Backend!$B$4/100*Table1[[#This Row],[BW40_3705]]),"")</f>
        <v/>
      </c>
      <c r="J6094" s="7" t="str">
        <f>IF(Table1[[#This Row],[Is Data Valid]]=TRUE,_xlfn.NORM.S.DIST(Table1[[#This Row],[Birthweight Z-Score]],TRUE)*100,"")</f>
        <v/>
      </c>
      <c r="K6094" s="7" t="str">
        <f>IF(Table1[[#This Row],[Is Data Valid]]=TRUE,_xlfn.NORM.S.DIST(Table1[[#This Row],[Birthweight Z-Score (BW-10%)]],TRUE)*100,"")</f>
        <v/>
      </c>
      <c r="L6094" s="7" t="str">
        <f>IF(Table1[[#This Row],[Is Data Valid]]=TRUE,_xlfn.NORM.S.DIST(Table1[[#This Row],[Birthweight Z-Score (BW+10%)]],TRUE)*100,"")</f>
        <v/>
      </c>
    </row>
    <row r="6095" spans="1:12" x14ac:dyDescent="0.35">
      <c r="A6095" s="3"/>
      <c r="B6095" s="2"/>
      <c r="C6095" s="2"/>
      <c r="D6095" s="2" t="b">
        <f>IF(AND(NOT(ISBLANK(Table1[[#This Row],[Fetal Sex (Male, Female or Unknown)]])),ISNUMBER(Table1[[#This Row],[Birthweight (grams)]]),ISNUMBER(Table1[[#This Row],[Gestation (days)]])),TRUE,FALSE)</f>
        <v>0</v>
      </c>
      <c r="E6095" s="2" t="str">
        <f>IF(Table1[[#This Row],[Is Data Valid]]=TRUE,IF(Table1[[#This Row],[Fetal Sex (Male, Female or Unknown)]]="Male",Backend!$C$6,IF(Table1[[#This Row],[Fetal Sex (Male, Female or Unknown)]]="Female",Backend!$C$7,IF(Table1[[#This Row],[Fetal Sex (Male, Female or Unknown)]]="Unknown",Backend!$C$8,"Error"))),"")</f>
        <v/>
      </c>
      <c r="F6095" s="8" t="str">
        <f>IF(Table1[[#This Row],[Is Data Valid]]=TRUE,EXP(0.578+0.332*((Table1[[#This Row],[Gestation (days)]]+0.5)/7)-0.00354*((Table1[[#This Row],[Gestation (days)]]+0.5)/7)^2)*Table1[[#This Row],[BW40_3705]],"")</f>
        <v/>
      </c>
      <c r="G6095" s="2" t="str">
        <f>IF(Table1[[#This Row],[Is Data Valid]]=TRUE,((Table1[[#This Row],[Birthweight (grams)]]/Table1[[#This Row],[BW_GA]])-1)/(Backend!$B$4/100*Table1[[#This Row],[BW40_3705]]),"")</f>
        <v/>
      </c>
      <c r="H6095" s="7" t="str">
        <f>IF(Table1[[#This Row],[Is Data Valid]]=TRUE,((Table1[[#This Row],[Birthweight (grams)]]*0.9/Table1[[#This Row],[BW_GA]])-1)/(Backend!$B$4/100*Table1[[#This Row],[BW40_3705]]),"")</f>
        <v/>
      </c>
      <c r="I6095" s="7" t="str">
        <f>IF(Table1[[#This Row],[Is Data Valid]]=TRUE,((Table1[[#This Row],[Birthweight (grams)]]*1.1/Table1[[#This Row],[BW_GA]])-1)/(Backend!$B$4/100*Table1[[#This Row],[BW40_3705]]),"")</f>
        <v/>
      </c>
      <c r="J6095" s="7" t="str">
        <f>IF(Table1[[#This Row],[Is Data Valid]]=TRUE,_xlfn.NORM.S.DIST(Table1[[#This Row],[Birthweight Z-Score]],TRUE)*100,"")</f>
        <v/>
      </c>
      <c r="K6095" s="7" t="str">
        <f>IF(Table1[[#This Row],[Is Data Valid]]=TRUE,_xlfn.NORM.S.DIST(Table1[[#This Row],[Birthweight Z-Score (BW-10%)]],TRUE)*100,"")</f>
        <v/>
      </c>
      <c r="L6095" s="7" t="str">
        <f>IF(Table1[[#This Row],[Is Data Valid]]=TRUE,_xlfn.NORM.S.DIST(Table1[[#This Row],[Birthweight Z-Score (BW+10%)]],TRUE)*100,"")</f>
        <v/>
      </c>
    </row>
    <row r="6096" spans="1:12" x14ac:dyDescent="0.35">
      <c r="A6096" s="3"/>
      <c r="B6096" s="2"/>
      <c r="C6096" s="2"/>
      <c r="D6096" s="2" t="b">
        <f>IF(AND(NOT(ISBLANK(Table1[[#This Row],[Fetal Sex (Male, Female or Unknown)]])),ISNUMBER(Table1[[#This Row],[Birthweight (grams)]]),ISNUMBER(Table1[[#This Row],[Gestation (days)]])),TRUE,FALSE)</f>
        <v>0</v>
      </c>
      <c r="E6096" s="2" t="str">
        <f>IF(Table1[[#This Row],[Is Data Valid]]=TRUE,IF(Table1[[#This Row],[Fetal Sex (Male, Female or Unknown)]]="Male",Backend!$C$6,IF(Table1[[#This Row],[Fetal Sex (Male, Female or Unknown)]]="Female",Backend!$C$7,IF(Table1[[#This Row],[Fetal Sex (Male, Female or Unknown)]]="Unknown",Backend!$C$8,"Error"))),"")</f>
        <v/>
      </c>
      <c r="F6096" s="8" t="str">
        <f>IF(Table1[[#This Row],[Is Data Valid]]=TRUE,EXP(0.578+0.332*((Table1[[#This Row],[Gestation (days)]]+0.5)/7)-0.00354*((Table1[[#This Row],[Gestation (days)]]+0.5)/7)^2)*Table1[[#This Row],[BW40_3705]],"")</f>
        <v/>
      </c>
      <c r="G6096" s="2" t="str">
        <f>IF(Table1[[#This Row],[Is Data Valid]]=TRUE,((Table1[[#This Row],[Birthweight (grams)]]/Table1[[#This Row],[BW_GA]])-1)/(Backend!$B$4/100*Table1[[#This Row],[BW40_3705]]),"")</f>
        <v/>
      </c>
      <c r="H6096" s="7" t="str">
        <f>IF(Table1[[#This Row],[Is Data Valid]]=TRUE,((Table1[[#This Row],[Birthweight (grams)]]*0.9/Table1[[#This Row],[BW_GA]])-1)/(Backend!$B$4/100*Table1[[#This Row],[BW40_3705]]),"")</f>
        <v/>
      </c>
      <c r="I6096" s="7" t="str">
        <f>IF(Table1[[#This Row],[Is Data Valid]]=TRUE,((Table1[[#This Row],[Birthweight (grams)]]*1.1/Table1[[#This Row],[BW_GA]])-1)/(Backend!$B$4/100*Table1[[#This Row],[BW40_3705]]),"")</f>
        <v/>
      </c>
      <c r="J6096" s="7" t="str">
        <f>IF(Table1[[#This Row],[Is Data Valid]]=TRUE,_xlfn.NORM.S.DIST(Table1[[#This Row],[Birthweight Z-Score]],TRUE)*100,"")</f>
        <v/>
      </c>
      <c r="K6096" s="7" t="str">
        <f>IF(Table1[[#This Row],[Is Data Valid]]=TRUE,_xlfn.NORM.S.DIST(Table1[[#This Row],[Birthweight Z-Score (BW-10%)]],TRUE)*100,"")</f>
        <v/>
      </c>
      <c r="L6096" s="7" t="str">
        <f>IF(Table1[[#This Row],[Is Data Valid]]=TRUE,_xlfn.NORM.S.DIST(Table1[[#This Row],[Birthweight Z-Score (BW+10%)]],TRUE)*100,"")</f>
        <v/>
      </c>
    </row>
    <row r="6097" spans="1:12" x14ac:dyDescent="0.35">
      <c r="A6097" s="3"/>
      <c r="B6097" s="2"/>
      <c r="C6097" s="2"/>
      <c r="D6097" s="2" t="b">
        <f>IF(AND(NOT(ISBLANK(Table1[[#This Row],[Fetal Sex (Male, Female or Unknown)]])),ISNUMBER(Table1[[#This Row],[Birthweight (grams)]]),ISNUMBER(Table1[[#This Row],[Gestation (days)]])),TRUE,FALSE)</f>
        <v>0</v>
      </c>
      <c r="E6097" s="2" t="str">
        <f>IF(Table1[[#This Row],[Is Data Valid]]=TRUE,IF(Table1[[#This Row],[Fetal Sex (Male, Female or Unknown)]]="Male",Backend!$C$6,IF(Table1[[#This Row],[Fetal Sex (Male, Female or Unknown)]]="Female",Backend!$C$7,IF(Table1[[#This Row],[Fetal Sex (Male, Female or Unknown)]]="Unknown",Backend!$C$8,"Error"))),"")</f>
        <v/>
      </c>
      <c r="F6097" s="8" t="str">
        <f>IF(Table1[[#This Row],[Is Data Valid]]=TRUE,EXP(0.578+0.332*((Table1[[#This Row],[Gestation (days)]]+0.5)/7)-0.00354*((Table1[[#This Row],[Gestation (days)]]+0.5)/7)^2)*Table1[[#This Row],[BW40_3705]],"")</f>
        <v/>
      </c>
      <c r="G6097" s="2" t="str">
        <f>IF(Table1[[#This Row],[Is Data Valid]]=TRUE,((Table1[[#This Row],[Birthweight (grams)]]/Table1[[#This Row],[BW_GA]])-1)/(Backend!$B$4/100*Table1[[#This Row],[BW40_3705]]),"")</f>
        <v/>
      </c>
      <c r="H6097" s="7" t="str">
        <f>IF(Table1[[#This Row],[Is Data Valid]]=TRUE,((Table1[[#This Row],[Birthweight (grams)]]*0.9/Table1[[#This Row],[BW_GA]])-1)/(Backend!$B$4/100*Table1[[#This Row],[BW40_3705]]),"")</f>
        <v/>
      </c>
      <c r="I6097" s="7" t="str">
        <f>IF(Table1[[#This Row],[Is Data Valid]]=TRUE,((Table1[[#This Row],[Birthweight (grams)]]*1.1/Table1[[#This Row],[BW_GA]])-1)/(Backend!$B$4/100*Table1[[#This Row],[BW40_3705]]),"")</f>
        <v/>
      </c>
      <c r="J6097" s="7" t="str">
        <f>IF(Table1[[#This Row],[Is Data Valid]]=TRUE,_xlfn.NORM.S.DIST(Table1[[#This Row],[Birthweight Z-Score]],TRUE)*100,"")</f>
        <v/>
      </c>
      <c r="K6097" s="7" t="str">
        <f>IF(Table1[[#This Row],[Is Data Valid]]=TRUE,_xlfn.NORM.S.DIST(Table1[[#This Row],[Birthweight Z-Score (BW-10%)]],TRUE)*100,"")</f>
        <v/>
      </c>
      <c r="L6097" s="7" t="str">
        <f>IF(Table1[[#This Row],[Is Data Valid]]=TRUE,_xlfn.NORM.S.DIST(Table1[[#This Row],[Birthweight Z-Score (BW+10%)]],TRUE)*100,"")</f>
        <v/>
      </c>
    </row>
    <row r="6098" spans="1:12" x14ac:dyDescent="0.35">
      <c r="A6098" s="3"/>
      <c r="B6098" s="2"/>
      <c r="C6098" s="2"/>
      <c r="D6098" s="2" t="b">
        <f>IF(AND(NOT(ISBLANK(Table1[[#This Row],[Fetal Sex (Male, Female or Unknown)]])),ISNUMBER(Table1[[#This Row],[Birthweight (grams)]]),ISNUMBER(Table1[[#This Row],[Gestation (days)]])),TRUE,FALSE)</f>
        <v>0</v>
      </c>
      <c r="E6098" s="2" t="str">
        <f>IF(Table1[[#This Row],[Is Data Valid]]=TRUE,IF(Table1[[#This Row],[Fetal Sex (Male, Female or Unknown)]]="Male",Backend!$C$6,IF(Table1[[#This Row],[Fetal Sex (Male, Female or Unknown)]]="Female",Backend!$C$7,IF(Table1[[#This Row],[Fetal Sex (Male, Female or Unknown)]]="Unknown",Backend!$C$8,"Error"))),"")</f>
        <v/>
      </c>
      <c r="F6098" s="8" t="str">
        <f>IF(Table1[[#This Row],[Is Data Valid]]=TRUE,EXP(0.578+0.332*((Table1[[#This Row],[Gestation (days)]]+0.5)/7)-0.00354*((Table1[[#This Row],[Gestation (days)]]+0.5)/7)^2)*Table1[[#This Row],[BW40_3705]],"")</f>
        <v/>
      </c>
      <c r="G6098" s="2" t="str">
        <f>IF(Table1[[#This Row],[Is Data Valid]]=TRUE,((Table1[[#This Row],[Birthweight (grams)]]/Table1[[#This Row],[BW_GA]])-1)/(Backend!$B$4/100*Table1[[#This Row],[BW40_3705]]),"")</f>
        <v/>
      </c>
      <c r="H6098" s="7" t="str">
        <f>IF(Table1[[#This Row],[Is Data Valid]]=TRUE,((Table1[[#This Row],[Birthweight (grams)]]*0.9/Table1[[#This Row],[BW_GA]])-1)/(Backend!$B$4/100*Table1[[#This Row],[BW40_3705]]),"")</f>
        <v/>
      </c>
      <c r="I6098" s="7" t="str">
        <f>IF(Table1[[#This Row],[Is Data Valid]]=TRUE,((Table1[[#This Row],[Birthweight (grams)]]*1.1/Table1[[#This Row],[BW_GA]])-1)/(Backend!$B$4/100*Table1[[#This Row],[BW40_3705]]),"")</f>
        <v/>
      </c>
      <c r="J6098" s="7" t="str">
        <f>IF(Table1[[#This Row],[Is Data Valid]]=TRUE,_xlfn.NORM.S.DIST(Table1[[#This Row],[Birthweight Z-Score]],TRUE)*100,"")</f>
        <v/>
      </c>
      <c r="K6098" s="7" t="str">
        <f>IF(Table1[[#This Row],[Is Data Valid]]=TRUE,_xlfn.NORM.S.DIST(Table1[[#This Row],[Birthweight Z-Score (BW-10%)]],TRUE)*100,"")</f>
        <v/>
      </c>
      <c r="L6098" s="7" t="str">
        <f>IF(Table1[[#This Row],[Is Data Valid]]=TRUE,_xlfn.NORM.S.DIST(Table1[[#This Row],[Birthweight Z-Score (BW+10%)]],TRUE)*100,"")</f>
        <v/>
      </c>
    </row>
    <row r="6099" spans="1:12" x14ac:dyDescent="0.35">
      <c r="A6099" s="3"/>
      <c r="B6099" s="2"/>
      <c r="C6099" s="2"/>
      <c r="D6099" s="2" t="b">
        <f>IF(AND(NOT(ISBLANK(Table1[[#This Row],[Fetal Sex (Male, Female or Unknown)]])),ISNUMBER(Table1[[#This Row],[Birthweight (grams)]]),ISNUMBER(Table1[[#This Row],[Gestation (days)]])),TRUE,FALSE)</f>
        <v>0</v>
      </c>
      <c r="E6099" s="2" t="str">
        <f>IF(Table1[[#This Row],[Is Data Valid]]=TRUE,IF(Table1[[#This Row],[Fetal Sex (Male, Female or Unknown)]]="Male",Backend!$C$6,IF(Table1[[#This Row],[Fetal Sex (Male, Female or Unknown)]]="Female",Backend!$C$7,IF(Table1[[#This Row],[Fetal Sex (Male, Female or Unknown)]]="Unknown",Backend!$C$8,"Error"))),"")</f>
        <v/>
      </c>
      <c r="F6099" s="8" t="str">
        <f>IF(Table1[[#This Row],[Is Data Valid]]=TRUE,EXP(0.578+0.332*((Table1[[#This Row],[Gestation (days)]]+0.5)/7)-0.00354*((Table1[[#This Row],[Gestation (days)]]+0.5)/7)^2)*Table1[[#This Row],[BW40_3705]],"")</f>
        <v/>
      </c>
      <c r="G6099" s="2" t="str">
        <f>IF(Table1[[#This Row],[Is Data Valid]]=TRUE,((Table1[[#This Row],[Birthweight (grams)]]/Table1[[#This Row],[BW_GA]])-1)/(Backend!$B$4/100*Table1[[#This Row],[BW40_3705]]),"")</f>
        <v/>
      </c>
      <c r="H6099" s="7" t="str">
        <f>IF(Table1[[#This Row],[Is Data Valid]]=TRUE,((Table1[[#This Row],[Birthweight (grams)]]*0.9/Table1[[#This Row],[BW_GA]])-1)/(Backend!$B$4/100*Table1[[#This Row],[BW40_3705]]),"")</f>
        <v/>
      </c>
      <c r="I6099" s="7" t="str">
        <f>IF(Table1[[#This Row],[Is Data Valid]]=TRUE,((Table1[[#This Row],[Birthweight (grams)]]*1.1/Table1[[#This Row],[BW_GA]])-1)/(Backend!$B$4/100*Table1[[#This Row],[BW40_3705]]),"")</f>
        <v/>
      </c>
      <c r="J6099" s="7" t="str">
        <f>IF(Table1[[#This Row],[Is Data Valid]]=TRUE,_xlfn.NORM.S.DIST(Table1[[#This Row],[Birthweight Z-Score]],TRUE)*100,"")</f>
        <v/>
      </c>
      <c r="K6099" s="7" t="str">
        <f>IF(Table1[[#This Row],[Is Data Valid]]=TRUE,_xlfn.NORM.S.DIST(Table1[[#This Row],[Birthweight Z-Score (BW-10%)]],TRUE)*100,"")</f>
        <v/>
      </c>
      <c r="L6099" s="7" t="str">
        <f>IF(Table1[[#This Row],[Is Data Valid]]=TRUE,_xlfn.NORM.S.DIST(Table1[[#This Row],[Birthweight Z-Score (BW+10%)]],TRUE)*100,"")</f>
        <v/>
      </c>
    </row>
    <row r="6100" spans="1:12" x14ac:dyDescent="0.35">
      <c r="A6100" s="3"/>
      <c r="B6100" s="2"/>
      <c r="C6100" s="2"/>
      <c r="D6100" s="2" t="b">
        <f>IF(AND(NOT(ISBLANK(Table1[[#This Row],[Fetal Sex (Male, Female or Unknown)]])),ISNUMBER(Table1[[#This Row],[Birthweight (grams)]]),ISNUMBER(Table1[[#This Row],[Gestation (days)]])),TRUE,FALSE)</f>
        <v>0</v>
      </c>
      <c r="E6100" s="2" t="str">
        <f>IF(Table1[[#This Row],[Is Data Valid]]=TRUE,IF(Table1[[#This Row],[Fetal Sex (Male, Female or Unknown)]]="Male",Backend!$C$6,IF(Table1[[#This Row],[Fetal Sex (Male, Female or Unknown)]]="Female",Backend!$C$7,IF(Table1[[#This Row],[Fetal Sex (Male, Female or Unknown)]]="Unknown",Backend!$C$8,"Error"))),"")</f>
        <v/>
      </c>
      <c r="F6100" s="8" t="str">
        <f>IF(Table1[[#This Row],[Is Data Valid]]=TRUE,EXP(0.578+0.332*((Table1[[#This Row],[Gestation (days)]]+0.5)/7)-0.00354*((Table1[[#This Row],[Gestation (days)]]+0.5)/7)^2)*Table1[[#This Row],[BW40_3705]],"")</f>
        <v/>
      </c>
      <c r="G6100" s="2" t="str">
        <f>IF(Table1[[#This Row],[Is Data Valid]]=TRUE,((Table1[[#This Row],[Birthweight (grams)]]/Table1[[#This Row],[BW_GA]])-1)/(Backend!$B$4/100*Table1[[#This Row],[BW40_3705]]),"")</f>
        <v/>
      </c>
      <c r="H6100" s="7" t="str">
        <f>IF(Table1[[#This Row],[Is Data Valid]]=TRUE,((Table1[[#This Row],[Birthweight (grams)]]*0.9/Table1[[#This Row],[BW_GA]])-1)/(Backend!$B$4/100*Table1[[#This Row],[BW40_3705]]),"")</f>
        <v/>
      </c>
      <c r="I6100" s="7" t="str">
        <f>IF(Table1[[#This Row],[Is Data Valid]]=TRUE,((Table1[[#This Row],[Birthweight (grams)]]*1.1/Table1[[#This Row],[BW_GA]])-1)/(Backend!$B$4/100*Table1[[#This Row],[BW40_3705]]),"")</f>
        <v/>
      </c>
      <c r="J6100" s="7" t="str">
        <f>IF(Table1[[#This Row],[Is Data Valid]]=TRUE,_xlfn.NORM.S.DIST(Table1[[#This Row],[Birthweight Z-Score]],TRUE)*100,"")</f>
        <v/>
      </c>
      <c r="K6100" s="7" t="str">
        <f>IF(Table1[[#This Row],[Is Data Valid]]=TRUE,_xlfn.NORM.S.DIST(Table1[[#This Row],[Birthweight Z-Score (BW-10%)]],TRUE)*100,"")</f>
        <v/>
      </c>
      <c r="L6100" s="7" t="str">
        <f>IF(Table1[[#This Row],[Is Data Valid]]=TRUE,_xlfn.NORM.S.DIST(Table1[[#This Row],[Birthweight Z-Score (BW+10%)]],TRUE)*100,"")</f>
        <v/>
      </c>
    </row>
    <row r="6101" spans="1:12" x14ac:dyDescent="0.35">
      <c r="A6101" s="3"/>
      <c r="B6101" s="2"/>
      <c r="C6101" s="2"/>
      <c r="D6101" s="2" t="b">
        <f>IF(AND(NOT(ISBLANK(Table1[[#This Row],[Fetal Sex (Male, Female or Unknown)]])),ISNUMBER(Table1[[#This Row],[Birthweight (grams)]]),ISNUMBER(Table1[[#This Row],[Gestation (days)]])),TRUE,FALSE)</f>
        <v>0</v>
      </c>
      <c r="E6101" s="2" t="str">
        <f>IF(Table1[[#This Row],[Is Data Valid]]=TRUE,IF(Table1[[#This Row],[Fetal Sex (Male, Female or Unknown)]]="Male",Backend!$C$6,IF(Table1[[#This Row],[Fetal Sex (Male, Female or Unknown)]]="Female",Backend!$C$7,IF(Table1[[#This Row],[Fetal Sex (Male, Female or Unknown)]]="Unknown",Backend!$C$8,"Error"))),"")</f>
        <v/>
      </c>
      <c r="F6101" s="8" t="str">
        <f>IF(Table1[[#This Row],[Is Data Valid]]=TRUE,EXP(0.578+0.332*((Table1[[#This Row],[Gestation (days)]]+0.5)/7)-0.00354*((Table1[[#This Row],[Gestation (days)]]+0.5)/7)^2)*Table1[[#This Row],[BW40_3705]],"")</f>
        <v/>
      </c>
      <c r="G6101" s="2" t="str">
        <f>IF(Table1[[#This Row],[Is Data Valid]]=TRUE,((Table1[[#This Row],[Birthweight (grams)]]/Table1[[#This Row],[BW_GA]])-1)/(Backend!$B$4/100*Table1[[#This Row],[BW40_3705]]),"")</f>
        <v/>
      </c>
      <c r="H6101" s="7" t="str">
        <f>IF(Table1[[#This Row],[Is Data Valid]]=TRUE,((Table1[[#This Row],[Birthweight (grams)]]*0.9/Table1[[#This Row],[BW_GA]])-1)/(Backend!$B$4/100*Table1[[#This Row],[BW40_3705]]),"")</f>
        <v/>
      </c>
      <c r="I6101" s="7" t="str">
        <f>IF(Table1[[#This Row],[Is Data Valid]]=TRUE,((Table1[[#This Row],[Birthweight (grams)]]*1.1/Table1[[#This Row],[BW_GA]])-1)/(Backend!$B$4/100*Table1[[#This Row],[BW40_3705]]),"")</f>
        <v/>
      </c>
      <c r="J6101" s="7" t="str">
        <f>IF(Table1[[#This Row],[Is Data Valid]]=TRUE,_xlfn.NORM.S.DIST(Table1[[#This Row],[Birthweight Z-Score]],TRUE)*100,"")</f>
        <v/>
      </c>
      <c r="K6101" s="7" t="str">
        <f>IF(Table1[[#This Row],[Is Data Valid]]=TRUE,_xlfn.NORM.S.DIST(Table1[[#This Row],[Birthweight Z-Score (BW-10%)]],TRUE)*100,"")</f>
        <v/>
      </c>
      <c r="L6101" s="7" t="str">
        <f>IF(Table1[[#This Row],[Is Data Valid]]=TRUE,_xlfn.NORM.S.DIST(Table1[[#This Row],[Birthweight Z-Score (BW+10%)]],TRUE)*100,"")</f>
        <v/>
      </c>
    </row>
    <row r="6102" spans="1:12" x14ac:dyDescent="0.35">
      <c r="A6102" s="3"/>
      <c r="B6102" s="2"/>
      <c r="C6102" s="2"/>
      <c r="D6102" s="2" t="b">
        <f>IF(AND(NOT(ISBLANK(Table1[[#This Row],[Fetal Sex (Male, Female or Unknown)]])),ISNUMBER(Table1[[#This Row],[Birthweight (grams)]]),ISNUMBER(Table1[[#This Row],[Gestation (days)]])),TRUE,FALSE)</f>
        <v>0</v>
      </c>
      <c r="E6102" s="2" t="str">
        <f>IF(Table1[[#This Row],[Is Data Valid]]=TRUE,IF(Table1[[#This Row],[Fetal Sex (Male, Female or Unknown)]]="Male",Backend!$C$6,IF(Table1[[#This Row],[Fetal Sex (Male, Female or Unknown)]]="Female",Backend!$C$7,IF(Table1[[#This Row],[Fetal Sex (Male, Female or Unknown)]]="Unknown",Backend!$C$8,"Error"))),"")</f>
        <v/>
      </c>
      <c r="F6102" s="8" t="str">
        <f>IF(Table1[[#This Row],[Is Data Valid]]=TRUE,EXP(0.578+0.332*((Table1[[#This Row],[Gestation (days)]]+0.5)/7)-0.00354*((Table1[[#This Row],[Gestation (days)]]+0.5)/7)^2)*Table1[[#This Row],[BW40_3705]],"")</f>
        <v/>
      </c>
      <c r="G6102" s="2" t="str">
        <f>IF(Table1[[#This Row],[Is Data Valid]]=TRUE,((Table1[[#This Row],[Birthweight (grams)]]/Table1[[#This Row],[BW_GA]])-1)/(Backend!$B$4/100*Table1[[#This Row],[BW40_3705]]),"")</f>
        <v/>
      </c>
      <c r="H6102" s="7" t="str">
        <f>IF(Table1[[#This Row],[Is Data Valid]]=TRUE,((Table1[[#This Row],[Birthweight (grams)]]*0.9/Table1[[#This Row],[BW_GA]])-1)/(Backend!$B$4/100*Table1[[#This Row],[BW40_3705]]),"")</f>
        <v/>
      </c>
      <c r="I6102" s="7" t="str">
        <f>IF(Table1[[#This Row],[Is Data Valid]]=TRUE,((Table1[[#This Row],[Birthweight (grams)]]*1.1/Table1[[#This Row],[BW_GA]])-1)/(Backend!$B$4/100*Table1[[#This Row],[BW40_3705]]),"")</f>
        <v/>
      </c>
      <c r="J6102" s="7" t="str">
        <f>IF(Table1[[#This Row],[Is Data Valid]]=TRUE,_xlfn.NORM.S.DIST(Table1[[#This Row],[Birthweight Z-Score]],TRUE)*100,"")</f>
        <v/>
      </c>
      <c r="K6102" s="7" t="str">
        <f>IF(Table1[[#This Row],[Is Data Valid]]=TRUE,_xlfn.NORM.S.DIST(Table1[[#This Row],[Birthweight Z-Score (BW-10%)]],TRUE)*100,"")</f>
        <v/>
      </c>
      <c r="L6102" s="7" t="str">
        <f>IF(Table1[[#This Row],[Is Data Valid]]=TRUE,_xlfn.NORM.S.DIST(Table1[[#This Row],[Birthweight Z-Score (BW+10%)]],TRUE)*100,"")</f>
        <v/>
      </c>
    </row>
    <row r="6103" spans="1:12" x14ac:dyDescent="0.35">
      <c r="A6103" s="3"/>
      <c r="B6103" s="2"/>
      <c r="C6103" s="2"/>
      <c r="D6103" s="2" t="b">
        <f>IF(AND(NOT(ISBLANK(Table1[[#This Row],[Fetal Sex (Male, Female or Unknown)]])),ISNUMBER(Table1[[#This Row],[Birthweight (grams)]]),ISNUMBER(Table1[[#This Row],[Gestation (days)]])),TRUE,FALSE)</f>
        <v>0</v>
      </c>
      <c r="E6103" s="2" t="str">
        <f>IF(Table1[[#This Row],[Is Data Valid]]=TRUE,IF(Table1[[#This Row],[Fetal Sex (Male, Female or Unknown)]]="Male",Backend!$C$6,IF(Table1[[#This Row],[Fetal Sex (Male, Female or Unknown)]]="Female",Backend!$C$7,IF(Table1[[#This Row],[Fetal Sex (Male, Female or Unknown)]]="Unknown",Backend!$C$8,"Error"))),"")</f>
        <v/>
      </c>
      <c r="F6103" s="8" t="str">
        <f>IF(Table1[[#This Row],[Is Data Valid]]=TRUE,EXP(0.578+0.332*((Table1[[#This Row],[Gestation (days)]]+0.5)/7)-0.00354*((Table1[[#This Row],[Gestation (days)]]+0.5)/7)^2)*Table1[[#This Row],[BW40_3705]],"")</f>
        <v/>
      </c>
      <c r="G6103" s="2" t="str">
        <f>IF(Table1[[#This Row],[Is Data Valid]]=TRUE,((Table1[[#This Row],[Birthweight (grams)]]/Table1[[#This Row],[BW_GA]])-1)/(Backend!$B$4/100*Table1[[#This Row],[BW40_3705]]),"")</f>
        <v/>
      </c>
      <c r="H6103" s="7" t="str">
        <f>IF(Table1[[#This Row],[Is Data Valid]]=TRUE,((Table1[[#This Row],[Birthweight (grams)]]*0.9/Table1[[#This Row],[BW_GA]])-1)/(Backend!$B$4/100*Table1[[#This Row],[BW40_3705]]),"")</f>
        <v/>
      </c>
      <c r="I6103" s="7" t="str">
        <f>IF(Table1[[#This Row],[Is Data Valid]]=TRUE,((Table1[[#This Row],[Birthweight (grams)]]*1.1/Table1[[#This Row],[BW_GA]])-1)/(Backend!$B$4/100*Table1[[#This Row],[BW40_3705]]),"")</f>
        <v/>
      </c>
      <c r="J6103" s="7" t="str">
        <f>IF(Table1[[#This Row],[Is Data Valid]]=TRUE,_xlfn.NORM.S.DIST(Table1[[#This Row],[Birthweight Z-Score]],TRUE)*100,"")</f>
        <v/>
      </c>
      <c r="K6103" s="7" t="str">
        <f>IF(Table1[[#This Row],[Is Data Valid]]=TRUE,_xlfn.NORM.S.DIST(Table1[[#This Row],[Birthweight Z-Score (BW-10%)]],TRUE)*100,"")</f>
        <v/>
      </c>
      <c r="L6103" s="7" t="str">
        <f>IF(Table1[[#This Row],[Is Data Valid]]=TRUE,_xlfn.NORM.S.DIST(Table1[[#This Row],[Birthweight Z-Score (BW+10%)]],TRUE)*100,"")</f>
        <v/>
      </c>
    </row>
    <row r="6104" spans="1:12" x14ac:dyDescent="0.35">
      <c r="A6104" s="3"/>
      <c r="B6104" s="2"/>
      <c r="C6104" s="2"/>
      <c r="D6104" s="2" t="b">
        <f>IF(AND(NOT(ISBLANK(Table1[[#This Row],[Fetal Sex (Male, Female or Unknown)]])),ISNUMBER(Table1[[#This Row],[Birthweight (grams)]]),ISNUMBER(Table1[[#This Row],[Gestation (days)]])),TRUE,FALSE)</f>
        <v>0</v>
      </c>
      <c r="E6104" s="2" t="str">
        <f>IF(Table1[[#This Row],[Is Data Valid]]=TRUE,IF(Table1[[#This Row],[Fetal Sex (Male, Female or Unknown)]]="Male",Backend!$C$6,IF(Table1[[#This Row],[Fetal Sex (Male, Female or Unknown)]]="Female",Backend!$C$7,IF(Table1[[#This Row],[Fetal Sex (Male, Female or Unknown)]]="Unknown",Backend!$C$8,"Error"))),"")</f>
        <v/>
      </c>
      <c r="F6104" s="8" t="str">
        <f>IF(Table1[[#This Row],[Is Data Valid]]=TRUE,EXP(0.578+0.332*((Table1[[#This Row],[Gestation (days)]]+0.5)/7)-0.00354*((Table1[[#This Row],[Gestation (days)]]+0.5)/7)^2)*Table1[[#This Row],[BW40_3705]],"")</f>
        <v/>
      </c>
      <c r="G6104" s="2" t="str">
        <f>IF(Table1[[#This Row],[Is Data Valid]]=TRUE,((Table1[[#This Row],[Birthweight (grams)]]/Table1[[#This Row],[BW_GA]])-1)/(Backend!$B$4/100*Table1[[#This Row],[BW40_3705]]),"")</f>
        <v/>
      </c>
      <c r="H6104" s="7" t="str">
        <f>IF(Table1[[#This Row],[Is Data Valid]]=TRUE,((Table1[[#This Row],[Birthweight (grams)]]*0.9/Table1[[#This Row],[BW_GA]])-1)/(Backend!$B$4/100*Table1[[#This Row],[BW40_3705]]),"")</f>
        <v/>
      </c>
      <c r="I6104" s="7" t="str">
        <f>IF(Table1[[#This Row],[Is Data Valid]]=TRUE,((Table1[[#This Row],[Birthweight (grams)]]*1.1/Table1[[#This Row],[BW_GA]])-1)/(Backend!$B$4/100*Table1[[#This Row],[BW40_3705]]),"")</f>
        <v/>
      </c>
      <c r="J6104" s="7" t="str">
        <f>IF(Table1[[#This Row],[Is Data Valid]]=TRUE,_xlfn.NORM.S.DIST(Table1[[#This Row],[Birthweight Z-Score]],TRUE)*100,"")</f>
        <v/>
      </c>
      <c r="K6104" s="7" t="str">
        <f>IF(Table1[[#This Row],[Is Data Valid]]=TRUE,_xlfn.NORM.S.DIST(Table1[[#This Row],[Birthweight Z-Score (BW-10%)]],TRUE)*100,"")</f>
        <v/>
      </c>
      <c r="L6104" s="7" t="str">
        <f>IF(Table1[[#This Row],[Is Data Valid]]=TRUE,_xlfn.NORM.S.DIST(Table1[[#This Row],[Birthweight Z-Score (BW+10%)]],TRUE)*100,"")</f>
        <v/>
      </c>
    </row>
    <row r="6105" spans="1:12" x14ac:dyDescent="0.35">
      <c r="A6105" s="3"/>
      <c r="B6105" s="2"/>
      <c r="C6105" s="2"/>
      <c r="D6105" s="2" t="b">
        <f>IF(AND(NOT(ISBLANK(Table1[[#This Row],[Fetal Sex (Male, Female or Unknown)]])),ISNUMBER(Table1[[#This Row],[Birthweight (grams)]]),ISNUMBER(Table1[[#This Row],[Gestation (days)]])),TRUE,FALSE)</f>
        <v>0</v>
      </c>
      <c r="E6105" s="2" t="str">
        <f>IF(Table1[[#This Row],[Is Data Valid]]=TRUE,IF(Table1[[#This Row],[Fetal Sex (Male, Female or Unknown)]]="Male",Backend!$C$6,IF(Table1[[#This Row],[Fetal Sex (Male, Female or Unknown)]]="Female",Backend!$C$7,IF(Table1[[#This Row],[Fetal Sex (Male, Female or Unknown)]]="Unknown",Backend!$C$8,"Error"))),"")</f>
        <v/>
      </c>
      <c r="F6105" s="8" t="str">
        <f>IF(Table1[[#This Row],[Is Data Valid]]=TRUE,EXP(0.578+0.332*((Table1[[#This Row],[Gestation (days)]]+0.5)/7)-0.00354*((Table1[[#This Row],[Gestation (days)]]+0.5)/7)^2)*Table1[[#This Row],[BW40_3705]],"")</f>
        <v/>
      </c>
      <c r="G6105" s="2" t="str">
        <f>IF(Table1[[#This Row],[Is Data Valid]]=TRUE,((Table1[[#This Row],[Birthweight (grams)]]/Table1[[#This Row],[BW_GA]])-1)/(Backend!$B$4/100*Table1[[#This Row],[BW40_3705]]),"")</f>
        <v/>
      </c>
      <c r="H6105" s="7" t="str">
        <f>IF(Table1[[#This Row],[Is Data Valid]]=TRUE,((Table1[[#This Row],[Birthweight (grams)]]*0.9/Table1[[#This Row],[BW_GA]])-1)/(Backend!$B$4/100*Table1[[#This Row],[BW40_3705]]),"")</f>
        <v/>
      </c>
      <c r="I6105" s="7" t="str">
        <f>IF(Table1[[#This Row],[Is Data Valid]]=TRUE,((Table1[[#This Row],[Birthweight (grams)]]*1.1/Table1[[#This Row],[BW_GA]])-1)/(Backend!$B$4/100*Table1[[#This Row],[BW40_3705]]),"")</f>
        <v/>
      </c>
      <c r="J6105" s="7" t="str">
        <f>IF(Table1[[#This Row],[Is Data Valid]]=TRUE,_xlfn.NORM.S.DIST(Table1[[#This Row],[Birthweight Z-Score]],TRUE)*100,"")</f>
        <v/>
      </c>
      <c r="K6105" s="7" t="str">
        <f>IF(Table1[[#This Row],[Is Data Valid]]=TRUE,_xlfn.NORM.S.DIST(Table1[[#This Row],[Birthweight Z-Score (BW-10%)]],TRUE)*100,"")</f>
        <v/>
      </c>
      <c r="L6105" s="7" t="str">
        <f>IF(Table1[[#This Row],[Is Data Valid]]=TRUE,_xlfn.NORM.S.DIST(Table1[[#This Row],[Birthweight Z-Score (BW+10%)]],TRUE)*100,"")</f>
        <v/>
      </c>
    </row>
    <row r="6106" spans="1:12" x14ac:dyDescent="0.35">
      <c r="A6106" s="3"/>
      <c r="B6106" s="2"/>
      <c r="C6106" s="2"/>
      <c r="D6106" s="2" t="b">
        <f>IF(AND(NOT(ISBLANK(Table1[[#This Row],[Fetal Sex (Male, Female or Unknown)]])),ISNUMBER(Table1[[#This Row],[Birthweight (grams)]]),ISNUMBER(Table1[[#This Row],[Gestation (days)]])),TRUE,FALSE)</f>
        <v>0</v>
      </c>
      <c r="E6106" s="2" t="str">
        <f>IF(Table1[[#This Row],[Is Data Valid]]=TRUE,IF(Table1[[#This Row],[Fetal Sex (Male, Female or Unknown)]]="Male",Backend!$C$6,IF(Table1[[#This Row],[Fetal Sex (Male, Female or Unknown)]]="Female",Backend!$C$7,IF(Table1[[#This Row],[Fetal Sex (Male, Female or Unknown)]]="Unknown",Backend!$C$8,"Error"))),"")</f>
        <v/>
      </c>
      <c r="F6106" s="8" t="str">
        <f>IF(Table1[[#This Row],[Is Data Valid]]=TRUE,EXP(0.578+0.332*((Table1[[#This Row],[Gestation (days)]]+0.5)/7)-0.00354*((Table1[[#This Row],[Gestation (days)]]+0.5)/7)^2)*Table1[[#This Row],[BW40_3705]],"")</f>
        <v/>
      </c>
      <c r="G6106" s="2" t="str">
        <f>IF(Table1[[#This Row],[Is Data Valid]]=TRUE,((Table1[[#This Row],[Birthweight (grams)]]/Table1[[#This Row],[BW_GA]])-1)/(Backend!$B$4/100*Table1[[#This Row],[BW40_3705]]),"")</f>
        <v/>
      </c>
      <c r="H6106" s="7" t="str">
        <f>IF(Table1[[#This Row],[Is Data Valid]]=TRUE,((Table1[[#This Row],[Birthweight (grams)]]*0.9/Table1[[#This Row],[BW_GA]])-1)/(Backend!$B$4/100*Table1[[#This Row],[BW40_3705]]),"")</f>
        <v/>
      </c>
      <c r="I6106" s="7" t="str">
        <f>IF(Table1[[#This Row],[Is Data Valid]]=TRUE,((Table1[[#This Row],[Birthweight (grams)]]*1.1/Table1[[#This Row],[BW_GA]])-1)/(Backend!$B$4/100*Table1[[#This Row],[BW40_3705]]),"")</f>
        <v/>
      </c>
      <c r="J6106" s="7" t="str">
        <f>IF(Table1[[#This Row],[Is Data Valid]]=TRUE,_xlfn.NORM.S.DIST(Table1[[#This Row],[Birthweight Z-Score]],TRUE)*100,"")</f>
        <v/>
      </c>
      <c r="K6106" s="7" t="str">
        <f>IF(Table1[[#This Row],[Is Data Valid]]=TRUE,_xlfn.NORM.S.DIST(Table1[[#This Row],[Birthweight Z-Score (BW-10%)]],TRUE)*100,"")</f>
        <v/>
      </c>
      <c r="L6106" s="7" t="str">
        <f>IF(Table1[[#This Row],[Is Data Valid]]=TRUE,_xlfn.NORM.S.DIST(Table1[[#This Row],[Birthweight Z-Score (BW+10%)]],TRUE)*100,"")</f>
        <v/>
      </c>
    </row>
    <row r="6107" spans="1:12" x14ac:dyDescent="0.35">
      <c r="A6107" s="3"/>
      <c r="B6107" s="2"/>
      <c r="C6107" s="2"/>
      <c r="D6107" s="2" t="b">
        <f>IF(AND(NOT(ISBLANK(Table1[[#This Row],[Fetal Sex (Male, Female or Unknown)]])),ISNUMBER(Table1[[#This Row],[Birthweight (grams)]]),ISNUMBER(Table1[[#This Row],[Gestation (days)]])),TRUE,FALSE)</f>
        <v>0</v>
      </c>
      <c r="E6107" s="2" t="str">
        <f>IF(Table1[[#This Row],[Is Data Valid]]=TRUE,IF(Table1[[#This Row],[Fetal Sex (Male, Female or Unknown)]]="Male",Backend!$C$6,IF(Table1[[#This Row],[Fetal Sex (Male, Female or Unknown)]]="Female",Backend!$C$7,IF(Table1[[#This Row],[Fetal Sex (Male, Female or Unknown)]]="Unknown",Backend!$C$8,"Error"))),"")</f>
        <v/>
      </c>
      <c r="F6107" s="8" t="str">
        <f>IF(Table1[[#This Row],[Is Data Valid]]=TRUE,EXP(0.578+0.332*((Table1[[#This Row],[Gestation (days)]]+0.5)/7)-0.00354*((Table1[[#This Row],[Gestation (days)]]+0.5)/7)^2)*Table1[[#This Row],[BW40_3705]],"")</f>
        <v/>
      </c>
      <c r="G6107" s="2" t="str">
        <f>IF(Table1[[#This Row],[Is Data Valid]]=TRUE,((Table1[[#This Row],[Birthweight (grams)]]/Table1[[#This Row],[BW_GA]])-1)/(Backend!$B$4/100*Table1[[#This Row],[BW40_3705]]),"")</f>
        <v/>
      </c>
      <c r="H6107" s="7" t="str">
        <f>IF(Table1[[#This Row],[Is Data Valid]]=TRUE,((Table1[[#This Row],[Birthweight (grams)]]*0.9/Table1[[#This Row],[BW_GA]])-1)/(Backend!$B$4/100*Table1[[#This Row],[BW40_3705]]),"")</f>
        <v/>
      </c>
      <c r="I6107" s="7" t="str">
        <f>IF(Table1[[#This Row],[Is Data Valid]]=TRUE,((Table1[[#This Row],[Birthweight (grams)]]*1.1/Table1[[#This Row],[BW_GA]])-1)/(Backend!$B$4/100*Table1[[#This Row],[BW40_3705]]),"")</f>
        <v/>
      </c>
      <c r="J6107" s="7" t="str">
        <f>IF(Table1[[#This Row],[Is Data Valid]]=TRUE,_xlfn.NORM.S.DIST(Table1[[#This Row],[Birthweight Z-Score]],TRUE)*100,"")</f>
        <v/>
      </c>
      <c r="K6107" s="7" t="str">
        <f>IF(Table1[[#This Row],[Is Data Valid]]=TRUE,_xlfn.NORM.S.DIST(Table1[[#This Row],[Birthweight Z-Score (BW-10%)]],TRUE)*100,"")</f>
        <v/>
      </c>
      <c r="L6107" s="7" t="str">
        <f>IF(Table1[[#This Row],[Is Data Valid]]=TRUE,_xlfn.NORM.S.DIST(Table1[[#This Row],[Birthweight Z-Score (BW+10%)]],TRUE)*100,"")</f>
        <v/>
      </c>
    </row>
    <row r="6108" spans="1:12" x14ac:dyDescent="0.35">
      <c r="A6108" s="3"/>
      <c r="B6108" s="2"/>
      <c r="C6108" s="2"/>
      <c r="D6108" s="2" t="b">
        <f>IF(AND(NOT(ISBLANK(Table1[[#This Row],[Fetal Sex (Male, Female or Unknown)]])),ISNUMBER(Table1[[#This Row],[Birthweight (grams)]]),ISNUMBER(Table1[[#This Row],[Gestation (days)]])),TRUE,FALSE)</f>
        <v>0</v>
      </c>
      <c r="E6108" s="2" t="str">
        <f>IF(Table1[[#This Row],[Is Data Valid]]=TRUE,IF(Table1[[#This Row],[Fetal Sex (Male, Female or Unknown)]]="Male",Backend!$C$6,IF(Table1[[#This Row],[Fetal Sex (Male, Female or Unknown)]]="Female",Backend!$C$7,IF(Table1[[#This Row],[Fetal Sex (Male, Female or Unknown)]]="Unknown",Backend!$C$8,"Error"))),"")</f>
        <v/>
      </c>
      <c r="F6108" s="8" t="str">
        <f>IF(Table1[[#This Row],[Is Data Valid]]=TRUE,EXP(0.578+0.332*((Table1[[#This Row],[Gestation (days)]]+0.5)/7)-0.00354*((Table1[[#This Row],[Gestation (days)]]+0.5)/7)^2)*Table1[[#This Row],[BW40_3705]],"")</f>
        <v/>
      </c>
      <c r="G6108" s="2" t="str">
        <f>IF(Table1[[#This Row],[Is Data Valid]]=TRUE,((Table1[[#This Row],[Birthweight (grams)]]/Table1[[#This Row],[BW_GA]])-1)/(Backend!$B$4/100*Table1[[#This Row],[BW40_3705]]),"")</f>
        <v/>
      </c>
      <c r="H6108" s="7" t="str">
        <f>IF(Table1[[#This Row],[Is Data Valid]]=TRUE,((Table1[[#This Row],[Birthweight (grams)]]*0.9/Table1[[#This Row],[BW_GA]])-1)/(Backend!$B$4/100*Table1[[#This Row],[BW40_3705]]),"")</f>
        <v/>
      </c>
      <c r="I6108" s="7" t="str">
        <f>IF(Table1[[#This Row],[Is Data Valid]]=TRUE,((Table1[[#This Row],[Birthweight (grams)]]*1.1/Table1[[#This Row],[BW_GA]])-1)/(Backend!$B$4/100*Table1[[#This Row],[BW40_3705]]),"")</f>
        <v/>
      </c>
      <c r="J6108" s="7" t="str">
        <f>IF(Table1[[#This Row],[Is Data Valid]]=TRUE,_xlfn.NORM.S.DIST(Table1[[#This Row],[Birthweight Z-Score]],TRUE)*100,"")</f>
        <v/>
      </c>
      <c r="K6108" s="7" t="str">
        <f>IF(Table1[[#This Row],[Is Data Valid]]=TRUE,_xlfn.NORM.S.DIST(Table1[[#This Row],[Birthweight Z-Score (BW-10%)]],TRUE)*100,"")</f>
        <v/>
      </c>
      <c r="L6108" s="7" t="str">
        <f>IF(Table1[[#This Row],[Is Data Valid]]=TRUE,_xlfn.NORM.S.DIST(Table1[[#This Row],[Birthweight Z-Score (BW+10%)]],TRUE)*100,"")</f>
        <v/>
      </c>
    </row>
    <row r="6109" spans="1:12" x14ac:dyDescent="0.35">
      <c r="A6109" s="3"/>
      <c r="B6109" s="2"/>
      <c r="C6109" s="2"/>
      <c r="D6109" s="2" t="b">
        <f>IF(AND(NOT(ISBLANK(Table1[[#This Row],[Fetal Sex (Male, Female or Unknown)]])),ISNUMBER(Table1[[#This Row],[Birthweight (grams)]]),ISNUMBER(Table1[[#This Row],[Gestation (days)]])),TRUE,FALSE)</f>
        <v>0</v>
      </c>
      <c r="E6109" s="2" t="str">
        <f>IF(Table1[[#This Row],[Is Data Valid]]=TRUE,IF(Table1[[#This Row],[Fetal Sex (Male, Female or Unknown)]]="Male",Backend!$C$6,IF(Table1[[#This Row],[Fetal Sex (Male, Female or Unknown)]]="Female",Backend!$C$7,IF(Table1[[#This Row],[Fetal Sex (Male, Female or Unknown)]]="Unknown",Backend!$C$8,"Error"))),"")</f>
        <v/>
      </c>
      <c r="F6109" s="8" t="str">
        <f>IF(Table1[[#This Row],[Is Data Valid]]=TRUE,EXP(0.578+0.332*((Table1[[#This Row],[Gestation (days)]]+0.5)/7)-0.00354*((Table1[[#This Row],[Gestation (days)]]+0.5)/7)^2)*Table1[[#This Row],[BW40_3705]],"")</f>
        <v/>
      </c>
      <c r="G6109" s="2" t="str">
        <f>IF(Table1[[#This Row],[Is Data Valid]]=TRUE,((Table1[[#This Row],[Birthweight (grams)]]/Table1[[#This Row],[BW_GA]])-1)/(Backend!$B$4/100*Table1[[#This Row],[BW40_3705]]),"")</f>
        <v/>
      </c>
      <c r="H6109" s="7" t="str">
        <f>IF(Table1[[#This Row],[Is Data Valid]]=TRUE,((Table1[[#This Row],[Birthweight (grams)]]*0.9/Table1[[#This Row],[BW_GA]])-1)/(Backend!$B$4/100*Table1[[#This Row],[BW40_3705]]),"")</f>
        <v/>
      </c>
      <c r="I6109" s="7" t="str">
        <f>IF(Table1[[#This Row],[Is Data Valid]]=TRUE,((Table1[[#This Row],[Birthweight (grams)]]*1.1/Table1[[#This Row],[BW_GA]])-1)/(Backend!$B$4/100*Table1[[#This Row],[BW40_3705]]),"")</f>
        <v/>
      </c>
      <c r="J6109" s="7" t="str">
        <f>IF(Table1[[#This Row],[Is Data Valid]]=TRUE,_xlfn.NORM.S.DIST(Table1[[#This Row],[Birthweight Z-Score]],TRUE)*100,"")</f>
        <v/>
      </c>
      <c r="K6109" s="7" t="str">
        <f>IF(Table1[[#This Row],[Is Data Valid]]=TRUE,_xlfn.NORM.S.DIST(Table1[[#This Row],[Birthweight Z-Score (BW-10%)]],TRUE)*100,"")</f>
        <v/>
      </c>
      <c r="L6109" s="7" t="str">
        <f>IF(Table1[[#This Row],[Is Data Valid]]=TRUE,_xlfn.NORM.S.DIST(Table1[[#This Row],[Birthweight Z-Score (BW+10%)]],TRUE)*100,"")</f>
        <v/>
      </c>
    </row>
    <row r="6110" spans="1:12" x14ac:dyDescent="0.35">
      <c r="A6110" s="3"/>
      <c r="B6110" s="2"/>
      <c r="C6110" s="2"/>
      <c r="D6110" s="2" t="b">
        <f>IF(AND(NOT(ISBLANK(Table1[[#This Row],[Fetal Sex (Male, Female or Unknown)]])),ISNUMBER(Table1[[#This Row],[Birthweight (grams)]]),ISNUMBER(Table1[[#This Row],[Gestation (days)]])),TRUE,FALSE)</f>
        <v>0</v>
      </c>
      <c r="E6110" s="2" t="str">
        <f>IF(Table1[[#This Row],[Is Data Valid]]=TRUE,IF(Table1[[#This Row],[Fetal Sex (Male, Female or Unknown)]]="Male",Backend!$C$6,IF(Table1[[#This Row],[Fetal Sex (Male, Female or Unknown)]]="Female",Backend!$C$7,IF(Table1[[#This Row],[Fetal Sex (Male, Female or Unknown)]]="Unknown",Backend!$C$8,"Error"))),"")</f>
        <v/>
      </c>
      <c r="F6110" s="8" t="str">
        <f>IF(Table1[[#This Row],[Is Data Valid]]=TRUE,EXP(0.578+0.332*((Table1[[#This Row],[Gestation (days)]]+0.5)/7)-0.00354*((Table1[[#This Row],[Gestation (days)]]+0.5)/7)^2)*Table1[[#This Row],[BW40_3705]],"")</f>
        <v/>
      </c>
      <c r="G6110" s="2" t="str">
        <f>IF(Table1[[#This Row],[Is Data Valid]]=TRUE,((Table1[[#This Row],[Birthweight (grams)]]/Table1[[#This Row],[BW_GA]])-1)/(Backend!$B$4/100*Table1[[#This Row],[BW40_3705]]),"")</f>
        <v/>
      </c>
      <c r="H6110" s="7" t="str">
        <f>IF(Table1[[#This Row],[Is Data Valid]]=TRUE,((Table1[[#This Row],[Birthweight (grams)]]*0.9/Table1[[#This Row],[BW_GA]])-1)/(Backend!$B$4/100*Table1[[#This Row],[BW40_3705]]),"")</f>
        <v/>
      </c>
      <c r="I6110" s="7" t="str">
        <f>IF(Table1[[#This Row],[Is Data Valid]]=TRUE,((Table1[[#This Row],[Birthweight (grams)]]*1.1/Table1[[#This Row],[BW_GA]])-1)/(Backend!$B$4/100*Table1[[#This Row],[BW40_3705]]),"")</f>
        <v/>
      </c>
      <c r="J6110" s="7" t="str">
        <f>IF(Table1[[#This Row],[Is Data Valid]]=TRUE,_xlfn.NORM.S.DIST(Table1[[#This Row],[Birthweight Z-Score]],TRUE)*100,"")</f>
        <v/>
      </c>
      <c r="K6110" s="7" t="str">
        <f>IF(Table1[[#This Row],[Is Data Valid]]=TRUE,_xlfn.NORM.S.DIST(Table1[[#This Row],[Birthweight Z-Score (BW-10%)]],TRUE)*100,"")</f>
        <v/>
      </c>
      <c r="L6110" s="7" t="str">
        <f>IF(Table1[[#This Row],[Is Data Valid]]=TRUE,_xlfn.NORM.S.DIST(Table1[[#This Row],[Birthweight Z-Score (BW+10%)]],TRUE)*100,"")</f>
        <v/>
      </c>
    </row>
    <row r="6111" spans="1:12" x14ac:dyDescent="0.35">
      <c r="A6111" s="3"/>
      <c r="B6111" s="2"/>
      <c r="C6111" s="2"/>
      <c r="D6111" s="2" t="b">
        <f>IF(AND(NOT(ISBLANK(Table1[[#This Row],[Fetal Sex (Male, Female or Unknown)]])),ISNUMBER(Table1[[#This Row],[Birthweight (grams)]]),ISNUMBER(Table1[[#This Row],[Gestation (days)]])),TRUE,FALSE)</f>
        <v>0</v>
      </c>
      <c r="E6111" s="2" t="str">
        <f>IF(Table1[[#This Row],[Is Data Valid]]=TRUE,IF(Table1[[#This Row],[Fetal Sex (Male, Female or Unknown)]]="Male",Backend!$C$6,IF(Table1[[#This Row],[Fetal Sex (Male, Female or Unknown)]]="Female",Backend!$C$7,IF(Table1[[#This Row],[Fetal Sex (Male, Female or Unknown)]]="Unknown",Backend!$C$8,"Error"))),"")</f>
        <v/>
      </c>
      <c r="F6111" s="8" t="str">
        <f>IF(Table1[[#This Row],[Is Data Valid]]=TRUE,EXP(0.578+0.332*((Table1[[#This Row],[Gestation (days)]]+0.5)/7)-0.00354*((Table1[[#This Row],[Gestation (days)]]+0.5)/7)^2)*Table1[[#This Row],[BW40_3705]],"")</f>
        <v/>
      </c>
      <c r="G6111" s="2" t="str">
        <f>IF(Table1[[#This Row],[Is Data Valid]]=TRUE,((Table1[[#This Row],[Birthweight (grams)]]/Table1[[#This Row],[BW_GA]])-1)/(Backend!$B$4/100*Table1[[#This Row],[BW40_3705]]),"")</f>
        <v/>
      </c>
      <c r="H6111" s="7" t="str">
        <f>IF(Table1[[#This Row],[Is Data Valid]]=TRUE,((Table1[[#This Row],[Birthweight (grams)]]*0.9/Table1[[#This Row],[BW_GA]])-1)/(Backend!$B$4/100*Table1[[#This Row],[BW40_3705]]),"")</f>
        <v/>
      </c>
      <c r="I6111" s="7" t="str">
        <f>IF(Table1[[#This Row],[Is Data Valid]]=TRUE,((Table1[[#This Row],[Birthweight (grams)]]*1.1/Table1[[#This Row],[BW_GA]])-1)/(Backend!$B$4/100*Table1[[#This Row],[BW40_3705]]),"")</f>
        <v/>
      </c>
      <c r="J6111" s="7" t="str">
        <f>IF(Table1[[#This Row],[Is Data Valid]]=TRUE,_xlfn.NORM.S.DIST(Table1[[#This Row],[Birthweight Z-Score]],TRUE)*100,"")</f>
        <v/>
      </c>
      <c r="K6111" s="7" t="str">
        <f>IF(Table1[[#This Row],[Is Data Valid]]=TRUE,_xlfn.NORM.S.DIST(Table1[[#This Row],[Birthweight Z-Score (BW-10%)]],TRUE)*100,"")</f>
        <v/>
      </c>
      <c r="L6111" s="7" t="str">
        <f>IF(Table1[[#This Row],[Is Data Valid]]=TRUE,_xlfn.NORM.S.DIST(Table1[[#This Row],[Birthweight Z-Score (BW+10%)]],TRUE)*100,"")</f>
        <v/>
      </c>
    </row>
    <row r="6112" spans="1:12" x14ac:dyDescent="0.35">
      <c r="A6112" s="3"/>
      <c r="B6112" s="2"/>
      <c r="C6112" s="2"/>
      <c r="D6112" s="2" t="b">
        <f>IF(AND(NOT(ISBLANK(Table1[[#This Row],[Fetal Sex (Male, Female or Unknown)]])),ISNUMBER(Table1[[#This Row],[Birthweight (grams)]]),ISNUMBER(Table1[[#This Row],[Gestation (days)]])),TRUE,FALSE)</f>
        <v>0</v>
      </c>
      <c r="E6112" s="2" t="str">
        <f>IF(Table1[[#This Row],[Is Data Valid]]=TRUE,IF(Table1[[#This Row],[Fetal Sex (Male, Female or Unknown)]]="Male",Backend!$C$6,IF(Table1[[#This Row],[Fetal Sex (Male, Female or Unknown)]]="Female",Backend!$C$7,IF(Table1[[#This Row],[Fetal Sex (Male, Female or Unknown)]]="Unknown",Backend!$C$8,"Error"))),"")</f>
        <v/>
      </c>
      <c r="F6112" s="8" t="str">
        <f>IF(Table1[[#This Row],[Is Data Valid]]=TRUE,EXP(0.578+0.332*((Table1[[#This Row],[Gestation (days)]]+0.5)/7)-0.00354*((Table1[[#This Row],[Gestation (days)]]+0.5)/7)^2)*Table1[[#This Row],[BW40_3705]],"")</f>
        <v/>
      </c>
      <c r="G6112" s="2" t="str">
        <f>IF(Table1[[#This Row],[Is Data Valid]]=TRUE,((Table1[[#This Row],[Birthweight (grams)]]/Table1[[#This Row],[BW_GA]])-1)/(Backend!$B$4/100*Table1[[#This Row],[BW40_3705]]),"")</f>
        <v/>
      </c>
      <c r="H6112" s="7" t="str">
        <f>IF(Table1[[#This Row],[Is Data Valid]]=TRUE,((Table1[[#This Row],[Birthweight (grams)]]*0.9/Table1[[#This Row],[BW_GA]])-1)/(Backend!$B$4/100*Table1[[#This Row],[BW40_3705]]),"")</f>
        <v/>
      </c>
      <c r="I6112" s="7" t="str">
        <f>IF(Table1[[#This Row],[Is Data Valid]]=TRUE,((Table1[[#This Row],[Birthweight (grams)]]*1.1/Table1[[#This Row],[BW_GA]])-1)/(Backend!$B$4/100*Table1[[#This Row],[BW40_3705]]),"")</f>
        <v/>
      </c>
      <c r="J6112" s="7" t="str">
        <f>IF(Table1[[#This Row],[Is Data Valid]]=TRUE,_xlfn.NORM.S.DIST(Table1[[#This Row],[Birthweight Z-Score]],TRUE)*100,"")</f>
        <v/>
      </c>
      <c r="K6112" s="7" t="str">
        <f>IF(Table1[[#This Row],[Is Data Valid]]=TRUE,_xlfn.NORM.S.DIST(Table1[[#This Row],[Birthweight Z-Score (BW-10%)]],TRUE)*100,"")</f>
        <v/>
      </c>
      <c r="L6112" s="7" t="str">
        <f>IF(Table1[[#This Row],[Is Data Valid]]=TRUE,_xlfn.NORM.S.DIST(Table1[[#This Row],[Birthweight Z-Score (BW+10%)]],TRUE)*100,"")</f>
        <v/>
      </c>
    </row>
    <row r="6113" spans="1:12" x14ac:dyDescent="0.35">
      <c r="A6113" s="3"/>
      <c r="B6113" s="2"/>
      <c r="C6113" s="2"/>
      <c r="D6113" s="2" t="b">
        <f>IF(AND(NOT(ISBLANK(Table1[[#This Row],[Fetal Sex (Male, Female or Unknown)]])),ISNUMBER(Table1[[#This Row],[Birthweight (grams)]]),ISNUMBER(Table1[[#This Row],[Gestation (days)]])),TRUE,FALSE)</f>
        <v>0</v>
      </c>
      <c r="E6113" s="2" t="str">
        <f>IF(Table1[[#This Row],[Is Data Valid]]=TRUE,IF(Table1[[#This Row],[Fetal Sex (Male, Female or Unknown)]]="Male",Backend!$C$6,IF(Table1[[#This Row],[Fetal Sex (Male, Female or Unknown)]]="Female",Backend!$C$7,IF(Table1[[#This Row],[Fetal Sex (Male, Female or Unknown)]]="Unknown",Backend!$C$8,"Error"))),"")</f>
        <v/>
      </c>
      <c r="F6113" s="8" t="str">
        <f>IF(Table1[[#This Row],[Is Data Valid]]=TRUE,EXP(0.578+0.332*((Table1[[#This Row],[Gestation (days)]]+0.5)/7)-0.00354*((Table1[[#This Row],[Gestation (days)]]+0.5)/7)^2)*Table1[[#This Row],[BW40_3705]],"")</f>
        <v/>
      </c>
      <c r="G6113" s="2" t="str">
        <f>IF(Table1[[#This Row],[Is Data Valid]]=TRUE,((Table1[[#This Row],[Birthweight (grams)]]/Table1[[#This Row],[BW_GA]])-1)/(Backend!$B$4/100*Table1[[#This Row],[BW40_3705]]),"")</f>
        <v/>
      </c>
      <c r="H6113" s="7" t="str">
        <f>IF(Table1[[#This Row],[Is Data Valid]]=TRUE,((Table1[[#This Row],[Birthweight (grams)]]*0.9/Table1[[#This Row],[BW_GA]])-1)/(Backend!$B$4/100*Table1[[#This Row],[BW40_3705]]),"")</f>
        <v/>
      </c>
      <c r="I6113" s="7" t="str">
        <f>IF(Table1[[#This Row],[Is Data Valid]]=TRUE,((Table1[[#This Row],[Birthweight (grams)]]*1.1/Table1[[#This Row],[BW_GA]])-1)/(Backend!$B$4/100*Table1[[#This Row],[BW40_3705]]),"")</f>
        <v/>
      </c>
      <c r="J6113" s="7" t="str">
        <f>IF(Table1[[#This Row],[Is Data Valid]]=TRUE,_xlfn.NORM.S.DIST(Table1[[#This Row],[Birthweight Z-Score]],TRUE)*100,"")</f>
        <v/>
      </c>
      <c r="K6113" s="7" t="str">
        <f>IF(Table1[[#This Row],[Is Data Valid]]=TRUE,_xlfn.NORM.S.DIST(Table1[[#This Row],[Birthweight Z-Score (BW-10%)]],TRUE)*100,"")</f>
        <v/>
      </c>
      <c r="L6113" s="7" t="str">
        <f>IF(Table1[[#This Row],[Is Data Valid]]=TRUE,_xlfn.NORM.S.DIST(Table1[[#This Row],[Birthweight Z-Score (BW+10%)]],TRUE)*100,"")</f>
        <v/>
      </c>
    </row>
    <row r="6114" spans="1:12" x14ac:dyDescent="0.35">
      <c r="A6114" s="3"/>
      <c r="B6114" s="2"/>
      <c r="C6114" s="2"/>
      <c r="D6114" s="2" t="b">
        <f>IF(AND(NOT(ISBLANK(Table1[[#This Row],[Fetal Sex (Male, Female or Unknown)]])),ISNUMBER(Table1[[#This Row],[Birthweight (grams)]]),ISNUMBER(Table1[[#This Row],[Gestation (days)]])),TRUE,FALSE)</f>
        <v>0</v>
      </c>
      <c r="E6114" s="2" t="str">
        <f>IF(Table1[[#This Row],[Is Data Valid]]=TRUE,IF(Table1[[#This Row],[Fetal Sex (Male, Female or Unknown)]]="Male",Backend!$C$6,IF(Table1[[#This Row],[Fetal Sex (Male, Female or Unknown)]]="Female",Backend!$C$7,IF(Table1[[#This Row],[Fetal Sex (Male, Female or Unknown)]]="Unknown",Backend!$C$8,"Error"))),"")</f>
        <v/>
      </c>
      <c r="F6114" s="8" t="str">
        <f>IF(Table1[[#This Row],[Is Data Valid]]=TRUE,EXP(0.578+0.332*((Table1[[#This Row],[Gestation (days)]]+0.5)/7)-0.00354*((Table1[[#This Row],[Gestation (days)]]+0.5)/7)^2)*Table1[[#This Row],[BW40_3705]],"")</f>
        <v/>
      </c>
      <c r="G6114" s="2" t="str">
        <f>IF(Table1[[#This Row],[Is Data Valid]]=TRUE,((Table1[[#This Row],[Birthweight (grams)]]/Table1[[#This Row],[BW_GA]])-1)/(Backend!$B$4/100*Table1[[#This Row],[BW40_3705]]),"")</f>
        <v/>
      </c>
      <c r="H6114" s="7" t="str">
        <f>IF(Table1[[#This Row],[Is Data Valid]]=TRUE,((Table1[[#This Row],[Birthweight (grams)]]*0.9/Table1[[#This Row],[BW_GA]])-1)/(Backend!$B$4/100*Table1[[#This Row],[BW40_3705]]),"")</f>
        <v/>
      </c>
      <c r="I6114" s="7" t="str">
        <f>IF(Table1[[#This Row],[Is Data Valid]]=TRUE,((Table1[[#This Row],[Birthweight (grams)]]*1.1/Table1[[#This Row],[BW_GA]])-1)/(Backend!$B$4/100*Table1[[#This Row],[BW40_3705]]),"")</f>
        <v/>
      </c>
      <c r="J6114" s="7" t="str">
        <f>IF(Table1[[#This Row],[Is Data Valid]]=TRUE,_xlfn.NORM.S.DIST(Table1[[#This Row],[Birthweight Z-Score]],TRUE)*100,"")</f>
        <v/>
      </c>
      <c r="K6114" s="7" t="str">
        <f>IF(Table1[[#This Row],[Is Data Valid]]=TRUE,_xlfn.NORM.S.DIST(Table1[[#This Row],[Birthweight Z-Score (BW-10%)]],TRUE)*100,"")</f>
        <v/>
      </c>
      <c r="L6114" s="7" t="str">
        <f>IF(Table1[[#This Row],[Is Data Valid]]=TRUE,_xlfn.NORM.S.DIST(Table1[[#This Row],[Birthweight Z-Score (BW+10%)]],TRUE)*100,"")</f>
        <v/>
      </c>
    </row>
    <row r="6115" spans="1:12" x14ac:dyDescent="0.35">
      <c r="A6115" s="3"/>
      <c r="B6115" s="2"/>
      <c r="C6115" s="2"/>
      <c r="D6115" s="2" t="b">
        <f>IF(AND(NOT(ISBLANK(Table1[[#This Row],[Fetal Sex (Male, Female or Unknown)]])),ISNUMBER(Table1[[#This Row],[Birthweight (grams)]]),ISNUMBER(Table1[[#This Row],[Gestation (days)]])),TRUE,FALSE)</f>
        <v>0</v>
      </c>
      <c r="E6115" s="2" t="str">
        <f>IF(Table1[[#This Row],[Is Data Valid]]=TRUE,IF(Table1[[#This Row],[Fetal Sex (Male, Female or Unknown)]]="Male",Backend!$C$6,IF(Table1[[#This Row],[Fetal Sex (Male, Female or Unknown)]]="Female",Backend!$C$7,IF(Table1[[#This Row],[Fetal Sex (Male, Female or Unknown)]]="Unknown",Backend!$C$8,"Error"))),"")</f>
        <v/>
      </c>
      <c r="F6115" s="8" t="str">
        <f>IF(Table1[[#This Row],[Is Data Valid]]=TRUE,EXP(0.578+0.332*((Table1[[#This Row],[Gestation (days)]]+0.5)/7)-0.00354*((Table1[[#This Row],[Gestation (days)]]+0.5)/7)^2)*Table1[[#This Row],[BW40_3705]],"")</f>
        <v/>
      </c>
      <c r="G6115" s="2" t="str">
        <f>IF(Table1[[#This Row],[Is Data Valid]]=TRUE,((Table1[[#This Row],[Birthweight (grams)]]/Table1[[#This Row],[BW_GA]])-1)/(Backend!$B$4/100*Table1[[#This Row],[BW40_3705]]),"")</f>
        <v/>
      </c>
      <c r="H6115" s="7" t="str">
        <f>IF(Table1[[#This Row],[Is Data Valid]]=TRUE,((Table1[[#This Row],[Birthweight (grams)]]*0.9/Table1[[#This Row],[BW_GA]])-1)/(Backend!$B$4/100*Table1[[#This Row],[BW40_3705]]),"")</f>
        <v/>
      </c>
      <c r="I6115" s="7" t="str">
        <f>IF(Table1[[#This Row],[Is Data Valid]]=TRUE,((Table1[[#This Row],[Birthweight (grams)]]*1.1/Table1[[#This Row],[BW_GA]])-1)/(Backend!$B$4/100*Table1[[#This Row],[BW40_3705]]),"")</f>
        <v/>
      </c>
      <c r="J6115" s="7" t="str">
        <f>IF(Table1[[#This Row],[Is Data Valid]]=TRUE,_xlfn.NORM.S.DIST(Table1[[#This Row],[Birthweight Z-Score]],TRUE)*100,"")</f>
        <v/>
      </c>
      <c r="K6115" s="7" t="str">
        <f>IF(Table1[[#This Row],[Is Data Valid]]=TRUE,_xlfn.NORM.S.DIST(Table1[[#This Row],[Birthweight Z-Score (BW-10%)]],TRUE)*100,"")</f>
        <v/>
      </c>
      <c r="L6115" s="7" t="str">
        <f>IF(Table1[[#This Row],[Is Data Valid]]=TRUE,_xlfn.NORM.S.DIST(Table1[[#This Row],[Birthweight Z-Score (BW+10%)]],TRUE)*100,"")</f>
        <v/>
      </c>
    </row>
    <row r="6116" spans="1:12" x14ac:dyDescent="0.35">
      <c r="A6116" s="3"/>
      <c r="B6116" s="2"/>
      <c r="C6116" s="2"/>
      <c r="D6116" s="2" t="b">
        <f>IF(AND(NOT(ISBLANK(Table1[[#This Row],[Fetal Sex (Male, Female or Unknown)]])),ISNUMBER(Table1[[#This Row],[Birthweight (grams)]]),ISNUMBER(Table1[[#This Row],[Gestation (days)]])),TRUE,FALSE)</f>
        <v>0</v>
      </c>
      <c r="E6116" s="2" t="str">
        <f>IF(Table1[[#This Row],[Is Data Valid]]=TRUE,IF(Table1[[#This Row],[Fetal Sex (Male, Female or Unknown)]]="Male",Backend!$C$6,IF(Table1[[#This Row],[Fetal Sex (Male, Female or Unknown)]]="Female",Backend!$C$7,IF(Table1[[#This Row],[Fetal Sex (Male, Female or Unknown)]]="Unknown",Backend!$C$8,"Error"))),"")</f>
        <v/>
      </c>
      <c r="F6116" s="8" t="str">
        <f>IF(Table1[[#This Row],[Is Data Valid]]=TRUE,EXP(0.578+0.332*((Table1[[#This Row],[Gestation (days)]]+0.5)/7)-0.00354*((Table1[[#This Row],[Gestation (days)]]+0.5)/7)^2)*Table1[[#This Row],[BW40_3705]],"")</f>
        <v/>
      </c>
      <c r="G6116" s="2" t="str">
        <f>IF(Table1[[#This Row],[Is Data Valid]]=TRUE,((Table1[[#This Row],[Birthweight (grams)]]/Table1[[#This Row],[BW_GA]])-1)/(Backend!$B$4/100*Table1[[#This Row],[BW40_3705]]),"")</f>
        <v/>
      </c>
      <c r="H6116" s="7" t="str">
        <f>IF(Table1[[#This Row],[Is Data Valid]]=TRUE,((Table1[[#This Row],[Birthweight (grams)]]*0.9/Table1[[#This Row],[BW_GA]])-1)/(Backend!$B$4/100*Table1[[#This Row],[BW40_3705]]),"")</f>
        <v/>
      </c>
      <c r="I6116" s="7" t="str">
        <f>IF(Table1[[#This Row],[Is Data Valid]]=TRUE,((Table1[[#This Row],[Birthweight (grams)]]*1.1/Table1[[#This Row],[BW_GA]])-1)/(Backend!$B$4/100*Table1[[#This Row],[BW40_3705]]),"")</f>
        <v/>
      </c>
      <c r="J6116" s="7" t="str">
        <f>IF(Table1[[#This Row],[Is Data Valid]]=TRUE,_xlfn.NORM.S.DIST(Table1[[#This Row],[Birthweight Z-Score]],TRUE)*100,"")</f>
        <v/>
      </c>
      <c r="K6116" s="7" t="str">
        <f>IF(Table1[[#This Row],[Is Data Valid]]=TRUE,_xlfn.NORM.S.DIST(Table1[[#This Row],[Birthweight Z-Score (BW-10%)]],TRUE)*100,"")</f>
        <v/>
      </c>
      <c r="L6116" s="7" t="str">
        <f>IF(Table1[[#This Row],[Is Data Valid]]=TRUE,_xlfn.NORM.S.DIST(Table1[[#This Row],[Birthweight Z-Score (BW+10%)]],TRUE)*100,"")</f>
        <v/>
      </c>
    </row>
    <row r="6117" spans="1:12" x14ac:dyDescent="0.35">
      <c r="A6117" s="3"/>
      <c r="B6117" s="2"/>
      <c r="C6117" s="2"/>
      <c r="D6117" s="2" t="b">
        <f>IF(AND(NOT(ISBLANK(Table1[[#This Row],[Fetal Sex (Male, Female or Unknown)]])),ISNUMBER(Table1[[#This Row],[Birthweight (grams)]]),ISNUMBER(Table1[[#This Row],[Gestation (days)]])),TRUE,FALSE)</f>
        <v>0</v>
      </c>
      <c r="E6117" s="2" t="str">
        <f>IF(Table1[[#This Row],[Is Data Valid]]=TRUE,IF(Table1[[#This Row],[Fetal Sex (Male, Female or Unknown)]]="Male",Backend!$C$6,IF(Table1[[#This Row],[Fetal Sex (Male, Female or Unknown)]]="Female",Backend!$C$7,IF(Table1[[#This Row],[Fetal Sex (Male, Female or Unknown)]]="Unknown",Backend!$C$8,"Error"))),"")</f>
        <v/>
      </c>
      <c r="F6117" s="8" t="str">
        <f>IF(Table1[[#This Row],[Is Data Valid]]=TRUE,EXP(0.578+0.332*((Table1[[#This Row],[Gestation (days)]]+0.5)/7)-0.00354*((Table1[[#This Row],[Gestation (days)]]+0.5)/7)^2)*Table1[[#This Row],[BW40_3705]],"")</f>
        <v/>
      </c>
      <c r="G6117" s="2" t="str">
        <f>IF(Table1[[#This Row],[Is Data Valid]]=TRUE,((Table1[[#This Row],[Birthweight (grams)]]/Table1[[#This Row],[BW_GA]])-1)/(Backend!$B$4/100*Table1[[#This Row],[BW40_3705]]),"")</f>
        <v/>
      </c>
      <c r="H6117" s="7" t="str">
        <f>IF(Table1[[#This Row],[Is Data Valid]]=TRUE,((Table1[[#This Row],[Birthweight (grams)]]*0.9/Table1[[#This Row],[BW_GA]])-1)/(Backend!$B$4/100*Table1[[#This Row],[BW40_3705]]),"")</f>
        <v/>
      </c>
      <c r="I6117" s="7" t="str">
        <f>IF(Table1[[#This Row],[Is Data Valid]]=TRUE,((Table1[[#This Row],[Birthweight (grams)]]*1.1/Table1[[#This Row],[BW_GA]])-1)/(Backend!$B$4/100*Table1[[#This Row],[BW40_3705]]),"")</f>
        <v/>
      </c>
      <c r="J6117" s="7" t="str">
        <f>IF(Table1[[#This Row],[Is Data Valid]]=TRUE,_xlfn.NORM.S.DIST(Table1[[#This Row],[Birthweight Z-Score]],TRUE)*100,"")</f>
        <v/>
      </c>
      <c r="K6117" s="7" t="str">
        <f>IF(Table1[[#This Row],[Is Data Valid]]=TRUE,_xlfn.NORM.S.DIST(Table1[[#This Row],[Birthweight Z-Score (BW-10%)]],TRUE)*100,"")</f>
        <v/>
      </c>
      <c r="L6117" s="7" t="str">
        <f>IF(Table1[[#This Row],[Is Data Valid]]=TRUE,_xlfn.NORM.S.DIST(Table1[[#This Row],[Birthweight Z-Score (BW+10%)]],TRUE)*100,"")</f>
        <v/>
      </c>
    </row>
    <row r="6118" spans="1:12" x14ac:dyDescent="0.35">
      <c r="A6118" s="3"/>
      <c r="B6118" s="2"/>
      <c r="C6118" s="2"/>
      <c r="D6118" s="2" t="b">
        <f>IF(AND(NOT(ISBLANK(Table1[[#This Row],[Fetal Sex (Male, Female or Unknown)]])),ISNUMBER(Table1[[#This Row],[Birthweight (grams)]]),ISNUMBER(Table1[[#This Row],[Gestation (days)]])),TRUE,FALSE)</f>
        <v>0</v>
      </c>
      <c r="E6118" s="2" t="str">
        <f>IF(Table1[[#This Row],[Is Data Valid]]=TRUE,IF(Table1[[#This Row],[Fetal Sex (Male, Female or Unknown)]]="Male",Backend!$C$6,IF(Table1[[#This Row],[Fetal Sex (Male, Female or Unknown)]]="Female",Backend!$C$7,IF(Table1[[#This Row],[Fetal Sex (Male, Female or Unknown)]]="Unknown",Backend!$C$8,"Error"))),"")</f>
        <v/>
      </c>
      <c r="F6118" s="8" t="str">
        <f>IF(Table1[[#This Row],[Is Data Valid]]=TRUE,EXP(0.578+0.332*((Table1[[#This Row],[Gestation (days)]]+0.5)/7)-0.00354*((Table1[[#This Row],[Gestation (days)]]+0.5)/7)^2)*Table1[[#This Row],[BW40_3705]],"")</f>
        <v/>
      </c>
      <c r="G6118" s="2" t="str">
        <f>IF(Table1[[#This Row],[Is Data Valid]]=TRUE,((Table1[[#This Row],[Birthweight (grams)]]/Table1[[#This Row],[BW_GA]])-1)/(Backend!$B$4/100*Table1[[#This Row],[BW40_3705]]),"")</f>
        <v/>
      </c>
      <c r="H6118" s="7" t="str">
        <f>IF(Table1[[#This Row],[Is Data Valid]]=TRUE,((Table1[[#This Row],[Birthweight (grams)]]*0.9/Table1[[#This Row],[BW_GA]])-1)/(Backend!$B$4/100*Table1[[#This Row],[BW40_3705]]),"")</f>
        <v/>
      </c>
      <c r="I6118" s="7" t="str">
        <f>IF(Table1[[#This Row],[Is Data Valid]]=TRUE,((Table1[[#This Row],[Birthweight (grams)]]*1.1/Table1[[#This Row],[BW_GA]])-1)/(Backend!$B$4/100*Table1[[#This Row],[BW40_3705]]),"")</f>
        <v/>
      </c>
      <c r="J6118" s="7" t="str">
        <f>IF(Table1[[#This Row],[Is Data Valid]]=TRUE,_xlfn.NORM.S.DIST(Table1[[#This Row],[Birthweight Z-Score]],TRUE)*100,"")</f>
        <v/>
      </c>
      <c r="K6118" s="7" t="str">
        <f>IF(Table1[[#This Row],[Is Data Valid]]=TRUE,_xlfn.NORM.S.DIST(Table1[[#This Row],[Birthweight Z-Score (BW-10%)]],TRUE)*100,"")</f>
        <v/>
      </c>
      <c r="L6118" s="7" t="str">
        <f>IF(Table1[[#This Row],[Is Data Valid]]=TRUE,_xlfn.NORM.S.DIST(Table1[[#This Row],[Birthweight Z-Score (BW+10%)]],TRUE)*100,"")</f>
        <v/>
      </c>
    </row>
    <row r="6119" spans="1:12" x14ac:dyDescent="0.35">
      <c r="A6119" s="3"/>
      <c r="B6119" s="2"/>
      <c r="C6119" s="2"/>
      <c r="D6119" s="2" t="b">
        <f>IF(AND(NOT(ISBLANK(Table1[[#This Row],[Fetal Sex (Male, Female or Unknown)]])),ISNUMBER(Table1[[#This Row],[Birthweight (grams)]]),ISNUMBER(Table1[[#This Row],[Gestation (days)]])),TRUE,FALSE)</f>
        <v>0</v>
      </c>
      <c r="E6119" s="2" t="str">
        <f>IF(Table1[[#This Row],[Is Data Valid]]=TRUE,IF(Table1[[#This Row],[Fetal Sex (Male, Female or Unknown)]]="Male",Backend!$C$6,IF(Table1[[#This Row],[Fetal Sex (Male, Female or Unknown)]]="Female",Backend!$C$7,IF(Table1[[#This Row],[Fetal Sex (Male, Female or Unknown)]]="Unknown",Backend!$C$8,"Error"))),"")</f>
        <v/>
      </c>
      <c r="F6119" s="8" t="str">
        <f>IF(Table1[[#This Row],[Is Data Valid]]=TRUE,EXP(0.578+0.332*((Table1[[#This Row],[Gestation (days)]]+0.5)/7)-0.00354*((Table1[[#This Row],[Gestation (days)]]+0.5)/7)^2)*Table1[[#This Row],[BW40_3705]],"")</f>
        <v/>
      </c>
      <c r="G6119" s="2" t="str">
        <f>IF(Table1[[#This Row],[Is Data Valid]]=TRUE,((Table1[[#This Row],[Birthweight (grams)]]/Table1[[#This Row],[BW_GA]])-1)/(Backend!$B$4/100*Table1[[#This Row],[BW40_3705]]),"")</f>
        <v/>
      </c>
      <c r="H6119" s="7" t="str">
        <f>IF(Table1[[#This Row],[Is Data Valid]]=TRUE,((Table1[[#This Row],[Birthweight (grams)]]*0.9/Table1[[#This Row],[BW_GA]])-1)/(Backend!$B$4/100*Table1[[#This Row],[BW40_3705]]),"")</f>
        <v/>
      </c>
      <c r="I6119" s="7" t="str">
        <f>IF(Table1[[#This Row],[Is Data Valid]]=TRUE,((Table1[[#This Row],[Birthweight (grams)]]*1.1/Table1[[#This Row],[BW_GA]])-1)/(Backend!$B$4/100*Table1[[#This Row],[BW40_3705]]),"")</f>
        <v/>
      </c>
      <c r="J6119" s="7" t="str">
        <f>IF(Table1[[#This Row],[Is Data Valid]]=TRUE,_xlfn.NORM.S.DIST(Table1[[#This Row],[Birthweight Z-Score]],TRUE)*100,"")</f>
        <v/>
      </c>
      <c r="K6119" s="7" t="str">
        <f>IF(Table1[[#This Row],[Is Data Valid]]=TRUE,_xlfn.NORM.S.DIST(Table1[[#This Row],[Birthweight Z-Score (BW-10%)]],TRUE)*100,"")</f>
        <v/>
      </c>
      <c r="L6119" s="7" t="str">
        <f>IF(Table1[[#This Row],[Is Data Valid]]=TRUE,_xlfn.NORM.S.DIST(Table1[[#This Row],[Birthweight Z-Score (BW+10%)]],TRUE)*100,"")</f>
        <v/>
      </c>
    </row>
    <row r="6120" spans="1:12" x14ac:dyDescent="0.35">
      <c r="A6120" s="3"/>
      <c r="B6120" s="2"/>
      <c r="C6120" s="2"/>
      <c r="D6120" s="2" t="b">
        <f>IF(AND(NOT(ISBLANK(Table1[[#This Row],[Fetal Sex (Male, Female or Unknown)]])),ISNUMBER(Table1[[#This Row],[Birthweight (grams)]]),ISNUMBER(Table1[[#This Row],[Gestation (days)]])),TRUE,FALSE)</f>
        <v>0</v>
      </c>
      <c r="E6120" s="2" t="str">
        <f>IF(Table1[[#This Row],[Is Data Valid]]=TRUE,IF(Table1[[#This Row],[Fetal Sex (Male, Female or Unknown)]]="Male",Backend!$C$6,IF(Table1[[#This Row],[Fetal Sex (Male, Female or Unknown)]]="Female",Backend!$C$7,IF(Table1[[#This Row],[Fetal Sex (Male, Female or Unknown)]]="Unknown",Backend!$C$8,"Error"))),"")</f>
        <v/>
      </c>
      <c r="F6120" s="8" t="str">
        <f>IF(Table1[[#This Row],[Is Data Valid]]=TRUE,EXP(0.578+0.332*((Table1[[#This Row],[Gestation (days)]]+0.5)/7)-0.00354*((Table1[[#This Row],[Gestation (days)]]+0.5)/7)^2)*Table1[[#This Row],[BW40_3705]],"")</f>
        <v/>
      </c>
      <c r="G6120" s="2" t="str">
        <f>IF(Table1[[#This Row],[Is Data Valid]]=TRUE,((Table1[[#This Row],[Birthweight (grams)]]/Table1[[#This Row],[BW_GA]])-1)/(Backend!$B$4/100*Table1[[#This Row],[BW40_3705]]),"")</f>
        <v/>
      </c>
      <c r="H6120" s="7" t="str">
        <f>IF(Table1[[#This Row],[Is Data Valid]]=TRUE,((Table1[[#This Row],[Birthweight (grams)]]*0.9/Table1[[#This Row],[BW_GA]])-1)/(Backend!$B$4/100*Table1[[#This Row],[BW40_3705]]),"")</f>
        <v/>
      </c>
      <c r="I6120" s="7" t="str">
        <f>IF(Table1[[#This Row],[Is Data Valid]]=TRUE,((Table1[[#This Row],[Birthweight (grams)]]*1.1/Table1[[#This Row],[BW_GA]])-1)/(Backend!$B$4/100*Table1[[#This Row],[BW40_3705]]),"")</f>
        <v/>
      </c>
      <c r="J6120" s="7" t="str">
        <f>IF(Table1[[#This Row],[Is Data Valid]]=TRUE,_xlfn.NORM.S.DIST(Table1[[#This Row],[Birthweight Z-Score]],TRUE)*100,"")</f>
        <v/>
      </c>
      <c r="K6120" s="7" t="str">
        <f>IF(Table1[[#This Row],[Is Data Valid]]=TRUE,_xlfn.NORM.S.DIST(Table1[[#This Row],[Birthweight Z-Score (BW-10%)]],TRUE)*100,"")</f>
        <v/>
      </c>
      <c r="L6120" s="7" t="str">
        <f>IF(Table1[[#This Row],[Is Data Valid]]=TRUE,_xlfn.NORM.S.DIST(Table1[[#This Row],[Birthweight Z-Score (BW+10%)]],TRUE)*100,"")</f>
        <v/>
      </c>
    </row>
    <row r="6121" spans="1:12" x14ac:dyDescent="0.35">
      <c r="A6121" s="3"/>
      <c r="B6121" s="2"/>
      <c r="C6121" s="2"/>
      <c r="D6121" s="2" t="b">
        <f>IF(AND(NOT(ISBLANK(Table1[[#This Row],[Fetal Sex (Male, Female or Unknown)]])),ISNUMBER(Table1[[#This Row],[Birthweight (grams)]]),ISNUMBER(Table1[[#This Row],[Gestation (days)]])),TRUE,FALSE)</f>
        <v>0</v>
      </c>
      <c r="E6121" s="2" t="str">
        <f>IF(Table1[[#This Row],[Is Data Valid]]=TRUE,IF(Table1[[#This Row],[Fetal Sex (Male, Female or Unknown)]]="Male",Backend!$C$6,IF(Table1[[#This Row],[Fetal Sex (Male, Female or Unknown)]]="Female",Backend!$C$7,IF(Table1[[#This Row],[Fetal Sex (Male, Female or Unknown)]]="Unknown",Backend!$C$8,"Error"))),"")</f>
        <v/>
      </c>
      <c r="F6121" s="8" t="str">
        <f>IF(Table1[[#This Row],[Is Data Valid]]=TRUE,EXP(0.578+0.332*((Table1[[#This Row],[Gestation (days)]]+0.5)/7)-0.00354*((Table1[[#This Row],[Gestation (days)]]+0.5)/7)^2)*Table1[[#This Row],[BW40_3705]],"")</f>
        <v/>
      </c>
      <c r="G6121" s="2" t="str">
        <f>IF(Table1[[#This Row],[Is Data Valid]]=TRUE,((Table1[[#This Row],[Birthweight (grams)]]/Table1[[#This Row],[BW_GA]])-1)/(Backend!$B$4/100*Table1[[#This Row],[BW40_3705]]),"")</f>
        <v/>
      </c>
      <c r="H6121" s="7" t="str">
        <f>IF(Table1[[#This Row],[Is Data Valid]]=TRUE,((Table1[[#This Row],[Birthweight (grams)]]*0.9/Table1[[#This Row],[BW_GA]])-1)/(Backend!$B$4/100*Table1[[#This Row],[BW40_3705]]),"")</f>
        <v/>
      </c>
      <c r="I6121" s="7" t="str">
        <f>IF(Table1[[#This Row],[Is Data Valid]]=TRUE,((Table1[[#This Row],[Birthweight (grams)]]*1.1/Table1[[#This Row],[BW_GA]])-1)/(Backend!$B$4/100*Table1[[#This Row],[BW40_3705]]),"")</f>
        <v/>
      </c>
      <c r="J6121" s="7" t="str">
        <f>IF(Table1[[#This Row],[Is Data Valid]]=TRUE,_xlfn.NORM.S.DIST(Table1[[#This Row],[Birthweight Z-Score]],TRUE)*100,"")</f>
        <v/>
      </c>
      <c r="K6121" s="7" t="str">
        <f>IF(Table1[[#This Row],[Is Data Valid]]=TRUE,_xlfn.NORM.S.DIST(Table1[[#This Row],[Birthweight Z-Score (BW-10%)]],TRUE)*100,"")</f>
        <v/>
      </c>
      <c r="L6121" s="7" t="str">
        <f>IF(Table1[[#This Row],[Is Data Valid]]=TRUE,_xlfn.NORM.S.DIST(Table1[[#This Row],[Birthweight Z-Score (BW+10%)]],TRUE)*100,"")</f>
        <v/>
      </c>
    </row>
    <row r="6122" spans="1:12" x14ac:dyDescent="0.35">
      <c r="A6122" s="3"/>
      <c r="B6122" s="2"/>
      <c r="C6122" s="2"/>
      <c r="D6122" s="2" t="b">
        <f>IF(AND(NOT(ISBLANK(Table1[[#This Row],[Fetal Sex (Male, Female or Unknown)]])),ISNUMBER(Table1[[#This Row],[Birthweight (grams)]]),ISNUMBER(Table1[[#This Row],[Gestation (days)]])),TRUE,FALSE)</f>
        <v>0</v>
      </c>
      <c r="E6122" s="2" t="str">
        <f>IF(Table1[[#This Row],[Is Data Valid]]=TRUE,IF(Table1[[#This Row],[Fetal Sex (Male, Female or Unknown)]]="Male",Backend!$C$6,IF(Table1[[#This Row],[Fetal Sex (Male, Female or Unknown)]]="Female",Backend!$C$7,IF(Table1[[#This Row],[Fetal Sex (Male, Female or Unknown)]]="Unknown",Backend!$C$8,"Error"))),"")</f>
        <v/>
      </c>
      <c r="F6122" s="8" t="str">
        <f>IF(Table1[[#This Row],[Is Data Valid]]=TRUE,EXP(0.578+0.332*((Table1[[#This Row],[Gestation (days)]]+0.5)/7)-0.00354*((Table1[[#This Row],[Gestation (days)]]+0.5)/7)^2)*Table1[[#This Row],[BW40_3705]],"")</f>
        <v/>
      </c>
      <c r="G6122" s="2" t="str">
        <f>IF(Table1[[#This Row],[Is Data Valid]]=TRUE,((Table1[[#This Row],[Birthweight (grams)]]/Table1[[#This Row],[BW_GA]])-1)/(Backend!$B$4/100*Table1[[#This Row],[BW40_3705]]),"")</f>
        <v/>
      </c>
      <c r="H6122" s="7" t="str">
        <f>IF(Table1[[#This Row],[Is Data Valid]]=TRUE,((Table1[[#This Row],[Birthweight (grams)]]*0.9/Table1[[#This Row],[BW_GA]])-1)/(Backend!$B$4/100*Table1[[#This Row],[BW40_3705]]),"")</f>
        <v/>
      </c>
      <c r="I6122" s="7" t="str">
        <f>IF(Table1[[#This Row],[Is Data Valid]]=TRUE,((Table1[[#This Row],[Birthweight (grams)]]*1.1/Table1[[#This Row],[BW_GA]])-1)/(Backend!$B$4/100*Table1[[#This Row],[BW40_3705]]),"")</f>
        <v/>
      </c>
      <c r="J6122" s="7" t="str">
        <f>IF(Table1[[#This Row],[Is Data Valid]]=TRUE,_xlfn.NORM.S.DIST(Table1[[#This Row],[Birthweight Z-Score]],TRUE)*100,"")</f>
        <v/>
      </c>
      <c r="K6122" s="7" t="str">
        <f>IF(Table1[[#This Row],[Is Data Valid]]=TRUE,_xlfn.NORM.S.DIST(Table1[[#This Row],[Birthweight Z-Score (BW-10%)]],TRUE)*100,"")</f>
        <v/>
      </c>
      <c r="L6122" s="7" t="str">
        <f>IF(Table1[[#This Row],[Is Data Valid]]=TRUE,_xlfn.NORM.S.DIST(Table1[[#This Row],[Birthweight Z-Score (BW+10%)]],TRUE)*100,"")</f>
        <v/>
      </c>
    </row>
    <row r="6123" spans="1:12" x14ac:dyDescent="0.35">
      <c r="A6123" s="3"/>
      <c r="B6123" s="2"/>
      <c r="C6123" s="2"/>
      <c r="D6123" s="2" t="b">
        <f>IF(AND(NOT(ISBLANK(Table1[[#This Row],[Fetal Sex (Male, Female or Unknown)]])),ISNUMBER(Table1[[#This Row],[Birthweight (grams)]]),ISNUMBER(Table1[[#This Row],[Gestation (days)]])),TRUE,FALSE)</f>
        <v>0</v>
      </c>
      <c r="E6123" s="2" t="str">
        <f>IF(Table1[[#This Row],[Is Data Valid]]=TRUE,IF(Table1[[#This Row],[Fetal Sex (Male, Female or Unknown)]]="Male",Backend!$C$6,IF(Table1[[#This Row],[Fetal Sex (Male, Female or Unknown)]]="Female",Backend!$C$7,IF(Table1[[#This Row],[Fetal Sex (Male, Female or Unknown)]]="Unknown",Backend!$C$8,"Error"))),"")</f>
        <v/>
      </c>
      <c r="F6123" s="8" t="str">
        <f>IF(Table1[[#This Row],[Is Data Valid]]=TRUE,EXP(0.578+0.332*((Table1[[#This Row],[Gestation (days)]]+0.5)/7)-0.00354*((Table1[[#This Row],[Gestation (days)]]+0.5)/7)^2)*Table1[[#This Row],[BW40_3705]],"")</f>
        <v/>
      </c>
      <c r="G6123" s="2" t="str">
        <f>IF(Table1[[#This Row],[Is Data Valid]]=TRUE,((Table1[[#This Row],[Birthweight (grams)]]/Table1[[#This Row],[BW_GA]])-1)/(Backend!$B$4/100*Table1[[#This Row],[BW40_3705]]),"")</f>
        <v/>
      </c>
      <c r="H6123" s="7" t="str">
        <f>IF(Table1[[#This Row],[Is Data Valid]]=TRUE,((Table1[[#This Row],[Birthweight (grams)]]*0.9/Table1[[#This Row],[BW_GA]])-1)/(Backend!$B$4/100*Table1[[#This Row],[BW40_3705]]),"")</f>
        <v/>
      </c>
      <c r="I6123" s="7" t="str">
        <f>IF(Table1[[#This Row],[Is Data Valid]]=TRUE,((Table1[[#This Row],[Birthweight (grams)]]*1.1/Table1[[#This Row],[BW_GA]])-1)/(Backend!$B$4/100*Table1[[#This Row],[BW40_3705]]),"")</f>
        <v/>
      </c>
      <c r="J6123" s="7" t="str">
        <f>IF(Table1[[#This Row],[Is Data Valid]]=TRUE,_xlfn.NORM.S.DIST(Table1[[#This Row],[Birthweight Z-Score]],TRUE)*100,"")</f>
        <v/>
      </c>
      <c r="K6123" s="7" t="str">
        <f>IF(Table1[[#This Row],[Is Data Valid]]=TRUE,_xlfn.NORM.S.DIST(Table1[[#This Row],[Birthweight Z-Score (BW-10%)]],TRUE)*100,"")</f>
        <v/>
      </c>
      <c r="L6123" s="7" t="str">
        <f>IF(Table1[[#This Row],[Is Data Valid]]=TRUE,_xlfn.NORM.S.DIST(Table1[[#This Row],[Birthweight Z-Score (BW+10%)]],TRUE)*100,"")</f>
        <v/>
      </c>
    </row>
    <row r="6124" spans="1:12" x14ac:dyDescent="0.35">
      <c r="A6124" s="3"/>
      <c r="B6124" s="2"/>
      <c r="C6124" s="2"/>
      <c r="D6124" s="2" t="b">
        <f>IF(AND(NOT(ISBLANK(Table1[[#This Row],[Fetal Sex (Male, Female or Unknown)]])),ISNUMBER(Table1[[#This Row],[Birthweight (grams)]]),ISNUMBER(Table1[[#This Row],[Gestation (days)]])),TRUE,FALSE)</f>
        <v>0</v>
      </c>
      <c r="E6124" s="2" t="str">
        <f>IF(Table1[[#This Row],[Is Data Valid]]=TRUE,IF(Table1[[#This Row],[Fetal Sex (Male, Female or Unknown)]]="Male",Backend!$C$6,IF(Table1[[#This Row],[Fetal Sex (Male, Female or Unknown)]]="Female",Backend!$C$7,IF(Table1[[#This Row],[Fetal Sex (Male, Female or Unknown)]]="Unknown",Backend!$C$8,"Error"))),"")</f>
        <v/>
      </c>
      <c r="F6124" s="8" t="str">
        <f>IF(Table1[[#This Row],[Is Data Valid]]=TRUE,EXP(0.578+0.332*((Table1[[#This Row],[Gestation (days)]]+0.5)/7)-0.00354*((Table1[[#This Row],[Gestation (days)]]+0.5)/7)^2)*Table1[[#This Row],[BW40_3705]],"")</f>
        <v/>
      </c>
      <c r="G6124" s="2" t="str">
        <f>IF(Table1[[#This Row],[Is Data Valid]]=TRUE,((Table1[[#This Row],[Birthweight (grams)]]/Table1[[#This Row],[BW_GA]])-1)/(Backend!$B$4/100*Table1[[#This Row],[BW40_3705]]),"")</f>
        <v/>
      </c>
      <c r="H6124" s="7" t="str">
        <f>IF(Table1[[#This Row],[Is Data Valid]]=TRUE,((Table1[[#This Row],[Birthweight (grams)]]*0.9/Table1[[#This Row],[BW_GA]])-1)/(Backend!$B$4/100*Table1[[#This Row],[BW40_3705]]),"")</f>
        <v/>
      </c>
      <c r="I6124" s="7" t="str">
        <f>IF(Table1[[#This Row],[Is Data Valid]]=TRUE,((Table1[[#This Row],[Birthweight (grams)]]*1.1/Table1[[#This Row],[BW_GA]])-1)/(Backend!$B$4/100*Table1[[#This Row],[BW40_3705]]),"")</f>
        <v/>
      </c>
      <c r="J6124" s="7" t="str">
        <f>IF(Table1[[#This Row],[Is Data Valid]]=TRUE,_xlfn.NORM.S.DIST(Table1[[#This Row],[Birthweight Z-Score]],TRUE)*100,"")</f>
        <v/>
      </c>
      <c r="K6124" s="7" t="str">
        <f>IF(Table1[[#This Row],[Is Data Valid]]=TRUE,_xlfn.NORM.S.DIST(Table1[[#This Row],[Birthweight Z-Score (BW-10%)]],TRUE)*100,"")</f>
        <v/>
      </c>
      <c r="L6124" s="7" t="str">
        <f>IF(Table1[[#This Row],[Is Data Valid]]=TRUE,_xlfn.NORM.S.DIST(Table1[[#This Row],[Birthweight Z-Score (BW+10%)]],TRUE)*100,"")</f>
        <v/>
      </c>
    </row>
    <row r="6125" spans="1:12" x14ac:dyDescent="0.35">
      <c r="A6125" s="3"/>
      <c r="B6125" s="2"/>
      <c r="C6125" s="2"/>
      <c r="D6125" s="2" t="b">
        <f>IF(AND(NOT(ISBLANK(Table1[[#This Row],[Fetal Sex (Male, Female or Unknown)]])),ISNUMBER(Table1[[#This Row],[Birthweight (grams)]]),ISNUMBER(Table1[[#This Row],[Gestation (days)]])),TRUE,FALSE)</f>
        <v>0</v>
      </c>
      <c r="E6125" s="2" t="str">
        <f>IF(Table1[[#This Row],[Is Data Valid]]=TRUE,IF(Table1[[#This Row],[Fetal Sex (Male, Female or Unknown)]]="Male",Backend!$C$6,IF(Table1[[#This Row],[Fetal Sex (Male, Female or Unknown)]]="Female",Backend!$C$7,IF(Table1[[#This Row],[Fetal Sex (Male, Female or Unknown)]]="Unknown",Backend!$C$8,"Error"))),"")</f>
        <v/>
      </c>
      <c r="F6125" s="8" t="str">
        <f>IF(Table1[[#This Row],[Is Data Valid]]=TRUE,EXP(0.578+0.332*((Table1[[#This Row],[Gestation (days)]]+0.5)/7)-0.00354*((Table1[[#This Row],[Gestation (days)]]+0.5)/7)^2)*Table1[[#This Row],[BW40_3705]],"")</f>
        <v/>
      </c>
      <c r="G6125" s="2" t="str">
        <f>IF(Table1[[#This Row],[Is Data Valid]]=TRUE,((Table1[[#This Row],[Birthweight (grams)]]/Table1[[#This Row],[BW_GA]])-1)/(Backend!$B$4/100*Table1[[#This Row],[BW40_3705]]),"")</f>
        <v/>
      </c>
      <c r="H6125" s="7" t="str">
        <f>IF(Table1[[#This Row],[Is Data Valid]]=TRUE,((Table1[[#This Row],[Birthweight (grams)]]*0.9/Table1[[#This Row],[BW_GA]])-1)/(Backend!$B$4/100*Table1[[#This Row],[BW40_3705]]),"")</f>
        <v/>
      </c>
      <c r="I6125" s="7" t="str">
        <f>IF(Table1[[#This Row],[Is Data Valid]]=TRUE,((Table1[[#This Row],[Birthweight (grams)]]*1.1/Table1[[#This Row],[BW_GA]])-1)/(Backend!$B$4/100*Table1[[#This Row],[BW40_3705]]),"")</f>
        <v/>
      </c>
      <c r="J6125" s="7" t="str">
        <f>IF(Table1[[#This Row],[Is Data Valid]]=TRUE,_xlfn.NORM.S.DIST(Table1[[#This Row],[Birthweight Z-Score]],TRUE)*100,"")</f>
        <v/>
      </c>
      <c r="K6125" s="7" t="str">
        <f>IF(Table1[[#This Row],[Is Data Valid]]=TRUE,_xlfn.NORM.S.DIST(Table1[[#This Row],[Birthweight Z-Score (BW-10%)]],TRUE)*100,"")</f>
        <v/>
      </c>
      <c r="L6125" s="7" t="str">
        <f>IF(Table1[[#This Row],[Is Data Valid]]=TRUE,_xlfn.NORM.S.DIST(Table1[[#This Row],[Birthweight Z-Score (BW+10%)]],TRUE)*100,"")</f>
        <v/>
      </c>
    </row>
    <row r="6126" spans="1:12" x14ac:dyDescent="0.35">
      <c r="A6126" s="3"/>
      <c r="B6126" s="2"/>
      <c r="C6126" s="2"/>
      <c r="D6126" s="2" t="b">
        <f>IF(AND(NOT(ISBLANK(Table1[[#This Row],[Fetal Sex (Male, Female or Unknown)]])),ISNUMBER(Table1[[#This Row],[Birthweight (grams)]]),ISNUMBER(Table1[[#This Row],[Gestation (days)]])),TRUE,FALSE)</f>
        <v>0</v>
      </c>
      <c r="E6126" s="2" t="str">
        <f>IF(Table1[[#This Row],[Is Data Valid]]=TRUE,IF(Table1[[#This Row],[Fetal Sex (Male, Female or Unknown)]]="Male",Backend!$C$6,IF(Table1[[#This Row],[Fetal Sex (Male, Female or Unknown)]]="Female",Backend!$C$7,IF(Table1[[#This Row],[Fetal Sex (Male, Female or Unknown)]]="Unknown",Backend!$C$8,"Error"))),"")</f>
        <v/>
      </c>
      <c r="F6126" s="8" t="str">
        <f>IF(Table1[[#This Row],[Is Data Valid]]=TRUE,EXP(0.578+0.332*((Table1[[#This Row],[Gestation (days)]]+0.5)/7)-0.00354*((Table1[[#This Row],[Gestation (days)]]+0.5)/7)^2)*Table1[[#This Row],[BW40_3705]],"")</f>
        <v/>
      </c>
      <c r="G6126" s="2" t="str">
        <f>IF(Table1[[#This Row],[Is Data Valid]]=TRUE,((Table1[[#This Row],[Birthweight (grams)]]/Table1[[#This Row],[BW_GA]])-1)/(Backend!$B$4/100*Table1[[#This Row],[BW40_3705]]),"")</f>
        <v/>
      </c>
      <c r="H6126" s="7" t="str">
        <f>IF(Table1[[#This Row],[Is Data Valid]]=TRUE,((Table1[[#This Row],[Birthweight (grams)]]*0.9/Table1[[#This Row],[BW_GA]])-1)/(Backend!$B$4/100*Table1[[#This Row],[BW40_3705]]),"")</f>
        <v/>
      </c>
      <c r="I6126" s="7" t="str">
        <f>IF(Table1[[#This Row],[Is Data Valid]]=TRUE,((Table1[[#This Row],[Birthweight (grams)]]*1.1/Table1[[#This Row],[BW_GA]])-1)/(Backend!$B$4/100*Table1[[#This Row],[BW40_3705]]),"")</f>
        <v/>
      </c>
      <c r="J6126" s="7" t="str">
        <f>IF(Table1[[#This Row],[Is Data Valid]]=TRUE,_xlfn.NORM.S.DIST(Table1[[#This Row],[Birthweight Z-Score]],TRUE)*100,"")</f>
        <v/>
      </c>
      <c r="K6126" s="7" t="str">
        <f>IF(Table1[[#This Row],[Is Data Valid]]=TRUE,_xlfn.NORM.S.DIST(Table1[[#This Row],[Birthweight Z-Score (BW-10%)]],TRUE)*100,"")</f>
        <v/>
      </c>
      <c r="L6126" s="7" t="str">
        <f>IF(Table1[[#This Row],[Is Data Valid]]=TRUE,_xlfn.NORM.S.DIST(Table1[[#This Row],[Birthweight Z-Score (BW+10%)]],TRUE)*100,"")</f>
        <v/>
      </c>
    </row>
    <row r="6127" spans="1:12" x14ac:dyDescent="0.35">
      <c r="A6127" s="3"/>
      <c r="B6127" s="2"/>
      <c r="C6127" s="2"/>
      <c r="D6127" s="2" t="b">
        <f>IF(AND(NOT(ISBLANK(Table1[[#This Row],[Fetal Sex (Male, Female or Unknown)]])),ISNUMBER(Table1[[#This Row],[Birthweight (grams)]]),ISNUMBER(Table1[[#This Row],[Gestation (days)]])),TRUE,FALSE)</f>
        <v>0</v>
      </c>
      <c r="E6127" s="2" t="str">
        <f>IF(Table1[[#This Row],[Is Data Valid]]=TRUE,IF(Table1[[#This Row],[Fetal Sex (Male, Female or Unknown)]]="Male",Backend!$C$6,IF(Table1[[#This Row],[Fetal Sex (Male, Female or Unknown)]]="Female",Backend!$C$7,IF(Table1[[#This Row],[Fetal Sex (Male, Female or Unknown)]]="Unknown",Backend!$C$8,"Error"))),"")</f>
        <v/>
      </c>
      <c r="F6127" s="8" t="str">
        <f>IF(Table1[[#This Row],[Is Data Valid]]=TRUE,EXP(0.578+0.332*((Table1[[#This Row],[Gestation (days)]]+0.5)/7)-0.00354*((Table1[[#This Row],[Gestation (days)]]+0.5)/7)^2)*Table1[[#This Row],[BW40_3705]],"")</f>
        <v/>
      </c>
      <c r="G6127" s="2" t="str">
        <f>IF(Table1[[#This Row],[Is Data Valid]]=TRUE,((Table1[[#This Row],[Birthweight (grams)]]/Table1[[#This Row],[BW_GA]])-1)/(Backend!$B$4/100*Table1[[#This Row],[BW40_3705]]),"")</f>
        <v/>
      </c>
      <c r="H6127" s="7" t="str">
        <f>IF(Table1[[#This Row],[Is Data Valid]]=TRUE,((Table1[[#This Row],[Birthweight (grams)]]*0.9/Table1[[#This Row],[BW_GA]])-1)/(Backend!$B$4/100*Table1[[#This Row],[BW40_3705]]),"")</f>
        <v/>
      </c>
      <c r="I6127" s="7" t="str">
        <f>IF(Table1[[#This Row],[Is Data Valid]]=TRUE,((Table1[[#This Row],[Birthweight (grams)]]*1.1/Table1[[#This Row],[BW_GA]])-1)/(Backend!$B$4/100*Table1[[#This Row],[BW40_3705]]),"")</f>
        <v/>
      </c>
      <c r="J6127" s="7" t="str">
        <f>IF(Table1[[#This Row],[Is Data Valid]]=TRUE,_xlfn.NORM.S.DIST(Table1[[#This Row],[Birthweight Z-Score]],TRUE)*100,"")</f>
        <v/>
      </c>
      <c r="K6127" s="7" t="str">
        <f>IF(Table1[[#This Row],[Is Data Valid]]=TRUE,_xlfn.NORM.S.DIST(Table1[[#This Row],[Birthweight Z-Score (BW-10%)]],TRUE)*100,"")</f>
        <v/>
      </c>
      <c r="L6127" s="7" t="str">
        <f>IF(Table1[[#This Row],[Is Data Valid]]=TRUE,_xlfn.NORM.S.DIST(Table1[[#This Row],[Birthweight Z-Score (BW+10%)]],TRUE)*100,"")</f>
        <v/>
      </c>
    </row>
    <row r="6128" spans="1:12" x14ac:dyDescent="0.35">
      <c r="A6128" s="3"/>
      <c r="B6128" s="2"/>
      <c r="C6128" s="2"/>
      <c r="D6128" s="2" t="b">
        <f>IF(AND(NOT(ISBLANK(Table1[[#This Row],[Fetal Sex (Male, Female or Unknown)]])),ISNUMBER(Table1[[#This Row],[Birthweight (grams)]]),ISNUMBER(Table1[[#This Row],[Gestation (days)]])),TRUE,FALSE)</f>
        <v>0</v>
      </c>
      <c r="E6128" s="2" t="str">
        <f>IF(Table1[[#This Row],[Is Data Valid]]=TRUE,IF(Table1[[#This Row],[Fetal Sex (Male, Female or Unknown)]]="Male",Backend!$C$6,IF(Table1[[#This Row],[Fetal Sex (Male, Female or Unknown)]]="Female",Backend!$C$7,IF(Table1[[#This Row],[Fetal Sex (Male, Female or Unknown)]]="Unknown",Backend!$C$8,"Error"))),"")</f>
        <v/>
      </c>
      <c r="F6128" s="8" t="str">
        <f>IF(Table1[[#This Row],[Is Data Valid]]=TRUE,EXP(0.578+0.332*((Table1[[#This Row],[Gestation (days)]]+0.5)/7)-0.00354*((Table1[[#This Row],[Gestation (days)]]+0.5)/7)^2)*Table1[[#This Row],[BW40_3705]],"")</f>
        <v/>
      </c>
      <c r="G6128" s="2" t="str">
        <f>IF(Table1[[#This Row],[Is Data Valid]]=TRUE,((Table1[[#This Row],[Birthweight (grams)]]/Table1[[#This Row],[BW_GA]])-1)/(Backend!$B$4/100*Table1[[#This Row],[BW40_3705]]),"")</f>
        <v/>
      </c>
      <c r="H6128" s="7" t="str">
        <f>IF(Table1[[#This Row],[Is Data Valid]]=TRUE,((Table1[[#This Row],[Birthweight (grams)]]*0.9/Table1[[#This Row],[BW_GA]])-1)/(Backend!$B$4/100*Table1[[#This Row],[BW40_3705]]),"")</f>
        <v/>
      </c>
      <c r="I6128" s="7" t="str">
        <f>IF(Table1[[#This Row],[Is Data Valid]]=TRUE,((Table1[[#This Row],[Birthweight (grams)]]*1.1/Table1[[#This Row],[BW_GA]])-1)/(Backend!$B$4/100*Table1[[#This Row],[BW40_3705]]),"")</f>
        <v/>
      </c>
      <c r="J6128" s="7" t="str">
        <f>IF(Table1[[#This Row],[Is Data Valid]]=TRUE,_xlfn.NORM.S.DIST(Table1[[#This Row],[Birthweight Z-Score]],TRUE)*100,"")</f>
        <v/>
      </c>
      <c r="K6128" s="7" t="str">
        <f>IF(Table1[[#This Row],[Is Data Valid]]=TRUE,_xlfn.NORM.S.DIST(Table1[[#This Row],[Birthweight Z-Score (BW-10%)]],TRUE)*100,"")</f>
        <v/>
      </c>
      <c r="L6128" s="7" t="str">
        <f>IF(Table1[[#This Row],[Is Data Valid]]=TRUE,_xlfn.NORM.S.DIST(Table1[[#This Row],[Birthweight Z-Score (BW+10%)]],TRUE)*100,"")</f>
        <v/>
      </c>
    </row>
    <row r="6129" spans="1:12" x14ac:dyDescent="0.35">
      <c r="A6129" s="3"/>
      <c r="B6129" s="2"/>
      <c r="C6129" s="2"/>
      <c r="D6129" s="2" t="b">
        <f>IF(AND(NOT(ISBLANK(Table1[[#This Row],[Fetal Sex (Male, Female or Unknown)]])),ISNUMBER(Table1[[#This Row],[Birthweight (grams)]]),ISNUMBER(Table1[[#This Row],[Gestation (days)]])),TRUE,FALSE)</f>
        <v>0</v>
      </c>
      <c r="E6129" s="2" t="str">
        <f>IF(Table1[[#This Row],[Is Data Valid]]=TRUE,IF(Table1[[#This Row],[Fetal Sex (Male, Female or Unknown)]]="Male",Backend!$C$6,IF(Table1[[#This Row],[Fetal Sex (Male, Female or Unknown)]]="Female",Backend!$C$7,IF(Table1[[#This Row],[Fetal Sex (Male, Female or Unknown)]]="Unknown",Backend!$C$8,"Error"))),"")</f>
        <v/>
      </c>
      <c r="F6129" s="8" t="str">
        <f>IF(Table1[[#This Row],[Is Data Valid]]=TRUE,EXP(0.578+0.332*((Table1[[#This Row],[Gestation (days)]]+0.5)/7)-0.00354*((Table1[[#This Row],[Gestation (days)]]+0.5)/7)^2)*Table1[[#This Row],[BW40_3705]],"")</f>
        <v/>
      </c>
      <c r="G6129" s="2" t="str">
        <f>IF(Table1[[#This Row],[Is Data Valid]]=TRUE,((Table1[[#This Row],[Birthweight (grams)]]/Table1[[#This Row],[BW_GA]])-1)/(Backend!$B$4/100*Table1[[#This Row],[BW40_3705]]),"")</f>
        <v/>
      </c>
      <c r="H6129" s="7" t="str">
        <f>IF(Table1[[#This Row],[Is Data Valid]]=TRUE,((Table1[[#This Row],[Birthweight (grams)]]*0.9/Table1[[#This Row],[BW_GA]])-1)/(Backend!$B$4/100*Table1[[#This Row],[BW40_3705]]),"")</f>
        <v/>
      </c>
      <c r="I6129" s="7" t="str">
        <f>IF(Table1[[#This Row],[Is Data Valid]]=TRUE,((Table1[[#This Row],[Birthweight (grams)]]*1.1/Table1[[#This Row],[BW_GA]])-1)/(Backend!$B$4/100*Table1[[#This Row],[BW40_3705]]),"")</f>
        <v/>
      </c>
      <c r="J6129" s="7" t="str">
        <f>IF(Table1[[#This Row],[Is Data Valid]]=TRUE,_xlfn.NORM.S.DIST(Table1[[#This Row],[Birthweight Z-Score]],TRUE)*100,"")</f>
        <v/>
      </c>
      <c r="K6129" s="7" t="str">
        <f>IF(Table1[[#This Row],[Is Data Valid]]=TRUE,_xlfn.NORM.S.DIST(Table1[[#This Row],[Birthweight Z-Score (BW-10%)]],TRUE)*100,"")</f>
        <v/>
      </c>
      <c r="L6129" s="7" t="str">
        <f>IF(Table1[[#This Row],[Is Data Valid]]=TRUE,_xlfn.NORM.S.DIST(Table1[[#This Row],[Birthweight Z-Score (BW+10%)]],TRUE)*100,"")</f>
        <v/>
      </c>
    </row>
    <row r="6130" spans="1:12" x14ac:dyDescent="0.35">
      <c r="A6130" s="3"/>
      <c r="B6130" s="2"/>
      <c r="C6130" s="2"/>
      <c r="D6130" s="2" t="b">
        <f>IF(AND(NOT(ISBLANK(Table1[[#This Row],[Fetal Sex (Male, Female or Unknown)]])),ISNUMBER(Table1[[#This Row],[Birthweight (grams)]]),ISNUMBER(Table1[[#This Row],[Gestation (days)]])),TRUE,FALSE)</f>
        <v>0</v>
      </c>
      <c r="E6130" s="2" t="str">
        <f>IF(Table1[[#This Row],[Is Data Valid]]=TRUE,IF(Table1[[#This Row],[Fetal Sex (Male, Female or Unknown)]]="Male",Backend!$C$6,IF(Table1[[#This Row],[Fetal Sex (Male, Female or Unknown)]]="Female",Backend!$C$7,IF(Table1[[#This Row],[Fetal Sex (Male, Female or Unknown)]]="Unknown",Backend!$C$8,"Error"))),"")</f>
        <v/>
      </c>
      <c r="F6130" s="8" t="str">
        <f>IF(Table1[[#This Row],[Is Data Valid]]=TRUE,EXP(0.578+0.332*((Table1[[#This Row],[Gestation (days)]]+0.5)/7)-0.00354*((Table1[[#This Row],[Gestation (days)]]+0.5)/7)^2)*Table1[[#This Row],[BW40_3705]],"")</f>
        <v/>
      </c>
      <c r="G6130" s="2" t="str">
        <f>IF(Table1[[#This Row],[Is Data Valid]]=TRUE,((Table1[[#This Row],[Birthweight (grams)]]/Table1[[#This Row],[BW_GA]])-1)/(Backend!$B$4/100*Table1[[#This Row],[BW40_3705]]),"")</f>
        <v/>
      </c>
      <c r="H6130" s="7" t="str">
        <f>IF(Table1[[#This Row],[Is Data Valid]]=TRUE,((Table1[[#This Row],[Birthweight (grams)]]*0.9/Table1[[#This Row],[BW_GA]])-1)/(Backend!$B$4/100*Table1[[#This Row],[BW40_3705]]),"")</f>
        <v/>
      </c>
      <c r="I6130" s="7" t="str">
        <f>IF(Table1[[#This Row],[Is Data Valid]]=TRUE,((Table1[[#This Row],[Birthweight (grams)]]*1.1/Table1[[#This Row],[BW_GA]])-1)/(Backend!$B$4/100*Table1[[#This Row],[BW40_3705]]),"")</f>
        <v/>
      </c>
      <c r="J6130" s="7" t="str">
        <f>IF(Table1[[#This Row],[Is Data Valid]]=TRUE,_xlfn.NORM.S.DIST(Table1[[#This Row],[Birthweight Z-Score]],TRUE)*100,"")</f>
        <v/>
      </c>
      <c r="K6130" s="7" t="str">
        <f>IF(Table1[[#This Row],[Is Data Valid]]=TRUE,_xlfn.NORM.S.DIST(Table1[[#This Row],[Birthweight Z-Score (BW-10%)]],TRUE)*100,"")</f>
        <v/>
      </c>
      <c r="L6130" s="7" t="str">
        <f>IF(Table1[[#This Row],[Is Data Valid]]=TRUE,_xlfn.NORM.S.DIST(Table1[[#This Row],[Birthweight Z-Score (BW+10%)]],TRUE)*100,"")</f>
        <v/>
      </c>
    </row>
    <row r="6131" spans="1:12" x14ac:dyDescent="0.35">
      <c r="A6131" s="3"/>
      <c r="B6131" s="2"/>
      <c r="C6131" s="2"/>
      <c r="D6131" s="2" t="b">
        <f>IF(AND(NOT(ISBLANK(Table1[[#This Row],[Fetal Sex (Male, Female or Unknown)]])),ISNUMBER(Table1[[#This Row],[Birthweight (grams)]]),ISNUMBER(Table1[[#This Row],[Gestation (days)]])),TRUE,FALSE)</f>
        <v>0</v>
      </c>
      <c r="E6131" s="2" t="str">
        <f>IF(Table1[[#This Row],[Is Data Valid]]=TRUE,IF(Table1[[#This Row],[Fetal Sex (Male, Female or Unknown)]]="Male",Backend!$C$6,IF(Table1[[#This Row],[Fetal Sex (Male, Female or Unknown)]]="Female",Backend!$C$7,IF(Table1[[#This Row],[Fetal Sex (Male, Female or Unknown)]]="Unknown",Backend!$C$8,"Error"))),"")</f>
        <v/>
      </c>
      <c r="F6131" s="8" t="str">
        <f>IF(Table1[[#This Row],[Is Data Valid]]=TRUE,EXP(0.578+0.332*((Table1[[#This Row],[Gestation (days)]]+0.5)/7)-0.00354*((Table1[[#This Row],[Gestation (days)]]+0.5)/7)^2)*Table1[[#This Row],[BW40_3705]],"")</f>
        <v/>
      </c>
      <c r="G6131" s="2" t="str">
        <f>IF(Table1[[#This Row],[Is Data Valid]]=TRUE,((Table1[[#This Row],[Birthweight (grams)]]/Table1[[#This Row],[BW_GA]])-1)/(Backend!$B$4/100*Table1[[#This Row],[BW40_3705]]),"")</f>
        <v/>
      </c>
      <c r="H6131" s="7" t="str">
        <f>IF(Table1[[#This Row],[Is Data Valid]]=TRUE,((Table1[[#This Row],[Birthweight (grams)]]*0.9/Table1[[#This Row],[BW_GA]])-1)/(Backend!$B$4/100*Table1[[#This Row],[BW40_3705]]),"")</f>
        <v/>
      </c>
      <c r="I6131" s="7" t="str">
        <f>IF(Table1[[#This Row],[Is Data Valid]]=TRUE,((Table1[[#This Row],[Birthweight (grams)]]*1.1/Table1[[#This Row],[BW_GA]])-1)/(Backend!$B$4/100*Table1[[#This Row],[BW40_3705]]),"")</f>
        <v/>
      </c>
      <c r="J6131" s="7" t="str">
        <f>IF(Table1[[#This Row],[Is Data Valid]]=TRUE,_xlfn.NORM.S.DIST(Table1[[#This Row],[Birthweight Z-Score]],TRUE)*100,"")</f>
        <v/>
      </c>
      <c r="K6131" s="7" t="str">
        <f>IF(Table1[[#This Row],[Is Data Valid]]=TRUE,_xlfn.NORM.S.DIST(Table1[[#This Row],[Birthweight Z-Score (BW-10%)]],TRUE)*100,"")</f>
        <v/>
      </c>
      <c r="L6131" s="7" t="str">
        <f>IF(Table1[[#This Row],[Is Data Valid]]=TRUE,_xlfn.NORM.S.DIST(Table1[[#This Row],[Birthweight Z-Score (BW+10%)]],TRUE)*100,"")</f>
        <v/>
      </c>
    </row>
    <row r="6132" spans="1:12" x14ac:dyDescent="0.35">
      <c r="A6132" s="3"/>
      <c r="B6132" s="2"/>
      <c r="C6132" s="2"/>
      <c r="D6132" s="2" t="b">
        <f>IF(AND(NOT(ISBLANK(Table1[[#This Row],[Fetal Sex (Male, Female or Unknown)]])),ISNUMBER(Table1[[#This Row],[Birthweight (grams)]]),ISNUMBER(Table1[[#This Row],[Gestation (days)]])),TRUE,FALSE)</f>
        <v>0</v>
      </c>
      <c r="E6132" s="2" t="str">
        <f>IF(Table1[[#This Row],[Is Data Valid]]=TRUE,IF(Table1[[#This Row],[Fetal Sex (Male, Female or Unknown)]]="Male",Backend!$C$6,IF(Table1[[#This Row],[Fetal Sex (Male, Female or Unknown)]]="Female",Backend!$C$7,IF(Table1[[#This Row],[Fetal Sex (Male, Female or Unknown)]]="Unknown",Backend!$C$8,"Error"))),"")</f>
        <v/>
      </c>
      <c r="F6132" s="8" t="str">
        <f>IF(Table1[[#This Row],[Is Data Valid]]=TRUE,EXP(0.578+0.332*((Table1[[#This Row],[Gestation (days)]]+0.5)/7)-0.00354*((Table1[[#This Row],[Gestation (days)]]+0.5)/7)^2)*Table1[[#This Row],[BW40_3705]],"")</f>
        <v/>
      </c>
      <c r="G6132" s="2" t="str">
        <f>IF(Table1[[#This Row],[Is Data Valid]]=TRUE,((Table1[[#This Row],[Birthweight (grams)]]/Table1[[#This Row],[BW_GA]])-1)/(Backend!$B$4/100*Table1[[#This Row],[BW40_3705]]),"")</f>
        <v/>
      </c>
      <c r="H6132" s="7" t="str">
        <f>IF(Table1[[#This Row],[Is Data Valid]]=TRUE,((Table1[[#This Row],[Birthweight (grams)]]*0.9/Table1[[#This Row],[BW_GA]])-1)/(Backend!$B$4/100*Table1[[#This Row],[BW40_3705]]),"")</f>
        <v/>
      </c>
      <c r="I6132" s="7" t="str">
        <f>IF(Table1[[#This Row],[Is Data Valid]]=TRUE,((Table1[[#This Row],[Birthweight (grams)]]*1.1/Table1[[#This Row],[BW_GA]])-1)/(Backend!$B$4/100*Table1[[#This Row],[BW40_3705]]),"")</f>
        <v/>
      </c>
      <c r="J6132" s="7" t="str">
        <f>IF(Table1[[#This Row],[Is Data Valid]]=TRUE,_xlfn.NORM.S.DIST(Table1[[#This Row],[Birthweight Z-Score]],TRUE)*100,"")</f>
        <v/>
      </c>
      <c r="K6132" s="7" t="str">
        <f>IF(Table1[[#This Row],[Is Data Valid]]=TRUE,_xlfn.NORM.S.DIST(Table1[[#This Row],[Birthweight Z-Score (BW-10%)]],TRUE)*100,"")</f>
        <v/>
      </c>
      <c r="L6132" s="7" t="str">
        <f>IF(Table1[[#This Row],[Is Data Valid]]=TRUE,_xlfn.NORM.S.DIST(Table1[[#This Row],[Birthweight Z-Score (BW+10%)]],TRUE)*100,"")</f>
        <v/>
      </c>
    </row>
    <row r="6133" spans="1:12" x14ac:dyDescent="0.35">
      <c r="A6133" s="3"/>
      <c r="B6133" s="2"/>
      <c r="C6133" s="2"/>
      <c r="D6133" s="2" t="b">
        <f>IF(AND(NOT(ISBLANK(Table1[[#This Row],[Fetal Sex (Male, Female or Unknown)]])),ISNUMBER(Table1[[#This Row],[Birthweight (grams)]]),ISNUMBER(Table1[[#This Row],[Gestation (days)]])),TRUE,FALSE)</f>
        <v>0</v>
      </c>
      <c r="E6133" s="2" t="str">
        <f>IF(Table1[[#This Row],[Is Data Valid]]=TRUE,IF(Table1[[#This Row],[Fetal Sex (Male, Female or Unknown)]]="Male",Backend!$C$6,IF(Table1[[#This Row],[Fetal Sex (Male, Female or Unknown)]]="Female",Backend!$C$7,IF(Table1[[#This Row],[Fetal Sex (Male, Female or Unknown)]]="Unknown",Backend!$C$8,"Error"))),"")</f>
        <v/>
      </c>
      <c r="F6133" s="8" t="str">
        <f>IF(Table1[[#This Row],[Is Data Valid]]=TRUE,EXP(0.578+0.332*((Table1[[#This Row],[Gestation (days)]]+0.5)/7)-0.00354*((Table1[[#This Row],[Gestation (days)]]+0.5)/7)^2)*Table1[[#This Row],[BW40_3705]],"")</f>
        <v/>
      </c>
      <c r="G6133" s="2" t="str">
        <f>IF(Table1[[#This Row],[Is Data Valid]]=TRUE,((Table1[[#This Row],[Birthweight (grams)]]/Table1[[#This Row],[BW_GA]])-1)/(Backend!$B$4/100*Table1[[#This Row],[BW40_3705]]),"")</f>
        <v/>
      </c>
      <c r="H6133" s="7" t="str">
        <f>IF(Table1[[#This Row],[Is Data Valid]]=TRUE,((Table1[[#This Row],[Birthweight (grams)]]*0.9/Table1[[#This Row],[BW_GA]])-1)/(Backend!$B$4/100*Table1[[#This Row],[BW40_3705]]),"")</f>
        <v/>
      </c>
      <c r="I6133" s="7" t="str">
        <f>IF(Table1[[#This Row],[Is Data Valid]]=TRUE,((Table1[[#This Row],[Birthweight (grams)]]*1.1/Table1[[#This Row],[BW_GA]])-1)/(Backend!$B$4/100*Table1[[#This Row],[BW40_3705]]),"")</f>
        <v/>
      </c>
      <c r="J6133" s="7" t="str">
        <f>IF(Table1[[#This Row],[Is Data Valid]]=TRUE,_xlfn.NORM.S.DIST(Table1[[#This Row],[Birthweight Z-Score]],TRUE)*100,"")</f>
        <v/>
      </c>
      <c r="K6133" s="7" t="str">
        <f>IF(Table1[[#This Row],[Is Data Valid]]=TRUE,_xlfn.NORM.S.DIST(Table1[[#This Row],[Birthweight Z-Score (BW-10%)]],TRUE)*100,"")</f>
        <v/>
      </c>
      <c r="L6133" s="7" t="str">
        <f>IF(Table1[[#This Row],[Is Data Valid]]=TRUE,_xlfn.NORM.S.DIST(Table1[[#This Row],[Birthweight Z-Score (BW+10%)]],TRUE)*100,"")</f>
        <v/>
      </c>
    </row>
    <row r="6134" spans="1:12" x14ac:dyDescent="0.35">
      <c r="A6134" s="3"/>
      <c r="B6134" s="2"/>
      <c r="C6134" s="2"/>
      <c r="D6134" s="2" t="b">
        <f>IF(AND(NOT(ISBLANK(Table1[[#This Row],[Fetal Sex (Male, Female or Unknown)]])),ISNUMBER(Table1[[#This Row],[Birthweight (grams)]]),ISNUMBER(Table1[[#This Row],[Gestation (days)]])),TRUE,FALSE)</f>
        <v>0</v>
      </c>
      <c r="E6134" s="2" t="str">
        <f>IF(Table1[[#This Row],[Is Data Valid]]=TRUE,IF(Table1[[#This Row],[Fetal Sex (Male, Female or Unknown)]]="Male",Backend!$C$6,IF(Table1[[#This Row],[Fetal Sex (Male, Female or Unknown)]]="Female",Backend!$C$7,IF(Table1[[#This Row],[Fetal Sex (Male, Female or Unknown)]]="Unknown",Backend!$C$8,"Error"))),"")</f>
        <v/>
      </c>
      <c r="F6134" s="8" t="str">
        <f>IF(Table1[[#This Row],[Is Data Valid]]=TRUE,EXP(0.578+0.332*((Table1[[#This Row],[Gestation (days)]]+0.5)/7)-0.00354*((Table1[[#This Row],[Gestation (days)]]+0.5)/7)^2)*Table1[[#This Row],[BW40_3705]],"")</f>
        <v/>
      </c>
      <c r="G6134" s="2" t="str">
        <f>IF(Table1[[#This Row],[Is Data Valid]]=TRUE,((Table1[[#This Row],[Birthweight (grams)]]/Table1[[#This Row],[BW_GA]])-1)/(Backend!$B$4/100*Table1[[#This Row],[BW40_3705]]),"")</f>
        <v/>
      </c>
      <c r="H6134" s="7" t="str">
        <f>IF(Table1[[#This Row],[Is Data Valid]]=TRUE,((Table1[[#This Row],[Birthweight (grams)]]*0.9/Table1[[#This Row],[BW_GA]])-1)/(Backend!$B$4/100*Table1[[#This Row],[BW40_3705]]),"")</f>
        <v/>
      </c>
      <c r="I6134" s="7" t="str">
        <f>IF(Table1[[#This Row],[Is Data Valid]]=TRUE,((Table1[[#This Row],[Birthweight (grams)]]*1.1/Table1[[#This Row],[BW_GA]])-1)/(Backend!$B$4/100*Table1[[#This Row],[BW40_3705]]),"")</f>
        <v/>
      </c>
      <c r="J6134" s="7" t="str">
        <f>IF(Table1[[#This Row],[Is Data Valid]]=TRUE,_xlfn.NORM.S.DIST(Table1[[#This Row],[Birthweight Z-Score]],TRUE)*100,"")</f>
        <v/>
      </c>
      <c r="K6134" s="7" t="str">
        <f>IF(Table1[[#This Row],[Is Data Valid]]=TRUE,_xlfn.NORM.S.DIST(Table1[[#This Row],[Birthweight Z-Score (BW-10%)]],TRUE)*100,"")</f>
        <v/>
      </c>
      <c r="L6134" s="7" t="str">
        <f>IF(Table1[[#This Row],[Is Data Valid]]=TRUE,_xlfn.NORM.S.DIST(Table1[[#This Row],[Birthweight Z-Score (BW+10%)]],TRUE)*100,"")</f>
        <v/>
      </c>
    </row>
    <row r="6135" spans="1:12" x14ac:dyDescent="0.35">
      <c r="A6135" s="3"/>
      <c r="B6135" s="2"/>
      <c r="C6135" s="2"/>
      <c r="D6135" s="2" t="b">
        <f>IF(AND(NOT(ISBLANK(Table1[[#This Row],[Fetal Sex (Male, Female or Unknown)]])),ISNUMBER(Table1[[#This Row],[Birthweight (grams)]]),ISNUMBER(Table1[[#This Row],[Gestation (days)]])),TRUE,FALSE)</f>
        <v>0</v>
      </c>
      <c r="E6135" s="2" t="str">
        <f>IF(Table1[[#This Row],[Is Data Valid]]=TRUE,IF(Table1[[#This Row],[Fetal Sex (Male, Female or Unknown)]]="Male",Backend!$C$6,IF(Table1[[#This Row],[Fetal Sex (Male, Female or Unknown)]]="Female",Backend!$C$7,IF(Table1[[#This Row],[Fetal Sex (Male, Female or Unknown)]]="Unknown",Backend!$C$8,"Error"))),"")</f>
        <v/>
      </c>
      <c r="F6135" s="8" t="str">
        <f>IF(Table1[[#This Row],[Is Data Valid]]=TRUE,EXP(0.578+0.332*((Table1[[#This Row],[Gestation (days)]]+0.5)/7)-0.00354*((Table1[[#This Row],[Gestation (days)]]+0.5)/7)^2)*Table1[[#This Row],[BW40_3705]],"")</f>
        <v/>
      </c>
      <c r="G6135" s="2" t="str">
        <f>IF(Table1[[#This Row],[Is Data Valid]]=TRUE,((Table1[[#This Row],[Birthweight (grams)]]/Table1[[#This Row],[BW_GA]])-1)/(Backend!$B$4/100*Table1[[#This Row],[BW40_3705]]),"")</f>
        <v/>
      </c>
      <c r="H6135" s="7" t="str">
        <f>IF(Table1[[#This Row],[Is Data Valid]]=TRUE,((Table1[[#This Row],[Birthweight (grams)]]*0.9/Table1[[#This Row],[BW_GA]])-1)/(Backend!$B$4/100*Table1[[#This Row],[BW40_3705]]),"")</f>
        <v/>
      </c>
      <c r="I6135" s="7" t="str">
        <f>IF(Table1[[#This Row],[Is Data Valid]]=TRUE,((Table1[[#This Row],[Birthweight (grams)]]*1.1/Table1[[#This Row],[BW_GA]])-1)/(Backend!$B$4/100*Table1[[#This Row],[BW40_3705]]),"")</f>
        <v/>
      </c>
      <c r="J6135" s="7" t="str">
        <f>IF(Table1[[#This Row],[Is Data Valid]]=TRUE,_xlfn.NORM.S.DIST(Table1[[#This Row],[Birthweight Z-Score]],TRUE)*100,"")</f>
        <v/>
      </c>
      <c r="K6135" s="7" t="str">
        <f>IF(Table1[[#This Row],[Is Data Valid]]=TRUE,_xlfn.NORM.S.DIST(Table1[[#This Row],[Birthweight Z-Score (BW-10%)]],TRUE)*100,"")</f>
        <v/>
      </c>
      <c r="L6135" s="7" t="str">
        <f>IF(Table1[[#This Row],[Is Data Valid]]=TRUE,_xlfn.NORM.S.DIST(Table1[[#This Row],[Birthweight Z-Score (BW+10%)]],TRUE)*100,"")</f>
        <v/>
      </c>
    </row>
    <row r="6136" spans="1:12" x14ac:dyDescent="0.35">
      <c r="A6136" s="3"/>
      <c r="B6136" s="2"/>
      <c r="C6136" s="2"/>
      <c r="D6136" s="2" t="b">
        <f>IF(AND(NOT(ISBLANK(Table1[[#This Row],[Fetal Sex (Male, Female or Unknown)]])),ISNUMBER(Table1[[#This Row],[Birthweight (grams)]]),ISNUMBER(Table1[[#This Row],[Gestation (days)]])),TRUE,FALSE)</f>
        <v>0</v>
      </c>
      <c r="E6136" s="2" t="str">
        <f>IF(Table1[[#This Row],[Is Data Valid]]=TRUE,IF(Table1[[#This Row],[Fetal Sex (Male, Female or Unknown)]]="Male",Backend!$C$6,IF(Table1[[#This Row],[Fetal Sex (Male, Female or Unknown)]]="Female",Backend!$C$7,IF(Table1[[#This Row],[Fetal Sex (Male, Female or Unknown)]]="Unknown",Backend!$C$8,"Error"))),"")</f>
        <v/>
      </c>
      <c r="F6136" s="8" t="str">
        <f>IF(Table1[[#This Row],[Is Data Valid]]=TRUE,EXP(0.578+0.332*((Table1[[#This Row],[Gestation (days)]]+0.5)/7)-0.00354*((Table1[[#This Row],[Gestation (days)]]+0.5)/7)^2)*Table1[[#This Row],[BW40_3705]],"")</f>
        <v/>
      </c>
      <c r="G6136" s="2" t="str">
        <f>IF(Table1[[#This Row],[Is Data Valid]]=TRUE,((Table1[[#This Row],[Birthweight (grams)]]/Table1[[#This Row],[BW_GA]])-1)/(Backend!$B$4/100*Table1[[#This Row],[BW40_3705]]),"")</f>
        <v/>
      </c>
      <c r="H6136" s="7" t="str">
        <f>IF(Table1[[#This Row],[Is Data Valid]]=TRUE,((Table1[[#This Row],[Birthweight (grams)]]*0.9/Table1[[#This Row],[BW_GA]])-1)/(Backend!$B$4/100*Table1[[#This Row],[BW40_3705]]),"")</f>
        <v/>
      </c>
      <c r="I6136" s="7" t="str">
        <f>IF(Table1[[#This Row],[Is Data Valid]]=TRUE,((Table1[[#This Row],[Birthweight (grams)]]*1.1/Table1[[#This Row],[BW_GA]])-1)/(Backend!$B$4/100*Table1[[#This Row],[BW40_3705]]),"")</f>
        <v/>
      </c>
      <c r="J6136" s="7" t="str">
        <f>IF(Table1[[#This Row],[Is Data Valid]]=TRUE,_xlfn.NORM.S.DIST(Table1[[#This Row],[Birthweight Z-Score]],TRUE)*100,"")</f>
        <v/>
      </c>
      <c r="K6136" s="7" t="str">
        <f>IF(Table1[[#This Row],[Is Data Valid]]=TRUE,_xlfn.NORM.S.DIST(Table1[[#This Row],[Birthweight Z-Score (BW-10%)]],TRUE)*100,"")</f>
        <v/>
      </c>
      <c r="L6136" s="7" t="str">
        <f>IF(Table1[[#This Row],[Is Data Valid]]=TRUE,_xlfn.NORM.S.DIST(Table1[[#This Row],[Birthweight Z-Score (BW+10%)]],TRUE)*100,"")</f>
        <v/>
      </c>
    </row>
    <row r="6137" spans="1:12" x14ac:dyDescent="0.35">
      <c r="A6137" s="3"/>
      <c r="B6137" s="2"/>
      <c r="C6137" s="2"/>
      <c r="D6137" s="2" t="b">
        <f>IF(AND(NOT(ISBLANK(Table1[[#This Row],[Fetal Sex (Male, Female or Unknown)]])),ISNUMBER(Table1[[#This Row],[Birthweight (grams)]]),ISNUMBER(Table1[[#This Row],[Gestation (days)]])),TRUE,FALSE)</f>
        <v>0</v>
      </c>
      <c r="E6137" s="2" t="str">
        <f>IF(Table1[[#This Row],[Is Data Valid]]=TRUE,IF(Table1[[#This Row],[Fetal Sex (Male, Female or Unknown)]]="Male",Backend!$C$6,IF(Table1[[#This Row],[Fetal Sex (Male, Female or Unknown)]]="Female",Backend!$C$7,IF(Table1[[#This Row],[Fetal Sex (Male, Female or Unknown)]]="Unknown",Backend!$C$8,"Error"))),"")</f>
        <v/>
      </c>
      <c r="F6137" s="8" t="str">
        <f>IF(Table1[[#This Row],[Is Data Valid]]=TRUE,EXP(0.578+0.332*((Table1[[#This Row],[Gestation (days)]]+0.5)/7)-0.00354*((Table1[[#This Row],[Gestation (days)]]+0.5)/7)^2)*Table1[[#This Row],[BW40_3705]],"")</f>
        <v/>
      </c>
      <c r="G6137" s="2" t="str">
        <f>IF(Table1[[#This Row],[Is Data Valid]]=TRUE,((Table1[[#This Row],[Birthweight (grams)]]/Table1[[#This Row],[BW_GA]])-1)/(Backend!$B$4/100*Table1[[#This Row],[BW40_3705]]),"")</f>
        <v/>
      </c>
      <c r="H6137" s="7" t="str">
        <f>IF(Table1[[#This Row],[Is Data Valid]]=TRUE,((Table1[[#This Row],[Birthweight (grams)]]*0.9/Table1[[#This Row],[BW_GA]])-1)/(Backend!$B$4/100*Table1[[#This Row],[BW40_3705]]),"")</f>
        <v/>
      </c>
      <c r="I6137" s="7" t="str">
        <f>IF(Table1[[#This Row],[Is Data Valid]]=TRUE,((Table1[[#This Row],[Birthweight (grams)]]*1.1/Table1[[#This Row],[BW_GA]])-1)/(Backend!$B$4/100*Table1[[#This Row],[BW40_3705]]),"")</f>
        <v/>
      </c>
      <c r="J6137" s="7" t="str">
        <f>IF(Table1[[#This Row],[Is Data Valid]]=TRUE,_xlfn.NORM.S.DIST(Table1[[#This Row],[Birthweight Z-Score]],TRUE)*100,"")</f>
        <v/>
      </c>
      <c r="K6137" s="7" t="str">
        <f>IF(Table1[[#This Row],[Is Data Valid]]=TRUE,_xlfn.NORM.S.DIST(Table1[[#This Row],[Birthweight Z-Score (BW-10%)]],TRUE)*100,"")</f>
        <v/>
      </c>
      <c r="L6137" s="7" t="str">
        <f>IF(Table1[[#This Row],[Is Data Valid]]=TRUE,_xlfn.NORM.S.DIST(Table1[[#This Row],[Birthweight Z-Score (BW+10%)]],TRUE)*100,"")</f>
        <v/>
      </c>
    </row>
    <row r="6138" spans="1:12" x14ac:dyDescent="0.35">
      <c r="A6138" s="3"/>
      <c r="B6138" s="2"/>
      <c r="C6138" s="2"/>
      <c r="D6138" s="2" t="b">
        <f>IF(AND(NOT(ISBLANK(Table1[[#This Row],[Fetal Sex (Male, Female or Unknown)]])),ISNUMBER(Table1[[#This Row],[Birthweight (grams)]]),ISNUMBER(Table1[[#This Row],[Gestation (days)]])),TRUE,FALSE)</f>
        <v>0</v>
      </c>
      <c r="E6138" s="2" t="str">
        <f>IF(Table1[[#This Row],[Is Data Valid]]=TRUE,IF(Table1[[#This Row],[Fetal Sex (Male, Female or Unknown)]]="Male",Backend!$C$6,IF(Table1[[#This Row],[Fetal Sex (Male, Female or Unknown)]]="Female",Backend!$C$7,IF(Table1[[#This Row],[Fetal Sex (Male, Female or Unknown)]]="Unknown",Backend!$C$8,"Error"))),"")</f>
        <v/>
      </c>
      <c r="F6138" s="8" t="str">
        <f>IF(Table1[[#This Row],[Is Data Valid]]=TRUE,EXP(0.578+0.332*((Table1[[#This Row],[Gestation (days)]]+0.5)/7)-0.00354*((Table1[[#This Row],[Gestation (days)]]+0.5)/7)^2)*Table1[[#This Row],[BW40_3705]],"")</f>
        <v/>
      </c>
      <c r="G6138" s="2" t="str">
        <f>IF(Table1[[#This Row],[Is Data Valid]]=TRUE,((Table1[[#This Row],[Birthweight (grams)]]/Table1[[#This Row],[BW_GA]])-1)/(Backend!$B$4/100*Table1[[#This Row],[BW40_3705]]),"")</f>
        <v/>
      </c>
      <c r="H6138" s="7" t="str">
        <f>IF(Table1[[#This Row],[Is Data Valid]]=TRUE,((Table1[[#This Row],[Birthweight (grams)]]*0.9/Table1[[#This Row],[BW_GA]])-1)/(Backend!$B$4/100*Table1[[#This Row],[BW40_3705]]),"")</f>
        <v/>
      </c>
      <c r="I6138" s="7" t="str">
        <f>IF(Table1[[#This Row],[Is Data Valid]]=TRUE,((Table1[[#This Row],[Birthweight (grams)]]*1.1/Table1[[#This Row],[BW_GA]])-1)/(Backend!$B$4/100*Table1[[#This Row],[BW40_3705]]),"")</f>
        <v/>
      </c>
      <c r="J6138" s="7" t="str">
        <f>IF(Table1[[#This Row],[Is Data Valid]]=TRUE,_xlfn.NORM.S.DIST(Table1[[#This Row],[Birthweight Z-Score]],TRUE)*100,"")</f>
        <v/>
      </c>
      <c r="K6138" s="7" t="str">
        <f>IF(Table1[[#This Row],[Is Data Valid]]=TRUE,_xlfn.NORM.S.DIST(Table1[[#This Row],[Birthweight Z-Score (BW-10%)]],TRUE)*100,"")</f>
        <v/>
      </c>
      <c r="L6138" s="7" t="str">
        <f>IF(Table1[[#This Row],[Is Data Valid]]=TRUE,_xlfn.NORM.S.DIST(Table1[[#This Row],[Birthweight Z-Score (BW+10%)]],TRUE)*100,"")</f>
        <v/>
      </c>
    </row>
    <row r="6139" spans="1:12" x14ac:dyDescent="0.35">
      <c r="A6139" s="3"/>
      <c r="B6139" s="2"/>
      <c r="C6139" s="2"/>
      <c r="D6139" s="2" t="b">
        <f>IF(AND(NOT(ISBLANK(Table1[[#This Row],[Fetal Sex (Male, Female or Unknown)]])),ISNUMBER(Table1[[#This Row],[Birthweight (grams)]]),ISNUMBER(Table1[[#This Row],[Gestation (days)]])),TRUE,FALSE)</f>
        <v>0</v>
      </c>
      <c r="E6139" s="2" t="str">
        <f>IF(Table1[[#This Row],[Is Data Valid]]=TRUE,IF(Table1[[#This Row],[Fetal Sex (Male, Female or Unknown)]]="Male",Backend!$C$6,IF(Table1[[#This Row],[Fetal Sex (Male, Female or Unknown)]]="Female",Backend!$C$7,IF(Table1[[#This Row],[Fetal Sex (Male, Female or Unknown)]]="Unknown",Backend!$C$8,"Error"))),"")</f>
        <v/>
      </c>
      <c r="F6139" s="8" t="str">
        <f>IF(Table1[[#This Row],[Is Data Valid]]=TRUE,EXP(0.578+0.332*((Table1[[#This Row],[Gestation (days)]]+0.5)/7)-0.00354*((Table1[[#This Row],[Gestation (days)]]+0.5)/7)^2)*Table1[[#This Row],[BW40_3705]],"")</f>
        <v/>
      </c>
      <c r="G6139" s="2" t="str">
        <f>IF(Table1[[#This Row],[Is Data Valid]]=TRUE,((Table1[[#This Row],[Birthweight (grams)]]/Table1[[#This Row],[BW_GA]])-1)/(Backend!$B$4/100*Table1[[#This Row],[BW40_3705]]),"")</f>
        <v/>
      </c>
      <c r="H6139" s="7" t="str">
        <f>IF(Table1[[#This Row],[Is Data Valid]]=TRUE,((Table1[[#This Row],[Birthweight (grams)]]*0.9/Table1[[#This Row],[BW_GA]])-1)/(Backend!$B$4/100*Table1[[#This Row],[BW40_3705]]),"")</f>
        <v/>
      </c>
      <c r="I6139" s="7" t="str">
        <f>IF(Table1[[#This Row],[Is Data Valid]]=TRUE,((Table1[[#This Row],[Birthweight (grams)]]*1.1/Table1[[#This Row],[BW_GA]])-1)/(Backend!$B$4/100*Table1[[#This Row],[BW40_3705]]),"")</f>
        <v/>
      </c>
      <c r="J6139" s="7" t="str">
        <f>IF(Table1[[#This Row],[Is Data Valid]]=TRUE,_xlfn.NORM.S.DIST(Table1[[#This Row],[Birthweight Z-Score]],TRUE)*100,"")</f>
        <v/>
      </c>
      <c r="K6139" s="7" t="str">
        <f>IF(Table1[[#This Row],[Is Data Valid]]=TRUE,_xlfn.NORM.S.DIST(Table1[[#This Row],[Birthweight Z-Score (BW-10%)]],TRUE)*100,"")</f>
        <v/>
      </c>
      <c r="L6139" s="7" t="str">
        <f>IF(Table1[[#This Row],[Is Data Valid]]=TRUE,_xlfn.NORM.S.DIST(Table1[[#This Row],[Birthweight Z-Score (BW+10%)]],TRUE)*100,"")</f>
        <v/>
      </c>
    </row>
    <row r="6140" spans="1:12" x14ac:dyDescent="0.35">
      <c r="A6140" s="3"/>
      <c r="B6140" s="2"/>
      <c r="C6140" s="2"/>
      <c r="D6140" s="2" t="b">
        <f>IF(AND(NOT(ISBLANK(Table1[[#This Row],[Fetal Sex (Male, Female or Unknown)]])),ISNUMBER(Table1[[#This Row],[Birthweight (grams)]]),ISNUMBER(Table1[[#This Row],[Gestation (days)]])),TRUE,FALSE)</f>
        <v>0</v>
      </c>
      <c r="E6140" s="2" t="str">
        <f>IF(Table1[[#This Row],[Is Data Valid]]=TRUE,IF(Table1[[#This Row],[Fetal Sex (Male, Female or Unknown)]]="Male",Backend!$C$6,IF(Table1[[#This Row],[Fetal Sex (Male, Female or Unknown)]]="Female",Backend!$C$7,IF(Table1[[#This Row],[Fetal Sex (Male, Female or Unknown)]]="Unknown",Backend!$C$8,"Error"))),"")</f>
        <v/>
      </c>
      <c r="F6140" s="8" t="str">
        <f>IF(Table1[[#This Row],[Is Data Valid]]=TRUE,EXP(0.578+0.332*((Table1[[#This Row],[Gestation (days)]]+0.5)/7)-0.00354*((Table1[[#This Row],[Gestation (days)]]+0.5)/7)^2)*Table1[[#This Row],[BW40_3705]],"")</f>
        <v/>
      </c>
      <c r="G6140" s="2" t="str">
        <f>IF(Table1[[#This Row],[Is Data Valid]]=TRUE,((Table1[[#This Row],[Birthweight (grams)]]/Table1[[#This Row],[BW_GA]])-1)/(Backend!$B$4/100*Table1[[#This Row],[BW40_3705]]),"")</f>
        <v/>
      </c>
      <c r="H6140" s="7" t="str">
        <f>IF(Table1[[#This Row],[Is Data Valid]]=TRUE,((Table1[[#This Row],[Birthweight (grams)]]*0.9/Table1[[#This Row],[BW_GA]])-1)/(Backend!$B$4/100*Table1[[#This Row],[BW40_3705]]),"")</f>
        <v/>
      </c>
      <c r="I6140" s="7" t="str">
        <f>IF(Table1[[#This Row],[Is Data Valid]]=TRUE,((Table1[[#This Row],[Birthweight (grams)]]*1.1/Table1[[#This Row],[BW_GA]])-1)/(Backend!$B$4/100*Table1[[#This Row],[BW40_3705]]),"")</f>
        <v/>
      </c>
      <c r="J6140" s="7" t="str">
        <f>IF(Table1[[#This Row],[Is Data Valid]]=TRUE,_xlfn.NORM.S.DIST(Table1[[#This Row],[Birthweight Z-Score]],TRUE)*100,"")</f>
        <v/>
      </c>
      <c r="K6140" s="7" t="str">
        <f>IF(Table1[[#This Row],[Is Data Valid]]=TRUE,_xlfn.NORM.S.DIST(Table1[[#This Row],[Birthweight Z-Score (BW-10%)]],TRUE)*100,"")</f>
        <v/>
      </c>
      <c r="L6140" s="7" t="str">
        <f>IF(Table1[[#This Row],[Is Data Valid]]=TRUE,_xlfn.NORM.S.DIST(Table1[[#This Row],[Birthweight Z-Score (BW+10%)]],TRUE)*100,"")</f>
        <v/>
      </c>
    </row>
    <row r="6141" spans="1:12" x14ac:dyDescent="0.35">
      <c r="A6141" s="3"/>
      <c r="B6141" s="2"/>
      <c r="C6141" s="2"/>
      <c r="D6141" s="2" t="b">
        <f>IF(AND(NOT(ISBLANK(Table1[[#This Row],[Fetal Sex (Male, Female or Unknown)]])),ISNUMBER(Table1[[#This Row],[Birthweight (grams)]]),ISNUMBER(Table1[[#This Row],[Gestation (days)]])),TRUE,FALSE)</f>
        <v>0</v>
      </c>
      <c r="E6141" s="2" t="str">
        <f>IF(Table1[[#This Row],[Is Data Valid]]=TRUE,IF(Table1[[#This Row],[Fetal Sex (Male, Female or Unknown)]]="Male",Backend!$C$6,IF(Table1[[#This Row],[Fetal Sex (Male, Female or Unknown)]]="Female",Backend!$C$7,IF(Table1[[#This Row],[Fetal Sex (Male, Female or Unknown)]]="Unknown",Backend!$C$8,"Error"))),"")</f>
        <v/>
      </c>
      <c r="F6141" s="8" t="str">
        <f>IF(Table1[[#This Row],[Is Data Valid]]=TRUE,EXP(0.578+0.332*((Table1[[#This Row],[Gestation (days)]]+0.5)/7)-0.00354*((Table1[[#This Row],[Gestation (days)]]+0.5)/7)^2)*Table1[[#This Row],[BW40_3705]],"")</f>
        <v/>
      </c>
      <c r="G6141" s="2" t="str">
        <f>IF(Table1[[#This Row],[Is Data Valid]]=TRUE,((Table1[[#This Row],[Birthweight (grams)]]/Table1[[#This Row],[BW_GA]])-1)/(Backend!$B$4/100*Table1[[#This Row],[BW40_3705]]),"")</f>
        <v/>
      </c>
      <c r="H6141" s="7" t="str">
        <f>IF(Table1[[#This Row],[Is Data Valid]]=TRUE,((Table1[[#This Row],[Birthweight (grams)]]*0.9/Table1[[#This Row],[BW_GA]])-1)/(Backend!$B$4/100*Table1[[#This Row],[BW40_3705]]),"")</f>
        <v/>
      </c>
      <c r="I6141" s="7" t="str">
        <f>IF(Table1[[#This Row],[Is Data Valid]]=TRUE,((Table1[[#This Row],[Birthweight (grams)]]*1.1/Table1[[#This Row],[BW_GA]])-1)/(Backend!$B$4/100*Table1[[#This Row],[BW40_3705]]),"")</f>
        <v/>
      </c>
      <c r="J6141" s="7" t="str">
        <f>IF(Table1[[#This Row],[Is Data Valid]]=TRUE,_xlfn.NORM.S.DIST(Table1[[#This Row],[Birthweight Z-Score]],TRUE)*100,"")</f>
        <v/>
      </c>
      <c r="K6141" s="7" t="str">
        <f>IF(Table1[[#This Row],[Is Data Valid]]=TRUE,_xlfn.NORM.S.DIST(Table1[[#This Row],[Birthweight Z-Score (BW-10%)]],TRUE)*100,"")</f>
        <v/>
      </c>
      <c r="L6141" s="7" t="str">
        <f>IF(Table1[[#This Row],[Is Data Valid]]=TRUE,_xlfn.NORM.S.DIST(Table1[[#This Row],[Birthweight Z-Score (BW+10%)]],TRUE)*100,"")</f>
        <v/>
      </c>
    </row>
    <row r="6142" spans="1:12" x14ac:dyDescent="0.35">
      <c r="A6142" s="3"/>
      <c r="B6142" s="2"/>
      <c r="C6142" s="2"/>
      <c r="D6142" s="2" t="b">
        <f>IF(AND(NOT(ISBLANK(Table1[[#This Row],[Fetal Sex (Male, Female or Unknown)]])),ISNUMBER(Table1[[#This Row],[Birthweight (grams)]]),ISNUMBER(Table1[[#This Row],[Gestation (days)]])),TRUE,FALSE)</f>
        <v>0</v>
      </c>
      <c r="E6142" s="2" t="str">
        <f>IF(Table1[[#This Row],[Is Data Valid]]=TRUE,IF(Table1[[#This Row],[Fetal Sex (Male, Female or Unknown)]]="Male",Backend!$C$6,IF(Table1[[#This Row],[Fetal Sex (Male, Female or Unknown)]]="Female",Backend!$C$7,IF(Table1[[#This Row],[Fetal Sex (Male, Female or Unknown)]]="Unknown",Backend!$C$8,"Error"))),"")</f>
        <v/>
      </c>
      <c r="F6142" s="8" t="str">
        <f>IF(Table1[[#This Row],[Is Data Valid]]=TRUE,EXP(0.578+0.332*((Table1[[#This Row],[Gestation (days)]]+0.5)/7)-0.00354*((Table1[[#This Row],[Gestation (days)]]+0.5)/7)^2)*Table1[[#This Row],[BW40_3705]],"")</f>
        <v/>
      </c>
      <c r="G6142" s="2" t="str">
        <f>IF(Table1[[#This Row],[Is Data Valid]]=TRUE,((Table1[[#This Row],[Birthweight (grams)]]/Table1[[#This Row],[BW_GA]])-1)/(Backend!$B$4/100*Table1[[#This Row],[BW40_3705]]),"")</f>
        <v/>
      </c>
      <c r="H6142" s="7" t="str">
        <f>IF(Table1[[#This Row],[Is Data Valid]]=TRUE,((Table1[[#This Row],[Birthweight (grams)]]*0.9/Table1[[#This Row],[BW_GA]])-1)/(Backend!$B$4/100*Table1[[#This Row],[BW40_3705]]),"")</f>
        <v/>
      </c>
      <c r="I6142" s="7" t="str">
        <f>IF(Table1[[#This Row],[Is Data Valid]]=TRUE,((Table1[[#This Row],[Birthweight (grams)]]*1.1/Table1[[#This Row],[BW_GA]])-1)/(Backend!$B$4/100*Table1[[#This Row],[BW40_3705]]),"")</f>
        <v/>
      </c>
      <c r="J6142" s="7" t="str">
        <f>IF(Table1[[#This Row],[Is Data Valid]]=TRUE,_xlfn.NORM.S.DIST(Table1[[#This Row],[Birthweight Z-Score]],TRUE)*100,"")</f>
        <v/>
      </c>
      <c r="K6142" s="7" t="str">
        <f>IF(Table1[[#This Row],[Is Data Valid]]=TRUE,_xlfn.NORM.S.DIST(Table1[[#This Row],[Birthweight Z-Score (BW-10%)]],TRUE)*100,"")</f>
        <v/>
      </c>
      <c r="L6142" s="7" t="str">
        <f>IF(Table1[[#This Row],[Is Data Valid]]=TRUE,_xlfn.NORM.S.DIST(Table1[[#This Row],[Birthweight Z-Score (BW+10%)]],TRUE)*100,"")</f>
        <v/>
      </c>
    </row>
    <row r="6143" spans="1:12" x14ac:dyDescent="0.35">
      <c r="A6143" s="3"/>
      <c r="B6143" s="2"/>
      <c r="C6143" s="2"/>
      <c r="D6143" s="2" t="b">
        <f>IF(AND(NOT(ISBLANK(Table1[[#This Row],[Fetal Sex (Male, Female or Unknown)]])),ISNUMBER(Table1[[#This Row],[Birthweight (grams)]]),ISNUMBER(Table1[[#This Row],[Gestation (days)]])),TRUE,FALSE)</f>
        <v>0</v>
      </c>
      <c r="E6143" s="2" t="str">
        <f>IF(Table1[[#This Row],[Is Data Valid]]=TRUE,IF(Table1[[#This Row],[Fetal Sex (Male, Female or Unknown)]]="Male",Backend!$C$6,IF(Table1[[#This Row],[Fetal Sex (Male, Female or Unknown)]]="Female",Backend!$C$7,IF(Table1[[#This Row],[Fetal Sex (Male, Female or Unknown)]]="Unknown",Backend!$C$8,"Error"))),"")</f>
        <v/>
      </c>
      <c r="F6143" s="8" t="str">
        <f>IF(Table1[[#This Row],[Is Data Valid]]=TRUE,EXP(0.578+0.332*((Table1[[#This Row],[Gestation (days)]]+0.5)/7)-0.00354*((Table1[[#This Row],[Gestation (days)]]+0.5)/7)^2)*Table1[[#This Row],[BW40_3705]],"")</f>
        <v/>
      </c>
      <c r="G6143" s="2" t="str">
        <f>IF(Table1[[#This Row],[Is Data Valid]]=TRUE,((Table1[[#This Row],[Birthweight (grams)]]/Table1[[#This Row],[BW_GA]])-1)/(Backend!$B$4/100*Table1[[#This Row],[BW40_3705]]),"")</f>
        <v/>
      </c>
      <c r="H6143" s="7" t="str">
        <f>IF(Table1[[#This Row],[Is Data Valid]]=TRUE,((Table1[[#This Row],[Birthweight (grams)]]*0.9/Table1[[#This Row],[BW_GA]])-1)/(Backend!$B$4/100*Table1[[#This Row],[BW40_3705]]),"")</f>
        <v/>
      </c>
      <c r="I6143" s="7" t="str">
        <f>IF(Table1[[#This Row],[Is Data Valid]]=TRUE,((Table1[[#This Row],[Birthweight (grams)]]*1.1/Table1[[#This Row],[BW_GA]])-1)/(Backend!$B$4/100*Table1[[#This Row],[BW40_3705]]),"")</f>
        <v/>
      </c>
      <c r="J6143" s="7" t="str">
        <f>IF(Table1[[#This Row],[Is Data Valid]]=TRUE,_xlfn.NORM.S.DIST(Table1[[#This Row],[Birthweight Z-Score]],TRUE)*100,"")</f>
        <v/>
      </c>
      <c r="K6143" s="7" t="str">
        <f>IF(Table1[[#This Row],[Is Data Valid]]=TRUE,_xlfn.NORM.S.DIST(Table1[[#This Row],[Birthweight Z-Score (BW-10%)]],TRUE)*100,"")</f>
        <v/>
      </c>
      <c r="L6143" s="7" t="str">
        <f>IF(Table1[[#This Row],[Is Data Valid]]=TRUE,_xlfn.NORM.S.DIST(Table1[[#This Row],[Birthweight Z-Score (BW+10%)]],TRUE)*100,"")</f>
        <v/>
      </c>
    </row>
    <row r="6144" spans="1:12" x14ac:dyDescent="0.35">
      <c r="A6144" s="3"/>
      <c r="B6144" s="2"/>
      <c r="C6144" s="2"/>
      <c r="D6144" s="2" t="b">
        <f>IF(AND(NOT(ISBLANK(Table1[[#This Row],[Fetal Sex (Male, Female or Unknown)]])),ISNUMBER(Table1[[#This Row],[Birthweight (grams)]]),ISNUMBER(Table1[[#This Row],[Gestation (days)]])),TRUE,FALSE)</f>
        <v>0</v>
      </c>
      <c r="E6144" s="2" t="str">
        <f>IF(Table1[[#This Row],[Is Data Valid]]=TRUE,IF(Table1[[#This Row],[Fetal Sex (Male, Female or Unknown)]]="Male",Backend!$C$6,IF(Table1[[#This Row],[Fetal Sex (Male, Female or Unknown)]]="Female",Backend!$C$7,IF(Table1[[#This Row],[Fetal Sex (Male, Female or Unknown)]]="Unknown",Backend!$C$8,"Error"))),"")</f>
        <v/>
      </c>
      <c r="F6144" s="8" t="str">
        <f>IF(Table1[[#This Row],[Is Data Valid]]=TRUE,EXP(0.578+0.332*((Table1[[#This Row],[Gestation (days)]]+0.5)/7)-0.00354*((Table1[[#This Row],[Gestation (days)]]+0.5)/7)^2)*Table1[[#This Row],[BW40_3705]],"")</f>
        <v/>
      </c>
      <c r="G6144" s="2" t="str">
        <f>IF(Table1[[#This Row],[Is Data Valid]]=TRUE,((Table1[[#This Row],[Birthweight (grams)]]/Table1[[#This Row],[BW_GA]])-1)/(Backend!$B$4/100*Table1[[#This Row],[BW40_3705]]),"")</f>
        <v/>
      </c>
      <c r="H6144" s="7" t="str">
        <f>IF(Table1[[#This Row],[Is Data Valid]]=TRUE,((Table1[[#This Row],[Birthweight (grams)]]*0.9/Table1[[#This Row],[BW_GA]])-1)/(Backend!$B$4/100*Table1[[#This Row],[BW40_3705]]),"")</f>
        <v/>
      </c>
      <c r="I6144" s="7" t="str">
        <f>IF(Table1[[#This Row],[Is Data Valid]]=TRUE,((Table1[[#This Row],[Birthweight (grams)]]*1.1/Table1[[#This Row],[BW_GA]])-1)/(Backend!$B$4/100*Table1[[#This Row],[BW40_3705]]),"")</f>
        <v/>
      </c>
      <c r="J6144" s="7" t="str">
        <f>IF(Table1[[#This Row],[Is Data Valid]]=TRUE,_xlfn.NORM.S.DIST(Table1[[#This Row],[Birthweight Z-Score]],TRUE)*100,"")</f>
        <v/>
      </c>
      <c r="K6144" s="7" t="str">
        <f>IF(Table1[[#This Row],[Is Data Valid]]=TRUE,_xlfn.NORM.S.DIST(Table1[[#This Row],[Birthweight Z-Score (BW-10%)]],TRUE)*100,"")</f>
        <v/>
      </c>
      <c r="L6144" s="7" t="str">
        <f>IF(Table1[[#This Row],[Is Data Valid]]=TRUE,_xlfn.NORM.S.DIST(Table1[[#This Row],[Birthweight Z-Score (BW+10%)]],TRUE)*100,"")</f>
        <v/>
      </c>
    </row>
    <row r="6145" spans="1:12" x14ac:dyDescent="0.35">
      <c r="A6145" s="3"/>
      <c r="B6145" s="2"/>
      <c r="C6145" s="2"/>
      <c r="D6145" s="2" t="b">
        <f>IF(AND(NOT(ISBLANK(Table1[[#This Row],[Fetal Sex (Male, Female or Unknown)]])),ISNUMBER(Table1[[#This Row],[Birthweight (grams)]]),ISNUMBER(Table1[[#This Row],[Gestation (days)]])),TRUE,FALSE)</f>
        <v>0</v>
      </c>
      <c r="E6145" s="2" t="str">
        <f>IF(Table1[[#This Row],[Is Data Valid]]=TRUE,IF(Table1[[#This Row],[Fetal Sex (Male, Female or Unknown)]]="Male",Backend!$C$6,IF(Table1[[#This Row],[Fetal Sex (Male, Female or Unknown)]]="Female",Backend!$C$7,IF(Table1[[#This Row],[Fetal Sex (Male, Female or Unknown)]]="Unknown",Backend!$C$8,"Error"))),"")</f>
        <v/>
      </c>
      <c r="F6145" s="8" t="str">
        <f>IF(Table1[[#This Row],[Is Data Valid]]=TRUE,EXP(0.578+0.332*((Table1[[#This Row],[Gestation (days)]]+0.5)/7)-0.00354*((Table1[[#This Row],[Gestation (days)]]+0.5)/7)^2)*Table1[[#This Row],[BW40_3705]],"")</f>
        <v/>
      </c>
      <c r="G6145" s="2" t="str">
        <f>IF(Table1[[#This Row],[Is Data Valid]]=TRUE,((Table1[[#This Row],[Birthweight (grams)]]/Table1[[#This Row],[BW_GA]])-1)/(Backend!$B$4/100*Table1[[#This Row],[BW40_3705]]),"")</f>
        <v/>
      </c>
      <c r="H6145" s="7" t="str">
        <f>IF(Table1[[#This Row],[Is Data Valid]]=TRUE,((Table1[[#This Row],[Birthweight (grams)]]*0.9/Table1[[#This Row],[BW_GA]])-1)/(Backend!$B$4/100*Table1[[#This Row],[BW40_3705]]),"")</f>
        <v/>
      </c>
      <c r="I6145" s="7" t="str">
        <f>IF(Table1[[#This Row],[Is Data Valid]]=TRUE,((Table1[[#This Row],[Birthweight (grams)]]*1.1/Table1[[#This Row],[BW_GA]])-1)/(Backend!$B$4/100*Table1[[#This Row],[BW40_3705]]),"")</f>
        <v/>
      </c>
      <c r="J6145" s="7" t="str">
        <f>IF(Table1[[#This Row],[Is Data Valid]]=TRUE,_xlfn.NORM.S.DIST(Table1[[#This Row],[Birthweight Z-Score]],TRUE)*100,"")</f>
        <v/>
      </c>
      <c r="K6145" s="7" t="str">
        <f>IF(Table1[[#This Row],[Is Data Valid]]=TRUE,_xlfn.NORM.S.DIST(Table1[[#This Row],[Birthweight Z-Score (BW-10%)]],TRUE)*100,"")</f>
        <v/>
      </c>
      <c r="L6145" s="7" t="str">
        <f>IF(Table1[[#This Row],[Is Data Valid]]=TRUE,_xlfn.NORM.S.DIST(Table1[[#This Row],[Birthweight Z-Score (BW+10%)]],TRUE)*100,"")</f>
        <v/>
      </c>
    </row>
    <row r="6146" spans="1:12" x14ac:dyDescent="0.35">
      <c r="A6146" s="3"/>
      <c r="B6146" s="2"/>
      <c r="C6146" s="2"/>
      <c r="D6146" s="2" t="b">
        <f>IF(AND(NOT(ISBLANK(Table1[[#This Row],[Fetal Sex (Male, Female or Unknown)]])),ISNUMBER(Table1[[#This Row],[Birthweight (grams)]]),ISNUMBER(Table1[[#This Row],[Gestation (days)]])),TRUE,FALSE)</f>
        <v>0</v>
      </c>
      <c r="E6146" s="2" t="str">
        <f>IF(Table1[[#This Row],[Is Data Valid]]=TRUE,IF(Table1[[#This Row],[Fetal Sex (Male, Female or Unknown)]]="Male",Backend!$C$6,IF(Table1[[#This Row],[Fetal Sex (Male, Female or Unknown)]]="Female",Backend!$C$7,IF(Table1[[#This Row],[Fetal Sex (Male, Female or Unknown)]]="Unknown",Backend!$C$8,"Error"))),"")</f>
        <v/>
      </c>
      <c r="F6146" s="8" t="str">
        <f>IF(Table1[[#This Row],[Is Data Valid]]=TRUE,EXP(0.578+0.332*((Table1[[#This Row],[Gestation (days)]]+0.5)/7)-0.00354*((Table1[[#This Row],[Gestation (days)]]+0.5)/7)^2)*Table1[[#This Row],[BW40_3705]],"")</f>
        <v/>
      </c>
      <c r="G6146" s="2" t="str">
        <f>IF(Table1[[#This Row],[Is Data Valid]]=TRUE,((Table1[[#This Row],[Birthweight (grams)]]/Table1[[#This Row],[BW_GA]])-1)/(Backend!$B$4/100*Table1[[#This Row],[BW40_3705]]),"")</f>
        <v/>
      </c>
      <c r="H6146" s="7" t="str">
        <f>IF(Table1[[#This Row],[Is Data Valid]]=TRUE,((Table1[[#This Row],[Birthweight (grams)]]*0.9/Table1[[#This Row],[BW_GA]])-1)/(Backend!$B$4/100*Table1[[#This Row],[BW40_3705]]),"")</f>
        <v/>
      </c>
      <c r="I6146" s="7" t="str">
        <f>IF(Table1[[#This Row],[Is Data Valid]]=TRUE,((Table1[[#This Row],[Birthweight (grams)]]*1.1/Table1[[#This Row],[BW_GA]])-1)/(Backend!$B$4/100*Table1[[#This Row],[BW40_3705]]),"")</f>
        <v/>
      </c>
      <c r="J6146" s="7" t="str">
        <f>IF(Table1[[#This Row],[Is Data Valid]]=TRUE,_xlfn.NORM.S.DIST(Table1[[#This Row],[Birthweight Z-Score]],TRUE)*100,"")</f>
        <v/>
      </c>
      <c r="K6146" s="7" t="str">
        <f>IF(Table1[[#This Row],[Is Data Valid]]=TRUE,_xlfn.NORM.S.DIST(Table1[[#This Row],[Birthweight Z-Score (BW-10%)]],TRUE)*100,"")</f>
        <v/>
      </c>
      <c r="L6146" s="7" t="str">
        <f>IF(Table1[[#This Row],[Is Data Valid]]=TRUE,_xlfn.NORM.S.DIST(Table1[[#This Row],[Birthweight Z-Score (BW+10%)]],TRUE)*100,"")</f>
        <v/>
      </c>
    </row>
    <row r="6147" spans="1:12" x14ac:dyDescent="0.35">
      <c r="A6147" s="3"/>
      <c r="B6147" s="2"/>
      <c r="C6147" s="2"/>
      <c r="D6147" s="2" t="b">
        <f>IF(AND(NOT(ISBLANK(Table1[[#This Row],[Fetal Sex (Male, Female or Unknown)]])),ISNUMBER(Table1[[#This Row],[Birthweight (grams)]]),ISNUMBER(Table1[[#This Row],[Gestation (days)]])),TRUE,FALSE)</f>
        <v>0</v>
      </c>
      <c r="E6147" s="2" t="str">
        <f>IF(Table1[[#This Row],[Is Data Valid]]=TRUE,IF(Table1[[#This Row],[Fetal Sex (Male, Female or Unknown)]]="Male",Backend!$C$6,IF(Table1[[#This Row],[Fetal Sex (Male, Female or Unknown)]]="Female",Backend!$C$7,IF(Table1[[#This Row],[Fetal Sex (Male, Female or Unknown)]]="Unknown",Backend!$C$8,"Error"))),"")</f>
        <v/>
      </c>
      <c r="F6147" s="8" t="str">
        <f>IF(Table1[[#This Row],[Is Data Valid]]=TRUE,EXP(0.578+0.332*((Table1[[#This Row],[Gestation (days)]]+0.5)/7)-0.00354*((Table1[[#This Row],[Gestation (days)]]+0.5)/7)^2)*Table1[[#This Row],[BW40_3705]],"")</f>
        <v/>
      </c>
      <c r="G6147" s="2" t="str">
        <f>IF(Table1[[#This Row],[Is Data Valid]]=TRUE,((Table1[[#This Row],[Birthweight (grams)]]/Table1[[#This Row],[BW_GA]])-1)/(Backend!$B$4/100*Table1[[#This Row],[BW40_3705]]),"")</f>
        <v/>
      </c>
      <c r="H6147" s="7" t="str">
        <f>IF(Table1[[#This Row],[Is Data Valid]]=TRUE,((Table1[[#This Row],[Birthweight (grams)]]*0.9/Table1[[#This Row],[BW_GA]])-1)/(Backend!$B$4/100*Table1[[#This Row],[BW40_3705]]),"")</f>
        <v/>
      </c>
      <c r="I6147" s="7" t="str">
        <f>IF(Table1[[#This Row],[Is Data Valid]]=TRUE,((Table1[[#This Row],[Birthweight (grams)]]*1.1/Table1[[#This Row],[BW_GA]])-1)/(Backend!$B$4/100*Table1[[#This Row],[BW40_3705]]),"")</f>
        <v/>
      </c>
      <c r="J6147" s="7" t="str">
        <f>IF(Table1[[#This Row],[Is Data Valid]]=TRUE,_xlfn.NORM.S.DIST(Table1[[#This Row],[Birthweight Z-Score]],TRUE)*100,"")</f>
        <v/>
      </c>
      <c r="K6147" s="7" t="str">
        <f>IF(Table1[[#This Row],[Is Data Valid]]=TRUE,_xlfn.NORM.S.DIST(Table1[[#This Row],[Birthweight Z-Score (BW-10%)]],TRUE)*100,"")</f>
        <v/>
      </c>
      <c r="L6147" s="7" t="str">
        <f>IF(Table1[[#This Row],[Is Data Valid]]=TRUE,_xlfn.NORM.S.DIST(Table1[[#This Row],[Birthweight Z-Score (BW+10%)]],TRUE)*100,"")</f>
        <v/>
      </c>
    </row>
    <row r="6148" spans="1:12" x14ac:dyDescent="0.35">
      <c r="A6148" s="3"/>
      <c r="B6148" s="2"/>
      <c r="C6148" s="2"/>
      <c r="D6148" s="2" t="b">
        <f>IF(AND(NOT(ISBLANK(Table1[[#This Row],[Fetal Sex (Male, Female or Unknown)]])),ISNUMBER(Table1[[#This Row],[Birthweight (grams)]]),ISNUMBER(Table1[[#This Row],[Gestation (days)]])),TRUE,FALSE)</f>
        <v>0</v>
      </c>
      <c r="E6148" s="2" t="str">
        <f>IF(Table1[[#This Row],[Is Data Valid]]=TRUE,IF(Table1[[#This Row],[Fetal Sex (Male, Female or Unknown)]]="Male",Backend!$C$6,IF(Table1[[#This Row],[Fetal Sex (Male, Female or Unknown)]]="Female",Backend!$C$7,IF(Table1[[#This Row],[Fetal Sex (Male, Female or Unknown)]]="Unknown",Backend!$C$8,"Error"))),"")</f>
        <v/>
      </c>
      <c r="F6148" s="8" t="str">
        <f>IF(Table1[[#This Row],[Is Data Valid]]=TRUE,EXP(0.578+0.332*((Table1[[#This Row],[Gestation (days)]]+0.5)/7)-0.00354*((Table1[[#This Row],[Gestation (days)]]+0.5)/7)^2)*Table1[[#This Row],[BW40_3705]],"")</f>
        <v/>
      </c>
      <c r="G6148" s="2" t="str">
        <f>IF(Table1[[#This Row],[Is Data Valid]]=TRUE,((Table1[[#This Row],[Birthweight (grams)]]/Table1[[#This Row],[BW_GA]])-1)/(Backend!$B$4/100*Table1[[#This Row],[BW40_3705]]),"")</f>
        <v/>
      </c>
      <c r="H6148" s="7" t="str">
        <f>IF(Table1[[#This Row],[Is Data Valid]]=TRUE,((Table1[[#This Row],[Birthweight (grams)]]*0.9/Table1[[#This Row],[BW_GA]])-1)/(Backend!$B$4/100*Table1[[#This Row],[BW40_3705]]),"")</f>
        <v/>
      </c>
      <c r="I6148" s="7" t="str">
        <f>IF(Table1[[#This Row],[Is Data Valid]]=TRUE,((Table1[[#This Row],[Birthweight (grams)]]*1.1/Table1[[#This Row],[BW_GA]])-1)/(Backend!$B$4/100*Table1[[#This Row],[BW40_3705]]),"")</f>
        <v/>
      </c>
      <c r="J6148" s="7" t="str">
        <f>IF(Table1[[#This Row],[Is Data Valid]]=TRUE,_xlfn.NORM.S.DIST(Table1[[#This Row],[Birthweight Z-Score]],TRUE)*100,"")</f>
        <v/>
      </c>
      <c r="K6148" s="7" t="str">
        <f>IF(Table1[[#This Row],[Is Data Valid]]=TRUE,_xlfn.NORM.S.DIST(Table1[[#This Row],[Birthweight Z-Score (BW-10%)]],TRUE)*100,"")</f>
        <v/>
      </c>
      <c r="L6148" s="7" t="str">
        <f>IF(Table1[[#This Row],[Is Data Valid]]=TRUE,_xlfn.NORM.S.DIST(Table1[[#This Row],[Birthweight Z-Score (BW+10%)]],TRUE)*100,"")</f>
        <v/>
      </c>
    </row>
    <row r="6149" spans="1:12" x14ac:dyDescent="0.35">
      <c r="A6149" s="3"/>
      <c r="B6149" s="2"/>
      <c r="C6149" s="2"/>
      <c r="D6149" s="2" t="b">
        <f>IF(AND(NOT(ISBLANK(Table1[[#This Row],[Fetal Sex (Male, Female or Unknown)]])),ISNUMBER(Table1[[#This Row],[Birthweight (grams)]]),ISNUMBER(Table1[[#This Row],[Gestation (days)]])),TRUE,FALSE)</f>
        <v>0</v>
      </c>
      <c r="E6149" s="2" t="str">
        <f>IF(Table1[[#This Row],[Is Data Valid]]=TRUE,IF(Table1[[#This Row],[Fetal Sex (Male, Female or Unknown)]]="Male",Backend!$C$6,IF(Table1[[#This Row],[Fetal Sex (Male, Female or Unknown)]]="Female",Backend!$C$7,IF(Table1[[#This Row],[Fetal Sex (Male, Female or Unknown)]]="Unknown",Backend!$C$8,"Error"))),"")</f>
        <v/>
      </c>
      <c r="F6149" s="8" t="str">
        <f>IF(Table1[[#This Row],[Is Data Valid]]=TRUE,EXP(0.578+0.332*((Table1[[#This Row],[Gestation (days)]]+0.5)/7)-0.00354*((Table1[[#This Row],[Gestation (days)]]+0.5)/7)^2)*Table1[[#This Row],[BW40_3705]],"")</f>
        <v/>
      </c>
      <c r="G6149" s="2" t="str">
        <f>IF(Table1[[#This Row],[Is Data Valid]]=TRUE,((Table1[[#This Row],[Birthweight (grams)]]/Table1[[#This Row],[BW_GA]])-1)/(Backend!$B$4/100*Table1[[#This Row],[BW40_3705]]),"")</f>
        <v/>
      </c>
      <c r="H6149" s="7" t="str">
        <f>IF(Table1[[#This Row],[Is Data Valid]]=TRUE,((Table1[[#This Row],[Birthweight (grams)]]*0.9/Table1[[#This Row],[BW_GA]])-1)/(Backend!$B$4/100*Table1[[#This Row],[BW40_3705]]),"")</f>
        <v/>
      </c>
      <c r="I6149" s="7" t="str">
        <f>IF(Table1[[#This Row],[Is Data Valid]]=TRUE,((Table1[[#This Row],[Birthweight (grams)]]*1.1/Table1[[#This Row],[BW_GA]])-1)/(Backend!$B$4/100*Table1[[#This Row],[BW40_3705]]),"")</f>
        <v/>
      </c>
      <c r="J6149" s="7" t="str">
        <f>IF(Table1[[#This Row],[Is Data Valid]]=TRUE,_xlfn.NORM.S.DIST(Table1[[#This Row],[Birthweight Z-Score]],TRUE)*100,"")</f>
        <v/>
      </c>
      <c r="K6149" s="7" t="str">
        <f>IF(Table1[[#This Row],[Is Data Valid]]=TRUE,_xlfn.NORM.S.DIST(Table1[[#This Row],[Birthweight Z-Score (BW-10%)]],TRUE)*100,"")</f>
        <v/>
      </c>
      <c r="L6149" s="7" t="str">
        <f>IF(Table1[[#This Row],[Is Data Valid]]=TRUE,_xlfn.NORM.S.DIST(Table1[[#This Row],[Birthweight Z-Score (BW+10%)]],TRUE)*100,"")</f>
        <v/>
      </c>
    </row>
    <row r="6150" spans="1:12" x14ac:dyDescent="0.35">
      <c r="A6150" s="3"/>
      <c r="B6150" s="2"/>
      <c r="C6150" s="2"/>
      <c r="D6150" s="2" t="b">
        <f>IF(AND(NOT(ISBLANK(Table1[[#This Row],[Fetal Sex (Male, Female or Unknown)]])),ISNUMBER(Table1[[#This Row],[Birthweight (grams)]]),ISNUMBER(Table1[[#This Row],[Gestation (days)]])),TRUE,FALSE)</f>
        <v>0</v>
      </c>
      <c r="E6150" s="2" t="str">
        <f>IF(Table1[[#This Row],[Is Data Valid]]=TRUE,IF(Table1[[#This Row],[Fetal Sex (Male, Female or Unknown)]]="Male",Backend!$C$6,IF(Table1[[#This Row],[Fetal Sex (Male, Female or Unknown)]]="Female",Backend!$C$7,IF(Table1[[#This Row],[Fetal Sex (Male, Female or Unknown)]]="Unknown",Backend!$C$8,"Error"))),"")</f>
        <v/>
      </c>
      <c r="F6150" s="8" t="str">
        <f>IF(Table1[[#This Row],[Is Data Valid]]=TRUE,EXP(0.578+0.332*((Table1[[#This Row],[Gestation (days)]]+0.5)/7)-0.00354*((Table1[[#This Row],[Gestation (days)]]+0.5)/7)^2)*Table1[[#This Row],[BW40_3705]],"")</f>
        <v/>
      </c>
      <c r="G6150" s="2" t="str">
        <f>IF(Table1[[#This Row],[Is Data Valid]]=TRUE,((Table1[[#This Row],[Birthweight (grams)]]/Table1[[#This Row],[BW_GA]])-1)/(Backend!$B$4/100*Table1[[#This Row],[BW40_3705]]),"")</f>
        <v/>
      </c>
      <c r="H6150" s="7" t="str">
        <f>IF(Table1[[#This Row],[Is Data Valid]]=TRUE,((Table1[[#This Row],[Birthweight (grams)]]*0.9/Table1[[#This Row],[BW_GA]])-1)/(Backend!$B$4/100*Table1[[#This Row],[BW40_3705]]),"")</f>
        <v/>
      </c>
      <c r="I6150" s="7" t="str">
        <f>IF(Table1[[#This Row],[Is Data Valid]]=TRUE,((Table1[[#This Row],[Birthweight (grams)]]*1.1/Table1[[#This Row],[BW_GA]])-1)/(Backend!$B$4/100*Table1[[#This Row],[BW40_3705]]),"")</f>
        <v/>
      </c>
      <c r="J6150" s="7" t="str">
        <f>IF(Table1[[#This Row],[Is Data Valid]]=TRUE,_xlfn.NORM.S.DIST(Table1[[#This Row],[Birthweight Z-Score]],TRUE)*100,"")</f>
        <v/>
      </c>
      <c r="K6150" s="7" t="str">
        <f>IF(Table1[[#This Row],[Is Data Valid]]=TRUE,_xlfn.NORM.S.DIST(Table1[[#This Row],[Birthweight Z-Score (BW-10%)]],TRUE)*100,"")</f>
        <v/>
      </c>
      <c r="L6150" s="7" t="str">
        <f>IF(Table1[[#This Row],[Is Data Valid]]=TRUE,_xlfn.NORM.S.DIST(Table1[[#This Row],[Birthweight Z-Score (BW+10%)]],TRUE)*100,"")</f>
        <v/>
      </c>
    </row>
    <row r="6151" spans="1:12" x14ac:dyDescent="0.35">
      <c r="A6151" s="3"/>
      <c r="B6151" s="2"/>
      <c r="C6151" s="2"/>
      <c r="D6151" s="2" t="b">
        <f>IF(AND(NOT(ISBLANK(Table1[[#This Row],[Fetal Sex (Male, Female or Unknown)]])),ISNUMBER(Table1[[#This Row],[Birthweight (grams)]]),ISNUMBER(Table1[[#This Row],[Gestation (days)]])),TRUE,FALSE)</f>
        <v>0</v>
      </c>
      <c r="E6151" s="2" t="str">
        <f>IF(Table1[[#This Row],[Is Data Valid]]=TRUE,IF(Table1[[#This Row],[Fetal Sex (Male, Female or Unknown)]]="Male",Backend!$C$6,IF(Table1[[#This Row],[Fetal Sex (Male, Female or Unknown)]]="Female",Backend!$C$7,IF(Table1[[#This Row],[Fetal Sex (Male, Female or Unknown)]]="Unknown",Backend!$C$8,"Error"))),"")</f>
        <v/>
      </c>
      <c r="F6151" s="8" t="str">
        <f>IF(Table1[[#This Row],[Is Data Valid]]=TRUE,EXP(0.578+0.332*((Table1[[#This Row],[Gestation (days)]]+0.5)/7)-0.00354*((Table1[[#This Row],[Gestation (days)]]+0.5)/7)^2)*Table1[[#This Row],[BW40_3705]],"")</f>
        <v/>
      </c>
      <c r="G6151" s="2" t="str">
        <f>IF(Table1[[#This Row],[Is Data Valid]]=TRUE,((Table1[[#This Row],[Birthweight (grams)]]/Table1[[#This Row],[BW_GA]])-1)/(Backend!$B$4/100*Table1[[#This Row],[BW40_3705]]),"")</f>
        <v/>
      </c>
      <c r="H6151" s="7" t="str">
        <f>IF(Table1[[#This Row],[Is Data Valid]]=TRUE,((Table1[[#This Row],[Birthweight (grams)]]*0.9/Table1[[#This Row],[BW_GA]])-1)/(Backend!$B$4/100*Table1[[#This Row],[BW40_3705]]),"")</f>
        <v/>
      </c>
      <c r="I6151" s="7" t="str">
        <f>IF(Table1[[#This Row],[Is Data Valid]]=TRUE,((Table1[[#This Row],[Birthweight (grams)]]*1.1/Table1[[#This Row],[BW_GA]])-1)/(Backend!$B$4/100*Table1[[#This Row],[BW40_3705]]),"")</f>
        <v/>
      </c>
      <c r="J6151" s="7" t="str">
        <f>IF(Table1[[#This Row],[Is Data Valid]]=TRUE,_xlfn.NORM.S.DIST(Table1[[#This Row],[Birthweight Z-Score]],TRUE)*100,"")</f>
        <v/>
      </c>
      <c r="K6151" s="7" t="str">
        <f>IF(Table1[[#This Row],[Is Data Valid]]=TRUE,_xlfn.NORM.S.DIST(Table1[[#This Row],[Birthweight Z-Score (BW-10%)]],TRUE)*100,"")</f>
        <v/>
      </c>
      <c r="L6151" s="7" t="str">
        <f>IF(Table1[[#This Row],[Is Data Valid]]=TRUE,_xlfn.NORM.S.DIST(Table1[[#This Row],[Birthweight Z-Score (BW+10%)]],TRUE)*100,"")</f>
        <v/>
      </c>
    </row>
    <row r="6152" spans="1:12" x14ac:dyDescent="0.35">
      <c r="A6152" s="3"/>
      <c r="B6152" s="2"/>
      <c r="C6152" s="2"/>
      <c r="D6152" s="2" t="b">
        <f>IF(AND(NOT(ISBLANK(Table1[[#This Row],[Fetal Sex (Male, Female or Unknown)]])),ISNUMBER(Table1[[#This Row],[Birthweight (grams)]]),ISNUMBER(Table1[[#This Row],[Gestation (days)]])),TRUE,FALSE)</f>
        <v>0</v>
      </c>
      <c r="E6152" s="2" t="str">
        <f>IF(Table1[[#This Row],[Is Data Valid]]=TRUE,IF(Table1[[#This Row],[Fetal Sex (Male, Female or Unknown)]]="Male",Backend!$C$6,IF(Table1[[#This Row],[Fetal Sex (Male, Female or Unknown)]]="Female",Backend!$C$7,IF(Table1[[#This Row],[Fetal Sex (Male, Female or Unknown)]]="Unknown",Backend!$C$8,"Error"))),"")</f>
        <v/>
      </c>
      <c r="F6152" s="8" t="str">
        <f>IF(Table1[[#This Row],[Is Data Valid]]=TRUE,EXP(0.578+0.332*((Table1[[#This Row],[Gestation (days)]]+0.5)/7)-0.00354*((Table1[[#This Row],[Gestation (days)]]+0.5)/7)^2)*Table1[[#This Row],[BW40_3705]],"")</f>
        <v/>
      </c>
      <c r="G6152" s="2" t="str">
        <f>IF(Table1[[#This Row],[Is Data Valid]]=TRUE,((Table1[[#This Row],[Birthweight (grams)]]/Table1[[#This Row],[BW_GA]])-1)/(Backend!$B$4/100*Table1[[#This Row],[BW40_3705]]),"")</f>
        <v/>
      </c>
      <c r="H6152" s="7" t="str">
        <f>IF(Table1[[#This Row],[Is Data Valid]]=TRUE,((Table1[[#This Row],[Birthweight (grams)]]*0.9/Table1[[#This Row],[BW_GA]])-1)/(Backend!$B$4/100*Table1[[#This Row],[BW40_3705]]),"")</f>
        <v/>
      </c>
      <c r="I6152" s="7" t="str">
        <f>IF(Table1[[#This Row],[Is Data Valid]]=TRUE,((Table1[[#This Row],[Birthweight (grams)]]*1.1/Table1[[#This Row],[BW_GA]])-1)/(Backend!$B$4/100*Table1[[#This Row],[BW40_3705]]),"")</f>
        <v/>
      </c>
      <c r="J6152" s="7" t="str">
        <f>IF(Table1[[#This Row],[Is Data Valid]]=TRUE,_xlfn.NORM.S.DIST(Table1[[#This Row],[Birthweight Z-Score]],TRUE)*100,"")</f>
        <v/>
      </c>
      <c r="K6152" s="7" t="str">
        <f>IF(Table1[[#This Row],[Is Data Valid]]=TRUE,_xlfn.NORM.S.DIST(Table1[[#This Row],[Birthweight Z-Score (BW-10%)]],TRUE)*100,"")</f>
        <v/>
      </c>
      <c r="L6152" s="7" t="str">
        <f>IF(Table1[[#This Row],[Is Data Valid]]=TRUE,_xlfn.NORM.S.DIST(Table1[[#This Row],[Birthweight Z-Score (BW+10%)]],TRUE)*100,"")</f>
        <v/>
      </c>
    </row>
    <row r="6153" spans="1:12" x14ac:dyDescent="0.35">
      <c r="A6153" s="3"/>
      <c r="B6153" s="2"/>
      <c r="C6153" s="2"/>
      <c r="D6153" s="2" t="b">
        <f>IF(AND(NOT(ISBLANK(Table1[[#This Row],[Fetal Sex (Male, Female or Unknown)]])),ISNUMBER(Table1[[#This Row],[Birthweight (grams)]]),ISNUMBER(Table1[[#This Row],[Gestation (days)]])),TRUE,FALSE)</f>
        <v>0</v>
      </c>
      <c r="E6153" s="2" t="str">
        <f>IF(Table1[[#This Row],[Is Data Valid]]=TRUE,IF(Table1[[#This Row],[Fetal Sex (Male, Female or Unknown)]]="Male",Backend!$C$6,IF(Table1[[#This Row],[Fetal Sex (Male, Female or Unknown)]]="Female",Backend!$C$7,IF(Table1[[#This Row],[Fetal Sex (Male, Female or Unknown)]]="Unknown",Backend!$C$8,"Error"))),"")</f>
        <v/>
      </c>
      <c r="F6153" s="8" t="str">
        <f>IF(Table1[[#This Row],[Is Data Valid]]=TRUE,EXP(0.578+0.332*((Table1[[#This Row],[Gestation (days)]]+0.5)/7)-0.00354*((Table1[[#This Row],[Gestation (days)]]+0.5)/7)^2)*Table1[[#This Row],[BW40_3705]],"")</f>
        <v/>
      </c>
      <c r="G6153" s="2" t="str">
        <f>IF(Table1[[#This Row],[Is Data Valid]]=TRUE,((Table1[[#This Row],[Birthweight (grams)]]/Table1[[#This Row],[BW_GA]])-1)/(Backend!$B$4/100*Table1[[#This Row],[BW40_3705]]),"")</f>
        <v/>
      </c>
      <c r="H6153" s="7" t="str">
        <f>IF(Table1[[#This Row],[Is Data Valid]]=TRUE,((Table1[[#This Row],[Birthweight (grams)]]*0.9/Table1[[#This Row],[BW_GA]])-1)/(Backend!$B$4/100*Table1[[#This Row],[BW40_3705]]),"")</f>
        <v/>
      </c>
      <c r="I6153" s="7" t="str">
        <f>IF(Table1[[#This Row],[Is Data Valid]]=TRUE,((Table1[[#This Row],[Birthweight (grams)]]*1.1/Table1[[#This Row],[BW_GA]])-1)/(Backend!$B$4/100*Table1[[#This Row],[BW40_3705]]),"")</f>
        <v/>
      </c>
      <c r="J6153" s="7" t="str">
        <f>IF(Table1[[#This Row],[Is Data Valid]]=TRUE,_xlfn.NORM.S.DIST(Table1[[#This Row],[Birthweight Z-Score]],TRUE)*100,"")</f>
        <v/>
      </c>
      <c r="K6153" s="7" t="str">
        <f>IF(Table1[[#This Row],[Is Data Valid]]=TRUE,_xlfn.NORM.S.DIST(Table1[[#This Row],[Birthweight Z-Score (BW-10%)]],TRUE)*100,"")</f>
        <v/>
      </c>
      <c r="L6153" s="7" t="str">
        <f>IF(Table1[[#This Row],[Is Data Valid]]=TRUE,_xlfn.NORM.S.DIST(Table1[[#This Row],[Birthweight Z-Score (BW+10%)]],TRUE)*100,"")</f>
        <v/>
      </c>
    </row>
    <row r="6154" spans="1:12" x14ac:dyDescent="0.35">
      <c r="A6154" s="3"/>
      <c r="B6154" s="2"/>
      <c r="C6154" s="2"/>
      <c r="D6154" s="2" t="b">
        <f>IF(AND(NOT(ISBLANK(Table1[[#This Row],[Fetal Sex (Male, Female or Unknown)]])),ISNUMBER(Table1[[#This Row],[Birthweight (grams)]]),ISNUMBER(Table1[[#This Row],[Gestation (days)]])),TRUE,FALSE)</f>
        <v>0</v>
      </c>
      <c r="E6154" s="2" t="str">
        <f>IF(Table1[[#This Row],[Is Data Valid]]=TRUE,IF(Table1[[#This Row],[Fetal Sex (Male, Female or Unknown)]]="Male",Backend!$C$6,IF(Table1[[#This Row],[Fetal Sex (Male, Female or Unknown)]]="Female",Backend!$C$7,IF(Table1[[#This Row],[Fetal Sex (Male, Female or Unknown)]]="Unknown",Backend!$C$8,"Error"))),"")</f>
        <v/>
      </c>
      <c r="F6154" s="8" t="str">
        <f>IF(Table1[[#This Row],[Is Data Valid]]=TRUE,EXP(0.578+0.332*((Table1[[#This Row],[Gestation (days)]]+0.5)/7)-0.00354*((Table1[[#This Row],[Gestation (days)]]+0.5)/7)^2)*Table1[[#This Row],[BW40_3705]],"")</f>
        <v/>
      </c>
      <c r="G6154" s="2" t="str">
        <f>IF(Table1[[#This Row],[Is Data Valid]]=TRUE,((Table1[[#This Row],[Birthweight (grams)]]/Table1[[#This Row],[BW_GA]])-1)/(Backend!$B$4/100*Table1[[#This Row],[BW40_3705]]),"")</f>
        <v/>
      </c>
      <c r="H6154" s="7" t="str">
        <f>IF(Table1[[#This Row],[Is Data Valid]]=TRUE,((Table1[[#This Row],[Birthweight (grams)]]*0.9/Table1[[#This Row],[BW_GA]])-1)/(Backend!$B$4/100*Table1[[#This Row],[BW40_3705]]),"")</f>
        <v/>
      </c>
      <c r="I6154" s="7" t="str">
        <f>IF(Table1[[#This Row],[Is Data Valid]]=TRUE,((Table1[[#This Row],[Birthweight (grams)]]*1.1/Table1[[#This Row],[BW_GA]])-1)/(Backend!$B$4/100*Table1[[#This Row],[BW40_3705]]),"")</f>
        <v/>
      </c>
      <c r="J6154" s="7" t="str">
        <f>IF(Table1[[#This Row],[Is Data Valid]]=TRUE,_xlfn.NORM.S.DIST(Table1[[#This Row],[Birthweight Z-Score]],TRUE)*100,"")</f>
        <v/>
      </c>
      <c r="K6154" s="7" t="str">
        <f>IF(Table1[[#This Row],[Is Data Valid]]=TRUE,_xlfn.NORM.S.DIST(Table1[[#This Row],[Birthweight Z-Score (BW-10%)]],TRUE)*100,"")</f>
        <v/>
      </c>
      <c r="L6154" s="7" t="str">
        <f>IF(Table1[[#This Row],[Is Data Valid]]=TRUE,_xlfn.NORM.S.DIST(Table1[[#This Row],[Birthweight Z-Score (BW+10%)]],TRUE)*100,"")</f>
        <v/>
      </c>
    </row>
    <row r="6155" spans="1:12" x14ac:dyDescent="0.35">
      <c r="A6155" s="3"/>
      <c r="B6155" s="2"/>
      <c r="C6155" s="2"/>
      <c r="D6155" s="2" t="b">
        <f>IF(AND(NOT(ISBLANK(Table1[[#This Row],[Fetal Sex (Male, Female or Unknown)]])),ISNUMBER(Table1[[#This Row],[Birthweight (grams)]]),ISNUMBER(Table1[[#This Row],[Gestation (days)]])),TRUE,FALSE)</f>
        <v>0</v>
      </c>
      <c r="E6155" s="2" t="str">
        <f>IF(Table1[[#This Row],[Is Data Valid]]=TRUE,IF(Table1[[#This Row],[Fetal Sex (Male, Female or Unknown)]]="Male",Backend!$C$6,IF(Table1[[#This Row],[Fetal Sex (Male, Female or Unknown)]]="Female",Backend!$C$7,IF(Table1[[#This Row],[Fetal Sex (Male, Female or Unknown)]]="Unknown",Backend!$C$8,"Error"))),"")</f>
        <v/>
      </c>
      <c r="F6155" s="8" t="str">
        <f>IF(Table1[[#This Row],[Is Data Valid]]=TRUE,EXP(0.578+0.332*((Table1[[#This Row],[Gestation (days)]]+0.5)/7)-0.00354*((Table1[[#This Row],[Gestation (days)]]+0.5)/7)^2)*Table1[[#This Row],[BW40_3705]],"")</f>
        <v/>
      </c>
      <c r="G6155" s="2" t="str">
        <f>IF(Table1[[#This Row],[Is Data Valid]]=TRUE,((Table1[[#This Row],[Birthweight (grams)]]/Table1[[#This Row],[BW_GA]])-1)/(Backend!$B$4/100*Table1[[#This Row],[BW40_3705]]),"")</f>
        <v/>
      </c>
      <c r="H6155" s="7" t="str">
        <f>IF(Table1[[#This Row],[Is Data Valid]]=TRUE,((Table1[[#This Row],[Birthweight (grams)]]*0.9/Table1[[#This Row],[BW_GA]])-1)/(Backend!$B$4/100*Table1[[#This Row],[BW40_3705]]),"")</f>
        <v/>
      </c>
      <c r="I6155" s="7" t="str">
        <f>IF(Table1[[#This Row],[Is Data Valid]]=TRUE,((Table1[[#This Row],[Birthweight (grams)]]*1.1/Table1[[#This Row],[BW_GA]])-1)/(Backend!$B$4/100*Table1[[#This Row],[BW40_3705]]),"")</f>
        <v/>
      </c>
      <c r="J6155" s="7" t="str">
        <f>IF(Table1[[#This Row],[Is Data Valid]]=TRUE,_xlfn.NORM.S.DIST(Table1[[#This Row],[Birthweight Z-Score]],TRUE)*100,"")</f>
        <v/>
      </c>
      <c r="K6155" s="7" t="str">
        <f>IF(Table1[[#This Row],[Is Data Valid]]=TRUE,_xlfn.NORM.S.DIST(Table1[[#This Row],[Birthweight Z-Score (BW-10%)]],TRUE)*100,"")</f>
        <v/>
      </c>
      <c r="L6155" s="7" t="str">
        <f>IF(Table1[[#This Row],[Is Data Valid]]=TRUE,_xlfn.NORM.S.DIST(Table1[[#This Row],[Birthweight Z-Score (BW+10%)]],TRUE)*100,"")</f>
        <v/>
      </c>
    </row>
    <row r="6156" spans="1:12" x14ac:dyDescent="0.35">
      <c r="A6156" s="3"/>
      <c r="B6156" s="2"/>
      <c r="C6156" s="2"/>
      <c r="D6156" s="2" t="b">
        <f>IF(AND(NOT(ISBLANK(Table1[[#This Row],[Fetal Sex (Male, Female or Unknown)]])),ISNUMBER(Table1[[#This Row],[Birthweight (grams)]]),ISNUMBER(Table1[[#This Row],[Gestation (days)]])),TRUE,FALSE)</f>
        <v>0</v>
      </c>
      <c r="E6156" s="2" t="str">
        <f>IF(Table1[[#This Row],[Is Data Valid]]=TRUE,IF(Table1[[#This Row],[Fetal Sex (Male, Female or Unknown)]]="Male",Backend!$C$6,IF(Table1[[#This Row],[Fetal Sex (Male, Female or Unknown)]]="Female",Backend!$C$7,IF(Table1[[#This Row],[Fetal Sex (Male, Female or Unknown)]]="Unknown",Backend!$C$8,"Error"))),"")</f>
        <v/>
      </c>
      <c r="F6156" s="8" t="str">
        <f>IF(Table1[[#This Row],[Is Data Valid]]=TRUE,EXP(0.578+0.332*((Table1[[#This Row],[Gestation (days)]]+0.5)/7)-0.00354*((Table1[[#This Row],[Gestation (days)]]+0.5)/7)^2)*Table1[[#This Row],[BW40_3705]],"")</f>
        <v/>
      </c>
      <c r="G6156" s="2" t="str">
        <f>IF(Table1[[#This Row],[Is Data Valid]]=TRUE,((Table1[[#This Row],[Birthweight (grams)]]/Table1[[#This Row],[BW_GA]])-1)/(Backend!$B$4/100*Table1[[#This Row],[BW40_3705]]),"")</f>
        <v/>
      </c>
      <c r="H6156" s="7" t="str">
        <f>IF(Table1[[#This Row],[Is Data Valid]]=TRUE,((Table1[[#This Row],[Birthweight (grams)]]*0.9/Table1[[#This Row],[BW_GA]])-1)/(Backend!$B$4/100*Table1[[#This Row],[BW40_3705]]),"")</f>
        <v/>
      </c>
      <c r="I6156" s="7" t="str">
        <f>IF(Table1[[#This Row],[Is Data Valid]]=TRUE,((Table1[[#This Row],[Birthweight (grams)]]*1.1/Table1[[#This Row],[BW_GA]])-1)/(Backend!$B$4/100*Table1[[#This Row],[BW40_3705]]),"")</f>
        <v/>
      </c>
      <c r="J6156" s="7" t="str">
        <f>IF(Table1[[#This Row],[Is Data Valid]]=TRUE,_xlfn.NORM.S.DIST(Table1[[#This Row],[Birthweight Z-Score]],TRUE)*100,"")</f>
        <v/>
      </c>
      <c r="K6156" s="7" t="str">
        <f>IF(Table1[[#This Row],[Is Data Valid]]=TRUE,_xlfn.NORM.S.DIST(Table1[[#This Row],[Birthweight Z-Score (BW-10%)]],TRUE)*100,"")</f>
        <v/>
      </c>
      <c r="L6156" s="7" t="str">
        <f>IF(Table1[[#This Row],[Is Data Valid]]=TRUE,_xlfn.NORM.S.DIST(Table1[[#This Row],[Birthweight Z-Score (BW+10%)]],TRUE)*100,"")</f>
        <v/>
      </c>
    </row>
    <row r="6157" spans="1:12" x14ac:dyDescent="0.35">
      <c r="A6157" s="3"/>
      <c r="B6157" s="2"/>
      <c r="C6157" s="2"/>
      <c r="D6157" s="2" t="b">
        <f>IF(AND(NOT(ISBLANK(Table1[[#This Row],[Fetal Sex (Male, Female or Unknown)]])),ISNUMBER(Table1[[#This Row],[Birthweight (grams)]]),ISNUMBER(Table1[[#This Row],[Gestation (days)]])),TRUE,FALSE)</f>
        <v>0</v>
      </c>
      <c r="E6157" s="2" t="str">
        <f>IF(Table1[[#This Row],[Is Data Valid]]=TRUE,IF(Table1[[#This Row],[Fetal Sex (Male, Female or Unknown)]]="Male",Backend!$C$6,IF(Table1[[#This Row],[Fetal Sex (Male, Female or Unknown)]]="Female",Backend!$C$7,IF(Table1[[#This Row],[Fetal Sex (Male, Female or Unknown)]]="Unknown",Backend!$C$8,"Error"))),"")</f>
        <v/>
      </c>
      <c r="F6157" s="8" t="str">
        <f>IF(Table1[[#This Row],[Is Data Valid]]=TRUE,EXP(0.578+0.332*((Table1[[#This Row],[Gestation (days)]]+0.5)/7)-0.00354*((Table1[[#This Row],[Gestation (days)]]+0.5)/7)^2)*Table1[[#This Row],[BW40_3705]],"")</f>
        <v/>
      </c>
      <c r="G6157" s="2" t="str">
        <f>IF(Table1[[#This Row],[Is Data Valid]]=TRUE,((Table1[[#This Row],[Birthweight (grams)]]/Table1[[#This Row],[BW_GA]])-1)/(Backend!$B$4/100*Table1[[#This Row],[BW40_3705]]),"")</f>
        <v/>
      </c>
      <c r="H6157" s="7" t="str">
        <f>IF(Table1[[#This Row],[Is Data Valid]]=TRUE,((Table1[[#This Row],[Birthweight (grams)]]*0.9/Table1[[#This Row],[BW_GA]])-1)/(Backend!$B$4/100*Table1[[#This Row],[BW40_3705]]),"")</f>
        <v/>
      </c>
      <c r="I6157" s="7" t="str">
        <f>IF(Table1[[#This Row],[Is Data Valid]]=TRUE,((Table1[[#This Row],[Birthweight (grams)]]*1.1/Table1[[#This Row],[BW_GA]])-1)/(Backend!$B$4/100*Table1[[#This Row],[BW40_3705]]),"")</f>
        <v/>
      </c>
      <c r="J6157" s="7" t="str">
        <f>IF(Table1[[#This Row],[Is Data Valid]]=TRUE,_xlfn.NORM.S.DIST(Table1[[#This Row],[Birthweight Z-Score]],TRUE)*100,"")</f>
        <v/>
      </c>
      <c r="K6157" s="7" t="str">
        <f>IF(Table1[[#This Row],[Is Data Valid]]=TRUE,_xlfn.NORM.S.DIST(Table1[[#This Row],[Birthweight Z-Score (BW-10%)]],TRUE)*100,"")</f>
        <v/>
      </c>
      <c r="L6157" s="7" t="str">
        <f>IF(Table1[[#This Row],[Is Data Valid]]=TRUE,_xlfn.NORM.S.DIST(Table1[[#This Row],[Birthweight Z-Score (BW+10%)]],TRUE)*100,"")</f>
        <v/>
      </c>
    </row>
    <row r="6158" spans="1:12" x14ac:dyDescent="0.35">
      <c r="A6158" s="3"/>
      <c r="B6158" s="2"/>
      <c r="C6158" s="2"/>
      <c r="D6158" s="2" t="b">
        <f>IF(AND(NOT(ISBLANK(Table1[[#This Row],[Fetal Sex (Male, Female or Unknown)]])),ISNUMBER(Table1[[#This Row],[Birthweight (grams)]]),ISNUMBER(Table1[[#This Row],[Gestation (days)]])),TRUE,FALSE)</f>
        <v>0</v>
      </c>
      <c r="E6158" s="2" t="str">
        <f>IF(Table1[[#This Row],[Is Data Valid]]=TRUE,IF(Table1[[#This Row],[Fetal Sex (Male, Female or Unknown)]]="Male",Backend!$C$6,IF(Table1[[#This Row],[Fetal Sex (Male, Female or Unknown)]]="Female",Backend!$C$7,IF(Table1[[#This Row],[Fetal Sex (Male, Female or Unknown)]]="Unknown",Backend!$C$8,"Error"))),"")</f>
        <v/>
      </c>
      <c r="F6158" s="8" t="str">
        <f>IF(Table1[[#This Row],[Is Data Valid]]=TRUE,EXP(0.578+0.332*((Table1[[#This Row],[Gestation (days)]]+0.5)/7)-0.00354*((Table1[[#This Row],[Gestation (days)]]+0.5)/7)^2)*Table1[[#This Row],[BW40_3705]],"")</f>
        <v/>
      </c>
      <c r="G6158" s="2" t="str">
        <f>IF(Table1[[#This Row],[Is Data Valid]]=TRUE,((Table1[[#This Row],[Birthweight (grams)]]/Table1[[#This Row],[BW_GA]])-1)/(Backend!$B$4/100*Table1[[#This Row],[BW40_3705]]),"")</f>
        <v/>
      </c>
      <c r="H6158" s="7" t="str">
        <f>IF(Table1[[#This Row],[Is Data Valid]]=TRUE,((Table1[[#This Row],[Birthweight (grams)]]*0.9/Table1[[#This Row],[BW_GA]])-1)/(Backend!$B$4/100*Table1[[#This Row],[BW40_3705]]),"")</f>
        <v/>
      </c>
      <c r="I6158" s="7" t="str">
        <f>IF(Table1[[#This Row],[Is Data Valid]]=TRUE,((Table1[[#This Row],[Birthweight (grams)]]*1.1/Table1[[#This Row],[BW_GA]])-1)/(Backend!$B$4/100*Table1[[#This Row],[BW40_3705]]),"")</f>
        <v/>
      </c>
      <c r="J6158" s="7" t="str">
        <f>IF(Table1[[#This Row],[Is Data Valid]]=TRUE,_xlfn.NORM.S.DIST(Table1[[#This Row],[Birthweight Z-Score]],TRUE)*100,"")</f>
        <v/>
      </c>
      <c r="K6158" s="7" t="str">
        <f>IF(Table1[[#This Row],[Is Data Valid]]=TRUE,_xlfn.NORM.S.DIST(Table1[[#This Row],[Birthweight Z-Score (BW-10%)]],TRUE)*100,"")</f>
        <v/>
      </c>
      <c r="L6158" s="7" t="str">
        <f>IF(Table1[[#This Row],[Is Data Valid]]=TRUE,_xlfn.NORM.S.DIST(Table1[[#This Row],[Birthweight Z-Score (BW+10%)]],TRUE)*100,"")</f>
        <v/>
      </c>
    </row>
    <row r="6159" spans="1:12" x14ac:dyDescent="0.35">
      <c r="A6159" s="3"/>
      <c r="B6159" s="2"/>
      <c r="C6159" s="2"/>
      <c r="D6159" s="2" t="b">
        <f>IF(AND(NOT(ISBLANK(Table1[[#This Row],[Fetal Sex (Male, Female or Unknown)]])),ISNUMBER(Table1[[#This Row],[Birthweight (grams)]]),ISNUMBER(Table1[[#This Row],[Gestation (days)]])),TRUE,FALSE)</f>
        <v>0</v>
      </c>
      <c r="E6159" s="2" t="str">
        <f>IF(Table1[[#This Row],[Is Data Valid]]=TRUE,IF(Table1[[#This Row],[Fetal Sex (Male, Female or Unknown)]]="Male",Backend!$C$6,IF(Table1[[#This Row],[Fetal Sex (Male, Female or Unknown)]]="Female",Backend!$C$7,IF(Table1[[#This Row],[Fetal Sex (Male, Female or Unknown)]]="Unknown",Backend!$C$8,"Error"))),"")</f>
        <v/>
      </c>
      <c r="F6159" s="8" t="str">
        <f>IF(Table1[[#This Row],[Is Data Valid]]=TRUE,EXP(0.578+0.332*((Table1[[#This Row],[Gestation (days)]]+0.5)/7)-0.00354*((Table1[[#This Row],[Gestation (days)]]+0.5)/7)^2)*Table1[[#This Row],[BW40_3705]],"")</f>
        <v/>
      </c>
      <c r="G6159" s="2" t="str">
        <f>IF(Table1[[#This Row],[Is Data Valid]]=TRUE,((Table1[[#This Row],[Birthweight (grams)]]/Table1[[#This Row],[BW_GA]])-1)/(Backend!$B$4/100*Table1[[#This Row],[BW40_3705]]),"")</f>
        <v/>
      </c>
      <c r="H6159" s="7" t="str">
        <f>IF(Table1[[#This Row],[Is Data Valid]]=TRUE,((Table1[[#This Row],[Birthweight (grams)]]*0.9/Table1[[#This Row],[BW_GA]])-1)/(Backend!$B$4/100*Table1[[#This Row],[BW40_3705]]),"")</f>
        <v/>
      </c>
      <c r="I6159" s="7" t="str">
        <f>IF(Table1[[#This Row],[Is Data Valid]]=TRUE,((Table1[[#This Row],[Birthweight (grams)]]*1.1/Table1[[#This Row],[BW_GA]])-1)/(Backend!$B$4/100*Table1[[#This Row],[BW40_3705]]),"")</f>
        <v/>
      </c>
      <c r="J6159" s="7" t="str">
        <f>IF(Table1[[#This Row],[Is Data Valid]]=TRUE,_xlfn.NORM.S.DIST(Table1[[#This Row],[Birthweight Z-Score]],TRUE)*100,"")</f>
        <v/>
      </c>
      <c r="K6159" s="7" t="str">
        <f>IF(Table1[[#This Row],[Is Data Valid]]=TRUE,_xlfn.NORM.S.DIST(Table1[[#This Row],[Birthweight Z-Score (BW-10%)]],TRUE)*100,"")</f>
        <v/>
      </c>
      <c r="L6159" s="7" t="str">
        <f>IF(Table1[[#This Row],[Is Data Valid]]=TRUE,_xlfn.NORM.S.DIST(Table1[[#This Row],[Birthweight Z-Score (BW+10%)]],TRUE)*100,"")</f>
        <v/>
      </c>
    </row>
    <row r="6160" spans="1:12" x14ac:dyDescent="0.35">
      <c r="A6160" s="3"/>
      <c r="B6160" s="2"/>
      <c r="C6160" s="2"/>
      <c r="D6160" s="2" t="b">
        <f>IF(AND(NOT(ISBLANK(Table1[[#This Row],[Fetal Sex (Male, Female or Unknown)]])),ISNUMBER(Table1[[#This Row],[Birthweight (grams)]]),ISNUMBER(Table1[[#This Row],[Gestation (days)]])),TRUE,FALSE)</f>
        <v>0</v>
      </c>
      <c r="E6160" s="2" t="str">
        <f>IF(Table1[[#This Row],[Is Data Valid]]=TRUE,IF(Table1[[#This Row],[Fetal Sex (Male, Female or Unknown)]]="Male",Backend!$C$6,IF(Table1[[#This Row],[Fetal Sex (Male, Female or Unknown)]]="Female",Backend!$C$7,IF(Table1[[#This Row],[Fetal Sex (Male, Female or Unknown)]]="Unknown",Backend!$C$8,"Error"))),"")</f>
        <v/>
      </c>
      <c r="F6160" s="8" t="str">
        <f>IF(Table1[[#This Row],[Is Data Valid]]=TRUE,EXP(0.578+0.332*((Table1[[#This Row],[Gestation (days)]]+0.5)/7)-0.00354*((Table1[[#This Row],[Gestation (days)]]+0.5)/7)^2)*Table1[[#This Row],[BW40_3705]],"")</f>
        <v/>
      </c>
      <c r="G6160" s="2" t="str">
        <f>IF(Table1[[#This Row],[Is Data Valid]]=TRUE,((Table1[[#This Row],[Birthweight (grams)]]/Table1[[#This Row],[BW_GA]])-1)/(Backend!$B$4/100*Table1[[#This Row],[BW40_3705]]),"")</f>
        <v/>
      </c>
      <c r="H6160" s="7" t="str">
        <f>IF(Table1[[#This Row],[Is Data Valid]]=TRUE,((Table1[[#This Row],[Birthweight (grams)]]*0.9/Table1[[#This Row],[BW_GA]])-1)/(Backend!$B$4/100*Table1[[#This Row],[BW40_3705]]),"")</f>
        <v/>
      </c>
      <c r="I6160" s="7" t="str">
        <f>IF(Table1[[#This Row],[Is Data Valid]]=TRUE,((Table1[[#This Row],[Birthweight (grams)]]*1.1/Table1[[#This Row],[BW_GA]])-1)/(Backend!$B$4/100*Table1[[#This Row],[BW40_3705]]),"")</f>
        <v/>
      </c>
      <c r="J6160" s="7" t="str">
        <f>IF(Table1[[#This Row],[Is Data Valid]]=TRUE,_xlfn.NORM.S.DIST(Table1[[#This Row],[Birthweight Z-Score]],TRUE)*100,"")</f>
        <v/>
      </c>
      <c r="K6160" s="7" t="str">
        <f>IF(Table1[[#This Row],[Is Data Valid]]=TRUE,_xlfn.NORM.S.DIST(Table1[[#This Row],[Birthweight Z-Score (BW-10%)]],TRUE)*100,"")</f>
        <v/>
      </c>
      <c r="L6160" s="7" t="str">
        <f>IF(Table1[[#This Row],[Is Data Valid]]=TRUE,_xlfn.NORM.S.DIST(Table1[[#This Row],[Birthweight Z-Score (BW+10%)]],TRUE)*100,"")</f>
        <v/>
      </c>
    </row>
    <row r="6161" spans="1:12" x14ac:dyDescent="0.35">
      <c r="A6161" s="3"/>
      <c r="B6161" s="2"/>
      <c r="C6161" s="2"/>
      <c r="D6161" s="2" t="b">
        <f>IF(AND(NOT(ISBLANK(Table1[[#This Row],[Fetal Sex (Male, Female or Unknown)]])),ISNUMBER(Table1[[#This Row],[Birthweight (grams)]]),ISNUMBER(Table1[[#This Row],[Gestation (days)]])),TRUE,FALSE)</f>
        <v>0</v>
      </c>
      <c r="E6161" s="2" t="str">
        <f>IF(Table1[[#This Row],[Is Data Valid]]=TRUE,IF(Table1[[#This Row],[Fetal Sex (Male, Female or Unknown)]]="Male",Backend!$C$6,IF(Table1[[#This Row],[Fetal Sex (Male, Female or Unknown)]]="Female",Backend!$C$7,IF(Table1[[#This Row],[Fetal Sex (Male, Female or Unknown)]]="Unknown",Backend!$C$8,"Error"))),"")</f>
        <v/>
      </c>
      <c r="F6161" s="8" t="str">
        <f>IF(Table1[[#This Row],[Is Data Valid]]=TRUE,EXP(0.578+0.332*((Table1[[#This Row],[Gestation (days)]]+0.5)/7)-0.00354*((Table1[[#This Row],[Gestation (days)]]+0.5)/7)^2)*Table1[[#This Row],[BW40_3705]],"")</f>
        <v/>
      </c>
      <c r="G6161" s="2" t="str">
        <f>IF(Table1[[#This Row],[Is Data Valid]]=TRUE,((Table1[[#This Row],[Birthweight (grams)]]/Table1[[#This Row],[BW_GA]])-1)/(Backend!$B$4/100*Table1[[#This Row],[BW40_3705]]),"")</f>
        <v/>
      </c>
      <c r="H6161" s="7" t="str">
        <f>IF(Table1[[#This Row],[Is Data Valid]]=TRUE,((Table1[[#This Row],[Birthweight (grams)]]*0.9/Table1[[#This Row],[BW_GA]])-1)/(Backend!$B$4/100*Table1[[#This Row],[BW40_3705]]),"")</f>
        <v/>
      </c>
      <c r="I6161" s="7" t="str">
        <f>IF(Table1[[#This Row],[Is Data Valid]]=TRUE,((Table1[[#This Row],[Birthweight (grams)]]*1.1/Table1[[#This Row],[BW_GA]])-1)/(Backend!$B$4/100*Table1[[#This Row],[BW40_3705]]),"")</f>
        <v/>
      </c>
      <c r="J6161" s="7" t="str">
        <f>IF(Table1[[#This Row],[Is Data Valid]]=TRUE,_xlfn.NORM.S.DIST(Table1[[#This Row],[Birthweight Z-Score]],TRUE)*100,"")</f>
        <v/>
      </c>
      <c r="K6161" s="7" t="str">
        <f>IF(Table1[[#This Row],[Is Data Valid]]=TRUE,_xlfn.NORM.S.DIST(Table1[[#This Row],[Birthweight Z-Score (BW-10%)]],TRUE)*100,"")</f>
        <v/>
      </c>
      <c r="L6161" s="7" t="str">
        <f>IF(Table1[[#This Row],[Is Data Valid]]=TRUE,_xlfn.NORM.S.DIST(Table1[[#This Row],[Birthweight Z-Score (BW+10%)]],TRUE)*100,"")</f>
        <v/>
      </c>
    </row>
    <row r="6162" spans="1:12" x14ac:dyDescent="0.35">
      <c r="A6162" s="3"/>
      <c r="B6162" s="2"/>
      <c r="C6162" s="2"/>
      <c r="D6162" s="2" t="b">
        <f>IF(AND(NOT(ISBLANK(Table1[[#This Row],[Fetal Sex (Male, Female or Unknown)]])),ISNUMBER(Table1[[#This Row],[Birthweight (grams)]]),ISNUMBER(Table1[[#This Row],[Gestation (days)]])),TRUE,FALSE)</f>
        <v>0</v>
      </c>
      <c r="E6162" s="2" t="str">
        <f>IF(Table1[[#This Row],[Is Data Valid]]=TRUE,IF(Table1[[#This Row],[Fetal Sex (Male, Female or Unknown)]]="Male",Backend!$C$6,IF(Table1[[#This Row],[Fetal Sex (Male, Female or Unknown)]]="Female",Backend!$C$7,IF(Table1[[#This Row],[Fetal Sex (Male, Female or Unknown)]]="Unknown",Backend!$C$8,"Error"))),"")</f>
        <v/>
      </c>
      <c r="F6162" s="8" t="str">
        <f>IF(Table1[[#This Row],[Is Data Valid]]=TRUE,EXP(0.578+0.332*((Table1[[#This Row],[Gestation (days)]]+0.5)/7)-0.00354*((Table1[[#This Row],[Gestation (days)]]+0.5)/7)^2)*Table1[[#This Row],[BW40_3705]],"")</f>
        <v/>
      </c>
      <c r="G6162" s="2" t="str">
        <f>IF(Table1[[#This Row],[Is Data Valid]]=TRUE,((Table1[[#This Row],[Birthweight (grams)]]/Table1[[#This Row],[BW_GA]])-1)/(Backend!$B$4/100*Table1[[#This Row],[BW40_3705]]),"")</f>
        <v/>
      </c>
      <c r="H6162" s="7" t="str">
        <f>IF(Table1[[#This Row],[Is Data Valid]]=TRUE,((Table1[[#This Row],[Birthweight (grams)]]*0.9/Table1[[#This Row],[BW_GA]])-1)/(Backend!$B$4/100*Table1[[#This Row],[BW40_3705]]),"")</f>
        <v/>
      </c>
      <c r="I6162" s="7" t="str">
        <f>IF(Table1[[#This Row],[Is Data Valid]]=TRUE,((Table1[[#This Row],[Birthweight (grams)]]*1.1/Table1[[#This Row],[BW_GA]])-1)/(Backend!$B$4/100*Table1[[#This Row],[BW40_3705]]),"")</f>
        <v/>
      </c>
      <c r="J6162" s="7" t="str">
        <f>IF(Table1[[#This Row],[Is Data Valid]]=TRUE,_xlfn.NORM.S.DIST(Table1[[#This Row],[Birthweight Z-Score]],TRUE)*100,"")</f>
        <v/>
      </c>
      <c r="K6162" s="7" t="str">
        <f>IF(Table1[[#This Row],[Is Data Valid]]=TRUE,_xlfn.NORM.S.DIST(Table1[[#This Row],[Birthweight Z-Score (BW-10%)]],TRUE)*100,"")</f>
        <v/>
      </c>
      <c r="L6162" s="7" t="str">
        <f>IF(Table1[[#This Row],[Is Data Valid]]=TRUE,_xlfn.NORM.S.DIST(Table1[[#This Row],[Birthweight Z-Score (BW+10%)]],TRUE)*100,"")</f>
        <v/>
      </c>
    </row>
    <row r="6163" spans="1:12" x14ac:dyDescent="0.35">
      <c r="A6163" s="3"/>
      <c r="B6163" s="2"/>
      <c r="C6163" s="2"/>
      <c r="D6163" s="2" t="b">
        <f>IF(AND(NOT(ISBLANK(Table1[[#This Row],[Fetal Sex (Male, Female or Unknown)]])),ISNUMBER(Table1[[#This Row],[Birthweight (grams)]]),ISNUMBER(Table1[[#This Row],[Gestation (days)]])),TRUE,FALSE)</f>
        <v>0</v>
      </c>
      <c r="E6163" s="2" t="str">
        <f>IF(Table1[[#This Row],[Is Data Valid]]=TRUE,IF(Table1[[#This Row],[Fetal Sex (Male, Female or Unknown)]]="Male",Backend!$C$6,IF(Table1[[#This Row],[Fetal Sex (Male, Female or Unknown)]]="Female",Backend!$C$7,IF(Table1[[#This Row],[Fetal Sex (Male, Female or Unknown)]]="Unknown",Backend!$C$8,"Error"))),"")</f>
        <v/>
      </c>
      <c r="F6163" s="8" t="str">
        <f>IF(Table1[[#This Row],[Is Data Valid]]=TRUE,EXP(0.578+0.332*((Table1[[#This Row],[Gestation (days)]]+0.5)/7)-0.00354*((Table1[[#This Row],[Gestation (days)]]+0.5)/7)^2)*Table1[[#This Row],[BW40_3705]],"")</f>
        <v/>
      </c>
      <c r="G6163" s="2" t="str">
        <f>IF(Table1[[#This Row],[Is Data Valid]]=TRUE,((Table1[[#This Row],[Birthweight (grams)]]/Table1[[#This Row],[BW_GA]])-1)/(Backend!$B$4/100*Table1[[#This Row],[BW40_3705]]),"")</f>
        <v/>
      </c>
      <c r="H6163" s="7" t="str">
        <f>IF(Table1[[#This Row],[Is Data Valid]]=TRUE,((Table1[[#This Row],[Birthweight (grams)]]*0.9/Table1[[#This Row],[BW_GA]])-1)/(Backend!$B$4/100*Table1[[#This Row],[BW40_3705]]),"")</f>
        <v/>
      </c>
      <c r="I6163" s="7" t="str">
        <f>IF(Table1[[#This Row],[Is Data Valid]]=TRUE,((Table1[[#This Row],[Birthweight (grams)]]*1.1/Table1[[#This Row],[BW_GA]])-1)/(Backend!$B$4/100*Table1[[#This Row],[BW40_3705]]),"")</f>
        <v/>
      </c>
      <c r="J6163" s="7" t="str">
        <f>IF(Table1[[#This Row],[Is Data Valid]]=TRUE,_xlfn.NORM.S.DIST(Table1[[#This Row],[Birthweight Z-Score]],TRUE)*100,"")</f>
        <v/>
      </c>
      <c r="K6163" s="7" t="str">
        <f>IF(Table1[[#This Row],[Is Data Valid]]=TRUE,_xlfn.NORM.S.DIST(Table1[[#This Row],[Birthweight Z-Score (BW-10%)]],TRUE)*100,"")</f>
        <v/>
      </c>
      <c r="L6163" s="7" t="str">
        <f>IF(Table1[[#This Row],[Is Data Valid]]=TRUE,_xlfn.NORM.S.DIST(Table1[[#This Row],[Birthweight Z-Score (BW+10%)]],TRUE)*100,"")</f>
        <v/>
      </c>
    </row>
    <row r="6164" spans="1:12" x14ac:dyDescent="0.35">
      <c r="A6164" s="3"/>
      <c r="B6164" s="2"/>
      <c r="C6164" s="2"/>
      <c r="D6164" s="2" t="b">
        <f>IF(AND(NOT(ISBLANK(Table1[[#This Row],[Fetal Sex (Male, Female or Unknown)]])),ISNUMBER(Table1[[#This Row],[Birthweight (grams)]]),ISNUMBER(Table1[[#This Row],[Gestation (days)]])),TRUE,FALSE)</f>
        <v>0</v>
      </c>
      <c r="E6164" s="2" t="str">
        <f>IF(Table1[[#This Row],[Is Data Valid]]=TRUE,IF(Table1[[#This Row],[Fetal Sex (Male, Female or Unknown)]]="Male",Backend!$C$6,IF(Table1[[#This Row],[Fetal Sex (Male, Female or Unknown)]]="Female",Backend!$C$7,IF(Table1[[#This Row],[Fetal Sex (Male, Female or Unknown)]]="Unknown",Backend!$C$8,"Error"))),"")</f>
        <v/>
      </c>
      <c r="F6164" s="8" t="str">
        <f>IF(Table1[[#This Row],[Is Data Valid]]=TRUE,EXP(0.578+0.332*((Table1[[#This Row],[Gestation (days)]]+0.5)/7)-0.00354*((Table1[[#This Row],[Gestation (days)]]+0.5)/7)^2)*Table1[[#This Row],[BW40_3705]],"")</f>
        <v/>
      </c>
      <c r="G6164" s="2" t="str">
        <f>IF(Table1[[#This Row],[Is Data Valid]]=TRUE,((Table1[[#This Row],[Birthweight (grams)]]/Table1[[#This Row],[BW_GA]])-1)/(Backend!$B$4/100*Table1[[#This Row],[BW40_3705]]),"")</f>
        <v/>
      </c>
      <c r="H6164" s="7" t="str">
        <f>IF(Table1[[#This Row],[Is Data Valid]]=TRUE,((Table1[[#This Row],[Birthweight (grams)]]*0.9/Table1[[#This Row],[BW_GA]])-1)/(Backend!$B$4/100*Table1[[#This Row],[BW40_3705]]),"")</f>
        <v/>
      </c>
      <c r="I6164" s="7" t="str">
        <f>IF(Table1[[#This Row],[Is Data Valid]]=TRUE,((Table1[[#This Row],[Birthweight (grams)]]*1.1/Table1[[#This Row],[BW_GA]])-1)/(Backend!$B$4/100*Table1[[#This Row],[BW40_3705]]),"")</f>
        <v/>
      </c>
      <c r="J6164" s="7" t="str">
        <f>IF(Table1[[#This Row],[Is Data Valid]]=TRUE,_xlfn.NORM.S.DIST(Table1[[#This Row],[Birthweight Z-Score]],TRUE)*100,"")</f>
        <v/>
      </c>
      <c r="K6164" s="7" t="str">
        <f>IF(Table1[[#This Row],[Is Data Valid]]=TRUE,_xlfn.NORM.S.DIST(Table1[[#This Row],[Birthweight Z-Score (BW-10%)]],TRUE)*100,"")</f>
        <v/>
      </c>
      <c r="L6164" s="7" t="str">
        <f>IF(Table1[[#This Row],[Is Data Valid]]=TRUE,_xlfn.NORM.S.DIST(Table1[[#This Row],[Birthweight Z-Score (BW+10%)]],TRUE)*100,"")</f>
        <v/>
      </c>
    </row>
    <row r="6165" spans="1:12" x14ac:dyDescent="0.35">
      <c r="A6165" s="3"/>
      <c r="B6165" s="2"/>
      <c r="C6165" s="2"/>
      <c r="D6165" s="2" t="b">
        <f>IF(AND(NOT(ISBLANK(Table1[[#This Row],[Fetal Sex (Male, Female or Unknown)]])),ISNUMBER(Table1[[#This Row],[Birthweight (grams)]]),ISNUMBER(Table1[[#This Row],[Gestation (days)]])),TRUE,FALSE)</f>
        <v>0</v>
      </c>
      <c r="E6165" s="2" t="str">
        <f>IF(Table1[[#This Row],[Is Data Valid]]=TRUE,IF(Table1[[#This Row],[Fetal Sex (Male, Female or Unknown)]]="Male",Backend!$C$6,IF(Table1[[#This Row],[Fetal Sex (Male, Female or Unknown)]]="Female",Backend!$C$7,IF(Table1[[#This Row],[Fetal Sex (Male, Female or Unknown)]]="Unknown",Backend!$C$8,"Error"))),"")</f>
        <v/>
      </c>
      <c r="F6165" s="8" t="str">
        <f>IF(Table1[[#This Row],[Is Data Valid]]=TRUE,EXP(0.578+0.332*((Table1[[#This Row],[Gestation (days)]]+0.5)/7)-0.00354*((Table1[[#This Row],[Gestation (days)]]+0.5)/7)^2)*Table1[[#This Row],[BW40_3705]],"")</f>
        <v/>
      </c>
      <c r="G6165" s="2" t="str">
        <f>IF(Table1[[#This Row],[Is Data Valid]]=TRUE,((Table1[[#This Row],[Birthweight (grams)]]/Table1[[#This Row],[BW_GA]])-1)/(Backend!$B$4/100*Table1[[#This Row],[BW40_3705]]),"")</f>
        <v/>
      </c>
      <c r="H6165" s="7" t="str">
        <f>IF(Table1[[#This Row],[Is Data Valid]]=TRUE,((Table1[[#This Row],[Birthweight (grams)]]*0.9/Table1[[#This Row],[BW_GA]])-1)/(Backend!$B$4/100*Table1[[#This Row],[BW40_3705]]),"")</f>
        <v/>
      </c>
      <c r="I6165" s="7" t="str">
        <f>IF(Table1[[#This Row],[Is Data Valid]]=TRUE,((Table1[[#This Row],[Birthweight (grams)]]*1.1/Table1[[#This Row],[BW_GA]])-1)/(Backend!$B$4/100*Table1[[#This Row],[BW40_3705]]),"")</f>
        <v/>
      </c>
      <c r="J6165" s="7" t="str">
        <f>IF(Table1[[#This Row],[Is Data Valid]]=TRUE,_xlfn.NORM.S.DIST(Table1[[#This Row],[Birthweight Z-Score]],TRUE)*100,"")</f>
        <v/>
      </c>
      <c r="K6165" s="7" t="str">
        <f>IF(Table1[[#This Row],[Is Data Valid]]=TRUE,_xlfn.NORM.S.DIST(Table1[[#This Row],[Birthweight Z-Score (BW-10%)]],TRUE)*100,"")</f>
        <v/>
      </c>
      <c r="L6165" s="7" t="str">
        <f>IF(Table1[[#This Row],[Is Data Valid]]=TRUE,_xlfn.NORM.S.DIST(Table1[[#This Row],[Birthweight Z-Score (BW+10%)]],TRUE)*100,"")</f>
        <v/>
      </c>
    </row>
    <row r="6166" spans="1:12" x14ac:dyDescent="0.35">
      <c r="A6166" s="3"/>
      <c r="B6166" s="2"/>
      <c r="C6166" s="2"/>
      <c r="D6166" s="2" t="b">
        <f>IF(AND(NOT(ISBLANK(Table1[[#This Row],[Fetal Sex (Male, Female or Unknown)]])),ISNUMBER(Table1[[#This Row],[Birthweight (grams)]]),ISNUMBER(Table1[[#This Row],[Gestation (days)]])),TRUE,FALSE)</f>
        <v>0</v>
      </c>
      <c r="E6166" s="2" t="str">
        <f>IF(Table1[[#This Row],[Is Data Valid]]=TRUE,IF(Table1[[#This Row],[Fetal Sex (Male, Female or Unknown)]]="Male",Backend!$C$6,IF(Table1[[#This Row],[Fetal Sex (Male, Female or Unknown)]]="Female",Backend!$C$7,IF(Table1[[#This Row],[Fetal Sex (Male, Female or Unknown)]]="Unknown",Backend!$C$8,"Error"))),"")</f>
        <v/>
      </c>
      <c r="F6166" s="8" t="str">
        <f>IF(Table1[[#This Row],[Is Data Valid]]=TRUE,EXP(0.578+0.332*((Table1[[#This Row],[Gestation (days)]]+0.5)/7)-0.00354*((Table1[[#This Row],[Gestation (days)]]+0.5)/7)^2)*Table1[[#This Row],[BW40_3705]],"")</f>
        <v/>
      </c>
      <c r="G6166" s="2" t="str">
        <f>IF(Table1[[#This Row],[Is Data Valid]]=TRUE,((Table1[[#This Row],[Birthweight (grams)]]/Table1[[#This Row],[BW_GA]])-1)/(Backend!$B$4/100*Table1[[#This Row],[BW40_3705]]),"")</f>
        <v/>
      </c>
      <c r="H6166" s="7" t="str">
        <f>IF(Table1[[#This Row],[Is Data Valid]]=TRUE,((Table1[[#This Row],[Birthweight (grams)]]*0.9/Table1[[#This Row],[BW_GA]])-1)/(Backend!$B$4/100*Table1[[#This Row],[BW40_3705]]),"")</f>
        <v/>
      </c>
      <c r="I6166" s="7" t="str">
        <f>IF(Table1[[#This Row],[Is Data Valid]]=TRUE,((Table1[[#This Row],[Birthweight (grams)]]*1.1/Table1[[#This Row],[BW_GA]])-1)/(Backend!$B$4/100*Table1[[#This Row],[BW40_3705]]),"")</f>
        <v/>
      </c>
      <c r="J6166" s="7" t="str">
        <f>IF(Table1[[#This Row],[Is Data Valid]]=TRUE,_xlfn.NORM.S.DIST(Table1[[#This Row],[Birthweight Z-Score]],TRUE)*100,"")</f>
        <v/>
      </c>
      <c r="K6166" s="7" t="str">
        <f>IF(Table1[[#This Row],[Is Data Valid]]=TRUE,_xlfn.NORM.S.DIST(Table1[[#This Row],[Birthweight Z-Score (BW-10%)]],TRUE)*100,"")</f>
        <v/>
      </c>
      <c r="L6166" s="7" t="str">
        <f>IF(Table1[[#This Row],[Is Data Valid]]=TRUE,_xlfn.NORM.S.DIST(Table1[[#This Row],[Birthweight Z-Score (BW+10%)]],TRUE)*100,"")</f>
        <v/>
      </c>
    </row>
    <row r="6167" spans="1:12" x14ac:dyDescent="0.35">
      <c r="A6167" s="3"/>
      <c r="B6167" s="2"/>
      <c r="C6167" s="2"/>
      <c r="D6167" s="2" t="b">
        <f>IF(AND(NOT(ISBLANK(Table1[[#This Row],[Fetal Sex (Male, Female or Unknown)]])),ISNUMBER(Table1[[#This Row],[Birthweight (grams)]]),ISNUMBER(Table1[[#This Row],[Gestation (days)]])),TRUE,FALSE)</f>
        <v>0</v>
      </c>
      <c r="E6167" s="2" t="str">
        <f>IF(Table1[[#This Row],[Is Data Valid]]=TRUE,IF(Table1[[#This Row],[Fetal Sex (Male, Female or Unknown)]]="Male",Backend!$C$6,IF(Table1[[#This Row],[Fetal Sex (Male, Female or Unknown)]]="Female",Backend!$C$7,IF(Table1[[#This Row],[Fetal Sex (Male, Female or Unknown)]]="Unknown",Backend!$C$8,"Error"))),"")</f>
        <v/>
      </c>
      <c r="F6167" s="8" t="str">
        <f>IF(Table1[[#This Row],[Is Data Valid]]=TRUE,EXP(0.578+0.332*((Table1[[#This Row],[Gestation (days)]]+0.5)/7)-0.00354*((Table1[[#This Row],[Gestation (days)]]+0.5)/7)^2)*Table1[[#This Row],[BW40_3705]],"")</f>
        <v/>
      </c>
      <c r="G6167" s="2" t="str">
        <f>IF(Table1[[#This Row],[Is Data Valid]]=TRUE,((Table1[[#This Row],[Birthweight (grams)]]/Table1[[#This Row],[BW_GA]])-1)/(Backend!$B$4/100*Table1[[#This Row],[BW40_3705]]),"")</f>
        <v/>
      </c>
      <c r="H6167" s="7" t="str">
        <f>IF(Table1[[#This Row],[Is Data Valid]]=TRUE,((Table1[[#This Row],[Birthweight (grams)]]*0.9/Table1[[#This Row],[BW_GA]])-1)/(Backend!$B$4/100*Table1[[#This Row],[BW40_3705]]),"")</f>
        <v/>
      </c>
      <c r="I6167" s="7" t="str">
        <f>IF(Table1[[#This Row],[Is Data Valid]]=TRUE,((Table1[[#This Row],[Birthweight (grams)]]*1.1/Table1[[#This Row],[BW_GA]])-1)/(Backend!$B$4/100*Table1[[#This Row],[BW40_3705]]),"")</f>
        <v/>
      </c>
      <c r="J6167" s="7" t="str">
        <f>IF(Table1[[#This Row],[Is Data Valid]]=TRUE,_xlfn.NORM.S.DIST(Table1[[#This Row],[Birthweight Z-Score]],TRUE)*100,"")</f>
        <v/>
      </c>
      <c r="K6167" s="7" t="str">
        <f>IF(Table1[[#This Row],[Is Data Valid]]=TRUE,_xlfn.NORM.S.DIST(Table1[[#This Row],[Birthweight Z-Score (BW-10%)]],TRUE)*100,"")</f>
        <v/>
      </c>
      <c r="L6167" s="7" t="str">
        <f>IF(Table1[[#This Row],[Is Data Valid]]=TRUE,_xlfn.NORM.S.DIST(Table1[[#This Row],[Birthweight Z-Score (BW+10%)]],TRUE)*100,"")</f>
        <v/>
      </c>
    </row>
    <row r="6168" spans="1:12" x14ac:dyDescent="0.35">
      <c r="A6168" s="3"/>
      <c r="B6168" s="2"/>
      <c r="C6168" s="2"/>
      <c r="D6168" s="2" t="b">
        <f>IF(AND(NOT(ISBLANK(Table1[[#This Row],[Fetal Sex (Male, Female or Unknown)]])),ISNUMBER(Table1[[#This Row],[Birthweight (grams)]]),ISNUMBER(Table1[[#This Row],[Gestation (days)]])),TRUE,FALSE)</f>
        <v>0</v>
      </c>
      <c r="E6168" s="2" t="str">
        <f>IF(Table1[[#This Row],[Is Data Valid]]=TRUE,IF(Table1[[#This Row],[Fetal Sex (Male, Female or Unknown)]]="Male",Backend!$C$6,IF(Table1[[#This Row],[Fetal Sex (Male, Female or Unknown)]]="Female",Backend!$C$7,IF(Table1[[#This Row],[Fetal Sex (Male, Female or Unknown)]]="Unknown",Backend!$C$8,"Error"))),"")</f>
        <v/>
      </c>
      <c r="F6168" s="8" t="str">
        <f>IF(Table1[[#This Row],[Is Data Valid]]=TRUE,EXP(0.578+0.332*((Table1[[#This Row],[Gestation (days)]]+0.5)/7)-0.00354*((Table1[[#This Row],[Gestation (days)]]+0.5)/7)^2)*Table1[[#This Row],[BW40_3705]],"")</f>
        <v/>
      </c>
      <c r="G6168" s="2" t="str">
        <f>IF(Table1[[#This Row],[Is Data Valid]]=TRUE,((Table1[[#This Row],[Birthweight (grams)]]/Table1[[#This Row],[BW_GA]])-1)/(Backend!$B$4/100*Table1[[#This Row],[BW40_3705]]),"")</f>
        <v/>
      </c>
      <c r="H6168" s="7" t="str">
        <f>IF(Table1[[#This Row],[Is Data Valid]]=TRUE,((Table1[[#This Row],[Birthweight (grams)]]*0.9/Table1[[#This Row],[BW_GA]])-1)/(Backend!$B$4/100*Table1[[#This Row],[BW40_3705]]),"")</f>
        <v/>
      </c>
      <c r="I6168" s="7" t="str">
        <f>IF(Table1[[#This Row],[Is Data Valid]]=TRUE,((Table1[[#This Row],[Birthweight (grams)]]*1.1/Table1[[#This Row],[BW_GA]])-1)/(Backend!$B$4/100*Table1[[#This Row],[BW40_3705]]),"")</f>
        <v/>
      </c>
      <c r="J6168" s="7" t="str">
        <f>IF(Table1[[#This Row],[Is Data Valid]]=TRUE,_xlfn.NORM.S.DIST(Table1[[#This Row],[Birthweight Z-Score]],TRUE)*100,"")</f>
        <v/>
      </c>
      <c r="K6168" s="7" t="str">
        <f>IF(Table1[[#This Row],[Is Data Valid]]=TRUE,_xlfn.NORM.S.DIST(Table1[[#This Row],[Birthweight Z-Score (BW-10%)]],TRUE)*100,"")</f>
        <v/>
      </c>
      <c r="L6168" s="7" t="str">
        <f>IF(Table1[[#This Row],[Is Data Valid]]=TRUE,_xlfn.NORM.S.DIST(Table1[[#This Row],[Birthweight Z-Score (BW+10%)]],TRUE)*100,"")</f>
        <v/>
      </c>
    </row>
    <row r="6169" spans="1:12" x14ac:dyDescent="0.35">
      <c r="A6169" s="3"/>
      <c r="B6169" s="2"/>
      <c r="C6169" s="2"/>
      <c r="D6169" s="2" t="b">
        <f>IF(AND(NOT(ISBLANK(Table1[[#This Row],[Fetal Sex (Male, Female or Unknown)]])),ISNUMBER(Table1[[#This Row],[Birthweight (grams)]]),ISNUMBER(Table1[[#This Row],[Gestation (days)]])),TRUE,FALSE)</f>
        <v>0</v>
      </c>
      <c r="E6169" s="2" t="str">
        <f>IF(Table1[[#This Row],[Is Data Valid]]=TRUE,IF(Table1[[#This Row],[Fetal Sex (Male, Female or Unknown)]]="Male",Backend!$C$6,IF(Table1[[#This Row],[Fetal Sex (Male, Female or Unknown)]]="Female",Backend!$C$7,IF(Table1[[#This Row],[Fetal Sex (Male, Female or Unknown)]]="Unknown",Backend!$C$8,"Error"))),"")</f>
        <v/>
      </c>
      <c r="F6169" s="8" t="str">
        <f>IF(Table1[[#This Row],[Is Data Valid]]=TRUE,EXP(0.578+0.332*((Table1[[#This Row],[Gestation (days)]]+0.5)/7)-0.00354*((Table1[[#This Row],[Gestation (days)]]+0.5)/7)^2)*Table1[[#This Row],[BW40_3705]],"")</f>
        <v/>
      </c>
      <c r="G6169" s="2" t="str">
        <f>IF(Table1[[#This Row],[Is Data Valid]]=TRUE,((Table1[[#This Row],[Birthweight (grams)]]/Table1[[#This Row],[BW_GA]])-1)/(Backend!$B$4/100*Table1[[#This Row],[BW40_3705]]),"")</f>
        <v/>
      </c>
      <c r="H6169" s="7" t="str">
        <f>IF(Table1[[#This Row],[Is Data Valid]]=TRUE,((Table1[[#This Row],[Birthweight (grams)]]*0.9/Table1[[#This Row],[BW_GA]])-1)/(Backend!$B$4/100*Table1[[#This Row],[BW40_3705]]),"")</f>
        <v/>
      </c>
      <c r="I6169" s="7" t="str">
        <f>IF(Table1[[#This Row],[Is Data Valid]]=TRUE,((Table1[[#This Row],[Birthweight (grams)]]*1.1/Table1[[#This Row],[BW_GA]])-1)/(Backend!$B$4/100*Table1[[#This Row],[BW40_3705]]),"")</f>
        <v/>
      </c>
      <c r="J6169" s="7" t="str">
        <f>IF(Table1[[#This Row],[Is Data Valid]]=TRUE,_xlfn.NORM.S.DIST(Table1[[#This Row],[Birthweight Z-Score]],TRUE)*100,"")</f>
        <v/>
      </c>
      <c r="K6169" s="7" t="str">
        <f>IF(Table1[[#This Row],[Is Data Valid]]=TRUE,_xlfn.NORM.S.DIST(Table1[[#This Row],[Birthweight Z-Score (BW-10%)]],TRUE)*100,"")</f>
        <v/>
      </c>
      <c r="L6169" s="7" t="str">
        <f>IF(Table1[[#This Row],[Is Data Valid]]=TRUE,_xlfn.NORM.S.DIST(Table1[[#This Row],[Birthweight Z-Score (BW+10%)]],TRUE)*100,"")</f>
        <v/>
      </c>
    </row>
    <row r="6170" spans="1:12" x14ac:dyDescent="0.35">
      <c r="A6170" s="3"/>
      <c r="B6170" s="2"/>
      <c r="C6170" s="2"/>
      <c r="D6170" s="2" t="b">
        <f>IF(AND(NOT(ISBLANK(Table1[[#This Row],[Fetal Sex (Male, Female or Unknown)]])),ISNUMBER(Table1[[#This Row],[Birthweight (grams)]]),ISNUMBER(Table1[[#This Row],[Gestation (days)]])),TRUE,FALSE)</f>
        <v>0</v>
      </c>
      <c r="E6170" s="2" t="str">
        <f>IF(Table1[[#This Row],[Is Data Valid]]=TRUE,IF(Table1[[#This Row],[Fetal Sex (Male, Female or Unknown)]]="Male",Backend!$C$6,IF(Table1[[#This Row],[Fetal Sex (Male, Female or Unknown)]]="Female",Backend!$C$7,IF(Table1[[#This Row],[Fetal Sex (Male, Female or Unknown)]]="Unknown",Backend!$C$8,"Error"))),"")</f>
        <v/>
      </c>
      <c r="F6170" s="8" t="str">
        <f>IF(Table1[[#This Row],[Is Data Valid]]=TRUE,EXP(0.578+0.332*((Table1[[#This Row],[Gestation (days)]]+0.5)/7)-0.00354*((Table1[[#This Row],[Gestation (days)]]+0.5)/7)^2)*Table1[[#This Row],[BW40_3705]],"")</f>
        <v/>
      </c>
      <c r="G6170" s="2" t="str">
        <f>IF(Table1[[#This Row],[Is Data Valid]]=TRUE,((Table1[[#This Row],[Birthweight (grams)]]/Table1[[#This Row],[BW_GA]])-1)/(Backend!$B$4/100*Table1[[#This Row],[BW40_3705]]),"")</f>
        <v/>
      </c>
      <c r="H6170" s="7" t="str">
        <f>IF(Table1[[#This Row],[Is Data Valid]]=TRUE,((Table1[[#This Row],[Birthweight (grams)]]*0.9/Table1[[#This Row],[BW_GA]])-1)/(Backend!$B$4/100*Table1[[#This Row],[BW40_3705]]),"")</f>
        <v/>
      </c>
      <c r="I6170" s="7" t="str">
        <f>IF(Table1[[#This Row],[Is Data Valid]]=TRUE,((Table1[[#This Row],[Birthweight (grams)]]*1.1/Table1[[#This Row],[BW_GA]])-1)/(Backend!$B$4/100*Table1[[#This Row],[BW40_3705]]),"")</f>
        <v/>
      </c>
      <c r="J6170" s="7" t="str">
        <f>IF(Table1[[#This Row],[Is Data Valid]]=TRUE,_xlfn.NORM.S.DIST(Table1[[#This Row],[Birthweight Z-Score]],TRUE)*100,"")</f>
        <v/>
      </c>
      <c r="K6170" s="7" t="str">
        <f>IF(Table1[[#This Row],[Is Data Valid]]=TRUE,_xlfn.NORM.S.DIST(Table1[[#This Row],[Birthweight Z-Score (BW-10%)]],TRUE)*100,"")</f>
        <v/>
      </c>
      <c r="L6170" s="7" t="str">
        <f>IF(Table1[[#This Row],[Is Data Valid]]=TRUE,_xlfn.NORM.S.DIST(Table1[[#This Row],[Birthweight Z-Score (BW+10%)]],TRUE)*100,"")</f>
        <v/>
      </c>
    </row>
    <row r="6171" spans="1:12" x14ac:dyDescent="0.35">
      <c r="A6171" s="3"/>
      <c r="B6171" s="2"/>
      <c r="C6171" s="2"/>
      <c r="D6171" s="2" t="b">
        <f>IF(AND(NOT(ISBLANK(Table1[[#This Row],[Fetal Sex (Male, Female or Unknown)]])),ISNUMBER(Table1[[#This Row],[Birthweight (grams)]]),ISNUMBER(Table1[[#This Row],[Gestation (days)]])),TRUE,FALSE)</f>
        <v>0</v>
      </c>
      <c r="E6171" s="2" t="str">
        <f>IF(Table1[[#This Row],[Is Data Valid]]=TRUE,IF(Table1[[#This Row],[Fetal Sex (Male, Female or Unknown)]]="Male",Backend!$C$6,IF(Table1[[#This Row],[Fetal Sex (Male, Female or Unknown)]]="Female",Backend!$C$7,IF(Table1[[#This Row],[Fetal Sex (Male, Female or Unknown)]]="Unknown",Backend!$C$8,"Error"))),"")</f>
        <v/>
      </c>
      <c r="F6171" s="8" t="str">
        <f>IF(Table1[[#This Row],[Is Data Valid]]=TRUE,EXP(0.578+0.332*((Table1[[#This Row],[Gestation (days)]]+0.5)/7)-0.00354*((Table1[[#This Row],[Gestation (days)]]+0.5)/7)^2)*Table1[[#This Row],[BW40_3705]],"")</f>
        <v/>
      </c>
      <c r="G6171" s="2" t="str">
        <f>IF(Table1[[#This Row],[Is Data Valid]]=TRUE,((Table1[[#This Row],[Birthweight (grams)]]/Table1[[#This Row],[BW_GA]])-1)/(Backend!$B$4/100*Table1[[#This Row],[BW40_3705]]),"")</f>
        <v/>
      </c>
      <c r="H6171" s="7" t="str">
        <f>IF(Table1[[#This Row],[Is Data Valid]]=TRUE,((Table1[[#This Row],[Birthweight (grams)]]*0.9/Table1[[#This Row],[BW_GA]])-1)/(Backend!$B$4/100*Table1[[#This Row],[BW40_3705]]),"")</f>
        <v/>
      </c>
      <c r="I6171" s="7" t="str">
        <f>IF(Table1[[#This Row],[Is Data Valid]]=TRUE,((Table1[[#This Row],[Birthweight (grams)]]*1.1/Table1[[#This Row],[BW_GA]])-1)/(Backend!$B$4/100*Table1[[#This Row],[BW40_3705]]),"")</f>
        <v/>
      </c>
      <c r="J6171" s="7" t="str">
        <f>IF(Table1[[#This Row],[Is Data Valid]]=TRUE,_xlfn.NORM.S.DIST(Table1[[#This Row],[Birthweight Z-Score]],TRUE)*100,"")</f>
        <v/>
      </c>
      <c r="K6171" s="7" t="str">
        <f>IF(Table1[[#This Row],[Is Data Valid]]=TRUE,_xlfn.NORM.S.DIST(Table1[[#This Row],[Birthweight Z-Score (BW-10%)]],TRUE)*100,"")</f>
        <v/>
      </c>
      <c r="L6171" s="7" t="str">
        <f>IF(Table1[[#This Row],[Is Data Valid]]=TRUE,_xlfn.NORM.S.DIST(Table1[[#This Row],[Birthweight Z-Score (BW+10%)]],TRUE)*100,"")</f>
        <v/>
      </c>
    </row>
    <row r="6172" spans="1:12" x14ac:dyDescent="0.35">
      <c r="A6172" s="3"/>
      <c r="B6172" s="2"/>
      <c r="C6172" s="2"/>
      <c r="D6172" s="2" t="b">
        <f>IF(AND(NOT(ISBLANK(Table1[[#This Row],[Fetal Sex (Male, Female or Unknown)]])),ISNUMBER(Table1[[#This Row],[Birthweight (grams)]]),ISNUMBER(Table1[[#This Row],[Gestation (days)]])),TRUE,FALSE)</f>
        <v>0</v>
      </c>
      <c r="E6172" s="2" t="str">
        <f>IF(Table1[[#This Row],[Is Data Valid]]=TRUE,IF(Table1[[#This Row],[Fetal Sex (Male, Female or Unknown)]]="Male",Backend!$C$6,IF(Table1[[#This Row],[Fetal Sex (Male, Female or Unknown)]]="Female",Backend!$C$7,IF(Table1[[#This Row],[Fetal Sex (Male, Female or Unknown)]]="Unknown",Backend!$C$8,"Error"))),"")</f>
        <v/>
      </c>
      <c r="F6172" s="8" t="str">
        <f>IF(Table1[[#This Row],[Is Data Valid]]=TRUE,EXP(0.578+0.332*((Table1[[#This Row],[Gestation (days)]]+0.5)/7)-0.00354*((Table1[[#This Row],[Gestation (days)]]+0.5)/7)^2)*Table1[[#This Row],[BW40_3705]],"")</f>
        <v/>
      </c>
      <c r="G6172" s="2" t="str">
        <f>IF(Table1[[#This Row],[Is Data Valid]]=TRUE,((Table1[[#This Row],[Birthweight (grams)]]/Table1[[#This Row],[BW_GA]])-1)/(Backend!$B$4/100*Table1[[#This Row],[BW40_3705]]),"")</f>
        <v/>
      </c>
      <c r="H6172" s="7" t="str">
        <f>IF(Table1[[#This Row],[Is Data Valid]]=TRUE,((Table1[[#This Row],[Birthweight (grams)]]*0.9/Table1[[#This Row],[BW_GA]])-1)/(Backend!$B$4/100*Table1[[#This Row],[BW40_3705]]),"")</f>
        <v/>
      </c>
      <c r="I6172" s="7" t="str">
        <f>IF(Table1[[#This Row],[Is Data Valid]]=TRUE,((Table1[[#This Row],[Birthweight (grams)]]*1.1/Table1[[#This Row],[BW_GA]])-1)/(Backend!$B$4/100*Table1[[#This Row],[BW40_3705]]),"")</f>
        <v/>
      </c>
      <c r="J6172" s="7" t="str">
        <f>IF(Table1[[#This Row],[Is Data Valid]]=TRUE,_xlfn.NORM.S.DIST(Table1[[#This Row],[Birthweight Z-Score]],TRUE)*100,"")</f>
        <v/>
      </c>
      <c r="K6172" s="7" t="str">
        <f>IF(Table1[[#This Row],[Is Data Valid]]=TRUE,_xlfn.NORM.S.DIST(Table1[[#This Row],[Birthweight Z-Score (BW-10%)]],TRUE)*100,"")</f>
        <v/>
      </c>
      <c r="L6172" s="7" t="str">
        <f>IF(Table1[[#This Row],[Is Data Valid]]=TRUE,_xlfn.NORM.S.DIST(Table1[[#This Row],[Birthweight Z-Score (BW+10%)]],TRUE)*100,"")</f>
        <v/>
      </c>
    </row>
    <row r="6173" spans="1:12" x14ac:dyDescent="0.35">
      <c r="A6173" s="3"/>
      <c r="B6173" s="2"/>
      <c r="C6173" s="2"/>
      <c r="D6173" s="2" t="b">
        <f>IF(AND(NOT(ISBLANK(Table1[[#This Row],[Fetal Sex (Male, Female or Unknown)]])),ISNUMBER(Table1[[#This Row],[Birthweight (grams)]]),ISNUMBER(Table1[[#This Row],[Gestation (days)]])),TRUE,FALSE)</f>
        <v>0</v>
      </c>
      <c r="E6173" s="2" t="str">
        <f>IF(Table1[[#This Row],[Is Data Valid]]=TRUE,IF(Table1[[#This Row],[Fetal Sex (Male, Female or Unknown)]]="Male",Backend!$C$6,IF(Table1[[#This Row],[Fetal Sex (Male, Female or Unknown)]]="Female",Backend!$C$7,IF(Table1[[#This Row],[Fetal Sex (Male, Female or Unknown)]]="Unknown",Backend!$C$8,"Error"))),"")</f>
        <v/>
      </c>
      <c r="F6173" s="8" t="str">
        <f>IF(Table1[[#This Row],[Is Data Valid]]=TRUE,EXP(0.578+0.332*((Table1[[#This Row],[Gestation (days)]]+0.5)/7)-0.00354*((Table1[[#This Row],[Gestation (days)]]+0.5)/7)^2)*Table1[[#This Row],[BW40_3705]],"")</f>
        <v/>
      </c>
      <c r="G6173" s="2" t="str">
        <f>IF(Table1[[#This Row],[Is Data Valid]]=TRUE,((Table1[[#This Row],[Birthweight (grams)]]/Table1[[#This Row],[BW_GA]])-1)/(Backend!$B$4/100*Table1[[#This Row],[BW40_3705]]),"")</f>
        <v/>
      </c>
      <c r="H6173" s="7" t="str">
        <f>IF(Table1[[#This Row],[Is Data Valid]]=TRUE,((Table1[[#This Row],[Birthweight (grams)]]*0.9/Table1[[#This Row],[BW_GA]])-1)/(Backend!$B$4/100*Table1[[#This Row],[BW40_3705]]),"")</f>
        <v/>
      </c>
      <c r="I6173" s="7" t="str">
        <f>IF(Table1[[#This Row],[Is Data Valid]]=TRUE,((Table1[[#This Row],[Birthweight (grams)]]*1.1/Table1[[#This Row],[BW_GA]])-1)/(Backend!$B$4/100*Table1[[#This Row],[BW40_3705]]),"")</f>
        <v/>
      </c>
      <c r="J6173" s="7" t="str">
        <f>IF(Table1[[#This Row],[Is Data Valid]]=TRUE,_xlfn.NORM.S.DIST(Table1[[#This Row],[Birthweight Z-Score]],TRUE)*100,"")</f>
        <v/>
      </c>
      <c r="K6173" s="7" t="str">
        <f>IF(Table1[[#This Row],[Is Data Valid]]=TRUE,_xlfn.NORM.S.DIST(Table1[[#This Row],[Birthweight Z-Score (BW-10%)]],TRUE)*100,"")</f>
        <v/>
      </c>
      <c r="L6173" s="7" t="str">
        <f>IF(Table1[[#This Row],[Is Data Valid]]=TRUE,_xlfn.NORM.S.DIST(Table1[[#This Row],[Birthweight Z-Score (BW+10%)]],TRUE)*100,"")</f>
        <v/>
      </c>
    </row>
    <row r="6174" spans="1:12" x14ac:dyDescent="0.35">
      <c r="A6174" s="3"/>
      <c r="B6174" s="2"/>
      <c r="C6174" s="2"/>
      <c r="D6174" s="2" t="b">
        <f>IF(AND(NOT(ISBLANK(Table1[[#This Row],[Fetal Sex (Male, Female or Unknown)]])),ISNUMBER(Table1[[#This Row],[Birthweight (grams)]]),ISNUMBER(Table1[[#This Row],[Gestation (days)]])),TRUE,FALSE)</f>
        <v>0</v>
      </c>
      <c r="E6174" s="2" t="str">
        <f>IF(Table1[[#This Row],[Is Data Valid]]=TRUE,IF(Table1[[#This Row],[Fetal Sex (Male, Female or Unknown)]]="Male",Backend!$C$6,IF(Table1[[#This Row],[Fetal Sex (Male, Female or Unknown)]]="Female",Backend!$C$7,IF(Table1[[#This Row],[Fetal Sex (Male, Female or Unknown)]]="Unknown",Backend!$C$8,"Error"))),"")</f>
        <v/>
      </c>
      <c r="F6174" s="8" t="str">
        <f>IF(Table1[[#This Row],[Is Data Valid]]=TRUE,EXP(0.578+0.332*((Table1[[#This Row],[Gestation (days)]]+0.5)/7)-0.00354*((Table1[[#This Row],[Gestation (days)]]+0.5)/7)^2)*Table1[[#This Row],[BW40_3705]],"")</f>
        <v/>
      </c>
      <c r="G6174" s="2" t="str">
        <f>IF(Table1[[#This Row],[Is Data Valid]]=TRUE,((Table1[[#This Row],[Birthweight (grams)]]/Table1[[#This Row],[BW_GA]])-1)/(Backend!$B$4/100*Table1[[#This Row],[BW40_3705]]),"")</f>
        <v/>
      </c>
      <c r="H6174" s="7" t="str">
        <f>IF(Table1[[#This Row],[Is Data Valid]]=TRUE,((Table1[[#This Row],[Birthweight (grams)]]*0.9/Table1[[#This Row],[BW_GA]])-1)/(Backend!$B$4/100*Table1[[#This Row],[BW40_3705]]),"")</f>
        <v/>
      </c>
      <c r="I6174" s="7" t="str">
        <f>IF(Table1[[#This Row],[Is Data Valid]]=TRUE,((Table1[[#This Row],[Birthweight (grams)]]*1.1/Table1[[#This Row],[BW_GA]])-1)/(Backend!$B$4/100*Table1[[#This Row],[BW40_3705]]),"")</f>
        <v/>
      </c>
      <c r="J6174" s="7" t="str">
        <f>IF(Table1[[#This Row],[Is Data Valid]]=TRUE,_xlfn.NORM.S.DIST(Table1[[#This Row],[Birthweight Z-Score]],TRUE)*100,"")</f>
        <v/>
      </c>
      <c r="K6174" s="7" t="str">
        <f>IF(Table1[[#This Row],[Is Data Valid]]=TRUE,_xlfn.NORM.S.DIST(Table1[[#This Row],[Birthweight Z-Score (BW-10%)]],TRUE)*100,"")</f>
        <v/>
      </c>
      <c r="L6174" s="7" t="str">
        <f>IF(Table1[[#This Row],[Is Data Valid]]=TRUE,_xlfn.NORM.S.DIST(Table1[[#This Row],[Birthweight Z-Score (BW+10%)]],TRUE)*100,"")</f>
        <v/>
      </c>
    </row>
    <row r="6175" spans="1:12" x14ac:dyDescent="0.35">
      <c r="A6175" s="3"/>
      <c r="B6175" s="2"/>
      <c r="C6175" s="2"/>
      <c r="D6175" s="2" t="b">
        <f>IF(AND(NOT(ISBLANK(Table1[[#This Row],[Fetal Sex (Male, Female or Unknown)]])),ISNUMBER(Table1[[#This Row],[Birthweight (grams)]]),ISNUMBER(Table1[[#This Row],[Gestation (days)]])),TRUE,FALSE)</f>
        <v>0</v>
      </c>
      <c r="E6175" s="2" t="str">
        <f>IF(Table1[[#This Row],[Is Data Valid]]=TRUE,IF(Table1[[#This Row],[Fetal Sex (Male, Female or Unknown)]]="Male",Backend!$C$6,IF(Table1[[#This Row],[Fetal Sex (Male, Female or Unknown)]]="Female",Backend!$C$7,IF(Table1[[#This Row],[Fetal Sex (Male, Female or Unknown)]]="Unknown",Backend!$C$8,"Error"))),"")</f>
        <v/>
      </c>
      <c r="F6175" s="8" t="str">
        <f>IF(Table1[[#This Row],[Is Data Valid]]=TRUE,EXP(0.578+0.332*((Table1[[#This Row],[Gestation (days)]]+0.5)/7)-0.00354*((Table1[[#This Row],[Gestation (days)]]+0.5)/7)^2)*Table1[[#This Row],[BW40_3705]],"")</f>
        <v/>
      </c>
      <c r="G6175" s="2" t="str">
        <f>IF(Table1[[#This Row],[Is Data Valid]]=TRUE,((Table1[[#This Row],[Birthweight (grams)]]/Table1[[#This Row],[BW_GA]])-1)/(Backend!$B$4/100*Table1[[#This Row],[BW40_3705]]),"")</f>
        <v/>
      </c>
      <c r="H6175" s="7" t="str">
        <f>IF(Table1[[#This Row],[Is Data Valid]]=TRUE,((Table1[[#This Row],[Birthweight (grams)]]*0.9/Table1[[#This Row],[BW_GA]])-1)/(Backend!$B$4/100*Table1[[#This Row],[BW40_3705]]),"")</f>
        <v/>
      </c>
      <c r="I6175" s="7" t="str">
        <f>IF(Table1[[#This Row],[Is Data Valid]]=TRUE,((Table1[[#This Row],[Birthweight (grams)]]*1.1/Table1[[#This Row],[BW_GA]])-1)/(Backend!$B$4/100*Table1[[#This Row],[BW40_3705]]),"")</f>
        <v/>
      </c>
      <c r="J6175" s="7" t="str">
        <f>IF(Table1[[#This Row],[Is Data Valid]]=TRUE,_xlfn.NORM.S.DIST(Table1[[#This Row],[Birthweight Z-Score]],TRUE)*100,"")</f>
        <v/>
      </c>
      <c r="K6175" s="7" t="str">
        <f>IF(Table1[[#This Row],[Is Data Valid]]=TRUE,_xlfn.NORM.S.DIST(Table1[[#This Row],[Birthweight Z-Score (BW-10%)]],TRUE)*100,"")</f>
        <v/>
      </c>
      <c r="L6175" s="7" t="str">
        <f>IF(Table1[[#This Row],[Is Data Valid]]=TRUE,_xlfn.NORM.S.DIST(Table1[[#This Row],[Birthweight Z-Score (BW+10%)]],TRUE)*100,"")</f>
        <v/>
      </c>
    </row>
    <row r="6176" spans="1:12" x14ac:dyDescent="0.35">
      <c r="A6176" s="3"/>
      <c r="B6176" s="2"/>
      <c r="C6176" s="2"/>
      <c r="D6176" s="2" t="b">
        <f>IF(AND(NOT(ISBLANK(Table1[[#This Row],[Fetal Sex (Male, Female or Unknown)]])),ISNUMBER(Table1[[#This Row],[Birthweight (grams)]]),ISNUMBER(Table1[[#This Row],[Gestation (days)]])),TRUE,FALSE)</f>
        <v>0</v>
      </c>
      <c r="E6176" s="2" t="str">
        <f>IF(Table1[[#This Row],[Is Data Valid]]=TRUE,IF(Table1[[#This Row],[Fetal Sex (Male, Female or Unknown)]]="Male",Backend!$C$6,IF(Table1[[#This Row],[Fetal Sex (Male, Female or Unknown)]]="Female",Backend!$C$7,IF(Table1[[#This Row],[Fetal Sex (Male, Female or Unknown)]]="Unknown",Backend!$C$8,"Error"))),"")</f>
        <v/>
      </c>
      <c r="F6176" s="8" t="str">
        <f>IF(Table1[[#This Row],[Is Data Valid]]=TRUE,EXP(0.578+0.332*((Table1[[#This Row],[Gestation (days)]]+0.5)/7)-0.00354*((Table1[[#This Row],[Gestation (days)]]+0.5)/7)^2)*Table1[[#This Row],[BW40_3705]],"")</f>
        <v/>
      </c>
      <c r="G6176" s="2" t="str">
        <f>IF(Table1[[#This Row],[Is Data Valid]]=TRUE,((Table1[[#This Row],[Birthweight (grams)]]/Table1[[#This Row],[BW_GA]])-1)/(Backend!$B$4/100*Table1[[#This Row],[BW40_3705]]),"")</f>
        <v/>
      </c>
      <c r="H6176" s="7" t="str">
        <f>IF(Table1[[#This Row],[Is Data Valid]]=TRUE,((Table1[[#This Row],[Birthweight (grams)]]*0.9/Table1[[#This Row],[BW_GA]])-1)/(Backend!$B$4/100*Table1[[#This Row],[BW40_3705]]),"")</f>
        <v/>
      </c>
      <c r="I6176" s="7" t="str">
        <f>IF(Table1[[#This Row],[Is Data Valid]]=TRUE,((Table1[[#This Row],[Birthweight (grams)]]*1.1/Table1[[#This Row],[BW_GA]])-1)/(Backend!$B$4/100*Table1[[#This Row],[BW40_3705]]),"")</f>
        <v/>
      </c>
      <c r="J6176" s="7" t="str">
        <f>IF(Table1[[#This Row],[Is Data Valid]]=TRUE,_xlfn.NORM.S.DIST(Table1[[#This Row],[Birthweight Z-Score]],TRUE)*100,"")</f>
        <v/>
      </c>
      <c r="K6176" s="7" t="str">
        <f>IF(Table1[[#This Row],[Is Data Valid]]=TRUE,_xlfn.NORM.S.DIST(Table1[[#This Row],[Birthweight Z-Score (BW-10%)]],TRUE)*100,"")</f>
        <v/>
      </c>
      <c r="L6176" s="7" t="str">
        <f>IF(Table1[[#This Row],[Is Data Valid]]=TRUE,_xlfn.NORM.S.DIST(Table1[[#This Row],[Birthweight Z-Score (BW+10%)]],TRUE)*100,"")</f>
        <v/>
      </c>
    </row>
    <row r="6177" spans="1:12" x14ac:dyDescent="0.35">
      <c r="A6177" s="3"/>
      <c r="B6177" s="2"/>
      <c r="C6177" s="2"/>
      <c r="D6177" s="2" t="b">
        <f>IF(AND(NOT(ISBLANK(Table1[[#This Row],[Fetal Sex (Male, Female or Unknown)]])),ISNUMBER(Table1[[#This Row],[Birthweight (grams)]]),ISNUMBER(Table1[[#This Row],[Gestation (days)]])),TRUE,FALSE)</f>
        <v>0</v>
      </c>
      <c r="E6177" s="2" t="str">
        <f>IF(Table1[[#This Row],[Is Data Valid]]=TRUE,IF(Table1[[#This Row],[Fetal Sex (Male, Female or Unknown)]]="Male",Backend!$C$6,IF(Table1[[#This Row],[Fetal Sex (Male, Female or Unknown)]]="Female",Backend!$C$7,IF(Table1[[#This Row],[Fetal Sex (Male, Female or Unknown)]]="Unknown",Backend!$C$8,"Error"))),"")</f>
        <v/>
      </c>
      <c r="F6177" s="8" t="str">
        <f>IF(Table1[[#This Row],[Is Data Valid]]=TRUE,EXP(0.578+0.332*((Table1[[#This Row],[Gestation (days)]]+0.5)/7)-0.00354*((Table1[[#This Row],[Gestation (days)]]+0.5)/7)^2)*Table1[[#This Row],[BW40_3705]],"")</f>
        <v/>
      </c>
      <c r="G6177" s="2" t="str">
        <f>IF(Table1[[#This Row],[Is Data Valid]]=TRUE,((Table1[[#This Row],[Birthweight (grams)]]/Table1[[#This Row],[BW_GA]])-1)/(Backend!$B$4/100*Table1[[#This Row],[BW40_3705]]),"")</f>
        <v/>
      </c>
      <c r="H6177" s="7" t="str">
        <f>IF(Table1[[#This Row],[Is Data Valid]]=TRUE,((Table1[[#This Row],[Birthweight (grams)]]*0.9/Table1[[#This Row],[BW_GA]])-1)/(Backend!$B$4/100*Table1[[#This Row],[BW40_3705]]),"")</f>
        <v/>
      </c>
      <c r="I6177" s="7" t="str">
        <f>IF(Table1[[#This Row],[Is Data Valid]]=TRUE,((Table1[[#This Row],[Birthweight (grams)]]*1.1/Table1[[#This Row],[BW_GA]])-1)/(Backend!$B$4/100*Table1[[#This Row],[BW40_3705]]),"")</f>
        <v/>
      </c>
      <c r="J6177" s="7" t="str">
        <f>IF(Table1[[#This Row],[Is Data Valid]]=TRUE,_xlfn.NORM.S.DIST(Table1[[#This Row],[Birthweight Z-Score]],TRUE)*100,"")</f>
        <v/>
      </c>
      <c r="K6177" s="7" t="str">
        <f>IF(Table1[[#This Row],[Is Data Valid]]=TRUE,_xlfn.NORM.S.DIST(Table1[[#This Row],[Birthweight Z-Score (BW-10%)]],TRUE)*100,"")</f>
        <v/>
      </c>
      <c r="L6177" s="7" t="str">
        <f>IF(Table1[[#This Row],[Is Data Valid]]=TRUE,_xlfn.NORM.S.DIST(Table1[[#This Row],[Birthweight Z-Score (BW+10%)]],TRUE)*100,"")</f>
        <v/>
      </c>
    </row>
    <row r="6178" spans="1:12" x14ac:dyDescent="0.35">
      <c r="A6178" s="3"/>
      <c r="B6178" s="2"/>
      <c r="C6178" s="2"/>
      <c r="D6178" s="2" t="b">
        <f>IF(AND(NOT(ISBLANK(Table1[[#This Row],[Fetal Sex (Male, Female or Unknown)]])),ISNUMBER(Table1[[#This Row],[Birthweight (grams)]]),ISNUMBER(Table1[[#This Row],[Gestation (days)]])),TRUE,FALSE)</f>
        <v>0</v>
      </c>
      <c r="E6178" s="2" t="str">
        <f>IF(Table1[[#This Row],[Is Data Valid]]=TRUE,IF(Table1[[#This Row],[Fetal Sex (Male, Female or Unknown)]]="Male",Backend!$C$6,IF(Table1[[#This Row],[Fetal Sex (Male, Female or Unknown)]]="Female",Backend!$C$7,IF(Table1[[#This Row],[Fetal Sex (Male, Female or Unknown)]]="Unknown",Backend!$C$8,"Error"))),"")</f>
        <v/>
      </c>
      <c r="F6178" s="8" t="str">
        <f>IF(Table1[[#This Row],[Is Data Valid]]=TRUE,EXP(0.578+0.332*((Table1[[#This Row],[Gestation (days)]]+0.5)/7)-0.00354*((Table1[[#This Row],[Gestation (days)]]+0.5)/7)^2)*Table1[[#This Row],[BW40_3705]],"")</f>
        <v/>
      </c>
      <c r="G6178" s="2" t="str">
        <f>IF(Table1[[#This Row],[Is Data Valid]]=TRUE,((Table1[[#This Row],[Birthweight (grams)]]/Table1[[#This Row],[BW_GA]])-1)/(Backend!$B$4/100*Table1[[#This Row],[BW40_3705]]),"")</f>
        <v/>
      </c>
      <c r="H6178" s="7" t="str">
        <f>IF(Table1[[#This Row],[Is Data Valid]]=TRUE,((Table1[[#This Row],[Birthweight (grams)]]*0.9/Table1[[#This Row],[BW_GA]])-1)/(Backend!$B$4/100*Table1[[#This Row],[BW40_3705]]),"")</f>
        <v/>
      </c>
      <c r="I6178" s="7" t="str">
        <f>IF(Table1[[#This Row],[Is Data Valid]]=TRUE,((Table1[[#This Row],[Birthweight (grams)]]*1.1/Table1[[#This Row],[BW_GA]])-1)/(Backend!$B$4/100*Table1[[#This Row],[BW40_3705]]),"")</f>
        <v/>
      </c>
      <c r="J6178" s="7" t="str">
        <f>IF(Table1[[#This Row],[Is Data Valid]]=TRUE,_xlfn.NORM.S.DIST(Table1[[#This Row],[Birthweight Z-Score]],TRUE)*100,"")</f>
        <v/>
      </c>
      <c r="K6178" s="7" t="str">
        <f>IF(Table1[[#This Row],[Is Data Valid]]=TRUE,_xlfn.NORM.S.DIST(Table1[[#This Row],[Birthweight Z-Score (BW-10%)]],TRUE)*100,"")</f>
        <v/>
      </c>
      <c r="L6178" s="7" t="str">
        <f>IF(Table1[[#This Row],[Is Data Valid]]=TRUE,_xlfn.NORM.S.DIST(Table1[[#This Row],[Birthweight Z-Score (BW+10%)]],TRUE)*100,"")</f>
        <v/>
      </c>
    </row>
    <row r="6179" spans="1:12" x14ac:dyDescent="0.35">
      <c r="A6179" s="3"/>
      <c r="B6179" s="2"/>
      <c r="C6179" s="2"/>
      <c r="D6179" s="2" t="b">
        <f>IF(AND(NOT(ISBLANK(Table1[[#This Row],[Fetal Sex (Male, Female or Unknown)]])),ISNUMBER(Table1[[#This Row],[Birthweight (grams)]]),ISNUMBER(Table1[[#This Row],[Gestation (days)]])),TRUE,FALSE)</f>
        <v>0</v>
      </c>
      <c r="E6179" s="2" t="str">
        <f>IF(Table1[[#This Row],[Is Data Valid]]=TRUE,IF(Table1[[#This Row],[Fetal Sex (Male, Female or Unknown)]]="Male",Backend!$C$6,IF(Table1[[#This Row],[Fetal Sex (Male, Female or Unknown)]]="Female",Backend!$C$7,IF(Table1[[#This Row],[Fetal Sex (Male, Female or Unknown)]]="Unknown",Backend!$C$8,"Error"))),"")</f>
        <v/>
      </c>
      <c r="F6179" s="8" t="str">
        <f>IF(Table1[[#This Row],[Is Data Valid]]=TRUE,EXP(0.578+0.332*((Table1[[#This Row],[Gestation (days)]]+0.5)/7)-0.00354*((Table1[[#This Row],[Gestation (days)]]+0.5)/7)^2)*Table1[[#This Row],[BW40_3705]],"")</f>
        <v/>
      </c>
      <c r="G6179" s="2" t="str">
        <f>IF(Table1[[#This Row],[Is Data Valid]]=TRUE,((Table1[[#This Row],[Birthweight (grams)]]/Table1[[#This Row],[BW_GA]])-1)/(Backend!$B$4/100*Table1[[#This Row],[BW40_3705]]),"")</f>
        <v/>
      </c>
      <c r="H6179" s="7" t="str">
        <f>IF(Table1[[#This Row],[Is Data Valid]]=TRUE,((Table1[[#This Row],[Birthweight (grams)]]*0.9/Table1[[#This Row],[BW_GA]])-1)/(Backend!$B$4/100*Table1[[#This Row],[BW40_3705]]),"")</f>
        <v/>
      </c>
      <c r="I6179" s="7" t="str">
        <f>IF(Table1[[#This Row],[Is Data Valid]]=TRUE,((Table1[[#This Row],[Birthweight (grams)]]*1.1/Table1[[#This Row],[BW_GA]])-1)/(Backend!$B$4/100*Table1[[#This Row],[BW40_3705]]),"")</f>
        <v/>
      </c>
      <c r="J6179" s="7" t="str">
        <f>IF(Table1[[#This Row],[Is Data Valid]]=TRUE,_xlfn.NORM.S.DIST(Table1[[#This Row],[Birthweight Z-Score]],TRUE)*100,"")</f>
        <v/>
      </c>
      <c r="K6179" s="7" t="str">
        <f>IF(Table1[[#This Row],[Is Data Valid]]=TRUE,_xlfn.NORM.S.DIST(Table1[[#This Row],[Birthweight Z-Score (BW-10%)]],TRUE)*100,"")</f>
        <v/>
      </c>
      <c r="L6179" s="7" t="str">
        <f>IF(Table1[[#This Row],[Is Data Valid]]=TRUE,_xlfn.NORM.S.DIST(Table1[[#This Row],[Birthweight Z-Score (BW+10%)]],TRUE)*100,"")</f>
        <v/>
      </c>
    </row>
    <row r="6180" spans="1:12" x14ac:dyDescent="0.35">
      <c r="A6180" s="3"/>
      <c r="B6180" s="2"/>
      <c r="C6180" s="2"/>
      <c r="D6180" s="2" t="b">
        <f>IF(AND(NOT(ISBLANK(Table1[[#This Row],[Fetal Sex (Male, Female or Unknown)]])),ISNUMBER(Table1[[#This Row],[Birthweight (grams)]]),ISNUMBER(Table1[[#This Row],[Gestation (days)]])),TRUE,FALSE)</f>
        <v>0</v>
      </c>
      <c r="E6180" s="2" t="str">
        <f>IF(Table1[[#This Row],[Is Data Valid]]=TRUE,IF(Table1[[#This Row],[Fetal Sex (Male, Female or Unknown)]]="Male",Backend!$C$6,IF(Table1[[#This Row],[Fetal Sex (Male, Female or Unknown)]]="Female",Backend!$C$7,IF(Table1[[#This Row],[Fetal Sex (Male, Female or Unknown)]]="Unknown",Backend!$C$8,"Error"))),"")</f>
        <v/>
      </c>
      <c r="F6180" s="8" t="str">
        <f>IF(Table1[[#This Row],[Is Data Valid]]=TRUE,EXP(0.578+0.332*((Table1[[#This Row],[Gestation (days)]]+0.5)/7)-0.00354*((Table1[[#This Row],[Gestation (days)]]+0.5)/7)^2)*Table1[[#This Row],[BW40_3705]],"")</f>
        <v/>
      </c>
      <c r="G6180" s="2" t="str">
        <f>IF(Table1[[#This Row],[Is Data Valid]]=TRUE,((Table1[[#This Row],[Birthweight (grams)]]/Table1[[#This Row],[BW_GA]])-1)/(Backend!$B$4/100*Table1[[#This Row],[BW40_3705]]),"")</f>
        <v/>
      </c>
      <c r="H6180" s="7" t="str">
        <f>IF(Table1[[#This Row],[Is Data Valid]]=TRUE,((Table1[[#This Row],[Birthweight (grams)]]*0.9/Table1[[#This Row],[BW_GA]])-1)/(Backend!$B$4/100*Table1[[#This Row],[BW40_3705]]),"")</f>
        <v/>
      </c>
      <c r="I6180" s="7" t="str">
        <f>IF(Table1[[#This Row],[Is Data Valid]]=TRUE,((Table1[[#This Row],[Birthweight (grams)]]*1.1/Table1[[#This Row],[BW_GA]])-1)/(Backend!$B$4/100*Table1[[#This Row],[BW40_3705]]),"")</f>
        <v/>
      </c>
      <c r="J6180" s="7" t="str">
        <f>IF(Table1[[#This Row],[Is Data Valid]]=TRUE,_xlfn.NORM.S.DIST(Table1[[#This Row],[Birthweight Z-Score]],TRUE)*100,"")</f>
        <v/>
      </c>
      <c r="K6180" s="7" t="str">
        <f>IF(Table1[[#This Row],[Is Data Valid]]=TRUE,_xlfn.NORM.S.DIST(Table1[[#This Row],[Birthweight Z-Score (BW-10%)]],TRUE)*100,"")</f>
        <v/>
      </c>
      <c r="L6180" s="7" t="str">
        <f>IF(Table1[[#This Row],[Is Data Valid]]=TRUE,_xlfn.NORM.S.DIST(Table1[[#This Row],[Birthweight Z-Score (BW+10%)]],TRUE)*100,"")</f>
        <v/>
      </c>
    </row>
    <row r="6181" spans="1:12" x14ac:dyDescent="0.35">
      <c r="A6181" s="3"/>
      <c r="B6181" s="2"/>
      <c r="C6181" s="2"/>
      <c r="D6181" s="2" t="b">
        <f>IF(AND(NOT(ISBLANK(Table1[[#This Row],[Fetal Sex (Male, Female or Unknown)]])),ISNUMBER(Table1[[#This Row],[Birthweight (grams)]]),ISNUMBER(Table1[[#This Row],[Gestation (days)]])),TRUE,FALSE)</f>
        <v>0</v>
      </c>
      <c r="E6181" s="2" t="str">
        <f>IF(Table1[[#This Row],[Is Data Valid]]=TRUE,IF(Table1[[#This Row],[Fetal Sex (Male, Female or Unknown)]]="Male",Backend!$C$6,IF(Table1[[#This Row],[Fetal Sex (Male, Female or Unknown)]]="Female",Backend!$C$7,IF(Table1[[#This Row],[Fetal Sex (Male, Female or Unknown)]]="Unknown",Backend!$C$8,"Error"))),"")</f>
        <v/>
      </c>
      <c r="F6181" s="8" t="str">
        <f>IF(Table1[[#This Row],[Is Data Valid]]=TRUE,EXP(0.578+0.332*((Table1[[#This Row],[Gestation (days)]]+0.5)/7)-0.00354*((Table1[[#This Row],[Gestation (days)]]+0.5)/7)^2)*Table1[[#This Row],[BW40_3705]],"")</f>
        <v/>
      </c>
      <c r="G6181" s="2" t="str">
        <f>IF(Table1[[#This Row],[Is Data Valid]]=TRUE,((Table1[[#This Row],[Birthweight (grams)]]/Table1[[#This Row],[BW_GA]])-1)/(Backend!$B$4/100*Table1[[#This Row],[BW40_3705]]),"")</f>
        <v/>
      </c>
      <c r="H6181" s="7" t="str">
        <f>IF(Table1[[#This Row],[Is Data Valid]]=TRUE,((Table1[[#This Row],[Birthweight (grams)]]*0.9/Table1[[#This Row],[BW_GA]])-1)/(Backend!$B$4/100*Table1[[#This Row],[BW40_3705]]),"")</f>
        <v/>
      </c>
      <c r="I6181" s="7" t="str">
        <f>IF(Table1[[#This Row],[Is Data Valid]]=TRUE,((Table1[[#This Row],[Birthweight (grams)]]*1.1/Table1[[#This Row],[BW_GA]])-1)/(Backend!$B$4/100*Table1[[#This Row],[BW40_3705]]),"")</f>
        <v/>
      </c>
      <c r="J6181" s="7" t="str">
        <f>IF(Table1[[#This Row],[Is Data Valid]]=TRUE,_xlfn.NORM.S.DIST(Table1[[#This Row],[Birthweight Z-Score]],TRUE)*100,"")</f>
        <v/>
      </c>
      <c r="K6181" s="7" t="str">
        <f>IF(Table1[[#This Row],[Is Data Valid]]=TRUE,_xlfn.NORM.S.DIST(Table1[[#This Row],[Birthweight Z-Score (BW-10%)]],TRUE)*100,"")</f>
        <v/>
      </c>
      <c r="L6181" s="7" t="str">
        <f>IF(Table1[[#This Row],[Is Data Valid]]=TRUE,_xlfn.NORM.S.DIST(Table1[[#This Row],[Birthweight Z-Score (BW+10%)]],TRUE)*100,"")</f>
        <v/>
      </c>
    </row>
    <row r="6182" spans="1:12" x14ac:dyDescent="0.35">
      <c r="A6182" s="3"/>
      <c r="B6182" s="2"/>
      <c r="C6182" s="2"/>
      <c r="D6182" s="2" t="b">
        <f>IF(AND(NOT(ISBLANK(Table1[[#This Row],[Fetal Sex (Male, Female or Unknown)]])),ISNUMBER(Table1[[#This Row],[Birthweight (grams)]]),ISNUMBER(Table1[[#This Row],[Gestation (days)]])),TRUE,FALSE)</f>
        <v>0</v>
      </c>
      <c r="E6182" s="2" t="str">
        <f>IF(Table1[[#This Row],[Is Data Valid]]=TRUE,IF(Table1[[#This Row],[Fetal Sex (Male, Female or Unknown)]]="Male",Backend!$C$6,IF(Table1[[#This Row],[Fetal Sex (Male, Female or Unknown)]]="Female",Backend!$C$7,IF(Table1[[#This Row],[Fetal Sex (Male, Female or Unknown)]]="Unknown",Backend!$C$8,"Error"))),"")</f>
        <v/>
      </c>
      <c r="F6182" s="8" t="str">
        <f>IF(Table1[[#This Row],[Is Data Valid]]=TRUE,EXP(0.578+0.332*((Table1[[#This Row],[Gestation (days)]]+0.5)/7)-0.00354*((Table1[[#This Row],[Gestation (days)]]+0.5)/7)^2)*Table1[[#This Row],[BW40_3705]],"")</f>
        <v/>
      </c>
      <c r="G6182" s="2" t="str">
        <f>IF(Table1[[#This Row],[Is Data Valid]]=TRUE,((Table1[[#This Row],[Birthweight (grams)]]/Table1[[#This Row],[BW_GA]])-1)/(Backend!$B$4/100*Table1[[#This Row],[BW40_3705]]),"")</f>
        <v/>
      </c>
      <c r="H6182" s="7" t="str">
        <f>IF(Table1[[#This Row],[Is Data Valid]]=TRUE,((Table1[[#This Row],[Birthweight (grams)]]*0.9/Table1[[#This Row],[BW_GA]])-1)/(Backend!$B$4/100*Table1[[#This Row],[BW40_3705]]),"")</f>
        <v/>
      </c>
      <c r="I6182" s="7" t="str">
        <f>IF(Table1[[#This Row],[Is Data Valid]]=TRUE,((Table1[[#This Row],[Birthweight (grams)]]*1.1/Table1[[#This Row],[BW_GA]])-1)/(Backend!$B$4/100*Table1[[#This Row],[BW40_3705]]),"")</f>
        <v/>
      </c>
      <c r="J6182" s="7" t="str">
        <f>IF(Table1[[#This Row],[Is Data Valid]]=TRUE,_xlfn.NORM.S.DIST(Table1[[#This Row],[Birthweight Z-Score]],TRUE)*100,"")</f>
        <v/>
      </c>
      <c r="K6182" s="7" t="str">
        <f>IF(Table1[[#This Row],[Is Data Valid]]=TRUE,_xlfn.NORM.S.DIST(Table1[[#This Row],[Birthweight Z-Score (BW-10%)]],TRUE)*100,"")</f>
        <v/>
      </c>
      <c r="L6182" s="7" t="str">
        <f>IF(Table1[[#This Row],[Is Data Valid]]=TRUE,_xlfn.NORM.S.DIST(Table1[[#This Row],[Birthweight Z-Score (BW+10%)]],TRUE)*100,"")</f>
        <v/>
      </c>
    </row>
    <row r="6183" spans="1:12" x14ac:dyDescent="0.35">
      <c r="A6183" s="3"/>
      <c r="B6183" s="2"/>
      <c r="C6183" s="2"/>
      <c r="D6183" s="2" t="b">
        <f>IF(AND(NOT(ISBLANK(Table1[[#This Row],[Fetal Sex (Male, Female or Unknown)]])),ISNUMBER(Table1[[#This Row],[Birthweight (grams)]]),ISNUMBER(Table1[[#This Row],[Gestation (days)]])),TRUE,FALSE)</f>
        <v>0</v>
      </c>
      <c r="E6183" s="2" t="str">
        <f>IF(Table1[[#This Row],[Is Data Valid]]=TRUE,IF(Table1[[#This Row],[Fetal Sex (Male, Female or Unknown)]]="Male",Backend!$C$6,IF(Table1[[#This Row],[Fetal Sex (Male, Female or Unknown)]]="Female",Backend!$C$7,IF(Table1[[#This Row],[Fetal Sex (Male, Female or Unknown)]]="Unknown",Backend!$C$8,"Error"))),"")</f>
        <v/>
      </c>
      <c r="F6183" s="8" t="str">
        <f>IF(Table1[[#This Row],[Is Data Valid]]=TRUE,EXP(0.578+0.332*((Table1[[#This Row],[Gestation (days)]]+0.5)/7)-0.00354*((Table1[[#This Row],[Gestation (days)]]+0.5)/7)^2)*Table1[[#This Row],[BW40_3705]],"")</f>
        <v/>
      </c>
      <c r="G6183" s="2" t="str">
        <f>IF(Table1[[#This Row],[Is Data Valid]]=TRUE,((Table1[[#This Row],[Birthweight (grams)]]/Table1[[#This Row],[BW_GA]])-1)/(Backend!$B$4/100*Table1[[#This Row],[BW40_3705]]),"")</f>
        <v/>
      </c>
      <c r="H6183" s="7" t="str">
        <f>IF(Table1[[#This Row],[Is Data Valid]]=TRUE,((Table1[[#This Row],[Birthweight (grams)]]*0.9/Table1[[#This Row],[BW_GA]])-1)/(Backend!$B$4/100*Table1[[#This Row],[BW40_3705]]),"")</f>
        <v/>
      </c>
      <c r="I6183" s="7" t="str">
        <f>IF(Table1[[#This Row],[Is Data Valid]]=TRUE,((Table1[[#This Row],[Birthweight (grams)]]*1.1/Table1[[#This Row],[BW_GA]])-1)/(Backend!$B$4/100*Table1[[#This Row],[BW40_3705]]),"")</f>
        <v/>
      </c>
      <c r="J6183" s="7" t="str">
        <f>IF(Table1[[#This Row],[Is Data Valid]]=TRUE,_xlfn.NORM.S.DIST(Table1[[#This Row],[Birthweight Z-Score]],TRUE)*100,"")</f>
        <v/>
      </c>
      <c r="K6183" s="7" t="str">
        <f>IF(Table1[[#This Row],[Is Data Valid]]=TRUE,_xlfn.NORM.S.DIST(Table1[[#This Row],[Birthweight Z-Score (BW-10%)]],TRUE)*100,"")</f>
        <v/>
      </c>
      <c r="L6183" s="7" t="str">
        <f>IF(Table1[[#This Row],[Is Data Valid]]=TRUE,_xlfn.NORM.S.DIST(Table1[[#This Row],[Birthweight Z-Score (BW+10%)]],TRUE)*100,"")</f>
        <v/>
      </c>
    </row>
    <row r="6184" spans="1:12" x14ac:dyDescent="0.35">
      <c r="A6184" s="3"/>
      <c r="B6184" s="2"/>
      <c r="C6184" s="2"/>
      <c r="D6184" s="2" t="b">
        <f>IF(AND(NOT(ISBLANK(Table1[[#This Row],[Fetal Sex (Male, Female or Unknown)]])),ISNUMBER(Table1[[#This Row],[Birthweight (grams)]]),ISNUMBER(Table1[[#This Row],[Gestation (days)]])),TRUE,FALSE)</f>
        <v>0</v>
      </c>
      <c r="E6184" s="2" t="str">
        <f>IF(Table1[[#This Row],[Is Data Valid]]=TRUE,IF(Table1[[#This Row],[Fetal Sex (Male, Female or Unknown)]]="Male",Backend!$C$6,IF(Table1[[#This Row],[Fetal Sex (Male, Female or Unknown)]]="Female",Backend!$C$7,IF(Table1[[#This Row],[Fetal Sex (Male, Female or Unknown)]]="Unknown",Backend!$C$8,"Error"))),"")</f>
        <v/>
      </c>
      <c r="F6184" s="8" t="str">
        <f>IF(Table1[[#This Row],[Is Data Valid]]=TRUE,EXP(0.578+0.332*((Table1[[#This Row],[Gestation (days)]]+0.5)/7)-0.00354*((Table1[[#This Row],[Gestation (days)]]+0.5)/7)^2)*Table1[[#This Row],[BW40_3705]],"")</f>
        <v/>
      </c>
      <c r="G6184" s="2" t="str">
        <f>IF(Table1[[#This Row],[Is Data Valid]]=TRUE,((Table1[[#This Row],[Birthweight (grams)]]/Table1[[#This Row],[BW_GA]])-1)/(Backend!$B$4/100*Table1[[#This Row],[BW40_3705]]),"")</f>
        <v/>
      </c>
      <c r="H6184" s="7" t="str">
        <f>IF(Table1[[#This Row],[Is Data Valid]]=TRUE,((Table1[[#This Row],[Birthweight (grams)]]*0.9/Table1[[#This Row],[BW_GA]])-1)/(Backend!$B$4/100*Table1[[#This Row],[BW40_3705]]),"")</f>
        <v/>
      </c>
      <c r="I6184" s="7" t="str">
        <f>IF(Table1[[#This Row],[Is Data Valid]]=TRUE,((Table1[[#This Row],[Birthweight (grams)]]*1.1/Table1[[#This Row],[BW_GA]])-1)/(Backend!$B$4/100*Table1[[#This Row],[BW40_3705]]),"")</f>
        <v/>
      </c>
      <c r="J6184" s="7" t="str">
        <f>IF(Table1[[#This Row],[Is Data Valid]]=TRUE,_xlfn.NORM.S.DIST(Table1[[#This Row],[Birthweight Z-Score]],TRUE)*100,"")</f>
        <v/>
      </c>
      <c r="K6184" s="7" t="str">
        <f>IF(Table1[[#This Row],[Is Data Valid]]=TRUE,_xlfn.NORM.S.DIST(Table1[[#This Row],[Birthweight Z-Score (BW-10%)]],TRUE)*100,"")</f>
        <v/>
      </c>
      <c r="L6184" s="7" t="str">
        <f>IF(Table1[[#This Row],[Is Data Valid]]=TRUE,_xlfn.NORM.S.DIST(Table1[[#This Row],[Birthweight Z-Score (BW+10%)]],TRUE)*100,"")</f>
        <v/>
      </c>
    </row>
    <row r="6185" spans="1:12" x14ac:dyDescent="0.35">
      <c r="A6185" s="3"/>
      <c r="B6185" s="2"/>
      <c r="C6185" s="2"/>
      <c r="D6185" s="2" t="b">
        <f>IF(AND(NOT(ISBLANK(Table1[[#This Row],[Fetal Sex (Male, Female or Unknown)]])),ISNUMBER(Table1[[#This Row],[Birthweight (grams)]]),ISNUMBER(Table1[[#This Row],[Gestation (days)]])),TRUE,FALSE)</f>
        <v>0</v>
      </c>
      <c r="E6185" s="2" t="str">
        <f>IF(Table1[[#This Row],[Is Data Valid]]=TRUE,IF(Table1[[#This Row],[Fetal Sex (Male, Female or Unknown)]]="Male",Backend!$C$6,IF(Table1[[#This Row],[Fetal Sex (Male, Female or Unknown)]]="Female",Backend!$C$7,IF(Table1[[#This Row],[Fetal Sex (Male, Female or Unknown)]]="Unknown",Backend!$C$8,"Error"))),"")</f>
        <v/>
      </c>
      <c r="F6185" s="8" t="str">
        <f>IF(Table1[[#This Row],[Is Data Valid]]=TRUE,EXP(0.578+0.332*((Table1[[#This Row],[Gestation (days)]]+0.5)/7)-0.00354*((Table1[[#This Row],[Gestation (days)]]+0.5)/7)^2)*Table1[[#This Row],[BW40_3705]],"")</f>
        <v/>
      </c>
      <c r="G6185" s="2" t="str">
        <f>IF(Table1[[#This Row],[Is Data Valid]]=TRUE,((Table1[[#This Row],[Birthweight (grams)]]/Table1[[#This Row],[BW_GA]])-1)/(Backend!$B$4/100*Table1[[#This Row],[BW40_3705]]),"")</f>
        <v/>
      </c>
      <c r="H6185" s="7" t="str">
        <f>IF(Table1[[#This Row],[Is Data Valid]]=TRUE,((Table1[[#This Row],[Birthweight (grams)]]*0.9/Table1[[#This Row],[BW_GA]])-1)/(Backend!$B$4/100*Table1[[#This Row],[BW40_3705]]),"")</f>
        <v/>
      </c>
      <c r="I6185" s="7" t="str">
        <f>IF(Table1[[#This Row],[Is Data Valid]]=TRUE,((Table1[[#This Row],[Birthweight (grams)]]*1.1/Table1[[#This Row],[BW_GA]])-1)/(Backend!$B$4/100*Table1[[#This Row],[BW40_3705]]),"")</f>
        <v/>
      </c>
      <c r="J6185" s="7" t="str">
        <f>IF(Table1[[#This Row],[Is Data Valid]]=TRUE,_xlfn.NORM.S.DIST(Table1[[#This Row],[Birthweight Z-Score]],TRUE)*100,"")</f>
        <v/>
      </c>
      <c r="K6185" s="7" t="str">
        <f>IF(Table1[[#This Row],[Is Data Valid]]=TRUE,_xlfn.NORM.S.DIST(Table1[[#This Row],[Birthweight Z-Score (BW-10%)]],TRUE)*100,"")</f>
        <v/>
      </c>
      <c r="L6185" s="7" t="str">
        <f>IF(Table1[[#This Row],[Is Data Valid]]=TRUE,_xlfn.NORM.S.DIST(Table1[[#This Row],[Birthweight Z-Score (BW+10%)]],TRUE)*100,"")</f>
        <v/>
      </c>
    </row>
    <row r="6186" spans="1:12" x14ac:dyDescent="0.35">
      <c r="A6186" s="3"/>
      <c r="B6186" s="2"/>
      <c r="C6186" s="2"/>
      <c r="D6186" s="2" t="b">
        <f>IF(AND(NOT(ISBLANK(Table1[[#This Row],[Fetal Sex (Male, Female or Unknown)]])),ISNUMBER(Table1[[#This Row],[Birthweight (grams)]]),ISNUMBER(Table1[[#This Row],[Gestation (days)]])),TRUE,FALSE)</f>
        <v>0</v>
      </c>
      <c r="E6186" s="2" t="str">
        <f>IF(Table1[[#This Row],[Is Data Valid]]=TRUE,IF(Table1[[#This Row],[Fetal Sex (Male, Female or Unknown)]]="Male",Backend!$C$6,IF(Table1[[#This Row],[Fetal Sex (Male, Female or Unknown)]]="Female",Backend!$C$7,IF(Table1[[#This Row],[Fetal Sex (Male, Female or Unknown)]]="Unknown",Backend!$C$8,"Error"))),"")</f>
        <v/>
      </c>
      <c r="F6186" s="8" t="str">
        <f>IF(Table1[[#This Row],[Is Data Valid]]=TRUE,EXP(0.578+0.332*((Table1[[#This Row],[Gestation (days)]]+0.5)/7)-0.00354*((Table1[[#This Row],[Gestation (days)]]+0.5)/7)^2)*Table1[[#This Row],[BW40_3705]],"")</f>
        <v/>
      </c>
      <c r="G6186" s="2" t="str">
        <f>IF(Table1[[#This Row],[Is Data Valid]]=TRUE,((Table1[[#This Row],[Birthweight (grams)]]/Table1[[#This Row],[BW_GA]])-1)/(Backend!$B$4/100*Table1[[#This Row],[BW40_3705]]),"")</f>
        <v/>
      </c>
      <c r="H6186" s="7" t="str">
        <f>IF(Table1[[#This Row],[Is Data Valid]]=TRUE,((Table1[[#This Row],[Birthweight (grams)]]*0.9/Table1[[#This Row],[BW_GA]])-1)/(Backend!$B$4/100*Table1[[#This Row],[BW40_3705]]),"")</f>
        <v/>
      </c>
      <c r="I6186" s="7" t="str">
        <f>IF(Table1[[#This Row],[Is Data Valid]]=TRUE,((Table1[[#This Row],[Birthweight (grams)]]*1.1/Table1[[#This Row],[BW_GA]])-1)/(Backend!$B$4/100*Table1[[#This Row],[BW40_3705]]),"")</f>
        <v/>
      </c>
      <c r="J6186" s="7" t="str">
        <f>IF(Table1[[#This Row],[Is Data Valid]]=TRUE,_xlfn.NORM.S.DIST(Table1[[#This Row],[Birthweight Z-Score]],TRUE)*100,"")</f>
        <v/>
      </c>
      <c r="K6186" s="7" t="str">
        <f>IF(Table1[[#This Row],[Is Data Valid]]=TRUE,_xlfn.NORM.S.DIST(Table1[[#This Row],[Birthweight Z-Score (BW-10%)]],TRUE)*100,"")</f>
        <v/>
      </c>
      <c r="L6186" s="7" t="str">
        <f>IF(Table1[[#This Row],[Is Data Valid]]=TRUE,_xlfn.NORM.S.DIST(Table1[[#This Row],[Birthweight Z-Score (BW+10%)]],TRUE)*100,"")</f>
        <v/>
      </c>
    </row>
    <row r="6187" spans="1:12" x14ac:dyDescent="0.35">
      <c r="A6187" s="3"/>
      <c r="B6187" s="2"/>
      <c r="C6187" s="2"/>
      <c r="D6187" s="2" t="b">
        <f>IF(AND(NOT(ISBLANK(Table1[[#This Row],[Fetal Sex (Male, Female or Unknown)]])),ISNUMBER(Table1[[#This Row],[Birthweight (grams)]]),ISNUMBER(Table1[[#This Row],[Gestation (days)]])),TRUE,FALSE)</f>
        <v>0</v>
      </c>
      <c r="E6187" s="2" t="str">
        <f>IF(Table1[[#This Row],[Is Data Valid]]=TRUE,IF(Table1[[#This Row],[Fetal Sex (Male, Female or Unknown)]]="Male",Backend!$C$6,IF(Table1[[#This Row],[Fetal Sex (Male, Female or Unknown)]]="Female",Backend!$C$7,IF(Table1[[#This Row],[Fetal Sex (Male, Female or Unknown)]]="Unknown",Backend!$C$8,"Error"))),"")</f>
        <v/>
      </c>
      <c r="F6187" s="8" t="str">
        <f>IF(Table1[[#This Row],[Is Data Valid]]=TRUE,EXP(0.578+0.332*((Table1[[#This Row],[Gestation (days)]]+0.5)/7)-0.00354*((Table1[[#This Row],[Gestation (days)]]+0.5)/7)^2)*Table1[[#This Row],[BW40_3705]],"")</f>
        <v/>
      </c>
      <c r="G6187" s="2" t="str">
        <f>IF(Table1[[#This Row],[Is Data Valid]]=TRUE,((Table1[[#This Row],[Birthweight (grams)]]/Table1[[#This Row],[BW_GA]])-1)/(Backend!$B$4/100*Table1[[#This Row],[BW40_3705]]),"")</f>
        <v/>
      </c>
      <c r="H6187" s="7" t="str">
        <f>IF(Table1[[#This Row],[Is Data Valid]]=TRUE,((Table1[[#This Row],[Birthweight (grams)]]*0.9/Table1[[#This Row],[BW_GA]])-1)/(Backend!$B$4/100*Table1[[#This Row],[BW40_3705]]),"")</f>
        <v/>
      </c>
      <c r="I6187" s="7" t="str">
        <f>IF(Table1[[#This Row],[Is Data Valid]]=TRUE,((Table1[[#This Row],[Birthweight (grams)]]*1.1/Table1[[#This Row],[BW_GA]])-1)/(Backend!$B$4/100*Table1[[#This Row],[BW40_3705]]),"")</f>
        <v/>
      </c>
      <c r="J6187" s="7" t="str">
        <f>IF(Table1[[#This Row],[Is Data Valid]]=TRUE,_xlfn.NORM.S.DIST(Table1[[#This Row],[Birthweight Z-Score]],TRUE)*100,"")</f>
        <v/>
      </c>
      <c r="K6187" s="7" t="str">
        <f>IF(Table1[[#This Row],[Is Data Valid]]=TRUE,_xlfn.NORM.S.DIST(Table1[[#This Row],[Birthweight Z-Score (BW-10%)]],TRUE)*100,"")</f>
        <v/>
      </c>
      <c r="L6187" s="7" t="str">
        <f>IF(Table1[[#This Row],[Is Data Valid]]=TRUE,_xlfn.NORM.S.DIST(Table1[[#This Row],[Birthweight Z-Score (BW+10%)]],TRUE)*100,"")</f>
        <v/>
      </c>
    </row>
    <row r="6188" spans="1:12" x14ac:dyDescent="0.35">
      <c r="A6188" s="3"/>
      <c r="B6188" s="2"/>
      <c r="C6188" s="2"/>
      <c r="D6188" s="2" t="b">
        <f>IF(AND(NOT(ISBLANK(Table1[[#This Row],[Fetal Sex (Male, Female or Unknown)]])),ISNUMBER(Table1[[#This Row],[Birthweight (grams)]]),ISNUMBER(Table1[[#This Row],[Gestation (days)]])),TRUE,FALSE)</f>
        <v>0</v>
      </c>
      <c r="E6188" s="2" t="str">
        <f>IF(Table1[[#This Row],[Is Data Valid]]=TRUE,IF(Table1[[#This Row],[Fetal Sex (Male, Female or Unknown)]]="Male",Backend!$C$6,IF(Table1[[#This Row],[Fetal Sex (Male, Female or Unknown)]]="Female",Backend!$C$7,IF(Table1[[#This Row],[Fetal Sex (Male, Female or Unknown)]]="Unknown",Backend!$C$8,"Error"))),"")</f>
        <v/>
      </c>
      <c r="F6188" s="8" t="str">
        <f>IF(Table1[[#This Row],[Is Data Valid]]=TRUE,EXP(0.578+0.332*((Table1[[#This Row],[Gestation (days)]]+0.5)/7)-0.00354*((Table1[[#This Row],[Gestation (days)]]+0.5)/7)^2)*Table1[[#This Row],[BW40_3705]],"")</f>
        <v/>
      </c>
      <c r="G6188" s="2" t="str">
        <f>IF(Table1[[#This Row],[Is Data Valid]]=TRUE,((Table1[[#This Row],[Birthweight (grams)]]/Table1[[#This Row],[BW_GA]])-1)/(Backend!$B$4/100*Table1[[#This Row],[BW40_3705]]),"")</f>
        <v/>
      </c>
      <c r="H6188" s="7" t="str">
        <f>IF(Table1[[#This Row],[Is Data Valid]]=TRUE,((Table1[[#This Row],[Birthweight (grams)]]*0.9/Table1[[#This Row],[BW_GA]])-1)/(Backend!$B$4/100*Table1[[#This Row],[BW40_3705]]),"")</f>
        <v/>
      </c>
      <c r="I6188" s="7" t="str">
        <f>IF(Table1[[#This Row],[Is Data Valid]]=TRUE,((Table1[[#This Row],[Birthweight (grams)]]*1.1/Table1[[#This Row],[BW_GA]])-1)/(Backend!$B$4/100*Table1[[#This Row],[BW40_3705]]),"")</f>
        <v/>
      </c>
      <c r="J6188" s="7" t="str">
        <f>IF(Table1[[#This Row],[Is Data Valid]]=TRUE,_xlfn.NORM.S.DIST(Table1[[#This Row],[Birthweight Z-Score]],TRUE)*100,"")</f>
        <v/>
      </c>
      <c r="K6188" s="7" t="str">
        <f>IF(Table1[[#This Row],[Is Data Valid]]=TRUE,_xlfn.NORM.S.DIST(Table1[[#This Row],[Birthweight Z-Score (BW-10%)]],TRUE)*100,"")</f>
        <v/>
      </c>
      <c r="L6188" s="7" t="str">
        <f>IF(Table1[[#This Row],[Is Data Valid]]=TRUE,_xlfn.NORM.S.DIST(Table1[[#This Row],[Birthweight Z-Score (BW+10%)]],TRUE)*100,"")</f>
        <v/>
      </c>
    </row>
    <row r="6189" spans="1:12" x14ac:dyDescent="0.35">
      <c r="A6189" s="3"/>
      <c r="B6189" s="2"/>
      <c r="C6189" s="2"/>
      <c r="D6189" s="2" t="b">
        <f>IF(AND(NOT(ISBLANK(Table1[[#This Row],[Fetal Sex (Male, Female or Unknown)]])),ISNUMBER(Table1[[#This Row],[Birthweight (grams)]]),ISNUMBER(Table1[[#This Row],[Gestation (days)]])),TRUE,FALSE)</f>
        <v>0</v>
      </c>
      <c r="E6189" s="2" t="str">
        <f>IF(Table1[[#This Row],[Is Data Valid]]=TRUE,IF(Table1[[#This Row],[Fetal Sex (Male, Female or Unknown)]]="Male",Backend!$C$6,IF(Table1[[#This Row],[Fetal Sex (Male, Female or Unknown)]]="Female",Backend!$C$7,IF(Table1[[#This Row],[Fetal Sex (Male, Female or Unknown)]]="Unknown",Backend!$C$8,"Error"))),"")</f>
        <v/>
      </c>
      <c r="F6189" s="8" t="str">
        <f>IF(Table1[[#This Row],[Is Data Valid]]=TRUE,EXP(0.578+0.332*((Table1[[#This Row],[Gestation (days)]]+0.5)/7)-0.00354*((Table1[[#This Row],[Gestation (days)]]+0.5)/7)^2)*Table1[[#This Row],[BW40_3705]],"")</f>
        <v/>
      </c>
      <c r="G6189" s="2" t="str">
        <f>IF(Table1[[#This Row],[Is Data Valid]]=TRUE,((Table1[[#This Row],[Birthweight (grams)]]/Table1[[#This Row],[BW_GA]])-1)/(Backend!$B$4/100*Table1[[#This Row],[BW40_3705]]),"")</f>
        <v/>
      </c>
      <c r="H6189" s="7" t="str">
        <f>IF(Table1[[#This Row],[Is Data Valid]]=TRUE,((Table1[[#This Row],[Birthweight (grams)]]*0.9/Table1[[#This Row],[BW_GA]])-1)/(Backend!$B$4/100*Table1[[#This Row],[BW40_3705]]),"")</f>
        <v/>
      </c>
      <c r="I6189" s="7" t="str">
        <f>IF(Table1[[#This Row],[Is Data Valid]]=TRUE,((Table1[[#This Row],[Birthweight (grams)]]*1.1/Table1[[#This Row],[BW_GA]])-1)/(Backend!$B$4/100*Table1[[#This Row],[BW40_3705]]),"")</f>
        <v/>
      </c>
      <c r="J6189" s="7" t="str">
        <f>IF(Table1[[#This Row],[Is Data Valid]]=TRUE,_xlfn.NORM.S.DIST(Table1[[#This Row],[Birthweight Z-Score]],TRUE)*100,"")</f>
        <v/>
      </c>
      <c r="K6189" s="7" t="str">
        <f>IF(Table1[[#This Row],[Is Data Valid]]=TRUE,_xlfn.NORM.S.DIST(Table1[[#This Row],[Birthweight Z-Score (BW-10%)]],TRUE)*100,"")</f>
        <v/>
      </c>
      <c r="L6189" s="7" t="str">
        <f>IF(Table1[[#This Row],[Is Data Valid]]=TRUE,_xlfn.NORM.S.DIST(Table1[[#This Row],[Birthweight Z-Score (BW+10%)]],TRUE)*100,"")</f>
        <v/>
      </c>
    </row>
    <row r="6190" spans="1:12" x14ac:dyDescent="0.35">
      <c r="A6190" s="3"/>
      <c r="B6190" s="2"/>
      <c r="C6190" s="2"/>
      <c r="D6190" s="2" t="b">
        <f>IF(AND(NOT(ISBLANK(Table1[[#This Row],[Fetal Sex (Male, Female or Unknown)]])),ISNUMBER(Table1[[#This Row],[Birthweight (grams)]]),ISNUMBER(Table1[[#This Row],[Gestation (days)]])),TRUE,FALSE)</f>
        <v>0</v>
      </c>
      <c r="E6190" s="2" t="str">
        <f>IF(Table1[[#This Row],[Is Data Valid]]=TRUE,IF(Table1[[#This Row],[Fetal Sex (Male, Female or Unknown)]]="Male",Backend!$C$6,IF(Table1[[#This Row],[Fetal Sex (Male, Female or Unknown)]]="Female",Backend!$C$7,IF(Table1[[#This Row],[Fetal Sex (Male, Female or Unknown)]]="Unknown",Backend!$C$8,"Error"))),"")</f>
        <v/>
      </c>
      <c r="F6190" s="8" t="str">
        <f>IF(Table1[[#This Row],[Is Data Valid]]=TRUE,EXP(0.578+0.332*((Table1[[#This Row],[Gestation (days)]]+0.5)/7)-0.00354*((Table1[[#This Row],[Gestation (days)]]+0.5)/7)^2)*Table1[[#This Row],[BW40_3705]],"")</f>
        <v/>
      </c>
      <c r="G6190" s="2" t="str">
        <f>IF(Table1[[#This Row],[Is Data Valid]]=TRUE,((Table1[[#This Row],[Birthweight (grams)]]/Table1[[#This Row],[BW_GA]])-1)/(Backend!$B$4/100*Table1[[#This Row],[BW40_3705]]),"")</f>
        <v/>
      </c>
      <c r="H6190" s="7" t="str">
        <f>IF(Table1[[#This Row],[Is Data Valid]]=TRUE,((Table1[[#This Row],[Birthweight (grams)]]*0.9/Table1[[#This Row],[BW_GA]])-1)/(Backend!$B$4/100*Table1[[#This Row],[BW40_3705]]),"")</f>
        <v/>
      </c>
      <c r="I6190" s="7" t="str">
        <f>IF(Table1[[#This Row],[Is Data Valid]]=TRUE,((Table1[[#This Row],[Birthweight (grams)]]*1.1/Table1[[#This Row],[BW_GA]])-1)/(Backend!$B$4/100*Table1[[#This Row],[BW40_3705]]),"")</f>
        <v/>
      </c>
      <c r="J6190" s="7" t="str">
        <f>IF(Table1[[#This Row],[Is Data Valid]]=TRUE,_xlfn.NORM.S.DIST(Table1[[#This Row],[Birthweight Z-Score]],TRUE)*100,"")</f>
        <v/>
      </c>
      <c r="K6190" s="7" t="str">
        <f>IF(Table1[[#This Row],[Is Data Valid]]=TRUE,_xlfn.NORM.S.DIST(Table1[[#This Row],[Birthweight Z-Score (BW-10%)]],TRUE)*100,"")</f>
        <v/>
      </c>
      <c r="L6190" s="7" t="str">
        <f>IF(Table1[[#This Row],[Is Data Valid]]=TRUE,_xlfn.NORM.S.DIST(Table1[[#This Row],[Birthweight Z-Score (BW+10%)]],TRUE)*100,"")</f>
        <v/>
      </c>
    </row>
    <row r="6191" spans="1:12" x14ac:dyDescent="0.35">
      <c r="A6191" s="3"/>
      <c r="B6191" s="2"/>
      <c r="C6191" s="2"/>
      <c r="D6191" s="2" t="b">
        <f>IF(AND(NOT(ISBLANK(Table1[[#This Row],[Fetal Sex (Male, Female or Unknown)]])),ISNUMBER(Table1[[#This Row],[Birthweight (grams)]]),ISNUMBER(Table1[[#This Row],[Gestation (days)]])),TRUE,FALSE)</f>
        <v>0</v>
      </c>
      <c r="E6191" s="2" t="str">
        <f>IF(Table1[[#This Row],[Is Data Valid]]=TRUE,IF(Table1[[#This Row],[Fetal Sex (Male, Female or Unknown)]]="Male",Backend!$C$6,IF(Table1[[#This Row],[Fetal Sex (Male, Female or Unknown)]]="Female",Backend!$C$7,IF(Table1[[#This Row],[Fetal Sex (Male, Female or Unknown)]]="Unknown",Backend!$C$8,"Error"))),"")</f>
        <v/>
      </c>
      <c r="F6191" s="8" t="str">
        <f>IF(Table1[[#This Row],[Is Data Valid]]=TRUE,EXP(0.578+0.332*((Table1[[#This Row],[Gestation (days)]]+0.5)/7)-0.00354*((Table1[[#This Row],[Gestation (days)]]+0.5)/7)^2)*Table1[[#This Row],[BW40_3705]],"")</f>
        <v/>
      </c>
      <c r="G6191" s="2" t="str">
        <f>IF(Table1[[#This Row],[Is Data Valid]]=TRUE,((Table1[[#This Row],[Birthweight (grams)]]/Table1[[#This Row],[BW_GA]])-1)/(Backend!$B$4/100*Table1[[#This Row],[BW40_3705]]),"")</f>
        <v/>
      </c>
      <c r="H6191" s="7" t="str">
        <f>IF(Table1[[#This Row],[Is Data Valid]]=TRUE,((Table1[[#This Row],[Birthweight (grams)]]*0.9/Table1[[#This Row],[BW_GA]])-1)/(Backend!$B$4/100*Table1[[#This Row],[BW40_3705]]),"")</f>
        <v/>
      </c>
      <c r="I6191" s="7" t="str">
        <f>IF(Table1[[#This Row],[Is Data Valid]]=TRUE,((Table1[[#This Row],[Birthweight (grams)]]*1.1/Table1[[#This Row],[BW_GA]])-1)/(Backend!$B$4/100*Table1[[#This Row],[BW40_3705]]),"")</f>
        <v/>
      </c>
      <c r="J6191" s="7" t="str">
        <f>IF(Table1[[#This Row],[Is Data Valid]]=TRUE,_xlfn.NORM.S.DIST(Table1[[#This Row],[Birthweight Z-Score]],TRUE)*100,"")</f>
        <v/>
      </c>
      <c r="K6191" s="7" t="str">
        <f>IF(Table1[[#This Row],[Is Data Valid]]=TRUE,_xlfn.NORM.S.DIST(Table1[[#This Row],[Birthweight Z-Score (BW-10%)]],TRUE)*100,"")</f>
        <v/>
      </c>
      <c r="L6191" s="7" t="str">
        <f>IF(Table1[[#This Row],[Is Data Valid]]=TRUE,_xlfn.NORM.S.DIST(Table1[[#This Row],[Birthweight Z-Score (BW+10%)]],TRUE)*100,"")</f>
        <v/>
      </c>
    </row>
    <row r="6192" spans="1:12" x14ac:dyDescent="0.35">
      <c r="A6192" s="3"/>
      <c r="B6192" s="2"/>
      <c r="C6192" s="2"/>
      <c r="D6192" s="2" t="b">
        <f>IF(AND(NOT(ISBLANK(Table1[[#This Row],[Fetal Sex (Male, Female or Unknown)]])),ISNUMBER(Table1[[#This Row],[Birthweight (grams)]]),ISNUMBER(Table1[[#This Row],[Gestation (days)]])),TRUE,FALSE)</f>
        <v>0</v>
      </c>
      <c r="E6192" s="2" t="str">
        <f>IF(Table1[[#This Row],[Is Data Valid]]=TRUE,IF(Table1[[#This Row],[Fetal Sex (Male, Female or Unknown)]]="Male",Backend!$C$6,IF(Table1[[#This Row],[Fetal Sex (Male, Female or Unknown)]]="Female",Backend!$C$7,IF(Table1[[#This Row],[Fetal Sex (Male, Female or Unknown)]]="Unknown",Backend!$C$8,"Error"))),"")</f>
        <v/>
      </c>
      <c r="F6192" s="8" t="str">
        <f>IF(Table1[[#This Row],[Is Data Valid]]=TRUE,EXP(0.578+0.332*((Table1[[#This Row],[Gestation (days)]]+0.5)/7)-0.00354*((Table1[[#This Row],[Gestation (days)]]+0.5)/7)^2)*Table1[[#This Row],[BW40_3705]],"")</f>
        <v/>
      </c>
      <c r="G6192" s="2" t="str">
        <f>IF(Table1[[#This Row],[Is Data Valid]]=TRUE,((Table1[[#This Row],[Birthweight (grams)]]/Table1[[#This Row],[BW_GA]])-1)/(Backend!$B$4/100*Table1[[#This Row],[BW40_3705]]),"")</f>
        <v/>
      </c>
      <c r="H6192" s="7" t="str">
        <f>IF(Table1[[#This Row],[Is Data Valid]]=TRUE,((Table1[[#This Row],[Birthweight (grams)]]*0.9/Table1[[#This Row],[BW_GA]])-1)/(Backend!$B$4/100*Table1[[#This Row],[BW40_3705]]),"")</f>
        <v/>
      </c>
      <c r="I6192" s="7" t="str">
        <f>IF(Table1[[#This Row],[Is Data Valid]]=TRUE,((Table1[[#This Row],[Birthweight (grams)]]*1.1/Table1[[#This Row],[BW_GA]])-1)/(Backend!$B$4/100*Table1[[#This Row],[BW40_3705]]),"")</f>
        <v/>
      </c>
      <c r="J6192" s="7" t="str">
        <f>IF(Table1[[#This Row],[Is Data Valid]]=TRUE,_xlfn.NORM.S.DIST(Table1[[#This Row],[Birthweight Z-Score]],TRUE)*100,"")</f>
        <v/>
      </c>
      <c r="K6192" s="7" t="str">
        <f>IF(Table1[[#This Row],[Is Data Valid]]=TRUE,_xlfn.NORM.S.DIST(Table1[[#This Row],[Birthweight Z-Score (BW-10%)]],TRUE)*100,"")</f>
        <v/>
      </c>
      <c r="L6192" s="7" t="str">
        <f>IF(Table1[[#This Row],[Is Data Valid]]=TRUE,_xlfn.NORM.S.DIST(Table1[[#This Row],[Birthweight Z-Score (BW+10%)]],TRUE)*100,"")</f>
        <v/>
      </c>
    </row>
    <row r="6193" spans="1:12" x14ac:dyDescent="0.35">
      <c r="A6193" s="3"/>
      <c r="B6193" s="2"/>
      <c r="C6193" s="2"/>
      <c r="D6193" s="2" t="b">
        <f>IF(AND(NOT(ISBLANK(Table1[[#This Row],[Fetal Sex (Male, Female or Unknown)]])),ISNUMBER(Table1[[#This Row],[Birthweight (grams)]]),ISNUMBER(Table1[[#This Row],[Gestation (days)]])),TRUE,FALSE)</f>
        <v>0</v>
      </c>
      <c r="E6193" s="2" t="str">
        <f>IF(Table1[[#This Row],[Is Data Valid]]=TRUE,IF(Table1[[#This Row],[Fetal Sex (Male, Female or Unknown)]]="Male",Backend!$C$6,IF(Table1[[#This Row],[Fetal Sex (Male, Female or Unknown)]]="Female",Backend!$C$7,IF(Table1[[#This Row],[Fetal Sex (Male, Female or Unknown)]]="Unknown",Backend!$C$8,"Error"))),"")</f>
        <v/>
      </c>
      <c r="F6193" s="8" t="str">
        <f>IF(Table1[[#This Row],[Is Data Valid]]=TRUE,EXP(0.578+0.332*((Table1[[#This Row],[Gestation (days)]]+0.5)/7)-0.00354*((Table1[[#This Row],[Gestation (days)]]+0.5)/7)^2)*Table1[[#This Row],[BW40_3705]],"")</f>
        <v/>
      </c>
      <c r="G6193" s="2" t="str">
        <f>IF(Table1[[#This Row],[Is Data Valid]]=TRUE,((Table1[[#This Row],[Birthweight (grams)]]/Table1[[#This Row],[BW_GA]])-1)/(Backend!$B$4/100*Table1[[#This Row],[BW40_3705]]),"")</f>
        <v/>
      </c>
      <c r="H6193" s="7" t="str">
        <f>IF(Table1[[#This Row],[Is Data Valid]]=TRUE,((Table1[[#This Row],[Birthweight (grams)]]*0.9/Table1[[#This Row],[BW_GA]])-1)/(Backend!$B$4/100*Table1[[#This Row],[BW40_3705]]),"")</f>
        <v/>
      </c>
      <c r="I6193" s="7" t="str">
        <f>IF(Table1[[#This Row],[Is Data Valid]]=TRUE,((Table1[[#This Row],[Birthweight (grams)]]*1.1/Table1[[#This Row],[BW_GA]])-1)/(Backend!$B$4/100*Table1[[#This Row],[BW40_3705]]),"")</f>
        <v/>
      </c>
      <c r="J6193" s="7" t="str">
        <f>IF(Table1[[#This Row],[Is Data Valid]]=TRUE,_xlfn.NORM.S.DIST(Table1[[#This Row],[Birthweight Z-Score]],TRUE)*100,"")</f>
        <v/>
      </c>
      <c r="K6193" s="7" t="str">
        <f>IF(Table1[[#This Row],[Is Data Valid]]=TRUE,_xlfn.NORM.S.DIST(Table1[[#This Row],[Birthweight Z-Score (BW-10%)]],TRUE)*100,"")</f>
        <v/>
      </c>
      <c r="L6193" s="7" t="str">
        <f>IF(Table1[[#This Row],[Is Data Valid]]=TRUE,_xlfn.NORM.S.DIST(Table1[[#This Row],[Birthweight Z-Score (BW+10%)]],TRUE)*100,"")</f>
        <v/>
      </c>
    </row>
    <row r="6194" spans="1:12" x14ac:dyDescent="0.35">
      <c r="A6194" s="3"/>
      <c r="B6194" s="2"/>
      <c r="C6194" s="2"/>
      <c r="D6194" s="2" t="b">
        <f>IF(AND(NOT(ISBLANK(Table1[[#This Row],[Fetal Sex (Male, Female or Unknown)]])),ISNUMBER(Table1[[#This Row],[Birthweight (grams)]]),ISNUMBER(Table1[[#This Row],[Gestation (days)]])),TRUE,FALSE)</f>
        <v>0</v>
      </c>
      <c r="E6194" s="2" t="str">
        <f>IF(Table1[[#This Row],[Is Data Valid]]=TRUE,IF(Table1[[#This Row],[Fetal Sex (Male, Female or Unknown)]]="Male",Backend!$C$6,IF(Table1[[#This Row],[Fetal Sex (Male, Female or Unknown)]]="Female",Backend!$C$7,IF(Table1[[#This Row],[Fetal Sex (Male, Female or Unknown)]]="Unknown",Backend!$C$8,"Error"))),"")</f>
        <v/>
      </c>
      <c r="F6194" s="8" t="str">
        <f>IF(Table1[[#This Row],[Is Data Valid]]=TRUE,EXP(0.578+0.332*((Table1[[#This Row],[Gestation (days)]]+0.5)/7)-0.00354*((Table1[[#This Row],[Gestation (days)]]+0.5)/7)^2)*Table1[[#This Row],[BW40_3705]],"")</f>
        <v/>
      </c>
      <c r="G6194" s="2" t="str">
        <f>IF(Table1[[#This Row],[Is Data Valid]]=TRUE,((Table1[[#This Row],[Birthweight (grams)]]/Table1[[#This Row],[BW_GA]])-1)/(Backend!$B$4/100*Table1[[#This Row],[BW40_3705]]),"")</f>
        <v/>
      </c>
      <c r="H6194" s="7" t="str">
        <f>IF(Table1[[#This Row],[Is Data Valid]]=TRUE,((Table1[[#This Row],[Birthweight (grams)]]*0.9/Table1[[#This Row],[BW_GA]])-1)/(Backend!$B$4/100*Table1[[#This Row],[BW40_3705]]),"")</f>
        <v/>
      </c>
      <c r="I6194" s="7" t="str">
        <f>IF(Table1[[#This Row],[Is Data Valid]]=TRUE,((Table1[[#This Row],[Birthweight (grams)]]*1.1/Table1[[#This Row],[BW_GA]])-1)/(Backend!$B$4/100*Table1[[#This Row],[BW40_3705]]),"")</f>
        <v/>
      </c>
      <c r="J6194" s="7" t="str">
        <f>IF(Table1[[#This Row],[Is Data Valid]]=TRUE,_xlfn.NORM.S.DIST(Table1[[#This Row],[Birthweight Z-Score]],TRUE)*100,"")</f>
        <v/>
      </c>
      <c r="K6194" s="7" t="str">
        <f>IF(Table1[[#This Row],[Is Data Valid]]=TRUE,_xlfn.NORM.S.DIST(Table1[[#This Row],[Birthweight Z-Score (BW-10%)]],TRUE)*100,"")</f>
        <v/>
      </c>
      <c r="L6194" s="7" t="str">
        <f>IF(Table1[[#This Row],[Is Data Valid]]=TRUE,_xlfn.NORM.S.DIST(Table1[[#This Row],[Birthweight Z-Score (BW+10%)]],TRUE)*100,"")</f>
        <v/>
      </c>
    </row>
    <row r="6195" spans="1:12" x14ac:dyDescent="0.35">
      <c r="A6195" s="3"/>
      <c r="B6195" s="2"/>
      <c r="C6195" s="2"/>
      <c r="D6195" s="2" t="b">
        <f>IF(AND(NOT(ISBLANK(Table1[[#This Row],[Fetal Sex (Male, Female or Unknown)]])),ISNUMBER(Table1[[#This Row],[Birthweight (grams)]]),ISNUMBER(Table1[[#This Row],[Gestation (days)]])),TRUE,FALSE)</f>
        <v>0</v>
      </c>
      <c r="E6195" s="2" t="str">
        <f>IF(Table1[[#This Row],[Is Data Valid]]=TRUE,IF(Table1[[#This Row],[Fetal Sex (Male, Female or Unknown)]]="Male",Backend!$C$6,IF(Table1[[#This Row],[Fetal Sex (Male, Female or Unknown)]]="Female",Backend!$C$7,IF(Table1[[#This Row],[Fetal Sex (Male, Female or Unknown)]]="Unknown",Backend!$C$8,"Error"))),"")</f>
        <v/>
      </c>
      <c r="F6195" s="8" t="str">
        <f>IF(Table1[[#This Row],[Is Data Valid]]=TRUE,EXP(0.578+0.332*((Table1[[#This Row],[Gestation (days)]]+0.5)/7)-0.00354*((Table1[[#This Row],[Gestation (days)]]+0.5)/7)^2)*Table1[[#This Row],[BW40_3705]],"")</f>
        <v/>
      </c>
      <c r="G6195" s="2" t="str">
        <f>IF(Table1[[#This Row],[Is Data Valid]]=TRUE,((Table1[[#This Row],[Birthweight (grams)]]/Table1[[#This Row],[BW_GA]])-1)/(Backend!$B$4/100*Table1[[#This Row],[BW40_3705]]),"")</f>
        <v/>
      </c>
      <c r="H6195" s="7" t="str">
        <f>IF(Table1[[#This Row],[Is Data Valid]]=TRUE,((Table1[[#This Row],[Birthweight (grams)]]*0.9/Table1[[#This Row],[BW_GA]])-1)/(Backend!$B$4/100*Table1[[#This Row],[BW40_3705]]),"")</f>
        <v/>
      </c>
      <c r="I6195" s="7" t="str">
        <f>IF(Table1[[#This Row],[Is Data Valid]]=TRUE,((Table1[[#This Row],[Birthweight (grams)]]*1.1/Table1[[#This Row],[BW_GA]])-1)/(Backend!$B$4/100*Table1[[#This Row],[BW40_3705]]),"")</f>
        <v/>
      </c>
      <c r="J6195" s="7" t="str">
        <f>IF(Table1[[#This Row],[Is Data Valid]]=TRUE,_xlfn.NORM.S.DIST(Table1[[#This Row],[Birthweight Z-Score]],TRUE)*100,"")</f>
        <v/>
      </c>
      <c r="K6195" s="7" t="str">
        <f>IF(Table1[[#This Row],[Is Data Valid]]=TRUE,_xlfn.NORM.S.DIST(Table1[[#This Row],[Birthweight Z-Score (BW-10%)]],TRUE)*100,"")</f>
        <v/>
      </c>
      <c r="L6195" s="7" t="str">
        <f>IF(Table1[[#This Row],[Is Data Valid]]=TRUE,_xlfn.NORM.S.DIST(Table1[[#This Row],[Birthweight Z-Score (BW+10%)]],TRUE)*100,"")</f>
        <v/>
      </c>
    </row>
    <row r="6196" spans="1:12" x14ac:dyDescent="0.35">
      <c r="A6196" s="3"/>
      <c r="B6196" s="2"/>
      <c r="C6196" s="2"/>
      <c r="D6196" s="2" t="b">
        <f>IF(AND(NOT(ISBLANK(Table1[[#This Row],[Fetal Sex (Male, Female or Unknown)]])),ISNUMBER(Table1[[#This Row],[Birthweight (grams)]]),ISNUMBER(Table1[[#This Row],[Gestation (days)]])),TRUE,FALSE)</f>
        <v>0</v>
      </c>
      <c r="E6196" s="2" t="str">
        <f>IF(Table1[[#This Row],[Is Data Valid]]=TRUE,IF(Table1[[#This Row],[Fetal Sex (Male, Female or Unknown)]]="Male",Backend!$C$6,IF(Table1[[#This Row],[Fetal Sex (Male, Female or Unknown)]]="Female",Backend!$C$7,IF(Table1[[#This Row],[Fetal Sex (Male, Female or Unknown)]]="Unknown",Backend!$C$8,"Error"))),"")</f>
        <v/>
      </c>
      <c r="F6196" s="8" t="str">
        <f>IF(Table1[[#This Row],[Is Data Valid]]=TRUE,EXP(0.578+0.332*((Table1[[#This Row],[Gestation (days)]]+0.5)/7)-0.00354*((Table1[[#This Row],[Gestation (days)]]+0.5)/7)^2)*Table1[[#This Row],[BW40_3705]],"")</f>
        <v/>
      </c>
      <c r="G6196" s="2" t="str">
        <f>IF(Table1[[#This Row],[Is Data Valid]]=TRUE,((Table1[[#This Row],[Birthweight (grams)]]/Table1[[#This Row],[BW_GA]])-1)/(Backend!$B$4/100*Table1[[#This Row],[BW40_3705]]),"")</f>
        <v/>
      </c>
      <c r="H6196" s="7" t="str">
        <f>IF(Table1[[#This Row],[Is Data Valid]]=TRUE,((Table1[[#This Row],[Birthweight (grams)]]*0.9/Table1[[#This Row],[BW_GA]])-1)/(Backend!$B$4/100*Table1[[#This Row],[BW40_3705]]),"")</f>
        <v/>
      </c>
      <c r="I6196" s="7" t="str">
        <f>IF(Table1[[#This Row],[Is Data Valid]]=TRUE,((Table1[[#This Row],[Birthweight (grams)]]*1.1/Table1[[#This Row],[BW_GA]])-1)/(Backend!$B$4/100*Table1[[#This Row],[BW40_3705]]),"")</f>
        <v/>
      </c>
      <c r="J6196" s="7" t="str">
        <f>IF(Table1[[#This Row],[Is Data Valid]]=TRUE,_xlfn.NORM.S.DIST(Table1[[#This Row],[Birthweight Z-Score]],TRUE)*100,"")</f>
        <v/>
      </c>
      <c r="K6196" s="7" t="str">
        <f>IF(Table1[[#This Row],[Is Data Valid]]=TRUE,_xlfn.NORM.S.DIST(Table1[[#This Row],[Birthweight Z-Score (BW-10%)]],TRUE)*100,"")</f>
        <v/>
      </c>
      <c r="L6196" s="7" t="str">
        <f>IF(Table1[[#This Row],[Is Data Valid]]=TRUE,_xlfn.NORM.S.DIST(Table1[[#This Row],[Birthweight Z-Score (BW+10%)]],TRUE)*100,"")</f>
        <v/>
      </c>
    </row>
    <row r="6197" spans="1:12" x14ac:dyDescent="0.35">
      <c r="A6197" s="3"/>
      <c r="B6197" s="2"/>
      <c r="C6197" s="2"/>
      <c r="D6197" s="2" t="b">
        <f>IF(AND(NOT(ISBLANK(Table1[[#This Row],[Fetal Sex (Male, Female or Unknown)]])),ISNUMBER(Table1[[#This Row],[Birthweight (grams)]]),ISNUMBER(Table1[[#This Row],[Gestation (days)]])),TRUE,FALSE)</f>
        <v>0</v>
      </c>
      <c r="E6197" s="2" t="str">
        <f>IF(Table1[[#This Row],[Is Data Valid]]=TRUE,IF(Table1[[#This Row],[Fetal Sex (Male, Female or Unknown)]]="Male",Backend!$C$6,IF(Table1[[#This Row],[Fetal Sex (Male, Female or Unknown)]]="Female",Backend!$C$7,IF(Table1[[#This Row],[Fetal Sex (Male, Female or Unknown)]]="Unknown",Backend!$C$8,"Error"))),"")</f>
        <v/>
      </c>
      <c r="F6197" s="8" t="str">
        <f>IF(Table1[[#This Row],[Is Data Valid]]=TRUE,EXP(0.578+0.332*((Table1[[#This Row],[Gestation (days)]]+0.5)/7)-0.00354*((Table1[[#This Row],[Gestation (days)]]+0.5)/7)^2)*Table1[[#This Row],[BW40_3705]],"")</f>
        <v/>
      </c>
      <c r="G6197" s="2" t="str">
        <f>IF(Table1[[#This Row],[Is Data Valid]]=TRUE,((Table1[[#This Row],[Birthweight (grams)]]/Table1[[#This Row],[BW_GA]])-1)/(Backend!$B$4/100*Table1[[#This Row],[BW40_3705]]),"")</f>
        <v/>
      </c>
      <c r="H6197" s="7" t="str">
        <f>IF(Table1[[#This Row],[Is Data Valid]]=TRUE,((Table1[[#This Row],[Birthweight (grams)]]*0.9/Table1[[#This Row],[BW_GA]])-1)/(Backend!$B$4/100*Table1[[#This Row],[BW40_3705]]),"")</f>
        <v/>
      </c>
      <c r="I6197" s="7" t="str">
        <f>IF(Table1[[#This Row],[Is Data Valid]]=TRUE,((Table1[[#This Row],[Birthweight (grams)]]*1.1/Table1[[#This Row],[BW_GA]])-1)/(Backend!$B$4/100*Table1[[#This Row],[BW40_3705]]),"")</f>
        <v/>
      </c>
      <c r="J6197" s="7" t="str">
        <f>IF(Table1[[#This Row],[Is Data Valid]]=TRUE,_xlfn.NORM.S.DIST(Table1[[#This Row],[Birthweight Z-Score]],TRUE)*100,"")</f>
        <v/>
      </c>
      <c r="K6197" s="7" t="str">
        <f>IF(Table1[[#This Row],[Is Data Valid]]=TRUE,_xlfn.NORM.S.DIST(Table1[[#This Row],[Birthweight Z-Score (BW-10%)]],TRUE)*100,"")</f>
        <v/>
      </c>
      <c r="L6197" s="7" t="str">
        <f>IF(Table1[[#This Row],[Is Data Valid]]=TRUE,_xlfn.NORM.S.DIST(Table1[[#This Row],[Birthweight Z-Score (BW+10%)]],TRUE)*100,"")</f>
        <v/>
      </c>
    </row>
    <row r="6198" spans="1:12" x14ac:dyDescent="0.35">
      <c r="A6198" s="3"/>
      <c r="B6198" s="2"/>
      <c r="C6198" s="2"/>
      <c r="D6198" s="2" t="b">
        <f>IF(AND(NOT(ISBLANK(Table1[[#This Row],[Fetal Sex (Male, Female or Unknown)]])),ISNUMBER(Table1[[#This Row],[Birthweight (grams)]]),ISNUMBER(Table1[[#This Row],[Gestation (days)]])),TRUE,FALSE)</f>
        <v>0</v>
      </c>
      <c r="E6198" s="2" t="str">
        <f>IF(Table1[[#This Row],[Is Data Valid]]=TRUE,IF(Table1[[#This Row],[Fetal Sex (Male, Female or Unknown)]]="Male",Backend!$C$6,IF(Table1[[#This Row],[Fetal Sex (Male, Female or Unknown)]]="Female",Backend!$C$7,IF(Table1[[#This Row],[Fetal Sex (Male, Female or Unknown)]]="Unknown",Backend!$C$8,"Error"))),"")</f>
        <v/>
      </c>
      <c r="F6198" s="8" t="str">
        <f>IF(Table1[[#This Row],[Is Data Valid]]=TRUE,EXP(0.578+0.332*((Table1[[#This Row],[Gestation (days)]]+0.5)/7)-0.00354*((Table1[[#This Row],[Gestation (days)]]+0.5)/7)^2)*Table1[[#This Row],[BW40_3705]],"")</f>
        <v/>
      </c>
      <c r="G6198" s="2" t="str">
        <f>IF(Table1[[#This Row],[Is Data Valid]]=TRUE,((Table1[[#This Row],[Birthweight (grams)]]/Table1[[#This Row],[BW_GA]])-1)/(Backend!$B$4/100*Table1[[#This Row],[BW40_3705]]),"")</f>
        <v/>
      </c>
      <c r="H6198" s="7" t="str">
        <f>IF(Table1[[#This Row],[Is Data Valid]]=TRUE,((Table1[[#This Row],[Birthweight (grams)]]*0.9/Table1[[#This Row],[BW_GA]])-1)/(Backend!$B$4/100*Table1[[#This Row],[BW40_3705]]),"")</f>
        <v/>
      </c>
      <c r="I6198" s="7" t="str">
        <f>IF(Table1[[#This Row],[Is Data Valid]]=TRUE,((Table1[[#This Row],[Birthweight (grams)]]*1.1/Table1[[#This Row],[BW_GA]])-1)/(Backend!$B$4/100*Table1[[#This Row],[BW40_3705]]),"")</f>
        <v/>
      </c>
      <c r="J6198" s="7" t="str">
        <f>IF(Table1[[#This Row],[Is Data Valid]]=TRUE,_xlfn.NORM.S.DIST(Table1[[#This Row],[Birthweight Z-Score]],TRUE)*100,"")</f>
        <v/>
      </c>
      <c r="K6198" s="7" t="str">
        <f>IF(Table1[[#This Row],[Is Data Valid]]=TRUE,_xlfn.NORM.S.DIST(Table1[[#This Row],[Birthweight Z-Score (BW-10%)]],TRUE)*100,"")</f>
        <v/>
      </c>
      <c r="L6198" s="7" t="str">
        <f>IF(Table1[[#This Row],[Is Data Valid]]=TRUE,_xlfn.NORM.S.DIST(Table1[[#This Row],[Birthweight Z-Score (BW+10%)]],TRUE)*100,"")</f>
        <v/>
      </c>
    </row>
    <row r="6199" spans="1:12" x14ac:dyDescent="0.35">
      <c r="A6199" s="3"/>
      <c r="B6199" s="2"/>
      <c r="C6199" s="2"/>
      <c r="D6199" s="2" t="b">
        <f>IF(AND(NOT(ISBLANK(Table1[[#This Row],[Fetal Sex (Male, Female or Unknown)]])),ISNUMBER(Table1[[#This Row],[Birthweight (grams)]]),ISNUMBER(Table1[[#This Row],[Gestation (days)]])),TRUE,FALSE)</f>
        <v>0</v>
      </c>
      <c r="E6199" s="2" t="str">
        <f>IF(Table1[[#This Row],[Is Data Valid]]=TRUE,IF(Table1[[#This Row],[Fetal Sex (Male, Female or Unknown)]]="Male",Backend!$C$6,IF(Table1[[#This Row],[Fetal Sex (Male, Female or Unknown)]]="Female",Backend!$C$7,IF(Table1[[#This Row],[Fetal Sex (Male, Female or Unknown)]]="Unknown",Backend!$C$8,"Error"))),"")</f>
        <v/>
      </c>
      <c r="F6199" s="8" t="str">
        <f>IF(Table1[[#This Row],[Is Data Valid]]=TRUE,EXP(0.578+0.332*((Table1[[#This Row],[Gestation (days)]]+0.5)/7)-0.00354*((Table1[[#This Row],[Gestation (days)]]+0.5)/7)^2)*Table1[[#This Row],[BW40_3705]],"")</f>
        <v/>
      </c>
      <c r="G6199" s="2" t="str">
        <f>IF(Table1[[#This Row],[Is Data Valid]]=TRUE,((Table1[[#This Row],[Birthweight (grams)]]/Table1[[#This Row],[BW_GA]])-1)/(Backend!$B$4/100*Table1[[#This Row],[BW40_3705]]),"")</f>
        <v/>
      </c>
      <c r="H6199" s="7" t="str">
        <f>IF(Table1[[#This Row],[Is Data Valid]]=TRUE,((Table1[[#This Row],[Birthweight (grams)]]*0.9/Table1[[#This Row],[BW_GA]])-1)/(Backend!$B$4/100*Table1[[#This Row],[BW40_3705]]),"")</f>
        <v/>
      </c>
      <c r="I6199" s="7" t="str">
        <f>IF(Table1[[#This Row],[Is Data Valid]]=TRUE,((Table1[[#This Row],[Birthweight (grams)]]*1.1/Table1[[#This Row],[BW_GA]])-1)/(Backend!$B$4/100*Table1[[#This Row],[BW40_3705]]),"")</f>
        <v/>
      </c>
      <c r="J6199" s="7" t="str">
        <f>IF(Table1[[#This Row],[Is Data Valid]]=TRUE,_xlfn.NORM.S.DIST(Table1[[#This Row],[Birthweight Z-Score]],TRUE)*100,"")</f>
        <v/>
      </c>
      <c r="K6199" s="7" t="str">
        <f>IF(Table1[[#This Row],[Is Data Valid]]=TRUE,_xlfn.NORM.S.DIST(Table1[[#This Row],[Birthweight Z-Score (BW-10%)]],TRUE)*100,"")</f>
        <v/>
      </c>
      <c r="L6199" s="7" t="str">
        <f>IF(Table1[[#This Row],[Is Data Valid]]=TRUE,_xlfn.NORM.S.DIST(Table1[[#This Row],[Birthweight Z-Score (BW+10%)]],TRUE)*100,"")</f>
        <v/>
      </c>
    </row>
    <row r="6200" spans="1:12" x14ac:dyDescent="0.35">
      <c r="A6200" s="3"/>
      <c r="B6200" s="2"/>
      <c r="C6200" s="2"/>
      <c r="D6200" s="2" t="b">
        <f>IF(AND(NOT(ISBLANK(Table1[[#This Row],[Fetal Sex (Male, Female or Unknown)]])),ISNUMBER(Table1[[#This Row],[Birthweight (grams)]]),ISNUMBER(Table1[[#This Row],[Gestation (days)]])),TRUE,FALSE)</f>
        <v>0</v>
      </c>
      <c r="E6200" s="2" t="str">
        <f>IF(Table1[[#This Row],[Is Data Valid]]=TRUE,IF(Table1[[#This Row],[Fetal Sex (Male, Female or Unknown)]]="Male",Backend!$C$6,IF(Table1[[#This Row],[Fetal Sex (Male, Female or Unknown)]]="Female",Backend!$C$7,IF(Table1[[#This Row],[Fetal Sex (Male, Female or Unknown)]]="Unknown",Backend!$C$8,"Error"))),"")</f>
        <v/>
      </c>
      <c r="F6200" s="8" t="str">
        <f>IF(Table1[[#This Row],[Is Data Valid]]=TRUE,EXP(0.578+0.332*((Table1[[#This Row],[Gestation (days)]]+0.5)/7)-0.00354*((Table1[[#This Row],[Gestation (days)]]+0.5)/7)^2)*Table1[[#This Row],[BW40_3705]],"")</f>
        <v/>
      </c>
      <c r="G6200" s="2" t="str">
        <f>IF(Table1[[#This Row],[Is Data Valid]]=TRUE,((Table1[[#This Row],[Birthweight (grams)]]/Table1[[#This Row],[BW_GA]])-1)/(Backend!$B$4/100*Table1[[#This Row],[BW40_3705]]),"")</f>
        <v/>
      </c>
      <c r="H6200" s="7" t="str">
        <f>IF(Table1[[#This Row],[Is Data Valid]]=TRUE,((Table1[[#This Row],[Birthweight (grams)]]*0.9/Table1[[#This Row],[BW_GA]])-1)/(Backend!$B$4/100*Table1[[#This Row],[BW40_3705]]),"")</f>
        <v/>
      </c>
      <c r="I6200" s="7" t="str">
        <f>IF(Table1[[#This Row],[Is Data Valid]]=TRUE,((Table1[[#This Row],[Birthweight (grams)]]*1.1/Table1[[#This Row],[BW_GA]])-1)/(Backend!$B$4/100*Table1[[#This Row],[BW40_3705]]),"")</f>
        <v/>
      </c>
      <c r="J6200" s="7" t="str">
        <f>IF(Table1[[#This Row],[Is Data Valid]]=TRUE,_xlfn.NORM.S.DIST(Table1[[#This Row],[Birthweight Z-Score]],TRUE)*100,"")</f>
        <v/>
      </c>
      <c r="K6200" s="7" t="str">
        <f>IF(Table1[[#This Row],[Is Data Valid]]=TRUE,_xlfn.NORM.S.DIST(Table1[[#This Row],[Birthweight Z-Score (BW-10%)]],TRUE)*100,"")</f>
        <v/>
      </c>
      <c r="L6200" s="7" t="str">
        <f>IF(Table1[[#This Row],[Is Data Valid]]=TRUE,_xlfn.NORM.S.DIST(Table1[[#This Row],[Birthweight Z-Score (BW+10%)]],TRUE)*100,"")</f>
        <v/>
      </c>
    </row>
    <row r="6201" spans="1:12" x14ac:dyDescent="0.35">
      <c r="A6201" s="3"/>
      <c r="B6201" s="2"/>
      <c r="C6201" s="2"/>
      <c r="D6201" s="2" t="b">
        <f>IF(AND(NOT(ISBLANK(Table1[[#This Row],[Fetal Sex (Male, Female or Unknown)]])),ISNUMBER(Table1[[#This Row],[Birthweight (grams)]]),ISNUMBER(Table1[[#This Row],[Gestation (days)]])),TRUE,FALSE)</f>
        <v>0</v>
      </c>
      <c r="E6201" s="2" t="str">
        <f>IF(Table1[[#This Row],[Is Data Valid]]=TRUE,IF(Table1[[#This Row],[Fetal Sex (Male, Female or Unknown)]]="Male",Backend!$C$6,IF(Table1[[#This Row],[Fetal Sex (Male, Female or Unknown)]]="Female",Backend!$C$7,IF(Table1[[#This Row],[Fetal Sex (Male, Female or Unknown)]]="Unknown",Backend!$C$8,"Error"))),"")</f>
        <v/>
      </c>
      <c r="F6201" s="8" t="str">
        <f>IF(Table1[[#This Row],[Is Data Valid]]=TRUE,EXP(0.578+0.332*((Table1[[#This Row],[Gestation (days)]]+0.5)/7)-0.00354*((Table1[[#This Row],[Gestation (days)]]+0.5)/7)^2)*Table1[[#This Row],[BW40_3705]],"")</f>
        <v/>
      </c>
      <c r="G6201" s="2" t="str">
        <f>IF(Table1[[#This Row],[Is Data Valid]]=TRUE,((Table1[[#This Row],[Birthweight (grams)]]/Table1[[#This Row],[BW_GA]])-1)/(Backend!$B$4/100*Table1[[#This Row],[BW40_3705]]),"")</f>
        <v/>
      </c>
      <c r="H6201" s="7" t="str">
        <f>IF(Table1[[#This Row],[Is Data Valid]]=TRUE,((Table1[[#This Row],[Birthweight (grams)]]*0.9/Table1[[#This Row],[BW_GA]])-1)/(Backend!$B$4/100*Table1[[#This Row],[BW40_3705]]),"")</f>
        <v/>
      </c>
      <c r="I6201" s="7" t="str">
        <f>IF(Table1[[#This Row],[Is Data Valid]]=TRUE,((Table1[[#This Row],[Birthweight (grams)]]*1.1/Table1[[#This Row],[BW_GA]])-1)/(Backend!$B$4/100*Table1[[#This Row],[BW40_3705]]),"")</f>
        <v/>
      </c>
      <c r="J6201" s="7" t="str">
        <f>IF(Table1[[#This Row],[Is Data Valid]]=TRUE,_xlfn.NORM.S.DIST(Table1[[#This Row],[Birthweight Z-Score]],TRUE)*100,"")</f>
        <v/>
      </c>
      <c r="K6201" s="7" t="str">
        <f>IF(Table1[[#This Row],[Is Data Valid]]=TRUE,_xlfn.NORM.S.DIST(Table1[[#This Row],[Birthweight Z-Score (BW-10%)]],TRUE)*100,"")</f>
        <v/>
      </c>
      <c r="L6201" s="7" t="str">
        <f>IF(Table1[[#This Row],[Is Data Valid]]=TRUE,_xlfn.NORM.S.DIST(Table1[[#This Row],[Birthweight Z-Score (BW+10%)]],TRUE)*100,"")</f>
        <v/>
      </c>
    </row>
    <row r="6202" spans="1:12" x14ac:dyDescent="0.35">
      <c r="A6202" s="3"/>
      <c r="B6202" s="2"/>
      <c r="C6202" s="2"/>
      <c r="D6202" s="2" t="b">
        <f>IF(AND(NOT(ISBLANK(Table1[[#This Row],[Fetal Sex (Male, Female or Unknown)]])),ISNUMBER(Table1[[#This Row],[Birthweight (grams)]]),ISNUMBER(Table1[[#This Row],[Gestation (days)]])),TRUE,FALSE)</f>
        <v>0</v>
      </c>
      <c r="E6202" s="2" t="str">
        <f>IF(Table1[[#This Row],[Is Data Valid]]=TRUE,IF(Table1[[#This Row],[Fetal Sex (Male, Female or Unknown)]]="Male",Backend!$C$6,IF(Table1[[#This Row],[Fetal Sex (Male, Female or Unknown)]]="Female",Backend!$C$7,IF(Table1[[#This Row],[Fetal Sex (Male, Female or Unknown)]]="Unknown",Backend!$C$8,"Error"))),"")</f>
        <v/>
      </c>
      <c r="F6202" s="8" t="str">
        <f>IF(Table1[[#This Row],[Is Data Valid]]=TRUE,EXP(0.578+0.332*((Table1[[#This Row],[Gestation (days)]]+0.5)/7)-0.00354*((Table1[[#This Row],[Gestation (days)]]+0.5)/7)^2)*Table1[[#This Row],[BW40_3705]],"")</f>
        <v/>
      </c>
      <c r="G6202" s="2" t="str">
        <f>IF(Table1[[#This Row],[Is Data Valid]]=TRUE,((Table1[[#This Row],[Birthweight (grams)]]/Table1[[#This Row],[BW_GA]])-1)/(Backend!$B$4/100*Table1[[#This Row],[BW40_3705]]),"")</f>
        <v/>
      </c>
      <c r="H6202" s="7" t="str">
        <f>IF(Table1[[#This Row],[Is Data Valid]]=TRUE,((Table1[[#This Row],[Birthweight (grams)]]*0.9/Table1[[#This Row],[BW_GA]])-1)/(Backend!$B$4/100*Table1[[#This Row],[BW40_3705]]),"")</f>
        <v/>
      </c>
      <c r="I6202" s="7" t="str">
        <f>IF(Table1[[#This Row],[Is Data Valid]]=TRUE,((Table1[[#This Row],[Birthweight (grams)]]*1.1/Table1[[#This Row],[BW_GA]])-1)/(Backend!$B$4/100*Table1[[#This Row],[BW40_3705]]),"")</f>
        <v/>
      </c>
      <c r="J6202" s="7" t="str">
        <f>IF(Table1[[#This Row],[Is Data Valid]]=TRUE,_xlfn.NORM.S.DIST(Table1[[#This Row],[Birthweight Z-Score]],TRUE)*100,"")</f>
        <v/>
      </c>
      <c r="K6202" s="7" t="str">
        <f>IF(Table1[[#This Row],[Is Data Valid]]=TRUE,_xlfn.NORM.S.DIST(Table1[[#This Row],[Birthweight Z-Score (BW-10%)]],TRUE)*100,"")</f>
        <v/>
      </c>
      <c r="L6202" s="7" t="str">
        <f>IF(Table1[[#This Row],[Is Data Valid]]=TRUE,_xlfn.NORM.S.DIST(Table1[[#This Row],[Birthweight Z-Score (BW+10%)]],TRUE)*100,"")</f>
        <v/>
      </c>
    </row>
    <row r="6203" spans="1:12" x14ac:dyDescent="0.35">
      <c r="A6203" s="3"/>
      <c r="B6203" s="2"/>
      <c r="C6203" s="2"/>
      <c r="D6203" s="2" t="b">
        <f>IF(AND(NOT(ISBLANK(Table1[[#This Row],[Fetal Sex (Male, Female or Unknown)]])),ISNUMBER(Table1[[#This Row],[Birthweight (grams)]]),ISNUMBER(Table1[[#This Row],[Gestation (days)]])),TRUE,FALSE)</f>
        <v>0</v>
      </c>
      <c r="E6203" s="2" t="str">
        <f>IF(Table1[[#This Row],[Is Data Valid]]=TRUE,IF(Table1[[#This Row],[Fetal Sex (Male, Female or Unknown)]]="Male",Backend!$C$6,IF(Table1[[#This Row],[Fetal Sex (Male, Female or Unknown)]]="Female",Backend!$C$7,IF(Table1[[#This Row],[Fetal Sex (Male, Female or Unknown)]]="Unknown",Backend!$C$8,"Error"))),"")</f>
        <v/>
      </c>
      <c r="F6203" s="8" t="str">
        <f>IF(Table1[[#This Row],[Is Data Valid]]=TRUE,EXP(0.578+0.332*((Table1[[#This Row],[Gestation (days)]]+0.5)/7)-0.00354*((Table1[[#This Row],[Gestation (days)]]+0.5)/7)^2)*Table1[[#This Row],[BW40_3705]],"")</f>
        <v/>
      </c>
      <c r="G6203" s="2" t="str">
        <f>IF(Table1[[#This Row],[Is Data Valid]]=TRUE,((Table1[[#This Row],[Birthweight (grams)]]/Table1[[#This Row],[BW_GA]])-1)/(Backend!$B$4/100*Table1[[#This Row],[BW40_3705]]),"")</f>
        <v/>
      </c>
      <c r="H6203" s="7" t="str">
        <f>IF(Table1[[#This Row],[Is Data Valid]]=TRUE,((Table1[[#This Row],[Birthweight (grams)]]*0.9/Table1[[#This Row],[BW_GA]])-1)/(Backend!$B$4/100*Table1[[#This Row],[BW40_3705]]),"")</f>
        <v/>
      </c>
      <c r="I6203" s="7" t="str">
        <f>IF(Table1[[#This Row],[Is Data Valid]]=TRUE,((Table1[[#This Row],[Birthweight (grams)]]*1.1/Table1[[#This Row],[BW_GA]])-1)/(Backend!$B$4/100*Table1[[#This Row],[BW40_3705]]),"")</f>
        <v/>
      </c>
      <c r="J6203" s="7" t="str">
        <f>IF(Table1[[#This Row],[Is Data Valid]]=TRUE,_xlfn.NORM.S.DIST(Table1[[#This Row],[Birthweight Z-Score]],TRUE)*100,"")</f>
        <v/>
      </c>
      <c r="K6203" s="7" t="str">
        <f>IF(Table1[[#This Row],[Is Data Valid]]=TRUE,_xlfn.NORM.S.DIST(Table1[[#This Row],[Birthweight Z-Score (BW-10%)]],TRUE)*100,"")</f>
        <v/>
      </c>
      <c r="L6203" s="7" t="str">
        <f>IF(Table1[[#This Row],[Is Data Valid]]=TRUE,_xlfn.NORM.S.DIST(Table1[[#This Row],[Birthweight Z-Score (BW+10%)]],TRUE)*100,"")</f>
        <v/>
      </c>
    </row>
    <row r="6204" spans="1:12" x14ac:dyDescent="0.35">
      <c r="A6204" s="3"/>
      <c r="B6204" s="2"/>
      <c r="C6204" s="2"/>
      <c r="D6204" s="2" t="b">
        <f>IF(AND(NOT(ISBLANK(Table1[[#This Row],[Fetal Sex (Male, Female or Unknown)]])),ISNUMBER(Table1[[#This Row],[Birthweight (grams)]]),ISNUMBER(Table1[[#This Row],[Gestation (days)]])),TRUE,FALSE)</f>
        <v>0</v>
      </c>
      <c r="E6204" s="2" t="str">
        <f>IF(Table1[[#This Row],[Is Data Valid]]=TRUE,IF(Table1[[#This Row],[Fetal Sex (Male, Female or Unknown)]]="Male",Backend!$C$6,IF(Table1[[#This Row],[Fetal Sex (Male, Female or Unknown)]]="Female",Backend!$C$7,IF(Table1[[#This Row],[Fetal Sex (Male, Female or Unknown)]]="Unknown",Backend!$C$8,"Error"))),"")</f>
        <v/>
      </c>
      <c r="F6204" s="8" t="str">
        <f>IF(Table1[[#This Row],[Is Data Valid]]=TRUE,EXP(0.578+0.332*((Table1[[#This Row],[Gestation (days)]]+0.5)/7)-0.00354*((Table1[[#This Row],[Gestation (days)]]+0.5)/7)^2)*Table1[[#This Row],[BW40_3705]],"")</f>
        <v/>
      </c>
      <c r="G6204" s="2" t="str">
        <f>IF(Table1[[#This Row],[Is Data Valid]]=TRUE,((Table1[[#This Row],[Birthweight (grams)]]/Table1[[#This Row],[BW_GA]])-1)/(Backend!$B$4/100*Table1[[#This Row],[BW40_3705]]),"")</f>
        <v/>
      </c>
      <c r="H6204" s="7" t="str">
        <f>IF(Table1[[#This Row],[Is Data Valid]]=TRUE,((Table1[[#This Row],[Birthweight (grams)]]*0.9/Table1[[#This Row],[BW_GA]])-1)/(Backend!$B$4/100*Table1[[#This Row],[BW40_3705]]),"")</f>
        <v/>
      </c>
      <c r="I6204" s="7" t="str">
        <f>IF(Table1[[#This Row],[Is Data Valid]]=TRUE,((Table1[[#This Row],[Birthweight (grams)]]*1.1/Table1[[#This Row],[BW_GA]])-1)/(Backend!$B$4/100*Table1[[#This Row],[BW40_3705]]),"")</f>
        <v/>
      </c>
      <c r="J6204" s="7" t="str">
        <f>IF(Table1[[#This Row],[Is Data Valid]]=TRUE,_xlfn.NORM.S.DIST(Table1[[#This Row],[Birthweight Z-Score]],TRUE)*100,"")</f>
        <v/>
      </c>
      <c r="K6204" s="7" t="str">
        <f>IF(Table1[[#This Row],[Is Data Valid]]=TRUE,_xlfn.NORM.S.DIST(Table1[[#This Row],[Birthweight Z-Score (BW-10%)]],TRUE)*100,"")</f>
        <v/>
      </c>
      <c r="L6204" s="7" t="str">
        <f>IF(Table1[[#This Row],[Is Data Valid]]=TRUE,_xlfn.NORM.S.DIST(Table1[[#This Row],[Birthweight Z-Score (BW+10%)]],TRUE)*100,"")</f>
        <v/>
      </c>
    </row>
    <row r="6205" spans="1:12" x14ac:dyDescent="0.35">
      <c r="A6205" s="3"/>
      <c r="B6205" s="2"/>
      <c r="C6205" s="2"/>
      <c r="D6205" s="2" t="b">
        <f>IF(AND(NOT(ISBLANK(Table1[[#This Row],[Fetal Sex (Male, Female or Unknown)]])),ISNUMBER(Table1[[#This Row],[Birthweight (grams)]]),ISNUMBER(Table1[[#This Row],[Gestation (days)]])),TRUE,FALSE)</f>
        <v>0</v>
      </c>
      <c r="E6205" s="2" t="str">
        <f>IF(Table1[[#This Row],[Is Data Valid]]=TRUE,IF(Table1[[#This Row],[Fetal Sex (Male, Female or Unknown)]]="Male",Backend!$C$6,IF(Table1[[#This Row],[Fetal Sex (Male, Female or Unknown)]]="Female",Backend!$C$7,IF(Table1[[#This Row],[Fetal Sex (Male, Female or Unknown)]]="Unknown",Backend!$C$8,"Error"))),"")</f>
        <v/>
      </c>
      <c r="F6205" s="8" t="str">
        <f>IF(Table1[[#This Row],[Is Data Valid]]=TRUE,EXP(0.578+0.332*((Table1[[#This Row],[Gestation (days)]]+0.5)/7)-0.00354*((Table1[[#This Row],[Gestation (days)]]+0.5)/7)^2)*Table1[[#This Row],[BW40_3705]],"")</f>
        <v/>
      </c>
      <c r="G6205" s="2" t="str">
        <f>IF(Table1[[#This Row],[Is Data Valid]]=TRUE,((Table1[[#This Row],[Birthweight (grams)]]/Table1[[#This Row],[BW_GA]])-1)/(Backend!$B$4/100*Table1[[#This Row],[BW40_3705]]),"")</f>
        <v/>
      </c>
      <c r="H6205" s="7" t="str">
        <f>IF(Table1[[#This Row],[Is Data Valid]]=TRUE,((Table1[[#This Row],[Birthweight (grams)]]*0.9/Table1[[#This Row],[BW_GA]])-1)/(Backend!$B$4/100*Table1[[#This Row],[BW40_3705]]),"")</f>
        <v/>
      </c>
      <c r="I6205" s="7" t="str">
        <f>IF(Table1[[#This Row],[Is Data Valid]]=TRUE,((Table1[[#This Row],[Birthweight (grams)]]*1.1/Table1[[#This Row],[BW_GA]])-1)/(Backend!$B$4/100*Table1[[#This Row],[BW40_3705]]),"")</f>
        <v/>
      </c>
      <c r="J6205" s="7" t="str">
        <f>IF(Table1[[#This Row],[Is Data Valid]]=TRUE,_xlfn.NORM.S.DIST(Table1[[#This Row],[Birthweight Z-Score]],TRUE)*100,"")</f>
        <v/>
      </c>
      <c r="K6205" s="7" t="str">
        <f>IF(Table1[[#This Row],[Is Data Valid]]=TRUE,_xlfn.NORM.S.DIST(Table1[[#This Row],[Birthweight Z-Score (BW-10%)]],TRUE)*100,"")</f>
        <v/>
      </c>
      <c r="L6205" s="7" t="str">
        <f>IF(Table1[[#This Row],[Is Data Valid]]=TRUE,_xlfn.NORM.S.DIST(Table1[[#This Row],[Birthweight Z-Score (BW+10%)]],TRUE)*100,"")</f>
        <v/>
      </c>
    </row>
    <row r="6206" spans="1:12" x14ac:dyDescent="0.35">
      <c r="A6206" s="3"/>
      <c r="B6206" s="2"/>
      <c r="C6206" s="2"/>
      <c r="D6206" s="2" t="b">
        <f>IF(AND(NOT(ISBLANK(Table1[[#This Row],[Fetal Sex (Male, Female or Unknown)]])),ISNUMBER(Table1[[#This Row],[Birthweight (grams)]]),ISNUMBER(Table1[[#This Row],[Gestation (days)]])),TRUE,FALSE)</f>
        <v>0</v>
      </c>
      <c r="E6206" s="2" t="str">
        <f>IF(Table1[[#This Row],[Is Data Valid]]=TRUE,IF(Table1[[#This Row],[Fetal Sex (Male, Female or Unknown)]]="Male",Backend!$C$6,IF(Table1[[#This Row],[Fetal Sex (Male, Female or Unknown)]]="Female",Backend!$C$7,IF(Table1[[#This Row],[Fetal Sex (Male, Female or Unknown)]]="Unknown",Backend!$C$8,"Error"))),"")</f>
        <v/>
      </c>
      <c r="F6206" s="8" t="str">
        <f>IF(Table1[[#This Row],[Is Data Valid]]=TRUE,EXP(0.578+0.332*((Table1[[#This Row],[Gestation (days)]]+0.5)/7)-0.00354*((Table1[[#This Row],[Gestation (days)]]+0.5)/7)^2)*Table1[[#This Row],[BW40_3705]],"")</f>
        <v/>
      </c>
      <c r="G6206" s="2" t="str">
        <f>IF(Table1[[#This Row],[Is Data Valid]]=TRUE,((Table1[[#This Row],[Birthweight (grams)]]/Table1[[#This Row],[BW_GA]])-1)/(Backend!$B$4/100*Table1[[#This Row],[BW40_3705]]),"")</f>
        <v/>
      </c>
      <c r="H6206" s="7" t="str">
        <f>IF(Table1[[#This Row],[Is Data Valid]]=TRUE,((Table1[[#This Row],[Birthweight (grams)]]*0.9/Table1[[#This Row],[BW_GA]])-1)/(Backend!$B$4/100*Table1[[#This Row],[BW40_3705]]),"")</f>
        <v/>
      </c>
      <c r="I6206" s="7" t="str">
        <f>IF(Table1[[#This Row],[Is Data Valid]]=TRUE,((Table1[[#This Row],[Birthweight (grams)]]*1.1/Table1[[#This Row],[BW_GA]])-1)/(Backend!$B$4/100*Table1[[#This Row],[BW40_3705]]),"")</f>
        <v/>
      </c>
      <c r="J6206" s="7" t="str">
        <f>IF(Table1[[#This Row],[Is Data Valid]]=TRUE,_xlfn.NORM.S.DIST(Table1[[#This Row],[Birthweight Z-Score]],TRUE)*100,"")</f>
        <v/>
      </c>
      <c r="K6206" s="7" t="str">
        <f>IF(Table1[[#This Row],[Is Data Valid]]=TRUE,_xlfn.NORM.S.DIST(Table1[[#This Row],[Birthweight Z-Score (BW-10%)]],TRUE)*100,"")</f>
        <v/>
      </c>
      <c r="L6206" s="7" t="str">
        <f>IF(Table1[[#This Row],[Is Data Valid]]=TRUE,_xlfn.NORM.S.DIST(Table1[[#This Row],[Birthweight Z-Score (BW+10%)]],TRUE)*100,"")</f>
        <v/>
      </c>
    </row>
    <row r="6207" spans="1:12" x14ac:dyDescent="0.35">
      <c r="A6207" s="3"/>
      <c r="B6207" s="2"/>
      <c r="C6207" s="2"/>
      <c r="D6207" s="2" t="b">
        <f>IF(AND(NOT(ISBLANK(Table1[[#This Row],[Fetal Sex (Male, Female or Unknown)]])),ISNUMBER(Table1[[#This Row],[Birthweight (grams)]]),ISNUMBER(Table1[[#This Row],[Gestation (days)]])),TRUE,FALSE)</f>
        <v>0</v>
      </c>
      <c r="E6207" s="2" t="str">
        <f>IF(Table1[[#This Row],[Is Data Valid]]=TRUE,IF(Table1[[#This Row],[Fetal Sex (Male, Female or Unknown)]]="Male",Backend!$C$6,IF(Table1[[#This Row],[Fetal Sex (Male, Female or Unknown)]]="Female",Backend!$C$7,IF(Table1[[#This Row],[Fetal Sex (Male, Female or Unknown)]]="Unknown",Backend!$C$8,"Error"))),"")</f>
        <v/>
      </c>
      <c r="F6207" s="8" t="str">
        <f>IF(Table1[[#This Row],[Is Data Valid]]=TRUE,EXP(0.578+0.332*((Table1[[#This Row],[Gestation (days)]]+0.5)/7)-0.00354*((Table1[[#This Row],[Gestation (days)]]+0.5)/7)^2)*Table1[[#This Row],[BW40_3705]],"")</f>
        <v/>
      </c>
      <c r="G6207" s="2" t="str">
        <f>IF(Table1[[#This Row],[Is Data Valid]]=TRUE,((Table1[[#This Row],[Birthweight (grams)]]/Table1[[#This Row],[BW_GA]])-1)/(Backend!$B$4/100*Table1[[#This Row],[BW40_3705]]),"")</f>
        <v/>
      </c>
      <c r="H6207" s="7" t="str">
        <f>IF(Table1[[#This Row],[Is Data Valid]]=TRUE,((Table1[[#This Row],[Birthweight (grams)]]*0.9/Table1[[#This Row],[BW_GA]])-1)/(Backend!$B$4/100*Table1[[#This Row],[BW40_3705]]),"")</f>
        <v/>
      </c>
      <c r="I6207" s="7" t="str">
        <f>IF(Table1[[#This Row],[Is Data Valid]]=TRUE,((Table1[[#This Row],[Birthweight (grams)]]*1.1/Table1[[#This Row],[BW_GA]])-1)/(Backend!$B$4/100*Table1[[#This Row],[BW40_3705]]),"")</f>
        <v/>
      </c>
      <c r="J6207" s="7" t="str">
        <f>IF(Table1[[#This Row],[Is Data Valid]]=TRUE,_xlfn.NORM.S.DIST(Table1[[#This Row],[Birthweight Z-Score]],TRUE)*100,"")</f>
        <v/>
      </c>
      <c r="K6207" s="7" t="str">
        <f>IF(Table1[[#This Row],[Is Data Valid]]=TRUE,_xlfn.NORM.S.DIST(Table1[[#This Row],[Birthweight Z-Score (BW-10%)]],TRUE)*100,"")</f>
        <v/>
      </c>
      <c r="L6207" s="7" t="str">
        <f>IF(Table1[[#This Row],[Is Data Valid]]=TRUE,_xlfn.NORM.S.DIST(Table1[[#This Row],[Birthweight Z-Score (BW+10%)]],TRUE)*100,"")</f>
        <v/>
      </c>
    </row>
    <row r="6208" spans="1:12" x14ac:dyDescent="0.35">
      <c r="A6208" s="3"/>
      <c r="B6208" s="2"/>
      <c r="C6208" s="2"/>
      <c r="D6208" s="2" t="b">
        <f>IF(AND(NOT(ISBLANK(Table1[[#This Row],[Fetal Sex (Male, Female or Unknown)]])),ISNUMBER(Table1[[#This Row],[Birthweight (grams)]]),ISNUMBER(Table1[[#This Row],[Gestation (days)]])),TRUE,FALSE)</f>
        <v>0</v>
      </c>
      <c r="E6208" s="2" t="str">
        <f>IF(Table1[[#This Row],[Is Data Valid]]=TRUE,IF(Table1[[#This Row],[Fetal Sex (Male, Female or Unknown)]]="Male",Backend!$C$6,IF(Table1[[#This Row],[Fetal Sex (Male, Female or Unknown)]]="Female",Backend!$C$7,IF(Table1[[#This Row],[Fetal Sex (Male, Female or Unknown)]]="Unknown",Backend!$C$8,"Error"))),"")</f>
        <v/>
      </c>
      <c r="F6208" s="8" t="str">
        <f>IF(Table1[[#This Row],[Is Data Valid]]=TRUE,EXP(0.578+0.332*((Table1[[#This Row],[Gestation (days)]]+0.5)/7)-0.00354*((Table1[[#This Row],[Gestation (days)]]+0.5)/7)^2)*Table1[[#This Row],[BW40_3705]],"")</f>
        <v/>
      </c>
      <c r="G6208" s="2" t="str">
        <f>IF(Table1[[#This Row],[Is Data Valid]]=TRUE,((Table1[[#This Row],[Birthweight (grams)]]/Table1[[#This Row],[BW_GA]])-1)/(Backend!$B$4/100*Table1[[#This Row],[BW40_3705]]),"")</f>
        <v/>
      </c>
      <c r="H6208" s="7" t="str">
        <f>IF(Table1[[#This Row],[Is Data Valid]]=TRUE,((Table1[[#This Row],[Birthweight (grams)]]*0.9/Table1[[#This Row],[BW_GA]])-1)/(Backend!$B$4/100*Table1[[#This Row],[BW40_3705]]),"")</f>
        <v/>
      </c>
      <c r="I6208" s="7" t="str">
        <f>IF(Table1[[#This Row],[Is Data Valid]]=TRUE,((Table1[[#This Row],[Birthweight (grams)]]*1.1/Table1[[#This Row],[BW_GA]])-1)/(Backend!$B$4/100*Table1[[#This Row],[BW40_3705]]),"")</f>
        <v/>
      </c>
      <c r="J6208" s="7" t="str">
        <f>IF(Table1[[#This Row],[Is Data Valid]]=TRUE,_xlfn.NORM.S.DIST(Table1[[#This Row],[Birthweight Z-Score]],TRUE)*100,"")</f>
        <v/>
      </c>
      <c r="K6208" s="7" t="str">
        <f>IF(Table1[[#This Row],[Is Data Valid]]=TRUE,_xlfn.NORM.S.DIST(Table1[[#This Row],[Birthweight Z-Score (BW-10%)]],TRUE)*100,"")</f>
        <v/>
      </c>
      <c r="L6208" s="7" t="str">
        <f>IF(Table1[[#This Row],[Is Data Valid]]=TRUE,_xlfn.NORM.S.DIST(Table1[[#This Row],[Birthweight Z-Score (BW+10%)]],TRUE)*100,"")</f>
        <v/>
      </c>
    </row>
    <row r="6209" spans="1:12" x14ac:dyDescent="0.35">
      <c r="A6209" s="3"/>
      <c r="B6209" s="2"/>
      <c r="C6209" s="2"/>
      <c r="D6209" s="2" t="b">
        <f>IF(AND(NOT(ISBLANK(Table1[[#This Row],[Fetal Sex (Male, Female or Unknown)]])),ISNUMBER(Table1[[#This Row],[Birthweight (grams)]]),ISNUMBER(Table1[[#This Row],[Gestation (days)]])),TRUE,FALSE)</f>
        <v>0</v>
      </c>
      <c r="E6209" s="2" t="str">
        <f>IF(Table1[[#This Row],[Is Data Valid]]=TRUE,IF(Table1[[#This Row],[Fetal Sex (Male, Female or Unknown)]]="Male",Backend!$C$6,IF(Table1[[#This Row],[Fetal Sex (Male, Female or Unknown)]]="Female",Backend!$C$7,IF(Table1[[#This Row],[Fetal Sex (Male, Female or Unknown)]]="Unknown",Backend!$C$8,"Error"))),"")</f>
        <v/>
      </c>
      <c r="F6209" s="8" t="str">
        <f>IF(Table1[[#This Row],[Is Data Valid]]=TRUE,EXP(0.578+0.332*((Table1[[#This Row],[Gestation (days)]]+0.5)/7)-0.00354*((Table1[[#This Row],[Gestation (days)]]+0.5)/7)^2)*Table1[[#This Row],[BW40_3705]],"")</f>
        <v/>
      </c>
      <c r="G6209" s="2" t="str">
        <f>IF(Table1[[#This Row],[Is Data Valid]]=TRUE,((Table1[[#This Row],[Birthweight (grams)]]/Table1[[#This Row],[BW_GA]])-1)/(Backend!$B$4/100*Table1[[#This Row],[BW40_3705]]),"")</f>
        <v/>
      </c>
      <c r="H6209" s="7" t="str">
        <f>IF(Table1[[#This Row],[Is Data Valid]]=TRUE,((Table1[[#This Row],[Birthweight (grams)]]*0.9/Table1[[#This Row],[BW_GA]])-1)/(Backend!$B$4/100*Table1[[#This Row],[BW40_3705]]),"")</f>
        <v/>
      </c>
      <c r="I6209" s="7" t="str">
        <f>IF(Table1[[#This Row],[Is Data Valid]]=TRUE,((Table1[[#This Row],[Birthweight (grams)]]*1.1/Table1[[#This Row],[BW_GA]])-1)/(Backend!$B$4/100*Table1[[#This Row],[BW40_3705]]),"")</f>
        <v/>
      </c>
      <c r="J6209" s="7" t="str">
        <f>IF(Table1[[#This Row],[Is Data Valid]]=TRUE,_xlfn.NORM.S.DIST(Table1[[#This Row],[Birthweight Z-Score]],TRUE)*100,"")</f>
        <v/>
      </c>
      <c r="K6209" s="7" t="str">
        <f>IF(Table1[[#This Row],[Is Data Valid]]=TRUE,_xlfn.NORM.S.DIST(Table1[[#This Row],[Birthweight Z-Score (BW-10%)]],TRUE)*100,"")</f>
        <v/>
      </c>
      <c r="L6209" s="7" t="str">
        <f>IF(Table1[[#This Row],[Is Data Valid]]=TRUE,_xlfn.NORM.S.DIST(Table1[[#This Row],[Birthweight Z-Score (BW+10%)]],TRUE)*100,"")</f>
        <v/>
      </c>
    </row>
    <row r="6210" spans="1:12" x14ac:dyDescent="0.35">
      <c r="A6210" s="3"/>
      <c r="B6210" s="2"/>
      <c r="C6210" s="2"/>
      <c r="D6210" s="2" t="b">
        <f>IF(AND(NOT(ISBLANK(Table1[[#This Row],[Fetal Sex (Male, Female or Unknown)]])),ISNUMBER(Table1[[#This Row],[Birthweight (grams)]]),ISNUMBER(Table1[[#This Row],[Gestation (days)]])),TRUE,FALSE)</f>
        <v>0</v>
      </c>
      <c r="E6210" s="2" t="str">
        <f>IF(Table1[[#This Row],[Is Data Valid]]=TRUE,IF(Table1[[#This Row],[Fetal Sex (Male, Female or Unknown)]]="Male",Backend!$C$6,IF(Table1[[#This Row],[Fetal Sex (Male, Female or Unknown)]]="Female",Backend!$C$7,IF(Table1[[#This Row],[Fetal Sex (Male, Female or Unknown)]]="Unknown",Backend!$C$8,"Error"))),"")</f>
        <v/>
      </c>
      <c r="F6210" s="8" t="str">
        <f>IF(Table1[[#This Row],[Is Data Valid]]=TRUE,EXP(0.578+0.332*((Table1[[#This Row],[Gestation (days)]]+0.5)/7)-0.00354*((Table1[[#This Row],[Gestation (days)]]+0.5)/7)^2)*Table1[[#This Row],[BW40_3705]],"")</f>
        <v/>
      </c>
      <c r="G6210" s="2" t="str">
        <f>IF(Table1[[#This Row],[Is Data Valid]]=TRUE,((Table1[[#This Row],[Birthweight (grams)]]/Table1[[#This Row],[BW_GA]])-1)/(Backend!$B$4/100*Table1[[#This Row],[BW40_3705]]),"")</f>
        <v/>
      </c>
      <c r="H6210" s="7" t="str">
        <f>IF(Table1[[#This Row],[Is Data Valid]]=TRUE,((Table1[[#This Row],[Birthweight (grams)]]*0.9/Table1[[#This Row],[BW_GA]])-1)/(Backend!$B$4/100*Table1[[#This Row],[BW40_3705]]),"")</f>
        <v/>
      </c>
      <c r="I6210" s="7" t="str">
        <f>IF(Table1[[#This Row],[Is Data Valid]]=TRUE,((Table1[[#This Row],[Birthweight (grams)]]*1.1/Table1[[#This Row],[BW_GA]])-1)/(Backend!$B$4/100*Table1[[#This Row],[BW40_3705]]),"")</f>
        <v/>
      </c>
      <c r="J6210" s="7" t="str">
        <f>IF(Table1[[#This Row],[Is Data Valid]]=TRUE,_xlfn.NORM.S.DIST(Table1[[#This Row],[Birthweight Z-Score]],TRUE)*100,"")</f>
        <v/>
      </c>
      <c r="K6210" s="7" t="str">
        <f>IF(Table1[[#This Row],[Is Data Valid]]=TRUE,_xlfn.NORM.S.DIST(Table1[[#This Row],[Birthweight Z-Score (BW-10%)]],TRUE)*100,"")</f>
        <v/>
      </c>
      <c r="L6210" s="7" t="str">
        <f>IF(Table1[[#This Row],[Is Data Valid]]=TRUE,_xlfn.NORM.S.DIST(Table1[[#This Row],[Birthweight Z-Score (BW+10%)]],TRUE)*100,"")</f>
        <v/>
      </c>
    </row>
    <row r="6211" spans="1:12" x14ac:dyDescent="0.35">
      <c r="A6211" s="3"/>
      <c r="B6211" s="2"/>
      <c r="C6211" s="2"/>
      <c r="D6211" s="2" t="b">
        <f>IF(AND(NOT(ISBLANK(Table1[[#This Row],[Fetal Sex (Male, Female or Unknown)]])),ISNUMBER(Table1[[#This Row],[Birthweight (grams)]]),ISNUMBER(Table1[[#This Row],[Gestation (days)]])),TRUE,FALSE)</f>
        <v>0</v>
      </c>
      <c r="E6211" s="2" t="str">
        <f>IF(Table1[[#This Row],[Is Data Valid]]=TRUE,IF(Table1[[#This Row],[Fetal Sex (Male, Female or Unknown)]]="Male",Backend!$C$6,IF(Table1[[#This Row],[Fetal Sex (Male, Female or Unknown)]]="Female",Backend!$C$7,IF(Table1[[#This Row],[Fetal Sex (Male, Female or Unknown)]]="Unknown",Backend!$C$8,"Error"))),"")</f>
        <v/>
      </c>
      <c r="F6211" s="8" t="str">
        <f>IF(Table1[[#This Row],[Is Data Valid]]=TRUE,EXP(0.578+0.332*((Table1[[#This Row],[Gestation (days)]]+0.5)/7)-0.00354*((Table1[[#This Row],[Gestation (days)]]+0.5)/7)^2)*Table1[[#This Row],[BW40_3705]],"")</f>
        <v/>
      </c>
      <c r="G6211" s="2" t="str">
        <f>IF(Table1[[#This Row],[Is Data Valid]]=TRUE,((Table1[[#This Row],[Birthweight (grams)]]/Table1[[#This Row],[BW_GA]])-1)/(Backend!$B$4/100*Table1[[#This Row],[BW40_3705]]),"")</f>
        <v/>
      </c>
      <c r="H6211" s="7" t="str">
        <f>IF(Table1[[#This Row],[Is Data Valid]]=TRUE,((Table1[[#This Row],[Birthweight (grams)]]*0.9/Table1[[#This Row],[BW_GA]])-1)/(Backend!$B$4/100*Table1[[#This Row],[BW40_3705]]),"")</f>
        <v/>
      </c>
      <c r="I6211" s="7" t="str">
        <f>IF(Table1[[#This Row],[Is Data Valid]]=TRUE,((Table1[[#This Row],[Birthweight (grams)]]*1.1/Table1[[#This Row],[BW_GA]])-1)/(Backend!$B$4/100*Table1[[#This Row],[BW40_3705]]),"")</f>
        <v/>
      </c>
      <c r="J6211" s="7" t="str">
        <f>IF(Table1[[#This Row],[Is Data Valid]]=TRUE,_xlfn.NORM.S.DIST(Table1[[#This Row],[Birthweight Z-Score]],TRUE)*100,"")</f>
        <v/>
      </c>
      <c r="K6211" s="7" t="str">
        <f>IF(Table1[[#This Row],[Is Data Valid]]=TRUE,_xlfn.NORM.S.DIST(Table1[[#This Row],[Birthweight Z-Score (BW-10%)]],TRUE)*100,"")</f>
        <v/>
      </c>
      <c r="L6211" s="7" t="str">
        <f>IF(Table1[[#This Row],[Is Data Valid]]=TRUE,_xlfn.NORM.S.DIST(Table1[[#This Row],[Birthweight Z-Score (BW+10%)]],TRUE)*100,"")</f>
        <v/>
      </c>
    </row>
    <row r="6212" spans="1:12" x14ac:dyDescent="0.35">
      <c r="A6212" s="3"/>
      <c r="B6212" s="2"/>
      <c r="C6212" s="2"/>
      <c r="D6212" s="2" t="b">
        <f>IF(AND(NOT(ISBLANK(Table1[[#This Row],[Fetal Sex (Male, Female or Unknown)]])),ISNUMBER(Table1[[#This Row],[Birthweight (grams)]]),ISNUMBER(Table1[[#This Row],[Gestation (days)]])),TRUE,FALSE)</f>
        <v>0</v>
      </c>
      <c r="E6212" s="2" t="str">
        <f>IF(Table1[[#This Row],[Is Data Valid]]=TRUE,IF(Table1[[#This Row],[Fetal Sex (Male, Female or Unknown)]]="Male",Backend!$C$6,IF(Table1[[#This Row],[Fetal Sex (Male, Female or Unknown)]]="Female",Backend!$C$7,IF(Table1[[#This Row],[Fetal Sex (Male, Female or Unknown)]]="Unknown",Backend!$C$8,"Error"))),"")</f>
        <v/>
      </c>
      <c r="F6212" s="8" t="str">
        <f>IF(Table1[[#This Row],[Is Data Valid]]=TRUE,EXP(0.578+0.332*((Table1[[#This Row],[Gestation (days)]]+0.5)/7)-0.00354*((Table1[[#This Row],[Gestation (days)]]+0.5)/7)^2)*Table1[[#This Row],[BW40_3705]],"")</f>
        <v/>
      </c>
      <c r="G6212" s="2" t="str">
        <f>IF(Table1[[#This Row],[Is Data Valid]]=TRUE,((Table1[[#This Row],[Birthweight (grams)]]/Table1[[#This Row],[BW_GA]])-1)/(Backend!$B$4/100*Table1[[#This Row],[BW40_3705]]),"")</f>
        <v/>
      </c>
      <c r="H6212" s="7" t="str">
        <f>IF(Table1[[#This Row],[Is Data Valid]]=TRUE,((Table1[[#This Row],[Birthweight (grams)]]*0.9/Table1[[#This Row],[BW_GA]])-1)/(Backend!$B$4/100*Table1[[#This Row],[BW40_3705]]),"")</f>
        <v/>
      </c>
      <c r="I6212" s="7" t="str">
        <f>IF(Table1[[#This Row],[Is Data Valid]]=TRUE,((Table1[[#This Row],[Birthweight (grams)]]*1.1/Table1[[#This Row],[BW_GA]])-1)/(Backend!$B$4/100*Table1[[#This Row],[BW40_3705]]),"")</f>
        <v/>
      </c>
      <c r="J6212" s="7" t="str">
        <f>IF(Table1[[#This Row],[Is Data Valid]]=TRUE,_xlfn.NORM.S.DIST(Table1[[#This Row],[Birthweight Z-Score]],TRUE)*100,"")</f>
        <v/>
      </c>
      <c r="K6212" s="7" t="str">
        <f>IF(Table1[[#This Row],[Is Data Valid]]=TRUE,_xlfn.NORM.S.DIST(Table1[[#This Row],[Birthweight Z-Score (BW-10%)]],TRUE)*100,"")</f>
        <v/>
      </c>
      <c r="L6212" s="7" t="str">
        <f>IF(Table1[[#This Row],[Is Data Valid]]=TRUE,_xlfn.NORM.S.DIST(Table1[[#This Row],[Birthweight Z-Score (BW+10%)]],TRUE)*100,"")</f>
        <v/>
      </c>
    </row>
    <row r="6213" spans="1:12" x14ac:dyDescent="0.35">
      <c r="A6213" s="3"/>
      <c r="B6213" s="2"/>
      <c r="C6213" s="2"/>
      <c r="D6213" s="2" t="b">
        <f>IF(AND(NOT(ISBLANK(Table1[[#This Row],[Fetal Sex (Male, Female or Unknown)]])),ISNUMBER(Table1[[#This Row],[Birthweight (grams)]]),ISNUMBER(Table1[[#This Row],[Gestation (days)]])),TRUE,FALSE)</f>
        <v>0</v>
      </c>
      <c r="E6213" s="2" t="str">
        <f>IF(Table1[[#This Row],[Is Data Valid]]=TRUE,IF(Table1[[#This Row],[Fetal Sex (Male, Female or Unknown)]]="Male",Backend!$C$6,IF(Table1[[#This Row],[Fetal Sex (Male, Female or Unknown)]]="Female",Backend!$C$7,IF(Table1[[#This Row],[Fetal Sex (Male, Female or Unknown)]]="Unknown",Backend!$C$8,"Error"))),"")</f>
        <v/>
      </c>
      <c r="F6213" s="8" t="str">
        <f>IF(Table1[[#This Row],[Is Data Valid]]=TRUE,EXP(0.578+0.332*((Table1[[#This Row],[Gestation (days)]]+0.5)/7)-0.00354*((Table1[[#This Row],[Gestation (days)]]+0.5)/7)^2)*Table1[[#This Row],[BW40_3705]],"")</f>
        <v/>
      </c>
      <c r="G6213" s="2" t="str">
        <f>IF(Table1[[#This Row],[Is Data Valid]]=TRUE,((Table1[[#This Row],[Birthweight (grams)]]/Table1[[#This Row],[BW_GA]])-1)/(Backend!$B$4/100*Table1[[#This Row],[BW40_3705]]),"")</f>
        <v/>
      </c>
      <c r="H6213" s="7" t="str">
        <f>IF(Table1[[#This Row],[Is Data Valid]]=TRUE,((Table1[[#This Row],[Birthweight (grams)]]*0.9/Table1[[#This Row],[BW_GA]])-1)/(Backend!$B$4/100*Table1[[#This Row],[BW40_3705]]),"")</f>
        <v/>
      </c>
      <c r="I6213" s="7" t="str">
        <f>IF(Table1[[#This Row],[Is Data Valid]]=TRUE,((Table1[[#This Row],[Birthweight (grams)]]*1.1/Table1[[#This Row],[BW_GA]])-1)/(Backend!$B$4/100*Table1[[#This Row],[BW40_3705]]),"")</f>
        <v/>
      </c>
      <c r="J6213" s="7" t="str">
        <f>IF(Table1[[#This Row],[Is Data Valid]]=TRUE,_xlfn.NORM.S.DIST(Table1[[#This Row],[Birthweight Z-Score]],TRUE)*100,"")</f>
        <v/>
      </c>
      <c r="K6213" s="7" t="str">
        <f>IF(Table1[[#This Row],[Is Data Valid]]=TRUE,_xlfn.NORM.S.DIST(Table1[[#This Row],[Birthweight Z-Score (BW-10%)]],TRUE)*100,"")</f>
        <v/>
      </c>
      <c r="L6213" s="7" t="str">
        <f>IF(Table1[[#This Row],[Is Data Valid]]=TRUE,_xlfn.NORM.S.DIST(Table1[[#This Row],[Birthweight Z-Score (BW+10%)]],TRUE)*100,"")</f>
        <v/>
      </c>
    </row>
    <row r="6214" spans="1:12" x14ac:dyDescent="0.35">
      <c r="A6214" s="3"/>
      <c r="B6214" s="2"/>
      <c r="C6214" s="2"/>
      <c r="D6214" s="2" t="b">
        <f>IF(AND(NOT(ISBLANK(Table1[[#This Row],[Fetal Sex (Male, Female or Unknown)]])),ISNUMBER(Table1[[#This Row],[Birthweight (grams)]]),ISNUMBER(Table1[[#This Row],[Gestation (days)]])),TRUE,FALSE)</f>
        <v>0</v>
      </c>
      <c r="E6214" s="2" t="str">
        <f>IF(Table1[[#This Row],[Is Data Valid]]=TRUE,IF(Table1[[#This Row],[Fetal Sex (Male, Female or Unknown)]]="Male",Backend!$C$6,IF(Table1[[#This Row],[Fetal Sex (Male, Female or Unknown)]]="Female",Backend!$C$7,IF(Table1[[#This Row],[Fetal Sex (Male, Female or Unknown)]]="Unknown",Backend!$C$8,"Error"))),"")</f>
        <v/>
      </c>
      <c r="F6214" s="8" t="str">
        <f>IF(Table1[[#This Row],[Is Data Valid]]=TRUE,EXP(0.578+0.332*((Table1[[#This Row],[Gestation (days)]]+0.5)/7)-0.00354*((Table1[[#This Row],[Gestation (days)]]+0.5)/7)^2)*Table1[[#This Row],[BW40_3705]],"")</f>
        <v/>
      </c>
      <c r="G6214" s="2" t="str">
        <f>IF(Table1[[#This Row],[Is Data Valid]]=TRUE,((Table1[[#This Row],[Birthweight (grams)]]/Table1[[#This Row],[BW_GA]])-1)/(Backend!$B$4/100*Table1[[#This Row],[BW40_3705]]),"")</f>
        <v/>
      </c>
      <c r="H6214" s="7" t="str">
        <f>IF(Table1[[#This Row],[Is Data Valid]]=TRUE,((Table1[[#This Row],[Birthweight (grams)]]*0.9/Table1[[#This Row],[BW_GA]])-1)/(Backend!$B$4/100*Table1[[#This Row],[BW40_3705]]),"")</f>
        <v/>
      </c>
      <c r="I6214" s="7" t="str">
        <f>IF(Table1[[#This Row],[Is Data Valid]]=TRUE,((Table1[[#This Row],[Birthweight (grams)]]*1.1/Table1[[#This Row],[BW_GA]])-1)/(Backend!$B$4/100*Table1[[#This Row],[BW40_3705]]),"")</f>
        <v/>
      </c>
      <c r="J6214" s="7" t="str">
        <f>IF(Table1[[#This Row],[Is Data Valid]]=TRUE,_xlfn.NORM.S.DIST(Table1[[#This Row],[Birthweight Z-Score]],TRUE)*100,"")</f>
        <v/>
      </c>
      <c r="K6214" s="7" t="str">
        <f>IF(Table1[[#This Row],[Is Data Valid]]=TRUE,_xlfn.NORM.S.DIST(Table1[[#This Row],[Birthweight Z-Score (BW-10%)]],TRUE)*100,"")</f>
        <v/>
      </c>
      <c r="L6214" s="7" t="str">
        <f>IF(Table1[[#This Row],[Is Data Valid]]=TRUE,_xlfn.NORM.S.DIST(Table1[[#This Row],[Birthweight Z-Score (BW+10%)]],TRUE)*100,"")</f>
        <v/>
      </c>
    </row>
    <row r="6215" spans="1:12" x14ac:dyDescent="0.35">
      <c r="A6215" s="3"/>
      <c r="B6215" s="2"/>
      <c r="C6215" s="2"/>
      <c r="D6215" s="2" t="b">
        <f>IF(AND(NOT(ISBLANK(Table1[[#This Row],[Fetal Sex (Male, Female or Unknown)]])),ISNUMBER(Table1[[#This Row],[Birthweight (grams)]]),ISNUMBER(Table1[[#This Row],[Gestation (days)]])),TRUE,FALSE)</f>
        <v>0</v>
      </c>
      <c r="E6215" s="2" t="str">
        <f>IF(Table1[[#This Row],[Is Data Valid]]=TRUE,IF(Table1[[#This Row],[Fetal Sex (Male, Female or Unknown)]]="Male",Backend!$C$6,IF(Table1[[#This Row],[Fetal Sex (Male, Female or Unknown)]]="Female",Backend!$C$7,IF(Table1[[#This Row],[Fetal Sex (Male, Female or Unknown)]]="Unknown",Backend!$C$8,"Error"))),"")</f>
        <v/>
      </c>
      <c r="F6215" s="8" t="str">
        <f>IF(Table1[[#This Row],[Is Data Valid]]=TRUE,EXP(0.578+0.332*((Table1[[#This Row],[Gestation (days)]]+0.5)/7)-0.00354*((Table1[[#This Row],[Gestation (days)]]+0.5)/7)^2)*Table1[[#This Row],[BW40_3705]],"")</f>
        <v/>
      </c>
      <c r="G6215" s="2" t="str">
        <f>IF(Table1[[#This Row],[Is Data Valid]]=TRUE,((Table1[[#This Row],[Birthweight (grams)]]/Table1[[#This Row],[BW_GA]])-1)/(Backend!$B$4/100*Table1[[#This Row],[BW40_3705]]),"")</f>
        <v/>
      </c>
      <c r="H6215" s="7" t="str">
        <f>IF(Table1[[#This Row],[Is Data Valid]]=TRUE,((Table1[[#This Row],[Birthweight (grams)]]*0.9/Table1[[#This Row],[BW_GA]])-1)/(Backend!$B$4/100*Table1[[#This Row],[BW40_3705]]),"")</f>
        <v/>
      </c>
      <c r="I6215" s="7" t="str">
        <f>IF(Table1[[#This Row],[Is Data Valid]]=TRUE,((Table1[[#This Row],[Birthweight (grams)]]*1.1/Table1[[#This Row],[BW_GA]])-1)/(Backend!$B$4/100*Table1[[#This Row],[BW40_3705]]),"")</f>
        <v/>
      </c>
      <c r="J6215" s="7" t="str">
        <f>IF(Table1[[#This Row],[Is Data Valid]]=TRUE,_xlfn.NORM.S.DIST(Table1[[#This Row],[Birthweight Z-Score]],TRUE)*100,"")</f>
        <v/>
      </c>
      <c r="K6215" s="7" t="str">
        <f>IF(Table1[[#This Row],[Is Data Valid]]=TRUE,_xlfn.NORM.S.DIST(Table1[[#This Row],[Birthweight Z-Score (BW-10%)]],TRUE)*100,"")</f>
        <v/>
      </c>
      <c r="L6215" s="7" t="str">
        <f>IF(Table1[[#This Row],[Is Data Valid]]=TRUE,_xlfn.NORM.S.DIST(Table1[[#This Row],[Birthweight Z-Score (BW+10%)]],TRUE)*100,"")</f>
        <v/>
      </c>
    </row>
    <row r="6216" spans="1:12" x14ac:dyDescent="0.35">
      <c r="A6216" s="3"/>
      <c r="B6216" s="2"/>
      <c r="C6216" s="2"/>
      <c r="D6216" s="2" t="b">
        <f>IF(AND(NOT(ISBLANK(Table1[[#This Row],[Fetal Sex (Male, Female or Unknown)]])),ISNUMBER(Table1[[#This Row],[Birthweight (grams)]]),ISNUMBER(Table1[[#This Row],[Gestation (days)]])),TRUE,FALSE)</f>
        <v>0</v>
      </c>
      <c r="E6216" s="2" t="str">
        <f>IF(Table1[[#This Row],[Is Data Valid]]=TRUE,IF(Table1[[#This Row],[Fetal Sex (Male, Female or Unknown)]]="Male",Backend!$C$6,IF(Table1[[#This Row],[Fetal Sex (Male, Female or Unknown)]]="Female",Backend!$C$7,IF(Table1[[#This Row],[Fetal Sex (Male, Female or Unknown)]]="Unknown",Backend!$C$8,"Error"))),"")</f>
        <v/>
      </c>
      <c r="F6216" s="8" t="str">
        <f>IF(Table1[[#This Row],[Is Data Valid]]=TRUE,EXP(0.578+0.332*((Table1[[#This Row],[Gestation (days)]]+0.5)/7)-0.00354*((Table1[[#This Row],[Gestation (days)]]+0.5)/7)^2)*Table1[[#This Row],[BW40_3705]],"")</f>
        <v/>
      </c>
      <c r="G6216" s="2" t="str">
        <f>IF(Table1[[#This Row],[Is Data Valid]]=TRUE,((Table1[[#This Row],[Birthweight (grams)]]/Table1[[#This Row],[BW_GA]])-1)/(Backend!$B$4/100*Table1[[#This Row],[BW40_3705]]),"")</f>
        <v/>
      </c>
      <c r="H6216" s="7" t="str">
        <f>IF(Table1[[#This Row],[Is Data Valid]]=TRUE,((Table1[[#This Row],[Birthweight (grams)]]*0.9/Table1[[#This Row],[BW_GA]])-1)/(Backend!$B$4/100*Table1[[#This Row],[BW40_3705]]),"")</f>
        <v/>
      </c>
      <c r="I6216" s="7" t="str">
        <f>IF(Table1[[#This Row],[Is Data Valid]]=TRUE,((Table1[[#This Row],[Birthweight (grams)]]*1.1/Table1[[#This Row],[BW_GA]])-1)/(Backend!$B$4/100*Table1[[#This Row],[BW40_3705]]),"")</f>
        <v/>
      </c>
      <c r="J6216" s="7" t="str">
        <f>IF(Table1[[#This Row],[Is Data Valid]]=TRUE,_xlfn.NORM.S.DIST(Table1[[#This Row],[Birthweight Z-Score]],TRUE)*100,"")</f>
        <v/>
      </c>
      <c r="K6216" s="7" t="str">
        <f>IF(Table1[[#This Row],[Is Data Valid]]=TRUE,_xlfn.NORM.S.DIST(Table1[[#This Row],[Birthweight Z-Score (BW-10%)]],TRUE)*100,"")</f>
        <v/>
      </c>
      <c r="L6216" s="7" t="str">
        <f>IF(Table1[[#This Row],[Is Data Valid]]=TRUE,_xlfn.NORM.S.DIST(Table1[[#This Row],[Birthweight Z-Score (BW+10%)]],TRUE)*100,"")</f>
        <v/>
      </c>
    </row>
    <row r="6217" spans="1:12" x14ac:dyDescent="0.35">
      <c r="A6217" s="3"/>
      <c r="B6217" s="2"/>
      <c r="C6217" s="2"/>
      <c r="D6217" s="2" t="b">
        <f>IF(AND(NOT(ISBLANK(Table1[[#This Row],[Fetal Sex (Male, Female or Unknown)]])),ISNUMBER(Table1[[#This Row],[Birthweight (grams)]]),ISNUMBER(Table1[[#This Row],[Gestation (days)]])),TRUE,FALSE)</f>
        <v>0</v>
      </c>
      <c r="E6217" s="2" t="str">
        <f>IF(Table1[[#This Row],[Is Data Valid]]=TRUE,IF(Table1[[#This Row],[Fetal Sex (Male, Female or Unknown)]]="Male",Backend!$C$6,IF(Table1[[#This Row],[Fetal Sex (Male, Female or Unknown)]]="Female",Backend!$C$7,IF(Table1[[#This Row],[Fetal Sex (Male, Female or Unknown)]]="Unknown",Backend!$C$8,"Error"))),"")</f>
        <v/>
      </c>
      <c r="F6217" s="8" t="str">
        <f>IF(Table1[[#This Row],[Is Data Valid]]=TRUE,EXP(0.578+0.332*((Table1[[#This Row],[Gestation (days)]]+0.5)/7)-0.00354*((Table1[[#This Row],[Gestation (days)]]+0.5)/7)^2)*Table1[[#This Row],[BW40_3705]],"")</f>
        <v/>
      </c>
      <c r="G6217" s="2" t="str">
        <f>IF(Table1[[#This Row],[Is Data Valid]]=TRUE,((Table1[[#This Row],[Birthweight (grams)]]/Table1[[#This Row],[BW_GA]])-1)/(Backend!$B$4/100*Table1[[#This Row],[BW40_3705]]),"")</f>
        <v/>
      </c>
      <c r="H6217" s="7" t="str">
        <f>IF(Table1[[#This Row],[Is Data Valid]]=TRUE,((Table1[[#This Row],[Birthweight (grams)]]*0.9/Table1[[#This Row],[BW_GA]])-1)/(Backend!$B$4/100*Table1[[#This Row],[BW40_3705]]),"")</f>
        <v/>
      </c>
      <c r="I6217" s="7" t="str">
        <f>IF(Table1[[#This Row],[Is Data Valid]]=TRUE,((Table1[[#This Row],[Birthweight (grams)]]*1.1/Table1[[#This Row],[BW_GA]])-1)/(Backend!$B$4/100*Table1[[#This Row],[BW40_3705]]),"")</f>
        <v/>
      </c>
      <c r="J6217" s="7" t="str">
        <f>IF(Table1[[#This Row],[Is Data Valid]]=TRUE,_xlfn.NORM.S.DIST(Table1[[#This Row],[Birthweight Z-Score]],TRUE)*100,"")</f>
        <v/>
      </c>
      <c r="K6217" s="7" t="str">
        <f>IF(Table1[[#This Row],[Is Data Valid]]=TRUE,_xlfn.NORM.S.DIST(Table1[[#This Row],[Birthweight Z-Score (BW-10%)]],TRUE)*100,"")</f>
        <v/>
      </c>
      <c r="L6217" s="7" t="str">
        <f>IF(Table1[[#This Row],[Is Data Valid]]=TRUE,_xlfn.NORM.S.DIST(Table1[[#This Row],[Birthweight Z-Score (BW+10%)]],TRUE)*100,"")</f>
        <v/>
      </c>
    </row>
    <row r="6218" spans="1:12" x14ac:dyDescent="0.35">
      <c r="A6218" s="3"/>
      <c r="B6218" s="2"/>
      <c r="C6218" s="2"/>
      <c r="D6218" s="2" t="b">
        <f>IF(AND(NOT(ISBLANK(Table1[[#This Row],[Fetal Sex (Male, Female or Unknown)]])),ISNUMBER(Table1[[#This Row],[Birthweight (grams)]]),ISNUMBER(Table1[[#This Row],[Gestation (days)]])),TRUE,FALSE)</f>
        <v>0</v>
      </c>
      <c r="E6218" s="2" t="str">
        <f>IF(Table1[[#This Row],[Is Data Valid]]=TRUE,IF(Table1[[#This Row],[Fetal Sex (Male, Female or Unknown)]]="Male",Backend!$C$6,IF(Table1[[#This Row],[Fetal Sex (Male, Female or Unknown)]]="Female",Backend!$C$7,IF(Table1[[#This Row],[Fetal Sex (Male, Female or Unknown)]]="Unknown",Backend!$C$8,"Error"))),"")</f>
        <v/>
      </c>
      <c r="F6218" s="8" t="str">
        <f>IF(Table1[[#This Row],[Is Data Valid]]=TRUE,EXP(0.578+0.332*((Table1[[#This Row],[Gestation (days)]]+0.5)/7)-0.00354*((Table1[[#This Row],[Gestation (days)]]+0.5)/7)^2)*Table1[[#This Row],[BW40_3705]],"")</f>
        <v/>
      </c>
      <c r="G6218" s="2" t="str">
        <f>IF(Table1[[#This Row],[Is Data Valid]]=TRUE,((Table1[[#This Row],[Birthweight (grams)]]/Table1[[#This Row],[BW_GA]])-1)/(Backend!$B$4/100*Table1[[#This Row],[BW40_3705]]),"")</f>
        <v/>
      </c>
      <c r="H6218" s="7" t="str">
        <f>IF(Table1[[#This Row],[Is Data Valid]]=TRUE,((Table1[[#This Row],[Birthweight (grams)]]*0.9/Table1[[#This Row],[BW_GA]])-1)/(Backend!$B$4/100*Table1[[#This Row],[BW40_3705]]),"")</f>
        <v/>
      </c>
      <c r="I6218" s="7" t="str">
        <f>IF(Table1[[#This Row],[Is Data Valid]]=TRUE,((Table1[[#This Row],[Birthweight (grams)]]*1.1/Table1[[#This Row],[BW_GA]])-1)/(Backend!$B$4/100*Table1[[#This Row],[BW40_3705]]),"")</f>
        <v/>
      </c>
      <c r="J6218" s="7" t="str">
        <f>IF(Table1[[#This Row],[Is Data Valid]]=TRUE,_xlfn.NORM.S.DIST(Table1[[#This Row],[Birthweight Z-Score]],TRUE)*100,"")</f>
        <v/>
      </c>
      <c r="K6218" s="7" t="str">
        <f>IF(Table1[[#This Row],[Is Data Valid]]=TRUE,_xlfn.NORM.S.DIST(Table1[[#This Row],[Birthweight Z-Score (BW-10%)]],TRUE)*100,"")</f>
        <v/>
      </c>
      <c r="L6218" s="7" t="str">
        <f>IF(Table1[[#This Row],[Is Data Valid]]=TRUE,_xlfn.NORM.S.DIST(Table1[[#This Row],[Birthweight Z-Score (BW+10%)]],TRUE)*100,"")</f>
        <v/>
      </c>
    </row>
    <row r="6219" spans="1:12" x14ac:dyDescent="0.35">
      <c r="A6219" s="3"/>
      <c r="B6219" s="2"/>
      <c r="C6219" s="2"/>
      <c r="D6219" s="2" t="b">
        <f>IF(AND(NOT(ISBLANK(Table1[[#This Row],[Fetal Sex (Male, Female or Unknown)]])),ISNUMBER(Table1[[#This Row],[Birthweight (grams)]]),ISNUMBER(Table1[[#This Row],[Gestation (days)]])),TRUE,FALSE)</f>
        <v>0</v>
      </c>
      <c r="E6219" s="2" t="str">
        <f>IF(Table1[[#This Row],[Is Data Valid]]=TRUE,IF(Table1[[#This Row],[Fetal Sex (Male, Female or Unknown)]]="Male",Backend!$C$6,IF(Table1[[#This Row],[Fetal Sex (Male, Female or Unknown)]]="Female",Backend!$C$7,IF(Table1[[#This Row],[Fetal Sex (Male, Female or Unknown)]]="Unknown",Backend!$C$8,"Error"))),"")</f>
        <v/>
      </c>
      <c r="F6219" s="8" t="str">
        <f>IF(Table1[[#This Row],[Is Data Valid]]=TRUE,EXP(0.578+0.332*((Table1[[#This Row],[Gestation (days)]]+0.5)/7)-0.00354*((Table1[[#This Row],[Gestation (days)]]+0.5)/7)^2)*Table1[[#This Row],[BW40_3705]],"")</f>
        <v/>
      </c>
      <c r="G6219" s="2" t="str">
        <f>IF(Table1[[#This Row],[Is Data Valid]]=TRUE,((Table1[[#This Row],[Birthweight (grams)]]/Table1[[#This Row],[BW_GA]])-1)/(Backend!$B$4/100*Table1[[#This Row],[BW40_3705]]),"")</f>
        <v/>
      </c>
      <c r="H6219" s="7" t="str">
        <f>IF(Table1[[#This Row],[Is Data Valid]]=TRUE,((Table1[[#This Row],[Birthweight (grams)]]*0.9/Table1[[#This Row],[BW_GA]])-1)/(Backend!$B$4/100*Table1[[#This Row],[BW40_3705]]),"")</f>
        <v/>
      </c>
      <c r="I6219" s="7" t="str">
        <f>IF(Table1[[#This Row],[Is Data Valid]]=TRUE,((Table1[[#This Row],[Birthweight (grams)]]*1.1/Table1[[#This Row],[BW_GA]])-1)/(Backend!$B$4/100*Table1[[#This Row],[BW40_3705]]),"")</f>
        <v/>
      </c>
      <c r="J6219" s="7" t="str">
        <f>IF(Table1[[#This Row],[Is Data Valid]]=TRUE,_xlfn.NORM.S.DIST(Table1[[#This Row],[Birthweight Z-Score]],TRUE)*100,"")</f>
        <v/>
      </c>
      <c r="K6219" s="7" t="str">
        <f>IF(Table1[[#This Row],[Is Data Valid]]=TRUE,_xlfn.NORM.S.DIST(Table1[[#This Row],[Birthweight Z-Score (BW-10%)]],TRUE)*100,"")</f>
        <v/>
      </c>
      <c r="L6219" s="7" t="str">
        <f>IF(Table1[[#This Row],[Is Data Valid]]=TRUE,_xlfn.NORM.S.DIST(Table1[[#This Row],[Birthweight Z-Score (BW+10%)]],TRUE)*100,"")</f>
        <v/>
      </c>
    </row>
    <row r="6220" spans="1:12" x14ac:dyDescent="0.35">
      <c r="A6220" s="3"/>
      <c r="B6220" s="2"/>
      <c r="C6220" s="2"/>
      <c r="D6220" s="2" t="b">
        <f>IF(AND(NOT(ISBLANK(Table1[[#This Row],[Fetal Sex (Male, Female or Unknown)]])),ISNUMBER(Table1[[#This Row],[Birthweight (grams)]]),ISNUMBER(Table1[[#This Row],[Gestation (days)]])),TRUE,FALSE)</f>
        <v>0</v>
      </c>
      <c r="E6220" s="2" t="str">
        <f>IF(Table1[[#This Row],[Is Data Valid]]=TRUE,IF(Table1[[#This Row],[Fetal Sex (Male, Female or Unknown)]]="Male",Backend!$C$6,IF(Table1[[#This Row],[Fetal Sex (Male, Female or Unknown)]]="Female",Backend!$C$7,IF(Table1[[#This Row],[Fetal Sex (Male, Female or Unknown)]]="Unknown",Backend!$C$8,"Error"))),"")</f>
        <v/>
      </c>
      <c r="F6220" s="8" t="str">
        <f>IF(Table1[[#This Row],[Is Data Valid]]=TRUE,EXP(0.578+0.332*((Table1[[#This Row],[Gestation (days)]]+0.5)/7)-0.00354*((Table1[[#This Row],[Gestation (days)]]+0.5)/7)^2)*Table1[[#This Row],[BW40_3705]],"")</f>
        <v/>
      </c>
      <c r="G6220" s="2" t="str">
        <f>IF(Table1[[#This Row],[Is Data Valid]]=TRUE,((Table1[[#This Row],[Birthweight (grams)]]/Table1[[#This Row],[BW_GA]])-1)/(Backend!$B$4/100*Table1[[#This Row],[BW40_3705]]),"")</f>
        <v/>
      </c>
      <c r="H6220" s="7" t="str">
        <f>IF(Table1[[#This Row],[Is Data Valid]]=TRUE,((Table1[[#This Row],[Birthweight (grams)]]*0.9/Table1[[#This Row],[BW_GA]])-1)/(Backend!$B$4/100*Table1[[#This Row],[BW40_3705]]),"")</f>
        <v/>
      </c>
      <c r="I6220" s="7" t="str">
        <f>IF(Table1[[#This Row],[Is Data Valid]]=TRUE,((Table1[[#This Row],[Birthweight (grams)]]*1.1/Table1[[#This Row],[BW_GA]])-1)/(Backend!$B$4/100*Table1[[#This Row],[BW40_3705]]),"")</f>
        <v/>
      </c>
      <c r="J6220" s="7" t="str">
        <f>IF(Table1[[#This Row],[Is Data Valid]]=TRUE,_xlfn.NORM.S.DIST(Table1[[#This Row],[Birthweight Z-Score]],TRUE)*100,"")</f>
        <v/>
      </c>
      <c r="K6220" s="7" t="str">
        <f>IF(Table1[[#This Row],[Is Data Valid]]=TRUE,_xlfn.NORM.S.DIST(Table1[[#This Row],[Birthweight Z-Score (BW-10%)]],TRUE)*100,"")</f>
        <v/>
      </c>
      <c r="L6220" s="7" t="str">
        <f>IF(Table1[[#This Row],[Is Data Valid]]=TRUE,_xlfn.NORM.S.DIST(Table1[[#This Row],[Birthweight Z-Score (BW+10%)]],TRUE)*100,"")</f>
        <v/>
      </c>
    </row>
    <row r="6221" spans="1:12" x14ac:dyDescent="0.35">
      <c r="A6221" s="3"/>
      <c r="B6221" s="2"/>
      <c r="C6221" s="2"/>
      <c r="D6221" s="2" t="b">
        <f>IF(AND(NOT(ISBLANK(Table1[[#This Row],[Fetal Sex (Male, Female or Unknown)]])),ISNUMBER(Table1[[#This Row],[Birthweight (grams)]]),ISNUMBER(Table1[[#This Row],[Gestation (days)]])),TRUE,FALSE)</f>
        <v>0</v>
      </c>
      <c r="E6221" s="2" t="str">
        <f>IF(Table1[[#This Row],[Is Data Valid]]=TRUE,IF(Table1[[#This Row],[Fetal Sex (Male, Female or Unknown)]]="Male",Backend!$C$6,IF(Table1[[#This Row],[Fetal Sex (Male, Female or Unknown)]]="Female",Backend!$C$7,IF(Table1[[#This Row],[Fetal Sex (Male, Female or Unknown)]]="Unknown",Backend!$C$8,"Error"))),"")</f>
        <v/>
      </c>
      <c r="F6221" s="8" t="str">
        <f>IF(Table1[[#This Row],[Is Data Valid]]=TRUE,EXP(0.578+0.332*((Table1[[#This Row],[Gestation (days)]]+0.5)/7)-0.00354*((Table1[[#This Row],[Gestation (days)]]+0.5)/7)^2)*Table1[[#This Row],[BW40_3705]],"")</f>
        <v/>
      </c>
      <c r="G6221" s="2" t="str">
        <f>IF(Table1[[#This Row],[Is Data Valid]]=TRUE,((Table1[[#This Row],[Birthweight (grams)]]/Table1[[#This Row],[BW_GA]])-1)/(Backend!$B$4/100*Table1[[#This Row],[BW40_3705]]),"")</f>
        <v/>
      </c>
      <c r="H6221" s="7" t="str">
        <f>IF(Table1[[#This Row],[Is Data Valid]]=TRUE,((Table1[[#This Row],[Birthweight (grams)]]*0.9/Table1[[#This Row],[BW_GA]])-1)/(Backend!$B$4/100*Table1[[#This Row],[BW40_3705]]),"")</f>
        <v/>
      </c>
      <c r="I6221" s="7" t="str">
        <f>IF(Table1[[#This Row],[Is Data Valid]]=TRUE,((Table1[[#This Row],[Birthweight (grams)]]*1.1/Table1[[#This Row],[BW_GA]])-1)/(Backend!$B$4/100*Table1[[#This Row],[BW40_3705]]),"")</f>
        <v/>
      </c>
      <c r="J6221" s="7" t="str">
        <f>IF(Table1[[#This Row],[Is Data Valid]]=TRUE,_xlfn.NORM.S.DIST(Table1[[#This Row],[Birthweight Z-Score]],TRUE)*100,"")</f>
        <v/>
      </c>
      <c r="K6221" s="7" t="str">
        <f>IF(Table1[[#This Row],[Is Data Valid]]=TRUE,_xlfn.NORM.S.DIST(Table1[[#This Row],[Birthweight Z-Score (BW-10%)]],TRUE)*100,"")</f>
        <v/>
      </c>
      <c r="L6221" s="7" t="str">
        <f>IF(Table1[[#This Row],[Is Data Valid]]=TRUE,_xlfn.NORM.S.DIST(Table1[[#This Row],[Birthweight Z-Score (BW+10%)]],TRUE)*100,"")</f>
        <v/>
      </c>
    </row>
    <row r="6222" spans="1:12" x14ac:dyDescent="0.35">
      <c r="A6222" s="3"/>
      <c r="B6222" s="2"/>
      <c r="C6222" s="2"/>
      <c r="D6222" s="2" t="b">
        <f>IF(AND(NOT(ISBLANK(Table1[[#This Row],[Fetal Sex (Male, Female or Unknown)]])),ISNUMBER(Table1[[#This Row],[Birthweight (grams)]]),ISNUMBER(Table1[[#This Row],[Gestation (days)]])),TRUE,FALSE)</f>
        <v>0</v>
      </c>
      <c r="E6222" s="2" t="str">
        <f>IF(Table1[[#This Row],[Is Data Valid]]=TRUE,IF(Table1[[#This Row],[Fetal Sex (Male, Female or Unknown)]]="Male",Backend!$C$6,IF(Table1[[#This Row],[Fetal Sex (Male, Female or Unknown)]]="Female",Backend!$C$7,IF(Table1[[#This Row],[Fetal Sex (Male, Female or Unknown)]]="Unknown",Backend!$C$8,"Error"))),"")</f>
        <v/>
      </c>
      <c r="F6222" s="8" t="str">
        <f>IF(Table1[[#This Row],[Is Data Valid]]=TRUE,EXP(0.578+0.332*((Table1[[#This Row],[Gestation (days)]]+0.5)/7)-0.00354*((Table1[[#This Row],[Gestation (days)]]+0.5)/7)^2)*Table1[[#This Row],[BW40_3705]],"")</f>
        <v/>
      </c>
      <c r="G6222" s="2" t="str">
        <f>IF(Table1[[#This Row],[Is Data Valid]]=TRUE,((Table1[[#This Row],[Birthweight (grams)]]/Table1[[#This Row],[BW_GA]])-1)/(Backend!$B$4/100*Table1[[#This Row],[BW40_3705]]),"")</f>
        <v/>
      </c>
      <c r="H6222" s="7" t="str">
        <f>IF(Table1[[#This Row],[Is Data Valid]]=TRUE,((Table1[[#This Row],[Birthweight (grams)]]*0.9/Table1[[#This Row],[BW_GA]])-1)/(Backend!$B$4/100*Table1[[#This Row],[BW40_3705]]),"")</f>
        <v/>
      </c>
      <c r="I6222" s="7" t="str">
        <f>IF(Table1[[#This Row],[Is Data Valid]]=TRUE,((Table1[[#This Row],[Birthweight (grams)]]*1.1/Table1[[#This Row],[BW_GA]])-1)/(Backend!$B$4/100*Table1[[#This Row],[BW40_3705]]),"")</f>
        <v/>
      </c>
      <c r="J6222" s="7" t="str">
        <f>IF(Table1[[#This Row],[Is Data Valid]]=TRUE,_xlfn.NORM.S.DIST(Table1[[#This Row],[Birthweight Z-Score]],TRUE)*100,"")</f>
        <v/>
      </c>
      <c r="K6222" s="7" t="str">
        <f>IF(Table1[[#This Row],[Is Data Valid]]=TRUE,_xlfn.NORM.S.DIST(Table1[[#This Row],[Birthweight Z-Score (BW-10%)]],TRUE)*100,"")</f>
        <v/>
      </c>
      <c r="L6222" s="7" t="str">
        <f>IF(Table1[[#This Row],[Is Data Valid]]=TRUE,_xlfn.NORM.S.DIST(Table1[[#This Row],[Birthweight Z-Score (BW+10%)]],TRUE)*100,"")</f>
        <v/>
      </c>
    </row>
    <row r="6223" spans="1:12" x14ac:dyDescent="0.35">
      <c r="A6223" s="3"/>
      <c r="B6223" s="2"/>
      <c r="C6223" s="2"/>
      <c r="D6223" s="2" t="b">
        <f>IF(AND(NOT(ISBLANK(Table1[[#This Row],[Fetal Sex (Male, Female or Unknown)]])),ISNUMBER(Table1[[#This Row],[Birthweight (grams)]]),ISNUMBER(Table1[[#This Row],[Gestation (days)]])),TRUE,FALSE)</f>
        <v>0</v>
      </c>
      <c r="E6223" s="2" t="str">
        <f>IF(Table1[[#This Row],[Is Data Valid]]=TRUE,IF(Table1[[#This Row],[Fetal Sex (Male, Female or Unknown)]]="Male",Backend!$C$6,IF(Table1[[#This Row],[Fetal Sex (Male, Female or Unknown)]]="Female",Backend!$C$7,IF(Table1[[#This Row],[Fetal Sex (Male, Female or Unknown)]]="Unknown",Backend!$C$8,"Error"))),"")</f>
        <v/>
      </c>
      <c r="F6223" s="8" t="str">
        <f>IF(Table1[[#This Row],[Is Data Valid]]=TRUE,EXP(0.578+0.332*((Table1[[#This Row],[Gestation (days)]]+0.5)/7)-0.00354*((Table1[[#This Row],[Gestation (days)]]+0.5)/7)^2)*Table1[[#This Row],[BW40_3705]],"")</f>
        <v/>
      </c>
      <c r="G6223" s="2" t="str">
        <f>IF(Table1[[#This Row],[Is Data Valid]]=TRUE,((Table1[[#This Row],[Birthweight (grams)]]/Table1[[#This Row],[BW_GA]])-1)/(Backend!$B$4/100*Table1[[#This Row],[BW40_3705]]),"")</f>
        <v/>
      </c>
      <c r="H6223" s="7" t="str">
        <f>IF(Table1[[#This Row],[Is Data Valid]]=TRUE,((Table1[[#This Row],[Birthweight (grams)]]*0.9/Table1[[#This Row],[BW_GA]])-1)/(Backend!$B$4/100*Table1[[#This Row],[BW40_3705]]),"")</f>
        <v/>
      </c>
      <c r="I6223" s="7" t="str">
        <f>IF(Table1[[#This Row],[Is Data Valid]]=TRUE,((Table1[[#This Row],[Birthweight (grams)]]*1.1/Table1[[#This Row],[BW_GA]])-1)/(Backend!$B$4/100*Table1[[#This Row],[BW40_3705]]),"")</f>
        <v/>
      </c>
      <c r="J6223" s="7" t="str">
        <f>IF(Table1[[#This Row],[Is Data Valid]]=TRUE,_xlfn.NORM.S.DIST(Table1[[#This Row],[Birthweight Z-Score]],TRUE)*100,"")</f>
        <v/>
      </c>
      <c r="K6223" s="7" t="str">
        <f>IF(Table1[[#This Row],[Is Data Valid]]=TRUE,_xlfn.NORM.S.DIST(Table1[[#This Row],[Birthweight Z-Score (BW-10%)]],TRUE)*100,"")</f>
        <v/>
      </c>
      <c r="L6223" s="7" t="str">
        <f>IF(Table1[[#This Row],[Is Data Valid]]=TRUE,_xlfn.NORM.S.DIST(Table1[[#This Row],[Birthweight Z-Score (BW+10%)]],TRUE)*100,"")</f>
        <v/>
      </c>
    </row>
    <row r="6224" spans="1:12" x14ac:dyDescent="0.35">
      <c r="A6224" s="3"/>
      <c r="B6224" s="2"/>
      <c r="C6224" s="2"/>
      <c r="D6224" s="2" t="b">
        <f>IF(AND(NOT(ISBLANK(Table1[[#This Row],[Fetal Sex (Male, Female or Unknown)]])),ISNUMBER(Table1[[#This Row],[Birthweight (grams)]]),ISNUMBER(Table1[[#This Row],[Gestation (days)]])),TRUE,FALSE)</f>
        <v>0</v>
      </c>
      <c r="E6224" s="2" t="str">
        <f>IF(Table1[[#This Row],[Is Data Valid]]=TRUE,IF(Table1[[#This Row],[Fetal Sex (Male, Female or Unknown)]]="Male",Backend!$C$6,IF(Table1[[#This Row],[Fetal Sex (Male, Female or Unknown)]]="Female",Backend!$C$7,IF(Table1[[#This Row],[Fetal Sex (Male, Female or Unknown)]]="Unknown",Backend!$C$8,"Error"))),"")</f>
        <v/>
      </c>
      <c r="F6224" s="8" t="str">
        <f>IF(Table1[[#This Row],[Is Data Valid]]=TRUE,EXP(0.578+0.332*((Table1[[#This Row],[Gestation (days)]]+0.5)/7)-0.00354*((Table1[[#This Row],[Gestation (days)]]+0.5)/7)^2)*Table1[[#This Row],[BW40_3705]],"")</f>
        <v/>
      </c>
      <c r="G6224" s="2" t="str">
        <f>IF(Table1[[#This Row],[Is Data Valid]]=TRUE,((Table1[[#This Row],[Birthweight (grams)]]/Table1[[#This Row],[BW_GA]])-1)/(Backend!$B$4/100*Table1[[#This Row],[BW40_3705]]),"")</f>
        <v/>
      </c>
      <c r="H6224" s="7" t="str">
        <f>IF(Table1[[#This Row],[Is Data Valid]]=TRUE,((Table1[[#This Row],[Birthweight (grams)]]*0.9/Table1[[#This Row],[BW_GA]])-1)/(Backend!$B$4/100*Table1[[#This Row],[BW40_3705]]),"")</f>
        <v/>
      </c>
      <c r="I6224" s="7" t="str">
        <f>IF(Table1[[#This Row],[Is Data Valid]]=TRUE,((Table1[[#This Row],[Birthweight (grams)]]*1.1/Table1[[#This Row],[BW_GA]])-1)/(Backend!$B$4/100*Table1[[#This Row],[BW40_3705]]),"")</f>
        <v/>
      </c>
      <c r="J6224" s="7" t="str">
        <f>IF(Table1[[#This Row],[Is Data Valid]]=TRUE,_xlfn.NORM.S.DIST(Table1[[#This Row],[Birthweight Z-Score]],TRUE)*100,"")</f>
        <v/>
      </c>
      <c r="K6224" s="7" t="str">
        <f>IF(Table1[[#This Row],[Is Data Valid]]=TRUE,_xlfn.NORM.S.DIST(Table1[[#This Row],[Birthweight Z-Score (BW-10%)]],TRUE)*100,"")</f>
        <v/>
      </c>
      <c r="L6224" s="7" t="str">
        <f>IF(Table1[[#This Row],[Is Data Valid]]=TRUE,_xlfn.NORM.S.DIST(Table1[[#This Row],[Birthweight Z-Score (BW+10%)]],TRUE)*100,"")</f>
        <v/>
      </c>
    </row>
    <row r="6225" spans="1:12" x14ac:dyDescent="0.35">
      <c r="A6225" s="3"/>
      <c r="B6225" s="2"/>
      <c r="C6225" s="2"/>
      <c r="D6225" s="2" t="b">
        <f>IF(AND(NOT(ISBLANK(Table1[[#This Row],[Fetal Sex (Male, Female or Unknown)]])),ISNUMBER(Table1[[#This Row],[Birthweight (grams)]]),ISNUMBER(Table1[[#This Row],[Gestation (days)]])),TRUE,FALSE)</f>
        <v>0</v>
      </c>
      <c r="E6225" s="2" t="str">
        <f>IF(Table1[[#This Row],[Is Data Valid]]=TRUE,IF(Table1[[#This Row],[Fetal Sex (Male, Female or Unknown)]]="Male",Backend!$C$6,IF(Table1[[#This Row],[Fetal Sex (Male, Female or Unknown)]]="Female",Backend!$C$7,IF(Table1[[#This Row],[Fetal Sex (Male, Female or Unknown)]]="Unknown",Backend!$C$8,"Error"))),"")</f>
        <v/>
      </c>
      <c r="F6225" s="8" t="str">
        <f>IF(Table1[[#This Row],[Is Data Valid]]=TRUE,EXP(0.578+0.332*((Table1[[#This Row],[Gestation (days)]]+0.5)/7)-0.00354*((Table1[[#This Row],[Gestation (days)]]+0.5)/7)^2)*Table1[[#This Row],[BW40_3705]],"")</f>
        <v/>
      </c>
      <c r="G6225" s="2" t="str">
        <f>IF(Table1[[#This Row],[Is Data Valid]]=TRUE,((Table1[[#This Row],[Birthweight (grams)]]/Table1[[#This Row],[BW_GA]])-1)/(Backend!$B$4/100*Table1[[#This Row],[BW40_3705]]),"")</f>
        <v/>
      </c>
      <c r="H6225" s="7" t="str">
        <f>IF(Table1[[#This Row],[Is Data Valid]]=TRUE,((Table1[[#This Row],[Birthweight (grams)]]*0.9/Table1[[#This Row],[BW_GA]])-1)/(Backend!$B$4/100*Table1[[#This Row],[BW40_3705]]),"")</f>
        <v/>
      </c>
      <c r="I6225" s="7" t="str">
        <f>IF(Table1[[#This Row],[Is Data Valid]]=TRUE,((Table1[[#This Row],[Birthweight (grams)]]*1.1/Table1[[#This Row],[BW_GA]])-1)/(Backend!$B$4/100*Table1[[#This Row],[BW40_3705]]),"")</f>
        <v/>
      </c>
      <c r="J6225" s="7" t="str">
        <f>IF(Table1[[#This Row],[Is Data Valid]]=TRUE,_xlfn.NORM.S.DIST(Table1[[#This Row],[Birthweight Z-Score]],TRUE)*100,"")</f>
        <v/>
      </c>
      <c r="K6225" s="7" t="str">
        <f>IF(Table1[[#This Row],[Is Data Valid]]=TRUE,_xlfn.NORM.S.DIST(Table1[[#This Row],[Birthweight Z-Score (BW-10%)]],TRUE)*100,"")</f>
        <v/>
      </c>
      <c r="L6225" s="7" t="str">
        <f>IF(Table1[[#This Row],[Is Data Valid]]=TRUE,_xlfn.NORM.S.DIST(Table1[[#This Row],[Birthweight Z-Score (BW+10%)]],TRUE)*100,"")</f>
        <v/>
      </c>
    </row>
    <row r="6226" spans="1:12" x14ac:dyDescent="0.35">
      <c r="A6226" s="3"/>
      <c r="B6226" s="2"/>
      <c r="C6226" s="2"/>
      <c r="D6226" s="2" t="b">
        <f>IF(AND(NOT(ISBLANK(Table1[[#This Row],[Fetal Sex (Male, Female or Unknown)]])),ISNUMBER(Table1[[#This Row],[Birthweight (grams)]]),ISNUMBER(Table1[[#This Row],[Gestation (days)]])),TRUE,FALSE)</f>
        <v>0</v>
      </c>
      <c r="E6226" s="2" t="str">
        <f>IF(Table1[[#This Row],[Is Data Valid]]=TRUE,IF(Table1[[#This Row],[Fetal Sex (Male, Female or Unknown)]]="Male",Backend!$C$6,IF(Table1[[#This Row],[Fetal Sex (Male, Female or Unknown)]]="Female",Backend!$C$7,IF(Table1[[#This Row],[Fetal Sex (Male, Female or Unknown)]]="Unknown",Backend!$C$8,"Error"))),"")</f>
        <v/>
      </c>
      <c r="F6226" s="8" t="str">
        <f>IF(Table1[[#This Row],[Is Data Valid]]=TRUE,EXP(0.578+0.332*((Table1[[#This Row],[Gestation (days)]]+0.5)/7)-0.00354*((Table1[[#This Row],[Gestation (days)]]+0.5)/7)^2)*Table1[[#This Row],[BW40_3705]],"")</f>
        <v/>
      </c>
      <c r="G6226" s="2" t="str">
        <f>IF(Table1[[#This Row],[Is Data Valid]]=TRUE,((Table1[[#This Row],[Birthweight (grams)]]/Table1[[#This Row],[BW_GA]])-1)/(Backend!$B$4/100*Table1[[#This Row],[BW40_3705]]),"")</f>
        <v/>
      </c>
      <c r="H6226" s="7" t="str">
        <f>IF(Table1[[#This Row],[Is Data Valid]]=TRUE,((Table1[[#This Row],[Birthweight (grams)]]*0.9/Table1[[#This Row],[BW_GA]])-1)/(Backend!$B$4/100*Table1[[#This Row],[BW40_3705]]),"")</f>
        <v/>
      </c>
      <c r="I6226" s="7" t="str">
        <f>IF(Table1[[#This Row],[Is Data Valid]]=TRUE,((Table1[[#This Row],[Birthweight (grams)]]*1.1/Table1[[#This Row],[BW_GA]])-1)/(Backend!$B$4/100*Table1[[#This Row],[BW40_3705]]),"")</f>
        <v/>
      </c>
      <c r="J6226" s="7" t="str">
        <f>IF(Table1[[#This Row],[Is Data Valid]]=TRUE,_xlfn.NORM.S.DIST(Table1[[#This Row],[Birthweight Z-Score]],TRUE)*100,"")</f>
        <v/>
      </c>
      <c r="K6226" s="7" t="str">
        <f>IF(Table1[[#This Row],[Is Data Valid]]=TRUE,_xlfn.NORM.S.DIST(Table1[[#This Row],[Birthweight Z-Score (BW-10%)]],TRUE)*100,"")</f>
        <v/>
      </c>
      <c r="L6226" s="7" t="str">
        <f>IF(Table1[[#This Row],[Is Data Valid]]=TRUE,_xlfn.NORM.S.DIST(Table1[[#This Row],[Birthweight Z-Score (BW+10%)]],TRUE)*100,"")</f>
        <v/>
      </c>
    </row>
    <row r="6227" spans="1:12" x14ac:dyDescent="0.35">
      <c r="A6227" s="3"/>
      <c r="B6227" s="2"/>
      <c r="C6227" s="2"/>
      <c r="D6227" s="2" t="b">
        <f>IF(AND(NOT(ISBLANK(Table1[[#This Row],[Fetal Sex (Male, Female or Unknown)]])),ISNUMBER(Table1[[#This Row],[Birthweight (grams)]]),ISNUMBER(Table1[[#This Row],[Gestation (days)]])),TRUE,FALSE)</f>
        <v>0</v>
      </c>
      <c r="E6227" s="2" t="str">
        <f>IF(Table1[[#This Row],[Is Data Valid]]=TRUE,IF(Table1[[#This Row],[Fetal Sex (Male, Female or Unknown)]]="Male",Backend!$C$6,IF(Table1[[#This Row],[Fetal Sex (Male, Female or Unknown)]]="Female",Backend!$C$7,IF(Table1[[#This Row],[Fetal Sex (Male, Female or Unknown)]]="Unknown",Backend!$C$8,"Error"))),"")</f>
        <v/>
      </c>
      <c r="F6227" s="8" t="str">
        <f>IF(Table1[[#This Row],[Is Data Valid]]=TRUE,EXP(0.578+0.332*((Table1[[#This Row],[Gestation (days)]]+0.5)/7)-0.00354*((Table1[[#This Row],[Gestation (days)]]+0.5)/7)^2)*Table1[[#This Row],[BW40_3705]],"")</f>
        <v/>
      </c>
      <c r="G6227" s="2" t="str">
        <f>IF(Table1[[#This Row],[Is Data Valid]]=TRUE,((Table1[[#This Row],[Birthweight (grams)]]/Table1[[#This Row],[BW_GA]])-1)/(Backend!$B$4/100*Table1[[#This Row],[BW40_3705]]),"")</f>
        <v/>
      </c>
      <c r="H6227" s="7" t="str">
        <f>IF(Table1[[#This Row],[Is Data Valid]]=TRUE,((Table1[[#This Row],[Birthweight (grams)]]*0.9/Table1[[#This Row],[BW_GA]])-1)/(Backend!$B$4/100*Table1[[#This Row],[BW40_3705]]),"")</f>
        <v/>
      </c>
      <c r="I6227" s="7" t="str">
        <f>IF(Table1[[#This Row],[Is Data Valid]]=TRUE,((Table1[[#This Row],[Birthweight (grams)]]*1.1/Table1[[#This Row],[BW_GA]])-1)/(Backend!$B$4/100*Table1[[#This Row],[BW40_3705]]),"")</f>
        <v/>
      </c>
      <c r="J6227" s="7" t="str">
        <f>IF(Table1[[#This Row],[Is Data Valid]]=TRUE,_xlfn.NORM.S.DIST(Table1[[#This Row],[Birthweight Z-Score]],TRUE)*100,"")</f>
        <v/>
      </c>
      <c r="K6227" s="7" t="str">
        <f>IF(Table1[[#This Row],[Is Data Valid]]=TRUE,_xlfn.NORM.S.DIST(Table1[[#This Row],[Birthweight Z-Score (BW-10%)]],TRUE)*100,"")</f>
        <v/>
      </c>
      <c r="L6227" s="7" t="str">
        <f>IF(Table1[[#This Row],[Is Data Valid]]=TRUE,_xlfn.NORM.S.DIST(Table1[[#This Row],[Birthweight Z-Score (BW+10%)]],TRUE)*100,"")</f>
        <v/>
      </c>
    </row>
    <row r="6228" spans="1:12" x14ac:dyDescent="0.35">
      <c r="A6228" s="3"/>
      <c r="B6228" s="2"/>
      <c r="C6228" s="2"/>
      <c r="D6228" s="2" t="b">
        <f>IF(AND(NOT(ISBLANK(Table1[[#This Row],[Fetal Sex (Male, Female or Unknown)]])),ISNUMBER(Table1[[#This Row],[Birthweight (grams)]]),ISNUMBER(Table1[[#This Row],[Gestation (days)]])),TRUE,FALSE)</f>
        <v>0</v>
      </c>
      <c r="E6228" s="2" t="str">
        <f>IF(Table1[[#This Row],[Is Data Valid]]=TRUE,IF(Table1[[#This Row],[Fetal Sex (Male, Female or Unknown)]]="Male",Backend!$C$6,IF(Table1[[#This Row],[Fetal Sex (Male, Female or Unknown)]]="Female",Backend!$C$7,IF(Table1[[#This Row],[Fetal Sex (Male, Female or Unknown)]]="Unknown",Backend!$C$8,"Error"))),"")</f>
        <v/>
      </c>
      <c r="F6228" s="8" t="str">
        <f>IF(Table1[[#This Row],[Is Data Valid]]=TRUE,EXP(0.578+0.332*((Table1[[#This Row],[Gestation (days)]]+0.5)/7)-0.00354*((Table1[[#This Row],[Gestation (days)]]+0.5)/7)^2)*Table1[[#This Row],[BW40_3705]],"")</f>
        <v/>
      </c>
      <c r="G6228" s="2" t="str">
        <f>IF(Table1[[#This Row],[Is Data Valid]]=TRUE,((Table1[[#This Row],[Birthweight (grams)]]/Table1[[#This Row],[BW_GA]])-1)/(Backend!$B$4/100*Table1[[#This Row],[BW40_3705]]),"")</f>
        <v/>
      </c>
      <c r="H6228" s="7" t="str">
        <f>IF(Table1[[#This Row],[Is Data Valid]]=TRUE,((Table1[[#This Row],[Birthweight (grams)]]*0.9/Table1[[#This Row],[BW_GA]])-1)/(Backend!$B$4/100*Table1[[#This Row],[BW40_3705]]),"")</f>
        <v/>
      </c>
      <c r="I6228" s="7" t="str">
        <f>IF(Table1[[#This Row],[Is Data Valid]]=TRUE,((Table1[[#This Row],[Birthweight (grams)]]*1.1/Table1[[#This Row],[BW_GA]])-1)/(Backend!$B$4/100*Table1[[#This Row],[BW40_3705]]),"")</f>
        <v/>
      </c>
      <c r="J6228" s="7" t="str">
        <f>IF(Table1[[#This Row],[Is Data Valid]]=TRUE,_xlfn.NORM.S.DIST(Table1[[#This Row],[Birthweight Z-Score]],TRUE)*100,"")</f>
        <v/>
      </c>
      <c r="K6228" s="7" t="str">
        <f>IF(Table1[[#This Row],[Is Data Valid]]=TRUE,_xlfn.NORM.S.DIST(Table1[[#This Row],[Birthweight Z-Score (BW-10%)]],TRUE)*100,"")</f>
        <v/>
      </c>
      <c r="L6228" s="7" t="str">
        <f>IF(Table1[[#This Row],[Is Data Valid]]=TRUE,_xlfn.NORM.S.DIST(Table1[[#This Row],[Birthweight Z-Score (BW+10%)]],TRUE)*100,"")</f>
        <v/>
      </c>
    </row>
    <row r="6229" spans="1:12" x14ac:dyDescent="0.35">
      <c r="A6229" s="3"/>
      <c r="B6229" s="2"/>
      <c r="C6229" s="2"/>
      <c r="D6229" s="2" t="b">
        <f>IF(AND(NOT(ISBLANK(Table1[[#This Row],[Fetal Sex (Male, Female or Unknown)]])),ISNUMBER(Table1[[#This Row],[Birthweight (grams)]]),ISNUMBER(Table1[[#This Row],[Gestation (days)]])),TRUE,FALSE)</f>
        <v>0</v>
      </c>
      <c r="E6229" s="2" t="str">
        <f>IF(Table1[[#This Row],[Is Data Valid]]=TRUE,IF(Table1[[#This Row],[Fetal Sex (Male, Female or Unknown)]]="Male",Backend!$C$6,IF(Table1[[#This Row],[Fetal Sex (Male, Female or Unknown)]]="Female",Backend!$C$7,IF(Table1[[#This Row],[Fetal Sex (Male, Female or Unknown)]]="Unknown",Backend!$C$8,"Error"))),"")</f>
        <v/>
      </c>
      <c r="F6229" s="8" t="str">
        <f>IF(Table1[[#This Row],[Is Data Valid]]=TRUE,EXP(0.578+0.332*((Table1[[#This Row],[Gestation (days)]]+0.5)/7)-0.00354*((Table1[[#This Row],[Gestation (days)]]+0.5)/7)^2)*Table1[[#This Row],[BW40_3705]],"")</f>
        <v/>
      </c>
      <c r="G6229" s="2" t="str">
        <f>IF(Table1[[#This Row],[Is Data Valid]]=TRUE,((Table1[[#This Row],[Birthweight (grams)]]/Table1[[#This Row],[BW_GA]])-1)/(Backend!$B$4/100*Table1[[#This Row],[BW40_3705]]),"")</f>
        <v/>
      </c>
      <c r="H6229" s="7" t="str">
        <f>IF(Table1[[#This Row],[Is Data Valid]]=TRUE,((Table1[[#This Row],[Birthweight (grams)]]*0.9/Table1[[#This Row],[BW_GA]])-1)/(Backend!$B$4/100*Table1[[#This Row],[BW40_3705]]),"")</f>
        <v/>
      </c>
      <c r="I6229" s="7" t="str">
        <f>IF(Table1[[#This Row],[Is Data Valid]]=TRUE,((Table1[[#This Row],[Birthweight (grams)]]*1.1/Table1[[#This Row],[BW_GA]])-1)/(Backend!$B$4/100*Table1[[#This Row],[BW40_3705]]),"")</f>
        <v/>
      </c>
      <c r="J6229" s="7" t="str">
        <f>IF(Table1[[#This Row],[Is Data Valid]]=TRUE,_xlfn.NORM.S.DIST(Table1[[#This Row],[Birthweight Z-Score]],TRUE)*100,"")</f>
        <v/>
      </c>
      <c r="K6229" s="7" t="str">
        <f>IF(Table1[[#This Row],[Is Data Valid]]=TRUE,_xlfn.NORM.S.DIST(Table1[[#This Row],[Birthweight Z-Score (BW-10%)]],TRUE)*100,"")</f>
        <v/>
      </c>
      <c r="L6229" s="7" t="str">
        <f>IF(Table1[[#This Row],[Is Data Valid]]=TRUE,_xlfn.NORM.S.DIST(Table1[[#This Row],[Birthweight Z-Score (BW+10%)]],TRUE)*100,"")</f>
        <v/>
      </c>
    </row>
    <row r="6230" spans="1:12" x14ac:dyDescent="0.35">
      <c r="A6230" s="3"/>
      <c r="B6230" s="2"/>
      <c r="C6230" s="2"/>
      <c r="D6230" s="2" t="b">
        <f>IF(AND(NOT(ISBLANK(Table1[[#This Row],[Fetal Sex (Male, Female or Unknown)]])),ISNUMBER(Table1[[#This Row],[Birthweight (grams)]]),ISNUMBER(Table1[[#This Row],[Gestation (days)]])),TRUE,FALSE)</f>
        <v>0</v>
      </c>
      <c r="E6230" s="2" t="str">
        <f>IF(Table1[[#This Row],[Is Data Valid]]=TRUE,IF(Table1[[#This Row],[Fetal Sex (Male, Female or Unknown)]]="Male",Backend!$C$6,IF(Table1[[#This Row],[Fetal Sex (Male, Female or Unknown)]]="Female",Backend!$C$7,IF(Table1[[#This Row],[Fetal Sex (Male, Female or Unknown)]]="Unknown",Backend!$C$8,"Error"))),"")</f>
        <v/>
      </c>
      <c r="F6230" s="8" t="str">
        <f>IF(Table1[[#This Row],[Is Data Valid]]=TRUE,EXP(0.578+0.332*((Table1[[#This Row],[Gestation (days)]]+0.5)/7)-0.00354*((Table1[[#This Row],[Gestation (days)]]+0.5)/7)^2)*Table1[[#This Row],[BW40_3705]],"")</f>
        <v/>
      </c>
      <c r="G6230" s="2" t="str">
        <f>IF(Table1[[#This Row],[Is Data Valid]]=TRUE,((Table1[[#This Row],[Birthweight (grams)]]/Table1[[#This Row],[BW_GA]])-1)/(Backend!$B$4/100*Table1[[#This Row],[BW40_3705]]),"")</f>
        <v/>
      </c>
      <c r="H6230" s="7" t="str">
        <f>IF(Table1[[#This Row],[Is Data Valid]]=TRUE,((Table1[[#This Row],[Birthweight (grams)]]*0.9/Table1[[#This Row],[BW_GA]])-1)/(Backend!$B$4/100*Table1[[#This Row],[BW40_3705]]),"")</f>
        <v/>
      </c>
      <c r="I6230" s="7" t="str">
        <f>IF(Table1[[#This Row],[Is Data Valid]]=TRUE,((Table1[[#This Row],[Birthweight (grams)]]*1.1/Table1[[#This Row],[BW_GA]])-1)/(Backend!$B$4/100*Table1[[#This Row],[BW40_3705]]),"")</f>
        <v/>
      </c>
      <c r="J6230" s="7" t="str">
        <f>IF(Table1[[#This Row],[Is Data Valid]]=TRUE,_xlfn.NORM.S.DIST(Table1[[#This Row],[Birthweight Z-Score]],TRUE)*100,"")</f>
        <v/>
      </c>
      <c r="K6230" s="7" t="str">
        <f>IF(Table1[[#This Row],[Is Data Valid]]=TRUE,_xlfn.NORM.S.DIST(Table1[[#This Row],[Birthweight Z-Score (BW-10%)]],TRUE)*100,"")</f>
        <v/>
      </c>
      <c r="L6230" s="7" t="str">
        <f>IF(Table1[[#This Row],[Is Data Valid]]=TRUE,_xlfn.NORM.S.DIST(Table1[[#This Row],[Birthweight Z-Score (BW+10%)]],TRUE)*100,"")</f>
        <v/>
      </c>
    </row>
    <row r="6231" spans="1:12" x14ac:dyDescent="0.35">
      <c r="A6231" s="3"/>
      <c r="B6231" s="2"/>
      <c r="C6231" s="2"/>
      <c r="D6231" s="2" t="b">
        <f>IF(AND(NOT(ISBLANK(Table1[[#This Row],[Fetal Sex (Male, Female or Unknown)]])),ISNUMBER(Table1[[#This Row],[Birthweight (grams)]]),ISNUMBER(Table1[[#This Row],[Gestation (days)]])),TRUE,FALSE)</f>
        <v>0</v>
      </c>
      <c r="E6231" s="2" t="str">
        <f>IF(Table1[[#This Row],[Is Data Valid]]=TRUE,IF(Table1[[#This Row],[Fetal Sex (Male, Female or Unknown)]]="Male",Backend!$C$6,IF(Table1[[#This Row],[Fetal Sex (Male, Female or Unknown)]]="Female",Backend!$C$7,IF(Table1[[#This Row],[Fetal Sex (Male, Female or Unknown)]]="Unknown",Backend!$C$8,"Error"))),"")</f>
        <v/>
      </c>
      <c r="F6231" s="8" t="str">
        <f>IF(Table1[[#This Row],[Is Data Valid]]=TRUE,EXP(0.578+0.332*((Table1[[#This Row],[Gestation (days)]]+0.5)/7)-0.00354*((Table1[[#This Row],[Gestation (days)]]+0.5)/7)^2)*Table1[[#This Row],[BW40_3705]],"")</f>
        <v/>
      </c>
      <c r="G6231" s="2" t="str">
        <f>IF(Table1[[#This Row],[Is Data Valid]]=TRUE,((Table1[[#This Row],[Birthweight (grams)]]/Table1[[#This Row],[BW_GA]])-1)/(Backend!$B$4/100*Table1[[#This Row],[BW40_3705]]),"")</f>
        <v/>
      </c>
      <c r="H6231" s="7" t="str">
        <f>IF(Table1[[#This Row],[Is Data Valid]]=TRUE,((Table1[[#This Row],[Birthweight (grams)]]*0.9/Table1[[#This Row],[BW_GA]])-1)/(Backend!$B$4/100*Table1[[#This Row],[BW40_3705]]),"")</f>
        <v/>
      </c>
      <c r="I6231" s="7" t="str">
        <f>IF(Table1[[#This Row],[Is Data Valid]]=TRUE,((Table1[[#This Row],[Birthweight (grams)]]*1.1/Table1[[#This Row],[BW_GA]])-1)/(Backend!$B$4/100*Table1[[#This Row],[BW40_3705]]),"")</f>
        <v/>
      </c>
      <c r="J6231" s="7" t="str">
        <f>IF(Table1[[#This Row],[Is Data Valid]]=TRUE,_xlfn.NORM.S.DIST(Table1[[#This Row],[Birthweight Z-Score]],TRUE)*100,"")</f>
        <v/>
      </c>
      <c r="K6231" s="7" t="str">
        <f>IF(Table1[[#This Row],[Is Data Valid]]=TRUE,_xlfn.NORM.S.DIST(Table1[[#This Row],[Birthweight Z-Score (BW-10%)]],TRUE)*100,"")</f>
        <v/>
      </c>
      <c r="L6231" s="7" t="str">
        <f>IF(Table1[[#This Row],[Is Data Valid]]=TRUE,_xlfn.NORM.S.DIST(Table1[[#This Row],[Birthweight Z-Score (BW+10%)]],TRUE)*100,"")</f>
        <v/>
      </c>
    </row>
    <row r="6232" spans="1:12" x14ac:dyDescent="0.35">
      <c r="A6232" s="3"/>
      <c r="B6232" s="2"/>
      <c r="C6232" s="2"/>
      <c r="D6232" s="2" t="b">
        <f>IF(AND(NOT(ISBLANK(Table1[[#This Row],[Fetal Sex (Male, Female or Unknown)]])),ISNUMBER(Table1[[#This Row],[Birthweight (grams)]]),ISNUMBER(Table1[[#This Row],[Gestation (days)]])),TRUE,FALSE)</f>
        <v>0</v>
      </c>
      <c r="E6232" s="2" t="str">
        <f>IF(Table1[[#This Row],[Is Data Valid]]=TRUE,IF(Table1[[#This Row],[Fetal Sex (Male, Female or Unknown)]]="Male",Backend!$C$6,IF(Table1[[#This Row],[Fetal Sex (Male, Female or Unknown)]]="Female",Backend!$C$7,IF(Table1[[#This Row],[Fetal Sex (Male, Female or Unknown)]]="Unknown",Backend!$C$8,"Error"))),"")</f>
        <v/>
      </c>
      <c r="F6232" s="8" t="str">
        <f>IF(Table1[[#This Row],[Is Data Valid]]=TRUE,EXP(0.578+0.332*((Table1[[#This Row],[Gestation (days)]]+0.5)/7)-0.00354*((Table1[[#This Row],[Gestation (days)]]+0.5)/7)^2)*Table1[[#This Row],[BW40_3705]],"")</f>
        <v/>
      </c>
      <c r="G6232" s="2" t="str">
        <f>IF(Table1[[#This Row],[Is Data Valid]]=TRUE,((Table1[[#This Row],[Birthweight (grams)]]/Table1[[#This Row],[BW_GA]])-1)/(Backend!$B$4/100*Table1[[#This Row],[BW40_3705]]),"")</f>
        <v/>
      </c>
      <c r="H6232" s="7" t="str">
        <f>IF(Table1[[#This Row],[Is Data Valid]]=TRUE,((Table1[[#This Row],[Birthweight (grams)]]*0.9/Table1[[#This Row],[BW_GA]])-1)/(Backend!$B$4/100*Table1[[#This Row],[BW40_3705]]),"")</f>
        <v/>
      </c>
      <c r="I6232" s="7" t="str">
        <f>IF(Table1[[#This Row],[Is Data Valid]]=TRUE,((Table1[[#This Row],[Birthweight (grams)]]*1.1/Table1[[#This Row],[BW_GA]])-1)/(Backend!$B$4/100*Table1[[#This Row],[BW40_3705]]),"")</f>
        <v/>
      </c>
      <c r="J6232" s="7" t="str">
        <f>IF(Table1[[#This Row],[Is Data Valid]]=TRUE,_xlfn.NORM.S.DIST(Table1[[#This Row],[Birthweight Z-Score]],TRUE)*100,"")</f>
        <v/>
      </c>
      <c r="K6232" s="7" t="str">
        <f>IF(Table1[[#This Row],[Is Data Valid]]=TRUE,_xlfn.NORM.S.DIST(Table1[[#This Row],[Birthweight Z-Score (BW-10%)]],TRUE)*100,"")</f>
        <v/>
      </c>
      <c r="L6232" s="7" t="str">
        <f>IF(Table1[[#This Row],[Is Data Valid]]=TRUE,_xlfn.NORM.S.DIST(Table1[[#This Row],[Birthweight Z-Score (BW+10%)]],TRUE)*100,"")</f>
        <v/>
      </c>
    </row>
    <row r="6233" spans="1:12" x14ac:dyDescent="0.35">
      <c r="A6233" s="3"/>
      <c r="B6233" s="2"/>
      <c r="C6233" s="2"/>
      <c r="D6233" s="2" t="b">
        <f>IF(AND(NOT(ISBLANK(Table1[[#This Row],[Fetal Sex (Male, Female or Unknown)]])),ISNUMBER(Table1[[#This Row],[Birthweight (grams)]]),ISNUMBER(Table1[[#This Row],[Gestation (days)]])),TRUE,FALSE)</f>
        <v>0</v>
      </c>
      <c r="E6233" s="2" t="str">
        <f>IF(Table1[[#This Row],[Is Data Valid]]=TRUE,IF(Table1[[#This Row],[Fetal Sex (Male, Female or Unknown)]]="Male",Backend!$C$6,IF(Table1[[#This Row],[Fetal Sex (Male, Female or Unknown)]]="Female",Backend!$C$7,IF(Table1[[#This Row],[Fetal Sex (Male, Female or Unknown)]]="Unknown",Backend!$C$8,"Error"))),"")</f>
        <v/>
      </c>
      <c r="F6233" s="8" t="str">
        <f>IF(Table1[[#This Row],[Is Data Valid]]=TRUE,EXP(0.578+0.332*((Table1[[#This Row],[Gestation (days)]]+0.5)/7)-0.00354*((Table1[[#This Row],[Gestation (days)]]+0.5)/7)^2)*Table1[[#This Row],[BW40_3705]],"")</f>
        <v/>
      </c>
      <c r="G6233" s="2" t="str">
        <f>IF(Table1[[#This Row],[Is Data Valid]]=TRUE,((Table1[[#This Row],[Birthweight (grams)]]/Table1[[#This Row],[BW_GA]])-1)/(Backend!$B$4/100*Table1[[#This Row],[BW40_3705]]),"")</f>
        <v/>
      </c>
      <c r="H6233" s="7" t="str">
        <f>IF(Table1[[#This Row],[Is Data Valid]]=TRUE,((Table1[[#This Row],[Birthweight (grams)]]*0.9/Table1[[#This Row],[BW_GA]])-1)/(Backend!$B$4/100*Table1[[#This Row],[BW40_3705]]),"")</f>
        <v/>
      </c>
      <c r="I6233" s="7" t="str">
        <f>IF(Table1[[#This Row],[Is Data Valid]]=TRUE,((Table1[[#This Row],[Birthweight (grams)]]*1.1/Table1[[#This Row],[BW_GA]])-1)/(Backend!$B$4/100*Table1[[#This Row],[BW40_3705]]),"")</f>
        <v/>
      </c>
      <c r="J6233" s="7" t="str">
        <f>IF(Table1[[#This Row],[Is Data Valid]]=TRUE,_xlfn.NORM.S.DIST(Table1[[#This Row],[Birthweight Z-Score]],TRUE)*100,"")</f>
        <v/>
      </c>
      <c r="K6233" s="7" t="str">
        <f>IF(Table1[[#This Row],[Is Data Valid]]=TRUE,_xlfn.NORM.S.DIST(Table1[[#This Row],[Birthweight Z-Score (BW-10%)]],TRUE)*100,"")</f>
        <v/>
      </c>
      <c r="L6233" s="7" t="str">
        <f>IF(Table1[[#This Row],[Is Data Valid]]=TRUE,_xlfn.NORM.S.DIST(Table1[[#This Row],[Birthweight Z-Score (BW+10%)]],TRUE)*100,"")</f>
        <v/>
      </c>
    </row>
    <row r="6234" spans="1:12" x14ac:dyDescent="0.35">
      <c r="A6234" s="3"/>
      <c r="B6234" s="2"/>
      <c r="C6234" s="2"/>
      <c r="D6234" s="2" t="b">
        <f>IF(AND(NOT(ISBLANK(Table1[[#This Row],[Fetal Sex (Male, Female or Unknown)]])),ISNUMBER(Table1[[#This Row],[Birthweight (grams)]]),ISNUMBER(Table1[[#This Row],[Gestation (days)]])),TRUE,FALSE)</f>
        <v>0</v>
      </c>
      <c r="E6234" s="2" t="str">
        <f>IF(Table1[[#This Row],[Is Data Valid]]=TRUE,IF(Table1[[#This Row],[Fetal Sex (Male, Female or Unknown)]]="Male",Backend!$C$6,IF(Table1[[#This Row],[Fetal Sex (Male, Female or Unknown)]]="Female",Backend!$C$7,IF(Table1[[#This Row],[Fetal Sex (Male, Female or Unknown)]]="Unknown",Backend!$C$8,"Error"))),"")</f>
        <v/>
      </c>
      <c r="F6234" s="8" t="str">
        <f>IF(Table1[[#This Row],[Is Data Valid]]=TRUE,EXP(0.578+0.332*((Table1[[#This Row],[Gestation (days)]]+0.5)/7)-0.00354*((Table1[[#This Row],[Gestation (days)]]+0.5)/7)^2)*Table1[[#This Row],[BW40_3705]],"")</f>
        <v/>
      </c>
      <c r="G6234" s="2" t="str">
        <f>IF(Table1[[#This Row],[Is Data Valid]]=TRUE,((Table1[[#This Row],[Birthweight (grams)]]/Table1[[#This Row],[BW_GA]])-1)/(Backend!$B$4/100*Table1[[#This Row],[BW40_3705]]),"")</f>
        <v/>
      </c>
      <c r="H6234" s="7" t="str">
        <f>IF(Table1[[#This Row],[Is Data Valid]]=TRUE,((Table1[[#This Row],[Birthweight (grams)]]*0.9/Table1[[#This Row],[BW_GA]])-1)/(Backend!$B$4/100*Table1[[#This Row],[BW40_3705]]),"")</f>
        <v/>
      </c>
      <c r="I6234" s="7" t="str">
        <f>IF(Table1[[#This Row],[Is Data Valid]]=TRUE,((Table1[[#This Row],[Birthweight (grams)]]*1.1/Table1[[#This Row],[BW_GA]])-1)/(Backend!$B$4/100*Table1[[#This Row],[BW40_3705]]),"")</f>
        <v/>
      </c>
      <c r="J6234" s="7" t="str">
        <f>IF(Table1[[#This Row],[Is Data Valid]]=TRUE,_xlfn.NORM.S.DIST(Table1[[#This Row],[Birthweight Z-Score]],TRUE)*100,"")</f>
        <v/>
      </c>
      <c r="K6234" s="7" t="str">
        <f>IF(Table1[[#This Row],[Is Data Valid]]=TRUE,_xlfn.NORM.S.DIST(Table1[[#This Row],[Birthweight Z-Score (BW-10%)]],TRUE)*100,"")</f>
        <v/>
      </c>
      <c r="L6234" s="7" t="str">
        <f>IF(Table1[[#This Row],[Is Data Valid]]=TRUE,_xlfn.NORM.S.DIST(Table1[[#This Row],[Birthweight Z-Score (BW+10%)]],TRUE)*100,"")</f>
        <v/>
      </c>
    </row>
    <row r="6235" spans="1:12" x14ac:dyDescent="0.35">
      <c r="A6235" s="3"/>
      <c r="B6235" s="2"/>
      <c r="C6235" s="2"/>
      <c r="D6235" s="2" t="b">
        <f>IF(AND(NOT(ISBLANK(Table1[[#This Row],[Fetal Sex (Male, Female or Unknown)]])),ISNUMBER(Table1[[#This Row],[Birthweight (grams)]]),ISNUMBER(Table1[[#This Row],[Gestation (days)]])),TRUE,FALSE)</f>
        <v>0</v>
      </c>
      <c r="E6235" s="2" t="str">
        <f>IF(Table1[[#This Row],[Is Data Valid]]=TRUE,IF(Table1[[#This Row],[Fetal Sex (Male, Female or Unknown)]]="Male",Backend!$C$6,IF(Table1[[#This Row],[Fetal Sex (Male, Female or Unknown)]]="Female",Backend!$C$7,IF(Table1[[#This Row],[Fetal Sex (Male, Female or Unknown)]]="Unknown",Backend!$C$8,"Error"))),"")</f>
        <v/>
      </c>
      <c r="F6235" s="8" t="str">
        <f>IF(Table1[[#This Row],[Is Data Valid]]=TRUE,EXP(0.578+0.332*((Table1[[#This Row],[Gestation (days)]]+0.5)/7)-0.00354*((Table1[[#This Row],[Gestation (days)]]+0.5)/7)^2)*Table1[[#This Row],[BW40_3705]],"")</f>
        <v/>
      </c>
      <c r="G6235" s="2" t="str">
        <f>IF(Table1[[#This Row],[Is Data Valid]]=TRUE,((Table1[[#This Row],[Birthweight (grams)]]/Table1[[#This Row],[BW_GA]])-1)/(Backend!$B$4/100*Table1[[#This Row],[BW40_3705]]),"")</f>
        <v/>
      </c>
      <c r="H6235" s="7" t="str">
        <f>IF(Table1[[#This Row],[Is Data Valid]]=TRUE,((Table1[[#This Row],[Birthweight (grams)]]*0.9/Table1[[#This Row],[BW_GA]])-1)/(Backend!$B$4/100*Table1[[#This Row],[BW40_3705]]),"")</f>
        <v/>
      </c>
      <c r="I6235" s="7" t="str">
        <f>IF(Table1[[#This Row],[Is Data Valid]]=TRUE,((Table1[[#This Row],[Birthweight (grams)]]*1.1/Table1[[#This Row],[BW_GA]])-1)/(Backend!$B$4/100*Table1[[#This Row],[BW40_3705]]),"")</f>
        <v/>
      </c>
      <c r="J6235" s="7" t="str">
        <f>IF(Table1[[#This Row],[Is Data Valid]]=TRUE,_xlfn.NORM.S.DIST(Table1[[#This Row],[Birthweight Z-Score]],TRUE)*100,"")</f>
        <v/>
      </c>
      <c r="K6235" s="7" t="str">
        <f>IF(Table1[[#This Row],[Is Data Valid]]=TRUE,_xlfn.NORM.S.DIST(Table1[[#This Row],[Birthweight Z-Score (BW-10%)]],TRUE)*100,"")</f>
        <v/>
      </c>
      <c r="L6235" s="7" t="str">
        <f>IF(Table1[[#This Row],[Is Data Valid]]=TRUE,_xlfn.NORM.S.DIST(Table1[[#This Row],[Birthweight Z-Score (BW+10%)]],TRUE)*100,"")</f>
        <v/>
      </c>
    </row>
    <row r="6236" spans="1:12" x14ac:dyDescent="0.35">
      <c r="A6236" s="3"/>
      <c r="B6236" s="2"/>
      <c r="C6236" s="2"/>
      <c r="D6236" s="2" t="b">
        <f>IF(AND(NOT(ISBLANK(Table1[[#This Row],[Fetal Sex (Male, Female or Unknown)]])),ISNUMBER(Table1[[#This Row],[Birthweight (grams)]]),ISNUMBER(Table1[[#This Row],[Gestation (days)]])),TRUE,FALSE)</f>
        <v>0</v>
      </c>
      <c r="E6236" s="2" t="str">
        <f>IF(Table1[[#This Row],[Is Data Valid]]=TRUE,IF(Table1[[#This Row],[Fetal Sex (Male, Female or Unknown)]]="Male",Backend!$C$6,IF(Table1[[#This Row],[Fetal Sex (Male, Female or Unknown)]]="Female",Backend!$C$7,IF(Table1[[#This Row],[Fetal Sex (Male, Female or Unknown)]]="Unknown",Backend!$C$8,"Error"))),"")</f>
        <v/>
      </c>
      <c r="F6236" s="8" t="str">
        <f>IF(Table1[[#This Row],[Is Data Valid]]=TRUE,EXP(0.578+0.332*((Table1[[#This Row],[Gestation (days)]]+0.5)/7)-0.00354*((Table1[[#This Row],[Gestation (days)]]+0.5)/7)^2)*Table1[[#This Row],[BW40_3705]],"")</f>
        <v/>
      </c>
      <c r="G6236" s="2" t="str">
        <f>IF(Table1[[#This Row],[Is Data Valid]]=TRUE,((Table1[[#This Row],[Birthweight (grams)]]/Table1[[#This Row],[BW_GA]])-1)/(Backend!$B$4/100*Table1[[#This Row],[BW40_3705]]),"")</f>
        <v/>
      </c>
      <c r="H6236" s="7" t="str">
        <f>IF(Table1[[#This Row],[Is Data Valid]]=TRUE,((Table1[[#This Row],[Birthweight (grams)]]*0.9/Table1[[#This Row],[BW_GA]])-1)/(Backend!$B$4/100*Table1[[#This Row],[BW40_3705]]),"")</f>
        <v/>
      </c>
      <c r="I6236" s="7" t="str">
        <f>IF(Table1[[#This Row],[Is Data Valid]]=TRUE,((Table1[[#This Row],[Birthweight (grams)]]*1.1/Table1[[#This Row],[BW_GA]])-1)/(Backend!$B$4/100*Table1[[#This Row],[BW40_3705]]),"")</f>
        <v/>
      </c>
      <c r="J6236" s="7" t="str">
        <f>IF(Table1[[#This Row],[Is Data Valid]]=TRUE,_xlfn.NORM.S.DIST(Table1[[#This Row],[Birthweight Z-Score]],TRUE)*100,"")</f>
        <v/>
      </c>
      <c r="K6236" s="7" t="str">
        <f>IF(Table1[[#This Row],[Is Data Valid]]=TRUE,_xlfn.NORM.S.DIST(Table1[[#This Row],[Birthweight Z-Score (BW-10%)]],TRUE)*100,"")</f>
        <v/>
      </c>
      <c r="L6236" s="7" t="str">
        <f>IF(Table1[[#This Row],[Is Data Valid]]=TRUE,_xlfn.NORM.S.DIST(Table1[[#This Row],[Birthweight Z-Score (BW+10%)]],TRUE)*100,"")</f>
        <v/>
      </c>
    </row>
    <row r="6237" spans="1:12" x14ac:dyDescent="0.35">
      <c r="A6237" s="3"/>
      <c r="B6237" s="2"/>
      <c r="C6237" s="2"/>
      <c r="D6237" s="2" t="b">
        <f>IF(AND(NOT(ISBLANK(Table1[[#This Row],[Fetal Sex (Male, Female or Unknown)]])),ISNUMBER(Table1[[#This Row],[Birthweight (grams)]]),ISNUMBER(Table1[[#This Row],[Gestation (days)]])),TRUE,FALSE)</f>
        <v>0</v>
      </c>
      <c r="E6237" s="2" t="str">
        <f>IF(Table1[[#This Row],[Is Data Valid]]=TRUE,IF(Table1[[#This Row],[Fetal Sex (Male, Female or Unknown)]]="Male",Backend!$C$6,IF(Table1[[#This Row],[Fetal Sex (Male, Female or Unknown)]]="Female",Backend!$C$7,IF(Table1[[#This Row],[Fetal Sex (Male, Female or Unknown)]]="Unknown",Backend!$C$8,"Error"))),"")</f>
        <v/>
      </c>
      <c r="F6237" s="8" t="str">
        <f>IF(Table1[[#This Row],[Is Data Valid]]=TRUE,EXP(0.578+0.332*((Table1[[#This Row],[Gestation (days)]]+0.5)/7)-0.00354*((Table1[[#This Row],[Gestation (days)]]+0.5)/7)^2)*Table1[[#This Row],[BW40_3705]],"")</f>
        <v/>
      </c>
      <c r="G6237" s="2" t="str">
        <f>IF(Table1[[#This Row],[Is Data Valid]]=TRUE,((Table1[[#This Row],[Birthweight (grams)]]/Table1[[#This Row],[BW_GA]])-1)/(Backend!$B$4/100*Table1[[#This Row],[BW40_3705]]),"")</f>
        <v/>
      </c>
      <c r="H6237" s="7" t="str">
        <f>IF(Table1[[#This Row],[Is Data Valid]]=TRUE,((Table1[[#This Row],[Birthweight (grams)]]*0.9/Table1[[#This Row],[BW_GA]])-1)/(Backend!$B$4/100*Table1[[#This Row],[BW40_3705]]),"")</f>
        <v/>
      </c>
      <c r="I6237" s="7" t="str">
        <f>IF(Table1[[#This Row],[Is Data Valid]]=TRUE,((Table1[[#This Row],[Birthweight (grams)]]*1.1/Table1[[#This Row],[BW_GA]])-1)/(Backend!$B$4/100*Table1[[#This Row],[BW40_3705]]),"")</f>
        <v/>
      </c>
      <c r="J6237" s="7" t="str">
        <f>IF(Table1[[#This Row],[Is Data Valid]]=TRUE,_xlfn.NORM.S.DIST(Table1[[#This Row],[Birthweight Z-Score]],TRUE)*100,"")</f>
        <v/>
      </c>
      <c r="K6237" s="7" t="str">
        <f>IF(Table1[[#This Row],[Is Data Valid]]=TRUE,_xlfn.NORM.S.DIST(Table1[[#This Row],[Birthweight Z-Score (BW-10%)]],TRUE)*100,"")</f>
        <v/>
      </c>
      <c r="L6237" s="7" t="str">
        <f>IF(Table1[[#This Row],[Is Data Valid]]=TRUE,_xlfn.NORM.S.DIST(Table1[[#This Row],[Birthweight Z-Score (BW+10%)]],TRUE)*100,"")</f>
        <v/>
      </c>
    </row>
    <row r="6238" spans="1:12" x14ac:dyDescent="0.35">
      <c r="A6238" s="3"/>
      <c r="B6238" s="2"/>
      <c r="C6238" s="2"/>
      <c r="D6238" s="2" t="b">
        <f>IF(AND(NOT(ISBLANK(Table1[[#This Row],[Fetal Sex (Male, Female or Unknown)]])),ISNUMBER(Table1[[#This Row],[Birthweight (grams)]]),ISNUMBER(Table1[[#This Row],[Gestation (days)]])),TRUE,FALSE)</f>
        <v>0</v>
      </c>
      <c r="E6238" s="2" t="str">
        <f>IF(Table1[[#This Row],[Is Data Valid]]=TRUE,IF(Table1[[#This Row],[Fetal Sex (Male, Female or Unknown)]]="Male",Backend!$C$6,IF(Table1[[#This Row],[Fetal Sex (Male, Female or Unknown)]]="Female",Backend!$C$7,IF(Table1[[#This Row],[Fetal Sex (Male, Female or Unknown)]]="Unknown",Backend!$C$8,"Error"))),"")</f>
        <v/>
      </c>
      <c r="F6238" s="8" t="str">
        <f>IF(Table1[[#This Row],[Is Data Valid]]=TRUE,EXP(0.578+0.332*((Table1[[#This Row],[Gestation (days)]]+0.5)/7)-0.00354*((Table1[[#This Row],[Gestation (days)]]+0.5)/7)^2)*Table1[[#This Row],[BW40_3705]],"")</f>
        <v/>
      </c>
      <c r="G6238" s="2" t="str">
        <f>IF(Table1[[#This Row],[Is Data Valid]]=TRUE,((Table1[[#This Row],[Birthweight (grams)]]/Table1[[#This Row],[BW_GA]])-1)/(Backend!$B$4/100*Table1[[#This Row],[BW40_3705]]),"")</f>
        <v/>
      </c>
      <c r="H6238" s="7" t="str">
        <f>IF(Table1[[#This Row],[Is Data Valid]]=TRUE,((Table1[[#This Row],[Birthweight (grams)]]*0.9/Table1[[#This Row],[BW_GA]])-1)/(Backend!$B$4/100*Table1[[#This Row],[BW40_3705]]),"")</f>
        <v/>
      </c>
      <c r="I6238" s="7" t="str">
        <f>IF(Table1[[#This Row],[Is Data Valid]]=TRUE,((Table1[[#This Row],[Birthweight (grams)]]*1.1/Table1[[#This Row],[BW_GA]])-1)/(Backend!$B$4/100*Table1[[#This Row],[BW40_3705]]),"")</f>
        <v/>
      </c>
      <c r="J6238" s="7" t="str">
        <f>IF(Table1[[#This Row],[Is Data Valid]]=TRUE,_xlfn.NORM.S.DIST(Table1[[#This Row],[Birthweight Z-Score]],TRUE)*100,"")</f>
        <v/>
      </c>
      <c r="K6238" s="7" t="str">
        <f>IF(Table1[[#This Row],[Is Data Valid]]=TRUE,_xlfn.NORM.S.DIST(Table1[[#This Row],[Birthweight Z-Score (BW-10%)]],TRUE)*100,"")</f>
        <v/>
      </c>
      <c r="L6238" s="7" t="str">
        <f>IF(Table1[[#This Row],[Is Data Valid]]=TRUE,_xlfn.NORM.S.DIST(Table1[[#This Row],[Birthweight Z-Score (BW+10%)]],TRUE)*100,"")</f>
        <v/>
      </c>
    </row>
    <row r="6239" spans="1:12" x14ac:dyDescent="0.35">
      <c r="A6239" s="3"/>
      <c r="B6239" s="2"/>
      <c r="C6239" s="2"/>
      <c r="D6239" s="2" t="b">
        <f>IF(AND(NOT(ISBLANK(Table1[[#This Row],[Fetal Sex (Male, Female or Unknown)]])),ISNUMBER(Table1[[#This Row],[Birthweight (grams)]]),ISNUMBER(Table1[[#This Row],[Gestation (days)]])),TRUE,FALSE)</f>
        <v>0</v>
      </c>
      <c r="E6239" s="2" t="str">
        <f>IF(Table1[[#This Row],[Is Data Valid]]=TRUE,IF(Table1[[#This Row],[Fetal Sex (Male, Female or Unknown)]]="Male",Backend!$C$6,IF(Table1[[#This Row],[Fetal Sex (Male, Female or Unknown)]]="Female",Backend!$C$7,IF(Table1[[#This Row],[Fetal Sex (Male, Female or Unknown)]]="Unknown",Backend!$C$8,"Error"))),"")</f>
        <v/>
      </c>
      <c r="F6239" s="8" t="str">
        <f>IF(Table1[[#This Row],[Is Data Valid]]=TRUE,EXP(0.578+0.332*((Table1[[#This Row],[Gestation (days)]]+0.5)/7)-0.00354*((Table1[[#This Row],[Gestation (days)]]+0.5)/7)^2)*Table1[[#This Row],[BW40_3705]],"")</f>
        <v/>
      </c>
      <c r="G6239" s="2" t="str">
        <f>IF(Table1[[#This Row],[Is Data Valid]]=TRUE,((Table1[[#This Row],[Birthweight (grams)]]/Table1[[#This Row],[BW_GA]])-1)/(Backend!$B$4/100*Table1[[#This Row],[BW40_3705]]),"")</f>
        <v/>
      </c>
      <c r="H6239" s="7" t="str">
        <f>IF(Table1[[#This Row],[Is Data Valid]]=TRUE,((Table1[[#This Row],[Birthweight (grams)]]*0.9/Table1[[#This Row],[BW_GA]])-1)/(Backend!$B$4/100*Table1[[#This Row],[BW40_3705]]),"")</f>
        <v/>
      </c>
      <c r="I6239" s="7" t="str">
        <f>IF(Table1[[#This Row],[Is Data Valid]]=TRUE,((Table1[[#This Row],[Birthweight (grams)]]*1.1/Table1[[#This Row],[BW_GA]])-1)/(Backend!$B$4/100*Table1[[#This Row],[BW40_3705]]),"")</f>
        <v/>
      </c>
      <c r="J6239" s="7" t="str">
        <f>IF(Table1[[#This Row],[Is Data Valid]]=TRUE,_xlfn.NORM.S.DIST(Table1[[#This Row],[Birthweight Z-Score]],TRUE)*100,"")</f>
        <v/>
      </c>
      <c r="K6239" s="7" t="str">
        <f>IF(Table1[[#This Row],[Is Data Valid]]=TRUE,_xlfn.NORM.S.DIST(Table1[[#This Row],[Birthweight Z-Score (BW-10%)]],TRUE)*100,"")</f>
        <v/>
      </c>
      <c r="L6239" s="7" t="str">
        <f>IF(Table1[[#This Row],[Is Data Valid]]=TRUE,_xlfn.NORM.S.DIST(Table1[[#This Row],[Birthweight Z-Score (BW+10%)]],TRUE)*100,"")</f>
        <v/>
      </c>
    </row>
    <row r="6240" spans="1:12" x14ac:dyDescent="0.35">
      <c r="A6240" s="3"/>
      <c r="B6240" s="2"/>
      <c r="C6240" s="2"/>
      <c r="D6240" s="2" t="b">
        <f>IF(AND(NOT(ISBLANK(Table1[[#This Row],[Fetal Sex (Male, Female or Unknown)]])),ISNUMBER(Table1[[#This Row],[Birthweight (grams)]]),ISNUMBER(Table1[[#This Row],[Gestation (days)]])),TRUE,FALSE)</f>
        <v>0</v>
      </c>
      <c r="E6240" s="2" t="str">
        <f>IF(Table1[[#This Row],[Is Data Valid]]=TRUE,IF(Table1[[#This Row],[Fetal Sex (Male, Female or Unknown)]]="Male",Backend!$C$6,IF(Table1[[#This Row],[Fetal Sex (Male, Female or Unknown)]]="Female",Backend!$C$7,IF(Table1[[#This Row],[Fetal Sex (Male, Female or Unknown)]]="Unknown",Backend!$C$8,"Error"))),"")</f>
        <v/>
      </c>
      <c r="F6240" s="8" t="str">
        <f>IF(Table1[[#This Row],[Is Data Valid]]=TRUE,EXP(0.578+0.332*((Table1[[#This Row],[Gestation (days)]]+0.5)/7)-0.00354*((Table1[[#This Row],[Gestation (days)]]+0.5)/7)^2)*Table1[[#This Row],[BW40_3705]],"")</f>
        <v/>
      </c>
      <c r="G6240" s="2" t="str">
        <f>IF(Table1[[#This Row],[Is Data Valid]]=TRUE,((Table1[[#This Row],[Birthweight (grams)]]/Table1[[#This Row],[BW_GA]])-1)/(Backend!$B$4/100*Table1[[#This Row],[BW40_3705]]),"")</f>
        <v/>
      </c>
      <c r="H6240" s="7" t="str">
        <f>IF(Table1[[#This Row],[Is Data Valid]]=TRUE,((Table1[[#This Row],[Birthweight (grams)]]*0.9/Table1[[#This Row],[BW_GA]])-1)/(Backend!$B$4/100*Table1[[#This Row],[BW40_3705]]),"")</f>
        <v/>
      </c>
      <c r="I6240" s="7" t="str">
        <f>IF(Table1[[#This Row],[Is Data Valid]]=TRUE,((Table1[[#This Row],[Birthweight (grams)]]*1.1/Table1[[#This Row],[BW_GA]])-1)/(Backend!$B$4/100*Table1[[#This Row],[BW40_3705]]),"")</f>
        <v/>
      </c>
      <c r="J6240" s="7" t="str">
        <f>IF(Table1[[#This Row],[Is Data Valid]]=TRUE,_xlfn.NORM.S.DIST(Table1[[#This Row],[Birthweight Z-Score]],TRUE)*100,"")</f>
        <v/>
      </c>
      <c r="K6240" s="7" t="str">
        <f>IF(Table1[[#This Row],[Is Data Valid]]=TRUE,_xlfn.NORM.S.DIST(Table1[[#This Row],[Birthweight Z-Score (BW-10%)]],TRUE)*100,"")</f>
        <v/>
      </c>
      <c r="L6240" s="7" t="str">
        <f>IF(Table1[[#This Row],[Is Data Valid]]=TRUE,_xlfn.NORM.S.DIST(Table1[[#This Row],[Birthweight Z-Score (BW+10%)]],TRUE)*100,"")</f>
        <v/>
      </c>
    </row>
    <row r="6241" spans="1:12" x14ac:dyDescent="0.35">
      <c r="A6241" s="3"/>
      <c r="B6241" s="2"/>
      <c r="C6241" s="2"/>
      <c r="D6241" s="2" t="b">
        <f>IF(AND(NOT(ISBLANK(Table1[[#This Row],[Fetal Sex (Male, Female or Unknown)]])),ISNUMBER(Table1[[#This Row],[Birthweight (grams)]]),ISNUMBER(Table1[[#This Row],[Gestation (days)]])),TRUE,FALSE)</f>
        <v>0</v>
      </c>
      <c r="E6241" s="2" t="str">
        <f>IF(Table1[[#This Row],[Is Data Valid]]=TRUE,IF(Table1[[#This Row],[Fetal Sex (Male, Female or Unknown)]]="Male",Backend!$C$6,IF(Table1[[#This Row],[Fetal Sex (Male, Female or Unknown)]]="Female",Backend!$C$7,IF(Table1[[#This Row],[Fetal Sex (Male, Female or Unknown)]]="Unknown",Backend!$C$8,"Error"))),"")</f>
        <v/>
      </c>
      <c r="F6241" s="8" t="str">
        <f>IF(Table1[[#This Row],[Is Data Valid]]=TRUE,EXP(0.578+0.332*((Table1[[#This Row],[Gestation (days)]]+0.5)/7)-0.00354*((Table1[[#This Row],[Gestation (days)]]+0.5)/7)^2)*Table1[[#This Row],[BW40_3705]],"")</f>
        <v/>
      </c>
      <c r="G6241" s="2" t="str">
        <f>IF(Table1[[#This Row],[Is Data Valid]]=TRUE,((Table1[[#This Row],[Birthweight (grams)]]/Table1[[#This Row],[BW_GA]])-1)/(Backend!$B$4/100*Table1[[#This Row],[BW40_3705]]),"")</f>
        <v/>
      </c>
      <c r="H6241" s="7" t="str">
        <f>IF(Table1[[#This Row],[Is Data Valid]]=TRUE,((Table1[[#This Row],[Birthweight (grams)]]*0.9/Table1[[#This Row],[BW_GA]])-1)/(Backend!$B$4/100*Table1[[#This Row],[BW40_3705]]),"")</f>
        <v/>
      </c>
      <c r="I6241" s="7" t="str">
        <f>IF(Table1[[#This Row],[Is Data Valid]]=TRUE,((Table1[[#This Row],[Birthweight (grams)]]*1.1/Table1[[#This Row],[BW_GA]])-1)/(Backend!$B$4/100*Table1[[#This Row],[BW40_3705]]),"")</f>
        <v/>
      </c>
      <c r="J6241" s="7" t="str">
        <f>IF(Table1[[#This Row],[Is Data Valid]]=TRUE,_xlfn.NORM.S.DIST(Table1[[#This Row],[Birthweight Z-Score]],TRUE)*100,"")</f>
        <v/>
      </c>
      <c r="K6241" s="7" t="str">
        <f>IF(Table1[[#This Row],[Is Data Valid]]=TRUE,_xlfn.NORM.S.DIST(Table1[[#This Row],[Birthweight Z-Score (BW-10%)]],TRUE)*100,"")</f>
        <v/>
      </c>
      <c r="L6241" s="7" t="str">
        <f>IF(Table1[[#This Row],[Is Data Valid]]=TRUE,_xlfn.NORM.S.DIST(Table1[[#This Row],[Birthweight Z-Score (BW+10%)]],TRUE)*100,"")</f>
        <v/>
      </c>
    </row>
    <row r="6242" spans="1:12" x14ac:dyDescent="0.35">
      <c r="A6242" s="3"/>
      <c r="B6242" s="2"/>
      <c r="C6242" s="2"/>
      <c r="D6242" s="2" t="b">
        <f>IF(AND(NOT(ISBLANK(Table1[[#This Row],[Fetal Sex (Male, Female or Unknown)]])),ISNUMBER(Table1[[#This Row],[Birthweight (grams)]]),ISNUMBER(Table1[[#This Row],[Gestation (days)]])),TRUE,FALSE)</f>
        <v>0</v>
      </c>
      <c r="E6242" s="2" t="str">
        <f>IF(Table1[[#This Row],[Is Data Valid]]=TRUE,IF(Table1[[#This Row],[Fetal Sex (Male, Female or Unknown)]]="Male",Backend!$C$6,IF(Table1[[#This Row],[Fetal Sex (Male, Female or Unknown)]]="Female",Backend!$C$7,IF(Table1[[#This Row],[Fetal Sex (Male, Female or Unknown)]]="Unknown",Backend!$C$8,"Error"))),"")</f>
        <v/>
      </c>
      <c r="F6242" s="8" t="str">
        <f>IF(Table1[[#This Row],[Is Data Valid]]=TRUE,EXP(0.578+0.332*((Table1[[#This Row],[Gestation (days)]]+0.5)/7)-0.00354*((Table1[[#This Row],[Gestation (days)]]+0.5)/7)^2)*Table1[[#This Row],[BW40_3705]],"")</f>
        <v/>
      </c>
      <c r="G6242" s="2" t="str">
        <f>IF(Table1[[#This Row],[Is Data Valid]]=TRUE,((Table1[[#This Row],[Birthweight (grams)]]/Table1[[#This Row],[BW_GA]])-1)/(Backend!$B$4/100*Table1[[#This Row],[BW40_3705]]),"")</f>
        <v/>
      </c>
      <c r="H6242" s="7" t="str">
        <f>IF(Table1[[#This Row],[Is Data Valid]]=TRUE,((Table1[[#This Row],[Birthweight (grams)]]*0.9/Table1[[#This Row],[BW_GA]])-1)/(Backend!$B$4/100*Table1[[#This Row],[BW40_3705]]),"")</f>
        <v/>
      </c>
      <c r="I6242" s="7" t="str">
        <f>IF(Table1[[#This Row],[Is Data Valid]]=TRUE,((Table1[[#This Row],[Birthweight (grams)]]*1.1/Table1[[#This Row],[BW_GA]])-1)/(Backend!$B$4/100*Table1[[#This Row],[BW40_3705]]),"")</f>
        <v/>
      </c>
      <c r="J6242" s="7" t="str">
        <f>IF(Table1[[#This Row],[Is Data Valid]]=TRUE,_xlfn.NORM.S.DIST(Table1[[#This Row],[Birthweight Z-Score]],TRUE)*100,"")</f>
        <v/>
      </c>
      <c r="K6242" s="7" t="str">
        <f>IF(Table1[[#This Row],[Is Data Valid]]=TRUE,_xlfn.NORM.S.DIST(Table1[[#This Row],[Birthweight Z-Score (BW-10%)]],TRUE)*100,"")</f>
        <v/>
      </c>
      <c r="L6242" s="7" t="str">
        <f>IF(Table1[[#This Row],[Is Data Valid]]=TRUE,_xlfn.NORM.S.DIST(Table1[[#This Row],[Birthweight Z-Score (BW+10%)]],TRUE)*100,"")</f>
        <v/>
      </c>
    </row>
    <row r="6243" spans="1:12" x14ac:dyDescent="0.35">
      <c r="A6243" s="3"/>
      <c r="B6243" s="2"/>
      <c r="C6243" s="2"/>
      <c r="D6243" s="2" t="b">
        <f>IF(AND(NOT(ISBLANK(Table1[[#This Row],[Fetal Sex (Male, Female or Unknown)]])),ISNUMBER(Table1[[#This Row],[Birthweight (grams)]]),ISNUMBER(Table1[[#This Row],[Gestation (days)]])),TRUE,FALSE)</f>
        <v>0</v>
      </c>
      <c r="E6243" s="2" t="str">
        <f>IF(Table1[[#This Row],[Is Data Valid]]=TRUE,IF(Table1[[#This Row],[Fetal Sex (Male, Female or Unknown)]]="Male",Backend!$C$6,IF(Table1[[#This Row],[Fetal Sex (Male, Female or Unknown)]]="Female",Backend!$C$7,IF(Table1[[#This Row],[Fetal Sex (Male, Female or Unknown)]]="Unknown",Backend!$C$8,"Error"))),"")</f>
        <v/>
      </c>
      <c r="F6243" s="8" t="str">
        <f>IF(Table1[[#This Row],[Is Data Valid]]=TRUE,EXP(0.578+0.332*((Table1[[#This Row],[Gestation (days)]]+0.5)/7)-0.00354*((Table1[[#This Row],[Gestation (days)]]+0.5)/7)^2)*Table1[[#This Row],[BW40_3705]],"")</f>
        <v/>
      </c>
      <c r="G6243" s="2" t="str">
        <f>IF(Table1[[#This Row],[Is Data Valid]]=TRUE,((Table1[[#This Row],[Birthweight (grams)]]/Table1[[#This Row],[BW_GA]])-1)/(Backend!$B$4/100*Table1[[#This Row],[BW40_3705]]),"")</f>
        <v/>
      </c>
      <c r="H6243" s="7" t="str">
        <f>IF(Table1[[#This Row],[Is Data Valid]]=TRUE,((Table1[[#This Row],[Birthweight (grams)]]*0.9/Table1[[#This Row],[BW_GA]])-1)/(Backend!$B$4/100*Table1[[#This Row],[BW40_3705]]),"")</f>
        <v/>
      </c>
      <c r="I6243" s="7" t="str">
        <f>IF(Table1[[#This Row],[Is Data Valid]]=TRUE,((Table1[[#This Row],[Birthweight (grams)]]*1.1/Table1[[#This Row],[BW_GA]])-1)/(Backend!$B$4/100*Table1[[#This Row],[BW40_3705]]),"")</f>
        <v/>
      </c>
      <c r="J6243" s="7" t="str">
        <f>IF(Table1[[#This Row],[Is Data Valid]]=TRUE,_xlfn.NORM.S.DIST(Table1[[#This Row],[Birthweight Z-Score]],TRUE)*100,"")</f>
        <v/>
      </c>
      <c r="K6243" s="7" t="str">
        <f>IF(Table1[[#This Row],[Is Data Valid]]=TRUE,_xlfn.NORM.S.DIST(Table1[[#This Row],[Birthweight Z-Score (BW-10%)]],TRUE)*100,"")</f>
        <v/>
      </c>
      <c r="L6243" s="7" t="str">
        <f>IF(Table1[[#This Row],[Is Data Valid]]=TRUE,_xlfn.NORM.S.DIST(Table1[[#This Row],[Birthweight Z-Score (BW+10%)]],TRUE)*100,"")</f>
        <v/>
      </c>
    </row>
    <row r="6244" spans="1:12" x14ac:dyDescent="0.35">
      <c r="A6244" s="3"/>
      <c r="B6244" s="2"/>
      <c r="C6244" s="2"/>
      <c r="D6244" s="2" t="b">
        <f>IF(AND(NOT(ISBLANK(Table1[[#This Row],[Fetal Sex (Male, Female or Unknown)]])),ISNUMBER(Table1[[#This Row],[Birthweight (grams)]]),ISNUMBER(Table1[[#This Row],[Gestation (days)]])),TRUE,FALSE)</f>
        <v>0</v>
      </c>
      <c r="E6244" s="2" t="str">
        <f>IF(Table1[[#This Row],[Is Data Valid]]=TRUE,IF(Table1[[#This Row],[Fetal Sex (Male, Female or Unknown)]]="Male",Backend!$C$6,IF(Table1[[#This Row],[Fetal Sex (Male, Female or Unknown)]]="Female",Backend!$C$7,IF(Table1[[#This Row],[Fetal Sex (Male, Female or Unknown)]]="Unknown",Backend!$C$8,"Error"))),"")</f>
        <v/>
      </c>
      <c r="F6244" s="8" t="str">
        <f>IF(Table1[[#This Row],[Is Data Valid]]=TRUE,EXP(0.578+0.332*((Table1[[#This Row],[Gestation (days)]]+0.5)/7)-0.00354*((Table1[[#This Row],[Gestation (days)]]+0.5)/7)^2)*Table1[[#This Row],[BW40_3705]],"")</f>
        <v/>
      </c>
      <c r="G6244" s="2" t="str">
        <f>IF(Table1[[#This Row],[Is Data Valid]]=TRUE,((Table1[[#This Row],[Birthweight (grams)]]/Table1[[#This Row],[BW_GA]])-1)/(Backend!$B$4/100*Table1[[#This Row],[BW40_3705]]),"")</f>
        <v/>
      </c>
      <c r="H6244" s="7" t="str">
        <f>IF(Table1[[#This Row],[Is Data Valid]]=TRUE,((Table1[[#This Row],[Birthweight (grams)]]*0.9/Table1[[#This Row],[BW_GA]])-1)/(Backend!$B$4/100*Table1[[#This Row],[BW40_3705]]),"")</f>
        <v/>
      </c>
      <c r="I6244" s="7" t="str">
        <f>IF(Table1[[#This Row],[Is Data Valid]]=TRUE,((Table1[[#This Row],[Birthweight (grams)]]*1.1/Table1[[#This Row],[BW_GA]])-1)/(Backend!$B$4/100*Table1[[#This Row],[BW40_3705]]),"")</f>
        <v/>
      </c>
      <c r="J6244" s="7" t="str">
        <f>IF(Table1[[#This Row],[Is Data Valid]]=TRUE,_xlfn.NORM.S.DIST(Table1[[#This Row],[Birthweight Z-Score]],TRUE)*100,"")</f>
        <v/>
      </c>
      <c r="K6244" s="7" t="str">
        <f>IF(Table1[[#This Row],[Is Data Valid]]=TRUE,_xlfn.NORM.S.DIST(Table1[[#This Row],[Birthweight Z-Score (BW-10%)]],TRUE)*100,"")</f>
        <v/>
      </c>
      <c r="L6244" s="7" t="str">
        <f>IF(Table1[[#This Row],[Is Data Valid]]=TRUE,_xlfn.NORM.S.DIST(Table1[[#This Row],[Birthweight Z-Score (BW+10%)]],TRUE)*100,"")</f>
        <v/>
      </c>
    </row>
    <row r="6245" spans="1:12" x14ac:dyDescent="0.35">
      <c r="A6245" s="3"/>
      <c r="B6245" s="2"/>
      <c r="C6245" s="2"/>
      <c r="D6245" s="2" t="b">
        <f>IF(AND(NOT(ISBLANK(Table1[[#This Row],[Fetal Sex (Male, Female or Unknown)]])),ISNUMBER(Table1[[#This Row],[Birthweight (grams)]]),ISNUMBER(Table1[[#This Row],[Gestation (days)]])),TRUE,FALSE)</f>
        <v>0</v>
      </c>
      <c r="E6245" s="2" t="str">
        <f>IF(Table1[[#This Row],[Is Data Valid]]=TRUE,IF(Table1[[#This Row],[Fetal Sex (Male, Female or Unknown)]]="Male",Backend!$C$6,IF(Table1[[#This Row],[Fetal Sex (Male, Female or Unknown)]]="Female",Backend!$C$7,IF(Table1[[#This Row],[Fetal Sex (Male, Female or Unknown)]]="Unknown",Backend!$C$8,"Error"))),"")</f>
        <v/>
      </c>
      <c r="F6245" s="8" t="str">
        <f>IF(Table1[[#This Row],[Is Data Valid]]=TRUE,EXP(0.578+0.332*((Table1[[#This Row],[Gestation (days)]]+0.5)/7)-0.00354*((Table1[[#This Row],[Gestation (days)]]+0.5)/7)^2)*Table1[[#This Row],[BW40_3705]],"")</f>
        <v/>
      </c>
      <c r="G6245" s="2" t="str">
        <f>IF(Table1[[#This Row],[Is Data Valid]]=TRUE,((Table1[[#This Row],[Birthweight (grams)]]/Table1[[#This Row],[BW_GA]])-1)/(Backend!$B$4/100*Table1[[#This Row],[BW40_3705]]),"")</f>
        <v/>
      </c>
      <c r="H6245" s="7" t="str">
        <f>IF(Table1[[#This Row],[Is Data Valid]]=TRUE,((Table1[[#This Row],[Birthweight (grams)]]*0.9/Table1[[#This Row],[BW_GA]])-1)/(Backend!$B$4/100*Table1[[#This Row],[BW40_3705]]),"")</f>
        <v/>
      </c>
      <c r="I6245" s="7" t="str">
        <f>IF(Table1[[#This Row],[Is Data Valid]]=TRUE,((Table1[[#This Row],[Birthweight (grams)]]*1.1/Table1[[#This Row],[BW_GA]])-1)/(Backend!$B$4/100*Table1[[#This Row],[BW40_3705]]),"")</f>
        <v/>
      </c>
      <c r="J6245" s="7" t="str">
        <f>IF(Table1[[#This Row],[Is Data Valid]]=TRUE,_xlfn.NORM.S.DIST(Table1[[#This Row],[Birthweight Z-Score]],TRUE)*100,"")</f>
        <v/>
      </c>
      <c r="K6245" s="7" t="str">
        <f>IF(Table1[[#This Row],[Is Data Valid]]=TRUE,_xlfn.NORM.S.DIST(Table1[[#This Row],[Birthweight Z-Score (BW-10%)]],TRUE)*100,"")</f>
        <v/>
      </c>
      <c r="L6245" s="7" t="str">
        <f>IF(Table1[[#This Row],[Is Data Valid]]=TRUE,_xlfn.NORM.S.DIST(Table1[[#This Row],[Birthweight Z-Score (BW+10%)]],TRUE)*100,"")</f>
        <v/>
      </c>
    </row>
    <row r="6246" spans="1:12" x14ac:dyDescent="0.35">
      <c r="A6246" s="3"/>
      <c r="B6246" s="2"/>
      <c r="C6246" s="2"/>
      <c r="D6246" s="2" t="b">
        <f>IF(AND(NOT(ISBLANK(Table1[[#This Row],[Fetal Sex (Male, Female or Unknown)]])),ISNUMBER(Table1[[#This Row],[Birthweight (grams)]]),ISNUMBER(Table1[[#This Row],[Gestation (days)]])),TRUE,FALSE)</f>
        <v>0</v>
      </c>
      <c r="E6246" s="2" t="str">
        <f>IF(Table1[[#This Row],[Is Data Valid]]=TRUE,IF(Table1[[#This Row],[Fetal Sex (Male, Female or Unknown)]]="Male",Backend!$C$6,IF(Table1[[#This Row],[Fetal Sex (Male, Female or Unknown)]]="Female",Backend!$C$7,IF(Table1[[#This Row],[Fetal Sex (Male, Female or Unknown)]]="Unknown",Backend!$C$8,"Error"))),"")</f>
        <v/>
      </c>
      <c r="F6246" s="8" t="str">
        <f>IF(Table1[[#This Row],[Is Data Valid]]=TRUE,EXP(0.578+0.332*((Table1[[#This Row],[Gestation (days)]]+0.5)/7)-0.00354*((Table1[[#This Row],[Gestation (days)]]+0.5)/7)^2)*Table1[[#This Row],[BW40_3705]],"")</f>
        <v/>
      </c>
      <c r="G6246" s="2" t="str">
        <f>IF(Table1[[#This Row],[Is Data Valid]]=TRUE,((Table1[[#This Row],[Birthweight (grams)]]/Table1[[#This Row],[BW_GA]])-1)/(Backend!$B$4/100*Table1[[#This Row],[BW40_3705]]),"")</f>
        <v/>
      </c>
      <c r="H6246" s="7" t="str">
        <f>IF(Table1[[#This Row],[Is Data Valid]]=TRUE,((Table1[[#This Row],[Birthweight (grams)]]*0.9/Table1[[#This Row],[BW_GA]])-1)/(Backend!$B$4/100*Table1[[#This Row],[BW40_3705]]),"")</f>
        <v/>
      </c>
      <c r="I6246" s="7" t="str">
        <f>IF(Table1[[#This Row],[Is Data Valid]]=TRUE,((Table1[[#This Row],[Birthweight (grams)]]*1.1/Table1[[#This Row],[BW_GA]])-1)/(Backend!$B$4/100*Table1[[#This Row],[BW40_3705]]),"")</f>
        <v/>
      </c>
      <c r="J6246" s="7" t="str">
        <f>IF(Table1[[#This Row],[Is Data Valid]]=TRUE,_xlfn.NORM.S.DIST(Table1[[#This Row],[Birthweight Z-Score]],TRUE)*100,"")</f>
        <v/>
      </c>
      <c r="K6246" s="7" t="str">
        <f>IF(Table1[[#This Row],[Is Data Valid]]=TRUE,_xlfn.NORM.S.DIST(Table1[[#This Row],[Birthweight Z-Score (BW-10%)]],TRUE)*100,"")</f>
        <v/>
      </c>
      <c r="L6246" s="7" t="str">
        <f>IF(Table1[[#This Row],[Is Data Valid]]=TRUE,_xlfn.NORM.S.DIST(Table1[[#This Row],[Birthweight Z-Score (BW+10%)]],TRUE)*100,"")</f>
        <v/>
      </c>
    </row>
    <row r="6247" spans="1:12" x14ac:dyDescent="0.35">
      <c r="A6247" s="3"/>
      <c r="B6247" s="2"/>
      <c r="C6247" s="2"/>
      <c r="D6247" s="2" t="b">
        <f>IF(AND(NOT(ISBLANK(Table1[[#This Row],[Fetal Sex (Male, Female or Unknown)]])),ISNUMBER(Table1[[#This Row],[Birthweight (grams)]]),ISNUMBER(Table1[[#This Row],[Gestation (days)]])),TRUE,FALSE)</f>
        <v>0</v>
      </c>
      <c r="E6247" s="2" t="str">
        <f>IF(Table1[[#This Row],[Is Data Valid]]=TRUE,IF(Table1[[#This Row],[Fetal Sex (Male, Female or Unknown)]]="Male",Backend!$C$6,IF(Table1[[#This Row],[Fetal Sex (Male, Female or Unknown)]]="Female",Backend!$C$7,IF(Table1[[#This Row],[Fetal Sex (Male, Female or Unknown)]]="Unknown",Backend!$C$8,"Error"))),"")</f>
        <v/>
      </c>
      <c r="F6247" s="8" t="str">
        <f>IF(Table1[[#This Row],[Is Data Valid]]=TRUE,EXP(0.578+0.332*((Table1[[#This Row],[Gestation (days)]]+0.5)/7)-0.00354*((Table1[[#This Row],[Gestation (days)]]+0.5)/7)^2)*Table1[[#This Row],[BW40_3705]],"")</f>
        <v/>
      </c>
      <c r="G6247" s="2" t="str">
        <f>IF(Table1[[#This Row],[Is Data Valid]]=TRUE,((Table1[[#This Row],[Birthweight (grams)]]/Table1[[#This Row],[BW_GA]])-1)/(Backend!$B$4/100*Table1[[#This Row],[BW40_3705]]),"")</f>
        <v/>
      </c>
      <c r="H6247" s="7" t="str">
        <f>IF(Table1[[#This Row],[Is Data Valid]]=TRUE,((Table1[[#This Row],[Birthweight (grams)]]*0.9/Table1[[#This Row],[BW_GA]])-1)/(Backend!$B$4/100*Table1[[#This Row],[BW40_3705]]),"")</f>
        <v/>
      </c>
      <c r="I6247" s="7" t="str">
        <f>IF(Table1[[#This Row],[Is Data Valid]]=TRUE,((Table1[[#This Row],[Birthweight (grams)]]*1.1/Table1[[#This Row],[BW_GA]])-1)/(Backend!$B$4/100*Table1[[#This Row],[BW40_3705]]),"")</f>
        <v/>
      </c>
      <c r="J6247" s="7" t="str">
        <f>IF(Table1[[#This Row],[Is Data Valid]]=TRUE,_xlfn.NORM.S.DIST(Table1[[#This Row],[Birthweight Z-Score]],TRUE)*100,"")</f>
        <v/>
      </c>
      <c r="K6247" s="7" t="str">
        <f>IF(Table1[[#This Row],[Is Data Valid]]=TRUE,_xlfn.NORM.S.DIST(Table1[[#This Row],[Birthweight Z-Score (BW-10%)]],TRUE)*100,"")</f>
        <v/>
      </c>
      <c r="L6247" s="7" t="str">
        <f>IF(Table1[[#This Row],[Is Data Valid]]=TRUE,_xlfn.NORM.S.DIST(Table1[[#This Row],[Birthweight Z-Score (BW+10%)]],TRUE)*100,"")</f>
        <v/>
      </c>
    </row>
    <row r="6248" spans="1:12" x14ac:dyDescent="0.35">
      <c r="A6248" s="3"/>
      <c r="B6248" s="2"/>
      <c r="C6248" s="2"/>
      <c r="D6248" s="2" t="b">
        <f>IF(AND(NOT(ISBLANK(Table1[[#This Row],[Fetal Sex (Male, Female or Unknown)]])),ISNUMBER(Table1[[#This Row],[Birthweight (grams)]]),ISNUMBER(Table1[[#This Row],[Gestation (days)]])),TRUE,FALSE)</f>
        <v>0</v>
      </c>
      <c r="E6248" s="2" t="str">
        <f>IF(Table1[[#This Row],[Is Data Valid]]=TRUE,IF(Table1[[#This Row],[Fetal Sex (Male, Female or Unknown)]]="Male",Backend!$C$6,IF(Table1[[#This Row],[Fetal Sex (Male, Female or Unknown)]]="Female",Backend!$C$7,IF(Table1[[#This Row],[Fetal Sex (Male, Female or Unknown)]]="Unknown",Backend!$C$8,"Error"))),"")</f>
        <v/>
      </c>
      <c r="F6248" s="8" t="str">
        <f>IF(Table1[[#This Row],[Is Data Valid]]=TRUE,EXP(0.578+0.332*((Table1[[#This Row],[Gestation (days)]]+0.5)/7)-0.00354*((Table1[[#This Row],[Gestation (days)]]+0.5)/7)^2)*Table1[[#This Row],[BW40_3705]],"")</f>
        <v/>
      </c>
      <c r="G6248" s="2" t="str">
        <f>IF(Table1[[#This Row],[Is Data Valid]]=TRUE,((Table1[[#This Row],[Birthweight (grams)]]/Table1[[#This Row],[BW_GA]])-1)/(Backend!$B$4/100*Table1[[#This Row],[BW40_3705]]),"")</f>
        <v/>
      </c>
      <c r="H6248" s="7" t="str">
        <f>IF(Table1[[#This Row],[Is Data Valid]]=TRUE,((Table1[[#This Row],[Birthweight (grams)]]*0.9/Table1[[#This Row],[BW_GA]])-1)/(Backend!$B$4/100*Table1[[#This Row],[BW40_3705]]),"")</f>
        <v/>
      </c>
      <c r="I6248" s="7" t="str">
        <f>IF(Table1[[#This Row],[Is Data Valid]]=TRUE,((Table1[[#This Row],[Birthweight (grams)]]*1.1/Table1[[#This Row],[BW_GA]])-1)/(Backend!$B$4/100*Table1[[#This Row],[BW40_3705]]),"")</f>
        <v/>
      </c>
      <c r="J6248" s="7" t="str">
        <f>IF(Table1[[#This Row],[Is Data Valid]]=TRUE,_xlfn.NORM.S.DIST(Table1[[#This Row],[Birthweight Z-Score]],TRUE)*100,"")</f>
        <v/>
      </c>
      <c r="K6248" s="7" t="str">
        <f>IF(Table1[[#This Row],[Is Data Valid]]=TRUE,_xlfn.NORM.S.DIST(Table1[[#This Row],[Birthweight Z-Score (BW-10%)]],TRUE)*100,"")</f>
        <v/>
      </c>
      <c r="L6248" s="7" t="str">
        <f>IF(Table1[[#This Row],[Is Data Valid]]=TRUE,_xlfn.NORM.S.DIST(Table1[[#This Row],[Birthweight Z-Score (BW+10%)]],TRUE)*100,"")</f>
        <v/>
      </c>
    </row>
    <row r="6249" spans="1:12" x14ac:dyDescent="0.35">
      <c r="A6249" s="3"/>
      <c r="B6249" s="2"/>
      <c r="C6249" s="2"/>
      <c r="D6249" s="2" t="b">
        <f>IF(AND(NOT(ISBLANK(Table1[[#This Row],[Fetal Sex (Male, Female or Unknown)]])),ISNUMBER(Table1[[#This Row],[Birthweight (grams)]]),ISNUMBER(Table1[[#This Row],[Gestation (days)]])),TRUE,FALSE)</f>
        <v>0</v>
      </c>
      <c r="E6249" s="2" t="str">
        <f>IF(Table1[[#This Row],[Is Data Valid]]=TRUE,IF(Table1[[#This Row],[Fetal Sex (Male, Female or Unknown)]]="Male",Backend!$C$6,IF(Table1[[#This Row],[Fetal Sex (Male, Female or Unknown)]]="Female",Backend!$C$7,IF(Table1[[#This Row],[Fetal Sex (Male, Female or Unknown)]]="Unknown",Backend!$C$8,"Error"))),"")</f>
        <v/>
      </c>
      <c r="F6249" s="8" t="str">
        <f>IF(Table1[[#This Row],[Is Data Valid]]=TRUE,EXP(0.578+0.332*((Table1[[#This Row],[Gestation (days)]]+0.5)/7)-0.00354*((Table1[[#This Row],[Gestation (days)]]+0.5)/7)^2)*Table1[[#This Row],[BW40_3705]],"")</f>
        <v/>
      </c>
      <c r="G6249" s="2" t="str">
        <f>IF(Table1[[#This Row],[Is Data Valid]]=TRUE,((Table1[[#This Row],[Birthweight (grams)]]/Table1[[#This Row],[BW_GA]])-1)/(Backend!$B$4/100*Table1[[#This Row],[BW40_3705]]),"")</f>
        <v/>
      </c>
      <c r="H6249" s="7" t="str">
        <f>IF(Table1[[#This Row],[Is Data Valid]]=TRUE,((Table1[[#This Row],[Birthweight (grams)]]*0.9/Table1[[#This Row],[BW_GA]])-1)/(Backend!$B$4/100*Table1[[#This Row],[BW40_3705]]),"")</f>
        <v/>
      </c>
      <c r="I6249" s="7" t="str">
        <f>IF(Table1[[#This Row],[Is Data Valid]]=TRUE,((Table1[[#This Row],[Birthweight (grams)]]*1.1/Table1[[#This Row],[BW_GA]])-1)/(Backend!$B$4/100*Table1[[#This Row],[BW40_3705]]),"")</f>
        <v/>
      </c>
      <c r="J6249" s="7" t="str">
        <f>IF(Table1[[#This Row],[Is Data Valid]]=TRUE,_xlfn.NORM.S.DIST(Table1[[#This Row],[Birthweight Z-Score]],TRUE)*100,"")</f>
        <v/>
      </c>
      <c r="K6249" s="7" t="str">
        <f>IF(Table1[[#This Row],[Is Data Valid]]=TRUE,_xlfn.NORM.S.DIST(Table1[[#This Row],[Birthweight Z-Score (BW-10%)]],TRUE)*100,"")</f>
        <v/>
      </c>
      <c r="L6249" s="7" t="str">
        <f>IF(Table1[[#This Row],[Is Data Valid]]=TRUE,_xlfn.NORM.S.DIST(Table1[[#This Row],[Birthweight Z-Score (BW+10%)]],TRUE)*100,"")</f>
        <v/>
      </c>
    </row>
    <row r="6250" spans="1:12" x14ac:dyDescent="0.35">
      <c r="A6250" s="3"/>
      <c r="B6250" s="2"/>
      <c r="C6250" s="2"/>
      <c r="D6250" s="2" t="b">
        <f>IF(AND(NOT(ISBLANK(Table1[[#This Row],[Fetal Sex (Male, Female or Unknown)]])),ISNUMBER(Table1[[#This Row],[Birthweight (grams)]]),ISNUMBER(Table1[[#This Row],[Gestation (days)]])),TRUE,FALSE)</f>
        <v>0</v>
      </c>
      <c r="E6250" s="2" t="str">
        <f>IF(Table1[[#This Row],[Is Data Valid]]=TRUE,IF(Table1[[#This Row],[Fetal Sex (Male, Female or Unknown)]]="Male",Backend!$C$6,IF(Table1[[#This Row],[Fetal Sex (Male, Female or Unknown)]]="Female",Backend!$C$7,IF(Table1[[#This Row],[Fetal Sex (Male, Female or Unknown)]]="Unknown",Backend!$C$8,"Error"))),"")</f>
        <v/>
      </c>
      <c r="F6250" s="8" t="str">
        <f>IF(Table1[[#This Row],[Is Data Valid]]=TRUE,EXP(0.578+0.332*((Table1[[#This Row],[Gestation (days)]]+0.5)/7)-0.00354*((Table1[[#This Row],[Gestation (days)]]+0.5)/7)^2)*Table1[[#This Row],[BW40_3705]],"")</f>
        <v/>
      </c>
      <c r="G6250" s="2" t="str">
        <f>IF(Table1[[#This Row],[Is Data Valid]]=TRUE,((Table1[[#This Row],[Birthweight (grams)]]/Table1[[#This Row],[BW_GA]])-1)/(Backend!$B$4/100*Table1[[#This Row],[BW40_3705]]),"")</f>
        <v/>
      </c>
      <c r="H6250" s="7" t="str">
        <f>IF(Table1[[#This Row],[Is Data Valid]]=TRUE,((Table1[[#This Row],[Birthweight (grams)]]*0.9/Table1[[#This Row],[BW_GA]])-1)/(Backend!$B$4/100*Table1[[#This Row],[BW40_3705]]),"")</f>
        <v/>
      </c>
      <c r="I6250" s="7" t="str">
        <f>IF(Table1[[#This Row],[Is Data Valid]]=TRUE,((Table1[[#This Row],[Birthweight (grams)]]*1.1/Table1[[#This Row],[BW_GA]])-1)/(Backend!$B$4/100*Table1[[#This Row],[BW40_3705]]),"")</f>
        <v/>
      </c>
      <c r="J6250" s="7" t="str">
        <f>IF(Table1[[#This Row],[Is Data Valid]]=TRUE,_xlfn.NORM.S.DIST(Table1[[#This Row],[Birthweight Z-Score]],TRUE)*100,"")</f>
        <v/>
      </c>
      <c r="K6250" s="7" t="str">
        <f>IF(Table1[[#This Row],[Is Data Valid]]=TRUE,_xlfn.NORM.S.DIST(Table1[[#This Row],[Birthweight Z-Score (BW-10%)]],TRUE)*100,"")</f>
        <v/>
      </c>
      <c r="L6250" s="7" t="str">
        <f>IF(Table1[[#This Row],[Is Data Valid]]=TRUE,_xlfn.NORM.S.DIST(Table1[[#This Row],[Birthweight Z-Score (BW+10%)]],TRUE)*100,"")</f>
        <v/>
      </c>
    </row>
    <row r="6251" spans="1:12" x14ac:dyDescent="0.35">
      <c r="A6251" s="3"/>
      <c r="B6251" s="2"/>
      <c r="C6251" s="2"/>
      <c r="D6251" s="2" t="b">
        <f>IF(AND(NOT(ISBLANK(Table1[[#This Row],[Fetal Sex (Male, Female or Unknown)]])),ISNUMBER(Table1[[#This Row],[Birthweight (grams)]]),ISNUMBER(Table1[[#This Row],[Gestation (days)]])),TRUE,FALSE)</f>
        <v>0</v>
      </c>
      <c r="E6251" s="2" t="str">
        <f>IF(Table1[[#This Row],[Is Data Valid]]=TRUE,IF(Table1[[#This Row],[Fetal Sex (Male, Female or Unknown)]]="Male",Backend!$C$6,IF(Table1[[#This Row],[Fetal Sex (Male, Female or Unknown)]]="Female",Backend!$C$7,IF(Table1[[#This Row],[Fetal Sex (Male, Female or Unknown)]]="Unknown",Backend!$C$8,"Error"))),"")</f>
        <v/>
      </c>
      <c r="F6251" s="8" t="str">
        <f>IF(Table1[[#This Row],[Is Data Valid]]=TRUE,EXP(0.578+0.332*((Table1[[#This Row],[Gestation (days)]]+0.5)/7)-0.00354*((Table1[[#This Row],[Gestation (days)]]+0.5)/7)^2)*Table1[[#This Row],[BW40_3705]],"")</f>
        <v/>
      </c>
      <c r="G6251" s="2" t="str">
        <f>IF(Table1[[#This Row],[Is Data Valid]]=TRUE,((Table1[[#This Row],[Birthweight (grams)]]/Table1[[#This Row],[BW_GA]])-1)/(Backend!$B$4/100*Table1[[#This Row],[BW40_3705]]),"")</f>
        <v/>
      </c>
      <c r="H6251" s="7" t="str">
        <f>IF(Table1[[#This Row],[Is Data Valid]]=TRUE,((Table1[[#This Row],[Birthweight (grams)]]*0.9/Table1[[#This Row],[BW_GA]])-1)/(Backend!$B$4/100*Table1[[#This Row],[BW40_3705]]),"")</f>
        <v/>
      </c>
      <c r="I6251" s="7" t="str">
        <f>IF(Table1[[#This Row],[Is Data Valid]]=TRUE,((Table1[[#This Row],[Birthweight (grams)]]*1.1/Table1[[#This Row],[BW_GA]])-1)/(Backend!$B$4/100*Table1[[#This Row],[BW40_3705]]),"")</f>
        <v/>
      </c>
      <c r="J6251" s="7" t="str">
        <f>IF(Table1[[#This Row],[Is Data Valid]]=TRUE,_xlfn.NORM.S.DIST(Table1[[#This Row],[Birthweight Z-Score]],TRUE)*100,"")</f>
        <v/>
      </c>
      <c r="K6251" s="7" t="str">
        <f>IF(Table1[[#This Row],[Is Data Valid]]=TRUE,_xlfn.NORM.S.DIST(Table1[[#This Row],[Birthweight Z-Score (BW-10%)]],TRUE)*100,"")</f>
        <v/>
      </c>
      <c r="L6251" s="7" t="str">
        <f>IF(Table1[[#This Row],[Is Data Valid]]=TRUE,_xlfn.NORM.S.DIST(Table1[[#This Row],[Birthweight Z-Score (BW+10%)]],TRUE)*100,"")</f>
        <v/>
      </c>
    </row>
    <row r="6252" spans="1:12" x14ac:dyDescent="0.35">
      <c r="A6252" s="3"/>
      <c r="B6252" s="2"/>
      <c r="C6252" s="2"/>
      <c r="D6252" s="2" t="b">
        <f>IF(AND(NOT(ISBLANK(Table1[[#This Row],[Fetal Sex (Male, Female or Unknown)]])),ISNUMBER(Table1[[#This Row],[Birthweight (grams)]]),ISNUMBER(Table1[[#This Row],[Gestation (days)]])),TRUE,FALSE)</f>
        <v>0</v>
      </c>
      <c r="E6252" s="2" t="str">
        <f>IF(Table1[[#This Row],[Is Data Valid]]=TRUE,IF(Table1[[#This Row],[Fetal Sex (Male, Female or Unknown)]]="Male",Backend!$C$6,IF(Table1[[#This Row],[Fetal Sex (Male, Female or Unknown)]]="Female",Backend!$C$7,IF(Table1[[#This Row],[Fetal Sex (Male, Female or Unknown)]]="Unknown",Backend!$C$8,"Error"))),"")</f>
        <v/>
      </c>
      <c r="F6252" s="8" t="str">
        <f>IF(Table1[[#This Row],[Is Data Valid]]=TRUE,EXP(0.578+0.332*((Table1[[#This Row],[Gestation (days)]]+0.5)/7)-0.00354*((Table1[[#This Row],[Gestation (days)]]+0.5)/7)^2)*Table1[[#This Row],[BW40_3705]],"")</f>
        <v/>
      </c>
      <c r="G6252" s="2" t="str">
        <f>IF(Table1[[#This Row],[Is Data Valid]]=TRUE,((Table1[[#This Row],[Birthweight (grams)]]/Table1[[#This Row],[BW_GA]])-1)/(Backend!$B$4/100*Table1[[#This Row],[BW40_3705]]),"")</f>
        <v/>
      </c>
      <c r="H6252" s="7" t="str">
        <f>IF(Table1[[#This Row],[Is Data Valid]]=TRUE,((Table1[[#This Row],[Birthweight (grams)]]*0.9/Table1[[#This Row],[BW_GA]])-1)/(Backend!$B$4/100*Table1[[#This Row],[BW40_3705]]),"")</f>
        <v/>
      </c>
      <c r="I6252" s="7" t="str">
        <f>IF(Table1[[#This Row],[Is Data Valid]]=TRUE,((Table1[[#This Row],[Birthweight (grams)]]*1.1/Table1[[#This Row],[BW_GA]])-1)/(Backend!$B$4/100*Table1[[#This Row],[BW40_3705]]),"")</f>
        <v/>
      </c>
      <c r="J6252" s="7" t="str">
        <f>IF(Table1[[#This Row],[Is Data Valid]]=TRUE,_xlfn.NORM.S.DIST(Table1[[#This Row],[Birthweight Z-Score]],TRUE)*100,"")</f>
        <v/>
      </c>
      <c r="K6252" s="7" t="str">
        <f>IF(Table1[[#This Row],[Is Data Valid]]=TRUE,_xlfn.NORM.S.DIST(Table1[[#This Row],[Birthweight Z-Score (BW-10%)]],TRUE)*100,"")</f>
        <v/>
      </c>
      <c r="L6252" s="7" t="str">
        <f>IF(Table1[[#This Row],[Is Data Valid]]=TRUE,_xlfn.NORM.S.DIST(Table1[[#This Row],[Birthweight Z-Score (BW+10%)]],TRUE)*100,"")</f>
        <v/>
      </c>
    </row>
    <row r="6253" spans="1:12" x14ac:dyDescent="0.35">
      <c r="A6253" s="3"/>
      <c r="B6253" s="2"/>
      <c r="C6253" s="2"/>
      <c r="D6253" s="2" t="b">
        <f>IF(AND(NOT(ISBLANK(Table1[[#This Row],[Fetal Sex (Male, Female or Unknown)]])),ISNUMBER(Table1[[#This Row],[Birthweight (grams)]]),ISNUMBER(Table1[[#This Row],[Gestation (days)]])),TRUE,FALSE)</f>
        <v>0</v>
      </c>
      <c r="E6253" s="2" t="str">
        <f>IF(Table1[[#This Row],[Is Data Valid]]=TRUE,IF(Table1[[#This Row],[Fetal Sex (Male, Female or Unknown)]]="Male",Backend!$C$6,IF(Table1[[#This Row],[Fetal Sex (Male, Female or Unknown)]]="Female",Backend!$C$7,IF(Table1[[#This Row],[Fetal Sex (Male, Female or Unknown)]]="Unknown",Backend!$C$8,"Error"))),"")</f>
        <v/>
      </c>
      <c r="F6253" s="8" t="str">
        <f>IF(Table1[[#This Row],[Is Data Valid]]=TRUE,EXP(0.578+0.332*((Table1[[#This Row],[Gestation (days)]]+0.5)/7)-0.00354*((Table1[[#This Row],[Gestation (days)]]+0.5)/7)^2)*Table1[[#This Row],[BW40_3705]],"")</f>
        <v/>
      </c>
      <c r="G6253" s="2" t="str">
        <f>IF(Table1[[#This Row],[Is Data Valid]]=TRUE,((Table1[[#This Row],[Birthweight (grams)]]/Table1[[#This Row],[BW_GA]])-1)/(Backend!$B$4/100*Table1[[#This Row],[BW40_3705]]),"")</f>
        <v/>
      </c>
      <c r="H6253" s="7" t="str">
        <f>IF(Table1[[#This Row],[Is Data Valid]]=TRUE,((Table1[[#This Row],[Birthweight (grams)]]*0.9/Table1[[#This Row],[BW_GA]])-1)/(Backend!$B$4/100*Table1[[#This Row],[BW40_3705]]),"")</f>
        <v/>
      </c>
      <c r="I6253" s="7" t="str">
        <f>IF(Table1[[#This Row],[Is Data Valid]]=TRUE,((Table1[[#This Row],[Birthweight (grams)]]*1.1/Table1[[#This Row],[BW_GA]])-1)/(Backend!$B$4/100*Table1[[#This Row],[BW40_3705]]),"")</f>
        <v/>
      </c>
      <c r="J6253" s="7" t="str">
        <f>IF(Table1[[#This Row],[Is Data Valid]]=TRUE,_xlfn.NORM.S.DIST(Table1[[#This Row],[Birthweight Z-Score]],TRUE)*100,"")</f>
        <v/>
      </c>
      <c r="K6253" s="7" t="str">
        <f>IF(Table1[[#This Row],[Is Data Valid]]=TRUE,_xlfn.NORM.S.DIST(Table1[[#This Row],[Birthweight Z-Score (BW-10%)]],TRUE)*100,"")</f>
        <v/>
      </c>
      <c r="L6253" s="7" t="str">
        <f>IF(Table1[[#This Row],[Is Data Valid]]=TRUE,_xlfn.NORM.S.DIST(Table1[[#This Row],[Birthweight Z-Score (BW+10%)]],TRUE)*100,"")</f>
        <v/>
      </c>
    </row>
    <row r="6254" spans="1:12" x14ac:dyDescent="0.35">
      <c r="A6254" s="3"/>
      <c r="B6254" s="2"/>
      <c r="C6254" s="2"/>
      <c r="D6254" s="2" t="b">
        <f>IF(AND(NOT(ISBLANK(Table1[[#This Row],[Fetal Sex (Male, Female or Unknown)]])),ISNUMBER(Table1[[#This Row],[Birthweight (grams)]]),ISNUMBER(Table1[[#This Row],[Gestation (days)]])),TRUE,FALSE)</f>
        <v>0</v>
      </c>
      <c r="E6254" s="2" t="str">
        <f>IF(Table1[[#This Row],[Is Data Valid]]=TRUE,IF(Table1[[#This Row],[Fetal Sex (Male, Female or Unknown)]]="Male",Backend!$C$6,IF(Table1[[#This Row],[Fetal Sex (Male, Female or Unknown)]]="Female",Backend!$C$7,IF(Table1[[#This Row],[Fetal Sex (Male, Female or Unknown)]]="Unknown",Backend!$C$8,"Error"))),"")</f>
        <v/>
      </c>
      <c r="F6254" s="8" t="str">
        <f>IF(Table1[[#This Row],[Is Data Valid]]=TRUE,EXP(0.578+0.332*((Table1[[#This Row],[Gestation (days)]]+0.5)/7)-0.00354*((Table1[[#This Row],[Gestation (days)]]+0.5)/7)^2)*Table1[[#This Row],[BW40_3705]],"")</f>
        <v/>
      </c>
      <c r="G6254" s="2" t="str">
        <f>IF(Table1[[#This Row],[Is Data Valid]]=TRUE,((Table1[[#This Row],[Birthweight (grams)]]/Table1[[#This Row],[BW_GA]])-1)/(Backend!$B$4/100*Table1[[#This Row],[BW40_3705]]),"")</f>
        <v/>
      </c>
      <c r="H6254" s="7" t="str">
        <f>IF(Table1[[#This Row],[Is Data Valid]]=TRUE,((Table1[[#This Row],[Birthweight (grams)]]*0.9/Table1[[#This Row],[BW_GA]])-1)/(Backend!$B$4/100*Table1[[#This Row],[BW40_3705]]),"")</f>
        <v/>
      </c>
      <c r="I6254" s="7" t="str">
        <f>IF(Table1[[#This Row],[Is Data Valid]]=TRUE,((Table1[[#This Row],[Birthweight (grams)]]*1.1/Table1[[#This Row],[BW_GA]])-1)/(Backend!$B$4/100*Table1[[#This Row],[BW40_3705]]),"")</f>
        <v/>
      </c>
      <c r="J6254" s="7" t="str">
        <f>IF(Table1[[#This Row],[Is Data Valid]]=TRUE,_xlfn.NORM.S.DIST(Table1[[#This Row],[Birthweight Z-Score]],TRUE)*100,"")</f>
        <v/>
      </c>
      <c r="K6254" s="7" t="str">
        <f>IF(Table1[[#This Row],[Is Data Valid]]=TRUE,_xlfn.NORM.S.DIST(Table1[[#This Row],[Birthweight Z-Score (BW-10%)]],TRUE)*100,"")</f>
        <v/>
      </c>
      <c r="L6254" s="7" t="str">
        <f>IF(Table1[[#This Row],[Is Data Valid]]=TRUE,_xlfn.NORM.S.DIST(Table1[[#This Row],[Birthweight Z-Score (BW+10%)]],TRUE)*100,"")</f>
        <v/>
      </c>
    </row>
    <row r="6255" spans="1:12" x14ac:dyDescent="0.35">
      <c r="A6255" s="3"/>
      <c r="B6255" s="2"/>
      <c r="C6255" s="2"/>
      <c r="D6255" s="2" t="b">
        <f>IF(AND(NOT(ISBLANK(Table1[[#This Row],[Fetal Sex (Male, Female or Unknown)]])),ISNUMBER(Table1[[#This Row],[Birthweight (grams)]]),ISNUMBER(Table1[[#This Row],[Gestation (days)]])),TRUE,FALSE)</f>
        <v>0</v>
      </c>
      <c r="E6255" s="2" t="str">
        <f>IF(Table1[[#This Row],[Is Data Valid]]=TRUE,IF(Table1[[#This Row],[Fetal Sex (Male, Female or Unknown)]]="Male",Backend!$C$6,IF(Table1[[#This Row],[Fetal Sex (Male, Female or Unknown)]]="Female",Backend!$C$7,IF(Table1[[#This Row],[Fetal Sex (Male, Female or Unknown)]]="Unknown",Backend!$C$8,"Error"))),"")</f>
        <v/>
      </c>
      <c r="F6255" s="8" t="str">
        <f>IF(Table1[[#This Row],[Is Data Valid]]=TRUE,EXP(0.578+0.332*((Table1[[#This Row],[Gestation (days)]]+0.5)/7)-0.00354*((Table1[[#This Row],[Gestation (days)]]+0.5)/7)^2)*Table1[[#This Row],[BW40_3705]],"")</f>
        <v/>
      </c>
      <c r="G6255" s="2" t="str">
        <f>IF(Table1[[#This Row],[Is Data Valid]]=TRUE,((Table1[[#This Row],[Birthweight (grams)]]/Table1[[#This Row],[BW_GA]])-1)/(Backend!$B$4/100*Table1[[#This Row],[BW40_3705]]),"")</f>
        <v/>
      </c>
      <c r="H6255" s="7" t="str">
        <f>IF(Table1[[#This Row],[Is Data Valid]]=TRUE,((Table1[[#This Row],[Birthweight (grams)]]*0.9/Table1[[#This Row],[BW_GA]])-1)/(Backend!$B$4/100*Table1[[#This Row],[BW40_3705]]),"")</f>
        <v/>
      </c>
      <c r="I6255" s="7" t="str">
        <f>IF(Table1[[#This Row],[Is Data Valid]]=TRUE,((Table1[[#This Row],[Birthweight (grams)]]*1.1/Table1[[#This Row],[BW_GA]])-1)/(Backend!$B$4/100*Table1[[#This Row],[BW40_3705]]),"")</f>
        <v/>
      </c>
      <c r="J6255" s="7" t="str">
        <f>IF(Table1[[#This Row],[Is Data Valid]]=TRUE,_xlfn.NORM.S.DIST(Table1[[#This Row],[Birthweight Z-Score]],TRUE)*100,"")</f>
        <v/>
      </c>
      <c r="K6255" s="7" t="str">
        <f>IF(Table1[[#This Row],[Is Data Valid]]=TRUE,_xlfn.NORM.S.DIST(Table1[[#This Row],[Birthweight Z-Score (BW-10%)]],TRUE)*100,"")</f>
        <v/>
      </c>
      <c r="L6255" s="7" t="str">
        <f>IF(Table1[[#This Row],[Is Data Valid]]=TRUE,_xlfn.NORM.S.DIST(Table1[[#This Row],[Birthweight Z-Score (BW+10%)]],TRUE)*100,"")</f>
        <v/>
      </c>
    </row>
    <row r="6256" spans="1:12" x14ac:dyDescent="0.35">
      <c r="A6256" s="3"/>
      <c r="B6256" s="2"/>
      <c r="C6256" s="2"/>
      <c r="D6256" s="2" t="b">
        <f>IF(AND(NOT(ISBLANK(Table1[[#This Row],[Fetal Sex (Male, Female or Unknown)]])),ISNUMBER(Table1[[#This Row],[Birthweight (grams)]]),ISNUMBER(Table1[[#This Row],[Gestation (days)]])),TRUE,FALSE)</f>
        <v>0</v>
      </c>
      <c r="E6256" s="2" t="str">
        <f>IF(Table1[[#This Row],[Is Data Valid]]=TRUE,IF(Table1[[#This Row],[Fetal Sex (Male, Female or Unknown)]]="Male",Backend!$C$6,IF(Table1[[#This Row],[Fetal Sex (Male, Female or Unknown)]]="Female",Backend!$C$7,IF(Table1[[#This Row],[Fetal Sex (Male, Female or Unknown)]]="Unknown",Backend!$C$8,"Error"))),"")</f>
        <v/>
      </c>
      <c r="F6256" s="8" t="str">
        <f>IF(Table1[[#This Row],[Is Data Valid]]=TRUE,EXP(0.578+0.332*((Table1[[#This Row],[Gestation (days)]]+0.5)/7)-0.00354*((Table1[[#This Row],[Gestation (days)]]+0.5)/7)^2)*Table1[[#This Row],[BW40_3705]],"")</f>
        <v/>
      </c>
      <c r="G6256" s="2" t="str">
        <f>IF(Table1[[#This Row],[Is Data Valid]]=TRUE,((Table1[[#This Row],[Birthweight (grams)]]/Table1[[#This Row],[BW_GA]])-1)/(Backend!$B$4/100*Table1[[#This Row],[BW40_3705]]),"")</f>
        <v/>
      </c>
      <c r="H6256" s="7" t="str">
        <f>IF(Table1[[#This Row],[Is Data Valid]]=TRUE,((Table1[[#This Row],[Birthweight (grams)]]*0.9/Table1[[#This Row],[BW_GA]])-1)/(Backend!$B$4/100*Table1[[#This Row],[BW40_3705]]),"")</f>
        <v/>
      </c>
      <c r="I6256" s="7" t="str">
        <f>IF(Table1[[#This Row],[Is Data Valid]]=TRUE,((Table1[[#This Row],[Birthweight (grams)]]*1.1/Table1[[#This Row],[BW_GA]])-1)/(Backend!$B$4/100*Table1[[#This Row],[BW40_3705]]),"")</f>
        <v/>
      </c>
      <c r="J6256" s="7" t="str">
        <f>IF(Table1[[#This Row],[Is Data Valid]]=TRUE,_xlfn.NORM.S.DIST(Table1[[#This Row],[Birthweight Z-Score]],TRUE)*100,"")</f>
        <v/>
      </c>
      <c r="K6256" s="7" t="str">
        <f>IF(Table1[[#This Row],[Is Data Valid]]=TRUE,_xlfn.NORM.S.DIST(Table1[[#This Row],[Birthweight Z-Score (BW-10%)]],TRUE)*100,"")</f>
        <v/>
      </c>
      <c r="L6256" s="7" t="str">
        <f>IF(Table1[[#This Row],[Is Data Valid]]=TRUE,_xlfn.NORM.S.DIST(Table1[[#This Row],[Birthweight Z-Score (BW+10%)]],TRUE)*100,"")</f>
        <v/>
      </c>
    </row>
    <row r="6257" spans="1:12" x14ac:dyDescent="0.35">
      <c r="A6257" s="3"/>
      <c r="B6257" s="2"/>
      <c r="C6257" s="2"/>
      <c r="D6257" s="2" t="b">
        <f>IF(AND(NOT(ISBLANK(Table1[[#This Row],[Fetal Sex (Male, Female or Unknown)]])),ISNUMBER(Table1[[#This Row],[Birthweight (grams)]]),ISNUMBER(Table1[[#This Row],[Gestation (days)]])),TRUE,FALSE)</f>
        <v>0</v>
      </c>
      <c r="E6257" s="2" t="str">
        <f>IF(Table1[[#This Row],[Is Data Valid]]=TRUE,IF(Table1[[#This Row],[Fetal Sex (Male, Female or Unknown)]]="Male",Backend!$C$6,IF(Table1[[#This Row],[Fetal Sex (Male, Female or Unknown)]]="Female",Backend!$C$7,IF(Table1[[#This Row],[Fetal Sex (Male, Female or Unknown)]]="Unknown",Backend!$C$8,"Error"))),"")</f>
        <v/>
      </c>
      <c r="F6257" s="8" t="str">
        <f>IF(Table1[[#This Row],[Is Data Valid]]=TRUE,EXP(0.578+0.332*((Table1[[#This Row],[Gestation (days)]]+0.5)/7)-0.00354*((Table1[[#This Row],[Gestation (days)]]+0.5)/7)^2)*Table1[[#This Row],[BW40_3705]],"")</f>
        <v/>
      </c>
      <c r="G6257" s="2" t="str">
        <f>IF(Table1[[#This Row],[Is Data Valid]]=TRUE,((Table1[[#This Row],[Birthweight (grams)]]/Table1[[#This Row],[BW_GA]])-1)/(Backend!$B$4/100*Table1[[#This Row],[BW40_3705]]),"")</f>
        <v/>
      </c>
      <c r="H6257" s="7" t="str">
        <f>IF(Table1[[#This Row],[Is Data Valid]]=TRUE,((Table1[[#This Row],[Birthweight (grams)]]*0.9/Table1[[#This Row],[BW_GA]])-1)/(Backend!$B$4/100*Table1[[#This Row],[BW40_3705]]),"")</f>
        <v/>
      </c>
      <c r="I6257" s="7" t="str">
        <f>IF(Table1[[#This Row],[Is Data Valid]]=TRUE,((Table1[[#This Row],[Birthweight (grams)]]*1.1/Table1[[#This Row],[BW_GA]])-1)/(Backend!$B$4/100*Table1[[#This Row],[BW40_3705]]),"")</f>
        <v/>
      </c>
      <c r="J6257" s="7" t="str">
        <f>IF(Table1[[#This Row],[Is Data Valid]]=TRUE,_xlfn.NORM.S.DIST(Table1[[#This Row],[Birthweight Z-Score]],TRUE)*100,"")</f>
        <v/>
      </c>
      <c r="K6257" s="7" t="str">
        <f>IF(Table1[[#This Row],[Is Data Valid]]=TRUE,_xlfn.NORM.S.DIST(Table1[[#This Row],[Birthweight Z-Score (BW-10%)]],TRUE)*100,"")</f>
        <v/>
      </c>
      <c r="L6257" s="7" t="str">
        <f>IF(Table1[[#This Row],[Is Data Valid]]=TRUE,_xlfn.NORM.S.DIST(Table1[[#This Row],[Birthweight Z-Score (BW+10%)]],TRUE)*100,"")</f>
        <v/>
      </c>
    </row>
    <row r="6258" spans="1:12" x14ac:dyDescent="0.35">
      <c r="A6258" s="3"/>
      <c r="B6258" s="2"/>
      <c r="C6258" s="2"/>
      <c r="D6258" s="2" t="b">
        <f>IF(AND(NOT(ISBLANK(Table1[[#This Row],[Fetal Sex (Male, Female or Unknown)]])),ISNUMBER(Table1[[#This Row],[Birthweight (grams)]]),ISNUMBER(Table1[[#This Row],[Gestation (days)]])),TRUE,FALSE)</f>
        <v>0</v>
      </c>
      <c r="E6258" s="2" t="str">
        <f>IF(Table1[[#This Row],[Is Data Valid]]=TRUE,IF(Table1[[#This Row],[Fetal Sex (Male, Female or Unknown)]]="Male",Backend!$C$6,IF(Table1[[#This Row],[Fetal Sex (Male, Female or Unknown)]]="Female",Backend!$C$7,IF(Table1[[#This Row],[Fetal Sex (Male, Female or Unknown)]]="Unknown",Backend!$C$8,"Error"))),"")</f>
        <v/>
      </c>
      <c r="F6258" s="8" t="str">
        <f>IF(Table1[[#This Row],[Is Data Valid]]=TRUE,EXP(0.578+0.332*((Table1[[#This Row],[Gestation (days)]]+0.5)/7)-0.00354*((Table1[[#This Row],[Gestation (days)]]+0.5)/7)^2)*Table1[[#This Row],[BW40_3705]],"")</f>
        <v/>
      </c>
      <c r="G6258" s="2" t="str">
        <f>IF(Table1[[#This Row],[Is Data Valid]]=TRUE,((Table1[[#This Row],[Birthweight (grams)]]/Table1[[#This Row],[BW_GA]])-1)/(Backend!$B$4/100*Table1[[#This Row],[BW40_3705]]),"")</f>
        <v/>
      </c>
      <c r="H6258" s="7" t="str">
        <f>IF(Table1[[#This Row],[Is Data Valid]]=TRUE,((Table1[[#This Row],[Birthweight (grams)]]*0.9/Table1[[#This Row],[BW_GA]])-1)/(Backend!$B$4/100*Table1[[#This Row],[BW40_3705]]),"")</f>
        <v/>
      </c>
      <c r="I6258" s="7" t="str">
        <f>IF(Table1[[#This Row],[Is Data Valid]]=TRUE,((Table1[[#This Row],[Birthweight (grams)]]*1.1/Table1[[#This Row],[BW_GA]])-1)/(Backend!$B$4/100*Table1[[#This Row],[BW40_3705]]),"")</f>
        <v/>
      </c>
      <c r="J6258" s="7" t="str">
        <f>IF(Table1[[#This Row],[Is Data Valid]]=TRUE,_xlfn.NORM.S.DIST(Table1[[#This Row],[Birthweight Z-Score]],TRUE)*100,"")</f>
        <v/>
      </c>
      <c r="K6258" s="7" t="str">
        <f>IF(Table1[[#This Row],[Is Data Valid]]=TRUE,_xlfn.NORM.S.DIST(Table1[[#This Row],[Birthweight Z-Score (BW-10%)]],TRUE)*100,"")</f>
        <v/>
      </c>
      <c r="L6258" s="7" t="str">
        <f>IF(Table1[[#This Row],[Is Data Valid]]=TRUE,_xlfn.NORM.S.DIST(Table1[[#This Row],[Birthweight Z-Score (BW+10%)]],TRUE)*100,"")</f>
        <v/>
      </c>
    </row>
    <row r="6259" spans="1:12" x14ac:dyDescent="0.35">
      <c r="A6259" s="3"/>
      <c r="B6259" s="2"/>
      <c r="C6259" s="2"/>
      <c r="D6259" s="2" t="b">
        <f>IF(AND(NOT(ISBLANK(Table1[[#This Row],[Fetal Sex (Male, Female or Unknown)]])),ISNUMBER(Table1[[#This Row],[Birthweight (grams)]]),ISNUMBER(Table1[[#This Row],[Gestation (days)]])),TRUE,FALSE)</f>
        <v>0</v>
      </c>
      <c r="E6259" s="2" t="str">
        <f>IF(Table1[[#This Row],[Is Data Valid]]=TRUE,IF(Table1[[#This Row],[Fetal Sex (Male, Female or Unknown)]]="Male",Backend!$C$6,IF(Table1[[#This Row],[Fetal Sex (Male, Female or Unknown)]]="Female",Backend!$C$7,IF(Table1[[#This Row],[Fetal Sex (Male, Female or Unknown)]]="Unknown",Backend!$C$8,"Error"))),"")</f>
        <v/>
      </c>
      <c r="F6259" s="8" t="str">
        <f>IF(Table1[[#This Row],[Is Data Valid]]=TRUE,EXP(0.578+0.332*((Table1[[#This Row],[Gestation (days)]]+0.5)/7)-0.00354*((Table1[[#This Row],[Gestation (days)]]+0.5)/7)^2)*Table1[[#This Row],[BW40_3705]],"")</f>
        <v/>
      </c>
      <c r="G6259" s="2" t="str">
        <f>IF(Table1[[#This Row],[Is Data Valid]]=TRUE,((Table1[[#This Row],[Birthweight (grams)]]/Table1[[#This Row],[BW_GA]])-1)/(Backend!$B$4/100*Table1[[#This Row],[BW40_3705]]),"")</f>
        <v/>
      </c>
      <c r="H6259" s="7" t="str">
        <f>IF(Table1[[#This Row],[Is Data Valid]]=TRUE,((Table1[[#This Row],[Birthweight (grams)]]*0.9/Table1[[#This Row],[BW_GA]])-1)/(Backend!$B$4/100*Table1[[#This Row],[BW40_3705]]),"")</f>
        <v/>
      </c>
      <c r="I6259" s="7" t="str">
        <f>IF(Table1[[#This Row],[Is Data Valid]]=TRUE,((Table1[[#This Row],[Birthweight (grams)]]*1.1/Table1[[#This Row],[BW_GA]])-1)/(Backend!$B$4/100*Table1[[#This Row],[BW40_3705]]),"")</f>
        <v/>
      </c>
      <c r="J6259" s="7" t="str">
        <f>IF(Table1[[#This Row],[Is Data Valid]]=TRUE,_xlfn.NORM.S.DIST(Table1[[#This Row],[Birthweight Z-Score]],TRUE)*100,"")</f>
        <v/>
      </c>
      <c r="K6259" s="7" t="str">
        <f>IF(Table1[[#This Row],[Is Data Valid]]=TRUE,_xlfn.NORM.S.DIST(Table1[[#This Row],[Birthweight Z-Score (BW-10%)]],TRUE)*100,"")</f>
        <v/>
      </c>
      <c r="L6259" s="7" t="str">
        <f>IF(Table1[[#This Row],[Is Data Valid]]=TRUE,_xlfn.NORM.S.DIST(Table1[[#This Row],[Birthweight Z-Score (BW+10%)]],TRUE)*100,"")</f>
        <v/>
      </c>
    </row>
    <row r="6260" spans="1:12" x14ac:dyDescent="0.35">
      <c r="A6260" s="3"/>
      <c r="B6260" s="2"/>
      <c r="C6260" s="2"/>
      <c r="D6260" s="2" t="b">
        <f>IF(AND(NOT(ISBLANK(Table1[[#This Row],[Fetal Sex (Male, Female or Unknown)]])),ISNUMBER(Table1[[#This Row],[Birthweight (grams)]]),ISNUMBER(Table1[[#This Row],[Gestation (days)]])),TRUE,FALSE)</f>
        <v>0</v>
      </c>
      <c r="E6260" s="2" t="str">
        <f>IF(Table1[[#This Row],[Is Data Valid]]=TRUE,IF(Table1[[#This Row],[Fetal Sex (Male, Female or Unknown)]]="Male",Backend!$C$6,IF(Table1[[#This Row],[Fetal Sex (Male, Female or Unknown)]]="Female",Backend!$C$7,IF(Table1[[#This Row],[Fetal Sex (Male, Female or Unknown)]]="Unknown",Backend!$C$8,"Error"))),"")</f>
        <v/>
      </c>
      <c r="F6260" s="8" t="str">
        <f>IF(Table1[[#This Row],[Is Data Valid]]=TRUE,EXP(0.578+0.332*((Table1[[#This Row],[Gestation (days)]]+0.5)/7)-0.00354*((Table1[[#This Row],[Gestation (days)]]+0.5)/7)^2)*Table1[[#This Row],[BW40_3705]],"")</f>
        <v/>
      </c>
      <c r="G6260" s="2" t="str">
        <f>IF(Table1[[#This Row],[Is Data Valid]]=TRUE,((Table1[[#This Row],[Birthweight (grams)]]/Table1[[#This Row],[BW_GA]])-1)/(Backend!$B$4/100*Table1[[#This Row],[BW40_3705]]),"")</f>
        <v/>
      </c>
      <c r="H6260" s="7" t="str">
        <f>IF(Table1[[#This Row],[Is Data Valid]]=TRUE,((Table1[[#This Row],[Birthweight (grams)]]*0.9/Table1[[#This Row],[BW_GA]])-1)/(Backend!$B$4/100*Table1[[#This Row],[BW40_3705]]),"")</f>
        <v/>
      </c>
      <c r="I6260" s="7" t="str">
        <f>IF(Table1[[#This Row],[Is Data Valid]]=TRUE,((Table1[[#This Row],[Birthweight (grams)]]*1.1/Table1[[#This Row],[BW_GA]])-1)/(Backend!$B$4/100*Table1[[#This Row],[BW40_3705]]),"")</f>
        <v/>
      </c>
      <c r="J6260" s="7" t="str">
        <f>IF(Table1[[#This Row],[Is Data Valid]]=TRUE,_xlfn.NORM.S.DIST(Table1[[#This Row],[Birthweight Z-Score]],TRUE)*100,"")</f>
        <v/>
      </c>
      <c r="K6260" s="7" t="str">
        <f>IF(Table1[[#This Row],[Is Data Valid]]=TRUE,_xlfn.NORM.S.DIST(Table1[[#This Row],[Birthweight Z-Score (BW-10%)]],TRUE)*100,"")</f>
        <v/>
      </c>
      <c r="L6260" s="7" t="str">
        <f>IF(Table1[[#This Row],[Is Data Valid]]=TRUE,_xlfn.NORM.S.DIST(Table1[[#This Row],[Birthweight Z-Score (BW+10%)]],TRUE)*100,"")</f>
        <v/>
      </c>
    </row>
    <row r="6261" spans="1:12" x14ac:dyDescent="0.35">
      <c r="A6261" s="3"/>
      <c r="B6261" s="2"/>
      <c r="C6261" s="2"/>
      <c r="D6261" s="2" t="b">
        <f>IF(AND(NOT(ISBLANK(Table1[[#This Row],[Fetal Sex (Male, Female or Unknown)]])),ISNUMBER(Table1[[#This Row],[Birthweight (grams)]]),ISNUMBER(Table1[[#This Row],[Gestation (days)]])),TRUE,FALSE)</f>
        <v>0</v>
      </c>
      <c r="E6261" s="2" t="str">
        <f>IF(Table1[[#This Row],[Is Data Valid]]=TRUE,IF(Table1[[#This Row],[Fetal Sex (Male, Female or Unknown)]]="Male",Backend!$C$6,IF(Table1[[#This Row],[Fetal Sex (Male, Female or Unknown)]]="Female",Backend!$C$7,IF(Table1[[#This Row],[Fetal Sex (Male, Female or Unknown)]]="Unknown",Backend!$C$8,"Error"))),"")</f>
        <v/>
      </c>
      <c r="F6261" s="8" t="str">
        <f>IF(Table1[[#This Row],[Is Data Valid]]=TRUE,EXP(0.578+0.332*((Table1[[#This Row],[Gestation (days)]]+0.5)/7)-0.00354*((Table1[[#This Row],[Gestation (days)]]+0.5)/7)^2)*Table1[[#This Row],[BW40_3705]],"")</f>
        <v/>
      </c>
      <c r="G6261" s="2" t="str">
        <f>IF(Table1[[#This Row],[Is Data Valid]]=TRUE,((Table1[[#This Row],[Birthweight (grams)]]/Table1[[#This Row],[BW_GA]])-1)/(Backend!$B$4/100*Table1[[#This Row],[BW40_3705]]),"")</f>
        <v/>
      </c>
      <c r="H6261" s="7" t="str">
        <f>IF(Table1[[#This Row],[Is Data Valid]]=TRUE,((Table1[[#This Row],[Birthweight (grams)]]*0.9/Table1[[#This Row],[BW_GA]])-1)/(Backend!$B$4/100*Table1[[#This Row],[BW40_3705]]),"")</f>
        <v/>
      </c>
      <c r="I6261" s="7" t="str">
        <f>IF(Table1[[#This Row],[Is Data Valid]]=TRUE,((Table1[[#This Row],[Birthweight (grams)]]*1.1/Table1[[#This Row],[BW_GA]])-1)/(Backend!$B$4/100*Table1[[#This Row],[BW40_3705]]),"")</f>
        <v/>
      </c>
      <c r="J6261" s="7" t="str">
        <f>IF(Table1[[#This Row],[Is Data Valid]]=TRUE,_xlfn.NORM.S.DIST(Table1[[#This Row],[Birthweight Z-Score]],TRUE)*100,"")</f>
        <v/>
      </c>
      <c r="K6261" s="7" t="str">
        <f>IF(Table1[[#This Row],[Is Data Valid]]=TRUE,_xlfn.NORM.S.DIST(Table1[[#This Row],[Birthweight Z-Score (BW-10%)]],TRUE)*100,"")</f>
        <v/>
      </c>
      <c r="L6261" s="7" t="str">
        <f>IF(Table1[[#This Row],[Is Data Valid]]=TRUE,_xlfn.NORM.S.DIST(Table1[[#This Row],[Birthweight Z-Score (BW+10%)]],TRUE)*100,"")</f>
        <v/>
      </c>
    </row>
    <row r="6262" spans="1:12" x14ac:dyDescent="0.35">
      <c r="A6262" s="3"/>
      <c r="B6262" s="2"/>
      <c r="C6262" s="2"/>
      <c r="D6262" s="2" t="b">
        <f>IF(AND(NOT(ISBLANK(Table1[[#This Row],[Fetal Sex (Male, Female or Unknown)]])),ISNUMBER(Table1[[#This Row],[Birthweight (grams)]]),ISNUMBER(Table1[[#This Row],[Gestation (days)]])),TRUE,FALSE)</f>
        <v>0</v>
      </c>
      <c r="E6262" s="2" t="str">
        <f>IF(Table1[[#This Row],[Is Data Valid]]=TRUE,IF(Table1[[#This Row],[Fetal Sex (Male, Female or Unknown)]]="Male",Backend!$C$6,IF(Table1[[#This Row],[Fetal Sex (Male, Female or Unknown)]]="Female",Backend!$C$7,IF(Table1[[#This Row],[Fetal Sex (Male, Female or Unknown)]]="Unknown",Backend!$C$8,"Error"))),"")</f>
        <v/>
      </c>
      <c r="F6262" s="8" t="str">
        <f>IF(Table1[[#This Row],[Is Data Valid]]=TRUE,EXP(0.578+0.332*((Table1[[#This Row],[Gestation (days)]]+0.5)/7)-0.00354*((Table1[[#This Row],[Gestation (days)]]+0.5)/7)^2)*Table1[[#This Row],[BW40_3705]],"")</f>
        <v/>
      </c>
      <c r="G6262" s="2" t="str">
        <f>IF(Table1[[#This Row],[Is Data Valid]]=TRUE,((Table1[[#This Row],[Birthweight (grams)]]/Table1[[#This Row],[BW_GA]])-1)/(Backend!$B$4/100*Table1[[#This Row],[BW40_3705]]),"")</f>
        <v/>
      </c>
      <c r="H6262" s="7" t="str">
        <f>IF(Table1[[#This Row],[Is Data Valid]]=TRUE,((Table1[[#This Row],[Birthweight (grams)]]*0.9/Table1[[#This Row],[BW_GA]])-1)/(Backend!$B$4/100*Table1[[#This Row],[BW40_3705]]),"")</f>
        <v/>
      </c>
      <c r="I6262" s="7" t="str">
        <f>IF(Table1[[#This Row],[Is Data Valid]]=TRUE,((Table1[[#This Row],[Birthweight (grams)]]*1.1/Table1[[#This Row],[BW_GA]])-1)/(Backend!$B$4/100*Table1[[#This Row],[BW40_3705]]),"")</f>
        <v/>
      </c>
      <c r="J6262" s="7" t="str">
        <f>IF(Table1[[#This Row],[Is Data Valid]]=TRUE,_xlfn.NORM.S.DIST(Table1[[#This Row],[Birthweight Z-Score]],TRUE)*100,"")</f>
        <v/>
      </c>
      <c r="K6262" s="7" t="str">
        <f>IF(Table1[[#This Row],[Is Data Valid]]=TRUE,_xlfn.NORM.S.DIST(Table1[[#This Row],[Birthweight Z-Score (BW-10%)]],TRUE)*100,"")</f>
        <v/>
      </c>
      <c r="L6262" s="7" t="str">
        <f>IF(Table1[[#This Row],[Is Data Valid]]=TRUE,_xlfn.NORM.S.DIST(Table1[[#This Row],[Birthweight Z-Score (BW+10%)]],TRUE)*100,"")</f>
        <v/>
      </c>
    </row>
    <row r="6263" spans="1:12" x14ac:dyDescent="0.35">
      <c r="A6263" s="3"/>
      <c r="B6263" s="2"/>
      <c r="C6263" s="2"/>
      <c r="D6263" s="2" t="b">
        <f>IF(AND(NOT(ISBLANK(Table1[[#This Row],[Fetal Sex (Male, Female or Unknown)]])),ISNUMBER(Table1[[#This Row],[Birthweight (grams)]]),ISNUMBER(Table1[[#This Row],[Gestation (days)]])),TRUE,FALSE)</f>
        <v>0</v>
      </c>
      <c r="E6263" s="2" t="str">
        <f>IF(Table1[[#This Row],[Is Data Valid]]=TRUE,IF(Table1[[#This Row],[Fetal Sex (Male, Female or Unknown)]]="Male",Backend!$C$6,IF(Table1[[#This Row],[Fetal Sex (Male, Female or Unknown)]]="Female",Backend!$C$7,IF(Table1[[#This Row],[Fetal Sex (Male, Female or Unknown)]]="Unknown",Backend!$C$8,"Error"))),"")</f>
        <v/>
      </c>
      <c r="F6263" s="8" t="str">
        <f>IF(Table1[[#This Row],[Is Data Valid]]=TRUE,EXP(0.578+0.332*((Table1[[#This Row],[Gestation (days)]]+0.5)/7)-0.00354*((Table1[[#This Row],[Gestation (days)]]+0.5)/7)^2)*Table1[[#This Row],[BW40_3705]],"")</f>
        <v/>
      </c>
      <c r="G6263" s="2" t="str">
        <f>IF(Table1[[#This Row],[Is Data Valid]]=TRUE,((Table1[[#This Row],[Birthweight (grams)]]/Table1[[#This Row],[BW_GA]])-1)/(Backend!$B$4/100*Table1[[#This Row],[BW40_3705]]),"")</f>
        <v/>
      </c>
      <c r="H6263" s="7" t="str">
        <f>IF(Table1[[#This Row],[Is Data Valid]]=TRUE,((Table1[[#This Row],[Birthweight (grams)]]*0.9/Table1[[#This Row],[BW_GA]])-1)/(Backend!$B$4/100*Table1[[#This Row],[BW40_3705]]),"")</f>
        <v/>
      </c>
      <c r="I6263" s="7" t="str">
        <f>IF(Table1[[#This Row],[Is Data Valid]]=TRUE,((Table1[[#This Row],[Birthweight (grams)]]*1.1/Table1[[#This Row],[BW_GA]])-1)/(Backend!$B$4/100*Table1[[#This Row],[BW40_3705]]),"")</f>
        <v/>
      </c>
      <c r="J6263" s="7" t="str">
        <f>IF(Table1[[#This Row],[Is Data Valid]]=TRUE,_xlfn.NORM.S.DIST(Table1[[#This Row],[Birthweight Z-Score]],TRUE)*100,"")</f>
        <v/>
      </c>
      <c r="K6263" s="7" t="str">
        <f>IF(Table1[[#This Row],[Is Data Valid]]=TRUE,_xlfn.NORM.S.DIST(Table1[[#This Row],[Birthweight Z-Score (BW-10%)]],TRUE)*100,"")</f>
        <v/>
      </c>
      <c r="L6263" s="7" t="str">
        <f>IF(Table1[[#This Row],[Is Data Valid]]=TRUE,_xlfn.NORM.S.DIST(Table1[[#This Row],[Birthweight Z-Score (BW+10%)]],TRUE)*100,"")</f>
        <v/>
      </c>
    </row>
    <row r="6264" spans="1:12" x14ac:dyDescent="0.35">
      <c r="A6264" s="3"/>
      <c r="B6264" s="2"/>
      <c r="C6264" s="2"/>
      <c r="D6264" s="2" t="b">
        <f>IF(AND(NOT(ISBLANK(Table1[[#This Row],[Fetal Sex (Male, Female or Unknown)]])),ISNUMBER(Table1[[#This Row],[Birthweight (grams)]]),ISNUMBER(Table1[[#This Row],[Gestation (days)]])),TRUE,FALSE)</f>
        <v>0</v>
      </c>
      <c r="E6264" s="2" t="str">
        <f>IF(Table1[[#This Row],[Is Data Valid]]=TRUE,IF(Table1[[#This Row],[Fetal Sex (Male, Female or Unknown)]]="Male",Backend!$C$6,IF(Table1[[#This Row],[Fetal Sex (Male, Female or Unknown)]]="Female",Backend!$C$7,IF(Table1[[#This Row],[Fetal Sex (Male, Female or Unknown)]]="Unknown",Backend!$C$8,"Error"))),"")</f>
        <v/>
      </c>
      <c r="F6264" s="8" t="str">
        <f>IF(Table1[[#This Row],[Is Data Valid]]=TRUE,EXP(0.578+0.332*((Table1[[#This Row],[Gestation (days)]]+0.5)/7)-0.00354*((Table1[[#This Row],[Gestation (days)]]+0.5)/7)^2)*Table1[[#This Row],[BW40_3705]],"")</f>
        <v/>
      </c>
      <c r="G6264" s="2" t="str">
        <f>IF(Table1[[#This Row],[Is Data Valid]]=TRUE,((Table1[[#This Row],[Birthweight (grams)]]/Table1[[#This Row],[BW_GA]])-1)/(Backend!$B$4/100*Table1[[#This Row],[BW40_3705]]),"")</f>
        <v/>
      </c>
      <c r="H6264" s="7" t="str">
        <f>IF(Table1[[#This Row],[Is Data Valid]]=TRUE,((Table1[[#This Row],[Birthweight (grams)]]*0.9/Table1[[#This Row],[BW_GA]])-1)/(Backend!$B$4/100*Table1[[#This Row],[BW40_3705]]),"")</f>
        <v/>
      </c>
      <c r="I6264" s="7" t="str">
        <f>IF(Table1[[#This Row],[Is Data Valid]]=TRUE,((Table1[[#This Row],[Birthweight (grams)]]*1.1/Table1[[#This Row],[BW_GA]])-1)/(Backend!$B$4/100*Table1[[#This Row],[BW40_3705]]),"")</f>
        <v/>
      </c>
      <c r="J6264" s="7" t="str">
        <f>IF(Table1[[#This Row],[Is Data Valid]]=TRUE,_xlfn.NORM.S.DIST(Table1[[#This Row],[Birthweight Z-Score]],TRUE)*100,"")</f>
        <v/>
      </c>
      <c r="K6264" s="7" t="str">
        <f>IF(Table1[[#This Row],[Is Data Valid]]=TRUE,_xlfn.NORM.S.DIST(Table1[[#This Row],[Birthweight Z-Score (BW-10%)]],TRUE)*100,"")</f>
        <v/>
      </c>
      <c r="L6264" s="7" t="str">
        <f>IF(Table1[[#This Row],[Is Data Valid]]=TRUE,_xlfn.NORM.S.DIST(Table1[[#This Row],[Birthweight Z-Score (BW+10%)]],TRUE)*100,"")</f>
        <v/>
      </c>
    </row>
    <row r="6265" spans="1:12" x14ac:dyDescent="0.35">
      <c r="A6265" s="3"/>
      <c r="B6265" s="2"/>
      <c r="C6265" s="2"/>
      <c r="D6265" s="2" t="b">
        <f>IF(AND(NOT(ISBLANK(Table1[[#This Row],[Fetal Sex (Male, Female or Unknown)]])),ISNUMBER(Table1[[#This Row],[Birthweight (grams)]]),ISNUMBER(Table1[[#This Row],[Gestation (days)]])),TRUE,FALSE)</f>
        <v>0</v>
      </c>
      <c r="E6265" s="2" t="str">
        <f>IF(Table1[[#This Row],[Is Data Valid]]=TRUE,IF(Table1[[#This Row],[Fetal Sex (Male, Female or Unknown)]]="Male",Backend!$C$6,IF(Table1[[#This Row],[Fetal Sex (Male, Female or Unknown)]]="Female",Backend!$C$7,IF(Table1[[#This Row],[Fetal Sex (Male, Female or Unknown)]]="Unknown",Backend!$C$8,"Error"))),"")</f>
        <v/>
      </c>
      <c r="F6265" s="8" t="str">
        <f>IF(Table1[[#This Row],[Is Data Valid]]=TRUE,EXP(0.578+0.332*((Table1[[#This Row],[Gestation (days)]]+0.5)/7)-0.00354*((Table1[[#This Row],[Gestation (days)]]+0.5)/7)^2)*Table1[[#This Row],[BW40_3705]],"")</f>
        <v/>
      </c>
      <c r="G6265" s="2" t="str">
        <f>IF(Table1[[#This Row],[Is Data Valid]]=TRUE,((Table1[[#This Row],[Birthweight (grams)]]/Table1[[#This Row],[BW_GA]])-1)/(Backend!$B$4/100*Table1[[#This Row],[BW40_3705]]),"")</f>
        <v/>
      </c>
      <c r="H6265" s="7" t="str">
        <f>IF(Table1[[#This Row],[Is Data Valid]]=TRUE,((Table1[[#This Row],[Birthweight (grams)]]*0.9/Table1[[#This Row],[BW_GA]])-1)/(Backend!$B$4/100*Table1[[#This Row],[BW40_3705]]),"")</f>
        <v/>
      </c>
      <c r="I6265" s="7" t="str">
        <f>IF(Table1[[#This Row],[Is Data Valid]]=TRUE,((Table1[[#This Row],[Birthweight (grams)]]*1.1/Table1[[#This Row],[BW_GA]])-1)/(Backend!$B$4/100*Table1[[#This Row],[BW40_3705]]),"")</f>
        <v/>
      </c>
      <c r="J6265" s="7" t="str">
        <f>IF(Table1[[#This Row],[Is Data Valid]]=TRUE,_xlfn.NORM.S.DIST(Table1[[#This Row],[Birthweight Z-Score]],TRUE)*100,"")</f>
        <v/>
      </c>
      <c r="K6265" s="7" t="str">
        <f>IF(Table1[[#This Row],[Is Data Valid]]=TRUE,_xlfn.NORM.S.DIST(Table1[[#This Row],[Birthweight Z-Score (BW-10%)]],TRUE)*100,"")</f>
        <v/>
      </c>
      <c r="L6265" s="7" t="str">
        <f>IF(Table1[[#This Row],[Is Data Valid]]=TRUE,_xlfn.NORM.S.DIST(Table1[[#This Row],[Birthweight Z-Score (BW+10%)]],TRUE)*100,"")</f>
        <v/>
      </c>
    </row>
    <row r="6266" spans="1:12" x14ac:dyDescent="0.35">
      <c r="A6266" s="3"/>
      <c r="B6266" s="2"/>
      <c r="C6266" s="2"/>
      <c r="D6266" s="2" t="b">
        <f>IF(AND(NOT(ISBLANK(Table1[[#This Row],[Fetal Sex (Male, Female or Unknown)]])),ISNUMBER(Table1[[#This Row],[Birthweight (grams)]]),ISNUMBER(Table1[[#This Row],[Gestation (days)]])),TRUE,FALSE)</f>
        <v>0</v>
      </c>
      <c r="E6266" s="2" t="str">
        <f>IF(Table1[[#This Row],[Is Data Valid]]=TRUE,IF(Table1[[#This Row],[Fetal Sex (Male, Female or Unknown)]]="Male",Backend!$C$6,IF(Table1[[#This Row],[Fetal Sex (Male, Female or Unknown)]]="Female",Backend!$C$7,IF(Table1[[#This Row],[Fetal Sex (Male, Female or Unknown)]]="Unknown",Backend!$C$8,"Error"))),"")</f>
        <v/>
      </c>
      <c r="F6266" s="8" t="str">
        <f>IF(Table1[[#This Row],[Is Data Valid]]=TRUE,EXP(0.578+0.332*((Table1[[#This Row],[Gestation (days)]]+0.5)/7)-0.00354*((Table1[[#This Row],[Gestation (days)]]+0.5)/7)^2)*Table1[[#This Row],[BW40_3705]],"")</f>
        <v/>
      </c>
      <c r="G6266" s="2" t="str">
        <f>IF(Table1[[#This Row],[Is Data Valid]]=TRUE,((Table1[[#This Row],[Birthweight (grams)]]/Table1[[#This Row],[BW_GA]])-1)/(Backend!$B$4/100*Table1[[#This Row],[BW40_3705]]),"")</f>
        <v/>
      </c>
      <c r="H6266" s="7" t="str">
        <f>IF(Table1[[#This Row],[Is Data Valid]]=TRUE,((Table1[[#This Row],[Birthweight (grams)]]*0.9/Table1[[#This Row],[BW_GA]])-1)/(Backend!$B$4/100*Table1[[#This Row],[BW40_3705]]),"")</f>
        <v/>
      </c>
      <c r="I6266" s="7" t="str">
        <f>IF(Table1[[#This Row],[Is Data Valid]]=TRUE,((Table1[[#This Row],[Birthweight (grams)]]*1.1/Table1[[#This Row],[BW_GA]])-1)/(Backend!$B$4/100*Table1[[#This Row],[BW40_3705]]),"")</f>
        <v/>
      </c>
      <c r="J6266" s="7" t="str">
        <f>IF(Table1[[#This Row],[Is Data Valid]]=TRUE,_xlfn.NORM.S.DIST(Table1[[#This Row],[Birthweight Z-Score]],TRUE)*100,"")</f>
        <v/>
      </c>
      <c r="K6266" s="7" t="str">
        <f>IF(Table1[[#This Row],[Is Data Valid]]=TRUE,_xlfn.NORM.S.DIST(Table1[[#This Row],[Birthweight Z-Score (BW-10%)]],TRUE)*100,"")</f>
        <v/>
      </c>
      <c r="L6266" s="7" t="str">
        <f>IF(Table1[[#This Row],[Is Data Valid]]=TRUE,_xlfn.NORM.S.DIST(Table1[[#This Row],[Birthweight Z-Score (BW+10%)]],TRUE)*100,"")</f>
        <v/>
      </c>
    </row>
    <row r="6267" spans="1:12" x14ac:dyDescent="0.35">
      <c r="A6267" s="3"/>
      <c r="B6267" s="2"/>
      <c r="C6267" s="2"/>
      <c r="D6267" s="2" t="b">
        <f>IF(AND(NOT(ISBLANK(Table1[[#This Row],[Fetal Sex (Male, Female or Unknown)]])),ISNUMBER(Table1[[#This Row],[Birthweight (grams)]]),ISNUMBER(Table1[[#This Row],[Gestation (days)]])),TRUE,FALSE)</f>
        <v>0</v>
      </c>
      <c r="E6267" s="2" t="str">
        <f>IF(Table1[[#This Row],[Is Data Valid]]=TRUE,IF(Table1[[#This Row],[Fetal Sex (Male, Female or Unknown)]]="Male",Backend!$C$6,IF(Table1[[#This Row],[Fetal Sex (Male, Female or Unknown)]]="Female",Backend!$C$7,IF(Table1[[#This Row],[Fetal Sex (Male, Female or Unknown)]]="Unknown",Backend!$C$8,"Error"))),"")</f>
        <v/>
      </c>
      <c r="F6267" s="8" t="str">
        <f>IF(Table1[[#This Row],[Is Data Valid]]=TRUE,EXP(0.578+0.332*((Table1[[#This Row],[Gestation (days)]]+0.5)/7)-0.00354*((Table1[[#This Row],[Gestation (days)]]+0.5)/7)^2)*Table1[[#This Row],[BW40_3705]],"")</f>
        <v/>
      </c>
      <c r="G6267" s="2" t="str">
        <f>IF(Table1[[#This Row],[Is Data Valid]]=TRUE,((Table1[[#This Row],[Birthweight (grams)]]/Table1[[#This Row],[BW_GA]])-1)/(Backend!$B$4/100*Table1[[#This Row],[BW40_3705]]),"")</f>
        <v/>
      </c>
      <c r="H6267" s="7" t="str">
        <f>IF(Table1[[#This Row],[Is Data Valid]]=TRUE,((Table1[[#This Row],[Birthweight (grams)]]*0.9/Table1[[#This Row],[BW_GA]])-1)/(Backend!$B$4/100*Table1[[#This Row],[BW40_3705]]),"")</f>
        <v/>
      </c>
      <c r="I6267" s="7" t="str">
        <f>IF(Table1[[#This Row],[Is Data Valid]]=TRUE,((Table1[[#This Row],[Birthweight (grams)]]*1.1/Table1[[#This Row],[BW_GA]])-1)/(Backend!$B$4/100*Table1[[#This Row],[BW40_3705]]),"")</f>
        <v/>
      </c>
      <c r="J6267" s="7" t="str">
        <f>IF(Table1[[#This Row],[Is Data Valid]]=TRUE,_xlfn.NORM.S.DIST(Table1[[#This Row],[Birthweight Z-Score]],TRUE)*100,"")</f>
        <v/>
      </c>
      <c r="K6267" s="7" t="str">
        <f>IF(Table1[[#This Row],[Is Data Valid]]=TRUE,_xlfn.NORM.S.DIST(Table1[[#This Row],[Birthweight Z-Score (BW-10%)]],TRUE)*100,"")</f>
        <v/>
      </c>
      <c r="L6267" s="7" t="str">
        <f>IF(Table1[[#This Row],[Is Data Valid]]=TRUE,_xlfn.NORM.S.DIST(Table1[[#This Row],[Birthweight Z-Score (BW+10%)]],TRUE)*100,"")</f>
        <v/>
      </c>
    </row>
    <row r="6268" spans="1:12" x14ac:dyDescent="0.35">
      <c r="A6268" s="3"/>
      <c r="B6268" s="2"/>
      <c r="C6268" s="2"/>
      <c r="D6268" s="2" t="b">
        <f>IF(AND(NOT(ISBLANK(Table1[[#This Row],[Fetal Sex (Male, Female or Unknown)]])),ISNUMBER(Table1[[#This Row],[Birthweight (grams)]]),ISNUMBER(Table1[[#This Row],[Gestation (days)]])),TRUE,FALSE)</f>
        <v>0</v>
      </c>
      <c r="E6268" s="2" t="str">
        <f>IF(Table1[[#This Row],[Is Data Valid]]=TRUE,IF(Table1[[#This Row],[Fetal Sex (Male, Female or Unknown)]]="Male",Backend!$C$6,IF(Table1[[#This Row],[Fetal Sex (Male, Female or Unknown)]]="Female",Backend!$C$7,IF(Table1[[#This Row],[Fetal Sex (Male, Female or Unknown)]]="Unknown",Backend!$C$8,"Error"))),"")</f>
        <v/>
      </c>
      <c r="F6268" s="8" t="str">
        <f>IF(Table1[[#This Row],[Is Data Valid]]=TRUE,EXP(0.578+0.332*((Table1[[#This Row],[Gestation (days)]]+0.5)/7)-0.00354*((Table1[[#This Row],[Gestation (days)]]+0.5)/7)^2)*Table1[[#This Row],[BW40_3705]],"")</f>
        <v/>
      </c>
      <c r="G6268" s="2" t="str">
        <f>IF(Table1[[#This Row],[Is Data Valid]]=TRUE,((Table1[[#This Row],[Birthweight (grams)]]/Table1[[#This Row],[BW_GA]])-1)/(Backend!$B$4/100*Table1[[#This Row],[BW40_3705]]),"")</f>
        <v/>
      </c>
      <c r="H6268" s="7" t="str">
        <f>IF(Table1[[#This Row],[Is Data Valid]]=TRUE,((Table1[[#This Row],[Birthweight (grams)]]*0.9/Table1[[#This Row],[BW_GA]])-1)/(Backend!$B$4/100*Table1[[#This Row],[BW40_3705]]),"")</f>
        <v/>
      </c>
      <c r="I6268" s="7" t="str">
        <f>IF(Table1[[#This Row],[Is Data Valid]]=TRUE,((Table1[[#This Row],[Birthweight (grams)]]*1.1/Table1[[#This Row],[BW_GA]])-1)/(Backend!$B$4/100*Table1[[#This Row],[BW40_3705]]),"")</f>
        <v/>
      </c>
      <c r="J6268" s="7" t="str">
        <f>IF(Table1[[#This Row],[Is Data Valid]]=TRUE,_xlfn.NORM.S.DIST(Table1[[#This Row],[Birthweight Z-Score]],TRUE)*100,"")</f>
        <v/>
      </c>
      <c r="K6268" s="7" t="str">
        <f>IF(Table1[[#This Row],[Is Data Valid]]=TRUE,_xlfn.NORM.S.DIST(Table1[[#This Row],[Birthweight Z-Score (BW-10%)]],TRUE)*100,"")</f>
        <v/>
      </c>
      <c r="L6268" s="7" t="str">
        <f>IF(Table1[[#This Row],[Is Data Valid]]=TRUE,_xlfn.NORM.S.DIST(Table1[[#This Row],[Birthweight Z-Score (BW+10%)]],TRUE)*100,"")</f>
        <v/>
      </c>
    </row>
    <row r="6269" spans="1:12" x14ac:dyDescent="0.35">
      <c r="A6269" s="3"/>
      <c r="B6269" s="2"/>
      <c r="C6269" s="2"/>
      <c r="D6269" s="2" t="b">
        <f>IF(AND(NOT(ISBLANK(Table1[[#This Row],[Fetal Sex (Male, Female or Unknown)]])),ISNUMBER(Table1[[#This Row],[Birthweight (grams)]]),ISNUMBER(Table1[[#This Row],[Gestation (days)]])),TRUE,FALSE)</f>
        <v>0</v>
      </c>
      <c r="E6269" s="2" t="str">
        <f>IF(Table1[[#This Row],[Is Data Valid]]=TRUE,IF(Table1[[#This Row],[Fetal Sex (Male, Female or Unknown)]]="Male",Backend!$C$6,IF(Table1[[#This Row],[Fetal Sex (Male, Female or Unknown)]]="Female",Backend!$C$7,IF(Table1[[#This Row],[Fetal Sex (Male, Female or Unknown)]]="Unknown",Backend!$C$8,"Error"))),"")</f>
        <v/>
      </c>
      <c r="F6269" s="8" t="str">
        <f>IF(Table1[[#This Row],[Is Data Valid]]=TRUE,EXP(0.578+0.332*((Table1[[#This Row],[Gestation (days)]]+0.5)/7)-0.00354*((Table1[[#This Row],[Gestation (days)]]+0.5)/7)^2)*Table1[[#This Row],[BW40_3705]],"")</f>
        <v/>
      </c>
      <c r="G6269" s="2" t="str">
        <f>IF(Table1[[#This Row],[Is Data Valid]]=TRUE,((Table1[[#This Row],[Birthweight (grams)]]/Table1[[#This Row],[BW_GA]])-1)/(Backend!$B$4/100*Table1[[#This Row],[BW40_3705]]),"")</f>
        <v/>
      </c>
      <c r="H6269" s="7" t="str">
        <f>IF(Table1[[#This Row],[Is Data Valid]]=TRUE,((Table1[[#This Row],[Birthweight (grams)]]*0.9/Table1[[#This Row],[BW_GA]])-1)/(Backend!$B$4/100*Table1[[#This Row],[BW40_3705]]),"")</f>
        <v/>
      </c>
      <c r="I6269" s="7" t="str">
        <f>IF(Table1[[#This Row],[Is Data Valid]]=TRUE,((Table1[[#This Row],[Birthweight (grams)]]*1.1/Table1[[#This Row],[BW_GA]])-1)/(Backend!$B$4/100*Table1[[#This Row],[BW40_3705]]),"")</f>
        <v/>
      </c>
      <c r="J6269" s="7" t="str">
        <f>IF(Table1[[#This Row],[Is Data Valid]]=TRUE,_xlfn.NORM.S.DIST(Table1[[#This Row],[Birthweight Z-Score]],TRUE)*100,"")</f>
        <v/>
      </c>
      <c r="K6269" s="7" t="str">
        <f>IF(Table1[[#This Row],[Is Data Valid]]=TRUE,_xlfn.NORM.S.DIST(Table1[[#This Row],[Birthweight Z-Score (BW-10%)]],TRUE)*100,"")</f>
        <v/>
      </c>
      <c r="L6269" s="7" t="str">
        <f>IF(Table1[[#This Row],[Is Data Valid]]=TRUE,_xlfn.NORM.S.DIST(Table1[[#This Row],[Birthweight Z-Score (BW+10%)]],TRUE)*100,"")</f>
        <v/>
      </c>
    </row>
    <row r="6270" spans="1:12" x14ac:dyDescent="0.35">
      <c r="A6270" s="3"/>
      <c r="B6270" s="2"/>
      <c r="C6270" s="2"/>
      <c r="D6270" s="2" t="b">
        <f>IF(AND(NOT(ISBLANK(Table1[[#This Row],[Fetal Sex (Male, Female or Unknown)]])),ISNUMBER(Table1[[#This Row],[Birthweight (grams)]]),ISNUMBER(Table1[[#This Row],[Gestation (days)]])),TRUE,FALSE)</f>
        <v>0</v>
      </c>
      <c r="E6270" s="2" t="str">
        <f>IF(Table1[[#This Row],[Is Data Valid]]=TRUE,IF(Table1[[#This Row],[Fetal Sex (Male, Female or Unknown)]]="Male",Backend!$C$6,IF(Table1[[#This Row],[Fetal Sex (Male, Female or Unknown)]]="Female",Backend!$C$7,IF(Table1[[#This Row],[Fetal Sex (Male, Female or Unknown)]]="Unknown",Backend!$C$8,"Error"))),"")</f>
        <v/>
      </c>
      <c r="F6270" s="8" t="str">
        <f>IF(Table1[[#This Row],[Is Data Valid]]=TRUE,EXP(0.578+0.332*((Table1[[#This Row],[Gestation (days)]]+0.5)/7)-0.00354*((Table1[[#This Row],[Gestation (days)]]+0.5)/7)^2)*Table1[[#This Row],[BW40_3705]],"")</f>
        <v/>
      </c>
      <c r="G6270" s="2" t="str">
        <f>IF(Table1[[#This Row],[Is Data Valid]]=TRUE,((Table1[[#This Row],[Birthweight (grams)]]/Table1[[#This Row],[BW_GA]])-1)/(Backend!$B$4/100*Table1[[#This Row],[BW40_3705]]),"")</f>
        <v/>
      </c>
      <c r="H6270" s="7" t="str">
        <f>IF(Table1[[#This Row],[Is Data Valid]]=TRUE,((Table1[[#This Row],[Birthweight (grams)]]*0.9/Table1[[#This Row],[BW_GA]])-1)/(Backend!$B$4/100*Table1[[#This Row],[BW40_3705]]),"")</f>
        <v/>
      </c>
      <c r="I6270" s="7" t="str">
        <f>IF(Table1[[#This Row],[Is Data Valid]]=TRUE,((Table1[[#This Row],[Birthweight (grams)]]*1.1/Table1[[#This Row],[BW_GA]])-1)/(Backend!$B$4/100*Table1[[#This Row],[BW40_3705]]),"")</f>
        <v/>
      </c>
      <c r="J6270" s="7" t="str">
        <f>IF(Table1[[#This Row],[Is Data Valid]]=TRUE,_xlfn.NORM.S.DIST(Table1[[#This Row],[Birthweight Z-Score]],TRUE)*100,"")</f>
        <v/>
      </c>
      <c r="K6270" s="7" t="str">
        <f>IF(Table1[[#This Row],[Is Data Valid]]=TRUE,_xlfn.NORM.S.DIST(Table1[[#This Row],[Birthweight Z-Score (BW-10%)]],TRUE)*100,"")</f>
        <v/>
      </c>
      <c r="L6270" s="7" t="str">
        <f>IF(Table1[[#This Row],[Is Data Valid]]=TRUE,_xlfn.NORM.S.DIST(Table1[[#This Row],[Birthweight Z-Score (BW+10%)]],TRUE)*100,"")</f>
        <v/>
      </c>
    </row>
    <row r="6271" spans="1:12" x14ac:dyDescent="0.35">
      <c r="A6271" s="3"/>
      <c r="B6271" s="2"/>
      <c r="C6271" s="2"/>
      <c r="D6271" s="2" t="b">
        <f>IF(AND(NOT(ISBLANK(Table1[[#This Row],[Fetal Sex (Male, Female or Unknown)]])),ISNUMBER(Table1[[#This Row],[Birthweight (grams)]]),ISNUMBER(Table1[[#This Row],[Gestation (days)]])),TRUE,FALSE)</f>
        <v>0</v>
      </c>
      <c r="E6271" s="2" t="str">
        <f>IF(Table1[[#This Row],[Is Data Valid]]=TRUE,IF(Table1[[#This Row],[Fetal Sex (Male, Female or Unknown)]]="Male",Backend!$C$6,IF(Table1[[#This Row],[Fetal Sex (Male, Female or Unknown)]]="Female",Backend!$C$7,IF(Table1[[#This Row],[Fetal Sex (Male, Female or Unknown)]]="Unknown",Backend!$C$8,"Error"))),"")</f>
        <v/>
      </c>
      <c r="F6271" s="8" t="str">
        <f>IF(Table1[[#This Row],[Is Data Valid]]=TRUE,EXP(0.578+0.332*((Table1[[#This Row],[Gestation (days)]]+0.5)/7)-0.00354*((Table1[[#This Row],[Gestation (days)]]+0.5)/7)^2)*Table1[[#This Row],[BW40_3705]],"")</f>
        <v/>
      </c>
      <c r="G6271" s="2" t="str">
        <f>IF(Table1[[#This Row],[Is Data Valid]]=TRUE,((Table1[[#This Row],[Birthweight (grams)]]/Table1[[#This Row],[BW_GA]])-1)/(Backend!$B$4/100*Table1[[#This Row],[BW40_3705]]),"")</f>
        <v/>
      </c>
      <c r="H6271" s="7" t="str">
        <f>IF(Table1[[#This Row],[Is Data Valid]]=TRUE,((Table1[[#This Row],[Birthweight (grams)]]*0.9/Table1[[#This Row],[BW_GA]])-1)/(Backend!$B$4/100*Table1[[#This Row],[BW40_3705]]),"")</f>
        <v/>
      </c>
      <c r="I6271" s="7" t="str">
        <f>IF(Table1[[#This Row],[Is Data Valid]]=TRUE,((Table1[[#This Row],[Birthweight (grams)]]*1.1/Table1[[#This Row],[BW_GA]])-1)/(Backend!$B$4/100*Table1[[#This Row],[BW40_3705]]),"")</f>
        <v/>
      </c>
      <c r="J6271" s="7" t="str">
        <f>IF(Table1[[#This Row],[Is Data Valid]]=TRUE,_xlfn.NORM.S.DIST(Table1[[#This Row],[Birthweight Z-Score]],TRUE)*100,"")</f>
        <v/>
      </c>
      <c r="K6271" s="7" t="str">
        <f>IF(Table1[[#This Row],[Is Data Valid]]=TRUE,_xlfn.NORM.S.DIST(Table1[[#This Row],[Birthweight Z-Score (BW-10%)]],TRUE)*100,"")</f>
        <v/>
      </c>
      <c r="L6271" s="7" t="str">
        <f>IF(Table1[[#This Row],[Is Data Valid]]=TRUE,_xlfn.NORM.S.DIST(Table1[[#This Row],[Birthweight Z-Score (BW+10%)]],TRUE)*100,"")</f>
        <v/>
      </c>
    </row>
    <row r="6272" spans="1:12" x14ac:dyDescent="0.35">
      <c r="A6272" s="3"/>
      <c r="B6272" s="2"/>
      <c r="C6272" s="2"/>
      <c r="D6272" s="2" t="b">
        <f>IF(AND(NOT(ISBLANK(Table1[[#This Row],[Fetal Sex (Male, Female or Unknown)]])),ISNUMBER(Table1[[#This Row],[Birthweight (grams)]]),ISNUMBER(Table1[[#This Row],[Gestation (days)]])),TRUE,FALSE)</f>
        <v>0</v>
      </c>
      <c r="E6272" s="2" t="str">
        <f>IF(Table1[[#This Row],[Is Data Valid]]=TRUE,IF(Table1[[#This Row],[Fetal Sex (Male, Female or Unknown)]]="Male",Backend!$C$6,IF(Table1[[#This Row],[Fetal Sex (Male, Female or Unknown)]]="Female",Backend!$C$7,IF(Table1[[#This Row],[Fetal Sex (Male, Female or Unknown)]]="Unknown",Backend!$C$8,"Error"))),"")</f>
        <v/>
      </c>
      <c r="F6272" s="8" t="str">
        <f>IF(Table1[[#This Row],[Is Data Valid]]=TRUE,EXP(0.578+0.332*((Table1[[#This Row],[Gestation (days)]]+0.5)/7)-0.00354*((Table1[[#This Row],[Gestation (days)]]+0.5)/7)^2)*Table1[[#This Row],[BW40_3705]],"")</f>
        <v/>
      </c>
      <c r="G6272" s="2" t="str">
        <f>IF(Table1[[#This Row],[Is Data Valid]]=TRUE,((Table1[[#This Row],[Birthweight (grams)]]/Table1[[#This Row],[BW_GA]])-1)/(Backend!$B$4/100*Table1[[#This Row],[BW40_3705]]),"")</f>
        <v/>
      </c>
      <c r="H6272" s="7" t="str">
        <f>IF(Table1[[#This Row],[Is Data Valid]]=TRUE,((Table1[[#This Row],[Birthweight (grams)]]*0.9/Table1[[#This Row],[BW_GA]])-1)/(Backend!$B$4/100*Table1[[#This Row],[BW40_3705]]),"")</f>
        <v/>
      </c>
      <c r="I6272" s="7" t="str">
        <f>IF(Table1[[#This Row],[Is Data Valid]]=TRUE,((Table1[[#This Row],[Birthweight (grams)]]*1.1/Table1[[#This Row],[BW_GA]])-1)/(Backend!$B$4/100*Table1[[#This Row],[BW40_3705]]),"")</f>
        <v/>
      </c>
      <c r="J6272" s="7" t="str">
        <f>IF(Table1[[#This Row],[Is Data Valid]]=TRUE,_xlfn.NORM.S.DIST(Table1[[#This Row],[Birthweight Z-Score]],TRUE)*100,"")</f>
        <v/>
      </c>
      <c r="K6272" s="7" t="str">
        <f>IF(Table1[[#This Row],[Is Data Valid]]=TRUE,_xlfn.NORM.S.DIST(Table1[[#This Row],[Birthweight Z-Score (BW-10%)]],TRUE)*100,"")</f>
        <v/>
      </c>
      <c r="L6272" s="7" t="str">
        <f>IF(Table1[[#This Row],[Is Data Valid]]=TRUE,_xlfn.NORM.S.DIST(Table1[[#This Row],[Birthweight Z-Score (BW+10%)]],TRUE)*100,"")</f>
        <v/>
      </c>
    </row>
    <row r="6273" spans="1:12" x14ac:dyDescent="0.35">
      <c r="A6273" s="3"/>
      <c r="B6273" s="2"/>
      <c r="C6273" s="2"/>
      <c r="D6273" s="2" t="b">
        <f>IF(AND(NOT(ISBLANK(Table1[[#This Row],[Fetal Sex (Male, Female or Unknown)]])),ISNUMBER(Table1[[#This Row],[Birthweight (grams)]]),ISNUMBER(Table1[[#This Row],[Gestation (days)]])),TRUE,FALSE)</f>
        <v>0</v>
      </c>
      <c r="E6273" s="2" t="str">
        <f>IF(Table1[[#This Row],[Is Data Valid]]=TRUE,IF(Table1[[#This Row],[Fetal Sex (Male, Female or Unknown)]]="Male",Backend!$C$6,IF(Table1[[#This Row],[Fetal Sex (Male, Female or Unknown)]]="Female",Backend!$C$7,IF(Table1[[#This Row],[Fetal Sex (Male, Female or Unknown)]]="Unknown",Backend!$C$8,"Error"))),"")</f>
        <v/>
      </c>
      <c r="F6273" s="8" t="str">
        <f>IF(Table1[[#This Row],[Is Data Valid]]=TRUE,EXP(0.578+0.332*((Table1[[#This Row],[Gestation (days)]]+0.5)/7)-0.00354*((Table1[[#This Row],[Gestation (days)]]+0.5)/7)^2)*Table1[[#This Row],[BW40_3705]],"")</f>
        <v/>
      </c>
      <c r="G6273" s="2" t="str">
        <f>IF(Table1[[#This Row],[Is Data Valid]]=TRUE,((Table1[[#This Row],[Birthweight (grams)]]/Table1[[#This Row],[BW_GA]])-1)/(Backend!$B$4/100*Table1[[#This Row],[BW40_3705]]),"")</f>
        <v/>
      </c>
      <c r="H6273" s="7" t="str">
        <f>IF(Table1[[#This Row],[Is Data Valid]]=TRUE,((Table1[[#This Row],[Birthweight (grams)]]*0.9/Table1[[#This Row],[BW_GA]])-1)/(Backend!$B$4/100*Table1[[#This Row],[BW40_3705]]),"")</f>
        <v/>
      </c>
      <c r="I6273" s="7" t="str">
        <f>IF(Table1[[#This Row],[Is Data Valid]]=TRUE,((Table1[[#This Row],[Birthweight (grams)]]*1.1/Table1[[#This Row],[BW_GA]])-1)/(Backend!$B$4/100*Table1[[#This Row],[BW40_3705]]),"")</f>
        <v/>
      </c>
      <c r="J6273" s="7" t="str">
        <f>IF(Table1[[#This Row],[Is Data Valid]]=TRUE,_xlfn.NORM.S.DIST(Table1[[#This Row],[Birthweight Z-Score]],TRUE)*100,"")</f>
        <v/>
      </c>
      <c r="K6273" s="7" t="str">
        <f>IF(Table1[[#This Row],[Is Data Valid]]=TRUE,_xlfn.NORM.S.DIST(Table1[[#This Row],[Birthweight Z-Score (BW-10%)]],TRUE)*100,"")</f>
        <v/>
      </c>
      <c r="L6273" s="7" t="str">
        <f>IF(Table1[[#This Row],[Is Data Valid]]=TRUE,_xlfn.NORM.S.DIST(Table1[[#This Row],[Birthweight Z-Score (BW+10%)]],TRUE)*100,"")</f>
        <v/>
      </c>
    </row>
    <row r="6274" spans="1:12" x14ac:dyDescent="0.35">
      <c r="A6274" s="3"/>
      <c r="B6274" s="2"/>
      <c r="C6274" s="2"/>
      <c r="D6274" s="2" t="b">
        <f>IF(AND(NOT(ISBLANK(Table1[[#This Row],[Fetal Sex (Male, Female or Unknown)]])),ISNUMBER(Table1[[#This Row],[Birthweight (grams)]]),ISNUMBER(Table1[[#This Row],[Gestation (days)]])),TRUE,FALSE)</f>
        <v>0</v>
      </c>
      <c r="E6274" s="2" t="str">
        <f>IF(Table1[[#This Row],[Is Data Valid]]=TRUE,IF(Table1[[#This Row],[Fetal Sex (Male, Female or Unknown)]]="Male",Backend!$C$6,IF(Table1[[#This Row],[Fetal Sex (Male, Female or Unknown)]]="Female",Backend!$C$7,IF(Table1[[#This Row],[Fetal Sex (Male, Female or Unknown)]]="Unknown",Backend!$C$8,"Error"))),"")</f>
        <v/>
      </c>
      <c r="F6274" s="8" t="str">
        <f>IF(Table1[[#This Row],[Is Data Valid]]=TRUE,EXP(0.578+0.332*((Table1[[#This Row],[Gestation (days)]]+0.5)/7)-0.00354*((Table1[[#This Row],[Gestation (days)]]+0.5)/7)^2)*Table1[[#This Row],[BW40_3705]],"")</f>
        <v/>
      </c>
      <c r="G6274" s="2" t="str">
        <f>IF(Table1[[#This Row],[Is Data Valid]]=TRUE,((Table1[[#This Row],[Birthweight (grams)]]/Table1[[#This Row],[BW_GA]])-1)/(Backend!$B$4/100*Table1[[#This Row],[BW40_3705]]),"")</f>
        <v/>
      </c>
      <c r="H6274" s="7" t="str">
        <f>IF(Table1[[#This Row],[Is Data Valid]]=TRUE,((Table1[[#This Row],[Birthweight (grams)]]*0.9/Table1[[#This Row],[BW_GA]])-1)/(Backend!$B$4/100*Table1[[#This Row],[BW40_3705]]),"")</f>
        <v/>
      </c>
      <c r="I6274" s="7" t="str">
        <f>IF(Table1[[#This Row],[Is Data Valid]]=TRUE,((Table1[[#This Row],[Birthweight (grams)]]*1.1/Table1[[#This Row],[BW_GA]])-1)/(Backend!$B$4/100*Table1[[#This Row],[BW40_3705]]),"")</f>
        <v/>
      </c>
      <c r="J6274" s="7" t="str">
        <f>IF(Table1[[#This Row],[Is Data Valid]]=TRUE,_xlfn.NORM.S.DIST(Table1[[#This Row],[Birthweight Z-Score]],TRUE)*100,"")</f>
        <v/>
      </c>
      <c r="K6274" s="7" t="str">
        <f>IF(Table1[[#This Row],[Is Data Valid]]=TRUE,_xlfn.NORM.S.DIST(Table1[[#This Row],[Birthweight Z-Score (BW-10%)]],TRUE)*100,"")</f>
        <v/>
      </c>
      <c r="L6274" s="7" t="str">
        <f>IF(Table1[[#This Row],[Is Data Valid]]=TRUE,_xlfn.NORM.S.DIST(Table1[[#This Row],[Birthweight Z-Score (BW+10%)]],TRUE)*100,"")</f>
        <v/>
      </c>
    </row>
    <row r="6275" spans="1:12" x14ac:dyDescent="0.35">
      <c r="A6275" s="3"/>
      <c r="B6275" s="2"/>
      <c r="C6275" s="2"/>
      <c r="D6275" s="2" t="b">
        <f>IF(AND(NOT(ISBLANK(Table1[[#This Row],[Fetal Sex (Male, Female or Unknown)]])),ISNUMBER(Table1[[#This Row],[Birthweight (grams)]]),ISNUMBER(Table1[[#This Row],[Gestation (days)]])),TRUE,FALSE)</f>
        <v>0</v>
      </c>
      <c r="E6275" s="2" t="str">
        <f>IF(Table1[[#This Row],[Is Data Valid]]=TRUE,IF(Table1[[#This Row],[Fetal Sex (Male, Female or Unknown)]]="Male",Backend!$C$6,IF(Table1[[#This Row],[Fetal Sex (Male, Female or Unknown)]]="Female",Backend!$C$7,IF(Table1[[#This Row],[Fetal Sex (Male, Female or Unknown)]]="Unknown",Backend!$C$8,"Error"))),"")</f>
        <v/>
      </c>
      <c r="F6275" s="8" t="str">
        <f>IF(Table1[[#This Row],[Is Data Valid]]=TRUE,EXP(0.578+0.332*((Table1[[#This Row],[Gestation (days)]]+0.5)/7)-0.00354*((Table1[[#This Row],[Gestation (days)]]+0.5)/7)^2)*Table1[[#This Row],[BW40_3705]],"")</f>
        <v/>
      </c>
      <c r="G6275" s="2" t="str">
        <f>IF(Table1[[#This Row],[Is Data Valid]]=TRUE,((Table1[[#This Row],[Birthweight (grams)]]/Table1[[#This Row],[BW_GA]])-1)/(Backend!$B$4/100*Table1[[#This Row],[BW40_3705]]),"")</f>
        <v/>
      </c>
      <c r="H6275" s="7" t="str">
        <f>IF(Table1[[#This Row],[Is Data Valid]]=TRUE,((Table1[[#This Row],[Birthweight (grams)]]*0.9/Table1[[#This Row],[BW_GA]])-1)/(Backend!$B$4/100*Table1[[#This Row],[BW40_3705]]),"")</f>
        <v/>
      </c>
      <c r="I6275" s="7" t="str">
        <f>IF(Table1[[#This Row],[Is Data Valid]]=TRUE,((Table1[[#This Row],[Birthweight (grams)]]*1.1/Table1[[#This Row],[BW_GA]])-1)/(Backend!$B$4/100*Table1[[#This Row],[BW40_3705]]),"")</f>
        <v/>
      </c>
      <c r="J6275" s="7" t="str">
        <f>IF(Table1[[#This Row],[Is Data Valid]]=TRUE,_xlfn.NORM.S.DIST(Table1[[#This Row],[Birthweight Z-Score]],TRUE)*100,"")</f>
        <v/>
      </c>
      <c r="K6275" s="7" t="str">
        <f>IF(Table1[[#This Row],[Is Data Valid]]=TRUE,_xlfn.NORM.S.DIST(Table1[[#This Row],[Birthweight Z-Score (BW-10%)]],TRUE)*100,"")</f>
        <v/>
      </c>
      <c r="L6275" s="7" t="str">
        <f>IF(Table1[[#This Row],[Is Data Valid]]=TRUE,_xlfn.NORM.S.DIST(Table1[[#This Row],[Birthweight Z-Score (BW+10%)]],TRUE)*100,"")</f>
        <v/>
      </c>
    </row>
    <row r="6276" spans="1:12" x14ac:dyDescent="0.35">
      <c r="A6276" s="3"/>
      <c r="B6276" s="2"/>
      <c r="C6276" s="2"/>
      <c r="D6276" s="2" t="b">
        <f>IF(AND(NOT(ISBLANK(Table1[[#This Row],[Fetal Sex (Male, Female or Unknown)]])),ISNUMBER(Table1[[#This Row],[Birthweight (grams)]]),ISNUMBER(Table1[[#This Row],[Gestation (days)]])),TRUE,FALSE)</f>
        <v>0</v>
      </c>
      <c r="E6276" s="2" t="str">
        <f>IF(Table1[[#This Row],[Is Data Valid]]=TRUE,IF(Table1[[#This Row],[Fetal Sex (Male, Female or Unknown)]]="Male",Backend!$C$6,IF(Table1[[#This Row],[Fetal Sex (Male, Female or Unknown)]]="Female",Backend!$C$7,IF(Table1[[#This Row],[Fetal Sex (Male, Female or Unknown)]]="Unknown",Backend!$C$8,"Error"))),"")</f>
        <v/>
      </c>
      <c r="F6276" s="8" t="str">
        <f>IF(Table1[[#This Row],[Is Data Valid]]=TRUE,EXP(0.578+0.332*((Table1[[#This Row],[Gestation (days)]]+0.5)/7)-0.00354*((Table1[[#This Row],[Gestation (days)]]+0.5)/7)^2)*Table1[[#This Row],[BW40_3705]],"")</f>
        <v/>
      </c>
      <c r="G6276" s="2" t="str">
        <f>IF(Table1[[#This Row],[Is Data Valid]]=TRUE,((Table1[[#This Row],[Birthweight (grams)]]/Table1[[#This Row],[BW_GA]])-1)/(Backend!$B$4/100*Table1[[#This Row],[BW40_3705]]),"")</f>
        <v/>
      </c>
      <c r="H6276" s="7" t="str">
        <f>IF(Table1[[#This Row],[Is Data Valid]]=TRUE,((Table1[[#This Row],[Birthweight (grams)]]*0.9/Table1[[#This Row],[BW_GA]])-1)/(Backend!$B$4/100*Table1[[#This Row],[BW40_3705]]),"")</f>
        <v/>
      </c>
      <c r="I6276" s="7" t="str">
        <f>IF(Table1[[#This Row],[Is Data Valid]]=TRUE,((Table1[[#This Row],[Birthweight (grams)]]*1.1/Table1[[#This Row],[BW_GA]])-1)/(Backend!$B$4/100*Table1[[#This Row],[BW40_3705]]),"")</f>
        <v/>
      </c>
      <c r="J6276" s="7" t="str">
        <f>IF(Table1[[#This Row],[Is Data Valid]]=TRUE,_xlfn.NORM.S.DIST(Table1[[#This Row],[Birthweight Z-Score]],TRUE)*100,"")</f>
        <v/>
      </c>
      <c r="K6276" s="7" t="str">
        <f>IF(Table1[[#This Row],[Is Data Valid]]=TRUE,_xlfn.NORM.S.DIST(Table1[[#This Row],[Birthweight Z-Score (BW-10%)]],TRUE)*100,"")</f>
        <v/>
      </c>
      <c r="L6276" s="7" t="str">
        <f>IF(Table1[[#This Row],[Is Data Valid]]=TRUE,_xlfn.NORM.S.DIST(Table1[[#This Row],[Birthweight Z-Score (BW+10%)]],TRUE)*100,"")</f>
        <v/>
      </c>
    </row>
    <row r="6277" spans="1:12" x14ac:dyDescent="0.35">
      <c r="A6277" s="3"/>
      <c r="B6277" s="2"/>
      <c r="C6277" s="2"/>
      <c r="D6277" s="2" t="b">
        <f>IF(AND(NOT(ISBLANK(Table1[[#This Row],[Fetal Sex (Male, Female or Unknown)]])),ISNUMBER(Table1[[#This Row],[Birthweight (grams)]]),ISNUMBER(Table1[[#This Row],[Gestation (days)]])),TRUE,FALSE)</f>
        <v>0</v>
      </c>
      <c r="E6277" s="2" t="str">
        <f>IF(Table1[[#This Row],[Is Data Valid]]=TRUE,IF(Table1[[#This Row],[Fetal Sex (Male, Female or Unknown)]]="Male",Backend!$C$6,IF(Table1[[#This Row],[Fetal Sex (Male, Female or Unknown)]]="Female",Backend!$C$7,IF(Table1[[#This Row],[Fetal Sex (Male, Female or Unknown)]]="Unknown",Backend!$C$8,"Error"))),"")</f>
        <v/>
      </c>
      <c r="F6277" s="8" t="str">
        <f>IF(Table1[[#This Row],[Is Data Valid]]=TRUE,EXP(0.578+0.332*((Table1[[#This Row],[Gestation (days)]]+0.5)/7)-0.00354*((Table1[[#This Row],[Gestation (days)]]+0.5)/7)^2)*Table1[[#This Row],[BW40_3705]],"")</f>
        <v/>
      </c>
      <c r="G6277" s="2" t="str">
        <f>IF(Table1[[#This Row],[Is Data Valid]]=TRUE,((Table1[[#This Row],[Birthweight (grams)]]/Table1[[#This Row],[BW_GA]])-1)/(Backend!$B$4/100*Table1[[#This Row],[BW40_3705]]),"")</f>
        <v/>
      </c>
      <c r="H6277" s="7" t="str">
        <f>IF(Table1[[#This Row],[Is Data Valid]]=TRUE,((Table1[[#This Row],[Birthweight (grams)]]*0.9/Table1[[#This Row],[BW_GA]])-1)/(Backend!$B$4/100*Table1[[#This Row],[BW40_3705]]),"")</f>
        <v/>
      </c>
      <c r="I6277" s="7" t="str">
        <f>IF(Table1[[#This Row],[Is Data Valid]]=TRUE,((Table1[[#This Row],[Birthweight (grams)]]*1.1/Table1[[#This Row],[BW_GA]])-1)/(Backend!$B$4/100*Table1[[#This Row],[BW40_3705]]),"")</f>
        <v/>
      </c>
      <c r="J6277" s="7" t="str">
        <f>IF(Table1[[#This Row],[Is Data Valid]]=TRUE,_xlfn.NORM.S.DIST(Table1[[#This Row],[Birthweight Z-Score]],TRUE)*100,"")</f>
        <v/>
      </c>
      <c r="K6277" s="7" t="str">
        <f>IF(Table1[[#This Row],[Is Data Valid]]=TRUE,_xlfn.NORM.S.DIST(Table1[[#This Row],[Birthweight Z-Score (BW-10%)]],TRUE)*100,"")</f>
        <v/>
      </c>
      <c r="L6277" s="7" t="str">
        <f>IF(Table1[[#This Row],[Is Data Valid]]=TRUE,_xlfn.NORM.S.DIST(Table1[[#This Row],[Birthweight Z-Score (BW+10%)]],TRUE)*100,"")</f>
        <v/>
      </c>
    </row>
    <row r="6278" spans="1:12" x14ac:dyDescent="0.35">
      <c r="A6278" s="3"/>
      <c r="B6278" s="2"/>
      <c r="C6278" s="2"/>
      <c r="D6278" s="2" t="b">
        <f>IF(AND(NOT(ISBLANK(Table1[[#This Row],[Fetal Sex (Male, Female or Unknown)]])),ISNUMBER(Table1[[#This Row],[Birthweight (grams)]]),ISNUMBER(Table1[[#This Row],[Gestation (days)]])),TRUE,FALSE)</f>
        <v>0</v>
      </c>
      <c r="E6278" s="2" t="str">
        <f>IF(Table1[[#This Row],[Is Data Valid]]=TRUE,IF(Table1[[#This Row],[Fetal Sex (Male, Female or Unknown)]]="Male",Backend!$C$6,IF(Table1[[#This Row],[Fetal Sex (Male, Female or Unknown)]]="Female",Backend!$C$7,IF(Table1[[#This Row],[Fetal Sex (Male, Female or Unknown)]]="Unknown",Backend!$C$8,"Error"))),"")</f>
        <v/>
      </c>
      <c r="F6278" s="8" t="str">
        <f>IF(Table1[[#This Row],[Is Data Valid]]=TRUE,EXP(0.578+0.332*((Table1[[#This Row],[Gestation (days)]]+0.5)/7)-0.00354*((Table1[[#This Row],[Gestation (days)]]+0.5)/7)^2)*Table1[[#This Row],[BW40_3705]],"")</f>
        <v/>
      </c>
      <c r="G6278" s="2" t="str">
        <f>IF(Table1[[#This Row],[Is Data Valid]]=TRUE,((Table1[[#This Row],[Birthweight (grams)]]/Table1[[#This Row],[BW_GA]])-1)/(Backend!$B$4/100*Table1[[#This Row],[BW40_3705]]),"")</f>
        <v/>
      </c>
      <c r="H6278" s="7" t="str">
        <f>IF(Table1[[#This Row],[Is Data Valid]]=TRUE,((Table1[[#This Row],[Birthweight (grams)]]*0.9/Table1[[#This Row],[BW_GA]])-1)/(Backend!$B$4/100*Table1[[#This Row],[BW40_3705]]),"")</f>
        <v/>
      </c>
      <c r="I6278" s="7" t="str">
        <f>IF(Table1[[#This Row],[Is Data Valid]]=TRUE,((Table1[[#This Row],[Birthweight (grams)]]*1.1/Table1[[#This Row],[BW_GA]])-1)/(Backend!$B$4/100*Table1[[#This Row],[BW40_3705]]),"")</f>
        <v/>
      </c>
      <c r="J6278" s="7" t="str">
        <f>IF(Table1[[#This Row],[Is Data Valid]]=TRUE,_xlfn.NORM.S.DIST(Table1[[#This Row],[Birthweight Z-Score]],TRUE)*100,"")</f>
        <v/>
      </c>
      <c r="K6278" s="7" t="str">
        <f>IF(Table1[[#This Row],[Is Data Valid]]=TRUE,_xlfn.NORM.S.DIST(Table1[[#This Row],[Birthweight Z-Score (BW-10%)]],TRUE)*100,"")</f>
        <v/>
      </c>
      <c r="L6278" s="7" t="str">
        <f>IF(Table1[[#This Row],[Is Data Valid]]=TRUE,_xlfn.NORM.S.DIST(Table1[[#This Row],[Birthweight Z-Score (BW+10%)]],TRUE)*100,"")</f>
        <v/>
      </c>
    </row>
    <row r="6279" spans="1:12" x14ac:dyDescent="0.35">
      <c r="A6279" s="3"/>
      <c r="B6279" s="2"/>
      <c r="C6279" s="2"/>
      <c r="D6279" s="2" t="b">
        <f>IF(AND(NOT(ISBLANK(Table1[[#This Row],[Fetal Sex (Male, Female or Unknown)]])),ISNUMBER(Table1[[#This Row],[Birthweight (grams)]]),ISNUMBER(Table1[[#This Row],[Gestation (days)]])),TRUE,FALSE)</f>
        <v>0</v>
      </c>
      <c r="E6279" s="2" t="str">
        <f>IF(Table1[[#This Row],[Is Data Valid]]=TRUE,IF(Table1[[#This Row],[Fetal Sex (Male, Female or Unknown)]]="Male",Backend!$C$6,IF(Table1[[#This Row],[Fetal Sex (Male, Female or Unknown)]]="Female",Backend!$C$7,IF(Table1[[#This Row],[Fetal Sex (Male, Female or Unknown)]]="Unknown",Backend!$C$8,"Error"))),"")</f>
        <v/>
      </c>
      <c r="F6279" s="8" t="str">
        <f>IF(Table1[[#This Row],[Is Data Valid]]=TRUE,EXP(0.578+0.332*((Table1[[#This Row],[Gestation (days)]]+0.5)/7)-0.00354*((Table1[[#This Row],[Gestation (days)]]+0.5)/7)^2)*Table1[[#This Row],[BW40_3705]],"")</f>
        <v/>
      </c>
      <c r="G6279" s="2" t="str">
        <f>IF(Table1[[#This Row],[Is Data Valid]]=TRUE,((Table1[[#This Row],[Birthweight (grams)]]/Table1[[#This Row],[BW_GA]])-1)/(Backend!$B$4/100*Table1[[#This Row],[BW40_3705]]),"")</f>
        <v/>
      </c>
      <c r="H6279" s="7" t="str">
        <f>IF(Table1[[#This Row],[Is Data Valid]]=TRUE,((Table1[[#This Row],[Birthweight (grams)]]*0.9/Table1[[#This Row],[BW_GA]])-1)/(Backend!$B$4/100*Table1[[#This Row],[BW40_3705]]),"")</f>
        <v/>
      </c>
      <c r="I6279" s="7" t="str">
        <f>IF(Table1[[#This Row],[Is Data Valid]]=TRUE,((Table1[[#This Row],[Birthweight (grams)]]*1.1/Table1[[#This Row],[BW_GA]])-1)/(Backend!$B$4/100*Table1[[#This Row],[BW40_3705]]),"")</f>
        <v/>
      </c>
      <c r="J6279" s="7" t="str">
        <f>IF(Table1[[#This Row],[Is Data Valid]]=TRUE,_xlfn.NORM.S.DIST(Table1[[#This Row],[Birthweight Z-Score]],TRUE)*100,"")</f>
        <v/>
      </c>
      <c r="K6279" s="7" t="str">
        <f>IF(Table1[[#This Row],[Is Data Valid]]=TRUE,_xlfn.NORM.S.DIST(Table1[[#This Row],[Birthweight Z-Score (BW-10%)]],TRUE)*100,"")</f>
        <v/>
      </c>
      <c r="L6279" s="7" t="str">
        <f>IF(Table1[[#This Row],[Is Data Valid]]=TRUE,_xlfn.NORM.S.DIST(Table1[[#This Row],[Birthweight Z-Score (BW+10%)]],TRUE)*100,"")</f>
        <v/>
      </c>
    </row>
    <row r="6280" spans="1:12" x14ac:dyDescent="0.35">
      <c r="A6280" s="3"/>
      <c r="B6280" s="2"/>
      <c r="C6280" s="2"/>
      <c r="D6280" s="2" t="b">
        <f>IF(AND(NOT(ISBLANK(Table1[[#This Row],[Fetal Sex (Male, Female or Unknown)]])),ISNUMBER(Table1[[#This Row],[Birthweight (grams)]]),ISNUMBER(Table1[[#This Row],[Gestation (days)]])),TRUE,FALSE)</f>
        <v>0</v>
      </c>
      <c r="E6280" s="2" t="str">
        <f>IF(Table1[[#This Row],[Is Data Valid]]=TRUE,IF(Table1[[#This Row],[Fetal Sex (Male, Female or Unknown)]]="Male",Backend!$C$6,IF(Table1[[#This Row],[Fetal Sex (Male, Female or Unknown)]]="Female",Backend!$C$7,IF(Table1[[#This Row],[Fetal Sex (Male, Female or Unknown)]]="Unknown",Backend!$C$8,"Error"))),"")</f>
        <v/>
      </c>
      <c r="F6280" s="8" t="str">
        <f>IF(Table1[[#This Row],[Is Data Valid]]=TRUE,EXP(0.578+0.332*((Table1[[#This Row],[Gestation (days)]]+0.5)/7)-0.00354*((Table1[[#This Row],[Gestation (days)]]+0.5)/7)^2)*Table1[[#This Row],[BW40_3705]],"")</f>
        <v/>
      </c>
      <c r="G6280" s="2" t="str">
        <f>IF(Table1[[#This Row],[Is Data Valid]]=TRUE,((Table1[[#This Row],[Birthweight (grams)]]/Table1[[#This Row],[BW_GA]])-1)/(Backend!$B$4/100*Table1[[#This Row],[BW40_3705]]),"")</f>
        <v/>
      </c>
      <c r="H6280" s="7" t="str">
        <f>IF(Table1[[#This Row],[Is Data Valid]]=TRUE,((Table1[[#This Row],[Birthweight (grams)]]*0.9/Table1[[#This Row],[BW_GA]])-1)/(Backend!$B$4/100*Table1[[#This Row],[BW40_3705]]),"")</f>
        <v/>
      </c>
      <c r="I6280" s="7" t="str">
        <f>IF(Table1[[#This Row],[Is Data Valid]]=TRUE,((Table1[[#This Row],[Birthweight (grams)]]*1.1/Table1[[#This Row],[BW_GA]])-1)/(Backend!$B$4/100*Table1[[#This Row],[BW40_3705]]),"")</f>
        <v/>
      </c>
      <c r="J6280" s="7" t="str">
        <f>IF(Table1[[#This Row],[Is Data Valid]]=TRUE,_xlfn.NORM.S.DIST(Table1[[#This Row],[Birthweight Z-Score]],TRUE)*100,"")</f>
        <v/>
      </c>
      <c r="K6280" s="7" t="str">
        <f>IF(Table1[[#This Row],[Is Data Valid]]=TRUE,_xlfn.NORM.S.DIST(Table1[[#This Row],[Birthweight Z-Score (BW-10%)]],TRUE)*100,"")</f>
        <v/>
      </c>
      <c r="L6280" s="7" t="str">
        <f>IF(Table1[[#This Row],[Is Data Valid]]=TRUE,_xlfn.NORM.S.DIST(Table1[[#This Row],[Birthweight Z-Score (BW+10%)]],TRUE)*100,"")</f>
        <v/>
      </c>
    </row>
    <row r="6281" spans="1:12" x14ac:dyDescent="0.35">
      <c r="A6281" s="3"/>
      <c r="B6281" s="2"/>
      <c r="C6281" s="2"/>
      <c r="D6281" s="2" t="b">
        <f>IF(AND(NOT(ISBLANK(Table1[[#This Row],[Fetal Sex (Male, Female or Unknown)]])),ISNUMBER(Table1[[#This Row],[Birthweight (grams)]]),ISNUMBER(Table1[[#This Row],[Gestation (days)]])),TRUE,FALSE)</f>
        <v>0</v>
      </c>
      <c r="E6281" s="2" t="str">
        <f>IF(Table1[[#This Row],[Is Data Valid]]=TRUE,IF(Table1[[#This Row],[Fetal Sex (Male, Female or Unknown)]]="Male",Backend!$C$6,IF(Table1[[#This Row],[Fetal Sex (Male, Female or Unknown)]]="Female",Backend!$C$7,IF(Table1[[#This Row],[Fetal Sex (Male, Female or Unknown)]]="Unknown",Backend!$C$8,"Error"))),"")</f>
        <v/>
      </c>
      <c r="F6281" s="8" t="str">
        <f>IF(Table1[[#This Row],[Is Data Valid]]=TRUE,EXP(0.578+0.332*((Table1[[#This Row],[Gestation (days)]]+0.5)/7)-0.00354*((Table1[[#This Row],[Gestation (days)]]+0.5)/7)^2)*Table1[[#This Row],[BW40_3705]],"")</f>
        <v/>
      </c>
      <c r="G6281" s="2" t="str">
        <f>IF(Table1[[#This Row],[Is Data Valid]]=TRUE,((Table1[[#This Row],[Birthweight (grams)]]/Table1[[#This Row],[BW_GA]])-1)/(Backend!$B$4/100*Table1[[#This Row],[BW40_3705]]),"")</f>
        <v/>
      </c>
      <c r="H6281" s="7" t="str">
        <f>IF(Table1[[#This Row],[Is Data Valid]]=TRUE,((Table1[[#This Row],[Birthweight (grams)]]*0.9/Table1[[#This Row],[BW_GA]])-1)/(Backend!$B$4/100*Table1[[#This Row],[BW40_3705]]),"")</f>
        <v/>
      </c>
      <c r="I6281" s="7" t="str">
        <f>IF(Table1[[#This Row],[Is Data Valid]]=TRUE,((Table1[[#This Row],[Birthweight (grams)]]*1.1/Table1[[#This Row],[BW_GA]])-1)/(Backend!$B$4/100*Table1[[#This Row],[BW40_3705]]),"")</f>
        <v/>
      </c>
      <c r="J6281" s="7" t="str">
        <f>IF(Table1[[#This Row],[Is Data Valid]]=TRUE,_xlfn.NORM.S.DIST(Table1[[#This Row],[Birthweight Z-Score]],TRUE)*100,"")</f>
        <v/>
      </c>
      <c r="K6281" s="7" t="str">
        <f>IF(Table1[[#This Row],[Is Data Valid]]=TRUE,_xlfn.NORM.S.DIST(Table1[[#This Row],[Birthweight Z-Score (BW-10%)]],TRUE)*100,"")</f>
        <v/>
      </c>
      <c r="L6281" s="7" t="str">
        <f>IF(Table1[[#This Row],[Is Data Valid]]=TRUE,_xlfn.NORM.S.DIST(Table1[[#This Row],[Birthweight Z-Score (BW+10%)]],TRUE)*100,"")</f>
        <v/>
      </c>
    </row>
    <row r="6282" spans="1:12" x14ac:dyDescent="0.35">
      <c r="A6282" s="3"/>
      <c r="B6282" s="2"/>
      <c r="C6282" s="2"/>
      <c r="D6282" s="2" t="b">
        <f>IF(AND(NOT(ISBLANK(Table1[[#This Row],[Fetal Sex (Male, Female or Unknown)]])),ISNUMBER(Table1[[#This Row],[Birthweight (grams)]]),ISNUMBER(Table1[[#This Row],[Gestation (days)]])),TRUE,FALSE)</f>
        <v>0</v>
      </c>
      <c r="E6282" s="2" t="str">
        <f>IF(Table1[[#This Row],[Is Data Valid]]=TRUE,IF(Table1[[#This Row],[Fetal Sex (Male, Female or Unknown)]]="Male",Backend!$C$6,IF(Table1[[#This Row],[Fetal Sex (Male, Female or Unknown)]]="Female",Backend!$C$7,IF(Table1[[#This Row],[Fetal Sex (Male, Female or Unknown)]]="Unknown",Backend!$C$8,"Error"))),"")</f>
        <v/>
      </c>
      <c r="F6282" s="8" t="str">
        <f>IF(Table1[[#This Row],[Is Data Valid]]=TRUE,EXP(0.578+0.332*((Table1[[#This Row],[Gestation (days)]]+0.5)/7)-0.00354*((Table1[[#This Row],[Gestation (days)]]+0.5)/7)^2)*Table1[[#This Row],[BW40_3705]],"")</f>
        <v/>
      </c>
      <c r="G6282" s="2" t="str">
        <f>IF(Table1[[#This Row],[Is Data Valid]]=TRUE,((Table1[[#This Row],[Birthweight (grams)]]/Table1[[#This Row],[BW_GA]])-1)/(Backend!$B$4/100*Table1[[#This Row],[BW40_3705]]),"")</f>
        <v/>
      </c>
      <c r="H6282" s="7" t="str">
        <f>IF(Table1[[#This Row],[Is Data Valid]]=TRUE,((Table1[[#This Row],[Birthweight (grams)]]*0.9/Table1[[#This Row],[BW_GA]])-1)/(Backend!$B$4/100*Table1[[#This Row],[BW40_3705]]),"")</f>
        <v/>
      </c>
      <c r="I6282" s="7" t="str">
        <f>IF(Table1[[#This Row],[Is Data Valid]]=TRUE,((Table1[[#This Row],[Birthweight (grams)]]*1.1/Table1[[#This Row],[BW_GA]])-1)/(Backend!$B$4/100*Table1[[#This Row],[BW40_3705]]),"")</f>
        <v/>
      </c>
      <c r="J6282" s="7" t="str">
        <f>IF(Table1[[#This Row],[Is Data Valid]]=TRUE,_xlfn.NORM.S.DIST(Table1[[#This Row],[Birthweight Z-Score]],TRUE)*100,"")</f>
        <v/>
      </c>
      <c r="K6282" s="7" t="str">
        <f>IF(Table1[[#This Row],[Is Data Valid]]=TRUE,_xlfn.NORM.S.DIST(Table1[[#This Row],[Birthweight Z-Score (BW-10%)]],TRUE)*100,"")</f>
        <v/>
      </c>
      <c r="L6282" s="7" t="str">
        <f>IF(Table1[[#This Row],[Is Data Valid]]=TRUE,_xlfn.NORM.S.DIST(Table1[[#This Row],[Birthweight Z-Score (BW+10%)]],TRUE)*100,"")</f>
        <v/>
      </c>
    </row>
    <row r="6283" spans="1:12" x14ac:dyDescent="0.35">
      <c r="A6283" s="3"/>
      <c r="B6283" s="2"/>
      <c r="C6283" s="2"/>
      <c r="D6283" s="2" t="b">
        <f>IF(AND(NOT(ISBLANK(Table1[[#This Row],[Fetal Sex (Male, Female or Unknown)]])),ISNUMBER(Table1[[#This Row],[Birthweight (grams)]]),ISNUMBER(Table1[[#This Row],[Gestation (days)]])),TRUE,FALSE)</f>
        <v>0</v>
      </c>
      <c r="E6283" s="2" t="str">
        <f>IF(Table1[[#This Row],[Is Data Valid]]=TRUE,IF(Table1[[#This Row],[Fetal Sex (Male, Female or Unknown)]]="Male",Backend!$C$6,IF(Table1[[#This Row],[Fetal Sex (Male, Female or Unknown)]]="Female",Backend!$C$7,IF(Table1[[#This Row],[Fetal Sex (Male, Female or Unknown)]]="Unknown",Backend!$C$8,"Error"))),"")</f>
        <v/>
      </c>
      <c r="F6283" s="8" t="str">
        <f>IF(Table1[[#This Row],[Is Data Valid]]=TRUE,EXP(0.578+0.332*((Table1[[#This Row],[Gestation (days)]]+0.5)/7)-0.00354*((Table1[[#This Row],[Gestation (days)]]+0.5)/7)^2)*Table1[[#This Row],[BW40_3705]],"")</f>
        <v/>
      </c>
      <c r="G6283" s="2" t="str">
        <f>IF(Table1[[#This Row],[Is Data Valid]]=TRUE,((Table1[[#This Row],[Birthweight (grams)]]/Table1[[#This Row],[BW_GA]])-1)/(Backend!$B$4/100*Table1[[#This Row],[BW40_3705]]),"")</f>
        <v/>
      </c>
      <c r="H6283" s="7" t="str">
        <f>IF(Table1[[#This Row],[Is Data Valid]]=TRUE,((Table1[[#This Row],[Birthweight (grams)]]*0.9/Table1[[#This Row],[BW_GA]])-1)/(Backend!$B$4/100*Table1[[#This Row],[BW40_3705]]),"")</f>
        <v/>
      </c>
      <c r="I6283" s="7" t="str">
        <f>IF(Table1[[#This Row],[Is Data Valid]]=TRUE,((Table1[[#This Row],[Birthweight (grams)]]*1.1/Table1[[#This Row],[BW_GA]])-1)/(Backend!$B$4/100*Table1[[#This Row],[BW40_3705]]),"")</f>
        <v/>
      </c>
      <c r="J6283" s="7" t="str">
        <f>IF(Table1[[#This Row],[Is Data Valid]]=TRUE,_xlfn.NORM.S.DIST(Table1[[#This Row],[Birthweight Z-Score]],TRUE)*100,"")</f>
        <v/>
      </c>
      <c r="K6283" s="7" t="str">
        <f>IF(Table1[[#This Row],[Is Data Valid]]=TRUE,_xlfn.NORM.S.DIST(Table1[[#This Row],[Birthweight Z-Score (BW-10%)]],TRUE)*100,"")</f>
        <v/>
      </c>
      <c r="L6283" s="7" t="str">
        <f>IF(Table1[[#This Row],[Is Data Valid]]=TRUE,_xlfn.NORM.S.DIST(Table1[[#This Row],[Birthweight Z-Score (BW+10%)]],TRUE)*100,"")</f>
        <v/>
      </c>
    </row>
    <row r="6284" spans="1:12" x14ac:dyDescent="0.35">
      <c r="A6284" s="3"/>
      <c r="B6284" s="2"/>
      <c r="C6284" s="2"/>
      <c r="D6284" s="2" t="b">
        <f>IF(AND(NOT(ISBLANK(Table1[[#This Row],[Fetal Sex (Male, Female or Unknown)]])),ISNUMBER(Table1[[#This Row],[Birthweight (grams)]]),ISNUMBER(Table1[[#This Row],[Gestation (days)]])),TRUE,FALSE)</f>
        <v>0</v>
      </c>
      <c r="E6284" s="2" t="str">
        <f>IF(Table1[[#This Row],[Is Data Valid]]=TRUE,IF(Table1[[#This Row],[Fetal Sex (Male, Female or Unknown)]]="Male",Backend!$C$6,IF(Table1[[#This Row],[Fetal Sex (Male, Female or Unknown)]]="Female",Backend!$C$7,IF(Table1[[#This Row],[Fetal Sex (Male, Female or Unknown)]]="Unknown",Backend!$C$8,"Error"))),"")</f>
        <v/>
      </c>
      <c r="F6284" s="8" t="str">
        <f>IF(Table1[[#This Row],[Is Data Valid]]=TRUE,EXP(0.578+0.332*((Table1[[#This Row],[Gestation (days)]]+0.5)/7)-0.00354*((Table1[[#This Row],[Gestation (days)]]+0.5)/7)^2)*Table1[[#This Row],[BW40_3705]],"")</f>
        <v/>
      </c>
      <c r="G6284" s="2" t="str">
        <f>IF(Table1[[#This Row],[Is Data Valid]]=TRUE,((Table1[[#This Row],[Birthweight (grams)]]/Table1[[#This Row],[BW_GA]])-1)/(Backend!$B$4/100*Table1[[#This Row],[BW40_3705]]),"")</f>
        <v/>
      </c>
      <c r="H6284" s="7" t="str">
        <f>IF(Table1[[#This Row],[Is Data Valid]]=TRUE,((Table1[[#This Row],[Birthweight (grams)]]*0.9/Table1[[#This Row],[BW_GA]])-1)/(Backend!$B$4/100*Table1[[#This Row],[BW40_3705]]),"")</f>
        <v/>
      </c>
      <c r="I6284" s="7" t="str">
        <f>IF(Table1[[#This Row],[Is Data Valid]]=TRUE,((Table1[[#This Row],[Birthweight (grams)]]*1.1/Table1[[#This Row],[BW_GA]])-1)/(Backend!$B$4/100*Table1[[#This Row],[BW40_3705]]),"")</f>
        <v/>
      </c>
      <c r="J6284" s="7" t="str">
        <f>IF(Table1[[#This Row],[Is Data Valid]]=TRUE,_xlfn.NORM.S.DIST(Table1[[#This Row],[Birthweight Z-Score]],TRUE)*100,"")</f>
        <v/>
      </c>
      <c r="K6284" s="7" t="str">
        <f>IF(Table1[[#This Row],[Is Data Valid]]=TRUE,_xlfn.NORM.S.DIST(Table1[[#This Row],[Birthweight Z-Score (BW-10%)]],TRUE)*100,"")</f>
        <v/>
      </c>
      <c r="L6284" s="7" t="str">
        <f>IF(Table1[[#This Row],[Is Data Valid]]=TRUE,_xlfn.NORM.S.DIST(Table1[[#This Row],[Birthweight Z-Score (BW+10%)]],TRUE)*100,"")</f>
        <v/>
      </c>
    </row>
    <row r="6285" spans="1:12" x14ac:dyDescent="0.35">
      <c r="A6285" s="3"/>
      <c r="B6285" s="2"/>
      <c r="C6285" s="2"/>
      <c r="D6285" s="2" t="b">
        <f>IF(AND(NOT(ISBLANK(Table1[[#This Row],[Fetal Sex (Male, Female or Unknown)]])),ISNUMBER(Table1[[#This Row],[Birthweight (grams)]]),ISNUMBER(Table1[[#This Row],[Gestation (days)]])),TRUE,FALSE)</f>
        <v>0</v>
      </c>
      <c r="E6285" s="2" t="str">
        <f>IF(Table1[[#This Row],[Is Data Valid]]=TRUE,IF(Table1[[#This Row],[Fetal Sex (Male, Female or Unknown)]]="Male",Backend!$C$6,IF(Table1[[#This Row],[Fetal Sex (Male, Female or Unknown)]]="Female",Backend!$C$7,IF(Table1[[#This Row],[Fetal Sex (Male, Female or Unknown)]]="Unknown",Backend!$C$8,"Error"))),"")</f>
        <v/>
      </c>
      <c r="F6285" s="8" t="str">
        <f>IF(Table1[[#This Row],[Is Data Valid]]=TRUE,EXP(0.578+0.332*((Table1[[#This Row],[Gestation (days)]]+0.5)/7)-0.00354*((Table1[[#This Row],[Gestation (days)]]+0.5)/7)^2)*Table1[[#This Row],[BW40_3705]],"")</f>
        <v/>
      </c>
      <c r="G6285" s="2" t="str">
        <f>IF(Table1[[#This Row],[Is Data Valid]]=TRUE,((Table1[[#This Row],[Birthweight (grams)]]/Table1[[#This Row],[BW_GA]])-1)/(Backend!$B$4/100*Table1[[#This Row],[BW40_3705]]),"")</f>
        <v/>
      </c>
      <c r="H6285" s="7" t="str">
        <f>IF(Table1[[#This Row],[Is Data Valid]]=TRUE,((Table1[[#This Row],[Birthweight (grams)]]*0.9/Table1[[#This Row],[BW_GA]])-1)/(Backend!$B$4/100*Table1[[#This Row],[BW40_3705]]),"")</f>
        <v/>
      </c>
      <c r="I6285" s="7" t="str">
        <f>IF(Table1[[#This Row],[Is Data Valid]]=TRUE,((Table1[[#This Row],[Birthweight (grams)]]*1.1/Table1[[#This Row],[BW_GA]])-1)/(Backend!$B$4/100*Table1[[#This Row],[BW40_3705]]),"")</f>
        <v/>
      </c>
      <c r="J6285" s="7" t="str">
        <f>IF(Table1[[#This Row],[Is Data Valid]]=TRUE,_xlfn.NORM.S.DIST(Table1[[#This Row],[Birthweight Z-Score]],TRUE)*100,"")</f>
        <v/>
      </c>
      <c r="K6285" s="7" t="str">
        <f>IF(Table1[[#This Row],[Is Data Valid]]=TRUE,_xlfn.NORM.S.DIST(Table1[[#This Row],[Birthweight Z-Score (BW-10%)]],TRUE)*100,"")</f>
        <v/>
      </c>
      <c r="L6285" s="7" t="str">
        <f>IF(Table1[[#This Row],[Is Data Valid]]=TRUE,_xlfn.NORM.S.DIST(Table1[[#This Row],[Birthweight Z-Score (BW+10%)]],TRUE)*100,"")</f>
        <v/>
      </c>
    </row>
    <row r="6286" spans="1:12" x14ac:dyDescent="0.35">
      <c r="A6286" s="3"/>
      <c r="B6286" s="2"/>
      <c r="C6286" s="2"/>
      <c r="D6286" s="2" t="b">
        <f>IF(AND(NOT(ISBLANK(Table1[[#This Row],[Fetal Sex (Male, Female or Unknown)]])),ISNUMBER(Table1[[#This Row],[Birthweight (grams)]]),ISNUMBER(Table1[[#This Row],[Gestation (days)]])),TRUE,FALSE)</f>
        <v>0</v>
      </c>
      <c r="E6286" s="2" t="str">
        <f>IF(Table1[[#This Row],[Is Data Valid]]=TRUE,IF(Table1[[#This Row],[Fetal Sex (Male, Female or Unknown)]]="Male",Backend!$C$6,IF(Table1[[#This Row],[Fetal Sex (Male, Female or Unknown)]]="Female",Backend!$C$7,IF(Table1[[#This Row],[Fetal Sex (Male, Female or Unknown)]]="Unknown",Backend!$C$8,"Error"))),"")</f>
        <v/>
      </c>
      <c r="F6286" s="8" t="str">
        <f>IF(Table1[[#This Row],[Is Data Valid]]=TRUE,EXP(0.578+0.332*((Table1[[#This Row],[Gestation (days)]]+0.5)/7)-0.00354*((Table1[[#This Row],[Gestation (days)]]+0.5)/7)^2)*Table1[[#This Row],[BW40_3705]],"")</f>
        <v/>
      </c>
      <c r="G6286" s="2" t="str">
        <f>IF(Table1[[#This Row],[Is Data Valid]]=TRUE,((Table1[[#This Row],[Birthweight (grams)]]/Table1[[#This Row],[BW_GA]])-1)/(Backend!$B$4/100*Table1[[#This Row],[BW40_3705]]),"")</f>
        <v/>
      </c>
      <c r="H6286" s="7" t="str">
        <f>IF(Table1[[#This Row],[Is Data Valid]]=TRUE,((Table1[[#This Row],[Birthweight (grams)]]*0.9/Table1[[#This Row],[BW_GA]])-1)/(Backend!$B$4/100*Table1[[#This Row],[BW40_3705]]),"")</f>
        <v/>
      </c>
      <c r="I6286" s="7" t="str">
        <f>IF(Table1[[#This Row],[Is Data Valid]]=TRUE,((Table1[[#This Row],[Birthweight (grams)]]*1.1/Table1[[#This Row],[BW_GA]])-1)/(Backend!$B$4/100*Table1[[#This Row],[BW40_3705]]),"")</f>
        <v/>
      </c>
      <c r="J6286" s="7" t="str">
        <f>IF(Table1[[#This Row],[Is Data Valid]]=TRUE,_xlfn.NORM.S.DIST(Table1[[#This Row],[Birthweight Z-Score]],TRUE)*100,"")</f>
        <v/>
      </c>
      <c r="K6286" s="7" t="str">
        <f>IF(Table1[[#This Row],[Is Data Valid]]=TRUE,_xlfn.NORM.S.DIST(Table1[[#This Row],[Birthweight Z-Score (BW-10%)]],TRUE)*100,"")</f>
        <v/>
      </c>
      <c r="L6286" s="7" t="str">
        <f>IF(Table1[[#This Row],[Is Data Valid]]=TRUE,_xlfn.NORM.S.DIST(Table1[[#This Row],[Birthweight Z-Score (BW+10%)]],TRUE)*100,"")</f>
        <v/>
      </c>
    </row>
    <row r="6287" spans="1:12" x14ac:dyDescent="0.35">
      <c r="A6287" s="3"/>
      <c r="B6287" s="2"/>
      <c r="C6287" s="2"/>
      <c r="D6287" s="2" t="b">
        <f>IF(AND(NOT(ISBLANK(Table1[[#This Row],[Fetal Sex (Male, Female or Unknown)]])),ISNUMBER(Table1[[#This Row],[Birthweight (grams)]]),ISNUMBER(Table1[[#This Row],[Gestation (days)]])),TRUE,FALSE)</f>
        <v>0</v>
      </c>
      <c r="E6287" s="2" t="str">
        <f>IF(Table1[[#This Row],[Is Data Valid]]=TRUE,IF(Table1[[#This Row],[Fetal Sex (Male, Female or Unknown)]]="Male",Backend!$C$6,IF(Table1[[#This Row],[Fetal Sex (Male, Female or Unknown)]]="Female",Backend!$C$7,IF(Table1[[#This Row],[Fetal Sex (Male, Female or Unknown)]]="Unknown",Backend!$C$8,"Error"))),"")</f>
        <v/>
      </c>
      <c r="F6287" s="8" t="str">
        <f>IF(Table1[[#This Row],[Is Data Valid]]=TRUE,EXP(0.578+0.332*((Table1[[#This Row],[Gestation (days)]]+0.5)/7)-0.00354*((Table1[[#This Row],[Gestation (days)]]+0.5)/7)^2)*Table1[[#This Row],[BW40_3705]],"")</f>
        <v/>
      </c>
      <c r="G6287" s="2" t="str">
        <f>IF(Table1[[#This Row],[Is Data Valid]]=TRUE,((Table1[[#This Row],[Birthweight (grams)]]/Table1[[#This Row],[BW_GA]])-1)/(Backend!$B$4/100*Table1[[#This Row],[BW40_3705]]),"")</f>
        <v/>
      </c>
      <c r="H6287" s="7" t="str">
        <f>IF(Table1[[#This Row],[Is Data Valid]]=TRUE,((Table1[[#This Row],[Birthweight (grams)]]*0.9/Table1[[#This Row],[BW_GA]])-1)/(Backend!$B$4/100*Table1[[#This Row],[BW40_3705]]),"")</f>
        <v/>
      </c>
      <c r="I6287" s="7" t="str">
        <f>IF(Table1[[#This Row],[Is Data Valid]]=TRUE,((Table1[[#This Row],[Birthweight (grams)]]*1.1/Table1[[#This Row],[BW_GA]])-1)/(Backend!$B$4/100*Table1[[#This Row],[BW40_3705]]),"")</f>
        <v/>
      </c>
      <c r="J6287" s="7" t="str">
        <f>IF(Table1[[#This Row],[Is Data Valid]]=TRUE,_xlfn.NORM.S.DIST(Table1[[#This Row],[Birthweight Z-Score]],TRUE)*100,"")</f>
        <v/>
      </c>
      <c r="K6287" s="7" t="str">
        <f>IF(Table1[[#This Row],[Is Data Valid]]=TRUE,_xlfn.NORM.S.DIST(Table1[[#This Row],[Birthweight Z-Score (BW-10%)]],TRUE)*100,"")</f>
        <v/>
      </c>
      <c r="L6287" s="7" t="str">
        <f>IF(Table1[[#This Row],[Is Data Valid]]=TRUE,_xlfn.NORM.S.DIST(Table1[[#This Row],[Birthweight Z-Score (BW+10%)]],TRUE)*100,"")</f>
        <v/>
      </c>
    </row>
    <row r="6288" spans="1:12" x14ac:dyDescent="0.35">
      <c r="A6288" s="3"/>
      <c r="B6288" s="2"/>
      <c r="C6288" s="2"/>
      <c r="D6288" s="2" t="b">
        <f>IF(AND(NOT(ISBLANK(Table1[[#This Row],[Fetal Sex (Male, Female or Unknown)]])),ISNUMBER(Table1[[#This Row],[Birthweight (grams)]]),ISNUMBER(Table1[[#This Row],[Gestation (days)]])),TRUE,FALSE)</f>
        <v>0</v>
      </c>
      <c r="E6288" s="2" t="str">
        <f>IF(Table1[[#This Row],[Is Data Valid]]=TRUE,IF(Table1[[#This Row],[Fetal Sex (Male, Female or Unknown)]]="Male",Backend!$C$6,IF(Table1[[#This Row],[Fetal Sex (Male, Female or Unknown)]]="Female",Backend!$C$7,IF(Table1[[#This Row],[Fetal Sex (Male, Female or Unknown)]]="Unknown",Backend!$C$8,"Error"))),"")</f>
        <v/>
      </c>
      <c r="F6288" s="8" t="str">
        <f>IF(Table1[[#This Row],[Is Data Valid]]=TRUE,EXP(0.578+0.332*((Table1[[#This Row],[Gestation (days)]]+0.5)/7)-0.00354*((Table1[[#This Row],[Gestation (days)]]+0.5)/7)^2)*Table1[[#This Row],[BW40_3705]],"")</f>
        <v/>
      </c>
      <c r="G6288" s="2" t="str">
        <f>IF(Table1[[#This Row],[Is Data Valid]]=TRUE,((Table1[[#This Row],[Birthweight (grams)]]/Table1[[#This Row],[BW_GA]])-1)/(Backend!$B$4/100*Table1[[#This Row],[BW40_3705]]),"")</f>
        <v/>
      </c>
      <c r="H6288" s="7" t="str">
        <f>IF(Table1[[#This Row],[Is Data Valid]]=TRUE,((Table1[[#This Row],[Birthweight (grams)]]*0.9/Table1[[#This Row],[BW_GA]])-1)/(Backend!$B$4/100*Table1[[#This Row],[BW40_3705]]),"")</f>
        <v/>
      </c>
      <c r="I6288" s="7" t="str">
        <f>IF(Table1[[#This Row],[Is Data Valid]]=TRUE,((Table1[[#This Row],[Birthweight (grams)]]*1.1/Table1[[#This Row],[BW_GA]])-1)/(Backend!$B$4/100*Table1[[#This Row],[BW40_3705]]),"")</f>
        <v/>
      </c>
      <c r="J6288" s="7" t="str">
        <f>IF(Table1[[#This Row],[Is Data Valid]]=TRUE,_xlfn.NORM.S.DIST(Table1[[#This Row],[Birthweight Z-Score]],TRUE)*100,"")</f>
        <v/>
      </c>
      <c r="K6288" s="7" t="str">
        <f>IF(Table1[[#This Row],[Is Data Valid]]=TRUE,_xlfn.NORM.S.DIST(Table1[[#This Row],[Birthweight Z-Score (BW-10%)]],TRUE)*100,"")</f>
        <v/>
      </c>
      <c r="L6288" s="7" t="str">
        <f>IF(Table1[[#This Row],[Is Data Valid]]=TRUE,_xlfn.NORM.S.DIST(Table1[[#This Row],[Birthweight Z-Score (BW+10%)]],TRUE)*100,"")</f>
        <v/>
      </c>
    </row>
    <row r="6289" spans="1:12" x14ac:dyDescent="0.35">
      <c r="A6289" s="3"/>
      <c r="B6289" s="2"/>
      <c r="C6289" s="2"/>
      <c r="D6289" s="2" t="b">
        <f>IF(AND(NOT(ISBLANK(Table1[[#This Row],[Fetal Sex (Male, Female or Unknown)]])),ISNUMBER(Table1[[#This Row],[Birthweight (grams)]]),ISNUMBER(Table1[[#This Row],[Gestation (days)]])),TRUE,FALSE)</f>
        <v>0</v>
      </c>
      <c r="E6289" s="2" t="str">
        <f>IF(Table1[[#This Row],[Is Data Valid]]=TRUE,IF(Table1[[#This Row],[Fetal Sex (Male, Female or Unknown)]]="Male",Backend!$C$6,IF(Table1[[#This Row],[Fetal Sex (Male, Female or Unknown)]]="Female",Backend!$C$7,IF(Table1[[#This Row],[Fetal Sex (Male, Female or Unknown)]]="Unknown",Backend!$C$8,"Error"))),"")</f>
        <v/>
      </c>
      <c r="F6289" s="8" t="str">
        <f>IF(Table1[[#This Row],[Is Data Valid]]=TRUE,EXP(0.578+0.332*((Table1[[#This Row],[Gestation (days)]]+0.5)/7)-0.00354*((Table1[[#This Row],[Gestation (days)]]+0.5)/7)^2)*Table1[[#This Row],[BW40_3705]],"")</f>
        <v/>
      </c>
      <c r="G6289" s="2" t="str">
        <f>IF(Table1[[#This Row],[Is Data Valid]]=TRUE,((Table1[[#This Row],[Birthweight (grams)]]/Table1[[#This Row],[BW_GA]])-1)/(Backend!$B$4/100*Table1[[#This Row],[BW40_3705]]),"")</f>
        <v/>
      </c>
      <c r="H6289" s="7" t="str">
        <f>IF(Table1[[#This Row],[Is Data Valid]]=TRUE,((Table1[[#This Row],[Birthweight (grams)]]*0.9/Table1[[#This Row],[BW_GA]])-1)/(Backend!$B$4/100*Table1[[#This Row],[BW40_3705]]),"")</f>
        <v/>
      </c>
      <c r="I6289" s="7" t="str">
        <f>IF(Table1[[#This Row],[Is Data Valid]]=TRUE,((Table1[[#This Row],[Birthweight (grams)]]*1.1/Table1[[#This Row],[BW_GA]])-1)/(Backend!$B$4/100*Table1[[#This Row],[BW40_3705]]),"")</f>
        <v/>
      </c>
      <c r="J6289" s="7" t="str">
        <f>IF(Table1[[#This Row],[Is Data Valid]]=TRUE,_xlfn.NORM.S.DIST(Table1[[#This Row],[Birthweight Z-Score]],TRUE)*100,"")</f>
        <v/>
      </c>
      <c r="K6289" s="7" t="str">
        <f>IF(Table1[[#This Row],[Is Data Valid]]=TRUE,_xlfn.NORM.S.DIST(Table1[[#This Row],[Birthweight Z-Score (BW-10%)]],TRUE)*100,"")</f>
        <v/>
      </c>
      <c r="L6289" s="7" t="str">
        <f>IF(Table1[[#This Row],[Is Data Valid]]=TRUE,_xlfn.NORM.S.DIST(Table1[[#This Row],[Birthweight Z-Score (BW+10%)]],TRUE)*100,"")</f>
        <v/>
      </c>
    </row>
    <row r="6290" spans="1:12" x14ac:dyDescent="0.35">
      <c r="A6290" s="3"/>
      <c r="B6290" s="2"/>
      <c r="C6290" s="2"/>
      <c r="D6290" s="2" t="b">
        <f>IF(AND(NOT(ISBLANK(Table1[[#This Row],[Fetal Sex (Male, Female or Unknown)]])),ISNUMBER(Table1[[#This Row],[Birthweight (grams)]]),ISNUMBER(Table1[[#This Row],[Gestation (days)]])),TRUE,FALSE)</f>
        <v>0</v>
      </c>
      <c r="E6290" s="2" t="str">
        <f>IF(Table1[[#This Row],[Is Data Valid]]=TRUE,IF(Table1[[#This Row],[Fetal Sex (Male, Female or Unknown)]]="Male",Backend!$C$6,IF(Table1[[#This Row],[Fetal Sex (Male, Female or Unknown)]]="Female",Backend!$C$7,IF(Table1[[#This Row],[Fetal Sex (Male, Female or Unknown)]]="Unknown",Backend!$C$8,"Error"))),"")</f>
        <v/>
      </c>
      <c r="F6290" s="8" t="str">
        <f>IF(Table1[[#This Row],[Is Data Valid]]=TRUE,EXP(0.578+0.332*((Table1[[#This Row],[Gestation (days)]]+0.5)/7)-0.00354*((Table1[[#This Row],[Gestation (days)]]+0.5)/7)^2)*Table1[[#This Row],[BW40_3705]],"")</f>
        <v/>
      </c>
      <c r="G6290" s="2" t="str">
        <f>IF(Table1[[#This Row],[Is Data Valid]]=TRUE,((Table1[[#This Row],[Birthweight (grams)]]/Table1[[#This Row],[BW_GA]])-1)/(Backend!$B$4/100*Table1[[#This Row],[BW40_3705]]),"")</f>
        <v/>
      </c>
      <c r="H6290" s="7" t="str">
        <f>IF(Table1[[#This Row],[Is Data Valid]]=TRUE,((Table1[[#This Row],[Birthweight (grams)]]*0.9/Table1[[#This Row],[BW_GA]])-1)/(Backend!$B$4/100*Table1[[#This Row],[BW40_3705]]),"")</f>
        <v/>
      </c>
      <c r="I6290" s="7" t="str">
        <f>IF(Table1[[#This Row],[Is Data Valid]]=TRUE,((Table1[[#This Row],[Birthweight (grams)]]*1.1/Table1[[#This Row],[BW_GA]])-1)/(Backend!$B$4/100*Table1[[#This Row],[BW40_3705]]),"")</f>
        <v/>
      </c>
      <c r="J6290" s="7" t="str">
        <f>IF(Table1[[#This Row],[Is Data Valid]]=TRUE,_xlfn.NORM.S.DIST(Table1[[#This Row],[Birthweight Z-Score]],TRUE)*100,"")</f>
        <v/>
      </c>
      <c r="K6290" s="7" t="str">
        <f>IF(Table1[[#This Row],[Is Data Valid]]=TRUE,_xlfn.NORM.S.DIST(Table1[[#This Row],[Birthweight Z-Score (BW-10%)]],TRUE)*100,"")</f>
        <v/>
      </c>
      <c r="L6290" s="7" t="str">
        <f>IF(Table1[[#This Row],[Is Data Valid]]=TRUE,_xlfn.NORM.S.DIST(Table1[[#This Row],[Birthweight Z-Score (BW+10%)]],TRUE)*100,"")</f>
        <v/>
      </c>
    </row>
    <row r="6291" spans="1:12" x14ac:dyDescent="0.35">
      <c r="A6291" s="3"/>
      <c r="B6291" s="2"/>
      <c r="C6291" s="2"/>
      <c r="D6291" s="2" t="b">
        <f>IF(AND(NOT(ISBLANK(Table1[[#This Row],[Fetal Sex (Male, Female or Unknown)]])),ISNUMBER(Table1[[#This Row],[Birthweight (grams)]]),ISNUMBER(Table1[[#This Row],[Gestation (days)]])),TRUE,FALSE)</f>
        <v>0</v>
      </c>
      <c r="E6291" s="2" t="str">
        <f>IF(Table1[[#This Row],[Is Data Valid]]=TRUE,IF(Table1[[#This Row],[Fetal Sex (Male, Female or Unknown)]]="Male",Backend!$C$6,IF(Table1[[#This Row],[Fetal Sex (Male, Female or Unknown)]]="Female",Backend!$C$7,IF(Table1[[#This Row],[Fetal Sex (Male, Female or Unknown)]]="Unknown",Backend!$C$8,"Error"))),"")</f>
        <v/>
      </c>
      <c r="F6291" s="8" t="str">
        <f>IF(Table1[[#This Row],[Is Data Valid]]=TRUE,EXP(0.578+0.332*((Table1[[#This Row],[Gestation (days)]]+0.5)/7)-0.00354*((Table1[[#This Row],[Gestation (days)]]+0.5)/7)^2)*Table1[[#This Row],[BW40_3705]],"")</f>
        <v/>
      </c>
      <c r="G6291" s="2" t="str">
        <f>IF(Table1[[#This Row],[Is Data Valid]]=TRUE,((Table1[[#This Row],[Birthweight (grams)]]/Table1[[#This Row],[BW_GA]])-1)/(Backend!$B$4/100*Table1[[#This Row],[BW40_3705]]),"")</f>
        <v/>
      </c>
      <c r="H6291" s="7" t="str">
        <f>IF(Table1[[#This Row],[Is Data Valid]]=TRUE,((Table1[[#This Row],[Birthweight (grams)]]*0.9/Table1[[#This Row],[BW_GA]])-1)/(Backend!$B$4/100*Table1[[#This Row],[BW40_3705]]),"")</f>
        <v/>
      </c>
      <c r="I6291" s="7" t="str">
        <f>IF(Table1[[#This Row],[Is Data Valid]]=TRUE,((Table1[[#This Row],[Birthweight (grams)]]*1.1/Table1[[#This Row],[BW_GA]])-1)/(Backend!$B$4/100*Table1[[#This Row],[BW40_3705]]),"")</f>
        <v/>
      </c>
      <c r="J6291" s="7" t="str">
        <f>IF(Table1[[#This Row],[Is Data Valid]]=TRUE,_xlfn.NORM.S.DIST(Table1[[#This Row],[Birthweight Z-Score]],TRUE)*100,"")</f>
        <v/>
      </c>
      <c r="K6291" s="7" t="str">
        <f>IF(Table1[[#This Row],[Is Data Valid]]=TRUE,_xlfn.NORM.S.DIST(Table1[[#This Row],[Birthweight Z-Score (BW-10%)]],TRUE)*100,"")</f>
        <v/>
      </c>
      <c r="L6291" s="7" t="str">
        <f>IF(Table1[[#This Row],[Is Data Valid]]=TRUE,_xlfn.NORM.S.DIST(Table1[[#This Row],[Birthweight Z-Score (BW+10%)]],TRUE)*100,"")</f>
        <v/>
      </c>
    </row>
    <row r="6292" spans="1:12" x14ac:dyDescent="0.35">
      <c r="A6292" s="3"/>
      <c r="B6292" s="2"/>
      <c r="C6292" s="2"/>
      <c r="D6292" s="2" t="b">
        <f>IF(AND(NOT(ISBLANK(Table1[[#This Row],[Fetal Sex (Male, Female or Unknown)]])),ISNUMBER(Table1[[#This Row],[Birthweight (grams)]]),ISNUMBER(Table1[[#This Row],[Gestation (days)]])),TRUE,FALSE)</f>
        <v>0</v>
      </c>
      <c r="E6292" s="2" t="str">
        <f>IF(Table1[[#This Row],[Is Data Valid]]=TRUE,IF(Table1[[#This Row],[Fetal Sex (Male, Female or Unknown)]]="Male",Backend!$C$6,IF(Table1[[#This Row],[Fetal Sex (Male, Female or Unknown)]]="Female",Backend!$C$7,IF(Table1[[#This Row],[Fetal Sex (Male, Female or Unknown)]]="Unknown",Backend!$C$8,"Error"))),"")</f>
        <v/>
      </c>
      <c r="F6292" s="8" t="str">
        <f>IF(Table1[[#This Row],[Is Data Valid]]=TRUE,EXP(0.578+0.332*((Table1[[#This Row],[Gestation (days)]]+0.5)/7)-0.00354*((Table1[[#This Row],[Gestation (days)]]+0.5)/7)^2)*Table1[[#This Row],[BW40_3705]],"")</f>
        <v/>
      </c>
      <c r="G6292" s="2" t="str">
        <f>IF(Table1[[#This Row],[Is Data Valid]]=TRUE,((Table1[[#This Row],[Birthweight (grams)]]/Table1[[#This Row],[BW_GA]])-1)/(Backend!$B$4/100*Table1[[#This Row],[BW40_3705]]),"")</f>
        <v/>
      </c>
      <c r="H6292" s="7" t="str">
        <f>IF(Table1[[#This Row],[Is Data Valid]]=TRUE,((Table1[[#This Row],[Birthweight (grams)]]*0.9/Table1[[#This Row],[BW_GA]])-1)/(Backend!$B$4/100*Table1[[#This Row],[BW40_3705]]),"")</f>
        <v/>
      </c>
      <c r="I6292" s="7" t="str">
        <f>IF(Table1[[#This Row],[Is Data Valid]]=TRUE,((Table1[[#This Row],[Birthweight (grams)]]*1.1/Table1[[#This Row],[BW_GA]])-1)/(Backend!$B$4/100*Table1[[#This Row],[BW40_3705]]),"")</f>
        <v/>
      </c>
      <c r="J6292" s="7" t="str">
        <f>IF(Table1[[#This Row],[Is Data Valid]]=TRUE,_xlfn.NORM.S.DIST(Table1[[#This Row],[Birthweight Z-Score]],TRUE)*100,"")</f>
        <v/>
      </c>
      <c r="K6292" s="7" t="str">
        <f>IF(Table1[[#This Row],[Is Data Valid]]=TRUE,_xlfn.NORM.S.DIST(Table1[[#This Row],[Birthweight Z-Score (BW-10%)]],TRUE)*100,"")</f>
        <v/>
      </c>
      <c r="L6292" s="7" t="str">
        <f>IF(Table1[[#This Row],[Is Data Valid]]=TRUE,_xlfn.NORM.S.DIST(Table1[[#This Row],[Birthweight Z-Score (BW+10%)]],TRUE)*100,"")</f>
        <v/>
      </c>
    </row>
    <row r="6293" spans="1:12" x14ac:dyDescent="0.35">
      <c r="A6293" s="3"/>
      <c r="B6293" s="2"/>
      <c r="C6293" s="2"/>
      <c r="D6293" s="2" t="b">
        <f>IF(AND(NOT(ISBLANK(Table1[[#This Row],[Fetal Sex (Male, Female or Unknown)]])),ISNUMBER(Table1[[#This Row],[Birthweight (grams)]]),ISNUMBER(Table1[[#This Row],[Gestation (days)]])),TRUE,FALSE)</f>
        <v>0</v>
      </c>
      <c r="E6293" s="2" t="str">
        <f>IF(Table1[[#This Row],[Is Data Valid]]=TRUE,IF(Table1[[#This Row],[Fetal Sex (Male, Female or Unknown)]]="Male",Backend!$C$6,IF(Table1[[#This Row],[Fetal Sex (Male, Female or Unknown)]]="Female",Backend!$C$7,IF(Table1[[#This Row],[Fetal Sex (Male, Female or Unknown)]]="Unknown",Backend!$C$8,"Error"))),"")</f>
        <v/>
      </c>
      <c r="F6293" s="8" t="str">
        <f>IF(Table1[[#This Row],[Is Data Valid]]=TRUE,EXP(0.578+0.332*((Table1[[#This Row],[Gestation (days)]]+0.5)/7)-0.00354*((Table1[[#This Row],[Gestation (days)]]+0.5)/7)^2)*Table1[[#This Row],[BW40_3705]],"")</f>
        <v/>
      </c>
      <c r="G6293" s="2" t="str">
        <f>IF(Table1[[#This Row],[Is Data Valid]]=TRUE,((Table1[[#This Row],[Birthweight (grams)]]/Table1[[#This Row],[BW_GA]])-1)/(Backend!$B$4/100*Table1[[#This Row],[BW40_3705]]),"")</f>
        <v/>
      </c>
      <c r="H6293" s="7" t="str">
        <f>IF(Table1[[#This Row],[Is Data Valid]]=TRUE,((Table1[[#This Row],[Birthweight (grams)]]*0.9/Table1[[#This Row],[BW_GA]])-1)/(Backend!$B$4/100*Table1[[#This Row],[BW40_3705]]),"")</f>
        <v/>
      </c>
      <c r="I6293" s="7" t="str">
        <f>IF(Table1[[#This Row],[Is Data Valid]]=TRUE,((Table1[[#This Row],[Birthweight (grams)]]*1.1/Table1[[#This Row],[BW_GA]])-1)/(Backend!$B$4/100*Table1[[#This Row],[BW40_3705]]),"")</f>
        <v/>
      </c>
      <c r="J6293" s="7" t="str">
        <f>IF(Table1[[#This Row],[Is Data Valid]]=TRUE,_xlfn.NORM.S.DIST(Table1[[#This Row],[Birthweight Z-Score]],TRUE)*100,"")</f>
        <v/>
      </c>
      <c r="K6293" s="7" t="str">
        <f>IF(Table1[[#This Row],[Is Data Valid]]=TRUE,_xlfn.NORM.S.DIST(Table1[[#This Row],[Birthweight Z-Score (BW-10%)]],TRUE)*100,"")</f>
        <v/>
      </c>
      <c r="L6293" s="7" t="str">
        <f>IF(Table1[[#This Row],[Is Data Valid]]=TRUE,_xlfn.NORM.S.DIST(Table1[[#This Row],[Birthweight Z-Score (BW+10%)]],TRUE)*100,"")</f>
        <v/>
      </c>
    </row>
    <row r="6294" spans="1:12" x14ac:dyDescent="0.35">
      <c r="A6294" s="3"/>
      <c r="B6294" s="2"/>
      <c r="C6294" s="2"/>
      <c r="D6294" s="2" t="b">
        <f>IF(AND(NOT(ISBLANK(Table1[[#This Row],[Fetal Sex (Male, Female or Unknown)]])),ISNUMBER(Table1[[#This Row],[Birthweight (grams)]]),ISNUMBER(Table1[[#This Row],[Gestation (days)]])),TRUE,FALSE)</f>
        <v>0</v>
      </c>
      <c r="E6294" s="2" t="str">
        <f>IF(Table1[[#This Row],[Is Data Valid]]=TRUE,IF(Table1[[#This Row],[Fetal Sex (Male, Female or Unknown)]]="Male",Backend!$C$6,IF(Table1[[#This Row],[Fetal Sex (Male, Female or Unknown)]]="Female",Backend!$C$7,IF(Table1[[#This Row],[Fetal Sex (Male, Female or Unknown)]]="Unknown",Backend!$C$8,"Error"))),"")</f>
        <v/>
      </c>
      <c r="F6294" s="8" t="str">
        <f>IF(Table1[[#This Row],[Is Data Valid]]=TRUE,EXP(0.578+0.332*((Table1[[#This Row],[Gestation (days)]]+0.5)/7)-0.00354*((Table1[[#This Row],[Gestation (days)]]+0.5)/7)^2)*Table1[[#This Row],[BW40_3705]],"")</f>
        <v/>
      </c>
      <c r="G6294" s="2" t="str">
        <f>IF(Table1[[#This Row],[Is Data Valid]]=TRUE,((Table1[[#This Row],[Birthweight (grams)]]/Table1[[#This Row],[BW_GA]])-1)/(Backend!$B$4/100*Table1[[#This Row],[BW40_3705]]),"")</f>
        <v/>
      </c>
      <c r="H6294" s="7" t="str">
        <f>IF(Table1[[#This Row],[Is Data Valid]]=TRUE,((Table1[[#This Row],[Birthweight (grams)]]*0.9/Table1[[#This Row],[BW_GA]])-1)/(Backend!$B$4/100*Table1[[#This Row],[BW40_3705]]),"")</f>
        <v/>
      </c>
      <c r="I6294" s="7" t="str">
        <f>IF(Table1[[#This Row],[Is Data Valid]]=TRUE,((Table1[[#This Row],[Birthweight (grams)]]*1.1/Table1[[#This Row],[BW_GA]])-1)/(Backend!$B$4/100*Table1[[#This Row],[BW40_3705]]),"")</f>
        <v/>
      </c>
      <c r="J6294" s="7" t="str">
        <f>IF(Table1[[#This Row],[Is Data Valid]]=TRUE,_xlfn.NORM.S.DIST(Table1[[#This Row],[Birthweight Z-Score]],TRUE)*100,"")</f>
        <v/>
      </c>
      <c r="K6294" s="7" t="str">
        <f>IF(Table1[[#This Row],[Is Data Valid]]=TRUE,_xlfn.NORM.S.DIST(Table1[[#This Row],[Birthweight Z-Score (BW-10%)]],TRUE)*100,"")</f>
        <v/>
      </c>
      <c r="L6294" s="7" t="str">
        <f>IF(Table1[[#This Row],[Is Data Valid]]=TRUE,_xlfn.NORM.S.DIST(Table1[[#This Row],[Birthweight Z-Score (BW+10%)]],TRUE)*100,"")</f>
        <v/>
      </c>
    </row>
    <row r="6295" spans="1:12" x14ac:dyDescent="0.35">
      <c r="A6295" s="3"/>
      <c r="B6295" s="2"/>
      <c r="C6295" s="2"/>
      <c r="D6295" s="2" t="b">
        <f>IF(AND(NOT(ISBLANK(Table1[[#This Row],[Fetal Sex (Male, Female or Unknown)]])),ISNUMBER(Table1[[#This Row],[Birthweight (grams)]]),ISNUMBER(Table1[[#This Row],[Gestation (days)]])),TRUE,FALSE)</f>
        <v>0</v>
      </c>
      <c r="E6295" s="2" t="str">
        <f>IF(Table1[[#This Row],[Is Data Valid]]=TRUE,IF(Table1[[#This Row],[Fetal Sex (Male, Female or Unknown)]]="Male",Backend!$C$6,IF(Table1[[#This Row],[Fetal Sex (Male, Female or Unknown)]]="Female",Backend!$C$7,IF(Table1[[#This Row],[Fetal Sex (Male, Female or Unknown)]]="Unknown",Backend!$C$8,"Error"))),"")</f>
        <v/>
      </c>
      <c r="F6295" s="8" t="str">
        <f>IF(Table1[[#This Row],[Is Data Valid]]=TRUE,EXP(0.578+0.332*((Table1[[#This Row],[Gestation (days)]]+0.5)/7)-0.00354*((Table1[[#This Row],[Gestation (days)]]+0.5)/7)^2)*Table1[[#This Row],[BW40_3705]],"")</f>
        <v/>
      </c>
      <c r="G6295" s="2" t="str">
        <f>IF(Table1[[#This Row],[Is Data Valid]]=TRUE,((Table1[[#This Row],[Birthweight (grams)]]/Table1[[#This Row],[BW_GA]])-1)/(Backend!$B$4/100*Table1[[#This Row],[BW40_3705]]),"")</f>
        <v/>
      </c>
      <c r="H6295" s="7" t="str">
        <f>IF(Table1[[#This Row],[Is Data Valid]]=TRUE,((Table1[[#This Row],[Birthweight (grams)]]*0.9/Table1[[#This Row],[BW_GA]])-1)/(Backend!$B$4/100*Table1[[#This Row],[BW40_3705]]),"")</f>
        <v/>
      </c>
      <c r="I6295" s="7" t="str">
        <f>IF(Table1[[#This Row],[Is Data Valid]]=TRUE,((Table1[[#This Row],[Birthweight (grams)]]*1.1/Table1[[#This Row],[BW_GA]])-1)/(Backend!$B$4/100*Table1[[#This Row],[BW40_3705]]),"")</f>
        <v/>
      </c>
      <c r="J6295" s="7" t="str">
        <f>IF(Table1[[#This Row],[Is Data Valid]]=TRUE,_xlfn.NORM.S.DIST(Table1[[#This Row],[Birthweight Z-Score]],TRUE)*100,"")</f>
        <v/>
      </c>
      <c r="K6295" s="7" t="str">
        <f>IF(Table1[[#This Row],[Is Data Valid]]=TRUE,_xlfn.NORM.S.DIST(Table1[[#This Row],[Birthweight Z-Score (BW-10%)]],TRUE)*100,"")</f>
        <v/>
      </c>
      <c r="L6295" s="7" t="str">
        <f>IF(Table1[[#This Row],[Is Data Valid]]=TRUE,_xlfn.NORM.S.DIST(Table1[[#This Row],[Birthweight Z-Score (BW+10%)]],TRUE)*100,"")</f>
        <v/>
      </c>
    </row>
    <row r="6296" spans="1:12" x14ac:dyDescent="0.35">
      <c r="A6296" s="3"/>
      <c r="B6296" s="2"/>
      <c r="C6296" s="2"/>
      <c r="D6296" s="2" t="b">
        <f>IF(AND(NOT(ISBLANK(Table1[[#This Row],[Fetal Sex (Male, Female or Unknown)]])),ISNUMBER(Table1[[#This Row],[Birthweight (grams)]]),ISNUMBER(Table1[[#This Row],[Gestation (days)]])),TRUE,FALSE)</f>
        <v>0</v>
      </c>
      <c r="E6296" s="2" t="str">
        <f>IF(Table1[[#This Row],[Is Data Valid]]=TRUE,IF(Table1[[#This Row],[Fetal Sex (Male, Female or Unknown)]]="Male",Backend!$C$6,IF(Table1[[#This Row],[Fetal Sex (Male, Female or Unknown)]]="Female",Backend!$C$7,IF(Table1[[#This Row],[Fetal Sex (Male, Female or Unknown)]]="Unknown",Backend!$C$8,"Error"))),"")</f>
        <v/>
      </c>
      <c r="F6296" s="8" t="str">
        <f>IF(Table1[[#This Row],[Is Data Valid]]=TRUE,EXP(0.578+0.332*((Table1[[#This Row],[Gestation (days)]]+0.5)/7)-0.00354*((Table1[[#This Row],[Gestation (days)]]+0.5)/7)^2)*Table1[[#This Row],[BW40_3705]],"")</f>
        <v/>
      </c>
      <c r="G6296" s="2" t="str">
        <f>IF(Table1[[#This Row],[Is Data Valid]]=TRUE,((Table1[[#This Row],[Birthweight (grams)]]/Table1[[#This Row],[BW_GA]])-1)/(Backend!$B$4/100*Table1[[#This Row],[BW40_3705]]),"")</f>
        <v/>
      </c>
      <c r="H6296" s="7" t="str">
        <f>IF(Table1[[#This Row],[Is Data Valid]]=TRUE,((Table1[[#This Row],[Birthweight (grams)]]*0.9/Table1[[#This Row],[BW_GA]])-1)/(Backend!$B$4/100*Table1[[#This Row],[BW40_3705]]),"")</f>
        <v/>
      </c>
      <c r="I6296" s="7" t="str">
        <f>IF(Table1[[#This Row],[Is Data Valid]]=TRUE,((Table1[[#This Row],[Birthweight (grams)]]*1.1/Table1[[#This Row],[BW_GA]])-1)/(Backend!$B$4/100*Table1[[#This Row],[BW40_3705]]),"")</f>
        <v/>
      </c>
      <c r="J6296" s="7" t="str">
        <f>IF(Table1[[#This Row],[Is Data Valid]]=TRUE,_xlfn.NORM.S.DIST(Table1[[#This Row],[Birthweight Z-Score]],TRUE)*100,"")</f>
        <v/>
      </c>
      <c r="K6296" s="7" t="str">
        <f>IF(Table1[[#This Row],[Is Data Valid]]=TRUE,_xlfn.NORM.S.DIST(Table1[[#This Row],[Birthweight Z-Score (BW-10%)]],TRUE)*100,"")</f>
        <v/>
      </c>
      <c r="L6296" s="7" t="str">
        <f>IF(Table1[[#This Row],[Is Data Valid]]=TRUE,_xlfn.NORM.S.DIST(Table1[[#This Row],[Birthweight Z-Score (BW+10%)]],TRUE)*100,"")</f>
        <v/>
      </c>
    </row>
    <row r="6297" spans="1:12" x14ac:dyDescent="0.35">
      <c r="A6297" s="3"/>
      <c r="B6297" s="2"/>
      <c r="C6297" s="2"/>
      <c r="D6297" s="2" t="b">
        <f>IF(AND(NOT(ISBLANK(Table1[[#This Row],[Fetal Sex (Male, Female or Unknown)]])),ISNUMBER(Table1[[#This Row],[Birthweight (grams)]]),ISNUMBER(Table1[[#This Row],[Gestation (days)]])),TRUE,FALSE)</f>
        <v>0</v>
      </c>
      <c r="E6297" s="2" t="str">
        <f>IF(Table1[[#This Row],[Is Data Valid]]=TRUE,IF(Table1[[#This Row],[Fetal Sex (Male, Female or Unknown)]]="Male",Backend!$C$6,IF(Table1[[#This Row],[Fetal Sex (Male, Female or Unknown)]]="Female",Backend!$C$7,IF(Table1[[#This Row],[Fetal Sex (Male, Female or Unknown)]]="Unknown",Backend!$C$8,"Error"))),"")</f>
        <v/>
      </c>
      <c r="F6297" s="8" t="str">
        <f>IF(Table1[[#This Row],[Is Data Valid]]=TRUE,EXP(0.578+0.332*((Table1[[#This Row],[Gestation (days)]]+0.5)/7)-0.00354*((Table1[[#This Row],[Gestation (days)]]+0.5)/7)^2)*Table1[[#This Row],[BW40_3705]],"")</f>
        <v/>
      </c>
      <c r="G6297" s="2" t="str">
        <f>IF(Table1[[#This Row],[Is Data Valid]]=TRUE,((Table1[[#This Row],[Birthweight (grams)]]/Table1[[#This Row],[BW_GA]])-1)/(Backend!$B$4/100*Table1[[#This Row],[BW40_3705]]),"")</f>
        <v/>
      </c>
      <c r="H6297" s="7" t="str">
        <f>IF(Table1[[#This Row],[Is Data Valid]]=TRUE,((Table1[[#This Row],[Birthweight (grams)]]*0.9/Table1[[#This Row],[BW_GA]])-1)/(Backend!$B$4/100*Table1[[#This Row],[BW40_3705]]),"")</f>
        <v/>
      </c>
      <c r="I6297" s="7" t="str">
        <f>IF(Table1[[#This Row],[Is Data Valid]]=TRUE,((Table1[[#This Row],[Birthweight (grams)]]*1.1/Table1[[#This Row],[BW_GA]])-1)/(Backend!$B$4/100*Table1[[#This Row],[BW40_3705]]),"")</f>
        <v/>
      </c>
      <c r="J6297" s="7" t="str">
        <f>IF(Table1[[#This Row],[Is Data Valid]]=TRUE,_xlfn.NORM.S.DIST(Table1[[#This Row],[Birthweight Z-Score]],TRUE)*100,"")</f>
        <v/>
      </c>
      <c r="K6297" s="7" t="str">
        <f>IF(Table1[[#This Row],[Is Data Valid]]=TRUE,_xlfn.NORM.S.DIST(Table1[[#This Row],[Birthweight Z-Score (BW-10%)]],TRUE)*100,"")</f>
        <v/>
      </c>
      <c r="L6297" s="7" t="str">
        <f>IF(Table1[[#This Row],[Is Data Valid]]=TRUE,_xlfn.NORM.S.DIST(Table1[[#This Row],[Birthweight Z-Score (BW+10%)]],TRUE)*100,"")</f>
        <v/>
      </c>
    </row>
    <row r="6298" spans="1:12" x14ac:dyDescent="0.35">
      <c r="A6298" s="3"/>
      <c r="B6298" s="2"/>
      <c r="C6298" s="2"/>
      <c r="D6298" s="2" t="b">
        <f>IF(AND(NOT(ISBLANK(Table1[[#This Row],[Fetal Sex (Male, Female or Unknown)]])),ISNUMBER(Table1[[#This Row],[Birthweight (grams)]]),ISNUMBER(Table1[[#This Row],[Gestation (days)]])),TRUE,FALSE)</f>
        <v>0</v>
      </c>
      <c r="E6298" s="2" t="str">
        <f>IF(Table1[[#This Row],[Is Data Valid]]=TRUE,IF(Table1[[#This Row],[Fetal Sex (Male, Female or Unknown)]]="Male",Backend!$C$6,IF(Table1[[#This Row],[Fetal Sex (Male, Female or Unknown)]]="Female",Backend!$C$7,IF(Table1[[#This Row],[Fetal Sex (Male, Female or Unknown)]]="Unknown",Backend!$C$8,"Error"))),"")</f>
        <v/>
      </c>
      <c r="F6298" s="8" t="str">
        <f>IF(Table1[[#This Row],[Is Data Valid]]=TRUE,EXP(0.578+0.332*((Table1[[#This Row],[Gestation (days)]]+0.5)/7)-0.00354*((Table1[[#This Row],[Gestation (days)]]+0.5)/7)^2)*Table1[[#This Row],[BW40_3705]],"")</f>
        <v/>
      </c>
      <c r="G6298" s="2" t="str">
        <f>IF(Table1[[#This Row],[Is Data Valid]]=TRUE,((Table1[[#This Row],[Birthweight (grams)]]/Table1[[#This Row],[BW_GA]])-1)/(Backend!$B$4/100*Table1[[#This Row],[BW40_3705]]),"")</f>
        <v/>
      </c>
      <c r="H6298" s="7" t="str">
        <f>IF(Table1[[#This Row],[Is Data Valid]]=TRUE,((Table1[[#This Row],[Birthweight (grams)]]*0.9/Table1[[#This Row],[BW_GA]])-1)/(Backend!$B$4/100*Table1[[#This Row],[BW40_3705]]),"")</f>
        <v/>
      </c>
      <c r="I6298" s="7" t="str">
        <f>IF(Table1[[#This Row],[Is Data Valid]]=TRUE,((Table1[[#This Row],[Birthweight (grams)]]*1.1/Table1[[#This Row],[BW_GA]])-1)/(Backend!$B$4/100*Table1[[#This Row],[BW40_3705]]),"")</f>
        <v/>
      </c>
      <c r="J6298" s="7" t="str">
        <f>IF(Table1[[#This Row],[Is Data Valid]]=TRUE,_xlfn.NORM.S.DIST(Table1[[#This Row],[Birthweight Z-Score]],TRUE)*100,"")</f>
        <v/>
      </c>
      <c r="K6298" s="7" t="str">
        <f>IF(Table1[[#This Row],[Is Data Valid]]=TRUE,_xlfn.NORM.S.DIST(Table1[[#This Row],[Birthweight Z-Score (BW-10%)]],TRUE)*100,"")</f>
        <v/>
      </c>
      <c r="L6298" s="7" t="str">
        <f>IF(Table1[[#This Row],[Is Data Valid]]=TRUE,_xlfn.NORM.S.DIST(Table1[[#This Row],[Birthweight Z-Score (BW+10%)]],TRUE)*100,"")</f>
        <v/>
      </c>
    </row>
    <row r="6299" spans="1:12" x14ac:dyDescent="0.35">
      <c r="A6299" s="3"/>
      <c r="B6299" s="2"/>
      <c r="C6299" s="2"/>
      <c r="D6299" s="2" t="b">
        <f>IF(AND(NOT(ISBLANK(Table1[[#This Row],[Fetal Sex (Male, Female or Unknown)]])),ISNUMBER(Table1[[#This Row],[Birthweight (grams)]]),ISNUMBER(Table1[[#This Row],[Gestation (days)]])),TRUE,FALSE)</f>
        <v>0</v>
      </c>
      <c r="E6299" s="2" t="str">
        <f>IF(Table1[[#This Row],[Is Data Valid]]=TRUE,IF(Table1[[#This Row],[Fetal Sex (Male, Female or Unknown)]]="Male",Backend!$C$6,IF(Table1[[#This Row],[Fetal Sex (Male, Female or Unknown)]]="Female",Backend!$C$7,IF(Table1[[#This Row],[Fetal Sex (Male, Female or Unknown)]]="Unknown",Backend!$C$8,"Error"))),"")</f>
        <v/>
      </c>
      <c r="F6299" s="8" t="str">
        <f>IF(Table1[[#This Row],[Is Data Valid]]=TRUE,EXP(0.578+0.332*((Table1[[#This Row],[Gestation (days)]]+0.5)/7)-0.00354*((Table1[[#This Row],[Gestation (days)]]+0.5)/7)^2)*Table1[[#This Row],[BW40_3705]],"")</f>
        <v/>
      </c>
      <c r="G6299" s="2" t="str">
        <f>IF(Table1[[#This Row],[Is Data Valid]]=TRUE,((Table1[[#This Row],[Birthweight (grams)]]/Table1[[#This Row],[BW_GA]])-1)/(Backend!$B$4/100*Table1[[#This Row],[BW40_3705]]),"")</f>
        <v/>
      </c>
      <c r="H6299" s="7" t="str">
        <f>IF(Table1[[#This Row],[Is Data Valid]]=TRUE,((Table1[[#This Row],[Birthweight (grams)]]*0.9/Table1[[#This Row],[BW_GA]])-1)/(Backend!$B$4/100*Table1[[#This Row],[BW40_3705]]),"")</f>
        <v/>
      </c>
      <c r="I6299" s="7" t="str">
        <f>IF(Table1[[#This Row],[Is Data Valid]]=TRUE,((Table1[[#This Row],[Birthweight (grams)]]*1.1/Table1[[#This Row],[BW_GA]])-1)/(Backend!$B$4/100*Table1[[#This Row],[BW40_3705]]),"")</f>
        <v/>
      </c>
      <c r="J6299" s="7" t="str">
        <f>IF(Table1[[#This Row],[Is Data Valid]]=TRUE,_xlfn.NORM.S.DIST(Table1[[#This Row],[Birthweight Z-Score]],TRUE)*100,"")</f>
        <v/>
      </c>
      <c r="K6299" s="7" t="str">
        <f>IF(Table1[[#This Row],[Is Data Valid]]=TRUE,_xlfn.NORM.S.DIST(Table1[[#This Row],[Birthweight Z-Score (BW-10%)]],TRUE)*100,"")</f>
        <v/>
      </c>
      <c r="L6299" s="7" t="str">
        <f>IF(Table1[[#This Row],[Is Data Valid]]=TRUE,_xlfn.NORM.S.DIST(Table1[[#This Row],[Birthweight Z-Score (BW+10%)]],TRUE)*100,"")</f>
        <v/>
      </c>
    </row>
    <row r="6300" spans="1:12" x14ac:dyDescent="0.35">
      <c r="A6300" s="3"/>
      <c r="B6300" s="2"/>
      <c r="C6300" s="2"/>
      <c r="D6300" s="2" t="b">
        <f>IF(AND(NOT(ISBLANK(Table1[[#This Row],[Fetal Sex (Male, Female or Unknown)]])),ISNUMBER(Table1[[#This Row],[Birthweight (grams)]]),ISNUMBER(Table1[[#This Row],[Gestation (days)]])),TRUE,FALSE)</f>
        <v>0</v>
      </c>
      <c r="E6300" s="2" t="str">
        <f>IF(Table1[[#This Row],[Is Data Valid]]=TRUE,IF(Table1[[#This Row],[Fetal Sex (Male, Female or Unknown)]]="Male",Backend!$C$6,IF(Table1[[#This Row],[Fetal Sex (Male, Female or Unknown)]]="Female",Backend!$C$7,IF(Table1[[#This Row],[Fetal Sex (Male, Female or Unknown)]]="Unknown",Backend!$C$8,"Error"))),"")</f>
        <v/>
      </c>
      <c r="F6300" s="8" t="str">
        <f>IF(Table1[[#This Row],[Is Data Valid]]=TRUE,EXP(0.578+0.332*((Table1[[#This Row],[Gestation (days)]]+0.5)/7)-0.00354*((Table1[[#This Row],[Gestation (days)]]+0.5)/7)^2)*Table1[[#This Row],[BW40_3705]],"")</f>
        <v/>
      </c>
      <c r="G6300" s="2" t="str">
        <f>IF(Table1[[#This Row],[Is Data Valid]]=TRUE,((Table1[[#This Row],[Birthweight (grams)]]/Table1[[#This Row],[BW_GA]])-1)/(Backend!$B$4/100*Table1[[#This Row],[BW40_3705]]),"")</f>
        <v/>
      </c>
      <c r="H6300" s="7" t="str">
        <f>IF(Table1[[#This Row],[Is Data Valid]]=TRUE,((Table1[[#This Row],[Birthweight (grams)]]*0.9/Table1[[#This Row],[BW_GA]])-1)/(Backend!$B$4/100*Table1[[#This Row],[BW40_3705]]),"")</f>
        <v/>
      </c>
      <c r="I6300" s="7" t="str">
        <f>IF(Table1[[#This Row],[Is Data Valid]]=TRUE,((Table1[[#This Row],[Birthweight (grams)]]*1.1/Table1[[#This Row],[BW_GA]])-1)/(Backend!$B$4/100*Table1[[#This Row],[BW40_3705]]),"")</f>
        <v/>
      </c>
      <c r="J6300" s="7" t="str">
        <f>IF(Table1[[#This Row],[Is Data Valid]]=TRUE,_xlfn.NORM.S.DIST(Table1[[#This Row],[Birthweight Z-Score]],TRUE)*100,"")</f>
        <v/>
      </c>
      <c r="K6300" s="7" t="str">
        <f>IF(Table1[[#This Row],[Is Data Valid]]=TRUE,_xlfn.NORM.S.DIST(Table1[[#This Row],[Birthweight Z-Score (BW-10%)]],TRUE)*100,"")</f>
        <v/>
      </c>
      <c r="L6300" s="7" t="str">
        <f>IF(Table1[[#This Row],[Is Data Valid]]=TRUE,_xlfn.NORM.S.DIST(Table1[[#This Row],[Birthweight Z-Score (BW+10%)]],TRUE)*100,"")</f>
        <v/>
      </c>
    </row>
    <row r="6301" spans="1:12" x14ac:dyDescent="0.35">
      <c r="A6301" s="3"/>
      <c r="B6301" s="2"/>
      <c r="C6301" s="2"/>
      <c r="D6301" s="2" t="b">
        <f>IF(AND(NOT(ISBLANK(Table1[[#This Row],[Fetal Sex (Male, Female or Unknown)]])),ISNUMBER(Table1[[#This Row],[Birthweight (grams)]]),ISNUMBER(Table1[[#This Row],[Gestation (days)]])),TRUE,FALSE)</f>
        <v>0</v>
      </c>
      <c r="E6301" s="2" t="str">
        <f>IF(Table1[[#This Row],[Is Data Valid]]=TRUE,IF(Table1[[#This Row],[Fetal Sex (Male, Female or Unknown)]]="Male",Backend!$C$6,IF(Table1[[#This Row],[Fetal Sex (Male, Female or Unknown)]]="Female",Backend!$C$7,IF(Table1[[#This Row],[Fetal Sex (Male, Female or Unknown)]]="Unknown",Backend!$C$8,"Error"))),"")</f>
        <v/>
      </c>
      <c r="F6301" s="8" t="str">
        <f>IF(Table1[[#This Row],[Is Data Valid]]=TRUE,EXP(0.578+0.332*((Table1[[#This Row],[Gestation (days)]]+0.5)/7)-0.00354*((Table1[[#This Row],[Gestation (days)]]+0.5)/7)^2)*Table1[[#This Row],[BW40_3705]],"")</f>
        <v/>
      </c>
      <c r="G6301" s="2" t="str">
        <f>IF(Table1[[#This Row],[Is Data Valid]]=TRUE,((Table1[[#This Row],[Birthweight (grams)]]/Table1[[#This Row],[BW_GA]])-1)/(Backend!$B$4/100*Table1[[#This Row],[BW40_3705]]),"")</f>
        <v/>
      </c>
      <c r="H6301" s="7" t="str">
        <f>IF(Table1[[#This Row],[Is Data Valid]]=TRUE,((Table1[[#This Row],[Birthweight (grams)]]*0.9/Table1[[#This Row],[BW_GA]])-1)/(Backend!$B$4/100*Table1[[#This Row],[BW40_3705]]),"")</f>
        <v/>
      </c>
      <c r="I6301" s="7" t="str">
        <f>IF(Table1[[#This Row],[Is Data Valid]]=TRUE,((Table1[[#This Row],[Birthweight (grams)]]*1.1/Table1[[#This Row],[BW_GA]])-1)/(Backend!$B$4/100*Table1[[#This Row],[BW40_3705]]),"")</f>
        <v/>
      </c>
      <c r="J6301" s="7" t="str">
        <f>IF(Table1[[#This Row],[Is Data Valid]]=TRUE,_xlfn.NORM.S.DIST(Table1[[#This Row],[Birthweight Z-Score]],TRUE)*100,"")</f>
        <v/>
      </c>
      <c r="K6301" s="7" t="str">
        <f>IF(Table1[[#This Row],[Is Data Valid]]=TRUE,_xlfn.NORM.S.DIST(Table1[[#This Row],[Birthweight Z-Score (BW-10%)]],TRUE)*100,"")</f>
        <v/>
      </c>
      <c r="L6301" s="7" t="str">
        <f>IF(Table1[[#This Row],[Is Data Valid]]=TRUE,_xlfn.NORM.S.DIST(Table1[[#This Row],[Birthweight Z-Score (BW+10%)]],TRUE)*100,"")</f>
        <v/>
      </c>
    </row>
    <row r="6302" spans="1:12" x14ac:dyDescent="0.35">
      <c r="A6302" s="3"/>
      <c r="B6302" s="2"/>
      <c r="C6302" s="2"/>
      <c r="D6302" s="2" t="b">
        <f>IF(AND(NOT(ISBLANK(Table1[[#This Row],[Fetal Sex (Male, Female or Unknown)]])),ISNUMBER(Table1[[#This Row],[Birthweight (grams)]]),ISNUMBER(Table1[[#This Row],[Gestation (days)]])),TRUE,FALSE)</f>
        <v>0</v>
      </c>
      <c r="E6302" s="2" t="str">
        <f>IF(Table1[[#This Row],[Is Data Valid]]=TRUE,IF(Table1[[#This Row],[Fetal Sex (Male, Female or Unknown)]]="Male",Backend!$C$6,IF(Table1[[#This Row],[Fetal Sex (Male, Female or Unknown)]]="Female",Backend!$C$7,IF(Table1[[#This Row],[Fetal Sex (Male, Female or Unknown)]]="Unknown",Backend!$C$8,"Error"))),"")</f>
        <v/>
      </c>
      <c r="F6302" s="8" t="str">
        <f>IF(Table1[[#This Row],[Is Data Valid]]=TRUE,EXP(0.578+0.332*((Table1[[#This Row],[Gestation (days)]]+0.5)/7)-0.00354*((Table1[[#This Row],[Gestation (days)]]+0.5)/7)^2)*Table1[[#This Row],[BW40_3705]],"")</f>
        <v/>
      </c>
      <c r="G6302" s="2" t="str">
        <f>IF(Table1[[#This Row],[Is Data Valid]]=TRUE,((Table1[[#This Row],[Birthweight (grams)]]/Table1[[#This Row],[BW_GA]])-1)/(Backend!$B$4/100*Table1[[#This Row],[BW40_3705]]),"")</f>
        <v/>
      </c>
      <c r="H6302" s="7" t="str">
        <f>IF(Table1[[#This Row],[Is Data Valid]]=TRUE,((Table1[[#This Row],[Birthweight (grams)]]*0.9/Table1[[#This Row],[BW_GA]])-1)/(Backend!$B$4/100*Table1[[#This Row],[BW40_3705]]),"")</f>
        <v/>
      </c>
      <c r="I6302" s="7" t="str">
        <f>IF(Table1[[#This Row],[Is Data Valid]]=TRUE,((Table1[[#This Row],[Birthweight (grams)]]*1.1/Table1[[#This Row],[BW_GA]])-1)/(Backend!$B$4/100*Table1[[#This Row],[BW40_3705]]),"")</f>
        <v/>
      </c>
      <c r="J6302" s="7" t="str">
        <f>IF(Table1[[#This Row],[Is Data Valid]]=TRUE,_xlfn.NORM.S.DIST(Table1[[#This Row],[Birthweight Z-Score]],TRUE)*100,"")</f>
        <v/>
      </c>
      <c r="K6302" s="7" t="str">
        <f>IF(Table1[[#This Row],[Is Data Valid]]=TRUE,_xlfn.NORM.S.DIST(Table1[[#This Row],[Birthweight Z-Score (BW-10%)]],TRUE)*100,"")</f>
        <v/>
      </c>
      <c r="L6302" s="7" t="str">
        <f>IF(Table1[[#This Row],[Is Data Valid]]=TRUE,_xlfn.NORM.S.DIST(Table1[[#This Row],[Birthweight Z-Score (BW+10%)]],TRUE)*100,"")</f>
        <v/>
      </c>
    </row>
    <row r="6303" spans="1:12" x14ac:dyDescent="0.35">
      <c r="A6303" s="3"/>
      <c r="B6303" s="2"/>
      <c r="C6303" s="2"/>
      <c r="D6303" s="2" t="b">
        <f>IF(AND(NOT(ISBLANK(Table1[[#This Row],[Fetal Sex (Male, Female or Unknown)]])),ISNUMBER(Table1[[#This Row],[Birthweight (grams)]]),ISNUMBER(Table1[[#This Row],[Gestation (days)]])),TRUE,FALSE)</f>
        <v>0</v>
      </c>
      <c r="E6303" s="2" t="str">
        <f>IF(Table1[[#This Row],[Is Data Valid]]=TRUE,IF(Table1[[#This Row],[Fetal Sex (Male, Female or Unknown)]]="Male",Backend!$C$6,IF(Table1[[#This Row],[Fetal Sex (Male, Female or Unknown)]]="Female",Backend!$C$7,IF(Table1[[#This Row],[Fetal Sex (Male, Female or Unknown)]]="Unknown",Backend!$C$8,"Error"))),"")</f>
        <v/>
      </c>
      <c r="F6303" s="8" t="str">
        <f>IF(Table1[[#This Row],[Is Data Valid]]=TRUE,EXP(0.578+0.332*((Table1[[#This Row],[Gestation (days)]]+0.5)/7)-0.00354*((Table1[[#This Row],[Gestation (days)]]+0.5)/7)^2)*Table1[[#This Row],[BW40_3705]],"")</f>
        <v/>
      </c>
      <c r="G6303" s="2" t="str">
        <f>IF(Table1[[#This Row],[Is Data Valid]]=TRUE,((Table1[[#This Row],[Birthweight (grams)]]/Table1[[#This Row],[BW_GA]])-1)/(Backend!$B$4/100*Table1[[#This Row],[BW40_3705]]),"")</f>
        <v/>
      </c>
      <c r="H6303" s="7" t="str">
        <f>IF(Table1[[#This Row],[Is Data Valid]]=TRUE,((Table1[[#This Row],[Birthweight (grams)]]*0.9/Table1[[#This Row],[BW_GA]])-1)/(Backend!$B$4/100*Table1[[#This Row],[BW40_3705]]),"")</f>
        <v/>
      </c>
      <c r="I6303" s="7" t="str">
        <f>IF(Table1[[#This Row],[Is Data Valid]]=TRUE,((Table1[[#This Row],[Birthweight (grams)]]*1.1/Table1[[#This Row],[BW_GA]])-1)/(Backend!$B$4/100*Table1[[#This Row],[BW40_3705]]),"")</f>
        <v/>
      </c>
      <c r="J6303" s="7" t="str">
        <f>IF(Table1[[#This Row],[Is Data Valid]]=TRUE,_xlfn.NORM.S.DIST(Table1[[#This Row],[Birthweight Z-Score]],TRUE)*100,"")</f>
        <v/>
      </c>
      <c r="K6303" s="7" t="str">
        <f>IF(Table1[[#This Row],[Is Data Valid]]=TRUE,_xlfn.NORM.S.DIST(Table1[[#This Row],[Birthweight Z-Score (BW-10%)]],TRUE)*100,"")</f>
        <v/>
      </c>
      <c r="L6303" s="7" t="str">
        <f>IF(Table1[[#This Row],[Is Data Valid]]=TRUE,_xlfn.NORM.S.DIST(Table1[[#This Row],[Birthweight Z-Score (BW+10%)]],TRUE)*100,"")</f>
        <v/>
      </c>
    </row>
    <row r="6304" spans="1:12" x14ac:dyDescent="0.35">
      <c r="A6304" s="3"/>
      <c r="B6304" s="2"/>
      <c r="C6304" s="2"/>
      <c r="D6304" s="2" t="b">
        <f>IF(AND(NOT(ISBLANK(Table1[[#This Row],[Fetal Sex (Male, Female or Unknown)]])),ISNUMBER(Table1[[#This Row],[Birthweight (grams)]]),ISNUMBER(Table1[[#This Row],[Gestation (days)]])),TRUE,FALSE)</f>
        <v>0</v>
      </c>
      <c r="E6304" s="2" t="str">
        <f>IF(Table1[[#This Row],[Is Data Valid]]=TRUE,IF(Table1[[#This Row],[Fetal Sex (Male, Female or Unknown)]]="Male",Backend!$C$6,IF(Table1[[#This Row],[Fetal Sex (Male, Female or Unknown)]]="Female",Backend!$C$7,IF(Table1[[#This Row],[Fetal Sex (Male, Female or Unknown)]]="Unknown",Backend!$C$8,"Error"))),"")</f>
        <v/>
      </c>
      <c r="F6304" s="8" t="str">
        <f>IF(Table1[[#This Row],[Is Data Valid]]=TRUE,EXP(0.578+0.332*((Table1[[#This Row],[Gestation (days)]]+0.5)/7)-0.00354*((Table1[[#This Row],[Gestation (days)]]+0.5)/7)^2)*Table1[[#This Row],[BW40_3705]],"")</f>
        <v/>
      </c>
      <c r="G6304" s="2" t="str">
        <f>IF(Table1[[#This Row],[Is Data Valid]]=TRUE,((Table1[[#This Row],[Birthweight (grams)]]/Table1[[#This Row],[BW_GA]])-1)/(Backend!$B$4/100*Table1[[#This Row],[BW40_3705]]),"")</f>
        <v/>
      </c>
      <c r="H6304" s="7" t="str">
        <f>IF(Table1[[#This Row],[Is Data Valid]]=TRUE,((Table1[[#This Row],[Birthweight (grams)]]*0.9/Table1[[#This Row],[BW_GA]])-1)/(Backend!$B$4/100*Table1[[#This Row],[BW40_3705]]),"")</f>
        <v/>
      </c>
      <c r="I6304" s="7" t="str">
        <f>IF(Table1[[#This Row],[Is Data Valid]]=TRUE,((Table1[[#This Row],[Birthweight (grams)]]*1.1/Table1[[#This Row],[BW_GA]])-1)/(Backend!$B$4/100*Table1[[#This Row],[BW40_3705]]),"")</f>
        <v/>
      </c>
      <c r="J6304" s="7" t="str">
        <f>IF(Table1[[#This Row],[Is Data Valid]]=TRUE,_xlfn.NORM.S.DIST(Table1[[#This Row],[Birthweight Z-Score]],TRUE)*100,"")</f>
        <v/>
      </c>
      <c r="K6304" s="7" t="str">
        <f>IF(Table1[[#This Row],[Is Data Valid]]=TRUE,_xlfn.NORM.S.DIST(Table1[[#This Row],[Birthweight Z-Score (BW-10%)]],TRUE)*100,"")</f>
        <v/>
      </c>
      <c r="L6304" s="7" t="str">
        <f>IF(Table1[[#This Row],[Is Data Valid]]=TRUE,_xlfn.NORM.S.DIST(Table1[[#This Row],[Birthweight Z-Score (BW+10%)]],TRUE)*100,"")</f>
        <v/>
      </c>
    </row>
    <row r="6305" spans="1:12" x14ac:dyDescent="0.35">
      <c r="A6305" s="3"/>
      <c r="B6305" s="2"/>
      <c r="C6305" s="2"/>
      <c r="D6305" s="2" t="b">
        <f>IF(AND(NOT(ISBLANK(Table1[[#This Row],[Fetal Sex (Male, Female or Unknown)]])),ISNUMBER(Table1[[#This Row],[Birthweight (grams)]]),ISNUMBER(Table1[[#This Row],[Gestation (days)]])),TRUE,FALSE)</f>
        <v>0</v>
      </c>
      <c r="E6305" s="2" t="str">
        <f>IF(Table1[[#This Row],[Is Data Valid]]=TRUE,IF(Table1[[#This Row],[Fetal Sex (Male, Female or Unknown)]]="Male",Backend!$C$6,IF(Table1[[#This Row],[Fetal Sex (Male, Female or Unknown)]]="Female",Backend!$C$7,IF(Table1[[#This Row],[Fetal Sex (Male, Female or Unknown)]]="Unknown",Backend!$C$8,"Error"))),"")</f>
        <v/>
      </c>
      <c r="F6305" s="8" t="str">
        <f>IF(Table1[[#This Row],[Is Data Valid]]=TRUE,EXP(0.578+0.332*((Table1[[#This Row],[Gestation (days)]]+0.5)/7)-0.00354*((Table1[[#This Row],[Gestation (days)]]+0.5)/7)^2)*Table1[[#This Row],[BW40_3705]],"")</f>
        <v/>
      </c>
      <c r="G6305" s="2" t="str">
        <f>IF(Table1[[#This Row],[Is Data Valid]]=TRUE,((Table1[[#This Row],[Birthweight (grams)]]/Table1[[#This Row],[BW_GA]])-1)/(Backend!$B$4/100*Table1[[#This Row],[BW40_3705]]),"")</f>
        <v/>
      </c>
      <c r="H6305" s="7" t="str">
        <f>IF(Table1[[#This Row],[Is Data Valid]]=TRUE,((Table1[[#This Row],[Birthweight (grams)]]*0.9/Table1[[#This Row],[BW_GA]])-1)/(Backend!$B$4/100*Table1[[#This Row],[BW40_3705]]),"")</f>
        <v/>
      </c>
      <c r="I6305" s="7" t="str">
        <f>IF(Table1[[#This Row],[Is Data Valid]]=TRUE,((Table1[[#This Row],[Birthweight (grams)]]*1.1/Table1[[#This Row],[BW_GA]])-1)/(Backend!$B$4/100*Table1[[#This Row],[BW40_3705]]),"")</f>
        <v/>
      </c>
      <c r="J6305" s="7" t="str">
        <f>IF(Table1[[#This Row],[Is Data Valid]]=TRUE,_xlfn.NORM.S.DIST(Table1[[#This Row],[Birthweight Z-Score]],TRUE)*100,"")</f>
        <v/>
      </c>
      <c r="K6305" s="7" t="str">
        <f>IF(Table1[[#This Row],[Is Data Valid]]=TRUE,_xlfn.NORM.S.DIST(Table1[[#This Row],[Birthweight Z-Score (BW-10%)]],TRUE)*100,"")</f>
        <v/>
      </c>
      <c r="L6305" s="7" t="str">
        <f>IF(Table1[[#This Row],[Is Data Valid]]=TRUE,_xlfn.NORM.S.DIST(Table1[[#This Row],[Birthweight Z-Score (BW+10%)]],TRUE)*100,"")</f>
        <v/>
      </c>
    </row>
    <row r="6306" spans="1:12" x14ac:dyDescent="0.35">
      <c r="A6306" s="3"/>
      <c r="B6306" s="2"/>
      <c r="C6306" s="2"/>
      <c r="D6306" s="2" t="b">
        <f>IF(AND(NOT(ISBLANK(Table1[[#This Row],[Fetal Sex (Male, Female or Unknown)]])),ISNUMBER(Table1[[#This Row],[Birthweight (grams)]]),ISNUMBER(Table1[[#This Row],[Gestation (days)]])),TRUE,FALSE)</f>
        <v>0</v>
      </c>
      <c r="E6306" s="2" t="str">
        <f>IF(Table1[[#This Row],[Is Data Valid]]=TRUE,IF(Table1[[#This Row],[Fetal Sex (Male, Female or Unknown)]]="Male",Backend!$C$6,IF(Table1[[#This Row],[Fetal Sex (Male, Female or Unknown)]]="Female",Backend!$C$7,IF(Table1[[#This Row],[Fetal Sex (Male, Female or Unknown)]]="Unknown",Backend!$C$8,"Error"))),"")</f>
        <v/>
      </c>
      <c r="F6306" s="8" t="str">
        <f>IF(Table1[[#This Row],[Is Data Valid]]=TRUE,EXP(0.578+0.332*((Table1[[#This Row],[Gestation (days)]]+0.5)/7)-0.00354*((Table1[[#This Row],[Gestation (days)]]+0.5)/7)^2)*Table1[[#This Row],[BW40_3705]],"")</f>
        <v/>
      </c>
      <c r="G6306" s="2" t="str">
        <f>IF(Table1[[#This Row],[Is Data Valid]]=TRUE,((Table1[[#This Row],[Birthweight (grams)]]/Table1[[#This Row],[BW_GA]])-1)/(Backend!$B$4/100*Table1[[#This Row],[BW40_3705]]),"")</f>
        <v/>
      </c>
      <c r="H6306" s="7" t="str">
        <f>IF(Table1[[#This Row],[Is Data Valid]]=TRUE,((Table1[[#This Row],[Birthweight (grams)]]*0.9/Table1[[#This Row],[BW_GA]])-1)/(Backend!$B$4/100*Table1[[#This Row],[BW40_3705]]),"")</f>
        <v/>
      </c>
      <c r="I6306" s="7" t="str">
        <f>IF(Table1[[#This Row],[Is Data Valid]]=TRUE,((Table1[[#This Row],[Birthweight (grams)]]*1.1/Table1[[#This Row],[BW_GA]])-1)/(Backend!$B$4/100*Table1[[#This Row],[BW40_3705]]),"")</f>
        <v/>
      </c>
      <c r="J6306" s="7" t="str">
        <f>IF(Table1[[#This Row],[Is Data Valid]]=TRUE,_xlfn.NORM.S.DIST(Table1[[#This Row],[Birthweight Z-Score]],TRUE)*100,"")</f>
        <v/>
      </c>
      <c r="K6306" s="7" t="str">
        <f>IF(Table1[[#This Row],[Is Data Valid]]=TRUE,_xlfn.NORM.S.DIST(Table1[[#This Row],[Birthweight Z-Score (BW-10%)]],TRUE)*100,"")</f>
        <v/>
      </c>
      <c r="L6306" s="7" t="str">
        <f>IF(Table1[[#This Row],[Is Data Valid]]=TRUE,_xlfn.NORM.S.DIST(Table1[[#This Row],[Birthweight Z-Score (BW+10%)]],TRUE)*100,"")</f>
        <v/>
      </c>
    </row>
    <row r="6307" spans="1:12" x14ac:dyDescent="0.35">
      <c r="A6307" s="3"/>
      <c r="B6307" s="2"/>
      <c r="C6307" s="2"/>
      <c r="D6307" s="2" t="b">
        <f>IF(AND(NOT(ISBLANK(Table1[[#This Row],[Fetal Sex (Male, Female or Unknown)]])),ISNUMBER(Table1[[#This Row],[Birthweight (grams)]]),ISNUMBER(Table1[[#This Row],[Gestation (days)]])),TRUE,FALSE)</f>
        <v>0</v>
      </c>
      <c r="E6307" s="2" t="str">
        <f>IF(Table1[[#This Row],[Is Data Valid]]=TRUE,IF(Table1[[#This Row],[Fetal Sex (Male, Female or Unknown)]]="Male",Backend!$C$6,IF(Table1[[#This Row],[Fetal Sex (Male, Female or Unknown)]]="Female",Backend!$C$7,IF(Table1[[#This Row],[Fetal Sex (Male, Female or Unknown)]]="Unknown",Backend!$C$8,"Error"))),"")</f>
        <v/>
      </c>
      <c r="F6307" s="8" t="str">
        <f>IF(Table1[[#This Row],[Is Data Valid]]=TRUE,EXP(0.578+0.332*((Table1[[#This Row],[Gestation (days)]]+0.5)/7)-0.00354*((Table1[[#This Row],[Gestation (days)]]+0.5)/7)^2)*Table1[[#This Row],[BW40_3705]],"")</f>
        <v/>
      </c>
      <c r="G6307" s="2" t="str">
        <f>IF(Table1[[#This Row],[Is Data Valid]]=TRUE,((Table1[[#This Row],[Birthweight (grams)]]/Table1[[#This Row],[BW_GA]])-1)/(Backend!$B$4/100*Table1[[#This Row],[BW40_3705]]),"")</f>
        <v/>
      </c>
      <c r="H6307" s="7" t="str">
        <f>IF(Table1[[#This Row],[Is Data Valid]]=TRUE,((Table1[[#This Row],[Birthweight (grams)]]*0.9/Table1[[#This Row],[BW_GA]])-1)/(Backend!$B$4/100*Table1[[#This Row],[BW40_3705]]),"")</f>
        <v/>
      </c>
      <c r="I6307" s="7" t="str">
        <f>IF(Table1[[#This Row],[Is Data Valid]]=TRUE,((Table1[[#This Row],[Birthweight (grams)]]*1.1/Table1[[#This Row],[BW_GA]])-1)/(Backend!$B$4/100*Table1[[#This Row],[BW40_3705]]),"")</f>
        <v/>
      </c>
      <c r="J6307" s="7" t="str">
        <f>IF(Table1[[#This Row],[Is Data Valid]]=TRUE,_xlfn.NORM.S.DIST(Table1[[#This Row],[Birthweight Z-Score]],TRUE)*100,"")</f>
        <v/>
      </c>
      <c r="K6307" s="7" t="str">
        <f>IF(Table1[[#This Row],[Is Data Valid]]=TRUE,_xlfn.NORM.S.DIST(Table1[[#This Row],[Birthweight Z-Score (BW-10%)]],TRUE)*100,"")</f>
        <v/>
      </c>
      <c r="L6307" s="7" t="str">
        <f>IF(Table1[[#This Row],[Is Data Valid]]=TRUE,_xlfn.NORM.S.DIST(Table1[[#This Row],[Birthweight Z-Score (BW+10%)]],TRUE)*100,"")</f>
        <v/>
      </c>
    </row>
    <row r="6308" spans="1:12" x14ac:dyDescent="0.35">
      <c r="A6308" s="3"/>
      <c r="B6308" s="2"/>
      <c r="C6308" s="2"/>
      <c r="D6308" s="2" t="b">
        <f>IF(AND(NOT(ISBLANK(Table1[[#This Row],[Fetal Sex (Male, Female or Unknown)]])),ISNUMBER(Table1[[#This Row],[Birthweight (grams)]]),ISNUMBER(Table1[[#This Row],[Gestation (days)]])),TRUE,FALSE)</f>
        <v>0</v>
      </c>
      <c r="E6308" s="2" t="str">
        <f>IF(Table1[[#This Row],[Is Data Valid]]=TRUE,IF(Table1[[#This Row],[Fetal Sex (Male, Female or Unknown)]]="Male",Backend!$C$6,IF(Table1[[#This Row],[Fetal Sex (Male, Female or Unknown)]]="Female",Backend!$C$7,IF(Table1[[#This Row],[Fetal Sex (Male, Female or Unknown)]]="Unknown",Backend!$C$8,"Error"))),"")</f>
        <v/>
      </c>
      <c r="F6308" s="8" t="str">
        <f>IF(Table1[[#This Row],[Is Data Valid]]=TRUE,EXP(0.578+0.332*((Table1[[#This Row],[Gestation (days)]]+0.5)/7)-0.00354*((Table1[[#This Row],[Gestation (days)]]+0.5)/7)^2)*Table1[[#This Row],[BW40_3705]],"")</f>
        <v/>
      </c>
      <c r="G6308" s="2" t="str">
        <f>IF(Table1[[#This Row],[Is Data Valid]]=TRUE,((Table1[[#This Row],[Birthweight (grams)]]/Table1[[#This Row],[BW_GA]])-1)/(Backend!$B$4/100*Table1[[#This Row],[BW40_3705]]),"")</f>
        <v/>
      </c>
      <c r="H6308" s="7" t="str">
        <f>IF(Table1[[#This Row],[Is Data Valid]]=TRUE,((Table1[[#This Row],[Birthweight (grams)]]*0.9/Table1[[#This Row],[BW_GA]])-1)/(Backend!$B$4/100*Table1[[#This Row],[BW40_3705]]),"")</f>
        <v/>
      </c>
      <c r="I6308" s="7" t="str">
        <f>IF(Table1[[#This Row],[Is Data Valid]]=TRUE,((Table1[[#This Row],[Birthweight (grams)]]*1.1/Table1[[#This Row],[BW_GA]])-1)/(Backend!$B$4/100*Table1[[#This Row],[BW40_3705]]),"")</f>
        <v/>
      </c>
      <c r="J6308" s="7" t="str">
        <f>IF(Table1[[#This Row],[Is Data Valid]]=TRUE,_xlfn.NORM.S.DIST(Table1[[#This Row],[Birthweight Z-Score]],TRUE)*100,"")</f>
        <v/>
      </c>
      <c r="K6308" s="7" t="str">
        <f>IF(Table1[[#This Row],[Is Data Valid]]=TRUE,_xlfn.NORM.S.DIST(Table1[[#This Row],[Birthweight Z-Score (BW-10%)]],TRUE)*100,"")</f>
        <v/>
      </c>
      <c r="L6308" s="7" t="str">
        <f>IF(Table1[[#This Row],[Is Data Valid]]=TRUE,_xlfn.NORM.S.DIST(Table1[[#This Row],[Birthweight Z-Score (BW+10%)]],TRUE)*100,"")</f>
        <v/>
      </c>
    </row>
    <row r="6309" spans="1:12" x14ac:dyDescent="0.35">
      <c r="A6309" s="3"/>
      <c r="B6309" s="2"/>
      <c r="C6309" s="2"/>
      <c r="D6309" s="2" t="b">
        <f>IF(AND(NOT(ISBLANK(Table1[[#This Row],[Fetal Sex (Male, Female or Unknown)]])),ISNUMBER(Table1[[#This Row],[Birthweight (grams)]]),ISNUMBER(Table1[[#This Row],[Gestation (days)]])),TRUE,FALSE)</f>
        <v>0</v>
      </c>
      <c r="E6309" s="2" t="str">
        <f>IF(Table1[[#This Row],[Is Data Valid]]=TRUE,IF(Table1[[#This Row],[Fetal Sex (Male, Female or Unknown)]]="Male",Backend!$C$6,IF(Table1[[#This Row],[Fetal Sex (Male, Female or Unknown)]]="Female",Backend!$C$7,IF(Table1[[#This Row],[Fetal Sex (Male, Female or Unknown)]]="Unknown",Backend!$C$8,"Error"))),"")</f>
        <v/>
      </c>
      <c r="F6309" s="8" t="str">
        <f>IF(Table1[[#This Row],[Is Data Valid]]=TRUE,EXP(0.578+0.332*((Table1[[#This Row],[Gestation (days)]]+0.5)/7)-0.00354*((Table1[[#This Row],[Gestation (days)]]+0.5)/7)^2)*Table1[[#This Row],[BW40_3705]],"")</f>
        <v/>
      </c>
      <c r="G6309" s="2" t="str">
        <f>IF(Table1[[#This Row],[Is Data Valid]]=TRUE,((Table1[[#This Row],[Birthweight (grams)]]/Table1[[#This Row],[BW_GA]])-1)/(Backend!$B$4/100*Table1[[#This Row],[BW40_3705]]),"")</f>
        <v/>
      </c>
      <c r="H6309" s="7" t="str">
        <f>IF(Table1[[#This Row],[Is Data Valid]]=TRUE,((Table1[[#This Row],[Birthweight (grams)]]*0.9/Table1[[#This Row],[BW_GA]])-1)/(Backend!$B$4/100*Table1[[#This Row],[BW40_3705]]),"")</f>
        <v/>
      </c>
      <c r="I6309" s="7" t="str">
        <f>IF(Table1[[#This Row],[Is Data Valid]]=TRUE,((Table1[[#This Row],[Birthweight (grams)]]*1.1/Table1[[#This Row],[BW_GA]])-1)/(Backend!$B$4/100*Table1[[#This Row],[BW40_3705]]),"")</f>
        <v/>
      </c>
      <c r="J6309" s="7" t="str">
        <f>IF(Table1[[#This Row],[Is Data Valid]]=TRUE,_xlfn.NORM.S.DIST(Table1[[#This Row],[Birthweight Z-Score]],TRUE)*100,"")</f>
        <v/>
      </c>
      <c r="K6309" s="7" t="str">
        <f>IF(Table1[[#This Row],[Is Data Valid]]=TRUE,_xlfn.NORM.S.DIST(Table1[[#This Row],[Birthweight Z-Score (BW-10%)]],TRUE)*100,"")</f>
        <v/>
      </c>
      <c r="L6309" s="7" t="str">
        <f>IF(Table1[[#This Row],[Is Data Valid]]=TRUE,_xlfn.NORM.S.DIST(Table1[[#This Row],[Birthweight Z-Score (BW+10%)]],TRUE)*100,"")</f>
        <v/>
      </c>
    </row>
    <row r="6310" spans="1:12" x14ac:dyDescent="0.35">
      <c r="A6310" s="3"/>
      <c r="B6310" s="2"/>
      <c r="C6310" s="2"/>
      <c r="D6310" s="2" t="b">
        <f>IF(AND(NOT(ISBLANK(Table1[[#This Row],[Fetal Sex (Male, Female or Unknown)]])),ISNUMBER(Table1[[#This Row],[Birthweight (grams)]]),ISNUMBER(Table1[[#This Row],[Gestation (days)]])),TRUE,FALSE)</f>
        <v>0</v>
      </c>
      <c r="E6310" s="2" t="str">
        <f>IF(Table1[[#This Row],[Is Data Valid]]=TRUE,IF(Table1[[#This Row],[Fetal Sex (Male, Female or Unknown)]]="Male",Backend!$C$6,IF(Table1[[#This Row],[Fetal Sex (Male, Female or Unknown)]]="Female",Backend!$C$7,IF(Table1[[#This Row],[Fetal Sex (Male, Female or Unknown)]]="Unknown",Backend!$C$8,"Error"))),"")</f>
        <v/>
      </c>
      <c r="F6310" s="8" t="str">
        <f>IF(Table1[[#This Row],[Is Data Valid]]=TRUE,EXP(0.578+0.332*((Table1[[#This Row],[Gestation (days)]]+0.5)/7)-0.00354*((Table1[[#This Row],[Gestation (days)]]+0.5)/7)^2)*Table1[[#This Row],[BW40_3705]],"")</f>
        <v/>
      </c>
      <c r="G6310" s="2" t="str">
        <f>IF(Table1[[#This Row],[Is Data Valid]]=TRUE,((Table1[[#This Row],[Birthweight (grams)]]/Table1[[#This Row],[BW_GA]])-1)/(Backend!$B$4/100*Table1[[#This Row],[BW40_3705]]),"")</f>
        <v/>
      </c>
      <c r="H6310" s="7" t="str">
        <f>IF(Table1[[#This Row],[Is Data Valid]]=TRUE,((Table1[[#This Row],[Birthweight (grams)]]*0.9/Table1[[#This Row],[BW_GA]])-1)/(Backend!$B$4/100*Table1[[#This Row],[BW40_3705]]),"")</f>
        <v/>
      </c>
      <c r="I6310" s="7" t="str">
        <f>IF(Table1[[#This Row],[Is Data Valid]]=TRUE,((Table1[[#This Row],[Birthweight (grams)]]*1.1/Table1[[#This Row],[BW_GA]])-1)/(Backend!$B$4/100*Table1[[#This Row],[BW40_3705]]),"")</f>
        <v/>
      </c>
      <c r="J6310" s="7" t="str">
        <f>IF(Table1[[#This Row],[Is Data Valid]]=TRUE,_xlfn.NORM.S.DIST(Table1[[#This Row],[Birthweight Z-Score]],TRUE)*100,"")</f>
        <v/>
      </c>
      <c r="K6310" s="7" t="str">
        <f>IF(Table1[[#This Row],[Is Data Valid]]=TRUE,_xlfn.NORM.S.DIST(Table1[[#This Row],[Birthweight Z-Score (BW-10%)]],TRUE)*100,"")</f>
        <v/>
      </c>
      <c r="L6310" s="7" t="str">
        <f>IF(Table1[[#This Row],[Is Data Valid]]=TRUE,_xlfn.NORM.S.DIST(Table1[[#This Row],[Birthweight Z-Score (BW+10%)]],TRUE)*100,"")</f>
        <v/>
      </c>
    </row>
    <row r="6311" spans="1:12" x14ac:dyDescent="0.35">
      <c r="A6311" s="3"/>
      <c r="B6311" s="2"/>
      <c r="C6311" s="2"/>
      <c r="D6311" s="2" t="b">
        <f>IF(AND(NOT(ISBLANK(Table1[[#This Row],[Fetal Sex (Male, Female or Unknown)]])),ISNUMBER(Table1[[#This Row],[Birthweight (grams)]]),ISNUMBER(Table1[[#This Row],[Gestation (days)]])),TRUE,FALSE)</f>
        <v>0</v>
      </c>
      <c r="E6311" s="2" t="str">
        <f>IF(Table1[[#This Row],[Is Data Valid]]=TRUE,IF(Table1[[#This Row],[Fetal Sex (Male, Female or Unknown)]]="Male",Backend!$C$6,IF(Table1[[#This Row],[Fetal Sex (Male, Female or Unknown)]]="Female",Backend!$C$7,IF(Table1[[#This Row],[Fetal Sex (Male, Female or Unknown)]]="Unknown",Backend!$C$8,"Error"))),"")</f>
        <v/>
      </c>
      <c r="F6311" s="8" t="str">
        <f>IF(Table1[[#This Row],[Is Data Valid]]=TRUE,EXP(0.578+0.332*((Table1[[#This Row],[Gestation (days)]]+0.5)/7)-0.00354*((Table1[[#This Row],[Gestation (days)]]+0.5)/7)^2)*Table1[[#This Row],[BW40_3705]],"")</f>
        <v/>
      </c>
      <c r="G6311" s="2" t="str">
        <f>IF(Table1[[#This Row],[Is Data Valid]]=TRUE,((Table1[[#This Row],[Birthweight (grams)]]/Table1[[#This Row],[BW_GA]])-1)/(Backend!$B$4/100*Table1[[#This Row],[BW40_3705]]),"")</f>
        <v/>
      </c>
      <c r="H6311" s="7" t="str">
        <f>IF(Table1[[#This Row],[Is Data Valid]]=TRUE,((Table1[[#This Row],[Birthweight (grams)]]*0.9/Table1[[#This Row],[BW_GA]])-1)/(Backend!$B$4/100*Table1[[#This Row],[BW40_3705]]),"")</f>
        <v/>
      </c>
      <c r="I6311" s="7" t="str">
        <f>IF(Table1[[#This Row],[Is Data Valid]]=TRUE,((Table1[[#This Row],[Birthweight (grams)]]*1.1/Table1[[#This Row],[BW_GA]])-1)/(Backend!$B$4/100*Table1[[#This Row],[BW40_3705]]),"")</f>
        <v/>
      </c>
      <c r="J6311" s="7" t="str">
        <f>IF(Table1[[#This Row],[Is Data Valid]]=TRUE,_xlfn.NORM.S.DIST(Table1[[#This Row],[Birthweight Z-Score]],TRUE)*100,"")</f>
        <v/>
      </c>
      <c r="K6311" s="7" t="str">
        <f>IF(Table1[[#This Row],[Is Data Valid]]=TRUE,_xlfn.NORM.S.DIST(Table1[[#This Row],[Birthweight Z-Score (BW-10%)]],TRUE)*100,"")</f>
        <v/>
      </c>
      <c r="L6311" s="7" t="str">
        <f>IF(Table1[[#This Row],[Is Data Valid]]=TRUE,_xlfn.NORM.S.DIST(Table1[[#This Row],[Birthweight Z-Score (BW+10%)]],TRUE)*100,"")</f>
        <v/>
      </c>
    </row>
    <row r="6312" spans="1:12" x14ac:dyDescent="0.35">
      <c r="A6312" s="3"/>
      <c r="B6312" s="2"/>
      <c r="C6312" s="2"/>
      <c r="D6312" s="2" t="b">
        <f>IF(AND(NOT(ISBLANK(Table1[[#This Row],[Fetal Sex (Male, Female or Unknown)]])),ISNUMBER(Table1[[#This Row],[Birthweight (grams)]]),ISNUMBER(Table1[[#This Row],[Gestation (days)]])),TRUE,FALSE)</f>
        <v>0</v>
      </c>
      <c r="E6312" s="2" t="str">
        <f>IF(Table1[[#This Row],[Is Data Valid]]=TRUE,IF(Table1[[#This Row],[Fetal Sex (Male, Female or Unknown)]]="Male",Backend!$C$6,IF(Table1[[#This Row],[Fetal Sex (Male, Female or Unknown)]]="Female",Backend!$C$7,IF(Table1[[#This Row],[Fetal Sex (Male, Female or Unknown)]]="Unknown",Backend!$C$8,"Error"))),"")</f>
        <v/>
      </c>
      <c r="F6312" s="8" t="str">
        <f>IF(Table1[[#This Row],[Is Data Valid]]=TRUE,EXP(0.578+0.332*((Table1[[#This Row],[Gestation (days)]]+0.5)/7)-0.00354*((Table1[[#This Row],[Gestation (days)]]+0.5)/7)^2)*Table1[[#This Row],[BW40_3705]],"")</f>
        <v/>
      </c>
      <c r="G6312" s="2" t="str">
        <f>IF(Table1[[#This Row],[Is Data Valid]]=TRUE,((Table1[[#This Row],[Birthweight (grams)]]/Table1[[#This Row],[BW_GA]])-1)/(Backend!$B$4/100*Table1[[#This Row],[BW40_3705]]),"")</f>
        <v/>
      </c>
      <c r="H6312" s="7" t="str">
        <f>IF(Table1[[#This Row],[Is Data Valid]]=TRUE,((Table1[[#This Row],[Birthweight (grams)]]*0.9/Table1[[#This Row],[BW_GA]])-1)/(Backend!$B$4/100*Table1[[#This Row],[BW40_3705]]),"")</f>
        <v/>
      </c>
      <c r="I6312" s="7" t="str">
        <f>IF(Table1[[#This Row],[Is Data Valid]]=TRUE,((Table1[[#This Row],[Birthweight (grams)]]*1.1/Table1[[#This Row],[BW_GA]])-1)/(Backend!$B$4/100*Table1[[#This Row],[BW40_3705]]),"")</f>
        <v/>
      </c>
      <c r="J6312" s="7" t="str">
        <f>IF(Table1[[#This Row],[Is Data Valid]]=TRUE,_xlfn.NORM.S.DIST(Table1[[#This Row],[Birthweight Z-Score]],TRUE)*100,"")</f>
        <v/>
      </c>
      <c r="K6312" s="7" t="str">
        <f>IF(Table1[[#This Row],[Is Data Valid]]=TRUE,_xlfn.NORM.S.DIST(Table1[[#This Row],[Birthweight Z-Score (BW-10%)]],TRUE)*100,"")</f>
        <v/>
      </c>
      <c r="L6312" s="7" t="str">
        <f>IF(Table1[[#This Row],[Is Data Valid]]=TRUE,_xlfn.NORM.S.DIST(Table1[[#This Row],[Birthweight Z-Score (BW+10%)]],TRUE)*100,"")</f>
        <v/>
      </c>
    </row>
    <row r="6313" spans="1:12" x14ac:dyDescent="0.35">
      <c r="A6313" s="3"/>
      <c r="B6313" s="2"/>
      <c r="C6313" s="2"/>
      <c r="D6313" s="2" t="b">
        <f>IF(AND(NOT(ISBLANK(Table1[[#This Row],[Fetal Sex (Male, Female or Unknown)]])),ISNUMBER(Table1[[#This Row],[Birthweight (grams)]]),ISNUMBER(Table1[[#This Row],[Gestation (days)]])),TRUE,FALSE)</f>
        <v>0</v>
      </c>
      <c r="E6313" s="2" t="str">
        <f>IF(Table1[[#This Row],[Is Data Valid]]=TRUE,IF(Table1[[#This Row],[Fetal Sex (Male, Female or Unknown)]]="Male",Backend!$C$6,IF(Table1[[#This Row],[Fetal Sex (Male, Female or Unknown)]]="Female",Backend!$C$7,IF(Table1[[#This Row],[Fetal Sex (Male, Female or Unknown)]]="Unknown",Backend!$C$8,"Error"))),"")</f>
        <v/>
      </c>
      <c r="F6313" s="8" t="str">
        <f>IF(Table1[[#This Row],[Is Data Valid]]=TRUE,EXP(0.578+0.332*((Table1[[#This Row],[Gestation (days)]]+0.5)/7)-0.00354*((Table1[[#This Row],[Gestation (days)]]+0.5)/7)^2)*Table1[[#This Row],[BW40_3705]],"")</f>
        <v/>
      </c>
      <c r="G6313" s="2" t="str">
        <f>IF(Table1[[#This Row],[Is Data Valid]]=TRUE,((Table1[[#This Row],[Birthweight (grams)]]/Table1[[#This Row],[BW_GA]])-1)/(Backend!$B$4/100*Table1[[#This Row],[BW40_3705]]),"")</f>
        <v/>
      </c>
      <c r="H6313" s="7" t="str">
        <f>IF(Table1[[#This Row],[Is Data Valid]]=TRUE,((Table1[[#This Row],[Birthweight (grams)]]*0.9/Table1[[#This Row],[BW_GA]])-1)/(Backend!$B$4/100*Table1[[#This Row],[BW40_3705]]),"")</f>
        <v/>
      </c>
      <c r="I6313" s="7" t="str">
        <f>IF(Table1[[#This Row],[Is Data Valid]]=TRUE,((Table1[[#This Row],[Birthweight (grams)]]*1.1/Table1[[#This Row],[BW_GA]])-1)/(Backend!$B$4/100*Table1[[#This Row],[BW40_3705]]),"")</f>
        <v/>
      </c>
      <c r="J6313" s="7" t="str">
        <f>IF(Table1[[#This Row],[Is Data Valid]]=TRUE,_xlfn.NORM.S.DIST(Table1[[#This Row],[Birthweight Z-Score]],TRUE)*100,"")</f>
        <v/>
      </c>
      <c r="K6313" s="7" t="str">
        <f>IF(Table1[[#This Row],[Is Data Valid]]=TRUE,_xlfn.NORM.S.DIST(Table1[[#This Row],[Birthweight Z-Score (BW-10%)]],TRUE)*100,"")</f>
        <v/>
      </c>
      <c r="L6313" s="7" t="str">
        <f>IF(Table1[[#This Row],[Is Data Valid]]=TRUE,_xlfn.NORM.S.DIST(Table1[[#This Row],[Birthweight Z-Score (BW+10%)]],TRUE)*100,"")</f>
        <v/>
      </c>
    </row>
    <row r="6314" spans="1:12" x14ac:dyDescent="0.35">
      <c r="A6314" s="3"/>
      <c r="B6314" s="2"/>
      <c r="C6314" s="2"/>
      <c r="D6314" s="2" t="b">
        <f>IF(AND(NOT(ISBLANK(Table1[[#This Row],[Fetal Sex (Male, Female or Unknown)]])),ISNUMBER(Table1[[#This Row],[Birthweight (grams)]]),ISNUMBER(Table1[[#This Row],[Gestation (days)]])),TRUE,FALSE)</f>
        <v>0</v>
      </c>
      <c r="E6314" s="2" t="str">
        <f>IF(Table1[[#This Row],[Is Data Valid]]=TRUE,IF(Table1[[#This Row],[Fetal Sex (Male, Female or Unknown)]]="Male",Backend!$C$6,IF(Table1[[#This Row],[Fetal Sex (Male, Female or Unknown)]]="Female",Backend!$C$7,IF(Table1[[#This Row],[Fetal Sex (Male, Female or Unknown)]]="Unknown",Backend!$C$8,"Error"))),"")</f>
        <v/>
      </c>
      <c r="F6314" s="8" t="str">
        <f>IF(Table1[[#This Row],[Is Data Valid]]=TRUE,EXP(0.578+0.332*((Table1[[#This Row],[Gestation (days)]]+0.5)/7)-0.00354*((Table1[[#This Row],[Gestation (days)]]+0.5)/7)^2)*Table1[[#This Row],[BW40_3705]],"")</f>
        <v/>
      </c>
      <c r="G6314" s="2" t="str">
        <f>IF(Table1[[#This Row],[Is Data Valid]]=TRUE,((Table1[[#This Row],[Birthweight (grams)]]/Table1[[#This Row],[BW_GA]])-1)/(Backend!$B$4/100*Table1[[#This Row],[BW40_3705]]),"")</f>
        <v/>
      </c>
      <c r="H6314" s="7" t="str">
        <f>IF(Table1[[#This Row],[Is Data Valid]]=TRUE,((Table1[[#This Row],[Birthweight (grams)]]*0.9/Table1[[#This Row],[BW_GA]])-1)/(Backend!$B$4/100*Table1[[#This Row],[BW40_3705]]),"")</f>
        <v/>
      </c>
      <c r="I6314" s="7" t="str">
        <f>IF(Table1[[#This Row],[Is Data Valid]]=TRUE,((Table1[[#This Row],[Birthweight (grams)]]*1.1/Table1[[#This Row],[BW_GA]])-1)/(Backend!$B$4/100*Table1[[#This Row],[BW40_3705]]),"")</f>
        <v/>
      </c>
      <c r="J6314" s="7" t="str">
        <f>IF(Table1[[#This Row],[Is Data Valid]]=TRUE,_xlfn.NORM.S.DIST(Table1[[#This Row],[Birthweight Z-Score]],TRUE)*100,"")</f>
        <v/>
      </c>
      <c r="K6314" s="7" t="str">
        <f>IF(Table1[[#This Row],[Is Data Valid]]=TRUE,_xlfn.NORM.S.DIST(Table1[[#This Row],[Birthweight Z-Score (BW-10%)]],TRUE)*100,"")</f>
        <v/>
      </c>
      <c r="L6314" s="7" t="str">
        <f>IF(Table1[[#This Row],[Is Data Valid]]=TRUE,_xlfn.NORM.S.DIST(Table1[[#This Row],[Birthweight Z-Score (BW+10%)]],TRUE)*100,"")</f>
        <v/>
      </c>
    </row>
    <row r="6315" spans="1:12" x14ac:dyDescent="0.35">
      <c r="A6315" s="3"/>
      <c r="B6315" s="2"/>
      <c r="C6315" s="2"/>
      <c r="D6315" s="2" t="b">
        <f>IF(AND(NOT(ISBLANK(Table1[[#This Row],[Fetal Sex (Male, Female or Unknown)]])),ISNUMBER(Table1[[#This Row],[Birthweight (grams)]]),ISNUMBER(Table1[[#This Row],[Gestation (days)]])),TRUE,FALSE)</f>
        <v>0</v>
      </c>
      <c r="E6315" s="2" t="str">
        <f>IF(Table1[[#This Row],[Is Data Valid]]=TRUE,IF(Table1[[#This Row],[Fetal Sex (Male, Female or Unknown)]]="Male",Backend!$C$6,IF(Table1[[#This Row],[Fetal Sex (Male, Female or Unknown)]]="Female",Backend!$C$7,IF(Table1[[#This Row],[Fetal Sex (Male, Female or Unknown)]]="Unknown",Backend!$C$8,"Error"))),"")</f>
        <v/>
      </c>
      <c r="F6315" s="8" t="str">
        <f>IF(Table1[[#This Row],[Is Data Valid]]=TRUE,EXP(0.578+0.332*((Table1[[#This Row],[Gestation (days)]]+0.5)/7)-0.00354*((Table1[[#This Row],[Gestation (days)]]+0.5)/7)^2)*Table1[[#This Row],[BW40_3705]],"")</f>
        <v/>
      </c>
      <c r="G6315" s="2" t="str">
        <f>IF(Table1[[#This Row],[Is Data Valid]]=TRUE,((Table1[[#This Row],[Birthweight (grams)]]/Table1[[#This Row],[BW_GA]])-1)/(Backend!$B$4/100*Table1[[#This Row],[BW40_3705]]),"")</f>
        <v/>
      </c>
      <c r="H6315" s="7" t="str">
        <f>IF(Table1[[#This Row],[Is Data Valid]]=TRUE,((Table1[[#This Row],[Birthweight (grams)]]*0.9/Table1[[#This Row],[BW_GA]])-1)/(Backend!$B$4/100*Table1[[#This Row],[BW40_3705]]),"")</f>
        <v/>
      </c>
      <c r="I6315" s="7" t="str">
        <f>IF(Table1[[#This Row],[Is Data Valid]]=TRUE,((Table1[[#This Row],[Birthweight (grams)]]*1.1/Table1[[#This Row],[BW_GA]])-1)/(Backend!$B$4/100*Table1[[#This Row],[BW40_3705]]),"")</f>
        <v/>
      </c>
      <c r="J6315" s="7" t="str">
        <f>IF(Table1[[#This Row],[Is Data Valid]]=TRUE,_xlfn.NORM.S.DIST(Table1[[#This Row],[Birthweight Z-Score]],TRUE)*100,"")</f>
        <v/>
      </c>
      <c r="K6315" s="7" t="str">
        <f>IF(Table1[[#This Row],[Is Data Valid]]=TRUE,_xlfn.NORM.S.DIST(Table1[[#This Row],[Birthweight Z-Score (BW-10%)]],TRUE)*100,"")</f>
        <v/>
      </c>
      <c r="L6315" s="7" t="str">
        <f>IF(Table1[[#This Row],[Is Data Valid]]=TRUE,_xlfn.NORM.S.DIST(Table1[[#This Row],[Birthweight Z-Score (BW+10%)]],TRUE)*100,"")</f>
        <v/>
      </c>
    </row>
    <row r="6316" spans="1:12" x14ac:dyDescent="0.35">
      <c r="A6316" s="3"/>
      <c r="B6316" s="2"/>
      <c r="C6316" s="2"/>
      <c r="D6316" s="2" t="b">
        <f>IF(AND(NOT(ISBLANK(Table1[[#This Row],[Fetal Sex (Male, Female or Unknown)]])),ISNUMBER(Table1[[#This Row],[Birthweight (grams)]]),ISNUMBER(Table1[[#This Row],[Gestation (days)]])),TRUE,FALSE)</f>
        <v>0</v>
      </c>
      <c r="E6316" s="2" t="str">
        <f>IF(Table1[[#This Row],[Is Data Valid]]=TRUE,IF(Table1[[#This Row],[Fetal Sex (Male, Female or Unknown)]]="Male",Backend!$C$6,IF(Table1[[#This Row],[Fetal Sex (Male, Female or Unknown)]]="Female",Backend!$C$7,IF(Table1[[#This Row],[Fetal Sex (Male, Female or Unknown)]]="Unknown",Backend!$C$8,"Error"))),"")</f>
        <v/>
      </c>
      <c r="F6316" s="8" t="str">
        <f>IF(Table1[[#This Row],[Is Data Valid]]=TRUE,EXP(0.578+0.332*((Table1[[#This Row],[Gestation (days)]]+0.5)/7)-0.00354*((Table1[[#This Row],[Gestation (days)]]+0.5)/7)^2)*Table1[[#This Row],[BW40_3705]],"")</f>
        <v/>
      </c>
      <c r="G6316" s="2" t="str">
        <f>IF(Table1[[#This Row],[Is Data Valid]]=TRUE,((Table1[[#This Row],[Birthweight (grams)]]/Table1[[#This Row],[BW_GA]])-1)/(Backend!$B$4/100*Table1[[#This Row],[BW40_3705]]),"")</f>
        <v/>
      </c>
      <c r="H6316" s="7" t="str">
        <f>IF(Table1[[#This Row],[Is Data Valid]]=TRUE,((Table1[[#This Row],[Birthweight (grams)]]*0.9/Table1[[#This Row],[BW_GA]])-1)/(Backend!$B$4/100*Table1[[#This Row],[BW40_3705]]),"")</f>
        <v/>
      </c>
      <c r="I6316" s="7" t="str">
        <f>IF(Table1[[#This Row],[Is Data Valid]]=TRUE,((Table1[[#This Row],[Birthweight (grams)]]*1.1/Table1[[#This Row],[BW_GA]])-1)/(Backend!$B$4/100*Table1[[#This Row],[BW40_3705]]),"")</f>
        <v/>
      </c>
      <c r="J6316" s="7" t="str">
        <f>IF(Table1[[#This Row],[Is Data Valid]]=TRUE,_xlfn.NORM.S.DIST(Table1[[#This Row],[Birthweight Z-Score]],TRUE)*100,"")</f>
        <v/>
      </c>
      <c r="K6316" s="7" t="str">
        <f>IF(Table1[[#This Row],[Is Data Valid]]=TRUE,_xlfn.NORM.S.DIST(Table1[[#This Row],[Birthweight Z-Score (BW-10%)]],TRUE)*100,"")</f>
        <v/>
      </c>
      <c r="L6316" s="7" t="str">
        <f>IF(Table1[[#This Row],[Is Data Valid]]=TRUE,_xlfn.NORM.S.DIST(Table1[[#This Row],[Birthweight Z-Score (BW+10%)]],TRUE)*100,"")</f>
        <v/>
      </c>
    </row>
    <row r="6317" spans="1:12" x14ac:dyDescent="0.35">
      <c r="A6317" s="3"/>
      <c r="B6317" s="2"/>
      <c r="C6317" s="2"/>
      <c r="D6317" s="2" t="b">
        <f>IF(AND(NOT(ISBLANK(Table1[[#This Row],[Fetal Sex (Male, Female or Unknown)]])),ISNUMBER(Table1[[#This Row],[Birthweight (grams)]]),ISNUMBER(Table1[[#This Row],[Gestation (days)]])),TRUE,FALSE)</f>
        <v>0</v>
      </c>
      <c r="E6317" s="2" t="str">
        <f>IF(Table1[[#This Row],[Is Data Valid]]=TRUE,IF(Table1[[#This Row],[Fetal Sex (Male, Female or Unknown)]]="Male",Backend!$C$6,IF(Table1[[#This Row],[Fetal Sex (Male, Female or Unknown)]]="Female",Backend!$C$7,IF(Table1[[#This Row],[Fetal Sex (Male, Female or Unknown)]]="Unknown",Backend!$C$8,"Error"))),"")</f>
        <v/>
      </c>
      <c r="F6317" s="8" t="str">
        <f>IF(Table1[[#This Row],[Is Data Valid]]=TRUE,EXP(0.578+0.332*((Table1[[#This Row],[Gestation (days)]]+0.5)/7)-0.00354*((Table1[[#This Row],[Gestation (days)]]+0.5)/7)^2)*Table1[[#This Row],[BW40_3705]],"")</f>
        <v/>
      </c>
      <c r="G6317" s="2" t="str">
        <f>IF(Table1[[#This Row],[Is Data Valid]]=TRUE,((Table1[[#This Row],[Birthweight (grams)]]/Table1[[#This Row],[BW_GA]])-1)/(Backend!$B$4/100*Table1[[#This Row],[BW40_3705]]),"")</f>
        <v/>
      </c>
      <c r="H6317" s="7" t="str">
        <f>IF(Table1[[#This Row],[Is Data Valid]]=TRUE,((Table1[[#This Row],[Birthweight (grams)]]*0.9/Table1[[#This Row],[BW_GA]])-1)/(Backend!$B$4/100*Table1[[#This Row],[BW40_3705]]),"")</f>
        <v/>
      </c>
      <c r="I6317" s="7" t="str">
        <f>IF(Table1[[#This Row],[Is Data Valid]]=TRUE,((Table1[[#This Row],[Birthweight (grams)]]*1.1/Table1[[#This Row],[BW_GA]])-1)/(Backend!$B$4/100*Table1[[#This Row],[BW40_3705]]),"")</f>
        <v/>
      </c>
      <c r="J6317" s="7" t="str">
        <f>IF(Table1[[#This Row],[Is Data Valid]]=TRUE,_xlfn.NORM.S.DIST(Table1[[#This Row],[Birthweight Z-Score]],TRUE)*100,"")</f>
        <v/>
      </c>
      <c r="K6317" s="7" t="str">
        <f>IF(Table1[[#This Row],[Is Data Valid]]=TRUE,_xlfn.NORM.S.DIST(Table1[[#This Row],[Birthweight Z-Score (BW-10%)]],TRUE)*100,"")</f>
        <v/>
      </c>
      <c r="L6317" s="7" t="str">
        <f>IF(Table1[[#This Row],[Is Data Valid]]=TRUE,_xlfn.NORM.S.DIST(Table1[[#This Row],[Birthweight Z-Score (BW+10%)]],TRUE)*100,"")</f>
        <v/>
      </c>
    </row>
    <row r="6318" spans="1:12" x14ac:dyDescent="0.35">
      <c r="A6318" s="3"/>
      <c r="B6318" s="2"/>
      <c r="C6318" s="2"/>
      <c r="D6318" s="2" t="b">
        <f>IF(AND(NOT(ISBLANK(Table1[[#This Row],[Fetal Sex (Male, Female or Unknown)]])),ISNUMBER(Table1[[#This Row],[Birthweight (grams)]]),ISNUMBER(Table1[[#This Row],[Gestation (days)]])),TRUE,FALSE)</f>
        <v>0</v>
      </c>
      <c r="E6318" s="2" t="str">
        <f>IF(Table1[[#This Row],[Is Data Valid]]=TRUE,IF(Table1[[#This Row],[Fetal Sex (Male, Female or Unknown)]]="Male",Backend!$C$6,IF(Table1[[#This Row],[Fetal Sex (Male, Female or Unknown)]]="Female",Backend!$C$7,IF(Table1[[#This Row],[Fetal Sex (Male, Female or Unknown)]]="Unknown",Backend!$C$8,"Error"))),"")</f>
        <v/>
      </c>
      <c r="F6318" s="8" t="str">
        <f>IF(Table1[[#This Row],[Is Data Valid]]=TRUE,EXP(0.578+0.332*((Table1[[#This Row],[Gestation (days)]]+0.5)/7)-0.00354*((Table1[[#This Row],[Gestation (days)]]+0.5)/7)^2)*Table1[[#This Row],[BW40_3705]],"")</f>
        <v/>
      </c>
      <c r="G6318" s="2" t="str">
        <f>IF(Table1[[#This Row],[Is Data Valid]]=TRUE,((Table1[[#This Row],[Birthweight (grams)]]/Table1[[#This Row],[BW_GA]])-1)/(Backend!$B$4/100*Table1[[#This Row],[BW40_3705]]),"")</f>
        <v/>
      </c>
      <c r="H6318" s="7" t="str">
        <f>IF(Table1[[#This Row],[Is Data Valid]]=TRUE,((Table1[[#This Row],[Birthweight (grams)]]*0.9/Table1[[#This Row],[BW_GA]])-1)/(Backend!$B$4/100*Table1[[#This Row],[BW40_3705]]),"")</f>
        <v/>
      </c>
      <c r="I6318" s="7" t="str">
        <f>IF(Table1[[#This Row],[Is Data Valid]]=TRUE,((Table1[[#This Row],[Birthweight (grams)]]*1.1/Table1[[#This Row],[BW_GA]])-1)/(Backend!$B$4/100*Table1[[#This Row],[BW40_3705]]),"")</f>
        <v/>
      </c>
      <c r="J6318" s="7" t="str">
        <f>IF(Table1[[#This Row],[Is Data Valid]]=TRUE,_xlfn.NORM.S.DIST(Table1[[#This Row],[Birthweight Z-Score]],TRUE)*100,"")</f>
        <v/>
      </c>
      <c r="K6318" s="7" t="str">
        <f>IF(Table1[[#This Row],[Is Data Valid]]=TRUE,_xlfn.NORM.S.DIST(Table1[[#This Row],[Birthweight Z-Score (BW-10%)]],TRUE)*100,"")</f>
        <v/>
      </c>
      <c r="L6318" s="7" t="str">
        <f>IF(Table1[[#This Row],[Is Data Valid]]=TRUE,_xlfn.NORM.S.DIST(Table1[[#This Row],[Birthweight Z-Score (BW+10%)]],TRUE)*100,"")</f>
        <v/>
      </c>
    </row>
    <row r="6319" spans="1:12" x14ac:dyDescent="0.35">
      <c r="A6319" s="3"/>
      <c r="B6319" s="2"/>
      <c r="C6319" s="2"/>
      <c r="D6319" s="2" t="b">
        <f>IF(AND(NOT(ISBLANK(Table1[[#This Row],[Fetal Sex (Male, Female or Unknown)]])),ISNUMBER(Table1[[#This Row],[Birthweight (grams)]]),ISNUMBER(Table1[[#This Row],[Gestation (days)]])),TRUE,FALSE)</f>
        <v>0</v>
      </c>
      <c r="E6319" s="2" t="str">
        <f>IF(Table1[[#This Row],[Is Data Valid]]=TRUE,IF(Table1[[#This Row],[Fetal Sex (Male, Female or Unknown)]]="Male",Backend!$C$6,IF(Table1[[#This Row],[Fetal Sex (Male, Female or Unknown)]]="Female",Backend!$C$7,IF(Table1[[#This Row],[Fetal Sex (Male, Female or Unknown)]]="Unknown",Backend!$C$8,"Error"))),"")</f>
        <v/>
      </c>
      <c r="F6319" s="8" t="str">
        <f>IF(Table1[[#This Row],[Is Data Valid]]=TRUE,EXP(0.578+0.332*((Table1[[#This Row],[Gestation (days)]]+0.5)/7)-0.00354*((Table1[[#This Row],[Gestation (days)]]+0.5)/7)^2)*Table1[[#This Row],[BW40_3705]],"")</f>
        <v/>
      </c>
      <c r="G6319" s="2" t="str">
        <f>IF(Table1[[#This Row],[Is Data Valid]]=TRUE,((Table1[[#This Row],[Birthweight (grams)]]/Table1[[#This Row],[BW_GA]])-1)/(Backend!$B$4/100*Table1[[#This Row],[BW40_3705]]),"")</f>
        <v/>
      </c>
      <c r="H6319" s="7" t="str">
        <f>IF(Table1[[#This Row],[Is Data Valid]]=TRUE,((Table1[[#This Row],[Birthweight (grams)]]*0.9/Table1[[#This Row],[BW_GA]])-1)/(Backend!$B$4/100*Table1[[#This Row],[BW40_3705]]),"")</f>
        <v/>
      </c>
      <c r="I6319" s="7" t="str">
        <f>IF(Table1[[#This Row],[Is Data Valid]]=TRUE,((Table1[[#This Row],[Birthweight (grams)]]*1.1/Table1[[#This Row],[BW_GA]])-1)/(Backend!$B$4/100*Table1[[#This Row],[BW40_3705]]),"")</f>
        <v/>
      </c>
      <c r="J6319" s="7" t="str">
        <f>IF(Table1[[#This Row],[Is Data Valid]]=TRUE,_xlfn.NORM.S.DIST(Table1[[#This Row],[Birthweight Z-Score]],TRUE)*100,"")</f>
        <v/>
      </c>
      <c r="K6319" s="7" t="str">
        <f>IF(Table1[[#This Row],[Is Data Valid]]=TRUE,_xlfn.NORM.S.DIST(Table1[[#This Row],[Birthweight Z-Score (BW-10%)]],TRUE)*100,"")</f>
        <v/>
      </c>
      <c r="L6319" s="7" t="str">
        <f>IF(Table1[[#This Row],[Is Data Valid]]=TRUE,_xlfn.NORM.S.DIST(Table1[[#This Row],[Birthweight Z-Score (BW+10%)]],TRUE)*100,"")</f>
        <v/>
      </c>
    </row>
    <row r="6320" spans="1:12" x14ac:dyDescent="0.35">
      <c r="A6320" s="3"/>
      <c r="B6320" s="2"/>
      <c r="C6320" s="2"/>
      <c r="D6320" s="2" t="b">
        <f>IF(AND(NOT(ISBLANK(Table1[[#This Row],[Fetal Sex (Male, Female or Unknown)]])),ISNUMBER(Table1[[#This Row],[Birthweight (grams)]]),ISNUMBER(Table1[[#This Row],[Gestation (days)]])),TRUE,FALSE)</f>
        <v>0</v>
      </c>
      <c r="E6320" s="2" t="str">
        <f>IF(Table1[[#This Row],[Is Data Valid]]=TRUE,IF(Table1[[#This Row],[Fetal Sex (Male, Female or Unknown)]]="Male",Backend!$C$6,IF(Table1[[#This Row],[Fetal Sex (Male, Female or Unknown)]]="Female",Backend!$C$7,IF(Table1[[#This Row],[Fetal Sex (Male, Female or Unknown)]]="Unknown",Backend!$C$8,"Error"))),"")</f>
        <v/>
      </c>
      <c r="F6320" s="8" t="str">
        <f>IF(Table1[[#This Row],[Is Data Valid]]=TRUE,EXP(0.578+0.332*((Table1[[#This Row],[Gestation (days)]]+0.5)/7)-0.00354*((Table1[[#This Row],[Gestation (days)]]+0.5)/7)^2)*Table1[[#This Row],[BW40_3705]],"")</f>
        <v/>
      </c>
      <c r="G6320" s="2" t="str">
        <f>IF(Table1[[#This Row],[Is Data Valid]]=TRUE,((Table1[[#This Row],[Birthweight (grams)]]/Table1[[#This Row],[BW_GA]])-1)/(Backend!$B$4/100*Table1[[#This Row],[BW40_3705]]),"")</f>
        <v/>
      </c>
      <c r="H6320" s="7" t="str">
        <f>IF(Table1[[#This Row],[Is Data Valid]]=TRUE,((Table1[[#This Row],[Birthweight (grams)]]*0.9/Table1[[#This Row],[BW_GA]])-1)/(Backend!$B$4/100*Table1[[#This Row],[BW40_3705]]),"")</f>
        <v/>
      </c>
      <c r="I6320" s="7" t="str">
        <f>IF(Table1[[#This Row],[Is Data Valid]]=TRUE,((Table1[[#This Row],[Birthweight (grams)]]*1.1/Table1[[#This Row],[BW_GA]])-1)/(Backend!$B$4/100*Table1[[#This Row],[BW40_3705]]),"")</f>
        <v/>
      </c>
      <c r="J6320" s="7" t="str">
        <f>IF(Table1[[#This Row],[Is Data Valid]]=TRUE,_xlfn.NORM.S.DIST(Table1[[#This Row],[Birthweight Z-Score]],TRUE)*100,"")</f>
        <v/>
      </c>
      <c r="K6320" s="7" t="str">
        <f>IF(Table1[[#This Row],[Is Data Valid]]=TRUE,_xlfn.NORM.S.DIST(Table1[[#This Row],[Birthweight Z-Score (BW-10%)]],TRUE)*100,"")</f>
        <v/>
      </c>
      <c r="L6320" s="7" t="str">
        <f>IF(Table1[[#This Row],[Is Data Valid]]=TRUE,_xlfn.NORM.S.DIST(Table1[[#This Row],[Birthweight Z-Score (BW+10%)]],TRUE)*100,"")</f>
        <v/>
      </c>
    </row>
    <row r="6321" spans="1:12" x14ac:dyDescent="0.35">
      <c r="A6321" s="3"/>
      <c r="B6321" s="2"/>
      <c r="C6321" s="2"/>
      <c r="D6321" s="2" t="b">
        <f>IF(AND(NOT(ISBLANK(Table1[[#This Row],[Fetal Sex (Male, Female or Unknown)]])),ISNUMBER(Table1[[#This Row],[Birthweight (grams)]]),ISNUMBER(Table1[[#This Row],[Gestation (days)]])),TRUE,FALSE)</f>
        <v>0</v>
      </c>
      <c r="E6321" s="2" t="str">
        <f>IF(Table1[[#This Row],[Is Data Valid]]=TRUE,IF(Table1[[#This Row],[Fetal Sex (Male, Female or Unknown)]]="Male",Backend!$C$6,IF(Table1[[#This Row],[Fetal Sex (Male, Female or Unknown)]]="Female",Backend!$C$7,IF(Table1[[#This Row],[Fetal Sex (Male, Female or Unknown)]]="Unknown",Backend!$C$8,"Error"))),"")</f>
        <v/>
      </c>
      <c r="F6321" s="8" t="str">
        <f>IF(Table1[[#This Row],[Is Data Valid]]=TRUE,EXP(0.578+0.332*((Table1[[#This Row],[Gestation (days)]]+0.5)/7)-0.00354*((Table1[[#This Row],[Gestation (days)]]+0.5)/7)^2)*Table1[[#This Row],[BW40_3705]],"")</f>
        <v/>
      </c>
      <c r="G6321" s="2" t="str">
        <f>IF(Table1[[#This Row],[Is Data Valid]]=TRUE,((Table1[[#This Row],[Birthweight (grams)]]/Table1[[#This Row],[BW_GA]])-1)/(Backend!$B$4/100*Table1[[#This Row],[BW40_3705]]),"")</f>
        <v/>
      </c>
      <c r="H6321" s="7" t="str">
        <f>IF(Table1[[#This Row],[Is Data Valid]]=TRUE,((Table1[[#This Row],[Birthweight (grams)]]*0.9/Table1[[#This Row],[BW_GA]])-1)/(Backend!$B$4/100*Table1[[#This Row],[BW40_3705]]),"")</f>
        <v/>
      </c>
      <c r="I6321" s="7" t="str">
        <f>IF(Table1[[#This Row],[Is Data Valid]]=TRUE,((Table1[[#This Row],[Birthweight (grams)]]*1.1/Table1[[#This Row],[BW_GA]])-1)/(Backend!$B$4/100*Table1[[#This Row],[BW40_3705]]),"")</f>
        <v/>
      </c>
      <c r="J6321" s="7" t="str">
        <f>IF(Table1[[#This Row],[Is Data Valid]]=TRUE,_xlfn.NORM.S.DIST(Table1[[#This Row],[Birthweight Z-Score]],TRUE)*100,"")</f>
        <v/>
      </c>
      <c r="K6321" s="7" t="str">
        <f>IF(Table1[[#This Row],[Is Data Valid]]=TRUE,_xlfn.NORM.S.DIST(Table1[[#This Row],[Birthweight Z-Score (BW-10%)]],TRUE)*100,"")</f>
        <v/>
      </c>
      <c r="L6321" s="7" t="str">
        <f>IF(Table1[[#This Row],[Is Data Valid]]=TRUE,_xlfn.NORM.S.DIST(Table1[[#This Row],[Birthweight Z-Score (BW+10%)]],TRUE)*100,"")</f>
        <v/>
      </c>
    </row>
    <row r="6322" spans="1:12" x14ac:dyDescent="0.35">
      <c r="A6322" s="3"/>
      <c r="B6322" s="2"/>
      <c r="C6322" s="2"/>
      <c r="D6322" s="2" t="b">
        <f>IF(AND(NOT(ISBLANK(Table1[[#This Row],[Fetal Sex (Male, Female or Unknown)]])),ISNUMBER(Table1[[#This Row],[Birthweight (grams)]]),ISNUMBER(Table1[[#This Row],[Gestation (days)]])),TRUE,FALSE)</f>
        <v>0</v>
      </c>
      <c r="E6322" s="2" t="str">
        <f>IF(Table1[[#This Row],[Is Data Valid]]=TRUE,IF(Table1[[#This Row],[Fetal Sex (Male, Female or Unknown)]]="Male",Backend!$C$6,IF(Table1[[#This Row],[Fetal Sex (Male, Female or Unknown)]]="Female",Backend!$C$7,IF(Table1[[#This Row],[Fetal Sex (Male, Female or Unknown)]]="Unknown",Backend!$C$8,"Error"))),"")</f>
        <v/>
      </c>
      <c r="F6322" s="8" t="str">
        <f>IF(Table1[[#This Row],[Is Data Valid]]=TRUE,EXP(0.578+0.332*((Table1[[#This Row],[Gestation (days)]]+0.5)/7)-0.00354*((Table1[[#This Row],[Gestation (days)]]+0.5)/7)^2)*Table1[[#This Row],[BW40_3705]],"")</f>
        <v/>
      </c>
      <c r="G6322" s="2" t="str">
        <f>IF(Table1[[#This Row],[Is Data Valid]]=TRUE,((Table1[[#This Row],[Birthweight (grams)]]/Table1[[#This Row],[BW_GA]])-1)/(Backend!$B$4/100*Table1[[#This Row],[BW40_3705]]),"")</f>
        <v/>
      </c>
      <c r="H6322" s="7" t="str">
        <f>IF(Table1[[#This Row],[Is Data Valid]]=TRUE,((Table1[[#This Row],[Birthweight (grams)]]*0.9/Table1[[#This Row],[BW_GA]])-1)/(Backend!$B$4/100*Table1[[#This Row],[BW40_3705]]),"")</f>
        <v/>
      </c>
      <c r="I6322" s="7" t="str">
        <f>IF(Table1[[#This Row],[Is Data Valid]]=TRUE,((Table1[[#This Row],[Birthweight (grams)]]*1.1/Table1[[#This Row],[BW_GA]])-1)/(Backend!$B$4/100*Table1[[#This Row],[BW40_3705]]),"")</f>
        <v/>
      </c>
      <c r="J6322" s="7" t="str">
        <f>IF(Table1[[#This Row],[Is Data Valid]]=TRUE,_xlfn.NORM.S.DIST(Table1[[#This Row],[Birthweight Z-Score]],TRUE)*100,"")</f>
        <v/>
      </c>
      <c r="K6322" s="7" t="str">
        <f>IF(Table1[[#This Row],[Is Data Valid]]=TRUE,_xlfn.NORM.S.DIST(Table1[[#This Row],[Birthweight Z-Score (BW-10%)]],TRUE)*100,"")</f>
        <v/>
      </c>
      <c r="L6322" s="7" t="str">
        <f>IF(Table1[[#This Row],[Is Data Valid]]=TRUE,_xlfn.NORM.S.DIST(Table1[[#This Row],[Birthweight Z-Score (BW+10%)]],TRUE)*100,"")</f>
        <v/>
      </c>
    </row>
    <row r="6323" spans="1:12" x14ac:dyDescent="0.35">
      <c r="A6323" s="3"/>
      <c r="B6323" s="2"/>
      <c r="C6323" s="2"/>
      <c r="D6323" s="2" t="b">
        <f>IF(AND(NOT(ISBLANK(Table1[[#This Row],[Fetal Sex (Male, Female or Unknown)]])),ISNUMBER(Table1[[#This Row],[Birthweight (grams)]]),ISNUMBER(Table1[[#This Row],[Gestation (days)]])),TRUE,FALSE)</f>
        <v>0</v>
      </c>
      <c r="E6323" s="2" t="str">
        <f>IF(Table1[[#This Row],[Is Data Valid]]=TRUE,IF(Table1[[#This Row],[Fetal Sex (Male, Female or Unknown)]]="Male",Backend!$C$6,IF(Table1[[#This Row],[Fetal Sex (Male, Female or Unknown)]]="Female",Backend!$C$7,IF(Table1[[#This Row],[Fetal Sex (Male, Female or Unknown)]]="Unknown",Backend!$C$8,"Error"))),"")</f>
        <v/>
      </c>
      <c r="F6323" s="8" t="str">
        <f>IF(Table1[[#This Row],[Is Data Valid]]=TRUE,EXP(0.578+0.332*((Table1[[#This Row],[Gestation (days)]]+0.5)/7)-0.00354*((Table1[[#This Row],[Gestation (days)]]+0.5)/7)^2)*Table1[[#This Row],[BW40_3705]],"")</f>
        <v/>
      </c>
      <c r="G6323" s="2" t="str">
        <f>IF(Table1[[#This Row],[Is Data Valid]]=TRUE,((Table1[[#This Row],[Birthweight (grams)]]/Table1[[#This Row],[BW_GA]])-1)/(Backend!$B$4/100*Table1[[#This Row],[BW40_3705]]),"")</f>
        <v/>
      </c>
      <c r="H6323" s="7" t="str">
        <f>IF(Table1[[#This Row],[Is Data Valid]]=TRUE,((Table1[[#This Row],[Birthweight (grams)]]*0.9/Table1[[#This Row],[BW_GA]])-1)/(Backend!$B$4/100*Table1[[#This Row],[BW40_3705]]),"")</f>
        <v/>
      </c>
      <c r="I6323" s="7" t="str">
        <f>IF(Table1[[#This Row],[Is Data Valid]]=TRUE,((Table1[[#This Row],[Birthweight (grams)]]*1.1/Table1[[#This Row],[BW_GA]])-1)/(Backend!$B$4/100*Table1[[#This Row],[BW40_3705]]),"")</f>
        <v/>
      </c>
      <c r="J6323" s="7" t="str">
        <f>IF(Table1[[#This Row],[Is Data Valid]]=TRUE,_xlfn.NORM.S.DIST(Table1[[#This Row],[Birthweight Z-Score]],TRUE)*100,"")</f>
        <v/>
      </c>
      <c r="K6323" s="7" t="str">
        <f>IF(Table1[[#This Row],[Is Data Valid]]=TRUE,_xlfn.NORM.S.DIST(Table1[[#This Row],[Birthweight Z-Score (BW-10%)]],TRUE)*100,"")</f>
        <v/>
      </c>
      <c r="L6323" s="7" t="str">
        <f>IF(Table1[[#This Row],[Is Data Valid]]=TRUE,_xlfn.NORM.S.DIST(Table1[[#This Row],[Birthweight Z-Score (BW+10%)]],TRUE)*100,"")</f>
        <v/>
      </c>
    </row>
    <row r="6324" spans="1:12" x14ac:dyDescent="0.35">
      <c r="A6324" s="3"/>
      <c r="B6324" s="2"/>
      <c r="C6324" s="2"/>
      <c r="D6324" s="2" t="b">
        <f>IF(AND(NOT(ISBLANK(Table1[[#This Row],[Fetal Sex (Male, Female or Unknown)]])),ISNUMBER(Table1[[#This Row],[Birthweight (grams)]]),ISNUMBER(Table1[[#This Row],[Gestation (days)]])),TRUE,FALSE)</f>
        <v>0</v>
      </c>
      <c r="E6324" s="2" t="str">
        <f>IF(Table1[[#This Row],[Is Data Valid]]=TRUE,IF(Table1[[#This Row],[Fetal Sex (Male, Female or Unknown)]]="Male",Backend!$C$6,IF(Table1[[#This Row],[Fetal Sex (Male, Female or Unknown)]]="Female",Backend!$C$7,IF(Table1[[#This Row],[Fetal Sex (Male, Female or Unknown)]]="Unknown",Backend!$C$8,"Error"))),"")</f>
        <v/>
      </c>
      <c r="F6324" s="8" t="str">
        <f>IF(Table1[[#This Row],[Is Data Valid]]=TRUE,EXP(0.578+0.332*((Table1[[#This Row],[Gestation (days)]]+0.5)/7)-0.00354*((Table1[[#This Row],[Gestation (days)]]+0.5)/7)^2)*Table1[[#This Row],[BW40_3705]],"")</f>
        <v/>
      </c>
      <c r="G6324" s="2" t="str">
        <f>IF(Table1[[#This Row],[Is Data Valid]]=TRUE,((Table1[[#This Row],[Birthweight (grams)]]/Table1[[#This Row],[BW_GA]])-1)/(Backend!$B$4/100*Table1[[#This Row],[BW40_3705]]),"")</f>
        <v/>
      </c>
      <c r="H6324" s="7" t="str">
        <f>IF(Table1[[#This Row],[Is Data Valid]]=TRUE,((Table1[[#This Row],[Birthweight (grams)]]*0.9/Table1[[#This Row],[BW_GA]])-1)/(Backend!$B$4/100*Table1[[#This Row],[BW40_3705]]),"")</f>
        <v/>
      </c>
      <c r="I6324" s="7" t="str">
        <f>IF(Table1[[#This Row],[Is Data Valid]]=TRUE,((Table1[[#This Row],[Birthweight (grams)]]*1.1/Table1[[#This Row],[BW_GA]])-1)/(Backend!$B$4/100*Table1[[#This Row],[BW40_3705]]),"")</f>
        <v/>
      </c>
      <c r="J6324" s="7" t="str">
        <f>IF(Table1[[#This Row],[Is Data Valid]]=TRUE,_xlfn.NORM.S.DIST(Table1[[#This Row],[Birthweight Z-Score]],TRUE)*100,"")</f>
        <v/>
      </c>
      <c r="K6324" s="7" t="str">
        <f>IF(Table1[[#This Row],[Is Data Valid]]=TRUE,_xlfn.NORM.S.DIST(Table1[[#This Row],[Birthweight Z-Score (BW-10%)]],TRUE)*100,"")</f>
        <v/>
      </c>
      <c r="L6324" s="7" t="str">
        <f>IF(Table1[[#This Row],[Is Data Valid]]=TRUE,_xlfn.NORM.S.DIST(Table1[[#This Row],[Birthweight Z-Score (BW+10%)]],TRUE)*100,"")</f>
        <v/>
      </c>
    </row>
    <row r="6325" spans="1:12" x14ac:dyDescent="0.35">
      <c r="A6325" s="3"/>
      <c r="B6325" s="2"/>
      <c r="C6325" s="2"/>
      <c r="D6325" s="2" t="b">
        <f>IF(AND(NOT(ISBLANK(Table1[[#This Row],[Fetal Sex (Male, Female or Unknown)]])),ISNUMBER(Table1[[#This Row],[Birthweight (grams)]]),ISNUMBER(Table1[[#This Row],[Gestation (days)]])),TRUE,FALSE)</f>
        <v>0</v>
      </c>
      <c r="E6325" s="2" t="str">
        <f>IF(Table1[[#This Row],[Is Data Valid]]=TRUE,IF(Table1[[#This Row],[Fetal Sex (Male, Female or Unknown)]]="Male",Backend!$C$6,IF(Table1[[#This Row],[Fetal Sex (Male, Female or Unknown)]]="Female",Backend!$C$7,IF(Table1[[#This Row],[Fetal Sex (Male, Female or Unknown)]]="Unknown",Backend!$C$8,"Error"))),"")</f>
        <v/>
      </c>
      <c r="F6325" s="8" t="str">
        <f>IF(Table1[[#This Row],[Is Data Valid]]=TRUE,EXP(0.578+0.332*((Table1[[#This Row],[Gestation (days)]]+0.5)/7)-0.00354*((Table1[[#This Row],[Gestation (days)]]+0.5)/7)^2)*Table1[[#This Row],[BW40_3705]],"")</f>
        <v/>
      </c>
      <c r="G6325" s="2" t="str">
        <f>IF(Table1[[#This Row],[Is Data Valid]]=TRUE,((Table1[[#This Row],[Birthweight (grams)]]/Table1[[#This Row],[BW_GA]])-1)/(Backend!$B$4/100*Table1[[#This Row],[BW40_3705]]),"")</f>
        <v/>
      </c>
      <c r="H6325" s="7" t="str">
        <f>IF(Table1[[#This Row],[Is Data Valid]]=TRUE,((Table1[[#This Row],[Birthweight (grams)]]*0.9/Table1[[#This Row],[BW_GA]])-1)/(Backend!$B$4/100*Table1[[#This Row],[BW40_3705]]),"")</f>
        <v/>
      </c>
      <c r="I6325" s="7" t="str">
        <f>IF(Table1[[#This Row],[Is Data Valid]]=TRUE,((Table1[[#This Row],[Birthweight (grams)]]*1.1/Table1[[#This Row],[BW_GA]])-1)/(Backend!$B$4/100*Table1[[#This Row],[BW40_3705]]),"")</f>
        <v/>
      </c>
      <c r="J6325" s="7" t="str">
        <f>IF(Table1[[#This Row],[Is Data Valid]]=TRUE,_xlfn.NORM.S.DIST(Table1[[#This Row],[Birthweight Z-Score]],TRUE)*100,"")</f>
        <v/>
      </c>
      <c r="K6325" s="7" t="str">
        <f>IF(Table1[[#This Row],[Is Data Valid]]=TRUE,_xlfn.NORM.S.DIST(Table1[[#This Row],[Birthweight Z-Score (BW-10%)]],TRUE)*100,"")</f>
        <v/>
      </c>
      <c r="L6325" s="7" t="str">
        <f>IF(Table1[[#This Row],[Is Data Valid]]=TRUE,_xlfn.NORM.S.DIST(Table1[[#This Row],[Birthweight Z-Score (BW+10%)]],TRUE)*100,"")</f>
        <v/>
      </c>
    </row>
    <row r="6326" spans="1:12" x14ac:dyDescent="0.35">
      <c r="A6326" s="3"/>
      <c r="B6326" s="2"/>
      <c r="C6326" s="2"/>
      <c r="D6326" s="2" t="b">
        <f>IF(AND(NOT(ISBLANK(Table1[[#This Row],[Fetal Sex (Male, Female or Unknown)]])),ISNUMBER(Table1[[#This Row],[Birthweight (grams)]]),ISNUMBER(Table1[[#This Row],[Gestation (days)]])),TRUE,FALSE)</f>
        <v>0</v>
      </c>
      <c r="E6326" s="2" t="str">
        <f>IF(Table1[[#This Row],[Is Data Valid]]=TRUE,IF(Table1[[#This Row],[Fetal Sex (Male, Female or Unknown)]]="Male",Backend!$C$6,IF(Table1[[#This Row],[Fetal Sex (Male, Female or Unknown)]]="Female",Backend!$C$7,IF(Table1[[#This Row],[Fetal Sex (Male, Female or Unknown)]]="Unknown",Backend!$C$8,"Error"))),"")</f>
        <v/>
      </c>
      <c r="F6326" s="8" t="str">
        <f>IF(Table1[[#This Row],[Is Data Valid]]=TRUE,EXP(0.578+0.332*((Table1[[#This Row],[Gestation (days)]]+0.5)/7)-0.00354*((Table1[[#This Row],[Gestation (days)]]+0.5)/7)^2)*Table1[[#This Row],[BW40_3705]],"")</f>
        <v/>
      </c>
      <c r="G6326" s="2" t="str">
        <f>IF(Table1[[#This Row],[Is Data Valid]]=TRUE,((Table1[[#This Row],[Birthweight (grams)]]/Table1[[#This Row],[BW_GA]])-1)/(Backend!$B$4/100*Table1[[#This Row],[BW40_3705]]),"")</f>
        <v/>
      </c>
      <c r="H6326" s="7" t="str">
        <f>IF(Table1[[#This Row],[Is Data Valid]]=TRUE,((Table1[[#This Row],[Birthweight (grams)]]*0.9/Table1[[#This Row],[BW_GA]])-1)/(Backend!$B$4/100*Table1[[#This Row],[BW40_3705]]),"")</f>
        <v/>
      </c>
      <c r="I6326" s="7" t="str">
        <f>IF(Table1[[#This Row],[Is Data Valid]]=TRUE,((Table1[[#This Row],[Birthweight (grams)]]*1.1/Table1[[#This Row],[BW_GA]])-1)/(Backend!$B$4/100*Table1[[#This Row],[BW40_3705]]),"")</f>
        <v/>
      </c>
      <c r="J6326" s="7" t="str">
        <f>IF(Table1[[#This Row],[Is Data Valid]]=TRUE,_xlfn.NORM.S.DIST(Table1[[#This Row],[Birthweight Z-Score]],TRUE)*100,"")</f>
        <v/>
      </c>
      <c r="K6326" s="7" t="str">
        <f>IF(Table1[[#This Row],[Is Data Valid]]=TRUE,_xlfn.NORM.S.DIST(Table1[[#This Row],[Birthweight Z-Score (BW-10%)]],TRUE)*100,"")</f>
        <v/>
      </c>
      <c r="L6326" s="7" t="str">
        <f>IF(Table1[[#This Row],[Is Data Valid]]=TRUE,_xlfn.NORM.S.DIST(Table1[[#This Row],[Birthweight Z-Score (BW+10%)]],TRUE)*100,"")</f>
        <v/>
      </c>
    </row>
    <row r="6327" spans="1:12" x14ac:dyDescent="0.35">
      <c r="A6327" s="3"/>
      <c r="B6327" s="2"/>
      <c r="C6327" s="2"/>
      <c r="D6327" s="2" t="b">
        <f>IF(AND(NOT(ISBLANK(Table1[[#This Row],[Fetal Sex (Male, Female or Unknown)]])),ISNUMBER(Table1[[#This Row],[Birthweight (grams)]]),ISNUMBER(Table1[[#This Row],[Gestation (days)]])),TRUE,FALSE)</f>
        <v>0</v>
      </c>
      <c r="E6327" s="2" t="str">
        <f>IF(Table1[[#This Row],[Is Data Valid]]=TRUE,IF(Table1[[#This Row],[Fetal Sex (Male, Female or Unknown)]]="Male",Backend!$C$6,IF(Table1[[#This Row],[Fetal Sex (Male, Female or Unknown)]]="Female",Backend!$C$7,IF(Table1[[#This Row],[Fetal Sex (Male, Female or Unknown)]]="Unknown",Backend!$C$8,"Error"))),"")</f>
        <v/>
      </c>
      <c r="F6327" s="8" t="str">
        <f>IF(Table1[[#This Row],[Is Data Valid]]=TRUE,EXP(0.578+0.332*((Table1[[#This Row],[Gestation (days)]]+0.5)/7)-0.00354*((Table1[[#This Row],[Gestation (days)]]+0.5)/7)^2)*Table1[[#This Row],[BW40_3705]],"")</f>
        <v/>
      </c>
      <c r="G6327" s="2" t="str">
        <f>IF(Table1[[#This Row],[Is Data Valid]]=TRUE,((Table1[[#This Row],[Birthweight (grams)]]/Table1[[#This Row],[BW_GA]])-1)/(Backend!$B$4/100*Table1[[#This Row],[BW40_3705]]),"")</f>
        <v/>
      </c>
      <c r="H6327" s="7" t="str">
        <f>IF(Table1[[#This Row],[Is Data Valid]]=TRUE,((Table1[[#This Row],[Birthweight (grams)]]*0.9/Table1[[#This Row],[BW_GA]])-1)/(Backend!$B$4/100*Table1[[#This Row],[BW40_3705]]),"")</f>
        <v/>
      </c>
      <c r="I6327" s="7" t="str">
        <f>IF(Table1[[#This Row],[Is Data Valid]]=TRUE,((Table1[[#This Row],[Birthweight (grams)]]*1.1/Table1[[#This Row],[BW_GA]])-1)/(Backend!$B$4/100*Table1[[#This Row],[BW40_3705]]),"")</f>
        <v/>
      </c>
      <c r="J6327" s="7" t="str">
        <f>IF(Table1[[#This Row],[Is Data Valid]]=TRUE,_xlfn.NORM.S.DIST(Table1[[#This Row],[Birthweight Z-Score]],TRUE)*100,"")</f>
        <v/>
      </c>
      <c r="K6327" s="7" t="str">
        <f>IF(Table1[[#This Row],[Is Data Valid]]=TRUE,_xlfn.NORM.S.DIST(Table1[[#This Row],[Birthweight Z-Score (BW-10%)]],TRUE)*100,"")</f>
        <v/>
      </c>
      <c r="L6327" s="7" t="str">
        <f>IF(Table1[[#This Row],[Is Data Valid]]=TRUE,_xlfn.NORM.S.DIST(Table1[[#This Row],[Birthweight Z-Score (BW+10%)]],TRUE)*100,"")</f>
        <v/>
      </c>
    </row>
    <row r="6328" spans="1:12" x14ac:dyDescent="0.35">
      <c r="A6328" s="3"/>
      <c r="B6328" s="2"/>
      <c r="C6328" s="2"/>
      <c r="D6328" s="2" t="b">
        <f>IF(AND(NOT(ISBLANK(Table1[[#This Row],[Fetal Sex (Male, Female or Unknown)]])),ISNUMBER(Table1[[#This Row],[Birthweight (grams)]]),ISNUMBER(Table1[[#This Row],[Gestation (days)]])),TRUE,FALSE)</f>
        <v>0</v>
      </c>
      <c r="E6328" s="2" t="str">
        <f>IF(Table1[[#This Row],[Is Data Valid]]=TRUE,IF(Table1[[#This Row],[Fetal Sex (Male, Female or Unknown)]]="Male",Backend!$C$6,IF(Table1[[#This Row],[Fetal Sex (Male, Female or Unknown)]]="Female",Backend!$C$7,IF(Table1[[#This Row],[Fetal Sex (Male, Female or Unknown)]]="Unknown",Backend!$C$8,"Error"))),"")</f>
        <v/>
      </c>
      <c r="F6328" s="8" t="str">
        <f>IF(Table1[[#This Row],[Is Data Valid]]=TRUE,EXP(0.578+0.332*((Table1[[#This Row],[Gestation (days)]]+0.5)/7)-0.00354*((Table1[[#This Row],[Gestation (days)]]+0.5)/7)^2)*Table1[[#This Row],[BW40_3705]],"")</f>
        <v/>
      </c>
      <c r="G6328" s="2" t="str">
        <f>IF(Table1[[#This Row],[Is Data Valid]]=TRUE,((Table1[[#This Row],[Birthweight (grams)]]/Table1[[#This Row],[BW_GA]])-1)/(Backend!$B$4/100*Table1[[#This Row],[BW40_3705]]),"")</f>
        <v/>
      </c>
      <c r="H6328" s="7" t="str">
        <f>IF(Table1[[#This Row],[Is Data Valid]]=TRUE,((Table1[[#This Row],[Birthweight (grams)]]*0.9/Table1[[#This Row],[BW_GA]])-1)/(Backend!$B$4/100*Table1[[#This Row],[BW40_3705]]),"")</f>
        <v/>
      </c>
      <c r="I6328" s="7" t="str">
        <f>IF(Table1[[#This Row],[Is Data Valid]]=TRUE,((Table1[[#This Row],[Birthweight (grams)]]*1.1/Table1[[#This Row],[BW_GA]])-1)/(Backend!$B$4/100*Table1[[#This Row],[BW40_3705]]),"")</f>
        <v/>
      </c>
      <c r="J6328" s="7" t="str">
        <f>IF(Table1[[#This Row],[Is Data Valid]]=TRUE,_xlfn.NORM.S.DIST(Table1[[#This Row],[Birthweight Z-Score]],TRUE)*100,"")</f>
        <v/>
      </c>
      <c r="K6328" s="7" t="str">
        <f>IF(Table1[[#This Row],[Is Data Valid]]=TRUE,_xlfn.NORM.S.DIST(Table1[[#This Row],[Birthweight Z-Score (BW-10%)]],TRUE)*100,"")</f>
        <v/>
      </c>
      <c r="L6328" s="7" t="str">
        <f>IF(Table1[[#This Row],[Is Data Valid]]=TRUE,_xlfn.NORM.S.DIST(Table1[[#This Row],[Birthweight Z-Score (BW+10%)]],TRUE)*100,"")</f>
        <v/>
      </c>
    </row>
    <row r="6329" spans="1:12" x14ac:dyDescent="0.35">
      <c r="A6329" s="3"/>
      <c r="B6329" s="2"/>
      <c r="C6329" s="2"/>
      <c r="D6329" s="2" t="b">
        <f>IF(AND(NOT(ISBLANK(Table1[[#This Row],[Fetal Sex (Male, Female or Unknown)]])),ISNUMBER(Table1[[#This Row],[Birthweight (grams)]]),ISNUMBER(Table1[[#This Row],[Gestation (days)]])),TRUE,FALSE)</f>
        <v>0</v>
      </c>
      <c r="E6329" s="2" t="str">
        <f>IF(Table1[[#This Row],[Is Data Valid]]=TRUE,IF(Table1[[#This Row],[Fetal Sex (Male, Female or Unknown)]]="Male",Backend!$C$6,IF(Table1[[#This Row],[Fetal Sex (Male, Female or Unknown)]]="Female",Backend!$C$7,IF(Table1[[#This Row],[Fetal Sex (Male, Female or Unknown)]]="Unknown",Backend!$C$8,"Error"))),"")</f>
        <v/>
      </c>
      <c r="F6329" s="8" t="str">
        <f>IF(Table1[[#This Row],[Is Data Valid]]=TRUE,EXP(0.578+0.332*((Table1[[#This Row],[Gestation (days)]]+0.5)/7)-0.00354*((Table1[[#This Row],[Gestation (days)]]+0.5)/7)^2)*Table1[[#This Row],[BW40_3705]],"")</f>
        <v/>
      </c>
      <c r="G6329" s="2" t="str">
        <f>IF(Table1[[#This Row],[Is Data Valid]]=TRUE,((Table1[[#This Row],[Birthweight (grams)]]/Table1[[#This Row],[BW_GA]])-1)/(Backend!$B$4/100*Table1[[#This Row],[BW40_3705]]),"")</f>
        <v/>
      </c>
      <c r="H6329" s="7" t="str">
        <f>IF(Table1[[#This Row],[Is Data Valid]]=TRUE,((Table1[[#This Row],[Birthweight (grams)]]*0.9/Table1[[#This Row],[BW_GA]])-1)/(Backend!$B$4/100*Table1[[#This Row],[BW40_3705]]),"")</f>
        <v/>
      </c>
      <c r="I6329" s="7" t="str">
        <f>IF(Table1[[#This Row],[Is Data Valid]]=TRUE,((Table1[[#This Row],[Birthweight (grams)]]*1.1/Table1[[#This Row],[BW_GA]])-1)/(Backend!$B$4/100*Table1[[#This Row],[BW40_3705]]),"")</f>
        <v/>
      </c>
      <c r="J6329" s="7" t="str">
        <f>IF(Table1[[#This Row],[Is Data Valid]]=TRUE,_xlfn.NORM.S.DIST(Table1[[#This Row],[Birthweight Z-Score]],TRUE)*100,"")</f>
        <v/>
      </c>
      <c r="K6329" s="7" t="str">
        <f>IF(Table1[[#This Row],[Is Data Valid]]=TRUE,_xlfn.NORM.S.DIST(Table1[[#This Row],[Birthweight Z-Score (BW-10%)]],TRUE)*100,"")</f>
        <v/>
      </c>
      <c r="L6329" s="7" t="str">
        <f>IF(Table1[[#This Row],[Is Data Valid]]=TRUE,_xlfn.NORM.S.DIST(Table1[[#This Row],[Birthweight Z-Score (BW+10%)]],TRUE)*100,"")</f>
        <v/>
      </c>
    </row>
    <row r="6330" spans="1:12" x14ac:dyDescent="0.35">
      <c r="A6330" s="3"/>
      <c r="B6330" s="2"/>
      <c r="C6330" s="2"/>
      <c r="D6330" s="2" t="b">
        <f>IF(AND(NOT(ISBLANK(Table1[[#This Row],[Fetal Sex (Male, Female or Unknown)]])),ISNUMBER(Table1[[#This Row],[Birthweight (grams)]]),ISNUMBER(Table1[[#This Row],[Gestation (days)]])),TRUE,FALSE)</f>
        <v>0</v>
      </c>
      <c r="E6330" s="2" t="str">
        <f>IF(Table1[[#This Row],[Is Data Valid]]=TRUE,IF(Table1[[#This Row],[Fetal Sex (Male, Female or Unknown)]]="Male",Backend!$C$6,IF(Table1[[#This Row],[Fetal Sex (Male, Female or Unknown)]]="Female",Backend!$C$7,IF(Table1[[#This Row],[Fetal Sex (Male, Female or Unknown)]]="Unknown",Backend!$C$8,"Error"))),"")</f>
        <v/>
      </c>
      <c r="F6330" s="8" t="str">
        <f>IF(Table1[[#This Row],[Is Data Valid]]=TRUE,EXP(0.578+0.332*((Table1[[#This Row],[Gestation (days)]]+0.5)/7)-0.00354*((Table1[[#This Row],[Gestation (days)]]+0.5)/7)^2)*Table1[[#This Row],[BW40_3705]],"")</f>
        <v/>
      </c>
      <c r="G6330" s="2" t="str">
        <f>IF(Table1[[#This Row],[Is Data Valid]]=TRUE,((Table1[[#This Row],[Birthweight (grams)]]/Table1[[#This Row],[BW_GA]])-1)/(Backend!$B$4/100*Table1[[#This Row],[BW40_3705]]),"")</f>
        <v/>
      </c>
      <c r="H6330" s="7" t="str">
        <f>IF(Table1[[#This Row],[Is Data Valid]]=TRUE,((Table1[[#This Row],[Birthweight (grams)]]*0.9/Table1[[#This Row],[BW_GA]])-1)/(Backend!$B$4/100*Table1[[#This Row],[BW40_3705]]),"")</f>
        <v/>
      </c>
      <c r="I6330" s="7" t="str">
        <f>IF(Table1[[#This Row],[Is Data Valid]]=TRUE,((Table1[[#This Row],[Birthweight (grams)]]*1.1/Table1[[#This Row],[BW_GA]])-1)/(Backend!$B$4/100*Table1[[#This Row],[BW40_3705]]),"")</f>
        <v/>
      </c>
      <c r="J6330" s="7" t="str">
        <f>IF(Table1[[#This Row],[Is Data Valid]]=TRUE,_xlfn.NORM.S.DIST(Table1[[#This Row],[Birthweight Z-Score]],TRUE)*100,"")</f>
        <v/>
      </c>
      <c r="K6330" s="7" t="str">
        <f>IF(Table1[[#This Row],[Is Data Valid]]=TRUE,_xlfn.NORM.S.DIST(Table1[[#This Row],[Birthweight Z-Score (BW-10%)]],TRUE)*100,"")</f>
        <v/>
      </c>
      <c r="L6330" s="7" t="str">
        <f>IF(Table1[[#This Row],[Is Data Valid]]=TRUE,_xlfn.NORM.S.DIST(Table1[[#This Row],[Birthweight Z-Score (BW+10%)]],TRUE)*100,"")</f>
        <v/>
      </c>
    </row>
    <row r="6331" spans="1:12" x14ac:dyDescent="0.35">
      <c r="A6331" s="3"/>
      <c r="B6331" s="2"/>
      <c r="C6331" s="2"/>
      <c r="D6331" s="2" t="b">
        <f>IF(AND(NOT(ISBLANK(Table1[[#This Row],[Fetal Sex (Male, Female or Unknown)]])),ISNUMBER(Table1[[#This Row],[Birthweight (grams)]]),ISNUMBER(Table1[[#This Row],[Gestation (days)]])),TRUE,FALSE)</f>
        <v>0</v>
      </c>
      <c r="E6331" s="2" t="str">
        <f>IF(Table1[[#This Row],[Is Data Valid]]=TRUE,IF(Table1[[#This Row],[Fetal Sex (Male, Female or Unknown)]]="Male",Backend!$C$6,IF(Table1[[#This Row],[Fetal Sex (Male, Female or Unknown)]]="Female",Backend!$C$7,IF(Table1[[#This Row],[Fetal Sex (Male, Female or Unknown)]]="Unknown",Backend!$C$8,"Error"))),"")</f>
        <v/>
      </c>
      <c r="F6331" s="8" t="str">
        <f>IF(Table1[[#This Row],[Is Data Valid]]=TRUE,EXP(0.578+0.332*((Table1[[#This Row],[Gestation (days)]]+0.5)/7)-0.00354*((Table1[[#This Row],[Gestation (days)]]+0.5)/7)^2)*Table1[[#This Row],[BW40_3705]],"")</f>
        <v/>
      </c>
      <c r="G6331" s="2" t="str">
        <f>IF(Table1[[#This Row],[Is Data Valid]]=TRUE,((Table1[[#This Row],[Birthweight (grams)]]/Table1[[#This Row],[BW_GA]])-1)/(Backend!$B$4/100*Table1[[#This Row],[BW40_3705]]),"")</f>
        <v/>
      </c>
      <c r="H6331" s="7" t="str">
        <f>IF(Table1[[#This Row],[Is Data Valid]]=TRUE,((Table1[[#This Row],[Birthweight (grams)]]*0.9/Table1[[#This Row],[BW_GA]])-1)/(Backend!$B$4/100*Table1[[#This Row],[BW40_3705]]),"")</f>
        <v/>
      </c>
      <c r="I6331" s="7" t="str">
        <f>IF(Table1[[#This Row],[Is Data Valid]]=TRUE,((Table1[[#This Row],[Birthweight (grams)]]*1.1/Table1[[#This Row],[BW_GA]])-1)/(Backend!$B$4/100*Table1[[#This Row],[BW40_3705]]),"")</f>
        <v/>
      </c>
      <c r="J6331" s="7" t="str">
        <f>IF(Table1[[#This Row],[Is Data Valid]]=TRUE,_xlfn.NORM.S.DIST(Table1[[#This Row],[Birthweight Z-Score]],TRUE)*100,"")</f>
        <v/>
      </c>
      <c r="K6331" s="7" t="str">
        <f>IF(Table1[[#This Row],[Is Data Valid]]=TRUE,_xlfn.NORM.S.DIST(Table1[[#This Row],[Birthweight Z-Score (BW-10%)]],TRUE)*100,"")</f>
        <v/>
      </c>
      <c r="L6331" s="7" t="str">
        <f>IF(Table1[[#This Row],[Is Data Valid]]=TRUE,_xlfn.NORM.S.DIST(Table1[[#This Row],[Birthweight Z-Score (BW+10%)]],TRUE)*100,"")</f>
        <v/>
      </c>
    </row>
    <row r="6332" spans="1:12" x14ac:dyDescent="0.35">
      <c r="A6332" s="3"/>
      <c r="B6332" s="2"/>
      <c r="C6332" s="2"/>
      <c r="D6332" s="2" t="b">
        <f>IF(AND(NOT(ISBLANK(Table1[[#This Row],[Fetal Sex (Male, Female or Unknown)]])),ISNUMBER(Table1[[#This Row],[Birthweight (grams)]]),ISNUMBER(Table1[[#This Row],[Gestation (days)]])),TRUE,FALSE)</f>
        <v>0</v>
      </c>
      <c r="E6332" s="2" t="str">
        <f>IF(Table1[[#This Row],[Is Data Valid]]=TRUE,IF(Table1[[#This Row],[Fetal Sex (Male, Female or Unknown)]]="Male",Backend!$C$6,IF(Table1[[#This Row],[Fetal Sex (Male, Female or Unknown)]]="Female",Backend!$C$7,IF(Table1[[#This Row],[Fetal Sex (Male, Female or Unknown)]]="Unknown",Backend!$C$8,"Error"))),"")</f>
        <v/>
      </c>
      <c r="F6332" s="8" t="str">
        <f>IF(Table1[[#This Row],[Is Data Valid]]=TRUE,EXP(0.578+0.332*((Table1[[#This Row],[Gestation (days)]]+0.5)/7)-0.00354*((Table1[[#This Row],[Gestation (days)]]+0.5)/7)^2)*Table1[[#This Row],[BW40_3705]],"")</f>
        <v/>
      </c>
      <c r="G6332" s="2" t="str">
        <f>IF(Table1[[#This Row],[Is Data Valid]]=TRUE,((Table1[[#This Row],[Birthweight (grams)]]/Table1[[#This Row],[BW_GA]])-1)/(Backend!$B$4/100*Table1[[#This Row],[BW40_3705]]),"")</f>
        <v/>
      </c>
      <c r="H6332" s="7" t="str">
        <f>IF(Table1[[#This Row],[Is Data Valid]]=TRUE,((Table1[[#This Row],[Birthweight (grams)]]*0.9/Table1[[#This Row],[BW_GA]])-1)/(Backend!$B$4/100*Table1[[#This Row],[BW40_3705]]),"")</f>
        <v/>
      </c>
      <c r="I6332" s="7" t="str">
        <f>IF(Table1[[#This Row],[Is Data Valid]]=TRUE,((Table1[[#This Row],[Birthweight (grams)]]*1.1/Table1[[#This Row],[BW_GA]])-1)/(Backend!$B$4/100*Table1[[#This Row],[BW40_3705]]),"")</f>
        <v/>
      </c>
      <c r="J6332" s="7" t="str">
        <f>IF(Table1[[#This Row],[Is Data Valid]]=TRUE,_xlfn.NORM.S.DIST(Table1[[#This Row],[Birthweight Z-Score]],TRUE)*100,"")</f>
        <v/>
      </c>
      <c r="K6332" s="7" t="str">
        <f>IF(Table1[[#This Row],[Is Data Valid]]=TRUE,_xlfn.NORM.S.DIST(Table1[[#This Row],[Birthweight Z-Score (BW-10%)]],TRUE)*100,"")</f>
        <v/>
      </c>
      <c r="L6332" s="7" t="str">
        <f>IF(Table1[[#This Row],[Is Data Valid]]=TRUE,_xlfn.NORM.S.DIST(Table1[[#This Row],[Birthweight Z-Score (BW+10%)]],TRUE)*100,"")</f>
        <v/>
      </c>
    </row>
    <row r="6333" spans="1:12" x14ac:dyDescent="0.35">
      <c r="A6333" s="3"/>
      <c r="B6333" s="2"/>
      <c r="C6333" s="2"/>
      <c r="D6333" s="2" t="b">
        <f>IF(AND(NOT(ISBLANK(Table1[[#This Row],[Fetal Sex (Male, Female or Unknown)]])),ISNUMBER(Table1[[#This Row],[Birthweight (grams)]]),ISNUMBER(Table1[[#This Row],[Gestation (days)]])),TRUE,FALSE)</f>
        <v>0</v>
      </c>
      <c r="E6333" s="2" t="str">
        <f>IF(Table1[[#This Row],[Is Data Valid]]=TRUE,IF(Table1[[#This Row],[Fetal Sex (Male, Female or Unknown)]]="Male",Backend!$C$6,IF(Table1[[#This Row],[Fetal Sex (Male, Female or Unknown)]]="Female",Backend!$C$7,IF(Table1[[#This Row],[Fetal Sex (Male, Female or Unknown)]]="Unknown",Backend!$C$8,"Error"))),"")</f>
        <v/>
      </c>
      <c r="F6333" s="8" t="str">
        <f>IF(Table1[[#This Row],[Is Data Valid]]=TRUE,EXP(0.578+0.332*((Table1[[#This Row],[Gestation (days)]]+0.5)/7)-0.00354*((Table1[[#This Row],[Gestation (days)]]+0.5)/7)^2)*Table1[[#This Row],[BW40_3705]],"")</f>
        <v/>
      </c>
      <c r="G6333" s="2" t="str">
        <f>IF(Table1[[#This Row],[Is Data Valid]]=TRUE,((Table1[[#This Row],[Birthweight (grams)]]/Table1[[#This Row],[BW_GA]])-1)/(Backend!$B$4/100*Table1[[#This Row],[BW40_3705]]),"")</f>
        <v/>
      </c>
      <c r="H6333" s="7" t="str">
        <f>IF(Table1[[#This Row],[Is Data Valid]]=TRUE,((Table1[[#This Row],[Birthweight (grams)]]*0.9/Table1[[#This Row],[BW_GA]])-1)/(Backend!$B$4/100*Table1[[#This Row],[BW40_3705]]),"")</f>
        <v/>
      </c>
      <c r="I6333" s="7" t="str">
        <f>IF(Table1[[#This Row],[Is Data Valid]]=TRUE,((Table1[[#This Row],[Birthweight (grams)]]*1.1/Table1[[#This Row],[BW_GA]])-1)/(Backend!$B$4/100*Table1[[#This Row],[BW40_3705]]),"")</f>
        <v/>
      </c>
      <c r="J6333" s="7" t="str">
        <f>IF(Table1[[#This Row],[Is Data Valid]]=TRUE,_xlfn.NORM.S.DIST(Table1[[#This Row],[Birthweight Z-Score]],TRUE)*100,"")</f>
        <v/>
      </c>
      <c r="K6333" s="7" t="str">
        <f>IF(Table1[[#This Row],[Is Data Valid]]=TRUE,_xlfn.NORM.S.DIST(Table1[[#This Row],[Birthweight Z-Score (BW-10%)]],TRUE)*100,"")</f>
        <v/>
      </c>
      <c r="L6333" s="7" t="str">
        <f>IF(Table1[[#This Row],[Is Data Valid]]=TRUE,_xlfn.NORM.S.DIST(Table1[[#This Row],[Birthweight Z-Score (BW+10%)]],TRUE)*100,"")</f>
        <v/>
      </c>
    </row>
    <row r="6334" spans="1:12" x14ac:dyDescent="0.35">
      <c r="A6334" s="3"/>
      <c r="B6334" s="2"/>
      <c r="C6334" s="2"/>
      <c r="D6334" s="2" t="b">
        <f>IF(AND(NOT(ISBLANK(Table1[[#This Row],[Fetal Sex (Male, Female or Unknown)]])),ISNUMBER(Table1[[#This Row],[Birthweight (grams)]]),ISNUMBER(Table1[[#This Row],[Gestation (days)]])),TRUE,FALSE)</f>
        <v>0</v>
      </c>
      <c r="E6334" s="2" t="str">
        <f>IF(Table1[[#This Row],[Is Data Valid]]=TRUE,IF(Table1[[#This Row],[Fetal Sex (Male, Female or Unknown)]]="Male",Backend!$C$6,IF(Table1[[#This Row],[Fetal Sex (Male, Female or Unknown)]]="Female",Backend!$C$7,IF(Table1[[#This Row],[Fetal Sex (Male, Female or Unknown)]]="Unknown",Backend!$C$8,"Error"))),"")</f>
        <v/>
      </c>
      <c r="F6334" s="8" t="str">
        <f>IF(Table1[[#This Row],[Is Data Valid]]=TRUE,EXP(0.578+0.332*((Table1[[#This Row],[Gestation (days)]]+0.5)/7)-0.00354*((Table1[[#This Row],[Gestation (days)]]+0.5)/7)^2)*Table1[[#This Row],[BW40_3705]],"")</f>
        <v/>
      </c>
      <c r="G6334" s="2" t="str">
        <f>IF(Table1[[#This Row],[Is Data Valid]]=TRUE,((Table1[[#This Row],[Birthweight (grams)]]/Table1[[#This Row],[BW_GA]])-1)/(Backend!$B$4/100*Table1[[#This Row],[BW40_3705]]),"")</f>
        <v/>
      </c>
      <c r="H6334" s="7" t="str">
        <f>IF(Table1[[#This Row],[Is Data Valid]]=TRUE,((Table1[[#This Row],[Birthweight (grams)]]*0.9/Table1[[#This Row],[BW_GA]])-1)/(Backend!$B$4/100*Table1[[#This Row],[BW40_3705]]),"")</f>
        <v/>
      </c>
      <c r="I6334" s="7" t="str">
        <f>IF(Table1[[#This Row],[Is Data Valid]]=TRUE,((Table1[[#This Row],[Birthweight (grams)]]*1.1/Table1[[#This Row],[BW_GA]])-1)/(Backend!$B$4/100*Table1[[#This Row],[BW40_3705]]),"")</f>
        <v/>
      </c>
      <c r="J6334" s="7" t="str">
        <f>IF(Table1[[#This Row],[Is Data Valid]]=TRUE,_xlfn.NORM.S.DIST(Table1[[#This Row],[Birthweight Z-Score]],TRUE)*100,"")</f>
        <v/>
      </c>
      <c r="K6334" s="7" t="str">
        <f>IF(Table1[[#This Row],[Is Data Valid]]=TRUE,_xlfn.NORM.S.DIST(Table1[[#This Row],[Birthweight Z-Score (BW-10%)]],TRUE)*100,"")</f>
        <v/>
      </c>
      <c r="L6334" s="7" t="str">
        <f>IF(Table1[[#This Row],[Is Data Valid]]=TRUE,_xlfn.NORM.S.DIST(Table1[[#This Row],[Birthweight Z-Score (BW+10%)]],TRUE)*100,"")</f>
        <v/>
      </c>
    </row>
    <row r="6335" spans="1:12" x14ac:dyDescent="0.35">
      <c r="A6335" s="3"/>
      <c r="B6335" s="2"/>
      <c r="C6335" s="2"/>
      <c r="D6335" s="2" t="b">
        <f>IF(AND(NOT(ISBLANK(Table1[[#This Row],[Fetal Sex (Male, Female or Unknown)]])),ISNUMBER(Table1[[#This Row],[Birthweight (grams)]]),ISNUMBER(Table1[[#This Row],[Gestation (days)]])),TRUE,FALSE)</f>
        <v>0</v>
      </c>
      <c r="E6335" s="2" t="str">
        <f>IF(Table1[[#This Row],[Is Data Valid]]=TRUE,IF(Table1[[#This Row],[Fetal Sex (Male, Female or Unknown)]]="Male",Backend!$C$6,IF(Table1[[#This Row],[Fetal Sex (Male, Female or Unknown)]]="Female",Backend!$C$7,IF(Table1[[#This Row],[Fetal Sex (Male, Female or Unknown)]]="Unknown",Backend!$C$8,"Error"))),"")</f>
        <v/>
      </c>
      <c r="F6335" s="8" t="str">
        <f>IF(Table1[[#This Row],[Is Data Valid]]=TRUE,EXP(0.578+0.332*((Table1[[#This Row],[Gestation (days)]]+0.5)/7)-0.00354*((Table1[[#This Row],[Gestation (days)]]+0.5)/7)^2)*Table1[[#This Row],[BW40_3705]],"")</f>
        <v/>
      </c>
      <c r="G6335" s="2" t="str">
        <f>IF(Table1[[#This Row],[Is Data Valid]]=TRUE,((Table1[[#This Row],[Birthweight (grams)]]/Table1[[#This Row],[BW_GA]])-1)/(Backend!$B$4/100*Table1[[#This Row],[BW40_3705]]),"")</f>
        <v/>
      </c>
      <c r="H6335" s="7" t="str">
        <f>IF(Table1[[#This Row],[Is Data Valid]]=TRUE,((Table1[[#This Row],[Birthweight (grams)]]*0.9/Table1[[#This Row],[BW_GA]])-1)/(Backend!$B$4/100*Table1[[#This Row],[BW40_3705]]),"")</f>
        <v/>
      </c>
      <c r="I6335" s="7" t="str">
        <f>IF(Table1[[#This Row],[Is Data Valid]]=TRUE,((Table1[[#This Row],[Birthweight (grams)]]*1.1/Table1[[#This Row],[BW_GA]])-1)/(Backend!$B$4/100*Table1[[#This Row],[BW40_3705]]),"")</f>
        <v/>
      </c>
      <c r="J6335" s="7" t="str">
        <f>IF(Table1[[#This Row],[Is Data Valid]]=TRUE,_xlfn.NORM.S.DIST(Table1[[#This Row],[Birthweight Z-Score]],TRUE)*100,"")</f>
        <v/>
      </c>
      <c r="K6335" s="7" t="str">
        <f>IF(Table1[[#This Row],[Is Data Valid]]=TRUE,_xlfn.NORM.S.DIST(Table1[[#This Row],[Birthweight Z-Score (BW-10%)]],TRUE)*100,"")</f>
        <v/>
      </c>
      <c r="L6335" s="7" t="str">
        <f>IF(Table1[[#This Row],[Is Data Valid]]=TRUE,_xlfn.NORM.S.DIST(Table1[[#This Row],[Birthweight Z-Score (BW+10%)]],TRUE)*100,"")</f>
        <v/>
      </c>
    </row>
    <row r="6336" spans="1:12" x14ac:dyDescent="0.35">
      <c r="A6336" s="3"/>
      <c r="B6336" s="2"/>
      <c r="C6336" s="2"/>
      <c r="D6336" s="2" t="b">
        <f>IF(AND(NOT(ISBLANK(Table1[[#This Row],[Fetal Sex (Male, Female or Unknown)]])),ISNUMBER(Table1[[#This Row],[Birthweight (grams)]]),ISNUMBER(Table1[[#This Row],[Gestation (days)]])),TRUE,FALSE)</f>
        <v>0</v>
      </c>
      <c r="E6336" s="2" t="str">
        <f>IF(Table1[[#This Row],[Is Data Valid]]=TRUE,IF(Table1[[#This Row],[Fetal Sex (Male, Female or Unknown)]]="Male",Backend!$C$6,IF(Table1[[#This Row],[Fetal Sex (Male, Female or Unknown)]]="Female",Backend!$C$7,IF(Table1[[#This Row],[Fetal Sex (Male, Female or Unknown)]]="Unknown",Backend!$C$8,"Error"))),"")</f>
        <v/>
      </c>
      <c r="F6336" s="8" t="str">
        <f>IF(Table1[[#This Row],[Is Data Valid]]=TRUE,EXP(0.578+0.332*((Table1[[#This Row],[Gestation (days)]]+0.5)/7)-0.00354*((Table1[[#This Row],[Gestation (days)]]+0.5)/7)^2)*Table1[[#This Row],[BW40_3705]],"")</f>
        <v/>
      </c>
      <c r="G6336" s="2" t="str">
        <f>IF(Table1[[#This Row],[Is Data Valid]]=TRUE,((Table1[[#This Row],[Birthweight (grams)]]/Table1[[#This Row],[BW_GA]])-1)/(Backend!$B$4/100*Table1[[#This Row],[BW40_3705]]),"")</f>
        <v/>
      </c>
      <c r="H6336" s="7" t="str">
        <f>IF(Table1[[#This Row],[Is Data Valid]]=TRUE,((Table1[[#This Row],[Birthweight (grams)]]*0.9/Table1[[#This Row],[BW_GA]])-1)/(Backend!$B$4/100*Table1[[#This Row],[BW40_3705]]),"")</f>
        <v/>
      </c>
      <c r="I6336" s="7" t="str">
        <f>IF(Table1[[#This Row],[Is Data Valid]]=TRUE,((Table1[[#This Row],[Birthweight (grams)]]*1.1/Table1[[#This Row],[BW_GA]])-1)/(Backend!$B$4/100*Table1[[#This Row],[BW40_3705]]),"")</f>
        <v/>
      </c>
      <c r="J6336" s="7" t="str">
        <f>IF(Table1[[#This Row],[Is Data Valid]]=TRUE,_xlfn.NORM.S.DIST(Table1[[#This Row],[Birthweight Z-Score]],TRUE)*100,"")</f>
        <v/>
      </c>
      <c r="K6336" s="7" t="str">
        <f>IF(Table1[[#This Row],[Is Data Valid]]=TRUE,_xlfn.NORM.S.DIST(Table1[[#This Row],[Birthweight Z-Score (BW-10%)]],TRUE)*100,"")</f>
        <v/>
      </c>
      <c r="L6336" s="7" t="str">
        <f>IF(Table1[[#This Row],[Is Data Valid]]=TRUE,_xlfn.NORM.S.DIST(Table1[[#This Row],[Birthweight Z-Score (BW+10%)]],TRUE)*100,"")</f>
        <v/>
      </c>
    </row>
    <row r="6337" spans="1:12" x14ac:dyDescent="0.35">
      <c r="A6337" s="3"/>
      <c r="B6337" s="2"/>
      <c r="C6337" s="2"/>
      <c r="D6337" s="2" t="b">
        <f>IF(AND(NOT(ISBLANK(Table1[[#This Row],[Fetal Sex (Male, Female or Unknown)]])),ISNUMBER(Table1[[#This Row],[Birthweight (grams)]]),ISNUMBER(Table1[[#This Row],[Gestation (days)]])),TRUE,FALSE)</f>
        <v>0</v>
      </c>
      <c r="E6337" s="2" t="str">
        <f>IF(Table1[[#This Row],[Is Data Valid]]=TRUE,IF(Table1[[#This Row],[Fetal Sex (Male, Female or Unknown)]]="Male",Backend!$C$6,IF(Table1[[#This Row],[Fetal Sex (Male, Female or Unknown)]]="Female",Backend!$C$7,IF(Table1[[#This Row],[Fetal Sex (Male, Female or Unknown)]]="Unknown",Backend!$C$8,"Error"))),"")</f>
        <v/>
      </c>
      <c r="F6337" s="8" t="str">
        <f>IF(Table1[[#This Row],[Is Data Valid]]=TRUE,EXP(0.578+0.332*((Table1[[#This Row],[Gestation (days)]]+0.5)/7)-0.00354*((Table1[[#This Row],[Gestation (days)]]+0.5)/7)^2)*Table1[[#This Row],[BW40_3705]],"")</f>
        <v/>
      </c>
      <c r="G6337" s="2" t="str">
        <f>IF(Table1[[#This Row],[Is Data Valid]]=TRUE,((Table1[[#This Row],[Birthweight (grams)]]/Table1[[#This Row],[BW_GA]])-1)/(Backend!$B$4/100*Table1[[#This Row],[BW40_3705]]),"")</f>
        <v/>
      </c>
      <c r="H6337" s="7" t="str">
        <f>IF(Table1[[#This Row],[Is Data Valid]]=TRUE,((Table1[[#This Row],[Birthweight (grams)]]*0.9/Table1[[#This Row],[BW_GA]])-1)/(Backend!$B$4/100*Table1[[#This Row],[BW40_3705]]),"")</f>
        <v/>
      </c>
      <c r="I6337" s="7" t="str">
        <f>IF(Table1[[#This Row],[Is Data Valid]]=TRUE,((Table1[[#This Row],[Birthweight (grams)]]*1.1/Table1[[#This Row],[BW_GA]])-1)/(Backend!$B$4/100*Table1[[#This Row],[BW40_3705]]),"")</f>
        <v/>
      </c>
      <c r="J6337" s="7" t="str">
        <f>IF(Table1[[#This Row],[Is Data Valid]]=TRUE,_xlfn.NORM.S.DIST(Table1[[#This Row],[Birthweight Z-Score]],TRUE)*100,"")</f>
        <v/>
      </c>
      <c r="K6337" s="7" t="str">
        <f>IF(Table1[[#This Row],[Is Data Valid]]=TRUE,_xlfn.NORM.S.DIST(Table1[[#This Row],[Birthweight Z-Score (BW-10%)]],TRUE)*100,"")</f>
        <v/>
      </c>
      <c r="L6337" s="7" t="str">
        <f>IF(Table1[[#This Row],[Is Data Valid]]=TRUE,_xlfn.NORM.S.DIST(Table1[[#This Row],[Birthweight Z-Score (BW+10%)]],TRUE)*100,"")</f>
        <v/>
      </c>
    </row>
    <row r="6338" spans="1:12" x14ac:dyDescent="0.35">
      <c r="A6338" s="3"/>
      <c r="B6338" s="2"/>
      <c r="C6338" s="2"/>
      <c r="D6338" s="2" t="b">
        <f>IF(AND(NOT(ISBLANK(Table1[[#This Row],[Fetal Sex (Male, Female or Unknown)]])),ISNUMBER(Table1[[#This Row],[Birthweight (grams)]]),ISNUMBER(Table1[[#This Row],[Gestation (days)]])),TRUE,FALSE)</f>
        <v>0</v>
      </c>
      <c r="E6338" s="2" t="str">
        <f>IF(Table1[[#This Row],[Is Data Valid]]=TRUE,IF(Table1[[#This Row],[Fetal Sex (Male, Female or Unknown)]]="Male",Backend!$C$6,IF(Table1[[#This Row],[Fetal Sex (Male, Female or Unknown)]]="Female",Backend!$C$7,IF(Table1[[#This Row],[Fetal Sex (Male, Female or Unknown)]]="Unknown",Backend!$C$8,"Error"))),"")</f>
        <v/>
      </c>
      <c r="F6338" s="8" t="str">
        <f>IF(Table1[[#This Row],[Is Data Valid]]=TRUE,EXP(0.578+0.332*((Table1[[#This Row],[Gestation (days)]]+0.5)/7)-0.00354*((Table1[[#This Row],[Gestation (days)]]+0.5)/7)^2)*Table1[[#This Row],[BW40_3705]],"")</f>
        <v/>
      </c>
      <c r="G6338" s="2" t="str">
        <f>IF(Table1[[#This Row],[Is Data Valid]]=TRUE,((Table1[[#This Row],[Birthweight (grams)]]/Table1[[#This Row],[BW_GA]])-1)/(Backend!$B$4/100*Table1[[#This Row],[BW40_3705]]),"")</f>
        <v/>
      </c>
      <c r="H6338" s="7" t="str">
        <f>IF(Table1[[#This Row],[Is Data Valid]]=TRUE,((Table1[[#This Row],[Birthweight (grams)]]*0.9/Table1[[#This Row],[BW_GA]])-1)/(Backend!$B$4/100*Table1[[#This Row],[BW40_3705]]),"")</f>
        <v/>
      </c>
      <c r="I6338" s="7" t="str">
        <f>IF(Table1[[#This Row],[Is Data Valid]]=TRUE,((Table1[[#This Row],[Birthweight (grams)]]*1.1/Table1[[#This Row],[BW_GA]])-1)/(Backend!$B$4/100*Table1[[#This Row],[BW40_3705]]),"")</f>
        <v/>
      </c>
      <c r="J6338" s="7" t="str">
        <f>IF(Table1[[#This Row],[Is Data Valid]]=TRUE,_xlfn.NORM.S.DIST(Table1[[#This Row],[Birthweight Z-Score]],TRUE)*100,"")</f>
        <v/>
      </c>
      <c r="K6338" s="7" t="str">
        <f>IF(Table1[[#This Row],[Is Data Valid]]=TRUE,_xlfn.NORM.S.DIST(Table1[[#This Row],[Birthweight Z-Score (BW-10%)]],TRUE)*100,"")</f>
        <v/>
      </c>
      <c r="L6338" s="7" t="str">
        <f>IF(Table1[[#This Row],[Is Data Valid]]=TRUE,_xlfn.NORM.S.DIST(Table1[[#This Row],[Birthweight Z-Score (BW+10%)]],TRUE)*100,"")</f>
        <v/>
      </c>
    </row>
    <row r="6339" spans="1:12" x14ac:dyDescent="0.35">
      <c r="A6339" s="3"/>
      <c r="B6339" s="2"/>
      <c r="C6339" s="2"/>
      <c r="D6339" s="2" t="b">
        <f>IF(AND(NOT(ISBLANK(Table1[[#This Row],[Fetal Sex (Male, Female or Unknown)]])),ISNUMBER(Table1[[#This Row],[Birthweight (grams)]]),ISNUMBER(Table1[[#This Row],[Gestation (days)]])),TRUE,FALSE)</f>
        <v>0</v>
      </c>
      <c r="E6339" s="2" t="str">
        <f>IF(Table1[[#This Row],[Is Data Valid]]=TRUE,IF(Table1[[#This Row],[Fetal Sex (Male, Female or Unknown)]]="Male",Backend!$C$6,IF(Table1[[#This Row],[Fetal Sex (Male, Female or Unknown)]]="Female",Backend!$C$7,IF(Table1[[#This Row],[Fetal Sex (Male, Female or Unknown)]]="Unknown",Backend!$C$8,"Error"))),"")</f>
        <v/>
      </c>
      <c r="F6339" s="8" t="str">
        <f>IF(Table1[[#This Row],[Is Data Valid]]=TRUE,EXP(0.578+0.332*((Table1[[#This Row],[Gestation (days)]]+0.5)/7)-0.00354*((Table1[[#This Row],[Gestation (days)]]+0.5)/7)^2)*Table1[[#This Row],[BW40_3705]],"")</f>
        <v/>
      </c>
      <c r="G6339" s="2" t="str">
        <f>IF(Table1[[#This Row],[Is Data Valid]]=TRUE,((Table1[[#This Row],[Birthweight (grams)]]/Table1[[#This Row],[BW_GA]])-1)/(Backend!$B$4/100*Table1[[#This Row],[BW40_3705]]),"")</f>
        <v/>
      </c>
      <c r="H6339" s="7" t="str">
        <f>IF(Table1[[#This Row],[Is Data Valid]]=TRUE,((Table1[[#This Row],[Birthweight (grams)]]*0.9/Table1[[#This Row],[BW_GA]])-1)/(Backend!$B$4/100*Table1[[#This Row],[BW40_3705]]),"")</f>
        <v/>
      </c>
      <c r="I6339" s="7" t="str">
        <f>IF(Table1[[#This Row],[Is Data Valid]]=TRUE,((Table1[[#This Row],[Birthweight (grams)]]*1.1/Table1[[#This Row],[BW_GA]])-1)/(Backend!$B$4/100*Table1[[#This Row],[BW40_3705]]),"")</f>
        <v/>
      </c>
      <c r="J6339" s="7" t="str">
        <f>IF(Table1[[#This Row],[Is Data Valid]]=TRUE,_xlfn.NORM.S.DIST(Table1[[#This Row],[Birthweight Z-Score]],TRUE)*100,"")</f>
        <v/>
      </c>
      <c r="K6339" s="7" t="str">
        <f>IF(Table1[[#This Row],[Is Data Valid]]=TRUE,_xlfn.NORM.S.DIST(Table1[[#This Row],[Birthweight Z-Score (BW-10%)]],TRUE)*100,"")</f>
        <v/>
      </c>
      <c r="L6339" s="7" t="str">
        <f>IF(Table1[[#This Row],[Is Data Valid]]=TRUE,_xlfn.NORM.S.DIST(Table1[[#This Row],[Birthweight Z-Score (BW+10%)]],TRUE)*100,"")</f>
        <v/>
      </c>
    </row>
    <row r="6340" spans="1:12" x14ac:dyDescent="0.35">
      <c r="A6340" s="3"/>
      <c r="B6340" s="2"/>
      <c r="C6340" s="2"/>
      <c r="D6340" s="2" t="b">
        <f>IF(AND(NOT(ISBLANK(Table1[[#This Row],[Fetal Sex (Male, Female or Unknown)]])),ISNUMBER(Table1[[#This Row],[Birthweight (grams)]]),ISNUMBER(Table1[[#This Row],[Gestation (days)]])),TRUE,FALSE)</f>
        <v>0</v>
      </c>
      <c r="E6340" s="2" t="str">
        <f>IF(Table1[[#This Row],[Is Data Valid]]=TRUE,IF(Table1[[#This Row],[Fetal Sex (Male, Female or Unknown)]]="Male",Backend!$C$6,IF(Table1[[#This Row],[Fetal Sex (Male, Female or Unknown)]]="Female",Backend!$C$7,IF(Table1[[#This Row],[Fetal Sex (Male, Female or Unknown)]]="Unknown",Backend!$C$8,"Error"))),"")</f>
        <v/>
      </c>
      <c r="F6340" s="8" t="str">
        <f>IF(Table1[[#This Row],[Is Data Valid]]=TRUE,EXP(0.578+0.332*((Table1[[#This Row],[Gestation (days)]]+0.5)/7)-0.00354*((Table1[[#This Row],[Gestation (days)]]+0.5)/7)^2)*Table1[[#This Row],[BW40_3705]],"")</f>
        <v/>
      </c>
      <c r="G6340" s="2" t="str">
        <f>IF(Table1[[#This Row],[Is Data Valid]]=TRUE,((Table1[[#This Row],[Birthweight (grams)]]/Table1[[#This Row],[BW_GA]])-1)/(Backend!$B$4/100*Table1[[#This Row],[BW40_3705]]),"")</f>
        <v/>
      </c>
      <c r="H6340" s="7" t="str">
        <f>IF(Table1[[#This Row],[Is Data Valid]]=TRUE,((Table1[[#This Row],[Birthweight (grams)]]*0.9/Table1[[#This Row],[BW_GA]])-1)/(Backend!$B$4/100*Table1[[#This Row],[BW40_3705]]),"")</f>
        <v/>
      </c>
      <c r="I6340" s="7" t="str">
        <f>IF(Table1[[#This Row],[Is Data Valid]]=TRUE,((Table1[[#This Row],[Birthweight (grams)]]*1.1/Table1[[#This Row],[BW_GA]])-1)/(Backend!$B$4/100*Table1[[#This Row],[BW40_3705]]),"")</f>
        <v/>
      </c>
      <c r="J6340" s="7" t="str">
        <f>IF(Table1[[#This Row],[Is Data Valid]]=TRUE,_xlfn.NORM.S.DIST(Table1[[#This Row],[Birthweight Z-Score]],TRUE)*100,"")</f>
        <v/>
      </c>
      <c r="K6340" s="7" t="str">
        <f>IF(Table1[[#This Row],[Is Data Valid]]=TRUE,_xlfn.NORM.S.DIST(Table1[[#This Row],[Birthweight Z-Score (BW-10%)]],TRUE)*100,"")</f>
        <v/>
      </c>
      <c r="L6340" s="7" t="str">
        <f>IF(Table1[[#This Row],[Is Data Valid]]=TRUE,_xlfn.NORM.S.DIST(Table1[[#This Row],[Birthweight Z-Score (BW+10%)]],TRUE)*100,"")</f>
        <v/>
      </c>
    </row>
    <row r="6341" spans="1:12" x14ac:dyDescent="0.35">
      <c r="A6341" s="3"/>
      <c r="B6341" s="2"/>
      <c r="C6341" s="2"/>
      <c r="D6341" s="2" t="b">
        <f>IF(AND(NOT(ISBLANK(Table1[[#This Row],[Fetal Sex (Male, Female or Unknown)]])),ISNUMBER(Table1[[#This Row],[Birthweight (grams)]]),ISNUMBER(Table1[[#This Row],[Gestation (days)]])),TRUE,FALSE)</f>
        <v>0</v>
      </c>
      <c r="E6341" s="2" t="str">
        <f>IF(Table1[[#This Row],[Is Data Valid]]=TRUE,IF(Table1[[#This Row],[Fetal Sex (Male, Female or Unknown)]]="Male",Backend!$C$6,IF(Table1[[#This Row],[Fetal Sex (Male, Female or Unknown)]]="Female",Backend!$C$7,IF(Table1[[#This Row],[Fetal Sex (Male, Female or Unknown)]]="Unknown",Backend!$C$8,"Error"))),"")</f>
        <v/>
      </c>
      <c r="F6341" s="8" t="str">
        <f>IF(Table1[[#This Row],[Is Data Valid]]=TRUE,EXP(0.578+0.332*((Table1[[#This Row],[Gestation (days)]]+0.5)/7)-0.00354*((Table1[[#This Row],[Gestation (days)]]+0.5)/7)^2)*Table1[[#This Row],[BW40_3705]],"")</f>
        <v/>
      </c>
      <c r="G6341" s="2" t="str">
        <f>IF(Table1[[#This Row],[Is Data Valid]]=TRUE,((Table1[[#This Row],[Birthweight (grams)]]/Table1[[#This Row],[BW_GA]])-1)/(Backend!$B$4/100*Table1[[#This Row],[BW40_3705]]),"")</f>
        <v/>
      </c>
      <c r="H6341" s="7" t="str">
        <f>IF(Table1[[#This Row],[Is Data Valid]]=TRUE,((Table1[[#This Row],[Birthweight (grams)]]*0.9/Table1[[#This Row],[BW_GA]])-1)/(Backend!$B$4/100*Table1[[#This Row],[BW40_3705]]),"")</f>
        <v/>
      </c>
      <c r="I6341" s="7" t="str">
        <f>IF(Table1[[#This Row],[Is Data Valid]]=TRUE,((Table1[[#This Row],[Birthweight (grams)]]*1.1/Table1[[#This Row],[BW_GA]])-1)/(Backend!$B$4/100*Table1[[#This Row],[BW40_3705]]),"")</f>
        <v/>
      </c>
      <c r="J6341" s="7" t="str">
        <f>IF(Table1[[#This Row],[Is Data Valid]]=TRUE,_xlfn.NORM.S.DIST(Table1[[#This Row],[Birthweight Z-Score]],TRUE)*100,"")</f>
        <v/>
      </c>
      <c r="K6341" s="7" t="str">
        <f>IF(Table1[[#This Row],[Is Data Valid]]=TRUE,_xlfn.NORM.S.DIST(Table1[[#This Row],[Birthweight Z-Score (BW-10%)]],TRUE)*100,"")</f>
        <v/>
      </c>
      <c r="L6341" s="7" t="str">
        <f>IF(Table1[[#This Row],[Is Data Valid]]=TRUE,_xlfn.NORM.S.DIST(Table1[[#This Row],[Birthweight Z-Score (BW+10%)]],TRUE)*100,"")</f>
        <v/>
      </c>
    </row>
    <row r="6342" spans="1:12" x14ac:dyDescent="0.35">
      <c r="A6342" s="3"/>
      <c r="B6342" s="2"/>
      <c r="C6342" s="2"/>
      <c r="D6342" s="2" t="b">
        <f>IF(AND(NOT(ISBLANK(Table1[[#This Row],[Fetal Sex (Male, Female or Unknown)]])),ISNUMBER(Table1[[#This Row],[Birthweight (grams)]]),ISNUMBER(Table1[[#This Row],[Gestation (days)]])),TRUE,FALSE)</f>
        <v>0</v>
      </c>
      <c r="E6342" s="2" t="str">
        <f>IF(Table1[[#This Row],[Is Data Valid]]=TRUE,IF(Table1[[#This Row],[Fetal Sex (Male, Female or Unknown)]]="Male",Backend!$C$6,IF(Table1[[#This Row],[Fetal Sex (Male, Female or Unknown)]]="Female",Backend!$C$7,IF(Table1[[#This Row],[Fetal Sex (Male, Female or Unknown)]]="Unknown",Backend!$C$8,"Error"))),"")</f>
        <v/>
      </c>
      <c r="F6342" s="8" t="str">
        <f>IF(Table1[[#This Row],[Is Data Valid]]=TRUE,EXP(0.578+0.332*((Table1[[#This Row],[Gestation (days)]]+0.5)/7)-0.00354*((Table1[[#This Row],[Gestation (days)]]+0.5)/7)^2)*Table1[[#This Row],[BW40_3705]],"")</f>
        <v/>
      </c>
      <c r="G6342" s="2" t="str">
        <f>IF(Table1[[#This Row],[Is Data Valid]]=TRUE,((Table1[[#This Row],[Birthweight (grams)]]/Table1[[#This Row],[BW_GA]])-1)/(Backend!$B$4/100*Table1[[#This Row],[BW40_3705]]),"")</f>
        <v/>
      </c>
      <c r="H6342" s="7" t="str">
        <f>IF(Table1[[#This Row],[Is Data Valid]]=TRUE,((Table1[[#This Row],[Birthweight (grams)]]*0.9/Table1[[#This Row],[BW_GA]])-1)/(Backend!$B$4/100*Table1[[#This Row],[BW40_3705]]),"")</f>
        <v/>
      </c>
      <c r="I6342" s="7" t="str">
        <f>IF(Table1[[#This Row],[Is Data Valid]]=TRUE,((Table1[[#This Row],[Birthweight (grams)]]*1.1/Table1[[#This Row],[BW_GA]])-1)/(Backend!$B$4/100*Table1[[#This Row],[BW40_3705]]),"")</f>
        <v/>
      </c>
      <c r="J6342" s="7" t="str">
        <f>IF(Table1[[#This Row],[Is Data Valid]]=TRUE,_xlfn.NORM.S.DIST(Table1[[#This Row],[Birthweight Z-Score]],TRUE)*100,"")</f>
        <v/>
      </c>
      <c r="K6342" s="7" t="str">
        <f>IF(Table1[[#This Row],[Is Data Valid]]=TRUE,_xlfn.NORM.S.DIST(Table1[[#This Row],[Birthweight Z-Score (BW-10%)]],TRUE)*100,"")</f>
        <v/>
      </c>
      <c r="L6342" s="7" t="str">
        <f>IF(Table1[[#This Row],[Is Data Valid]]=TRUE,_xlfn.NORM.S.DIST(Table1[[#This Row],[Birthweight Z-Score (BW+10%)]],TRUE)*100,"")</f>
        <v/>
      </c>
    </row>
    <row r="6343" spans="1:12" x14ac:dyDescent="0.35">
      <c r="A6343" s="3"/>
      <c r="B6343" s="2"/>
      <c r="C6343" s="2"/>
      <c r="D6343" s="2" t="b">
        <f>IF(AND(NOT(ISBLANK(Table1[[#This Row],[Fetal Sex (Male, Female or Unknown)]])),ISNUMBER(Table1[[#This Row],[Birthweight (grams)]]),ISNUMBER(Table1[[#This Row],[Gestation (days)]])),TRUE,FALSE)</f>
        <v>0</v>
      </c>
      <c r="E6343" s="2" t="str">
        <f>IF(Table1[[#This Row],[Is Data Valid]]=TRUE,IF(Table1[[#This Row],[Fetal Sex (Male, Female or Unknown)]]="Male",Backend!$C$6,IF(Table1[[#This Row],[Fetal Sex (Male, Female or Unknown)]]="Female",Backend!$C$7,IF(Table1[[#This Row],[Fetal Sex (Male, Female or Unknown)]]="Unknown",Backend!$C$8,"Error"))),"")</f>
        <v/>
      </c>
      <c r="F6343" s="8" t="str">
        <f>IF(Table1[[#This Row],[Is Data Valid]]=TRUE,EXP(0.578+0.332*((Table1[[#This Row],[Gestation (days)]]+0.5)/7)-0.00354*((Table1[[#This Row],[Gestation (days)]]+0.5)/7)^2)*Table1[[#This Row],[BW40_3705]],"")</f>
        <v/>
      </c>
      <c r="G6343" s="2" t="str">
        <f>IF(Table1[[#This Row],[Is Data Valid]]=TRUE,((Table1[[#This Row],[Birthweight (grams)]]/Table1[[#This Row],[BW_GA]])-1)/(Backend!$B$4/100*Table1[[#This Row],[BW40_3705]]),"")</f>
        <v/>
      </c>
      <c r="H6343" s="7" t="str">
        <f>IF(Table1[[#This Row],[Is Data Valid]]=TRUE,((Table1[[#This Row],[Birthweight (grams)]]*0.9/Table1[[#This Row],[BW_GA]])-1)/(Backend!$B$4/100*Table1[[#This Row],[BW40_3705]]),"")</f>
        <v/>
      </c>
      <c r="I6343" s="7" t="str">
        <f>IF(Table1[[#This Row],[Is Data Valid]]=TRUE,((Table1[[#This Row],[Birthweight (grams)]]*1.1/Table1[[#This Row],[BW_GA]])-1)/(Backend!$B$4/100*Table1[[#This Row],[BW40_3705]]),"")</f>
        <v/>
      </c>
      <c r="J6343" s="7" t="str">
        <f>IF(Table1[[#This Row],[Is Data Valid]]=TRUE,_xlfn.NORM.S.DIST(Table1[[#This Row],[Birthweight Z-Score]],TRUE)*100,"")</f>
        <v/>
      </c>
      <c r="K6343" s="7" t="str">
        <f>IF(Table1[[#This Row],[Is Data Valid]]=TRUE,_xlfn.NORM.S.DIST(Table1[[#This Row],[Birthweight Z-Score (BW-10%)]],TRUE)*100,"")</f>
        <v/>
      </c>
      <c r="L6343" s="7" t="str">
        <f>IF(Table1[[#This Row],[Is Data Valid]]=TRUE,_xlfn.NORM.S.DIST(Table1[[#This Row],[Birthweight Z-Score (BW+10%)]],TRUE)*100,"")</f>
        <v/>
      </c>
    </row>
    <row r="6344" spans="1:12" x14ac:dyDescent="0.35">
      <c r="A6344" s="3"/>
      <c r="B6344" s="2"/>
      <c r="C6344" s="2"/>
      <c r="D6344" s="2" t="b">
        <f>IF(AND(NOT(ISBLANK(Table1[[#This Row],[Fetal Sex (Male, Female or Unknown)]])),ISNUMBER(Table1[[#This Row],[Birthweight (grams)]]),ISNUMBER(Table1[[#This Row],[Gestation (days)]])),TRUE,FALSE)</f>
        <v>0</v>
      </c>
      <c r="E6344" s="2" t="str">
        <f>IF(Table1[[#This Row],[Is Data Valid]]=TRUE,IF(Table1[[#This Row],[Fetal Sex (Male, Female or Unknown)]]="Male",Backend!$C$6,IF(Table1[[#This Row],[Fetal Sex (Male, Female or Unknown)]]="Female",Backend!$C$7,IF(Table1[[#This Row],[Fetal Sex (Male, Female or Unknown)]]="Unknown",Backend!$C$8,"Error"))),"")</f>
        <v/>
      </c>
      <c r="F6344" s="8" t="str">
        <f>IF(Table1[[#This Row],[Is Data Valid]]=TRUE,EXP(0.578+0.332*((Table1[[#This Row],[Gestation (days)]]+0.5)/7)-0.00354*((Table1[[#This Row],[Gestation (days)]]+0.5)/7)^2)*Table1[[#This Row],[BW40_3705]],"")</f>
        <v/>
      </c>
      <c r="G6344" s="2" t="str">
        <f>IF(Table1[[#This Row],[Is Data Valid]]=TRUE,((Table1[[#This Row],[Birthweight (grams)]]/Table1[[#This Row],[BW_GA]])-1)/(Backend!$B$4/100*Table1[[#This Row],[BW40_3705]]),"")</f>
        <v/>
      </c>
      <c r="H6344" s="7" t="str">
        <f>IF(Table1[[#This Row],[Is Data Valid]]=TRUE,((Table1[[#This Row],[Birthweight (grams)]]*0.9/Table1[[#This Row],[BW_GA]])-1)/(Backend!$B$4/100*Table1[[#This Row],[BW40_3705]]),"")</f>
        <v/>
      </c>
      <c r="I6344" s="7" t="str">
        <f>IF(Table1[[#This Row],[Is Data Valid]]=TRUE,((Table1[[#This Row],[Birthweight (grams)]]*1.1/Table1[[#This Row],[BW_GA]])-1)/(Backend!$B$4/100*Table1[[#This Row],[BW40_3705]]),"")</f>
        <v/>
      </c>
      <c r="J6344" s="7" t="str">
        <f>IF(Table1[[#This Row],[Is Data Valid]]=TRUE,_xlfn.NORM.S.DIST(Table1[[#This Row],[Birthweight Z-Score]],TRUE)*100,"")</f>
        <v/>
      </c>
      <c r="K6344" s="7" t="str">
        <f>IF(Table1[[#This Row],[Is Data Valid]]=TRUE,_xlfn.NORM.S.DIST(Table1[[#This Row],[Birthweight Z-Score (BW-10%)]],TRUE)*100,"")</f>
        <v/>
      </c>
      <c r="L6344" s="7" t="str">
        <f>IF(Table1[[#This Row],[Is Data Valid]]=TRUE,_xlfn.NORM.S.DIST(Table1[[#This Row],[Birthweight Z-Score (BW+10%)]],TRUE)*100,"")</f>
        <v/>
      </c>
    </row>
    <row r="6345" spans="1:12" x14ac:dyDescent="0.35">
      <c r="A6345" s="3"/>
      <c r="B6345" s="2"/>
      <c r="C6345" s="2"/>
      <c r="D6345" s="2" t="b">
        <f>IF(AND(NOT(ISBLANK(Table1[[#This Row],[Fetal Sex (Male, Female or Unknown)]])),ISNUMBER(Table1[[#This Row],[Birthweight (grams)]]),ISNUMBER(Table1[[#This Row],[Gestation (days)]])),TRUE,FALSE)</f>
        <v>0</v>
      </c>
      <c r="E6345" s="2" t="str">
        <f>IF(Table1[[#This Row],[Is Data Valid]]=TRUE,IF(Table1[[#This Row],[Fetal Sex (Male, Female or Unknown)]]="Male",Backend!$C$6,IF(Table1[[#This Row],[Fetal Sex (Male, Female or Unknown)]]="Female",Backend!$C$7,IF(Table1[[#This Row],[Fetal Sex (Male, Female or Unknown)]]="Unknown",Backend!$C$8,"Error"))),"")</f>
        <v/>
      </c>
      <c r="F6345" s="8" t="str">
        <f>IF(Table1[[#This Row],[Is Data Valid]]=TRUE,EXP(0.578+0.332*((Table1[[#This Row],[Gestation (days)]]+0.5)/7)-0.00354*((Table1[[#This Row],[Gestation (days)]]+0.5)/7)^2)*Table1[[#This Row],[BW40_3705]],"")</f>
        <v/>
      </c>
      <c r="G6345" s="2" t="str">
        <f>IF(Table1[[#This Row],[Is Data Valid]]=TRUE,((Table1[[#This Row],[Birthweight (grams)]]/Table1[[#This Row],[BW_GA]])-1)/(Backend!$B$4/100*Table1[[#This Row],[BW40_3705]]),"")</f>
        <v/>
      </c>
      <c r="H6345" s="7" t="str">
        <f>IF(Table1[[#This Row],[Is Data Valid]]=TRUE,((Table1[[#This Row],[Birthweight (grams)]]*0.9/Table1[[#This Row],[BW_GA]])-1)/(Backend!$B$4/100*Table1[[#This Row],[BW40_3705]]),"")</f>
        <v/>
      </c>
      <c r="I6345" s="7" t="str">
        <f>IF(Table1[[#This Row],[Is Data Valid]]=TRUE,((Table1[[#This Row],[Birthweight (grams)]]*1.1/Table1[[#This Row],[BW_GA]])-1)/(Backend!$B$4/100*Table1[[#This Row],[BW40_3705]]),"")</f>
        <v/>
      </c>
      <c r="J6345" s="7" t="str">
        <f>IF(Table1[[#This Row],[Is Data Valid]]=TRUE,_xlfn.NORM.S.DIST(Table1[[#This Row],[Birthweight Z-Score]],TRUE)*100,"")</f>
        <v/>
      </c>
      <c r="K6345" s="7" t="str">
        <f>IF(Table1[[#This Row],[Is Data Valid]]=TRUE,_xlfn.NORM.S.DIST(Table1[[#This Row],[Birthweight Z-Score (BW-10%)]],TRUE)*100,"")</f>
        <v/>
      </c>
      <c r="L6345" s="7" t="str">
        <f>IF(Table1[[#This Row],[Is Data Valid]]=TRUE,_xlfn.NORM.S.DIST(Table1[[#This Row],[Birthweight Z-Score (BW+10%)]],TRUE)*100,"")</f>
        <v/>
      </c>
    </row>
    <row r="6346" spans="1:12" x14ac:dyDescent="0.35">
      <c r="A6346" s="3"/>
      <c r="B6346" s="2"/>
      <c r="C6346" s="2"/>
      <c r="D6346" s="2" t="b">
        <f>IF(AND(NOT(ISBLANK(Table1[[#This Row],[Fetal Sex (Male, Female or Unknown)]])),ISNUMBER(Table1[[#This Row],[Birthweight (grams)]]),ISNUMBER(Table1[[#This Row],[Gestation (days)]])),TRUE,FALSE)</f>
        <v>0</v>
      </c>
      <c r="E6346" s="2" t="str">
        <f>IF(Table1[[#This Row],[Is Data Valid]]=TRUE,IF(Table1[[#This Row],[Fetal Sex (Male, Female or Unknown)]]="Male",Backend!$C$6,IF(Table1[[#This Row],[Fetal Sex (Male, Female or Unknown)]]="Female",Backend!$C$7,IF(Table1[[#This Row],[Fetal Sex (Male, Female or Unknown)]]="Unknown",Backend!$C$8,"Error"))),"")</f>
        <v/>
      </c>
      <c r="F6346" s="8" t="str">
        <f>IF(Table1[[#This Row],[Is Data Valid]]=TRUE,EXP(0.578+0.332*((Table1[[#This Row],[Gestation (days)]]+0.5)/7)-0.00354*((Table1[[#This Row],[Gestation (days)]]+0.5)/7)^2)*Table1[[#This Row],[BW40_3705]],"")</f>
        <v/>
      </c>
      <c r="G6346" s="2" t="str">
        <f>IF(Table1[[#This Row],[Is Data Valid]]=TRUE,((Table1[[#This Row],[Birthweight (grams)]]/Table1[[#This Row],[BW_GA]])-1)/(Backend!$B$4/100*Table1[[#This Row],[BW40_3705]]),"")</f>
        <v/>
      </c>
      <c r="H6346" s="7" t="str">
        <f>IF(Table1[[#This Row],[Is Data Valid]]=TRUE,((Table1[[#This Row],[Birthweight (grams)]]*0.9/Table1[[#This Row],[BW_GA]])-1)/(Backend!$B$4/100*Table1[[#This Row],[BW40_3705]]),"")</f>
        <v/>
      </c>
      <c r="I6346" s="7" t="str">
        <f>IF(Table1[[#This Row],[Is Data Valid]]=TRUE,((Table1[[#This Row],[Birthweight (grams)]]*1.1/Table1[[#This Row],[BW_GA]])-1)/(Backend!$B$4/100*Table1[[#This Row],[BW40_3705]]),"")</f>
        <v/>
      </c>
      <c r="J6346" s="7" t="str">
        <f>IF(Table1[[#This Row],[Is Data Valid]]=TRUE,_xlfn.NORM.S.DIST(Table1[[#This Row],[Birthweight Z-Score]],TRUE)*100,"")</f>
        <v/>
      </c>
      <c r="K6346" s="7" t="str">
        <f>IF(Table1[[#This Row],[Is Data Valid]]=TRUE,_xlfn.NORM.S.DIST(Table1[[#This Row],[Birthweight Z-Score (BW-10%)]],TRUE)*100,"")</f>
        <v/>
      </c>
      <c r="L6346" s="7" t="str">
        <f>IF(Table1[[#This Row],[Is Data Valid]]=TRUE,_xlfn.NORM.S.DIST(Table1[[#This Row],[Birthweight Z-Score (BW+10%)]],TRUE)*100,"")</f>
        <v/>
      </c>
    </row>
    <row r="6347" spans="1:12" x14ac:dyDescent="0.35">
      <c r="A6347" s="3"/>
      <c r="B6347" s="2"/>
      <c r="C6347" s="2"/>
      <c r="D6347" s="2" t="b">
        <f>IF(AND(NOT(ISBLANK(Table1[[#This Row],[Fetal Sex (Male, Female or Unknown)]])),ISNUMBER(Table1[[#This Row],[Birthweight (grams)]]),ISNUMBER(Table1[[#This Row],[Gestation (days)]])),TRUE,FALSE)</f>
        <v>0</v>
      </c>
      <c r="E6347" s="2" t="str">
        <f>IF(Table1[[#This Row],[Is Data Valid]]=TRUE,IF(Table1[[#This Row],[Fetal Sex (Male, Female or Unknown)]]="Male",Backend!$C$6,IF(Table1[[#This Row],[Fetal Sex (Male, Female or Unknown)]]="Female",Backend!$C$7,IF(Table1[[#This Row],[Fetal Sex (Male, Female or Unknown)]]="Unknown",Backend!$C$8,"Error"))),"")</f>
        <v/>
      </c>
      <c r="F6347" s="8" t="str">
        <f>IF(Table1[[#This Row],[Is Data Valid]]=TRUE,EXP(0.578+0.332*((Table1[[#This Row],[Gestation (days)]]+0.5)/7)-0.00354*((Table1[[#This Row],[Gestation (days)]]+0.5)/7)^2)*Table1[[#This Row],[BW40_3705]],"")</f>
        <v/>
      </c>
      <c r="G6347" s="2" t="str">
        <f>IF(Table1[[#This Row],[Is Data Valid]]=TRUE,((Table1[[#This Row],[Birthweight (grams)]]/Table1[[#This Row],[BW_GA]])-1)/(Backend!$B$4/100*Table1[[#This Row],[BW40_3705]]),"")</f>
        <v/>
      </c>
      <c r="H6347" s="7" t="str">
        <f>IF(Table1[[#This Row],[Is Data Valid]]=TRUE,((Table1[[#This Row],[Birthweight (grams)]]*0.9/Table1[[#This Row],[BW_GA]])-1)/(Backend!$B$4/100*Table1[[#This Row],[BW40_3705]]),"")</f>
        <v/>
      </c>
      <c r="I6347" s="7" t="str">
        <f>IF(Table1[[#This Row],[Is Data Valid]]=TRUE,((Table1[[#This Row],[Birthweight (grams)]]*1.1/Table1[[#This Row],[BW_GA]])-1)/(Backend!$B$4/100*Table1[[#This Row],[BW40_3705]]),"")</f>
        <v/>
      </c>
      <c r="J6347" s="7" t="str">
        <f>IF(Table1[[#This Row],[Is Data Valid]]=TRUE,_xlfn.NORM.S.DIST(Table1[[#This Row],[Birthweight Z-Score]],TRUE)*100,"")</f>
        <v/>
      </c>
      <c r="K6347" s="7" t="str">
        <f>IF(Table1[[#This Row],[Is Data Valid]]=TRUE,_xlfn.NORM.S.DIST(Table1[[#This Row],[Birthweight Z-Score (BW-10%)]],TRUE)*100,"")</f>
        <v/>
      </c>
      <c r="L6347" s="7" t="str">
        <f>IF(Table1[[#This Row],[Is Data Valid]]=TRUE,_xlfn.NORM.S.DIST(Table1[[#This Row],[Birthweight Z-Score (BW+10%)]],TRUE)*100,"")</f>
        <v/>
      </c>
    </row>
    <row r="6348" spans="1:12" x14ac:dyDescent="0.35">
      <c r="A6348" s="3"/>
      <c r="B6348" s="2"/>
      <c r="C6348" s="2"/>
      <c r="D6348" s="2" t="b">
        <f>IF(AND(NOT(ISBLANK(Table1[[#This Row],[Fetal Sex (Male, Female or Unknown)]])),ISNUMBER(Table1[[#This Row],[Birthweight (grams)]]),ISNUMBER(Table1[[#This Row],[Gestation (days)]])),TRUE,FALSE)</f>
        <v>0</v>
      </c>
      <c r="E6348" s="2" t="str">
        <f>IF(Table1[[#This Row],[Is Data Valid]]=TRUE,IF(Table1[[#This Row],[Fetal Sex (Male, Female or Unknown)]]="Male",Backend!$C$6,IF(Table1[[#This Row],[Fetal Sex (Male, Female or Unknown)]]="Female",Backend!$C$7,IF(Table1[[#This Row],[Fetal Sex (Male, Female or Unknown)]]="Unknown",Backend!$C$8,"Error"))),"")</f>
        <v/>
      </c>
      <c r="F6348" s="8" t="str">
        <f>IF(Table1[[#This Row],[Is Data Valid]]=TRUE,EXP(0.578+0.332*((Table1[[#This Row],[Gestation (days)]]+0.5)/7)-0.00354*((Table1[[#This Row],[Gestation (days)]]+0.5)/7)^2)*Table1[[#This Row],[BW40_3705]],"")</f>
        <v/>
      </c>
      <c r="G6348" s="2" t="str">
        <f>IF(Table1[[#This Row],[Is Data Valid]]=TRUE,((Table1[[#This Row],[Birthweight (grams)]]/Table1[[#This Row],[BW_GA]])-1)/(Backend!$B$4/100*Table1[[#This Row],[BW40_3705]]),"")</f>
        <v/>
      </c>
      <c r="H6348" s="7" t="str">
        <f>IF(Table1[[#This Row],[Is Data Valid]]=TRUE,((Table1[[#This Row],[Birthweight (grams)]]*0.9/Table1[[#This Row],[BW_GA]])-1)/(Backend!$B$4/100*Table1[[#This Row],[BW40_3705]]),"")</f>
        <v/>
      </c>
      <c r="I6348" s="7" t="str">
        <f>IF(Table1[[#This Row],[Is Data Valid]]=TRUE,((Table1[[#This Row],[Birthweight (grams)]]*1.1/Table1[[#This Row],[BW_GA]])-1)/(Backend!$B$4/100*Table1[[#This Row],[BW40_3705]]),"")</f>
        <v/>
      </c>
      <c r="J6348" s="7" t="str">
        <f>IF(Table1[[#This Row],[Is Data Valid]]=TRUE,_xlfn.NORM.S.DIST(Table1[[#This Row],[Birthweight Z-Score]],TRUE)*100,"")</f>
        <v/>
      </c>
      <c r="K6348" s="7" t="str">
        <f>IF(Table1[[#This Row],[Is Data Valid]]=TRUE,_xlfn.NORM.S.DIST(Table1[[#This Row],[Birthweight Z-Score (BW-10%)]],TRUE)*100,"")</f>
        <v/>
      </c>
      <c r="L6348" s="7" t="str">
        <f>IF(Table1[[#This Row],[Is Data Valid]]=TRUE,_xlfn.NORM.S.DIST(Table1[[#This Row],[Birthweight Z-Score (BW+10%)]],TRUE)*100,"")</f>
        <v/>
      </c>
    </row>
    <row r="6349" spans="1:12" x14ac:dyDescent="0.35">
      <c r="A6349" s="3"/>
      <c r="B6349" s="2"/>
      <c r="C6349" s="2"/>
      <c r="D6349" s="2" t="b">
        <f>IF(AND(NOT(ISBLANK(Table1[[#This Row],[Fetal Sex (Male, Female or Unknown)]])),ISNUMBER(Table1[[#This Row],[Birthweight (grams)]]),ISNUMBER(Table1[[#This Row],[Gestation (days)]])),TRUE,FALSE)</f>
        <v>0</v>
      </c>
      <c r="E6349" s="2" t="str">
        <f>IF(Table1[[#This Row],[Is Data Valid]]=TRUE,IF(Table1[[#This Row],[Fetal Sex (Male, Female or Unknown)]]="Male",Backend!$C$6,IF(Table1[[#This Row],[Fetal Sex (Male, Female or Unknown)]]="Female",Backend!$C$7,IF(Table1[[#This Row],[Fetal Sex (Male, Female or Unknown)]]="Unknown",Backend!$C$8,"Error"))),"")</f>
        <v/>
      </c>
      <c r="F6349" s="8" t="str">
        <f>IF(Table1[[#This Row],[Is Data Valid]]=TRUE,EXP(0.578+0.332*((Table1[[#This Row],[Gestation (days)]]+0.5)/7)-0.00354*((Table1[[#This Row],[Gestation (days)]]+0.5)/7)^2)*Table1[[#This Row],[BW40_3705]],"")</f>
        <v/>
      </c>
      <c r="G6349" s="2" t="str">
        <f>IF(Table1[[#This Row],[Is Data Valid]]=TRUE,((Table1[[#This Row],[Birthweight (grams)]]/Table1[[#This Row],[BW_GA]])-1)/(Backend!$B$4/100*Table1[[#This Row],[BW40_3705]]),"")</f>
        <v/>
      </c>
      <c r="H6349" s="7" t="str">
        <f>IF(Table1[[#This Row],[Is Data Valid]]=TRUE,((Table1[[#This Row],[Birthweight (grams)]]*0.9/Table1[[#This Row],[BW_GA]])-1)/(Backend!$B$4/100*Table1[[#This Row],[BW40_3705]]),"")</f>
        <v/>
      </c>
      <c r="I6349" s="7" t="str">
        <f>IF(Table1[[#This Row],[Is Data Valid]]=TRUE,((Table1[[#This Row],[Birthweight (grams)]]*1.1/Table1[[#This Row],[BW_GA]])-1)/(Backend!$B$4/100*Table1[[#This Row],[BW40_3705]]),"")</f>
        <v/>
      </c>
      <c r="J6349" s="7" t="str">
        <f>IF(Table1[[#This Row],[Is Data Valid]]=TRUE,_xlfn.NORM.S.DIST(Table1[[#This Row],[Birthweight Z-Score]],TRUE)*100,"")</f>
        <v/>
      </c>
      <c r="K6349" s="7" t="str">
        <f>IF(Table1[[#This Row],[Is Data Valid]]=TRUE,_xlfn.NORM.S.DIST(Table1[[#This Row],[Birthweight Z-Score (BW-10%)]],TRUE)*100,"")</f>
        <v/>
      </c>
      <c r="L6349" s="7" t="str">
        <f>IF(Table1[[#This Row],[Is Data Valid]]=TRUE,_xlfn.NORM.S.DIST(Table1[[#This Row],[Birthweight Z-Score (BW+10%)]],TRUE)*100,"")</f>
        <v/>
      </c>
    </row>
    <row r="6350" spans="1:12" x14ac:dyDescent="0.35">
      <c r="A6350" s="3"/>
      <c r="B6350" s="2"/>
      <c r="C6350" s="2"/>
      <c r="D6350" s="2" t="b">
        <f>IF(AND(NOT(ISBLANK(Table1[[#This Row],[Fetal Sex (Male, Female or Unknown)]])),ISNUMBER(Table1[[#This Row],[Birthweight (grams)]]),ISNUMBER(Table1[[#This Row],[Gestation (days)]])),TRUE,FALSE)</f>
        <v>0</v>
      </c>
      <c r="E6350" s="2" t="str">
        <f>IF(Table1[[#This Row],[Is Data Valid]]=TRUE,IF(Table1[[#This Row],[Fetal Sex (Male, Female or Unknown)]]="Male",Backend!$C$6,IF(Table1[[#This Row],[Fetal Sex (Male, Female or Unknown)]]="Female",Backend!$C$7,IF(Table1[[#This Row],[Fetal Sex (Male, Female or Unknown)]]="Unknown",Backend!$C$8,"Error"))),"")</f>
        <v/>
      </c>
      <c r="F6350" s="8" t="str">
        <f>IF(Table1[[#This Row],[Is Data Valid]]=TRUE,EXP(0.578+0.332*((Table1[[#This Row],[Gestation (days)]]+0.5)/7)-0.00354*((Table1[[#This Row],[Gestation (days)]]+0.5)/7)^2)*Table1[[#This Row],[BW40_3705]],"")</f>
        <v/>
      </c>
      <c r="G6350" s="2" t="str">
        <f>IF(Table1[[#This Row],[Is Data Valid]]=TRUE,((Table1[[#This Row],[Birthweight (grams)]]/Table1[[#This Row],[BW_GA]])-1)/(Backend!$B$4/100*Table1[[#This Row],[BW40_3705]]),"")</f>
        <v/>
      </c>
      <c r="H6350" s="7" t="str">
        <f>IF(Table1[[#This Row],[Is Data Valid]]=TRUE,((Table1[[#This Row],[Birthweight (grams)]]*0.9/Table1[[#This Row],[BW_GA]])-1)/(Backend!$B$4/100*Table1[[#This Row],[BW40_3705]]),"")</f>
        <v/>
      </c>
      <c r="I6350" s="7" t="str">
        <f>IF(Table1[[#This Row],[Is Data Valid]]=TRUE,((Table1[[#This Row],[Birthweight (grams)]]*1.1/Table1[[#This Row],[BW_GA]])-1)/(Backend!$B$4/100*Table1[[#This Row],[BW40_3705]]),"")</f>
        <v/>
      </c>
      <c r="J6350" s="7" t="str">
        <f>IF(Table1[[#This Row],[Is Data Valid]]=TRUE,_xlfn.NORM.S.DIST(Table1[[#This Row],[Birthweight Z-Score]],TRUE)*100,"")</f>
        <v/>
      </c>
      <c r="K6350" s="7" t="str">
        <f>IF(Table1[[#This Row],[Is Data Valid]]=TRUE,_xlfn.NORM.S.DIST(Table1[[#This Row],[Birthweight Z-Score (BW-10%)]],TRUE)*100,"")</f>
        <v/>
      </c>
      <c r="L6350" s="7" t="str">
        <f>IF(Table1[[#This Row],[Is Data Valid]]=TRUE,_xlfn.NORM.S.DIST(Table1[[#This Row],[Birthweight Z-Score (BW+10%)]],TRUE)*100,"")</f>
        <v/>
      </c>
    </row>
    <row r="6351" spans="1:12" x14ac:dyDescent="0.35">
      <c r="A6351" s="3"/>
      <c r="B6351" s="2"/>
      <c r="C6351" s="2"/>
      <c r="D6351" s="2" t="b">
        <f>IF(AND(NOT(ISBLANK(Table1[[#This Row],[Fetal Sex (Male, Female or Unknown)]])),ISNUMBER(Table1[[#This Row],[Birthweight (grams)]]),ISNUMBER(Table1[[#This Row],[Gestation (days)]])),TRUE,FALSE)</f>
        <v>0</v>
      </c>
      <c r="E6351" s="2" t="str">
        <f>IF(Table1[[#This Row],[Is Data Valid]]=TRUE,IF(Table1[[#This Row],[Fetal Sex (Male, Female or Unknown)]]="Male",Backend!$C$6,IF(Table1[[#This Row],[Fetal Sex (Male, Female or Unknown)]]="Female",Backend!$C$7,IF(Table1[[#This Row],[Fetal Sex (Male, Female or Unknown)]]="Unknown",Backend!$C$8,"Error"))),"")</f>
        <v/>
      </c>
      <c r="F6351" s="8" t="str">
        <f>IF(Table1[[#This Row],[Is Data Valid]]=TRUE,EXP(0.578+0.332*((Table1[[#This Row],[Gestation (days)]]+0.5)/7)-0.00354*((Table1[[#This Row],[Gestation (days)]]+0.5)/7)^2)*Table1[[#This Row],[BW40_3705]],"")</f>
        <v/>
      </c>
      <c r="G6351" s="2" t="str">
        <f>IF(Table1[[#This Row],[Is Data Valid]]=TRUE,((Table1[[#This Row],[Birthweight (grams)]]/Table1[[#This Row],[BW_GA]])-1)/(Backend!$B$4/100*Table1[[#This Row],[BW40_3705]]),"")</f>
        <v/>
      </c>
      <c r="H6351" s="7" t="str">
        <f>IF(Table1[[#This Row],[Is Data Valid]]=TRUE,((Table1[[#This Row],[Birthweight (grams)]]*0.9/Table1[[#This Row],[BW_GA]])-1)/(Backend!$B$4/100*Table1[[#This Row],[BW40_3705]]),"")</f>
        <v/>
      </c>
      <c r="I6351" s="7" t="str">
        <f>IF(Table1[[#This Row],[Is Data Valid]]=TRUE,((Table1[[#This Row],[Birthweight (grams)]]*1.1/Table1[[#This Row],[BW_GA]])-1)/(Backend!$B$4/100*Table1[[#This Row],[BW40_3705]]),"")</f>
        <v/>
      </c>
      <c r="J6351" s="7" t="str">
        <f>IF(Table1[[#This Row],[Is Data Valid]]=TRUE,_xlfn.NORM.S.DIST(Table1[[#This Row],[Birthweight Z-Score]],TRUE)*100,"")</f>
        <v/>
      </c>
      <c r="K6351" s="7" t="str">
        <f>IF(Table1[[#This Row],[Is Data Valid]]=TRUE,_xlfn.NORM.S.DIST(Table1[[#This Row],[Birthweight Z-Score (BW-10%)]],TRUE)*100,"")</f>
        <v/>
      </c>
      <c r="L6351" s="7" t="str">
        <f>IF(Table1[[#This Row],[Is Data Valid]]=TRUE,_xlfn.NORM.S.DIST(Table1[[#This Row],[Birthweight Z-Score (BW+10%)]],TRUE)*100,"")</f>
        <v/>
      </c>
    </row>
    <row r="6352" spans="1:12" x14ac:dyDescent="0.35">
      <c r="A6352" s="3"/>
      <c r="B6352" s="2"/>
      <c r="C6352" s="2"/>
      <c r="D6352" s="2" t="b">
        <f>IF(AND(NOT(ISBLANK(Table1[[#This Row],[Fetal Sex (Male, Female or Unknown)]])),ISNUMBER(Table1[[#This Row],[Birthweight (grams)]]),ISNUMBER(Table1[[#This Row],[Gestation (days)]])),TRUE,FALSE)</f>
        <v>0</v>
      </c>
      <c r="E6352" s="2" t="str">
        <f>IF(Table1[[#This Row],[Is Data Valid]]=TRUE,IF(Table1[[#This Row],[Fetal Sex (Male, Female or Unknown)]]="Male",Backend!$C$6,IF(Table1[[#This Row],[Fetal Sex (Male, Female or Unknown)]]="Female",Backend!$C$7,IF(Table1[[#This Row],[Fetal Sex (Male, Female or Unknown)]]="Unknown",Backend!$C$8,"Error"))),"")</f>
        <v/>
      </c>
      <c r="F6352" s="8" t="str">
        <f>IF(Table1[[#This Row],[Is Data Valid]]=TRUE,EXP(0.578+0.332*((Table1[[#This Row],[Gestation (days)]]+0.5)/7)-0.00354*((Table1[[#This Row],[Gestation (days)]]+0.5)/7)^2)*Table1[[#This Row],[BW40_3705]],"")</f>
        <v/>
      </c>
      <c r="G6352" s="2" t="str">
        <f>IF(Table1[[#This Row],[Is Data Valid]]=TRUE,((Table1[[#This Row],[Birthweight (grams)]]/Table1[[#This Row],[BW_GA]])-1)/(Backend!$B$4/100*Table1[[#This Row],[BW40_3705]]),"")</f>
        <v/>
      </c>
      <c r="H6352" s="7" t="str">
        <f>IF(Table1[[#This Row],[Is Data Valid]]=TRUE,((Table1[[#This Row],[Birthweight (grams)]]*0.9/Table1[[#This Row],[BW_GA]])-1)/(Backend!$B$4/100*Table1[[#This Row],[BW40_3705]]),"")</f>
        <v/>
      </c>
      <c r="I6352" s="7" t="str">
        <f>IF(Table1[[#This Row],[Is Data Valid]]=TRUE,((Table1[[#This Row],[Birthweight (grams)]]*1.1/Table1[[#This Row],[BW_GA]])-1)/(Backend!$B$4/100*Table1[[#This Row],[BW40_3705]]),"")</f>
        <v/>
      </c>
      <c r="J6352" s="7" t="str">
        <f>IF(Table1[[#This Row],[Is Data Valid]]=TRUE,_xlfn.NORM.S.DIST(Table1[[#This Row],[Birthweight Z-Score]],TRUE)*100,"")</f>
        <v/>
      </c>
      <c r="K6352" s="7" t="str">
        <f>IF(Table1[[#This Row],[Is Data Valid]]=TRUE,_xlfn.NORM.S.DIST(Table1[[#This Row],[Birthweight Z-Score (BW-10%)]],TRUE)*100,"")</f>
        <v/>
      </c>
      <c r="L6352" s="7" t="str">
        <f>IF(Table1[[#This Row],[Is Data Valid]]=TRUE,_xlfn.NORM.S.DIST(Table1[[#This Row],[Birthweight Z-Score (BW+10%)]],TRUE)*100,"")</f>
        <v/>
      </c>
    </row>
    <row r="6353" spans="1:12" x14ac:dyDescent="0.35">
      <c r="A6353" s="3"/>
      <c r="B6353" s="2"/>
      <c r="C6353" s="2"/>
      <c r="D6353" s="2" t="b">
        <f>IF(AND(NOT(ISBLANK(Table1[[#This Row],[Fetal Sex (Male, Female or Unknown)]])),ISNUMBER(Table1[[#This Row],[Birthweight (grams)]]),ISNUMBER(Table1[[#This Row],[Gestation (days)]])),TRUE,FALSE)</f>
        <v>0</v>
      </c>
      <c r="E6353" s="2" t="str">
        <f>IF(Table1[[#This Row],[Is Data Valid]]=TRUE,IF(Table1[[#This Row],[Fetal Sex (Male, Female or Unknown)]]="Male",Backend!$C$6,IF(Table1[[#This Row],[Fetal Sex (Male, Female or Unknown)]]="Female",Backend!$C$7,IF(Table1[[#This Row],[Fetal Sex (Male, Female or Unknown)]]="Unknown",Backend!$C$8,"Error"))),"")</f>
        <v/>
      </c>
      <c r="F6353" s="8" t="str">
        <f>IF(Table1[[#This Row],[Is Data Valid]]=TRUE,EXP(0.578+0.332*((Table1[[#This Row],[Gestation (days)]]+0.5)/7)-0.00354*((Table1[[#This Row],[Gestation (days)]]+0.5)/7)^2)*Table1[[#This Row],[BW40_3705]],"")</f>
        <v/>
      </c>
      <c r="G6353" s="2" t="str">
        <f>IF(Table1[[#This Row],[Is Data Valid]]=TRUE,((Table1[[#This Row],[Birthweight (grams)]]/Table1[[#This Row],[BW_GA]])-1)/(Backend!$B$4/100*Table1[[#This Row],[BW40_3705]]),"")</f>
        <v/>
      </c>
      <c r="H6353" s="7" t="str">
        <f>IF(Table1[[#This Row],[Is Data Valid]]=TRUE,((Table1[[#This Row],[Birthweight (grams)]]*0.9/Table1[[#This Row],[BW_GA]])-1)/(Backend!$B$4/100*Table1[[#This Row],[BW40_3705]]),"")</f>
        <v/>
      </c>
      <c r="I6353" s="7" t="str">
        <f>IF(Table1[[#This Row],[Is Data Valid]]=TRUE,((Table1[[#This Row],[Birthweight (grams)]]*1.1/Table1[[#This Row],[BW_GA]])-1)/(Backend!$B$4/100*Table1[[#This Row],[BW40_3705]]),"")</f>
        <v/>
      </c>
      <c r="J6353" s="7" t="str">
        <f>IF(Table1[[#This Row],[Is Data Valid]]=TRUE,_xlfn.NORM.S.DIST(Table1[[#This Row],[Birthweight Z-Score]],TRUE)*100,"")</f>
        <v/>
      </c>
      <c r="K6353" s="7" t="str">
        <f>IF(Table1[[#This Row],[Is Data Valid]]=TRUE,_xlfn.NORM.S.DIST(Table1[[#This Row],[Birthweight Z-Score (BW-10%)]],TRUE)*100,"")</f>
        <v/>
      </c>
      <c r="L6353" s="7" t="str">
        <f>IF(Table1[[#This Row],[Is Data Valid]]=TRUE,_xlfn.NORM.S.DIST(Table1[[#This Row],[Birthweight Z-Score (BW+10%)]],TRUE)*100,"")</f>
        <v/>
      </c>
    </row>
    <row r="6354" spans="1:12" x14ac:dyDescent="0.35">
      <c r="A6354" s="3"/>
      <c r="B6354" s="2"/>
      <c r="C6354" s="2"/>
      <c r="D6354" s="2" t="b">
        <f>IF(AND(NOT(ISBLANK(Table1[[#This Row],[Fetal Sex (Male, Female or Unknown)]])),ISNUMBER(Table1[[#This Row],[Birthweight (grams)]]),ISNUMBER(Table1[[#This Row],[Gestation (days)]])),TRUE,FALSE)</f>
        <v>0</v>
      </c>
      <c r="E6354" s="2" t="str">
        <f>IF(Table1[[#This Row],[Is Data Valid]]=TRUE,IF(Table1[[#This Row],[Fetal Sex (Male, Female or Unknown)]]="Male",Backend!$C$6,IF(Table1[[#This Row],[Fetal Sex (Male, Female or Unknown)]]="Female",Backend!$C$7,IF(Table1[[#This Row],[Fetal Sex (Male, Female or Unknown)]]="Unknown",Backend!$C$8,"Error"))),"")</f>
        <v/>
      </c>
      <c r="F6354" s="8" t="str">
        <f>IF(Table1[[#This Row],[Is Data Valid]]=TRUE,EXP(0.578+0.332*((Table1[[#This Row],[Gestation (days)]]+0.5)/7)-0.00354*((Table1[[#This Row],[Gestation (days)]]+0.5)/7)^2)*Table1[[#This Row],[BW40_3705]],"")</f>
        <v/>
      </c>
      <c r="G6354" s="2" t="str">
        <f>IF(Table1[[#This Row],[Is Data Valid]]=TRUE,((Table1[[#This Row],[Birthweight (grams)]]/Table1[[#This Row],[BW_GA]])-1)/(Backend!$B$4/100*Table1[[#This Row],[BW40_3705]]),"")</f>
        <v/>
      </c>
      <c r="H6354" s="7" t="str">
        <f>IF(Table1[[#This Row],[Is Data Valid]]=TRUE,((Table1[[#This Row],[Birthweight (grams)]]*0.9/Table1[[#This Row],[BW_GA]])-1)/(Backend!$B$4/100*Table1[[#This Row],[BW40_3705]]),"")</f>
        <v/>
      </c>
      <c r="I6354" s="7" t="str">
        <f>IF(Table1[[#This Row],[Is Data Valid]]=TRUE,((Table1[[#This Row],[Birthweight (grams)]]*1.1/Table1[[#This Row],[BW_GA]])-1)/(Backend!$B$4/100*Table1[[#This Row],[BW40_3705]]),"")</f>
        <v/>
      </c>
      <c r="J6354" s="7" t="str">
        <f>IF(Table1[[#This Row],[Is Data Valid]]=TRUE,_xlfn.NORM.S.DIST(Table1[[#This Row],[Birthweight Z-Score]],TRUE)*100,"")</f>
        <v/>
      </c>
      <c r="K6354" s="7" t="str">
        <f>IF(Table1[[#This Row],[Is Data Valid]]=TRUE,_xlfn.NORM.S.DIST(Table1[[#This Row],[Birthweight Z-Score (BW-10%)]],TRUE)*100,"")</f>
        <v/>
      </c>
      <c r="L6354" s="7" t="str">
        <f>IF(Table1[[#This Row],[Is Data Valid]]=TRUE,_xlfn.NORM.S.DIST(Table1[[#This Row],[Birthweight Z-Score (BW+10%)]],TRUE)*100,"")</f>
        <v/>
      </c>
    </row>
    <row r="6355" spans="1:12" x14ac:dyDescent="0.35">
      <c r="A6355" s="3"/>
      <c r="B6355" s="2"/>
      <c r="C6355" s="2"/>
      <c r="D6355" s="2" t="b">
        <f>IF(AND(NOT(ISBLANK(Table1[[#This Row],[Fetal Sex (Male, Female or Unknown)]])),ISNUMBER(Table1[[#This Row],[Birthweight (grams)]]),ISNUMBER(Table1[[#This Row],[Gestation (days)]])),TRUE,FALSE)</f>
        <v>0</v>
      </c>
      <c r="E6355" s="2" t="str">
        <f>IF(Table1[[#This Row],[Is Data Valid]]=TRUE,IF(Table1[[#This Row],[Fetal Sex (Male, Female or Unknown)]]="Male",Backend!$C$6,IF(Table1[[#This Row],[Fetal Sex (Male, Female or Unknown)]]="Female",Backend!$C$7,IF(Table1[[#This Row],[Fetal Sex (Male, Female or Unknown)]]="Unknown",Backend!$C$8,"Error"))),"")</f>
        <v/>
      </c>
      <c r="F6355" s="8" t="str">
        <f>IF(Table1[[#This Row],[Is Data Valid]]=TRUE,EXP(0.578+0.332*((Table1[[#This Row],[Gestation (days)]]+0.5)/7)-0.00354*((Table1[[#This Row],[Gestation (days)]]+0.5)/7)^2)*Table1[[#This Row],[BW40_3705]],"")</f>
        <v/>
      </c>
      <c r="G6355" s="2" t="str">
        <f>IF(Table1[[#This Row],[Is Data Valid]]=TRUE,((Table1[[#This Row],[Birthweight (grams)]]/Table1[[#This Row],[BW_GA]])-1)/(Backend!$B$4/100*Table1[[#This Row],[BW40_3705]]),"")</f>
        <v/>
      </c>
      <c r="H6355" s="7" t="str">
        <f>IF(Table1[[#This Row],[Is Data Valid]]=TRUE,((Table1[[#This Row],[Birthweight (grams)]]*0.9/Table1[[#This Row],[BW_GA]])-1)/(Backend!$B$4/100*Table1[[#This Row],[BW40_3705]]),"")</f>
        <v/>
      </c>
      <c r="I6355" s="7" t="str">
        <f>IF(Table1[[#This Row],[Is Data Valid]]=TRUE,((Table1[[#This Row],[Birthweight (grams)]]*1.1/Table1[[#This Row],[BW_GA]])-1)/(Backend!$B$4/100*Table1[[#This Row],[BW40_3705]]),"")</f>
        <v/>
      </c>
      <c r="J6355" s="7" t="str">
        <f>IF(Table1[[#This Row],[Is Data Valid]]=TRUE,_xlfn.NORM.S.DIST(Table1[[#This Row],[Birthweight Z-Score]],TRUE)*100,"")</f>
        <v/>
      </c>
      <c r="K6355" s="7" t="str">
        <f>IF(Table1[[#This Row],[Is Data Valid]]=TRUE,_xlfn.NORM.S.DIST(Table1[[#This Row],[Birthweight Z-Score (BW-10%)]],TRUE)*100,"")</f>
        <v/>
      </c>
      <c r="L6355" s="7" t="str">
        <f>IF(Table1[[#This Row],[Is Data Valid]]=TRUE,_xlfn.NORM.S.DIST(Table1[[#This Row],[Birthweight Z-Score (BW+10%)]],TRUE)*100,"")</f>
        <v/>
      </c>
    </row>
    <row r="6356" spans="1:12" x14ac:dyDescent="0.35">
      <c r="A6356" s="3"/>
      <c r="B6356" s="2"/>
      <c r="C6356" s="2"/>
      <c r="D6356" s="2" t="b">
        <f>IF(AND(NOT(ISBLANK(Table1[[#This Row],[Fetal Sex (Male, Female or Unknown)]])),ISNUMBER(Table1[[#This Row],[Birthweight (grams)]]),ISNUMBER(Table1[[#This Row],[Gestation (days)]])),TRUE,FALSE)</f>
        <v>0</v>
      </c>
      <c r="E6356" s="2" t="str">
        <f>IF(Table1[[#This Row],[Is Data Valid]]=TRUE,IF(Table1[[#This Row],[Fetal Sex (Male, Female or Unknown)]]="Male",Backend!$C$6,IF(Table1[[#This Row],[Fetal Sex (Male, Female or Unknown)]]="Female",Backend!$C$7,IF(Table1[[#This Row],[Fetal Sex (Male, Female or Unknown)]]="Unknown",Backend!$C$8,"Error"))),"")</f>
        <v/>
      </c>
      <c r="F6356" s="8" t="str">
        <f>IF(Table1[[#This Row],[Is Data Valid]]=TRUE,EXP(0.578+0.332*((Table1[[#This Row],[Gestation (days)]]+0.5)/7)-0.00354*((Table1[[#This Row],[Gestation (days)]]+0.5)/7)^2)*Table1[[#This Row],[BW40_3705]],"")</f>
        <v/>
      </c>
      <c r="G6356" s="2" t="str">
        <f>IF(Table1[[#This Row],[Is Data Valid]]=TRUE,((Table1[[#This Row],[Birthweight (grams)]]/Table1[[#This Row],[BW_GA]])-1)/(Backend!$B$4/100*Table1[[#This Row],[BW40_3705]]),"")</f>
        <v/>
      </c>
      <c r="H6356" s="7" t="str">
        <f>IF(Table1[[#This Row],[Is Data Valid]]=TRUE,((Table1[[#This Row],[Birthweight (grams)]]*0.9/Table1[[#This Row],[BW_GA]])-1)/(Backend!$B$4/100*Table1[[#This Row],[BW40_3705]]),"")</f>
        <v/>
      </c>
      <c r="I6356" s="7" t="str">
        <f>IF(Table1[[#This Row],[Is Data Valid]]=TRUE,((Table1[[#This Row],[Birthweight (grams)]]*1.1/Table1[[#This Row],[BW_GA]])-1)/(Backend!$B$4/100*Table1[[#This Row],[BW40_3705]]),"")</f>
        <v/>
      </c>
      <c r="J6356" s="7" t="str">
        <f>IF(Table1[[#This Row],[Is Data Valid]]=TRUE,_xlfn.NORM.S.DIST(Table1[[#This Row],[Birthweight Z-Score]],TRUE)*100,"")</f>
        <v/>
      </c>
      <c r="K6356" s="7" t="str">
        <f>IF(Table1[[#This Row],[Is Data Valid]]=TRUE,_xlfn.NORM.S.DIST(Table1[[#This Row],[Birthweight Z-Score (BW-10%)]],TRUE)*100,"")</f>
        <v/>
      </c>
      <c r="L6356" s="7" t="str">
        <f>IF(Table1[[#This Row],[Is Data Valid]]=TRUE,_xlfn.NORM.S.DIST(Table1[[#This Row],[Birthweight Z-Score (BW+10%)]],TRUE)*100,"")</f>
        <v/>
      </c>
    </row>
    <row r="6357" spans="1:12" x14ac:dyDescent="0.35">
      <c r="A6357" s="3"/>
      <c r="B6357" s="2"/>
      <c r="C6357" s="2"/>
      <c r="D6357" s="2" t="b">
        <f>IF(AND(NOT(ISBLANK(Table1[[#This Row],[Fetal Sex (Male, Female or Unknown)]])),ISNUMBER(Table1[[#This Row],[Birthweight (grams)]]),ISNUMBER(Table1[[#This Row],[Gestation (days)]])),TRUE,FALSE)</f>
        <v>0</v>
      </c>
      <c r="E6357" s="2" t="str">
        <f>IF(Table1[[#This Row],[Is Data Valid]]=TRUE,IF(Table1[[#This Row],[Fetal Sex (Male, Female or Unknown)]]="Male",Backend!$C$6,IF(Table1[[#This Row],[Fetal Sex (Male, Female or Unknown)]]="Female",Backend!$C$7,IF(Table1[[#This Row],[Fetal Sex (Male, Female or Unknown)]]="Unknown",Backend!$C$8,"Error"))),"")</f>
        <v/>
      </c>
      <c r="F6357" s="8" t="str">
        <f>IF(Table1[[#This Row],[Is Data Valid]]=TRUE,EXP(0.578+0.332*((Table1[[#This Row],[Gestation (days)]]+0.5)/7)-0.00354*((Table1[[#This Row],[Gestation (days)]]+0.5)/7)^2)*Table1[[#This Row],[BW40_3705]],"")</f>
        <v/>
      </c>
      <c r="G6357" s="2" t="str">
        <f>IF(Table1[[#This Row],[Is Data Valid]]=TRUE,((Table1[[#This Row],[Birthweight (grams)]]/Table1[[#This Row],[BW_GA]])-1)/(Backend!$B$4/100*Table1[[#This Row],[BW40_3705]]),"")</f>
        <v/>
      </c>
      <c r="H6357" s="7" t="str">
        <f>IF(Table1[[#This Row],[Is Data Valid]]=TRUE,((Table1[[#This Row],[Birthweight (grams)]]*0.9/Table1[[#This Row],[BW_GA]])-1)/(Backend!$B$4/100*Table1[[#This Row],[BW40_3705]]),"")</f>
        <v/>
      </c>
      <c r="I6357" s="7" t="str">
        <f>IF(Table1[[#This Row],[Is Data Valid]]=TRUE,((Table1[[#This Row],[Birthweight (grams)]]*1.1/Table1[[#This Row],[BW_GA]])-1)/(Backend!$B$4/100*Table1[[#This Row],[BW40_3705]]),"")</f>
        <v/>
      </c>
      <c r="J6357" s="7" t="str">
        <f>IF(Table1[[#This Row],[Is Data Valid]]=TRUE,_xlfn.NORM.S.DIST(Table1[[#This Row],[Birthweight Z-Score]],TRUE)*100,"")</f>
        <v/>
      </c>
      <c r="K6357" s="7" t="str">
        <f>IF(Table1[[#This Row],[Is Data Valid]]=TRUE,_xlfn.NORM.S.DIST(Table1[[#This Row],[Birthweight Z-Score (BW-10%)]],TRUE)*100,"")</f>
        <v/>
      </c>
      <c r="L6357" s="7" t="str">
        <f>IF(Table1[[#This Row],[Is Data Valid]]=TRUE,_xlfn.NORM.S.DIST(Table1[[#This Row],[Birthweight Z-Score (BW+10%)]],TRUE)*100,"")</f>
        <v/>
      </c>
    </row>
    <row r="6358" spans="1:12" x14ac:dyDescent="0.35">
      <c r="A6358" s="3"/>
      <c r="B6358" s="2"/>
      <c r="C6358" s="2"/>
      <c r="D6358" s="2" t="b">
        <f>IF(AND(NOT(ISBLANK(Table1[[#This Row],[Fetal Sex (Male, Female or Unknown)]])),ISNUMBER(Table1[[#This Row],[Birthweight (grams)]]),ISNUMBER(Table1[[#This Row],[Gestation (days)]])),TRUE,FALSE)</f>
        <v>0</v>
      </c>
      <c r="E6358" s="2" t="str">
        <f>IF(Table1[[#This Row],[Is Data Valid]]=TRUE,IF(Table1[[#This Row],[Fetal Sex (Male, Female or Unknown)]]="Male",Backend!$C$6,IF(Table1[[#This Row],[Fetal Sex (Male, Female or Unknown)]]="Female",Backend!$C$7,IF(Table1[[#This Row],[Fetal Sex (Male, Female or Unknown)]]="Unknown",Backend!$C$8,"Error"))),"")</f>
        <v/>
      </c>
      <c r="F6358" s="8" t="str">
        <f>IF(Table1[[#This Row],[Is Data Valid]]=TRUE,EXP(0.578+0.332*((Table1[[#This Row],[Gestation (days)]]+0.5)/7)-0.00354*((Table1[[#This Row],[Gestation (days)]]+0.5)/7)^2)*Table1[[#This Row],[BW40_3705]],"")</f>
        <v/>
      </c>
      <c r="G6358" s="2" t="str">
        <f>IF(Table1[[#This Row],[Is Data Valid]]=TRUE,((Table1[[#This Row],[Birthweight (grams)]]/Table1[[#This Row],[BW_GA]])-1)/(Backend!$B$4/100*Table1[[#This Row],[BW40_3705]]),"")</f>
        <v/>
      </c>
      <c r="H6358" s="7" t="str">
        <f>IF(Table1[[#This Row],[Is Data Valid]]=TRUE,((Table1[[#This Row],[Birthweight (grams)]]*0.9/Table1[[#This Row],[BW_GA]])-1)/(Backend!$B$4/100*Table1[[#This Row],[BW40_3705]]),"")</f>
        <v/>
      </c>
      <c r="I6358" s="7" t="str">
        <f>IF(Table1[[#This Row],[Is Data Valid]]=TRUE,((Table1[[#This Row],[Birthweight (grams)]]*1.1/Table1[[#This Row],[BW_GA]])-1)/(Backend!$B$4/100*Table1[[#This Row],[BW40_3705]]),"")</f>
        <v/>
      </c>
      <c r="J6358" s="7" t="str">
        <f>IF(Table1[[#This Row],[Is Data Valid]]=TRUE,_xlfn.NORM.S.DIST(Table1[[#This Row],[Birthweight Z-Score]],TRUE)*100,"")</f>
        <v/>
      </c>
      <c r="K6358" s="7" t="str">
        <f>IF(Table1[[#This Row],[Is Data Valid]]=TRUE,_xlfn.NORM.S.DIST(Table1[[#This Row],[Birthweight Z-Score (BW-10%)]],TRUE)*100,"")</f>
        <v/>
      </c>
      <c r="L6358" s="7" t="str">
        <f>IF(Table1[[#This Row],[Is Data Valid]]=TRUE,_xlfn.NORM.S.DIST(Table1[[#This Row],[Birthweight Z-Score (BW+10%)]],TRUE)*100,"")</f>
        <v/>
      </c>
    </row>
    <row r="6359" spans="1:12" x14ac:dyDescent="0.35">
      <c r="A6359" s="3"/>
      <c r="B6359" s="2"/>
      <c r="C6359" s="2"/>
      <c r="D6359" s="2" t="b">
        <f>IF(AND(NOT(ISBLANK(Table1[[#This Row],[Fetal Sex (Male, Female or Unknown)]])),ISNUMBER(Table1[[#This Row],[Birthweight (grams)]]),ISNUMBER(Table1[[#This Row],[Gestation (days)]])),TRUE,FALSE)</f>
        <v>0</v>
      </c>
      <c r="E6359" s="2" t="str">
        <f>IF(Table1[[#This Row],[Is Data Valid]]=TRUE,IF(Table1[[#This Row],[Fetal Sex (Male, Female or Unknown)]]="Male",Backend!$C$6,IF(Table1[[#This Row],[Fetal Sex (Male, Female or Unknown)]]="Female",Backend!$C$7,IF(Table1[[#This Row],[Fetal Sex (Male, Female or Unknown)]]="Unknown",Backend!$C$8,"Error"))),"")</f>
        <v/>
      </c>
      <c r="F6359" s="8" t="str">
        <f>IF(Table1[[#This Row],[Is Data Valid]]=TRUE,EXP(0.578+0.332*((Table1[[#This Row],[Gestation (days)]]+0.5)/7)-0.00354*((Table1[[#This Row],[Gestation (days)]]+0.5)/7)^2)*Table1[[#This Row],[BW40_3705]],"")</f>
        <v/>
      </c>
      <c r="G6359" s="2" t="str">
        <f>IF(Table1[[#This Row],[Is Data Valid]]=TRUE,((Table1[[#This Row],[Birthweight (grams)]]/Table1[[#This Row],[BW_GA]])-1)/(Backend!$B$4/100*Table1[[#This Row],[BW40_3705]]),"")</f>
        <v/>
      </c>
      <c r="H6359" s="7" t="str">
        <f>IF(Table1[[#This Row],[Is Data Valid]]=TRUE,((Table1[[#This Row],[Birthweight (grams)]]*0.9/Table1[[#This Row],[BW_GA]])-1)/(Backend!$B$4/100*Table1[[#This Row],[BW40_3705]]),"")</f>
        <v/>
      </c>
      <c r="I6359" s="7" t="str">
        <f>IF(Table1[[#This Row],[Is Data Valid]]=TRUE,((Table1[[#This Row],[Birthweight (grams)]]*1.1/Table1[[#This Row],[BW_GA]])-1)/(Backend!$B$4/100*Table1[[#This Row],[BW40_3705]]),"")</f>
        <v/>
      </c>
      <c r="J6359" s="7" t="str">
        <f>IF(Table1[[#This Row],[Is Data Valid]]=TRUE,_xlfn.NORM.S.DIST(Table1[[#This Row],[Birthweight Z-Score]],TRUE)*100,"")</f>
        <v/>
      </c>
      <c r="K6359" s="7" t="str">
        <f>IF(Table1[[#This Row],[Is Data Valid]]=TRUE,_xlfn.NORM.S.DIST(Table1[[#This Row],[Birthweight Z-Score (BW-10%)]],TRUE)*100,"")</f>
        <v/>
      </c>
      <c r="L6359" s="7" t="str">
        <f>IF(Table1[[#This Row],[Is Data Valid]]=TRUE,_xlfn.NORM.S.DIST(Table1[[#This Row],[Birthweight Z-Score (BW+10%)]],TRUE)*100,"")</f>
        <v/>
      </c>
    </row>
    <row r="6360" spans="1:12" x14ac:dyDescent="0.35">
      <c r="A6360" s="3"/>
      <c r="B6360" s="2"/>
      <c r="C6360" s="2"/>
      <c r="D6360" s="2" t="b">
        <f>IF(AND(NOT(ISBLANK(Table1[[#This Row],[Fetal Sex (Male, Female or Unknown)]])),ISNUMBER(Table1[[#This Row],[Birthweight (grams)]]),ISNUMBER(Table1[[#This Row],[Gestation (days)]])),TRUE,FALSE)</f>
        <v>0</v>
      </c>
      <c r="E6360" s="2" t="str">
        <f>IF(Table1[[#This Row],[Is Data Valid]]=TRUE,IF(Table1[[#This Row],[Fetal Sex (Male, Female or Unknown)]]="Male",Backend!$C$6,IF(Table1[[#This Row],[Fetal Sex (Male, Female or Unknown)]]="Female",Backend!$C$7,IF(Table1[[#This Row],[Fetal Sex (Male, Female or Unknown)]]="Unknown",Backend!$C$8,"Error"))),"")</f>
        <v/>
      </c>
      <c r="F6360" s="8" t="str">
        <f>IF(Table1[[#This Row],[Is Data Valid]]=TRUE,EXP(0.578+0.332*((Table1[[#This Row],[Gestation (days)]]+0.5)/7)-0.00354*((Table1[[#This Row],[Gestation (days)]]+0.5)/7)^2)*Table1[[#This Row],[BW40_3705]],"")</f>
        <v/>
      </c>
      <c r="G6360" s="2" t="str">
        <f>IF(Table1[[#This Row],[Is Data Valid]]=TRUE,((Table1[[#This Row],[Birthweight (grams)]]/Table1[[#This Row],[BW_GA]])-1)/(Backend!$B$4/100*Table1[[#This Row],[BW40_3705]]),"")</f>
        <v/>
      </c>
      <c r="H6360" s="7" t="str">
        <f>IF(Table1[[#This Row],[Is Data Valid]]=TRUE,((Table1[[#This Row],[Birthweight (grams)]]*0.9/Table1[[#This Row],[BW_GA]])-1)/(Backend!$B$4/100*Table1[[#This Row],[BW40_3705]]),"")</f>
        <v/>
      </c>
      <c r="I6360" s="7" t="str">
        <f>IF(Table1[[#This Row],[Is Data Valid]]=TRUE,((Table1[[#This Row],[Birthweight (grams)]]*1.1/Table1[[#This Row],[BW_GA]])-1)/(Backend!$B$4/100*Table1[[#This Row],[BW40_3705]]),"")</f>
        <v/>
      </c>
      <c r="J6360" s="7" t="str">
        <f>IF(Table1[[#This Row],[Is Data Valid]]=TRUE,_xlfn.NORM.S.DIST(Table1[[#This Row],[Birthweight Z-Score]],TRUE)*100,"")</f>
        <v/>
      </c>
      <c r="K6360" s="7" t="str">
        <f>IF(Table1[[#This Row],[Is Data Valid]]=TRUE,_xlfn.NORM.S.DIST(Table1[[#This Row],[Birthweight Z-Score (BW-10%)]],TRUE)*100,"")</f>
        <v/>
      </c>
      <c r="L6360" s="7" t="str">
        <f>IF(Table1[[#This Row],[Is Data Valid]]=TRUE,_xlfn.NORM.S.DIST(Table1[[#This Row],[Birthweight Z-Score (BW+10%)]],TRUE)*100,"")</f>
        <v/>
      </c>
    </row>
    <row r="6361" spans="1:12" x14ac:dyDescent="0.35">
      <c r="A6361" s="3"/>
      <c r="B6361" s="2"/>
      <c r="C6361" s="2"/>
      <c r="D6361" s="2" t="b">
        <f>IF(AND(NOT(ISBLANK(Table1[[#This Row],[Fetal Sex (Male, Female or Unknown)]])),ISNUMBER(Table1[[#This Row],[Birthweight (grams)]]),ISNUMBER(Table1[[#This Row],[Gestation (days)]])),TRUE,FALSE)</f>
        <v>0</v>
      </c>
      <c r="E6361" s="2" t="str">
        <f>IF(Table1[[#This Row],[Is Data Valid]]=TRUE,IF(Table1[[#This Row],[Fetal Sex (Male, Female or Unknown)]]="Male",Backend!$C$6,IF(Table1[[#This Row],[Fetal Sex (Male, Female or Unknown)]]="Female",Backend!$C$7,IF(Table1[[#This Row],[Fetal Sex (Male, Female or Unknown)]]="Unknown",Backend!$C$8,"Error"))),"")</f>
        <v/>
      </c>
      <c r="F6361" s="8" t="str">
        <f>IF(Table1[[#This Row],[Is Data Valid]]=TRUE,EXP(0.578+0.332*((Table1[[#This Row],[Gestation (days)]]+0.5)/7)-0.00354*((Table1[[#This Row],[Gestation (days)]]+0.5)/7)^2)*Table1[[#This Row],[BW40_3705]],"")</f>
        <v/>
      </c>
      <c r="G6361" s="2" t="str">
        <f>IF(Table1[[#This Row],[Is Data Valid]]=TRUE,((Table1[[#This Row],[Birthweight (grams)]]/Table1[[#This Row],[BW_GA]])-1)/(Backend!$B$4/100*Table1[[#This Row],[BW40_3705]]),"")</f>
        <v/>
      </c>
      <c r="H6361" s="7" t="str">
        <f>IF(Table1[[#This Row],[Is Data Valid]]=TRUE,((Table1[[#This Row],[Birthweight (grams)]]*0.9/Table1[[#This Row],[BW_GA]])-1)/(Backend!$B$4/100*Table1[[#This Row],[BW40_3705]]),"")</f>
        <v/>
      </c>
      <c r="I6361" s="7" t="str">
        <f>IF(Table1[[#This Row],[Is Data Valid]]=TRUE,((Table1[[#This Row],[Birthweight (grams)]]*1.1/Table1[[#This Row],[BW_GA]])-1)/(Backend!$B$4/100*Table1[[#This Row],[BW40_3705]]),"")</f>
        <v/>
      </c>
      <c r="J6361" s="7" t="str">
        <f>IF(Table1[[#This Row],[Is Data Valid]]=TRUE,_xlfn.NORM.S.DIST(Table1[[#This Row],[Birthweight Z-Score]],TRUE)*100,"")</f>
        <v/>
      </c>
      <c r="K6361" s="7" t="str">
        <f>IF(Table1[[#This Row],[Is Data Valid]]=TRUE,_xlfn.NORM.S.DIST(Table1[[#This Row],[Birthweight Z-Score (BW-10%)]],TRUE)*100,"")</f>
        <v/>
      </c>
      <c r="L6361" s="7" t="str">
        <f>IF(Table1[[#This Row],[Is Data Valid]]=TRUE,_xlfn.NORM.S.DIST(Table1[[#This Row],[Birthweight Z-Score (BW+10%)]],TRUE)*100,"")</f>
        <v/>
      </c>
    </row>
    <row r="6362" spans="1:12" x14ac:dyDescent="0.35">
      <c r="A6362" s="3"/>
      <c r="B6362" s="2"/>
      <c r="C6362" s="2"/>
      <c r="D6362" s="2" t="b">
        <f>IF(AND(NOT(ISBLANK(Table1[[#This Row],[Fetal Sex (Male, Female or Unknown)]])),ISNUMBER(Table1[[#This Row],[Birthweight (grams)]]),ISNUMBER(Table1[[#This Row],[Gestation (days)]])),TRUE,FALSE)</f>
        <v>0</v>
      </c>
      <c r="E6362" s="2" t="str">
        <f>IF(Table1[[#This Row],[Is Data Valid]]=TRUE,IF(Table1[[#This Row],[Fetal Sex (Male, Female or Unknown)]]="Male",Backend!$C$6,IF(Table1[[#This Row],[Fetal Sex (Male, Female or Unknown)]]="Female",Backend!$C$7,IF(Table1[[#This Row],[Fetal Sex (Male, Female or Unknown)]]="Unknown",Backend!$C$8,"Error"))),"")</f>
        <v/>
      </c>
      <c r="F6362" s="8" t="str">
        <f>IF(Table1[[#This Row],[Is Data Valid]]=TRUE,EXP(0.578+0.332*((Table1[[#This Row],[Gestation (days)]]+0.5)/7)-0.00354*((Table1[[#This Row],[Gestation (days)]]+0.5)/7)^2)*Table1[[#This Row],[BW40_3705]],"")</f>
        <v/>
      </c>
      <c r="G6362" s="2" t="str">
        <f>IF(Table1[[#This Row],[Is Data Valid]]=TRUE,((Table1[[#This Row],[Birthweight (grams)]]/Table1[[#This Row],[BW_GA]])-1)/(Backend!$B$4/100*Table1[[#This Row],[BW40_3705]]),"")</f>
        <v/>
      </c>
      <c r="H6362" s="7" t="str">
        <f>IF(Table1[[#This Row],[Is Data Valid]]=TRUE,((Table1[[#This Row],[Birthweight (grams)]]*0.9/Table1[[#This Row],[BW_GA]])-1)/(Backend!$B$4/100*Table1[[#This Row],[BW40_3705]]),"")</f>
        <v/>
      </c>
      <c r="I6362" s="7" t="str">
        <f>IF(Table1[[#This Row],[Is Data Valid]]=TRUE,((Table1[[#This Row],[Birthweight (grams)]]*1.1/Table1[[#This Row],[BW_GA]])-1)/(Backend!$B$4/100*Table1[[#This Row],[BW40_3705]]),"")</f>
        <v/>
      </c>
      <c r="J6362" s="7" t="str">
        <f>IF(Table1[[#This Row],[Is Data Valid]]=TRUE,_xlfn.NORM.S.DIST(Table1[[#This Row],[Birthweight Z-Score]],TRUE)*100,"")</f>
        <v/>
      </c>
      <c r="K6362" s="7" t="str">
        <f>IF(Table1[[#This Row],[Is Data Valid]]=TRUE,_xlfn.NORM.S.DIST(Table1[[#This Row],[Birthweight Z-Score (BW-10%)]],TRUE)*100,"")</f>
        <v/>
      </c>
      <c r="L6362" s="7" t="str">
        <f>IF(Table1[[#This Row],[Is Data Valid]]=TRUE,_xlfn.NORM.S.DIST(Table1[[#This Row],[Birthweight Z-Score (BW+10%)]],TRUE)*100,"")</f>
        <v/>
      </c>
    </row>
    <row r="6363" spans="1:12" x14ac:dyDescent="0.35">
      <c r="A6363" s="3"/>
      <c r="B6363" s="2"/>
      <c r="C6363" s="2"/>
      <c r="D6363" s="2" t="b">
        <f>IF(AND(NOT(ISBLANK(Table1[[#This Row],[Fetal Sex (Male, Female or Unknown)]])),ISNUMBER(Table1[[#This Row],[Birthweight (grams)]]),ISNUMBER(Table1[[#This Row],[Gestation (days)]])),TRUE,FALSE)</f>
        <v>0</v>
      </c>
      <c r="E6363" s="2" t="str">
        <f>IF(Table1[[#This Row],[Is Data Valid]]=TRUE,IF(Table1[[#This Row],[Fetal Sex (Male, Female or Unknown)]]="Male",Backend!$C$6,IF(Table1[[#This Row],[Fetal Sex (Male, Female or Unknown)]]="Female",Backend!$C$7,IF(Table1[[#This Row],[Fetal Sex (Male, Female or Unknown)]]="Unknown",Backend!$C$8,"Error"))),"")</f>
        <v/>
      </c>
      <c r="F6363" s="8" t="str">
        <f>IF(Table1[[#This Row],[Is Data Valid]]=TRUE,EXP(0.578+0.332*((Table1[[#This Row],[Gestation (days)]]+0.5)/7)-0.00354*((Table1[[#This Row],[Gestation (days)]]+0.5)/7)^2)*Table1[[#This Row],[BW40_3705]],"")</f>
        <v/>
      </c>
      <c r="G6363" s="2" t="str">
        <f>IF(Table1[[#This Row],[Is Data Valid]]=TRUE,((Table1[[#This Row],[Birthweight (grams)]]/Table1[[#This Row],[BW_GA]])-1)/(Backend!$B$4/100*Table1[[#This Row],[BW40_3705]]),"")</f>
        <v/>
      </c>
      <c r="H6363" s="7" t="str">
        <f>IF(Table1[[#This Row],[Is Data Valid]]=TRUE,((Table1[[#This Row],[Birthweight (grams)]]*0.9/Table1[[#This Row],[BW_GA]])-1)/(Backend!$B$4/100*Table1[[#This Row],[BW40_3705]]),"")</f>
        <v/>
      </c>
      <c r="I6363" s="7" t="str">
        <f>IF(Table1[[#This Row],[Is Data Valid]]=TRUE,((Table1[[#This Row],[Birthweight (grams)]]*1.1/Table1[[#This Row],[BW_GA]])-1)/(Backend!$B$4/100*Table1[[#This Row],[BW40_3705]]),"")</f>
        <v/>
      </c>
      <c r="J6363" s="7" t="str">
        <f>IF(Table1[[#This Row],[Is Data Valid]]=TRUE,_xlfn.NORM.S.DIST(Table1[[#This Row],[Birthweight Z-Score]],TRUE)*100,"")</f>
        <v/>
      </c>
      <c r="K6363" s="7" t="str">
        <f>IF(Table1[[#This Row],[Is Data Valid]]=TRUE,_xlfn.NORM.S.DIST(Table1[[#This Row],[Birthweight Z-Score (BW-10%)]],TRUE)*100,"")</f>
        <v/>
      </c>
      <c r="L6363" s="7" t="str">
        <f>IF(Table1[[#This Row],[Is Data Valid]]=TRUE,_xlfn.NORM.S.DIST(Table1[[#This Row],[Birthweight Z-Score (BW+10%)]],TRUE)*100,"")</f>
        <v/>
      </c>
    </row>
    <row r="6364" spans="1:12" x14ac:dyDescent="0.35">
      <c r="A6364" s="3"/>
      <c r="B6364" s="2"/>
      <c r="C6364" s="2"/>
      <c r="D6364" s="2" t="b">
        <f>IF(AND(NOT(ISBLANK(Table1[[#This Row],[Fetal Sex (Male, Female or Unknown)]])),ISNUMBER(Table1[[#This Row],[Birthweight (grams)]]),ISNUMBER(Table1[[#This Row],[Gestation (days)]])),TRUE,FALSE)</f>
        <v>0</v>
      </c>
      <c r="E6364" s="2" t="str">
        <f>IF(Table1[[#This Row],[Is Data Valid]]=TRUE,IF(Table1[[#This Row],[Fetal Sex (Male, Female or Unknown)]]="Male",Backend!$C$6,IF(Table1[[#This Row],[Fetal Sex (Male, Female or Unknown)]]="Female",Backend!$C$7,IF(Table1[[#This Row],[Fetal Sex (Male, Female or Unknown)]]="Unknown",Backend!$C$8,"Error"))),"")</f>
        <v/>
      </c>
      <c r="F6364" s="8" t="str">
        <f>IF(Table1[[#This Row],[Is Data Valid]]=TRUE,EXP(0.578+0.332*((Table1[[#This Row],[Gestation (days)]]+0.5)/7)-0.00354*((Table1[[#This Row],[Gestation (days)]]+0.5)/7)^2)*Table1[[#This Row],[BW40_3705]],"")</f>
        <v/>
      </c>
      <c r="G6364" s="2" t="str">
        <f>IF(Table1[[#This Row],[Is Data Valid]]=TRUE,((Table1[[#This Row],[Birthweight (grams)]]/Table1[[#This Row],[BW_GA]])-1)/(Backend!$B$4/100*Table1[[#This Row],[BW40_3705]]),"")</f>
        <v/>
      </c>
      <c r="H6364" s="7" t="str">
        <f>IF(Table1[[#This Row],[Is Data Valid]]=TRUE,((Table1[[#This Row],[Birthweight (grams)]]*0.9/Table1[[#This Row],[BW_GA]])-1)/(Backend!$B$4/100*Table1[[#This Row],[BW40_3705]]),"")</f>
        <v/>
      </c>
      <c r="I6364" s="7" t="str">
        <f>IF(Table1[[#This Row],[Is Data Valid]]=TRUE,((Table1[[#This Row],[Birthweight (grams)]]*1.1/Table1[[#This Row],[BW_GA]])-1)/(Backend!$B$4/100*Table1[[#This Row],[BW40_3705]]),"")</f>
        <v/>
      </c>
      <c r="J6364" s="7" t="str">
        <f>IF(Table1[[#This Row],[Is Data Valid]]=TRUE,_xlfn.NORM.S.DIST(Table1[[#This Row],[Birthweight Z-Score]],TRUE)*100,"")</f>
        <v/>
      </c>
      <c r="K6364" s="7" t="str">
        <f>IF(Table1[[#This Row],[Is Data Valid]]=TRUE,_xlfn.NORM.S.DIST(Table1[[#This Row],[Birthweight Z-Score (BW-10%)]],TRUE)*100,"")</f>
        <v/>
      </c>
      <c r="L6364" s="7" t="str">
        <f>IF(Table1[[#This Row],[Is Data Valid]]=TRUE,_xlfn.NORM.S.DIST(Table1[[#This Row],[Birthweight Z-Score (BW+10%)]],TRUE)*100,"")</f>
        <v/>
      </c>
    </row>
    <row r="6365" spans="1:12" x14ac:dyDescent="0.35">
      <c r="A6365" s="3"/>
      <c r="B6365" s="2"/>
      <c r="C6365" s="2"/>
      <c r="D6365" s="2" t="b">
        <f>IF(AND(NOT(ISBLANK(Table1[[#This Row],[Fetal Sex (Male, Female or Unknown)]])),ISNUMBER(Table1[[#This Row],[Birthweight (grams)]]),ISNUMBER(Table1[[#This Row],[Gestation (days)]])),TRUE,FALSE)</f>
        <v>0</v>
      </c>
      <c r="E6365" s="2" t="str">
        <f>IF(Table1[[#This Row],[Is Data Valid]]=TRUE,IF(Table1[[#This Row],[Fetal Sex (Male, Female or Unknown)]]="Male",Backend!$C$6,IF(Table1[[#This Row],[Fetal Sex (Male, Female or Unknown)]]="Female",Backend!$C$7,IF(Table1[[#This Row],[Fetal Sex (Male, Female or Unknown)]]="Unknown",Backend!$C$8,"Error"))),"")</f>
        <v/>
      </c>
      <c r="F6365" s="8" t="str">
        <f>IF(Table1[[#This Row],[Is Data Valid]]=TRUE,EXP(0.578+0.332*((Table1[[#This Row],[Gestation (days)]]+0.5)/7)-0.00354*((Table1[[#This Row],[Gestation (days)]]+0.5)/7)^2)*Table1[[#This Row],[BW40_3705]],"")</f>
        <v/>
      </c>
      <c r="G6365" s="2" t="str">
        <f>IF(Table1[[#This Row],[Is Data Valid]]=TRUE,((Table1[[#This Row],[Birthweight (grams)]]/Table1[[#This Row],[BW_GA]])-1)/(Backend!$B$4/100*Table1[[#This Row],[BW40_3705]]),"")</f>
        <v/>
      </c>
      <c r="H6365" s="7" t="str">
        <f>IF(Table1[[#This Row],[Is Data Valid]]=TRUE,((Table1[[#This Row],[Birthweight (grams)]]*0.9/Table1[[#This Row],[BW_GA]])-1)/(Backend!$B$4/100*Table1[[#This Row],[BW40_3705]]),"")</f>
        <v/>
      </c>
      <c r="I6365" s="7" t="str">
        <f>IF(Table1[[#This Row],[Is Data Valid]]=TRUE,((Table1[[#This Row],[Birthweight (grams)]]*1.1/Table1[[#This Row],[BW_GA]])-1)/(Backend!$B$4/100*Table1[[#This Row],[BW40_3705]]),"")</f>
        <v/>
      </c>
      <c r="J6365" s="7" t="str">
        <f>IF(Table1[[#This Row],[Is Data Valid]]=TRUE,_xlfn.NORM.S.DIST(Table1[[#This Row],[Birthweight Z-Score]],TRUE)*100,"")</f>
        <v/>
      </c>
      <c r="K6365" s="7" t="str">
        <f>IF(Table1[[#This Row],[Is Data Valid]]=TRUE,_xlfn.NORM.S.DIST(Table1[[#This Row],[Birthweight Z-Score (BW-10%)]],TRUE)*100,"")</f>
        <v/>
      </c>
      <c r="L6365" s="7" t="str">
        <f>IF(Table1[[#This Row],[Is Data Valid]]=TRUE,_xlfn.NORM.S.DIST(Table1[[#This Row],[Birthweight Z-Score (BW+10%)]],TRUE)*100,"")</f>
        <v/>
      </c>
    </row>
    <row r="6366" spans="1:12" x14ac:dyDescent="0.35">
      <c r="A6366" s="3"/>
      <c r="B6366" s="2"/>
      <c r="C6366" s="2"/>
      <c r="D6366" s="2" t="b">
        <f>IF(AND(NOT(ISBLANK(Table1[[#This Row],[Fetal Sex (Male, Female or Unknown)]])),ISNUMBER(Table1[[#This Row],[Birthweight (grams)]]),ISNUMBER(Table1[[#This Row],[Gestation (days)]])),TRUE,FALSE)</f>
        <v>0</v>
      </c>
      <c r="E6366" s="2" t="str">
        <f>IF(Table1[[#This Row],[Is Data Valid]]=TRUE,IF(Table1[[#This Row],[Fetal Sex (Male, Female or Unknown)]]="Male",Backend!$C$6,IF(Table1[[#This Row],[Fetal Sex (Male, Female or Unknown)]]="Female",Backend!$C$7,IF(Table1[[#This Row],[Fetal Sex (Male, Female or Unknown)]]="Unknown",Backend!$C$8,"Error"))),"")</f>
        <v/>
      </c>
      <c r="F6366" s="8" t="str">
        <f>IF(Table1[[#This Row],[Is Data Valid]]=TRUE,EXP(0.578+0.332*((Table1[[#This Row],[Gestation (days)]]+0.5)/7)-0.00354*((Table1[[#This Row],[Gestation (days)]]+0.5)/7)^2)*Table1[[#This Row],[BW40_3705]],"")</f>
        <v/>
      </c>
      <c r="G6366" s="2" t="str">
        <f>IF(Table1[[#This Row],[Is Data Valid]]=TRUE,((Table1[[#This Row],[Birthweight (grams)]]/Table1[[#This Row],[BW_GA]])-1)/(Backend!$B$4/100*Table1[[#This Row],[BW40_3705]]),"")</f>
        <v/>
      </c>
      <c r="H6366" s="7" t="str">
        <f>IF(Table1[[#This Row],[Is Data Valid]]=TRUE,((Table1[[#This Row],[Birthweight (grams)]]*0.9/Table1[[#This Row],[BW_GA]])-1)/(Backend!$B$4/100*Table1[[#This Row],[BW40_3705]]),"")</f>
        <v/>
      </c>
      <c r="I6366" s="7" t="str">
        <f>IF(Table1[[#This Row],[Is Data Valid]]=TRUE,((Table1[[#This Row],[Birthweight (grams)]]*1.1/Table1[[#This Row],[BW_GA]])-1)/(Backend!$B$4/100*Table1[[#This Row],[BW40_3705]]),"")</f>
        <v/>
      </c>
      <c r="J6366" s="7" t="str">
        <f>IF(Table1[[#This Row],[Is Data Valid]]=TRUE,_xlfn.NORM.S.DIST(Table1[[#This Row],[Birthweight Z-Score]],TRUE)*100,"")</f>
        <v/>
      </c>
      <c r="K6366" s="7" t="str">
        <f>IF(Table1[[#This Row],[Is Data Valid]]=TRUE,_xlfn.NORM.S.DIST(Table1[[#This Row],[Birthweight Z-Score (BW-10%)]],TRUE)*100,"")</f>
        <v/>
      </c>
      <c r="L6366" s="7" t="str">
        <f>IF(Table1[[#This Row],[Is Data Valid]]=TRUE,_xlfn.NORM.S.DIST(Table1[[#This Row],[Birthweight Z-Score (BW+10%)]],TRUE)*100,"")</f>
        <v/>
      </c>
    </row>
    <row r="6367" spans="1:12" x14ac:dyDescent="0.35">
      <c r="A6367" s="3"/>
      <c r="B6367" s="2"/>
      <c r="C6367" s="2"/>
      <c r="D6367" s="2" t="b">
        <f>IF(AND(NOT(ISBLANK(Table1[[#This Row],[Fetal Sex (Male, Female or Unknown)]])),ISNUMBER(Table1[[#This Row],[Birthweight (grams)]]),ISNUMBER(Table1[[#This Row],[Gestation (days)]])),TRUE,FALSE)</f>
        <v>0</v>
      </c>
      <c r="E6367" s="2" t="str">
        <f>IF(Table1[[#This Row],[Is Data Valid]]=TRUE,IF(Table1[[#This Row],[Fetal Sex (Male, Female or Unknown)]]="Male",Backend!$C$6,IF(Table1[[#This Row],[Fetal Sex (Male, Female or Unknown)]]="Female",Backend!$C$7,IF(Table1[[#This Row],[Fetal Sex (Male, Female or Unknown)]]="Unknown",Backend!$C$8,"Error"))),"")</f>
        <v/>
      </c>
      <c r="F6367" s="8" t="str">
        <f>IF(Table1[[#This Row],[Is Data Valid]]=TRUE,EXP(0.578+0.332*((Table1[[#This Row],[Gestation (days)]]+0.5)/7)-0.00354*((Table1[[#This Row],[Gestation (days)]]+0.5)/7)^2)*Table1[[#This Row],[BW40_3705]],"")</f>
        <v/>
      </c>
      <c r="G6367" s="2" t="str">
        <f>IF(Table1[[#This Row],[Is Data Valid]]=TRUE,((Table1[[#This Row],[Birthweight (grams)]]/Table1[[#This Row],[BW_GA]])-1)/(Backend!$B$4/100*Table1[[#This Row],[BW40_3705]]),"")</f>
        <v/>
      </c>
      <c r="H6367" s="7" t="str">
        <f>IF(Table1[[#This Row],[Is Data Valid]]=TRUE,((Table1[[#This Row],[Birthweight (grams)]]*0.9/Table1[[#This Row],[BW_GA]])-1)/(Backend!$B$4/100*Table1[[#This Row],[BW40_3705]]),"")</f>
        <v/>
      </c>
      <c r="I6367" s="7" t="str">
        <f>IF(Table1[[#This Row],[Is Data Valid]]=TRUE,((Table1[[#This Row],[Birthweight (grams)]]*1.1/Table1[[#This Row],[BW_GA]])-1)/(Backend!$B$4/100*Table1[[#This Row],[BW40_3705]]),"")</f>
        <v/>
      </c>
      <c r="J6367" s="7" t="str">
        <f>IF(Table1[[#This Row],[Is Data Valid]]=TRUE,_xlfn.NORM.S.DIST(Table1[[#This Row],[Birthweight Z-Score]],TRUE)*100,"")</f>
        <v/>
      </c>
      <c r="K6367" s="7" t="str">
        <f>IF(Table1[[#This Row],[Is Data Valid]]=TRUE,_xlfn.NORM.S.DIST(Table1[[#This Row],[Birthweight Z-Score (BW-10%)]],TRUE)*100,"")</f>
        <v/>
      </c>
      <c r="L6367" s="7" t="str">
        <f>IF(Table1[[#This Row],[Is Data Valid]]=TRUE,_xlfn.NORM.S.DIST(Table1[[#This Row],[Birthweight Z-Score (BW+10%)]],TRUE)*100,"")</f>
        <v/>
      </c>
    </row>
    <row r="6368" spans="1:12" x14ac:dyDescent="0.35">
      <c r="A6368" s="3"/>
      <c r="B6368" s="2"/>
      <c r="C6368" s="2"/>
      <c r="D6368" s="2" t="b">
        <f>IF(AND(NOT(ISBLANK(Table1[[#This Row],[Fetal Sex (Male, Female or Unknown)]])),ISNUMBER(Table1[[#This Row],[Birthweight (grams)]]),ISNUMBER(Table1[[#This Row],[Gestation (days)]])),TRUE,FALSE)</f>
        <v>0</v>
      </c>
      <c r="E6368" s="2" t="str">
        <f>IF(Table1[[#This Row],[Is Data Valid]]=TRUE,IF(Table1[[#This Row],[Fetal Sex (Male, Female or Unknown)]]="Male",Backend!$C$6,IF(Table1[[#This Row],[Fetal Sex (Male, Female or Unknown)]]="Female",Backend!$C$7,IF(Table1[[#This Row],[Fetal Sex (Male, Female or Unknown)]]="Unknown",Backend!$C$8,"Error"))),"")</f>
        <v/>
      </c>
      <c r="F6368" s="8" t="str">
        <f>IF(Table1[[#This Row],[Is Data Valid]]=TRUE,EXP(0.578+0.332*((Table1[[#This Row],[Gestation (days)]]+0.5)/7)-0.00354*((Table1[[#This Row],[Gestation (days)]]+0.5)/7)^2)*Table1[[#This Row],[BW40_3705]],"")</f>
        <v/>
      </c>
      <c r="G6368" s="2" t="str">
        <f>IF(Table1[[#This Row],[Is Data Valid]]=TRUE,((Table1[[#This Row],[Birthweight (grams)]]/Table1[[#This Row],[BW_GA]])-1)/(Backend!$B$4/100*Table1[[#This Row],[BW40_3705]]),"")</f>
        <v/>
      </c>
      <c r="H6368" s="7" t="str">
        <f>IF(Table1[[#This Row],[Is Data Valid]]=TRUE,((Table1[[#This Row],[Birthweight (grams)]]*0.9/Table1[[#This Row],[BW_GA]])-1)/(Backend!$B$4/100*Table1[[#This Row],[BW40_3705]]),"")</f>
        <v/>
      </c>
      <c r="I6368" s="7" t="str">
        <f>IF(Table1[[#This Row],[Is Data Valid]]=TRUE,((Table1[[#This Row],[Birthweight (grams)]]*1.1/Table1[[#This Row],[BW_GA]])-1)/(Backend!$B$4/100*Table1[[#This Row],[BW40_3705]]),"")</f>
        <v/>
      </c>
      <c r="J6368" s="7" t="str">
        <f>IF(Table1[[#This Row],[Is Data Valid]]=TRUE,_xlfn.NORM.S.DIST(Table1[[#This Row],[Birthweight Z-Score]],TRUE)*100,"")</f>
        <v/>
      </c>
      <c r="K6368" s="7" t="str">
        <f>IF(Table1[[#This Row],[Is Data Valid]]=TRUE,_xlfn.NORM.S.DIST(Table1[[#This Row],[Birthweight Z-Score (BW-10%)]],TRUE)*100,"")</f>
        <v/>
      </c>
      <c r="L6368" s="7" t="str">
        <f>IF(Table1[[#This Row],[Is Data Valid]]=TRUE,_xlfn.NORM.S.DIST(Table1[[#This Row],[Birthweight Z-Score (BW+10%)]],TRUE)*100,"")</f>
        <v/>
      </c>
    </row>
    <row r="6369" spans="1:12" x14ac:dyDescent="0.35">
      <c r="A6369" s="3"/>
      <c r="B6369" s="2"/>
      <c r="C6369" s="2"/>
      <c r="D6369" s="2" t="b">
        <f>IF(AND(NOT(ISBLANK(Table1[[#This Row],[Fetal Sex (Male, Female or Unknown)]])),ISNUMBER(Table1[[#This Row],[Birthweight (grams)]]),ISNUMBER(Table1[[#This Row],[Gestation (days)]])),TRUE,FALSE)</f>
        <v>0</v>
      </c>
      <c r="E6369" s="2" t="str">
        <f>IF(Table1[[#This Row],[Is Data Valid]]=TRUE,IF(Table1[[#This Row],[Fetal Sex (Male, Female or Unknown)]]="Male",Backend!$C$6,IF(Table1[[#This Row],[Fetal Sex (Male, Female or Unknown)]]="Female",Backend!$C$7,IF(Table1[[#This Row],[Fetal Sex (Male, Female or Unknown)]]="Unknown",Backend!$C$8,"Error"))),"")</f>
        <v/>
      </c>
      <c r="F6369" s="8" t="str">
        <f>IF(Table1[[#This Row],[Is Data Valid]]=TRUE,EXP(0.578+0.332*((Table1[[#This Row],[Gestation (days)]]+0.5)/7)-0.00354*((Table1[[#This Row],[Gestation (days)]]+0.5)/7)^2)*Table1[[#This Row],[BW40_3705]],"")</f>
        <v/>
      </c>
      <c r="G6369" s="2" t="str">
        <f>IF(Table1[[#This Row],[Is Data Valid]]=TRUE,((Table1[[#This Row],[Birthweight (grams)]]/Table1[[#This Row],[BW_GA]])-1)/(Backend!$B$4/100*Table1[[#This Row],[BW40_3705]]),"")</f>
        <v/>
      </c>
      <c r="H6369" s="7" t="str">
        <f>IF(Table1[[#This Row],[Is Data Valid]]=TRUE,((Table1[[#This Row],[Birthweight (grams)]]*0.9/Table1[[#This Row],[BW_GA]])-1)/(Backend!$B$4/100*Table1[[#This Row],[BW40_3705]]),"")</f>
        <v/>
      </c>
      <c r="I6369" s="7" t="str">
        <f>IF(Table1[[#This Row],[Is Data Valid]]=TRUE,((Table1[[#This Row],[Birthweight (grams)]]*1.1/Table1[[#This Row],[BW_GA]])-1)/(Backend!$B$4/100*Table1[[#This Row],[BW40_3705]]),"")</f>
        <v/>
      </c>
      <c r="J6369" s="7" t="str">
        <f>IF(Table1[[#This Row],[Is Data Valid]]=TRUE,_xlfn.NORM.S.DIST(Table1[[#This Row],[Birthweight Z-Score]],TRUE)*100,"")</f>
        <v/>
      </c>
      <c r="K6369" s="7" t="str">
        <f>IF(Table1[[#This Row],[Is Data Valid]]=TRUE,_xlfn.NORM.S.DIST(Table1[[#This Row],[Birthweight Z-Score (BW-10%)]],TRUE)*100,"")</f>
        <v/>
      </c>
      <c r="L6369" s="7" t="str">
        <f>IF(Table1[[#This Row],[Is Data Valid]]=TRUE,_xlfn.NORM.S.DIST(Table1[[#This Row],[Birthweight Z-Score (BW+10%)]],TRUE)*100,"")</f>
        <v/>
      </c>
    </row>
    <row r="6370" spans="1:12" x14ac:dyDescent="0.35">
      <c r="A6370" s="3"/>
      <c r="B6370" s="2"/>
      <c r="C6370" s="2"/>
      <c r="D6370" s="2" t="b">
        <f>IF(AND(NOT(ISBLANK(Table1[[#This Row],[Fetal Sex (Male, Female or Unknown)]])),ISNUMBER(Table1[[#This Row],[Birthweight (grams)]]),ISNUMBER(Table1[[#This Row],[Gestation (days)]])),TRUE,FALSE)</f>
        <v>0</v>
      </c>
      <c r="E6370" s="2" t="str">
        <f>IF(Table1[[#This Row],[Is Data Valid]]=TRUE,IF(Table1[[#This Row],[Fetal Sex (Male, Female or Unknown)]]="Male",Backend!$C$6,IF(Table1[[#This Row],[Fetal Sex (Male, Female or Unknown)]]="Female",Backend!$C$7,IF(Table1[[#This Row],[Fetal Sex (Male, Female or Unknown)]]="Unknown",Backend!$C$8,"Error"))),"")</f>
        <v/>
      </c>
      <c r="F6370" s="8" t="str">
        <f>IF(Table1[[#This Row],[Is Data Valid]]=TRUE,EXP(0.578+0.332*((Table1[[#This Row],[Gestation (days)]]+0.5)/7)-0.00354*((Table1[[#This Row],[Gestation (days)]]+0.5)/7)^2)*Table1[[#This Row],[BW40_3705]],"")</f>
        <v/>
      </c>
      <c r="G6370" s="2" t="str">
        <f>IF(Table1[[#This Row],[Is Data Valid]]=TRUE,((Table1[[#This Row],[Birthweight (grams)]]/Table1[[#This Row],[BW_GA]])-1)/(Backend!$B$4/100*Table1[[#This Row],[BW40_3705]]),"")</f>
        <v/>
      </c>
      <c r="H6370" s="7" t="str">
        <f>IF(Table1[[#This Row],[Is Data Valid]]=TRUE,((Table1[[#This Row],[Birthweight (grams)]]*0.9/Table1[[#This Row],[BW_GA]])-1)/(Backend!$B$4/100*Table1[[#This Row],[BW40_3705]]),"")</f>
        <v/>
      </c>
      <c r="I6370" s="7" t="str">
        <f>IF(Table1[[#This Row],[Is Data Valid]]=TRUE,((Table1[[#This Row],[Birthweight (grams)]]*1.1/Table1[[#This Row],[BW_GA]])-1)/(Backend!$B$4/100*Table1[[#This Row],[BW40_3705]]),"")</f>
        <v/>
      </c>
      <c r="J6370" s="7" t="str">
        <f>IF(Table1[[#This Row],[Is Data Valid]]=TRUE,_xlfn.NORM.S.DIST(Table1[[#This Row],[Birthweight Z-Score]],TRUE)*100,"")</f>
        <v/>
      </c>
      <c r="K6370" s="7" t="str">
        <f>IF(Table1[[#This Row],[Is Data Valid]]=TRUE,_xlfn.NORM.S.DIST(Table1[[#This Row],[Birthweight Z-Score (BW-10%)]],TRUE)*100,"")</f>
        <v/>
      </c>
      <c r="L6370" s="7" t="str">
        <f>IF(Table1[[#This Row],[Is Data Valid]]=TRUE,_xlfn.NORM.S.DIST(Table1[[#This Row],[Birthweight Z-Score (BW+10%)]],TRUE)*100,"")</f>
        <v/>
      </c>
    </row>
    <row r="6371" spans="1:12" x14ac:dyDescent="0.35">
      <c r="A6371" s="3"/>
      <c r="B6371" s="2"/>
      <c r="C6371" s="2"/>
      <c r="D6371" s="2" t="b">
        <f>IF(AND(NOT(ISBLANK(Table1[[#This Row],[Fetal Sex (Male, Female or Unknown)]])),ISNUMBER(Table1[[#This Row],[Birthweight (grams)]]),ISNUMBER(Table1[[#This Row],[Gestation (days)]])),TRUE,FALSE)</f>
        <v>0</v>
      </c>
      <c r="E6371" s="2" t="str">
        <f>IF(Table1[[#This Row],[Is Data Valid]]=TRUE,IF(Table1[[#This Row],[Fetal Sex (Male, Female or Unknown)]]="Male",Backend!$C$6,IF(Table1[[#This Row],[Fetal Sex (Male, Female or Unknown)]]="Female",Backend!$C$7,IF(Table1[[#This Row],[Fetal Sex (Male, Female or Unknown)]]="Unknown",Backend!$C$8,"Error"))),"")</f>
        <v/>
      </c>
      <c r="F6371" s="8" t="str">
        <f>IF(Table1[[#This Row],[Is Data Valid]]=TRUE,EXP(0.578+0.332*((Table1[[#This Row],[Gestation (days)]]+0.5)/7)-0.00354*((Table1[[#This Row],[Gestation (days)]]+0.5)/7)^2)*Table1[[#This Row],[BW40_3705]],"")</f>
        <v/>
      </c>
      <c r="G6371" s="2" t="str">
        <f>IF(Table1[[#This Row],[Is Data Valid]]=TRUE,((Table1[[#This Row],[Birthweight (grams)]]/Table1[[#This Row],[BW_GA]])-1)/(Backend!$B$4/100*Table1[[#This Row],[BW40_3705]]),"")</f>
        <v/>
      </c>
      <c r="H6371" s="7" t="str">
        <f>IF(Table1[[#This Row],[Is Data Valid]]=TRUE,((Table1[[#This Row],[Birthweight (grams)]]*0.9/Table1[[#This Row],[BW_GA]])-1)/(Backend!$B$4/100*Table1[[#This Row],[BW40_3705]]),"")</f>
        <v/>
      </c>
      <c r="I6371" s="7" t="str">
        <f>IF(Table1[[#This Row],[Is Data Valid]]=TRUE,((Table1[[#This Row],[Birthweight (grams)]]*1.1/Table1[[#This Row],[BW_GA]])-1)/(Backend!$B$4/100*Table1[[#This Row],[BW40_3705]]),"")</f>
        <v/>
      </c>
      <c r="J6371" s="7" t="str">
        <f>IF(Table1[[#This Row],[Is Data Valid]]=TRUE,_xlfn.NORM.S.DIST(Table1[[#This Row],[Birthweight Z-Score]],TRUE)*100,"")</f>
        <v/>
      </c>
      <c r="K6371" s="7" t="str">
        <f>IF(Table1[[#This Row],[Is Data Valid]]=TRUE,_xlfn.NORM.S.DIST(Table1[[#This Row],[Birthweight Z-Score (BW-10%)]],TRUE)*100,"")</f>
        <v/>
      </c>
      <c r="L6371" s="7" t="str">
        <f>IF(Table1[[#This Row],[Is Data Valid]]=TRUE,_xlfn.NORM.S.DIST(Table1[[#This Row],[Birthweight Z-Score (BW+10%)]],TRUE)*100,"")</f>
        <v/>
      </c>
    </row>
    <row r="6372" spans="1:12" x14ac:dyDescent="0.35">
      <c r="A6372" s="3"/>
      <c r="B6372" s="2"/>
      <c r="C6372" s="2"/>
      <c r="D6372" s="2" t="b">
        <f>IF(AND(NOT(ISBLANK(Table1[[#This Row],[Fetal Sex (Male, Female or Unknown)]])),ISNUMBER(Table1[[#This Row],[Birthweight (grams)]]),ISNUMBER(Table1[[#This Row],[Gestation (days)]])),TRUE,FALSE)</f>
        <v>0</v>
      </c>
      <c r="E6372" s="2" t="str">
        <f>IF(Table1[[#This Row],[Is Data Valid]]=TRUE,IF(Table1[[#This Row],[Fetal Sex (Male, Female or Unknown)]]="Male",Backend!$C$6,IF(Table1[[#This Row],[Fetal Sex (Male, Female or Unknown)]]="Female",Backend!$C$7,IF(Table1[[#This Row],[Fetal Sex (Male, Female or Unknown)]]="Unknown",Backend!$C$8,"Error"))),"")</f>
        <v/>
      </c>
      <c r="F6372" s="8" t="str">
        <f>IF(Table1[[#This Row],[Is Data Valid]]=TRUE,EXP(0.578+0.332*((Table1[[#This Row],[Gestation (days)]]+0.5)/7)-0.00354*((Table1[[#This Row],[Gestation (days)]]+0.5)/7)^2)*Table1[[#This Row],[BW40_3705]],"")</f>
        <v/>
      </c>
      <c r="G6372" s="2" t="str">
        <f>IF(Table1[[#This Row],[Is Data Valid]]=TRUE,((Table1[[#This Row],[Birthweight (grams)]]/Table1[[#This Row],[BW_GA]])-1)/(Backend!$B$4/100*Table1[[#This Row],[BW40_3705]]),"")</f>
        <v/>
      </c>
      <c r="H6372" s="7" t="str">
        <f>IF(Table1[[#This Row],[Is Data Valid]]=TRUE,((Table1[[#This Row],[Birthweight (grams)]]*0.9/Table1[[#This Row],[BW_GA]])-1)/(Backend!$B$4/100*Table1[[#This Row],[BW40_3705]]),"")</f>
        <v/>
      </c>
      <c r="I6372" s="7" t="str">
        <f>IF(Table1[[#This Row],[Is Data Valid]]=TRUE,((Table1[[#This Row],[Birthweight (grams)]]*1.1/Table1[[#This Row],[BW_GA]])-1)/(Backend!$B$4/100*Table1[[#This Row],[BW40_3705]]),"")</f>
        <v/>
      </c>
      <c r="J6372" s="7" t="str">
        <f>IF(Table1[[#This Row],[Is Data Valid]]=TRUE,_xlfn.NORM.S.DIST(Table1[[#This Row],[Birthweight Z-Score]],TRUE)*100,"")</f>
        <v/>
      </c>
      <c r="K6372" s="7" t="str">
        <f>IF(Table1[[#This Row],[Is Data Valid]]=TRUE,_xlfn.NORM.S.DIST(Table1[[#This Row],[Birthweight Z-Score (BW-10%)]],TRUE)*100,"")</f>
        <v/>
      </c>
      <c r="L6372" s="7" t="str">
        <f>IF(Table1[[#This Row],[Is Data Valid]]=TRUE,_xlfn.NORM.S.DIST(Table1[[#This Row],[Birthweight Z-Score (BW+10%)]],TRUE)*100,"")</f>
        <v/>
      </c>
    </row>
    <row r="6373" spans="1:12" x14ac:dyDescent="0.35">
      <c r="A6373" s="3"/>
      <c r="B6373" s="2"/>
      <c r="C6373" s="2"/>
      <c r="D6373" s="2" t="b">
        <f>IF(AND(NOT(ISBLANK(Table1[[#This Row],[Fetal Sex (Male, Female or Unknown)]])),ISNUMBER(Table1[[#This Row],[Birthweight (grams)]]),ISNUMBER(Table1[[#This Row],[Gestation (days)]])),TRUE,FALSE)</f>
        <v>0</v>
      </c>
      <c r="E6373" s="2" t="str">
        <f>IF(Table1[[#This Row],[Is Data Valid]]=TRUE,IF(Table1[[#This Row],[Fetal Sex (Male, Female or Unknown)]]="Male",Backend!$C$6,IF(Table1[[#This Row],[Fetal Sex (Male, Female or Unknown)]]="Female",Backend!$C$7,IF(Table1[[#This Row],[Fetal Sex (Male, Female or Unknown)]]="Unknown",Backend!$C$8,"Error"))),"")</f>
        <v/>
      </c>
      <c r="F6373" s="8" t="str">
        <f>IF(Table1[[#This Row],[Is Data Valid]]=TRUE,EXP(0.578+0.332*((Table1[[#This Row],[Gestation (days)]]+0.5)/7)-0.00354*((Table1[[#This Row],[Gestation (days)]]+0.5)/7)^2)*Table1[[#This Row],[BW40_3705]],"")</f>
        <v/>
      </c>
      <c r="G6373" s="2" t="str">
        <f>IF(Table1[[#This Row],[Is Data Valid]]=TRUE,((Table1[[#This Row],[Birthweight (grams)]]/Table1[[#This Row],[BW_GA]])-1)/(Backend!$B$4/100*Table1[[#This Row],[BW40_3705]]),"")</f>
        <v/>
      </c>
      <c r="H6373" s="7" t="str">
        <f>IF(Table1[[#This Row],[Is Data Valid]]=TRUE,((Table1[[#This Row],[Birthweight (grams)]]*0.9/Table1[[#This Row],[BW_GA]])-1)/(Backend!$B$4/100*Table1[[#This Row],[BW40_3705]]),"")</f>
        <v/>
      </c>
      <c r="I6373" s="7" t="str">
        <f>IF(Table1[[#This Row],[Is Data Valid]]=TRUE,((Table1[[#This Row],[Birthweight (grams)]]*1.1/Table1[[#This Row],[BW_GA]])-1)/(Backend!$B$4/100*Table1[[#This Row],[BW40_3705]]),"")</f>
        <v/>
      </c>
      <c r="J6373" s="7" t="str">
        <f>IF(Table1[[#This Row],[Is Data Valid]]=TRUE,_xlfn.NORM.S.DIST(Table1[[#This Row],[Birthweight Z-Score]],TRUE)*100,"")</f>
        <v/>
      </c>
      <c r="K6373" s="7" t="str">
        <f>IF(Table1[[#This Row],[Is Data Valid]]=TRUE,_xlfn.NORM.S.DIST(Table1[[#This Row],[Birthweight Z-Score (BW-10%)]],TRUE)*100,"")</f>
        <v/>
      </c>
      <c r="L6373" s="7" t="str">
        <f>IF(Table1[[#This Row],[Is Data Valid]]=TRUE,_xlfn.NORM.S.DIST(Table1[[#This Row],[Birthweight Z-Score (BW+10%)]],TRUE)*100,"")</f>
        <v/>
      </c>
    </row>
    <row r="6374" spans="1:12" x14ac:dyDescent="0.35">
      <c r="A6374" s="3"/>
      <c r="B6374" s="2"/>
      <c r="C6374" s="2"/>
      <c r="D6374" s="2" t="b">
        <f>IF(AND(NOT(ISBLANK(Table1[[#This Row],[Fetal Sex (Male, Female or Unknown)]])),ISNUMBER(Table1[[#This Row],[Birthweight (grams)]]),ISNUMBER(Table1[[#This Row],[Gestation (days)]])),TRUE,FALSE)</f>
        <v>0</v>
      </c>
      <c r="E6374" s="2" t="str">
        <f>IF(Table1[[#This Row],[Is Data Valid]]=TRUE,IF(Table1[[#This Row],[Fetal Sex (Male, Female or Unknown)]]="Male",Backend!$C$6,IF(Table1[[#This Row],[Fetal Sex (Male, Female or Unknown)]]="Female",Backend!$C$7,IF(Table1[[#This Row],[Fetal Sex (Male, Female or Unknown)]]="Unknown",Backend!$C$8,"Error"))),"")</f>
        <v/>
      </c>
      <c r="F6374" s="8" t="str">
        <f>IF(Table1[[#This Row],[Is Data Valid]]=TRUE,EXP(0.578+0.332*((Table1[[#This Row],[Gestation (days)]]+0.5)/7)-0.00354*((Table1[[#This Row],[Gestation (days)]]+0.5)/7)^2)*Table1[[#This Row],[BW40_3705]],"")</f>
        <v/>
      </c>
      <c r="G6374" s="2" t="str">
        <f>IF(Table1[[#This Row],[Is Data Valid]]=TRUE,((Table1[[#This Row],[Birthweight (grams)]]/Table1[[#This Row],[BW_GA]])-1)/(Backend!$B$4/100*Table1[[#This Row],[BW40_3705]]),"")</f>
        <v/>
      </c>
      <c r="H6374" s="7" t="str">
        <f>IF(Table1[[#This Row],[Is Data Valid]]=TRUE,((Table1[[#This Row],[Birthweight (grams)]]*0.9/Table1[[#This Row],[BW_GA]])-1)/(Backend!$B$4/100*Table1[[#This Row],[BW40_3705]]),"")</f>
        <v/>
      </c>
      <c r="I6374" s="7" t="str">
        <f>IF(Table1[[#This Row],[Is Data Valid]]=TRUE,((Table1[[#This Row],[Birthweight (grams)]]*1.1/Table1[[#This Row],[BW_GA]])-1)/(Backend!$B$4/100*Table1[[#This Row],[BW40_3705]]),"")</f>
        <v/>
      </c>
      <c r="J6374" s="7" t="str">
        <f>IF(Table1[[#This Row],[Is Data Valid]]=TRUE,_xlfn.NORM.S.DIST(Table1[[#This Row],[Birthweight Z-Score]],TRUE)*100,"")</f>
        <v/>
      </c>
      <c r="K6374" s="7" t="str">
        <f>IF(Table1[[#This Row],[Is Data Valid]]=TRUE,_xlfn.NORM.S.DIST(Table1[[#This Row],[Birthweight Z-Score (BW-10%)]],TRUE)*100,"")</f>
        <v/>
      </c>
      <c r="L6374" s="7" t="str">
        <f>IF(Table1[[#This Row],[Is Data Valid]]=TRUE,_xlfn.NORM.S.DIST(Table1[[#This Row],[Birthweight Z-Score (BW+10%)]],TRUE)*100,"")</f>
        <v/>
      </c>
    </row>
    <row r="6375" spans="1:12" x14ac:dyDescent="0.35">
      <c r="A6375" s="3"/>
      <c r="B6375" s="2"/>
      <c r="C6375" s="2"/>
      <c r="D6375" s="2" t="b">
        <f>IF(AND(NOT(ISBLANK(Table1[[#This Row],[Fetal Sex (Male, Female or Unknown)]])),ISNUMBER(Table1[[#This Row],[Birthweight (grams)]]),ISNUMBER(Table1[[#This Row],[Gestation (days)]])),TRUE,FALSE)</f>
        <v>0</v>
      </c>
      <c r="E6375" s="2" t="str">
        <f>IF(Table1[[#This Row],[Is Data Valid]]=TRUE,IF(Table1[[#This Row],[Fetal Sex (Male, Female or Unknown)]]="Male",Backend!$C$6,IF(Table1[[#This Row],[Fetal Sex (Male, Female or Unknown)]]="Female",Backend!$C$7,IF(Table1[[#This Row],[Fetal Sex (Male, Female or Unknown)]]="Unknown",Backend!$C$8,"Error"))),"")</f>
        <v/>
      </c>
      <c r="F6375" s="8" t="str">
        <f>IF(Table1[[#This Row],[Is Data Valid]]=TRUE,EXP(0.578+0.332*((Table1[[#This Row],[Gestation (days)]]+0.5)/7)-0.00354*((Table1[[#This Row],[Gestation (days)]]+0.5)/7)^2)*Table1[[#This Row],[BW40_3705]],"")</f>
        <v/>
      </c>
      <c r="G6375" s="2" t="str">
        <f>IF(Table1[[#This Row],[Is Data Valid]]=TRUE,((Table1[[#This Row],[Birthweight (grams)]]/Table1[[#This Row],[BW_GA]])-1)/(Backend!$B$4/100*Table1[[#This Row],[BW40_3705]]),"")</f>
        <v/>
      </c>
      <c r="H6375" s="7" t="str">
        <f>IF(Table1[[#This Row],[Is Data Valid]]=TRUE,((Table1[[#This Row],[Birthweight (grams)]]*0.9/Table1[[#This Row],[BW_GA]])-1)/(Backend!$B$4/100*Table1[[#This Row],[BW40_3705]]),"")</f>
        <v/>
      </c>
      <c r="I6375" s="7" t="str">
        <f>IF(Table1[[#This Row],[Is Data Valid]]=TRUE,((Table1[[#This Row],[Birthweight (grams)]]*1.1/Table1[[#This Row],[BW_GA]])-1)/(Backend!$B$4/100*Table1[[#This Row],[BW40_3705]]),"")</f>
        <v/>
      </c>
      <c r="J6375" s="7" t="str">
        <f>IF(Table1[[#This Row],[Is Data Valid]]=TRUE,_xlfn.NORM.S.DIST(Table1[[#This Row],[Birthweight Z-Score]],TRUE)*100,"")</f>
        <v/>
      </c>
      <c r="K6375" s="7" t="str">
        <f>IF(Table1[[#This Row],[Is Data Valid]]=TRUE,_xlfn.NORM.S.DIST(Table1[[#This Row],[Birthweight Z-Score (BW-10%)]],TRUE)*100,"")</f>
        <v/>
      </c>
      <c r="L6375" s="7" t="str">
        <f>IF(Table1[[#This Row],[Is Data Valid]]=TRUE,_xlfn.NORM.S.DIST(Table1[[#This Row],[Birthweight Z-Score (BW+10%)]],TRUE)*100,"")</f>
        <v/>
      </c>
    </row>
    <row r="6376" spans="1:12" x14ac:dyDescent="0.35">
      <c r="A6376" s="3"/>
      <c r="B6376" s="2"/>
      <c r="C6376" s="2"/>
      <c r="D6376" s="2" t="b">
        <f>IF(AND(NOT(ISBLANK(Table1[[#This Row],[Fetal Sex (Male, Female or Unknown)]])),ISNUMBER(Table1[[#This Row],[Birthweight (grams)]]),ISNUMBER(Table1[[#This Row],[Gestation (days)]])),TRUE,FALSE)</f>
        <v>0</v>
      </c>
      <c r="E6376" s="2" t="str">
        <f>IF(Table1[[#This Row],[Is Data Valid]]=TRUE,IF(Table1[[#This Row],[Fetal Sex (Male, Female or Unknown)]]="Male",Backend!$C$6,IF(Table1[[#This Row],[Fetal Sex (Male, Female or Unknown)]]="Female",Backend!$C$7,IF(Table1[[#This Row],[Fetal Sex (Male, Female or Unknown)]]="Unknown",Backend!$C$8,"Error"))),"")</f>
        <v/>
      </c>
      <c r="F6376" s="8" t="str">
        <f>IF(Table1[[#This Row],[Is Data Valid]]=TRUE,EXP(0.578+0.332*((Table1[[#This Row],[Gestation (days)]]+0.5)/7)-0.00354*((Table1[[#This Row],[Gestation (days)]]+0.5)/7)^2)*Table1[[#This Row],[BW40_3705]],"")</f>
        <v/>
      </c>
      <c r="G6376" s="2" t="str">
        <f>IF(Table1[[#This Row],[Is Data Valid]]=TRUE,((Table1[[#This Row],[Birthweight (grams)]]/Table1[[#This Row],[BW_GA]])-1)/(Backend!$B$4/100*Table1[[#This Row],[BW40_3705]]),"")</f>
        <v/>
      </c>
      <c r="H6376" s="7" t="str">
        <f>IF(Table1[[#This Row],[Is Data Valid]]=TRUE,((Table1[[#This Row],[Birthweight (grams)]]*0.9/Table1[[#This Row],[BW_GA]])-1)/(Backend!$B$4/100*Table1[[#This Row],[BW40_3705]]),"")</f>
        <v/>
      </c>
      <c r="I6376" s="7" t="str">
        <f>IF(Table1[[#This Row],[Is Data Valid]]=TRUE,((Table1[[#This Row],[Birthweight (grams)]]*1.1/Table1[[#This Row],[BW_GA]])-1)/(Backend!$B$4/100*Table1[[#This Row],[BW40_3705]]),"")</f>
        <v/>
      </c>
      <c r="J6376" s="7" t="str">
        <f>IF(Table1[[#This Row],[Is Data Valid]]=TRUE,_xlfn.NORM.S.DIST(Table1[[#This Row],[Birthweight Z-Score]],TRUE)*100,"")</f>
        <v/>
      </c>
      <c r="K6376" s="7" t="str">
        <f>IF(Table1[[#This Row],[Is Data Valid]]=TRUE,_xlfn.NORM.S.DIST(Table1[[#This Row],[Birthweight Z-Score (BW-10%)]],TRUE)*100,"")</f>
        <v/>
      </c>
      <c r="L6376" s="7" t="str">
        <f>IF(Table1[[#This Row],[Is Data Valid]]=TRUE,_xlfn.NORM.S.DIST(Table1[[#This Row],[Birthweight Z-Score (BW+10%)]],TRUE)*100,"")</f>
        <v/>
      </c>
    </row>
    <row r="6377" spans="1:12" x14ac:dyDescent="0.35">
      <c r="A6377" s="3"/>
      <c r="B6377" s="2"/>
      <c r="C6377" s="2"/>
      <c r="D6377" s="2" t="b">
        <f>IF(AND(NOT(ISBLANK(Table1[[#This Row],[Fetal Sex (Male, Female or Unknown)]])),ISNUMBER(Table1[[#This Row],[Birthweight (grams)]]),ISNUMBER(Table1[[#This Row],[Gestation (days)]])),TRUE,FALSE)</f>
        <v>0</v>
      </c>
      <c r="E6377" s="2" t="str">
        <f>IF(Table1[[#This Row],[Is Data Valid]]=TRUE,IF(Table1[[#This Row],[Fetal Sex (Male, Female or Unknown)]]="Male",Backend!$C$6,IF(Table1[[#This Row],[Fetal Sex (Male, Female or Unknown)]]="Female",Backend!$C$7,IF(Table1[[#This Row],[Fetal Sex (Male, Female or Unknown)]]="Unknown",Backend!$C$8,"Error"))),"")</f>
        <v/>
      </c>
      <c r="F6377" s="8" t="str">
        <f>IF(Table1[[#This Row],[Is Data Valid]]=TRUE,EXP(0.578+0.332*((Table1[[#This Row],[Gestation (days)]]+0.5)/7)-0.00354*((Table1[[#This Row],[Gestation (days)]]+0.5)/7)^2)*Table1[[#This Row],[BW40_3705]],"")</f>
        <v/>
      </c>
      <c r="G6377" s="2" t="str">
        <f>IF(Table1[[#This Row],[Is Data Valid]]=TRUE,((Table1[[#This Row],[Birthweight (grams)]]/Table1[[#This Row],[BW_GA]])-1)/(Backend!$B$4/100*Table1[[#This Row],[BW40_3705]]),"")</f>
        <v/>
      </c>
      <c r="H6377" s="7" t="str">
        <f>IF(Table1[[#This Row],[Is Data Valid]]=TRUE,((Table1[[#This Row],[Birthweight (grams)]]*0.9/Table1[[#This Row],[BW_GA]])-1)/(Backend!$B$4/100*Table1[[#This Row],[BW40_3705]]),"")</f>
        <v/>
      </c>
      <c r="I6377" s="7" t="str">
        <f>IF(Table1[[#This Row],[Is Data Valid]]=TRUE,((Table1[[#This Row],[Birthweight (grams)]]*1.1/Table1[[#This Row],[BW_GA]])-1)/(Backend!$B$4/100*Table1[[#This Row],[BW40_3705]]),"")</f>
        <v/>
      </c>
      <c r="J6377" s="7" t="str">
        <f>IF(Table1[[#This Row],[Is Data Valid]]=TRUE,_xlfn.NORM.S.DIST(Table1[[#This Row],[Birthweight Z-Score]],TRUE)*100,"")</f>
        <v/>
      </c>
      <c r="K6377" s="7" t="str">
        <f>IF(Table1[[#This Row],[Is Data Valid]]=TRUE,_xlfn.NORM.S.DIST(Table1[[#This Row],[Birthweight Z-Score (BW-10%)]],TRUE)*100,"")</f>
        <v/>
      </c>
      <c r="L6377" s="7" t="str">
        <f>IF(Table1[[#This Row],[Is Data Valid]]=TRUE,_xlfn.NORM.S.DIST(Table1[[#This Row],[Birthweight Z-Score (BW+10%)]],TRUE)*100,"")</f>
        <v/>
      </c>
    </row>
    <row r="6378" spans="1:12" x14ac:dyDescent="0.35">
      <c r="A6378" s="3"/>
      <c r="B6378" s="2"/>
      <c r="C6378" s="2"/>
      <c r="D6378" s="2" t="b">
        <f>IF(AND(NOT(ISBLANK(Table1[[#This Row],[Fetal Sex (Male, Female or Unknown)]])),ISNUMBER(Table1[[#This Row],[Birthweight (grams)]]),ISNUMBER(Table1[[#This Row],[Gestation (days)]])),TRUE,FALSE)</f>
        <v>0</v>
      </c>
      <c r="E6378" s="2" t="str">
        <f>IF(Table1[[#This Row],[Is Data Valid]]=TRUE,IF(Table1[[#This Row],[Fetal Sex (Male, Female or Unknown)]]="Male",Backend!$C$6,IF(Table1[[#This Row],[Fetal Sex (Male, Female or Unknown)]]="Female",Backend!$C$7,IF(Table1[[#This Row],[Fetal Sex (Male, Female or Unknown)]]="Unknown",Backend!$C$8,"Error"))),"")</f>
        <v/>
      </c>
      <c r="F6378" s="8" t="str">
        <f>IF(Table1[[#This Row],[Is Data Valid]]=TRUE,EXP(0.578+0.332*((Table1[[#This Row],[Gestation (days)]]+0.5)/7)-0.00354*((Table1[[#This Row],[Gestation (days)]]+0.5)/7)^2)*Table1[[#This Row],[BW40_3705]],"")</f>
        <v/>
      </c>
      <c r="G6378" s="2" t="str">
        <f>IF(Table1[[#This Row],[Is Data Valid]]=TRUE,((Table1[[#This Row],[Birthweight (grams)]]/Table1[[#This Row],[BW_GA]])-1)/(Backend!$B$4/100*Table1[[#This Row],[BW40_3705]]),"")</f>
        <v/>
      </c>
      <c r="H6378" s="7" t="str">
        <f>IF(Table1[[#This Row],[Is Data Valid]]=TRUE,((Table1[[#This Row],[Birthweight (grams)]]*0.9/Table1[[#This Row],[BW_GA]])-1)/(Backend!$B$4/100*Table1[[#This Row],[BW40_3705]]),"")</f>
        <v/>
      </c>
      <c r="I6378" s="7" t="str">
        <f>IF(Table1[[#This Row],[Is Data Valid]]=TRUE,((Table1[[#This Row],[Birthweight (grams)]]*1.1/Table1[[#This Row],[BW_GA]])-1)/(Backend!$B$4/100*Table1[[#This Row],[BW40_3705]]),"")</f>
        <v/>
      </c>
      <c r="J6378" s="7" t="str">
        <f>IF(Table1[[#This Row],[Is Data Valid]]=TRUE,_xlfn.NORM.S.DIST(Table1[[#This Row],[Birthweight Z-Score]],TRUE)*100,"")</f>
        <v/>
      </c>
      <c r="K6378" s="7" t="str">
        <f>IF(Table1[[#This Row],[Is Data Valid]]=TRUE,_xlfn.NORM.S.DIST(Table1[[#This Row],[Birthweight Z-Score (BW-10%)]],TRUE)*100,"")</f>
        <v/>
      </c>
      <c r="L6378" s="7" t="str">
        <f>IF(Table1[[#This Row],[Is Data Valid]]=TRUE,_xlfn.NORM.S.DIST(Table1[[#This Row],[Birthweight Z-Score (BW+10%)]],TRUE)*100,"")</f>
        <v/>
      </c>
    </row>
    <row r="6379" spans="1:12" x14ac:dyDescent="0.35">
      <c r="A6379" s="3"/>
      <c r="B6379" s="2"/>
      <c r="C6379" s="2"/>
      <c r="D6379" s="2" t="b">
        <f>IF(AND(NOT(ISBLANK(Table1[[#This Row],[Fetal Sex (Male, Female or Unknown)]])),ISNUMBER(Table1[[#This Row],[Birthweight (grams)]]),ISNUMBER(Table1[[#This Row],[Gestation (days)]])),TRUE,FALSE)</f>
        <v>0</v>
      </c>
      <c r="E6379" s="2" t="str">
        <f>IF(Table1[[#This Row],[Is Data Valid]]=TRUE,IF(Table1[[#This Row],[Fetal Sex (Male, Female or Unknown)]]="Male",Backend!$C$6,IF(Table1[[#This Row],[Fetal Sex (Male, Female or Unknown)]]="Female",Backend!$C$7,IF(Table1[[#This Row],[Fetal Sex (Male, Female or Unknown)]]="Unknown",Backend!$C$8,"Error"))),"")</f>
        <v/>
      </c>
      <c r="F6379" s="8" t="str">
        <f>IF(Table1[[#This Row],[Is Data Valid]]=TRUE,EXP(0.578+0.332*((Table1[[#This Row],[Gestation (days)]]+0.5)/7)-0.00354*((Table1[[#This Row],[Gestation (days)]]+0.5)/7)^2)*Table1[[#This Row],[BW40_3705]],"")</f>
        <v/>
      </c>
      <c r="G6379" s="2" t="str">
        <f>IF(Table1[[#This Row],[Is Data Valid]]=TRUE,((Table1[[#This Row],[Birthweight (grams)]]/Table1[[#This Row],[BW_GA]])-1)/(Backend!$B$4/100*Table1[[#This Row],[BW40_3705]]),"")</f>
        <v/>
      </c>
      <c r="H6379" s="7" t="str">
        <f>IF(Table1[[#This Row],[Is Data Valid]]=TRUE,((Table1[[#This Row],[Birthweight (grams)]]*0.9/Table1[[#This Row],[BW_GA]])-1)/(Backend!$B$4/100*Table1[[#This Row],[BW40_3705]]),"")</f>
        <v/>
      </c>
      <c r="I6379" s="7" t="str">
        <f>IF(Table1[[#This Row],[Is Data Valid]]=TRUE,((Table1[[#This Row],[Birthweight (grams)]]*1.1/Table1[[#This Row],[BW_GA]])-1)/(Backend!$B$4/100*Table1[[#This Row],[BW40_3705]]),"")</f>
        <v/>
      </c>
      <c r="J6379" s="7" t="str">
        <f>IF(Table1[[#This Row],[Is Data Valid]]=TRUE,_xlfn.NORM.S.DIST(Table1[[#This Row],[Birthweight Z-Score]],TRUE)*100,"")</f>
        <v/>
      </c>
      <c r="K6379" s="7" t="str">
        <f>IF(Table1[[#This Row],[Is Data Valid]]=TRUE,_xlfn.NORM.S.DIST(Table1[[#This Row],[Birthweight Z-Score (BW-10%)]],TRUE)*100,"")</f>
        <v/>
      </c>
      <c r="L6379" s="7" t="str">
        <f>IF(Table1[[#This Row],[Is Data Valid]]=TRUE,_xlfn.NORM.S.DIST(Table1[[#This Row],[Birthweight Z-Score (BW+10%)]],TRUE)*100,"")</f>
        <v/>
      </c>
    </row>
    <row r="6380" spans="1:12" x14ac:dyDescent="0.35">
      <c r="A6380" s="3"/>
      <c r="B6380" s="2"/>
      <c r="C6380" s="2"/>
      <c r="D6380" s="2" t="b">
        <f>IF(AND(NOT(ISBLANK(Table1[[#This Row],[Fetal Sex (Male, Female or Unknown)]])),ISNUMBER(Table1[[#This Row],[Birthweight (grams)]]),ISNUMBER(Table1[[#This Row],[Gestation (days)]])),TRUE,FALSE)</f>
        <v>0</v>
      </c>
      <c r="E6380" s="2" t="str">
        <f>IF(Table1[[#This Row],[Is Data Valid]]=TRUE,IF(Table1[[#This Row],[Fetal Sex (Male, Female or Unknown)]]="Male",Backend!$C$6,IF(Table1[[#This Row],[Fetal Sex (Male, Female or Unknown)]]="Female",Backend!$C$7,IF(Table1[[#This Row],[Fetal Sex (Male, Female or Unknown)]]="Unknown",Backend!$C$8,"Error"))),"")</f>
        <v/>
      </c>
      <c r="F6380" s="8" t="str">
        <f>IF(Table1[[#This Row],[Is Data Valid]]=TRUE,EXP(0.578+0.332*((Table1[[#This Row],[Gestation (days)]]+0.5)/7)-0.00354*((Table1[[#This Row],[Gestation (days)]]+0.5)/7)^2)*Table1[[#This Row],[BW40_3705]],"")</f>
        <v/>
      </c>
      <c r="G6380" s="2" t="str">
        <f>IF(Table1[[#This Row],[Is Data Valid]]=TRUE,((Table1[[#This Row],[Birthweight (grams)]]/Table1[[#This Row],[BW_GA]])-1)/(Backend!$B$4/100*Table1[[#This Row],[BW40_3705]]),"")</f>
        <v/>
      </c>
      <c r="H6380" s="7" t="str">
        <f>IF(Table1[[#This Row],[Is Data Valid]]=TRUE,((Table1[[#This Row],[Birthweight (grams)]]*0.9/Table1[[#This Row],[BW_GA]])-1)/(Backend!$B$4/100*Table1[[#This Row],[BW40_3705]]),"")</f>
        <v/>
      </c>
      <c r="I6380" s="7" t="str">
        <f>IF(Table1[[#This Row],[Is Data Valid]]=TRUE,((Table1[[#This Row],[Birthweight (grams)]]*1.1/Table1[[#This Row],[BW_GA]])-1)/(Backend!$B$4/100*Table1[[#This Row],[BW40_3705]]),"")</f>
        <v/>
      </c>
      <c r="J6380" s="7" t="str">
        <f>IF(Table1[[#This Row],[Is Data Valid]]=TRUE,_xlfn.NORM.S.DIST(Table1[[#This Row],[Birthweight Z-Score]],TRUE)*100,"")</f>
        <v/>
      </c>
      <c r="K6380" s="7" t="str">
        <f>IF(Table1[[#This Row],[Is Data Valid]]=TRUE,_xlfn.NORM.S.DIST(Table1[[#This Row],[Birthweight Z-Score (BW-10%)]],TRUE)*100,"")</f>
        <v/>
      </c>
      <c r="L6380" s="7" t="str">
        <f>IF(Table1[[#This Row],[Is Data Valid]]=TRUE,_xlfn.NORM.S.DIST(Table1[[#This Row],[Birthweight Z-Score (BW+10%)]],TRUE)*100,"")</f>
        <v/>
      </c>
    </row>
    <row r="6381" spans="1:12" x14ac:dyDescent="0.35">
      <c r="A6381" s="3"/>
      <c r="B6381" s="2"/>
      <c r="C6381" s="2"/>
      <c r="D6381" s="2" t="b">
        <f>IF(AND(NOT(ISBLANK(Table1[[#This Row],[Fetal Sex (Male, Female or Unknown)]])),ISNUMBER(Table1[[#This Row],[Birthweight (grams)]]),ISNUMBER(Table1[[#This Row],[Gestation (days)]])),TRUE,FALSE)</f>
        <v>0</v>
      </c>
      <c r="E6381" s="2" t="str">
        <f>IF(Table1[[#This Row],[Is Data Valid]]=TRUE,IF(Table1[[#This Row],[Fetal Sex (Male, Female or Unknown)]]="Male",Backend!$C$6,IF(Table1[[#This Row],[Fetal Sex (Male, Female or Unknown)]]="Female",Backend!$C$7,IF(Table1[[#This Row],[Fetal Sex (Male, Female or Unknown)]]="Unknown",Backend!$C$8,"Error"))),"")</f>
        <v/>
      </c>
      <c r="F6381" s="8" t="str">
        <f>IF(Table1[[#This Row],[Is Data Valid]]=TRUE,EXP(0.578+0.332*((Table1[[#This Row],[Gestation (days)]]+0.5)/7)-0.00354*((Table1[[#This Row],[Gestation (days)]]+0.5)/7)^2)*Table1[[#This Row],[BW40_3705]],"")</f>
        <v/>
      </c>
      <c r="G6381" s="2" t="str">
        <f>IF(Table1[[#This Row],[Is Data Valid]]=TRUE,((Table1[[#This Row],[Birthweight (grams)]]/Table1[[#This Row],[BW_GA]])-1)/(Backend!$B$4/100*Table1[[#This Row],[BW40_3705]]),"")</f>
        <v/>
      </c>
      <c r="H6381" s="7" t="str">
        <f>IF(Table1[[#This Row],[Is Data Valid]]=TRUE,((Table1[[#This Row],[Birthweight (grams)]]*0.9/Table1[[#This Row],[BW_GA]])-1)/(Backend!$B$4/100*Table1[[#This Row],[BW40_3705]]),"")</f>
        <v/>
      </c>
      <c r="I6381" s="7" t="str">
        <f>IF(Table1[[#This Row],[Is Data Valid]]=TRUE,((Table1[[#This Row],[Birthweight (grams)]]*1.1/Table1[[#This Row],[BW_GA]])-1)/(Backend!$B$4/100*Table1[[#This Row],[BW40_3705]]),"")</f>
        <v/>
      </c>
      <c r="J6381" s="7" t="str">
        <f>IF(Table1[[#This Row],[Is Data Valid]]=TRUE,_xlfn.NORM.S.DIST(Table1[[#This Row],[Birthweight Z-Score]],TRUE)*100,"")</f>
        <v/>
      </c>
      <c r="K6381" s="7" t="str">
        <f>IF(Table1[[#This Row],[Is Data Valid]]=TRUE,_xlfn.NORM.S.DIST(Table1[[#This Row],[Birthweight Z-Score (BW-10%)]],TRUE)*100,"")</f>
        <v/>
      </c>
      <c r="L6381" s="7" t="str">
        <f>IF(Table1[[#This Row],[Is Data Valid]]=TRUE,_xlfn.NORM.S.DIST(Table1[[#This Row],[Birthweight Z-Score (BW+10%)]],TRUE)*100,"")</f>
        <v/>
      </c>
    </row>
    <row r="6382" spans="1:12" x14ac:dyDescent="0.35">
      <c r="A6382" s="3"/>
      <c r="B6382" s="2"/>
      <c r="C6382" s="2"/>
      <c r="D6382" s="2" t="b">
        <f>IF(AND(NOT(ISBLANK(Table1[[#This Row],[Fetal Sex (Male, Female or Unknown)]])),ISNUMBER(Table1[[#This Row],[Birthweight (grams)]]),ISNUMBER(Table1[[#This Row],[Gestation (days)]])),TRUE,FALSE)</f>
        <v>0</v>
      </c>
      <c r="E6382" s="2" t="str">
        <f>IF(Table1[[#This Row],[Is Data Valid]]=TRUE,IF(Table1[[#This Row],[Fetal Sex (Male, Female or Unknown)]]="Male",Backend!$C$6,IF(Table1[[#This Row],[Fetal Sex (Male, Female or Unknown)]]="Female",Backend!$C$7,IF(Table1[[#This Row],[Fetal Sex (Male, Female or Unknown)]]="Unknown",Backend!$C$8,"Error"))),"")</f>
        <v/>
      </c>
      <c r="F6382" s="8" t="str">
        <f>IF(Table1[[#This Row],[Is Data Valid]]=TRUE,EXP(0.578+0.332*((Table1[[#This Row],[Gestation (days)]]+0.5)/7)-0.00354*((Table1[[#This Row],[Gestation (days)]]+0.5)/7)^2)*Table1[[#This Row],[BW40_3705]],"")</f>
        <v/>
      </c>
      <c r="G6382" s="2" t="str">
        <f>IF(Table1[[#This Row],[Is Data Valid]]=TRUE,((Table1[[#This Row],[Birthweight (grams)]]/Table1[[#This Row],[BW_GA]])-1)/(Backend!$B$4/100*Table1[[#This Row],[BW40_3705]]),"")</f>
        <v/>
      </c>
      <c r="H6382" s="7" t="str">
        <f>IF(Table1[[#This Row],[Is Data Valid]]=TRUE,((Table1[[#This Row],[Birthweight (grams)]]*0.9/Table1[[#This Row],[BW_GA]])-1)/(Backend!$B$4/100*Table1[[#This Row],[BW40_3705]]),"")</f>
        <v/>
      </c>
      <c r="I6382" s="7" t="str">
        <f>IF(Table1[[#This Row],[Is Data Valid]]=TRUE,((Table1[[#This Row],[Birthweight (grams)]]*1.1/Table1[[#This Row],[BW_GA]])-1)/(Backend!$B$4/100*Table1[[#This Row],[BW40_3705]]),"")</f>
        <v/>
      </c>
      <c r="J6382" s="7" t="str">
        <f>IF(Table1[[#This Row],[Is Data Valid]]=TRUE,_xlfn.NORM.S.DIST(Table1[[#This Row],[Birthweight Z-Score]],TRUE)*100,"")</f>
        <v/>
      </c>
      <c r="K6382" s="7" t="str">
        <f>IF(Table1[[#This Row],[Is Data Valid]]=TRUE,_xlfn.NORM.S.DIST(Table1[[#This Row],[Birthweight Z-Score (BW-10%)]],TRUE)*100,"")</f>
        <v/>
      </c>
      <c r="L6382" s="7" t="str">
        <f>IF(Table1[[#This Row],[Is Data Valid]]=TRUE,_xlfn.NORM.S.DIST(Table1[[#This Row],[Birthweight Z-Score (BW+10%)]],TRUE)*100,"")</f>
        <v/>
      </c>
    </row>
    <row r="6383" spans="1:12" x14ac:dyDescent="0.35">
      <c r="A6383" s="3"/>
      <c r="B6383" s="2"/>
      <c r="C6383" s="2"/>
      <c r="D6383" s="2" t="b">
        <f>IF(AND(NOT(ISBLANK(Table1[[#This Row],[Fetal Sex (Male, Female or Unknown)]])),ISNUMBER(Table1[[#This Row],[Birthweight (grams)]]),ISNUMBER(Table1[[#This Row],[Gestation (days)]])),TRUE,FALSE)</f>
        <v>0</v>
      </c>
      <c r="E6383" s="2" t="str">
        <f>IF(Table1[[#This Row],[Is Data Valid]]=TRUE,IF(Table1[[#This Row],[Fetal Sex (Male, Female or Unknown)]]="Male",Backend!$C$6,IF(Table1[[#This Row],[Fetal Sex (Male, Female or Unknown)]]="Female",Backend!$C$7,IF(Table1[[#This Row],[Fetal Sex (Male, Female or Unknown)]]="Unknown",Backend!$C$8,"Error"))),"")</f>
        <v/>
      </c>
      <c r="F6383" s="8" t="str">
        <f>IF(Table1[[#This Row],[Is Data Valid]]=TRUE,EXP(0.578+0.332*((Table1[[#This Row],[Gestation (days)]]+0.5)/7)-0.00354*((Table1[[#This Row],[Gestation (days)]]+0.5)/7)^2)*Table1[[#This Row],[BW40_3705]],"")</f>
        <v/>
      </c>
      <c r="G6383" s="2" t="str">
        <f>IF(Table1[[#This Row],[Is Data Valid]]=TRUE,((Table1[[#This Row],[Birthweight (grams)]]/Table1[[#This Row],[BW_GA]])-1)/(Backend!$B$4/100*Table1[[#This Row],[BW40_3705]]),"")</f>
        <v/>
      </c>
      <c r="H6383" s="7" t="str">
        <f>IF(Table1[[#This Row],[Is Data Valid]]=TRUE,((Table1[[#This Row],[Birthweight (grams)]]*0.9/Table1[[#This Row],[BW_GA]])-1)/(Backend!$B$4/100*Table1[[#This Row],[BW40_3705]]),"")</f>
        <v/>
      </c>
      <c r="I6383" s="7" t="str">
        <f>IF(Table1[[#This Row],[Is Data Valid]]=TRUE,((Table1[[#This Row],[Birthweight (grams)]]*1.1/Table1[[#This Row],[BW_GA]])-1)/(Backend!$B$4/100*Table1[[#This Row],[BW40_3705]]),"")</f>
        <v/>
      </c>
      <c r="J6383" s="7" t="str">
        <f>IF(Table1[[#This Row],[Is Data Valid]]=TRUE,_xlfn.NORM.S.DIST(Table1[[#This Row],[Birthweight Z-Score]],TRUE)*100,"")</f>
        <v/>
      </c>
      <c r="K6383" s="7" t="str">
        <f>IF(Table1[[#This Row],[Is Data Valid]]=TRUE,_xlfn.NORM.S.DIST(Table1[[#This Row],[Birthweight Z-Score (BW-10%)]],TRUE)*100,"")</f>
        <v/>
      </c>
      <c r="L6383" s="7" t="str">
        <f>IF(Table1[[#This Row],[Is Data Valid]]=TRUE,_xlfn.NORM.S.DIST(Table1[[#This Row],[Birthweight Z-Score (BW+10%)]],TRUE)*100,"")</f>
        <v/>
      </c>
    </row>
    <row r="6384" spans="1:12" x14ac:dyDescent="0.35">
      <c r="A6384" s="3"/>
      <c r="B6384" s="2"/>
      <c r="C6384" s="2"/>
      <c r="D6384" s="2" t="b">
        <f>IF(AND(NOT(ISBLANK(Table1[[#This Row],[Fetal Sex (Male, Female or Unknown)]])),ISNUMBER(Table1[[#This Row],[Birthweight (grams)]]),ISNUMBER(Table1[[#This Row],[Gestation (days)]])),TRUE,FALSE)</f>
        <v>0</v>
      </c>
      <c r="E6384" s="2" t="str">
        <f>IF(Table1[[#This Row],[Is Data Valid]]=TRUE,IF(Table1[[#This Row],[Fetal Sex (Male, Female or Unknown)]]="Male",Backend!$C$6,IF(Table1[[#This Row],[Fetal Sex (Male, Female or Unknown)]]="Female",Backend!$C$7,IF(Table1[[#This Row],[Fetal Sex (Male, Female or Unknown)]]="Unknown",Backend!$C$8,"Error"))),"")</f>
        <v/>
      </c>
      <c r="F6384" s="8" t="str">
        <f>IF(Table1[[#This Row],[Is Data Valid]]=TRUE,EXP(0.578+0.332*((Table1[[#This Row],[Gestation (days)]]+0.5)/7)-0.00354*((Table1[[#This Row],[Gestation (days)]]+0.5)/7)^2)*Table1[[#This Row],[BW40_3705]],"")</f>
        <v/>
      </c>
      <c r="G6384" s="2" t="str">
        <f>IF(Table1[[#This Row],[Is Data Valid]]=TRUE,((Table1[[#This Row],[Birthweight (grams)]]/Table1[[#This Row],[BW_GA]])-1)/(Backend!$B$4/100*Table1[[#This Row],[BW40_3705]]),"")</f>
        <v/>
      </c>
      <c r="H6384" s="7" t="str">
        <f>IF(Table1[[#This Row],[Is Data Valid]]=TRUE,((Table1[[#This Row],[Birthweight (grams)]]*0.9/Table1[[#This Row],[BW_GA]])-1)/(Backend!$B$4/100*Table1[[#This Row],[BW40_3705]]),"")</f>
        <v/>
      </c>
      <c r="I6384" s="7" t="str">
        <f>IF(Table1[[#This Row],[Is Data Valid]]=TRUE,((Table1[[#This Row],[Birthweight (grams)]]*1.1/Table1[[#This Row],[BW_GA]])-1)/(Backend!$B$4/100*Table1[[#This Row],[BW40_3705]]),"")</f>
        <v/>
      </c>
      <c r="J6384" s="7" t="str">
        <f>IF(Table1[[#This Row],[Is Data Valid]]=TRUE,_xlfn.NORM.S.DIST(Table1[[#This Row],[Birthweight Z-Score]],TRUE)*100,"")</f>
        <v/>
      </c>
      <c r="K6384" s="7" t="str">
        <f>IF(Table1[[#This Row],[Is Data Valid]]=TRUE,_xlfn.NORM.S.DIST(Table1[[#This Row],[Birthweight Z-Score (BW-10%)]],TRUE)*100,"")</f>
        <v/>
      </c>
      <c r="L6384" s="7" t="str">
        <f>IF(Table1[[#This Row],[Is Data Valid]]=TRUE,_xlfn.NORM.S.DIST(Table1[[#This Row],[Birthweight Z-Score (BW+10%)]],TRUE)*100,"")</f>
        <v/>
      </c>
    </row>
    <row r="6385" spans="1:12" x14ac:dyDescent="0.35">
      <c r="A6385" s="3"/>
      <c r="B6385" s="2"/>
      <c r="C6385" s="2"/>
      <c r="D6385" s="2" t="b">
        <f>IF(AND(NOT(ISBLANK(Table1[[#This Row],[Fetal Sex (Male, Female or Unknown)]])),ISNUMBER(Table1[[#This Row],[Birthweight (grams)]]),ISNUMBER(Table1[[#This Row],[Gestation (days)]])),TRUE,FALSE)</f>
        <v>0</v>
      </c>
      <c r="E6385" s="2" t="str">
        <f>IF(Table1[[#This Row],[Is Data Valid]]=TRUE,IF(Table1[[#This Row],[Fetal Sex (Male, Female or Unknown)]]="Male",Backend!$C$6,IF(Table1[[#This Row],[Fetal Sex (Male, Female or Unknown)]]="Female",Backend!$C$7,IF(Table1[[#This Row],[Fetal Sex (Male, Female or Unknown)]]="Unknown",Backend!$C$8,"Error"))),"")</f>
        <v/>
      </c>
      <c r="F6385" s="8" t="str">
        <f>IF(Table1[[#This Row],[Is Data Valid]]=TRUE,EXP(0.578+0.332*((Table1[[#This Row],[Gestation (days)]]+0.5)/7)-0.00354*((Table1[[#This Row],[Gestation (days)]]+0.5)/7)^2)*Table1[[#This Row],[BW40_3705]],"")</f>
        <v/>
      </c>
      <c r="G6385" s="2" t="str">
        <f>IF(Table1[[#This Row],[Is Data Valid]]=TRUE,((Table1[[#This Row],[Birthweight (grams)]]/Table1[[#This Row],[BW_GA]])-1)/(Backend!$B$4/100*Table1[[#This Row],[BW40_3705]]),"")</f>
        <v/>
      </c>
      <c r="H6385" s="7" t="str">
        <f>IF(Table1[[#This Row],[Is Data Valid]]=TRUE,((Table1[[#This Row],[Birthweight (grams)]]*0.9/Table1[[#This Row],[BW_GA]])-1)/(Backend!$B$4/100*Table1[[#This Row],[BW40_3705]]),"")</f>
        <v/>
      </c>
      <c r="I6385" s="7" t="str">
        <f>IF(Table1[[#This Row],[Is Data Valid]]=TRUE,((Table1[[#This Row],[Birthweight (grams)]]*1.1/Table1[[#This Row],[BW_GA]])-1)/(Backend!$B$4/100*Table1[[#This Row],[BW40_3705]]),"")</f>
        <v/>
      </c>
      <c r="J6385" s="7" t="str">
        <f>IF(Table1[[#This Row],[Is Data Valid]]=TRUE,_xlfn.NORM.S.DIST(Table1[[#This Row],[Birthweight Z-Score]],TRUE)*100,"")</f>
        <v/>
      </c>
      <c r="K6385" s="7" t="str">
        <f>IF(Table1[[#This Row],[Is Data Valid]]=TRUE,_xlfn.NORM.S.DIST(Table1[[#This Row],[Birthweight Z-Score (BW-10%)]],TRUE)*100,"")</f>
        <v/>
      </c>
      <c r="L6385" s="7" t="str">
        <f>IF(Table1[[#This Row],[Is Data Valid]]=TRUE,_xlfn.NORM.S.DIST(Table1[[#This Row],[Birthweight Z-Score (BW+10%)]],TRUE)*100,"")</f>
        <v/>
      </c>
    </row>
    <row r="6386" spans="1:12" x14ac:dyDescent="0.35">
      <c r="A6386" s="3"/>
      <c r="B6386" s="2"/>
      <c r="C6386" s="2"/>
      <c r="D6386" s="2" t="b">
        <f>IF(AND(NOT(ISBLANK(Table1[[#This Row],[Fetal Sex (Male, Female or Unknown)]])),ISNUMBER(Table1[[#This Row],[Birthweight (grams)]]),ISNUMBER(Table1[[#This Row],[Gestation (days)]])),TRUE,FALSE)</f>
        <v>0</v>
      </c>
      <c r="E6386" s="2" t="str">
        <f>IF(Table1[[#This Row],[Is Data Valid]]=TRUE,IF(Table1[[#This Row],[Fetal Sex (Male, Female or Unknown)]]="Male",Backend!$C$6,IF(Table1[[#This Row],[Fetal Sex (Male, Female or Unknown)]]="Female",Backend!$C$7,IF(Table1[[#This Row],[Fetal Sex (Male, Female or Unknown)]]="Unknown",Backend!$C$8,"Error"))),"")</f>
        <v/>
      </c>
      <c r="F6386" s="8" t="str">
        <f>IF(Table1[[#This Row],[Is Data Valid]]=TRUE,EXP(0.578+0.332*((Table1[[#This Row],[Gestation (days)]]+0.5)/7)-0.00354*((Table1[[#This Row],[Gestation (days)]]+0.5)/7)^2)*Table1[[#This Row],[BW40_3705]],"")</f>
        <v/>
      </c>
      <c r="G6386" s="2" t="str">
        <f>IF(Table1[[#This Row],[Is Data Valid]]=TRUE,((Table1[[#This Row],[Birthweight (grams)]]/Table1[[#This Row],[BW_GA]])-1)/(Backend!$B$4/100*Table1[[#This Row],[BW40_3705]]),"")</f>
        <v/>
      </c>
      <c r="H6386" s="7" t="str">
        <f>IF(Table1[[#This Row],[Is Data Valid]]=TRUE,((Table1[[#This Row],[Birthweight (grams)]]*0.9/Table1[[#This Row],[BW_GA]])-1)/(Backend!$B$4/100*Table1[[#This Row],[BW40_3705]]),"")</f>
        <v/>
      </c>
      <c r="I6386" s="7" t="str">
        <f>IF(Table1[[#This Row],[Is Data Valid]]=TRUE,((Table1[[#This Row],[Birthweight (grams)]]*1.1/Table1[[#This Row],[BW_GA]])-1)/(Backend!$B$4/100*Table1[[#This Row],[BW40_3705]]),"")</f>
        <v/>
      </c>
      <c r="J6386" s="7" t="str">
        <f>IF(Table1[[#This Row],[Is Data Valid]]=TRUE,_xlfn.NORM.S.DIST(Table1[[#This Row],[Birthweight Z-Score]],TRUE)*100,"")</f>
        <v/>
      </c>
      <c r="K6386" s="7" t="str">
        <f>IF(Table1[[#This Row],[Is Data Valid]]=TRUE,_xlfn.NORM.S.DIST(Table1[[#This Row],[Birthweight Z-Score (BW-10%)]],TRUE)*100,"")</f>
        <v/>
      </c>
      <c r="L6386" s="7" t="str">
        <f>IF(Table1[[#This Row],[Is Data Valid]]=TRUE,_xlfn.NORM.S.DIST(Table1[[#This Row],[Birthweight Z-Score (BW+10%)]],TRUE)*100,"")</f>
        <v/>
      </c>
    </row>
    <row r="6387" spans="1:12" x14ac:dyDescent="0.35">
      <c r="A6387" s="3"/>
      <c r="B6387" s="2"/>
      <c r="C6387" s="2"/>
      <c r="D6387" s="2" t="b">
        <f>IF(AND(NOT(ISBLANK(Table1[[#This Row],[Fetal Sex (Male, Female or Unknown)]])),ISNUMBER(Table1[[#This Row],[Birthweight (grams)]]),ISNUMBER(Table1[[#This Row],[Gestation (days)]])),TRUE,FALSE)</f>
        <v>0</v>
      </c>
      <c r="E6387" s="2" t="str">
        <f>IF(Table1[[#This Row],[Is Data Valid]]=TRUE,IF(Table1[[#This Row],[Fetal Sex (Male, Female or Unknown)]]="Male",Backend!$C$6,IF(Table1[[#This Row],[Fetal Sex (Male, Female or Unknown)]]="Female",Backend!$C$7,IF(Table1[[#This Row],[Fetal Sex (Male, Female or Unknown)]]="Unknown",Backend!$C$8,"Error"))),"")</f>
        <v/>
      </c>
      <c r="F6387" s="8" t="str">
        <f>IF(Table1[[#This Row],[Is Data Valid]]=TRUE,EXP(0.578+0.332*((Table1[[#This Row],[Gestation (days)]]+0.5)/7)-0.00354*((Table1[[#This Row],[Gestation (days)]]+0.5)/7)^2)*Table1[[#This Row],[BW40_3705]],"")</f>
        <v/>
      </c>
      <c r="G6387" s="2" t="str">
        <f>IF(Table1[[#This Row],[Is Data Valid]]=TRUE,((Table1[[#This Row],[Birthweight (grams)]]/Table1[[#This Row],[BW_GA]])-1)/(Backend!$B$4/100*Table1[[#This Row],[BW40_3705]]),"")</f>
        <v/>
      </c>
      <c r="H6387" s="7" t="str">
        <f>IF(Table1[[#This Row],[Is Data Valid]]=TRUE,((Table1[[#This Row],[Birthweight (grams)]]*0.9/Table1[[#This Row],[BW_GA]])-1)/(Backend!$B$4/100*Table1[[#This Row],[BW40_3705]]),"")</f>
        <v/>
      </c>
      <c r="I6387" s="7" t="str">
        <f>IF(Table1[[#This Row],[Is Data Valid]]=TRUE,((Table1[[#This Row],[Birthweight (grams)]]*1.1/Table1[[#This Row],[BW_GA]])-1)/(Backend!$B$4/100*Table1[[#This Row],[BW40_3705]]),"")</f>
        <v/>
      </c>
      <c r="J6387" s="7" t="str">
        <f>IF(Table1[[#This Row],[Is Data Valid]]=TRUE,_xlfn.NORM.S.DIST(Table1[[#This Row],[Birthweight Z-Score]],TRUE)*100,"")</f>
        <v/>
      </c>
      <c r="K6387" s="7" t="str">
        <f>IF(Table1[[#This Row],[Is Data Valid]]=TRUE,_xlfn.NORM.S.DIST(Table1[[#This Row],[Birthweight Z-Score (BW-10%)]],TRUE)*100,"")</f>
        <v/>
      </c>
      <c r="L6387" s="7" t="str">
        <f>IF(Table1[[#This Row],[Is Data Valid]]=TRUE,_xlfn.NORM.S.DIST(Table1[[#This Row],[Birthweight Z-Score (BW+10%)]],TRUE)*100,"")</f>
        <v/>
      </c>
    </row>
    <row r="6388" spans="1:12" x14ac:dyDescent="0.35">
      <c r="A6388" s="3"/>
      <c r="B6388" s="2"/>
      <c r="C6388" s="2"/>
      <c r="D6388" s="2" t="b">
        <f>IF(AND(NOT(ISBLANK(Table1[[#This Row],[Fetal Sex (Male, Female or Unknown)]])),ISNUMBER(Table1[[#This Row],[Birthweight (grams)]]),ISNUMBER(Table1[[#This Row],[Gestation (days)]])),TRUE,FALSE)</f>
        <v>0</v>
      </c>
      <c r="E6388" s="2" t="str">
        <f>IF(Table1[[#This Row],[Is Data Valid]]=TRUE,IF(Table1[[#This Row],[Fetal Sex (Male, Female or Unknown)]]="Male",Backend!$C$6,IF(Table1[[#This Row],[Fetal Sex (Male, Female or Unknown)]]="Female",Backend!$C$7,IF(Table1[[#This Row],[Fetal Sex (Male, Female or Unknown)]]="Unknown",Backend!$C$8,"Error"))),"")</f>
        <v/>
      </c>
      <c r="F6388" s="8" t="str">
        <f>IF(Table1[[#This Row],[Is Data Valid]]=TRUE,EXP(0.578+0.332*((Table1[[#This Row],[Gestation (days)]]+0.5)/7)-0.00354*((Table1[[#This Row],[Gestation (days)]]+0.5)/7)^2)*Table1[[#This Row],[BW40_3705]],"")</f>
        <v/>
      </c>
      <c r="G6388" s="2" t="str">
        <f>IF(Table1[[#This Row],[Is Data Valid]]=TRUE,((Table1[[#This Row],[Birthweight (grams)]]/Table1[[#This Row],[BW_GA]])-1)/(Backend!$B$4/100*Table1[[#This Row],[BW40_3705]]),"")</f>
        <v/>
      </c>
      <c r="H6388" s="7" t="str">
        <f>IF(Table1[[#This Row],[Is Data Valid]]=TRUE,((Table1[[#This Row],[Birthweight (grams)]]*0.9/Table1[[#This Row],[BW_GA]])-1)/(Backend!$B$4/100*Table1[[#This Row],[BW40_3705]]),"")</f>
        <v/>
      </c>
      <c r="I6388" s="7" t="str">
        <f>IF(Table1[[#This Row],[Is Data Valid]]=TRUE,((Table1[[#This Row],[Birthweight (grams)]]*1.1/Table1[[#This Row],[BW_GA]])-1)/(Backend!$B$4/100*Table1[[#This Row],[BW40_3705]]),"")</f>
        <v/>
      </c>
      <c r="J6388" s="7" t="str">
        <f>IF(Table1[[#This Row],[Is Data Valid]]=TRUE,_xlfn.NORM.S.DIST(Table1[[#This Row],[Birthweight Z-Score]],TRUE)*100,"")</f>
        <v/>
      </c>
      <c r="K6388" s="7" t="str">
        <f>IF(Table1[[#This Row],[Is Data Valid]]=TRUE,_xlfn.NORM.S.DIST(Table1[[#This Row],[Birthweight Z-Score (BW-10%)]],TRUE)*100,"")</f>
        <v/>
      </c>
      <c r="L6388" s="7" t="str">
        <f>IF(Table1[[#This Row],[Is Data Valid]]=TRUE,_xlfn.NORM.S.DIST(Table1[[#This Row],[Birthweight Z-Score (BW+10%)]],TRUE)*100,"")</f>
        <v/>
      </c>
    </row>
    <row r="6389" spans="1:12" x14ac:dyDescent="0.35">
      <c r="A6389" s="3"/>
      <c r="B6389" s="2"/>
      <c r="C6389" s="2"/>
      <c r="D6389" s="2" t="b">
        <f>IF(AND(NOT(ISBLANK(Table1[[#This Row],[Fetal Sex (Male, Female or Unknown)]])),ISNUMBER(Table1[[#This Row],[Birthweight (grams)]]),ISNUMBER(Table1[[#This Row],[Gestation (days)]])),TRUE,FALSE)</f>
        <v>0</v>
      </c>
      <c r="E6389" s="2" t="str">
        <f>IF(Table1[[#This Row],[Is Data Valid]]=TRUE,IF(Table1[[#This Row],[Fetal Sex (Male, Female or Unknown)]]="Male",Backend!$C$6,IF(Table1[[#This Row],[Fetal Sex (Male, Female or Unknown)]]="Female",Backend!$C$7,IF(Table1[[#This Row],[Fetal Sex (Male, Female or Unknown)]]="Unknown",Backend!$C$8,"Error"))),"")</f>
        <v/>
      </c>
      <c r="F6389" s="8" t="str">
        <f>IF(Table1[[#This Row],[Is Data Valid]]=TRUE,EXP(0.578+0.332*((Table1[[#This Row],[Gestation (days)]]+0.5)/7)-0.00354*((Table1[[#This Row],[Gestation (days)]]+0.5)/7)^2)*Table1[[#This Row],[BW40_3705]],"")</f>
        <v/>
      </c>
      <c r="G6389" s="2" t="str">
        <f>IF(Table1[[#This Row],[Is Data Valid]]=TRUE,((Table1[[#This Row],[Birthweight (grams)]]/Table1[[#This Row],[BW_GA]])-1)/(Backend!$B$4/100*Table1[[#This Row],[BW40_3705]]),"")</f>
        <v/>
      </c>
      <c r="H6389" s="7" t="str">
        <f>IF(Table1[[#This Row],[Is Data Valid]]=TRUE,((Table1[[#This Row],[Birthweight (grams)]]*0.9/Table1[[#This Row],[BW_GA]])-1)/(Backend!$B$4/100*Table1[[#This Row],[BW40_3705]]),"")</f>
        <v/>
      </c>
      <c r="I6389" s="7" t="str">
        <f>IF(Table1[[#This Row],[Is Data Valid]]=TRUE,((Table1[[#This Row],[Birthweight (grams)]]*1.1/Table1[[#This Row],[BW_GA]])-1)/(Backend!$B$4/100*Table1[[#This Row],[BW40_3705]]),"")</f>
        <v/>
      </c>
      <c r="J6389" s="7" t="str">
        <f>IF(Table1[[#This Row],[Is Data Valid]]=TRUE,_xlfn.NORM.S.DIST(Table1[[#This Row],[Birthweight Z-Score]],TRUE)*100,"")</f>
        <v/>
      </c>
      <c r="K6389" s="7" t="str">
        <f>IF(Table1[[#This Row],[Is Data Valid]]=TRUE,_xlfn.NORM.S.DIST(Table1[[#This Row],[Birthweight Z-Score (BW-10%)]],TRUE)*100,"")</f>
        <v/>
      </c>
      <c r="L6389" s="7" t="str">
        <f>IF(Table1[[#This Row],[Is Data Valid]]=TRUE,_xlfn.NORM.S.DIST(Table1[[#This Row],[Birthweight Z-Score (BW+10%)]],TRUE)*100,"")</f>
        <v/>
      </c>
    </row>
    <row r="6390" spans="1:12" x14ac:dyDescent="0.35">
      <c r="A6390" s="3"/>
      <c r="B6390" s="2"/>
      <c r="C6390" s="2"/>
      <c r="D6390" s="2" t="b">
        <f>IF(AND(NOT(ISBLANK(Table1[[#This Row],[Fetal Sex (Male, Female or Unknown)]])),ISNUMBER(Table1[[#This Row],[Birthweight (grams)]]),ISNUMBER(Table1[[#This Row],[Gestation (days)]])),TRUE,FALSE)</f>
        <v>0</v>
      </c>
      <c r="E6390" s="2" t="str">
        <f>IF(Table1[[#This Row],[Is Data Valid]]=TRUE,IF(Table1[[#This Row],[Fetal Sex (Male, Female or Unknown)]]="Male",Backend!$C$6,IF(Table1[[#This Row],[Fetal Sex (Male, Female or Unknown)]]="Female",Backend!$C$7,IF(Table1[[#This Row],[Fetal Sex (Male, Female or Unknown)]]="Unknown",Backend!$C$8,"Error"))),"")</f>
        <v/>
      </c>
      <c r="F6390" s="8" t="str">
        <f>IF(Table1[[#This Row],[Is Data Valid]]=TRUE,EXP(0.578+0.332*((Table1[[#This Row],[Gestation (days)]]+0.5)/7)-0.00354*((Table1[[#This Row],[Gestation (days)]]+0.5)/7)^2)*Table1[[#This Row],[BW40_3705]],"")</f>
        <v/>
      </c>
      <c r="G6390" s="2" t="str">
        <f>IF(Table1[[#This Row],[Is Data Valid]]=TRUE,((Table1[[#This Row],[Birthweight (grams)]]/Table1[[#This Row],[BW_GA]])-1)/(Backend!$B$4/100*Table1[[#This Row],[BW40_3705]]),"")</f>
        <v/>
      </c>
      <c r="H6390" s="7" t="str">
        <f>IF(Table1[[#This Row],[Is Data Valid]]=TRUE,((Table1[[#This Row],[Birthweight (grams)]]*0.9/Table1[[#This Row],[BW_GA]])-1)/(Backend!$B$4/100*Table1[[#This Row],[BW40_3705]]),"")</f>
        <v/>
      </c>
      <c r="I6390" s="7" t="str">
        <f>IF(Table1[[#This Row],[Is Data Valid]]=TRUE,((Table1[[#This Row],[Birthweight (grams)]]*1.1/Table1[[#This Row],[BW_GA]])-1)/(Backend!$B$4/100*Table1[[#This Row],[BW40_3705]]),"")</f>
        <v/>
      </c>
      <c r="J6390" s="7" t="str">
        <f>IF(Table1[[#This Row],[Is Data Valid]]=TRUE,_xlfn.NORM.S.DIST(Table1[[#This Row],[Birthweight Z-Score]],TRUE)*100,"")</f>
        <v/>
      </c>
      <c r="K6390" s="7" t="str">
        <f>IF(Table1[[#This Row],[Is Data Valid]]=TRUE,_xlfn.NORM.S.DIST(Table1[[#This Row],[Birthweight Z-Score (BW-10%)]],TRUE)*100,"")</f>
        <v/>
      </c>
      <c r="L6390" s="7" t="str">
        <f>IF(Table1[[#This Row],[Is Data Valid]]=TRUE,_xlfn.NORM.S.DIST(Table1[[#This Row],[Birthweight Z-Score (BW+10%)]],TRUE)*100,"")</f>
        <v/>
      </c>
    </row>
    <row r="6391" spans="1:12" x14ac:dyDescent="0.35">
      <c r="A6391" s="3"/>
      <c r="B6391" s="2"/>
      <c r="C6391" s="2"/>
      <c r="D6391" s="2" t="b">
        <f>IF(AND(NOT(ISBLANK(Table1[[#This Row],[Fetal Sex (Male, Female or Unknown)]])),ISNUMBER(Table1[[#This Row],[Birthweight (grams)]]),ISNUMBER(Table1[[#This Row],[Gestation (days)]])),TRUE,FALSE)</f>
        <v>0</v>
      </c>
      <c r="E6391" s="2" t="str">
        <f>IF(Table1[[#This Row],[Is Data Valid]]=TRUE,IF(Table1[[#This Row],[Fetal Sex (Male, Female or Unknown)]]="Male",Backend!$C$6,IF(Table1[[#This Row],[Fetal Sex (Male, Female or Unknown)]]="Female",Backend!$C$7,IF(Table1[[#This Row],[Fetal Sex (Male, Female or Unknown)]]="Unknown",Backend!$C$8,"Error"))),"")</f>
        <v/>
      </c>
      <c r="F6391" s="8" t="str">
        <f>IF(Table1[[#This Row],[Is Data Valid]]=TRUE,EXP(0.578+0.332*((Table1[[#This Row],[Gestation (days)]]+0.5)/7)-0.00354*((Table1[[#This Row],[Gestation (days)]]+0.5)/7)^2)*Table1[[#This Row],[BW40_3705]],"")</f>
        <v/>
      </c>
      <c r="G6391" s="2" t="str">
        <f>IF(Table1[[#This Row],[Is Data Valid]]=TRUE,((Table1[[#This Row],[Birthweight (grams)]]/Table1[[#This Row],[BW_GA]])-1)/(Backend!$B$4/100*Table1[[#This Row],[BW40_3705]]),"")</f>
        <v/>
      </c>
      <c r="H6391" s="7" t="str">
        <f>IF(Table1[[#This Row],[Is Data Valid]]=TRUE,((Table1[[#This Row],[Birthweight (grams)]]*0.9/Table1[[#This Row],[BW_GA]])-1)/(Backend!$B$4/100*Table1[[#This Row],[BW40_3705]]),"")</f>
        <v/>
      </c>
      <c r="I6391" s="7" t="str">
        <f>IF(Table1[[#This Row],[Is Data Valid]]=TRUE,((Table1[[#This Row],[Birthweight (grams)]]*1.1/Table1[[#This Row],[BW_GA]])-1)/(Backend!$B$4/100*Table1[[#This Row],[BW40_3705]]),"")</f>
        <v/>
      </c>
      <c r="J6391" s="7" t="str">
        <f>IF(Table1[[#This Row],[Is Data Valid]]=TRUE,_xlfn.NORM.S.DIST(Table1[[#This Row],[Birthweight Z-Score]],TRUE)*100,"")</f>
        <v/>
      </c>
      <c r="K6391" s="7" t="str">
        <f>IF(Table1[[#This Row],[Is Data Valid]]=TRUE,_xlfn.NORM.S.DIST(Table1[[#This Row],[Birthweight Z-Score (BW-10%)]],TRUE)*100,"")</f>
        <v/>
      </c>
      <c r="L6391" s="7" t="str">
        <f>IF(Table1[[#This Row],[Is Data Valid]]=TRUE,_xlfn.NORM.S.DIST(Table1[[#This Row],[Birthweight Z-Score (BW+10%)]],TRUE)*100,"")</f>
        <v/>
      </c>
    </row>
    <row r="6392" spans="1:12" x14ac:dyDescent="0.35">
      <c r="A6392" s="3"/>
      <c r="B6392" s="2"/>
      <c r="C6392" s="2"/>
      <c r="D6392" s="2" t="b">
        <f>IF(AND(NOT(ISBLANK(Table1[[#This Row],[Fetal Sex (Male, Female or Unknown)]])),ISNUMBER(Table1[[#This Row],[Birthweight (grams)]]),ISNUMBER(Table1[[#This Row],[Gestation (days)]])),TRUE,FALSE)</f>
        <v>0</v>
      </c>
      <c r="E6392" s="2" t="str">
        <f>IF(Table1[[#This Row],[Is Data Valid]]=TRUE,IF(Table1[[#This Row],[Fetal Sex (Male, Female or Unknown)]]="Male",Backend!$C$6,IF(Table1[[#This Row],[Fetal Sex (Male, Female or Unknown)]]="Female",Backend!$C$7,IF(Table1[[#This Row],[Fetal Sex (Male, Female or Unknown)]]="Unknown",Backend!$C$8,"Error"))),"")</f>
        <v/>
      </c>
      <c r="F6392" s="8" t="str">
        <f>IF(Table1[[#This Row],[Is Data Valid]]=TRUE,EXP(0.578+0.332*((Table1[[#This Row],[Gestation (days)]]+0.5)/7)-0.00354*((Table1[[#This Row],[Gestation (days)]]+0.5)/7)^2)*Table1[[#This Row],[BW40_3705]],"")</f>
        <v/>
      </c>
      <c r="G6392" s="2" t="str">
        <f>IF(Table1[[#This Row],[Is Data Valid]]=TRUE,((Table1[[#This Row],[Birthweight (grams)]]/Table1[[#This Row],[BW_GA]])-1)/(Backend!$B$4/100*Table1[[#This Row],[BW40_3705]]),"")</f>
        <v/>
      </c>
      <c r="H6392" s="7" t="str">
        <f>IF(Table1[[#This Row],[Is Data Valid]]=TRUE,((Table1[[#This Row],[Birthweight (grams)]]*0.9/Table1[[#This Row],[BW_GA]])-1)/(Backend!$B$4/100*Table1[[#This Row],[BW40_3705]]),"")</f>
        <v/>
      </c>
      <c r="I6392" s="7" t="str">
        <f>IF(Table1[[#This Row],[Is Data Valid]]=TRUE,((Table1[[#This Row],[Birthweight (grams)]]*1.1/Table1[[#This Row],[BW_GA]])-1)/(Backend!$B$4/100*Table1[[#This Row],[BW40_3705]]),"")</f>
        <v/>
      </c>
      <c r="J6392" s="7" t="str">
        <f>IF(Table1[[#This Row],[Is Data Valid]]=TRUE,_xlfn.NORM.S.DIST(Table1[[#This Row],[Birthweight Z-Score]],TRUE)*100,"")</f>
        <v/>
      </c>
      <c r="K6392" s="7" t="str">
        <f>IF(Table1[[#This Row],[Is Data Valid]]=TRUE,_xlfn.NORM.S.DIST(Table1[[#This Row],[Birthweight Z-Score (BW-10%)]],TRUE)*100,"")</f>
        <v/>
      </c>
      <c r="L6392" s="7" t="str">
        <f>IF(Table1[[#This Row],[Is Data Valid]]=TRUE,_xlfn.NORM.S.DIST(Table1[[#This Row],[Birthweight Z-Score (BW+10%)]],TRUE)*100,"")</f>
        <v/>
      </c>
    </row>
    <row r="6393" spans="1:12" x14ac:dyDescent="0.35">
      <c r="A6393" s="3"/>
      <c r="B6393" s="2"/>
      <c r="C6393" s="2"/>
      <c r="D6393" s="2" t="b">
        <f>IF(AND(NOT(ISBLANK(Table1[[#This Row],[Fetal Sex (Male, Female or Unknown)]])),ISNUMBER(Table1[[#This Row],[Birthweight (grams)]]),ISNUMBER(Table1[[#This Row],[Gestation (days)]])),TRUE,FALSE)</f>
        <v>0</v>
      </c>
      <c r="E6393" s="2" t="str">
        <f>IF(Table1[[#This Row],[Is Data Valid]]=TRUE,IF(Table1[[#This Row],[Fetal Sex (Male, Female or Unknown)]]="Male",Backend!$C$6,IF(Table1[[#This Row],[Fetal Sex (Male, Female or Unknown)]]="Female",Backend!$C$7,IF(Table1[[#This Row],[Fetal Sex (Male, Female or Unknown)]]="Unknown",Backend!$C$8,"Error"))),"")</f>
        <v/>
      </c>
      <c r="F6393" s="8" t="str">
        <f>IF(Table1[[#This Row],[Is Data Valid]]=TRUE,EXP(0.578+0.332*((Table1[[#This Row],[Gestation (days)]]+0.5)/7)-0.00354*((Table1[[#This Row],[Gestation (days)]]+0.5)/7)^2)*Table1[[#This Row],[BW40_3705]],"")</f>
        <v/>
      </c>
      <c r="G6393" s="2" t="str">
        <f>IF(Table1[[#This Row],[Is Data Valid]]=TRUE,((Table1[[#This Row],[Birthweight (grams)]]/Table1[[#This Row],[BW_GA]])-1)/(Backend!$B$4/100*Table1[[#This Row],[BW40_3705]]),"")</f>
        <v/>
      </c>
      <c r="H6393" s="7" t="str">
        <f>IF(Table1[[#This Row],[Is Data Valid]]=TRUE,((Table1[[#This Row],[Birthweight (grams)]]*0.9/Table1[[#This Row],[BW_GA]])-1)/(Backend!$B$4/100*Table1[[#This Row],[BW40_3705]]),"")</f>
        <v/>
      </c>
      <c r="I6393" s="7" t="str">
        <f>IF(Table1[[#This Row],[Is Data Valid]]=TRUE,((Table1[[#This Row],[Birthweight (grams)]]*1.1/Table1[[#This Row],[BW_GA]])-1)/(Backend!$B$4/100*Table1[[#This Row],[BW40_3705]]),"")</f>
        <v/>
      </c>
      <c r="J6393" s="7" t="str">
        <f>IF(Table1[[#This Row],[Is Data Valid]]=TRUE,_xlfn.NORM.S.DIST(Table1[[#This Row],[Birthweight Z-Score]],TRUE)*100,"")</f>
        <v/>
      </c>
      <c r="K6393" s="7" t="str">
        <f>IF(Table1[[#This Row],[Is Data Valid]]=TRUE,_xlfn.NORM.S.DIST(Table1[[#This Row],[Birthweight Z-Score (BW-10%)]],TRUE)*100,"")</f>
        <v/>
      </c>
      <c r="L6393" s="7" t="str">
        <f>IF(Table1[[#This Row],[Is Data Valid]]=TRUE,_xlfn.NORM.S.DIST(Table1[[#This Row],[Birthweight Z-Score (BW+10%)]],TRUE)*100,"")</f>
        <v/>
      </c>
    </row>
    <row r="6394" spans="1:12" x14ac:dyDescent="0.35">
      <c r="A6394" s="3"/>
      <c r="B6394" s="2"/>
      <c r="C6394" s="2"/>
      <c r="D6394" s="2" t="b">
        <f>IF(AND(NOT(ISBLANK(Table1[[#This Row],[Fetal Sex (Male, Female or Unknown)]])),ISNUMBER(Table1[[#This Row],[Birthweight (grams)]]),ISNUMBER(Table1[[#This Row],[Gestation (days)]])),TRUE,FALSE)</f>
        <v>0</v>
      </c>
      <c r="E6394" s="2" t="str">
        <f>IF(Table1[[#This Row],[Is Data Valid]]=TRUE,IF(Table1[[#This Row],[Fetal Sex (Male, Female or Unknown)]]="Male",Backend!$C$6,IF(Table1[[#This Row],[Fetal Sex (Male, Female or Unknown)]]="Female",Backend!$C$7,IF(Table1[[#This Row],[Fetal Sex (Male, Female or Unknown)]]="Unknown",Backend!$C$8,"Error"))),"")</f>
        <v/>
      </c>
      <c r="F6394" s="8" t="str">
        <f>IF(Table1[[#This Row],[Is Data Valid]]=TRUE,EXP(0.578+0.332*((Table1[[#This Row],[Gestation (days)]]+0.5)/7)-0.00354*((Table1[[#This Row],[Gestation (days)]]+0.5)/7)^2)*Table1[[#This Row],[BW40_3705]],"")</f>
        <v/>
      </c>
      <c r="G6394" s="2" t="str">
        <f>IF(Table1[[#This Row],[Is Data Valid]]=TRUE,((Table1[[#This Row],[Birthweight (grams)]]/Table1[[#This Row],[BW_GA]])-1)/(Backend!$B$4/100*Table1[[#This Row],[BW40_3705]]),"")</f>
        <v/>
      </c>
      <c r="H6394" s="7" t="str">
        <f>IF(Table1[[#This Row],[Is Data Valid]]=TRUE,((Table1[[#This Row],[Birthweight (grams)]]*0.9/Table1[[#This Row],[BW_GA]])-1)/(Backend!$B$4/100*Table1[[#This Row],[BW40_3705]]),"")</f>
        <v/>
      </c>
      <c r="I6394" s="7" t="str">
        <f>IF(Table1[[#This Row],[Is Data Valid]]=TRUE,((Table1[[#This Row],[Birthweight (grams)]]*1.1/Table1[[#This Row],[BW_GA]])-1)/(Backend!$B$4/100*Table1[[#This Row],[BW40_3705]]),"")</f>
        <v/>
      </c>
      <c r="J6394" s="7" t="str">
        <f>IF(Table1[[#This Row],[Is Data Valid]]=TRUE,_xlfn.NORM.S.DIST(Table1[[#This Row],[Birthweight Z-Score]],TRUE)*100,"")</f>
        <v/>
      </c>
      <c r="K6394" s="7" t="str">
        <f>IF(Table1[[#This Row],[Is Data Valid]]=TRUE,_xlfn.NORM.S.DIST(Table1[[#This Row],[Birthweight Z-Score (BW-10%)]],TRUE)*100,"")</f>
        <v/>
      </c>
      <c r="L6394" s="7" t="str">
        <f>IF(Table1[[#This Row],[Is Data Valid]]=TRUE,_xlfn.NORM.S.DIST(Table1[[#This Row],[Birthweight Z-Score (BW+10%)]],TRUE)*100,"")</f>
        <v/>
      </c>
    </row>
    <row r="6395" spans="1:12" x14ac:dyDescent="0.35">
      <c r="A6395" s="3"/>
      <c r="B6395" s="2"/>
      <c r="C6395" s="2"/>
      <c r="D6395" s="2" t="b">
        <f>IF(AND(NOT(ISBLANK(Table1[[#This Row],[Fetal Sex (Male, Female or Unknown)]])),ISNUMBER(Table1[[#This Row],[Birthweight (grams)]]),ISNUMBER(Table1[[#This Row],[Gestation (days)]])),TRUE,FALSE)</f>
        <v>0</v>
      </c>
      <c r="E6395" s="2" t="str">
        <f>IF(Table1[[#This Row],[Is Data Valid]]=TRUE,IF(Table1[[#This Row],[Fetal Sex (Male, Female or Unknown)]]="Male",Backend!$C$6,IF(Table1[[#This Row],[Fetal Sex (Male, Female or Unknown)]]="Female",Backend!$C$7,IF(Table1[[#This Row],[Fetal Sex (Male, Female or Unknown)]]="Unknown",Backend!$C$8,"Error"))),"")</f>
        <v/>
      </c>
      <c r="F6395" s="8" t="str">
        <f>IF(Table1[[#This Row],[Is Data Valid]]=TRUE,EXP(0.578+0.332*((Table1[[#This Row],[Gestation (days)]]+0.5)/7)-0.00354*((Table1[[#This Row],[Gestation (days)]]+0.5)/7)^2)*Table1[[#This Row],[BW40_3705]],"")</f>
        <v/>
      </c>
      <c r="G6395" s="2" t="str">
        <f>IF(Table1[[#This Row],[Is Data Valid]]=TRUE,((Table1[[#This Row],[Birthweight (grams)]]/Table1[[#This Row],[BW_GA]])-1)/(Backend!$B$4/100*Table1[[#This Row],[BW40_3705]]),"")</f>
        <v/>
      </c>
      <c r="H6395" s="7" t="str">
        <f>IF(Table1[[#This Row],[Is Data Valid]]=TRUE,((Table1[[#This Row],[Birthweight (grams)]]*0.9/Table1[[#This Row],[BW_GA]])-1)/(Backend!$B$4/100*Table1[[#This Row],[BW40_3705]]),"")</f>
        <v/>
      </c>
      <c r="I6395" s="7" t="str">
        <f>IF(Table1[[#This Row],[Is Data Valid]]=TRUE,((Table1[[#This Row],[Birthweight (grams)]]*1.1/Table1[[#This Row],[BW_GA]])-1)/(Backend!$B$4/100*Table1[[#This Row],[BW40_3705]]),"")</f>
        <v/>
      </c>
      <c r="J6395" s="7" t="str">
        <f>IF(Table1[[#This Row],[Is Data Valid]]=TRUE,_xlfn.NORM.S.DIST(Table1[[#This Row],[Birthweight Z-Score]],TRUE)*100,"")</f>
        <v/>
      </c>
      <c r="K6395" s="7" t="str">
        <f>IF(Table1[[#This Row],[Is Data Valid]]=TRUE,_xlfn.NORM.S.DIST(Table1[[#This Row],[Birthweight Z-Score (BW-10%)]],TRUE)*100,"")</f>
        <v/>
      </c>
      <c r="L6395" s="7" t="str">
        <f>IF(Table1[[#This Row],[Is Data Valid]]=TRUE,_xlfn.NORM.S.DIST(Table1[[#This Row],[Birthweight Z-Score (BW+10%)]],TRUE)*100,"")</f>
        <v/>
      </c>
    </row>
    <row r="6396" spans="1:12" x14ac:dyDescent="0.35">
      <c r="A6396" s="3"/>
      <c r="B6396" s="2"/>
      <c r="C6396" s="2"/>
      <c r="D6396" s="2" t="b">
        <f>IF(AND(NOT(ISBLANK(Table1[[#This Row],[Fetal Sex (Male, Female or Unknown)]])),ISNUMBER(Table1[[#This Row],[Birthweight (grams)]]),ISNUMBER(Table1[[#This Row],[Gestation (days)]])),TRUE,FALSE)</f>
        <v>0</v>
      </c>
      <c r="E6396" s="2" t="str">
        <f>IF(Table1[[#This Row],[Is Data Valid]]=TRUE,IF(Table1[[#This Row],[Fetal Sex (Male, Female or Unknown)]]="Male",Backend!$C$6,IF(Table1[[#This Row],[Fetal Sex (Male, Female or Unknown)]]="Female",Backend!$C$7,IF(Table1[[#This Row],[Fetal Sex (Male, Female or Unknown)]]="Unknown",Backend!$C$8,"Error"))),"")</f>
        <v/>
      </c>
      <c r="F6396" s="8" t="str">
        <f>IF(Table1[[#This Row],[Is Data Valid]]=TRUE,EXP(0.578+0.332*((Table1[[#This Row],[Gestation (days)]]+0.5)/7)-0.00354*((Table1[[#This Row],[Gestation (days)]]+0.5)/7)^2)*Table1[[#This Row],[BW40_3705]],"")</f>
        <v/>
      </c>
      <c r="G6396" s="2" t="str">
        <f>IF(Table1[[#This Row],[Is Data Valid]]=TRUE,((Table1[[#This Row],[Birthweight (grams)]]/Table1[[#This Row],[BW_GA]])-1)/(Backend!$B$4/100*Table1[[#This Row],[BW40_3705]]),"")</f>
        <v/>
      </c>
      <c r="H6396" s="7" t="str">
        <f>IF(Table1[[#This Row],[Is Data Valid]]=TRUE,((Table1[[#This Row],[Birthweight (grams)]]*0.9/Table1[[#This Row],[BW_GA]])-1)/(Backend!$B$4/100*Table1[[#This Row],[BW40_3705]]),"")</f>
        <v/>
      </c>
      <c r="I6396" s="7" t="str">
        <f>IF(Table1[[#This Row],[Is Data Valid]]=TRUE,((Table1[[#This Row],[Birthweight (grams)]]*1.1/Table1[[#This Row],[BW_GA]])-1)/(Backend!$B$4/100*Table1[[#This Row],[BW40_3705]]),"")</f>
        <v/>
      </c>
      <c r="J6396" s="7" t="str">
        <f>IF(Table1[[#This Row],[Is Data Valid]]=TRUE,_xlfn.NORM.S.DIST(Table1[[#This Row],[Birthweight Z-Score]],TRUE)*100,"")</f>
        <v/>
      </c>
      <c r="K6396" s="7" t="str">
        <f>IF(Table1[[#This Row],[Is Data Valid]]=TRUE,_xlfn.NORM.S.DIST(Table1[[#This Row],[Birthweight Z-Score (BW-10%)]],TRUE)*100,"")</f>
        <v/>
      </c>
      <c r="L6396" s="7" t="str">
        <f>IF(Table1[[#This Row],[Is Data Valid]]=TRUE,_xlfn.NORM.S.DIST(Table1[[#This Row],[Birthweight Z-Score (BW+10%)]],TRUE)*100,"")</f>
        <v/>
      </c>
    </row>
    <row r="6397" spans="1:12" x14ac:dyDescent="0.35">
      <c r="A6397" s="3"/>
      <c r="B6397" s="2"/>
      <c r="C6397" s="2"/>
      <c r="D6397" s="2" t="b">
        <f>IF(AND(NOT(ISBLANK(Table1[[#This Row],[Fetal Sex (Male, Female or Unknown)]])),ISNUMBER(Table1[[#This Row],[Birthweight (grams)]]),ISNUMBER(Table1[[#This Row],[Gestation (days)]])),TRUE,FALSE)</f>
        <v>0</v>
      </c>
      <c r="E6397" s="2" t="str">
        <f>IF(Table1[[#This Row],[Is Data Valid]]=TRUE,IF(Table1[[#This Row],[Fetal Sex (Male, Female or Unknown)]]="Male",Backend!$C$6,IF(Table1[[#This Row],[Fetal Sex (Male, Female or Unknown)]]="Female",Backend!$C$7,IF(Table1[[#This Row],[Fetal Sex (Male, Female or Unknown)]]="Unknown",Backend!$C$8,"Error"))),"")</f>
        <v/>
      </c>
      <c r="F6397" s="8" t="str">
        <f>IF(Table1[[#This Row],[Is Data Valid]]=TRUE,EXP(0.578+0.332*((Table1[[#This Row],[Gestation (days)]]+0.5)/7)-0.00354*((Table1[[#This Row],[Gestation (days)]]+0.5)/7)^2)*Table1[[#This Row],[BW40_3705]],"")</f>
        <v/>
      </c>
      <c r="G6397" s="2" t="str">
        <f>IF(Table1[[#This Row],[Is Data Valid]]=TRUE,((Table1[[#This Row],[Birthweight (grams)]]/Table1[[#This Row],[BW_GA]])-1)/(Backend!$B$4/100*Table1[[#This Row],[BW40_3705]]),"")</f>
        <v/>
      </c>
      <c r="H6397" s="7" t="str">
        <f>IF(Table1[[#This Row],[Is Data Valid]]=TRUE,((Table1[[#This Row],[Birthweight (grams)]]*0.9/Table1[[#This Row],[BW_GA]])-1)/(Backend!$B$4/100*Table1[[#This Row],[BW40_3705]]),"")</f>
        <v/>
      </c>
      <c r="I6397" s="7" t="str">
        <f>IF(Table1[[#This Row],[Is Data Valid]]=TRUE,((Table1[[#This Row],[Birthweight (grams)]]*1.1/Table1[[#This Row],[BW_GA]])-1)/(Backend!$B$4/100*Table1[[#This Row],[BW40_3705]]),"")</f>
        <v/>
      </c>
      <c r="J6397" s="7" t="str">
        <f>IF(Table1[[#This Row],[Is Data Valid]]=TRUE,_xlfn.NORM.S.DIST(Table1[[#This Row],[Birthweight Z-Score]],TRUE)*100,"")</f>
        <v/>
      </c>
      <c r="K6397" s="7" t="str">
        <f>IF(Table1[[#This Row],[Is Data Valid]]=TRUE,_xlfn.NORM.S.DIST(Table1[[#This Row],[Birthweight Z-Score (BW-10%)]],TRUE)*100,"")</f>
        <v/>
      </c>
      <c r="L6397" s="7" t="str">
        <f>IF(Table1[[#This Row],[Is Data Valid]]=TRUE,_xlfn.NORM.S.DIST(Table1[[#This Row],[Birthweight Z-Score (BW+10%)]],TRUE)*100,"")</f>
        <v/>
      </c>
    </row>
    <row r="6398" spans="1:12" x14ac:dyDescent="0.35">
      <c r="A6398" s="3"/>
      <c r="B6398" s="2"/>
      <c r="C6398" s="2"/>
      <c r="D6398" s="2" t="b">
        <f>IF(AND(NOT(ISBLANK(Table1[[#This Row],[Fetal Sex (Male, Female or Unknown)]])),ISNUMBER(Table1[[#This Row],[Birthweight (grams)]]),ISNUMBER(Table1[[#This Row],[Gestation (days)]])),TRUE,FALSE)</f>
        <v>0</v>
      </c>
      <c r="E6398" s="2" t="str">
        <f>IF(Table1[[#This Row],[Is Data Valid]]=TRUE,IF(Table1[[#This Row],[Fetal Sex (Male, Female or Unknown)]]="Male",Backend!$C$6,IF(Table1[[#This Row],[Fetal Sex (Male, Female or Unknown)]]="Female",Backend!$C$7,IF(Table1[[#This Row],[Fetal Sex (Male, Female or Unknown)]]="Unknown",Backend!$C$8,"Error"))),"")</f>
        <v/>
      </c>
      <c r="F6398" s="8" t="str">
        <f>IF(Table1[[#This Row],[Is Data Valid]]=TRUE,EXP(0.578+0.332*((Table1[[#This Row],[Gestation (days)]]+0.5)/7)-0.00354*((Table1[[#This Row],[Gestation (days)]]+0.5)/7)^2)*Table1[[#This Row],[BW40_3705]],"")</f>
        <v/>
      </c>
      <c r="G6398" s="2" t="str">
        <f>IF(Table1[[#This Row],[Is Data Valid]]=TRUE,((Table1[[#This Row],[Birthweight (grams)]]/Table1[[#This Row],[BW_GA]])-1)/(Backend!$B$4/100*Table1[[#This Row],[BW40_3705]]),"")</f>
        <v/>
      </c>
      <c r="H6398" s="7" t="str">
        <f>IF(Table1[[#This Row],[Is Data Valid]]=TRUE,((Table1[[#This Row],[Birthweight (grams)]]*0.9/Table1[[#This Row],[BW_GA]])-1)/(Backend!$B$4/100*Table1[[#This Row],[BW40_3705]]),"")</f>
        <v/>
      </c>
      <c r="I6398" s="7" t="str">
        <f>IF(Table1[[#This Row],[Is Data Valid]]=TRUE,((Table1[[#This Row],[Birthweight (grams)]]*1.1/Table1[[#This Row],[BW_GA]])-1)/(Backend!$B$4/100*Table1[[#This Row],[BW40_3705]]),"")</f>
        <v/>
      </c>
      <c r="J6398" s="7" t="str">
        <f>IF(Table1[[#This Row],[Is Data Valid]]=TRUE,_xlfn.NORM.S.DIST(Table1[[#This Row],[Birthweight Z-Score]],TRUE)*100,"")</f>
        <v/>
      </c>
      <c r="K6398" s="7" t="str">
        <f>IF(Table1[[#This Row],[Is Data Valid]]=TRUE,_xlfn.NORM.S.DIST(Table1[[#This Row],[Birthweight Z-Score (BW-10%)]],TRUE)*100,"")</f>
        <v/>
      </c>
      <c r="L6398" s="7" t="str">
        <f>IF(Table1[[#This Row],[Is Data Valid]]=TRUE,_xlfn.NORM.S.DIST(Table1[[#This Row],[Birthweight Z-Score (BW+10%)]],TRUE)*100,"")</f>
        <v/>
      </c>
    </row>
    <row r="6399" spans="1:12" x14ac:dyDescent="0.35">
      <c r="A6399" s="3"/>
      <c r="B6399" s="2"/>
      <c r="C6399" s="2"/>
      <c r="D6399" s="2" t="b">
        <f>IF(AND(NOT(ISBLANK(Table1[[#This Row],[Fetal Sex (Male, Female or Unknown)]])),ISNUMBER(Table1[[#This Row],[Birthweight (grams)]]),ISNUMBER(Table1[[#This Row],[Gestation (days)]])),TRUE,FALSE)</f>
        <v>0</v>
      </c>
      <c r="E6399" s="2" t="str">
        <f>IF(Table1[[#This Row],[Is Data Valid]]=TRUE,IF(Table1[[#This Row],[Fetal Sex (Male, Female or Unknown)]]="Male",Backend!$C$6,IF(Table1[[#This Row],[Fetal Sex (Male, Female or Unknown)]]="Female",Backend!$C$7,IF(Table1[[#This Row],[Fetal Sex (Male, Female or Unknown)]]="Unknown",Backend!$C$8,"Error"))),"")</f>
        <v/>
      </c>
      <c r="F6399" s="8" t="str">
        <f>IF(Table1[[#This Row],[Is Data Valid]]=TRUE,EXP(0.578+0.332*((Table1[[#This Row],[Gestation (days)]]+0.5)/7)-0.00354*((Table1[[#This Row],[Gestation (days)]]+0.5)/7)^2)*Table1[[#This Row],[BW40_3705]],"")</f>
        <v/>
      </c>
      <c r="G6399" s="2" t="str">
        <f>IF(Table1[[#This Row],[Is Data Valid]]=TRUE,((Table1[[#This Row],[Birthweight (grams)]]/Table1[[#This Row],[BW_GA]])-1)/(Backend!$B$4/100*Table1[[#This Row],[BW40_3705]]),"")</f>
        <v/>
      </c>
      <c r="H6399" s="7" t="str">
        <f>IF(Table1[[#This Row],[Is Data Valid]]=TRUE,((Table1[[#This Row],[Birthweight (grams)]]*0.9/Table1[[#This Row],[BW_GA]])-1)/(Backend!$B$4/100*Table1[[#This Row],[BW40_3705]]),"")</f>
        <v/>
      </c>
      <c r="I6399" s="7" t="str">
        <f>IF(Table1[[#This Row],[Is Data Valid]]=TRUE,((Table1[[#This Row],[Birthweight (grams)]]*1.1/Table1[[#This Row],[BW_GA]])-1)/(Backend!$B$4/100*Table1[[#This Row],[BW40_3705]]),"")</f>
        <v/>
      </c>
      <c r="J6399" s="7" t="str">
        <f>IF(Table1[[#This Row],[Is Data Valid]]=TRUE,_xlfn.NORM.S.DIST(Table1[[#This Row],[Birthweight Z-Score]],TRUE)*100,"")</f>
        <v/>
      </c>
      <c r="K6399" s="7" t="str">
        <f>IF(Table1[[#This Row],[Is Data Valid]]=TRUE,_xlfn.NORM.S.DIST(Table1[[#This Row],[Birthweight Z-Score (BW-10%)]],TRUE)*100,"")</f>
        <v/>
      </c>
      <c r="L6399" s="7" t="str">
        <f>IF(Table1[[#This Row],[Is Data Valid]]=TRUE,_xlfn.NORM.S.DIST(Table1[[#This Row],[Birthweight Z-Score (BW+10%)]],TRUE)*100,"")</f>
        <v/>
      </c>
    </row>
    <row r="6400" spans="1:12" x14ac:dyDescent="0.35">
      <c r="A6400" s="3"/>
      <c r="B6400" s="2"/>
      <c r="C6400" s="2"/>
      <c r="D6400" s="2" t="b">
        <f>IF(AND(NOT(ISBLANK(Table1[[#This Row],[Fetal Sex (Male, Female or Unknown)]])),ISNUMBER(Table1[[#This Row],[Birthweight (grams)]]),ISNUMBER(Table1[[#This Row],[Gestation (days)]])),TRUE,FALSE)</f>
        <v>0</v>
      </c>
      <c r="E6400" s="2" t="str">
        <f>IF(Table1[[#This Row],[Is Data Valid]]=TRUE,IF(Table1[[#This Row],[Fetal Sex (Male, Female or Unknown)]]="Male",Backend!$C$6,IF(Table1[[#This Row],[Fetal Sex (Male, Female or Unknown)]]="Female",Backend!$C$7,IF(Table1[[#This Row],[Fetal Sex (Male, Female or Unknown)]]="Unknown",Backend!$C$8,"Error"))),"")</f>
        <v/>
      </c>
      <c r="F6400" s="8" t="str">
        <f>IF(Table1[[#This Row],[Is Data Valid]]=TRUE,EXP(0.578+0.332*((Table1[[#This Row],[Gestation (days)]]+0.5)/7)-0.00354*((Table1[[#This Row],[Gestation (days)]]+0.5)/7)^2)*Table1[[#This Row],[BW40_3705]],"")</f>
        <v/>
      </c>
      <c r="G6400" s="2" t="str">
        <f>IF(Table1[[#This Row],[Is Data Valid]]=TRUE,((Table1[[#This Row],[Birthweight (grams)]]/Table1[[#This Row],[BW_GA]])-1)/(Backend!$B$4/100*Table1[[#This Row],[BW40_3705]]),"")</f>
        <v/>
      </c>
      <c r="H6400" s="7" t="str">
        <f>IF(Table1[[#This Row],[Is Data Valid]]=TRUE,((Table1[[#This Row],[Birthweight (grams)]]*0.9/Table1[[#This Row],[BW_GA]])-1)/(Backend!$B$4/100*Table1[[#This Row],[BW40_3705]]),"")</f>
        <v/>
      </c>
      <c r="I6400" s="7" t="str">
        <f>IF(Table1[[#This Row],[Is Data Valid]]=TRUE,((Table1[[#This Row],[Birthweight (grams)]]*1.1/Table1[[#This Row],[BW_GA]])-1)/(Backend!$B$4/100*Table1[[#This Row],[BW40_3705]]),"")</f>
        <v/>
      </c>
      <c r="J6400" s="7" t="str">
        <f>IF(Table1[[#This Row],[Is Data Valid]]=TRUE,_xlfn.NORM.S.DIST(Table1[[#This Row],[Birthweight Z-Score]],TRUE)*100,"")</f>
        <v/>
      </c>
      <c r="K6400" s="7" t="str">
        <f>IF(Table1[[#This Row],[Is Data Valid]]=TRUE,_xlfn.NORM.S.DIST(Table1[[#This Row],[Birthweight Z-Score (BW-10%)]],TRUE)*100,"")</f>
        <v/>
      </c>
      <c r="L6400" s="7" t="str">
        <f>IF(Table1[[#This Row],[Is Data Valid]]=TRUE,_xlfn.NORM.S.DIST(Table1[[#This Row],[Birthweight Z-Score (BW+10%)]],TRUE)*100,"")</f>
        <v/>
      </c>
    </row>
    <row r="6401" spans="1:12" x14ac:dyDescent="0.35">
      <c r="A6401" s="3"/>
      <c r="B6401" s="2"/>
      <c r="C6401" s="2"/>
      <c r="D6401" s="2" t="b">
        <f>IF(AND(NOT(ISBLANK(Table1[[#This Row],[Fetal Sex (Male, Female or Unknown)]])),ISNUMBER(Table1[[#This Row],[Birthweight (grams)]]),ISNUMBER(Table1[[#This Row],[Gestation (days)]])),TRUE,FALSE)</f>
        <v>0</v>
      </c>
      <c r="E6401" s="2" t="str">
        <f>IF(Table1[[#This Row],[Is Data Valid]]=TRUE,IF(Table1[[#This Row],[Fetal Sex (Male, Female or Unknown)]]="Male",Backend!$C$6,IF(Table1[[#This Row],[Fetal Sex (Male, Female or Unknown)]]="Female",Backend!$C$7,IF(Table1[[#This Row],[Fetal Sex (Male, Female or Unknown)]]="Unknown",Backend!$C$8,"Error"))),"")</f>
        <v/>
      </c>
      <c r="F6401" s="8" t="str">
        <f>IF(Table1[[#This Row],[Is Data Valid]]=TRUE,EXP(0.578+0.332*((Table1[[#This Row],[Gestation (days)]]+0.5)/7)-0.00354*((Table1[[#This Row],[Gestation (days)]]+0.5)/7)^2)*Table1[[#This Row],[BW40_3705]],"")</f>
        <v/>
      </c>
      <c r="G6401" s="2" t="str">
        <f>IF(Table1[[#This Row],[Is Data Valid]]=TRUE,((Table1[[#This Row],[Birthweight (grams)]]/Table1[[#This Row],[BW_GA]])-1)/(Backend!$B$4/100*Table1[[#This Row],[BW40_3705]]),"")</f>
        <v/>
      </c>
      <c r="H6401" s="7" t="str">
        <f>IF(Table1[[#This Row],[Is Data Valid]]=TRUE,((Table1[[#This Row],[Birthweight (grams)]]*0.9/Table1[[#This Row],[BW_GA]])-1)/(Backend!$B$4/100*Table1[[#This Row],[BW40_3705]]),"")</f>
        <v/>
      </c>
      <c r="I6401" s="7" t="str">
        <f>IF(Table1[[#This Row],[Is Data Valid]]=TRUE,((Table1[[#This Row],[Birthweight (grams)]]*1.1/Table1[[#This Row],[BW_GA]])-1)/(Backend!$B$4/100*Table1[[#This Row],[BW40_3705]]),"")</f>
        <v/>
      </c>
      <c r="J6401" s="7" t="str">
        <f>IF(Table1[[#This Row],[Is Data Valid]]=TRUE,_xlfn.NORM.S.DIST(Table1[[#This Row],[Birthweight Z-Score]],TRUE)*100,"")</f>
        <v/>
      </c>
      <c r="K6401" s="7" t="str">
        <f>IF(Table1[[#This Row],[Is Data Valid]]=TRUE,_xlfn.NORM.S.DIST(Table1[[#This Row],[Birthweight Z-Score (BW-10%)]],TRUE)*100,"")</f>
        <v/>
      </c>
      <c r="L6401" s="7" t="str">
        <f>IF(Table1[[#This Row],[Is Data Valid]]=TRUE,_xlfn.NORM.S.DIST(Table1[[#This Row],[Birthweight Z-Score (BW+10%)]],TRUE)*100,"")</f>
        <v/>
      </c>
    </row>
    <row r="6402" spans="1:12" x14ac:dyDescent="0.35">
      <c r="A6402" s="3"/>
      <c r="B6402" s="2"/>
      <c r="C6402" s="2"/>
      <c r="D6402" s="2" t="b">
        <f>IF(AND(NOT(ISBLANK(Table1[[#This Row],[Fetal Sex (Male, Female or Unknown)]])),ISNUMBER(Table1[[#This Row],[Birthweight (grams)]]),ISNUMBER(Table1[[#This Row],[Gestation (days)]])),TRUE,FALSE)</f>
        <v>0</v>
      </c>
      <c r="E6402" s="2" t="str">
        <f>IF(Table1[[#This Row],[Is Data Valid]]=TRUE,IF(Table1[[#This Row],[Fetal Sex (Male, Female or Unknown)]]="Male",Backend!$C$6,IF(Table1[[#This Row],[Fetal Sex (Male, Female or Unknown)]]="Female",Backend!$C$7,IF(Table1[[#This Row],[Fetal Sex (Male, Female or Unknown)]]="Unknown",Backend!$C$8,"Error"))),"")</f>
        <v/>
      </c>
      <c r="F6402" s="8" t="str">
        <f>IF(Table1[[#This Row],[Is Data Valid]]=TRUE,EXP(0.578+0.332*((Table1[[#This Row],[Gestation (days)]]+0.5)/7)-0.00354*((Table1[[#This Row],[Gestation (days)]]+0.5)/7)^2)*Table1[[#This Row],[BW40_3705]],"")</f>
        <v/>
      </c>
      <c r="G6402" s="2" t="str">
        <f>IF(Table1[[#This Row],[Is Data Valid]]=TRUE,((Table1[[#This Row],[Birthweight (grams)]]/Table1[[#This Row],[BW_GA]])-1)/(Backend!$B$4/100*Table1[[#This Row],[BW40_3705]]),"")</f>
        <v/>
      </c>
      <c r="H6402" s="7" t="str">
        <f>IF(Table1[[#This Row],[Is Data Valid]]=TRUE,((Table1[[#This Row],[Birthweight (grams)]]*0.9/Table1[[#This Row],[BW_GA]])-1)/(Backend!$B$4/100*Table1[[#This Row],[BW40_3705]]),"")</f>
        <v/>
      </c>
      <c r="I6402" s="7" t="str">
        <f>IF(Table1[[#This Row],[Is Data Valid]]=TRUE,((Table1[[#This Row],[Birthweight (grams)]]*1.1/Table1[[#This Row],[BW_GA]])-1)/(Backend!$B$4/100*Table1[[#This Row],[BW40_3705]]),"")</f>
        <v/>
      </c>
      <c r="J6402" s="7" t="str">
        <f>IF(Table1[[#This Row],[Is Data Valid]]=TRUE,_xlfn.NORM.S.DIST(Table1[[#This Row],[Birthweight Z-Score]],TRUE)*100,"")</f>
        <v/>
      </c>
      <c r="K6402" s="7" t="str">
        <f>IF(Table1[[#This Row],[Is Data Valid]]=TRUE,_xlfn.NORM.S.DIST(Table1[[#This Row],[Birthweight Z-Score (BW-10%)]],TRUE)*100,"")</f>
        <v/>
      </c>
      <c r="L6402" s="7" t="str">
        <f>IF(Table1[[#This Row],[Is Data Valid]]=TRUE,_xlfn.NORM.S.DIST(Table1[[#This Row],[Birthweight Z-Score (BW+10%)]],TRUE)*100,"")</f>
        <v/>
      </c>
    </row>
    <row r="6403" spans="1:12" x14ac:dyDescent="0.35">
      <c r="A6403" s="3"/>
      <c r="B6403" s="2"/>
      <c r="C6403" s="2"/>
      <c r="D6403" s="2" t="b">
        <f>IF(AND(NOT(ISBLANK(Table1[[#This Row],[Fetal Sex (Male, Female or Unknown)]])),ISNUMBER(Table1[[#This Row],[Birthweight (grams)]]),ISNUMBER(Table1[[#This Row],[Gestation (days)]])),TRUE,FALSE)</f>
        <v>0</v>
      </c>
      <c r="E6403" s="2" t="str">
        <f>IF(Table1[[#This Row],[Is Data Valid]]=TRUE,IF(Table1[[#This Row],[Fetal Sex (Male, Female or Unknown)]]="Male",Backend!$C$6,IF(Table1[[#This Row],[Fetal Sex (Male, Female or Unknown)]]="Female",Backend!$C$7,IF(Table1[[#This Row],[Fetal Sex (Male, Female or Unknown)]]="Unknown",Backend!$C$8,"Error"))),"")</f>
        <v/>
      </c>
      <c r="F6403" s="8" t="str">
        <f>IF(Table1[[#This Row],[Is Data Valid]]=TRUE,EXP(0.578+0.332*((Table1[[#This Row],[Gestation (days)]]+0.5)/7)-0.00354*((Table1[[#This Row],[Gestation (days)]]+0.5)/7)^2)*Table1[[#This Row],[BW40_3705]],"")</f>
        <v/>
      </c>
      <c r="G6403" s="2" t="str">
        <f>IF(Table1[[#This Row],[Is Data Valid]]=TRUE,((Table1[[#This Row],[Birthweight (grams)]]/Table1[[#This Row],[BW_GA]])-1)/(Backend!$B$4/100*Table1[[#This Row],[BW40_3705]]),"")</f>
        <v/>
      </c>
      <c r="H6403" s="7" t="str">
        <f>IF(Table1[[#This Row],[Is Data Valid]]=TRUE,((Table1[[#This Row],[Birthweight (grams)]]*0.9/Table1[[#This Row],[BW_GA]])-1)/(Backend!$B$4/100*Table1[[#This Row],[BW40_3705]]),"")</f>
        <v/>
      </c>
      <c r="I6403" s="7" t="str">
        <f>IF(Table1[[#This Row],[Is Data Valid]]=TRUE,((Table1[[#This Row],[Birthweight (grams)]]*1.1/Table1[[#This Row],[BW_GA]])-1)/(Backend!$B$4/100*Table1[[#This Row],[BW40_3705]]),"")</f>
        <v/>
      </c>
      <c r="J6403" s="7" t="str">
        <f>IF(Table1[[#This Row],[Is Data Valid]]=TRUE,_xlfn.NORM.S.DIST(Table1[[#This Row],[Birthweight Z-Score]],TRUE)*100,"")</f>
        <v/>
      </c>
      <c r="K6403" s="7" t="str">
        <f>IF(Table1[[#This Row],[Is Data Valid]]=TRUE,_xlfn.NORM.S.DIST(Table1[[#This Row],[Birthweight Z-Score (BW-10%)]],TRUE)*100,"")</f>
        <v/>
      </c>
      <c r="L6403" s="7" t="str">
        <f>IF(Table1[[#This Row],[Is Data Valid]]=TRUE,_xlfn.NORM.S.DIST(Table1[[#This Row],[Birthweight Z-Score (BW+10%)]],TRUE)*100,"")</f>
        <v/>
      </c>
    </row>
    <row r="6404" spans="1:12" x14ac:dyDescent="0.35">
      <c r="A6404" s="3"/>
      <c r="B6404" s="2"/>
      <c r="C6404" s="2"/>
      <c r="D6404" s="2" t="b">
        <f>IF(AND(NOT(ISBLANK(Table1[[#This Row],[Fetal Sex (Male, Female or Unknown)]])),ISNUMBER(Table1[[#This Row],[Birthweight (grams)]]),ISNUMBER(Table1[[#This Row],[Gestation (days)]])),TRUE,FALSE)</f>
        <v>0</v>
      </c>
      <c r="E6404" s="2" t="str">
        <f>IF(Table1[[#This Row],[Is Data Valid]]=TRUE,IF(Table1[[#This Row],[Fetal Sex (Male, Female or Unknown)]]="Male",Backend!$C$6,IF(Table1[[#This Row],[Fetal Sex (Male, Female or Unknown)]]="Female",Backend!$C$7,IF(Table1[[#This Row],[Fetal Sex (Male, Female or Unknown)]]="Unknown",Backend!$C$8,"Error"))),"")</f>
        <v/>
      </c>
      <c r="F6404" s="8" t="str">
        <f>IF(Table1[[#This Row],[Is Data Valid]]=TRUE,EXP(0.578+0.332*((Table1[[#This Row],[Gestation (days)]]+0.5)/7)-0.00354*((Table1[[#This Row],[Gestation (days)]]+0.5)/7)^2)*Table1[[#This Row],[BW40_3705]],"")</f>
        <v/>
      </c>
      <c r="G6404" s="2" t="str">
        <f>IF(Table1[[#This Row],[Is Data Valid]]=TRUE,((Table1[[#This Row],[Birthweight (grams)]]/Table1[[#This Row],[BW_GA]])-1)/(Backend!$B$4/100*Table1[[#This Row],[BW40_3705]]),"")</f>
        <v/>
      </c>
      <c r="H6404" s="7" t="str">
        <f>IF(Table1[[#This Row],[Is Data Valid]]=TRUE,((Table1[[#This Row],[Birthweight (grams)]]*0.9/Table1[[#This Row],[BW_GA]])-1)/(Backend!$B$4/100*Table1[[#This Row],[BW40_3705]]),"")</f>
        <v/>
      </c>
      <c r="I6404" s="7" t="str">
        <f>IF(Table1[[#This Row],[Is Data Valid]]=TRUE,((Table1[[#This Row],[Birthweight (grams)]]*1.1/Table1[[#This Row],[BW_GA]])-1)/(Backend!$B$4/100*Table1[[#This Row],[BW40_3705]]),"")</f>
        <v/>
      </c>
      <c r="J6404" s="7" t="str">
        <f>IF(Table1[[#This Row],[Is Data Valid]]=TRUE,_xlfn.NORM.S.DIST(Table1[[#This Row],[Birthweight Z-Score]],TRUE)*100,"")</f>
        <v/>
      </c>
      <c r="K6404" s="7" t="str">
        <f>IF(Table1[[#This Row],[Is Data Valid]]=TRUE,_xlfn.NORM.S.DIST(Table1[[#This Row],[Birthweight Z-Score (BW-10%)]],TRUE)*100,"")</f>
        <v/>
      </c>
      <c r="L6404" s="7" t="str">
        <f>IF(Table1[[#This Row],[Is Data Valid]]=TRUE,_xlfn.NORM.S.DIST(Table1[[#This Row],[Birthweight Z-Score (BW+10%)]],TRUE)*100,"")</f>
        <v/>
      </c>
    </row>
    <row r="6405" spans="1:12" x14ac:dyDescent="0.35">
      <c r="A6405" s="3"/>
      <c r="B6405" s="2"/>
      <c r="C6405" s="2"/>
      <c r="D6405" s="2" t="b">
        <f>IF(AND(NOT(ISBLANK(Table1[[#This Row],[Fetal Sex (Male, Female or Unknown)]])),ISNUMBER(Table1[[#This Row],[Birthweight (grams)]]),ISNUMBER(Table1[[#This Row],[Gestation (days)]])),TRUE,FALSE)</f>
        <v>0</v>
      </c>
      <c r="E6405" s="2" t="str">
        <f>IF(Table1[[#This Row],[Is Data Valid]]=TRUE,IF(Table1[[#This Row],[Fetal Sex (Male, Female or Unknown)]]="Male",Backend!$C$6,IF(Table1[[#This Row],[Fetal Sex (Male, Female or Unknown)]]="Female",Backend!$C$7,IF(Table1[[#This Row],[Fetal Sex (Male, Female or Unknown)]]="Unknown",Backend!$C$8,"Error"))),"")</f>
        <v/>
      </c>
      <c r="F6405" s="8" t="str">
        <f>IF(Table1[[#This Row],[Is Data Valid]]=TRUE,EXP(0.578+0.332*((Table1[[#This Row],[Gestation (days)]]+0.5)/7)-0.00354*((Table1[[#This Row],[Gestation (days)]]+0.5)/7)^2)*Table1[[#This Row],[BW40_3705]],"")</f>
        <v/>
      </c>
      <c r="G6405" s="2" t="str">
        <f>IF(Table1[[#This Row],[Is Data Valid]]=TRUE,((Table1[[#This Row],[Birthweight (grams)]]/Table1[[#This Row],[BW_GA]])-1)/(Backend!$B$4/100*Table1[[#This Row],[BW40_3705]]),"")</f>
        <v/>
      </c>
      <c r="H6405" s="7" t="str">
        <f>IF(Table1[[#This Row],[Is Data Valid]]=TRUE,((Table1[[#This Row],[Birthweight (grams)]]*0.9/Table1[[#This Row],[BW_GA]])-1)/(Backend!$B$4/100*Table1[[#This Row],[BW40_3705]]),"")</f>
        <v/>
      </c>
      <c r="I6405" s="7" t="str">
        <f>IF(Table1[[#This Row],[Is Data Valid]]=TRUE,((Table1[[#This Row],[Birthweight (grams)]]*1.1/Table1[[#This Row],[BW_GA]])-1)/(Backend!$B$4/100*Table1[[#This Row],[BW40_3705]]),"")</f>
        <v/>
      </c>
      <c r="J6405" s="7" t="str">
        <f>IF(Table1[[#This Row],[Is Data Valid]]=TRUE,_xlfn.NORM.S.DIST(Table1[[#This Row],[Birthweight Z-Score]],TRUE)*100,"")</f>
        <v/>
      </c>
      <c r="K6405" s="7" t="str">
        <f>IF(Table1[[#This Row],[Is Data Valid]]=TRUE,_xlfn.NORM.S.DIST(Table1[[#This Row],[Birthweight Z-Score (BW-10%)]],TRUE)*100,"")</f>
        <v/>
      </c>
      <c r="L6405" s="7" t="str">
        <f>IF(Table1[[#This Row],[Is Data Valid]]=TRUE,_xlfn.NORM.S.DIST(Table1[[#This Row],[Birthweight Z-Score (BW+10%)]],TRUE)*100,"")</f>
        <v/>
      </c>
    </row>
    <row r="6406" spans="1:12" x14ac:dyDescent="0.35">
      <c r="A6406" s="3"/>
      <c r="B6406" s="2"/>
      <c r="C6406" s="2"/>
      <c r="D6406" s="2" t="b">
        <f>IF(AND(NOT(ISBLANK(Table1[[#This Row],[Fetal Sex (Male, Female or Unknown)]])),ISNUMBER(Table1[[#This Row],[Birthweight (grams)]]),ISNUMBER(Table1[[#This Row],[Gestation (days)]])),TRUE,FALSE)</f>
        <v>0</v>
      </c>
      <c r="E6406" s="2" t="str">
        <f>IF(Table1[[#This Row],[Is Data Valid]]=TRUE,IF(Table1[[#This Row],[Fetal Sex (Male, Female or Unknown)]]="Male",Backend!$C$6,IF(Table1[[#This Row],[Fetal Sex (Male, Female or Unknown)]]="Female",Backend!$C$7,IF(Table1[[#This Row],[Fetal Sex (Male, Female or Unknown)]]="Unknown",Backend!$C$8,"Error"))),"")</f>
        <v/>
      </c>
      <c r="F6406" s="8" t="str">
        <f>IF(Table1[[#This Row],[Is Data Valid]]=TRUE,EXP(0.578+0.332*((Table1[[#This Row],[Gestation (days)]]+0.5)/7)-0.00354*((Table1[[#This Row],[Gestation (days)]]+0.5)/7)^2)*Table1[[#This Row],[BW40_3705]],"")</f>
        <v/>
      </c>
      <c r="G6406" s="2" t="str">
        <f>IF(Table1[[#This Row],[Is Data Valid]]=TRUE,((Table1[[#This Row],[Birthweight (grams)]]/Table1[[#This Row],[BW_GA]])-1)/(Backend!$B$4/100*Table1[[#This Row],[BW40_3705]]),"")</f>
        <v/>
      </c>
      <c r="H6406" s="7" t="str">
        <f>IF(Table1[[#This Row],[Is Data Valid]]=TRUE,((Table1[[#This Row],[Birthweight (grams)]]*0.9/Table1[[#This Row],[BW_GA]])-1)/(Backend!$B$4/100*Table1[[#This Row],[BW40_3705]]),"")</f>
        <v/>
      </c>
      <c r="I6406" s="7" t="str">
        <f>IF(Table1[[#This Row],[Is Data Valid]]=TRUE,((Table1[[#This Row],[Birthweight (grams)]]*1.1/Table1[[#This Row],[BW_GA]])-1)/(Backend!$B$4/100*Table1[[#This Row],[BW40_3705]]),"")</f>
        <v/>
      </c>
      <c r="J6406" s="7" t="str">
        <f>IF(Table1[[#This Row],[Is Data Valid]]=TRUE,_xlfn.NORM.S.DIST(Table1[[#This Row],[Birthweight Z-Score]],TRUE)*100,"")</f>
        <v/>
      </c>
      <c r="K6406" s="7" t="str">
        <f>IF(Table1[[#This Row],[Is Data Valid]]=TRUE,_xlfn.NORM.S.DIST(Table1[[#This Row],[Birthweight Z-Score (BW-10%)]],TRUE)*100,"")</f>
        <v/>
      </c>
      <c r="L6406" s="7" t="str">
        <f>IF(Table1[[#This Row],[Is Data Valid]]=TRUE,_xlfn.NORM.S.DIST(Table1[[#This Row],[Birthweight Z-Score (BW+10%)]],TRUE)*100,"")</f>
        <v/>
      </c>
    </row>
    <row r="6407" spans="1:12" x14ac:dyDescent="0.35">
      <c r="A6407" s="3"/>
      <c r="B6407" s="2"/>
      <c r="C6407" s="2"/>
      <c r="D6407" s="2" t="b">
        <f>IF(AND(NOT(ISBLANK(Table1[[#This Row],[Fetal Sex (Male, Female or Unknown)]])),ISNUMBER(Table1[[#This Row],[Birthweight (grams)]]),ISNUMBER(Table1[[#This Row],[Gestation (days)]])),TRUE,FALSE)</f>
        <v>0</v>
      </c>
      <c r="E6407" s="2" t="str">
        <f>IF(Table1[[#This Row],[Is Data Valid]]=TRUE,IF(Table1[[#This Row],[Fetal Sex (Male, Female or Unknown)]]="Male",Backend!$C$6,IF(Table1[[#This Row],[Fetal Sex (Male, Female or Unknown)]]="Female",Backend!$C$7,IF(Table1[[#This Row],[Fetal Sex (Male, Female or Unknown)]]="Unknown",Backend!$C$8,"Error"))),"")</f>
        <v/>
      </c>
      <c r="F6407" s="8" t="str">
        <f>IF(Table1[[#This Row],[Is Data Valid]]=TRUE,EXP(0.578+0.332*((Table1[[#This Row],[Gestation (days)]]+0.5)/7)-0.00354*((Table1[[#This Row],[Gestation (days)]]+0.5)/7)^2)*Table1[[#This Row],[BW40_3705]],"")</f>
        <v/>
      </c>
      <c r="G6407" s="2" t="str">
        <f>IF(Table1[[#This Row],[Is Data Valid]]=TRUE,((Table1[[#This Row],[Birthweight (grams)]]/Table1[[#This Row],[BW_GA]])-1)/(Backend!$B$4/100*Table1[[#This Row],[BW40_3705]]),"")</f>
        <v/>
      </c>
      <c r="H6407" s="7" t="str">
        <f>IF(Table1[[#This Row],[Is Data Valid]]=TRUE,((Table1[[#This Row],[Birthweight (grams)]]*0.9/Table1[[#This Row],[BW_GA]])-1)/(Backend!$B$4/100*Table1[[#This Row],[BW40_3705]]),"")</f>
        <v/>
      </c>
      <c r="I6407" s="7" t="str">
        <f>IF(Table1[[#This Row],[Is Data Valid]]=TRUE,((Table1[[#This Row],[Birthweight (grams)]]*1.1/Table1[[#This Row],[BW_GA]])-1)/(Backend!$B$4/100*Table1[[#This Row],[BW40_3705]]),"")</f>
        <v/>
      </c>
      <c r="J6407" s="7" t="str">
        <f>IF(Table1[[#This Row],[Is Data Valid]]=TRUE,_xlfn.NORM.S.DIST(Table1[[#This Row],[Birthweight Z-Score]],TRUE)*100,"")</f>
        <v/>
      </c>
      <c r="K6407" s="7" t="str">
        <f>IF(Table1[[#This Row],[Is Data Valid]]=TRUE,_xlfn.NORM.S.DIST(Table1[[#This Row],[Birthweight Z-Score (BW-10%)]],TRUE)*100,"")</f>
        <v/>
      </c>
      <c r="L6407" s="7" t="str">
        <f>IF(Table1[[#This Row],[Is Data Valid]]=TRUE,_xlfn.NORM.S.DIST(Table1[[#This Row],[Birthweight Z-Score (BW+10%)]],TRUE)*100,"")</f>
        <v/>
      </c>
    </row>
    <row r="6408" spans="1:12" x14ac:dyDescent="0.35">
      <c r="A6408" s="3"/>
      <c r="B6408" s="2"/>
      <c r="C6408" s="2"/>
      <c r="D6408" s="2" t="b">
        <f>IF(AND(NOT(ISBLANK(Table1[[#This Row],[Fetal Sex (Male, Female or Unknown)]])),ISNUMBER(Table1[[#This Row],[Birthweight (grams)]]),ISNUMBER(Table1[[#This Row],[Gestation (days)]])),TRUE,FALSE)</f>
        <v>0</v>
      </c>
      <c r="E6408" s="2" t="str">
        <f>IF(Table1[[#This Row],[Is Data Valid]]=TRUE,IF(Table1[[#This Row],[Fetal Sex (Male, Female or Unknown)]]="Male",Backend!$C$6,IF(Table1[[#This Row],[Fetal Sex (Male, Female or Unknown)]]="Female",Backend!$C$7,IF(Table1[[#This Row],[Fetal Sex (Male, Female or Unknown)]]="Unknown",Backend!$C$8,"Error"))),"")</f>
        <v/>
      </c>
      <c r="F6408" s="8" t="str">
        <f>IF(Table1[[#This Row],[Is Data Valid]]=TRUE,EXP(0.578+0.332*((Table1[[#This Row],[Gestation (days)]]+0.5)/7)-0.00354*((Table1[[#This Row],[Gestation (days)]]+0.5)/7)^2)*Table1[[#This Row],[BW40_3705]],"")</f>
        <v/>
      </c>
      <c r="G6408" s="2" t="str">
        <f>IF(Table1[[#This Row],[Is Data Valid]]=TRUE,((Table1[[#This Row],[Birthweight (grams)]]/Table1[[#This Row],[BW_GA]])-1)/(Backend!$B$4/100*Table1[[#This Row],[BW40_3705]]),"")</f>
        <v/>
      </c>
      <c r="H6408" s="7" t="str">
        <f>IF(Table1[[#This Row],[Is Data Valid]]=TRUE,((Table1[[#This Row],[Birthweight (grams)]]*0.9/Table1[[#This Row],[BW_GA]])-1)/(Backend!$B$4/100*Table1[[#This Row],[BW40_3705]]),"")</f>
        <v/>
      </c>
      <c r="I6408" s="7" t="str">
        <f>IF(Table1[[#This Row],[Is Data Valid]]=TRUE,((Table1[[#This Row],[Birthweight (grams)]]*1.1/Table1[[#This Row],[BW_GA]])-1)/(Backend!$B$4/100*Table1[[#This Row],[BW40_3705]]),"")</f>
        <v/>
      </c>
      <c r="J6408" s="7" t="str">
        <f>IF(Table1[[#This Row],[Is Data Valid]]=TRUE,_xlfn.NORM.S.DIST(Table1[[#This Row],[Birthweight Z-Score]],TRUE)*100,"")</f>
        <v/>
      </c>
      <c r="K6408" s="7" t="str">
        <f>IF(Table1[[#This Row],[Is Data Valid]]=TRUE,_xlfn.NORM.S.DIST(Table1[[#This Row],[Birthweight Z-Score (BW-10%)]],TRUE)*100,"")</f>
        <v/>
      </c>
      <c r="L6408" s="7" t="str">
        <f>IF(Table1[[#This Row],[Is Data Valid]]=TRUE,_xlfn.NORM.S.DIST(Table1[[#This Row],[Birthweight Z-Score (BW+10%)]],TRUE)*100,"")</f>
        <v/>
      </c>
    </row>
    <row r="6409" spans="1:12" x14ac:dyDescent="0.35">
      <c r="A6409" s="3"/>
      <c r="B6409" s="2"/>
      <c r="C6409" s="2"/>
      <c r="D6409" s="2" t="b">
        <f>IF(AND(NOT(ISBLANK(Table1[[#This Row],[Fetal Sex (Male, Female or Unknown)]])),ISNUMBER(Table1[[#This Row],[Birthweight (grams)]]),ISNUMBER(Table1[[#This Row],[Gestation (days)]])),TRUE,FALSE)</f>
        <v>0</v>
      </c>
      <c r="E6409" s="2" t="str">
        <f>IF(Table1[[#This Row],[Is Data Valid]]=TRUE,IF(Table1[[#This Row],[Fetal Sex (Male, Female or Unknown)]]="Male",Backend!$C$6,IF(Table1[[#This Row],[Fetal Sex (Male, Female or Unknown)]]="Female",Backend!$C$7,IF(Table1[[#This Row],[Fetal Sex (Male, Female or Unknown)]]="Unknown",Backend!$C$8,"Error"))),"")</f>
        <v/>
      </c>
      <c r="F6409" s="8" t="str">
        <f>IF(Table1[[#This Row],[Is Data Valid]]=TRUE,EXP(0.578+0.332*((Table1[[#This Row],[Gestation (days)]]+0.5)/7)-0.00354*((Table1[[#This Row],[Gestation (days)]]+0.5)/7)^2)*Table1[[#This Row],[BW40_3705]],"")</f>
        <v/>
      </c>
      <c r="G6409" s="2" t="str">
        <f>IF(Table1[[#This Row],[Is Data Valid]]=TRUE,((Table1[[#This Row],[Birthweight (grams)]]/Table1[[#This Row],[BW_GA]])-1)/(Backend!$B$4/100*Table1[[#This Row],[BW40_3705]]),"")</f>
        <v/>
      </c>
      <c r="H6409" s="7" t="str">
        <f>IF(Table1[[#This Row],[Is Data Valid]]=TRUE,((Table1[[#This Row],[Birthweight (grams)]]*0.9/Table1[[#This Row],[BW_GA]])-1)/(Backend!$B$4/100*Table1[[#This Row],[BW40_3705]]),"")</f>
        <v/>
      </c>
      <c r="I6409" s="7" t="str">
        <f>IF(Table1[[#This Row],[Is Data Valid]]=TRUE,((Table1[[#This Row],[Birthweight (grams)]]*1.1/Table1[[#This Row],[BW_GA]])-1)/(Backend!$B$4/100*Table1[[#This Row],[BW40_3705]]),"")</f>
        <v/>
      </c>
      <c r="J6409" s="7" t="str">
        <f>IF(Table1[[#This Row],[Is Data Valid]]=TRUE,_xlfn.NORM.S.DIST(Table1[[#This Row],[Birthweight Z-Score]],TRUE)*100,"")</f>
        <v/>
      </c>
      <c r="K6409" s="7" t="str">
        <f>IF(Table1[[#This Row],[Is Data Valid]]=TRUE,_xlfn.NORM.S.DIST(Table1[[#This Row],[Birthweight Z-Score (BW-10%)]],TRUE)*100,"")</f>
        <v/>
      </c>
      <c r="L6409" s="7" t="str">
        <f>IF(Table1[[#This Row],[Is Data Valid]]=TRUE,_xlfn.NORM.S.DIST(Table1[[#This Row],[Birthweight Z-Score (BW+10%)]],TRUE)*100,"")</f>
        <v/>
      </c>
    </row>
    <row r="6410" spans="1:12" x14ac:dyDescent="0.35">
      <c r="A6410" s="3"/>
      <c r="B6410" s="2"/>
      <c r="C6410" s="2"/>
      <c r="D6410" s="2" t="b">
        <f>IF(AND(NOT(ISBLANK(Table1[[#This Row],[Fetal Sex (Male, Female or Unknown)]])),ISNUMBER(Table1[[#This Row],[Birthweight (grams)]]),ISNUMBER(Table1[[#This Row],[Gestation (days)]])),TRUE,FALSE)</f>
        <v>0</v>
      </c>
      <c r="E6410" s="2" t="str">
        <f>IF(Table1[[#This Row],[Is Data Valid]]=TRUE,IF(Table1[[#This Row],[Fetal Sex (Male, Female or Unknown)]]="Male",Backend!$C$6,IF(Table1[[#This Row],[Fetal Sex (Male, Female or Unknown)]]="Female",Backend!$C$7,IF(Table1[[#This Row],[Fetal Sex (Male, Female or Unknown)]]="Unknown",Backend!$C$8,"Error"))),"")</f>
        <v/>
      </c>
      <c r="F6410" s="8" t="str">
        <f>IF(Table1[[#This Row],[Is Data Valid]]=TRUE,EXP(0.578+0.332*((Table1[[#This Row],[Gestation (days)]]+0.5)/7)-0.00354*((Table1[[#This Row],[Gestation (days)]]+0.5)/7)^2)*Table1[[#This Row],[BW40_3705]],"")</f>
        <v/>
      </c>
      <c r="G6410" s="2" t="str">
        <f>IF(Table1[[#This Row],[Is Data Valid]]=TRUE,((Table1[[#This Row],[Birthweight (grams)]]/Table1[[#This Row],[BW_GA]])-1)/(Backend!$B$4/100*Table1[[#This Row],[BW40_3705]]),"")</f>
        <v/>
      </c>
      <c r="H6410" s="7" t="str">
        <f>IF(Table1[[#This Row],[Is Data Valid]]=TRUE,((Table1[[#This Row],[Birthweight (grams)]]*0.9/Table1[[#This Row],[BW_GA]])-1)/(Backend!$B$4/100*Table1[[#This Row],[BW40_3705]]),"")</f>
        <v/>
      </c>
      <c r="I6410" s="7" t="str">
        <f>IF(Table1[[#This Row],[Is Data Valid]]=TRUE,((Table1[[#This Row],[Birthweight (grams)]]*1.1/Table1[[#This Row],[BW_GA]])-1)/(Backend!$B$4/100*Table1[[#This Row],[BW40_3705]]),"")</f>
        <v/>
      </c>
      <c r="J6410" s="7" t="str">
        <f>IF(Table1[[#This Row],[Is Data Valid]]=TRUE,_xlfn.NORM.S.DIST(Table1[[#This Row],[Birthweight Z-Score]],TRUE)*100,"")</f>
        <v/>
      </c>
      <c r="K6410" s="7" t="str">
        <f>IF(Table1[[#This Row],[Is Data Valid]]=TRUE,_xlfn.NORM.S.DIST(Table1[[#This Row],[Birthweight Z-Score (BW-10%)]],TRUE)*100,"")</f>
        <v/>
      </c>
      <c r="L6410" s="7" t="str">
        <f>IF(Table1[[#This Row],[Is Data Valid]]=TRUE,_xlfn.NORM.S.DIST(Table1[[#This Row],[Birthweight Z-Score (BW+10%)]],TRUE)*100,"")</f>
        <v/>
      </c>
    </row>
    <row r="6411" spans="1:12" x14ac:dyDescent="0.35">
      <c r="A6411" s="3"/>
      <c r="B6411" s="2"/>
      <c r="C6411" s="2"/>
      <c r="D6411" s="2" t="b">
        <f>IF(AND(NOT(ISBLANK(Table1[[#This Row],[Fetal Sex (Male, Female or Unknown)]])),ISNUMBER(Table1[[#This Row],[Birthweight (grams)]]),ISNUMBER(Table1[[#This Row],[Gestation (days)]])),TRUE,FALSE)</f>
        <v>0</v>
      </c>
      <c r="E6411" s="2" t="str">
        <f>IF(Table1[[#This Row],[Is Data Valid]]=TRUE,IF(Table1[[#This Row],[Fetal Sex (Male, Female or Unknown)]]="Male",Backend!$C$6,IF(Table1[[#This Row],[Fetal Sex (Male, Female or Unknown)]]="Female",Backend!$C$7,IF(Table1[[#This Row],[Fetal Sex (Male, Female or Unknown)]]="Unknown",Backend!$C$8,"Error"))),"")</f>
        <v/>
      </c>
      <c r="F6411" s="8" t="str">
        <f>IF(Table1[[#This Row],[Is Data Valid]]=TRUE,EXP(0.578+0.332*((Table1[[#This Row],[Gestation (days)]]+0.5)/7)-0.00354*((Table1[[#This Row],[Gestation (days)]]+0.5)/7)^2)*Table1[[#This Row],[BW40_3705]],"")</f>
        <v/>
      </c>
      <c r="G6411" s="2" t="str">
        <f>IF(Table1[[#This Row],[Is Data Valid]]=TRUE,((Table1[[#This Row],[Birthweight (grams)]]/Table1[[#This Row],[BW_GA]])-1)/(Backend!$B$4/100*Table1[[#This Row],[BW40_3705]]),"")</f>
        <v/>
      </c>
      <c r="H6411" s="7" t="str">
        <f>IF(Table1[[#This Row],[Is Data Valid]]=TRUE,((Table1[[#This Row],[Birthweight (grams)]]*0.9/Table1[[#This Row],[BW_GA]])-1)/(Backend!$B$4/100*Table1[[#This Row],[BW40_3705]]),"")</f>
        <v/>
      </c>
      <c r="I6411" s="7" t="str">
        <f>IF(Table1[[#This Row],[Is Data Valid]]=TRUE,((Table1[[#This Row],[Birthweight (grams)]]*1.1/Table1[[#This Row],[BW_GA]])-1)/(Backend!$B$4/100*Table1[[#This Row],[BW40_3705]]),"")</f>
        <v/>
      </c>
      <c r="J6411" s="7" t="str">
        <f>IF(Table1[[#This Row],[Is Data Valid]]=TRUE,_xlfn.NORM.S.DIST(Table1[[#This Row],[Birthweight Z-Score]],TRUE)*100,"")</f>
        <v/>
      </c>
      <c r="K6411" s="7" t="str">
        <f>IF(Table1[[#This Row],[Is Data Valid]]=TRUE,_xlfn.NORM.S.DIST(Table1[[#This Row],[Birthweight Z-Score (BW-10%)]],TRUE)*100,"")</f>
        <v/>
      </c>
      <c r="L6411" s="7" t="str">
        <f>IF(Table1[[#This Row],[Is Data Valid]]=TRUE,_xlfn.NORM.S.DIST(Table1[[#This Row],[Birthweight Z-Score (BW+10%)]],TRUE)*100,"")</f>
        <v/>
      </c>
    </row>
    <row r="6412" spans="1:12" x14ac:dyDescent="0.35">
      <c r="A6412" s="3"/>
      <c r="B6412" s="2"/>
      <c r="C6412" s="2"/>
      <c r="D6412" s="2" t="b">
        <f>IF(AND(NOT(ISBLANK(Table1[[#This Row],[Fetal Sex (Male, Female or Unknown)]])),ISNUMBER(Table1[[#This Row],[Birthweight (grams)]]),ISNUMBER(Table1[[#This Row],[Gestation (days)]])),TRUE,FALSE)</f>
        <v>0</v>
      </c>
      <c r="E6412" s="2" t="str">
        <f>IF(Table1[[#This Row],[Is Data Valid]]=TRUE,IF(Table1[[#This Row],[Fetal Sex (Male, Female or Unknown)]]="Male",Backend!$C$6,IF(Table1[[#This Row],[Fetal Sex (Male, Female or Unknown)]]="Female",Backend!$C$7,IF(Table1[[#This Row],[Fetal Sex (Male, Female or Unknown)]]="Unknown",Backend!$C$8,"Error"))),"")</f>
        <v/>
      </c>
      <c r="F6412" s="8" t="str">
        <f>IF(Table1[[#This Row],[Is Data Valid]]=TRUE,EXP(0.578+0.332*((Table1[[#This Row],[Gestation (days)]]+0.5)/7)-0.00354*((Table1[[#This Row],[Gestation (days)]]+0.5)/7)^2)*Table1[[#This Row],[BW40_3705]],"")</f>
        <v/>
      </c>
      <c r="G6412" s="2" t="str">
        <f>IF(Table1[[#This Row],[Is Data Valid]]=TRUE,((Table1[[#This Row],[Birthweight (grams)]]/Table1[[#This Row],[BW_GA]])-1)/(Backend!$B$4/100*Table1[[#This Row],[BW40_3705]]),"")</f>
        <v/>
      </c>
      <c r="H6412" s="7" t="str">
        <f>IF(Table1[[#This Row],[Is Data Valid]]=TRUE,((Table1[[#This Row],[Birthweight (grams)]]*0.9/Table1[[#This Row],[BW_GA]])-1)/(Backend!$B$4/100*Table1[[#This Row],[BW40_3705]]),"")</f>
        <v/>
      </c>
      <c r="I6412" s="7" t="str">
        <f>IF(Table1[[#This Row],[Is Data Valid]]=TRUE,((Table1[[#This Row],[Birthweight (grams)]]*1.1/Table1[[#This Row],[BW_GA]])-1)/(Backend!$B$4/100*Table1[[#This Row],[BW40_3705]]),"")</f>
        <v/>
      </c>
      <c r="J6412" s="7" t="str">
        <f>IF(Table1[[#This Row],[Is Data Valid]]=TRUE,_xlfn.NORM.S.DIST(Table1[[#This Row],[Birthweight Z-Score]],TRUE)*100,"")</f>
        <v/>
      </c>
      <c r="K6412" s="7" t="str">
        <f>IF(Table1[[#This Row],[Is Data Valid]]=TRUE,_xlfn.NORM.S.DIST(Table1[[#This Row],[Birthweight Z-Score (BW-10%)]],TRUE)*100,"")</f>
        <v/>
      </c>
      <c r="L6412" s="7" t="str">
        <f>IF(Table1[[#This Row],[Is Data Valid]]=TRUE,_xlfn.NORM.S.DIST(Table1[[#This Row],[Birthweight Z-Score (BW+10%)]],TRUE)*100,"")</f>
        <v/>
      </c>
    </row>
    <row r="6413" spans="1:12" x14ac:dyDescent="0.35">
      <c r="A6413" s="3"/>
      <c r="B6413" s="2"/>
      <c r="C6413" s="2"/>
      <c r="D6413" s="2" t="b">
        <f>IF(AND(NOT(ISBLANK(Table1[[#This Row],[Fetal Sex (Male, Female or Unknown)]])),ISNUMBER(Table1[[#This Row],[Birthweight (grams)]]),ISNUMBER(Table1[[#This Row],[Gestation (days)]])),TRUE,FALSE)</f>
        <v>0</v>
      </c>
      <c r="E6413" s="2" t="str">
        <f>IF(Table1[[#This Row],[Is Data Valid]]=TRUE,IF(Table1[[#This Row],[Fetal Sex (Male, Female or Unknown)]]="Male",Backend!$C$6,IF(Table1[[#This Row],[Fetal Sex (Male, Female or Unknown)]]="Female",Backend!$C$7,IF(Table1[[#This Row],[Fetal Sex (Male, Female or Unknown)]]="Unknown",Backend!$C$8,"Error"))),"")</f>
        <v/>
      </c>
      <c r="F6413" s="8" t="str">
        <f>IF(Table1[[#This Row],[Is Data Valid]]=TRUE,EXP(0.578+0.332*((Table1[[#This Row],[Gestation (days)]]+0.5)/7)-0.00354*((Table1[[#This Row],[Gestation (days)]]+0.5)/7)^2)*Table1[[#This Row],[BW40_3705]],"")</f>
        <v/>
      </c>
      <c r="G6413" s="2" t="str">
        <f>IF(Table1[[#This Row],[Is Data Valid]]=TRUE,((Table1[[#This Row],[Birthweight (grams)]]/Table1[[#This Row],[BW_GA]])-1)/(Backend!$B$4/100*Table1[[#This Row],[BW40_3705]]),"")</f>
        <v/>
      </c>
      <c r="H6413" s="7" t="str">
        <f>IF(Table1[[#This Row],[Is Data Valid]]=TRUE,((Table1[[#This Row],[Birthweight (grams)]]*0.9/Table1[[#This Row],[BW_GA]])-1)/(Backend!$B$4/100*Table1[[#This Row],[BW40_3705]]),"")</f>
        <v/>
      </c>
      <c r="I6413" s="7" t="str">
        <f>IF(Table1[[#This Row],[Is Data Valid]]=TRUE,((Table1[[#This Row],[Birthweight (grams)]]*1.1/Table1[[#This Row],[BW_GA]])-1)/(Backend!$B$4/100*Table1[[#This Row],[BW40_3705]]),"")</f>
        <v/>
      </c>
      <c r="J6413" s="7" t="str">
        <f>IF(Table1[[#This Row],[Is Data Valid]]=TRUE,_xlfn.NORM.S.DIST(Table1[[#This Row],[Birthweight Z-Score]],TRUE)*100,"")</f>
        <v/>
      </c>
      <c r="K6413" s="7" t="str">
        <f>IF(Table1[[#This Row],[Is Data Valid]]=TRUE,_xlfn.NORM.S.DIST(Table1[[#This Row],[Birthweight Z-Score (BW-10%)]],TRUE)*100,"")</f>
        <v/>
      </c>
      <c r="L6413" s="7" t="str">
        <f>IF(Table1[[#This Row],[Is Data Valid]]=TRUE,_xlfn.NORM.S.DIST(Table1[[#This Row],[Birthweight Z-Score (BW+10%)]],TRUE)*100,"")</f>
        <v/>
      </c>
    </row>
    <row r="6414" spans="1:12" x14ac:dyDescent="0.35">
      <c r="A6414" s="3"/>
      <c r="B6414" s="2"/>
      <c r="C6414" s="2"/>
      <c r="D6414" s="2" t="b">
        <f>IF(AND(NOT(ISBLANK(Table1[[#This Row],[Fetal Sex (Male, Female or Unknown)]])),ISNUMBER(Table1[[#This Row],[Birthweight (grams)]]),ISNUMBER(Table1[[#This Row],[Gestation (days)]])),TRUE,FALSE)</f>
        <v>0</v>
      </c>
      <c r="E6414" s="2" t="str">
        <f>IF(Table1[[#This Row],[Is Data Valid]]=TRUE,IF(Table1[[#This Row],[Fetal Sex (Male, Female or Unknown)]]="Male",Backend!$C$6,IF(Table1[[#This Row],[Fetal Sex (Male, Female or Unknown)]]="Female",Backend!$C$7,IF(Table1[[#This Row],[Fetal Sex (Male, Female or Unknown)]]="Unknown",Backend!$C$8,"Error"))),"")</f>
        <v/>
      </c>
      <c r="F6414" s="8" t="str">
        <f>IF(Table1[[#This Row],[Is Data Valid]]=TRUE,EXP(0.578+0.332*((Table1[[#This Row],[Gestation (days)]]+0.5)/7)-0.00354*((Table1[[#This Row],[Gestation (days)]]+0.5)/7)^2)*Table1[[#This Row],[BW40_3705]],"")</f>
        <v/>
      </c>
      <c r="G6414" s="2" t="str">
        <f>IF(Table1[[#This Row],[Is Data Valid]]=TRUE,((Table1[[#This Row],[Birthweight (grams)]]/Table1[[#This Row],[BW_GA]])-1)/(Backend!$B$4/100*Table1[[#This Row],[BW40_3705]]),"")</f>
        <v/>
      </c>
      <c r="H6414" s="7" t="str">
        <f>IF(Table1[[#This Row],[Is Data Valid]]=TRUE,((Table1[[#This Row],[Birthweight (grams)]]*0.9/Table1[[#This Row],[BW_GA]])-1)/(Backend!$B$4/100*Table1[[#This Row],[BW40_3705]]),"")</f>
        <v/>
      </c>
      <c r="I6414" s="7" t="str">
        <f>IF(Table1[[#This Row],[Is Data Valid]]=TRUE,((Table1[[#This Row],[Birthweight (grams)]]*1.1/Table1[[#This Row],[BW_GA]])-1)/(Backend!$B$4/100*Table1[[#This Row],[BW40_3705]]),"")</f>
        <v/>
      </c>
      <c r="J6414" s="7" t="str">
        <f>IF(Table1[[#This Row],[Is Data Valid]]=TRUE,_xlfn.NORM.S.DIST(Table1[[#This Row],[Birthweight Z-Score]],TRUE)*100,"")</f>
        <v/>
      </c>
      <c r="K6414" s="7" t="str">
        <f>IF(Table1[[#This Row],[Is Data Valid]]=TRUE,_xlfn.NORM.S.DIST(Table1[[#This Row],[Birthweight Z-Score (BW-10%)]],TRUE)*100,"")</f>
        <v/>
      </c>
      <c r="L6414" s="7" t="str">
        <f>IF(Table1[[#This Row],[Is Data Valid]]=TRUE,_xlfn.NORM.S.DIST(Table1[[#This Row],[Birthweight Z-Score (BW+10%)]],TRUE)*100,"")</f>
        <v/>
      </c>
    </row>
    <row r="6415" spans="1:12" x14ac:dyDescent="0.35">
      <c r="A6415" s="3"/>
      <c r="B6415" s="2"/>
      <c r="C6415" s="2"/>
      <c r="D6415" s="2" t="b">
        <f>IF(AND(NOT(ISBLANK(Table1[[#This Row],[Fetal Sex (Male, Female or Unknown)]])),ISNUMBER(Table1[[#This Row],[Birthweight (grams)]]),ISNUMBER(Table1[[#This Row],[Gestation (days)]])),TRUE,FALSE)</f>
        <v>0</v>
      </c>
      <c r="E6415" s="2" t="str">
        <f>IF(Table1[[#This Row],[Is Data Valid]]=TRUE,IF(Table1[[#This Row],[Fetal Sex (Male, Female or Unknown)]]="Male",Backend!$C$6,IF(Table1[[#This Row],[Fetal Sex (Male, Female or Unknown)]]="Female",Backend!$C$7,IF(Table1[[#This Row],[Fetal Sex (Male, Female or Unknown)]]="Unknown",Backend!$C$8,"Error"))),"")</f>
        <v/>
      </c>
      <c r="F6415" s="8" t="str">
        <f>IF(Table1[[#This Row],[Is Data Valid]]=TRUE,EXP(0.578+0.332*((Table1[[#This Row],[Gestation (days)]]+0.5)/7)-0.00354*((Table1[[#This Row],[Gestation (days)]]+0.5)/7)^2)*Table1[[#This Row],[BW40_3705]],"")</f>
        <v/>
      </c>
      <c r="G6415" s="2" t="str">
        <f>IF(Table1[[#This Row],[Is Data Valid]]=TRUE,((Table1[[#This Row],[Birthweight (grams)]]/Table1[[#This Row],[BW_GA]])-1)/(Backend!$B$4/100*Table1[[#This Row],[BW40_3705]]),"")</f>
        <v/>
      </c>
      <c r="H6415" s="7" t="str">
        <f>IF(Table1[[#This Row],[Is Data Valid]]=TRUE,((Table1[[#This Row],[Birthweight (grams)]]*0.9/Table1[[#This Row],[BW_GA]])-1)/(Backend!$B$4/100*Table1[[#This Row],[BW40_3705]]),"")</f>
        <v/>
      </c>
      <c r="I6415" s="7" t="str">
        <f>IF(Table1[[#This Row],[Is Data Valid]]=TRUE,((Table1[[#This Row],[Birthweight (grams)]]*1.1/Table1[[#This Row],[BW_GA]])-1)/(Backend!$B$4/100*Table1[[#This Row],[BW40_3705]]),"")</f>
        <v/>
      </c>
      <c r="J6415" s="7" t="str">
        <f>IF(Table1[[#This Row],[Is Data Valid]]=TRUE,_xlfn.NORM.S.DIST(Table1[[#This Row],[Birthweight Z-Score]],TRUE)*100,"")</f>
        <v/>
      </c>
      <c r="K6415" s="7" t="str">
        <f>IF(Table1[[#This Row],[Is Data Valid]]=TRUE,_xlfn.NORM.S.DIST(Table1[[#This Row],[Birthweight Z-Score (BW-10%)]],TRUE)*100,"")</f>
        <v/>
      </c>
      <c r="L6415" s="7" t="str">
        <f>IF(Table1[[#This Row],[Is Data Valid]]=TRUE,_xlfn.NORM.S.DIST(Table1[[#This Row],[Birthweight Z-Score (BW+10%)]],TRUE)*100,"")</f>
        <v/>
      </c>
    </row>
    <row r="6416" spans="1:12" x14ac:dyDescent="0.35">
      <c r="A6416" s="3"/>
      <c r="B6416" s="2"/>
      <c r="C6416" s="2"/>
      <c r="D6416" s="2" t="b">
        <f>IF(AND(NOT(ISBLANK(Table1[[#This Row],[Fetal Sex (Male, Female or Unknown)]])),ISNUMBER(Table1[[#This Row],[Birthweight (grams)]]),ISNUMBER(Table1[[#This Row],[Gestation (days)]])),TRUE,FALSE)</f>
        <v>0</v>
      </c>
      <c r="E6416" s="2" t="str">
        <f>IF(Table1[[#This Row],[Is Data Valid]]=TRUE,IF(Table1[[#This Row],[Fetal Sex (Male, Female or Unknown)]]="Male",Backend!$C$6,IF(Table1[[#This Row],[Fetal Sex (Male, Female or Unknown)]]="Female",Backend!$C$7,IF(Table1[[#This Row],[Fetal Sex (Male, Female or Unknown)]]="Unknown",Backend!$C$8,"Error"))),"")</f>
        <v/>
      </c>
      <c r="F6416" s="8" t="str">
        <f>IF(Table1[[#This Row],[Is Data Valid]]=TRUE,EXP(0.578+0.332*((Table1[[#This Row],[Gestation (days)]]+0.5)/7)-0.00354*((Table1[[#This Row],[Gestation (days)]]+0.5)/7)^2)*Table1[[#This Row],[BW40_3705]],"")</f>
        <v/>
      </c>
      <c r="G6416" s="2" t="str">
        <f>IF(Table1[[#This Row],[Is Data Valid]]=TRUE,((Table1[[#This Row],[Birthweight (grams)]]/Table1[[#This Row],[BW_GA]])-1)/(Backend!$B$4/100*Table1[[#This Row],[BW40_3705]]),"")</f>
        <v/>
      </c>
      <c r="H6416" s="7" t="str">
        <f>IF(Table1[[#This Row],[Is Data Valid]]=TRUE,((Table1[[#This Row],[Birthweight (grams)]]*0.9/Table1[[#This Row],[BW_GA]])-1)/(Backend!$B$4/100*Table1[[#This Row],[BW40_3705]]),"")</f>
        <v/>
      </c>
      <c r="I6416" s="7" t="str">
        <f>IF(Table1[[#This Row],[Is Data Valid]]=TRUE,((Table1[[#This Row],[Birthweight (grams)]]*1.1/Table1[[#This Row],[BW_GA]])-1)/(Backend!$B$4/100*Table1[[#This Row],[BW40_3705]]),"")</f>
        <v/>
      </c>
      <c r="J6416" s="7" t="str">
        <f>IF(Table1[[#This Row],[Is Data Valid]]=TRUE,_xlfn.NORM.S.DIST(Table1[[#This Row],[Birthweight Z-Score]],TRUE)*100,"")</f>
        <v/>
      </c>
      <c r="K6416" s="7" t="str">
        <f>IF(Table1[[#This Row],[Is Data Valid]]=TRUE,_xlfn.NORM.S.DIST(Table1[[#This Row],[Birthweight Z-Score (BW-10%)]],TRUE)*100,"")</f>
        <v/>
      </c>
      <c r="L6416" s="7" t="str">
        <f>IF(Table1[[#This Row],[Is Data Valid]]=TRUE,_xlfn.NORM.S.DIST(Table1[[#This Row],[Birthweight Z-Score (BW+10%)]],TRUE)*100,"")</f>
        <v/>
      </c>
    </row>
    <row r="6417" spans="1:12" x14ac:dyDescent="0.35">
      <c r="A6417" s="3"/>
      <c r="B6417" s="2"/>
      <c r="C6417" s="2"/>
      <c r="D6417" s="2" t="b">
        <f>IF(AND(NOT(ISBLANK(Table1[[#This Row],[Fetal Sex (Male, Female or Unknown)]])),ISNUMBER(Table1[[#This Row],[Birthweight (grams)]]),ISNUMBER(Table1[[#This Row],[Gestation (days)]])),TRUE,FALSE)</f>
        <v>0</v>
      </c>
      <c r="E6417" s="2" t="str">
        <f>IF(Table1[[#This Row],[Is Data Valid]]=TRUE,IF(Table1[[#This Row],[Fetal Sex (Male, Female or Unknown)]]="Male",Backend!$C$6,IF(Table1[[#This Row],[Fetal Sex (Male, Female or Unknown)]]="Female",Backend!$C$7,IF(Table1[[#This Row],[Fetal Sex (Male, Female or Unknown)]]="Unknown",Backend!$C$8,"Error"))),"")</f>
        <v/>
      </c>
      <c r="F6417" s="8" t="str">
        <f>IF(Table1[[#This Row],[Is Data Valid]]=TRUE,EXP(0.578+0.332*((Table1[[#This Row],[Gestation (days)]]+0.5)/7)-0.00354*((Table1[[#This Row],[Gestation (days)]]+0.5)/7)^2)*Table1[[#This Row],[BW40_3705]],"")</f>
        <v/>
      </c>
      <c r="G6417" s="2" t="str">
        <f>IF(Table1[[#This Row],[Is Data Valid]]=TRUE,((Table1[[#This Row],[Birthweight (grams)]]/Table1[[#This Row],[BW_GA]])-1)/(Backend!$B$4/100*Table1[[#This Row],[BW40_3705]]),"")</f>
        <v/>
      </c>
      <c r="H6417" s="7" t="str">
        <f>IF(Table1[[#This Row],[Is Data Valid]]=TRUE,((Table1[[#This Row],[Birthweight (grams)]]*0.9/Table1[[#This Row],[BW_GA]])-1)/(Backend!$B$4/100*Table1[[#This Row],[BW40_3705]]),"")</f>
        <v/>
      </c>
      <c r="I6417" s="7" t="str">
        <f>IF(Table1[[#This Row],[Is Data Valid]]=TRUE,((Table1[[#This Row],[Birthweight (grams)]]*1.1/Table1[[#This Row],[BW_GA]])-1)/(Backend!$B$4/100*Table1[[#This Row],[BW40_3705]]),"")</f>
        <v/>
      </c>
      <c r="J6417" s="7" t="str">
        <f>IF(Table1[[#This Row],[Is Data Valid]]=TRUE,_xlfn.NORM.S.DIST(Table1[[#This Row],[Birthweight Z-Score]],TRUE)*100,"")</f>
        <v/>
      </c>
      <c r="K6417" s="7" t="str">
        <f>IF(Table1[[#This Row],[Is Data Valid]]=TRUE,_xlfn.NORM.S.DIST(Table1[[#This Row],[Birthweight Z-Score (BW-10%)]],TRUE)*100,"")</f>
        <v/>
      </c>
      <c r="L6417" s="7" t="str">
        <f>IF(Table1[[#This Row],[Is Data Valid]]=TRUE,_xlfn.NORM.S.DIST(Table1[[#This Row],[Birthweight Z-Score (BW+10%)]],TRUE)*100,"")</f>
        <v/>
      </c>
    </row>
    <row r="6418" spans="1:12" x14ac:dyDescent="0.35">
      <c r="A6418" s="3"/>
      <c r="B6418" s="2"/>
      <c r="C6418" s="2"/>
      <c r="D6418" s="2" t="b">
        <f>IF(AND(NOT(ISBLANK(Table1[[#This Row],[Fetal Sex (Male, Female or Unknown)]])),ISNUMBER(Table1[[#This Row],[Birthweight (grams)]]),ISNUMBER(Table1[[#This Row],[Gestation (days)]])),TRUE,FALSE)</f>
        <v>0</v>
      </c>
      <c r="E6418" s="2" t="str">
        <f>IF(Table1[[#This Row],[Is Data Valid]]=TRUE,IF(Table1[[#This Row],[Fetal Sex (Male, Female or Unknown)]]="Male",Backend!$C$6,IF(Table1[[#This Row],[Fetal Sex (Male, Female or Unknown)]]="Female",Backend!$C$7,IF(Table1[[#This Row],[Fetal Sex (Male, Female or Unknown)]]="Unknown",Backend!$C$8,"Error"))),"")</f>
        <v/>
      </c>
      <c r="F6418" s="8" t="str">
        <f>IF(Table1[[#This Row],[Is Data Valid]]=TRUE,EXP(0.578+0.332*((Table1[[#This Row],[Gestation (days)]]+0.5)/7)-0.00354*((Table1[[#This Row],[Gestation (days)]]+0.5)/7)^2)*Table1[[#This Row],[BW40_3705]],"")</f>
        <v/>
      </c>
      <c r="G6418" s="2" t="str">
        <f>IF(Table1[[#This Row],[Is Data Valid]]=TRUE,((Table1[[#This Row],[Birthweight (grams)]]/Table1[[#This Row],[BW_GA]])-1)/(Backend!$B$4/100*Table1[[#This Row],[BW40_3705]]),"")</f>
        <v/>
      </c>
      <c r="H6418" s="7" t="str">
        <f>IF(Table1[[#This Row],[Is Data Valid]]=TRUE,((Table1[[#This Row],[Birthweight (grams)]]*0.9/Table1[[#This Row],[BW_GA]])-1)/(Backend!$B$4/100*Table1[[#This Row],[BW40_3705]]),"")</f>
        <v/>
      </c>
      <c r="I6418" s="7" t="str">
        <f>IF(Table1[[#This Row],[Is Data Valid]]=TRUE,((Table1[[#This Row],[Birthweight (grams)]]*1.1/Table1[[#This Row],[BW_GA]])-1)/(Backend!$B$4/100*Table1[[#This Row],[BW40_3705]]),"")</f>
        <v/>
      </c>
      <c r="J6418" s="7" t="str">
        <f>IF(Table1[[#This Row],[Is Data Valid]]=TRUE,_xlfn.NORM.S.DIST(Table1[[#This Row],[Birthweight Z-Score]],TRUE)*100,"")</f>
        <v/>
      </c>
      <c r="K6418" s="7" t="str">
        <f>IF(Table1[[#This Row],[Is Data Valid]]=TRUE,_xlfn.NORM.S.DIST(Table1[[#This Row],[Birthweight Z-Score (BW-10%)]],TRUE)*100,"")</f>
        <v/>
      </c>
      <c r="L6418" s="7" t="str">
        <f>IF(Table1[[#This Row],[Is Data Valid]]=TRUE,_xlfn.NORM.S.DIST(Table1[[#This Row],[Birthweight Z-Score (BW+10%)]],TRUE)*100,"")</f>
        <v/>
      </c>
    </row>
    <row r="6419" spans="1:12" x14ac:dyDescent="0.35">
      <c r="A6419" s="3"/>
      <c r="B6419" s="2"/>
      <c r="C6419" s="2"/>
      <c r="D6419" s="2" t="b">
        <f>IF(AND(NOT(ISBLANK(Table1[[#This Row],[Fetal Sex (Male, Female or Unknown)]])),ISNUMBER(Table1[[#This Row],[Birthweight (grams)]]),ISNUMBER(Table1[[#This Row],[Gestation (days)]])),TRUE,FALSE)</f>
        <v>0</v>
      </c>
      <c r="E6419" s="2" t="str">
        <f>IF(Table1[[#This Row],[Is Data Valid]]=TRUE,IF(Table1[[#This Row],[Fetal Sex (Male, Female or Unknown)]]="Male",Backend!$C$6,IF(Table1[[#This Row],[Fetal Sex (Male, Female or Unknown)]]="Female",Backend!$C$7,IF(Table1[[#This Row],[Fetal Sex (Male, Female or Unknown)]]="Unknown",Backend!$C$8,"Error"))),"")</f>
        <v/>
      </c>
      <c r="F6419" s="8" t="str">
        <f>IF(Table1[[#This Row],[Is Data Valid]]=TRUE,EXP(0.578+0.332*((Table1[[#This Row],[Gestation (days)]]+0.5)/7)-0.00354*((Table1[[#This Row],[Gestation (days)]]+0.5)/7)^2)*Table1[[#This Row],[BW40_3705]],"")</f>
        <v/>
      </c>
      <c r="G6419" s="2" t="str">
        <f>IF(Table1[[#This Row],[Is Data Valid]]=TRUE,((Table1[[#This Row],[Birthweight (grams)]]/Table1[[#This Row],[BW_GA]])-1)/(Backend!$B$4/100*Table1[[#This Row],[BW40_3705]]),"")</f>
        <v/>
      </c>
      <c r="H6419" s="7" t="str">
        <f>IF(Table1[[#This Row],[Is Data Valid]]=TRUE,((Table1[[#This Row],[Birthweight (grams)]]*0.9/Table1[[#This Row],[BW_GA]])-1)/(Backend!$B$4/100*Table1[[#This Row],[BW40_3705]]),"")</f>
        <v/>
      </c>
      <c r="I6419" s="7" t="str">
        <f>IF(Table1[[#This Row],[Is Data Valid]]=TRUE,((Table1[[#This Row],[Birthweight (grams)]]*1.1/Table1[[#This Row],[BW_GA]])-1)/(Backend!$B$4/100*Table1[[#This Row],[BW40_3705]]),"")</f>
        <v/>
      </c>
      <c r="J6419" s="7" t="str">
        <f>IF(Table1[[#This Row],[Is Data Valid]]=TRUE,_xlfn.NORM.S.DIST(Table1[[#This Row],[Birthweight Z-Score]],TRUE)*100,"")</f>
        <v/>
      </c>
      <c r="K6419" s="7" t="str">
        <f>IF(Table1[[#This Row],[Is Data Valid]]=TRUE,_xlfn.NORM.S.DIST(Table1[[#This Row],[Birthweight Z-Score (BW-10%)]],TRUE)*100,"")</f>
        <v/>
      </c>
      <c r="L6419" s="7" t="str">
        <f>IF(Table1[[#This Row],[Is Data Valid]]=TRUE,_xlfn.NORM.S.DIST(Table1[[#This Row],[Birthweight Z-Score (BW+10%)]],TRUE)*100,"")</f>
        <v/>
      </c>
    </row>
    <row r="6420" spans="1:12" x14ac:dyDescent="0.35">
      <c r="A6420" s="3"/>
      <c r="B6420" s="2"/>
      <c r="C6420" s="2"/>
      <c r="D6420" s="2" t="b">
        <f>IF(AND(NOT(ISBLANK(Table1[[#This Row],[Fetal Sex (Male, Female or Unknown)]])),ISNUMBER(Table1[[#This Row],[Birthweight (grams)]]),ISNUMBER(Table1[[#This Row],[Gestation (days)]])),TRUE,FALSE)</f>
        <v>0</v>
      </c>
      <c r="E6420" s="2" t="str">
        <f>IF(Table1[[#This Row],[Is Data Valid]]=TRUE,IF(Table1[[#This Row],[Fetal Sex (Male, Female or Unknown)]]="Male",Backend!$C$6,IF(Table1[[#This Row],[Fetal Sex (Male, Female or Unknown)]]="Female",Backend!$C$7,IF(Table1[[#This Row],[Fetal Sex (Male, Female or Unknown)]]="Unknown",Backend!$C$8,"Error"))),"")</f>
        <v/>
      </c>
      <c r="F6420" s="8" t="str">
        <f>IF(Table1[[#This Row],[Is Data Valid]]=TRUE,EXP(0.578+0.332*((Table1[[#This Row],[Gestation (days)]]+0.5)/7)-0.00354*((Table1[[#This Row],[Gestation (days)]]+0.5)/7)^2)*Table1[[#This Row],[BW40_3705]],"")</f>
        <v/>
      </c>
      <c r="G6420" s="2" t="str">
        <f>IF(Table1[[#This Row],[Is Data Valid]]=TRUE,((Table1[[#This Row],[Birthweight (grams)]]/Table1[[#This Row],[BW_GA]])-1)/(Backend!$B$4/100*Table1[[#This Row],[BW40_3705]]),"")</f>
        <v/>
      </c>
      <c r="H6420" s="7" t="str">
        <f>IF(Table1[[#This Row],[Is Data Valid]]=TRUE,((Table1[[#This Row],[Birthweight (grams)]]*0.9/Table1[[#This Row],[BW_GA]])-1)/(Backend!$B$4/100*Table1[[#This Row],[BW40_3705]]),"")</f>
        <v/>
      </c>
      <c r="I6420" s="7" t="str">
        <f>IF(Table1[[#This Row],[Is Data Valid]]=TRUE,((Table1[[#This Row],[Birthweight (grams)]]*1.1/Table1[[#This Row],[BW_GA]])-1)/(Backend!$B$4/100*Table1[[#This Row],[BW40_3705]]),"")</f>
        <v/>
      </c>
      <c r="J6420" s="7" t="str">
        <f>IF(Table1[[#This Row],[Is Data Valid]]=TRUE,_xlfn.NORM.S.DIST(Table1[[#This Row],[Birthweight Z-Score]],TRUE)*100,"")</f>
        <v/>
      </c>
      <c r="K6420" s="7" t="str">
        <f>IF(Table1[[#This Row],[Is Data Valid]]=TRUE,_xlfn.NORM.S.DIST(Table1[[#This Row],[Birthweight Z-Score (BW-10%)]],TRUE)*100,"")</f>
        <v/>
      </c>
      <c r="L6420" s="7" t="str">
        <f>IF(Table1[[#This Row],[Is Data Valid]]=TRUE,_xlfn.NORM.S.DIST(Table1[[#This Row],[Birthweight Z-Score (BW+10%)]],TRUE)*100,"")</f>
        <v/>
      </c>
    </row>
    <row r="6421" spans="1:12" x14ac:dyDescent="0.35">
      <c r="A6421" s="3"/>
      <c r="B6421" s="2"/>
      <c r="C6421" s="2"/>
      <c r="D6421" s="2" t="b">
        <f>IF(AND(NOT(ISBLANK(Table1[[#This Row],[Fetal Sex (Male, Female or Unknown)]])),ISNUMBER(Table1[[#This Row],[Birthweight (grams)]]),ISNUMBER(Table1[[#This Row],[Gestation (days)]])),TRUE,FALSE)</f>
        <v>0</v>
      </c>
      <c r="E6421" s="2" t="str">
        <f>IF(Table1[[#This Row],[Is Data Valid]]=TRUE,IF(Table1[[#This Row],[Fetal Sex (Male, Female or Unknown)]]="Male",Backend!$C$6,IF(Table1[[#This Row],[Fetal Sex (Male, Female or Unknown)]]="Female",Backend!$C$7,IF(Table1[[#This Row],[Fetal Sex (Male, Female or Unknown)]]="Unknown",Backend!$C$8,"Error"))),"")</f>
        <v/>
      </c>
      <c r="F6421" s="8" t="str">
        <f>IF(Table1[[#This Row],[Is Data Valid]]=TRUE,EXP(0.578+0.332*((Table1[[#This Row],[Gestation (days)]]+0.5)/7)-0.00354*((Table1[[#This Row],[Gestation (days)]]+0.5)/7)^2)*Table1[[#This Row],[BW40_3705]],"")</f>
        <v/>
      </c>
      <c r="G6421" s="2" t="str">
        <f>IF(Table1[[#This Row],[Is Data Valid]]=TRUE,((Table1[[#This Row],[Birthweight (grams)]]/Table1[[#This Row],[BW_GA]])-1)/(Backend!$B$4/100*Table1[[#This Row],[BW40_3705]]),"")</f>
        <v/>
      </c>
      <c r="H6421" s="7" t="str">
        <f>IF(Table1[[#This Row],[Is Data Valid]]=TRUE,((Table1[[#This Row],[Birthweight (grams)]]*0.9/Table1[[#This Row],[BW_GA]])-1)/(Backend!$B$4/100*Table1[[#This Row],[BW40_3705]]),"")</f>
        <v/>
      </c>
      <c r="I6421" s="7" t="str">
        <f>IF(Table1[[#This Row],[Is Data Valid]]=TRUE,((Table1[[#This Row],[Birthweight (grams)]]*1.1/Table1[[#This Row],[BW_GA]])-1)/(Backend!$B$4/100*Table1[[#This Row],[BW40_3705]]),"")</f>
        <v/>
      </c>
      <c r="J6421" s="7" t="str">
        <f>IF(Table1[[#This Row],[Is Data Valid]]=TRUE,_xlfn.NORM.S.DIST(Table1[[#This Row],[Birthweight Z-Score]],TRUE)*100,"")</f>
        <v/>
      </c>
      <c r="K6421" s="7" t="str">
        <f>IF(Table1[[#This Row],[Is Data Valid]]=TRUE,_xlfn.NORM.S.DIST(Table1[[#This Row],[Birthweight Z-Score (BW-10%)]],TRUE)*100,"")</f>
        <v/>
      </c>
      <c r="L6421" s="7" t="str">
        <f>IF(Table1[[#This Row],[Is Data Valid]]=TRUE,_xlfn.NORM.S.DIST(Table1[[#This Row],[Birthweight Z-Score (BW+10%)]],TRUE)*100,"")</f>
        <v/>
      </c>
    </row>
    <row r="6422" spans="1:12" x14ac:dyDescent="0.35">
      <c r="A6422" s="3"/>
      <c r="B6422" s="2"/>
      <c r="C6422" s="2"/>
      <c r="D6422" s="2" t="b">
        <f>IF(AND(NOT(ISBLANK(Table1[[#This Row],[Fetal Sex (Male, Female or Unknown)]])),ISNUMBER(Table1[[#This Row],[Birthweight (grams)]]),ISNUMBER(Table1[[#This Row],[Gestation (days)]])),TRUE,FALSE)</f>
        <v>0</v>
      </c>
      <c r="E6422" s="2" t="str">
        <f>IF(Table1[[#This Row],[Is Data Valid]]=TRUE,IF(Table1[[#This Row],[Fetal Sex (Male, Female or Unknown)]]="Male",Backend!$C$6,IF(Table1[[#This Row],[Fetal Sex (Male, Female or Unknown)]]="Female",Backend!$C$7,IF(Table1[[#This Row],[Fetal Sex (Male, Female or Unknown)]]="Unknown",Backend!$C$8,"Error"))),"")</f>
        <v/>
      </c>
      <c r="F6422" s="8" t="str">
        <f>IF(Table1[[#This Row],[Is Data Valid]]=TRUE,EXP(0.578+0.332*((Table1[[#This Row],[Gestation (days)]]+0.5)/7)-0.00354*((Table1[[#This Row],[Gestation (days)]]+0.5)/7)^2)*Table1[[#This Row],[BW40_3705]],"")</f>
        <v/>
      </c>
      <c r="G6422" s="2" t="str">
        <f>IF(Table1[[#This Row],[Is Data Valid]]=TRUE,((Table1[[#This Row],[Birthweight (grams)]]/Table1[[#This Row],[BW_GA]])-1)/(Backend!$B$4/100*Table1[[#This Row],[BW40_3705]]),"")</f>
        <v/>
      </c>
      <c r="H6422" s="7" t="str">
        <f>IF(Table1[[#This Row],[Is Data Valid]]=TRUE,((Table1[[#This Row],[Birthweight (grams)]]*0.9/Table1[[#This Row],[BW_GA]])-1)/(Backend!$B$4/100*Table1[[#This Row],[BW40_3705]]),"")</f>
        <v/>
      </c>
      <c r="I6422" s="7" t="str">
        <f>IF(Table1[[#This Row],[Is Data Valid]]=TRUE,((Table1[[#This Row],[Birthweight (grams)]]*1.1/Table1[[#This Row],[BW_GA]])-1)/(Backend!$B$4/100*Table1[[#This Row],[BW40_3705]]),"")</f>
        <v/>
      </c>
      <c r="J6422" s="7" t="str">
        <f>IF(Table1[[#This Row],[Is Data Valid]]=TRUE,_xlfn.NORM.S.DIST(Table1[[#This Row],[Birthweight Z-Score]],TRUE)*100,"")</f>
        <v/>
      </c>
      <c r="K6422" s="7" t="str">
        <f>IF(Table1[[#This Row],[Is Data Valid]]=TRUE,_xlfn.NORM.S.DIST(Table1[[#This Row],[Birthweight Z-Score (BW-10%)]],TRUE)*100,"")</f>
        <v/>
      </c>
      <c r="L6422" s="7" t="str">
        <f>IF(Table1[[#This Row],[Is Data Valid]]=TRUE,_xlfn.NORM.S.DIST(Table1[[#This Row],[Birthweight Z-Score (BW+10%)]],TRUE)*100,"")</f>
        <v/>
      </c>
    </row>
    <row r="6423" spans="1:12" x14ac:dyDescent="0.35">
      <c r="A6423" s="3"/>
      <c r="B6423" s="2"/>
      <c r="C6423" s="2"/>
      <c r="D6423" s="2" t="b">
        <f>IF(AND(NOT(ISBLANK(Table1[[#This Row],[Fetal Sex (Male, Female or Unknown)]])),ISNUMBER(Table1[[#This Row],[Birthweight (grams)]]),ISNUMBER(Table1[[#This Row],[Gestation (days)]])),TRUE,FALSE)</f>
        <v>0</v>
      </c>
      <c r="E6423" s="2" t="str">
        <f>IF(Table1[[#This Row],[Is Data Valid]]=TRUE,IF(Table1[[#This Row],[Fetal Sex (Male, Female or Unknown)]]="Male",Backend!$C$6,IF(Table1[[#This Row],[Fetal Sex (Male, Female or Unknown)]]="Female",Backend!$C$7,IF(Table1[[#This Row],[Fetal Sex (Male, Female or Unknown)]]="Unknown",Backend!$C$8,"Error"))),"")</f>
        <v/>
      </c>
      <c r="F6423" s="8" t="str">
        <f>IF(Table1[[#This Row],[Is Data Valid]]=TRUE,EXP(0.578+0.332*((Table1[[#This Row],[Gestation (days)]]+0.5)/7)-0.00354*((Table1[[#This Row],[Gestation (days)]]+0.5)/7)^2)*Table1[[#This Row],[BW40_3705]],"")</f>
        <v/>
      </c>
      <c r="G6423" s="2" t="str">
        <f>IF(Table1[[#This Row],[Is Data Valid]]=TRUE,((Table1[[#This Row],[Birthweight (grams)]]/Table1[[#This Row],[BW_GA]])-1)/(Backend!$B$4/100*Table1[[#This Row],[BW40_3705]]),"")</f>
        <v/>
      </c>
      <c r="H6423" s="7" t="str">
        <f>IF(Table1[[#This Row],[Is Data Valid]]=TRUE,((Table1[[#This Row],[Birthweight (grams)]]*0.9/Table1[[#This Row],[BW_GA]])-1)/(Backend!$B$4/100*Table1[[#This Row],[BW40_3705]]),"")</f>
        <v/>
      </c>
      <c r="I6423" s="7" t="str">
        <f>IF(Table1[[#This Row],[Is Data Valid]]=TRUE,((Table1[[#This Row],[Birthweight (grams)]]*1.1/Table1[[#This Row],[BW_GA]])-1)/(Backend!$B$4/100*Table1[[#This Row],[BW40_3705]]),"")</f>
        <v/>
      </c>
      <c r="J6423" s="7" t="str">
        <f>IF(Table1[[#This Row],[Is Data Valid]]=TRUE,_xlfn.NORM.S.DIST(Table1[[#This Row],[Birthweight Z-Score]],TRUE)*100,"")</f>
        <v/>
      </c>
      <c r="K6423" s="7" t="str">
        <f>IF(Table1[[#This Row],[Is Data Valid]]=TRUE,_xlfn.NORM.S.DIST(Table1[[#This Row],[Birthweight Z-Score (BW-10%)]],TRUE)*100,"")</f>
        <v/>
      </c>
      <c r="L6423" s="7" t="str">
        <f>IF(Table1[[#This Row],[Is Data Valid]]=TRUE,_xlfn.NORM.S.DIST(Table1[[#This Row],[Birthweight Z-Score (BW+10%)]],TRUE)*100,"")</f>
        <v/>
      </c>
    </row>
    <row r="6424" spans="1:12" x14ac:dyDescent="0.35">
      <c r="A6424" s="3"/>
      <c r="B6424" s="2"/>
      <c r="C6424" s="2"/>
      <c r="D6424" s="2" t="b">
        <f>IF(AND(NOT(ISBLANK(Table1[[#This Row],[Fetal Sex (Male, Female or Unknown)]])),ISNUMBER(Table1[[#This Row],[Birthweight (grams)]]),ISNUMBER(Table1[[#This Row],[Gestation (days)]])),TRUE,FALSE)</f>
        <v>0</v>
      </c>
      <c r="E6424" s="2" t="str">
        <f>IF(Table1[[#This Row],[Is Data Valid]]=TRUE,IF(Table1[[#This Row],[Fetal Sex (Male, Female or Unknown)]]="Male",Backend!$C$6,IF(Table1[[#This Row],[Fetal Sex (Male, Female or Unknown)]]="Female",Backend!$C$7,IF(Table1[[#This Row],[Fetal Sex (Male, Female or Unknown)]]="Unknown",Backend!$C$8,"Error"))),"")</f>
        <v/>
      </c>
      <c r="F6424" s="8" t="str">
        <f>IF(Table1[[#This Row],[Is Data Valid]]=TRUE,EXP(0.578+0.332*((Table1[[#This Row],[Gestation (days)]]+0.5)/7)-0.00354*((Table1[[#This Row],[Gestation (days)]]+0.5)/7)^2)*Table1[[#This Row],[BW40_3705]],"")</f>
        <v/>
      </c>
      <c r="G6424" s="2" t="str">
        <f>IF(Table1[[#This Row],[Is Data Valid]]=TRUE,((Table1[[#This Row],[Birthweight (grams)]]/Table1[[#This Row],[BW_GA]])-1)/(Backend!$B$4/100*Table1[[#This Row],[BW40_3705]]),"")</f>
        <v/>
      </c>
      <c r="H6424" s="7" t="str">
        <f>IF(Table1[[#This Row],[Is Data Valid]]=TRUE,((Table1[[#This Row],[Birthweight (grams)]]*0.9/Table1[[#This Row],[BW_GA]])-1)/(Backend!$B$4/100*Table1[[#This Row],[BW40_3705]]),"")</f>
        <v/>
      </c>
      <c r="I6424" s="7" t="str">
        <f>IF(Table1[[#This Row],[Is Data Valid]]=TRUE,((Table1[[#This Row],[Birthweight (grams)]]*1.1/Table1[[#This Row],[BW_GA]])-1)/(Backend!$B$4/100*Table1[[#This Row],[BW40_3705]]),"")</f>
        <v/>
      </c>
      <c r="J6424" s="7" t="str">
        <f>IF(Table1[[#This Row],[Is Data Valid]]=TRUE,_xlfn.NORM.S.DIST(Table1[[#This Row],[Birthweight Z-Score]],TRUE)*100,"")</f>
        <v/>
      </c>
      <c r="K6424" s="7" t="str">
        <f>IF(Table1[[#This Row],[Is Data Valid]]=TRUE,_xlfn.NORM.S.DIST(Table1[[#This Row],[Birthweight Z-Score (BW-10%)]],TRUE)*100,"")</f>
        <v/>
      </c>
      <c r="L6424" s="7" t="str">
        <f>IF(Table1[[#This Row],[Is Data Valid]]=TRUE,_xlfn.NORM.S.DIST(Table1[[#This Row],[Birthweight Z-Score (BW+10%)]],TRUE)*100,"")</f>
        <v/>
      </c>
    </row>
    <row r="6425" spans="1:12" x14ac:dyDescent="0.35">
      <c r="A6425" s="3"/>
      <c r="B6425" s="2"/>
      <c r="C6425" s="2"/>
      <c r="D6425" s="2" t="b">
        <f>IF(AND(NOT(ISBLANK(Table1[[#This Row],[Fetal Sex (Male, Female or Unknown)]])),ISNUMBER(Table1[[#This Row],[Birthweight (grams)]]),ISNUMBER(Table1[[#This Row],[Gestation (days)]])),TRUE,FALSE)</f>
        <v>0</v>
      </c>
      <c r="E6425" s="2" t="str">
        <f>IF(Table1[[#This Row],[Is Data Valid]]=TRUE,IF(Table1[[#This Row],[Fetal Sex (Male, Female or Unknown)]]="Male",Backend!$C$6,IF(Table1[[#This Row],[Fetal Sex (Male, Female or Unknown)]]="Female",Backend!$C$7,IF(Table1[[#This Row],[Fetal Sex (Male, Female or Unknown)]]="Unknown",Backend!$C$8,"Error"))),"")</f>
        <v/>
      </c>
      <c r="F6425" s="8" t="str">
        <f>IF(Table1[[#This Row],[Is Data Valid]]=TRUE,EXP(0.578+0.332*((Table1[[#This Row],[Gestation (days)]]+0.5)/7)-0.00354*((Table1[[#This Row],[Gestation (days)]]+0.5)/7)^2)*Table1[[#This Row],[BW40_3705]],"")</f>
        <v/>
      </c>
      <c r="G6425" s="2" t="str">
        <f>IF(Table1[[#This Row],[Is Data Valid]]=TRUE,((Table1[[#This Row],[Birthweight (grams)]]/Table1[[#This Row],[BW_GA]])-1)/(Backend!$B$4/100*Table1[[#This Row],[BW40_3705]]),"")</f>
        <v/>
      </c>
      <c r="H6425" s="7" t="str">
        <f>IF(Table1[[#This Row],[Is Data Valid]]=TRUE,((Table1[[#This Row],[Birthweight (grams)]]*0.9/Table1[[#This Row],[BW_GA]])-1)/(Backend!$B$4/100*Table1[[#This Row],[BW40_3705]]),"")</f>
        <v/>
      </c>
      <c r="I6425" s="7" t="str">
        <f>IF(Table1[[#This Row],[Is Data Valid]]=TRUE,((Table1[[#This Row],[Birthweight (grams)]]*1.1/Table1[[#This Row],[BW_GA]])-1)/(Backend!$B$4/100*Table1[[#This Row],[BW40_3705]]),"")</f>
        <v/>
      </c>
      <c r="J6425" s="7" t="str">
        <f>IF(Table1[[#This Row],[Is Data Valid]]=TRUE,_xlfn.NORM.S.DIST(Table1[[#This Row],[Birthweight Z-Score]],TRUE)*100,"")</f>
        <v/>
      </c>
      <c r="K6425" s="7" t="str">
        <f>IF(Table1[[#This Row],[Is Data Valid]]=TRUE,_xlfn.NORM.S.DIST(Table1[[#This Row],[Birthweight Z-Score (BW-10%)]],TRUE)*100,"")</f>
        <v/>
      </c>
      <c r="L6425" s="7" t="str">
        <f>IF(Table1[[#This Row],[Is Data Valid]]=TRUE,_xlfn.NORM.S.DIST(Table1[[#This Row],[Birthweight Z-Score (BW+10%)]],TRUE)*100,"")</f>
        <v/>
      </c>
    </row>
    <row r="6426" spans="1:12" x14ac:dyDescent="0.35">
      <c r="A6426" s="3"/>
      <c r="B6426" s="2"/>
      <c r="C6426" s="2"/>
      <c r="D6426" s="2" t="b">
        <f>IF(AND(NOT(ISBLANK(Table1[[#This Row],[Fetal Sex (Male, Female or Unknown)]])),ISNUMBER(Table1[[#This Row],[Birthweight (grams)]]),ISNUMBER(Table1[[#This Row],[Gestation (days)]])),TRUE,FALSE)</f>
        <v>0</v>
      </c>
      <c r="E6426" s="2" t="str">
        <f>IF(Table1[[#This Row],[Is Data Valid]]=TRUE,IF(Table1[[#This Row],[Fetal Sex (Male, Female or Unknown)]]="Male",Backend!$C$6,IF(Table1[[#This Row],[Fetal Sex (Male, Female or Unknown)]]="Female",Backend!$C$7,IF(Table1[[#This Row],[Fetal Sex (Male, Female or Unknown)]]="Unknown",Backend!$C$8,"Error"))),"")</f>
        <v/>
      </c>
      <c r="F6426" s="8" t="str">
        <f>IF(Table1[[#This Row],[Is Data Valid]]=TRUE,EXP(0.578+0.332*((Table1[[#This Row],[Gestation (days)]]+0.5)/7)-0.00354*((Table1[[#This Row],[Gestation (days)]]+0.5)/7)^2)*Table1[[#This Row],[BW40_3705]],"")</f>
        <v/>
      </c>
      <c r="G6426" s="2" t="str">
        <f>IF(Table1[[#This Row],[Is Data Valid]]=TRUE,((Table1[[#This Row],[Birthweight (grams)]]/Table1[[#This Row],[BW_GA]])-1)/(Backend!$B$4/100*Table1[[#This Row],[BW40_3705]]),"")</f>
        <v/>
      </c>
      <c r="H6426" s="7" t="str">
        <f>IF(Table1[[#This Row],[Is Data Valid]]=TRUE,((Table1[[#This Row],[Birthweight (grams)]]*0.9/Table1[[#This Row],[BW_GA]])-1)/(Backend!$B$4/100*Table1[[#This Row],[BW40_3705]]),"")</f>
        <v/>
      </c>
      <c r="I6426" s="7" t="str">
        <f>IF(Table1[[#This Row],[Is Data Valid]]=TRUE,((Table1[[#This Row],[Birthweight (grams)]]*1.1/Table1[[#This Row],[BW_GA]])-1)/(Backend!$B$4/100*Table1[[#This Row],[BW40_3705]]),"")</f>
        <v/>
      </c>
      <c r="J6426" s="7" t="str">
        <f>IF(Table1[[#This Row],[Is Data Valid]]=TRUE,_xlfn.NORM.S.DIST(Table1[[#This Row],[Birthweight Z-Score]],TRUE)*100,"")</f>
        <v/>
      </c>
      <c r="K6426" s="7" t="str">
        <f>IF(Table1[[#This Row],[Is Data Valid]]=TRUE,_xlfn.NORM.S.DIST(Table1[[#This Row],[Birthweight Z-Score (BW-10%)]],TRUE)*100,"")</f>
        <v/>
      </c>
      <c r="L6426" s="7" t="str">
        <f>IF(Table1[[#This Row],[Is Data Valid]]=TRUE,_xlfn.NORM.S.DIST(Table1[[#This Row],[Birthweight Z-Score (BW+10%)]],TRUE)*100,"")</f>
        <v/>
      </c>
    </row>
    <row r="6427" spans="1:12" x14ac:dyDescent="0.35">
      <c r="A6427" s="3"/>
      <c r="B6427" s="2"/>
      <c r="C6427" s="2"/>
      <c r="D6427" s="2" t="b">
        <f>IF(AND(NOT(ISBLANK(Table1[[#This Row],[Fetal Sex (Male, Female or Unknown)]])),ISNUMBER(Table1[[#This Row],[Birthweight (grams)]]),ISNUMBER(Table1[[#This Row],[Gestation (days)]])),TRUE,FALSE)</f>
        <v>0</v>
      </c>
      <c r="E6427" s="2" t="str">
        <f>IF(Table1[[#This Row],[Is Data Valid]]=TRUE,IF(Table1[[#This Row],[Fetal Sex (Male, Female or Unknown)]]="Male",Backend!$C$6,IF(Table1[[#This Row],[Fetal Sex (Male, Female or Unknown)]]="Female",Backend!$C$7,IF(Table1[[#This Row],[Fetal Sex (Male, Female or Unknown)]]="Unknown",Backend!$C$8,"Error"))),"")</f>
        <v/>
      </c>
      <c r="F6427" s="8" t="str">
        <f>IF(Table1[[#This Row],[Is Data Valid]]=TRUE,EXP(0.578+0.332*((Table1[[#This Row],[Gestation (days)]]+0.5)/7)-0.00354*((Table1[[#This Row],[Gestation (days)]]+0.5)/7)^2)*Table1[[#This Row],[BW40_3705]],"")</f>
        <v/>
      </c>
      <c r="G6427" s="2" t="str">
        <f>IF(Table1[[#This Row],[Is Data Valid]]=TRUE,((Table1[[#This Row],[Birthweight (grams)]]/Table1[[#This Row],[BW_GA]])-1)/(Backend!$B$4/100*Table1[[#This Row],[BW40_3705]]),"")</f>
        <v/>
      </c>
      <c r="H6427" s="7" t="str">
        <f>IF(Table1[[#This Row],[Is Data Valid]]=TRUE,((Table1[[#This Row],[Birthweight (grams)]]*0.9/Table1[[#This Row],[BW_GA]])-1)/(Backend!$B$4/100*Table1[[#This Row],[BW40_3705]]),"")</f>
        <v/>
      </c>
      <c r="I6427" s="7" t="str">
        <f>IF(Table1[[#This Row],[Is Data Valid]]=TRUE,((Table1[[#This Row],[Birthweight (grams)]]*1.1/Table1[[#This Row],[BW_GA]])-1)/(Backend!$B$4/100*Table1[[#This Row],[BW40_3705]]),"")</f>
        <v/>
      </c>
      <c r="J6427" s="7" t="str">
        <f>IF(Table1[[#This Row],[Is Data Valid]]=TRUE,_xlfn.NORM.S.DIST(Table1[[#This Row],[Birthweight Z-Score]],TRUE)*100,"")</f>
        <v/>
      </c>
      <c r="K6427" s="7" t="str">
        <f>IF(Table1[[#This Row],[Is Data Valid]]=TRUE,_xlfn.NORM.S.DIST(Table1[[#This Row],[Birthweight Z-Score (BW-10%)]],TRUE)*100,"")</f>
        <v/>
      </c>
      <c r="L6427" s="7" t="str">
        <f>IF(Table1[[#This Row],[Is Data Valid]]=TRUE,_xlfn.NORM.S.DIST(Table1[[#This Row],[Birthweight Z-Score (BW+10%)]],TRUE)*100,"")</f>
        <v/>
      </c>
    </row>
    <row r="6428" spans="1:12" x14ac:dyDescent="0.35">
      <c r="A6428" s="3"/>
      <c r="B6428" s="2"/>
      <c r="C6428" s="2"/>
      <c r="D6428" s="2" t="b">
        <f>IF(AND(NOT(ISBLANK(Table1[[#This Row],[Fetal Sex (Male, Female or Unknown)]])),ISNUMBER(Table1[[#This Row],[Birthweight (grams)]]),ISNUMBER(Table1[[#This Row],[Gestation (days)]])),TRUE,FALSE)</f>
        <v>0</v>
      </c>
      <c r="E6428" s="2" t="str">
        <f>IF(Table1[[#This Row],[Is Data Valid]]=TRUE,IF(Table1[[#This Row],[Fetal Sex (Male, Female or Unknown)]]="Male",Backend!$C$6,IF(Table1[[#This Row],[Fetal Sex (Male, Female or Unknown)]]="Female",Backend!$C$7,IF(Table1[[#This Row],[Fetal Sex (Male, Female or Unknown)]]="Unknown",Backend!$C$8,"Error"))),"")</f>
        <v/>
      </c>
      <c r="F6428" s="8" t="str">
        <f>IF(Table1[[#This Row],[Is Data Valid]]=TRUE,EXP(0.578+0.332*((Table1[[#This Row],[Gestation (days)]]+0.5)/7)-0.00354*((Table1[[#This Row],[Gestation (days)]]+0.5)/7)^2)*Table1[[#This Row],[BW40_3705]],"")</f>
        <v/>
      </c>
      <c r="G6428" s="2" t="str">
        <f>IF(Table1[[#This Row],[Is Data Valid]]=TRUE,((Table1[[#This Row],[Birthweight (grams)]]/Table1[[#This Row],[BW_GA]])-1)/(Backend!$B$4/100*Table1[[#This Row],[BW40_3705]]),"")</f>
        <v/>
      </c>
      <c r="H6428" s="7" t="str">
        <f>IF(Table1[[#This Row],[Is Data Valid]]=TRUE,((Table1[[#This Row],[Birthweight (grams)]]*0.9/Table1[[#This Row],[BW_GA]])-1)/(Backend!$B$4/100*Table1[[#This Row],[BW40_3705]]),"")</f>
        <v/>
      </c>
      <c r="I6428" s="7" t="str">
        <f>IF(Table1[[#This Row],[Is Data Valid]]=TRUE,((Table1[[#This Row],[Birthweight (grams)]]*1.1/Table1[[#This Row],[BW_GA]])-1)/(Backend!$B$4/100*Table1[[#This Row],[BW40_3705]]),"")</f>
        <v/>
      </c>
      <c r="J6428" s="7" t="str">
        <f>IF(Table1[[#This Row],[Is Data Valid]]=TRUE,_xlfn.NORM.S.DIST(Table1[[#This Row],[Birthweight Z-Score]],TRUE)*100,"")</f>
        <v/>
      </c>
      <c r="K6428" s="7" t="str">
        <f>IF(Table1[[#This Row],[Is Data Valid]]=TRUE,_xlfn.NORM.S.DIST(Table1[[#This Row],[Birthweight Z-Score (BW-10%)]],TRUE)*100,"")</f>
        <v/>
      </c>
      <c r="L6428" s="7" t="str">
        <f>IF(Table1[[#This Row],[Is Data Valid]]=TRUE,_xlfn.NORM.S.DIST(Table1[[#This Row],[Birthweight Z-Score (BW+10%)]],TRUE)*100,"")</f>
        <v/>
      </c>
    </row>
    <row r="6429" spans="1:12" x14ac:dyDescent="0.35">
      <c r="A6429" s="3"/>
      <c r="B6429" s="2"/>
      <c r="C6429" s="2"/>
      <c r="D6429" s="2" t="b">
        <f>IF(AND(NOT(ISBLANK(Table1[[#This Row],[Fetal Sex (Male, Female or Unknown)]])),ISNUMBER(Table1[[#This Row],[Birthweight (grams)]]),ISNUMBER(Table1[[#This Row],[Gestation (days)]])),TRUE,FALSE)</f>
        <v>0</v>
      </c>
      <c r="E6429" s="2" t="str">
        <f>IF(Table1[[#This Row],[Is Data Valid]]=TRUE,IF(Table1[[#This Row],[Fetal Sex (Male, Female or Unknown)]]="Male",Backend!$C$6,IF(Table1[[#This Row],[Fetal Sex (Male, Female or Unknown)]]="Female",Backend!$C$7,IF(Table1[[#This Row],[Fetal Sex (Male, Female or Unknown)]]="Unknown",Backend!$C$8,"Error"))),"")</f>
        <v/>
      </c>
      <c r="F6429" s="8" t="str">
        <f>IF(Table1[[#This Row],[Is Data Valid]]=TRUE,EXP(0.578+0.332*((Table1[[#This Row],[Gestation (days)]]+0.5)/7)-0.00354*((Table1[[#This Row],[Gestation (days)]]+0.5)/7)^2)*Table1[[#This Row],[BW40_3705]],"")</f>
        <v/>
      </c>
      <c r="G6429" s="2" t="str">
        <f>IF(Table1[[#This Row],[Is Data Valid]]=TRUE,((Table1[[#This Row],[Birthweight (grams)]]/Table1[[#This Row],[BW_GA]])-1)/(Backend!$B$4/100*Table1[[#This Row],[BW40_3705]]),"")</f>
        <v/>
      </c>
      <c r="H6429" s="7" t="str">
        <f>IF(Table1[[#This Row],[Is Data Valid]]=TRUE,((Table1[[#This Row],[Birthweight (grams)]]*0.9/Table1[[#This Row],[BW_GA]])-1)/(Backend!$B$4/100*Table1[[#This Row],[BW40_3705]]),"")</f>
        <v/>
      </c>
      <c r="I6429" s="7" t="str">
        <f>IF(Table1[[#This Row],[Is Data Valid]]=TRUE,((Table1[[#This Row],[Birthweight (grams)]]*1.1/Table1[[#This Row],[BW_GA]])-1)/(Backend!$B$4/100*Table1[[#This Row],[BW40_3705]]),"")</f>
        <v/>
      </c>
      <c r="J6429" s="7" t="str">
        <f>IF(Table1[[#This Row],[Is Data Valid]]=TRUE,_xlfn.NORM.S.DIST(Table1[[#This Row],[Birthweight Z-Score]],TRUE)*100,"")</f>
        <v/>
      </c>
      <c r="K6429" s="7" t="str">
        <f>IF(Table1[[#This Row],[Is Data Valid]]=TRUE,_xlfn.NORM.S.DIST(Table1[[#This Row],[Birthweight Z-Score (BW-10%)]],TRUE)*100,"")</f>
        <v/>
      </c>
      <c r="L6429" s="7" t="str">
        <f>IF(Table1[[#This Row],[Is Data Valid]]=TRUE,_xlfn.NORM.S.DIST(Table1[[#This Row],[Birthweight Z-Score (BW+10%)]],TRUE)*100,"")</f>
        <v/>
      </c>
    </row>
    <row r="6430" spans="1:12" x14ac:dyDescent="0.35">
      <c r="A6430" s="3"/>
      <c r="B6430" s="2"/>
      <c r="C6430" s="2"/>
      <c r="D6430" s="2" t="b">
        <f>IF(AND(NOT(ISBLANK(Table1[[#This Row],[Fetal Sex (Male, Female or Unknown)]])),ISNUMBER(Table1[[#This Row],[Birthweight (grams)]]),ISNUMBER(Table1[[#This Row],[Gestation (days)]])),TRUE,FALSE)</f>
        <v>0</v>
      </c>
      <c r="E6430" s="2" t="str">
        <f>IF(Table1[[#This Row],[Is Data Valid]]=TRUE,IF(Table1[[#This Row],[Fetal Sex (Male, Female or Unknown)]]="Male",Backend!$C$6,IF(Table1[[#This Row],[Fetal Sex (Male, Female or Unknown)]]="Female",Backend!$C$7,IF(Table1[[#This Row],[Fetal Sex (Male, Female or Unknown)]]="Unknown",Backend!$C$8,"Error"))),"")</f>
        <v/>
      </c>
      <c r="F6430" s="8" t="str">
        <f>IF(Table1[[#This Row],[Is Data Valid]]=TRUE,EXP(0.578+0.332*((Table1[[#This Row],[Gestation (days)]]+0.5)/7)-0.00354*((Table1[[#This Row],[Gestation (days)]]+0.5)/7)^2)*Table1[[#This Row],[BW40_3705]],"")</f>
        <v/>
      </c>
      <c r="G6430" s="2" t="str">
        <f>IF(Table1[[#This Row],[Is Data Valid]]=TRUE,((Table1[[#This Row],[Birthweight (grams)]]/Table1[[#This Row],[BW_GA]])-1)/(Backend!$B$4/100*Table1[[#This Row],[BW40_3705]]),"")</f>
        <v/>
      </c>
      <c r="H6430" s="7" t="str">
        <f>IF(Table1[[#This Row],[Is Data Valid]]=TRUE,((Table1[[#This Row],[Birthweight (grams)]]*0.9/Table1[[#This Row],[BW_GA]])-1)/(Backend!$B$4/100*Table1[[#This Row],[BW40_3705]]),"")</f>
        <v/>
      </c>
      <c r="I6430" s="7" t="str">
        <f>IF(Table1[[#This Row],[Is Data Valid]]=TRUE,((Table1[[#This Row],[Birthweight (grams)]]*1.1/Table1[[#This Row],[BW_GA]])-1)/(Backend!$B$4/100*Table1[[#This Row],[BW40_3705]]),"")</f>
        <v/>
      </c>
      <c r="J6430" s="7" t="str">
        <f>IF(Table1[[#This Row],[Is Data Valid]]=TRUE,_xlfn.NORM.S.DIST(Table1[[#This Row],[Birthweight Z-Score]],TRUE)*100,"")</f>
        <v/>
      </c>
      <c r="K6430" s="7" t="str">
        <f>IF(Table1[[#This Row],[Is Data Valid]]=TRUE,_xlfn.NORM.S.DIST(Table1[[#This Row],[Birthweight Z-Score (BW-10%)]],TRUE)*100,"")</f>
        <v/>
      </c>
      <c r="L6430" s="7" t="str">
        <f>IF(Table1[[#This Row],[Is Data Valid]]=TRUE,_xlfn.NORM.S.DIST(Table1[[#This Row],[Birthweight Z-Score (BW+10%)]],TRUE)*100,"")</f>
        <v/>
      </c>
    </row>
    <row r="6431" spans="1:12" x14ac:dyDescent="0.35">
      <c r="A6431" s="3"/>
      <c r="B6431" s="2"/>
      <c r="C6431" s="2"/>
      <c r="D6431" s="2" t="b">
        <f>IF(AND(NOT(ISBLANK(Table1[[#This Row],[Fetal Sex (Male, Female or Unknown)]])),ISNUMBER(Table1[[#This Row],[Birthweight (grams)]]),ISNUMBER(Table1[[#This Row],[Gestation (days)]])),TRUE,FALSE)</f>
        <v>0</v>
      </c>
      <c r="E6431" s="2" t="str">
        <f>IF(Table1[[#This Row],[Is Data Valid]]=TRUE,IF(Table1[[#This Row],[Fetal Sex (Male, Female or Unknown)]]="Male",Backend!$C$6,IF(Table1[[#This Row],[Fetal Sex (Male, Female or Unknown)]]="Female",Backend!$C$7,IF(Table1[[#This Row],[Fetal Sex (Male, Female or Unknown)]]="Unknown",Backend!$C$8,"Error"))),"")</f>
        <v/>
      </c>
      <c r="F6431" s="8" t="str">
        <f>IF(Table1[[#This Row],[Is Data Valid]]=TRUE,EXP(0.578+0.332*((Table1[[#This Row],[Gestation (days)]]+0.5)/7)-0.00354*((Table1[[#This Row],[Gestation (days)]]+0.5)/7)^2)*Table1[[#This Row],[BW40_3705]],"")</f>
        <v/>
      </c>
      <c r="G6431" s="2" t="str">
        <f>IF(Table1[[#This Row],[Is Data Valid]]=TRUE,((Table1[[#This Row],[Birthweight (grams)]]/Table1[[#This Row],[BW_GA]])-1)/(Backend!$B$4/100*Table1[[#This Row],[BW40_3705]]),"")</f>
        <v/>
      </c>
      <c r="H6431" s="7" t="str">
        <f>IF(Table1[[#This Row],[Is Data Valid]]=TRUE,((Table1[[#This Row],[Birthweight (grams)]]*0.9/Table1[[#This Row],[BW_GA]])-1)/(Backend!$B$4/100*Table1[[#This Row],[BW40_3705]]),"")</f>
        <v/>
      </c>
      <c r="I6431" s="7" t="str">
        <f>IF(Table1[[#This Row],[Is Data Valid]]=TRUE,((Table1[[#This Row],[Birthweight (grams)]]*1.1/Table1[[#This Row],[BW_GA]])-1)/(Backend!$B$4/100*Table1[[#This Row],[BW40_3705]]),"")</f>
        <v/>
      </c>
      <c r="J6431" s="7" t="str">
        <f>IF(Table1[[#This Row],[Is Data Valid]]=TRUE,_xlfn.NORM.S.DIST(Table1[[#This Row],[Birthweight Z-Score]],TRUE)*100,"")</f>
        <v/>
      </c>
      <c r="K6431" s="7" t="str">
        <f>IF(Table1[[#This Row],[Is Data Valid]]=TRUE,_xlfn.NORM.S.DIST(Table1[[#This Row],[Birthweight Z-Score (BW-10%)]],TRUE)*100,"")</f>
        <v/>
      </c>
      <c r="L6431" s="7" t="str">
        <f>IF(Table1[[#This Row],[Is Data Valid]]=TRUE,_xlfn.NORM.S.DIST(Table1[[#This Row],[Birthweight Z-Score (BW+10%)]],TRUE)*100,"")</f>
        <v/>
      </c>
    </row>
    <row r="6432" spans="1:12" x14ac:dyDescent="0.35">
      <c r="A6432" s="3"/>
      <c r="B6432" s="2"/>
      <c r="C6432" s="2"/>
      <c r="D6432" s="2" t="b">
        <f>IF(AND(NOT(ISBLANK(Table1[[#This Row],[Fetal Sex (Male, Female or Unknown)]])),ISNUMBER(Table1[[#This Row],[Birthweight (grams)]]),ISNUMBER(Table1[[#This Row],[Gestation (days)]])),TRUE,FALSE)</f>
        <v>0</v>
      </c>
      <c r="E6432" s="2" t="str">
        <f>IF(Table1[[#This Row],[Is Data Valid]]=TRUE,IF(Table1[[#This Row],[Fetal Sex (Male, Female or Unknown)]]="Male",Backend!$C$6,IF(Table1[[#This Row],[Fetal Sex (Male, Female or Unknown)]]="Female",Backend!$C$7,IF(Table1[[#This Row],[Fetal Sex (Male, Female or Unknown)]]="Unknown",Backend!$C$8,"Error"))),"")</f>
        <v/>
      </c>
      <c r="F6432" s="8" t="str">
        <f>IF(Table1[[#This Row],[Is Data Valid]]=TRUE,EXP(0.578+0.332*((Table1[[#This Row],[Gestation (days)]]+0.5)/7)-0.00354*((Table1[[#This Row],[Gestation (days)]]+0.5)/7)^2)*Table1[[#This Row],[BW40_3705]],"")</f>
        <v/>
      </c>
      <c r="G6432" s="2" t="str">
        <f>IF(Table1[[#This Row],[Is Data Valid]]=TRUE,((Table1[[#This Row],[Birthweight (grams)]]/Table1[[#This Row],[BW_GA]])-1)/(Backend!$B$4/100*Table1[[#This Row],[BW40_3705]]),"")</f>
        <v/>
      </c>
      <c r="H6432" s="7" t="str">
        <f>IF(Table1[[#This Row],[Is Data Valid]]=TRUE,((Table1[[#This Row],[Birthweight (grams)]]*0.9/Table1[[#This Row],[BW_GA]])-1)/(Backend!$B$4/100*Table1[[#This Row],[BW40_3705]]),"")</f>
        <v/>
      </c>
      <c r="I6432" s="7" t="str">
        <f>IF(Table1[[#This Row],[Is Data Valid]]=TRUE,((Table1[[#This Row],[Birthweight (grams)]]*1.1/Table1[[#This Row],[BW_GA]])-1)/(Backend!$B$4/100*Table1[[#This Row],[BW40_3705]]),"")</f>
        <v/>
      </c>
      <c r="J6432" s="7" t="str">
        <f>IF(Table1[[#This Row],[Is Data Valid]]=TRUE,_xlfn.NORM.S.DIST(Table1[[#This Row],[Birthweight Z-Score]],TRUE)*100,"")</f>
        <v/>
      </c>
      <c r="K6432" s="7" t="str">
        <f>IF(Table1[[#This Row],[Is Data Valid]]=TRUE,_xlfn.NORM.S.DIST(Table1[[#This Row],[Birthweight Z-Score (BW-10%)]],TRUE)*100,"")</f>
        <v/>
      </c>
      <c r="L6432" s="7" t="str">
        <f>IF(Table1[[#This Row],[Is Data Valid]]=TRUE,_xlfn.NORM.S.DIST(Table1[[#This Row],[Birthweight Z-Score (BW+10%)]],TRUE)*100,"")</f>
        <v/>
      </c>
    </row>
    <row r="6433" spans="1:12" x14ac:dyDescent="0.35">
      <c r="A6433" s="3"/>
      <c r="B6433" s="2"/>
      <c r="C6433" s="2"/>
      <c r="D6433" s="2" t="b">
        <f>IF(AND(NOT(ISBLANK(Table1[[#This Row],[Fetal Sex (Male, Female or Unknown)]])),ISNUMBER(Table1[[#This Row],[Birthweight (grams)]]),ISNUMBER(Table1[[#This Row],[Gestation (days)]])),TRUE,FALSE)</f>
        <v>0</v>
      </c>
      <c r="E6433" s="2" t="str">
        <f>IF(Table1[[#This Row],[Is Data Valid]]=TRUE,IF(Table1[[#This Row],[Fetal Sex (Male, Female or Unknown)]]="Male",Backend!$C$6,IF(Table1[[#This Row],[Fetal Sex (Male, Female or Unknown)]]="Female",Backend!$C$7,IF(Table1[[#This Row],[Fetal Sex (Male, Female or Unknown)]]="Unknown",Backend!$C$8,"Error"))),"")</f>
        <v/>
      </c>
      <c r="F6433" s="8" t="str">
        <f>IF(Table1[[#This Row],[Is Data Valid]]=TRUE,EXP(0.578+0.332*((Table1[[#This Row],[Gestation (days)]]+0.5)/7)-0.00354*((Table1[[#This Row],[Gestation (days)]]+0.5)/7)^2)*Table1[[#This Row],[BW40_3705]],"")</f>
        <v/>
      </c>
      <c r="G6433" s="2" t="str">
        <f>IF(Table1[[#This Row],[Is Data Valid]]=TRUE,((Table1[[#This Row],[Birthweight (grams)]]/Table1[[#This Row],[BW_GA]])-1)/(Backend!$B$4/100*Table1[[#This Row],[BW40_3705]]),"")</f>
        <v/>
      </c>
      <c r="H6433" s="7" t="str">
        <f>IF(Table1[[#This Row],[Is Data Valid]]=TRUE,((Table1[[#This Row],[Birthweight (grams)]]*0.9/Table1[[#This Row],[BW_GA]])-1)/(Backend!$B$4/100*Table1[[#This Row],[BW40_3705]]),"")</f>
        <v/>
      </c>
      <c r="I6433" s="7" t="str">
        <f>IF(Table1[[#This Row],[Is Data Valid]]=TRUE,((Table1[[#This Row],[Birthweight (grams)]]*1.1/Table1[[#This Row],[BW_GA]])-1)/(Backend!$B$4/100*Table1[[#This Row],[BW40_3705]]),"")</f>
        <v/>
      </c>
      <c r="J6433" s="7" t="str">
        <f>IF(Table1[[#This Row],[Is Data Valid]]=TRUE,_xlfn.NORM.S.DIST(Table1[[#This Row],[Birthweight Z-Score]],TRUE)*100,"")</f>
        <v/>
      </c>
      <c r="K6433" s="7" t="str">
        <f>IF(Table1[[#This Row],[Is Data Valid]]=TRUE,_xlfn.NORM.S.DIST(Table1[[#This Row],[Birthweight Z-Score (BW-10%)]],TRUE)*100,"")</f>
        <v/>
      </c>
      <c r="L6433" s="7" t="str">
        <f>IF(Table1[[#This Row],[Is Data Valid]]=TRUE,_xlfn.NORM.S.DIST(Table1[[#This Row],[Birthweight Z-Score (BW+10%)]],TRUE)*100,"")</f>
        <v/>
      </c>
    </row>
    <row r="6434" spans="1:12" x14ac:dyDescent="0.35">
      <c r="A6434" s="3"/>
      <c r="B6434" s="2"/>
      <c r="C6434" s="2"/>
      <c r="D6434" s="2" t="b">
        <f>IF(AND(NOT(ISBLANK(Table1[[#This Row],[Fetal Sex (Male, Female or Unknown)]])),ISNUMBER(Table1[[#This Row],[Birthweight (grams)]]),ISNUMBER(Table1[[#This Row],[Gestation (days)]])),TRUE,FALSE)</f>
        <v>0</v>
      </c>
      <c r="E6434" s="2" t="str">
        <f>IF(Table1[[#This Row],[Is Data Valid]]=TRUE,IF(Table1[[#This Row],[Fetal Sex (Male, Female or Unknown)]]="Male",Backend!$C$6,IF(Table1[[#This Row],[Fetal Sex (Male, Female or Unknown)]]="Female",Backend!$C$7,IF(Table1[[#This Row],[Fetal Sex (Male, Female or Unknown)]]="Unknown",Backend!$C$8,"Error"))),"")</f>
        <v/>
      </c>
      <c r="F6434" s="8" t="str">
        <f>IF(Table1[[#This Row],[Is Data Valid]]=TRUE,EXP(0.578+0.332*((Table1[[#This Row],[Gestation (days)]]+0.5)/7)-0.00354*((Table1[[#This Row],[Gestation (days)]]+0.5)/7)^2)*Table1[[#This Row],[BW40_3705]],"")</f>
        <v/>
      </c>
      <c r="G6434" s="2" t="str">
        <f>IF(Table1[[#This Row],[Is Data Valid]]=TRUE,((Table1[[#This Row],[Birthweight (grams)]]/Table1[[#This Row],[BW_GA]])-1)/(Backend!$B$4/100*Table1[[#This Row],[BW40_3705]]),"")</f>
        <v/>
      </c>
      <c r="H6434" s="7" t="str">
        <f>IF(Table1[[#This Row],[Is Data Valid]]=TRUE,((Table1[[#This Row],[Birthweight (grams)]]*0.9/Table1[[#This Row],[BW_GA]])-1)/(Backend!$B$4/100*Table1[[#This Row],[BW40_3705]]),"")</f>
        <v/>
      </c>
      <c r="I6434" s="7" t="str">
        <f>IF(Table1[[#This Row],[Is Data Valid]]=TRUE,((Table1[[#This Row],[Birthweight (grams)]]*1.1/Table1[[#This Row],[BW_GA]])-1)/(Backend!$B$4/100*Table1[[#This Row],[BW40_3705]]),"")</f>
        <v/>
      </c>
      <c r="J6434" s="7" t="str">
        <f>IF(Table1[[#This Row],[Is Data Valid]]=TRUE,_xlfn.NORM.S.DIST(Table1[[#This Row],[Birthweight Z-Score]],TRUE)*100,"")</f>
        <v/>
      </c>
      <c r="K6434" s="7" t="str">
        <f>IF(Table1[[#This Row],[Is Data Valid]]=TRUE,_xlfn.NORM.S.DIST(Table1[[#This Row],[Birthweight Z-Score (BW-10%)]],TRUE)*100,"")</f>
        <v/>
      </c>
      <c r="L6434" s="7" t="str">
        <f>IF(Table1[[#This Row],[Is Data Valid]]=TRUE,_xlfn.NORM.S.DIST(Table1[[#This Row],[Birthweight Z-Score (BW+10%)]],TRUE)*100,"")</f>
        <v/>
      </c>
    </row>
    <row r="6435" spans="1:12" x14ac:dyDescent="0.35">
      <c r="A6435" s="3"/>
      <c r="B6435" s="2"/>
      <c r="C6435" s="2"/>
      <c r="D6435" s="2" t="b">
        <f>IF(AND(NOT(ISBLANK(Table1[[#This Row],[Fetal Sex (Male, Female or Unknown)]])),ISNUMBER(Table1[[#This Row],[Birthweight (grams)]]),ISNUMBER(Table1[[#This Row],[Gestation (days)]])),TRUE,FALSE)</f>
        <v>0</v>
      </c>
      <c r="E6435" s="2" t="str">
        <f>IF(Table1[[#This Row],[Is Data Valid]]=TRUE,IF(Table1[[#This Row],[Fetal Sex (Male, Female or Unknown)]]="Male",Backend!$C$6,IF(Table1[[#This Row],[Fetal Sex (Male, Female or Unknown)]]="Female",Backend!$C$7,IF(Table1[[#This Row],[Fetal Sex (Male, Female or Unknown)]]="Unknown",Backend!$C$8,"Error"))),"")</f>
        <v/>
      </c>
      <c r="F6435" s="8" t="str">
        <f>IF(Table1[[#This Row],[Is Data Valid]]=TRUE,EXP(0.578+0.332*((Table1[[#This Row],[Gestation (days)]]+0.5)/7)-0.00354*((Table1[[#This Row],[Gestation (days)]]+0.5)/7)^2)*Table1[[#This Row],[BW40_3705]],"")</f>
        <v/>
      </c>
      <c r="G6435" s="2" t="str">
        <f>IF(Table1[[#This Row],[Is Data Valid]]=TRUE,((Table1[[#This Row],[Birthweight (grams)]]/Table1[[#This Row],[BW_GA]])-1)/(Backend!$B$4/100*Table1[[#This Row],[BW40_3705]]),"")</f>
        <v/>
      </c>
      <c r="H6435" s="7" t="str">
        <f>IF(Table1[[#This Row],[Is Data Valid]]=TRUE,((Table1[[#This Row],[Birthweight (grams)]]*0.9/Table1[[#This Row],[BW_GA]])-1)/(Backend!$B$4/100*Table1[[#This Row],[BW40_3705]]),"")</f>
        <v/>
      </c>
      <c r="I6435" s="7" t="str">
        <f>IF(Table1[[#This Row],[Is Data Valid]]=TRUE,((Table1[[#This Row],[Birthweight (grams)]]*1.1/Table1[[#This Row],[BW_GA]])-1)/(Backend!$B$4/100*Table1[[#This Row],[BW40_3705]]),"")</f>
        <v/>
      </c>
      <c r="J6435" s="7" t="str">
        <f>IF(Table1[[#This Row],[Is Data Valid]]=TRUE,_xlfn.NORM.S.DIST(Table1[[#This Row],[Birthweight Z-Score]],TRUE)*100,"")</f>
        <v/>
      </c>
      <c r="K6435" s="7" t="str">
        <f>IF(Table1[[#This Row],[Is Data Valid]]=TRUE,_xlfn.NORM.S.DIST(Table1[[#This Row],[Birthweight Z-Score (BW-10%)]],TRUE)*100,"")</f>
        <v/>
      </c>
      <c r="L6435" s="7" t="str">
        <f>IF(Table1[[#This Row],[Is Data Valid]]=TRUE,_xlfn.NORM.S.DIST(Table1[[#This Row],[Birthweight Z-Score (BW+10%)]],TRUE)*100,"")</f>
        <v/>
      </c>
    </row>
    <row r="6436" spans="1:12" x14ac:dyDescent="0.35">
      <c r="A6436" s="3"/>
      <c r="B6436" s="2"/>
      <c r="C6436" s="2"/>
      <c r="D6436" s="2" t="b">
        <f>IF(AND(NOT(ISBLANK(Table1[[#This Row],[Fetal Sex (Male, Female or Unknown)]])),ISNUMBER(Table1[[#This Row],[Birthweight (grams)]]),ISNUMBER(Table1[[#This Row],[Gestation (days)]])),TRUE,FALSE)</f>
        <v>0</v>
      </c>
      <c r="E6436" s="2" t="str">
        <f>IF(Table1[[#This Row],[Is Data Valid]]=TRUE,IF(Table1[[#This Row],[Fetal Sex (Male, Female or Unknown)]]="Male",Backend!$C$6,IF(Table1[[#This Row],[Fetal Sex (Male, Female or Unknown)]]="Female",Backend!$C$7,IF(Table1[[#This Row],[Fetal Sex (Male, Female or Unknown)]]="Unknown",Backend!$C$8,"Error"))),"")</f>
        <v/>
      </c>
      <c r="F6436" s="8" t="str">
        <f>IF(Table1[[#This Row],[Is Data Valid]]=TRUE,EXP(0.578+0.332*((Table1[[#This Row],[Gestation (days)]]+0.5)/7)-0.00354*((Table1[[#This Row],[Gestation (days)]]+0.5)/7)^2)*Table1[[#This Row],[BW40_3705]],"")</f>
        <v/>
      </c>
      <c r="G6436" s="2" t="str">
        <f>IF(Table1[[#This Row],[Is Data Valid]]=TRUE,((Table1[[#This Row],[Birthweight (grams)]]/Table1[[#This Row],[BW_GA]])-1)/(Backend!$B$4/100*Table1[[#This Row],[BW40_3705]]),"")</f>
        <v/>
      </c>
      <c r="H6436" s="7" t="str">
        <f>IF(Table1[[#This Row],[Is Data Valid]]=TRUE,((Table1[[#This Row],[Birthweight (grams)]]*0.9/Table1[[#This Row],[BW_GA]])-1)/(Backend!$B$4/100*Table1[[#This Row],[BW40_3705]]),"")</f>
        <v/>
      </c>
      <c r="I6436" s="7" t="str">
        <f>IF(Table1[[#This Row],[Is Data Valid]]=TRUE,((Table1[[#This Row],[Birthweight (grams)]]*1.1/Table1[[#This Row],[BW_GA]])-1)/(Backend!$B$4/100*Table1[[#This Row],[BW40_3705]]),"")</f>
        <v/>
      </c>
      <c r="J6436" s="7" t="str">
        <f>IF(Table1[[#This Row],[Is Data Valid]]=TRUE,_xlfn.NORM.S.DIST(Table1[[#This Row],[Birthweight Z-Score]],TRUE)*100,"")</f>
        <v/>
      </c>
      <c r="K6436" s="7" t="str">
        <f>IF(Table1[[#This Row],[Is Data Valid]]=TRUE,_xlfn.NORM.S.DIST(Table1[[#This Row],[Birthweight Z-Score (BW-10%)]],TRUE)*100,"")</f>
        <v/>
      </c>
      <c r="L6436" s="7" t="str">
        <f>IF(Table1[[#This Row],[Is Data Valid]]=TRUE,_xlfn.NORM.S.DIST(Table1[[#This Row],[Birthweight Z-Score (BW+10%)]],TRUE)*100,"")</f>
        <v/>
      </c>
    </row>
    <row r="6437" spans="1:12" x14ac:dyDescent="0.35">
      <c r="A6437" s="3"/>
      <c r="B6437" s="2"/>
      <c r="C6437" s="2"/>
      <c r="D6437" s="2" t="b">
        <f>IF(AND(NOT(ISBLANK(Table1[[#This Row],[Fetal Sex (Male, Female or Unknown)]])),ISNUMBER(Table1[[#This Row],[Birthweight (grams)]]),ISNUMBER(Table1[[#This Row],[Gestation (days)]])),TRUE,FALSE)</f>
        <v>0</v>
      </c>
      <c r="E6437" s="2" t="str">
        <f>IF(Table1[[#This Row],[Is Data Valid]]=TRUE,IF(Table1[[#This Row],[Fetal Sex (Male, Female or Unknown)]]="Male",Backend!$C$6,IF(Table1[[#This Row],[Fetal Sex (Male, Female or Unknown)]]="Female",Backend!$C$7,IF(Table1[[#This Row],[Fetal Sex (Male, Female or Unknown)]]="Unknown",Backend!$C$8,"Error"))),"")</f>
        <v/>
      </c>
      <c r="F6437" s="8" t="str">
        <f>IF(Table1[[#This Row],[Is Data Valid]]=TRUE,EXP(0.578+0.332*((Table1[[#This Row],[Gestation (days)]]+0.5)/7)-0.00354*((Table1[[#This Row],[Gestation (days)]]+0.5)/7)^2)*Table1[[#This Row],[BW40_3705]],"")</f>
        <v/>
      </c>
      <c r="G6437" s="2" t="str">
        <f>IF(Table1[[#This Row],[Is Data Valid]]=TRUE,((Table1[[#This Row],[Birthweight (grams)]]/Table1[[#This Row],[BW_GA]])-1)/(Backend!$B$4/100*Table1[[#This Row],[BW40_3705]]),"")</f>
        <v/>
      </c>
      <c r="H6437" s="7" t="str">
        <f>IF(Table1[[#This Row],[Is Data Valid]]=TRUE,((Table1[[#This Row],[Birthweight (grams)]]*0.9/Table1[[#This Row],[BW_GA]])-1)/(Backend!$B$4/100*Table1[[#This Row],[BW40_3705]]),"")</f>
        <v/>
      </c>
      <c r="I6437" s="7" t="str">
        <f>IF(Table1[[#This Row],[Is Data Valid]]=TRUE,((Table1[[#This Row],[Birthweight (grams)]]*1.1/Table1[[#This Row],[BW_GA]])-1)/(Backend!$B$4/100*Table1[[#This Row],[BW40_3705]]),"")</f>
        <v/>
      </c>
      <c r="J6437" s="7" t="str">
        <f>IF(Table1[[#This Row],[Is Data Valid]]=TRUE,_xlfn.NORM.S.DIST(Table1[[#This Row],[Birthweight Z-Score]],TRUE)*100,"")</f>
        <v/>
      </c>
      <c r="K6437" s="7" t="str">
        <f>IF(Table1[[#This Row],[Is Data Valid]]=TRUE,_xlfn.NORM.S.DIST(Table1[[#This Row],[Birthweight Z-Score (BW-10%)]],TRUE)*100,"")</f>
        <v/>
      </c>
      <c r="L6437" s="7" t="str">
        <f>IF(Table1[[#This Row],[Is Data Valid]]=TRUE,_xlfn.NORM.S.DIST(Table1[[#This Row],[Birthweight Z-Score (BW+10%)]],TRUE)*100,"")</f>
        <v/>
      </c>
    </row>
    <row r="6438" spans="1:12" x14ac:dyDescent="0.35">
      <c r="A6438" s="3"/>
      <c r="B6438" s="2"/>
      <c r="C6438" s="2"/>
      <c r="D6438" s="2" t="b">
        <f>IF(AND(NOT(ISBLANK(Table1[[#This Row],[Fetal Sex (Male, Female or Unknown)]])),ISNUMBER(Table1[[#This Row],[Birthweight (grams)]]),ISNUMBER(Table1[[#This Row],[Gestation (days)]])),TRUE,FALSE)</f>
        <v>0</v>
      </c>
      <c r="E6438" s="2" t="str">
        <f>IF(Table1[[#This Row],[Is Data Valid]]=TRUE,IF(Table1[[#This Row],[Fetal Sex (Male, Female or Unknown)]]="Male",Backend!$C$6,IF(Table1[[#This Row],[Fetal Sex (Male, Female or Unknown)]]="Female",Backend!$C$7,IF(Table1[[#This Row],[Fetal Sex (Male, Female or Unknown)]]="Unknown",Backend!$C$8,"Error"))),"")</f>
        <v/>
      </c>
      <c r="F6438" s="8" t="str">
        <f>IF(Table1[[#This Row],[Is Data Valid]]=TRUE,EXP(0.578+0.332*((Table1[[#This Row],[Gestation (days)]]+0.5)/7)-0.00354*((Table1[[#This Row],[Gestation (days)]]+0.5)/7)^2)*Table1[[#This Row],[BW40_3705]],"")</f>
        <v/>
      </c>
      <c r="G6438" s="2" t="str">
        <f>IF(Table1[[#This Row],[Is Data Valid]]=TRUE,((Table1[[#This Row],[Birthweight (grams)]]/Table1[[#This Row],[BW_GA]])-1)/(Backend!$B$4/100*Table1[[#This Row],[BW40_3705]]),"")</f>
        <v/>
      </c>
      <c r="H6438" s="7" t="str">
        <f>IF(Table1[[#This Row],[Is Data Valid]]=TRUE,((Table1[[#This Row],[Birthweight (grams)]]*0.9/Table1[[#This Row],[BW_GA]])-1)/(Backend!$B$4/100*Table1[[#This Row],[BW40_3705]]),"")</f>
        <v/>
      </c>
      <c r="I6438" s="7" t="str">
        <f>IF(Table1[[#This Row],[Is Data Valid]]=TRUE,((Table1[[#This Row],[Birthweight (grams)]]*1.1/Table1[[#This Row],[BW_GA]])-1)/(Backend!$B$4/100*Table1[[#This Row],[BW40_3705]]),"")</f>
        <v/>
      </c>
      <c r="J6438" s="7" t="str">
        <f>IF(Table1[[#This Row],[Is Data Valid]]=TRUE,_xlfn.NORM.S.DIST(Table1[[#This Row],[Birthweight Z-Score]],TRUE)*100,"")</f>
        <v/>
      </c>
      <c r="K6438" s="7" t="str">
        <f>IF(Table1[[#This Row],[Is Data Valid]]=TRUE,_xlfn.NORM.S.DIST(Table1[[#This Row],[Birthweight Z-Score (BW-10%)]],TRUE)*100,"")</f>
        <v/>
      </c>
      <c r="L6438" s="7" t="str">
        <f>IF(Table1[[#This Row],[Is Data Valid]]=TRUE,_xlfn.NORM.S.DIST(Table1[[#This Row],[Birthweight Z-Score (BW+10%)]],TRUE)*100,"")</f>
        <v/>
      </c>
    </row>
    <row r="6439" spans="1:12" x14ac:dyDescent="0.35">
      <c r="A6439" s="3"/>
      <c r="B6439" s="2"/>
      <c r="C6439" s="2"/>
      <c r="D6439" s="2" t="b">
        <f>IF(AND(NOT(ISBLANK(Table1[[#This Row],[Fetal Sex (Male, Female or Unknown)]])),ISNUMBER(Table1[[#This Row],[Birthweight (grams)]]),ISNUMBER(Table1[[#This Row],[Gestation (days)]])),TRUE,FALSE)</f>
        <v>0</v>
      </c>
      <c r="E6439" s="2" t="str">
        <f>IF(Table1[[#This Row],[Is Data Valid]]=TRUE,IF(Table1[[#This Row],[Fetal Sex (Male, Female or Unknown)]]="Male",Backend!$C$6,IF(Table1[[#This Row],[Fetal Sex (Male, Female or Unknown)]]="Female",Backend!$C$7,IF(Table1[[#This Row],[Fetal Sex (Male, Female or Unknown)]]="Unknown",Backend!$C$8,"Error"))),"")</f>
        <v/>
      </c>
      <c r="F6439" s="8" t="str">
        <f>IF(Table1[[#This Row],[Is Data Valid]]=TRUE,EXP(0.578+0.332*((Table1[[#This Row],[Gestation (days)]]+0.5)/7)-0.00354*((Table1[[#This Row],[Gestation (days)]]+0.5)/7)^2)*Table1[[#This Row],[BW40_3705]],"")</f>
        <v/>
      </c>
      <c r="G6439" s="2" t="str">
        <f>IF(Table1[[#This Row],[Is Data Valid]]=TRUE,((Table1[[#This Row],[Birthweight (grams)]]/Table1[[#This Row],[BW_GA]])-1)/(Backend!$B$4/100*Table1[[#This Row],[BW40_3705]]),"")</f>
        <v/>
      </c>
      <c r="H6439" s="7" t="str">
        <f>IF(Table1[[#This Row],[Is Data Valid]]=TRUE,((Table1[[#This Row],[Birthweight (grams)]]*0.9/Table1[[#This Row],[BW_GA]])-1)/(Backend!$B$4/100*Table1[[#This Row],[BW40_3705]]),"")</f>
        <v/>
      </c>
      <c r="I6439" s="7" t="str">
        <f>IF(Table1[[#This Row],[Is Data Valid]]=TRUE,((Table1[[#This Row],[Birthweight (grams)]]*1.1/Table1[[#This Row],[BW_GA]])-1)/(Backend!$B$4/100*Table1[[#This Row],[BW40_3705]]),"")</f>
        <v/>
      </c>
      <c r="J6439" s="7" t="str">
        <f>IF(Table1[[#This Row],[Is Data Valid]]=TRUE,_xlfn.NORM.S.DIST(Table1[[#This Row],[Birthweight Z-Score]],TRUE)*100,"")</f>
        <v/>
      </c>
      <c r="K6439" s="7" t="str">
        <f>IF(Table1[[#This Row],[Is Data Valid]]=TRUE,_xlfn.NORM.S.DIST(Table1[[#This Row],[Birthweight Z-Score (BW-10%)]],TRUE)*100,"")</f>
        <v/>
      </c>
      <c r="L6439" s="7" t="str">
        <f>IF(Table1[[#This Row],[Is Data Valid]]=TRUE,_xlfn.NORM.S.DIST(Table1[[#This Row],[Birthweight Z-Score (BW+10%)]],TRUE)*100,"")</f>
        <v/>
      </c>
    </row>
    <row r="6440" spans="1:12" x14ac:dyDescent="0.35">
      <c r="A6440" s="3"/>
      <c r="B6440" s="2"/>
      <c r="C6440" s="2"/>
      <c r="D6440" s="2" t="b">
        <f>IF(AND(NOT(ISBLANK(Table1[[#This Row],[Fetal Sex (Male, Female or Unknown)]])),ISNUMBER(Table1[[#This Row],[Birthweight (grams)]]),ISNUMBER(Table1[[#This Row],[Gestation (days)]])),TRUE,FALSE)</f>
        <v>0</v>
      </c>
      <c r="E6440" s="2" t="str">
        <f>IF(Table1[[#This Row],[Is Data Valid]]=TRUE,IF(Table1[[#This Row],[Fetal Sex (Male, Female or Unknown)]]="Male",Backend!$C$6,IF(Table1[[#This Row],[Fetal Sex (Male, Female or Unknown)]]="Female",Backend!$C$7,IF(Table1[[#This Row],[Fetal Sex (Male, Female or Unknown)]]="Unknown",Backend!$C$8,"Error"))),"")</f>
        <v/>
      </c>
      <c r="F6440" s="8" t="str">
        <f>IF(Table1[[#This Row],[Is Data Valid]]=TRUE,EXP(0.578+0.332*((Table1[[#This Row],[Gestation (days)]]+0.5)/7)-0.00354*((Table1[[#This Row],[Gestation (days)]]+0.5)/7)^2)*Table1[[#This Row],[BW40_3705]],"")</f>
        <v/>
      </c>
      <c r="G6440" s="2" t="str">
        <f>IF(Table1[[#This Row],[Is Data Valid]]=TRUE,((Table1[[#This Row],[Birthweight (grams)]]/Table1[[#This Row],[BW_GA]])-1)/(Backend!$B$4/100*Table1[[#This Row],[BW40_3705]]),"")</f>
        <v/>
      </c>
      <c r="H6440" s="7" t="str">
        <f>IF(Table1[[#This Row],[Is Data Valid]]=TRUE,((Table1[[#This Row],[Birthweight (grams)]]*0.9/Table1[[#This Row],[BW_GA]])-1)/(Backend!$B$4/100*Table1[[#This Row],[BW40_3705]]),"")</f>
        <v/>
      </c>
      <c r="I6440" s="7" t="str">
        <f>IF(Table1[[#This Row],[Is Data Valid]]=TRUE,((Table1[[#This Row],[Birthweight (grams)]]*1.1/Table1[[#This Row],[BW_GA]])-1)/(Backend!$B$4/100*Table1[[#This Row],[BW40_3705]]),"")</f>
        <v/>
      </c>
      <c r="J6440" s="7" t="str">
        <f>IF(Table1[[#This Row],[Is Data Valid]]=TRUE,_xlfn.NORM.S.DIST(Table1[[#This Row],[Birthweight Z-Score]],TRUE)*100,"")</f>
        <v/>
      </c>
      <c r="K6440" s="7" t="str">
        <f>IF(Table1[[#This Row],[Is Data Valid]]=TRUE,_xlfn.NORM.S.DIST(Table1[[#This Row],[Birthweight Z-Score (BW-10%)]],TRUE)*100,"")</f>
        <v/>
      </c>
      <c r="L6440" s="7" t="str">
        <f>IF(Table1[[#This Row],[Is Data Valid]]=TRUE,_xlfn.NORM.S.DIST(Table1[[#This Row],[Birthweight Z-Score (BW+10%)]],TRUE)*100,"")</f>
        <v/>
      </c>
    </row>
    <row r="6441" spans="1:12" x14ac:dyDescent="0.35">
      <c r="A6441" s="3"/>
      <c r="B6441" s="2"/>
      <c r="C6441" s="2"/>
      <c r="D6441" s="2" t="b">
        <f>IF(AND(NOT(ISBLANK(Table1[[#This Row],[Fetal Sex (Male, Female or Unknown)]])),ISNUMBER(Table1[[#This Row],[Birthweight (grams)]]),ISNUMBER(Table1[[#This Row],[Gestation (days)]])),TRUE,FALSE)</f>
        <v>0</v>
      </c>
      <c r="E6441" s="2" t="str">
        <f>IF(Table1[[#This Row],[Is Data Valid]]=TRUE,IF(Table1[[#This Row],[Fetal Sex (Male, Female or Unknown)]]="Male",Backend!$C$6,IF(Table1[[#This Row],[Fetal Sex (Male, Female or Unknown)]]="Female",Backend!$C$7,IF(Table1[[#This Row],[Fetal Sex (Male, Female or Unknown)]]="Unknown",Backend!$C$8,"Error"))),"")</f>
        <v/>
      </c>
      <c r="F6441" s="8" t="str">
        <f>IF(Table1[[#This Row],[Is Data Valid]]=TRUE,EXP(0.578+0.332*((Table1[[#This Row],[Gestation (days)]]+0.5)/7)-0.00354*((Table1[[#This Row],[Gestation (days)]]+0.5)/7)^2)*Table1[[#This Row],[BW40_3705]],"")</f>
        <v/>
      </c>
      <c r="G6441" s="2" t="str">
        <f>IF(Table1[[#This Row],[Is Data Valid]]=TRUE,((Table1[[#This Row],[Birthweight (grams)]]/Table1[[#This Row],[BW_GA]])-1)/(Backend!$B$4/100*Table1[[#This Row],[BW40_3705]]),"")</f>
        <v/>
      </c>
      <c r="H6441" s="7" t="str">
        <f>IF(Table1[[#This Row],[Is Data Valid]]=TRUE,((Table1[[#This Row],[Birthweight (grams)]]*0.9/Table1[[#This Row],[BW_GA]])-1)/(Backend!$B$4/100*Table1[[#This Row],[BW40_3705]]),"")</f>
        <v/>
      </c>
      <c r="I6441" s="7" t="str">
        <f>IF(Table1[[#This Row],[Is Data Valid]]=TRUE,((Table1[[#This Row],[Birthweight (grams)]]*1.1/Table1[[#This Row],[BW_GA]])-1)/(Backend!$B$4/100*Table1[[#This Row],[BW40_3705]]),"")</f>
        <v/>
      </c>
      <c r="J6441" s="7" t="str">
        <f>IF(Table1[[#This Row],[Is Data Valid]]=TRUE,_xlfn.NORM.S.DIST(Table1[[#This Row],[Birthweight Z-Score]],TRUE)*100,"")</f>
        <v/>
      </c>
      <c r="K6441" s="7" t="str">
        <f>IF(Table1[[#This Row],[Is Data Valid]]=TRUE,_xlfn.NORM.S.DIST(Table1[[#This Row],[Birthweight Z-Score (BW-10%)]],TRUE)*100,"")</f>
        <v/>
      </c>
      <c r="L6441" s="7" t="str">
        <f>IF(Table1[[#This Row],[Is Data Valid]]=TRUE,_xlfn.NORM.S.DIST(Table1[[#This Row],[Birthweight Z-Score (BW+10%)]],TRUE)*100,"")</f>
        <v/>
      </c>
    </row>
    <row r="6442" spans="1:12" x14ac:dyDescent="0.35">
      <c r="A6442" s="3"/>
      <c r="B6442" s="2"/>
      <c r="C6442" s="2"/>
      <c r="D6442" s="2" t="b">
        <f>IF(AND(NOT(ISBLANK(Table1[[#This Row],[Fetal Sex (Male, Female or Unknown)]])),ISNUMBER(Table1[[#This Row],[Birthweight (grams)]]),ISNUMBER(Table1[[#This Row],[Gestation (days)]])),TRUE,FALSE)</f>
        <v>0</v>
      </c>
      <c r="E6442" s="2" t="str">
        <f>IF(Table1[[#This Row],[Is Data Valid]]=TRUE,IF(Table1[[#This Row],[Fetal Sex (Male, Female or Unknown)]]="Male",Backend!$C$6,IF(Table1[[#This Row],[Fetal Sex (Male, Female or Unknown)]]="Female",Backend!$C$7,IF(Table1[[#This Row],[Fetal Sex (Male, Female or Unknown)]]="Unknown",Backend!$C$8,"Error"))),"")</f>
        <v/>
      </c>
      <c r="F6442" s="8" t="str">
        <f>IF(Table1[[#This Row],[Is Data Valid]]=TRUE,EXP(0.578+0.332*((Table1[[#This Row],[Gestation (days)]]+0.5)/7)-0.00354*((Table1[[#This Row],[Gestation (days)]]+0.5)/7)^2)*Table1[[#This Row],[BW40_3705]],"")</f>
        <v/>
      </c>
      <c r="G6442" s="2" t="str">
        <f>IF(Table1[[#This Row],[Is Data Valid]]=TRUE,((Table1[[#This Row],[Birthweight (grams)]]/Table1[[#This Row],[BW_GA]])-1)/(Backend!$B$4/100*Table1[[#This Row],[BW40_3705]]),"")</f>
        <v/>
      </c>
      <c r="H6442" s="7" t="str">
        <f>IF(Table1[[#This Row],[Is Data Valid]]=TRUE,((Table1[[#This Row],[Birthweight (grams)]]*0.9/Table1[[#This Row],[BW_GA]])-1)/(Backend!$B$4/100*Table1[[#This Row],[BW40_3705]]),"")</f>
        <v/>
      </c>
      <c r="I6442" s="7" t="str">
        <f>IF(Table1[[#This Row],[Is Data Valid]]=TRUE,((Table1[[#This Row],[Birthweight (grams)]]*1.1/Table1[[#This Row],[BW_GA]])-1)/(Backend!$B$4/100*Table1[[#This Row],[BW40_3705]]),"")</f>
        <v/>
      </c>
      <c r="J6442" s="7" t="str">
        <f>IF(Table1[[#This Row],[Is Data Valid]]=TRUE,_xlfn.NORM.S.DIST(Table1[[#This Row],[Birthweight Z-Score]],TRUE)*100,"")</f>
        <v/>
      </c>
      <c r="K6442" s="7" t="str">
        <f>IF(Table1[[#This Row],[Is Data Valid]]=TRUE,_xlfn.NORM.S.DIST(Table1[[#This Row],[Birthweight Z-Score (BW-10%)]],TRUE)*100,"")</f>
        <v/>
      </c>
      <c r="L6442" s="7" t="str">
        <f>IF(Table1[[#This Row],[Is Data Valid]]=TRUE,_xlfn.NORM.S.DIST(Table1[[#This Row],[Birthweight Z-Score (BW+10%)]],TRUE)*100,"")</f>
        <v/>
      </c>
    </row>
    <row r="6443" spans="1:12" x14ac:dyDescent="0.35">
      <c r="A6443" s="3"/>
      <c r="B6443" s="2"/>
      <c r="C6443" s="2"/>
      <c r="D6443" s="2" t="b">
        <f>IF(AND(NOT(ISBLANK(Table1[[#This Row],[Fetal Sex (Male, Female or Unknown)]])),ISNUMBER(Table1[[#This Row],[Birthweight (grams)]]),ISNUMBER(Table1[[#This Row],[Gestation (days)]])),TRUE,FALSE)</f>
        <v>0</v>
      </c>
      <c r="E6443" s="2" t="str">
        <f>IF(Table1[[#This Row],[Is Data Valid]]=TRUE,IF(Table1[[#This Row],[Fetal Sex (Male, Female or Unknown)]]="Male",Backend!$C$6,IF(Table1[[#This Row],[Fetal Sex (Male, Female or Unknown)]]="Female",Backend!$C$7,IF(Table1[[#This Row],[Fetal Sex (Male, Female or Unknown)]]="Unknown",Backend!$C$8,"Error"))),"")</f>
        <v/>
      </c>
      <c r="F6443" s="8" t="str">
        <f>IF(Table1[[#This Row],[Is Data Valid]]=TRUE,EXP(0.578+0.332*((Table1[[#This Row],[Gestation (days)]]+0.5)/7)-0.00354*((Table1[[#This Row],[Gestation (days)]]+0.5)/7)^2)*Table1[[#This Row],[BW40_3705]],"")</f>
        <v/>
      </c>
      <c r="G6443" s="2" t="str">
        <f>IF(Table1[[#This Row],[Is Data Valid]]=TRUE,((Table1[[#This Row],[Birthweight (grams)]]/Table1[[#This Row],[BW_GA]])-1)/(Backend!$B$4/100*Table1[[#This Row],[BW40_3705]]),"")</f>
        <v/>
      </c>
      <c r="H6443" s="7" t="str">
        <f>IF(Table1[[#This Row],[Is Data Valid]]=TRUE,((Table1[[#This Row],[Birthweight (grams)]]*0.9/Table1[[#This Row],[BW_GA]])-1)/(Backend!$B$4/100*Table1[[#This Row],[BW40_3705]]),"")</f>
        <v/>
      </c>
      <c r="I6443" s="7" t="str">
        <f>IF(Table1[[#This Row],[Is Data Valid]]=TRUE,((Table1[[#This Row],[Birthweight (grams)]]*1.1/Table1[[#This Row],[BW_GA]])-1)/(Backend!$B$4/100*Table1[[#This Row],[BW40_3705]]),"")</f>
        <v/>
      </c>
      <c r="J6443" s="7" t="str">
        <f>IF(Table1[[#This Row],[Is Data Valid]]=TRUE,_xlfn.NORM.S.DIST(Table1[[#This Row],[Birthweight Z-Score]],TRUE)*100,"")</f>
        <v/>
      </c>
      <c r="K6443" s="7" t="str">
        <f>IF(Table1[[#This Row],[Is Data Valid]]=TRUE,_xlfn.NORM.S.DIST(Table1[[#This Row],[Birthweight Z-Score (BW-10%)]],TRUE)*100,"")</f>
        <v/>
      </c>
      <c r="L6443" s="7" t="str">
        <f>IF(Table1[[#This Row],[Is Data Valid]]=TRUE,_xlfn.NORM.S.DIST(Table1[[#This Row],[Birthweight Z-Score (BW+10%)]],TRUE)*100,"")</f>
        <v/>
      </c>
    </row>
    <row r="6444" spans="1:12" x14ac:dyDescent="0.35">
      <c r="A6444" s="3"/>
      <c r="B6444" s="2"/>
      <c r="C6444" s="2"/>
      <c r="D6444" s="2" t="b">
        <f>IF(AND(NOT(ISBLANK(Table1[[#This Row],[Fetal Sex (Male, Female or Unknown)]])),ISNUMBER(Table1[[#This Row],[Birthweight (grams)]]),ISNUMBER(Table1[[#This Row],[Gestation (days)]])),TRUE,FALSE)</f>
        <v>0</v>
      </c>
      <c r="E6444" s="2" t="str">
        <f>IF(Table1[[#This Row],[Is Data Valid]]=TRUE,IF(Table1[[#This Row],[Fetal Sex (Male, Female or Unknown)]]="Male",Backend!$C$6,IF(Table1[[#This Row],[Fetal Sex (Male, Female or Unknown)]]="Female",Backend!$C$7,IF(Table1[[#This Row],[Fetal Sex (Male, Female or Unknown)]]="Unknown",Backend!$C$8,"Error"))),"")</f>
        <v/>
      </c>
      <c r="F6444" s="8" t="str">
        <f>IF(Table1[[#This Row],[Is Data Valid]]=TRUE,EXP(0.578+0.332*((Table1[[#This Row],[Gestation (days)]]+0.5)/7)-0.00354*((Table1[[#This Row],[Gestation (days)]]+0.5)/7)^2)*Table1[[#This Row],[BW40_3705]],"")</f>
        <v/>
      </c>
      <c r="G6444" s="2" t="str">
        <f>IF(Table1[[#This Row],[Is Data Valid]]=TRUE,((Table1[[#This Row],[Birthweight (grams)]]/Table1[[#This Row],[BW_GA]])-1)/(Backend!$B$4/100*Table1[[#This Row],[BW40_3705]]),"")</f>
        <v/>
      </c>
      <c r="H6444" s="7" t="str">
        <f>IF(Table1[[#This Row],[Is Data Valid]]=TRUE,((Table1[[#This Row],[Birthweight (grams)]]*0.9/Table1[[#This Row],[BW_GA]])-1)/(Backend!$B$4/100*Table1[[#This Row],[BW40_3705]]),"")</f>
        <v/>
      </c>
      <c r="I6444" s="7" t="str">
        <f>IF(Table1[[#This Row],[Is Data Valid]]=TRUE,((Table1[[#This Row],[Birthweight (grams)]]*1.1/Table1[[#This Row],[BW_GA]])-1)/(Backend!$B$4/100*Table1[[#This Row],[BW40_3705]]),"")</f>
        <v/>
      </c>
      <c r="J6444" s="7" t="str">
        <f>IF(Table1[[#This Row],[Is Data Valid]]=TRUE,_xlfn.NORM.S.DIST(Table1[[#This Row],[Birthweight Z-Score]],TRUE)*100,"")</f>
        <v/>
      </c>
      <c r="K6444" s="7" t="str">
        <f>IF(Table1[[#This Row],[Is Data Valid]]=TRUE,_xlfn.NORM.S.DIST(Table1[[#This Row],[Birthweight Z-Score (BW-10%)]],TRUE)*100,"")</f>
        <v/>
      </c>
      <c r="L6444" s="7" t="str">
        <f>IF(Table1[[#This Row],[Is Data Valid]]=TRUE,_xlfn.NORM.S.DIST(Table1[[#This Row],[Birthweight Z-Score (BW+10%)]],TRUE)*100,"")</f>
        <v/>
      </c>
    </row>
    <row r="6445" spans="1:12" x14ac:dyDescent="0.35">
      <c r="A6445" s="3"/>
      <c r="B6445" s="2"/>
      <c r="C6445" s="2"/>
      <c r="D6445" s="2" t="b">
        <f>IF(AND(NOT(ISBLANK(Table1[[#This Row],[Fetal Sex (Male, Female or Unknown)]])),ISNUMBER(Table1[[#This Row],[Birthweight (grams)]]),ISNUMBER(Table1[[#This Row],[Gestation (days)]])),TRUE,FALSE)</f>
        <v>0</v>
      </c>
      <c r="E6445" s="2" t="str">
        <f>IF(Table1[[#This Row],[Is Data Valid]]=TRUE,IF(Table1[[#This Row],[Fetal Sex (Male, Female or Unknown)]]="Male",Backend!$C$6,IF(Table1[[#This Row],[Fetal Sex (Male, Female or Unknown)]]="Female",Backend!$C$7,IF(Table1[[#This Row],[Fetal Sex (Male, Female or Unknown)]]="Unknown",Backend!$C$8,"Error"))),"")</f>
        <v/>
      </c>
      <c r="F6445" s="8" t="str">
        <f>IF(Table1[[#This Row],[Is Data Valid]]=TRUE,EXP(0.578+0.332*((Table1[[#This Row],[Gestation (days)]]+0.5)/7)-0.00354*((Table1[[#This Row],[Gestation (days)]]+0.5)/7)^2)*Table1[[#This Row],[BW40_3705]],"")</f>
        <v/>
      </c>
      <c r="G6445" s="2" t="str">
        <f>IF(Table1[[#This Row],[Is Data Valid]]=TRUE,((Table1[[#This Row],[Birthweight (grams)]]/Table1[[#This Row],[BW_GA]])-1)/(Backend!$B$4/100*Table1[[#This Row],[BW40_3705]]),"")</f>
        <v/>
      </c>
      <c r="H6445" s="7" t="str">
        <f>IF(Table1[[#This Row],[Is Data Valid]]=TRUE,((Table1[[#This Row],[Birthweight (grams)]]*0.9/Table1[[#This Row],[BW_GA]])-1)/(Backend!$B$4/100*Table1[[#This Row],[BW40_3705]]),"")</f>
        <v/>
      </c>
      <c r="I6445" s="7" t="str">
        <f>IF(Table1[[#This Row],[Is Data Valid]]=TRUE,((Table1[[#This Row],[Birthweight (grams)]]*1.1/Table1[[#This Row],[BW_GA]])-1)/(Backend!$B$4/100*Table1[[#This Row],[BW40_3705]]),"")</f>
        <v/>
      </c>
      <c r="J6445" s="7" t="str">
        <f>IF(Table1[[#This Row],[Is Data Valid]]=TRUE,_xlfn.NORM.S.DIST(Table1[[#This Row],[Birthweight Z-Score]],TRUE)*100,"")</f>
        <v/>
      </c>
      <c r="K6445" s="7" t="str">
        <f>IF(Table1[[#This Row],[Is Data Valid]]=TRUE,_xlfn.NORM.S.DIST(Table1[[#This Row],[Birthweight Z-Score (BW-10%)]],TRUE)*100,"")</f>
        <v/>
      </c>
      <c r="L6445" s="7" t="str">
        <f>IF(Table1[[#This Row],[Is Data Valid]]=TRUE,_xlfn.NORM.S.DIST(Table1[[#This Row],[Birthweight Z-Score (BW+10%)]],TRUE)*100,"")</f>
        <v/>
      </c>
    </row>
    <row r="6446" spans="1:12" x14ac:dyDescent="0.35">
      <c r="A6446" s="3"/>
      <c r="B6446" s="2"/>
      <c r="C6446" s="2"/>
      <c r="D6446" s="2" t="b">
        <f>IF(AND(NOT(ISBLANK(Table1[[#This Row],[Fetal Sex (Male, Female or Unknown)]])),ISNUMBER(Table1[[#This Row],[Birthweight (grams)]]),ISNUMBER(Table1[[#This Row],[Gestation (days)]])),TRUE,FALSE)</f>
        <v>0</v>
      </c>
      <c r="E6446" s="2" t="str">
        <f>IF(Table1[[#This Row],[Is Data Valid]]=TRUE,IF(Table1[[#This Row],[Fetal Sex (Male, Female or Unknown)]]="Male",Backend!$C$6,IF(Table1[[#This Row],[Fetal Sex (Male, Female or Unknown)]]="Female",Backend!$C$7,IF(Table1[[#This Row],[Fetal Sex (Male, Female or Unknown)]]="Unknown",Backend!$C$8,"Error"))),"")</f>
        <v/>
      </c>
      <c r="F6446" s="8" t="str">
        <f>IF(Table1[[#This Row],[Is Data Valid]]=TRUE,EXP(0.578+0.332*((Table1[[#This Row],[Gestation (days)]]+0.5)/7)-0.00354*((Table1[[#This Row],[Gestation (days)]]+0.5)/7)^2)*Table1[[#This Row],[BW40_3705]],"")</f>
        <v/>
      </c>
      <c r="G6446" s="2" t="str">
        <f>IF(Table1[[#This Row],[Is Data Valid]]=TRUE,((Table1[[#This Row],[Birthweight (grams)]]/Table1[[#This Row],[BW_GA]])-1)/(Backend!$B$4/100*Table1[[#This Row],[BW40_3705]]),"")</f>
        <v/>
      </c>
      <c r="H6446" s="7" t="str">
        <f>IF(Table1[[#This Row],[Is Data Valid]]=TRUE,((Table1[[#This Row],[Birthweight (grams)]]*0.9/Table1[[#This Row],[BW_GA]])-1)/(Backend!$B$4/100*Table1[[#This Row],[BW40_3705]]),"")</f>
        <v/>
      </c>
      <c r="I6446" s="7" t="str">
        <f>IF(Table1[[#This Row],[Is Data Valid]]=TRUE,((Table1[[#This Row],[Birthweight (grams)]]*1.1/Table1[[#This Row],[BW_GA]])-1)/(Backend!$B$4/100*Table1[[#This Row],[BW40_3705]]),"")</f>
        <v/>
      </c>
      <c r="J6446" s="7" t="str">
        <f>IF(Table1[[#This Row],[Is Data Valid]]=TRUE,_xlfn.NORM.S.DIST(Table1[[#This Row],[Birthweight Z-Score]],TRUE)*100,"")</f>
        <v/>
      </c>
      <c r="K6446" s="7" t="str">
        <f>IF(Table1[[#This Row],[Is Data Valid]]=TRUE,_xlfn.NORM.S.DIST(Table1[[#This Row],[Birthweight Z-Score (BW-10%)]],TRUE)*100,"")</f>
        <v/>
      </c>
      <c r="L6446" s="7" t="str">
        <f>IF(Table1[[#This Row],[Is Data Valid]]=TRUE,_xlfn.NORM.S.DIST(Table1[[#This Row],[Birthweight Z-Score (BW+10%)]],TRUE)*100,"")</f>
        <v/>
      </c>
    </row>
    <row r="6447" spans="1:12" x14ac:dyDescent="0.35">
      <c r="A6447" s="3"/>
      <c r="B6447" s="2"/>
      <c r="C6447" s="2"/>
      <c r="D6447" s="2" t="b">
        <f>IF(AND(NOT(ISBLANK(Table1[[#This Row],[Fetal Sex (Male, Female or Unknown)]])),ISNUMBER(Table1[[#This Row],[Birthweight (grams)]]),ISNUMBER(Table1[[#This Row],[Gestation (days)]])),TRUE,FALSE)</f>
        <v>0</v>
      </c>
      <c r="E6447" s="2" t="str">
        <f>IF(Table1[[#This Row],[Is Data Valid]]=TRUE,IF(Table1[[#This Row],[Fetal Sex (Male, Female or Unknown)]]="Male",Backend!$C$6,IF(Table1[[#This Row],[Fetal Sex (Male, Female or Unknown)]]="Female",Backend!$C$7,IF(Table1[[#This Row],[Fetal Sex (Male, Female or Unknown)]]="Unknown",Backend!$C$8,"Error"))),"")</f>
        <v/>
      </c>
      <c r="F6447" s="8" t="str">
        <f>IF(Table1[[#This Row],[Is Data Valid]]=TRUE,EXP(0.578+0.332*((Table1[[#This Row],[Gestation (days)]]+0.5)/7)-0.00354*((Table1[[#This Row],[Gestation (days)]]+0.5)/7)^2)*Table1[[#This Row],[BW40_3705]],"")</f>
        <v/>
      </c>
      <c r="G6447" s="2" t="str">
        <f>IF(Table1[[#This Row],[Is Data Valid]]=TRUE,((Table1[[#This Row],[Birthweight (grams)]]/Table1[[#This Row],[BW_GA]])-1)/(Backend!$B$4/100*Table1[[#This Row],[BW40_3705]]),"")</f>
        <v/>
      </c>
      <c r="H6447" s="7" t="str">
        <f>IF(Table1[[#This Row],[Is Data Valid]]=TRUE,((Table1[[#This Row],[Birthweight (grams)]]*0.9/Table1[[#This Row],[BW_GA]])-1)/(Backend!$B$4/100*Table1[[#This Row],[BW40_3705]]),"")</f>
        <v/>
      </c>
      <c r="I6447" s="7" t="str">
        <f>IF(Table1[[#This Row],[Is Data Valid]]=TRUE,((Table1[[#This Row],[Birthweight (grams)]]*1.1/Table1[[#This Row],[BW_GA]])-1)/(Backend!$B$4/100*Table1[[#This Row],[BW40_3705]]),"")</f>
        <v/>
      </c>
      <c r="J6447" s="7" t="str">
        <f>IF(Table1[[#This Row],[Is Data Valid]]=TRUE,_xlfn.NORM.S.DIST(Table1[[#This Row],[Birthweight Z-Score]],TRUE)*100,"")</f>
        <v/>
      </c>
      <c r="K6447" s="7" t="str">
        <f>IF(Table1[[#This Row],[Is Data Valid]]=TRUE,_xlfn.NORM.S.DIST(Table1[[#This Row],[Birthweight Z-Score (BW-10%)]],TRUE)*100,"")</f>
        <v/>
      </c>
      <c r="L6447" s="7" t="str">
        <f>IF(Table1[[#This Row],[Is Data Valid]]=TRUE,_xlfn.NORM.S.DIST(Table1[[#This Row],[Birthweight Z-Score (BW+10%)]],TRUE)*100,"")</f>
        <v/>
      </c>
    </row>
    <row r="6448" spans="1:12" x14ac:dyDescent="0.35">
      <c r="A6448" s="3"/>
      <c r="B6448" s="2"/>
      <c r="C6448" s="2"/>
      <c r="D6448" s="2" t="b">
        <f>IF(AND(NOT(ISBLANK(Table1[[#This Row],[Fetal Sex (Male, Female or Unknown)]])),ISNUMBER(Table1[[#This Row],[Birthweight (grams)]]),ISNUMBER(Table1[[#This Row],[Gestation (days)]])),TRUE,FALSE)</f>
        <v>0</v>
      </c>
      <c r="E6448" s="2" t="str">
        <f>IF(Table1[[#This Row],[Is Data Valid]]=TRUE,IF(Table1[[#This Row],[Fetal Sex (Male, Female or Unknown)]]="Male",Backend!$C$6,IF(Table1[[#This Row],[Fetal Sex (Male, Female or Unknown)]]="Female",Backend!$C$7,IF(Table1[[#This Row],[Fetal Sex (Male, Female or Unknown)]]="Unknown",Backend!$C$8,"Error"))),"")</f>
        <v/>
      </c>
      <c r="F6448" s="8" t="str">
        <f>IF(Table1[[#This Row],[Is Data Valid]]=TRUE,EXP(0.578+0.332*((Table1[[#This Row],[Gestation (days)]]+0.5)/7)-0.00354*((Table1[[#This Row],[Gestation (days)]]+0.5)/7)^2)*Table1[[#This Row],[BW40_3705]],"")</f>
        <v/>
      </c>
      <c r="G6448" s="2" t="str">
        <f>IF(Table1[[#This Row],[Is Data Valid]]=TRUE,((Table1[[#This Row],[Birthweight (grams)]]/Table1[[#This Row],[BW_GA]])-1)/(Backend!$B$4/100*Table1[[#This Row],[BW40_3705]]),"")</f>
        <v/>
      </c>
      <c r="H6448" s="7" t="str">
        <f>IF(Table1[[#This Row],[Is Data Valid]]=TRUE,((Table1[[#This Row],[Birthweight (grams)]]*0.9/Table1[[#This Row],[BW_GA]])-1)/(Backend!$B$4/100*Table1[[#This Row],[BW40_3705]]),"")</f>
        <v/>
      </c>
      <c r="I6448" s="7" t="str">
        <f>IF(Table1[[#This Row],[Is Data Valid]]=TRUE,((Table1[[#This Row],[Birthweight (grams)]]*1.1/Table1[[#This Row],[BW_GA]])-1)/(Backend!$B$4/100*Table1[[#This Row],[BW40_3705]]),"")</f>
        <v/>
      </c>
      <c r="J6448" s="7" t="str">
        <f>IF(Table1[[#This Row],[Is Data Valid]]=TRUE,_xlfn.NORM.S.DIST(Table1[[#This Row],[Birthweight Z-Score]],TRUE)*100,"")</f>
        <v/>
      </c>
      <c r="K6448" s="7" t="str">
        <f>IF(Table1[[#This Row],[Is Data Valid]]=TRUE,_xlfn.NORM.S.DIST(Table1[[#This Row],[Birthweight Z-Score (BW-10%)]],TRUE)*100,"")</f>
        <v/>
      </c>
      <c r="L6448" s="7" t="str">
        <f>IF(Table1[[#This Row],[Is Data Valid]]=TRUE,_xlfn.NORM.S.DIST(Table1[[#This Row],[Birthweight Z-Score (BW+10%)]],TRUE)*100,"")</f>
        <v/>
      </c>
    </row>
    <row r="6449" spans="1:12" x14ac:dyDescent="0.35">
      <c r="A6449" s="3"/>
      <c r="B6449" s="2"/>
      <c r="C6449" s="2"/>
      <c r="D6449" s="2" t="b">
        <f>IF(AND(NOT(ISBLANK(Table1[[#This Row],[Fetal Sex (Male, Female or Unknown)]])),ISNUMBER(Table1[[#This Row],[Birthweight (grams)]]),ISNUMBER(Table1[[#This Row],[Gestation (days)]])),TRUE,FALSE)</f>
        <v>0</v>
      </c>
      <c r="E6449" s="2" t="str">
        <f>IF(Table1[[#This Row],[Is Data Valid]]=TRUE,IF(Table1[[#This Row],[Fetal Sex (Male, Female or Unknown)]]="Male",Backend!$C$6,IF(Table1[[#This Row],[Fetal Sex (Male, Female or Unknown)]]="Female",Backend!$C$7,IF(Table1[[#This Row],[Fetal Sex (Male, Female or Unknown)]]="Unknown",Backend!$C$8,"Error"))),"")</f>
        <v/>
      </c>
      <c r="F6449" s="8" t="str">
        <f>IF(Table1[[#This Row],[Is Data Valid]]=TRUE,EXP(0.578+0.332*((Table1[[#This Row],[Gestation (days)]]+0.5)/7)-0.00354*((Table1[[#This Row],[Gestation (days)]]+0.5)/7)^2)*Table1[[#This Row],[BW40_3705]],"")</f>
        <v/>
      </c>
      <c r="G6449" s="2" t="str">
        <f>IF(Table1[[#This Row],[Is Data Valid]]=TRUE,((Table1[[#This Row],[Birthweight (grams)]]/Table1[[#This Row],[BW_GA]])-1)/(Backend!$B$4/100*Table1[[#This Row],[BW40_3705]]),"")</f>
        <v/>
      </c>
      <c r="H6449" s="7" t="str">
        <f>IF(Table1[[#This Row],[Is Data Valid]]=TRUE,((Table1[[#This Row],[Birthweight (grams)]]*0.9/Table1[[#This Row],[BW_GA]])-1)/(Backend!$B$4/100*Table1[[#This Row],[BW40_3705]]),"")</f>
        <v/>
      </c>
      <c r="I6449" s="7" t="str">
        <f>IF(Table1[[#This Row],[Is Data Valid]]=TRUE,((Table1[[#This Row],[Birthweight (grams)]]*1.1/Table1[[#This Row],[BW_GA]])-1)/(Backend!$B$4/100*Table1[[#This Row],[BW40_3705]]),"")</f>
        <v/>
      </c>
      <c r="J6449" s="7" t="str">
        <f>IF(Table1[[#This Row],[Is Data Valid]]=TRUE,_xlfn.NORM.S.DIST(Table1[[#This Row],[Birthweight Z-Score]],TRUE)*100,"")</f>
        <v/>
      </c>
      <c r="K6449" s="7" t="str">
        <f>IF(Table1[[#This Row],[Is Data Valid]]=TRUE,_xlfn.NORM.S.DIST(Table1[[#This Row],[Birthweight Z-Score (BW-10%)]],TRUE)*100,"")</f>
        <v/>
      </c>
      <c r="L6449" s="7" t="str">
        <f>IF(Table1[[#This Row],[Is Data Valid]]=TRUE,_xlfn.NORM.S.DIST(Table1[[#This Row],[Birthweight Z-Score (BW+10%)]],TRUE)*100,"")</f>
        <v/>
      </c>
    </row>
    <row r="6450" spans="1:12" x14ac:dyDescent="0.35">
      <c r="A6450" s="3"/>
      <c r="B6450" s="2"/>
      <c r="C6450" s="2"/>
      <c r="D6450" s="2" t="b">
        <f>IF(AND(NOT(ISBLANK(Table1[[#This Row],[Fetal Sex (Male, Female or Unknown)]])),ISNUMBER(Table1[[#This Row],[Birthweight (grams)]]),ISNUMBER(Table1[[#This Row],[Gestation (days)]])),TRUE,FALSE)</f>
        <v>0</v>
      </c>
      <c r="E6450" s="2" t="str">
        <f>IF(Table1[[#This Row],[Is Data Valid]]=TRUE,IF(Table1[[#This Row],[Fetal Sex (Male, Female or Unknown)]]="Male",Backend!$C$6,IF(Table1[[#This Row],[Fetal Sex (Male, Female or Unknown)]]="Female",Backend!$C$7,IF(Table1[[#This Row],[Fetal Sex (Male, Female or Unknown)]]="Unknown",Backend!$C$8,"Error"))),"")</f>
        <v/>
      </c>
      <c r="F6450" s="8" t="str">
        <f>IF(Table1[[#This Row],[Is Data Valid]]=TRUE,EXP(0.578+0.332*((Table1[[#This Row],[Gestation (days)]]+0.5)/7)-0.00354*((Table1[[#This Row],[Gestation (days)]]+0.5)/7)^2)*Table1[[#This Row],[BW40_3705]],"")</f>
        <v/>
      </c>
      <c r="G6450" s="2" t="str">
        <f>IF(Table1[[#This Row],[Is Data Valid]]=TRUE,((Table1[[#This Row],[Birthweight (grams)]]/Table1[[#This Row],[BW_GA]])-1)/(Backend!$B$4/100*Table1[[#This Row],[BW40_3705]]),"")</f>
        <v/>
      </c>
      <c r="H6450" s="7" t="str">
        <f>IF(Table1[[#This Row],[Is Data Valid]]=TRUE,((Table1[[#This Row],[Birthweight (grams)]]*0.9/Table1[[#This Row],[BW_GA]])-1)/(Backend!$B$4/100*Table1[[#This Row],[BW40_3705]]),"")</f>
        <v/>
      </c>
      <c r="I6450" s="7" t="str">
        <f>IF(Table1[[#This Row],[Is Data Valid]]=TRUE,((Table1[[#This Row],[Birthweight (grams)]]*1.1/Table1[[#This Row],[BW_GA]])-1)/(Backend!$B$4/100*Table1[[#This Row],[BW40_3705]]),"")</f>
        <v/>
      </c>
      <c r="J6450" s="7" t="str">
        <f>IF(Table1[[#This Row],[Is Data Valid]]=TRUE,_xlfn.NORM.S.DIST(Table1[[#This Row],[Birthweight Z-Score]],TRUE)*100,"")</f>
        <v/>
      </c>
      <c r="K6450" s="7" t="str">
        <f>IF(Table1[[#This Row],[Is Data Valid]]=TRUE,_xlfn.NORM.S.DIST(Table1[[#This Row],[Birthweight Z-Score (BW-10%)]],TRUE)*100,"")</f>
        <v/>
      </c>
      <c r="L6450" s="7" t="str">
        <f>IF(Table1[[#This Row],[Is Data Valid]]=TRUE,_xlfn.NORM.S.DIST(Table1[[#This Row],[Birthweight Z-Score (BW+10%)]],TRUE)*100,"")</f>
        <v/>
      </c>
    </row>
    <row r="6451" spans="1:12" x14ac:dyDescent="0.35">
      <c r="A6451" s="3"/>
      <c r="B6451" s="2"/>
      <c r="C6451" s="2"/>
      <c r="D6451" s="2" t="b">
        <f>IF(AND(NOT(ISBLANK(Table1[[#This Row],[Fetal Sex (Male, Female or Unknown)]])),ISNUMBER(Table1[[#This Row],[Birthweight (grams)]]),ISNUMBER(Table1[[#This Row],[Gestation (days)]])),TRUE,FALSE)</f>
        <v>0</v>
      </c>
      <c r="E6451" s="2" t="str">
        <f>IF(Table1[[#This Row],[Is Data Valid]]=TRUE,IF(Table1[[#This Row],[Fetal Sex (Male, Female or Unknown)]]="Male",Backend!$C$6,IF(Table1[[#This Row],[Fetal Sex (Male, Female or Unknown)]]="Female",Backend!$C$7,IF(Table1[[#This Row],[Fetal Sex (Male, Female or Unknown)]]="Unknown",Backend!$C$8,"Error"))),"")</f>
        <v/>
      </c>
      <c r="F6451" s="8" t="str">
        <f>IF(Table1[[#This Row],[Is Data Valid]]=TRUE,EXP(0.578+0.332*((Table1[[#This Row],[Gestation (days)]]+0.5)/7)-0.00354*((Table1[[#This Row],[Gestation (days)]]+0.5)/7)^2)*Table1[[#This Row],[BW40_3705]],"")</f>
        <v/>
      </c>
      <c r="G6451" s="2" t="str">
        <f>IF(Table1[[#This Row],[Is Data Valid]]=TRUE,((Table1[[#This Row],[Birthweight (grams)]]/Table1[[#This Row],[BW_GA]])-1)/(Backend!$B$4/100*Table1[[#This Row],[BW40_3705]]),"")</f>
        <v/>
      </c>
      <c r="H6451" s="7" t="str">
        <f>IF(Table1[[#This Row],[Is Data Valid]]=TRUE,((Table1[[#This Row],[Birthweight (grams)]]*0.9/Table1[[#This Row],[BW_GA]])-1)/(Backend!$B$4/100*Table1[[#This Row],[BW40_3705]]),"")</f>
        <v/>
      </c>
      <c r="I6451" s="7" t="str">
        <f>IF(Table1[[#This Row],[Is Data Valid]]=TRUE,((Table1[[#This Row],[Birthweight (grams)]]*1.1/Table1[[#This Row],[BW_GA]])-1)/(Backend!$B$4/100*Table1[[#This Row],[BW40_3705]]),"")</f>
        <v/>
      </c>
      <c r="J6451" s="7" t="str">
        <f>IF(Table1[[#This Row],[Is Data Valid]]=TRUE,_xlfn.NORM.S.DIST(Table1[[#This Row],[Birthweight Z-Score]],TRUE)*100,"")</f>
        <v/>
      </c>
      <c r="K6451" s="7" t="str">
        <f>IF(Table1[[#This Row],[Is Data Valid]]=TRUE,_xlfn.NORM.S.DIST(Table1[[#This Row],[Birthweight Z-Score (BW-10%)]],TRUE)*100,"")</f>
        <v/>
      </c>
      <c r="L6451" s="7" t="str">
        <f>IF(Table1[[#This Row],[Is Data Valid]]=TRUE,_xlfn.NORM.S.DIST(Table1[[#This Row],[Birthweight Z-Score (BW+10%)]],TRUE)*100,"")</f>
        <v/>
      </c>
    </row>
    <row r="6452" spans="1:12" x14ac:dyDescent="0.35">
      <c r="A6452" s="3"/>
      <c r="B6452" s="2"/>
      <c r="C6452" s="2"/>
      <c r="D6452" s="2" t="b">
        <f>IF(AND(NOT(ISBLANK(Table1[[#This Row],[Fetal Sex (Male, Female or Unknown)]])),ISNUMBER(Table1[[#This Row],[Birthweight (grams)]]),ISNUMBER(Table1[[#This Row],[Gestation (days)]])),TRUE,FALSE)</f>
        <v>0</v>
      </c>
      <c r="E6452" s="2" t="str">
        <f>IF(Table1[[#This Row],[Is Data Valid]]=TRUE,IF(Table1[[#This Row],[Fetal Sex (Male, Female or Unknown)]]="Male",Backend!$C$6,IF(Table1[[#This Row],[Fetal Sex (Male, Female or Unknown)]]="Female",Backend!$C$7,IF(Table1[[#This Row],[Fetal Sex (Male, Female or Unknown)]]="Unknown",Backend!$C$8,"Error"))),"")</f>
        <v/>
      </c>
      <c r="F6452" s="8" t="str">
        <f>IF(Table1[[#This Row],[Is Data Valid]]=TRUE,EXP(0.578+0.332*((Table1[[#This Row],[Gestation (days)]]+0.5)/7)-0.00354*((Table1[[#This Row],[Gestation (days)]]+0.5)/7)^2)*Table1[[#This Row],[BW40_3705]],"")</f>
        <v/>
      </c>
      <c r="G6452" s="2" t="str">
        <f>IF(Table1[[#This Row],[Is Data Valid]]=TRUE,((Table1[[#This Row],[Birthweight (grams)]]/Table1[[#This Row],[BW_GA]])-1)/(Backend!$B$4/100*Table1[[#This Row],[BW40_3705]]),"")</f>
        <v/>
      </c>
      <c r="H6452" s="7" t="str">
        <f>IF(Table1[[#This Row],[Is Data Valid]]=TRUE,((Table1[[#This Row],[Birthweight (grams)]]*0.9/Table1[[#This Row],[BW_GA]])-1)/(Backend!$B$4/100*Table1[[#This Row],[BW40_3705]]),"")</f>
        <v/>
      </c>
      <c r="I6452" s="7" t="str">
        <f>IF(Table1[[#This Row],[Is Data Valid]]=TRUE,((Table1[[#This Row],[Birthweight (grams)]]*1.1/Table1[[#This Row],[BW_GA]])-1)/(Backend!$B$4/100*Table1[[#This Row],[BW40_3705]]),"")</f>
        <v/>
      </c>
      <c r="J6452" s="7" t="str">
        <f>IF(Table1[[#This Row],[Is Data Valid]]=TRUE,_xlfn.NORM.S.DIST(Table1[[#This Row],[Birthweight Z-Score]],TRUE)*100,"")</f>
        <v/>
      </c>
      <c r="K6452" s="7" t="str">
        <f>IF(Table1[[#This Row],[Is Data Valid]]=TRUE,_xlfn.NORM.S.DIST(Table1[[#This Row],[Birthweight Z-Score (BW-10%)]],TRUE)*100,"")</f>
        <v/>
      </c>
      <c r="L6452" s="7" t="str">
        <f>IF(Table1[[#This Row],[Is Data Valid]]=TRUE,_xlfn.NORM.S.DIST(Table1[[#This Row],[Birthweight Z-Score (BW+10%)]],TRUE)*100,"")</f>
        <v/>
      </c>
    </row>
    <row r="6453" spans="1:12" x14ac:dyDescent="0.35">
      <c r="A6453" s="3"/>
      <c r="B6453" s="2"/>
      <c r="C6453" s="2"/>
      <c r="D6453" s="2" t="b">
        <f>IF(AND(NOT(ISBLANK(Table1[[#This Row],[Fetal Sex (Male, Female or Unknown)]])),ISNUMBER(Table1[[#This Row],[Birthweight (grams)]]),ISNUMBER(Table1[[#This Row],[Gestation (days)]])),TRUE,FALSE)</f>
        <v>0</v>
      </c>
      <c r="E6453" s="2" t="str">
        <f>IF(Table1[[#This Row],[Is Data Valid]]=TRUE,IF(Table1[[#This Row],[Fetal Sex (Male, Female or Unknown)]]="Male",Backend!$C$6,IF(Table1[[#This Row],[Fetal Sex (Male, Female or Unknown)]]="Female",Backend!$C$7,IF(Table1[[#This Row],[Fetal Sex (Male, Female or Unknown)]]="Unknown",Backend!$C$8,"Error"))),"")</f>
        <v/>
      </c>
      <c r="F6453" s="8" t="str">
        <f>IF(Table1[[#This Row],[Is Data Valid]]=TRUE,EXP(0.578+0.332*((Table1[[#This Row],[Gestation (days)]]+0.5)/7)-0.00354*((Table1[[#This Row],[Gestation (days)]]+0.5)/7)^2)*Table1[[#This Row],[BW40_3705]],"")</f>
        <v/>
      </c>
      <c r="G6453" s="2" t="str">
        <f>IF(Table1[[#This Row],[Is Data Valid]]=TRUE,((Table1[[#This Row],[Birthweight (grams)]]/Table1[[#This Row],[BW_GA]])-1)/(Backend!$B$4/100*Table1[[#This Row],[BW40_3705]]),"")</f>
        <v/>
      </c>
      <c r="H6453" s="7" t="str">
        <f>IF(Table1[[#This Row],[Is Data Valid]]=TRUE,((Table1[[#This Row],[Birthweight (grams)]]*0.9/Table1[[#This Row],[BW_GA]])-1)/(Backend!$B$4/100*Table1[[#This Row],[BW40_3705]]),"")</f>
        <v/>
      </c>
      <c r="I6453" s="7" t="str">
        <f>IF(Table1[[#This Row],[Is Data Valid]]=TRUE,((Table1[[#This Row],[Birthweight (grams)]]*1.1/Table1[[#This Row],[BW_GA]])-1)/(Backend!$B$4/100*Table1[[#This Row],[BW40_3705]]),"")</f>
        <v/>
      </c>
      <c r="J6453" s="7" t="str">
        <f>IF(Table1[[#This Row],[Is Data Valid]]=TRUE,_xlfn.NORM.S.DIST(Table1[[#This Row],[Birthweight Z-Score]],TRUE)*100,"")</f>
        <v/>
      </c>
      <c r="K6453" s="7" t="str">
        <f>IF(Table1[[#This Row],[Is Data Valid]]=TRUE,_xlfn.NORM.S.DIST(Table1[[#This Row],[Birthweight Z-Score (BW-10%)]],TRUE)*100,"")</f>
        <v/>
      </c>
      <c r="L6453" s="7" t="str">
        <f>IF(Table1[[#This Row],[Is Data Valid]]=TRUE,_xlfn.NORM.S.DIST(Table1[[#This Row],[Birthweight Z-Score (BW+10%)]],TRUE)*100,"")</f>
        <v/>
      </c>
    </row>
    <row r="6454" spans="1:12" x14ac:dyDescent="0.35">
      <c r="A6454" s="3"/>
      <c r="B6454" s="2"/>
      <c r="C6454" s="2"/>
      <c r="D6454" s="2" t="b">
        <f>IF(AND(NOT(ISBLANK(Table1[[#This Row],[Fetal Sex (Male, Female or Unknown)]])),ISNUMBER(Table1[[#This Row],[Birthweight (grams)]]),ISNUMBER(Table1[[#This Row],[Gestation (days)]])),TRUE,FALSE)</f>
        <v>0</v>
      </c>
      <c r="E6454" s="2" t="str">
        <f>IF(Table1[[#This Row],[Is Data Valid]]=TRUE,IF(Table1[[#This Row],[Fetal Sex (Male, Female or Unknown)]]="Male",Backend!$C$6,IF(Table1[[#This Row],[Fetal Sex (Male, Female or Unknown)]]="Female",Backend!$C$7,IF(Table1[[#This Row],[Fetal Sex (Male, Female or Unknown)]]="Unknown",Backend!$C$8,"Error"))),"")</f>
        <v/>
      </c>
      <c r="F6454" s="8" t="str">
        <f>IF(Table1[[#This Row],[Is Data Valid]]=TRUE,EXP(0.578+0.332*((Table1[[#This Row],[Gestation (days)]]+0.5)/7)-0.00354*((Table1[[#This Row],[Gestation (days)]]+0.5)/7)^2)*Table1[[#This Row],[BW40_3705]],"")</f>
        <v/>
      </c>
      <c r="G6454" s="2" t="str">
        <f>IF(Table1[[#This Row],[Is Data Valid]]=TRUE,((Table1[[#This Row],[Birthweight (grams)]]/Table1[[#This Row],[BW_GA]])-1)/(Backend!$B$4/100*Table1[[#This Row],[BW40_3705]]),"")</f>
        <v/>
      </c>
      <c r="H6454" s="7" t="str">
        <f>IF(Table1[[#This Row],[Is Data Valid]]=TRUE,((Table1[[#This Row],[Birthweight (grams)]]*0.9/Table1[[#This Row],[BW_GA]])-1)/(Backend!$B$4/100*Table1[[#This Row],[BW40_3705]]),"")</f>
        <v/>
      </c>
      <c r="I6454" s="7" t="str">
        <f>IF(Table1[[#This Row],[Is Data Valid]]=TRUE,((Table1[[#This Row],[Birthweight (grams)]]*1.1/Table1[[#This Row],[BW_GA]])-1)/(Backend!$B$4/100*Table1[[#This Row],[BW40_3705]]),"")</f>
        <v/>
      </c>
      <c r="J6454" s="7" t="str">
        <f>IF(Table1[[#This Row],[Is Data Valid]]=TRUE,_xlfn.NORM.S.DIST(Table1[[#This Row],[Birthweight Z-Score]],TRUE)*100,"")</f>
        <v/>
      </c>
      <c r="K6454" s="7" t="str">
        <f>IF(Table1[[#This Row],[Is Data Valid]]=TRUE,_xlfn.NORM.S.DIST(Table1[[#This Row],[Birthweight Z-Score (BW-10%)]],TRUE)*100,"")</f>
        <v/>
      </c>
      <c r="L6454" s="7" t="str">
        <f>IF(Table1[[#This Row],[Is Data Valid]]=TRUE,_xlfn.NORM.S.DIST(Table1[[#This Row],[Birthweight Z-Score (BW+10%)]],TRUE)*100,"")</f>
        <v/>
      </c>
    </row>
    <row r="6455" spans="1:12" x14ac:dyDescent="0.35">
      <c r="A6455" s="3"/>
      <c r="B6455" s="2"/>
      <c r="C6455" s="2"/>
      <c r="D6455" s="2" t="b">
        <f>IF(AND(NOT(ISBLANK(Table1[[#This Row],[Fetal Sex (Male, Female or Unknown)]])),ISNUMBER(Table1[[#This Row],[Birthweight (grams)]]),ISNUMBER(Table1[[#This Row],[Gestation (days)]])),TRUE,FALSE)</f>
        <v>0</v>
      </c>
      <c r="E6455" s="2" t="str">
        <f>IF(Table1[[#This Row],[Is Data Valid]]=TRUE,IF(Table1[[#This Row],[Fetal Sex (Male, Female or Unknown)]]="Male",Backend!$C$6,IF(Table1[[#This Row],[Fetal Sex (Male, Female or Unknown)]]="Female",Backend!$C$7,IF(Table1[[#This Row],[Fetal Sex (Male, Female or Unknown)]]="Unknown",Backend!$C$8,"Error"))),"")</f>
        <v/>
      </c>
      <c r="F6455" s="8" t="str">
        <f>IF(Table1[[#This Row],[Is Data Valid]]=TRUE,EXP(0.578+0.332*((Table1[[#This Row],[Gestation (days)]]+0.5)/7)-0.00354*((Table1[[#This Row],[Gestation (days)]]+0.5)/7)^2)*Table1[[#This Row],[BW40_3705]],"")</f>
        <v/>
      </c>
      <c r="G6455" s="2" t="str">
        <f>IF(Table1[[#This Row],[Is Data Valid]]=TRUE,((Table1[[#This Row],[Birthweight (grams)]]/Table1[[#This Row],[BW_GA]])-1)/(Backend!$B$4/100*Table1[[#This Row],[BW40_3705]]),"")</f>
        <v/>
      </c>
      <c r="H6455" s="7" t="str">
        <f>IF(Table1[[#This Row],[Is Data Valid]]=TRUE,((Table1[[#This Row],[Birthweight (grams)]]*0.9/Table1[[#This Row],[BW_GA]])-1)/(Backend!$B$4/100*Table1[[#This Row],[BW40_3705]]),"")</f>
        <v/>
      </c>
      <c r="I6455" s="7" t="str">
        <f>IF(Table1[[#This Row],[Is Data Valid]]=TRUE,((Table1[[#This Row],[Birthweight (grams)]]*1.1/Table1[[#This Row],[BW_GA]])-1)/(Backend!$B$4/100*Table1[[#This Row],[BW40_3705]]),"")</f>
        <v/>
      </c>
      <c r="J6455" s="7" t="str">
        <f>IF(Table1[[#This Row],[Is Data Valid]]=TRUE,_xlfn.NORM.S.DIST(Table1[[#This Row],[Birthweight Z-Score]],TRUE)*100,"")</f>
        <v/>
      </c>
      <c r="K6455" s="7" t="str">
        <f>IF(Table1[[#This Row],[Is Data Valid]]=TRUE,_xlfn.NORM.S.DIST(Table1[[#This Row],[Birthweight Z-Score (BW-10%)]],TRUE)*100,"")</f>
        <v/>
      </c>
      <c r="L6455" s="7" t="str">
        <f>IF(Table1[[#This Row],[Is Data Valid]]=TRUE,_xlfn.NORM.S.DIST(Table1[[#This Row],[Birthweight Z-Score (BW+10%)]],TRUE)*100,"")</f>
        <v/>
      </c>
    </row>
    <row r="6456" spans="1:12" x14ac:dyDescent="0.35">
      <c r="A6456" s="3"/>
      <c r="B6456" s="2"/>
      <c r="C6456" s="2"/>
      <c r="D6456" s="2" t="b">
        <f>IF(AND(NOT(ISBLANK(Table1[[#This Row],[Fetal Sex (Male, Female or Unknown)]])),ISNUMBER(Table1[[#This Row],[Birthweight (grams)]]),ISNUMBER(Table1[[#This Row],[Gestation (days)]])),TRUE,FALSE)</f>
        <v>0</v>
      </c>
      <c r="E6456" s="2" t="str">
        <f>IF(Table1[[#This Row],[Is Data Valid]]=TRUE,IF(Table1[[#This Row],[Fetal Sex (Male, Female or Unknown)]]="Male",Backend!$C$6,IF(Table1[[#This Row],[Fetal Sex (Male, Female or Unknown)]]="Female",Backend!$C$7,IF(Table1[[#This Row],[Fetal Sex (Male, Female or Unknown)]]="Unknown",Backend!$C$8,"Error"))),"")</f>
        <v/>
      </c>
      <c r="F6456" s="8" t="str">
        <f>IF(Table1[[#This Row],[Is Data Valid]]=TRUE,EXP(0.578+0.332*((Table1[[#This Row],[Gestation (days)]]+0.5)/7)-0.00354*((Table1[[#This Row],[Gestation (days)]]+0.5)/7)^2)*Table1[[#This Row],[BW40_3705]],"")</f>
        <v/>
      </c>
      <c r="G6456" s="2" t="str">
        <f>IF(Table1[[#This Row],[Is Data Valid]]=TRUE,((Table1[[#This Row],[Birthweight (grams)]]/Table1[[#This Row],[BW_GA]])-1)/(Backend!$B$4/100*Table1[[#This Row],[BW40_3705]]),"")</f>
        <v/>
      </c>
      <c r="H6456" s="7" t="str">
        <f>IF(Table1[[#This Row],[Is Data Valid]]=TRUE,((Table1[[#This Row],[Birthweight (grams)]]*0.9/Table1[[#This Row],[BW_GA]])-1)/(Backend!$B$4/100*Table1[[#This Row],[BW40_3705]]),"")</f>
        <v/>
      </c>
      <c r="I6456" s="7" t="str">
        <f>IF(Table1[[#This Row],[Is Data Valid]]=TRUE,((Table1[[#This Row],[Birthweight (grams)]]*1.1/Table1[[#This Row],[BW_GA]])-1)/(Backend!$B$4/100*Table1[[#This Row],[BW40_3705]]),"")</f>
        <v/>
      </c>
      <c r="J6456" s="7" t="str">
        <f>IF(Table1[[#This Row],[Is Data Valid]]=TRUE,_xlfn.NORM.S.DIST(Table1[[#This Row],[Birthweight Z-Score]],TRUE)*100,"")</f>
        <v/>
      </c>
      <c r="K6456" s="7" t="str">
        <f>IF(Table1[[#This Row],[Is Data Valid]]=TRUE,_xlfn.NORM.S.DIST(Table1[[#This Row],[Birthweight Z-Score (BW-10%)]],TRUE)*100,"")</f>
        <v/>
      </c>
      <c r="L6456" s="7" t="str">
        <f>IF(Table1[[#This Row],[Is Data Valid]]=TRUE,_xlfn.NORM.S.DIST(Table1[[#This Row],[Birthweight Z-Score (BW+10%)]],TRUE)*100,"")</f>
        <v/>
      </c>
    </row>
    <row r="6457" spans="1:12" x14ac:dyDescent="0.35">
      <c r="A6457" s="3"/>
      <c r="B6457" s="2"/>
      <c r="C6457" s="2"/>
      <c r="D6457" s="2" t="b">
        <f>IF(AND(NOT(ISBLANK(Table1[[#This Row],[Fetal Sex (Male, Female or Unknown)]])),ISNUMBER(Table1[[#This Row],[Birthweight (grams)]]),ISNUMBER(Table1[[#This Row],[Gestation (days)]])),TRUE,FALSE)</f>
        <v>0</v>
      </c>
      <c r="E6457" s="2" t="str">
        <f>IF(Table1[[#This Row],[Is Data Valid]]=TRUE,IF(Table1[[#This Row],[Fetal Sex (Male, Female or Unknown)]]="Male",Backend!$C$6,IF(Table1[[#This Row],[Fetal Sex (Male, Female or Unknown)]]="Female",Backend!$C$7,IF(Table1[[#This Row],[Fetal Sex (Male, Female or Unknown)]]="Unknown",Backend!$C$8,"Error"))),"")</f>
        <v/>
      </c>
      <c r="F6457" s="8" t="str">
        <f>IF(Table1[[#This Row],[Is Data Valid]]=TRUE,EXP(0.578+0.332*((Table1[[#This Row],[Gestation (days)]]+0.5)/7)-0.00354*((Table1[[#This Row],[Gestation (days)]]+0.5)/7)^2)*Table1[[#This Row],[BW40_3705]],"")</f>
        <v/>
      </c>
      <c r="G6457" s="2" t="str">
        <f>IF(Table1[[#This Row],[Is Data Valid]]=TRUE,((Table1[[#This Row],[Birthweight (grams)]]/Table1[[#This Row],[BW_GA]])-1)/(Backend!$B$4/100*Table1[[#This Row],[BW40_3705]]),"")</f>
        <v/>
      </c>
      <c r="H6457" s="7" t="str">
        <f>IF(Table1[[#This Row],[Is Data Valid]]=TRUE,((Table1[[#This Row],[Birthweight (grams)]]*0.9/Table1[[#This Row],[BW_GA]])-1)/(Backend!$B$4/100*Table1[[#This Row],[BW40_3705]]),"")</f>
        <v/>
      </c>
      <c r="I6457" s="7" t="str">
        <f>IF(Table1[[#This Row],[Is Data Valid]]=TRUE,((Table1[[#This Row],[Birthweight (grams)]]*1.1/Table1[[#This Row],[BW_GA]])-1)/(Backend!$B$4/100*Table1[[#This Row],[BW40_3705]]),"")</f>
        <v/>
      </c>
      <c r="J6457" s="7" t="str">
        <f>IF(Table1[[#This Row],[Is Data Valid]]=TRUE,_xlfn.NORM.S.DIST(Table1[[#This Row],[Birthweight Z-Score]],TRUE)*100,"")</f>
        <v/>
      </c>
      <c r="K6457" s="7" t="str">
        <f>IF(Table1[[#This Row],[Is Data Valid]]=TRUE,_xlfn.NORM.S.DIST(Table1[[#This Row],[Birthweight Z-Score (BW-10%)]],TRUE)*100,"")</f>
        <v/>
      </c>
      <c r="L6457" s="7" t="str">
        <f>IF(Table1[[#This Row],[Is Data Valid]]=TRUE,_xlfn.NORM.S.DIST(Table1[[#This Row],[Birthweight Z-Score (BW+10%)]],TRUE)*100,"")</f>
        <v/>
      </c>
    </row>
    <row r="6458" spans="1:12" x14ac:dyDescent="0.35">
      <c r="A6458" s="3"/>
      <c r="B6458" s="2"/>
      <c r="C6458" s="2"/>
      <c r="D6458" s="2" t="b">
        <f>IF(AND(NOT(ISBLANK(Table1[[#This Row],[Fetal Sex (Male, Female or Unknown)]])),ISNUMBER(Table1[[#This Row],[Birthweight (grams)]]),ISNUMBER(Table1[[#This Row],[Gestation (days)]])),TRUE,FALSE)</f>
        <v>0</v>
      </c>
      <c r="E6458" s="2" t="str">
        <f>IF(Table1[[#This Row],[Is Data Valid]]=TRUE,IF(Table1[[#This Row],[Fetal Sex (Male, Female or Unknown)]]="Male",Backend!$C$6,IF(Table1[[#This Row],[Fetal Sex (Male, Female or Unknown)]]="Female",Backend!$C$7,IF(Table1[[#This Row],[Fetal Sex (Male, Female or Unknown)]]="Unknown",Backend!$C$8,"Error"))),"")</f>
        <v/>
      </c>
      <c r="F6458" s="8" t="str">
        <f>IF(Table1[[#This Row],[Is Data Valid]]=TRUE,EXP(0.578+0.332*((Table1[[#This Row],[Gestation (days)]]+0.5)/7)-0.00354*((Table1[[#This Row],[Gestation (days)]]+0.5)/7)^2)*Table1[[#This Row],[BW40_3705]],"")</f>
        <v/>
      </c>
      <c r="G6458" s="2" t="str">
        <f>IF(Table1[[#This Row],[Is Data Valid]]=TRUE,((Table1[[#This Row],[Birthweight (grams)]]/Table1[[#This Row],[BW_GA]])-1)/(Backend!$B$4/100*Table1[[#This Row],[BW40_3705]]),"")</f>
        <v/>
      </c>
      <c r="H6458" s="7" t="str">
        <f>IF(Table1[[#This Row],[Is Data Valid]]=TRUE,((Table1[[#This Row],[Birthweight (grams)]]*0.9/Table1[[#This Row],[BW_GA]])-1)/(Backend!$B$4/100*Table1[[#This Row],[BW40_3705]]),"")</f>
        <v/>
      </c>
      <c r="I6458" s="7" t="str">
        <f>IF(Table1[[#This Row],[Is Data Valid]]=TRUE,((Table1[[#This Row],[Birthweight (grams)]]*1.1/Table1[[#This Row],[BW_GA]])-1)/(Backend!$B$4/100*Table1[[#This Row],[BW40_3705]]),"")</f>
        <v/>
      </c>
      <c r="J6458" s="7" t="str">
        <f>IF(Table1[[#This Row],[Is Data Valid]]=TRUE,_xlfn.NORM.S.DIST(Table1[[#This Row],[Birthweight Z-Score]],TRUE)*100,"")</f>
        <v/>
      </c>
      <c r="K6458" s="7" t="str">
        <f>IF(Table1[[#This Row],[Is Data Valid]]=TRUE,_xlfn.NORM.S.DIST(Table1[[#This Row],[Birthweight Z-Score (BW-10%)]],TRUE)*100,"")</f>
        <v/>
      </c>
      <c r="L6458" s="7" t="str">
        <f>IF(Table1[[#This Row],[Is Data Valid]]=TRUE,_xlfn.NORM.S.DIST(Table1[[#This Row],[Birthweight Z-Score (BW+10%)]],TRUE)*100,"")</f>
        <v/>
      </c>
    </row>
    <row r="6459" spans="1:12" x14ac:dyDescent="0.35">
      <c r="A6459" s="3"/>
      <c r="B6459" s="2"/>
      <c r="C6459" s="2"/>
      <c r="D6459" s="2" t="b">
        <f>IF(AND(NOT(ISBLANK(Table1[[#This Row],[Fetal Sex (Male, Female or Unknown)]])),ISNUMBER(Table1[[#This Row],[Birthweight (grams)]]),ISNUMBER(Table1[[#This Row],[Gestation (days)]])),TRUE,FALSE)</f>
        <v>0</v>
      </c>
      <c r="E6459" s="2" t="str">
        <f>IF(Table1[[#This Row],[Is Data Valid]]=TRUE,IF(Table1[[#This Row],[Fetal Sex (Male, Female or Unknown)]]="Male",Backend!$C$6,IF(Table1[[#This Row],[Fetal Sex (Male, Female or Unknown)]]="Female",Backend!$C$7,IF(Table1[[#This Row],[Fetal Sex (Male, Female or Unknown)]]="Unknown",Backend!$C$8,"Error"))),"")</f>
        <v/>
      </c>
      <c r="F6459" s="8" t="str">
        <f>IF(Table1[[#This Row],[Is Data Valid]]=TRUE,EXP(0.578+0.332*((Table1[[#This Row],[Gestation (days)]]+0.5)/7)-0.00354*((Table1[[#This Row],[Gestation (days)]]+0.5)/7)^2)*Table1[[#This Row],[BW40_3705]],"")</f>
        <v/>
      </c>
      <c r="G6459" s="2" t="str">
        <f>IF(Table1[[#This Row],[Is Data Valid]]=TRUE,((Table1[[#This Row],[Birthweight (grams)]]/Table1[[#This Row],[BW_GA]])-1)/(Backend!$B$4/100*Table1[[#This Row],[BW40_3705]]),"")</f>
        <v/>
      </c>
      <c r="H6459" s="7" t="str">
        <f>IF(Table1[[#This Row],[Is Data Valid]]=TRUE,((Table1[[#This Row],[Birthweight (grams)]]*0.9/Table1[[#This Row],[BW_GA]])-1)/(Backend!$B$4/100*Table1[[#This Row],[BW40_3705]]),"")</f>
        <v/>
      </c>
      <c r="I6459" s="7" t="str">
        <f>IF(Table1[[#This Row],[Is Data Valid]]=TRUE,((Table1[[#This Row],[Birthweight (grams)]]*1.1/Table1[[#This Row],[BW_GA]])-1)/(Backend!$B$4/100*Table1[[#This Row],[BW40_3705]]),"")</f>
        <v/>
      </c>
      <c r="J6459" s="7" t="str">
        <f>IF(Table1[[#This Row],[Is Data Valid]]=TRUE,_xlfn.NORM.S.DIST(Table1[[#This Row],[Birthweight Z-Score]],TRUE)*100,"")</f>
        <v/>
      </c>
      <c r="K6459" s="7" t="str">
        <f>IF(Table1[[#This Row],[Is Data Valid]]=TRUE,_xlfn.NORM.S.DIST(Table1[[#This Row],[Birthweight Z-Score (BW-10%)]],TRUE)*100,"")</f>
        <v/>
      </c>
      <c r="L6459" s="7" t="str">
        <f>IF(Table1[[#This Row],[Is Data Valid]]=TRUE,_xlfn.NORM.S.DIST(Table1[[#This Row],[Birthweight Z-Score (BW+10%)]],TRUE)*100,"")</f>
        <v/>
      </c>
    </row>
    <row r="6460" spans="1:12" x14ac:dyDescent="0.35">
      <c r="A6460" s="3"/>
      <c r="B6460" s="2"/>
      <c r="C6460" s="2"/>
      <c r="D6460" s="2" t="b">
        <f>IF(AND(NOT(ISBLANK(Table1[[#This Row],[Fetal Sex (Male, Female or Unknown)]])),ISNUMBER(Table1[[#This Row],[Birthweight (grams)]]),ISNUMBER(Table1[[#This Row],[Gestation (days)]])),TRUE,FALSE)</f>
        <v>0</v>
      </c>
      <c r="E6460" s="2" t="str">
        <f>IF(Table1[[#This Row],[Is Data Valid]]=TRUE,IF(Table1[[#This Row],[Fetal Sex (Male, Female or Unknown)]]="Male",Backend!$C$6,IF(Table1[[#This Row],[Fetal Sex (Male, Female or Unknown)]]="Female",Backend!$C$7,IF(Table1[[#This Row],[Fetal Sex (Male, Female or Unknown)]]="Unknown",Backend!$C$8,"Error"))),"")</f>
        <v/>
      </c>
      <c r="F6460" s="8" t="str">
        <f>IF(Table1[[#This Row],[Is Data Valid]]=TRUE,EXP(0.578+0.332*((Table1[[#This Row],[Gestation (days)]]+0.5)/7)-0.00354*((Table1[[#This Row],[Gestation (days)]]+0.5)/7)^2)*Table1[[#This Row],[BW40_3705]],"")</f>
        <v/>
      </c>
      <c r="G6460" s="2" t="str">
        <f>IF(Table1[[#This Row],[Is Data Valid]]=TRUE,((Table1[[#This Row],[Birthweight (grams)]]/Table1[[#This Row],[BW_GA]])-1)/(Backend!$B$4/100*Table1[[#This Row],[BW40_3705]]),"")</f>
        <v/>
      </c>
      <c r="H6460" s="7" t="str">
        <f>IF(Table1[[#This Row],[Is Data Valid]]=TRUE,((Table1[[#This Row],[Birthweight (grams)]]*0.9/Table1[[#This Row],[BW_GA]])-1)/(Backend!$B$4/100*Table1[[#This Row],[BW40_3705]]),"")</f>
        <v/>
      </c>
      <c r="I6460" s="7" t="str">
        <f>IF(Table1[[#This Row],[Is Data Valid]]=TRUE,((Table1[[#This Row],[Birthweight (grams)]]*1.1/Table1[[#This Row],[BW_GA]])-1)/(Backend!$B$4/100*Table1[[#This Row],[BW40_3705]]),"")</f>
        <v/>
      </c>
      <c r="J6460" s="7" t="str">
        <f>IF(Table1[[#This Row],[Is Data Valid]]=TRUE,_xlfn.NORM.S.DIST(Table1[[#This Row],[Birthweight Z-Score]],TRUE)*100,"")</f>
        <v/>
      </c>
      <c r="K6460" s="7" t="str">
        <f>IF(Table1[[#This Row],[Is Data Valid]]=TRUE,_xlfn.NORM.S.DIST(Table1[[#This Row],[Birthweight Z-Score (BW-10%)]],TRUE)*100,"")</f>
        <v/>
      </c>
      <c r="L6460" s="7" t="str">
        <f>IF(Table1[[#This Row],[Is Data Valid]]=TRUE,_xlfn.NORM.S.DIST(Table1[[#This Row],[Birthweight Z-Score (BW+10%)]],TRUE)*100,"")</f>
        <v/>
      </c>
    </row>
    <row r="6461" spans="1:12" x14ac:dyDescent="0.35">
      <c r="A6461" s="3"/>
      <c r="B6461" s="2"/>
      <c r="C6461" s="2"/>
      <c r="D6461" s="2" t="b">
        <f>IF(AND(NOT(ISBLANK(Table1[[#This Row],[Fetal Sex (Male, Female or Unknown)]])),ISNUMBER(Table1[[#This Row],[Birthweight (grams)]]),ISNUMBER(Table1[[#This Row],[Gestation (days)]])),TRUE,FALSE)</f>
        <v>0</v>
      </c>
      <c r="E6461" s="2" t="str">
        <f>IF(Table1[[#This Row],[Is Data Valid]]=TRUE,IF(Table1[[#This Row],[Fetal Sex (Male, Female or Unknown)]]="Male",Backend!$C$6,IF(Table1[[#This Row],[Fetal Sex (Male, Female or Unknown)]]="Female",Backend!$C$7,IF(Table1[[#This Row],[Fetal Sex (Male, Female or Unknown)]]="Unknown",Backend!$C$8,"Error"))),"")</f>
        <v/>
      </c>
      <c r="F6461" s="8" t="str">
        <f>IF(Table1[[#This Row],[Is Data Valid]]=TRUE,EXP(0.578+0.332*((Table1[[#This Row],[Gestation (days)]]+0.5)/7)-0.00354*((Table1[[#This Row],[Gestation (days)]]+0.5)/7)^2)*Table1[[#This Row],[BW40_3705]],"")</f>
        <v/>
      </c>
      <c r="G6461" s="2" t="str">
        <f>IF(Table1[[#This Row],[Is Data Valid]]=TRUE,((Table1[[#This Row],[Birthweight (grams)]]/Table1[[#This Row],[BW_GA]])-1)/(Backend!$B$4/100*Table1[[#This Row],[BW40_3705]]),"")</f>
        <v/>
      </c>
      <c r="H6461" s="7" t="str">
        <f>IF(Table1[[#This Row],[Is Data Valid]]=TRUE,((Table1[[#This Row],[Birthweight (grams)]]*0.9/Table1[[#This Row],[BW_GA]])-1)/(Backend!$B$4/100*Table1[[#This Row],[BW40_3705]]),"")</f>
        <v/>
      </c>
      <c r="I6461" s="7" t="str">
        <f>IF(Table1[[#This Row],[Is Data Valid]]=TRUE,((Table1[[#This Row],[Birthweight (grams)]]*1.1/Table1[[#This Row],[BW_GA]])-1)/(Backend!$B$4/100*Table1[[#This Row],[BW40_3705]]),"")</f>
        <v/>
      </c>
      <c r="J6461" s="7" t="str">
        <f>IF(Table1[[#This Row],[Is Data Valid]]=TRUE,_xlfn.NORM.S.DIST(Table1[[#This Row],[Birthweight Z-Score]],TRUE)*100,"")</f>
        <v/>
      </c>
      <c r="K6461" s="7" t="str">
        <f>IF(Table1[[#This Row],[Is Data Valid]]=TRUE,_xlfn.NORM.S.DIST(Table1[[#This Row],[Birthweight Z-Score (BW-10%)]],TRUE)*100,"")</f>
        <v/>
      </c>
      <c r="L6461" s="7" t="str">
        <f>IF(Table1[[#This Row],[Is Data Valid]]=TRUE,_xlfn.NORM.S.DIST(Table1[[#This Row],[Birthweight Z-Score (BW+10%)]],TRUE)*100,"")</f>
        <v/>
      </c>
    </row>
    <row r="6462" spans="1:12" x14ac:dyDescent="0.35">
      <c r="A6462" s="3"/>
      <c r="B6462" s="2"/>
      <c r="C6462" s="2"/>
      <c r="D6462" s="2" t="b">
        <f>IF(AND(NOT(ISBLANK(Table1[[#This Row],[Fetal Sex (Male, Female or Unknown)]])),ISNUMBER(Table1[[#This Row],[Birthweight (grams)]]),ISNUMBER(Table1[[#This Row],[Gestation (days)]])),TRUE,FALSE)</f>
        <v>0</v>
      </c>
      <c r="E6462" s="2" t="str">
        <f>IF(Table1[[#This Row],[Is Data Valid]]=TRUE,IF(Table1[[#This Row],[Fetal Sex (Male, Female or Unknown)]]="Male",Backend!$C$6,IF(Table1[[#This Row],[Fetal Sex (Male, Female or Unknown)]]="Female",Backend!$C$7,IF(Table1[[#This Row],[Fetal Sex (Male, Female or Unknown)]]="Unknown",Backend!$C$8,"Error"))),"")</f>
        <v/>
      </c>
      <c r="F6462" s="8" t="str">
        <f>IF(Table1[[#This Row],[Is Data Valid]]=TRUE,EXP(0.578+0.332*((Table1[[#This Row],[Gestation (days)]]+0.5)/7)-0.00354*((Table1[[#This Row],[Gestation (days)]]+0.5)/7)^2)*Table1[[#This Row],[BW40_3705]],"")</f>
        <v/>
      </c>
      <c r="G6462" s="2" t="str">
        <f>IF(Table1[[#This Row],[Is Data Valid]]=TRUE,((Table1[[#This Row],[Birthweight (grams)]]/Table1[[#This Row],[BW_GA]])-1)/(Backend!$B$4/100*Table1[[#This Row],[BW40_3705]]),"")</f>
        <v/>
      </c>
      <c r="H6462" s="7" t="str">
        <f>IF(Table1[[#This Row],[Is Data Valid]]=TRUE,((Table1[[#This Row],[Birthweight (grams)]]*0.9/Table1[[#This Row],[BW_GA]])-1)/(Backend!$B$4/100*Table1[[#This Row],[BW40_3705]]),"")</f>
        <v/>
      </c>
      <c r="I6462" s="7" t="str">
        <f>IF(Table1[[#This Row],[Is Data Valid]]=TRUE,((Table1[[#This Row],[Birthweight (grams)]]*1.1/Table1[[#This Row],[BW_GA]])-1)/(Backend!$B$4/100*Table1[[#This Row],[BW40_3705]]),"")</f>
        <v/>
      </c>
      <c r="J6462" s="7" t="str">
        <f>IF(Table1[[#This Row],[Is Data Valid]]=TRUE,_xlfn.NORM.S.DIST(Table1[[#This Row],[Birthweight Z-Score]],TRUE)*100,"")</f>
        <v/>
      </c>
      <c r="K6462" s="7" t="str">
        <f>IF(Table1[[#This Row],[Is Data Valid]]=TRUE,_xlfn.NORM.S.DIST(Table1[[#This Row],[Birthweight Z-Score (BW-10%)]],TRUE)*100,"")</f>
        <v/>
      </c>
      <c r="L6462" s="7" t="str">
        <f>IF(Table1[[#This Row],[Is Data Valid]]=TRUE,_xlfn.NORM.S.DIST(Table1[[#This Row],[Birthweight Z-Score (BW+10%)]],TRUE)*100,"")</f>
        <v/>
      </c>
    </row>
    <row r="6463" spans="1:12" x14ac:dyDescent="0.35">
      <c r="A6463" s="3"/>
      <c r="B6463" s="2"/>
      <c r="C6463" s="2"/>
      <c r="D6463" s="2" t="b">
        <f>IF(AND(NOT(ISBLANK(Table1[[#This Row],[Fetal Sex (Male, Female or Unknown)]])),ISNUMBER(Table1[[#This Row],[Birthweight (grams)]]),ISNUMBER(Table1[[#This Row],[Gestation (days)]])),TRUE,FALSE)</f>
        <v>0</v>
      </c>
      <c r="E6463" s="2" t="str">
        <f>IF(Table1[[#This Row],[Is Data Valid]]=TRUE,IF(Table1[[#This Row],[Fetal Sex (Male, Female or Unknown)]]="Male",Backend!$C$6,IF(Table1[[#This Row],[Fetal Sex (Male, Female or Unknown)]]="Female",Backend!$C$7,IF(Table1[[#This Row],[Fetal Sex (Male, Female or Unknown)]]="Unknown",Backend!$C$8,"Error"))),"")</f>
        <v/>
      </c>
      <c r="F6463" s="8" t="str">
        <f>IF(Table1[[#This Row],[Is Data Valid]]=TRUE,EXP(0.578+0.332*((Table1[[#This Row],[Gestation (days)]]+0.5)/7)-0.00354*((Table1[[#This Row],[Gestation (days)]]+0.5)/7)^2)*Table1[[#This Row],[BW40_3705]],"")</f>
        <v/>
      </c>
      <c r="G6463" s="2" t="str">
        <f>IF(Table1[[#This Row],[Is Data Valid]]=TRUE,((Table1[[#This Row],[Birthweight (grams)]]/Table1[[#This Row],[BW_GA]])-1)/(Backend!$B$4/100*Table1[[#This Row],[BW40_3705]]),"")</f>
        <v/>
      </c>
      <c r="H6463" s="7" t="str">
        <f>IF(Table1[[#This Row],[Is Data Valid]]=TRUE,((Table1[[#This Row],[Birthweight (grams)]]*0.9/Table1[[#This Row],[BW_GA]])-1)/(Backend!$B$4/100*Table1[[#This Row],[BW40_3705]]),"")</f>
        <v/>
      </c>
      <c r="I6463" s="7" t="str">
        <f>IF(Table1[[#This Row],[Is Data Valid]]=TRUE,((Table1[[#This Row],[Birthweight (grams)]]*1.1/Table1[[#This Row],[BW_GA]])-1)/(Backend!$B$4/100*Table1[[#This Row],[BW40_3705]]),"")</f>
        <v/>
      </c>
      <c r="J6463" s="7" t="str">
        <f>IF(Table1[[#This Row],[Is Data Valid]]=TRUE,_xlfn.NORM.S.DIST(Table1[[#This Row],[Birthweight Z-Score]],TRUE)*100,"")</f>
        <v/>
      </c>
      <c r="K6463" s="7" t="str">
        <f>IF(Table1[[#This Row],[Is Data Valid]]=TRUE,_xlfn.NORM.S.DIST(Table1[[#This Row],[Birthweight Z-Score (BW-10%)]],TRUE)*100,"")</f>
        <v/>
      </c>
      <c r="L6463" s="7" t="str">
        <f>IF(Table1[[#This Row],[Is Data Valid]]=TRUE,_xlfn.NORM.S.DIST(Table1[[#This Row],[Birthweight Z-Score (BW+10%)]],TRUE)*100,"")</f>
        <v/>
      </c>
    </row>
    <row r="6464" spans="1:12" x14ac:dyDescent="0.35">
      <c r="A6464" s="3"/>
      <c r="B6464" s="2"/>
      <c r="C6464" s="2"/>
      <c r="D6464" s="2" t="b">
        <f>IF(AND(NOT(ISBLANK(Table1[[#This Row],[Fetal Sex (Male, Female or Unknown)]])),ISNUMBER(Table1[[#This Row],[Birthweight (grams)]]),ISNUMBER(Table1[[#This Row],[Gestation (days)]])),TRUE,FALSE)</f>
        <v>0</v>
      </c>
      <c r="E6464" s="2" t="str">
        <f>IF(Table1[[#This Row],[Is Data Valid]]=TRUE,IF(Table1[[#This Row],[Fetal Sex (Male, Female or Unknown)]]="Male",Backend!$C$6,IF(Table1[[#This Row],[Fetal Sex (Male, Female or Unknown)]]="Female",Backend!$C$7,IF(Table1[[#This Row],[Fetal Sex (Male, Female or Unknown)]]="Unknown",Backend!$C$8,"Error"))),"")</f>
        <v/>
      </c>
      <c r="F6464" s="8" t="str">
        <f>IF(Table1[[#This Row],[Is Data Valid]]=TRUE,EXP(0.578+0.332*((Table1[[#This Row],[Gestation (days)]]+0.5)/7)-0.00354*((Table1[[#This Row],[Gestation (days)]]+0.5)/7)^2)*Table1[[#This Row],[BW40_3705]],"")</f>
        <v/>
      </c>
      <c r="G6464" s="2" t="str">
        <f>IF(Table1[[#This Row],[Is Data Valid]]=TRUE,((Table1[[#This Row],[Birthweight (grams)]]/Table1[[#This Row],[BW_GA]])-1)/(Backend!$B$4/100*Table1[[#This Row],[BW40_3705]]),"")</f>
        <v/>
      </c>
      <c r="H6464" s="7" t="str">
        <f>IF(Table1[[#This Row],[Is Data Valid]]=TRUE,((Table1[[#This Row],[Birthweight (grams)]]*0.9/Table1[[#This Row],[BW_GA]])-1)/(Backend!$B$4/100*Table1[[#This Row],[BW40_3705]]),"")</f>
        <v/>
      </c>
      <c r="I6464" s="7" t="str">
        <f>IF(Table1[[#This Row],[Is Data Valid]]=TRUE,((Table1[[#This Row],[Birthweight (grams)]]*1.1/Table1[[#This Row],[BW_GA]])-1)/(Backend!$B$4/100*Table1[[#This Row],[BW40_3705]]),"")</f>
        <v/>
      </c>
      <c r="J6464" s="7" t="str">
        <f>IF(Table1[[#This Row],[Is Data Valid]]=TRUE,_xlfn.NORM.S.DIST(Table1[[#This Row],[Birthweight Z-Score]],TRUE)*100,"")</f>
        <v/>
      </c>
      <c r="K6464" s="7" t="str">
        <f>IF(Table1[[#This Row],[Is Data Valid]]=TRUE,_xlfn.NORM.S.DIST(Table1[[#This Row],[Birthweight Z-Score (BW-10%)]],TRUE)*100,"")</f>
        <v/>
      </c>
      <c r="L6464" s="7" t="str">
        <f>IF(Table1[[#This Row],[Is Data Valid]]=TRUE,_xlfn.NORM.S.DIST(Table1[[#This Row],[Birthweight Z-Score (BW+10%)]],TRUE)*100,"")</f>
        <v/>
      </c>
    </row>
    <row r="6465" spans="1:12" x14ac:dyDescent="0.35">
      <c r="A6465" s="3"/>
      <c r="B6465" s="2"/>
      <c r="C6465" s="2"/>
      <c r="D6465" s="2" t="b">
        <f>IF(AND(NOT(ISBLANK(Table1[[#This Row],[Fetal Sex (Male, Female or Unknown)]])),ISNUMBER(Table1[[#This Row],[Birthweight (grams)]]),ISNUMBER(Table1[[#This Row],[Gestation (days)]])),TRUE,FALSE)</f>
        <v>0</v>
      </c>
      <c r="E6465" s="2" t="str">
        <f>IF(Table1[[#This Row],[Is Data Valid]]=TRUE,IF(Table1[[#This Row],[Fetal Sex (Male, Female or Unknown)]]="Male",Backend!$C$6,IF(Table1[[#This Row],[Fetal Sex (Male, Female or Unknown)]]="Female",Backend!$C$7,IF(Table1[[#This Row],[Fetal Sex (Male, Female or Unknown)]]="Unknown",Backend!$C$8,"Error"))),"")</f>
        <v/>
      </c>
      <c r="F6465" s="8" t="str">
        <f>IF(Table1[[#This Row],[Is Data Valid]]=TRUE,EXP(0.578+0.332*((Table1[[#This Row],[Gestation (days)]]+0.5)/7)-0.00354*((Table1[[#This Row],[Gestation (days)]]+0.5)/7)^2)*Table1[[#This Row],[BW40_3705]],"")</f>
        <v/>
      </c>
      <c r="G6465" s="2" t="str">
        <f>IF(Table1[[#This Row],[Is Data Valid]]=TRUE,((Table1[[#This Row],[Birthweight (grams)]]/Table1[[#This Row],[BW_GA]])-1)/(Backend!$B$4/100*Table1[[#This Row],[BW40_3705]]),"")</f>
        <v/>
      </c>
      <c r="H6465" s="7" t="str">
        <f>IF(Table1[[#This Row],[Is Data Valid]]=TRUE,((Table1[[#This Row],[Birthweight (grams)]]*0.9/Table1[[#This Row],[BW_GA]])-1)/(Backend!$B$4/100*Table1[[#This Row],[BW40_3705]]),"")</f>
        <v/>
      </c>
      <c r="I6465" s="7" t="str">
        <f>IF(Table1[[#This Row],[Is Data Valid]]=TRUE,((Table1[[#This Row],[Birthweight (grams)]]*1.1/Table1[[#This Row],[BW_GA]])-1)/(Backend!$B$4/100*Table1[[#This Row],[BW40_3705]]),"")</f>
        <v/>
      </c>
      <c r="J6465" s="7" t="str">
        <f>IF(Table1[[#This Row],[Is Data Valid]]=TRUE,_xlfn.NORM.S.DIST(Table1[[#This Row],[Birthweight Z-Score]],TRUE)*100,"")</f>
        <v/>
      </c>
      <c r="K6465" s="7" t="str">
        <f>IF(Table1[[#This Row],[Is Data Valid]]=TRUE,_xlfn.NORM.S.DIST(Table1[[#This Row],[Birthweight Z-Score (BW-10%)]],TRUE)*100,"")</f>
        <v/>
      </c>
      <c r="L6465" s="7" t="str">
        <f>IF(Table1[[#This Row],[Is Data Valid]]=TRUE,_xlfn.NORM.S.DIST(Table1[[#This Row],[Birthweight Z-Score (BW+10%)]],TRUE)*100,"")</f>
        <v/>
      </c>
    </row>
    <row r="6466" spans="1:12" x14ac:dyDescent="0.35">
      <c r="A6466" s="3"/>
      <c r="B6466" s="2"/>
      <c r="C6466" s="2"/>
      <c r="D6466" s="2" t="b">
        <f>IF(AND(NOT(ISBLANK(Table1[[#This Row],[Fetal Sex (Male, Female or Unknown)]])),ISNUMBER(Table1[[#This Row],[Birthweight (grams)]]),ISNUMBER(Table1[[#This Row],[Gestation (days)]])),TRUE,FALSE)</f>
        <v>0</v>
      </c>
      <c r="E6466" s="2" t="str">
        <f>IF(Table1[[#This Row],[Is Data Valid]]=TRUE,IF(Table1[[#This Row],[Fetal Sex (Male, Female or Unknown)]]="Male",Backend!$C$6,IF(Table1[[#This Row],[Fetal Sex (Male, Female or Unknown)]]="Female",Backend!$C$7,IF(Table1[[#This Row],[Fetal Sex (Male, Female or Unknown)]]="Unknown",Backend!$C$8,"Error"))),"")</f>
        <v/>
      </c>
      <c r="F6466" s="8" t="str">
        <f>IF(Table1[[#This Row],[Is Data Valid]]=TRUE,EXP(0.578+0.332*((Table1[[#This Row],[Gestation (days)]]+0.5)/7)-0.00354*((Table1[[#This Row],[Gestation (days)]]+0.5)/7)^2)*Table1[[#This Row],[BW40_3705]],"")</f>
        <v/>
      </c>
      <c r="G6466" s="2" t="str">
        <f>IF(Table1[[#This Row],[Is Data Valid]]=TRUE,((Table1[[#This Row],[Birthweight (grams)]]/Table1[[#This Row],[BW_GA]])-1)/(Backend!$B$4/100*Table1[[#This Row],[BW40_3705]]),"")</f>
        <v/>
      </c>
      <c r="H6466" s="7" t="str">
        <f>IF(Table1[[#This Row],[Is Data Valid]]=TRUE,((Table1[[#This Row],[Birthweight (grams)]]*0.9/Table1[[#This Row],[BW_GA]])-1)/(Backend!$B$4/100*Table1[[#This Row],[BW40_3705]]),"")</f>
        <v/>
      </c>
      <c r="I6466" s="7" t="str">
        <f>IF(Table1[[#This Row],[Is Data Valid]]=TRUE,((Table1[[#This Row],[Birthweight (grams)]]*1.1/Table1[[#This Row],[BW_GA]])-1)/(Backend!$B$4/100*Table1[[#This Row],[BW40_3705]]),"")</f>
        <v/>
      </c>
      <c r="J6466" s="7" t="str">
        <f>IF(Table1[[#This Row],[Is Data Valid]]=TRUE,_xlfn.NORM.S.DIST(Table1[[#This Row],[Birthweight Z-Score]],TRUE)*100,"")</f>
        <v/>
      </c>
      <c r="K6466" s="7" t="str">
        <f>IF(Table1[[#This Row],[Is Data Valid]]=TRUE,_xlfn.NORM.S.DIST(Table1[[#This Row],[Birthweight Z-Score (BW-10%)]],TRUE)*100,"")</f>
        <v/>
      </c>
      <c r="L6466" s="7" t="str">
        <f>IF(Table1[[#This Row],[Is Data Valid]]=TRUE,_xlfn.NORM.S.DIST(Table1[[#This Row],[Birthweight Z-Score (BW+10%)]],TRUE)*100,"")</f>
        <v/>
      </c>
    </row>
    <row r="6467" spans="1:12" x14ac:dyDescent="0.35">
      <c r="A6467" s="3"/>
      <c r="B6467" s="2"/>
      <c r="C6467" s="2"/>
      <c r="D6467" s="2" t="b">
        <f>IF(AND(NOT(ISBLANK(Table1[[#This Row],[Fetal Sex (Male, Female or Unknown)]])),ISNUMBER(Table1[[#This Row],[Birthweight (grams)]]),ISNUMBER(Table1[[#This Row],[Gestation (days)]])),TRUE,FALSE)</f>
        <v>0</v>
      </c>
      <c r="E6467" s="2" t="str">
        <f>IF(Table1[[#This Row],[Is Data Valid]]=TRUE,IF(Table1[[#This Row],[Fetal Sex (Male, Female or Unknown)]]="Male",Backend!$C$6,IF(Table1[[#This Row],[Fetal Sex (Male, Female or Unknown)]]="Female",Backend!$C$7,IF(Table1[[#This Row],[Fetal Sex (Male, Female or Unknown)]]="Unknown",Backend!$C$8,"Error"))),"")</f>
        <v/>
      </c>
      <c r="F6467" s="8" t="str">
        <f>IF(Table1[[#This Row],[Is Data Valid]]=TRUE,EXP(0.578+0.332*((Table1[[#This Row],[Gestation (days)]]+0.5)/7)-0.00354*((Table1[[#This Row],[Gestation (days)]]+0.5)/7)^2)*Table1[[#This Row],[BW40_3705]],"")</f>
        <v/>
      </c>
      <c r="G6467" s="2" t="str">
        <f>IF(Table1[[#This Row],[Is Data Valid]]=TRUE,((Table1[[#This Row],[Birthweight (grams)]]/Table1[[#This Row],[BW_GA]])-1)/(Backend!$B$4/100*Table1[[#This Row],[BW40_3705]]),"")</f>
        <v/>
      </c>
      <c r="H6467" s="7" t="str">
        <f>IF(Table1[[#This Row],[Is Data Valid]]=TRUE,((Table1[[#This Row],[Birthweight (grams)]]*0.9/Table1[[#This Row],[BW_GA]])-1)/(Backend!$B$4/100*Table1[[#This Row],[BW40_3705]]),"")</f>
        <v/>
      </c>
      <c r="I6467" s="7" t="str">
        <f>IF(Table1[[#This Row],[Is Data Valid]]=TRUE,((Table1[[#This Row],[Birthweight (grams)]]*1.1/Table1[[#This Row],[BW_GA]])-1)/(Backend!$B$4/100*Table1[[#This Row],[BW40_3705]]),"")</f>
        <v/>
      </c>
      <c r="J6467" s="7" t="str">
        <f>IF(Table1[[#This Row],[Is Data Valid]]=TRUE,_xlfn.NORM.S.DIST(Table1[[#This Row],[Birthweight Z-Score]],TRUE)*100,"")</f>
        <v/>
      </c>
      <c r="K6467" s="7" t="str">
        <f>IF(Table1[[#This Row],[Is Data Valid]]=TRUE,_xlfn.NORM.S.DIST(Table1[[#This Row],[Birthweight Z-Score (BW-10%)]],TRUE)*100,"")</f>
        <v/>
      </c>
      <c r="L6467" s="7" t="str">
        <f>IF(Table1[[#This Row],[Is Data Valid]]=TRUE,_xlfn.NORM.S.DIST(Table1[[#This Row],[Birthweight Z-Score (BW+10%)]],TRUE)*100,"")</f>
        <v/>
      </c>
    </row>
    <row r="6468" spans="1:12" x14ac:dyDescent="0.35">
      <c r="A6468" s="3"/>
      <c r="B6468" s="2"/>
      <c r="C6468" s="2"/>
      <c r="D6468" s="2" t="b">
        <f>IF(AND(NOT(ISBLANK(Table1[[#This Row],[Fetal Sex (Male, Female or Unknown)]])),ISNUMBER(Table1[[#This Row],[Birthweight (grams)]]),ISNUMBER(Table1[[#This Row],[Gestation (days)]])),TRUE,FALSE)</f>
        <v>0</v>
      </c>
      <c r="E6468" s="2" t="str">
        <f>IF(Table1[[#This Row],[Is Data Valid]]=TRUE,IF(Table1[[#This Row],[Fetal Sex (Male, Female or Unknown)]]="Male",Backend!$C$6,IF(Table1[[#This Row],[Fetal Sex (Male, Female or Unknown)]]="Female",Backend!$C$7,IF(Table1[[#This Row],[Fetal Sex (Male, Female or Unknown)]]="Unknown",Backend!$C$8,"Error"))),"")</f>
        <v/>
      </c>
      <c r="F6468" s="8" t="str">
        <f>IF(Table1[[#This Row],[Is Data Valid]]=TRUE,EXP(0.578+0.332*((Table1[[#This Row],[Gestation (days)]]+0.5)/7)-0.00354*((Table1[[#This Row],[Gestation (days)]]+0.5)/7)^2)*Table1[[#This Row],[BW40_3705]],"")</f>
        <v/>
      </c>
      <c r="G6468" s="2" t="str">
        <f>IF(Table1[[#This Row],[Is Data Valid]]=TRUE,((Table1[[#This Row],[Birthweight (grams)]]/Table1[[#This Row],[BW_GA]])-1)/(Backend!$B$4/100*Table1[[#This Row],[BW40_3705]]),"")</f>
        <v/>
      </c>
      <c r="H6468" s="7" t="str">
        <f>IF(Table1[[#This Row],[Is Data Valid]]=TRUE,((Table1[[#This Row],[Birthweight (grams)]]*0.9/Table1[[#This Row],[BW_GA]])-1)/(Backend!$B$4/100*Table1[[#This Row],[BW40_3705]]),"")</f>
        <v/>
      </c>
      <c r="I6468" s="7" t="str">
        <f>IF(Table1[[#This Row],[Is Data Valid]]=TRUE,((Table1[[#This Row],[Birthweight (grams)]]*1.1/Table1[[#This Row],[BW_GA]])-1)/(Backend!$B$4/100*Table1[[#This Row],[BW40_3705]]),"")</f>
        <v/>
      </c>
      <c r="J6468" s="7" t="str">
        <f>IF(Table1[[#This Row],[Is Data Valid]]=TRUE,_xlfn.NORM.S.DIST(Table1[[#This Row],[Birthweight Z-Score]],TRUE)*100,"")</f>
        <v/>
      </c>
      <c r="K6468" s="7" t="str">
        <f>IF(Table1[[#This Row],[Is Data Valid]]=TRUE,_xlfn.NORM.S.DIST(Table1[[#This Row],[Birthweight Z-Score (BW-10%)]],TRUE)*100,"")</f>
        <v/>
      </c>
      <c r="L6468" s="7" t="str">
        <f>IF(Table1[[#This Row],[Is Data Valid]]=TRUE,_xlfn.NORM.S.DIST(Table1[[#This Row],[Birthweight Z-Score (BW+10%)]],TRUE)*100,"")</f>
        <v/>
      </c>
    </row>
    <row r="6469" spans="1:12" x14ac:dyDescent="0.35">
      <c r="A6469" s="3"/>
      <c r="B6469" s="2"/>
      <c r="C6469" s="2"/>
      <c r="D6469" s="2" t="b">
        <f>IF(AND(NOT(ISBLANK(Table1[[#This Row],[Fetal Sex (Male, Female or Unknown)]])),ISNUMBER(Table1[[#This Row],[Birthweight (grams)]]),ISNUMBER(Table1[[#This Row],[Gestation (days)]])),TRUE,FALSE)</f>
        <v>0</v>
      </c>
      <c r="E6469" s="2" t="str">
        <f>IF(Table1[[#This Row],[Is Data Valid]]=TRUE,IF(Table1[[#This Row],[Fetal Sex (Male, Female or Unknown)]]="Male",Backend!$C$6,IF(Table1[[#This Row],[Fetal Sex (Male, Female or Unknown)]]="Female",Backend!$C$7,IF(Table1[[#This Row],[Fetal Sex (Male, Female or Unknown)]]="Unknown",Backend!$C$8,"Error"))),"")</f>
        <v/>
      </c>
      <c r="F6469" s="8" t="str">
        <f>IF(Table1[[#This Row],[Is Data Valid]]=TRUE,EXP(0.578+0.332*((Table1[[#This Row],[Gestation (days)]]+0.5)/7)-0.00354*((Table1[[#This Row],[Gestation (days)]]+0.5)/7)^2)*Table1[[#This Row],[BW40_3705]],"")</f>
        <v/>
      </c>
      <c r="G6469" s="2" t="str">
        <f>IF(Table1[[#This Row],[Is Data Valid]]=TRUE,((Table1[[#This Row],[Birthweight (grams)]]/Table1[[#This Row],[BW_GA]])-1)/(Backend!$B$4/100*Table1[[#This Row],[BW40_3705]]),"")</f>
        <v/>
      </c>
      <c r="H6469" s="7" t="str">
        <f>IF(Table1[[#This Row],[Is Data Valid]]=TRUE,((Table1[[#This Row],[Birthweight (grams)]]*0.9/Table1[[#This Row],[BW_GA]])-1)/(Backend!$B$4/100*Table1[[#This Row],[BW40_3705]]),"")</f>
        <v/>
      </c>
      <c r="I6469" s="7" t="str">
        <f>IF(Table1[[#This Row],[Is Data Valid]]=TRUE,((Table1[[#This Row],[Birthweight (grams)]]*1.1/Table1[[#This Row],[BW_GA]])-1)/(Backend!$B$4/100*Table1[[#This Row],[BW40_3705]]),"")</f>
        <v/>
      </c>
      <c r="J6469" s="7" t="str">
        <f>IF(Table1[[#This Row],[Is Data Valid]]=TRUE,_xlfn.NORM.S.DIST(Table1[[#This Row],[Birthweight Z-Score]],TRUE)*100,"")</f>
        <v/>
      </c>
      <c r="K6469" s="7" t="str">
        <f>IF(Table1[[#This Row],[Is Data Valid]]=TRUE,_xlfn.NORM.S.DIST(Table1[[#This Row],[Birthweight Z-Score (BW-10%)]],TRUE)*100,"")</f>
        <v/>
      </c>
      <c r="L6469" s="7" t="str">
        <f>IF(Table1[[#This Row],[Is Data Valid]]=TRUE,_xlfn.NORM.S.DIST(Table1[[#This Row],[Birthweight Z-Score (BW+10%)]],TRUE)*100,"")</f>
        <v/>
      </c>
    </row>
    <row r="6470" spans="1:12" x14ac:dyDescent="0.35">
      <c r="A6470" s="3"/>
      <c r="B6470" s="2"/>
      <c r="C6470" s="2"/>
      <c r="D6470" s="2" t="b">
        <f>IF(AND(NOT(ISBLANK(Table1[[#This Row],[Fetal Sex (Male, Female or Unknown)]])),ISNUMBER(Table1[[#This Row],[Birthweight (grams)]]),ISNUMBER(Table1[[#This Row],[Gestation (days)]])),TRUE,FALSE)</f>
        <v>0</v>
      </c>
      <c r="E6470" s="2" t="str">
        <f>IF(Table1[[#This Row],[Is Data Valid]]=TRUE,IF(Table1[[#This Row],[Fetal Sex (Male, Female or Unknown)]]="Male",Backend!$C$6,IF(Table1[[#This Row],[Fetal Sex (Male, Female or Unknown)]]="Female",Backend!$C$7,IF(Table1[[#This Row],[Fetal Sex (Male, Female or Unknown)]]="Unknown",Backend!$C$8,"Error"))),"")</f>
        <v/>
      </c>
      <c r="F6470" s="8" t="str">
        <f>IF(Table1[[#This Row],[Is Data Valid]]=TRUE,EXP(0.578+0.332*((Table1[[#This Row],[Gestation (days)]]+0.5)/7)-0.00354*((Table1[[#This Row],[Gestation (days)]]+0.5)/7)^2)*Table1[[#This Row],[BW40_3705]],"")</f>
        <v/>
      </c>
      <c r="G6470" s="2" t="str">
        <f>IF(Table1[[#This Row],[Is Data Valid]]=TRUE,((Table1[[#This Row],[Birthweight (grams)]]/Table1[[#This Row],[BW_GA]])-1)/(Backend!$B$4/100*Table1[[#This Row],[BW40_3705]]),"")</f>
        <v/>
      </c>
      <c r="H6470" s="7" t="str">
        <f>IF(Table1[[#This Row],[Is Data Valid]]=TRUE,((Table1[[#This Row],[Birthweight (grams)]]*0.9/Table1[[#This Row],[BW_GA]])-1)/(Backend!$B$4/100*Table1[[#This Row],[BW40_3705]]),"")</f>
        <v/>
      </c>
      <c r="I6470" s="7" t="str">
        <f>IF(Table1[[#This Row],[Is Data Valid]]=TRUE,((Table1[[#This Row],[Birthweight (grams)]]*1.1/Table1[[#This Row],[BW_GA]])-1)/(Backend!$B$4/100*Table1[[#This Row],[BW40_3705]]),"")</f>
        <v/>
      </c>
      <c r="J6470" s="7" t="str">
        <f>IF(Table1[[#This Row],[Is Data Valid]]=TRUE,_xlfn.NORM.S.DIST(Table1[[#This Row],[Birthweight Z-Score]],TRUE)*100,"")</f>
        <v/>
      </c>
      <c r="K6470" s="7" t="str">
        <f>IF(Table1[[#This Row],[Is Data Valid]]=TRUE,_xlfn.NORM.S.DIST(Table1[[#This Row],[Birthweight Z-Score (BW-10%)]],TRUE)*100,"")</f>
        <v/>
      </c>
      <c r="L6470" s="7" t="str">
        <f>IF(Table1[[#This Row],[Is Data Valid]]=TRUE,_xlfn.NORM.S.DIST(Table1[[#This Row],[Birthweight Z-Score (BW+10%)]],TRUE)*100,"")</f>
        <v/>
      </c>
    </row>
    <row r="6471" spans="1:12" x14ac:dyDescent="0.35">
      <c r="A6471" s="3"/>
      <c r="B6471" s="2"/>
      <c r="C6471" s="2"/>
      <c r="D6471" s="2" t="b">
        <f>IF(AND(NOT(ISBLANK(Table1[[#This Row],[Fetal Sex (Male, Female or Unknown)]])),ISNUMBER(Table1[[#This Row],[Birthweight (grams)]]),ISNUMBER(Table1[[#This Row],[Gestation (days)]])),TRUE,FALSE)</f>
        <v>0</v>
      </c>
      <c r="E6471" s="2" t="str">
        <f>IF(Table1[[#This Row],[Is Data Valid]]=TRUE,IF(Table1[[#This Row],[Fetal Sex (Male, Female or Unknown)]]="Male",Backend!$C$6,IF(Table1[[#This Row],[Fetal Sex (Male, Female or Unknown)]]="Female",Backend!$C$7,IF(Table1[[#This Row],[Fetal Sex (Male, Female or Unknown)]]="Unknown",Backend!$C$8,"Error"))),"")</f>
        <v/>
      </c>
      <c r="F6471" s="8" t="str">
        <f>IF(Table1[[#This Row],[Is Data Valid]]=TRUE,EXP(0.578+0.332*((Table1[[#This Row],[Gestation (days)]]+0.5)/7)-0.00354*((Table1[[#This Row],[Gestation (days)]]+0.5)/7)^2)*Table1[[#This Row],[BW40_3705]],"")</f>
        <v/>
      </c>
      <c r="G6471" s="2" t="str">
        <f>IF(Table1[[#This Row],[Is Data Valid]]=TRUE,((Table1[[#This Row],[Birthweight (grams)]]/Table1[[#This Row],[BW_GA]])-1)/(Backend!$B$4/100*Table1[[#This Row],[BW40_3705]]),"")</f>
        <v/>
      </c>
      <c r="H6471" s="7" t="str">
        <f>IF(Table1[[#This Row],[Is Data Valid]]=TRUE,((Table1[[#This Row],[Birthweight (grams)]]*0.9/Table1[[#This Row],[BW_GA]])-1)/(Backend!$B$4/100*Table1[[#This Row],[BW40_3705]]),"")</f>
        <v/>
      </c>
      <c r="I6471" s="7" t="str">
        <f>IF(Table1[[#This Row],[Is Data Valid]]=TRUE,((Table1[[#This Row],[Birthweight (grams)]]*1.1/Table1[[#This Row],[BW_GA]])-1)/(Backend!$B$4/100*Table1[[#This Row],[BW40_3705]]),"")</f>
        <v/>
      </c>
      <c r="J6471" s="7" t="str">
        <f>IF(Table1[[#This Row],[Is Data Valid]]=TRUE,_xlfn.NORM.S.DIST(Table1[[#This Row],[Birthweight Z-Score]],TRUE)*100,"")</f>
        <v/>
      </c>
      <c r="K6471" s="7" t="str">
        <f>IF(Table1[[#This Row],[Is Data Valid]]=TRUE,_xlfn.NORM.S.DIST(Table1[[#This Row],[Birthweight Z-Score (BW-10%)]],TRUE)*100,"")</f>
        <v/>
      </c>
      <c r="L6471" s="7" t="str">
        <f>IF(Table1[[#This Row],[Is Data Valid]]=TRUE,_xlfn.NORM.S.DIST(Table1[[#This Row],[Birthweight Z-Score (BW+10%)]],TRUE)*100,"")</f>
        <v/>
      </c>
    </row>
    <row r="6472" spans="1:12" x14ac:dyDescent="0.35">
      <c r="A6472" s="3"/>
      <c r="B6472" s="2"/>
      <c r="C6472" s="2"/>
      <c r="D6472" s="2" t="b">
        <f>IF(AND(NOT(ISBLANK(Table1[[#This Row],[Fetal Sex (Male, Female or Unknown)]])),ISNUMBER(Table1[[#This Row],[Birthweight (grams)]]),ISNUMBER(Table1[[#This Row],[Gestation (days)]])),TRUE,FALSE)</f>
        <v>0</v>
      </c>
      <c r="E6472" s="2" t="str">
        <f>IF(Table1[[#This Row],[Is Data Valid]]=TRUE,IF(Table1[[#This Row],[Fetal Sex (Male, Female or Unknown)]]="Male",Backend!$C$6,IF(Table1[[#This Row],[Fetal Sex (Male, Female or Unknown)]]="Female",Backend!$C$7,IF(Table1[[#This Row],[Fetal Sex (Male, Female or Unknown)]]="Unknown",Backend!$C$8,"Error"))),"")</f>
        <v/>
      </c>
      <c r="F6472" s="8" t="str">
        <f>IF(Table1[[#This Row],[Is Data Valid]]=TRUE,EXP(0.578+0.332*((Table1[[#This Row],[Gestation (days)]]+0.5)/7)-0.00354*((Table1[[#This Row],[Gestation (days)]]+0.5)/7)^2)*Table1[[#This Row],[BW40_3705]],"")</f>
        <v/>
      </c>
      <c r="G6472" s="2" t="str">
        <f>IF(Table1[[#This Row],[Is Data Valid]]=TRUE,((Table1[[#This Row],[Birthweight (grams)]]/Table1[[#This Row],[BW_GA]])-1)/(Backend!$B$4/100*Table1[[#This Row],[BW40_3705]]),"")</f>
        <v/>
      </c>
      <c r="H6472" s="7" t="str">
        <f>IF(Table1[[#This Row],[Is Data Valid]]=TRUE,((Table1[[#This Row],[Birthweight (grams)]]*0.9/Table1[[#This Row],[BW_GA]])-1)/(Backend!$B$4/100*Table1[[#This Row],[BW40_3705]]),"")</f>
        <v/>
      </c>
      <c r="I6472" s="7" t="str">
        <f>IF(Table1[[#This Row],[Is Data Valid]]=TRUE,((Table1[[#This Row],[Birthweight (grams)]]*1.1/Table1[[#This Row],[BW_GA]])-1)/(Backend!$B$4/100*Table1[[#This Row],[BW40_3705]]),"")</f>
        <v/>
      </c>
      <c r="J6472" s="7" t="str">
        <f>IF(Table1[[#This Row],[Is Data Valid]]=TRUE,_xlfn.NORM.S.DIST(Table1[[#This Row],[Birthweight Z-Score]],TRUE)*100,"")</f>
        <v/>
      </c>
      <c r="K6472" s="7" t="str">
        <f>IF(Table1[[#This Row],[Is Data Valid]]=TRUE,_xlfn.NORM.S.DIST(Table1[[#This Row],[Birthweight Z-Score (BW-10%)]],TRUE)*100,"")</f>
        <v/>
      </c>
      <c r="L6472" s="7" t="str">
        <f>IF(Table1[[#This Row],[Is Data Valid]]=TRUE,_xlfn.NORM.S.DIST(Table1[[#This Row],[Birthweight Z-Score (BW+10%)]],TRUE)*100,"")</f>
        <v/>
      </c>
    </row>
    <row r="6473" spans="1:12" x14ac:dyDescent="0.35">
      <c r="A6473" s="3"/>
      <c r="B6473" s="2"/>
      <c r="C6473" s="2"/>
      <c r="D6473" s="2" t="b">
        <f>IF(AND(NOT(ISBLANK(Table1[[#This Row],[Fetal Sex (Male, Female or Unknown)]])),ISNUMBER(Table1[[#This Row],[Birthweight (grams)]]),ISNUMBER(Table1[[#This Row],[Gestation (days)]])),TRUE,FALSE)</f>
        <v>0</v>
      </c>
      <c r="E6473" s="2" t="str">
        <f>IF(Table1[[#This Row],[Is Data Valid]]=TRUE,IF(Table1[[#This Row],[Fetal Sex (Male, Female or Unknown)]]="Male",Backend!$C$6,IF(Table1[[#This Row],[Fetal Sex (Male, Female or Unknown)]]="Female",Backend!$C$7,IF(Table1[[#This Row],[Fetal Sex (Male, Female or Unknown)]]="Unknown",Backend!$C$8,"Error"))),"")</f>
        <v/>
      </c>
      <c r="F6473" s="8" t="str">
        <f>IF(Table1[[#This Row],[Is Data Valid]]=TRUE,EXP(0.578+0.332*((Table1[[#This Row],[Gestation (days)]]+0.5)/7)-0.00354*((Table1[[#This Row],[Gestation (days)]]+0.5)/7)^2)*Table1[[#This Row],[BW40_3705]],"")</f>
        <v/>
      </c>
      <c r="G6473" s="2" t="str">
        <f>IF(Table1[[#This Row],[Is Data Valid]]=TRUE,((Table1[[#This Row],[Birthweight (grams)]]/Table1[[#This Row],[BW_GA]])-1)/(Backend!$B$4/100*Table1[[#This Row],[BW40_3705]]),"")</f>
        <v/>
      </c>
      <c r="H6473" s="7" t="str">
        <f>IF(Table1[[#This Row],[Is Data Valid]]=TRUE,((Table1[[#This Row],[Birthweight (grams)]]*0.9/Table1[[#This Row],[BW_GA]])-1)/(Backend!$B$4/100*Table1[[#This Row],[BW40_3705]]),"")</f>
        <v/>
      </c>
      <c r="I6473" s="7" t="str">
        <f>IF(Table1[[#This Row],[Is Data Valid]]=TRUE,((Table1[[#This Row],[Birthweight (grams)]]*1.1/Table1[[#This Row],[BW_GA]])-1)/(Backend!$B$4/100*Table1[[#This Row],[BW40_3705]]),"")</f>
        <v/>
      </c>
      <c r="J6473" s="7" t="str">
        <f>IF(Table1[[#This Row],[Is Data Valid]]=TRUE,_xlfn.NORM.S.DIST(Table1[[#This Row],[Birthweight Z-Score]],TRUE)*100,"")</f>
        <v/>
      </c>
      <c r="K6473" s="7" t="str">
        <f>IF(Table1[[#This Row],[Is Data Valid]]=TRUE,_xlfn.NORM.S.DIST(Table1[[#This Row],[Birthweight Z-Score (BW-10%)]],TRUE)*100,"")</f>
        <v/>
      </c>
      <c r="L6473" s="7" t="str">
        <f>IF(Table1[[#This Row],[Is Data Valid]]=TRUE,_xlfn.NORM.S.DIST(Table1[[#This Row],[Birthweight Z-Score (BW+10%)]],TRUE)*100,"")</f>
        <v/>
      </c>
    </row>
    <row r="6474" spans="1:12" x14ac:dyDescent="0.35">
      <c r="A6474" s="3"/>
      <c r="B6474" s="2"/>
      <c r="C6474" s="2"/>
      <c r="D6474" s="2" t="b">
        <f>IF(AND(NOT(ISBLANK(Table1[[#This Row],[Fetal Sex (Male, Female or Unknown)]])),ISNUMBER(Table1[[#This Row],[Birthweight (grams)]]),ISNUMBER(Table1[[#This Row],[Gestation (days)]])),TRUE,FALSE)</f>
        <v>0</v>
      </c>
      <c r="E6474" s="2" t="str">
        <f>IF(Table1[[#This Row],[Is Data Valid]]=TRUE,IF(Table1[[#This Row],[Fetal Sex (Male, Female or Unknown)]]="Male",Backend!$C$6,IF(Table1[[#This Row],[Fetal Sex (Male, Female or Unknown)]]="Female",Backend!$C$7,IF(Table1[[#This Row],[Fetal Sex (Male, Female or Unknown)]]="Unknown",Backend!$C$8,"Error"))),"")</f>
        <v/>
      </c>
      <c r="F6474" s="8" t="str">
        <f>IF(Table1[[#This Row],[Is Data Valid]]=TRUE,EXP(0.578+0.332*((Table1[[#This Row],[Gestation (days)]]+0.5)/7)-0.00354*((Table1[[#This Row],[Gestation (days)]]+0.5)/7)^2)*Table1[[#This Row],[BW40_3705]],"")</f>
        <v/>
      </c>
      <c r="G6474" s="2" t="str">
        <f>IF(Table1[[#This Row],[Is Data Valid]]=TRUE,((Table1[[#This Row],[Birthweight (grams)]]/Table1[[#This Row],[BW_GA]])-1)/(Backend!$B$4/100*Table1[[#This Row],[BW40_3705]]),"")</f>
        <v/>
      </c>
      <c r="H6474" s="7" t="str">
        <f>IF(Table1[[#This Row],[Is Data Valid]]=TRUE,((Table1[[#This Row],[Birthweight (grams)]]*0.9/Table1[[#This Row],[BW_GA]])-1)/(Backend!$B$4/100*Table1[[#This Row],[BW40_3705]]),"")</f>
        <v/>
      </c>
      <c r="I6474" s="7" t="str">
        <f>IF(Table1[[#This Row],[Is Data Valid]]=TRUE,((Table1[[#This Row],[Birthweight (grams)]]*1.1/Table1[[#This Row],[BW_GA]])-1)/(Backend!$B$4/100*Table1[[#This Row],[BW40_3705]]),"")</f>
        <v/>
      </c>
      <c r="J6474" s="7" t="str">
        <f>IF(Table1[[#This Row],[Is Data Valid]]=TRUE,_xlfn.NORM.S.DIST(Table1[[#This Row],[Birthweight Z-Score]],TRUE)*100,"")</f>
        <v/>
      </c>
      <c r="K6474" s="7" t="str">
        <f>IF(Table1[[#This Row],[Is Data Valid]]=TRUE,_xlfn.NORM.S.DIST(Table1[[#This Row],[Birthweight Z-Score (BW-10%)]],TRUE)*100,"")</f>
        <v/>
      </c>
      <c r="L6474" s="7" t="str">
        <f>IF(Table1[[#This Row],[Is Data Valid]]=TRUE,_xlfn.NORM.S.DIST(Table1[[#This Row],[Birthweight Z-Score (BW+10%)]],TRUE)*100,"")</f>
        <v/>
      </c>
    </row>
    <row r="6475" spans="1:12" x14ac:dyDescent="0.35">
      <c r="A6475" s="3"/>
      <c r="B6475" s="2"/>
      <c r="C6475" s="2"/>
      <c r="D6475" s="2" t="b">
        <f>IF(AND(NOT(ISBLANK(Table1[[#This Row],[Fetal Sex (Male, Female or Unknown)]])),ISNUMBER(Table1[[#This Row],[Birthweight (grams)]]),ISNUMBER(Table1[[#This Row],[Gestation (days)]])),TRUE,FALSE)</f>
        <v>0</v>
      </c>
      <c r="E6475" s="2" t="str">
        <f>IF(Table1[[#This Row],[Is Data Valid]]=TRUE,IF(Table1[[#This Row],[Fetal Sex (Male, Female or Unknown)]]="Male",Backend!$C$6,IF(Table1[[#This Row],[Fetal Sex (Male, Female or Unknown)]]="Female",Backend!$C$7,IF(Table1[[#This Row],[Fetal Sex (Male, Female or Unknown)]]="Unknown",Backend!$C$8,"Error"))),"")</f>
        <v/>
      </c>
      <c r="F6475" s="8" t="str">
        <f>IF(Table1[[#This Row],[Is Data Valid]]=TRUE,EXP(0.578+0.332*((Table1[[#This Row],[Gestation (days)]]+0.5)/7)-0.00354*((Table1[[#This Row],[Gestation (days)]]+0.5)/7)^2)*Table1[[#This Row],[BW40_3705]],"")</f>
        <v/>
      </c>
      <c r="G6475" s="2" t="str">
        <f>IF(Table1[[#This Row],[Is Data Valid]]=TRUE,((Table1[[#This Row],[Birthweight (grams)]]/Table1[[#This Row],[BW_GA]])-1)/(Backend!$B$4/100*Table1[[#This Row],[BW40_3705]]),"")</f>
        <v/>
      </c>
      <c r="H6475" s="7" t="str">
        <f>IF(Table1[[#This Row],[Is Data Valid]]=TRUE,((Table1[[#This Row],[Birthweight (grams)]]*0.9/Table1[[#This Row],[BW_GA]])-1)/(Backend!$B$4/100*Table1[[#This Row],[BW40_3705]]),"")</f>
        <v/>
      </c>
      <c r="I6475" s="7" t="str">
        <f>IF(Table1[[#This Row],[Is Data Valid]]=TRUE,((Table1[[#This Row],[Birthweight (grams)]]*1.1/Table1[[#This Row],[BW_GA]])-1)/(Backend!$B$4/100*Table1[[#This Row],[BW40_3705]]),"")</f>
        <v/>
      </c>
      <c r="J6475" s="7" t="str">
        <f>IF(Table1[[#This Row],[Is Data Valid]]=TRUE,_xlfn.NORM.S.DIST(Table1[[#This Row],[Birthweight Z-Score]],TRUE)*100,"")</f>
        <v/>
      </c>
      <c r="K6475" s="7" t="str">
        <f>IF(Table1[[#This Row],[Is Data Valid]]=TRUE,_xlfn.NORM.S.DIST(Table1[[#This Row],[Birthweight Z-Score (BW-10%)]],TRUE)*100,"")</f>
        <v/>
      </c>
      <c r="L6475" s="7" t="str">
        <f>IF(Table1[[#This Row],[Is Data Valid]]=TRUE,_xlfn.NORM.S.DIST(Table1[[#This Row],[Birthweight Z-Score (BW+10%)]],TRUE)*100,"")</f>
        <v/>
      </c>
    </row>
    <row r="6476" spans="1:12" x14ac:dyDescent="0.35">
      <c r="A6476" s="3"/>
      <c r="B6476" s="2"/>
      <c r="C6476" s="2"/>
      <c r="D6476" s="2" t="b">
        <f>IF(AND(NOT(ISBLANK(Table1[[#This Row],[Fetal Sex (Male, Female or Unknown)]])),ISNUMBER(Table1[[#This Row],[Birthweight (grams)]]),ISNUMBER(Table1[[#This Row],[Gestation (days)]])),TRUE,FALSE)</f>
        <v>0</v>
      </c>
      <c r="E6476" s="2" t="str">
        <f>IF(Table1[[#This Row],[Is Data Valid]]=TRUE,IF(Table1[[#This Row],[Fetal Sex (Male, Female or Unknown)]]="Male",Backend!$C$6,IF(Table1[[#This Row],[Fetal Sex (Male, Female or Unknown)]]="Female",Backend!$C$7,IF(Table1[[#This Row],[Fetal Sex (Male, Female or Unknown)]]="Unknown",Backend!$C$8,"Error"))),"")</f>
        <v/>
      </c>
      <c r="F6476" s="8" t="str">
        <f>IF(Table1[[#This Row],[Is Data Valid]]=TRUE,EXP(0.578+0.332*((Table1[[#This Row],[Gestation (days)]]+0.5)/7)-0.00354*((Table1[[#This Row],[Gestation (days)]]+0.5)/7)^2)*Table1[[#This Row],[BW40_3705]],"")</f>
        <v/>
      </c>
      <c r="G6476" s="2" t="str">
        <f>IF(Table1[[#This Row],[Is Data Valid]]=TRUE,((Table1[[#This Row],[Birthweight (grams)]]/Table1[[#This Row],[BW_GA]])-1)/(Backend!$B$4/100*Table1[[#This Row],[BW40_3705]]),"")</f>
        <v/>
      </c>
      <c r="H6476" s="7" t="str">
        <f>IF(Table1[[#This Row],[Is Data Valid]]=TRUE,((Table1[[#This Row],[Birthweight (grams)]]*0.9/Table1[[#This Row],[BW_GA]])-1)/(Backend!$B$4/100*Table1[[#This Row],[BW40_3705]]),"")</f>
        <v/>
      </c>
      <c r="I6476" s="7" t="str">
        <f>IF(Table1[[#This Row],[Is Data Valid]]=TRUE,((Table1[[#This Row],[Birthweight (grams)]]*1.1/Table1[[#This Row],[BW_GA]])-1)/(Backend!$B$4/100*Table1[[#This Row],[BW40_3705]]),"")</f>
        <v/>
      </c>
      <c r="J6476" s="7" t="str">
        <f>IF(Table1[[#This Row],[Is Data Valid]]=TRUE,_xlfn.NORM.S.DIST(Table1[[#This Row],[Birthweight Z-Score]],TRUE)*100,"")</f>
        <v/>
      </c>
      <c r="K6476" s="7" t="str">
        <f>IF(Table1[[#This Row],[Is Data Valid]]=TRUE,_xlfn.NORM.S.DIST(Table1[[#This Row],[Birthweight Z-Score (BW-10%)]],TRUE)*100,"")</f>
        <v/>
      </c>
      <c r="L6476" s="7" t="str">
        <f>IF(Table1[[#This Row],[Is Data Valid]]=TRUE,_xlfn.NORM.S.DIST(Table1[[#This Row],[Birthweight Z-Score (BW+10%)]],TRUE)*100,"")</f>
        <v/>
      </c>
    </row>
    <row r="6477" spans="1:12" x14ac:dyDescent="0.35">
      <c r="A6477" s="3"/>
      <c r="B6477" s="2"/>
      <c r="C6477" s="2"/>
      <c r="D6477" s="2" t="b">
        <f>IF(AND(NOT(ISBLANK(Table1[[#This Row],[Fetal Sex (Male, Female or Unknown)]])),ISNUMBER(Table1[[#This Row],[Birthweight (grams)]]),ISNUMBER(Table1[[#This Row],[Gestation (days)]])),TRUE,FALSE)</f>
        <v>0</v>
      </c>
      <c r="E6477" s="2" t="str">
        <f>IF(Table1[[#This Row],[Is Data Valid]]=TRUE,IF(Table1[[#This Row],[Fetal Sex (Male, Female or Unknown)]]="Male",Backend!$C$6,IF(Table1[[#This Row],[Fetal Sex (Male, Female or Unknown)]]="Female",Backend!$C$7,IF(Table1[[#This Row],[Fetal Sex (Male, Female or Unknown)]]="Unknown",Backend!$C$8,"Error"))),"")</f>
        <v/>
      </c>
      <c r="F6477" s="8" t="str">
        <f>IF(Table1[[#This Row],[Is Data Valid]]=TRUE,EXP(0.578+0.332*((Table1[[#This Row],[Gestation (days)]]+0.5)/7)-0.00354*((Table1[[#This Row],[Gestation (days)]]+0.5)/7)^2)*Table1[[#This Row],[BW40_3705]],"")</f>
        <v/>
      </c>
      <c r="G6477" s="2" t="str">
        <f>IF(Table1[[#This Row],[Is Data Valid]]=TRUE,((Table1[[#This Row],[Birthweight (grams)]]/Table1[[#This Row],[BW_GA]])-1)/(Backend!$B$4/100*Table1[[#This Row],[BW40_3705]]),"")</f>
        <v/>
      </c>
      <c r="H6477" s="7" t="str">
        <f>IF(Table1[[#This Row],[Is Data Valid]]=TRUE,((Table1[[#This Row],[Birthweight (grams)]]*0.9/Table1[[#This Row],[BW_GA]])-1)/(Backend!$B$4/100*Table1[[#This Row],[BW40_3705]]),"")</f>
        <v/>
      </c>
      <c r="I6477" s="7" t="str">
        <f>IF(Table1[[#This Row],[Is Data Valid]]=TRUE,((Table1[[#This Row],[Birthweight (grams)]]*1.1/Table1[[#This Row],[BW_GA]])-1)/(Backend!$B$4/100*Table1[[#This Row],[BW40_3705]]),"")</f>
        <v/>
      </c>
      <c r="J6477" s="7" t="str">
        <f>IF(Table1[[#This Row],[Is Data Valid]]=TRUE,_xlfn.NORM.S.DIST(Table1[[#This Row],[Birthweight Z-Score]],TRUE)*100,"")</f>
        <v/>
      </c>
      <c r="K6477" s="7" t="str">
        <f>IF(Table1[[#This Row],[Is Data Valid]]=TRUE,_xlfn.NORM.S.DIST(Table1[[#This Row],[Birthweight Z-Score (BW-10%)]],TRUE)*100,"")</f>
        <v/>
      </c>
      <c r="L6477" s="7" t="str">
        <f>IF(Table1[[#This Row],[Is Data Valid]]=TRUE,_xlfn.NORM.S.DIST(Table1[[#This Row],[Birthweight Z-Score (BW+10%)]],TRUE)*100,"")</f>
        <v/>
      </c>
    </row>
    <row r="6478" spans="1:12" x14ac:dyDescent="0.35">
      <c r="A6478" s="3"/>
      <c r="B6478" s="2"/>
      <c r="C6478" s="2"/>
      <c r="D6478" s="2" t="b">
        <f>IF(AND(NOT(ISBLANK(Table1[[#This Row],[Fetal Sex (Male, Female or Unknown)]])),ISNUMBER(Table1[[#This Row],[Birthweight (grams)]]),ISNUMBER(Table1[[#This Row],[Gestation (days)]])),TRUE,FALSE)</f>
        <v>0</v>
      </c>
      <c r="E6478" s="2" t="str">
        <f>IF(Table1[[#This Row],[Is Data Valid]]=TRUE,IF(Table1[[#This Row],[Fetal Sex (Male, Female or Unknown)]]="Male",Backend!$C$6,IF(Table1[[#This Row],[Fetal Sex (Male, Female or Unknown)]]="Female",Backend!$C$7,IF(Table1[[#This Row],[Fetal Sex (Male, Female or Unknown)]]="Unknown",Backend!$C$8,"Error"))),"")</f>
        <v/>
      </c>
      <c r="F6478" s="8" t="str">
        <f>IF(Table1[[#This Row],[Is Data Valid]]=TRUE,EXP(0.578+0.332*((Table1[[#This Row],[Gestation (days)]]+0.5)/7)-0.00354*((Table1[[#This Row],[Gestation (days)]]+0.5)/7)^2)*Table1[[#This Row],[BW40_3705]],"")</f>
        <v/>
      </c>
      <c r="G6478" s="2" t="str">
        <f>IF(Table1[[#This Row],[Is Data Valid]]=TRUE,((Table1[[#This Row],[Birthweight (grams)]]/Table1[[#This Row],[BW_GA]])-1)/(Backend!$B$4/100*Table1[[#This Row],[BW40_3705]]),"")</f>
        <v/>
      </c>
      <c r="H6478" s="7" t="str">
        <f>IF(Table1[[#This Row],[Is Data Valid]]=TRUE,((Table1[[#This Row],[Birthweight (grams)]]*0.9/Table1[[#This Row],[BW_GA]])-1)/(Backend!$B$4/100*Table1[[#This Row],[BW40_3705]]),"")</f>
        <v/>
      </c>
      <c r="I6478" s="7" t="str">
        <f>IF(Table1[[#This Row],[Is Data Valid]]=TRUE,((Table1[[#This Row],[Birthweight (grams)]]*1.1/Table1[[#This Row],[BW_GA]])-1)/(Backend!$B$4/100*Table1[[#This Row],[BW40_3705]]),"")</f>
        <v/>
      </c>
      <c r="J6478" s="7" t="str">
        <f>IF(Table1[[#This Row],[Is Data Valid]]=TRUE,_xlfn.NORM.S.DIST(Table1[[#This Row],[Birthweight Z-Score]],TRUE)*100,"")</f>
        <v/>
      </c>
      <c r="K6478" s="7" t="str">
        <f>IF(Table1[[#This Row],[Is Data Valid]]=TRUE,_xlfn.NORM.S.DIST(Table1[[#This Row],[Birthweight Z-Score (BW-10%)]],TRUE)*100,"")</f>
        <v/>
      </c>
      <c r="L6478" s="7" t="str">
        <f>IF(Table1[[#This Row],[Is Data Valid]]=TRUE,_xlfn.NORM.S.DIST(Table1[[#This Row],[Birthweight Z-Score (BW+10%)]],TRUE)*100,"")</f>
        <v/>
      </c>
    </row>
    <row r="6479" spans="1:12" x14ac:dyDescent="0.35">
      <c r="A6479" s="3"/>
      <c r="B6479" s="2"/>
      <c r="C6479" s="2"/>
      <c r="D6479" s="2" t="b">
        <f>IF(AND(NOT(ISBLANK(Table1[[#This Row],[Fetal Sex (Male, Female or Unknown)]])),ISNUMBER(Table1[[#This Row],[Birthweight (grams)]]),ISNUMBER(Table1[[#This Row],[Gestation (days)]])),TRUE,FALSE)</f>
        <v>0</v>
      </c>
      <c r="E6479" s="2" t="str">
        <f>IF(Table1[[#This Row],[Is Data Valid]]=TRUE,IF(Table1[[#This Row],[Fetal Sex (Male, Female or Unknown)]]="Male",Backend!$C$6,IF(Table1[[#This Row],[Fetal Sex (Male, Female or Unknown)]]="Female",Backend!$C$7,IF(Table1[[#This Row],[Fetal Sex (Male, Female or Unknown)]]="Unknown",Backend!$C$8,"Error"))),"")</f>
        <v/>
      </c>
      <c r="F6479" s="8" t="str">
        <f>IF(Table1[[#This Row],[Is Data Valid]]=TRUE,EXP(0.578+0.332*((Table1[[#This Row],[Gestation (days)]]+0.5)/7)-0.00354*((Table1[[#This Row],[Gestation (days)]]+0.5)/7)^2)*Table1[[#This Row],[BW40_3705]],"")</f>
        <v/>
      </c>
      <c r="G6479" s="2" t="str">
        <f>IF(Table1[[#This Row],[Is Data Valid]]=TRUE,((Table1[[#This Row],[Birthweight (grams)]]/Table1[[#This Row],[BW_GA]])-1)/(Backend!$B$4/100*Table1[[#This Row],[BW40_3705]]),"")</f>
        <v/>
      </c>
      <c r="H6479" s="7" t="str">
        <f>IF(Table1[[#This Row],[Is Data Valid]]=TRUE,((Table1[[#This Row],[Birthweight (grams)]]*0.9/Table1[[#This Row],[BW_GA]])-1)/(Backend!$B$4/100*Table1[[#This Row],[BW40_3705]]),"")</f>
        <v/>
      </c>
      <c r="I6479" s="7" t="str">
        <f>IF(Table1[[#This Row],[Is Data Valid]]=TRUE,((Table1[[#This Row],[Birthweight (grams)]]*1.1/Table1[[#This Row],[BW_GA]])-1)/(Backend!$B$4/100*Table1[[#This Row],[BW40_3705]]),"")</f>
        <v/>
      </c>
      <c r="J6479" s="7" t="str">
        <f>IF(Table1[[#This Row],[Is Data Valid]]=TRUE,_xlfn.NORM.S.DIST(Table1[[#This Row],[Birthweight Z-Score]],TRUE)*100,"")</f>
        <v/>
      </c>
      <c r="K6479" s="7" t="str">
        <f>IF(Table1[[#This Row],[Is Data Valid]]=TRUE,_xlfn.NORM.S.DIST(Table1[[#This Row],[Birthweight Z-Score (BW-10%)]],TRUE)*100,"")</f>
        <v/>
      </c>
      <c r="L6479" s="7" t="str">
        <f>IF(Table1[[#This Row],[Is Data Valid]]=TRUE,_xlfn.NORM.S.DIST(Table1[[#This Row],[Birthweight Z-Score (BW+10%)]],TRUE)*100,"")</f>
        <v/>
      </c>
    </row>
    <row r="6480" spans="1:12" x14ac:dyDescent="0.35">
      <c r="A6480" s="3"/>
      <c r="B6480" s="2"/>
      <c r="C6480" s="2"/>
      <c r="D6480" s="2" t="b">
        <f>IF(AND(NOT(ISBLANK(Table1[[#This Row],[Fetal Sex (Male, Female or Unknown)]])),ISNUMBER(Table1[[#This Row],[Birthweight (grams)]]),ISNUMBER(Table1[[#This Row],[Gestation (days)]])),TRUE,FALSE)</f>
        <v>0</v>
      </c>
      <c r="E6480" s="2" t="str">
        <f>IF(Table1[[#This Row],[Is Data Valid]]=TRUE,IF(Table1[[#This Row],[Fetal Sex (Male, Female or Unknown)]]="Male",Backend!$C$6,IF(Table1[[#This Row],[Fetal Sex (Male, Female or Unknown)]]="Female",Backend!$C$7,IF(Table1[[#This Row],[Fetal Sex (Male, Female or Unknown)]]="Unknown",Backend!$C$8,"Error"))),"")</f>
        <v/>
      </c>
      <c r="F6480" s="8" t="str">
        <f>IF(Table1[[#This Row],[Is Data Valid]]=TRUE,EXP(0.578+0.332*((Table1[[#This Row],[Gestation (days)]]+0.5)/7)-0.00354*((Table1[[#This Row],[Gestation (days)]]+0.5)/7)^2)*Table1[[#This Row],[BW40_3705]],"")</f>
        <v/>
      </c>
      <c r="G6480" s="2" t="str">
        <f>IF(Table1[[#This Row],[Is Data Valid]]=TRUE,((Table1[[#This Row],[Birthweight (grams)]]/Table1[[#This Row],[BW_GA]])-1)/(Backend!$B$4/100*Table1[[#This Row],[BW40_3705]]),"")</f>
        <v/>
      </c>
      <c r="H6480" s="7" t="str">
        <f>IF(Table1[[#This Row],[Is Data Valid]]=TRUE,((Table1[[#This Row],[Birthweight (grams)]]*0.9/Table1[[#This Row],[BW_GA]])-1)/(Backend!$B$4/100*Table1[[#This Row],[BW40_3705]]),"")</f>
        <v/>
      </c>
      <c r="I6480" s="7" t="str">
        <f>IF(Table1[[#This Row],[Is Data Valid]]=TRUE,((Table1[[#This Row],[Birthweight (grams)]]*1.1/Table1[[#This Row],[BW_GA]])-1)/(Backend!$B$4/100*Table1[[#This Row],[BW40_3705]]),"")</f>
        <v/>
      </c>
      <c r="J6480" s="7" t="str">
        <f>IF(Table1[[#This Row],[Is Data Valid]]=TRUE,_xlfn.NORM.S.DIST(Table1[[#This Row],[Birthweight Z-Score]],TRUE)*100,"")</f>
        <v/>
      </c>
      <c r="K6480" s="7" t="str">
        <f>IF(Table1[[#This Row],[Is Data Valid]]=TRUE,_xlfn.NORM.S.DIST(Table1[[#This Row],[Birthweight Z-Score (BW-10%)]],TRUE)*100,"")</f>
        <v/>
      </c>
      <c r="L6480" s="7" t="str">
        <f>IF(Table1[[#This Row],[Is Data Valid]]=TRUE,_xlfn.NORM.S.DIST(Table1[[#This Row],[Birthweight Z-Score (BW+10%)]],TRUE)*100,"")</f>
        <v/>
      </c>
    </row>
    <row r="6481" spans="1:12" x14ac:dyDescent="0.35">
      <c r="A6481" s="3"/>
      <c r="B6481" s="2"/>
      <c r="C6481" s="2"/>
      <c r="D6481" s="2" t="b">
        <f>IF(AND(NOT(ISBLANK(Table1[[#This Row],[Fetal Sex (Male, Female or Unknown)]])),ISNUMBER(Table1[[#This Row],[Birthweight (grams)]]),ISNUMBER(Table1[[#This Row],[Gestation (days)]])),TRUE,FALSE)</f>
        <v>0</v>
      </c>
      <c r="E6481" s="2" t="str">
        <f>IF(Table1[[#This Row],[Is Data Valid]]=TRUE,IF(Table1[[#This Row],[Fetal Sex (Male, Female or Unknown)]]="Male",Backend!$C$6,IF(Table1[[#This Row],[Fetal Sex (Male, Female or Unknown)]]="Female",Backend!$C$7,IF(Table1[[#This Row],[Fetal Sex (Male, Female or Unknown)]]="Unknown",Backend!$C$8,"Error"))),"")</f>
        <v/>
      </c>
      <c r="F6481" s="8" t="str">
        <f>IF(Table1[[#This Row],[Is Data Valid]]=TRUE,EXP(0.578+0.332*((Table1[[#This Row],[Gestation (days)]]+0.5)/7)-0.00354*((Table1[[#This Row],[Gestation (days)]]+0.5)/7)^2)*Table1[[#This Row],[BW40_3705]],"")</f>
        <v/>
      </c>
      <c r="G6481" s="2" t="str">
        <f>IF(Table1[[#This Row],[Is Data Valid]]=TRUE,((Table1[[#This Row],[Birthweight (grams)]]/Table1[[#This Row],[BW_GA]])-1)/(Backend!$B$4/100*Table1[[#This Row],[BW40_3705]]),"")</f>
        <v/>
      </c>
      <c r="H6481" s="7" t="str">
        <f>IF(Table1[[#This Row],[Is Data Valid]]=TRUE,((Table1[[#This Row],[Birthweight (grams)]]*0.9/Table1[[#This Row],[BW_GA]])-1)/(Backend!$B$4/100*Table1[[#This Row],[BW40_3705]]),"")</f>
        <v/>
      </c>
      <c r="I6481" s="7" t="str">
        <f>IF(Table1[[#This Row],[Is Data Valid]]=TRUE,((Table1[[#This Row],[Birthweight (grams)]]*1.1/Table1[[#This Row],[BW_GA]])-1)/(Backend!$B$4/100*Table1[[#This Row],[BW40_3705]]),"")</f>
        <v/>
      </c>
      <c r="J6481" s="7" t="str">
        <f>IF(Table1[[#This Row],[Is Data Valid]]=TRUE,_xlfn.NORM.S.DIST(Table1[[#This Row],[Birthweight Z-Score]],TRUE)*100,"")</f>
        <v/>
      </c>
      <c r="K6481" s="7" t="str">
        <f>IF(Table1[[#This Row],[Is Data Valid]]=TRUE,_xlfn.NORM.S.DIST(Table1[[#This Row],[Birthweight Z-Score (BW-10%)]],TRUE)*100,"")</f>
        <v/>
      </c>
      <c r="L6481" s="7" t="str">
        <f>IF(Table1[[#This Row],[Is Data Valid]]=TRUE,_xlfn.NORM.S.DIST(Table1[[#This Row],[Birthweight Z-Score (BW+10%)]],TRUE)*100,"")</f>
        <v/>
      </c>
    </row>
    <row r="6482" spans="1:12" x14ac:dyDescent="0.35">
      <c r="A6482" s="3"/>
      <c r="B6482" s="2"/>
      <c r="C6482" s="2"/>
      <c r="D6482" s="2" t="b">
        <f>IF(AND(NOT(ISBLANK(Table1[[#This Row],[Fetal Sex (Male, Female or Unknown)]])),ISNUMBER(Table1[[#This Row],[Birthweight (grams)]]),ISNUMBER(Table1[[#This Row],[Gestation (days)]])),TRUE,FALSE)</f>
        <v>0</v>
      </c>
      <c r="E6482" s="2" t="str">
        <f>IF(Table1[[#This Row],[Is Data Valid]]=TRUE,IF(Table1[[#This Row],[Fetal Sex (Male, Female or Unknown)]]="Male",Backend!$C$6,IF(Table1[[#This Row],[Fetal Sex (Male, Female or Unknown)]]="Female",Backend!$C$7,IF(Table1[[#This Row],[Fetal Sex (Male, Female or Unknown)]]="Unknown",Backend!$C$8,"Error"))),"")</f>
        <v/>
      </c>
      <c r="F6482" s="8" t="str">
        <f>IF(Table1[[#This Row],[Is Data Valid]]=TRUE,EXP(0.578+0.332*((Table1[[#This Row],[Gestation (days)]]+0.5)/7)-0.00354*((Table1[[#This Row],[Gestation (days)]]+0.5)/7)^2)*Table1[[#This Row],[BW40_3705]],"")</f>
        <v/>
      </c>
      <c r="G6482" s="2" t="str">
        <f>IF(Table1[[#This Row],[Is Data Valid]]=TRUE,((Table1[[#This Row],[Birthweight (grams)]]/Table1[[#This Row],[BW_GA]])-1)/(Backend!$B$4/100*Table1[[#This Row],[BW40_3705]]),"")</f>
        <v/>
      </c>
      <c r="H6482" s="7" t="str">
        <f>IF(Table1[[#This Row],[Is Data Valid]]=TRUE,((Table1[[#This Row],[Birthweight (grams)]]*0.9/Table1[[#This Row],[BW_GA]])-1)/(Backend!$B$4/100*Table1[[#This Row],[BW40_3705]]),"")</f>
        <v/>
      </c>
      <c r="I6482" s="7" t="str">
        <f>IF(Table1[[#This Row],[Is Data Valid]]=TRUE,((Table1[[#This Row],[Birthweight (grams)]]*1.1/Table1[[#This Row],[BW_GA]])-1)/(Backend!$B$4/100*Table1[[#This Row],[BW40_3705]]),"")</f>
        <v/>
      </c>
      <c r="J6482" s="7" t="str">
        <f>IF(Table1[[#This Row],[Is Data Valid]]=TRUE,_xlfn.NORM.S.DIST(Table1[[#This Row],[Birthweight Z-Score]],TRUE)*100,"")</f>
        <v/>
      </c>
      <c r="K6482" s="7" t="str">
        <f>IF(Table1[[#This Row],[Is Data Valid]]=TRUE,_xlfn.NORM.S.DIST(Table1[[#This Row],[Birthweight Z-Score (BW-10%)]],TRUE)*100,"")</f>
        <v/>
      </c>
      <c r="L6482" s="7" t="str">
        <f>IF(Table1[[#This Row],[Is Data Valid]]=TRUE,_xlfn.NORM.S.DIST(Table1[[#This Row],[Birthweight Z-Score (BW+10%)]],TRUE)*100,"")</f>
        <v/>
      </c>
    </row>
    <row r="6483" spans="1:12" x14ac:dyDescent="0.35">
      <c r="A6483" s="3"/>
      <c r="B6483" s="2"/>
      <c r="C6483" s="2"/>
      <c r="D6483" s="2" t="b">
        <f>IF(AND(NOT(ISBLANK(Table1[[#This Row],[Fetal Sex (Male, Female or Unknown)]])),ISNUMBER(Table1[[#This Row],[Birthweight (grams)]]),ISNUMBER(Table1[[#This Row],[Gestation (days)]])),TRUE,FALSE)</f>
        <v>0</v>
      </c>
      <c r="E6483" s="2" t="str">
        <f>IF(Table1[[#This Row],[Is Data Valid]]=TRUE,IF(Table1[[#This Row],[Fetal Sex (Male, Female or Unknown)]]="Male",Backend!$C$6,IF(Table1[[#This Row],[Fetal Sex (Male, Female or Unknown)]]="Female",Backend!$C$7,IF(Table1[[#This Row],[Fetal Sex (Male, Female or Unknown)]]="Unknown",Backend!$C$8,"Error"))),"")</f>
        <v/>
      </c>
      <c r="F6483" s="8" t="str">
        <f>IF(Table1[[#This Row],[Is Data Valid]]=TRUE,EXP(0.578+0.332*((Table1[[#This Row],[Gestation (days)]]+0.5)/7)-0.00354*((Table1[[#This Row],[Gestation (days)]]+0.5)/7)^2)*Table1[[#This Row],[BW40_3705]],"")</f>
        <v/>
      </c>
      <c r="G6483" s="2" t="str">
        <f>IF(Table1[[#This Row],[Is Data Valid]]=TRUE,((Table1[[#This Row],[Birthweight (grams)]]/Table1[[#This Row],[BW_GA]])-1)/(Backend!$B$4/100*Table1[[#This Row],[BW40_3705]]),"")</f>
        <v/>
      </c>
      <c r="H6483" s="7" t="str">
        <f>IF(Table1[[#This Row],[Is Data Valid]]=TRUE,((Table1[[#This Row],[Birthweight (grams)]]*0.9/Table1[[#This Row],[BW_GA]])-1)/(Backend!$B$4/100*Table1[[#This Row],[BW40_3705]]),"")</f>
        <v/>
      </c>
      <c r="I6483" s="7" t="str">
        <f>IF(Table1[[#This Row],[Is Data Valid]]=TRUE,((Table1[[#This Row],[Birthweight (grams)]]*1.1/Table1[[#This Row],[BW_GA]])-1)/(Backend!$B$4/100*Table1[[#This Row],[BW40_3705]]),"")</f>
        <v/>
      </c>
      <c r="J6483" s="7" t="str">
        <f>IF(Table1[[#This Row],[Is Data Valid]]=TRUE,_xlfn.NORM.S.DIST(Table1[[#This Row],[Birthweight Z-Score]],TRUE)*100,"")</f>
        <v/>
      </c>
      <c r="K6483" s="7" t="str">
        <f>IF(Table1[[#This Row],[Is Data Valid]]=TRUE,_xlfn.NORM.S.DIST(Table1[[#This Row],[Birthweight Z-Score (BW-10%)]],TRUE)*100,"")</f>
        <v/>
      </c>
      <c r="L6483" s="7" t="str">
        <f>IF(Table1[[#This Row],[Is Data Valid]]=TRUE,_xlfn.NORM.S.DIST(Table1[[#This Row],[Birthweight Z-Score (BW+10%)]],TRUE)*100,"")</f>
        <v/>
      </c>
    </row>
    <row r="6484" spans="1:12" x14ac:dyDescent="0.35">
      <c r="A6484" s="3"/>
      <c r="B6484" s="2"/>
      <c r="C6484" s="2"/>
      <c r="D6484" s="2" t="b">
        <f>IF(AND(NOT(ISBLANK(Table1[[#This Row],[Fetal Sex (Male, Female or Unknown)]])),ISNUMBER(Table1[[#This Row],[Birthweight (grams)]]),ISNUMBER(Table1[[#This Row],[Gestation (days)]])),TRUE,FALSE)</f>
        <v>0</v>
      </c>
      <c r="E6484" s="2" t="str">
        <f>IF(Table1[[#This Row],[Is Data Valid]]=TRUE,IF(Table1[[#This Row],[Fetal Sex (Male, Female or Unknown)]]="Male",Backend!$C$6,IF(Table1[[#This Row],[Fetal Sex (Male, Female or Unknown)]]="Female",Backend!$C$7,IF(Table1[[#This Row],[Fetal Sex (Male, Female or Unknown)]]="Unknown",Backend!$C$8,"Error"))),"")</f>
        <v/>
      </c>
      <c r="F6484" s="8" t="str">
        <f>IF(Table1[[#This Row],[Is Data Valid]]=TRUE,EXP(0.578+0.332*((Table1[[#This Row],[Gestation (days)]]+0.5)/7)-0.00354*((Table1[[#This Row],[Gestation (days)]]+0.5)/7)^2)*Table1[[#This Row],[BW40_3705]],"")</f>
        <v/>
      </c>
      <c r="G6484" s="2" t="str">
        <f>IF(Table1[[#This Row],[Is Data Valid]]=TRUE,((Table1[[#This Row],[Birthweight (grams)]]/Table1[[#This Row],[BW_GA]])-1)/(Backend!$B$4/100*Table1[[#This Row],[BW40_3705]]),"")</f>
        <v/>
      </c>
      <c r="H6484" s="7" t="str">
        <f>IF(Table1[[#This Row],[Is Data Valid]]=TRUE,((Table1[[#This Row],[Birthweight (grams)]]*0.9/Table1[[#This Row],[BW_GA]])-1)/(Backend!$B$4/100*Table1[[#This Row],[BW40_3705]]),"")</f>
        <v/>
      </c>
      <c r="I6484" s="7" t="str">
        <f>IF(Table1[[#This Row],[Is Data Valid]]=TRUE,((Table1[[#This Row],[Birthweight (grams)]]*1.1/Table1[[#This Row],[BW_GA]])-1)/(Backend!$B$4/100*Table1[[#This Row],[BW40_3705]]),"")</f>
        <v/>
      </c>
      <c r="J6484" s="7" t="str">
        <f>IF(Table1[[#This Row],[Is Data Valid]]=TRUE,_xlfn.NORM.S.DIST(Table1[[#This Row],[Birthweight Z-Score]],TRUE)*100,"")</f>
        <v/>
      </c>
      <c r="K6484" s="7" t="str">
        <f>IF(Table1[[#This Row],[Is Data Valid]]=TRUE,_xlfn.NORM.S.DIST(Table1[[#This Row],[Birthweight Z-Score (BW-10%)]],TRUE)*100,"")</f>
        <v/>
      </c>
      <c r="L6484" s="7" t="str">
        <f>IF(Table1[[#This Row],[Is Data Valid]]=TRUE,_xlfn.NORM.S.DIST(Table1[[#This Row],[Birthweight Z-Score (BW+10%)]],TRUE)*100,"")</f>
        <v/>
      </c>
    </row>
    <row r="6485" spans="1:12" x14ac:dyDescent="0.35">
      <c r="A6485" s="3"/>
      <c r="B6485" s="2"/>
      <c r="C6485" s="2"/>
      <c r="D6485" s="2" t="b">
        <f>IF(AND(NOT(ISBLANK(Table1[[#This Row],[Fetal Sex (Male, Female or Unknown)]])),ISNUMBER(Table1[[#This Row],[Birthweight (grams)]]),ISNUMBER(Table1[[#This Row],[Gestation (days)]])),TRUE,FALSE)</f>
        <v>0</v>
      </c>
      <c r="E6485" s="2" t="str">
        <f>IF(Table1[[#This Row],[Is Data Valid]]=TRUE,IF(Table1[[#This Row],[Fetal Sex (Male, Female or Unknown)]]="Male",Backend!$C$6,IF(Table1[[#This Row],[Fetal Sex (Male, Female or Unknown)]]="Female",Backend!$C$7,IF(Table1[[#This Row],[Fetal Sex (Male, Female or Unknown)]]="Unknown",Backend!$C$8,"Error"))),"")</f>
        <v/>
      </c>
      <c r="F6485" s="8" t="str">
        <f>IF(Table1[[#This Row],[Is Data Valid]]=TRUE,EXP(0.578+0.332*((Table1[[#This Row],[Gestation (days)]]+0.5)/7)-0.00354*((Table1[[#This Row],[Gestation (days)]]+0.5)/7)^2)*Table1[[#This Row],[BW40_3705]],"")</f>
        <v/>
      </c>
      <c r="G6485" s="2" t="str">
        <f>IF(Table1[[#This Row],[Is Data Valid]]=TRUE,((Table1[[#This Row],[Birthweight (grams)]]/Table1[[#This Row],[BW_GA]])-1)/(Backend!$B$4/100*Table1[[#This Row],[BW40_3705]]),"")</f>
        <v/>
      </c>
      <c r="H6485" s="7" t="str">
        <f>IF(Table1[[#This Row],[Is Data Valid]]=TRUE,((Table1[[#This Row],[Birthweight (grams)]]*0.9/Table1[[#This Row],[BW_GA]])-1)/(Backend!$B$4/100*Table1[[#This Row],[BW40_3705]]),"")</f>
        <v/>
      </c>
      <c r="I6485" s="7" t="str">
        <f>IF(Table1[[#This Row],[Is Data Valid]]=TRUE,((Table1[[#This Row],[Birthweight (grams)]]*1.1/Table1[[#This Row],[BW_GA]])-1)/(Backend!$B$4/100*Table1[[#This Row],[BW40_3705]]),"")</f>
        <v/>
      </c>
      <c r="J6485" s="7" t="str">
        <f>IF(Table1[[#This Row],[Is Data Valid]]=TRUE,_xlfn.NORM.S.DIST(Table1[[#This Row],[Birthweight Z-Score]],TRUE)*100,"")</f>
        <v/>
      </c>
      <c r="K6485" s="7" t="str">
        <f>IF(Table1[[#This Row],[Is Data Valid]]=TRUE,_xlfn.NORM.S.DIST(Table1[[#This Row],[Birthweight Z-Score (BW-10%)]],TRUE)*100,"")</f>
        <v/>
      </c>
      <c r="L6485" s="7" t="str">
        <f>IF(Table1[[#This Row],[Is Data Valid]]=TRUE,_xlfn.NORM.S.DIST(Table1[[#This Row],[Birthweight Z-Score (BW+10%)]],TRUE)*100,"")</f>
        <v/>
      </c>
    </row>
    <row r="6486" spans="1:12" x14ac:dyDescent="0.35">
      <c r="A6486" s="3"/>
      <c r="B6486" s="2"/>
      <c r="C6486" s="2"/>
      <c r="D6486" s="2" t="b">
        <f>IF(AND(NOT(ISBLANK(Table1[[#This Row],[Fetal Sex (Male, Female or Unknown)]])),ISNUMBER(Table1[[#This Row],[Birthweight (grams)]]),ISNUMBER(Table1[[#This Row],[Gestation (days)]])),TRUE,FALSE)</f>
        <v>0</v>
      </c>
      <c r="E6486" s="2" t="str">
        <f>IF(Table1[[#This Row],[Is Data Valid]]=TRUE,IF(Table1[[#This Row],[Fetal Sex (Male, Female or Unknown)]]="Male",Backend!$C$6,IF(Table1[[#This Row],[Fetal Sex (Male, Female or Unknown)]]="Female",Backend!$C$7,IF(Table1[[#This Row],[Fetal Sex (Male, Female or Unknown)]]="Unknown",Backend!$C$8,"Error"))),"")</f>
        <v/>
      </c>
      <c r="F6486" s="8" t="str">
        <f>IF(Table1[[#This Row],[Is Data Valid]]=TRUE,EXP(0.578+0.332*((Table1[[#This Row],[Gestation (days)]]+0.5)/7)-0.00354*((Table1[[#This Row],[Gestation (days)]]+0.5)/7)^2)*Table1[[#This Row],[BW40_3705]],"")</f>
        <v/>
      </c>
      <c r="G6486" s="2" t="str">
        <f>IF(Table1[[#This Row],[Is Data Valid]]=TRUE,((Table1[[#This Row],[Birthweight (grams)]]/Table1[[#This Row],[BW_GA]])-1)/(Backend!$B$4/100*Table1[[#This Row],[BW40_3705]]),"")</f>
        <v/>
      </c>
      <c r="H6486" s="7" t="str">
        <f>IF(Table1[[#This Row],[Is Data Valid]]=TRUE,((Table1[[#This Row],[Birthweight (grams)]]*0.9/Table1[[#This Row],[BW_GA]])-1)/(Backend!$B$4/100*Table1[[#This Row],[BW40_3705]]),"")</f>
        <v/>
      </c>
      <c r="I6486" s="7" t="str">
        <f>IF(Table1[[#This Row],[Is Data Valid]]=TRUE,((Table1[[#This Row],[Birthweight (grams)]]*1.1/Table1[[#This Row],[BW_GA]])-1)/(Backend!$B$4/100*Table1[[#This Row],[BW40_3705]]),"")</f>
        <v/>
      </c>
      <c r="J6486" s="7" t="str">
        <f>IF(Table1[[#This Row],[Is Data Valid]]=TRUE,_xlfn.NORM.S.DIST(Table1[[#This Row],[Birthweight Z-Score]],TRUE)*100,"")</f>
        <v/>
      </c>
      <c r="K6486" s="7" t="str">
        <f>IF(Table1[[#This Row],[Is Data Valid]]=TRUE,_xlfn.NORM.S.DIST(Table1[[#This Row],[Birthweight Z-Score (BW-10%)]],TRUE)*100,"")</f>
        <v/>
      </c>
      <c r="L6486" s="7" t="str">
        <f>IF(Table1[[#This Row],[Is Data Valid]]=TRUE,_xlfn.NORM.S.DIST(Table1[[#This Row],[Birthweight Z-Score (BW+10%)]],TRUE)*100,"")</f>
        <v/>
      </c>
    </row>
    <row r="6487" spans="1:12" x14ac:dyDescent="0.35">
      <c r="A6487" s="3"/>
      <c r="B6487" s="2"/>
      <c r="C6487" s="2"/>
      <c r="D6487" s="2" t="b">
        <f>IF(AND(NOT(ISBLANK(Table1[[#This Row],[Fetal Sex (Male, Female or Unknown)]])),ISNUMBER(Table1[[#This Row],[Birthweight (grams)]]),ISNUMBER(Table1[[#This Row],[Gestation (days)]])),TRUE,FALSE)</f>
        <v>0</v>
      </c>
      <c r="E6487" s="2" t="str">
        <f>IF(Table1[[#This Row],[Is Data Valid]]=TRUE,IF(Table1[[#This Row],[Fetal Sex (Male, Female or Unknown)]]="Male",Backend!$C$6,IF(Table1[[#This Row],[Fetal Sex (Male, Female or Unknown)]]="Female",Backend!$C$7,IF(Table1[[#This Row],[Fetal Sex (Male, Female or Unknown)]]="Unknown",Backend!$C$8,"Error"))),"")</f>
        <v/>
      </c>
      <c r="F6487" s="8" t="str">
        <f>IF(Table1[[#This Row],[Is Data Valid]]=TRUE,EXP(0.578+0.332*((Table1[[#This Row],[Gestation (days)]]+0.5)/7)-0.00354*((Table1[[#This Row],[Gestation (days)]]+0.5)/7)^2)*Table1[[#This Row],[BW40_3705]],"")</f>
        <v/>
      </c>
      <c r="G6487" s="2" t="str">
        <f>IF(Table1[[#This Row],[Is Data Valid]]=TRUE,((Table1[[#This Row],[Birthweight (grams)]]/Table1[[#This Row],[BW_GA]])-1)/(Backend!$B$4/100*Table1[[#This Row],[BW40_3705]]),"")</f>
        <v/>
      </c>
      <c r="H6487" s="7" t="str">
        <f>IF(Table1[[#This Row],[Is Data Valid]]=TRUE,((Table1[[#This Row],[Birthweight (grams)]]*0.9/Table1[[#This Row],[BW_GA]])-1)/(Backend!$B$4/100*Table1[[#This Row],[BW40_3705]]),"")</f>
        <v/>
      </c>
      <c r="I6487" s="7" t="str">
        <f>IF(Table1[[#This Row],[Is Data Valid]]=TRUE,((Table1[[#This Row],[Birthweight (grams)]]*1.1/Table1[[#This Row],[BW_GA]])-1)/(Backend!$B$4/100*Table1[[#This Row],[BW40_3705]]),"")</f>
        <v/>
      </c>
      <c r="J6487" s="7" t="str">
        <f>IF(Table1[[#This Row],[Is Data Valid]]=TRUE,_xlfn.NORM.S.DIST(Table1[[#This Row],[Birthweight Z-Score]],TRUE)*100,"")</f>
        <v/>
      </c>
      <c r="K6487" s="7" t="str">
        <f>IF(Table1[[#This Row],[Is Data Valid]]=TRUE,_xlfn.NORM.S.DIST(Table1[[#This Row],[Birthweight Z-Score (BW-10%)]],TRUE)*100,"")</f>
        <v/>
      </c>
      <c r="L6487" s="7" t="str">
        <f>IF(Table1[[#This Row],[Is Data Valid]]=TRUE,_xlfn.NORM.S.DIST(Table1[[#This Row],[Birthweight Z-Score (BW+10%)]],TRUE)*100,"")</f>
        <v/>
      </c>
    </row>
    <row r="6488" spans="1:12" x14ac:dyDescent="0.35">
      <c r="A6488" s="3"/>
      <c r="B6488" s="2"/>
      <c r="C6488" s="2"/>
      <c r="D6488" s="2" t="b">
        <f>IF(AND(NOT(ISBLANK(Table1[[#This Row],[Fetal Sex (Male, Female or Unknown)]])),ISNUMBER(Table1[[#This Row],[Birthweight (grams)]]),ISNUMBER(Table1[[#This Row],[Gestation (days)]])),TRUE,FALSE)</f>
        <v>0</v>
      </c>
      <c r="E6488" s="2" t="str">
        <f>IF(Table1[[#This Row],[Is Data Valid]]=TRUE,IF(Table1[[#This Row],[Fetal Sex (Male, Female or Unknown)]]="Male",Backend!$C$6,IF(Table1[[#This Row],[Fetal Sex (Male, Female or Unknown)]]="Female",Backend!$C$7,IF(Table1[[#This Row],[Fetal Sex (Male, Female or Unknown)]]="Unknown",Backend!$C$8,"Error"))),"")</f>
        <v/>
      </c>
      <c r="F6488" s="8" t="str">
        <f>IF(Table1[[#This Row],[Is Data Valid]]=TRUE,EXP(0.578+0.332*((Table1[[#This Row],[Gestation (days)]]+0.5)/7)-0.00354*((Table1[[#This Row],[Gestation (days)]]+0.5)/7)^2)*Table1[[#This Row],[BW40_3705]],"")</f>
        <v/>
      </c>
      <c r="G6488" s="2" t="str">
        <f>IF(Table1[[#This Row],[Is Data Valid]]=TRUE,((Table1[[#This Row],[Birthweight (grams)]]/Table1[[#This Row],[BW_GA]])-1)/(Backend!$B$4/100*Table1[[#This Row],[BW40_3705]]),"")</f>
        <v/>
      </c>
      <c r="H6488" s="7" t="str">
        <f>IF(Table1[[#This Row],[Is Data Valid]]=TRUE,((Table1[[#This Row],[Birthweight (grams)]]*0.9/Table1[[#This Row],[BW_GA]])-1)/(Backend!$B$4/100*Table1[[#This Row],[BW40_3705]]),"")</f>
        <v/>
      </c>
      <c r="I6488" s="7" t="str">
        <f>IF(Table1[[#This Row],[Is Data Valid]]=TRUE,((Table1[[#This Row],[Birthweight (grams)]]*1.1/Table1[[#This Row],[BW_GA]])-1)/(Backend!$B$4/100*Table1[[#This Row],[BW40_3705]]),"")</f>
        <v/>
      </c>
      <c r="J6488" s="7" t="str">
        <f>IF(Table1[[#This Row],[Is Data Valid]]=TRUE,_xlfn.NORM.S.DIST(Table1[[#This Row],[Birthweight Z-Score]],TRUE)*100,"")</f>
        <v/>
      </c>
      <c r="K6488" s="7" t="str">
        <f>IF(Table1[[#This Row],[Is Data Valid]]=TRUE,_xlfn.NORM.S.DIST(Table1[[#This Row],[Birthweight Z-Score (BW-10%)]],TRUE)*100,"")</f>
        <v/>
      </c>
      <c r="L6488" s="7" t="str">
        <f>IF(Table1[[#This Row],[Is Data Valid]]=TRUE,_xlfn.NORM.S.DIST(Table1[[#This Row],[Birthweight Z-Score (BW+10%)]],TRUE)*100,"")</f>
        <v/>
      </c>
    </row>
    <row r="6489" spans="1:12" x14ac:dyDescent="0.35">
      <c r="A6489" s="3"/>
      <c r="B6489" s="2"/>
      <c r="C6489" s="2"/>
      <c r="D6489" s="2" t="b">
        <f>IF(AND(NOT(ISBLANK(Table1[[#This Row],[Fetal Sex (Male, Female or Unknown)]])),ISNUMBER(Table1[[#This Row],[Birthweight (grams)]]),ISNUMBER(Table1[[#This Row],[Gestation (days)]])),TRUE,FALSE)</f>
        <v>0</v>
      </c>
      <c r="E6489" s="2" t="str">
        <f>IF(Table1[[#This Row],[Is Data Valid]]=TRUE,IF(Table1[[#This Row],[Fetal Sex (Male, Female or Unknown)]]="Male",Backend!$C$6,IF(Table1[[#This Row],[Fetal Sex (Male, Female or Unknown)]]="Female",Backend!$C$7,IF(Table1[[#This Row],[Fetal Sex (Male, Female or Unknown)]]="Unknown",Backend!$C$8,"Error"))),"")</f>
        <v/>
      </c>
      <c r="F6489" s="8" t="str">
        <f>IF(Table1[[#This Row],[Is Data Valid]]=TRUE,EXP(0.578+0.332*((Table1[[#This Row],[Gestation (days)]]+0.5)/7)-0.00354*((Table1[[#This Row],[Gestation (days)]]+0.5)/7)^2)*Table1[[#This Row],[BW40_3705]],"")</f>
        <v/>
      </c>
      <c r="G6489" s="2" t="str">
        <f>IF(Table1[[#This Row],[Is Data Valid]]=TRUE,((Table1[[#This Row],[Birthweight (grams)]]/Table1[[#This Row],[BW_GA]])-1)/(Backend!$B$4/100*Table1[[#This Row],[BW40_3705]]),"")</f>
        <v/>
      </c>
      <c r="H6489" s="7" t="str">
        <f>IF(Table1[[#This Row],[Is Data Valid]]=TRUE,((Table1[[#This Row],[Birthweight (grams)]]*0.9/Table1[[#This Row],[BW_GA]])-1)/(Backend!$B$4/100*Table1[[#This Row],[BW40_3705]]),"")</f>
        <v/>
      </c>
      <c r="I6489" s="7" t="str">
        <f>IF(Table1[[#This Row],[Is Data Valid]]=TRUE,((Table1[[#This Row],[Birthweight (grams)]]*1.1/Table1[[#This Row],[BW_GA]])-1)/(Backend!$B$4/100*Table1[[#This Row],[BW40_3705]]),"")</f>
        <v/>
      </c>
      <c r="J6489" s="7" t="str">
        <f>IF(Table1[[#This Row],[Is Data Valid]]=TRUE,_xlfn.NORM.S.DIST(Table1[[#This Row],[Birthweight Z-Score]],TRUE)*100,"")</f>
        <v/>
      </c>
      <c r="K6489" s="7" t="str">
        <f>IF(Table1[[#This Row],[Is Data Valid]]=TRUE,_xlfn.NORM.S.DIST(Table1[[#This Row],[Birthweight Z-Score (BW-10%)]],TRUE)*100,"")</f>
        <v/>
      </c>
      <c r="L6489" s="7" t="str">
        <f>IF(Table1[[#This Row],[Is Data Valid]]=TRUE,_xlfn.NORM.S.DIST(Table1[[#This Row],[Birthweight Z-Score (BW+10%)]],TRUE)*100,"")</f>
        <v/>
      </c>
    </row>
    <row r="6490" spans="1:12" x14ac:dyDescent="0.35">
      <c r="A6490" s="3"/>
      <c r="B6490" s="2"/>
      <c r="C6490" s="2"/>
      <c r="D6490" s="2" t="b">
        <f>IF(AND(NOT(ISBLANK(Table1[[#This Row],[Fetal Sex (Male, Female or Unknown)]])),ISNUMBER(Table1[[#This Row],[Birthweight (grams)]]),ISNUMBER(Table1[[#This Row],[Gestation (days)]])),TRUE,FALSE)</f>
        <v>0</v>
      </c>
      <c r="E6490" s="2" t="str">
        <f>IF(Table1[[#This Row],[Is Data Valid]]=TRUE,IF(Table1[[#This Row],[Fetal Sex (Male, Female or Unknown)]]="Male",Backend!$C$6,IF(Table1[[#This Row],[Fetal Sex (Male, Female or Unknown)]]="Female",Backend!$C$7,IF(Table1[[#This Row],[Fetal Sex (Male, Female or Unknown)]]="Unknown",Backend!$C$8,"Error"))),"")</f>
        <v/>
      </c>
      <c r="F6490" s="8" t="str">
        <f>IF(Table1[[#This Row],[Is Data Valid]]=TRUE,EXP(0.578+0.332*((Table1[[#This Row],[Gestation (days)]]+0.5)/7)-0.00354*((Table1[[#This Row],[Gestation (days)]]+0.5)/7)^2)*Table1[[#This Row],[BW40_3705]],"")</f>
        <v/>
      </c>
      <c r="G6490" s="2" t="str">
        <f>IF(Table1[[#This Row],[Is Data Valid]]=TRUE,((Table1[[#This Row],[Birthweight (grams)]]/Table1[[#This Row],[BW_GA]])-1)/(Backend!$B$4/100*Table1[[#This Row],[BW40_3705]]),"")</f>
        <v/>
      </c>
      <c r="H6490" s="7" t="str">
        <f>IF(Table1[[#This Row],[Is Data Valid]]=TRUE,((Table1[[#This Row],[Birthweight (grams)]]*0.9/Table1[[#This Row],[BW_GA]])-1)/(Backend!$B$4/100*Table1[[#This Row],[BW40_3705]]),"")</f>
        <v/>
      </c>
      <c r="I6490" s="7" t="str">
        <f>IF(Table1[[#This Row],[Is Data Valid]]=TRUE,((Table1[[#This Row],[Birthweight (grams)]]*1.1/Table1[[#This Row],[BW_GA]])-1)/(Backend!$B$4/100*Table1[[#This Row],[BW40_3705]]),"")</f>
        <v/>
      </c>
      <c r="J6490" s="7" t="str">
        <f>IF(Table1[[#This Row],[Is Data Valid]]=TRUE,_xlfn.NORM.S.DIST(Table1[[#This Row],[Birthweight Z-Score]],TRUE)*100,"")</f>
        <v/>
      </c>
      <c r="K6490" s="7" t="str">
        <f>IF(Table1[[#This Row],[Is Data Valid]]=TRUE,_xlfn.NORM.S.DIST(Table1[[#This Row],[Birthweight Z-Score (BW-10%)]],TRUE)*100,"")</f>
        <v/>
      </c>
      <c r="L6490" s="7" t="str">
        <f>IF(Table1[[#This Row],[Is Data Valid]]=TRUE,_xlfn.NORM.S.DIST(Table1[[#This Row],[Birthweight Z-Score (BW+10%)]],TRUE)*100,"")</f>
        <v/>
      </c>
    </row>
    <row r="6491" spans="1:12" x14ac:dyDescent="0.35">
      <c r="A6491" s="3"/>
      <c r="B6491" s="2"/>
      <c r="C6491" s="2"/>
      <c r="D6491" s="2" t="b">
        <f>IF(AND(NOT(ISBLANK(Table1[[#This Row],[Fetal Sex (Male, Female or Unknown)]])),ISNUMBER(Table1[[#This Row],[Birthweight (grams)]]),ISNUMBER(Table1[[#This Row],[Gestation (days)]])),TRUE,FALSE)</f>
        <v>0</v>
      </c>
      <c r="E6491" s="2" t="str">
        <f>IF(Table1[[#This Row],[Is Data Valid]]=TRUE,IF(Table1[[#This Row],[Fetal Sex (Male, Female or Unknown)]]="Male",Backend!$C$6,IF(Table1[[#This Row],[Fetal Sex (Male, Female or Unknown)]]="Female",Backend!$C$7,IF(Table1[[#This Row],[Fetal Sex (Male, Female or Unknown)]]="Unknown",Backend!$C$8,"Error"))),"")</f>
        <v/>
      </c>
      <c r="F6491" s="8" t="str">
        <f>IF(Table1[[#This Row],[Is Data Valid]]=TRUE,EXP(0.578+0.332*((Table1[[#This Row],[Gestation (days)]]+0.5)/7)-0.00354*((Table1[[#This Row],[Gestation (days)]]+0.5)/7)^2)*Table1[[#This Row],[BW40_3705]],"")</f>
        <v/>
      </c>
      <c r="G6491" s="2" t="str">
        <f>IF(Table1[[#This Row],[Is Data Valid]]=TRUE,((Table1[[#This Row],[Birthweight (grams)]]/Table1[[#This Row],[BW_GA]])-1)/(Backend!$B$4/100*Table1[[#This Row],[BW40_3705]]),"")</f>
        <v/>
      </c>
      <c r="H6491" s="7" t="str">
        <f>IF(Table1[[#This Row],[Is Data Valid]]=TRUE,((Table1[[#This Row],[Birthweight (grams)]]*0.9/Table1[[#This Row],[BW_GA]])-1)/(Backend!$B$4/100*Table1[[#This Row],[BW40_3705]]),"")</f>
        <v/>
      </c>
      <c r="I6491" s="7" t="str">
        <f>IF(Table1[[#This Row],[Is Data Valid]]=TRUE,((Table1[[#This Row],[Birthweight (grams)]]*1.1/Table1[[#This Row],[BW_GA]])-1)/(Backend!$B$4/100*Table1[[#This Row],[BW40_3705]]),"")</f>
        <v/>
      </c>
      <c r="J6491" s="7" t="str">
        <f>IF(Table1[[#This Row],[Is Data Valid]]=TRUE,_xlfn.NORM.S.DIST(Table1[[#This Row],[Birthweight Z-Score]],TRUE)*100,"")</f>
        <v/>
      </c>
      <c r="K6491" s="7" t="str">
        <f>IF(Table1[[#This Row],[Is Data Valid]]=TRUE,_xlfn.NORM.S.DIST(Table1[[#This Row],[Birthweight Z-Score (BW-10%)]],TRUE)*100,"")</f>
        <v/>
      </c>
      <c r="L6491" s="7" t="str">
        <f>IF(Table1[[#This Row],[Is Data Valid]]=TRUE,_xlfn.NORM.S.DIST(Table1[[#This Row],[Birthweight Z-Score (BW+10%)]],TRUE)*100,"")</f>
        <v/>
      </c>
    </row>
    <row r="6492" spans="1:12" x14ac:dyDescent="0.35">
      <c r="A6492" s="3"/>
      <c r="B6492" s="2"/>
      <c r="C6492" s="2"/>
      <c r="D6492" s="2" t="b">
        <f>IF(AND(NOT(ISBLANK(Table1[[#This Row],[Fetal Sex (Male, Female or Unknown)]])),ISNUMBER(Table1[[#This Row],[Birthweight (grams)]]),ISNUMBER(Table1[[#This Row],[Gestation (days)]])),TRUE,FALSE)</f>
        <v>0</v>
      </c>
      <c r="E6492" s="2" t="str">
        <f>IF(Table1[[#This Row],[Is Data Valid]]=TRUE,IF(Table1[[#This Row],[Fetal Sex (Male, Female or Unknown)]]="Male",Backend!$C$6,IF(Table1[[#This Row],[Fetal Sex (Male, Female or Unknown)]]="Female",Backend!$C$7,IF(Table1[[#This Row],[Fetal Sex (Male, Female or Unknown)]]="Unknown",Backend!$C$8,"Error"))),"")</f>
        <v/>
      </c>
      <c r="F6492" s="8" t="str">
        <f>IF(Table1[[#This Row],[Is Data Valid]]=TRUE,EXP(0.578+0.332*((Table1[[#This Row],[Gestation (days)]]+0.5)/7)-0.00354*((Table1[[#This Row],[Gestation (days)]]+0.5)/7)^2)*Table1[[#This Row],[BW40_3705]],"")</f>
        <v/>
      </c>
      <c r="G6492" s="2" t="str">
        <f>IF(Table1[[#This Row],[Is Data Valid]]=TRUE,((Table1[[#This Row],[Birthweight (grams)]]/Table1[[#This Row],[BW_GA]])-1)/(Backend!$B$4/100*Table1[[#This Row],[BW40_3705]]),"")</f>
        <v/>
      </c>
      <c r="H6492" s="7" t="str">
        <f>IF(Table1[[#This Row],[Is Data Valid]]=TRUE,((Table1[[#This Row],[Birthweight (grams)]]*0.9/Table1[[#This Row],[BW_GA]])-1)/(Backend!$B$4/100*Table1[[#This Row],[BW40_3705]]),"")</f>
        <v/>
      </c>
      <c r="I6492" s="7" t="str">
        <f>IF(Table1[[#This Row],[Is Data Valid]]=TRUE,((Table1[[#This Row],[Birthweight (grams)]]*1.1/Table1[[#This Row],[BW_GA]])-1)/(Backend!$B$4/100*Table1[[#This Row],[BW40_3705]]),"")</f>
        <v/>
      </c>
      <c r="J6492" s="7" t="str">
        <f>IF(Table1[[#This Row],[Is Data Valid]]=TRUE,_xlfn.NORM.S.DIST(Table1[[#This Row],[Birthweight Z-Score]],TRUE)*100,"")</f>
        <v/>
      </c>
      <c r="K6492" s="7" t="str">
        <f>IF(Table1[[#This Row],[Is Data Valid]]=TRUE,_xlfn.NORM.S.DIST(Table1[[#This Row],[Birthweight Z-Score (BW-10%)]],TRUE)*100,"")</f>
        <v/>
      </c>
      <c r="L6492" s="7" t="str">
        <f>IF(Table1[[#This Row],[Is Data Valid]]=TRUE,_xlfn.NORM.S.DIST(Table1[[#This Row],[Birthweight Z-Score (BW+10%)]],TRUE)*100,"")</f>
        <v/>
      </c>
    </row>
    <row r="6493" spans="1:12" x14ac:dyDescent="0.35">
      <c r="A6493" s="3"/>
      <c r="B6493" s="2"/>
      <c r="C6493" s="2"/>
      <c r="D6493" s="2" t="b">
        <f>IF(AND(NOT(ISBLANK(Table1[[#This Row],[Fetal Sex (Male, Female or Unknown)]])),ISNUMBER(Table1[[#This Row],[Birthweight (grams)]]),ISNUMBER(Table1[[#This Row],[Gestation (days)]])),TRUE,FALSE)</f>
        <v>0</v>
      </c>
      <c r="E6493" s="2" t="str">
        <f>IF(Table1[[#This Row],[Is Data Valid]]=TRUE,IF(Table1[[#This Row],[Fetal Sex (Male, Female or Unknown)]]="Male",Backend!$C$6,IF(Table1[[#This Row],[Fetal Sex (Male, Female or Unknown)]]="Female",Backend!$C$7,IF(Table1[[#This Row],[Fetal Sex (Male, Female or Unknown)]]="Unknown",Backend!$C$8,"Error"))),"")</f>
        <v/>
      </c>
      <c r="F6493" s="8" t="str">
        <f>IF(Table1[[#This Row],[Is Data Valid]]=TRUE,EXP(0.578+0.332*((Table1[[#This Row],[Gestation (days)]]+0.5)/7)-0.00354*((Table1[[#This Row],[Gestation (days)]]+0.5)/7)^2)*Table1[[#This Row],[BW40_3705]],"")</f>
        <v/>
      </c>
      <c r="G6493" s="2" t="str">
        <f>IF(Table1[[#This Row],[Is Data Valid]]=TRUE,((Table1[[#This Row],[Birthweight (grams)]]/Table1[[#This Row],[BW_GA]])-1)/(Backend!$B$4/100*Table1[[#This Row],[BW40_3705]]),"")</f>
        <v/>
      </c>
      <c r="H6493" s="7" t="str">
        <f>IF(Table1[[#This Row],[Is Data Valid]]=TRUE,((Table1[[#This Row],[Birthweight (grams)]]*0.9/Table1[[#This Row],[BW_GA]])-1)/(Backend!$B$4/100*Table1[[#This Row],[BW40_3705]]),"")</f>
        <v/>
      </c>
      <c r="I6493" s="7" t="str">
        <f>IF(Table1[[#This Row],[Is Data Valid]]=TRUE,((Table1[[#This Row],[Birthweight (grams)]]*1.1/Table1[[#This Row],[BW_GA]])-1)/(Backend!$B$4/100*Table1[[#This Row],[BW40_3705]]),"")</f>
        <v/>
      </c>
      <c r="J6493" s="7" t="str">
        <f>IF(Table1[[#This Row],[Is Data Valid]]=TRUE,_xlfn.NORM.S.DIST(Table1[[#This Row],[Birthweight Z-Score]],TRUE)*100,"")</f>
        <v/>
      </c>
      <c r="K6493" s="7" t="str">
        <f>IF(Table1[[#This Row],[Is Data Valid]]=TRUE,_xlfn.NORM.S.DIST(Table1[[#This Row],[Birthweight Z-Score (BW-10%)]],TRUE)*100,"")</f>
        <v/>
      </c>
      <c r="L6493" s="7" t="str">
        <f>IF(Table1[[#This Row],[Is Data Valid]]=TRUE,_xlfn.NORM.S.DIST(Table1[[#This Row],[Birthweight Z-Score (BW+10%)]],TRUE)*100,"")</f>
        <v/>
      </c>
    </row>
    <row r="6494" spans="1:12" x14ac:dyDescent="0.35">
      <c r="A6494" s="3"/>
      <c r="B6494" s="2"/>
      <c r="C6494" s="2"/>
      <c r="D6494" s="2" t="b">
        <f>IF(AND(NOT(ISBLANK(Table1[[#This Row],[Fetal Sex (Male, Female or Unknown)]])),ISNUMBER(Table1[[#This Row],[Birthweight (grams)]]),ISNUMBER(Table1[[#This Row],[Gestation (days)]])),TRUE,FALSE)</f>
        <v>0</v>
      </c>
      <c r="E6494" s="2" t="str">
        <f>IF(Table1[[#This Row],[Is Data Valid]]=TRUE,IF(Table1[[#This Row],[Fetal Sex (Male, Female or Unknown)]]="Male",Backend!$C$6,IF(Table1[[#This Row],[Fetal Sex (Male, Female or Unknown)]]="Female",Backend!$C$7,IF(Table1[[#This Row],[Fetal Sex (Male, Female or Unknown)]]="Unknown",Backend!$C$8,"Error"))),"")</f>
        <v/>
      </c>
      <c r="F6494" s="8" t="str">
        <f>IF(Table1[[#This Row],[Is Data Valid]]=TRUE,EXP(0.578+0.332*((Table1[[#This Row],[Gestation (days)]]+0.5)/7)-0.00354*((Table1[[#This Row],[Gestation (days)]]+0.5)/7)^2)*Table1[[#This Row],[BW40_3705]],"")</f>
        <v/>
      </c>
      <c r="G6494" s="2" t="str">
        <f>IF(Table1[[#This Row],[Is Data Valid]]=TRUE,((Table1[[#This Row],[Birthweight (grams)]]/Table1[[#This Row],[BW_GA]])-1)/(Backend!$B$4/100*Table1[[#This Row],[BW40_3705]]),"")</f>
        <v/>
      </c>
      <c r="H6494" s="7" t="str">
        <f>IF(Table1[[#This Row],[Is Data Valid]]=TRUE,((Table1[[#This Row],[Birthweight (grams)]]*0.9/Table1[[#This Row],[BW_GA]])-1)/(Backend!$B$4/100*Table1[[#This Row],[BW40_3705]]),"")</f>
        <v/>
      </c>
      <c r="I6494" s="7" t="str">
        <f>IF(Table1[[#This Row],[Is Data Valid]]=TRUE,((Table1[[#This Row],[Birthweight (grams)]]*1.1/Table1[[#This Row],[BW_GA]])-1)/(Backend!$B$4/100*Table1[[#This Row],[BW40_3705]]),"")</f>
        <v/>
      </c>
      <c r="J6494" s="7" t="str">
        <f>IF(Table1[[#This Row],[Is Data Valid]]=TRUE,_xlfn.NORM.S.DIST(Table1[[#This Row],[Birthweight Z-Score]],TRUE)*100,"")</f>
        <v/>
      </c>
      <c r="K6494" s="7" t="str">
        <f>IF(Table1[[#This Row],[Is Data Valid]]=TRUE,_xlfn.NORM.S.DIST(Table1[[#This Row],[Birthweight Z-Score (BW-10%)]],TRUE)*100,"")</f>
        <v/>
      </c>
      <c r="L6494" s="7" t="str">
        <f>IF(Table1[[#This Row],[Is Data Valid]]=TRUE,_xlfn.NORM.S.DIST(Table1[[#This Row],[Birthweight Z-Score (BW+10%)]],TRUE)*100,"")</f>
        <v/>
      </c>
    </row>
    <row r="6495" spans="1:12" x14ac:dyDescent="0.35">
      <c r="A6495" s="3"/>
      <c r="B6495" s="2"/>
      <c r="C6495" s="2"/>
      <c r="D6495" s="2" t="b">
        <f>IF(AND(NOT(ISBLANK(Table1[[#This Row],[Fetal Sex (Male, Female or Unknown)]])),ISNUMBER(Table1[[#This Row],[Birthweight (grams)]]),ISNUMBER(Table1[[#This Row],[Gestation (days)]])),TRUE,FALSE)</f>
        <v>0</v>
      </c>
      <c r="E6495" s="2" t="str">
        <f>IF(Table1[[#This Row],[Is Data Valid]]=TRUE,IF(Table1[[#This Row],[Fetal Sex (Male, Female or Unknown)]]="Male",Backend!$C$6,IF(Table1[[#This Row],[Fetal Sex (Male, Female or Unknown)]]="Female",Backend!$C$7,IF(Table1[[#This Row],[Fetal Sex (Male, Female or Unknown)]]="Unknown",Backend!$C$8,"Error"))),"")</f>
        <v/>
      </c>
      <c r="F6495" s="8" t="str">
        <f>IF(Table1[[#This Row],[Is Data Valid]]=TRUE,EXP(0.578+0.332*((Table1[[#This Row],[Gestation (days)]]+0.5)/7)-0.00354*((Table1[[#This Row],[Gestation (days)]]+0.5)/7)^2)*Table1[[#This Row],[BW40_3705]],"")</f>
        <v/>
      </c>
      <c r="G6495" s="2" t="str">
        <f>IF(Table1[[#This Row],[Is Data Valid]]=TRUE,((Table1[[#This Row],[Birthweight (grams)]]/Table1[[#This Row],[BW_GA]])-1)/(Backend!$B$4/100*Table1[[#This Row],[BW40_3705]]),"")</f>
        <v/>
      </c>
      <c r="H6495" s="7" t="str">
        <f>IF(Table1[[#This Row],[Is Data Valid]]=TRUE,((Table1[[#This Row],[Birthweight (grams)]]*0.9/Table1[[#This Row],[BW_GA]])-1)/(Backend!$B$4/100*Table1[[#This Row],[BW40_3705]]),"")</f>
        <v/>
      </c>
      <c r="I6495" s="7" t="str">
        <f>IF(Table1[[#This Row],[Is Data Valid]]=TRUE,((Table1[[#This Row],[Birthweight (grams)]]*1.1/Table1[[#This Row],[BW_GA]])-1)/(Backend!$B$4/100*Table1[[#This Row],[BW40_3705]]),"")</f>
        <v/>
      </c>
      <c r="J6495" s="7" t="str">
        <f>IF(Table1[[#This Row],[Is Data Valid]]=TRUE,_xlfn.NORM.S.DIST(Table1[[#This Row],[Birthweight Z-Score]],TRUE)*100,"")</f>
        <v/>
      </c>
      <c r="K6495" s="7" t="str">
        <f>IF(Table1[[#This Row],[Is Data Valid]]=TRUE,_xlfn.NORM.S.DIST(Table1[[#This Row],[Birthweight Z-Score (BW-10%)]],TRUE)*100,"")</f>
        <v/>
      </c>
      <c r="L6495" s="7" t="str">
        <f>IF(Table1[[#This Row],[Is Data Valid]]=TRUE,_xlfn.NORM.S.DIST(Table1[[#This Row],[Birthweight Z-Score (BW+10%)]],TRUE)*100,"")</f>
        <v/>
      </c>
    </row>
    <row r="6496" spans="1:12" x14ac:dyDescent="0.35">
      <c r="A6496" s="3"/>
      <c r="B6496" s="2"/>
      <c r="C6496" s="2"/>
      <c r="D6496" s="2" t="b">
        <f>IF(AND(NOT(ISBLANK(Table1[[#This Row],[Fetal Sex (Male, Female or Unknown)]])),ISNUMBER(Table1[[#This Row],[Birthweight (grams)]]),ISNUMBER(Table1[[#This Row],[Gestation (days)]])),TRUE,FALSE)</f>
        <v>0</v>
      </c>
      <c r="E6496" s="2" t="str">
        <f>IF(Table1[[#This Row],[Is Data Valid]]=TRUE,IF(Table1[[#This Row],[Fetal Sex (Male, Female or Unknown)]]="Male",Backend!$C$6,IF(Table1[[#This Row],[Fetal Sex (Male, Female or Unknown)]]="Female",Backend!$C$7,IF(Table1[[#This Row],[Fetal Sex (Male, Female or Unknown)]]="Unknown",Backend!$C$8,"Error"))),"")</f>
        <v/>
      </c>
      <c r="F6496" s="8" t="str">
        <f>IF(Table1[[#This Row],[Is Data Valid]]=TRUE,EXP(0.578+0.332*((Table1[[#This Row],[Gestation (days)]]+0.5)/7)-0.00354*((Table1[[#This Row],[Gestation (days)]]+0.5)/7)^2)*Table1[[#This Row],[BW40_3705]],"")</f>
        <v/>
      </c>
      <c r="G6496" s="2" t="str">
        <f>IF(Table1[[#This Row],[Is Data Valid]]=TRUE,((Table1[[#This Row],[Birthweight (grams)]]/Table1[[#This Row],[BW_GA]])-1)/(Backend!$B$4/100*Table1[[#This Row],[BW40_3705]]),"")</f>
        <v/>
      </c>
      <c r="H6496" s="7" t="str">
        <f>IF(Table1[[#This Row],[Is Data Valid]]=TRUE,((Table1[[#This Row],[Birthweight (grams)]]*0.9/Table1[[#This Row],[BW_GA]])-1)/(Backend!$B$4/100*Table1[[#This Row],[BW40_3705]]),"")</f>
        <v/>
      </c>
      <c r="I6496" s="7" t="str">
        <f>IF(Table1[[#This Row],[Is Data Valid]]=TRUE,((Table1[[#This Row],[Birthweight (grams)]]*1.1/Table1[[#This Row],[BW_GA]])-1)/(Backend!$B$4/100*Table1[[#This Row],[BW40_3705]]),"")</f>
        <v/>
      </c>
      <c r="J6496" s="7" t="str">
        <f>IF(Table1[[#This Row],[Is Data Valid]]=TRUE,_xlfn.NORM.S.DIST(Table1[[#This Row],[Birthweight Z-Score]],TRUE)*100,"")</f>
        <v/>
      </c>
      <c r="K6496" s="7" t="str">
        <f>IF(Table1[[#This Row],[Is Data Valid]]=TRUE,_xlfn.NORM.S.DIST(Table1[[#This Row],[Birthweight Z-Score (BW-10%)]],TRUE)*100,"")</f>
        <v/>
      </c>
      <c r="L6496" s="7" t="str">
        <f>IF(Table1[[#This Row],[Is Data Valid]]=TRUE,_xlfn.NORM.S.DIST(Table1[[#This Row],[Birthweight Z-Score (BW+10%)]],TRUE)*100,"")</f>
        <v/>
      </c>
    </row>
    <row r="6497" spans="1:12" x14ac:dyDescent="0.35">
      <c r="A6497" s="3"/>
      <c r="B6497" s="2"/>
      <c r="C6497" s="2"/>
      <c r="D6497" s="2" t="b">
        <f>IF(AND(NOT(ISBLANK(Table1[[#This Row],[Fetal Sex (Male, Female or Unknown)]])),ISNUMBER(Table1[[#This Row],[Birthweight (grams)]]),ISNUMBER(Table1[[#This Row],[Gestation (days)]])),TRUE,FALSE)</f>
        <v>0</v>
      </c>
      <c r="E6497" s="2" t="str">
        <f>IF(Table1[[#This Row],[Is Data Valid]]=TRUE,IF(Table1[[#This Row],[Fetal Sex (Male, Female or Unknown)]]="Male",Backend!$C$6,IF(Table1[[#This Row],[Fetal Sex (Male, Female or Unknown)]]="Female",Backend!$C$7,IF(Table1[[#This Row],[Fetal Sex (Male, Female or Unknown)]]="Unknown",Backend!$C$8,"Error"))),"")</f>
        <v/>
      </c>
      <c r="F6497" s="8" t="str">
        <f>IF(Table1[[#This Row],[Is Data Valid]]=TRUE,EXP(0.578+0.332*((Table1[[#This Row],[Gestation (days)]]+0.5)/7)-0.00354*((Table1[[#This Row],[Gestation (days)]]+0.5)/7)^2)*Table1[[#This Row],[BW40_3705]],"")</f>
        <v/>
      </c>
      <c r="G6497" s="2" t="str">
        <f>IF(Table1[[#This Row],[Is Data Valid]]=TRUE,((Table1[[#This Row],[Birthweight (grams)]]/Table1[[#This Row],[BW_GA]])-1)/(Backend!$B$4/100*Table1[[#This Row],[BW40_3705]]),"")</f>
        <v/>
      </c>
      <c r="H6497" s="7" t="str">
        <f>IF(Table1[[#This Row],[Is Data Valid]]=TRUE,((Table1[[#This Row],[Birthweight (grams)]]*0.9/Table1[[#This Row],[BW_GA]])-1)/(Backend!$B$4/100*Table1[[#This Row],[BW40_3705]]),"")</f>
        <v/>
      </c>
      <c r="I6497" s="7" t="str">
        <f>IF(Table1[[#This Row],[Is Data Valid]]=TRUE,((Table1[[#This Row],[Birthweight (grams)]]*1.1/Table1[[#This Row],[BW_GA]])-1)/(Backend!$B$4/100*Table1[[#This Row],[BW40_3705]]),"")</f>
        <v/>
      </c>
      <c r="J6497" s="7" t="str">
        <f>IF(Table1[[#This Row],[Is Data Valid]]=TRUE,_xlfn.NORM.S.DIST(Table1[[#This Row],[Birthweight Z-Score]],TRUE)*100,"")</f>
        <v/>
      </c>
      <c r="K6497" s="7" t="str">
        <f>IF(Table1[[#This Row],[Is Data Valid]]=TRUE,_xlfn.NORM.S.DIST(Table1[[#This Row],[Birthweight Z-Score (BW-10%)]],TRUE)*100,"")</f>
        <v/>
      </c>
      <c r="L6497" s="7" t="str">
        <f>IF(Table1[[#This Row],[Is Data Valid]]=TRUE,_xlfn.NORM.S.DIST(Table1[[#This Row],[Birthweight Z-Score (BW+10%)]],TRUE)*100,"")</f>
        <v/>
      </c>
    </row>
    <row r="6498" spans="1:12" x14ac:dyDescent="0.35">
      <c r="A6498" s="3"/>
      <c r="B6498" s="2"/>
      <c r="C6498" s="2"/>
      <c r="D6498" s="2" t="b">
        <f>IF(AND(NOT(ISBLANK(Table1[[#This Row],[Fetal Sex (Male, Female or Unknown)]])),ISNUMBER(Table1[[#This Row],[Birthweight (grams)]]),ISNUMBER(Table1[[#This Row],[Gestation (days)]])),TRUE,FALSE)</f>
        <v>0</v>
      </c>
      <c r="E6498" s="2" t="str">
        <f>IF(Table1[[#This Row],[Is Data Valid]]=TRUE,IF(Table1[[#This Row],[Fetal Sex (Male, Female or Unknown)]]="Male",Backend!$C$6,IF(Table1[[#This Row],[Fetal Sex (Male, Female or Unknown)]]="Female",Backend!$C$7,IF(Table1[[#This Row],[Fetal Sex (Male, Female or Unknown)]]="Unknown",Backend!$C$8,"Error"))),"")</f>
        <v/>
      </c>
      <c r="F6498" s="8" t="str">
        <f>IF(Table1[[#This Row],[Is Data Valid]]=TRUE,EXP(0.578+0.332*((Table1[[#This Row],[Gestation (days)]]+0.5)/7)-0.00354*((Table1[[#This Row],[Gestation (days)]]+0.5)/7)^2)*Table1[[#This Row],[BW40_3705]],"")</f>
        <v/>
      </c>
      <c r="G6498" s="2" t="str">
        <f>IF(Table1[[#This Row],[Is Data Valid]]=TRUE,((Table1[[#This Row],[Birthweight (grams)]]/Table1[[#This Row],[BW_GA]])-1)/(Backend!$B$4/100*Table1[[#This Row],[BW40_3705]]),"")</f>
        <v/>
      </c>
      <c r="H6498" s="7" t="str">
        <f>IF(Table1[[#This Row],[Is Data Valid]]=TRUE,((Table1[[#This Row],[Birthweight (grams)]]*0.9/Table1[[#This Row],[BW_GA]])-1)/(Backend!$B$4/100*Table1[[#This Row],[BW40_3705]]),"")</f>
        <v/>
      </c>
      <c r="I6498" s="7" t="str">
        <f>IF(Table1[[#This Row],[Is Data Valid]]=TRUE,((Table1[[#This Row],[Birthweight (grams)]]*1.1/Table1[[#This Row],[BW_GA]])-1)/(Backend!$B$4/100*Table1[[#This Row],[BW40_3705]]),"")</f>
        <v/>
      </c>
      <c r="J6498" s="7" t="str">
        <f>IF(Table1[[#This Row],[Is Data Valid]]=TRUE,_xlfn.NORM.S.DIST(Table1[[#This Row],[Birthweight Z-Score]],TRUE)*100,"")</f>
        <v/>
      </c>
      <c r="K6498" s="7" t="str">
        <f>IF(Table1[[#This Row],[Is Data Valid]]=TRUE,_xlfn.NORM.S.DIST(Table1[[#This Row],[Birthweight Z-Score (BW-10%)]],TRUE)*100,"")</f>
        <v/>
      </c>
      <c r="L6498" s="7" t="str">
        <f>IF(Table1[[#This Row],[Is Data Valid]]=TRUE,_xlfn.NORM.S.DIST(Table1[[#This Row],[Birthweight Z-Score (BW+10%)]],TRUE)*100,"")</f>
        <v/>
      </c>
    </row>
    <row r="6499" spans="1:12" x14ac:dyDescent="0.35">
      <c r="A6499" s="3"/>
      <c r="B6499" s="2"/>
      <c r="C6499" s="2"/>
      <c r="D6499" s="2" t="b">
        <f>IF(AND(NOT(ISBLANK(Table1[[#This Row],[Fetal Sex (Male, Female or Unknown)]])),ISNUMBER(Table1[[#This Row],[Birthweight (grams)]]),ISNUMBER(Table1[[#This Row],[Gestation (days)]])),TRUE,FALSE)</f>
        <v>0</v>
      </c>
      <c r="E6499" s="2" t="str">
        <f>IF(Table1[[#This Row],[Is Data Valid]]=TRUE,IF(Table1[[#This Row],[Fetal Sex (Male, Female or Unknown)]]="Male",Backend!$C$6,IF(Table1[[#This Row],[Fetal Sex (Male, Female or Unknown)]]="Female",Backend!$C$7,IF(Table1[[#This Row],[Fetal Sex (Male, Female or Unknown)]]="Unknown",Backend!$C$8,"Error"))),"")</f>
        <v/>
      </c>
      <c r="F6499" s="8" t="str">
        <f>IF(Table1[[#This Row],[Is Data Valid]]=TRUE,EXP(0.578+0.332*((Table1[[#This Row],[Gestation (days)]]+0.5)/7)-0.00354*((Table1[[#This Row],[Gestation (days)]]+0.5)/7)^2)*Table1[[#This Row],[BW40_3705]],"")</f>
        <v/>
      </c>
      <c r="G6499" s="2" t="str">
        <f>IF(Table1[[#This Row],[Is Data Valid]]=TRUE,((Table1[[#This Row],[Birthweight (grams)]]/Table1[[#This Row],[BW_GA]])-1)/(Backend!$B$4/100*Table1[[#This Row],[BW40_3705]]),"")</f>
        <v/>
      </c>
      <c r="H6499" s="7" t="str">
        <f>IF(Table1[[#This Row],[Is Data Valid]]=TRUE,((Table1[[#This Row],[Birthweight (grams)]]*0.9/Table1[[#This Row],[BW_GA]])-1)/(Backend!$B$4/100*Table1[[#This Row],[BW40_3705]]),"")</f>
        <v/>
      </c>
      <c r="I6499" s="7" t="str">
        <f>IF(Table1[[#This Row],[Is Data Valid]]=TRUE,((Table1[[#This Row],[Birthweight (grams)]]*1.1/Table1[[#This Row],[BW_GA]])-1)/(Backend!$B$4/100*Table1[[#This Row],[BW40_3705]]),"")</f>
        <v/>
      </c>
      <c r="J6499" s="7" t="str">
        <f>IF(Table1[[#This Row],[Is Data Valid]]=TRUE,_xlfn.NORM.S.DIST(Table1[[#This Row],[Birthweight Z-Score]],TRUE)*100,"")</f>
        <v/>
      </c>
      <c r="K6499" s="7" t="str">
        <f>IF(Table1[[#This Row],[Is Data Valid]]=TRUE,_xlfn.NORM.S.DIST(Table1[[#This Row],[Birthweight Z-Score (BW-10%)]],TRUE)*100,"")</f>
        <v/>
      </c>
      <c r="L6499" s="7" t="str">
        <f>IF(Table1[[#This Row],[Is Data Valid]]=TRUE,_xlfn.NORM.S.DIST(Table1[[#This Row],[Birthweight Z-Score (BW+10%)]],TRUE)*100,"")</f>
        <v/>
      </c>
    </row>
    <row r="6500" spans="1:12" x14ac:dyDescent="0.35">
      <c r="A6500" s="3"/>
      <c r="B6500" s="2"/>
      <c r="C6500" s="2"/>
      <c r="D6500" s="2" t="b">
        <f>IF(AND(NOT(ISBLANK(Table1[[#This Row],[Fetal Sex (Male, Female or Unknown)]])),ISNUMBER(Table1[[#This Row],[Birthweight (grams)]]),ISNUMBER(Table1[[#This Row],[Gestation (days)]])),TRUE,FALSE)</f>
        <v>0</v>
      </c>
      <c r="E6500" s="2" t="str">
        <f>IF(Table1[[#This Row],[Is Data Valid]]=TRUE,IF(Table1[[#This Row],[Fetal Sex (Male, Female or Unknown)]]="Male",Backend!$C$6,IF(Table1[[#This Row],[Fetal Sex (Male, Female or Unknown)]]="Female",Backend!$C$7,IF(Table1[[#This Row],[Fetal Sex (Male, Female or Unknown)]]="Unknown",Backend!$C$8,"Error"))),"")</f>
        <v/>
      </c>
      <c r="F6500" s="8" t="str">
        <f>IF(Table1[[#This Row],[Is Data Valid]]=TRUE,EXP(0.578+0.332*((Table1[[#This Row],[Gestation (days)]]+0.5)/7)-0.00354*((Table1[[#This Row],[Gestation (days)]]+0.5)/7)^2)*Table1[[#This Row],[BW40_3705]],"")</f>
        <v/>
      </c>
      <c r="G6500" s="2" t="str">
        <f>IF(Table1[[#This Row],[Is Data Valid]]=TRUE,((Table1[[#This Row],[Birthweight (grams)]]/Table1[[#This Row],[BW_GA]])-1)/(Backend!$B$4/100*Table1[[#This Row],[BW40_3705]]),"")</f>
        <v/>
      </c>
      <c r="H6500" s="7" t="str">
        <f>IF(Table1[[#This Row],[Is Data Valid]]=TRUE,((Table1[[#This Row],[Birthweight (grams)]]*0.9/Table1[[#This Row],[BW_GA]])-1)/(Backend!$B$4/100*Table1[[#This Row],[BW40_3705]]),"")</f>
        <v/>
      </c>
      <c r="I6500" s="7" t="str">
        <f>IF(Table1[[#This Row],[Is Data Valid]]=TRUE,((Table1[[#This Row],[Birthweight (grams)]]*1.1/Table1[[#This Row],[BW_GA]])-1)/(Backend!$B$4/100*Table1[[#This Row],[BW40_3705]]),"")</f>
        <v/>
      </c>
      <c r="J6500" s="7" t="str">
        <f>IF(Table1[[#This Row],[Is Data Valid]]=TRUE,_xlfn.NORM.S.DIST(Table1[[#This Row],[Birthweight Z-Score]],TRUE)*100,"")</f>
        <v/>
      </c>
      <c r="K6500" s="7" t="str">
        <f>IF(Table1[[#This Row],[Is Data Valid]]=TRUE,_xlfn.NORM.S.DIST(Table1[[#This Row],[Birthweight Z-Score (BW-10%)]],TRUE)*100,"")</f>
        <v/>
      </c>
      <c r="L6500" s="7" t="str">
        <f>IF(Table1[[#This Row],[Is Data Valid]]=TRUE,_xlfn.NORM.S.DIST(Table1[[#This Row],[Birthweight Z-Score (BW+10%)]],TRUE)*100,"")</f>
        <v/>
      </c>
    </row>
    <row r="6501" spans="1:12" x14ac:dyDescent="0.35">
      <c r="A6501" s="3"/>
      <c r="B6501" s="2"/>
      <c r="C6501" s="2"/>
      <c r="D6501" s="2" t="b">
        <f>IF(AND(NOT(ISBLANK(Table1[[#This Row],[Fetal Sex (Male, Female or Unknown)]])),ISNUMBER(Table1[[#This Row],[Birthweight (grams)]]),ISNUMBER(Table1[[#This Row],[Gestation (days)]])),TRUE,FALSE)</f>
        <v>0</v>
      </c>
      <c r="E6501" s="2" t="str">
        <f>IF(Table1[[#This Row],[Is Data Valid]]=TRUE,IF(Table1[[#This Row],[Fetal Sex (Male, Female or Unknown)]]="Male",Backend!$C$6,IF(Table1[[#This Row],[Fetal Sex (Male, Female or Unknown)]]="Female",Backend!$C$7,IF(Table1[[#This Row],[Fetal Sex (Male, Female or Unknown)]]="Unknown",Backend!$C$8,"Error"))),"")</f>
        <v/>
      </c>
      <c r="F6501" s="8" t="str">
        <f>IF(Table1[[#This Row],[Is Data Valid]]=TRUE,EXP(0.578+0.332*((Table1[[#This Row],[Gestation (days)]]+0.5)/7)-0.00354*((Table1[[#This Row],[Gestation (days)]]+0.5)/7)^2)*Table1[[#This Row],[BW40_3705]],"")</f>
        <v/>
      </c>
      <c r="G6501" s="2" t="str">
        <f>IF(Table1[[#This Row],[Is Data Valid]]=TRUE,((Table1[[#This Row],[Birthweight (grams)]]/Table1[[#This Row],[BW_GA]])-1)/(Backend!$B$4/100*Table1[[#This Row],[BW40_3705]]),"")</f>
        <v/>
      </c>
      <c r="H6501" s="7" t="str">
        <f>IF(Table1[[#This Row],[Is Data Valid]]=TRUE,((Table1[[#This Row],[Birthweight (grams)]]*0.9/Table1[[#This Row],[BW_GA]])-1)/(Backend!$B$4/100*Table1[[#This Row],[BW40_3705]]),"")</f>
        <v/>
      </c>
      <c r="I6501" s="7" t="str">
        <f>IF(Table1[[#This Row],[Is Data Valid]]=TRUE,((Table1[[#This Row],[Birthweight (grams)]]*1.1/Table1[[#This Row],[BW_GA]])-1)/(Backend!$B$4/100*Table1[[#This Row],[BW40_3705]]),"")</f>
        <v/>
      </c>
      <c r="J6501" s="7" t="str">
        <f>IF(Table1[[#This Row],[Is Data Valid]]=TRUE,_xlfn.NORM.S.DIST(Table1[[#This Row],[Birthweight Z-Score]],TRUE)*100,"")</f>
        <v/>
      </c>
      <c r="K6501" s="7" t="str">
        <f>IF(Table1[[#This Row],[Is Data Valid]]=TRUE,_xlfn.NORM.S.DIST(Table1[[#This Row],[Birthweight Z-Score (BW-10%)]],TRUE)*100,"")</f>
        <v/>
      </c>
      <c r="L6501" s="7" t="str">
        <f>IF(Table1[[#This Row],[Is Data Valid]]=TRUE,_xlfn.NORM.S.DIST(Table1[[#This Row],[Birthweight Z-Score (BW+10%)]],TRUE)*100,"")</f>
        <v/>
      </c>
    </row>
    <row r="6502" spans="1:12" x14ac:dyDescent="0.35">
      <c r="A6502" s="3"/>
      <c r="B6502" s="2"/>
      <c r="C6502" s="2"/>
      <c r="D6502" s="2" t="b">
        <f>IF(AND(NOT(ISBLANK(Table1[[#This Row],[Fetal Sex (Male, Female or Unknown)]])),ISNUMBER(Table1[[#This Row],[Birthweight (grams)]]),ISNUMBER(Table1[[#This Row],[Gestation (days)]])),TRUE,FALSE)</f>
        <v>0</v>
      </c>
      <c r="E6502" s="2" t="str">
        <f>IF(Table1[[#This Row],[Is Data Valid]]=TRUE,IF(Table1[[#This Row],[Fetal Sex (Male, Female or Unknown)]]="Male",Backend!$C$6,IF(Table1[[#This Row],[Fetal Sex (Male, Female or Unknown)]]="Female",Backend!$C$7,IF(Table1[[#This Row],[Fetal Sex (Male, Female or Unknown)]]="Unknown",Backend!$C$8,"Error"))),"")</f>
        <v/>
      </c>
      <c r="F6502" s="8" t="str">
        <f>IF(Table1[[#This Row],[Is Data Valid]]=TRUE,EXP(0.578+0.332*((Table1[[#This Row],[Gestation (days)]]+0.5)/7)-0.00354*((Table1[[#This Row],[Gestation (days)]]+0.5)/7)^2)*Table1[[#This Row],[BW40_3705]],"")</f>
        <v/>
      </c>
      <c r="G6502" s="2" t="str">
        <f>IF(Table1[[#This Row],[Is Data Valid]]=TRUE,((Table1[[#This Row],[Birthweight (grams)]]/Table1[[#This Row],[BW_GA]])-1)/(Backend!$B$4/100*Table1[[#This Row],[BW40_3705]]),"")</f>
        <v/>
      </c>
      <c r="H6502" s="7" t="str">
        <f>IF(Table1[[#This Row],[Is Data Valid]]=TRUE,((Table1[[#This Row],[Birthweight (grams)]]*0.9/Table1[[#This Row],[BW_GA]])-1)/(Backend!$B$4/100*Table1[[#This Row],[BW40_3705]]),"")</f>
        <v/>
      </c>
      <c r="I6502" s="7" t="str">
        <f>IF(Table1[[#This Row],[Is Data Valid]]=TRUE,((Table1[[#This Row],[Birthweight (grams)]]*1.1/Table1[[#This Row],[BW_GA]])-1)/(Backend!$B$4/100*Table1[[#This Row],[BW40_3705]]),"")</f>
        <v/>
      </c>
      <c r="J6502" s="7" t="str">
        <f>IF(Table1[[#This Row],[Is Data Valid]]=TRUE,_xlfn.NORM.S.DIST(Table1[[#This Row],[Birthweight Z-Score]],TRUE)*100,"")</f>
        <v/>
      </c>
      <c r="K6502" s="7" t="str">
        <f>IF(Table1[[#This Row],[Is Data Valid]]=TRUE,_xlfn.NORM.S.DIST(Table1[[#This Row],[Birthweight Z-Score (BW-10%)]],TRUE)*100,"")</f>
        <v/>
      </c>
      <c r="L6502" s="7" t="str">
        <f>IF(Table1[[#This Row],[Is Data Valid]]=TRUE,_xlfn.NORM.S.DIST(Table1[[#This Row],[Birthweight Z-Score (BW+10%)]],TRUE)*100,"")</f>
        <v/>
      </c>
    </row>
    <row r="6503" spans="1:12" x14ac:dyDescent="0.35">
      <c r="A6503" s="3"/>
      <c r="B6503" s="2"/>
      <c r="C6503" s="2"/>
      <c r="D6503" s="2" t="b">
        <f>IF(AND(NOT(ISBLANK(Table1[[#This Row],[Fetal Sex (Male, Female or Unknown)]])),ISNUMBER(Table1[[#This Row],[Birthweight (grams)]]),ISNUMBER(Table1[[#This Row],[Gestation (days)]])),TRUE,FALSE)</f>
        <v>0</v>
      </c>
      <c r="E6503" s="2" t="str">
        <f>IF(Table1[[#This Row],[Is Data Valid]]=TRUE,IF(Table1[[#This Row],[Fetal Sex (Male, Female or Unknown)]]="Male",Backend!$C$6,IF(Table1[[#This Row],[Fetal Sex (Male, Female or Unknown)]]="Female",Backend!$C$7,IF(Table1[[#This Row],[Fetal Sex (Male, Female or Unknown)]]="Unknown",Backend!$C$8,"Error"))),"")</f>
        <v/>
      </c>
      <c r="F6503" s="8" t="str">
        <f>IF(Table1[[#This Row],[Is Data Valid]]=TRUE,EXP(0.578+0.332*((Table1[[#This Row],[Gestation (days)]]+0.5)/7)-0.00354*((Table1[[#This Row],[Gestation (days)]]+0.5)/7)^2)*Table1[[#This Row],[BW40_3705]],"")</f>
        <v/>
      </c>
      <c r="G6503" s="2" t="str">
        <f>IF(Table1[[#This Row],[Is Data Valid]]=TRUE,((Table1[[#This Row],[Birthweight (grams)]]/Table1[[#This Row],[BW_GA]])-1)/(Backend!$B$4/100*Table1[[#This Row],[BW40_3705]]),"")</f>
        <v/>
      </c>
      <c r="H6503" s="7" t="str">
        <f>IF(Table1[[#This Row],[Is Data Valid]]=TRUE,((Table1[[#This Row],[Birthweight (grams)]]*0.9/Table1[[#This Row],[BW_GA]])-1)/(Backend!$B$4/100*Table1[[#This Row],[BW40_3705]]),"")</f>
        <v/>
      </c>
      <c r="I6503" s="7" t="str">
        <f>IF(Table1[[#This Row],[Is Data Valid]]=TRUE,((Table1[[#This Row],[Birthweight (grams)]]*1.1/Table1[[#This Row],[BW_GA]])-1)/(Backend!$B$4/100*Table1[[#This Row],[BW40_3705]]),"")</f>
        <v/>
      </c>
      <c r="J6503" s="7" t="str">
        <f>IF(Table1[[#This Row],[Is Data Valid]]=TRUE,_xlfn.NORM.S.DIST(Table1[[#This Row],[Birthweight Z-Score]],TRUE)*100,"")</f>
        <v/>
      </c>
      <c r="K6503" s="7" t="str">
        <f>IF(Table1[[#This Row],[Is Data Valid]]=TRUE,_xlfn.NORM.S.DIST(Table1[[#This Row],[Birthweight Z-Score (BW-10%)]],TRUE)*100,"")</f>
        <v/>
      </c>
      <c r="L6503" s="7" t="str">
        <f>IF(Table1[[#This Row],[Is Data Valid]]=TRUE,_xlfn.NORM.S.DIST(Table1[[#This Row],[Birthweight Z-Score (BW+10%)]],TRUE)*100,"")</f>
        <v/>
      </c>
    </row>
    <row r="6504" spans="1:12" x14ac:dyDescent="0.35">
      <c r="A6504" s="3"/>
      <c r="B6504" s="2"/>
      <c r="C6504" s="2"/>
      <c r="D6504" s="2" t="b">
        <f>IF(AND(NOT(ISBLANK(Table1[[#This Row],[Fetal Sex (Male, Female or Unknown)]])),ISNUMBER(Table1[[#This Row],[Birthweight (grams)]]),ISNUMBER(Table1[[#This Row],[Gestation (days)]])),TRUE,FALSE)</f>
        <v>0</v>
      </c>
      <c r="E6504" s="2" t="str">
        <f>IF(Table1[[#This Row],[Is Data Valid]]=TRUE,IF(Table1[[#This Row],[Fetal Sex (Male, Female or Unknown)]]="Male",Backend!$C$6,IF(Table1[[#This Row],[Fetal Sex (Male, Female or Unknown)]]="Female",Backend!$C$7,IF(Table1[[#This Row],[Fetal Sex (Male, Female or Unknown)]]="Unknown",Backend!$C$8,"Error"))),"")</f>
        <v/>
      </c>
      <c r="F6504" s="8" t="str">
        <f>IF(Table1[[#This Row],[Is Data Valid]]=TRUE,EXP(0.578+0.332*((Table1[[#This Row],[Gestation (days)]]+0.5)/7)-0.00354*((Table1[[#This Row],[Gestation (days)]]+0.5)/7)^2)*Table1[[#This Row],[BW40_3705]],"")</f>
        <v/>
      </c>
      <c r="G6504" s="2" t="str">
        <f>IF(Table1[[#This Row],[Is Data Valid]]=TRUE,((Table1[[#This Row],[Birthweight (grams)]]/Table1[[#This Row],[BW_GA]])-1)/(Backend!$B$4/100*Table1[[#This Row],[BW40_3705]]),"")</f>
        <v/>
      </c>
      <c r="H6504" s="7" t="str">
        <f>IF(Table1[[#This Row],[Is Data Valid]]=TRUE,((Table1[[#This Row],[Birthweight (grams)]]*0.9/Table1[[#This Row],[BW_GA]])-1)/(Backend!$B$4/100*Table1[[#This Row],[BW40_3705]]),"")</f>
        <v/>
      </c>
      <c r="I6504" s="7" t="str">
        <f>IF(Table1[[#This Row],[Is Data Valid]]=TRUE,((Table1[[#This Row],[Birthweight (grams)]]*1.1/Table1[[#This Row],[BW_GA]])-1)/(Backend!$B$4/100*Table1[[#This Row],[BW40_3705]]),"")</f>
        <v/>
      </c>
      <c r="J6504" s="7" t="str">
        <f>IF(Table1[[#This Row],[Is Data Valid]]=TRUE,_xlfn.NORM.S.DIST(Table1[[#This Row],[Birthweight Z-Score]],TRUE)*100,"")</f>
        <v/>
      </c>
      <c r="K6504" s="7" t="str">
        <f>IF(Table1[[#This Row],[Is Data Valid]]=TRUE,_xlfn.NORM.S.DIST(Table1[[#This Row],[Birthweight Z-Score (BW-10%)]],TRUE)*100,"")</f>
        <v/>
      </c>
      <c r="L6504" s="7" t="str">
        <f>IF(Table1[[#This Row],[Is Data Valid]]=TRUE,_xlfn.NORM.S.DIST(Table1[[#This Row],[Birthweight Z-Score (BW+10%)]],TRUE)*100,"")</f>
        <v/>
      </c>
    </row>
    <row r="6505" spans="1:12" x14ac:dyDescent="0.35">
      <c r="A6505" s="3"/>
      <c r="B6505" s="2"/>
      <c r="C6505" s="2"/>
      <c r="D6505" s="2" t="b">
        <f>IF(AND(NOT(ISBLANK(Table1[[#This Row],[Fetal Sex (Male, Female or Unknown)]])),ISNUMBER(Table1[[#This Row],[Birthweight (grams)]]),ISNUMBER(Table1[[#This Row],[Gestation (days)]])),TRUE,FALSE)</f>
        <v>0</v>
      </c>
      <c r="E6505" s="2" t="str">
        <f>IF(Table1[[#This Row],[Is Data Valid]]=TRUE,IF(Table1[[#This Row],[Fetal Sex (Male, Female or Unknown)]]="Male",Backend!$C$6,IF(Table1[[#This Row],[Fetal Sex (Male, Female or Unknown)]]="Female",Backend!$C$7,IF(Table1[[#This Row],[Fetal Sex (Male, Female or Unknown)]]="Unknown",Backend!$C$8,"Error"))),"")</f>
        <v/>
      </c>
      <c r="F6505" s="8" t="str">
        <f>IF(Table1[[#This Row],[Is Data Valid]]=TRUE,EXP(0.578+0.332*((Table1[[#This Row],[Gestation (days)]]+0.5)/7)-0.00354*((Table1[[#This Row],[Gestation (days)]]+0.5)/7)^2)*Table1[[#This Row],[BW40_3705]],"")</f>
        <v/>
      </c>
      <c r="G6505" s="2" t="str">
        <f>IF(Table1[[#This Row],[Is Data Valid]]=TRUE,((Table1[[#This Row],[Birthweight (grams)]]/Table1[[#This Row],[BW_GA]])-1)/(Backend!$B$4/100*Table1[[#This Row],[BW40_3705]]),"")</f>
        <v/>
      </c>
      <c r="H6505" s="7" t="str">
        <f>IF(Table1[[#This Row],[Is Data Valid]]=TRUE,((Table1[[#This Row],[Birthweight (grams)]]*0.9/Table1[[#This Row],[BW_GA]])-1)/(Backend!$B$4/100*Table1[[#This Row],[BW40_3705]]),"")</f>
        <v/>
      </c>
      <c r="I6505" s="7" t="str">
        <f>IF(Table1[[#This Row],[Is Data Valid]]=TRUE,((Table1[[#This Row],[Birthweight (grams)]]*1.1/Table1[[#This Row],[BW_GA]])-1)/(Backend!$B$4/100*Table1[[#This Row],[BW40_3705]]),"")</f>
        <v/>
      </c>
      <c r="J6505" s="7" t="str">
        <f>IF(Table1[[#This Row],[Is Data Valid]]=TRUE,_xlfn.NORM.S.DIST(Table1[[#This Row],[Birthweight Z-Score]],TRUE)*100,"")</f>
        <v/>
      </c>
      <c r="K6505" s="7" t="str">
        <f>IF(Table1[[#This Row],[Is Data Valid]]=TRUE,_xlfn.NORM.S.DIST(Table1[[#This Row],[Birthweight Z-Score (BW-10%)]],TRUE)*100,"")</f>
        <v/>
      </c>
      <c r="L6505" s="7" t="str">
        <f>IF(Table1[[#This Row],[Is Data Valid]]=TRUE,_xlfn.NORM.S.DIST(Table1[[#This Row],[Birthweight Z-Score (BW+10%)]],TRUE)*100,"")</f>
        <v/>
      </c>
    </row>
    <row r="6506" spans="1:12" x14ac:dyDescent="0.35">
      <c r="A6506" s="3"/>
      <c r="B6506" s="2"/>
      <c r="C6506" s="2"/>
      <c r="D6506" s="2" t="b">
        <f>IF(AND(NOT(ISBLANK(Table1[[#This Row],[Fetal Sex (Male, Female or Unknown)]])),ISNUMBER(Table1[[#This Row],[Birthweight (grams)]]),ISNUMBER(Table1[[#This Row],[Gestation (days)]])),TRUE,FALSE)</f>
        <v>0</v>
      </c>
      <c r="E6506" s="2" t="str">
        <f>IF(Table1[[#This Row],[Is Data Valid]]=TRUE,IF(Table1[[#This Row],[Fetal Sex (Male, Female or Unknown)]]="Male",Backend!$C$6,IF(Table1[[#This Row],[Fetal Sex (Male, Female or Unknown)]]="Female",Backend!$C$7,IF(Table1[[#This Row],[Fetal Sex (Male, Female or Unknown)]]="Unknown",Backend!$C$8,"Error"))),"")</f>
        <v/>
      </c>
      <c r="F6506" s="8" t="str">
        <f>IF(Table1[[#This Row],[Is Data Valid]]=TRUE,EXP(0.578+0.332*((Table1[[#This Row],[Gestation (days)]]+0.5)/7)-0.00354*((Table1[[#This Row],[Gestation (days)]]+0.5)/7)^2)*Table1[[#This Row],[BW40_3705]],"")</f>
        <v/>
      </c>
      <c r="G6506" s="2" t="str">
        <f>IF(Table1[[#This Row],[Is Data Valid]]=TRUE,((Table1[[#This Row],[Birthweight (grams)]]/Table1[[#This Row],[BW_GA]])-1)/(Backend!$B$4/100*Table1[[#This Row],[BW40_3705]]),"")</f>
        <v/>
      </c>
      <c r="H6506" s="7" t="str">
        <f>IF(Table1[[#This Row],[Is Data Valid]]=TRUE,((Table1[[#This Row],[Birthweight (grams)]]*0.9/Table1[[#This Row],[BW_GA]])-1)/(Backend!$B$4/100*Table1[[#This Row],[BW40_3705]]),"")</f>
        <v/>
      </c>
      <c r="I6506" s="7" t="str">
        <f>IF(Table1[[#This Row],[Is Data Valid]]=TRUE,((Table1[[#This Row],[Birthweight (grams)]]*1.1/Table1[[#This Row],[BW_GA]])-1)/(Backend!$B$4/100*Table1[[#This Row],[BW40_3705]]),"")</f>
        <v/>
      </c>
      <c r="J6506" s="7" t="str">
        <f>IF(Table1[[#This Row],[Is Data Valid]]=TRUE,_xlfn.NORM.S.DIST(Table1[[#This Row],[Birthweight Z-Score]],TRUE)*100,"")</f>
        <v/>
      </c>
      <c r="K6506" s="7" t="str">
        <f>IF(Table1[[#This Row],[Is Data Valid]]=TRUE,_xlfn.NORM.S.DIST(Table1[[#This Row],[Birthweight Z-Score (BW-10%)]],TRUE)*100,"")</f>
        <v/>
      </c>
      <c r="L6506" s="7" t="str">
        <f>IF(Table1[[#This Row],[Is Data Valid]]=TRUE,_xlfn.NORM.S.DIST(Table1[[#This Row],[Birthweight Z-Score (BW+10%)]],TRUE)*100,"")</f>
        <v/>
      </c>
    </row>
    <row r="6507" spans="1:12" x14ac:dyDescent="0.35">
      <c r="A6507" s="3"/>
      <c r="B6507" s="2"/>
      <c r="C6507" s="2"/>
      <c r="D6507" s="2" t="b">
        <f>IF(AND(NOT(ISBLANK(Table1[[#This Row],[Fetal Sex (Male, Female or Unknown)]])),ISNUMBER(Table1[[#This Row],[Birthweight (grams)]]),ISNUMBER(Table1[[#This Row],[Gestation (days)]])),TRUE,FALSE)</f>
        <v>0</v>
      </c>
      <c r="E6507" s="2" t="str">
        <f>IF(Table1[[#This Row],[Is Data Valid]]=TRUE,IF(Table1[[#This Row],[Fetal Sex (Male, Female or Unknown)]]="Male",Backend!$C$6,IF(Table1[[#This Row],[Fetal Sex (Male, Female or Unknown)]]="Female",Backend!$C$7,IF(Table1[[#This Row],[Fetal Sex (Male, Female or Unknown)]]="Unknown",Backend!$C$8,"Error"))),"")</f>
        <v/>
      </c>
      <c r="F6507" s="8" t="str">
        <f>IF(Table1[[#This Row],[Is Data Valid]]=TRUE,EXP(0.578+0.332*((Table1[[#This Row],[Gestation (days)]]+0.5)/7)-0.00354*((Table1[[#This Row],[Gestation (days)]]+0.5)/7)^2)*Table1[[#This Row],[BW40_3705]],"")</f>
        <v/>
      </c>
      <c r="G6507" s="2" t="str">
        <f>IF(Table1[[#This Row],[Is Data Valid]]=TRUE,((Table1[[#This Row],[Birthweight (grams)]]/Table1[[#This Row],[BW_GA]])-1)/(Backend!$B$4/100*Table1[[#This Row],[BW40_3705]]),"")</f>
        <v/>
      </c>
      <c r="H6507" s="7" t="str">
        <f>IF(Table1[[#This Row],[Is Data Valid]]=TRUE,((Table1[[#This Row],[Birthweight (grams)]]*0.9/Table1[[#This Row],[BW_GA]])-1)/(Backend!$B$4/100*Table1[[#This Row],[BW40_3705]]),"")</f>
        <v/>
      </c>
      <c r="I6507" s="7" t="str">
        <f>IF(Table1[[#This Row],[Is Data Valid]]=TRUE,((Table1[[#This Row],[Birthweight (grams)]]*1.1/Table1[[#This Row],[BW_GA]])-1)/(Backend!$B$4/100*Table1[[#This Row],[BW40_3705]]),"")</f>
        <v/>
      </c>
      <c r="J6507" s="7" t="str">
        <f>IF(Table1[[#This Row],[Is Data Valid]]=TRUE,_xlfn.NORM.S.DIST(Table1[[#This Row],[Birthweight Z-Score]],TRUE)*100,"")</f>
        <v/>
      </c>
      <c r="K6507" s="7" t="str">
        <f>IF(Table1[[#This Row],[Is Data Valid]]=TRUE,_xlfn.NORM.S.DIST(Table1[[#This Row],[Birthweight Z-Score (BW-10%)]],TRUE)*100,"")</f>
        <v/>
      </c>
      <c r="L6507" s="7" t="str">
        <f>IF(Table1[[#This Row],[Is Data Valid]]=TRUE,_xlfn.NORM.S.DIST(Table1[[#This Row],[Birthweight Z-Score (BW+10%)]],TRUE)*100,"")</f>
        <v/>
      </c>
    </row>
    <row r="6508" spans="1:12" x14ac:dyDescent="0.35">
      <c r="A6508" s="3"/>
      <c r="B6508" s="2"/>
      <c r="C6508" s="2"/>
      <c r="D6508" s="2" t="b">
        <f>IF(AND(NOT(ISBLANK(Table1[[#This Row],[Fetal Sex (Male, Female or Unknown)]])),ISNUMBER(Table1[[#This Row],[Birthweight (grams)]]),ISNUMBER(Table1[[#This Row],[Gestation (days)]])),TRUE,FALSE)</f>
        <v>0</v>
      </c>
      <c r="E6508" s="2" t="str">
        <f>IF(Table1[[#This Row],[Is Data Valid]]=TRUE,IF(Table1[[#This Row],[Fetal Sex (Male, Female or Unknown)]]="Male",Backend!$C$6,IF(Table1[[#This Row],[Fetal Sex (Male, Female or Unknown)]]="Female",Backend!$C$7,IF(Table1[[#This Row],[Fetal Sex (Male, Female or Unknown)]]="Unknown",Backend!$C$8,"Error"))),"")</f>
        <v/>
      </c>
      <c r="F6508" s="8" t="str">
        <f>IF(Table1[[#This Row],[Is Data Valid]]=TRUE,EXP(0.578+0.332*((Table1[[#This Row],[Gestation (days)]]+0.5)/7)-0.00354*((Table1[[#This Row],[Gestation (days)]]+0.5)/7)^2)*Table1[[#This Row],[BW40_3705]],"")</f>
        <v/>
      </c>
      <c r="G6508" s="2" t="str">
        <f>IF(Table1[[#This Row],[Is Data Valid]]=TRUE,((Table1[[#This Row],[Birthweight (grams)]]/Table1[[#This Row],[BW_GA]])-1)/(Backend!$B$4/100*Table1[[#This Row],[BW40_3705]]),"")</f>
        <v/>
      </c>
      <c r="H6508" s="7" t="str">
        <f>IF(Table1[[#This Row],[Is Data Valid]]=TRUE,((Table1[[#This Row],[Birthweight (grams)]]*0.9/Table1[[#This Row],[BW_GA]])-1)/(Backend!$B$4/100*Table1[[#This Row],[BW40_3705]]),"")</f>
        <v/>
      </c>
      <c r="I6508" s="7" t="str">
        <f>IF(Table1[[#This Row],[Is Data Valid]]=TRUE,((Table1[[#This Row],[Birthweight (grams)]]*1.1/Table1[[#This Row],[BW_GA]])-1)/(Backend!$B$4/100*Table1[[#This Row],[BW40_3705]]),"")</f>
        <v/>
      </c>
      <c r="J6508" s="7" t="str">
        <f>IF(Table1[[#This Row],[Is Data Valid]]=TRUE,_xlfn.NORM.S.DIST(Table1[[#This Row],[Birthweight Z-Score]],TRUE)*100,"")</f>
        <v/>
      </c>
      <c r="K6508" s="7" t="str">
        <f>IF(Table1[[#This Row],[Is Data Valid]]=TRUE,_xlfn.NORM.S.DIST(Table1[[#This Row],[Birthweight Z-Score (BW-10%)]],TRUE)*100,"")</f>
        <v/>
      </c>
      <c r="L6508" s="7" t="str">
        <f>IF(Table1[[#This Row],[Is Data Valid]]=TRUE,_xlfn.NORM.S.DIST(Table1[[#This Row],[Birthweight Z-Score (BW+10%)]],TRUE)*100,"")</f>
        <v/>
      </c>
    </row>
    <row r="6509" spans="1:12" x14ac:dyDescent="0.35">
      <c r="A6509" s="3"/>
      <c r="B6509" s="2"/>
      <c r="C6509" s="2"/>
      <c r="D6509" s="2" t="b">
        <f>IF(AND(NOT(ISBLANK(Table1[[#This Row],[Fetal Sex (Male, Female or Unknown)]])),ISNUMBER(Table1[[#This Row],[Birthweight (grams)]]),ISNUMBER(Table1[[#This Row],[Gestation (days)]])),TRUE,FALSE)</f>
        <v>0</v>
      </c>
      <c r="E6509" s="2" t="str">
        <f>IF(Table1[[#This Row],[Is Data Valid]]=TRUE,IF(Table1[[#This Row],[Fetal Sex (Male, Female or Unknown)]]="Male",Backend!$C$6,IF(Table1[[#This Row],[Fetal Sex (Male, Female or Unknown)]]="Female",Backend!$C$7,IF(Table1[[#This Row],[Fetal Sex (Male, Female or Unknown)]]="Unknown",Backend!$C$8,"Error"))),"")</f>
        <v/>
      </c>
      <c r="F6509" s="8" t="str">
        <f>IF(Table1[[#This Row],[Is Data Valid]]=TRUE,EXP(0.578+0.332*((Table1[[#This Row],[Gestation (days)]]+0.5)/7)-0.00354*((Table1[[#This Row],[Gestation (days)]]+0.5)/7)^2)*Table1[[#This Row],[BW40_3705]],"")</f>
        <v/>
      </c>
      <c r="G6509" s="2" t="str">
        <f>IF(Table1[[#This Row],[Is Data Valid]]=TRUE,((Table1[[#This Row],[Birthweight (grams)]]/Table1[[#This Row],[BW_GA]])-1)/(Backend!$B$4/100*Table1[[#This Row],[BW40_3705]]),"")</f>
        <v/>
      </c>
      <c r="H6509" s="7" t="str">
        <f>IF(Table1[[#This Row],[Is Data Valid]]=TRUE,((Table1[[#This Row],[Birthweight (grams)]]*0.9/Table1[[#This Row],[BW_GA]])-1)/(Backend!$B$4/100*Table1[[#This Row],[BW40_3705]]),"")</f>
        <v/>
      </c>
      <c r="I6509" s="7" t="str">
        <f>IF(Table1[[#This Row],[Is Data Valid]]=TRUE,((Table1[[#This Row],[Birthweight (grams)]]*1.1/Table1[[#This Row],[BW_GA]])-1)/(Backend!$B$4/100*Table1[[#This Row],[BW40_3705]]),"")</f>
        <v/>
      </c>
      <c r="J6509" s="7" t="str">
        <f>IF(Table1[[#This Row],[Is Data Valid]]=TRUE,_xlfn.NORM.S.DIST(Table1[[#This Row],[Birthweight Z-Score]],TRUE)*100,"")</f>
        <v/>
      </c>
      <c r="K6509" s="7" t="str">
        <f>IF(Table1[[#This Row],[Is Data Valid]]=TRUE,_xlfn.NORM.S.DIST(Table1[[#This Row],[Birthweight Z-Score (BW-10%)]],TRUE)*100,"")</f>
        <v/>
      </c>
      <c r="L6509" s="7" t="str">
        <f>IF(Table1[[#This Row],[Is Data Valid]]=TRUE,_xlfn.NORM.S.DIST(Table1[[#This Row],[Birthweight Z-Score (BW+10%)]],TRUE)*100,"")</f>
        <v/>
      </c>
    </row>
    <row r="6510" spans="1:12" x14ac:dyDescent="0.35">
      <c r="A6510" s="3"/>
      <c r="B6510" s="2"/>
      <c r="C6510" s="2"/>
      <c r="D6510" s="2" t="b">
        <f>IF(AND(NOT(ISBLANK(Table1[[#This Row],[Fetal Sex (Male, Female or Unknown)]])),ISNUMBER(Table1[[#This Row],[Birthweight (grams)]]),ISNUMBER(Table1[[#This Row],[Gestation (days)]])),TRUE,FALSE)</f>
        <v>0</v>
      </c>
      <c r="E6510" s="2" t="str">
        <f>IF(Table1[[#This Row],[Is Data Valid]]=TRUE,IF(Table1[[#This Row],[Fetal Sex (Male, Female or Unknown)]]="Male",Backend!$C$6,IF(Table1[[#This Row],[Fetal Sex (Male, Female or Unknown)]]="Female",Backend!$C$7,IF(Table1[[#This Row],[Fetal Sex (Male, Female or Unknown)]]="Unknown",Backend!$C$8,"Error"))),"")</f>
        <v/>
      </c>
      <c r="F6510" s="8" t="str">
        <f>IF(Table1[[#This Row],[Is Data Valid]]=TRUE,EXP(0.578+0.332*((Table1[[#This Row],[Gestation (days)]]+0.5)/7)-0.00354*((Table1[[#This Row],[Gestation (days)]]+0.5)/7)^2)*Table1[[#This Row],[BW40_3705]],"")</f>
        <v/>
      </c>
      <c r="G6510" s="2" t="str">
        <f>IF(Table1[[#This Row],[Is Data Valid]]=TRUE,((Table1[[#This Row],[Birthweight (grams)]]/Table1[[#This Row],[BW_GA]])-1)/(Backend!$B$4/100*Table1[[#This Row],[BW40_3705]]),"")</f>
        <v/>
      </c>
      <c r="H6510" s="7" t="str">
        <f>IF(Table1[[#This Row],[Is Data Valid]]=TRUE,((Table1[[#This Row],[Birthweight (grams)]]*0.9/Table1[[#This Row],[BW_GA]])-1)/(Backend!$B$4/100*Table1[[#This Row],[BW40_3705]]),"")</f>
        <v/>
      </c>
      <c r="I6510" s="7" t="str">
        <f>IF(Table1[[#This Row],[Is Data Valid]]=TRUE,((Table1[[#This Row],[Birthweight (grams)]]*1.1/Table1[[#This Row],[BW_GA]])-1)/(Backend!$B$4/100*Table1[[#This Row],[BW40_3705]]),"")</f>
        <v/>
      </c>
      <c r="J6510" s="7" t="str">
        <f>IF(Table1[[#This Row],[Is Data Valid]]=TRUE,_xlfn.NORM.S.DIST(Table1[[#This Row],[Birthweight Z-Score]],TRUE)*100,"")</f>
        <v/>
      </c>
      <c r="K6510" s="7" t="str">
        <f>IF(Table1[[#This Row],[Is Data Valid]]=TRUE,_xlfn.NORM.S.DIST(Table1[[#This Row],[Birthweight Z-Score (BW-10%)]],TRUE)*100,"")</f>
        <v/>
      </c>
      <c r="L6510" s="7" t="str">
        <f>IF(Table1[[#This Row],[Is Data Valid]]=TRUE,_xlfn.NORM.S.DIST(Table1[[#This Row],[Birthweight Z-Score (BW+10%)]],TRUE)*100,"")</f>
        <v/>
      </c>
    </row>
    <row r="6511" spans="1:12" x14ac:dyDescent="0.35">
      <c r="A6511" s="3"/>
      <c r="B6511" s="2"/>
      <c r="C6511" s="2"/>
      <c r="D6511" s="2" t="b">
        <f>IF(AND(NOT(ISBLANK(Table1[[#This Row],[Fetal Sex (Male, Female or Unknown)]])),ISNUMBER(Table1[[#This Row],[Birthweight (grams)]]),ISNUMBER(Table1[[#This Row],[Gestation (days)]])),TRUE,FALSE)</f>
        <v>0</v>
      </c>
      <c r="E6511" s="2" t="str">
        <f>IF(Table1[[#This Row],[Is Data Valid]]=TRUE,IF(Table1[[#This Row],[Fetal Sex (Male, Female or Unknown)]]="Male",Backend!$C$6,IF(Table1[[#This Row],[Fetal Sex (Male, Female or Unknown)]]="Female",Backend!$C$7,IF(Table1[[#This Row],[Fetal Sex (Male, Female or Unknown)]]="Unknown",Backend!$C$8,"Error"))),"")</f>
        <v/>
      </c>
      <c r="F6511" s="8" t="str">
        <f>IF(Table1[[#This Row],[Is Data Valid]]=TRUE,EXP(0.578+0.332*((Table1[[#This Row],[Gestation (days)]]+0.5)/7)-0.00354*((Table1[[#This Row],[Gestation (days)]]+0.5)/7)^2)*Table1[[#This Row],[BW40_3705]],"")</f>
        <v/>
      </c>
      <c r="G6511" s="2" t="str">
        <f>IF(Table1[[#This Row],[Is Data Valid]]=TRUE,((Table1[[#This Row],[Birthweight (grams)]]/Table1[[#This Row],[BW_GA]])-1)/(Backend!$B$4/100*Table1[[#This Row],[BW40_3705]]),"")</f>
        <v/>
      </c>
      <c r="H6511" s="7" t="str">
        <f>IF(Table1[[#This Row],[Is Data Valid]]=TRUE,((Table1[[#This Row],[Birthweight (grams)]]*0.9/Table1[[#This Row],[BW_GA]])-1)/(Backend!$B$4/100*Table1[[#This Row],[BW40_3705]]),"")</f>
        <v/>
      </c>
      <c r="I6511" s="7" t="str">
        <f>IF(Table1[[#This Row],[Is Data Valid]]=TRUE,((Table1[[#This Row],[Birthweight (grams)]]*1.1/Table1[[#This Row],[BW_GA]])-1)/(Backend!$B$4/100*Table1[[#This Row],[BW40_3705]]),"")</f>
        <v/>
      </c>
      <c r="J6511" s="7" t="str">
        <f>IF(Table1[[#This Row],[Is Data Valid]]=TRUE,_xlfn.NORM.S.DIST(Table1[[#This Row],[Birthweight Z-Score]],TRUE)*100,"")</f>
        <v/>
      </c>
      <c r="K6511" s="7" t="str">
        <f>IF(Table1[[#This Row],[Is Data Valid]]=TRUE,_xlfn.NORM.S.DIST(Table1[[#This Row],[Birthweight Z-Score (BW-10%)]],TRUE)*100,"")</f>
        <v/>
      </c>
      <c r="L6511" s="7" t="str">
        <f>IF(Table1[[#This Row],[Is Data Valid]]=TRUE,_xlfn.NORM.S.DIST(Table1[[#This Row],[Birthweight Z-Score (BW+10%)]],TRUE)*100,"")</f>
        <v/>
      </c>
    </row>
    <row r="6512" spans="1:12" x14ac:dyDescent="0.35">
      <c r="A6512" s="3"/>
      <c r="B6512" s="2"/>
      <c r="C6512" s="2"/>
      <c r="D6512" s="2" t="b">
        <f>IF(AND(NOT(ISBLANK(Table1[[#This Row],[Fetal Sex (Male, Female or Unknown)]])),ISNUMBER(Table1[[#This Row],[Birthweight (grams)]]),ISNUMBER(Table1[[#This Row],[Gestation (days)]])),TRUE,FALSE)</f>
        <v>0</v>
      </c>
      <c r="E6512" s="2" t="str">
        <f>IF(Table1[[#This Row],[Is Data Valid]]=TRUE,IF(Table1[[#This Row],[Fetal Sex (Male, Female or Unknown)]]="Male",Backend!$C$6,IF(Table1[[#This Row],[Fetal Sex (Male, Female or Unknown)]]="Female",Backend!$C$7,IF(Table1[[#This Row],[Fetal Sex (Male, Female or Unknown)]]="Unknown",Backend!$C$8,"Error"))),"")</f>
        <v/>
      </c>
      <c r="F6512" s="8" t="str">
        <f>IF(Table1[[#This Row],[Is Data Valid]]=TRUE,EXP(0.578+0.332*((Table1[[#This Row],[Gestation (days)]]+0.5)/7)-0.00354*((Table1[[#This Row],[Gestation (days)]]+0.5)/7)^2)*Table1[[#This Row],[BW40_3705]],"")</f>
        <v/>
      </c>
      <c r="G6512" s="2" t="str">
        <f>IF(Table1[[#This Row],[Is Data Valid]]=TRUE,((Table1[[#This Row],[Birthweight (grams)]]/Table1[[#This Row],[BW_GA]])-1)/(Backend!$B$4/100*Table1[[#This Row],[BW40_3705]]),"")</f>
        <v/>
      </c>
      <c r="H6512" s="7" t="str">
        <f>IF(Table1[[#This Row],[Is Data Valid]]=TRUE,((Table1[[#This Row],[Birthweight (grams)]]*0.9/Table1[[#This Row],[BW_GA]])-1)/(Backend!$B$4/100*Table1[[#This Row],[BW40_3705]]),"")</f>
        <v/>
      </c>
      <c r="I6512" s="7" t="str">
        <f>IF(Table1[[#This Row],[Is Data Valid]]=TRUE,((Table1[[#This Row],[Birthweight (grams)]]*1.1/Table1[[#This Row],[BW_GA]])-1)/(Backend!$B$4/100*Table1[[#This Row],[BW40_3705]]),"")</f>
        <v/>
      </c>
      <c r="J6512" s="7" t="str">
        <f>IF(Table1[[#This Row],[Is Data Valid]]=TRUE,_xlfn.NORM.S.DIST(Table1[[#This Row],[Birthweight Z-Score]],TRUE)*100,"")</f>
        <v/>
      </c>
      <c r="K6512" s="7" t="str">
        <f>IF(Table1[[#This Row],[Is Data Valid]]=TRUE,_xlfn.NORM.S.DIST(Table1[[#This Row],[Birthweight Z-Score (BW-10%)]],TRUE)*100,"")</f>
        <v/>
      </c>
      <c r="L6512" s="7" t="str">
        <f>IF(Table1[[#This Row],[Is Data Valid]]=TRUE,_xlfn.NORM.S.DIST(Table1[[#This Row],[Birthweight Z-Score (BW+10%)]],TRUE)*100,"")</f>
        <v/>
      </c>
    </row>
    <row r="6513" spans="1:12" x14ac:dyDescent="0.35">
      <c r="A6513" s="3"/>
      <c r="B6513" s="2"/>
      <c r="C6513" s="2"/>
      <c r="D6513" s="2" t="b">
        <f>IF(AND(NOT(ISBLANK(Table1[[#This Row],[Fetal Sex (Male, Female or Unknown)]])),ISNUMBER(Table1[[#This Row],[Birthweight (grams)]]),ISNUMBER(Table1[[#This Row],[Gestation (days)]])),TRUE,FALSE)</f>
        <v>0</v>
      </c>
      <c r="E6513" s="2" t="str">
        <f>IF(Table1[[#This Row],[Is Data Valid]]=TRUE,IF(Table1[[#This Row],[Fetal Sex (Male, Female or Unknown)]]="Male",Backend!$C$6,IF(Table1[[#This Row],[Fetal Sex (Male, Female or Unknown)]]="Female",Backend!$C$7,IF(Table1[[#This Row],[Fetal Sex (Male, Female or Unknown)]]="Unknown",Backend!$C$8,"Error"))),"")</f>
        <v/>
      </c>
      <c r="F6513" s="8" t="str">
        <f>IF(Table1[[#This Row],[Is Data Valid]]=TRUE,EXP(0.578+0.332*((Table1[[#This Row],[Gestation (days)]]+0.5)/7)-0.00354*((Table1[[#This Row],[Gestation (days)]]+0.5)/7)^2)*Table1[[#This Row],[BW40_3705]],"")</f>
        <v/>
      </c>
      <c r="G6513" s="2" t="str">
        <f>IF(Table1[[#This Row],[Is Data Valid]]=TRUE,((Table1[[#This Row],[Birthweight (grams)]]/Table1[[#This Row],[BW_GA]])-1)/(Backend!$B$4/100*Table1[[#This Row],[BW40_3705]]),"")</f>
        <v/>
      </c>
      <c r="H6513" s="7" t="str">
        <f>IF(Table1[[#This Row],[Is Data Valid]]=TRUE,((Table1[[#This Row],[Birthweight (grams)]]*0.9/Table1[[#This Row],[BW_GA]])-1)/(Backend!$B$4/100*Table1[[#This Row],[BW40_3705]]),"")</f>
        <v/>
      </c>
      <c r="I6513" s="7" t="str">
        <f>IF(Table1[[#This Row],[Is Data Valid]]=TRUE,((Table1[[#This Row],[Birthweight (grams)]]*1.1/Table1[[#This Row],[BW_GA]])-1)/(Backend!$B$4/100*Table1[[#This Row],[BW40_3705]]),"")</f>
        <v/>
      </c>
      <c r="J6513" s="7" t="str">
        <f>IF(Table1[[#This Row],[Is Data Valid]]=TRUE,_xlfn.NORM.S.DIST(Table1[[#This Row],[Birthweight Z-Score]],TRUE)*100,"")</f>
        <v/>
      </c>
      <c r="K6513" s="7" t="str">
        <f>IF(Table1[[#This Row],[Is Data Valid]]=TRUE,_xlfn.NORM.S.DIST(Table1[[#This Row],[Birthweight Z-Score (BW-10%)]],TRUE)*100,"")</f>
        <v/>
      </c>
      <c r="L6513" s="7" t="str">
        <f>IF(Table1[[#This Row],[Is Data Valid]]=TRUE,_xlfn.NORM.S.DIST(Table1[[#This Row],[Birthweight Z-Score (BW+10%)]],TRUE)*100,"")</f>
        <v/>
      </c>
    </row>
    <row r="6514" spans="1:12" x14ac:dyDescent="0.35">
      <c r="A6514" s="3"/>
      <c r="B6514" s="2"/>
      <c r="C6514" s="2"/>
      <c r="D6514" s="2" t="b">
        <f>IF(AND(NOT(ISBLANK(Table1[[#This Row],[Fetal Sex (Male, Female or Unknown)]])),ISNUMBER(Table1[[#This Row],[Birthweight (grams)]]),ISNUMBER(Table1[[#This Row],[Gestation (days)]])),TRUE,FALSE)</f>
        <v>0</v>
      </c>
      <c r="E6514" s="2" t="str">
        <f>IF(Table1[[#This Row],[Is Data Valid]]=TRUE,IF(Table1[[#This Row],[Fetal Sex (Male, Female or Unknown)]]="Male",Backend!$C$6,IF(Table1[[#This Row],[Fetal Sex (Male, Female or Unknown)]]="Female",Backend!$C$7,IF(Table1[[#This Row],[Fetal Sex (Male, Female or Unknown)]]="Unknown",Backend!$C$8,"Error"))),"")</f>
        <v/>
      </c>
      <c r="F6514" s="8" t="str">
        <f>IF(Table1[[#This Row],[Is Data Valid]]=TRUE,EXP(0.578+0.332*((Table1[[#This Row],[Gestation (days)]]+0.5)/7)-0.00354*((Table1[[#This Row],[Gestation (days)]]+0.5)/7)^2)*Table1[[#This Row],[BW40_3705]],"")</f>
        <v/>
      </c>
      <c r="G6514" s="2" t="str">
        <f>IF(Table1[[#This Row],[Is Data Valid]]=TRUE,((Table1[[#This Row],[Birthweight (grams)]]/Table1[[#This Row],[BW_GA]])-1)/(Backend!$B$4/100*Table1[[#This Row],[BW40_3705]]),"")</f>
        <v/>
      </c>
      <c r="H6514" s="7" t="str">
        <f>IF(Table1[[#This Row],[Is Data Valid]]=TRUE,((Table1[[#This Row],[Birthweight (grams)]]*0.9/Table1[[#This Row],[BW_GA]])-1)/(Backend!$B$4/100*Table1[[#This Row],[BW40_3705]]),"")</f>
        <v/>
      </c>
      <c r="I6514" s="7" t="str">
        <f>IF(Table1[[#This Row],[Is Data Valid]]=TRUE,((Table1[[#This Row],[Birthweight (grams)]]*1.1/Table1[[#This Row],[BW_GA]])-1)/(Backend!$B$4/100*Table1[[#This Row],[BW40_3705]]),"")</f>
        <v/>
      </c>
      <c r="J6514" s="7" t="str">
        <f>IF(Table1[[#This Row],[Is Data Valid]]=TRUE,_xlfn.NORM.S.DIST(Table1[[#This Row],[Birthweight Z-Score]],TRUE)*100,"")</f>
        <v/>
      </c>
      <c r="K6514" s="7" t="str">
        <f>IF(Table1[[#This Row],[Is Data Valid]]=TRUE,_xlfn.NORM.S.DIST(Table1[[#This Row],[Birthweight Z-Score (BW-10%)]],TRUE)*100,"")</f>
        <v/>
      </c>
      <c r="L6514" s="7" t="str">
        <f>IF(Table1[[#This Row],[Is Data Valid]]=TRUE,_xlfn.NORM.S.DIST(Table1[[#This Row],[Birthweight Z-Score (BW+10%)]],TRUE)*100,"")</f>
        <v/>
      </c>
    </row>
    <row r="6515" spans="1:12" x14ac:dyDescent="0.35">
      <c r="A6515" s="3"/>
      <c r="B6515" s="2"/>
      <c r="C6515" s="2"/>
      <c r="D6515" s="2" t="b">
        <f>IF(AND(NOT(ISBLANK(Table1[[#This Row],[Fetal Sex (Male, Female or Unknown)]])),ISNUMBER(Table1[[#This Row],[Birthweight (grams)]]),ISNUMBER(Table1[[#This Row],[Gestation (days)]])),TRUE,FALSE)</f>
        <v>0</v>
      </c>
      <c r="E6515" s="2" t="str">
        <f>IF(Table1[[#This Row],[Is Data Valid]]=TRUE,IF(Table1[[#This Row],[Fetal Sex (Male, Female or Unknown)]]="Male",Backend!$C$6,IF(Table1[[#This Row],[Fetal Sex (Male, Female or Unknown)]]="Female",Backend!$C$7,IF(Table1[[#This Row],[Fetal Sex (Male, Female or Unknown)]]="Unknown",Backend!$C$8,"Error"))),"")</f>
        <v/>
      </c>
      <c r="F6515" s="8" t="str">
        <f>IF(Table1[[#This Row],[Is Data Valid]]=TRUE,EXP(0.578+0.332*((Table1[[#This Row],[Gestation (days)]]+0.5)/7)-0.00354*((Table1[[#This Row],[Gestation (days)]]+0.5)/7)^2)*Table1[[#This Row],[BW40_3705]],"")</f>
        <v/>
      </c>
      <c r="G6515" s="2" t="str">
        <f>IF(Table1[[#This Row],[Is Data Valid]]=TRUE,((Table1[[#This Row],[Birthweight (grams)]]/Table1[[#This Row],[BW_GA]])-1)/(Backend!$B$4/100*Table1[[#This Row],[BW40_3705]]),"")</f>
        <v/>
      </c>
      <c r="H6515" s="7" t="str">
        <f>IF(Table1[[#This Row],[Is Data Valid]]=TRUE,((Table1[[#This Row],[Birthweight (grams)]]*0.9/Table1[[#This Row],[BW_GA]])-1)/(Backend!$B$4/100*Table1[[#This Row],[BW40_3705]]),"")</f>
        <v/>
      </c>
      <c r="I6515" s="7" t="str">
        <f>IF(Table1[[#This Row],[Is Data Valid]]=TRUE,((Table1[[#This Row],[Birthweight (grams)]]*1.1/Table1[[#This Row],[BW_GA]])-1)/(Backend!$B$4/100*Table1[[#This Row],[BW40_3705]]),"")</f>
        <v/>
      </c>
      <c r="J6515" s="7" t="str">
        <f>IF(Table1[[#This Row],[Is Data Valid]]=TRUE,_xlfn.NORM.S.DIST(Table1[[#This Row],[Birthweight Z-Score]],TRUE)*100,"")</f>
        <v/>
      </c>
      <c r="K6515" s="7" t="str">
        <f>IF(Table1[[#This Row],[Is Data Valid]]=TRUE,_xlfn.NORM.S.DIST(Table1[[#This Row],[Birthweight Z-Score (BW-10%)]],TRUE)*100,"")</f>
        <v/>
      </c>
      <c r="L6515" s="7" t="str">
        <f>IF(Table1[[#This Row],[Is Data Valid]]=TRUE,_xlfn.NORM.S.DIST(Table1[[#This Row],[Birthweight Z-Score (BW+10%)]],TRUE)*100,"")</f>
        <v/>
      </c>
    </row>
    <row r="6516" spans="1:12" x14ac:dyDescent="0.35">
      <c r="A6516" s="3"/>
      <c r="B6516" s="2"/>
      <c r="C6516" s="2"/>
      <c r="D6516" s="2" t="b">
        <f>IF(AND(NOT(ISBLANK(Table1[[#This Row],[Fetal Sex (Male, Female or Unknown)]])),ISNUMBER(Table1[[#This Row],[Birthweight (grams)]]),ISNUMBER(Table1[[#This Row],[Gestation (days)]])),TRUE,FALSE)</f>
        <v>0</v>
      </c>
      <c r="E6516" s="2" t="str">
        <f>IF(Table1[[#This Row],[Is Data Valid]]=TRUE,IF(Table1[[#This Row],[Fetal Sex (Male, Female or Unknown)]]="Male",Backend!$C$6,IF(Table1[[#This Row],[Fetal Sex (Male, Female or Unknown)]]="Female",Backend!$C$7,IF(Table1[[#This Row],[Fetal Sex (Male, Female or Unknown)]]="Unknown",Backend!$C$8,"Error"))),"")</f>
        <v/>
      </c>
      <c r="F6516" s="8" t="str">
        <f>IF(Table1[[#This Row],[Is Data Valid]]=TRUE,EXP(0.578+0.332*((Table1[[#This Row],[Gestation (days)]]+0.5)/7)-0.00354*((Table1[[#This Row],[Gestation (days)]]+0.5)/7)^2)*Table1[[#This Row],[BW40_3705]],"")</f>
        <v/>
      </c>
      <c r="G6516" s="2" t="str">
        <f>IF(Table1[[#This Row],[Is Data Valid]]=TRUE,((Table1[[#This Row],[Birthweight (grams)]]/Table1[[#This Row],[BW_GA]])-1)/(Backend!$B$4/100*Table1[[#This Row],[BW40_3705]]),"")</f>
        <v/>
      </c>
      <c r="H6516" s="7" t="str">
        <f>IF(Table1[[#This Row],[Is Data Valid]]=TRUE,((Table1[[#This Row],[Birthweight (grams)]]*0.9/Table1[[#This Row],[BW_GA]])-1)/(Backend!$B$4/100*Table1[[#This Row],[BW40_3705]]),"")</f>
        <v/>
      </c>
      <c r="I6516" s="7" t="str">
        <f>IF(Table1[[#This Row],[Is Data Valid]]=TRUE,((Table1[[#This Row],[Birthweight (grams)]]*1.1/Table1[[#This Row],[BW_GA]])-1)/(Backend!$B$4/100*Table1[[#This Row],[BW40_3705]]),"")</f>
        <v/>
      </c>
      <c r="J6516" s="7" t="str">
        <f>IF(Table1[[#This Row],[Is Data Valid]]=TRUE,_xlfn.NORM.S.DIST(Table1[[#This Row],[Birthweight Z-Score]],TRUE)*100,"")</f>
        <v/>
      </c>
      <c r="K6516" s="7" t="str">
        <f>IF(Table1[[#This Row],[Is Data Valid]]=TRUE,_xlfn.NORM.S.DIST(Table1[[#This Row],[Birthweight Z-Score (BW-10%)]],TRUE)*100,"")</f>
        <v/>
      </c>
      <c r="L6516" s="7" t="str">
        <f>IF(Table1[[#This Row],[Is Data Valid]]=TRUE,_xlfn.NORM.S.DIST(Table1[[#This Row],[Birthweight Z-Score (BW+10%)]],TRUE)*100,"")</f>
        <v/>
      </c>
    </row>
    <row r="6517" spans="1:12" x14ac:dyDescent="0.35">
      <c r="A6517" s="3"/>
      <c r="B6517" s="2"/>
      <c r="C6517" s="2"/>
      <c r="D6517" s="2" t="b">
        <f>IF(AND(NOT(ISBLANK(Table1[[#This Row],[Fetal Sex (Male, Female or Unknown)]])),ISNUMBER(Table1[[#This Row],[Birthweight (grams)]]),ISNUMBER(Table1[[#This Row],[Gestation (days)]])),TRUE,FALSE)</f>
        <v>0</v>
      </c>
      <c r="E6517" s="2" t="str">
        <f>IF(Table1[[#This Row],[Is Data Valid]]=TRUE,IF(Table1[[#This Row],[Fetal Sex (Male, Female or Unknown)]]="Male",Backend!$C$6,IF(Table1[[#This Row],[Fetal Sex (Male, Female or Unknown)]]="Female",Backend!$C$7,IF(Table1[[#This Row],[Fetal Sex (Male, Female or Unknown)]]="Unknown",Backend!$C$8,"Error"))),"")</f>
        <v/>
      </c>
      <c r="F6517" s="8" t="str">
        <f>IF(Table1[[#This Row],[Is Data Valid]]=TRUE,EXP(0.578+0.332*((Table1[[#This Row],[Gestation (days)]]+0.5)/7)-0.00354*((Table1[[#This Row],[Gestation (days)]]+0.5)/7)^2)*Table1[[#This Row],[BW40_3705]],"")</f>
        <v/>
      </c>
      <c r="G6517" s="2" t="str">
        <f>IF(Table1[[#This Row],[Is Data Valid]]=TRUE,((Table1[[#This Row],[Birthweight (grams)]]/Table1[[#This Row],[BW_GA]])-1)/(Backend!$B$4/100*Table1[[#This Row],[BW40_3705]]),"")</f>
        <v/>
      </c>
      <c r="H6517" s="7" t="str">
        <f>IF(Table1[[#This Row],[Is Data Valid]]=TRUE,((Table1[[#This Row],[Birthweight (grams)]]*0.9/Table1[[#This Row],[BW_GA]])-1)/(Backend!$B$4/100*Table1[[#This Row],[BW40_3705]]),"")</f>
        <v/>
      </c>
      <c r="I6517" s="7" t="str">
        <f>IF(Table1[[#This Row],[Is Data Valid]]=TRUE,((Table1[[#This Row],[Birthweight (grams)]]*1.1/Table1[[#This Row],[BW_GA]])-1)/(Backend!$B$4/100*Table1[[#This Row],[BW40_3705]]),"")</f>
        <v/>
      </c>
      <c r="J6517" s="7" t="str">
        <f>IF(Table1[[#This Row],[Is Data Valid]]=TRUE,_xlfn.NORM.S.DIST(Table1[[#This Row],[Birthweight Z-Score]],TRUE)*100,"")</f>
        <v/>
      </c>
      <c r="K6517" s="7" t="str">
        <f>IF(Table1[[#This Row],[Is Data Valid]]=TRUE,_xlfn.NORM.S.DIST(Table1[[#This Row],[Birthweight Z-Score (BW-10%)]],TRUE)*100,"")</f>
        <v/>
      </c>
      <c r="L6517" s="7" t="str">
        <f>IF(Table1[[#This Row],[Is Data Valid]]=TRUE,_xlfn.NORM.S.DIST(Table1[[#This Row],[Birthweight Z-Score (BW+10%)]],TRUE)*100,"")</f>
        <v/>
      </c>
    </row>
    <row r="6518" spans="1:12" x14ac:dyDescent="0.35">
      <c r="A6518" s="3"/>
      <c r="B6518" s="2"/>
      <c r="C6518" s="2"/>
      <c r="D6518" s="2" t="b">
        <f>IF(AND(NOT(ISBLANK(Table1[[#This Row],[Fetal Sex (Male, Female or Unknown)]])),ISNUMBER(Table1[[#This Row],[Birthweight (grams)]]),ISNUMBER(Table1[[#This Row],[Gestation (days)]])),TRUE,FALSE)</f>
        <v>0</v>
      </c>
      <c r="E6518" s="2" t="str">
        <f>IF(Table1[[#This Row],[Is Data Valid]]=TRUE,IF(Table1[[#This Row],[Fetal Sex (Male, Female or Unknown)]]="Male",Backend!$C$6,IF(Table1[[#This Row],[Fetal Sex (Male, Female or Unknown)]]="Female",Backend!$C$7,IF(Table1[[#This Row],[Fetal Sex (Male, Female or Unknown)]]="Unknown",Backend!$C$8,"Error"))),"")</f>
        <v/>
      </c>
      <c r="F6518" s="8" t="str">
        <f>IF(Table1[[#This Row],[Is Data Valid]]=TRUE,EXP(0.578+0.332*((Table1[[#This Row],[Gestation (days)]]+0.5)/7)-0.00354*((Table1[[#This Row],[Gestation (days)]]+0.5)/7)^2)*Table1[[#This Row],[BW40_3705]],"")</f>
        <v/>
      </c>
      <c r="G6518" s="2" t="str">
        <f>IF(Table1[[#This Row],[Is Data Valid]]=TRUE,((Table1[[#This Row],[Birthweight (grams)]]/Table1[[#This Row],[BW_GA]])-1)/(Backend!$B$4/100*Table1[[#This Row],[BW40_3705]]),"")</f>
        <v/>
      </c>
      <c r="H6518" s="7" t="str">
        <f>IF(Table1[[#This Row],[Is Data Valid]]=TRUE,((Table1[[#This Row],[Birthweight (grams)]]*0.9/Table1[[#This Row],[BW_GA]])-1)/(Backend!$B$4/100*Table1[[#This Row],[BW40_3705]]),"")</f>
        <v/>
      </c>
      <c r="I6518" s="7" t="str">
        <f>IF(Table1[[#This Row],[Is Data Valid]]=TRUE,((Table1[[#This Row],[Birthweight (grams)]]*1.1/Table1[[#This Row],[BW_GA]])-1)/(Backend!$B$4/100*Table1[[#This Row],[BW40_3705]]),"")</f>
        <v/>
      </c>
      <c r="J6518" s="7" t="str">
        <f>IF(Table1[[#This Row],[Is Data Valid]]=TRUE,_xlfn.NORM.S.DIST(Table1[[#This Row],[Birthweight Z-Score]],TRUE)*100,"")</f>
        <v/>
      </c>
      <c r="K6518" s="7" t="str">
        <f>IF(Table1[[#This Row],[Is Data Valid]]=TRUE,_xlfn.NORM.S.DIST(Table1[[#This Row],[Birthweight Z-Score (BW-10%)]],TRUE)*100,"")</f>
        <v/>
      </c>
      <c r="L6518" s="7" t="str">
        <f>IF(Table1[[#This Row],[Is Data Valid]]=TRUE,_xlfn.NORM.S.DIST(Table1[[#This Row],[Birthweight Z-Score (BW+10%)]],TRUE)*100,"")</f>
        <v/>
      </c>
    </row>
    <row r="6519" spans="1:12" x14ac:dyDescent="0.35">
      <c r="A6519" s="3"/>
      <c r="B6519" s="2"/>
      <c r="C6519" s="2"/>
      <c r="D6519" s="2" t="b">
        <f>IF(AND(NOT(ISBLANK(Table1[[#This Row],[Fetal Sex (Male, Female or Unknown)]])),ISNUMBER(Table1[[#This Row],[Birthweight (grams)]]),ISNUMBER(Table1[[#This Row],[Gestation (days)]])),TRUE,FALSE)</f>
        <v>0</v>
      </c>
      <c r="E6519" s="2" t="str">
        <f>IF(Table1[[#This Row],[Is Data Valid]]=TRUE,IF(Table1[[#This Row],[Fetal Sex (Male, Female or Unknown)]]="Male",Backend!$C$6,IF(Table1[[#This Row],[Fetal Sex (Male, Female or Unknown)]]="Female",Backend!$C$7,IF(Table1[[#This Row],[Fetal Sex (Male, Female or Unknown)]]="Unknown",Backend!$C$8,"Error"))),"")</f>
        <v/>
      </c>
      <c r="F6519" s="8" t="str">
        <f>IF(Table1[[#This Row],[Is Data Valid]]=TRUE,EXP(0.578+0.332*((Table1[[#This Row],[Gestation (days)]]+0.5)/7)-0.00354*((Table1[[#This Row],[Gestation (days)]]+0.5)/7)^2)*Table1[[#This Row],[BW40_3705]],"")</f>
        <v/>
      </c>
      <c r="G6519" s="2" t="str">
        <f>IF(Table1[[#This Row],[Is Data Valid]]=TRUE,((Table1[[#This Row],[Birthweight (grams)]]/Table1[[#This Row],[BW_GA]])-1)/(Backend!$B$4/100*Table1[[#This Row],[BW40_3705]]),"")</f>
        <v/>
      </c>
      <c r="H6519" s="7" t="str">
        <f>IF(Table1[[#This Row],[Is Data Valid]]=TRUE,((Table1[[#This Row],[Birthweight (grams)]]*0.9/Table1[[#This Row],[BW_GA]])-1)/(Backend!$B$4/100*Table1[[#This Row],[BW40_3705]]),"")</f>
        <v/>
      </c>
      <c r="I6519" s="7" t="str">
        <f>IF(Table1[[#This Row],[Is Data Valid]]=TRUE,((Table1[[#This Row],[Birthweight (grams)]]*1.1/Table1[[#This Row],[BW_GA]])-1)/(Backend!$B$4/100*Table1[[#This Row],[BW40_3705]]),"")</f>
        <v/>
      </c>
      <c r="J6519" s="7" t="str">
        <f>IF(Table1[[#This Row],[Is Data Valid]]=TRUE,_xlfn.NORM.S.DIST(Table1[[#This Row],[Birthweight Z-Score]],TRUE)*100,"")</f>
        <v/>
      </c>
      <c r="K6519" s="7" t="str">
        <f>IF(Table1[[#This Row],[Is Data Valid]]=TRUE,_xlfn.NORM.S.DIST(Table1[[#This Row],[Birthweight Z-Score (BW-10%)]],TRUE)*100,"")</f>
        <v/>
      </c>
      <c r="L6519" s="7" t="str">
        <f>IF(Table1[[#This Row],[Is Data Valid]]=TRUE,_xlfn.NORM.S.DIST(Table1[[#This Row],[Birthweight Z-Score (BW+10%)]],TRUE)*100,"")</f>
        <v/>
      </c>
    </row>
    <row r="6520" spans="1:12" x14ac:dyDescent="0.35">
      <c r="A6520" s="3"/>
      <c r="B6520" s="2"/>
      <c r="C6520" s="2"/>
      <c r="D6520" s="2" t="b">
        <f>IF(AND(NOT(ISBLANK(Table1[[#This Row],[Fetal Sex (Male, Female or Unknown)]])),ISNUMBER(Table1[[#This Row],[Birthweight (grams)]]),ISNUMBER(Table1[[#This Row],[Gestation (days)]])),TRUE,FALSE)</f>
        <v>0</v>
      </c>
      <c r="E6520" s="2" t="str">
        <f>IF(Table1[[#This Row],[Is Data Valid]]=TRUE,IF(Table1[[#This Row],[Fetal Sex (Male, Female or Unknown)]]="Male",Backend!$C$6,IF(Table1[[#This Row],[Fetal Sex (Male, Female or Unknown)]]="Female",Backend!$C$7,IF(Table1[[#This Row],[Fetal Sex (Male, Female or Unknown)]]="Unknown",Backend!$C$8,"Error"))),"")</f>
        <v/>
      </c>
      <c r="F6520" s="8" t="str">
        <f>IF(Table1[[#This Row],[Is Data Valid]]=TRUE,EXP(0.578+0.332*((Table1[[#This Row],[Gestation (days)]]+0.5)/7)-0.00354*((Table1[[#This Row],[Gestation (days)]]+0.5)/7)^2)*Table1[[#This Row],[BW40_3705]],"")</f>
        <v/>
      </c>
      <c r="G6520" s="2" t="str">
        <f>IF(Table1[[#This Row],[Is Data Valid]]=TRUE,((Table1[[#This Row],[Birthweight (grams)]]/Table1[[#This Row],[BW_GA]])-1)/(Backend!$B$4/100*Table1[[#This Row],[BW40_3705]]),"")</f>
        <v/>
      </c>
      <c r="H6520" s="7" t="str">
        <f>IF(Table1[[#This Row],[Is Data Valid]]=TRUE,((Table1[[#This Row],[Birthweight (grams)]]*0.9/Table1[[#This Row],[BW_GA]])-1)/(Backend!$B$4/100*Table1[[#This Row],[BW40_3705]]),"")</f>
        <v/>
      </c>
      <c r="I6520" s="7" t="str">
        <f>IF(Table1[[#This Row],[Is Data Valid]]=TRUE,((Table1[[#This Row],[Birthweight (grams)]]*1.1/Table1[[#This Row],[BW_GA]])-1)/(Backend!$B$4/100*Table1[[#This Row],[BW40_3705]]),"")</f>
        <v/>
      </c>
      <c r="J6520" s="7" t="str">
        <f>IF(Table1[[#This Row],[Is Data Valid]]=TRUE,_xlfn.NORM.S.DIST(Table1[[#This Row],[Birthweight Z-Score]],TRUE)*100,"")</f>
        <v/>
      </c>
      <c r="K6520" s="7" t="str">
        <f>IF(Table1[[#This Row],[Is Data Valid]]=TRUE,_xlfn.NORM.S.DIST(Table1[[#This Row],[Birthweight Z-Score (BW-10%)]],TRUE)*100,"")</f>
        <v/>
      </c>
      <c r="L6520" s="7" t="str">
        <f>IF(Table1[[#This Row],[Is Data Valid]]=TRUE,_xlfn.NORM.S.DIST(Table1[[#This Row],[Birthweight Z-Score (BW+10%)]],TRUE)*100,"")</f>
        <v/>
      </c>
    </row>
    <row r="6521" spans="1:12" x14ac:dyDescent="0.35">
      <c r="A6521" s="3"/>
      <c r="B6521" s="2"/>
      <c r="C6521" s="2"/>
      <c r="D6521" s="2" t="b">
        <f>IF(AND(NOT(ISBLANK(Table1[[#This Row],[Fetal Sex (Male, Female or Unknown)]])),ISNUMBER(Table1[[#This Row],[Birthweight (grams)]]),ISNUMBER(Table1[[#This Row],[Gestation (days)]])),TRUE,FALSE)</f>
        <v>0</v>
      </c>
      <c r="E6521" s="2" t="str">
        <f>IF(Table1[[#This Row],[Is Data Valid]]=TRUE,IF(Table1[[#This Row],[Fetal Sex (Male, Female or Unknown)]]="Male",Backend!$C$6,IF(Table1[[#This Row],[Fetal Sex (Male, Female or Unknown)]]="Female",Backend!$C$7,IF(Table1[[#This Row],[Fetal Sex (Male, Female or Unknown)]]="Unknown",Backend!$C$8,"Error"))),"")</f>
        <v/>
      </c>
      <c r="F6521" s="8" t="str">
        <f>IF(Table1[[#This Row],[Is Data Valid]]=TRUE,EXP(0.578+0.332*((Table1[[#This Row],[Gestation (days)]]+0.5)/7)-0.00354*((Table1[[#This Row],[Gestation (days)]]+0.5)/7)^2)*Table1[[#This Row],[BW40_3705]],"")</f>
        <v/>
      </c>
      <c r="G6521" s="2" t="str">
        <f>IF(Table1[[#This Row],[Is Data Valid]]=TRUE,((Table1[[#This Row],[Birthweight (grams)]]/Table1[[#This Row],[BW_GA]])-1)/(Backend!$B$4/100*Table1[[#This Row],[BW40_3705]]),"")</f>
        <v/>
      </c>
      <c r="H6521" s="7" t="str">
        <f>IF(Table1[[#This Row],[Is Data Valid]]=TRUE,((Table1[[#This Row],[Birthweight (grams)]]*0.9/Table1[[#This Row],[BW_GA]])-1)/(Backend!$B$4/100*Table1[[#This Row],[BW40_3705]]),"")</f>
        <v/>
      </c>
      <c r="I6521" s="7" t="str">
        <f>IF(Table1[[#This Row],[Is Data Valid]]=TRUE,((Table1[[#This Row],[Birthweight (grams)]]*1.1/Table1[[#This Row],[BW_GA]])-1)/(Backend!$B$4/100*Table1[[#This Row],[BW40_3705]]),"")</f>
        <v/>
      </c>
      <c r="J6521" s="7" t="str">
        <f>IF(Table1[[#This Row],[Is Data Valid]]=TRUE,_xlfn.NORM.S.DIST(Table1[[#This Row],[Birthweight Z-Score]],TRUE)*100,"")</f>
        <v/>
      </c>
      <c r="K6521" s="7" t="str">
        <f>IF(Table1[[#This Row],[Is Data Valid]]=TRUE,_xlfn.NORM.S.DIST(Table1[[#This Row],[Birthweight Z-Score (BW-10%)]],TRUE)*100,"")</f>
        <v/>
      </c>
      <c r="L6521" s="7" t="str">
        <f>IF(Table1[[#This Row],[Is Data Valid]]=TRUE,_xlfn.NORM.S.DIST(Table1[[#This Row],[Birthweight Z-Score (BW+10%)]],TRUE)*100,"")</f>
        <v/>
      </c>
    </row>
    <row r="6522" spans="1:12" x14ac:dyDescent="0.35">
      <c r="A6522" s="3"/>
      <c r="B6522" s="2"/>
      <c r="C6522" s="2"/>
      <c r="D6522" s="2" t="b">
        <f>IF(AND(NOT(ISBLANK(Table1[[#This Row],[Fetal Sex (Male, Female or Unknown)]])),ISNUMBER(Table1[[#This Row],[Birthweight (grams)]]),ISNUMBER(Table1[[#This Row],[Gestation (days)]])),TRUE,FALSE)</f>
        <v>0</v>
      </c>
      <c r="E6522" s="2" t="str">
        <f>IF(Table1[[#This Row],[Is Data Valid]]=TRUE,IF(Table1[[#This Row],[Fetal Sex (Male, Female or Unknown)]]="Male",Backend!$C$6,IF(Table1[[#This Row],[Fetal Sex (Male, Female or Unknown)]]="Female",Backend!$C$7,IF(Table1[[#This Row],[Fetal Sex (Male, Female or Unknown)]]="Unknown",Backend!$C$8,"Error"))),"")</f>
        <v/>
      </c>
      <c r="F6522" s="8" t="str">
        <f>IF(Table1[[#This Row],[Is Data Valid]]=TRUE,EXP(0.578+0.332*((Table1[[#This Row],[Gestation (days)]]+0.5)/7)-0.00354*((Table1[[#This Row],[Gestation (days)]]+0.5)/7)^2)*Table1[[#This Row],[BW40_3705]],"")</f>
        <v/>
      </c>
      <c r="G6522" s="2" t="str">
        <f>IF(Table1[[#This Row],[Is Data Valid]]=TRUE,((Table1[[#This Row],[Birthweight (grams)]]/Table1[[#This Row],[BW_GA]])-1)/(Backend!$B$4/100*Table1[[#This Row],[BW40_3705]]),"")</f>
        <v/>
      </c>
      <c r="H6522" s="7" t="str">
        <f>IF(Table1[[#This Row],[Is Data Valid]]=TRUE,((Table1[[#This Row],[Birthweight (grams)]]*0.9/Table1[[#This Row],[BW_GA]])-1)/(Backend!$B$4/100*Table1[[#This Row],[BW40_3705]]),"")</f>
        <v/>
      </c>
      <c r="I6522" s="7" t="str">
        <f>IF(Table1[[#This Row],[Is Data Valid]]=TRUE,((Table1[[#This Row],[Birthweight (grams)]]*1.1/Table1[[#This Row],[BW_GA]])-1)/(Backend!$B$4/100*Table1[[#This Row],[BW40_3705]]),"")</f>
        <v/>
      </c>
      <c r="J6522" s="7" t="str">
        <f>IF(Table1[[#This Row],[Is Data Valid]]=TRUE,_xlfn.NORM.S.DIST(Table1[[#This Row],[Birthweight Z-Score]],TRUE)*100,"")</f>
        <v/>
      </c>
      <c r="K6522" s="7" t="str">
        <f>IF(Table1[[#This Row],[Is Data Valid]]=TRUE,_xlfn.NORM.S.DIST(Table1[[#This Row],[Birthweight Z-Score (BW-10%)]],TRUE)*100,"")</f>
        <v/>
      </c>
      <c r="L6522" s="7" t="str">
        <f>IF(Table1[[#This Row],[Is Data Valid]]=TRUE,_xlfn.NORM.S.DIST(Table1[[#This Row],[Birthweight Z-Score (BW+10%)]],TRUE)*100,"")</f>
        <v/>
      </c>
    </row>
    <row r="6523" spans="1:12" x14ac:dyDescent="0.35">
      <c r="A6523" s="3"/>
      <c r="B6523" s="2"/>
      <c r="C6523" s="2"/>
      <c r="D6523" s="2" t="b">
        <f>IF(AND(NOT(ISBLANK(Table1[[#This Row],[Fetal Sex (Male, Female or Unknown)]])),ISNUMBER(Table1[[#This Row],[Birthweight (grams)]]),ISNUMBER(Table1[[#This Row],[Gestation (days)]])),TRUE,FALSE)</f>
        <v>0</v>
      </c>
      <c r="E6523" s="2" t="str">
        <f>IF(Table1[[#This Row],[Is Data Valid]]=TRUE,IF(Table1[[#This Row],[Fetal Sex (Male, Female or Unknown)]]="Male",Backend!$C$6,IF(Table1[[#This Row],[Fetal Sex (Male, Female or Unknown)]]="Female",Backend!$C$7,IF(Table1[[#This Row],[Fetal Sex (Male, Female or Unknown)]]="Unknown",Backend!$C$8,"Error"))),"")</f>
        <v/>
      </c>
      <c r="F6523" s="8" t="str">
        <f>IF(Table1[[#This Row],[Is Data Valid]]=TRUE,EXP(0.578+0.332*((Table1[[#This Row],[Gestation (days)]]+0.5)/7)-0.00354*((Table1[[#This Row],[Gestation (days)]]+0.5)/7)^2)*Table1[[#This Row],[BW40_3705]],"")</f>
        <v/>
      </c>
      <c r="G6523" s="2" t="str">
        <f>IF(Table1[[#This Row],[Is Data Valid]]=TRUE,((Table1[[#This Row],[Birthweight (grams)]]/Table1[[#This Row],[BW_GA]])-1)/(Backend!$B$4/100*Table1[[#This Row],[BW40_3705]]),"")</f>
        <v/>
      </c>
      <c r="H6523" s="7" t="str">
        <f>IF(Table1[[#This Row],[Is Data Valid]]=TRUE,((Table1[[#This Row],[Birthweight (grams)]]*0.9/Table1[[#This Row],[BW_GA]])-1)/(Backend!$B$4/100*Table1[[#This Row],[BW40_3705]]),"")</f>
        <v/>
      </c>
      <c r="I6523" s="7" t="str">
        <f>IF(Table1[[#This Row],[Is Data Valid]]=TRUE,((Table1[[#This Row],[Birthweight (grams)]]*1.1/Table1[[#This Row],[BW_GA]])-1)/(Backend!$B$4/100*Table1[[#This Row],[BW40_3705]]),"")</f>
        <v/>
      </c>
      <c r="J6523" s="7" t="str">
        <f>IF(Table1[[#This Row],[Is Data Valid]]=TRUE,_xlfn.NORM.S.DIST(Table1[[#This Row],[Birthweight Z-Score]],TRUE)*100,"")</f>
        <v/>
      </c>
      <c r="K6523" s="7" t="str">
        <f>IF(Table1[[#This Row],[Is Data Valid]]=TRUE,_xlfn.NORM.S.DIST(Table1[[#This Row],[Birthweight Z-Score (BW-10%)]],TRUE)*100,"")</f>
        <v/>
      </c>
      <c r="L6523" s="7" t="str">
        <f>IF(Table1[[#This Row],[Is Data Valid]]=TRUE,_xlfn.NORM.S.DIST(Table1[[#This Row],[Birthweight Z-Score (BW+10%)]],TRUE)*100,"")</f>
        <v/>
      </c>
    </row>
    <row r="6524" spans="1:12" x14ac:dyDescent="0.35">
      <c r="A6524" s="3"/>
      <c r="B6524" s="2"/>
      <c r="C6524" s="2"/>
      <c r="D6524" s="2" t="b">
        <f>IF(AND(NOT(ISBLANK(Table1[[#This Row],[Fetal Sex (Male, Female or Unknown)]])),ISNUMBER(Table1[[#This Row],[Birthweight (grams)]]),ISNUMBER(Table1[[#This Row],[Gestation (days)]])),TRUE,FALSE)</f>
        <v>0</v>
      </c>
      <c r="E6524" s="2" t="str">
        <f>IF(Table1[[#This Row],[Is Data Valid]]=TRUE,IF(Table1[[#This Row],[Fetal Sex (Male, Female or Unknown)]]="Male",Backend!$C$6,IF(Table1[[#This Row],[Fetal Sex (Male, Female or Unknown)]]="Female",Backend!$C$7,IF(Table1[[#This Row],[Fetal Sex (Male, Female or Unknown)]]="Unknown",Backend!$C$8,"Error"))),"")</f>
        <v/>
      </c>
      <c r="F6524" s="8" t="str">
        <f>IF(Table1[[#This Row],[Is Data Valid]]=TRUE,EXP(0.578+0.332*((Table1[[#This Row],[Gestation (days)]]+0.5)/7)-0.00354*((Table1[[#This Row],[Gestation (days)]]+0.5)/7)^2)*Table1[[#This Row],[BW40_3705]],"")</f>
        <v/>
      </c>
      <c r="G6524" s="2" t="str">
        <f>IF(Table1[[#This Row],[Is Data Valid]]=TRUE,((Table1[[#This Row],[Birthweight (grams)]]/Table1[[#This Row],[BW_GA]])-1)/(Backend!$B$4/100*Table1[[#This Row],[BW40_3705]]),"")</f>
        <v/>
      </c>
      <c r="H6524" s="7" t="str">
        <f>IF(Table1[[#This Row],[Is Data Valid]]=TRUE,((Table1[[#This Row],[Birthweight (grams)]]*0.9/Table1[[#This Row],[BW_GA]])-1)/(Backend!$B$4/100*Table1[[#This Row],[BW40_3705]]),"")</f>
        <v/>
      </c>
      <c r="I6524" s="7" t="str">
        <f>IF(Table1[[#This Row],[Is Data Valid]]=TRUE,((Table1[[#This Row],[Birthweight (grams)]]*1.1/Table1[[#This Row],[BW_GA]])-1)/(Backend!$B$4/100*Table1[[#This Row],[BW40_3705]]),"")</f>
        <v/>
      </c>
      <c r="J6524" s="7" t="str">
        <f>IF(Table1[[#This Row],[Is Data Valid]]=TRUE,_xlfn.NORM.S.DIST(Table1[[#This Row],[Birthweight Z-Score]],TRUE)*100,"")</f>
        <v/>
      </c>
      <c r="K6524" s="7" t="str">
        <f>IF(Table1[[#This Row],[Is Data Valid]]=TRUE,_xlfn.NORM.S.DIST(Table1[[#This Row],[Birthweight Z-Score (BW-10%)]],TRUE)*100,"")</f>
        <v/>
      </c>
      <c r="L6524" s="7" t="str">
        <f>IF(Table1[[#This Row],[Is Data Valid]]=TRUE,_xlfn.NORM.S.DIST(Table1[[#This Row],[Birthweight Z-Score (BW+10%)]],TRUE)*100,"")</f>
        <v/>
      </c>
    </row>
    <row r="6525" spans="1:12" x14ac:dyDescent="0.35">
      <c r="A6525" s="3"/>
      <c r="B6525" s="2"/>
      <c r="C6525" s="2"/>
      <c r="D6525" s="2" t="b">
        <f>IF(AND(NOT(ISBLANK(Table1[[#This Row],[Fetal Sex (Male, Female or Unknown)]])),ISNUMBER(Table1[[#This Row],[Birthweight (grams)]]),ISNUMBER(Table1[[#This Row],[Gestation (days)]])),TRUE,FALSE)</f>
        <v>0</v>
      </c>
      <c r="E6525" s="2" t="str">
        <f>IF(Table1[[#This Row],[Is Data Valid]]=TRUE,IF(Table1[[#This Row],[Fetal Sex (Male, Female or Unknown)]]="Male",Backend!$C$6,IF(Table1[[#This Row],[Fetal Sex (Male, Female or Unknown)]]="Female",Backend!$C$7,IF(Table1[[#This Row],[Fetal Sex (Male, Female or Unknown)]]="Unknown",Backend!$C$8,"Error"))),"")</f>
        <v/>
      </c>
      <c r="F6525" s="8" t="str">
        <f>IF(Table1[[#This Row],[Is Data Valid]]=TRUE,EXP(0.578+0.332*((Table1[[#This Row],[Gestation (days)]]+0.5)/7)-0.00354*((Table1[[#This Row],[Gestation (days)]]+0.5)/7)^2)*Table1[[#This Row],[BW40_3705]],"")</f>
        <v/>
      </c>
      <c r="G6525" s="2" t="str">
        <f>IF(Table1[[#This Row],[Is Data Valid]]=TRUE,((Table1[[#This Row],[Birthweight (grams)]]/Table1[[#This Row],[BW_GA]])-1)/(Backend!$B$4/100*Table1[[#This Row],[BW40_3705]]),"")</f>
        <v/>
      </c>
      <c r="H6525" s="7" t="str">
        <f>IF(Table1[[#This Row],[Is Data Valid]]=TRUE,((Table1[[#This Row],[Birthweight (grams)]]*0.9/Table1[[#This Row],[BW_GA]])-1)/(Backend!$B$4/100*Table1[[#This Row],[BW40_3705]]),"")</f>
        <v/>
      </c>
      <c r="I6525" s="7" t="str">
        <f>IF(Table1[[#This Row],[Is Data Valid]]=TRUE,((Table1[[#This Row],[Birthweight (grams)]]*1.1/Table1[[#This Row],[BW_GA]])-1)/(Backend!$B$4/100*Table1[[#This Row],[BW40_3705]]),"")</f>
        <v/>
      </c>
      <c r="J6525" s="7" t="str">
        <f>IF(Table1[[#This Row],[Is Data Valid]]=TRUE,_xlfn.NORM.S.DIST(Table1[[#This Row],[Birthweight Z-Score]],TRUE)*100,"")</f>
        <v/>
      </c>
      <c r="K6525" s="7" t="str">
        <f>IF(Table1[[#This Row],[Is Data Valid]]=TRUE,_xlfn.NORM.S.DIST(Table1[[#This Row],[Birthweight Z-Score (BW-10%)]],TRUE)*100,"")</f>
        <v/>
      </c>
      <c r="L6525" s="7" t="str">
        <f>IF(Table1[[#This Row],[Is Data Valid]]=TRUE,_xlfn.NORM.S.DIST(Table1[[#This Row],[Birthweight Z-Score (BW+10%)]],TRUE)*100,"")</f>
        <v/>
      </c>
    </row>
    <row r="6526" spans="1:12" x14ac:dyDescent="0.35">
      <c r="A6526" s="3"/>
      <c r="B6526" s="2"/>
      <c r="C6526" s="2"/>
      <c r="D6526" s="2" t="b">
        <f>IF(AND(NOT(ISBLANK(Table1[[#This Row],[Fetal Sex (Male, Female or Unknown)]])),ISNUMBER(Table1[[#This Row],[Birthweight (grams)]]),ISNUMBER(Table1[[#This Row],[Gestation (days)]])),TRUE,FALSE)</f>
        <v>0</v>
      </c>
      <c r="E6526" s="2" t="str">
        <f>IF(Table1[[#This Row],[Is Data Valid]]=TRUE,IF(Table1[[#This Row],[Fetal Sex (Male, Female or Unknown)]]="Male",Backend!$C$6,IF(Table1[[#This Row],[Fetal Sex (Male, Female or Unknown)]]="Female",Backend!$C$7,IF(Table1[[#This Row],[Fetal Sex (Male, Female or Unknown)]]="Unknown",Backend!$C$8,"Error"))),"")</f>
        <v/>
      </c>
      <c r="F6526" s="8" t="str">
        <f>IF(Table1[[#This Row],[Is Data Valid]]=TRUE,EXP(0.578+0.332*((Table1[[#This Row],[Gestation (days)]]+0.5)/7)-0.00354*((Table1[[#This Row],[Gestation (days)]]+0.5)/7)^2)*Table1[[#This Row],[BW40_3705]],"")</f>
        <v/>
      </c>
      <c r="G6526" s="2" t="str">
        <f>IF(Table1[[#This Row],[Is Data Valid]]=TRUE,((Table1[[#This Row],[Birthweight (grams)]]/Table1[[#This Row],[BW_GA]])-1)/(Backend!$B$4/100*Table1[[#This Row],[BW40_3705]]),"")</f>
        <v/>
      </c>
      <c r="H6526" s="7" t="str">
        <f>IF(Table1[[#This Row],[Is Data Valid]]=TRUE,((Table1[[#This Row],[Birthweight (grams)]]*0.9/Table1[[#This Row],[BW_GA]])-1)/(Backend!$B$4/100*Table1[[#This Row],[BW40_3705]]),"")</f>
        <v/>
      </c>
      <c r="I6526" s="7" t="str">
        <f>IF(Table1[[#This Row],[Is Data Valid]]=TRUE,((Table1[[#This Row],[Birthweight (grams)]]*1.1/Table1[[#This Row],[BW_GA]])-1)/(Backend!$B$4/100*Table1[[#This Row],[BW40_3705]]),"")</f>
        <v/>
      </c>
      <c r="J6526" s="7" t="str">
        <f>IF(Table1[[#This Row],[Is Data Valid]]=TRUE,_xlfn.NORM.S.DIST(Table1[[#This Row],[Birthweight Z-Score]],TRUE)*100,"")</f>
        <v/>
      </c>
      <c r="K6526" s="7" t="str">
        <f>IF(Table1[[#This Row],[Is Data Valid]]=TRUE,_xlfn.NORM.S.DIST(Table1[[#This Row],[Birthweight Z-Score (BW-10%)]],TRUE)*100,"")</f>
        <v/>
      </c>
      <c r="L6526" s="7" t="str">
        <f>IF(Table1[[#This Row],[Is Data Valid]]=TRUE,_xlfn.NORM.S.DIST(Table1[[#This Row],[Birthweight Z-Score (BW+10%)]],TRUE)*100,"")</f>
        <v/>
      </c>
    </row>
    <row r="6527" spans="1:12" x14ac:dyDescent="0.35">
      <c r="A6527" s="3"/>
      <c r="B6527" s="2"/>
      <c r="C6527" s="2"/>
      <c r="D6527" s="2" t="b">
        <f>IF(AND(NOT(ISBLANK(Table1[[#This Row],[Fetal Sex (Male, Female or Unknown)]])),ISNUMBER(Table1[[#This Row],[Birthweight (grams)]]),ISNUMBER(Table1[[#This Row],[Gestation (days)]])),TRUE,FALSE)</f>
        <v>0</v>
      </c>
      <c r="E6527" s="2" t="str">
        <f>IF(Table1[[#This Row],[Is Data Valid]]=TRUE,IF(Table1[[#This Row],[Fetal Sex (Male, Female or Unknown)]]="Male",Backend!$C$6,IF(Table1[[#This Row],[Fetal Sex (Male, Female or Unknown)]]="Female",Backend!$C$7,IF(Table1[[#This Row],[Fetal Sex (Male, Female or Unknown)]]="Unknown",Backend!$C$8,"Error"))),"")</f>
        <v/>
      </c>
      <c r="F6527" s="8" t="str">
        <f>IF(Table1[[#This Row],[Is Data Valid]]=TRUE,EXP(0.578+0.332*((Table1[[#This Row],[Gestation (days)]]+0.5)/7)-0.00354*((Table1[[#This Row],[Gestation (days)]]+0.5)/7)^2)*Table1[[#This Row],[BW40_3705]],"")</f>
        <v/>
      </c>
      <c r="G6527" s="2" t="str">
        <f>IF(Table1[[#This Row],[Is Data Valid]]=TRUE,((Table1[[#This Row],[Birthweight (grams)]]/Table1[[#This Row],[BW_GA]])-1)/(Backend!$B$4/100*Table1[[#This Row],[BW40_3705]]),"")</f>
        <v/>
      </c>
      <c r="H6527" s="7" t="str">
        <f>IF(Table1[[#This Row],[Is Data Valid]]=TRUE,((Table1[[#This Row],[Birthweight (grams)]]*0.9/Table1[[#This Row],[BW_GA]])-1)/(Backend!$B$4/100*Table1[[#This Row],[BW40_3705]]),"")</f>
        <v/>
      </c>
      <c r="I6527" s="7" t="str">
        <f>IF(Table1[[#This Row],[Is Data Valid]]=TRUE,((Table1[[#This Row],[Birthweight (grams)]]*1.1/Table1[[#This Row],[BW_GA]])-1)/(Backend!$B$4/100*Table1[[#This Row],[BW40_3705]]),"")</f>
        <v/>
      </c>
      <c r="J6527" s="7" t="str">
        <f>IF(Table1[[#This Row],[Is Data Valid]]=TRUE,_xlfn.NORM.S.DIST(Table1[[#This Row],[Birthweight Z-Score]],TRUE)*100,"")</f>
        <v/>
      </c>
      <c r="K6527" s="7" t="str">
        <f>IF(Table1[[#This Row],[Is Data Valid]]=TRUE,_xlfn.NORM.S.DIST(Table1[[#This Row],[Birthweight Z-Score (BW-10%)]],TRUE)*100,"")</f>
        <v/>
      </c>
      <c r="L6527" s="7" t="str">
        <f>IF(Table1[[#This Row],[Is Data Valid]]=TRUE,_xlfn.NORM.S.DIST(Table1[[#This Row],[Birthweight Z-Score (BW+10%)]],TRUE)*100,"")</f>
        <v/>
      </c>
    </row>
    <row r="6528" spans="1:12" x14ac:dyDescent="0.35">
      <c r="A6528" s="3"/>
      <c r="B6528" s="2"/>
      <c r="C6528" s="2"/>
      <c r="D6528" s="2" t="b">
        <f>IF(AND(NOT(ISBLANK(Table1[[#This Row],[Fetal Sex (Male, Female or Unknown)]])),ISNUMBER(Table1[[#This Row],[Birthweight (grams)]]),ISNUMBER(Table1[[#This Row],[Gestation (days)]])),TRUE,FALSE)</f>
        <v>0</v>
      </c>
      <c r="E6528" s="2" t="str">
        <f>IF(Table1[[#This Row],[Is Data Valid]]=TRUE,IF(Table1[[#This Row],[Fetal Sex (Male, Female or Unknown)]]="Male",Backend!$C$6,IF(Table1[[#This Row],[Fetal Sex (Male, Female or Unknown)]]="Female",Backend!$C$7,IF(Table1[[#This Row],[Fetal Sex (Male, Female or Unknown)]]="Unknown",Backend!$C$8,"Error"))),"")</f>
        <v/>
      </c>
      <c r="F6528" s="8" t="str">
        <f>IF(Table1[[#This Row],[Is Data Valid]]=TRUE,EXP(0.578+0.332*((Table1[[#This Row],[Gestation (days)]]+0.5)/7)-0.00354*((Table1[[#This Row],[Gestation (days)]]+0.5)/7)^2)*Table1[[#This Row],[BW40_3705]],"")</f>
        <v/>
      </c>
      <c r="G6528" s="2" t="str">
        <f>IF(Table1[[#This Row],[Is Data Valid]]=TRUE,((Table1[[#This Row],[Birthweight (grams)]]/Table1[[#This Row],[BW_GA]])-1)/(Backend!$B$4/100*Table1[[#This Row],[BW40_3705]]),"")</f>
        <v/>
      </c>
      <c r="H6528" s="7" t="str">
        <f>IF(Table1[[#This Row],[Is Data Valid]]=TRUE,((Table1[[#This Row],[Birthweight (grams)]]*0.9/Table1[[#This Row],[BW_GA]])-1)/(Backend!$B$4/100*Table1[[#This Row],[BW40_3705]]),"")</f>
        <v/>
      </c>
      <c r="I6528" s="7" t="str">
        <f>IF(Table1[[#This Row],[Is Data Valid]]=TRUE,((Table1[[#This Row],[Birthweight (grams)]]*1.1/Table1[[#This Row],[BW_GA]])-1)/(Backend!$B$4/100*Table1[[#This Row],[BW40_3705]]),"")</f>
        <v/>
      </c>
      <c r="J6528" s="7" t="str">
        <f>IF(Table1[[#This Row],[Is Data Valid]]=TRUE,_xlfn.NORM.S.DIST(Table1[[#This Row],[Birthweight Z-Score]],TRUE)*100,"")</f>
        <v/>
      </c>
      <c r="K6528" s="7" t="str">
        <f>IF(Table1[[#This Row],[Is Data Valid]]=TRUE,_xlfn.NORM.S.DIST(Table1[[#This Row],[Birthweight Z-Score (BW-10%)]],TRUE)*100,"")</f>
        <v/>
      </c>
      <c r="L6528" s="7" t="str">
        <f>IF(Table1[[#This Row],[Is Data Valid]]=TRUE,_xlfn.NORM.S.DIST(Table1[[#This Row],[Birthweight Z-Score (BW+10%)]],TRUE)*100,"")</f>
        <v/>
      </c>
    </row>
    <row r="6529" spans="1:12" x14ac:dyDescent="0.35">
      <c r="A6529" s="3"/>
      <c r="B6529" s="2"/>
      <c r="C6529" s="2"/>
      <c r="D6529" s="2" t="b">
        <f>IF(AND(NOT(ISBLANK(Table1[[#This Row],[Fetal Sex (Male, Female or Unknown)]])),ISNUMBER(Table1[[#This Row],[Birthweight (grams)]]),ISNUMBER(Table1[[#This Row],[Gestation (days)]])),TRUE,FALSE)</f>
        <v>0</v>
      </c>
      <c r="E6529" s="2" t="str">
        <f>IF(Table1[[#This Row],[Is Data Valid]]=TRUE,IF(Table1[[#This Row],[Fetal Sex (Male, Female or Unknown)]]="Male",Backend!$C$6,IF(Table1[[#This Row],[Fetal Sex (Male, Female or Unknown)]]="Female",Backend!$C$7,IF(Table1[[#This Row],[Fetal Sex (Male, Female or Unknown)]]="Unknown",Backend!$C$8,"Error"))),"")</f>
        <v/>
      </c>
      <c r="F6529" s="8" t="str">
        <f>IF(Table1[[#This Row],[Is Data Valid]]=TRUE,EXP(0.578+0.332*((Table1[[#This Row],[Gestation (days)]]+0.5)/7)-0.00354*((Table1[[#This Row],[Gestation (days)]]+0.5)/7)^2)*Table1[[#This Row],[BW40_3705]],"")</f>
        <v/>
      </c>
      <c r="G6529" s="2" t="str">
        <f>IF(Table1[[#This Row],[Is Data Valid]]=TRUE,((Table1[[#This Row],[Birthweight (grams)]]/Table1[[#This Row],[BW_GA]])-1)/(Backend!$B$4/100*Table1[[#This Row],[BW40_3705]]),"")</f>
        <v/>
      </c>
      <c r="H6529" s="7" t="str">
        <f>IF(Table1[[#This Row],[Is Data Valid]]=TRUE,((Table1[[#This Row],[Birthweight (grams)]]*0.9/Table1[[#This Row],[BW_GA]])-1)/(Backend!$B$4/100*Table1[[#This Row],[BW40_3705]]),"")</f>
        <v/>
      </c>
      <c r="I6529" s="7" t="str">
        <f>IF(Table1[[#This Row],[Is Data Valid]]=TRUE,((Table1[[#This Row],[Birthweight (grams)]]*1.1/Table1[[#This Row],[BW_GA]])-1)/(Backend!$B$4/100*Table1[[#This Row],[BW40_3705]]),"")</f>
        <v/>
      </c>
      <c r="J6529" s="7" t="str">
        <f>IF(Table1[[#This Row],[Is Data Valid]]=TRUE,_xlfn.NORM.S.DIST(Table1[[#This Row],[Birthweight Z-Score]],TRUE)*100,"")</f>
        <v/>
      </c>
      <c r="K6529" s="7" t="str">
        <f>IF(Table1[[#This Row],[Is Data Valid]]=TRUE,_xlfn.NORM.S.DIST(Table1[[#This Row],[Birthweight Z-Score (BW-10%)]],TRUE)*100,"")</f>
        <v/>
      </c>
      <c r="L6529" s="7" t="str">
        <f>IF(Table1[[#This Row],[Is Data Valid]]=TRUE,_xlfn.NORM.S.DIST(Table1[[#This Row],[Birthweight Z-Score (BW+10%)]],TRUE)*100,"")</f>
        <v/>
      </c>
    </row>
    <row r="6530" spans="1:12" x14ac:dyDescent="0.35">
      <c r="A6530" s="3"/>
      <c r="B6530" s="2"/>
      <c r="C6530" s="2"/>
      <c r="D6530" s="2" t="b">
        <f>IF(AND(NOT(ISBLANK(Table1[[#This Row],[Fetal Sex (Male, Female or Unknown)]])),ISNUMBER(Table1[[#This Row],[Birthweight (grams)]]),ISNUMBER(Table1[[#This Row],[Gestation (days)]])),TRUE,FALSE)</f>
        <v>0</v>
      </c>
      <c r="E6530" s="2" t="str">
        <f>IF(Table1[[#This Row],[Is Data Valid]]=TRUE,IF(Table1[[#This Row],[Fetal Sex (Male, Female or Unknown)]]="Male",Backend!$C$6,IF(Table1[[#This Row],[Fetal Sex (Male, Female or Unknown)]]="Female",Backend!$C$7,IF(Table1[[#This Row],[Fetal Sex (Male, Female or Unknown)]]="Unknown",Backend!$C$8,"Error"))),"")</f>
        <v/>
      </c>
      <c r="F6530" s="8" t="str">
        <f>IF(Table1[[#This Row],[Is Data Valid]]=TRUE,EXP(0.578+0.332*((Table1[[#This Row],[Gestation (days)]]+0.5)/7)-0.00354*((Table1[[#This Row],[Gestation (days)]]+0.5)/7)^2)*Table1[[#This Row],[BW40_3705]],"")</f>
        <v/>
      </c>
      <c r="G6530" s="2" t="str">
        <f>IF(Table1[[#This Row],[Is Data Valid]]=TRUE,((Table1[[#This Row],[Birthweight (grams)]]/Table1[[#This Row],[BW_GA]])-1)/(Backend!$B$4/100*Table1[[#This Row],[BW40_3705]]),"")</f>
        <v/>
      </c>
      <c r="H6530" s="7" t="str">
        <f>IF(Table1[[#This Row],[Is Data Valid]]=TRUE,((Table1[[#This Row],[Birthweight (grams)]]*0.9/Table1[[#This Row],[BW_GA]])-1)/(Backend!$B$4/100*Table1[[#This Row],[BW40_3705]]),"")</f>
        <v/>
      </c>
      <c r="I6530" s="7" t="str">
        <f>IF(Table1[[#This Row],[Is Data Valid]]=TRUE,((Table1[[#This Row],[Birthweight (grams)]]*1.1/Table1[[#This Row],[BW_GA]])-1)/(Backend!$B$4/100*Table1[[#This Row],[BW40_3705]]),"")</f>
        <v/>
      </c>
      <c r="J6530" s="7" t="str">
        <f>IF(Table1[[#This Row],[Is Data Valid]]=TRUE,_xlfn.NORM.S.DIST(Table1[[#This Row],[Birthweight Z-Score]],TRUE)*100,"")</f>
        <v/>
      </c>
      <c r="K6530" s="7" t="str">
        <f>IF(Table1[[#This Row],[Is Data Valid]]=TRUE,_xlfn.NORM.S.DIST(Table1[[#This Row],[Birthweight Z-Score (BW-10%)]],TRUE)*100,"")</f>
        <v/>
      </c>
      <c r="L6530" s="7" t="str">
        <f>IF(Table1[[#This Row],[Is Data Valid]]=TRUE,_xlfn.NORM.S.DIST(Table1[[#This Row],[Birthweight Z-Score (BW+10%)]],TRUE)*100,"")</f>
        <v/>
      </c>
    </row>
    <row r="6531" spans="1:12" x14ac:dyDescent="0.35">
      <c r="A6531" s="3"/>
      <c r="B6531" s="2"/>
      <c r="C6531" s="2"/>
      <c r="D6531" s="2" t="b">
        <f>IF(AND(NOT(ISBLANK(Table1[[#This Row],[Fetal Sex (Male, Female or Unknown)]])),ISNUMBER(Table1[[#This Row],[Birthweight (grams)]]),ISNUMBER(Table1[[#This Row],[Gestation (days)]])),TRUE,FALSE)</f>
        <v>0</v>
      </c>
      <c r="E6531" s="2" t="str">
        <f>IF(Table1[[#This Row],[Is Data Valid]]=TRUE,IF(Table1[[#This Row],[Fetal Sex (Male, Female or Unknown)]]="Male",Backend!$C$6,IF(Table1[[#This Row],[Fetal Sex (Male, Female or Unknown)]]="Female",Backend!$C$7,IF(Table1[[#This Row],[Fetal Sex (Male, Female or Unknown)]]="Unknown",Backend!$C$8,"Error"))),"")</f>
        <v/>
      </c>
      <c r="F6531" s="8" t="str">
        <f>IF(Table1[[#This Row],[Is Data Valid]]=TRUE,EXP(0.578+0.332*((Table1[[#This Row],[Gestation (days)]]+0.5)/7)-0.00354*((Table1[[#This Row],[Gestation (days)]]+0.5)/7)^2)*Table1[[#This Row],[BW40_3705]],"")</f>
        <v/>
      </c>
      <c r="G6531" s="2" t="str">
        <f>IF(Table1[[#This Row],[Is Data Valid]]=TRUE,((Table1[[#This Row],[Birthweight (grams)]]/Table1[[#This Row],[BW_GA]])-1)/(Backend!$B$4/100*Table1[[#This Row],[BW40_3705]]),"")</f>
        <v/>
      </c>
      <c r="H6531" s="7" t="str">
        <f>IF(Table1[[#This Row],[Is Data Valid]]=TRUE,((Table1[[#This Row],[Birthweight (grams)]]*0.9/Table1[[#This Row],[BW_GA]])-1)/(Backend!$B$4/100*Table1[[#This Row],[BW40_3705]]),"")</f>
        <v/>
      </c>
      <c r="I6531" s="7" t="str">
        <f>IF(Table1[[#This Row],[Is Data Valid]]=TRUE,((Table1[[#This Row],[Birthweight (grams)]]*1.1/Table1[[#This Row],[BW_GA]])-1)/(Backend!$B$4/100*Table1[[#This Row],[BW40_3705]]),"")</f>
        <v/>
      </c>
      <c r="J6531" s="7" t="str">
        <f>IF(Table1[[#This Row],[Is Data Valid]]=TRUE,_xlfn.NORM.S.DIST(Table1[[#This Row],[Birthweight Z-Score]],TRUE)*100,"")</f>
        <v/>
      </c>
      <c r="K6531" s="7" t="str">
        <f>IF(Table1[[#This Row],[Is Data Valid]]=TRUE,_xlfn.NORM.S.DIST(Table1[[#This Row],[Birthweight Z-Score (BW-10%)]],TRUE)*100,"")</f>
        <v/>
      </c>
      <c r="L6531" s="7" t="str">
        <f>IF(Table1[[#This Row],[Is Data Valid]]=TRUE,_xlfn.NORM.S.DIST(Table1[[#This Row],[Birthweight Z-Score (BW+10%)]],TRUE)*100,"")</f>
        <v/>
      </c>
    </row>
    <row r="6532" spans="1:12" x14ac:dyDescent="0.35">
      <c r="A6532" s="3"/>
      <c r="B6532" s="2"/>
      <c r="C6532" s="2"/>
      <c r="D6532" s="2" t="b">
        <f>IF(AND(NOT(ISBLANK(Table1[[#This Row],[Fetal Sex (Male, Female or Unknown)]])),ISNUMBER(Table1[[#This Row],[Birthweight (grams)]]),ISNUMBER(Table1[[#This Row],[Gestation (days)]])),TRUE,FALSE)</f>
        <v>0</v>
      </c>
      <c r="E6532" s="2" t="str">
        <f>IF(Table1[[#This Row],[Is Data Valid]]=TRUE,IF(Table1[[#This Row],[Fetal Sex (Male, Female or Unknown)]]="Male",Backend!$C$6,IF(Table1[[#This Row],[Fetal Sex (Male, Female or Unknown)]]="Female",Backend!$C$7,IF(Table1[[#This Row],[Fetal Sex (Male, Female or Unknown)]]="Unknown",Backend!$C$8,"Error"))),"")</f>
        <v/>
      </c>
      <c r="F6532" s="8" t="str">
        <f>IF(Table1[[#This Row],[Is Data Valid]]=TRUE,EXP(0.578+0.332*((Table1[[#This Row],[Gestation (days)]]+0.5)/7)-0.00354*((Table1[[#This Row],[Gestation (days)]]+0.5)/7)^2)*Table1[[#This Row],[BW40_3705]],"")</f>
        <v/>
      </c>
      <c r="G6532" s="2" t="str">
        <f>IF(Table1[[#This Row],[Is Data Valid]]=TRUE,((Table1[[#This Row],[Birthweight (grams)]]/Table1[[#This Row],[BW_GA]])-1)/(Backend!$B$4/100*Table1[[#This Row],[BW40_3705]]),"")</f>
        <v/>
      </c>
      <c r="H6532" s="7" t="str">
        <f>IF(Table1[[#This Row],[Is Data Valid]]=TRUE,((Table1[[#This Row],[Birthweight (grams)]]*0.9/Table1[[#This Row],[BW_GA]])-1)/(Backend!$B$4/100*Table1[[#This Row],[BW40_3705]]),"")</f>
        <v/>
      </c>
      <c r="I6532" s="7" t="str">
        <f>IF(Table1[[#This Row],[Is Data Valid]]=TRUE,((Table1[[#This Row],[Birthweight (grams)]]*1.1/Table1[[#This Row],[BW_GA]])-1)/(Backend!$B$4/100*Table1[[#This Row],[BW40_3705]]),"")</f>
        <v/>
      </c>
      <c r="J6532" s="7" t="str">
        <f>IF(Table1[[#This Row],[Is Data Valid]]=TRUE,_xlfn.NORM.S.DIST(Table1[[#This Row],[Birthweight Z-Score]],TRUE)*100,"")</f>
        <v/>
      </c>
      <c r="K6532" s="7" t="str">
        <f>IF(Table1[[#This Row],[Is Data Valid]]=TRUE,_xlfn.NORM.S.DIST(Table1[[#This Row],[Birthweight Z-Score (BW-10%)]],TRUE)*100,"")</f>
        <v/>
      </c>
      <c r="L6532" s="7" t="str">
        <f>IF(Table1[[#This Row],[Is Data Valid]]=TRUE,_xlfn.NORM.S.DIST(Table1[[#This Row],[Birthweight Z-Score (BW+10%)]],TRUE)*100,"")</f>
        <v/>
      </c>
    </row>
    <row r="6533" spans="1:12" x14ac:dyDescent="0.35">
      <c r="A6533" s="3"/>
      <c r="B6533" s="2"/>
      <c r="C6533" s="2"/>
      <c r="D6533" s="2" t="b">
        <f>IF(AND(NOT(ISBLANK(Table1[[#This Row],[Fetal Sex (Male, Female or Unknown)]])),ISNUMBER(Table1[[#This Row],[Birthweight (grams)]]),ISNUMBER(Table1[[#This Row],[Gestation (days)]])),TRUE,FALSE)</f>
        <v>0</v>
      </c>
      <c r="E6533" s="2" t="str">
        <f>IF(Table1[[#This Row],[Is Data Valid]]=TRUE,IF(Table1[[#This Row],[Fetal Sex (Male, Female or Unknown)]]="Male",Backend!$C$6,IF(Table1[[#This Row],[Fetal Sex (Male, Female or Unknown)]]="Female",Backend!$C$7,IF(Table1[[#This Row],[Fetal Sex (Male, Female or Unknown)]]="Unknown",Backend!$C$8,"Error"))),"")</f>
        <v/>
      </c>
      <c r="F6533" s="8" t="str">
        <f>IF(Table1[[#This Row],[Is Data Valid]]=TRUE,EXP(0.578+0.332*((Table1[[#This Row],[Gestation (days)]]+0.5)/7)-0.00354*((Table1[[#This Row],[Gestation (days)]]+0.5)/7)^2)*Table1[[#This Row],[BW40_3705]],"")</f>
        <v/>
      </c>
      <c r="G6533" s="2" t="str">
        <f>IF(Table1[[#This Row],[Is Data Valid]]=TRUE,((Table1[[#This Row],[Birthweight (grams)]]/Table1[[#This Row],[BW_GA]])-1)/(Backend!$B$4/100*Table1[[#This Row],[BW40_3705]]),"")</f>
        <v/>
      </c>
      <c r="H6533" s="7" t="str">
        <f>IF(Table1[[#This Row],[Is Data Valid]]=TRUE,((Table1[[#This Row],[Birthweight (grams)]]*0.9/Table1[[#This Row],[BW_GA]])-1)/(Backend!$B$4/100*Table1[[#This Row],[BW40_3705]]),"")</f>
        <v/>
      </c>
      <c r="I6533" s="7" t="str">
        <f>IF(Table1[[#This Row],[Is Data Valid]]=TRUE,((Table1[[#This Row],[Birthweight (grams)]]*1.1/Table1[[#This Row],[BW_GA]])-1)/(Backend!$B$4/100*Table1[[#This Row],[BW40_3705]]),"")</f>
        <v/>
      </c>
      <c r="J6533" s="7" t="str">
        <f>IF(Table1[[#This Row],[Is Data Valid]]=TRUE,_xlfn.NORM.S.DIST(Table1[[#This Row],[Birthweight Z-Score]],TRUE)*100,"")</f>
        <v/>
      </c>
      <c r="K6533" s="7" t="str">
        <f>IF(Table1[[#This Row],[Is Data Valid]]=TRUE,_xlfn.NORM.S.DIST(Table1[[#This Row],[Birthweight Z-Score (BW-10%)]],TRUE)*100,"")</f>
        <v/>
      </c>
      <c r="L6533" s="7" t="str">
        <f>IF(Table1[[#This Row],[Is Data Valid]]=TRUE,_xlfn.NORM.S.DIST(Table1[[#This Row],[Birthweight Z-Score (BW+10%)]],TRUE)*100,"")</f>
        <v/>
      </c>
    </row>
    <row r="6534" spans="1:12" x14ac:dyDescent="0.35">
      <c r="A6534" s="3"/>
      <c r="B6534" s="2"/>
      <c r="C6534" s="2"/>
      <c r="D6534" s="2" t="b">
        <f>IF(AND(NOT(ISBLANK(Table1[[#This Row],[Fetal Sex (Male, Female or Unknown)]])),ISNUMBER(Table1[[#This Row],[Birthweight (grams)]]),ISNUMBER(Table1[[#This Row],[Gestation (days)]])),TRUE,FALSE)</f>
        <v>0</v>
      </c>
      <c r="E6534" s="2" t="str">
        <f>IF(Table1[[#This Row],[Is Data Valid]]=TRUE,IF(Table1[[#This Row],[Fetal Sex (Male, Female or Unknown)]]="Male",Backend!$C$6,IF(Table1[[#This Row],[Fetal Sex (Male, Female or Unknown)]]="Female",Backend!$C$7,IF(Table1[[#This Row],[Fetal Sex (Male, Female or Unknown)]]="Unknown",Backend!$C$8,"Error"))),"")</f>
        <v/>
      </c>
      <c r="F6534" s="8" t="str">
        <f>IF(Table1[[#This Row],[Is Data Valid]]=TRUE,EXP(0.578+0.332*((Table1[[#This Row],[Gestation (days)]]+0.5)/7)-0.00354*((Table1[[#This Row],[Gestation (days)]]+0.5)/7)^2)*Table1[[#This Row],[BW40_3705]],"")</f>
        <v/>
      </c>
      <c r="G6534" s="2" t="str">
        <f>IF(Table1[[#This Row],[Is Data Valid]]=TRUE,((Table1[[#This Row],[Birthweight (grams)]]/Table1[[#This Row],[BW_GA]])-1)/(Backend!$B$4/100*Table1[[#This Row],[BW40_3705]]),"")</f>
        <v/>
      </c>
      <c r="H6534" s="7" t="str">
        <f>IF(Table1[[#This Row],[Is Data Valid]]=TRUE,((Table1[[#This Row],[Birthweight (grams)]]*0.9/Table1[[#This Row],[BW_GA]])-1)/(Backend!$B$4/100*Table1[[#This Row],[BW40_3705]]),"")</f>
        <v/>
      </c>
      <c r="I6534" s="7" t="str">
        <f>IF(Table1[[#This Row],[Is Data Valid]]=TRUE,((Table1[[#This Row],[Birthweight (grams)]]*1.1/Table1[[#This Row],[BW_GA]])-1)/(Backend!$B$4/100*Table1[[#This Row],[BW40_3705]]),"")</f>
        <v/>
      </c>
      <c r="J6534" s="7" t="str">
        <f>IF(Table1[[#This Row],[Is Data Valid]]=TRUE,_xlfn.NORM.S.DIST(Table1[[#This Row],[Birthweight Z-Score]],TRUE)*100,"")</f>
        <v/>
      </c>
      <c r="K6534" s="7" t="str">
        <f>IF(Table1[[#This Row],[Is Data Valid]]=TRUE,_xlfn.NORM.S.DIST(Table1[[#This Row],[Birthweight Z-Score (BW-10%)]],TRUE)*100,"")</f>
        <v/>
      </c>
      <c r="L6534" s="7" t="str">
        <f>IF(Table1[[#This Row],[Is Data Valid]]=TRUE,_xlfn.NORM.S.DIST(Table1[[#This Row],[Birthweight Z-Score (BW+10%)]],TRUE)*100,"")</f>
        <v/>
      </c>
    </row>
    <row r="6535" spans="1:12" x14ac:dyDescent="0.35">
      <c r="A6535" s="3"/>
      <c r="B6535" s="2"/>
      <c r="C6535" s="2"/>
      <c r="D6535" s="2" t="b">
        <f>IF(AND(NOT(ISBLANK(Table1[[#This Row],[Fetal Sex (Male, Female or Unknown)]])),ISNUMBER(Table1[[#This Row],[Birthweight (grams)]]),ISNUMBER(Table1[[#This Row],[Gestation (days)]])),TRUE,FALSE)</f>
        <v>0</v>
      </c>
      <c r="E6535" s="2" t="str">
        <f>IF(Table1[[#This Row],[Is Data Valid]]=TRUE,IF(Table1[[#This Row],[Fetal Sex (Male, Female or Unknown)]]="Male",Backend!$C$6,IF(Table1[[#This Row],[Fetal Sex (Male, Female or Unknown)]]="Female",Backend!$C$7,IF(Table1[[#This Row],[Fetal Sex (Male, Female or Unknown)]]="Unknown",Backend!$C$8,"Error"))),"")</f>
        <v/>
      </c>
      <c r="F6535" s="8" t="str">
        <f>IF(Table1[[#This Row],[Is Data Valid]]=TRUE,EXP(0.578+0.332*((Table1[[#This Row],[Gestation (days)]]+0.5)/7)-0.00354*((Table1[[#This Row],[Gestation (days)]]+0.5)/7)^2)*Table1[[#This Row],[BW40_3705]],"")</f>
        <v/>
      </c>
      <c r="G6535" s="2" t="str">
        <f>IF(Table1[[#This Row],[Is Data Valid]]=TRUE,((Table1[[#This Row],[Birthweight (grams)]]/Table1[[#This Row],[BW_GA]])-1)/(Backend!$B$4/100*Table1[[#This Row],[BW40_3705]]),"")</f>
        <v/>
      </c>
      <c r="H6535" s="7" t="str">
        <f>IF(Table1[[#This Row],[Is Data Valid]]=TRUE,((Table1[[#This Row],[Birthweight (grams)]]*0.9/Table1[[#This Row],[BW_GA]])-1)/(Backend!$B$4/100*Table1[[#This Row],[BW40_3705]]),"")</f>
        <v/>
      </c>
      <c r="I6535" s="7" t="str">
        <f>IF(Table1[[#This Row],[Is Data Valid]]=TRUE,((Table1[[#This Row],[Birthweight (grams)]]*1.1/Table1[[#This Row],[BW_GA]])-1)/(Backend!$B$4/100*Table1[[#This Row],[BW40_3705]]),"")</f>
        <v/>
      </c>
      <c r="J6535" s="7" t="str">
        <f>IF(Table1[[#This Row],[Is Data Valid]]=TRUE,_xlfn.NORM.S.DIST(Table1[[#This Row],[Birthweight Z-Score]],TRUE)*100,"")</f>
        <v/>
      </c>
      <c r="K6535" s="7" t="str">
        <f>IF(Table1[[#This Row],[Is Data Valid]]=TRUE,_xlfn.NORM.S.DIST(Table1[[#This Row],[Birthweight Z-Score (BW-10%)]],TRUE)*100,"")</f>
        <v/>
      </c>
      <c r="L6535" s="7" t="str">
        <f>IF(Table1[[#This Row],[Is Data Valid]]=TRUE,_xlfn.NORM.S.DIST(Table1[[#This Row],[Birthweight Z-Score (BW+10%)]],TRUE)*100,"")</f>
        <v/>
      </c>
    </row>
    <row r="6536" spans="1:12" x14ac:dyDescent="0.35">
      <c r="A6536" s="3"/>
      <c r="B6536" s="2"/>
      <c r="C6536" s="2"/>
      <c r="D6536" s="2" t="b">
        <f>IF(AND(NOT(ISBLANK(Table1[[#This Row],[Fetal Sex (Male, Female or Unknown)]])),ISNUMBER(Table1[[#This Row],[Birthweight (grams)]]),ISNUMBER(Table1[[#This Row],[Gestation (days)]])),TRUE,FALSE)</f>
        <v>0</v>
      </c>
      <c r="E6536" s="2" t="str">
        <f>IF(Table1[[#This Row],[Is Data Valid]]=TRUE,IF(Table1[[#This Row],[Fetal Sex (Male, Female or Unknown)]]="Male",Backend!$C$6,IF(Table1[[#This Row],[Fetal Sex (Male, Female or Unknown)]]="Female",Backend!$C$7,IF(Table1[[#This Row],[Fetal Sex (Male, Female or Unknown)]]="Unknown",Backend!$C$8,"Error"))),"")</f>
        <v/>
      </c>
      <c r="F6536" s="8" t="str">
        <f>IF(Table1[[#This Row],[Is Data Valid]]=TRUE,EXP(0.578+0.332*((Table1[[#This Row],[Gestation (days)]]+0.5)/7)-0.00354*((Table1[[#This Row],[Gestation (days)]]+0.5)/7)^2)*Table1[[#This Row],[BW40_3705]],"")</f>
        <v/>
      </c>
      <c r="G6536" s="2" t="str">
        <f>IF(Table1[[#This Row],[Is Data Valid]]=TRUE,((Table1[[#This Row],[Birthweight (grams)]]/Table1[[#This Row],[BW_GA]])-1)/(Backend!$B$4/100*Table1[[#This Row],[BW40_3705]]),"")</f>
        <v/>
      </c>
      <c r="H6536" s="7" t="str">
        <f>IF(Table1[[#This Row],[Is Data Valid]]=TRUE,((Table1[[#This Row],[Birthweight (grams)]]*0.9/Table1[[#This Row],[BW_GA]])-1)/(Backend!$B$4/100*Table1[[#This Row],[BW40_3705]]),"")</f>
        <v/>
      </c>
      <c r="I6536" s="7" t="str">
        <f>IF(Table1[[#This Row],[Is Data Valid]]=TRUE,((Table1[[#This Row],[Birthweight (grams)]]*1.1/Table1[[#This Row],[BW_GA]])-1)/(Backend!$B$4/100*Table1[[#This Row],[BW40_3705]]),"")</f>
        <v/>
      </c>
      <c r="J6536" s="7" t="str">
        <f>IF(Table1[[#This Row],[Is Data Valid]]=TRUE,_xlfn.NORM.S.DIST(Table1[[#This Row],[Birthweight Z-Score]],TRUE)*100,"")</f>
        <v/>
      </c>
      <c r="K6536" s="7" t="str">
        <f>IF(Table1[[#This Row],[Is Data Valid]]=TRUE,_xlfn.NORM.S.DIST(Table1[[#This Row],[Birthweight Z-Score (BW-10%)]],TRUE)*100,"")</f>
        <v/>
      </c>
      <c r="L6536" s="7" t="str">
        <f>IF(Table1[[#This Row],[Is Data Valid]]=TRUE,_xlfn.NORM.S.DIST(Table1[[#This Row],[Birthweight Z-Score (BW+10%)]],TRUE)*100,"")</f>
        <v/>
      </c>
    </row>
    <row r="6537" spans="1:12" x14ac:dyDescent="0.35">
      <c r="A6537" s="3"/>
      <c r="B6537" s="2"/>
      <c r="C6537" s="2"/>
      <c r="D6537" s="2" t="b">
        <f>IF(AND(NOT(ISBLANK(Table1[[#This Row],[Fetal Sex (Male, Female or Unknown)]])),ISNUMBER(Table1[[#This Row],[Birthweight (grams)]]),ISNUMBER(Table1[[#This Row],[Gestation (days)]])),TRUE,FALSE)</f>
        <v>0</v>
      </c>
      <c r="E6537" s="2" t="str">
        <f>IF(Table1[[#This Row],[Is Data Valid]]=TRUE,IF(Table1[[#This Row],[Fetal Sex (Male, Female or Unknown)]]="Male",Backend!$C$6,IF(Table1[[#This Row],[Fetal Sex (Male, Female or Unknown)]]="Female",Backend!$C$7,IF(Table1[[#This Row],[Fetal Sex (Male, Female or Unknown)]]="Unknown",Backend!$C$8,"Error"))),"")</f>
        <v/>
      </c>
      <c r="F6537" s="8" t="str">
        <f>IF(Table1[[#This Row],[Is Data Valid]]=TRUE,EXP(0.578+0.332*((Table1[[#This Row],[Gestation (days)]]+0.5)/7)-0.00354*((Table1[[#This Row],[Gestation (days)]]+0.5)/7)^2)*Table1[[#This Row],[BW40_3705]],"")</f>
        <v/>
      </c>
      <c r="G6537" s="2" t="str">
        <f>IF(Table1[[#This Row],[Is Data Valid]]=TRUE,((Table1[[#This Row],[Birthweight (grams)]]/Table1[[#This Row],[BW_GA]])-1)/(Backend!$B$4/100*Table1[[#This Row],[BW40_3705]]),"")</f>
        <v/>
      </c>
      <c r="H6537" s="7" t="str">
        <f>IF(Table1[[#This Row],[Is Data Valid]]=TRUE,((Table1[[#This Row],[Birthweight (grams)]]*0.9/Table1[[#This Row],[BW_GA]])-1)/(Backend!$B$4/100*Table1[[#This Row],[BW40_3705]]),"")</f>
        <v/>
      </c>
      <c r="I6537" s="7" t="str">
        <f>IF(Table1[[#This Row],[Is Data Valid]]=TRUE,((Table1[[#This Row],[Birthweight (grams)]]*1.1/Table1[[#This Row],[BW_GA]])-1)/(Backend!$B$4/100*Table1[[#This Row],[BW40_3705]]),"")</f>
        <v/>
      </c>
      <c r="J6537" s="7" t="str">
        <f>IF(Table1[[#This Row],[Is Data Valid]]=TRUE,_xlfn.NORM.S.DIST(Table1[[#This Row],[Birthweight Z-Score]],TRUE)*100,"")</f>
        <v/>
      </c>
      <c r="K6537" s="7" t="str">
        <f>IF(Table1[[#This Row],[Is Data Valid]]=TRUE,_xlfn.NORM.S.DIST(Table1[[#This Row],[Birthweight Z-Score (BW-10%)]],TRUE)*100,"")</f>
        <v/>
      </c>
      <c r="L6537" s="7" t="str">
        <f>IF(Table1[[#This Row],[Is Data Valid]]=TRUE,_xlfn.NORM.S.DIST(Table1[[#This Row],[Birthweight Z-Score (BW+10%)]],TRUE)*100,"")</f>
        <v/>
      </c>
    </row>
    <row r="6538" spans="1:12" x14ac:dyDescent="0.35">
      <c r="A6538" s="3"/>
      <c r="B6538" s="2"/>
      <c r="C6538" s="2"/>
      <c r="D6538" s="2" t="b">
        <f>IF(AND(NOT(ISBLANK(Table1[[#This Row],[Fetal Sex (Male, Female or Unknown)]])),ISNUMBER(Table1[[#This Row],[Birthweight (grams)]]),ISNUMBER(Table1[[#This Row],[Gestation (days)]])),TRUE,FALSE)</f>
        <v>0</v>
      </c>
      <c r="E6538" s="2" t="str">
        <f>IF(Table1[[#This Row],[Is Data Valid]]=TRUE,IF(Table1[[#This Row],[Fetal Sex (Male, Female or Unknown)]]="Male",Backend!$C$6,IF(Table1[[#This Row],[Fetal Sex (Male, Female or Unknown)]]="Female",Backend!$C$7,IF(Table1[[#This Row],[Fetal Sex (Male, Female or Unknown)]]="Unknown",Backend!$C$8,"Error"))),"")</f>
        <v/>
      </c>
      <c r="F6538" s="8" t="str">
        <f>IF(Table1[[#This Row],[Is Data Valid]]=TRUE,EXP(0.578+0.332*((Table1[[#This Row],[Gestation (days)]]+0.5)/7)-0.00354*((Table1[[#This Row],[Gestation (days)]]+0.5)/7)^2)*Table1[[#This Row],[BW40_3705]],"")</f>
        <v/>
      </c>
      <c r="G6538" s="2" t="str">
        <f>IF(Table1[[#This Row],[Is Data Valid]]=TRUE,((Table1[[#This Row],[Birthweight (grams)]]/Table1[[#This Row],[BW_GA]])-1)/(Backend!$B$4/100*Table1[[#This Row],[BW40_3705]]),"")</f>
        <v/>
      </c>
      <c r="H6538" s="7" t="str">
        <f>IF(Table1[[#This Row],[Is Data Valid]]=TRUE,((Table1[[#This Row],[Birthweight (grams)]]*0.9/Table1[[#This Row],[BW_GA]])-1)/(Backend!$B$4/100*Table1[[#This Row],[BW40_3705]]),"")</f>
        <v/>
      </c>
      <c r="I6538" s="7" t="str">
        <f>IF(Table1[[#This Row],[Is Data Valid]]=TRUE,((Table1[[#This Row],[Birthweight (grams)]]*1.1/Table1[[#This Row],[BW_GA]])-1)/(Backend!$B$4/100*Table1[[#This Row],[BW40_3705]]),"")</f>
        <v/>
      </c>
      <c r="J6538" s="7" t="str">
        <f>IF(Table1[[#This Row],[Is Data Valid]]=TRUE,_xlfn.NORM.S.DIST(Table1[[#This Row],[Birthweight Z-Score]],TRUE)*100,"")</f>
        <v/>
      </c>
      <c r="K6538" s="7" t="str">
        <f>IF(Table1[[#This Row],[Is Data Valid]]=TRUE,_xlfn.NORM.S.DIST(Table1[[#This Row],[Birthweight Z-Score (BW-10%)]],TRUE)*100,"")</f>
        <v/>
      </c>
      <c r="L6538" s="7" t="str">
        <f>IF(Table1[[#This Row],[Is Data Valid]]=TRUE,_xlfn.NORM.S.DIST(Table1[[#This Row],[Birthweight Z-Score (BW+10%)]],TRUE)*100,"")</f>
        <v/>
      </c>
    </row>
    <row r="6539" spans="1:12" x14ac:dyDescent="0.35">
      <c r="A6539" s="3"/>
      <c r="B6539" s="2"/>
      <c r="C6539" s="2"/>
      <c r="D6539" s="2" t="b">
        <f>IF(AND(NOT(ISBLANK(Table1[[#This Row],[Fetal Sex (Male, Female or Unknown)]])),ISNUMBER(Table1[[#This Row],[Birthweight (grams)]]),ISNUMBER(Table1[[#This Row],[Gestation (days)]])),TRUE,FALSE)</f>
        <v>0</v>
      </c>
      <c r="E6539" s="2" t="str">
        <f>IF(Table1[[#This Row],[Is Data Valid]]=TRUE,IF(Table1[[#This Row],[Fetal Sex (Male, Female or Unknown)]]="Male",Backend!$C$6,IF(Table1[[#This Row],[Fetal Sex (Male, Female or Unknown)]]="Female",Backend!$C$7,IF(Table1[[#This Row],[Fetal Sex (Male, Female or Unknown)]]="Unknown",Backend!$C$8,"Error"))),"")</f>
        <v/>
      </c>
      <c r="F6539" s="8" t="str">
        <f>IF(Table1[[#This Row],[Is Data Valid]]=TRUE,EXP(0.578+0.332*((Table1[[#This Row],[Gestation (days)]]+0.5)/7)-0.00354*((Table1[[#This Row],[Gestation (days)]]+0.5)/7)^2)*Table1[[#This Row],[BW40_3705]],"")</f>
        <v/>
      </c>
      <c r="G6539" s="2" t="str">
        <f>IF(Table1[[#This Row],[Is Data Valid]]=TRUE,((Table1[[#This Row],[Birthweight (grams)]]/Table1[[#This Row],[BW_GA]])-1)/(Backend!$B$4/100*Table1[[#This Row],[BW40_3705]]),"")</f>
        <v/>
      </c>
      <c r="H6539" s="7" t="str">
        <f>IF(Table1[[#This Row],[Is Data Valid]]=TRUE,((Table1[[#This Row],[Birthweight (grams)]]*0.9/Table1[[#This Row],[BW_GA]])-1)/(Backend!$B$4/100*Table1[[#This Row],[BW40_3705]]),"")</f>
        <v/>
      </c>
      <c r="I6539" s="7" t="str">
        <f>IF(Table1[[#This Row],[Is Data Valid]]=TRUE,((Table1[[#This Row],[Birthweight (grams)]]*1.1/Table1[[#This Row],[BW_GA]])-1)/(Backend!$B$4/100*Table1[[#This Row],[BW40_3705]]),"")</f>
        <v/>
      </c>
      <c r="J6539" s="7" t="str">
        <f>IF(Table1[[#This Row],[Is Data Valid]]=TRUE,_xlfn.NORM.S.DIST(Table1[[#This Row],[Birthweight Z-Score]],TRUE)*100,"")</f>
        <v/>
      </c>
      <c r="K6539" s="7" t="str">
        <f>IF(Table1[[#This Row],[Is Data Valid]]=TRUE,_xlfn.NORM.S.DIST(Table1[[#This Row],[Birthweight Z-Score (BW-10%)]],TRUE)*100,"")</f>
        <v/>
      </c>
      <c r="L6539" s="7" t="str">
        <f>IF(Table1[[#This Row],[Is Data Valid]]=TRUE,_xlfn.NORM.S.DIST(Table1[[#This Row],[Birthweight Z-Score (BW+10%)]],TRUE)*100,"")</f>
        <v/>
      </c>
    </row>
    <row r="6540" spans="1:12" x14ac:dyDescent="0.35">
      <c r="A6540" s="3"/>
      <c r="B6540" s="2"/>
      <c r="C6540" s="2"/>
      <c r="D6540" s="2" t="b">
        <f>IF(AND(NOT(ISBLANK(Table1[[#This Row],[Fetal Sex (Male, Female or Unknown)]])),ISNUMBER(Table1[[#This Row],[Birthweight (grams)]]),ISNUMBER(Table1[[#This Row],[Gestation (days)]])),TRUE,FALSE)</f>
        <v>0</v>
      </c>
      <c r="E6540" s="2" t="str">
        <f>IF(Table1[[#This Row],[Is Data Valid]]=TRUE,IF(Table1[[#This Row],[Fetal Sex (Male, Female or Unknown)]]="Male",Backend!$C$6,IF(Table1[[#This Row],[Fetal Sex (Male, Female or Unknown)]]="Female",Backend!$C$7,IF(Table1[[#This Row],[Fetal Sex (Male, Female or Unknown)]]="Unknown",Backend!$C$8,"Error"))),"")</f>
        <v/>
      </c>
      <c r="F6540" s="8" t="str">
        <f>IF(Table1[[#This Row],[Is Data Valid]]=TRUE,EXP(0.578+0.332*((Table1[[#This Row],[Gestation (days)]]+0.5)/7)-0.00354*((Table1[[#This Row],[Gestation (days)]]+0.5)/7)^2)*Table1[[#This Row],[BW40_3705]],"")</f>
        <v/>
      </c>
      <c r="G6540" s="2" t="str">
        <f>IF(Table1[[#This Row],[Is Data Valid]]=TRUE,((Table1[[#This Row],[Birthweight (grams)]]/Table1[[#This Row],[BW_GA]])-1)/(Backend!$B$4/100*Table1[[#This Row],[BW40_3705]]),"")</f>
        <v/>
      </c>
      <c r="H6540" s="7" t="str">
        <f>IF(Table1[[#This Row],[Is Data Valid]]=TRUE,((Table1[[#This Row],[Birthweight (grams)]]*0.9/Table1[[#This Row],[BW_GA]])-1)/(Backend!$B$4/100*Table1[[#This Row],[BW40_3705]]),"")</f>
        <v/>
      </c>
      <c r="I6540" s="7" t="str">
        <f>IF(Table1[[#This Row],[Is Data Valid]]=TRUE,((Table1[[#This Row],[Birthweight (grams)]]*1.1/Table1[[#This Row],[BW_GA]])-1)/(Backend!$B$4/100*Table1[[#This Row],[BW40_3705]]),"")</f>
        <v/>
      </c>
      <c r="J6540" s="7" t="str">
        <f>IF(Table1[[#This Row],[Is Data Valid]]=TRUE,_xlfn.NORM.S.DIST(Table1[[#This Row],[Birthweight Z-Score]],TRUE)*100,"")</f>
        <v/>
      </c>
      <c r="K6540" s="7" t="str">
        <f>IF(Table1[[#This Row],[Is Data Valid]]=TRUE,_xlfn.NORM.S.DIST(Table1[[#This Row],[Birthweight Z-Score (BW-10%)]],TRUE)*100,"")</f>
        <v/>
      </c>
      <c r="L6540" s="7" t="str">
        <f>IF(Table1[[#This Row],[Is Data Valid]]=TRUE,_xlfn.NORM.S.DIST(Table1[[#This Row],[Birthweight Z-Score (BW+10%)]],TRUE)*100,"")</f>
        <v/>
      </c>
    </row>
    <row r="6541" spans="1:12" x14ac:dyDescent="0.35">
      <c r="A6541" s="3"/>
      <c r="B6541" s="2"/>
      <c r="C6541" s="2"/>
      <c r="D6541" s="2" t="b">
        <f>IF(AND(NOT(ISBLANK(Table1[[#This Row],[Fetal Sex (Male, Female or Unknown)]])),ISNUMBER(Table1[[#This Row],[Birthweight (grams)]]),ISNUMBER(Table1[[#This Row],[Gestation (days)]])),TRUE,FALSE)</f>
        <v>0</v>
      </c>
      <c r="E6541" s="2" t="str">
        <f>IF(Table1[[#This Row],[Is Data Valid]]=TRUE,IF(Table1[[#This Row],[Fetal Sex (Male, Female or Unknown)]]="Male",Backend!$C$6,IF(Table1[[#This Row],[Fetal Sex (Male, Female or Unknown)]]="Female",Backend!$C$7,IF(Table1[[#This Row],[Fetal Sex (Male, Female or Unknown)]]="Unknown",Backend!$C$8,"Error"))),"")</f>
        <v/>
      </c>
      <c r="F6541" s="8" t="str">
        <f>IF(Table1[[#This Row],[Is Data Valid]]=TRUE,EXP(0.578+0.332*((Table1[[#This Row],[Gestation (days)]]+0.5)/7)-0.00354*((Table1[[#This Row],[Gestation (days)]]+0.5)/7)^2)*Table1[[#This Row],[BW40_3705]],"")</f>
        <v/>
      </c>
      <c r="G6541" s="2" t="str">
        <f>IF(Table1[[#This Row],[Is Data Valid]]=TRUE,((Table1[[#This Row],[Birthweight (grams)]]/Table1[[#This Row],[BW_GA]])-1)/(Backend!$B$4/100*Table1[[#This Row],[BW40_3705]]),"")</f>
        <v/>
      </c>
      <c r="H6541" s="7" t="str">
        <f>IF(Table1[[#This Row],[Is Data Valid]]=TRUE,((Table1[[#This Row],[Birthweight (grams)]]*0.9/Table1[[#This Row],[BW_GA]])-1)/(Backend!$B$4/100*Table1[[#This Row],[BW40_3705]]),"")</f>
        <v/>
      </c>
      <c r="I6541" s="7" t="str">
        <f>IF(Table1[[#This Row],[Is Data Valid]]=TRUE,((Table1[[#This Row],[Birthweight (grams)]]*1.1/Table1[[#This Row],[BW_GA]])-1)/(Backend!$B$4/100*Table1[[#This Row],[BW40_3705]]),"")</f>
        <v/>
      </c>
      <c r="J6541" s="7" t="str">
        <f>IF(Table1[[#This Row],[Is Data Valid]]=TRUE,_xlfn.NORM.S.DIST(Table1[[#This Row],[Birthweight Z-Score]],TRUE)*100,"")</f>
        <v/>
      </c>
      <c r="K6541" s="7" t="str">
        <f>IF(Table1[[#This Row],[Is Data Valid]]=TRUE,_xlfn.NORM.S.DIST(Table1[[#This Row],[Birthweight Z-Score (BW-10%)]],TRUE)*100,"")</f>
        <v/>
      </c>
      <c r="L6541" s="7" t="str">
        <f>IF(Table1[[#This Row],[Is Data Valid]]=TRUE,_xlfn.NORM.S.DIST(Table1[[#This Row],[Birthweight Z-Score (BW+10%)]],TRUE)*100,"")</f>
        <v/>
      </c>
    </row>
    <row r="6542" spans="1:12" x14ac:dyDescent="0.35">
      <c r="A6542" s="3"/>
      <c r="B6542" s="2"/>
      <c r="C6542" s="2"/>
      <c r="D6542" s="2" t="b">
        <f>IF(AND(NOT(ISBLANK(Table1[[#This Row],[Fetal Sex (Male, Female or Unknown)]])),ISNUMBER(Table1[[#This Row],[Birthweight (grams)]]),ISNUMBER(Table1[[#This Row],[Gestation (days)]])),TRUE,FALSE)</f>
        <v>0</v>
      </c>
      <c r="E6542" s="2" t="str">
        <f>IF(Table1[[#This Row],[Is Data Valid]]=TRUE,IF(Table1[[#This Row],[Fetal Sex (Male, Female or Unknown)]]="Male",Backend!$C$6,IF(Table1[[#This Row],[Fetal Sex (Male, Female or Unknown)]]="Female",Backend!$C$7,IF(Table1[[#This Row],[Fetal Sex (Male, Female or Unknown)]]="Unknown",Backend!$C$8,"Error"))),"")</f>
        <v/>
      </c>
      <c r="F6542" s="8" t="str">
        <f>IF(Table1[[#This Row],[Is Data Valid]]=TRUE,EXP(0.578+0.332*((Table1[[#This Row],[Gestation (days)]]+0.5)/7)-0.00354*((Table1[[#This Row],[Gestation (days)]]+0.5)/7)^2)*Table1[[#This Row],[BW40_3705]],"")</f>
        <v/>
      </c>
      <c r="G6542" s="2" t="str">
        <f>IF(Table1[[#This Row],[Is Data Valid]]=TRUE,((Table1[[#This Row],[Birthweight (grams)]]/Table1[[#This Row],[BW_GA]])-1)/(Backend!$B$4/100*Table1[[#This Row],[BW40_3705]]),"")</f>
        <v/>
      </c>
      <c r="H6542" s="7" t="str">
        <f>IF(Table1[[#This Row],[Is Data Valid]]=TRUE,((Table1[[#This Row],[Birthweight (grams)]]*0.9/Table1[[#This Row],[BW_GA]])-1)/(Backend!$B$4/100*Table1[[#This Row],[BW40_3705]]),"")</f>
        <v/>
      </c>
      <c r="I6542" s="7" t="str">
        <f>IF(Table1[[#This Row],[Is Data Valid]]=TRUE,((Table1[[#This Row],[Birthweight (grams)]]*1.1/Table1[[#This Row],[BW_GA]])-1)/(Backend!$B$4/100*Table1[[#This Row],[BW40_3705]]),"")</f>
        <v/>
      </c>
      <c r="J6542" s="7" t="str">
        <f>IF(Table1[[#This Row],[Is Data Valid]]=TRUE,_xlfn.NORM.S.DIST(Table1[[#This Row],[Birthweight Z-Score]],TRUE)*100,"")</f>
        <v/>
      </c>
      <c r="K6542" s="7" t="str">
        <f>IF(Table1[[#This Row],[Is Data Valid]]=TRUE,_xlfn.NORM.S.DIST(Table1[[#This Row],[Birthweight Z-Score (BW-10%)]],TRUE)*100,"")</f>
        <v/>
      </c>
      <c r="L6542" s="7" t="str">
        <f>IF(Table1[[#This Row],[Is Data Valid]]=TRUE,_xlfn.NORM.S.DIST(Table1[[#This Row],[Birthweight Z-Score (BW+10%)]],TRUE)*100,"")</f>
        <v/>
      </c>
    </row>
    <row r="6543" spans="1:12" x14ac:dyDescent="0.35">
      <c r="A6543" s="3"/>
      <c r="B6543" s="2"/>
      <c r="C6543" s="2"/>
      <c r="D6543" s="2" t="b">
        <f>IF(AND(NOT(ISBLANK(Table1[[#This Row],[Fetal Sex (Male, Female or Unknown)]])),ISNUMBER(Table1[[#This Row],[Birthweight (grams)]]),ISNUMBER(Table1[[#This Row],[Gestation (days)]])),TRUE,FALSE)</f>
        <v>0</v>
      </c>
      <c r="E6543" s="2" t="str">
        <f>IF(Table1[[#This Row],[Is Data Valid]]=TRUE,IF(Table1[[#This Row],[Fetal Sex (Male, Female or Unknown)]]="Male",Backend!$C$6,IF(Table1[[#This Row],[Fetal Sex (Male, Female or Unknown)]]="Female",Backend!$C$7,IF(Table1[[#This Row],[Fetal Sex (Male, Female or Unknown)]]="Unknown",Backend!$C$8,"Error"))),"")</f>
        <v/>
      </c>
      <c r="F6543" s="8" t="str">
        <f>IF(Table1[[#This Row],[Is Data Valid]]=TRUE,EXP(0.578+0.332*((Table1[[#This Row],[Gestation (days)]]+0.5)/7)-0.00354*((Table1[[#This Row],[Gestation (days)]]+0.5)/7)^2)*Table1[[#This Row],[BW40_3705]],"")</f>
        <v/>
      </c>
      <c r="G6543" s="2" t="str">
        <f>IF(Table1[[#This Row],[Is Data Valid]]=TRUE,((Table1[[#This Row],[Birthweight (grams)]]/Table1[[#This Row],[BW_GA]])-1)/(Backend!$B$4/100*Table1[[#This Row],[BW40_3705]]),"")</f>
        <v/>
      </c>
      <c r="H6543" s="7" t="str">
        <f>IF(Table1[[#This Row],[Is Data Valid]]=TRUE,((Table1[[#This Row],[Birthweight (grams)]]*0.9/Table1[[#This Row],[BW_GA]])-1)/(Backend!$B$4/100*Table1[[#This Row],[BW40_3705]]),"")</f>
        <v/>
      </c>
      <c r="I6543" s="7" t="str">
        <f>IF(Table1[[#This Row],[Is Data Valid]]=TRUE,((Table1[[#This Row],[Birthweight (grams)]]*1.1/Table1[[#This Row],[BW_GA]])-1)/(Backend!$B$4/100*Table1[[#This Row],[BW40_3705]]),"")</f>
        <v/>
      </c>
      <c r="J6543" s="7" t="str">
        <f>IF(Table1[[#This Row],[Is Data Valid]]=TRUE,_xlfn.NORM.S.DIST(Table1[[#This Row],[Birthweight Z-Score]],TRUE)*100,"")</f>
        <v/>
      </c>
      <c r="K6543" s="7" t="str">
        <f>IF(Table1[[#This Row],[Is Data Valid]]=TRUE,_xlfn.NORM.S.DIST(Table1[[#This Row],[Birthweight Z-Score (BW-10%)]],TRUE)*100,"")</f>
        <v/>
      </c>
      <c r="L6543" s="7" t="str">
        <f>IF(Table1[[#This Row],[Is Data Valid]]=TRUE,_xlfn.NORM.S.DIST(Table1[[#This Row],[Birthweight Z-Score (BW+10%)]],TRUE)*100,"")</f>
        <v/>
      </c>
    </row>
    <row r="6544" spans="1:12" x14ac:dyDescent="0.35">
      <c r="A6544" s="3"/>
      <c r="B6544" s="2"/>
      <c r="C6544" s="2"/>
      <c r="D6544" s="2" t="b">
        <f>IF(AND(NOT(ISBLANK(Table1[[#This Row],[Fetal Sex (Male, Female or Unknown)]])),ISNUMBER(Table1[[#This Row],[Birthweight (grams)]]),ISNUMBER(Table1[[#This Row],[Gestation (days)]])),TRUE,FALSE)</f>
        <v>0</v>
      </c>
      <c r="E6544" s="2" t="str">
        <f>IF(Table1[[#This Row],[Is Data Valid]]=TRUE,IF(Table1[[#This Row],[Fetal Sex (Male, Female or Unknown)]]="Male",Backend!$C$6,IF(Table1[[#This Row],[Fetal Sex (Male, Female or Unknown)]]="Female",Backend!$C$7,IF(Table1[[#This Row],[Fetal Sex (Male, Female or Unknown)]]="Unknown",Backend!$C$8,"Error"))),"")</f>
        <v/>
      </c>
      <c r="F6544" s="8" t="str">
        <f>IF(Table1[[#This Row],[Is Data Valid]]=TRUE,EXP(0.578+0.332*((Table1[[#This Row],[Gestation (days)]]+0.5)/7)-0.00354*((Table1[[#This Row],[Gestation (days)]]+0.5)/7)^2)*Table1[[#This Row],[BW40_3705]],"")</f>
        <v/>
      </c>
      <c r="G6544" s="2" t="str">
        <f>IF(Table1[[#This Row],[Is Data Valid]]=TRUE,((Table1[[#This Row],[Birthweight (grams)]]/Table1[[#This Row],[BW_GA]])-1)/(Backend!$B$4/100*Table1[[#This Row],[BW40_3705]]),"")</f>
        <v/>
      </c>
      <c r="H6544" s="7" t="str">
        <f>IF(Table1[[#This Row],[Is Data Valid]]=TRUE,((Table1[[#This Row],[Birthweight (grams)]]*0.9/Table1[[#This Row],[BW_GA]])-1)/(Backend!$B$4/100*Table1[[#This Row],[BW40_3705]]),"")</f>
        <v/>
      </c>
      <c r="I6544" s="7" t="str">
        <f>IF(Table1[[#This Row],[Is Data Valid]]=TRUE,((Table1[[#This Row],[Birthweight (grams)]]*1.1/Table1[[#This Row],[BW_GA]])-1)/(Backend!$B$4/100*Table1[[#This Row],[BW40_3705]]),"")</f>
        <v/>
      </c>
      <c r="J6544" s="7" t="str">
        <f>IF(Table1[[#This Row],[Is Data Valid]]=TRUE,_xlfn.NORM.S.DIST(Table1[[#This Row],[Birthweight Z-Score]],TRUE)*100,"")</f>
        <v/>
      </c>
      <c r="K6544" s="7" t="str">
        <f>IF(Table1[[#This Row],[Is Data Valid]]=TRUE,_xlfn.NORM.S.DIST(Table1[[#This Row],[Birthweight Z-Score (BW-10%)]],TRUE)*100,"")</f>
        <v/>
      </c>
      <c r="L6544" s="7" t="str">
        <f>IF(Table1[[#This Row],[Is Data Valid]]=TRUE,_xlfn.NORM.S.DIST(Table1[[#This Row],[Birthweight Z-Score (BW+10%)]],TRUE)*100,"")</f>
        <v/>
      </c>
    </row>
    <row r="6545" spans="1:12" x14ac:dyDescent="0.35">
      <c r="A6545" s="3"/>
      <c r="B6545" s="2"/>
      <c r="C6545" s="2"/>
      <c r="D6545" s="2" t="b">
        <f>IF(AND(NOT(ISBLANK(Table1[[#This Row],[Fetal Sex (Male, Female or Unknown)]])),ISNUMBER(Table1[[#This Row],[Birthweight (grams)]]),ISNUMBER(Table1[[#This Row],[Gestation (days)]])),TRUE,FALSE)</f>
        <v>0</v>
      </c>
      <c r="E6545" s="2" t="str">
        <f>IF(Table1[[#This Row],[Is Data Valid]]=TRUE,IF(Table1[[#This Row],[Fetal Sex (Male, Female or Unknown)]]="Male",Backend!$C$6,IF(Table1[[#This Row],[Fetal Sex (Male, Female or Unknown)]]="Female",Backend!$C$7,IF(Table1[[#This Row],[Fetal Sex (Male, Female or Unknown)]]="Unknown",Backend!$C$8,"Error"))),"")</f>
        <v/>
      </c>
      <c r="F6545" s="8" t="str">
        <f>IF(Table1[[#This Row],[Is Data Valid]]=TRUE,EXP(0.578+0.332*((Table1[[#This Row],[Gestation (days)]]+0.5)/7)-0.00354*((Table1[[#This Row],[Gestation (days)]]+0.5)/7)^2)*Table1[[#This Row],[BW40_3705]],"")</f>
        <v/>
      </c>
      <c r="G6545" s="2" t="str">
        <f>IF(Table1[[#This Row],[Is Data Valid]]=TRUE,((Table1[[#This Row],[Birthweight (grams)]]/Table1[[#This Row],[BW_GA]])-1)/(Backend!$B$4/100*Table1[[#This Row],[BW40_3705]]),"")</f>
        <v/>
      </c>
      <c r="H6545" s="7" t="str">
        <f>IF(Table1[[#This Row],[Is Data Valid]]=TRUE,((Table1[[#This Row],[Birthweight (grams)]]*0.9/Table1[[#This Row],[BW_GA]])-1)/(Backend!$B$4/100*Table1[[#This Row],[BW40_3705]]),"")</f>
        <v/>
      </c>
      <c r="I6545" s="7" t="str">
        <f>IF(Table1[[#This Row],[Is Data Valid]]=TRUE,((Table1[[#This Row],[Birthweight (grams)]]*1.1/Table1[[#This Row],[BW_GA]])-1)/(Backend!$B$4/100*Table1[[#This Row],[BW40_3705]]),"")</f>
        <v/>
      </c>
      <c r="J6545" s="7" t="str">
        <f>IF(Table1[[#This Row],[Is Data Valid]]=TRUE,_xlfn.NORM.S.DIST(Table1[[#This Row],[Birthweight Z-Score]],TRUE)*100,"")</f>
        <v/>
      </c>
      <c r="K6545" s="7" t="str">
        <f>IF(Table1[[#This Row],[Is Data Valid]]=TRUE,_xlfn.NORM.S.DIST(Table1[[#This Row],[Birthweight Z-Score (BW-10%)]],TRUE)*100,"")</f>
        <v/>
      </c>
      <c r="L6545" s="7" t="str">
        <f>IF(Table1[[#This Row],[Is Data Valid]]=TRUE,_xlfn.NORM.S.DIST(Table1[[#This Row],[Birthweight Z-Score (BW+10%)]],TRUE)*100,"")</f>
        <v/>
      </c>
    </row>
    <row r="6546" spans="1:12" x14ac:dyDescent="0.35">
      <c r="A6546" s="3"/>
      <c r="B6546" s="2"/>
      <c r="C6546" s="2"/>
      <c r="D6546" s="2" t="b">
        <f>IF(AND(NOT(ISBLANK(Table1[[#This Row],[Fetal Sex (Male, Female or Unknown)]])),ISNUMBER(Table1[[#This Row],[Birthweight (grams)]]),ISNUMBER(Table1[[#This Row],[Gestation (days)]])),TRUE,FALSE)</f>
        <v>0</v>
      </c>
      <c r="E6546" s="2" t="str">
        <f>IF(Table1[[#This Row],[Is Data Valid]]=TRUE,IF(Table1[[#This Row],[Fetal Sex (Male, Female or Unknown)]]="Male",Backend!$C$6,IF(Table1[[#This Row],[Fetal Sex (Male, Female or Unknown)]]="Female",Backend!$C$7,IF(Table1[[#This Row],[Fetal Sex (Male, Female or Unknown)]]="Unknown",Backend!$C$8,"Error"))),"")</f>
        <v/>
      </c>
      <c r="F6546" s="8" t="str">
        <f>IF(Table1[[#This Row],[Is Data Valid]]=TRUE,EXP(0.578+0.332*((Table1[[#This Row],[Gestation (days)]]+0.5)/7)-0.00354*((Table1[[#This Row],[Gestation (days)]]+0.5)/7)^2)*Table1[[#This Row],[BW40_3705]],"")</f>
        <v/>
      </c>
      <c r="G6546" s="2" t="str">
        <f>IF(Table1[[#This Row],[Is Data Valid]]=TRUE,((Table1[[#This Row],[Birthweight (grams)]]/Table1[[#This Row],[BW_GA]])-1)/(Backend!$B$4/100*Table1[[#This Row],[BW40_3705]]),"")</f>
        <v/>
      </c>
      <c r="H6546" s="7" t="str">
        <f>IF(Table1[[#This Row],[Is Data Valid]]=TRUE,((Table1[[#This Row],[Birthweight (grams)]]*0.9/Table1[[#This Row],[BW_GA]])-1)/(Backend!$B$4/100*Table1[[#This Row],[BW40_3705]]),"")</f>
        <v/>
      </c>
      <c r="I6546" s="7" t="str">
        <f>IF(Table1[[#This Row],[Is Data Valid]]=TRUE,((Table1[[#This Row],[Birthweight (grams)]]*1.1/Table1[[#This Row],[BW_GA]])-1)/(Backend!$B$4/100*Table1[[#This Row],[BW40_3705]]),"")</f>
        <v/>
      </c>
      <c r="J6546" s="7" t="str">
        <f>IF(Table1[[#This Row],[Is Data Valid]]=TRUE,_xlfn.NORM.S.DIST(Table1[[#This Row],[Birthweight Z-Score]],TRUE)*100,"")</f>
        <v/>
      </c>
      <c r="K6546" s="7" t="str">
        <f>IF(Table1[[#This Row],[Is Data Valid]]=TRUE,_xlfn.NORM.S.DIST(Table1[[#This Row],[Birthweight Z-Score (BW-10%)]],TRUE)*100,"")</f>
        <v/>
      </c>
      <c r="L6546" s="7" t="str">
        <f>IF(Table1[[#This Row],[Is Data Valid]]=TRUE,_xlfn.NORM.S.DIST(Table1[[#This Row],[Birthweight Z-Score (BW+10%)]],TRUE)*100,"")</f>
        <v/>
      </c>
    </row>
    <row r="6547" spans="1:12" x14ac:dyDescent="0.35">
      <c r="A6547" s="3"/>
      <c r="B6547" s="2"/>
      <c r="C6547" s="2"/>
      <c r="D6547" s="2" t="b">
        <f>IF(AND(NOT(ISBLANK(Table1[[#This Row],[Fetal Sex (Male, Female or Unknown)]])),ISNUMBER(Table1[[#This Row],[Birthweight (grams)]]),ISNUMBER(Table1[[#This Row],[Gestation (days)]])),TRUE,FALSE)</f>
        <v>0</v>
      </c>
      <c r="E6547" s="2" t="str">
        <f>IF(Table1[[#This Row],[Is Data Valid]]=TRUE,IF(Table1[[#This Row],[Fetal Sex (Male, Female or Unknown)]]="Male",Backend!$C$6,IF(Table1[[#This Row],[Fetal Sex (Male, Female or Unknown)]]="Female",Backend!$C$7,IF(Table1[[#This Row],[Fetal Sex (Male, Female or Unknown)]]="Unknown",Backend!$C$8,"Error"))),"")</f>
        <v/>
      </c>
      <c r="F6547" s="8" t="str">
        <f>IF(Table1[[#This Row],[Is Data Valid]]=TRUE,EXP(0.578+0.332*((Table1[[#This Row],[Gestation (days)]]+0.5)/7)-0.00354*((Table1[[#This Row],[Gestation (days)]]+0.5)/7)^2)*Table1[[#This Row],[BW40_3705]],"")</f>
        <v/>
      </c>
      <c r="G6547" s="2" t="str">
        <f>IF(Table1[[#This Row],[Is Data Valid]]=TRUE,((Table1[[#This Row],[Birthweight (grams)]]/Table1[[#This Row],[BW_GA]])-1)/(Backend!$B$4/100*Table1[[#This Row],[BW40_3705]]),"")</f>
        <v/>
      </c>
      <c r="H6547" s="7" t="str">
        <f>IF(Table1[[#This Row],[Is Data Valid]]=TRUE,((Table1[[#This Row],[Birthweight (grams)]]*0.9/Table1[[#This Row],[BW_GA]])-1)/(Backend!$B$4/100*Table1[[#This Row],[BW40_3705]]),"")</f>
        <v/>
      </c>
      <c r="I6547" s="7" t="str">
        <f>IF(Table1[[#This Row],[Is Data Valid]]=TRUE,((Table1[[#This Row],[Birthweight (grams)]]*1.1/Table1[[#This Row],[BW_GA]])-1)/(Backend!$B$4/100*Table1[[#This Row],[BW40_3705]]),"")</f>
        <v/>
      </c>
      <c r="J6547" s="7" t="str">
        <f>IF(Table1[[#This Row],[Is Data Valid]]=TRUE,_xlfn.NORM.S.DIST(Table1[[#This Row],[Birthweight Z-Score]],TRUE)*100,"")</f>
        <v/>
      </c>
      <c r="K6547" s="7" t="str">
        <f>IF(Table1[[#This Row],[Is Data Valid]]=TRUE,_xlfn.NORM.S.DIST(Table1[[#This Row],[Birthweight Z-Score (BW-10%)]],TRUE)*100,"")</f>
        <v/>
      </c>
      <c r="L6547" s="7" t="str">
        <f>IF(Table1[[#This Row],[Is Data Valid]]=TRUE,_xlfn.NORM.S.DIST(Table1[[#This Row],[Birthweight Z-Score (BW+10%)]],TRUE)*100,"")</f>
        <v/>
      </c>
    </row>
    <row r="6548" spans="1:12" x14ac:dyDescent="0.35">
      <c r="A6548" s="3"/>
      <c r="B6548" s="2"/>
      <c r="C6548" s="2"/>
      <c r="D6548" s="2" t="b">
        <f>IF(AND(NOT(ISBLANK(Table1[[#This Row],[Fetal Sex (Male, Female or Unknown)]])),ISNUMBER(Table1[[#This Row],[Birthweight (grams)]]),ISNUMBER(Table1[[#This Row],[Gestation (days)]])),TRUE,FALSE)</f>
        <v>0</v>
      </c>
      <c r="E6548" s="2" t="str">
        <f>IF(Table1[[#This Row],[Is Data Valid]]=TRUE,IF(Table1[[#This Row],[Fetal Sex (Male, Female or Unknown)]]="Male",Backend!$C$6,IF(Table1[[#This Row],[Fetal Sex (Male, Female or Unknown)]]="Female",Backend!$C$7,IF(Table1[[#This Row],[Fetal Sex (Male, Female or Unknown)]]="Unknown",Backend!$C$8,"Error"))),"")</f>
        <v/>
      </c>
      <c r="F6548" s="8" t="str">
        <f>IF(Table1[[#This Row],[Is Data Valid]]=TRUE,EXP(0.578+0.332*((Table1[[#This Row],[Gestation (days)]]+0.5)/7)-0.00354*((Table1[[#This Row],[Gestation (days)]]+0.5)/7)^2)*Table1[[#This Row],[BW40_3705]],"")</f>
        <v/>
      </c>
      <c r="G6548" s="2" t="str">
        <f>IF(Table1[[#This Row],[Is Data Valid]]=TRUE,((Table1[[#This Row],[Birthweight (grams)]]/Table1[[#This Row],[BW_GA]])-1)/(Backend!$B$4/100*Table1[[#This Row],[BW40_3705]]),"")</f>
        <v/>
      </c>
      <c r="H6548" s="7" t="str">
        <f>IF(Table1[[#This Row],[Is Data Valid]]=TRUE,((Table1[[#This Row],[Birthweight (grams)]]*0.9/Table1[[#This Row],[BW_GA]])-1)/(Backend!$B$4/100*Table1[[#This Row],[BW40_3705]]),"")</f>
        <v/>
      </c>
      <c r="I6548" s="7" t="str">
        <f>IF(Table1[[#This Row],[Is Data Valid]]=TRUE,((Table1[[#This Row],[Birthweight (grams)]]*1.1/Table1[[#This Row],[BW_GA]])-1)/(Backend!$B$4/100*Table1[[#This Row],[BW40_3705]]),"")</f>
        <v/>
      </c>
      <c r="J6548" s="7" t="str">
        <f>IF(Table1[[#This Row],[Is Data Valid]]=TRUE,_xlfn.NORM.S.DIST(Table1[[#This Row],[Birthweight Z-Score]],TRUE)*100,"")</f>
        <v/>
      </c>
      <c r="K6548" s="7" t="str">
        <f>IF(Table1[[#This Row],[Is Data Valid]]=TRUE,_xlfn.NORM.S.DIST(Table1[[#This Row],[Birthweight Z-Score (BW-10%)]],TRUE)*100,"")</f>
        <v/>
      </c>
      <c r="L6548" s="7" t="str">
        <f>IF(Table1[[#This Row],[Is Data Valid]]=TRUE,_xlfn.NORM.S.DIST(Table1[[#This Row],[Birthweight Z-Score (BW+10%)]],TRUE)*100,"")</f>
        <v/>
      </c>
    </row>
    <row r="6549" spans="1:12" x14ac:dyDescent="0.35">
      <c r="A6549" s="3"/>
      <c r="B6549" s="2"/>
      <c r="C6549" s="2"/>
      <c r="D6549" s="2" t="b">
        <f>IF(AND(NOT(ISBLANK(Table1[[#This Row],[Fetal Sex (Male, Female or Unknown)]])),ISNUMBER(Table1[[#This Row],[Birthweight (grams)]]),ISNUMBER(Table1[[#This Row],[Gestation (days)]])),TRUE,FALSE)</f>
        <v>0</v>
      </c>
      <c r="E6549" s="2" t="str">
        <f>IF(Table1[[#This Row],[Is Data Valid]]=TRUE,IF(Table1[[#This Row],[Fetal Sex (Male, Female or Unknown)]]="Male",Backend!$C$6,IF(Table1[[#This Row],[Fetal Sex (Male, Female or Unknown)]]="Female",Backend!$C$7,IF(Table1[[#This Row],[Fetal Sex (Male, Female or Unknown)]]="Unknown",Backend!$C$8,"Error"))),"")</f>
        <v/>
      </c>
      <c r="F6549" s="8" t="str">
        <f>IF(Table1[[#This Row],[Is Data Valid]]=TRUE,EXP(0.578+0.332*((Table1[[#This Row],[Gestation (days)]]+0.5)/7)-0.00354*((Table1[[#This Row],[Gestation (days)]]+0.5)/7)^2)*Table1[[#This Row],[BW40_3705]],"")</f>
        <v/>
      </c>
      <c r="G6549" s="2" t="str">
        <f>IF(Table1[[#This Row],[Is Data Valid]]=TRUE,((Table1[[#This Row],[Birthweight (grams)]]/Table1[[#This Row],[BW_GA]])-1)/(Backend!$B$4/100*Table1[[#This Row],[BW40_3705]]),"")</f>
        <v/>
      </c>
      <c r="H6549" s="7" t="str">
        <f>IF(Table1[[#This Row],[Is Data Valid]]=TRUE,((Table1[[#This Row],[Birthweight (grams)]]*0.9/Table1[[#This Row],[BW_GA]])-1)/(Backend!$B$4/100*Table1[[#This Row],[BW40_3705]]),"")</f>
        <v/>
      </c>
      <c r="I6549" s="7" t="str">
        <f>IF(Table1[[#This Row],[Is Data Valid]]=TRUE,((Table1[[#This Row],[Birthweight (grams)]]*1.1/Table1[[#This Row],[BW_GA]])-1)/(Backend!$B$4/100*Table1[[#This Row],[BW40_3705]]),"")</f>
        <v/>
      </c>
      <c r="J6549" s="7" t="str">
        <f>IF(Table1[[#This Row],[Is Data Valid]]=TRUE,_xlfn.NORM.S.DIST(Table1[[#This Row],[Birthweight Z-Score]],TRUE)*100,"")</f>
        <v/>
      </c>
      <c r="K6549" s="7" t="str">
        <f>IF(Table1[[#This Row],[Is Data Valid]]=TRUE,_xlfn.NORM.S.DIST(Table1[[#This Row],[Birthweight Z-Score (BW-10%)]],TRUE)*100,"")</f>
        <v/>
      </c>
      <c r="L6549" s="7" t="str">
        <f>IF(Table1[[#This Row],[Is Data Valid]]=TRUE,_xlfn.NORM.S.DIST(Table1[[#This Row],[Birthweight Z-Score (BW+10%)]],TRUE)*100,"")</f>
        <v/>
      </c>
    </row>
    <row r="6550" spans="1:12" x14ac:dyDescent="0.35">
      <c r="A6550" s="3"/>
      <c r="B6550" s="2"/>
      <c r="C6550" s="2"/>
      <c r="D6550" s="2" t="b">
        <f>IF(AND(NOT(ISBLANK(Table1[[#This Row],[Fetal Sex (Male, Female or Unknown)]])),ISNUMBER(Table1[[#This Row],[Birthweight (grams)]]),ISNUMBER(Table1[[#This Row],[Gestation (days)]])),TRUE,FALSE)</f>
        <v>0</v>
      </c>
      <c r="E6550" s="2" t="str">
        <f>IF(Table1[[#This Row],[Is Data Valid]]=TRUE,IF(Table1[[#This Row],[Fetal Sex (Male, Female or Unknown)]]="Male",Backend!$C$6,IF(Table1[[#This Row],[Fetal Sex (Male, Female or Unknown)]]="Female",Backend!$C$7,IF(Table1[[#This Row],[Fetal Sex (Male, Female or Unknown)]]="Unknown",Backend!$C$8,"Error"))),"")</f>
        <v/>
      </c>
      <c r="F6550" s="8" t="str">
        <f>IF(Table1[[#This Row],[Is Data Valid]]=TRUE,EXP(0.578+0.332*((Table1[[#This Row],[Gestation (days)]]+0.5)/7)-0.00354*((Table1[[#This Row],[Gestation (days)]]+0.5)/7)^2)*Table1[[#This Row],[BW40_3705]],"")</f>
        <v/>
      </c>
      <c r="G6550" s="2" t="str">
        <f>IF(Table1[[#This Row],[Is Data Valid]]=TRUE,((Table1[[#This Row],[Birthweight (grams)]]/Table1[[#This Row],[BW_GA]])-1)/(Backend!$B$4/100*Table1[[#This Row],[BW40_3705]]),"")</f>
        <v/>
      </c>
      <c r="H6550" s="7" t="str">
        <f>IF(Table1[[#This Row],[Is Data Valid]]=TRUE,((Table1[[#This Row],[Birthweight (grams)]]*0.9/Table1[[#This Row],[BW_GA]])-1)/(Backend!$B$4/100*Table1[[#This Row],[BW40_3705]]),"")</f>
        <v/>
      </c>
      <c r="I6550" s="7" t="str">
        <f>IF(Table1[[#This Row],[Is Data Valid]]=TRUE,((Table1[[#This Row],[Birthweight (grams)]]*1.1/Table1[[#This Row],[BW_GA]])-1)/(Backend!$B$4/100*Table1[[#This Row],[BW40_3705]]),"")</f>
        <v/>
      </c>
      <c r="J6550" s="7" t="str">
        <f>IF(Table1[[#This Row],[Is Data Valid]]=TRUE,_xlfn.NORM.S.DIST(Table1[[#This Row],[Birthweight Z-Score]],TRUE)*100,"")</f>
        <v/>
      </c>
      <c r="K6550" s="7" t="str">
        <f>IF(Table1[[#This Row],[Is Data Valid]]=TRUE,_xlfn.NORM.S.DIST(Table1[[#This Row],[Birthweight Z-Score (BW-10%)]],TRUE)*100,"")</f>
        <v/>
      </c>
      <c r="L6550" s="7" t="str">
        <f>IF(Table1[[#This Row],[Is Data Valid]]=TRUE,_xlfn.NORM.S.DIST(Table1[[#This Row],[Birthweight Z-Score (BW+10%)]],TRUE)*100,"")</f>
        <v/>
      </c>
    </row>
    <row r="6551" spans="1:12" x14ac:dyDescent="0.35">
      <c r="A6551" s="3"/>
      <c r="B6551" s="2"/>
      <c r="C6551" s="2"/>
      <c r="D6551" s="2" t="b">
        <f>IF(AND(NOT(ISBLANK(Table1[[#This Row],[Fetal Sex (Male, Female or Unknown)]])),ISNUMBER(Table1[[#This Row],[Birthweight (grams)]]),ISNUMBER(Table1[[#This Row],[Gestation (days)]])),TRUE,FALSE)</f>
        <v>0</v>
      </c>
      <c r="E6551" s="2" t="str">
        <f>IF(Table1[[#This Row],[Is Data Valid]]=TRUE,IF(Table1[[#This Row],[Fetal Sex (Male, Female or Unknown)]]="Male",Backend!$C$6,IF(Table1[[#This Row],[Fetal Sex (Male, Female or Unknown)]]="Female",Backend!$C$7,IF(Table1[[#This Row],[Fetal Sex (Male, Female or Unknown)]]="Unknown",Backend!$C$8,"Error"))),"")</f>
        <v/>
      </c>
      <c r="F6551" s="8" t="str">
        <f>IF(Table1[[#This Row],[Is Data Valid]]=TRUE,EXP(0.578+0.332*((Table1[[#This Row],[Gestation (days)]]+0.5)/7)-0.00354*((Table1[[#This Row],[Gestation (days)]]+0.5)/7)^2)*Table1[[#This Row],[BW40_3705]],"")</f>
        <v/>
      </c>
      <c r="G6551" s="2" t="str">
        <f>IF(Table1[[#This Row],[Is Data Valid]]=TRUE,((Table1[[#This Row],[Birthweight (grams)]]/Table1[[#This Row],[BW_GA]])-1)/(Backend!$B$4/100*Table1[[#This Row],[BW40_3705]]),"")</f>
        <v/>
      </c>
      <c r="H6551" s="7" t="str">
        <f>IF(Table1[[#This Row],[Is Data Valid]]=TRUE,((Table1[[#This Row],[Birthweight (grams)]]*0.9/Table1[[#This Row],[BW_GA]])-1)/(Backend!$B$4/100*Table1[[#This Row],[BW40_3705]]),"")</f>
        <v/>
      </c>
      <c r="I6551" s="7" t="str">
        <f>IF(Table1[[#This Row],[Is Data Valid]]=TRUE,((Table1[[#This Row],[Birthweight (grams)]]*1.1/Table1[[#This Row],[BW_GA]])-1)/(Backend!$B$4/100*Table1[[#This Row],[BW40_3705]]),"")</f>
        <v/>
      </c>
      <c r="J6551" s="7" t="str">
        <f>IF(Table1[[#This Row],[Is Data Valid]]=TRUE,_xlfn.NORM.S.DIST(Table1[[#This Row],[Birthweight Z-Score]],TRUE)*100,"")</f>
        <v/>
      </c>
      <c r="K6551" s="7" t="str">
        <f>IF(Table1[[#This Row],[Is Data Valid]]=TRUE,_xlfn.NORM.S.DIST(Table1[[#This Row],[Birthweight Z-Score (BW-10%)]],TRUE)*100,"")</f>
        <v/>
      </c>
      <c r="L6551" s="7" t="str">
        <f>IF(Table1[[#This Row],[Is Data Valid]]=TRUE,_xlfn.NORM.S.DIST(Table1[[#This Row],[Birthweight Z-Score (BW+10%)]],TRUE)*100,"")</f>
        <v/>
      </c>
    </row>
    <row r="6552" spans="1:12" x14ac:dyDescent="0.35">
      <c r="A6552" s="3"/>
      <c r="B6552" s="2"/>
      <c r="C6552" s="2"/>
      <c r="D6552" s="2" t="b">
        <f>IF(AND(NOT(ISBLANK(Table1[[#This Row],[Fetal Sex (Male, Female or Unknown)]])),ISNUMBER(Table1[[#This Row],[Birthweight (grams)]]),ISNUMBER(Table1[[#This Row],[Gestation (days)]])),TRUE,FALSE)</f>
        <v>0</v>
      </c>
      <c r="E6552" s="2" t="str">
        <f>IF(Table1[[#This Row],[Is Data Valid]]=TRUE,IF(Table1[[#This Row],[Fetal Sex (Male, Female or Unknown)]]="Male",Backend!$C$6,IF(Table1[[#This Row],[Fetal Sex (Male, Female or Unknown)]]="Female",Backend!$C$7,IF(Table1[[#This Row],[Fetal Sex (Male, Female or Unknown)]]="Unknown",Backend!$C$8,"Error"))),"")</f>
        <v/>
      </c>
      <c r="F6552" s="8" t="str">
        <f>IF(Table1[[#This Row],[Is Data Valid]]=TRUE,EXP(0.578+0.332*((Table1[[#This Row],[Gestation (days)]]+0.5)/7)-0.00354*((Table1[[#This Row],[Gestation (days)]]+0.5)/7)^2)*Table1[[#This Row],[BW40_3705]],"")</f>
        <v/>
      </c>
      <c r="G6552" s="2" t="str">
        <f>IF(Table1[[#This Row],[Is Data Valid]]=TRUE,((Table1[[#This Row],[Birthweight (grams)]]/Table1[[#This Row],[BW_GA]])-1)/(Backend!$B$4/100*Table1[[#This Row],[BW40_3705]]),"")</f>
        <v/>
      </c>
      <c r="H6552" s="7" t="str">
        <f>IF(Table1[[#This Row],[Is Data Valid]]=TRUE,((Table1[[#This Row],[Birthweight (grams)]]*0.9/Table1[[#This Row],[BW_GA]])-1)/(Backend!$B$4/100*Table1[[#This Row],[BW40_3705]]),"")</f>
        <v/>
      </c>
      <c r="I6552" s="7" t="str">
        <f>IF(Table1[[#This Row],[Is Data Valid]]=TRUE,((Table1[[#This Row],[Birthweight (grams)]]*1.1/Table1[[#This Row],[BW_GA]])-1)/(Backend!$B$4/100*Table1[[#This Row],[BW40_3705]]),"")</f>
        <v/>
      </c>
      <c r="J6552" s="7" t="str">
        <f>IF(Table1[[#This Row],[Is Data Valid]]=TRUE,_xlfn.NORM.S.DIST(Table1[[#This Row],[Birthweight Z-Score]],TRUE)*100,"")</f>
        <v/>
      </c>
      <c r="K6552" s="7" t="str">
        <f>IF(Table1[[#This Row],[Is Data Valid]]=TRUE,_xlfn.NORM.S.DIST(Table1[[#This Row],[Birthweight Z-Score (BW-10%)]],TRUE)*100,"")</f>
        <v/>
      </c>
      <c r="L6552" s="7" t="str">
        <f>IF(Table1[[#This Row],[Is Data Valid]]=TRUE,_xlfn.NORM.S.DIST(Table1[[#This Row],[Birthweight Z-Score (BW+10%)]],TRUE)*100,"")</f>
        <v/>
      </c>
    </row>
    <row r="6553" spans="1:12" x14ac:dyDescent="0.35">
      <c r="A6553" s="3"/>
      <c r="B6553" s="2"/>
      <c r="C6553" s="2"/>
      <c r="D6553" s="2" t="b">
        <f>IF(AND(NOT(ISBLANK(Table1[[#This Row],[Fetal Sex (Male, Female or Unknown)]])),ISNUMBER(Table1[[#This Row],[Birthweight (grams)]]),ISNUMBER(Table1[[#This Row],[Gestation (days)]])),TRUE,FALSE)</f>
        <v>0</v>
      </c>
      <c r="E6553" s="2" t="str">
        <f>IF(Table1[[#This Row],[Is Data Valid]]=TRUE,IF(Table1[[#This Row],[Fetal Sex (Male, Female or Unknown)]]="Male",Backend!$C$6,IF(Table1[[#This Row],[Fetal Sex (Male, Female or Unknown)]]="Female",Backend!$C$7,IF(Table1[[#This Row],[Fetal Sex (Male, Female or Unknown)]]="Unknown",Backend!$C$8,"Error"))),"")</f>
        <v/>
      </c>
      <c r="F6553" s="8" t="str">
        <f>IF(Table1[[#This Row],[Is Data Valid]]=TRUE,EXP(0.578+0.332*((Table1[[#This Row],[Gestation (days)]]+0.5)/7)-0.00354*((Table1[[#This Row],[Gestation (days)]]+0.5)/7)^2)*Table1[[#This Row],[BW40_3705]],"")</f>
        <v/>
      </c>
      <c r="G6553" s="2" t="str">
        <f>IF(Table1[[#This Row],[Is Data Valid]]=TRUE,((Table1[[#This Row],[Birthweight (grams)]]/Table1[[#This Row],[BW_GA]])-1)/(Backend!$B$4/100*Table1[[#This Row],[BW40_3705]]),"")</f>
        <v/>
      </c>
      <c r="H6553" s="7" t="str">
        <f>IF(Table1[[#This Row],[Is Data Valid]]=TRUE,((Table1[[#This Row],[Birthweight (grams)]]*0.9/Table1[[#This Row],[BW_GA]])-1)/(Backend!$B$4/100*Table1[[#This Row],[BW40_3705]]),"")</f>
        <v/>
      </c>
      <c r="I6553" s="7" t="str">
        <f>IF(Table1[[#This Row],[Is Data Valid]]=TRUE,((Table1[[#This Row],[Birthweight (grams)]]*1.1/Table1[[#This Row],[BW_GA]])-1)/(Backend!$B$4/100*Table1[[#This Row],[BW40_3705]]),"")</f>
        <v/>
      </c>
      <c r="J6553" s="7" t="str">
        <f>IF(Table1[[#This Row],[Is Data Valid]]=TRUE,_xlfn.NORM.S.DIST(Table1[[#This Row],[Birthweight Z-Score]],TRUE)*100,"")</f>
        <v/>
      </c>
      <c r="K6553" s="7" t="str">
        <f>IF(Table1[[#This Row],[Is Data Valid]]=TRUE,_xlfn.NORM.S.DIST(Table1[[#This Row],[Birthweight Z-Score (BW-10%)]],TRUE)*100,"")</f>
        <v/>
      </c>
      <c r="L6553" s="7" t="str">
        <f>IF(Table1[[#This Row],[Is Data Valid]]=TRUE,_xlfn.NORM.S.DIST(Table1[[#This Row],[Birthweight Z-Score (BW+10%)]],TRUE)*100,"")</f>
        <v/>
      </c>
    </row>
    <row r="6554" spans="1:12" x14ac:dyDescent="0.35">
      <c r="A6554" s="3"/>
      <c r="B6554" s="2"/>
      <c r="C6554" s="2"/>
      <c r="D6554" s="2" t="b">
        <f>IF(AND(NOT(ISBLANK(Table1[[#This Row],[Fetal Sex (Male, Female or Unknown)]])),ISNUMBER(Table1[[#This Row],[Birthweight (grams)]]),ISNUMBER(Table1[[#This Row],[Gestation (days)]])),TRUE,FALSE)</f>
        <v>0</v>
      </c>
      <c r="E6554" s="2" t="str">
        <f>IF(Table1[[#This Row],[Is Data Valid]]=TRUE,IF(Table1[[#This Row],[Fetal Sex (Male, Female or Unknown)]]="Male",Backend!$C$6,IF(Table1[[#This Row],[Fetal Sex (Male, Female or Unknown)]]="Female",Backend!$C$7,IF(Table1[[#This Row],[Fetal Sex (Male, Female or Unknown)]]="Unknown",Backend!$C$8,"Error"))),"")</f>
        <v/>
      </c>
      <c r="F6554" s="8" t="str">
        <f>IF(Table1[[#This Row],[Is Data Valid]]=TRUE,EXP(0.578+0.332*((Table1[[#This Row],[Gestation (days)]]+0.5)/7)-0.00354*((Table1[[#This Row],[Gestation (days)]]+0.5)/7)^2)*Table1[[#This Row],[BW40_3705]],"")</f>
        <v/>
      </c>
      <c r="G6554" s="2" t="str">
        <f>IF(Table1[[#This Row],[Is Data Valid]]=TRUE,((Table1[[#This Row],[Birthweight (grams)]]/Table1[[#This Row],[BW_GA]])-1)/(Backend!$B$4/100*Table1[[#This Row],[BW40_3705]]),"")</f>
        <v/>
      </c>
      <c r="H6554" s="7" t="str">
        <f>IF(Table1[[#This Row],[Is Data Valid]]=TRUE,((Table1[[#This Row],[Birthweight (grams)]]*0.9/Table1[[#This Row],[BW_GA]])-1)/(Backend!$B$4/100*Table1[[#This Row],[BW40_3705]]),"")</f>
        <v/>
      </c>
      <c r="I6554" s="7" t="str">
        <f>IF(Table1[[#This Row],[Is Data Valid]]=TRUE,((Table1[[#This Row],[Birthweight (grams)]]*1.1/Table1[[#This Row],[BW_GA]])-1)/(Backend!$B$4/100*Table1[[#This Row],[BW40_3705]]),"")</f>
        <v/>
      </c>
      <c r="J6554" s="7" t="str">
        <f>IF(Table1[[#This Row],[Is Data Valid]]=TRUE,_xlfn.NORM.S.DIST(Table1[[#This Row],[Birthweight Z-Score]],TRUE)*100,"")</f>
        <v/>
      </c>
      <c r="K6554" s="7" t="str">
        <f>IF(Table1[[#This Row],[Is Data Valid]]=TRUE,_xlfn.NORM.S.DIST(Table1[[#This Row],[Birthweight Z-Score (BW-10%)]],TRUE)*100,"")</f>
        <v/>
      </c>
      <c r="L6554" s="7" t="str">
        <f>IF(Table1[[#This Row],[Is Data Valid]]=TRUE,_xlfn.NORM.S.DIST(Table1[[#This Row],[Birthweight Z-Score (BW+10%)]],TRUE)*100,"")</f>
        <v/>
      </c>
    </row>
    <row r="6555" spans="1:12" x14ac:dyDescent="0.35">
      <c r="A6555" s="3"/>
      <c r="B6555" s="2"/>
      <c r="C6555" s="2"/>
      <c r="D6555" s="2" t="b">
        <f>IF(AND(NOT(ISBLANK(Table1[[#This Row],[Fetal Sex (Male, Female or Unknown)]])),ISNUMBER(Table1[[#This Row],[Birthweight (grams)]]),ISNUMBER(Table1[[#This Row],[Gestation (days)]])),TRUE,FALSE)</f>
        <v>0</v>
      </c>
      <c r="E6555" s="2" t="str">
        <f>IF(Table1[[#This Row],[Is Data Valid]]=TRUE,IF(Table1[[#This Row],[Fetal Sex (Male, Female or Unknown)]]="Male",Backend!$C$6,IF(Table1[[#This Row],[Fetal Sex (Male, Female or Unknown)]]="Female",Backend!$C$7,IF(Table1[[#This Row],[Fetal Sex (Male, Female or Unknown)]]="Unknown",Backend!$C$8,"Error"))),"")</f>
        <v/>
      </c>
      <c r="F6555" s="8" t="str">
        <f>IF(Table1[[#This Row],[Is Data Valid]]=TRUE,EXP(0.578+0.332*((Table1[[#This Row],[Gestation (days)]]+0.5)/7)-0.00354*((Table1[[#This Row],[Gestation (days)]]+0.5)/7)^2)*Table1[[#This Row],[BW40_3705]],"")</f>
        <v/>
      </c>
      <c r="G6555" s="2" t="str">
        <f>IF(Table1[[#This Row],[Is Data Valid]]=TRUE,((Table1[[#This Row],[Birthweight (grams)]]/Table1[[#This Row],[BW_GA]])-1)/(Backend!$B$4/100*Table1[[#This Row],[BW40_3705]]),"")</f>
        <v/>
      </c>
      <c r="H6555" s="7" t="str">
        <f>IF(Table1[[#This Row],[Is Data Valid]]=TRUE,((Table1[[#This Row],[Birthweight (grams)]]*0.9/Table1[[#This Row],[BW_GA]])-1)/(Backend!$B$4/100*Table1[[#This Row],[BW40_3705]]),"")</f>
        <v/>
      </c>
      <c r="I6555" s="7" t="str">
        <f>IF(Table1[[#This Row],[Is Data Valid]]=TRUE,((Table1[[#This Row],[Birthweight (grams)]]*1.1/Table1[[#This Row],[BW_GA]])-1)/(Backend!$B$4/100*Table1[[#This Row],[BW40_3705]]),"")</f>
        <v/>
      </c>
      <c r="J6555" s="7" t="str">
        <f>IF(Table1[[#This Row],[Is Data Valid]]=TRUE,_xlfn.NORM.S.DIST(Table1[[#This Row],[Birthweight Z-Score]],TRUE)*100,"")</f>
        <v/>
      </c>
      <c r="K6555" s="7" t="str">
        <f>IF(Table1[[#This Row],[Is Data Valid]]=TRUE,_xlfn.NORM.S.DIST(Table1[[#This Row],[Birthweight Z-Score (BW-10%)]],TRUE)*100,"")</f>
        <v/>
      </c>
      <c r="L6555" s="7" t="str">
        <f>IF(Table1[[#This Row],[Is Data Valid]]=TRUE,_xlfn.NORM.S.DIST(Table1[[#This Row],[Birthweight Z-Score (BW+10%)]],TRUE)*100,"")</f>
        <v/>
      </c>
    </row>
    <row r="6556" spans="1:12" x14ac:dyDescent="0.35">
      <c r="A6556" s="3"/>
      <c r="B6556" s="2"/>
      <c r="C6556" s="2"/>
      <c r="D6556" s="2" t="b">
        <f>IF(AND(NOT(ISBLANK(Table1[[#This Row],[Fetal Sex (Male, Female or Unknown)]])),ISNUMBER(Table1[[#This Row],[Birthweight (grams)]]),ISNUMBER(Table1[[#This Row],[Gestation (days)]])),TRUE,FALSE)</f>
        <v>0</v>
      </c>
      <c r="E6556" s="2" t="str">
        <f>IF(Table1[[#This Row],[Is Data Valid]]=TRUE,IF(Table1[[#This Row],[Fetal Sex (Male, Female or Unknown)]]="Male",Backend!$C$6,IF(Table1[[#This Row],[Fetal Sex (Male, Female or Unknown)]]="Female",Backend!$C$7,IF(Table1[[#This Row],[Fetal Sex (Male, Female or Unknown)]]="Unknown",Backend!$C$8,"Error"))),"")</f>
        <v/>
      </c>
      <c r="F6556" s="8" t="str">
        <f>IF(Table1[[#This Row],[Is Data Valid]]=TRUE,EXP(0.578+0.332*((Table1[[#This Row],[Gestation (days)]]+0.5)/7)-0.00354*((Table1[[#This Row],[Gestation (days)]]+0.5)/7)^2)*Table1[[#This Row],[BW40_3705]],"")</f>
        <v/>
      </c>
      <c r="G6556" s="2" t="str">
        <f>IF(Table1[[#This Row],[Is Data Valid]]=TRUE,((Table1[[#This Row],[Birthweight (grams)]]/Table1[[#This Row],[BW_GA]])-1)/(Backend!$B$4/100*Table1[[#This Row],[BW40_3705]]),"")</f>
        <v/>
      </c>
      <c r="H6556" s="7" t="str">
        <f>IF(Table1[[#This Row],[Is Data Valid]]=TRUE,((Table1[[#This Row],[Birthweight (grams)]]*0.9/Table1[[#This Row],[BW_GA]])-1)/(Backend!$B$4/100*Table1[[#This Row],[BW40_3705]]),"")</f>
        <v/>
      </c>
      <c r="I6556" s="7" t="str">
        <f>IF(Table1[[#This Row],[Is Data Valid]]=TRUE,((Table1[[#This Row],[Birthweight (grams)]]*1.1/Table1[[#This Row],[BW_GA]])-1)/(Backend!$B$4/100*Table1[[#This Row],[BW40_3705]]),"")</f>
        <v/>
      </c>
      <c r="J6556" s="7" t="str">
        <f>IF(Table1[[#This Row],[Is Data Valid]]=TRUE,_xlfn.NORM.S.DIST(Table1[[#This Row],[Birthweight Z-Score]],TRUE)*100,"")</f>
        <v/>
      </c>
      <c r="K6556" s="7" t="str">
        <f>IF(Table1[[#This Row],[Is Data Valid]]=TRUE,_xlfn.NORM.S.DIST(Table1[[#This Row],[Birthweight Z-Score (BW-10%)]],TRUE)*100,"")</f>
        <v/>
      </c>
      <c r="L6556" s="7" t="str">
        <f>IF(Table1[[#This Row],[Is Data Valid]]=TRUE,_xlfn.NORM.S.DIST(Table1[[#This Row],[Birthweight Z-Score (BW+10%)]],TRUE)*100,"")</f>
        <v/>
      </c>
    </row>
    <row r="6557" spans="1:12" x14ac:dyDescent="0.35">
      <c r="A6557" s="3"/>
      <c r="B6557" s="2"/>
      <c r="C6557" s="2"/>
      <c r="D6557" s="2" t="b">
        <f>IF(AND(NOT(ISBLANK(Table1[[#This Row],[Fetal Sex (Male, Female or Unknown)]])),ISNUMBER(Table1[[#This Row],[Birthweight (grams)]]),ISNUMBER(Table1[[#This Row],[Gestation (days)]])),TRUE,FALSE)</f>
        <v>0</v>
      </c>
      <c r="E6557" s="2" t="str">
        <f>IF(Table1[[#This Row],[Is Data Valid]]=TRUE,IF(Table1[[#This Row],[Fetal Sex (Male, Female or Unknown)]]="Male",Backend!$C$6,IF(Table1[[#This Row],[Fetal Sex (Male, Female or Unknown)]]="Female",Backend!$C$7,IF(Table1[[#This Row],[Fetal Sex (Male, Female or Unknown)]]="Unknown",Backend!$C$8,"Error"))),"")</f>
        <v/>
      </c>
      <c r="F6557" s="8" t="str">
        <f>IF(Table1[[#This Row],[Is Data Valid]]=TRUE,EXP(0.578+0.332*((Table1[[#This Row],[Gestation (days)]]+0.5)/7)-0.00354*((Table1[[#This Row],[Gestation (days)]]+0.5)/7)^2)*Table1[[#This Row],[BW40_3705]],"")</f>
        <v/>
      </c>
      <c r="G6557" s="2" t="str">
        <f>IF(Table1[[#This Row],[Is Data Valid]]=TRUE,((Table1[[#This Row],[Birthweight (grams)]]/Table1[[#This Row],[BW_GA]])-1)/(Backend!$B$4/100*Table1[[#This Row],[BW40_3705]]),"")</f>
        <v/>
      </c>
      <c r="H6557" s="7" t="str">
        <f>IF(Table1[[#This Row],[Is Data Valid]]=TRUE,((Table1[[#This Row],[Birthweight (grams)]]*0.9/Table1[[#This Row],[BW_GA]])-1)/(Backend!$B$4/100*Table1[[#This Row],[BW40_3705]]),"")</f>
        <v/>
      </c>
      <c r="I6557" s="7" t="str">
        <f>IF(Table1[[#This Row],[Is Data Valid]]=TRUE,((Table1[[#This Row],[Birthweight (grams)]]*1.1/Table1[[#This Row],[BW_GA]])-1)/(Backend!$B$4/100*Table1[[#This Row],[BW40_3705]]),"")</f>
        <v/>
      </c>
      <c r="J6557" s="7" t="str">
        <f>IF(Table1[[#This Row],[Is Data Valid]]=TRUE,_xlfn.NORM.S.DIST(Table1[[#This Row],[Birthweight Z-Score]],TRUE)*100,"")</f>
        <v/>
      </c>
      <c r="K6557" s="7" t="str">
        <f>IF(Table1[[#This Row],[Is Data Valid]]=TRUE,_xlfn.NORM.S.DIST(Table1[[#This Row],[Birthweight Z-Score (BW-10%)]],TRUE)*100,"")</f>
        <v/>
      </c>
      <c r="L6557" s="7" t="str">
        <f>IF(Table1[[#This Row],[Is Data Valid]]=TRUE,_xlfn.NORM.S.DIST(Table1[[#This Row],[Birthweight Z-Score (BW+10%)]],TRUE)*100,"")</f>
        <v/>
      </c>
    </row>
    <row r="6558" spans="1:12" x14ac:dyDescent="0.35">
      <c r="A6558" s="3"/>
      <c r="B6558" s="2"/>
      <c r="C6558" s="2"/>
      <c r="D6558" s="2" t="b">
        <f>IF(AND(NOT(ISBLANK(Table1[[#This Row],[Fetal Sex (Male, Female or Unknown)]])),ISNUMBER(Table1[[#This Row],[Birthweight (grams)]]),ISNUMBER(Table1[[#This Row],[Gestation (days)]])),TRUE,FALSE)</f>
        <v>0</v>
      </c>
      <c r="E6558" s="2" t="str">
        <f>IF(Table1[[#This Row],[Is Data Valid]]=TRUE,IF(Table1[[#This Row],[Fetal Sex (Male, Female or Unknown)]]="Male",Backend!$C$6,IF(Table1[[#This Row],[Fetal Sex (Male, Female or Unknown)]]="Female",Backend!$C$7,IF(Table1[[#This Row],[Fetal Sex (Male, Female or Unknown)]]="Unknown",Backend!$C$8,"Error"))),"")</f>
        <v/>
      </c>
      <c r="F6558" s="8" t="str">
        <f>IF(Table1[[#This Row],[Is Data Valid]]=TRUE,EXP(0.578+0.332*((Table1[[#This Row],[Gestation (days)]]+0.5)/7)-0.00354*((Table1[[#This Row],[Gestation (days)]]+0.5)/7)^2)*Table1[[#This Row],[BW40_3705]],"")</f>
        <v/>
      </c>
      <c r="G6558" s="2" t="str">
        <f>IF(Table1[[#This Row],[Is Data Valid]]=TRUE,((Table1[[#This Row],[Birthweight (grams)]]/Table1[[#This Row],[BW_GA]])-1)/(Backend!$B$4/100*Table1[[#This Row],[BW40_3705]]),"")</f>
        <v/>
      </c>
      <c r="H6558" s="7" t="str">
        <f>IF(Table1[[#This Row],[Is Data Valid]]=TRUE,((Table1[[#This Row],[Birthweight (grams)]]*0.9/Table1[[#This Row],[BW_GA]])-1)/(Backend!$B$4/100*Table1[[#This Row],[BW40_3705]]),"")</f>
        <v/>
      </c>
      <c r="I6558" s="7" t="str">
        <f>IF(Table1[[#This Row],[Is Data Valid]]=TRUE,((Table1[[#This Row],[Birthweight (grams)]]*1.1/Table1[[#This Row],[BW_GA]])-1)/(Backend!$B$4/100*Table1[[#This Row],[BW40_3705]]),"")</f>
        <v/>
      </c>
      <c r="J6558" s="7" t="str">
        <f>IF(Table1[[#This Row],[Is Data Valid]]=TRUE,_xlfn.NORM.S.DIST(Table1[[#This Row],[Birthweight Z-Score]],TRUE)*100,"")</f>
        <v/>
      </c>
      <c r="K6558" s="7" t="str">
        <f>IF(Table1[[#This Row],[Is Data Valid]]=TRUE,_xlfn.NORM.S.DIST(Table1[[#This Row],[Birthweight Z-Score (BW-10%)]],TRUE)*100,"")</f>
        <v/>
      </c>
      <c r="L6558" s="7" t="str">
        <f>IF(Table1[[#This Row],[Is Data Valid]]=TRUE,_xlfn.NORM.S.DIST(Table1[[#This Row],[Birthweight Z-Score (BW+10%)]],TRUE)*100,"")</f>
        <v/>
      </c>
    </row>
    <row r="6559" spans="1:12" x14ac:dyDescent="0.35">
      <c r="A6559" s="3"/>
      <c r="B6559" s="2"/>
      <c r="C6559" s="2"/>
      <c r="D6559" s="2" t="b">
        <f>IF(AND(NOT(ISBLANK(Table1[[#This Row],[Fetal Sex (Male, Female or Unknown)]])),ISNUMBER(Table1[[#This Row],[Birthweight (grams)]]),ISNUMBER(Table1[[#This Row],[Gestation (days)]])),TRUE,FALSE)</f>
        <v>0</v>
      </c>
      <c r="E6559" s="2" t="str">
        <f>IF(Table1[[#This Row],[Is Data Valid]]=TRUE,IF(Table1[[#This Row],[Fetal Sex (Male, Female or Unknown)]]="Male",Backend!$C$6,IF(Table1[[#This Row],[Fetal Sex (Male, Female or Unknown)]]="Female",Backend!$C$7,IF(Table1[[#This Row],[Fetal Sex (Male, Female or Unknown)]]="Unknown",Backend!$C$8,"Error"))),"")</f>
        <v/>
      </c>
      <c r="F6559" s="8" t="str">
        <f>IF(Table1[[#This Row],[Is Data Valid]]=TRUE,EXP(0.578+0.332*((Table1[[#This Row],[Gestation (days)]]+0.5)/7)-0.00354*((Table1[[#This Row],[Gestation (days)]]+0.5)/7)^2)*Table1[[#This Row],[BW40_3705]],"")</f>
        <v/>
      </c>
      <c r="G6559" s="2" t="str">
        <f>IF(Table1[[#This Row],[Is Data Valid]]=TRUE,((Table1[[#This Row],[Birthweight (grams)]]/Table1[[#This Row],[BW_GA]])-1)/(Backend!$B$4/100*Table1[[#This Row],[BW40_3705]]),"")</f>
        <v/>
      </c>
      <c r="H6559" s="7" t="str">
        <f>IF(Table1[[#This Row],[Is Data Valid]]=TRUE,((Table1[[#This Row],[Birthweight (grams)]]*0.9/Table1[[#This Row],[BW_GA]])-1)/(Backend!$B$4/100*Table1[[#This Row],[BW40_3705]]),"")</f>
        <v/>
      </c>
      <c r="I6559" s="7" t="str">
        <f>IF(Table1[[#This Row],[Is Data Valid]]=TRUE,((Table1[[#This Row],[Birthweight (grams)]]*1.1/Table1[[#This Row],[BW_GA]])-1)/(Backend!$B$4/100*Table1[[#This Row],[BW40_3705]]),"")</f>
        <v/>
      </c>
      <c r="J6559" s="7" t="str">
        <f>IF(Table1[[#This Row],[Is Data Valid]]=TRUE,_xlfn.NORM.S.DIST(Table1[[#This Row],[Birthweight Z-Score]],TRUE)*100,"")</f>
        <v/>
      </c>
      <c r="K6559" s="7" t="str">
        <f>IF(Table1[[#This Row],[Is Data Valid]]=TRUE,_xlfn.NORM.S.DIST(Table1[[#This Row],[Birthweight Z-Score (BW-10%)]],TRUE)*100,"")</f>
        <v/>
      </c>
      <c r="L6559" s="7" t="str">
        <f>IF(Table1[[#This Row],[Is Data Valid]]=TRUE,_xlfn.NORM.S.DIST(Table1[[#This Row],[Birthweight Z-Score (BW+10%)]],TRUE)*100,"")</f>
        <v/>
      </c>
    </row>
    <row r="6560" spans="1:12" x14ac:dyDescent="0.35">
      <c r="A6560" s="3"/>
      <c r="B6560" s="2"/>
      <c r="C6560" s="2"/>
      <c r="D6560" s="2" t="b">
        <f>IF(AND(NOT(ISBLANK(Table1[[#This Row],[Fetal Sex (Male, Female or Unknown)]])),ISNUMBER(Table1[[#This Row],[Birthweight (grams)]]),ISNUMBER(Table1[[#This Row],[Gestation (days)]])),TRUE,FALSE)</f>
        <v>0</v>
      </c>
      <c r="E6560" s="2" t="str">
        <f>IF(Table1[[#This Row],[Is Data Valid]]=TRUE,IF(Table1[[#This Row],[Fetal Sex (Male, Female or Unknown)]]="Male",Backend!$C$6,IF(Table1[[#This Row],[Fetal Sex (Male, Female or Unknown)]]="Female",Backend!$C$7,IF(Table1[[#This Row],[Fetal Sex (Male, Female or Unknown)]]="Unknown",Backend!$C$8,"Error"))),"")</f>
        <v/>
      </c>
      <c r="F6560" s="8" t="str">
        <f>IF(Table1[[#This Row],[Is Data Valid]]=TRUE,EXP(0.578+0.332*((Table1[[#This Row],[Gestation (days)]]+0.5)/7)-0.00354*((Table1[[#This Row],[Gestation (days)]]+0.5)/7)^2)*Table1[[#This Row],[BW40_3705]],"")</f>
        <v/>
      </c>
      <c r="G6560" s="2" t="str">
        <f>IF(Table1[[#This Row],[Is Data Valid]]=TRUE,((Table1[[#This Row],[Birthweight (grams)]]/Table1[[#This Row],[BW_GA]])-1)/(Backend!$B$4/100*Table1[[#This Row],[BW40_3705]]),"")</f>
        <v/>
      </c>
      <c r="H6560" s="7" t="str">
        <f>IF(Table1[[#This Row],[Is Data Valid]]=TRUE,((Table1[[#This Row],[Birthweight (grams)]]*0.9/Table1[[#This Row],[BW_GA]])-1)/(Backend!$B$4/100*Table1[[#This Row],[BW40_3705]]),"")</f>
        <v/>
      </c>
      <c r="I6560" s="7" t="str">
        <f>IF(Table1[[#This Row],[Is Data Valid]]=TRUE,((Table1[[#This Row],[Birthweight (grams)]]*1.1/Table1[[#This Row],[BW_GA]])-1)/(Backend!$B$4/100*Table1[[#This Row],[BW40_3705]]),"")</f>
        <v/>
      </c>
      <c r="J6560" s="7" t="str">
        <f>IF(Table1[[#This Row],[Is Data Valid]]=TRUE,_xlfn.NORM.S.DIST(Table1[[#This Row],[Birthweight Z-Score]],TRUE)*100,"")</f>
        <v/>
      </c>
      <c r="K6560" s="7" t="str">
        <f>IF(Table1[[#This Row],[Is Data Valid]]=TRUE,_xlfn.NORM.S.DIST(Table1[[#This Row],[Birthweight Z-Score (BW-10%)]],TRUE)*100,"")</f>
        <v/>
      </c>
      <c r="L6560" s="7" t="str">
        <f>IF(Table1[[#This Row],[Is Data Valid]]=TRUE,_xlfn.NORM.S.DIST(Table1[[#This Row],[Birthweight Z-Score (BW+10%)]],TRUE)*100,"")</f>
        <v/>
      </c>
    </row>
    <row r="6561" spans="1:12" x14ac:dyDescent="0.35">
      <c r="A6561" s="3"/>
      <c r="B6561" s="2"/>
      <c r="C6561" s="2"/>
      <c r="D6561" s="2" t="b">
        <f>IF(AND(NOT(ISBLANK(Table1[[#This Row],[Fetal Sex (Male, Female or Unknown)]])),ISNUMBER(Table1[[#This Row],[Birthweight (grams)]]),ISNUMBER(Table1[[#This Row],[Gestation (days)]])),TRUE,FALSE)</f>
        <v>0</v>
      </c>
      <c r="E6561" s="2" t="str">
        <f>IF(Table1[[#This Row],[Is Data Valid]]=TRUE,IF(Table1[[#This Row],[Fetal Sex (Male, Female or Unknown)]]="Male",Backend!$C$6,IF(Table1[[#This Row],[Fetal Sex (Male, Female or Unknown)]]="Female",Backend!$C$7,IF(Table1[[#This Row],[Fetal Sex (Male, Female or Unknown)]]="Unknown",Backend!$C$8,"Error"))),"")</f>
        <v/>
      </c>
      <c r="F6561" s="8" t="str">
        <f>IF(Table1[[#This Row],[Is Data Valid]]=TRUE,EXP(0.578+0.332*((Table1[[#This Row],[Gestation (days)]]+0.5)/7)-0.00354*((Table1[[#This Row],[Gestation (days)]]+0.5)/7)^2)*Table1[[#This Row],[BW40_3705]],"")</f>
        <v/>
      </c>
      <c r="G6561" s="2" t="str">
        <f>IF(Table1[[#This Row],[Is Data Valid]]=TRUE,((Table1[[#This Row],[Birthweight (grams)]]/Table1[[#This Row],[BW_GA]])-1)/(Backend!$B$4/100*Table1[[#This Row],[BW40_3705]]),"")</f>
        <v/>
      </c>
      <c r="H6561" s="7" t="str">
        <f>IF(Table1[[#This Row],[Is Data Valid]]=TRUE,((Table1[[#This Row],[Birthweight (grams)]]*0.9/Table1[[#This Row],[BW_GA]])-1)/(Backend!$B$4/100*Table1[[#This Row],[BW40_3705]]),"")</f>
        <v/>
      </c>
      <c r="I6561" s="7" t="str">
        <f>IF(Table1[[#This Row],[Is Data Valid]]=TRUE,((Table1[[#This Row],[Birthweight (grams)]]*1.1/Table1[[#This Row],[BW_GA]])-1)/(Backend!$B$4/100*Table1[[#This Row],[BW40_3705]]),"")</f>
        <v/>
      </c>
      <c r="J6561" s="7" t="str">
        <f>IF(Table1[[#This Row],[Is Data Valid]]=TRUE,_xlfn.NORM.S.DIST(Table1[[#This Row],[Birthweight Z-Score]],TRUE)*100,"")</f>
        <v/>
      </c>
      <c r="K6561" s="7" t="str">
        <f>IF(Table1[[#This Row],[Is Data Valid]]=TRUE,_xlfn.NORM.S.DIST(Table1[[#This Row],[Birthweight Z-Score (BW-10%)]],TRUE)*100,"")</f>
        <v/>
      </c>
      <c r="L6561" s="7" t="str">
        <f>IF(Table1[[#This Row],[Is Data Valid]]=TRUE,_xlfn.NORM.S.DIST(Table1[[#This Row],[Birthweight Z-Score (BW+10%)]],TRUE)*100,"")</f>
        <v/>
      </c>
    </row>
    <row r="6562" spans="1:12" x14ac:dyDescent="0.35">
      <c r="A6562" s="3"/>
      <c r="B6562" s="2"/>
      <c r="C6562" s="2"/>
      <c r="D6562" s="2" t="b">
        <f>IF(AND(NOT(ISBLANK(Table1[[#This Row],[Fetal Sex (Male, Female or Unknown)]])),ISNUMBER(Table1[[#This Row],[Birthweight (grams)]]),ISNUMBER(Table1[[#This Row],[Gestation (days)]])),TRUE,FALSE)</f>
        <v>0</v>
      </c>
      <c r="E6562" s="2" t="str">
        <f>IF(Table1[[#This Row],[Is Data Valid]]=TRUE,IF(Table1[[#This Row],[Fetal Sex (Male, Female or Unknown)]]="Male",Backend!$C$6,IF(Table1[[#This Row],[Fetal Sex (Male, Female or Unknown)]]="Female",Backend!$C$7,IF(Table1[[#This Row],[Fetal Sex (Male, Female or Unknown)]]="Unknown",Backend!$C$8,"Error"))),"")</f>
        <v/>
      </c>
      <c r="F6562" s="8" t="str">
        <f>IF(Table1[[#This Row],[Is Data Valid]]=TRUE,EXP(0.578+0.332*((Table1[[#This Row],[Gestation (days)]]+0.5)/7)-0.00354*((Table1[[#This Row],[Gestation (days)]]+0.5)/7)^2)*Table1[[#This Row],[BW40_3705]],"")</f>
        <v/>
      </c>
      <c r="G6562" s="2" t="str">
        <f>IF(Table1[[#This Row],[Is Data Valid]]=TRUE,((Table1[[#This Row],[Birthweight (grams)]]/Table1[[#This Row],[BW_GA]])-1)/(Backend!$B$4/100*Table1[[#This Row],[BW40_3705]]),"")</f>
        <v/>
      </c>
      <c r="H6562" s="7" t="str">
        <f>IF(Table1[[#This Row],[Is Data Valid]]=TRUE,((Table1[[#This Row],[Birthweight (grams)]]*0.9/Table1[[#This Row],[BW_GA]])-1)/(Backend!$B$4/100*Table1[[#This Row],[BW40_3705]]),"")</f>
        <v/>
      </c>
      <c r="I6562" s="7" t="str">
        <f>IF(Table1[[#This Row],[Is Data Valid]]=TRUE,((Table1[[#This Row],[Birthweight (grams)]]*1.1/Table1[[#This Row],[BW_GA]])-1)/(Backend!$B$4/100*Table1[[#This Row],[BW40_3705]]),"")</f>
        <v/>
      </c>
      <c r="J6562" s="7" t="str">
        <f>IF(Table1[[#This Row],[Is Data Valid]]=TRUE,_xlfn.NORM.S.DIST(Table1[[#This Row],[Birthweight Z-Score]],TRUE)*100,"")</f>
        <v/>
      </c>
      <c r="K6562" s="7" t="str">
        <f>IF(Table1[[#This Row],[Is Data Valid]]=TRUE,_xlfn.NORM.S.DIST(Table1[[#This Row],[Birthweight Z-Score (BW-10%)]],TRUE)*100,"")</f>
        <v/>
      </c>
      <c r="L6562" s="7" t="str">
        <f>IF(Table1[[#This Row],[Is Data Valid]]=TRUE,_xlfn.NORM.S.DIST(Table1[[#This Row],[Birthweight Z-Score (BW+10%)]],TRUE)*100,"")</f>
        <v/>
      </c>
    </row>
    <row r="6563" spans="1:12" x14ac:dyDescent="0.35">
      <c r="A6563" s="3"/>
      <c r="B6563" s="2"/>
      <c r="C6563" s="2"/>
      <c r="D6563" s="2" t="b">
        <f>IF(AND(NOT(ISBLANK(Table1[[#This Row],[Fetal Sex (Male, Female or Unknown)]])),ISNUMBER(Table1[[#This Row],[Birthweight (grams)]]),ISNUMBER(Table1[[#This Row],[Gestation (days)]])),TRUE,FALSE)</f>
        <v>0</v>
      </c>
      <c r="E6563" s="2" t="str">
        <f>IF(Table1[[#This Row],[Is Data Valid]]=TRUE,IF(Table1[[#This Row],[Fetal Sex (Male, Female or Unknown)]]="Male",Backend!$C$6,IF(Table1[[#This Row],[Fetal Sex (Male, Female or Unknown)]]="Female",Backend!$C$7,IF(Table1[[#This Row],[Fetal Sex (Male, Female or Unknown)]]="Unknown",Backend!$C$8,"Error"))),"")</f>
        <v/>
      </c>
      <c r="F6563" s="8" t="str">
        <f>IF(Table1[[#This Row],[Is Data Valid]]=TRUE,EXP(0.578+0.332*((Table1[[#This Row],[Gestation (days)]]+0.5)/7)-0.00354*((Table1[[#This Row],[Gestation (days)]]+0.5)/7)^2)*Table1[[#This Row],[BW40_3705]],"")</f>
        <v/>
      </c>
      <c r="G6563" s="2" t="str">
        <f>IF(Table1[[#This Row],[Is Data Valid]]=TRUE,((Table1[[#This Row],[Birthweight (grams)]]/Table1[[#This Row],[BW_GA]])-1)/(Backend!$B$4/100*Table1[[#This Row],[BW40_3705]]),"")</f>
        <v/>
      </c>
      <c r="H6563" s="7" t="str">
        <f>IF(Table1[[#This Row],[Is Data Valid]]=TRUE,((Table1[[#This Row],[Birthweight (grams)]]*0.9/Table1[[#This Row],[BW_GA]])-1)/(Backend!$B$4/100*Table1[[#This Row],[BW40_3705]]),"")</f>
        <v/>
      </c>
      <c r="I6563" s="7" t="str">
        <f>IF(Table1[[#This Row],[Is Data Valid]]=TRUE,((Table1[[#This Row],[Birthweight (grams)]]*1.1/Table1[[#This Row],[BW_GA]])-1)/(Backend!$B$4/100*Table1[[#This Row],[BW40_3705]]),"")</f>
        <v/>
      </c>
      <c r="J6563" s="7" t="str">
        <f>IF(Table1[[#This Row],[Is Data Valid]]=TRUE,_xlfn.NORM.S.DIST(Table1[[#This Row],[Birthweight Z-Score]],TRUE)*100,"")</f>
        <v/>
      </c>
      <c r="K6563" s="7" t="str">
        <f>IF(Table1[[#This Row],[Is Data Valid]]=TRUE,_xlfn.NORM.S.DIST(Table1[[#This Row],[Birthweight Z-Score (BW-10%)]],TRUE)*100,"")</f>
        <v/>
      </c>
      <c r="L6563" s="7" t="str">
        <f>IF(Table1[[#This Row],[Is Data Valid]]=TRUE,_xlfn.NORM.S.DIST(Table1[[#This Row],[Birthweight Z-Score (BW+10%)]],TRUE)*100,"")</f>
        <v/>
      </c>
    </row>
    <row r="6564" spans="1:12" x14ac:dyDescent="0.35">
      <c r="A6564" s="3"/>
      <c r="B6564" s="2"/>
      <c r="C6564" s="2"/>
      <c r="D6564" s="2" t="b">
        <f>IF(AND(NOT(ISBLANK(Table1[[#This Row],[Fetal Sex (Male, Female or Unknown)]])),ISNUMBER(Table1[[#This Row],[Birthweight (grams)]]),ISNUMBER(Table1[[#This Row],[Gestation (days)]])),TRUE,FALSE)</f>
        <v>0</v>
      </c>
      <c r="E6564" s="2" t="str">
        <f>IF(Table1[[#This Row],[Is Data Valid]]=TRUE,IF(Table1[[#This Row],[Fetal Sex (Male, Female or Unknown)]]="Male",Backend!$C$6,IF(Table1[[#This Row],[Fetal Sex (Male, Female or Unknown)]]="Female",Backend!$C$7,IF(Table1[[#This Row],[Fetal Sex (Male, Female or Unknown)]]="Unknown",Backend!$C$8,"Error"))),"")</f>
        <v/>
      </c>
      <c r="F6564" s="8" t="str">
        <f>IF(Table1[[#This Row],[Is Data Valid]]=TRUE,EXP(0.578+0.332*((Table1[[#This Row],[Gestation (days)]]+0.5)/7)-0.00354*((Table1[[#This Row],[Gestation (days)]]+0.5)/7)^2)*Table1[[#This Row],[BW40_3705]],"")</f>
        <v/>
      </c>
      <c r="G6564" s="2" t="str">
        <f>IF(Table1[[#This Row],[Is Data Valid]]=TRUE,((Table1[[#This Row],[Birthweight (grams)]]/Table1[[#This Row],[BW_GA]])-1)/(Backend!$B$4/100*Table1[[#This Row],[BW40_3705]]),"")</f>
        <v/>
      </c>
      <c r="H6564" s="7" t="str">
        <f>IF(Table1[[#This Row],[Is Data Valid]]=TRUE,((Table1[[#This Row],[Birthweight (grams)]]*0.9/Table1[[#This Row],[BW_GA]])-1)/(Backend!$B$4/100*Table1[[#This Row],[BW40_3705]]),"")</f>
        <v/>
      </c>
      <c r="I6564" s="7" t="str">
        <f>IF(Table1[[#This Row],[Is Data Valid]]=TRUE,((Table1[[#This Row],[Birthweight (grams)]]*1.1/Table1[[#This Row],[BW_GA]])-1)/(Backend!$B$4/100*Table1[[#This Row],[BW40_3705]]),"")</f>
        <v/>
      </c>
      <c r="J6564" s="7" t="str">
        <f>IF(Table1[[#This Row],[Is Data Valid]]=TRUE,_xlfn.NORM.S.DIST(Table1[[#This Row],[Birthweight Z-Score]],TRUE)*100,"")</f>
        <v/>
      </c>
      <c r="K6564" s="7" t="str">
        <f>IF(Table1[[#This Row],[Is Data Valid]]=TRUE,_xlfn.NORM.S.DIST(Table1[[#This Row],[Birthweight Z-Score (BW-10%)]],TRUE)*100,"")</f>
        <v/>
      </c>
      <c r="L6564" s="7" t="str">
        <f>IF(Table1[[#This Row],[Is Data Valid]]=TRUE,_xlfn.NORM.S.DIST(Table1[[#This Row],[Birthweight Z-Score (BW+10%)]],TRUE)*100,"")</f>
        <v/>
      </c>
    </row>
    <row r="6565" spans="1:12" x14ac:dyDescent="0.35">
      <c r="A6565" s="3"/>
      <c r="B6565" s="2"/>
      <c r="C6565" s="2"/>
      <c r="D6565" s="2" t="b">
        <f>IF(AND(NOT(ISBLANK(Table1[[#This Row],[Fetal Sex (Male, Female or Unknown)]])),ISNUMBER(Table1[[#This Row],[Birthweight (grams)]]),ISNUMBER(Table1[[#This Row],[Gestation (days)]])),TRUE,FALSE)</f>
        <v>0</v>
      </c>
      <c r="E6565" s="2" t="str">
        <f>IF(Table1[[#This Row],[Is Data Valid]]=TRUE,IF(Table1[[#This Row],[Fetal Sex (Male, Female or Unknown)]]="Male",Backend!$C$6,IF(Table1[[#This Row],[Fetal Sex (Male, Female or Unknown)]]="Female",Backend!$C$7,IF(Table1[[#This Row],[Fetal Sex (Male, Female or Unknown)]]="Unknown",Backend!$C$8,"Error"))),"")</f>
        <v/>
      </c>
      <c r="F6565" s="8" t="str">
        <f>IF(Table1[[#This Row],[Is Data Valid]]=TRUE,EXP(0.578+0.332*((Table1[[#This Row],[Gestation (days)]]+0.5)/7)-0.00354*((Table1[[#This Row],[Gestation (days)]]+0.5)/7)^2)*Table1[[#This Row],[BW40_3705]],"")</f>
        <v/>
      </c>
      <c r="G6565" s="2" t="str">
        <f>IF(Table1[[#This Row],[Is Data Valid]]=TRUE,((Table1[[#This Row],[Birthweight (grams)]]/Table1[[#This Row],[BW_GA]])-1)/(Backend!$B$4/100*Table1[[#This Row],[BW40_3705]]),"")</f>
        <v/>
      </c>
      <c r="H6565" s="7" t="str">
        <f>IF(Table1[[#This Row],[Is Data Valid]]=TRUE,((Table1[[#This Row],[Birthweight (grams)]]*0.9/Table1[[#This Row],[BW_GA]])-1)/(Backend!$B$4/100*Table1[[#This Row],[BW40_3705]]),"")</f>
        <v/>
      </c>
      <c r="I6565" s="7" t="str">
        <f>IF(Table1[[#This Row],[Is Data Valid]]=TRUE,((Table1[[#This Row],[Birthweight (grams)]]*1.1/Table1[[#This Row],[BW_GA]])-1)/(Backend!$B$4/100*Table1[[#This Row],[BW40_3705]]),"")</f>
        <v/>
      </c>
      <c r="J6565" s="7" t="str">
        <f>IF(Table1[[#This Row],[Is Data Valid]]=TRUE,_xlfn.NORM.S.DIST(Table1[[#This Row],[Birthweight Z-Score]],TRUE)*100,"")</f>
        <v/>
      </c>
      <c r="K6565" s="7" t="str">
        <f>IF(Table1[[#This Row],[Is Data Valid]]=TRUE,_xlfn.NORM.S.DIST(Table1[[#This Row],[Birthweight Z-Score (BW-10%)]],TRUE)*100,"")</f>
        <v/>
      </c>
      <c r="L6565" s="7" t="str">
        <f>IF(Table1[[#This Row],[Is Data Valid]]=TRUE,_xlfn.NORM.S.DIST(Table1[[#This Row],[Birthweight Z-Score (BW+10%)]],TRUE)*100,"")</f>
        <v/>
      </c>
    </row>
    <row r="6566" spans="1:12" x14ac:dyDescent="0.35">
      <c r="A6566" s="3"/>
      <c r="B6566" s="2"/>
      <c r="C6566" s="2"/>
      <c r="D6566" s="2" t="b">
        <f>IF(AND(NOT(ISBLANK(Table1[[#This Row],[Fetal Sex (Male, Female or Unknown)]])),ISNUMBER(Table1[[#This Row],[Birthweight (grams)]]),ISNUMBER(Table1[[#This Row],[Gestation (days)]])),TRUE,FALSE)</f>
        <v>0</v>
      </c>
      <c r="E6566" s="2" t="str">
        <f>IF(Table1[[#This Row],[Is Data Valid]]=TRUE,IF(Table1[[#This Row],[Fetal Sex (Male, Female or Unknown)]]="Male",Backend!$C$6,IF(Table1[[#This Row],[Fetal Sex (Male, Female or Unknown)]]="Female",Backend!$C$7,IF(Table1[[#This Row],[Fetal Sex (Male, Female or Unknown)]]="Unknown",Backend!$C$8,"Error"))),"")</f>
        <v/>
      </c>
      <c r="F6566" s="8" t="str">
        <f>IF(Table1[[#This Row],[Is Data Valid]]=TRUE,EXP(0.578+0.332*((Table1[[#This Row],[Gestation (days)]]+0.5)/7)-0.00354*((Table1[[#This Row],[Gestation (days)]]+0.5)/7)^2)*Table1[[#This Row],[BW40_3705]],"")</f>
        <v/>
      </c>
      <c r="G6566" s="2" t="str">
        <f>IF(Table1[[#This Row],[Is Data Valid]]=TRUE,((Table1[[#This Row],[Birthweight (grams)]]/Table1[[#This Row],[BW_GA]])-1)/(Backend!$B$4/100*Table1[[#This Row],[BW40_3705]]),"")</f>
        <v/>
      </c>
      <c r="H6566" s="7" t="str">
        <f>IF(Table1[[#This Row],[Is Data Valid]]=TRUE,((Table1[[#This Row],[Birthweight (grams)]]*0.9/Table1[[#This Row],[BW_GA]])-1)/(Backend!$B$4/100*Table1[[#This Row],[BW40_3705]]),"")</f>
        <v/>
      </c>
      <c r="I6566" s="7" t="str">
        <f>IF(Table1[[#This Row],[Is Data Valid]]=TRUE,((Table1[[#This Row],[Birthweight (grams)]]*1.1/Table1[[#This Row],[BW_GA]])-1)/(Backend!$B$4/100*Table1[[#This Row],[BW40_3705]]),"")</f>
        <v/>
      </c>
      <c r="J6566" s="7" t="str">
        <f>IF(Table1[[#This Row],[Is Data Valid]]=TRUE,_xlfn.NORM.S.DIST(Table1[[#This Row],[Birthweight Z-Score]],TRUE)*100,"")</f>
        <v/>
      </c>
      <c r="K6566" s="7" t="str">
        <f>IF(Table1[[#This Row],[Is Data Valid]]=TRUE,_xlfn.NORM.S.DIST(Table1[[#This Row],[Birthweight Z-Score (BW-10%)]],TRUE)*100,"")</f>
        <v/>
      </c>
      <c r="L6566" s="7" t="str">
        <f>IF(Table1[[#This Row],[Is Data Valid]]=TRUE,_xlfn.NORM.S.DIST(Table1[[#This Row],[Birthweight Z-Score (BW+10%)]],TRUE)*100,"")</f>
        <v/>
      </c>
    </row>
    <row r="6567" spans="1:12" x14ac:dyDescent="0.35">
      <c r="A6567" s="3"/>
      <c r="B6567" s="2"/>
      <c r="C6567" s="2"/>
      <c r="D6567" s="2" t="b">
        <f>IF(AND(NOT(ISBLANK(Table1[[#This Row],[Fetal Sex (Male, Female or Unknown)]])),ISNUMBER(Table1[[#This Row],[Birthweight (grams)]]),ISNUMBER(Table1[[#This Row],[Gestation (days)]])),TRUE,FALSE)</f>
        <v>0</v>
      </c>
      <c r="E6567" s="2" t="str">
        <f>IF(Table1[[#This Row],[Is Data Valid]]=TRUE,IF(Table1[[#This Row],[Fetal Sex (Male, Female or Unknown)]]="Male",Backend!$C$6,IF(Table1[[#This Row],[Fetal Sex (Male, Female or Unknown)]]="Female",Backend!$C$7,IF(Table1[[#This Row],[Fetal Sex (Male, Female or Unknown)]]="Unknown",Backend!$C$8,"Error"))),"")</f>
        <v/>
      </c>
      <c r="F6567" s="8" t="str">
        <f>IF(Table1[[#This Row],[Is Data Valid]]=TRUE,EXP(0.578+0.332*((Table1[[#This Row],[Gestation (days)]]+0.5)/7)-0.00354*((Table1[[#This Row],[Gestation (days)]]+0.5)/7)^2)*Table1[[#This Row],[BW40_3705]],"")</f>
        <v/>
      </c>
      <c r="G6567" s="2" t="str">
        <f>IF(Table1[[#This Row],[Is Data Valid]]=TRUE,((Table1[[#This Row],[Birthweight (grams)]]/Table1[[#This Row],[BW_GA]])-1)/(Backend!$B$4/100*Table1[[#This Row],[BW40_3705]]),"")</f>
        <v/>
      </c>
      <c r="H6567" s="7" t="str">
        <f>IF(Table1[[#This Row],[Is Data Valid]]=TRUE,((Table1[[#This Row],[Birthweight (grams)]]*0.9/Table1[[#This Row],[BW_GA]])-1)/(Backend!$B$4/100*Table1[[#This Row],[BW40_3705]]),"")</f>
        <v/>
      </c>
      <c r="I6567" s="7" t="str">
        <f>IF(Table1[[#This Row],[Is Data Valid]]=TRUE,((Table1[[#This Row],[Birthweight (grams)]]*1.1/Table1[[#This Row],[BW_GA]])-1)/(Backend!$B$4/100*Table1[[#This Row],[BW40_3705]]),"")</f>
        <v/>
      </c>
      <c r="J6567" s="7" t="str">
        <f>IF(Table1[[#This Row],[Is Data Valid]]=TRUE,_xlfn.NORM.S.DIST(Table1[[#This Row],[Birthweight Z-Score]],TRUE)*100,"")</f>
        <v/>
      </c>
      <c r="K6567" s="7" t="str">
        <f>IF(Table1[[#This Row],[Is Data Valid]]=TRUE,_xlfn.NORM.S.DIST(Table1[[#This Row],[Birthweight Z-Score (BW-10%)]],TRUE)*100,"")</f>
        <v/>
      </c>
      <c r="L6567" s="7" t="str">
        <f>IF(Table1[[#This Row],[Is Data Valid]]=TRUE,_xlfn.NORM.S.DIST(Table1[[#This Row],[Birthweight Z-Score (BW+10%)]],TRUE)*100,"")</f>
        <v/>
      </c>
    </row>
    <row r="6568" spans="1:12" x14ac:dyDescent="0.35">
      <c r="A6568" s="3"/>
      <c r="B6568" s="2"/>
      <c r="C6568" s="2"/>
      <c r="D6568" s="2" t="b">
        <f>IF(AND(NOT(ISBLANK(Table1[[#This Row],[Fetal Sex (Male, Female or Unknown)]])),ISNUMBER(Table1[[#This Row],[Birthweight (grams)]]),ISNUMBER(Table1[[#This Row],[Gestation (days)]])),TRUE,FALSE)</f>
        <v>0</v>
      </c>
      <c r="E6568" s="2" t="str">
        <f>IF(Table1[[#This Row],[Is Data Valid]]=TRUE,IF(Table1[[#This Row],[Fetal Sex (Male, Female or Unknown)]]="Male",Backend!$C$6,IF(Table1[[#This Row],[Fetal Sex (Male, Female or Unknown)]]="Female",Backend!$C$7,IF(Table1[[#This Row],[Fetal Sex (Male, Female or Unknown)]]="Unknown",Backend!$C$8,"Error"))),"")</f>
        <v/>
      </c>
      <c r="F6568" s="8" t="str">
        <f>IF(Table1[[#This Row],[Is Data Valid]]=TRUE,EXP(0.578+0.332*((Table1[[#This Row],[Gestation (days)]]+0.5)/7)-0.00354*((Table1[[#This Row],[Gestation (days)]]+0.5)/7)^2)*Table1[[#This Row],[BW40_3705]],"")</f>
        <v/>
      </c>
      <c r="G6568" s="2" t="str">
        <f>IF(Table1[[#This Row],[Is Data Valid]]=TRUE,((Table1[[#This Row],[Birthweight (grams)]]/Table1[[#This Row],[BW_GA]])-1)/(Backend!$B$4/100*Table1[[#This Row],[BW40_3705]]),"")</f>
        <v/>
      </c>
      <c r="H6568" s="7" t="str">
        <f>IF(Table1[[#This Row],[Is Data Valid]]=TRUE,((Table1[[#This Row],[Birthweight (grams)]]*0.9/Table1[[#This Row],[BW_GA]])-1)/(Backend!$B$4/100*Table1[[#This Row],[BW40_3705]]),"")</f>
        <v/>
      </c>
      <c r="I6568" s="7" t="str">
        <f>IF(Table1[[#This Row],[Is Data Valid]]=TRUE,((Table1[[#This Row],[Birthweight (grams)]]*1.1/Table1[[#This Row],[BW_GA]])-1)/(Backend!$B$4/100*Table1[[#This Row],[BW40_3705]]),"")</f>
        <v/>
      </c>
      <c r="J6568" s="7" t="str">
        <f>IF(Table1[[#This Row],[Is Data Valid]]=TRUE,_xlfn.NORM.S.DIST(Table1[[#This Row],[Birthweight Z-Score]],TRUE)*100,"")</f>
        <v/>
      </c>
      <c r="K6568" s="7" t="str">
        <f>IF(Table1[[#This Row],[Is Data Valid]]=TRUE,_xlfn.NORM.S.DIST(Table1[[#This Row],[Birthweight Z-Score (BW-10%)]],TRUE)*100,"")</f>
        <v/>
      </c>
      <c r="L6568" s="7" t="str">
        <f>IF(Table1[[#This Row],[Is Data Valid]]=TRUE,_xlfn.NORM.S.DIST(Table1[[#This Row],[Birthweight Z-Score (BW+10%)]],TRUE)*100,"")</f>
        <v/>
      </c>
    </row>
    <row r="6569" spans="1:12" x14ac:dyDescent="0.35">
      <c r="A6569" s="3"/>
      <c r="B6569" s="2"/>
      <c r="C6569" s="2"/>
      <c r="D6569" s="2" t="b">
        <f>IF(AND(NOT(ISBLANK(Table1[[#This Row],[Fetal Sex (Male, Female or Unknown)]])),ISNUMBER(Table1[[#This Row],[Birthweight (grams)]]),ISNUMBER(Table1[[#This Row],[Gestation (days)]])),TRUE,FALSE)</f>
        <v>0</v>
      </c>
      <c r="E6569" s="2" t="str">
        <f>IF(Table1[[#This Row],[Is Data Valid]]=TRUE,IF(Table1[[#This Row],[Fetal Sex (Male, Female or Unknown)]]="Male",Backend!$C$6,IF(Table1[[#This Row],[Fetal Sex (Male, Female or Unknown)]]="Female",Backend!$C$7,IF(Table1[[#This Row],[Fetal Sex (Male, Female or Unknown)]]="Unknown",Backend!$C$8,"Error"))),"")</f>
        <v/>
      </c>
      <c r="F6569" s="8" t="str">
        <f>IF(Table1[[#This Row],[Is Data Valid]]=TRUE,EXP(0.578+0.332*((Table1[[#This Row],[Gestation (days)]]+0.5)/7)-0.00354*((Table1[[#This Row],[Gestation (days)]]+0.5)/7)^2)*Table1[[#This Row],[BW40_3705]],"")</f>
        <v/>
      </c>
      <c r="G6569" s="2" t="str">
        <f>IF(Table1[[#This Row],[Is Data Valid]]=TRUE,((Table1[[#This Row],[Birthweight (grams)]]/Table1[[#This Row],[BW_GA]])-1)/(Backend!$B$4/100*Table1[[#This Row],[BW40_3705]]),"")</f>
        <v/>
      </c>
      <c r="H6569" s="7" t="str">
        <f>IF(Table1[[#This Row],[Is Data Valid]]=TRUE,((Table1[[#This Row],[Birthweight (grams)]]*0.9/Table1[[#This Row],[BW_GA]])-1)/(Backend!$B$4/100*Table1[[#This Row],[BW40_3705]]),"")</f>
        <v/>
      </c>
      <c r="I6569" s="7" t="str">
        <f>IF(Table1[[#This Row],[Is Data Valid]]=TRUE,((Table1[[#This Row],[Birthweight (grams)]]*1.1/Table1[[#This Row],[BW_GA]])-1)/(Backend!$B$4/100*Table1[[#This Row],[BW40_3705]]),"")</f>
        <v/>
      </c>
      <c r="J6569" s="7" t="str">
        <f>IF(Table1[[#This Row],[Is Data Valid]]=TRUE,_xlfn.NORM.S.DIST(Table1[[#This Row],[Birthweight Z-Score]],TRUE)*100,"")</f>
        <v/>
      </c>
      <c r="K6569" s="7" t="str">
        <f>IF(Table1[[#This Row],[Is Data Valid]]=TRUE,_xlfn.NORM.S.DIST(Table1[[#This Row],[Birthweight Z-Score (BW-10%)]],TRUE)*100,"")</f>
        <v/>
      </c>
      <c r="L6569" s="7" t="str">
        <f>IF(Table1[[#This Row],[Is Data Valid]]=TRUE,_xlfn.NORM.S.DIST(Table1[[#This Row],[Birthweight Z-Score (BW+10%)]],TRUE)*100,"")</f>
        <v/>
      </c>
    </row>
    <row r="6570" spans="1:12" x14ac:dyDescent="0.35">
      <c r="A6570" s="3"/>
      <c r="B6570" s="2"/>
      <c r="C6570" s="2"/>
      <c r="D6570" s="2" t="b">
        <f>IF(AND(NOT(ISBLANK(Table1[[#This Row],[Fetal Sex (Male, Female or Unknown)]])),ISNUMBER(Table1[[#This Row],[Birthweight (grams)]]),ISNUMBER(Table1[[#This Row],[Gestation (days)]])),TRUE,FALSE)</f>
        <v>0</v>
      </c>
      <c r="E6570" s="2" t="str">
        <f>IF(Table1[[#This Row],[Is Data Valid]]=TRUE,IF(Table1[[#This Row],[Fetal Sex (Male, Female or Unknown)]]="Male",Backend!$C$6,IF(Table1[[#This Row],[Fetal Sex (Male, Female or Unknown)]]="Female",Backend!$C$7,IF(Table1[[#This Row],[Fetal Sex (Male, Female or Unknown)]]="Unknown",Backend!$C$8,"Error"))),"")</f>
        <v/>
      </c>
      <c r="F6570" s="8" t="str">
        <f>IF(Table1[[#This Row],[Is Data Valid]]=TRUE,EXP(0.578+0.332*((Table1[[#This Row],[Gestation (days)]]+0.5)/7)-0.00354*((Table1[[#This Row],[Gestation (days)]]+0.5)/7)^2)*Table1[[#This Row],[BW40_3705]],"")</f>
        <v/>
      </c>
      <c r="G6570" s="2" t="str">
        <f>IF(Table1[[#This Row],[Is Data Valid]]=TRUE,((Table1[[#This Row],[Birthweight (grams)]]/Table1[[#This Row],[BW_GA]])-1)/(Backend!$B$4/100*Table1[[#This Row],[BW40_3705]]),"")</f>
        <v/>
      </c>
      <c r="H6570" s="7" t="str">
        <f>IF(Table1[[#This Row],[Is Data Valid]]=TRUE,((Table1[[#This Row],[Birthweight (grams)]]*0.9/Table1[[#This Row],[BW_GA]])-1)/(Backend!$B$4/100*Table1[[#This Row],[BW40_3705]]),"")</f>
        <v/>
      </c>
      <c r="I6570" s="7" t="str">
        <f>IF(Table1[[#This Row],[Is Data Valid]]=TRUE,((Table1[[#This Row],[Birthweight (grams)]]*1.1/Table1[[#This Row],[BW_GA]])-1)/(Backend!$B$4/100*Table1[[#This Row],[BW40_3705]]),"")</f>
        <v/>
      </c>
      <c r="J6570" s="7" t="str">
        <f>IF(Table1[[#This Row],[Is Data Valid]]=TRUE,_xlfn.NORM.S.DIST(Table1[[#This Row],[Birthweight Z-Score]],TRUE)*100,"")</f>
        <v/>
      </c>
      <c r="K6570" s="7" t="str">
        <f>IF(Table1[[#This Row],[Is Data Valid]]=TRUE,_xlfn.NORM.S.DIST(Table1[[#This Row],[Birthweight Z-Score (BW-10%)]],TRUE)*100,"")</f>
        <v/>
      </c>
      <c r="L6570" s="7" t="str">
        <f>IF(Table1[[#This Row],[Is Data Valid]]=TRUE,_xlfn.NORM.S.DIST(Table1[[#This Row],[Birthweight Z-Score (BW+10%)]],TRUE)*100,"")</f>
        <v/>
      </c>
    </row>
    <row r="6571" spans="1:12" x14ac:dyDescent="0.35">
      <c r="A6571" s="3"/>
      <c r="B6571" s="2"/>
      <c r="C6571" s="2"/>
      <c r="D6571" s="2" t="b">
        <f>IF(AND(NOT(ISBLANK(Table1[[#This Row],[Fetal Sex (Male, Female or Unknown)]])),ISNUMBER(Table1[[#This Row],[Birthweight (grams)]]),ISNUMBER(Table1[[#This Row],[Gestation (days)]])),TRUE,FALSE)</f>
        <v>0</v>
      </c>
      <c r="E6571" s="2" t="str">
        <f>IF(Table1[[#This Row],[Is Data Valid]]=TRUE,IF(Table1[[#This Row],[Fetal Sex (Male, Female or Unknown)]]="Male",Backend!$C$6,IF(Table1[[#This Row],[Fetal Sex (Male, Female or Unknown)]]="Female",Backend!$C$7,IF(Table1[[#This Row],[Fetal Sex (Male, Female or Unknown)]]="Unknown",Backend!$C$8,"Error"))),"")</f>
        <v/>
      </c>
      <c r="F6571" s="8" t="str">
        <f>IF(Table1[[#This Row],[Is Data Valid]]=TRUE,EXP(0.578+0.332*((Table1[[#This Row],[Gestation (days)]]+0.5)/7)-0.00354*((Table1[[#This Row],[Gestation (days)]]+0.5)/7)^2)*Table1[[#This Row],[BW40_3705]],"")</f>
        <v/>
      </c>
      <c r="G6571" s="2" t="str">
        <f>IF(Table1[[#This Row],[Is Data Valid]]=TRUE,((Table1[[#This Row],[Birthweight (grams)]]/Table1[[#This Row],[BW_GA]])-1)/(Backend!$B$4/100*Table1[[#This Row],[BW40_3705]]),"")</f>
        <v/>
      </c>
      <c r="H6571" s="7" t="str">
        <f>IF(Table1[[#This Row],[Is Data Valid]]=TRUE,((Table1[[#This Row],[Birthweight (grams)]]*0.9/Table1[[#This Row],[BW_GA]])-1)/(Backend!$B$4/100*Table1[[#This Row],[BW40_3705]]),"")</f>
        <v/>
      </c>
      <c r="I6571" s="7" t="str">
        <f>IF(Table1[[#This Row],[Is Data Valid]]=TRUE,((Table1[[#This Row],[Birthweight (grams)]]*1.1/Table1[[#This Row],[BW_GA]])-1)/(Backend!$B$4/100*Table1[[#This Row],[BW40_3705]]),"")</f>
        <v/>
      </c>
      <c r="J6571" s="7" t="str">
        <f>IF(Table1[[#This Row],[Is Data Valid]]=TRUE,_xlfn.NORM.S.DIST(Table1[[#This Row],[Birthweight Z-Score]],TRUE)*100,"")</f>
        <v/>
      </c>
      <c r="K6571" s="7" t="str">
        <f>IF(Table1[[#This Row],[Is Data Valid]]=TRUE,_xlfn.NORM.S.DIST(Table1[[#This Row],[Birthweight Z-Score (BW-10%)]],TRUE)*100,"")</f>
        <v/>
      </c>
      <c r="L6571" s="7" t="str">
        <f>IF(Table1[[#This Row],[Is Data Valid]]=TRUE,_xlfn.NORM.S.DIST(Table1[[#This Row],[Birthweight Z-Score (BW+10%)]],TRUE)*100,"")</f>
        <v/>
      </c>
    </row>
    <row r="6572" spans="1:12" x14ac:dyDescent="0.35">
      <c r="A6572" s="3"/>
      <c r="B6572" s="2"/>
      <c r="C6572" s="2"/>
      <c r="D6572" s="2" t="b">
        <f>IF(AND(NOT(ISBLANK(Table1[[#This Row],[Fetal Sex (Male, Female or Unknown)]])),ISNUMBER(Table1[[#This Row],[Birthweight (grams)]]),ISNUMBER(Table1[[#This Row],[Gestation (days)]])),TRUE,FALSE)</f>
        <v>0</v>
      </c>
      <c r="E6572" s="2" t="str">
        <f>IF(Table1[[#This Row],[Is Data Valid]]=TRUE,IF(Table1[[#This Row],[Fetal Sex (Male, Female or Unknown)]]="Male",Backend!$C$6,IF(Table1[[#This Row],[Fetal Sex (Male, Female or Unknown)]]="Female",Backend!$C$7,IF(Table1[[#This Row],[Fetal Sex (Male, Female or Unknown)]]="Unknown",Backend!$C$8,"Error"))),"")</f>
        <v/>
      </c>
      <c r="F6572" s="8" t="str">
        <f>IF(Table1[[#This Row],[Is Data Valid]]=TRUE,EXP(0.578+0.332*((Table1[[#This Row],[Gestation (days)]]+0.5)/7)-0.00354*((Table1[[#This Row],[Gestation (days)]]+0.5)/7)^2)*Table1[[#This Row],[BW40_3705]],"")</f>
        <v/>
      </c>
      <c r="G6572" s="2" t="str">
        <f>IF(Table1[[#This Row],[Is Data Valid]]=TRUE,((Table1[[#This Row],[Birthweight (grams)]]/Table1[[#This Row],[BW_GA]])-1)/(Backend!$B$4/100*Table1[[#This Row],[BW40_3705]]),"")</f>
        <v/>
      </c>
      <c r="H6572" s="7" t="str">
        <f>IF(Table1[[#This Row],[Is Data Valid]]=TRUE,((Table1[[#This Row],[Birthweight (grams)]]*0.9/Table1[[#This Row],[BW_GA]])-1)/(Backend!$B$4/100*Table1[[#This Row],[BW40_3705]]),"")</f>
        <v/>
      </c>
      <c r="I6572" s="7" t="str">
        <f>IF(Table1[[#This Row],[Is Data Valid]]=TRUE,((Table1[[#This Row],[Birthweight (grams)]]*1.1/Table1[[#This Row],[BW_GA]])-1)/(Backend!$B$4/100*Table1[[#This Row],[BW40_3705]]),"")</f>
        <v/>
      </c>
      <c r="J6572" s="7" t="str">
        <f>IF(Table1[[#This Row],[Is Data Valid]]=TRUE,_xlfn.NORM.S.DIST(Table1[[#This Row],[Birthweight Z-Score]],TRUE)*100,"")</f>
        <v/>
      </c>
      <c r="K6572" s="7" t="str">
        <f>IF(Table1[[#This Row],[Is Data Valid]]=TRUE,_xlfn.NORM.S.DIST(Table1[[#This Row],[Birthweight Z-Score (BW-10%)]],TRUE)*100,"")</f>
        <v/>
      </c>
      <c r="L6572" s="7" t="str">
        <f>IF(Table1[[#This Row],[Is Data Valid]]=TRUE,_xlfn.NORM.S.DIST(Table1[[#This Row],[Birthweight Z-Score (BW+10%)]],TRUE)*100,"")</f>
        <v/>
      </c>
    </row>
    <row r="6573" spans="1:12" x14ac:dyDescent="0.35">
      <c r="A6573" s="3"/>
      <c r="B6573" s="2"/>
      <c r="C6573" s="2"/>
      <c r="D6573" s="2" t="b">
        <f>IF(AND(NOT(ISBLANK(Table1[[#This Row],[Fetal Sex (Male, Female or Unknown)]])),ISNUMBER(Table1[[#This Row],[Birthweight (grams)]]),ISNUMBER(Table1[[#This Row],[Gestation (days)]])),TRUE,FALSE)</f>
        <v>0</v>
      </c>
      <c r="E6573" s="2" t="str">
        <f>IF(Table1[[#This Row],[Is Data Valid]]=TRUE,IF(Table1[[#This Row],[Fetal Sex (Male, Female or Unknown)]]="Male",Backend!$C$6,IF(Table1[[#This Row],[Fetal Sex (Male, Female or Unknown)]]="Female",Backend!$C$7,IF(Table1[[#This Row],[Fetal Sex (Male, Female or Unknown)]]="Unknown",Backend!$C$8,"Error"))),"")</f>
        <v/>
      </c>
      <c r="F6573" s="8" t="str">
        <f>IF(Table1[[#This Row],[Is Data Valid]]=TRUE,EXP(0.578+0.332*((Table1[[#This Row],[Gestation (days)]]+0.5)/7)-0.00354*((Table1[[#This Row],[Gestation (days)]]+0.5)/7)^2)*Table1[[#This Row],[BW40_3705]],"")</f>
        <v/>
      </c>
      <c r="G6573" s="2" t="str">
        <f>IF(Table1[[#This Row],[Is Data Valid]]=TRUE,((Table1[[#This Row],[Birthweight (grams)]]/Table1[[#This Row],[BW_GA]])-1)/(Backend!$B$4/100*Table1[[#This Row],[BW40_3705]]),"")</f>
        <v/>
      </c>
      <c r="H6573" s="7" t="str">
        <f>IF(Table1[[#This Row],[Is Data Valid]]=TRUE,((Table1[[#This Row],[Birthweight (grams)]]*0.9/Table1[[#This Row],[BW_GA]])-1)/(Backend!$B$4/100*Table1[[#This Row],[BW40_3705]]),"")</f>
        <v/>
      </c>
      <c r="I6573" s="7" t="str">
        <f>IF(Table1[[#This Row],[Is Data Valid]]=TRUE,((Table1[[#This Row],[Birthweight (grams)]]*1.1/Table1[[#This Row],[BW_GA]])-1)/(Backend!$B$4/100*Table1[[#This Row],[BW40_3705]]),"")</f>
        <v/>
      </c>
      <c r="J6573" s="7" t="str">
        <f>IF(Table1[[#This Row],[Is Data Valid]]=TRUE,_xlfn.NORM.S.DIST(Table1[[#This Row],[Birthweight Z-Score]],TRUE)*100,"")</f>
        <v/>
      </c>
      <c r="K6573" s="7" t="str">
        <f>IF(Table1[[#This Row],[Is Data Valid]]=TRUE,_xlfn.NORM.S.DIST(Table1[[#This Row],[Birthweight Z-Score (BW-10%)]],TRUE)*100,"")</f>
        <v/>
      </c>
      <c r="L6573" s="7" t="str">
        <f>IF(Table1[[#This Row],[Is Data Valid]]=TRUE,_xlfn.NORM.S.DIST(Table1[[#This Row],[Birthweight Z-Score (BW+10%)]],TRUE)*100,"")</f>
        <v/>
      </c>
    </row>
    <row r="6574" spans="1:12" x14ac:dyDescent="0.35">
      <c r="A6574" s="3"/>
      <c r="B6574" s="2"/>
      <c r="C6574" s="2"/>
      <c r="D6574" s="2" t="b">
        <f>IF(AND(NOT(ISBLANK(Table1[[#This Row],[Fetal Sex (Male, Female or Unknown)]])),ISNUMBER(Table1[[#This Row],[Birthweight (grams)]]),ISNUMBER(Table1[[#This Row],[Gestation (days)]])),TRUE,FALSE)</f>
        <v>0</v>
      </c>
      <c r="E6574" s="2" t="str">
        <f>IF(Table1[[#This Row],[Is Data Valid]]=TRUE,IF(Table1[[#This Row],[Fetal Sex (Male, Female or Unknown)]]="Male",Backend!$C$6,IF(Table1[[#This Row],[Fetal Sex (Male, Female or Unknown)]]="Female",Backend!$C$7,IF(Table1[[#This Row],[Fetal Sex (Male, Female or Unknown)]]="Unknown",Backend!$C$8,"Error"))),"")</f>
        <v/>
      </c>
      <c r="F6574" s="8" t="str">
        <f>IF(Table1[[#This Row],[Is Data Valid]]=TRUE,EXP(0.578+0.332*((Table1[[#This Row],[Gestation (days)]]+0.5)/7)-0.00354*((Table1[[#This Row],[Gestation (days)]]+0.5)/7)^2)*Table1[[#This Row],[BW40_3705]],"")</f>
        <v/>
      </c>
      <c r="G6574" s="2" t="str">
        <f>IF(Table1[[#This Row],[Is Data Valid]]=TRUE,((Table1[[#This Row],[Birthweight (grams)]]/Table1[[#This Row],[BW_GA]])-1)/(Backend!$B$4/100*Table1[[#This Row],[BW40_3705]]),"")</f>
        <v/>
      </c>
      <c r="H6574" s="7" t="str">
        <f>IF(Table1[[#This Row],[Is Data Valid]]=TRUE,((Table1[[#This Row],[Birthweight (grams)]]*0.9/Table1[[#This Row],[BW_GA]])-1)/(Backend!$B$4/100*Table1[[#This Row],[BW40_3705]]),"")</f>
        <v/>
      </c>
      <c r="I6574" s="7" t="str">
        <f>IF(Table1[[#This Row],[Is Data Valid]]=TRUE,((Table1[[#This Row],[Birthweight (grams)]]*1.1/Table1[[#This Row],[BW_GA]])-1)/(Backend!$B$4/100*Table1[[#This Row],[BW40_3705]]),"")</f>
        <v/>
      </c>
      <c r="J6574" s="7" t="str">
        <f>IF(Table1[[#This Row],[Is Data Valid]]=TRUE,_xlfn.NORM.S.DIST(Table1[[#This Row],[Birthweight Z-Score]],TRUE)*100,"")</f>
        <v/>
      </c>
      <c r="K6574" s="7" t="str">
        <f>IF(Table1[[#This Row],[Is Data Valid]]=TRUE,_xlfn.NORM.S.DIST(Table1[[#This Row],[Birthweight Z-Score (BW-10%)]],TRUE)*100,"")</f>
        <v/>
      </c>
      <c r="L6574" s="7" t="str">
        <f>IF(Table1[[#This Row],[Is Data Valid]]=TRUE,_xlfn.NORM.S.DIST(Table1[[#This Row],[Birthweight Z-Score (BW+10%)]],TRUE)*100,"")</f>
        <v/>
      </c>
    </row>
    <row r="6575" spans="1:12" x14ac:dyDescent="0.35">
      <c r="A6575" s="3"/>
      <c r="B6575" s="2"/>
      <c r="C6575" s="2"/>
      <c r="D6575" s="2" t="b">
        <f>IF(AND(NOT(ISBLANK(Table1[[#This Row],[Fetal Sex (Male, Female or Unknown)]])),ISNUMBER(Table1[[#This Row],[Birthweight (grams)]]),ISNUMBER(Table1[[#This Row],[Gestation (days)]])),TRUE,FALSE)</f>
        <v>0</v>
      </c>
      <c r="E6575" s="2" t="str">
        <f>IF(Table1[[#This Row],[Is Data Valid]]=TRUE,IF(Table1[[#This Row],[Fetal Sex (Male, Female or Unknown)]]="Male",Backend!$C$6,IF(Table1[[#This Row],[Fetal Sex (Male, Female or Unknown)]]="Female",Backend!$C$7,IF(Table1[[#This Row],[Fetal Sex (Male, Female or Unknown)]]="Unknown",Backend!$C$8,"Error"))),"")</f>
        <v/>
      </c>
      <c r="F6575" s="8" t="str">
        <f>IF(Table1[[#This Row],[Is Data Valid]]=TRUE,EXP(0.578+0.332*((Table1[[#This Row],[Gestation (days)]]+0.5)/7)-0.00354*((Table1[[#This Row],[Gestation (days)]]+0.5)/7)^2)*Table1[[#This Row],[BW40_3705]],"")</f>
        <v/>
      </c>
      <c r="G6575" s="2" t="str">
        <f>IF(Table1[[#This Row],[Is Data Valid]]=TRUE,((Table1[[#This Row],[Birthweight (grams)]]/Table1[[#This Row],[BW_GA]])-1)/(Backend!$B$4/100*Table1[[#This Row],[BW40_3705]]),"")</f>
        <v/>
      </c>
      <c r="H6575" s="7" t="str">
        <f>IF(Table1[[#This Row],[Is Data Valid]]=TRUE,((Table1[[#This Row],[Birthweight (grams)]]*0.9/Table1[[#This Row],[BW_GA]])-1)/(Backend!$B$4/100*Table1[[#This Row],[BW40_3705]]),"")</f>
        <v/>
      </c>
      <c r="I6575" s="7" t="str">
        <f>IF(Table1[[#This Row],[Is Data Valid]]=TRUE,((Table1[[#This Row],[Birthweight (grams)]]*1.1/Table1[[#This Row],[BW_GA]])-1)/(Backend!$B$4/100*Table1[[#This Row],[BW40_3705]]),"")</f>
        <v/>
      </c>
      <c r="J6575" s="7" t="str">
        <f>IF(Table1[[#This Row],[Is Data Valid]]=TRUE,_xlfn.NORM.S.DIST(Table1[[#This Row],[Birthweight Z-Score]],TRUE)*100,"")</f>
        <v/>
      </c>
      <c r="K6575" s="7" t="str">
        <f>IF(Table1[[#This Row],[Is Data Valid]]=TRUE,_xlfn.NORM.S.DIST(Table1[[#This Row],[Birthweight Z-Score (BW-10%)]],TRUE)*100,"")</f>
        <v/>
      </c>
      <c r="L6575" s="7" t="str">
        <f>IF(Table1[[#This Row],[Is Data Valid]]=TRUE,_xlfn.NORM.S.DIST(Table1[[#This Row],[Birthweight Z-Score (BW+10%)]],TRUE)*100,"")</f>
        <v/>
      </c>
    </row>
    <row r="6576" spans="1:12" x14ac:dyDescent="0.35">
      <c r="A6576" s="3"/>
      <c r="B6576" s="2"/>
      <c r="C6576" s="2"/>
      <c r="D6576" s="2" t="b">
        <f>IF(AND(NOT(ISBLANK(Table1[[#This Row],[Fetal Sex (Male, Female or Unknown)]])),ISNUMBER(Table1[[#This Row],[Birthweight (grams)]]),ISNUMBER(Table1[[#This Row],[Gestation (days)]])),TRUE,FALSE)</f>
        <v>0</v>
      </c>
      <c r="E6576" s="2" t="str">
        <f>IF(Table1[[#This Row],[Is Data Valid]]=TRUE,IF(Table1[[#This Row],[Fetal Sex (Male, Female or Unknown)]]="Male",Backend!$C$6,IF(Table1[[#This Row],[Fetal Sex (Male, Female or Unknown)]]="Female",Backend!$C$7,IF(Table1[[#This Row],[Fetal Sex (Male, Female or Unknown)]]="Unknown",Backend!$C$8,"Error"))),"")</f>
        <v/>
      </c>
      <c r="F6576" s="8" t="str">
        <f>IF(Table1[[#This Row],[Is Data Valid]]=TRUE,EXP(0.578+0.332*((Table1[[#This Row],[Gestation (days)]]+0.5)/7)-0.00354*((Table1[[#This Row],[Gestation (days)]]+0.5)/7)^2)*Table1[[#This Row],[BW40_3705]],"")</f>
        <v/>
      </c>
      <c r="G6576" s="2" t="str">
        <f>IF(Table1[[#This Row],[Is Data Valid]]=TRUE,((Table1[[#This Row],[Birthweight (grams)]]/Table1[[#This Row],[BW_GA]])-1)/(Backend!$B$4/100*Table1[[#This Row],[BW40_3705]]),"")</f>
        <v/>
      </c>
      <c r="H6576" s="7" t="str">
        <f>IF(Table1[[#This Row],[Is Data Valid]]=TRUE,((Table1[[#This Row],[Birthweight (grams)]]*0.9/Table1[[#This Row],[BW_GA]])-1)/(Backend!$B$4/100*Table1[[#This Row],[BW40_3705]]),"")</f>
        <v/>
      </c>
      <c r="I6576" s="7" t="str">
        <f>IF(Table1[[#This Row],[Is Data Valid]]=TRUE,((Table1[[#This Row],[Birthweight (grams)]]*1.1/Table1[[#This Row],[BW_GA]])-1)/(Backend!$B$4/100*Table1[[#This Row],[BW40_3705]]),"")</f>
        <v/>
      </c>
      <c r="J6576" s="7" t="str">
        <f>IF(Table1[[#This Row],[Is Data Valid]]=TRUE,_xlfn.NORM.S.DIST(Table1[[#This Row],[Birthweight Z-Score]],TRUE)*100,"")</f>
        <v/>
      </c>
      <c r="K6576" s="7" t="str">
        <f>IF(Table1[[#This Row],[Is Data Valid]]=TRUE,_xlfn.NORM.S.DIST(Table1[[#This Row],[Birthweight Z-Score (BW-10%)]],TRUE)*100,"")</f>
        <v/>
      </c>
      <c r="L6576" s="7" t="str">
        <f>IF(Table1[[#This Row],[Is Data Valid]]=TRUE,_xlfn.NORM.S.DIST(Table1[[#This Row],[Birthweight Z-Score (BW+10%)]],TRUE)*100,"")</f>
        <v/>
      </c>
    </row>
    <row r="6577" spans="1:12" x14ac:dyDescent="0.35">
      <c r="A6577" s="3"/>
      <c r="B6577" s="2"/>
      <c r="C6577" s="2"/>
      <c r="D6577" s="2" t="b">
        <f>IF(AND(NOT(ISBLANK(Table1[[#This Row],[Fetal Sex (Male, Female or Unknown)]])),ISNUMBER(Table1[[#This Row],[Birthweight (grams)]]),ISNUMBER(Table1[[#This Row],[Gestation (days)]])),TRUE,FALSE)</f>
        <v>0</v>
      </c>
      <c r="E6577" s="2" t="str">
        <f>IF(Table1[[#This Row],[Is Data Valid]]=TRUE,IF(Table1[[#This Row],[Fetal Sex (Male, Female or Unknown)]]="Male",Backend!$C$6,IF(Table1[[#This Row],[Fetal Sex (Male, Female or Unknown)]]="Female",Backend!$C$7,IF(Table1[[#This Row],[Fetal Sex (Male, Female or Unknown)]]="Unknown",Backend!$C$8,"Error"))),"")</f>
        <v/>
      </c>
      <c r="F6577" s="8" t="str">
        <f>IF(Table1[[#This Row],[Is Data Valid]]=TRUE,EXP(0.578+0.332*((Table1[[#This Row],[Gestation (days)]]+0.5)/7)-0.00354*((Table1[[#This Row],[Gestation (days)]]+0.5)/7)^2)*Table1[[#This Row],[BW40_3705]],"")</f>
        <v/>
      </c>
      <c r="G6577" s="2" t="str">
        <f>IF(Table1[[#This Row],[Is Data Valid]]=TRUE,((Table1[[#This Row],[Birthweight (grams)]]/Table1[[#This Row],[BW_GA]])-1)/(Backend!$B$4/100*Table1[[#This Row],[BW40_3705]]),"")</f>
        <v/>
      </c>
      <c r="H6577" s="7" t="str">
        <f>IF(Table1[[#This Row],[Is Data Valid]]=TRUE,((Table1[[#This Row],[Birthweight (grams)]]*0.9/Table1[[#This Row],[BW_GA]])-1)/(Backend!$B$4/100*Table1[[#This Row],[BW40_3705]]),"")</f>
        <v/>
      </c>
      <c r="I6577" s="7" t="str">
        <f>IF(Table1[[#This Row],[Is Data Valid]]=TRUE,((Table1[[#This Row],[Birthweight (grams)]]*1.1/Table1[[#This Row],[BW_GA]])-1)/(Backend!$B$4/100*Table1[[#This Row],[BW40_3705]]),"")</f>
        <v/>
      </c>
      <c r="J6577" s="7" t="str">
        <f>IF(Table1[[#This Row],[Is Data Valid]]=TRUE,_xlfn.NORM.S.DIST(Table1[[#This Row],[Birthweight Z-Score]],TRUE)*100,"")</f>
        <v/>
      </c>
      <c r="K6577" s="7" t="str">
        <f>IF(Table1[[#This Row],[Is Data Valid]]=TRUE,_xlfn.NORM.S.DIST(Table1[[#This Row],[Birthweight Z-Score (BW-10%)]],TRUE)*100,"")</f>
        <v/>
      </c>
      <c r="L6577" s="7" t="str">
        <f>IF(Table1[[#This Row],[Is Data Valid]]=TRUE,_xlfn.NORM.S.DIST(Table1[[#This Row],[Birthweight Z-Score (BW+10%)]],TRUE)*100,"")</f>
        <v/>
      </c>
    </row>
    <row r="6578" spans="1:12" x14ac:dyDescent="0.35">
      <c r="A6578" s="3"/>
      <c r="B6578" s="2"/>
      <c r="C6578" s="2"/>
      <c r="D6578" s="2" t="b">
        <f>IF(AND(NOT(ISBLANK(Table1[[#This Row],[Fetal Sex (Male, Female or Unknown)]])),ISNUMBER(Table1[[#This Row],[Birthweight (grams)]]),ISNUMBER(Table1[[#This Row],[Gestation (days)]])),TRUE,FALSE)</f>
        <v>0</v>
      </c>
      <c r="E6578" s="2" t="str">
        <f>IF(Table1[[#This Row],[Is Data Valid]]=TRUE,IF(Table1[[#This Row],[Fetal Sex (Male, Female or Unknown)]]="Male",Backend!$C$6,IF(Table1[[#This Row],[Fetal Sex (Male, Female or Unknown)]]="Female",Backend!$C$7,IF(Table1[[#This Row],[Fetal Sex (Male, Female or Unknown)]]="Unknown",Backend!$C$8,"Error"))),"")</f>
        <v/>
      </c>
      <c r="F6578" s="8" t="str">
        <f>IF(Table1[[#This Row],[Is Data Valid]]=TRUE,EXP(0.578+0.332*((Table1[[#This Row],[Gestation (days)]]+0.5)/7)-0.00354*((Table1[[#This Row],[Gestation (days)]]+0.5)/7)^2)*Table1[[#This Row],[BW40_3705]],"")</f>
        <v/>
      </c>
      <c r="G6578" s="2" t="str">
        <f>IF(Table1[[#This Row],[Is Data Valid]]=TRUE,((Table1[[#This Row],[Birthweight (grams)]]/Table1[[#This Row],[BW_GA]])-1)/(Backend!$B$4/100*Table1[[#This Row],[BW40_3705]]),"")</f>
        <v/>
      </c>
      <c r="H6578" s="7" t="str">
        <f>IF(Table1[[#This Row],[Is Data Valid]]=TRUE,((Table1[[#This Row],[Birthweight (grams)]]*0.9/Table1[[#This Row],[BW_GA]])-1)/(Backend!$B$4/100*Table1[[#This Row],[BW40_3705]]),"")</f>
        <v/>
      </c>
      <c r="I6578" s="7" t="str">
        <f>IF(Table1[[#This Row],[Is Data Valid]]=TRUE,((Table1[[#This Row],[Birthweight (grams)]]*1.1/Table1[[#This Row],[BW_GA]])-1)/(Backend!$B$4/100*Table1[[#This Row],[BW40_3705]]),"")</f>
        <v/>
      </c>
      <c r="J6578" s="7" t="str">
        <f>IF(Table1[[#This Row],[Is Data Valid]]=TRUE,_xlfn.NORM.S.DIST(Table1[[#This Row],[Birthweight Z-Score]],TRUE)*100,"")</f>
        <v/>
      </c>
      <c r="K6578" s="7" t="str">
        <f>IF(Table1[[#This Row],[Is Data Valid]]=TRUE,_xlfn.NORM.S.DIST(Table1[[#This Row],[Birthweight Z-Score (BW-10%)]],TRUE)*100,"")</f>
        <v/>
      </c>
      <c r="L6578" s="7" t="str">
        <f>IF(Table1[[#This Row],[Is Data Valid]]=TRUE,_xlfn.NORM.S.DIST(Table1[[#This Row],[Birthweight Z-Score (BW+10%)]],TRUE)*100,"")</f>
        <v/>
      </c>
    </row>
    <row r="6579" spans="1:12" x14ac:dyDescent="0.35">
      <c r="A6579" s="3"/>
      <c r="B6579" s="2"/>
      <c r="C6579" s="2"/>
      <c r="D6579" s="2" t="b">
        <f>IF(AND(NOT(ISBLANK(Table1[[#This Row],[Fetal Sex (Male, Female or Unknown)]])),ISNUMBER(Table1[[#This Row],[Birthweight (grams)]]),ISNUMBER(Table1[[#This Row],[Gestation (days)]])),TRUE,FALSE)</f>
        <v>0</v>
      </c>
      <c r="E6579" s="2" t="str">
        <f>IF(Table1[[#This Row],[Is Data Valid]]=TRUE,IF(Table1[[#This Row],[Fetal Sex (Male, Female or Unknown)]]="Male",Backend!$C$6,IF(Table1[[#This Row],[Fetal Sex (Male, Female or Unknown)]]="Female",Backend!$C$7,IF(Table1[[#This Row],[Fetal Sex (Male, Female or Unknown)]]="Unknown",Backend!$C$8,"Error"))),"")</f>
        <v/>
      </c>
      <c r="F6579" s="8" t="str">
        <f>IF(Table1[[#This Row],[Is Data Valid]]=TRUE,EXP(0.578+0.332*((Table1[[#This Row],[Gestation (days)]]+0.5)/7)-0.00354*((Table1[[#This Row],[Gestation (days)]]+0.5)/7)^2)*Table1[[#This Row],[BW40_3705]],"")</f>
        <v/>
      </c>
      <c r="G6579" s="2" t="str">
        <f>IF(Table1[[#This Row],[Is Data Valid]]=TRUE,((Table1[[#This Row],[Birthweight (grams)]]/Table1[[#This Row],[BW_GA]])-1)/(Backend!$B$4/100*Table1[[#This Row],[BW40_3705]]),"")</f>
        <v/>
      </c>
      <c r="H6579" s="7" t="str">
        <f>IF(Table1[[#This Row],[Is Data Valid]]=TRUE,((Table1[[#This Row],[Birthweight (grams)]]*0.9/Table1[[#This Row],[BW_GA]])-1)/(Backend!$B$4/100*Table1[[#This Row],[BW40_3705]]),"")</f>
        <v/>
      </c>
      <c r="I6579" s="7" t="str">
        <f>IF(Table1[[#This Row],[Is Data Valid]]=TRUE,((Table1[[#This Row],[Birthweight (grams)]]*1.1/Table1[[#This Row],[BW_GA]])-1)/(Backend!$B$4/100*Table1[[#This Row],[BW40_3705]]),"")</f>
        <v/>
      </c>
      <c r="J6579" s="7" t="str">
        <f>IF(Table1[[#This Row],[Is Data Valid]]=TRUE,_xlfn.NORM.S.DIST(Table1[[#This Row],[Birthweight Z-Score]],TRUE)*100,"")</f>
        <v/>
      </c>
      <c r="K6579" s="7" t="str">
        <f>IF(Table1[[#This Row],[Is Data Valid]]=TRUE,_xlfn.NORM.S.DIST(Table1[[#This Row],[Birthweight Z-Score (BW-10%)]],TRUE)*100,"")</f>
        <v/>
      </c>
      <c r="L6579" s="7" t="str">
        <f>IF(Table1[[#This Row],[Is Data Valid]]=TRUE,_xlfn.NORM.S.DIST(Table1[[#This Row],[Birthweight Z-Score (BW+10%)]],TRUE)*100,"")</f>
        <v/>
      </c>
    </row>
    <row r="6580" spans="1:12" x14ac:dyDescent="0.35">
      <c r="A6580" s="3"/>
      <c r="B6580" s="2"/>
      <c r="C6580" s="2"/>
      <c r="D6580" s="2" t="b">
        <f>IF(AND(NOT(ISBLANK(Table1[[#This Row],[Fetal Sex (Male, Female or Unknown)]])),ISNUMBER(Table1[[#This Row],[Birthweight (grams)]]),ISNUMBER(Table1[[#This Row],[Gestation (days)]])),TRUE,FALSE)</f>
        <v>0</v>
      </c>
      <c r="E6580" s="2" t="str">
        <f>IF(Table1[[#This Row],[Is Data Valid]]=TRUE,IF(Table1[[#This Row],[Fetal Sex (Male, Female or Unknown)]]="Male",Backend!$C$6,IF(Table1[[#This Row],[Fetal Sex (Male, Female or Unknown)]]="Female",Backend!$C$7,IF(Table1[[#This Row],[Fetal Sex (Male, Female or Unknown)]]="Unknown",Backend!$C$8,"Error"))),"")</f>
        <v/>
      </c>
      <c r="F6580" s="8" t="str">
        <f>IF(Table1[[#This Row],[Is Data Valid]]=TRUE,EXP(0.578+0.332*((Table1[[#This Row],[Gestation (days)]]+0.5)/7)-0.00354*((Table1[[#This Row],[Gestation (days)]]+0.5)/7)^2)*Table1[[#This Row],[BW40_3705]],"")</f>
        <v/>
      </c>
      <c r="G6580" s="2" t="str">
        <f>IF(Table1[[#This Row],[Is Data Valid]]=TRUE,((Table1[[#This Row],[Birthweight (grams)]]/Table1[[#This Row],[BW_GA]])-1)/(Backend!$B$4/100*Table1[[#This Row],[BW40_3705]]),"")</f>
        <v/>
      </c>
      <c r="H6580" s="7" t="str">
        <f>IF(Table1[[#This Row],[Is Data Valid]]=TRUE,((Table1[[#This Row],[Birthweight (grams)]]*0.9/Table1[[#This Row],[BW_GA]])-1)/(Backend!$B$4/100*Table1[[#This Row],[BW40_3705]]),"")</f>
        <v/>
      </c>
      <c r="I6580" s="7" t="str">
        <f>IF(Table1[[#This Row],[Is Data Valid]]=TRUE,((Table1[[#This Row],[Birthweight (grams)]]*1.1/Table1[[#This Row],[BW_GA]])-1)/(Backend!$B$4/100*Table1[[#This Row],[BW40_3705]]),"")</f>
        <v/>
      </c>
      <c r="J6580" s="7" t="str">
        <f>IF(Table1[[#This Row],[Is Data Valid]]=TRUE,_xlfn.NORM.S.DIST(Table1[[#This Row],[Birthweight Z-Score]],TRUE)*100,"")</f>
        <v/>
      </c>
      <c r="K6580" s="7" t="str">
        <f>IF(Table1[[#This Row],[Is Data Valid]]=TRUE,_xlfn.NORM.S.DIST(Table1[[#This Row],[Birthweight Z-Score (BW-10%)]],TRUE)*100,"")</f>
        <v/>
      </c>
      <c r="L6580" s="7" t="str">
        <f>IF(Table1[[#This Row],[Is Data Valid]]=TRUE,_xlfn.NORM.S.DIST(Table1[[#This Row],[Birthweight Z-Score (BW+10%)]],TRUE)*100,"")</f>
        <v/>
      </c>
    </row>
    <row r="6581" spans="1:12" x14ac:dyDescent="0.35">
      <c r="A6581" s="3"/>
      <c r="B6581" s="2"/>
      <c r="C6581" s="2"/>
      <c r="D6581" s="2" t="b">
        <f>IF(AND(NOT(ISBLANK(Table1[[#This Row],[Fetal Sex (Male, Female or Unknown)]])),ISNUMBER(Table1[[#This Row],[Birthweight (grams)]]),ISNUMBER(Table1[[#This Row],[Gestation (days)]])),TRUE,FALSE)</f>
        <v>0</v>
      </c>
      <c r="E6581" s="2" t="str">
        <f>IF(Table1[[#This Row],[Is Data Valid]]=TRUE,IF(Table1[[#This Row],[Fetal Sex (Male, Female or Unknown)]]="Male",Backend!$C$6,IF(Table1[[#This Row],[Fetal Sex (Male, Female or Unknown)]]="Female",Backend!$C$7,IF(Table1[[#This Row],[Fetal Sex (Male, Female or Unknown)]]="Unknown",Backend!$C$8,"Error"))),"")</f>
        <v/>
      </c>
      <c r="F6581" s="8" t="str">
        <f>IF(Table1[[#This Row],[Is Data Valid]]=TRUE,EXP(0.578+0.332*((Table1[[#This Row],[Gestation (days)]]+0.5)/7)-0.00354*((Table1[[#This Row],[Gestation (days)]]+0.5)/7)^2)*Table1[[#This Row],[BW40_3705]],"")</f>
        <v/>
      </c>
      <c r="G6581" s="2" t="str">
        <f>IF(Table1[[#This Row],[Is Data Valid]]=TRUE,((Table1[[#This Row],[Birthweight (grams)]]/Table1[[#This Row],[BW_GA]])-1)/(Backend!$B$4/100*Table1[[#This Row],[BW40_3705]]),"")</f>
        <v/>
      </c>
      <c r="H6581" s="7" t="str">
        <f>IF(Table1[[#This Row],[Is Data Valid]]=TRUE,((Table1[[#This Row],[Birthweight (grams)]]*0.9/Table1[[#This Row],[BW_GA]])-1)/(Backend!$B$4/100*Table1[[#This Row],[BW40_3705]]),"")</f>
        <v/>
      </c>
      <c r="I6581" s="7" t="str">
        <f>IF(Table1[[#This Row],[Is Data Valid]]=TRUE,((Table1[[#This Row],[Birthweight (grams)]]*1.1/Table1[[#This Row],[BW_GA]])-1)/(Backend!$B$4/100*Table1[[#This Row],[BW40_3705]]),"")</f>
        <v/>
      </c>
      <c r="J6581" s="7" t="str">
        <f>IF(Table1[[#This Row],[Is Data Valid]]=TRUE,_xlfn.NORM.S.DIST(Table1[[#This Row],[Birthweight Z-Score]],TRUE)*100,"")</f>
        <v/>
      </c>
      <c r="K6581" s="7" t="str">
        <f>IF(Table1[[#This Row],[Is Data Valid]]=TRUE,_xlfn.NORM.S.DIST(Table1[[#This Row],[Birthweight Z-Score (BW-10%)]],TRUE)*100,"")</f>
        <v/>
      </c>
      <c r="L6581" s="7" t="str">
        <f>IF(Table1[[#This Row],[Is Data Valid]]=TRUE,_xlfn.NORM.S.DIST(Table1[[#This Row],[Birthweight Z-Score (BW+10%)]],TRUE)*100,"")</f>
        <v/>
      </c>
    </row>
    <row r="6582" spans="1:12" x14ac:dyDescent="0.35">
      <c r="A6582" s="3"/>
      <c r="B6582" s="2"/>
      <c r="C6582" s="2"/>
      <c r="D6582" s="2" t="b">
        <f>IF(AND(NOT(ISBLANK(Table1[[#This Row],[Fetal Sex (Male, Female or Unknown)]])),ISNUMBER(Table1[[#This Row],[Birthweight (grams)]]),ISNUMBER(Table1[[#This Row],[Gestation (days)]])),TRUE,FALSE)</f>
        <v>0</v>
      </c>
      <c r="E6582" s="2" t="str">
        <f>IF(Table1[[#This Row],[Is Data Valid]]=TRUE,IF(Table1[[#This Row],[Fetal Sex (Male, Female or Unknown)]]="Male",Backend!$C$6,IF(Table1[[#This Row],[Fetal Sex (Male, Female or Unknown)]]="Female",Backend!$C$7,IF(Table1[[#This Row],[Fetal Sex (Male, Female or Unknown)]]="Unknown",Backend!$C$8,"Error"))),"")</f>
        <v/>
      </c>
      <c r="F6582" s="8" t="str">
        <f>IF(Table1[[#This Row],[Is Data Valid]]=TRUE,EXP(0.578+0.332*((Table1[[#This Row],[Gestation (days)]]+0.5)/7)-0.00354*((Table1[[#This Row],[Gestation (days)]]+0.5)/7)^2)*Table1[[#This Row],[BW40_3705]],"")</f>
        <v/>
      </c>
      <c r="G6582" s="2" t="str">
        <f>IF(Table1[[#This Row],[Is Data Valid]]=TRUE,((Table1[[#This Row],[Birthweight (grams)]]/Table1[[#This Row],[BW_GA]])-1)/(Backend!$B$4/100*Table1[[#This Row],[BW40_3705]]),"")</f>
        <v/>
      </c>
      <c r="H6582" s="7" t="str">
        <f>IF(Table1[[#This Row],[Is Data Valid]]=TRUE,((Table1[[#This Row],[Birthweight (grams)]]*0.9/Table1[[#This Row],[BW_GA]])-1)/(Backend!$B$4/100*Table1[[#This Row],[BW40_3705]]),"")</f>
        <v/>
      </c>
      <c r="I6582" s="7" t="str">
        <f>IF(Table1[[#This Row],[Is Data Valid]]=TRUE,((Table1[[#This Row],[Birthweight (grams)]]*1.1/Table1[[#This Row],[BW_GA]])-1)/(Backend!$B$4/100*Table1[[#This Row],[BW40_3705]]),"")</f>
        <v/>
      </c>
      <c r="J6582" s="7" t="str">
        <f>IF(Table1[[#This Row],[Is Data Valid]]=TRUE,_xlfn.NORM.S.DIST(Table1[[#This Row],[Birthweight Z-Score]],TRUE)*100,"")</f>
        <v/>
      </c>
      <c r="K6582" s="7" t="str">
        <f>IF(Table1[[#This Row],[Is Data Valid]]=TRUE,_xlfn.NORM.S.DIST(Table1[[#This Row],[Birthweight Z-Score (BW-10%)]],TRUE)*100,"")</f>
        <v/>
      </c>
      <c r="L6582" s="7" t="str">
        <f>IF(Table1[[#This Row],[Is Data Valid]]=TRUE,_xlfn.NORM.S.DIST(Table1[[#This Row],[Birthweight Z-Score (BW+10%)]],TRUE)*100,"")</f>
        <v/>
      </c>
    </row>
    <row r="6583" spans="1:12" x14ac:dyDescent="0.35">
      <c r="A6583" s="3"/>
      <c r="B6583" s="2"/>
      <c r="C6583" s="2"/>
      <c r="D6583" s="2" t="b">
        <f>IF(AND(NOT(ISBLANK(Table1[[#This Row],[Fetal Sex (Male, Female or Unknown)]])),ISNUMBER(Table1[[#This Row],[Birthweight (grams)]]),ISNUMBER(Table1[[#This Row],[Gestation (days)]])),TRUE,FALSE)</f>
        <v>0</v>
      </c>
      <c r="E6583" s="2" t="str">
        <f>IF(Table1[[#This Row],[Is Data Valid]]=TRUE,IF(Table1[[#This Row],[Fetal Sex (Male, Female or Unknown)]]="Male",Backend!$C$6,IF(Table1[[#This Row],[Fetal Sex (Male, Female or Unknown)]]="Female",Backend!$C$7,IF(Table1[[#This Row],[Fetal Sex (Male, Female or Unknown)]]="Unknown",Backend!$C$8,"Error"))),"")</f>
        <v/>
      </c>
      <c r="F6583" s="8" t="str">
        <f>IF(Table1[[#This Row],[Is Data Valid]]=TRUE,EXP(0.578+0.332*((Table1[[#This Row],[Gestation (days)]]+0.5)/7)-0.00354*((Table1[[#This Row],[Gestation (days)]]+0.5)/7)^2)*Table1[[#This Row],[BW40_3705]],"")</f>
        <v/>
      </c>
      <c r="G6583" s="2" t="str">
        <f>IF(Table1[[#This Row],[Is Data Valid]]=TRUE,((Table1[[#This Row],[Birthweight (grams)]]/Table1[[#This Row],[BW_GA]])-1)/(Backend!$B$4/100*Table1[[#This Row],[BW40_3705]]),"")</f>
        <v/>
      </c>
      <c r="H6583" s="7" t="str">
        <f>IF(Table1[[#This Row],[Is Data Valid]]=TRUE,((Table1[[#This Row],[Birthweight (grams)]]*0.9/Table1[[#This Row],[BW_GA]])-1)/(Backend!$B$4/100*Table1[[#This Row],[BW40_3705]]),"")</f>
        <v/>
      </c>
      <c r="I6583" s="7" t="str">
        <f>IF(Table1[[#This Row],[Is Data Valid]]=TRUE,((Table1[[#This Row],[Birthweight (grams)]]*1.1/Table1[[#This Row],[BW_GA]])-1)/(Backend!$B$4/100*Table1[[#This Row],[BW40_3705]]),"")</f>
        <v/>
      </c>
      <c r="J6583" s="7" t="str">
        <f>IF(Table1[[#This Row],[Is Data Valid]]=TRUE,_xlfn.NORM.S.DIST(Table1[[#This Row],[Birthweight Z-Score]],TRUE)*100,"")</f>
        <v/>
      </c>
      <c r="K6583" s="7" t="str">
        <f>IF(Table1[[#This Row],[Is Data Valid]]=TRUE,_xlfn.NORM.S.DIST(Table1[[#This Row],[Birthweight Z-Score (BW-10%)]],TRUE)*100,"")</f>
        <v/>
      </c>
      <c r="L6583" s="7" t="str">
        <f>IF(Table1[[#This Row],[Is Data Valid]]=TRUE,_xlfn.NORM.S.DIST(Table1[[#This Row],[Birthweight Z-Score (BW+10%)]],TRUE)*100,"")</f>
        <v/>
      </c>
    </row>
    <row r="6584" spans="1:12" x14ac:dyDescent="0.35">
      <c r="A6584" s="3"/>
      <c r="B6584" s="2"/>
      <c r="C6584" s="2"/>
      <c r="D6584" s="2" t="b">
        <f>IF(AND(NOT(ISBLANK(Table1[[#This Row],[Fetal Sex (Male, Female or Unknown)]])),ISNUMBER(Table1[[#This Row],[Birthweight (grams)]]),ISNUMBER(Table1[[#This Row],[Gestation (days)]])),TRUE,FALSE)</f>
        <v>0</v>
      </c>
      <c r="E6584" s="2" t="str">
        <f>IF(Table1[[#This Row],[Is Data Valid]]=TRUE,IF(Table1[[#This Row],[Fetal Sex (Male, Female or Unknown)]]="Male",Backend!$C$6,IF(Table1[[#This Row],[Fetal Sex (Male, Female or Unknown)]]="Female",Backend!$C$7,IF(Table1[[#This Row],[Fetal Sex (Male, Female or Unknown)]]="Unknown",Backend!$C$8,"Error"))),"")</f>
        <v/>
      </c>
      <c r="F6584" s="8" t="str">
        <f>IF(Table1[[#This Row],[Is Data Valid]]=TRUE,EXP(0.578+0.332*((Table1[[#This Row],[Gestation (days)]]+0.5)/7)-0.00354*((Table1[[#This Row],[Gestation (days)]]+0.5)/7)^2)*Table1[[#This Row],[BW40_3705]],"")</f>
        <v/>
      </c>
      <c r="G6584" s="2" t="str">
        <f>IF(Table1[[#This Row],[Is Data Valid]]=TRUE,((Table1[[#This Row],[Birthweight (grams)]]/Table1[[#This Row],[BW_GA]])-1)/(Backend!$B$4/100*Table1[[#This Row],[BW40_3705]]),"")</f>
        <v/>
      </c>
      <c r="H6584" s="7" t="str">
        <f>IF(Table1[[#This Row],[Is Data Valid]]=TRUE,((Table1[[#This Row],[Birthweight (grams)]]*0.9/Table1[[#This Row],[BW_GA]])-1)/(Backend!$B$4/100*Table1[[#This Row],[BW40_3705]]),"")</f>
        <v/>
      </c>
      <c r="I6584" s="7" t="str">
        <f>IF(Table1[[#This Row],[Is Data Valid]]=TRUE,((Table1[[#This Row],[Birthweight (grams)]]*1.1/Table1[[#This Row],[BW_GA]])-1)/(Backend!$B$4/100*Table1[[#This Row],[BW40_3705]]),"")</f>
        <v/>
      </c>
      <c r="J6584" s="7" t="str">
        <f>IF(Table1[[#This Row],[Is Data Valid]]=TRUE,_xlfn.NORM.S.DIST(Table1[[#This Row],[Birthweight Z-Score]],TRUE)*100,"")</f>
        <v/>
      </c>
      <c r="K6584" s="7" t="str">
        <f>IF(Table1[[#This Row],[Is Data Valid]]=TRUE,_xlfn.NORM.S.DIST(Table1[[#This Row],[Birthweight Z-Score (BW-10%)]],TRUE)*100,"")</f>
        <v/>
      </c>
      <c r="L6584" s="7" t="str">
        <f>IF(Table1[[#This Row],[Is Data Valid]]=TRUE,_xlfn.NORM.S.DIST(Table1[[#This Row],[Birthweight Z-Score (BW+10%)]],TRUE)*100,"")</f>
        <v/>
      </c>
    </row>
    <row r="6585" spans="1:12" x14ac:dyDescent="0.35">
      <c r="A6585" s="3"/>
      <c r="B6585" s="2"/>
      <c r="C6585" s="2"/>
      <c r="D6585" s="2" t="b">
        <f>IF(AND(NOT(ISBLANK(Table1[[#This Row],[Fetal Sex (Male, Female or Unknown)]])),ISNUMBER(Table1[[#This Row],[Birthweight (grams)]]),ISNUMBER(Table1[[#This Row],[Gestation (days)]])),TRUE,FALSE)</f>
        <v>0</v>
      </c>
      <c r="E6585" s="2" t="str">
        <f>IF(Table1[[#This Row],[Is Data Valid]]=TRUE,IF(Table1[[#This Row],[Fetal Sex (Male, Female or Unknown)]]="Male",Backend!$C$6,IF(Table1[[#This Row],[Fetal Sex (Male, Female or Unknown)]]="Female",Backend!$C$7,IF(Table1[[#This Row],[Fetal Sex (Male, Female or Unknown)]]="Unknown",Backend!$C$8,"Error"))),"")</f>
        <v/>
      </c>
      <c r="F6585" s="8" t="str">
        <f>IF(Table1[[#This Row],[Is Data Valid]]=TRUE,EXP(0.578+0.332*((Table1[[#This Row],[Gestation (days)]]+0.5)/7)-0.00354*((Table1[[#This Row],[Gestation (days)]]+0.5)/7)^2)*Table1[[#This Row],[BW40_3705]],"")</f>
        <v/>
      </c>
      <c r="G6585" s="2" t="str">
        <f>IF(Table1[[#This Row],[Is Data Valid]]=TRUE,((Table1[[#This Row],[Birthweight (grams)]]/Table1[[#This Row],[BW_GA]])-1)/(Backend!$B$4/100*Table1[[#This Row],[BW40_3705]]),"")</f>
        <v/>
      </c>
      <c r="H6585" s="7" t="str">
        <f>IF(Table1[[#This Row],[Is Data Valid]]=TRUE,((Table1[[#This Row],[Birthweight (grams)]]*0.9/Table1[[#This Row],[BW_GA]])-1)/(Backend!$B$4/100*Table1[[#This Row],[BW40_3705]]),"")</f>
        <v/>
      </c>
      <c r="I6585" s="7" t="str">
        <f>IF(Table1[[#This Row],[Is Data Valid]]=TRUE,((Table1[[#This Row],[Birthweight (grams)]]*1.1/Table1[[#This Row],[BW_GA]])-1)/(Backend!$B$4/100*Table1[[#This Row],[BW40_3705]]),"")</f>
        <v/>
      </c>
      <c r="J6585" s="7" t="str">
        <f>IF(Table1[[#This Row],[Is Data Valid]]=TRUE,_xlfn.NORM.S.DIST(Table1[[#This Row],[Birthweight Z-Score]],TRUE)*100,"")</f>
        <v/>
      </c>
      <c r="K6585" s="7" t="str">
        <f>IF(Table1[[#This Row],[Is Data Valid]]=TRUE,_xlfn.NORM.S.DIST(Table1[[#This Row],[Birthweight Z-Score (BW-10%)]],TRUE)*100,"")</f>
        <v/>
      </c>
      <c r="L6585" s="7" t="str">
        <f>IF(Table1[[#This Row],[Is Data Valid]]=TRUE,_xlfn.NORM.S.DIST(Table1[[#This Row],[Birthweight Z-Score (BW+10%)]],TRUE)*100,"")</f>
        <v/>
      </c>
    </row>
    <row r="6586" spans="1:12" x14ac:dyDescent="0.35">
      <c r="A6586" s="3"/>
      <c r="B6586" s="2"/>
      <c r="C6586" s="2"/>
      <c r="D6586" s="2" t="b">
        <f>IF(AND(NOT(ISBLANK(Table1[[#This Row],[Fetal Sex (Male, Female or Unknown)]])),ISNUMBER(Table1[[#This Row],[Birthweight (grams)]]),ISNUMBER(Table1[[#This Row],[Gestation (days)]])),TRUE,FALSE)</f>
        <v>0</v>
      </c>
      <c r="E6586" s="2" t="str">
        <f>IF(Table1[[#This Row],[Is Data Valid]]=TRUE,IF(Table1[[#This Row],[Fetal Sex (Male, Female or Unknown)]]="Male",Backend!$C$6,IF(Table1[[#This Row],[Fetal Sex (Male, Female or Unknown)]]="Female",Backend!$C$7,IF(Table1[[#This Row],[Fetal Sex (Male, Female or Unknown)]]="Unknown",Backend!$C$8,"Error"))),"")</f>
        <v/>
      </c>
      <c r="F6586" s="8" t="str">
        <f>IF(Table1[[#This Row],[Is Data Valid]]=TRUE,EXP(0.578+0.332*((Table1[[#This Row],[Gestation (days)]]+0.5)/7)-0.00354*((Table1[[#This Row],[Gestation (days)]]+0.5)/7)^2)*Table1[[#This Row],[BW40_3705]],"")</f>
        <v/>
      </c>
      <c r="G6586" s="2" t="str">
        <f>IF(Table1[[#This Row],[Is Data Valid]]=TRUE,((Table1[[#This Row],[Birthweight (grams)]]/Table1[[#This Row],[BW_GA]])-1)/(Backend!$B$4/100*Table1[[#This Row],[BW40_3705]]),"")</f>
        <v/>
      </c>
      <c r="H6586" s="7" t="str">
        <f>IF(Table1[[#This Row],[Is Data Valid]]=TRUE,((Table1[[#This Row],[Birthweight (grams)]]*0.9/Table1[[#This Row],[BW_GA]])-1)/(Backend!$B$4/100*Table1[[#This Row],[BW40_3705]]),"")</f>
        <v/>
      </c>
      <c r="I6586" s="7" t="str">
        <f>IF(Table1[[#This Row],[Is Data Valid]]=TRUE,((Table1[[#This Row],[Birthweight (grams)]]*1.1/Table1[[#This Row],[BW_GA]])-1)/(Backend!$B$4/100*Table1[[#This Row],[BW40_3705]]),"")</f>
        <v/>
      </c>
      <c r="J6586" s="7" t="str">
        <f>IF(Table1[[#This Row],[Is Data Valid]]=TRUE,_xlfn.NORM.S.DIST(Table1[[#This Row],[Birthweight Z-Score]],TRUE)*100,"")</f>
        <v/>
      </c>
      <c r="K6586" s="7" t="str">
        <f>IF(Table1[[#This Row],[Is Data Valid]]=TRUE,_xlfn.NORM.S.DIST(Table1[[#This Row],[Birthweight Z-Score (BW-10%)]],TRUE)*100,"")</f>
        <v/>
      </c>
      <c r="L6586" s="7" t="str">
        <f>IF(Table1[[#This Row],[Is Data Valid]]=TRUE,_xlfn.NORM.S.DIST(Table1[[#This Row],[Birthweight Z-Score (BW+10%)]],TRUE)*100,"")</f>
        <v/>
      </c>
    </row>
    <row r="6587" spans="1:12" x14ac:dyDescent="0.35">
      <c r="A6587" s="3"/>
      <c r="B6587" s="2"/>
      <c r="C6587" s="2"/>
      <c r="D6587" s="2" t="b">
        <f>IF(AND(NOT(ISBLANK(Table1[[#This Row],[Fetal Sex (Male, Female or Unknown)]])),ISNUMBER(Table1[[#This Row],[Birthweight (grams)]]),ISNUMBER(Table1[[#This Row],[Gestation (days)]])),TRUE,FALSE)</f>
        <v>0</v>
      </c>
      <c r="E6587" s="2" t="str">
        <f>IF(Table1[[#This Row],[Is Data Valid]]=TRUE,IF(Table1[[#This Row],[Fetal Sex (Male, Female or Unknown)]]="Male",Backend!$C$6,IF(Table1[[#This Row],[Fetal Sex (Male, Female or Unknown)]]="Female",Backend!$C$7,IF(Table1[[#This Row],[Fetal Sex (Male, Female or Unknown)]]="Unknown",Backend!$C$8,"Error"))),"")</f>
        <v/>
      </c>
      <c r="F6587" s="8" t="str">
        <f>IF(Table1[[#This Row],[Is Data Valid]]=TRUE,EXP(0.578+0.332*((Table1[[#This Row],[Gestation (days)]]+0.5)/7)-0.00354*((Table1[[#This Row],[Gestation (days)]]+0.5)/7)^2)*Table1[[#This Row],[BW40_3705]],"")</f>
        <v/>
      </c>
      <c r="G6587" s="2" t="str">
        <f>IF(Table1[[#This Row],[Is Data Valid]]=TRUE,((Table1[[#This Row],[Birthweight (grams)]]/Table1[[#This Row],[BW_GA]])-1)/(Backend!$B$4/100*Table1[[#This Row],[BW40_3705]]),"")</f>
        <v/>
      </c>
      <c r="H6587" s="7" t="str">
        <f>IF(Table1[[#This Row],[Is Data Valid]]=TRUE,((Table1[[#This Row],[Birthweight (grams)]]*0.9/Table1[[#This Row],[BW_GA]])-1)/(Backend!$B$4/100*Table1[[#This Row],[BW40_3705]]),"")</f>
        <v/>
      </c>
      <c r="I6587" s="7" t="str">
        <f>IF(Table1[[#This Row],[Is Data Valid]]=TRUE,((Table1[[#This Row],[Birthweight (grams)]]*1.1/Table1[[#This Row],[BW_GA]])-1)/(Backend!$B$4/100*Table1[[#This Row],[BW40_3705]]),"")</f>
        <v/>
      </c>
      <c r="J6587" s="7" t="str">
        <f>IF(Table1[[#This Row],[Is Data Valid]]=TRUE,_xlfn.NORM.S.DIST(Table1[[#This Row],[Birthweight Z-Score]],TRUE)*100,"")</f>
        <v/>
      </c>
      <c r="K6587" s="7" t="str">
        <f>IF(Table1[[#This Row],[Is Data Valid]]=TRUE,_xlfn.NORM.S.DIST(Table1[[#This Row],[Birthweight Z-Score (BW-10%)]],TRUE)*100,"")</f>
        <v/>
      </c>
      <c r="L6587" s="7" t="str">
        <f>IF(Table1[[#This Row],[Is Data Valid]]=TRUE,_xlfn.NORM.S.DIST(Table1[[#This Row],[Birthweight Z-Score (BW+10%)]],TRUE)*100,"")</f>
        <v/>
      </c>
    </row>
    <row r="6588" spans="1:12" x14ac:dyDescent="0.35">
      <c r="A6588" s="3"/>
      <c r="B6588" s="2"/>
      <c r="C6588" s="2"/>
      <c r="D6588" s="2" t="b">
        <f>IF(AND(NOT(ISBLANK(Table1[[#This Row],[Fetal Sex (Male, Female or Unknown)]])),ISNUMBER(Table1[[#This Row],[Birthweight (grams)]]),ISNUMBER(Table1[[#This Row],[Gestation (days)]])),TRUE,FALSE)</f>
        <v>0</v>
      </c>
      <c r="E6588" s="2" t="str">
        <f>IF(Table1[[#This Row],[Is Data Valid]]=TRUE,IF(Table1[[#This Row],[Fetal Sex (Male, Female or Unknown)]]="Male",Backend!$C$6,IF(Table1[[#This Row],[Fetal Sex (Male, Female or Unknown)]]="Female",Backend!$C$7,IF(Table1[[#This Row],[Fetal Sex (Male, Female or Unknown)]]="Unknown",Backend!$C$8,"Error"))),"")</f>
        <v/>
      </c>
      <c r="F6588" s="8" t="str">
        <f>IF(Table1[[#This Row],[Is Data Valid]]=TRUE,EXP(0.578+0.332*((Table1[[#This Row],[Gestation (days)]]+0.5)/7)-0.00354*((Table1[[#This Row],[Gestation (days)]]+0.5)/7)^2)*Table1[[#This Row],[BW40_3705]],"")</f>
        <v/>
      </c>
      <c r="G6588" s="2" t="str">
        <f>IF(Table1[[#This Row],[Is Data Valid]]=TRUE,((Table1[[#This Row],[Birthweight (grams)]]/Table1[[#This Row],[BW_GA]])-1)/(Backend!$B$4/100*Table1[[#This Row],[BW40_3705]]),"")</f>
        <v/>
      </c>
      <c r="H6588" s="7" t="str">
        <f>IF(Table1[[#This Row],[Is Data Valid]]=TRUE,((Table1[[#This Row],[Birthweight (grams)]]*0.9/Table1[[#This Row],[BW_GA]])-1)/(Backend!$B$4/100*Table1[[#This Row],[BW40_3705]]),"")</f>
        <v/>
      </c>
      <c r="I6588" s="7" t="str">
        <f>IF(Table1[[#This Row],[Is Data Valid]]=TRUE,((Table1[[#This Row],[Birthweight (grams)]]*1.1/Table1[[#This Row],[BW_GA]])-1)/(Backend!$B$4/100*Table1[[#This Row],[BW40_3705]]),"")</f>
        <v/>
      </c>
      <c r="J6588" s="7" t="str">
        <f>IF(Table1[[#This Row],[Is Data Valid]]=TRUE,_xlfn.NORM.S.DIST(Table1[[#This Row],[Birthweight Z-Score]],TRUE)*100,"")</f>
        <v/>
      </c>
      <c r="K6588" s="7" t="str">
        <f>IF(Table1[[#This Row],[Is Data Valid]]=TRUE,_xlfn.NORM.S.DIST(Table1[[#This Row],[Birthweight Z-Score (BW-10%)]],TRUE)*100,"")</f>
        <v/>
      </c>
      <c r="L6588" s="7" t="str">
        <f>IF(Table1[[#This Row],[Is Data Valid]]=TRUE,_xlfn.NORM.S.DIST(Table1[[#This Row],[Birthweight Z-Score (BW+10%)]],TRUE)*100,"")</f>
        <v/>
      </c>
    </row>
    <row r="6589" spans="1:12" x14ac:dyDescent="0.35">
      <c r="A6589" s="3"/>
      <c r="B6589" s="2"/>
      <c r="C6589" s="2"/>
      <c r="D6589" s="2" t="b">
        <f>IF(AND(NOT(ISBLANK(Table1[[#This Row],[Fetal Sex (Male, Female or Unknown)]])),ISNUMBER(Table1[[#This Row],[Birthweight (grams)]]),ISNUMBER(Table1[[#This Row],[Gestation (days)]])),TRUE,FALSE)</f>
        <v>0</v>
      </c>
      <c r="E6589" s="2" t="str">
        <f>IF(Table1[[#This Row],[Is Data Valid]]=TRUE,IF(Table1[[#This Row],[Fetal Sex (Male, Female or Unknown)]]="Male",Backend!$C$6,IF(Table1[[#This Row],[Fetal Sex (Male, Female or Unknown)]]="Female",Backend!$C$7,IF(Table1[[#This Row],[Fetal Sex (Male, Female or Unknown)]]="Unknown",Backend!$C$8,"Error"))),"")</f>
        <v/>
      </c>
      <c r="F6589" s="8" t="str">
        <f>IF(Table1[[#This Row],[Is Data Valid]]=TRUE,EXP(0.578+0.332*((Table1[[#This Row],[Gestation (days)]]+0.5)/7)-0.00354*((Table1[[#This Row],[Gestation (days)]]+0.5)/7)^2)*Table1[[#This Row],[BW40_3705]],"")</f>
        <v/>
      </c>
      <c r="G6589" s="2" t="str">
        <f>IF(Table1[[#This Row],[Is Data Valid]]=TRUE,((Table1[[#This Row],[Birthweight (grams)]]/Table1[[#This Row],[BW_GA]])-1)/(Backend!$B$4/100*Table1[[#This Row],[BW40_3705]]),"")</f>
        <v/>
      </c>
      <c r="H6589" s="7" t="str">
        <f>IF(Table1[[#This Row],[Is Data Valid]]=TRUE,((Table1[[#This Row],[Birthweight (grams)]]*0.9/Table1[[#This Row],[BW_GA]])-1)/(Backend!$B$4/100*Table1[[#This Row],[BW40_3705]]),"")</f>
        <v/>
      </c>
      <c r="I6589" s="7" t="str">
        <f>IF(Table1[[#This Row],[Is Data Valid]]=TRUE,((Table1[[#This Row],[Birthweight (grams)]]*1.1/Table1[[#This Row],[BW_GA]])-1)/(Backend!$B$4/100*Table1[[#This Row],[BW40_3705]]),"")</f>
        <v/>
      </c>
      <c r="J6589" s="7" t="str">
        <f>IF(Table1[[#This Row],[Is Data Valid]]=TRUE,_xlfn.NORM.S.DIST(Table1[[#This Row],[Birthweight Z-Score]],TRUE)*100,"")</f>
        <v/>
      </c>
      <c r="K6589" s="7" t="str">
        <f>IF(Table1[[#This Row],[Is Data Valid]]=TRUE,_xlfn.NORM.S.DIST(Table1[[#This Row],[Birthweight Z-Score (BW-10%)]],TRUE)*100,"")</f>
        <v/>
      </c>
      <c r="L6589" s="7" t="str">
        <f>IF(Table1[[#This Row],[Is Data Valid]]=TRUE,_xlfn.NORM.S.DIST(Table1[[#This Row],[Birthweight Z-Score (BW+10%)]],TRUE)*100,"")</f>
        <v/>
      </c>
    </row>
    <row r="6590" spans="1:12" x14ac:dyDescent="0.35">
      <c r="A6590" s="3"/>
      <c r="B6590" s="2"/>
      <c r="C6590" s="2"/>
      <c r="D6590" s="2" t="b">
        <f>IF(AND(NOT(ISBLANK(Table1[[#This Row],[Fetal Sex (Male, Female or Unknown)]])),ISNUMBER(Table1[[#This Row],[Birthweight (grams)]]),ISNUMBER(Table1[[#This Row],[Gestation (days)]])),TRUE,FALSE)</f>
        <v>0</v>
      </c>
      <c r="E6590" s="2" t="str">
        <f>IF(Table1[[#This Row],[Is Data Valid]]=TRUE,IF(Table1[[#This Row],[Fetal Sex (Male, Female or Unknown)]]="Male",Backend!$C$6,IF(Table1[[#This Row],[Fetal Sex (Male, Female or Unknown)]]="Female",Backend!$C$7,IF(Table1[[#This Row],[Fetal Sex (Male, Female or Unknown)]]="Unknown",Backend!$C$8,"Error"))),"")</f>
        <v/>
      </c>
      <c r="F6590" s="8" t="str">
        <f>IF(Table1[[#This Row],[Is Data Valid]]=TRUE,EXP(0.578+0.332*((Table1[[#This Row],[Gestation (days)]]+0.5)/7)-0.00354*((Table1[[#This Row],[Gestation (days)]]+0.5)/7)^2)*Table1[[#This Row],[BW40_3705]],"")</f>
        <v/>
      </c>
      <c r="G6590" s="2" t="str">
        <f>IF(Table1[[#This Row],[Is Data Valid]]=TRUE,((Table1[[#This Row],[Birthweight (grams)]]/Table1[[#This Row],[BW_GA]])-1)/(Backend!$B$4/100*Table1[[#This Row],[BW40_3705]]),"")</f>
        <v/>
      </c>
      <c r="H6590" s="7" t="str">
        <f>IF(Table1[[#This Row],[Is Data Valid]]=TRUE,((Table1[[#This Row],[Birthweight (grams)]]*0.9/Table1[[#This Row],[BW_GA]])-1)/(Backend!$B$4/100*Table1[[#This Row],[BW40_3705]]),"")</f>
        <v/>
      </c>
      <c r="I6590" s="7" t="str">
        <f>IF(Table1[[#This Row],[Is Data Valid]]=TRUE,((Table1[[#This Row],[Birthweight (grams)]]*1.1/Table1[[#This Row],[BW_GA]])-1)/(Backend!$B$4/100*Table1[[#This Row],[BW40_3705]]),"")</f>
        <v/>
      </c>
      <c r="J6590" s="7" t="str">
        <f>IF(Table1[[#This Row],[Is Data Valid]]=TRUE,_xlfn.NORM.S.DIST(Table1[[#This Row],[Birthweight Z-Score]],TRUE)*100,"")</f>
        <v/>
      </c>
      <c r="K6590" s="7" t="str">
        <f>IF(Table1[[#This Row],[Is Data Valid]]=TRUE,_xlfn.NORM.S.DIST(Table1[[#This Row],[Birthweight Z-Score (BW-10%)]],TRUE)*100,"")</f>
        <v/>
      </c>
      <c r="L6590" s="7" t="str">
        <f>IF(Table1[[#This Row],[Is Data Valid]]=TRUE,_xlfn.NORM.S.DIST(Table1[[#This Row],[Birthweight Z-Score (BW+10%)]],TRUE)*100,"")</f>
        <v/>
      </c>
    </row>
    <row r="6591" spans="1:12" x14ac:dyDescent="0.35">
      <c r="A6591" s="3"/>
      <c r="B6591" s="2"/>
      <c r="C6591" s="2"/>
      <c r="D6591" s="2" t="b">
        <f>IF(AND(NOT(ISBLANK(Table1[[#This Row],[Fetal Sex (Male, Female or Unknown)]])),ISNUMBER(Table1[[#This Row],[Birthweight (grams)]]),ISNUMBER(Table1[[#This Row],[Gestation (days)]])),TRUE,FALSE)</f>
        <v>0</v>
      </c>
      <c r="E6591" s="2" t="str">
        <f>IF(Table1[[#This Row],[Is Data Valid]]=TRUE,IF(Table1[[#This Row],[Fetal Sex (Male, Female or Unknown)]]="Male",Backend!$C$6,IF(Table1[[#This Row],[Fetal Sex (Male, Female or Unknown)]]="Female",Backend!$C$7,IF(Table1[[#This Row],[Fetal Sex (Male, Female or Unknown)]]="Unknown",Backend!$C$8,"Error"))),"")</f>
        <v/>
      </c>
      <c r="F6591" s="8" t="str">
        <f>IF(Table1[[#This Row],[Is Data Valid]]=TRUE,EXP(0.578+0.332*((Table1[[#This Row],[Gestation (days)]]+0.5)/7)-0.00354*((Table1[[#This Row],[Gestation (days)]]+0.5)/7)^2)*Table1[[#This Row],[BW40_3705]],"")</f>
        <v/>
      </c>
      <c r="G6591" s="2" t="str">
        <f>IF(Table1[[#This Row],[Is Data Valid]]=TRUE,((Table1[[#This Row],[Birthweight (grams)]]/Table1[[#This Row],[BW_GA]])-1)/(Backend!$B$4/100*Table1[[#This Row],[BW40_3705]]),"")</f>
        <v/>
      </c>
      <c r="H6591" s="7" t="str">
        <f>IF(Table1[[#This Row],[Is Data Valid]]=TRUE,((Table1[[#This Row],[Birthweight (grams)]]*0.9/Table1[[#This Row],[BW_GA]])-1)/(Backend!$B$4/100*Table1[[#This Row],[BW40_3705]]),"")</f>
        <v/>
      </c>
      <c r="I6591" s="7" t="str">
        <f>IF(Table1[[#This Row],[Is Data Valid]]=TRUE,((Table1[[#This Row],[Birthweight (grams)]]*1.1/Table1[[#This Row],[BW_GA]])-1)/(Backend!$B$4/100*Table1[[#This Row],[BW40_3705]]),"")</f>
        <v/>
      </c>
      <c r="J6591" s="7" t="str">
        <f>IF(Table1[[#This Row],[Is Data Valid]]=TRUE,_xlfn.NORM.S.DIST(Table1[[#This Row],[Birthweight Z-Score]],TRUE)*100,"")</f>
        <v/>
      </c>
      <c r="K6591" s="7" t="str">
        <f>IF(Table1[[#This Row],[Is Data Valid]]=TRUE,_xlfn.NORM.S.DIST(Table1[[#This Row],[Birthweight Z-Score (BW-10%)]],TRUE)*100,"")</f>
        <v/>
      </c>
      <c r="L6591" s="7" t="str">
        <f>IF(Table1[[#This Row],[Is Data Valid]]=TRUE,_xlfn.NORM.S.DIST(Table1[[#This Row],[Birthweight Z-Score (BW+10%)]],TRUE)*100,"")</f>
        <v/>
      </c>
    </row>
    <row r="6592" spans="1:12" x14ac:dyDescent="0.35">
      <c r="A6592" s="3"/>
      <c r="B6592" s="2"/>
      <c r="C6592" s="2"/>
      <c r="D6592" s="2" t="b">
        <f>IF(AND(NOT(ISBLANK(Table1[[#This Row],[Fetal Sex (Male, Female or Unknown)]])),ISNUMBER(Table1[[#This Row],[Birthweight (grams)]]),ISNUMBER(Table1[[#This Row],[Gestation (days)]])),TRUE,FALSE)</f>
        <v>0</v>
      </c>
      <c r="E6592" s="2" t="str">
        <f>IF(Table1[[#This Row],[Is Data Valid]]=TRUE,IF(Table1[[#This Row],[Fetal Sex (Male, Female or Unknown)]]="Male",Backend!$C$6,IF(Table1[[#This Row],[Fetal Sex (Male, Female or Unknown)]]="Female",Backend!$C$7,IF(Table1[[#This Row],[Fetal Sex (Male, Female or Unknown)]]="Unknown",Backend!$C$8,"Error"))),"")</f>
        <v/>
      </c>
      <c r="F6592" s="8" t="str">
        <f>IF(Table1[[#This Row],[Is Data Valid]]=TRUE,EXP(0.578+0.332*((Table1[[#This Row],[Gestation (days)]]+0.5)/7)-0.00354*((Table1[[#This Row],[Gestation (days)]]+0.5)/7)^2)*Table1[[#This Row],[BW40_3705]],"")</f>
        <v/>
      </c>
      <c r="G6592" s="2" t="str">
        <f>IF(Table1[[#This Row],[Is Data Valid]]=TRUE,((Table1[[#This Row],[Birthweight (grams)]]/Table1[[#This Row],[BW_GA]])-1)/(Backend!$B$4/100*Table1[[#This Row],[BW40_3705]]),"")</f>
        <v/>
      </c>
      <c r="H6592" s="7" t="str">
        <f>IF(Table1[[#This Row],[Is Data Valid]]=TRUE,((Table1[[#This Row],[Birthweight (grams)]]*0.9/Table1[[#This Row],[BW_GA]])-1)/(Backend!$B$4/100*Table1[[#This Row],[BW40_3705]]),"")</f>
        <v/>
      </c>
      <c r="I6592" s="7" t="str">
        <f>IF(Table1[[#This Row],[Is Data Valid]]=TRUE,((Table1[[#This Row],[Birthweight (grams)]]*1.1/Table1[[#This Row],[BW_GA]])-1)/(Backend!$B$4/100*Table1[[#This Row],[BW40_3705]]),"")</f>
        <v/>
      </c>
      <c r="J6592" s="7" t="str">
        <f>IF(Table1[[#This Row],[Is Data Valid]]=TRUE,_xlfn.NORM.S.DIST(Table1[[#This Row],[Birthweight Z-Score]],TRUE)*100,"")</f>
        <v/>
      </c>
      <c r="K6592" s="7" t="str">
        <f>IF(Table1[[#This Row],[Is Data Valid]]=TRUE,_xlfn.NORM.S.DIST(Table1[[#This Row],[Birthweight Z-Score (BW-10%)]],TRUE)*100,"")</f>
        <v/>
      </c>
      <c r="L6592" s="7" t="str">
        <f>IF(Table1[[#This Row],[Is Data Valid]]=TRUE,_xlfn.NORM.S.DIST(Table1[[#This Row],[Birthweight Z-Score (BW+10%)]],TRUE)*100,"")</f>
        <v/>
      </c>
    </row>
    <row r="6593" spans="1:12" x14ac:dyDescent="0.35">
      <c r="A6593" s="3"/>
      <c r="B6593" s="2"/>
      <c r="C6593" s="2"/>
      <c r="D6593" s="2" t="b">
        <f>IF(AND(NOT(ISBLANK(Table1[[#This Row],[Fetal Sex (Male, Female or Unknown)]])),ISNUMBER(Table1[[#This Row],[Birthweight (grams)]]),ISNUMBER(Table1[[#This Row],[Gestation (days)]])),TRUE,FALSE)</f>
        <v>0</v>
      </c>
      <c r="E6593" s="2" t="str">
        <f>IF(Table1[[#This Row],[Is Data Valid]]=TRUE,IF(Table1[[#This Row],[Fetal Sex (Male, Female or Unknown)]]="Male",Backend!$C$6,IF(Table1[[#This Row],[Fetal Sex (Male, Female or Unknown)]]="Female",Backend!$C$7,IF(Table1[[#This Row],[Fetal Sex (Male, Female or Unknown)]]="Unknown",Backend!$C$8,"Error"))),"")</f>
        <v/>
      </c>
      <c r="F6593" s="8" t="str">
        <f>IF(Table1[[#This Row],[Is Data Valid]]=TRUE,EXP(0.578+0.332*((Table1[[#This Row],[Gestation (days)]]+0.5)/7)-0.00354*((Table1[[#This Row],[Gestation (days)]]+0.5)/7)^2)*Table1[[#This Row],[BW40_3705]],"")</f>
        <v/>
      </c>
      <c r="G6593" s="2" t="str">
        <f>IF(Table1[[#This Row],[Is Data Valid]]=TRUE,((Table1[[#This Row],[Birthweight (grams)]]/Table1[[#This Row],[BW_GA]])-1)/(Backend!$B$4/100*Table1[[#This Row],[BW40_3705]]),"")</f>
        <v/>
      </c>
      <c r="H6593" s="7" t="str">
        <f>IF(Table1[[#This Row],[Is Data Valid]]=TRUE,((Table1[[#This Row],[Birthweight (grams)]]*0.9/Table1[[#This Row],[BW_GA]])-1)/(Backend!$B$4/100*Table1[[#This Row],[BW40_3705]]),"")</f>
        <v/>
      </c>
      <c r="I6593" s="7" t="str">
        <f>IF(Table1[[#This Row],[Is Data Valid]]=TRUE,((Table1[[#This Row],[Birthweight (grams)]]*1.1/Table1[[#This Row],[BW_GA]])-1)/(Backend!$B$4/100*Table1[[#This Row],[BW40_3705]]),"")</f>
        <v/>
      </c>
      <c r="J6593" s="7" t="str">
        <f>IF(Table1[[#This Row],[Is Data Valid]]=TRUE,_xlfn.NORM.S.DIST(Table1[[#This Row],[Birthweight Z-Score]],TRUE)*100,"")</f>
        <v/>
      </c>
      <c r="K6593" s="7" t="str">
        <f>IF(Table1[[#This Row],[Is Data Valid]]=TRUE,_xlfn.NORM.S.DIST(Table1[[#This Row],[Birthweight Z-Score (BW-10%)]],TRUE)*100,"")</f>
        <v/>
      </c>
      <c r="L6593" s="7" t="str">
        <f>IF(Table1[[#This Row],[Is Data Valid]]=TRUE,_xlfn.NORM.S.DIST(Table1[[#This Row],[Birthweight Z-Score (BW+10%)]],TRUE)*100,"")</f>
        <v/>
      </c>
    </row>
    <row r="6594" spans="1:12" x14ac:dyDescent="0.35">
      <c r="A6594" s="3"/>
      <c r="B6594" s="2"/>
      <c r="C6594" s="2"/>
      <c r="D6594" s="2" t="b">
        <f>IF(AND(NOT(ISBLANK(Table1[[#This Row],[Fetal Sex (Male, Female or Unknown)]])),ISNUMBER(Table1[[#This Row],[Birthweight (grams)]]),ISNUMBER(Table1[[#This Row],[Gestation (days)]])),TRUE,FALSE)</f>
        <v>0</v>
      </c>
      <c r="E6594" s="2" t="str">
        <f>IF(Table1[[#This Row],[Is Data Valid]]=TRUE,IF(Table1[[#This Row],[Fetal Sex (Male, Female or Unknown)]]="Male",Backend!$C$6,IF(Table1[[#This Row],[Fetal Sex (Male, Female or Unknown)]]="Female",Backend!$C$7,IF(Table1[[#This Row],[Fetal Sex (Male, Female or Unknown)]]="Unknown",Backend!$C$8,"Error"))),"")</f>
        <v/>
      </c>
      <c r="F6594" s="8" t="str">
        <f>IF(Table1[[#This Row],[Is Data Valid]]=TRUE,EXP(0.578+0.332*((Table1[[#This Row],[Gestation (days)]]+0.5)/7)-0.00354*((Table1[[#This Row],[Gestation (days)]]+0.5)/7)^2)*Table1[[#This Row],[BW40_3705]],"")</f>
        <v/>
      </c>
      <c r="G6594" s="2" t="str">
        <f>IF(Table1[[#This Row],[Is Data Valid]]=TRUE,((Table1[[#This Row],[Birthweight (grams)]]/Table1[[#This Row],[BW_GA]])-1)/(Backend!$B$4/100*Table1[[#This Row],[BW40_3705]]),"")</f>
        <v/>
      </c>
      <c r="H6594" s="7" t="str">
        <f>IF(Table1[[#This Row],[Is Data Valid]]=TRUE,((Table1[[#This Row],[Birthweight (grams)]]*0.9/Table1[[#This Row],[BW_GA]])-1)/(Backend!$B$4/100*Table1[[#This Row],[BW40_3705]]),"")</f>
        <v/>
      </c>
      <c r="I6594" s="7" t="str">
        <f>IF(Table1[[#This Row],[Is Data Valid]]=TRUE,((Table1[[#This Row],[Birthweight (grams)]]*1.1/Table1[[#This Row],[BW_GA]])-1)/(Backend!$B$4/100*Table1[[#This Row],[BW40_3705]]),"")</f>
        <v/>
      </c>
      <c r="J6594" s="7" t="str">
        <f>IF(Table1[[#This Row],[Is Data Valid]]=TRUE,_xlfn.NORM.S.DIST(Table1[[#This Row],[Birthweight Z-Score]],TRUE)*100,"")</f>
        <v/>
      </c>
      <c r="K6594" s="7" t="str">
        <f>IF(Table1[[#This Row],[Is Data Valid]]=TRUE,_xlfn.NORM.S.DIST(Table1[[#This Row],[Birthweight Z-Score (BW-10%)]],TRUE)*100,"")</f>
        <v/>
      </c>
      <c r="L6594" s="7" t="str">
        <f>IF(Table1[[#This Row],[Is Data Valid]]=TRUE,_xlfn.NORM.S.DIST(Table1[[#This Row],[Birthweight Z-Score (BW+10%)]],TRUE)*100,"")</f>
        <v/>
      </c>
    </row>
    <row r="6595" spans="1:12" x14ac:dyDescent="0.35">
      <c r="A6595" s="3"/>
      <c r="B6595" s="2"/>
      <c r="C6595" s="2"/>
      <c r="D6595" s="2" t="b">
        <f>IF(AND(NOT(ISBLANK(Table1[[#This Row],[Fetal Sex (Male, Female or Unknown)]])),ISNUMBER(Table1[[#This Row],[Birthweight (grams)]]),ISNUMBER(Table1[[#This Row],[Gestation (days)]])),TRUE,FALSE)</f>
        <v>0</v>
      </c>
      <c r="E6595" s="2" t="str">
        <f>IF(Table1[[#This Row],[Is Data Valid]]=TRUE,IF(Table1[[#This Row],[Fetal Sex (Male, Female or Unknown)]]="Male",Backend!$C$6,IF(Table1[[#This Row],[Fetal Sex (Male, Female or Unknown)]]="Female",Backend!$C$7,IF(Table1[[#This Row],[Fetal Sex (Male, Female or Unknown)]]="Unknown",Backend!$C$8,"Error"))),"")</f>
        <v/>
      </c>
      <c r="F6595" s="8" t="str">
        <f>IF(Table1[[#This Row],[Is Data Valid]]=TRUE,EXP(0.578+0.332*((Table1[[#This Row],[Gestation (days)]]+0.5)/7)-0.00354*((Table1[[#This Row],[Gestation (days)]]+0.5)/7)^2)*Table1[[#This Row],[BW40_3705]],"")</f>
        <v/>
      </c>
      <c r="G6595" s="2" t="str">
        <f>IF(Table1[[#This Row],[Is Data Valid]]=TRUE,((Table1[[#This Row],[Birthweight (grams)]]/Table1[[#This Row],[BW_GA]])-1)/(Backend!$B$4/100*Table1[[#This Row],[BW40_3705]]),"")</f>
        <v/>
      </c>
      <c r="H6595" s="7" t="str">
        <f>IF(Table1[[#This Row],[Is Data Valid]]=TRUE,((Table1[[#This Row],[Birthweight (grams)]]*0.9/Table1[[#This Row],[BW_GA]])-1)/(Backend!$B$4/100*Table1[[#This Row],[BW40_3705]]),"")</f>
        <v/>
      </c>
      <c r="I6595" s="7" t="str">
        <f>IF(Table1[[#This Row],[Is Data Valid]]=TRUE,((Table1[[#This Row],[Birthweight (grams)]]*1.1/Table1[[#This Row],[BW_GA]])-1)/(Backend!$B$4/100*Table1[[#This Row],[BW40_3705]]),"")</f>
        <v/>
      </c>
      <c r="J6595" s="7" t="str">
        <f>IF(Table1[[#This Row],[Is Data Valid]]=TRUE,_xlfn.NORM.S.DIST(Table1[[#This Row],[Birthweight Z-Score]],TRUE)*100,"")</f>
        <v/>
      </c>
      <c r="K6595" s="7" t="str">
        <f>IF(Table1[[#This Row],[Is Data Valid]]=TRUE,_xlfn.NORM.S.DIST(Table1[[#This Row],[Birthweight Z-Score (BW-10%)]],TRUE)*100,"")</f>
        <v/>
      </c>
      <c r="L6595" s="7" t="str">
        <f>IF(Table1[[#This Row],[Is Data Valid]]=TRUE,_xlfn.NORM.S.DIST(Table1[[#This Row],[Birthweight Z-Score (BW+10%)]],TRUE)*100,"")</f>
        <v/>
      </c>
    </row>
    <row r="6596" spans="1:12" x14ac:dyDescent="0.35">
      <c r="A6596" s="3"/>
      <c r="B6596" s="2"/>
      <c r="C6596" s="2"/>
      <c r="D6596" s="2" t="b">
        <f>IF(AND(NOT(ISBLANK(Table1[[#This Row],[Fetal Sex (Male, Female or Unknown)]])),ISNUMBER(Table1[[#This Row],[Birthweight (grams)]]),ISNUMBER(Table1[[#This Row],[Gestation (days)]])),TRUE,FALSE)</f>
        <v>0</v>
      </c>
      <c r="E6596" s="2" t="str">
        <f>IF(Table1[[#This Row],[Is Data Valid]]=TRUE,IF(Table1[[#This Row],[Fetal Sex (Male, Female or Unknown)]]="Male",Backend!$C$6,IF(Table1[[#This Row],[Fetal Sex (Male, Female or Unknown)]]="Female",Backend!$C$7,IF(Table1[[#This Row],[Fetal Sex (Male, Female or Unknown)]]="Unknown",Backend!$C$8,"Error"))),"")</f>
        <v/>
      </c>
      <c r="F6596" s="8" t="str">
        <f>IF(Table1[[#This Row],[Is Data Valid]]=TRUE,EXP(0.578+0.332*((Table1[[#This Row],[Gestation (days)]]+0.5)/7)-0.00354*((Table1[[#This Row],[Gestation (days)]]+0.5)/7)^2)*Table1[[#This Row],[BW40_3705]],"")</f>
        <v/>
      </c>
      <c r="G6596" s="2" t="str">
        <f>IF(Table1[[#This Row],[Is Data Valid]]=TRUE,((Table1[[#This Row],[Birthweight (grams)]]/Table1[[#This Row],[BW_GA]])-1)/(Backend!$B$4/100*Table1[[#This Row],[BW40_3705]]),"")</f>
        <v/>
      </c>
      <c r="H6596" s="7" t="str">
        <f>IF(Table1[[#This Row],[Is Data Valid]]=TRUE,((Table1[[#This Row],[Birthweight (grams)]]*0.9/Table1[[#This Row],[BW_GA]])-1)/(Backend!$B$4/100*Table1[[#This Row],[BW40_3705]]),"")</f>
        <v/>
      </c>
      <c r="I6596" s="7" t="str">
        <f>IF(Table1[[#This Row],[Is Data Valid]]=TRUE,((Table1[[#This Row],[Birthweight (grams)]]*1.1/Table1[[#This Row],[BW_GA]])-1)/(Backend!$B$4/100*Table1[[#This Row],[BW40_3705]]),"")</f>
        <v/>
      </c>
      <c r="J6596" s="7" t="str">
        <f>IF(Table1[[#This Row],[Is Data Valid]]=TRUE,_xlfn.NORM.S.DIST(Table1[[#This Row],[Birthweight Z-Score]],TRUE)*100,"")</f>
        <v/>
      </c>
      <c r="K6596" s="7" t="str">
        <f>IF(Table1[[#This Row],[Is Data Valid]]=TRUE,_xlfn.NORM.S.DIST(Table1[[#This Row],[Birthweight Z-Score (BW-10%)]],TRUE)*100,"")</f>
        <v/>
      </c>
      <c r="L6596" s="7" t="str">
        <f>IF(Table1[[#This Row],[Is Data Valid]]=TRUE,_xlfn.NORM.S.DIST(Table1[[#This Row],[Birthweight Z-Score (BW+10%)]],TRUE)*100,"")</f>
        <v/>
      </c>
    </row>
    <row r="6597" spans="1:12" x14ac:dyDescent="0.35">
      <c r="A6597" s="3"/>
      <c r="B6597" s="2"/>
      <c r="C6597" s="2"/>
      <c r="D6597" s="2" t="b">
        <f>IF(AND(NOT(ISBLANK(Table1[[#This Row],[Fetal Sex (Male, Female or Unknown)]])),ISNUMBER(Table1[[#This Row],[Birthweight (grams)]]),ISNUMBER(Table1[[#This Row],[Gestation (days)]])),TRUE,FALSE)</f>
        <v>0</v>
      </c>
      <c r="E6597" s="2" t="str">
        <f>IF(Table1[[#This Row],[Is Data Valid]]=TRUE,IF(Table1[[#This Row],[Fetal Sex (Male, Female or Unknown)]]="Male",Backend!$C$6,IF(Table1[[#This Row],[Fetal Sex (Male, Female or Unknown)]]="Female",Backend!$C$7,IF(Table1[[#This Row],[Fetal Sex (Male, Female or Unknown)]]="Unknown",Backend!$C$8,"Error"))),"")</f>
        <v/>
      </c>
      <c r="F6597" s="8" t="str">
        <f>IF(Table1[[#This Row],[Is Data Valid]]=TRUE,EXP(0.578+0.332*((Table1[[#This Row],[Gestation (days)]]+0.5)/7)-0.00354*((Table1[[#This Row],[Gestation (days)]]+0.5)/7)^2)*Table1[[#This Row],[BW40_3705]],"")</f>
        <v/>
      </c>
      <c r="G6597" s="2" t="str">
        <f>IF(Table1[[#This Row],[Is Data Valid]]=TRUE,((Table1[[#This Row],[Birthweight (grams)]]/Table1[[#This Row],[BW_GA]])-1)/(Backend!$B$4/100*Table1[[#This Row],[BW40_3705]]),"")</f>
        <v/>
      </c>
      <c r="H6597" s="7" t="str">
        <f>IF(Table1[[#This Row],[Is Data Valid]]=TRUE,((Table1[[#This Row],[Birthweight (grams)]]*0.9/Table1[[#This Row],[BW_GA]])-1)/(Backend!$B$4/100*Table1[[#This Row],[BW40_3705]]),"")</f>
        <v/>
      </c>
      <c r="I6597" s="7" t="str">
        <f>IF(Table1[[#This Row],[Is Data Valid]]=TRUE,((Table1[[#This Row],[Birthweight (grams)]]*1.1/Table1[[#This Row],[BW_GA]])-1)/(Backend!$B$4/100*Table1[[#This Row],[BW40_3705]]),"")</f>
        <v/>
      </c>
      <c r="J6597" s="7" t="str">
        <f>IF(Table1[[#This Row],[Is Data Valid]]=TRUE,_xlfn.NORM.S.DIST(Table1[[#This Row],[Birthweight Z-Score]],TRUE)*100,"")</f>
        <v/>
      </c>
      <c r="K6597" s="7" t="str">
        <f>IF(Table1[[#This Row],[Is Data Valid]]=TRUE,_xlfn.NORM.S.DIST(Table1[[#This Row],[Birthweight Z-Score (BW-10%)]],TRUE)*100,"")</f>
        <v/>
      </c>
      <c r="L6597" s="7" t="str">
        <f>IF(Table1[[#This Row],[Is Data Valid]]=TRUE,_xlfn.NORM.S.DIST(Table1[[#This Row],[Birthweight Z-Score (BW+10%)]],TRUE)*100,"")</f>
        <v/>
      </c>
    </row>
    <row r="6598" spans="1:12" x14ac:dyDescent="0.35">
      <c r="A6598" s="3"/>
      <c r="B6598" s="2"/>
      <c r="C6598" s="2"/>
      <c r="D6598" s="2" t="b">
        <f>IF(AND(NOT(ISBLANK(Table1[[#This Row],[Fetal Sex (Male, Female or Unknown)]])),ISNUMBER(Table1[[#This Row],[Birthweight (grams)]]),ISNUMBER(Table1[[#This Row],[Gestation (days)]])),TRUE,FALSE)</f>
        <v>0</v>
      </c>
      <c r="E6598" s="2" t="str">
        <f>IF(Table1[[#This Row],[Is Data Valid]]=TRUE,IF(Table1[[#This Row],[Fetal Sex (Male, Female or Unknown)]]="Male",Backend!$C$6,IF(Table1[[#This Row],[Fetal Sex (Male, Female or Unknown)]]="Female",Backend!$C$7,IF(Table1[[#This Row],[Fetal Sex (Male, Female or Unknown)]]="Unknown",Backend!$C$8,"Error"))),"")</f>
        <v/>
      </c>
      <c r="F6598" s="8" t="str">
        <f>IF(Table1[[#This Row],[Is Data Valid]]=TRUE,EXP(0.578+0.332*((Table1[[#This Row],[Gestation (days)]]+0.5)/7)-0.00354*((Table1[[#This Row],[Gestation (days)]]+0.5)/7)^2)*Table1[[#This Row],[BW40_3705]],"")</f>
        <v/>
      </c>
      <c r="G6598" s="2" t="str">
        <f>IF(Table1[[#This Row],[Is Data Valid]]=TRUE,((Table1[[#This Row],[Birthweight (grams)]]/Table1[[#This Row],[BW_GA]])-1)/(Backend!$B$4/100*Table1[[#This Row],[BW40_3705]]),"")</f>
        <v/>
      </c>
      <c r="H6598" s="7" t="str">
        <f>IF(Table1[[#This Row],[Is Data Valid]]=TRUE,((Table1[[#This Row],[Birthweight (grams)]]*0.9/Table1[[#This Row],[BW_GA]])-1)/(Backend!$B$4/100*Table1[[#This Row],[BW40_3705]]),"")</f>
        <v/>
      </c>
      <c r="I6598" s="7" t="str">
        <f>IF(Table1[[#This Row],[Is Data Valid]]=TRUE,((Table1[[#This Row],[Birthweight (grams)]]*1.1/Table1[[#This Row],[BW_GA]])-1)/(Backend!$B$4/100*Table1[[#This Row],[BW40_3705]]),"")</f>
        <v/>
      </c>
      <c r="J6598" s="7" t="str">
        <f>IF(Table1[[#This Row],[Is Data Valid]]=TRUE,_xlfn.NORM.S.DIST(Table1[[#This Row],[Birthweight Z-Score]],TRUE)*100,"")</f>
        <v/>
      </c>
      <c r="K6598" s="7" t="str">
        <f>IF(Table1[[#This Row],[Is Data Valid]]=TRUE,_xlfn.NORM.S.DIST(Table1[[#This Row],[Birthweight Z-Score (BW-10%)]],TRUE)*100,"")</f>
        <v/>
      </c>
      <c r="L6598" s="7" t="str">
        <f>IF(Table1[[#This Row],[Is Data Valid]]=TRUE,_xlfn.NORM.S.DIST(Table1[[#This Row],[Birthweight Z-Score (BW+10%)]],TRUE)*100,"")</f>
        <v/>
      </c>
    </row>
    <row r="6599" spans="1:12" x14ac:dyDescent="0.35">
      <c r="A6599" s="3"/>
      <c r="B6599" s="2"/>
      <c r="C6599" s="2"/>
      <c r="D6599" s="2" t="b">
        <f>IF(AND(NOT(ISBLANK(Table1[[#This Row],[Fetal Sex (Male, Female or Unknown)]])),ISNUMBER(Table1[[#This Row],[Birthweight (grams)]]),ISNUMBER(Table1[[#This Row],[Gestation (days)]])),TRUE,FALSE)</f>
        <v>0</v>
      </c>
      <c r="E6599" s="2" t="str">
        <f>IF(Table1[[#This Row],[Is Data Valid]]=TRUE,IF(Table1[[#This Row],[Fetal Sex (Male, Female or Unknown)]]="Male",Backend!$C$6,IF(Table1[[#This Row],[Fetal Sex (Male, Female or Unknown)]]="Female",Backend!$C$7,IF(Table1[[#This Row],[Fetal Sex (Male, Female or Unknown)]]="Unknown",Backend!$C$8,"Error"))),"")</f>
        <v/>
      </c>
      <c r="F6599" s="8" t="str">
        <f>IF(Table1[[#This Row],[Is Data Valid]]=TRUE,EXP(0.578+0.332*((Table1[[#This Row],[Gestation (days)]]+0.5)/7)-0.00354*((Table1[[#This Row],[Gestation (days)]]+0.5)/7)^2)*Table1[[#This Row],[BW40_3705]],"")</f>
        <v/>
      </c>
      <c r="G6599" s="2" t="str">
        <f>IF(Table1[[#This Row],[Is Data Valid]]=TRUE,((Table1[[#This Row],[Birthweight (grams)]]/Table1[[#This Row],[BW_GA]])-1)/(Backend!$B$4/100*Table1[[#This Row],[BW40_3705]]),"")</f>
        <v/>
      </c>
      <c r="H6599" s="7" t="str">
        <f>IF(Table1[[#This Row],[Is Data Valid]]=TRUE,((Table1[[#This Row],[Birthweight (grams)]]*0.9/Table1[[#This Row],[BW_GA]])-1)/(Backend!$B$4/100*Table1[[#This Row],[BW40_3705]]),"")</f>
        <v/>
      </c>
      <c r="I6599" s="7" t="str">
        <f>IF(Table1[[#This Row],[Is Data Valid]]=TRUE,((Table1[[#This Row],[Birthweight (grams)]]*1.1/Table1[[#This Row],[BW_GA]])-1)/(Backend!$B$4/100*Table1[[#This Row],[BW40_3705]]),"")</f>
        <v/>
      </c>
      <c r="J6599" s="7" t="str">
        <f>IF(Table1[[#This Row],[Is Data Valid]]=TRUE,_xlfn.NORM.S.DIST(Table1[[#This Row],[Birthweight Z-Score]],TRUE)*100,"")</f>
        <v/>
      </c>
      <c r="K6599" s="7" t="str">
        <f>IF(Table1[[#This Row],[Is Data Valid]]=TRUE,_xlfn.NORM.S.DIST(Table1[[#This Row],[Birthweight Z-Score (BW-10%)]],TRUE)*100,"")</f>
        <v/>
      </c>
      <c r="L6599" s="7" t="str">
        <f>IF(Table1[[#This Row],[Is Data Valid]]=TRUE,_xlfn.NORM.S.DIST(Table1[[#This Row],[Birthweight Z-Score (BW+10%)]],TRUE)*100,"")</f>
        <v/>
      </c>
    </row>
    <row r="6600" spans="1:12" x14ac:dyDescent="0.35">
      <c r="A6600" s="3"/>
      <c r="B6600" s="2"/>
      <c r="C6600" s="2"/>
      <c r="D6600" s="2" t="b">
        <f>IF(AND(NOT(ISBLANK(Table1[[#This Row],[Fetal Sex (Male, Female or Unknown)]])),ISNUMBER(Table1[[#This Row],[Birthweight (grams)]]),ISNUMBER(Table1[[#This Row],[Gestation (days)]])),TRUE,FALSE)</f>
        <v>0</v>
      </c>
      <c r="E6600" s="2" t="str">
        <f>IF(Table1[[#This Row],[Is Data Valid]]=TRUE,IF(Table1[[#This Row],[Fetal Sex (Male, Female or Unknown)]]="Male",Backend!$C$6,IF(Table1[[#This Row],[Fetal Sex (Male, Female or Unknown)]]="Female",Backend!$C$7,IF(Table1[[#This Row],[Fetal Sex (Male, Female or Unknown)]]="Unknown",Backend!$C$8,"Error"))),"")</f>
        <v/>
      </c>
      <c r="F6600" s="8" t="str">
        <f>IF(Table1[[#This Row],[Is Data Valid]]=TRUE,EXP(0.578+0.332*((Table1[[#This Row],[Gestation (days)]]+0.5)/7)-0.00354*((Table1[[#This Row],[Gestation (days)]]+0.5)/7)^2)*Table1[[#This Row],[BW40_3705]],"")</f>
        <v/>
      </c>
      <c r="G6600" s="2" t="str">
        <f>IF(Table1[[#This Row],[Is Data Valid]]=TRUE,((Table1[[#This Row],[Birthweight (grams)]]/Table1[[#This Row],[BW_GA]])-1)/(Backend!$B$4/100*Table1[[#This Row],[BW40_3705]]),"")</f>
        <v/>
      </c>
      <c r="H6600" s="7" t="str">
        <f>IF(Table1[[#This Row],[Is Data Valid]]=TRUE,((Table1[[#This Row],[Birthweight (grams)]]*0.9/Table1[[#This Row],[BW_GA]])-1)/(Backend!$B$4/100*Table1[[#This Row],[BW40_3705]]),"")</f>
        <v/>
      </c>
      <c r="I6600" s="7" t="str">
        <f>IF(Table1[[#This Row],[Is Data Valid]]=TRUE,((Table1[[#This Row],[Birthweight (grams)]]*1.1/Table1[[#This Row],[BW_GA]])-1)/(Backend!$B$4/100*Table1[[#This Row],[BW40_3705]]),"")</f>
        <v/>
      </c>
      <c r="J6600" s="7" t="str">
        <f>IF(Table1[[#This Row],[Is Data Valid]]=TRUE,_xlfn.NORM.S.DIST(Table1[[#This Row],[Birthweight Z-Score]],TRUE)*100,"")</f>
        <v/>
      </c>
      <c r="K6600" s="7" t="str">
        <f>IF(Table1[[#This Row],[Is Data Valid]]=TRUE,_xlfn.NORM.S.DIST(Table1[[#This Row],[Birthweight Z-Score (BW-10%)]],TRUE)*100,"")</f>
        <v/>
      </c>
      <c r="L6600" s="7" t="str">
        <f>IF(Table1[[#This Row],[Is Data Valid]]=TRUE,_xlfn.NORM.S.DIST(Table1[[#This Row],[Birthweight Z-Score (BW+10%)]],TRUE)*100,"")</f>
        <v/>
      </c>
    </row>
    <row r="6601" spans="1:12" x14ac:dyDescent="0.35">
      <c r="A6601" s="3"/>
      <c r="B6601" s="2"/>
      <c r="C6601" s="2"/>
      <c r="D6601" s="2" t="b">
        <f>IF(AND(NOT(ISBLANK(Table1[[#This Row],[Fetal Sex (Male, Female or Unknown)]])),ISNUMBER(Table1[[#This Row],[Birthweight (grams)]]),ISNUMBER(Table1[[#This Row],[Gestation (days)]])),TRUE,FALSE)</f>
        <v>0</v>
      </c>
      <c r="E6601" s="2" t="str">
        <f>IF(Table1[[#This Row],[Is Data Valid]]=TRUE,IF(Table1[[#This Row],[Fetal Sex (Male, Female or Unknown)]]="Male",Backend!$C$6,IF(Table1[[#This Row],[Fetal Sex (Male, Female or Unknown)]]="Female",Backend!$C$7,IF(Table1[[#This Row],[Fetal Sex (Male, Female or Unknown)]]="Unknown",Backend!$C$8,"Error"))),"")</f>
        <v/>
      </c>
      <c r="F6601" s="8" t="str">
        <f>IF(Table1[[#This Row],[Is Data Valid]]=TRUE,EXP(0.578+0.332*((Table1[[#This Row],[Gestation (days)]]+0.5)/7)-0.00354*((Table1[[#This Row],[Gestation (days)]]+0.5)/7)^2)*Table1[[#This Row],[BW40_3705]],"")</f>
        <v/>
      </c>
      <c r="G6601" s="2" t="str">
        <f>IF(Table1[[#This Row],[Is Data Valid]]=TRUE,((Table1[[#This Row],[Birthweight (grams)]]/Table1[[#This Row],[BW_GA]])-1)/(Backend!$B$4/100*Table1[[#This Row],[BW40_3705]]),"")</f>
        <v/>
      </c>
      <c r="H6601" s="7" t="str">
        <f>IF(Table1[[#This Row],[Is Data Valid]]=TRUE,((Table1[[#This Row],[Birthweight (grams)]]*0.9/Table1[[#This Row],[BW_GA]])-1)/(Backend!$B$4/100*Table1[[#This Row],[BW40_3705]]),"")</f>
        <v/>
      </c>
      <c r="I6601" s="7" t="str">
        <f>IF(Table1[[#This Row],[Is Data Valid]]=TRUE,((Table1[[#This Row],[Birthweight (grams)]]*1.1/Table1[[#This Row],[BW_GA]])-1)/(Backend!$B$4/100*Table1[[#This Row],[BW40_3705]]),"")</f>
        <v/>
      </c>
      <c r="J6601" s="7" t="str">
        <f>IF(Table1[[#This Row],[Is Data Valid]]=TRUE,_xlfn.NORM.S.DIST(Table1[[#This Row],[Birthweight Z-Score]],TRUE)*100,"")</f>
        <v/>
      </c>
      <c r="K6601" s="7" t="str">
        <f>IF(Table1[[#This Row],[Is Data Valid]]=TRUE,_xlfn.NORM.S.DIST(Table1[[#This Row],[Birthweight Z-Score (BW-10%)]],TRUE)*100,"")</f>
        <v/>
      </c>
      <c r="L6601" s="7" t="str">
        <f>IF(Table1[[#This Row],[Is Data Valid]]=TRUE,_xlfn.NORM.S.DIST(Table1[[#This Row],[Birthweight Z-Score (BW+10%)]],TRUE)*100,"")</f>
        <v/>
      </c>
    </row>
    <row r="6602" spans="1:12" x14ac:dyDescent="0.35">
      <c r="A6602" s="3"/>
      <c r="B6602" s="2"/>
      <c r="C6602" s="2"/>
      <c r="D6602" s="2" t="b">
        <f>IF(AND(NOT(ISBLANK(Table1[[#This Row],[Fetal Sex (Male, Female or Unknown)]])),ISNUMBER(Table1[[#This Row],[Birthweight (grams)]]),ISNUMBER(Table1[[#This Row],[Gestation (days)]])),TRUE,FALSE)</f>
        <v>0</v>
      </c>
      <c r="E6602" s="2" t="str">
        <f>IF(Table1[[#This Row],[Is Data Valid]]=TRUE,IF(Table1[[#This Row],[Fetal Sex (Male, Female or Unknown)]]="Male",Backend!$C$6,IF(Table1[[#This Row],[Fetal Sex (Male, Female or Unknown)]]="Female",Backend!$C$7,IF(Table1[[#This Row],[Fetal Sex (Male, Female or Unknown)]]="Unknown",Backend!$C$8,"Error"))),"")</f>
        <v/>
      </c>
      <c r="F6602" s="8" t="str">
        <f>IF(Table1[[#This Row],[Is Data Valid]]=TRUE,EXP(0.578+0.332*((Table1[[#This Row],[Gestation (days)]]+0.5)/7)-0.00354*((Table1[[#This Row],[Gestation (days)]]+0.5)/7)^2)*Table1[[#This Row],[BW40_3705]],"")</f>
        <v/>
      </c>
      <c r="G6602" s="2" t="str">
        <f>IF(Table1[[#This Row],[Is Data Valid]]=TRUE,((Table1[[#This Row],[Birthweight (grams)]]/Table1[[#This Row],[BW_GA]])-1)/(Backend!$B$4/100*Table1[[#This Row],[BW40_3705]]),"")</f>
        <v/>
      </c>
      <c r="H6602" s="7" t="str">
        <f>IF(Table1[[#This Row],[Is Data Valid]]=TRUE,((Table1[[#This Row],[Birthweight (grams)]]*0.9/Table1[[#This Row],[BW_GA]])-1)/(Backend!$B$4/100*Table1[[#This Row],[BW40_3705]]),"")</f>
        <v/>
      </c>
      <c r="I6602" s="7" t="str">
        <f>IF(Table1[[#This Row],[Is Data Valid]]=TRUE,((Table1[[#This Row],[Birthweight (grams)]]*1.1/Table1[[#This Row],[BW_GA]])-1)/(Backend!$B$4/100*Table1[[#This Row],[BW40_3705]]),"")</f>
        <v/>
      </c>
      <c r="J6602" s="7" t="str">
        <f>IF(Table1[[#This Row],[Is Data Valid]]=TRUE,_xlfn.NORM.S.DIST(Table1[[#This Row],[Birthweight Z-Score]],TRUE)*100,"")</f>
        <v/>
      </c>
      <c r="K6602" s="7" t="str">
        <f>IF(Table1[[#This Row],[Is Data Valid]]=TRUE,_xlfn.NORM.S.DIST(Table1[[#This Row],[Birthweight Z-Score (BW-10%)]],TRUE)*100,"")</f>
        <v/>
      </c>
      <c r="L6602" s="7" t="str">
        <f>IF(Table1[[#This Row],[Is Data Valid]]=TRUE,_xlfn.NORM.S.DIST(Table1[[#This Row],[Birthweight Z-Score (BW+10%)]],TRUE)*100,"")</f>
        <v/>
      </c>
    </row>
    <row r="6603" spans="1:12" x14ac:dyDescent="0.35">
      <c r="A6603" s="3"/>
      <c r="B6603" s="2"/>
      <c r="C6603" s="2"/>
      <c r="D6603" s="2" t="b">
        <f>IF(AND(NOT(ISBLANK(Table1[[#This Row],[Fetal Sex (Male, Female or Unknown)]])),ISNUMBER(Table1[[#This Row],[Birthweight (grams)]]),ISNUMBER(Table1[[#This Row],[Gestation (days)]])),TRUE,FALSE)</f>
        <v>0</v>
      </c>
      <c r="E6603" s="2" t="str">
        <f>IF(Table1[[#This Row],[Is Data Valid]]=TRUE,IF(Table1[[#This Row],[Fetal Sex (Male, Female or Unknown)]]="Male",Backend!$C$6,IF(Table1[[#This Row],[Fetal Sex (Male, Female or Unknown)]]="Female",Backend!$C$7,IF(Table1[[#This Row],[Fetal Sex (Male, Female or Unknown)]]="Unknown",Backend!$C$8,"Error"))),"")</f>
        <v/>
      </c>
      <c r="F6603" s="8" t="str">
        <f>IF(Table1[[#This Row],[Is Data Valid]]=TRUE,EXP(0.578+0.332*((Table1[[#This Row],[Gestation (days)]]+0.5)/7)-0.00354*((Table1[[#This Row],[Gestation (days)]]+0.5)/7)^2)*Table1[[#This Row],[BW40_3705]],"")</f>
        <v/>
      </c>
      <c r="G6603" s="2" t="str">
        <f>IF(Table1[[#This Row],[Is Data Valid]]=TRUE,((Table1[[#This Row],[Birthweight (grams)]]/Table1[[#This Row],[BW_GA]])-1)/(Backend!$B$4/100*Table1[[#This Row],[BW40_3705]]),"")</f>
        <v/>
      </c>
      <c r="H6603" s="7" t="str">
        <f>IF(Table1[[#This Row],[Is Data Valid]]=TRUE,((Table1[[#This Row],[Birthweight (grams)]]*0.9/Table1[[#This Row],[BW_GA]])-1)/(Backend!$B$4/100*Table1[[#This Row],[BW40_3705]]),"")</f>
        <v/>
      </c>
      <c r="I6603" s="7" t="str">
        <f>IF(Table1[[#This Row],[Is Data Valid]]=TRUE,((Table1[[#This Row],[Birthweight (grams)]]*1.1/Table1[[#This Row],[BW_GA]])-1)/(Backend!$B$4/100*Table1[[#This Row],[BW40_3705]]),"")</f>
        <v/>
      </c>
      <c r="J6603" s="7" t="str">
        <f>IF(Table1[[#This Row],[Is Data Valid]]=TRUE,_xlfn.NORM.S.DIST(Table1[[#This Row],[Birthweight Z-Score]],TRUE)*100,"")</f>
        <v/>
      </c>
      <c r="K6603" s="7" t="str">
        <f>IF(Table1[[#This Row],[Is Data Valid]]=TRUE,_xlfn.NORM.S.DIST(Table1[[#This Row],[Birthweight Z-Score (BW-10%)]],TRUE)*100,"")</f>
        <v/>
      </c>
      <c r="L6603" s="7" t="str">
        <f>IF(Table1[[#This Row],[Is Data Valid]]=TRUE,_xlfn.NORM.S.DIST(Table1[[#This Row],[Birthweight Z-Score (BW+10%)]],TRUE)*100,"")</f>
        <v/>
      </c>
    </row>
    <row r="6604" spans="1:12" x14ac:dyDescent="0.35">
      <c r="A6604" s="3"/>
      <c r="B6604" s="2"/>
      <c r="C6604" s="2"/>
      <c r="D6604" s="2" t="b">
        <f>IF(AND(NOT(ISBLANK(Table1[[#This Row],[Fetal Sex (Male, Female or Unknown)]])),ISNUMBER(Table1[[#This Row],[Birthweight (grams)]]),ISNUMBER(Table1[[#This Row],[Gestation (days)]])),TRUE,FALSE)</f>
        <v>0</v>
      </c>
      <c r="E6604" s="2" t="str">
        <f>IF(Table1[[#This Row],[Is Data Valid]]=TRUE,IF(Table1[[#This Row],[Fetal Sex (Male, Female or Unknown)]]="Male",Backend!$C$6,IF(Table1[[#This Row],[Fetal Sex (Male, Female or Unknown)]]="Female",Backend!$C$7,IF(Table1[[#This Row],[Fetal Sex (Male, Female or Unknown)]]="Unknown",Backend!$C$8,"Error"))),"")</f>
        <v/>
      </c>
      <c r="F6604" s="8" t="str">
        <f>IF(Table1[[#This Row],[Is Data Valid]]=TRUE,EXP(0.578+0.332*((Table1[[#This Row],[Gestation (days)]]+0.5)/7)-0.00354*((Table1[[#This Row],[Gestation (days)]]+0.5)/7)^2)*Table1[[#This Row],[BW40_3705]],"")</f>
        <v/>
      </c>
      <c r="G6604" s="2" t="str">
        <f>IF(Table1[[#This Row],[Is Data Valid]]=TRUE,((Table1[[#This Row],[Birthweight (grams)]]/Table1[[#This Row],[BW_GA]])-1)/(Backend!$B$4/100*Table1[[#This Row],[BW40_3705]]),"")</f>
        <v/>
      </c>
      <c r="H6604" s="7" t="str">
        <f>IF(Table1[[#This Row],[Is Data Valid]]=TRUE,((Table1[[#This Row],[Birthweight (grams)]]*0.9/Table1[[#This Row],[BW_GA]])-1)/(Backend!$B$4/100*Table1[[#This Row],[BW40_3705]]),"")</f>
        <v/>
      </c>
      <c r="I6604" s="7" t="str">
        <f>IF(Table1[[#This Row],[Is Data Valid]]=TRUE,((Table1[[#This Row],[Birthweight (grams)]]*1.1/Table1[[#This Row],[BW_GA]])-1)/(Backend!$B$4/100*Table1[[#This Row],[BW40_3705]]),"")</f>
        <v/>
      </c>
      <c r="J6604" s="7" t="str">
        <f>IF(Table1[[#This Row],[Is Data Valid]]=TRUE,_xlfn.NORM.S.DIST(Table1[[#This Row],[Birthweight Z-Score]],TRUE)*100,"")</f>
        <v/>
      </c>
      <c r="K6604" s="7" t="str">
        <f>IF(Table1[[#This Row],[Is Data Valid]]=TRUE,_xlfn.NORM.S.DIST(Table1[[#This Row],[Birthweight Z-Score (BW-10%)]],TRUE)*100,"")</f>
        <v/>
      </c>
      <c r="L6604" s="7" t="str">
        <f>IF(Table1[[#This Row],[Is Data Valid]]=TRUE,_xlfn.NORM.S.DIST(Table1[[#This Row],[Birthweight Z-Score (BW+10%)]],TRUE)*100,"")</f>
        <v/>
      </c>
    </row>
    <row r="6605" spans="1:12" x14ac:dyDescent="0.35">
      <c r="A6605" s="3"/>
      <c r="B6605" s="2"/>
      <c r="C6605" s="2"/>
      <c r="D6605" s="2" t="b">
        <f>IF(AND(NOT(ISBLANK(Table1[[#This Row],[Fetal Sex (Male, Female or Unknown)]])),ISNUMBER(Table1[[#This Row],[Birthweight (grams)]]),ISNUMBER(Table1[[#This Row],[Gestation (days)]])),TRUE,FALSE)</f>
        <v>0</v>
      </c>
      <c r="E6605" s="2" t="str">
        <f>IF(Table1[[#This Row],[Is Data Valid]]=TRUE,IF(Table1[[#This Row],[Fetal Sex (Male, Female or Unknown)]]="Male",Backend!$C$6,IF(Table1[[#This Row],[Fetal Sex (Male, Female or Unknown)]]="Female",Backend!$C$7,IF(Table1[[#This Row],[Fetal Sex (Male, Female or Unknown)]]="Unknown",Backend!$C$8,"Error"))),"")</f>
        <v/>
      </c>
      <c r="F6605" s="8" t="str">
        <f>IF(Table1[[#This Row],[Is Data Valid]]=TRUE,EXP(0.578+0.332*((Table1[[#This Row],[Gestation (days)]]+0.5)/7)-0.00354*((Table1[[#This Row],[Gestation (days)]]+0.5)/7)^2)*Table1[[#This Row],[BW40_3705]],"")</f>
        <v/>
      </c>
      <c r="G6605" s="2" t="str">
        <f>IF(Table1[[#This Row],[Is Data Valid]]=TRUE,((Table1[[#This Row],[Birthweight (grams)]]/Table1[[#This Row],[BW_GA]])-1)/(Backend!$B$4/100*Table1[[#This Row],[BW40_3705]]),"")</f>
        <v/>
      </c>
      <c r="H6605" s="7" t="str">
        <f>IF(Table1[[#This Row],[Is Data Valid]]=TRUE,((Table1[[#This Row],[Birthweight (grams)]]*0.9/Table1[[#This Row],[BW_GA]])-1)/(Backend!$B$4/100*Table1[[#This Row],[BW40_3705]]),"")</f>
        <v/>
      </c>
      <c r="I6605" s="7" t="str">
        <f>IF(Table1[[#This Row],[Is Data Valid]]=TRUE,((Table1[[#This Row],[Birthweight (grams)]]*1.1/Table1[[#This Row],[BW_GA]])-1)/(Backend!$B$4/100*Table1[[#This Row],[BW40_3705]]),"")</f>
        <v/>
      </c>
      <c r="J6605" s="7" t="str">
        <f>IF(Table1[[#This Row],[Is Data Valid]]=TRUE,_xlfn.NORM.S.DIST(Table1[[#This Row],[Birthweight Z-Score]],TRUE)*100,"")</f>
        <v/>
      </c>
      <c r="K6605" s="7" t="str">
        <f>IF(Table1[[#This Row],[Is Data Valid]]=TRUE,_xlfn.NORM.S.DIST(Table1[[#This Row],[Birthweight Z-Score (BW-10%)]],TRUE)*100,"")</f>
        <v/>
      </c>
      <c r="L6605" s="7" t="str">
        <f>IF(Table1[[#This Row],[Is Data Valid]]=TRUE,_xlfn.NORM.S.DIST(Table1[[#This Row],[Birthweight Z-Score (BW+10%)]],TRUE)*100,"")</f>
        <v/>
      </c>
    </row>
    <row r="6606" spans="1:12" x14ac:dyDescent="0.35">
      <c r="A6606" s="3"/>
      <c r="B6606" s="2"/>
      <c r="C6606" s="2"/>
      <c r="D6606" s="2" t="b">
        <f>IF(AND(NOT(ISBLANK(Table1[[#This Row],[Fetal Sex (Male, Female or Unknown)]])),ISNUMBER(Table1[[#This Row],[Birthweight (grams)]]),ISNUMBER(Table1[[#This Row],[Gestation (days)]])),TRUE,FALSE)</f>
        <v>0</v>
      </c>
      <c r="E6606" s="2" t="str">
        <f>IF(Table1[[#This Row],[Is Data Valid]]=TRUE,IF(Table1[[#This Row],[Fetal Sex (Male, Female or Unknown)]]="Male",Backend!$C$6,IF(Table1[[#This Row],[Fetal Sex (Male, Female or Unknown)]]="Female",Backend!$C$7,IF(Table1[[#This Row],[Fetal Sex (Male, Female or Unknown)]]="Unknown",Backend!$C$8,"Error"))),"")</f>
        <v/>
      </c>
      <c r="F6606" s="8" t="str">
        <f>IF(Table1[[#This Row],[Is Data Valid]]=TRUE,EXP(0.578+0.332*((Table1[[#This Row],[Gestation (days)]]+0.5)/7)-0.00354*((Table1[[#This Row],[Gestation (days)]]+0.5)/7)^2)*Table1[[#This Row],[BW40_3705]],"")</f>
        <v/>
      </c>
      <c r="G6606" s="2" t="str">
        <f>IF(Table1[[#This Row],[Is Data Valid]]=TRUE,((Table1[[#This Row],[Birthweight (grams)]]/Table1[[#This Row],[BW_GA]])-1)/(Backend!$B$4/100*Table1[[#This Row],[BW40_3705]]),"")</f>
        <v/>
      </c>
      <c r="H6606" s="7" t="str">
        <f>IF(Table1[[#This Row],[Is Data Valid]]=TRUE,((Table1[[#This Row],[Birthweight (grams)]]*0.9/Table1[[#This Row],[BW_GA]])-1)/(Backend!$B$4/100*Table1[[#This Row],[BW40_3705]]),"")</f>
        <v/>
      </c>
      <c r="I6606" s="7" t="str">
        <f>IF(Table1[[#This Row],[Is Data Valid]]=TRUE,((Table1[[#This Row],[Birthweight (grams)]]*1.1/Table1[[#This Row],[BW_GA]])-1)/(Backend!$B$4/100*Table1[[#This Row],[BW40_3705]]),"")</f>
        <v/>
      </c>
      <c r="J6606" s="7" t="str">
        <f>IF(Table1[[#This Row],[Is Data Valid]]=TRUE,_xlfn.NORM.S.DIST(Table1[[#This Row],[Birthweight Z-Score]],TRUE)*100,"")</f>
        <v/>
      </c>
      <c r="K6606" s="7" t="str">
        <f>IF(Table1[[#This Row],[Is Data Valid]]=TRUE,_xlfn.NORM.S.DIST(Table1[[#This Row],[Birthweight Z-Score (BW-10%)]],TRUE)*100,"")</f>
        <v/>
      </c>
      <c r="L6606" s="7" t="str">
        <f>IF(Table1[[#This Row],[Is Data Valid]]=TRUE,_xlfn.NORM.S.DIST(Table1[[#This Row],[Birthweight Z-Score (BW+10%)]],TRUE)*100,"")</f>
        <v/>
      </c>
    </row>
    <row r="6607" spans="1:12" x14ac:dyDescent="0.35">
      <c r="A6607" s="3"/>
      <c r="B6607" s="2"/>
      <c r="C6607" s="2"/>
      <c r="D6607" s="2" t="b">
        <f>IF(AND(NOT(ISBLANK(Table1[[#This Row],[Fetal Sex (Male, Female or Unknown)]])),ISNUMBER(Table1[[#This Row],[Birthweight (grams)]]),ISNUMBER(Table1[[#This Row],[Gestation (days)]])),TRUE,FALSE)</f>
        <v>0</v>
      </c>
      <c r="E6607" s="2" t="str">
        <f>IF(Table1[[#This Row],[Is Data Valid]]=TRUE,IF(Table1[[#This Row],[Fetal Sex (Male, Female or Unknown)]]="Male",Backend!$C$6,IF(Table1[[#This Row],[Fetal Sex (Male, Female or Unknown)]]="Female",Backend!$C$7,IF(Table1[[#This Row],[Fetal Sex (Male, Female or Unknown)]]="Unknown",Backend!$C$8,"Error"))),"")</f>
        <v/>
      </c>
      <c r="F6607" s="8" t="str">
        <f>IF(Table1[[#This Row],[Is Data Valid]]=TRUE,EXP(0.578+0.332*((Table1[[#This Row],[Gestation (days)]]+0.5)/7)-0.00354*((Table1[[#This Row],[Gestation (days)]]+0.5)/7)^2)*Table1[[#This Row],[BW40_3705]],"")</f>
        <v/>
      </c>
      <c r="G6607" s="2" t="str">
        <f>IF(Table1[[#This Row],[Is Data Valid]]=TRUE,((Table1[[#This Row],[Birthweight (grams)]]/Table1[[#This Row],[BW_GA]])-1)/(Backend!$B$4/100*Table1[[#This Row],[BW40_3705]]),"")</f>
        <v/>
      </c>
      <c r="H6607" s="7" t="str">
        <f>IF(Table1[[#This Row],[Is Data Valid]]=TRUE,((Table1[[#This Row],[Birthweight (grams)]]*0.9/Table1[[#This Row],[BW_GA]])-1)/(Backend!$B$4/100*Table1[[#This Row],[BW40_3705]]),"")</f>
        <v/>
      </c>
      <c r="I6607" s="7" t="str">
        <f>IF(Table1[[#This Row],[Is Data Valid]]=TRUE,((Table1[[#This Row],[Birthweight (grams)]]*1.1/Table1[[#This Row],[BW_GA]])-1)/(Backend!$B$4/100*Table1[[#This Row],[BW40_3705]]),"")</f>
        <v/>
      </c>
      <c r="J6607" s="7" t="str">
        <f>IF(Table1[[#This Row],[Is Data Valid]]=TRUE,_xlfn.NORM.S.DIST(Table1[[#This Row],[Birthweight Z-Score]],TRUE)*100,"")</f>
        <v/>
      </c>
      <c r="K6607" s="7" t="str">
        <f>IF(Table1[[#This Row],[Is Data Valid]]=TRUE,_xlfn.NORM.S.DIST(Table1[[#This Row],[Birthweight Z-Score (BW-10%)]],TRUE)*100,"")</f>
        <v/>
      </c>
      <c r="L6607" s="7" t="str">
        <f>IF(Table1[[#This Row],[Is Data Valid]]=TRUE,_xlfn.NORM.S.DIST(Table1[[#This Row],[Birthweight Z-Score (BW+10%)]],TRUE)*100,"")</f>
        <v/>
      </c>
    </row>
    <row r="6608" spans="1:12" x14ac:dyDescent="0.35">
      <c r="A6608" s="3"/>
      <c r="B6608" s="2"/>
      <c r="C6608" s="2"/>
      <c r="D6608" s="2" t="b">
        <f>IF(AND(NOT(ISBLANK(Table1[[#This Row],[Fetal Sex (Male, Female or Unknown)]])),ISNUMBER(Table1[[#This Row],[Birthweight (grams)]]),ISNUMBER(Table1[[#This Row],[Gestation (days)]])),TRUE,FALSE)</f>
        <v>0</v>
      </c>
      <c r="E6608" s="2" t="str">
        <f>IF(Table1[[#This Row],[Is Data Valid]]=TRUE,IF(Table1[[#This Row],[Fetal Sex (Male, Female or Unknown)]]="Male",Backend!$C$6,IF(Table1[[#This Row],[Fetal Sex (Male, Female or Unknown)]]="Female",Backend!$C$7,IF(Table1[[#This Row],[Fetal Sex (Male, Female or Unknown)]]="Unknown",Backend!$C$8,"Error"))),"")</f>
        <v/>
      </c>
      <c r="F6608" s="8" t="str">
        <f>IF(Table1[[#This Row],[Is Data Valid]]=TRUE,EXP(0.578+0.332*((Table1[[#This Row],[Gestation (days)]]+0.5)/7)-0.00354*((Table1[[#This Row],[Gestation (days)]]+0.5)/7)^2)*Table1[[#This Row],[BW40_3705]],"")</f>
        <v/>
      </c>
      <c r="G6608" s="2" t="str">
        <f>IF(Table1[[#This Row],[Is Data Valid]]=TRUE,((Table1[[#This Row],[Birthweight (grams)]]/Table1[[#This Row],[BW_GA]])-1)/(Backend!$B$4/100*Table1[[#This Row],[BW40_3705]]),"")</f>
        <v/>
      </c>
      <c r="H6608" s="7" t="str">
        <f>IF(Table1[[#This Row],[Is Data Valid]]=TRUE,((Table1[[#This Row],[Birthweight (grams)]]*0.9/Table1[[#This Row],[BW_GA]])-1)/(Backend!$B$4/100*Table1[[#This Row],[BW40_3705]]),"")</f>
        <v/>
      </c>
      <c r="I6608" s="7" t="str">
        <f>IF(Table1[[#This Row],[Is Data Valid]]=TRUE,((Table1[[#This Row],[Birthweight (grams)]]*1.1/Table1[[#This Row],[BW_GA]])-1)/(Backend!$B$4/100*Table1[[#This Row],[BW40_3705]]),"")</f>
        <v/>
      </c>
      <c r="J6608" s="7" t="str">
        <f>IF(Table1[[#This Row],[Is Data Valid]]=TRUE,_xlfn.NORM.S.DIST(Table1[[#This Row],[Birthweight Z-Score]],TRUE)*100,"")</f>
        <v/>
      </c>
      <c r="K6608" s="7" t="str">
        <f>IF(Table1[[#This Row],[Is Data Valid]]=TRUE,_xlfn.NORM.S.DIST(Table1[[#This Row],[Birthweight Z-Score (BW-10%)]],TRUE)*100,"")</f>
        <v/>
      </c>
      <c r="L6608" s="7" t="str">
        <f>IF(Table1[[#This Row],[Is Data Valid]]=TRUE,_xlfn.NORM.S.DIST(Table1[[#This Row],[Birthweight Z-Score (BW+10%)]],TRUE)*100,"")</f>
        <v/>
      </c>
    </row>
    <row r="6609" spans="1:12" x14ac:dyDescent="0.35">
      <c r="A6609" s="3"/>
      <c r="B6609" s="2"/>
      <c r="C6609" s="2"/>
      <c r="D6609" s="2" t="b">
        <f>IF(AND(NOT(ISBLANK(Table1[[#This Row],[Fetal Sex (Male, Female or Unknown)]])),ISNUMBER(Table1[[#This Row],[Birthweight (grams)]]),ISNUMBER(Table1[[#This Row],[Gestation (days)]])),TRUE,FALSE)</f>
        <v>0</v>
      </c>
      <c r="E6609" s="2" t="str">
        <f>IF(Table1[[#This Row],[Is Data Valid]]=TRUE,IF(Table1[[#This Row],[Fetal Sex (Male, Female or Unknown)]]="Male",Backend!$C$6,IF(Table1[[#This Row],[Fetal Sex (Male, Female or Unknown)]]="Female",Backend!$C$7,IF(Table1[[#This Row],[Fetal Sex (Male, Female or Unknown)]]="Unknown",Backend!$C$8,"Error"))),"")</f>
        <v/>
      </c>
      <c r="F6609" s="8" t="str">
        <f>IF(Table1[[#This Row],[Is Data Valid]]=TRUE,EXP(0.578+0.332*((Table1[[#This Row],[Gestation (days)]]+0.5)/7)-0.00354*((Table1[[#This Row],[Gestation (days)]]+0.5)/7)^2)*Table1[[#This Row],[BW40_3705]],"")</f>
        <v/>
      </c>
      <c r="G6609" s="2" t="str">
        <f>IF(Table1[[#This Row],[Is Data Valid]]=TRUE,((Table1[[#This Row],[Birthweight (grams)]]/Table1[[#This Row],[BW_GA]])-1)/(Backend!$B$4/100*Table1[[#This Row],[BW40_3705]]),"")</f>
        <v/>
      </c>
      <c r="H6609" s="7" t="str">
        <f>IF(Table1[[#This Row],[Is Data Valid]]=TRUE,((Table1[[#This Row],[Birthweight (grams)]]*0.9/Table1[[#This Row],[BW_GA]])-1)/(Backend!$B$4/100*Table1[[#This Row],[BW40_3705]]),"")</f>
        <v/>
      </c>
      <c r="I6609" s="7" t="str">
        <f>IF(Table1[[#This Row],[Is Data Valid]]=TRUE,((Table1[[#This Row],[Birthweight (grams)]]*1.1/Table1[[#This Row],[BW_GA]])-1)/(Backend!$B$4/100*Table1[[#This Row],[BW40_3705]]),"")</f>
        <v/>
      </c>
      <c r="J6609" s="7" t="str">
        <f>IF(Table1[[#This Row],[Is Data Valid]]=TRUE,_xlfn.NORM.S.DIST(Table1[[#This Row],[Birthweight Z-Score]],TRUE)*100,"")</f>
        <v/>
      </c>
      <c r="K6609" s="7" t="str">
        <f>IF(Table1[[#This Row],[Is Data Valid]]=TRUE,_xlfn.NORM.S.DIST(Table1[[#This Row],[Birthweight Z-Score (BW-10%)]],TRUE)*100,"")</f>
        <v/>
      </c>
      <c r="L6609" s="7" t="str">
        <f>IF(Table1[[#This Row],[Is Data Valid]]=TRUE,_xlfn.NORM.S.DIST(Table1[[#This Row],[Birthweight Z-Score (BW+10%)]],TRUE)*100,"")</f>
        <v/>
      </c>
    </row>
    <row r="6610" spans="1:12" x14ac:dyDescent="0.35">
      <c r="A6610" s="3"/>
      <c r="B6610" s="2"/>
      <c r="C6610" s="2"/>
      <c r="D6610" s="2" t="b">
        <f>IF(AND(NOT(ISBLANK(Table1[[#This Row],[Fetal Sex (Male, Female or Unknown)]])),ISNUMBER(Table1[[#This Row],[Birthweight (grams)]]),ISNUMBER(Table1[[#This Row],[Gestation (days)]])),TRUE,FALSE)</f>
        <v>0</v>
      </c>
      <c r="E6610" s="2" t="str">
        <f>IF(Table1[[#This Row],[Is Data Valid]]=TRUE,IF(Table1[[#This Row],[Fetal Sex (Male, Female or Unknown)]]="Male",Backend!$C$6,IF(Table1[[#This Row],[Fetal Sex (Male, Female or Unknown)]]="Female",Backend!$C$7,IF(Table1[[#This Row],[Fetal Sex (Male, Female or Unknown)]]="Unknown",Backend!$C$8,"Error"))),"")</f>
        <v/>
      </c>
      <c r="F6610" s="8" t="str">
        <f>IF(Table1[[#This Row],[Is Data Valid]]=TRUE,EXP(0.578+0.332*((Table1[[#This Row],[Gestation (days)]]+0.5)/7)-0.00354*((Table1[[#This Row],[Gestation (days)]]+0.5)/7)^2)*Table1[[#This Row],[BW40_3705]],"")</f>
        <v/>
      </c>
      <c r="G6610" s="2" t="str">
        <f>IF(Table1[[#This Row],[Is Data Valid]]=TRUE,((Table1[[#This Row],[Birthweight (grams)]]/Table1[[#This Row],[BW_GA]])-1)/(Backend!$B$4/100*Table1[[#This Row],[BW40_3705]]),"")</f>
        <v/>
      </c>
      <c r="H6610" s="7" t="str">
        <f>IF(Table1[[#This Row],[Is Data Valid]]=TRUE,((Table1[[#This Row],[Birthweight (grams)]]*0.9/Table1[[#This Row],[BW_GA]])-1)/(Backend!$B$4/100*Table1[[#This Row],[BW40_3705]]),"")</f>
        <v/>
      </c>
      <c r="I6610" s="7" t="str">
        <f>IF(Table1[[#This Row],[Is Data Valid]]=TRUE,((Table1[[#This Row],[Birthweight (grams)]]*1.1/Table1[[#This Row],[BW_GA]])-1)/(Backend!$B$4/100*Table1[[#This Row],[BW40_3705]]),"")</f>
        <v/>
      </c>
      <c r="J6610" s="7" t="str">
        <f>IF(Table1[[#This Row],[Is Data Valid]]=TRUE,_xlfn.NORM.S.DIST(Table1[[#This Row],[Birthweight Z-Score]],TRUE)*100,"")</f>
        <v/>
      </c>
      <c r="K6610" s="7" t="str">
        <f>IF(Table1[[#This Row],[Is Data Valid]]=TRUE,_xlfn.NORM.S.DIST(Table1[[#This Row],[Birthweight Z-Score (BW-10%)]],TRUE)*100,"")</f>
        <v/>
      </c>
      <c r="L6610" s="7" t="str">
        <f>IF(Table1[[#This Row],[Is Data Valid]]=TRUE,_xlfn.NORM.S.DIST(Table1[[#This Row],[Birthweight Z-Score (BW+10%)]],TRUE)*100,"")</f>
        <v/>
      </c>
    </row>
    <row r="6611" spans="1:12" x14ac:dyDescent="0.35">
      <c r="A6611" s="3"/>
      <c r="B6611" s="2"/>
      <c r="C6611" s="2"/>
      <c r="D6611" s="2" t="b">
        <f>IF(AND(NOT(ISBLANK(Table1[[#This Row],[Fetal Sex (Male, Female or Unknown)]])),ISNUMBER(Table1[[#This Row],[Birthweight (grams)]]),ISNUMBER(Table1[[#This Row],[Gestation (days)]])),TRUE,FALSE)</f>
        <v>0</v>
      </c>
      <c r="E6611" s="2" t="str">
        <f>IF(Table1[[#This Row],[Is Data Valid]]=TRUE,IF(Table1[[#This Row],[Fetal Sex (Male, Female or Unknown)]]="Male",Backend!$C$6,IF(Table1[[#This Row],[Fetal Sex (Male, Female or Unknown)]]="Female",Backend!$C$7,IF(Table1[[#This Row],[Fetal Sex (Male, Female or Unknown)]]="Unknown",Backend!$C$8,"Error"))),"")</f>
        <v/>
      </c>
      <c r="F6611" s="8" t="str">
        <f>IF(Table1[[#This Row],[Is Data Valid]]=TRUE,EXP(0.578+0.332*((Table1[[#This Row],[Gestation (days)]]+0.5)/7)-0.00354*((Table1[[#This Row],[Gestation (days)]]+0.5)/7)^2)*Table1[[#This Row],[BW40_3705]],"")</f>
        <v/>
      </c>
      <c r="G6611" s="2" t="str">
        <f>IF(Table1[[#This Row],[Is Data Valid]]=TRUE,((Table1[[#This Row],[Birthweight (grams)]]/Table1[[#This Row],[BW_GA]])-1)/(Backend!$B$4/100*Table1[[#This Row],[BW40_3705]]),"")</f>
        <v/>
      </c>
      <c r="H6611" s="7" t="str">
        <f>IF(Table1[[#This Row],[Is Data Valid]]=TRUE,((Table1[[#This Row],[Birthweight (grams)]]*0.9/Table1[[#This Row],[BW_GA]])-1)/(Backend!$B$4/100*Table1[[#This Row],[BW40_3705]]),"")</f>
        <v/>
      </c>
      <c r="I6611" s="7" t="str">
        <f>IF(Table1[[#This Row],[Is Data Valid]]=TRUE,((Table1[[#This Row],[Birthweight (grams)]]*1.1/Table1[[#This Row],[BW_GA]])-1)/(Backend!$B$4/100*Table1[[#This Row],[BW40_3705]]),"")</f>
        <v/>
      </c>
      <c r="J6611" s="7" t="str">
        <f>IF(Table1[[#This Row],[Is Data Valid]]=TRUE,_xlfn.NORM.S.DIST(Table1[[#This Row],[Birthweight Z-Score]],TRUE)*100,"")</f>
        <v/>
      </c>
      <c r="K6611" s="7" t="str">
        <f>IF(Table1[[#This Row],[Is Data Valid]]=TRUE,_xlfn.NORM.S.DIST(Table1[[#This Row],[Birthweight Z-Score (BW-10%)]],TRUE)*100,"")</f>
        <v/>
      </c>
      <c r="L6611" s="7" t="str">
        <f>IF(Table1[[#This Row],[Is Data Valid]]=TRUE,_xlfn.NORM.S.DIST(Table1[[#This Row],[Birthweight Z-Score (BW+10%)]],TRUE)*100,"")</f>
        <v/>
      </c>
    </row>
    <row r="6612" spans="1:12" x14ac:dyDescent="0.35">
      <c r="A6612" s="3"/>
      <c r="B6612" s="2"/>
      <c r="C6612" s="2"/>
      <c r="D6612" s="2" t="b">
        <f>IF(AND(NOT(ISBLANK(Table1[[#This Row],[Fetal Sex (Male, Female or Unknown)]])),ISNUMBER(Table1[[#This Row],[Birthweight (grams)]]),ISNUMBER(Table1[[#This Row],[Gestation (days)]])),TRUE,FALSE)</f>
        <v>0</v>
      </c>
      <c r="E6612" s="2" t="str">
        <f>IF(Table1[[#This Row],[Is Data Valid]]=TRUE,IF(Table1[[#This Row],[Fetal Sex (Male, Female or Unknown)]]="Male",Backend!$C$6,IF(Table1[[#This Row],[Fetal Sex (Male, Female or Unknown)]]="Female",Backend!$C$7,IF(Table1[[#This Row],[Fetal Sex (Male, Female or Unknown)]]="Unknown",Backend!$C$8,"Error"))),"")</f>
        <v/>
      </c>
      <c r="F6612" s="8" t="str">
        <f>IF(Table1[[#This Row],[Is Data Valid]]=TRUE,EXP(0.578+0.332*((Table1[[#This Row],[Gestation (days)]]+0.5)/7)-0.00354*((Table1[[#This Row],[Gestation (days)]]+0.5)/7)^2)*Table1[[#This Row],[BW40_3705]],"")</f>
        <v/>
      </c>
      <c r="G6612" s="2" t="str">
        <f>IF(Table1[[#This Row],[Is Data Valid]]=TRUE,((Table1[[#This Row],[Birthweight (grams)]]/Table1[[#This Row],[BW_GA]])-1)/(Backend!$B$4/100*Table1[[#This Row],[BW40_3705]]),"")</f>
        <v/>
      </c>
      <c r="H6612" s="7" t="str">
        <f>IF(Table1[[#This Row],[Is Data Valid]]=TRUE,((Table1[[#This Row],[Birthweight (grams)]]*0.9/Table1[[#This Row],[BW_GA]])-1)/(Backend!$B$4/100*Table1[[#This Row],[BW40_3705]]),"")</f>
        <v/>
      </c>
      <c r="I6612" s="7" t="str">
        <f>IF(Table1[[#This Row],[Is Data Valid]]=TRUE,((Table1[[#This Row],[Birthweight (grams)]]*1.1/Table1[[#This Row],[BW_GA]])-1)/(Backend!$B$4/100*Table1[[#This Row],[BW40_3705]]),"")</f>
        <v/>
      </c>
      <c r="J6612" s="7" t="str">
        <f>IF(Table1[[#This Row],[Is Data Valid]]=TRUE,_xlfn.NORM.S.DIST(Table1[[#This Row],[Birthweight Z-Score]],TRUE)*100,"")</f>
        <v/>
      </c>
      <c r="K6612" s="7" t="str">
        <f>IF(Table1[[#This Row],[Is Data Valid]]=TRUE,_xlfn.NORM.S.DIST(Table1[[#This Row],[Birthweight Z-Score (BW-10%)]],TRUE)*100,"")</f>
        <v/>
      </c>
      <c r="L6612" s="7" t="str">
        <f>IF(Table1[[#This Row],[Is Data Valid]]=TRUE,_xlfn.NORM.S.DIST(Table1[[#This Row],[Birthweight Z-Score (BW+10%)]],TRUE)*100,"")</f>
        <v/>
      </c>
    </row>
    <row r="6613" spans="1:12" x14ac:dyDescent="0.35">
      <c r="A6613" s="3"/>
      <c r="B6613" s="2"/>
      <c r="C6613" s="2"/>
      <c r="D6613" s="2" t="b">
        <f>IF(AND(NOT(ISBLANK(Table1[[#This Row],[Fetal Sex (Male, Female or Unknown)]])),ISNUMBER(Table1[[#This Row],[Birthweight (grams)]]),ISNUMBER(Table1[[#This Row],[Gestation (days)]])),TRUE,FALSE)</f>
        <v>0</v>
      </c>
      <c r="E6613" s="2" t="str">
        <f>IF(Table1[[#This Row],[Is Data Valid]]=TRUE,IF(Table1[[#This Row],[Fetal Sex (Male, Female or Unknown)]]="Male",Backend!$C$6,IF(Table1[[#This Row],[Fetal Sex (Male, Female or Unknown)]]="Female",Backend!$C$7,IF(Table1[[#This Row],[Fetal Sex (Male, Female or Unknown)]]="Unknown",Backend!$C$8,"Error"))),"")</f>
        <v/>
      </c>
      <c r="F6613" s="8" t="str">
        <f>IF(Table1[[#This Row],[Is Data Valid]]=TRUE,EXP(0.578+0.332*((Table1[[#This Row],[Gestation (days)]]+0.5)/7)-0.00354*((Table1[[#This Row],[Gestation (days)]]+0.5)/7)^2)*Table1[[#This Row],[BW40_3705]],"")</f>
        <v/>
      </c>
      <c r="G6613" s="2" t="str">
        <f>IF(Table1[[#This Row],[Is Data Valid]]=TRUE,((Table1[[#This Row],[Birthweight (grams)]]/Table1[[#This Row],[BW_GA]])-1)/(Backend!$B$4/100*Table1[[#This Row],[BW40_3705]]),"")</f>
        <v/>
      </c>
      <c r="H6613" s="7" t="str">
        <f>IF(Table1[[#This Row],[Is Data Valid]]=TRUE,((Table1[[#This Row],[Birthweight (grams)]]*0.9/Table1[[#This Row],[BW_GA]])-1)/(Backend!$B$4/100*Table1[[#This Row],[BW40_3705]]),"")</f>
        <v/>
      </c>
      <c r="I6613" s="7" t="str">
        <f>IF(Table1[[#This Row],[Is Data Valid]]=TRUE,((Table1[[#This Row],[Birthweight (grams)]]*1.1/Table1[[#This Row],[BW_GA]])-1)/(Backend!$B$4/100*Table1[[#This Row],[BW40_3705]]),"")</f>
        <v/>
      </c>
      <c r="J6613" s="7" t="str">
        <f>IF(Table1[[#This Row],[Is Data Valid]]=TRUE,_xlfn.NORM.S.DIST(Table1[[#This Row],[Birthweight Z-Score]],TRUE)*100,"")</f>
        <v/>
      </c>
      <c r="K6613" s="7" t="str">
        <f>IF(Table1[[#This Row],[Is Data Valid]]=TRUE,_xlfn.NORM.S.DIST(Table1[[#This Row],[Birthweight Z-Score (BW-10%)]],TRUE)*100,"")</f>
        <v/>
      </c>
      <c r="L6613" s="7" t="str">
        <f>IF(Table1[[#This Row],[Is Data Valid]]=TRUE,_xlfn.NORM.S.DIST(Table1[[#This Row],[Birthweight Z-Score (BW+10%)]],TRUE)*100,"")</f>
        <v/>
      </c>
    </row>
    <row r="6614" spans="1:12" x14ac:dyDescent="0.35">
      <c r="A6614" s="3"/>
      <c r="B6614" s="2"/>
      <c r="C6614" s="2"/>
      <c r="D6614" s="2" t="b">
        <f>IF(AND(NOT(ISBLANK(Table1[[#This Row],[Fetal Sex (Male, Female or Unknown)]])),ISNUMBER(Table1[[#This Row],[Birthweight (grams)]]),ISNUMBER(Table1[[#This Row],[Gestation (days)]])),TRUE,FALSE)</f>
        <v>0</v>
      </c>
      <c r="E6614" s="2" t="str">
        <f>IF(Table1[[#This Row],[Is Data Valid]]=TRUE,IF(Table1[[#This Row],[Fetal Sex (Male, Female or Unknown)]]="Male",Backend!$C$6,IF(Table1[[#This Row],[Fetal Sex (Male, Female or Unknown)]]="Female",Backend!$C$7,IF(Table1[[#This Row],[Fetal Sex (Male, Female or Unknown)]]="Unknown",Backend!$C$8,"Error"))),"")</f>
        <v/>
      </c>
      <c r="F6614" s="8" t="str">
        <f>IF(Table1[[#This Row],[Is Data Valid]]=TRUE,EXP(0.578+0.332*((Table1[[#This Row],[Gestation (days)]]+0.5)/7)-0.00354*((Table1[[#This Row],[Gestation (days)]]+0.5)/7)^2)*Table1[[#This Row],[BW40_3705]],"")</f>
        <v/>
      </c>
      <c r="G6614" s="2" t="str">
        <f>IF(Table1[[#This Row],[Is Data Valid]]=TRUE,((Table1[[#This Row],[Birthweight (grams)]]/Table1[[#This Row],[BW_GA]])-1)/(Backend!$B$4/100*Table1[[#This Row],[BW40_3705]]),"")</f>
        <v/>
      </c>
      <c r="H6614" s="7" t="str">
        <f>IF(Table1[[#This Row],[Is Data Valid]]=TRUE,((Table1[[#This Row],[Birthweight (grams)]]*0.9/Table1[[#This Row],[BW_GA]])-1)/(Backend!$B$4/100*Table1[[#This Row],[BW40_3705]]),"")</f>
        <v/>
      </c>
      <c r="I6614" s="7" t="str">
        <f>IF(Table1[[#This Row],[Is Data Valid]]=TRUE,((Table1[[#This Row],[Birthweight (grams)]]*1.1/Table1[[#This Row],[BW_GA]])-1)/(Backend!$B$4/100*Table1[[#This Row],[BW40_3705]]),"")</f>
        <v/>
      </c>
      <c r="J6614" s="7" t="str">
        <f>IF(Table1[[#This Row],[Is Data Valid]]=TRUE,_xlfn.NORM.S.DIST(Table1[[#This Row],[Birthweight Z-Score]],TRUE)*100,"")</f>
        <v/>
      </c>
      <c r="K6614" s="7" t="str">
        <f>IF(Table1[[#This Row],[Is Data Valid]]=TRUE,_xlfn.NORM.S.DIST(Table1[[#This Row],[Birthweight Z-Score (BW-10%)]],TRUE)*100,"")</f>
        <v/>
      </c>
      <c r="L6614" s="7" t="str">
        <f>IF(Table1[[#This Row],[Is Data Valid]]=TRUE,_xlfn.NORM.S.DIST(Table1[[#This Row],[Birthweight Z-Score (BW+10%)]],TRUE)*100,"")</f>
        <v/>
      </c>
    </row>
    <row r="6615" spans="1:12" x14ac:dyDescent="0.35">
      <c r="A6615" s="3"/>
      <c r="B6615" s="2"/>
      <c r="C6615" s="2"/>
      <c r="D6615" s="2" t="b">
        <f>IF(AND(NOT(ISBLANK(Table1[[#This Row],[Fetal Sex (Male, Female or Unknown)]])),ISNUMBER(Table1[[#This Row],[Birthweight (grams)]]),ISNUMBER(Table1[[#This Row],[Gestation (days)]])),TRUE,FALSE)</f>
        <v>0</v>
      </c>
      <c r="E6615" s="2" t="str">
        <f>IF(Table1[[#This Row],[Is Data Valid]]=TRUE,IF(Table1[[#This Row],[Fetal Sex (Male, Female or Unknown)]]="Male",Backend!$C$6,IF(Table1[[#This Row],[Fetal Sex (Male, Female or Unknown)]]="Female",Backend!$C$7,IF(Table1[[#This Row],[Fetal Sex (Male, Female or Unknown)]]="Unknown",Backend!$C$8,"Error"))),"")</f>
        <v/>
      </c>
      <c r="F6615" s="8" t="str">
        <f>IF(Table1[[#This Row],[Is Data Valid]]=TRUE,EXP(0.578+0.332*((Table1[[#This Row],[Gestation (days)]]+0.5)/7)-0.00354*((Table1[[#This Row],[Gestation (days)]]+0.5)/7)^2)*Table1[[#This Row],[BW40_3705]],"")</f>
        <v/>
      </c>
      <c r="G6615" s="2" t="str">
        <f>IF(Table1[[#This Row],[Is Data Valid]]=TRUE,((Table1[[#This Row],[Birthweight (grams)]]/Table1[[#This Row],[BW_GA]])-1)/(Backend!$B$4/100*Table1[[#This Row],[BW40_3705]]),"")</f>
        <v/>
      </c>
      <c r="H6615" s="7" t="str">
        <f>IF(Table1[[#This Row],[Is Data Valid]]=TRUE,((Table1[[#This Row],[Birthweight (grams)]]*0.9/Table1[[#This Row],[BW_GA]])-1)/(Backend!$B$4/100*Table1[[#This Row],[BW40_3705]]),"")</f>
        <v/>
      </c>
      <c r="I6615" s="7" t="str">
        <f>IF(Table1[[#This Row],[Is Data Valid]]=TRUE,((Table1[[#This Row],[Birthweight (grams)]]*1.1/Table1[[#This Row],[BW_GA]])-1)/(Backend!$B$4/100*Table1[[#This Row],[BW40_3705]]),"")</f>
        <v/>
      </c>
      <c r="J6615" s="7" t="str">
        <f>IF(Table1[[#This Row],[Is Data Valid]]=TRUE,_xlfn.NORM.S.DIST(Table1[[#This Row],[Birthweight Z-Score]],TRUE)*100,"")</f>
        <v/>
      </c>
      <c r="K6615" s="7" t="str">
        <f>IF(Table1[[#This Row],[Is Data Valid]]=TRUE,_xlfn.NORM.S.DIST(Table1[[#This Row],[Birthweight Z-Score (BW-10%)]],TRUE)*100,"")</f>
        <v/>
      </c>
      <c r="L6615" s="7" t="str">
        <f>IF(Table1[[#This Row],[Is Data Valid]]=TRUE,_xlfn.NORM.S.DIST(Table1[[#This Row],[Birthweight Z-Score (BW+10%)]],TRUE)*100,"")</f>
        <v/>
      </c>
    </row>
    <row r="6616" spans="1:12" x14ac:dyDescent="0.35">
      <c r="A6616" s="3"/>
      <c r="B6616" s="2"/>
      <c r="C6616" s="2"/>
      <c r="D6616" s="2" t="b">
        <f>IF(AND(NOT(ISBLANK(Table1[[#This Row],[Fetal Sex (Male, Female or Unknown)]])),ISNUMBER(Table1[[#This Row],[Birthweight (grams)]]),ISNUMBER(Table1[[#This Row],[Gestation (days)]])),TRUE,FALSE)</f>
        <v>0</v>
      </c>
      <c r="E6616" s="2" t="str">
        <f>IF(Table1[[#This Row],[Is Data Valid]]=TRUE,IF(Table1[[#This Row],[Fetal Sex (Male, Female or Unknown)]]="Male",Backend!$C$6,IF(Table1[[#This Row],[Fetal Sex (Male, Female or Unknown)]]="Female",Backend!$C$7,IF(Table1[[#This Row],[Fetal Sex (Male, Female or Unknown)]]="Unknown",Backend!$C$8,"Error"))),"")</f>
        <v/>
      </c>
      <c r="F6616" s="8" t="str">
        <f>IF(Table1[[#This Row],[Is Data Valid]]=TRUE,EXP(0.578+0.332*((Table1[[#This Row],[Gestation (days)]]+0.5)/7)-0.00354*((Table1[[#This Row],[Gestation (days)]]+0.5)/7)^2)*Table1[[#This Row],[BW40_3705]],"")</f>
        <v/>
      </c>
      <c r="G6616" s="2" t="str">
        <f>IF(Table1[[#This Row],[Is Data Valid]]=TRUE,((Table1[[#This Row],[Birthweight (grams)]]/Table1[[#This Row],[BW_GA]])-1)/(Backend!$B$4/100*Table1[[#This Row],[BW40_3705]]),"")</f>
        <v/>
      </c>
      <c r="H6616" s="7" t="str">
        <f>IF(Table1[[#This Row],[Is Data Valid]]=TRUE,((Table1[[#This Row],[Birthweight (grams)]]*0.9/Table1[[#This Row],[BW_GA]])-1)/(Backend!$B$4/100*Table1[[#This Row],[BW40_3705]]),"")</f>
        <v/>
      </c>
      <c r="I6616" s="7" t="str">
        <f>IF(Table1[[#This Row],[Is Data Valid]]=TRUE,((Table1[[#This Row],[Birthweight (grams)]]*1.1/Table1[[#This Row],[BW_GA]])-1)/(Backend!$B$4/100*Table1[[#This Row],[BW40_3705]]),"")</f>
        <v/>
      </c>
      <c r="J6616" s="7" t="str">
        <f>IF(Table1[[#This Row],[Is Data Valid]]=TRUE,_xlfn.NORM.S.DIST(Table1[[#This Row],[Birthweight Z-Score]],TRUE)*100,"")</f>
        <v/>
      </c>
      <c r="K6616" s="7" t="str">
        <f>IF(Table1[[#This Row],[Is Data Valid]]=TRUE,_xlfn.NORM.S.DIST(Table1[[#This Row],[Birthweight Z-Score (BW-10%)]],TRUE)*100,"")</f>
        <v/>
      </c>
      <c r="L6616" s="7" t="str">
        <f>IF(Table1[[#This Row],[Is Data Valid]]=TRUE,_xlfn.NORM.S.DIST(Table1[[#This Row],[Birthweight Z-Score (BW+10%)]],TRUE)*100,"")</f>
        <v/>
      </c>
    </row>
    <row r="6617" spans="1:12" x14ac:dyDescent="0.35">
      <c r="A6617" s="3"/>
      <c r="B6617" s="2"/>
      <c r="C6617" s="2"/>
      <c r="D6617" s="2" t="b">
        <f>IF(AND(NOT(ISBLANK(Table1[[#This Row],[Fetal Sex (Male, Female or Unknown)]])),ISNUMBER(Table1[[#This Row],[Birthweight (grams)]]),ISNUMBER(Table1[[#This Row],[Gestation (days)]])),TRUE,FALSE)</f>
        <v>0</v>
      </c>
      <c r="E6617" s="2" t="str">
        <f>IF(Table1[[#This Row],[Is Data Valid]]=TRUE,IF(Table1[[#This Row],[Fetal Sex (Male, Female or Unknown)]]="Male",Backend!$C$6,IF(Table1[[#This Row],[Fetal Sex (Male, Female or Unknown)]]="Female",Backend!$C$7,IF(Table1[[#This Row],[Fetal Sex (Male, Female or Unknown)]]="Unknown",Backend!$C$8,"Error"))),"")</f>
        <v/>
      </c>
      <c r="F6617" s="8" t="str">
        <f>IF(Table1[[#This Row],[Is Data Valid]]=TRUE,EXP(0.578+0.332*((Table1[[#This Row],[Gestation (days)]]+0.5)/7)-0.00354*((Table1[[#This Row],[Gestation (days)]]+0.5)/7)^2)*Table1[[#This Row],[BW40_3705]],"")</f>
        <v/>
      </c>
      <c r="G6617" s="2" t="str">
        <f>IF(Table1[[#This Row],[Is Data Valid]]=TRUE,((Table1[[#This Row],[Birthweight (grams)]]/Table1[[#This Row],[BW_GA]])-1)/(Backend!$B$4/100*Table1[[#This Row],[BW40_3705]]),"")</f>
        <v/>
      </c>
      <c r="H6617" s="7" t="str">
        <f>IF(Table1[[#This Row],[Is Data Valid]]=TRUE,((Table1[[#This Row],[Birthweight (grams)]]*0.9/Table1[[#This Row],[BW_GA]])-1)/(Backend!$B$4/100*Table1[[#This Row],[BW40_3705]]),"")</f>
        <v/>
      </c>
      <c r="I6617" s="7" t="str">
        <f>IF(Table1[[#This Row],[Is Data Valid]]=TRUE,((Table1[[#This Row],[Birthweight (grams)]]*1.1/Table1[[#This Row],[BW_GA]])-1)/(Backend!$B$4/100*Table1[[#This Row],[BW40_3705]]),"")</f>
        <v/>
      </c>
      <c r="J6617" s="7" t="str">
        <f>IF(Table1[[#This Row],[Is Data Valid]]=TRUE,_xlfn.NORM.S.DIST(Table1[[#This Row],[Birthweight Z-Score]],TRUE)*100,"")</f>
        <v/>
      </c>
      <c r="K6617" s="7" t="str">
        <f>IF(Table1[[#This Row],[Is Data Valid]]=TRUE,_xlfn.NORM.S.DIST(Table1[[#This Row],[Birthweight Z-Score (BW-10%)]],TRUE)*100,"")</f>
        <v/>
      </c>
      <c r="L6617" s="7" t="str">
        <f>IF(Table1[[#This Row],[Is Data Valid]]=TRUE,_xlfn.NORM.S.DIST(Table1[[#This Row],[Birthweight Z-Score (BW+10%)]],TRUE)*100,"")</f>
        <v/>
      </c>
    </row>
    <row r="6618" spans="1:12" x14ac:dyDescent="0.35">
      <c r="A6618" s="3"/>
      <c r="B6618" s="2"/>
      <c r="C6618" s="2"/>
      <c r="D6618" s="2" t="b">
        <f>IF(AND(NOT(ISBLANK(Table1[[#This Row],[Fetal Sex (Male, Female or Unknown)]])),ISNUMBER(Table1[[#This Row],[Birthweight (grams)]]),ISNUMBER(Table1[[#This Row],[Gestation (days)]])),TRUE,FALSE)</f>
        <v>0</v>
      </c>
      <c r="E6618" s="2" t="str">
        <f>IF(Table1[[#This Row],[Is Data Valid]]=TRUE,IF(Table1[[#This Row],[Fetal Sex (Male, Female or Unknown)]]="Male",Backend!$C$6,IF(Table1[[#This Row],[Fetal Sex (Male, Female or Unknown)]]="Female",Backend!$C$7,IF(Table1[[#This Row],[Fetal Sex (Male, Female or Unknown)]]="Unknown",Backend!$C$8,"Error"))),"")</f>
        <v/>
      </c>
      <c r="F6618" s="8" t="str">
        <f>IF(Table1[[#This Row],[Is Data Valid]]=TRUE,EXP(0.578+0.332*((Table1[[#This Row],[Gestation (days)]]+0.5)/7)-0.00354*((Table1[[#This Row],[Gestation (days)]]+0.5)/7)^2)*Table1[[#This Row],[BW40_3705]],"")</f>
        <v/>
      </c>
      <c r="G6618" s="2" t="str">
        <f>IF(Table1[[#This Row],[Is Data Valid]]=TRUE,((Table1[[#This Row],[Birthweight (grams)]]/Table1[[#This Row],[BW_GA]])-1)/(Backend!$B$4/100*Table1[[#This Row],[BW40_3705]]),"")</f>
        <v/>
      </c>
      <c r="H6618" s="7" t="str">
        <f>IF(Table1[[#This Row],[Is Data Valid]]=TRUE,((Table1[[#This Row],[Birthweight (grams)]]*0.9/Table1[[#This Row],[BW_GA]])-1)/(Backend!$B$4/100*Table1[[#This Row],[BW40_3705]]),"")</f>
        <v/>
      </c>
      <c r="I6618" s="7" t="str">
        <f>IF(Table1[[#This Row],[Is Data Valid]]=TRUE,((Table1[[#This Row],[Birthweight (grams)]]*1.1/Table1[[#This Row],[BW_GA]])-1)/(Backend!$B$4/100*Table1[[#This Row],[BW40_3705]]),"")</f>
        <v/>
      </c>
      <c r="J6618" s="7" t="str">
        <f>IF(Table1[[#This Row],[Is Data Valid]]=TRUE,_xlfn.NORM.S.DIST(Table1[[#This Row],[Birthweight Z-Score]],TRUE)*100,"")</f>
        <v/>
      </c>
      <c r="K6618" s="7" t="str">
        <f>IF(Table1[[#This Row],[Is Data Valid]]=TRUE,_xlfn.NORM.S.DIST(Table1[[#This Row],[Birthweight Z-Score (BW-10%)]],TRUE)*100,"")</f>
        <v/>
      </c>
      <c r="L6618" s="7" t="str">
        <f>IF(Table1[[#This Row],[Is Data Valid]]=TRUE,_xlfn.NORM.S.DIST(Table1[[#This Row],[Birthweight Z-Score (BW+10%)]],TRUE)*100,"")</f>
        <v/>
      </c>
    </row>
    <row r="6619" spans="1:12" x14ac:dyDescent="0.35">
      <c r="A6619" s="3"/>
      <c r="B6619" s="2"/>
      <c r="C6619" s="2"/>
      <c r="D6619" s="2" t="b">
        <f>IF(AND(NOT(ISBLANK(Table1[[#This Row],[Fetal Sex (Male, Female or Unknown)]])),ISNUMBER(Table1[[#This Row],[Birthweight (grams)]]),ISNUMBER(Table1[[#This Row],[Gestation (days)]])),TRUE,FALSE)</f>
        <v>0</v>
      </c>
      <c r="E6619" s="2" t="str">
        <f>IF(Table1[[#This Row],[Is Data Valid]]=TRUE,IF(Table1[[#This Row],[Fetal Sex (Male, Female or Unknown)]]="Male",Backend!$C$6,IF(Table1[[#This Row],[Fetal Sex (Male, Female or Unknown)]]="Female",Backend!$C$7,IF(Table1[[#This Row],[Fetal Sex (Male, Female or Unknown)]]="Unknown",Backend!$C$8,"Error"))),"")</f>
        <v/>
      </c>
      <c r="F6619" s="8" t="str">
        <f>IF(Table1[[#This Row],[Is Data Valid]]=TRUE,EXP(0.578+0.332*((Table1[[#This Row],[Gestation (days)]]+0.5)/7)-0.00354*((Table1[[#This Row],[Gestation (days)]]+0.5)/7)^2)*Table1[[#This Row],[BW40_3705]],"")</f>
        <v/>
      </c>
      <c r="G6619" s="2" t="str">
        <f>IF(Table1[[#This Row],[Is Data Valid]]=TRUE,((Table1[[#This Row],[Birthweight (grams)]]/Table1[[#This Row],[BW_GA]])-1)/(Backend!$B$4/100*Table1[[#This Row],[BW40_3705]]),"")</f>
        <v/>
      </c>
      <c r="H6619" s="7" t="str">
        <f>IF(Table1[[#This Row],[Is Data Valid]]=TRUE,((Table1[[#This Row],[Birthweight (grams)]]*0.9/Table1[[#This Row],[BW_GA]])-1)/(Backend!$B$4/100*Table1[[#This Row],[BW40_3705]]),"")</f>
        <v/>
      </c>
      <c r="I6619" s="7" t="str">
        <f>IF(Table1[[#This Row],[Is Data Valid]]=TRUE,((Table1[[#This Row],[Birthweight (grams)]]*1.1/Table1[[#This Row],[BW_GA]])-1)/(Backend!$B$4/100*Table1[[#This Row],[BW40_3705]]),"")</f>
        <v/>
      </c>
      <c r="J6619" s="7" t="str">
        <f>IF(Table1[[#This Row],[Is Data Valid]]=TRUE,_xlfn.NORM.S.DIST(Table1[[#This Row],[Birthweight Z-Score]],TRUE)*100,"")</f>
        <v/>
      </c>
      <c r="K6619" s="7" t="str">
        <f>IF(Table1[[#This Row],[Is Data Valid]]=TRUE,_xlfn.NORM.S.DIST(Table1[[#This Row],[Birthweight Z-Score (BW-10%)]],TRUE)*100,"")</f>
        <v/>
      </c>
      <c r="L6619" s="7" t="str">
        <f>IF(Table1[[#This Row],[Is Data Valid]]=TRUE,_xlfn.NORM.S.DIST(Table1[[#This Row],[Birthweight Z-Score (BW+10%)]],TRUE)*100,"")</f>
        <v/>
      </c>
    </row>
    <row r="6620" spans="1:12" x14ac:dyDescent="0.35">
      <c r="A6620" s="3"/>
      <c r="B6620" s="2"/>
      <c r="C6620" s="2"/>
      <c r="D6620" s="2" t="b">
        <f>IF(AND(NOT(ISBLANK(Table1[[#This Row],[Fetal Sex (Male, Female or Unknown)]])),ISNUMBER(Table1[[#This Row],[Birthweight (grams)]]),ISNUMBER(Table1[[#This Row],[Gestation (days)]])),TRUE,FALSE)</f>
        <v>0</v>
      </c>
      <c r="E6620" s="2" t="str">
        <f>IF(Table1[[#This Row],[Is Data Valid]]=TRUE,IF(Table1[[#This Row],[Fetal Sex (Male, Female or Unknown)]]="Male",Backend!$C$6,IF(Table1[[#This Row],[Fetal Sex (Male, Female or Unknown)]]="Female",Backend!$C$7,IF(Table1[[#This Row],[Fetal Sex (Male, Female or Unknown)]]="Unknown",Backend!$C$8,"Error"))),"")</f>
        <v/>
      </c>
      <c r="F6620" s="8" t="str">
        <f>IF(Table1[[#This Row],[Is Data Valid]]=TRUE,EXP(0.578+0.332*((Table1[[#This Row],[Gestation (days)]]+0.5)/7)-0.00354*((Table1[[#This Row],[Gestation (days)]]+0.5)/7)^2)*Table1[[#This Row],[BW40_3705]],"")</f>
        <v/>
      </c>
      <c r="G6620" s="2" t="str">
        <f>IF(Table1[[#This Row],[Is Data Valid]]=TRUE,((Table1[[#This Row],[Birthweight (grams)]]/Table1[[#This Row],[BW_GA]])-1)/(Backend!$B$4/100*Table1[[#This Row],[BW40_3705]]),"")</f>
        <v/>
      </c>
      <c r="H6620" s="7" t="str">
        <f>IF(Table1[[#This Row],[Is Data Valid]]=TRUE,((Table1[[#This Row],[Birthweight (grams)]]*0.9/Table1[[#This Row],[BW_GA]])-1)/(Backend!$B$4/100*Table1[[#This Row],[BW40_3705]]),"")</f>
        <v/>
      </c>
      <c r="I6620" s="7" t="str">
        <f>IF(Table1[[#This Row],[Is Data Valid]]=TRUE,((Table1[[#This Row],[Birthweight (grams)]]*1.1/Table1[[#This Row],[BW_GA]])-1)/(Backend!$B$4/100*Table1[[#This Row],[BW40_3705]]),"")</f>
        <v/>
      </c>
      <c r="J6620" s="7" t="str">
        <f>IF(Table1[[#This Row],[Is Data Valid]]=TRUE,_xlfn.NORM.S.DIST(Table1[[#This Row],[Birthweight Z-Score]],TRUE)*100,"")</f>
        <v/>
      </c>
      <c r="K6620" s="7" t="str">
        <f>IF(Table1[[#This Row],[Is Data Valid]]=TRUE,_xlfn.NORM.S.DIST(Table1[[#This Row],[Birthweight Z-Score (BW-10%)]],TRUE)*100,"")</f>
        <v/>
      </c>
      <c r="L6620" s="7" t="str">
        <f>IF(Table1[[#This Row],[Is Data Valid]]=TRUE,_xlfn.NORM.S.DIST(Table1[[#This Row],[Birthweight Z-Score (BW+10%)]],TRUE)*100,"")</f>
        <v/>
      </c>
    </row>
    <row r="6621" spans="1:12" x14ac:dyDescent="0.35">
      <c r="A6621" s="3"/>
      <c r="B6621" s="2"/>
      <c r="C6621" s="2"/>
      <c r="D6621" s="2" t="b">
        <f>IF(AND(NOT(ISBLANK(Table1[[#This Row],[Fetal Sex (Male, Female or Unknown)]])),ISNUMBER(Table1[[#This Row],[Birthweight (grams)]]),ISNUMBER(Table1[[#This Row],[Gestation (days)]])),TRUE,FALSE)</f>
        <v>0</v>
      </c>
      <c r="E6621" s="2" t="str">
        <f>IF(Table1[[#This Row],[Is Data Valid]]=TRUE,IF(Table1[[#This Row],[Fetal Sex (Male, Female or Unknown)]]="Male",Backend!$C$6,IF(Table1[[#This Row],[Fetal Sex (Male, Female or Unknown)]]="Female",Backend!$C$7,IF(Table1[[#This Row],[Fetal Sex (Male, Female or Unknown)]]="Unknown",Backend!$C$8,"Error"))),"")</f>
        <v/>
      </c>
      <c r="F6621" s="8" t="str">
        <f>IF(Table1[[#This Row],[Is Data Valid]]=TRUE,EXP(0.578+0.332*((Table1[[#This Row],[Gestation (days)]]+0.5)/7)-0.00354*((Table1[[#This Row],[Gestation (days)]]+0.5)/7)^2)*Table1[[#This Row],[BW40_3705]],"")</f>
        <v/>
      </c>
      <c r="G6621" s="2" t="str">
        <f>IF(Table1[[#This Row],[Is Data Valid]]=TRUE,((Table1[[#This Row],[Birthweight (grams)]]/Table1[[#This Row],[BW_GA]])-1)/(Backend!$B$4/100*Table1[[#This Row],[BW40_3705]]),"")</f>
        <v/>
      </c>
      <c r="H6621" s="7" t="str">
        <f>IF(Table1[[#This Row],[Is Data Valid]]=TRUE,((Table1[[#This Row],[Birthweight (grams)]]*0.9/Table1[[#This Row],[BW_GA]])-1)/(Backend!$B$4/100*Table1[[#This Row],[BW40_3705]]),"")</f>
        <v/>
      </c>
      <c r="I6621" s="7" t="str">
        <f>IF(Table1[[#This Row],[Is Data Valid]]=TRUE,((Table1[[#This Row],[Birthweight (grams)]]*1.1/Table1[[#This Row],[BW_GA]])-1)/(Backend!$B$4/100*Table1[[#This Row],[BW40_3705]]),"")</f>
        <v/>
      </c>
      <c r="J6621" s="7" t="str">
        <f>IF(Table1[[#This Row],[Is Data Valid]]=TRUE,_xlfn.NORM.S.DIST(Table1[[#This Row],[Birthweight Z-Score]],TRUE)*100,"")</f>
        <v/>
      </c>
      <c r="K6621" s="7" t="str">
        <f>IF(Table1[[#This Row],[Is Data Valid]]=TRUE,_xlfn.NORM.S.DIST(Table1[[#This Row],[Birthweight Z-Score (BW-10%)]],TRUE)*100,"")</f>
        <v/>
      </c>
      <c r="L6621" s="7" t="str">
        <f>IF(Table1[[#This Row],[Is Data Valid]]=TRUE,_xlfn.NORM.S.DIST(Table1[[#This Row],[Birthweight Z-Score (BW+10%)]],TRUE)*100,"")</f>
        <v/>
      </c>
    </row>
    <row r="6622" spans="1:12" x14ac:dyDescent="0.35">
      <c r="A6622" s="3"/>
      <c r="B6622" s="2"/>
      <c r="C6622" s="2"/>
      <c r="D6622" s="2" t="b">
        <f>IF(AND(NOT(ISBLANK(Table1[[#This Row],[Fetal Sex (Male, Female or Unknown)]])),ISNUMBER(Table1[[#This Row],[Birthweight (grams)]]),ISNUMBER(Table1[[#This Row],[Gestation (days)]])),TRUE,FALSE)</f>
        <v>0</v>
      </c>
      <c r="E6622" s="2" t="str">
        <f>IF(Table1[[#This Row],[Is Data Valid]]=TRUE,IF(Table1[[#This Row],[Fetal Sex (Male, Female or Unknown)]]="Male",Backend!$C$6,IF(Table1[[#This Row],[Fetal Sex (Male, Female or Unknown)]]="Female",Backend!$C$7,IF(Table1[[#This Row],[Fetal Sex (Male, Female or Unknown)]]="Unknown",Backend!$C$8,"Error"))),"")</f>
        <v/>
      </c>
      <c r="F6622" s="8" t="str">
        <f>IF(Table1[[#This Row],[Is Data Valid]]=TRUE,EXP(0.578+0.332*((Table1[[#This Row],[Gestation (days)]]+0.5)/7)-0.00354*((Table1[[#This Row],[Gestation (days)]]+0.5)/7)^2)*Table1[[#This Row],[BW40_3705]],"")</f>
        <v/>
      </c>
      <c r="G6622" s="2" t="str">
        <f>IF(Table1[[#This Row],[Is Data Valid]]=TRUE,((Table1[[#This Row],[Birthweight (grams)]]/Table1[[#This Row],[BW_GA]])-1)/(Backend!$B$4/100*Table1[[#This Row],[BW40_3705]]),"")</f>
        <v/>
      </c>
      <c r="H6622" s="7" t="str">
        <f>IF(Table1[[#This Row],[Is Data Valid]]=TRUE,((Table1[[#This Row],[Birthweight (grams)]]*0.9/Table1[[#This Row],[BW_GA]])-1)/(Backend!$B$4/100*Table1[[#This Row],[BW40_3705]]),"")</f>
        <v/>
      </c>
      <c r="I6622" s="7" t="str">
        <f>IF(Table1[[#This Row],[Is Data Valid]]=TRUE,((Table1[[#This Row],[Birthweight (grams)]]*1.1/Table1[[#This Row],[BW_GA]])-1)/(Backend!$B$4/100*Table1[[#This Row],[BW40_3705]]),"")</f>
        <v/>
      </c>
      <c r="J6622" s="7" t="str">
        <f>IF(Table1[[#This Row],[Is Data Valid]]=TRUE,_xlfn.NORM.S.DIST(Table1[[#This Row],[Birthweight Z-Score]],TRUE)*100,"")</f>
        <v/>
      </c>
      <c r="K6622" s="7" t="str">
        <f>IF(Table1[[#This Row],[Is Data Valid]]=TRUE,_xlfn.NORM.S.DIST(Table1[[#This Row],[Birthweight Z-Score (BW-10%)]],TRUE)*100,"")</f>
        <v/>
      </c>
      <c r="L6622" s="7" t="str">
        <f>IF(Table1[[#This Row],[Is Data Valid]]=TRUE,_xlfn.NORM.S.DIST(Table1[[#This Row],[Birthweight Z-Score (BW+10%)]],TRUE)*100,"")</f>
        <v/>
      </c>
    </row>
    <row r="6623" spans="1:12" x14ac:dyDescent="0.35">
      <c r="A6623" s="3"/>
      <c r="B6623" s="2"/>
      <c r="C6623" s="2"/>
      <c r="D6623" s="2" t="b">
        <f>IF(AND(NOT(ISBLANK(Table1[[#This Row],[Fetal Sex (Male, Female or Unknown)]])),ISNUMBER(Table1[[#This Row],[Birthweight (grams)]]),ISNUMBER(Table1[[#This Row],[Gestation (days)]])),TRUE,FALSE)</f>
        <v>0</v>
      </c>
      <c r="E6623" s="2" t="str">
        <f>IF(Table1[[#This Row],[Is Data Valid]]=TRUE,IF(Table1[[#This Row],[Fetal Sex (Male, Female or Unknown)]]="Male",Backend!$C$6,IF(Table1[[#This Row],[Fetal Sex (Male, Female or Unknown)]]="Female",Backend!$C$7,IF(Table1[[#This Row],[Fetal Sex (Male, Female or Unknown)]]="Unknown",Backend!$C$8,"Error"))),"")</f>
        <v/>
      </c>
      <c r="F6623" s="8" t="str">
        <f>IF(Table1[[#This Row],[Is Data Valid]]=TRUE,EXP(0.578+0.332*((Table1[[#This Row],[Gestation (days)]]+0.5)/7)-0.00354*((Table1[[#This Row],[Gestation (days)]]+0.5)/7)^2)*Table1[[#This Row],[BW40_3705]],"")</f>
        <v/>
      </c>
      <c r="G6623" s="2" t="str">
        <f>IF(Table1[[#This Row],[Is Data Valid]]=TRUE,((Table1[[#This Row],[Birthweight (grams)]]/Table1[[#This Row],[BW_GA]])-1)/(Backend!$B$4/100*Table1[[#This Row],[BW40_3705]]),"")</f>
        <v/>
      </c>
      <c r="H6623" s="7" t="str">
        <f>IF(Table1[[#This Row],[Is Data Valid]]=TRUE,((Table1[[#This Row],[Birthweight (grams)]]*0.9/Table1[[#This Row],[BW_GA]])-1)/(Backend!$B$4/100*Table1[[#This Row],[BW40_3705]]),"")</f>
        <v/>
      </c>
      <c r="I6623" s="7" t="str">
        <f>IF(Table1[[#This Row],[Is Data Valid]]=TRUE,((Table1[[#This Row],[Birthweight (grams)]]*1.1/Table1[[#This Row],[BW_GA]])-1)/(Backend!$B$4/100*Table1[[#This Row],[BW40_3705]]),"")</f>
        <v/>
      </c>
      <c r="J6623" s="7" t="str">
        <f>IF(Table1[[#This Row],[Is Data Valid]]=TRUE,_xlfn.NORM.S.DIST(Table1[[#This Row],[Birthweight Z-Score]],TRUE)*100,"")</f>
        <v/>
      </c>
      <c r="K6623" s="7" t="str">
        <f>IF(Table1[[#This Row],[Is Data Valid]]=TRUE,_xlfn.NORM.S.DIST(Table1[[#This Row],[Birthweight Z-Score (BW-10%)]],TRUE)*100,"")</f>
        <v/>
      </c>
      <c r="L6623" s="7" t="str">
        <f>IF(Table1[[#This Row],[Is Data Valid]]=TRUE,_xlfn.NORM.S.DIST(Table1[[#This Row],[Birthweight Z-Score (BW+10%)]],TRUE)*100,"")</f>
        <v/>
      </c>
    </row>
    <row r="6624" spans="1:12" x14ac:dyDescent="0.35">
      <c r="A6624" s="3"/>
      <c r="B6624" s="2"/>
      <c r="C6624" s="2"/>
      <c r="D6624" s="2" t="b">
        <f>IF(AND(NOT(ISBLANK(Table1[[#This Row],[Fetal Sex (Male, Female or Unknown)]])),ISNUMBER(Table1[[#This Row],[Birthweight (grams)]]),ISNUMBER(Table1[[#This Row],[Gestation (days)]])),TRUE,FALSE)</f>
        <v>0</v>
      </c>
      <c r="E6624" s="2" t="str">
        <f>IF(Table1[[#This Row],[Is Data Valid]]=TRUE,IF(Table1[[#This Row],[Fetal Sex (Male, Female or Unknown)]]="Male",Backend!$C$6,IF(Table1[[#This Row],[Fetal Sex (Male, Female or Unknown)]]="Female",Backend!$C$7,IF(Table1[[#This Row],[Fetal Sex (Male, Female or Unknown)]]="Unknown",Backend!$C$8,"Error"))),"")</f>
        <v/>
      </c>
      <c r="F6624" s="8" t="str">
        <f>IF(Table1[[#This Row],[Is Data Valid]]=TRUE,EXP(0.578+0.332*((Table1[[#This Row],[Gestation (days)]]+0.5)/7)-0.00354*((Table1[[#This Row],[Gestation (days)]]+0.5)/7)^2)*Table1[[#This Row],[BW40_3705]],"")</f>
        <v/>
      </c>
      <c r="G6624" s="2" t="str">
        <f>IF(Table1[[#This Row],[Is Data Valid]]=TRUE,((Table1[[#This Row],[Birthweight (grams)]]/Table1[[#This Row],[BW_GA]])-1)/(Backend!$B$4/100*Table1[[#This Row],[BW40_3705]]),"")</f>
        <v/>
      </c>
      <c r="H6624" s="7" t="str">
        <f>IF(Table1[[#This Row],[Is Data Valid]]=TRUE,((Table1[[#This Row],[Birthweight (grams)]]*0.9/Table1[[#This Row],[BW_GA]])-1)/(Backend!$B$4/100*Table1[[#This Row],[BW40_3705]]),"")</f>
        <v/>
      </c>
      <c r="I6624" s="7" t="str">
        <f>IF(Table1[[#This Row],[Is Data Valid]]=TRUE,((Table1[[#This Row],[Birthweight (grams)]]*1.1/Table1[[#This Row],[BW_GA]])-1)/(Backend!$B$4/100*Table1[[#This Row],[BW40_3705]]),"")</f>
        <v/>
      </c>
      <c r="J6624" s="7" t="str">
        <f>IF(Table1[[#This Row],[Is Data Valid]]=TRUE,_xlfn.NORM.S.DIST(Table1[[#This Row],[Birthweight Z-Score]],TRUE)*100,"")</f>
        <v/>
      </c>
      <c r="K6624" s="7" t="str">
        <f>IF(Table1[[#This Row],[Is Data Valid]]=TRUE,_xlfn.NORM.S.DIST(Table1[[#This Row],[Birthweight Z-Score (BW-10%)]],TRUE)*100,"")</f>
        <v/>
      </c>
      <c r="L6624" s="7" t="str">
        <f>IF(Table1[[#This Row],[Is Data Valid]]=TRUE,_xlfn.NORM.S.DIST(Table1[[#This Row],[Birthweight Z-Score (BW+10%)]],TRUE)*100,"")</f>
        <v/>
      </c>
    </row>
    <row r="6625" spans="1:12" x14ac:dyDescent="0.35">
      <c r="A6625" s="3"/>
      <c r="B6625" s="2"/>
      <c r="C6625" s="2"/>
      <c r="D6625" s="2" t="b">
        <f>IF(AND(NOT(ISBLANK(Table1[[#This Row],[Fetal Sex (Male, Female or Unknown)]])),ISNUMBER(Table1[[#This Row],[Birthweight (grams)]]),ISNUMBER(Table1[[#This Row],[Gestation (days)]])),TRUE,FALSE)</f>
        <v>0</v>
      </c>
      <c r="E6625" s="2" t="str">
        <f>IF(Table1[[#This Row],[Is Data Valid]]=TRUE,IF(Table1[[#This Row],[Fetal Sex (Male, Female or Unknown)]]="Male",Backend!$C$6,IF(Table1[[#This Row],[Fetal Sex (Male, Female or Unknown)]]="Female",Backend!$C$7,IF(Table1[[#This Row],[Fetal Sex (Male, Female or Unknown)]]="Unknown",Backend!$C$8,"Error"))),"")</f>
        <v/>
      </c>
      <c r="F6625" s="8" t="str">
        <f>IF(Table1[[#This Row],[Is Data Valid]]=TRUE,EXP(0.578+0.332*((Table1[[#This Row],[Gestation (days)]]+0.5)/7)-0.00354*((Table1[[#This Row],[Gestation (days)]]+0.5)/7)^2)*Table1[[#This Row],[BW40_3705]],"")</f>
        <v/>
      </c>
      <c r="G6625" s="2" t="str">
        <f>IF(Table1[[#This Row],[Is Data Valid]]=TRUE,((Table1[[#This Row],[Birthweight (grams)]]/Table1[[#This Row],[BW_GA]])-1)/(Backend!$B$4/100*Table1[[#This Row],[BW40_3705]]),"")</f>
        <v/>
      </c>
      <c r="H6625" s="7" t="str">
        <f>IF(Table1[[#This Row],[Is Data Valid]]=TRUE,((Table1[[#This Row],[Birthweight (grams)]]*0.9/Table1[[#This Row],[BW_GA]])-1)/(Backend!$B$4/100*Table1[[#This Row],[BW40_3705]]),"")</f>
        <v/>
      </c>
      <c r="I6625" s="7" t="str">
        <f>IF(Table1[[#This Row],[Is Data Valid]]=TRUE,((Table1[[#This Row],[Birthweight (grams)]]*1.1/Table1[[#This Row],[BW_GA]])-1)/(Backend!$B$4/100*Table1[[#This Row],[BW40_3705]]),"")</f>
        <v/>
      </c>
      <c r="J6625" s="7" t="str">
        <f>IF(Table1[[#This Row],[Is Data Valid]]=TRUE,_xlfn.NORM.S.DIST(Table1[[#This Row],[Birthweight Z-Score]],TRUE)*100,"")</f>
        <v/>
      </c>
      <c r="K6625" s="7" t="str">
        <f>IF(Table1[[#This Row],[Is Data Valid]]=TRUE,_xlfn.NORM.S.DIST(Table1[[#This Row],[Birthweight Z-Score (BW-10%)]],TRUE)*100,"")</f>
        <v/>
      </c>
      <c r="L6625" s="7" t="str">
        <f>IF(Table1[[#This Row],[Is Data Valid]]=TRUE,_xlfn.NORM.S.DIST(Table1[[#This Row],[Birthweight Z-Score (BW+10%)]],TRUE)*100,"")</f>
        <v/>
      </c>
    </row>
    <row r="6626" spans="1:12" x14ac:dyDescent="0.35">
      <c r="A6626" s="3"/>
      <c r="B6626" s="2"/>
      <c r="C6626" s="2"/>
      <c r="D6626" s="2" t="b">
        <f>IF(AND(NOT(ISBLANK(Table1[[#This Row],[Fetal Sex (Male, Female or Unknown)]])),ISNUMBER(Table1[[#This Row],[Birthweight (grams)]]),ISNUMBER(Table1[[#This Row],[Gestation (days)]])),TRUE,FALSE)</f>
        <v>0</v>
      </c>
      <c r="E6626" s="2" t="str">
        <f>IF(Table1[[#This Row],[Is Data Valid]]=TRUE,IF(Table1[[#This Row],[Fetal Sex (Male, Female or Unknown)]]="Male",Backend!$C$6,IF(Table1[[#This Row],[Fetal Sex (Male, Female or Unknown)]]="Female",Backend!$C$7,IF(Table1[[#This Row],[Fetal Sex (Male, Female or Unknown)]]="Unknown",Backend!$C$8,"Error"))),"")</f>
        <v/>
      </c>
      <c r="F6626" s="8" t="str">
        <f>IF(Table1[[#This Row],[Is Data Valid]]=TRUE,EXP(0.578+0.332*((Table1[[#This Row],[Gestation (days)]]+0.5)/7)-0.00354*((Table1[[#This Row],[Gestation (days)]]+0.5)/7)^2)*Table1[[#This Row],[BW40_3705]],"")</f>
        <v/>
      </c>
      <c r="G6626" s="2" t="str">
        <f>IF(Table1[[#This Row],[Is Data Valid]]=TRUE,((Table1[[#This Row],[Birthweight (grams)]]/Table1[[#This Row],[BW_GA]])-1)/(Backend!$B$4/100*Table1[[#This Row],[BW40_3705]]),"")</f>
        <v/>
      </c>
      <c r="H6626" s="7" t="str">
        <f>IF(Table1[[#This Row],[Is Data Valid]]=TRUE,((Table1[[#This Row],[Birthweight (grams)]]*0.9/Table1[[#This Row],[BW_GA]])-1)/(Backend!$B$4/100*Table1[[#This Row],[BW40_3705]]),"")</f>
        <v/>
      </c>
      <c r="I6626" s="7" t="str">
        <f>IF(Table1[[#This Row],[Is Data Valid]]=TRUE,((Table1[[#This Row],[Birthweight (grams)]]*1.1/Table1[[#This Row],[BW_GA]])-1)/(Backend!$B$4/100*Table1[[#This Row],[BW40_3705]]),"")</f>
        <v/>
      </c>
      <c r="J6626" s="7" t="str">
        <f>IF(Table1[[#This Row],[Is Data Valid]]=TRUE,_xlfn.NORM.S.DIST(Table1[[#This Row],[Birthweight Z-Score]],TRUE)*100,"")</f>
        <v/>
      </c>
      <c r="K6626" s="7" t="str">
        <f>IF(Table1[[#This Row],[Is Data Valid]]=TRUE,_xlfn.NORM.S.DIST(Table1[[#This Row],[Birthweight Z-Score (BW-10%)]],TRUE)*100,"")</f>
        <v/>
      </c>
      <c r="L6626" s="7" t="str">
        <f>IF(Table1[[#This Row],[Is Data Valid]]=TRUE,_xlfn.NORM.S.DIST(Table1[[#This Row],[Birthweight Z-Score (BW+10%)]],TRUE)*100,"")</f>
        <v/>
      </c>
    </row>
    <row r="6627" spans="1:12" x14ac:dyDescent="0.35">
      <c r="A6627" s="3"/>
      <c r="B6627" s="2"/>
      <c r="C6627" s="2"/>
      <c r="D6627" s="2" t="b">
        <f>IF(AND(NOT(ISBLANK(Table1[[#This Row],[Fetal Sex (Male, Female or Unknown)]])),ISNUMBER(Table1[[#This Row],[Birthweight (grams)]]),ISNUMBER(Table1[[#This Row],[Gestation (days)]])),TRUE,FALSE)</f>
        <v>0</v>
      </c>
      <c r="E6627" s="2" t="str">
        <f>IF(Table1[[#This Row],[Is Data Valid]]=TRUE,IF(Table1[[#This Row],[Fetal Sex (Male, Female or Unknown)]]="Male",Backend!$C$6,IF(Table1[[#This Row],[Fetal Sex (Male, Female or Unknown)]]="Female",Backend!$C$7,IF(Table1[[#This Row],[Fetal Sex (Male, Female or Unknown)]]="Unknown",Backend!$C$8,"Error"))),"")</f>
        <v/>
      </c>
      <c r="F6627" s="8" t="str">
        <f>IF(Table1[[#This Row],[Is Data Valid]]=TRUE,EXP(0.578+0.332*((Table1[[#This Row],[Gestation (days)]]+0.5)/7)-0.00354*((Table1[[#This Row],[Gestation (days)]]+0.5)/7)^2)*Table1[[#This Row],[BW40_3705]],"")</f>
        <v/>
      </c>
      <c r="G6627" s="2" t="str">
        <f>IF(Table1[[#This Row],[Is Data Valid]]=TRUE,((Table1[[#This Row],[Birthweight (grams)]]/Table1[[#This Row],[BW_GA]])-1)/(Backend!$B$4/100*Table1[[#This Row],[BW40_3705]]),"")</f>
        <v/>
      </c>
      <c r="H6627" s="7" t="str">
        <f>IF(Table1[[#This Row],[Is Data Valid]]=TRUE,((Table1[[#This Row],[Birthweight (grams)]]*0.9/Table1[[#This Row],[BW_GA]])-1)/(Backend!$B$4/100*Table1[[#This Row],[BW40_3705]]),"")</f>
        <v/>
      </c>
      <c r="I6627" s="7" t="str">
        <f>IF(Table1[[#This Row],[Is Data Valid]]=TRUE,((Table1[[#This Row],[Birthweight (grams)]]*1.1/Table1[[#This Row],[BW_GA]])-1)/(Backend!$B$4/100*Table1[[#This Row],[BW40_3705]]),"")</f>
        <v/>
      </c>
      <c r="J6627" s="7" t="str">
        <f>IF(Table1[[#This Row],[Is Data Valid]]=TRUE,_xlfn.NORM.S.DIST(Table1[[#This Row],[Birthweight Z-Score]],TRUE)*100,"")</f>
        <v/>
      </c>
      <c r="K6627" s="7" t="str">
        <f>IF(Table1[[#This Row],[Is Data Valid]]=TRUE,_xlfn.NORM.S.DIST(Table1[[#This Row],[Birthweight Z-Score (BW-10%)]],TRUE)*100,"")</f>
        <v/>
      </c>
      <c r="L6627" s="7" t="str">
        <f>IF(Table1[[#This Row],[Is Data Valid]]=TRUE,_xlfn.NORM.S.DIST(Table1[[#This Row],[Birthweight Z-Score (BW+10%)]],TRUE)*100,"")</f>
        <v/>
      </c>
    </row>
    <row r="6628" spans="1:12" x14ac:dyDescent="0.35">
      <c r="A6628" s="3"/>
      <c r="B6628" s="2"/>
      <c r="C6628" s="2"/>
      <c r="D6628" s="2" t="b">
        <f>IF(AND(NOT(ISBLANK(Table1[[#This Row],[Fetal Sex (Male, Female or Unknown)]])),ISNUMBER(Table1[[#This Row],[Birthweight (grams)]]),ISNUMBER(Table1[[#This Row],[Gestation (days)]])),TRUE,FALSE)</f>
        <v>0</v>
      </c>
      <c r="E6628" s="2" t="str">
        <f>IF(Table1[[#This Row],[Is Data Valid]]=TRUE,IF(Table1[[#This Row],[Fetal Sex (Male, Female or Unknown)]]="Male",Backend!$C$6,IF(Table1[[#This Row],[Fetal Sex (Male, Female or Unknown)]]="Female",Backend!$C$7,IF(Table1[[#This Row],[Fetal Sex (Male, Female or Unknown)]]="Unknown",Backend!$C$8,"Error"))),"")</f>
        <v/>
      </c>
      <c r="F6628" s="8" t="str">
        <f>IF(Table1[[#This Row],[Is Data Valid]]=TRUE,EXP(0.578+0.332*((Table1[[#This Row],[Gestation (days)]]+0.5)/7)-0.00354*((Table1[[#This Row],[Gestation (days)]]+0.5)/7)^2)*Table1[[#This Row],[BW40_3705]],"")</f>
        <v/>
      </c>
      <c r="G6628" s="2" t="str">
        <f>IF(Table1[[#This Row],[Is Data Valid]]=TRUE,((Table1[[#This Row],[Birthweight (grams)]]/Table1[[#This Row],[BW_GA]])-1)/(Backend!$B$4/100*Table1[[#This Row],[BW40_3705]]),"")</f>
        <v/>
      </c>
      <c r="H6628" s="7" t="str">
        <f>IF(Table1[[#This Row],[Is Data Valid]]=TRUE,((Table1[[#This Row],[Birthweight (grams)]]*0.9/Table1[[#This Row],[BW_GA]])-1)/(Backend!$B$4/100*Table1[[#This Row],[BW40_3705]]),"")</f>
        <v/>
      </c>
      <c r="I6628" s="7" t="str">
        <f>IF(Table1[[#This Row],[Is Data Valid]]=TRUE,((Table1[[#This Row],[Birthweight (grams)]]*1.1/Table1[[#This Row],[BW_GA]])-1)/(Backend!$B$4/100*Table1[[#This Row],[BW40_3705]]),"")</f>
        <v/>
      </c>
      <c r="J6628" s="7" t="str">
        <f>IF(Table1[[#This Row],[Is Data Valid]]=TRUE,_xlfn.NORM.S.DIST(Table1[[#This Row],[Birthweight Z-Score]],TRUE)*100,"")</f>
        <v/>
      </c>
      <c r="K6628" s="7" t="str">
        <f>IF(Table1[[#This Row],[Is Data Valid]]=TRUE,_xlfn.NORM.S.DIST(Table1[[#This Row],[Birthweight Z-Score (BW-10%)]],TRUE)*100,"")</f>
        <v/>
      </c>
      <c r="L6628" s="7" t="str">
        <f>IF(Table1[[#This Row],[Is Data Valid]]=TRUE,_xlfn.NORM.S.DIST(Table1[[#This Row],[Birthweight Z-Score (BW+10%)]],TRUE)*100,"")</f>
        <v/>
      </c>
    </row>
    <row r="6629" spans="1:12" x14ac:dyDescent="0.35">
      <c r="A6629" s="3"/>
      <c r="B6629" s="2"/>
      <c r="C6629" s="2"/>
      <c r="D6629" s="2" t="b">
        <f>IF(AND(NOT(ISBLANK(Table1[[#This Row],[Fetal Sex (Male, Female or Unknown)]])),ISNUMBER(Table1[[#This Row],[Birthweight (grams)]]),ISNUMBER(Table1[[#This Row],[Gestation (days)]])),TRUE,FALSE)</f>
        <v>0</v>
      </c>
      <c r="E6629" s="2" t="str">
        <f>IF(Table1[[#This Row],[Is Data Valid]]=TRUE,IF(Table1[[#This Row],[Fetal Sex (Male, Female or Unknown)]]="Male",Backend!$C$6,IF(Table1[[#This Row],[Fetal Sex (Male, Female or Unknown)]]="Female",Backend!$C$7,IF(Table1[[#This Row],[Fetal Sex (Male, Female or Unknown)]]="Unknown",Backend!$C$8,"Error"))),"")</f>
        <v/>
      </c>
      <c r="F6629" s="8" t="str">
        <f>IF(Table1[[#This Row],[Is Data Valid]]=TRUE,EXP(0.578+0.332*((Table1[[#This Row],[Gestation (days)]]+0.5)/7)-0.00354*((Table1[[#This Row],[Gestation (days)]]+0.5)/7)^2)*Table1[[#This Row],[BW40_3705]],"")</f>
        <v/>
      </c>
      <c r="G6629" s="2" t="str">
        <f>IF(Table1[[#This Row],[Is Data Valid]]=TRUE,((Table1[[#This Row],[Birthweight (grams)]]/Table1[[#This Row],[BW_GA]])-1)/(Backend!$B$4/100*Table1[[#This Row],[BW40_3705]]),"")</f>
        <v/>
      </c>
      <c r="H6629" s="7" t="str">
        <f>IF(Table1[[#This Row],[Is Data Valid]]=TRUE,((Table1[[#This Row],[Birthweight (grams)]]*0.9/Table1[[#This Row],[BW_GA]])-1)/(Backend!$B$4/100*Table1[[#This Row],[BW40_3705]]),"")</f>
        <v/>
      </c>
      <c r="I6629" s="7" t="str">
        <f>IF(Table1[[#This Row],[Is Data Valid]]=TRUE,((Table1[[#This Row],[Birthweight (grams)]]*1.1/Table1[[#This Row],[BW_GA]])-1)/(Backend!$B$4/100*Table1[[#This Row],[BW40_3705]]),"")</f>
        <v/>
      </c>
      <c r="J6629" s="7" t="str">
        <f>IF(Table1[[#This Row],[Is Data Valid]]=TRUE,_xlfn.NORM.S.DIST(Table1[[#This Row],[Birthweight Z-Score]],TRUE)*100,"")</f>
        <v/>
      </c>
      <c r="K6629" s="7" t="str">
        <f>IF(Table1[[#This Row],[Is Data Valid]]=TRUE,_xlfn.NORM.S.DIST(Table1[[#This Row],[Birthweight Z-Score (BW-10%)]],TRUE)*100,"")</f>
        <v/>
      </c>
      <c r="L6629" s="7" t="str">
        <f>IF(Table1[[#This Row],[Is Data Valid]]=TRUE,_xlfn.NORM.S.DIST(Table1[[#This Row],[Birthweight Z-Score (BW+10%)]],TRUE)*100,"")</f>
        <v/>
      </c>
    </row>
    <row r="6630" spans="1:12" x14ac:dyDescent="0.35">
      <c r="A6630" s="3"/>
      <c r="B6630" s="2"/>
      <c r="C6630" s="2"/>
      <c r="D6630" s="2" t="b">
        <f>IF(AND(NOT(ISBLANK(Table1[[#This Row],[Fetal Sex (Male, Female or Unknown)]])),ISNUMBER(Table1[[#This Row],[Birthweight (grams)]]),ISNUMBER(Table1[[#This Row],[Gestation (days)]])),TRUE,FALSE)</f>
        <v>0</v>
      </c>
      <c r="E6630" s="2" t="str">
        <f>IF(Table1[[#This Row],[Is Data Valid]]=TRUE,IF(Table1[[#This Row],[Fetal Sex (Male, Female or Unknown)]]="Male",Backend!$C$6,IF(Table1[[#This Row],[Fetal Sex (Male, Female or Unknown)]]="Female",Backend!$C$7,IF(Table1[[#This Row],[Fetal Sex (Male, Female or Unknown)]]="Unknown",Backend!$C$8,"Error"))),"")</f>
        <v/>
      </c>
      <c r="F6630" s="8" t="str">
        <f>IF(Table1[[#This Row],[Is Data Valid]]=TRUE,EXP(0.578+0.332*((Table1[[#This Row],[Gestation (days)]]+0.5)/7)-0.00354*((Table1[[#This Row],[Gestation (days)]]+0.5)/7)^2)*Table1[[#This Row],[BW40_3705]],"")</f>
        <v/>
      </c>
      <c r="G6630" s="2" t="str">
        <f>IF(Table1[[#This Row],[Is Data Valid]]=TRUE,((Table1[[#This Row],[Birthweight (grams)]]/Table1[[#This Row],[BW_GA]])-1)/(Backend!$B$4/100*Table1[[#This Row],[BW40_3705]]),"")</f>
        <v/>
      </c>
      <c r="H6630" s="7" t="str">
        <f>IF(Table1[[#This Row],[Is Data Valid]]=TRUE,((Table1[[#This Row],[Birthweight (grams)]]*0.9/Table1[[#This Row],[BW_GA]])-1)/(Backend!$B$4/100*Table1[[#This Row],[BW40_3705]]),"")</f>
        <v/>
      </c>
      <c r="I6630" s="7" t="str">
        <f>IF(Table1[[#This Row],[Is Data Valid]]=TRUE,((Table1[[#This Row],[Birthweight (grams)]]*1.1/Table1[[#This Row],[BW_GA]])-1)/(Backend!$B$4/100*Table1[[#This Row],[BW40_3705]]),"")</f>
        <v/>
      </c>
      <c r="J6630" s="7" t="str">
        <f>IF(Table1[[#This Row],[Is Data Valid]]=TRUE,_xlfn.NORM.S.DIST(Table1[[#This Row],[Birthweight Z-Score]],TRUE)*100,"")</f>
        <v/>
      </c>
      <c r="K6630" s="7" t="str">
        <f>IF(Table1[[#This Row],[Is Data Valid]]=TRUE,_xlfn.NORM.S.DIST(Table1[[#This Row],[Birthweight Z-Score (BW-10%)]],TRUE)*100,"")</f>
        <v/>
      </c>
      <c r="L6630" s="7" t="str">
        <f>IF(Table1[[#This Row],[Is Data Valid]]=TRUE,_xlfn.NORM.S.DIST(Table1[[#This Row],[Birthweight Z-Score (BW+10%)]],TRUE)*100,"")</f>
        <v/>
      </c>
    </row>
    <row r="6631" spans="1:12" x14ac:dyDescent="0.35">
      <c r="A6631" s="3"/>
      <c r="B6631" s="2"/>
      <c r="C6631" s="2"/>
      <c r="D6631" s="2" t="b">
        <f>IF(AND(NOT(ISBLANK(Table1[[#This Row],[Fetal Sex (Male, Female or Unknown)]])),ISNUMBER(Table1[[#This Row],[Birthweight (grams)]]),ISNUMBER(Table1[[#This Row],[Gestation (days)]])),TRUE,FALSE)</f>
        <v>0</v>
      </c>
      <c r="E6631" s="2" t="str">
        <f>IF(Table1[[#This Row],[Is Data Valid]]=TRUE,IF(Table1[[#This Row],[Fetal Sex (Male, Female or Unknown)]]="Male",Backend!$C$6,IF(Table1[[#This Row],[Fetal Sex (Male, Female or Unknown)]]="Female",Backend!$C$7,IF(Table1[[#This Row],[Fetal Sex (Male, Female or Unknown)]]="Unknown",Backend!$C$8,"Error"))),"")</f>
        <v/>
      </c>
      <c r="F6631" s="8" t="str">
        <f>IF(Table1[[#This Row],[Is Data Valid]]=TRUE,EXP(0.578+0.332*((Table1[[#This Row],[Gestation (days)]]+0.5)/7)-0.00354*((Table1[[#This Row],[Gestation (days)]]+0.5)/7)^2)*Table1[[#This Row],[BW40_3705]],"")</f>
        <v/>
      </c>
      <c r="G6631" s="2" t="str">
        <f>IF(Table1[[#This Row],[Is Data Valid]]=TRUE,((Table1[[#This Row],[Birthweight (grams)]]/Table1[[#This Row],[BW_GA]])-1)/(Backend!$B$4/100*Table1[[#This Row],[BW40_3705]]),"")</f>
        <v/>
      </c>
      <c r="H6631" s="7" t="str">
        <f>IF(Table1[[#This Row],[Is Data Valid]]=TRUE,((Table1[[#This Row],[Birthweight (grams)]]*0.9/Table1[[#This Row],[BW_GA]])-1)/(Backend!$B$4/100*Table1[[#This Row],[BW40_3705]]),"")</f>
        <v/>
      </c>
      <c r="I6631" s="7" t="str">
        <f>IF(Table1[[#This Row],[Is Data Valid]]=TRUE,((Table1[[#This Row],[Birthweight (grams)]]*1.1/Table1[[#This Row],[BW_GA]])-1)/(Backend!$B$4/100*Table1[[#This Row],[BW40_3705]]),"")</f>
        <v/>
      </c>
      <c r="J6631" s="7" t="str">
        <f>IF(Table1[[#This Row],[Is Data Valid]]=TRUE,_xlfn.NORM.S.DIST(Table1[[#This Row],[Birthweight Z-Score]],TRUE)*100,"")</f>
        <v/>
      </c>
      <c r="K6631" s="7" t="str">
        <f>IF(Table1[[#This Row],[Is Data Valid]]=TRUE,_xlfn.NORM.S.DIST(Table1[[#This Row],[Birthweight Z-Score (BW-10%)]],TRUE)*100,"")</f>
        <v/>
      </c>
      <c r="L6631" s="7" t="str">
        <f>IF(Table1[[#This Row],[Is Data Valid]]=TRUE,_xlfn.NORM.S.DIST(Table1[[#This Row],[Birthweight Z-Score (BW+10%)]],TRUE)*100,"")</f>
        <v/>
      </c>
    </row>
    <row r="6632" spans="1:12" x14ac:dyDescent="0.35">
      <c r="A6632" s="3"/>
      <c r="B6632" s="2"/>
      <c r="C6632" s="2"/>
      <c r="D6632" s="2" t="b">
        <f>IF(AND(NOT(ISBLANK(Table1[[#This Row],[Fetal Sex (Male, Female or Unknown)]])),ISNUMBER(Table1[[#This Row],[Birthweight (grams)]]),ISNUMBER(Table1[[#This Row],[Gestation (days)]])),TRUE,FALSE)</f>
        <v>0</v>
      </c>
      <c r="E6632" s="2" t="str">
        <f>IF(Table1[[#This Row],[Is Data Valid]]=TRUE,IF(Table1[[#This Row],[Fetal Sex (Male, Female or Unknown)]]="Male",Backend!$C$6,IF(Table1[[#This Row],[Fetal Sex (Male, Female or Unknown)]]="Female",Backend!$C$7,IF(Table1[[#This Row],[Fetal Sex (Male, Female or Unknown)]]="Unknown",Backend!$C$8,"Error"))),"")</f>
        <v/>
      </c>
      <c r="F6632" s="8" t="str">
        <f>IF(Table1[[#This Row],[Is Data Valid]]=TRUE,EXP(0.578+0.332*((Table1[[#This Row],[Gestation (days)]]+0.5)/7)-0.00354*((Table1[[#This Row],[Gestation (days)]]+0.5)/7)^2)*Table1[[#This Row],[BW40_3705]],"")</f>
        <v/>
      </c>
      <c r="G6632" s="2" t="str">
        <f>IF(Table1[[#This Row],[Is Data Valid]]=TRUE,((Table1[[#This Row],[Birthweight (grams)]]/Table1[[#This Row],[BW_GA]])-1)/(Backend!$B$4/100*Table1[[#This Row],[BW40_3705]]),"")</f>
        <v/>
      </c>
      <c r="H6632" s="7" t="str">
        <f>IF(Table1[[#This Row],[Is Data Valid]]=TRUE,((Table1[[#This Row],[Birthweight (grams)]]*0.9/Table1[[#This Row],[BW_GA]])-1)/(Backend!$B$4/100*Table1[[#This Row],[BW40_3705]]),"")</f>
        <v/>
      </c>
      <c r="I6632" s="7" t="str">
        <f>IF(Table1[[#This Row],[Is Data Valid]]=TRUE,((Table1[[#This Row],[Birthweight (grams)]]*1.1/Table1[[#This Row],[BW_GA]])-1)/(Backend!$B$4/100*Table1[[#This Row],[BW40_3705]]),"")</f>
        <v/>
      </c>
      <c r="J6632" s="7" t="str">
        <f>IF(Table1[[#This Row],[Is Data Valid]]=TRUE,_xlfn.NORM.S.DIST(Table1[[#This Row],[Birthweight Z-Score]],TRUE)*100,"")</f>
        <v/>
      </c>
      <c r="K6632" s="7" t="str">
        <f>IF(Table1[[#This Row],[Is Data Valid]]=TRUE,_xlfn.NORM.S.DIST(Table1[[#This Row],[Birthweight Z-Score (BW-10%)]],TRUE)*100,"")</f>
        <v/>
      </c>
      <c r="L6632" s="7" t="str">
        <f>IF(Table1[[#This Row],[Is Data Valid]]=TRUE,_xlfn.NORM.S.DIST(Table1[[#This Row],[Birthweight Z-Score (BW+10%)]],TRUE)*100,"")</f>
        <v/>
      </c>
    </row>
    <row r="6633" spans="1:12" x14ac:dyDescent="0.35">
      <c r="A6633" s="3"/>
      <c r="B6633" s="2"/>
      <c r="C6633" s="2"/>
      <c r="D6633" s="2" t="b">
        <f>IF(AND(NOT(ISBLANK(Table1[[#This Row],[Fetal Sex (Male, Female or Unknown)]])),ISNUMBER(Table1[[#This Row],[Birthweight (grams)]]),ISNUMBER(Table1[[#This Row],[Gestation (days)]])),TRUE,FALSE)</f>
        <v>0</v>
      </c>
      <c r="E6633" s="2" t="str">
        <f>IF(Table1[[#This Row],[Is Data Valid]]=TRUE,IF(Table1[[#This Row],[Fetal Sex (Male, Female or Unknown)]]="Male",Backend!$C$6,IF(Table1[[#This Row],[Fetal Sex (Male, Female or Unknown)]]="Female",Backend!$C$7,IF(Table1[[#This Row],[Fetal Sex (Male, Female or Unknown)]]="Unknown",Backend!$C$8,"Error"))),"")</f>
        <v/>
      </c>
      <c r="F6633" s="8" t="str">
        <f>IF(Table1[[#This Row],[Is Data Valid]]=TRUE,EXP(0.578+0.332*((Table1[[#This Row],[Gestation (days)]]+0.5)/7)-0.00354*((Table1[[#This Row],[Gestation (days)]]+0.5)/7)^2)*Table1[[#This Row],[BW40_3705]],"")</f>
        <v/>
      </c>
      <c r="G6633" s="2" t="str">
        <f>IF(Table1[[#This Row],[Is Data Valid]]=TRUE,((Table1[[#This Row],[Birthweight (grams)]]/Table1[[#This Row],[BW_GA]])-1)/(Backend!$B$4/100*Table1[[#This Row],[BW40_3705]]),"")</f>
        <v/>
      </c>
      <c r="H6633" s="7" t="str">
        <f>IF(Table1[[#This Row],[Is Data Valid]]=TRUE,((Table1[[#This Row],[Birthweight (grams)]]*0.9/Table1[[#This Row],[BW_GA]])-1)/(Backend!$B$4/100*Table1[[#This Row],[BW40_3705]]),"")</f>
        <v/>
      </c>
      <c r="I6633" s="7" t="str">
        <f>IF(Table1[[#This Row],[Is Data Valid]]=TRUE,((Table1[[#This Row],[Birthweight (grams)]]*1.1/Table1[[#This Row],[BW_GA]])-1)/(Backend!$B$4/100*Table1[[#This Row],[BW40_3705]]),"")</f>
        <v/>
      </c>
      <c r="J6633" s="7" t="str">
        <f>IF(Table1[[#This Row],[Is Data Valid]]=TRUE,_xlfn.NORM.S.DIST(Table1[[#This Row],[Birthweight Z-Score]],TRUE)*100,"")</f>
        <v/>
      </c>
      <c r="K6633" s="7" t="str">
        <f>IF(Table1[[#This Row],[Is Data Valid]]=TRUE,_xlfn.NORM.S.DIST(Table1[[#This Row],[Birthweight Z-Score (BW-10%)]],TRUE)*100,"")</f>
        <v/>
      </c>
      <c r="L6633" s="7" t="str">
        <f>IF(Table1[[#This Row],[Is Data Valid]]=TRUE,_xlfn.NORM.S.DIST(Table1[[#This Row],[Birthweight Z-Score (BW+10%)]],TRUE)*100,"")</f>
        <v/>
      </c>
    </row>
    <row r="6634" spans="1:12" x14ac:dyDescent="0.35">
      <c r="A6634" s="3"/>
      <c r="B6634" s="2"/>
      <c r="C6634" s="2"/>
      <c r="D6634" s="2" t="b">
        <f>IF(AND(NOT(ISBLANK(Table1[[#This Row],[Fetal Sex (Male, Female or Unknown)]])),ISNUMBER(Table1[[#This Row],[Birthweight (grams)]]),ISNUMBER(Table1[[#This Row],[Gestation (days)]])),TRUE,FALSE)</f>
        <v>0</v>
      </c>
      <c r="E6634" s="2" t="str">
        <f>IF(Table1[[#This Row],[Is Data Valid]]=TRUE,IF(Table1[[#This Row],[Fetal Sex (Male, Female or Unknown)]]="Male",Backend!$C$6,IF(Table1[[#This Row],[Fetal Sex (Male, Female or Unknown)]]="Female",Backend!$C$7,IF(Table1[[#This Row],[Fetal Sex (Male, Female or Unknown)]]="Unknown",Backend!$C$8,"Error"))),"")</f>
        <v/>
      </c>
      <c r="F6634" s="8" t="str">
        <f>IF(Table1[[#This Row],[Is Data Valid]]=TRUE,EXP(0.578+0.332*((Table1[[#This Row],[Gestation (days)]]+0.5)/7)-0.00354*((Table1[[#This Row],[Gestation (days)]]+0.5)/7)^2)*Table1[[#This Row],[BW40_3705]],"")</f>
        <v/>
      </c>
      <c r="G6634" s="2" t="str">
        <f>IF(Table1[[#This Row],[Is Data Valid]]=TRUE,((Table1[[#This Row],[Birthweight (grams)]]/Table1[[#This Row],[BW_GA]])-1)/(Backend!$B$4/100*Table1[[#This Row],[BW40_3705]]),"")</f>
        <v/>
      </c>
      <c r="H6634" s="7" t="str">
        <f>IF(Table1[[#This Row],[Is Data Valid]]=TRUE,((Table1[[#This Row],[Birthweight (grams)]]*0.9/Table1[[#This Row],[BW_GA]])-1)/(Backend!$B$4/100*Table1[[#This Row],[BW40_3705]]),"")</f>
        <v/>
      </c>
      <c r="I6634" s="7" t="str">
        <f>IF(Table1[[#This Row],[Is Data Valid]]=TRUE,((Table1[[#This Row],[Birthweight (grams)]]*1.1/Table1[[#This Row],[BW_GA]])-1)/(Backend!$B$4/100*Table1[[#This Row],[BW40_3705]]),"")</f>
        <v/>
      </c>
      <c r="J6634" s="7" t="str">
        <f>IF(Table1[[#This Row],[Is Data Valid]]=TRUE,_xlfn.NORM.S.DIST(Table1[[#This Row],[Birthweight Z-Score]],TRUE)*100,"")</f>
        <v/>
      </c>
      <c r="K6634" s="7" t="str">
        <f>IF(Table1[[#This Row],[Is Data Valid]]=TRUE,_xlfn.NORM.S.DIST(Table1[[#This Row],[Birthweight Z-Score (BW-10%)]],TRUE)*100,"")</f>
        <v/>
      </c>
      <c r="L6634" s="7" t="str">
        <f>IF(Table1[[#This Row],[Is Data Valid]]=TRUE,_xlfn.NORM.S.DIST(Table1[[#This Row],[Birthweight Z-Score (BW+10%)]],TRUE)*100,"")</f>
        <v/>
      </c>
    </row>
    <row r="6635" spans="1:12" x14ac:dyDescent="0.35">
      <c r="A6635" s="3"/>
      <c r="B6635" s="2"/>
      <c r="C6635" s="2"/>
      <c r="D6635" s="2" t="b">
        <f>IF(AND(NOT(ISBLANK(Table1[[#This Row],[Fetal Sex (Male, Female or Unknown)]])),ISNUMBER(Table1[[#This Row],[Birthweight (grams)]]),ISNUMBER(Table1[[#This Row],[Gestation (days)]])),TRUE,FALSE)</f>
        <v>0</v>
      </c>
      <c r="E6635" s="2" t="str">
        <f>IF(Table1[[#This Row],[Is Data Valid]]=TRUE,IF(Table1[[#This Row],[Fetal Sex (Male, Female or Unknown)]]="Male",Backend!$C$6,IF(Table1[[#This Row],[Fetal Sex (Male, Female or Unknown)]]="Female",Backend!$C$7,IF(Table1[[#This Row],[Fetal Sex (Male, Female or Unknown)]]="Unknown",Backend!$C$8,"Error"))),"")</f>
        <v/>
      </c>
      <c r="F6635" s="8" t="str">
        <f>IF(Table1[[#This Row],[Is Data Valid]]=TRUE,EXP(0.578+0.332*((Table1[[#This Row],[Gestation (days)]]+0.5)/7)-0.00354*((Table1[[#This Row],[Gestation (days)]]+0.5)/7)^2)*Table1[[#This Row],[BW40_3705]],"")</f>
        <v/>
      </c>
      <c r="G6635" s="2" t="str">
        <f>IF(Table1[[#This Row],[Is Data Valid]]=TRUE,((Table1[[#This Row],[Birthweight (grams)]]/Table1[[#This Row],[BW_GA]])-1)/(Backend!$B$4/100*Table1[[#This Row],[BW40_3705]]),"")</f>
        <v/>
      </c>
      <c r="H6635" s="7" t="str">
        <f>IF(Table1[[#This Row],[Is Data Valid]]=TRUE,((Table1[[#This Row],[Birthweight (grams)]]*0.9/Table1[[#This Row],[BW_GA]])-1)/(Backend!$B$4/100*Table1[[#This Row],[BW40_3705]]),"")</f>
        <v/>
      </c>
      <c r="I6635" s="7" t="str">
        <f>IF(Table1[[#This Row],[Is Data Valid]]=TRUE,((Table1[[#This Row],[Birthweight (grams)]]*1.1/Table1[[#This Row],[BW_GA]])-1)/(Backend!$B$4/100*Table1[[#This Row],[BW40_3705]]),"")</f>
        <v/>
      </c>
      <c r="J6635" s="7" t="str">
        <f>IF(Table1[[#This Row],[Is Data Valid]]=TRUE,_xlfn.NORM.S.DIST(Table1[[#This Row],[Birthweight Z-Score]],TRUE)*100,"")</f>
        <v/>
      </c>
      <c r="K6635" s="7" t="str">
        <f>IF(Table1[[#This Row],[Is Data Valid]]=TRUE,_xlfn.NORM.S.DIST(Table1[[#This Row],[Birthweight Z-Score (BW-10%)]],TRUE)*100,"")</f>
        <v/>
      </c>
      <c r="L6635" s="7" t="str">
        <f>IF(Table1[[#This Row],[Is Data Valid]]=TRUE,_xlfn.NORM.S.DIST(Table1[[#This Row],[Birthweight Z-Score (BW+10%)]],TRUE)*100,"")</f>
        <v/>
      </c>
    </row>
    <row r="6636" spans="1:12" x14ac:dyDescent="0.35">
      <c r="A6636" s="3"/>
      <c r="B6636" s="2"/>
      <c r="C6636" s="2"/>
      <c r="D6636" s="2" t="b">
        <f>IF(AND(NOT(ISBLANK(Table1[[#This Row],[Fetal Sex (Male, Female or Unknown)]])),ISNUMBER(Table1[[#This Row],[Birthweight (grams)]]),ISNUMBER(Table1[[#This Row],[Gestation (days)]])),TRUE,FALSE)</f>
        <v>0</v>
      </c>
      <c r="E6636" s="2" t="str">
        <f>IF(Table1[[#This Row],[Is Data Valid]]=TRUE,IF(Table1[[#This Row],[Fetal Sex (Male, Female or Unknown)]]="Male",Backend!$C$6,IF(Table1[[#This Row],[Fetal Sex (Male, Female or Unknown)]]="Female",Backend!$C$7,IF(Table1[[#This Row],[Fetal Sex (Male, Female or Unknown)]]="Unknown",Backend!$C$8,"Error"))),"")</f>
        <v/>
      </c>
      <c r="F6636" s="8" t="str">
        <f>IF(Table1[[#This Row],[Is Data Valid]]=TRUE,EXP(0.578+0.332*((Table1[[#This Row],[Gestation (days)]]+0.5)/7)-0.00354*((Table1[[#This Row],[Gestation (days)]]+0.5)/7)^2)*Table1[[#This Row],[BW40_3705]],"")</f>
        <v/>
      </c>
      <c r="G6636" s="2" t="str">
        <f>IF(Table1[[#This Row],[Is Data Valid]]=TRUE,((Table1[[#This Row],[Birthweight (grams)]]/Table1[[#This Row],[BW_GA]])-1)/(Backend!$B$4/100*Table1[[#This Row],[BW40_3705]]),"")</f>
        <v/>
      </c>
      <c r="H6636" s="7" t="str">
        <f>IF(Table1[[#This Row],[Is Data Valid]]=TRUE,((Table1[[#This Row],[Birthweight (grams)]]*0.9/Table1[[#This Row],[BW_GA]])-1)/(Backend!$B$4/100*Table1[[#This Row],[BW40_3705]]),"")</f>
        <v/>
      </c>
      <c r="I6636" s="7" t="str">
        <f>IF(Table1[[#This Row],[Is Data Valid]]=TRUE,((Table1[[#This Row],[Birthweight (grams)]]*1.1/Table1[[#This Row],[BW_GA]])-1)/(Backend!$B$4/100*Table1[[#This Row],[BW40_3705]]),"")</f>
        <v/>
      </c>
      <c r="J6636" s="7" t="str">
        <f>IF(Table1[[#This Row],[Is Data Valid]]=TRUE,_xlfn.NORM.S.DIST(Table1[[#This Row],[Birthweight Z-Score]],TRUE)*100,"")</f>
        <v/>
      </c>
      <c r="K6636" s="7" t="str">
        <f>IF(Table1[[#This Row],[Is Data Valid]]=TRUE,_xlfn.NORM.S.DIST(Table1[[#This Row],[Birthweight Z-Score (BW-10%)]],TRUE)*100,"")</f>
        <v/>
      </c>
      <c r="L6636" s="7" t="str">
        <f>IF(Table1[[#This Row],[Is Data Valid]]=TRUE,_xlfn.NORM.S.DIST(Table1[[#This Row],[Birthweight Z-Score (BW+10%)]],TRUE)*100,"")</f>
        <v/>
      </c>
    </row>
    <row r="6637" spans="1:12" x14ac:dyDescent="0.35">
      <c r="A6637" s="3"/>
      <c r="B6637" s="2"/>
      <c r="C6637" s="2"/>
      <c r="D6637" s="2" t="b">
        <f>IF(AND(NOT(ISBLANK(Table1[[#This Row],[Fetal Sex (Male, Female or Unknown)]])),ISNUMBER(Table1[[#This Row],[Birthweight (grams)]]),ISNUMBER(Table1[[#This Row],[Gestation (days)]])),TRUE,FALSE)</f>
        <v>0</v>
      </c>
      <c r="E6637" s="2" t="str">
        <f>IF(Table1[[#This Row],[Is Data Valid]]=TRUE,IF(Table1[[#This Row],[Fetal Sex (Male, Female or Unknown)]]="Male",Backend!$C$6,IF(Table1[[#This Row],[Fetal Sex (Male, Female or Unknown)]]="Female",Backend!$C$7,IF(Table1[[#This Row],[Fetal Sex (Male, Female or Unknown)]]="Unknown",Backend!$C$8,"Error"))),"")</f>
        <v/>
      </c>
      <c r="F6637" s="8" t="str">
        <f>IF(Table1[[#This Row],[Is Data Valid]]=TRUE,EXP(0.578+0.332*((Table1[[#This Row],[Gestation (days)]]+0.5)/7)-0.00354*((Table1[[#This Row],[Gestation (days)]]+0.5)/7)^2)*Table1[[#This Row],[BW40_3705]],"")</f>
        <v/>
      </c>
      <c r="G6637" s="2" t="str">
        <f>IF(Table1[[#This Row],[Is Data Valid]]=TRUE,((Table1[[#This Row],[Birthweight (grams)]]/Table1[[#This Row],[BW_GA]])-1)/(Backend!$B$4/100*Table1[[#This Row],[BW40_3705]]),"")</f>
        <v/>
      </c>
      <c r="H6637" s="7" t="str">
        <f>IF(Table1[[#This Row],[Is Data Valid]]=TRUE,((Table1[[#This Row],[Birthweight (grams)]]*0.9/Table1[[#This Row],[BW_GA]])-1)/(Backend!$B$4/100*Table1[[#This Row],[BW40_3705]]),"")</f>
        <v/>
      </c>
      <c r="I6637" s="7" t="str">
        <f>IF(Table1[[#This Row],[Is Data Valid]]=TRUE,((Table1[[#This Row],[Birthweight (grams)]]*1.1/Table1[[#This Row],[BW_GA]])-1)/(Backend!$B$4/100*Table1[[#This Row],[BW40_3705]]),"")</f>
        <v/>
      </c>
      <c r="J6637" s="7" t="str">
        <f>IF(Table1[[#This Row],[Is Data Valid]]=TRUE,_xlfn.NORM.S.DIST(Table1[[#This Row],[Birthweight Z-Score]],TRUE)*100,"")</f>
        <v/>
      </c>
      <c r="K6637" s="7" t="str">
        <f>IF(Table1[[#This Row],[Is Data Valid]]=TRUE,_xlfn.NORM.S.DIST(Table1[[#This Row],[Birthweight Z-Score (BW-10%)]],TRUE)*100,"")</f>
        <v/>
      </c>
      <c r="L6637" s="7" t="str">
        <f>IF(Table1[[#This Row],[Is Data Valid]]=TRUE,_xlfn.NORM.S.DIST(Table1[[#This Row],[Birthweight Z-Score (BW+10%)]],TRUE)*100,"")</f>
        <v/>
      </c>
    </row>
    <row r="6638" spans="1:12" x14ac:dyDescent="0.35">
      <c r="A6638" s="3"/>
      <c r="B6638" s="2"/>
      <c r="C6638" s="2"/>
      <c r="D6638" s="2" t="b">
        <f>IF(AND(NOT(ISBLANK(Table1[[#This Row],[Fetal Sex (Male, Female or Unknown)]])),ISNUMBER(Table1[[#This Row],[Birthweight (grams)]]),ISNUMBER(Table1[[#This Row],[Gestation (days)]])),TRUE,FALSE)</f>
        <v>0</v>
      </c>
      <c r="E6638" s="2" t="str">
        <f>IF(Table1[[#This Row],[Is Data Valid]]=TRUE,IF(Table1[[#This Row],[Fetal Sex (Male, Female or Unknown)]]="Male",Backend!$C$6,IF(Table1[[#This Row],[Fetal Sex (Male, Female or Unknown)]]="Female",Backend!$C$7,IF(Table1[[#This Row],[Fetal Sex (Male, Female or Unknown)]]="Unknown",Backend!$C$8,"Error"))),"")</f>
        <v/>
      </c>
      <c r="F6638" s="8" t="str">
        <f>IF(Table1[[#This Row],[Is Data Valid]]=TRUE,EXP(0.578+0.332*((Table1[[#This Row],[Gestation (days)]]+0.5)/7)-0.00354*((Table1[[#This Row],[Gestation (days)]]+0.5)/7)^2)*Table1[[#This Row],[BW40_3705]],"")</f>
        <v/>
      </c>
      <c r="G6638" s="2" t="str">
        <f>IF(Table1[[#This Row],[Is Data Valid]]=TRUE,((Table1[[#This Row],[Birthweight (grams)]]/Table1[[#This Row],[BW_GA]])-1)/(Backend!$B$4/100*Table1[[#This Row],[BW40_3705]]),"")</f>
        <v/>
      </c>
      <c r="H6638" s="7" t="str">
        <f>IF(Table1[[#This Row],[Is Data Valid]]=TRUE,((Table1[[#This Row],[Birthweight (grams)]]*0.9/Table1[[#This Row],[BW_GA]])-1)/(Backend!$B$4/100*Table1[[#This Row],[BW40_3705]]),"")</f>
        <v/>
      </c>
      <c r="I6638" s="7" t="str">
        <f>IF(Table1[[#This Row],[Is Data Valid]]=TRUE,((Table1[[#This Row],[Birthweight (grams)]]*1.1/Table1[[#This Row],[BW_GA]])-1)/(Backend!$B$4/100*Table1[[#This Row],[BW40_3705]]),"")</f>
        <v/>
      </c>
      <c r="J6638" s="7" t="str">
        <f>IF(Table1[[#This Row],[Is Data Valid]]=TRUE,_xlfn.NORM.S.DIST(Table1[[#This Row],[Birthweight Z-Score]],TRUE)*100,"")</f>
        <v/>
      </c>
      <c r="K6638" s="7" t="str">
        <f>IF(Table1[[#This Row],[Is Data Valid]]=TRUE,_xlfn.NORM.S.DIST(Table1[[#This Row],[Birthweight Z-Score (BW-10%)]],TRUE)*100,"")</f>
        <v/>
      </c>
      <c r="L6638" s="7" t="str">
        <f>IF(Table1[[#This Row],[Is Data Valid]]=TRUE,_xlfn.NORM.S.DIST(Table1[[#This Row],[Birthweight Z-Score (BW+10%)]],TRUE)*100,"")</f>
        <v/>
      </c>
    </row>
    <row r="6639" spans="1:12" x14ac:dyDescent="0.35">
      <c r="A6639" s="3"/>
      <c r="B6639" s="2"/>
      <c r="C6639" s="2"/>
      <c r="D6639" s="2" t="b">
        <f>IF(AND(NOT(ISBLANK(Table1[[#This Row],[Fetal Sex (Male, Female or Unknown)]])),ISNUMBER(Table1[[#This Row],[Birthweight (grams)]]),ISNUMBER(Table1[[#This Row],[Gestation (days)]])),TRUE,FALSE)</f>
        <v>0</v>
      </c>
      <c r="E6639" s="2" t="str">
        <f>IF(Table1[[#This Row],[Is Data Valid]]=TRUE,IF(Table1[[#This Row],[Fetal Sex (Male, Female or Unknown)]]="Male",Backend!$C$6,IF(Table1[[#This Row],[Fetal Sex (Male, Female or Unknown)]]="Female",Backend!$C$7,IF(Table1[[#This Row],[Fetal Sex (Male, Female or Unknown)]]="Unknown",Backend!$C$8,"Error"))),"")</f>
        <v/>
      </c>
      <c r="F6639" s="8" t="str">
        <f>IF(Table1[[#This Row],[Is Data Valid]]=TRUE,EXP(0.578+0.332*((Table1[[#This Row],[Gestation (days)]]+0.5)/7)-0.00354*((Table1[[#This Row],[Gestation (days)]]+0.5)/7)^2)*Table1[[#This Row],[BW40_3705]],"")</f>
        <v/>
      </c>
      <c r="G6639" s="2" t="str">
        <f>IF(Table1[[#This Row],[Is Data Valid]]=TRUE,((Table1[[#This Row],[Birthweight (grams)]]/Table1[[#This Row],[BW_GA]])-1)/(Backend!$B$4/100*Table1[[#This Row],[BW40_3705]]),"")</f>
        <v/>
      </c>
      <c r="H6639" s="7" t="str">
        <f>IF(Table1[[#This Row],[Is Data Valid]]=TRUE,((Table1[[#This Row],[Birthweight (grams)]]*0.9/Table1[[#This Row],[BW_GA]])-1)/(Backend!$B$4/100*Table1[[#This Row],[BW40_3705]]),"")</f>
        <v/>
      </c>
      <c r="I6639" s="7" t="str">
        <f>IF(Table1[[#This Row],[Is Data Valid]]=TRUE,((Table1[[#This Row],[Birthweight (grams)]]*1.1/Table1[[#This Row],[BW_GA]])-1)/(Backend!$B$4/100*Table1[[#This Row],[BW40_3705]]),"")</f>
        <v/>
      </c>
      <c r="J6639" s="7" t="str">
        <f>IF(Table1[[#This Row],[Is Data Valid]]=TRUE,_xlfn.NORM.S.DIST(Table1[[#This Row],[Birthweight Z-Score]],TRUE)*100,"")</f>
        <v/>
      </c>
      <c r="K6639" s="7" t="str">
        <f>IF(Table1[[#This Row],[Is Data Valid]]=TRUE,_xlfn.NORM.S.DIST(Table1[[#This Row],[Birthweight Z-Score (BW-10%)]],TRUE)*100,"")</f>
        <v/>
      </c>
      <c r="L6639" s="7" t="str">
        <f>IF(Table1[[#This Row],[Is Data Valid]]=TRUE,_xlfn.NORM.S.DIST(Table1[[#This Row],[Birthweight Z-Score (BW+10%)]],TRUE)*100,"")</f>
        <v/>
      </c>
    </row>
    <row r="6640" spans="1:12" x14ac:dyDescent="0.35">
      <c r="A6640" s="3"/>
      <c r="B6640" s="2"/>
      <c r="C6640" s="2"/>
      <c r="D6640" s="2" t="b">
        <f>IF(AND(NOT(ISBLANK(Table1[[#This Row],[Fetal Sex (Male, Female or Unknown)]])),ISNUMBER(Table1[[#This Row],[Birthweight (grams)]]),ISNUMBER(Table1[[#This Row],[Gestation (days)]])),TRUE,FALSE)</f>
        <v>0</v>
      </c>
      <c r="E6640" s="2" t="str">
        <f>IF(Table1[[#This Row],[Is Data Valid]]=TRUE,IF(Table1[[#This Row],[Fetal Sex (Male, Female or Unknown)]]="Male",Backend!$C$6,IF(Table1[[#This Row],[Fetal Sex (Male, Female or Unknown)]]="Female",Backend!$C$7,IF(Table1[[#This Row],[Fetal Sex (Male, Female or Unknown)]]="Unknown",Backend!$C$8,"Error"))),"")</f>
        <v/>
      </c>
      <c r="F6640" s="8" t="str">
        <f>IF(Table1[[#This Row],[Is Data Valid]]=TRUE,EXP(0.578+0.332*((Table1[[#This Row],[Gestation (days)]]+0.5)/7)-0.00354*((Table1[[#This Row],[Gestation (days)]]+0.5)/7)^2)*Table1[[#This Row],[BW40_3705]],"")</f>
        <v/>
      </c>
      <c r="G6640" s="2" t="str">
        <f>IF(Table1[[#This Row],[Is Data Valid]]=TRUE,((Table1[[#This Row],[Birthweight (grams)]]/Table1[[#This Row],[BW_GA]])-1)/(Backend!$B$4/100*Table1[[#This Row],[BW40_3705]]),"")</f>
        <v/>
      </c>
      <c r="H6640" s="7" t="str">
        <f>IF(Table1[[#This Row],[Is Data Valid]]=TRUE,((Table1[[#This Row],[Birthweight (grams)]]*0.9/Table1[[#This Row],[BW_GA]])-1)/(Backend!$B$4/100*Table1[[#This Row],[BW40_3705]]),"")</f>
        <v/>
      </c>
      <c r="I6640" s="7" t="str">
        <f>IF(Table1[[#This Row],[Is Data Valid]]=TRUE,((Table1[[#This Row],[Birthweight (grams)]]*1.1/Table1[[#This Row],[BW_GA]])-1)/(Backend!$B$4/100*Table1[[#This Row],[BW40_3705]]),"")</f>
        <v/>
      </c>
      <c r="J6640" s="7" t="str">
        <f>IF(Table1[[#This Row],[Is Data Valid]]=TRUE,_xlfn.NORM.S.DIST(Table1[[#This Row],[Birthweight Z-Score]],TRUE)*100,"")</f>
        <v/>
      </c>
      <c r="K6640" s="7" t="str">
        <f>IF(Table1[[#This Row],[Is Data Valid]]=TRUE,_xlfn.NORM.S.DIST(Table1[[#This Row],[Birthweight Z-Score (BW-10%)]],TRUE)*100,"")</f>
        <v/>
      </c>
      <c r="L6640" s="7" t="str">
        <f>IF(Table1[[#This Row],[Is Data Valid]]=TRUE,_xlfn.NORM.S.DIST(Table1[[#This Row],[Birthweight Z-Score (BW+10%)]],TRUE)*100,"")</f>
        <v/>
      </c>
    </row>
    <row r="6641" spans="1:12" x14ac:dyDescent="0.35">
      <c r="A6641" s="3"/>
      <c r="B6641" s="2"/>
      <c r="C6641" s="2"/>
      <c r="D6641" s="2" t="b">
        <f>IF(AND(NOT(ISBLANK(Table1[[#This Row],[Fetal Sex (Male, Female or Unknown)]])),ISNUMBER(Table1[[#This Row],[Birthweight (grams)]]),ISNUMBER(Table1[[#This Row],[Gestation (days)]])),TRUE,FALSE)</f>
        <v>0</v>
      </c>
      <c r="E6641" s="2" t="str">
        <f>IF(Table1[[#This Row],[Is Data Valid]]=TRUE,IF(Table1[[#This Row],[Fetal Sex (Male, Female or Unknown)]]="Male",Backend!$C$6,IF(Table1[[#This Row],[Fetal Sex (Male, Female or Unknown)]]="Female",Backend!$C$7,IF(Table1[[#This Row],[Fetal Sex (Male, Female or Unknown)]]="Unknown",Backend!$C$8,"Error"))),"")</f>
        <v/>
      </c>
      <c r="F6641" s="8" t="str">
        <f>IF(Table1[[#This Row],[Is Data Valid]]=TRUE,EXP(0.578+0.332*((Table1[[#This Row],[Gestation (days)]]+0.5)/7)-0.00354*((Table1[[#This Row],[Gestation (days)]]+0.5)/7)^2)*Table1[[#This Row],[BW40_3705]],"")</f>
        <v/>
      </c>
      <c r="G6641" s="2" t="str">
        <f>IF(Table1[[#This Row],[Is Data Valid]]=TRUE,((Table1[[#This Row],[Birthweight (grams)]]/Table1[[#This Row],[BW_GA]])-1)/(Backend!$B$4/100*Table1[[#This Row],[BW40_3705]]),"")</f>
        <v/>
      </c>
      <c r="H6641" s="7" t="str">
        <f>IF(Table1[[#This Row],[Is Data Valid]]=TRUE,((Table1[[#This Row],[Birthweight (grams)]]*0.9/Table1[[#This Row],[BW_GA]])-1)/(Backend!$B$4/100*Table1[[#This Row],[BW40_3705]]),"")</f>
        <v/>
      </c>
      <c r="I6641" s="7" t="str">
        <f>IF(Table1[[#This Row],[Is Data Valid]]=TRUE,((Table1[[#This Row],[Birthweight (grams)]]*1.1/Table1[[#This Row],[BW_GA]])-1)/(Backend!$B$4/100*Table1[[#This Row],[BW40_3705]]),"")</f>
        <v/>
      </c>
      <c r="J6641" s="7" t="str">
        <f>IF(Table1[[#This Row],[Is Data Valid]]=TRUE,_xlfn.NORM.S.DIST(Table1[[#This Row],[Birthweight Z-Score]],TRUE)*100,"")</f>
        <v/>
      </c>
      <c r="K6641" s="7" t="str">
        <f>IF(Table1[[#This Row],[Is Data Valid]]=TRUE,_xlfn.NORM.S.DIST(Table1[[#This Row],[Birthweight Z-Score (BW-10%)]],TRUE)*100,"")</f>
        <v/>
      </c>
      <c r="L6641" s="7" t="str">
        <f>IF(Table1[[#This Row],[Is Data Valid]]=TRUE,_xlfn.NORM.S.DIST(Table1[[#This Row],[Birthweight Z-Score (BW+10%)]],TRUE)*100,"")</f>
        <v/>
      </c>
    </row>
    <row r="6642" spans="1:12" x14ac:dyDescent="0.35">
      <c r="A6642" s="3"/>
      <c r="B6642" s="2"/>
      <c r="C6642" s="2"/>
      <c r="D6642" s="2" t="b">
        <f>IF(AND(NOT(ISBLANK(Table1[[#This Row],[Fetal Sex (Male, Female or Unknown)]])),ISNUMBER(Table1[[#This Row],[Birthweight (grams)]]),ISNUMBER(Table1[[#This Row],[Gestation (days)]])),TRUE,FALSE)</f>
        <v>0</v>
      </c>
      <c r="E6642" s="2" t="str">
        <f>IF(Table1[[#This Row],[Is Data Valid]]=TRUE,IF(Table1[[#This Row],[Fetal Sex (Male, Female or Unknown)]]="Male",Backend!$C$6,IF(Table1[[#This Row],[Fetal Sex (Male, Female or Unknown)]]="Female",Backend!$C$7,IF(Table1[[#This Row],[Fetal Sex (Male, Female or Unknown)]]="Unknown",Backend!$C$8,"Error"))),"")</f>
        <v/>
      </c>
      <c r="F6642" s="8" t="str">
        <f>IF(Table1[[#This Row],[Is Data Valid]]=TRUE,EXP(0.578+0.332*((Table1[[#This Row],[Gestation (days)]]+0.5)/7)-0.00354*((Table1[[#This Row],[Gestation (days)]]+0.5)/7)^2)*Table1[[#This Row],[BW40_3705]],"")</f>
        <v/>
      </c>
      <c r="G6642" s="2" t="str">
        <f>IF(Table1[[#This Row],[Is Data Valid]]=TRUE,((Table1[[#This Row],[Birthweight (grams)]]/Table1[[#This Row],[BW_GA]])-1)/(Backend!$B$4/100*Table1[[#This Row],[BW40_3705]]),"")</f>
        <v/>
      </c>
      <c r="H6642" s="7" t="str">
        <f>IF(Table1[[#This Row],[Is Data Valid]]=TRUE,((Table1[[#This Row],[Birthweight (grams)]]*0.9/Table1[[#This Row],[BW_GA]])-1)/(Backend!$B$4/100*Table1[[#This Row],[BW40_3705]]),"")</f>
        <v/>
      </c>
      <c r="I6642" s="7" t="str">
        <f>IF(Table1[[#This Row],[Is Data Valid]]=TRUE,((Table1[[#This Row],[Birthweight (grams)]]*1.1/Table1[[#This Row],[BW_GA]])-1)/(Backend!$B$4/100*Table1[[#This Row],[BW40_3705]]),"")</f>
        <v/>
      </c>
      <c r="J6642" s="7" t="str">
        <f>IF(Table1[[#This Row],[Is Data Valid]]=TRUE,_xlfn.NORM.S.DIST(Table1[[#This Row],[Birthweight Z-Score]],TRUE)*100,"")</f>
        <v/>
      </c>
      <c r="K6642" s="7" t="str">
        <f>IF(Table1[[#This Row],[Is Data Valid]]=TRUE,_xlfn.NORM.S.DIST(Table1[[#This Row],[Birthweight Z-Score (BW-10%)]],TRUE)*100,"")</f>
        <v/>
      </c>
      <c r="L6642" s="7" t="str">
        <f>IF(Table1[[#This Row],[Is Data Valid]]=TRUE,_xlfn.NORM.S.DIST(Table1[[#This Row],[Birthweight Z-Score (BW+10%)]],TRUE)*100,"")</f>
        <v/>
      </c>
    </row>
    <row r="6643" spans="1:12" x14ac:dyDescent="0.35">
      <c r="A6643" s="3"/>
      <c r="B6643" s="2"/>
      <c r="C6643" s="2"/>
      <c r="D6643" s="2" t="b">
        <f>IF(AND(NOT(ISBLANK(Table1[[#This Row],[Fetal Sex (Male, Female or Unknown)]])),ISNUMBER(Table1[[#This Row],[Birthweight (grams)]]),ISNUMBER(Table1[[#This Row],[Gestation (days)]])),TRUE,FALSE)</f>
        <v>0</v>
      </c>
      <c r="E6643" s="2" t="str">
        <f>IF(Table1[[#This Row],[Is Data Valid]]=TRUE,IF(Table1[[#This Row],[Fetal Sex (Male, Female or Unknown)]]="Male",Backend!$C$6,IF(Table1[[#This Row],[Fetal Sex (Male, Female or Unknown)]]="Female",Backend!$C$7,IF(Table1[[#This Row],[Fetal Sex (Male, Female or Unknown)]]="Unknown",Backend!$C$8,"Error"))),"")</f>
        <v/>
      </c>
      <c r="F6643" s="8" t="str">
        <f>IF(Table1[[#This Row],[Is Data Valid]]=TRUE,EXP(0.578+0.332*((Table1[[#This Row],[Gestation (days)]]+0.5)/7)-0.00354*((Table1[[#This Row],[Gestation (days)]]+0.5)/7)^2)*Table1[[#This Row],[BW40_3705]],"")</f>
        <v/>
      </c>
      <c r="G6643" s="2" t="str">
        <f>IF(Table1[[#This Row],[Is Data Valid]]=TRUE,((Table1[[#This Row],[Birthweight (grams)]]/Table1[[#This Row],[BW_GA]])-1)/(Backend!$B$4/100*Table1[[#This Row],[BW40_3705]]),"")</f>
        <v/>
      </c>
      <c r="H6643" s="7" t="str">
        <f>IF(Table1[[#This Row],[Is Data Valid]]=TRUE,((Table1[[#This Row],[Birthweight (grams)]]*0.9/Table1[[#This Row],[BW_GA]])-1)/(Backend!$B$4/100*Table1[[#This Row],[BW40_3705]]),"")</f>
        <v/>
      </c>
      <c r="I6643" s="7" t="str">
        <f>IF(Table1[[#This Row],[Is Data Valid]]=TRUE,((Table1[[#This Row],[Birthweight (grams)]]*1.1/Table1[[#This Row],[BW_GA]])-1)/(Backend!$B$4/100*Table1[[#This Row],[BW40_3705]]),"")</f>
        <v/>
      </c>
      <c r="J6643" s="7" t="str">
        <f>IF(Table1[[#This Row],[Is Data Valid]]=TRUE,_xlfn.NORM.S.DIST(Table1[[#This Row],[Birthweight Z-Score]],TRUE)*100,"")</f>
        <v/>
      </c>
      <c r="K6643" s="7" t="str">
        <f>IF(Table1[[#This Row],[Is Data Valid]]=TRUE,_xlfn.NORM.S.DIST(Table1[[#This Row],[Birthweight Z-Score (BW-10%)]],TRUE)*100,"")</f>
        <v/>
      </c>
      <c r="L6643" s="7" t="str">
        <f>IF(Table1[[#This Row],[Is Data Valid]]=TRUE,_xlfn.NORM.S.DIST(Table1[[#This Row],[Birthweight Z-Score (BW+10%)]],TRUE)*100,"")</f>
        <v/>
      </c>
    </row>
    <row r="6644" spans="1:12" x14ac:dyDescent="0.35">
      <c r="A6644" s="3"/>
      <c r="B6644" s="2"/>
      <c r="C6644" s="2"/>
      <c r="D6644" s="2" t="b">
        <f>IF(AND(NOT(ISBLANK(Table1[[#This Row],[Fetal Sex (Male, Female or Unknown)]])),ISNUMBER(Table1[[#This Row],[Birthweight (grams)]]),ISNUMBER(Table1[[#This Row],[Gestation (days)]])),TRUE,FALSE)</f>
        <v>0</v>
      </c>
      <c r="E6644" s="2" t="str">
        <f>IF(Table1[[#This Row],[Is Data Valid]]=TRUE,IF(Table1[[#This Row],[Fetal Sex (Male, Female or Unknown)]]="Male",Backend!$C$6,IF(Table1[[#This Row],[Fetal Sex (Male, Female or Unknown)]]="Female",Backend!$C$7,IF(Table1[[#This Row],[Fetal Sex (Male, Female or Unknown)]]="Unknown",Backend!$C$8,"Error"))),"")</f>
        <v/>
      </c>
      <c r="F6644" s="8" t="str">
        <f>IF(Table1[[#This Row],[Is Data Valid]]=TRUE,EXP(0.578+0.332*((Table1[[#This Row],[Gestation (days)]]+0.5)/7)-0.00354*((Table1[[#This Row],[Gestation (days)]]+0.5)/7)^2)*Table1[[#This Row],[BW40_3705]],"")</f>
        <v/>
      </c>
      <c r="G6644" s="2" t="str">
        <f>IF(Table1[[#This Row],[Is Data Valid]]=TRUE,((Table1[[#This Row],[Birthweight (grams)]]/Table1[[#This Row],[BW_GA]])-1)/(Backend!$B$4/100*Table1[[#This Row],[BW40_3705]]),"")</f>
        <v/>
      </c>
      <c r="H6644" s="7" t="str">
        <f>IF(Table1[[#This Row],[Is Data Valid]]=TRUE,((Table1[[#This Row],[Birthweight (grams)]]*0.9/Table1[[#This Row],[BW_GA]])-1)/(Backend!$B$4/100*Table1[[#This Row],[BW40_3705]]),"")</f>
        <v/>
      </c>
      <c r="I6644" s="7" t="str">
        <f>IF(Table1[[#This Row],[Is Data Valid]]=TRUE,((Table1[[#This Row],[Birthweight (grams)]]*1.1/Table1[[#This Row],[BW_GA]])-1)/(Backend!$B$4/100*Table1[[#This Row],[BW40_3705]]),"")</f>
        <v/>
      </c>
      <c r="J6644" s="7" t="str">
        <f>IF(Table1[[#This Row],[Is Data Valid]]=TRUE,_xlfn.NORM.S.DIST(Table1[[#This Row],[Birthweight Z-Score]],TRUE)*100,"")</f>
        <v/>
      </c>
      <c r="K6644" s="7" t="str">
        <f>IF(Table1[[#This Row],[Is Data Valid]]=TRUE,_xlfn.NORM.S.DIST(Table1[[#This Row],[Birthweight Z-Score (BW-10%)]],TRUE)*100,"")</f>
        <v/>
      </c>
      <c r="L6644" s="7" t="str">
        <f>IF(Table1[[#This Row],[Is Data Valid]]=TRUE,_xlfn.NORM.S.DIST(Table1[[#This Row],[Birthweight Z-Score (BW+10%)]],TRUE)*100,"")</f>
        <v/>
      </c>
    </row>
    <row r="6645" spans="1:12" x14ac:dyDescent="0.35">
      <c r="A6645" s="3"/>
      <c r="B6645" s="2"/>
      <c r="C6645" s="2"/>
      <c r="D6645" s="2" t="b">
        <f>IF(AND(NOT(ISBLANK(Table1[[#This Row],[Fetal Sex (Male, Female or Unknown)]])),ISNUMBER(Table1[[#This Row],[Birthweight (grams)]]),ISNUMBER(Table1[[#This Row],[Gestation (days)]])),TRUE,FALSE)</f>
        <v>0</v>
      </c>
      <c r="E6645" s="2" t="str">
        <f>IF(Table1[[#This Row],[Is Data Valid]]=TRUE,IF(Table1[[#This Row],[Fetal Sex (Male, Female or Unknown)]]="Male",Backend!$C$6,IF(Table1[[#This Row],[Fetal Sex (Male, Female or Unknown)]]="Female",Backend!$C$7,IF(Table1[[#This Row],[Fetal Sex (Male, Female or Unknown)]]="Unknown",Backend!$C$8,"Error"))),"")</f>
        <v/>
      </c>
      <c r="F6645" s="8" t="str">
        <f>IF(Table1[[#This Row],[Is Data Valid]]=TRUE,EXP(0.578+0.332*((Table1[[#This Row],[Gestation (days)]]+0.5)/7)-0.00354*((Table1[[#This Row],[Gestation (days)]]+0.5)/7)^2)*Table1[[#This Row],[BW40_3705]],"")</f>
        <v/>
      </c>
      <c r="G6645" s="2" t="str">
        <f>IF(Table1[[#This Row],[Is Data Valid]]=TRUE,((Table1[[#This Row],[Birthweight (grams)]]/Table1[[#This Row],[BW_GA]])-1)/(Backend!$B$4/100*Table1[[#This Row],[BW40_3705]]),"")</f>
        <v/>
      </c>
      <c r="H6645" s="7" t="str">
        <f>IF(Table1[[#This Row],[Is Data Valid]]=TRUE,((Table1[[#This Row],[Birthweight (grams)]]*0.9/Table1[[#This Row],[BW_GA]])-1)/(Backend!$B$4/100*Table1[[#This Row],[BW40_3705]]),"")</f>
        <v/>
      </c>
      <c r="I6645" s="7" t="str">
        <f>IF(Table1[[#This Row],[Is Data Valid]]=TRUE,((Table1[[#This Row],[Birthweight (grams)]]*1.1/Table1[[#This Row],[BW_GA]])-1)/(Backend!$B$4/100*Table1[[#This Row],[BW40_3705]]),"")</f>
        <v/>
      </c>
      <c r="J6645" s="7" t="str">
        <f>IF(Table1[[#This Row],[Is Data Valid]]=TRUE,_xlfn.NORM.S.DIST(Table1[[#This Row],[Birthweight Z-Score]],TRUE)*100,"")</f>
        <v/>
      </c>
      <c r="K6645" s="7" t="str">
        <f>IF(Table1[[#This Row],[Is Data Valid]]=TRUE,_xlfn.NORM.S.DIST(Table1[[#This Row],[Birthweight Z-Score (BW-10%)]],TRUE)*100,"")</f>
        <v/>
      </c>
      <c r="L6645" s="7" t="str">
        <f>IF(Table1[[#This Row],[Is Data Valid]]=TRUE,_xlfn.NORM.S.DIST(Table1[[#This Row],[Birthweight Z-Score (BW+10%)]],TRUE)*100,"")</f>
        <v/>
      </c>
    </row>
    <row r="6646" spans="1:12" x14ac:dyDescent="0.35">
      <c r="A6646" s="3"/>
      <c r="B6646" s="2"/>
      <c r="C6646" s="2"/>
      <c r="D6646" s="2" t="b">
        <f>IF(AND(NOT(ISBLANK(Table1[[#This Row],[Fetal Sex (Male, Female or Unknown)]])),ISNUMBER(Table1[[#This Row],[Birthweight (grams)]]),ISNUMBER(Table1[[#This Row],[Gestation (days)]])),TRUE,FALSE)</f>
        <v>0</v>
      </c>
      <c r="E6646" s="2" t="str">
        <f>IF(Table1[[#This Row],[Is Data Valid]]=TRUE,IF(Table1[[#This Row],[Fetal Sex (Male, Female or Unknown)]]="Male",Backend!$C$6,IF(Table1[[#This Row],[Fetal Sex (Male, Female or Unknown)]]="Female",Backend!$C$7,IF(Table1[[#This Row],[Fetal Sex (Male, Female or Unknown)]]="Unknown",Backend!$C$8,"Error"))),"")</f>
        <v/>
      </c>
      <c r="F6646" s="8" t="str">
        <f>IF(Table1[[#This Row],[Is Data Valid]]=TRUE,EXP(0.578+0.332*((Table1[[#This Row],[Gestation (days)]]+0.5)/7)-0.00354*((Table1[[#This Row],[Gestation (days)]]+0.5)/7)^2)*Table1[[#This Row],[BW40_3705]],"")</f>
        <v/>
      </c>
      <c r="G6646" s="2" t="str">
        <f>IF(Table1[[#This Row],[Is Data Valid]]=TRUE,((Table1[[#This Row],[Birthweight (grams)]]/Table1[[#This Row],[BW_GA]])-1)/(Backend!$B$4/100*Table1[[#This Row],[BW40_3705]]),"")</f>
        <v/>
      </c>
      <c r="H6646" s="7" t="str">
        <f>IF(Table1[[#This Row],[Is Data Valid]]=TRUE,((Table1[[#This Row],[Birthweight (grams)]]*0.9/Table1[[#This Row],[BW_GA]])-1)/(Backend!$B$4/100*Table1[[#This Row],[BW40_3705]]),"")</f>
        <v/>
      </c>
      <c r="I6646" s="7" t="str">
        <f>IF(Table1[[#This Row],[Is Data Valid]]=TRUE,((Table1[[#This Row],[Birthweight (grams)]]*1.1/Table1[[#This Row],[BW_GA]])-1)/(Backend!$B$4/100*Table1[[#This Row],[BW40_3705]]),"")</f>
        <v/>
      </c>
      <c r="J6646" s="7" t="str">
        <f>IF(Table1[[#This Row],[Is Data Valid]]=TRUE,_xlfn.NORM.S.DIST(Table1[[#This Row],[Birthweight Z-Score]],TRUE)*100,"")</f>
        <v/>
      </c>
      <c r="K6646" s="7" t="str">
        <f>IF(Table1[[#This Row],[Is Data Valid]]=TRUE,_xlfn.NORM.S.DIST(Table1[[#This Row],[Birthweight Z-Score (BW-10%)]],TRUE)*100,"")</f>
        <v/>
      </c>
      <c r="L6646" s="7" t="str">
        <f>IF(Table1[[#This Row],[Is Data Valid]]=TRUE,_xlfn.NORM.S.DIST(Table1[[#This Row],[Birthweight Z-Score (BW+10%)]],TRUE)*100,"")</f>
        <v/>
      </c>
    </row>
    <row r="6647" spans="1:12" x14ac:dyDescent="0.35">
      <c r="A6647" s="3"/>
      <c r="B6647" s="2"/>
      <c r="C6647" s="2"/>
      <c r="D6647" s="2" t="b">
        <f>IF(AND(NOT(ISBLANK(Table1[[#This Row],[Fetal Sex (Male, Female or Unknown)]])),ISNUMBER(Table1[[#This Row],[Birthweight (grams)]]),ISNUMBER(Table1[[#This Row],[Gestation (days)]])),TRUE,FALSE)</f>
        <v>0</v>
      </c>
      <c r="E6647" s="2" t="str">
        <f>IF(Table1[[#This Row],[Is Data Valid]]=TRUE,IF(Table1[[#This Row],[Fetal Sex (Male, Female or Unknown)]]="Male",Backend!$C$6,IF(Table1[[#This Row],[Fetal Sex (Male, Female or Unknown)]]="Female",Backend!$C$7,IF(Table1[[#This Row],[Fetal Sex (Male, Female or Unknown)]]="Unknown",Backend!$C$8,"Error"))),"")</f>
        <v/>
      </c>
      <c r="F6647" s="8" t="str">
        <f>IF(Table1[[#This Row],[Is Data Valid]]=TRUE,EXP(0.578+0.332*((Table1[[#This Row],[Gestation (days)]]+0.5)/7)-0.00354*((Table1[[#This Row],[Gestation (days)]]+0.5)/7)^2)*Table1[[#This Row],[BW40_3705]],"")</f>
        <v/>
      </c>
      <c r="G6647" s="2" t="str">
        <f>IF(Table1[[#This Row],[Is Data Valid]]=TRUE,((Table1[[#This Row],[Birthweight (grams)]]/Table1[[#This Row],[BW_GA]])-1)/(Backend!$B$4/100*Table1[[#This Row],[BW40_3705]]),"")</f>
        <v/>
      </c>
      <c r="H6647" s="7" t="str">
        <f>IF(Table1[[#This Row],[Is Data Valid]]=TRUE,((Table1[[#This Row],[Birthweight (grams)]]*0.9/Table1[[#This Row],[BW_GA]])-1)/(Backend!$B$4/100*Table1[[#This Row],[BW40_3705]]),"")</f>
        <v/>
      </c>
      <c r="I6647" s="7" t="str">
        <f>IF(Table1[[#This Row],[Is Data Valid]]=TRUE,((Table1[[#This Row],[Birthweight (grams)]]*1.1/Table1[[#This Row],[BW_GA]])-1)/(Backend!$B$4/100*Table1[[#This Row],[BW40_3705]]),"")</f>
        <v/>
      </c>
      <c r="J6647" s="7" t="str">
        <f>IF(Table1[[#This Row],[Is Data Valid]]=TRUE,_xlfn.NORM.S.DIST(Table1[[#This Row],[Birthweight Z-Score]],TRUE)*100,"")</f>
        <v/>
      </c>
      <c r="K6647" s="7" t="str">
        <f>IF(Table1[[#This Row],[Is Data Valid]]=TRUE,_xlfn.NORM.S.DIST(Table1[[#This Row],[Birthweight Z-Score (BW-10%)]],TRUE)*100,"")</f>
        <v/>
      </c>
      <c r="L6647" s="7" t="str">
        <f>IF(Table1[[#This Row],[Is Data Valid]]=TRUE,_xlfn.NORM.S.DIST(Table1[[#This Row],[Birthweight Z-Score (BW+10%)]],TRUE)*100,"")</f>
        <v/>
      </c>
    </row>
    <row r="6648" spans="1:12" x14ac:dyDescent="0.35">
      <c r="A6648" s="3"/>
      <c r="B6648" s="2"/>
      <c r="C6648" s="2"/>
      <c r="D6648" s="2" t="b">
        <f>IF(AND(NOT(ISBLANK(Table1[[#This Row],[Fetal Sex (Male, Female or Unknown)]])),ISNUMBER(Table1[[#This Row],[Birthweight (grams)]]),ISNUMBER(Table1[[#This Row],[Gestation (days)]])),TRUE,FALSE)</f>
        <v>0</v>
      </c>
      <c r="E6648" s="2" t="str">
        <f>IF(Table1[[#This Row],[Is Data Valid]]=TRUE,IF(Table1[[#This Row],[Fetal Sex (Male, Female or Unknown)]]="Male",Backend!$C$6,IF(Table1[[#This Row],[Fetal Sex (Male, Female or Unknown)]]="Female",Backend!$C$7,IF(Table1[[#This Row],[Fetal Sex (Male, Female or Unknown)]]="Unknown",Backend!$C$8,"Error"))),"")</f>
        <v/>
      </c>
      <c r="F6648" s="8" t="str">
        <f>IF(Table1[[#This Row],[Is Data Valid]]=TRUE,EXP(0.578+0.332*((Table1[[#This Row],[Gestation (days)]]+0.5)/7)-0.00354*((Table1[[#This Row],[Gestation (days)]]+0.5)/7)^2)*Table1[[#This Row],[BW40_3705]],"")</f>
        <v/>
      </c>
      <c r="G6648" s="2" t="str">
        <f>IF(Table1[[#This Row],[Is Data Valid]]=TRUE,((Table1[[#This Row],[Birthweight (grams)]]/Table1[[#This Row],[BW_GA]])-1)/(Backend!$B$4/100*Table1[[#This Row],[BW40_3705]]),"")</f>
        <v/>
      </c>
      <c r="H6648" s="7" t="str">
        <f>IF(Table1[[#This Row],[Is Data Valid]]=TRUE,((Table1[[#This Row],[Birthweight (grams)]]*0.9/Table1[[#This Row],[BW_GA]])-1)/(Backend!$B$4/100*Table1[[#This Row],[BW40_3705]]),"")</f>
        <v/>
      </c>
      <c r="I6648" s="7" t="str">
        <f>IF(Table1[[#This Row],[Is Data Valid]]=TRUE,((Table1[[#This Row],[Birthweight (grams)]]*1.1/Table1[[#This Row],[BW_GA]])-1)/(Backend!$B$4/100*Table1[[#This Row],[BW40_3705]]),"")</f>
        <v/>
      </c>
      <c r="J6648" s="7" t="str">
        <f>IF(Table1[[#This Row],[Is Data Valid]]=TRUE,_xlfn.NORM.S.DIST(Table1[[#This Row],[Birthweight Z-Score]],TRUE)*100,"")</f>
        <v/>
      </c>
      <c r="K6648" s="7" t="str">
        <f>IF(Table1[[#This Row],[Is Data Valid]]=TRUE,_xlfn.NORM.S.DIST(Table1[[#This Row],[Birthweight Z-Score (BW-10%)]],TRUE)*100,"")</f>
        <v/>
      </c>
      <c r="L6648" s="7" t="str">
        <f>IF(Table1[[#This Row],[Is Data Valid]]=TRUE,_xlfn.NORM.S.DIST(Table1[[#This Row],[Birthweight Z-Score (BW+10%)]],TRUE)*100,"")</f>
        <v/>
      </c>
    </row>
    <row r="6649" spans="1:12" x14ac:dyDescent="0.35">
      <c r="A6649" s="3"/>
      <c r="B6649" s="2"/>
      <c r="C6649" s="2"/>
      <c r="D6649" s="2" t="b">
        <f>IF(AND(NOT(ISBLANK(Table1[[#This Row],[Fetal Sex (Male, Female or Unknown)]])),ISNUMBER(Table1[[#This Row],[Birthweight (grams)]]),ISNUMBER(Table1[[#This Row],[Gestation (days)]])),TRUE,FALSE)</f>
        <v>0</v>
      </c>
      <c r="E6649" s="2" t="str">
        <f>IF(Table1[[#This Row],[Is Data Valid]]=TRUE,IF(Table1[[#This Row],[Fetal Sex (Male, Female or Unknown)]]="Male",Backend!$C$6,IF(Table1[[#This Row],[Fetal Sex (Male, Female or Unknown)]]="Female",Backend!$C$7,IF(Table1[[#This Row],[Fetal Sex (Male, Female or Unknown)]]="Unknown",Backend!$C$8,"Error"))),"")</f>
        <v/>
      </c>
      <c r="F6649" s="8" t="str">
        <f>IF(Table1[[#This Row],[Is Data Valid]]=TRUE,EXP(0.578+0.332*((Table1[[#This Row],[Gestation (days)]]+0.5)/7)-0.00354*((Table1[[#This Row],[Gestation (days)]]+0.5)/7)^2)*Table1[[#This Row],[BW40_3705]],"")</f>
        <v/>
      </c>
      <c r="G6649" s="2" t="str">
        <f>IF(Table1[[#This Row],[Is Data Valid]]=TRUE,((Table1[[#This Row],[Birthweight (grams)]]/Table1[[#This Row],[BW_GA]])-1)/(Backend!$B$4/100*Table1[[#This Row],[BW40_3705]]),"")</f>
        <v/>
      </c>
      <c r="H6649" s="7" t="str">
        <f>IF(Table1[[#This Row],[Is Data Valid]]=TRUE,((Table1[[#This Row],[Birthweight (grams)]]*0.9/Table1[[#This Row],[BW_GA]])-1)/(Backend!$B$4/100*Table1[[#This Row],[BW40_3705]]),"")</f>
        <v/>
      </c>
      <c r="I6649" s="7" t="str">
        <f>IF(Table1[[#This Row],[Is Data Valid]]=TRUE,((Table1[[#This Row],[Birthweight (grams)]]*1.1/Table1[[#This Row],[BW_GA]])-1)/(Backend!$B$4/100*Table1[[#This Row],[BW40_3705]]),"")</f>
        <v/>
      </c>
      <c r="J6649" s="7" t="str">
        <f>IF(Table1[[#This Row],[Is Data Valid]]=TRUE,_xlfn.NORM.S.DIST(Table1[[#This Row],[Birthweight Z-Score]],TRUE)*100,"")</f>
        <v/>
      </c>
      <c r="K6649" s="7" t="str">
        <f>IF(Table1[[#This Row],[Is Data Valid]]=TRUE,_xlfn.NORM.S.DIST(Table1[[#This Row],[Birthweight Z-Score (BW-10%)]],TRUE)*100,"")</f>
        <v/>
      </c>
      <c r="L6649" s="7" t="str">
        <f>IF(Table1[[#This Row],[Is Data Valid]]=TRUE,_xlfn.NORM.S.DIST(Table1[[#This Row],[Birthweight Z-Score (BW+10%)]],TRUE)*100,"")</f>
        <v/>
      </c>
    </row>
    <row r="6650" spans="1:12" x14ac:dyDescent="0.35">
      <c r="A6650" s="3"/>
      <c r="B6650" s="2"/>
      <c r="C6650" s="2"/>
      <c r="D6650" s="2" t="b">
        <f>IF(AND(NOT(ISBLANK(Table1[[#This Row],[Fetal Sex (Male, Female or Unknown)]])),ISNUMBER(Table1[[#This Row],[Birthweight (grams)]]),ISNUMBER(Table1[[#This Row],[Gestation (days)]])),TRUE,FALSE)</f>
        <v>0</v>
      </c>
      <c r="E6650" s="2" t="str">
        <f>IF(Table1[[#This Row],[Is Data Valid]]=TRUE,IF(Table1[[#This Row],[Fetal Sex (Male, Female or Unknown)]]="Male",Backend!$C$6,IF(Table1[[#This Row],[Fetal Sex (Male, Female or Unknown)]]="Female",Backend!$C$7,IF(Table1[[#This Row],[Fetal Sex (Male, Female or Unknown)]]="Unknown",Backend!$C$8,"Error"))),"")</f>
        <v/>
      </c>
      <c r="F6650" s="8" t="str">
        <f>IF(Table1[[#This Row],[Is Data Valid]]=TRUE,EXP(0.578+0.332*((Table1[[#This Row],[Gestation (days)]]+0.5)/7)-0.00354*((Table1[[#This Row],[Gestation (days)]]+0.5)/7)^2)*Table1[[#This Row],[BW40_3705]],"")</f>
        <v/>
      </c>
      <c r="G6650" s="2" t="str">
        <f>IF(Table1[[#This Row],[Is Data Valid]]=TRUE,((Table1[[#This Row],[Birthweight (grams)]]/Table1[[#This Row],[BW_GA]])-1)/(Backend!$B$4/100*Table1[[#This Row],[BW40_3705]]),"")</f>
        <v/>
      </c>
      <c r="H6650" s="7" t="str">
        <f>IF(Table1[[#This Row],[Is Data Valid]]=TRUE,((Table1[[#This Row],[Birthweight (grams)]]*0.9/Table1[[#This Row],[BW_GA]])-1)/(Backend!$B$4/100*Table1[[#This Row],[BW40_3705]]),"")</f>
        <v/>
      </c>
      <c r="I6650" s="7" t="str">
        <f>IF(Table1[[#This Row],[Is Data Valid]]=TRUE,((Table1[[#This Row],[Birthweight (grams)]]*1.1/Table1[[#This Row],[BW_GA]])-1)/(Backend!$B$4/100*Table1[[#This Row],[BW40_3705]]),"")</f>
        <v/>
      </c>
      <c r="J6650" s="7" t="str">
        <f>IF(Table1[[#This Row],[Is Data Valid]]=TRUE,_xlfn.NORM.S.DIST(Table1[[#This Row],[Birthweight Z-Score]],TRUE)*100,"")</f>
        <v/>
      </c>
      <c r="K6650" s="7" t="str">
        <f>IF(Table1[[#This Row],[Is Data Valid]]=TRUE,_xlfn.NORM.S.DIST(Table1[[#This Row],[Birthweight Z-Score (BW-10%)]],TRUE)*100,"")</f>
        <v/>
      </c>
      <c r="L6650" s="7" t="str">
        <f>IF(Table1[[#This Row],[Is Data Valid]]=TRUE,_xlfn.NORM.S.DIST(Table1[[#This Row],[Birthweight Z-Score (BW+10%)]],TRUE)*100,"")</f>
        <v/>
      </c>
    </row>
    <row r="6651" spans="1:12" x14ac:dyDescent="0.35">
      <c r="A6651" s="3"/>
      <c r="B6651" s="2"/>
      <c r="C6651" s="2"/>
      <c r="D6651" s="2" t="b">
        <f>IF(AND(NOT(ISBLANK(Table1[[#This Row],[Fetal Sex (Male, Female or Unknown)]])),ISNUMBER(Table1[[#This Row],[Birthweight (grams)]]),ISNUMBER(Table1[[#This Row],[Gestation (days)]])),TRUE,FALSE)</f>
        <v>0</v>
      </c>
      <c r="E6651" s="2" t="str">
        <f>IF(Table1[[#This Row],[Is Data Valid]]=TRUE,IF(Table1[[#This Row],[Fetal Sex (Male, Female or Unknown)]]="Male",Backend!$C$6,IF(Table1[[#This Row],[Fetal Sex (Male, Female or Unknown)]]="Female",Backend!$C$7,IF(Table1[[#This Row],[Fetal Sex (Male, Female or Unknown)]]="Unknown",Backend!$C$8,"Error"))),"")</f>
        <v/>
      </c>
      <c r="F6651" s="8" t="str">
        <f>IF(Table1[[#This Row],[Is Data Valid]]=TRUE,EXP(0.578+0.332*((Table1[[#This Row],[Gestation (days)]]+0.5)/7)-0.00354*((Table1[[#This Row],[Gestation (days)]]+0.5)/7)^2)*Table1[[#This Row],[BW40_3705]],"")</f>
        <v/>
      </c>
      <c r="G6651" s="2" t="str">
        <f>IF(Table1[[#This Row],[Is Data Valid]]=TRUE,((Table1[[#This Row],[Birthweight (grams)]]/Table1[[#This Row],[BW_GA]])-1)/(Backend!$B$4/100*Table1[[#This Row],[BW40_3705]]),"")</f>
        <v/>
      </c>
      <c r="H6651" s="7" t="str">
        <f>IF(Table1[[#This Row],[Is Data Valid]]=TRUE,((Table1[[#This Row],[Birthweight (grams)]]*0.9/Table1[[#This Row],[BW_GA]])-1)/(Backend!$B$4/100*Table1[[#This Row],[BW40_3705]]),"")</f>
        <v/>
      </c>
      <c r="I6651" s="7" t="str">
        <f>IF(Table1[[#This Row],[Is Data Valid]]=TRUE,((Table1[[#This Row],[Birthweight (grams)]]*1.1/Table1[[#This Row],[BW_GA]])-1)/(Backend!$B$4/100*Table1[[#This Row],[BW40_3705]]),"")</f>
        <v/>
      </c>
      <c r="J6651" s="7" t="str">
        <f>IF(Table1[[#This Row],[Is Data Valid]]=TRUE,_xlfn.NORM.S.DIST(Table1[[#This Row],[Birthweight Z-Score]],TRUE)*100,"")</f>
        <v/>
      </c>
      <c r="K6651" s="7" t="str">
        <f>IF(Table1[[#This Row],[Is Data Valid]]=TRUE,_xlfn.NORM.S.DIST(Table1[[#This Row],[Birthweight Z-Score (BW-10%)]],TRUE)*100,"")</f>
        <v/>
      </c>
      <c r="L6651" s="7" t="str">
        <f>IF(Table1[[#This Row],[Is Data Valid]]=TRUE,_xlfn.NORM.S.DIST(Table1[[#This Row],[Birthweight Z-Score (BW+10%)]],TRUE)*100,"")</f>
        <v/>
      </c>
    </row>
    <row r="6652" spans="1:12" x14ac:dyDescent="0.35">
      <c r="A6652" s="3"/>
      <c r="B6652" s="2"/>
      <c r="C6652" s="2"/>
      <c r="D6652" s="2" t="b">
        <f>IF(AND(NOT(ISBLANK(Table1[[#This Row],[Fetal Sex (Male, Female or Unknown)]])),ISNUMBER(Table1[[#This Row],[Birthweight (grams)]]),ISNUMBER(Table1[[#This Row],[Gestation (days)]])),TRUE,FALSE)</f>
        <v>0</v>
      </c>
      <c r="E6652" s="2" t="str">
        <f>IF(Table1[[#This Row],[Is Data Valid]]=TRUE,IF(Table1[[#This Row],[Fetal Sex (Male, Female or Unknown)]]="Male",Backend!$C$6,IF(Table1[[#This Row],[Fetal Sex (Male, Female or Unknown)]]="Female",Backend!$C$7,IF(Table1[[#This Row],[Fetal Sex (Male, Female or Unknown)]]="Unknown",Backend!$C$8,"Error"))),"")</f>
        <v/>
      </c>
      <c r="F6652" s="8" t="str">
        <f>IF(Table1[[#This Row],[Is Data Valid]]=TRUE,EXP(0.578+0.332*((Table1[[#This Row],[Gestation (days)]]+0.5)/7)-0.00354*((Table1[[#This Row],[Gestation (days)]]+0.5)/7)^2)*Table1[[#This Row],[BW40_3705]],"")</f>
        <v/>
      </c>
      <c r="G6652" s="2" t="str">
        <f>IF(Table1[[#This Row],[Is Data Valid]]=TRUE,((Table1[[#This Row],[Birthweight (grams)]]/Table1[[#This Row],[BW_GA]])-1)/(Backend!$B$4/100*Table1[[#This Row],[BW40_3705]]),"")</f>
        <v/>
      </c>
      <c r="H6652" s="7" t="str">
        <f>IF(Table1[[#This Row],[Is Data Valid]]=TRUE,((Table1[[#This Row],[Birthweight (grams)]]*0.9/Table1[[#This Row],[BW_GA]])-1)/(Backend!$B$4/100*Table1[[#This Row],[BW40_3705]]),"")</f>
        <v/>
      </c>
      <c r="I6652" s="7" t="str">
        <f>IF(Table1[[#This Row],[Is Data Valid]]=TRUE,((Table1[[#This Row],[Birthweight (grams)]]*1.1/Table1[[#This Row],[BW_GA]])-1)/(Backend!$B$4/100*Table1[[#This Row],[BW40_3705]]),"")</f>
        <v/>
      </c>
      <c r="J6652" s="7" t="str">
        <f>IF(Table1[[#This Row],[Is Data Valid]]=TRUE,_xlfn.NORM.S.DIST(Table1[[#This Row],[Birthweight Z-Score]],TRUE)*100,"")</f>
        <v/>
      </c>
      <c r="K6652" s="7" t="str">
        <f>IF(Table1[[#This Row],[Is Data Valid]]=TRUE,_xlfn.NORM.S.DIST(Table1[[#This Row],[Birthweight Z-Score (BW-10%)]],TRUE)*100,"")</f>
        <v/>
      </c>
      <c r="L6652" s="7" t="str">
        <f>IF(Table1[[#This Row],[Is Data Valid]]=TRUE,_xlfn.NORM.S.DIST(Table1[[#This Row],[Birthweight Z-Score (BW+10%)]],TRUE)*100,"")</f>
        <v/>
      </c>
    </row>
    <row r="6653" spans="1:12" x14ac:dyDescent="0.35">
      <c r="A6653" s="3"/>
      <c r="B6653" s="2"/>
      <c r="C6653" s="2"/>
      <c r="D6653" s="2" t="b">
        <f>IF(AND(NOT(ISBLANK(Table1[[#This Row],[Fetal Sex (Male, Female or Unknown)]])),ISNUMBER(Table1[[#This Row],[Birthweight (grams)]]),ISNUMBER(Table1[[#This Row],[Gestation (days)]])),TRUE,FALSE)</f>
        <v>0</v>
      </c>
      <c r="E6653" s="2" t="str">
        <f>IF(Table1[[#This Row],[Is Data Valid]]=TRUE,IF(Table1[[#This Row],[Fetal Sex (Male, Female or Unknown)]]="Male",Backend!$C$6,IF(Table1[[#This Row],[Fetal Sex (Male, Female or Unknown)]]="Female",Backend!$C$7,IF(Table1[[#This Row],[Fetal Sex (Male, Female or Unknown)]]="Unknown",Backend!$C$8,"Error"))),"")</f>
        <v/>
      </c>
      <c r="F6653" s="8" t="str">
        <f>IF(Table1[[#This Row],[Is Data Valid]]=TRUE,EXP(0.578+0.332*((Table1[[#This Row],[Gestation (days)]]+0.5)/7)-0.00354*((Table1[[#This Row],[Gestation (days)]]+0.5)/7)^2)*Table1[[#This Row],[BW40_3705]],"")</f>
        <v/>
      </c>
      <c r="G6653" s="2" t="str">
        <f>IF(Table1[[#This Row],[Is Data Valid]]=TRUE,((Table1[[#This Row],[Birthweight (grams)]]/Table1[[#This Row],[BW_GA]])-1)/(Backend!$B$4/100*Table1[[#This Row],[BW40_3705]]),"")</f>
        <v/>
      </c>
      <c r="H6653" s="7" t="str">
        <f>IF(Table1[[#This Row],[Is Data Valid]]=TRUE,((Table1[[#This Row],[Birthweight (grams)]]*0.9/Table1[[#This Row],[BW_GA]])-1)/(Backend!$B$4/100*Table1[[#This Row],[BW40_3705]]),"")</f>
        <v/>
      </c>
      <c r="I6653" s="7" t="str">
        <f>IF(Table1[[#This Row],[Is Data Valid]]=TRUE,((Table1[[#This Row],[Birthweight (grams)]]*1.1/Table1[[#This Row],[BW_GA]])-1)/(Backend!$B$4/100*Table1[[#This Row],[BW40_3705]]),"")</f>
        <v/>
      </c>
      <c r="J6653" s="7" t="str">
        <f>IF(Table1[[#This Row],[Is Data Valid]]=TRUE,_xlfn.NORM.S.DIST(Table1[[#This Row],[Birthweight Z-Score]],TRUE)*100,"")</f>
        <v/>
      </c>
      <c r="K6653" s="7" t="str">
        <f>IF(Table1[[#This Row],[Is Data Valid]]=TRUE,_xlfn.NORM.S.DIST(Table1[[#This Row],[Birthweight Z-Score (BW-10%)]],TRUE)*100,"")</f>
        <v/>
      </c>
      <c r="L6653" s="7" t="str">
        <f>IF(Table1[[#This Row],[Is Data Valid]]=TRUE,_xlfn.NORM.S.DIST(Table1[[#This Row],[Birthweight Z-Score (BW+10%)]],TRUE)*100,"")</f>
        <v/>
      </c>
    </row>
    <row r="6654" spans="1:12" x14ac:dyDescent="0.35">
      <c r="A6654" s="3"/>
      <c r="B6654" s="2"/>
      <c r="C6654" s="2"/>
      <c r="D6654" s="2" t="b">
        <f>IF(AND(NOT(ISBLANK(Table1[[#This Row],[Fetal Sex (Male, Female or Unknown)]])),ISNUMBER(Table1[[#This Row],[Birthweight (grams)]]),ISNUMBER(Table1[[#This Row],[Gestation (days)]])),TRUE,FALSE)</f>
        <v>0</v>
      </c>
      <c r="E6654" s="2" t="str">
        <f>IF(Table1[[#This Row],[Is Data Valid]]=TRUE,IF(Table1[[#This Row],[Fetal Sex (Male, Female or Unknown)]]="Male",Backend!$C$6,IF(Table1[[#This Row],[Fetal Sex (Male, Female or Unknown)]]="Female",Backend!$C$7,IF(Table1[[#This Row],[Fetal Sex (Male, Female or Unknown)]]="Unknown",Backend!$C$8,"Error"))),"")</f>
        <v/>
      </c>
      <c r="F6654" s="8" t="str">
        <f>IF(Table1[[#This Row],[Is Data Valid]]=TRUE,EXP(0.578+0.332*((Table1[[#This Row],[Gestation (days)]]+0.5)/7)-0.00354*((Table1[[#This Row],[Gestation (days)]]+0.5)/7)^2)*Table1[[#This Row],[BW40_3705]],"")</f>
        <v/>
      </c>
      <c r="G6654" s="2" t="str">
        <f>IF(Table1[[#This Row],[Is Data Valid]]=TRUE,((Table1[[#This Row],[Birthweight (grams)]]/Table1[[#This Row],[BW_GA]])-1)/(Backend!$B$4/100*Table1[[#This Row],[BW40_3705]]),"")</f>
        <v/>
      </c>
      <c r="H6654" s="7" t="str">
        <f>IF(Table1[[#This Row],[Is Data Valid]]=TRUE,((Table1[[#This Row],[Birthweight (grams)]]*0.9/Table1[[#This Row],[BW_GA]])-1)/(Backend!$B$4/100*Table1[[#This Row],[BW40_3705]]),"")</f>
        <v/>
      </c>
      <c r="I6654" s="7" t="str">
        <f>IF(Table1[[#This Row],[Is Data Valid]]=TRUE,((Table1[[#This Row],[Birthweight (grams)]]*1.1/Table1[[#This Row],[BW_GA]])-1)/(Backend!$B$4/100*Table1[[#This Row],[BW40_3705]]),"")</f>
        <v/>
      </c>
      <c r="J6654" s="7" t="str">
        <f>IF(Table1[[#This Row],[Is Data Valid]]=TRUE,_xlfn.NORM.S.DIST(Table1[[#This Row],[Birthweight Z-Score]],TRUE)*100,"")</f>
        <v/>
      </c>
      <c r="K6654" s="7" t="str">
        <f>IF(Table1[[#This Row],[Is Data Valid]]=TRUE,_xlfn.NORM.S.DIST(Table1[[#This Row],[Birthweight Z-Score (BW-10%)]],TRUE)*100,"")</f>
        <v/>
      </c>
      <c r="L6654" s="7" t="str">
        <f>IF(Table1[[#This Row],[Is Data Valid]]=TRUE,_xlfn.NORM.S.DIST(Table1[[#This Row],[Birthweight Z-Score (BW+10%)]],TRUE)*100,"")</f>
        <v/>
      </c>
    </row>
    <row r="6655" spans="1:12" x14ac:dyDescent="0.35">
      <c r="A6655" s="3"/>
      <c r="B6655" s="2"/>
      <c r="C6655" s="2"/>
      <c r="D6655" s="2" t="b">
        <f>IF(AND(NOT(ISBLANK(Table1[[#This Row],[Fetal Sex (Male, Female or Unknown)]])),ISNUMBER(Table1[[#This Row],[Birthweight (grams)]]),ISNUMBER(Table1[[#This Row],[Gestation (days)]])),TRUE,FALSE)</f>
        <v>0</v>
      </c>
      <c r="E6655" s="2" t="str">
        <f>IF(Table1[[#This Row],[Is Data Valid]]=TRUE,IF(Table1[[#This Row],[Fetal Sex (Male, Female or Unknown)]]="Male",Backend!$C$6,IF(Table1[[#This Row],[Fetal Sex (Male, Female or Unknown)]]="Female",Backend!$C$7,IF(Table1[[#This Row],[Fetal Sex (Male, Female or Unknown)]]="Unknown",Backend!$C$8,"Error"))),"")</f>
        <v/>
      </c>
      <c r="F6655" s="8" t="str">
        <f>IF(Table1[[#This Row],[Is Data Valid]]=TRUE,EXP(0.578+0.332*((Table1[[#This Row],[Gestation (days)]]+0.5)/7)-0.00354*((Table1[[#This Row],[Gestation (days)]]+0.5)/7)^2)*Table1[[#This Row],[BW40_3705]],"")</f>
        <v/>
      </c>
      <c r="G6655" s="2" t="str">
        <f>IF(Table1[[#This Row],[Is Data Valid]]=TRUE,((Table1[[#This Row],[Birthweight (grams)]]/Table1[[#This Row],[BW_GA]])-1)/(Backend!$B$4/100*Table1[[#This Row],[BW40_3705]]),"")</f>
        <v/>
      </c>
      <c r="H6655" s="7" t="str">
        <f>IF(Table1[[#This Row],[Is Data Valid]]=TRUE,((Table1[[#This Row],[Birthweight (grams)]]*0.9/Table1[[#This Row],[BW_GA]])-1)/(Backend!$B$4/100*Table1[[#This Row],[BW40_3705]]),"")</f>
        <v/>
      </c>
      <c r="I6655" s="7" t="str">
        <f>IF(Table1[[#This Row],[Is Data Valid]]=TRUE,((Table1[[#This Row],[Birthweight (grams)]]*1.1/Table1[[#This Row],[BW_GA]])-1)/(Backend!$B$4/100*Table1[[#This Row],[BW40_3705]]),"")</f>
        <v/>
      </c>
      <c r="J6655" s="7" t="str">
        <f>IF(Table1[[#This Row],[Is Data Valid]]=TRUE,_xlfn.NORM.S.DIST(Table1[[#This Row],[Birthweight Z-Score]],TRUE)*100,"")</f>
        <v/>
      </c>
      <c r="K6655" s="7" t="str">
        <f>IF(Table1[[#This Row],[Is Data Valid]]=TRUE,_xlfn.NORM.S.DIST(Table1[[#This Row],[Birthweight Z-Score (BW-10%)]],TRUE)*100,"")</f>
        <v/>
      </c>
      <c r="L6655" s="7" t="str">
        <f>IF(Table1[[#This Row],[Is Data Valid]]=TRUE,_xlfn.NORM.S.DIST(Table1[[#This Row],[Birthweight Z-Score (BW+10%)]],TRUE)*100,"")</f>
        <v/>
      </c>
    </row>
    <row r="6656" spans="1:12" x14ac:dyDescent="0.35">
      <c r="A6656" s="3"/>
      <c r="B6656" s="2"/>
      <c r="C6656" s="2"/>
      <c r="D6656" s="2" t="b">
        <f>IF(AND(NOT(ISBLANK(Table1[[#This Row],[Fetal Sex (Male, Female or Unknown)]])),ISNUMBER(Table1[[#This Row],[Birthweight (grams)]]),ISNUMBER(Table1[[#This Row],[Gestation (days)]])),TRUE,FALSE)</f>
        <v>0</v>
      </c>
      <c r="E6656" s="2" t="str">
        <f>IF(Table1[[#This Row],[Is Data Valid]]=TRUE,IF(Table1[[#This Row],[Fetal Sex (Male, Female or Unknown)]]="Male",Backend!$C$6,IF(Table1[[#This Row],[Fetal Sex (Male, Female or Unknown)]]="Female",Backend!$C$7,IF(Table1[[#This Row],[Fetal Sex (Male, Female or Unknown)]]="Unknown",Backend!$C$8,"Error"))),"")</f>
        <v/>
      </c>
      <c r="F6656" s="8" t="str">
        <f>IF(Table1[[#This Row],[Is Data Valid]]=TRUE,EXP(0.578+0.332*((Table1[[#This Row],[Gestation (days)]]+0.5)/7)-0.00354*((Table1[[#This Row],[Gestation (days)]]+0.5)/7)^2)*Table1[[#This Row],[BW40_3705]],"")</f>
        <v/>
      </c>
      <c r="G6656" s="2" t="str">
        <f>IF(Table1[[#This Row],[Is Data Valid]]=TRUE,((Table1[[#This Row],[Birthweight (grams)]]/Table1[[#This Row],[BW_GA]])-1)/(Backend!$B$4/100*Table1[[#This Row],[BW40_3705]]),"")</f>
        <v/>
      </c>
      <c r="H6656" s="7" t="str">
        <f>IF(Table1[[#This Row],[Is Data Valid]]=TRUE,((Table1[[#This Row],[Birthweight (grams)]]*0.9/Table1[[#This Row],[BW_GA]])-1)/(Backend!$B$4/100*Table1[[#This Row],[BW40_3705]]),"")</f>
        <v/>
      </c>
      <c r="I6656" s="7" t="str">
        <f>IF(Table1[[#This Row],[Is Data Valid]]=TRUE,((Table1[[#This Row],[Birthweight (grams)]]*1.1/Table1[[#This Row],[BW_GA]])-1)/(Backend!$B$4/100*Table1[[#This Row],[BW40_3705]]),"")</f>
        <v/>
      </c>
      <c r="J6656" s="7" t="str">
        <f>IF(Table1[[#This Row],[Is Data Valid]]=TRUE,_xlfn.NORM.S.DIST(Table1[[#This Row],[Birthweight Z-Score]],TRUE)*100,"")</f>
        <v/>
      </c>
      <c r="K6656" s="7" t="str">
        <f>IF(Table1[[#This Row],[Is Data Valid]]=TRUE,_xlfn.NORM.S.DIST(Table1[[#This Row],[Birthweight Z-Score (BW-10%)]],TRUE)*100,"")</f>
        <v/>
      </c>
      <c r="L6656" s="7" t="str">
        <f>IF(Table1[[#This Row],[Is Data Valid]]=TRUE,_xlfn.NORM.S.DIST(Table1[[#This Row],[Birthweight Z-Score (BW+10%)]],TRUE)*100,"")</f>
        <v/>
      </c>
    </row>
    <row r="6657" spans="1:12" x14ac:dyDescent="0.35">
      <c r="A6657" s="3"/>
      <c r="B6657" s="2"/>
      <c r="C6657" s="2"/>
      <c r="D6657" s="2" t="b">
        <f>IF(AND(NOT(ISBLANK(Table1[[#This Row],[Fetal Sex (Male, Female or Unknown)]])),ISNUMBER(Table1[[#This Row],[Birthweight (grams)]]),ISNUMBER(Table1[[#This Row],[Gestation (days)]])),TRUE,FALSE)</f>
        <v>0</v>
      </c>
      <c r="E6657" s="2" t="str">
        <f>IF(Table1[[#This Row],[Is Data Valid]]=TRUE,IF(Table1[[#This Row],[Fetal Sex (Male, Female or Unknown)]]="Male",Backend!$C$6,IF(Table1[[#This Row],[Fetal Sex (Male, Female or Unknown)]]="Female",Backend!$C$7,IF(Table1[[#This Row],[Fetal Sex (Male, Female or Unknown)]]="Unknown",Backend!$C$8,"Error"))),"")</f>
        <v/>
      </c>
      <c r="F6657" s="8" t="str">
        <f>IF(Table1[[#This Row],[Is Data Valid]]=TRUE,EXP(0.578+0.332*((Table1[[#This Row],[Gestation (days)]]+0.5)/7)-0.00354*((Table1[[#This Row],[Gestation (days)]]+0.5)/7)^2)*Table1[[#This Row],[BW40_3705]],"")</f>
        <v/>
      </c>
      <c r="G6657" s="2" t="str">
        <f>IF(Table1[[#This Row],[Is Data Valid]]=TRUE,((Table1[[#This Row],[Birthweight (grams)]]/Table1[[#This Row],[BW_GA]])-1)/(Backend!$B$4/100*Table1[[#This Row],[BW40_3705]]),"")</f>
        <v/>
      </c>
      <c r="H6657" s="7" t="str">
        <f>IF(Table1[[#This Row],[Is Data Valid]]=TRUE,((Table1[[#This Row],[Birthweight (grams)]]*0.9/Table1[[#This Row],[BW_GA]])-1)/(Backend!$B$4/100*Table1[[#This Row],[BW40_3705]]),"")</f>
        <v/>
      </c>
      <c r="I6657" s="7" t="str">
        <f>IF(Table1[[#This Row],[Is Data Valid]]=TRUE,((Table1[[#This Row],[Birthweight (grams)]]*1.1/Table1[[#This Row],[BW_GA]])-1)/(Backend!$B$4/100*Table1[[#This Row],[BW40_3705]]),"")</f>
        <v/>
      </c>
      <c r="J6657" s="7" t="str">
        <f>IF(Table1[[#This Row],[Is Data Valid]]=TRUE,_xlfn.NORM.S.DIST(Table1[[#This Row],[Birthweight Z-Score]],TRUE)*100,"")</f>
        <v/>
      </c>
      <c r="K6657" s="7" t="str">
        <f>IF(Table1[[#This Row],[Is Data Valid]]=TRUE,_xlfn.NORM.S.DIST(Table1[[#This Row],[Birthweight Z-Score (BW-10%)]],TRUE)*100,"")</f>
        <v/>
      </c>
      <c r="L6657" s="7" t="str">
        <f>IF(Table1[[#This Row],[Is Data Valid]]=TRUE,_xlfn.NORM.S.DIST(Table1[[#This Row],[Birthweight Z-Score (BW+10%)]],TRUE)*100,"")</f>
        <v/>
      </c>
    </row>
    <row r="6658" spans="1:12" x14ac:dyDescent="0.35">
      <c r="A6658" s="3"/>
      <c r="B6658" s="2"/>
      <c r="C6658" s="2"/>
      <c r="D6658" s="2" t="b">
        <f>IF(AND(NOT(ISBLANK(Table1[[#This Row],[Fetal Sex (Male, Female or Unknown)]])),ISNUMBER(Table1[[#This Row],[Birthweight (grams)]]),ISNUMBER(Table1[[#This Row],[Gestation (days)]])),TRUE,FALSE)</f>
        <v>0</v>
      </c>
      <c r="E6658" s="2" t="str">
        <f>IF(Table1[[#This Row],[Is Data Valid]]=TRUE,IF(Table1[[#This Row],[Fetal Sex (Male, Female or Unknown)]]="Male",Backend!$C$6,IF(Table1[[#This Row],[Fetal Sex (Male, Female or Unknown)]]="Female",Backend!$C$7,IF(Table1[[#This Row],[Fetal Sex (Male, Female or Unknown)]]="Unknown",Backend!$C$8,"Error"))),"")</f>
        <v/>
      </c>
      <c r="F6658" s="8" t="str">
        <f>IF(Table1[[#This Row],[Is Data Valid]]=TRUE,EXP(0.578+0.332*((Table1[[#This Row],[Gestation (days)]]+0.5)/7)-0.00354*((Table1[[#This Row],[Gestation (days)]]+0.5)/7)^2)*Table1[[#This Row],[BW40_3705]],"")</f>
        <v/>
      </c>
      <c r="G6658" s="2" t="str">
        <f>IF(Table1[[#This Row],[Is Data Valid]]=TRUE,((Table1[[#This Row],[Birthweight (grams)]]/Table1[[#This Row],[BW_GA]])-1)/(Backend!$B$4/100*Table1[[#This Row],[BW40_3705]]),"")</f>
        <v/>
      </c>
      <c r="H6658" s="7" t="str">
        <f>IF(Table1[[#This Row],[Is Data Valid]]=TRUE,((Table1[[#This Row],[Birthweight (grams)]]*0.9/Table1[[#This Row],[BW_GA]])-1)/(Backend!$B$4/100*Table1[[#This Row],[BW40_3705]]),"")</f>
        <v/>
      </c>
      <c r="I6658" s="7" t="str">
        <f>IF(Table1[[#This Row],[Is Data Valid]]=TRUE,((Table1[[#This Row],[Birthweight (grams)]]*1.1/Table1[[#This Row],[BW_GA]])-1)/(Backend!$B$4/100*Table1[[#This Row],[BW40_3705]]),"")</f>
        <v/>
      </c>
      <c r="J6658" s="7" t="str">
        <f>IF(Table1[[#This Row],[Is Data Valid]]=TRUE,_xlfn.NORM.S.DIST(Table1[[#This Row],[Birthweight Z-Score]],TRUE)*100,"")</f>
        <v/>
      </c>
      <c r="K6658" s="7" t="str">
        <f>IF(Table1[[#This Row],[Is Data Valid]]=TRUE,_xlfn.NORM.S.DIST(Table1[[#This Row],[Birthweight Z-Score (BW-10%)]],TRUE)*100,"")</f>
        <v/>
      </c>
      <c r="L6658" s="7" t="str">
        <f>IF(Table1[[#This Row],[Is Data Valid]]=TRUE,_xlfn.NORM.S.DIST(Table1[[#This Row],[Birthweight Z-Score (BW+10%)]],TRUE)*100,"")</f>
        <v/>
      </c>
    </row>
    <row r="6659" spans="1:12" x14ac:dyDescent="0.35">
      <c r="A6659" s="3"/>
      <c r="B6659" s="2"/>
      <c r="C6659" s="2"/>
      <c r="D6659" s="2" t="b">
        <f>IF(AND(NOT(ISBLANK(Table1[[#This Row],[Fetal Sex (Male, Female or Unknown)]])),ISNUMBER(Table1[[#This Row],[Birthweight (grams)]]),ISNUMBER(Table1[[#This Row],[Gestation (days)]])),TRUE,FALSE)</f>
        <v>0</v>
      </c>
      <c r="E6659" s="2" t="str">
        <f>IF(Table1[[#This Row],[Is Data Valid]]=TRUE,IF(Table1[[#This Row],[Fetal Sex (Male, Female or Unknown)]]="Male",Backend!$C$6,IF(Table1[[#This Row],[Fetal Sex (Male, Female or Unknown)]]="Female",Backend!$C$7,IF(Table1[[#This Row],[Fetal Sex (Male, Female or Unknown)]]="Unknown",Backend!$C$8,"Error"))),"")</f>
        <v/>
      </c>
      <c r="F6659" s="8" t="str">
        <f>IF(Table1[[#This Row],[Is Data Valid]]=TRUE,EXP(0.578+0.332*((Table1[[#This Row],[Gestation (days)]]+0.5)/7)-0.00354*((Table1[[#This Row],[Gestation (days)]]+0.5)/7)^2)*Table1[[#This Row],[BW40_3705]],"")</f>
        <v/>
      </c>
      <c r="G6659" s="2" t="str">
        <f>IF(Table1[[#This Row],[Is Data Valid]]=TRUE,((Table1[[#This Row],[Birthweight (grams)]]/Table1[[#This Row],[BW_GA]])-1)/(Backend!$B$4/100*Table1[[#This Row],[BW40_3705]]),"")</f>
        <v/>
      </c>
      <c r="H6659" s="7" t="str">
        <f>IF(Table1[[#This Row],[Is Data Valid]]=TRUE,((Table1[[#This Row],[Birthweight (grams)]]*0.9/Table1[[#This Row],[BW_GA]])-1)/(Backend!$B$4/100*Table1[[#This Row],[BW40_3705]]),"")</f>
        <v/>
      </c>
      <c r="I6659" s="7" t="str">
        <f>IF(Table1[[#This Row],[Is Data Valid]]=TRUE,((Table1[[#This Row],[Birthweight (grams)]]*1.1/Table1[[#This Row],[BW_GA]])-1)/(Backend!$B$4/100*Table1[[#This Row],[BW40_3705]]),"")</f>
        <v/>
      </c>
      <c r="J6659" s="7" t="str">
        <f>IF(Table1[[#This Row],[Is Data Valid]]=TRUE,_xlfn.NORM.S.DIST(Table1[[#This Row],[Birthweight Z-Score]],TRUE)*100,"")</f>
        <v/>
      </c>
      <c r="K6659" s="7" t="str">
        <f>IF(Table1[[#This Row],[Is Data Valid]]=TRUE,_xlfn.NORM.S.DIST(Table1[[#This Row],[Birthweight Z-Score (BW-10%)]],TRUE)*100,"")</f>
        <v/>
      </c>
      <c r="L6659" s="7" t="str">
        <f>IF(Table1[[#This Row],[Is Data Valid]]=TRUE,_xlfn.NORM.S.DIST(Table1[[#This Row],[Birthweight Z-Score (BW+10%)]],TRUE)*100,"")</f>
        <v/>
      </c>
    </row>
    <row r="6660" spans="1:12" x14ac:dyDescent="0.35">
      <c r="A6660" s="3"/>
      <c r="B6660" s="2"/>
      <c r="C6660" s="2"/>
      <c r="D6660" s="2" t="b">
        <f>IF(AND(NOT(ISBLANK(Table1[[#This Row],[Fetal Sex (Male, Female or Unknown)]])),ISNUMBER(Table1[[#This Row],[Birthweight (grams)]]),ISNUMBER(Table1[[#This Row],[Gestation (days)]])),TRUE,FALSE)</f>
        <v>0</v>
      </c>
      <c r="E6660" s="2" t="str">
        <f>IF(Table1[[#This Row],[Is Data Valid]]=TRUE,IF(Table1[[#This Row],[Fetal Sex (Male, Female or Unknown)]]="Male",Backend!$C$6,IF(Table1[[#This Row],[Fetal Sex (Male, Female or Unknown)]]="Female",Backend!$C$7,IF(Table1[[#This Row],[Fetal Sex (Male, Female or Unknown)]]="Unknown",Backend!$C$8,"Error"))),"")</f>
        <v/>
      </c>
      <c r="F6660" s="8" t="str">
        <f>IF(Table1[[#This Row],[Is Data Valid]]=TRUE,EXP(0.578+0.332*((Table1[[#This Row],[Gestation (days)]]+0.5)/7)-0.00354*((Table1[[#This Row],[Gestation (days)]]+0.5)/7)^2)*Table1[[#This Row],[BW40_3705]],"")</f>
        <v/>
      </c>
      <c r="G6660" s="2" t="str">
        <f>IF(Table1[[#This Row],[Is Data Valid]]=TRUE,((Table1[[#This Row],[Birthweight (grams)]]/Table1[[#This Row],[BW_GA]])-1)/(Backend!$B$4/100*Table1[[#This Row],[BW40_3705]]),"")</f>
        <v/>
      </c>
      <c r="H6660" s="7" t="str">
        <f>IF(Table1[[#This Row],[Is Data Valid]]=TRUE,((Table1[[#This Row],[Birthweight (grams)]]*0.9/Table1[[#This Row],[BW_GA]])-1)/(Backend!$B$4/100*Table1[[#This Row],[BW40_3705]]),"")</f>
        <v/>
      </c>
      <c r="I6660" s="7" t="str">
        <f>IF(Table1[[#This Row],[Is Data Valid]]=TRUE,((Table1[[#This Row],[Birthweight (grams)]]*1.1/Table1[[#This Row],[BW_GA]])-1)/(Backend!$B$4/100*Table1[[#This Row],[BW40_3705]]),"")</f>
        <v/>
      </c>
      <c r="J6660" s="7" t="str">
        <f>IF(Table1[[#This Row],[Is Data Valid]]=TRUE,_xlfn.NORM.S.DIST(Table1[[#This Row],[Birthweight Z-Score]],TRUE)*100,"")</f>
        <v/>
      </c>
      <c r="K6660" s="7" t="str">
        <f>IF(Table1[[#This Row],[Is Data Valid]]=TRUE,_xlfn.NORM.S.DIST(Table1[[#This Row],[Birthweight Z-Score (BW-10%)]],TRUE)*100,"")</f>
        <v/>
      </c>
      <c r="L6660" s="7" t="str">
        <f>IF(Table1[[#This Row],[Is Data Valid]]=TRUE,_xlfn.NORM.S.DIST(Table1[[#This Row],[Birthweight Z-Score (BW+10%)]],TRUE)*100,"")</f>
        <v/>
      </c>
    </row>
    <row r="6661" spans="1:12" x14ac:dyDescent="0.35">
      <c r="A6661" s="3"/>
      <c r="B6661" s="2"/>
      <c r="C6661" s="2"/>
      <c r="D6661" s="2" t="b">
        <f>IF(AND(NOT(ISBLANK(Table1[[#This Row],[Fetal Sex (Male, Female or Unknown)]])),ISNUMBER(Table1[[#This Row],[Birthweight (grams)]]),ISNUMBER(Table1[[#This Row],[Gestation (days)]])),TRUE,FALSE)</f>
        <v>0</v>
      </c>
      <c r="E6661" s="2" t="str">
        <f>IF(Table1[[#This Row],[Is Data Valid]]=TRUE,IF(Table1[[#This Row],[Fetal Sex (Male, Female or Unknown)]]="Male",Backend!$C$6,IF(Table1[[#This Row],[Fetal Sex (Male, Female or Unknown)]]="Female",Backend!$C$7,IF(Table1[[#This Row],[Fetal Sex (Male, Female or Unknown)]]="Unknown",Backend!$C$8,"Error"))),"")</f>
        <v/>
      </c>
      <c r="F6661" s="8" t="str">
        <f>IF(Table1[[#This Row],[Is Data Valid]]=TRUE,EXP(0.578+0.332*((Table1[[#This Row],[Gestation (days)]]+0.5)/7)-0.00354*((Table1[[#This Row],[Gestation (days)]]+0.5)/7)^2)*Table1[[#This Row],[BW40_3705]],"")</f>
        <v/>
      </c>
      <c r="G6661" s="2" t="str">
        <f>IF(Table1[[#This Row],[Is Data Valid]]=TRUE,((Table1[[#This Row],[Birthweight (grams)]]/Table1[[#This Row],[BW_GA]])-1)/(Backend!$B$4/100*Table1[[#This Row],[BW40_3705]]),"")</f>
        <v/>
      </c>
      <c r="H6661" s="7" t="str">
        <f>IF(Table1[[#This Row],[Is Data Valid]]=TRUE,((Table1[[#This Row],[Birthweight (grams)]]*0.9/Table1[[#This Row],[BW_GA]])-1)/(Backend!$B$4/100*Table1[[#This Row],[BW40_3705]]),"")</f>
        <v/>
      </c>
      <c r="I6661" s="7" t="str">
        <f>IF(Table1[[#This Row],[Is Data Valid]]=TRUE,((Table1[[#This Row],[Birthweight (grams)]]*1.1/Table1[[#This Row],[BW_GA]])-1)/(Backend!$B$4/100*Table1[[#This Row],[BW40_3705]]),"")</f>
        <v/>
      </c>
      <c r="J6661" s="7" t="str">
        <f>IF(Table1[[#This Row],[Is Data Valid]]=TRUE,_xlfn.NORM.S.DIST(Table1[[#This Row],[Birthweight Z-Score]],TRUE)*100,"")</f>
        <v/>
      </c>
      <c r="K6661" s="7" t="str">
        <f>IF(Table1[[#This Row],[Is Data Valid]]=TRUE,_xlfn.NORM.S.DIST(Table1[[#This Row],[Birthweight Z-Score (BW-10%)]],TRUE)*100,"")</f>
        <v/>
      </c>
      <c r="L6661" s="7" t="str">
        <f>IF(Table1[[#This Row],[Is Data Valid]]=TRUE,_xlfn.NORM.S.DIST(Table1[[#This Row],[Birthweight Z-Score (BW+10%)]],TRUE)*100,"")</f>
        <v/>
      </c>
    </row>
    <row r="6662" spans="1:12" x14ac:dyDescent="0.35">
      <c r="A6662" s="3"/>
      <c r="B6662" s="2"/>
      <c r="C6662" s="2"/>
      <c r="D6662" s="2" t="b">
        <f>IF(AND(NOT(ISBLANK(Table1[[#This Row],[Fetal Sex (Male, Female or Unknown)]])),ISNUMBER(Table1[[#This Row],[Birthweight (grams)]]),ISNUMBER(Table1[[#This Row],[Gestation (days)]])),TRUE,FALSE)</f>
        <v>0</v>
      </c>
      <c r="E6662" s="2" t="str">
        <f>IF(Table1[[#This Row],[Is Data Valid]]=TRUE,IF(Table1[[#This Row],[Fetal Sex (Male, Female or Unknown)]]="Male",Backend!$C$6,IF(Table1[[#This Row],[Fetal Sex (Male, Female or Unknown)]]="Female",Backend!$C$7,IF(Table1[[#This Row],[Fetal Sex (Male, Female or Unknown)]]="Unknown",Backend!$C$8,"Error"))),"")</f>
        <v/>
      </c>
      <c r="F6662" s="8" t="str">
        <f>IF(Table1[[#This Row],[Is Data Valid]]=TRUE,EXP(0.578+0.332*((Table1[[#This Row],[Gestation (days)]]+0.5)/7)-0.00354*((Table1[[#This Row],[Gestation (days)]]+0.5)/7)^2)*Table1[[#This Row],[BW40_3705]],"")</f>
        <v/>
      </c>
      <c r="G6662" s="2" t="str">
        <f>IF(Table1[[#This Row],[Is Data Valid]]=TRUE,((Table1[[#This Row],[Birthweight (grams)]]/Table1[[#This Row],[BW_GA]])-1)/(Backend!$B$4/100*Table1[[#This Row],[BW40_3705]]),"")</f>
        <v/>
      </c>
      <c r="H6662" s="7" t="str">
        <f>IF(Table1[[#This Row],[Is Data Valid]]=TRUE,((Table1[[#This Row],[Birthweight (grams)]]*0.9/Table1[[#This Row],[BW_GA]])-1)/(Backend!$B$4/100*Table1[[#This Row],[BW40_3705]]),"")</f>
        <v/>
      </c>
      <c r="I6662" s="7" t="str">
        <f>IF(Table1[[#This Row],[Is Data Valid]]=TRUE,((Table1[[#This Row],[Birthweight (grams)]]*1.1/Table1[[#This Row],[BW_GA]])-1)/(Backend!$B$4/100*Table1[[#This Row],[BW40_3705]]),"")</f>
        <v/>
      </c>
      <c r="J6662" s="7" t="str">
        <f>IF(Table1[[#This Row],[Is Data Valid]]=TRUE,_xlfn.NORM.S.DIST(Table1[[#This Row],[Birthweight Z-Score]],TRUE)*100,"")</f>
        <v/>
      </c>
      <c r="K6662" s="7" t="str">
        <f>IF(Table1[[#This Row],[Is Data Valid]]=TRUE,_xlfn.NORM.S.DIST(Table1[[#This Row],[Birthweight Z-Score (BW-10%)]],TRUE)*100,"")</f>
        <v/>
      </c>
      <c r="L6662" s="7" t="str">
        <f>IF(Table1[[#This Row],[Is Data Valid]]=TRUE,_xlfn.NORM.S.DIST(Table1[[#This Row],[Birthweight Z-Score (BW+10%)]],TRUE)*100,"")</f>
        <v/>
      </c>
    </row>
    <row r="6663" spans="1:12" x14ac:dyDescent="0.35">
      <c r="A6663" s="3"/>
      <c r="B6663" s="2"/>
      <c r="C6663" s="2"/>
      <c r="D6663" s="2" t="b">
        <f>IF(AND(NOT(ISBLANK(Table1[[#This Row],[Fetal Sex (Male, Female or Unknown)]])),ISNUMBER(Table1[[#This Row],[Birthweight (grams)]]),ISNUMBER(Table1[[#This Row],[Gestation (days)]])),TRUE,FALSE)</f>
        <v>0</v>
      </c>
      <c r="E6663" s="2" t="str">
        <f>IF(Table1[[#This Row],[Is Data Valid]]=TRUE,IF(Table1[[#This Row],[Fetal Sex (Male, Female or Unknown)]]="Male",Backend!$C$6,IF(Table1[[#This Row],[Fetal Sex (Male, Female or Unknown)]]="Female",Backend!$C$7,IF(Table1[[#This Row],[Fetal Sex (Male, Female or Unknown)]]="Unknown",Backend!$C$8,"Error"))),"")</f>
        <v/>
      </c>
      <c r="F6663" s="8" t="str">
        <f>IF(Table1[[#This Row],[Is Data Valid]]=TRUE,EXP(0.578+0.332*((Table1[[#This Row],[Gestation (days)]]+0.5)/7)-0.00354*((Table1[[#This Row],[Gestation (days)]]+0.5)/7)^2)*Table1[[#This Row],[BW40_3705]],"")</f>
        <v/>
      </c>
      <c r="G6663" s="2" t="str">
        <f>IF(Table1[[#This Row],[Is Data Valid]]=TRUE,((Table1[[#This Row],[Birthweight (grams)]]/Table1[[#This Row],[BW_GA]])-1)/(Backend!$B$4/100*Table1[[#This Row],[BW40_3705]]),"")</f>
        <v/>
      </c>
      <c r="H6663" s="7" t="str">
        <f>IF(Table1[[#This Row],[Is Data Valid]]=TRUE,((Table1[[#This Row],[Birthweight (grams)]]*0.9/Table1[[#This Row],[BW_GA]])-1)/(Backend!$B$4/100*Table1[[#This Row],[BW40_3705]]),"")</f>
        <v/>
      </c>
      <c r="I6663" s="7" t="str">
        <f>IF(Table1[[#This Row],[Is Data Valid]]=TRUE,((Table1[[#This Row],[Birthweight (grams)]]*1.1/Table1[[#This Row],[BW_GA]])-1)/(Backend!$B$4/100*Table1[[#This Row],[BW40_3705]]),"")</f>
        <v/>
      </c>
      <c r="J6663" s="7" t="str">
        <f>IF(Table1[[#This Row],[Is Data Valid]]=TRUE,_xlfn.NORM.S.DIST(Table1[[#This Row],[Birthweight Z-Score]],TRUE)*100,"")</f>
        <v/>
      </c>
      <c r="K6663" s="7" t="str">
        <f>IF(Table1[[#This Row],[Is Data Valid]]=TRUE,_xlfn.NORM.S.DIST(Table1[[#This Row],[Birthweight Z-Score (BW-10%)]],TRUE)*100,"")</f>
        <v/>
      </c>
      <c r="L6663" s="7" t="str">
        <f>IF(Table1[[#This Row],[Is Data Valid]]=TRUE,_xlfn.NORM.S.DIST(Table1[[#This Row],[Birthweight Z-Score (BW+10%)]],TRUE)*100,"")</f>
        <v/>
      </c>
    </row>
    <row r="6664" spans="1:12" x14ac:dyDescent="0.35">
      <c r="A6664" s="3"/>
      <c r="B6664" s="2"/>
      <c r="C6664" s="2"/>
      <c r="D6664" s="2" t="b">
        <f>IF(AND(NOT(ISBLANK(Table1[[#This Row],[Fetal Sex (Male, Female or Unknown)]])),ISNUMBER(Table1[[#This Row],[Birthweight (grams)]]),ISNUMBER(Table1[[#This Row],[Gestation (days)]])),TRUE,FALSE)</f>
        <v>0</v>
      </c>
      <c r="E6664" s="2" t="str">
        <f>IF(Table1[[#This Row],[Is Data Valid]]=TRUE,IF(Table1[[#This Row],[Fetal Sex (Male, Female or Unknown)]]="Male",Backend!$C$6,IF(Table1[[#This Row],[Fetal Sex (Male, Female or Unknown)]]="Female",Backend!$C$7,IF(Table1[[#This Row],[Fetal Sex (Male, Female or Unknown)]]="Unknown",Backend!$C$8,"Error"))),"")</f>
        <v/>
      </c>
      <c r="F6664" s="8" t="str">
        <f>IF(Table1[[#This Row],[Is Data Valid]]=TRUE,EXP(0.578+0.332*((Table1[[#This Row],[Gestation (days)]]+0.5)/7)-0.00354*((Table1[[#This Row],[Gestation (days)]]+0.5)/7)^2)*Table1[[#This Row],[BW40_3705]],"")</f>
        <v/>
      </c>
      <c r="G6664" s="2" t="str">
        <f>IF(Table1[[#This Row],[Is Data Valid]]=TRUE,((Table1[[#This Row],[Birthweight (grams)]]/Table1[[#This Row],[BW_GA]])-1)/(Backend!$B$4/100*Table1[[#This Row],[BW40_3705]]),"")</f>
        <v/>
      </c>
      <c r="H6664" s="7" t="str">
        <f>IF(Table1[[#This Row],[Is Data Valid]]=TRUE,((Table1[[#This Row],[Birthweight (grams)]]*0.9/Table1[[#This Row],[BW_GA]])-1)/(Backend!$B$4/100*Table1[[#This Row],[BW40_3705]]),"")</f>
        <v/>
      </c>
      <c r="I6664" s="7" t="str">
        <f>IF(Table1[[#This Row],[Is Data Valid]]=TRUE,((Table1[[#This Row],[Birthweight (grams)]]*1.1/Table1[[#This Row],[BW_GA]])-1)/(Backend!$B$4/100*Table1[[#This Row],[BW40_3705]]),"")</f>
        <v/>
      </c>
      <c r="J6664" s="7" t="str">
        <f>IF(Table1[[#This Row],[Is Data Valid]]=TRUE,_xlfn.NORM.S.DIST(Table1[[#This Row],[Birthweight Z-Score]],TRUE)*100,"")</f>
        <v/>
      </c>
      <c r="K6664" s="7" t="str">
        <f>IF(Table1[[#This Row],[Is Data Valid]]=TRUE,_xlfn.NORM.S.DIST(Table1[[#This Row],[Birthweight Z-Score (BW-10%)]],TRUE)*100,"")</f>
        <v/>
      </c>
      <c r="L6664" s="7" t="str">
        <f>IF(Table1[[#This Row],[Is Data Valid]]=TRUE,_xlfn.NORM.S.DIST(Table1[[#This Row],[Birthweight Z-Score (BW+10%)]],TRUE)*100,"")</f>
        <v/>
      </c>
    </row>
    <row r="6665" spans="1:12" x14ac:dyDescent="0.35">
      <c r="A6665" s="3"/>
      <c r="B6665" s="2"/>
      <c r="C6665" s="2"/>
      <c r="D6665" s="2" t="b">
        <f>IF(AND(NOT(ISBLANK(Table1[[#This Row],[Fetal Sex (Male, Female or Unknown)]])),ISNUMBER(Table1[[#This Row],[Birthweight (grams)]]),ISNUMBER(Table1[[#This Row],[Gestation (days)]])),TRUE,FALSE)</f>
        <v>0</v>
      </c>
      <c r="E6665" s="2" t="str">
        <f>IF(Table1[[#This Row],[Is Data Valid]]=TRUE,IF(Table1[[#This Row],[Fetal Sex (Male, Female or Unknown)]]="Male",Backend!$C$6,IF(Table1[[#This Row],[Fetal Sex (Male, Female or Unknown)]]="Female",Backend!$C$7,IF(Table1[[#This Row],[Fetal Sex (Male, Female or Unknown)]]="Unknown",Backend!$C$8,"Error"))),"")</f>
        <v/>
      </c>
      <c r="F6665" s="8" t="str">
        <f>IF(Table1[[#This Row],[Is Data Valid]]=TRUE,EXP(0.578+0.332*((Table1[[#This Row],[Gestation (days)]]+0.5)/7)-0.00354*((Table1[[#This Row],[Gestation (days)]]+0.5)/7)^2)*Table1[[#This Row],[BW40_3705]],"")</f>
        <v/>
      </c>
      <c r="G6665" s="2" t="str">
        <f>IF(Table1[[#This Row],[Is Data Valid]]=TRUE,((Table1[[#This Row],[Birthweight (grams)]]/Table1[[#This Row],[BW_GA]])-1)/(Backend!$B$4/100*Table1[[#This Row],[BW40_3705]]),"")</f>
        <v/>
      </c>
      <c r="H6665" s="7" t="str">
        <f>IF(Table1[[#This Row],[Is Data Valid]]=TRUE,((Table1[[#This Row],[Birthweight (grams)]]*0.9/Table1[[#This Row],[BW_GA]])-1)/(Backend!$B$4/100*Table1[[#This Row],[BW40_3705]]),"")</f>
        <v/>
      </c>
      <c r="I6665" s="7" t="str">
        <f>IF(Table1[[#This Row],[Is Data Valid]]=TRUE,((Table1[[#This Row],[Birthweight (grams)]]*1.1/Table1[[#This Row],[BW_GA]])-1)/(Backend!$B$4/100*Table1[[#This Row],[BW40_3705]]),"")</f>
        <v/>
      </c>
      <c r="J6665" s="7" t="str">
        <f>IF(Table1[[#This Row],[Is Data Valid]]=TRUE,_xlfn.NORM.S.DIST(Table1[[#This Row],[Birthweight Z-Score]],TRUE)*100,"")</f>
        <v/>
      </c>
      <c r="K6665" s="7" t="str">
        <f>IF(Table1[[#This Row],[Is Data Valid]]=TRUE,_xlfn.NORM.S.DIST(Table1[[#This Row],[Birthweight Z-Score (BW-10%)]],TRUE)*100,"")</f>
        <v/>
      </c>
      <c r="L6665" s="7" t="str">
        <f>IF(Table1[[#This Row],[Is Data Valid]]=TRUE,_xlfn.NORM.S.DIST(Table1[[#This Row],[Birthweight Z-Score (BW+10%)]],TRUE)*100,"")</f>
        <v/>
      </c>
    </row>
    <row r="6666" spans="1:12" x14ac:dyDescent="0.35">
      <c r="A6666" s="3"/>
      <c r="B6666" s="2"/>
      <c r="C6666" s="2"/>
      <c r="D6666" s="2" t="b">
        <f>IF(AND(NOT(ISBLANK(Table1[[#This Row],[Fetal Sex (Male, Female or Unknown)]])),ISNUMBER(Table1[[#This Row],[Birthweight (grams)]]),ISNUMBER(Table1[[#This Row],[Gestation (days)]])),TRUE,FALSE)</f>
        <v>0</v>
      </c>
      <c r="E6666" s="2" t="str">
        <f>IF(Table1[[#This Row],[Is Data Valid]]=TRUE,IF(Table1[[#This Row],[Fetal Sex (Male, Female or Unknown)]]="Male",Backend!$C$6,IF(Table1[[#This Row],[Fetal Sex (Male, Female or Unknown)]]="Female",Backend!$C$7,IF(Table1[[#This Row],[Fetal Sex (Male, Female or Unknown)]]="Unknown",Backend!$C$8,"Error"))),"")</f>
        <v/>
      </c>
      <c r="F6666" s="8" t="str">
        <f>IF(Table1[[#This Row],[Is Data Valid]]=TRUE,EXP(0.578+0.332*((Table1[[#This Row],[Gestation (days)]]+0.5)/7)-0.00354*((Table1[[#This Row],[Gestation (days)]]+0.5)/7)^2)*Table1[[#This Row],[BW40_3705]],"")</f>
        <v/>
      </c>
      <c r="G6666" s="2" t="str">
        <f>IF(Table1[[#This Row],[Is Data Valid]]=TRUE,((Table1[[#This Row],[Birthweight (grams)]]/Table1[[#This Row],[BW_GA]])-1)/(Backend!$B$4/100*Table1[[#This Row],[BW40_3705]]),"")</f>
        <v/>
      </c>
      <c r="H6666" s="7" t="str">
        <f>IF(Table1[[#This Row],[Is Data Valid]]=TRUE,((Table1[[#This Row],[Birthweight (grams)]]*0.9/Table1[[#This Row],[BW_GA]])-1)/(Backend!$B$4/100*Table1[[#This Row],[BW40_3705]]),"")</f>
        <v/>
      </c>
      <c r="I6666" s="7" t="str">
        <f>IF(Table1[[#This Row],[Is Data Valid]]=TRUE,((Table1[[#This Row],[Birthweight (grams)]]*1.1/Table1[[#This Row],[BW_GA]])-1)/(Backend!$B$4/100*Table1[[#This Row],[BW40_3705]]),"")</f>
        <v/>
      </c>
      <c r="J6666" s="7" t="str">
        <f>IF(Table1[[#This Row],[Is Data Valid]]=TRUE,_xlfn.NORM.S.DIST(Table1[[#This Row],[Birthweight Z-Score]],TRUE)*100,"")</f>
        <v/>
      </c>
      <c r="K6666" s="7" t="str">
        <f>IF(Table1[[#This Row],[Is Data Valid]]=TRUE,_xlfn.NORM.S.DIST(Table1[[#This Row],[Birthweight Z-Score (BW-10%)]],TRUE)*100,"")</f>
        <v/>
      </c>
      <c r="L6666" s="7" t="str">
        <f>IF(Table1[[#This Row],[Is Data Valid]]=TRUE,_xlfn.NORM.S.DIST(Table1[[#This Row],[Birthweight Z-Score (BW+10%)]],TRUE)*100,"")</f>
        <v/>
      </c>
    </row>
    <row r="6667" spans="1:12" x14ac:dyDescent="0.35">
      <c r="A6667" s="3"/>
      <c r="B6667" s="2"/>
      <c r="C6667" s="2"/>
      <c r="D6667" s="2" t="b">
        <f>IF(AND(NOT(ISBLANK(Table1[[#This Row],[Fetal Sex (Male, Female or Unknown)]])),ISNUMBER(Table1[[#This Row],[Birthweight (grams)]]),ISNUMBER(Table1[[#This Row],[Gestation (days)]])),TRUE,FALSE)</f>
        <v>0</v>
      </c>
      <c r="E6667" s="2" t="str">
        <f>IF(Table1[[#This Row],[Is Data Valid]]=TRUE,IF(Table1[[#This Row],[Fetal Sex (Male, Female or Unknown)]]="Male",Backend!$C$6,IF(Table1[[#This Row],[Fetal Sex (Male, Female or Unknown)]]="Female",Backend!$C$7,IF(Table1[[#This Row],[Fetal Sex (Male, Female or Unknown)]]="Unknown",Backend!$C$8,"Error"))),"")</f>
        <v/>
      </c>
      <c r="F6667" s="8" t="str">
        <f>IF(Table1[[#This Row],[Is Data Valid]]=TRUE,EXP(0.578+0.332*((Table1[[#This Row],[Gestation (days)]]+0.5)/7)-0.00354*((Table1[[#This Row],[Gestation (days)]]+0.5)/7)^2)*Table1[[#This Row],[BW40_3705]],"")</f>
        <v/>
      </c>
      <c r="G6667" s="2" t="str">
        <f>IF(Table1[[#This Row],[Is Data Valid]]=TRUE,((Table1[[#This Row],[Birthweight (grams)]]/Table1[[#This Row],[BW_GA]])-1)/(Backend!$B$4/100*Table1[[#This Row],[BW40_3705]]),"")</f>
        <v/>
      </c>
      <c r="H6667" s="7" t="str">
        <f>IF(Table1[[#This Row],[Is Data Valid]]=TRUE,((Table1[[#This Row],[Birthweight (grams)]]*0.9/Table1[[#This Row],[BW_GA]])-1)/(Backend!$B$4/100*Table1[[#This Row],[BW40_3705]]),"")</f>
        <v/>
      </c>
      <c r="I6667" s="7" t="str">
        <f>IF(Table1[[#This Row],[Is Data Valid]]=TRUE,((Table1[[#This Row],[Birthweight (grams)]]*1.1/Table1[[#This Row],[BW_GA]])-1)/(Backend!$B$4/100*Table1[[#This Row],[BW40_3705]]),"")</f>
        <v/>
      </c>
      <c r="J6667" s="7" t="str">
        <f>IF(Table1[[#This Row],[Is Data Valid]]=TRUE,_xlfn.NORM.S.DIST(Table1[[#This Row],[Birthweight Z-Score]],TRUE)*100,"")</f>
        <v/>
      </c>
      <c r="K6667" s="7" t="str">
        <f>IF(Table1[[#This Row],[Is Data Valid]]=TRUE,_xlfn.NORM.S.DIST(Table1[[#This Row],[Birthweight Z-Score (BW-10%)]],TRUE)*100,"")</f>
        <v/>
      </c>
      <c r="L6667" s="7" t="str">
        <f>IF(Table1[[#This Row],[Is Data Valid]]=TRUE,_xlfn.NORM.S.DIST(Table1[[#This Row],[Birthweight Z-Score (BW+10%)]],TRUE)*100,"")</f>
        <v/>
      </c>
    </row>
    <row r="6668" spans="1:12" x14ac:dyDescent="0.35">
      <c r="A6668" s="3"/>
      <c r="B6668" s="2"/>
      <c r="C6668" s="2"/>
      <c r="D6668" s="2" t="b">
        <f>IF(AND(NOT(ISBLANK(Table1[[#This Row],[Fetal Sex (Male, Female or Unknown)]])),ISNUMBER(Table1[[#This Row],[Birthweight (grams)]]),ISNUMBER(Table1[[#This Row],[Gestation (days)]])),TRUE,FALSE)</f>
        <v>0</v>
      </c>
      <c r="E6668" s="2" t="str">
        <f>IF(Table1[[#This Row],[Is Data Valid]]=TRUE,IF(Table1[[#This Row],[Fetal Sex (Male, Female or Unknown)]]="Male",Backend!$C$6,IF(Table1[[#This Row],[Fetal Sex (Male, Female or Unknown)]]="Female",Backend!$C$7,IF(Table1[[#This Row],[Fetal Sex (Male, Female or Unknown)]]="Unknown",Backend!$C$8,"Error"))),"")</f>
        <v/>
      </c>
      <c r="F6668" s="8" t="str">
        <f>IF(Table1[[#This Row],[Is Data Valid]]=TRUE,EXP(0.578+0.332*((Table1[[#This Row],[Gestation (days)]]+0.5)/7)-0.00354*((Table1[[#This Row],[Gestation (days)]]+0.5)/7)^2)*Table1[[#This Row],[BW40_3705]],"")</f>
        <v/>
      </c>
      <c r="G6668" s="2" t="str">
        <f>IF(Table1[[#This Row],[Is Data Valid]]=TRUE,((Table1[[#This Row],[Birthweight (grams)]]/Table1[[#This Row],[BW_GA]])-1)/(Backend!$B$4/100*Table1[[#This Row],[BW40_3705]]),"")</f>
        <v/>
      </c>
      <c r="H6668" s="7" t="str">
        <f>IF(Table1[[#This Row],[Is Data Valid]]=TRUE,((Table1[[#This Row],[Birthweight (grams)]]*0.9/Table1[[#This Row],[BW_GA]])-1)/(Backend!$B$4/100*Table1[[#This Row],[BW40_3705]]),"")</f>
        <v/>
      </c>
      <c r="I6668" s="7" t="str">
        <f>IF(Table1[[#This Row],[Is Data Valid]]=TRUE,((Table1[[#This Row],[Birthweight (grams)]]*1.1/Table1[[#This Row],[BW_GA]])-1)/(Backend!$B$4/100*Table1[[#This Row],[BW40_3705]]),"")</f>
        <v/>
      </c>
      <c r="J6668" s="7" t="str">
        <f>IF(Table1[[#This Row],[Is Data Valid]]=TRUE,_xlfn.NORM.S.DIST(Table1[[#This Row],[Birthweight Z-Score]],TRUE)*100,"")</f>
        <v/>
      </c>
      <c r="K6668" s="7" t="str">
        <f>IF(Table1[[#This Row],[Is Data Valid]]=TRUE,_xlfn.NORM.S.DIST(Table1[[#This Row],[Birthweight Z-Score (BW-10%)]],TRUE)*100,"")</f>
        <v/>
      </c>
      <c r="L6668" s="7" t="str">
        <f>IF(Table1[[#This Row],[Is Data Valid]]=TRUE,_xlfn.NORM.S.DIST(Table1[[#This Row],[Birthweight Z-Score (BW+10%)]],TRUE)*100,"")</f>
        <v/>
      </c>
    </row>
    <row r="6669" spans="1:12" x14ac:dyDescent="0.35">
      <c r="A6669" s="3"/>
      <c r="B6669" s="2"/>
      <c r="C6669" s="2"/>
      <c r="D6669" s="2" t="b">
        <f>IF(AND(NOT(ISBLANK(Table1[[#This Row],[Fetal Sex (Male, Female or Unknown)]])),ISNUMBER(Table1[[#This Row],[Birthweight (grams)]]),ISNUMBER(Table1[[#This Row],[Gestation (days)]])),TRUE,FALSE)</f>
        <v>0</v>
      </c>
      <c r="E6669" s="2" t="str">
        <f>IF(Table1[[#This Row],[Is Data Valid]]=TRUE,IF(Table1[[#This Row],[Fetal Sex (Male, Female or Unknown)]]="Male",Backend!$C$6,IF(Table1[[#This Row],[Fetal Sex (Male, Female or Unknown)]]="Female",Backend!$C$7,IF(Table1[[#This Row],[Fetal Sex (Male, Female or Unknown)]]="Unknown",Backend!$C$8,"Error"))),"")</f>
        <v/>
      </c>
      <c r="F6669" s="8" t="str">
        <f>IF(Table1[[#This Row],[Is Data Valid]]=TRUE,EXP(0.578+0.332*((Table1[[#This Row],[Gestation (days)]]+0.5)/7)-0.00354*((Table1[[#This Row],[Gestation (days)]]+0.5)/7)^2)*Table1[[#This Row],[BW40_3705]],"")</f>
        <v/>
      </c>
      <c r="G6669" s="2" t="str">
        <f>IF(Table1[[#This Row],[Is Data Valid]]=TRUE,((Table1[[#This Row],[Birthweight (grams)]]/Table1[[#This Row],[BW_GA]])-1)/(Backend!$B$4/100*Table1[[#This Row],[BW40_3705]]),"")</f>
        <v/>
      </c>
      <c r="H6669" s="7" t="str">
        <f>IF(Table1[[#This Row],[Is Data Valid]]=TRUE,((Table1[[#This Row],[Birthweight (grams)]]*0.9/Table1[[#This Row],[BW_GA]])-1)/(Backend!$B$4/100*Table1[[#This Row],[BW40_3705]]),"")</f>
        <v/>
      </c>
      <c r="I6669" s="7" t="str">
        <f>IF(Table1[[#This Row],[Is Data Valid]]=TRUE,((Table1[[#This Row],[Birthweight (grams)]]*1.1/Table1[[#This Row],[BW_GA]])-1)/(Backend!$B$4/100*Table1[[#This Row],[BW40_3705]]),"")</f>
        <v/>
      </c>
      <c r="J6669" s="7" t="str">
        <f>IF(Table1[[#This Row],[Is Data Valid]]=TRUE,_xlfn.NORM.S.DIST(Table1[[#This Row],[Birthweight Z-Score]],TRUE)*100,"")</f>
        <v/>
      </c>
      <c r="K6669" s="7" t="str">
        <f>IF(Table1[[#This Row],[Is Data Valid]]=TRUE,_xlfn.NORM.S.DIST(Table1[[#This Row],[Birthweight Z-Score (BW-10%)]],TRUE)*100,"")</f>
        <v/>
      </c>
      <c r="L6669" s="7" t="str">
        <f>IF(Table1[[#This Row],[Is Data Valid]]=TRUE,_xlfn.NORM.S.DIST(Table1[[#This Row],[Birthweight Z-Score (BW+10%)]],TRUE)*100,"")</f>
        <v/>
      </c>
    </row>
    <row r="6670" spans="1:12" x14ac:dyDescent="0.35">
      <c r="A6670" s="3"/>
      <c r="B6670" s="2"/>
      <c r="C6670" s="2"/>
      <c r="D6670" s="2" t="b">
        <f>IF(AND(NOT(ISBLANK(Table1[[#This Row],[Fetal Sex (Male, Female or Unknown)]])),ISNUMBER(Table1[[#This Row],[Birthweight (grams)]]),ISNUMBER(Table1[[#This Row],[Gestation (days)]])),TRUE,FALSE)</f>
        <v>0</v>
      </c>
      <c r="E6670" s="2" t="str">
        <f>IF(Table1[[#This Row],[Is Data Valid]]=TRUE,IF(Table1[[#This Row],[Fetal Sex (Male, Female or Unknown)]]="Male",Backend!$C$6,IF(Table1[[#This Row],[Fetal Sex (Male, Female or Unknown)]]="Female",Backend!$C$7,IF(Table1[[#This Row],[Fetal Sex (Male, Female or Unknown)]]="Unknown",Backend!$C$8,"Error"))),"")</f>
        <v/>
      </c>
      <c r="F6670" s="8" t="str">
        <f>IF(Table1[[#This Row],[Is Data Valid]]=TRUE,EXP(0.578+0.332*((Table1[[#This Row],[Gestation (days)]]+0.5)/7)-0.00354*((Table1[[#This Row],[Gestation (days)]]+0.5)/7)^2)*Table1[[#This Row],[BW40_3705]],"")</f>
        <v/>
      </c>
      <c r="G6670" s="2" t="str">
        <f>IF(Table1[[#This Row],[Is Data Valid]]=TRUE,((Table1[[#This Row],[Birthweight (grams)]]/Table1[[#This Row],[BW_GA]])-1)/(Backend!$B$4/100*Table1[[#This Row],[BW40_3705]]),"")</f>
        <v/>
      </c>
      <c r="H6670" s="7" t="str">
        <f>IF(Table1[[#This Row],[Is Data Valid]]=TRUE,((Table1[[#This Row],[Birthweight (grams)]]*0.9/Table1[[#This Row],[BW_GA]])-1)/(Backend!$B$4/100*Table1[[#This Row],[BW40_3705]]),"")</f>
        <v/>
      </c>
      <c r="I6670" s="7" t="str">
        <f>IF(Table1[[#This Row],[Is Data Valid]]=TRUE,((Table1[[#This Row],[Birthweight (grams)]]*1.1/Table1[[#This Row],[BW_GA]])-1)/(Backend!$B$4/100*Table1[[#This Row],[BW40_3705]]),"")</f>
        <v/>
      </c>
      <c r="J6670" s="7" t="str">
        <f>IF(Table1[[#This Row],[Is Data Valid]]=TRUE,_xlfn.NORM.S.DIST(Table1[[#This Row],[Birthweight Z-Score]],TRUE)*100,"")</f>
        <v/>
      </c>
      <c r="K6670" s="7" t="str">
        <f>IF(Table1[[#This Row],[Is Data Valid]]=TRUE,_xlfn.NORM.S.DIST(Table1[[#This Row],[Birthweight Z-Score (BW-10%)]],TRUE)*100,"")</f>
        <v/>
      </c>
      <c r="L6670" s="7" t="str">
        <f>IF(Table1[[#This Row],[Is Data Valid]]=TRUE,_xlfn.NORM.S.DIST(Table1[[#This Row],[Birthweight Z-Score (BW+10%)]],TRUE)*100,"")</f>
        <v/>
      </c>
    </row>
    <row r="6671" spans="1:12" x14ac:dyDescent="0.35">
      <c r="A6671" s="3"/>
      <c r="B6671" s="2"/>
      <c r="C6671" s="2"/>
      <c r="D6671" s="2" t="b">
        <f>IF(AND(NOT(ISBLANK(Table1[[#This Row],[Fetal Sex (Male, Female or Unknown)]])),ISNUMBER(Table1[[#This Row],[Birthweight (grams)]]),ISNUMBER(Table1[[#This Row],[Gestation (days)]])),TRUE,FALSE)</f>
        <v>0</v>
      </c>
      <c r="E6671" s="2" t="str">
        <f>IF(Table1[[#This Row],[Is Data Valid]]=TRUE,IF(Table1[[#This Row],[Fetal Sex (Male, Female or Unknown)]]="Male",Backend!$C$6,IF(Table1[[#This Row],[Fetal Sex (Male, Female or Unknown)]]="Female",Backend!$C$7,IF(Table1[[#This Row],[Fetal Sex (Male, Female or Unknown)]]="Unknown",Backend!$C$8,"Error"))),"")</f>
        <v/>
      </c>
      <c r="F6671" s="8" t="str">
        <f>IF(Table1[[#This Row],[Is Data Valid]]=TRUE,EXP(0.578+0.332*((Table1[[#This Row],[Gestation (days)]]+0.5)/7)-0.00354*((Table1[[#This Row],[Gestation (days)]]+0.5)/7)^2)*Table1[[#This Row],[BW40_3705]],"")</f>
        <v/>
      </c>
      <c r="G6671" s="2" t="str">
        <f>IF(Table1[[#This Row],[Is Data Valid]]=TRUE,((Table1[[#This Row],[Birthweight (grams)]]/Table1[[#This Row],[BW_GA]])-1)/(Backend!$B$4/100*Table1[[#This Row],[BW40_3705]]),"")</f>
        <v/>
      </c>
      <c r="H6671" s="7" t="str">
        <f>IF(Table1[[#This Row],[Is Data Valid]]=TRUE,((Table1[[#This Row],[Birthweight (grams)]]*0.9/Table1[[#This Row],[BW_GA]])-1)/(Backend!$B$4/100*Table1[[#This Row],[BW40_3705]]),"")</f>
        <v/>
      </c>
      <c r="I6671" s="7" t="str">
        <f>IF(Table1[[#This Row],[Is Data Valid]]=TRUE,((Table1[[#This Row],[Birthweight (grams)]]*1.1/Table1[[#This Row],[BW_GA]])-1)/(Backend!$B$4/100*Table1[[#This Row],[BW40_3705]]),"")</f>
        <v/>
      </c>
      <c r="J6671" s="7" t="str">
        <f>IF(Table1[[#This Row],[Is Data Valid]]=TRUE,_xlfn.NORM.S.DIST(Table1[[#This Row],[Birthweight Z-Score]],TRUE)*100,"")</f>
        <v/>
      </c>
      <c r="K6671" s="7" t="str">
        <f>IF(Table1[[#This Row],[Is Data Valid]]=TRUE,_xlfn.NORM.S.DIST(Table1[[#This Row],[Birthweight Z-Score (BW-10%)]],TRUE)*100,"")</f>
        <v/>
      </c>
      <c r="L6671" s="7" t="str">
        <f>IF(Table1[[#This Row],[Is Data Valid]]=TRUE,_xlfn.NORM.S.DIST(Table1[[#This Row],[Birthweight Z-Score (BW+10%)]],TRUE)*100,"")</f>
        <v/>
      </c>
    </row>
    <row r="6672" spans="1:12" x14ac:dyDescent="0.35">
      <c r="A6672" s="3"/>
      <c r="B6672" s="2"/>
      <c r="C6672" s="2"/>
      <c r="D6672" s="2" t="b">
        <f>IF(AND(NOT(ISBLANK(Table1[[#This Row],[Fetal Sex (Male, Female or Unknown)]])),ISNUMBER(Table1[[#This Row],[Birthweight (grams)]]),ISNUMBER(Table1[[#This Row],[Gestation (days)]])),TRUE,FALSE)</f>
        <v>0</v>
      </c>
      <c r="E6672" s="2" t="str">
        <f>IF(Table1[[#This Row],[Is Data Valid]]=TRUE,IF(Table1[[#This Row],[Fetal Sex (Male, Female or Unknown)]]="Male",Backend!$C$6,IF(Table1[[#This Row],[Fetal Sex (Male, Female or Unknown)]]="Female",Backend!$C$7,IF(Table1[[#This Row],[Fetal Sex (Male, Female or Unknown)]]="Unknown",Backend!$C$8,"Error"))),"")</f>
        <v/>
      </c>
      <c r="F6672" s="8" t="str">
        <f>IF(Table1[[#This Row],[Is Data Valid]]=TRUE,EXP(0.578+0.332*((Table1[[#This Row],[Gestation (days)]]+0.5)/7)-0.00354*((Table1[[#This Row],[Gestation (days)]]+0.5)/7)^2)*Table1[[#This Row],[BW40_3705]],"")</f>
        <v/>
      </c>
      <c r="G6672" s="2" t="str">
        <f>IF(Table1[[#This Row],[Is Data Valid]]=TRUE,((Table1[[#This Row],[Birthweight (grams)]]/Table1[[#This Row],[BW_GA]])-1)/(Backend!$B$4/100*Table1[[#This Row],[BW40_3705]]),"")</f>
        <v/>
      </c>
      <c r="H6672" s="7" t="str">
        <f>IF(Table1[[#This Row],[Is Data Valid]]=TRUE,((Table1[[#This Row],[Birthweight (grams)]]*0.9/Table1[[#This Row],[BW_GA]])-1)/(Backend!$B$4/100*Table1[[#This Row],[BW40_3705]]),"")</f>
        <v/>
      </c>
      <c r="I6672" s="7" t="str">
        <f>IF(Table1[[#This Row],[Is Data Valid]]=TRUE,((Table1[[#This Row],[Birthweight (grams)]]*1.1/Table1[[#This Row],[BW_GA]])-1)/(Backend!$B$4/100*Table1[[#This Row],[BW40_3705]]),"")</f>
        <v/>
      </c>
      <c r="J6672" s="7" t="str">
        <f>IF(Table1[[#This Row],[Is Data Valid]]=TRUE,_xlfn.NORM.S.DIST(Table1[[#This Row],[Birthweight Z-Score]],TRUE)*100,"")</f>
        <v/>
      </c>
      <c r="K6672" s="7" t="str">
        <f>IF(Table1[[#This Row],[Is Data Valid]]=TRUE,_xlfn.NORM.S.DIST(Table1[[#This Row],[Birthweight Z-Score (BW-10%)]],TRUE)*100,"")</f>
        <v/>
      </c>
      <c r="L6672" s="7" t="str">
        <f>IF(Table1[[#This Row],[Is Data Valid]]=TRUE,_xlfn.NORM.S.DIST(Table1[[#This Row],[Birthweight Z-Score (BW+10%)]],TRUE)*100,"")</f>
        <v/>
      </c>
    </row>
    <row r="6673" spans="1:12" x14ac:dyDescent="0.35">
      <c r="A6673" s="3"/>
      <c r="B6673" s="2"/>
      <c r="C6673" s="2"/>
      <c r="D6673" s="2" t="b">
        <f>IF(AND(NOT(ISBLANK(Table1[[#This Row],[Fetal Sex (Male, Female or Unknown)]])),ISNUMBER(Table1[[#This Row],[Birthweight (grams)]]),ISNUMBER(Table1[[#This Row],[Gestation (days)]])),TRUE,FALSE)</f>
        <v>0</v>
      </c>
      <c r="E6673" s="2" t="str">
        <f>IF(Table1[[#This Row],[Is Data Valid]]=TRUE,IF(Table1[[#This Row],[Fetal Sex (Male, Female or Unknown)]]="Male",Backend!$C$6,IF(Table1[[#This Row],[Fetal Sex (Male, Female or Unknown)]]="Female",Backend!$C$7,IF(Table1[[#This Row],[Fetal Sex (Male, Female or Unknown)]]="Unknown",Backend!$C$8,"Error"))),"")</f>
        <v/>
      </c>
      <c r="F6673" s="8" t="str">
        <f>IF(Table1[[#This Row],[Is Data Valid]]=TRUE,EXP(0.578+0.332*((Table1[[#This Row],[Gestation (days)]]+0.5)/7)-0.00354*((Table1[[#This Row],[Gestation (days)]]+0.5)/7)^2)*Table1[[#This Row],[BW40_3705]],"")</f>
        <v/>
      </c>
      <c r="G6673" s="2" t="str">
        <f>IF(Table1[[#This Row],[Is Data Valid]]=TRUE,((Table1[[#This Row],[Birthweight (grams)]]/Table1[[#This Row],[BW_GA]])-1)/(Backend!$B$4/100*Table1[[#This Row],[BW40_3705]]),"")</f>
        <v/>
      </c>
      <c r="H6673" s="7" t="str">
        <f>IF(Table1[[#This Row],[Is Data Valid]]=TRUE,((Table1[[#This Row],[Birthweight (grams)]]*0.9/Table1[[#This Row],[BW_GA]])-1)/(Backend!$B$4/100*Table1[[#This Row],[BW40_3705]]),"")</f>
        <v/>
      </c>
      <c r="I6673" s="7" t="str">
        <f>IF(Table1[[#This Row],[Is Data Valid]]=TRUE,((Table1[[#This Row],[Birthweight (grams)]]*1.1/Table1[[#This Row],[BW_GA]])-1)/(Backend!$B$4/100*Table1[[#This Row],[BW40_3705]]),"")</f>
        <v/>
      </c>
      <c r="J6673" s="7" t="str">
        <f>IF(Table1[[#This Row],[Is Data Valid]]=TRUE,_xlfn.NORM.S.DIST(Table1[[#This Row],[Birthweight Z-Score]],TRUE)*100,"")</f>
        <v/>
      </c>
      <c r="K6673" s="7" t="str">
        <f>IF(Table1[[#This Row],[Is Data Valid]]=TRUE,_xlfn.NORM.S.DIST(Table1[[#This Row],[Birthweight Z-Score (BW-10%)]],TRUE)*100,"")</f>
        <v/>
      </c>
      <c r="L6673" s="7" t="str">
        <f>IF(Table1[[#This Row],[Is Data Valid]]=TRUE,_xlfn.NORM.S.DIST(Table1[[#This Row],[Birthweight Z-Score (BW+10%)]],TRUE)*100,"")</f>
        <v/>
      </c>
    </row>
    <row r="6674" spans="1:12" x14ac:dyDescent="0.35">
      <c r="A6674" s="3"/>
      <c r="B6674" s="2"/>
      <c r="C6674" s="2"/>
      <c r="D6674" s="2" t="b">
        <f>IF(AND(NOT(ISBLANK(Table1[[#This Row],[Fetal Sex (Male, Female or Unknown)]])),ISNUMBER(Table1[[#This Row],[Birthweight (grams)]]),ISNUMBER(Table1[[#This Row],[Gestation (days)]])),TRUE,FALSE)</f>
        <v>0</v>
      </c>
      <c r="E6674" s="2" t="str">
        <f>IF(Table1[[#This Row],[Is Data Valid]]=TRUE,IF(Table1[[#This Row],[Fetal Sex (Male, Female or Unknown)]]="Male",Backend!$C$6,IF(Table1[[#This Row],[Fetal Sex (Male, Female or Unknown)]]="Female",Backend!$C$7,IF(Table1[[#This Row],[Fetal Sex (Male, Female or Unknown)]]="Unknown",Backend!$C$8,"Error"))),"")</f>
        <v/>
      </c>
      <c r="F6674" s="8" t="str">
        <f>IF(Table1[[#This Row],[Is Data Valid]]=TRUE,EXP(0.578+0.332*((Table1[[#This Row],[Gestation (days)]]+0.5)/7)-0.00354*((Table1[[#This Row],[Gestation (days)]]+0.5)/7)^2)*Table1[[#This Row],[BW40_3705]],"")</f>
        <v/>
      </c>
      <c r="G6674" s="2" t="str">
        <f>IF(Table1[[#This Row],[Is Data Valid]]=TRUE,((Table1[[#This Row],[Birthweight (grams)]]/Table1[[#This Row],[BW_GA]])-1)/(Backend!$B$4/100*Table1[[#This Row],[BW40_3705]]),"")</f>
        <v/>
      </c>
      <c r="H6674" s="7" t="str">
        <f>IF(Table1[[#This Row],[Is Data Valid]]=TRUE,((Table1[[#This Row],[Birthweight (grams)]]*0.9/Table1[[#This Row],[BW_GA]])-1)/(Backend!$B$4/100*Table1[[#This Row],[BW40_3705]]),"")</f>
        <v/>
      </c>
      <c r="I6674" s="7" t="str">
        <f>IF(Table1[[#This Row],[Is Data Valid]]=TRUE,((Table1[[#This Row],[Birthweight (grams)]]*1.1/Table1[[#This Row],[BW_GA]])-1)/(Backend!$B$4/100*Table1[[#This Row],[BW40_3705]]),"")</f>
        <v/>
      </c>
      <c r="J6674" s="7" t="str">
        <f>IF(Table1[[#This Row],[Is Data Valid]]=TRUE,_xlfn.NORM.S.DIST(Table1[[#This Row],[Birthweight Z-Score]],TRUE)*100,"")</f>
        <v/>
      </c>
      <c r="K6674" s="7" t="str">
        <f>IF(Table1[[#This Row],[Is Data Valid]]=TRUE,_xlfn.NORM.S.DIST(Table1[[#This Row],[Birthweight Z-Score (BW-10%)]],TRUE)*100,"")</f>
        <v/>
      </c>
      <c r="L6674" s="7" t="str">
        <f>IF(Table1[[#This Row],[Is Data Valid]]=TRUE,_xlfn.NORM.S.DIST(Table1[[#This Row],[Birthweight Z-Score (BW+10%)]],TRUE)*100,"")</f>
        <v/>
      </c>
    </row>
    <row r="6675" spans="1:12" x14ac:dyDescent="0.35">
      <c r="A6675" s="3"/>
      <c r="B6675" s="2"/>
      <c r="C6675" s="2"/>
      <c r="D6675" s="2" t="b">
        <f>IF(AND(NOT(ISBLANK(Table1[[#This Row],[Fetal Sex (Male, Female or Unknown)]])),ISNUMBER(Table1[[#This Row],[Birthweight (grams)]]),ISNUMBER(Table1[[#This Row],[Gestation (days)]])),TRUE,FALSE)</f>
        <v>0</v>
      </c>
      <c r="E6675" s="2" t="str">
        <f>IF(Table1[[#This Row],[Is Data Valid]]=TRUE,IF(Table1[[#This Row],[Fetal Sex (Male, Female or Unknown)]]="Male",Backend!$C$6,IF(Table1[[#This Row],[Fetal Sex (Male, Female or Unknown)]]="Female",Backend!$C$7,IF(Table1[[#This Row],[Fetal Sex (Male, Female or Unknown)]]="Unknown",Backend!$C$8,"Error"))),"")</f>
        <v/>
      </c>
      <c r="F6675" s="8" t="str">
        <f>IF(Table1[[#This Row],[Is Data Valid]]=TRUE,EXP(0.578+0.332*((Table1[[#This Row],[Gestation (days)]]+0.5)/7)-0.00354*((Table1[[#This Row],[Gestation (days)]]+0.5)/7)^2)*Table1[[#This Row],[BW40_3705]],"")</f>
        <v/>
      </c>
      <c r="G6675" s="2" t="str">
        <f>IF(Table1[[#This Row],[Is Data Valid]]=TRUE,((Table1[[#This Row],[Birthweight (grams)]]/Table1[[#This Row],[BW_GA]])-1)/(Backend!$B$4/100*Table1[[#This Row],[BW40_3705]]),"")</f>
        <v/>
      </c>
      <c r="H6675" s="7" t="str">
        <f>IF(Table1[[#This Row],[Is Data Valid]]=TRUE,((Table1[[#This Row],[Birthweight (grams)]]*0.9/Table1[[#This Row],[BW_GA]])-1)/(Backend!$B$4/100*Table1[[#This Row],[BW40_3705]]),"")</f>
        <v/>
      </c>
      <c r="I6675" s="7" t="str">
        <f>IF(Table1[[#This Row],[Is Data Valid]]=TRUE,((Table1[[#This Row],[Birthweight (grams)]]*1.1/Table1[[#This Row],[BW_GA]])-1)/(Backend!$B$4/100*Table1[[#This Row],[BW40_3705]]),"")</f>
        <v/>
      </c>
      <c r="J6675" s="7" t="str">
        <f>IF(Table1[[#This Row],[Is Data Valid]]=TRUE,_xlfn.NORM.S.DIST(Table1[[#This Row],[Birthweight Z-Score]],TRUE)*100,"")</f>
        <v/>
      </c>
      <c r="K6675" s="7" t="str">
        <f>IF(Table1[[#This Row],[Is Data Valid]]=TRUE,_xlfn.NORM.S.DIST(Table1[[#This Row],[Birthweight Z-Score (BW-10%)]],TRUE)*100,"")</f>
        <v/>
      </c>
      <c r="L6675" s="7" t="str">
        <f>IF(Table1[[#This Row],[Is Data Valid]]=TRUE,_xlfn.NORM.S.DIST(Table1[[#This Row],[Birthweight Z-Score (BW+10%)]],TRUE)*100,"")</f>
        <v/>
      </c>
    </row>
    <row r="6676" spans="1:12" x14ac:dyDescent="0.35">
      <c r="A6676" s="3"/>
      <c r="B6676" s="2"/>
      <c r="C6676" s="2"/>
      <c r="D6676" s="2" t="b">
        <f>IF(AND(NOT(ISBLANK(Table1[[#This Row],[Fetal Sex (Male, Female or Unknown)]])),ISNUMBER(Table1[[#This Row],[Birthweight (grams)]]),ISNUMBER(Table1[[#This Row],[Gestation (days)]])),TRUE,FALSE)</f>
        <v>0</v>
      </c>
      <c r="E6676" s="2" t="str">
        <f>IF(Table1[[#This Row],[Is Data Valid]]=TRUE,IF(Table1[[#This Row],[Fetal Sex (Male, Female or Unknown)]]="Male",Backend!$C$6,IF(Table1[[#This Row],[Fetal Sex (Male, Female or Unknown)]]="Female",Backend!$C$7,IF(Table1[[#This Row],[Fetal Sex (Male, Female or Unknown)]]="Unknown",Backend!$C$8,"Error"))),"")</f>
        <v/>
      </c>
      <c r="F6676" s="8" t="str">
        <f>IF(Table1[[#This Row],[Is Data Valid]]=TRUE,EXP(0.578+0.332*((Table1[[#This Row],[Gestation (days)]]+0.5)/7)-0.00354*((Table1[[#This Row],[Gestation (days)]]+0.5)/7)^2)*Table1[[#This Row],[BW40_3705]],"")</f>
        <v/>
      </c>
      <c r="G6676" s="2" t="str">
        <f>IF(Table1[[#This Row],[Is Data Valid]]=TRUE,((Table1[[#This Row],[Birthweight (grams)]]/Table1[[#This Row],[BW_GA]])-1)/(Backend!$B$4/100*Table1[[#This Row],[BW40_3705]]),"")</f>
        <v/>
      </c>
      <c r="H6676" s="7" t="str">
        <f>IF(Table1[[#This Row],[Is Data Valid]]=TRUE,((Table1[[#This Row],[Birthweight (grams)]]*0.9/Table1[[#This Row],[BW_GA]])-1)/(Backend!$B$4/100*Table1[[#This Row],[BW40_3705]]),"")</f>
        <v/>
      </c>
      <c r="I6676" s="7" t="str">
        <f>IF(Table1[[#This Row],[Is Data Valid]]=TRUE,((Table1[[#This Row],[Birthweight (grams)]]*1.1/Table1[[#This Row],[BW_GA]])-1)/(Backend!$B$4/100*Table1[[#This Row],[BW40_3705]]),"")</f>
        <v/>
      </c>
      <c r="J6676" s="7" t="str">
        <f>IF(Table1[[#This Row],[Is Data Valid]]=TRUE,_xlfn.NORM.S.DIST(Table1[[#This Row],[Birthweight Z-Score]],TRUE)*100,"")</f>
        <v/>
      </c>
      <c r="K6676" s="7" t="str">
        <f>IF(Table1[[#This Row],[Is Data Valid]]=TRUE,_xlfn.NORM.S.DIST(Table1[[#This Row],[Birthweight Z-Score (BW-10%)]],TRUE)*100,"")</f>
        <v/>
      </c>
      <c r="L6676" s="7" t="str">
        <f>IF(Table1[[#This Row],[Is Data Valid]]=TRUE,_xlfn.NORM.S.DIST(Table1[[#This Row],[Birthweight Z-Score (BW+10%)]],TRUE)*100,"")</f>
        <v/>
      </c>
    </row>
    <row r="6677" spans="1:12" x14ac:dyDescent="0.35">
      <c r="A6677" s="3"/>
      <c r="B6677" s="2"/>
      <c r="C6677" s="2"/>
      <c r="D6677" s="2" t="b">
        <f>IF(AND(NOT(ISBLANK(Table1[[#This Row],[Fetal Sex (Male, Female or Unknown)]])),ISNUMBER(Table1[[#This Row],[Birthweight (grams)]]),ISNUMBER(Table1[[#This Row],[Gestation (days)]])),TRUE,FALSE)</f>
        <v>0</v>
      </c>
      <c r="E6677" s="2" t="str">
        <f>IF(Table1[[#This Row],[Is Data Valid]]=TRUE,IF(Table1[[#This Row],[Fetal Sex (Male, Female or Unknown)]]="Male",Backend!$C$6,IF(Table1[[#This Row],[Fetal Sex (Male, Female or Unknown)]]="Female",Backend!$C$7,IF(Table1[[#This Row],[Fetal Sex (Male, Female or Unknown)]]="Unknown",Backend!$C$8,"Error"))),"")</f>
        <v/>
      </c>
      <c r="F6677" s="8" t="str">
        <f>IF(Table1[[#This Row],[Is Data Valid]]=TRUE,EXP(0.578+0.332*((Table1[[#This Row],[Gestation (days)]]+0.5)/7)-0.00354*((Table1[[#This Row],[Gestation (days)]]+0.5)/7)^2)*Table1[[#This Row],[BW40_3705]],"")</f>
        <v/>
      </c>
      <c r="G6677" s="2" t="str">
        <f>IF(Table1[[#This Row],[Is Data Valid]]=TRUE,((Table1[[#This Row],[Birthweight (grams)]]/Table1[[#This Row],[BW_GA]])-1)/(Backend!$B$4/100*Table1[[#This Row],[BW40_3705]]),"")</f>
        <v/>
      </c>
      <c r="H6677" s="7" t="str">
        <f>IF(Table1[[#This Row],[Is Data Valid]]=TRUE,((Table1[[#This Row],[Birthweight (grams)]]*0.9/Table1[[#This Row],[BW_GA]])-1)/(Backend!$B$4/100*Table1[[#This Row],[BW40_3705]]),"")</f>
        <v/>
      </c>
      <c r="I6677" s="7" t="str">
        <f>IF(Table1[[#This Row],[Is Data Valid]]=TRUE,((Table1[[#This Row],[Birthweight (grams)]]*1.1/Table1[[#This Row],[BW_GA]])-1)/(Backend!$B$4/100*Table1[[#This Row],[BW40_3705]]),"")</f>
        <v/>
      </c>
      <c r="J6677" s="7" t="str">
        <f>IF(Table1[[#This Row],[Is Data Valid]]=TRUE,_xlfn.NORM.S.DIST(Table1[[#This Row],[Birthweight Z-Score]],TRUE)*100,"")</f>
        <v/>
      </c>
      <c r="K6677" s="7" t="str">
        <f>IF(Table1[[#This Row],[Is Data Valid]]=TRUE,_xlfn.NORM.S.DIST(Table1[[#This Row],[Birthweight Z-Score (BW-10%)]],TRUE)*100,"")</f>
        <v/>
      </c>
      <c r="L6677" s="7" t="str">
        <f>IF(Table1[[#This Row],[Is Data Valid]]=TRUE,_xlfn.NORM.S.DIST(Table1[[#This Row],[Birthweight Z-Score (BW+10%)]],TRUE)*100,"")</f>
        <v/>
      </c>
    </row>
    <row r="6678" spans="1:12" x14ac:dyDescent="0.35">
      <c r="A6678" s="3"/>
      <c r="B6678" s="2"/>
      <c r="C6678" s="2"/>
      <c r="D6678" s="2" t="b">
        <f>IF(AND(NOT(ISBLANK(Table1[[#This Row],[Fetal Sex (Male, Female or Unknown)]])),ISNUMBER(Table1[[#This Row],[Birthweight (grams)]]),ISNUMBER(Table1[[#This Row],[Gestation (days)]])),TRUE,FALSE)</f>
        <v>0</v>
      </c>
      <c r="E6678" s="2" t="str">
        <f>IF(Table1[[#This Row],[Is Data Valid]]=TRUE,IF(Table1[[#This Row],[Fetal Sex (Male, Female or Unknown)]]="Male",Backend!$C$6,IF(Table1[[#This Row],[Fetal Sex (Male, Female or Unknown)]]="Female",Backend!$C$7,IF(Table1[[#This Row],[Fetal Sex (Male, Female or Unknown)]]="Unknown",Backend!$C$8,"Error"))),"")</f>
        <v/>
      </c>
      <c r="F6678" s="8" t="str">
        <f>IF(Table1[[#This Row],[Is Data Valid]]=TRUE,EXP(0.578+0.332*((Table1[[#This Row],[Gestation (days)]]+0.5)/7)-0.00354*((Table1[[#This Row],[Gestation (days)]]+0.5)/7)^2)*Table1[[#This Row],[BW40_3705]],"")</f>
        <v/>
      </c>
      <c r="G6678" s="2" t="str">
        <f>IF(Table1[[#This Row],[Is Data Valid]]=TRUE,((Table1[[#This Row],[Birthweight (grams)]]/Table1[[#This Row],[BW_GA]])-1)/(Backend!$B$4/100*Table1[[#This Row],[BW40_3705]]),"")</f>
        <v/>
      </c>
      <c r="H6678" s="7" t="str">
        <f>IF(Table1[[#This Row],[Is Data Valid]]=TRUE,((Table1[[#This Row],[Birthweight (grams)]]*0.9/Table1[[#This Row],[BW_GA]])-1)/(Backend!$B$4/100*Table1[[#This Row],[BW40_3705]]),"")</f>
        <v/>
      </c>
      <c r="I6678" s="7" t="str">
        <f>IF(Table1[[#This Row],[Is Data Valid]]=TRUE,((Table1[[#This Row],[Birthweight (grams)]]*1.1/Table1[[#This Row],[BW_GA]])-1)/(Backend!$B$4/100*Table1[[#This Row],[BW40_3705]]),"")</f>
        <v/>
      </c>
      <c r="J6678" s="7" t="str">
        <f>IF(Table1[[#This Row],[Is Data Valid]]=TRUE,_xlfn.NORM.S.DIST(Table1[[#This Row],[Birthweight Z-Score]],TRUE)*100,"")</f>
        <v/>
      </c>
      <c r="K6678" s="7" t="str">
        <f>IF(Table1[[#This Row],[Is Data Valid]]=TRUE,_xlfn.NORM.S.DIST(Table1[[#This Row],[Birthweight Z-Score (BW-10%)]],TRUE)*100,"")</f>
        <v/>
      </c>
      <c r="L6678" s="7" t="str">
        <f>IF(Table1[[#This Row],[Is Data Valid]]=TRUE,_xlfn.NORM.S.DIST(Table1[[#This Row],[Birthweight Z-Score (BW+10%)]],TRUE)*100,"")</f>
        <v/>
      </c>
    </row>
    <row r="6679" spans="1:12" x14ac:dyDescent="0.35">
      <c r="A6679" s="3"/>
      <c r="B6679" s="2"/>
      <c r="C6679" s="2"/>
      <c r="D6679" s="2" t="b">
        <f>IF(AND(NOT(ISBLANK(Table1[[#This Row],[Fetal Sex (Male, Female or Unknown)]])),ISNUMBER(Table1[[#This Row],[Birthweight (grams)]]),ISNUMBER(Table1[[#This Row],[Gestation (days)]])),TRUE,FALSE)</f>
        <v>0</v>
      </c>
      <c r="E6679" s="2" t="str">
        <f>IF(Table1[[#This Row],[Is Data Valid]]=TRUE,IF(Table1[[#This Row],[Fetal Sex (Male, Female or Unknown)]]="Male",Backend!$C$6,IF(Table1[[#This Row],[Fetal Sex (Male, Female or Unknown)]]="Female",Backend!$C$7,IF(Table1[[#This Row],[Fetal Sex (Male, Female or Unknown)]]="Unknown",Backend!$C$8,"Error"))),"")</f>
        <v/>
      </c>
      <c r="F6679" s="8" t="str">
        <f>IF(Table1[[#This Row],[Is Data Valid]]=TRUE,EXP(0.578+0.332*((Table1[[#This Row],[Gestation (days)]]+0.5)/7)-0.00354*((Table1[[#This Row],[Gestation (days)]]+0.5)/7)^2)*Table1[[#This Row],[BW40_3705]],"")</f>
        <v/>
      </c>
      <c r="G6679" s="2" t="str">
        <f>IF(Table1[[#This Row],[Is Data Valid]]=TRUE,((Table1[[#This Row],[Birthweight (grams)]]/Table1[[#This Row],[BW_GA]])-1)/(Backend!$B$4/100*Table1[[#This Row],[BW40_3705]]),"")</f>
        <v/>
      </c>
      <c r="H6679" s="7" t="str">
        <f>IF(Table1[[#This Row],[Is Data Valid]]=TRUE,((Table1[[#This Row],[Birthweight (grams)]]*0.9/Table1[[#This Row],[BW_GA]])-1)/(Backend!$B$4/100*Table1[[#This Row],[BW40_3705]]),"")</f>
        <v/>
      </c>
      <c r="I6679" s="7" t="str">
        <f>IF(Table1[[#This Row],[Is Data Valid]]=TRUE,((Table1[[#This Row],[Birthweight (grams)]]*1.1/Table1[[#This Row],[BW_GA]])-1)/(Backend!$B$4/100*Table1[[#This Row],[BW40_3705]]),"")</f>
        <v/>
      </c>
      <c r="J6679" s="7" t="str">
        <f>IF(Table1[[#This Row],[Is Data Valid]]=TRUE,_xlfn.NORM.S.DIST(Table1[[#This Row],[Birthweight Z-Score]],TRUE)*100,"")</f>
        <v/>
      </c>
      <c r="K6679" s="7" t="str">
        <f>IF(Table1[[#This Row],[Is Data Valid]]=TRUE,_xlfn.NORM.S.DIST(Table1[[#This Row],[Birthweight Z-Score (BW-10%)]],TRUE)*100,"")</f>
        <v/>
      </c>
      <c r="L6679" s="7" t="str">
        <f>IF(Table1[[#This Row],[Is Data Valid]]=TRUE,_xlfn.NORM.S.DIST(Table1[[#This Row],[Birthweight Z-Score (BW+10%)]],TRUE)*100,"")</f>
        <v/>
      </c>
    </row>
    <row r="6680" spans="1:12" x14ac:dyDescent="0.35">
      <c r="A6680" s="3"/>
      <c r="B6680" s="2"/>
      <c r="C6680" s="2"/>
      <c r="D6680" s="2" t="b">
        <f>IF(AND(NOT(ISBLANK(Table1[[#This Row],[Fetal Sex (Male, Female or Unknown)]])),ISNUMBER(Table1[[#This Row],[Birthweight (grams)]]),ISNUMBER(Table1[[#This Row],[Gestation (days)]])),TRUE,FALSE)</f>
        <v>0</v>
      </c>
      <c r="E6680" s="2" t="str">
        <f>IF(Table1[[#This Row],[Is Data Valid]]=TRUE,IF(Table1[[#This Row],[Fetal Sex (Male, Female or Unknown)]]="Male",Backend!$C$6,IF(Table1[[#This Row],[Fetal Sex (Male, Female or Unknown)]]="Female",Backend!$C$7,IF(Table1[[#This Row],[Fetal Sex (Male, Female or Unknown)]]="Unknown",Backend!$C$8,"Error"))),"")</f>
        <v/>
      </c>
      <c r="F6680" s="8" t="str">
        <f>IF(Table1[[#This Row],[Is Data Valid]]=TRUE,EXP(0.578+0.332*((Table1[[#This Row],[Gestation (days)]]+0.5)/7)-0.00354*((Table1[[#This Row],[Gestation (days)]]+0.5)/7)^2)*Table1[[#This Row],[BW40_3705]],"")</f>
        <v/>
      </c>
      <c r="G6680" s="2" t="str">
        <f>IF(Table1[[#This Row],[Is Data Valid]]=TRUE,((Table1[[#This Row],[Birthweight (grams)]]/Table1[[#This Row],[BW_GA]])-1)/(Backend!$B$4/100*Table1[[#This Row],[BW40_3705]]),"")</f>
        <v/>
      </c>
      <c r="H6680" s="7" t="str">
        <f>IF(Table1[[#This Row],[Is Data Valid]]=TRUE,((Table1[[#This Row],[Birthweight (grams)]]*0.9/Table1[[#This Row],[BW_GA]])-1)/(Backend!$B$4/100*Table1[[#This Row],[BW40_3705]]),"")</f>
        <v/>
      </c>
      <c r="I6680" s="7" t="str">
        <f>IF(Table1[[#This Row],[Is Data Valid]]=TRUE,((Table1[[#This Row],[Birthweight (grams)]]*1.1/Table1[[#This Row],[BW_GA]])-1)/(Backend!$B$4/100*Table1[[#This Row],[BW40_3705]]),"")</f>
        <v/>
      </c>
      <c r="J6680" s="7" t="str">
        <f>IF(Table1[[#This Row],[Is Data Valid]]=TRUE,_xlfn.NORM.S.DIST(Table1[[#This Row],[Birthweight Z-Score]],TRUE)*100,"")</f>
        <v/>
      </c>
      <c r="K6680" s="7" t="str">
        <f>IF(Table1[[#This Row],[Is Data Valid]]=TRUE,_xlfn.NORM.S.DIST(Table1[[#This Row],[Birthweight Z-Score (BW-10%)]],TRUE)*100,"")</f>
        <v/>
      </c>
      <c r="L6680" s="7" t="str">
        <f>IF(Table1[[#This Row],[Is Data Valid]]=TRUE,_xlfn.NORM.S.DIST(Table1[[#This Row],[Birthweight Z-Score (BW+10%)]],TRUE)*100,"")</f>
        <v/>
      </c>
    </row>
    <row r="6681" spans="1:12" x14ac:dyDescent="0.35">
      <c r="A6681" s="3"/>
      <c r="B6681" s="2"/>
      <c r="C6681" s="2"/>
      <c r="D6681" s="2" t="b">
        <f>IF(AND(NOT(ISBLANK(Table1[[#This Row],[Fetal Sex (Male, Female or Unknown)]])),ISNUMBER(Table1[[#This Row],[Birthweight (grams)]]),ISNUMBER(Table1[[#This Row],[Gestation (days)]])),TRUE,FALSE)</f>
        <v>0</v>
      </c>
      <c r="E6681" s="2" t="str">
        <f>IF(Table1[[#This Row],[Is Data Valid]]=TRUE,IF(Table1[[#This Row],[Fetal Sex (Male, Female or Unknown)]]="Male",Backend!$C$6,IF(Table1[[#This Row],[Fetal Sex (Male, Female or Unknown)]]="Female",Backend!$C$7,IF(Table1[[#This Row],[Fetal Sex (Male, Female or Unknown)]]="Unknown",Backend!$C$8,"Error"))),"")</f>
        <v/>
      </c>
      <c r="F6681" s="8" t="str">
        <f>IF(Table1[[#This Row],[Is Data Valid]]=TRUE,EXP(0.578+0.332*((Table1[[#This Row],[Gestation (days)]]+0.5)/7)-0.00354*((Table1[[#This Row],[Gestation (days)]]+0.5)/7)^2)*Table1[[#This Row],[BW40_3705]],"")</f>
        <v/>
      </c>
      <c r="G6681" s="2" t="str">
        <f>IF(Table1[[#This Row],[Is Data Valid]]=TRUE,((Table1[[#This Row],[Birthweight (grams)]]/Table1[[#This Row],[BW_GA]])-1)/(Backend!$B$4/100*Table1[[#This Row],[BW40_3705]]),"")</f>
        <v/>
      </c>
      <c r="H6681" s="7" t="str">
        <f>IF(Table1[[#This Row],[Is Data Valid]]=TRUE,((Table1[[#This Row],[Birthweight (grams)]]*0.9/Table1[[#This Row],[BW_GA]])-1)/(Backend!$B$4/100*Table1[[#This Row],[BW40_3705]]),"")</f>
        <v/>
      </c>
      <c r="I6681" s="7" t="str">
        <f>IF(Table1[[#This Row],[Is Data Valid]]=TRUE,((Table1[[#This Row],[Birthweight (grams)]]*1.1/Table1[[#This Row],[BW_GA]])-1)/(Backend!$B$4/100*Table1[[#This Row],[BW40_3705]]),"")</f>
        <v/>
      </c>
      <c r="J6681" s="7" t="str">
        <f>IF(Table1[[#This Row],[Is Data Valid]]=TRUE,_xlfn.NORM.S.DIST(Table1[[#This Row],[Birthweight Z-Score]],TRUE)*100,"")</f>
        <v/>
      </c>
      <c r="K6681" s="7" t="str">
        <f>IF(Table1[[#This Row],[Is Data Valid]]=TRUE,_xlfn.NORM.S.DIST(Table1[[#This Row],[Birthweight Z-Score (BW-10%)]],TRUE)*100,"")</f>
        <v/>
      </c>
      <c r="L6681" s="7" t="str">
        <f>IF(Table1[[#This Row],[Is Data Valid]]=TRUE,_xlfn.NORM.S.DIST(Table1[[#This Row],[Birthweight Z-Score (BW+10%)]],TRUE)*100,"")</f>
        <v/>
      </c>
    </row>
    <row r="6682" spans="1:12" x14ac:dyDescent="0.35">
      <c r="A6682" s="3"/>
      <c r="B6682" s="2"/>
      <c r="C6682" s="2"/>
      <c r="D6682" s="2" t="b">
        <f>IF(AND(NOT(ISBLANK(Table1[[#This Row],[Fetal Sex (Male, Female or Unknown)]])),ISNUMBER(Table1[[#This Row],[Birthweight (grams)]]),ISNUMBER(Table1[[#This Row],[Gestation (days)]])),TRUE,FALSE)</f>
        <v>0</v>
      </c>
      <c r="E6682" s="2" t="str">
        <f>IF(Table1[[#This Row],[Is Data Valid]]=TRUE,IF(Table1[[#This Row],[Fetal Sex (Male, Female or Unknown)]]="Male",Backend!$C$6,IF(Table1[[#This Row],[Fetal Sex (Male, Female or Unknown)]]="Female",Backend!$C$7,IF(Table1[[#This Row],[Fetal Sex (Male, Female or Unknown)]]="Unknown",Backend!$C$8,"Error"))),"")</f>
        <v/>
      </c>
      <c r="F6682" s="8" t="str">
        <f>IF(Table1[[#This Row],[Is Data Valid]]=TRUE,EXP(0.578+0.332*((Table1[[#This Row],[Gestation (days)]]+0.5)/7)-0.00354*((Table1[[#This Row],[Gestation (days)]]+0.5)/7)^2)*Table1[[#This Row],[BW40_3705]],"")</f>
        <v/>
      </c>
      <c r="G6682" s="2" t="str">
        <f>IF(Table1[[#This Row],[Is Data Valid]]=TRUE,((Table1[[#This Row],[Birthweight (grams)]]/Table1[[#This Row],[BW_GA]])-1)/(Backend!$B$4/100*Table1[[#This Row],[BW40_3705]]),"")</f>
        <v/>
      </c>
      <c r="H6682" s="7" t="str">
        <f>IF(Table1[[#This Row],[Is Data Valid]]=TRUE,((Table1[[#This Row],[Birthweight (grams)]]*0.9/Table1[[#This Row],[BW_GA]])-1)/(Backend!$B$4/100*Table1[[#This Row],[BW40_3705]]),"")</f>
        <v/>
      </c>
      <c r="I6682" s="7" t="str">
        <f>IF(Table1[[#This Row],[Is Data Valid]]=TRUE,((Table1[[#This Row],[Birthweight (grams)]]*1.1/Table1[[#This Row],[BW_GA]])-1)/(Backend!$B$4/100*Table1[[#This Row],[BW40_3705]]),"")</f>
        <v/>
      </c>
      <c r="J6682" s="7" t="str">
        <f>IF(Table1[[#This Row],[Is Data Valid]]=TRUE,_xlfn.NORM.S.DIST(Table1[[#This Row],[Birthweight Z-Score]],TRUE)*100,"")</f>
        <v/>
      </c>
      <c r="K6682" s="7" t="str">
        <f>IF(Table1[[#This Row],[Is Data Valid]]=TRUE,_xlfn.NORM.S.DIST(Table1[[#This Row],[Birthweight Z-Score (BW-10%)]],TRUE)*100,"")</f>
        <v/>
      </c>
      <c r="L6682" s="7" t="str">
        <f>IF(Table1[[#This Row],[Is Data Valid]]=TRUE,_xlfn.NORM.S.DIST(Table1[[#This Row],[Birthweight Z-Score (BW+10%)]],TRUE)*100,"")</f>
        <v/>
      </c>
    </row>
    <row r="6683" spans="1:12" x14ac:dyDescent="0.35">
      <c r="A6683" s="3"/>
      <c r="B6683" s="2"/>
      <c r="C6683" s="2"/>
      <c r="D6683" s="2" t="b">
        <f>IF(AND(NOT(ISBLANK(Table1[[#This Row],[Fetal Sex (Male, Female or Unknown)]])),ISNUMBER(Table1[[#This Row],[Birthweight (grams)]]),ISNUMBER(Table1[[#This Row],[Gestation (days)]])),TRUE,FALSE)</f>
        <v>0</v>
      </c>
      <c r="E6683" s="2" t="str">
        <f>IF(Table1[[#This Row],[Is Data Valid]]=TRUE,IF(Table1[[#This Row],[Fetal Sex (Male, Female or Unknown)]]="Male",Backend!$C$6,IF(Table1[[#This Row],[Fetal Sex (Male, Female or Unknown)]]="Female",Backend!$C$7,IF(Table1[[#This Row],[Fetal Sex (Male, Female or Unknown)]]="Unknown",Backend!$C$8,"Error"))),"")</f>
        <v/>
      </c>
      <c r="F6683" s="8" t="str">
        <f>IF(Table1[[#This Row],[Is Data Valid]]=TRUE,EXP(0.578+0.332*((Table1[[#This Row],[Gestation (days)]]+0.5)/7)-0.00354*((Table1[[#This Row],[Gestation (days)]]+0.5)/7)^2)*Table1[[#This Row],[BW40_3705]],"")</f>
        <v/>
      </c>
      <c r="G6683" s="2" t="str">
        <f>IF(Table1[[#This Row],[Is Data Valid]]=TRUE,((Table1[[#This Row],[Birthweight (grams)]]/Table1[[#This Row],[BW_GA]])-1)/(Backend!$B$4/100*Table1[[#This Row],[BW40_3705]]),"")</f>
        <v/>
      </c>
      <c r="H6683" s="7" t="str">
        <f>IF(Table1[[#This Row],[Is Data Valid]]=TRUE,((Table1[[#This Row],[Birthweight (grams)]]*0.9/Table1[[#This Row],[BW_GA]])-1)/(Backend!$B$4/100*Table1[[#This Row],[BW40_3705]]),"")</f>
        <v/>
      </c>
      <c r="I6683" s="7" t="str">
        <f>IF(Table1[[#This Row],[Is Data Valid]]=TRUE,((Table1[[#This Row],[Birthweight (grams)]]*1.1/Table1[[#This Row],[BW_GA]])-1)/(Backend!$B$4/100*Table1[[#This Row],[BW40_3705]]),"")</f>
        <v/>
      </c>
      <c r="J6683" s="7" t="str">
        <f>IF(Table1[[#This Row],[Is Data Valid]]=TRUE,_xlfn.NORM.S.DIST(Table1[[#This Row],[Birthweight Z-Score]],TRUE)*100,"")</f>
        <v/>
      </c>
      <c r="K6683" s="7" t="str">
        <f>IF(Table1[[#This Row],[Is Data Valid]]=TRUE,_xlfn.NORM.S.DIST(Table1[[#This Row],[Birthweight Z-Score (BW-10%)]],TRUE)*100,"")</f>
        <v/>
      </c>
      <c r="L6683" s="7" t="str">
        <f>IF(Table1[[#This Row],[Is Data Valid]]=TRUE,_xlfn.NORM.S.DIST(Table1[[#This Row],[Birthweight Z-Score (BW+10%)]],TRUE)*100,"")</f>
        <v/>
      </c>
    </row>
    <row r="6684" spans="1:12" x14ac:dyDescent="0.35">
      <c r="A6684" s="3"/>
      <c r="B6684" s="2"/>
      <c r="C6684" s="2"/>
      <c r="D6684" s="2" t="b">
        <f>IF(AND(NOT(ISBLANK(Table1[[#This Row],[Fetal Sex (Male, Female or Unknown)]])),ISNUMBER(Table1[[#This Row],[Birthweight (grams)]]),ISNUMBER(Table1[[#This Row],[Gestation (days)]])),TRUE,FALSE)</f>
        <v>0</v>
      </c>
      <c r="E6684" s="2" t="str">
        <f>IF(Table1[[#This Row],[Is Data Valid]]=TRUE,IF(Table1[[#This Row],[Fetal Sex (Male, Female or Unknown)]]="Male",Backend!$C$6,IF(Table1[[#This Row],[Fetal Sex (Male, Female or Unknown)]]="Female",Backend!$C$7,IF(Table1[[#This Row],[Fetal Sex (Male, Female or Unknown)]]="Unknown",Backend!$C$8,"Error"))),"")</f>
        <v/>
      </c>
      <c r="F6684" s="8" t="str">
        <f>IF(Table1[[#This Row],[Is Data Valid]]=TRUE,EXP(0.578+0.332*((Table1[[#This Row],[Gestation (days)]]+0.5)/7)-0.00354*((Table1[[#This Row],[Gestation (days)]]+0.5)/7)^2)*Table1[[#This Row],[BW40_3705]],"")</f>
        <v/>
      </c>
      <c r="G6684" s="2" t="str">
        <f>IF(Table1[[#This Row],[Is Data Valid]]=TRUE,((Table1[[#This Row],[Birthweight (grams)]]/Table1[[#This Row],[BW_GA]])-1)/(Backend!$B$4/100*Table1[[#This Row],[BW40_3705]]),"")</f>
        <v/>
      </c>
      <c r="H6684" s="7" t="str">
        <f>IF(Table1[[#This Row],[Is Data Valid]]=TRUE,((Table1[[#This Row],[Birthweight (grams)]]*0.9/Table1[[#This Row],[BW_GA]])-1)/(Backend!$B$4/100*Table1[[#This Row],[BW40_3705]]),"")</f>
        <v/>
      </c>
      <c r="I6684" s="7" t="str">
        <f>IF(Table1[[#This Row],[Is Data Valid]]=TRUE,((Table1[[#This Row],[Birthweight (grams)]]*1.1/Table1[[#This Row],[BW_GA]])-1)/(Backend!$B$4/100*Table1[[#This Row],[BW40_3705]]),"")</f>
        <v/>
      </c>
      <c r="J6684" s="7" t="str">
        <f>IF(Table1[[#This Row],[Is Data Valid]]=TRUE,_xlfn.NORM.S.DIST(Table1[[#This Row],[Birthweight Z-Score]],TRUE)*100,"")</f>
        <v/>
      </c>
      <c r="K6684" s="7" t="str">
        <f>IF(Table1[[#This Row],[Is Data Valid]]=TRUE,_xlfn.NORM.S.DIST(Table1[[#This Row],[Birthweight Z-Score (BW-10%)]],TRUE)*100,"")</f>
        <v/>
      </c>
      <c r="L6684" s="7" t="str">
        <f>IF(Table1[[#This Row],[Is Data Valid]]=TRUE,_xlfn.NORM.S.DIST(Table1[[#This Row],[Birthweight Z-Score (BW+10%)]],TRUE)*100,"")</f>
        <v/>
      </c>
    </row>
    <row r="6685" spans="1:12" x14ac:dyDescent="0.35">
      <c r="A6685" s="3"/>
      <c r="B6685" s="2"/>
      <c r="C6685" s="2"/>
      <c r="D6685" s="2" t="b">
        <f>IF(AND(NOT(ISBLANK(Table1[[#This Row],[Fetal Sex (Male, Female or Unknown)]])),ISNUMBER(Table1[[#This Row],[Birthweight (grams)]]),ISNUMBER(Table1[[#This Row],[Gestation (days)]])),TRUE,FALSE)</f>
        <v>0</v>
      </c>
      <c r="E6685" s="2" t="str">
        <f>IF(Table1[[#This Row],[Is Data Valid]]=TRUE,IF(Table1[[#This Row],[Fetal Sex (Male, Female or Unknown)]]="Male",Backend!$C$6,IF(Table1[[#This Row],[Fetal Sex (Male, Female or Unknown)]]="Female",Backend!$C$7,IF(Table1[[#This Row],[Fetal Sex (Male, Female or Unknown)]]="Unknown",Backend!$C$8,"Error"))),"")</f>
        <v/>
      </c>
      <c r="F6685" s="8" t="str">
        <f>IF(Table1[[#This Row],[Is Data Valid]]=TRUE,EXP(0.578+0.332*((Table1[[#This Row],[Gestation (days)]]+0.5)/7)-0.00354*((Table1[[#This Row],[Gestation (days)]]+0.5)/7)^2)*Table1[[#This Row],[BW40_3705]],"")</f>
        <v/>
      </c>
      <c r="G6685" s="2" t="str">
        <f>IF(Table1[[#This Row],[Is Data Valid]]=TRUE,((Table1[[#This Row],[Birthweight (grams)]]/Table1[[#This Row],[BW_GA]])-1)/(Backend!$B$4/100*Table1[[#This Row],[BW40_3705]]),"")</f>
        <v/>
      </c>
      <c r="H6685" s="7" t="str">
        <f>IF(Table1[[#This Row],[Is Data Valid]]=TRUE,((Table1[[#This Row],[Birthweight (grams)]]*0.9/Table1[[#This Row],[BW_GA]])-1)/(Backend!$B$4/100*Table1[[#This Row],[BW40_3705]]),"")</f>
        <v/>
      </c>
      <c r="I6685" s="7" t="str">
        <f>IF(Table1[[#This Row],[Is Data Valid]]=TRUE,((Table1[[#This Row],[Birthweight (grams)]]*1.1/Table1[[#This Row],[BW_GA]])-1)/(Backend!$B$4/100*Table1[[#This Row],[BW40_3705]]),"")</f>
        <v/>
      </c>
      <c r="J6685" s="7" t="str">
        <f>IF(Table1[[#This Row],[Is Data Valid]]=TRUE,_xlfn.NORM.S.DIST(Table1[[#This Row],[Birthweight Z-Score]],TRUE)*100,"")</f>
        <v/>
      </c>
      <c r="K6685" s="7" t="str">
        <f>IF(Table1[[#This Row],[Is Data Valid]]=TRUE,_xlfn.NORM.S.DIST(Table1[[#This Row],[Birthweight Z-Score (BW-10%)]],TRUE)*100,"")</f>
        <v/>
      </c>
      <c r="L6685" s="7" t="str">
        <f>IF(Table1[[#This Row],[Is Data Valid]]=TRUE,_xlfn.NORM.S.DIST(Table1[[#This Row],[Birthweight Z-Score (BW+10%)]],TRUE)*100,"")</f>
        <v/>
      </c>
    </row>
    <row r="6686" spans="1:12" x14ac:dyDescent="0.35">
      <c r="A6686" s="3"/>
      <c r="B6686" s="2"/>
      <c r="C6686" s="2"/>
      <c r="D6686" s="2" t="b">
        <f>IF(AND(NOT(ISBLANK(Table1[[#This Row],[Fetal Sex (Male, Female or Unknown)]])),ISNUMBER(Table1[[#This Row],[Birthweight (grams)]]),ISNUMBER(Table1[[#This Row],[Gestation (days)]])),TRUE,FALSE)</f>
        <v>0</v>
      </c>
      <c r="E6686" s="2" t="str">
        <f>IF(Table1[[#This Row],[Is Data Valid]]=TRUE,IF(Table1[[#This Row],[Fetal Sex (Male, Female or Unknown)]]="Male",Backend!$C$6,IF(Table1[[#This Row],[Fetal Sex (Male, Female or Unknown)]]="Female",Backend!$C$7,IF(Table1[[#This Row],[Fetal Sex (Male, Female or Unknown)]]="Unknown",Backend!$C$8,"Error"))),"")</f>
        <v/>
      </c>
      <c r="F6686" s="8" t="str">
        <f>IF(Table1[[#This Row],[Is Data Valid]]=TRUE,EXP(0.578+0.332*((Table1[[#This Row],[Gestation (days)]]+0.5)/7)-0.00354*((Table1[[#This Row],[Gestation (days)]]+0.5)/7)^2)*Table1[[#This Row],[BW40_3705]],"")</f>
        <v/>
      </c>
      <c r="G6686" s="2" t="str">
        <f>IF(Table1[[#This Row],[Is Data Valid]]=TRUE,((Table1[[#This Row],[Birthweight (grams)]]/Table1[[#This Row],[BW_GA]])-1)/(Backend!$B$4/100*Table1[[#This Row],[BW40_3705]]),"")</f>
        <v/>
      </c>
      <c r="H6686" s="7" t="str">
        <f>IF(Table1[[#This Row],[Is Data Valid]]=TRUE,((Table1[[#This Row],[Birthweight (grams)]]*0.9/Table1[[#This Row],[BW_GA]])-1)/(Backend!$B$4/100*Table1[[#This Row],[BW40_3705]]),"")</f>
        <v/>
      </c>
      <c r="I6686" s="7" t="str">
        <f>IF(Table1[[#This Row],[Is Data Valid]]=TRUE,((Table1[[#This Row],[Birthweight (grams)]]*1.1/Table1[[#This Row],[BW_GA]])-1)/(Backend!$B$4/100*Table1[[#This Row],[BW40_3705]]),"")</f>
        <v/>
      </c>
      <c r="J6686" s="7" t="str">
        <f>IF(Table1[[#This Row],[Is Data Valid]]=TRUE,_xlfn.NORM.S.DIST(Table1[[#This Row],[Birthweight Z-Score]],TRUE)*100,"")</f>
        <v/>
      </c>
      <c r="K6686" s="7" t="str">
        <f>IF(Table1[[#This Row],[Is Data Valid]]=TRUE,_xlfn.NORM.S.DIST(Table1[[#This Row],[Birthweight Z-Score (BW-10%)]],TRUE)*100,"")</f>
        <v/>
      </c>
      <c r="L6686" s="7" t="str">
        <f>IF(Table1[[#This Row],[Is Data Valid]]=TRUE,_xlfn.NORM.S.DIST(Table1[[#This Row],[Birthweight Z-Score (BW+10%)]],TRUE)*100,"")</f>
        <v/>
      </c>
    </row>
    <row r="6687" spans="1:12" x14ac:dyDescent="0.35">
      <c r="A6687" s="3"/>
      <c r="B6687" s="2"/>
      <c r="C6687" s="2"/>
      <c r="D6687" s="2" t="b">
        <f>IF(AND(NOT(ISBLANK(Table1[[#This Row],[Fetal Sex (Male, Female or Unknown)]])),ISNUMBER(Table1[[#This Row],[Birthweight (grams)]]),ISNUMBER(Table1[[#This Row],[Gestation (days)]])),TRUE,FALSE)</f>
        <v>0</v>
      </c>
      <c r="E6687" s="2" t="str">
        <f>IF(Table1[[#This Row],[Is Data Valid]]=TRUE,IF(Table1[[#This Row],[Fetal Sex (Male, Female or Unknown)]]="Male",Backend!$C$6,IF(Table1[[#This Row],[Fetal Sex (Male, Female or Unknown)]]="Female",Backend!$C$7,IF(Table1[[#This Row],[Fetal Sex (Male, Female or Unknown)]]="Unknown",Backend!$C$8,"Error"))),"")</f>
        <v/>
      </c>
      <c r="F6687" s="8" t="str">
        <f>IF(Table1[[#This Row],[Is Data Valid]]=TRUE,EXP(0.578+0.332*((Table1[[#This Row],[Gestation (days)]]+0.5)/7)-0.00354*((Table1[[#This Row],[Gestation (days)]]+0.5)/7)^2)*Table1[[#This Row],[BW40_3705]],"")</f>
        <v/>
      </c>
      <c r="G6687" s="2" t="str">
        <f>IF(Table1[[#This Row],[Is Data Valid]]=TRUE,((Table1[[#This Row],[Birthweight (grams)]]/Table1[[#This Row],[BW_GA]])-1)/(Backend!$B$4/100*Table1[[#This Row],[BW40_3705]]),"")</f>
        <v/>
      </c>
      <c r="H6687" s="7" t="str">
        <f>IF(Table1[[#This Row],[Is Data Valid]]=TRUE,((Table1[[#This Row],[Birthweight (grams)]]*0.9/Table1[[#This Row],[BW_GA]])-1)/(Backend!$B$4/100*Table1[[#This Row],[BW40_3705]]),"")</f>
        <v/>
      </c>
      <c r="I6687" s="7" t="str">
        <f>IF(Table1[[#This Row],[Is Data Valid]]=TRUE,((Table1[[#This Row],[Birthweight (grams)]]*1.1/Table1[[#This Row],[BW_GA]])-1)/(Backend!$B$4/100*Table1[[#This Row],[BW40_3705]]),"")</f>
        <v/>
      </c>
      <c r="J6687" s="7" t="str">
        <f>IF(Table1[[#This Row],[Is Data Valid]]=TRUE,_xlfn.NORM.S.DIST(Table1[[#This Row],[Birthweight Z-Score]],TRUE)*100,"")</f>
        <v/>
      </c>
      <c r="K6687" s="7" t="str">
        <f>IF(Table1[[#This Row],[Is Data Valid]]=TRUE,_xlfn.NORM.S.DIST(Table1[[#This Row],[Birthweight Z-Score (BW-10%)]],TRUE)*100,"")</f>
        <v/>
      </c>
      <c r="L6687" s="7" t="str">
        <f>IF(Table1[[#This Row],[Is Data Valid]]=TRUE,_xlfn.NORM.S.DIST(Table1[[#This Row],[Birthweight Z-Score (BW+10%)]],TRUE)*100,"")</f>
        <v/>
      </c>
    </row>
    <row r="6688" spans="1:12" x14ac:dyDescent="0.35">
      <c r="A6688" s="3"/>
      <c r="B6688" s="2"/>
      <c r="C6688" s="2"/>
      <c r="D6688" s="2" t="b">
        <f>IF(AND(NOT(ISBLANK(Table1[[#This Row],[Fetal Sex (Male, Female or Unknown)]])),ISNUMBER(Table1[[#This Row],[Birthweight (grams)]]),ISNUMBER(Table1[[#This Row],[Gestation (days)]])),TRUE,FALSE)</f>
        <v>0</v>
      </c>
      <c r="E6688" s="2" t="str">
        <f>IF(Table1[[#This Row],[Is Data Valid]]=TRUE,IF(Table1[[#This Row],[Fetal Sex (Male, Female or Unknown)]]="Male",Backend!$C$6,IF(Table1[[#This Row],[Fetal Sex (Male, Female or Unknown)]]="Female",Backend!$C$7,IF(Table1[[#This Row],[Fetal Sex (Male, Female or Unknown)]]="Unknown",Backend!$C$8,"Error"))),"")</f>
        <v/>
      </c>
      <c r="F6688" s="8" t="str">
        <f>IF(Table1[[#This Row],[Is Data Valid]]=TRUE,EXP(0.578+0.332*((Table1[[#This Row],[Gestation (days)]]+0.5)/7)-0.00354*((Table1[[#This Row],[Gestation (days)]]+0.5)/7)^2)*Table1[[#This Row],[BW40_3705]],"")</f>
        <v/>
      </c>
      <c r="G6688" s="2" t="str">
        <f>IF(Table1[[#This Row],[Is Data Valid]]=TRUE,((Table1[[#This Row],[Birthweight (grams)]]/Table1[[#This Row],[BW_GA]])-1)/(Backend!$B$4/100*Table1[[#This Row],[BW40_3705]]),"")</f>
        <v/>
      </c>
      <c r="H6688" s="7" t="str">
        <f>IF(Table1[[#This Row],[Is Data Valid]]=TRUE,((Table1[[#This Row],[Birthweight (grams)]]*0.9/Table1[[#This Row],[BW_GA]])-1)/(Backend!$B$4/100*Table1[[#This Row],[BW40_3705]]),"")</f>
        <v/>
      </c>
      <c r="I6688" s="7" t="str">
        <f>IF(Table1[[#This Row],[Is Data Valid]]=TRUE,((Table1[[#This Row],[Birthweight (grams)]]*1.1/Table1[[#This Row],[BW_GA]])-1)/(Backend!$B$4/100*Table1[[#This Row],[BW40_3705]]),"")</f>
        <v/>
      </c>
      <c r="J6688" s="7" t="str">
        <f>IF(Table1[[#This Row],[Is Data Valid]]=TRUE,_xlfn.NORM.S.DIST(Table1[[#This Row],[Birthweight Z-Score]],TRUE)*100,"")</f>
        <v/>
      </c>
      <c r="K6688" s="7" t="str">
        <f>IF(Table1[[#This Row],[Is Data Valid]]=TRUE,_xlfn.NORM.S.DIST(Table1[[#This Row],[Birthweight Z-Score (BW-10%)]],TRUE)*100,"")</f>
        <v/>
      </c>
      <c r="L6688" s="7" t="str">
        <f>IF(Table1[[#This Row],[Is Data Valid]]=TRUE,_xlfn.NORM.S.DIST(Table1[[#This Row],[Birthweight Z-Score (BW+10%)]],TRUE)*100,"")</f>
        <v/>
      </c>
    </row>
    <row r="6689" spans="1:12" x14ac:dyDescent="0.35">
      <c r="A6689" s="3"/>
      <c r="B6689" s="2"/>
      <c r="C6689" s="2"/>
      <c r="D6689" s="2" t="b">
        <f>IF(AND(NOT(ISBLANK(Table1[[#This Row],[Fetal Sex (Male, Female or Unknown)]])),ISNUMBER(Table1[[#This Row],[Birthweight (grams)]]),ISNUMBER(Table1[[#This Row],[Gestation (days)]])),TRUE,FALSE)</f>
        <v>0</v>
      </c>
      <c r="E6689" s="2" t="str">
        <f>IF(Table1[[#This Row],[Is Data Valid]]=TRUE,IF(Table1[[#This Row],[Fetal Sex (Male, Female or Unknown)]]="Male",Backend!$C$6,IF(Table1[[#This Row],[Fetal Sex (Male, Female or Unknown)]]="Female",Backend!$C$7,IF(Table1[[#This Row],[Fetal Sex (Male, Female or Unknown)]]="Unknown",Backend!$C$8,"Error"))),"")</f>
        <v/>
      </c>
      <c r="F6689" s="8" t="str">
        <f>IF(Table1[[#This Row],[Is Data Valid]]=TRUE,EXP(0.578+0.332*((Table1[[#This Row],[Gestation (days)]]+0.5)/7)-0.00354*((Table1[[#This Row],[Gestation (days)]]+0.5)/7)^2)*Table1[[#This Row],[BW40_3705]],"")</f>
        <v/>
      </c>
      <c r="G6689" s="2" t="str">
        <f>IF(Table1[[#This Row],[Is Data Valid]]=TRUE,((Table1[[#This Row],[Birthweight (grams)]]/Table1[[#This Row],[BW_GA]])-1)/(Backend!$B$4/100*Table1[[#This Row],[BW40_3705]]),"")</f>
        <v/>
      </c>
      <c r="H6689" s="7" t="str">
        <f>IF(Table1[[#This Row],[Is Data Valid]]=TRUE,((Table1[[#This Row],[Birthweight (grams)]]*0.9/Table1[[#This Row],[BW_GA]])-1)/(Backend!$B$4/100*Table1[[#This Row],[BW40_3705]]),"")</f>
        <v/>
      </c>
      <c r="I6689" s="7" t="str">
        <f>IF(Table1[[#This Row],[Is Data Valid]]=TRUE,((Table1[[#This Row],[Birthweight (grams)]]*1.1/Table1[[#This Row],[BW_GA]])-1)/(Backend!$B$4/100*Table1[[#This Row],[BW40_3705]]),"")</f>
        <v/>
      </c>
      <c r="J6689" s="7" t="str">
        <f>IF(Table1[[#This Row],[Is Data Valid]]=TRUE,_xlfn.NORM.S.DIST(Table1[[#This Row],[Birthweight Z-Score]],TRUE)*100,"")</f>
        <v/>
      </c>
      <c r="K6689" s="7" t="str">
        <f>IF(Table1[[#This Row],[Is Data Valid]]=TRUE,_xlfn.NORM.S.DIST(Table1[[#This Row],[Birthweight Z-Score (BW-10%)]],TRUE)*100,"")</f>
        <v/>
      </c>
      <c r="L6689" s="7" t="str">
        <f>IF(Table1[[#This Row],[Is Data Valid]]=TRUE,_xlfn.NORM.S.DIST(Table1[[#This Row],[Birthweight Z-Score (BW+10%)]],TRUE)*100,"")</f>
        <v/>
      </c>
    </row>
    <row r="6690" spans="1:12" x14ac:dyDescent="0.35">
      <c r="A6690" s="3"/>
      <c r="B6690" s="2"/>
      <c r="C6690" s="2"/>
      <c r="D6690" s="2" t="b">
        <f>IF(AND(NOT(ISBLANK(Table1[[#This Row],[Fetal Sex (Male, Female or Unknown)]])),ISNUMBER(Table1[[#This Row],[Birthweight (grams)]]),ISNUMBER(Table1[[#This Row],[Gestation (days)]])),TRUE,FALSE)</f>
        <v>0</v>
      </c>
      <c r="E6690" s="2" t="str">
        <f>IF(Table1[[#This Row],[Is Data Valid]]=TRUE,IF(Table1[[#This Row],[Fetal Sex (Male, Female or Unknown)]]="Male",Backend!$C$6,IF(Table1[[#This Row],[Fetal Sex (Male, Female or Unknown)]]="Female",Backend!$C$7,IF(Table1[[#This Row],[Fetal Sex (Male, Female or Unknown)]]="Unknown",Backend!$C$8,"Error"))),"")</f>
        <v/>
      </c>
      <c r="F6690" s="8" t="str">
        <f>IF(Table1[[#This Row],[Is Data Valid]]=TRUE,EXP(0.578+0.332*((Table1[[#This Row],[Gestation (days)]]+0.5)/7)-0.00354*((Table1[[#This Row],[Gestation (days)]]+0.5)/7)^2)*Table1[[#This Row],[BW40_3705]],"")</f>
        <v/>
      </c>
      <c r="G6690" s="2" t="str">
        <f>IF(Table1[[#This Row],[Is Data Valid]]=TRUE,((Table1[[#This Row],[Birthweight (grams)]]/Table1[[#This Row],[BW_GA]])-1)/(Backend!$B$4/100*Table1[[#This Row],[BW40_3705]]),"")</f>
        <v/>
      </c>
      <c r="H6690" s="7" t="str">
        <f>IF(Table1[[#This Row],[Is Data Valid]]=TRUE,((Table1[[#This Row],[Birthweight (grams)]]*0.9/Table1[[#This Row],[BW_GA]])-1)/(Backend!$B$4/100*Table1[[#This Row],[BW40_3705]]),"")</f>
        <v/>
      </c>
      <c r="I6690" s="7" t="str">
        <f>IF(Table1[[#This Row],[Is Data Valid]]=TRUE,((Table1[[#This Row],[Birthweight (grams)]]*1.1/Table1[[#This Row],[BW_GA]])-1)/(Backend!$B$4/100*Table1[[#This Row],[BW40_3705]]),"")</f>
        <v/>
      </c>
      <c r="J6690" s="7" t="str">
        <f>IF(Table1[[#This Row],[Is Data Valid]]=TRUE,_xlfn.NORM.S.DIST(Table1[[#This Row],[Birthweight Z-Score]],TRUE)*100,"")</f>
        <v/>
      </c>
      <c r="K6690" s="7" t="str">
        <f>IF(Table1[[#This Row],[Is Data Valid]]=TRUE,_xlfn.NORM.S.DIST(Table1[[#This Row],[Birthweight Z-Score (BW-10%)]],TRUE)*100,"")</f>
        <v/>
      </c>
      <c r="L6690" s="7" t="str">
        <f>IF(Table1[[#This Row],[Is Data Valid]]=TRUE,_xlfn.NORM.S.DIST(Table1[[#This Row],[Birthweight Z-Score (BW+10%)]],TRUE)*100,"")</f>
        <v/>
      </c>
    </row>
    <row r="6691" spans="1:12" x14ac:dyDescent="0.35">
      <c r="A6691" s="3"/>
      <c r="B6691" s="2"/>
      <c r="C6691" s="2"/>
      <c r="D6691" s="2" t="b">
        <f>IF(AND(NOT(ISBLANK(Table1[[#This Row],[Fetal Sex (Male, Female or Unknown)]])),ISNUMBER(Table1[[#This Row],[Birthweight (grams)]]),ISNUMBER(Table1[[#This Row],[Gestation (days)]])),TRUE,FALSE)</f>
        <v>0</v>
      </c>
      <c r="E6691" s="2" t="str">
        <f>IF(Table1[[#This Row],[Is Data Valid]]=TRUE,IF(Table1[[#This Row],[Fetal Sex (Male, Female or Unknown)]]="Male",Backend!$C$6,IF(Table1[[#This Row],[Fetal Sex (Male, Female or Unknown)]]="Female",Backend!$C$7,IF(Table1[[#This Row],[Fetal Sex (Male, Female or Unknown)]]="Unknown",Backend!$C$8,"Error"))),"")</f>
        <v/>
      </c>
      <c r="F6691" s="8" t="str">
        <f>IF(Table1[[#This Row],[Is Data Valid]]=TRUE,EXP(0.578+0.332*((Table1[[#This Row],[Gestation (days)]]+0.5)/7)-0.00354*((Table1[[#This Row],[Gestation (days)]]+0.5)/7)^2)*Table1[[#This Row],[BW40_3705]],"")</f>
        <v/>
      </c>
      <c r="G6691" s="2" t="str">
        <f>IF(Table1[[#This Row],[Is Data Valid]]=TRUE,((Table1[[#This Row],[Birthweight (grams)]]/Table1[[#This Row],[BW_GA]])-1)/(Backend!$B$4/100*Table1[[#This Row],[BW40_3705]]),"")</f>
        <v/>
      </c>
      <c r="H6691" s="7" t="str">
        <f>IF(Table1[[#This Row],[Is Data Valid]]=TRUE,((Table1[[#This Row],[Birthweight (grams)]]*0.9/Table1[[#This Row],[BW_GA]])-1)/(Backend!$B$4/100*Table1[[#This Row],[BW40_3705]]),"")</f>
        <v/>
      </c>
      <c r="I6691" s="7" t="str">
        <f>IF(Table1[[#This Row],[Is Data Valid]]=TRUE,((Table1[[#This Row],[Birthweight (grams)]]*1.1/Table1[[#This Row],[BW_GA]])-1)/(Backend!$B$4/100*Table1[[#This Row],[BW40_3705]]),"")</f>
        <v/>
      </c>
      <c r="J6691" s="7" t="str">
        <f>IF(Table1[[#This Row],[Is Data Valid]]=TRUE,_xlfn.NORM.S.DIST(Table1[[#This Row],[Birthweight Z-Score]],TRUE)*100,"")</f>
        <v/>
      </c>
      <c r="K6691" s="7" t="str">
        <f>IF(Table1[[#This Row],[Is Data Valid]]=TRUE,_xlfn.NORM.S.DIST(Table1[[#This Row],[Birthweight Z-Score (BW-10%)]],TRUE)*100,"")</f>
        <v/>
      </c>
      <c r="L6691" s="7" t="str">
        <f>IF(Table1[[#This Row],[Is Data Valid]]=TRUE,_xlfn.NORM.S.DIST(Table1[[#This Row],[Birthweight Z-Score (BW+10%)]],TRUE)*100,"")</f>
        <v/>
      </c>
    </row>
    <row r="6692" spans="1:12" x14ac:dyDescent="0.35">
      <c r="A6692" s="3"/>
      <c r="B6692" s="2"/>
      <c r="C6692" s="2"/>
      <c r="D6692" s="2" t="b">
        <f>IF(AND(NOT(ISBLANK(Table1[[#This Row],[Fetal Sex (Male, Female or Unknown)]])),ISNUMBER(Table1[[#This Row],[Birthweight (grams)]]),ISNUMBER(Table1[[#This Row],[Gestation (days)]])),TRUE,FALSE)</f>
        <v>0</v>
      </c>
      <c r="E6692" s="2" t="str">
        <f>IF(Table1[[#This Row],[Is Data Valid]]=TRUE,IF(Table1[[#This Row],[Fetal Sex (Male, Female or Unknown)]]="Male",Backend!$C$6,IF(Table1[[#This Row],[Fetal Sex (Male, Female or Unknown)]]="Female",Backend!$C$7,IF(Table1[[#This Row],[Fetal Sex (Male, Female or Unknown)]]="Unknown",Backend!$C$8,"Error"))),"")</f>
        <v/>
      </c>
      <c r="F6692" s="8" t="str">
        <f>IF(Table1[[#This Row],[Is Data Valid]]=TRUE,EXP(0.578+0.332*((Table1[[#This Row],[Gestation (days)]]+0.5)/7)-0.00354*((Table1[[#This Row],[Gestation (days)]]+0.5)/7)^2)*Table1[[#This Row],[BW40_3705]],"")</f>
        <v/>
      </c>
      <c r="G6692" s="2" t="str">
        <f>IF(Table1[[#This Row],[Is Data Valid]]=TRUE,((Table1[[#This Row],[Birthweight (grams)]]/Table1[[#This Row],[BW_GA]])-1)/(Backend!$B$4/100*Table1[[#This Row],[BW40_3705]]),"")</f>
        <v/>
      </c>
      <c r="H6692" s="7" t="str">
        <f>IF(Table1[[#This Row],[Is Data Valid]]=TRUE,((Table1[[#This Row],[Birthweight (grams)]]*0.9/Table1[[#This Row],[BW_GA]])-1)/(Backend!$B$4/100*Table1[[#This Row],[BW40_3705]]),"")</f>
        <v/>
      </c>
      <c r="I6692" s="7" t="str">
        <f>IF(Table1[[#This Row],[Is Data Valid]]=TRUE,((Table1[[#This Row],[Birthweight (grams)]]*1.1/Table1[[#This Row],[BW_GA]])-1)/(Backend!$B$4/100*Table1[[#This Row],[BW40_3705]]),"")</f>
        <v/>
      </c>
      <c r="J6692" s="7" t="str">
        <f>IF(Table1[[#This Row],[Is Data Valid]]=TRUE,_xlfn.NORM.S.DIST(Table1[[#This Row],[Birthweight Z-Score]],TRUE)*100,"")</f>
        <v/>
      </c>
      <c r="K6692" s="7" t="str">
        <f>IF(Table1[[#This Row],[Is Data Valid]]=TRUE,_xlfn.NORM.S.DIST(Table1[[#This Row],[Birthweight Z-Score (BW-10%)]],TRUE)*100,"")</f>
        <v/>
      </c>
      <c r="L6692" s="7" t="str">
        <f>IF(Table1[[#This Row],[Is Data Valid]]=TRUE,_xlfn.NORM.S.DIST(Table1[[#This Row],[Birthweight Z-Score (BW+10%)]],TRUE)*100,"")</f>
        <v/>
      </c>
    </row>
    <row r="6693" spans="1:12" x14ac:dyDescent="0.35">
      <c r="A6693" s="3"/>
      <c r="B6693" s="2"/>
      <c r="C6693" s="2"/>
      <c r="D6693" s="2" t="b">
        <f>IF(AND(NOT(ISBLANK(Table1[[#This Row],[Fetal Sex (Male, Female or Unknown)]])),ISNUMBER(Table1[[#This Row],[Birthweight (grams)]]),ISNUMBER(Table1[[#This Row],[Gestation (days)]])),TRUE,FALSE)</f>
        <v>0</v>
      </c>
      <c r="E6693" s="2" t="str">
        <f>IF(Table1[[#This Row],[Is Data Valid]]=TRUE,IF(Table1[[#This Row],[Fetal Sex (Male, Female or Unknown)]]="Male",Backend!$C$6,IF(Table1[[#This Row],[Fetal Sex (Male, Female or Unknown)]]="Female",Backend!$C$7,IF(Table1[[#This Row],[Fetal Sex (Male, Female or Unknown)]]="Unknown",Backend!$C$8,"Error"))),"")</f>
        <v/>
      </c>
      <c r="F6693" s="8" t="str">
        <f>IF(Table1[[#This Row],[Is Data Valid]]=TRUE,EXP(0.578+0.332*((Table1[[#This Row],[Gestation (days)]]+0.5)/7)-0.00354*((Table1[[#This Row],[Gestation (days)]]+0.5)/7)^2)*Table1[[#This Row],[BW40_3705]],"")</f>
        <v/>
      </c>
      <c r="G6693" s="2" t="str">
        <f>IF(Table1[[#This Row],[Is Data Valid]]=TRUE,((Table1[[#This Row],[Birthweight (grams)]]/Table1[[#This Row],[BW_GA]])-1)/(Backend!$B$4/100*Table1[[#This Row],[BW40_3705]]),"")</f>
        <v/>
      </c>
      <c r="H6693" s="7" t="str">
        <f>IF(Table1[[#This Row],[Is Data Valid]]=TRUE,((Table1[[#This Row],[Birthweight (grams)]]*0.9/Table1[[#This Row],[BW_GA]])-1)/(Backend!$B$4/100*Table1[[#This Row],[BW40_3705]]),"")</f>
        <v/>
      </c>
      <c r="I6693" s="7" t="str">
        <f>IF(Table1[[#This Row],[Is Data Valid]]=TRUE,((Table1[[#This Row],[Birthweight (grams)]]*1.1/Table1[[#This Row],[BW_GA]])-1)/(Backend!$B$4/100*Table1[[#This Row],[BW40_3705]]),"")</f>
        <v/>
      </c>
      <c r="J6693" s="7" t="str">
        <f>IF(Table1[[#This Row],[Is Data Valid]]=TRUE,_xlfn.NORM.S.DIST(Table1[[#This Row],[Birthweight Z-Score]],TRUE)*100,"")</f>
        <v/>
      </c>
      <c r="K6693" s="7" t="str">
        <f>IF(Table1[[#This Row],[Is Data Valid]]=TRUE,_xlfn.NORM.S.DIST(Table1[[#This Row],[Birthweight Z-Score (BW-10%)]],TRUE)*100,"")</f>
        <v/>
      </c>
      <c r="L6693" s="7" t="str">
        <f>IF(Table1[[#This Row],[Is Data Valid]]=TRUE,_xlfn.NORM.S.DIST(Table1[[#This Row],[Birthweight Z-Score (BW+10%)]],TRUE)*100,"")</f>
        <v/>
      </c>
    </row>
    <row r="6694" spans="1:12" x14ac:dyDescent="0.35">
      <c r="A6694" s="3"/>
      <c r="B6694" s="2"/>
      <c r="C6694" s="2"/>
      <c r="D6694" s="2" t="b">
        <f>IF(AND(NOT(ISBLANK(Table1[[#This Row],[Fetal Sex (Male, Female or Unknown)]])),ISNUMBER(Table1[[#This Row],[Birthweight (grams)]]),ISNUMBER(Table1[[#This Row],[Gestation (days)]])),TRUE,FALSE)</f>
        <v>0</v>
      </c>
      <c r="E6694" s="2" t="str">
        <f>IF(Table1[[#This Row],[Is Data Valid]]=TRUE,IF(Table1[[#This Row],[Fetal Sex (Male, Female or Unknown)]]="Male",Backend!$C$6,IF(Table1[[#This Row],[Fetal Sex (Male, Female or Unknown)]]="Female",Backend!$C$7,IF(Table1[[#This Row],[Fetal Sex (Male, Female or Unknown)]]="Unknown",Backend!$C$8,"Error"))),"")</f>
        <v/>
      </c>
      <c r="F6694" s="8" t="str">
        <f>IF(Table1[[#This Row],[Is Data Valid]]=TRUE,EXP(0.578+0.332*((Table1[[#This Row],[Gestation (days)]]+0.5)/7)-0.00354*((Table1[[#This Row],[Gestation (days)]]+0.5)/7)^2)*Table1[[#This Row],[BW40_3705]],"")</f>
        <v/>
      </c>
      <c r="G6694" s="2" t="str">
        <f>IF(Table1[[#This Row],[Is Data Valid]]=TRUE,((Table1[[#This Row],[Birthweight (grams)]]/Table1[[#This Row],[BW_GA]])-1)/(Backend!$B$4/100*Table1[[#This Row],[BW40_3705]]),"")</f>
        <v/>
      </c>
      <c r="H6694" s="7" t="str">
        <f>IF(Table1[[#This Row],[Is Data Valid]]=TRUE,((Table1[[#This Row],[Birthweight (grams)]]*0.9/Table1[[#This Row],[BW_GA]])-1)/(Backend!$B$4/100*Table1[[#This Row],[BW40_3705]]),"")</f>
        <v/>
      </c>
      <c r="I6694" s="7" t="str">
        <f>IF(Table1[[#This Row],[Is Data Valid]]=TRUE,((Table1[[#This Row],[Birthweight (grams)]]*1.1/Table1[[#This Row],[BW_GA]])-1)/(Backend!$B$4/100*Table1[[#This Row],[BW40_3705]]),"")</f>
        <v/>
      </c>
      <c r="J6694" s="7" t="str">
        <f>IF(Table1[[#This Row],[Is Data Valid]]=TRUE,_xlfn.NORM.S.DIST(Table1[[#This Row],[Birthweight Z-Score]],TRUE)*100,"")</f>
        <v/>
      </c>
      <c r="K6694" s="7" t="str">
        <f>IF(Table1[[#This Row],[Is Data Valid]]=TRUE,_xlfn.NORM.S.DIST(Table1[[#This Row],[Birthweight Z-Score (BW-10%)]],TRUE)*100,"")</f>
        <v/>
      </c>
      <c r="L6694" s="7" t="str">
        <f>IF(Table1[[#This Row],[Is Data Valid]]=TRUE,_xlfn.NORM.S.DIST(Table1[[#This Row],[Birthweight Z-Score (BW+10%)]],TRUE)*100,"")</f>
        <v/>
      </c>
    </row>
    <row r="6695" spans="1:12" x14ac:dyDescent="0.35">
      <c r="A6695" s="3"/>
      <c r="B6695" s="2"/>
      <c r="C6695" s="2"/>
      <c r="D6695" s="2" t="b">
        <f>IF(AND(NOT(ISBLANK(Table1[[#This Row],[Fetal Sex (Male, Female or Unknown)]])),ISNUMBER(Table1[[#This Row],[Birthweight (grams)]]),ISNUMBER(Table1[[#This Row],[Gestation (days)]])),TRUE,FALSE)</f>
        <v>0</v>
      </c>
      <c r="E6695" s="2" t="str">
        <f>IF(Table1[[#This Row],[Is Data Valid]]=TRUE,IF(Table1[[#This Row],[Fetal Sex (Male, Female or Unknown)]]="Male",Backend!$C$6,IF(Table1[[#This Row],[Fetal Sex (Male, Female or Unknown)]]="Female",Backend!$C$7,IF(Table1[[#This Row],[Fetal Sex (Male, Female or Unknown)]]="Unknown",Backend!$C$8,"Error"))),"")</f>
        <v/>
      </c>
      <c r="F6695" s="8" t="str">
        <f>IF(Table1[[#This Row],[Is Data Valid]]=TRUE,EXP(0.578+0.332*((Table1[[#This Row],[Gestation (days)]]+0.5)/7)-0.00354*((Table1[[#This Row],[Gestation (days)]]+0.5)/7)^2)*Table1[[#This Row],[BW40_3705]],"")</f>
        <v/>
      </c>
      <c r="G6695" s="2" t="str">
        <f>IF(Table1[[#This Row],[Is Data Valid]]=TRUE,((Table1[[#This Row],[Birthweight (grams)]]/Table1[[#This Row],[BW_GA]])-1)/(Backend!$B$4/100*Table1[[#This Row],[BW40_3705]]),"")</f>
        <v/>
      </c>
      <c r="H6695" s="7" t="str">
        <f>IF(Table1[[#This Row],[Is Data Valid]]=TRUE,((Table1[[#This Row],[Birthweight (grams)]]*0.9/Table1[[#This Row],[BW_GA]])-1)/(Backend!$B$4/100*Table1[[#This Row],[BW40_3705]]),"")</f>
        <v/>
      </c>
      <c r="I6695" s="7" t="str">
        <f>IF(Table1[[#This Row],[Is Data Valid]]=TRUE,((Table1[[#This Row],[Birthweight (grams)]]*1.1/Table1[[#This Row],[BW_GA]])-1)/(Backend!$B$4/100*Table1[[#This Row],[BW40_3705]]),"")</f>
        <v/>
      </c>
      <c r="J6695" s="7" t="str">
        <f>IF(Table1[[#This Row],[Is Data Valid]]=TRUE,_xlfn.NORM.S.DIST(Table1[[#This Row],[Birthweight Z-Score]],TRUE)*100,"")</f>
        <v/>
      </c>
      <c r="K6695" s="7" t="str">
        <f>IF(Table1[[#This Row],[Is Data Valid]]=TRUE,_xlfn.NORM.S.DIST(Table1[[#This Row],[Birthweight Z-Score (BW-10%)]],TRUE)*100,"")</f>
        <v/>
      </c>
      <c r="L6695" s="7" t="str">
        <f>IF(Table1[[#This Row],[Is Data Valid]]=TRUE,_xlfn.NORM.S.DIST(Table1[[#This Row],[Birthweight Z-Score (BW+10%)]],TRUE)*100,"")</f>
        <v/>
      </c>
    </row>
    <row r="6696" spans="1:12" x14ac:dyDescent="0.35">
      <c r="A6696" s="3"/>
      <c r="B6696" s="2"/>
      <c r="C6696" s="2"/>
      <c r="D6696" s="2" t="b">
        <f>IF(AND(NOT(ISBLANK(Table1[[#This Row],[Fetal Sex (Male, Female or Unknown)]])),ISNUMBER(Table1[[#This Row],[Birthweight (grams)]]),ISNUMBER(Table1[[#This Row],[Gestation (days)]])),TRUE,FALSE)</f>
        <v>0</v>
      </c>
      <c r="E6696" s="2" t="str">
        <f>IF(Table1[[#This Row],[Is Data Valid]]=TRUE,IF(Table1[[#This Row],[Fetal Sex (Male, Female or Unknown)]]="Male",Backend!$C$6,IF(Table1[[#This Row],[Fetal Sex (Male, Female or Unknown)]]="Female",Backend!$C$7,IF(Table1[[#This Row],[Fetal Sex (Male, Female or Unknown)]]="Unknown",Backend!$C$8,"Error"))),"")</f>
        <v/>
      </c>
      <c r="F6696" s="8" t="str">
        <f>IF(Table1[[#This Row],[Is Data Valid]]=TRUE,EXP(0.578+0.332*((Table1[[#This Row],[Gestation (days)]]+0.5)/7)-0.00354*((Table1[[#This Row],[Gestation (days)]]+0.5)/7)^2)*Table1[[#This Row],[BW40_3705]],"")</f>
        <v/>
      </c>
      <c r="G6696" s="2" t="str">
        <f>IF(Table1[[#This Row],[Is Data Valid]]=TRUE,((Table1[[#This Row],[Birthweight (grams)]]/Table1[[#This Row],[BW_GA]])-1)/(Backend!$B$4/100*Table1[[#This Row],[BW40_3705]]),"")</f>
        <v/>
      </c>
      <c r="H6696" s="7" t="str">
        <f>IF(Table1[[#This Row],[Is Data Valid]]=TRUE,((Table1[[#This Row],[Birthweight (grams)]]*0.9/Table1[[#This Row],[BW_GA]])-1)/(Backend!$B$4/100*Table1[[#This Row],[BW40_3705]]),"")</f>
        <v/>
      </c>
      <c r="I6696" s="7" t="str">
        <f>IF(Table1[[#This Row],[Is Data Valid]]=TRUE,((Table1[[#This Row],[Birthweight (grams)]]*1.1/Table1[[#This Row],[BW_GA]])-1)/(Backend!$B$4/100*Table1[[#This Row],[BW40_3705]]),"")</f>
        <v/>
      </c>
      <c r="J6696" s="7" t="str">
        <f>IF(Table1[[#This Row],[Is Data Valid]]=TRUE,_xlfn.NORM.S.DIST(Table1[[#This Row],[Birthweight Z-Score]],TRUE)*100,"")</f>
        <v/>
      </c>
      <c r="K6696" s="7" t="str">
        <f>IF(Table1[[#This Row],[Is Data Valid]]=TRUE,_xlfn.NORM.S.DIST(Table1[[#This Row],[Birthweight Z-Score (BW-10%)]],TRUE)*100,"")</f>
        <v/>
      </c>
      <c r="L6696" s="7" t="str">
        <f>IF(Table1[[#This Row],[Is Data Valid]]=TRUE,_xlfn.NORM.S.DIST(Table1[[#This Row],[Birthweight Z-Score (BW+10%)]],TRUE)*100,"")</f>
        <v/>
      </c>
    </row>
    <row r="6697" spans="1:12" x14ac:dyDescent="0.35">
      <c r="A6697" s="3"/>
      <c r="B6697" s="2"/>
      <c r="C6697" s="2"/>
      <c r="D6697" s="2" t="b">
        <f>IF(AND(NOT(ISBLANK(Table1[[#This Row],[Fetal Sex (Male, Female or Unknown)]])),ISNUMBER(Table1[[#This Row],[Birthweight (grams)]]),ISNUMBER(Table1[[#This Row],[Gestation (days)]])),TRUE,FALSE)</f>
        <v>0</v>
      </c>
      <c r="E6697" s="2" t="str">
        <f>IF(Table1[[#This Row],[Is Data Valid]]=TRUE,IF(Table1[[#This Row],[Fetal Sex (Male, Female or Unknown)]]="Male",Backend!$C$6,IF(Table1[[#This Row],[Fetal Sex (Male, Female or Unknown)]]="Female",Backend!$C$7,IF(Table1[[#This Row],[Fetal Sex (Male, Female or Unknown)]]="Unknown",Backend!$C$8,"Error"))),"")</f>
        <v/>
      </c>
      <c r="F6697" s="8" t="str">
        <f>IF(Table1[[#This Row],[Is Data Valid]]=TRUE,EXP(0.578+0.332*((Table1[[#This Row],[Gestation (days)]]+0.5)/7)-0.00354*((Table1[[#This Row],[Gestation (days)]]+0.5)/7)^2)*Table1[[#This Row],[BW40_3705]],"")</f>
        <v/>
      </c>
      <c r="G6697" s="2" t="str">
        <f>IF(Table1[[#This Row],[Is Data Valid]]=TRUE,((Table1[[#This Row],[Birthweight (grams)]]/Table1[[#This Row],[BW_GA]])-1)/(Backend!$B$4/100*Table1[[#This Row],[BW40_3705]]),"")</f>
        <v/>
      </c>
      <c r="H6697" s="7" t="str">
        <f>IF(Table1[[#This Row],[Is Data Valid]]=TRUE,((Table1[[#This Row],[Birthweight (grams)]]*0.9/Table1[[#This Row],[BW_GA]])-1)/(Backend!$B$4/100*Table1[[#This Row],[BW40_3705]]),"")</f>
        <v/>
      </c>
      <c r="I6697" s="7" t="str">
        <f>IF(Table1[[#This Row],[Is Data Valid]]=TRUE,((Table1[[#This Row],[Birthweight (grams)]]*1.1/Table1[[#This Row],[BW_GA]])-1)/(Backend!$B$4/100*Table1[[#This Row],[BW40_3705]]),"")</f>
        <v/>
      </c>
      <c r="J6697" s="7" t="str">
        <f>IF(Table1[[#This Row],[Is Data Valid]]=TRUE,_xlfn.NORM.S.DIST(Table1[[#This Row],[Birthweight Z-Score]],TRUE)*100,"")</f>
        <v/>
      </c>
      <c r="K6697" s="7" t="str">
        <f>IF(Table1[[#This Row],[Is Data Valid]]=TRUE,_xlfn.NORM.S.DIST(Table1[[#This Row],[Birthweight Z-Score (BW-10%)]],TRUE)*100,"")</f>
        <v/>
      </c>
      <c r="L6697" s="7" t="str">
        <f>IF(Table1[[#This Row],[Is Data Valid]]=TRUE,_xlfn.NORM.S.DIST(Table1[[#This Row],[Birthweight Z-Score (BW+10%)]],TRUE)*100,"")</f>
        <v/>
      </c>
    </row>
    <row r="6698" spans="1:12" x14ac:dyDescent="0.35">
      <c r="A6698" s="3"/>
      <c r="B6698" s="2"/>
      <c r="C6698" s="2"/>
      <c r="D6698" s="2" t="b">
        <f>IF(AND(NOT(ISBLANK(Table1[[#This Row],[Fetal Sex (Male, Female or Unknown)]])),ISNUMBER(Table1[[#This Row],[Birthweight (grams)]]),ISNUMBER(Table1[[#This Row],[Gestation (days)]])),TRUE,FALSE)</f>
        <v>0</v>
      </c>
      <c r="E6698" s="2" t="str">
        <f>IF(Table1[[#This Row],[Is Data Valid]]=TRUE,IF(Table1[[#This Row],[Fetal Sex (Male, Female or Unknown)]]="Male",Backend!$C$6,IF(Table1[[#This Row],[Fetal Sex (Male, Female or Unknown)]]="Female",Backend!$C$7,IF(Table1[[#This Row],[Fetal Sex (Male, Female or Unknown)]]="Unknown",Backend!$C$8,"Error"))),"")</f>
        <v/>
      </c>
      <c r="F6698" s="8" t="str">
        <f>IF(Table1[[#This Row],[Is Data Valid]]=TRUE,EXP(0.578+0.332*((Table1[[#This Row],[Gestation (days)]]+0.5)/7)-0.00354*((Table1[[#This Row],[Gestation (days)]]+0.5)/7)^2)*Table1[[#This Row],[BW40_3705]],"")</f>
        <v/>
      </c>
      <c r="G6698" s="2" t="str">
        <f>IF(Table1[[#This Row],[Is Data Valid]]=TRUE,((Table1[[#This Row],[Birthweight (grams)]]/Table1[[#This Row],[BW_GA]])-1)/(Backend!$B$4/100*Table1[[#This Row],[BW40_3705]]),"")</f>
        <v/>
      </c>
      <c r="H6698" s="7" t="str">
        <f>IF(Table1[[#This Row],[Is Data Valid]]=TRUE,((Table1[[#This Row],[Birthweight (grams)]]*0.9/Table1[[#This Row],[BW_GA]])-1)/(Backend!$B$4/100*Table1[[#This Row],[BW40_3705]]),"")</f>
        <v/>
      </c>
      <c r="I6698" s="7" t="str">
        <f>IF(Table1[[#This Row],[Is Data Valid]]=TRUE,((Table1[[#This Row],[Birthweight (grams)]]*1.1/Table1[[#This Row],[BW_GA]])-1)/(Backend!$B$4/100*Table1[[#This Row],[BW40_3705]]),"")</f>
        <v/>
      </c>
      <c r="J6698" s="7" t="str">
        <f>IF(Table1[[#This Row],[Is Data Valid]]=TRUE,_xlfn.NORM.S.DIST(Table1[[#This Row],[Birthweight Z-Score]],TRUE)*100,"")</f>
        <v/>
      </c>
      <c r="K6698" s="7" t="str">
        <f>IF(Table1[[#This Row],[Is Data Valid]]=TRUE,_xlfn.NORM.S.DIST(Table1[[#This Row],[Birthweight Z-Score (BW-10%)]],TRUE)*100,"")</f>
        <v/>
      </c>
      <c r="L6698" s="7" t="str">
        <f>IF(Table1[[#This Row],[Is Data Valid]]=TRUE,_xlfn.NORM.S.DIST(Table1[[#This Row],[Birthweight Z-Score (BW+10%)]],TRUE)*100,"")</f>
        <v/>
      </c>
    </row>
    <row r="6699" spans="1:12" x14ac:dyDescent="0.35">
      <c r="A6699" s="3"/>
      <c r="B6699" s="2"/>
      <c r="C6699" s="2"/>
      <c r="D6699" s="2" t="b">
        <f>IF(AND(NOT(ISBLANK(Table1[[#This Row],[Fetal Sex (Male, Female or Unknown)]])),ISNUMBER(Table1[[#This Row],[Birthweight (grams)]]),ISNUMBER(Table1[[#This Row],[Gestation (days)]])),TRUE,FALSE)</f>
        <v>0</v>
      </c>
      <c r="E6699" s="2" t="str">
        <f>IF(Table1[[#This Row],[Is Data Valid]]=TRUE,IF(Table1[[#This Row],[Fetal Sex (Male, Female or Unknown)]]="Male",Backend!$C$6,IF(Table1[[#This Row],[Fetal Sex (Male, Female or Unknown)]]="Female",Backend!$C$7,IF(Table1[[#This Row],[Fetal Sex (Male, Female or Unknown)]]="Unknown",Backend!$C$8,"Error"))),"")</f>
        <v/>
      </c>
      <c r="F6699" s="8" t="str">
        <f>IF(Table1[[#This Row],[Is Data Valid]]=TRUE,EXP(0.578+0.332*((Table1[[#This Row],[Gestation (days)]]+0.5)/7)-0.00354*((Table1[[#This Row],[Gestation (days)]]+0.5)/7)^2)*Table1[[#This Row],[BW40_3705]],"")</f>
        <v/>
      </c>
      <c r="G6699" s="2" t="str">
        <f>IF(Table1[[#This Row],[Is Data Valid]]=TRUE,((Table1[[#This Row],[Birthweight (grams)]]/Table1[[#This Row],[BW_GA]])-1)/(Backend!$B$4/100*Table1[[#This Row],[BW40_3705]]),"")</f>
        <v/>
      </c>
      <c r="H6699" s="7" t="str">
        <f>IF(Table1[[#This Row],[Is Data Valid]]=TRUE,((Table1[[#This Row],[Birthweight (grams)]]*0.9/Table1[[#This Row],[BW_GA]])-1)/(Backend!$B$4/100*Table1[[#This Row],[BW40_3705]]),"")</f>
        <v/>
      </c>
      <c r="I6699" s="7" t="str">
        <f>IF(Table1[[#This Row],[Is Data Valid]]=TRUE,((Table1[[#This Row],[Birthweight (grams)]]*1.1/Table1[[#This Row],[BW_GA]])-1)/(Backend!$B$4/100*Table1[[#This Row],[BW40_3705]]),"")</f>
        <v/>
      </c>
      <c r="J6699" s="7" t="str">
        <f>IF(Table1[[#This Row],[Is Data Valid]]=TRUE,_xlfn.NORM.S.DIST(Table1[[#This Row],[Birthweight Z-Score]],TRUE)*100,"")</f>
        <v/>
      </c>
      <c r="K6699" s="7" t="str">
        <f>IF(Table1[[#This Row],[Is Data Valid]]=TRUE,_xlfn.NORM.S.DIST(Table1[[#This Row],[Birthweight Z-Score (BW-10%)]],TRUE)*100,"")</f>
        <v/>
      </c>
      <c r="L6699" s="7" t="str">
        <f>IF(Table1[[#This Row],[Is Data Valid]]=TRUE,_xlfn.NORM.S.DIST(Table1[[#This Row],[Birthweight Z-Score (BW+10%)]],TRUE)*100,"")</f>
        <v/>
      </c>
    </row>
    <row r="6700" spans="1:12" x14ac:dyDescent="0.35">
      <c r="A6700" s="3"/>
      <c r="B6700" s="2"/>
      <c r="C6700" s="2"/>
      <c r="D6700" s="2" t="b">
        <f>IF(AND(NOT(ISBLANK(Table1[[#This Row],[Fetal Sex (Male, Female or Unknown)]])),ISNUMBER(Table1[[#This Row],[Birthweight (grams)]]),ISNUMBER(Table1[[#This Row],[Gestation (days)]])),TRUE,FALSE)</f>
        <v>0</v>
      </c>
      <c r="E6700" s="2" t="str">
        <f>IF(Table1[[#This Row],[Is Data Valid]]=TRUE,IF(Table1[[#This Row],[Fetal Sex (Male, Female or Unknown)]]="Male",Backend!$C$6,IF(Table1[[#This Row],[Fetal Sex (Male, Female or Unknown)]]="Female",Backend!$C$7,IF(Table1[[#This Row],[Fetal Sex (Male, Female or Unknown)]]="Unknown",Backend!$C$8,"Error"))),"")</f>
        <v/>
      </c>
      <c r="F6700" s="8" t="str">
        <f>IF(Table1[[#This Row],[Is Data Valid]]=TRUE,EXP(0.578+0.332*((Table1[[#This Row],[Gestation (days)]]+0.5)/7)-0.00354*((Table1[[#This Row],[Gestation (days)]]+0.5)/7)^2)*Table1[[#This Row],[BW40_3705]],"")</f>
        <v/>
      </c>
      <c r="G6700" s="2" t="str">
        <f>IF(Table1[[#This Row],[Is Data Valid]]=TRUE,((Table1[[#This Row],[Birthweight (grams)]]/Table1[[#This Row],[BW_GA]])-1)/(Backend!$B$4/100*Table1[[#This Row],[BW40_3705]]),"")</f>
        <v/>
      </c>
      <c r="H6700" s="7" t="str">
        <f>IF(Table1[[#This Row],[Is Data Valid]]=TRUE,((Table1[[#This Row],[Birthweight (grams)]]*0.9/Table1[[#This Row],[BW_GA]])-1)/(Backend!$B$4/100*Table1[[#This Row],[BW40_3705]]),"")</f>
        <v/>
      </c>
      <c r="I6700" s="7" t="str">
        <f>IF(Table1[[#This Row],[Is Data Valid]]=TRUE,((Table1[[#This Row],[Birthweight (grams)]]*1.1/Table1[[#This Row],[BW_GA]])-1)/(Backend!$B$4/100*Table1[[#This Row],[BW40_3705]]),"")</f>
        <v/>
      </c>
      <c r="J6700" s="7" t="str">
        <f>IF(Table1[[#This Row],[Is Data Valid]]=TRUE,_xlfn.NORM.S.DIST(Table1[[#This Row],[Birthweight Z-Score]],TRUE)*100,"")</f>
        <v/>
      </c>
      <c r="K6700" s="7" t="str">
        <f>IF(Table1[[#This Row],[Is Data Valid]]=TRUE,_xlfn.NORM.S.DIST(Table1[[#This Row],[Birthweight Z-Score (BW-10%)]],TRUE)*100,"")</f>
        <v/>
      </c>
      <c r="L6700" s="7" t="str">
        <f>IF(Table1[[#This Row],[Is Data Valid]]=TRUE,_xlfn.NORM.S.DIST(Table1[[#This Row],[Birthweight Z-Score (BW+10%)]],TRUE)*100,"")</f>
        <v/>
      </c>
    </row>
    <row r="6701" spans="1:12" x14ac:dyDescent="0.35">
      <c r="A6701" s="3"/>
      <c r="B6701" s="2"/>
      <c r="C6701" s="2"/>
      <c r="D6701" s="2" t="b">
        <f>IF(AND(NOT(ISBLANK(Table1[[#This Row],[Fetal Sex (Male, Female or Unknown)]])),ISNUMBER(Table1[[#This Row],[Birthweight (grams)]]),ISNUMBER(Table1[[#This Row],[Gestation (days)]])),TRUE,FALSE)</f>
        <v>0</v>
      </c>
      <c r="E6701" s="2" t="str">
        <f>IF(Table1[[#This Row],[Is Data Valid]]=TRUE,IF(Table1[[#This Row],[Fetal Sex (Male, Female or Unknown)]]="Male",Backend!$C$6,IF(Table1[[#This Row],[Fetal Sex (Male, Female or Unknown)]]="Female",Backend!$C$7,IF(Table1[[#This Row],[Fetal Sex (Male, Female or Unknown)]]="Unknown",Backend!$C$8,"Error"))),"")</f>
        <v/>
      </c>
      <c r="F6701" s="8" t="str">
        <f>IF(Table1[[#This Row],[Is Data Valid]]=TRUE,EXP(0.578+0.332*((Table1[[#This Row],[Gestation (days)]]+0.5)/7)-0.00354*((Table1[[#This Row],[Gestation (days)]]+0.5)/7)^2)*Table1[[#This Row],[BW40_3705]],"")</f>
        <v/>
      </c>
      <c r="G6701" s="2" t="str">
        <f>IF(Table1[[#This Row],[Is Data Valid]]=TRUE,((Table1[[#This Row],[Birthweight (grams)]]/Table1[[#This Row],[BW_GA]])-1)/(Backend!$B$4/100*Table1[[#This Row],[BW40_3705]]),"")</f>
        <v/>
      </c>
      <c r="H6701" s="7" t="str">
        <f>IF(Table1[[#This Row],[Is Data Valid]]=TRUE,((Table1[[#This Row],[Birthweight (grams)]]*0.9/Table1[[#This Row],[BW_GA]])-1)/(Backend!$B$4/100*Table1[[#This Row],[BW40_3705]]),"")</f>
        <v/>
      </c>
      <c r="I6701" s="7" t="str">
        <f>IF(Table1[[#This Row],[Is Data Valid]]=TRUE,((Table1[[#This Row],[Birthweight (grams)]]*1.1/Table1[[#This Row],[BW_GA]])-1)/(Backend!$B$4/100*Table1[[#This Row],[BW40_3705]]),"")</f>
        <v/>
      </c>
      <c r="J6701" s="7" t="str">
        <f>IF(Table1[[#This Row],[Is Data Valid]]=TRUE,_xlfn.NORM.S.DIST(Table1[[#This Row],[Birthweight Z-Score]],TRUE)*100,"")</f>
        <v/>
      </c>
      <c r="K6701" s="7" t="str">
        <f>IF(Table1[[#This Row],[Is Data Valid]]=TRUE,_xlfn.NORM.S.DIST(Table1[[#This Row],[Birthweight Z-Score (BW-10%)]],TRUE)*100,"")</f>
        <v/>
      </c>
      <c r="L6701" s="7" t="str">
        <f>IF(Table1[[#This Row],[Is Data Valid]]=TRUE,_xlfn.NORM.S.DIST(Table1[[#This Row],[Birthweight Z-Score (BW+10%)]],TRUE)*100,"")</f>
        <v/>
      </c>
    </row>
    <row r="6702" spans="1:12" x14ac:dyDescent="0.35">
      <c r="A6702" s="3"/>
      <c r="B6702" s="2"/>
      <c r="C6702" s="2"/>
      <c r="D6702" s="2" t="b">
        <f>IF(AND(NOT(ISBLANK(Table1[[#This Row],[Fetal Sex (Male, Female or Unknown)]])),ISNUMBER(Table1[[#This Row],[Birthweight (grams)]]),ISNUMBER(Table1[[#This Row],[Gestation (days)]])),TRUE,FALSE)</f>
        <v>0</v>
      </c>
      <c r="E6702" s="2" t="str">
        <f>IF(Table1[[#This Row],[Is Data Valid]]=TRUE,IF(Table1[[#This Row],[Fetal Sex (Male, Female or Unknown)]]="Male",Backend!$C$6,IF(Table1[[#This Row],[Fetal Sex (Male, Female or Unknown)]]="Female",Backend!$C$7,IF(Table1[[#This Row],[Fetal Sex (Male, Female or Unknown)]]="Unknown",Backend!$C$8,"Error"))),"")</f>
        <v/>
      </c>
      <c r="F6702" s="8" t="str">
        <f>IF(Table1[[#This Row],[Is Data Valid]]=TRUE,EXP(0.578+0.332*((Table1[[#This Row],[Gestation (days)]]+0.5)/7)-0.00354*((Table1[[#This Row],[Gestation (days)]]+0.5)/7)^2)*Table1[[#This Row],[BW40_3705]],"")</f>
        <v/>
      </c>
      <c r="G6702" s="2" t="str">
        <f>IF(Table1[[#This Row],[Is Data Valid]]=TRUE,((Table1[[#This Row],[Birthweight (grams)]]/Table1[[#This Row],[BW_GA]])-1)/(Backend!$B$4/100*Table1[[#This Row],[BW40_3705]]),"")</f>
        <v/>
      </c>
      <c r="H6702" s="7" t="str">
        <f>IF(Table1[[#This Row],[Is Data Valid]]=TRUE,((Table1[[#This Row],[Birthweight (grams)]]*0.9/Table1[[#This Row],[BW_GA]])-1)/(Backend!$B$4/100*Table1[[#This Row],[BW40_3705]]),"")</f>
        <v/>
      </c>
      <c r="I6702" s="7" t="str">
        <f>IF(Table1[[#This Row],[Is Data Valid]]=TRUE,((Table1[[#This Row],[Birthweight (grams)]]*1.1/Table1[[#This Row],[BW_GA]])-1)/(Backend!$B$4/100*Table1[[#This Row],[BW40_3705]]),"")</f>
        <v/>
      </c>
      <c r="J6702" s="7" t="str">
        <f>IF(Table1[[#This Row],[Is Data Valid]]=TRUE,_xlfn.NORM.S.DIST(Table1[[#This Row],[Birthweight Z-Score]],TRUE)*100,"")</f>
        <v/>
      </c>
      <c r="K6702" s="7" t="str">
        <f>IF(Table1[[#This Row],[Is Data Valid]]=TRUE,_xlfn.NORM.S.DIST(Table1[[#This Row],[Birthweight Z-Score (BW-10%)]],TRUE)*100,"")</f>
        <v/>
      </c>
      <c r="L6702" s="7" t="str">
        <f>IF(Table1[[#This Row],[Is Data Valid]]=TRUE,_xlfn.NORM.S.DIST(Table1[[#This Row],[Birthweight Z-Score (BW+10%)]],TRUE)*100,"")</f>
        <v/>
      </c>
    </row>
    <row r="6703" spans="1:12" x14ac:dyDescent="0.35">
      <c r="A6703" s="3"/>
      <c r="B6703" s="2"/>
      <c r="C6703" s="2"/>
      <c r="D6703" s="2" t="b">
        <f>IF(AND(NOT(ISBLANK(Table1[[#This Row],[Fetal Sex (Male, Female or Unknown)]])),ISNUMBER(Table1[[#This Row],[Birthweight (grams)]]),ISNUMBER(Table1[[#This Row],[Gestation (days)]])),TRUE,FALSE)</f>
        <v>0</v>
      </c>
      <c r="E6703" s="2" t="str">
        <f>IF(Table1[[#This Row],[Is Data Valid]]=TRUE,IF(Table1[[#This Row],[Fetal Sex (Male, Female or Unknown)]]="Male",Backend!$C$6,IF(Table1[[#This Row],[Fetal Sex (Male, Female or Unknown)]]="Female",Backend!$C$7,IF(Table1[[#This Row],[Fetal Sex (Male, Female or Unknown)]]="Unknown",Backend!$C$8,"Error"))),"")</f>
        <v/>
      </c>
      <c r="F6703" s="8" t="str">
        <f>IF(Table1[[#This Row],[Is Data Valid]]=TRUE,EXP(0.578+0.332*((Table1[[#This Row],[Gestation (days)]]+0.5)/7)-0.00354*((Table1[[#This Row],[Gestation (days)]]+0.5)/7)^2)*Table1[[#This Row],[BW40_3705]],"")</f>
        <v/>
      </c>
      <c r="G6703" s="2" t="str">
        <f>IF(Table1[[#This Row],[Is Data Valid]]=TRUE,((Table1[[#This Row],[Birthweight (grams)]]/Table1[[#This Row],[BW_GA]])-1)/(Backend!$B$4/100*Table1[[#This Row],[BW40_3705]]),"")</f>
        <v/>
      </c>
      <c r="H6703" s="7" t="str">
        <f>IF(Table1[[#This Row],[Is Data Valid]]=TRUE,((Table1[[#This Row],[Birthweight (grams)]]*0.9/Table1[[#This Row],[BW_GA]])-1)/(Backend!$B$4/100*Table1[[#This Row],[BW40_3705]]),"")</f>
        <v/>
      </c>
      <c r="I6703" s="7" t="str">
        <f>IF(Table1[[#This Row],[Is Data Valid]]=TRUE,((Table1[[#This Row],[Birthweight (grams)]]*1.1/Table1[[#This Row],[BW_GA]])-1)/(Backend!$B$4/100*Table1[[#This Row],[BW40_3705]]),"")</f>
        <v/>
      </c>
      <c r="J6703" s="7" t="str">
        <f>IF(Table1[[#This Row],[Is Data Valid]]=TRUE,_xlfn.NORM.S.DIST(Table1[[#This Row],[Birthweight Z-Score]],TRUE)*100,"")</f>
        <v/>
      </c>
      <c r="K6703" s="7" t="str">
        <f>IF(Table1[[#This Row],[Is Data Valid]]=TRUE,_xlfn.NORM.S.DIST(Table1[[#This Row],[Birthweight Z-Score (BW-10%)]],TRUE)*100,"")</f>
        <v/>
      </c>
      <c r="L6703" s="7" t="str">
        <f>IF(Table1[[#This Row],[Is Data Valid]]=TRUE,_xlfn.NORM.S.DIST(Table1[[#This Row],[Birthweight Z-Score (BW+10%)]],TRUE)*100,"")</f>
        <v/>
      </c>
    </row>
    <row r="6704" spans="1:12" x14ac:dyDescent="0.35">
      <c r="A6704" s="3"/>
      <c r="B6704" s="2"/>
      <c r="C6704" s="2"/>
      <c r="D6704" s="2" t="b">
        <f>IF(AND(NOT(ISBLANK(Table1[[#This Row],[Fetal Sex (Male, Female or Unknown)]])),ISNUMBER(Table1[[#This Row],[Birthweight (grams)]]),ISNUMBER(Table1[[#This Row],[Gestation (days)]])),TRUE,FALSE)</f>
        <v>0</v>
      </c>
      <c r="E6704" s="2" t="str">
        <f>IF(Table1[[#This Row],[Is Data Valid]]=TRUE,IF(Table1[[#This Row],[Fetal Sex (Male, Female or Unknown)]]="Male",Backend!$C$6,IF(Table1[[#This Row],[Fetal Sex (Male, Female or Unknown)]]="Female",Backend!$C$7,IF(Table1[[#This Row],[Fetal Sex (Male, Female or Unknown)]]="Unknown",Backend!$C$8,"Error"))),"")</f>
        <v/>
      </c>
      <c r="F6704" s="8" t="str">
        <f>IF(Table1[[#This Row],[Is Data Valid]]=TRUE,EXP(0.578+0.332*((Table1[[#This Row],[Gestation (days)]]+0.5)/7)-0.00354*((Table1[[#This Row],[Gestation (days)]]+0.5)/7)^2)*Table1[[#This Row],[BW40_3705]],"")</f>
        <v/>
      </c>
      <c r="G6704" s="2" t="str">
        <f>IF(Table1[[#This Row],[Is Data Valid]]=TRUE,((Table1[[#This Row],[Birthweight (grams)]]/Table1[[#This Row],[BW_GA]])-1)/(Backend!$B$4/100*Table1[[#This Row],[BW40_3705]]),"")</f>
        <v/>
      </c>
      <c r="H6704" s="7" t="str">
        <f>IF(Table1[[#This Row],[Is Data Valid]]=TRUE,((Table1[[#This Row],[Birthweight (grams)]]*0.9/Table1[[#This Row],[BW_GA]])-1)/(Backend!$B$4/100*Table1[[#This Row],[BW40_3705]]),"")</f>
        <v/>
      </c>
      <c r="I6704" s="7" t="str">
        <f>IF(Table1[[#This Row],[Is Data Valid]]=TRUE,((Table1[[#This Row],[Birthweight (grams)]]*1.1/Table1[[#This Row],[BW_GA]])-1)/(Backend!$B$4/100*Table1[[#This Row],[BW40_3705]]),"")</f>
        <v/>
      </c>
      <c r="J6704" s="7" t="str">
        <f>IF(Table1[[#This Row],[Is Data Valid]]=TRUE,_xlfn.NORM.S.DIST(Table1[[#This Row],[Birthweight Z-Score]],TRUE)*100,"")</f>
        <v/>
      </c>
      <c r="K6704" s="7" t="str">
        <f>IF(Table1[[#This Row],[Is Data Valid]]=TRUE,_xlfn.NORM.S.DIST(Table1[[#This Row],[Birthweight Z-Score (BW-10%)]],TRUE)*100,"")</f>
        <v/>
      </c>
      <c r="L6704" s="7" t="str">
        <f>IF(Table1[[#This Row],[Is Data Valid]]=TRUE,_xlfn.NORM.S.DIST(Table1[[#This Row],[Birthweight Z-Score (BW+10%)]],TRUE)*100,"")</f>
        <v/>
      </c>
    </row>
    <row r="6705" spans="1:12" x14ac:dyDescent="0.35">
      <c r="A6705" s="3"/>
      <c r="B6705" s="2"/>
      <c r="C6705" s="2"/>
      <c r="D6705" s="2" t="b">
        <f>IF(AND(NOT(ISBLANK(Table1[[#This Row],[Fetal Sex (Male, Female or Unknown)]])),ISNUMBER(Table1[[#This Row],[Birthweight (grams)]]),ISNUMBER(Table1[[#This Row],[Gestation (days)]])),TRUE,FALSE)</f>
        <v>0</v>
      </c>
      <c r="E6705" s="2" t="str">
        <f>IF(Table1[[#This Row],[Is Data Valid]]=TRUE,IF(Table1[[#This Row],[Fetal Sex (Male, Female or Unknown)]]="Male",Backend!$C$6,IF(Table1[[#This Row],[Fetal Sex (Male, Female or Unknown)]]="Female",Backend!$C$7,IF(Table1[[#This Row],[Fetal Sex (Male, Female or Unknown)]]="Unknown",Backend!$C$8,"Error"))),"")</f>
        <v/>
      </c>
      <c r="F6705" s="8" t="str">
        <f>IF(Table1[[#This Row],[Is Data Valid]]=TRUE,EXP(0.578+0.332*((Table1[[#This Row],[Gestation (days)]]+0.5)/7)-0.00354*((Table1[[#This Row],[Gestation (days)]]+0.5)/7)^2)*Table1[[#This Row],[BW40_3705]],"")</f>
        <v/>
      </c>
      <c r="G6705" s="2" t="str">
        <f>IF(Table1[[#This Row],[Is Data Valid]]=TRUE,((Table1[[#This Row],[Birthweight (grams)]]/Table1[[#This Row],[BW_GA]])-1)/(Backend!$B$4/100*Table1[[#This Row],[BW40_3705]]),"")</f>
        <v/>
      </c>
      <c r="H6705" s="7" t="str">
        <f>IF(Table1[[#This Row],[Is Data Valid]]=TRUE,((Table1[[#This Row],[Birthweight (grams)]]*0.9/Table1[[#This Row],[BW_GA]])-1)/(Backend!$B$4/100*Table1[[#This Row],[BW40_3705]]),"")</f>
        <v/>
      </c>
      <c r="I6705" s="7" t="str">
        <f>IF(Table1[[#This Row],[Is Data Valid]]=TRUE,((Table1[[#This Row],[Birthweight (grams)]]*1.1/Table1[[#This Row],[BW_GA]])-1)/(Backend!$B$4/100*Table1[[#This Row],[BW40_3705]]),"")</f>
        <v/>
      </c>
      <c r="J6705" s="7" t="str">
        <f>IF(Table1[[#This Row],[Is Data Valid]]=TRUE,_xlfn.NORM.S.DIST(Table1[[#This Row],[Birthweight Z-Score]],TRUE)*100,"")</f>
        <v/>
      </c>
      <c r="K6705" s="7" t="str">
        <f>IF(Table1[[#This Row],[Is Data Valid]]=TRUE,_xlfn.NORM.S.DIST(Table1[[#This Row],[Birthweight Z-Score (BW-10%)]],TRUE)*100,"")</f>
        <v/>
      </c>
      <c r="L6705" s="7" t="str">
        <f>IF(Table1[[#This Row],[Is Data Valid]]=TRUE,_xlfn.NORM.S.DIST(Table1[[#This Row],[Birthweight Z-Score (BW+10%)]],TRUE)*100,"")</f>
        <v/>
      </c>
    </row>
    <row r="6706" spans="1:12" x14ac:dyDescent="0.35">
      <c r="A6706" s="3"/>
      <c r="B6706" s="2"/>
      <c r="C6706" s="2"/>
      <c r="D6706" s="2" t="b">
        <f>IF(AND(NOT(ISBLANK(Table1[[#This Row],[Fetal Sex (Male, Female or Unknown)]])),ISNUMBER(Table1[[#This Row],[Birthweight (grams)]]),ISNUMBER(Table1[[#This Row],[Gestation (days)]])),TRUE,FALSE)</f>
        <v>0</v>
      </c>
      <c r="E6706" s="2" t="str">
        <f>IF(Table1[[#This Row],[Is Data Valid]]=TRUE,IF(Table1[[#This Row],[Fetal Sex (Male, Female or Unknown)]]="Male",Backend!$C$6,IF(Table1[[#This Row],[Fetal Sex (Male, Female or Unknown)]]="Female",Backend!$C$7,IF(Table1[[#This Row],[Fetal Sex (Male, Female or Unknown)]]="Unknown",Backend!$C$8,"Error"))),"")</f>
        <v/>
      </c>
      <c r="F6706" s="8" t="str">
        <f>IF(Table1[[#This Row],[Is Data Valid]]=TRUE,EXP(0.578+0.332*((Table1[[#This Row],[Gestation (days)]]+0.5)/7)-0.00354*((Table1[[#This Row],[Gestation (days)]]+0.5)/7)^2)*Table1[[#This Row],[BW40_3705]],"")</f>
        <v/>
      </c>
      <c r="G6706" s="2" t="str">
        <f>IF(Table1[[#This Row],[Is Data Valid]]=TRUE,((Table1[[#This Row],[Birthweight (grams)]]/Table1[[#This Row],[BW_GA]])-1)/(Backend!$B$4/100*Table1[[#This Row],[BW40_3705]]),"")</f>
        <v/>
      </c>
      <c r="H6706" s="7" t="str">
        <f>IF(Table1[[#This Row],[Is Data Valid]]=TRUE,((Table1[[#This Row],[Birthweight (grams)]]*0.9/Table1[[#This Row],[BW_GA]])-1)/(Backend!$B$4/100*Table1[[#This Row],[BW40_3705]]),"")</f>
        <v/>
      </c>
      <c r="I6706" s="7" t="str">
        <f>IF(Table1[[#This Row],[Is Data Valid]]=TRUE,((Table1[[#This Row],[Birthweight (grams)]]*1.1/Table1[[#This Row],[BW_GA]])-1)/(Backend!$B$4/100*Table1[[#This Row],[BW40_3705]]),"")</f>
        <v/>
      </c>
      <c r="J6706" s="7" t="str">
        <f>IF(Table1[[#This Row],[Is Data Valid]]=TRUE,_xlfn.NORM.S.DIST(Table1[[#This Row],[Birthweight Z-Score]],TRUE)*100,"")</f>
        <v/>
      </c>
      <c r="K6706" s="7" t="str">
        <f>IF(Table1[[#This Row],[Is Data Valid]]=TRUE,_xlfn.NORM.S.DIST(Table1[[#This Row],[Birthweight Z-Score (BW-10%)]],TRUE)*100,"")</f>
        <v/>
      </c>
      <c r="L6706" s="7" t="str">
        <f>IF(Table1[[#This Row],[Is Data Valid]]=TRUE,_xlfn.NORM.S.DIST(Table1[[#This Row],[Birthweight Z-Score (BW+10%)]],TRUE)*100,"")</f>
        <v/>
      </c>
    </row>
    <row r="6707" spans="1:12" x14ac:dyDescent="0.35">
      <c r="A6707" s="3"/>
      <c r="B6707" s="2"/>
      <c r="C6707" s="2"/>
      <c r="D6707" s="2" t="b">
        <f>IF(AND(NOT(ISBLANK(Table1[[#This Row],[Fetal Sex (Male, Female or Unknown)]])),ISNUMBER(Table1[[#This Row],[Birthweight (grams)]]),ISNUMBER(Table1[[#This Row],[Gestation (days)]])),TRUE,FALSE)</f>
        <v>0</v>
      </c>
      <c r="E6707" s="2" t="str">
        <f>IF(Table1[[#This Row],[Is Data Valid]]=TRUE,IF(Table1[[#This Row],[Fetal Sex (Male, Female or Unknown)]]="Male",Backend!$C$6,IF(Table1[[#This Row],[Fetal Sex (Male, Female or Unknown)]]="Female",Backend!$C$7,IF(Table1[[#This Row],[Fetal Sex (Male, Female or Unknown)]]="Unknown",Backend!$C$8,"Error"))),"")</f>
        <v/>
      </c>
      <c r="F6707" s="8" t="str">
        <f>IF(Table1[[#This Row],[Is Data Valid]]=TRUE,EXP(0.578+0.332*((Table1[[#This Row],[Gestation (days)]]+0.5)/7)-0.00354*((Table1[[#This Row],[Gestation (days)]]+0.5)/7)^2)*Table1[[#This Row],[BW40_3705]],"")</f>
        <v/>
      </c>
      <c r="G6707" s="2" t="str">
        <f>IF(Table1[[#This Row],[Is Data Valid]]=TRUE,((Table1[[#This Row],[Birthweight (grams)]]/Table1[[#This Row],[BW_GA]])-1)/(Backend!$B$4/100*Table1[[#This Row],[BW40_3705]]),"")</f>
        <v/>
      </c>
      <c r="H6707" s="7" t="str">
        <f>IF(Table1[[#This Row],[Is Data Valid]]=TRUE,((Table1[[#This Row],[Birthweight (grams)]]*0.9/Table1[[#This Row],[BW_GA]])-1)/(Backend!$B$4/100*Table1[[#This Row],[BW40_3705]]),"")</f>
        <v/>
      </c>
      <c r="I6707" s="7" t="str">
        <f>IF(Table1[[#This Row],[Is Data Valid]]=TRUE,((Table1[[#This Row],[Birthweight (grams)]]*1.1/Table1[[#This Row],[BW_GA]])-1)/(Backend!$B$4/100*Table1[[#This Row],[BW40_3705]]),"")</f>
        <v/>
      </c>
      <c r="J6707" s="7" t="str">
        <f>IF(Table1[[#This Row],[Is Data Valid]]=TRUE,_xlfn.NORM.S.DIST(Table1[[#This Row],[Birthweight Z-Score]],TRUE)*100,"")</f>
        <v/>
      </c>
      <c r="K6707" s="7" t="str">
        <f>IF(Table1[[#This Row],[Is Data Valid]]=TRUE,_xlfn.NORM.S.DIST(Table1[[#This Row],[Birthweight Z-Score (BW-10%)]],TRUE)*100,"")</f>
        <v/>
      </c>
      <c r="L6707" s="7" t="str">
        <f>IF(Table1[[#This Row],[Is Data Valid]]=TRUE,_xlfn.NORM.S.DIST(Table1[[#This Row],[Birthweight Z-Score (BW+10%)]],TRUE)*100,"")</f>
        <v/>
      </c>
    </row>
    <row r="6708" spans="1:12" x14ac:dyDescent="0.35">
      <c r="A6708" s="3"/>
      <c r="B6708" s="2"/>
      <c r="C6708" s="2"/>
      <c r="D6708" s="2" t="b">
        <f>IF(AND(NOT(ISBLANK(Table1[[#This Row],[Fetal Sex (Male, Female or Unknown)]])),ISNUMBER(Table1[[#This Row],[Birthweight (grams)]]),ISNUMBER(Table1[[#This Row],[Gestation (days)]])),TRUE,FALSE)</f>
        <v>0</v>
      </c>
      <c r="E6708" s="2" t="str">
        <f>IF(Table1[[#This Row],[Is Data Valid]]=TRUE,IF(Table1[[#This Row],[Fetal Sex (Male, Female or Unknown)]]="Male",Backend!$C$6,IF(Table1[[#This Row],[Fetal Sex (Male, Female or Unknown)]]="Female",Backend!$C$7,IF(Table1[[#This Row],[Fetal Sex (Male, Female or Unknown)]]="Unknown",Backend!$C$8,"Error"))),"")</f>
        <v/>
      </c>
      <c r="F6708" s="8" t="str">
        <f>IF(Table1[[#This Row],[Is Data Valid]]=TRUE,EXP(0.578+0.332*((Table1[[#This Row],[Gestation (days)]]+0.5)/7)-0.00354*((Table1[[#This Row],[Gestation (days)]]+0.5)/7)^2)*Table1[[#This Row],[BW40_3705]],"")</f>
        <v/>
      </c>
      <c r="G6708" s="2" t="str">
        <f>IF(Table1[[#This Row],[Is Data Valid]]=TRUE,((Table1[[#This Row],[Birthweight (grams)]]/Table1[[#This Row],[BW_GA]])-1)/(Backend!$B$4/100*Table1[[#This Row],[BW40_3705]]),"")</f>
        <v/>
      </c>
      <c r="H6708" s="7" t="str">
        <f>IF(Table1[[#This Row],[Is Data Valid]]=TRUE,((Table1[[#This Row],[Birthweight (grams)]]*0.9/Table1[[#This Row],[BW_GA]])-1)/(Backend!$B$4/100*Table1[[#This Row],[BW40_3705]]),"")</f>
        <v/>
      </c>
      <c r="I6708" s="7" t="str">
        <f>IF(Table1[[#This Row],[Is Data Valid]]=TRUE,((Table1[[#This Row],[Birthweight (grams)]]*1.1/Table1[[#This Row],[BW_GA]])-1)/(Backend!$B$4/100*Table1[[#This Row],[BW40_3705]]),"")</f>
        <v/>
      </c>
      <c r="J6708" s="7" t="str">
        <f>IF(Table1[[#This Row],[Is Data Valid]]=TRUE,_xlfn.NORM.S.DIST(Table1[[#This Row],[Birthweight Z-Score]],TRUE)*100,"")</f>
        <v/>
      </c>
      <c r="K6708" s="7" t="str">
        <f>IF(Table1[[#This Row],[Is Data Valid]]=TRUE,_xlfn.NORM.S.DIST(Table1[[#This Row],[Birthweight Z-Score (BW-10%)]],TRUE)*100,"")</f>
        <v/>
      </c>
      <c r="L6708" s="7" t="str">
        <f>IF(Table1[[#This Row],[Is Data Valid]]=TRUE,_xlfn.NORM.S.DIST(Table1[[#This Row],[Birthweight Z-Score (BW+10%)]],TRUE)*100,"")</f>
        <v/>
      </c>
    </row>
    <row r="6709" spans="1:12" x14ac:dyDescent="0.35">
      <c r="A6709" s="3"/>
      <c r="B6709" s="2"/>
      <c r="C6709" s="2"/>
      <c r="D6709" s="2" t="b">
        <f>IF(AND(NOT(ISBLANK(Table1[[#This Row],[Fetal Sex (Male, Female or Unknown)]])),ISNUMBER(Table1[[#This Row],[Birthweight (grams)]]),ISNUMBER(Table1[[#This Row],[Gestation (days)]])),TRUE,FALSE)</f>
        <v>0</v>
      </c>
      <c r="E6709" s="2" t="str">
        <f>IF(Table1[[#This Row],[Is Data Valid]]=TRUE,IF(Table1[[#This Row],[Fetal Sex (Male, Female or Unknown)]]="Male",Backend!$C$6,IF(Table1[[#This Row],[Fetal Sex (Male, Female or Unknown)]]="Female",Backend!$C$7,IF(Table1[[#This Row],[Fetal Sex (Male, Female or Unknown)]]="Unknown",Backend!$C$8,"Error"))),"")</f>
        <v/>
      </c>
      <c r="F6709" s="8" t="str">
        <f>IF(Table1[[#This Row],[Is Data Valid]]=TRUE,EXP(0.578+0.332*((Table1[[#This Row],[Gestation (days)]]+0.5)/7)-0.00354*((Table1[[#This Row],[Gestation (days)]]+0.5)/7)^2)*Table1[[#This Row],[BW40_3705]],"")</f>
        <v/>
      </c>
      <c r="G6709" s="2" t="str">
        <f>IF(Table1[[#This Row],[Is Data Valid]]=TRUE,((Table1[[#This Row],[Birthweight (grams)]]/Table1[[#This Row],[BW_GA]])-1)/(Backend!$B$4/100*Table1[[#This Row],[BW40_3705]]),"")</f>
        <v/>
      </c>
      <c r="H6709" s="7" t="str">
        <f>IF(Table1[[#This Row],[Is Data Valid]]=TRUE,((Table1[[#This Row],[Birthweight (grams)]]*0.9/Table1[[#This Row],[BW_GA]])-1)/(Backend!$B$4/100*Table1[[#This Row],[BW40_3705]]),"")</f>
        <v/>
      </c>
      <c r="I6709" s="7" t="str">
        <f>IF(Table1[[#This Row],[Is Data Valid]]=TRUE,((Table1[[#This Row],[Birthweight (grams)]]*1.1/Table1[[#This Row],[BW_GA]])-1)/(Backend!$B$4/100*Table1[[#This Row],[BW40_3705]]),"")</f>
        <v/>
      </c>
      <c r="J6709" s="7" t="str">
        <f>IF(Table1[[#This Row],[Is Data Valid]]=TRUE,_xlfn.NORM.S.DIST(Table1[[#This Row],[Birthweight Z-Score]],TRUE)*100,"")</f>
        <v/>
      </c>
      <c r="K6709" s="7" t="str">
        <f>IF(Table1[[#This Row],[Is Data Valid]]=TRUE,_xlfn.NORM.S.DIST(Table1[[#This Row],[Birthweight Z-Score (BW-10%)]],TRUE)*100,"")</f>
        <v/>
      </c>
      <c r="L6709" s="7" t="str">
        <f>IF(Table1[[#This Row],[Is Data Valid]]=TRUE,_xlfn.NORM.S.DIST(Table1[[#This Row],[Birthweight Z-Score (BW+10%)]],TRUE)*100,"")</f>
        <v/>
      </c>
    </row>
    <row r="6710" spans="1:12" x14ac:dyDescent="0.35">
      <c r="A6710" s="3"/>
      <c r="B6710" s="2"/>
      <c r="C6710" s="2"/>
      <c r="D6710" s="2" t="b">
        <f>IF(AND(NOT(ISBLANK(Table1[[#This Row],[Fetal Sex (Male, Female or Unknown)]])),ISNUMBER(Table1[[#This Row],[Birthweight (grams)]]),ISNUMBER(Table1[[#This Row],[Gestation (days)]])),TRUE,FALSE)</f>
        <v>0</v>
      </c>
      <c r="E6710" s="2" t="str">
        <f>IF(Table1[[#This Row],[Is Data Valid]]=TRUE,IF(Table1[[#This Row],[Fetal Sex (Male, Female or Unknown)]]="Male",Backend!$C$6,IF(Table1[[#This Row],[Fetal Sex (Male, Female or Unknown)]]="Female",Backend!$C$7,IF(Table1[[#This Row],[Fetal Sex (Male, Female or Unknown)]]="Unknown",Backend!$C$8,"Error"))),"")</f>
        <v/>
      </c>
      <c r="F6710" s="8" t="str">
        <f>IF(Table1[[#This Row],[Is Data Valid]]=TRUE,EXP(0.578+0.332*((Table1[[#This Row],[Gestation (days)]]+0.5)/7)-0.00354*((Table1[[#This Row],[Gestation (days)]]+0.5)/7)^2)*Table1[[#This Row],[BW40_3705]],"")</f>
        <v/>
      </c>
      <c r="G6710" s="2" t="str">
        <f>IF(Table1[[#This Row],[Is Data Valid]]=TRUE,((Table1[[#This Row],[Birthweight (grams)]]/Table1[[#This Row],[BW_GA]])-1)/(Backend!$B$4/100*Table1[[#This Row],[BW40_3705]]),"")</f>
        <v/>
      </c>
      <c r="H6710" s="7" t="str">
        <f>IF(Table1[[#This Row],[Is Data Valid]]=TRUE,((Table1[[#This Row],[Birthweight (grams)]]*0.9/Table1[[#This Row],[BW_GA]])-1)/(Backend!$B$4/100*Table1[[#This Row],[BW40_3705]]),"")</f>
        <v/>
      </c>
      <c r="I6710" s="7" t="str">
        <f>IF(Table1[[#This Row],[Is Data Valid]]=TRUE,((Table1[[#This Row],[Birthweight (grams)]]*1.1/Table1[[#This Row],[BW_GA]])-1)/(Backend!$B$4/100*Table1[[#This Row],[BW40_3705]]),"")</f>
        <v/>
      </c>
      <c r="J6710" s="7" t="str">
        <f>IF(Table1[[#This Row],[Is Data Valid]]=TRUE,_xlfn.NORM.S.DIST(Table1[[#This Row],[Birthweight Z-Score]],TRUE)*100,"")</f>
        <v/>
      </c>
      <c r="K6710" s="7" t="str">
        <f>IF(Table1[[#This Row],[Is Data Valid]]=TRUE,_xlfn.NORM.S.DIST(Table1[[#This Row],[Birthweight Z-Score (BW-10%)]],TRUE)*100,"")</f>
        <v/>
      </c>
      <c r="L6710" s="7" t="str">
        <f>IF(Table1[[#This Row],[Is Data Valid]]=TRUE,_xlfn.NORM.S.DIST(Table1[[#This Row],[Birthweight Z-Score (BW+10%)]],TRUE)*100,"")</f>
        <v/>
      </c>
    </row>
    <row r="6711" spans="1:12" x14ac:dyDescent="0.35">
      <c r="A6711" s="3"/>
      <c r="B6711" s="2"/>
      <c r="C6711" s="2"/>
      <c r="D6711" s="2" t="b">
        <f>IF(AND(NOT(ISBLANK(Table1[[#This Row],[Fetal Sex (Male, Female or Unknown)]])),ISNUMBER(Table1[[#This Row],[Birthweight (grams)]]),ISNUMBER(Table1[[#This Row],[Gestation (days)]])),TRUE,FALSE)</f>
        <v>0</v>
      </c>
      <c r="E6711" s="2" t="str">
        <f>IF(Table1[[#This Row],[Is Data Valid]]=TRUE,IF(Table1[[#This Row],[Fetal Sex (Male, Female or Unknown)]]="Male",Backend!$C$6,IF(Table1[[#This Row],[Fetal Sex (Male, Female or Unknown)]]="Female",Backend!$C$7,IF(Table1[[#This Row],[Fetal Sex (Male, Female or Unknown)]]="Unknown",Backend!$C$8,"Error"))),"")</f>
        <v/>
      </c>
      <c r="F6711" s="8" t="str">
        <f>IF(Table1[[#This Row],[Is Data Valid]]=TRUE,EXP(0.578+0.332*((Table1[[#This Row],[Gestation (days)]]+0.5)/7)-0.00354*((Table1[[#This Row],[Gestation (days)]]+0.5)/7)^2)*Table1[[#This Row],[BW40_3705]],"")</f>
        <v/>
      </c>
      <c r="G6711" s="2" t="str">
        <f>IF(Table1[[#This Row],[Is Data Valid]]=TRUE,((Table1[[#This Row],[Birthweight (grams)]]/Table1[[#This Row],[BW_GA]])-1)/(Backend!$B$4/100*Table1[[#This Row],[BW40_3705]]),"")</f>
        <v/>
      </c>
      <c r="H6711" s="7" t="str">
        <f>IF(Table1[[#This Row],[Is Data Valid]]=TRUE,((Table1[[#This Row],[Birthweight (grams)]]*0.9/Table1[[#This Row],[BW_GA]])-1)/(Backend!$B$4/100*Table1[[#This Row],[BW40_3705]]),"")</f>
        <v/>
      </c>
      <c r="I6711" s="7" t="str">
        <f>IF(Table1[[#This Row],[Is Data Valid]]=TRUE,((Table1[[#This Row],[Birthweight (grams)]]*1.1/Table1[[#This Row],[BW_GA]])-1)/(Backend!$B$4/100*Table1[[#This Row],[BW40_3705]]),"")</f>
        <v/>
      </c>
      <c r="J6711" s="7" t="str">
        <f>IF(Table1[[#This Row],[Is Data Valid]]=TRUE,_xlfn.NORM.S.DIST(Table1[[#This Row],[Birthweight Z-Score]],TRUE)*100,"")</f>
        <v/>
      </c>
      <c r="K6711" s="7" t="str">
        <f>IF(Table1[[#This Row],[Is Data Valid]]=TRUE,_xlfn.NORM.S.DIST(Table1[[#This Row],[Birthweight Z-Score (BW-10%)]],TRUE)*100,"")</f>
        <v/>
      </c>
      <c r="L6711" s="7" t="str">
        <f>IF(Table1[[#This Row],[Is Data Valid]]=TRUE,_xlfn.NORM.S.DIST(Table1[[#This Row],[Birthweight Z-Score (BW+10%)]],TRUE)*100,"")</f>
        <v/>
      </c>
    </row>
    <row r="6712" spans="1:12" x14ac:dyDescent="0.35">
      <c r="A6712" s="3"/>
      <c r="B6712" s="2"/>
      <c r="C6712" s="2"/>
      <c r="D6712" s="2" t="b">
        <f>IF(AND(NOT(ISBLANK(Table1[[#This Row],[Fetal Sex (Male, Female or Unknown)]])),ISNUMBER(Table1[[#This Row],[Birthweight (grams)]]),ISNUMBER(Table1[[#This Row],[Gestation (days)]])),TRUE,FALSE)</f>
        <v>0</v>
      </c>
      <c r="E6712" s="2" t="str">
        <f>IF(Table1[[#This Row],[Is Data Valid]]=TRUE,IF(Table1[[#This Row],[Fetal Sex (Male, Female or Unknown)]]="Male",Backend!$C$6,IF(Table1[[#This Row],[Fetal Sex (Male, Female or Unknown)]]="Female",Backend!$C$7,IF(Table1[[#This Row],[Fetal Sex (Male, Female or Unknown)]]="Unknown",Backend!$C$8,"Error"))),"")</f>
        <v/>
      </c>
      <c r="F6712" s="8" t="str">
        <f>IF(Table1[[#This Row],[Is Data Valid]]=TRUE,EXP(0.578+0.332*((Table1[[#This Row],[Gestation (days)]]+0.5)/7)-0.00354*((Table1[[#This Row],[Gestation (days)]]+0.5)/7)^2)*Table1[[#This Row],[BW40_3705]],"")</f>
        <v/>
      </c>
      <c r="G6712" s="2" t="str">
        <f>IF(Table1[[#This Row],[Is Data Valid]]=TRUE,((Table1[[#This Row],[Birthweight (grams)]]/Table1[[#This Row],[BW_GA]])-1)/(Backend!$B$4/100*Table1[[#This Row],[BW40_3705]]),"")</f>
        <v/>
      </c>
      <c r="H6712" s="7" t="str">
        <f>IF(Table1[[#This Row],[Is Data Valid]]=TRUE,((Table1[[#This Row],[Birthweight (grams)]]*0.9/Table1[[#This Row],[BW_GA]])-1)/(Backend!$B$4/100*Table1[[#This Row],[BW40_3705]]),"")</f>
        <v/>
      </c>
      <c r="I6712" s="7" t="str">
        <f>IF(Table1[[#This Row],[Is Data Valid]]=TRUE,((Table1[[#This Row],[Birthweight (grams)]]*1.1/Table1[[#This Row],[BW_GA]])-1)/(Backend!$B$4/100*Table1[[#This Row],[BW40_3705]]),"")</f>
        <v/>
      </c>
      <c r="J6712" s="7" t="str">
        <f>IF(Table1[[#This Row],[Is Data Valid]]=TRUE,_xlfn.NORM.S.DIST(Table1[[#This Row],[Birthweight Z-Score]],TRUE)*100,"")</f>
        <v/>
      </c>
      <c r="K6712" s="7" t="str">
        <f>IF(Table1[[#This Row],[Is Data Valid]]=TRUE,_xlfn.NORM.S.DIST(Table1[[#This Row],[Birthweight Z-Score (BW-10%)]],TRUE)*100,"")</f>
        <v/>
      </c>
      <c r="L6712" s="7" t="str">
        <f>IF(Table1[[#This Row],[Is Data Valid]]=TRUE,_xlfn.NORM.S.DIST(Table1[[#This Row],[Birthweight Z-Score (BW+10%)]],TRUE)*100,"")</f>
        <v/>
      </c>
    </row>
    <row r="6713" spans="1:12" x14ac:dyDescent="0.35">
      <c r="A6713" s="3"/>
      <c r="B6713" s="2"/>
      <c r="C6713" s="2"/>
      <c r="D6713" s="2" t="b">
        <f>IF(AND(NOT(ISBLANK(Table1[[#This Row],[Fetal Sex (Male, Female or Unknown)]])),ISNUMBER(Table1[[#This Row],[Birthweight (grams)]]),ISNUMBER(Table1[[#This Row],[Gestation (days)]])),TRUE,FALSE)</f>
        <v>0</v>
      </c>
      <c r="E6713" s="2" t="str">
        <f>IF(Table1[[#This Row],[Is Data Valid]]=TRUE,IF(Table1[[#This Row],[Fetal Sex (Male, Female or Unknown)]]="Male",Backend!$C$6,IF(Table1[[#This Row],[Fetal Sex (Male, Female or Unknown)]]="Female",Backend!$C$7,IF(Table1[[#This Row],[Fetal Sex (Male, Female or Unknown)]]="Unknown",Backend!$C$8,"Error"))),"")</f>
        <v/>
      </c>
      <c r="F6713" s="8" t="str">
        <f>IF(Table1[[#This Row],[Is Data Valid]]=TRUE,EXP(0.578+0.332*((Table1[[#This Row],[Gestation (days)]]+0.5)/7)-0.00354*((Table1[[#This Row],[Gestation (days)]]+0.5)/7)^2)*Table1[[#This Row],[BW40_3705]],"")</f>
        <v/>
      </c>
      <c r="G6713" s="2" t="str">
        <f>IF(Table1[[#This Row],[Is Data Valid]]=TRUE,((Table1[[#This Row],[Birthweight (grams)]]/Table1[[#This Row],[BW_GA]])-1)/(Backend!$B$4/100*Table1[[#This Row],[BW40_3705]]),"")</f>
        <v/>
      </c>
      <c r="H6713" s="7" t="str">
        <f>IF(Table1[[#This Row],[Is Data Valid]]=TRUE,((Table1[[#This Row],[Birthweight (grams)]]*0.9/Table1[[#This Row],[BW_GA]])-1)/(Backend!$B$4/100*Table1[[#This Row],[BW40_3705]]),"")</f>
        <v/>
      </c>
      <c r="I6713" s="7" t="str">
        <f>IF(Table1[[#This Row],[Is Data Valid]]=TRUE,((Table1[[#This Row],[Birthweight (grams)]]*1.1/Table1[[#This Row],[BW_GA]])-1)/(Backend!$B$4/100*Table1[[#This Row],[BW40_3705]]),"")</f>
        <v/>
      </c>
      <c r="J6713" s="7" t="str">
        <f>IF(Table1[[#This Row],[Is Data Valid]]=TRUE,_xlfn.NORM.S.DIST(Table1[[#This Row],[Birthweight Z-Score]],TRUE)*100,"")</f>
        <v/>
      </c>
      <c r="K6713" s="7" t="str">
        <f>IF(Table1[[#This Row],[Is Data Valid]]=TRUE,_xlfn.NORM.S.DIST(Table1[[#This Row],[Birthweight Z-Score (BW-10%)]],TRUE)*100,"")</f>
        <v/>
      </c>
      <c r="L6713" s="7" t="str">
        <f>IF(Table1[[#This Row],[Is Data Valid]]=TRUE,_xlfn.NORM.S.DIST(Table1[[#This Row],[Birthweight Z-Score (BW+10%)]],TRUE)*100,"")</f>
        <v/>
      </c>
    </row>
    <row r="6714" spans="1:12" x14ac:dyDescent="0.35">
      <c r="A6714" s="3"/>
      <c r="B6714" s="2"/>
      <c r="C6714" s="2"/>
      <c r="D6714" s="2" t="b">
        <f>IF(AND(NOT(ISBLANK(Table1[[#This Row],[Fetal Sex (Male, Female or Unknown)]])),ISNUMBER(Table1[[#This Row],[Birthweight (grams)]]),ISNUMBER(Table1[[#This Row],[Gestation (days)]])),TRUE,FALSE)</f>
        <v>0</v>
      </c>
      <c r="E6714" s="2" t="str">
        <f>IF(Table1[[#This Row],[Is Data Valid]]=TRUE,IF(Table1[[#This Row],[Fetal Sex (Male, Female or Unknown)]]="Male",Backend!$C$6,IF(Table1[[#This Row],[Fetal Sex (Male, Female or Unknown)]]="Female",Backend!$C$7,IF(Table1[[#This Row],[Fetal Sex (Male, Female or Unknown)]]="Unknown",Backend!$C$8,"Error"))),"")</f>
        <v/>
      </c>
      <c r="F6714" s="8" t="str">
        <f>IF(Table1[[#This Row],[Is Data Valid]]=TRUE,EXP(0.578+0.332*((Table1[[#This Row],[Gestation (days)]]+0.5)/7)-0.00354*((Table1[[#This Row],[Gestation (days)]]+0.5)/7)^2)*Table1[[#This Row],[BW40_3705]],"")</f>
        <v/>
      </c>
      <c r="G6714" s="2" t="str">
        <f>IF(Table1[[#This Row],[Is Data Valid]]=TRUE,((Table1[[#This Row],[Birthweight (grams)]]/Table1[[#This Row],[BW_GA]])-1)/(Backend!$B$4/100*Table1[[#This Row],[BW40_3705]]),"")</f>
        <v/>
      </c>
      <c r="H6714" s="7" t="str">
        <f>IF(Table1[[#This Row],[Is Data Valid]]=TRUE,((Table1[[#This Row],[Birthweight (grams)]]*0.9/Table1[[#This Row],[BW_GA]])-1)/(Backend!$B$4/100*Table1[[#This Row],[BW40_3705]]),"")</f>
        <v/>
      </c>
      <c r="I6714" s="7" t="str">
        <f>IF(Table1[[#This Row],[Is Data Valid]]=TRUE,((Table1[[#This Row],[Birthweight (grams)]]*1.1/Table1[[#This Row],[BW_GA]])-1)/(Backend!$B$4/100*Table1[[#This Row],[BW40_3705]]),"")</f>
        <v/>
      </c>
      <c r="J6714" s="7" t="str">
        <f>IF(Table1[[#This Row],[Is Data Valid]]=TRUE,_xlfn.NORM.S.DIST(Table1[[#This Row],[Birthweight Z-Score]],TRUE)*100,"")</f>
        <v/>
      </c>
      <c r="K6714" s="7" t="str">
        <f>IF(Table1[[#This Row],[Is Data Valid]]=TRUE,_xlfn.NORM.S.DIST(Table1[[#This Row],[Birthweight Z-Score (BW-10%)]],TRUE)*100,"")</f>
        <v/>
      </c>
      <c r="L6714" s="7" t="str">
        <f>IF(Table1[[#This Row],[Is Data Valid]]=TRUE,_xlfn.NORM.S.DIST(Table1[[#This Row],[Birthweight Z-Score (BW+10%)]],TRUE)*100,"")</f>
        <v/>
      </c>
    </row>
    <row r="6715" spans="1:12" x14ac:dyDescent="0.35">
      <c r="A6715" s="3"/>
      <c r="B6715" s="2"/>
      <c r="C6715" s="2"/>
      <c r="D6715" s="2" t="b">
        <f>IF(AND(NOT(ISBLANK(Table1[[#This Row],[Fetal Sex (Male, Female or Unknown)]])),ISNUMBER(Table1[[#This Row],[Birthweight (grams)]]),ISNUMBER(Table1[[#This Row],[Gestation (days)]])),TRUE,FALSE)</f>
        <v>0</v>
      </c>
      <c r="E6715" s="2" t="str">
        <f>IF(Table1[[#This Row],[Is Data Valid]]=TRUE,IF(Table1[[#This Row],[Fetal Sex (Male, Female or Unknown)]]="Male",Backend!$C$6,IF(Table1[[#This Row],[Fetal Sex (Male, Female or Unknown)]]="Female",Backend!$C$7,IF(Table1[[#This Row],[Fetal Sex (Male, Female or Unknown)]]="Unknown",Backend!$C$8,"Error"))),"")</f>
        <v/>
      </c>
      <c r="F6715" s="8" t="str">
        <f>IF(Table1[[#This Row],[Is Data Valid]]=TRUE,EXP(0.578+0.332*((Table1[[#This Row],[Gestation (days)]]+0.5)/7)-0.00354*((Table1[[#This Row],[Gestation (days)]]+0.5)/7)^2)*Table1[[#This Row],[BW40_3705]],"")</f>
        <v/>
      </c>
      <c r="G6715" s="2" t="str">
        <f>IF(Table1[[#This Row],[Is Data Valid]]=TRUE,((Table1[[#This Row],[Birthweight (grams)]]/Table1[[#This Row],[BW_GA]])-1)/(Backend!$B$4/100*Table1[[#This Row],[BW40_3705]]),"")</f>
        <v/>
      </c>
      <c r="H6715" s="7" t="str">
        <f>IF(Table1[[#This Row],[Is Data Valid]]=TRUE,((Table1[[#This Row],[Birthweight (grams)]]*0.9/Table1[[#This Row],[BW_GA]])-1)/(Backend!$B$4/100*Table1[[#This Row],[BW40_3705]]),"")</f>
        <v/>
      </c>
      <c r="I6715" s="7" t="str">
        <f>IF(Table1[[#This Row],[Is Data Valid]]=TRUE,((Table1[[#This Row],[Birthweight (grams)]]*1.1/Table1[[#This Row],[BW_GA]])-1)/(Backend!$B$4/100*Table1[[#This Row],[BW40_3705]]),"")</f>
        <v/>
      </c>
      <c r="J6715" s="7" t="str">
        <f>IF(Table1[[#This Row],[Is Data Valid]]=TRUE,_xlfn.NORM.S.DIST(Table1[[#This Row],[Birthweight Z-Score]],TRUE)*100,"")</f>
        <v/>
      </c>
      <c r="K6715" s="7" t="str">
        <f>IF(Table1[[#This Row],[Is Data Valid]]=TRUE,_xlfn.NORM.S.DIST(Table1[[#This Row],[Birthweight Z-Score (BW-10%)]],TRUE)*100,"")</f>
        <v/>
      </c>
      <c r="L6715" s="7" t="str">
        <f>IF(Table1[[#This Row],[Is Data Valid]]=TRUE,_xlfn.NORM.S.DIST(Table1[[#This Row],[Birthweight Z-Score (BW+10%)]],TRUE)*100,"")</f>
        <v/>
      </c>
    </row>
    <row r="6716" spans="1:12" x14ac:dyDescent="0.35">
      <c r="A6716" s="3"/>
      <c r="B6716" s="2"/>
      <c r="C6716" s="2"/>
      <c r="D6716" s="2" t="b">
        <f>IF(AND(NOT(ISBLANK(Table1[[#This Row],[Fetal Sex (Male, Female or Unknown)]])),ISNUMBER(Table1[[#This Row],[Birthweight (grams)]]),ISNUMBER(Table1[[#This Row],[Gestation (days)]])),TRUE,FALSE)</f>
        <v>0</v>
      </c>
      <c r="E6716" s="2" t="str">
        <f>IF(Table1[[#This Row],[Is Data Valid]]=TRUE,IF(Table1[[#This Row],[Fetal Sex (Male, Female or Unknown)]]="Male",Backend!$C$6,IF(Table1[[#This Row],[Fetal Sex (Male, Female or Unknown)]]="Female",Backend!$C$7,IF(Table1[[#This Row],[Fetal Sex (Male, Female or Unknown)]]="Unknown",Backend!$C$8,"Error"))),"")</f>
        <v/>
      </c>
      <c r="F6716" s="8" t="str">
        <f>IF(Table1[[#This Row],[Is Data Valid]]=TRUE,EXP(0.578+0.332*((Table1[[#This Row],[Gestation (days)]]+0.5)/7)-0.00354*((Table1[[#This Row],[Gestation (days)]]+0.5)/7)^2)*Table1[[#This Row],[BW40_3705]],"")</f>
        <v/>
      </c>
      <c r="G6716" s="2" t="str">
        <f>IF(Table1[[#This Row],[Is Data Valid]]=TRUE,((Table1[[#This Row],[Birthweight (grams)]]/Table1[[#This Row],[BW_GA]])-1)/(Backend!$B$4/100*Table1[[#This Row],[BW40_3705]]),"")</f>
        <v/>
      </c>
      <c r="H6716" s="7" t="str">
        <f>IF(Table1[[#This Row],[Is Data Valid]]=TRUE,((Table1[[#This Row],[Birthweight (grams)]]*0.9/Table1[[#This Row],[BW_GA]])-1)/(Backend!$B$4/100*Table1[[#This Row],[BW40_3705]]),"")</f>
        <v/>
      </c>
      <c r="I6716" s="7" t="str">
        <f>IF(Table1[[#This Row],[Is Data Valid]]=TRUE,((Table1[[#This Row],[Birthweight (grams)]]*1.1/Table1[[#This Row],[BW_GA]])-1)/(Backend!$B$4/100*Table1[[#This Row],[BW40_3705]]),"")</f>
        <v/>
      </c>
      <c r="J6716" s="7" t="str">
        <f>IF(Table1[[#This Row],[Is Data Valid]]=TRUE,_xlfn.NORM.S.DIST(Table1[[#This Row],[Birthweight Z-Score]],TRUE)*100,"")</f>
        <v/>
      </c>
      <c r="K6716" s="7" t="str">
        <f>IF(Table1[[#This Row],[Is Data Valid]]=TRUE,_xlfn.NORM.S.DIST(Table1[[#This Row],[Birthweight Z-Score (BW-10%)]],TRUE)*100,"")</f>
        <v/>
      </c>
      <c r="L6716" s="7" t="str">
        <f>IF(Table1[[#This Row],[Is Data Valid]]=TRUE,_xlfn.NORM.S.DIST(Table1[[#This Row],[Birthweight Z-Score (BW+10%)]],TRUE)*100,"")</f>
        <v/>
      </c>
    </row>
    <row r="6717" spans="1:12" x14ac:dyDescent="0.35">
      <c r="A6717" s="3"/>
      <c r="B6717" s="2"/>
      <c r="C6717" s="2"/>
      <c r="D6717" s="2" t="b">
        <f>IF(AND(NOT(ISBLANK(Table1[[#This Row],[Fetal Sex (Male, Female or Unknown)]])),ISNUMBER(Table1[[#This Row],[Birthweight (grams)]]),ISNUMBER(Table1[[#This Row],[Gestation (days)]])),TRUE,FALSE)</f>
        <v>0</v>
      </c>
      <c r="E6717" s="2" t="str">
        <f>IF(Table1[[#This Row],[Is Data Valid]]=TRUE,IF(Table1[[#This Row],[Fetal Sex (Male, Female or Unknown)]]="Male",Backend!$C$6,IF(Table1[[#This Row],[Fetal Sex (Male, Female or Unknown)]]="Female",Backend!$C$7,IF(Table1[[#This Row],[Fetal Sex (Male, Female or Unknown)]]="Unknown",Backend!$C$8,"Error"))),"")</f>
        <v/>
      </c>
      <c r="F6717" s="8" t="str">
        <f>IF(Table1[[#This Row],[Is Data Valid]]=TRUE,EXP(0.578+0.332*((Table1[[#This Row],[Gestation (days)]]+0.5)/7)-0.00354*((Table1[[#This Row],[Gestation (days)]]+0.5)/7)^2)*Table1[[#This Row],[BW40_3705]],"")</f>
        <v/>
      </c>
      <c r="G6717" s="2" t="str">
        <f>IF(Table1[[#This Row],[Is Data Valid]]=TRUE,((Table1[[#This Row],[Birthweight (grams)]]/Table1[[#This Row],[BW_GA]])-1)/(Backend!$B$4/100*Table1[[#This Row],[BW40_3705]]),"")</f>
        <v/>
      </c>
      <c r="H6717" s="7" t="str">
        <f>IF(Table1[[#This Row],[Is Data Valid]]=TRUE,((Table1[[#This Row],[Birthweight (grams)]]*0.9/Table1[[#This Row],[BW_GA]])-1)/(Backend!$B$4/100*Table1[[#This Row],[BW40_3705]]),"")</f>
        <v/>
      </c>
      <c r="I6717" s="7" t="str">
        <f>IF(Table1[[#This Row],[Is Data Valid]]=TRUE,((Table1[[#This Row],[Birthweight (grams)]]*1.1/Table1[[#This Row],[BW_GA]])-1)/(Backend!$B$4/100*Table1[[#This Row],[BW40_3705]]),"")</f>
        <v/>
      </c>
      <c r="J6717" s="7" t="str">
        <f>IF(Table1[[#This Row],[Is Data Valid]]=TRUE,_xlfn.NORM.S.DIST(Table1[[#This Row],[Birthweight Z-Score]],TRUE)*100,"")</f>
        <v/>
      </c>
      <c r="K6717" s="7" t="str">
        <f>IF(Table1[[#This Row],[Is Data Valid]]=TRUE,_xlfn.NORM.S.DIST(Table1[[#This Row],[Birthweight Z-Score (BW-10%)]],TRUE)*100,"")</f>
        <v/>
      </c>
      <c r="L6717" s="7" t="str">
        <f>IF(Table1[[#This Row],[Is Data Valid]]=TRUE,_xlfn.NORM.S.DIST(Table1[[#This Row],[Birthweight Z-Score (BW+10%)]],TRUE)*100,"")</f>
        <v/>
      </c>
    </row>
    <row r="6718" spans="1:12" x14ac:dyDescent="0.35">
      <c r="A6718" s="3"/>
      <c r="B6718" s="2"/>
      <c r="C6718" s="2"/>
      <c r="D6718" s="2" t="b">
        <f>IF(AND(NOT(ISBLANK(Table1[[#This Row],[Fetal Sex (Male, Female or Unknown)]])),ISNUMBER(Table1[[#This Row],[Birthweight (grams)]]),ISNUMBER(Table1[[#This Row],[Gestation (days)]])),TRUE,FALSE)</f>
        <v>0</v>
      </c>
      <c r="E6718" s="2" t="str">
        <f>IF(Table1[[#This Row],[Is Data Valid]]=TRUE,IF(Table1[[#This Row],[Fetal Sex (Male, Female or Unknown)]]="Male",Backend!$C$6,IF(Table1[[#This Row],[Fetal Sex (Male, Female or Unknown)]]="Female",Backend!$C$7,IF(Table1[[#This Row],[Fetal Sex (Male, Female or Unknown)]]="Unknown",Backend!$C$8,"Error"))),"")</f>
        <v/>
      </c>
      <c r="F6718" s="8" t="str">
        <f>IF(Table1[[#This Row],[Is Data Valid]]=TRUE,EXP(0.578+0.332*((Table1[[#This Row],[Gestation (days)]]+0.5)/7)-0.00354*((Table1[[#This Row],[Gestation (days)]]+0.5)/7)^2)*Table1[[#This Row],[BW40_3705]],"")</f>
        <v/>
      </c>
      <c r="G6718" s="2" t="str">
        <f>IF(Table1[[#This Row],[Is Data Valid]]=TRUE,((Table1[[#This Row],[Birthweight (grams)]]/Table1[[#This Row],[BW_GA]])-1)/(Backend!$B$4/100*Table1[[#This Row],[BW40_3705]]),"")</f>
        <v/>
      </c>
      <c r="H6718" s="7" t="str">
        <f>IF(Table1[[#This Row],[Is Data Valid]]=TRUE,((Table1[[#This Row],[Birthweight (grams)]]*0.9/Table1[[#This Row],[BW_GA]])-1)/(Backend!$B$4/100*Table1[[#This Row],[BW40_3705]]),"")</f>
        <v/>
      </c>
      <c r="I6718" s="7" t="str">
        <f>IF(Table1[[#This Row],[Is Data Valid]]=TRUE,((Table1[[#This Row],[Birthweight (grams)]]*1.1/Table1[[#This Row],[BW_GA]])-1)/(Backend!$B$4/100*Table1[[#This Row],[BW40_3705]]),"")</f>
        <v/>
      </c>
      <c r="J6718" s="7" t="str">
        <f>IF(Table1[[#This Row],[Is Data Valid]]=TRUE,_xlfn.NORM.S.DIST(Table1[[#This Row],[Birthweight Z-Score]],TRUE)*100,"")</f>
        <v/>
      </c>
      <c r="K6718" s="7" t="str">
        <f>IF(Table1[[#This Row],[Is Data Valid]]=TRUE,_xlfn.NORM.S.DIST(Table1[[#This Row],[Birthweight Z-Score (BW-10%)]],TRUE)*100,"")</f>
        <v/>
      </c>
      <c r="L6718" s="7" t="str">
        <f>IF(Table1[[#This Row],[Is Data Valid]]=TRUE,_xlfn.NORM.S.DIST(Table1[[#This Row],[Birthweight Z-Score (BW+10%)]],TRUE)*100,"")</f>
        <v/>
      </c>
    </row>
    <row r="6719" spans="1:12" x14ac:dyDescent="0.35">
      <c r="A6719" s="3"/>
      <c r="B6719" s="2"/>
      <c r="C6719" s="2"/>
      <c r="D6719" s="2" t="b">
        <f>IF(AND(NOT(ISBLANK(Table1[[#This Row],[Fetal Sex (Male, Female or Unknown)]])),ISNUMBER(Table1[[#This Row],[Birthweight (grams)]]),ISNUMBER(Table1[[#This Row],[Gestation (days)]])),TRUE,FALSE)</f>
        <v>0</v>
      </c>
      <c r="E6719" s="2" t="str">
        <f>IF(Table1[[#This Row],[Is Data Valid]]=TRUE,IF(Table1[[#This Row],[Fetal Sex (Male, Female or Unknown)]]="Male",Backend!$C$6,IF(Table1[[#This Row],[Fetal Sex (Male, Female or Unknown)]]="Female",Backend!$C$7,IF(Table1[[#This Row],[Fetal Sex (Male, Female or Unknown)]]="Unknown",Backend!$C$8,"Error"))),"")</f>
        <v/>
      </c>
      <c r="F6719" s="8" t="str">
        <f>IF(Table1[[#This Row],[Is Data Valid]]=TRUE,EXP(0.578+0.332*((Table1[[#This Row],[Gestation (days)]]+0.5)/7)-0.00354*((Table1[[#This Row],[Gestation (days)]]+0.5)/7)^2)*Table1[[#This Row],[BW40_3705]],"")</f>
        <v/>
      </c>
      <c r="G6719" s="2" t="str">
        <f>IF(Table1[[#This Row],[Is Data Valid]]=TRUE,((Table1[[#This Row],[Birthweight (grams)]]/Table1[[#This Row],[BW_GA]])-1)/(Backend!$B$4/100*Table1[[#This Row],[BW40_3705]]),"")</f>
        <v/>
      </c>
      <c r="H6719" s="7" t="str">
        <f>IF(Table1[[#This Row],[Is Data Valid]]=TRUE,((Table1[[#This Row],[Birthweight (grams)]]*0.9/Table1[[#This Row],[BW_GA]])-1)/(Backend!$B$4/100*Table1[[#This Row],[BW40_3705]]),"")</f>
        <v/>
      </c>
      <c r="I6719" s="7" t="str">
        <f>IF(Table1[[#This Row],[Is Data Valid]]=TRUE,((Table1[[#This Row],[Birthweight (grams)]]*1.1/Table1[[#This Row],[BW_GA]])-1)/(Backend!$B$4/100*Table1[[#This Row],[BW40_3705]]),"")</f>
        <v/>
      </c>
      <c r="J6719" s="7" t="str">
        <f>IF(Table1[[#This Row],[Is Data Valid]]=TRUE,_xlfn.NORM.S.DIST(Table1[[#This Row],[Birthweight Z-Score]],TRUE)*100,"")</f>
        <v/>
      </c>
      <c r="K6719" s="7" t="str">
        <f>IF(Table1[[#This Row],[Is Data Valid]]=TRUE,_xlfn.NORM.S.DIST(Table1[[#This Row],[Birthweight Z-Score (BW-10%)]],TRUE)*100,"")</f>
        <v/>
      </c>
      <c r="L6719" s="7" t="str">
        <f>IF(Table1[[#This Row],[Is Data Valid]]=TRUE,_xlfn.NORM.S.DIST(Table1[[#This Row],[Birthweight Z-Score (BW+10%)]],TRUE)*100,"")</f>
        <v/>
      </c>
    </row>
    <row r="6720" spans="1:12" x14ac:dyDescent="0.35">
      <c r="A6720" s="3"/>
      <c r="B6720" s="2"/>
      <c r="C6720" s="2"/>
      <c r="D6720" s="2" t="b">
        <f>IF(AND(NOT(ISBLANK(Table1[[#This Row],[Fetal Sex (Male, Female or Unknown)]])),ISNUMBER(Table1[[#This Row],[Birthweight (grams)]]),ISNUMBER(Table1[[#This Row],[Gestation (days)]])),TRUE,FALSE)</f>
        <v>0</v>
      </c>
      <c r="E6720" s="2" t="str">
        <f>IF(Table1[[#This Row],[Is Data Valid]]=TRUE,IF(Table1[[#This Row],[Fetal Sex (Male, Female or Unknown)]]="Male",Backend!$C$6,IF(Table1[[#This Row],[Fetal Sex (Male, Female or Unknown)]]="Female",Backend!$C$7,IF(Table1[[#This Row],[Fetal Sex (Male, Female or Unknown)]]="Unknown",Backend!$C$8,"Error"))),"")</f>
        <v/>
      </c>
      <c r="F6720" s="8" t="str">
        <f>IF(Table1[[#This Row],[Is Data Valid]]=TRUE,EXP(0.578+0.332*((Table1[[#This Row],[Gestation (days)]]+0.5)/7)-0.00354*((Table1[[#This Row],[Gestation (days)]]+0.5)/7)^2)*Table1[[#This Row],[BW40_3705]],"")</f>
        <v/>
      </c>
      <c r="G6720" s="2" t="str">
        <f>IF(Table1[[#This Row],[Is Data Valid]]=TRUE,((Table1[[#This Row],[Birthweight (grams)]]/Table1[[#This Row],[BW_GA]])-1)/(Backend!$B$4/100*Table1[[#This Row],[BW40_3705]]),"")</f>
        <v/>
      </c>
      <c r="H6720" s="7" t="str">
        <f>IF(Table1[[#This Row],[Is Data Valid]]=TRUE,((Table1[[#This Row],[Birthweight (grams)]]*0.9/Table1[[#This Row],[BW_GA]])-1)/(Backend!$B$4/100*Table1[[#This Row],[BW40_3705]]),"")</f>
        <v/>
      </c>
      <c r="I6720" s="7" t="str">
        <f>IF(Table1[[#This Row],[Is Data Valid]]=TRUE,((Table1[[#This Row],[Birthweight (grams)]]*1.1/Table1[[#This Row],[BW_GA]])-1)/(Backend!$B$4/100*Table1[[#This Row],[BW40_3705]]),"")</f>
        <v/>
      </c>
      <c r="J6720" s="7" t="str">
        <f>IF(Table1[[#This Row],[Is Data Valid]]=TRUE,_xlfn.NORM.S.DIST(Table1[[#This Row],[Birthweight Z-Score]],TRUE)*100,"")</f>
        <v/>
      </c>
      <c r="K6720" s="7" t="str">
        <f>IF(Table1[[#This Row],[Is Data Valid]]=TRUE,_xlfn.NORM.S.DIST(Table1[[#This Row],[Birthweight Z-Score (BW-10%)]],TRUE)*100,"")</f>
        <v/>
      </c>
      <c r="L6720" s="7" t="str">
        <f>IF(Table1[[#This Row],[Is Data Valid]]=TRUE,_xlfn.NORM.S.DIST(Table1[[#This Row],[Birthweight Z-Score (BW+10%)]],TRUE)*100,"")</f>
        <v/>
      </c>
    </row>
    <row r="6721" spans="1:12" x14ac:dyDescent="0.35">
      <c r="A6721" s="3"/>
      <c r="B6721" s="2"/>
      <c r="C6721" s="2"/>
      <c r="D6721" s="2" t="b">
        <f>IF(AND(NOT(ISBLANK(Table1[[#This Row],[Fetal Sex (Male, Female or Unknown)]])),ISNUMBER(Table1[[#This Row],[Birthweight (grams)]]),ISNUMBER(Table1[[#This Row],[Gestation (days)]])),TRUE,FALSE)</f>
        <v>0</v>
      </c>
      <c r="E6721" s="2" t="str">
        <f>IF(Table1[[#This Row],[Is Data Valid]]=TRUE,IF(Table1[[#This Row],[Fetal Sex (Male, Female or Unknown)]]="Male",Backend!$C$6,IF(Table1[[#This Row],[Fetal Sex (Male, Female or Unknown)]]="Female",Backend!$C$7,IF(Table1[[#This Row],[Fetal Sex (Male, Female or Unknown)]]="Unknown",Backend!$C$8,"Error"))),"")</f>
        <v/>
      </c>
      <c r="F6721" s="8" t="str">
        <f>IF(Table1[[#This Row],[Is Data Valid]]=TRUE,EXP(0.578+0.332*((Table1[[#This Row],[Gestation (days)]]+0.5)/7)-0.00354*((Table1[[#This Row],[Gestation (days)]]+0.5)/7)^2)*Table1[[#This Row],[BW40_3705]],"")</f>
        <v/>
      </c>
      <c r="G6721" s="2" t="str">
        <f>IF(Table1[[#This Row],[Is Data Valid]]=TRUE,((Table1[[#This Row],[Birthweight (grams)]]/Table1[[#This Row],[BW_GA]])-1)/(Backend!$B$4/100*Table1[[#This Row],[BW40_3705]]),"")</f>
        <v/>
      </c>
      <c r="H6721" s="7" t="str">
        <f>IF(Table1[[#This Row],[Is Data Valid]]=TRUE,((Table1[[#This Row],[Birthweight (grams)]]*0.9/Table1[[#This Row],[BW_GA]])-1)/(Backend!$B$4/100*Table1[[#This Row],[BW40_3705]]),"")</f>
        <v/>
      </c>
      <c r="I6721" s="7" t="str">
        <f>IF(Table1[[#This Row],[Is Data Valid]]=TRUE,((Table1[[#This Row],[Birthweight (grams)]]*1.1/Table1[[#This Row],[BW_GA]])-1)/(Backend!$B$4/100*Table1[[#This Row],[BW40_3705]]),"")</f>
        <v/>
      </c>
      <c r="J6721" s="7" t="str">
        <f>IF(Table1[[#This Row],[Is Data Valid]]=TRUE,_xlfn.NORM.S.DIST(Table1[[#This Row],[Birthweight Z-Score]],TRUE)*100,"")</f>
        <v/>
      </c>
      <c r="K6721" s="7" t="str">
        <f>IF(Table1[[#This Row],[Is Data Valid]]=TRUE,_xlfn.NORM.S.DIST(Table1[[#This Row],[Birthweight Z-Score (BW-10%)]],TRUE)*100,"")</f>
        <v/>
      </c>
      <c r="L6721" s="7" t="str">
        <f>IF(Table1[[#This Row],[Is Data Valid]]=TRUE,_xlfn.NORM.S.DIST(Table1[[#This Row],[Birthweight Z-Score (BW+10%)]],TRUE)*100,"")</f>
        <v/>
      </c>
    </row>
    <row r="6722" spans="1:12" x14ac:dyDescent="0.35">
      <c r="A6722" s="3"/>
      <c r="B6722" s="2"/>
      <c r="C6722" s="2"/>
      <c r="D6722" s="2" t="b">
        <f>IF(AND(NOT(ISBLANK(Table1[[#This Row],[Fetal Sex (Male, Female or Unknown)]])),ISNUMBER(Table1[[#This Row],[Birthweight (grams)]]),ISNUMBER(Table1[[#This Row],[Gestation (days)]])),TRUE,FALSE)</f>
        <v>0</v>
      </c>
      <c r="E6722" s="2" t="str">
        <f>IF(Table1[[#This Row],[Is Data Valid]]=TRUE,IF(Table1[[#This Row],[Fetal Sex (Male, Female or Unknown)]]="Male",Backend!$C$6,IF(Table1[[#This Row],[Fetal Sex (Male, Female or Unknown)]]="Female",Backend!$C$7,IF(Table1[[#This Row],[Fetal Sex (Male, Female or Unknown)]]="Unknown",Backend!$C$8,"Error"))),"")</f>
        <v/>
      </c>
      <c r="F6722" s="8" t="str">
        <f>IF(Table1[[#This Row],[Is Data Valid]]=TRUE,EXP(0.578+0.332*((Table1[[#This Row],[Gestation (days)]]+0.5)/7)-0.00354*((Table1[[#This Row],[Gestation (days)]]+0.5)/7)^2)*Table1[[#This Row],[BW40_3705]],"")</f>
        <v/>
      </c>
      <c r="G6722" s="2" t="str">
        <f>IF(Table1[[#This Row],[Is Data Valid]]=TRUE,((Table1[[#This Row],[Birthweight (grams)]]/Table1[[#This Row],[BW_GA]])-1)/(Backend!$B$4/100*Table1[[#This Row],[BW40_3705]]),"")</f>
        <v/>
      </c>
      <c r="H6722" s="7" t="str">
        <f>IF(Table1[[#This Row],[Is Data Valid]]=TRUE,((Table1[[#This Row],[Birthweight (grams)]]*0.9/Table1[[#This Row],[BW_GA]])-1)/(Backend!$B$4/100*Table1[[#This Row],[BW40_3705]]),"")</f>
        <v/>
      </c>
      <c r="I6722" s="7" t="str">
        <f>IF(Table1[[#This Row],[Is Data Valid]]=TRUE,((Table1[[#This Row],[Birthweight (grams)]]*1.1/Table1[[#This Row],[BW_GA]])-1)/(Backend!$B$4/100*Table1[[#This Row],[BW40_3705]]),"")</f>
        <v/>
      </c>
      <c r="J6722" s="7" t="str">
        <f>IF(Table1[[#This Row],[Is Data Valid]]=TRUE,_xlfn.NORM.S.DIST(Table1[[#This Row],[Birthweight Z-Score]],TRUE)*100,"")</f>
        <v/>
      </c>
      <c r="K6722" s="7" t="str">
        <f>IF(Table1[[#This Row],[Is Data Valid]]=TRUE,_xlfn.NORM.S.DIST(Table1[[#This Row],[Birthweight Z-Score (BW-10%)]],TRUE)*100,"")</f>
        <v/>
      </c>
      <c r="L6722" s="7" t="str">
        <f>IF(Table1[[#This Row],[Is Data Valid]]=TRUE,_xlfn.NORM.S.DIST(Table1[[#This Row],[Birthweight Z-Score (BW+10%)]],TRUE)*100,"")</f>
        <v/>
      </c>
    </row>
    <row r="6723" spans="1:12" x14ac:dyDescent="0.35">
      <c r="A6723" s="3"/>
      <c r="B6723" s="2"/>
      <c r="C6723" s="2"/>
      <c r="D6723" s="2" t="b">
        <f>IF(AND(NOT(ISBLANK(Table1[[#This Row],[Fetal Sex (Male, Female or Unknown)]])),ISNUMBER(Table1[[#This Row],[Birthweight (grams)]]),ISNUMBER(Table1[[#This Row],[Gestation (days)]])),TRUE,FALSE)</f>
        <v>0</v>
      </c>
      <c r="E6723" s="2" t="str">
        <f>IF(Table1[[#This Row],[Is Data Valid]]=TRUE,IF(Table1[[#This Row],[Fetal Sex (Male, Female or Unknown)]]="Male",Backend!$C$6,IF(Table1[[#This Row],[Fetal Sex (Male, Female or Unknown)]]="Female",Backend!$C$7,IF(Table1[[#This Row],[Fetal Sex (Male, Female or Unknown)]]="Unknown",Backend!$C$8,"Error"))),"")</f>
        <v/>
      </c>
      <c r="F6723" s="8" t="str">
        <f>IF(Table1[[#This Row],[Is Data Valid]]=TRUE,EXP(0.578+0.332*((Table1[[#This Row],[Gestation (days)]]+0.5)/7)-0.00354*((Table1[[#This Row],[Gestation (days)]]+0.5)/7)^2)*Table1[[#This Row],[BW40_3705]],"")</f>
        <v/>
      </c>
      <c r="G6723" s="2" t="str">
        <f>IF(Table1[[#This Row],[Is Data Valid]]=TRUE,((Table1[[#This Row],[Birthweight (grams)]]/Table1[[#This Row],[BW_GA]])-1)/(Backend!$B$4/100*Table1[[#This Row],[BW40_3705]]),"")</f>
        <v/>
      </c>
      <c r="H6723" s="7" t="str">
        <f>IF(Table1[[#This Row],[Is Data Valid]]=TRUE,((Table1[[#This Row],[Birthweight (grams)]]*0.9/Table1[[#This Row],[BW_GA]])-1)/(Backend!$B$4/100*Table1[[#This Row],[BW40_3705]]),"")</f>
        <v/>
      </c>
      <c r="I6723" s="7" t="str">
        <f>IF(Table1[[#This Row],[Is Data Valid]]=TRUE,((Table1[[#This Row],[Birthweight (grams)]]*1.1/Table1[[#This Row],[BW_GA]])-1)/(Backend!$B$4/100*Table1[[#This Row],[BW40_3705]]),"")</f>
        <v/>
      </c>
      <c r="J6723" s="7" t="str">
        <f>IF(Table1[[#This Row],[Is Data Valid]]=TRUE,_xlfn.NORM.S.DIST(Table1[[#This Row],[Birthweight Z-Score]],TRUE)*100,"")</f>
        <v/>
      </c>
      <c r="K6723" s="7" t="str">
        <f>IF(Table1[[#This Row],[Is Data Valid]]=TRUE,_xlfn.NORM.S.DIST(Table1[[#This Row],[Birthweight Z-Score (BW-10%)]],TRUE)*100,"")</f>
        <v/>
      </c>
      <c r="L6723" s="7" t="str">
        <f>IF(Table1[[#This Row],[Is Data Valid]]=TRUE,_xlfn.NORM.S.DIST(Table1[[#This Row],[Birthweight Z-Score (BW+10%)]],TRUE)*100,"")</f>
        <v/>
      </c>
    </row>
    <row r="6724" spans="1:12" x14ac:dyDescent="0.35">
      <c r="A6724" s="3"/>
      <c r="B6724" s="2"/>
      <c r="C6724" s="2"/>
      <c r="D6724" s="2" t="b">
        <f>IF(AND(NOT(ISBLANK(Table1[[#This Row],[Fetal Sex (Male, Female or Unknown)]])),ISNUMBER(Table1[[#This Row],[Birthweight (grams)]]),ISNUMBER(Table1[[#This Row],[Gestation (days)]])),TRUE,FALSE)</f>
        <v>0</v>
      </c>
      <c r="E6724" s="2" t="str">
        <f>IF(Table1[[#This Row],[Is Data Valid]]=TRUE,IF(Table1[[#This Row],[Fetal Sex (Male, Female or Unknown)]]="Male",Backend!$C$6,IF(Table1[[#This Row],[Fetal Sex (Male, Female or Unknown)]]="Female",Backend!$C$7,IF(Table1[[#This Row],[Fetal Sex (Male, Female or Unknown)]]="Unknown",Backend!$C$8,"Error"))),"")</f>
        <v/>
      </c>
      <c r="F6724" s="8" t="str">
        <f>IF(Table1[[#This Row],[Is Data Valid]]=TRUE,EXP(0.578+0.332*((Table1[[#This Row],[Gestation (days)]]+0.5)/7)-0.00354*((Table1[[#This Row],[Gestation (days)]]+0.5)/7)^2)*Table1[[#This Row],[BW40_3705]],"")</f>
        <v/>
      </c>
      <c r="G6724" s="2" t="str">
        <f>IF(Table1[[#This Row],[Is Data Valid]]=TRUE,((Table1[[#This Row],[Birthweight (grams)]]/Table1[[#This Row],[BW_GA]])-1)/(Backend!$B$4/100*Table1[[#This Row],[BW40_3705]]),"")</f>
        <v/>
      </c>
      <c r="H6724" s="7" t="str">
        <f>IF(Table1[[#This Row],[Is Data Valid]]=TRUE,((Table1[[#This Row],[Birthweight (grams)]]*0.9/Table1[[#This Row],[BW_GA]])-1)/(Backend!$B$4/100*Table1[[#This Row],[BW40_3705]]),"")</f>
        <v/>
      </c>
      <c r="I6724" s="7" t="str">
        <f>IF(Table1[[#This Row],[Is Data Valid]]=TRUE,((Table1[[#This Row],[Birthweight (grams)]]*1.1/Table1[[#This Row],[BW_GA]])-1)/(Backend!$B$4/100*Table1[[#This Row],[BW40_3705]]),"")</f>
        <v/>
      </c>
      <c r="J6724" s="7" t="str">
        <f>IF(Table1[[#This Row],[Is Data Valid]]=TRUE,_xlfn.NORM.S.DIST(Table1[[#This Row],[Birthweight Z-Score]],TRUE)*100,"")</f>
        <v/>
      </c>
      <c r="K6724" s="7" t="str">
        <f>IF(Table1[[#This Row],[Is Data Valid]]=TRUE,_xlfn.NORM.S.DIST(Table1[[#This Row],[Birthweight Z-Score (BW-10%)]],TRUE)*100,"")</f>
        <v/>
      </c>
      <c r="L6724" s="7" t="str">
        <f>IF(Table1[[#This Row],[Is Data Valid]]=TRUE,_xlfn.NORM.S.DIST(Table1[[#This Row],[Birthweight Z-Score (BW+10%)]],TRUE)*100,"")</f>
        <v/>
      </c>
    </row>
    <row r="6725" spans="1:12" x14ac:dyDescent="0.35">
      <c r="A6725" s="3"/>
      <c r="B6725" s="2"/>
      <c r="C6725" s="2"/>
      <c r="D6725" s="2" t="b">
        <f>IF(AND(NOT(ISBLANK(Table1[[#This Row],[Fetal Sex (Male, Female or Unknown)]])),ISNUMBER(Table1[[#This Row],[Birthweight (grams)]]),ISNUMBER(Table1[[#This Row],[Gestation (days)]])),TRUE,FALSE)</f>
        <v>0</v>
      </c>
      <c r="E6725" s="2" t="str">
        <f>IF(Table1[[#This Row],[Is Data Valid]]=TRUE,IF(Table1[[#This Row],[Fetal Sex (Male, Female or Unknown)]]="Male",Backend!$C$6,IF(Table1[[#This Row],[Fetal Sex (Male, Female or Unknown)]]="Female",Backend!$C$7,IF(Table1[[#This Row],[Fetal Sex (Male, Female or Unknown)]]="Unknown",Backend!$C$8,"Error"))),"")</f>
        <v/>
      </c>
      <c r="F6725" s="8" t="str">
        <f>IF(Table1[[#This Row],[Is Data Valid]]=TRUE,EXP(0.578+0.332*((Table1[[#This Row],[Gestation (days)]]+0.5)/7)-0.00354*((Table1[[#This Row],[Gestation (days)]]+0.5)/7)^2)*Table1[[#This Row],[BW40_3705]],"")</f>
        <v/>
      </c>
      <c r="G6725" s="2" t="str">
        <f>IF(Table1[[#This Row],[Is Data Valid]]=TRUE,((Table1[[#This Row],[Birthweight (grams)]]/Table1[[#This Row],[BW_GA]])-1)/(Backend!$B$4/100*Table1[[#This Row],[BW40_3705]]),"")</f>
        <v/>
      </c>
      <c r="H6725" s="7" t="str">
        <f>IF(Table1[[#This Row],[Is Data Valid]]=TRUE,((Table1[[#This Row],[Birthweight (grams)]]*0.9/Table1[[#This Row],[BW_GA]])-1)/(Backend!$B$4/100*Table1[[#This Row],[BW40_3705]]),"")</f>
        <v/>
      </c>
      <c r="I6725" s="7" t="str">
        <f>IF(Table1[[#This Row],[Is Data Valid]]=TRUE,((Table1[[#This Row],[Birthweight (grams)]]*1.1/Table1[[#This Row],[BW_GA]])-1)/(Backend!$B$4/100*Table1[[#This Row],[BW40_3705]]),"")</f>
        <v/>
      </c>
      <c r="J6725" s="7" t="str">
        <f>IF(Table1[[#This Row],[Is Data Valid]]=TRUE,_xlfn.NORM.S.DIST(Table1[[#This Row],[Birthweight Z-Score]],TRUE)*100,"")</f>
        <v/>
      </c>
      <c r="K6725" s="7" t="str">
        <f>IF(Table1[[#This Row],[Is Data Valid]]=TRUE,_xlfn.NORM.S.DIST(Table1[[#This Row],[Birthweight Z-Score (BW-10%)]],TRUE)*100,"")</f>
        <v/>
      </c>
      <c r="L6725" s="7" t="str">
        <f>IF(Table1[[#This Row],[Is Data Valid]]=TRUE,_xlfn.NORM.S.DIST(Table1[[#This Row],[Birthweight Z-Score (BW+10%)]],TRUE)*100,"")</f>
        <v/>
      </c>
    </row>
    <row r="6726" spans="1:12" x14ac:dyDescent="0.35">
      <c r="A6726" s="3"/>
      <c r="B6726" s="2"/>
      <c r="C6726" s="2"/>
      <c r="D6726" s="2" t="b">
        <f>IF(AND(NOT(ISBLANK(Table1[[#This Row],[Fetal Sex (Male, Female or Unknown)]])),ISNUMBER(Table1[[#This Row],[Birthweight (grams)]]),ISNUMBER(Table1[[#This Row],[Gestation (days)]])),TRUE,FALSE)</f>
        <v>0</v>
      </c>
      <c r="E6726" s="2" t="str">
        <f>IF(Table1[[#This Row],[Is Data Valid]]=TRUE,IF(Table1[[#This Row],[Fetal Sex (Male, Female or Unknown)]]="Male",Backend!$C$6,IF(Table1[[#This Row],[Fetal Sex (Male, Female or Unknown)]]="Female",Backend!$C$7,IF(Table1[[#This Row],[Fetal Sex (Male, Female or Unknown)]]="Unknown",Backend!$C$8,"Error"))),"")</f>
        <v/>
      </c>
      <c r="F6726" s="8" t="str">
        <f>IF(Table1[[#This Row],[Is Data Valid]]=TRUE,EXP(0.578+0.332*((Table1[[#This Row],[Gestation (days)]]+0.5)/7)-0.00354*((Table1[[#This Row],[Gestation (days)]]+0.5)/7)^2)*Table1[[#This Row],[BW40_3705]],"")</f>
        <v/>
      </c>
      <c r="G6726" s="2" t="str">
        <f>IF(Table1[[#This Row],[Is Data Valid]]=TRUE,((Table1[[#This Row],[Birthweight (grams)]]/Table1[[#This Row],[BW_GA]])-1)/(Backend!$B$4/100*Table1[[#This Row],[BW40_3705]]),"")</f>
        <v/>
      </c>
      <c r="H6726" s="7" t="str">
        <f>IF(Table1[[#This Row],[Is Data Valid]]=TRUE,((Table1[[#This Row],[Birthweight (grams)]]*0.9/Table1[[#This Row],[BW_GA]])-1)/(Backend!$B$4/100*Table1[[#This Row],[BW40_3705]]),"")</f>
        <v/>
      </c>
      <c r="I6726" s="7" t="str">
        <f>IF(Table1[[#This Row],[Is Data Valid]]=TRUE,((Table1[[#This Row],[Birthweight (grams)]]*1.1/Table1[[#This Row],[BW_GA]])-1)/(Backend!$B$4/100*Table1[[#This Row],[BW40_3705]]),"")</f>
        <v/>
      </c>
      <c r="J6726" s="7" t="str">
        <f>IF(Table1[[#This Row],[Is Data Valid]]=TRUE,_xlfn.NORM.S.DIST(Table1[[#This Row],[Birthweight Z-Score]],TRUE)*100,"")</f>
        <v/>
      </c>
      <c r="K6726" s="7" t="str">
        <f>IF(Table1[[#This Row],[Is Data Valid]]=TRUE,_xlfn.NORM.S.DIST(Table1[[#This Row],[Birthweight Z-Score (BW-10%)]],TRUE)*100,"")</f>
        <v/>
      </c>
      <c r="L6726" s="7" t="str">
        <f>IF(Table1[[#This Row],[Is Data Valid]]=TRUE,_xlfn.NORM.S.DIST(Table1[[#This Row],[Birthweight Z-Score (BW+10%)]],TRUE)*100,"")</f>
        <v/>
      </c>
    </row>
    <row r="6727" spans="1:12" x14ac:dyDescent="0.35">
      <c r="A6727" s="3"/>
      <c r="B6727" s="2"/>
      <c r="C6727" s="2"/>
      <c r="D6727" s="2" t="b">
        <f>IF(AND(NOT(ISBLANK(Table1[[#This Row],[Fetal Sex (Male, Female or Unknown)]])),ISNUMBER(Table1[[#This Row],[Birthweight (grams)]]),ISNUMBER(Table1[[#This Row],[Gestation (days)]])),TRUE,FALSE)</f>
        <v>0</v>
      </c>
      <c r="E6727" s="2" t="str">
        <f>IF(Table1[[#This Row],[Is Data Valid]]=TRUE,IF(Table1[[#This Row],[Fetal Sex (Male, Female or Unknown)]]="Male",Backend!$C$6,IF(Table1[[#This Row],[Fetal Sex (Male, Female or Unknown)]]="Female",Backend!$C$7,IF(Table1[[#This Row],[Fetal Sex (Male, Female or Unknown)]]="Unknown",Backend!$C$8,"Error"))),"")</f>
        <v/>
      </c>
      <c r="F6727" s="8" t="str">
        <f>IF(Table1[[#This Row],[Is Data Valid]]=TRUE,EXP(0.578+0.332*((Table1[[#This Row],[Gestation (days)]]+0.5)/7)-0.00354*((Table1[[#This Row],[Gestation (days)]]+0.5)/7)^2)*Table1[[#This Row],[BW40_3705]],"")</f>
        <v/>
      </c>
      <c r="G6727" s="2" t="str">
        <f>IF(Table1[[#This Row],[Is Data Valid]]=TRUE,((Table1[[#This Row],[Birthweight (grams)]]/Table1[[#This Row],[BW_GA]])-1)/(Backend!$B$4/100*Table1[[#This Row],[BW40_3705]]),"")</f>
        <v/>
      </c>
      <c r="H6727" s="7" t="str">
        <f>IF(Table1[[#This Row],[Is Data Valid]]=TRUE,((Table1[[#This Row],[Birthweight (grams)]]*0.9/Table1[[#This Row],[BW_GA]])-1)/(Backend!$B$4/100*Table1[[#This Row],[BW40_3705]]),"")</f>
        <v/>
      </c>
      <c r="I6727" s="7" t="str">
        <f>IF(Table1[[#This Row],[Is Data Valid]]=TRUE,((Table1[[#This Row],[Birthweight (grams)]]*1.1/Table1[[#This Row],[BW_GA]])-1)/(Backend!$B$4/100*Table1[[#This Row],[BW40_3705]]),"")</f>
        <v/>
      </c>
      <c r="J6727" s="7" t="str">
        <f>IF(Table1[[#This Row],[Is Data Valid]]=TRUE,_xlfn.NORM.S.DIST(Table1[[#This Row],[Birthweight Z-Score]],TRUE)*100,"")</f>
        <v/>
      </c>
      <c r="K6727" s="7" t="str">
        <f>IF(Table1[[#This Row],[Is Data Valid]]=TRUE,_xlfn.NORM.S.DIST(Table1[[#This Row],[Birthweight Z-Score (BW-10%)]],TRUE)*100,"")</f>
        <v/>
      </c>
      <c r="L6727" s="7" t="str">
        <f>IF(Table1[[#This Row],[Is Data Valid]]=TRUE,_xlfn.NORM.S.DIST(Table1[[#This Row],[Birthweight Z-Score (BW+10%)]],TRUE)*100,"")</f>
        <v/>
      </c>
    </row>
    <row r="6728" spans="1:12" x14ac:dyDescent="0.35">
      <c r="A6728" s="3"/>
      <c r="B6728" s="2"/>
      <c r="C6728" s="2"/>
      <c r="D6728" s="2" t="b">
        <f>IF(AND(NOT(ISBLANK(Table1[[#This Row],[Fetal Sex (Male, Female or Unknown)]])),ISNUMBER(Table1[[#This Row],[Birthweight (grams)]]),ISNUMBER(Table1[[#This Row],[Gestation (days)]])),TRUE,FALSE)</f>
        <v>0</v>
      </c>
      <c r="E6728" s="2" t="str">
        <f>IF(Table1[[#This Row],[Is Data Valid]]=TRUE,IF(Table1[[#This Row],[Fetal Sex (Male, Female or Unknown)]]="Male",Backend!$C$6,IF(Table1[[#This Row],[Fetal Sex (Male, Female or Unknown)]]="Female",Backend!$C$7,IF(Table1[[#This Row],[Fetal Sex (Male, Female or Unknown)]]="Unknown",Backend!$C$8,"Error"))),"")</f>
        <v/>
      </c>
      <c r="F6728" s="8" t="str">
        <f>IF(Table1[[#This Row],[Is Data Valid]]=TRUE,EXP(0.578+0.332*((Table1[[#This Row],[Gestation (days)]]+0.5)/7)-0.00354*((Table1[[#This Row],[Gestation (days)]]+0.5)/7)^2)*Table1[[#This Row],[BW40_3705]],"")</f>
        <v/>
      </c>
      <c r="G6728" s="2" t="str">
        <f>IF(Table1[[#This Row],[Is Data Valid]]=TRUE,((Table1[[#This Row],[Birthweight (grams)]]/Table1[[#This Row],[BW_GA]])-1)/(Backend!$B$4/100*Table1[[#This Row],[BW40_3705]]),"")</f>
        <v/>
      </c>
      <c r="H6728" s="7" t="str">
        <f>IF(Table1[[#This Row],[Is Data Valid]]=TRUE,((Table1[[#This Row],[Birthweight (grams)]]*0.9/Table1[[#This Row],[BW_GA]])-1)/(Backend!$B$4/100*Table1[[#This Row],[BW40_3705]]),"")</f>
        <v/>
      </c>
      <c r="I6728" s="7" t="str">
        <f>IF(Table1[[#This Row],[Is Data Valid]]=TRUE,((Table1[[#This Row],[Birthweight (grams)]]*1.1/Table1[[#This Row],[BW_GA]])-1)/(Backend!$B$4/100*Table1[[#This Row],[BW40_3705]]),"")</f>
        <v/>
      </c>
      <c r="J6728" s="7" t="str">
        <f>IF(Table1[[#This Row],[Is Data Valid]]=TRUE,_xlfn.NORM.S.DIST(Table1[[#This Row],[Birthweight Z-Score]],TRUE)*100,"")</f>
        <v/>
      </c>
      <c r="K6728" s="7" t="str">
        <f>IF(Table1[[#This Row],[Is Data Valid]]=TRUE,_xlfn.NORM.S.DIST(Table1[[#This Row],[Birthweight Z-Score (BW-10%)]],TRUE)*100,"")</f>
        <v/>
      </c>
      <c r="L6728" s="7" t="str">
        <f>IF(Table1[[#This Row],[Is Data Valid]]=TRUE,_xlfn.NORM.S.DIST(Table1[[#This Row],[Birthweight Z-Score (BW+10%)]],TRUE)*100,"")</f>
        <v/>
      </c>
    </row>
    <row r="6729" spans="1:12" x14ac:dyDescent="0.35">
      <c r="A6729" s="3"/>
      <c r="B6729" s="2"/>
      <c r="C6729" s="2"/>
      <c r="D6729" s="2" t="b">
        <f>IF(AND(NOT(ISBLANK(Table1[[#This Row],[Fetal Sex (Male, Female or Unknown)]])),ISNUMBER(Table1[[#This Row],[Birthweight (grams)]]),ISNUMBER(Table1[[#This Row],[Gestation (days)]])),TRUE,FALSE)</f>
        <v>0</v>
      </c>
      <c r="E6729" s="2" t="str">
        <f>IF(Table1[[#This Row],[Is Data Valid]]=TRUE,IF(Table1[[#This Row],[Fetal Sex (Male, Female or Unknown)]]="Male",Backend!$C$6,IF(Table1[[#This Row],[Fetal Sex (Male, Female or Unknown)]]="Female",Backend!$C$7,IF(Table1[[#This Row],[Fetal Sex (Male, Female or Unknown)]]="Unknown",Backend!$C$8,"Error"))),"")</f>
        <v/>
      </c>
      <c r="F6729" s="8" t="str">
        <f>IF(Table1[[#This Row],[Is Data Valid]]=TRUE,EXP(0.578+0.332*((Table1[[#This Row],[Gestation (days)]]+0.5)/7)-0.00354*((Table1[[#This Row],[Gestation (days)]]+0.5)/7)^2)*Table1[[#This Row],[BW40_3705]],"")</f>
        <v/>
      </c>
      <c r="G6729" s="2" t="str">
        <f>IF(Table1[[#This Row],[Is Data Valid]]=TRUE,((Table1[[#This Row],[Birthweight (grams)]]/Table1[[#This Row],[BW_GA]])-1)/(Backend!$B$4/100*Table1[[#This Row],[BW40_3705]]),"")</f>
        <v/>
      </c>
      <c r="H6729" s="7" t="str">
        <f>IF(Table1[[#This Row],[Is Data Valid]]=TRUE,((Table1[[#This Row],[Birthweight (grams)]]*0.9/Table1[[#This Row],[BW_GA]])-1)/(Backend!$B$4/100*Table1[[#This Row],[BW40_3705]]),"")</f>
        <v/>
      </c>
      <c r="I6729" s="7" t="str">
        <f>IF(Table1[[#This Row],[Is Data Valid]]=TRUE,((Table1[[#This Row],[Birthweight (grams)]]*1.1/Table1[[#This Row],[BW_GA]])-1)/(Backend!$B$4/100*Table1[[#This Row],[BW40_3705]]),"")</f>
        <v/>
      </c>
      <c r="J6729" s="7" t="str">
        <f>IF(Table1[[#This Row],[Is Data Valid]]=TRUE,_xlfn.NORM.S.DIST(Table1[[#This Row],[Birthweight Z-Score]],TRUE)*100,"")</f>
        <v/>
      </c>
      <c r="K6729" s="7" t="str">
        <f>IF(Table1[[#This Row],[Is Data Valid]]=TRUE,_xlfn.NORM.S.DIST(Table1[[#This Row],[Birthweight Z-Score (BW-10%)]],TRUE)*100,"")</f>
        <v/>
      </c>
      <c r="L6729" s="7" t="str">
        <f>IF(Table1[[#This Row],[Is Data Valid]]=TRUE,_xlfn.NORM.S.DIST(Table1[[#This Row],[Birthweight Z-Score (BW+10%)]],TRUE)*100,"")</f>
        <v/>
      </c>
    </row>
    <row r="6730" spans="1:12" x14ac:dyDescent="0.35">
      <c r="A6730" s="3"/>
      <c r="B6730" s="2"/>
      <c r="C6730" s="2"/>
      <c r="D6730" s="2" t="b">
        <f>IF(AND(NOT(ISBLANK(Table1[[#This Row],[Fetal Sex (Male, Female or Unknown)]])),ISNUMBER(Table1[[#This Row],[Birthweight (grams)]]),ISNUMBER(Table1[[#This Row],[Gestation (days)]])),TRUE,FALSE)</f>
        <v>0</v>
      </c>
      <c r="E6730" s="2" t="str">
        <f>IF(Table1[[#This Row],[Is Data Valid]]=TRUE,IF(Table1[[#This Row],[Fetal Sex (Male, Female or Unknown)]]="Male",Backend!$C$6,IF(Table1[[#This Row],[Fetal Sex (Male, Female or Unknown)]]="Female",Backend!$C$7,IF(Table1[[#This Row],[Fetal Sex (Male, Female or Unknown)]]="Unknown",Backend!$C$8,"Error"))),"")</f>
        <v/>
      </c>
      <c r="F6730" s="8" t="str">
        <f>IF(Table1[[#This Row],[Is Data Valid]]=TRUE,EXP(0.578+0.332*((Table1[[#This Row],[Gestation (days)]]+0.5)/7)-0.00354*((Table1[[#This Row],[Gestation (days)]]+0.5)/7)^2)*Table1[[#This Row],[BW40_3705]],"")</f>
        <v/>
      </c>
      <c r="G6730" s="2" t="str">
        <f>IF(Table1[[#This Row],[Is Data Valid]]=TRUE,((Table1[[#This Row],[Birthweight (grams)]]/Table1[[#This Row],[BW_GA]])-1)/(Backend!$B$4/100*Table1[[#This Row],[BW40_3705]]),"")</f>
        <v/>
      </c>
      <c r="H6730" s="7" t="str">
        <f>IF(Table1[[#This Row],[Is Data Valid]]=TRUE,((Table1[[#This Row],[Birthweight (grams)]]*0.9/Table1[[#This Row],[BW_GA]])-1)/(Backend!$B$4/100*Table1[[#This Row],[BW40_3705]]),"")</f>
        <v/>
      </c>
      <c r="I6730" s="7" t="str">
        <f>IF(Table1[[#This Row],[Is Data Valid]]=TRUE,((Table1[[#This Row],[Birthweight (grams)]]*1.1/Table1[[#This Row],[BW_GA]])-1)/(Backend!$B$4/100*Table1[[#This Row],[BW40_3705]]),"")</f>
        <v/>
      </c>
      <c r="J6730" s="7" t="str">
        <f>IF(Table1[[#This Row],[Is Data Valid]]=TRUE,_xlfn.NORM.S.DIST(Table1[[#This Row],[Birthweight Z-Score]],TRUE)*100,"")</f>
        <v/>
      </c>
      <c r="K6730" s="7" t="str">
        <f>IF(Table1[[#This Row],[Is Data Valid]]=TRUE,_xlfn.NORM.S.DIST(Table1[[#This Row],[Birthweight Z-Score (BW-10%)]],TRUE)*100,"")</f>
        <v/>
      </c>
      <c r="L6730" s="7" t="str">
        <f>IF(Table1[[#This Row],[Is Data Valid]]=TRUE,_xlfn.NORM.S.DIST(Table1[[#This Row],[Birthweight Z-Score (BW+10%)]],TRUE)*100,"")</f>
        <v/>
      </c>
    </row>
    <row r="6731" spans="1:12" x14ac:dyDescent="0.35">
      <c r="A6731" s="3"/>
      <c r="B6731" s="2"/>
      <c r="C6731" s="2"/>
      <c r="D6731" s="2" t="b">
        <f>IF(AND(NOT(ISBLANK(Table1[[#This Row],[Fetal Sex (Male, Female or Unknown)]])),ISNUMBER(Table1[[#This Row],[Birthweight (grams)]]),ISNUMBER(Table1[[#This Row],[Gestation (days)]])),TRUE,FALSE)</f>
        <v>0</v>
      </c>
      <c r="E6731" s="2" t="str">
        <f>IF(Table1[[#This Row],[Is Data Valid]]=TRUE,IF(Table1[[#This Row],[Fetal Sex (Male, Female or Unknown)]]="Male",Backend!$C$6,IF(Table1[[#This Row],[Fetal Sex (Male, Female or Unknown)]]="Female",Backend!$C$7,IF(Table1[[#This Row],[Fetal Sex (Male, Female or Unknown)]]="Unknown",Backend!$C$8,"Error"))),"")</f>
        <v/>
      </c>
      <c r="F6731" s="8" t="str">
        <f>IF(Table1[[#This Row],[Is Data Valid]]=TRUE,EXP(0.578+0.332*((Table1[[#This Row],[Gestation (days)]]+0.5)/7)-0.00354*((Table1[[#This Row],[Gestation (days)]]+0.5)/7)^2)*Table1[[#This Row],[BW40_3705]],"")</f>
        <v/>
      </c>
      <c r="G6731" s="2" t="str">
        <f>IF(Table1[[#This Row],[Is Data Valid]]=TRUE,((Table1[[#This Row],[Birthweight (grams)]]/Table1[[#This Row],[BW_GA]])-1)/(Backend!$B$4/100*Table1[[#This Row],[BW40_3705]]),"")</f>
        <v/>
      </c>
      <c r="H6731" s="7" t="str">
        <f>IF(Table1[[#This Row],[Is Data Valid]]=TRUE,((Table1[[#This Row],[Birthweight (grams)]]*0.9/Table1[[#This Row],[BW_GA]])-1)/(Backend!$B$4/100*Table1[[#This Row],[BW40_3705]]),"")</f>
        <v/>
      </c>
      <c r="I6731" s="7" t="str">
        <f>IF(Table1[[#This Row],[Is Data Valid]]=TRUE,((Table1[[#This Row],[Birthweight (grams)]]*1.1/Table1[[#This Row],[BW_GA]])-1)/(Backend!$B$4/100*Table1[[#This Row],[BW40_3705]]),"")</f>
        <v/>
      </c>
      <c r="J6731" s="7" t="str">
        <f>IF(Table1[[#This Row],[Is Data Valid]]=TRUE,_xlfn.NORM.S.DIST(Table1[[#This Row],[Birthweight Z-Score]],TRUE)*100,"")</f>
        <v/>
      </c>
      <c r="K6731" s="7" t="str">
        <f>IF(Table1[[#This Row],[Is Data Valid]]=TRUE,_xlfn.NORM.S.DIST(Table1[[#This Row],[Birthweight Z-Score (BW-10%)]],TRUE)*100,"")</f>
        <v/>
      </c>
      <c r="L6731" s="7" t="str">
        <f>IF(Table1[[#This Row],[Is Data Valid]]=TRUE,_xlfn.NORM.S.DIST(Table1[[#This Row],[Birthweight Z-Score (BW+10%)]],TRUE)*100,"")</f>
        <v/>
      </c>
    </row>
    <row r="6732" spans="1:12" x14ac:dyDescent="0.35">
      <c r="A6732" s="3"/>
      <c r="B6732" s="2"/>
      <c r="C6732" s="2"/>
      <c r="D6732" s="2" t="b">
        <f>IF(AND(NOT(ISBLANK(Table1[[#This Row],[Fetal Sex (Male, Female or Unknown)]])),ISNUMBER(Table1[[#This Row],[Birthweight (grams)]]),ISNUMBER(Table1[[#This Row],[Gestation (days)]])),TRUE,FALSE)</f>
        <v>0</v>
      </c>
      <c r="E6732" s="2" t="str">
        <f>IF(Table1[[#This Row],[Is Data Valid]]=TRUE,IF(Table1[[#This Row],[Fetal Sex (Male, Female or Unknown)]]="Male",Backend!$C$6,IF(Table1[[#This Row],[Fetal Sex (Male, Female or Unknown)]]="Female",Backend!$C$7,IF(Table1[[#This Row],[Fetal Sex (Male, Female or Unknown)]]="Unknown",Backend!$C$8,"Error"))),"")</f>
        <v/>
      </c>
      <c r="F6732" s="8" t="str">
        <f>IF(Table1[[#This Row],[Is Data Valid]]=TRUE,EXP(0.578+0.332*((Table1[[#This Row],[Gestation (days)]]+0.5)/7)-0.00354*((Table1[[#This Row],[Gestation (days)]]+0.5)/7)^2)*Table1[[#This Row],[BW40_3705]],"")</f>
        <v/>
      </c>
      <c r="G6732" s="2" t="str">
        <f>IF(Table1[[#This Row],[Is Data Valid]]=TRUE,((Table1[[#This Row],[Birthweight (grams)]]/Table1[[#This Row],[BW_GA]])-1)/(Backend!$B$4/100*Table1[[#This Row],[BW40_3705]]),"")</f>
        <v/>
      </c>
      <c r="H6732" s="7" t="str">
        <f>IF(Table1[[#This Row],[Is Data Valid]]=TRUE,((Table1[[#This Row],[Birthweight (grams)]]*0.9/Table1[[#This Row],[BW_GA]])-1)/(Backend!$B$4/100*Table1[[#This Row],[BW40_3705]]),"")</f>
        <v/>
      </c>
      <c r="I6732" s="7" t="str">
        <f>IF(Table1[[#This Row],[Is Data Valid]]=TRUE,((Table1[[#This Row],[Birthweight (grams)]]*1.1/Table1[[#This Row],[BW_GA]])-1)/(Backend!$B$4/100*Table1[[#This Row],[BW40_3705]]),"")</f>
        <v/>
      </c>
      <c r="J6732" s="7" t="str">
        <f>IF(Table1[[#This Row],[Is Data Valid]]=TRUE,_xlfn.NORM.S.DIST(Table1[[#This Row],[Birthweight Z-Score]],TRUE)*100,"")</f>
        <v/>
      </c>
      <c r="K6732" s="7" t="str">
        <f>IF(Table1[[#This Row],[Is Data Valid]]=TRUE,_xlfn.NORM.S.DIST(Table1[[#This Row],[Birthweight Z-Score (BW-10%)]],TRUE)*100,"")</f>
        <v/>
      </c>
      <c r="L6732" s="7" t="str">
        <f>IF(Table1[[#This Row],[Is Data Valid]]=TRUE,_xlfn.NORM.S.DIST(Table1[[#This Row],[Birthweight Z-Score (BW+10%)]],TRUE)*100,"")</f>
        <v/>
      </c>
    </row>
    <row r="6733" spans="1:12" x14ac:dyDescent="0.35">
      <c r="A6733" s="3"/>
      <c r="B6733" s="2"/>
      <c r="C6733" s="2"/>
      <c r="D6733" s="2" t="b">
        <f>IF(AND(NOT(ISBLANK(Table1[[#This Row],[Fetal Sex (Male, Female or Unknown)]])),ISNUMBER(Table1[[#This Row],[Birthweight (grams)]]),ISNUMBER(Table1[[#This Row],[Gestation (days)]])),TRUE,FALSE)</f>
        <v>0</v>
      </c>
      <c r="E6733" s="2" t="str">
        <f>IF(Table1[[#This Row],[Is Data Valid]]=TRUE,IF(Table1[[#This Row],[Fetal Sex (Male, Female or Unknown)]]="Male",Backend!$C$6,IF(Table1[[#This Row],[Fetal Sex (Male, Female or Unknown)]]="Female",Backend!$C$7,IF(Table1[[#This Row],[Fetal Sex (Male, Female or Unknown)]]="Unknown",Backend!$C$8,"Error"))),"")</f>
        <v/>
      </c>
      <c r="F6733" s="8" t="str">
        <f>IF(Table1[[#This Row],[Is Data Valid]]=TRUE,EXP(0.578+0.332*((Table1[[#This Row],[Gestation (days)]]+0.5)/7)-0.00354*((Table1[[#This Row],[Gestation (days)]]+0.5)/7)^2)*Table1[[#This Row],[BW40_3705]],"")</f>
        <v/>
      </c>
      <c r="G6733" s="2" t="str">
        <f>IF(Table1[[#This Row],[Is Data Valid]]=TRUE,((Table1[[#This Row],[Birthweight (grams)]]/Table1[[#This Row],[BW_GA]])-1)/(Backend!$B$4/100*Table1[[#This Row],[BW40_3705]]),"")</f>
        <v/>
      </c>
      <c r="H6733" s="7" t="str">
        <f>IF(Table1[[#This Row],[Is Data Valid]]=TRUE,((Table1[[#This Row],[Birthweight (grams)]]*0.9/Table1[[#This Row],[BW_GA]])-1)/(Backend!$B$4/100*Table1[[#This Row],[BW40_3705]]),"")</f>
        <v/>
      </c>
      <c r="I6733" s="7" t="str">
        <f>IF(Table1[[#This Row],[Is Data Valid]]=TRUE,((Table1[[#This Row],[Birthweight (grams)]]*1.1/Table1[[#This Row],[BW_GA]])-1)/(Backend!$B$4/100*Table1[[#This Row],[BW40_3705]]),"")</f>
        <v/>
      </c>
      <c r="J6733" s="7" t="str">
        <f>IF(Table1[[#This Row],[Is Data Valid]]=TRUE,_xlfn.NORM.S.DIST(Table1[[#This Row],[Birthweight Z-Score]],TRUE)*100,"")</f>
        <v/>
      </c>
      <c r="K6733" s="7" t="str">
        <f>IF(Table1[[#This Row],[Is Data Valid]]=TRUE,_xlfn.NORM.S.DIST(Table1[[#This Row],[Birthweight Z-Score (BW-10%)]],TRUE)*100,"")</f>
        <v/>
      </c>
      <c r="L6733" s="7" t="str">
        <f>IF(Table1[[#This Row],[Is Data Valid]]=TRUE,_xlfn.NORM.S.DIST(Table1[[#This Row],[Birthweight Z-Score (BW+10%)]],TRUE)*100,"")</f>
        <v/>
      </c>
    </row>
    <row r="6734" spans="1:12" x14ac:dyDescent="0.35">
      <c r="A6734" s="3"/>
      <c r="B6734" s="2"/>
      <c r="C6734" s="2"/>
      <c r="D6734" s="2" t="b">
        <f>IF(AND(NOT(ISBLANK(Table1[[#This Row],[Fetal Sex (Male, Female or Unknown)]])),ISNUMBER(Table1[[#This Row],[Birthweight (grams)]]),ISNUMBER(Table1[[#This Row],[Gestation (days)]])),TRUE,FALSE)</f>
        <v>0</v>
      </c>
      <c r="E6734" s="2" t="str">
        <f>IF(Table1[[#This Row],[Is Data Valid]]=TRUE,IF(Table1[[#This Row],[Fetal Sex (Male, Female or Unknown)]]="Male",Backend!$C$6,IF(Table1[[#This Row],[Fetal Sex (Male, Female or Unknown)]]="Female",Backend!$C$7,IF(Table1[[#This Row],[Fetal Sex (Male, Female or Unknown)]]="Unknown",Backend!$C$8,"Error"))),"")</f>
        <v/>
      </c>
      <c r="F6734" s="8" t="str">
        <f>IF(Table1[[#This Row],[Is Data Valid]]=TRUE,EXP(0.578+0.332*((Table1[[#This Row],[Gestation (days)]]+0.5)/7)-0.00354*((Table1[[#This Row],[Gestation (days)]]+0.5)/7)^2)*Table1[[#This Row],[BW40_3705]],"")</f>
        <v/>
      </c>
      <c r="G6734" s="2" t="str">
        <f>IF(Table1[[#This Row],[Is Data Valid]]=TRUE,((Table1[[#This Row],[Birthweight (grams)]]/Table1[[#This Row],[BW_GA]])-1)/(Backend!$B$4/100*Table1[[#This Row],[BW40_3705]]),"")</f>
        <v/>
      </c>
      <c r="H6734" s="7" t="str">
        <f>IF(Table1[[#This Row],[Is Data Valid]]=TRUE,((Table1[[#This Row],[Birthweight (grams)]]*0.9/Table1[[#This Row],[BW_GA]])-1)/(Backend!$B$4/100*Table1[[#This Row],[BW40_3705]]),"")</f>
        <v/>
      </c>
      <c r="I6734" s="7" t="str">
        <f>IF(Table1[[#This Row],[Is Data Valid]]=TRUE,((Table1[[#This Row],[Birthweight (grams)]]*1.1/Table1[[#This Row],[BW_GA]])-1)/(Backend!$B$4/100*Table1[[#This Row],[BW40_3705]]),"")</f>
        <v/>
      </c>
      <c r="J6734" s="7" t="str">
        <f>IF(Table1[[#This Row],[Is Data Valid]]=TRUE,_xlfn.NORM.S.DIST(Table1[[#This Row],[Birthweight Z-Score]],TRUE)*100,"")</f>
        <v/>
      </c>
      <c r="K6734" s="7" t="str">
        <f>IF(Table1[[#This Row],[Is Data Valid]]=TRUE,_xlfn.NORM.S.DIST(Table1[[#This Row],[Birthweight Z-Score (BW-10%)]],TRUE)*100,"")</f>
        <v/>
      </c>
      <c r="L6734" s="7" t="str">
        <f>IF(Table1[[#This Row],[Is Data Valid]]=TRUE,_xlfn.NORM.S.DIST(Table1[[#This Row],[Birthweight Z-Score (BW+10%)]],TRUE)*100,"")</f>
        <v/>
      </c>
    </row>
    <row r="6735" spans="1:12" x14ac:dyDescent="0.35">
      <c r="A6735" s="3"/>
      <c r="B6735" s="2"/>
      <c r="C6735" s="2"/>
      <c r="D6735" s="2" t="b">
        <f>IF(AND(NOT(ISBLANK(Table1[[#This Row],[Fetal Sex (Male, Female or Unknown)]])),ISNUMBER(Table1[[#This Row],[Birthweight (grams)]]),ISNUMBER(Table1[[#This Row],[Gestation (days)]])),TRUE,FALSE)</f>
        <v>0</v>
      </c>
      <c r="E6735" s="2" t="str">
        <f>IF(Table1[[#This Row],[Is Data Valid]]=TRUE,IF(Table1[[#This Row],[Fetal Sex (Male, Female or Unknown)]]="Male",Backend!$C$6,IF(Table1[[#This Row],[Fetal Sex (Male, Female or Unknown)]]="Female",Backend!$C$7,IF(Table1[[#This Row],[Fetal Sex (Male, Female or Unknown)]]="Unknown",Backend!$C$8,"Error"))),"")</f>
        <v/>
      </c>
      <c r="F6735" s="8" t="str">
        <f>IF(Table1[[#This Row],[Is Data Valid]]=TRUE,EXP(0.578+0.332*((Table1[[#This Row],[Gestation (days)]]+0.5)/7)-0.00354*((Table1[[#This Row],[Gestation (days)]]+0.5)/7)^2)*Table1[[#This Row],[BW40_3705]],"")</f>
        <v/>
      </c>
      <c r="G6735" s="2" t="str">
        <f>IF(Table1[[#This Row],[Is Data Valid]]=TRUE,((Table1[[#This Row],[Birthweight (grams)]]/Table1[[#This Row],[BW_GA]])-1)/(Backend!$B$4/100*Table1[[#This Row],[BW40_3705]]),"")</f>
        <v/>
      </c>
      <c r="H6735" s="7" t="str">
        <f>IF(Table1[[#This Row],[Is Data Valid]]=TRUE,((Table1[[#This Row],[Birthweight (grams)]]*0.9/Table1[[#This Row],[BW_GA]])-1)/(Backend!$B$4/100*Table1[[#This Row],[BW40_3705]]),"")</f>
        <v/>
      </c>
      <c r="I6735" s="7" t="str">
        <f>IF(Table1[[#This Row],[Is Data Valid]]=TRUE,((Table1[[#This Row],[Birthweight (grams)]]*1.1/Table1[[#This Row],[BW_GA]])-1)/(Backend!$B$4/100*Table1[[#This Row],[BW40_3705]]),"")</f>
        <v/>
      </c>
      <c r="J6735" s="7" t="str">
        <f>IF(Table1[[#This Row],[Is Data Valid]]=TRUE,_xlfn.NORM.S.DIST(Table1[[#This Row],[Birthweight Z-Score]],TRUE)*100,"")</f>
        <v/>
      </c>
      <c r="K6735" s="7" t="str">
        <f>IF(Table1[[#This Row],[Is Data Valid]]=TRUE,_xlfn.NORM.S.DIST(Table1[[#This Row],[Birthweight Z-Score (BW-10%)]],TRUE)*100,"")</f>
        <v/>
      </c>
      <c r="L6735" s="7" t="str">
        <f>IF(Table1[[#This Row],[Is Data Valid]]=TRUE,_xlfn.NORM.S.DIST(Table1[[#This Row],[Birthweight Z-Score (BW+10%)]],TRUE)*100,"")</f>
        <v/>
      </c>
    </row>
    <row r="6736" spans="1:12" x14ac:dyDescent="0.35">
      <c r="A6736" s="3"/>
      <c r="B6736" s="2"/>
      <c r="C6736" s="2"/>
      <c r="D6736" s="2" t="b">
        <f>IF(AND(NOT(ISBLANK(Table1[[#This Row],[Fetal Sex (Male, Female or Unknown)]])),ISNUMBER(Table1[[#This Row],[Birthweight (grams)]]),ISNUMBER(Table1[[#This Row],[Gestation (days)]])),TRUE,FALSE)</f>
        <v>0</v>
      </c>
      <c r="E6736" s="2" t="str">
        <f>IF(Table1[[#This Row],[Is Data Valid]]=TRUE,IF(Table1[[#This Row],[Fetal Sex (Male, Female or Unknown)]]="Male",Backend!$C$6,IF(Table1[[#This Row],[Fetal Sex (Male, Female or Unknown)]]="Female",Backend!$C$7,IF(Table1[[#This Row],[Fetal Sex (Male, Female or Unknown)]]="Unknown",Backend!$C$8,"Error"))),"")</f>
        <v/>
      </c>
      <c r="F6736" s="8" t="str">
        <f>IF(Table1[[#This Row],[Is Data Valid]]=TRUE,EXP(0.578+0.332*((Table1[[#This Row],[Gestation (days)]]+0.5)/7)-0.00354*((Table1[[#This Row],[Gestation (days)]]+0.5)/7)^2)*Table1[[#This Row],[BW40_3705]],"")</f>
        <v/>
      </c>
      <c r="G6736" s="2" t="str">
        <f>IF(Table1[[#This Row],[Is Data Valid]]=TRUE,((Table1[[#This Row],[Birthweight (grams)]]/Table1[[#This Row],[BW_GA]])-1)/(Backend!$B$4/100*Table1[[#This Row],[BW40_3705]]),"")</f>
        <v/>
      </c>
      <c r="H6736" s="7" t="str">
        <f>IF(Table1[[#This Row],[Is Data Valid]]=TRUE,((Table1[[#This Row],[Birthweight (grams)]]*0.9/Table1[[#This Row],[BW_GA]])-1)/(Backend!$B$4/100*Table1[[#This Row],[BW40_3705]]),"")</f>
        <v/>
      </c>
      <c r="I6736" s="7" t="str">
        <f>IF(Table1[[#This Row],[Is Data Valid]]=TRUE,((Table1[[#This Row],[Birthweight (grams)]]*1.1/Table1[[#This Row],[BW_GA]])-1)/(Backend!$B$4/100*Table1[[#This Row],[BW40_3705]]),"")</f>
        <v/>
      </c>
      <c r="J6736" s="7" t="str">
        <f>IF(Table1[[#This Row],[Is Data Valid]]=TRUE,_xlfn.NORM.S.DIST(Table1[[#This Row],[Birthweight Z-Score]],TRUE)*100,"")</f>
        <v/>
      </c>
      <c r="K6736" s="7" t="str">
        <f>IF(Table1[[#This Row],[Is Data Valid]]=TRUE,_xlfn.NORM.S.DIST(Table1[[#This Row],[Birthweight Z-Score (BW-10%)]],TRUE)*100,"")</f>
        <v/>
      </c>
      <c r="L6736" s="7" t="str">
        <f>IF(Table1[[#This Row],[Is Data Valid]]=TRUE,_xlfn.NORM.S.DIST(Table1[[#This Row],[Birthweight Z-Score (BW+10%)]],TRUE)*100,"")</f>
        <v/>
      </c>
    </row>
    <row r="6737" spans="1:12" x14ac:dyDescent="0.35">
      <c r="A6737" s="3"/>
      <c r="B6737" s="2"/>
      <c r="C6737" s="2"/>
      <c r="D6737" s="2" t="b">
        <f>IF(AND(NOT(ISBLANK(Table1[[#This Row],[Fetal Sex (Male, Female or Unknown)]])),ISNUMBER(Table1[[#This Row],[Birthweight (grams)]]),ISNUMBER(Table1[[#This Row],[Gestation (days)]])),TRUE,FALSE)</f>
        <v>0</v>
      </c>
      <c r="E6737" s="2" t="str">
        <f>IF(Table1[[#This Row],[Is Data Valid]]=TRUE,IF(Table1[[#This Row],[Fetal Sex (Male, Female or Unknown)]]="Male",Backend!$C$6,IF(Table1[[#This Row],[Fetal Sex (Male, Female or Unknown)]]="Female",Backend!$C$7,IF(Table1[[#This Row],[Fetal Sex (Male, Female or Unknown)]]="Unknown",Backend!$C$8,"Error"))),"")</f>
        <v/>
      </c>
      <c r="F6737" s="8" t="str">
        <f>IF(Table1[[#This Row],[Is Data Valid]]=TRUE,EXP(0.578+0.332*((Table1[[#This Row],[Gestation (days)]]+0.5)/7)-0.00354*((Table1[[#This Row],[Gestation (days)]]+0.5)/7)^2)*Table1[[#This Row],[BW40_3705]],"")</f>
        <v/>
      </c>
      <c r="G6737" s="2" t="str">
        <f>IF(Table1[[#This Row],[Is Data Valid]]=TRUE,((Table1[[#This Row],[Birthweight (grams)]]/Table1[[#This Row],[BW_GA]])-1)/(Backend!$B$4/100*Table1[[#This Row],[BW40_3705]]),"")</f>
        <v/>
      </c>
      <c r="H6737" s="7" t="str">
        <f>IF(Table1[[#This Row],[Is Data Valid]]=TRUE,((Table1[[#This Row],[Birthweight (grams)]]*0.9/Table1[[#This Row],[BW_GA]])-1)/(Backend!$B$4/100*Table1[[#This Row],[BW40_3705]]),"")</f>
        <v/>
      </c>
      <c r="I6737" s="7" t="str">
        <f>IF(Table1[[#This Row],[Is Data Valid]]=TRUE,((Table1[[#This Row],[Birthweight (grams)]]*1.1/Table1[[#This Row],[BW_GA]])-1)/(Backend!$B$4/100*Table1[[#This Row],[BW40_3705]]),"")</f>
        <v/>
      </c>
      <c r="J6737" s="7" t="str">
        <f>IF(Table1[[#This Row],[Is Data Valid]]=TRUE,_xlfn.NORM.S.DIST(Table1[[#This Row],[Birthweight Z-Score]],TRUE)*100,"")</f>
        <v/>
      </c>
      <c r="K6737" s="7" t="str">
        <f>IF(Table1[[#This Row],[Is Data Valid]]=TRUE,_xlfn.NORM.S.DIST(Table1[[#This Row],[Birthweight Z-Score (BW-10%)]],TRUE)*100,"")</f>
        <v/>
      </c>
      <c r="L6737" s="7" t="str">
        <f>IF(Table1[[#This Row],[Is Data Valid]]=TRUE,_xlfn.NORM.S.DIST(Table1[[#This Row],[Birthweight Z-Score (BW+10%)]],TRUE)*100,"")</f>
        <v/>
      </c>
    </row>
    <row r="6738" spans="1:12" x14ac:dyDescent="0.35">
      <c r="A6738" s="3"/>
      <c r="B6738" s="2"/>
      <c r="C6738" s="2"/>
      <c r="D6738" s="2" t="b">
        <f>IF(AND(NOT(ISBLANK(Table1[[#This Row],[Fetal Sex (Male, Female or Unknown)]])),ISNUMBER(Table1[[#This Row],[Birthweight (grams)]]),ISNUMBER(Table1[[#This Row],[Gestation (days)]])),TRUE,FALSE)</f>
        <v>0</v>
      </c>
      <c r="E6738" s="2" t="str">
        <f>IF(Table1[[#This Row],[Is Data Valid]]=TRUE,IF(Table1[[#This Row],[Fetal Sex (Male, Female or Unknown)]]="Male",Backend!$C$6,IF(Table1[[#This Row],[Fetal Sex (Male, Female or Unknown)]]="Female",Backend!$C$7,IF(Table1[[#This Row],[Fetal Sex (Male, Female or Unknown)]]="Unknown",Backend!$C$8,"Error"))),"")</f>
        <v/>
      </c>
      <c r="F6738" s="8" t="str">
        <f>IF(Table1[[#This Row],[Is Data Valid]]=TRUE,EXP(0.578+0.332*((Table1[[#This Row],[Gestation (days)]]+0.5)/7)-0.00354*((Table1[[#This Row],[Gestation (days)]]+0.5)/7)^2)*Table1[[#This Row],[BW40_3705]],"")</f>
        <v/>
      </c>
      <c r="G6738" s="2" t="str">
        <f>IF(Table1[[#This Row],[Is Data Valid]]=TRUE,((Table1[[#This Row],[Birthweight (grams)]]/Table1[[#This Row],[BW_GA]])-1)/(Backend!$B$4/100*Table1[[#This Row],[BW40_3705]]),"")</f>
        <v/>
      </c>
      <c r="H6738" s="7" t="str">
        <f>IF(Table1[[#This Row],[Is Data Valid]]=TRUE,((Table1[[#This Row],[Birthweight (grams)]]*0.9/Table1[[#This Row],[BW_GA]])-1)/(Backend!$B$4/100*Table1[[#This Row],[BW40_3705]]),"")</f>
        <v/>
      </c>
      <c r="I6738" s="7" t="str">
        <f>IF(Table1[[#This Row],[Is Data Valid]]=TRUE,((Table1[[#This Row],[Birthweight (grams)]]*1.1/Table1[[#This Row],[BW_GA]])-1)/(Backend!$B$4/100*Table1[[#This Row],[BW40_3705]]),"")</f>
        <v/>
      </c>
      <c r="J6738" s="7" t="str">
        <f>IF(Table1[[#This Row],[Is Data Valid]]=TRUE,_xlfn.NORM.S.DIST(Table1[[#This Row],[Birthweight Z-Score]],TRUE)*100,"")</f>
        <v/>
      </c>
      <c r="K6738" s="7" t="str">
        <f>IF(Table1[[#This Row],[Is Data Valid]]=TRUE,_xlfn.NORM.S.DIST(Table1[[#This Row],[Birthweight Z-Score (BW-10%)]],TRUE)*100,"")</f>
        <v/>
      </c>
      <c r="L6738" s="7" t="str">
        <f>IF(Table1[[#This Row],[Is Data Valid]]=TRUE,_xlfn.NORM.S.DIST(Table1[[#This Row],[Birthweight Z-Score (BW+10%)]],TRUE)*100,"")</f>
        <v/>
      </c>
    </row>
    <row r="6739" spans="1:12" x14ac:dyDescent="0.35">
      <c r="A6739" s="3"/>
      <c r="B6739" s="2"/>
      <c r="C6739" s="2"/>
      <c r="D6739" s="2" t="b">
        <f>IF(AND(NOT(ISBLANK(Table1[[#This Row],[Fetal Sex (Male, Female or Unknown)]])),ISNUMBER(Table1[[#This Row],[Birthweight (grams)]]),ISNUMBER(Table1[[#This Row],[Gestation (days)]])),TRUE,FALSE)</f>
        <v>0</v>
      </c>
      <c r="E6739" s="2" t="str">
        <f>IF(Table1[[#This Row],[Is Data Valid]]=TRUE,IF(Table1[[#This Row],[Fetal Sex (Male, Female or Unknown)]]="Male",Backend!$C$6,IF(Table1[[#This Row],[Fetal Sex (Male, Female or Unknown)]]="Female",Backend!$C$7,IF(Table1[[#This Row],[Fetal Sex (Male, Female or Unknown)]]="Unknown",Backend!$C$8,"Error"))),"")</f>
        <v/>
      </c>
      <c r="F6739" s="8" t="str">
        <f>IF(Table1[[#This Row],[Is Data Valid]]=TRUE,EXP(0.578+0.332*((Table1[[#This Row],[Gestation (days)]]+0.5)/7)-0.00354*((Table1[[#This Row],[Gestation (days)]]+0.5)/7)^2)*Table1[[#This Row],[BW40_3705]],"")</f>
        <v/>
      </c>
      <c r="G6739" s="2" t="str">
        <f>IF(Table1[[#This Row],[Is Data Valid]]=TRUE,((Table1[[#This Row],[Birthweight (grams)]]/Table1[[#This Row],[BW_GA]])-1)/(Backend!$B$4/100*Table1[[#This Row],[BW40_3705]]),"")</f>
        <v/>
      </c>
      <c r="H6739" s="7" t="str">
        <f>IF(Table1[[#This Row],[Is Data Valid]]=TRUE,((Table1[[#This Row],[Birthweight (grams)]]*0.9/Table1[[#This Row],[BW_GA]])-1)/(Backend!$B$4/100*Table1[[#This Row],[BW40_3705]]),"")</f>
        <v/>
      </c>
      <c r="I6739" s="7" t="str">
        <f>IF(Table1[[#This Row],[Is Data Valid]]=TRUE,((Table1[[#This Row],[Birthweight (grams)]]*1.1/Table1[[#This Row],[BW_GA]])-1)/(Backend!$B$4/100*Table1[[#This Row],[BW40_3705]]),"")</f>
        <v/>
      </c>
      <c r="J6739" s="7" t="str">
        <f>IF(Table1[[#This Row],[Is Data Valid]]=TRUE,_xlfn.NORM.S.DIST(Table1[[#This Row],[Birthweight Z-Score]],TRUE)*100,"")</f>
        <v/>
      </c>
      <c r="K6739" s="7" t="str">
        <f>IF(Table1[[#This Row],[Is Data Valid]]=TRUE,_xlfn.NORM.S.DIST(Table1[[#This Row],[Birthweight Z-Score (BW-10%)]],TRUE)*100,"")</f>
        <v/>
      </c>
      <c r="L6739" s="7" t="str">
        <f>IF(Table1[[#This Row],[Is Data Valid]]=TRUE,_xlfn.NORM.S.DIST(Table1[[#This Row],[Birthweight Z-Score (BW+10%)]],TRUE)*100,"")</f>
        <v/>
      </c>
    </row>
    <row r="6740" spans="1:12" x14ac:dyDescent="0.35">
      <c r="A6740" s="3"/>
      <c r="B6740" s="2"/>
      <c r="C6740" s="2"/>
      <c r="D6740" s="2" t="b">
        <f>IF(AND(NOT(ISBLANK(Table1[[#This Row],[Fetal Sex (Male, Female or Unknown)]])),ISNUMBER(Table1[[#This Row],[Birthweight (grams)]]),ISNUMBER(Table1[[#This Row],[Gestation (days)]])),TRUE,FALSE)</f>
        <v>0</v>
      </c>
      <c r="E6740" s="2" t="str">
        <f>IF(Table1[[#This Row],[Is Data Valid]]=TRUE,IF(Table1[[#This Row],[Fetal Sex (Male, Female or Unknown)]]="Male",Backend!$C$6,IF(Table1[[#This Row],[Fetal Sex (Male, Female or Unknown)]]="Female",Backend!$C$7,IF(Table1[[#This Row],[Fetal Sex (Male, Female or Unknown)]]="Unknown",Backend!$C$8,"Error"))),"")</f>
        <v/>
      </c>
      <c r="F6740" s="8" t="str">
        <f>IF(Table1[[#This Row],[Is Data Valid]]=TRUE,EXP(0.578+0.332*((Table1[[#This Row],[Gestation (days)]]+0.5)/7)-0.00354*((Table1[[#This Row],[Gestation (days)]]+0.5)/7)^2)*Table1[[#This Row],[BW40_3705]],"")</f>
        <v/>
      </c>
      <c r="G6740" s="2" t="str">
        <f>IF(Table1[[#This Row],[Is Data Valid]]=TRUE,((Table1[[#This Row],[Birthweight (grams)]]/Table1[[#This Row],[BW_GA]])-1)/(Backend!$B$4/100*Table1[[#This Row],[BW40_3705]]),"")</f>
        <v/>
      </c>
      <c r="H6740" s="7" t="str">
        <f>IF(Table1[[#This Row],[Is Data Valid]]=TRUE,((Table1[[#This Row],[Birthweight (grams)]]*0.9/Table1[[#This Row],[BW_GA]])-1)/(Backend!$B$4/100*Table1[[#This Row],[BW40_3705]]),"")</f>
        <v/>
      </c>
      <c r="I6740" s="7" t="str">
        <f>IF(Table1[[#This Row],[Is Data Valid]]=TRUE,((Table1[[#This Row],[Birthweight (grams)]]*1.1/Table1[[#This Row],[BW_GA]])-1)/(Backend!$B$4/100*Table1[[#This Row],[BW40_3705]]),"")</f>
        <v/>
      </c>
      <c r="J6740" s="7" t="str">
        <f>IF(Table1[[#This Row],[Is Data Valid]]=TRUE,_xlfn.NORM.S.DIST(Table1[[#This Row],[Birthweight Z-Score]],TRUE)*100,"")</f>
        <v/>
      </c>
      <c r="K6740" s="7" t="str">
        <f>IF(Table1[[#This Row],[Is Data Valid]]=TRUE,_xlfn.NORM.S.DIST(Table1[[#This Row],[Birthweight Z-Score (BW-10%)]],TRUE)*100,"")</f>
        <v/>
      </c>
      <c r="L6740" s="7" t="str">
        <f>IF(Table1[[#This Row],[Is Data Valid]]=TRUE,_xlfn.NORM.S.DIST(Table1[[#This Row],[Birthweight Z-Score (BW+10%)]],TRUE)*100,"")</f>
        <v/>
      </c>
    </row>
    <row r="6741" spans="1:12" x14ac:dyDescent="0.35">
      <c r="A6741" s="3"/>
      <c r="B6741" s="2"/>
      <c r="C6741" s="2"/>
      <c r="D6741" s="2" t="b">
        <f>IF(AND(NOT(ISBLANK(Table1[[#This Row],[Fetal Sex (Male, Female or Unknown)]])),ISNUMBER(Table1[[#This Row],[Birthweight (grams)]]),ISNUMBER(Table1[[#This Row],[Gestation (days)]])),TRUE,FALSE)</f>
        <v>0</v>
      </c>
      <c r="E6741" s="2" t="str">
        <f>IF(Table1[[#This Row],[Is Data Valid]]=TRUE,IF(Table1[[#This Row],[Fetal Sex (Male, Female or Unknown)]]="Male",Backend!$C$6,IF(Table1[[#This Row],[Fetal Sex (Male, Female or Unknown)]]="Female",Backend!$C$7,IF(Table1[[#This Row],[Fetal Sex (Male, Female or Unknown)]]="Unknown",Backend!$C$8,"Error"))),"")</f>
        <v/>
      </c>
      <c r="F6741" s="8" t="str">
        <f>IF(Table1[[#This Row],[Is Data Valid]]=TRUE,EXP(0.578+0.332*((Table1[[#This Row],[Gestation (days)]]+0.5)/7)-0.00354*((Table1[[#This Row],[Gestation (days)]]+0.5)/7)^2)*Table1[[#This Row],[BW40_3705]],"")</f>
        <v/>
      </c>
      <c r="G6741" s="2" t="str">
        <f>IF(Table1[[#This Row],[Is Data Valid]]=TRUE,((Table1[[#This Row],[Birthweight (grams)]]/Table1[[#This Row],[BW_GA]])-1)/(Backend!$B$4/100*Table1[[#This Row],[BW40_3705]]),"")</f>
        <v/>
      </c>
      <c r="H6741" s="7" t="str">
        <f>IF(Table1[[#This Row],[Is Data Valid]]=TRUE,((Table1[[#This Row],[Birthweight (grams)]]*0.9/Table1[[#This Row],[BW_GA]])-1)/(Backend!$B$4/100*Table1[[#This Row],[BW40_3705]]),"")</f>
        <v/>
      </c>
      <c r="I6741" s="7" t="str">
        <f>IF(Table1[[#This Row],[Is Data Valid]]=TRUE,((Table1[[#This Row],[Birthweight (grams)]]*1.1/Table1[[#This Row],[BW_GA]])-1)/(Backend!$B$4/100*Table1[[#This Row],[BW40_3705]]),"")</f>
        <v/>
      </c>
      <c r="J6741" s="7" t="str">
        <f>IF(Table1[[#This Row],[Is Data Valid]]=TRUE,_xlfn.NORM.S.DIST(Table1[[#This Row],[Birthweight Z-Score]],TRUE)*100,"")</f>
        <v/>
      </c>
      <c r="K6741" s="7" t="str">
        <f>IF(Table1[[#This Row],[Is Data Valid]]=TRUE,_xlfn.NORM.S.DIST(Table1[[#This Row],[Birthweight Z-Score (BW-10%)]],TRUE)*100,"")</f>
        <v/>
      </c>
      <c r="L6741" s="7" t="str">
        <f>IF(Table1[[#This Row],[Is Data Valid]]=TRUE,_xlfn.NORM.S.DIST(Table1[[#This Row],[Birthweight Z-Score (BW+10%)]],TRUE)*100,"")</f>
        <v/>
      </c>
    </row>
    <row r="6742" spans="1:12" x14ac:dyDescent="0.35">
      <c r="A6742" s="3"/>
      <c r="B6742" s="2"/>
      <c r="C6742" s="2"/>
      <c r="D6742" s="2" t="b">
        <f>IF(AND(NOT(ISBLANK(Table1[[#This Row],[Fetal Sex (Male, Female or Unknown)]])),ISNUMBER(Table1[[#This Row],[Birthweight (grams)]]),ISNUMBER(Table1[[#This Row],[Gestation (days)]])),TRUE,FALSE)</f>
        <v>0</v>
      </c>
      <c r="E6742" s="2" t="str">
        <f>IF(Table1[[#This Row],[Is Data Valid]]=TRUE,IF(Table1[[#This Row],[Fetal Sex (Male, Female or Unknown)]]="Male",Backend!$C$6,IF(Table1[[#This Row],[Fetal Sex (Male, Female or Unknown)]]="Female",Backend!$C$7,IF(Table1[[#This Row],[Fetal Sex (Male, Female or Unknown)]]="Unknown",Backend!$C$8,"Error"))),"")</f>
        <v/>
      </c>
      <c r="F6742" s="8" t="str">
        <f>IF(Table1[[#This Row],[Is Data Valid]]=TRUE,EXP(0.578+0.332*((Table1[[#This Row],[Gestation (days)]]+0.5)/7)-0.00354*((Table1[[#This Row],[Gestation (days)]]+0.5)/7)^2)*Table1[[#This Row],[BW40_3705]],"")</f>
        <v/>
      </c>
      <c r="G6742" s="2" t="str">
        <f>IF(Table1[[#This Row],[Is Data Valid]]=TRUE,((Table1[[#This Row],[Birthweight (grams)]]/Table1[[#This Row],[BW_GA]])-1)/(Backend!$B$4/100*Table1[[#This Row],[BW40_3705]]),"")</f>
        <v/>
      </c>
      <c r="H6742" s="7" t="str">
        <f>IF(Table1[[#This Row],[Is Data Valid]]=TRUE,((Table1[[#This Row],[Birthweight (grams)]]*0.9/Table1[[#This Row],[BW_GA]])-1)/(Backend!$B$4/100*Table1[[#This Row],[BW40_3705]]),"")</f>
        <v/>
      </c>
      <c r="I6742" s="7" t="str">
        <f>IF(Table1[[#This Row],[Is Data Valid]]=TRUE,((Table1[[#This Row],[Birthweight (grams)]]*1.1/Table1[[#This Row],[BW_GA]])-1)/(Backend!$B$4/100*Table1[[#This Row],[BW40_3705]]),"")</f>
        <v/>
      </c>
      <c r="J6742" s="7" t="str">
        <f>IF(Table1[[#This Row],[Is Data Valid]]=TRUE,_xlfn.NORM.S.DIST(Table1[[#This Row],[Birthweight Z-Score]],TRUE)*100,"")</f>
        <v/>
      </c>
      <c r="K6742" s="7" t="str">
        <f>IF(Table1[[#This Row],[Is Data Valid]]=TRUE,_xlfn.NORM.S.DIST(Table1[[#This Row],[Birthweight Z-Score (BW-10%)]],TRUE)*100,"")</f>
        <v/>
      </c>
      <c r="L6742" s="7" t="str">
        <f>IF(Table1[[#This Row],[Is Data Valid]]=TRUE,_xlfn.NORM.S.DIST(Table1[[#This Row],[Birthweight Z-Score (BW+10%)]],TRUE)*100,"")</f>
        <v/>
      </c>
    </row>
    <row r="6743" spans="1:12" x14ac:dyDescent="0.35">
      <c r="A6743" s="3"/>
      <c r="B6743" s="2"/>
      <c r="C6743" s="2"/>
      <c r="D6743" s="2" t="b">
        <f>IF(AND(NOT(ISBLANK(Table1[[#This Row],[Fetal Sex (Male, Female or Unknown)]])),ISNUMBER(Table1[[#This Row],[Birthweight (grams)]]),ISNUMBER(Table1[[#This Row],[Gestation (days)]])),TRUE,FALSE)</f>
        <v>0</v>
      </c>
      <c r="E6743" s="2" t="str">
        <f>IF(Table1[[#This Row],[Is Data Valid]]=TRUE,IF(Table1[[#This Row],[Fetal Sex (Male, Female or Unknown)]]="Male",Backend!$C$6,IF(Table1[[#This Row],[Fetal Sex (Male, Female or Unknown)]]="Female",Backend!$C$7,IF(Table1[[#This Row],[Fetal Sex (Male, Female or Unknown)]]="Unknown",Backend!$C$8,"Error"))),"")</f>
        <v/>
      </c>
      <c r="F6743" s="8" t="str">
        <f>IF(Table1[[#This Row],[Is Data Valid]]=TRUE,EXP(0.578+0.332*((Table1[[#This Row],[Gestation (days)]]+0.5)/7)-0.00354*((Table1[[#This Row],[Gestation (days)]]+0.5)/7)^2)*Table1[[#This Row],[BW40_3705]],"")</f>
        <v/>
      </c>
      <c r="G6743" s="2" t="str">
        <f>IF(Table1[[#This Row],[Is Data Valid]]=TRUE,((Table1[[#This Row],[Birthweight (grams)]]/Table1[[#This Row],[BW_GA]])-1)/(Backend!$B$4/100*Table1[[#This Row],[BW40_3705]]),"")</f>
        <v/>
      </c>
      <c r="H6743" s="7" t="str">
        <f>IF(Table1[[#This Row],[Is Data Valid]]=TRUE,((Table1[[#This Row],[Birthweight (grams)]]*0.9/Table1[[#This Row],[BW_GA]])-1)/(Backend!$B$4/100*Table1[[#This Row],[BW40_3705]]),"")</f>
        <v/>
      </c>
      <c r="I6743" s="7" t="str">
        <f>IF(Table1[[#This Row],[Is Data Valid]]=TRUE,((Table1[[#This Row],[Birthweight (grams)]]*1.1/Table1[[#This Row],[BW_GA]])-1)/(Backend!$B$4/100*Table1[[#This Row],[BW40_3705]]),"")</f>
        <v/>
      </c>
      <c r="J6743" s="7" t="str">
        <f>IF(Table1[[#This Row],[Is Data Valid]]=TRUE,_xlfn.NORM.S.DIST(Table1[[#This Row],[Birthweight Z-Score]],TRUE)*100,"")</f>
        <v/>
      </c>
      <c r="K6743" s="7" t="str">
        <f>IF(Table1[[#This Row],[Is Data Valid]]=TRUE,_xlfn.NORM.S.DIST(Table1[[#This Row],[Birthweight Z-Score (BW-10%)]],TRUE)*100,"")</f>
        <v/>
      </c>
      <c r="L6743" s="7" t="str">
        <f>IF(Table1[[#This Row],[Is Data Valid]]=TRUE,_xlfn.NORM.S.DIST(Table1[[#This Row],[Birthweight Z-Score (BW+10%)]],TRUE)*100,"")</f>
        <v/>
      </c>
    </row>
    <row r="6744" spans="1:12" x14ac:dyDescent="0.35">
      <c r="A6744" s="3"/>
      <c r="B6744" s="2"/>
      <c r="C6744" s="2"/>
      <c r="D6744" s="2" t="b">
        <f>IF(AND(NOT(ISBLANK(Table1[[#This Row],[Fetal Sex (Male, Female or Unknown)]])),ISNUMBER(Table1[[#This Row],[Birthweight (grams)]]),ISNUMBER(Table1[[#This Row],[Gestation (days)]])),TRUE,FALSE)</f>
        <v>0</v>
      </c>
      <c r="E6744" s="2" t="str">
        <f>IF(Table1[[#This Row],[Is Data Valid]]=TRUE,IF(Table1[[#This Row],[Fetal Sex (Male, Female or Unknown)]]="Male",Backend!$C$6,IF(Table1[[#This Row],[Fetal Sex (Male, Female or Unknown)]]="Female",Backend!$C$7,IF(Table1[[#This Row],[Fetal Sex (Male, Female or Unknown)]]="Unknown",Backend!$C$8,"Error"))),"")</f>
        <v/>
      </c>
      <c r="F6744" s="8" t="str">
        <f>IF(Table1[[#This Row],[Is Data Valid]]=TRUE,EXP(0.578+0.332*((Table1[[#This Row],[Gestation (days)]]+0.5)/7)-0.00354*((Table1[[#This Row],[Gestation (days)]]+0.5)/7)^2)*Table1[[#This Row],[BW40_3705]],"")</f>
        <v/>
      </c>
      <c r="G6744" s="2" t="str">
        <f>IF(Table1[[#This Row],[Is Data Valid]]=TRUE,((Table1[[#This Row],[Birthweight (grams)]]/Table1[[#This Row],[BW_GA]])-1)/(Backend!$B$4/100*Table1[[#This Row],[BW40_3705]]),"")</f>
        <v/>
      </c>
      <c r="H6744" s="7" t="str">
        <f>IF(Table1[[#This Row],[Is Data Valid]]=TRUE,((Table1[[#This Row],[Birthweight (grams)]]*0.9/Table1[[#This Row],[BW_GA]])-1)/(Backend!$B$4/100*Table1[[#This Row],[BW40_3705]]),"")</f>
        <v/>
      </c>
      <c r="I6744" s="7" t="str">
        <f>IF(Table1[[#This Row],[Is Data Valid]]=TRUE,((Table1[[#This Row],[Birthweight (grams)]]*1.1/Table1[[#This Row],[BW_GA]])-1)/(Backend!$B$4/100*Table1[[#This Row],[BW40_3705]]),"")</f>
        <v/>
      </c>
      <c r="J6744" s="7" t="str">
        <f>IF(Table1[[#This Row],[Is Data Valid]]=TRUE,_xlfn.NORM.S.DIST(Table1[[#This Row],[Birthweight Z-Score]],TRUE)*100,"")</f>
        <v/>
      </c>
      <c r="K6744" s="7" t="str">
        <f>IF(Table1[[#This Row],[Is Data Valid]]=TRUE,_xlfn.NORM.S.DIST(Table1[[#This Row],[Birthweight Z-Score (BW-10%)]],TRUE)*100,"")</f>
        <v/>
      </c>
      <c r="L6744" s="7" t="str">
        <f>IF(Table1[[#This Row],[Is Data Valid]]=TRUE,_xlfn.NORM.S.DIST(Table1[[#This Row],[Birthweight Z-Score (BW+10%)]],TRUE)*100,"")</f>
        <v/>
      </c>
    </row>
    <row r="6745" spans="1:12" x14ac:dyDescent="0.35">
      <c r="A6745" s="3"/>
      <c r="B6745" s="2"/>
      <c r="C6745" s="2"/>
      <c r="D6745" s="2" t="b">
        <f>IF(AND(NOT(ISBLANK(Table1[[#This Row],[Fetal Sex (Male, Female or Unknown)]])),ISNUMBER(Table1[[#This Row],[Birthweight (grams)]]),ISNUMBER(Table1[[#This Row],[Gestation (days)]])),TRUE,FALSE)</f>
        <v>0</v>
      </c>
      <c r="E6745" s="2" t="str">
        <f>IF(Table1[[#This Row],[Is Data Valid]]=TRUE,IF(Table1[[#This Row],[Fetal Sex (Male, Female or Unknown)]]="Male",Backend!$C$6,IF(Table1[[#This Row],[Fetal Sex (Male, Female or Unknown)]]="Female",Backend!$C$7,IF(Table1[[#This Row],[Fetal Sex (Male, Female or Unknown)]]="Unknown",Backend!$C$8,"Error"))),"")</f>
        <v/>
      </c>
      <c r="F6745" s="8" t="str">
        <f>IF(Table1[[#This Row],[Is Data Valid]]=TRUE,EXP(0.578+0.332*((Table1[[#This Row],[Gestation (days)]]+0.5)/7)-0.00354*((Table1[[#This Row],[Gestation (days)]]+0.5)/7)^2)*Table1[[#This Row],[BW40_3705]],"")</f>
        <v/>
      </c>
      <c r="G6745" s="2" t="str">
        <f>IF(Table1[[#This Row],[Is Data Valid]]=TRUE,((Table1[[#This Row],[Birthweight (grams)]]/Table1[[#This Row],[BW_GA]])-1)/(Backend!$B$4/100*Table1[[#This Row],[BW40_3705]]),"")</f>
        <v/>
      </c>
      <c r="H6745" s="7" t="str">
        <f>IF(Table1[[#This Row],[Is Data Valid]]=TRUE,((Table1[[#This Row],[Birthweight (grams)]]*0.9/Table1[[#This Row],[BW_GA]])-1)/(Backend!$B$4/100*Table1[[#This Row],[BW40_3705]]),"")</f>
        <v/>
      </c>
      <c r="I6745" s="7" t="str">
        <f>IF(Table1[[#This Row],[Is Data Valid]]=TRUE,((Table1[[#This Row],[Birthweight (grams)]]*1.1/Table1[[#This Row],[BW_GA]])-1)/(Backend!$B$4/100*Table1[[#This Row],[BW40_3705]]),"")</f>
        <v/>
      </c>
      <c r="J6745" s="7" t="str">
        <f>IF(Table1[[#This Row],[Is Data Valid]]=TRUE,_xlfn.NORM.S.DIST(Table1[[#This Row],[Birthweight Z-Score]],TRUE)*100,"")</f>
        <v/>
      </c>
      <c r="K6745" s="7" t="str">
        <f>IF(Table1[[#This Row],[Is Data Valid]]=TRUE,_xlfn.NORM.S.DIST(Table1[[#This Row],[Birthweight Z-Score (BW-10%)]],TRUE)*100,"")</f>
        <v/>
      </c>
      <c r="L6745" s="7" t="str">
        <f>IF(Table1[[#This Row],[Is Data Valid]]=TRUE,_xlfn.NORM.S.DIST(Table1[[#This Row],[Birthweight Z-Score (BW+10%)]],TRUE)*100,"")</f>
        <v/>
      </c>
    </row>
    <row r="6746" spans="1:12" x14ac:dyDescent="0.35">
      <c r="A6746" s="3"/>
      <c r="B6746" s="2"/>
      <c r="C6746" s="2"/>
      <c r="D6746" s="2" t="b">
        <f>IF(AND(NOT(ISBLANK(Table1[[#This Row],[Fetal Sex (Male, Female or Unknown)]])),ISNUMBER(Table1[[#This Row],[Birthweight (grams)]]),ISNUMBER(Table1[[#This Row],[Gestation (days)]])),TRUE,FALSE)</f>
        <v>0</v>
      </c>
      <c r="E6746" s="2" t="str">
        <f>IF(Table1[[#This Row],[Is Data Valid]]=TRUE,IF(Table1[[#This Row],[Fetal Sex (Male, Female or Unknown)]]="Male",Backend!$C$6,IF(Table1[[#This Row],[Fetal Sex (Male, Female or Unknown)]]="Female",Backend!$C$7,IF(Table1[[#This Row],[Fetal Sex (Male, Female or Unknown)]]="Unknown",Backend!$C$8,"Error"))),"")</f>
        <v/>
      </c>
      <c r="F6746" s="8" t="str">
        <f>IF(Table1[[#This Row],[Is Data Valid]]=TRUE,EXP(0.578+0.332*((Table1[[#This Row],[Gestation (days)]]+0.5)/7)-0.00354*((Table1[[#This Row],[Gestation (days)]]+0.5)/7)^2)*Table1[[#This Row],[BW40_3705]],"")</f>
        <v/>
      </c>
      <c r="G6746" s="2" t="str">
        <f>IF(Table1[[#This Row],[Is Data Valid]]=TRUE,((Table1[[#This Row],[Birthweight (grams)]]/Table1[[#This Row],[BW_GA]])-1)/(Backend!$B$4/100*Table1[[#This Row],[BW40_3705]]),"")</f>
        <v/>
      </c>
      <c r="H6746" s="7" t="str">
        <f>IF(Table1[[#This Row],[Is Data Valid]]=TRUE,((Table1[[#This Row],[Birthweight (grams)]]*0.9/Table1[[#This Row],[BW_GA]])-1)/(Backend!$B$4/100*Table1[[#This Row],[BW40_3705]]),"")</f>
        <v/>
      </c>
      <c r="I6746" s="7" t="str">
        <f>IF(Table1[[#This Row],[Is Data Valid]]=TRUE,((Table1[[#This Row],[Birthweight (grams)]]*1.1/Table1[[#This Row],[BW_GA]])-1)/(Backend!$B$4/100*Table1[[#This Row],[BW40_3705]]),"")</f>
        <v/>
      </c>
      <c r="J6746" s="7" t="str">
        <f>IF(Table1[[#This Row],[Is Data Valid]]=TRUE,_xlfn.NORM.S.DIST(Table1[[#This Row],[Birthweight Z-Score]],TRUE)*100,"")</f>
        <v/>
      </c>
      <c r="K6746" s="7" t="str">
        <f>IF(Table1[[#This Row],[Is Data Valid]]=TRUE,_xlfn.NORM.S.DIST(Table1[[#This Row],[Birthweight Z-Score (BW-10%)]],TRUE)*100,"")</f>
        <v/>
      </c>
      <c r="L6746" s="7" t="str">
        <f>IF(Table1[[#This Row],[Is Data Valid]]=TRUE,_xlfn.NORM.S.DIST(Table1[[#This Row],[Birthweight Z-Score (BW+10%)]],TRUE)*100,"")</f>
        <v/>
      </c>
    </row>
    <row r="6747" spans="1:12" x14ac:dyDescent="0.35">
      <c r="A6747" s="3"/>
      <c r="B6747" s="2"/>
      <c r="C6747" s="2"/>
      <c r="D6747" s="2" t="b">
        <f>IF(AND(NOT(ISBLANK(Table1[[#This Row],[Fetal Sex (Male, Female or Unknown)]])),ISNUMBER(Table1[[#This Row],[Birthweight (grams)]]),ISNUMBER(Table1[[#This Row],[Gestation (days)]])),TRUE,FALSE)</f>
        <v>0</v>
      </c>
      <c r="E6747" s="2" t="str">
        <f>IF(Table1[[#This Row],[Is Data Valid]]=TRUE,IF(Table1[[#This Row],[Fetal Sex (Male, Female or Unknown)]]="Male",Backend!$C$6,IF(Table1[[#This Row],[Fetal Sex (Male, Female or Unknown)]]="Female",Backend!$C$7,IF(Table1[[#This Row],[Fetal Sex (Male, Female or Unknown)]]="Unknown",Backend!$C$8,"Error"))),"")</f>
        <v/>
      </c>
      <c r="F6747" s="8" t="str">
        <f>IF(Table1[[#This Row],[Is Data Valid]]=TRUE,EXP(0.578+0.332*((Table1[[#This Row],[Gestation (days)]]+0.5)/7)-0.00354*((Table1[[#This Row],[Gestation (days)]]+0.5)/7)^2)*Table1[[#This Row],[BW40_3705]],"")</f>
        <v/>
      </c>
      <c r="G6747" s="2" t="str">
        <f>IF(Table1[[#This Row],[Is Data Valid]]=TRUE,((Table1[[#This Row],[Birthweight (grams)]]/Table1[[#This Row],[BW_GA]])-1)/(Backend!$B$4/100*Table1[[#This Row],[BW40_3705]]),"")</f>
        <v/>
      </c>
      <c r="H6747" s="7" t="str">
        <f>IF(Table1[[#This Row],[Is Data Valid]]=TRUE,((Table1[[#This Row],[Birthweight (grams)]]*0.9/Table1[[#This Row],[BW_GA]])-1)/(Backend!$B$4/100*Table1[[#This Row],[BW40_3705]]),"")</f>
        <v/>
      </c>
      <c r="I6747" s="7" t="str">
        <f>IF(Table1[[#This Row],[Is Data Valid]]=TRUE,((Table1[[#This Row],[Birthweight (grams)]]*1.1/Table1[[#This Row],[BW_GA]])-1)/(Backend!$B$4/100*Table1[[#This Row],[BW40_3705]]),"")</f>
        <v/>
      </c>
      <c r="J6747" s="7" t="str">
        <f>IF(Table1[[#This Row],[Is Data Valid]]=TRUE,_xlfn.NORM.S.DIST(Table1[[#This Row],[Birthweight Z-Score]],TRUE)*100,"")</f>
        <v/>
      </c>
      <c r="K6747" s="7" t="str">
        <f>IF(Table1[[#This Row],[Is Data Valid]]=TRUE,_xlfn.NORM.S.DIST(Table1[[#This Row],[Birthweight Z-Score (BW-10%)]],TRUE)*100,"")</f>
        <v/>
      </c>
      <c r="L6747" s="7" t="str">
        <f>IF(Table1[[#This Row],[Is Data Valid]]=TRUE,_xlfn.NORM.S.DIST(Table1[[#This Row],[Birthweight Z-Score (BW+10%)]],TRUE)*100,"")</f>
        <v/>
      </c>
    </row>
    <row r="6748" spans="1:12" x14ac:dyDescent="0.35">
      <c r="A6748" s="3"/>
      <c r="B6748" s="2"/>
      <c r="C6748" s="2"/>
      <c r="D6748" s="2" t="b">
        <f>IF(AND(NOT(ISBLANK(Table1[[#This Row],[Fetal Sex (Male, Female or Unknown)]])),ISNUMBER(Table1[[#This Row],[Birthweight (grams)]]),ISNUMBER(Table1[[#This Row],[Gestation (days)]])),TRUE,FALSE)</f>
        <v>0</v>
      </c>
      <c r="E6748" s="2" t="str">
        <f>IF(Table1[[#This Row],[Is Data Valid]]=TRUE,IF(Table1[[#This Row],[Fetal Sex (Male, Female or Unknown)]]="Male",Backend!$C$6,IF(Table1[[#This Row],[Fetal Sex (Male, Female or Unknown)]]="Female",Backend!$C$7,IF(Table1[[#This Row],[Fetal Sex (Male, Female or Unknown)]]="Unknown",Backend!$C$8,"Error"))),"")</f>
        <v/>
      </c>
      <c r="F6748" s="8" t="str">
        <f>IF(Table1[[#This Row],[Is Data Valid]]=TRUE,EXP(0.578+0.332*((Table1[[#This Row],[Gestation (days)]]+0.5)/7)-0.00354*((Table1[[#This Row],[Gestation (days)]]+0.5)/7)^2)*Table1[[#This Row],[BW40_3705]],"")</f>
        <v/>
      </c>
      <c r="G6748" s="2" t="str">
        <f>IF(Table1[[#This Row],[Is Data Valid]]=TRUE,((Table1[[#This Row],[Birthweight (grams)]]/Table1[[#This Row],[BW_GA]])-1)/(Backend!$B$4/100*Table1[[#This Row],[BW40_3705]]),"")</f>
        <v/>
      </c>
      <c r="H6748" s="7" t="str">
        <f>IF(Table1[[#This Row],[Is Data Valid]]=TRUE,((Table1[[#This Row],[Birthweight (grams)]]*0.9/Table1[[#This Row],[BW_GA]])-1)/(Backend!$B$4/100*Table1[[#This Row],[BW40_3705]]),"")</f>
        <v/>
      </c>
      <c r="I6748" s="7" t="str">
        <f>IF(Table1[[#This Row],[Is Data Valid]]=TRUE,((Table1[[#This Row],[Birthweight (grams)]]*1.1/Table1[[#This Row],[BW_GA]])-1)/(Backend!$B$4/100*Table1[[#This Row],[BW40_3705]]),"")</f>
        <v/>
      </c>
      <c r="J6748" s="7" t="str">
        <f>IF(Table1[[#This Row],[Is Data Valid]]=TRUE,_xlfn.NORM.S.DIST(Table1[[#This Row],[Birthweight Z-Score]],TRUE)*100,"")</f>
        <v/>
      </c>
      <c r="K6748" s="7" t="str">
        <f>IF(Table1[[#This Row],[Is Data Valid]]=TRUE,_xlfn.NORM.S.DIST(Table1[[#This Row],[Birthweight Z-Score (BW-10%)]],TRUE)*100,"")</f>
        <v/>
      </c>
      <c r="L6748" s="7" t="str">
        <f>IF(Table1[[#This Row],[Is Data Valid]]=TRUE,_xlfn.NORM.S.DIST(Table1[[#This Row],[Birthweight Z-Score (BW+10%)]],TRUE)*100,"")</f>
        <v/>
      </c>
    </row>
    <row r="6749" spans="1:12" x14ac:dyDescent="0.35">
      <c r="A6749" s="3"/>
      <c r="B6749" s="2"/>
      <c r="C6749" s="2"/>
      <c r="D6749" s="2" t="b">
        <f>IF(AND(NOT(ISBLANK(Table1[[#This Row],[Fetal Sex (Male, Female or Unknown)]])),ISNUMBER(Table1[[#This Row],[Birthweight (grams)]]),ISNUMBER(Table1[[#This Row],[Gestation (days)]])),TRUE,FALSE)</f>
        <v>0</v>
      </c>
      <c r="E6749" s="2" t="str">
        <f>IF(Table1[[#This Row],[Is Data Valid]]=TRUE,IF(Table1[[#This Row],[Fetal Sex (Male, Female or Unknown)]]="Male",Backend!$C$6,IF(Table1[[#This Row],[Fetal Sex (Male, Female or Unknown)]]="Female",Backend!$C$7,IF(Table1[[#This Row],[Fetal Sex (Male, Female or Unknown)]]="Unknown",Backend!$C$8,"Error"))),"")</f>
        <v/>
      </c>
      <c r="F6749" s="8" t="str">
        <f>IF(Table1[[#This Row],[Is Data Valid]]=TRUE,EXP(0.578+0.332*((Table1[[#This Row],[Gestation (days)]]+0.5)/7)-0.00354*((Table1[[#This Row],[Gestation (days)]]+0.5)/7)^2)*Table1[[#This Row],[BW40_3705]],"")</f>
        <v/>
      </c>
      <c r="G6749" s="2" t="str">
        <f>IF(Table1[[#This Row],[Is Data Valid]]=TRUE,((Table1[[#This Row],[Birthweight (grams)]]/Table1[[#This Row],[BW_GA]])-1)/(Backend!$B$4/100*Table1[[#This Row],[BW40_3705]]),"")</f>
        <v/>
      </c>
      <c r="H6749" s="7" t="str">
        <f>IF(Table1[[#This Row],[Is Data Valid]]=TRUE,((Table1[[#This Row],[Birthweight (grams)]]*0.9/Table1[[#This Row],[BW_GA]])-1)/(Backend!$B$4/100*Table1[[#This Row],[BW40_3705]]),"")</f>
        <v/>
      </c>
      <c r="I6749" s="7" t="str">
        <f>IF(Table1[[#This Row],[Is Data Valid]]=TRUE,((Table1[[#This Row],[Birthweight (grams)]]*1.1/Table1[[#This Row],[BW_GA]])-1)/(Backend!$B$4/100*Table1[[#This Row],[BW40_3705]]),"")</f>
        <v/>
      </c>
      <c r="J6749" s="7" t="str">
        <f>IF(Table1[[#This Row],[Is Data Valid]]=TRUE,_xlfn.NORM.S.DIST(Table1[[#This Row],[Birthweight Z-Score]],TRUE)*100,"")</f>
        <v/>
      </c>
      <c r="K6749" s="7" t="str">
        <f>IF(Table1[[#This Row],[Is Data Valid]]=TRUE,_xlfn.NORM.S.DIST(Table1[[#This Row],[Birthweight Z-Score (BW-10%)]],TRUE)*100,"")</f>
        <v/>
      </c>
      <c r="L6749" s="7" t="str">
        <f>IF(Table1[[#This Row],[Is Data Valid]]=TRUE,_xlfn.NORM.S.DIST(Table1[[#This Row],[Birthweight Z-Score (BW+10%)]],TRUE)*100,"")</f>
        <v/>
      </c>
    </row>
    <row r="6750" spans="1:12" x14ac:dyDescent="0.35">
      <c r="A6750" s="3"/>
      <c r="B6750" s="2"/>
      <c r="C6750" s="2"/>
      <c r="D6750" s="2" t="b">
        <f>IF(AND(NOT(ISBLANK(Table1[[#This Row],[Fetal Sex (Male, Female or Unknown)]])),ISNUMBER(Table1[[#This Row],[Birthweight (grams)]]),ISNUMBER(Table1[[#This Row],[Gestation (days)]])),TRUE,FALSE)</f>
        <v>0</v>
      </c>
      <c r="E6750" s="2" t="str">
        <f>IF(Table1[[#This Row],[Is Data Valid]]=TRUE,IF(Table1[[#This Row],[Fetal Sex (Male, Female or Unknown)]]="Male",Backend!$C$6,IF(Table1[[#This Row],[Fetal Sex (Male, Female or Unknown)]]="Female",Backend!$C$7,IF(Table1[[#This Row],[Fetal Sex (Male, Female or Unknown)]]="Unknown",Backend!$C$8,"Error"))),"")</f>
        <v/>
      </c>
      <c r="F6750" s="8" t="str">
        <f>IF(Table1[[#This Row],[Is Data Valid]]=TRUE,EXP(0.578+0.332*((Table1[[#This Row],[Gestation (days)]]+0.5)/7)-0.00354*((Table1[[#This Row],[Gestation (days)]]+0.5)/7)^2)*Table1[[#This Row],[BW40_3705]],"")</f>
        <v/>
      </c>
      <c r="G6750" s="2" t="str">
        <f>IF(Table1[[#This Row],[Is Data Valid]]=TRUE,((Table1[[#This Row],[Birthweight (grams)]]/Table1[[#This Row],[BW_GA]])-1)/(Backend!$B$4/100*Table1[[#This Row],[BW40_3705]]),"")</f>
        <v/>
      </c>
      <c r="H6750" s="7" t="str">
        <f>IF(Table1[[#This Row],[Is Data Valid]]=TRUE,((Table1[[#This Row],[Birthweight (grams)]]*0.9/Table1[[#This Row],[BW_GA]])-1)/(Backend!$B$4/100*Table1[[#This Row],[BW40_3705]]),"")</f>
        <v/>
      </c>
      <c r="I6750" s="7" t="str">
        <f>IF(Table1[[#This Row],[Is Data Valid]]=TRUE,((Table1[[#This Row],[Birthweight (grams)]]*1.1/Table1[[#This Row],[BW_GA]])-1)/(Backend!$B$4/100*Table1[[#This Row],[BW40_3705]]),"")</f>
        <v/>
      </c>
      <c r="J6750" s="7" t="str">
        <f>IF(Table1[[#This Row],[Is Data Valid]]=TRUE,_xlfn.NORM.S.DIST(Table1[[#This Row],[Birthweight Z-Score]],TRUE)*100,"")</f>
        <v/>
      </c>
      <c r="K6750" s="7" t="str">
        <f>IF(Table1[[#This Row],[Is Data Valid]]=TRUE,_xlfn.NORM.S.DIST(Table1[[#This Row],[Birthweight Z-Score (BW-10%)]],TRUE)*100,"")</f>
        <v/>
      </c>
      <c r="L6750" s="7" t="str">
        <f>IF(Table1[[#This Row],[Is Data Valid]]=TRUE,_xlfn.NORM.S.DIST(Table1[[#This Row],[Birthweight Z-Score (BW+10%)]],TRUE)*100,"")</f>
        <v/>
      </c>
    </row>
    <row r="6751" spans="1:12" x14ac:dyDescent="0.35">
      <c r="A6751" s="3"/>
      <c r="B6751" s="2"/>
      <c r="C6751" s="2"/>
      <c r="D6751" s="2" t="b">
        <f>IF(AND(NOT(ISBLANK(Table1[[#This Row],[Fetal Sex (Male, Female or Unknown)]])),ISNUMBER(Table1[[#This Row],[Birthweight (grams)]]),ISNUMBER(Table1[[#This Row],[Gestation (days)]])),TRUE,FALSE)</f>
        <v>0</v>
      </c>
      <c r="E6751" s="2" t="str">
        <f>IF(Table1[[#This Row],[Is Data Valid]]=TRUE,IF(Table1[[#This Row],[Fetal Sex (Male, Female or Unknown)]]="Male",Backend!$C$6,IF(Table1[[#This Row],[Fetal Sex (Male, Female or Unknown)]]="Female",Backend!$C$7,IF(Table1[[#This Row],[Fetal Sex (Male, Female or Unknown)]]="Unknown",Backend!$C$8,"Error"))),"")</f>
        <v/>
      </c>
      <c r="F6751" s="8" t="str">
        <f>IF(Table1[[#This Row],[Is Data Valid]]=TRUE,EXP(0.578+0.332*((Table1[[#This Row],[Gestation (days)]]+0.5)/7)-0.00354*((Table1[[#This Row],[Gestation (days)]]+0.5)/7)^2)*Table1[[#This Row],[BW40_3705]],"")</f>
        <v/>
      </c>
      <c r="G6751" s="2" t="str">
        <f>IF(Table1[[#This Row],[Is Data Valid]]=TRUE,((Table1[[#This Row],[Birthweight (grams)]]/Table1[[#This Row],[BW_GA]])-1)/(Backend!$B$4/100*Table1[[#This Row],[BW40_3705]]),"")</f>
        <v/>
      </c>
      <c r="H6751" s="7" t="str">
        <f>IF(Table1[[#This Row],[Is Data Valid]]=TRUE,((Table1[[#This Row],[Birthweight (grams)]]*0.9/Table1[[#This Row],[BW_GA]])-1)/(Backend!$B$4/100*Table1[[#This Row],[BW40_3705]]),"")</f>
        <v/>
      </c>
      <c r="I6751" s="7" t="str">
        <f>IF(Table1[[#This Row],[Is Data Valid]]=TRUE,((Table1[[#This Row],[Birthweight (grams)]]*1.1/Table1[[#This Row],[BW_GA]])-1)/(Backend!$B$4/100*Table1[[#This Row],[BW40_3705]]),"")</f>
        <v/>
      </c>
      <c r="J6751" s="7" t="str">
        <f>IF(Table1[[#This Row],[Is Data Valid]]=TRUE,_xlfn.NORM.S.DIST(Table1[[#This Row],[Birthweight Z-Score]],TRUE)*100,"")</f>
        <v/>
      </c>
      <c r="K6751" s="7" t="str">
        <f>IF(Table1[[#This Row],[Is Data Valid]]=TRUE,_xlfn.NORM.S.DIST(Table1[[#This Row],[Birthweight Z-Score (BW-10%)]],TRUE)*100,"")</f>
        <v/>
      </c>
      <c r="L6751" s="7" t="str">
        <f>IF(Table1[[#This Row],[Is Data Valid]]=TRUE,_xlfn.NORM.S.DIST(Table1[[#This Row],[Birthweight Z-Score (BW+10%)]],TRUE)*100,"")</f>
        <v/>
      </c>
    </row>
    <row r="6752" spans="1:12" x14ac:dyDescent="0.35">
      <c r="A6752" s="3"/>
      <c r="B6752" s="2"/>
      <c r="C6752" s="2"/>
      <c r="D6752" s="2" t="b">
        <f>IF(AND(NOT(ISBLANK(Table1[[#This Row],[Fetal Sex (Male, Female or Unknown)]])),ISNUMBER(Table1[[#This Row],[Birthweight (grams)]]),ISNUMBER(Table1[[#This Row],[Gestation (days)]])),TRUE,FALSE)</f>
        <v>0</v>
      </c>
      <c r="E6752" s="2" t="str">
        <f>IF(Table1[[#This Row],[Is Data Valid]]=TRUE,IF(Table1[[#This Row],[Fetal Sex (Male, Female or Unknown)]]="Male",Backend!$C$6,IF(Table1[[#This Row],[Fetal Sex (Male, Female or Unknown)]]="Female",Backend!$C$7,IF(Table1[[#This Row],[Fetal Sex (Male, Female or Unknown)]]="Unknown",Backend!$C$8,"Error"))),"")</f>
        <v/>
      </c>
      <c r="F6752" s="8" t="str">
        <f>IF(Table1[[#This Row],[Is Data Valid]]=TRUE,EXP(0.578+0.332*((Table1[[#This Row],[Gestation (days)]]+0.5)/7)-0.00354*((Table1[[#This Row],[Gestation (days)]]+0.5)/7)^2)*Table1[[#This Row],[BW40_3705]],"")</f>
        <v/>
      </c>
      <c r="G6752" s="2" t="str">
        <f>IF(Table1[[#This Row],[Is Data Valid]]=TRUE,((Table1[[#This Row],[Birthweight (grams)]]/Table1[[#This Row],[BW_GA]])-1)/(Backend!$B$4/100*Table1[[#This Row],[BW40_3705]]),"")</f>
        <v/>
      </c>
      <c r="H6752" s="7" t="str">
        <f>IF(Table1[[#This Row],[Is Data Valid]]=TRUE,((Table1[[#This Row],[Birthweight (grams)]]*0.9/Table1[[#This Row],[BW_GA]])-1)/(Backend!$B$4/100*Table1[[#This Row],[BW40_3705]]),"")</f>
        <v/>
      </c>
      <c r="I6752" s="7" t="str">
        <f>IF(Table1[[#This Row],[Is Data Valid]]=TRUE,((Table1[[#This Row],[Birthweight (grams)]]*1.1/Table1[[#This Row],[BW_GA]])-1)/(Backend!$B$4/100*Table1[[#This Row],[BW40_3705]]),"")</f>
        <v/>
      </c>
      <c r="J6752" s="7" t="str">
        <f>IF(Table1[[#This Row],[Is Data Valid]]=TRUE,_xlfn.NORM.S.DIST(Table1[[#This Row],[Birthweight Z-Score]],TRUE)*100,"")</f>
        <v/>
      </c>
      <c r="K6752" s="7" t="str">
        <f>IF(Table1[[#This Row],[Is Data Valid]]=TRUE,_xlfn.NORM.S.DIST(Table1[[#This Row],[Birthweight Z-Score (BW-10%)]],TRUE)*100,"")</f>
        <v/>
      </c>
      <c r="L6752" s="7" t="str">
        <f>IF(Table1[[#This Row],[Is Data Valid]]=TRUE,_xlfn.NORM.S.DIST(Table1[[#This Row],[Birthweight Z-Score (BW+10%)]],TRUE)*100,"")</f>
        <v/>
      </c>
    </row>
    <row r="6753" spans="1:12" x14ac:dyDescent="0.35">
      <c r="A6753" s="3"/>
      <c r="B6753" s="2"/>
      <c r="C6753" s="2"/>
      <c r="D6753" s="2" t="b">
        <f>IF(AND(NOT(ISBLANK(Table1[[#This Row],[Fetal Sex (Male, Female or Unknown)]])),ISNUMBER(Table1[[#This Row],[Birthweight (grams)]]),ISNUMBER(Table1[[#This Row],[Gestation (days)]])),TRUE,FALSE)</f>
        <v>0</v>
      </c>
      <c r="E6753" s="2" t="str">
        <f>IF(Table1[[#This Row],[Is Data Valid]]=TRUE,IF(Table1[[#This Row],[Fetal Sex (Male, Female or Unknown)]]="Male",Backend!$C$6,IF(Table1[[#This Row],[Fetal Sex (Male, Female or Unknown)]]="Female",Backend!$C$7,IF(Table1[[#This Row],[Fetal Sex (Male, Female or Unknown)]]="Unknown",Backend!$C$8,"Error"))),"")</f>
        <v/>
      </c>
      <c r="F6753" s="8" t="str">
        <f>IF(Table1[[#This Row],[Is Data Valid]]=TRUE,EXP(0.578+0.332*((Table1[[#This Row],[Gestation (days)]]+0.5)/7)-0.00354*((Table1[[#This Row],[Gestation (days)]]+0.5)/7)^2)*Table1[[#This Row],[BW40_3705]],"")</f>
        <v/>
      </c>
      <c r="G6753" s="2" t="str">
        <f>IF(Table1[[#This Row],[Is Data Valid]]=TRUE,((Table1[[#This Row],[Birthweight (grams)]]/Table1[[#This Row],[BW_GA]])-1)/(Backend!$B$4/100*Table1[[#This Row],[BW40_3705]]),"")</f>
        <v/>
      </c>
      <c r="H6753" s="7" t="str">
        <f>IF(Table1[[#This Row],[Is Data Valid]]=TRUE,((Table1[[#This Row],[Birthweight (grams)]]*0.9/Table1[[#This Row],[BW_GA]])-1)/(Backend!$B$4/100*Table1[[#This Row],[BW40_3705]]),"")</f>
        <v/>
      </c>
      <c r="I6753" s="7" t="str">
        <f>IF(Table1[[#This Row],[Is Data Valid]]=TRUE,((Table1[[#This Row],[Birthweight (grams)]]*1.1/Table1[[#This Row],[BW_GA]])-1)/(Backend!$B$4/100*Table1[[#This Row],[BW40_3705]]),"")</f>
        <v/>
      </c>
      <c r="J6753" s="7" t="str">
        <f>IF(Table1[[#This Row],[Is Data Valid]]=TRUE,_xlfn.NORM.S.DIST(Table1[[#This Row],[Birthweight Z-Score]],TRUE)*100,"")</f>
        <v/>
      </c>
      <c r="K6753" s="7" t="str">
        <f>IF(Table1[[#This Row],[Is Data Valid]]=TRUE,_xlfn.NORM.S.DIST(Table1[[#This Row],[Birthweight Z-Score (BW-10%)]],TRUE)*100,"")</f>
        <v/>
      </c>
      <c r="L6753" s="7" t="str">
        <f>IF(Table1[[#This Row],[Is Data Valid]]=TRUE,_xlfn.NORM.S.DIST(Table1[[#This Row],[Birthweight Z-Score (BW+10%)]],TRUE)*100,"")</f>
        <v/>
      </c>
    </row>
    <row r="6754" spans="1:12" x14ac:dyDescent="0.35">
      <c r="A6754" s="3"/>
      <c r="B6754" s="2"/>
      <c r="C6754" s="2"/>
      <c r="D6754" s="2" t="b">
        <f>IF(AND(NOT(ISBLANK(Table1[[#This Row],[Fetal Sex (Male, Female or Unknown)]])),ISNUMBER(Table1[[#This Row],[Birthweight (grams)]]),ISNUMBER(Table1[[#This Row],[Gestation (days)]])),TRUE,FALSE)</f>
        <v>0</v>
      </c>
      <c r="E6754" s="2" t="str">
        <f>IF(Table1[[#This Row],[Is Data Valid]]=TRUE,IF(Table1[[#This Row],[Fetal Sex (Male, Female or Unknown)]]="Male",Backend!$C$6,IF(Table1[[#This Row],[Fetal Sex (Male, Female or Unknown)]]="Female",Backend!$C$7,IF(Table1[[#This Row],[Fetal Sex (Male, Female or Unknown)]]="Unknown",Backend!$C$8,"Error"))),"")</f>
        <v/>
      </c>
      <c r="F6754" s="8" t="str">
        <f>IF(Table1[[#This Row],[Is Data Valid]]=TRUE,EXP(0.578+0.332*((Table1[[#This Row],[Gestation (days)]]+0.5)/7)-0.00354*((Table1[[#This Row],[Gestation (days)]]+0.5)/7)^2)*Table1[[#This Row],[BW40_3705]],"")</f>
        <v/>
      </c>
      <c r="G6754" s="2" t="str">
        <f>IF(Table1[[#This Row],[Is Data Valid]]=TRUE,((Table1[[#This Row],[Birthweight (grams)]]/Table1[[#This Row],[BW_GA]])-1)/(Backend!$B$4/100*Table1[[#This Row],[BW40_3705]]),"")</f>
        <v/>
      </c>
      <c r="H6754" s="7" t="str">
        <f>IF(Table1[[#This Row],[Is Data Valid]]=TRUE,((Table1[[#This Row],[Birthweight (grams)]]*0.9/Table1[[#This Row],[BW_GA]])-1)/(Backend!$B$4/100*Table1[[#This Row],[BW40_3705]]),"")</f>
        <v/>
      </c>
      <c r="I6754" s="7" t="str">
        <f>IF(Table1[[#This Row],[Is Data Valid]]=TRUE,((Table1[[#This Row],[Birthweight (grams)]]*1.1/Table1[[#This Row],[BW_GA]])-1)/(Backend!$B$4/100*Table1[[#This Row],[BW40_3705]]),"")</f>
        <v/>
      </c>
      <c r="J6754" s="7" t="str">
        <f>IF(Table1[[#This Row],[Is Data Valid]]=TRUE,_xlfn.NORM.S.DIST(Table1[[#This Row],[Birthweight Z-Score]],TRUE)*100,"")</f>
        <v/>
      </c>
      <c r="K6754" s="7" t="str">
        <f>IF(Table1[[#This Row],[Is Data Valid]]=TRUE,_xlfn.NORM.S.DIST(Table1[[#This Row],[Birthweight Z-Score (BW-10%)]],TRUE)*100,"")</f>
        <v/>
      </c>
      <c r="L6754" s="7" t="str">
        <f>IF(Table1[[#This Row],[Is Data Valid]]=TRUE,_xlfn.NORM.S.DIST(Table1[[#This Row],[Birthweight Z-Score (BW+10%)]],TRUE)*100,"")</f>
        <v/>
      </c>
    </row>
    <row r="6755" spans="1:12" x14ac:dyDescent="0.35">
      <c r="A6755" s="3"/>
      <c r="B6755" s="2"/>
      <c r="C6755" s="2"/>
      <c r="D6755" s="2" t="b">
        <f>IF(AND(NOT(ISBLANK(Table1[[#This Row],[Fetal Sex (Male, Female or Unknown)]])),ISNUMBER(Table1[[#This Row],[Birthweight (grams)]]),ISNUMBER(Table1[[#This Row],[Gestation (days)]])),TRUE,FALSE)</f>
        <v>0</v>
      </c>
      <c r="E6755" s="2" t="str">
        <f>IF(Table1[[#This Row],[Is Data Valid]]=TRUE,IF(Table1[[#This Row],[Fetal Sex (Male, Female or Unknown)]]="Male",Backend!$C$6,IF(Table1[[#This Row],[Fetal Sex (Male, Female or Unknown)]]="Female",Backend!$C$7,IF(Table1[[#This Row],[Fetal Sex (Male, Female or Unknown)]]="Unknown",Backend!$C$8,"Error"))),"")</f>
        <v/>
      </c>
      <c r="F6755" s="8" t="str">
        <f>IF(Table1[[#This Row],[Is Data Valid]]=TRUE,EXP(0.578+0.332*((Table1[[#This Row],[Gestation (days)]]+0.5)/7)-0.00354*((Table1[[#This Row],[Gestation (days)]]+0.5)/7)^2)*Table1[[#This Row],[BW40_3705]],"")</f>
        <v/>
      </c>
      <c r="G6755" s="2" t="str">
        <f>IF(Table1[[#This Row],[Is Data Valid]]=TRUE,((Table1[[#This Row],[Birthweight (grams)]]/Table1[[#This Row],[BW_GA]])-1)/(Backend!$B$4/100*Table1[[#This Row],[BW40_3705]]),"")</f>
        <v/>
      </c>
      <c r="H6755" s="7" t="str">
        <f>IF(Table1[[#This Row],[Is Data Valid]]=TRUE,((Table1[[#This Row],[Birthweight (grams)]]*0.9/Table1[[#This Row],[BW_GA]])-1)/(Backend!$B$4/100*Table1[[#This Row],[BW40_3705]]),"")</f>
        <v/>
      </c>
      <c r="I6755" s="7" t="str">
        <f>IF(Table1[[#This Row],[Is Data Valid]]=TRUE,((Table1[[#This Row],[Birthweight (grams)]]*1.1/Table1[[#This Row],[BW_GA]])-1)/(Backend!$B$4/100*Table1[[#This Row],[BW40_3705]]),"")</f>
        <v/>
      </c>
      <c r="J6755" s="7" t="str">
        <f>IF(Table1[[#This Row],[Is Data Valid]]=TRUE,_xlfn.NORM.S.DIST(Table1[[#This Row],[Birthweight Z-Score]],TRUE)*100,"")</f>
        <v/>
      </c>
      <c r="K6755" s="7" t="str">
        <f>IF(Table1[[#This Row],[Is Data Valid]]=TRUE,_xlfn.NORM.S.DIST(Table1[[#This Row],[Birthweight Z-Score (BW-10%)]],TRUE)*100,"")</f>
        <v/>
      </c>
      <c r="L6755" s="7" t="str">
        <f>IF(Table1[[#This Row],[Is Data Valid]]=TRUE,_xlfn.NORM.S.DIST(Table1[[#This Row],[Birthweight Z-Score (BW+10%)]],TRUE)*100,"")</f>
        <v/>
      </c>
    </row>
    <row r="6756" spans="1:12" x14ac:dyDescent="0.35">
      <c r="A6756" s="3"/>
      <c r="B6756" s="2"/>
      <c r="C6756" s="2"/>
      <c r="D6756" s="2" t="b">
        <f>IF(AND(NOT(ISBLANK(Table1[[#This Row],[Fetal Sex (Male, Female or Unknown)]])),ISNUMBER(Table1[[#This Row],[Birthweight (grams)]]),ISNUMBER(Table1[[#This Row],[Gestation (days)]])),TRUE,FALSE)</f>
        <v>0</v>
      </c>
      <c r="E6756" s="2" t="str">
        <f>IF(Table1[[#This Row],[Is Data Valid]]=TRUE,IF(Table1[[#This Row],[Fetal Sex (Male, Female or Unknown)]]="Male",Backend!$C$6,IF(Table1[[#This Row],[Fetal Sex (Male, Female or Unknown)]]="Female",Backend!$C$7,IF(Table1[[#This Row],[Fetal Sex (Male, Female or Unknown)]]="Unknown",Backend!$C$8,"Error"))),"")</f>
        <v/>
      </c>
      <c r="F6756" s="8" t="str">
        <f>IF(Table1[[#This Row],[Is Data Valid]]=TRUE,EXP(0.578+0.332*((Table1[[#This Row],[Gestation (days)]]+0.5)/7)-0.00354*((Table1[[#This Row],[Gestation (days)]]+0.5)/7)^2)*Table1[[#This Row],[BW40_3705]],"")</f>
        <v/>
      </c>
      <c r="G6756" s="2" t="str">
        <f>IF(Table1[[#This Row],[Is Data Valid]]=TRUE,((Table1[[#This Row],[Birthweight (grams)]]/Table1[[#This Row],[BW_GA]])-1)/(Backend!$B$4/100*Table1[[#This Row],[BW40_3705]]),"")</f>
        <v/>
      </c>
      <c r="H6756" s="7" t="str">
        <f>IF(Table1[[#This Row],[Is Data Valid]]=TRUE,((Table1[[#This Row],[Birthweight (grams)]]*0.9/Table1[[#This Row],[BW_GA]])-1)/(Backend!$B$4/100*Table1[[#This Row],[BW40_3705]]),"")</f>
        <v/>
      </c>
      <c r="I6756" s="7" t="str">
        <f>IF(Table1[[#This Row],[Is Data Valid]]=TRUE,((Table1[[#This Row],[Birthweight (grams)]]*1.1/Table1[[#This Row],[BW_GA]])-1)/(Backend!$B$4/100*Table1[[#This Row],[BW40_3705]]),"")</f>
        <v/>
      </c>
      <c r="J6756" s="7" t="str">
        <f>IF(Table1[[#This Row],[Is Data Valid]]=TRUE,_xlfn.NORM.S.DIST(Table1[[#This Row],[Birthweight Z-Score]],TRUE)*100,"")</f>
        <v/>
      </c>
      <c r="K6756" s="7" t="str">
        <f>IF(Table1[[#This Row],[Is Data Valid]]=TRUE,_xlfn.NORM.S.DIST(Table1[[#This Row],[Birthweight Z-Score (BW-10%)]],TRUE)*100,"")</f>
        <v/>
      </c>
      <c r="L6756" s="7" t="str">
        <f>IF(Table1[[#This Row],[Is Data Valid]]=TRUE,_xlfn.NORM.S.DIST(Table1[[#This Row],[Birthweight Z-Score (BW+10%)]],TRUE)*100,"")</f>
        <v/>
      </c>
    </row>
    <row r="6757" spans="1:12" x14ac:dyDescent="0.35">
      <c r="A6757" s="3"/>
      <c r="B6757" s="2"/>
      <c r="C6757" s="2"/>
      <c r="D6757" s="2" t="b">
        <f>IF(AND(NOT(ISBLANK(Table1[[#This Row],[Fetal Sex (Male, Female or Unknown)]])),ISNUMBER(Table1[[#This Row],[Birthweight (grams)]]),ISNUMBER(Table1[[#This Row],[Gestation (days)]])),TRUE,FALSE)</f>
        <v>0</v>
      </c>
      <c r="E6757" s="2" t="str">
        <f>IF(Table1[[#This Row],[Is Data Valid]]=TRUE,IF(Table1[[#This Row],[Fetal Sex (Male, Female or Unknown)]]="Male",Backend!$C$6,IF(Table1[[#This Row],[Fetal Sex (Male, Female or Unknown)]]="Female",Backend!$C$7,IF(Table1[[#This Row],[Fetal Sex (Male, Female or Unknown)]]="Unknown",Backend!$C$8,"Error"))),"")</f>
        <v/>
      </c>
      <c r="F6757" s="8" t="str">
        <f>IF(Table1[[#This Row],[Is Data Valid]]=TRUE,EXP(0.578+0.332*((Table1[[#This Row],[Gestation (days)]]+0.5)/7)-0.00354*((Table1[[#This Row],[Gestation (days)]]+0.5)/7)^2)*Table1[[#This Row],[BW40_3705]],"")</f>
        <v/>
      </c>
      <c r="G6757" s="2" t="str">
        <f>IF(Table1[[#This Row],[Is Data Valid]]=TRUE,((Table1[[#This Row],[Birthweight (grams)]]/Table1[[#This Row],[BW_GA]])-1)/(Backend!$B$4/100*Table1[[#This Row],[BW40_3705]]),"")</f>
        <v/>
      </c>
      <c r="H6757" s="7" t="str">
        <f>IF(Table1[[#This Row],[Is Data Valid]]=TRUE,((Table1[[#This Row],[Birthweight (grams)]]*0.9/Table1[[#This Row],[BW_GA]])-1)/(Backend!$B$4/100*Table1[[#This Row],[BW40_3705]]),"")</f>
        <v/>
      </c>
      <c r="I6757" s="7" t="str">
        <f>IF(Table1[[#This Row],[Is Data Valid]]=TRUE,((Table1[[#This Row],[Birthweight (grams)]]*1.1/Table1[[#This Row],[BW_GA]])-1)/(Backend!$B$4/100*Table1[[#This Row],[BW40_3705]]),"")</f>
        <v/>
      </c>
      <c r="J6757" s="7" t="str">
        <f>IF(Table1[[#This Row],[Is Data Valid]]=TRUE,_xlfn.NORM.S.DIST(Table1[[#This Row],[Birthweight Z-Score]],TRUE)*100,"")</f>
        <v/>
      </c>
      <c r="K6757" s="7" t="str">
        <f>IF(Table1[[#This Row],[Is Data Valid]]=TRUE,_xlfn.NORM.S.DIST(Table1[[#This Row],[Birthweight Z-Score (BW-10%)]],TRUE)*100,"")</f>
        <v/>
      </c>
      <c r="L6757" s="7" t="str">
        <f>IF(Table1[[#This Row],[Is Data Valid]]=TRUE,_xlfn.NORM.S.DIST(Table1[[#This Row],[Birthweight Z-Score (BW+10%)]],TRUE)*100,"")</f>
        <v/>
      </c>
    </row>
    <row r="6758" spans="1:12" x14ac:dyDescent="0.35">
      <c r="A6758" s="3"/>
      <c r="B6758" s="2"/>
      <c r="C6758" s="2"/>
      <c r="D6758" s="2" t="b">
        <f>IF(AND(NOT(ISBLANK(Table1[[#This Row],[Fetal Sex (Male, Female or Unknown)]])),ISNUMBER(Table1[[#This Row],[Birthweight (grams)]]),ISNUMBER(Table1[[#This Row],[Gestation (days)]])),TRUE,FALSE)</f>
        <v>0</v>
      </c>
      <c r="E6758" s="2" t="str">
        <f>IF(Table1[[#This Row],[Is Data Valid]]=TRUE,IF(Table1[[#This Row],[Fetal Sex (Male, Female or Unknown)]]="Male",Backend!$C$6,IF(Table1[[#This Row],[Fetal Sex (Male, Female or Unknown)]]="Female",Backend!$C$7,IF(Table1[[#This Row],[Fetal Sex (Male, Female or Unknown)]]="Unknown",Backend!$C$8,"Error"))),"")</f>
        <v/>
      </c>
      <c r="F6758" s="8" t="str">
        <f>IF(Table1[[#This Row],[Is Data Valid]]=TRUE,EXP(0.578+0.332*((Table1[[#This Row],[Gestation (days)]]+0.5)/7)-0.00354*((Table1[[#This Row],[Gestation (days)]]+0.5)/7)^2)*Table1[[#This Row],[BW40_3705]],"")</f>
        <v/>
      </c>
      <c r="G6758" s="2" t="str">
        <f>IF(Table1[[#This Row],[Is Data Valid]]=TRUE,((Table1[[#This Row],[Birthweight (grams)]]/Table1[[#This Row],[BW_GA]])-1)/(Backend!$B$4/100*Table1[[#This Row],[BW40_3705]]),"")</f>
        <v/>
      </c>
      <c r="H6758" s="7" t="str">
        <f>IF(Table1[[#This Row],[Is Data Valid]]=TRUE,((Table1[[#This Row],[Birthweight (grams)]]*0.9/Table1[[#This Row],[BW_GA]])-1)/(Backend!$B$4/100*Table1[[#This Row],[BW40_3705]]),"")</f>
        <v/>
      </c>
      <c r="I6758" s="7" t="str">
        <f>IF(Table1[[#This Row],[Is Data Valid]]=TRUE,((Table1[[#This Row],[Birthweight (grams)]]*1.1/Table1[[#This Row],[BW_GA]])-1)/(Backend!$B$4/100*Table1[[#This Row],[BW40_3705]]),"")</f>
        <v/>
      </c>
      <c r="J6758" s="7" t="str">
        <f>IF(Table1[[#This Row],[Is Data Valid]]=TRUE,_xlfn.NORM.S.DIST(Table1[[#This Row],[Birthweight Z-Score]],TRUE)*100,"")</f>
        <v/>
      </c>
      <c r="K6758" s="7" t="str">
        <f>IF(Table1[[#This Row],[Is Data Valid]]=TRUE,_xlfn.NORM.S.DIST(Table1[[#This Row],[Birthweight Z-Score (BW-10%)]],TRUE)*100,"")</f>
        <v/>
      </c>
      <c r="L6758" s="7" t="str">
        <f>IF(Table1[[#This Row],[Is Data Valid]]=TRUE,_xlfn.NORM.S.DIST(Table1[[#This Row],[Birthweight Z-Score (BW+10%)]],TRUE)*100,"")</f>
        <v/>
      </c>
    </row>
    <row r="6759" spans="1:12" x14ac:dyDescent="0.35">
      <c r="A6759" s="3"/>
      <c r="B6759" s="2"/>
      <c r="C6759" s="2"/>
      <c r="D6759" s="2" t="b">
        <f>IF(AND(NOT(ISBLANK(Table1[[#This Row],[Fetal Sex (Male, Female or Unknown)]])),ISNUMBER(Table1[[#This Row],[Birthweight (grams)]]),ISNUMBER(Table1[[#This Row],[Gestation (days)]])),TRUE,FALSE)</f>
        <v>0</v>
      </c>
      <c r="E6759" s="2" t="str">
        <f>IF(Table1[[#This Row],[Is Data Valid]]=TRUE,IF(Table1[[#This Row],[Fetal Sex (Male, Female or Unknown)]]="Male",Backend!$C$6,IF(Table1[[#This Row],[Fetal Sex (Male, Female or Unknown)]]="Female",Backend!$C$7,IF(Table1[[#This Row],[Fetal Sex (Male, Female or Unknown)]]="Unknown",Backend!$C$8,"Error"))),"")</f>
        <v/>
      </c>
      <c r="F6759" s="8" t="str">
        <f>IF(Table1[[#This Row],[Is Data Valid]]=TRUE,EXP(0.578+0.332*((Table1[[#This Row],[Gestation (days)]]+0.5)/7)-0.00354*((Table1[[#This Row],[Gestation (days)]]+0.5)/7)^2)*Table1[[#This Row],[BW40_3705]],"")</f>
        <v/>
      </c>
      <c r="G6759" s="2" t="str">
        <f>IF(Table1[[#This Row],[Is Data Valid]]=TRUE,((Table1[[#This Row],[Birthweight (grams)]]/Table1[[#This Row],[BW_GA]])-1)/(Backend!$B$4/100*Table1[[#This Row],[BW40_3705]]),"")</f>
        <v/>
      </c>
      <c r="H6759" s="7" t="str">
        <f>IF(Table1[[#This Row],[Is Data Valid]]=TRUE,((Table1[[#This Row],[Birthweight (grams)]]*0.9/Table1[[#This Row],[BW_GA]])-1)/(Backend!$B$4/100*Table1[[#This Row],[BW40_3705]]),"")</f>
        <v/>
      </c>
      <c r="I6759" s="7" t="str">
        <f>IF(Table1[[#This Row],[Is Data Valid]]=TRUE,((Table1[[#This Row],[Birthweight (grams)]]*1.1/Table1[[#This Row],[BW_GA]])-1)/(Backend!$B$4/100*Table1[[#This Row],[BW40_3705]]),"")</f>
        <v/>
      </c>
      <c r="J6759" s="7" t="str">
        <f>IF(Table1[[#This Row],[Is Data Valid]]=TRUE,_xlfn.NORM.S.DIST(Table1[[#This Row],[Birthweight Z-Score]],TRUE)*100,"")</f>
        <v/>
      </c>
      <c r="K6759" s="7" t="str">
        <f>IF(Table1[[#This Row],[Is Data Valid]]=TRUE,_xlfn.NORM.S.DIST(Table1[[#This Row],[Birthweight Z-Score (BW-10%)]],TRUE)*100,"")</f>
        <v/>
      </c>
      <c r="L6759" s="7" t="str">
        <f>IF(Table1[[#This Row],[Is Data Valid]]=TRUE,_xlfn.NORM.S.DIST(Table1[[#This Row],[Birthweight Z-Score (BW+10%)]],TRUE)*100,"")</f>
        <v/>
      </c>
    </row>
    <row r="6760" spans="1:12" x14ac:dyDescent="0.35">
      <c r="A6760" s="3"/>
      <c r="B6760" s="2"/>
      <c r="C6760" s="2"/>
      <c r="D6760" s="2" t="b">
        <f>IF(AND(NOT(ISBLANK(Table1[[#This Row],[Fetal Sex (Male, Female or Unknown)]])),ISNUMBER(Table1[[#This Row],[Birthweight (grams)]]),ISNUMBER(Table1[[#This Row],[Gestation (days)]])),TRUE,FALSE)</f>
        <v>0</v>
      </c>
      <c r="E6760" s="2" t="str">
        <f>IF(Table1[[#This Row],[Is Data Valid]]=TRUE,IF(Table1[[#This Row],[Fetal Sex (Male, Female or Unknown)]]="Male",Backend!$C$6,IF(Table1[[#This Row],[Fetal Sex (Male, Female or Unknown)]]="Female",Backend!$C$7,IF(Table1[[#This Row],[Fetal Sex (Male, Female or Unknown)]]="Unknown",Backend!$C$8,"Error"))),"")</f>
        <v/>
      </c>
      <c r="F6760" s="8" t="str">
        <f>IF(Table1[[#This Row],[Is Data Valid]]=TRUE,EXP(0.578+0.332*((Table1[[#This Row],[Gestation (days)]]+0.5)/7)-0.00354*((Table1[[#This Row],[Gestation (days)]]+0.5)/7)^2)*Table1[[#This Row],[BW40_3705]],"")</f>
        <v/>
      </c>
      <c r="G6760" s="2" t="str">
        <f>IF(Table1[[#This Row],[Is Data Valid]]=TRUE,((Table1[[#This Row],[Birthweight (grams)]]/Table1[[#This Row],[BW_GA]])-1)/(Backend!$B$4/100*Table1[[#This Row],[BW40_3705]]),"")</f>
        <v/>
      </c>
      <c r="H6760" s="7" t="str">
        <f>IF(Table1[[#This Row],[Is Data Valid]]=TRUE,((Table1[[#This Row],[Birthweight (grams)]]*0.9/Table1[[#This Row],[BW_GA]])-1)/(Backend!$B$4/100*Table1[[#This Row],[BW40_3705]]),"")</f>
        <v/>
      </c>
      <c r="I6760" s="7" t="str">
        <f>IF(Table1[[#This Row],[Is Data Valid]]=TRUE,((Table1[[#This Row],[Birthweight (grams)]]*1.1/Table1[[#This Row],[BW_GA]])-1)/(Backend!$B$4/100*Table1[[#This Row],[BW40_3705]]),"")</f>
        <v/>
      </c>
      <c r="J6760" s="7" t="str">
        <f>IF(Table1[[#This Row],[Is Data Valid]]=TRUE,_xlfn.NORM.S.DIST(Table1[[#This Row],[Birthweight Z-Score]],TRUE)*100,"")</f>
        <v/>
      </c>
      <c r="K6760" s="7" t="str">
        <f>IF(Table1[[#This Row],[Is Data Valid]]=TRUE,_xlfn.NORM.S.DIST(Table1[[#This Row],[Birthweight Z-Score (BW-10%)]],TRUE)*100,"")</f>
        <v/>
      </c>
      <c r="L6760" s="7" t="str">
        <f>IF(Table1[[#This Row],[Is Data Valid]]=TRUE,_xlfn.NORM.S.DIST(Table1[[#This Row],[Birthweight Z-Score (BW+10%)]],TRUE)*100,"")</f>
        <v/>
      </c>
    </row>
    <row r="6761" spans="1:12" x14ac:dyDescent="0.35">
      <c r="A6761" s="3"/>
      <c r="B6761" s="2"/>
      <c r="C6761" s="2"/>
      <c r="D6761" s="2" t="b">
        <f>IF(AND(NOT(ISBLANK(Table1[[#This Row],[Fetal Sex (Male, Female or Unknown)]])),ISNUMBER(Table1[[#This Row],[Birthweight (grams)]]),ISNUMBER(Table1[[#This Row],[Gestation (days)]])),TRUE,FALSE)</f>
        <v>0</v>
      </c>
      <c r="E6761" s="2" t="str">
        <f>IF(Table1[[#This Row],[Is Data Valid]]=TRUE,IF(Table1[[#This Row],[Fetal Sex (Male, Female or Unknown)]]="Male",Backend!$C$6,IF(Table1[[#This Row],[Fetal Sex (Male, Female or Unknown)]]="Female",Backend!$C$7,IF(Table1[[#This Row],[Fetal Sex (Male, Female or Unknown)]]="Unknown",Backend!$C$8,"Error"))),"")</f>
        <v/>
      </c>
      <c r="F6761" s="8" t="str">
        <f>IF(Table1[[#This Row],[Is Data Valid]]=TRUE,EXP(0.578+0.332*((Table1[[#This Row],[Gestation (days)]]+0.5)/7)-0.00354*((Table1[[#This Row],[Gestation (days)]]+0.5)/7)^2)*Table1[[#This Row],[BW40_3705]],"")</f>
        <v/>
      </c>
      <c r="G6761" s="2" t="str">
        <f>IF(Table1[[#This Row],[Is Data Valid]]=TRUE,((Table1[[#This Row],[Birthweight (grams)]]/Table1[[#This Row],[BW_GA]])-1)/(Backend!$B$4/100*Table1[[#This Row],[BW40_3705]]),"")</f>
        <v/>
      </c>
      <c r="H6761" s="7" t="str">
        <f>IF(Table1[[#This Row],[Is Data Valid]]=TRUE,((Table1[[#This Row],[Birthweight (grams)]]*0.9/Table1[[#This Row],[BW_GA]])-1)/(Backend!$B$4/100*Table1[[#This Row],[BW40_3705]]),"")</f>
        <v/>
      </c>
      <c r="I6761" s="7" t="str">
        <f>IF(Table1[[#This Row],[Is Data Valid]]=TRUE,((Table1[[#This Row],[Birthweight (grams)]]*1.1/Table1[[#This Row],[BW_GA]])-1)/(Backend!$B$4/100*Table1[[#This Row],[BW40_3705]]),"")</f>
        <v/>
      </c>
      <c r="J6761" s="7" t="str">
        <f>IF(Table1[[#This Row],[Is Data Valid]]=TRUE,_xlfn.NORM.S.DIST(Table1[[#This Row],[Birthweight Z-Score]],TRUE)*100,"")</f>
        <v/>
      </c>
      <c r="K6761" s="7" t="str">
        <f>IF(Table1[[#This Row],[Is Data Valid]]=TRUE,_xlfn.NORM.S.DIST(Table1[[#This Row],[Birthweight Z-Score (BW-10%)]],TRUE)*100,"")</f>
        <v/>
      </c>
      <c r="L6761" s="7" t="str">
        <f>IF(Table1[[#This Row],[Is Data Valid]]=TRUE,_xlfn.NORM.S.DIST(Table1[[#This Row],[Birthweight Z-Score (BW+10%)]],TRUE)*100,"")</f>
        <v/>
      </c>
    </row>
    <row r="6762" spans="1:12" x14ac:dyDescent="0.35">
      <c r="A6762" s="3"/>
      <c r="B6762" s="2"/>
      <c r="C6762" s="2"/>
      <c r="D6762" s="2" t="b">
        <f>IF(AND(NOT(ISBLANK(Table1[[#This Row],[Fetal Sex (Male, Female or Unknown)]])),ISNUMBER(Table1[[#This Row],[Birthweight (grams)]]),ISNUMBER(Table1[[#This Row],[Gestation (days)]])),TRUE,FALSE)</f>
        <v>0</v>
      </c>
      <c r="E6762" s="2" t="str">
        <f>IF(Table1[[#This Row],[Is Data Valid]]=TRUE,IF(Table1[[#This Row],[Fetal Sex (Male, Female or Unknown)]]="Male",Backend!$C$6,IF(Table1[[#This Row],[Fetal Sex (Male, Female or Unknown)]]="Female",Backend!$C$7,IF(Table1[[#This Row],[Fetal Sex (Male, Female or Unknown)]]="Unknown",Backend!$C$8,"Error"))),"")</f>
        <v/>
      </c>
      <c r="F6762" s="8" t="str">
        <f>IF(Table1[[#This Row],[Is Data Valid]]=TRUE,EXP(0.578+0.332*((Table1[[#This Row],[Gestation (days)]]+0.5)/7)-0.00354*((Table1[[#This Row],[Gestation (days)]]+0.5)/7)^2)*Table1[[#This Row],[BW40_3705]],"")</f>
        <v/>
      </c>
      <c r="G6762" s="2" t="str">
        <f>IF(Table1[[#This Row],[Is Data Valid]]=TRUE,((Table1[[#This Row],[Birthweight (grams)]]/Table1[[#This Row],[BW_GA]])-1)/(Backend!$B$4/100*Table1[[#This Row],[BW40_3705]]),"")</f>
        <v/>
      </c>
      <c r="H6762" s="7" t="str">
        <f>IF(Table1[[#This Row],[Is Data Valid]]=TRUE,((Table1[[#This Row],[Birthweight (grams)]]*0.9/Table1[[#This Row],[BW_GA]])-1)/(Backend!$B$4/100*Table1[[#This Row],[BW40_3705]]),"")</f>
        <v/>
      </c>
      <c r="I6762" s="7" t="str">
        <f>IF(Table1[[#This Row],[Is Data Valid]]=TRUE,((Table1[[#This Row],[Birthweight (grams)]]*1.1/Table1[[#This Row],[BW_GA]])-1)/(Backend!$B$4/100*Table1[[#This Row],[BW40_3705]]),"")</f>
        <v/>
      </c>
      <c r="J6762" s="7" t="str">
        <f>IF(Table1[[#This Row],[Is Data Valid]]=TRUE,_xlfn.NORM.S.DIST(Table1[[#This Row],[Birthweight Z-Score]],TRUE)*100,"")</f>
        <v/>
      </c>
      <c r="K6762" s="7" t="str">
        <f>IF(Table1[[#This Row],[Is Data Valid]]=TRUE,_xlfn.NORM.S.DIST(Table1[[#This Row],[Birthweight Z-Score (BW-10%)]],TRUE)*100,"")</f>
        <v/>
      </c>
      <c r="L6762" s="7" t="str">
        <f>IF(Table1[[#This Row],[Is Data Valid]]=TRUE,_xlfn.NORM.S.DIST(Table1[[#This Row],[Birthweight Z-Score (BW+10%)]],TRUE)*100,"")</f>
        <v/>
      </c>
    </row>
    <row r="6763" spans="1:12" x14ac:dyDescent="0.35">
      <c r="A6763" s="3"/>
      <c r="B6763" s="2"/>
      <c r="C6763" s="2"/>
      <c r="D6763" s="2" t="b">
        <f>IF(AND(NOT(ISBLANK(Table1[[#This Row],[Fetal Sex (Male, Female or Unknown)]])),ISNUMBER(Table1[[#This Row],[Birthweight (grams)]]),ISNUMBER(Table1[[#This Row],[Gestation (days)]])),TRUE,FALSE)</f>
        <v>0</v>
      </c>
      <c r="E6763" s="2" t="str">
        <f>IF(Table1[[#This Row],[Is Data Valid]]=TRUE,IF(Table1[[#This Row],[Fetal Sex (Male, Female or Unknown)]]="Male",Backend!$C$6,IF(Table1[[#This Row],[Fetal Sex (Male, Female or Unknown)]]="Female",Backend!$C$7,IF(Table1[[#This Row],[Fetal Sex (Male, Female or Unknown)]]="Unknown",Backend!$C$8,"Error"))),"")</f>
        <v/>
      </c>
      <c r="F6763" s="8" t="str">
        <f>IF(Table1[[#This Row],[Is Data Valid]]=TRUE,EXP(0.578+0.332*((Table1[[#This Row],[Gestation (days)]]+0.5)/7)-0.00354*((Table1[[#This Row],[Gestation (days)]]+0.5)/7)^2)*Table1[[#This Row],[BW40_3705]],"")</f>
        <v/>
      </c>
      <c r="G6763" s="2" t="str">
        <f>IF(Table1[[#This Row],[Is Data Valid]]=TRUE,((Table1[[#This Row],[Birthweight (grams)]]/Table1[[#This Row],[BW_GA]])-1)/(Backend!$B$4/100*Table1[[#This Row],[BW40_3705]]),"")</f>
        <v/>
      </c>
      <c r="H6763" s="7" t="str">
        <f>IF(Table1[[#This Row],[Is Data Valid]]=TRUE,((Table1[[#This Row],[Birthweight (grams)]]*0.9/Table1[[#This Row],[BW_GA]])-1)/(Backend!$B$4/100*Table1[[#This Row],[BW40_3705]]),"")</f>
        <v/>
      </c>
      <c r="I6763" s="7" t="str">
        <f>IF(Table1[[#This Row],[Is Data Valid]]=TRUE,((Table1[[#This Row],[Birthweight (grams)]]*1.1/Table1[[#This Row],[BW_GA]])-1)/(Backend!$B$4/100*Table1[[#This Row],[BW40_3705]]),"")</f>
        <v/>
      </c>
      <c r="J6763" s="7" t="str">
        <f>IF(Table1[[#This Row],[Is Data Valid]]=TRUE,_xlfn.NORM.S.DIST(Table1[[#This Row],[Birthweight Z-Score]],TRUE)*100,"")</f>
        <v/>
      </c>
      <c r="K6763" s="7" t="str">
        <f>IF(Table1[[#This Row],[Is Data Valid]]=TRUE,_xlfn.NORM.S.DIST(Table1[[#This Row],[Birthweight Z-Score (BW-10%)]],TRUE)*100,"")</f>
        <v/>
      </c>
      <c r="L6763" s="7" t="str">
        <f>IF(Table1[[#This Row],[Is Data Valid]]=TRUE,_xlfn.NORM.S.DIST(Table1[[#This Row],[Birthweight Z-Score (BW+10%)]],TRUE)*100,"")</f>
        <v/>
      </c>
    </row>
    <row r="6764" spans="1:12" x14ac:dyDescent="0.35">
      <c r="A6764" s="3"/>
      <c r="B6764" s="2"/>
      <c r="C6764" s="2"/>
      <c r="D6764" s="2" t="b">
        <f>IF(AND(NOT(ISBLANK(Table1[[#This Row],[Fetal Sex (Male, Female or Unknown)]])),ISNUMBER(Table1[[#This Row],[Birthweight (grams)]]),ISNUMBER(Table1[[#This Row],[Gestation (days)]])),TRUE,FALSE)</f>
        <v>0</v>
      </c>
      <c r="E6764" s="2" t="str">
        <f>IF(Table1[[#This Row],[Is Data Valid]]=TRUE,IF(Table1[[#This Row],[Fetal Sex (Male, Female or Unknown)]]="Male",Backend!$C$6,IF(Table1[[#This Row],[Fetal Sex (Male, Female or Unknown)]]="Female",Backend!$C$7,IF(Table1[[#This Row],[Fetal Sex (Male, Female or Unknown)]]="Unknown",Backend!$C$8,"Error"))),"")</f>
        <v/>
      </c>
      <c r="F6764" s="8" t="str">
        <f>IF(Table1[[#This Row],[Is Data Valid]]=TRUE,EXP(0.578+0.332*((Table1[[#This Row],[Gestation (days)]]+0.5)/7)-0.00354*((Table1[[#This Row],[Gestation (days)]]+0.5)/7)^2)*Table1[[#This Row],[BW40_3705]],"")</f>
        <v/>
      </c>
      <c r="G6764" s="2" t="str">
        <f>IF(Table1[[#This Row],[Is Data Valid]]=TRUE,((Table1[[#This Row],[Birthweight (grams)]]/Table1[[#This Row],[BW_GA]])-1)/(Backend!$B$4/100*Table1[[#This Row],[BW40_3705]]),"")</f>
        <v/>
      </c>
      <c r="H6764" s="7" t="str">
        <f>IF(Table1[[#This Row],[Is Data Valid]]=TRUE,((Table1[[#This Row],[Birthweight (grams)]]*0.9/Table1[[#This Row],[BW_GA]])-1)/(Backend!$B$4/100*Table1[[#This Row],[BW40_3705]]),"")</f>
        <v/>
      </c>
      <c r="I6764" s="7" t="str">
        <f>IF(Table1[[#This Row],[Is Data Valid]]=TRUE,((Table1[[#This Row],[Birthweight (grams)]]*1.1/Table1[[#This Row],[BW_GA]])-1)/(Backend!$B$4/100*Table1[[#This Row],[BW40_3705]]),"")</f>
        <v/>
      </c>
      <c r="J6764" s="7" t="str">
        <f>IF(Table1[[#This Row],[Is Data Valid]]=TRUE,_xlfn.NORM.S.DIST(Table1[[#This Row],[Birthweight Z-Score]],TRUE)*100,"")</f>
        <v/>
      </c>
      <c r="K6764" s="7" t="str">
        <f>IF(Table1[[#This Row],[Is Data Valid]]=TRUE,_xlfn.NORM.S.DIST(Table1[[#This Row],[Birthweight Z-Score (BW-10%)]],TRUE)*100,"")</f>
        <v/>
      </c>
      <c r="L6764" s="7" t="str">
        <f>IF(Table1[[#This Row],[Is Data Valid]]=TRUE,_xlfn.NORM.S.DIST(Table1[[#This Row],[Birthweight Z-Score (BW+10%)]],TRUE)*100,"")</f>
        <v/>
      </c>
    </row>
    <row r="6765" spans="1:12" x14ac:dyDescent="0.35">
      <c r="A6765" s="3"/>
      <c r="B6765" s="2"/>
      <c r="C6765" s="2"/>
      <c r="D6765" s="2" t="b">
        <f>IF(AND(NOT(ISBLANK(Table1[[#This Row],[Fetal Sex (Male, Female or Unknown)]])),ISNUMBER(Table1[[#This Row],[Birthweight (grams)]]),ISNUMBER(Table1[[#This Row],[Gestation (days)]])),TRUE,FALSE)</f>
        <v>0</v>
      </c>
      <c r="E6765" s="2" t="str">
        <f>IF(Table1[[#This Row],[Is Data Valid]]=TRUE,IF(Table1[[#This Row],[Fetal Sex (Male, Female or Unknown)]]="Male",Backend!$C$6,IF(Table1[[#This Row],[Fetal Sex (Male, Female or Unknown)]]="Female",Backend!$C$7,IF(Table1[[#This Row],[Fetal Sex (Male, Female or Unknown)]]="Unknown",Backend!$C$8,"Error"))),"")</f>
        <v/>
      </c>
      <c r="F6765" s="8" t="str">
        <f>IF(Table1[[#This Row],[Is Data Valid]]=TRUE,EXP(0.578+0.332*((Table1[[#This Row],[Gestation (days)]]+0.5)/7)-0.00354*((Table1[[#This Row],[Gestation (days)]]+0.5)/7)^2)*Table1[[#This Row],[BW40_3705]],"")</f>
        <v/>
      </c>
      <c r="G6765" s="2" t="str">
        <f>IF(Table1[[#This Row],[Is Data Valid]]=TRUE,((Table1[[#This Row],[Birthweight (grams)]]/Table1[[#This Row],[BW_GA]])-1)/(Backend!$B$4/100*Table1[[#This Row],[BW40_3705]]),"")</f>
        <v/>
      </c>
      <c r="H6765" s="7" t="str">
        <f>IF(Table1[[#This Row],[Is Data Valid]]=TRUE,((Table1[[#This Row],[Birthweight (grams)]]*0.9/Table1[[#This Row],[BW_GA]])-1)/(Backend!$B$4/100*Table1[[#This Row],[BW40_3705]]),"")</f>
        <v/>
      </c>
      <c r="I6765" s="7" t="str">
        <f>IF(Table1[[#This Row],[Is Data Valid]]=TRUE,((Table1[[#This Row],[Birthweight (grams)]]*1.1/Table1[[#This Row],[BW_GA]])-1)/(Backend!$B$4/100*Table1[[#This Row],[BW40_3705]]),"")</f>
        <v/>
      </c>
      <c r="J6765" s="7" t="str">
        <f>IF(Table1[[#This Row],[Is Data Valid]]=TRUE,_xlfn.NORM.S.DIST(Table1[[#This Row],[Birthweight Z-Score]],TRUE)*100,"")</f>
        <v/>
      </c>
      <c r="K6765" s="7" t="str">
        <f>IF(Table1[[#This Row],[Is Data Valid]]=TRUE,_xlfn.NORM.S.DIST(Table1[[#This Row],[Birthweight Z-Score (BW-10%)]],TRUE)*100,"")</f>
        <v/>
      </c>
      <c r="L6765" s="7" t="str">
        <f>IF(Table1[[#This Row],[Is Data Valid]]=TRUE,_xlfn.NORM.S.DIST(Table1[[#This Row],[Birthweight Z-Score (BW+10%)]],TRUE)*100,"")</f>
        <v/>
      </c>
    </row>
    <row r="6766" spans="1:12" x14ac:dyDescent="0.35">
      <c r="A6766" s="3"/>
      <c r="B6766" s="2"/>
      <c r="C6766" s="2"/>
      <c r="D6766" s="2" t="b">
        <f>IF(AND(NOT(ISBLANK(Table1[[#This Row],[Fetal Sex (Male, Female or Unknown)]])),ISNUMBER(Table1[[#This Row],[Birthweight (grams)]]),ISNUMBER(Table1[[#This Row],[Gestation (days)]])),TRUE,FALSE)</f>
        <v>0</v>
      </c>
      <c r="E6766" s="2" t="str">
        <f>IF(Table1[[#This Row],[Is Data Valid]]=TRUE,IF(Table1[[#This Row],[Fetal Sex (Male, Female or Unknown)]]="Male",Backend!$C$6,IF(Table1[[#This Row],[Fetal Sex (Male, Female or Unknown)]]="Female",Backend!$C$7,IF(Table1[[#This Row],[Fetal Sex (Male, Female or Unknown)]]="Unknown",Backend!$C$8,"Error"))),"")</f>
        <v/>
      </c>
      <c r="F6766" s="8" t="str">
        <f>IF(Table1[[#This Row],[Is Data Valid]]=TRUE,EXP(0.578+0.332*((Table1[[#This Row],[Gestation (days)]]+0.5)/7)-0.00354*((Table1[[#This Row],[Gestation (days)]]+0.5)/7)^2)*Table1[[#This Row],[BW40_3705]],"")</f>
        <v/>
      </c>
      <c r="G6766" s="2" t="str">
        <f>IF(Table1[[#This Row],[Is Data Valid]]=TRUE,((Table1[[#This Row],[Birthweight (grams)]]/Table1[[#This Row],[BW_GA]])-1)/(Backend!$B$4/100*Table1[[#This Row],[BW40_3705]]),"")</f>
        <v/>
      </c>
      <c r="H6766" s="7" t="str">
        <f>IF(Table1[[#This Row],[Is Data Valid]]=TRUE,((Table1[[#This Row],[Birthweight (grams)]]*0.9/Table1[[#This Row],[BW_GA]])-1)/(Backend!$B$4/100*Table1[[#This Row],[BW40_3705]]),"")</f>
        <v/>
      </c>
      <c r="I6766" s="7" t="str">
        <f>IF(Table1[[#This Row],[Is Data Valid]]=TRUE,((Table1[[#This Row],[Birthweight (grams)]]*1.1/Table1[[#This Row],[BW_GA]])-1)/(Backend!$B$4/100*Table1[[#This Row],[BW40_3705]]),"")</f>
        <v/>
      </c>
      <c r="J6766" s="7" t="str">
        <f>IF(Table1[[#This Row],[Is Data Valid]]=TRUE,_xlfn.NORM.S.DIST(Table1[[#This Row],[Birthweight Z-Score]],TRUE)*100,"")</f>
        <v/>
      </c>
      <c r="K6766" s="7" t="str">
        <f>IF(Table1[[#This Row],[Is Data Valid]]=TRUE,_xlfn.NORM.S.DIST(Table1[[#This Row],[Birthweight Z-Score (BW-10%)]],TRUE)*100,"")</f>
        <v/>
      </c>
      <c r="L6766" s="7" t="str">
        <f>IF(Table1[[#This Row],[Is Data Valid]]=TRUE,_xlfn.NORM.S.DIST(Table1[[#This Row],[Birthweight Z-Score (BW+10%)]],TRUE)*100,"")</f>
        <v/>
      </c>
    </row>
    <row r="6767" spans="1:12" x14ac:dyDescent="0.35">
      <c r="A6767" s="3"/>
      <c r="B6767" s="2"/>
      <c r="C6767" s="2"/>
      <c r="D6767" s="2" t="b">
        <f>IF(AND(NOT(ISBLANK(Table1[[#This Row],[Fetal Sex (Male, Female or Unknown)]])),ISNUMBER(Table1[[#This Row],[Birthweight (grams)]]),ISNUMBER(Table1[[#This Row],[Gestation (days)]])),TRUE,FALSE)</f>
        <v>0</v>
      </c>
      <c r="E6767" s="2" t="str">
        <f>IF(Table1[[#This Row],[Is Data Valid]]=TRUE,IF(Table1[[#This Row],[Fetal Sex (Male, Female or Unknown)]]="Male",Backend!$C$6,IF(Table1[[#This Row],[Fetal Sex (Male, Female or Unknown)]]="Female",Backend!$C$7,IF(Table1[[#This Row],[Fetal Sex (Male, Female or Unknown)]]="Unknown",Backend!$C$8,"Error"))),"")</f>
        <v/>
      </c>
      <c r="F6767" s="8" t="str">
        <f>IF(Table1[[#This Row],[Is Data Valid]]=TRUE,EXP(0.578+0.332*((Table1[[#This Row],[Gestation (days)]]+0.5)/7)-0.00354*((Table1[[#This Row],[Gestation (days)]]+0.5)/7)^2)*Table1[[#This Row],[BW40_3705]],"")</f>
        <v/>
      </c>
      <c r="G6767" s="2" t="str">
        <f>IF(Table1[[#This Row],[Is Data Valid]]=TRUE,((Table1[[#This Row],[Birthweight (grams)]]/Table1[[#This Row],[BW_GA]])-1)/(Backend!$B$4/100*Table1[[#This Row],[BW40_3705]]),"")</f>
        <v/>
      </c>
      <c r="H6767" s="7" t="str">
        <f>IF(Table1[[#This Row],[Is Data Valid]]=TRUE,((Table1[[#This Row],[Birthweight (grams)]]*0.9/Table1[[#This Row],[BW_GA]])-1)/(Backend!$B$4/100*Table1[[#This Row],[BW40_3705]]),"")</f>
        <v/>
      </c>
      <c r="I6767" s="7" t="str">
        <f>IF(Table1[[#This Row],[Is Data Valid]]=TRUE,((Table1[[#This Row],[Birthweight (grams)]]*1.1/Table1[[#This Row],[BW_GA]])-1)/(Backend!$B$4/100*Table1[[#This Row],[BW40_3705]]),"")</f>
        <v/>
      </c>
      <c r="J6767" s="7" t="str">
        <f>IF(Table1[[#This Row],[Is Data Valid]]=TRUE,_xlfn.NORM.S.DIST(Table1[[#This Row],[Birthweight Z-Score]],TRUE)*100,"")</f>
        <v/>
      </c>
      <c r="K6767" s="7" t="str">
        <f>IF(Table1[[#This Row],[Is Data Valid]]=TRUE,_xlfn.NORM.S.DIST(Table1[[#This Row],[Birthweight Z-Score (BW-10%)]],TRUE)*100,"")</f>
        <v/>
      </c>
      <c r="L6767" s="7" t="str">
        <f>IF(Table1[[#This Row],[Is Data Valid]]=TRUE,_xlfn.NORM.S.DIST(Table1[[#This Row],[Birthweight Z-Score (BW+10%)]],TRUE)*100,"")</f>
        <v/>
      </c>
    </row>
    <row r="6768" spans="1:12" x14ac:dyDescent="0.35">
      <c r="A6768" s="3"/>
      <c r="B6768" s="2"/>
      <c r="C6768" s="2"/>
      <c r="D6768" s="2" t="b">
        <f>IF(AND(NOT(ISBLANK(Table1[[#This Row],[Fetal Sex (Male, Female or Unknown)]])),ISNUMBER(Table1[[#This Row],[Birthweight (grams)]]),ISNUMBER(Table1[[#This Row],[Gestation (days)]])),TRUE,FALSE)</f>
        <v>0</v>
      </c>
      <c r="E6768" s="2" t="str">
        <f>IF(Table1[[#This Row],[Is Data Valid]]=TRUE,IF(Table1[[#This Row],[Fetal Sex (Male, Female or Unknown)]]="Male",Backend!$C$6,IF(Table1[[#This Row],[Fetal Sex (Male, Female or Unknown)]]="Female",Backend!$C$7,IF(Table1[[#This Row],[Fetal Sex (Male, Female or Unknown)]]="Unknown",Backend!$C$8,"Error"))),"")</f>
        <v/>
      </c>
      <c r="F6768" s="8" t="str">
        <f>IF(Table1[[#This Row],[Is Data Valid]]=TRUE,EXP(0.578+0.332*((Table1[[#This Row],[Gestation (days)]]+0.5)/7)-0.00354*((Table1[[#This Row],[Gestation (days)]]+0.5)/7)^2)*Table1[[#This Row],[BW40_3705]],"")</f>
        <v/>
      </c>
      <c r="G6768" s="2" t="str">
        <f>IF(Table1[[#This Row],[Is Data Valid]]=TRUE,((Table1[[#This Row],[Birthweight (grams)]]/Table1[[#This Row],[BW_GA]])-1)/(Backend!$B$4/100*Table1[[#This Row],[BW40_3705]]),"")</f>
        <v/>
      </c>
      <c r="H6768" s="7" t="str">
        <f>IF(Table1[[#This Row],[Is Data Valid]]=TRUE,((Table1[[#This Row],[Birthweight (grams)]]*0.9/Table1[[#This Row],[BW_GA]])-1)/(Backend!$B$4/100*Table1[[#This Row],[BW40_3705]]),"")</f>
        <v/>
      </c>
      <c r="I6768" s="7" t="str">
        <f>IF(Table1[[#This Row],[Is Data Valid]]=TRUE,((Table1[[#This Row],[Birthweight (grams)]]*1.1/Table1[[#This Row],[BW_GA]])-1)/(Backend!$B$4/100*Table1[[#This Row],[BW40_3705]]),"")</f>
        <v/>
      </c>
      <c r="J6768" s="7" t="str">
        <f>IF(Table1[[#This Row],[Is Data Valid]]=TRUE,_xlfn.NORM.S.DIST(Table1[[#This Row],[Birthweight Z-Score]],TRUE)*100,"")</f>
        <v/>
      </c>
      <c r="K6768" s="7" t="str">
        <f>IF(Table1[[#This Row],[Is Data Valid]]=TRUE,_xlfn.NORM.S.DIST(Table1[[#This Row],[Birthweight Z-Score (BW-10%)]],TRUE)*100,"")</f>
        <v/>
      </c>
      <c r="L6768" s="7" t="str">
        <f>IF(Table1[[#This Row],[Is Data Valid]]=TRUE,_xlfn.NORM.S.DIST(Table1[[#This Row],[Birthweight Z-Score (BW+10%)]],TRUE)*100,"")</f>
        <v/>
      </c>
    </row>
    <row r="6769" spans="1:12" x14ac:dyDescent="0.35">
      <c r="A6769" s="3"/>
      <c r="B6769" s="2"/>
      <c r="C6769" s="2"/>
      <c r="D6769" s="2" t="b">
        <f>IF(AND(NOT(ISBLANK(Table1[[#This Row],[Fetal Sex (Male, Female or Unknown)]])),ISNUMBER(Table1[[#This Row],[Birthweight (grams)]]),ISNUMBER(Table1[[#This Row],[Gestation (days)]])),TRUE,FALSE)</f>
        <v>0</v>
      </c>
      <c r="E6769" s="2" t="str">
        <f>IF(Table1[[#This Row],[Is Data Valid]]=TRUE,IF(Table1[[#This Row],[Fetal Sex (Male, Female or Unknown)]]="Male",Backend!$C$6,IF(Table1[[#This Row],[Fetal Sex (Male, Female or Unknown)]]="Female",Backend!$C$7,IF(Table1[[#This Row],[Fetal Sex (Male, Female or Unknown)]]="Unknown",Backend!$C$8,"Error"))),"")</f>
        <v/>
      </c>
      <c r="F6769" s="8" t="str">
        <f>IF(Table1[[#This Row],[Is Data Valid]]=TRUE,EXP(0.578+0.332*((Table1[[#This Row],[Gestation (days)]]+0.5)/7)-0.00354*((Table1[[#This Row],[Gestation (days)]]+0.5)/7)^2)*Table1[[#This Row],[BW40_3705]],"")</f>
        <v/>
      </c>
      <c r="G6769" s="2" t="str">
        <f>IF(Table1[[#This Row],[Is Data Valid]]=TRUE,((Table1[[#This Row],[Birthweight (grams)]]/Table1[[#This Row],[BW_GA]])-1)/(Backend!$B$4/100*Table1[[#This Row],[BW40_3705]]),"")</f>
        <v/>
      </c>
      <c r="H6769" s="7" t="str">
        <f>IF(Table1[[#This Row],[Is Data Valid]]=TRUE,((Table1[[#This Row],[Birthweight (grams)]]*0.9/Table1[[#This Row],[BW_GA]])-1)/(Backend!$B$4/100*Table1[[#This Row],[BW40_3705]]),"")</f>
        <v/>
      </c>
      <c r="I6769" s="7" t="str">
        <f>IF(Table1[[#This Row],[Is Data Valid]]=TRUE,((Table1[[#This Row],[Birthweight (grams)]]*1.1/Table1[[#This Row],[BW_GA]])-1)/(Backend!$B$4/100*Table1[[#This Row],[BW40_3705]]),"")</f>
        <v/>
      </c>
      <c r="J6769" s="7" t="str">
        <f>IF(Table1[[#This Row],[Is Data Valid]]=TRUE,_xlfn.NORM.S.DIST(Table1[[#This Row],[Birthweight Z-Score]],TRUE)*100,"")</f>
        <v/>
      </c>
      <c r="K6769" s="7" t="str">
        <f>IF(Table1[[#This Row],[Is Data Valid]]=TRUE,_xlfn.NORM.S.DIST(Table1[[#This Row],[Birthweight Z-Score (BW-10%)]],TRUE)*100,"")</f>
        <v/>
      </c>
      <c r="L6769" s="7" t="str">
        <f>IF(Table1[[#This Row],[Is Data Valid]]=TRUE,_xlfn.NORM.S.DIST(Table1[[#This Row],[Birthweight Z-Score (BW+10%)]],TRUE)*100,"")</f>
        <v/>
      </c>
    </row>
    <row r="6770" spans="1:12" x14ac:dyDescent="0.35">
      <c r="A6770" s="3"/>
      <c r="B6770" s="2"/>
      <c r="C6770" s="2"/>
      <c r="D6770" s="2" t="b">
        <f>IF(AND(NOT(ISBLANK(Table1[[#This Row],[Fetal Sex (Male, Female or Unknown)]])),ISNUMBER(Table1[[#This Row],[Birthweight (grams)]]),ISNUMBER(Table1[[#This Row],[Gestation (days)]])),TRUE,FALSE)</f>
        <v>0</v>
      </c>
      <c r="E6770" s="2" t="str">
        <f>IF(Table1[[#This Row],[Is Data Valid]]=TRUE,IF(Table1[[#This Row],[Fetal Sex (Male, Female or Unknown)]]="Male",Backend!$C$6,IF(Table1[[#This Row],[Fetal Sex (Male, Female or Unknown)]]="Female",Backend!$C$7,IF(Table1[[#This Row],[Fetal Sex (Male, Female or Unknown)]]="Unknown",Backend!$C$8,"Error"))),"")</f>
        <v/>
      </c>
      <c r="F6770" s="8" t="str">
        <f>IF(Table1[[#This Row],[Is Data Valid]]=TRUE,EXP(0.578+0.332*((Table1[[#This Row],[Gestation (days)]]+0.5)/7)-0.00354*((Table1[[#This Row],[Gestation (days)]]+0.5)/7)^2)*Table1[[#This Row],[BW40_3705]],"")</f>
        <v/>
      </c>
      <c r="G6770" s="2" t="str">
        <f>IF(Table1[[#This Row],[Is Data Valid]]=TRUE,((Table1[[#This Row],[Birthweight (grams)]]/Table1[[#This Row],[BW_GA]])-1)/(Backend!$B$4/100*Table1[[#This Row],[BW40_3705]]),"")</f>
        <v/>
      </c>
      <c r="H6770" s="7" t="str">
        <f>IF(Table1[[#This Row],[Is Data Valid]]=TRUE,((Table1[[#This Row],[Birthweight (grams)]]*0.9/Table1[[#This Row],[BW_GA]])-1)/(Backend!$B$4/100*Table1[[#This Row],[BW40_3705]]),"")</f>
        <v/>
      </c>
      <c r="I6770" s="7" t="str">
        <f>IF(Table1[[#This Row],[Is Data Valid]]=TRUE,((Table1[[#This Row],[Birthweight (grams)]]*1.1/Table1[[#This Row],[BW_GA]])-1)/(Backend!$B$4/100*Table1[[#This Row],[BW40_3705]]),"")</f>
        <v/>
      </c>
      <c r="J6770" s="7" t="str">
        <f>IF(Table1[[#This Row],[Is Data Valid]]=TRUE,_xlfn.NORM.S.DIST(Table1[[#This Row],[Birthweight Z-Score]],TRUE)*100,"")</f>
        <v/>
      </c>
      <c r="K6770" s="7" t="str">
        <f>IF(Table1[[#This Row],[Is Data Valid]]=TRUE,_xlfn.NORM.S.DIST(Table1[[#This Row],[Birthweight Z-Score (BW-10%)]],TRUE)*100,"")</f>
        <v/>
      </c>
      <c r="L6770" s="7" t="str">
        <f>IF(Table1[[#This Row],[Is Data Valid]]=TRUE,_xlfn.NORM.S.DIST(Table1[[#This Row],[Birthweight Z-Score (BW+10%)]],TRUE)*100,"")</f>
        <v/>
      </c>
    </row>
    <row r="6771" spans="1:12" x14ac:dyDescent="0.35">
      <c r="A6771" s="3"/>
      <c r="B6771" s="2"/>
      <c r="C6771" s="2"/>
      <c r="D6771" s="2" t="b">
        <f>IF(AND(NOT(ISBLANK(Table1[[#This Row],[Fetal Sex (Male, Female or Unknown)]])),ISNUMBER(Table1[[#This Row],[Birthweight (grams)]]),ISNUMBER(Table1[[#This Row],[Gestation (days)]])),TRUE,FALSE)</f>
        <v>0</v>
      </c>
      <c r="E6771" s="2" t="str">
        <f>IF(Table1[[#This Row],[Is Data Valid]]=TRUE,IF(Table1[[#This Row],[Fetal Sex (Male, Female or Unknown)]]="Male",Backend!$C$6,IF(Table1[[#This Row],[Fetal Sex (Male, Female or Unknown)]]="Female",Backend!$C$7,IF(Table1[[#This Row],[Fetal Sex (Male, Female or Unknown)]]="Unknown",Backend!$C$8,"Error"))),"")</f>
        <v/>
      </c>
      <c r="F6771" s="8" t="str">
        <f>IF(Table1[[#This Row],[Is Data Valid]]=TRUE,EXP(0.578+0.332*((Table1[[#This Row],[Gestation (days)]]+0.5)/7)-0.00354*((Table1[[#This Row],[Gestation (days)]]+0.5)/7)^2)*Table1[[#This Row],[BW40_3705]],"")</f>
        <v/>
      </c>
      <c r="G6771" s="2" t="str">
        <f>IF(Table1[[#This Row],[Is Data Valid]]=TRUE,((Table1[[#This Row],[Birthweight (grams)]]/Table1[[#This Row],[BW_GA]])-1)/(Backend!$B$4/100*Table1[[#This Row],[BW40_3705]]),"")</f>
        <v/>
      </c>
      <c r="H6771" s="7" t="str">
        <f>IF(Table1[[#This Row],[Is Data Valid]]=TRUE,((Table1[[#This Row],[Birthweight (grams)]]*0.9/Table1[[#This Row],[BW_GA]])-1)/(Backend!$B$4/100*Table1[[#This Row],[BW40_3705]]),"")</f>
        <v/>
      </c>
      <c r="I6771" s="7" t="str">
        <f>IF(Table1[[#This Row],[Is Data Valid]]=TRUE,((Table1[[#This Row],[Birthweight (grams)]]*1.1/Table1[[#This Row],[BW_GA]])-1)/(Backend!$B$4/100*Table1[[#This Row],[BW40_3705]]),"")</f>
        <v/>
      </c>
      <c r="J6771" s="7" t="str">
        <f>IF(Table1[[#This Row],[Is Data Valid]]=TRUE,_xlfn.NORM.S.DIST(Table1[[#This Row],[Birthweight Z-Score]],TRUE)*100,"")</f>
        <v/>
      </c>
      <c r="K6771" s="7" t="str">
        <f>IF(Table1[[#This Row],[Is Data Valid]]=TRUE,_xlfn.NORM.S.DIST(Table1[[#This Row],[Birthweight Z-Score (BW-10%)]],TRUE)*100,"")</f>
        <v/>
      </c>
      <c r="L6771" s="7" t="str">
        <f>IF(Table1[[#This Row],[Is Data Valid]]=TRUE,_xlfn.NORM.S.DIST(Table1[[#This Row],[Birthweight Z-Score (BW+10%)]],TRUE)*100,"")</f>
        <v/>
      </c>
    </row>
    <row r="6772" spans="1:12" x14ac:dyDescent="0.35">
      <c r="A6772" s="3"/>
      <c r="B6772" s="2"/>
      <c r="C6772" s="2"/>
      <c r="D6772" s="2" t="b">
        <f>IF(AND(NOT(ISBLANK(Table1[[#This Row],[Fetal Sex (Male, Female or Unknown)]])),ISNUMBER(Table1[[#This Row],[Birthweight (grams)]]),ISNUMBER(Table1[[#This Row],[Gestation (days)]])),TRUE,FALSE)</f>
        <v>0</v>
      </c>
      <c r="E6772" s="2" t="str">
        <f>IF(Table1[[#This Row],[Is Data Valid]]=TRUE,IF(Table1[[#This Row],[Fetal Sex (Male, Female or Unknown)]]="Male",Backend!$C$6,IF(Table1[[#This Row],[Fetal Sex (Male, Female or Unknown)]]="Female",Backend!$C$7,IF(Table1[[#This Row],[Fetal Sex (Male, Female or Unknown)]]="Unknown",Backend!$C$8,"Error"))),"")</f>
        <v/>
      </c>
      <c r="F6772" s="8" t="str">
        <f>IF(Table1[[#This Row],[Is Data Valid]]=TRUE,EXP(0.578+0.332*((Table1[[#This Row],[Gestation (days)]]+0.5)/7)-0.00354*((Table1[[#This Row],[Gestation (days)]]+0.5)/7)^2)*Table1[[#This Row],[BW40_3705]],"")</f>
        <v/>
      </c>
      <c r="G6772" s="2" t="str">
        <f>IF(Table1[[#This Row],[Is Data Valid]]=TRUE,((Table1[[#This Row],[Birthweight (grams)]]/Table1[[#This Row],[BW_GA]])-1)/(Backend!$B$4/100*Table1[[#This Row],[BW40_3705]]),"")</f>
        <v/>
      </c>
      <c r="H6772" s="7" t="str">
        <f>IF(Table1[[#This Row],[Is Data Valid]]=TRUE,((Table1[[#This Row],[Birthweight (grams)]]*0.9/Table1[[#This Row],[BW_GA]])-1)/(Backend!$B$4/100*Table1[[#This Row],[BW40_3705]]),"")</f>
        <v/>
      </c>
      <c r="I6772" s="7" t="str">
        <f>IF(Table1[[#This Row],[Is Data Valid]]=TRUE,((Table1[[#This Row],[Birthweight (grams)]]*1.1/Table1[[#This Row],[BW_GA]])-1)/(Backend!$B$4/100*Table1[[#This Row],[BW40_3705]]),"")</f>
        <v/>
      </c>
      <c r="J6772" s="7" t="str">
        <f>IF(Table1[[#This Row],[Is Data Valid]]=TRUE,_xlfn.NORM.S.DIST(Table1[[#This Row],[Birthweight Z-Score]],TRUE)*100,"")</f>
        <v/>
      </c>
      <c r="K6772" s="7" t="str">
        <f>IF(Table1[[#This Row],[Is Data Valid]]=TRUE,_xlfn.NORM.S.DIST(Table1[[#This Row],[Birthweight Z-Score (BW-10%)]],TRUE)*100,"")</f>
        <v/>
      </c>
      <c r="L6772" s="7" t="str">
        <f>IF(Table1[[#This Row],[Is Data Valid]]=TRUE,_xlfn.NORM.S.DIST(Table1[[#This Row],[Birthweight Z-Score (BW+10%)]],TRUE)*100,"")</f>
        <v/>
      </c>
    </row>
    <row r="6773" spans="1:12" x14ac:dyDescent="0.35">
      <c r="A6773" s="3"/>
      <c r="B6773" s="2"/>
      <c r="C6773" s="2"/>
      <c r="D6773" s="2" t="b">
        <f>IF(AND(NOT(ISBLANK(Table1[[#This Row],[Fetal Sex (Male, Female or Unknown)]])),ISNUMBER(Table1[[#This Row],[Birthweight (grams)]]),ISNUMBER(Table1[[#This Row],[Gestation (days)]])),TRUE,FALSE)</f>
        <v>0</v>
      </c>
      <c r="E6773" s="2" t="str">
        <f>IF(Table1[[#This Row],[Is Data Valid]]=TRUE,IF(Table1[[#This Row],[Fetal Sex (Male, Female or Unknown)]]="Male",Backend!$C$6,IF(Table1[[#This Row],[Fetal Sex (Male, Female or Unknown)]]="Female",Backend!$C$7,IF(Table1[[#This Row],[Fetal Sex (Male, Female or Unknown)]]="Unknown",Backend!$C$8,"Error"))),"")</f>
        <v/>
      </c>
      <c r="F6773" s="8" t="str">
        <f>IF(Table1[[#This Row],[Is Data Valid]]=TRUE,EXP(0.578+0.332*((Table1[[#This Row],[Gestation (days)]]+0.5)/7)-0.00354*((Table1[[#This Row],[Gestation (days)]]+0.5)/7)^2)*Table1[[#This Row],[BW40_3705]],"")</f>
        <v/>
      </c>
      <c r="G6773" s="2" t="str">
        <f>IF(Table1[[#This Row],[Is Data Valid]]=TRUE,((Table1[[#This Row],[Birthweight (grams)]]/Table1[[#This Row],[BW_GA]])-1)/(Backend!$B$4/100*Table1[[#This Row],[BW40_3705]]),"")</f>
        <v/>
      </c>
      <c r="H6773" s="7" t="str">
        <f>IF(Table1[[#This Row],[Is Data Valid]]=TRUE,((Table1[[#This Row],[Birthweight (grams)]]*0.9/Table1[[#This Row],[BW_GA]])-1)/(Backend!$B$4/100*Table1[[#This Row],[BW40_3705]]),"")</f>
        <v/>
      </c>
      <c r="I6773" s="7" t="str">
        <f>IF(Table1[[#This Row],[Is Data Valid]]=TRUE,((Table1[[#This Row],[Birthweight (grams)]]*1.1/Table1[[#This Row],[BW_GA]])-1)/(Backend!$B$4/100*Table1[[#This Row],[BW40_3705]]),"")</f>
        <v/>
      </c>
      <c r="J6773" s="7" t="str">
        <f>IF(Table1[[#This Row],[Is Data Valid]]=TRUE,_xlfn.NORM.S.DIST(Table1[[#This Row],[Birthweight Z-Score]],TRUE)*100,"")</f>
        <v/>
      </c>
      <c r="K6773" s="7" t="str">
        <f>IF(Table1[[#This Row],[Is Data Valid]]=TRUE,_xlfn.NORM.S.DIST(Table1[[#This Row],[Birthweight Z-Score (BW-10%)]],TRUE)*100,"")</f>
        <v/>
      </c>
      <c r="L6773" s="7" t="str">
        <f>IF(Table1[[#This Row],[Is Data Valid]]=TRUE,_xlfn.NORM.S.DIST(Table1[[#This Row],[Birthweight Z-Score (BW+10%)]],TRUE)*100,"")</f>
        <v/>
      </c>
    </row>
    <row r="6774" spans="1:12" x14ac:dyDescent="0.35">
      <c r="A6774" s="3"/>
      <c r="B6774" s="2"/>
      <c r="C6774" s="2"/>
      <c r="D6774" s="2" t="b">
        <f>IF(AND(NOT(ISBLANK(Table1[[#This Row],[Fetal Sex (Male, Female or Unknown)]])),ISNUMBER(Table1[[#This Row],[Birthweight (grams)]]),ISNUMBER(Table1[[#This Row],[Gestation (days)]])),TRUE,FALSE)</f>
        <v>0</v>
      </c>
      <c r="E6774" s="2" t="str">
        <f>IF(Table1[[#This Row],[Is Data Valid]]=TRUE,IF(Table1[[#This Row],[Fetal Sex (Male, Female or Unknown)]]="Male",Backend!$C$6,IF(Table1[[#This Row],[Fetal Sex (Male, Female or Unknown)]]="Female",Backend!$C$7,IF(Table1[[#This Row],[Fetal Sex (Male, Female or Unknown)]]="Unknown",Backend!$C$8,"Error"))),"")</f>
        <v/>
      </c>
      <c r="F6774" s="8" t="str">
        <f>IF(Table1[[#This Row],[Is Data Valid]]=TRUE,EXP(0.578+0.332*((Table1[[#This Row],[Gestation (days)]]+0.5)/7)-0.00354*((Table1[[#This Row],[Gestation (days)]]+0.5)/7)^2)*Table1[[#This Row],[BW40_3705]],"")</f>
        <v/>
      </c>
      <c r="G6774" s="2" t="str">
        <f>IF(Table1[[#This Row],[Is Data Valid]]=TRUE,((Table1[[#This Row],[Birthweight (grams)]]/Table1[[#This Row],[BW_GA]])-1)/(Backend!$B$4/100*Table1[[#This Row],[BW40_3705]]),"")</f>
        <v/>
      </c>
      <c r="H6774" s="7" t="str">
        <f>IF(Table1[[#This Row],[Is Data Valid]]=TRUE,((Table1[[#This Row],[Birthweight (grams)]]*0.9/Table1[[#This Row],[BW_GA]])-1)/(Backend!$B$4/100*Table1[[#This Row],[BW40_3705]]),"")</f>
        <v/>
      </c>
      <c r="I6774" s="7" t="str">
        <f>IF(Table1[[#This Row],[Is Data Valid]]=TRUE,((Table1[[#This Row],[Birthweight (grams)]]*1.1/Table1[[#This Row],[BW_GA]])-1)/(Backend!$B$4/100*Table1[[#This Row],[BW40_3705]]),"")</f>
        <v/>
      </c>
      <c r="J6774" s="7" t="str">
        <f>IF(Table1[[#This Row],[Is Data Valid]]=TRUE,_xlfn.NORM.S.DIST(Table1[[#This Row],[Birthweight Z-Score]],TRUE)*100,"")</f>
        <v/>
      </c>
      <c r="K6774" s="7" t="str">
        <f>IF(Table1[[#This Row],[Is Data Valid]]=TRUE,_xlfn.NORM.S.DIST(Table1[[#This Row],[Birthweight Z-Score (BW-10%)]],TRUE)*100,"")</f>
        <v/>
      </c>
      <c r="L6774" s="7" t="str">
        <f>IF(Table1[[#This Row],[Is Data Valid]]=TRUE,_xlfn.NORM.S.DIST(Table1[[#This Row],[Birthweight Z-Score (BW+10%)]],TRUE)*100,"")</f>
        <v/>
      </c>
    </row>
    <row r="6775" spans="1:12" x14ac:dyDescent="0.35">
      <c r="A6775" s="3"/>
      <c r="B6775" s="2"/>
      <c r="C6775" s="2"/>
      <c r="D6775" s="2" t="b">
        <f>IF(AND(NOT(ISBLANK(Table1[[#This Row],[Fetal Sex (Male, Female or Unknown)]])),ISNUMBER(Table1[[#This Row],[Birthweight (grams)]]),ISNUMBER(Table1[[#This Row],[Gestation (days)]])),TRUE,FALSE)</f>
        <v>0</v>
      </c>
      <c r="E6775" s="2" t="str">
        <f>IF(Table1[[#This Row],[Is Data Valid]]=TRUE,IF(Table1[[#This Row],[Fetal Sex (Male, Female or Unknown)]]="Male",Backend!$C$6,IF(Table1[[#This Row],[Fetal Sex (Male, Female or Unknown)]]="Female",Backend!$C$7,IF(Table1[[#This Row],[Fetal Sex (Male, Female or Unknown)]]="Unknown",Backend!$C$8,"Error"))),"")</f>
        <v/>
      </c>
      <c r="F6775" s="8" t="str">
        <f>IF(Table1[[#This Row],[Is Data Valid]]=TRUE,EXP(0.578+0.332*((Table1[[#This Row],[Gestation (days)]]+0.5)/7)-0.00354*((Table1[[#This Row],[Gestation (days)]]+0.5)/7)^2)*Table1[[#This Row],[BW40_3705]],"")</f>
        <v/>
      </c>
      <c r="G6775" s="2" t="str">
        <f>IF(Table1[[#This Row],[Is Data Valid]]=TRUE,((Table1[[#This Row],[Birthweight (grams)]]/Table1[[#This Row],[BW_GA]])-1)/(Backend!$B$4/100*Table1[[#This Row],[BW40_3705]]),"")</f>
        <v/>
      </c>
      <c r="H6775" s="7" t="str">
        <f>IF(Table1[[#This Row],[Is Data Valid]]=TRUE,((Table1[[#This Row],[Birthweight (grams)]]*0.9/Table1[[#This Row],[BW_GA]])-1)/(Backend!$B$4/100*Table1[[#This Row],[BW40_3705]]),"")</f>
        <v/>
      </c>
      <c r="I6775" s="7" t="str">
        <f>IF(Table1[[#This Row],[Is Data Valid]]=TRUE,((Table1[[#This Row],[Birthweight (grams)]]*1.1/Table1[[#This Row],[BW_GA]])-1)/(Backend!$B$4/100*Table1[[#This Row],[BW40_3705]]),"")</f>
        <v/>
      </c>
      <c r="J6775" s="7" t="str">
        <f>IF(Table1[[#This Row],[Is Data Valid]]=TRUE,_xlfn.NORM.S.DIST(Table1[[#This Row],[Birthweight Z-Score]],TRUE)*100,"")</f>
        <v/>
      </c>
      <c r="K6775" s="7" t="str">
        <f>IF(Table1[[#This Row],[Is Data Valid]]=TRUE,_xlfn.NORM.S.DIST(Table1[[#This Row],[Birthweight Z-Score (BW-10%)]],TRUE)*100,"")</f>
        <v/>
      </c>
      <c r="L6775" s="7" t="str">
        <f>IF(Table1[[#This Row],[Is Data Valid]]=TRUE,_xlfn.NORM.S.DIST(Table1[[#This Row],[Birthweight Z-Score (BW+10%)]],TRUE)*100,"")</f>
        <v/>
      </c>
    </row>
    <row r="6776" spans="1:12" x14ac:dyDescent="0.35">
      <c r="A6776" s="3"/>
      <c r="B6776" s="2"/>
      <c r="C6776" s="2"/>
      <c r="D6776" s="2" t="b">
        <f>IF(AND(NOT(ISBLANK(Table1[[#This Row],[Fetal Sex (Male, Female or Unknown)]])),ISNUMBER(Table1[[#This Row],[Birthweight (grams)]]),ISNUMBER(Table1[[#This Row],[Gestation (days)]])),TRUE,FALSE)</f>
        <v>0</v>
      </c>
      <c r="E6776" s="2" t="str">
        <f>IF(Table1[[#This Row],[Is Data Valid]]=TRUE,IF(Table1[[#This Row],[Fetal Sex (Male, Female or Unknown)]]="Male",Backend!$C$6,IF(Table1[[#This Row],[Fetal Sex (Male, Female or Unknown)]]="Female",Backend!$C$7,IF(Table1[[#This Row],[Fetal Sex (Male, Female or Unknown)]]="Unknown",Backend!$C$8,"Error"))),"")</f>
        <v/>
      </c>
      <c r="F6776" s="8" t="str">
        <f>IF(Table1[[#This Row],[Is Data Valid]]=TRUE,EXP(0.578+0.332*((Table1[[#This Row],[Gestation (days)]]+0.5)/7)-0.00354*((Table1[[#This Row],[Gestation (days)]]+0.5)/7)^2)*Table1[[#This Row],[BW40_3705]],"")</f>
        <v/>
      </c>
      <c r="G6776" s="2" t="str">
        <f>IF(Table1[[#This Row],[Is Data Valid]]=TRUE,((Table1[[#This Row],[Birthweight (grams)]]/Table1[[#This Row],[BW_GA]])-1)/(Backend!$B$4/100*Table1[[#This Row],[BW40_3705]]),"")</f>
        <v/>
      </c>
      <c r="H6776" s="7" t="str">
        <f>IF(Table1[[#This Row],[Is Data Valid]]=TRUE,((Table1[[#This Row],[Birthweight (grams)]]*0.9/Table1[[#This Row],[BW_GA]])-1)/(Backend!$B$4/100*Table1[[#This Row],[BW40_3705]]),"")</f>
        <v/>
      </c>
      <c r="I6776" s="7" t="str">
        <f>IF(Table1[[#This Row],[Is Data Valid]]=TRUE,((Table1[[#This Row],[Birthweight (grams)]]*1.1/Table1[[#This Row],[BW_GA]])-1)/(Backend!$B$4/100*Table1[[#This Row],[BW40_3705]]),"")</f>
        <v/>
      </c>
      <c r="J6776" s="7" t="str">
        <f>IF(Table1[[#This Row],[Is Data Valid]]=TRUE,_xlfn.NORM.S.DIST(Table1[[#This Row],[Birthweight Z-Score]],TRUE)*100,"")</f>
        <v/>
      </c>
      <c r="K6776" s="7" t="str">
        <f>IF(Table1[[#This Row],[Is Data Valid]]=TRUE,_xlfn.NORM.S.DIST(Table1[[#This Row],[Birthweight Z-Score (BW-10%)]],TRUE)*100,"")</f>
        <v/>
      </c>
      <c r="L6776" s="7" t="str">
        <f>IF(Table1[[#This Row],[Is Data Valid]]=TRUE,_xlfn.NORM.S.DIST(Table1[[#This Row],[Birthweight Z-Score (BW+10%)]],TRUE)*100,"")</f>
        <v/>
      </c>
    </row>
    <row r="6777" spans="1:12" x14ac:dyDescent="0.35">
      <c r="A6777" s="3"/>
      <c r="B6777" s="2"/>
      <c r="C6777" s="2"/>
      <c r="D6777" s="2" t="b">
        <f>IF(AND(NOT(ISBLANK(Table1[[#This Row],[Fetal Sex (Male, Female or Unknown)]])),ISNUMBER(Table1[[#This Row],[Birthweight (grams)]]),ISNUMBER(Table1[[#This Row],[Gestation (days)]])),TRUE,FALSE)</f>
        <v>0</v>
      </c>
      <c r="E6777" s="2" t="str">
        <f>IF(Table1[[#This Row],[Is Data Valid]]=TRUE,IF(Table1[[#This Row],[Fetal Sex (Male, Female or Unknown)]]="Male",Backend!$C$6,IF(Table1[[#This Row],[Fetal Sex (Male, Female or Unknown)]]="Female",Backend!$C$7,IF(Table1[[#This Row],[Fetal Sex (Male, Female or Unknown)]]="Unknown",Backend!$C$8,"Error"))),"")</f>
        <v/>
      </c>
      <c r="F6777" s="8" t="str">
        <f>IF(Table1[[#This Row],[Is Data Valid]]=TRUE,EXP(0.578+0.332*((Table1[[#This Row],[Gestation (days)]]+0.5)/7)-0.00354*((Table1[[#This Row],[Gestation (days)]]+0.5)/7)^2)*Table1[[#This Row],[BW40_3705]],"")</f>
        <v/>
      </c>
      <c r="G6777" s="2" t="str">
        <f>IF(Table1[[#This Row],[Is Data Valid]]=TRUE,((Table1[[#This Row],[Birthweight (grams)]]/Table1[[#This Row],[BW_GA]])-1)/(Backend!$B$4/100*Table1[[#This Row],[BW40_3705]]),"")</f>
        <v/>
      </c>
      <c r="H6777" s="7" t="str">
        <f>IF(Table1[[#This Row],[Is Data Valid]]=TRUE,((Table1[[#This Row],[Birthweight (grams)]]*0.9/Table1[[#This Row],[BW_GA]])-1)/(Backend!$B$4/100*Table1[[#This Row],[BW40_3705]]),"")</f>
        <v/>
      </c>
      <c r="I6777" s="7" t="str">
        <f>IF(Table1[[#This Row],[Is Data Valid]]=TRUE,((Table1[[#This Row],[Birthweight (grams)]]*1.1/Table1[[#This Row],[BW_GA]])-1)/(Backend!$B$4/100*Table1[[#This Row],[BW40_3705]]),"")</f>
        <v/>
      </c>
      <c r="J6777" s="7" t="str">
        <f>IF(Table1[[#This Row],[Is Data Valid]]=TRUE,_xlfn.NORM.S.DIST(Table1[[#This Row],[Birthweight Z-Score]],TRUE)*100,"")</f>
        <v/>
      </c>
      <c r="K6777" s="7" t="str">
        <f>IF(Table1[[#This Row],[Is Data Valid]]=TRUE,_xlfn.NORM.S.DIST(Table1[[#This Row],[Birthweight Z-Score (BW-10%)]],TRUE)*100,"")</f>
        <v/>
      </c>
      <c r="L6777" s="7" t="str">
        <f>IF(Table1[[#This Row],[Is Data Valid]]=TRUE,_xlfn.NORM.S.DIST(Table1[[#This Row],[Birthweight Z-Score (BW+10%)]],TRUE)*100,"")</f>
        <v/>
      </c>
    </row>
    <row r="6778" spans="1:12" x14ac:dyDescent="0.35">
      <c r="A6778" s="3"/>
      <c r="B6778" s="2"/>
      <c r="C6778" s="2"/>
      <c r="D6778" s="2" t="b">
        <f>IF(AND(NOT(ISBLANK(Table1[[#This Row],[Fetal Sex (Male, Female or Unknown)]])),ISNUMBER(Table1[[#This Row],[Birthweight (grams)]]),ISNUMBER(Table1[[#This Row],[Gestation (days)]])),TRUE,FALSE)</f>
        <v>0</v>
      </c>
      <c r="E6778" s="2" t="str">
        <f>IF(Table1[[#This Row],[Is Data Valid]]=TRUE,IF(Table1[[#This Row],[Fetal Sex (Male, Female or Unknown)]]="Male",Backend!$C$6,IF(Table1[[#This Row],[Fetal Sex (Male, Female or Unknown)]]="Female",Backend!$C$7,IF(Table1[[#This Row],[Fetal Sex (Male, Female or Unknown)]]="Unknown",Backend!$C$8,"Error"))),"")</f>
        <v/>
      </c>
      <c r="F6778" s="8" t="str">
        <f>IF(Table1[[#This Row],[Is Data Valid]]=TRUE,EXP(0.578+0.332*((Table1[[#This Row],[Gestation (days)]]+0.5)/7)-0.00354*((Table1[[#This Row],[Gestation (days)]]+0.5)/7)^2)*Table1[[#This Row],[BW40_3705]],"")</f>
        <v/>
      </c>
      <c r="G6778" s="2" t="str">
        <f>IF(Table1[[#This Row],[Is Data Valid]]=TRUE,((Table1[[#This Row],[Birthweight (grams)]]/Table1[[#This Row],[BW_GA]])-1)/(Backend!$B$4/100*Table1[[#This Row],[BW40_3705]]),"")</f>
        <v/>
      </c>
      <c r="H6778" s="7" t="str">
        <f>IF(Table1[[#This Row],[Is Data Valid]]=TRUE,((Table1[[#This Row],[Birthweight (grams)]]*0.9/Table1[[#This Row],[BW_GA]])-1)/(Backend!$B$4/100*Table1[[#This Row],[BW40_3705]]),"")</f>
        <v/>
      </c>
      <c r="I6778" s="7" t="str">
        <f>IF(Table1[[#This Row],[Is Data Valid]]=TRUE,((Table1[[#This Row],[Birthweight (grams)]]*1.1/Table1[[#This Row],[BW_GA]])-1)/(Backend!$B$4/100*Table1[[#This Row],[BW40_3705]]),"")</f>
        <v/>
      </c>
      <c r="J6778" s="7" t="str">
        <f>IF(Table1[[#This Row],[Is Data Valid]]=TRUE,_xlfn.NORM.S.DIST(Table1[[#This Row],[Birthweight Z-Score]],TRUE)*100,"")</f>
        <v/>
      </c>
      <c r="K6778" s="7" t="str">
        <f>IF(Table1[[#This Row],[Is Data Valid]]=TRUE,_xlfn.NORM.S.DIST(Table1[[#This Row],[Birthweight Z-Score (BW-10%)]],TRUE)*100,"")</f>
        <v/>
      </c>
      <c r="L6778" s="7" t="str">
        <f>IF(Table1[[#This Row],[Is Data Valid]]=TRUE,_xlfn.NORM.S.DIST(Table1[[#This Row],[Birthweight Z-Score (BW+10%)]],TRUE)*100,"")</f>
        <v/>
      </c>
    </row>
    <row r="6779" spans="1:12" x14ac:dyDescent="0.35">
      <c r="A6779" s="3"/>
      <c r="B6779" s="2"/>
      <c r="C6779" s="2"/>
      <c r="D6779" s="2" t="b">
        <f>IF(AND(NOT(ISBLANK(Table1[[#This Row],[Fetal Sex (Male, Female or Unknown)]])),ISNUMBER(Table1[[#This Row],[Birthweight (grams)]]),ISNUMBER(Table1[[#This Row],[Gestation (days)]])),TRUE,FALSE)</f>
        <v>0</v>
      </c>
      <c r="E6779" s="2" t="str">
        <f>IF(Table1[[#This Row],[Is Data Valid]]=TRUE,IF(Table1[[#This Row],[Fetal Sex (Male, Female or Unknown)]]="Male",Backend!$C$6,IF(Table1[[#This Row],[Fetal Sex (Male, Female or Unknown)]]="Female",Backend!$C$7,IF(Table1[[#This Row],[Fetal Sex (Male, Female or Unknown)]]="Unknown",Backend!$C$8,"Error"))),"")</f>
        <v/>
      </c>
      <c r="F6779" s="8" t="str">
        <f>IF(Table1[[#This Row],[Is Data Valid]]=TRUE,EXP(0.578+0.332*((Table1[[#This Row],[Gestation (days)]]+0.5)/7)-0.00354*((Table1[[#This Row],[Gestation (days)]]+0.5)/7)^2)*Table1[[#This Row],[BW40_3705]],"")</f>
        <v/>
      </c>
      <c r="G6779" s="2" t="str">
        <f>IF(Table1[[#This Row],[Is Data Valid]]=TRUE,((Table1[[#This Row],[Birthweight (grams)]]/Table1[[#This Row],[BW_GA]])-1)/(Backend!$B$4/100*Table1[[#This Row],[BW40_3705]]),"")</f>
        <v/>
      </c>
      <c r="H6779" s="7" t="str">
        <f>IF(Table1[[#This Row],[Is Data Valid]]=TRUE,((Table1[[#This Row],[Birthweight (grams)]]*0.9/Table1[[#This Row],[BW_GA]])-1)/(Backend!$B$4/100*Table1[[#This Row],[BW40_3705]]),"")</f>
        <v/>
      </c>
      <c r="I6779" s="7" t="str">
        <f>IF(Table1[[#This Row],[Is Data Valid]]=TRUE,((Table1[[#This Row],[Birthweight (grams)]]*1.1/Table1[[#This Row],[BW_GA]])-1)/(Backend!$B$4/100*Table1[[#This Row],[BW40_3705]]),"")</f>
        <v/>
      </c>
      <c r="J6779" s="7" t="str">
        <f>IF(Table1[[#This Row],[Is Data Valid]]=TRUE,_xlfn.NORM.S.DIST(Table1[[#This Row],[Birthweight Z-Score]],TRUE)*100,"")</f>
        <v/>
      </c>
      <c r="K6779" s="7" t="str">
        <f>IF(Table1[[#This Row],[Is Data Valid]]=TRUE,_xlfn.NORM.S.DIST(Table1[[#This Row],[Birthweight Z-Score (BW-10%)]],TRUE)*100,"")</f>
        <v/>
      </c>
      <c r="L6779" s="7" t="str">
        <f>IF(Table1[[#This Row],[Is Data Valid]]=TRUE,_xlfn.NORM.S.DIST(Table1[[#This Row],[Birthweight Z-Score (BW+10%)]],TRUE)*100,"")</f>
        <v/>
      </c>
    </row>
    <row r="6780" spans="1:12" x14ac:dyDescent="0.35">
      <c r="A6780" s="3"/>
      <c r="B6780" s="2"/>
      <c r="C6780" s="2"/>
      <c r="D6780" s="2" t="b">
        <f>IF(AND(NOT(ISBLANK(Table1[[#This Row],[Fetal Sex (Male, Female or Unknown)]])),ISNUMBER(Table1[[#This Row],[Birthweight (grams)]]),ISNUMBER(Table1[[#This Row],[Gestation (days)]])),TRUE,FALSE)</f>
        <v>0</v>
      </c>
      <c r="E6780" s="2" t="str">
        <f>IF(Table1[[#This Row],[Is Data Valid]]=TRUE,IF(Table1[[#This Row],[Fetal Sex (Male, Female or Unknown)]]="Male",Backend!$C$6,IF(Table1[[#This Row],[Fetal Sex (Male, Female or Unknown)]]="Female",Backend!$C$7,IF(Table1[[#This Row],[Fetal Sex (Male, Female or Unknown)]]="Unknown",Backend!$C$8,"Error"))),"")</f>
        <v/>
      </c>
      <c r="F6780" s="8" t="str">
        <f>IF(Table1[[#This Row],[Is Data Valid]]=TRUE,EXP(0.578+0.332*((Table1[[#This Row],[Gestation (days)]]+0.5)/7)-0.00354*((Table1[[#This Row],[Gestation (days)]]+0.5)/7)^2)*Table1[[#This Row],[BW40_3705]],"")</f>
        <v/>
      </c>
      <c r="G6780" s="2" t="str">
        <f>IF(Table1[[#This Row],[Is Data Valid]]=TRUE,((Table1[[#This Row],[Birthweight (grams)]]/Table1[[#This Row],[BW_GA]])-1)/(Backend!$B$4/100*Table1[[#This Row],[BW40_3705]]),"")</f>
        <v/>
      </c>
      <c r="H6780" s="7" t="str">
        <f>IF(Table1[[#This Row],[Is Data Valid]]=TRUE,((Table1[[#This Row],[Birthweight (grams)]]*0.9/Table1[[#This Row],[BW_GA]])-1)/(Backend!$B$4/100*Table1[[#This Row],[BW40_3705]]),"")</f>
        <v/>
      </c>
      <c r="I6780" s="7" t="str">
        <f>IF(Table1[[#This Row],[Is Data Valid]]=TRUE,((Table1[[#This Row],[Birthweight (grams)]]*1.1/Table1[[#This Row],[BW_GA]])-1)/(Backend!$B$4/100*Table1[[#This Row],[BW40_3705]]),"")</f>
        <v/>
      </c>
      <c r="J6780" s="7" t="str">
        <f>IF(Table1[[#This Row],[Is Data Valid]]=TRUE,_xlfn.NORM.S.DIST(Table1[[#This Row],[Birthweight Z-Score]],TRUE)*100,"")</f>
        <v/>
      </c>
      <c r="K6780" s="7" t="str">
        <f>IF(Table1[[#This Row],[Is Data Valid]]=TRUE,_xlfn.NORM.S.DIST(Table1[[#This Row],[Birthweight Z-Score (BW-10%)]],TRUE)*100,"")</f>
        <v/>
      </c>
      <c r="L6780" s="7" t="str">
        <f>IF(Table1[[#This Row],[Is Data Valid]]=TRUE,_xlfn.NORM.S.DIST(Table1[[#This Row],[Birthweight Z-Score (BW+10%)]],TRUE)*100,"")</f>
        <v/>
      </c>
    </row>
    <row r="6781" spans="1:12" x14ac:dyDescent="0.35">
      <c r="A6781" s="3"/>
      <c r="B6781" s="2"/>
      <c r="C6781" s="2"/>
      <c r="D6781" s="2" t="b">
        <f>IF(AND(NOT(ISBLANK(Table1[[#This Row],[Fetal Sex (Male, Female or Unknown)]])),ISNUMBER(Table1[[#This Row],[Birthweight (grams)]]),ISNUMBER(Table1[[#This Row],[Gestation (days)]])),TRUE,FALSE)</f>
        <v>0</v>
      </c>
      <c r="E6781" s="2" t="str">
        <f>IF(Table1[[#This Row],[Is Data Valid]]=TRUE,IF(Table1[[#This Row],[Fetal Sex (Male, Female or Unknown)]]="Male",Backend!$C$6,IF(Table1[[#This Row],[Fetal Sex (Male, Female or Unknown)]]="Female",Backend!$C$7,IF(Table1[[#This Row],[Fetal Sex (Male, Female or Unknown)]]="Unknown",Backend!$C$8,"Error"))),"")</f>
        <v/>
      </c>
      <c r="F6781" s="8" t="str">
        <f>IF(Table1[[#This Row],[Is Data Valid]]=TRUE,EXP(0.578+0.332*((Table1[[#This Row],[Gestation (days)]]+0.5)/7)-0.00354*((Table1[[#This Row],[Gestation (days)]]+0.5)/7)^2)*Table1[[#This Row],[BW40_3705]],"")</f>
        <v/>
      </c>
      <c r="G6781" s="2" t="str">
        <f>IF(Table1[[#This Row],[Is Data Valid]]=TRUE,((Table1[[#This Row],[Birthweight (grams)]]/Table1[[#This Row],[BW_GA]])-1)/(Backend!$B$4/100*Table1[[#This Row],[BW40_3705]]),"")</f>
        <v/>
      </c>
      <c r="H6781" s="7" t="str">
        <f>IF(Table1[[#This Row],[Is Data Valid]]=TRUE,((Table1[[#This Row],[Birthweight (grams)]]*0.9/Table1[[#This Row],[BW_GA]])-1)/(Backend!$B$4/100*Table1[[#This Row],[BW40_3705]]),"")</f>
        <v/>
      </c>
      <c r="I6781" s="7" t="str">
        <f>IF(Table1[[#This Row],[Is Data Valid]]=TRUE,((Table1[[#This Row],[Birthweight (grams)]]*1.1/Table1[[#This Row],[BW_GA]])-1)/(Backend!$B$4/100*Table1[[#This Row],[BW40_3705]]),"")</f>
        <v/>
      </c>
      <c r="J6781" s="7" t="str">
        <f>IF(Table1[[#This Row],[Is Data Valid]]=TRUE,_xlfn.NORM.S.DIST(Table1[[#This Row],[Birthweight Z-Score]],TRUE)*100,"")</f>
        <v/>
      </c>
      <c r="K6781" s="7" t="str">
        <f>IF(Table1[[#This Row],[Is Data Valid]]=TRUE,_xlfn.NORM.S.DIST(Table1[[#This Row],[Birthweight Z-Score (BW-10%)]],TRUE)*100,"")</f>
        <v/>
      </c>
      <c r="L6781" s="7" t="str">
        <f>IF(Table1[[#This Row],[Is Data Valid]]=TRUE,_xlfn.NORM.S.DIST(Table1[[#This Row],[Birthweight Z-Score (BW+10%)]],TRUE)*100,"")</f>
        <v/>
      </c>
    </row>
    <row r="6782" spans="1:12" x14ac:dyDescent="0.35">
      <c r="A6782" s="3"/>
      <c r="B6782" s="2"/>
      <c r="C6782" s="2"/>
      <c r="D6782" s="2" t="b">
        <f>IF(AND(NOT(ISBLANK(Table1[[#This Row],[Fetal Sex (Male, Female or Unknown)]])),ISNUMBER(Table1[[#This Row],[Birthweight (grams)]]),ISNUMBER(Table1[[#This Row],[Gestation (days)]])),TRUE,FALSE)</f>
        <v>0</v>
      </c>
      <c r="E6782" s="2" t="str">
        <f>IF(Table1[[#This Row],[Is Data Valid]]=TRUE,IF(Table1[[#This Row],[Fetal Sex (Male, Female or Unknown)]]="Male",Backend!$C$6,IF(Table1[[#This Row],[Fetal Sex (Male, Female or Unknown)]]="Female",Backend!$C$7,IF(Table1[[#This Row],[Fetal Sex (Male, Female or Unknown)]]="Unknown",Backend!$C$8,"Error"))),"")</f>
        <v/>
      </c>
      <c r="F6782" s="8" t="str">
        <f>IF(Table1[[#This Row],[Is Data Valid]]=TRUE,EXP(0.578+0.332*((Table1[[#This Row],[Gestation (days)]]+0.5)/7)-0.00354*((Table1[[#This Row],[Gestation (days)]]+0.5)/7)^2)*Table1[[#This Row],[BW40_3705]],"")</f>
        <v/>
      </c>
      <c r="G6782" s="2" t="str">
        <f>IF(Table1[[#This Row],[Is Data Valid]]=TRUE,((Table1[[#This Row],[Birthweight (grams)]]/Table1[[#This Row],[BW_GA]])-1)/(Backend!$B$4/100*Table1[[#This Row],[BW40_3705]]),"")</f>
        <v/>
      </c>
      <c r="H6782" s="7" t="str">
        <f>IF(Table1[[#This Row],[Is Data Valid]]=TRUE,((Table1[[#This Row],[Birthweight (grams)]]*0.9/Table1[[#This Row],[BW_GA]])-1)/(Backend!$B$4/100*Table1[[#This Row],[BW40_3705]]),"")</f>
        <v/>
      </c>
      <c r="I6782" s="7" t="str">
        <f>IF(Table1[[#This Row],[Is Data Valid]]=TRUE,((Table1[[#This Row],[Birthweight (grams)]]*1.1/Table1[[#This Row],[BW_GA]])-1)/(Backend!$B$4/100*Table1[[#This Row],[BW40_3705]]),"")</f>
        <v/>
      </c>
      <c r="J6782" s="7" t="str">
        <f>IF(Table1[[#This Row],[Is Data Valid]]=TRUE,_xlfn.NORM.S.DIST(Table1[[#This Row],[Birthweight Z-Score]],TRUE)*100,"")</f>
        <v/>
      </c>
      <c r="K6782" s="7" t="str">
        <f>IF(Table1[[#This Row],[Is Data Valid]]=TRUE,_xlfn.NORM.S.DIST(Table1[[#This Row],[Birthweight Z-Score (BW-10%)]],TRUE)*100,"")</f>
        <v/>
      </c>
      <c r="L6782" s="7" t="str">
        <f>IF(Table1[[#This Row],[Is Data Valid]]=TRUE,_xlfn.NORM.S.DIST(Table1[[#This Row],[Birthweight Z-Score (BW+10%)]],TRUE)*100,"")</f>
        <v/>
      </c>
    </row>
    <row r="6783" spans="1:12" x14ac:dyDescent="0.35">
      <c r="A6783" s="3"/>
      <c r="B6783" s="2"/>
      <c r="C6783" s="2"/>
      <c r="D6783" s="2" t="b">
        <f>IF(AND(NOT(ISBLANK(Table1[[#This Row],[Fetal Sex (Male, Female or Unknown)]])),ISNUMBER(Table1[[#This Row],[Birthweight (grams)]]),ISNUMBER(Table1[[#This Row],[Gestation (days)]])),TRUE,FALSE)</f>
        <v>0</v>
      </c>
      <c r="E6783" s="2" t="str">
        <f>IF(Table1[[#This Row],[Is Data Valid]]=TRUE,IF(Table1[[#This Row],[Fetal Sex (Male, Female or Unknown)]]="Male",Backend!$C$6,IF(Table1[[#This Row],[Fetal Sex (Male, Female or Unknown)]]="Female",Backend!$C$7,IF(Table1[[#This Row],[Fetal Sex (Male, Female or Unknown)]]="Unknown",Backend!$C$8,"Error"))),"")</f>
        <v/>
      </c>
      <c r="F6783" s="8" t="str">
        <f>IF(Table1[[#This Row],[Is Data Valid]]=TRUE,EXP(0.578+0.332*((Table1[[#This Row],[Gestation (days)]]+0.5)/7)-0.00354*((Table1[[#This Row],[Gestation (days)]]+0.5)/7)^2)*Table1[[#This Row],[BW40_3705]],"")</f>
        <v/>
      </c>
      <c r="G6783" s="2" t="str">
        <f>IF(Table1[[#This Row],[Is Data Valid]]=TRUE,((Table1[[#This Row],[Birthweight (grams)]]/Table1[[#This Row],[BW_GA]])-1)/(Backend!$B$4/100*Table1[[#This Row],[BW40_3705]]),"")</f>
        <v/>
      </c>
      <c r="H6783" s="7" t="str">
        <f>IF(Table1[[#This Row],[Is Data Valid]]=TRUE,((Table1[[#This Row],[Birthweight (grams)]]*0.9/Table1[[#This Row],[BW_GA]])-1)/(Backend!$B$4/100*Table1[[#This Row],[BW40_3705]]),"")</f>
        <v/>
      </c>
      <c r="I6783" s="7" t="str">
        <f>IF(Table1[[#This Row],[Is Data Valid]]=TRUE,((Table1[[#This Row],[Birthweight (grams)]]*1.1/Table1[[#This Row],[BW_GA]])-1)/(Backend!$B$4/100*Table1[[#This Row],[BW40_3705]]),"")</f>
        <v/>
      </c>
      <c r="J6783" s="7" t="str">
        <f>IF(Table1[[#This Row],[Is Data Valid]]=TRUE,_xlfn.NORM.S.DIST(Table1[[#This Row],[Birthweight Z-Score]],TRUE)*100,"")</f>
        <v/>
      </c>
      <c r="K6783" s="7" t="str">
        <f>IF(Table1[[#This Row],[Is Data Valid]]=TRUE,_xlfn.NORM.S.DIST(Table1[[#This Row],[Birthweight Z-Score (BW-10%)]],TRUE)*100,"")</f>
        <v/>
      </c>
      <c r="L6783" s="7" t="str">
        <f>IF(Table1[[#This Row],[Is Data Valid]]=TRUE,_xlfn.NORM.S.DIST(Table1[[#This Row],[Birthweight Z-Score (BW+10%)]],TRUE)*100,"")</f>
        <v/>
      </c>
    </row>
    <row r="6784" spans="1:12" x14ac:dyDescent="0.35">
      <c r="A6784" s="3"/>
      <c r="B6784" s="2"/>
      <c r="C6784" s="2"/>
      <c r="D6784" s="2" t="b">
        <f>IF(AND(NOT(ISBLANK(Table1[[#This Row],[Fetal Sex (Male, Female or Unknown)]])),ISNUMBER(Table1[[#This Row],[Birthweight (grams)]]),ISNUMBER(Table1[[#This Row],[Gestation (days)]])),TRUE,FALSE)</f>
        <v>0</v>
      </c>
      <c r="E6784" s="2" t="str">
        <f>IF(Table1[[#This Row],[Is Data Valid]]=TRUE,IF(Table1[[#This Row],[Fetal Sex (Male, Female or Unknown)]]="Male",Backend!$C$6,IF(Table1[[#This Row],[Fetal Sex (Male, Female or Unknown)]]="Female",Backend!$C$7,IF(Table1[[#This Row],[Fetal Sex (Male, Female or Unknown)]]="Unknown",Backend!$C$8,"Error"))),"")</f>
        <v/>
      </c>
      <c r="F6784" s="8" t="str">
        <f>IF(Table1[[#This Row],[Is Data Valid]]=TRUE,EXP(0.578+0.332*((Table1[[#This Row],[Gestation (days)]]+0.5)/7)-0.00354*((Table1[[#This Row],[Gestation (days)]]+0.5)/7)^2)*Table1[[#This Row],[BW40_3705]],"")</f>
        <v/>
      </c>
      <c r="G6784" s="2" t="str">
        <f>IF(Table1[[#This Row],[Is Data Valid]]=TRUE,((Table1[[#This Row],[Birthweight (grams)]]/Table1[[#This Row],[BW_GA]])-1)/(Backend!$B$4/100*Table1[[#This Row],[BW40_3705]]),"")</f>
        <v/>
      </c>
      <c r="H6784" s="7" t="str">
        <f>IF(Table1[[#This Row],[Is Data Valid]]=TRUE,((Table1[[#This Row],[Birthweight (grams)]]*0.9/Table1[[#This Row],[BW_GA]])-1)/(Backend!$B$4/100*Table1[[#This Row],[BW40_3705]]),"")</f>
        <v/>
      </c>
      <c r="I6784" s="7" t="str">
        <f>IF(Table1[[#This Row],[Is Data Valid]]=TRUE,((Table1[[#This Row],[Birthweight (grams)]]*1.1/Table1[[#This Row],[BW_GA]])-1)/(Backend!$B$4/100*Table1[[#This Row],[BW40_3705]]),"")</f>
        <v/>
      </c>
      <c r="J6784" s="7" t="str">
        <f>IF(Table1[[#This Row],[Is Data Valid]]=TRUE,_xlfn.NORM.S.DIST(Table1[[#This Row],[Birthweight Z-Score]],TRUE)*100,"")</f>
        <v/>
      </c>
      <c r="K6784" s="7" t="str">
        <f>IF(Table1[[#This Row],[Is Data Valid]]=TRUE,_xlfn.NORM.S.DIST(Table1[[#This Row],[Birthweight Z-Score (BW-10%)]],TRUE)*100,"")</f>
        <v/>
      </c>
      <c r="L6784" s="7" t="str">
        <f>IF(Table1[[#This Row],[Is Data Valid]]=TRUE,_xlfn.NORM.S.DIST(Table1[[#This Row],[Birthweight Z-Score (BW+10%)]],TRUE)*100,"")</f>
        <v/>
      </c>
    </row>
    <row r="6785" spans="1:12" x14ac:dyDescent="0.35">
      <c r="A6785" s="3"/>
      <c r="B6785" s="2"/>
      <c r="C6785" s="2"/>
      <c r="D6785" s="2" t="b">
        <f>IF(AND(NOT(ISBLANK(Table1[[#This Row],[Fetal Sex (Male, Female or Unknown)]])),ISNUMBER(Table1[[#This Row],[Birthweight (grams)]]),ISNUMBER(Table1[[#This Row],[Gestation (days)]])),TRUE,FALSE)</f>
        <v>0</v>
      </c>
      <c r="E6785" s="2" t="str">
        <f>IF(Table1[[#This Row],[Is Data Valid]]=TRUE,IF(Table1[[#This Row],[Fetal Sex (Male, Female or Unknown)]]="Male",Backend!$C$6,IF(Table1[[#This Row],[Fetal Sex (Male, Female or Unknown)]]="Female",Backend!$C$7,IF(Table1[[#This Row],[Fetal Sex (Male, Female or Unknown)]]="Unknown",Backend!$C$8,"Error"))),"")</f>
        <v/>
      </c>
      <c r="F6785" s="8" t="str">
        <f>IF(Table1[[#This Row],[Is Data Valid]]=TRUE,EXP(0.578+0.332*((Table1[[#This Row],[Gestation (days)]]+0.5)/7)-0.00354*((Table1[[#This Row],[Gestation (days)]]+0.5)/7)^2)*Table1[[#This Row],[BW40_3705]],"")</f>
        <v/>
      </c>
      <c r="G6785" s="2" t="str">
        <f>IF(Table1[[#This Row],[Is Data Valid]]=TRUE,((Table1[[#This Row],[Birthweight (grams)]]/Table1[[#This Row],[BW_GA]])-1)/(Backend!$B$4/100*Table1[[#This Row],[BW40_3705]]),"")</f>
        <v/>
      </c>
      <c r="H6785" s="7" t="str">
        <f>IF(Table1[[#This Row],[Is Data Valid]]=TRUE,((Table1[[#This Row],[Birthweight (grams)]]*0.9/Table1[[#This Row],[BW_GA]])-1)/(Backend!$B$4/100*Table1[[#This Row],[BW40_3705]]),"")</f>
        <v/>
      </c>
      <c r="I6785" s="7" t="str">
        <f>IF(Table1[[#This Row],[Is Data Valid]]=TRUE,((Table1[[#This Row],[Birthweight (grams)]]*1.1/Table1[[#This Row],[BW_GA]])-1)/(Backend!$B$4/100*Table1[[#This Row],[BW40_3705]]),"")</f>
        <v/>
      </c>
      <c r="J6785" s="7" t="str">
        <f>IF(Table1[[#This Row],[Is Data Valid]]=TRUE,_xlfn.NORM.S.DIST(Table1[[#This Row],[Birthweight Z-Score]],TRUE)*100,"")</f>
        <v/>
      </c>
      <c r="K6785" s="7" t="str">
        <f>IF(Table1[[#This Row],[Is Data Valid]]=TRUE,_xlfn.NORM.S.DIST(Table1[[#This Row],[Birthweight Z-Score (BW-10%)]],TRUE)*100,"")</f>
        <v/>
      </c>
      <c r="L6785" s="7" t="str">
        <f>IF(Table1[[#This Row],[Is Data Valid]]=TRUE,_xlfn.NORM.S.DIST(Table1[[#This Row],[Birthweight Z-Score (BW+10%)]],TRUE)*100,"")</f>
        <v/>
      </c>
    </row>
    <row r="6786" spans="1:12" x14ac:dyDescent="0.35">
      <c r="A6786" s="3"/>
      <c r="B6786" s="2"/>
      <c r="C6786" s="2"/>
      <c r="D6786" s="2" t="b">
        <f>IF(AND(NOT(ISBLANK(Table1[[#This Row],[Fetal Sex (Male, Female or Unknown)]])),ISNUMBER(Table1[[#This Row],[Birthweight (grams)]]),ISNUMBER(Table1[[#This Row],[Gestation (days)]])),TRUE,FALSE)</f>
        <v>0</v>
      </c>
      <c r="E6786" s="2" t="str">
        <f>IF(Table1[[#This Row],[Is Data Valid]]=TRUE,IF(Table1[[#This Row],[Fetal Sex (Male, Female or Unknown)]]="Male",Backend!$C$6,IF(Table1[[#This Row],[Fetal Sex (Male, Female or Unknown)]]="Female",Backend!$C$7,IF(Table1[[#This Row],[Fetal Sex (Male, Female or Unknown)]]="Unknown",Backend!$C$8,"Error"))),"")</f>
        <v/>
      </c>
      <c r="F6786" s="8" t="str">
        <f>IF(Table1[[#This Row],[Is Data Valid]]=TRUE,EXP(0.578+0.332*((Table1[[#This Row],[Gestation (days)]]+0.5)/7)-0.00354*((Table1[[#This Row],[Gestation (days)]]+0.5)/7)^2)*Table1[[#This Row],[BW40_3705]],"")</f>
        <v/>
      </c>
      <c r="G6786" s="2" t="str">
        <f>IF(Table1[[#This Row],[Is Data Valid]]=TRUE,((Table1[[#This Row],[Birthweight (grams)]]/Table1[[#This Row],[BW_GA]])-1)/(Backend!$B$4/100*Table1[[#This Row],[BW40_3705]]),"")</f>
        <v/>
      </c>
      <c r="H6786" s="7" t="str">
        <f>IF(Table1[[#This Row],[Is Data Valid]]=TRUE,((Table1[[#This Row],[Birthweight (grams)]]*0.9/Table1[[#This Row],[BW_GA]])-1)/(Backend!$B$4/100*Table1[[#This Row],[BW40_3705]]),"")</f>
        <v/>
      </c>
      <c r="I6786" s="7" t="str">
        <f>IF(Table1[[#This Row],[Is Data Valid]]=TRUE,((Table1[[#This Row],[Birthweight (grams)]]*1.1/Table1[[#This Row],[BW_GA]])-1)/(Backend!$B$4/100*Table1[[#This Row],[BW40_3705]]),"")</f>
        <v/>
      </c>
      <c r="J6786" s="7" t="str">
        <f>IF(Table1[[#This Row],[Is Data Valid]]=TRUE,_xlfn.NORM.S.DIST(Table1[[#This Row],[Birthweight Z-Score]],TRUE)*100,"")</f>
        <v/>
      </c>
      <c r="K6786" s="7" t="str">
        <f>IF(Table1[[#This Row],[Is Data Valid]]=TRUE,_xlfn.NORM.S.DIST(Table1[[#This Row],[Birthweight Z-Score (BW-10%)]],TRUE)*100,"")</f>
        <v/>
      </c>
      <c r="L6786" s="7" t="str">
        <f>IF(Table1[[#This Row],[Is Data Valid]]=TRUE,_xlfn.NORM.S.DIST(Table1[[#This Row],[Birthweight Z-Score (BW+10%)]],TRUE)*100,"")</f>
        <v/>
      </c>
    </row>
    <row r="6787" spans="1:12" x14ac:dyDescent="0.35">
      <c r="A6787" s="3"/>
      <c r="B6787" s="2"/>
      <c r="C6787" s="2"/>
      <c r="D6787" s="2" t="b">
        <f>IF(AND(NOT(ISBLANK(Table1[[#This Row],[Fetal Sex (Male, Female or Unknown)]])),ISNUMBER(Table1[[#This Row],[Birthweight (grams)]]),ISNUMBER(Table1[[#This Row],[Gestation (days)]])),TRUE,FALSE)</f>
        <v>0</v>
      </c>
      <c r="E6787" s="2" t="str">
        <f>IF(Table1[[#This Row],[Is Data Valid]]=TRUE,IF(Table1[[#This Row],[Fetal Sex (Male, Female or Unknown)]]="Male",Backend!$C$6,IF(Table1[[#This Row],[Fetal Sex (Male, Female or Unknown)]]="Female",Backend!$C$7,IF(Table1[[#This Row],[Fetal Sex (Male, Female or Unknown)]]="Unknown",Backend!$C$8,"Error"))),"")</f>
        <v/>
      </c>
      <c r="F6787" s="8" t="str">
        <f>IF(Table1[[#This Row],[Is Data Valid]]=TRUE,EXP(0.578+0.332*((Table1[[#This Row],[Gestation (days)]]+0.5)/7)-0.00354*((Table1[[#This Row],[Gestation (days)]]+0.5)/7)^2)*Table1[[#This Row],[BW40_3705]],"")</f>
        <v/>
      </c>
      <c r="G6787" s="2" t="str">
        <f>IF(Table1[[#This Row],[Is Data Valid]]=TRUE,((Table1[[#This Row],[Birthweight (grams)]]/Table1[[#This Row],[BW_GA]])-1)/(Backend!$B$4/100*Table1[[#This Row],[BW40_3705]]),"")</f>
        <v/>
      </c>
      <c r="H6787" s="7" t="str">
        <f>IF(Table1[[#This Row],[Is Data Valid]]=TRUE,((Table1[[#This Row],[Birthweight (grams)]]*0.9/Table1[[#This Row],[BW_GA]])-1)/(Backend!$B$4/100*Table1[[#This Row],[BW40_3705]]),"")</f>
        <v/>
      </c>
      <c r="I6787" s="7" t="str">
        <f>IF(Table1[[#This Row],[Is Data Valid]]=TRUE,((Table1[[#This Row],[Birthweight (grams)]]*1.1/Table1[[#This Row],[BW_GA]])-1)/(Backend!$B$4/100*Table1[[#This Row],[BW40_3705]]),"")</f>
        <v/>
      </c>
      <c r="J6787" s="7" t="str">
        <f>IF(Table1[[#This Row],[Is Data Valid]]=TRUE,_xlfn.NORM.S.DIST(Table1[[#This Row],[Birthweight Z-Score]],TRUE)*100,"")</f>
        <v/>
      </c>
      <c r="K6787" s="7" t="str">
        <f>IF(Table1[[#This Row],[Is Data Valid]]=TRUE,_xlfn.NORM.S.DIST(Table1[[#This Row],[Birthweight Z-Score (BW-10%)]],TRUE)*100,"")</f>
        <v/>
      </c>
      <c r="L6787" s="7" t="str">
        <f>IF(Table1[[#This Row],[Is Data Valid]]=TRUE,_xlfn.NORM.S.DIST(Table1[[#This Row],[Birthweight Z-Score (BW+10%)]],TRUE)*100,"")</f>
        <v/>
      </c>
    </row>
    <row r="6788" spans="1:12" x14ac:dyDescent="0.35">
      <c r="A6788" s="3"/>
      <c r="B6788" s="2"/>
      <c r="C6788" s="2"/>
      <c r="D6788" s="2" t="b">
        <f>IF(AND(NOT(ISBLANK(Table1[[#This Row],[Fetal Sex (Male, Female or Unknown)]])),ISNUMBER(Table1[[#This Row],[Birthweight (grams)]]),ISNUMBER(Table1[[#This Row],[Gestation (days)]])),TRUE,FALSE)</f>
        <v>0</v>
      </c>
      <c r="E6788" s="2" t="str">
        <f>IF(Table1[[#This Row],[Is Data Valid]]=TRUE,IF(Table1[[#This Row],[Fetal Sex (Male, Female or Unknown)]]="Male",Backend!$C$6,IF(Table1[[#This Row],[Fetal Sex (Male, Female or Unknown)]]="Female",Backend!$C$7,IF(Table1[[#This Row],[Fetal Sex (Male, Female or Unknown)]]="Unknown",Backend!$C$8,"Error"))),"")</f>
        <v/>
      </c>
      <c r="F6788" s="8" t="str">
        <f>IF(Table1[[#This Row],[Is Data Valid]]=TRUE,EXP(0.578+0.332*((Table1[[#This Row],[Gestation (days)]]+0.5)/7)-0.00354*((Table1[[#This Row],[Gestation (days)]]+0.5)/7)^2)*Table1[[#This Row],[BW40_3705]],"")</f>
        <v/>
      </c>
      <c r="G6788" s="2" t="str">
        <f>IF(Table1[[#This Row],[Is Data Valid]]=TRUE,((Table1[[#This Row],[Birthweight (grams)]]/Table1[[#This Row],[BW_GA]])-1)/(Backend!$B$4/100*Table1[[#This Row],[BW40_3705]]),"")</f>
        <v/>
      </c>
      <c r="H6788" s="7" t="str">
        <f>IF(Table1[[#This Row],[Is Data Valid]]=TRUE,((Table1[[#This Row],[Birthweight (grams)]]*0.9/Table1[[#This Row],[BW_GA]])-1)/(Backend!$B$4/100*Table1[[#This Row],[BW40_3705]]),"")</f>
        <v/>
      </c>
      <c r="I6788" s="7" t="str">
        <f>IF(Table1[[#This Row],[Is Data Valid]]=TRUE,((Table1[[#This Row],[Birthweight (grams)]]*1.1/Table1[[#This Row],[BW_GA]])-1)/(Backend!$B$4/100*Table1[[#This Row],[BW40_3705]]),"")</f>
        <v/>
      </c>
      <c r="J6788" s="7" t="str">
        <f>IF(Table1[[#This Row],[Is Data Valid]]=TRUE,_xlfn.NORM.S.DIST(Table1[[#This Row],[Birthweight Z-Score]],TRUE)*100,"")</f>
        <v/>
      </c>
      <c r="K6788" s="7" t="str">
        <f>IF(Table1[[#This Row],[Is Data Valid]]=TRUE,_xlfn.NORM.S.DIST(Table1[[#This Row],[Birthweight Z-Score (BW-10%)]],TRUE)*100,"")</f>
        <v/>
      </c>
      <c r="L6788" s="7" t="str">
        <f>IF(Table1[[#This Row],[Is Data Valid]]=TRUE,_xlfn.NORM.S.DIST(Table1[[#This Row],[Birthweight Z-Score (BW+10%)]],TRUE)*100,"")</f>
        <v/>
      </c>
    </row>
    <row r="6789" spans="1:12" x14ac:dyDescent="0.35">
      <c r="A6789" s="3"/>
      <c r="B6789" s="2"/>
      <c r="C6789" s="2"/>
      <c r="D6789" s="2" t="b">
        <f>IF(AND(NOT(ISBLANK(Table1[[#This Row],[Fetal Sex (Male, Female or Unknown)]])),ISNUMBER(Table1[[#This Row],[Birthweight (grams)]]),ISNUMBER(Table1[[#This Row],[Gestation (days)]])),TRUE,FALSE)</f>
        <v>0</v>
      </c>
      <c r="E6789" s="2" t="str">
        <f>IF(Table1[[#This Row],[Is Data Valid]]=TRUE,IF(Table1[[#This Row],[Fetal Sex (Male, Female or Unknown)]]="Male",Backend!$C$6,IF(Table1[[#This Row],[Fetal Sex (Male, Female or Unknown)]]="Female",Backend!$C$7,IF(Table1[[#This Row],[Fetal Sex (Male, Female or Unknown)]]="Unknown",Backend!$C$8,"Error"))),"")</f>
        <v/>
      </c>
      <c r="F6789" s="8" t="str">
        <f>IF(Table1[[#This Row],[Is Data Valid]]=TRUE,EXP(0.578+0.332*((Table1[[#This Row],[Gestation (days)]]+0.5)/7)-0.00354*((Table1[[#This Row],[Gestation (days)]]+0.5)/7)^2)*Table1[[#This Row],[BW40_3705]],"")</f>
        <v/>
      </c>
      <c r="G6789" s="2" t="str">
        <f>IF(Table1[[#This Row],[Is Data Valid]]=TRUE,((Table1[[#This Row],[Birthweight (grams)]]/Table1[[#This Row],[BW_GA]])-1)/(Backend!$B$4/100*Table1[[#This Row],[BW40_3705]]),"")</f>
        <v/>
      </c>
      <c r="H6789" s="7" t="str">
        <f>IF(Table1[[#This Row],[Is Data Valid]]=TRUE,((Table1[[#This Row],[Birthweight (grams)]]*0.9/Table1[[#This Row],[BW_GA]])-1)/(Backend!$B$4/100*Table1[[#This Row],[BW40_3705]]),"")</f>
        <v/>
      </c>
      <c r="I6789" s="7" t="str">
        <f>IF(Table1[[#This Row],[Is Data Valid]]=TRUE,((Table1[[#This Row],[Birthweight (grams)]]*1.1/Table1[[#This Row],[BW_GA]])-1)/(Backend!$B$4/100*Table1[[#This Row],[BW40_3705]]),"")</f>
        <v/>
      </c>
      <c r="J6789" s="7" t="str">
        <f>IF(Table1[[#This Row],[Is Data Valid]]=TRUE,_xlfn.NORM.S.DIST(Table1[[#This Row],[Birthweight Z-Score]],TRUE)*100,"")</f>
        <v/>
      </c>
      <c r="K6789" s="7" t="str">
        <f>IF(Table1[[#This Row],[Is Data Valid]]=TRUE,_xlfn.NORM.S.DIST(Table1[[#This Row],[Birthweight Z-Score (BW-10%)]],TRUE)*100,"")</f>
        <v/>
      </c>
      <c r="L6789" s="7" t="str">
        <f>IF(Table1[[#This Row],[Is Data Valid]]=TRUE,_xlfn.NORM.S.DIST(Table1[[#This Row],[Birthweight Z-Score (BW+10%)]],TRUE)*100,"")</f>
        <v/>
      </c>
    </row>
    <row r="6790" spans="1:12" x14ac:dyDescent="0.35">
      <c r="A6790" s="3"/>
      <c r="B6790" s="2"/>
      <c r="C6790" s="2"/>
      <c r="D6790" s="2" t="b">
        <f>IF(AND(NOT(ISBLANK(Table1[[#This Row],[Fetal Sex (Male, Female or Unknown)]])),ISNUMBER(Table1[[#This Row],[Birthweight (grams)]]),ISNUMBER(Table1[[#This Row],[Gestation (days)]])),TRUE,FALSE)</f>
        <v>0</v>
      </c>
      <c r="E6790" s="2" t="str">
        <f>IF(Table1[[#This Row],[Is Data Valid]]=TRUE,IF(Table1[[#This Row],[Fetal Sex (Male, Female or Unknown)]]="Male",Backend!$C$6,IF(Table1[[#This Row],[Fetal Sex (Male, Female or Unknown)]]="Female",Backend!$C$7,IF(Table1[[#This Row],[Fetal Sex (Male, Female or Unknown)]]="Unknown",Backend!$C$8,"Error"))),"")</f>
        <v/>
      </c>
      <c r="F6790" s="8" t="str">
        <f>IF(Table1[[#This Row],[Is Data Valid]]=TRUE,EXP(0.578+0.332*((Table1[[#This Row],[Gestation (days)]]+0.5)/7)-0.00354*((Table1[[#This Row],[Gestation (days)]]+0.5)/7)^2)*Table1[[#This Row],[BW40_3705]],"")</f>
        <v/>
      </c>
      <c r="G6790" s="2" t="str">
        <f>IF(Table1[[#This Row],[Is Data Valid]]=TRUE,((Table1[[#This Row],[Birthweight (grams)]]/Table1[[#This Row],[BW_GA]])-1)/(Backend!$B$4/100*Table1[[#This Row],[BW40_3705]]),"")</f>
        <v/>
      </c>
      <c r="H6790" s="7" t="str">
        <f>IF(Table1[[#This Row],[Is Data Valid]]=TRUE,((Table1[[#This Row],[Birthweight (grams)]]*0.9/Table1[[#This Row],[BW_GA]])-1)/(Backend!$B$4/100*Table1[[#This Row],[BW40_3705]]),"")</f>
        <v/>
      </c>
      <c r="I6790" s="7" t="str">
        <f>IF(Table1[[#This Row],[Is Data Valid]]=TRUE,((Table1[[#This Row],[Birthweight (grams)]]*1.1/Table1[[#This Row],[BW_GA]])-1)/(Backend!$B$4/100*Table1[[#This Row],[BW40_3705]]),"")</f>
        <v/>
      </c>
      <c r="J6790" s="7" t="str">
        <f>IF(Table1[[#This Row],[Is Data Valid]]=TRUE,_xlfn.NORM.S.DIST(Table1[[#This Row],[Birthweight Z-Score]],TRUE)*100,"")</f>
        <v/>
      </c>
      <c r="K6790" s="7" t="str">
        <f>IF(Table1[[#This Row],[Is Data Valid]]=TRUE,_xlfn.NORM.S.DIST(Table1[[#This Row],[Birthweight Z-Score (BW-10%)]],TRUE)*100,"")</f>
        <v/>
      </c>
      <c r="L6790" s="7" t="str">
        <f>IF(Table1[[#This Row],[Is Data Valid]]=TRUE,_xlfn.NORM.S.DIST(Table1[[#This Row],[Birthweight Z-Score (BW+10%)]],TRUE)*100,"")</f>
        <v/>
      </c>
    </row>
    <row r="6791" spans="1:12" x14ac:dyDescent="0.35">
      <c r="A6791" s="3"/>
      <c r="B6791" s="2"/>
      <c r="C6791" s="2"/>
      <c r="D6791" s="2" t="b">
        <f>IF(AND(NOT(ISBLANK(Table1[[#This Row],[Fetal Sex (Male, Female or Unknown)]])),ISNUMBER(Table1[[#This Row],[Birthweight (grams)]]),ISNUMBER(Table1[[#This Row],[Gestation (days)]])),TRUE,FALSE)</f>
        <v>0</v>
      </c>
      <c r="E6791" s="2" t="str">
        <f>IF(Table1[[#This Row],[Is Data Valid]]=TRUE,IF(Table1[[#This Row],[Fetal Sex (Male, Female or Unknown)]]="Male",Backend!$C$6,IF(Table1[[#This Row],[Fetal Sex (Male, Female or Unknown)]]="Female",Backend!$C$7,IF(Table1[[#This Row],[Fetal Sex (Male, Female or Unknown)]]="Unknown",Backend!$C$8,"Error"))),"")</f>
        <v/>
      </c>
      <c r="F6791" s="8" t="str">
        <f>IF(Table1[[#This Row],[Is Data Valid]]=TRUE,EXP(0.578+0.332*((Table1[[#This Row],[Gestation (days)]]+0.5)/7)-0.00354*((Table1[[#This Row],[Gestation (days)]]+0.5)/7)^2)*Table1[[#This Row],[BW40_3705]],"")</f>
        <v/>
      </c>
      <c r="G6791" s="2" t="str">
        <f>IF(Table1[[#This Row],[Is Data Valid]]=TRUE,((Table1[[#This Row],[Birthweight (grams)]]/Table1[[#This Row],[BW_GA]])-1)/(Backend!$B$4/100*Table1[[#This Row],[BW40_3705]]),"")</f>
        <v/>
      </c>
      <c r="H6791" s="7" t="str">
        <f>IF(Table1[[#This Row],[Is Data Valid]]=TRUE,((Table1[[#This Row],[Birthweight (grams)]]*0.9/Table1[[#This Row],[BW_GA]])-1)/(Backend!$B$4/100*Table1[[#This Row],[BW40_3705]]),"")</f>
        <v/>
      </c>
      <c r="I6791" s="7" t="str">
        <f>IF(Table1[[#This Row],[Is Data Valid]]=TRUE,((Table1[[#This Row],[Birthweight (grams)]]*1.1/Table1[[#This Row],[BW_GA]])-1)/(Backend!$B$4/100*Table1[[#This Row],[BW40_3705]]),"")</f>
        <v/>
      </c>
      <c r="J6791" s="7" t="str">
        <f>IF(Table1[[#This Row],[Is Data Valid]]=TRUE,_xlfn.NORM.S.DIST(Table1[[#This Row],[Birthweight Z-Score]],TRUE)*100,"")</f>
        <v/>
      </c>
      <c r="K6791" s="7" t="str">
        <f>IF(Table1[[#This Row],[Is Data Valid]]=TRUE,_xlfn.NORM.S.DIST(Table1[[#This Row],[Birthweight Z-Score (BW-10%)]],TRUE)*100,"")</f>
        <v/>
      </c>
      <c r="L6791" s="7" t="str">
        <f>IF(Table1[[#This Row],[Is Data Valid]]=TRUE,_xlfn.NORM.S.DIST(Table1[[#This Row],[Birthweight Z-Score (BW+10%)]],TRUE)*100,"")</f>
        <v/>
      </c>
    </row>
    <row r="6792" spans="1:12" x14ac:dyDescent="0.35">
      <c r="A6792" s="3"/>
      <c r="B6792" s="2"/>
      <c r="C6792" s="2"/>
      <c r="D6792" s="2" t="b">
        <f>IF(AND(NOT(ISBLANK(Table1[[#This Row],[Fetal Sex (Male, Female or Unknown)]])),ISNUMBER(Table1[[#This Row],[Birthweight (grams)]]),ISNUMBER(Table1[[#This Row],[Gestation (days)]])),TRUE,FALSE)</f>
        <v>0</v>
      </c>
      <c r="E6792" s="2" t="str">
        <f>IF(Table1[[#This Row],[Is Data Valid]]=TRUE,IF(Table1[[#This Row],[Fetal Sex (Male, Female or Unknown)]]="Male",Backend!$C$6,IF(Table1[[#This Row],[Fetal Sex (Male, Female or Unknown)]]="Female",Backend!$C$7,IF(Table1[[#This Row],[Fetal Sex (Male, Female or Unknown)]]="Unknown",Backend!$C$8,"Error"))),"")</f>
        <v/>
      </c>
      <c r="F6792" s="8" t="str">
        <f>IF(Table1[[#This Row],[Is Data Valid]]=TRUE,EXP(0.578+0.332*((Table1[[#This Row],[Gestation (days)]]+0.5)/7)-0.00354*((Table1[[#This Row],[Gestation (days)]]+0.5)/7)^2)*Table1[[#This Row],[BW40_3705]],"")</f>
        <v/>
      </c>
      <c r="G6792" s="2" t="str">
        <f>IF(Table1[[#This Row],[Is Data Valid]]=TRUE,((Table1[[#This Row],[Birthweight (grams)]]/Table1[[#This Row],[BW_GA]])-1)/(Backend!$B$4/100*Table1[[#This Row],[BW40_3705]]),"")</f>
        <v/>
      </c>
      <c r="H6792" s="7" t="str">
        <f>IF(Table1[[#This Row],[Is Data Valid]]=TRUE,((Table1[[#This Row],[Birthweight (grams)]]*0.9/Table1[[#This Row],[BW_GA]])-1)/(Backend!$B$4/100*Table1[[#This Row],[BW40_3705]]),"")</f>
        <v/>
      </c>
      <c r="I6792" s="7" t="str">
        <f>IF(Table1[[#This Row],[Is Data Valid]]=TRUE,((Table1[[#This Row],[Birthweight (grams)]]*1.1/Table1[[#This Row],[BW_GA]])-1)/(Backend!$B$4/100*Table1[[#This Row],[BW40_3705]]),"")</f>
        <v/>
      </c>
      <c r="J6792" s="7" t="str">
        <f>IF(Table1[[#This Row],[Is Data Valid]]=TRUE,_xlfn.NORM.S.DIST(Table1[[#This Row],[Birthweight Z-Score]],TRUE)*100,"")</f>
        <v/>
      </c>
      <c r="K6792" s="7" t="str">
        <f>IF(Table1[[#This Row],[Is Data Valid]]=TRUE,_xlfn.NORM.S.DIST(Table1[[#This Row],[Birthweight Z-Score (BW-10%)]],TRUE)*100,"")</f>
        <v/>
      </c>
      <c r="L6792" s="7" t="str">
        <f>IF(Table1[[#This Row],[Is Data Valid]]=TRUE,_xlfn.NORM.S.DIST(Table1[[#This Row],[Birthweight Z-Score (BW+10%)]],TRUE)*100,"")</f>
        <v/>
      </c>
    </row>
    <row r="6793" spans="1:12" x14ac:dyDescent="0.35">
      <c r="A6793" s="3"/>
      <c r="B6793" s="2"/>
      <c r="C6793" s="2"/>
      <c r="D6793" s="2" t="b">
        <f>IF(AND(NOT(ISBLANK(Table1[[#This Row],[Fetal Sex (Male, Female or Unknown)]])),ISNUMBER(Table1[[#This Row],[Birthweight (grams)]]),ISNUMBER(Table1[[#This Row],[Gestation (days)]])),TRUE,FALSE)</f>
        <v>0</v>
      </c>
      <c r="E6793" s="2" t="str">
        <f>IF(Table1[[#This Row],[Is Data Valid]]=TRUE,IF(Table1[[#This Row],[Fetal Sex (Male, Female or Unknown)]]="Male",Backend!$C$6,IF(Table1[[#This Row],[Fetal Sex (Male, Female or Unknown)]]="Female",Backend!$C$7,IF(Table1[[#This Row],[Fetal Sex (Male, Female or Unknown)]]="Unknown",Backend!$C$8,"Error"))),"")</f>
        <v/>
      </c>
      <c r="F6793" s="8" t="str">
        <f>IF(Table1[[#This Row],[Is Data Valid]]=TRUE,EXP(0.578+0.332*((Table1[[#This Row],[Gestation (days)]]+0.5)/7)-0.00354*((Table1[[#This Row],[Gestation (days)]]+0.5)/7)^2)*Table1[[#This Row],[BW40_3705]],"")</f>
        <v/>
      </c>
      <c r="G6793" s="2" t="str">
        <f>IF(Table1[[#This Row],[Is Data Valid]]=TRUE,((Table1[[#This Row],[Birthweight (grams)]]/Table1[[#This Row],[BW_GA]])-1)/(Backend!$B$4/100*Table1[[#This Row],[BW40_3705]]),"")</f>
        <v/>
      </c>
      <c r="H6793" s="7" t="str">
        <f>IF(Table1[[#This Row],[Is Data Valid]]=TRUE,((Table1[[#This Row],[Birthweight (grams)]]*0.9/Table1[[#This Row],[BW_GA]])-1)/(Backend!$B$4/100*Table1[[#This Row],[BW40_3705]]),"")</f>
        <v/>
      </c>
      <c r="I6793" s="7" t="str">
        <f>IF(Table1[[#This Row],[Is Data Valid]]=TRUE,((Table1[[#This Row],[Birthweight (grams)]]*1.1/Table1[[#This Row],[BW_GA]])-1)/(Backend!$B$4/100*Table1[[#This Row],[BW40_3705]]),"")</f>
        <v/>
      </c>
      <c r="J6793" s="7" t="str">
        <f>IF(Table1[[#This Row],[Is Data Valid]]=TRUE,_xlfn.NORM.S.DIST(Table1[[#This Row],[Birthweight Z-Score]],TRUE)*100,"")</f>
        <v/>
      </c>
      <c r="K6793" s="7" t="str">
        <f>IF(Table1[[#This Row],[Is Data Valid]]=TRUE,_xlfn.NORM.S.DIST(Table1[[#This Row],[Birthweight Z-Score (BW-10%)]],TRUE)*100,"")</f>
        <v/>
      </c>
      <c r="L6793" s="7" t="str">
        <f>IF(Table1[[#This Row],[Is Data Valid]]=TRUE,_xlfn.NORM.S.DIST(Table1[[#This Row],[Birthweight Z-Score (BW+10%)]],TRUE)*100,"")</f>
        <v/>
      </c>
    </row>
    <row r="6794" spans="1:12" x14ac:dyDescent="0.35">
      <c r="A6794" s="3"/>
      <c r="B6794" s="2"/>
      <c r="C6794" s="2"/>
      <c r="D6794" s="2" t="b">
        <f>IF(AND(NOT(ISBLANK(Table1[[#This Row],[Fetal Sex (Male, Female or Unknown)]])),ISNUMBER(Table1[[#This Row],[Birthweight (grams)]]),ISNUMBER(Table1[[#This Row],[Gestation (days)]])),TRUE,FALSE)</f>
        <v>0</v>
      </c>
      <c r="E6794" s="2" t="str">
        <f>IF(Table1[[#This Row],[Is Data Valid]]=TRUE,IF(Table1[[#This Row],[Fetal Sex (Male, Female or Unknown)]]="Male",Backend!$C$6,IF(Table1[[#This Row],[Fetal Sex (Male, Female or Unknown)]]="Female",Backend!$C$7,IF(Table1[[#This Row],[Fetal Sex (Male, Female or Unknown)]]="Unknown",Backend!$C$8,"Error"))),"")</f>
        <v/>
      </c>
      <c r="F6794" s="8" t="str">
        <f>IF(Table1[[#This Row],[Is Data Valid]]=TRUE,EXP(0.578+0.332*((Table1[[#This Row],[Gestation (days)]]+0.5)/7)-0.00354*((Table1[[#This Row],[Gestation (days)]]+0.5)/7)^2)*Table1[[#This Row],[BW40_3705]],"")</f>
        <v/>
      </c>
      <c r="G6794" s="2" t="str">
        <f>IF(Table1[[#This Row],[Is Data Valid]]=TRUE,((Table1[[#This Row],[Birthweight (grams)]]/Table1[[#This Row],[BW_GA]])-1)/(Backend!$B$4/100*Table1[[#This Row],[BW40_3705]]),"")</f>
        <v/>
      </c>
      <c r="H6794" s="7" t="str">
        <f>IF(Table1[[#This Row],[Is Data Valid]]=TRUE,((Table1[[#This Row],[Birthweight (grams)]]*0.9/Table1[[#This Row],[BW_GA]])-1)/(Backend!$B$4/100*Table1[[#This Row],[BW40_3705]]),"")</f>
        <v/>
      </c>
      <c r="I6794" s="7" t="str">
        <f>IF(Table1[[#This Row],[Is Data Valid]]=TRUE,((Table1[[#This Row],[Birthweight (grams)]]*1.1/Table1[[#This Row],[BW_GA]])-1)/(Backend!$B$4/100*Table1[[#This Row],[BW40_3705]]),"")</f>
        <v/>
      </c>
      <c r="J6794" s="7" t="str">
        <f>IF(Table1[[#This Row],[Is Data Valid]]=TRUE,_xlfn.NORM.S.DIST(Table1[[#This Row],[Birthweight Z-Score]],TRUE)*100,"")</f>
        <v/>
      </c>
      <c r="K6794" s="7" t="str">
        <f>IF(Table1[[#This Row],[Is Data Valid]]=TRUE,_xlfn.NORM.S.DIST(Table1[[#This Row],[Birthweight Z-Score (BW-10%)]],TRUE)*100,"")</f>
        <v/>
      </c>
      <c r="L6794" s="7" t="str">
        <f>IF(Table1[[#This Row],[Is Data Valid]]=TRUE,_xlfn.NORM.S.DIST(Table1[[#This Row],[Birthweight Z-Score (BW+10%)]],TRUE)*100,"")</f>
        <v/>
      </c>
    </row>
    <row r="6795" spans="1:12" x14ac:dyDescent="0.35">
      <c r="A6795" s="3"/>
      <c r="B6795" s="2"/>
      <c r="C6795" s="2"/>
      <c r="D6795" s="2" t="b">
        <f>IF(AND(NOT(ISBLANK(Table1[[#This Row],[Fetal Sex (Male, Female or Unknown)]])),ISNUMBER(Table1[[#This Row],[Birthweight (grams)]]),ISNUMBER(Table1[[#This Row],[Gestation (days)]])),TRUE,FALSE)</f>
        <v>0</v>
      </c>
      <c r="E6795" s="2" t="str">
        <f>IF(Table1[[#This Row],[Is Data Valid]]=TRUE,IF(Table1[[#This Row],[Fetal Sex (Male, Female or Unknown)]]="Male",Backend!$C$6,IF(Table1[[#This Row],[Fetal Sex (Male, Female or Unknown)]]="Female",Backend!$C$7,IF(Table1[[#This Row],[Fetal Sex (Male, Female or Unknown)]]="Unknown",Backend!$C$8,"Error"))),"")</f>
        <v/>
      </c>
      <c r="F6795" s="8" t="str">
        <f>IF(Table1[[#This Row],[Is Data Valid]]=TRUE,EXP(0.578+0.332*((Table1[[#This Row],[Gestation (days)]]+0.5)/7)-0.00354*((Table1[[#This Row],[Gestation (days)]]+0.5)/7)^2)*Table1[[#This Row],[BW40_3705]],"")</f>
        <v/>
      </c>
      <c r="G6795" s="2" t="str">
        <f>IF(Table1[[#This Row],[Is Data Valid]]=TRUE,((Table1[[#This Row],[Birthweight (grams)]]/Table1[[#This Row],[BW_GA]])-1)/(Backend!$B$4/100*Table1[[#This Row],[BW40_3705]]),"")</f>
        <v/>
      </c>
      <c r="H6795" s="7" t="str">
        <f>IF(Table1[[#This Row],[Is Data Valid]]=TRUE,((Table1[[#This Row],[Birthweight (grams)]]*0.9/Table1[[#This Row],[BW_GA]])-1)/(Backend!$B$4/100*Table1[[#This Row],[BW40_3705]]),"")</f>
        <v/>
      </c>
      <c r="I6795" s="7" t="str">
        <f>IF(Table1[[#This Row],[Is Data Valid]]=TRUE,((Table1[[#This Row],[Birthweight (grams)]]*1.1/Table1[[#This Row],[BW_GA]])-1)/(Backend!$B$4/100*Table1[[#This Row],[BW40_3705]]),"")</f>
        <v/>
      </c>
      <c r="J6795" s="7" t="str">
        <f>IF(Table1[[#This Row],[Is Data Valid]]=TRUE,_xlfn.NORM.S.DIST(Table1[[#This Row],[Birthweight Z-Score]],TRUE)*100,"")</f>
        <v/>
      </c>
      <c r="K6795" s="7" t="str">
        <f>IF(Table1[[#This Row],[Is Data Valid]]=TRUE,_xlfn.NORM.S.DIST(Table1[[#This Row],[Birthweight Z-Score (BW-10%)]],TRUE)*100,"")</f>
        <v/>
      </c>
      <c r="L6795" s="7" t="str">
        <f>IF(Table1[[#This Row],[Is Data Valid]]=TRUE,_xlfn.NORM.S.DIST(Table1[[#This Row],[Birthweight Z-Score (BW+10%)]],TRUE)*100,"")</f>
        <v/>
      </c>
    </row>
    <row r="6796" spans="1:12" x14ac:dyDescent="0.35">
      <c r="A6796" s="3"/>
      <c r="B6796" s="2"/>
      <c r="C6796" s="2"/>
      <c r="D6796" s="2" t="b">
        <f>IF(AND(NOT(ISBLANK(Table1[[#This Row],[Fetal Sex (Male, Female or Unknown)]])),ISNUMBER(Table1[[#This Row],[Birthweight (grams)]]),ISNUMBER(Table1[[#This Row],[Gestation (days)]])),TRUE,FALSE)</f>
        <v>0</v>
      </c>
      <c r="E6796" s="2" t="str">
        <f>IF(Table1[[#This Row],[Is Data Valid]]=TRUE,IF(Table1[[#This Row],[Fetal Sex (Male, Female or Unknown)]]="Male",Backend!$C$6,IF(Table1[[#This Row],[Fetal Sex (Male, Female or Unknown)]]="Female",Backend!$C$7,IF(Table1[[#This Row],[Fetal Sex (Male, Female or Unknown)]]="Unknown",Backend!$C$8,"Error"))),"")</f>
        <v/>
      </c>
      <c r="F6796" s="8" t="str">
        <f>IF(Table1[[#This Row],[Is Data Valid]]=TRUE,EXP(0.578+0.332*((Table1[[#This Row],[Gestation (days)]]+0.5)/7)-0.00354*((Table1[[#This Row],[Gestation (days)]]+0.5)/7)^2)*Table1[[#This Row],[BW40_3705]],"")</f>
        <v/>
      </c>
      <c r="G6796" s="2" t="str">
        <f>IF(Table1[[#This Row],[Is Data Valid]]=TRUE,((Table1[[#This Row],[Birthweight (grams)]]/Table1[[#This Row],[BW_GA]])-1)/(Backend!$B$4/100*Table1[[#This Row],[BW40_3705]]),"")</f>
        <v/>
      </c>
      <c r="H6796" s="7" t="str">
        <f>IF(Table1[[#This Row],[Is Data Valid]]=TRUE,((Table1[[#This Row],[Birthweight (grams)]]*0.9/Table1[[#This Row],[BW_GA]])-1)/(Backend!$B$4/100*Table1[[#This Row],[BW40_3705]]),"")</f>
        <v/>
      </c>
      <c r="I6796" s="7" t="str">
        <f>IF(Table1[[#This Row],[Is Data Valid]]=TRUE,((Table1[[#This Row],[Birthweight (grams)]]*1.1/Table1[[#This Row],[BW_GA]])-1)/(Backend!$B$4/100*Table1[[#This Row],[BW40_3705]]),"")</f>
        <v/>
      </c>
      <c r="J6796" s="7" t="str">
        <f>IF(Table1[[#This Row],[Is Data Valid]]=TRUE,_xlfn.NORM.S.DIST(Table1[[#This Row],[Birthweight Z-Score]],TRUE)*100,"")</f>
        <v/>
      </c>
      <c r="K6796" s="7" t="str">
        <f>IF(Table1[[#This Row],[Is Data Valid]]=TRUE,_xlfn.NORM.S.DIST(Table1[[#This Row],[Birthweight Z-Score (BW-10%)]],TRUE)*100,"")</f>
        <v/>
      </c>
      <c r="L6796" s="7" t="str">
        <f>IF(Table1[[#This Row],[Is Data Valid]]=TRUE,_xlfn.NORM.S.DIST(Table1[[#This Row],[Birthweight Z-Score (BW+10%)]],TRUE)*100,"")</f>
        <v/>
      </c>
    </row>
    <row r="6797" spans="1:12" x14ac:dyDescent="0.35">
      <c r="A6797" s="3"/>
      <c r="B6797" s="2"/>
      <c r="C6797" s="2"/>
      <c r="D6797" s="2" t="b">
        <f>IF(AND(NOT(ISBLANK(Table1[[#This Row],[Fetal Sex (Male, Female or Unknown)]])),ISNUMBER(Table1[[#This Row],[Birthweight (grams)]]),ISNUMBER(Table1[[#This Row],[Gestation (days)]])),TRUE,FALSE)</f>
        <v>0</v>
      </c>
      <c r="E6797" s="2" t="str">
        <f>IF(Table1[[#This Row],[Is Data Valid]]=TRUE,IF(Table1[[#This Row],[Fetal Sex (Male, Female or Unknown)]]="Male",Backend!$C$6,IF(Table1[[#This Row],[Fetal Sex (Male, Female or Unknown)]]="Female",Backend!$C$7,IF(Table1[[#This Row],[Fetal Sex (Male, Female or Unknown)]]="Unknown",Backend!$C$8,"Error"))),"")</f>
        <v/>
      </c>
      <c r="F6797" s="8" t="str">
        <f>IF(Table1[[#This Row],[Is Data Valid]]=TRUE,EXP(0.578+0.332*((Table1[[#This Row],[Gestation (days)]]+0.5)/7)-0.00354*((Table1[[#This Row],[Gestation (days)]]+0.5)/7)^2)*Table1[[#This Row],[BW40_3705]],"")</f>
        <v/>
      </c>
      <c r="G6797" s="2" t="str">
        <f>IF(Table1[[#This Row],[Is Data Valid]]=TRUE,((Table1[[#This Row],[Birthweight (grams)]]/Table1[[#This Row],[BW_GA]])-1)/(Backend!$B$4/100*Table1[[#This Row],[BW40_3705]]),"")</f>
        <v/>
      </c>
      <c r="H6797" s="7" t="str">
        <f>IF(Table1[[#This Row],[Is Data Valid]]=TRUE,((Table1[[#This Row],[Birthweight (grams)]]*0.9/Table1[[#This Row],[BW_GA]])-1)/(Backend!$B$4/100*Table1[[#This Row],[BW40_3705]]),"")</f>
        <v/>
      </c>
      <c r="I6797" s="7" t="str">
        <f>IF(Table1[[#This Row],[Is Data Valid]]=TRUE,((Table1[[#This Row],[Birthweight (grams)]]*1.1/Table1[[#This Row],[BW_GA]])-1)/(Backend!$B$4/100*Table1[[#This Row],[BW40_3705]]),"")</f>
        <v/>
      </c>
      <c r="J6797" s="7" t="str">
        <f>IF(Table1[[#This Row],[Is Data Valid]]=TRUE,_xlfn.NORM.S.DIST(Table1[[#This Row],[Birthweight Z-Score]],TRUE)*100,"")</f>
        <v/>
      </c>
      <c r="K6797" s="7" t="str">
        <f>IF(Table1[[#This Row],[Is Data Valid]]=TRUE,_xlfn.NORM.S.DIST(Table1[[#This Row],[Birthweight Z-Score (BW-10%)]],TRUE)*100,"")</f>
        <v/>
      </c>
      <c r="L6797" s="7" t="str">
        <f>IF(Table1[[#This Row],[Is Data Valid]]=TRUE,_xlfn.NORM.S.DIST(Table1[[#This Row],[Birthweight Z-Score (BW+10%)]],TRUE)*100,"")</f>
        <v/>
      </c>
    </row>
    <row r="6798" spans="1:12" x14ac:dyDescent="0.35">
      <c r="A6798" s="3"/>
      <c r="B6798" s="2"/>
      <c r="C6798" s="2"/>
      <c r="D6798" s="2" t="b">
        <f>IF(AND(NOT(ISBLANK(Table1[[#This Row],[Fetal Sex (Male, Female or Unknown)]])),ISNUMBER(Table1[[#This Row],[Birthweight (grams)]]),ISNUMBER(Table1[[#This Row],[Gestation (days)]])),TRUE,FALSE)</f>
        <v>0</v>
      </c>
      <c r="E6798" s="2" t="str">
        <f>IF(Table1[[#This Row],[Is Data Valid]]=TRUE,IF(Table1[[#This Row],[Fetal Sex (Male, Female or Unknown)]]="Male",Backend!$C$6,IF(Table1[[#This Row],[Fetal Sex (Male, Female or Unknown)]]="Female",Backend!$C$7,IF(Table1[[#This Row],[Fetal Sex (Male, Female or Unknown)]]="Unknown",Backend!$C$8,"Error"))),"")</f>
        <v/>
      </c>
      <c r="F6798" s="8" t="str">
        <f>IF(Table1[[#This Row],[Is Data Valid]]=TRUE,EXP(0.578+0.332*((Table1[[#This Row],[Gestation (days)]]+0.5)/7)-0.00354*((Table1[[#This Row],[Gestation (days)]]+0.5)/7)^2)*Table1[[#This Row],[BW40_3705]],"")</f>
        <v/>
      </c>
      <c r="G6798" s="2" t="str">
        <f>IF(Table1[[#This Row],[Is Data Valid]]=TRUE,((Table1[[#This Row],[Birthweight (grams)]]/Table1[[#This Row],[BW_GA]])-1)/(Backend!$B$4/100*Table1[[#This Row],[BW40_3705]]),"")</f>
        <v/>
      </c>
      <c r="H6798" s="7" t="str">
        <f>IF(Table1[[#This Row],[Is Data Valid]]=TRUE,((Table1[[#This Row],[Birthweight (grams)]]*0.9/Table1[[#This Row],[BW_GA]])-1)/(Backend!$B$4/100*Table1[[#This Row],[BW40_3705]]),"")</f>
        <v/>
      </c>
      <c r="I6798" s="7" t="str">
        <f>IF(Table1[[#This Row],[Is Data Valid]]=TRUE,((Table1[[#This Row],[Birthweight (grams)]]*1.1/Table1[[#This Row],[BW_GA]])-1)/(Backend!$B$4/100*Table1[[#This Row],[BW40_3705]]),"")</f>
        <v/>
      </c>
      <c r="J6798" s="7" t="str">
        <f>IF(Table1[[#This Row],[Is Data Valid]]=TRUE,_xlfn.NORM.S.DIST(Table1[[#This Row],[Birthweight Z-Score]],TRUE)*100,"")</f>
        <v/>
      </c>
      <c r="K6798" s="7" t="str">
        <f>IF(Table1[[#This Row],[Is Data Valid]]=TRUE,_xlfn.NORM.S.DIST(Table1[[#This Row],[Birthweight Z-Score (BW-10%)]],TRUE)*100,"")</f>
        <v/>
      </c>
      <c r="L6798" s="7" t="str">
        <f>IF(Table1[[#This Row],[Is Data Valid]]=TRUE,_xlfn.NORM.S.DIST(Table1[[#This Row],[Birthweight Z-Score (BW+10%)]],TRUE)*100,"")</f>
        <v/>
      </c>
    </row>
    <row r="6799" spans="1:12" x14ac:dyDescent="0.35">
      <c r="A6799" s="3"/>
      <c r="B6799" s="2"/>
      <c r="C6799" s="2"/>
      <c r="D6799" s="2" t="b">
        <f>IF(AND(NOT(ISBLANK(Table1[[#This Row],[Fetal Sex (Male, Female or Unknown)]])),ISNUMBER(Table1[[#This Row],[Birthweight (grams)]]),ISNUMBER(Table1[[#This Row],[Gestation (days)]])),TRUE,FALSE)</f>
        <v>0</v>
      </c>
      <c r="E6799" s="2" t="str">
        <f>IF(Table1[[#This Row],[Is Data Valid]]=TRUE,IF(Table1[[#This Row],[Fetal Sex (Male, Female or Unknown)]]="Male",Backend!$C$6,IF(Table1[[#This Row],[Fetal Sex (Male, Female or Unknown)]]="Female",Backend!$C$7,IF(Table1[[#This Row],[Fetal Sex (Male, Female or Unknown)]]="Unknown",Backend!$C$8,"Error"))),"")</f>
        <v/>
      </c>
      <c r="F6799" s="8" t="str">
        <f>IF(Table1[[#This Row],[Is Data Valid]]=TRUE,EXP(0.578+0.332*((Table1[[#This Row],[Gestation (days)]]+0.5)/7)-0.00354*((Table1[[#This Row],[Gestation (days)]]+0.5)/7)^2)*Table1[[#This Row],[BW40_3705]],"")</f>
        <v/>
      </c>
      <c r="G6799" s="2" t="str">
        <f>IF(Table1[[#This Row],[Is Data Valid]]=TRUE,((Table1[[#This Row],[Birthweight (grams)]]/Table1[[#This Row],[BW_GA]])-1)/(Backend!$B$4/100*Table1[[#This Row],[BW40_3705]]),"")</f>
        <v/>
      </c>
      <c r="H6799" s="7" t="str">
        <f>IF(Table1[[#This Row],[Is Data Valid]]=TRUE,((Table1[[#This Row],[Birthweight (grams)]]*0.9/Table1[[#This Row],[BW_GA]])-1)/(Backend!$B$4/100*Table1[[#This Row],[BW40_3705]]),"")</f>
        <v/>
      </c>
      <c r="I6799" s="7" t="str">
        <f>IF(Table1[[#This Row],[Is Data Valid]]=TRUE,((Table1[[#This Row],[Birthweight (grams)]]*1.1/Table1[[#This Row],[BW_GA]])-1)/(Backend!$B$4/100*Table1[[#This Row],[BW40_3705]]),"")</f>
        <v/>
      </c>
      <c r="J6799" s="7" t="str">
        <f>IF(Table1[[#This Row],[Is Data Valid]]=TRUE,_xlfn.NORM.S.DIST(Table1[[#This Row],[Birthweight Z-Score]],TRUE)*100,"")</f>
        <v/>
      </c>
      <c r="K6799" s="7" t="str">
        <f>IF(Table1[[#This Row],[Is Data Valid]]=TRUE,_xlfn.NORM.S.DIST(Table1[[#This Row],[Birthweight Z-Score (BW-10%)]],TRUE)*100,"")</f>
        <v/>
      </c>
      <c r="L6799" s="7" t="str">
        <f>IF(Table1[[#This Row],[Is Data Valid]]=TRUE,_xlfn.NORM.S.DIST(Table1[[#This Row],[Birthweight Z-Score (BW+10%)]],TRUE)*100,"")</f>
        <v/>
      </c>
    </row>
    <row r="6800" spans="1:12" x14ac:dyDescent="0.35">
      <c r="A6800" s="3"/>
      <c r="B6800" s="2"/>
      <c r="C6800" s="2"/>
      <c r="D6800" s="2" t="b">
        <f>IF(AND(NOT(ISBLANK(Table1[[#This Row],[Fetal Sex (Male, Female or Unknown)]])),ISNUMBER(Table1[[#This Row],[Birthweight (grams)]]),ISNUMBER(Table1[[#This Row],[Gestation (days)]])),TRUE,FALSE)</f>
        <v>0</v>
      </c>
      <c r="E6800" s="2" t="str">
        <f>IF(Table1[[#This Row],[Is Data Valid]]=TRUE,IF(Table1[[#This Row],[Fetal Sex (Male, Female or Unknown)]]="Male",Backend!$C$6,IF(Table1[[#This Row],[Fetal Sex (Male, Female or Unknown)]]="Female",Backend!$C$7,IF(Table1[[#This Row],[Fetal Sex (Male, Female or Unknown)]]="Unknown",Backend!$C$8,"Error"))),"")</f>
        <v/>
      </c>
      <c r="F6800" s="8" t="str">
        <f>IF(Table1[[#This Row],[Is Data Valid]]=TRUE,EXP(0.578+0.332*((Table1[[#This Row],[Gestation (days)]]+0.5)/7)-0.00354*((Table1[[#This Row],[Gestation (days)]]+0.5)/7)^2)*Table1[[#This Row],[BW40_3705]],"")</f>
        <v/>
      </c>
      <c r="G6800" s="2" t="str">
        <f>IF(Table1[[#This Row],[Is Data Valid]]=TRUE,((Table1[[#This Row],[Birthweight (grams)]]/Table1[[#This Row],[BW_GA]])-1)/(Backend!$B$4/100*Table1[[#This Row],[BW40_3705]]),"")</f>
        <v/>
      </c>
      <c r="H6800" s="7" t="str">
        <f>IF(Table1[[#This Row],[Is Data Valid]]=TRUE,((Table1[[#This Row],[Birthweight (grams)]]*0.9/Table1[[#This Row],[BW_GA]])-1)/(Backend!$B$4/100*Table1[[#This Row],[BW40_3705]]),"")</f>
        <v/>
      </c>
      <c r="I6800" s="7" t="str">
        <f>IF(Table1[[#This Row],[Is Data Valid]]=TRUE,((Table1[[#This Row],[Birthweight (grams)]]*1.1/Table1[[#This Row],[BW_GA]])-1)/(Backend!$B$4/100*Table1[[#This Row],[BW40_3705]]),"")</f>
        <v/>
      </c>
      <c r="J6800" s="7" t="str">
        <f>IF(Table1[[#This Row],[Is Data Valid]]=TRUE,_xlfn.NORM.S.DIST(Table1[[#This Row],[Birthweight Z-Score]],TRUE)*100,"")</f>
        <v/>
      </c>
      <c r="K6800" s="7" t="str">
        <f>IF(Table1[[#This Row],[Is Data Valid]]=TRUE,_xlfn.NORM.S.DIST(Table1[[#This Row],[Birthweight Z-Score (BW-10%)]],TRUE)*100,"")</f>
        <v/>
      </c>
      <c r="L6800" s="7" t="str">
        <f>IF(Table1[[#This Row],[Is Data Valid]]=TRUE,_xlfn.NORM.S.DIST(Table1[[#This Row],[Birthweight Z-Score (BW+10%)]],TRUE)*100,"")</f>
        <v/>
      </c>
    </row>
    <row r="6801" spans="1:12" x14ac:dyDescent="0.35">
      <c r="A6801" s="3"/>
      <c r="B6801" s="2"/>
      <c r="C6801" s="2"/>
      <c r="D6801" s="2" t="b">
        <f>IF(AND(NOT(ISBLANK(Table1[[#This Row],[Fetal Sex (Male, Female or Unknown)]])),ISNUMBER(Table1[[#This Row],[Birthweight (grams)]]),ISNUMBER(Table1[[#This Row],[Gestation (days)]])),TRUE,FALSE)</f>
        <v>0</v>
      </c>
      <c r="E6801" s="2" t="str">
        <f>IF(Table1[[#This Row],[Is Data Valid]]=TRUE,IF(Table1[[#This Row],[Fetal Sex (Male, Female or Unknown)]]="Male",Backend!$C$6,IF(Table1[[#This Row],[Fetal Sex (Male, Female or Unknown)]]="Female",Backend!$C$7,IF(Table1[[#This Row],[Fetal Sex (Male, Female or Unknown)]]="Unknown",Backend!$C$8,"Error"))),"")</f>
        <v/>
      </c>
      <c r="F6801" s="8" t="str">
        <f>IF(Table1[[#This Row],[Is Data Valid]]=TRUE,EXP(0.578+0.332*((Table1[[#This Row],[Gestation (days)]]+0.5)/7)-0.00354*((Table1[[#This Row],[Gestation (days)]]+0.5)/7)^2)*Table1[[#This Row],[BW40_3705]],"")</f>
        <v/>
      </c>
      <c r="G6801" s="2" t="str">
        <f>IF(Table1[[#This Row],[Is Data Valid]]=TRUE,((Table1[[#This Row],[Birthweight (grams)]]/Table1[[#This Row],[BW_GA]])-1)/(Backend!$B$4/100*Table1[[#This Row],[BW40_3705]]),"")</f>
        <v/>
      </c>
      <c r="H6801" s="7" t="str">
        <f>IF(Table1[[#This Row],[Is Data Valid]]=TRUE,((Table1[[#This Row],[Birthweight (grams)]]*0.9/Table1[[#This Row],[BW_GA]])-1)/(Backend!$B$4/100*Table1[[#This Row],[BW40_3705]]),"")</f>
        <v/>
      </c>
      <c r="I6801" s="7" t="str">
        <f>IF(Table1[[#This Row],[Is Data Valid]]=TRUE,((Table1[[#This Row],[Birthweight (grams)]]*1.1/Table1[[#This Row],[BW_GA]])-1)/(Backend!$B$4/100*Table1[[#This Row],[BW40_3705]]),"")</f>
        <v/>
      </c>
      <c r="J6801" s="7" t="str">
        <f>IF(Table1[[#This Row],[Is Data Valid]]=TRUE,_xlfn.NORM.S.DIST(Table1[[#This Row],[Birthweight Z-Score]],TRUE)*100,"")</f>
        <v/>
      </c>
      <c r="K6801" s="7" t="str">
        <f>IF(Table1[[#This Row],[Is Data Valid]]=TRUE,_xlfn.NORM.S.DIST(Table1[[#This Row],[Birthweight Z-Score (BW-10%)]],TRUE)*100,"")</f>
        <v/>
      </c>
      <c r="L6801" s="7" t="str">
        <f>IF(Table1[[#This Row],[Is Data Valid]]=TRUE,_xlfn.NORM.S.DIST(Table1[[#This Row],[Birthweight Z-Score (BW+10%)]],TRUE)*100,"")</f>
        <v/>
      </c>
    </row>
    <row r="6802" spans="1:12" x14ac:dyDescent="0.35">
      <c r="A6802" s="3"/>
      <c r="B6802" s="2"/>
      <c r="C6802" s="2"/>
      <c r="D6802" s="2" t="b">
        <f>IF(AND(NOT(ISBLANK(Table1[[#This Row],[Fetal Sex (Male, Female or Unknown)]])),ISNUMBER(Table1[[#This Row],[Birthweight (grams)]]),ISNUMBER(Table1[[#This Row],[Gestation (days)]])),TRUE,FALSE)</f>
        <v>0</v>
      </c>
      <c r="E6802" s="2" t="str">
        <f>IF(Table1[[#This Row],[Is Data Valid]]=TRUE,IF(Table1[[#This Row],[Fetal Sex (Male, Female or Unknown)]]="Male",Backend!$C$6,IF(Table1[[#This Row],[Fetal Sex (Male, Female or Unknown)]]="Female",Backend!$C$7,IF(Table1[[#This Row],[Fetal Sex (Male, Female or Unknown)]]="Unknown",Backend!$C$8,"Error"))),"")</f>
        <v/>
      </c>
      <c r="F6802" s="8" t="str">
        <f>IF(Table1[[#This Row],[Is Data Valid]]=TRUE,EXP(0.578+0.332*((Table1[[#This Row],[Gestation (days)]]+0.5)/7)-0.00354*((Table1[[#This Row],[Gestation (days)]]+0.5)/7)^2)*Table1[[#This Row],[BW40_3705]],"")</f>
        <v/>
      </c>
      <c r="G6802" s="2" t="str">
        <f>IF(Table1[[#This Row],[Is Data Valid]]=TRUE,((Table1[[#This Row],[Birthweight (grams)]]/Table1[[#This Row],[BW_GA]])-1)/(Backend!$B$4/100*Table1[[#This Row],[BW40_3705]]),"")</f>
        <v/>
      </c>
      <c r="H6802" s="7" t="str">
        <f>IF(Table1[[#This Row],[Is Data Valid]]=TRUE,((Table1[[#This Row],[Birthweight (grams)]]*0.9/Table1[[#This Row],[BW_GA]])-1)/(Backend!$B$4/100*Table1[[#This Row],[BW40_3705]]),"")</f>
        <v/>
      </c>
      <c r="I6802" s="7" t="str">
        <f>IF(Table1[[#This Row],[Is Data Valid]]=TRUE,((Table1[[#This Row],[Birthweight (grams)]]*1.1/Table1[[#This Row],[BW_GA]])-1)/(Backend!$B$4/100*Table1[[#This Row],[BW40_3705]]),"")</f>
        <v/>
      </c>
      <c r="J6802" s="7" t="str">
        <f>IF(Table1[[#This Row],[Is Data Valid]]=TRUE,_xlfn.NORM.S.DIST(Table1[[#This Row],[Birthweight Z-Score]],TRUE)*100,"")</f>
        <v/>
      </c>
      <c r="K6802" s="7" t="str">
        <f>IF(Table1[[#This Row],[Is Data Valid]]=TRUE,_xlfn.NORM.S.DIST(Table1[[#This Row],[Birthweight Z-Score (BW-10%)]],TRUE)*100,"")</f>
        <v/>
      </c>
      <c r="L6802" s="7" t="str">
        <f>IF(Table1[[#This Row],[Is Data Valid]]=TRUE,_xlfn.NORM.S.DIST(Table1[[#This Row],[Birthweight Z-Score (BW+10%)]],TRUE)*100,"")</f>
        <v/>
      </c>
    </row>
    <row r="6803" spans="1:12" x14ac:dyDescent="0.35">
      <c r="A6803" s="3"/>
      <c r="B6803" s="2"/>
      <c r="C6803" s="2"/>
      <c r="D6803" s="2" t="b">
        <f>IF(AND(NOT(ISBLANK(Table1[[#This Row],[Fetal Sex (Male, Female or Unknown)]])),ISNUMBER(Table1[[#This Row],[Birthweight (grams)]]),ISNUMBER(Table1[[#This Row],[Gestation (days)]])),TRUE,FALSE)</f>
        <v>0</v>
      </c>
      <c r="E6803" s="2" t="str">
        <f>IF(Table1[[#This Row],[Is Data Valid]]=TRUE,IF(Table1[[#This Row],[Fetal Sex (Male, Female or Unknown)]]="Male",Backend!$C$6,IF(Table1[[#This Row],[Fetal Sex (Male, Female or Unknown)]]="Female",Backend!$C$7,IF(Table1[[#This Row],[Fetal Sex (Male, Female or Unknown)]]="Unknown",Backend!$C$8,"Error"))),"")</f>
        <v/>
      </c>
      <c r="F6803" s="8" t="str">
        <f>IF(Table1[[#This Row],[Is Data Valid]]=TRUE,EXP(0.578+0.332*((Table1[[#This Row],[Gestation (days)]]+0.5)/7)-0.00354*((Table1[[#This Row],[Gestation (days)]]+0.5)/7)^2)*Table1[[#This Row],[BW40_3705]],"")</f>
        <v/>
      </c>
      <c r="G6803" s="2" t="str">
        <f>IF(Table1[[#This Row],[Is Data Valid]]=TRUE,((Table1[[#This Row],[Birthweight (grams)]]/Table1[[#This Row],[BW_GA]])-1)/(Backend!$B$4/100*Table1[[#This Row],[BW40_3705]]),"")</f>
        <v/>
      </c>
      <c r="H6803" s="7" t="str">
        <f>IF(Table1[[#This Row],[Is Data Valid]]=TRUE,((Table1[[#This Row],[Birthweight (grams)]]*0.9/Table1[[#This Row],[BW_GA]])-1)/(Backend!$B$4/100*Table1[[#This Row],[BW40_3705]]),"")</f>
        <v/>
      </c>
      <c r="I6803" s="7" t="str">
        <f>IF(Table1[[#This Row],[Is Data Valid]]=TRUE,((Table1[[#This Row],[Birthweight (grams)]]*1.1/Table1[[#This Row],[BW_GA]])-1)/(Backend!$B$4/100*Table1[[#This Row],[BW40_3705]]),"")</f>
        <v/>
      </c>
      <c r="J6803" s="7" t="str">
        <f>IF(Table1[[#This Row],[Is Data Valid]]=TRUE,_xlfn.NORM.S.DIST(Table1[[#This Row],[Birthweight Z-Score]],TRUE)*100,"")</f>
        <v/>
      </c>
      <c r="K6803" s="7" t="str">
        <f>IF(Table1[[#This Row],[Is Data Valid]]=TRUE,_xlfn.NORM.S.DIST(Table1[[#This Row],[Birthweight Z-Score (BW-10%)]],TRUE)*100,"")</f>
        <v/>
      </c>
      <c r="L6803" s="7" t="str">
        <f>IF(Table1[[#This Row],[Is Data Valid]]=TRUE,_xlfn.NORM.S.DIST(Table1[[#This Row],[Birthweight Z-Score (BW+10%)]],TRUE)*100,"")</f>
        <v/>
      </c>
    </row>
    <row r="6804" spans="1:12" x14ac:dyDescent="0.35">
      <c r="A6804" s="3"/>
      <c r="B6804" s="2"/>
      <c r="C6804" s="2"/>
      <c r="D6804" s="2" t="b">
        <f>IF(AND(NOT(ISBLANK(Table1[[#This Row],[Fetal Sex (Male, Female or Unknown)]])),ISNUMBER(Table1[[#This Row],[Birthweight (grams)]]),ISNUMBER(Table1[[#This Row],[Gestation (days)]])),TRUE,FALSE)</f>
        <v>0</v>
      </c>
      <c r="E6804" s="2" t="str">
        <f>IF(Table1[[#This Row],[Is Data Valid]]=TRUE,IF(Table1[[#This Row],[Fetal Sex (Male, Female or Unknown)]]="Male",Backend!$C$6,IF(Table1[[#This Row],[Fetal Sex (Male, Female or Unknown)]]="Female",Backend!$C$7,IF(Table1[[#This Row],[Fetal Sex (Male, Female or Unknown)]]="Unknown",Backend!$C$8,"Error"))),"")</f>
        <v/>
      </c>
      <c r="F6804" s="8" t="str">
        <f>IF(Table1[[#This Row],[Is Data Valid]]=TRUE,EXP(0.578+0.332*((Table1[[#This Row],[Gestation (days)]]+0.5)/7)-0.00354*((Table1[[#This Row],[Gestation (days)]]+0.5)/7)^2)*Table1[[#This Row],[BW40_3705]],"")</f>
        <v/>
      </c>
      <c r="G6804" s="2" t="str">
        <f>IF(Table1[[#This Row],[Is Data Valid]]=TRUE,((Table1[[#This Row],[Birthweight (grams)]]/Table1[[#This Row],[BW_GA]])-1)/(Backend!$B$4/100*Table1[[#This Row],[BW40_3705]]),"")</f>
        <v/>
      </c>
      <c r="H6804" s="7" t="str">
        <f>IF(Table1[[#This Row],[Is Data Valid]]=TRUE,((Table1[[#This Row],[Birthweight (grams)]]*0.9/Table1[[#This Row],[BW_GA]])-1)/(Backend!$B$4/100*Table1[[#This Row],[BW40_3705]]),"")</f>
        <v/>
      </c>
      <c r="I6804" s="7" t="str">
        <f>IF(Table1[[#This Row],[Is Data Valid]]=TRUE,((Table1[[#This Row],[Birthweight (grams)]]*1.1/Table1[[#This Row],[BW_GA]])-1)/(Backend!$B$4/100*Table1[[#This Row],[BW40_3705]]),"")</f>
        <v/>
      </c>
      <c r="J6804" s="7" t="str">
        <f>IF(Table1[[#This Row],[Is Data Valid]]=TRUE,_xlfn.NORM.S.DIST(Table1[[#This Row],[Birthweight Z-Score]],TRUE)*100,"")</f>
        <v/>
      </c>
      <c r="K6804" s="7" t="str">
        <f>IF(Table1[[#This Row],[Is Data Valid]]=TRUE,_xlfn.NORM.S.DIST(Table1[[#This Row],[Birthweight Z-Score (BW-10%)]],TRUE)*100,"")</f>
        <v/>
      </c>
      <c r="L6804" s="7" t="str">
        <f>IF(Table1[[#This Row],[Is Data Valid]]=TRUE,_xlfn.NORM.S.DIST(Table1[[#This Row],[Birthweight Z-Score (BW+10%)]],TRUE)*100,"")</f>
        <v/>
      </c>
    </row>
    <row r="6805" spans="1:12" x14ac:dyDescent="0.35">
      <c r="A6805" s="3"/>
      <c r="B6805" s="2"/>
      <c r="C6805" s="2"/>
      <c r="D6805" s="2" t="b">
        <f>IF(AND(NOT(ISBLANK(Table1[[#This Row],[Fetal Sex (Male, Female or Unknown)]])),ISNUMBER(Table1[[#This Row],[Birthweight (grams)]]),ISNUMBER(Table1[[#This Row],[Gestation (days)]])),TRUE,FALSE)</f>
        <v>0</v>
      </c>
      <c r="E6805" s="2" t="str">
        <f>IF(Table1[[#This Row],[Is Data Valid]]=TRUE,IF(Table1[[#This Row],[Fetal Sex (Male, Female or Unknown)]]="Male",Backend!$C$6,IF(Table1[[#This Row],[Fetal Sex (Male, Female or Unknown)]]="Female",Backend!$C$7,IF(Table1[[#This Row],[Fetal Sex (Male, Female or Unknown)]]="Unknown",Backend!$C$8,"Error"))),"")</f>
        <v/>
      </c>
      <c r="F6805" s="8" t="str">
        <f>IF(Table1[[#This Row],[Is Data Valid]]=TRUE,EXP(0.578+0.332*((Table1[[#This Row],[Gestation (days)]]+0.5)/7)-0.00354*((Table1[[#This Row],[Gestation (days)]]+0.5)/7)^2)*Table1[[#This Row],[BW40_3705]],"")</f>
        <v/>
      </c>
      <c r="G6805" s="2" t="str">
        <f>IF(Table1[[#This Row],[Is Data Valid]]=TRUE,((Table1[[#This Row],[Birthweight (grams)]]/Table1[[#This Row],[BW_GA]])-1)/(Backend!$B$4/100*Table1[[#This Row],[BW40_3705]]),"")</f>
        <v/>
      </c>
      <c r="H6805" s="7" t="str">
        <f>IF(Table1[[#This Row],[Is Data Valid]]=TRUE,((Table1[[#This Row],[Birthweight (grams)]]*0.9/Table1[[#This Row],[BW_GA]])-1)/(Backend!$B$4/100*Table1[[#This Row],[BW40_3705]]),"")</f>
        <v/>
      </c>
      <c r="I6805" s="7" t="str">
        <f>IF(Table1[[#This Row],[Is Data Valid]]=TRUE,((Table1[[#This Row],[Birthweight (grams)]]*1.1/Table1[[#This Row],[BW_GA]])-1)/(Backend!$B$4/100*Table1[[#This Row],[BW40_3705]]),"")</f>
        <v/>
      </c>
      <c r="J6805" s="7" t="str">
        <f>IF(Table1[[#This Row],[Is Data Valid]]=TRUE,_xlfn.NORM.S.DIST(Table1[[#This Row],[Birthweight Z-Score]],TRUE)*100,"")</f>
        <v/>
      </c>
      <c r="K6805" s="7" t="str">
        <f>IF(Table1[[#This Row],[Is Data Valid]]=TRUE,_xlfn.NORM.S.DIST(Table1[[#This Row],[Birthweight Z-Score (BW-10%)]],TRUE)*100,"")</f>
        <v/>
      </c>
      <c r="L6805" s="7" t="str">
        <f>IF(Table1[[#This Row],[Is Data Valid]]=TRUE,_xlfn.NORM.S.DIST(Table1[[#This Row],[Birthweight Z-Score (BW+10%)]],TRUE)*100,"")</f>
        <v/>
      </c>
    </row>
    <row r="6806" spans="1:12" x14ac:dyDescent="0.35">
      <c r="A6806" s="3"/>
      <c r="B6806" s="2"/>
      <c r="C6806" s="2"/>
      <c r="D6806" s="2" t="b">
        <f>IF(AND(NOT(ISBLANK(Table1[[#This Row],[Fetal Sex (Male, Female or Unknown)]])),ISNUMBER(Table1[[#This Row],[Birthweight (grams)]]),ISNUMBER(Table1[[#This Row],[Gestation (days)]])),TRUE,FALSE)</f>
        <v>0</v>
      </c>
      <c r="E6806" s="2" t="str">
        <f>IF(Table1[[#This Row],[Is Data Valid]]=TRUE,IF(Table1[[#This Row],[Fetal Sex (Male, Female or Unknown)]]="Male",Backend!$C$6,IF(Table1[[#This Row],[Fetal Sex (Male, Female or Unknown)]]="Female",Backend!$C$7,IF(Table1[[#This Row],[Fetal Sex (Male, Female or Unknown)]]="Unknown",Backend!$C$8,"Error"))),"")</f>
        <v/>
      </c>
      <c r="F6806" s="8" t="str">
        <f>IF(Table1[[#This Row],[Is Data Valid]]=TRUE,EXP(0.578+0.332*((Table1[[#This Row],[Gestation (days)]]+0.5)/7)-0.00354*((Table1[[#This Row],[Gestation (days)]]+0.5)/7)^2)*Table1[[#This Row],[BW40_3705]],"")</f>
        <v/>
      </c>
      <c r="G6806" s="2" t="str">
        <f>IF(Table1[[#This Row],[Is Data Valid]]=TRUE,((Table1[[#This Row],[Birthweight (grams)]]/Table1[[#This Row],[BW_GA]])-1)/(Backend!$B$4/100*Table1[[#This Row],[BW40_3705]]),"")</f>
        <v/>
      </c>
      <c r="H6806" s="7" t="str">
        <f>IF(Table1[[#This Row],[Is Data Valid]]=TRUE,((Table1[[#This Row],[Birthweight (grams)]]*0.9/Table1[[#This Row],[BW_GA]])-1)/(Backend!$B$4/100*Table1[[#This Row],[BW40_3705]]),"")</f>
        <v/>
      </c>
      <c r="I6806" s="7" t="str">
        <f>IF(Table1[[#This Row],[Is Data Valid]]=TRUE,((Table1[[#This Row],[Birthweight (grams)]]*1.1/Table1[[#This Row],[BW_GA]])-1)/(Backend!$B$4/100*Table1[[#This Row],[BW40_3705]]),"")</f>
        <v/>
      </c>
      <c r="J6806" s="7" t="str">
        <f>IF(Table1[[#This Row],[Is Data Valid]]=TRUE,_xlfn.NORM.S.DIST(Table1[[#This Row],[Birthweight Z-Score]],TRUE)*100,"")</f>
        <v/>
      </c>
      <c r="K6806" s="7" t="str">
        <f>IF(Table1[[#This Row],[Is Data Valid]]=TRUE,_xlfn.NORM.S.DIST(Table1[[#This Row],[Birthweight Z-Score (BW-10%)]],TRUE)*100,"")</f>
        <v/>
      </c>
      <c r="L6806" s="7" t="str">
        <f>IF(Table1[[#This Row],[Is Data Valid]]=TRUE,_xlfn.NORM.S.DIST(Table1[[#This Row],[Birthweight Z-Score (BW+10%)]],TRUE)*100,"")</f>
        <v/>
      </c>
    </row>
    <row r="6807" spans="1:12" x14ac:dyDescent="0.35">
      <c r="A6807" s="3"/>
      <c r="B6807" s="2"/>
      <c r="C6807" s="2"/>
      <c r="D6807" s="2" t="b">
        <f>IF(AND(NOT(ISBLANK(Table1[[#This Row],[Fetal Sex (Male, Female or Unknown)]])),ISNUMBER(Table1[[#This Row],[Birthweight (grams)]]),ISNUMBER(Table1[[#This Row],[Gestation (days)]])),TRUE,FALSE)</f>
        <v>0</v>
      </c>
      <c r="E6807" s="2" t="str">
        <f>IF(Table1[[#This Row],[Is Data Valid]]=TRUE,IF(Table1[[#This Row],[Fetal Sex (Male, Female or Unknown)]]="Male",Backend!$C$6,IF(Table1[[#This Row],[Fetal Sex (Male, Female or Unknown)]]="Female",Backend!$C$7,IF(Table1[[#This Row],[Fetal Sex (Male, Female or Unknown)]]="Unknown",Backend!$C$8,"Error"))),"")</f>
        <v/>
      </c>
      <c r="F6807" s="8" t="str">
        <f>IF(Table1[[#This Row],[Is Data Valid]]=TRUE,EXP(0.578+0.332*((Table1[[#This Row],[Gestation (days)]]+0.5)/7)-0.00354*((Table1[[#This Row],[Gestation (days)]]+0.5)/7)^2)*Table1[[#This Row],[BW40_3705]],"")</f>
        <v/>
      </c>
      <c r="G6807" s="2" t="str">
        <f>IF(Table1[[#This Row],[Is Data Valid]]=TRUE,((Table1[[#This Row],[Birthweight (grams)]]/Table1[[#This Row],[BW_GA]])-1)/(Backend!$B$4/100*Table1[[#This Row],[BW40_3705]]),"")</f>
        <v/>
      </c>
      <c r="H6807" s="7" t="str">
        <f>IF(Table1[[#This Row],[Is Data Valid]]=TRUE,((Table1[[#This Row],[Birthweight (grams)]]*0.9/Table1[[#This Row],[BW_GA]])-1)/(Backend!$B$4/100*Table1[[#This Row],[BW40_3705]]),"")</f>
        <v/>
      </c>
      <c r="I6807" s="7" t="str">
        <f>IF(Table1[[#This Row],[Is Data Valid]]=TRUE,((Table1[[#This Row],[Birthweight (grams)]]*1.1/Table1[[#This Row],[BW_GA]])-1)/(Backend!$B$4/100*Table1[[#This Row],[BW40_3705]]),"")</f>
        <v/>
      </c>
      <c r="J6807" s="7" t="str">
        <f>IF(Table1[[#This Row],[Is Data Valid]]=TRUE,_xlfn.NORM.S.DIST(Table1[[#This Row],[Birthweight Z-Score]],TRUE)*100,"")</f>
        <v/>
      </c>
      <c r="K6807" s="7" t="str">
        <f>IF(Table1[[#This Row],[Is Data Valid]]=TRUE,_xlfn.NORM.S.DIST(Table1[[#This Row],[Birthweight Z-Score (BW-10%)]],TRUE)*100,"")</f>
        <v/>
      </c>
      <c r="L6807" s="7" t="str">
        <f>IF(Table1[[#This Row],[Is Data Valid]]=TRUE,_xlfn.NORM.S.DIST(Table1[[#This Row],[Birthweight Z-Score (BW+10%)]],TRUE)*100,"")</f>
        <v/>
      </c>
    </row>
    <row r="6808" spans="1:12" x14ac:dyDescent="0.35">
      <c r="A6808" s="3"/>
      <c r="B6808" s="2"/>
      <c r="C6808" s="2"/>
      <c r="D6808" s="2" t="b">
        <f>IF(AND(NOT(ISBLANK(Table1[[#This Row],[Fetal Sex (Male, Female or Unknown)]])),ISNUMBER(Table1[[#This Row],[Birthweight (grams)]]),ISNUMBER(Table1[[#This Row],[Gestation (days)]])),TRUE,FALSE)</f>
        <v>0</v>
      </c>
      <c r="E6808" s="2" t="str">
        <f>IF(Table1[[#This Row],[Is Data Valid]]=TRUE,IF(Table1[[#This Row],[Fetal Sex (Male, Female or Unknown)]]="Male",Backend!$C$6,IF(Table1[[#This Row],[Fetal Sex (Male, Female or Unknown)]]="Female",Backend!$C$7,IF(Table1[[#This Row],[Fetal Sex (Male, Female or Unknown)]]="Unknown",Backend!$C$8,"Error"))),"")</f>
        <v/>
      </c>
      <c r="F6808" s="8" t="str">
        <f>IF(Table1[[#This Row],[Is Data Valid]]=TRUE,EXP(0.578+0.332*((Table1[[#This Row],[Gestation (days)]]+0.5)/7)-0.00354*((Table1[[#This Row],[Gestation (days)]]+0.5)/7)^2)*Table1[[#This Row],[BW40_3705]],"")</f>
        <v/>
      </c>
      <c r="G6808" s="2" t="str">
        <f>IF(Table1[[#This Row],[Is Data Valid]]=TRUE,((Table1[[#This Row],[Birthweight (grams)]]/Table1[[#This Row],[BW_GA]])-1)/(Backend!$B$4/100*Table1[[#This Row],[BW40_3705]]),"")</f>
        <v/>
      </c>
      <c r="H6808" s="7" t="str">
        <f>IF(Table1[[#This Row],[Is Data Valid]]=TRUE,((Table1[[#This Row],[Birthweight (grams)]]*0.9/Table1[[#This Row],[BW_GA]])-1)/(Backend!$B$4/100*Table1[[#This Row],[BW40_3705]]),"")</f>
        <v/>
      </c>
      <c r="I6808" s="7" t="str">
        <f>IF(Table1[[#This Row],[Is Data Valid]]=TRUE,((Table1[[#This Row],[Birthweight (grams)]]*1.1/Table1[[#This Row],[BW_GA]])-1)/(Backend!$B$4/100*Table1[[#This Row],[BW40_3705]]),"")</f>
        <v/>
      </c>
      <c r="J6808" s="7" t="str">
        <f>IF(Table1[[#This Row],[Is Data Valid]]=TRUE,_xlfn.NORM.S.DIST(Table1[[#This Row],[Birthweight Z-Score]],TRUE)*100,"")</f>
        <v/>
      </c>
      <c r="K6808" s="7" t="str">
        <f>IF(Table1[[#This Row],[Is Data Valid]]=TRUE,_xlfn.NORM.S.DIST(Table1[[#This Row],[Birthweight Z-Score (BW-10%)]],TRUE)*100,"")</f>
        <v/>
      </c>
      <c r="L6808" s="7" t="str">
        <f>IF(Table1[[#This Row],[Is Data Valid]]=TRUE,_xlfn.NORM.S.DIST(Table1[[#This Row],[Birthweight Z-Score (BW+10%)]],TRUE)*100,"")</f>
        <v/>
      </c>
    </row>
    <row r="6809" spans="1:12" x14ac:dyDescent="0.35">
      <c r="A6809" s="3"/>
      <c r="B6809" s="2"/>
      <c r="C6809" s="2"/>
      <c r="D6809" s="2" t="b">
        <f>IF(AND(NOT(ISBLANK(Table1[[#This Row],[Fetal Sex (Male, Female or Unknown)]])),ISNUMBER(Table1[[#This Row],[Birthweight (grams)]]),ISNUMBER(Table1[[#This Row],[Gestation (days)]])),TRUE,FALSE)</f>
        <v>0</v>
      </c>
      <c r="E6809" s="2" t="str">
        <f>IF(Table1[[#This Row],[Is Data Valid]]=TRUE,IF(Table1[[#This Row],[Fetal Sex (Male, Female or Unknown)]]="Male",Backend!$C$6,IF(Table1[[#This Row],[Fetal Sex (Male, Female or Unknown)]]="Female",Backend!$C$7,IF(Table1[[#This Row],[Fetal Sex (Male, Female or Unknown)]]="Unknown",Backend!$C$8,"Error"))),"")</f>
        <v/>
      </c>
      <c r="F6809" s="8" t="str">
        <f>IF(Table1[[#This Row],[Is Data Valid]]=TRUE,EXP(0.578+0.332*((Table1[[#This Row],[Gestation (days)]]+0.5)/7)-0.00354*((Table1[[#This Row],[Gestation (days)]]+0.5)/7)^2)*Table1[[#This Row],[BW40_3705]],"")</f>
        <v/>
      </c>
      <c r="G6809" s="2" t="str">
        <f>IF(Table1[[#This Row],[Is Data Valid]]=TRUE,((Table1[[#This Row],[Birthweight (grams)]]/Table1[[#This Row],[BW_GA]])-1)/(Backend!$B$4/100*Table1[[#This Row],[BW40_3705]]),"")</f>
        <v/>
      </c>
      <c r="H6809" s="7" t="str">
        <f>IF(Table1[[#This Row],[Is Data Valid]]=TRUE,((Table1[[#This Row],[Birthweight (grams)]]*0.9/Table1[[#This Row],[BW_GA]])-1)/(Backend!$B$4/100*Table1[[#This Row],[BW40_3705]]),"")</f>
        <v/>
      </c>
      <c r="I6809" s="7" t="str">
        <f>IF(Table1[[#This Row],[Is Data Valid]]=TRUE,((Table1[[#This Row],[Birthweight (grams)]]*1.1/Table1[[#This Row],[BW_GA]])-1)/(Backend!$B$4/100*Table1[[#This Row],[BW40_3705]]),"")</f>
        <v/>
      </c>
      <c r="J6809" s="7" t="str">
        <f>IF(Table1[[#This Row],[Is Data Valid]]=TRUE,_xlfn.NORM.S.DIST(Table1[[#This Row],[Birthweight Z-Score]],TRUE)*100,"")</f>
        <v/>
      </c>
      <c r="K6809" s="7" t="str">
        <f>IF(Table1[[#This Row],[Is Data Valid]]=TRUE,_xlfn.NORM.S.DIST(Table1[[#This Row],[Birthweight Z-Score (BW-10%)]],TRUE)*100,"")</f>
        <v/>
      </c>
      <c r="L6809" s="7" t="str">
        <f>IF(Table1[[#This Row],[Is Data Valid]]=TRUE,_xlfn.NORM.S.DIST(Table1[[#This Row],[Birthweight Z-Score (BW+10%)]],TRUE)*100,"")</f>
        <v/>
      </c>
    </row>
    <row r="6810" spans="1:12" x14ac:dyDescent="0.35">
      <c r="A6810" s="3"/>
      <c r="B6810" s="2"/>
      <c r="C6810" s="2"/>
      <c r="D6810" s="2" t="b">
        <f>IF(AND(NOT(ISBLANK(Table1[[#This Row],[Fetal Sex (Male, Female or Unknown)]])),ISNUMBER(Table1[[#This Row],[Birthweight (grams)]]),ISNUMBER(Table1[[#This Row],[Gestation (days)]])),TRUE,FALSE)</f>
        <v>0</v>
      </c>
      <c r="E6810" s="2" t="str">
        <f>IF(Table1[[#This Row],[Is Data Valid]]=TRUE,IF(Table1[[#This Row],[Fetal Sex (Male, Female or Unknown)]]="Male",Backend!$C$6,IF(Table1[[#This Row],[Fetal Sex (Male, Female or Unknown)]]="Female",Backend!$C$7,IF(Table1[[#This Row],[Fetal Sex (Male, Female or Unknown)]]="Unknown",Backend!$C$8,"Error"))),"")</f>
        <v/>
      </c>
      <c r="F6810" s="8" t="str">
        <f>IF(Table1[[#This Row],[Is Data Valid]]=TRUE,EXP(0.578+0.332*((Table1[[#This Row],[Gestation (days)]]+0.5)/7)-0.00354*((Table1[[#This Row],[Gestation (days)]]+0.5)/7)^2)*Table1[[#This Row],[BW40_3705]],"")</f>
        <v/>
      </c>
      <c r="G6810" s="2" t="str">
        <f>IF(Table1[[#This Row],[Is Data Valid]]=TRUE,((Table1[[#This Row],[Birthweight (grams)]]/Table1[[#This Row],[BW_GA]])-1)/(Backend!$B$4/100*Table1[[#This Row],[BW40_3705]]),"")</f>
        <v/>
      </c>
      <c r="H6810" s="7" t="str">
        <f>IF(Table1[[#This Row],[Is Data Valid]]=TRUE,((Table1[[#This Row],[Birthweight (grams)]]*0.9/Table1[[#This Row],[BW_GA]])-1)/(Backend!$B$4/100*Table1[[#This Row],[BW40_3705]]),"")</f>
        <v/>
      </c>
      <c r="I6810" s="7" t="str">
        <f>IF(Table1[[#This Row],[Is Data Valid]]=TRUE,((Table1[[#This Row],[Birthweight (grams)]]*1.1/Table1[[#This Row],[BW_GA]])-1)/(Backend!$B$4/100*Table1[[#This Row],[BW40_3705]]),"")</f>
        <v/>
      </c>
      <c r="J6810" s="7" t="str">
        <f>IF(Table1[[#This Row],[Is Data Valid]]=TRUE,_xlfn.NORM.S.DIST(Table1[[#This Row],[Birthweight Z-Score]],TRUE)*100,"")</f>
        <v/>
      </c>
      <c r="K6810" s="7" t="str">
        <f>IF(Table1[[#This Row],[Is Data Valid]]=TRUE,_xlfn.NORM.S.DIST(Table1[[#This Row],[Birthweight Z-Score (BW-10%)]],TRUE)*100,"")</f>
        <v/>
      </c>
      <c r="L6810" s="7" t="str">
        <f>IF(Table1[[#This Row],[Is Data Valid]]=TRUE,_xlfn.NORM.S.DIST(Table1[[#This Row],[Birthweight Z-Score (BW+10%)]],TRUE)*100,"")</f>
        <v/>
      </c>
    </row>
    <row r="6811" spans="1:12" x14ac:dyDescent="0.35">
      <c r="A6811" s="3"/>
      <c r="B6811" s="2"/>
      <c r="C6811" s="2"/>
      <c r="D6811" s="2" t="b">
        <f>IF(AND(NOT(ISBLANK(Table1[[#This Row],[Fetal Sex (Male, Female or Unknown)]])),ISNUMBER(Table1[[#This Row],[Birthweight (grams)]]),ISNUMBER(Table1[[#This Row],[Gestation (days)]])),TRUE,FALSE)</f>
        <v>0</v>
      </c>
      <c r="E6811" s="2" t="str">
        <f>IF(Table1[[#This Row],[Is Data Valid]]=TRUE,IF(Table1[[#This Row],[Fetal Sex (Male, Female or Unknown)]]="Male",Backend!$C$6,IF(Table1[[#This Row],[Fetal Sex (Male, Female or Unknown)]]="Female",Backend!$C$7,IF(Table1[[#This Row],[Fetal Sex (Male, Female or Unknown)]]="Unknown",Backend!$C$8,"Error"))),"")</f>
        <v/>
      </c>
      <c r="F6811" s="8" t="str">
        <f>IF(Table1[[#This Row],[Is Data Valid]]=TRUE,EXP(0.578+0.332*((Table1[[#This Row],[Gestation (days)]]+0.5)/7)-0.00354*((Table1[[#This Row],[Gestation (days)]]+0.5)/7)^2)*Table1[[#This Row],[BW40_3705]],"")</f>
        <v/>
      </c>
      <c r="G6811" s="2" t="str">
        <f>IF(Table1[[#This Row],[Is Data Valid]]=TRUE,((Table1[[#This Row],[Birthweight (grams)]]/Table1[[#This Row],[BW_GA]])-1)/(Backend!$B$4/100*Table1[[#This Row],[BW40_3705]]),"")</f>
        <v/>
      </c>
      <c r="H6811" s="7" t="str">
        <f>IF(Table1[[#This Row],[Is Data Valid]]=TRUE,((Table1[[#This Row],[Birthweight (grams)]]*0.9/Table1[[#This Row],[BW_GA]])-1)/(Backend!$B$4/100*Table1[[#This Row],[BW40_3705]]),"")</f>
        <v/>
      </c>
      <c r="I6811" s="7" t="str">
        <f>IF(Table1[[#This Row],[Is Data Valid]]=TRUE,((Table1[[#This Row],[Birthweight (grams)]]*1.1/Table1[[#This Row],[BW_GA]])-1)/(Backend!$B$4/100*Table1[[#This Row],[BW40_3705]]),"")</f>
        <v/>
      </c>
      <c r="J6811" s="7" t="str">
        <f>IF(Table1[[#This Row],[Is Data Valid]]=TRUE,_xlfn.NORM.S.DIST(Table1[[#This Row],[Birthweight Z-Score]],TRUE)*100,"")</f>
        <v/>
      </c>
      <c r="K6811" s="7" t="str">
        <f>IF(Table1[[#This Row],[Is Data Valid]]=TRUE,_xlfn.NORM.S.DIST(Table1[[#This Row],[Birthweight Z-Score (BW-10%)]],TRUE)*100,"")</f>
        <v/>
      </c>
      <c r="L6811" s="7" t="str">
        <f>IF(Table1[[#This Row],[Is Data Valid]]=TRUE,_xlfn.NORM.S.DIST(Table1[[#This Row],[Birthweight Z-Score (BW+10%)]],TRUE)*100,"")</f>
        <v/>
      </c>
    </row>
    <row r="6812" spans="1:12" x14ac:dyDescent="0.35">
      <c r="A6812" s="3"/>
      <c r="B6812" s="2"/>
      <c r="C6812" s="2"/>
      <c r="D6812" s="2" t="b">
        <f>IF(AND(NOT(ISBLANK(Table1[[#This Row],[Fetal Sex (Male, Female or Unknown)]])),ISNUMBER(Table1[[#This Row],[Birthweight (grams)]]),ISNUMBER(Table1[[#This Row],[Gestation (days)]])),TRUE,FALSE)</f>
        <v>0</v>
      </c>
      <c r="E6812" s="2" t="str">
        <f>IF(Table1[[#This Row],[Is Data Valid]]=TRUE,IF(Table1[[#This Row],[Fetal Sex (Male, Female or Unknown)]]="Male",Backend!$C$6,IF(Table1[[#This Row],[Fetal Sex (Male, Female or Unknown)]]="Female",Backend!$C$7,IF(Table1[[#This Row],[Fetal Sex (Male, Female or Unknown)]]="Unknown",Backend!$C$8,"Error"))),"")</f>
        <v/>
      </c>
      <c r="F6812" s="8" t="str">
        <f>IF(Table1[[#This Row],[Is Data Valid]]=TRUE,EXP(0.578+0.332*((Table1[[#This Row],[Gestation (days)]]+0.5)/7)-0.00354*((Table1[[#This Row],[Gestation (days)]]+0.5)/7)^2)*Table1[[#This Row],[BW40_3705]],"")</f>
        <v/>
      </c>
      <c r="G6812" s="2" t="str">
        <f>IF(Table1[[#This Row],[Is Data Valid]]=TRUE,((Table1[[#This Row],[Birthweight (grams)]]/Table1[[#This Row],[BW_GA]])-1)/(Backend!$B$4/100*Table1[[#This Row],[BW40_3705]]),"")</f>
        <v/>
      </c>
      <c r="H6812" s="7" t="str">
        <f>IF(Table1[[#This Row],[Is Data Valid]]=TRUE,((Table1[[#This Row],[Birthweight (grams)]]*0.9/Table1[[#This Row],[BW_GA]])-1)/(Backend!$B$4/100*Table1[[#This Row],[BW40_3705]]),"")</f>
        <v/>
      </c>
      <c r="I6812" s="7" t="str">
        <f>IF(Table1[[#This Row],[Is Data Valid]]=TRUE,((Table1[[#This Row],[Birthweight (grams)]]*1.1/Table1[[#This Row],[BW_GA]])-1)/(Backend!$B$4/100*Table1[[#This Row],[BW40_3705]]),"")</f>
        <v/>
      </c>
      <c r="J6812" s="7" t="str">
        <f>IF(Table1[[#This Row],[Is Data Valid]]=TRUE,_xlfn.NORM.S.DIST(Table1[[#This Row],[Birthweight Z-Score]],TRUE)*100,"")</f>
        <v/>
      </c>
      <c r="K6812" s="7" t="str">
        <f>IF(Table1[[#This Row],[Is Data Valid]]=TRUE,_xlfn.NORM.S.DIST(Table1[[#This Row],[Birthweight Z-Score (BW-10%)]],TRUE)*100,"")</f>
        <v/>
      </c>
      <c r="L6812" s="7" t="str">
        <f>IF(Table1[[#This Row],[Is Data Valid]]=TRUE,_xlfn.NORM.S.DIST(Table1[[#This Row],[Birthweight Z-Score (BW+10%)]],TRUE)*100,"")</f>
        <v/>
      </c>
    </row>
    <row r="6813" spans="1:12" x14ac:dyDescent="0.35">
      <c r="A6813" s="3"/>
      <c r="B6813" s="2"/>
      <c r="C6813" s="2"/>
      <c r="D6813" s="2" t="b">
        <f>IF(AND(NOT(ISBLANK(Table1[[#This Row],[Fetal Sex (Male, Female or Unknown)]])),ISNUMBER(Table1[[#This Row],[Birthweight (grams)]]),ISNUMBER(Table1[[#This Row],[Gestation (days)]])),TRUE,FALSE)</f>
        <v>0</v>
      </c>
      <c r="E6813" s="2" t="str">
        <f>IF(Table1[[#This Row],[Is Data Valid]]=TRUE,IF(Table1[[#This Row],[Fetal Sex (Male, Female or Unknown)]]="Male",Backend!$C$6,IF(Table1[[#This Row],[Fetal Sex (Male, Female or Unknown)]]="Female",Backend!$C$7,IF(Table1[[#This Row],[Fetal Sex (Male, Female or Unknown)]]="Unknown",Backend!$C$8,"Error"))),"")</f>
        <v/>
      </c>
      <c r="F6813" s="8" t="str">
        <f>IF(Table1[[#This Row],[Is Data Valid]]=TRUE,EXP(0.578+0.332*((Table1[[#This Row],[Gestation (days)]]+0.5)/7)-0.00354*((Table1[[#This Row],[Gestation (days)]]+0.5)/7)^2)*Table1[[#This Row],[BW40_3705]],"")</f>
        <v/>
      </c>
      <c r="G6813" s="2" t="str">
        <f>IF(Table1[[#This Row],[Is Data Valid]]=TRUE,((Table1[[#This Row],[Birthweight (grams)]]/Table1[[#This Row],[BW_GA]])-1)/(Backend!$B$4/100*Table1[[#This Row],[BW40_3705]]),"")</f>
        <v/>
      </c>
      <c r="H6813" s="7" t="str">
        <f>IF(Table1[[#This Row],[Is Data Valid]]=TRUE,((Table1[[#This Row],[Birthweight (grams)]]*0.9/Table1[[#This Row],[BW_GA]])-1)/(Backend!$B$4/100*Table1[[#This Row],[BW40_3705]]),"")</f>
        <v/>
      </c>
      <c r="I6813" s="7" t="str">
        <f>IF(Table1[[#This Row],[Is Data Valid]]=TRUE,((Table1[[#This Row],[Birthweight (grams)]]*1.1/Table1[[#This Row],[BW_GA]])-1)/(Backend!$B$4/100*Table1[[#This Row],[BW40_3705]]),"")</f>
        <v/>
      </c>
      <c r="J6813" s="7" t="str">
        <f>IF(Table1[[#This Row],[Is Data Valid]]=TRUE,_xlfn.NORM.S.DIST(Table1[[#This Row],[Birthweight Z-Score]],TRUE)*100,"")</f>
        <v/>
      </c>
      <c r="K6813" s="7" t="str">
        <f>IF(Table1[[#This Row],[Is Data Valid]]=TRUE,_xlfn.NORM.S.DIST(Table1[[#This Row],[Birthweight Z-Score (BW-10%)]],TRUE)*100,"")</f>
        <v/>
      </c>
      <c r="L6813" s="7" t="str">
        <f>IF(Table1[[#This Row],[Is Data Valid]]=TRUE,_xlfn.NORM.S.DIST(Table1[[#This Row],[Birthweight Z-Score (BW+10%)]],TRUE)*100,"")</f>
        <v/>
      </c>
    </row>
    <row r="6814" spans="1:12" x14ac:dyDescent="0.35">
      <c r="A6814" s="3"/>
      <c r="B6814" s="2"/>
      <c r="C6814" s="2"/>
      <c r="D6814" s="2" t="b">
        <f>IF(AND(NOT(ISBLANK(Table1[[#This Row],[Fetal Sex (Male, Female or Unknown)]])),ISNUMBER(Table1[[#This Row],[Birthweight (grams)]]),ISNUMBER(Table1[[#This Row],[Gestation (days)]])),TRUE,FALSE)</f>
        <v>0</v>
      </c>
      <c r="E6814" s="2" t="str">
        <f>IF(Table1[[#This Row],[Is Data Valid]]=TRUE,IF(Table1[[#This Row],[Fetal Sex (Male, Female or Unknown)]]="Male",Backend!$C$6,IF(Table1[[#This Row],[Fetal Sex (Male, Female or Unknown)]]="Female",Backend!$C$7,IF(Table1[[#This Row],[Fetal Sex (Male, Female or Unknown)]]="Unknown",Backend!$C$8,"Error"))),"")</f>
        <v/>
      </c>
      <c r="F6814" s="8" t="str">
        <f>IF(Table1[[#This Row],[Is Data Valid]]=TRUE,EXP(0.578+0.332*((Table1[[#This Row],[Gestation (days)]]+0.5)/7)-0.00354*((Table1[[#This Row],[Gestation (days)]]+0.5)/7)^2)*Table1[[#This Row],[BW40_3705]],"")</f>
        <v/>
      </c>
      <c r="G6814" s="2" t="str">
        <f>IF(Table1[[#This Row],[Is Data Valid]]=TRUE,((Table1[[#This Row],[Birthweight (grams)]]/Table1[[#This Row],[BW_GA]])-1)/(Backend!$B$4/100*Table1[[#This Row],[BW40_3705]]),"")</f>
        <v/>
      </c>
      <c r="H6814" s="7" t="str">
        <f>IF(Table1[[#This Row],[Is Data Valid]]=TRUE,((Table1[[#This Row],[Birthweight (grams)]]*0.9/Table1[[#This Row],[BW_GA]])-1)/(Backend!$B$4/100*Table1[[#This Row],[BW40_3705]]),"")</f>
        <v/>
      </c>
      <c r="I6814" s="7" t="str">
        <f>IF(Table1[[#This Row],[Is Data Valid]]=TRUE,((Table1[[#This Row],[Birthweight (grams)]]*1.1/Table1[[#This Row],[BW_GA]])-1)/(Backend!$B$4/100*Table1[[#This Row],[BW40_3705]]),"")</f>
        <v/>
      </c>
      <c r="J6814" s="7" t="str">
        <f>IF(Table1[[#This Row],[Is Data Valid]]=TRUE,_xlfn.NORM.S.DIST(Table1[[#This Row],[Birthweight Z-Score]],TRUE)*100,"")</f>
        <v/>
      </c>
      <c r="K6814" s="7" t="str">
        <f>IF(Table1[[#This Row],[Is Data Valid]]=TRUE,_xlfn.NORM.S.DIST(Table1[[#This Row],[Birthweight Z-Score (BW-10%)]],TRUE)*100,"")</f>
        <v/>
      </c>
      <c r="L6814" s="7" t="str">
        <f>IF(Table1[[#This Row],[Is Data Valid]]=TRUE,_xlfn.NORM.S.DIST(Table1[[#This Row],[Birthweight Z-Score (BW+10%)]],TRUE)*100,"")</f>
        <v/>
      </c>
    </row>
    <row r="6815" spans="1:12" x14ac:dyDescent="0.35">
      <c r="A6815" s="3"/>
      <c r="B6815" s="2"/>
      <c r="C6815" s="2"/>
      <c r="D6815" s="2" t="b">
        <f>IF(AND(NOT(ISBLANK(Table1[[#This Row],[Fetal Sex (Male, Female or Unknown)]])),ISNUMBER(Table1[[#This Row],[Birthweight (grams)]]),ISNUMBER(Table1[[#This Row],[Gestation (days)]])),TRUE,FALSE)</f>
        <v>0</v>
      </c>
      <c r="E6815" s="2" t="str">
        <f>IF(Table1[[#This Row],[Is Data Valid]]=TRUE,IF(Table1[[#This Row],[Fetal Sex (Male, Female or Unknown)]]="Male",Backend!$C$6,IF(Table1[[#This Row],[Fetal Sex (Male, Female or Unknown)]]="Female",Backend!$C$7,IF(Table1[[#This Row],[Fetal Sex (Male, Female or Unknown)]]="Unknown",Backend!$C$8,"Error"))),"")</f>
        <v/>
      </c>
      <c r="F6815" s="8" t="str">
        <f>IF(Table1[[#This Row],[Is Data Valid]]=TRUE,EXP(0.578+0.332*((Table1[[#This Row],[Gestation (days)]]+0.5)/7)-0.00354*((Table1[[#This Row],[Gestation (days)]]+0.5)/7)^2)*Table1[[#This Row],[BW40_3705]],"")</f>
        <v/>
      </c>
      <c r="G6815" s="2" t="str">
        <f>IF(Table1[[#This Row],[Is Data Valid]]=TRUE,((Table1[[#This Row],[Birthweight (grams)]]/Table1[[#This Row],[BW_GA]])-1)/(Backend!$B$4/100*Table1[[#This Row],[BW40_3705]]),"")</f>
        <v/>
      </c>
      <c r="H6815" s="7" t="str">
        <f>IF(Table1[[#This Row],[Is Data Valid]]=TRUE,((Table1[[#This Row],[Birthweight (grams)]]*0.9/Table1[[#This Row],[BW_GA]])-1)/(Backend!$B$4/100*Table1[[#This Row],[BW40_3705]]),"")</f>
        <v/>
      </c>
      <c r="I6815" s="7" t="str">
        <f>IF(Table1[[#This Row],[Is Data Valid]]=TRUE,((Table1[[#This Row],[Birthweight (grams)]]*1.1/Table1[[#This Row],[BW_GA]])-1)/(Backend!$B$4/100*Table1[[#This Row],[BW40_3705]]),"")</f>
        <v/>
      </c>
      <c r="J6815" s="7" t="str">
        <f>IF(Table1[[#This Row],[Is Data Valid]]=TRUE,_xlfn.NORM.S.DIST(Table1[[#This Row],[Birthweight Z-Score]],TRUE)*100,"")</f>
        <v/>
      </c>
      <c r="K6815" s="7" t="str">
        <f>IF(Table1[[#This Row],[Is Data Valid]]=TRUE,_xlfn.NORM.S.DIST(Table1[[#This Row],[Birthweight Z-Score (BW-10%)]],TRUE)*100,"")</f>
        <v/>
      </c>
      <c r="L6815" s="7" t="str">
        <f>IF(Table1[[#This Row],[Is Data Valid]]=TRUE,_xlfn.NORM.S.DIST(Table1[[#This Row],[Birthweight Z-Score (BW+10%)]],TRUE)*100,"")</f>
        <v/>
      </c>
    </row>
    <row r="6816" spans="1:12" x14ac:dyDescent="0.35">
      <c r="A6816" s="3"/>
      <c r="B6816" s="2"/>
      <c r="C6816" s="2"/>
      <c r="D6816" s="2" t="b">
        <f>IF(AND(NOT(ISBLANK(Table1[[#This Row],[Fetal Sex (Male, Female or Unknown)]])),ISNUMBER(Table1[[#This Row],[Birthweight (grams)]]),ISNUMBER(Table1[[#This Row],[Gestation (days)]])),TRUE,FALSE)</f>
        <v>0</v>
      </c>
      <c r="E6816" s="2" t="str">
        <f>IF(Table1[[#This Row],[Is Data Valid]]=TRUE,IF(Table1[[#This Row],[Fetal Sex (Male, Female or Unknown)]]="Male",Backend!$C$6,IF(Table1[[#This Row],[Fetal Sex (Male, Female or Unknown)]]="Female",Backend!$C$7,IF(Table1[[#This Row],[Fetal Sex (Male, Female or Unknown)]]="Unknown",Backend!$C$8,"Error"))),"")</f>
        <v/>
      </c>
      <c r="F6816" s="8" t="str">
        <f>IF(Table1[[#This Row],[Is Data Valid]]=TRUE,EXP(0.578+0.332*((Table1[[#This Row],[Gestation (days)]]+0.5)/7)-0.00354*((Table1[[#This Row],[Gestation (days)]]+0.5)/7)^2)*Table1[[#This Row],[BW40_3705]],"")</f>
        <v/>
      </c>
      <c r="G6816" s="2" t="str">
        <f>IF(Table1[[#This Row],[Is Data Valid]]=TRUE,((Table1[[#This Row],[Birthweight (grams)]]/Table1[[#This Row],[BW_GA]])-1)/(Backend!$B$4/100*Table1[[#This Row],[BW40_3705]]),"")</f>
        <v/>
      </c>
      <c r="H6816" s="7" t="str">
        <f>IF(Table1[[#This Row],[Is Data Valid]]=TRUE,((Table1[[#This Row],[Birthweight (grams)]]*0.9/Table1[[#This Row],[BW_GA]])-1)/(Backend!$B$4/100*Table1[[#This Row],[BW40_3705]]),"")</f>
        <v/>
      </c>
      <c r="I6816" s="7" t="str">
        <f>IF(Table1[[#This Row],[Is Data Valid]]=TRUE,((Table1[[#This Row],[Birthweight (grams)]]*1.1/Table1[[#This Row],[BW_GA]])-1)/(Backend!$B$4/100*Table1[[#This Row],[BW40_3705]]),"")</f>
        <v/>
      </c>
      <c r="J6816" s="7" t="str">
        <f>IF(Table1[[#This Row],[Is Data Valid]]=TRUE,_xlfn.NORM.S.DIST(Table1[[#This Row],[Birthweight Z-Score]],TRUE)*100,"")</f>
        <v/>
      </c>
      <c r="K6816" s="7" t="str">
        <f>IF(Table1[[#This Row],[Is Data Valid]]=TRUE,_xlfn.NORM.S.DIST(Table1[[#This Row],[Birthweight Z-Score (BW-10%)]],TRUE)*100,"")</f>
        <v/>
      </c>
      <c r="L6816" s="7" t="str">
        <f>IF(Table1[[#This Row],[Is Data Valid]]=TRUE,_xlfn.NORM.S.DIST(Table1[[#This Row],[Birthweight Z-Score (BW+10%)]],TRUE)*100,"")</f>
        <v/>
      </c>
    </row>
    <row r="6817" spans="1:12" x14ac:dyDescent="0.35">
      <c r="A6817" s="3"/>
      <c r="B6817" s="2"/>
      <c r="C6817" s="2"/>
      <c r="D6817" s="2" t="b">
        <f>IF(AND(NOT(ISBLANK(Table1[[#This Row],[Fetal Sex (Male, Female or Unknown)]])),ISNUMBER(Table1[[#This Row],[Birthweight (grams)]]),ISNUMBER(Table1[[#This Row],[Gestation (days)]])),TRUE,FALSE)</f>
        <v>0</v>
      </c>
      <c r="E6817" s="2" t="str">
        <f>IF(Table1[[#This Row],[Is Data Valid]]=TRUE,IF(Table1[[#This Row],[Fetal Sex (Male, Female or Unknown)]]="Male",Backend!$C$6,IF(Table1[[#This Row],[Fetal Sex (Male, Female or Unknown)]]="Female",Backend!$C$7,IF(Table1[[#This Row],[Fetal Sex (Male, Female or Unknown)]]="Unknown",Backend!$C$8,"Error"))),"")</f>
        <v/>
      </c>
      <c r="F6817" s="8" t="str">
        <f>IF(Table1[[#This Row],[Is Data Valid]]=TRUE,EXP(0.578+0.332*((Table1[[#This Row],[Gestation (days)]]+0.5)/7)-0.00354*((Table1[[#This Row],[Gestation (days)]]+0.5)/7)^2)*Table1[[#This Row],[BW40_3705]],"")</f>
        <v/>
      </c>
      <c r="G6817" s="2" t="str">
        <f>IF(Table1[[#This Row],[Is Data Valid]]=TRUE,((Table1[[#This Row],[Birthweight (grams)]]/Table1[[#This Row],[BW_GA]])-1)/(Backend!$B$4/100*Table1[[#This Row],[BW40_3705]]),"")</f>
        <v/>
      </c>
      <c r="H6817" s="7" t="str">
        <f>IF(Table1[[#This Row],[Is Data Valid]]=TRUE,((Table1[[#This Row],[Birthweight (grams)]]*0.9/Table1[[#This Row],[BW_GA]])-1)/(Backend!$B$4/100*Table1[[#This Row],[BW40_3705]]),"")</f>
        <v/>
      </c>
      <c r="I6817" s="7" t="str">
        <f>IF(Table1[[#This Row],[Is Data Valid]]=TRUE,((Table1[[#This Row],[Birthweight (grams)]]*1.1/Table1[[#This Row],[BW_GA]])-1)/(Backend!$B$4/100*Table1[[#This Row],[BW40_3705]]),"")</f>
        <v/>
      </c>
      <c r="J6817" s="7" t="str">
        <f>IF(Table1[[#This Row],[Is Data Valid]]=TRUE,_xlfn.NORM.S.DIST(Table1[[#This Row],[Birthweight Z-Score]],TRUE)*100,"")</f>
        <v/>
      </c>
      <c r="K6817" s="7" t="str">
        <f>IF(Table1[[#This Row],[Is Data Valid]]=TRUE,_xlfn.NORM.S.DIST(Table1[[#This Row],[Birthweight Z-Score (BW-10%)]],TRUE)*100,"")</f>
        <v/>
      </c>
      <c r="L6817" s="7" t="str">
        <f>IF(Table1[[#This Row],[Is Data Valid]]=TRUE,_xlfn.NORM.S.DIST(Table1[[#This Row],[Birthweight Z-Score (BW+10%)]],TRUE)*100,"")</f>
        <v/>
      </c>
    </row>
    <row r="6818" spans="1:12" x14ac:dyDescent="0.35">
      <c r="A6818" s="3"/>
      <c r="B6818" s="2"/>
      <c r="C6818" s="2"/>
      <c r="D6818" s="2" t="b">
        <f>IF(AND(NOT(ISBLANK(Table1[[#This Row],[Fetal Sex (Male, Female or Unknown)]])),ISNUMBER(Table1[[#This Row],[Birthweight (grams)]]),ISNUMBER(Table1[[#This Row],[Gestation (days)]])),TRUE,FALSE)</f>
        <v>0</v>
      </c>
      <c r="E6818" s="2" t="str">
        <f>IF(Table1[[#This Row],[Is Data Valid]]=TRUE,IF(Table1[[#This Row],[Fetal Sex (Male, Female or Unknown)]]="Male",Backend!$C$6,IF(Table1[[#This Row],[Fetal Sex (Male, Female or Unknown)]]="Female",Backend!$C$7,IF(Table1[[#This Row],[Fetal Sex (Male, Female or Unknown)]]="Unknown",Backend!$C$8,"Error"))),"")</f>
        <v/>
      </c>
      <c r="F6818" s="8" t="str">
        <f>IF(Table1[[#This Row],[Is Data Valid]]=TRUE,EXP(0.578+0.332*((Table1[[#This Row],[Gestation (days)]]+0.5)/7)-0.00354*((Table1[[#This Row],[Gestation (days)]]+0.5)/7)^2)*Table1[[#This Row],[BW40_3705]],"")</f>
        <v/>
      </c>
      <c r="G6818" s="2" t="str">
        <f>IF(Table1[[#This Row],[Is Data Valid]]=TRUE,((Table1[[#This Row],[Birthweight (grams)]]/Table1[[#This Row],[BW_GA]])-1)/(Backend!$B$4/100*Table1[[#This Row],[BW40_3705]]),"")</f>
        <v/>
      </c>
      <c r="H6818" s="7" t="str">
        <f>IF(Table1[[#This Row],[Is Data Valid]]=TRUE,((Table1[[#This Row],[Birthweight (grams)]]*0.9/Table1[[#This Row],[BW_GA]])-1)/(Backend!$B$4/100*Table1[[#This Row],[BW40_3705]]),"")</f>
        <v/>
      </c>
      <c r="I6818" s="7" t="str">
        <f>IF(Table1[[#This Row],[Is Data Valid]]=TRUE,((Table1[[#This Row],[Birthweight (grams)]]*1.1/Table1[[#This Row],[BW_GA]])-1)/(Backend!$B$4/100*Table1[[#This Row],[BW40_3705]]),"")</f>
        <v/>
      </c>
      <c r="J6818" s="7" t="str">
        <f>IF(Table1[[#This Row],[Is Data Valid]]=TRUE,_xlfn.NORM.S.DIST(Table1[[#This Row],[Birthweight Z-Score]],TRUE)*100,"")</f>
        <v/>
      </c>
      <c r="K6818" s="7" t="str">
        <f>IF(Table1[[#This Row],[Is Data Valid]]=TRUE,_xlfn.NORM.S.DIST(Table1[[#This Row],[Birthweight Z-Score (BW-10%)]],TRUE)*100,"")</f>
        <v/>
      </c>
      <c r="L6818" s="7" t="str">
        <f>IF(Table1[[#This Row],[Is Data Valid]]=TRUE,_xlfn.NORM.S.DIST(Table1[[#This Row],[Birthweight Z-Score (BW+10%)]],TRUE)*100,"")</f>
        <v/>
      </c>
    </row>
    <row r="6819" spans="1:12" x14ac:dyDescent="0.35">
      <c r="A6819" s="3"/>
      <c r="B6819" s="2"/>
      <c r="C6819" s="2"/>
      <c r="D6819" s="2" t="b">
        <f>IF(AND(NOT(ISBLANK(Table1[[#This Row],[Fetal Sex (Male, Female or Unknown)]])),ISNUMBER(Table1[[#This Row],[Birthweight (grams)]]),ISNUMBER(Table1[[#This Row],[Gestation (days)]])),TRUE,FALSE)</f>
        <v>0</v>
      </c>
      <c r="E6819" s="2" t="str">
        <f>IF(Table1[[#This Row],[Is Data Valid]]=TRUE,IF(Table1[[#This Row],[Fetal Sex (Male, Female or Unknown)]]="Male",Backend!$C$6,IF(Table1[[#This Row],[Fetal Sex (Male, Female or Unknown)]]="Female",Backend!$C$7,IF(Table1[[#This Row],[Fetal Sex (Male, Female or Unknown)]]="Unknown",Backend!$C$8,"Error"))),"")</f>
        <v/>
      </c>
      <c r="F6819" s="8" t="str">
        <f>IF(Table1[[#This Row],[Is Data Valid]]=TRUE,EXP(0.578+0.332*((Table1[[#This Row],[Gestation (days)]]+0.5)/7)-0.00354*((Table1[[#This Row],[Gestation (days)]]+0.5)/7)^2)*Table1[[#This Row],[BW40_3705]],"")</f>
        <v/>
      </c>
      <c r="G6819" s="2" t="str">
        <f>IF(Table1[[#This Row],[Is Data Valid]]=TRUE,((Table1[[#This Row],[Birthweight (grams)]]/Table1[[#This Row],[BW_GA]])-1)/(Backend!$B$4/100*Table1[[#This Row],[BW40_3705]]),"")</f>
        <v/>
      </c>
      <c r="H6819" s="7" t="str">
        <f>IF(Table1[[#This Row],[Is Data Valid]]=TRUE,((Table1[[#This Row],[Birthweight (grams)]]*0.9/Table1[[#This Row],[BW_GA]])-1)/(Backend!$B$4/100*Table1[[#This Row],[BW40_3705]]),"")</f>
        <v/>
      </c>
      <c r="I6819" s="7" t="str">
        <f>IF(Table1[[#This Row],[Is Data Valid]]=TRUE,((Table1[[#This Row],[Birthweight (grams)]]*1.1/Table1[[#This Row],[BW_GA]])-1)/(Backend!$B$4/100*Table1[[#This Row],[BW40_3705]]),"")</f>
        <v/>
      </c>
      <c r="J6819" s="7" t="str">
        <f>IF(Table1[[#This Row],[Is Data Valid]]=TRUE,_xlfn.NORM.S.DIST(Table1[[#This Row],[Birthweight Z-Score]],TRUE)*100,"")</f>
        <v/>
      </c>
      <c r="K6819" s="7" t="str">
        <f>IF(Table1[[#This Row],[Is Data Valid]]=TRUE,_xlfn.NORM.S.DIST(Table1[[#This Row],[Birthweight Z-Score (BW-10%)]],TRUE)*100,"")</f>
        <v/>
      </c>
      <c r="L6819" s="7" t="str">
        <f>IF(Table1[[#This Row],[Is Data Valid]]=TRUE,_xlfn.NORM.S.DIST(Table1[[#This Row],[Birthweight Z-Score (BW+10%)]],TRUE)*100,"")</f>
        <v/>
      </c>
    </row>
    <row r="6820" spans="1:12" x14ac:dyDescent="0.35">
      <c r="A6820" s="3"/>
      <c r="B6820" s="2"/>
      <c r="C6820" s="2"/>
      <c r="D6820" s="2" t="b">
        <f>IF(AND(NOT(ISBLANK(Table1[[#This Row],[Fetal Sex (Male, Female or Unknown)]])),ISNUMBER(Table1[[#This Row],[Birthweight (grams)]]),ISNUMBER(Table1[[#This Row],[Gestation (days)]])),TRUE,FALSE)</f>
        <v>0</v>
      </c>
      <c r="E6820" s="2" t="str">
        <f>IF(Table1[[#This Row],[Is Data Valid]]=TRUE,IF(Table1[[#This Row],[Fetal Sex (Male, Female or Unknown)]]="Male",Backend!$C$6,IF(Table1[[#This Row],[Fetal Sex (Male, Female or Unknown)]]="Female",Backend!$C$7,IF(Table1[[#This Row],[Fetal Sex (Male, Female or Unknown)]]="Unknown",Backend!$C$8,"Error"))),"")</f>
        <v/>
      </c>
      <c r="F6820" s="8" t="str">
        <f>IF(Table1[[#This Row],[Is Data Valid]]=TRUE,EXP(0.578+0.332*((Table1[[#This Row],[Gestation (days)]]+0.5)/7)-0.00354*((Table1[[#This Row],[Gestation (days)]]+0.5)/7)^2)*Table1[[#This Row],[BW40_3705]],"")</f>
        <v/>
      </c>
      <c r="G6820" s="2" t="str">
        <f>IF(Table1[[#This Row],[Is Data Valid]]=TRUE,((Table1[[#This Row],[Birthweight (grams)]]/Table1[[#This Row],[BW_GA]])-1)/(Backend!$B$4/100*Table1[[#This Row],[BW40_3705]]),"")</f>
        <v/>
      </c>
      <c r="H6820" s="7" t="str">
        <f>IF(Table1[[#This Row],[Is Data Valid]]=TRUE,((Table1[[#This Row],[Birthweight (grams)]]*0.9/Table1[[#This Row],[BW_GA]])-1)/(Backend!$B$4/100*Table1[[#This Row],[BW40_3705]]),"")</f>
        <v/>
      </c>
      <c r="I6820" s="7" t="str">
        <f>IF(Table1[[#This Row],[Is Data Valid]]=TRUE,((Table1[[#This Row],[Birthweight (grams)]]*1.1/Table1[[#This Row],[BW_GA]])-1)/(Backend!$B$4/100*Table1[[#This Row],[BW40_3705]]),"")</f>
        <v/>
      </c>
      <c r="J6820" s="7" t="str">
        <f>IF(Table1[[#This Row],[Is Data Valid]]=TRUE,_xlfn.NORM.S.DIST(Table1[[#This Row],[Birthweight Z-Score]],TRUE)*100,"")</f>
        <v/>
      </c>
      <c r="K6820" s="7" t="str">
        <f>IF(Table1[[#This Row],[Is Data Valid]]=TRUE,_xlfn.NORM.S.DIST(Table1[[#This Row],[Birthweight Z-Score (BW-10%)]],TRUE)*100,"")</f>
        <v/>
      </c>
      <c r="L6820" s="7" t="str">
        <f>IF(Table1[[#This Row],[Is Data Valid]]=TRUE,_xlfn.NORM.S.DIST(Table1[[#This Row],[Birthweight Z-Score (BW+10%)]],TRUE)*100,"")</f>
        <v/>
      </c>
    </row>
    <row r="6821" spans="1:12" x14ac:dyDescent="0.35">
      <c r="A6821" s="3"/>
      <c r="B6821" s="2"/>
      <c r="C6821" s="2"/>
      <c r="D6821" s="2" t="b">
        <f>IF(AND(NOT(ISBLANK(Table1[[#This Row],[Fetal Sex (Male, Female or Unknown)]])),ISNUMBER(Table1[[#This Row],[Birthweight (grams)]]),ISNUMBER(Table1[[#This Row],[Gestation (days)]])),TRUE,FALSE)</f>
        <v>0</v>
      </c>
      <c r="E6821" s="2" t="str">
        <f>IF(Table1[[#This Row],[Is Data Valid]]=TRUE,IF(Table1[[#This Row],[Fetal Sex (Male, Female or Unknown)]]="Male",Backend!$C$6,IF(Table1[[#This Row],[Fetal Sex (Male, Female or Unknown)]]="Female",Backend!$C$7,IF(Table1[[#This Row],[Fetal Sex (Male, Female or Unknown)]]="Unknown",Backend!$C$8,"Error"))),"")</f>
        <v/>
      </c>
      <c r="F6821" s="8" t="str">
        <f>IF(Table1[[#This Row],[Is Data Valid]]=TRUE,EXP(0.578+0.332*((Table1[[#This Row],[Gestation (days)]]+0.5)/7)-0.00354*((Table1[[#This Row],[Gestation (days)]]+0.5)/7)^2)*Table1[[#This Row],[BW40_3705]],"")</f>
        <v/>
      </c>
      <c r="G6821" s="2" t="str">
        <f>IF(Table1[[#This Row],[Is Data Valid]]=TRUE,((Table1[[#This Row],[Birthweight (grams)]]/Table1[[#This Row],[BW_GA]])-1)/(Backend!$B$4/100*Table1[[#This Row],[BW40_3705]]),"")</f>
        <v/>
      </c>
      <c r="H6821" s="7" t="str">
        <f>IF(Table1[[#This Row],[Is Data Valid]]=TRUE,((Table1[[#This Row],[Birthweight (grams)]]*0.9/Table1[[#This Row],[BW_GA]])-1)/(Backend!$B$4/100*Table1[[#This Row],[BW40_3705]]),"")</f>
        <v/>
      </c>
      <c r="I6821" s="7" t="str">
        <f>IF(Table1[[#This Row],[Is Data Valid]]=TRUE,((Table1[[#This Row],[Birthweight (grams)]]*1.1/Table1[[#This Row],[BW_GA]])-1)/(Backend!$B$4/100*Table1[[#This Row],[BW40_3705]]),"")</f>
        <v/>
      </c>
      <c r="J6821" s="7" t="str">
        <f>IF(Table1[[#This Row],[Is Data Valid]]=TRUE,_xlfn.NORM.S.DIST(Table1[[#This Row],[Birthweight Z-Score]],TRUE)*100,"")</f>
        <v/>
      </c>
      <c r="K6821" s="7" t="str">
        <f>IF(Table1[[#This Row],[Is Data Valid]]=TRUE,_xlfn.NORM.S.DIST(Table1[[#This Row],[Birthweight Z-Score (BW-10%)]],TRUE)*100,"")</f>
        <v/>
      </c>
      <c r="L6821" s="7" t="str">
        <f>IF(Table1[[#This Row],[Is Data Valid]]=TRUE,_xlfn.NORM.S.DIST(Table1[[#This Row],[Birthweight Z-Score (BW+10%)]],TRUE)*100,"")</f>
        <v/>
      </c>
    </row>
    <row r="6822" spans="1:12" x14ac:dyDescent="0.35">
      <c r="A6822" s="3"/>
      <c r="B6822" s="2"/>
      <c r="C6822" s="2"/>
      <c r="D6822" s="2" t="b">
        <f>IF(AND(NOT(ISBLANK(Table1[[#This Row],[Fetal Sex (Male, Female or Unknown)]])),ISNUMBER(Table1[[#This Row],[Birthweight (grams)]]),ISNUMBER(Table1[[#This Row],[Gestation (days)]])),TRUE,FALSE)</f>
        <v>0</v>
      </c>
      <c r="E6822" s="2" t="str">
        <f>IF(Table1[[#This Row],[Is Data Valid]]=TRUE,IF(Table1[[#This Row],[Fetal Sex (Male, Female or Unknown)]]="Male",Backend!$C$6,IF(Table1[[#This Row],[Fetal Sex (Male, Female or Unknown)]]="Female",Backend!$C$7,IF(Table1[[#This Row],[Fetal Sex (Male, Female or Unknown)]]="Unknown",Backend!$C$8,"Error"))),"")</f>
        <v/>
      </c>
      <c r="F6822" s="8" t="str">
        <f>IF(Table1[[#This Row],[Is Data Valid]]=TRUE,EXP(0.578+0.332*((Table1[[#This Row],[Gestation (days)]]+0.5)/7)-0.00354*((Table1[[#This Row],[Gestation (days)]]+0.5)/7)^2)*Table1[[#This Row],[BW40_3705]],"")</f>
        <v/>
      </c>
      <c r="G6822" s="2" t="str">
        <f>IF(Table1[[#This Row],[Is Data Valid]]=TRUE,((Table1[[#This Row],[Birthweight (grams)]]/Table1[[#This Row],[BW_GA]])-1)/(Backend!$B$4/100*Table1[[#This Row],[BW40_3705]]),"")</f>
        <v/>
      </c>
      <c r="H6822" s="7" t="str">
        <f>IF(Table1[[#This Row],[Is Data Valid]]=TRUE,((Table1[[#This Row],[Birthweight (grams)]]*0.9/Table1[[#This Row],[BW_GA]])-1)/(Backend!$B$4/100*Table1[[#This Row],[BW40_3705]]),"")</f>
        <v/>
      </c>
      <c r="I6822" s="7" t="str">
        <f>IF(Table1[[#This Row],[Is Data Valid]]=TRUE,((Table1[[#This Row],[Birthweight (grams)]]*1.1/Table1[[#This Row],[BW_GA]])-1)/(Backend!$B$4/100*Table1[[#This Row],[BW40_3705]]),"")</f>
        <v/>
      </c>
      <c r="J6822" s="7" t="str">
        <f>IF(Table1[[#This Row],[Is Data Valid]]=TRUE,_xlfn.NORM.S.DIST(Table1[[#This Row],[Birthweight Z-Score]],TRUE)*100,"")</f>
        <v/>
      </c>
      <c r="K6822" s="7" t="str">
        <f>IF(Table1[[#This Row],[Is Data Valid]]=TRUE,_xlfn.NORM.S.DIST(Table1[[#This Row],[Birthweight Z-Score (BW-10%)]],TRUE)*100,"")</f>
        <v/>
      </c>
      <c r="L6822" s="7" t="str">
        <f>IF(Table1[[#This Row],[Is Data Valid]]=TRUE,_xlfn.NORM.S.DIST(Table1[[#This Row],[Birthweight Z-Score (BW+10%)]],TRUE)*100,"")</f>
        <v/>
      </c>
    </row>
    <row r="6823" spans="1:12" x14ac:dyDescent="0.35">
      <c r="A6823" s="3"/>
      <c r="B6823" s="2"/>
      <c r="C6823" s="2"/>
      <c r="D6823" s="2" t="b">
        <f>IF(AND(NOT(ISBLANK(Table1[[#This Row],[Fetal Sex (Male, Female or Unknown)]])),ISNUMBER(Table1[[#This Row],[Birthweight (grams)]]),ISNUMBER(Table1[[#This Row],[Gestation (days)]])),TRUE,FALSE)</f>
        <v>0</v>
      </c>
      <c r="E6823" s="2" t="str">
        <f>IF(Table1[[#This Row],[Is Data Valid]]=TRUE,IF(Table1[[#This Row],[Fetal Sex (Male, Female or Unknown)]]="Male",Backend!$C$6,IF(Table1[[#This Row],[Fetal Sex (Male, Female or Unknown)]]="Female",Backend!$C$7,IF(Table1[[#This Row],[Fetal Sex (Male, Female or Unknown)]]="Unknown",Backend!$C$8,"Error"))),"")</f>
        <v/>
      </c>
      <c r="F6823" s="8" t="str">
        <f>IF(Table1[[#This Row],[Is Data Valid]]=TRUE,EXP(0.578+0.332*((Table1[[#This Row],[Gestation (days)]]+0.5)/7)-0.00354*((Table1[[#This Row],[Gestation (days)]]+0.5)/7)^2)*Table1[[#This Row],[BW40_3705]],"")</f>
        <v/>
      </c>
      <c r="G6823" s="2" t="str">
        <f>IF(Table1[[#This Row],[Is Data Valid]]=TRUE,((Table1[[#This Row],[Birthweight (grams)]]/Table1[[#This Row],[BW_GA]])-1)/(Backend!$B$4/100*Table1[[#This Row],[BW40_3705]]),"")</f>
        <v/>
      </c>
      <c r="H6823" s="7" t="str">
        <f>IF(Table1[[#This Row],[Is Data Valid]]=TRUE,((Table1[[#This Row],[Birthweight (grams)]]*0.9/Table1[[#This Row],[BW_GA]])-1)/(Backend!$B$4/100*Table1[[#This Row],[BW40_3705]]),"")</f>
        <v/>
      </c>
      <c r="I6823" s="7" t="str">
        <f>IF(Table1[[#This Row],[Is Data Valid]]=TRUE,((Table1[[#This Row],[Birthweight (grams)]]*1.1/Table1[[#This Row],[BW_GA]])-1)/(Backend!$B$4/100*Table1[[#This Row],[BW40_3705]]),"")</f>
        <v/>
      </c>
      <c r="J6823" s="7" t="str">
        <f>IF(Table1[[#This Row],[Is Data Valid]]=TRUE,_xlfn.NORM.S.DIST(Table1[[#This Row],[Birthweight Z-Score]],TRUE)*100,"")</f>
        <v/>
      </c>
      <c r="K6823" s="7" t="str">
        <f>IF(Table1[[#This Row],[Is Data Valid]]=TRUE,_xlfn.NORM.S.DIST(Table1[[#This Row],[Birthweight Z-Score (BW-10%)]],TRUE)*100,"")</f>
        <v/>
      </c>
      <c r="L6823" s="7" t="str">
        <f>IF(Table1[[#This Row],[Is Data Valid]]=TRUE,_xlfn.NORM.S.DIST(Table1[[#This Row],[Birthweight Z-Score (BW+10%)]],TRUE)*100,"")</f>
        <v/>
      </c>
    </row>
    <row r="6824" spans="1:12" x14ac:dyDescent="0.35">
      <c r="A6824" s="3"/>
      <c r="B6824" s="2"/>
      <c r="C6824" s="2"/>
      <c r="D6824" s="2" t="b">
        <f>IF(AND(NOT(ISBLANK(Table1[[#This Row],[Fetal Sex (Male, Female or Unknown)]])),ISNUMBER(Table1[[#This Row],[Birthweight (grams)]]),ISNUMBER(Table1[[#This Row],[Gestation (days)]])),TRUE,FALSE)</f>
        <v>0</v>
      </c>
      <c r="E6824" s="2" t="str">
        <f>IF(Table1[[#This Row],[Is Data Valid]]=TRUE,IF(Table1[[#This Row],[Fetal Sex (Male, Female or Unknown)]]="Male",Backend!$C$6,IF(Table1[[#This Row],[Fetal Sex (Male, Female or Unknown)]]="Female",Backend!$C$7,IF(Table1[[#This Row],[Fetal Sex (Male, Female or Unknown)]]="Unknown",Backend!$C$8,"Error"))),"")</f>
        <v/>
      </c>
      <c r="F6824" s="8" t="str">
        <f>IF(Table1[[#This Row],[Is Data Valid]]=TRUE,EXP(0.578+0.332*((Table1[[#This Row],[Gestation (days)]]+0.5)/7)-0.00354*((Table1[[#This Row],[Gestation (days)]]+0.5)/7)^2)*Table1[[#This Row],[BW40_3705]],"")</f>
        <v/>
      </c>
      <c r="G6824" s="2" t="str">
        <f>IF(Table1[[#This Row],[Is Data Valid]]=TRUE,((Table1[[#This Row],[Birthweight (grams)]]/Table1[[#This Row],[BW_GA]])-1)/(Backend!$B$4/100*Table1[[#This Row],[BW40_3705]]),"")</f>
        <v/>
      </c>
      <c r="H6824" s="7" t="str">
        <f>IF(Table1[[#This Row],[Is Data Valid]]=TRUE,((Table1[[#This Row],[Birthweight (grams)]]*0.9/Table1[[#This Row],[BW_GA]])-1)/(Backend!$B$4/100*Table1[[#This Row],[BW40_3705]]),"")</f>
        <v/>
      </c>
      <c r="I6824" s="7" t="str">
        <f>IF(Table1[[#This Row],[Is Data Valid]]=TRUE,((Table1[[#This Row],[Birthweight (grams)]]*1.1/Table1[[#This Row],[BW_GA]])-1)/(Backend!$B$4/100*Table1[[#This Row],[BW40_3705]]),"")</f>
        <v/>
      </c>
      <c r="J6824" s="7" t="str">
        <f>IF(Table1[[#This Row],[Is Data Valid]]=TRUE,_xlfn.NORM.S.DIST(Table1[[#This Row],[Birthweight Z-Score]],TRUE)*100,"")</f>
        <v/>
      </c>
      <c r="K6824" s="7" t="str">
        <f>IF(Table1[[#This Row],[Is Data Valid]]=TRUE,_xlfn.NORM.S.DIST(Table1[[#This Row],[Birthweight Z-Score (BW-10%)]],TRUE)*100,"")</f>
        <v/>
      </c>
      <c r="L6824" s="7" t="str">
        <f>IF(Table1[[#This Row],[Is Data Valid]]=TRUE,_xlfn.NORM.S.DIST(Table1[[#This Row],[Birthweight Z-Score (BW+10%)]],TRUE)*100,"")</f>
        <v/>
      </c>
    </row>
    <row r="6825" spans="1:12" x14ac:dyDescent="0.35">
      <c r="A6825" s="3"/>
      <c r="B6825" s="2"/>
      <c r="C6825" s="2"/>
      <c r="D6825" s="2" t="b">
        <f>IF(AND(NOT(ISBLANK(Table1[[#This Row],[Fetal Sex (Male, Female or Unknown)]])),ISNUMBER(Table1[[#This Row],[Birthweight (grams)]]),ISNUMBER(Table1[[#This Row],[Gestation (days)]])),TRUE,FALSE)</f>
        <v>0</v>
      </c>
      <c r="E6825" s="2" t="str">
        <f>IF(Table1[[#This Row],[Is Data Valid]]=TRUE,IF(Table1[[#This Row],[Fetal Sex (Male, Female or Unknown)]]="Male",Backend!$C$6,IF(Table1[[#This Row],[Fetal Sex (Male, Female or Unknown)]]="Female",Backend!$C$7,IF(Table1[[#This Row],[Fetal Sex (Male, Female or Unknown)]]="Unknown",Backend!$C$8,"Error"))),"")</f>
        <v/>
      </c>
      <c r="F6825" s="8" t="str">
        <f>IF(Table1[[#This Row],[Is Data Valid]]=TRUE,EXP(0.578+0.332*((Table1[[#This Row],[Gestation (days)]]+0.5)/7)-0.00354*((Table1[[#This Row],[Gestation (days)]]+0.5)/7)^2)*Table1[[#This Row],[BW40_3705]],"")</f>
        <v/>
      </c>
      <c r="G6825" s="2" t="str">
        <f>IF(Table1[[#This Row],[Is Data Valid]]=TRUE,((Table1[[#This Row],[Birthweight (grams)]]/Table1[[#This Row],[BW_GA]])-1)/(Backend!$B$4/100*Table1[[#This Row],[BW40_3705]]),"")</f>
        <v/>
      </c>
      <c r="H6825" s="7" t="str">
        <f>IF(Table1[[#This Row],[Is Data Valid]]=TRUE,((Table1[[#This Row],[Birthweight (grams)]]*0.9/Table1[[#This Row],[BW_GA]])-1)/(Backend!$B$4/100*Table1[[#This Row],[BW40_3705]]),"")</f>
        <v/>
      </c>
      <c r="I6825" s="7" t="str">
        <f>IF(Table1[[#This Row],[Is Data Valid]]=TRUE,((Table1[[#This Row],[Birthweight (grams)]]*1.1/Table1[[#This Row],[BW_GA]])-1)/(Backend!$B$4/100*Table1[[#This Row],[BW40_3705]]),"")</f>
        <v/>
      </c>
      <c r="J6825" s="7" t="str">
        <f>IF(Table1[[#This Row],[Is Data Valid]]=TRUE,_xlfn.NORM.S.DIST(Table1[[#This Row],[Birthweight Z-Score]],TRUE)*100,"")</f>
        <v/>
      </c>
      <c r="K6825" s="7" t="str">
        <f>IF(Table1[[#This Row],[Is Data Valid]]=TRUE,_xlfn.NORM.S.DIST(Table1[[#This Row],[Birthweight Z-Score (BW-10%)]],TRUE)*100,"")</f>
        <v/>
      </c>
      <c r="L6825" s="7" t="str">
        <f>IF(Table1[[#This Row],[Is Data Valid]]=TRUE,_xlfn.NORM.S.DIST(Table1[[#This Row],[Birthweight Z-Score (BW+10%)]],TRUE)*100,"")</f>
        <v/>
      </c>
    </row>
    <row r="6826" spans="1:12" x14ac:dyDescent="0.35">
      <c r="A6826" s="3"/>
      <c r="B6826" s="2"/>
      <c r="C6826" s="2"/>
      <c r="D6826" s="2" t="b">
        <f>IF(AND(NOT(ISBLANK(Table1[[#This Row],[Fetal Sex (Male, Female or Unknown)]])),ISNUMBER(Table1[[#This Row],[Birthweight (grams)]]),ISNUMBER(Table1[[#This Row],[Gestation (days)]])),TRUE,FALSE)</f>
        <v>0</v>
      </c>
      <c r="E6826" s="2" t="str">
        <f>IF(Table1[[#This Row],[Is Data Valid]]=TRUE,IF(Table1[[#This Row],[Fetal Sex (Male, Female or Unknown)]]="Male",Backend!$C$6,IF(Table1[[#This Row],[Fetal Sex (Male, Female or Unknown)]]="Female",Backend!$C$7,IF(Table1[[#This Row],[Fetal Sex (Male, Female or Unknown)]]="Unknown",Backend!$C$8,"Error"))),"")</f>
        <v/>
      </c>
      <c r="F6826" s="8" t="str">
        <f>IF(Table1[[#This Row],[Is Data Valid]]=TRUE,EXP(0.578+0.332*((Table1[[#This Row],[Gestation (days)]]+0.5)/7)-0.00354*((Table1[[#This Row],[Gestation (days)]]+0.5)/7)^2)*Table1[[#This Row],[BW40_3705]],"")</f>
        <v/>
      </c>
      <c r="G6826" s="2" t="str">
        <f>IF(Table1[[#This Row],[Is Data Valid]]=TRUE,((Table1[[#This Row],[Birthweight (grams)]]/Table1[[#This Row],[BW_GA]])-1)/(Backend!$B$4/100*Table1[[#This Row],[BW40_3705]]),"")</f>
        <v/>
      </c>
      <c r="H6826" s="7" t="str">
        <f>IF(Table1[[#This Row],[Is Data Valid]]=TRUE,((Table1[[#This Row],[Birthweight (grams)]]*0.9/Table1[[#This Row],[BW_GA]])-1)/(Backend!$B$4/100*Table1[[#This Row],[BW40_3705]]),"")</f>
        <v/>
      </c>
      <c r="I6826" s="7" t="str">
        <f>IF(Table1[[#This Row],[Is Data Valid]]=TRUE,((Table1[[#This Row],[Birthweight (grams)]]*1.1/Table1[[#This Row],[BW_GA]])-1)/(Backend!$B$4/100*Table1[[#This Row],[BW40_3705]]),"")</f>
        <v/>
      </c>
      <c r="J6826" s="7" t="str">
        <f>IF(Table1[[#This Row],[Is Data Valid]]=TRUE,_xlfn.NORM.S.DIST(Table1[[#This Row],[Birthweight Z-Score]],TRUE)*100,"")</f>
        <v/>
      </c>
      <c r="K6826" s="7" t="str">
        <f>IF(Table1[[#This Row],[Is Data Valid]]=TRUE,_xlfn.NORM.S.DIST(Table1[[#This Row],[Birthweight Z-Score (BW-10%)]],TRUE)*100,"")</f>
        <v/>
      </c>
      <c r="L6826" s="7" t="str">
        <f>IF(Table1[[#This Row],[Is Data Valid]]=TRUE,_xlfn.NORM.S.DIST(Table1[[#This Row],[Birthweight Z-Score (BW+10%)]],TRUE)*100,"")</f>
        <v/>
      </c>
    </row>
    <row r="6827" spans="1:12" x14ac:dyDescent="0.35">
      <c r="A6827" s="3"/>
      <c r="B6827" s="2"/>
      <c r="C6827" s="2"/>
      <c r="D6827" s="2" t="b">
        <f>IF(AND(NOT(ISBLANK(Table1[[#This Row],[Fetal Sex (Male, Female or Unknown)]])),ISNUMBER(Table1[[#This Row],[Birthweight (grams)]]),ISNUMBER(Table1[[#This Row],[Gestation (days)]])),TRUE,FALSE)</f>
        <v>0</v>
      </c>
      <c r="E6827" s="2" t="str">
        <f>IF(Table1[[#This Row],[Is Data Valid]]=TRUE,IF(Table1[[#This Row],[Fetal Sex (Male, Female or Unknown)]]="Male",Backend!$C$6,IF(Table1[[#This Row],[Fetal Sex (Male, Female or Unknown)]]="Female",Backend!$C$7,IF(Table1[[#This Row],[Fetal Sex (Male, Female or Unknown)]]="Unknown",Backend!$C$8,"Error"))),"")</f>
        <v/>
      </c>
      <c r="F6827" s="8" t="str">
        <f>IF(Table1[[#This Row],[Is Data Valid]]=TRUE,EXP(0.578+0.332*((Table1[[#This Row],[Gestation (days)]]+0.5)/7)-0.00354*((Table1[[#This Row],[Gestation (days)]]+0.5)/7)^2)*Table1[[#This Row],[BW40_3705]],"")</f>
        <v/>
      </c>
      <c r="G6827" s="2" t="str">
        <f>IF(Table1[[#This Row],[Is Data Valid]]=TRUE,((Table1[[#This Row],[Birthweight (grams)]]/Table1[[#This Row],[BW_GA]])-1)/(Backend!$B$4/100*Table1[[#This Row],[BW40_3705]]),"")</f>
        <v/>
      </c>
      <c r="H6827" s="7" t="str">
        <f>IF(Table1[[#This Row],[Is Data Valid]]=TRUE,((Table1[[#This Row],[Birthweight (grams)]]*0.9/Table1[[#This Row],[BW_GA]])-1)/(Backend!$B$4/100*Table1[[#This Row],[BW40_3705]]),"")</f>
        <v/>
      </c>
      <c r="I6827" s="7" t="str">
        <f>IF(Table1[[#This Row],[Is Data Valid]]=TRUE,((Table1[[#This Row],[Birthweight (grams)]]*1.1/Table1[[#This Row],[BW_GA]])-1)/(Backend!$B$4/100*Table1[[#This Row],[BW40_3705]]),"")</f>
        <v/>
      </c>
      <c r="J6827" s="7" t="str">
        <f>IF(Table1[[#This Row],[Is Data Valid]]=TRUE,_xlfn.NORM.S.DIST(Table1[[#This Row],[Birthweight Z-Score]],TRUE)*100,"")</f>
        <v/>
      </c>
      <c r="K6827" s="7" t="str">
        <f>IF(Table1[[#This Row],[Is Data Valid]]=TRUE,_xlfn.NORM.S.DIST(Table1[[#This Row],[Birthweight Z-Score (BW-10%)]],TRUE)*100,"")</f>
        <v/>
      </c>
      <c r="L6827" s="7" t="str">
        <f>IF(Table1[[#This Row],[Is Data Valid]]=TRUE,_xlfn.NORM.S.DIST(Table1[[#This Row],[Birthweight Z-Score (BW+10%)]],TRUE)*100,"")</f>
        <v/>
      </c>
    </row>
    <row r="6828" spans="1:12" x14ac:dyDescent="0.35">
      <c r="A6828" s="3"/>
      <c r="B6828" s="2"/>
      <c r="C6828" s="2"/>
      <c r="D6828" s="2" t="b">
        <f>IF(AND(NOT(ISBLANK(Table1[[#This Row],[Fetal Sex (Male, Female or Unknown)]])),ISNUMBER(Table1[[#This Row],[Birthweight (grams)]]),ISNUMBER(Table1[[#This Row],[Gestation (days)]])),TRUE,FALSE)</f>
        <v>0</v>
      </c>
      <c r="E6828" s="2" t="str">
        <f>IF(Table1[[#This Row],[Is Data Valid]]=TRUE,IF(Table1[[#This Row],[Fetal Sex (Male, Female or Unknown)]]="Male",Backend!$C$6,IF(Table1[[#This Row],[Fetal Sex (Male, Female or Unknown)]]="Female",Backend!$C$7,IF(Table1[[#This Row],[Fetal Sex (Male, Female or Unknown)]]="Unknown",Backend!$C$8,"Error"))),"")</f>
        <v/>
      </c>
      <c r="F6828" s="8" t="str">
        <f>IF(Table1[[#This Row],[Is Data Valid]]=TRUE,EXP(0.578+0.332*((Table1[[#This Row],[Gestation (days)]]+0.5)/7)-0.00354*((Table1[[#This Row],[Gestation (days)]]+0.5)/7)^2)*Table1[[#This Row],[BW40_3705]],"")</f>
        <v/>
      </c>
      <c r="G6828" s="2" t="str">
        <f>IF(Table1[[#This Row],[Is Data Valid]]=TRUE,((Table1[[#This Row],[Birthweight (grams)]]/Table1[[#This Row],[BW_GA]])-1)/(Backend!$B$4/100*Table1[[#This Row],[BW40_3705]]),"")</f>
        <v/>
      </c>
      <c r="H6828" s="7" t="str">
        <f>IF(Table1[[#This Row],[Is Data Valid]]=TRUE,((Table1[[#This Row],[Birthweight (grams)]]*0.9/Table1[[#This Row],[BW_GA]])-1)/(Backend!$B$4/100*Table1[[#This Row],[BW40_3705]]),"")</f>
        <v/>
      </c>
      <c r="I6828" s="7" t="str">
        <f>IF(Table1[[#This Row],[Is Data Valid]]=TRUE,((Table1[[#This Row],[Birthweight (grams)]]*1.1/Table1[[#This Row],[BW_GA]])-1)/(Backend!$B$4/100*Table1[[#This Row],[BW40_3705]]),"")</f>
        <v/>
      </c>
      <c r="J6828" s="7" t="str">
        <f>IF(Table1[[#This Row],[Is Data Valid]]=TRUE,_xlfn.NORM.S.DIST(Table1[[#This Row],[Birthweight Z-Score]],TRUE)*100,"")</f>
        <v/>
      </c>
      <c r="K6828" s="7" t="str">
        <f>IF(Table1[[#This Row],[Is Data Valid]]=TRUE,_xlfn.NORM.S.DIST(Table1[[#This Row],[Birthweight Z-Score (BW-10%)]],TRUE)*100,"")</f>
        <v/>
      </c>
      <c r="L6828" s="7" t="str">
        <f>IF(Table1[[#This Row],[Is Data Valid]]=TRUE,_xlfn.NORM.S.DIST(Table1[[#This Row],[Birthweight Z-Score (BW+10%)]],TRUE)*100,"")</f>
        <v/>
      </c>
    </row>
    <row r="6829" spans="1:12" x14ac:dyDescent="0.35">
      <c r="A6829" s="3"/>
      <c r="B6829" s="2"/>
      <c r="C6829" s="2"/>
      <c r="D6829" s="2" t="b">
        <f>IF(AND(NOT(ISBLANK(Table1[[#This Row],[Fetal Sex (Male, Female or Unknown)]])),ISNUMBER(Table1[[#This Row],[Birthweight (grams)]]),ISNUMBER(Table1[[#This Row],[Gestation (days)]])),TRUE,FALSE)</f>
        <v>0</v>
      </c>
      <c r="E6829" s="2" t="str">
        <f>IF(Table1[[#This Row],[Is Data Valid]]=TRUE,IF(Table1[[#This Row],[Fetal Sex (Male, Female or Unknown)]]="Male",Backend!$C$6,IF(Table1[[#This Row],[Fetal Sex (Male, Female or Unknown)]]="Female",Backend!$C$7,IF(Table1[[#This Row],[Fetal Sex (Male, Female or Unknown)]]="Unknown",Backend!$C$8,"Error"))),"")</f>
        <v/>
      </c>
      <c r="F6829" s="8" t="str">
        <f>IF(Table1[[#This Row],[Is Data Valid]]=TRUE,EXP(0.578+0.332*((Table1[[#This Row],[Gestation (days)]]+0.5)/7)-0.00354*((Table1[[#This Row],[Gestation (days)]]+0.5)/7)^2)*Table1[[#This Row],[BW40_3705]],"")</f>
        <v/>
      </c>
      <c r="G6829" s="2" t="str">
        <f>IF(Table1[[#This Row],[Is Data Valid]]=TRUE,((Table1[[#This Row],[Birthweight (grams)]]/Table1[[#This Row],[BW_GA]])-1)/(Backend!$B$4/100*Table1[[#This Row],[BW40_3705]]),"")</f>
        <v/>
      </c>
      <c r="H6829" s="7" t="str">
        <f>IF(Table1[[#This Row],[Is Data Valid]]=TRUE,((Table1[[#This Row],[Birthweight (grams)]]*0.9/Table1[[#This Row],[BW_GA]])-1)/(Backend!$B$4/100*Table1[[#This Row],[BW40_3705]]),"")</f>
        <v/>
      </c>
      <c r="I6829" s="7" t="str">
        <f>IF(Table1[[#This Row],[Is Data Valid]]=TRUE,((Table1[[#This Row],[Birthweight (grams)]]*1.1/Table1[[#This Row],[BW_GA]])-1)/(Backend!$B$4/100*Table1[[#This Row],[BW40_3705]]),"")</f>
        <v/>
      </c>
      <c r="J6829" s="7" t="str">
        <f>IF(Table1[[#This Row],[Is Data Valid]]=TRUE,_xlfn.NORM.S.DIST(Table1[[#This Row],[Birthweight Z-Score]],TRUE)*100,"")</f>
        <v/>
      </c>
      <c r="K6829" s="7" t="str">
        <f>IF(Table1[[#This Row],[Is Data Valid]]=TRUE,_xlfn.NORM.S.DIST(Table1[[#This Row],[Birthweight Z-Score (BW-10%)]],TRUE)*100,"")</f>
        <v/>
      </c>
      <c r="L6829" s="7" t="str">
        <f>IF(Table1[[#This Row],[Is Data Valid]]=TRUE,_xlfn.NORM.S.DIST(Table1[[#This Row],[Birthweight Z-Score (BW+10%)]],TRUE)*100,"")</f>
        <v/>
      </c>
    </row>
    <row r="6830" spans="1:12" x14ac:dyDescent="0.35">
      <c r="A6830" s="3"/>
      <c r="B6830" s="2"/>
      <c r="C6830" s="2"/>
      <c r="D6830" s="2" t="b">
        <f>IF(AND(NOT(ISBLANK(Table1[[#This Row],[Fetal Sex (Male, Female or Unknown)]])),ISNUMBER(Table1[[#This Row],[Birthweight (grams)]]),ISNUMBER(Table1[[#This Row],[Gestation (days)]])),TRUE,FALSE)</f>
        <v>0</v>
      </c>
      <c r="E6830" s="2" t="str">
        <f>IF(Table1[[#This Row],[Is Data Valid]]=TRUE,IF(Table1[[#This Row],[Fetal Sex (Male, Female or Unknown)]]="Male",Backend!$C$6,IF(Table1[[#This Row],[Fetal Sex (Male, Female or Unknown)]]="Female",Backend!$C$7,IF(Table1[[#This Row],[Fetal Sex (Male, Female or Unknown)]]="Unknown",Backend!$C$8,"Error"))),"")</f>
        <v/>
      </c>
      <c r="F6830" s="8" t="str">
        <f>IF(Table1[[#This Row],[Is Data Valid]]=TRUE,EXP(0.578+0.332*((Table1[[#This Row],[Gestation (days)]]+0.5)/7)-0.00354*((Table1[[#This Row],[Gestation (days)]]+0.5)/7)^2)*Table1[[#This Row],[BW40_3705]],"")</f>
        <v/>
      </c>
      <c r="G6830" s="2" t="str">
        <f>IF(Table1[[#This Row],[Is Data Valid]]=TRUE,((Table1[[#This Row],[Birthweight (grams)]]/Table1[[#This Row],[BW_GA]])-1)/(Backend!$B$4/100*Table1[[#This Row],[BW40_3705]]),"")</f>
        <v/>
      </c>
      <c r="H6830" s="7" t="str">
        <f>IF(Table1[[#This Row],[Is Data Valid]]=TRUE,((Table1[[#This Row],[Birthweight (grams)]]*0.9/Table1[[#This Row],[BW_GA]])-1)/(Backend!$B$4/100*Table1[[#This Row],[BW40_3705]]),"")</f>
        <v/>
      </c>
      <c r="I6830" s="7" t="str">
        <f>IF(Table1[[#This Row],[Is Data Valid]]=TRUE,((Table1[[#This Row],[Birthweight (grams)]]*1.1/Table1[[#This Row],[BW_GA]])-1)/(Backend!$B$4/100*Table1[[#This Row],[BW40_3705]]),"")</f>
        <v/>
      </c>
      <c r="J6830" s="7" t="str">
        <f>IF(Table1[[#This Row],[Is Data Valid]]=TRUE,_xlfn.NORM.S.DIST(Table1[[#This Row],[Birthweight Z-Score]],TRUE)*100,"")</f>
        <v/>
      </c>
      <c r="K6830" s="7" t="str">
        <f>IF(Table1[[#This Row],[Is Data Valid]]=TRUE,_xlfn.NORM.S.DIST(Table1[[#This Row],[Birthweight Z-Score (BW-10%)]],TRUE)*100,"")</f>
        <v/>
      </c>
      <c r="L6830" s="7" t="str">
        <f>IF(Table1[[#This Row],[Is Data Valid]]=TRUE,_xlfn.NORM.S.DIST(Table1[[#This Row],[Birthweight Z-Score (BW+10%)]],TRUE)*100,"")</f>
        <v/>
      </c>
    </row>
    <row r="6831" spans="1:12" x14ac:dyDescent="0.35">
      <c r="A6831" s="3"/>
      <c r="B6831" s="2"/>
      <c r="C6831" s="2"/>
      <c r="D6831" s="2" t="b">
        <f>IF(AND(NOT(ISBLANK(Table1[[#This Row],[Fetal Sex (Male, Female or Unknown)]])),ISNUMBER(Table1[[#This Row],[Birthweight (grams)]]),ISNUMBER(Table1[[#This Row],[Gestation (days)]])),TRUE,FALSE)</f>
        <v>0</v>
      </c>
      <c r="E6831" s="2" t="str">
        <f>IF(Table1[[#This Row],[Is Data Valid]]=TRUE,IF(Table1[[#This Row],[Fetal Sex (Male, Female or Unknown)]]="Male",Backend!$C$6,IF(Table1[[#This Row],[Fetal Sex (Male, Female or Unknown)]]="Female",Backend!$C$7,IF(Table1[[#This Row],[Fetal Sex (Male, Female or Unknown)]]="Unknown",Backend!$C$8,"Error"))),"")</f>
        <v/>
      </c>
      <c r="F6831" s="8" t="str">
        <f>IF(Table1[[#This Row],[Is Data Valid]]=TRUE,EXP(0.578+0.332*((Table1[[#This Row],[Gestation (days)]]+0.5)/7)-0.00354*((Table1[[#This Row],[Gestation (days)]]+0.5)/7)^2)*Table1[[#This Row],[BW40_3705]],"")</f>
        <v/>
      </c>
      <c r="G6831" s="2" t="str">
        <f>IF(Table1[[#This Row],[Is Data Valid]]=TRUE,((Table1[[#This Row],[Birthweight (grams)]]/Table1[[#This Row],[BW_GA]])-1)/(Backend!$B$4/100*Table1[[#This Row],[BW40_3705]]),"")</f>
        <v/>
      </c>
      <c r="H6831" s="7" t="str">
        <f>IF(Table1[[#This Row],[Is Data Valid]]=TRUE,((Table1[[#This Row],[Birthweight (grams)]]*0.9/Table1[[#This Row],[BW_GA]])-1)/(Backend!$B$4/100*Table1[[#This Row],[BW40_3705]]),"")</f>
        <v/>
      </c>
      <c r="I6831" s="7" t="str">
        <f>IF(Table1[[#This Row],[Is Data Valid]]=TRUE,((Table1[[#This Row],[Birthweight (grams)]]*1.1/Table1[[#This Row],[BW_GA]])-1)/(Backend!$B$4/100*Table1[[#This Row],[BW40_3705]]),"")</f>
        <v/>
      </c>
      <c r="J6831" s="7" t="str">
        <f>IF(Table1[[#This Row],[Is Data Valid]]=TRUE,_xlfn.NORM.S.DIST(Table1[[#This Row],[Birthweight Z-Score]],TRUE)*100,"")</f>
        <v/>
      </c>
      <c r="K6831" s="7" t="str">
        <f>IF(Table1[[#This Row],[Is Data Valid]]=TRUE,_xlfn.NORM.S.DIST(Table1[[#This Row],[Birthweight Z-Score (BW-10%)]],TRUE)*100,"")</f>
        <v/>
      </c>
      <c r="L6831" s="7" t="str">
        <f>IF(Table1[[#This Row],[Is Data Valid]]=TRUE,_xlfn.NORM.S.DIST(Table1[[#This Row],[Birthweight Z-Score (BW+10%)]],TRUE)*100,"")</f>
        <v/>
      </c>
    </row>
    <row r="6832" spans="1:12" x14ac:dyDescent="0.35">
      <c r="A6832" s="3"/>
      <c r="B6832" s="2"/>
      <c r="C6832" s="2"/>
      <c r="D6832" s="2" t="b">
        <f>IF(AND(NOT(ISBLANK(Table1[[#This Row],[Fetal Sex (Male, Female or Unknown)]])),ISNUMBER(Table1[[#This Row],[Birthweight (grams)]]),ISNUMBER(Table1[[#This Row],[Gestation (days)]])),TRUE,FALSE)</f>
        <v>0</v>
      </c>
      <c r="E6832" s="2" t="str">
        <f>IF(Table1[[#This Row],[Is Data Valid]]=TRUE,IF(Table1[[#This Row],[Fetal Sex (Male, Female or Unknown)]]="Male",Backend!$C$6,IF(Table1[[#This Row],[Fetal Sex (Male, Female or Unknown)]]="Female",Backend!$C$7,IF(Table1[[#This Row],[Fetal Sex (Male, Female or Unknown)]]="Unknown",Backend!$C$8,"Error"))),"")</f>
        <v/>
      </c>
      <c r="F6832" s="8" t="str">
        <f>IF(Table1[[#This Row],[Is Data Valid]]=TRUE,EXP(0.578+0.332*((Table1[[#This Row],[Gestation (days)]]+0.5)/7)-0.00354*((Table1[[#This Row],[Gestation (days)]]+0.5)/7)^2)*Table1[[#This Row],[BW40_3705]],"")</f>
        <v/>
      </c>
      <c r="G6832" s="2" t="str">
        <f>IF(Table1[[#This Row],[Is Data Valid]]=TRUE,((Table1[[#This Row],[Birthweight (grams)]]/Table1[[#This Row],[BW_GA]])-1)/(Backend!$B$4/100*Table1[[#This Row],[BW40_3705]]),"")</f>
        <v/>
      </c>
      <c r="H6832" s="7" t="str">
        <f>IF(Table1[[#This Row],[Is Data Valid]]=TRUE,((Table1[[#This Row],[Birthweight (grams)]]*0.9/Table1[[#This Row],[BW_GA]])-1)/(Backend!$B$4/100*Table1[[#This Row],[BW40_3705]]),"")</f>
        <v/>
      </c>
      <c r="I6832" s="7" t="str">
        <f>IF(Table1[[#This Row],[Is Data Valid]]=TRUE,((Table1[[#This Row],[Birthweight (grams)]]*1.1/Table1[[#This Row],[BW_GA]])-1)/(Backend!$B$4/100*Table1[[#This Row],[BW40_3705]]),"")</f>
        <v/>
      </c>
      <c r="J6832" s="7" t="str">
        <f>IF(Table1[[#This Row],[Is Data Valid]]=TRUE,_xlfn.NORM.S.DIST(Table1[[#This Row],[Birthweight Z-Score]],TRUE)*100,"")</f>
        <v/>
      </c>
      <c r="K6832" s="7" t="str">
        <f>IF(Table1[[#This Row],[Is Data Valid]]=TRUE,_xlfn.NORM.S.DIST(Table1[[#This Row],[Birthweight Z-Score (BW-10%)]],TRUE)*100,"")</f>
        <v/>
      </c>
      <c r="L6832" s="7" t="str">
        <f>IF(Table1[[#This Row],[Is Data Valid]]=TRUE,_xlfn.NORM.S.DIST(Table1[[#This Row],[Birthweight Z-Score (BW+10%)]],TRUE)*100,"")</f>
        <v/>
      </c>
    </row>
    <row r="6833" spans="1:12" x14ac:dyDescent="0.35">
      <c r="A6833" s="3"/>
      <c r="B6833" s="2"/>
      <c r="C6833" s="2"/>
      <c r="D6833" s="2" t="b">
        <f>IF(AND(NOT(ISBLANK(Table1[[#This Row],[Fetal Sex (Male, Female or Unknown)]])),ISNUMBER(Table1[[#This Row],[Birthweight (grams)]]),ISNUMBER(Table1[[#This Row],[Gestation (days)]])),TRUE,FALSE)</f>
        <v>0</v>
      </c>
      <c r="E6833" s="2" t="str">
        <f>IF(Table1[[#This Row],[Is Data Valid]]=TRUE,IF(Table1[[#This Row],[Fetal Sex (Male, Female or Unknown)]]="Male",Backend!$C$6,IF(Table1[[#This Row],[Fetal Sex (Male, Female or Unknown)]]="Female",Backend!$C$7,IF(Table1[[#This Row],[Fetal Sex (Male, Female or Unknown)]]="Unknown",Backend!$C$8,"Error"))),"")</f>
        <v/>
      </c>
      <c r="F6833" s="8" t="str">
        <f>IF(Table1[[#This Row],[Is Data Valid]]=TRUE,EXP(0.578+0.332*((Table1[[#This Row],[Gestation (days)]]+0.5)/7)-0.00354*((Table1[[#This Row],[Gestation (days)]]+0.5)/7)^2)*Table1[[#This Row],[BW40_3705]],"")</f>
        <v/>
      </c>
      <c r="G6833" s="2" t="str">
        <f>IF(Table1[[#This Row],[Is Data Valid]]=TRUE,((Table1[[#This Row],[Birthweight (grams)]]/Table1[[#This Row],[BW_GA]])-1)/(Backend!$B$4/100*Table1[[#This Row],[BW40_3705]]),"")</f>
        <v/>
      </c>
      <c r="H6833" s="7" t="str">
        <f>IF(Table1[[#This Row],[Is Data Valid]]=TRUE,((Table1[[#This Row],[Birthweight (grams)]]*0.9/Table1[[#This Row],[BW_GA]])-1)/(Backend!$B$4/100*Table1[[#This Row],[BW40_3705]]),"")</f>
        <v/>
      </c>
      <c r="I6833" s="7" t="str">
        <f>IF(Table1[[#This Row],[Is Data Valid]]=TRUE,((Table1[[#This Row],[Birthweight (grams)]]*1.1/Table1[[#This Row],[BW_GA]])-1)/(Backend!$B$4/100*Table1[[#This Row],[BW40_3705]]),"")</f>
        <v/>
      </c>
      <c r="J6833" s="7" t="str">
        <f>IF(Table1[[#This Row],[Is Data Valid]]=TRUE,_xlfn.NORM.S.DIST(Table1[[#This Row],[Birthweight Z-Score]],TRUE)*100,"")</f>
        <v/>
      </c>
      <c r="K6833" s="7" t="str">
        <f>IF(Table1[[#This Row],[Is Data Valid]]=TRUE,_xlfn.NORM.S.DIST(Table1[[#This Row],[Birthweight Z-Score (BW-10%)]],TRUE)*100,"")</f>
        <v/>
      </c>
      <c r="L6833" s="7" t="str">
        <f>IF(Table1[[#This Row],[Is Data Valid]]=TRUE,_xlfn.NORM.S.DIST(Table1[[#This Row],[Birthweight Z-Score (BW+10%)]],TRUE)*100,"")</f>
        <v/>
      </c>
    </row>
    <row r="6834" spans="1:12" x14ac:dyDescent="0.35">
      <c r="A6834" s="3"/>
      <c r="B6834" s="2"/>
      <c r="C6834" s="2"/>
      <c r="D6834" s="2" t="b">
        <f>IF(AND(NOT(ISBLANK(Table1[[#This Row],[Fetal Sex (Male, Female or Unknown)]])),ISNUMBER(Table1[[#This Row],[Birthweight (grams)]]),ISNUMBER(Table1[[#This Row],[Gestation (days)]])),TRUE,FALSE)</f>
        <v>0</v>
      </c>
      <c r="E6834" s="2" t="str">
        <f>IF(Table1[[#This Row],[Is Data Valid]]=TRUE,IF(Table1[[#This Row],[Fetal Sex (Male, Female or Unknown)]]="Male",Backend!$C$6,IF(Table1[[#This Row],[Fetal Sex (Male, Female or Unknown)]]="Female",Backend!$C$7,IF(Table1[[#This Row],[Fetal Sex (Male, Female or Unknown)]]="Unknown",Backend!$C$8,"Error"))),"")</f>
        <v/>
      </c>
      <c r="F6834" s="8" t="str">
        <f>IF(Table1[[#This Row],[Is Data Valid]]=TRUE,EXP(0.578+0.332*((Table1[[#This Row],[Gestation (days)]]+0.5)/7)-0.00354*((Table1[[#This Row],[Gestation (days)]]+0.5)/7)^2)*Table1[[#This Row],[BW40_3705]],"")</f>
        <v/>
      </c>
      <c r="G6834" s="2" t="str">
        <f>IF(Table1[[#This Row],[Is Data Valid]]=TRUE,((Table1[[#This Row],[Birthweight (grams)]]/Table1[[#This Row],[BW_GA]])-1)/(Backend!$B$4/100*Table1[[#This Row],[BW40_3705]]),"")</f>
        <v/>
      </c>
      <c r="H6834" s="7" t="str">
        <f>IF(Table1[[#This Row],[Is Data Valid]]=TRUE,((Table1[[#This Row],[Birthweight (grams)]]*0.9/Table1[[#This Row],[BW_GA]])-1)/(Backend!$B$4/100*Table1[[#This Row],[BW40_3705]]),"")</f>
        <v/>
      </c>
      <c r="I6834" s="7" t="str">
        <f>IF(Table1[[#This Row],[Is Data Valid]]=TRUE,((Table1[[#This Row],[Birthweight (grams)]]*1.1/Table1[[#This Row],[BW_GA]])-1)/(Backend!$B$4/100*Table1[[#This Row],[BW40_3705]]),"")</f>
        <v/>
      </c>
      <c r="J6834" s="7" t="str">
        <f>IF(Table1[[#This Row],[Is Data Valid]]=TRUE,_xlfn.NORM.S.DIST(Table1[[#This Row],[Birthweight Z-Score]],TRUE)*100,"")</f>
        <v/>
      </c>
      <c r="K6834" s="7" t="str">
        <f>IF(Table1[[#This Row],[Is Data Valid]]=TRUE,_xlfn.NORM.S.DIST(Table1[[#This Row],[Birthweight Z-Score (BW-10%)]],TRUE)*100,"")</f>
        <v/>
      </c>
      <c r="L6834" s="7" t="str">
        <f>IF(Table1[[#This Row],[Is Data Valid]]=TRUE,_xlfn.NORM.S.DIST(Table1[[#This Row],[Birthweight Z-Score (BW+10%)]],TRUE)*100,"")</f>
        <v/>
      </c>
    </row>
    <row r="6835" spans="1:12" x14ac:dyDescent="0.35">
      <c r="A6835" s="3"/>
      <c r="B6835" s="2"/>
      <c r="C6835" s="2"/>
      <c r="D6835" s="2" t="b">
        <f>IF(AND(NOT(ISBLANK(Table1[[#This Row],[Fetal Sex (Male, Female or Unknown)]])),ISNUMBER(Table1[[#This Row],[Birthweight (grams)]]),ISNUMBER(Table1[[#This Row],[Gestation (days)]])),TRUE,FALSE)</f>
        <v>0</v>
      </c>
      <c r="E6835" s="2" t="str">
        <f>IF(Table1[[#This Row],[Is Data Valid]]=TRUE,IF(Table1[[#This Row],[Fetal Sex (Male, Female or Unknown)]]="Male",Backend!$C$6,IF(Table1[[#This Row],[Fetal Sex (Male, Female or Unknown)]]="Female",Backend!$C$7,IF(Table1[[#This Row],[Fetal Sex (Male, Female or Unknown)]]="Unknown",Backend!$C$8,"Error"))),"")</f>
        <v/>
      </c>
      <c r="F6835" s="8" t="str">
        <f>IF(Table1[[#This Row],[Is Data Valid]]=TRUE,EXP(0.578+0.332*((Table1[[#This Row],[Gestation (days)]]+0.5)/7)-0.00354*((Table1[[#This Row],[Gestation (days)]]+0.5)/7)^2)*Table1[[#This Row],[BW40_3705]],"")</f>
        <v/>
      </c>
      <c r="G6835" s="2" t="str">
        <f>IF(Table1[[#This Row],[Is Data Valid]]=TRUE,((Table1[[#This Row],[Birthweight (grams)]]/Table1[[#This Row],[BW_GA]])-1)/(Backend!$B$4/100*Table1[[#This Row],[BW40_3705]]),"")</f>
        <v/>
      </c>
      <c r="H6835" s="7" t="str">
        <f>IF(Table1[[#This Row],[Is Data Valid]]=TRUE,((Table1[[#This Row],[Birthweight (grams)]]*0.9/Table1[[#This Row],[BW_GA]])-1)/(Backend!$B$4/100*Table1[[#This Row],[BW40_3705]]),"")</f>
        <v/>
      </c>
      <c r="I6835" s="7" t="str">
        <f>IF(Table1[[#This Row],[Is Data Valid]]=TRUE,((Table1[[#This Row],[Birthweight (grams)]]*1.1/Table1[[#This Row],[BW_GA]])-1)/(Backend!$B$4/100*Table1[[#This Row],[BW40_3705]]),"")</f>
        <v/>
      </c>
      <c r="J6835" s="7" t="str">
        <f>IF(Table1[[#This Row],[Is Data Valid]]=TRUE,_xlfn.NORM.S.DIST(Table1[[#This Row],[Birthweight Z-Score]],TRUE)*100,"")</f>
        <v/>
      </c>
      <c r="K6835" s="7" t="str">
        <f>IF(Table1[[#This Row],[Is Data Valid]]=TRUE,_xlfn.NORM.S.DIST(Table1[[#This Row],[Birthweight Z-Score (BW-10%)]],TRUE)*100,"")</f>
        <v/>
      </c>
      <c r="L6835" s="7" t="str">
        <f>IF(Table1[[#This Row],[Is Data Valid]]=TRUE,_xlfn.NORM.S.DIST(Table1[[#This Row],[Birthweight Z-Score (BW+10%)]],TRUE)*100,"")</f>
        <v/>
      </c>
    </row>
    <row r="6836" spans="1:12" x14ac:dyDescent="0.35">
      <c r="A6836" s="3"/>
      <c r="B6836" s="2"/>
      <c r="C6836" s="2"/>
      <c r="D6836" s="2" t="b">
        <f>IF(AND(NOT(ISBLANK(Table1[[#This Row],[Fetal Sex (Male, Female or Unknown)]])),ISNUMBER(Table1[[#This Row],[Birthweight (grams)]]),ISNUMBER(Table1[[#This Row],[Gestation (days)]])),TRUE,FALSE)</f>
        <v>0</v>
      </c>
      <c r="E6836" s="2" t="str">
        <f>IF(Table1[[#This Row],[Is Data Valid]]=TRUE,IF(Table1[[#This Row],[Fetal Sex (Male, Female or Unknown)]]="Male",Backend!$C$6,IF(Table1[[#This Row],[Fetal Sex (Male, Female or Unknown)]]="Female",Backend!$C$7,IF(Table1[[#This Row],[Fetal Sex (Male, Female or Unknown)]]="Unknown",Backend!$C$8,"Error"))),"")</f>
        <v/>
      </c>
      <c r="F6836" s="8" t="str">
        <f>IF(Table1[[#This Row],[Is Data Valid]]=TRUE,EXP(0.578+0.332*((Table1[[#This Row],[Gestation (days)]]+0.5)/7)-0.00354*((Table1[[#This Row],[Gestation (days)]]+0.5)/7)^2)*Table1[[#This Row],[BW40_3705]],"")</f>
        <v/>
      </c>
      <c r="G6836" s="2" t="str">
        <f>IF(Table1[[#This Row],[Is Data Valid]]=TRUE,((Table1[[#This Row],[Birthweight (grams)]]/Table1[[#This Row],[BW_GA]])-1)/(Backend!$B$4/100*Table1[[#This Row],[BW40_3705]]),"")</f>
        <v/>
      </c>
      <c r="H6836" s="7" t="str">
        <f>IF(Table1[[#This Row],[Is Data Valid]]=TRUE,((Table1[[#This Row],[Birthweight (grams)]]*0.9/Table1[[#This Row],[BW_GA]])-1)/(Backend!$B$4/100*Table1[[#This Row],[BW40_3705]]),"")</f>
        <v/>
      </c>
      <c r="I6836" s="7" t="str">
        <f>IF(Table1[[#This Row],[Is Data Valid]]=TRUE,((Table1[[#This Row],[Birthweight (grams)]]*1.1/Table1[[#This Row],[BW_GA]])-1)/(Backend!$B$4/100*Table1[[#This Row],[BW40_3705]]),"")</f>
        <v/>
      </c>
      <c r="J6836" s="7" t="str">
        <f>IF(Table1[[#This Row],[Is Data Valid]]=TRUE,_xlfn.NORM.S.DIST(Table1[[#This Row],[Birthweight Z-Score]],TRUE)*100,"")</f>
        <v/>
      </c>
      <c r="K6836" s="7" t="str">
        <f>IF(Table1[[#This Row],[Is Data Valid]]=TRUE,_xlfn.NORM.S.DIST(Table1[[#This Row],[Birthweight Z-Score (BW-10%)]],TRUE)*100,"")</f>
        <v/>
      </c>
      <c r="L6836" s="7" t="str">
        <f>IF(Table1[[#This Row],[Is Data Valid]]=TRUE,_xlfn.NORM.S.DIST(Table1[[#This Row],[Birthweight Z-Score (BW+10%)]],TRUE)*100,"")</f>
        <v/>
      </c>
    </row>
    <row r="6837" spans="1:12" x14ac:dyDescent="0.35">
      <c r="A6837" s="3"/>
      <c r="B6837" s="2"/>
      <c r="C6837" s="2"/>
      <c r="D6837" s="2" t="b">
        <f>IF(AND(NOT(ISBLANK(Table1[[#This Row],[Fetal Sex (Male, Female or Unknown)]])),ISNUMBER(Table1[[#This Row],[Birthweight (grams)]]),ISNUMBER(Table1[[#This Row],[Gestation (days)]])),TRUE,FALSE)</f>
        <v>0</v>
      </c>
      <c r="E6837" s="2" t="str">
        <f>IF(Table1[[#This Row],[Is Data Valid]]=TRUE,IF(Table1[[#This Row],[Fetal Sex (Male, Female or Unknown)]]="Male",Backend!$C$6,IF(Table1[[#This Row],[Fetal Sex (Male, Female or Unknown)]]="Female",Backend!$C$7,IF(Table1[[#This Row],[Fetal Sex (Male, Female or Unknown)]]="Unknown",Backend!$C$8,"Error"))),"")</f>
        <v/>
      </c>
      <c r="F6837" s="8" t="str">
        <f>IF(Table1[[#This Row],[Is Data Valid]]=TRUE,EXP(0.578+0.332*((Table1[[#This Row],[Gestation (days)]]+0.5)/7)-0.00354*((Table1[[#This Row],[Gestation (days)]]+0.5)/7)^2)*Table1[[#This Row],[BW40_3705]],"")</f>
        <v/>
      </c>
      <c r="G6837" s="2" t="str">
        <f>IF(Table1[[#This Row],[Is Data Valid]]=TRUE,((Table1[[#This Row],[Birthweight (grams)]]/Table1[[#This Row],[BW_GA]])-1)/(Backend!$B$4/100*Table1[[#This Row],[BW40_3705]]),"")</f>
        <v/>
      </c>
      <c r="H6837" s="7" t="str">
        <f>IF(Table1[[#This Row],[Is Data Valid]]=TRUE,((Table1[[#This Row],[Birthweight (grams)]]*0.9/Table1[[#This Row],[BW_GA]])-1)/(Backend!$B$4/100*Table1[[#This Row],[BW40_3705]]),"")</f>
        <v/>
      </c>
      <c r="I6837" s="7" t="str">
        <f>IF(Table1[[#This Row],[Is Data Valid]]=TRUE,((Table1[[#This Row],[Birthweight (grams)]]*1.1/Table1[[#This Row],[BW_GA]])-1)/(Backend!$B$4/100*Table1[[#This Row],[BW40_3705]]),"")</f>
        <v/>
      </c>
      <c r="J6837" s="7" t="str">
        <f>IF(Table1[[#This Row],[Is Data Valid]]=TRUE,_xlfn.NORM.S.DIST(Table1[[#This Row],[Birthweight Z-Score]],TRUE)*100,"")</f>
        <v/>
      </c>
      <c r="K6837" s="7" t="str">
        <f>IF(Table1[[#This Row],[Is Data Valid]]=TRUE,_xlfn.NORM.S.DIST(Table1[[#This Row],[Birthweight Z-Score (BW-10%)]],TRUE)*100,"")</f>
        <v/>
      </c>
      <c r="L6837" s="7" t="str">
        <f>IF(Table1[[#This Row],[Is Data Valid]]=TRUE,_xlfn.NORM.S.DIST(Table1[[#This Row],[Birthweight Z-Score (BW+10%)]],TRUE)*100,"")</f>
        <v/>
      </c>
    </row>
    <row r="6838" spans="1:12" x14ac:dyDescent="0.35">
      <c r="A6838" s="3"/>
      <c r="B6838" s="2"/>
      <c r="C6838" s="2"/>
      <c r="D6838" s="2" t="b">
        <f>IF(AND(NOT(ISBLANK(Table1[[#This Row],[Fetal Sex (Male, Female or Unknown)]])),ISNUMBER(Table1[[#This Row],[Birthweight (grams)]]),ISNUMBER(Table1[[#This Row],[Gestation (days)]])),TRUE,FALSE)</f>
        <v>0</v>
      </c>
      <c r="E6838" s="2" t="str">
        <f>IF(Table1[[#This Row],[Is Data Valid]]=TRUE,IF(Table1[[#This Row],[Fetal Sex (Male, Female or Unknown)]]="Male",Backend!$C$6,IF(Table1[[#This Row],[Fetal Sex (Male, Female or Unknown)]]="Female",Backend!$C$7,IF(Table1[[#This Row],[Fetal Sex (Male, Female or Unknown)]]="Unknown",Backend!$C$8,"Error"))),"")</f>
        <v/>
      </c>
      <c r="F6838" s="8" t="str">
        <f>IF(Table1[[#This Row],[Is Data Valid]]=TRUE,EXP(0.578+0.332*((Table1[[#This Row],[Gestation (days)]]+0.5)/7)-0.00354*((Table1[[#This Row],[Gestation (days)]]+0.5)/7)^2)*Table1[[#This Row],[BW40_3705]],"")</f>
        <v/>
      </c>
      <c r="G6838" s="2" t="str">
        <f>IF(Table1[[#This Row],[Is Data Valid]]=TRUE,((Table1[[#This Row],[Birthweight (grams)]]/Table1[[#This Row],[BW_GA]])-1)/(Backend!$B$4/100*Table1[[#This Row],[BW40_3705]]),"")</f>
        <v/>
      </c>
      <c r="H6838" s="7" t="str">
        <f>IF(Table1[[#This Row],[Is Data Valid]]=TRUE,((Table1[[#This Row],[Birthweight (grams)]]*0.9/Table1[[#This Row],[BW_GA]])-1)/(Backend!$B$4/100*Table1[[#This Row],[BW40_3705]]),"")</f>
        <v/>
      </c>
      <c r="I6838" s="7" t="str">
        <f>IF(Table1[[#This Row],[Is Data Valid]]=TRUE,((Table1[[#This Row],[Birthweight (grams)]]*1.1/Table1[[#This Row],[BW_GA]])-1)/(Backend!$B$4/100*Table1[[#This Row],[BW40_3705]]),"")</f>
        <v/>
      </c>
      <c r="J6838" s="7" t="str">
        <f>IF(Table1[[#This Row],[Is Data Valid]]=TRUE,_xlfn.NORM.S.DIST(Table1[[#This Row],[Birthweight Z-Score]],TRUE)*100,"")</f>
        <v/>
      </c>
      <c r="K6838" s="7" t="str">
        <f>IF(Table1[[#This Row],[Is Data Valid]]=TRUE,_xlfn.NORM.S.DIST(Table1[[#This Row],[Birthweight Z-Score (BW-10%)]],TRUE)*100,"")</f>
        <v/>
      </c>
      <c r="L6838" s="7" t="str">
        <f>IF(Table1[[#This Row],[Is Data Valid]]=TRUE,_xlfn.NORM.S.DIST(Table1[[#This Row],[Birthweight Z-Score (BW+10%)]],TRUE)*100,"")</f>
        <v/>
      </c>
    </row>
    <row r="6839" spans="1:12" x14ac:dyDescent="0.35">
      <c r="A6839" s="3"/>
      <c r="B6839" s="2"/>
      <c r="C6839" s="2"/>
      <c r="D6839" s="2" t="b">
        <f>IF(AND(NOT(ISBLANK(Table1[[#This Row],[Fetal Sex (Male, Female or Unknown)]])),ISNUMBER(Table1[[#This Row],[Birthweight (grams)]]),ISNUMBER(Table1[[#This Row],[Gestation (days)]])),TRUE,FALSE)</f>
        <v>0</v>
      </c>
      <c r="E6839" s="2" t="str">
        <f>IF(Table1[[#This Row],[Is Data Valid]]=TRUE,IF(Table1[[#This Row],[Fetal Sex (Male, Female or Unknown)]]="Male",Backend!$C$6,IF(Table1[[#This Row],[Fetal Sex (Male, Female or Unknown)]]="Female",Backend!$C$7,IF(Table1[[#This Row],[Fetal Sex (Male, Female or Unknown)]]="Unknown",Backend!$C$8,"Error"))),"")</f>
        <v/>
      </c>
      <c r="F6839" s="8" t="str">
        <f>IF(Table1[[#This Row],[Is Data Valid]]=TRUE,EXP(0.578+0.332*((Table1[[#This Row],[Gestation (days)]]+0.5)/7)-0.00354*((Table1[[#This Row],[Gestation (days)]]+0.5)/7)^2)*Table1[[#This Row],[BW40_3705]],"")</f>
        <v/>
      </c>
      <c r="G6839" s="2" t="str">
        <f>IF(Table1[[#This Row],[Is Data Valid]]=TRUE,((Table1[[#This Row],[Birthweight (grams)]]/Table1[[#This Row],[BW_GA]])-1)/(Backend!$B$4/100*Table1[[#This Row],[BW40_3705]]),"")</f>
        <v/>
      </c>
      <c r="H6839" s="7" t="str">
        <f>IF(Table1[[#This Row],[Is Data Valid]]=TRUE,((Table1[[#This Row],[Birthweight (grams)]]*0.9/Table1[[#This Row],[BW_GA]])-1)/(Backend!$B$4/100*Table1[[#This Row],[BW40_3705]]),"")</f>
        <v/>
      </c>
      <c r="I6839" s="7" t="str">
        <f>IF(Table1[[#This Row],[Is Data Valid]]=TRUE,((Table1[[#This Row],[Birthweight (grams)]]*1.1/Table1[[#This Row],[BW_GA]])-1)/(Backend!$B$4/100*Table1[[#This Row],[BW40_3705]]),"")</f>
        <v/>
      </c>
      <c r="J6839" s="7" t="str">
        <f>IF(Table1[[#This Row],[Is Data Valid]]=TRUE,_xlfn.NORM.S.DIST(Table1[[#This Row],[Birthweight Z-Score]],TRUE)*100,"")</f>
        <v/>
      </c>
      <c r="K6839" s="7" t="str">
        <f>IF(Table1[[#This Row],[Is Data Valid]]=TRUE,_xlfn.NORM.S.DIST(Table1[[#This Row],[Birthweight Z-Score (BW-10%)]],TRUE)*100,"")</f>
        <v/>
      </c>
      <c r="L6839" s="7" t="str">
        <f>IF(Table1[[#This Row],[Is Data Valid]]=TRUE,_xlfn.NORM.S.DIST(Table1[[#This Row],[Birthweight Z-Score (BW+10%)]],TRUE)*100,"")</f>
        <v/>
      </c>
    </row>
    <row r="6840" spans="1:12" x14ac:dyDescent="0.35">
      <c r="A6840" s="3"/>
      <c r="B6840" s="2"/>
      <c r="C6840" s="2"/>
      <c r="D6840" s="2" t="b">
        <f>IF(AND(NOT(ISBLANK(Table1[[#This Row],[Fetal Sex (Male, Female or Unknown)]])),ISNUMBER(Table1[[#This Row],[Birthweight (grams)]]),ISNUMBER(Table1[[#This Row],[Gestation (days)]])),TRUE,FALSE)</f>
        <v>0</v>
      </c>
      <c r="E6840" s="2" t="str">
        <f>IF(Table1[[#This Row],[Is Data Valid]]=TRUE,IF(Table1[[#This Row],[Fetal Sex (Male, Female or Unknown)]]="Male",Backend!$C$6,IF(Table1[[#This Row],[Fetal Sex (Male, Female or Unknown)]]="Female",Backend!$C$7,IF(Table1[[#This Row],[Fetal Sex (Male, Female or Unknown)]]="Unknown",Backend!$C$8,"Error"))),"")</f>
        <v/>
      </c>
      <c r="F6840" s="8" t="str">
        <f>IF(Table1[[#This Row],[Is Data Valid]]=TRUE,EXP(0.578+0.332*((Table1[[#This Row],[Gestation (days)]]+0.5)/7)-0.00354*((Table1[[#This Row],[Gestation (days)]]+0.5)/7)^2)*Table1[[#This Row],[BW40_3705]],"")</f>
        <v/>
      </c>
      <c r="G6840" s="2" t="str">
        <f>IF(Table1[[#This Row],[Is Data Valid]]=TRUE,((Table1[[#This Row],[Birthweight (grams)]]/Table1[[#This Row],[BW_GA]])-1)/(Backend!$B$4/100*Table1[[#This Row],[BW40_3705]]),"")</f>
        <v/>
      </c>
      <c r="H6840" s="7" t="str">
        <f>IF(Table1[[#This Row],[Is Data Valid]]=TRUE,((Table1[[#This Row],[Birthweight (grams)]]*0.9/Table1[[#This Row],[BW_GA]])-1)/(Backend!$B$4/100*Table1[[#This Row],[BW40_3705]]),"")</f>
        <v/>
      </c>
      <c r="I6840" s="7" t="str">
        <f>IF(Table1[[#This Row],[Is Data Valid]]=TRUE,((Table1[[#This Row],[Birthweight (grams)]]*1.1/Table1[[#This Row],[BW_GA]])-1)/(Backend!$B$4/100*Table1[[#This Row],[BW40_3705]]),"")</f>
        <v/>
      </c>
      <c r="J6840" s="7" t="str">
        <f>IF(Table1[[#This Row],[Is Data Valid]]=TRUE,_xlfn.NORM.S.DIST(Table1[[#This Row],[Birthweight Z-Score]],TRUE)*100,"")</f>
        <v/>
      </c>
      <c r="K6840" s="7" t="str">
        <f>IF(Table1[[#This Row],[Is Data Valid]]=TRUE,_xlfn.NORM.S.DIST(Table1[[#This Row],[Birthweight Z-Score (BW-10%)]],TRUE)*100,"")</f>
        <v/>
      </c>
      <c r="L6840" s="7" t="str">
        <f>IF(Table1[[#This Row],[Is Data Valid]]=TRUE,_xlfn.NORM.S.DIST(Table1[[#This Row],[Birthweight Z-Score (BW+10%)]],TRUE)*100,"")</f>
        <v/>
      </c>
    </row>
    <row r="6841" spans="1:12" x14ac:dyDescent="0.35">
      <c r="A6841" s="3"/>
      <c r="B6841" s="2"/>
      <c r="C6841" s="2"/>
      <c r="D6841" s="2" t="b">
        <f>IF(AND(NOT(ISBLANK(Table1[[#This Row],[Fetal Sex (Male, Female or Unknown)]])),ISNUMBER(Table1[[#This Row],[Birthweight (grams)]]),ISNUMBER(Table1[[#This Row],[Gestation (days)]])),TRUE,FALSE)</f>
        <v>0</v>
      </c>
      <c r="E6841" s="2" t="str">
        <f>IF(Table1[[#This Row],[Is Data Valid]]=TRUE,IF(Table1[[#This Row],[Fetal Sex (Male, Female or Unknown)]]="Male",Backend!$C$6,IF(Table1[[#This Row],[Fetal Sex (Male, Female or Unknown)]]="Female",Backend!$C$7,IF(Table1[[#This Row],[Fetal Sex (Male, Female or Unknown)]]="Unknown",Backend!$C$8,"Error"))),"")</f>
        <v/>
      </c>
      <c r="F6841" s="8" t="str">
        <f>IF(Table1[[#This Row],[Is Data Valid]]=TRUE,EXP(0.578+0.332*((Table1[[#This Row],[Gestation (days)]]+0.5)/7)-0.00354*((Table1[[#This Row],[Gestation (days)]]+0.5)/7)^2)*Table1[[#This Row],[BW40_3705]],"")</f>
        <v/>
      </c>
      <c r="G6841" s="2" t="str">
        <f>IF(Table1[[#This Row],[Is Data Valid]]=TRUE,((Table1[[#This Row],[Birthweight (grams)]]/Table1[[#This Row],[BW_GA]])-1)/(Backend!$B$4/100*Table1[[#This Row],[BW40_3705]]),"")</f>
        <v/>
      </c>
      <c r="H6841" s="7" t="str">
        <f>IF(Table1[[#This Row],[Is Data Valid]]=TRUE,((Table1[[#This Row],[Birthweight (grams)]]*0.9/Table1[[#This Row],[BW_GA]])-1)/(Backend!$B$4/100*Table1[[#This Row],[BW40_3705]]),"")</f>
        <v/>
      </c>
      <c r="I6841" s="7" t="str">
        <f>IF(Table1[[#This Row],[Is Data Valid]]=TRUE,((Table1[[#This Row],[Birthweight (grams)]]*1.1/Table1[[#This Row],[BW_GA]])-1)/(Backend!$B$4/100*Table1[[#This Row],[BW40_3705]]),"")</f>
        <v/>
      </c>
      <c r="J6841" s="7" t="str">
        <f>IF(Table1[[#This Row],[Is Data Valid]]=TRUE,_xlfn.NORM.S.DIST(Table1[[#This Row],[Birthweight Z-Score]],TRUE)*100,"")</f>
        <v/>
      </c>
      <c r="K6841" s="7" t="str">
        <f>IF(Table1[[#This Row],[Is Data Valid]]=TRUE,_xlfn.NORM.S.DIST(Table1[[#This Row],[Birthweight Z-Score (BW-10%)]],TRUE)*100,"")</f>
        <v/>
      </c>
      <c r="L6841" s="7" t="str">
        <f>IF(Table1[[#This Row],[Is Data Valid]]=TRUE,_xlfn.NORM.S.DIST(Table1[[#This Row],[Birthweight Z-Score (BW+10%)]],TRUE)*100,"")</f>
        <v/>
      </c>
    </row>
    <row r="6842" spans="1:12" x14ac:dyDescent="0.35">
      <c r="A6842" s="3"/>
      <c r="B6842" s="2"/>
      <c r="C6842" s="2"/>
      <c r="D6842" s="2" t="b">
        <f>IF(AND(NOT(ISBLANK(Table1[[#This Row],[Fetal Sex (Male, Female or Unknown)]])),ISNUMBER(Table1[[#This Row],[Birthweight (grams)]]),ISNUMBER(Table1[[#This Row],[Gestation (days)]])),TRUE,FALSE)</f>
        <v>0</v>
      </c>
      <c r="E6842" s="2" t="str">
        <f>IF(Table1[[#This Row],[Is Data Valid]]=TRUE,IF(Table1[[#This Row],[Fetal Sex (Male, Female or Unknown)]]="Male",Backend!$C$6,IF(Table1[[#This Row],[Fetal Sex (Male, Female or Unknown)]]="Female",Backend!$C$7,IF(Table1[[#This Row],[Fetal Sex (Male, Female or Unknown)]]="Unknown",Backend!$C$8,"Error"))),"")</f>
        <v/>
      </c>
      <c r="F6842" s="8" t="str">
        <f>IF(Table1[[#This Row],[Is Data Valid]]=TRUE,EXP(0.578+0.332*((Table1[[#This Row],[Gestation (days)]]+0.5)/7)-0.00354*((Table1[[#This Row],[Gestation (days)]]+0.5)/7)^2)*Table1[[#This Row],[BW40_3705]],"")</f>
        <v/>
      </c>
      <c r="G6842" s="2" t="str">
        <f>IF(Table1[[#This Row],[Is Data Valid]]=TRUE,((Table1[[#This Row],[Birthweight (grams)]]/Table1[[#This Row],[BW_GA]])-1)/(Backend!$B$4/100*Table1[[#This Row],[BW40_3705]]),"")</f>
        <v/>
      </c>
      <c r="H6842" s="7" t="str">
        <f>IF(Table1[[#This Row],[Is Data Valid]]=TRUE,((Table1[[#This Row],[Birthweight (grams)]]*0.9/Table1[[#This Row],[BW_GA]])-1)/(Backend!$B$4/100*Table1[[#This Row],[BW40_3705]]),"")</f>
        <v/>
      </c>
      <c r="I6842" s="7" t="str">
        <f>IF(Table1[[#This Row],[Is Data Valid]]=TRUE,((Table1[[#This Row],[Birthweight (grams)]]*1.1/Table1[[#This Row],[BW_GA]])-1)/(Backend!$B$4/100*Table1[[#This Row],[BW40_3705]]),"")</f>
        <v/>
      </c>
      <c r="J6842" s="7" t="str">
        <f>IF(Table1[[#This Row],[Is Data Valid]]=TRUE,_xlfn.NORM.S.DIST(Table1[[#This Row],[Birthweight Z-Score]],TRUE)*100,"")</f>
        <v/>
      </c>
      <c r="K6842" s="7" t="str">
        <f>IF(Table1[[#This Row],[Is Data Valid]]=TRUE,_xlfn.NORM.S.DIST(Table1[[#This Row],[Birthweight Z-Score (BW-10%)]],TRUE)*100,"")</f>
        <v/>
      </c>
      <c r="L6842" s="7" t="str">
        <f>IF(Table1[[#This Row],[Is Data Valid]]=TRUE,_xlfn.NORM.S.DIST(Table1[[#This Row],[Birthweight Z-Score (BW+10%)]],TRUE)*100,"")</f>
        <v/>
      </c>
    </row>
    <row r="6843" spans="1:12" x14ac:dyDescent="0.35">
      <c r="A6843" s="3"/>
      <c r="B6843" s="2"/>
      <c r="C6843" s="2"/>
      <c r="D6843" s="2" t="b">
        <f>IF(AND(NOT(ISBLANK(Table1[[#This Row],[Fetal Sex (Male, Female or Unknown)]])),ISNUMBER(Table1[[#This Row],[Birthweight (grams)]]),ISNUMBER(Table1[[#This Row],[Gestation (days)]])),TRUE,FALSE)</f>
        <v>0</v>
      </c>
      <c r="E6843" s="2" t="str">
        <f>IF(Table1[[#This Row],[Is Data Valid]]=TRUE,IF(Table1[[#This Row],[Fetal Sex (Male, Female or Unknown)]]="Male",Backend!$C$6,IF(Table1[[#This Row],[Fetal Sex (Male, Female or Unknown)]]="Female",Backend!$C$7,IF(Table1[[#This Row],[Fetal Sex (Male, Female or Unknown)]]="Unknown",Backend!$C$8,"Error"))),"")</f>
        <v/>
      </c>
      <c r="F6843" s="8" t="str">
        <f>IF(Table1[[#This Row],[Is Data Valid]]=TRUE,EXP(0.578+0.332*((Table1[[#This Row],[Gestation (days)]]+0.5)/7)-0.00354*((Table1[[#This Row],[Gestation (days)]]+0.5)/7)^2)*Table1[[#This Row],[BW40_3705]],"")</f>
        <v/>
      </c>
      <c r="G6843" s="2" t="str">
        <f>IF(Table1[[#This Row],[Is Data Valid]]=TRUE,((Table1[[#This Row],[Birthweight (grams)]]/Table1[[#This Row],[BW_GA]])-1)/(Backend!$B$4/100*Table1[[#This Row],[BW40_3705]]),"")</f>
        <v/>
      </c>
      <c r="H6843" s="7" t="str">
        <f>IF(Table1[[#This Row],[Is Data Valid]]=TRUE,((Table1[[#This Row],[Birthweight (grams)]]*0.9/Table1[[#This Row],[BW_GA]])-1)/(Backend!$B$4/100*Table1[[#This Row],[BW40_3705]]),"")</f>
        <v/>
      </c>
      <c r="I6843" s="7" t="str">
        <f>IF(Table1[[#This Row],[Is Data Valid]]=TRUE,((Table1[[#This Row],[Birthweight (grams)]]*1.1/Table1[[#This Row],[BW_GA]])-1)/(Backend!$B$4/100*Table1[[#This Row],[BW40_3705]]),"")</f>
        <v/>
      </c>
      <c r="J6843" s="7" t="str">
        <f>IF(Table1[[#This Row],[Is Data Valid]]=TRUE,_xlfn.NORM.S.DIST(Table1[[#This Row],[Birthweight Z-Score]],TRUE)*100,"")</f>
        <v/>
      </c>
      <c r="K6843" s="7" t="str">
        <f>IF(Table1[[#This Row],[Is Data Valid]]=TRUE,_xlfn.NORM.S.DIST(Table1[[#This Row],[Birthweight Z-Score (BW-10%)]],TRUE)*100,"")</f>
        <v/>
      </c>
      <c r="L6843" s="7" t="str">
        <f>IF(Table1[[#This Row],[Is Data Valid]]=TRUE,_xlfn.NORM.S.DIST(Table1[[#This Row],[Birthweight Z-Score (BW+10%)]],TRUE)*100,"")</f>
        <v/>
      </c>
    </row>
    <row r="6844" spans="1:12" x14ac:dyDescent="0.35">
      <c r="A6844" s="3"/>
      <c r="B6844" s="2"/>
      <c r="C6844" s="2"/>
      <c r="D6844" s="2" t="b">
        <f>IF(AND(NOT(ISBLANK(Table1[[#This Row],[Fetal Sex (Male, Female or Unknown)]])),ISNUMBER(Table1[[#This Row],[Birthweight (grams)]]),ISNUMBER(Table1[[#This Row],[Gestation (days)]])),TRUE,FALSE)</f>
        <v>0</v>
      </c>
      <c r="E6844" s="2" t="str">
        <f>IF(Table1[[#This Row],[Is Data Valid]]=TRUE,IF(Table1[[#This Row],[Fetal Sex (Male, Female or Unknown)]]="Male",Backend!$C$6,IF(Table1[[#This Row],[Fetal Sex (Male, Female or Unknown)]]="Female",Backend!$C$7,IF(Table1[[#This Row],[Fetal Sex (Male, Female or Unknown)]]="Unknown",Backend!$C$8,"Error"))),"")</f>
        <v/>
      </c>
      <c r="F6844" s="8" t="str">
        <f>IF(Table1[[#This Row],[Is Data Valid]]=TRUE,EXP(0.578+0.332*((Table1[[#This Row],[Gestation (days)]]+0.5)/7)-0.00354*((Table1[[#This Row],[Gestation (days)]]+0.5)/7)^2)*Table1[[#This Row],[BW40_3705]],"")</f>
        <v/>
      </c>
      <c r="G6844" s="2" t="str">
        <f>IF(Table1[[#This Row],[Is Data Valid]]=TRUE,((Table1[[#This Row],[Birthweight (grams)]]/Table1[[#This Row],[BW_GA]])-1)/(Backend!$B$4/100*Table1[[#This Row],[BW40_3705]]),"")</f>
        <v/>
      </c>
      <c r="H6844" s="7" t="str">
        <f>IF(Table1[[#This Row],[Is Data Valid]]=TRUE,((Table1[[#This Row],[Birthweight (grams)]]*0.9/Table1[[#This Row],[BW_GA]])-1)/(Backend!$B$4/100*Table1[[#This Row],[BW40_3705]]),"")</f>
        <v/>
      </c>
      <c r="I6844" s="7" t="str">
        <f>IF(Table1[[#This Row],[Is Data Valid]]=TRUE,((Table1[[#This Row],[Birthweight (grams)]]*1.1/Table1[[#This Row],[BW_GA]])-1)/(Backend!$B$4/100*Table1[[#This Row],[BW40_3705]]),"")</f>
        <v/>
      </c>
      <c r="J6844" s="7" t="str">
        <f>IF(Table1[[#This Row],[Is Data Valid]]=TRUE,_xlfn.NORM.S.DIST(Table1[[#This Row],[Birthweight Z-Score]],TRUE)*100,"")</f>
        <v/>
      </c>
      <c r="K6844" s="7" t="str">
        <f>IF(Table1[[#This Row],[Is Data Valid]]=TRUE,_xlfn.NORM.S.DIST(Table1[[#This Row],[Birthweight Z-Score (BW-10%)]],TRUE)*100,"")</f>
        <v/>
      </c>
      <c r="L6844" s="7" t="str">
        <f>IF(Table1[[#This Row],[Is Data Valid]]=TRUE,_xlfn.NORM.S.DIST(Table1[[#This Row],[Birthweight Z-Score (BW+10%)]],TRUE)*100,"")</f>
        <v/>
      </c>
    </row>
    <row r="6845" spans="1:12" x14ac:dyDescent="0.35">
      <c r="A6845" s="3"/>
      <c r="B6845" s="2"/>
      <c r="C6845" s="2"/>
      <c r="D6845" s="2" t="b">
        <f>IF(AND(NOT(ISBLANK(Table1[[#This Row],[Fetal Sex (Male, Female or Unknown)]])),ISNUMBER(Table1[[#This Row],[Birthweight (grams)]]),ISNUMBER(Table1[[#This Row],[Gestation (days)]])),TRUE,FALSE)</f>
        <v>0</v>
      </c>
      <c r="E6845" s="2" t="str">
        <f>IF(Table1[[#This Row],[Is Data Valid]]=TRUE,IF(Table1[[#This Row],[Fetal Sex (Male, Female or Unknown)]]="Male",Backend!$C$6,IF(Table1[[#This Row],[Fetal Sex (Male, Female or Unknown)]]="Female",Backend!$C$7,IF(Table1[[#This Row],[Fetal Sex (Male, Female or Unknown)]]="Unknown",Backend!$C$8,"Error"))),"")</f>
        <v/>
      </c>
      <c r="F6845" s="8" t="str">
        <f>IF(Table1[[#This Row],[Is Data Valid]]=TRUE,EXP(0.578+0.332*((Table1[[#This Row],[Gestation (days)]]+0.5)/7)-0.00354*((Table1[[#This Row],[Gestation (days)]]+0.5)/7)^2)*Table1[[#This Row],[BW40_3705]],"")</f>
        <v/>
      </c>
      <c r="G6845" s="2" t="str">
        <f>IF(Table1[[#This Row],[Is Data Valid]]=TRUE,((Table1[[#This Row],[Birthweight (grams)]]/Table1[[#This Row],[BW_GA]])-1)/(Backend!$B$4/100*Table1[[#This Row],[BW40_3705]]),"")</f>
        <v/>
      </c>
      <c r="H6845" s="7" t="str">
        <f>IF(Table1[[#This Row],[Is Data Valid]]=TRUE,((Table1[[#This Row],[Birthweight (grams)]]*0.9/Table1[[#This Row],[BW_GA]])-1)/(Backend!$B$4/100*Table1[[#This Row],[BW40_3705]]),"")</f>
        <v/>
      </c>
      <c r="I6845" s="7" t="str">
        <f>IF(Table1[[#This Row],[Is Data Valid]]=TRUE,((Table1[[#This Row],[Birthweight (grams)]]*1.1/Table1[[#This Row],[BW_GA]])-1)/(Backend!$B$4/100*Table1[[#This Row],[BW40_3705]]),"")</f>
        <v/>
      </c>
      <c r="J6845" s="7" t="str">
        <f>IF(Table1[[#This Row],[Is Data Valid]]=TRUE,_xlfn.NORM.S.DIST(Table1[[#This Row],[Birthweight Z-Score]],TRUE)*100,"")</f>
        <v/>
      </c>
      <c r="K6845" s="7" t="str">
        <f>IF(Table1[[#This Row],[Is Data Valid]]=TRUE,_xlfn.NORM.S.DIST(Table1[[#This Row],[Birthweight Z-Score (BW-10%)]],TRUE)*100,"")</f>
        <v/>
      </c>
      <c r="L6845" s="7" t="str">
        <f>IF(Table1[[#This Row],[Is Data Valid]]=TRUE,_xlfn.NORM.S.DIST(Table1[[#This Row],[Birthweight Z-Score (BW+10%)]],TRUE)*100,"")</f>
        <v/>
      </c>
    </row>
    <row r="6846" spans="1:12" x14ac:dyDescent="0.35">
      <c r="A6846" s="3"/>
      <c r="B6846" s="2"/>
      <c r="C6846" s="2"/>
      <c r="D6846" s="2" t="b">
        <f>IF(AND(NOT(ISBLANK(Table1[[#This Row],[Fetal Sex (Male, Female or Unknown)]])),ISNUMBER(Table1[[#This Row],[Birthweight (grams)]]),ISNUMBER(Table1[[#This Row],[Gestation (days)]])),TRUE,FALSE)</f>
        <v>0</v>
      </c>
      <c r="E6846" s="2" t="str">
        <f>IF(Table1[[#This Row],[Is Data Valid]]=TRUE,IF(Table1[[#This Row],[Fetal Sex (Male, Female or Unknown)]]="Male",Backend!$C$6,IF(Table1[[#This Row],[Fetal Sex (Male, Female or Unknown)]]="Female",Backend!$C$7,IF(Table1[[#This Row],[Fetal Sex (Male, Female or Unknown)]]="Unknown",Backend!$C$8,"Error"))),"")</f>
        <v/>
      </c>
      <c r="F6846" s="8" t="str">
        <f>IF(Table1[[#This Row],[Is Data Valid]]=TRUE,EXP(0.578+0.332*((Table1[[#This Row],[Gestation (days)]]+0.5)/7)-0.00354*((Table1[[#This Row],[Gestation (days)]]+0.5)/7)^2)*Table1[[#This Row],[BW40_3705]],"")</f>
        <v/>
      </c>
      <c r="G6846" s="2" t="str">
        <f>IF(Table1[[#This Row],[Is Data Valid]]=TRUE,((Table1[[#This Row],[Birthweight (grams)]]/Table1[[#This Row],[BW_GA]])-1)/(Backend!$B$4/100*Table1[[#This Row],[BW40_3705]]),"")</f>
        <v/>
      </c>
      <c r="H6846" s="7" t="str">
        <f>IF(Table1[[#This Row],[Is Data Valid]]=TRUE,((Table1[[#This Row],[Birthweight (grams)]]*0.9/Table1[[#This Row],[BW_GA]])-1)/(Backend!$B$4/100*Table1[[#This Row],[BW40_3705]]),"")</f>
        <v/>
      </c>
      <c r="I6846" s="7" t="str">
        <f>IF(Table1[[#This Row],[Is Data Valid]]=TRUE,((Table1[[#This Row],[Birthweight (grams)]]*1.1/Table1[[#This Row],[BW_GA]])-1)/(Backend!$B$4/100*Table1[[#This Row],[BW40_3705]]),"")</f>
        <v/>
      </c>
      <c r="J6846" s="7" t="str">
        <f>IF(Table1[[#This Row],[Is Data Valid]]=TRUE,_xlfn.NORM.S.DIST(Table1[[#This Row],[Birthweight Z-Score]],TRUE)*100,"")</f>
        <v/>
      </c>
      <c r="K6846" s="7" t="str">
        <f>IF(Table1[[#This Row],[Is Data Valid]]=TRUE,_xlfn.NORM.S.DIST(Table1[[#This Row],[Birthweight Z-Score (BW-10%)]],TRUE)*100,"")</f>
        <v/>
      </c>
      <c r="L6846" s="7" t="str">
        <f>IF(Table1[[#This Row],[Is Data Valid]]=TRUE,_xlfn.NORM.S.DIST(Table1[[#This Row],[Birthweight Z-Score (BW+10%)]],TRUE)*100,"")</f>
        <v/>
      </c>
    </row>
    <row r="6847" spans="1:12" x14ac:dyDescent="0.35">
      <c r="A6847" s="3"/>
      <c r="B6847" s="2"/>
      <c r="C6847" s="2"/>
      <c r="D6847" s="2" t="b">
        <f>IF(AND(NOT(ISBLANK(Table1[[#This Row],[Fetal Sex (Male, Female or Unknown)]])),ISNUMBER(Table1[[#This Row],[Birthweight (grams)]]),ISNUMBER(Table1[[#This Row],[Gestation (days)]])),TRUE,FALSE)</f>
        <v>0</v>
      </c>
      <c r="E6847" s="2" t="str">
        <f>IF(Table1[[#This Row],[Is Data Valid]]=TRUE,IF(Table1[[#This Row],[Fetal Sex (Male, Female or Unknown)]]="Male",Backend!$C$6,IF(Table1[[#This Row],[Fetal Sex (Male, Female or Unknown)]]="Female",Backend!$C$7,IF(Table1[[#This Row],[Fetal Sex (Male, Female or Unknown)]]="Unknown",Backend!$C$8,"Error"))),"")</f>
        <v/>
      </c>
      <c r="F6847" s="8" t="str">
        <f>IF(Table1[[#This Row],[Is Data Valid]]=TRUE,EXP(0.578+0.332*((Table1[[#This Row],[Gestation (days)]]+0.5)/7)-0.00354*((Table1[[#This Row],[Gestation (days)]]+0.5)/7)^2)*Table1[[#This Row],[BW40_3705]],"")</f>
        <v/>
      </c>
      <c r="G6847" s="2" t="str">
        <f>IF(Table1[[#This Row],[Is Data Valid]]=TRUE,((Table1[[#This Row],[Birthweight (grams)]]/Table1[[#This Row],[BW_GA]])-1)/(Backend!$B$4/100*Table1[[#This Row],[BW40_3705]]),"")</f>
        <v/>
      </c>
      <c r="H6847" s="7" t="str">
        <f>IF(Table1[[#This Row],[Is Data Valid]]=TRUE,((Table1[[#This Row],[Birthweight (grams)]]*0.9/Table1[[#This Row],[BW_GA]])-1)/(Backend!$B$4/100*Table1[[#This Row],[BW40_3705]]),"")</f>
        <v/>
      </c>
      <c r="I6847" s="7" t="str">
        <f>IF(Table1[[#This Row],[Is Data Valid]]=TRUE,((Table1[[#This Row],[Birthweight (grams)]]*1.1/Table1[[#This Row],[BW_GA]])-1)/(Backend!$B$4/100*Table1[[#This Row],[BW40_3705]]),"")</f>
        <v/>
      </c>
      <c r="J6847" s="7" t="str">
        <f>IF(Table1[[#This Row],[Is Data Valid]]=TRUE,_xlfn.NORM.S.DIST(Table1[[#This Row],[Birthweight Z-Score]],TRUE)*100,"")</f>
        <v/>
      </c>
      <c r="K6847" s="7" t="str">
        <f>IF(Table1[[#This Row],[Is Data Valid]]=TRUE,_xlfn.NORM.S.DIST(Table1[[#This Row],[Birthweight Z-Score (BW-10%)]],TRUE)*100,"")</f>
        <v/>
      </c>
      <c r="L6847" s="7" t="str">
        <f>IF(Table1[[#This Row],[Is Data Valid]]=TRUE,_xlfn.NORM.S.DIST(Table1[[#This Row],[Birthweight Z-Score (BW+10%)]],TRUE)*100,"")</f>
        <v/>
      </c>
    </row>
    <row r="6848" spans="1:12" x14ac:dyDescent="0.35">
      <c r="A6848" s="3"/>
      <c r="B6848" s="2"/>
      <c r="C6848" s="2"/>
      <c r="D6848" s="2" t="b">
        <f>IF(AND(NOT(ISBLANK(Table1[[#This Row],[Fetal Sex (Male, Female or Unknown)]])),ISNUMBER(Table1[[#This Row],[Birthweight (grams)]]),ISNUMBER(Table1[[#This Row],[Gestation (days)]])),TRUE,FALSE)</f>
        <v>0</v>
      </c>
      <c r="E6848" s="2" t="str">
        <f>IF(Table1[[#This Row],[Is Data Valid]]=TRUE,IF(Table1[[#This Row],[Fetal Sex (Male, Female or Unknown)]]="Male",Backend!$C$6,IF(Table1[[#This Row],[Fetal Sex (Male, Female or Unknown)]]="Female",Backend!$C$7,IF(Table1[[#This Row],[Fetal Sex (Male, Female or Unknown)]]="Unknown",Backend!$C$8,"Error"))),"")</f>
        <v/>
      </c>
      <c r="F6848" s="8" t="str">
        <f>IF(Table1[[#This Row],[Is Data Valid]]=TRUE,EXP(0.578+0.332*((Table1[[#This Row],[Gestation (days)]]+0.5)/7)-0.00354*((Table1[[#This Row],[Gestation (days)]]+0.5)/7)^2)*Table1[[#This Row],[BW40_3705]],"")</f>
        <v/>
      </c>
      <c r="G6848" s="2" t="str">
        <f>IF(Table1[[#This Row],[Is Data Valid]]=TRUE,((Table1[[#This Row],[Birthweight (grams)]]/Table1[[#This Row],[BW_GA]])-1)/(Backend!$B$4/100*Table1[[#This Row],[BW40_3705]]),"")</f>
        <v/>
      </c>
      <c r="H6848" s="7" t="str">
        <f>IF(Table1[[#This Row],[Is Data Valid]]=TRUE,((Table1[[#This Row],[Birthweight (grams)]]*0.9/Table1[[#This Row],[BW_GA]])-1)/(Backend!$B$4/100*Table1[[#This Row],[BW40_3705]]),"")</f>
        <v/>
      </c>
      <c r="I6848" s="7" t="str">
        <f>IF(Table1[[#This Row],[Is Data Valid]]=TRUE,((Table1[[#This Row],[Birthweight (grams)]]*1.1/Table1[[#This Row],[BW_GA]])-1)/(Backend!$B$4/100*Table1[[#This Row],[BW40_3705]]),"")</f>
        <v/>
      </c>
      <c r="J6848" s="7" t="str">
        <f>IF(Table1[[#This Row],[Is Data Valid]]=TRUE,_xlfn.NORM.S.DIST(Table1[[#This Row],[Birthweight Z-Score]],TRUE)*100,"")</f>
        <v/>
      </c>
      <c r="K6848" s="7" t="str">
        <f>IF(Table1[[#This Row],[Is Data Valid]]=TRUE,_xlfn.NORM.S.DIST(Table1[[#This Row],[Birthweight Z-Score (BW-10%)]],TRUE)*100,"")</f>
        <v/>
      </c>
      <c r="L6848" s="7" t="str">
        <f>IF(Table1[[#This Row],[Is Data Valid]]=TRUE,_xlfn.NORM.S.DIST(Table1[[#This Row],[Birthweight Z-Score (BW+10%)]],TRUE)*100,"")</f>
        <v/>
      </c>
    </row>
    <row r="6849" spans="1:12" x14ac:dyDescent="0.35">
      <c r="A6849" s="3"/>
      <c r="B6849" s="2"/>
      <c r="C6849" s="2"/>
      <c r="D6849" s="2" t="b">
        <f>IF(AND(NOT(ISBLANK(Table1[[#This Row],[Fetal Sex (Male, Female or Unknown)]])),ISNUMBER(Table1[[#This Row],[Birthweight (grams)]]),ISNUMBER(Table1[[#This Row],[Gestation (days)]])),TRUE,FALSE)</f>
        <v>0</v>
      </c>
      <c r="E6849" s="2" t="str">
        <f>IF(Table1[[#This Row],[Is Data Valid]]=TRUE,IF(Table1[[#This Row],[Fetal Sex (Male, Female or Unknown)]]="Male",Backend!$C$6,IF(Table1[[#This Row],[Fetal Sex (Male, Female or Unknown)]]="Female",Backend!$C$7,IF(Table1[[#This Row],[Fetal Sex (Male, Female or Unknown)]]="Unknown",Backend!$C$8,"Error"))),"")</f>
        <v/>
      </c>
      <c r="F6849" s="8" t="str">
        <f>IF(Table1[[#This Row],[Is Data Valid]]=TRUE,EXP(0.578+0.332*((Table1[[#This Row],[Gestation (days)]]+0.5)/7)-0.00354*((Table1[[#This Row],[Gestation (days)]]+0.5)/7)^2)*Table1[[#This Row],[BW40_3705]],"")</f>
        <v/>
      </c>
      <c r="G6849" s="2" t="str">
        <f>IF(Table1[[#This Row],[Is Data Valid]]=TRUE,((Table1[[#This Row],[Birthweight (grams)]]/Table1[[#This Row],[BW_GA]])-1)/(Backend!$B$4/100*Table1[[#This Row],[BW40_3705]]),"")</f>
        <v/>
      </c>
      <c r="H6849" s="7" t="str">
        <f>IF(Table1[[#This Row],[Is Data Valid]]=TRUE,((Table1[[#This Row],[Birthweight (grams)]]*0.9/Table1[[#This Row],[BW_GA]])-1)/(Backend!$B$4/100*Table1[[#This Row],[BW40_3705]]),"")</f>
        <v/>
      </c>
      <c r="I6849" s="7" t="str">
        <f>IF(Table1[[#This Row],[Is Data Valid]]=TRUE,((Table1[[#This Row],[Birthweight (grams)]]*1.1/Table1[[#This Row],[BW_GA]])-1)/(Backend!$B$4/100*Table1[[#This Row],[BW40_3705]]),"")</f>
        <v/>
      </c>
      <c r="J6849" s="7" t="str">
        <f>IF(Table1[[#This Row],[Is Data Valid]]=TRUE,_xlfn.NORM.S.DIST(Table1[[#This Row],[Birthweight Z-Score]],TRUE)*100,"")</f>
        <v/>
      </c>
      <c r="K6849" s="7" t="str">
        <f>IF(Table1[[#This Row],[Is Data Valid]]=TRUE,_xlfn.NORM.S.DIST(Table1[[#This Row],[Birthweight Z-Score (BW-10%)]],TRUE)*100,"")</f>
        <v/>
      </c>
      <c r="L6849" s="7" t="str">
        <f>IF(Table1[[#This Row],[Is Data Valid]]=TRUE,_xlfn.NORM.S.DIST(Table1[[#This Row],[Birthweight Z-Score (BW+10%)]],TRUE)*100,"")</f>
        <v/>
      </c>
    </row>
    <row r="6850" spans="1:12" x14ac:dyDescent="0.35">
      <c r="A6850" s="3"/>
      <c r="B6850" s="2"/>
      <c r="C6850" s="2"/>
      <c r="D6850" s="2" t="b">
        <f>IF(AND(NOT(ISBLANK(Table1[[#This Row],[Fetal Sex (Male, Female or Unknown)]])),ISNUMBER(Table1[[#This Row],[Birthweight (grams)]]),ISNUMBER(Table1[[#This Row],[Gestation (days)]])),TRUE,FALSE)</f>
        <v>0</v>
      </c>
      <c r="E6850" s="2" t="str">
        <f>IF(Table1[[#This Row],[Is Data Valid]]=TRUE,IF(Table1[[#This Row],[Fetal Sex (Male, Female or Unknown)]]="Male",Backend!$C$6,IF(Table1[[#This Row],[Fetal Sex (Male, Female or Unknown)]]="Female",Backend!$C$7,IF(Table1[[#This Row],[Fetal Sex (Male, Female or Unknown)]]="Unknown",Backend!$C$8,"Error"))),"")</f>
        <v/>
      </c>
      <c r="F6850" s="8" t="str">
        <f>IF(Table1[[#This Row],[Is Data Valid]]=TRUE,EXP(0.578+0.332*((Table1[[#This Row],[Gestation (days)]]+0.5)/7)-0.00354*((Table1[[#This Row],[Gestation (days)]]+0.5)/7)^2)*Table1[[#This Row],[BW40_3705]],"")</f>
        <v/>
      </c>
      <c r="G6850" s="2" t="str">
        <f>IF(Table1[[#This Row],[Is Data Valid]]=TRUE,((Table1[[#This Row],[Birthweight (grams)]]/Table1[[#This Row],[BW_GA]])-1)/(Backend!$B$4/100*Table1[[#This Row],[BW40_3705]]),"")</f>
        <v/>
      </c>
      <c r="H6850" s="7" t="str">
        <f>IF(Table1[[#This Row],[Is Data Valid]]=TRUE,((Table1[[#This Row],[Birthweight (grams)]]*0.9/Table1[[#This Row],[BW_GA]])-1)/(Backend!$B$4/100*Table1[[#This Row],[BW40_3705]]),"")</f>
        <v/>
      </c>
      <c r="I6850" s="7" t="str">
        <f>IF(Table1[[#This Row],[Is Data Valid]]=TRUE,((Table1[[#This Row],[Birthweight (grams)]]*1.1/Table1[[#This Row],[BW_GA]])-1)/(Backend!$B$4/100*Table1[[#This Row],[BW40_3705]]),"")</f>
        <v/>
      </c>
      <c r="J6850" s="7" t="str">
        <f>IF(Table1[[#This Row],[Is Data Valid]]=TRUE,_xlfn.NORM.S.DIST(Table1[[#This Row],[Birthweight Z-Score]],TRUE)*100,"")</f>
        <v/>
      </c>
      <c r="K6850" s="7" t="str">
        <f>IF(Table1[[#This Row],[Is Data Valid]]=TRUE,_xlfn.NORM.S.DIST(Table1[[#This Row],[Birthweight Z-Score (BW-10%)]],TRUE)*100,"")</f>
        <v/>
      </c>
      <c r="L6850" s="7" t="str">
        <f>IF(Table1[[#This Row],[Is Data Valid]]=TRUE,_xlfn.NORM.S.DIST(Table1[[#This Row],[Birthweight Z-Score (BW+10%)]],TRUE)*100,"")</f>
        <v/>
      </c>
    </row>
    <row r="6851" spans="1:12" x14ac:dyDescent="0.35">
      <c r="A6851" s="3"/>
      <c r="B6851" s="2"/>
      <c r="C6851" s="2"/>
      <c r="D6851" s="2" t="b">
        <f>IF(AND(NOT(ISBLANK(Table1[[#This Row],[Fetal Sex (Male, Female or Unknown)]])),ISNUMBER(Table1[[#This Row],[Birthweight (grams)]]),ISNUMBER(Table1[[#This Row],[Gestation (days)]])),TRUE,FALSE)</f>
        <v>0</v>
      </c>
      <c r="E6851" s="2" t="str">
        <f>IF(Table1[[#This Row],[Is Data Valid]]=TRUE,IF(Table1[[#This Row],[Fetal Sex (Male, Female or Unknown)]]="Male",Backend!$C$6,IF(Table1[[#This Row],[Fetal Sex (Male, Female or Unknown)]]="Female",Backend!$C$7,IF(Table1[[#This Row],[Fetal Sex (Male, Female or Unknown)]]="Unknown",Backend!$C$8,"Error"))),"")</f>
        <v/>
      </c>
      <c r="F6851" s="8" t="str">
        <f>IF(Table1[[#This Row],[Is Data Valid]]=TRUE,EXP(0.578+0.332*((Table1[[#This Row],[Gestation (days)]]+0.5)/7)-0.00354*((Table1[[#This Row],[Gestation (days)]]+0.5)/7)^2)*Table1[[#This Row],[BW40_3705]],"")</f>
        <v/>
      </c>
      <c r="G6851" s="2" t="str">
        <f>IF(Table1[[#This Row],[Is Data Valid]]=TRUE,((Table1[[#This Row],[Birthweight (grams)]]/Table1[[#This Row],[BW_GA]])-1)/(Backend!$B$4/100*Table1[[#This Row],[BW40_3705]]),"")</f>
        <v/>
      </c>
      <c r="H6851" s="7" t="str">
        <f>IF(Table1[[#This Row],[Is Data Valid]]=TRUE,((Table1[[#This Row],[Birthweight (grams)]]*0.9/Table1[[#This Row],[BW_GA]])-1)/(Backend!$B$4/100*Table1[[#This Row],[BW40_3705]]),"")</f>
        <v/>
      </c>
      <c r="I6851" s="7" t="str">
        <f>IF(Table1[[#This Row],[Is Data Valid]]=TRUE,((Table1[[#This Row],[Birthweight (grams)]]*1.1/Table1[[#This Row],[BW_GA]])-1)/(Backend!$B$4/100*Table1[[#This Row],[BW40_3705]]),"")</f>
        <v/>
      </c>
      <c r="J6851" s="7" t="str">
        <f>IF(Table1[[#This Row],[Is Data Valid]]=TRUE,_xlfn.NORM.S.DIST(Table1[[#This Row],[Birthweight Z-Score]],TRUE)*100,"")</f>
        <v/>
      </c>
      <c r="K6851" s="7" t="str">
        <f>IF(Table1[[#This Row],[Is Data Valid]]=TRUE,_xlfn.NORM.S.DIST(Table1[[#This Row],[Birthweight Z-Score (BW-10%)]],TRUE)*100,"")</f>
        <v/>
      </c>
      <c r="L6851" s="7" t="str">
        <f>IF(Table1[[#This Row],[Is Data Valid]]=TRUE,_xlfn.NORM.S.DIST(Table1[[#This Row],[Birthweight Z-Score (BW+10%)]],TRUE)*100,"")</f>
        <v/>
      </c>
    </row>
    <row r="6852" spans="1:12" x14ac:dyDescent="0.35">
      <c r="A6852" s="3"/>
      <c r="B6852" s="2"/>
      <c r="C6852" s="2"/>
      <c r="D6852" s="2" t="b">
        <f>IF(AND(NOT(ISBLANK(Table1[[#This Row],[Fetal Sex (Male, Female or Unknown)]])),ISNUMBER(Table1[[#This Row],[Birthweight (grams)]]),ISNUMBER(Table1[[#This Row],[Gestation (days)]])),TRUE,FALSE)</f>
        <v>0</v>
      </c>
      <c r="E6852" s="2" t="str">
        <f>IF(Table1[[#This Row],[Is Data Valid]]=TRUE,IF(Table1[[#This Row],[Fetal Sex (Male, Female or Unknown)]]="Male",Backend!$C$6,IF(Table1[[#This Row],[Fetal Sex (Male, Female or Unknown)]]="Female",Backend!$C$7,IF(Table1[[#This Row],[Fetal Sex (Male, Female or Unknown)]]="Unknown",Backend!$C$8,"Error"))),"")</f>
        <v/>
      </c>
      <c r="F6852" s="8" t="str">
        <f>IF(Table1[[#This Row],[Is Data Valid]]=TRUE,EXP(0.578+0.332*((Table1[[#This Row],[Gestation (days)]]+0.5)/7)-0.00354*((Table1[[#This Row],[Gestation (days)]]+0.5)/7)^2)*Table1[[#This Row],[BW40_3705]],"")</f>
        <v/>
      </c>
      <c r="G6852" s="2" t="str">
        <f>IF(Table1[[#This Row],[Is Data Valid]]=TRUE,((Table1[[#This Row],[Birthweight (grams)]]/Table1[[#This Row],[BW_GA]])-1)/(Backend!$B$4/100*Table1[[#This Row],[BW40_3705]]),"")</f>
        <v/>
      </c>
      <c r="H6852" s="7" t="str">
        <f>IF(Table1[[#This Row],[Is Data Valid]]=TRUE,((Table1[[#This Row],[Birthweight (grams)]]*0.9/Table1[[#This Row],[BW_GA]])-1)/(Backend!$B$4/100*Table1[[#This Row],[BW40_3705]]),"")</f>
        <v/>
      </c>
      <c r="I6852" s="7" t="str">
        <f>IF(Table1[[#This Row],[Is Data Valid]]=TRUE,((Table1[[#This Row],[Birthweight (grams)]]*1.1/Table1[[#This Row],[BW_GA]])-1)/(Backend!$B$4/100*Table1[[#This Row],[BW40_3705]]),"")</f>
        <v/>
      </c>
      <c r="J6852" s="7" t="str">
        <f>IF(Table1[[#This Row],[Is Data Valid]]=TRUE,_xlfn.NORM.S.DIST(Table1[[#This Row],[Birthweight Z-Score]],TRUE)*100,"")</f>
        <v/>
      </c>
      <c r="K6852" s="7" t="str">
        <f>IF(Table1[[#This Row],[Is Data Valid]]=TRUE,_xlfn.NORM.S.DIST(Table1[[#This Row],[Birthweight Z-Score (BW-10%)]],TRUE)*100,"")</f>
        <v/>
      </c>
      <c r="L6852" s="7" t="str">
        <f>IF(Table1[[#This Row],[Is Data Valid]]=TRUE,_xlfn.NORM.S.DIST(Table1[[#This Row],[Birthweight Z-Score (BW+10%)]],TRUE)*100,"")</f>
        <v/>
      </c>
    </row>
    <row r="6853" spans="1:12" x14ac:dyDescent="0.35">
      <c r="A6853" s="3"/>
      <c r="B6853" s="2"/>
      <c r="C6853" s="2"/>
      <c r="D6853" s="2" t="b">
        <f>IF(AND(NOT(ISBLANK(Table1[[#This Row],[Fetal Sex (Male, Female or Unknown)]])),ISNUMBER(Table1[[#This Row],[Birthweight (grams)]]),ISNUMBER(Table1[[#This Row],[Gestation (days)]])),TRUE,FALSE)</f>
        <v>0</v>
      </c>
      <c r="E6853" s="2" t="str">
        <f>IF(Table1[[#This Row],[Is Data Valid]]=TRUE,IF(Table1[[#This Row],[Fetal Sex (Male, Female or Unknown)]]="Male",Backend!$C$6,IF(Table1[[#This Row],[Fetal Sex (Male, Female or Unknown)]]="Female",Backend!$C$7,IF(Table1[[#This Row],[Fetal Sex (Male, Female or Unknown)]]="Unknown",Backend!$C$8,"Error"))),"")</f>
        <v/>
      </c>
      <c r="F6853" s="8" t="str">
        <f>IF(Table1[[#This Row],[Is Data Valid]]=TRUE,EXP(0.578+0.332*((Table1[[#This Row],[Gestation (days)]]+0.5)/7)-0.00354*((Table1[[#This Row],[Gestation (days)]]+0.5)/7)^2)*Table1[[#This Row],[BW40_3705]],"")</f>
        <v/>
      </c>
      <c r="G6853" s="2" t="str">
        <f>IF(Table1[[#This Row],[Is Data Valid]]=TRUE,((Table1[[#This Row],[Birthweight (grams)]]/Table1[[#This Row],[BW_GA]])-1)/(Backend!$B$4/100*Table1[[#This Row],[BW40_3705]]),"")</f>
        <v/>
      </c>
      <c r="H6853" s="7" t="str">
        <f>IF(Table1[[#This Row],[Is Data Valid]]=TRUE,((Table1[[#This Row],[Birthweight (grams)]]*0.9/Table1[[#This Row],[BW_GA]])-1)/(Backend!$B$4/100*Table1[[#This Row],[BW40_3705]]),"")</f>
        <v/>
      </c>
      <c r="I6853" s="7" t="str">
        <f>IF(Table1[[#This Row],[Is Data Valid]]=TRUE,((Table1[[#This Row],[Birthweight (grams)]]*1.1/Table1[[#This Row],[BW_GA]])-1)/(Backend!$B$4/100*Table1[[#This Row],[BW40_3705]]),"")</f>
        <v/>
      </c>
      <c r="J6853" s="7" t="str">
        <f>IF(Table1[[#This Row],[Is Data Valid]]=TRUE,_xlfn.NORM.S.DIST(Table1[[#This Row],[Birthweight Z-Score]],TRUE)*100,"")</f>
        <v/>
      </c>
      <c r="K6853" s="7" t="str">
        <f>IF(Table1[[#This Row],[Is Data Valid]]=TRUE,_xlfn.NORM.S.DIST(Table1[[#This Row],[Birthweight Z-Score (BW-10%)]],TRUE)*100,"")</f>
        <v/>
      </c>
      <c r="L6853" s="7" t="str">
        <f>IF(Table1[[#This Row],[Is Data Valid]]=TRUE,_xlfn.NORM.S.DIST(Table1[[#This Row],[Birthweight Z-Score (BW+10%)]],TRUE)*100,"")</f>
        <v/>
      </c>
    </row>
    <row r="6854" spans="1:12" x14ac:dyDescent="0.35">
      <c r="A6854" s="3"/>
      <c r="B6854" s="2"/>
      <c r="C6854" s="2"/>
      <c r="D6854" s="2" t="b">
        <f>IF(AND(NOT(ISBLANK(Table1[[#This Row],[Fetal Sex (Male, Female or Unknown)]])),ISNUMBER(Table1[[#This Row],[Birthweight (grams)]]),ISNUMBER(Table1[[#This Row],[Gestation (days)]])),TRUE,FALSE)</f>
        <v>0</v>
      </c>
      <c r="E6854" s="2" t="str">
        <f>IF(Table1[[#This Row],[Is Data Valid]]=TRUE,IF(Table1[[#This Row],[Fetal Sex (Male, Female or Unknown)]]="Male",Backend!$C$6,IF(Table1[[#This Row],[Fetal Sex (Male, Female or Unknown)]]="Female",Backend!$C$7,IF(Table1[[#This Row],[Fetal Sex (Male, Female or Unknown)]]="Unknown",Backend!$C$8,"Error"))),"")</f>
        <v/>
      </c>
      <c r="F6854" s="8" t="str">
        <f>IF(Table1[[#This Row],[Is Data Valid]]=TRUE,EXP(0.578+0.332*((Table1[[#This Row],[Gestation (days)]]+0.5)/7)-0.00354*((Table1[[#This Row],[Gestation (days)]]+0.5)/7)^2)*Table1[[#This Row],[BW40_3705]],"")</f>
        <v/>
      </c>
      <c r="G6854" s="2" t="str">
        <f>IF(Table1[[#This Row],[Is Data Valid]]=TRUE,((Table1[[#This Row],[Birthweight (grams)]]/Table1[[#This Row],[BW_GA]])-1)/(Backend!$B$4/100*Table1[[#This Row],[BW40_3705]]),"")</f>
        <v/>
      </c>
      <c r="H6854" s="7" t="str">
        <f>IF(Table1[[#This Row],[Is Data Valid]]=TRUE,((Table1[[#This Row],[Birthweight (grams)]]*0.9/Table1[[#This Row],[BW_GA]])-1)/(Backend!$B$4/100*Table1[[#This Row],[BW40_3705]]),"")</f>
        <v/>
      </c>
      <c r="I6854" s="7" t="str">
        <f>IF(Table1[[#This Row],[Is Data Valid]]=TRUE,((Table1[[#This Row],[Birthweight (grams)]]*1.1/Table1[[#This Row],[BW_GA]])-1)/(Backend!$B$4/100*Table1[[#This Row],[BW40_3705]]),"")</f>
        <v/>
      </c>
      <c r="J6854" s="7" t="str">
        <f>IF(Table1[[#This Row],[Is Data Valid]]=TRUE,_xlfn.NORM.S.DIST(Table1[[#This Row],[Birthweight Z-Score]],TRUE)*100,"")</f>
        <v/>
      </c>
      <c r="K6854" s="7" t="str">
        <f>IF(Table1[[#This Row],[Is Data Valid]]=TRUE,_xlfn.NORM.S.DIST(Table1[[#This Row],[Birthweight Z-Score (BW-10%)]],TRUE)*100,"")</f>
        <v/>
      </c>
      <c r="L6854" s="7" t="str">
        <f>IF(Table1[[#This Row],[Is Data Valid]]=TRUE,_xlfn.NORM.S.DIST(Table1[[#This Row],[Birthweight Z-Score (BW+10%)]],TRUE)*100,"")</f>
        <v/>
      </c>
    </row>
    <row r="6855" spans="1:12" x14ac:dyDescent="0.35">
      <c r="A6855" s="3"/>
      <c r="B6855" s="2"/>
      <c r="C6855" s="2"/>
      <c r="D6855" s="2" t="b">
        <f>IF(AND(NOT(ISBLANK(Table1[[#This Row],[Fetal Sex (Male, Female or Unknown)]])),ISNUMBER(Table1[[#This Row],[Birthweight (grams)]]),ISNUMBER(Table1[[#This Row],[Gestation (days)]])),TRUE,FALSE)</f>
        <v>0</v>
      </c>
      <c r="E6855" s="2" t="str">
        <f>IF(Table1[[#This Row],[Is Data Valid]]=TRUE,IF(Table1[[#This Row],[Fetal Sex (Male, Female or Unknown)]]="Male",Backend!$C$6,IF(Table1[[#This Row],[Fetal Sex (Male, Female or Unknown)]]="Female",Backend!$C$7,IF(Table1[[#This Row],[Fetal Sex (Male, Female or Unknown)]]="Unknown",Backend!$C$8,"Error"))),"")</f>
        <v/>
      </c>
      <c r="F6855" s="8" t="str">
        <f>IF(Table1[[#This Row],[Is Data Valid]]=TRUE,EXP(0.578+0.332*((Table1[[#This Row],[Gestation (days)]]+0.5)/7)-0.00354*((Table1[[#This Row],[Gestation (days)]]+0.5)/7)^2)*Table1[[#This Row],[BW40_3705]],"")</f>
        <v/>
      </c>
      <c r="G6855" s="2" t="str">
        <f>IF(Table1[[#This Row],[Is Data Valid]]=TRUE,((Table1[[#This Row],[Birthweight (grams)]]/Table1[[#This Row],[BW_GA]])-1)/(Backend!$B$4/100*Table1[[#This Row],[BW40_3705]]),"")</f>
        <v/>
      </c>
      <c r="H6855" s="7" t="str">
        <f>IF(Table1[[#This Row],[Is Data Valid]]=TRUE,((Table1[[#This Row],[Birthweight (grams)]]*0.9/Table1[[#This Row],[BW_GA]])-1)/(Backend!$B$4/100*Table1[[#This Row],[BW40_3705]]),"")</f>
        <v/>
      </c>
      <c r="I6855" s="7" t="str">
        <f>IF(Table1[[#This Row],[Is Data Valid]]=TRUE,((Table1[[#This Row],[Birthweight (grams)]]*1.1/Table1[[#This Row],[BW_GA]])-1)/(Backend!$B$4/100*Table1[[#This Row],[BW40_3705]]),"")</f>
        <v/>
      </c>
      <c r="J6855" s="7" t="str">
        <f>IF(Table1[[#This Row],[Is Data Valid]]=TRUE,_xlfn.NORM.S.DIST(Table1[[#This Row],[Birthweight Z-Score]],TRUE)*100,"")</f>
        <v/>
      </c>
      <c r="K6855" s="7" t="str">
        <f>IF(Table1[[#This Row],[Is Data Valid]]=TRUE,_xlfn.NORM.S.DIST(Table1[[#This Row],[Birthweight Z-Score (BW-10%)]],TRUE)*100,"")</f>
        <v/>
      </c>
      <c r="L6855" s="7" t="str">
        <f>IF(Table1[[#This Row],[Is Data Valid]]=TRUE,_xlfn.NORM.S.DIST(Table1[[#This Row],[Birthweight Z-Score (BW+10%)]],TRUE)*100,"")</f>
        <v/>
      </c>
    </row>
    <row r="6856" spans="1:12" x14ac:dyDescent="0.35">
      <c r="A6856" s="3"/>
      <c r="B6856" s="2"/>
      <c r="C6856" s="2"/>
      <c r="D6856" s="2" t="b">
        <f>IF(AND(NOT(ISBLANK(Table1[[#This Row],[Fetal Sex (Male, Female or Unknown)]])),ISNUMBER(Table1[[#This Row],[Birthweight (grams)]]),ISNUMBER(Table1[[#This Row],[Gestation (days)]])),TRUE,FALSE)</f>
        <v>0</v>
      </c>
      <c r="E6856" s="2" t="str">
        <f>IF(Table1[[#This Row],[Is Data Valid]]=TRUE,IF(Table1[[#This Row],[Fetal Sex (Male, Female or Unknown)]]="Male",Backend!$C$6,IF(Table1[[#This Row],[Fetal Sex (Male, Female or Unknown)]]="Female",Backend!$C$7,IF(Table1[[#This Row],[Fetal Sex (Male, Female or Unknown)]]="Unknown",Backend!$C$8,"Error"))),"")</f>
        <v/>
      </c>
      <c r="F6856" s="8" t="str">
        <f>IF(Table1[[#This Row],[Is Data Valid]]=TRUE,EXP(0.578+0.332*((Table1[[#This Row],[Gestation (days)]]+0.5)/7)-0.00354*((Table1[[#This Row],[Gestation (days)]]+0.5)/7)^2)*Table1[[#This Row],[BW40_3705]],"")</f>
        <v/>
      </c>
      <c r="G6856" s="2" t="str">
        <f>IF(Table1[[#This Row],[Is Data Valid]]=TRUE,((Table1[[#This Row],[Birthweight (grams)]]/Table1[[#This Row],[BW_GA]])-1)/(Backend!$B$4/100*Table1[[#This Row],[BW40_3705]]),"")</f>
        <v/>
      </c>
      <c r="H6856" s="7" t="str">
        <f>IF(Table1[[#This Row],[Is Data Valid]]=TRUE,((Table1[[#This Row],[Birthweight (grams)]]*0.9/Table1[[#This Row],[BW_GA]])-1)/(Backend!$B$4/100*Table1[[#This Row],[BW40_3705]]),"")</f>
        <v/>
      </c>
      <c r="I6856" s="7" t="str">
        <f>IF(Table1[[#This Row],[Is Data Valid]]=TRUE,((Table1[[#This Row],[Birthweight (grams)]]*1.1/Table1[[#This Row],[BW_GA]])-1)/(Backend!$B$4/100*Table1[[#This Row],[BW40_3705]]),"")</f>
        <v/>
      </c>
      <c r="J6856" s="7" t="str">
        <f>IF(Table1[[#This Row],[Is Data Valid]]=TRUE,_xlfn.NORM.S.DIST(Table1[[#This Row],[Birthweight Z-Score]],TRUE)*100,"")</f>
        <v/>
      </c>
      <c r="K6856" s="7" t="str">
        <f>IF(Table1[[#This Row],[Is Data Valid]]=TRUE,_xlfn.NORM.S.DIST(Table1[[#This Row],[Birthweight Z-Score (BW-10%)]],TRUE)*100,"")</f>
        <v/>
      </c>
      <c r="L6856" s="7" t="str">
        <f>IF(Table1[[#This Row],[Is Data Valid]]=TRUE,_xlfn.NORM.S.DIST(Table1[[#This Row],[Birthweight Z-Score (BW+10%)]],TRUE)*100,"")</f>
        <v/>
      </c>
    </row>
    <row r="6857" spans="1:12" x14ac:dyDescent="0.35">
      <c r="A6857" s="3"/>
      <c r="B6857" s="2"/>
      <c r="C6857" s="2"/>
      <c r="D6857" s="2" t="b">
        <f>IF(AND(NOT(ISBLANK(Table1[[#This Row],[Fetal Sex (Male, Female or Unknown)]])),ISNUMBER(Table1[[#This Row],[Birthweight (grams)]]),ISNUMBER(Table1[[#This Row],[Gestation (days)]])),TRUE,FALSE)</f>
        <v>0</v>
      </c>
      <c r="E6857" s="2" t="str">
        <f>IF(Table1[[#This Row],[Is Data Valid]]=TRUE,IF(Table1[[#This Row],[Fetal Sex (Male, Female or Unknown)]]="Male",Backend!$C$6,IF(Table1[[#This Row],[Fetal Sex (Male, Female or Unknown)]]="Female",Backend!$C$7,IF(Table1[[#This Row],[Fetal Sex (Male, Female or Unknown)]]="Unknown",Backend!$C$8,"Error"))),"")</f>
        <v/>
      </c>
      <c r="F6857" s="8" t="str">
        <f>IF(Table1[[#This Row],[Is Data Valid]]=TRUE,EXP(0.578+0.332*((Table1[[#This Row],[Gestation (days)]]+0.5)/7)-0.00354*((Table1[[#This Row],[Gestation (days)]]+0.5)/7)^2)*Table1[[#This Row],[BW40_3705]],"")</f>
        <v/>
      </c>
      <c r="G6857" s="2" t="str">
        <f>IF(Table1[[#This Row],[Is Data Valid]]=TRUE,((Table1[[#This Row],[Birthweight (grams)]]/Table1[[#This Row],[BW_GA]])-1)/(Backend!$B$4/100*Table1[[#This Row],[BW40_3705]]),"")</f>
        <v/>
      </c>
      <c r="H6857" s="7" t="str">
        <f>IF(Table1[[#This Row],[Is Data Valid]]=TRUE,((Table1[[#This Row],[Birthweight (grams)]]*0.9/Table1[[#This Row],[BW_GA]])-1)/(Backend!$B$4/100*Table1[[#This Row],[BW40_3705]]),"")</f>
        <v/>
      </c>
      <c r="I6857" s="7" t="str">
        <f>IF(Table1[[#This Row],[Is Data Valid]]=TRUE,((Table1[[#This Row],[Birthweight (grams)]]*1.1/Table1[[#This Row],[BW_GA]])-1)/(Backend!$B$4/100*Table1[[#This Row],[BW40_3705]]),"")</f>
        <v/>
      </c>
      <c r="J6857" s="7" t="str">
        <f>IF(Table1[[#This Row],[Is Data Valid]]=TRUE,_xlfn.NORM.S.DIST(Table1[[#This Row],[Birthweight Z-Score]],TRUE)*100,"")</f>
        <v/>
      </c>
      <c r="K6857" s="7" t="str">
        <f>IF(Table1[[#This Row],[Is Data Valid]]=TRUE,_xlfn.NORM.S.DIST(Table1[[#This Row],[Birthweight Z-Score (BW-10%)]],TRUE)*100,"")</f>
        <v/>
      </c>
      <c r="L6857" s="7" t="str">
        <f>IF(Table1[[#This Row],[Is Data Valid]]=TRUE,_xlfn.NORM.S.DIST(Table1[[#This Row],[Birthweight Z-Score (BW+10%)]],TRUE)*100,"")</f>
        <v/>
      </c>
    </row>
    <row r="6858" spans="1:12" x14ac:dyDescent="0.35">
      <c r="A6858" s="3"/>
      <c r="B6858" s="2"/>
      <c r="C6858" s="2"/>
      <c r="D6858" s="2" t="b">
        <f>IF(AND(NOT(ISBLANK(Table1[[#This Row],[Fetal Sex (Male, Female or Unknown)]])),ISNUMBER(Table1[[#This Row],[Birthweight (grams)]]),ISNUMBER(Table1[[#This Row],[Gestation (days)]])),TRUE,FALSE)</f>
        <v>0</v>
      </c>
      <c r="E6858" s="2" t="str">
        <f>IF(Table1[[#This Row],[Is Data Valid]]=TRUE,IF(Table1[[#This Row],[Fetal Sex (Male, Female or Unknown)]]="Male",Backend!$C$6,IF(Table1[[#This Row],[Fetal Sex (Male, Female or Unknown)]]="Female",Backend!$C$7,IF(Table1[[#This Row],[Fetal Sex (Male, Female or Unknown)]]="Unknown",Backend!$C$8,"Error"))),"")</f>
        <v/>
      </c>
      <c r="F6858" s="8" t="str">
        <f>IF(Table1[[#This Row],[Is Data Valid]]=TRUE,EXP(0.578+0.332*((Table1[[#This Row],[Gestation (days)]]+0.5)/7)-0.00354*((Table1[[#This Row],[Gestation (days)]]+0.5)/7)^2)*Table1[[#This Row],[BW40_3705]],"")</f>
        <v/>
      </c>
      <c r="G6858" s="2" t="str">
        <f>IF(Table1[[#This Row],[Is Data Valid]]=TRUE,((Table1[[#This Row],[Birthweight (grams)]]/Table1[[#This Row],[BW_GA]])-1)/(Backend!$B$4/100*Table1[[#This Row],[BW40_3705]]),"")</f>
        <v/>
      </c>
      <c r="H6858" s="7" t="str">
        <f>IF(Table1[[#This Row],[Is Data Valid]]=TRUE,((Table1[[#This Row],[Birthweight (grams)]]*0.9/Table1[[#This Row],[BW_GA]])-1)/(Backend!$B$4/100*Table1[[#This Row],[BW40_3705]]),"")</f>
        <v/>
      </c>
      <c r="I6858" s="7" t="str">
        <f>IF(Table1[[#This Row],[Is Data Valid]]=TRUE,((Table1[[#This Row],[Birthweight (grams)]]*1.1/Table1[[#This Row],[BW_GA]])-1)/(Backend!$B$4/100*Table1[[#This Row],[BW40_3705]]),"")</f>
        <v/>
      </c>
      <c r="J6858" s="7" t="str">
        <f>IF(Table1[[#This Row],[Is Data Valid]]=TRUE,_xlfn.NORM.S.DIST(Table1[[#This Row],[Birthweight Z-Score]],TRUE)*100,"")</f>
        <v/>
      </c>
      <c r="K6858" s="7" t="str">
        <f>IF(Table1[[#This Row],[Is Data Valid]]=TRUE,_xlfn.NORM.S.DIST(Table1[[#This Row],[Birthweight Z-Score (BW-10%)]],TRUE)*100,"")</f>
        <v/>
      </c>
      <c r="L6858" s="7" t="str">
        <f>IF(Table1[[#This Row],[Is Data Valid]]=TRUE,_xlfn.NORM.S.DIST(Table1[[#This Row],[Birthweight Z-Score (BW+10%)]],TRUE)*100,"")</f>
        <v/>
      </c>
    </row>
    <row r="6859" spans="1:12" x14ac:dyDescent="0.35">
      <c r="A6859" s="3"/>
      <c r="B6859" s="2"/>
      <c r="C6859" s="2"/>
      <c r="D6859" s="2" t="b">
        <f>IF(AND(NOT(ISBLANK(Table1[[#This Row],[Fetal Sex (Male, Female or Unknown)]])),ISNUMBER(Table1[[#This Row],[Birthweight (grams)]]),ISNUMBER(Table1[[#This Row],[Gestation (days)]])),TRUE,FALSE)</f>
        <v>0</v>
      </c>
      <c r="E6859" s="2" t="str">
        <f>IF(Table1[[#This Row],[Is Data Valid]]=TRUE,IF(Table1[[#This Row],[Fetal Sex (Male, Female or Unknown)]]="Male",Backend!$C$6,IF(Table1[[#This Row],[Fetal Sex (Male, Female or Unknown)]]="Female",Backend!$C$7,IF(Table1[[#This Row],[Fetal Sex (Male, Female or Unknown)]]="Unknown",Backend!$C$8,"Error"))),"")</f>
        <v/>
      </c>
      <c r="F6859" s="8" t="str">
        <f>IF(Table1[[#This Row],[Is Data Valid]]=TRUE,EXP(0.578+0.332*((Table1[[#This Row],[Gestation (days)]]+0.5)/7)-0.00354*((Table1[[#This Row],[Gestation (days)]]+0.5)/7)^2)*Table1[[#This Row],[BW40_3705]],"")</f>
        <v/>
      </c>
      <c r="G6859" s="2" t="str">
        <f>IF(Table1[[#This Row],[Is Data Valid]]=TRUE,((Table1[[#This Row],[Birthweight (grams)]]/Table1[[#This Row],[BW_GA]])-1)/(Backend!$B$4/100*Table1[[#This Row],[BW40_3705]]),"")</f>
        <v/>
      </c>
      <c r="H6859" s="7" t="str">
        <f>IF(Table1[[#This Row],[Is Data Valid]]=TRUE,((Table1[[#This Row],[Birthweight (grams)]]*0.9/Table1[[#This Row],[BW_GA]])-1)/(Backend!$B$4/100*Table1[[#This Row],[BW40_3705]]),"")</f>
        <v/>
      </c>
      <c r="I6859" s="7" t="str">
        <f>IF(Table1[[#This Row],[Is Data Valid]]=TRUE,((Table1[[#This Row],[Birthweight (grams)]]*1.1/Table1[[#This Row],[BW_GA]])-1)/(Backend!$B$4/100*Table1[[#This Row],[BW40_3705]]),"")</f>
        <v/>
      </c>
      <c r="J6859" s="7" t="str">
        <f>IF(Table1[[#This Row],[Is Data Valid]]=TRUE,_xlfn.NORM.S.DIST(Table1[[#This Row],[Birthweight Z-Score]],TRUE)*100,"")</f>
        <v/>
      </c>
      <c r="K6859" s="7" t="str">
        <f>IF(Table1[[#This Row],[Is Data Valid]]=TRUE,_xlfn.NORM.S.DIST(Table1[[#This Row],[Birthweight Z-Score (BW-10%)]],TRUE)*100,"")</f>
        <v/>
      </c>
      <c r="L6859" s="7" t="str">
        <f>IF(Table1[[#This Row],[Is Data Valid]]=TRUE,_xlfn.NORM.S.DIST(Table1[[#This Row],[Birthweight Z-Score (BW+10%)]],TRUE)*100,"")</f>
        <v/>
      </c>
    </row>
    <row r="6860" spans="1:12" x14ac:dyDescent="0.35">
      <c r="A6860" s="3"/>
      <c r="B6860" s="2"/>
      <c r="C6860" s="2"/>
      <c r="D6860" s="2" t="b">
        <f>IF(AND(NOT(ISBLANK(Table1[[#This Row],[Fetal Sex (Male, Female or Unknown)]])),ISNUMBER(Table1[[#This Row],[Birthweight (grams)]]),ISNUMBER(Table1[[#This Row],[Gestation (days)]])),TRUE,FALSE)</f>
        <v>0</v>
      </c>
      <c r="E6860" s="2" t="str">
        <f>IF(Table1[[#This Row],[Is Data Valid]]=TRUE,IF(Table1[[#This Row],[Fetal Sex (Male, Female or Unknown)]]="Male",Backend!$C$6,IF(Table1[[#This Row],[Fetal Sex (Male, Female or Unknown)]]="Female",Backend!$C$7,IF(Table1[[#This Row],[Fetal Sex (Male, Female or Unknown)]]="Unknown",Backend!$C$8,"Error"))),"")</f>
        <v/>
      </c>
      <c r="F6860" s="8" t="str">
        <f>IF(Table1[[#This Row],[Is Data Valid]]=TRUE,EXP(0.578+0.332*((Table1[[#This Row],[Gestation (days)]]+0.5)/7)-0.00354*((Table1[[#This Row],[Gestation (days)]]+0.5)/7)^2)*Table1[[#This Row],[BW40_3705]],"")</f>
        <v/>
      </c>
      <c r="G6860" s="2" t="str">
        <f>IF(Table1[[#This Row],[Is Data Valid]]=TRUE,((Table1[[#This Row],[Birthweight (grams)]]/Table1[[#This Row],[BW_GA]])-1)/(Backend!$B$4/100*Table1[[#This Row],[BW40_3705]]),"")</f>
        <v/>
      </c>
      <c r="H6860" s="7" t="str">
        <f>IF(Table1[[#This Row],[Is Data Valid]]=TRUE,((Table1[[#This Row],[Birthweight (grams)]]*0.9/Table1[[#This Row],[BW_GA]])-1)/(Backend!$B$4/100*Table1[[#This Row],[BW40_3705]]),"")</f>
        <v/>
      </c>
      <c r="I6860" s="7" t="str">
        <f>IF(Table1[[#This Row],[Is Data Valid]]=TRUE,((Table1[[#This Row],[Birthweight (grams)]]*1.1/Table1[[#This Row],[BW_GA]])-1)/(Backend!$B$4/100*Table1[[#This Row],[BW40_3705]]),"")</f>
        <v/>
      </c>
      <c r="J6860" s="7" t="str">
        <f>IF(Table1[[#This Row],[Is Data Valid]]=TRUE,_xlfn.NORM.S.DIST(Table1[[#This Row],[Birthweight Z-Score]],TRUE)*100,"")</f>
        <v/>
      </c>
      <c r="K6860" s="7" t="str">
        <f>IF(Table1[[#This Row],[Is Data Valid]]=TRUE,_xlfn.NORM.S.DIST(Table1[[#This Row],[Birthweight Z-Score (BW-10%)]],TRUE)*100,"")</f>
        <v/>
      </c>
      <c r="L6860" s="7" t="str">
        <f>IF(Table1[[#This Row],[Is Data Valid]]=TRUE,_xlfn.NORM.S.DIST(Table1[[#This Row],[Birthweight Z-Score (BW+10%)]],TRUE)*100,"")</f>
        <v/>
      </c>
    </row>
    <row r="6861" spans="1:12" x14ac:dyDescent="0.35">
      <c r="A6861" s="3"/>
      <c r="B6861" s="2"/>
      <c r="C6861" s="2"/>
      <c r="D6861" s="2" t="b">
        <f>IF(AND(NOT(ISBLANK(Table1[[#This Row],[Fetal Sex (Male, Female or Unknown)]])),ISNUMBER(Table1[[#This Row],[Birthweight (grams)]]),ISNUMBER(Table1[[#This Row],[Gestation (days)]])),TRUE,FALSE)</f>
        <v>0</v>
      </c>
      <c r="E6861" s="2" t="str">
        <f>IF(Table1[[#This Row],[Is Data Valid]]=TRUE,IF(Table1[[#This Row],[Fetal Sex (Male, Female or Unknown)]]="Male",Backend!$C$6,IF(Table1[[#This Row],[Fetal Sex (Male, Female or Unknown)]]="Female",Backend!$C$7,IF(Table1[[#This Row],[Fetal Sex (Male, Female or Unknown)]]="Unknown",Backend!$C$8,"Error"))),"")</f>
        <v/>
      </c>
      <c r="F6861" s="8" t="str">
        <f>IF(Table1[[#This Row],[Is Data Valid]]=TRUE,EXP(0.578+0.332*((Table1[[#This Row],[Gestation (days)]]+0.5)/7)-0.00354*((Table1[[#This Row],[Gestation (days)]]+0.5)/7)^2)*Table1[[#This Row],[BW40_3705]],"")</f>
        <v/>
      </c>
      <c r="G6861" s="2" t="str">
        <f>IF(Table1[[#This Row],[Is Data Valid]]=TRUE,((Table1[[#This Row],[Birthweight (grams)]]/Table1[[#This Row],[BW_GA]])-1)/(Backend!$B$4/100*Table1[[#This Row],[BW40_3705]]),"")</f>
        <v/>
      </c>
      <c r="H6861" s="7" t="str">
        <f>IF(Table1[[#This Row],[Is Data Valid]]=TRUE,((Table1[[#This Row],[Birthweight (grams)]]*0.9/Table1[[#This Row],[BW_GA]])-1)/(Backend!$B$4/100*Table1[[#This Row],[BW40_3705]]),"")</f>
        <v/>
      </c>
      <c r="I6861" s="7" t="str">
        <f>IF(Table1[[#This Row],[Is Data Valid]]=TRUE,((Table1[[#This Row],[Birthweight (grams)]]*1.1/Table1[[#This Row],[BW_GA]])-1)/(Backend!$B$4/100*Table1[[#This Row],[BW40_3705]]),"")</f>
        <v/>
      </c>
      <c r="J6861" s="7" t="str">
        <f>IF(Table1[[#This Row],[Is Data Valid]]=TRUE,_xlfn.NORM.S.DIST(Table1[[#This Row],[Birthweight Z-Score]],TRUE)*100,"")</f>
        <v/>
      </c>
      <c r="K6861" s="7" t="str">
        <f>IF(Table1[[#This Row],[Is Data Valid]]=TRUE,_xlfn.NORM.S.DIST(Table1[[#This Row],[Birthweight Z-Score (BW-10%)]],TRUE)*100,"")</f>
        <v/>
      </c>
      <c r="L6861" s="7" t="str">
        <f>IF(Table1[[#This Row],[Is Data Valid]]=TRUE,_xlfn.NORM.S.DIST(Table1[[#This Row],[Birthweight Z-Score (BW+10%)]],TRUE)*100,"")</f>
        <v/>
      </c>
    </row>
    <row r="6862" spans="1:12" x14ac:dyDescent="0.35">
      <c r="A6862" s="3"/>
      <c r="B6862" s="2"/>
      <c r="C6862" s="2"/>
      <c r="D6862" s="2" t="b">
        <f>IF(AND(NOT(ISBLANK(Table1[[#This Row],[Fetal Sex (Male, Female or Unknown)]])),ISNUMBER(Table1[[#This Row],[Birthweight (grams)]]),ISNUMBER(Table1[[#This Row],[Gestation (days)]])),TRUE,FALSE)</f>
        <v>0</v>
      </c>
      <c r="E6862" s="2" t="str">
        <f>IF(Table1[[#This Row],[Is Data Valid]]=TRUE,IF(Table1[[#This Row],[Fetal Sex (Male, Female or Unknown)]]="Male",Backend!$C$6,IF(Table1[[#This Row],[Fetal Sex (Male, Female or Unknown)]]="Female",Backend!$C$7,IF(Table1[[#This Row],[Fetal Sex (Male, Female or Unknown)]]="Unknown",Backend!$C$8,"Error"))),"")</f>
        <v/>
      </c>
      <c r="F6862" s="8" t="str">
        <f>IF(Table1[[#This Row],[Is Data Valid]]=TRUE,EXP(0.578+0.332*((Table1[[#This Row],[Gestation (days)]]+0.5)/7)-0.00354*((Table1[[#This Row],[Gestation (days)]]+0.5)/7)^2)*Table1[[#This Row],[BW40_3705]],"")</f>
        <v/>
      </c>
      <c r="G6862" s="2" t="str">
        <f>IF(Table1[[#This Row],[Is Data Valid]]=TRUE,((Table1[[#This Row],[Birthweight (grams)]]/Table1[[#This Row],[BW_GA]])-1)/(Backend!$B$4/100*Table1[[#This Row],[BW40_3705]]),"")</f>
        <v/>
      </c>
      <c r="H6862" s="7" t="str">
        <f>IF(Table1[[#This Row],[Is Data Valid]]=TRUE,((Table1[[#This Row],[Birthweight (grams)]]*0.9/Table1[[#This Row],[BW_GA]])-1)/(Backend!$B$4/100*Table1[[#This Row],[BW40_3705]]),"")</f>
        <v/>
      </c>
      <c r="I6862" s="7" t="str">
        <f>IF(Table1[[#This Row],[Is Data Valid]]=TRUE,((Table1[[#This Row],[Birthweight (grams)]]*1.1/Table1[[#This Row],[BW_GA]])-1)/(Backend!$B$4/100*Table1[[#This Row],[BW40_3705]]),"")</f>
        <v/>
      </c>
      <c r="J6862" s="7" t="str">
        <f>IF(Table1[[#This Row],[Is Data Valid]]=TRUE,_xlfn.NORM.S.DIST(Table1[[#This Row],[Birthweight Z-Score]],TRUE)*100,"")</f>
        <v/>
      </c>
      <c r="K6862" s="7" t="str">
        <f>IF(Table1[[#This Row],[Is Data Valid]]=TRUE,_xlfn.NORM.S.DIST(Table1[[#This Row],[Birthweight Z-Score (BW-10%)]],TRUE)*100,"")</f>
        <v/>
      </c>
      <c r="L6862" s="7" t="str">
        <f>IF(Table1[[#This Row],[Is Data Valid]]=TRUE,_xlfn.NORM.S.DIST(Table1[[#This Row],[Birthweight Z-Score (BW+10%)]],TRUE)*100,"")</f>
        <v/>
      </c>
    </row>
    <row r="6863" spans="1:12" x14ac:dyDescent="0.35">
      <c r="A6863" s="3"/>
      <c r="B6863" s="2"/>
      <c r="C6863" s="2"/>
      <c r="D6863" s="2" t="b">
        <f>IF(AND(NOT(ISBLANK(Table1[[#This Row],[Fetal Sex (Male, Female or Unknown)]])),ISNUMBER(Table1[[#This Row],[Birthweight (grams)]]),ISNUMBER(Table1[[#This Row],[Gestation (days)]])),TRUE,FALSE)</f>
        <v>0</v>
      </c>
      <c r="E6863" s="2" t="str">
        <f>IF(Table1[[#This Row],[Is Data Valid]]=TRUE,IF(Table1[[#This Row],[Fetal Sex (Male, Female or Unknown)]]="Male",Backend!$C$6,IF(Table1[[#This Row],[Fetal Sex (Male, Female or Unknown)]]="Female",Backend!$C$7,IF(Table1[[#This Row],[Fetal Sex (Male, Female or Unknown)]]="Unknown",Backend!$C$8,"Error"))),"")</f>
        <v/>
      </c>
      <c r="F6863" s="8" t="str">
        <f>IF(Table1[[#This Row],[Is Data Valid]]=TRUE,EXP(0.578+0.332*((Table1[[#This Row],[Gestation (days)]]+0.5)/7)-0.00354*((Table1[[#This Row],[Gestation (days)]]+0.5)/7)^2)*Table1[[#This Row],[BW40_3705]],"")</f>
        <v/>
      </c>
      <c r="G6863" s="2" t="str">
        <f>IF(Table1[[#This Row],[Is Data Valid]]=TRUE,((Table1[[#This Row],[Birthweight (grams)]]/Table1[[#This Row],[BW_GA]])-1)/(Backend!$B$4/100*Table1[[#This Row],[BW40_3705]]),"")</f>
        <v/>
      </c>
      <c r="H6863" s="7" t="str">
        <f>IF(Table1[[#This Row],[Is Data Valid]]=TRUE,((Table1[[#This Row],[Birthweight (grams)]]*0.9/Table1[[#This Row],[BW_GA]])-1)/(Backend!$B$4/100*Table1[[#This Row],[BW40_3705]]),"")</f>
        <v/>
      </c>
      <c r="I6863" s="7" t="str">
        <f>IF(Table1[[#This Row],[Is Data Valid]]=TRUE,((Table1[[#This Row],[Birthweight (grams)]]*1.1/Table1[[#This Row],[BW_GA]])-1)/(Backend!$B$4/100*Table1[[#This Row],[BW40_3705]]),"")</f>
        <v/>
      </c>
      <c r="J6863" s="7" t="str">
        <f>IF(Table1[[#This Row],[Is Data Valid]]=TRUE,_xlfn.NORM.S.DIST(Table1[[#This Row],[Birthweight Z-Score]],TRUE)*100,"")</f>
        <v/>
      </c>
      <c r="K6863" s="7" t="str">
        <f>IF(Table1[[#This Row],[Is Data Valid]]=TRUE,_xlfn.NORM.S.DIST(Table1[[#This Row],[Birthweight Z-Score (BW-10%)]],TRUE)*100,"")</f>
        <v/>
      </c>
      <c r="L6863" s="7" t="str">
        <f>IF(Table1[[#This Row],[Is Data Valid]]=TRUE,_xlfn.NORM.S.DIST(Table1[[#This Row],[Birthweight Z-Score (BW+10%)]],TRUE)*100,"")</f>
        <v/>
      </c>
    </row>
    <row r="6864" spans="1:12" x14ac:dyDescent="0.35">
      <c r="A6864" s="3"/>
      <c r="B6864" s="2"/>
      <c r="C6864" s="2"/>
      <c r="D6864" s="2" t="b">
        <f>IF(AND(NOT(ISBLANK(Table1[[#This Row],[Fetal Sex (Male, Female or Unknown)]])),ISNUMBER(Table1[[#This Row],[Birthweight (grams)]]),ISNUMBER(Table1[[#This Row],[Gestation (days)]])),TRUE,FALSE)</f>
        <v>0</v>
      </c>
      <c r="E6864" s="2" t="str">
        <f>IF(Table1[[#This Row],[Is Data Valid]]=TRUE,IF(Table1[[#This Row],[Fetal Sex (Male, Female or Unknown)]]="Male",Backend!$C$6,IF(Table1[[#This Row],[Fetal Sex (Male, Female or Unknown)]]="Female",Backend!$C$7,IF(Table1[[#This Row],[Fetal Sex (Male, Female or Unknown)]]="Unknown",Backend!$C$8,"Error"))),"")</f>
        <v/>
      </c>
      <c r="F6864" s="8" t="str">
        <f>IF(Table1[[#This Row],[Is Data Valid]]=TRUE,EXP(0.578+0.332*((Table1[[#This Row],[Gestation (days)]]+0.5)/7)-0.00354*((Table1[[#This Row],[Gestation (days)]]+0.5)/7)^2)*Table1[[#This Row],[BW40_3705]],"")</f>
        <v/>
      </c>
      <c r="G6864" s="2" t="str">
        <f>IF(Table1[[#This Row],[Is Data Valid]]=TRUE,((Table1[[#This Row],[Birthweight (grams)]]/Table1[[#This Row],[BW_GA]])-1)/(Backend!$B$4/100*Table1[[#This Row],[BW40_3705]]),"")</f>
        <v/>
      </c>
      <c r="H6864" s="7" t="str">
        <f>IF(Table1[[#This Row],[Is Data Valid]]=TRUE,((Table1[[#This Row],[Birthweight (grams)]]*0.9/Table1[[#This Row],[BW_GA]])-1)/(Backend!$B$4/100*Table1[[#This Row],[BW40_3705]]),"")</f>
        <v/>
      </c>
      <c r="I6864" s="7" t="str">
        <f>IF(Table1[[#This Row],[Is Data Valid]]=TRUE,((Table1[[#This Row],[Birthweight (grams)]]*1.1/Table1[[#This Row],[BW_GA]])-1)/(Backend!$B$4/100*Table1[[#This Row],[BW40_3705]]),"")</f>
        <v/>
      </c>
      <c r="J6864" s="7" t="str">
        <f>IF(Table1[[#This Row],[Is Data Valid]]=TRUE,_xlfn.NORM.S.DIST(Table1[[#This Row],[Birthweight Z-Score]],TRUE)*100,"")</f>
        <v/>
      </c>
      <c r="K6864" s="7" t="str">
        <f>IF(Table1[[#This Row],[Is Data Valid]]=TRUE,_xlfn.NORM.S.DIST(Table1[[#This Row],[Birthweight Z-Score (BW-10%)]],TRUE)*100,"")</f>
        <v/>
      </c>
      <c r="L6864" s="7" t="str">
        <f>IF(Table1[[#This Row],[Is Data Valid]]=TRUE,_xlfn.NORM.S.DIST(Table1[[#This Row],[Birthweight Z-Score (BW+10%)]],TRUE)*100,"")</f>
        <v/>
      </c>
    </row>
    <row r="6865" spans="1:12" x14ac:dyDescent="0.35">
      <c r="A6865" s="3"/>
      <c r="B6865" s="2"/>
      <c r="C6865" s="2"/>
      <c r="D6865" s="2" t="b">
        <f>IF(AND(NOT(ISBLANK(Table1[[#This Row],[Fetal Sex (Male, Female or Unknown)]])),ISNUMBER(Table1[[#This Row],[Birthweight (grams)]]),ISNUMBER(Table1[[#This Row],[Gestation (days)]])),TRUE,FALSE)</f>
        <v>0</v>
      </c>
      <c r="E6865" s="2" t="str">
        <f>IF(Table1[[#This Row],[Is Data Valid]]=TRUE,IF(Table1[[#This Row],[Fetal Sex (Male, Female or Unknown)]]="Male",Backend!$C$6,IF(Table1[[#This Row],[Fetal Sex (Male, Female or Unknown)]]="Female",Backend!$C$7,IF(Table1[[#This Row],[Fetal Sex (Male, Female or Unknown)]]="Unknown",Backend!$C$8,"Error"))),"")</f>
        <v/>
      </c>
      <c r="F6865" s="8" t="str">
        <f>IF(Table1[[#This Row],[Is Data Valid]]=TRUE,EXP(0.578+0.332*((Table1[[#This Row],[Gestation (days)]]+0.5)/7)-0.00354*((Table1[[#This Row],[Gestation (days)]]+0.5)/7)^2)*Table1[[#This Row],[BW40_3705]],"")</f>
        <v/>
      </c>
      <c r="G6865" s="2" t="str">
        <f>IF(Table1[[#This Row],[Is Data Valid]]=TRUE,((Table1[[#This Row],[Birthweight (grams)]]/Table1[[#This Row],[BW_GA]])-1)/(Backend!$B$4/100*Table1[[#This Row],[BW40_3705]]),"")</f>
        <v/>
      </c>
      <c r="H6865" s="7" t="str">
        <f>IF(Table1[[#This Row],[Is Data Valid]]=TRUE,((Table1[[#This Row],[Birthweight (grams)]]*0.9/Table1[[#This Row],[BW_GA]])-1)/(Backend!$B$4/100*Table1[[#This Row],[BW40_3705]]),"")</f>
        <v/>
      </c>
      <c r="I6865" s="7" t="str">
        <f>IF(Table1[[#This Row],[Is Data Valid]]=TRUE,((Table1[[#This Row],[Birthweight (grams)]]*1.1/Table1[[#This Row],[BW_GA]])-1)/(Backend!$B$4/100*Table1[[#This Row],[BW40_3705]]),"")</f>
        <v/>
      </c>
      <c r="J6865" s="7" t="str">
        <f>IF(Table1[[#This Row],[Is Data Valid]]=TRUE,_xlfn.NORM.S.DIST(Table1[[#This Row],[Birthweight Z-Score]],TRUE)*100,"")</f>
        <v/>
      </c>
      <c r="K6865" s="7" t="str">
        <f>IF(Table1[[#This Row],[Is Data Valid]]=TRUE,_xlfn.NORM.S.DIST(Table1[[#This Row],[Birthweight Z-Score (BW-10%)]],TRUE)*100,"")</f>
        <v/>
      </c>
      <c r="L6865" s="7" t="str">
        <f>IF(Table1[[#This Row],[Is Data Valid]]=TRUE,_xlfn.NORM.S.DIST(Table1[[#This Row],[Birthweight Z-Score (BW+10%)]],TRUE)*100,"")</f>
        <v/>
      </c>
    </row>
    <row r="6866" spans="1:12" x14ac:dyDescent="0.35">
      <c r="A6866" s="3"/>
      <c r="B6866" s="2"/>
      <c r="C6866" s="2"/>
      <c r="D6866" s="2" t="b">
        <f>IF(AND(NOT(ISBLANK(Table1[[#This Row],[Fetal Sex (Male, Female or Unknown)]])),ISNUMBER(Table1[[#This Row],[Birthweight (grams)]]),ISNUMBER(Table1[[#This Row],[Gestation (days)]])),TRUE,FALSE)</f>
        <v>0</v>
      </c>
      <c r="E6866" s="2" t="str">
        <f>IF(Table1[[#This Row],[Is Data Valid]]=TRUE,IF(Table1[[#This Row],[Fetal Sex (Male, Female or Unknown)]]="Male",Backend!$C$6,IF(Table1[[#This Row],[Fetal Sex (Male, Female or Unknown)]]="Female",Backend!$C$7,IF(Table1[[#This Row],[Fetal Sex (Male, Female or Unknown)]]="Unknown",Backend!$C$8,"Error"))),"")</f>
        <v/>
      </c>
      <c r="F6866" s="8" t="str">
        <f>IF(Table1[[#This Row],[Is Data Valid]]=TRUE,EXP(0.578+0.332*((Table1[[#This Row],[Gestation (days)]]+0.5)/7)-0.00354*((Table1[[#This Row],[Gestation (days)]]+0.5)/7)^2)*Table1[[#This Row],[BW40_3705]],"")</f>
        <v/>
      </c>
      <c r="G6866" s="2" t="str">
        <f>IF(Table1[[#This Row],[Is Data Valid]]=TRUE,((Table1[[#This Row],[Birthweight (grams)]]/Table1[[#This Row],[BW_GA]])-1)/(Backend!$B$4/100*Table1[[#This Row],[BW40_3705]]),"")</f>
        <v/>
      </c>
      <c r="H6866" s="7" t="str">
        <f>IF(Table1[[#This Row],[Is Data Valid]]=TRUE,((Table1[[#This Row],[Birthweight (grams)]]*0.9/Table1[[#This Row],[BW_GA]])-1)/(Backend!$B$4/100*Table1[[#This Row],[BW40_3705]]),"")</f>
        <v/>
      </c>
      <c r="I6866" s="7" t="str">
        <f>IF(Table1[[#This Row],[Is Data Valid]]=TRUE,((Table1[[#This Row],[Birthweight (grams)]]*1.1/Table1[[#This Row],[BW_GA]])-1)/(Backend!$B$4/100*Table1[[#This Row],[BW40_3705]]),"")</f>
        <v/>
      </c>
      <c r="J6866" s="7" t="str">
        <f>IF(Table1[[#This Row],[Is Data Valid]]=TRUE,_xlfn.NORM.S.DIST(Table1[[#This Row],[Birthweight Z-Score]],TRUE)*100,"")</f>
        <v/>
      </c>
      <c r="K6866" s="7" t="str">
        <f>IF(Table1[[#This Row],[Is Data Valid]]=TRUE,_xlfn.NORM.S.DIST(Table1[[#This Row],[Birthweight Z-Score (BW-10%)]],TRUE)*100,"")</f>
        <v/>
      </c>
      <c r="L6866" s="7" t="str">
        <f>IF(Table1[[#This Row],[Is Data Valid]]=TRUE,_xlfn.NORM.S.DIST(Table1[[#This Row],[Birthweight Z-Score (BW+10%)]],TRUE)*100,"")</f>
        <v/>
      </c>
    </row>
    <row r="6867" spans="1:12" x14ac:dyDescent="0.35">
      <c r="A6867" s="3"/>
      <c r="B6867" s="2"/>
      <c r="C6867" s="2"/>
      <c r="D6867" s="2" t="b">
        <f>IF(AND(NOT(ISBLANK(Table1[[#This Row],[Fetal Sex (Male, Female or Unknown)]])),ISNUMBER(Table1[[#This Row],[Birthweight (grams)]]),ISNUMBER(Table1[[#This Row],[Gestation (days)]])),TRUE,FALSE)</f>
        <v>0</v>
      </c>
      <c r="E6867" s="2" t="str">
        <f>IF(Table1[[#This Row],[Is Data Valid]]=TRUE,IF(Table1[[#This Row],[Fetal Sex (Male, Female or Unknown)]]="Male",Backend!$C$6,IF(Table1[[#This Row],[Fetal Sex (Male, Female or Unknown)]]="Female",Backend!$C$7,IF(Table1[[#This Row],[Fetal Sex (Male, Female or Unknown)]]="Unknown",Backend!$C$8,"Error"))),"")</f>
        <v/>
      </c>
      <c r="F6867" s="8" t="str">
        <f>IF(Table1[[#This Row],[Is Data Valid]]=TRUE,EXP(0.578+0.332*((Table1[[#This Row],[Gestation (days)]]+0.5)/7)-0.00354*((Table1[[#This Row],[Gestation (days)]]+0.5)/7)^2)*Table1[[#This Row],[BW40_3705]],"")</f>
        <v/>
      </c>
      <c r="G6867" s="2" t="str">
        <f>IF(Table1[[#This Row],[Is Data Valid]]=TRUE,((Table1[[#This Row],[Birthweight (grams)]]/Table1[[#This Row],[BW_GA]])-1)/(Backend!$B$4/100*Table1[[#This Row],[BW40_3705]]),"")</f>
        <v/>
      </c>
      <c r="H6867" s="7" t="str">
        <f>IF(Table1[[#This Row],[Is Data Valid]]=TRUE,((Table1[[#This Row],[Birthweight (grams)]]*0.9/Table1[[#This Row],[BW_GA]])-1)/(Backend!$B$4/100*Table1[[#This Row],[BW40_3705]]),"")</f>
        <v/>
      </c>
      <c r="I6867" s="7" t="str">
        <f>IF(Table1[[#This Row],[Is Data Valid]]=TRUE,((Table1[[#This Row],[Birthweight (grams)]]*1.1/Table1[[#This Row],[BW_GA]])-1)/(Backend!$B$4/100*Table1[[#This Row],[BW40_3705]]),"")</f>
        <v/>
      </c>
      <c r="J6867" s="7" t="str">
        <f>IF(Table1[[#This Row],[Is Data Valid]]=TRUE,_xlfn.NORM.S.DIST(Table1[[#This Row],[Birthweight Z-Score]],TRUE)*100,"")</f>
        <v/>
      </c>
      <c r="K6867" s="7" t="str">
        <f>IF(Table1[[#This Row],[Is Data Valid]]=TRUE,_xlfn.NORM.S.DIST(Table1[[#This Row],[Birthweight Z-Score (BW-10%)]],TRUE)*100,"")</f>
        <v/>
      </c>
      <c r="L6867" s="7" t="str">
        <f>IF(Table1[[#This Row],[Is Data Valid]]=TRUE,_xlfn.NORM.S.DIST(Table1[[#This Row],[Birthweight Z-Score (BW+10%)]],TRUE)*100,"")</f>
        <v/>
      </c>
    </row>
    <row r="6868" spans="1:12" x14ac:dyDescent="0.35">
      <c r="A6868" s="3"/>
      <c r="B6868" s="2"/>
      <c r="C6868" s="2"/>
      <c r="D6868" s="2" t="b">
        <f>IF(AND(NOT(ISBLANK(Table1[[#This Row],[Fetal Sex (Male, Female or Unknown)]])),ISNUMBER(Table1[[#This Row],[Birthweight (grams)]]),ISNUMBER(Table1[[#This Row],[Gestation (days)]])),TRUE,FALSE)</f>
        <v>0</v>
      </c>
      <c r="E6868" s="2" t="str">
        <f>IF(Table1[[#This Row],[Is Data Valid]]=TRUE,IF(Table1[[#This Row],[Fetal Sex (Male, Female or Unknown)]]="Male",Backend!$C$6,IF(Table1[[#This Row],[Fetal Sex (Male, Female or Unknown)]]="Female",Backend!$C$7,IF(Table1[[#This Row],[Fetal Sex (Male, Female or Unknown)]]="Unknown",Backend!$C$8,"Error"))),"")</f>
        <v/>
      </c>
      <c r="F6868" s="8" t="str">
        <f>IF(Table1[[#This Row],[Is Data Valid]]=TRUE,EXP(0.578+0.332*((Table1[[#This Row],[Gestation (days)]]+0.5)/7)-0.00354*((Table1[[#This Row],[Gestation (days)]]+0.5)/7)^2)*Table1[[#This Row],[BW40_3705]],"")</f>
        <v/>
      </c>
      <c r="G6868" s="2" t="str">
        <f>IF(Table1[[#This Row],[Is Data Valid]]=TRUE,((Table1[[#This Row],[Birthweight (grams)]]/Table1[[#This Row],[BW_GA]])-1)/(Backend!$B$4/100*Table1[[#This Row],[BW40_3705]]),"")</f>
        <v/>
      </c>
      <c r="H6868" s="7" t="str">
        <f>IF(Table1[[#This Row],[Is Data Valid]]=TRUE,((Table1[[#This Row],[Birthweight (grams)]]*0.9/Table1[[#This Row],[BW_GA]])-1)/(Backend!$B$4/100*Table1[[#This Row],[BW40_3705]]),"")</f>
        <v/>
      </c>
      <c r="I6868" s="7" t="str">
        <f>IF(Table1[[#This Row],[Is Data Valid]]=TRUE,((Table1[[#This Row],[Birthweight (grams)]]*1.1/Table1[[#This Row],[BW_GA]])-1)/(Backend!$B$4/100*Table1[[#This Row],[BW40_3705]]),"")</f>
        <v/>
      </c>
      <c r="J6868" s="7" t="str">
        <f>IF(Table1[[#This Row],[Is Data Valid]]=TRUE,_xlfn.NORM.S.DIST(Table1[[#This Row],[Birthweight Z-Score]],TRUE)*100,"")</f>
        <v/>
      </c>
      <c r="K6868" s="7" t="str">
        <f>IF(Table1[[#This Row],[Is Data Valid]]=TRUE,_xlfn.NORM.S.DIST(Table1[[#This Row],[Birthweight Z-Score (BW-10%)]],TRUE)*100,"")</f>
        <v/>
      </c>
      <c r="L6868" s="7" t="str">
        <f>IF(Table1[[#This Row],[Is Data Valid]]=TRUE,_xlfn.NORM.S.DIST(Table1[[#This Row],[Birthweight Z-Score (BW+10%)]],TRUE)*100,"")</f>
        <v/>
      </c>
    </row>
    <row r="6869" spans="1:12" x14ac:dyDescent="0.35">
      <c r="A6869" s="3"/>
      <c r="B6869" s="2"/>
      <c r="C6869" s="2"/>
      <c r="D6869" s="2" t="b">
        <f>IF(AND(NOT(ISBLANK(Table1[[#This Row],[Fetal Sex (Male, Female or Unknown)]])),ISNUMBER(Table1[[#This Row],[Birthweight (grams)]]),ISNUMBER(Table1[[#This Row],[Gestation (days)]])),TRUE,FALSE)</f>
        <v>0</v>
      </c>
      <c r="E6869" s="2" t="str">
        <f>IF(Table1[[#This Row],[Is Data Valid]]=TRUE,IF(Table1[[#This Row],[Fetal Sex (Male, Female or Unknown)]]="Male",Backend!$C$6,IF(Table1[[#This Row],[Fetal Sex (Male, Female or Unknown)]]="Female",Backend!$C$7,IF(Table1[[#This Row],[Fetal Sex (Male, Female or Unknown)]]="Unknown",Backend!$C$8,"Error"))),"")</f>
        <v/>
      </c>
      <c r="F6869" s="8" t="str">
        <f>IF(Table1[[#This Row],[Is Data Valid]]=TRUE,EXP(0.578+0.332*((Table1[[#This Row],[Gestation (days)]]+0.5)/7)-0.00354*((Table1[[#This Row],[Gestation (days)]]+0.5)/7)^2)*Table1[[#This Row],[BW40_3705]],"")</f>
        <v/>
      </c>
      <c r="G6869" s="2" t="str">
        <f>IF(Table1[[#This Row],[Is Data Valid]]=TRUE,((Table1[[#This Row],[Birthweight (grams)]]/Table1[[#This Row],[BW_GA]])-1)/(Backend!$B$4/100*Table1[[#This Row],[BW40_3705]]),"")</f>
        <v/>
      </c>
      <c r="H6869" s="7" t="str">
        <f>IF(Table1[[#This Row],[Is Data Valid]]=TRUE,((Table1[[#This Row],[Birthweight (grams)]]*0.9/Table1[[#This Row],[BW_GA]])-1)/(Backend!$B$4/100*Table1[[#This Row],[BW40_3705]]),"")</f>
        <v/>
      </c>
      <c r="I6869" s="7" t="str">
        <f>IF(Table1[[#This Row],[Is Data Valid]]=TRUE,((Table1[[#This Row],[Birthweight (grams)]]*1.1/Table1[[#This Row],[BW_GA]])-1)/(Backend!$B$4/100*Table1[[#This Row],[BW40_3705]]),"")</f>
        <v/>
      </c>
      <c r="J6869" s="7" t="str">
        <f>IF(Table1[[#This Row],[Is Data Valid]]=TRUE,_xlfn.NORM.S.DIST(Table1[[#This Row],[Birthweight Z-Score]],TRUE)*100,"")</f>
        <v/>
      </c>
      <c r="K6869" s="7" t="str">
        <f>IF(Table1[[#This Row],[Is Data Valid]]=TRUE,_xlfn.NORM.S.DIST(Table1[[#This Row],[Birthweight Z-Score (BW-10%)]],TRUE)*100,"")</f>
        <v/>
      </c>
      <c r="L6869" s="7" t="str">
        <f>IF(Table1[[#This Row],[Is Data Valid]]=TRUE,_xlfn.NORM.S.DIST(Table1[[#This Row],[Birthweight Z-Score (BW+10%)]],TRUE)*100,"")</f>
        <v/>
      </c>
    </row>
    <row r="6870" spans="1:12" x14ac:dyDescent="0.35">
      <c r="A6870" s="3"/>
      <c r="B6870" s="2"/>
      <c r="C6870" s="2"/>
      <c r="D6870" s="2" t="b">
        <f>IF(AND(NOT(ISBLANK(Table1[[#This Row],[Fetal Sex (Male, Female or Unknown)]])),ISNUMBER(Table1[[#This Row],[Birthweight (grams)]]),ISNUMBER(Table1[[#This Row],[Gestation (days)]])),TRUE,FALSE)</f>
        <v>0</v>
      </c>
      <c r="E6870" s="2" t="str">
        <f>IF(Table1[[#This Row],[Is Data Valid]]=TRUE,IF(Table1[[#This Row],[Fetal Sex (Male, Female or Unknown)]]="Male",Backend!$C$6,IF(Table1[[#This Row],[Fetal Sex (Male, Female or Unknown)]]="Female",Backend!$C$7,IF(Table1[[#This Row],[Fetal Sex (Male, Female or Unknown)]]="Unknown",Backend!$C$8,"Error"))),"")</f>
        <v/>
      </c>
      <c r="F6870" s="8" t="str">
        <f>IF(Table1[[#This Row],[Is Data Valid]]=TRUE,EXP(0.578+0.332*((Table1[[#This Row],[Gestation (days)]]+0.5)/7)-0.00354*((Table1[[#This Row],[Gestation (days)]]+0.5)/7)^2)*Table1[[#This Row],[BW40_3705]],"")</f>
        <v/>
      </c>
      <c r="G6870" s="2" t="str">
        <f>IF(Table1[[#This Row],[Is Data Valid]]=TRUE,((Table1[[#This Row],[Birthweight (grams)]]/Table1[[#This Row],[BW_GA]])-1)/(Backend!$B$4/100*Table1[[#This Row],[BW40_3705]]),"")</f>
        <v/>
      </c>
      <c r="H6870" s="7" t="str">
        <f>IF(Table1[[#This Row],[Is Data Valid]]=TRUE,((Table1[[#This Row],[Birthweight (grams)]]*0.9/Table1[[#This Row],[BW_GA]])-1)/(Backend!$B$4/100*Table1[[#This Row],[BW40_3705]]),"")</f>
        <v/>
      </c>
      <c r="I6870" s="7" t="str">
        <f>IF(Table1[[#This Row],[Is Data Valid]]=TRUE,((Table1[[#This Row],[Birthweight (grams)]]*1.1/Table1[[#This Row],[BW_GA]])-1)/(Backend!$B$4/100*Table1[[#This Row],[BW40_3705]]),"")</f>
        <v/>
      </c>
      <c r="J6870" s="7" t="str">
        <f>IF(Table1[[#This Row],[Is Data Valid]]=TRUE,_xlfn.NORM.S.DIST(Table1[[#This Row],[Birthweight Z-Score]],TRUE)*100,"")</f>
        <v/>
      </c>
      <c r="K6870" s="7" t="str">
        <f>IF(Table1[[#This Row],[Is Data Valid]]=TRUE,_xlfn.NORM.S.DIST(Table1[[#This Row],[Birthweight Z-Score (BW-10%)]],TRUE)*100,"")</f>
        <v/>
      </c>
      <c r="L6870" s="7" t="str">
        <f>IF(Table1[[#This Row],[Is Data Valid]]=TRUE,_xlfn.NORM.S.DIST(Table1[[#This Row],[Birthweight Z-Score (BW+10%)]],TRUE)*100,"")</f>
        <v/>
      </c>
    </row>
    <row r="6871" spans="1:12" x14ac:dyDescent="0.35">
      <c r="A6871" s="3"/>
      <c r="B6871" s="2"/>
      <c r="C6871" s="2"/>
      <c r="D6871" s="2" t="b">
        <f>IF(AND(NOT(ISBLANK(Table1[[#This Row],[Fetal Sex (Male, Female or Unknown)]])),ISNUMBER(Table1[[#This Row],[Birthweight (grams)]]),ISNUMBER(Table1[[#This Row],[Gestation (days)]])),TRUE,FALSE)</f>
        <v>0</v>
      </c>
      <c r="E6871" s="2" t="str">
        <f>IF(Table1[[#This Row],[Is Data Valid]]=TRUE,IF(Table1[[#This Row],[Fetal Sex (Male, Female or Unknown)]]="Male",Backend!$C$6,IF(Table1[[#This Row],[Fetal Sex (Male, Female or Unknown)]]="Female",Backend!$C$7,IF(Table1[[#This Row],[Fetal Sex (Male, Female or Unknown)]]="Unknown",Backend!$C$8,"Error"))),"")</f>
        <v/>
      </c>
      <c r="F6871" s="8" t="str">
        <f>IF(Table1[[#This Row],[Is Data Valid]]=TRUE,EXP(0.578+0.332*((Table1[[#This Row],[Gestation (days)]]+0.5)/7)-0.00354*((Table1[[#This Row],[Gestation (days)]]+0.5)/7)^2)*Table1[[#This Row],[BW40_3705]],"")</f>
        <v/>
      </c>
      <c r="G6871" s="2" t="str">
        <f>IF(Table1[[#This Row],[Is Data Valid]]=TRUE,((Table1[[#This Row],[Birthweight (grams)]]/Table1[[#This Row],[BW_GA]])-1)/(Backend!$B$4/100*Table1[[#This Row],[BW40_3705]]),"")</f>
        <v/>
      </c>
      <c r="H6871" s="7" t="str">
        <f>IF(Table1[[#This Row],[Is Data Valid]]=TRUE,((Table1[[#This Row],[Birthweight (grams)]]*0.9/Table1[[#This Row],[BW_GA]])-1)/(Backend!$B$4/100*Table1[[#This Row],[BW40_3705]]),"")</f>
        <v/>
      </c>
      <c r="I6871" s="7" t="str">
        <f>IF(Table1[[#This Row],[Is Data Valid]]=TRUE,((Table1[[#This Row],[Birthweight (grams)]]*1.1/Table1[[#This Row],[BW_GA]])-1)/(Backend!$B$4/100*Table1[[#This Row],[BW40_3705]]),"")</f>
        <v/>
      </c>
      <c r="J6871" s="7" t="str">
        <f>IF(Table1[[#This Row],[Is Data Valid]]=TRUE,_xlfn.NORM.S.DIST(Table1[[#This Row],[Birthweight Z-Score]],TRUE)*100,"")</f>
        <v/>
      </c>
      <c r="K6871" s="7" t="str">
        <f>IF(Table1[[#This Row],[Is Data Valid]]=TRUE,_xlfn.NORM.S.DIST(Table1[[#This Row],[Birthweight Z-Score (BW-10%)]],TRUE)*100,"")</f>
        <v/>
      </c>
      <c r="L6871" s="7" t="str">
        <f>IF(Table1[[#This Row],[Is Data Valid]]=TRUE,_xlfn.NORM.S.DIST(Table1[[#This Row],[Birthweight Z-Score (BW+10%)]],TRUE)*100,"")</f>
        <v/>
      </c>
    </row>
    <row r="6872" spans="1:12" x14ac:dyDescent="0.35">
      <c r="A6872" s="3"/>
      <c r="B6872" s="2"/>
      <c r="C6872" s="2"/>
      <c r="D6872" s="2" t="b">
        <f>IF(AND(NOT(ISBLANK(Table1[[#This Row],[Fetal Sex (Male, Female or Unknown)]])),ISNUMBER(Table1[[#This Row],[Birthweight (grams)]]),ISNUMBER(Table1[[#This Row],[Gestation (days)]])),TRUE,FALSE)</f>
        <v>0</v>
      </c>
      <c r="E6872" s="2" t="str">
        <f>IF(Table1[[#This Row],[Is Data Valid]]=TRUE,IF(Table1[[#This Row],[Fetal Sex (Male, Female or Unknown)]]="Male",Backend!$C$6,IF(Table1[[#This Row],[Fetal Sex (Male, Female or Unknown)]]="Female",Backend!$C$7,IF(Table1[[#This Row],[Fetal Sex (Male, Female or Unknown)]]="Unknown",Backend!$C$8,"Error"))),"")</f>
        <v/>
      </c>
      <c r="F6872" s="8" t="str">
        <f>IF(Table1[[#This Row],[Is Data Valid]]=TRUE,EXP(0.578+0.332*((Table1[[#This Row],[Gestation (days)]]+0.5)/7)-0.00354*((Table1[[#This Row],[Gestation (days)]]+0.5)/7)^2)*Table1[[#This Row],[BW40_3705]],"")</f>
        <v/>
      </c>
      <c r="G6872" s="2" t="str">
        <f>IF(Table1[[#This Row],[Is Data Valid]]=TRUE,((Table1[[#This Row],[Birthweight (grams)]]/Table1[[#This Row],[BW_GA]])-1)/(Backend!$B$4/100*Table1[[#This Row],[BW40_3705]]),"")</f>
        <v/>
      </c>
      <c r="H6872" s="7" t="str">
        <f>IF(Table1[[#This Row],[Is Data Valid]]=TRUE,((Table1[[#This Row],[Birthweight (grams)]]*0.9/Table1[[#This Row],[BW_GA]])-1)/(Backend!$B$4/100*Table1[[#This Row],[BW40_3705]]),"")</f>
        <v/>
      </c>
      <c r="I6872" s="7" t="str">
        <f>IF(Table1[[#This Row],[Is Data Valid]]=TRUE,((Table1[[#This Row],[Birthweight (grams)]]*1.1/Table1[[#This Row],[BW_GA]])-1)/(Backend!$B$4/100*Table1[[#This Row],[BW40_3705]]),"")</f>
        <v/>
      </c>
      <c r="J6872" s="7" t="str">
        <f>IF(Table1[[#This Row],[Is Data Valid]]=TRUE,_xlfn.NORM.S.DIST(Table1[[#This Row],[Birthweight Z-Score]],TRUE)*100,"")</f>
        <v/>
      </c>
      <c r="K6872" s="7" t="str">
        <f>IF(Table1[[#This Row],[Is Data Valid]]=TRUE,_xlfn.NORM.S.DIST(Table1[[#This Row],[Birthweight Z-Score (BW-10%)]],TRUE)*100,"")</f>
        <v/>
      </c>
      <c r="L6872" s="7" t="str">
        <f>IF(Table1[[#This Row],[Is Data Valid]]=TRUE,_xlfn.NORM.S.DIST(Table1[[#This Row],[Birthweight Z-Score (BW+10%)]],TRUE)*100,"")</f>
        <v/>
      </c>
    </row>
    <row r="6873" spans="1:12" x14ac:dyDescent="0.35">
      <c r="A6873" s="3"/>
      <c r="B6873" s="2"/>
      <c r="C6873" s="2"/>
      <c r="D6873" s="2" t="b">
        <f>IF(AND(NOT(ISBLANK(Table1[[#This Row],[Fetal Sex (Male, Female or Unknown)]])),ISNUMBER(Table1[[#This Row],[Birthweight (grams)]]),ISNUMBER(Table1[[#This Row],[Gestation (days)]])),TRUE,FALSE)</f>
        <v>0</v>
      </c>
      <c r="E6873" s="2" t="str">
        <f>IF(Table1[[#This Row],[Is Data Valid]]=TRUE,IF(Table1[[#This Row],[Fetal Sex (Male, Female or Unknown)]]="Male",Backend!$C$6,IF(Table1[[#This Row],[Fetal Sex (Male, Female or Unknown)]]="Female",Backend!$C$7,IF(Table1[[#This Row],[Fetal Sex (Male, Female or Unknown)]]="Unknown",Backend!$C$8,"Error"))),"")</f>
        <v/>
      </c>
      <c r="F6873" s="8" t="str">
        <f>IF(Table1[[#This Row],[Is Data Valid]]=TRUE,EXP(0.578+0.332*((Table1[[#This Row],[Gestation (days)]]+0.5)/7)-0.00354*((Table1[[#This Row],[Gestation (days)]]+0.5)/7)^2)*Table1[[#This Row],[BW40_3705]],"")</f>
        <v/>
      </c>
      <c r="G6873" s="2" t="str">
        <f>IF(Table1[[#This Row],[Is Data Valid]]=TRUE,((Table1[[#This Row],[Birthweight (grams)]]/Table1[[#This Row],[BW_GA]])-1)/(Backend!$B$4/100*Table1[[#This Row],[BW40_3705]]),"")</f>
        <v/>
      </c>
      <c r="H6873" s="7" t="str">
        <f>IF(Table1[[#This Row],[Is Data Valid]]=TRUE,((Table1[[#This Row],[Birthweight (grams)]]*0.9/Table1[[#This Row],[BW_GA]])-1)/(Backend!$B$4/100*Table1[[#This Row],[BW40_3705]]),"")</f>
        <v/>
      </c>
      <c r="I6873" s="7" t="str">
        <f>IF(Table1[[#This Row],[Is Data Valid]]=TRUE,((Table1[[#This Row],[Birthweight (grams)]]*1.1/Table1[[#This Row],[BW_GA]])-1)/(Backend!$B$4/100*Table1[[#This Row],[BW40_3705]]),"")</f>
        <v/>
      </c>
      <c r="J6873" s="7" t="str">
        <f>IF(Table1[[#This Row],[Is Data Valid]]=TRUE,_xlfn.NORM.S.DIST(Table1[[#This Row],[Birthweight Z-Score]],TRUE)*100,"")</f>
        <v/>
      </c>
      <c r="K6873" s="7" t="str">
        <f>IF(Table1[[#This Row],[Is Data Valid]]=TRUE,_xlfn.NORM.S.DIST(Table1[[#This Row],[Birthweight Z-Score (BW-10%)]],TRUE)*100,"")</f>
        <v/>
      </c>
      <c r="L6873" s="7" t="str">
        <f>IF(Table1[[#This Row],[Is Data Valid]]=TRUE,_xlfn.NORM.S.DIST(Table1[[#This Row],[Birthweight Z-Score (BW+10%)]],TRUE)*100,"")</f>
        <v/>
      </c>
    </row>
    <row r="6874" spans="1:12" x14ac:dyDescent="0.35">
      <c r="A6874" s="3"/>
      <c r="B6874" s="2"/>
      <c r="C6874" s="2"/>
      <c r="D6874" s="2" t="b">
        <f>IF(AND(NOT(ISBLANK(Table1[[#This Row],[Fetal Sex (Male, Female or Unknown)]])),ISNUMBER(Table1[[#This Row],[Birthweight (grams)]]),ISNUMBER(Table1[[#This Row],[Gestation (days)]])),TRUE,FALSE)</f>
        <v>0</v>
      </c>
      <c r="E6874" s="2" t="str">
        <f>IF(Table1[[#This Row],[Is Data Valid]]=TRUE,IF(Table1[[#This Row],[Fetal Sex (Male, Female or Unknown)]]="Male",Backend!$C$6,IF(Table1[[#This Row],[Fetal Sex (Male, Female or Unknown)]]="Female",Backend!$C$7,IF(Table1[[#This Row],[Fetal Sex (Male, Female or Unknown)]]="Unknown",Backend!$C$8,"Error"))),"")</f>
        <v/>
      </c>
      <c r="F6874" s="8" t="str">
        <f>IF(Table1[[#This Row],[Is Data Valid]]=TRUE,EXP(0.578+0.332*((Table1[[#This Row],[Gestation (days)]]+0.5)/7)-0.00354*((Table1[[#This Row],[Gestation (days)]]+0.5)/7)^2)*Table1[[#This Row],[BW40_3705]],"")</f>
        <v/>
      </c>
      <c r="G6874" s="2" t="str">
        <f>IF(Table1[[#This Row],[Is Data Valid]]=TRUE,((Table1[[#This Row],[Birthweight (grams)]]/Table1[[#This Row],[BW_GA]])-1)/(Backend!$B$4/100*Table1[[#This Row],[BW40_3705]]),"")</f>
        <v/>
      </c>
      <c r="H6874" s="7" t="str">
        <f>IF(Table1[[#This Row],[Is Data Valid]]=TRUE,((Table1[[#This Row],[Birthweight (grams)]]*0.9/Table1[[#This Row],[BW_GA]])-1)/(Backend!$B$4/100*Table1[[#This Row],[BW40_3705]]),"")</f>
        <v/>
      </c>
      <c r="I6874" s="7" t="str">
        <f>IF(Table1[[#This Row],[Is Data Valid]]=TRUE,((Table1[[#This Row],[Birthweight (grams)]]*1.1/Table1[[#This Row],[BW_GA]])-1)/(Backend!$B$4/100*Table1[[#This Row],[BW40_3705]]),"")</f>
        <v/>
      </c>
      <c r="J6874" s="7" t="str">
        <f>IF(Table1[[#This Row],[Is Data Valid]]=TRUE,_xlfn.NORM.S.DIST(Table1[[#This Row],[Birthweight Z-Score]],TRUE)*100,"")</f>
        <v/>
      </c>
      <c r="K6874" s="7" t="str">
        <f>IF(Table1[[#This Row],[Is Data Valid]]=TRUE,_xlfn.NORM.S.DIST(Table1[[#This Row],[Birthweight Z-Score (BW-10%)]],TRUE)*100,"")</f>
        <v/>
      </c>
      <c r="L6874" s="7" t="str">
        <f>IF(Table1[[#This Row],[Is Data Valid]]=TRUE,_xlfn.NORM.S.DIST(Table1[[#This Row],[Birthweight Z-Score (BW+10%)]],TRUE)*100,"")</f>
        <v/>
      </c>
    </row>
    <row r="6875" spans="1:12" x14ac:dyDescent="0.35">
      <c r="A6875" s="3"/>
      <c r="B6875" s="2"/>
      <c r="C6875" s="2"/>
      <c r="D6875" s="2" t="b">
        <f>IF(AND(NOT(ISBLANK(Table1[[#This Row],[Fetal Sex (Male, Female or Unknown)]])),ISNUMBER(Table1[[#This Row],[Birthweight (grams)]]),ISNUMBER(Table1[[#This Row],[Gestation (days)]])),TRUE,FALSE)</f>
        <v>0</v>
      </c>
      <c r="E6875" s="2" t="str">
        <f>IF(Table1[[#This Row],[Is Data Valid]]=TRUE,IF(Table1[[#This Row],[Fetal Sex (Male, Female or Unknown)]]="Male",Backend!$C$6,IF(Table1[[#This Row],[Fetal Sex (Male, Female or Unknown)]]="Female",Backend!$C$7,IF(Table1[[#This Row],[Fetal Sex (Male, Female or Unknown)]]="Unknown",Backend!$C$8,"Error"))),"")</f>
        <v/>
      </c>
      <c r="F6875" s="8" t="str">
        <f>IF(Table1[[#This Row],[Is Data Valid]]=TRUE,EXP(0.578+0.332*((Table1[[#This Row],[Gestation (days)]]+0.5)/7)-0.00354*((Table1[[#This Row],[Gestation (days)]]+0.5)/7)^2)*Table1[[#This Row],[BW40_3705]],"")</f>
        <v/>
      </c>
      <c r="G6875" s="2" t="str">
        <f>IF(Table1[[#This Row],[Is Data Valid]]=TRUE,((Table1[[#This Row],[Birthweight (grams)]]/Table1[[#This Row],[BW_GA]])-1)/(Backend!$B$4/100*Table1[[#This Row],[BW40_3705]]),"")</f>
        <v/>
      </c>
      <c r="H6875" s="7" t="str">
        <f>IF(Table1[[#This Row],[Is Data Valid]]=TRUE,((Table1[[#This Row],[Birthweight (grams)]]*0.9/Table1[[#This Row],[BW_GA]])-1)/(Backend!$B$4/100*Table1[[#This Row],[BW40_3705]]),"")</f>
        <v/>
      </c>
      <c r="I6875" s="7" t="str">
        <f>IF(Table1[[#This Row],[Is Data Valid]]=TRUE,((Table1[[#This Row],[Birthweight (grams)]]*1.1/Table1[[#This Row],[BW_GA]])-1)/(Backend!$B$4/100*Table1[[#This Row],[BW40_3705]]),"")</f>
        <v/>
      </c>
      <c r="J6875" s="7" t="str">
        <f>IF(Table1[[#This Row],[Is Data Valid]]=TRUE,_xlfn.NORM.S.DIST(Table1[[#This Row],[Birthweight Z-Score]],TRUE)*100,"")</f>
        <v/>
      </c>
      <c r="K6875" s="7" t="str">
        <f>IF(Table1[[#This Row],[Is Data Valid]]=TRUE,_xlfn.NORM.S.DIST(Table1[[#This Row],[Birthweight Z-Score (BW-10%)]],TRUE)*100,"")</f>
        <v/>
      </c>
      <c r="L6875" s="7" t="str">
        <f>IF(Table1[[#This Row],[Is Data Valid]]=TRUE,_xlfn.NORM.S.DIST(Table1[[#This Row],[Birthweight Z-Score (BW+10%)]],TRUE)*100,"")</f>
        <v/>
      </c>
    </row>
    <row r="6876" spans="1:12" x14ac:dyDescent="0.35">
      <c r="A6876" s="3"/>
      <c r="B6876" s="2"/>
      <c r="C6876" s="2"/>
      <c r="D6876" s="2" t="b">
        <f>IF(AND(NOT(ISBLANK(Table1[[#This Row],[Fetal Sex (Male, Female or Unknown)]])),ISNUMBER(Table1[[#This Row],[Birthweight (grams)]]),ISNUMBER(Table1[[#This Row],[Gestation (days)]])),TRUE,FALSE)</f>
        <v>0</v>
      </c>
      <c r="E6876" s="2" t="str">
        <f>IF(Table1[[#This Row],[Is Data Valid]]=TRUE,IF(Table1[[#This Row],[Fetal Sex (Male, Female or Unknown)]]="Male",Backend!$C$6,IF(Table1[[#This Row],[Fetal Sex (Male, Female or Unknown)]]="Female",Backend!$C$7,IF(Table1[[#This Row],[Fetal Sex (Male, Female or Unknown)]]="Unknown",Backend!$C$8,"Error"))),"")</f>
        <v/>
      </c>
      <c r="F6876" s="8" t="str">
        <f>IF(Table1[[#This Row],[Is Data Valid]]=TRUE,EXP(0.578+0.332*((Table1[[#This Row],[Gestation (days)]]+0.5)/7)-0.00354*((Table1[[#This Row],[Gestation (days)]]+0.5)/7)^2)*Table1[[#This Row],[BW40_3705]],"")</f>
        <v/>
      </c>
      <c r="G6876" s="2" t="str">
        <f>IF(Table1[[#This Row],[Is Data Valid]]=TRUE,((Table1[[#This Row],[Birthweight (grams)]]/Table1[[#This Row],[BW_GA]])-1)/(Backend!$B$4/100*Table1[[#This Row],[BW40_3705]]),"")</f>
        <v/>
      </c>
      <c r="H6876" s="7" t="str">
        <f>IF(Table1[[#This Row],[Is Data Valid]]=TRUE,((Table1[[#This Row],[Birthweight (grams)]]*0.9/Table1[[#This Row],[BW_GA]])-1)/(Backend!$B$4/100*Table1[[#This Row],[BW40_3705]]),"")</f>
        <v/>
      </c>
      <c r="I6876" s="7" t="str">
        <f>IF(Table1[[#This Row],[Is Data Valid]]=TRUE,((Table1[[#This Row],[Birthweight (grams)]]*1.1/Table1[[#This Row],[BW_GA]])-1)/(Backend!$B$4/100*Table1[[#This Row],[BW40_3705]]),"")</f>
        <v/>
      </c>
      <c r="J6876" s="7" t="str">
        <f>IF(Table1[[#This Row],[Is Data Valid]]=TRUE,_xlfn.NORM.S.DIST(Table1[[#This Row],[Birthweight Z-Score]],TRUE)*100,"")</f>
        <v/>
      </c>
      <c r="K6876" s="7" t="str">
        <f>IF(Table1[[#This Row],[Is Data Valid]]=TRUE,_xlfn.NORM.S.DIST(Table1[[#This Row],[Birthweight Z-Score (BW-10%)]],TRUE)*100,"")</f>
        <v/>
      </c>
      <c r="L6876" s="7" t="str">
        <f>IF(Table1[[#This Row],[Is Data Valid]]=TRUE,_xlfn.NORM.S.DIST(Table1[[#This Row],[Birthweight Z-Score (BW+10%)]],TRUE)*100,"")</f>
        <v/>
      </c>
    </row>
    <row r="6877" spans="1:12" x14ac:dyDescent="0.35">
      <c r="A6877" s="3"/>
      <c r="B6877" s="2"/>
      <c r="C6877" s="2"/>
      <c r="D6877" s="2" t="b">
        <f>IF(AND(NOT(ISBLANK(Table1[[#This Row],[Fetal Sex (Male, Female or Unknown)]])),ISNUMBER(Table1[[#This Row],[Birthweight (grams)]]),ISNUMBER(Table1[[#This Row],[Gestation (days)]])),TRUE,FALSE)</f>
        <v>0</v>
      </c>
      <c r="E6877" s="2" t="str">
        <f>IF(Table1[[#This Row],[Is Data Valid]]=TRUE,IF(Table1[[#This Row],[Fetal Sex (Male, Female or Unknown)]]="Male",Backend!$C$6,IF(Table1[[#This Row],[Fetal Sex (Male, Female or Unknown)]]="Female",Backend!$C$7,IF(Table1[[#This Row],[Fetal Sex (Male, Female or Unknown)]]="Unknown",Backend!$C$8,"Error"))),"")</f>
        <v/>
      </c>
      <c r="F6877" s="8" t="str">
        <f>IF(Table1[[#This Row],[Is Data Valid]]=TRUE,EXP(0.578+0.332*((Table1[[#This Row],[Gestation (days)]]+0.5)/7)-0.00354*((Table1[[#This Row],[Gestation (days)]]+0.5)/7)^2)*Table1[[#This Row],[BW40_3705]],"")</f>
        <v/>
      </c>
      <c r="G6877" s="2" t="str">
        <f>IF(Table1[[#This Row],[Is Data Valid]]=TRUE,((Table1[[#This Row],[Birthweight (grams)]]/Table1[[#This Row],[BW_GA]])-1)/(Backend!$B$4/100*Table1[[#This Row],[BW40_3705]]),"")</f>
        <v/>
      </c>
      <c r="H6877" s="7" t="str">
        <f>IF(Table1[[#This Row],[Is Data Valid]]=TRUE,((Table1[[#This Row],[Birthweight (grams)]]*0.9/Table1[[#This Row],[BW_GA]])-1)/(Backend!$B$4/100*Table1[[#This Row],[BW40_3705]]),"")</f>
        <v/>
      </c>
      <c r="I6877" s="7" t="str">
        <f>IF(Table1[[#This Row],[Is Data Valid]]=TRUE,((Table1[[#This Row],[Birthweight (grams)]]*1.1/Table1[[#This Row],[BW_GA]])-1)/(Backend!$B$4/100*Table1[[#This Row],[BW40_3705]]),"")</f>
        <v/>
      </c>
      <c r="J6877" s="7" t="str">
        <f>IF(Table1[[#This Row],[Is Data Valid]]=TRUE,_xlfn.NORM.S.DIST(Table1[[#This Row],[Birthweight Z-Score]],TRUE)*100,"")</f>
        <v/>
      </c>
      <c r="K6877" s="7" t="str">
        <f>IF(Table1[[#This Row],[Is Data Valid]]=TRUE,_xlfn.NORM.S.DIST(Table1[[#This Row],[Birthweight Z-Score (BW-10%)]],TRUE)*100,"")</f>
        <v/>
      </c>
      <c r="L6877" s="7" t="str">
        <f>IF(Table1[[#This Row],[Is Data Valid]]=TRUE,_xlfn.NORM.S.DIST(Table1[[#This Row],[Birthweight Z-Score (BW+10%)]],TRUE)*100,"")</f>
        <v/>
      </c>
    </row>
    <row r="6878" spans="1:12" x14ac:dyDescent="0.35">
      <c r="A6878" s="3"/>
      <c r="B6878" s="2"/>
      <c r="C6878" s="2"/>
      <c r="D6878" s="2" t="b">
        <f>IF(AND(NOT(ISBLANK(Table1[[#This Row],[Fetal Sex (Male, Female or Unknown)]])),ISNUMBER(Table1[[#This Row],[Birthweight (grams)]]),ISNUMBER(Table1[[#This Row],[Gestation (days)]])),TRUE,FALSE)</f>
        <v>0</v>
      </c>
      <c r="E6878" s="2" t="str">
        <f>IF(Table1[[#This Row],[Is Data Valid]]=TRUE,IF(Table1[[#This Row],[Fetal Sex (Male, Female or Unknown)]]="Male",Backend!$C$6,IF(Table1[[#This Row],[Fetal Sex (Male, Female or Unknown)]]="Female",Backend!$C$7,IF(Table1[[#This Row],[Fetal Sex (Male, Female or Unknown)]]="Unknown",Backend!$C$8,"Error"))),"")</f>
        <v/>
      </c>
      <c r="F6878" s="8" t="str">
        <f>IF(Table1[[#This Row],[Is Data Valid]]=TRUE,EXP(0.578+0.332*((Table1[[#This Row],[Gestation (days)]]+0.5)/7)-0.00354*((Table1[[#This Row],[Gestation (days)]]+0.5)/7)^2)*Table1[[#This Row],[BW40_3705]],"")</f>
        <v/>
      </c>
      <c r="G6878" s="2" t="str">
        <f>IF(Table1[[#This Row],[Is Data Valid]]=TRUE,((Table1[[#This Row],[Birthweight (grams)]]/Table1[[#This Row],[BW_GA]])-1)/(Backend!$B$4/100*Table1[[#This Row],[BW40_3705]]),"")</f>
        <v/>
      </c>
      <c r="H6878" s="7" t="str">
        <f>IF(Table1[[#This Row],[Is Data Valid]]=TRUE,((Table1[[#This Row],[Birthweight (grams)]]*0.9/Table1[[#This Row],[BW_GA]])-1)/(Backend!$B$4/100*Table1[[#This Row],[BW40_3705]]),"")</f>
        <v/>
      </c>
      <c r="I6878" s="7" t="str">
        <f>IF(Table1[[#This Row],[Is Data Valid]]=TRUE,((Table1[[#This Row],[Birthweight (grams)]]*1.1/Table1[[#This Row],[BW_GA]])-1)/(Backend!$B$4/100*Table1[[#This Row],[BW40_3705]]),"")</f>
        <v/>
      </c>
      <c r="J6878" s="7" t="str">
        <f>IF(Table1[[#This Row],[Is Data Valid]]=TRUE,_xlfn.NORM.S.DIST(Table1[[#This Row],[Birthweight Z-Score]],TRUE)*100,"")</f>
        <v/>
      </c>
      <c r="K6878" s="7" t="str">
        <f>IF(Table1[[#This Row],[Is Data Valid]]=TRUE,_xlfn.NORM.S.DIST(Table1[[#This Row],[Birthweight Z-Score (BW-10%)]],TRUE)*100,"")</f>
        <v/>
      </c>
      <c r="L6878" s="7" t="str">
        <f>IF(Table1[[#This Row],[Is Data Valid]]=TRUE,_xlfn.NORM.S.DIST(Table1[[#This Row],[Birthweight Z-Score (BW+10%)]],TRUE)*100,"")</f>
        <v/>
      </c>
    </row>
    <row r="6879" spans="1:12" x14ac:dyDescent="0.35">
      <c r="A6879" s="3"/>
      <c r="B6879" s="2"/>
      <c r="C6879" s="2"/>
      <c r="D6879" s="2" t="b">
        <f>IF(AND(NOT(ISBLANK(Table1[[#This Row],[Fetal Sex (Male, Female or Unknown)]])),ISNUMBER(Table1[[#This Row],[Birthweight (grams)]]),ISNUMBER(Table1[[#This Row],[Gestation (days)]])),TRUE,FALSE)</f>
        <v>0</v>
      </c>
      <c r="E6879" s="2" t="str">
        <f>IF(Table1[[#This Row],[Is Data Valid]]=TRUE,IF(Table1[[#This Row],[Fetal Sex (Male, Female or Unknown)]]="Male",Backend!$C$6,IF(Table1[[#This Row],[Fetal Sex (Male, Female or Unknown)]]="Female",Backend!$C$7,IF(Table1[[#This Row],[Fetal Sex (Male, Female or Unknown)]]="Unknown",Backend!$C$8,"Error"))),"")</f>
        <v/>
      </c>
      <c r="F6879" s="8" t="str">
        <f>IF(Table1[[#This Row],[Is Data Valid]]=TRUE,EXP(0.578+0.332*((Table1[[#This Row],[Gestation (days)]]+0.5)/7)-0.00354*((Table1[[#This Row],[Gestation (days)]]+0.5)/7)^2)*Table1[[#This Row],[BW40_3705]],"")</f>
        <v/>
      </c>
      <c r="G6879" s="2" t="str">
        <f>IF(Table1[[#This Row],[Is Data Valid]]=TRUE,((Table1[[#This Row],[Birthweight (grams)]]/Table1[[#This Row],[BW_GA]])-1)/(Backend!$B$4/100*Table1[[#This Row],[BW40_3705]]),"")</f>
        <v/>
      </c>
      <c r="H6879" s="7" t="str">
        <f>IF(Table1[[#This Row],[Is Data Valid]]=TRUE,((Table1[[#This Row],[Birthweight (grams)]]*0.9/Table1[[#This Row],[BW_GA]])-1)/(Backend!$B$4/100*Table1[[#This Row],[BW40_3705]]),"")</f>
        <v/>
      </c>
      <c r="I6879" s="7" t="str">
        <f>IF(Table1[[#This Row],[Is Data Valid]]=TRUE,((Table1[[#This Row],[Birthweight (grams)]]*1.1/Table1[[#This Row],[BW_GA]])-1)/(Backend!$B$4/100*Table1[[#This Row],[BW40_3705]]),"")</f>
        <v/>
      </c>
      <c r="J6879" s="7" t="str">
        <f>IF(Table1[[#This Row],[Is Data Valid]]=TRUE,_xlfn.NORM.S.DIST(Table1[[#This Row],[Birthweight Z-Score]],TRUE)*100,"")</f>
        <v/>
      </c>
      <c r="K6879" s="7" t="str">
        <f>IF(Table1[[#This Row],[Is Data Valid]]=TRUE,_xlfn.NORM.S.DIST(Table1[[#This Row],[Birthweight Z-Score (BW-10%)]],TRUE)*100,"")</f>
        <v/>
      </c>
      <c r="L6879" s="7" t="str">
        <f>IF(Table1[[#This Row],[Is Data Valid]]=TRUE,_xlfn.NORM.S.DIST(Table1[[#This Row],[Birthweight Z-Score (BW+10%)]],TRUE)*100,"")</f>
        <v/>
      </c>
    </row>
    <row r="6880" spans="1:12" x14ac:dyDescent="0.35">
      <c r="A6880" s="3"/>
      <c r="B6880" s="2"/>
      <c r="C6880" s="2"/>
      <c r="D6880" s="2" t="b">
        <f>IF(AND(NOT(ISBLANK(Table1[[#This Row],[Fetal Sex (Male, Female or Unknown)]])),ISNUMBER(Table1[[#This Row],[Birthweight (grams)]]),ISNUMBER(Table1[[#This Row],[Gestation (days)]])),TRUE,FALSE)</f>
        <v>0</v>
      </c>
      <c r="E6880" s="2" t="str">
        <f>IF(Table1[[#This Row],[Is Data Valid]]=TRUE,IF(Table1[[#This Row],[Fetal Sex (Male, Female or Unknown)]]="Male",Backend!$C$6,IF(Table1[[#This Row],[Fetal Sex (Male, Female or Unknown)]]="Female",Backend!$C$7,IF(Table1[[#This Row],[Fetal Sex (Male, Female or Unknown)]]="Unknown",Backend!$C$8,"Error"))),"")</f>
        <v/>
      </c>
      <c r="F6880" s="8" t="str">
        <f>IF(Table1[[#This Row],[Is Data Valid]]=TRUE,EXP(0.578+0.332*((Table1[[#This Row],[Gestation (days)]]+0.5)/7)-0.00354*((Table1[[#This Row],[Gestation (days)]]+0.5)/7)^2)*Table1[[#This Row],[BW40_3705]],"")</f>
        <v/>
      </c>
      <c r="G6880" s="2" t="str">
        <f>IF(Table1[[#This Row],[Is Data Valid]]=TRUE,((Table1[[#This Row],[Birthweight (grams)]]/Table1[[#This Row],[BW_GA]])-1)/(Backend!$B$4/100*Table1[[#This Row],[BW40_3705]]),"")</f>
        <v/>
      </c>
      <c r="H6880" s="7" t="str">
        <f>IF(Table1[[#This Row],[Is Data Valid]]=TRUE,((Table1[[#This Row],[Birthweight (grams)]]*0.9/Table1[[#This Row],[BW_GA]])-1)/(Backend!$B$4/100*Table1[[#This Row],[BW40_3705]]),"")</f>
        <v/>
      </c>
      <c r="I6880" s="7" t="str">
        <f>IF(Table1[[#This Row],[Is Data Valid]]=TRUE,((Table1[[#This Row],[Birthweight (grams)]]*1.1/Table1[[#This Row],[BW_GA]])-1)/(Backend!$B$4/100*Table1[[#This Row],[BW40_3705]]),"")</f>
        <v/>
      </c>
      <c r="J6880" s="7" t="str">
        <f>IF(Table1[[#This Row],[Is Data Valid]]=TRUE,_xlfn.NORM.S.DIST(Table1[[#This Row],[Birthweight Z-Score]],TRUE)*100,"")</f>
        <v/>
      </c>
      <c r="K6880" s="7" t="str">
        <f>IF(Table1[[#This Row],[Is Data Valid]]=TRUE,_xlfn.NORM.S.DIST(Table1[[#This Row],[Birthweight Z-Score (BW-10%)]],TRUE)*100,"")</f>
        <v/>
      </c>
      <c r="L6880" s="7" t="str">
        <f>IF(Table1[[#This Row],[Is Data Valid]]=TRUE,_xlfn.NORM.S.DIST(Table1[[#This Row],[Birthweight Z-Score (BW+10%)]],TRUE)*100,"")</f>
        <v/>
      </c>
    </row>
    <row r="6881" spans="1:12" x14ac:dyDescent="0.35">
      <c r="A6881" s="3"/>
      <c r="B6881" s="2"/>
      <c r="C6881" s="2"/>
      <c r="D6881" s="2" t="b">
        <f>IF(AND(NOT(ISBLANK(Table1[[#This Row],[Fetal Sex (Male, Female or Unknown)]])),ISNUMBER(Table1[[#This Row],[Birthweight (grams)]]),ISNUMBER(Table1[[#This Row],[Gestation (days)]])),TRUE,FALSE)</f>
        <v>0</v>
      </c>
      <c r="E6881" s="2" t="str">
        <f>IF(Table1[[#This Row],[Is Data Valid]]=TRUE,IF(Table1[[#This Row],[Fetal Sex (Male, Female or Unknown)]]="Male",Backend!$C$6,IF(Table1[[#This Row],[Fetal Sex (Male, Female or Unknown)]]="Female",Backend!$C$7,IF(Table1[[#This Row],[Fetal Sex (Male, Female or Unknown)]]="Unknown",Backend!$C$8,"Error"))),"")</f>
        <v/>
      </c>
      <c r="F6881" s="8" t="str">
        <f>IF(Table1[[#This Row],[Is Data Valid]]=TRUE,EXP(0.578+0.332*((Table1[[#This Row],[Gestation (days)]]+0.5)/7)-0.00354*((Table1[[#This Row],[Gestation (days)]]+0.5)/7)^2)*Table1[[#This Row],[BW40_3705]],"")</f>
        <v/>
      </c>
      <c r="G6881" s="2" t="str">
        <f>IF(Table1[[#This Row],[Is Data Valid]]=TRUE,((Table1[[#This Row],[Birthweight (grams)]]/Table1[[#This Row],[BW_GA]])-1)/(Backend!$B$4/100*Table1[[#This Row],[BW40_3705]]),"")</f>
        <v/>
      </c>
      <c r="H6881" s="7" t="str">
        <f>IF(Table1[[#This Row],[Is Data Valid]]=TRUE,((Table1[[#This Row],[Birthweight (grams)]]*0.9/Table1[[#This Row],[BW_GA]])-1)/(Backend!$B$4/100*Table1[[#This Row],[BW40_3705]]),"")</f>
        <v/>
      </c>
      <c r="I6881" s="7" t="str">
        <f>IF(Table1[[#This Row],[Is Data Valid]]=TRUE,((Table1[[#This Row],[Birthweight (grams)]]*1.1/Table1[[#This Row],[BW_GA]])-1)/(Backend!$B$4/100*Table1[[#This Row],[BW40_3705]]),"")</f>
        <v/>
      </c>
      <c r="J6881" s="7" t="str">
        <f>IF(Table1[[#This Row],[Is Data Valid]]=TRUE,_xlfn.NORM.S.DIST(Table1[[#This Row],[Birthweight Z-Score]],TRUE)*100,"")</f>
        <v/>
      </c>
      <c r="K6881" s="7" t="str">
        <f>IF(Table1[[#This Row],[Is Data Valid]]=TRUE,_xlfn.NORM.S.DIST(Table1[[#This Row],[Birthweight Z-Score (BW-10%)]],TRUE)*100,"")</f>
        <v/>
      </c>
      <c r="L6881" s="7" t="str">
        <f>IF(Table1[[#This Row],[Is Data Valid]]=TRUE,_xlfn.NORM.S.DIST(Table1[[#This Row],[Birthweight Z-Score (BW+10%)]],TRUE)*100,"")</f>
        <v/>
      </c>
    </row>
    <row r="6882" spans="1:12" x14ac:dyDescent="0.35">
      <c r="A6882" s="3"/>
      <c r="B6882" s="2"/>
      <c r="C6882" s="2"/>
      <c r="D6882" s="2" t="b">
        <f>IF(AND(NOT(ISBLANK(Table1[[#This Row],[Fetal Sex (Male, Female or Unknown)]])),ISNUMBER(Table1[[#This Row],[Birthweight (grams)]]),ISNUMBER(Table1[[#This Row],[Gestation (days)]])),TRUE,FALSE)</f>
        <v>0</v>
      </c>
      <c r="E6882" s="2" t="str">
        <f>IF(Table1[[#This Row],[Is Data Valid]]=TRUE,IF(Table1[[#This Row],[Fetal Sex (Male, Female or Unknown)]]="Male",Backend!$C$6,IF(Table1[[#This Row],[Fetal Sex (Male, Female or Unknown)]]="Female",Backend!$C$7,IF(Table1[[#This Row],[Fetal Sex (Male, Female or Unknown)]]="Unknown",Backend!$C$8,"Error"))),"")</f>
        <v/>
      </c>
      <c r="F6882" s="8" t="str">
        <f>IF(Table1[[#This Row],[Is Data Valid]]=TRUE,EXP(0.578+0.332*((Table1[[#This Row],[Gestation (days)]]+0.5)/7)-0.00354*((Table1[[#This Row],[Gestation (days)]]+0.5)/7)^2)*Table1[[#This Row],[BW40_3705]],"")</f>
        <v/>
      </c>
      <c r="G6882" s="2" t="str">
        <f>IF(Table1[[#This Row],[Is Data Valid]]=TRUE,((Table1[[#This Row],[Birthweight (grams)]]/Table1[[#This Row],[BW_GA]])-1)/(Backend!$B$4/100*Table1[[#This Row],[BW40_3705]]),"")</f>
        <v/>
      </c>
      <c r="H6882" s="7" t="str">
        <f>IF(Table1[[#This Row],[Is Data Valid]]=TRUE,((Table1[[#This Row],[Birthweight (grams)]]*0.9/Table1[[#This Row],[BW_GA]])-1)/(Backend!$B$4/100*Table1[[#This Row],[BW40_3705]]),"")</f>
        <v/>
      </c>
      <c r="I6882" s="7" t="str">
        <f>IF(Table1[[#This Row],[Is Data Valid]]=TRUE,((Table1[[#This Row],[Birthweight (grams)]]*1.1/Table1[[#This Row],[BW_GA]])-1)/(Backend!$B$4/100*Table1[[#This Row],[BW40_3705]]),"")</f>
        <v/>
      </c>
      <c r="J6882" s="7" t="str">
        <f>IF(Table1[[#This Row],[Is Data Valid]]=TRUE,_xlfn.NORM.S.DIST(Table1[[#This Row],[Birthweight Z-Score]],TRUE)*100,"")</f>
        <v/>
      </c>
      <c r="K6882" s="7" t="str">
        <f>IF(Table1[[#This Row],[Is Data Valid]]=TRUE,_xlfn.NORM.S.DIST(Table1[[#This Row],[Birthweight Z-Score (BW-10%)]],TRUE)*100,"")</f>
        <v/>
      </c>
      <c r="L6882" s="7" t="str">
        <f>IF(Table1[[#This Row],[Is Data Valid]]=TRUE,_xlfn.NORM.S.DIST(Table1[[#This Row],[Birthweight Z-Score (BW+10%)]],TRUE)*100,"")</f>
        <v/>
      </c>
    </row>
    <row r="6883" spans="1:12" x14ac:dyDescent="0.35">
      <c r="A6883" s="3"/>
      <c r="B6883" s="2"/>
      <c r="C6883" s="2"/>
      <c r="D6883" s="2" t="b">
        <f>IF(AND(NOT(ISBLANK(Table1[[#This Row],[Fetal Sex (Male, Female or Unknown)]])),ISNUMBER(Table1[[#This Row],[Birthweight (grams)]]),ISNUMBER(Table1[[#This Row],[Gestation (days)]])),TRUE,FALSE)</f>
        <v>0</v>
      </c>
      <c r="E6883" s="2" t="str">
        <f>IF(Table1[[#This Row],[Is Data Valid]]=TRUE,IF(Table1[[#This Row],[Fetal Sex (Male, Female or Unknown)]]="Male",Backend!$C$6,IF(Table1[[#This Row],[Fetal Sex (Male, Female or Unknown)]]="Female",Backend!$C$7,IF(Table1[[#This Row],[Fetal Sex (Male, Female or Unknown)]]="Unknown",Backend!$C$8,"Error"))),"")</f>
        <v/>
      </c>
      <c r="F6883" s="8" t="str">
        <f>IF(Table1[[#This Row],[Is Data Valid]]=TRUE,EXP(0.578+0.332*((Table1[[#This Row],[Gestation (days)]]+0.5)/7)-0.00354*((Table1[[#This Row],[Gestation (days)]]+0.5)/7)^2)*Table1[[#This Row],[BW40_3705]],"")</f>
        <v/>
      </c>
      <c r="G6883" s="2" t="str">
        <f>IF(Table1[[#This Row],[Is Data Valid]]=TRUE,((Table1[[#This Row],[Birthweight (grams)]]/Table1[[#This Row],[BW_GA]])-1)/(Backend!$B$4/100*Table1[[#This Row],[BW40_3705]]),"")</f>
        <v/>
      </c>
      <c r="H6883" s="7" t="str">
        <f>IF(Table1[[#This Row],[Is Data Valid]]=TRUE,((Table1[[#This Row],[Birthweight (grams)]]*0.9/Table1[[#This Row],[BW_GA]])-1)/(Backend!$B$4/100*Table1[[#This Row],[BW40_3705]]),"")</f>
        <v/>
      </c>
      <c r="I6883" s="7" t="str">
        <f>IF(Table1[[#This Row],[Is Data Valid]]=TRUE,((Table1[[#This Row],[Birthweight (grams)]]*1.1/Table1[[#This Row],[BW_GA]])-1)/(Backend!$B$4/100*Table1[[#This Row],[BW40_3705]]),"")</f>
        <v/>
      </c>
      <c r="J6883" s="7" t="str">
        <f>IF(Table1[[#This Row],[Is Data Valid]]=TRUE,_xlfn.NORM.S.DIST(Table1[[#This Row],[Birthweight Z-Score]],TRUE)*100,"")</f>
        <v/>
      </c>
      <c r="K6883" s="7" t="str">
        <f>IF(Table1[[#This Row],[Is Data Valid]]=TRUE,_xlfn.NORM.S.DIST(Table1[[#This Row],[Birthweight Z-Score (BW-10%)]],TRUE)*100,"")</f>
        <v/>
      </c>
      <c r="L6883" s="7" t="str">
        <f>IF(Table1[[#This Row],[Is Data Valid]]=TRUE,_xlfn.NORM.S.DIST(Table1[[#This Row],[Birthweight Z-Score (BW+10%)]],TRUE)*100,"")</f>
        <v/>
      </c>
    </row>
    <row r="6884" spans="1:12" x14ac:dyDescent="0.35">
      <c r="A6884" s="3"/>
      <c r="B6884" s="2"/>
      <c r="C6884" s="2"/>
      <c r="D6884" s="2" t="b">
        <f>IF(AND(NOT(ISBLANK(Table1[[#This Row],[Fetal Sex (Male, Female or Unknown)]])),ISNUMBER(Table1[[#This Row],[Birthweight (grams)]]),ISNUMBER(Table1[[#This Row],[Gestation (days)]])),TRUE,FALSE)</f>
        <v>0</v>
      </c>
      <c r="E6884" s="2" t="str">
        <f>IF(Table1[[#This Row],[Is Data Valid]]=TRUE,IF(Table1[[#This Row],[Fetal Sex (Male, Female or Unknown)]]="Male",Backend!$C$6,IF(Table1[[#This Row],[Fetal Sex (Male, Female or Unknown)]]="Female",Backend!$C$7,IF(Table1[[#This Row],[Fetal Sex (Male, Female or Unknown)]]="Unknown",Backend!$C$8,"Error"))),"")</f>
        <v/>
      </c>
      <c r="F6884" s="8" t="str">
        <f>IF(Table1[[#This Row],[Is Data Valid]]=TRUE,EXP(0.578+0.332*((Table1[[#This Row],[Gestation (days)]]+0.5)/7)-0.00354*((Table1[[#This Row],[Gestation (days)]]+0.5)/7)^2)*Table1[[#This Row],[BW40_3705]],"")</f>
        <v/>
      </c>
      <c r="G6884" s="2" t="str">
        <f>IF(Table1[[#This Row],[Is Data Valid]]=TRUE,((Table1[[#This Row],[Birthweight (grams)]]/Table1[[#This Row],[BW_GA]])-1)/(Backend!$B$4/100*Table1[[#This Row],[BW40_3705]]),"")</f>
        <v/>
      </c>
      <c r="H6884" s="7" t="str">
        <f>IF(Table1[[#This Row],[Is Data Valid]]=TRUE,((Table1[[#This Row],[Birthweight (grams)]]*0.9/Table1[[#This Row],[BW_GA]])-1)/(Backend!$B$4/100*Table1[[#This Row],[BW40_3705]]),"")</f>
        <v/>
      </c>
      <c r="I6884" s="7" t="str">
        <f>IF(Table1[[#This Row],[Is Data Valid]]=TRUE,((Table1[[#This Row],[Birthweight (grams)]]*1.1/Table1[[#This Row],[BW_GA]])-1)/(Backend!$B$4/100*Table1[[#This Row],[BW40_3705]]),"")</f>
        <v/>
      </c>
      <c r="J6884" s="7" t="str">
        <f>IF(Table1[[#This Row],[Is Data Valid]]=TRUE,_xlfn.NORM.S.DIST(Table1[[#This Row],[Birthweight Z-Score]],TRUE)*100,"")</f>
        <v/>
      </c>
      <c r="K6884" s="7" t="str">
        <f>IF(Table1[[#This Row],[Is Data Valid]]=TRUE,_xlfn.NORM.S.DIST(Table1[[#This Row],[Birthweight Z-Score (BW-10%)]],TRUE)*100,"")</f>
        <v/>
      </c>
      <c r="L6884" s="7" t="str">
        <f>IF(Table1[[#This Row],[Is Data Valid]]=TRUE,_xlfn.NORM.S.DIST(Table1[[#This Row],[Birthweight Z-Score (BW+10%)]],TRUE)*100,"")</f>
        <v/>
      </c>
    </row>
    <row r="6885" spans="1:12" x14ac:dyDescent="0.35">
      <c r="A6885" s="3"/>
      <c r="B6885" s="2"/>
      <c r="C6885" s="2"/>
      <c r="D6885" s="2" t="b">
        <f>IF(AND(NOT(ISBLANK(Table1[[#This Row],[Fetal Sex (Male, Female or Unknown)]])),ISNUMBER(Table1[[#This Row],[Birthweight (grams)]]),ISNUMBER(Table1[[#This Row],[Gestation (days)]])),TRUE,FALSE)</f>
        <v>0</v>
      </c>
      <c r="E6885" s="2" t="str">
        <f>IF(Table1[[#This Row],[Is Data Valid]]=TRUE,IF(Table1[[#This Row],[Fetal Sex (Male, Female or Unknown)]]="Male",Backend!$C$6,IF(Table1[[#This Row],[Fetal Sex (Male, Female or Unknown)]]="Female",Backend!$C$7,IF(Table1[[#This Row],[Fetal Sex (Male, Female or Unknown)]]="Unknown",Backend!$C$8,"Error"))),"")</f>
        <v/>
      </c>
      <c r="F6885" s="8" t="str">
        <f>IF(Table1[[#This Row],[Is Data Valid]]=TRUE,EXP(0.578+0.332*((Table1[[#This Row],[Gestation (days)]]+0.5)/7)-0.00354*((Table1[[#This Row],[Gestation (days)]]+0.5)/7)^2)*Table1[[#This Row],[BW40_3705]],"")</f>
        <v/>
      </c>
      <c r="G6885" s="2" t="str">
        <f>IF(Table1[[#This Row],[Is Data Valid]]=TRUE,((Table1[[#This Row],[Birthweight (grams)]]/Table1[[#This Row],[BW_GA]])-1)/(Backend!$B$4/100*Table1[[#This Row],[BW40_3705]]),"")</f>
        <v/>
      </c>
      <c r="H6885" s="7" t="str">
        <f>IF(Table1[[#This Row],[Is Data Valid]]=TRUE,((Table1[[#This Row],[Birthweight (grams)]]*0.9/Table1[[#This Row],[BW_GA]])-1)/(Backend!$B$4/100*Table1[[#This Row],[BW40_3705]]),"")</f>
        <v/>
      </c>
      <c r="I6885" s="7" t="str">
        <f>IF(Table1[[#This Row],[Is Data Valid]]=TRUE,((Table1[[#This Row],[Birthweight (grams)]]*1.1/Table1[[#This Row],[BW_GA]])-1)/(Backend!$B$4/100*Table1[[#This Row],[BW40_3705]]),"")</f>
        <v/>
      </c>
      <c r="J6885" s="7" t="str">
        <f>IF(Table1[[#This Row],[Is Data Valid]]=TRUE,_xlfn.NORM.S.DIST(Table1[[#This Row],[Birthweight Z-Score]],TRUE)*100,"")</f>
        <v/>
      </c>
      <c r="K6885" s="7" t="str">
        <f>IF(Table1[[#This Row],[Is Data Valid]]=TRUE,_xlfn.NORM.S.DIST(Table1[[#This Row],[Birthweight Z-Score (BW-10%)]],TRUE)*100,"")</f>
        <v/>
      </c>
      <c r="L6885" s="7" t="str">
        <f>IF(Table1[[#This Row],[Is Data Valid]]=TRUE,_xlfn.NORM.S.DIST(Table1[[#This Row],[Birthweight Z-Score (BW+10%)]],TRUE)*100,"")</f>
        <v/>
      </c>
    </row>
    <row r="6886" spans="1:12" x14ac:dyDescent="0.35">
      <c r="A6886" s="3"/>
      <c r="B6886" s="2"/>
      <c r="C6886" s="2"/>
      <c r="D6886" s="2" t="b">
        <f>IF(AND(NOT(ISBLANK(Table1[[#This Row],[Fetal Sex (Male, Female or Unknown)]])),ISNUMBER(Table1[[#This Row],[Birthweight (grams)]]),ISNUMBER(Table1[[#This Row],[Gestation (days)]])),TRUE,FALSE)</f>
        <v>0</v>
      </c>
      <c r="E6886" s="2" t="str">
        <f>IF(Table1[[#This Row],[Is Data Valid]]=TRUE,IF(Table1[[#This Row],[Fetal Sex (Male, Female or Unknown)]]="Male",Backend!$C$6,IF(Table1[[#This Row],[Fetal Sex (Male, Female or Unknown)]]="Female",Backend!$C$7,IF(Table1[[#This Row],[Fetal Sex (Male, Female or Unknown)]]="Unknown",Backend!$C$8,"Error"))),"")</f>
        <v/>
      </c>
      <c r="F6886" s="8" t="str">
        <f>IF(Table1[[#This Row],[Is Data Valid]]=TRUE,EXP(0.578+0.332*((Table1[[#This Row],[Gestation (days)]]+0.5)/7)-0.00354*((Table1[[#This Row],[Gestation (days)]]+0.5)/7)^2)*Table1[[#This Row],[BW40_3705]],"")</f>
        <v/>
      </c>
      <c r="G6886" s="2" t="str">
        <f>IF(Table1[[#This Row],[Is Data Valid]]=TRUE,((Table1[[#This Row],[Birthweight (grams)]]/Table1[[#This Row],[BW_GA]])-1)/(Backend!$B$4/100*Table1[[#This Row],[BW40_3705]]),"")</f>
        <v/>
      </c>
      <c r="H6886" s="7" t="str">
        <f>IF(Table1[[#This Row],[Is Data Valid]]=TRUE,((Table1[[#This Row],[Birthweight (grams)]]*0.9/Table1[[#This Row],[BW_GA]])-1)/(Backend!$B$4/100*Table1[[#This Row],[BW40_3705]]),"")</f>
        <v/>
      </c>
      <c r="I6886" s="7" t="str">
        <f>IF(Table1[[#This Row],[Is Data Valid]]=TRUE,((Table1[[#This Row],[Birthweight (grams)]]*1.1/Table1[[#This Row],[BW_GA]])-1)/(Backend!$B$4/100*Table1[[#This Row],[BW40_3705]]),"")</f>
        <v/>
      </c>
      <c r="J6886" s="7" t="str">
        <f>IF(Table1[[#This Row],[Is Data Valid]]=TRUE,_xlfn.NORM.S.DIST(Table1[[#This Row],[Birthweight Z-Score]],TRUE)*100,"")</f>
        <v/>
      </c>
      <c r="K6886" s="7" t="str">
        <f>IF(Table1[[#This Row],[Is Data Valid]]=TRUE,_xlfn.NORM.S.DIST(Table1[[#This Row],[Birthweight Z-Score (BW-10%)]],TRUE)*100,"")</f>
        <v/>
      </c>
      <c r="L6886" s="7" t="str">
        <f>IF(Table1[[#This Row],[Is Data Valid]]=TRUE,_xlfn.NORM.S.DIST(Table1[[#This Row],[Birthweight Z-Score (BW+10%)]],TRUE)*100,"")</f>
        <v/>
      </c>
    </row>
    <row r="6887" spans="1:12" x14ac:dyDescent="0.35">
      <c r="A6887" s="3"/>
      <c r="B6887" s="2"/>
      <c r="C6887" s="2"/>
      <c r="D6887" s="2" t="b">
        <f>IF(AND(NOT(ISBLANK(Table1[[#This Row],[Fetal Sex (Male, Female or Unknown)]])),ISNUMBER(Table1[[#This Row],[Birthweight (grams)]]),ISNUMBER(Table1[[#This Row],[Gestation (days)]])),TRUE,FALSE)</f>
        <v>0</v>
      </c>
      <c r="E6887" s="2" t="str">
        <f>IF(Table1[[#This Row],[Is Data Valid]]=TRUE,IF(Table1[[#This Row],[Fetal Sex (Male, Female or Unknown)]]="Male",Backend!$C$6,IF(Table1[[#This Row],[Fetal Sex (Male, Female or Unknown)]]="Female",Backend!$C$7,IF(Table1[[#This Row],[Fetal Sex (Male, Female or Unknown)]]="Unknown",Backend!$C$8,"Error"))),"")</f>
        <v/>
      </c>
      <c r="F6887" s="8" t="str">
        <f>IF(Table1[[#This Row],[Is Data Valid]]=TRUE,EXP(0.578+0.332*((Table1[[#This Row],[Gestation (days)]]+0.5)/7)-0.00354*((Table1[[#This Row],[Gestation (days)]]+0.5)/7)^2)*Table1[[#This Row],[BW40_3705]],"")</f>
        <v/>
      </c>
      <c r="G6887" s="2" t="str">
        <f>IF(Table1[[#This Row],[Is Data Valid]]=TRUE,((Table1[[#This Row],[Birthweight (grams)]]/Table1[[#This Row],[BW_GA]])-1)/(Backend!$B$4/100*Table1[[#This Row],[BW40_3705]]),"")</f>
        <v/>
      </c>
      <c r="H6887" s="7" t="str">
        <f>IF(Table1[[#This Row],[Is Data Valid]]=TRUE,((Table1[[#This Row],[Birthweight (grams)]]*0.9/Table1[[#This Row],[BW_GA]])-1)/(Backend!$B$4/100*Table1[[#This Row],[BW40_3705]]),"")</f>
        <v/>
      </c>
      <c r="I6887" s="7" t="str">
        <f>IF(Table1[[#This Row],[Is Data Valid]]=TRUE,((Table1[[#This Row],[Birthweight (grams)]]*1.1/Table1[[#This Row],[BW_GA]])-1)/(Backend!$B$4/100*Table1[[#This Row],[BW40_3705]]),"")</f>
        <v/>
      </c>
      <c r="J6887" s="7" t="str">
        <f>IF(Table1[[#This Row],[Is Data Valid]]=TRUE,_xlfn.NORM.S.DIST(Table1[[#This Row],[Birthweight Z-Score]],TRUE)*100,"")</f>
        <v/>
      </c>
      <c r="K6887" s="7" t="str">
        <f>IF(Table1[[#This Row],[Is Data Valid]]=TRUE,_xlfn.NORM.S.DIST(Table1[[#This Row],[Birthweight Z-Score (BW-10%)]],TRUE)*100,"")</f>
        <v/>
      </c>
      <c r="L6887" s="7" t="str">
        <f>IF(Table1[[#This Row],[Is Data Valid]]=TRUE,_xlfn.NORM.S.DIST(Table1[[#This Row],[Birthweight Z-Score (BW+10%)]],TRUE)*100,"")</f>
        <v/>
      </c>
    </row>
    <row r="6888" spans="1:12" x14ac:dyDescent="0.35">
      <c r="A6888" s="3"/>
      <c r="B6888" s="2"/>
      <c r="C6888" s="2"/>
      <c r="D6888" s="2" t="b">
        <f>IF(AND(NOT(ISBLANK(Table1[[#This Row],[Fetal Sex (Male, Female or Unknown)]])),ISNUMBER(Table1[[#This Row],[Birthweight (grams)]]),ISNUMBER(Table1[[#This Row],[Gestation (days)]])),TRUE,FALSE)</f>
        <v>0</v>
      </c>
      <c r="E6888" s="2" t="str">
        <f>IF(Table1[[#This Row],[Is Data Valid]]=TRUE,IF(Table1[[#This Row],[Fetal Sex (Male, Female or Unknown)]]="Male",Backend!$C$6,IF(Table1[[#This Row],[Fetal Sex (Male, Female or Unknown)]]="Female",Backend!$C$7,IF(Table1[[#This Row],[Fetal Sex (Male, Female or Unknown)]]="Unknown",Backend!$C$8,"Error"))),"")</f>
        <v/>
      </c>
      <c r="F6888" s="8" t="str">
        <f>IF(Table1[[#This Row],[Is Data Valid]]=TRUE,EXP(0.578+0.332*((Table1[[#This Row],[Gestation (days)]]+0.5)/7)-0.00354*((Table1[[#This Row],[Gestation (days)]]+0.5)/7)^2)*Table1[[#This Row],[BW40_3705]],"")</f>
        <v/>
      </c>
      <c r="G6888" s="2" t="str">
        <f>IF(Table1[[#This Row],[Is Data Valid]]=TRUE,((Table1[[#This Row],[Birthweight (grams)]]/Table1[[#This Row],[BW_GA]])-1)/(Backend!$B$4/100*Table1[[#This Row],[BW40_3705]]),"")</f>
        <v/>
      </c>
      <c r="H6888" s="7" t="str">
        <f>IF(Table1[[#This Row],[Is Data Valid]]=TRUE,((Table1[[#This Row],[Birthweight (grams)]]*0.9/Table1[[#This Row],[BW_GA]])-1)/(Backend!$B$4/100*Table1[[#This Row],[BW40_3705]]),"")</f>
        <v/>
      </c>
      <c r="I6888" s="7" t="str">
        <f>IF(Table1[[#This Row],[Is Data Valid]]=TRUE,((Table1[[#This Row],[Birthweight (grams)]]*1.1/Table1[[#This Row],[BW_GA]])-1)/(Backend!$B$4/100*Table1[[#This Row],[BW40_3705]]),"")</f>
        <v/>
      </c>
      <c r="J6888" s="7" t="str">
        <f>IF(Table1[[#This Row],[Is Data Valid]]=TRUE,_xlfn.NORM.S.DIST(Table1[[#This Row],[Birthweight Z-Score]],TRUE)*100,"")</f>
        <v/>
      </c>
      <c r="K6888" s="7" t="str">
        <f>IF(Table1[[#This Row],[Is Data Valid]]=TRUE,_xlfn.NORM.S.DIST(Table1[[#This Row],[Birthweight Z-Score (BW-10%)]],TRUE)*100,"")</f>
        <v/>
      </c>
      <c r="L6888" s="7" t="str">
        <f>IF(Table1[[#This Row],[Is Data Valid]]=TRUE,_xlfn.NORM.S.DIST(Table1[[#This Row],[Birthweight Z-Score (BW+10%)]],TRUE)*100,"")</f>
        <v/>
      </c>
    </row>
    <row r="6889" spans="1:12" x14ac:dyDescent="0.35">
      <c r="A6889" s="3"/>
      <c r="B6889" s="2"/>
      <c r="C6889" s="2"/>
      <c r="D6889" s="2" t="b">
        <f>IF(AND(NOT(ISBLANK(Table1[[#This Row],[Fetal Sex (Male, Female or Unknown)]])),ISNUMBER(Table1[[#This Row],[Birthweight (grams)]]),ISNUMBER(Table1[[#This Row],[Gestation (days)]])),TRUE,FALSE)</f>
        <v>0</v>
      </c>
      <c r="E6889" s="2" t="str">
        <f>IF(Table1[[#This Row],[Is Data Valid]]=TRUE,IF(Table1[[#This Row],[Fetal Sex (Male, Female or Unknown)]]="Male",Backend!$C$6,IF(Table1[[#This Row],[Fetal Sex (Male, Female or Unknown)]]="Female",Backend!$C$7,IF(Table1[[#This Row],[Fetal Sex (Male, Female or Unknown)]]="Unknown",Backend!$C$8,"Error"))),"")</f>
        <v/>
      </c>
      <c r="F6889" s="8" t="str">
        <f>IF(Table1[[#This Row],[Is Data Valid]]=TRUE,EXP(0.578+0.332*((Table1[[#This Row],[Gestation (days)]]+0.5)/7)-0.00354*((Table1[[#This Row],[Gestation (days)]]+0.5)/7)^2)*Table1[[#This Row],[BW40_3705]],"")</f>
        <v/>
      </c>
      <c r="G6889" s="2" t="str">
        <f>IF(Table1[[#This Row],[Is Data Valid]]=TRUE,((Table1[[#This Row],[Birthweight (grams)]]/Table1[[#This Row],[BW_GA]])-1)/(Backend!$B$4/100*Table1[[#This Row],[BW40_3705]]),"")</f>
        <v/>
      </c>
      <c r="H6889" s="7" t="str">
        <f>IF(Table1[[#This Row],[Is Data Valid]]=TRUE,((Table1[[#This Row],[Birthweight (grams)]]*0.9/Table1[[#This Row],[BW_GA]])-1)/(Backend!$B$4/100*Table1[[#This Row],[BW40_3705]]),"")</f>
        <v/>
      </c>
      <c r="I6889" s="7" t="str">
        <f>IF(Table1[[#This Row],[Is Data Valid]]=TRUE,((Table1[[#This Row],[Birthweight (grams)]]*1.1/Table1[[#This Row],[BW_GA]])-1)/(Backend!$B$4/100*Table1[[#This Row],[BW40_3705]]),"")</f>
        <v/>
      </c>
      <c r="J6889" s="7" t="str">
        <f>IF(Table1[[#This Row],[Is Data Valid]]=TRUE,_xlfn.NORM.S.DIST(Table1[[#This Row],[Birthweight Z-Score]],TRUE)*100,"")</f>
        <v/>
      </c>
      <c r="K6889" s="7" t="str">
        <f>IF(Table1[[#This Row],[Is Data Valid]]=TRUE,_xlfn.NORM.S.DIST(Table1[[#This Row],[Birthweight Z-Score (BW-10%)]],TRUE)*100,"")</f>
        <v/>
      </c>
      <c r="L6889" s="7" t="str">
        <f>IF(Table1[[#This Row],[Is Data Valid]]=TRUE,_xlfn.NORM.S.DIST(Table1[[#This Row],[Birthweight Z-Score (BW+10%)]],TRUE)*100,"")</f>
        <v/>
      </c>
    </row>
    <row r="6890" spans="1:12" x14ac:dyDescent="0.35">
      <c r="A6890" s="3"/>
      <c r="B6890" s="2"/>
      <c r="C6890" s="2"/>
      <c r="D6890" s="2" t="b">
        <f>IF(AND(NOT(ISBLANK(Table1[[#This Row],[Fetal Sex (Male, Female or Unknown)]])),ISNUMBER(Table1[[#This Row],[Birthweight (grams)]]),ISNUMBER(Table1[[#This Row],[Gestation (days)]])),TRUE,FALSE)</f>
        <v>0</v>
      </c>
      <c r="E6890" s="2" t="str">
        <f>IF(Table1[[#This Row],[Is Data Valid]]=TRUE,IF(Table1[[#This Row],[Fetal Sex (Male, Female or Unknown)]]="Male",Backend!$C$6,IF(Table1[[#This Row],[Fetal Sex (Male, Female or Unknown)]]="Female",Backend!$C$7,IF(Table1[[#This Row],[Fetal Sex (Male, Female or Unknown)]]="Unknown",Backend!$C$8,"Error"))),"")</f>
        <v/>
      </c>
      <c r="F6890" s="8" t="str">
        <f>IF(Table1[[#This Row],[Is Data Valid]]=TRUE,EXP(0.578+0.332*((Table1[[#This Row],[Gestation (days)]]+0.5)/7)-0.00354*((Table1[[#This Row],[Gestation (days)]]+0.5)/7)^2)*Table1[[#This Row],[BW40_3705]],"")</f>
        <v/>
      </c>
      <c r="G6890" s="2" t="str">
        <f>IF(Table1[[#This Row],[Is Data Valid]]=TRUE,((Table1[[#This Row],[Birthweight (grams)]]/Table1[[#This Row],[BW_GA]])-1)/(Backend!$B$4/100*Table1[[#This Row],[BW40_3705]]),"")</f>
        <v/>
      </c>
      <c r="H6890" s="7" t="str">
        <f>IF(Table1[[#This Row],[Is Data Valid]]=TRUE,((Table1[[#This Row],[Birthweight (grams)]]*0.9/Table1[[#This Row],[BW_GA]])-1)/(Backend!$B$4/100*Table1[[#This Row],[BW40_3705]]),"")</f>
        <v/>
      </c>
      <c r="I6890" s="7" t="str">
        <f>IF(Table1[[#This Row],[Is Data Valid]]=TRUE,((Table1[[#This Row],[Birthweight (grams)]]*1.1/Table1[[#This Row],[BW_GA]])-1)/(Backend!$B$4/100*Table1[[#This Row],[BW40_3705]]),"")</f>
        <v/>
      </c>
      <c r="J6890" s="7" t="str">
        <f>IF(Table1[[#This Row],[Is Data Valid]]=TRUE,_xlfn.NORM.S.DIST(Table1[[#This Row],[Birthweight Z-Score]],TRUE)*100,"")</f>
        <v/>
      </c>
      <c r="K6890" s="7" t="str">
        <f>IF(Table1[[#This Row],[Is Data Valid]]=TRUE,_xlfn.NORM.S.DIST(Table1[[#This Row],[Birthweight Z-Score (BW-10%)]],TRUE)*100,"")</f>
        <v/>
      </c>
      <c r="L6890" s="7" t="str">
        <f>IF(Table1[[#This Row],[Is Data Valid]]=TRUE,_xlfn.NORM.S.DIST(Table1[[#This Row],[Birthweight Z-Score (BW+10%)]],TRUE)*100,"")</f>
        <v/>
      </c>
    </row>
    <row r="6891" spans="1:12" x14ac:dyDescent="0.35">
      <c r="A6891" s="3"/>
      <c r="B6891" s="2"/>
      <c r="C6891" s="2"/>
      <c r="D6891" s="2" t="b">
        <f>IF(AND(NOT(ISBLANK(Table1[[#This Row],[Fetal Sex (Male, Female or Unknown)]])),ISNUMBER(Table1[[#This Row],[Birthweight (grams)]]),ISNUMBER(Table1[[#This Row],[Gestation (days)]])),TRUE,FALSE)</f>
        <v>0</v>
      </c>
      <c r="E6891" s="2" t="str">
        <f>IF(Table1[[#This Row],[Is Data Valid]]=TRUE,IF(Table1[[#This Row],[Fetal Sex (Male, Female or Unknown)]]="Male",Backend!$C$6,IF(Table1[[#This Row],[Fetal Sex (Male, Female or Unknown)]]="Female",Backend!$C$7,IF(Table1[[#This Row],[Fetal Sex (Male, Female or Unknown)]]="Unknown",Backend!$C$8,"Error"))),"")</f>
        <v/>
      </c>
      <c r="F6891" s="8" t="str">
        <f>IF(Table1[[#This Row],[Is Data Valid]]=TRUE,EXP(0.578+0.332*((Table1[[#This Row],[Gestation (days)]]+0.5)/7)-0.00354*((Table1[[#This Row],[Gestation (days)]]+0.5)/7)^2)*Table1[[#This Row],[BW40_3705]],"")</f>
        <v/>
      </c>
      <c r="G6891" s="2" t="str">
        <f>IF(Table1[[#This Row],[Is Data Valid]]=TRUE,((Table1[[#This Row],[Birthweight (grams)]]/Table1[[#This Row],[BW_GA]])-1)/(Backend!$B$4/100*Table1[[#This Row],[BW40_3705]]),"")</f>
        <v/>
      </c>
      <c r="H6891" s="7" t="str">
        <f>IF(Table1[[#This Row],[Is Data Valid]]=TRUE,((Table1[[#This Row],[Birthweight (grams)]]*0.9/Table1[[#This Row],[BW_GA]])-1)/(Backend!$B$4/100*Table1[[#This Row],[BW40_3705]]),"")</f>
        <v/>
      </c>
      <c r="I6891" s="7" t="str">
        <f>IF(Table1[[#This Row],[Is Data Valid]]=TRUE,((Table1[[#This Row],[Birthweight (grams)]]*1.1/Table1[[#This Row],[BW_GA]])-1)/(Backend!$B$4/100*Table1[[#This Row],[BW40_3705]]),"")</f>
        <v/>
      </c>
      <c r="J6891" s="7" t="str">
        <f>IF(Table1[[#This Row],[Is Data Valid]]=TRUE,_xlfn.NORM.S.DIST(Table1[[#This Row],[Birthweight Z-Score]],TRUE)*100,"")</f>
        <v/>
      </c>
      <c r="K6891" s="7" t="str">
        <f>IF(Table1[[#This Row],[Is Data Valid]]=TRUE,_xlfn.NORM.S.DIST(Table1[[#This Row],[Birthweight Z-Score (BW-10%)]],TRUE)*100,"")</f>
        <v/>
      </c>
      <c r="L6891" s="7" t="str">
        <f>IF(Table1[[#This Row],[Is Data Valid]]=TRUE,_xlfn.NORM.S.DIST(Table1[[#This Row],[Birthweight Z-Score (BW+10%)]],TRUE)*100,"")</f>
        <v/>
      </c>
    </row>
    <row r="6892" spans="1:12" x14ac:dyDescent="0.35">
      <c r="A6892" s="3"/>
      <c r="B6892" s="2"/>
      <c r="C6892" s="2"/>
      <c r="D6892" s="2" t="b">
        <f>IF(AND(NOT(ISBLANK(Table1[[#This Row],[Fetal Sex (Male, Female or Unknown)]])),ISNUMBER(Table1[[#This Row],[Birthweight (grams)]]),ISNUMBER(Table1[[#This Row],[Gestation (days)]])),TRUE,FALSE)</f>
        <v>0</v>
      </c>
      <c r="E6892" s="2" t="str">
        <f>IF(Table1[[#This Row],[Is Data Valid]]=TRUE,IF(Table1[[#This Row],[Fetal Sex (Male, Female or Unknown)]]="Male",Backend!$C$6,IF(Table1[[#This Row],[Fetal Sex (Male, Female or Unknown)]]="Female",Backend!$C$7,IF(Table1[[#This Row],[Fetal Sex (Male, Female or Unknown)]]="Unknown",Backend!$C$8,"Error"))),"")</f>
        <v/>
      </c>
      <c r="F6892" s="8" t="str">
        <f>IF(Table1[[#This Row],[Is Data Valid]]=TRUE,EXP(0.578+0.332*((Table1[[#This Row],[Gestation (days)]]+0.5)/7)-0.00354*((Table1[[#This Row],[Gestation (days)]]+0.5)/7)^2)*Table1[[#This Row],[BW40_3705]],"")</f>
        <v/>
      </c>
      <c r="G6892" s="2" t="str">
        <f>IF(Table1[[#This Row],[Is Data Valid]]=TRUE,((Table1[[#This Row],[Birthweight (grams)]]/Table1[[#This Row],[BW_GA]])-1)/(Backend!$B$4/100*Table1[[#This Row],[BW40_3705]]),"")</f>
        <v/>
      </c>
      <c r="H6892" s="7" t="str">
        <f>IF(Table1[[#This Row],[Is Data Valid]]=TRUE,((Table1[[#This Row],[Birthweight (grams)]]*0.9/Table1[[#This Row],[BW_GA]])-1)/(Backend!$B$4/100*Table1[[#This Row],[BW40_3705]]),"")</f>
        <v/>
      </c>
      <c r="I6892" s="7" t="str">
        <f>IF(Table1[[#This Row],[Is Data Valid]]=TRUE,((Table1[[#This Row],[Birthweight (grams)]]*1.1/Table1[[#This Row],[BW_GA]])-1)/(Backend!$B$4/100*Table1[[#This Row],[BW40_3705]]),"")</f>
        <v/>
      </c>
      <c r="J6892" s="7" t="str">
        <f>IF(Table1[[#This Row],[Is Data Valid]]=TRUE,_xlfn.NORM.S.DIST(Table1[[#This Row],[Birthweight Z-Score]],TRUE)*100,"")</f>
        <v/>
      </c>
      <c r="K6892" s="7" t="str">
        <f>IF(Table1[[#This Row],[Is Data Valid]]=TRUE,_xlfn.NORM.S.DIST(Table1[[#This Row],[Birthweight Z-Score (BW-10%)]],TRUE)*100,"")</f>
        <v/>
      </c>
      <c r="L6892" s="7" t="str">
        <f>IF(Table1[[#This Row],[Is Data Valid]]=TRUE,_xlfn.NORM.S.DIST(Table1[[#This Row],[Birthweight Z-Score (BW+10%)]],TRUE)*100,"")</f>
        <v/>
      </c>
    </row>
    <row r="6893" spans="1:12" x14ac:dyDescent="0.35">
      <c r="A6893" s="3"/>
      <c r="B6893" s="2"/>
      <c r="C6893" s="2"/>
      <c r="D6893" s="2" t="b">
        <f>IF(AND(NOT(ISBLANK(Table1[[#This Row],[Fetal Sex (Male, Female or Unknown)]])),ISNUMBER(Table1[[#This Row],[Birthweight (grams)]]),ISNUMBER(Table1[[#This Row],[Gestation (days)]])),TRUE,FALSE)</f>
        <v>0</v>
      </c>
      <c r="E6893" s="2" t="str">
        <f>IF(Table1[[#This Row],[Is Data Valid]]=TRUE,IF(Table1[[#This Row],[Fetal Sex (Male, Female or Unknown)]]="Male",Backend!$C$6,IF(Table1[[#This Row],[Fetal Sex (Male, Female or Unknown)]]="Female",Backend!$C$7,IF(Table1[[#This Row],[Fetal Sex (Male, Female or Unknown)]]="Unknown",Backend!$C$8,"Error"))),"")</f>
        <v/>
      </c>
      <c r="F6893" s="8" t="str">
        <f>IF(Table1[[#This Row],[Is Data Valid]]=TRUE,EXP(0.578+0.332*((Table1[[#This Row],[Gestation (days)]]+0.5)/7)-0.00354*((Table1[[#This Row],[Gestation (days)]]+0.5)/7)^2)*Table1[[#This Row],[BW40_3705]],"")</f>
        <v/>
      </c>
      <c r="G6893" s="2" t="str">
        <f>IF(Table1[[#This Row],[Is Data Valid]]=TRUE,((Table1[[#This Row],[Birthweight (grams)]]/Table1[[#This Row],[BW_GA]])-1)/(Backend!$B$4/100*Table1[[#This Row],[BW40_3705]]),"")</f>
        <v/>
      </c>
      <c r="H6893" s="7" t="str">
        <f>IF(Table1[[#This Row],[Is Data Valid]]=TRUE,((Table1[[#This Row],[Birthweight (grams)]]*0.9/Table1[[#This Row],[BW_GA]])-1)/(Backend!$B$4/100*Table1[[#This Row],[BW40_3705]]),"")</f>
        <v/>
      </c>
      <c r="I6893" s="7" t="str">
        <f>IF(Table1[[#This Row],[Is Data Valid]]=TRUE,((Table1[[#This Row],[Birthweight (grams)]]*1.1/Table1[[#This Row],[BW_GA]])-1)/(Backend!$B$4/100*Table1[[#This Row],[BW40_3705]]),"")</f>
        <v/>
      </c>
      <c r="J6893" s="7" t="str">
        <f>IF(Table1[[#This Row],[Is Data Valid]]=TRUE,_xlfn.NORM.S.DIST(Table1[[#This Row],[Birthweight Z-Score]],TRUE)*100,"")</f>
        <v/>
      </c>
      <c r="K6893" s="7" t="str">
        <f>IF(Table1[[#This Row],[Is Data Valid]]=TRUE,_xlfn.NORM.S.DIST(Table1[[#This Row],[Birthweight Z-Score (BW-10%)]],TRUE)*100,"")</f>
        <v/>
      </c>
      <c r="L6893" s="7" t="str">
        <f>IF(Table1[[#This Row],[Is Data Valid]]=TRUE,_xlfn.NORM.S.DIST(Table1[[#This Row],[Birthweight Z-Score (BW+10%)]],TRUE)*100,"")</f>
        <v/>
      </c>
    </row>
    <row r="6894" spans="1:12" x14ac:dyDescent="0.35">
      <c r="A6894" s="3"/>
      <c r="B6894" s="2"/>
      <c r="C6894" s="2"/>
      <c r="D6894" s="2" t="b">
        <f>IF(AND(NOT(ISBLANK(Table1[[#This Row],[Fetal Sex (Male, Female or Unknown)]])),ISNUMBER(Table1[[#This Row],[Birthweight (grams)]]),ISNUMBER(Table1[[#This Row],[Gestation (days)]])),TRUE,FALSE)</f>
        <v>0</v>
      </c>
      <c r="E6894" s="2" t="str">
        <f>IF(Table1[[#This Row],[Is Data Valid]]=TRUE,IF(Table1[[#This Row],[Fetal Sex (Male, Female or Unknown)]]="Male",Backend!$C$6,IF(Table1[[#This Row],[Fetal Sex (Male, Female or Unknown)]]="Female",Backend!$C$7,IF(Table1[[#This Row],[Fetal Sex (Male, Female or Unknown)]]="Unknown",Backend!$C$8,"Error"))),"")</f>
        <v/>
      </c>
      <c r="F6894" s="8" t="str">
        <f>IF(Table1[[#This Row],[Is Data Valid]]=TRUE,EXP(0.578+0.332*((Table1[[#This Row],[Gestation (days)]]+0.5)/7)-0.00354*((Table1[[#This Row],[Gestation (days)]]+0.5)/7)^2)*Table1[[#This Row],[BW40_3705]],"")</f>
        <v/>
      </c>
      <c r="G6894" s="2" t="str">
        <f>IF(Table1[[#This Row],[Is Data Valid]]=TRUE,((Table1[[#This Row],[Birthweight (grams)]]/Table1[[#This Row],[BW_GA]])-1)/(Backend!$B$4/100*Table1[[#This Row],[BW40_3705]]),"")</f>
        <v/>
      </c>
      <c r="H6894" s="7" t="str">
        <f>IF(Table1[[#This Row],[Is Data Valid]]=TRUE,((Table1[[#This Row],[Birthweight (grams)]]*0.9/Table1[[#This Row],[BW_GA]])-1)/(Backend!$B$4/100*Table1[[#This Row],[BW40_3705]]),"")</f>
        <v/>
      </c>
      <c r="I6894" s="7" t="str">
        <f>IF(Table1[[#This Row],[Is Data Valid]]=TRUE,((Table1[[#This Row],[Birthweight (grams)]]*1.1/Table1[[#This Row],[BW_GA]])-1)/(Backend!$B$4/100*Table1[[#This Row],[BW40_3705]]),"")</f>
        <v/>
      </c>
      <c r="J6894" s="7" t="str">
        <f>IF(Table1[[#This Row],[Is Data Valid]]=TRUE,_xlfn.NORM.S.DIST(Table1[[#This Row],[Birthweight Z-Score]],TRUE)*100,"")</f>
        <v/>
      </c>
      <c r="K6894" s="7" t="str">
        <f>IF(Table1[[#This Row],[Is Data Valid]]=TRUE,_xlfn.NORM.S.DIST(Table1[[#This Row],[Birthweight Z-Score (BW-10%)]],TRUE)*100,"")</f>
        <v/>
      </c>
      <c r="L6894" s="7" t="str">
        <f>IF(Table1[[#This Row],[Is Data Valid]]=TRUE,_xlfn.NORM.S.DIST(Table1[[#This Row],[Birthweight Z-Score (BW+10%)]],TRUE)*100,"")</f>
        <v/>
      </c>
    </row>
    <row r="6895" spans="1:12" x14ac:dyDescent="0.35">
      <c r="A6895" s="3"/>
      <c r="B6895" s="2"/>
      <c r="C6895" s="2"/>
      <c r="D6895" s="2" t="b">
        <f>IF(AND(NOT(ISBLANK(Table1[[#This Row],[Fetal Sex (Male, Female or Unknown)]])),ISNUMBER(Table1[[#This Row],[Birthweight (grams)]]),ISNUMBER(Table1[[#This Row],[Gestation (days)]])),TRUE,FALSE)</f>
        <v>0</v>
      </c>
      <c r="E6895" s="2" t="str">
        <f>IF(Table1[[#This Row],[Is Data Valid]]=TRUE,IF(Table1[[#This Row],[Fetal Sex (Male, Female or Unknown)]]="Male",Backend!$C$6,IF(Table1[[#This Row],[Fetal Sex (Male, Female or Unknown)]]="Female",Backend!$C$7,IF(Table1[[#This Row],[Fetal Sex (Male, Female or Unknown)]]="Unknown",Backend!$C$8,"Error"))),"")</f>
        <v/>
      </c>
      <c r="F6895" s="8" t="str">
        <f>IF(Table1[[#This Row],[Is Data Valid]]=TRUE,EXP(0.578+0.332*((Table1[[#This Row],[Gestation (days)]]+0.5)/7)-0.00354*((Table1[[#This Row],[Gestation (days)]]+0.5)/7)^2)*Table1[[#This Row],[BW40_3705]],"")</f>
        <v/>
      </c>
      <c r="G6895" s="2" t="str">
        <f>IF(Table1[[#This Row],[Is Data Valid]]=TRUE,((Table1[[#This Row],[Birthweight (grams)]]/Table1[[#This Row],[BW_GA]])-1)/(Backend!$B$4/100*Table1[[#This Row],[BW40_3705]]),"")</f>
        <v/>
      </c>
      <c r="H6895" s="7" t="str">
        <f>IF(Table1[[#This Row],[Is Data Valid]]=TRUE,((Table1[[#This Row],[Birthweight (grams)]]*0.9/Table1[[#This Row],[BW_GA]])-1)/(Backend!$B$4/100*Table1[[#This Row],[BW40_3705]]),"")</f>
        <v/>
      </c>
      <c r="I6895" s="7" t="str">
        <f>IF(Table1[[#This Row],[Is Data Valid]]=TRUE,((Table1[[#This Row],[Birthweight (grams)]]*1.1/Table1[[#This Row],[BW_GA]])-1)/(Backend!$B$4/100*Table1[[#This Row],[BW40_3705]]),"")</f>
        <v/>
      </c>
      <c r="J6895" s="7" t="str">
        <f>IF(Table1[[#This Row],[Is Data Valid]]=TRUE,_xlfn.NORM.S.DIST(Table1[[#This Row],[Birthweight Z-Score]],TRUE)*100,"")</f>
        <v/>
      </c>
      <c r="K6895" s="7" t="str">
        <f>IF(Table1[[#This Row],[Is Data Valid]]=TRUE,_xlfn.NORM.S.DIST(Table1[[#This Row],[Birthweight Z-Score (BW-10%)]],TRUE)*100,"")</f>
        <v/>
      </c>
      <c r="L6895" s="7" t="str">
        <f>IF(Table1[[#This Row],[Is Data Valid]]=TRUE,_xlfn.NORM.S.DIST(Table1[[#This Row],[Birthweight Z-Score (BW+10%)]],TRUE)*100,"")</f>
        <v/>
      </c>
    </row>
    <row r="6896" spans="1:12" x14ac:dyDescent="0.35">
      <c r="A6896" s="3"/>
      <c r="B6896" s="2"/>
      <c r="C6896" s="2"/>
      <c r="D6896" s="2" t="b">
        <f>IF(AND(NOT(ISBLANK(Table1[[#This Row],[Fetal Sex (Male, Female or Unknown)]])),ISNUMBER(Table1[[#This Row],[Birthweight (grams)]]),ISNUMBER(Table1[[#This Row],[Gestation (days)]])),TRUE,FALSE)</f>
        <v>0</v>
      </c>
      <c r="E6896" s="2" t="str">
        <f>IF(Table1[[#This Row],[Is Data Valid]]=TRUE,IF(Table1[[#This Row],[Fetal Sex (Male, Female or Unknown)]]="Male",Backend!$C$6,IF(Table1[[#This Row],[Fetal Sex (Male, Female or Unknown)]]="Female",Backend!$C$7,IF(Table1[[#This Row],[Fetal Sex (Male, Female or Unknown)]]="Unknown",Backend!$C$8,"Error"))),"")</f>
        <v/>
      </c>
      <c r="F6896" s="8" t="str">
        <f>IF(Table1[[#This Row],[Is Data Valid]]=TRUE,EXP(0.578+0.332*((Table1[[#This Row],[Gestation (days)]]+0.5)/7)-0.00354*((Table1[[#This Row],[Gestation (days)]]+0.5)/7)^2)*Table1[[#This Row],[BW40_3705]],"")</f>
        <v/>
      </c>
      <c r="G6896" s="2" t="str">
        <f>IF(Table1[[#This Row],[Is Data Valid]]=TRUE,((Table1[[#This Row],[Birthweight (grams)]]/Table1[[#This Row],[BW_GA]])-1)/(Backend!$B$4/100*Table1[[#This Row],[BW40_3705]]),"")</f>
        <v/>
      </c>
      <c r="H6896" s="7" t="str">
        <f>IF(Table1[[#This Row],[Is Data Valid]]=TRUE,((Table1[[#This Row],[Birthweight (grams)]]*0.9/Table1[[#This Row],[BW_GA]])-1)/(Backend!$B$4/100*Table1[[#This Row],[BW40_3705]]),"")</f>
        <v/>
      </c>
      <c r="I6896" s="7" t="str">
        <f>IF(Table1[[#This Row],[Is Data Valid]]=TRUE,((Table1[[#This Row],[Birthweight (grams)]]*1.1/Table1[[#This Row],[BW_GA]])-1)/(Backend!$B$4/100*Table1[[#This Row],[BW40_3705]]),"")</f>
        <v/>
      </c>
      <c r="J6896" s="7" t="str">
        <f>IF(Table1[[#This Row],[Is Data Valid]]=TRUE,_xlfn.NORM.S.DIST(Table1[[#This Row],[Birthweight Z-Score]],TRUE)*100,"")</f>
        <v/>
      </c>
      <c r="K6896" s="7" t="str">
        <f>IF(Table1[[#This Row],[Is Data Valid]]=TRUE,_xlfn.NORM.S.DIST(Table1[[#This Row],[Birthweight Z-Score (BW-10%)]],TRUE)*100,"")</f>
        <v/>
      </c>
      <c r="L6896" s="7" t="str">
        <f>IF(Table1[[#This Row],[Is Data Valid]]=TRUE,_xlfn.NORM.S.DIST(Table1[[#This Row],[Birthweight Z-Score (BW+10%)]],TRUE)*100,"")</f>
        <v/>
      </c>
    </row>
    <row r="6897" spans="1:12" x14ac:dyDescent="0.35">
      <c r="A6897" s="3"/>
      <c r="B6897" s="2"/>
      <c r="C6897" s="2"/>
      <c r="D6897" s="2" t="b">
        <f>IF(AND(NOT(ISBLANK(Table1[[#This Row],[Fetal Sex (Male, Female or Unknown)]])),ISNUMBER(Table1[[#This Row],[Birthweight (grams)]]),ISNUMBER(Table1[[#This Row],[Gestation (days)]])),TRUE,FALSE)</f>
        <v>0</v>
      </c>
      <c r="E6897" s="2" t="str">
        <f>IF(Table1[[#This Row],[Is Data Valid]]=TRUE,IF(Table1[[#This Row],[Fetal Sex (Male, Female or Unknown)]]="Male",Backend!$C$6,IF(Table1[[#This Row],[Fetal Sex (Male, Female or Unknown)]]="Female",Backend!$C$7,IF(Table1[[#This Row],[Fetal Sex (Male, Female or Unknown)]]="Unknown",Backend!$C$8,"Error"))),"")</f>
        <v/>
      </c>
      <c r="F6897" s="8" t="str">
        <f>IF(Table1[[#This Row],[Is Data Valid]]=TRUE,EXP(0.578+0.332*((Table1[[#This Row],[Gestation (days)]]+0.5)/7)-0.00354*((Table1[[#This Row],[Gestation (days)]]+0.5)/7)^2)*Table1[[#This Row],[BW40_3705]],"")</f>
        <v/>
      </c>
      <c r="G6897" s="2" t="str">
        <f>IF(Table1[[#This Row],[Is Data Valid]]=TRUE,((Table1[[#This Row],[Birthweight (grams)]]/Table1[[#This Row],[BW_GA]])-1)/(Backend!$B$4/100*Table1[[#This Row],[BW40_3705]]),"")</f>
        <v/>
      </c>
      <c r="H6897" s="7" t="str">
        <f>IF(Table1[[#This Row],[Is Data Valid]]=TRUE,((Table1[[#This Row],[Birthweight (grams)]]*0.9/Table1[[#This Row],[BW_GA]])-1)/(Backend!$B$4/100*Table1[[#This Row],[BW40_3705]]),"")</f>
        <v/>
      </c>
      <c r="I6897" s="7" t="str">
        <f>IF(Table1[[#This Row],[Is Data Valid]]=TRUE,((Table1[[#This Row],[Birthweight (grams)]]*1.1/Table1[[#This Row],[BW_GA]])-1)/(Backend!$B$4/100*Table1[[#This Row],[BW40_3705]]),"")</f>
        <v/>
      </c>
      <c r="J6897" s="7" t="str">
        <f>IF(Table1[[#This Row],[Is Data Valid]]=TRUE,_xlfn.NORM.S.DIST(Table1[[#This Row],[Birthweight Z-Score]],TRUE)*100,"")</f>
        <v/>
      </c>
      <c r="K6897" s="7" t="str">
        <f>IF(Table1[[#This Row],[Is Data Valid]]=TRUE,_xlfn.NORM.S.DIST(Table1[[#This Row],[Birthweight Z-Score (BW-10%)]],TRUE)*100,"")</f>
        <v/>
      </c>
      <c r="L6897" s="7" t="str">
        <f>IF(Table1[[#This Row],[Is Data Valid]]=TRUE,_xlfn.NORM.S.DIST(Table1[[#This Row],[Birthweight Z-Score (BW+10%)]],TRUE)*100,"")</f>
        <v/>
      </c>
    </row>
    <row r="6898" spans="1:12" x14ac:dyDescent="0.35">
      <c r="A6898" s="3"/>
      <c r="B6898" s="2"/>
      <c r="C6898" s="2"/>
      <c r="D6898" s="2" t="b">
        <f>IF(AND(NOT(ISBLANK(Table1[[#This Row],[Fetal Sex (Male, Female or Unknown)]])),ISNUMBER(Table1[[#This Row],[Birthweight (grams)]]),ISNUMBER(Table1[[#This Row],[Gestation (days)]])),TRUE,FALSE)</f>
        <v>0</v>
      </c>
      <c r="E6898" s="2" t="str">
        <f>IF(Table1[[#This Row],[Is Data Valid]]=TRUE,IF(Table1[[#This Row],[Fetal Sex (Male, Female or Unknown)]]="Male",Backend!$C$6,IF(Table1[[#This Row],[Fetal Sex (Male, Female or Unknown)]]="Female",Backend!$C$7,IF(Table1[[#This Row],[Fetal Sex (Male, Female or Unknown)]]="Unknown",Backend!$C$8,"Error"))),"")</f>
        <v/>
      </c>
      <c r="F6898" s="8" t="str">
        <f>IF(Table1[[#This Row],[Is Data Valid]]=TRUE,EXP(0.578+0.332*((Table1[[#This Row],[Gestation (days)]]+0.5)/7)-0.00354*((Table1[[#This Row],[Gestation (days)]]+0.5)/7)^2)*Table1[[#This Row],[BW40_3705]],"")</f>
        <v/>
      </c>
      <c r="G6898" s="2" t="str">
        <f>IF(Table1[[#This Row],[Is Data Valid]]=TRUE,((Table1[[#This Row],[Birthweight (grams)]]/Table1[[#This Row],[BW_GA]])-1)/(Backend!$B$4/100*Table1[[#This Row],[BW40_3705]]),"")</f>
        <v/>
      </c>
      <c r="H6898" s="7" t="str">
        <f>IF(Table1[[#This Row],[Is Data Valid]]=TRUE,((Table1[[#This Row],[Birthweight (grams)]]*0.9/Table1[[#This Row],[BW_GA]])-1)/(Backend!$B$4/100*Table1[[#This Row],[BW40_3705]]),"")</f>
        <v/>
      </c>
      <c r="I6898" s="7" t="str">
        <f>IF(Table1[[#This Row],[Is Data Valid]]=TRUE,((Table1[[#This Row],[Birthweight (grams)]]*1.1/Table1[[#This Row],[BW_GA]])-1)/(Backend!$B$4/100*Table1[[#This Row],[BW40_3705]]),"")</f>
        <v/>
      </c>
      <c r="J6898" s="7" t="str">
        <f>IF(Table1[[#This Row],[Is Data Valid]]=TRUE,_xlfn.NORM.S.DIST(Table1[[#This Row],[Birthweight Z-Score]],TRUE)*100,"")</f>
        <v/>
      </c>
      <c r="K6898" s="7" t="str">
        <f>IF(Table1[[#This Row],[Is Data Valid]]=TRUE,_xlfn.NORM.S.DIST(Table1[[#This Row],[Birthweight Z-Score (BW-10%)]],TRUE)*100,"")</f>
        <v/>
      </c>
      <c r="L6898" s="7" t="str">
        <f>IF(Table1[[#This Row],[Is Data Valid]]=TRUE,_xlfn.NORM.S.DIST(Table1[[#This Row],[Birthweight Z-Score (BW+10%)]],TRUE)*100,"")</f>
        <v/>
      </c>
    </row>
    <row r="6899" spans="1:12" x14ac:dyDescent="0.35">
      <c r="A6899" s="3"/>
      <c r="B6899" s="2"/>
      <c r="C6899" s="2"/>
      <c r="D6899" s="2" t="b">
        <f>IF(AND(NOT(ISBLANK(Table1[[#This Row],[Fetal Sex (Male, Female or Unknown)]])),ISNUMBER(Table1[[#This Row],[Birthweight (grams)]]),ISNUMBER(Table1[[#This Row],[Gestation (days)]])),TRUE,FALSE)</f>
        <v>0</v>
      </c>
      <c r="E6899" s="2" t="str">
        <f>IF(Table1[[#This Row],[Is Data Valid]]=TRUE,IF(Table1[[#This Row],[Fetal Sex (Male, Female or Unknown)]]="Male",Backend!$C$6,IF(Table1[[#This Row],[Fetal Sex (Male, Female or Unknown)]]="Female",Backend!$C$7,IF(Table1[[#This Row],[Fetal Sex (Male, Female or Unknown)]]="Unknown",Backend!$C$8,"Error"))),"")</f>
        <v/>
      </c>
      <c r="F6899" s="8" t="str">
        <f>IF(Table1[[#This Row],[Is Data Valid]]=TRUE,EXP(0.578+0.332*((Table1[[#This Row],[Gestation (days)]]+0.5)/7)-0.00354*((Table1[[#This Row],[Gestation (days)]]+0.5)/7)^2)*Table1[[#This Row],[BW40_3705]],"")</f>
        <v/>
      </c>
      <c r="G6899" s="2" t="str">
        <f>IF(Table1[[#This Row],[Is Data Valid]]=TRUE,((Table1[[#This Row],[Birthweight (grams)]]/Table1[[#This Row],[BW_GA]])-1)/(Backend!$B$4/100*Table1[[#This Row],[BW40_3705]]),"")</f>
        <v/>
      </c>
      <c r="H6899" s="7" t="str">
        <f>IF(Table1[[#This Row],[Is Data Valid]]=TRUE,((Table1[[#This Row],[Birthweight (grams)]]*0.9/Table1[[#This Row],[BW_GA]])-1)/(Backend!$B$4/100*Table1[[#This Row],[BW40_3705]]),"")</f>
        <v/>
      </c>
      <c r="I6899" s="7" t="str">
        <f>IF(Table1[[#This Row],[Is Data Valid]]=TRUE,((Table1[[#This Row],[Birthweight (grams)]]*1.1/Table1[[#This Row],[BW_GA]])-1)/(Backend!$B$4/100*Table1[[#This Row],[BW40_3705]]),"")</f>
        <v/>
      </c>
      <c r="J6899" s="7" t="str">
        <f>IF(Table1[[#This Row],[Is Data Valid]]=TRUE,_xlfn.NORM.S.DIST(Table1[[#This Row],[Birthweight Z-Score]],TRUE)*100,"")</f>
        <v/>
      </c>
      <c r="K6899" s="7" t="str">
        <f>IF(Table1[[#This Row],[Is Data Valid]]=TRUE,_xlfn.NORM.S.DIST(Table1[[#This Row],[Birthweight Z-Score (BW-10%)]],TRUE)*100,"")</f>
        <v/>
      </c>
      <c r="L6899" s="7" t="str">
        <f>IF(Table1[[#This Row],[Is Data Valid]]=TRUE,_xlfn.NORM.S.DIST(Table1[[#This Row],[Birthweight Z-Score (BW+10%)]],TRUE)*100,"")</f>
        <v/>
      </c>
    </row>
    <row r="6900" spans="1:12" x14ac:dyDescent="0.35">
      <c r="A6900" s="3"/>
      <c r="B6900" s="2"/>
      <c r="C6900" s="2"/>
      <c r="D6900" s="2" t="b">
        <f>IF(AND(NOT(ISBLANK(Table1[[#This Row],[Fetal Sex (Male, Female or Unknown)]])),ISNUMBER(Table1[[#This Row],[Birthweight (grams)]]),ISNUMBER(Table1[[#This Row],[Gestation (days)]])),TRUE,FALSE)</f>
        <v>0</v>
      </c>
      <c r="E6900" s="2" t="str">
        <f>IF(Table1[[#This Row],[Is Data Valid]]=TRUE,IF(Table1[[#This Row],[Fetal Sex (Male, Female or Unknown)]]="Male",Backend!$C$6,IF(Table1[[#This Row],[Fetal Sex (Male, Female or Unknown)]]="Female",Backend!$C$7,IF(Table1[[#This Row],[Fetal Sex (Male, Female or Unknown)]]="Unknown",Backend!$C$8,"Error"))),"")</f>
        <v/>
      </c>
      <c r="F6900" s="8" t="str">
        <f>IF(Table1[[#This Row],[Is Data Valid]]=TRUE,EXP(0.578+0.332*((Table1[[#This Row],[Gestation (days)]]+0.5)/7)-0.00354*((Table1[[#This Row],[Gestation (days)]]+0.5)/7)^2)*Table1[[#This Row],[BW40_3705]],"")</f>
        <v/>
      </c>
      <c r="G6900" s="2" t="str">
        <f>IF(Table1[[#This Row],[Is Data Valid]]=TRUE,((Table1[[#This Row],[Birthweight (grams)]]/Table1[[#This Row],[BW_GA]])-1)/(Backend!$B$4/100*Table1[[#This Row],[BW40_3705]]),"")</f>
        <v/>
      </c>
      <c r="H6900" s="7" t="str">
        <f>IF(Table1[[#This Row],[Is Data Valid]]=TRUE,((Table1[[#This Row],[Birthweight (grams)]]*0.9/Table1[[#This Row],[BW_GA]])-1)/(Backend!$B$4/100*Table1[[#This Row],[BW40_3705]]),"")</f>
        <v/>
      </c>
      <c r="I6900" s="7" t="str">
        <f>IF(Table1[[#This Row],[Is Data Valid]]=TRUE,((Table1[[#This Row],[Birthweight (grams)]]*1.1/Table1[[#This Row],[BW_GA]])-1)/(Backend!$B$4/100*Table1[[#This Row],[BW40_3705]]),"")</f>
        <v/>
      </c>
      <c r="J6900" s="7" t="str">
        <f>IF(Table1[[#This Row],[Is Data Valid]]=TRUE,_xlfn.NORM.S.DIST(Table1[[#This Row],[Birthweight Z-Score]],TRUE)*100,"")</f>
        <v/>
      </c>
      <c r="K6900" s="7" t="str">
        <f>IF(Table1[[#This Row],[Is Data Valid]]=TRUE,_xlfn.NORM.S.DIST(Table1[[#This Row],[Birthweight Z-Score (BW-10%)]],TRUE)*100,"")</f>
        <v/>
      </c>
      <c r="L6900" s="7" t="str">
        <f>IF(Table1[[#This Row],[Is Data Valid]]=TRUE,_xlfn.NORM.S.DIST(Table1[[#This Row],[Birthweight Z-Score (BW+10%)]],TRUE)*100,"")</f>
        <v/>
      </c>
    </row>
    <row r="6901" spans="1:12" x14ac:dyDescent="0.35">
      <c r="A6901" s="3"/>
      <c r="B6901" s="2"/>
      <c r="C6901" s="2"/>
      <c r="D6901" s="2" t="b">
        <f>IF(AND(NOT(ISBLANK(Table1[[#This Row],[Fetal Sex (Male, Female or Unknown)]])),ISNUMBER(Table1[[#This Row],[Birthweight (grams)]]),ISNUMBER(Table1[[#This Row],[Gestation (days)]])),TRUE,FALSE)</f>
        <v>0</v>
      </c>
      <c r="E6901" s="2" t="str">
        <f>IF(Table1[[#This Row],[Is Data Valid]]=TRUE,IF(Table1[[#This Row],[Fetal Sex (Male, Female or Unknown)]]="Male",Backend!$C$6,IF(Table1[[#This Row],[Fetal Sex (Male, Female or Unknown)]]="Female",Backend!$C$7,IF(Table1[[#This Row],[Fetal Sex (Male, Female or Unknown)]]="Unknown",Backend!$C$8,"Error"))),"")</f>
        <v/>
      </c>
      <c r="F6901" s="8" t="str">
        <f>IF(Table1[[#This Row],[Is Data Valid]]=TRUE,EXP(0.578+0.332*((Table1[[#This Row],[Gestation (days)]]+0.5)/7)-0.00354*((Table1[[#This Row],[Gestation (days)]]+0.5)/7)^2)*Table1[[#This Row],[BW40_3705]],"")</f>
        <v/>
      </c>
      <c r="G6901" s="2" t="str">
        <f>IF(Table1[[#This Row],[Is Data Valid]]=TRUE,((Table1[[#This Row],[Birthweight (grams)]]/Table1[[#This Row],[BW_GA]])-1)/(Backend!$B$4/100*Table1[[#This Row],[BW40_3705]]),"")</f>
        <v/>
      </c>
      <c r="H6901" s="7" t="str">
        <f>IF(Table1[[#This Row],[Is Data Valid]]=TRUE,((Table1[[#This Row],[Birthweight (grams)]]*0.9/Table1[[#This Row],[BW_GA]])-1)/(Backend!$B$4/100*Table1[[#This Row],[BW40_3705]]),"")</f>
        <v/>
      </c>
      <c r="I6901" s="7" t="str">
        <f>IF(Table1[[#This Row],[Is Data Valid]]=TRUE,((Table1[[#This Row],[Birthweight (grams)]]*1.1/Table1[[#This Row],[BW_GA]])-1)/(Backend!$B$4/100*Table1[[#This Row],[BW40_3705]]),"")</f>
        <v/>
      </c>
      <c r="J6901" s="7" t="str">
        <f>IF(Table1[[#This Row],[Is Data Valid]]=TRUE,_xlfn.NORM.S.DIST(Table1[[#This Row],[Birthweight Z-Score]],TRUE)*100,"")</f>
        <v/>
      </c>
      <c r="K6901" s="7" t="str">
        <f>IF(Table1[[#This Row],[Is Data Valid]]=TRUE,_xlfn.NORM.S.DIST(Table1[[#This Row],[Birthweight Z-Score (BW-10%)]],TRUE)*100,"")</f>
        <v/>
      </c>
      <c r="L6901" s="7" t="str">
        <f>IF(Table1[[#This Row],[Is Data Valid]]=TRUE,_xlfn.NORM.S.DIST(Table1[[#This Row],[Birthweight Z-Score (BW+10%)]],TRUE)*100,"")</f>
        <v/>
      </c>
    </row>
    <row r="6902" spans="1:12" x14ac:dyDescent="0.35">
      <c r="A6902" s="3"/>
      <c r="B6902" s="2"/>
      <c r="C6902" s="2"/>
      <c r="D6902" s="2" t="b">
        <f>IF(AND(NOT(ISBLANK(Table1[[#This Row],[Fetal Sex (Male, Female or Unknown)]])),ISNUMBER(Table1[[#This Row],[Birthweight (grams)]]),ISNUMBER(Table1[[#This Row],[Gestation (days)]])),TRUE,FALSE)</f>
        <v>0</v>
      </c>
      <c r="E6902" s="2" t="str">
        <f>IF(Table1[[#This Row],[Is Data Valid]]=TRUE,IF(Table1[[#This Row],[Fetal Sex (Male, Female or Unknown)]]="Male",Backend!$C$6,IF(Table1[[#This Row],[Fetal Sex (Male, Female or Unknown)]]="Female",Backend!$C$7,IF(Table1[[#This Row],[Fetal Sex (Male, Female or Unknown)]]="Unknown",Backend!$C$8,"Error"))),"")</f>
        <v/>
      </c>
      <c r="F6902" s="8" t="str">
        <f>IF(Table1[[#This Row],[Is Data Valid]]=TRUE,EXP(0.578+0.332*((Table1[[#This Row],[Gestation (days)]]+0.5)/7)-0.00354*((Table1[[#This Row],[Gestation (days)]]+0.5)/7)^2)*Table1[[#This Row],[BW40_3705]],"")</f>
        <v/>
      </c>
      <c r="G6902" s="2" t="str">
        <f>IF(Table1[[#This Row],[Is Data Valid]]=TRUE,((Table1[[#This Row],[Birthweight (grams)]]/Table1[[#This Row],[BW_GA]])-1)/(Backend!$B$4/100*Table1[[#This Row],[BW40_3705]]),"")</f>
        <v/>
      </c>
      <c r="H6902" s="7" t="str">
        <f>IF(Table1[[#This Row],[Is Data Valid]]=TRUE,((Table1[[#This Row],[Birthweight (grams)]]*0.9/Table1[[#This Row],[BW_GA]])-1)/(Backend!$B$4/100*Table1[[#This Row],[BW40_3705]]),"")</f>
        <v/>
      </c>
      <c r="I6902" s="7" t="str">
        <f>IF(Table1[[#This Row],[Is Data Valid]]=TRUE,((Table1[[#This Row],[Birthweight (grams)]]*1.1/Table1[[#This Row],[BW_GA]])-1)/(Backend!$B$4/100*Table1[[#This Row],[BW40_3705]]),"")</f>
        <v/>
      </c>
      <c r="J6902" s="7" t="str">
        <f>IF(Table1[[#This Row],[Is Data Valid]]=TRUE,_xlfn.NORM.S.DIST(Table1[[#This Row],[Birthweight Z-Score]],TRUE)*100,"")</f>
        <v/>
      </c>
      <c r="K6902" s="7" t="str">
        <f>IF(Table1[[#This Row],[Is Data Valid]]=TRUE,_xlfn.NORM.S.DIST(Table1[[#This Row],[Birthweight Z-Score (BW-10%)]],TRUE)*100,"")</f>
        <v/>
      </c>
      <c r="L6902" s="7" t="str">
        <f>IF(Table1[[#This Row],[Is Data Valid]]=TRUE,_xlfn.NORM.S.DIST(Table1[[#This Row],[Birthweight Z-Score (BW+10%)]],TRUE)*100,"")</f>
        <v/>
      </c>
    </row>
    <row r="6903" spans="1:12" x14ac:dyDescent="0.35">
      <c r="A6903" s="3"/>
      <c r="B6903" s="2"/>
      <c r="C6903" s="2"/>
      <c r="D6903" s="2" t="b">
        <f>IF(AND(NOT(ISBLANK(Table1[[#This Row],[Fetal Sex (Male, Female or Unknown)]])),ISNUMBER(Table1[[#This Row],[Birthweight (grams)]]),ISNUMBER(Table1[[#This Row],[Gestation (days)]])),TRUE,FALSE)</f>
        <v>0</v>
      </c>
      <c r="E6903" s="2" t="str">
        <f>IF(Table1[[#This Row],[Is Data Valid]]=TRUE,IF(Table1[[#This Row],[Fetal Sex (Male, Female or Unknown)]]="Male",Backend!$C$6,IF(Table1[[#This Row],[Fetal Sex (Male, Female or Unknown)]]="Female",Backend!$C$7,IF(Table1[[#This Row],[Fetal Sex (Male, Female or Unknown)]]="Unknown",Backend!$C$8,"Error"))),"")</f>
        <v/>
      </c>
      <c r="F6903" s="8" t="str">
        <f>IF(Table1[[#This Row],[Is Data Valid]]=TRUE,EXP(0.578+0.332*((Table1[[#This Row],[Gestation (days)]]+0.5)/7)-0.00354*((Table1[[#This Row],[Gestation (days)]]+0.5)/7)^2)*Table1[[#This Row],[BW40_3705]],"")</f>
        <v/>
      </c>
      <c r="G6903" s="2" t="str">
        <f>IF(Table1[[#This Row],[Is Data Valid]]=TRUE,((Table1[[#This Row],[Birthweight (grams)]]/Table1[[#This Row],[BW_GA]])-1)/(Backend!$B$4/100*Table1[[#This Row],[BW40_3705]]),"")</f>
        <v/>
      </c>
      <c r="H6903" s="7" t="str">
        <f>IF(Table1[[#This Row],[Is Data Valid]]=TRUE,((Table1[[#This Row],[Birthweight (grams)]]*0.9/Table1[[#This Row],[BW_GA]])-1)/(Backend!$B$4/100*Table1[[#This Row],[BW40_3705]]),"")</f>
        <v/>
      </c>
      <c r="I6903" s="7" t="str">
        <f>IF(Table1[[#This Row],[Is Data Valid]]=TRUE,((Table1[[#This Row],[Birthweight (grams)]]*1.1/Table1[[#This Row],[BW_GA]])-1)/(Backend!$B$4/100*Table1[[#This Row],[BW40_3705]]),"")</f>
        <v/>
      </c>
      <c r="J6903" s="7" t="str">
        <f>IF(Table1[[#This Row],[Is Data Valid]]=TRUE,_xlfn.NORM.S.DIST(Table1[[#This Row],[Birthweight Z-Score]],TRUE)*100,"")</f>
        <v/>
      </c>
      <c r="K6903" s="7" t="str">
        <f>IF(Table1[[#This Row],[Is Data Valid]]=TRUE,_xlfn.NORM.S.DIST(Table1[[#This Row],[Birthweight Z-Score (BW-10%)]],TRUE)*100,"")</f>
        <v/>
      </c>
      <c r="L6903" s="7" t="str">
        <f>IF(Table1[[#This Row],[Is Data Valid]]=TRUE,_xlfn.NORM.S.DIST(Table1[[#This Row],[Birthweight Z-Score (BW+10%)]],TRUE)*100,"")</f>
        <v/>
      </c>
    </row>
    <row r="6904" spans="1:12" x14ac:dyDescent="0.35">
      <c r="A6904" s="3"/>
      <c r="B6904" s="2"/>
      <c r="C6904" s="2"/>
      <c r="D6904" s="2" t="b">
        <f>IF(AND(NOT(ISBLANK(Table1[[#This Row],[Fetal Sex (Male, Female or Unknown)]])),ISNUMBER(Table1[[#This Row],[Birthweight (grams)]]),ISNUMBER(Table1[[#This Row],[Gestation (days)]])),TRUE,FALSE)</f>
        <v>0</v>
      </c>
      <c r="E6904" s="2" t="str">
        <f>IF(Table1[[#This Row],[Is Data Valid]]=TRUE,IF(Table1[[#This Row],[Fetal Sex (Male, Female or Unknown)]]="Male",Backend!$C$6,IF(Table1[[#This Row],[Fetal Sex (Male, Female or Unknown)]]="Female",Backend!$C$7,IF(Table1[[#This Row],[Fetal Sex (Male, Female or Unknown)]]="Unknown",Backend!$C$8,"Error"))),"")</f>
        <v/>
      </c>
      <c r="F6904" s="8" t="str">
        <f>IF(Table1[[#This Row],[Is Data Valid]]=TRUE,EXP(0.578+0.332*((Table1[[#This Row],[Gestation (days)]]+0.5)/7)-0.00354*((Table1[[#This Row],[Gestation (days)]]+0.5)/7)^2)*Table1[[#This Row],[BW40_3705]],"")</f>
        <v/>
      </c>
      <c r="G6904" s="2" t="str">
        <f>IF(Table1[[#This Row],[Is Data Valid]]=TRUE,((Table1[[#This Row],[Birthweight (grams)]]/Table1[[#This Row],[BW_GA]])-1)/(Backend!$B$4/100*Table1[[#This Row],[BW40_3705]]),"")</f>
        <v/>
      </c>
      <c r="H6904" s="7" t="str">
        <f>IF(Table1[[#This Row],[Is Data Valid]]=TRUE,((Table1[[#This Row],[Birthweight (grams)]]*0.9/Table1[[#This Row],[BW_GA]])-1)/(Backend!$B$4/100*Table1[[#This Row],[BW40_3705]]),"")</f>
        <v/>
      </c>
      <c r="I6904" s="7" t="str">
        <f>IF(Table1[[#This Row],[Is Data Valid]]=TRUE,((Table1[[#This Row],[Birthweight (grams)]]*1.1/Table1[[#This Row],[BW_GA]])-1)/(Backend!$B$4/100*Table1[[#This Row],[BW40_3705]]),"")</f>
        <v/>
      </c>
      <c r="J6904" s="7" t="str">
        <f>IF(Table1[[#This Row],[Is Data Valid]]=TRUE,_xlfn.NORM.S.DIST(Table1[[#This Row],[Birthweight Z-Score]],TRUE)*100,"")</f>
        <v/>
      </c>
      <c r="K6904" s="7" t="str">
        <f>IF(Table1[[#This Row],[Is Data Valid]]=TRUE,_xlfn.NORM.S.DIST(Table1[[#This Row],[Birthweight Z-Score (BW-10%)]],TRUE)*100,"")</f>
        <v/>
      </c>
      <c r="L6904" s="7" t="str">
        <f>IF(Table1[[#This Row],[Is Data Valid]]=TRUE,_xlfn.NORM.S.DIST(Table1[[#This Row],[Birthweight Z-Score (BW+10%)]],TRUE)*100,"")</f>
        <v/>
      </c>
    </row>
    <row r="6905" spans="1:12" x14ac:dyDescent="0.35">
      <c r="A6905" s="3"/>
      <c r="B6905" s="2"/>
      <c r="C6905" s="2"/>
      <c r="D6905" s="2" t="b">
        <f>IF(AND(NOT(ISBLANK(Table1[[#This Row],[Fetal Sex (Male, Female or Unknown)]])),ISNUMBER(Table1[[#This Row],[Birthweight (grams)]]),ISNUMBER(Table1[[#This Row],[Gestation (days)]])),TRUE,FALSE)</f>
        <v>0</v>
      </c>
      <c r="E6905" s="2" t="str">
        <f>IF(Table1[[#This Row],[Is Data Valid]]=TRUE,IF(Table1[[#This Row],[Fetal Sex (Male, Female or Unknown)]]="Male",Backend!$C$6,IF(Table1[[#This Row],[Fetal Sex (Male, Female or Unknown)]]="Female",Backend!$C$7,IF(Table1[[#This Row],[Fetal Sex (Male, Female or Unknown)]]="Unknown",Backend!$C$8,"Error"))),"")</f>
        <v/>
      </c>
      <c r="F6905" s="8" t="str">
        <f>IF(Table1[[#This Row],[Is Data Valid]]=TRUE,EXP(0.578+0.332*((Table1[[#This Row],[Gestation (days)]]+0.5)/7)-0.00354*((Table1[[#This Row],[Gestation (days)]]+0.5)/7)^2)*Table1[[#This Row],[BW40_3705]],"")</f>
        <v/>
      </c>
      <c r="G6905" s="2" t="str">
        <f>IF(Table1[[#This Row],[Is Data Valid]]=TRUE,((Table1[[#This Row],[Birthweight (grams)]]/Table1[[#This Row],[BW_GA]])-1)/(Backend!$B$4/100*Table1[[#This Row],[BW40_3705]]),"")</f>
        <v/>
      </c>
      <c r="H6905" s="7" t="str">
        <f>IF(Table1[[#This Row],[Is Data Valid]]=TRUE,((Table1[[#This Row],[Birthweight (grams)]]*0.9/Table1[[#This Row],[BW_GA]])-1)/(Backend!$B$4/100*Table1[[#This Row],[BW40_3705]]),"")</f>
        <v/>
      </c>
      <c r="I6905" s="7" t="str">
        <f>IF(Table1[[#This Row],[Is Data Valid]]=TRUE,((Table1[[#This Row],[Birthweight (grams)]]*1.1/Table1[[#This Row],[BW_GA]])-1)/(Backend!$B$4/100*Table1[[#This Row],[BW40_3705]]),"")</f>
        <v/>
      </c>
      <c r="J6905" s="7" t="str">
        <f>IF(Table1[[#This Row],[Is Data Valid]]=TRUE,_xlfn.NORM.S.DIST(Table1[[#This Row],[Birthweight Z-Score]],TRUE)*100,"")</f>
        <v/>
      </c>
      <c r="K6905" s="7" t="str">
        <f>IF(Table1[[#This Row],[Is Data Valid]]=TRUE,_xlfn.NORM.S.DIST(Table1[[#This Row],[Birthweight Z-Score (BW-10%)]],TRUE)*100,"")</f>
        <v/>
      </c>
      <c r="L6905" s="7" t="str">
        <f>IF(Table1[[#This Row],[Is Data Valid]]=TRUE,_xlfn.NORM.S.DIST(Table1[[#This Row],[Birthweight Z-Score (BW+10%)]],TRUE)*100,"")</f>
        <v/>
      </c>
    </row>
    <row r="6906" spans="1:12" x14ac:dyDescent="0.35">
      <c r="A6906" s="3"/>
      <c r="B6906" s="2"/>
      <c r="C6906" s="2"/>
      <c r="D6906" s="2" t="b">
        <f>IF(AND(NOT(ISBLANK(Table1[[#This Row],[Fetal Sex (Male, Female or Unknown)]])),ISNUMBER(Table1[[#This Row],[Birthweight (grams)]]),ISNUMBER(Table1[[#This Row],[Gestation (days)]])),TRUE,FALSE)</f>
        <v>0</v>
      </c>
      <c r="E6906" s="2" t="str">
        <f>IF(Table1[[#This Row],[Is Data Valid]]=TRUE,IF(Table1[[#This Row],[Fetal Sex (Male, Female or Unknown)]]="Male",Backend!$C$6,IF(Table1[[#This Row],[Fetal Sex (Male, Female or Unknown)]]="Female",Backend!$C$7,IF(Table1[[#This Row],[Fetal Sex (Male, Female or Unknown)]]="Unknown",Backend!$C$8,"Error"))),"")</f>
        <v/>
      </c>
      <c r="F6906" s="8" t="str">
        <f>IF(Table1[[#This Row],[Is Data Valid]]=TRUE,EXP(0.578+0.332*((Table1[[#This Row],[Gestation (days)]]+0.5)/7)-0.00354*((Table1[[#This Row],[Gestation (days)]]+0.5)/7)^2)*Table1[[#This Row],[BW40_3705]],"")</f>
        <v/>
      </c>
      <c r="G6906" s="2" t="str">
        <f>IF(Table1[[#This Row],[Is Data Valid]]=TRUE,((Table1[[#This Row],[Birthweight (grams)]]/Table1[[#This Row],[BW_GA]])-1)/(Backend!$B$4/100*Table1[[#This Row],[BW40_3705]]),"")</f>
        <v/>
      </c>
      <c r="H6906" s="7" t="str">
        <f>IF(Table1[[#This Row],[Is Data Valid]]=TRUE,((Table1[[#This Row],[Birthweight (grams)]]*0.9/Table1[[#This Row],[BW_GA]])-1)/(Backend!$B$4/100*Table1[[#This Row],[BW40_3705]]),"")</f>
        <v/>
      </c>
      <c r="I6906" s="7" t="str">
        <f>IF(Table1[[#This Row],[Is Data Valid]]=TRUE,((Table1[[#This Row],[Birthweight (grams)]]*1.1/Table1[[#This Row],[BW_GA]])-1)/(Backend!$B$4/100*Table1[[#This Row],[BW40_3705]]),"")</f>
        <v/>
      </c>
      <c r="J6906" s="7" t="str">
        <f>IF(Table1[[#This Row],[Is Data Valid]]=TRUE,_xlfn.NORM.S.DIST(Table1[[#This Row],[Birthweight Z-Score]],TRUE)*100,"")</f>
        <v/>
      </c>
      <c r="K6906" s="7" t="str">
        <f>IF(Table1[[#This Row],[Is Data Valid]]=TRUE,_xlfn.NORM.S.DIST(Table1[[#This Row],[Birthweight Z-Score (BW-10%)]],TRUE)*100,"")</f>
        <v/>
      </c>
      <c r="L6906" s="7" t="str">
        <f>IF(Table1[[#This Row],[Is Data Valid]]=TRUE,_xlfn.NORM.S.DIST(Table1[[#This Row],[Birthweight Z-Score (BW+10%)]],TRUE)*100,"")</f>
        <v/>
      </c>
    </row>
    <row r="6907" spans="1:12" x14ac:dyDescent="0.35">
      <c r="A6907" s="3"/>
      <c r="B6907" s="2"/>
      <c r="C6907" s="2"/>
      <c r="D6907" s="2" t="b">
        <f>IF(AND(NOT(ISBLANK(Table1[[#This Row],[Fetal Sex (Male, Female or Unknown)]])),ISNUMBER(Table1[[#This Row],[Birthweight (grams)]]),ISNUMBER(Table1[[#This Row],[Gestation (days)]])),TRUE,FALSE)</f>
        <v>0</v>
      </c>
      <c r="E6907" s="2" t="str">
        <f>IF(Table1[[#This Row],[Is Data Valid]]=TRUE,IF(Table1[[#This Row],[Fetal Sex (Male, Female or Unknown)]]="Male",Backend!$C$6,IF(Table1[[#This Row],[Fetal Sex (Male, Female or Unknown)]]="Female",Backend!$C$7,IF(Table1[[#This Row],[Fetal Sex (Male, Female or Unknown)]]="Unknown",Backend!$C$8,"Error"))),"")</f>
        <v/>
      </c>
      <c r="F6907" s="8" t="str">
        <f>IF(Table1[[#This Row],[Is Data Valid]]=TRUE,EXP(0.578+0.332*((Table1[[#This Row],[Gestation (days)]]+0.5)/7)-0.00354*((Table1[[#This Row],[Gestation (days)]]+0.5)/7)^2)*Table1[[#This Row],[BW40_3705]],"")</f>
        <v/>
      </c>
      <c r="G6907" s="2" t="str">
        <f>IF(Table1[[#This Row],[Is Data Valid]]=TRUE,((Table1[[#This Row],[Birthweight (grams)]]/Table1[[#This Row],[BW_GA]])-1)/(Backend!$B$4/100*Table1[[#This Row],[BW40_3705]]),"")</f>
        <v/>
      </c>
      <c r="H6907" s="7" t="str">
        <f>IF(Table1[[#This Row],[Is Data Valid]]=TRUE,((Table1[[#This Row],[Birthweight (grams)]]*0.9/Table1[[#This Row],[BW_GA]])-1)/(Backend!$B$4/100*Table1[[#This Row],[BW40_3705]]),"")</f>
        <v/>
      </c>
      <c r="I6907" s="7" t="str">
        <f>IF(Table1[[#This Row],[Is Data Valid]]=TRUE,((Table1[[#This Row],[Birthweight (grams)]]*1.1/Table1[[#This Row],[BW_GA]])-1)/(Backend!$B$4/100*Table1[[#This Row],[BW40_3705]]),"")</f>
        <v/>
      </c>
      <c r="J6907" s="7" t="str">
        <f>IF(Table1[[#This Row],[Is Data Valid]]=TRUE,_xlfn.NORM.S.DIST(Table1[[#This Row],[Birthweight Z-Score]],TRUE)*100,"")</f>
        <v/>
      </c>
      <c r="K6907" s="7" t="str">
        <f>IF(Table1[[#This Row],[Is Data Valid]]=TRUE,_xlfn.NORM.S.DIST(Table1[[#This Row],[Birthweight Z-Score (BW-10%)]],TRUE)*100,"")</f>
        <v/>
      </c>
      <c r="L6907" s="7" t="str">
        <f>IF(Table1[[#This Row],[Is Data Valid]]=TRUE,_xlfn.NORM.S.DIST(Table1[[#This Row],[Birthweight Z-Score (BW+10%)]],TRUE)*100,"")</f>
        <v/>
      </c>
    </row>
    <row r="6908" spans="1:12" x14ac:dyDescent="0.35">
      <c r="A6908" s="3"/>
      <c r="B6908" s="2"/>
      <c r="C6908" s="2"/>
      <c r="D6908" s="2" t="b">
        <f>IF(AND(NOT(ISBLANK(Table1[[#This Row],[Fetal Sex (Male, Female or Unknown)]])),ISNUMBER(Table1[[#This Row],[Birthweight (grams)]]),ISNUMBER(Table1[[#This Row],[Gestation (days)]])),TRUE,FALSE)</f>
        <v>0</v>
      </c>
      <c r="E6908" s="2" t="str">
        <f>IF(Table1[[#This Row],[Is Data Valid]]=TRUE,IF(Table1[[#This Row],[Fetal Sex (Male, Female or Unknown)]]="Male",Backend!$C$6,IF(Table1[[#This Row],[Fetal Sex (Male, Female or Unknown)]]="Female",Backend!$C$7,IF(Table1[[#This Row],[Fetal Sex (Male, Female or Unknown)]]="Unknown",Backend!$C$8,"Error"))),"")</f>
        <v/>
      </c>
      <c r="F6908" s="8" t="str">
        <f>IF(Table1[[#This Row],[Is Data Valid]]=TRUE,EXP(0.578+0.332*((Table1[[#This Row],[Gestation (days)]]+0.5)/7)-0.00354*((Table1[[#This Row],[Gestation (days)]]+0.5)/7)^2)*Table1[[#This Row],[BW40_3705]],"")</f>
        <v/>
      </c>
      <c r="G6908" s="2" t="str">
        <f>IF(Table1[[#This Row],[Is Data Valid]]=TRUE,((Table1[[#This Row],[Birthweight (grams)]]/Table1[[#This Row],[BW_GA]])-1)/(Backend!$B$4/100*Table1[[#This Row],[BW40_3705]]),"")</f>
        <v/>
      </c>
      <c r="H6908" s="7" t="str">
        <f>IF(Table1[[#This Row],[Is Data Valid]]=TRUE,((Table1[[#This Row],[Birthweight (grams)]]*0.9/Table1[[#This Row],[BW_GA]])-1)/(Backend!$B$4/100*Table1[[#This Row],[BW40_3705]]),"")</f>
        <v/>
      </c>
      <c r="I6908" s="7" t="str">
        <f>IF(Table1[[#This Row],[Is Data Valid]]=TRUE,((Table1[[#This Row],[Birthweight (grams)]]*1.1/Table1[[#This Row],[BW_GA]])-1)/(Backend!$B$4/100*Table1[[#This Row],[BW40_3705]]),"")</f>
        <v/>
      </c>
      <c r="J6908" s="7" t="str">
        <f>IF(Table1[[#This Row],[Is Data Valid]]=TRUE,_xlfn.NORM.S.DIST(Table1[[#This Row],[Birthweight Z-Score]],TRUE)*100,"")</f>
        <v/>
      </c>
      <c r="K6908" s="7" t="str">
        <f>IF(Table1[[#This Row],[Is Data Valid]]=TRUE,_xlfn.NORM.S.DIST(Table1[[#This Row],[Birthweight Z-Score (BW-10%)]],TRUE)*100,"")</f>
        <v/>
      </c>
      <c r="L6908" s="7" t="str">
        <f>IF(Table1[[#This Row],[Is Data Valid]]=TRUE,_xlfn.NORM.S.DIST(Table1[[#This Row],[Birthweight Z-Score (BW+10%)]],TRUE)*100,"")</f>
        <v/>
      </c>
    </row>
    <row r="6909" spans="1:12" x14ac:dyDescent="0.35">
      <c r="A6909" s="3"/>
      <c r="B6909" s="2"/>
      <c r="C6909" s="2"/>
      <c r="D6909" s="2" t="b">
        <f>IF(AND(NOT(ISBLANK(Table1[[#This Row],[Fetal Sex (Male, Female or Unknown)]])),ISNUMBER(Table1[[#This Row],[Birthweight (grams)]]),ISNUMBER(Table1[[#This Row],[Gestation (days)]])),TRUE,FALSE)</f>
        <v>0</v>
      </c>
      <c r="E6909" s="2" t="str">
        <f>IF(Table1[[#This Row],[Is Data Valid]]=TRUE,IF(Table1[[#This Row],[Fetal Sex (Male, Female or Unknown)]]="Male",Backend!$C$6,IF(Table1[[#This Row],[Fetal Sex (Male, Female or Unknown)]]="Female",Backend!$C$7,IF(Table1[[#This Row],[Fetal Sex (Male, Female or Unknown)]]="Unknown",Backend!$C$8,"Error"))),"")</f>
        <v/>
      </c>
      <c r="F6909" s="8" t="str">
        <f>IF(Table1[[#This Row],[Is Data Valid]]=TRUE,EXP(0.578+0.332*((Table1[[#This Row],[Gestation (days)]]+0.5)/7)-0.00354*((Table1[[#This Row],[Gestation (days)]]+0.5)/7)^2)*Table1[[#This Row],[BW40_3705]],"")</f>
        <v/>
      </c>
      <c r="G6909" s="2" t="str">
        <f>IF(Table1[[#This Row],[Is Data Valid]]=TRUE,((Table1[[#This Row],[Birthweight (grams)]]/Table1[[#This Row],[BW_GA]])-1)/(Backend!$B$4/100*Table1[[#This Row],[BW40_3705]]),"")</f>
        <v/>
      </c>
      <c r="H6909" s="7" t="str">
        <f>IF(Table1[[#This Row],[Is Data Valid]]=TRUE,((Table1[[#This Row],[Birthweight (grams)]]*0.9/Table1[[#This Row],[BW_GA]])-1)/(Backend!$B$4/100*Table1[[#This Row],[BW40_3705]]),"")</f>
        <v/>
      </c>
      <c r="I6909" s="7" t="str">
        <f>IF(Table1[[#This Row],[Is Data Valid]]=TRUE,((Table1[[#This Row],[Birthweight (grams)]]*1.1/Table1[[#This Row],[BW_GA]])-1)/(Backend!$B$4/100*Table1[[#This Row],[BW40_3705]]),"")</f>
        <v/>
      </c>
      <c r="J6909" s="7" t="str">
        <f>IF(Table1[[#This Row],[Is Data Valid]]=TRUE,_xlfn.NORM.S.DIST(Table1[[#This Row],[Birthweight Z-Score]],TRUE)*100,"")</f>
        <v/>
      </c>
      <c r="K6909" s="7" t="str">
        <f>IF(Table1[[#This Row],[Is Data Valid]]=TRUE,_xlfn.NORM.S.DIST(Table1[[#This Row],[Birthweight Z-Score (BW-10%)]],TRUE)*100,"")</f>
        <v/>
      </c>
      <c r="L6909" s="7" t="str">
        <f>IF(Table1[[#This Row],[Is Data Valid]]=TRUE,_xlfn.NORM.S.DIST(Table1[[#This Row],[Birthweight Z-Score (BW+10%)]],TRUE)*100,"")</f>
        <v/>
      </c>
    </row>
    <row r="6910" spans="1:12" x14ac:dyDescent="0.35">
      <c r="A6910" s="3"/>
      <c r="B6910" s="2"/>
      <c r="C6910" s="2"/>
      <c r="D6910" s="2" t="b">
        <f>IF(AND(NOT(ISBLANK(Table1[[#This Row],[Fetal Sex (Male, Female or Unknown)]])),ISNUMBER(Table1[[#This Row],[Birthweight (grams)]]),ISNUMBER(Table1[[#This Row],[Gestation (days)]])),TRUE,FALSE)</f>
        <v>0</v>
      </c>
      <c r="E6910" s="2" t="str">
        <f>IF(Table1[[#This Row],[Is Data Valid]]=TRUE,IF(Table1[[#This Row],[Fetal Sex (Male, Female or Unknown)]]="Male",Backend!$C$6,IF(Table1[[#This Row],[Fetal Sex (Male, Female or Unknown)]]="Female",Backend!$C$7,IF(Table1[[#This Row],[Fetal Sex (Male, Female or Unknown)]]="Unknown",Backend!$C$8,"Error"))),"")</f>
        <v/>
      </c>
      <c r="F6910" s="8" t="str">
        <f>IF(Table1[[#This Row],[Is Data Valid]]=TRUE,EXP(0.578+0.332*((Table1[[#This Row],[Gestation (days)]]+0.5)/7)-0.00354*((Table1[[#This Row],[Gestation (days)]]+0.5)/7)^2)*Table1[[#This Row],[BW40_3705]],"")</f>
        <v/>
      </c>
      <c r="G6910" s="2" t="str">
        <f>IF(Table1[[#This Row],[Is Data Valid]]=TRUE,((Table1[[#This Row],[Birthweight (grams)]]/Table1[[#This Row],[BW_GA]])-1)/(Backend!$B$4/100*Table1[[#This Row],[BW40_3705]]),"")</f>
        <v/>
      </c>
      <c r="H6910" s="7" t="str">
        <f>IF(Table1[[#This Row],[Is Data Valid]]=TRUE,((Table1[[#This Row],[Birthweight (grams)]]*0.9/Table1[[#This Row],[BW_GA]])-1)/(Backend!$B$4/100*Table1[[#This Row],[BW40_3705]]),"")</f>
        <v/>
      </c>
      <c r="I6910" s="7" t="str">
        <f>IF(Table1[[#This Row],[Is Data Valid]]=TRUE,((Table1[[#This Row],[Birthweight (grams)]]*1.1/Table1[[#This Row],[BW_GA]])-1)/(Backend!$B$4/100*Table1[[#This Row],[BW40_3705]]),"")</f>
        <v/>
      </c>
      <c r="J6910" s="7" t="str">
        <f>IF(Table1[[#This Row],[Is Data Valid]]=TRUE,_xlfn.NORM.S.DIST(Table1[[#This Row],[Birthweight Z-Score]],TRUE)*100,"")</f>
        <v/>
      </c>
      <c r="K6910" s="7" t="str">
        <f>IF(Table1[[#This Row],[Is Data Valid]]=TRUE,_xlfn.NORM.S.DIST(Table1[[#This Row],[Birthweight Z-Score (BW-10%)]],TRUE)*100,"")</f>
        <v/>
      </c>
      <c r="L6910" s="7" t="str">
        <f>IF(Table1[[#This Row],[Is Data Valid]]=TRUE,_xlfn.NORM.S.DIST(Table1[[#This Row],[Birthweight Z-Score (BW+10%)]],TRUE)*100,"")</f>
        <v/>
      </c>
    </row>
    <row r="6911" spans="1:12" x14ac:dyDescent="0.35">
      <c r="A6911" s="3"/>
      <c r="B6911" s="2"/>
      <c r="C6911" s="2"/>
      <c r="D6911" s="2" t="b">
        <f>IF(AND(NOT(ISBLANK(Table1[[#This Row],[Fetal Sex (Male, Female or Unknown)]])),ISNUMBER(Table1[[#This Row],[Birthweight (grams)]]),ISNUMBER(Table1[[#This Row],[Gestation (days)]])),TRUE,FALSE)</f>
        <v>0</v>
      </c>
      <c r="E6911" s="2" t="str">
        <f>IF(Table1[[#This Row],[Is Data Valid]]=TRUE,IF(Table1[[#This Row],[Fetal Sex (Male, Female or Unknown)]]="Male",Backend!$C$6,IF(Table1[[#This Row],[Fetal Sex (Male, Female or Unknown)]]="Female",Backend!$C$7,IF(Table1[[#This Row],[Fetal Sex (Male, Female or Unknown)]]="Unknown",Backend!$C$8,"Error"))),"")</f>
        <v/>
      </c>
      <c r="F6911" s="8" t="str">
        <f>IF(Table1[[#This Row],[Is Data Valid]]=TRUE,EXP(0.578+0.332*((Table1[[#This Row],[Gestation (days)]]+0.5)/7)-0.00354*((Table1[[#This Row],[Gestation (days)]]+0.5)/7)^2)*Table1[[#This Row],[BW40_3705]],"")</f>
        <v/>
      </c>
      <c r="G6911" s="2" t="str">
        <f>IF(Table1[[#This Row],[Is Data Valid]]=TRUE,((Table1[[#This Row],[Birthweight (grams)]]/Table1[[#This Row],[BW_GA]])-1)/(Backend!$B$4/100*Table1[[#This Row],[BW40_3705]]),"")</f>
        <v/>
      </c>
      <c r="H6911" s="7" t="str">
        <f>IF(Table1[[#This Row],[Is Data Valid]]=TRUE,((Table1[[#This Row],[Birthweight (grams)]]*0.9/Table1[[#This Row],[BW_GA]])-1)/(Backend!$B$4/100*Table1[[#This Row],[BW40_3705]]),"")</f>
        <v/>
      </c>
      <c r="I6911" s="7" t="str">
        <f>IF(Table1[[#This Row],[Is Data Valid]]=TRUE,((Table1[[#This Row],[Birthweight (grams)]]*1.1/Table1[[#This Row],[BW_GA]])-1)/(Backend!$B$4/100*Table1[[#This Row],[BW40_3705]]),"")</f>
        <v/>
      </c>
      <c r="J6911" s="7" t="str">
        <f>IF(Table1[[#This Row],[Is Data Valid]]=TRUE,_xlfn.NORM.S.DIST(Table1[[#This Row],[Birthweight Z-Score]],TRUE)*100,"")</f>
        <v/>
      </c>
      <c r="K6911" s="7" t="str">
        <f>IF(Table1[[#This Row],[Is Data Valid]]=TRUE,_xlfn.NORM.S.DIST(Table1[[#This Row],[Birthweight Z-Score (BW-10%)]],TRUE)*100,"")</f>
        <v/>
      </c>
      <c r="L6911" s="7" t="str">
        <f>IF(Table1[[#This Row],[Is Data Valid]]=TRUE,_xlfn.NORM.S.DIST(Table1[[#This Row],[Birthweight Z-Score (BW+10%)]],TRUE)*100,"")</f>
        <v/>
      </c>
    </row>
    <row r="6912" spans="1:12" x14ac:dyDescent="0.35">
      <c r="A6912" s="3"/>
      <c r="B6912" s="2"/>
      <c r="C6912" s="2"/>
      <c r="D6912" s="2" t="b">
        <f>IF(AND(NOT(ISBLANK(Table1[[#This Row],[Fetal Sex (Male, Female or Unknown)]])),ISNUMBER(Table1[[#This Row],[Birthweight (grams)]]),ISNUMBER(Table1[[#This Row],[Gestation (days)]])),TRUE,FALSE)</f>
        <v>0</v>
      </c>
      <c r="E6912" s="2" t="str">
        <f>IF(Table1[[#This Row],[Is Data Valid]]=TRUE,IF(Table1[[#This Row],[Fetal Sex (Male, Female or Unknown)]]="Male",Backend!$C$6,IF(Table1[[#This Row],[Fetal Sex (Male, Female or Unknown)]]="Female",Backend!$C$7,IF(Table1[[#This Row],[Fetal Sex (Male, Female or Unknown)]]="Unknown",Backend!$C$8,"Error"))),"")</f>
        <v/>
      </c>
      <c r="F6912" s="8" t="str">
        <f>IF(Table1[[#This Row],[Is Data Valid]]=TRUE,EXP(0.578+0.332*((Table1[[#This Row],[Gestation (days)]]+0.5)/7)-0.00354*((Table1[[#This Row],[Gestation (days)]]+0.5)/7)^2)*Table1[[#This Row],[BW40_3705]],"")</f>
        <v/>
      </c>
      <c r="G6912" s="2" t="str">
        <f>IF(Table1[[#This Row],[Is Data Valid]]=TRUE,((Table1[[#This Row],[Birthweight (grams)]]/Table1[[#This Row],[BW_GA]])-1)/(Backend!$B$4/100*Table1[[#This Row],[BW40_3705]]),"")</f>
        <v/>
      </c>
      <c r="H6912" s="7" t="str">
        <f>IF(Table1[[#This Row],[Is Data Valid]]=TRUE,((Table1[[#This Row],[Birthweight (grams)]]*0.9/Table1[[#This Row],[BW_GA]])-1)/(Backend!$B$4/100*Table1[[#This Row],[BW40_3705]]),"")</f>
        <v/>
      </c>
      <c r="I6912" s="7" t="str">
        <f>IF(Table1[[#This Row],[Is Data Valid]]=TRUE,((Table1[[#This Row],[Birthweight (grams)]]*1.1/Table1[[#This Row],[BW_GA]])-1)/(Backend!$B$4/100*Table1[[#This Row],[BW40_3705]]),"")</f>
        <v/>
      </c>
      <c r="J6912" s="7" t="str">
        <f>IF(Table1[[#This Row],[Is Data Valid]]=TRUE,_xlfn.NORM.S.DIST(Table1[[#This Row],[Birthweight Z-Score]],TRUE)*100,"")</f>
        <v/>
      </c>
      <c r="K6912" s="7" t="str">
        <f>IF(Table1[[#This Row],[Is Data Valid]]=TRUE,_xlfn.NORM.S.DIST(Table1[[#This Row],[Birthweight Z-Score (BW-10%)]],TRUE)*100,"")</f>
        <v/>
      </c>
      <c r="L6912" s="7" t="str">
        <f>IF(Table1[[#This Row],[Is Data Valid]]=TRUE,_xlfn.NORM.S.DIST(Table1[[#This Row],[Birthweight Z-Score (BW+10%)]],TRUE)*100,"")</f>
        <v/>
      </c>
    </row>
    <row r="6913" spans="1:12" x14ac:dyDescent="0.35">
      <c r="A6913" s="3"/>
      <c r="B6913" s="2"/>
      <c r="C6913" s="2"/>
      <c r="D6913" s="2" t="b">
        <f>IF(AND(NOT(ISBLANK(Table1[[#This Row],[Fetal Sex (Male, Female or Unknown)]])),ISNUMBER(Table1[[#This Row],[Birthweight (grams)]]),ISNUMBER(Table1[[#This Row],[Gestation (days)]])),TRUE,FALSE)</f>
        <v>0</v>
      </c>
      <c r="E6913" s="2" t="str">
        <f>IF(Table1[[#This Row],[Is Data Valid]]=TRUE,IF(Table1[[#This Row],[Fetal Sex (Male, Female or Unknown)]]="Male",Backend!$C$6,IF(Table1[[#This Row],[Fetal Sex (Male, Female or Unknown)]]="Female",Backend!$C$7,IF(Table1[[#This Row],[Fetal Sex (Male, Female or Unknown)]]="Unknown",Backend!$C$8,"Error"))),"")</f>
        <v/>
      </c>
      <c r="F6913" s="8" t="str">
        <f>IF(Table1[[#This Row],[Is Data Valid]]=TRUE,EXP(0.578+0.332*((Table1[[#This Row],[Gestation (days)]]+0.5)/7)-0.00354*((Table1[[#This Row],[Gestation (days)]]+0.5)/7)^2)*Table1[[#This Row],[BW40_3705]],"")</f>
        <v/>
      </c>
      <c r="G6913" s="2" t="str">
        <f>IF(Table1[[#This Row],[Is Data Valid]]=TRUE,((Table1[[#This Row],[Birthweight (grams)]]/Table1[[#This Row],[BW_GA]])-1)/(Backend!$B$4/100*Table1[[#This Row],[BW40_3705]]),"")</f>
        <v/>
      </c>
      <c r="H6913" s="7" t="str">
        <f>IF(Table1[[#This Row],[Is Data Valid]]=TRUE,((Table1[[#This Row],[Birthweight (grams)]]*0.9/Table1[[#This Row],[BW_GA]])-1)/(Backend!$B$4/100*Table1[[#This Row],[BW40_3705]]),"")</f>
        <v/>
      </c>
      <c r="I6913" s="7" t="str">
        <f>IF(Table1[[#This Row],[Is Data Valid]]=TRUE,((Table1[[#This Row],[Birthweight (grams)]]*1.1/Table1[[#This Row],[BW_GA]])-1)/(Backend!$B$4/100*Table1[[#This Row],[BW40_3705]]),"")</f>
        <v/>
      </c>
      <c r="J6913" s="7" t="str">
        <f>IF(Table1[[#This Row],[Is Data Valid]]=TRUE,_xlfn.NORM.S.DIST(Table1[[#This Row],[Birthweight Z-Score]],TRUE)*100,"")</f>
        <v/>
      </c>
      <c r="K6913" s="7" t="str">
        <f>IF(Table1[[#This Row],[Is Data Valid]]=TRUE,_xlfn.NORM.S.DIST(Table1[[#This Row],[Birthweight Z-Score (BW-10%)]],TRUE)*100,"")</f>
        <v/>
      </c>
      <c r="L6913" s="7" t="str">
        <f>IF(Table1[[#This Row],[Is Data Valid]]=TRUE,_xlfn.NORM.S.DIST(Table1[[#This Row],[Birthweight Z-Score (BW+10%)]],TRUE)*100,"")</f>
        <v/>
      </c>
    </row>
    <row r="6914" spans="1:12" x14ac:dyDescent="0.35">
      <c r="A6914" s="3"/>
      <c r="B6914" s="2"/>
      <c r="C6914" s="2"/>
      <c r="D6914" s="2" t="b">
        <f>IF(AND(NOT(ISBLANK(Table1[[#This Row],[Fetal Sex (Male, Female or Unknown)]])),ISNUMBER(Table1[[#This Row],[Birthweight (grams)]]),ISNUMBER(Table1[[#This Row],[Gestation (days)]])),TRUE,FALSE)</f>
        <v>0</v>
      </c>
      <c r="E6914" s="2" t="str">
        <f>IF(Table1[[#This Row],[Is Data Valid]]=TRUE,IF(Table1[[#This Row],[Fetal Sex (Male, Female or Unknown)]]="Male",Backend!$C$6,IF(Table1[[#This Row],[Fetal Sex (Male, Female or Unknown)]]="Female",Backend!$C$7,IF(Table1[[#This Row],[Fetal Sex (Male, Female or Unknown)]]="Unknown",Backend!$C$8,"Error"))),"")</f>
        <v/>
      </c>
      <c r="F6914" s="8" t="str">
        <f>IF(Table1[[#This Row],[Is Data Valid]]=TRUE,EXP(0.578+0.332*((Table1[[#This Row],[Gestation (days)]]+0.5)/7)-0.00354*((Table1[[#This Row],[Gestation (days)]]+0.5)/7)^2)*Table1[[#This Row],[BW40_3705]],"")</f>
        <v/>
      </c>
      <c r="G6914" s="2" t="str">
        <f>IF(Table1[[#This Row],[Is Data Valid]]=TRUE,((Table1[[#This Row],[Birthweight (grams)]]/Table1[[#This Row],[BW_GA]])-1)/(Backend!$B$4/100*Table1[[#This Row],[BW40_3705]]),"")</f>
        <v/>
      </c>
      <c r="H6914" s="7" t="str">
        <f>IF(Table1[[#This Row],[Is Data Valid]]=TRUE,((Table1[[#This Row],[Birthweight (grams)]]*0.9/Table1[[#This Row],[BW_GA]])-1)/(Backend!$B$4/100*Table1[[#This Row],[BW40_3705]]),"")</f>
        <v/>
      </c>
      <c r="I6914" s="7" t="str">
        <f>IF(Table1[[#This Row],[Is Data Valid]]=TRUE,((Table1[[#This Row],[Birthweight (grams)]]*1.1/Table1[[#This Row],[BW_GA]])-1)/(Backend!$B$4/100*Table1[[#This Row],[BW40_3705]]),"")</f>
        <v/>
      </c>
      <c r="J6914" s="7" t="str">
        <f>IF(Table1[[#This Row],[Is Data Valid]]=TRUE,_xlfn.NORM.S.DIST(Table1[[#This Row],[Birthweight Z-Score]],TRUE)*100,"")</f>
        <v/>
      </c>
      <c r="K6914" s="7" t="str">
        <f>IF(Table1[[#This Row],[Is Data Valid]]=TRUE,_xlfn.NORM.S.DIST(Table1[[#This Row],[Birthweight Z-Score (BW-10%)]],TRUE)*100,"")</f>
        <v/>
      </c>
      <c r="L6914" s="7" t="str">
        <f>IF(Table1[[#This Row],[Is Data Valid]]=TRUE,_xlfn.NORM.S.DIST(Table1[[#This Row],[Birthweight Z-Score (BW+10%)]],TRUE)*100,"")</f>
        <v/>
      </c>
    </row>
    <row r="6915" spans="1:12" x14ac:dyDescent="0.35">
      <c r="A6915" s="3"/>
      <c r="B6915" s="2"/>
      <c r="C6915" s="2"/>
      <c r="D6915" s="2" t="b">
        <f>IF(AND(NOT(ISBLANK(Table1[[#This Row],[Fetal Sex (Male, Female or Unknown)]])),ISNUMBER(Table1[[#This Row],[Birthweight (grams)]]),ISNUMBER(Table1[[#This Row],[Gestation (days)]])),TRUE,FALSE)</f>
        <v>0</v>
      </c>
      <c r="E6915" s="2" t="str">
        <f>IF(Table1[[#This Row],[Is Data Valid]]=TRUE,IF(Table1[[#This Row],[Fetal Sex (Male, Female or Unknown)]]="Male",Backend!$C$6,IF(Table1[[#This Row],[Fetal Sex (Male, Female or Unknown)]]="Female",Backend!$C$7,IF(Table1[[#This Row],[Fetal Sex (Male, Female or Unknown)]]="Unknown",Backend!$C$8,"Error"))),"")</f>
        <v/>
      </c>
      <c r="F6915" s="8" t="str">
        <f>IF(Table1[[#This Row],[Is Data Valid]]=TRUE,EXP(0.578+0.332*((Table1[[#This Row],[Gestation (days)]]+0.5)/7)-0.00354*((Table1[[#This Row],[Gestation (days)]]+0.5)/7)^2)*Table1[[#This Row],[BW40_3705]],"")</f>
        <v/>
      </c>
      <c r="G6915" s="2" t="str">
        <f>IF(Table1[[#This Row],[Is Data Valid]]=TRUE,((Table1[[#This Row],[Birthweight (grams)]]/Table1[[#This Row],[BW_GA]])-1)/(Backend!$B$4/100*Table1[[#This Row],[BW40_3705]]),"")</f>
        <v/>
      </c>
      <c r="H6915" s="7" t="str">
        <f>IF(Table1[[#This Row],[Is Data Valid]]=TRUE,((Table1[[#This Row],[Birthweight (grams)]]*0.9/Table1[[#This Row],[BW_GA]])-1)/(Backend!$B$4/100*Table1[[#This Row],[BW40_3705]]),"")</f>
        <v/>
      </c>
      <c r="I6915" s="7" t="str">
        <f>IF(Table1[[#This Row],[Is Data Valid]]=TRUE,((Table1[[#This Row],[Birthweight (grams)]]*1.1/Table1[[#This Row],[BW_GA]])-1)/(Backend!$B$4/100*Table1[[#This Row],[BW40_3705]]),"")</f>
        <v/>
      </c>
      <c r="J6915" s="7" t="str">
        <f>IF(Table1[[#This Row],[Is Data Valid]]=TRUE,_xlfn.NORM.S.DIST(Table1[[#This Row],[Birthweight Z-Score]],TRUE)*100,"")</f>
        <v/>
      </c>
      <c r="K6915" s="7" t="str">
        <f>IF(Table1[[#This Row],[Is Data Valid]]=TRUE,_xlfn.NORM.S.DIST(Table1[[#This Row],[Birthweight Z-Score (BW-10%)]],TRUE)*100,"")</f>
        <v/>
      </c>
      <c r="L6915" s="7" t="str">
        <f>IF(Table1[[#This Row],[Is Data Valid]]=TRUE,_xlfn.NORM.S.DIST(Table1[[#This Row],[Birthweight Z-Score (BW+10%)]],TRUE)*100,"")</f>
        <v/>
      </c>
    </row>
    <row r="6916" spans="1:12" x14ac:dyDescent="0.35">
      <c r="A6916" s="3"/>
      <c r="B6916" s="2"/>
      <c r="C6916" s="2"/>
      <c r="D6916" s="2" t="b">
        <f>IF(AND(NOT(ISBLANK(Table1[[#This Row],[Fetal Sex (Male, Female or Unknown)]])),ISNUMBER(Table1[[#This Row],[Birthweight (grams)]]),ISNUMBER(Table1[[#This Row],[Gestation (days)]])),TRUE,FALSE)</f>
        <v>0</v>
      </c>
      <c r="E6916" s="2" t="str">
        <f>IF(Table1[[#This Row],[Is Data Valid]]=TRUE,IF(Table1[[#This Row],[Fetal Sex (Male, Female or Unknown)]]="Male",Backend!$C$6,IF(Table1[[#This Row],[Fetal Sex (Male, Female or Unknown)]]="Female",Backend!$C$7,IF(Table1[[#This Row],[Fetal Sex (Male, Female or Unknown)]]="Unknown",Backend!$C$8,"Error"))),"")</f>
        <v/>
      </c>
      <c r="F6916" s="8" t="str">
        <f>IF(Table1[[#This Row],[Is Data Valid]]=TRUE,EXP(0.578+0.332*((Table1[[#This Row],[Gestation (days)]]+0.5)/7)-0.00354*((Table1[[#This Row],[Gestation (days)]]+0.5)/7)^2)*Table1[[#This Row],[BW40_3705]],"")</f>
        <v/>
      </c>
      <c r="G6916" s="2" t="str">
        <f>IF(Table1[[#This Row],[Is Data Valid]]=TRUE,((Table1[[#This Row],[Birthweight (grams)]]/Table1[[#This Row],[BW_GA]])-1)/(Backend!$B$4/100*Table1[[#This Row],[BW40_3705]]),"")</f>
        <v/>
      </c>
      <c r="H6916" s="7" t="str">
        <f>IF(Table1[[#This Row],[Is Data Valid]]=TRUE,((Table1[[#This Row],[Birthweight (grams)]]*0.9/Table1[[#This Row],[BW_GA]])-1)/(Backend!$B$4/100*Table1[[#This Row],[BW40_3705]]),"")</f>
        <v/>
      </c>
      <c r="I6916" s="7" t="str">
        <f>IF(Table1[[#This Row],[Is Data Valid]]=TRUE,((Table1[[#This Row],[Birthweight (grams)]]*1.1/Table1[[#This Row],[BW_GA]])-1)/(Backend!$B$4/100*Table1[[#This Row],[BW40_3705]]),"")</f>
        <v/>
      </c>
      <c r="J6916" s="7" t="str">
        <f>IF(Table1[[#This Row],[Is Data Valid]]=TRUE,_xlfn.NORM.S.DIST(Table1[[#This Row],[Birthweight Z-Score]],TRUE)*100,"")</f>
        <v/>
      </c>
      <c r="K6916" s="7" t="str">
        <f>IF(Table1[[#This Row],[Is Data Valid]]=TRUE,_xlfn.NORM.S.DIST(Table1[[#This Row],[Birthweight Z-Score (BW-10%)]],TRUE)*100,"")</f>
        <v/>
      </c>
      <c r="L6916" s="7" t="str">
        <f>IF(Table1[[#This Row],[Is Data Valid]]=TRUE,_xlfn.NORM.S.DIST(Table1[[#This Row],[Birthweight Z-Score (BW+10%)]],TRUE)*100,"")</f>
        <v/>
      </c>
    </row>
    <row r="6917" spans="1:12" x14ac:dyDescent="0.35">
      <c r="A6917" s="3"/>
      <c r="B6917" s="2"/>
      <c r="C6917" s="2"/>
      <c r="D6917" s="2" t="b">
        <f>IF(AND(NOT(ISBLANK(Table1[[#This Row],[Fetal Sex (Male, Female or Unknown)]])),ISNUMBER(Table1[[#This Row],[Birthweight (grams)]]),ISNUMBER(Table1[[#This Row],[Gestation (days)]])),TRUE,FALSE)</f>
        <v>0</v>
      </c>
      <c r="E6917" s="2" t="str">
        <f>IF(Table1[[#This Row],[Is Data Valid]]=TRUE,IF(Table1[[#This Row],[Fetal Sex (Male, Female or Unknown)]]="Male",Backend!$C$6,IF(Table1[[#This Row],[Fetal Sex (Male, Female or Unknown)]]="Female",Backend!$C$7,IF(Table1[[#This Row],[Fetal Sex (Male, Female or Unknown)]]="Unknown",Backend!$C$8,"Error"))),"")</f>
        <v/>
      </c>
      <c r="F6917" s="8" t="str">
        <f>IF(Table1[[#This Row],[Is Data Valid]]=TRUE,EXP(0.578+0.332*((Table1[[#This Row],[Gestation (days)]]+0.5)/7)-0.00354*((Table1[[#This Row],[Gestation (days)]]+0.5)/7)^2)*Table1[[#This Row],[BW40_3705]],"")</f>
        <v/>
      </c>
      <c r="G6917" s="2" t="str">
        <f>IF(Table1[[#This Row],[Is Data Valid]]=TRUE,((Table1[[#This Row],[Birthweight (grams)]]/Table1[[#This Row],[BW_GA]])-1)/(Backend!$B$4/100*Table1[[#This Row],[BW40_3705]]),"")</f>
        <v/>
      </c>
      <c r="H6917" s="7" t="str">
        <f>IF(Table1[[#This Row],[Is Data Valid]]=TRUE,((Table1[[#This Row],[Birthweight (grams)]]*0.9/Table1[[#This Row],[BW_GA]])-1)/(Backend!$B$4/100*Table1[[#This Row],[BW40_3705]]),"")</f>
        <v/>
      </c>
      <c r="I6917" s="7" t="str">
        <f>IF(Table1[[#This Row],[Is Data Valid]]=TRUE,((Table1[[#This Row],[Birthweight (grams)]]*1.1/Table1[[#This Row],[BW_GA]])-1)/(Backend!$B$4/100*Table1[[#This Row],[BW40_3705]]),"")</f>
        <v/>
      </c>
      <c r="J6917" s="7" t="str">
        <f>IF(Table1[[#This Row],[Is Data Valid]]=TRUE,_xlfn.NORM.S.DIST(Table1[[#This Row],[Birthweight Z-Score]],TRUE)*100,"")</f>
        <v/>
      </c>
      <c r="K6917" s="7" t="str">
        <f>IF(Table1[[#This Row],[Is Data Valid]]=TRUE,_xlfn.NORM.S.DIST(Table1[[#This Row],[Birthweight Z-Score (BW-10%)]],TRUE)*100,"")</f>
        <v/>
      </c>
      <c r="L6917" s="7" t="str">
        <f>IF(Table1[[#This Row],[Is Data Valid]]=TRUE,_xlfn.NORM.S.DIST(Table1[[#This Row],[Birthweight Z-Score (BW+10%)]],TRUE)*100,"")</f>
        <v/>
      </c>
    </row>
    <row r="6918" spans="1:12" x14ac:dyDescent="0.35">
      <c r="A6918" s="3"/>
      <c r="B6918" s="2"/>
      <c r="C6918" s="2"/>
      <c r="D6918" s="2" t="b">
        <f>IF(AND(NOT(ISBLANK(Table1[[#This Row],[Fetal Sex (Male, Female or Unknown)]])),ISNUMBER(Table1[[#This Row],[Birthweight (grams)]]),ISNUMBER(Table1[[#This Row],[Gestation (days)]])),TRUE,FALSE)</f>
        <v>0</v>
      </c>
      <c r="E6918" s="2" t="str">
        <f>IF(Table1[[#This Row],[Is Data Valid]]=TRUE,IF(Table1[[#This Row],[Fetal Sex (Male, Female or Unknown)]]="Male",Backend!$C$6,IF(Table1[[#This Row],[Fetal Sex (Male, Female or Unknown)]]="Female",Backend!$C$7,IF(Table1[[#This Row],[Fetal Sex (Male, Female or Unknown)]]="Unknown",Backend!$C$8,"Error"))),"")</f>
        <v/>
      </c>
      <c r="F6918" s="8" t="str">
        <f>IF(Table1[[#This Row],[Is Data Valid]]=TRUE,EXP(0.578+0.332*((Table1[[#This Row],[Gestation (days)]]+0.5)/7)-0.00354*((Table1[[#This Row],[Gestation (days)]]+0.5)/7)^2)*Table1[[#This Row],[BW40_3705]],"")</f>
        <v/>
      </c>
      <c r="G6918" s="2" t="str">
        <f>IF(Table1[[#This Row],[Is Data Valid]]=TRUE,((Table1[[#This Row],[Birthweight (grams)]]/Table1[[#This Row],[BW_GA]])-1)/(Backend!$B$4/100*Table1[[#This Row],[BW40_3705]]),"")</f>
        <v/>
      </c>
      <c r="H6918" s="7" t="str">
        <f>IF(Table1[[#This Row],[Is Data Valid]]=TRUE,((Table1[[#This Row],[Birthweight (grams)]]*0.9/Table1[[#This Row],[BW_GA]])-1)/(Backend!$B$4/100*Table1[[#This Row],[BW40_3705]]),"")</f>
        <v/>
      </c>
      <c r="I6918" s="7" t="str">
        <f>IF(Table1[[#This Row],[Is Data Valid]]=TRUE,((Table1[[#This Row],[Birthweight (grams)]]*1.1/Table1[[#This Row],[BW_GA]])-1)/(Backend!$B$4/100*Table1[[#This Row],[BW40_3705]]),"")</f>
        <v/>
      </c>
      <c r="J6918" s="7" t="str">
        <f>IF(Table1[[#This Row],[Is Data Valid]]=TRUE,_xlfn.NORM.S.DIST(Table1[[#This Row],[Birthweight Z-Score]],TRUE)*100,"")</f>
        <v/>
      </c>
      <c r="K6918" s="7" t="str">
        <f>IF(Table1[[#This Row],[Is Data Valid]]=TRUE,_xlfn.NORM.S.DIST(Table1[[#This Row],[Birthweight Z-Score (BW-10%)]],TRUE)*100,"")</f>
        <v/>
      </c>
      <c r="L6918" s="7" t="str">
        <f>IF(Table1[[#This Row],[Is Data Valid]]=TRUE,_xlfn.NORM.S.DIST(Table1[[#This Row],[Birthweight Z-Score (BW+10%)]],TRUE)*100,"")</f>
        <v/>
      </c>
    </row>
    <row r="6919" spans="1:12" x14ac:dyDescent="0.35">
      <c r="A6919" s="3"/>
      <c r="B6919" s="2"/>
      <c r="C6919" s="2"/>
      <c r="D6919" s="2" t="b">
        <f>IF(AND(NOT(ISBLANK(Table1[[#This Row],[Fetal Sex (Male, Female or Unknown)]])),ISNUMBER(Table1[[#This Row],[Birthweight (grams)]]),ISNUMBER(Table1[[#This Row],[Gestation (days)]])),TRUE,FALSE)</f>
        <v>0</v>
      </c>
      <c r="E6919" s="2" t="str">
        <f>IF(Table1[[#This Row],[Is Data Valid]]=TRUE,IF(Table1[[#This Row],[Fetal Sex (Male, Female or Unknown)]]="Male",Backend!$C$6,IF(Table1[[#This Row],[Fetal Sex (Male, Female or Unknown)]]="Female",Backend!$C$7,IF(Table1[[#This Row],[Fetal Sex (Male, Female or Unknown)]]="Unknown",Backend!$C$8,"Error"))),"")</f>
        <v/>
      </c>
      <c r="F6919" s="8" t="str">
        <f>IF(Table1[[#This Row],[Is Data Valid]]=TRUE,EXP(0.578+0.332*((Table1[[#This Row],[Gestation (days)]]+0.5)/7)-0.00354*((Table1[[#This Row],[Gestation (days)]]+0.5)/7)^2)*Table1[[#This Row],[BW40_3705]],"")</f>
        <v/>
      </c>
      <c r="G6919" s="2" t="str">
        <f>IF(Table1[[#This Row],[Is Data Valid]]=TRUE,((Table1[[#This Row],[Birthweight (grams)]]/Table1[[#This Row],[BW_GA]])-1)/(Backend!$B$4/100*Table1[[#This Row],[BW40_3705]]),"")</f>
        <v/>
      </c>
      <c r="H6919" s="7" t="str">
        <f>IF(Table1[[#This Row],[Is Data Valid]]=TRUE,((Table1[[#This Row],[Birthweight (grams)]]*0.9/Table1[[#This Row],[BW_GA]])-1)/(Backend!$B$4/100*Table1[[#This Row],[BW40_3705]]),"")</f>
        <v/>
      </c>
      <c r="I6919" s="7" t="str">
        <f>IF(Table1[[#This Row],[Is Data Valid]]=TRUE,((Table1[[#This Row],[Birthweight (grams)]]*1.1/Table1[[#This Row],[BW_GA]])-1)/(Backend!$B$4/100*Table1[[#This Row],[BW40_3705]]),"")</f>
        <v/>
      </c>
      <c r="J6919" s="7" t="str">
        <f>IF(Table1[[#This Row],[Is Data Valid]]=TRUE,_xlfn.NORM.S.DIST(Table1[[#This Row],[Birthweight Z-Score]],TRUE)*100,"")</f>
        <v/>
      </c>
      <c r="K6919" s="7" t="str">
        <f>IF(Table1[[#This Row],[Is Data Valid]]=TRUE,_xlfn.NORM.S.DIST(Table1[[#This Row],[Birthweight Z-Score (BW-10%)]],TRUE)*100,"")</f>
        <v/>
      </c>
      <c r="L6919" s="7" t="str">
        <f>IF(Table1[[#This Row],[Is Data Valid]]=TRUE,_xlfn.NORM.S.DIST(Table1[[#This Row],[Birthweight Z-Score (BW+10%)]],TRUE)*100,"")</f>
        <v/>
      </c>
    </row>
    <row r="6920" spans="1:12" x14ac:dyDescent="0.35">
      <c r="A6920" s="3"/>
      <c r="B6920" s="2"/>
      <c r="C6920" s="2"/>
      <c r="D6920" s="2" t="b">
        <f>IF(AND(NOT(ISBLANK(Table1[[#This Row],[Fetal Sex (Male, Female or Unknown)]])),ISNUMBER(Table1[[#This Row],[Birthweight (grams)]]),ISNUMBER(Table1[[#This Row],[Gestation (days)]])),TRUE,FALSE)</f>
        <v>0</v>
      </c>
      <c r="E6920" s="2" t="str">
        <f>IF(Table1[[#This Row],[Is Data Valid]]=TRUE,IF(Table1[[#This Row],[Fetal Sex (Male, Female or Unknown)]]="Male",Backend!$C$6,IF(Table1[[#This Row],[Fetal Sex (Male, Female or Unknown)]]="Female",Backend!$C$7,IF(Table1[[#This Row],[Fetal Sex (Male, Female or Unknown)]]="Unknown",Backend!$C$8,"Error"))),"")</f>
        <v/>
      </c>
      <c r="F6920" s="8" t="str">
        <f>IF(Table1[[#This Row],[Is Data Valid]]=TRUE,EXP(0.578+0.332*((Table1[[#This Row],[Gestation (days)]]+0.5)/7)-0.00354*((Table1[[#This Row],[Gestation (days)]]+0.5)/7)^2)*Table1[[#This Row],[BW40_3705]],"")</f>
        <v/>
      </c>
      <c r="G6920" s="2" t="str">
        <f>IF(Table1[[#This Row],[Is Data Valid]]=TRUE,((Table1[[#This Row],[Birthweight (grams)]]/Table1[[#This Row],[BW_GA]])-1)/(Backend!$B$4/100*Table1[[#This Row],[BW40_3705]]),"")</f>
        <v/>
      </c>
      <c r="H6920" s="7" t="str">
        <f>IF(Table1[[#This Row],[Is Data Valid]]=TRUE,((Table1[[#This Row],[Birthweight (grams)]]*0.9/Table1[[#This Row],[BW_GA]])-1)/(Backend!$B$4/100*Table1[[#This Row],[BW40_3705]]),"")</f>
        <v/>
      </c>
      <c r="I6920" s="7" t="str">
        <f>IF(Table1[[#This Row],[Is Data Valid]]=TRUE,((Table1[[#This Row],[Birthweight (grams)]]*1.1/Table1[[#This Row],[BW_GA]])-1)/(Backend!$B$4/100*Table1[[#This Row],[BW40_3705]]),"")</f>
        <v/>
      </c>
      <c r="J6920" s="7" t="str">
        <f>IF(Table1[[#This Row],[Is Data Valid]]=TRUE,_xlfn.NORM.S.DIST(Table1[[#This Row],[Birthweight Z-Score]],TRUE)*100,"")</f>
        <v/>
      </c>
      <c r="K6920" s="7" t="str">
        <f>IF(Table1[[#This Row],[Is Data Valid]]=TRUE,_xlfn.NORM.S.DIST(Table1[[#This Row],[Birthweight Z-Score (BW-10%)]],TRUE)*100,"")</f>
        <v/>
      </c>
      <c r="L6920" s="7" t="str">
        <f>IF(Table1[[#This Row],[Is Data Valid]]=TRUE,_xlfn.NORM.S.DIST(Table1[[#This Row],[Birthweight Z-Score (BW+10%)]],TRUE)*100,"")</f>
        <v/>
      </c>
    </row>
    <row r="6921" spans="1:12" x14ac:dyDescent="0.35">
      <c r="A6921" s="3"/>
      <c r="B6921" s="2"/>
      <c r="C6921" s="2"/>
      <c r="D6921" s="2" t="b">
        <f>IF(AND(NOT(ISBLANK(Table1[[#This Row],[Fetal Sex (Male, Female or Unknown)]])),ISNUMBER(Table1[[#This Row],[Birthweight (grams)]]),ISNUMBER(Table1[[#This Row],[Gestation (days)]])),TRUE,FALSE)</f>
        <v>0</v>
      </c>
      <c r="E6921" s="2" t="str">
        <f>IF(Table1[[#This Row],[Is Data Valid]]=TRUE,IF(Table1[[#This Row],[Fetal Sex (Male, Female or Unknown)]]="Male",Backend!$C$6,IF(Table1[[#This Row],[Fetal Sex (Male, Female or Unknown)]]="Female",Backend!$C$7,IF(Table1[[#This Row],[Fetal Sex (Male, Female or Unknown)]]="Unknown",Backend!$C$8,"Error"))),"")</f>
        <v/>
      </c>
      <c r="F6921" s="8" t="str">
        <f>IF(Table1[[#This Row],[Is Data Valid]]=TRUE,EXP(0.578+0.332*((Table1[[#This Row],[Gestation (days)]]+0.5)/7)-0.00354*((Table1[[#This Row],[Gestation (days)]]+0.5)/7)^2)*Table1[[#This Row],[BW40_3705]],"")</f>
        <v/>
      </c>
      <c r="G6921" s="2" t="str">
        <f>IF(Table1[[#This Row],[Is Data Valid]]=TRUE,((Table1[[#This Row],[Birthweight (grams)]]/Table1[[#This Row],[BW_GA]])-1)/(Backend!$B$4/100*Table1[[#This Row],[BW40_3705]]),"")</f>
        <v/>
      </c>
      <c r="H6921" s="7" t="str">
        <f>IF(Table1[[#This Row],[Is Data Valid]]=TRUE,((Table1[[#This Row],[Birthweight (grams)]]*0.9/Table1[[#This Row],[BW_GA]])-1)/(Backend!$B$4/100*Table1[[#This Row],[BW40_3705]]),"")</f>
        <v/>
      </c>
      <c r="I6921" s="7" t="str">
        <f>IF(Table1[[#This Row],[Is Data Valid]]=TRUE,((Table1[[#This Row],[Birthweight (grams)]]*1.1/Table1[[#This Row],[BW_GA]])-1)/(Backend!$B$4/100*Table1[[#This Row],[BW40_3705]]),"")</f>
        <v/>
      </c>
      <c r="J6921" s="7" t="str">
        <f>IF(Table1[[#This Row],[Is Data Valid]]=TRUE,_xlfn.NORM.S.DIST(Table1[[#This Row],[Birthweight Z-Score]],TRUE)*100,"")</f>
        <v/>
      </c>
      <c r="K6921" s="7" t="str">
        <f>IF(Table1[[#This Row],[Is Data Valid]]=TRUE,_xlfn.NORM.S.DIST(Table1[[#This Row],[Birthweight Z-Score (BW-10%)]],TRUE)*100,"")</f>
        <v/>
      </c>
      <c r="L6921" s="7" t="str">
        <f>IF(Table1[[#This Row],[Is Data Valid]]=TRUE,_xlfn.NORM.S.DIST(Table1[[#This Row],[Birthweight Z-Score (BW+10%)]],TRUE)*100,"")</f>
        <v/>
      </c>
    </row>
    <row r="6922" spans="1:12" x14ac:dyDescent="0.35">
      <c r="A6922" s="3"/>
      <c r="B6922" s="2"/>
      <c r="C6922" s="2"/>
      <c r="D6922" s="2" t="b">
        <f>IF(AND(NOT(ISBLANK(Table1[[#This Row],[Fetal Sex (Male, Female or Unknown)]])),ISNUMBER(Table1[[#This Row],[Birthweight (grams)]]),ISNUMBER(Table1[[#This Row],[Gestation (days)]])),TRUE,FALSE)</f>
        <v>0</v>
      </c>
      <c r="E6922" s="2" t="str">
        <f>IF(Table1[[#This Row],[Is Data Valid]]=TRUE,IF(Table1[[#This Row],[Fetal Sex (Male, Female or Unknown)]]="Male",Backend!$C$6,IF(Table1[[#This Row],[Fetal Sex (Male, Female or Unknown)]]="Female",Backend!$C$7,IF(Table1[[#This Row],[Fetal Sex (Male, Female or Unknown)]]="Unknown",Backend!$C$8,"Error"))),"")</f>
        <v/>
      </c>
      <c r="F6922" s="8" t="str">
        <f>IF(Table1[[#This Row],[Is Data Valid]]=TRUE,EXP(0.578+0.332*((Table1[[#This Row],[Gestation (days)]]+0.5)/7)-0.00354*((Table1[[#This Row],[Gestation (days)]]+0.5)/7)^2)*Table1[[#This Row],[BW40_3705]],"")</f>
        <v/>
      </c>
      <c r="G6922" s="2" t="str">
        <f>IF(Table1[[#This Row],[Is Data Valid]]=TRUE,((Table1[[#This Row],[Birthweight (grams)]]/Table1[[#This Row],[BW_GA]])-1)/(Backend!$B$4/100*Table1[[#This Row],[BW40_3705]]),"")</f>
        <v/>
      </c>
      <c r="H6922" s="7" t="str">
        <f>IF(Table1[[#This Row],[Is Data Valid]]=TRUE,((Table1[[#This Row],[Birthweight (grams)]]*0.9/Table1[[#This Row],[BW_GA]])-1)/(Backend!$B$4/100*Table1[[#This Row],[BW40_3705]]),"")</f>
        <v/>
      </c>
      <c r="I6922" s="7" t="str">
        <f>IF(Table1[[#This Row],[Is Data Valid]]=TRUE,((Table1[[#This Row],[Birthweight (grams)]]*1.1/Table1[[#This Row],[BW_GA]])-1)/(Backend!$B$4/100*Table1[[#This Row],[BW40_3705]]),"")</f>
        <v/>
      </c>
      <c r="J6922" s="7" t="str">
        <f>IF(Table1[[#This Row],[Is Data Valid]]=TRUE,_xlfn.NORM.S.DIST(Table1[[#This Row],[Birthweight Z-Score]],TRUE)*100,"")</f>
        <v/>
      </c>
      <c r="K6922" s="7" t="str">
        <f>IF(Table1[[#This Row],[Is Data Valid]]=TRUE,_xlfn.NORM.S.DIST(Table1[[#This Row],[Birthweight Z-Score (BW-10%)]],TRUE)*100,"")</f>
        <v/>
      </c>
      <c r="L6922" s="7" t="str">
        <f>IF(Table1[[#This Row],[Is Data Valid]]=TRUE,_xlfn.NORM.S.DIST(Table1[[#This Row],[Birthweight Z-Score (BW+10%)]],TRUE)*100,"")</f>
        <v/>
      </c>
    </row>
    <row r="6923" spans="1:12" x14ac:dyDescent="0.35">
      <c r="A6923" s="3"/>
      <c r="B6923" s="2"/>
      <c r="C6923" s="2"/>
      <c r="D6923" s="2" t="b">
        <f>IF(AND(NOT(ISBLANK(Table1[[#This Row],[Fetal Sex (Male, Female or Unknown)]])),ISNUMBER(Table1[[#This Row],[Birthweight (grams)]]),ISNUMBER(Table1[[#This Row],[Gestation (days)]])),TRUE,FALSE)</f>
        <v>0</v>
      </c>
      <c r="E6923" s="2" t="str">
        <f>IF(Table1[[#This Row],[Is Data Valid]]=TRUE,IF(Table1[[#This Row],[Fetal Sex (Male, Female or Unknown)]]="Male",Backend!$C$6,IF(Table1[[#This Row],[Fetal Sex (Male, Female or Unknown)]]="Female",Backend!$C$7,IF(Table1[[#This Row],[Fetal Sex (Male, Female or Unknown)]]="Unknown",Backend!$C$8,"Error"))),"")</f>
        <v/>
      </c>
      <c r="F6923" s="8" t="str">
        <f>IF(Table1[[#This Row],[Is Data Valid]]=TRUE,EXP(0.578+0.332*((Table1[[#This Row],[Gestation (days)]]+0.5)/7)-0.00354*((Table1[[#This Row],[Gestation (days)]]+0.5)/7)^2)*Table1[[#This Row],[BW40_3705]],"")</f>
        <v/>
      </c>
      <c r="G6923" s="2" t="str">
        <f>IF(Table1[[#This Row],[Is Data Valid]]=TRUE,((Table1[[#This Row],[Birthweight (grams)]]/Table1[[#This Row],[BW_GA]])-1)/(Backend!$B$4/100*Table1[[#This Row],[BW40_3705]]),"")</f>
        <v/>
      </c>
      <c r="H6923" s="7" t="str">
        <f>IF(Table1[[#This Row],[Is Data Valid]]=TRUE,((Table1[[#This Row],[Birthweight (grams)]]*0.9/Table1[[#This Row],[BW_GA]])-1)/(Backend!$B$4/100*Table1[[#This Row],[BW40_3705]]),"")</f>
        <v/>
      </c>
      <c r="I6923" s="7" t="str">
        <f>IF(Table1[[#This Row],[Is Data Valid]]=TRUE,((Table1[[#This Row],[Birthweight (grams)]]*1.1/Table1[[#This Row],[BW_GA]])-1)/(Backend!$B$4/100*Table1[[#This Row],[BW40_3705]]),"")</f>
        <v/>
      </c>
      <c r="J6923" s="7" t="str">
        <f>IF(Table1[[#This Row],[Is Data Valid]]=TRUE,_xlfn.NORM.S.DIST(Table1[[#This Row],[Birthweight Z-Score]],TRUE)*100,"")</f>
        <v/>
      </c>
      <c r="K6923" s="7" t="str">
        <f>IF(Table1[[#This Row],[Is Data Valid]]=TRUE,_xlfn.NORM.S.DIST(Table1[[#This Row],[Birthweight Z-Score (BW-10%)]],TRUE)*100,"")</f>
        <v/>
      </c>
      <c r="L6923" s="7" t="str">
        <f>IF(Table1[[#This Row],[Is Data Valid]]=TRUE,_xlfn.NORM.S.DIST(Table1[[#This Row],[Birthweight Z-Score (BW+10%)]],TRUE)*100,"")</f>
        <v/>
      </c>
    </row>
    <row r="6924" spans="1:12" x14ac:dyDescent="0.35">
      <c r="A6924" s="3"/>
      <c r="B6924" s="2"/>
      <c r="C6924" s="2"/>
      <c r="D6924" s="2" t="b">
        <f>IF(AND(NOT(ISBLANK(Table1[[#This Row],[Fetal Sex (Male, Female or Unknown)]])),ISNUMBER(Table1[[#This Row],[Birthweight (grams)]]),ISNUMBER(Table1[[#This Row],[Gestation (days)]])),TRUE,FALSE)</f>
        <v>0</v>
      </c>
      <c r="E6924" s="2" t="str">
        <f>IF(Table1[[#This Row],[Is Data Valid]]=TRUE,IF(Table1[[#This Row],[Fetal Sex (Male, Female or Unknown)]]="Male",Backend!$C$6,IF(Table1[[#This Row],[Fetal Sex (Male, Female or Unknown)]]="Female",Backend!$C$7,IF(Table1[[#This Row],[Fetal Sex (Male, Female or Unknown)]]="Unknown",Backend!$C$8,"Error"))),"")</f>
        <v/>
      </c>
      <c r="F6924" s="8" t="str">
        <f>IF(Table1[[#This Row],[Is Data Valid]]=TRUE,EXP(0.578+0.332*((Table1[[#This Row],[Gestation (days)]]+0.5)/7)-0.00354*((Table1[[#This Row],[Gestation (days)]]+0.5)/7)^2)*Table1[[#This Row],[BW40_3705]],"")</f>
        <v/>
      </c>
      <c r="G6924" s="2" t="str">
        <f>IF(Table1[[#This Row],[Is Data Valid]]=TRUE,((Table1[[#This Row],[Birthweight (grams)]]/Table1[[#This Row],[BW_GA]])-1)/(Backend!$B$4/100*Table1[[#This Row],[BW40_3705]]),"")</f>
        <v/>
      </c>
      <c r="H6924" s="7" t="str">
        <f>IF(Table1[[#This Row],[Is Data Valid]]=TRUE,((Table1[[#This Row],[Birthweight (grams)]]*0.9/Table1[[#This Row],[BW_GA]])-1)/(Backend!$B$4/100*Table1[[#This Row],[BW40_3705]]),"")</f>
        <v/>
      </c>
      <c r="I6924" s="7" t="str">
        <f>IF(Table1[[#This Row],[Is Data Valid]]=TRUE,((Table1[[#This Row],[Birthweight (grams)]]*1.1/Table1[[#This Row],[BW_GA]])-1)/(Backend!$B$4/100*Table1[[#This Row],[BW40_3705]]),"")</f>
        <v/>
      </c>
      <c r="J6924" s="7" t="str">
        <f>IF(Table1[[#This Row],[Is Data Valid]]=TRUE,_xlfn.NORM.S.DIST(Table1[[#This Row],[Birthweight Z-Score]],TRUE)*100,"")</f>
        <v/>
      </c>
      <c r="K6924" s="7" t="str">
        <f>IF(Table1[[#This Row],[Is Data Valid]]=TRUE,_xlfn.NORM.S.DIST(Table1[[#This Row],[Birthweight Z-Score (BW-10%)]],TRUE)*100,"")</f>
        <v/>
      </c>
      <c r="L6924" s="7" t="str">
        <f>IF(Table1[[#This Row],[Is Data Valid]]=TRUE,_xlfn.NORM.S.DIST(Table1[[#This Row],[Birthweight Z-Score (BW+10%)]],TRUE)*100,"")</f>
        <v/>
      </c>
    </row>
    <row r="6925" spans="1:12" x14ac:dyDescent="0.35">
      <c r="A6925" s="3"/>
      <c r="B6925" s="2"/>
      <c r="C6925" s="2"/>
      <c r="D6925" s="2" t="b">
        <f>IF(AND(NOT(ISBLANK(Table1[[#This Row],[Fetal Sex (Male, Female or Unknown)]])),ISNUMBER(Table1[[#This Row],[Birthweight (grams)]]),ISNUMBER(Table1[[#This Row],[Gestation (days)]])),TRUE,FALSE)</f>
        <v>0</v>
      </c>
      <c r="E6925" s="2" t="str">
        <f>IF(Table1[[#This Row],[Is Data Valid]]=TRUE,IF(Table1[[#This Row],[Fetal Sex (Male, Female or Unknown)]]="Male",Backend!$C$6,IF(Table1[[#This Row],[Fetal Sex (Male, Female or Unknown)]]="Female",Backend!$C$7,IF(Table1[[#This Row],[Fetal Sex (Male, Female or Unknown)]]="Unknown",Backend!$C$8,"Error"))),"")</f>
        <v/>
      </c>
      <c r="F6925" s="8" t="str">
        <f>IF(Table1[[#This Row],[Is Data Valid]]=TRUE,EXP(0.578+0.332*((Table1[[#This Row],[Gestation (days)]]+0.5)/7)-0.00354*((Table1[[#This Row],[Gestation (days)]]+0.5)/7)^2)*Table1[[#This Row],[BW40_3705]],"")</f>
        <v/>
      </c>
      <c r="G6925" s="2" t="str">
        <f>IF(Table1[[#This Row],[Is Data Valid]]=TRUE,((Table1[[#This Row],[Birthweight (grams)]]/Table1[[#This Row],[BW_GA]])-1)/(Backend!$B$4/100*Table1[[#This Row],[BW40_3705]]),"")</f>
        <v/>
      </c>
      <c r="H6925" s="7" t="str">
        <f>IF(Table1[[#This Row],[Is Data Valid]]=TRUE,((Table1[[#This Row],[Birthweight (grams)]]*0.9/Table1[[#This Row],[BW_GA]])-1)/(Backend!$B$4/100*Table1[[#This Row],[BW40_3705]]),"")</f>
        <v/>
      </c>
      <c r="I6925" s="7" t="str">
        <f>IF(Table1[[#This Row],[Is Data Valid]]=TRUE,((Table1[[#This Row],[Birthweight (grams)]]*1.1/Table1[[#This Row],[BW_GA]])-1)/(Backend!$B$4/100*Table1[[#This Row],[BW40_3705]]),"")</f>
        <v/>
      </c>
      <c r="J6925" s="7" t="str">
        <f>IF(Table1[[#This Row],[Is Data Valid]]=TRUE,_xlfn.NORM.S.DIST(Table1[[#This Row],[Birthweight Z-Score]],TRUE)*100,"")</f>
        <v/>
      </c>
      <c r="K6925" s="7" t="str">
        <f>IF(Table1[[#This Row],[Is Data Valid]]=TRUE,_xlfn.NORM.S.DIST(Table1[[#This Row],[Birthweight Z-Score (BW-10%)]],TRUE)*100,"")</f>
        <v/>
      </c>
      <c r="L6925" s="7" t="str">
        <f>IF(Table1[[#This Row],[Is Data Valid]]=TRUE,_xlfn.NORM.S.DIST(Table1[[#This Row],[Birthweight Z-Score (BW+10%)]],TRUE)*100,"")</f>
        <v/>
      </c>
    </row>
    <row r="6926" spans="1:12" x14ac:dyDescent="0.35">
      <c r="A6926" s="3"/>
      <c r="B6926" s="2"/>
      <c r="C6926" s="2"/>
      <c r="D6926" s="2" t="b">
        <f>IF(AND(NOT(ISBLANK(Table1[[#This Row],[Fetal Sex (Male, Female or Unknown)]])),ISNUMBER(Table1[[#This Row],[Birthweight (grams)]]),ISNUMBER(Table1[[#This Row],[Gestation (days)]])),TRUE,FALSE)</f>
        <v>0</v>
      </c>
      <c r="E6926" s="2" t="str">
        <f>IF(Table1[[#This Row],[Is Data Valid]]=TRUE,IF(Table1[[#This Row],[Fetal Sex (Male, Female or Unknown)]]="Male",Backend!$C$6,IF(Table1[[#This Row],[Fetal Sex (Male, Female or Unknown)]]="Female",Backend!$C$7,IF(Table1[[#This Row],[Fetal Sex (Male, Female or Unknown)]]="Unknown",Backend!$C$8,"Error"))),"")</f>
        <v/>
      </c>
      <c r="F6926" s="8" t="str">
        <f>IF(Table1[[#This Row],[Is Data Valid]]=TRUE,EXP(0.578+0.332*((Table1[[#This Row],[Gestation (days)]]+0.5)/7)-0.00354*((Table1[[#This Row],[Gestation (days)]]+0.5)/7)^2)*Table1[[#This Row],[BW40_3705]],"")</f>
        <v/>
      </c>
      <c r="G6926" s="2" t="str">
        <f>IF(Table1[[#This Row],[Is Data Valid]]=TRUE,((Table1[[#This Row],[Birthweight (grams)]]/Table1[[#This Row],[BW_GA]])-1)/(Backend!$B$4/100*Table1[[#This Row],[BW40_3705]]),"")</f>
        <v/>
      </c>
      <c r="H6926" s="7" t="str">
        <f>IF(Table1[[#This Row],[Is Data Valid]]=TRUE,((Table1[[#This Row],[Birthweight (grams)]]*0.9/Table1[[#This Row],[BW_GA]])-1)/(Backend!$B$4/100*Table1[[#This Row],[BW40_3705]]),"")</f>
        <v/>
      </c>
      <c r="I6926" s="7" t="str">
        <f>IF(Table1[[#This Row],[Is Data Valid]]=TRUE,((Table1[[#This Row],[Birthweight (grams)]]*1.1/Table1[[#This Row],[BW_GA]])-1)/(Backend!$B$4/100*Table1[[#This Row],[BW40_3705]]),"")</f>
        <v/>
      </c>
      <c r="J6926" s="7" t="str">
        <f>IF(Table1[[#This Row],[Is Data Valid]]=TRUE,_xlfn.NORM.S.DIST(Table1[[#This Row],[Birthweight Z-Score]],TRUE)*100,"")</f>
        <v/>
      </c>
      <c r="K6926" s="7" t="str">
        <f>IF(Table1[[#This Row],[Is Data Valid]]=TRUE,_xlfn.NORM.S.DIST(Table1[[#This Row],[Birthweight Z-Score (BW-10%)]],TRUE)*100,"")</f>
        <v/>
      </c>
      <c r="L6926" s="7" t="str">
        <f>IF(Table1[[#This Row],[Is Data Valid]]=TRUE,_xlfn.NORM.S.DIST(Table1[[#This Row],[Birthweight Z-Score (BW+10%)]],TRUE)*100,"")</f>
        <v/>
      </c>
    </row>
    <row r="6927" spans="1:12" x14ac:dyDescent="0.35">
      <c r="A6927" s="3"/>
      <c r="B6927" s="2"/>
      <c r="C6927" s="2"/>
      <c r="D6927" s="2" t="b">
        <f>IF(AND(NOT(ISBLANK(Table1[[#This Row],[Fetal Sex (Male, Female or Unknown)]])),ISNUMBER(Table1[[#This Row],[Birthweight (grams)]]),ISNUMBER(Table1[[#This Row],[Gestation (days)]])),TRUE,FALSE)</f>
        <v>0</v>
      </c>
      <c r="E6927" s="2" t="str">
        <f>IF(Table1[[#This Row],[Is Data Valid]]=TRUE,IF(Table1[[#This Row],[Fetal Sex (Male, Female or Unknown)]]="Male",Backend!$C$6,IF(Table1[[#This Row],[Fetal Sex (Male, Female or Unknown)]]="Female",Backend!$C$7,IF(Table1[[#This Row],[Fetal Sex (Male, Female or Unknown)]]="Unknown",Backend!$C$8,"Error"))),"")</f>
        <v/>
      </c>
      <c r="F6927" s="8" t="str">
        <f>IF(Table1[[#This Row],[Is Data Valid]]=TRUE,EXP(0.578+0.332*((Table1[[#This Row],[Gestation (days)]]+0.5)/7)-0.00354*((Table1[[#This Row],[Gestation (days)]]+0.5)/7)^2)*Table1[[#This Row],[BW40_3705]],"")</f>
        <v/>
      </c>
      <c r="G6927" s="2" t="str">
        <f>IF(Table1[[#This Row],[Is Data Valid]]=TRUE,((Table1[[#This Row],[Birthweight (grams)]]/Table1[[#This Row],[BW_GA]])-1)/(Backend!$B$4/100*Table1[[#This Row],[BW40_3705]]),"")</f>
        <v/>
      </c>
      <c r="H6927" s="7" t="str">
        <f>IF(Table1[[#This Row],[Is Data Valid]]=TRUE,((Table1[[#This Row],[Birthweight (grams)]]*0.9/Table1[[#This Row],[BW_GA]])-1)/(Backend!$B$4/100*Table1[[#This Row],[BW40_3705]]),"")</f>
        <v/>
      </c>
      <c r="I6927" s="7" t="str">
        <f>IF(Table1[[#This Row],[Is Data Valid]]=TRUE,((Table1[[#This Row],[Birthweight (grams)]]*1.1/Table1[[#This Row],[BW_GA]])-1)/(Backend!$B$4/100*Table1[[#This Row],[BW40_3705]]),"")</f>
        <v/>
      </c>
      <c r="J6927" s="7" t="str">
        <f>IF(Table1[[#This Row],[Is Data Valid]]=TRUE,_xlfn.NORM.S.DIST(Table1[[#This Row],[Birthweight Z-Score]],TRUE)*100,"")</f>
        <v/>
      </c>
      <c r="K6927" s="7" t="str">
        <f>IF(Table1[[#This Row],[Is Data Valid]]=TRUE,_xlfn.NORM.S.DIST(Table1[[#This Row],[Birthweight Z-Score (BW-10%)]],TRUE)*100,"")</f>
        <v/>
      </c>
      <c r="L6927" s="7" t="str">
        <f>IF(Table1[[#This Row],[Is Data Valid]]=TRUE,_xlfn.NORM.S.DIST(Table1[[#This Row],[Birthweight Z-Score (BW+10%)]],TRUE)*100,"")</f>
        <v/>
      </c>
    </row>
    <row r="6928" spans="1:12" x14ac:dyDescent="0.35">
      <c r="A6928" s="3"/>
      <c r="B6928" s="2"/>
      <c r="C6928" s="2"/>
      <c r="D6928" s="2" t="b">
        <f>IF(AND(NOT(ISBLANK(Table1[[#This Row],[Fetal Sex (Male, Female or Unknown)]])),ISNUMBER(Table1[[#This Row],[Birthweight (grams)]]),ISNUMBER(Table1[[#This Row],[Gestation (days)]])),TRUE,FALSE)</f>
        <v>0</v>
      </c>
      <c r="E6928" s="2" t="str">
        <f>IF(Table1[[#This Row],[Is Data Valid]]=TRUE,IF(Table1[[#This Row],[Fetal Sex (Male, Female or Unknown)]]="Male",Backend!$C$6,IF(Table1[[#This Row],[Fetal Sex (Male, Female or Unknown)]]="Female",Backend!$C$7,IF(Table1[[#This Row],[Fetal Sex (Male, Female or Unknown)]]="Unknown",Backend!$C$8,"Error"))),"")</f>
        <v/>
      </c>
      <c r="F6928" s="8" t="str">
        <f>IF(Table1[[#This Row],[Is Data Valid]]=TRUE,EXP(0.578+0.332*((Table1[[#This Row],[Gestation (days)]]+0.5)/7)-0.00354*((Table1[[#This Row],[Gestation (days)]]+0.5)/7)^2)*Table1[[#This Row],[BW40_3705]],"")</f>
        <v/>
      </c>
      <c r="G6928" s="2" t="str">
        <f>IF(Table1[[#This Row],[Is Data Valid]]=TRUE,((Table1[[#This Row],[Birthweight (grams)]]/Table1[[#This Row],[BW_GA]])-1)/(Backend!$B$4/100*Table1[[#This Row],[BW40_3705]]),"")</f>
        <v/>
      </c>
      <c r="H6928" s="7" t="str">
        <f>IF(Table1[[#This Row],[Is Data Valid]]=TRUE,((Table1[[#This Row],[Birthweight (grams)]]*0.9/Table1[[#This Row],[BW_GA]])-1)/(Backend!$B$4/100*Table1[[#This Row],[BW40_3705]]),"")</f>
        <v/>
      </c>
      <c r="I6928" s="7" t="str">
        <f>IF(Table1[[#This Row],[Is Data Valid]]=TRUE,((Table1[[#This Row],[Birthweight (grams)]]*1.1/Table1[[#This Row],[BW_GA]])-1)/(Backend!$B$4/100*Table1[[#This Row],[BW40_3705]]),"")</f>
        <v/>
      </c>
      <c r="J6928" s="7" t="str">
        <f>IF(Table1[[#This Row],[Is Data Valid]]=TRUE,_xlfn.NORM.S.DIST(Table1[[#This Row],[Birthweight Z-Score]],TRUE)*100,"")</f>
        <v/>
      </c>
      <c r="K6928" s="7" t="str">
        <f>IF(Table1[[#This Row],[Is Data Valid]]=TRUE,_xlfn.NORM.S.DIST(Table1[[#This Row],[Birthweight Z-Score (BW-10%)]],TRUE)*100,"")</f>
        <v/>
      </c>
      <c r="L6928" s="7" t="str">
        <f>IF(Table1[[#This Row],[Is Data Valid]]=TRUE,_xlfn.NORM.S.DIST(Table1[[#This Row],[Birthweight Z-Score (BW+10%)]],TRUE)*100,"")</f>
        <v/>
      </c>
    </row>
    <row r="6929" spans="1:12" x14ac:dyDescent="0.35">
      <c r="A6929" s="3"/>
      <c r="B6929" s="2"/>
      <c r="C6929" s="2"/>
      <c r="D6929" s="2" t="b">
        <f>IF(AND(NOT(ISBLANK(Table1[[#This Row],[Fetal Sex (Male, Female or Unknown)]])),ISNUMBER(Table1[[#This Row],[Birthweight (grams)]]),ISNUMBER(Table1[[#This Row],[Gestation (days)]])),TRUE,FALSE)</f>
        <v>0</v>
      </c>
      <c r="E6929" s="2" t="str">
        <f>IF(Table1[[#This Row],[Is Data Valid]]=TRUE,IF(Table1[[#This Row],[Fetal Sex (Male, Female or Unknown)]]="Male",Backend!$C$6,IF(Table1[[#This Row],[Fetal Sex (Male, Female or Unknown)]]="Female",Backend!$C$7,IF(Table1[[#This Row],[Fetal Sex (Male, Female or Unknown)]]="Unknown",Backend!$C$8,"Error"))),"")</f>
        <v/>
      </c>
      <c r="F6929" s="8" t="str">
        <f>IF(Table1[[#This Row],[Is Data Valid]]=TRUE,EXP(0.578+0.332*((Table1[[#This Row],[Gestation (days)]]+0.5)/7)-0.00354*((Table1[[#This Row],[Gestation (days)]]+0.5)/7)^2)*Table1[[#This Row],[BW40_3705]],"")</f>
        <v/>
      </c>
      <c r="G6929" s="2" t="str">
        <f>IF(Table1[[#This Row],[Is Data Valid]]=TRUE,((Table1[[#This Row],[Birthweight (grams)]]/Table1[[#This Row],[BW_GA]])-1)/(Backend!$B$4/100*Table1[[#This Row],[BW40_3705]]),"")</f>
        <v/>
      </c>
      <c r="H6929" s="7" t="str">
        <f>IF(Table1[[#This Row],[Is Data Valid]]=TRUE,((Table1[[#This Row],[Birthweight (grams)]]*0.9/Table1[[#This Row],[BW_GA]])-1)/(Backend!$B$4/100*Table1[[#This Row],[BW40_3705]]),"")</f>
        <v/>
      </c>
      <c r="I6929" s="7" t="str">
        <f>IF(Table1[[#This Row],[Is Data Valid]]=TRUE,((Table1[[#This Row],[Birthweight (grams)]]*1.1/Table1[[#This Row],[BW_GA]])-1)/(Backend!$B$4/100*Table1[[#This Row],[BW40_3705]]),"")</f>
        <v/>
      </c>
      <c r="J6929" s="7" t="str">
        <f>IF(Table1[[#This Row],[Is Data Valid]]=TRUE,_xlfn.NORM.S.DIST(Table1[[#This Row],[Birthweight Z-Score]],TRUE)*100,"")</f>
        <v/>
      </c>
      <c r="K6929" s="7" t="str">
        <f>IF(Table1[[#This Row],[Is Data Valid]]=TRUE,_xlfn.NORM.S.DIST(Table1[[#This Row],[Birthweight Z-Score (BW-10%)]],TRUE)*100,"")</f>
        <v/>
      </c>
      <c r="L6929" s="7" t="str">
        <f>IF(Table1[[#This Row],[Is Data Valid]]=TRUE,_xlfn.NORM.S.DIST(Table1[[#This Row],[Birthweight Z-Score (BW+10%)]],TRUE)*100,"")</f>
        <v/>
      </c>
    </row>
    <row r="6930" spans="1:12" x14ac:dyDescent="0.35">
      <c r="A6930" s="3"/>
      <c r="B6930" s="2"/>
      <c r="C6930" s="2"/>
      <c r="D6930" s="2" t="b">
        <f>IF(AND(NOT(ISBLANK(Table1[[#This Row],[Fetal Sex (Male, Female or Unknown)]])),ISNUMBER(Table1[[#This Row],[Birthweight (grams)]]),ISNUMBER(Table1[[#This Row],[Gestation (days)]])),TRUE,FALSE)</f>
        <v>0</v>
      </c>
      <c r="E6930" s="2" t="str">
        <f>IF(Table1[[#This Row],[Is Data Valid]]=TRUE,IF(Table1[[#This Row],[Fetal Sex (Male, Female or Unknown)]]="Male",Backend!$C$6,IF(Table1[[#This Row],[Fetal Sex (Male, Female or Unknown)]]="Female",Backend!$C$7,IF(Table1[[#This Row],[Fetal Sex (Male, Female or Unknown)]]="Unknown",Backend!$C$8,"Error"))),"")</f>
        <v/>
      </c>
      <c r="F6930" s="8" t="str">
        <f>IF(Table1[[#This Row],[Is Data Valid]]=TRUE,EXP(0.578+0.332*((Table1[[#This Row],[Gestation (days)]]+0.5)/7)-0.00354*((Table1[[#This Row],[Gestation (days)]]+0.5)/7)^2)*Table1[[#This Row],[BW40_3705]],"")</f>
        <v/>
      </c>
      <c r="G6930" s="2" t="str">
        <f>IF(Table1[[#This Row],[Is Data Valid]]=TRUE,((Table1[[#This Row],[Birthweight (grams)]]/Table1[[#This Row],[BW_GA]])-1)/(Backend!$B$4/100*Table1[[#This Row],[BW40_3705]]),"")</f>
        <v/>
      </c>
      <c r="H6930" s="7" t="str">
        <f>IF(Table1[[#This Row],[Is Data Valid]]=TRUE,((Table1[[#This Row],[Birthweight (grams)]]*0.9/Table1[[#This Row],[BW_GA]])-1)/(Backend!$B$4/100*Table1[[#This Row],[BW40_3705]]),"")</f>
        <v/>
      </c>
      <c r="I6930" s="7" t="str">
        <f>IF(Table1[[#This Row],[Is Data Valid]]=TRUE,((Table1[[#This Row],[Birthweight (grams)]]*1.1/Table1[[#This Row],[BW_GA]])-1)/(Backend!$B$4/100*Table1[[#This Row],[BW40_3705]]),"")</f>
        <v/>
      </c>
      <c r="J6930" s="7" t="str">
        <f>IF(Table1[[#This Row],[Is Data Valid]]=TRUE,_xlfn.NORM.S.DIST(Table1[[#This Row],[Birthweight Z-Score]],TRUE)*100,"")</f>
        <v/>
      </c>
      <c r="K6930" s="7" t="str">
        <f>IF(Table1[[#This Row],[Is Data Valid]]=TRUE,_xlfn.NORM.S.DIST(Table1[[#This Row],[Birthweight Z-Score (BW-10%)]],TRUE)*100,"")</f>
        <v/>
      </c>
      <c r="L6930" s="7" t="str">
        <f>IF(Table1[[#This Row],[Is Data Valid]]=TRUE,_xlfn.NORM.S.DIST(Table1[[#This Row],[Birthweight Z-Score (BW+10%)]],TRUE)*100,"")</f>
        <v/>
      </c>
    </row>
    <row r="6931" spans="1:12" x14ac:dyDescent="0.35">
      <c r="A6931" s="3"/>
      <c r="B6931" s="2"/>
      <c r="C6931" s="2"/>
      <c r="D6931" s="2" t="b">
        <f>IF(AND(NOT(ISBLANK(Table1[[#This Row],[Fetal Sex (Male, Female or Unknown)]])),ISNUMBER(Table1[[#This Row],[Birthweight (grams)]]),ISNUMBER(Table1[[#This Row],[Gestation (days)]])),TRUE,FALSE)</f>
        <v>0</v>
      </c>
      <c r="E6931" s="2" t="str">
        <f>IF(Table1[[#This Row],[Is Data Valid]]=TRUE,IF(Table1[[#This Row],[Fetal Sex (Male, Female or Unknown)]]="Male",Backend!$C$6,IF(Table1[[#This Row],[Fetal Sex (Male, Female or Unknown)]]="Female",Backend!$C$7,IF(Table1[[#This Row],[Fetal Sex (Male, Female or Unknown)]]="Unknown",Backend!$C$8,"Error"))),"")</f>
        <v/>
      </c>
      <c r="F6931" s="8" t="str">
        <f>IF(Table1[[#This Row],[Is Data Valid]]=TRUE,EXP(0.578+0.332*((Table1[[#This Row],[Gestation (days)]]+0.5)/7)-0.00354*((Table1[[#This Row],[Gestation (days)]]+0.5)/7)^2)*Table1[[#This Row],[BW40_3705]],"")</f>
        <v/>
      </c>
      <c r="G6931" s="2" t="str">
        <f>IF(Table1[[#This Row],[Is Data Valid]]=TRUE,((Table1[[#This Row],[Birthweight (grams)]]/Table1[[#This Row],[BW_GA]])-1)/(Backend!$B$4/100*Table1[[#This Row],[BW40_3705]]),"")</f>
        <v/>
      </c>
      <c r="H6931" s="7" t="str">
        <f>IF(Table1[[#This Row],[Is Data Valid]]=TRUE,((Table1[[#This Row],[Birthweight (grams)]]*0.9/Table1[[#This Row],[BW_GA]])-1)/(Backend!$B$4/100*Table1[[#This Row],[BW40_3705]]),"")</f>
        <v/>
      </c>
      <c r="I6931" s="7" t="str">
        <f>IF(Table1[[#This Row],[Is Data Valid]]=TRUE,((Table1[[#This Row],[Birthweight (grams)]]*1.1/Table1[[#This Row],[BW_GA]])-1)/(Backend!$B$4/100*Table1[[#This Row],[BW40_3705]]),"")</f>
        <v/>
      </c>
      <c r="J6931" s="7" t="str">
        <f>IF(Table1[[#This Row],[Is Data Valid]]=TRUE,_xlfn.NORM.S.DIST(Table1[[#This Row],[Birthweight Z-Score]],TRUE)*100,"")</f>
        <v/>
      </c>
      <c r="K6931" s="7" t="str">
        <f>IF(Table1[[#This Row],[Is Data Valid]]=TRUE,_xlfn.NORM.S.DIST(Table1[[#This Row],[Birthweight Z-Score (BW-10%)]],TRUE)*100,"")</f>
        <v/>
      </c>
      <c r="L6931" s="7" t="str">
        <f>IF(Table1[[#This Row],[Is Data Valid]]=TRUE,_xlfn.NORM.S.DIST(Table1[[#This Row],[Birthweight Z-Score (BW+10%)]],TRUE)*100,"")</f>
        <v/>
      </c>
    </row>
    <row r="6932" spans="1:12" x14ac:dyDescent="0.35">
      <c r="A6932" s="3"/>
      <c r="B6932" s="2"/>
      <c r="C6932" s="2"/>
      <c r="D6932" s="2" t="b">
        <f>IF(AND(NOT(ISBLANK(Table1[[#This Row],[Fetal Sex (Male, Female or Unknown)]])),ISNUMBER(Table1[[#This Row],[Birthweight (grams)]]),ISNUMBER(Table1[[#This Row],[Gestation (days)]])),TRUE,FALSE)</f>
        <v>0</v>
      </c>
      <c r="E6932" s="2" t="str">
        <f>IF(Table1[[#This Row],[Is Data Valid]]=TRUE,IF(Table1[[#This Row],[Fetal Sex (Male, Female or Unknown)]]="Male",Backend!$C$6,IF(Table1[[#This Row],[Fetal Sex (Male, Female or Unknown)]]="Female",Backend!$C$7,IF(Table1[[#This Row],[Fetal Sex (Male, Female or Unknown)]]="Unknown",Backend!$C$8,"Error"))),"")</f>
        <v/>
      </c>
      <c r="F6932" s="8" t="str">
        <f>IF(Table1[[#This Row],[Is Data Valid]]=TRUE,EXP(0.578+0.332*((Table1[[#This Row],[Gestation (days)]]+0.5)/7)-0.00354*((Table1[[#This Row],[Gestation (days)]]+0.5)/7)^2)*Table1[[#This Row],[BW40_3705]],"")</f>
        <v/>
      </c>
      <c r="G6932" s="2" t="str">
        <f>IF(Table1[[#This Row],[Is Data Valid]]=TRUE,((Table1[[#This Row],[Birthweight (grams)]]/Table1[[#This Row],[BW_GA]])-1)/(Backend!$B$4/100*Table1[[#This Row],[BW40_3705]]),"")</f>
        <v/>
      </c>
      <c r="H6932" s="7" t="str">
        <f>IF(Table1[[#This Row],[Is Data Valid]]=TRUE,((Table1[[#This Row],[Birthweight (grams)]]*0.9/Table1[[#This Row],[BW_GA]])-1)/(Backend!$B$4/100*Table1[[#This Row],[BW40_3705]]),"")</f>
        <v/>
      </c>
      <c r="I6932" s="7" t="str">
        <f>IF(Table1[[#This Row],[Is Data Valid]]=TRUE,((Table1[[#This Row],[Birthweight (grams)]]*1.1/Table1[[#This Row],[BW_GA]])-1)/(Backend!$B$4/100*Table1[[#This Row],[BW40_3705]]),"")</f>
        <v/>
      </c>
      <c r="J6932" s="7" t="str">
        <f>IF(Table1[[#This Row],[Is Data Valid]]=TRUE,_xlfn.NORM.S.DIST(Table1[[#This Row],[Birthweight Z-Score]],TRUE)*100,"")</f>
        <v/>
      </c>
      <c r="K6932" s="7" t="str">
        <f>IF(Table1[[#This Row],[Is Data Valid]]=TRUE,_xlfn.NORM.S.DIST(Table1[[#This Row],[Birthweight Z-Score (BW-10%)]],TRUE)*100,"")</f>
        <v/>
      </c>
      <c r="L6932" s="7" t="str">
        <f>IF(Table1[[#This Row],[Is Data Valid]]=TRUE,_xlfn.NORM.S.DIST(Table1[[#This Row],[Birthweight Z-Score (BW+10%)]],TRUE)*100,"")</f>
        <v/>
      </c>
    </row>
    <row r="6933" spans="1:12" x14ac:dyDescent="0.35">
      <c r="A6933" s="3"/>
      <c r="B6933" s="2"/>
      <c r="C6933" s="2"/>
      <c r="D6933" s="2" t="b">
        <f>IF(AND(NOT(ISBLANK(Table1[[#This Row],[Fetal Sex (Male, Female or Unknown)]])),ISNUMBER(Table1[[#This Row],[Birthweight (grams)]]),ISNUMBER(Table1[[#This Row],[Gestation (days)]])),TRUE,FALSE)</f>
        <v>0</v>
      </c>
      <c r="E6933" s="2" t="str">
        <f>IF(Table1[[#This Row],[Is Data Valid]]=TRUE,IF(Table1[[#This Row],[Fetal Sex (Male, Female or Unknown)]]="Male",Backend!$C$6,IF(Table1[[#This Row],[Fetal Sex (Male, Female or Unknown)]]="Female",Backend!$C$7,IF(Table1[[#This Row],[Fetal Sex (Male, Female or Unknown)]]="Unknown",Backend!$C$8,"Error"))),"")</f>
        <v/>
      </c>
      <c r="F6933" s="8" t="str">
        <f>IF(Table1[[#This Row],[Is Data Valid]]=TRUE,EXP(0.578+0.332*((Table1[[#This Row],[Gestation (days)]]+0.5)/7)-0.00354*((Table1[[#This Row],[Gestation (days)]]+0.5)/7)^2)*Table1[[#This Row],[BW40_3705]],"")</f>
        <v/>
      </c>
      <c r="G6933" s="2" t="str">
        <f>IF(Table1[[#This Row],[Is Data Valid]]=TRUE,((Table1[[#This Row],[Birthweight (grams)]]/Table1[[#This Row],[BW_GA]])-1)/(Backend!$B$4/100*Table1[[#This Row],[BW40_3705]]),"")</f>
        <v/>
      </c>
      <c r="H6933" s="7" t="str">
        <f>IF(Table1[[#This Row],[Is Data Valid]]=TRUE,((Table1[[#This Row],[Birthweight (grams)]]*0.9/Table1[[#This Row],[BW_GA]])-1)/(Backend!$B$4/100*Table1[[#This Row],[BW40_3705]]),"")</f>
        <v/>
      </c>
      <c r="I6933" s="7" t="str">
        <f>IF(Table1[[#This Row],[Is Data Valid]]=TRUE,((Table1[[#This Row],[Birthweight (grams)]]*1.1/Table1[[#This Row],[BW_GA]])-1)/(Backend!$B$4/100*Table1[[#This Row],[BW40_3705]]),"")</f>
        <v/>
      </c>
      <c r="J6933" s="7" t="str">
        <f>IF(Table1[[#This Row],[Is Data Valid]]=TRUE,_xlfn.NORM.S.DIST(Table1[[#This Row],[Birthweight Z-Score]],TRUE)*100,"")</f>
        <v/>
      </c>
      <c r="K6933" s="7" t="str">
        <f>IF(Table1[[#This Row],[Is Data Valid]]=TRUE,_xlfn.NORM.S.DIST(Table1[[#This Row],[Birthweight Z-Score (BW-10%)]],TRUE)*100,"")</f>
        <v/>
      </c>
      <c r="L6933" s="7" t="str">
        <f>IF(Table1[[#This Row],[Is Data Valid]]=TRUE,_xlfn.NORM.S.DIST(Table1[[#This Row],[Birthweight Z-Score (BW+10%)]],TRUE)*100,"")</f>
        <v/>
      </c>
    </row>
    <row r="6934" spans="1:12" x14ac:dyDescent="0.35">
      <c r="A6934" s="3"/>
      <c r="B6934" s="2"/>
      <c r="C6934" s="2"/>
      <c r="D6934" s="2" t="b">
        <f>IF(AND(NOT(ISBLANK(Table1[[#This Row],[Fetal Sex (Male, Female or Unknown)]])),ISNUMBER(Table1[[#This Row],[Birthweight (grams)]]),ISNUMBER(Table1[[#This Row],[Gestation (days)]])),TRUE,FALSE)</f>
        <v>0</v>
      </c>
      <c r="E6934" s="2" t="str">
        <f>IF(Table1[[#This Row],[Is Data Valid]]=TRUE,IF(Table1[[#This Row],[Fetal Sex (Male, Female or Unknown)]]="Male",Backend!$C$6,IF(Table1[[#This Row],[Fetal Sex (Male, Female or Unknown)]]="Female",Backend!$C$7,IF(Table1[[#This Row],[Fetal Sex (Male, Female or Unknown)]]="Unknown",Backend!$C$8,"Error"))),"")</f>
        <v/>
      </c>
      <c r="F6934" s="8" t="str">
        <f>IF(Table1[[#This Row],[Is Data Valid]]=TRUE,EXP(0.578+0.332*((Table1[[#This Row],[Gestation (days)]]+0.5)/7)-0.00354*((Table1[[#This Row],[Gestation (days)]]+0.5)/7)^2)*Table1[[#This Row],[BW40_3705]],"")</f>
        <v/>
      </c>
      <c r="G6934" s="2" t="str">
        <f>IF(Table1[[#This Row],[Is Data Valid]]=TRUE,((Table1[[#This Row],[Birthweight (grams)]]/Table1[[#This Row],[BW_GA]])-1)/(Backend!$B$4/100*Table1[[#This Row],[BW40_3705]]),"")</f>
        <v/>
      </c>
      <c r="H6934" s="7" t="str">
        <f>IF(Table1[[#This Row],[Is Data Valid]]=TRUE,((Table1[[#This Row],[Birthweight (grams)]]*0.9/Table1[[#This Row],[BW_GA]])-1)/(Backend!$B$4/100*Table1[[#This Row],[BW40_3705]]),"")</f>
        <v/>
      </c>
      <c r="I6934" s="7" t="str">
        <f>IF(Table1[[#This Row],[Is Data Valid]]=TRUE,((Table1[[#This Row],[Birthweight (grams)]]*1.1/Table1[[#This Row],[BW_GA]])-1)/(Backend!$B$4/100*Table1[[#This Row],[BW40_3705]]),"")</f>
        <v/>
      </c>
      <c r="J6934" s="7" t="str">
        <f>IF(Table1[[#This Row],[Is Data Valid]]=TRUE,_xlfn.NORM.S.DIST(Table1[[#This Row],[Birthweight Z-Score]],TRUE)*100,"")</f>
        <v/>
      </c>
      <c r="K6934" s="7" t="str">
        <f>IF(Table1[[#This Row],[Is Data Valid]]=TRUE,_xlfn.NORM.S.DIST(Table1[[#This Row],[Birthweight Z-Score (BW-10%)]],TRUE)*100,"")</f>
        <v/>
      </c>
      <c r="L6934" s="7" t="str">
        <f>IF(Table1[[#This Row],[Is Data Valid]]=TRUE,_xlfn.NORM.S.DIST(Table1[[#This Row],[Birthweight Z-Score (BW+10%)]],TRUE)*100,"")</f>
        <v/>
      </c>
    </row>
    <row r="6935" spans="1:12" x14ac:dyDescent="0.35">
      <c r="A6935" s="3"/>
      <c r="B6935" s="2"/>
      <c r="C6935" s="2"/>
      <c r="D6935" s="2" t="b">
        <f>IF(AND(NOT(ISBLANK(Table1[[#This Row],[Fetal Sex (Male, Female or Unknown)]])),ISNUMBER(Table1[[#This Row],[Birthweight (grams)]]),ISNUMBER(Table1[[#This Row],[Gestation (days)]])),TRUE,FALSE)</f>
        <v>0</v>
      </c>
      <c r="E6935" s="2" t="str">
        <f>IF(Table1[[#This Row],[Is Data Valid]]=TRUE,IF(Table1[[#This Row],[Fetal Sex (Male, Female or Unknown)]]="Male",Backend!$C$6,IF(Table1[[#This Row],[Fetal Sex (Male, Female or Unknown)]]="Female",Backend!$C$7,IF(Table1[[#This Row],[Fetal Sex (Male, Female or Unknown)]]="Unknown",Backend!$C$8,"Error"))),"")</f>
        <v/>
      </c>
      <c r="F6935" s="8" t="str">
        <f>IF(Table1[[#This Row],[Is Data Valid]]=TRUE,EXP(0.578+0.332*((Table1[[#This Row],[Gestation (days)]]+0.5)/7)-0.00354*((Table1[[#This Row],[Gestation (days)]]+0.5)/7)^2)*Table1[[#This Row],[BW40_3705]],"")</f>
        <v/>
      </c>
      <c r="G6935" s="2" t="str">
        <f>IF(Table1[[#This Row],[Is Data Valid]]=TRUE,((Table1[[#This Row],[Birthweight (grams)]]/Table1[[#This Row],[BW_GA]])-1)/(Backend!$B$4/100*Table1[[#This Row],[BW40_3705]]),"")</f>
        <v/>
      </c>
      <c r="H6935" s="7" t="str">
        <f>IF(Table1[[#This Row],[Is Data Valid]]=TRUE,((Table1[[#This Row],[Birthweight (grams)]]*0.9/Table1[[#This Row],[BW_GA]])-1)/(Backend!$B$4/100*Table1[[#This Row],[BW40_3705]]),"")</f>
        <v/>
      </c>
      <c r="I6935" s="7" t="str">
        <f>IF(Table1[[#This Row],[Is Data Valid]]=TRUE,((Table1[[#This Row],[Birthweight (grams)]]*1.1/Table1[[#This Row],[BW_GA]])-1)/(Backend!$B$4/100*Table1[[#This Row],[BW40_3705]]),"")</f>
        <v/>
      </c>
      <c r="J6935" s="7" t="str">
        <f>IF(Table1[[#This Row],[Is Data Valid]]=TRUE,_xlfn.NORM.S.DIST(Table1[[#This Row],[Birthweight Z-Score]],TRUE)*100,"")</f>
        <v/>
      </c>
      <c r="K6935" s="7" t="str">
        <f>IF(Table1[[#This Row],[Is Data Valid]]=TRUE,_xlfn.NORM.S.DIST(Table1[[#This Row],[Birthweight Z-Score (BW-10%)]],TRUE)*100,"")</f>
        <v/>
      </c>
      <c r="L6935" s="7" t="str">
        <f>IF(Table1[[#This Row],[Is Data Valid]]=TRUE,_xlfn.NORM.S.DIST(Table1[[#This Row],[Birthweight Z-Score (BW+10%)]],TRUE)*100,"")</f>
        <v/>
      </c>
    </row>
    <row r="6936" spans="1:12" x14ac:dyDescent="0.35">
      <c r="A6936" s="3"/>
      <c r="B6936" s="2"/>
      <c r="C6936" s="2"/>
      <c r="D6936" s="2" t="b">
        <f>IF(AND(NOT(ISBLANK(Table1[[#This Row],[Fetal Sex (Male, Female or Unknown)]])),ISNUMBER(Table1[[#This Row],[Birthweight (grams)]]),ISNUMBER(Table1[[#This Row],[Gestation (days)]])),TRUE,FALSE)</f>
        <v>0</v>
      </c>
      <c r="E6936" s="2" t="str">
        <f>IF(Table1[[#This Row],[Is Data Valid]]=TRUE,IF(Table1[[#This Row],[Fetal Sex (Male, Female or Unknown)]]="Male",Backend!$C$6,IF(Table1[[#This Row],[Fetal Sex (Male, Female or Unknown)]]="Female",Backend!$C$7,IF(Table1[[#This Row],[Fetal Sex (Male, Female or Unknown)]]="Unknown",Backend!$C$8,"Error"))),"")</f>
        <v/>
      </c>
      <c r="F6936" s="8" t="str">
        <f>IF(Table1[[#This Row],[Is Data Valid]]=TRUE,EXP(0.578+0.332*((Table1[[#This Row],[Gestation (days)]]+0.5)/7)-0.00354*((Table1[[#This Row],[Gestation (days)]]+0.5)/7)^2)*Table1[[#This Row],[BW40_3705]],"")</f>
        <v/>
      </c>
      <c r="G6936" s="2" t="str">
        <f>IF(Table1[[#This Row],[Is Data Valid]]=TRUE,((Table1[[#This Row],[Birthweight (grams)]]/Table1[[#This Row],[BW_GA]])-1)/(Backend!$B$4/100*Table1[[#This Row],[BW40_3705]]),"")</f>
        <v/>
      </c>
      <c r="H6936" s="7" t="str">
        <f>IF(Table1[[#This Row],[Is Data Valid]]=TRUE,((Table1[[#This Row],[Birthweight (grams)]]*0.9/Table1[[#This Row],[BW_GA]])-1)/(Backend!$B$4/100*Table1[[#This Row],[BW40_3705]]),"")</f>
        <v/>
      </c>
      <c r="I6936" s="7" t="str">
        <f>IF(Table1[[#This Row],[Is Data Valid]]=TRUE,((Table1[[#This Row],[Birthweight (grams)]]*1.1/Table1[[#This Row],[BW_GA]])-1)/(Backend!$B$4/100*Table1[[#This Row],[BW40_3705]]),"")</f>
        <v/>
      </c>
      <c r="J6936" s="7" t="str">
        <f>IF(Table1[[#This Row],[Is Data Valid]]=TRUE,_xlfn.NORM.S.DIST(Table1[[#This Row],[Birthweight Z-Score]],TRUE)*100,"")</f>
        <v/>
      </c>
      <c r="K6936" s="7" t="str">
        <f>IF(Table1[[#This Row],[Is Data Valid]]=TRUE,_xlfn.NORM.S.DIST(Table1[[#This Row],[Birthweight Z-Score (BW-10%)]],TRUE)*100,"")</f>
        <v/>
      </c>
      <c r="L6936" s="7" t="str">
        <f>IF(Table1[[#This Row],[Is Data Valid]]=TRUE,_xlfn.NORM.S.DIST(Table1[[#This Row],[Birthweight Z-Score (BW+10%)]],TRUE)*100,"")</f>
        <v/>
      </c>
    </row>
    <row r="6937" spans="1:12" x14ac:dyDescent="0.35">
      <c r="A6937" s="3"/>
      <c r="B6937" s="2"/>
      <c r="C6937" s="2"/>
      <c r="D6937" s="2" t="b">
        <f>IF(AND(NOT(ISBLANK(Table1[[#This Row],[Fetal Sex (Male, Female or Unknown)]])),ISNUMBER(Table1[[#This Row],[Birthweight (grams)]]),ISNUMBER(Table1[[#This Row],[Gestation (days)]])),TRUE,FALSE)</f>
        <v>0</v>
      </c>
      <c r="E6937" s="2" t="str">
        <f>IF(Table1[[#This Row],[Is Data Valid]]=TRUE,IF(Table1[[#This Row],[Fetal Sex (Male, Female or Unknown)]]="Male",Backend!$C$6,IF(Table1[[#This Row],[Fetal Sex (Male, Female or Unknown)]]="Female",Backend!$C$7,IF(Table1[[#This Row],[Fetal Sex (Male, Female or Unknown)]]="Unknown",Backend!$C$8,"Error"))),"")</f>
        <v/>
      </c>
      <c r="F6937" s="8" t="str">
        <f>IF(Table1[[#This Row],[Is Data Valid]]=TRUE,EXP(0.578+0.332*((Table1[[#This Row],[Gestation (days)]]+0.5)/7)-0.00354*((Table1[[#This Row],[Gestation (days)]]+0.5)/7)^2)*Table1[[#This Row],[BW40_3705]],"")</f>
        <v/>
      </c>
      <c r="G6937" s="2" t="str">
        <f>IF(Table1[[#This Row],[Is Data Valid]]=TRUE,((Table1[[#This Row],[Birthweight (grams)]]/Table1[[#This Row],[BW_GA]])-1)/(Backend!$B$4/100*Table1[[#This Row],[BW40_3705]]),"")</f>
        <v/>
      </c>
      <c r="H6937" s="7" t="str">
        <f>IF(Table1[[#This Row],[Is Data Valid]]=TRUE,((Table1[[#This Row],[Birthweight (grams)]]*0.9/Table1[[#This Row],[BW_GA]])-1)/(Backend!$B$4/100*Table1[[#This Row],[BW40_3705]]),"")</f>
        <v/>
      </c>
      <c r="I6937" s="7" t="str">
        <f>IF(Table1[[#This Row],[Is Data Valid]]=TRUE,((Table1[[#This Row],[Birthweight (grams)]]*1.1/Table1[[#This Row],[BW_GA]])-1)/(Backend!$B$4/100*Table1[[#This Row],[BW40_3705]]),"")</f>
        <v/>
      </c>
      <c r="J6937" s="7" t="str">
        <f>IF(Table1[[#This Row],[Is Data Valid]]=TRUE,_xlfn.NORM.S.DIST(Table1[[#This Row],[Birthweight Z-Score]],TRUE)*100,"")</f>
        <v/>
      </c>
      <c r="K6937" s="7" t="str">
        <f>IF(Table1[[#This Row],[Is Data Valid]]=TRUE,_xlfn.NORM.S.DIST(Table1[[#This Row],[Birthweight Z-Score (BW-10%)]],TRUE)*100,"")</f>
        <v/>
      </c>
      <c r="L6937" s="7" t="str">
        <f>IF(Table1[[#This Row],[Is Data Valid]]=TRUE,_xlfn.NORM.S.DIST(Table1[[#This Row],[Birthweight Z-Score (BW+10%)]],TRUE)*100,"")</f>
        <v/>
      </c>
    </row>
    <row r="6938" spans="1:12" x14ac:dyDescent="0.35">
      <c r="A6938" s="3"/>
      <c r="B6938" s="2"/>
      <c r="C6938" s="2"/>
      <c r="D6938" s="2" t="b">
        <f>IF(AND(NOT(ISBLANK(Table1[[#This Row],[Fetal Sex (Male, Female or Unknown)]])),ISNUMBER(Table1[[#This Row],[Birthweight (grams)]]),ISNUMBER(Table1[[#This Row],[Gestation (days)]])),TRUE,FALSE)</f>
        <v>0</v>
      </c>
      <c r="E6938" s="2" t="str">
        <f>IF(Table1[[#This Row],[Is Data Valid]]=TRUE,IF(Table1[[#This Row],[Fetal Sex (Male, Female or Unknown)]]="Male",Backend!$C$6,IF(Table1[[#This Row],[Fetal Sex (Male, Female or Unknown)]]="Female",Backend!$C$7,IF(Table1[[#This Row],[Fetal Sex (Male, Female or Unknown)]]="Unknown",Backend!$C$8,"Error"))),"")</f>
        <v/>
      </c>
      <c r="F6938" s="8" t="str">
        <f>IF(Table1[[#This Row],[Is Data Valid]]=TRUE,EXP(0.578+0.332*((Table1[[#This Row],[Gestation (days)]]+0.5)/7)-0.00354*((Table1[[#This Row],[Gestation (days)]]+0.5)/7)^2)*Table1[[#This Row],[BW40_3705]],"")</f>
        <v/>
      </c>
      <c r="G6938" s="2" t="str">
        <f>IF(Table1[[#This Row],[Is Data Valid]]=TRUE,((Table1[[#This Row],[Birthweight (grams)]]/Table1[[#This Row],[BW_GA]])-1)/(Backend!$B$4/100*Table1[[#This Row],[BW40_3705]]),"")</f>
        <v/>
      </c>
      <c r="H6938" s="7" t="str">
        <f>IF(Table1[[#This Row],[Is Data Valid]]=TRUE,((Table1[[#This Row],[Birthweight (grams)]]*0.9/Table1[[#This Row],[BW_GA]])-1)/(Backend!$B$4/100*Table1[[#This Row],[BW40_3705]]),"")</f>
        <v/>
      </c>
      <c r="I6938" s="7" t="str">
        <f>IF(Table1[[#This Row],[Is Data Valid]]=TRUE,((Table1[[#This Row],[Birthweight (grams)]]*1.1/Table1[[#This Row],[BW_GA]])-1)/(Backend!$B$4/100*Table1[[#This Row],[BW40_3705]]),"")</f>
        <v/>
      </c>
      <c r="J6938" s="7" t="str">
        <f>IF(Table1[[#This Row],[Is Data Valid]]=TRUE,_xlfn.NORM.S.DIST(Table1[[#This Row],[Birthweight Z-Score]],TRUE)*100,"")</f>
        <v/>
      </c>
      <c r="K6938" s="7" t="str">
        <f>IF(Table1[[#This Row],[Is Data Valid]]=TRUE,_xlfn.NORM.S.DIST(Table1[[#This Row],[Birthweight Z-Score (BW-10%)]],TRUE)*100,"")</f>
        <v/>
      </c>
      <c r="L6938" s="7" t="str">
        <f>IF(Table1[[#This Row],[Is Data Valid]]=TRUE,_xlfn.NORM.S.DIST(Table1[[#This Row],[Birthweight Z-Score (BW+10%)]],TRUE)*100,"")</f>
        <v/>
      </c>
    </row>
    <row r="6939" spans="1:12" x14ac:dyDescent="0.35">
      <c r="A6939" s="3"/>
      <c r="B6939" s="2"/>
      <c r="C6939" s="2"/>
      <c r="D6939" s="2" t="b">
        <f>IF(AND(NOT(ISBLANK(Table1[[#This Row],[Fetal Sex (Male, Female or Unknown)]])),ISNUMBER(Table1[[#This Row],[Birthweight (grams)]]),ISNUMBER(Table1[[#This Row],[Gestation (days)]])),TRUE,FALSE)</f>
        <v>0</v>
      </c>
      <c r="E6939" s="2" t="str">
        <f>IF(Table1[[#This Row],[Is Data Valid]]=TRUE,IF(Table1[[#This Row],[Fetal Sex (Male, Female or Unknown)]]="Male",Backend!$C$6,IF(Table1[[#This Row],[Fetal Sex (Male, Female or Unknown)]]="Female",Backend!$C$7,IF(Table1[[#This Row],[Fetal Sex (Male, Female or Unknown)]]="Unknown",Backend!$C$8,"Error"))),"")</f>
        <v/>
      </c>
      <c r="F6939" s="8" t="str">
        <f>IF(Table1[[#This Row],[Is Data Valid]]=TRUE,EXP(0.578+0.332*((Table1[[#This Row],[Gestation (days)]]+0.5)/7)-0.00354*((Table1[[#This Row],[Gestation (days)]]+0.5)/7)^2)*Table1[[#This Row],[BW40_3705]],"")</f>
        <v/>
      </c>
      <c r="G6939" s="2" t="str">
        <f>IF(Table1[[#This Row],[Is Data Valid]]=TRUE,((Table1[[#This Row],[Birthweight (grams)]]/Table1[[#This Row],[BW_GA]])-1)/(Backend!$B$4/100*Table1[[#This Row],[BW40_3705]]),"")</f>
        <v/>
      </c>
      <c r="H6939" s="7" t="str">
        <f>IF(Table1[[#This Row],[Is Data Valid]]=TRUE,((Table1[[#This Row],[Birthweight (grams)]]*0.9/Table1[[#This Row],[BW_GA]])-1)/(Backend!$B$4/100*Table1[[#This Row],[BW40_3705]]),"")</f>
        <v/>
      </c>
      <c r="I6939" s="7" t="str">
        <f>IF(Table1[[#This Row],[Is Data Valid]]=TRUE,((Table1[[#This Row],[Birthweight (grams)]]*1.1/Table1[[#This Row],[BW_GA]])-1)/(Backend!$B$4/100*Table1[[#This Row],[BW40_3705]]),"")</f>
        <v/>
      </c>
      <c r="J6939" s="7" t="str">
        <f>IF(Table1[[#This Row],[Is Data Valid]]=TRUE,_xlfn.NORM.S.DIST(Table1[[#This Row],[Birthweight Z-Score]],TRUE)*100,"")</f>
        <v/>
      </c>
      <c r="K6939" s="7" t="str">
        <f>IF(Table1[[#This Row],[Is Data Valid]]=TRUE,_xlfn.NORM.S.DIST(Table1[[#This Row],[Birthweight Z-Score (BW-10%)]],TRUE)*100,"")</f>
        <v/>
      </c>
      <c r="L6939" s="7" t="str">
        <f>IF(Table1[[#This Row],[Is Data Valid]]=TRUE,_xlfn.NORM.S.DIST(Table1[[#This Row],[Birthweight Z-Score (BW+10%)]],TRUE)*100,"")</f>
        <v/>
      </c>
    </row>
    <row r="6940" spans="1:12" x14ac:dyDescent="0.35">
      <c r="A6940" s="3"/>
      <c r="B6940" s="2"/>
      <c r="C6940" s="2"/>
      <c r="D6940" s="2" t="b">
        <f>IF(AND(NOT(ISBLANK(Table1[[#This Row],[Fetal Sex (Male, Female or Unknown)]])),ISNUMBER(Table1[[#This Row],[Birthweight (grams)]]),ISNUMBER(Table1[[#This Row],[Gestation (days)]])),TRUE,FALSE)</f>
        <v>0</v>
      </c>
      <c r="E6940" s="2" t="str">
        <f>IF(Table1[[#This Row],[Is Data Valid]]=TRUE,IF(Table1[[#This Row],[Fetal Sex (Male, Female or Unknown)]]="Male",Backend!$C$6,IF(Table1[[#This Row],[Fetal Sex (Male, Female or Unknown)]]="Female",Backend!$C$7,IF(Table1[[#This Row],[Fetal Sex (Male, Female or Unknown)]]="Unknown",Backend!$C$8,"Error"))),"")</f>
        <v/>
      </c>
      <c r="F6940" s="8" t="str">
        <f>IF(Table1[[#This Row],[Is Data Valid]]=TRUE,EXP(0.578+0.332*((Table1[[#This Row],[Gestation (days)]]+0.5)/7)-0.00354*((Table1[[#This Row],[Gestation (days)]]+0.5)/7)^2)*Table1[[#This Row],[BW40_3705]],"")</f>
        <v/>
      </c>
      <c r="G6940" s="2" t="str">
        <f>IF(Table1[[#This Row],[Is Data Valid]]=TRUE,((Table1[[#This Row],[Birthweight (grams)]]/Table1[[#This Row],[BW_GA]])-1)/(Backend!$B$4/100*Table1[[#This Row],[BW40_3705]]),"")</f>
        <v/>
      </c>
      <c r="H6940" s="7" t="str">
        <f>IF(Table1[[#This Row],[Is Data Valid]]=TRUE,((Table1[[#This Row],[Birthweight (grams)]]*0.9/Table1[[#This Row],[BW_GA]])-1)/(Backend!$B$4/100*Table1[[#This Row],[BW40_3705]]),"")</f>
        <v/>
      </c>
      <c r="I6940" s="7" t="str">
        <f>IF(Table1[[#This Row],[Is Data Valid]]=TRUE,((Table1[[#This Row],[Birthweight (grams)]]*1.1/Table1[[#This Row],[BW_GA]])-1)/(Backend!$B$4/100*Table1[[#This Row],[BW40_3705]]),"")</f>
        <v/>
      </c>
      <c r="J6940" s="7" t="str">
        <f>IF(Table1[[#This Row],[Is Data Valid]]=TRUE,_xlfn.NORM.S.DIST(Table1[[#This Row],[Birthweight Z-Score]],TRUE)*100,"")</f>
        <v/>
      </c>
      <c r="K6940" s="7" t="str">
        <f>IF(Table1[[#This Row],[Is Data Valid]]=TRUE,_xlfn.NORM.S.DIST(Table1[[#This Row],[Birthweight Z-Score (BW-10%)]],TRUE)*100,"")</f>
        <v/>
      </c>
      <c r="L6940" s="7" t="str">
        <f>IF(Table1[[#This Row],[Is Data Valid]]=TRUE,_xlfn.NORM.S.DIST(Table1[[#This Row],[Birthweight Z-Score (BW+10%)]],TRUE)*100,"")</f>
        <v/>
      </c>
    </row>
    <row r="6941" spans="1:12" x14ac:dyDescent="0.35">
      <c r="A6941" s="3"/>
      <c r="B6941" s="2"/>
      <c r="C6941" s="2"/>
      <c r="D6941" s="2" t="b">
        <f>IF(AND(NOT(ISBLANK(Table1[[#This Row],[Fetal Sex (Male, Female or Unknown)]])),ISNUMBER(Table1[[#This Row],[Birthweight (grams)]]),ISNUMBER(Table1[[#This Row],[Gestation (days)]])),TRUE,FALSE)</f>
        <v>0</v>
      </c>
      <c r="E6941" s="2" t="str">
        <f>IF(Table1[[#This Row],[Is Data Valid]]=TRUE,IF(Table1[[#This Row],[Fetal Sex (Male, Female or Unknown)]]="Male",Backend!$C$6,IF(Table1[[#This Row],[Fetal Sex (Male, Female or Unknown)]]="Female",Backend!$C$7,IF(Table1[[#This Row],[Fetal Sex (Male, Female or Unknown)]]="Unknown",Backend!$C$8,"Error"))),"")</f>
        <v/>
      </c>
      <c r="F6941" s="8" t="str">
        <f>IF(Table1[[#This Row],[Is Data Valid]]=TRUE,EXP(0.578+0.332*((Table1[[#This Row],[Gestation (days)]]+0.5)/7)-0.00354*((Table1[[#This Row],[Gestation (days)]]+0.5)/7)^2)*Table1[[#This Row],[BW40_3705]],"")</f>
        <v/>
      </c>
      <c r="G6941" s="2" t="str">
        <f>IF(Table1[[#This Row],[Is Data Valid]]=TRUE,((Table1[[#This Row],[Birthweight (grams)]]/Table1[[#This Row],[BW_GA]])-1)/(Backend!$B$4/100*Table1[[#This Row],[BW40_3705]]),"")</f>
        <v/>
      </c>
      <c r="H6941" s="7" t="str">
        <f>IF(Table1[[#This Row],[Is Data Valid]]=TRUE,((Table1[[#This Row],[Birthweight (grams)]]*0.9/Table1[[#This Row],[BW_GA]])-1)/(Backend!$B$4/100*Table1[[#This Row],[BW40_3705]]),"")</f>
        <v/>
      </c>
      <c r="I6941" s="7" t="str">
        <f>IF(Table1[[#This Row],[Is Data Valid]]=TRUE,((Table1[[#This Row],[Birthweight (grams)]]*1.1/Table1[[#This Row],[BW_GA]])-1)/(Backend!$B$4/100*Table1[[#This Row],[BW40_3705]]),"")</f>
        <v/>
      </c>
      <c r="J6941" s="7" t="str">
        <f>IF(Table1[[#This Row],[Is Data Valid]]=TRUE,_xlfn.NORM.S.DIST(Table1[[#This Row],[Birthweight Z-Score]],TRUE)*100,"")</f>
        <v/>
      </c>
      <c r="K6941" s="7" t="str">
        <f>IF(Table1[[#This Row],[Is Data Valid]]=TRUE,_xlfn.NORM.S.DIST(Table1[[#This Row],[Birthweight Z-Score (BW-10%)]],TRUE)*100,"")</f>
        <v/>
      </c>
      <c r="L6941" s="7" t="str">
        <f>IF(Table1[[#This Row],[Is Data Valid]]=TRUE,_xlfn.NORM.S.DIST(Table1[[#This Row],[Birthweight Z-Score (BW+10%)]],TRUE)*100,"")</f>
        <v/>
      </c>
    </row>
    <row r="6942" spans="1:12" x14ac:dyDescent="0.35">
      <c r="A6942" s="3"/>
      <c r="B6942" s="2"/>
      <c r="C6942" s="2"/>
      <c r="D6942" s="2" t="b">
        <f>IF(AND(NOT(ISBLANK(Table1[[#This Row],[Fetal Sex (Male, Female or Unknown)]])),ISNUMBER(Table1[[#This Row],[Birthweight (grams)]]),ISNUMBER(Table1[[#This Row],[Gestation (days)]])),TRUE,FALSE)</f>
        <v>0</v>
      </c>
      <c r="E6942" s="2" t="str">
        <f>IF(Table1[[#This Row],[Is Data Valid]]=TRUE,IF(Table1[[#This Row],[Fetal Sex (Male, Female or Unknown)]]="Male",Backend!$C$6,IF(Table1[[#This Row],[Fetal Sex (Male, Female or Unknown)]]="Female",Backend!$C$7,IF(Table1[[#This Row],[Fetal Sex (Male, Female or Unknown)]]="Unknown",Backend!$C$8,"Error"))),"")</f>
        <v/>
      </c>
      <c r="F6942" s="8" t="str">
        <f>IF(Table1[[#This Row],[Is Data Valid]]=TRUE,EXP(0.578+0.332*((Table1[[#This Row],[Gestation (days)]]+0.5)/7)-0.00354*((Table1[[#This Row],[Gestation (days)]]+0.5)/7)^2)*Table1[[#This Row],[BW40_3705]],"")</f>
        <v/>
      </c>
      <c r="G6942" s="2" t="str">
        <f>IF(Table1[[#This Row],[Is Data Valid]]=TRUE,((Table1[[#This Row],[Birthweight (grams)]]/Table1[[#This Row],[BW_GA]])-1)/(Backend!$B$4/100*Table1[[#This Row],[BW40_3705]]),"")</f>
        <v/>
      </c>
      <c r="H6942" s="7" t="str">
        <f>IF(Table1[[#This Row],[Is Data Valid]]=TRUE,((Table1[[#This Row],[Birthweight (grams)]]*0.9/Table1[[#This Row],[BW_GA]])-1)/(Backend!$B$4/100*Table1[[#This Row],[BW40_3705]]),"")</f>
        <v/>
      </c>
      <c r="I6942" s="7" t="str">
        <f>IF(Table1[[#This Row],[Is Data Valid]]=TRUE,((Table1[[#This Row],[Birthweight (grams)]]*1.1/Table1[[#This Row],[BW_GA]])-1)/(Backend!$B$4/100*Table1[[#This Row],[BW40_3705]]),"")</f>
        <v/>
      </c>
      <c r="J6942" s="7" t="str">
        <f>IF(Table1[[#This Row],[Is Data Valid]]=TRUE,_xlfn.NORM.S.DIST(Table1[[#This Row],[Birthweight Z-Score]],TRUE)*100,"")</f>
        <v/>
      </c>
      <c r="K6942" s="7" t="str">
        <f>IF(Table1[[#This Row],[Is Data Valid]]=TRUE,_xlfn.NORM.S.DIST(Table1[[#This Row],[Birthweight Z-Score (BW-10%)]],TRUE)*100,"")</f>
        <v/>
      </c>
      <c r="L6942" s="7" t="str">
        <f>IF(Table1[[#This Row],[Is Data Valid]]=TRUE,_xlfn.NORM.S.DIST(Table1[[#This Row],[Birthweight Z-Score (BW+10%)]],TRUE)*100,"")</f>
        <v/>
      </c>
    </row>
    <row r="6943" spans="1:12" x14ac:dyDescent="0.35">
      <c r="A6943" s="3"/>
      <c r="B6943" s="2"/>
      <c r="C6943" s="2"/>
      <c r="D6943" s="2" t="b">
        <f>IF(AND(NOT(ISBLANK(Table1[[#This Row],[Fetal Sex (Male, Female or Unknown)]])),ISNUMBER(Table1[[#This Row],[Birthweight (grams)]]),ISNUMBER(Table1[[#This Row],[Gestation (days)]])),TRUE,FALSE)</f>
        <v>0</v>
      </c>
      <c r="E6943" s="2" t="str">
        <f>IF(Table1[[#This Row],[Is Data Valid]]=TRUE,IF(Table1[[#This Row],[Fetal Sex (Male, Female or Unknown)]]="Male",Backend!$C$6,IF(Table1[[#This Row],[Fetal Sex (Male, Female or Unknown)]]="Female",Backend!$C$7,IF(Table1[[#This Row],[Fetal Sex (Male, Female or Unknown)]]="Unknown",Backend!$C$8,"Error"))),"")</f>
        <v/>
      </c>
      <c r="F6943" s="8" t="str">
        <f>IF(Table1[[#This Row],[Is Data Valid]]=TRUE,EXP(0.578+0.332*((Table1[[#This Row],[Gestation (days)]]+0.5)/7)-0.00354*((Table1[[#This Row],[Gestation (days)]]+0.5)/7)^2)*Table1[[#This Row],[BW40_3705]],"")</f>
        <v/>
      </c>
      <c r="G6943" s="2" t="str">
        <f>IF(Table1[[#This Row],[Is Data Valid]]=TRUE,((Table1[[#This Row],[Birthweight (grams)]]/Table1[[#This Row],[BW_GA]])-1)/(Backend!$B$4/100*Table1[[#This Row],[BW40_3705]]),"")</f>
        <v/>
      </c>
      <c r="H6943" s="7" t="str">
        <f>IF(Table1[[#This Row],[Is Data Valid]]=TRUE,((Table1[[#This Row],[Birthweight (grams)]]*0.9/Table1[[#This Row],[BW_GA]])-1)/(Backend!$B$4/100*Table1[[#This Row],[BW40_3705]]),"")</f>
        <v/>
      </c>
      <c r="I6943" s="7" t="str">
        <f>IF(Table1[[#This Row],[Is Data Valid]]=TRUE,((Table1[[#This Row],[Birthweight (grams)]]*1.1/Table1[[#This Row],[BW_GA]])-1)/(Backend!$B$4/100*Table1[[#This Row],[BW40_3705]]),"")</f>
        <v/>
      </c>
      <c r="J6943" s="7" t="str">
        <f>IF(Table1[[#This Row],[Is Data Valid]]=TRUE,_xlfn.NORM.S.DIST(Table1[[#This Row],[Birthweight Z-Score]],TRUE)*100,"")</f>
        <v/>
      </c>
      <c r="K6943" s="7" t="str">
        <f>IF(Table1[[#This Row],[Is Data Valid]]=TRUE,_xlfn.NORM.S.DIST(Table1[[#This Row],[Birthweight Z-Score (BW-10%)]],TRUE)*100,"")</f>
        <v/>
      </c>
      <c r="L6943" s="7" t="str">
        <f>IF(Table1[[#This Row],[Is Data Valid]]=TRUE,_xlfn.NORM.S.DIST(Table1[[#This Row],[Birthweight Z-Score (BW+10%)]],TRUE)*100,"")</f>
        <v/>
      </c>
    </row>
    <row r="6944" spans="1:12" x14ac:dyDescent="0.35">
      <c r="A6944" s="3"/>
      <c r="B6944" s="2"/>
      <c r="C6944" s="2"/>
      <c r="D6944" s="2" t="b">
        <f>IF(AND(NOT(ISBLANK(Table1[[#This Row],[Fetal Sex (Male, Female or Unknown)]])),ISNUMBER(Table1[[#This Row],[Birthweight (grams)]]),ISNUMBER(Table1[[#This Row],[Gestation (days)]])),TRUE,FALSE)</f>
        <v>0</v>
      </c>
      <c r="E6944" s="2" t="str">
        <f>IF(Table1[[#This Row],[Is Data Valid]]=TRUE,IF(Table1[[#This Row],[Fetal Sex (Male, Female or Unknown)]]="Male",Backend!$C$6,IF(Table1[[#This Row],[Fetal Sex (Male, Female or Unknown)]]="Female",Backend!$C$7,IF(Table1[[#This Row],[Fetal Sex (Male, Female or Unknown)]]="Unknown",Backend!$C$8,"Error"))),"")</f>
        <v/>
      </c>
      <c r="F6944" s="8" t="str">
        <f>IF(Table1[[#This Row],[Is Data Valid]]=TRUE,EXP(0.578+0.332*((Table1[[#This Row],[Gestation (days)]]+0.5)/7)-0.00354*((Table1[[#This Row],[Gestation (days)]]+0.5)/7)^2)*Table1[[#This Row],[BW40_3705]],"")</f>
        <v/>
      </c>
      <c r="G6944" s="2" t="str">
        <f>IF(Table1[[#This Row],[Is Data Valid]]=TRUE,((Table1[[#This Row],[Birthweight (grams)]]/Table1[[#This Row],[BW_GA]])-1)/(Backend!$B$4/100*Table1[[#This Row],[BW40_3705]]),"")</f>
        <v/>
      </c>
      <c r="H6944" s="7" t="str">
        <f>IF(Table1[[#This Row],[Is Data Valid]]=TRUE,((Table1[[#This Row],[Birthweight (grams)]]*0.9/Table1[[#This Row],[BW_GA]])-1)/(Backend!$B$4/100*Table1[[#This Row],[BW40_3705]]),"")</f>
        <v/>
      </c>
      <c r="I6944" s="7" t="str">
        <f>IF(Table1[[#This Row],[Is Data Valid]]=TRUE,((Table1[[#This Row],[Birthweight (grams)]]*1.1/Table1[[#This Row],[BW_GA]])-1)/(Backend!$B$4/100*Table1[[#This Row],[BW40_3705]]),"")</f>
        <v/>
      </c>
      <c r="J6944" s="7" t="str">
        <f>IF(Table1[[#This Row],[Is Data Valid]]=TRUE,_xlfn.NORM.S.DIST(Table1[[#This Row],[Birthweight Z-Score]],TRUE)*100,"")</f>
        <v/>
      </c>
      <c r="K6944" s="7" t="str">
        <f>IF(Table1[[#This Row],[Is Data Valid]]=TRUE,_xlfn.NORM.S.DIST(Table1[[#This Row],[Birthweight Z-Score (BW-10%)]],TRUE)*100,"")</f>
        <v/>
      </c>
      <c r="L6944" s="7" t="str">
        <f>IF(Table1[[#This Row],[Is Data Valid]]=TRUE,_xlfn.NORM.S.DIST(Table1[[#This Row],[Birthweight Z-Score (BW+10%)]],TRUE)*100,"")</f>
        <v/>
      </c>
    </row>
    <row r="6945" spans="1:12" x14ac:dyDescent="0.35">
      <c r="A6945" s="3"/>
      <c r="B6945" s="2"/>
      <c r="C6945" s="2"/>
      <c r="D6945" s="2" t="b">
        <f>IF(AND(NOT(ISBLANK(Table1[[#This Row],[Fetal Sex (Male, Female or Unknown)]])),ISNUMBER(Table1[[#This Row],[Birthweight (grams)]]),ISNUMBER(Table1[[#This Row],[Gestation (days)]])),TRUE,FALSE)</f>
        <v>0</v>
      </c>
      <c r="E6945" s="2" t="str">
        <f>IF(Table1[[#This Row],[Is Data Valid]]=TRUE,IF(Table1[[#This Row],[Fetal Sex (Male, Female or Unknown)]]="Male",Backend!$C$6,IF(Table1[[#This Row],[Fetal Sex (Male, Female or Unknown)]]="Female",Backend!$C$7,IF(Table1[[#This Row],[Fetal Sex (Male, Female or Unknown)]]="Unknown",Backend!$C$8,"Error"))),"")</f>
        <v/>
      </c>
      <c r="F6945" s="8" t="str">
        <f>IF(Table1[[#This Row],[Is Data Valid]]=TRUE,EXP(0.578+0.332*((Table1[[#This Row],[Gestation (days)]]+0.5)/7)-0.00354*((Table1[[#This Row],[Gestation (days)]]+0.5)/7)^2)*Table1[[#This Row],[BW40_3705]],"")</f>
        <v/>
      </c>
      <c r="G6945" s="2" t="str">
        <f>IF(Table1[[#This Row],[Is Data Valid]]=TRUE,((Table1[[#This Row],[Birthweight (grams)]]/Table1[[#This Row],[BW_GA]])-1)/(Backend!$B$4/100*Table1[[#This Row],[BW40_3705]]),"")</f>
        <v/>
      </c>
      <c r="H6945" s="7" t="str">
        <f>IF(Table1[[#This Row],[Is Data Valid]]=TRUE,((Table1[[#This Row],[Birthweight (grams)]]*0.9/Table1[[#This Row],[BW_GA]])-1)/(Backend!$B$4/100*Table1[[#This Row],[BW40_3705]]),"")</f>
        <v/>
      </c>
      <c r="I6945" s="7" t="str">
        <f>IF(Table1[[#This Row],[Is Data Valid]]=TRUE,((Table1[[#This Row],[Birthweight (grams)]]*1.1/Table1[[#This Row],[BW_GA]])-1)/(Backend!$B$4/100*Table1[[#This Row],[BW40_3705]]),"")</f>
        <v/>
      </c>
      <c r="J6945" s="7" t="str">
        <f>IF(Table1[[#This Row],[Is Data Valid]]=TRUE,_xlfn.NORM.S.DIST(Table1[[#This Row],[Birthweight Z-Score]],TRUE)*100,"")</f>
        <v/>
      </c>
      <c r="K6945" s="7" t="str">
        <f>IF(Table1[[#This Row],[Is Data Valid]]=TRUE,_xlfn.NORM.S.DIST(Table1[[#This Row],[Birthweight Z-Score (BW-10%)]],TRUE)*100,"")</f>
        <v/>
      </c>
      <c r="L6945" s="7" t="str">
        <f>IF(Table1[[#This Row],[Is Data Valid]]=TRUE,_xlfn.NORM.S.DIST(Table1[[#This Row],[Birthweight Z-Score (BW+10%)]],TRUE)*100,"")</f>
        <v/>
      </c>
    </row>
    <row r="6946" spans="1:12" x14ac:dyDescent="0.35">
      <c r="A6946" s="3"/>
      <c r="B6946" s="2"/>
      <c r="C6946" s="2"/>
      <c r="D6946" s="2" t="b">
        <f>IF(AND(NOT(ISBLANK(Table1[[#This Row],[Fetal Sex (Male, Female or Unknown)]])),ISNUMBER(Table1[[#This Row],[Birthweight (grams)]]),ISNUMBER(Table1[[#This Row],[Gestation (days)]])),TRUE,FALSE)</f>
        <v>0</v>
      </c>
      <c r="E6946" s="2" t="str">
        <f>IF(Table1[[#This Row],[Is Data Valid]]=TRUE,IF(Table1[[#This Row],[Fetal Sex (Male, Female or Unknown)]]="Male",Backend!$C$6,IF(Table1[[#This Row],[Fetal Sex (Male, Female or Unknown)]]="Female",Backend!$C$7,IF(Table1[[#This Row],[Fetal Sex (Male, Female or Unknown)]]="Unknown",Backend!$C$8,"Error"))),"")</f>
        <v/>
      </c>
      <c r="F6946" s="8" t="str">
        <f>IF(Table1[[#This Row],[Is Data Valid]]=TRUE,EXP(0.578+0.332*((Table1[[#This Row],[Gestation (days)]]+0.5)/7)-0.00354*((Table1[[#This Row],[Gestation (days)]]+0.5)/7)^2)*Table1[[#This Row],[BW40_3705]],"")</f>
        <v/>
      </c>
      <c r="G6946" s="2" t="str">
        <f>IF(Table1[[#This Row],[Is Data Valid]]=TRUE,((Table1[[#This Row],[Birthweight (grams)]]/Table1[[#This Row],[BW_GA]])-1)/(Backend!$B$4/100*Table1[[#This Row],[BW40_3705]]),"")</f>
        <v/>
      </c>
      <c r="H6946" s="7" t="str">
        <f>IF(Table1[[#This Row],[Is Data Valid]]=TRUE,((Table1[[#This Row],[Birthweight (grams)]]*0.9/Table1[[#This Row],[BW_GA]])-1)/(Backend!$B$4/100*Table1[[#This Row],[BW40_3705]]),"")</f>
        <v/>
      </c>
      <c r="I6946" s="7" t="str">
        <f>IF(Table1[[#This Row],[Is Data Valid]]=TRUE,((Table1[[#This Row],[Birthweight (grams)]]*1.1/Table1[[#This Row],[BW_GA]])-1)/(Backend!$B$4/100*Table1[[#This Row],[BW40_3705]]),"")</f>
        <v/>
      </c>
      <c r="J6946" s="7" t="str">
        <f>IF(Table1[[#This Row],[Is Data Valid]]=TRUE,_xlfn.NORM.S.DIST(Table1[[#This Row],[Birthweight Z-Score]],TRUE)*100,"")</f>
        <v/>
      </c>
      <c r="K6946" s="7" t="str">
        <f>IF(Table1[[#This Row],[Is Data Valid]]=TRUE,_xlfn.NORM.S.DIST(Table1[[#This Row],[Birthweight Z-Score (BW-10%)]],TRUE)*100,"")</f>
        <v/>
      </c>
      <c r="L6946" s="7" t="str">
        <f>IF(Table1[[#This Row],[Is Data Valid]]=TRUE,_xlfn.NORM.S.DIST(Table1[[#This Row],[Birthweight Z-Score (BW+10%)]],TRUE)*100,"")</f>
        <v/>
      </c>
    </row>
    <row r="6947" spans="1:12" x14ac:dyDescent="0.35">
      <c r="A6947" s="3"/>
      <c r="B6947" s="2"/>
      <c r="C6947" s="2"/>
      <c r="D6947" s="2" t="b">
        <f>IF(AND(NOT(ISBLANK(Table1[[#This Row],[Fetal Sex (Male, Female or Unknown)]])),ISNUMBER(Table1[[#This Row],[Birthweight (grams)]]),ISNUMBER(Table1[[#This Row],[Gestation (days)]])),TRUE,FALSE)</f>
        <v>0</v>
      </c>
      <c r="E6947" s="2" t="str">
        <f>IF(Table1[[#This Row],[Is Data Valid]]=TRUE,IF(Table1[[#This Row],[Fetal Sex (Male, Female or Unknown)]]="Male",Backend!$C$6,IF(Table1[[#This Row],[Fetal Sex (Male, Female or Unknown)]]="Female",Backend!$C$7,IF(Table1[[#This Row],[Fetal Sex (Male, Female or Unknown)]]="Unknown",Backend!$C$8,"Error"))),"")</f>
        <v/>
      </c>
      <c r="F6947" s="8" t="str">
        <f>IF(Table1[[#This Row],[Is Data Valid]]=TRUE,EXP(0.578+0.332*((Table1[[#This Row],[Gestation (days)]]+0.5)/7)-0.00354*((Table1[[#This Row],[Gestation (days)]]+0.5)/7)^2)*Table1[[#This Row],[BW40_3705]],"")</f>
        <v/>
      </c>
      <c r="G6947" s="2" t="str">
        <f>IF(Table1[[#This Row],[Is Data Valid]]=TRUE,((Table1[[#This Row],[Birthweight (grams)]]/Table1[[#This Row],[BW_GA]])-1)/(Backend!$B$4/100*Table1[[#This Row],[BW40_3705]]),"")</f>
        <v/>
      </c>
      <c r="H6947" s="7" t="str">
        <f>IF(Table1[[#This Row],[Is Data Valid]]=TRUE,((Table1[[#This Row],[Birthweight (grams)]]*0.9/Table1[[#This Row],[BW_GA]])-1)/(Backend!$B$4/100*Table1[[#This Row],[BW40_3705]]),"")</f>
        <v/>
      </c>
      <c r="I6947" s="7" t="str">
        <f>IF(Table1[[#This Row],[Is Data Valid]]=TRUE,((Table1[[#This Row],[Birthweight (grams)]]*1.1/Table1[[#This Row],[BW_GA]])-1)/(Backend!$B$4/100*Table1[[#This Row],[BW40_3705]]),"")</f>
        <v/>
      </c>
      <c r="J6947" s="7" t="str">
        <f>IF(Table1[[#This Row],[Is Data Valid]]=TRUE,_xlfn.NORM.S.DIST(Table1[[#This Row],[Birthweight Z-Score]],TRUE)*100,"")</f>
        <v/>
      </c>
      <c r="K6947" s="7" t="str">
        <f>IF(Table1[[#This Row],[Is Data Valid]]=TRUE,_xlfn.NORM.S.DIST(Table1[[#This Row],[Birthweight Z-Score (BW-10%)]],TRUE)*100,"")</f>
        <v/>
      </c>
      <c r="L6947" s="7" t="str">
        <f>IF(Table1[[#This Row],[Is Data Valid]]=TRUE,_xlfn.NORM.S.DIST(Table1[[#This Row],[Birthweight Z-Score (BW+10%)]],TRUE)*100,"")</f>
        <v/>
      </c>
    </row>
    <row r="6948" spans="1:12" x14ac:dyDescent="0.35">
      <c r="A6948" s="3"/>
      <c r="B6948" s="2"/>
      <c r="C6948" s="2"/>
      <c r="D6948" s="2" t="b">
        <f>IF(AND(NOT(ISBLANK(Table1[[#This Row],[Fetal Sex (Male, Female or Unknown)]])),ISNUMBER(Table1[[#This Row],[Birthweight (grams)]]),ISNUMBER(Table1[[#This Row],[Gestation (days)]])),TRUE,FALSE)</f>
        <v>0</v>
      </c>
      <c r="E6948" s="2" t="str">
        <f>IF(Table1[[#This Row],[Is Data Valid]]=TRUE,IF(Table1[[#This Row],[Fetal Sex (Male, Female or Unknown)]]="Male",Backend!$C$6,IF(Table1[[#This Row],[Fetal Sex (Male, Female or Unknown)]]="Female",Backend!$C$7,IF(Table1[[#This Row],[Fetal Sex (Male, Female or Unknown)]]="Unknown",Backend!$C$8,"Error"))),"")</f>
        <v/>
      </c>
      <c r="F6948" s="8" t="str">
        <f>IF(Table1[[#This Row],[Is Data Valid]]=TRUE,EXP(0.578+0.332*((Table1[[#This Row],[Gestation (days)]]+0.5)/7)-0.00354*((Table1[[#This Row],[Gestation (days)]]+0.5)/7)^2)*Table1[[#This Row],[BW40_3705]],"")</f>
        <v/>
      </c>
      <c r="G6948" s="2" t="str">
        <f>IF(Table1[[#This Row],[Is Data Valid]]=TRUE,((Table1[[#This Row],[Birthweight (grams)]]/Table1[[#This Row],[BW_GA]])-1)/(Backend!$B$4/100*Table1[[#This Row],[BW40_3705]]),"")</f>
        <v/>
      </c>
      <c r="H6948" s="7" t="str">
        <f>IF(Table1[[#This Row],[Is Data Valid]]=TRUE,((Table1[[#This Row],[Birthweight (grams)]]*0.9/Table1[[#This Row],[BW_GA]])-1)/(Backend!$B$4/100*Table1[[#This Row],[BW40_3705]]),"")</f>
        <v/>
      </c>
      <c r="I6948" s="7" t="str">
        <f>IF(Table1[[#This Row],[Is Data Valid]]=TRUE,((Table1[[#This Row],[Birthweight (grams)]]*1.1/Table1[[#This Row],[BW_GA]])-1)/(Backend!$B$4/100*Table1[[#This Row],[BW40_3705]]),"")</f>
        <v/>
      </c>
      <c r="J6948" s="7" t="str">
        <f>IF(Table1[[#This Row],[Is Data Valid]]=TRUE,_xlfn.NORM.S.DIST(Table1[[#This Row],[Birthweight Z-Score]],TRUE)*100,"")</f>
        <v/>
      </c>
      <c r="K6948" s="7" t="str">
        <f>IF(Table1[[#This Row],[Is Data Valid]]=TRUE,_xlfn.NORM.S.DIST(Table1[[#This Row],[Birthweight Z-Score (BW-10%)]],TRUE)*100,"")</f>
        <v/>
      </c>
      <c r="L6948" s="7" t="str">
        <f>IF(Table1[[#This Row],[Is Data Valid]]=TRUE,_xlfn.NORM.S.DIST(Table1[[#This Row],[Birthweight Z-Score (BW+10%)]],TRUE)*100,"")</f>
        <v/>
      </c>
    </row>
    <row r="6949" spans="1:12" x14ac:dyDescent="0.35">
      <c r="A6949" s="3"/>
      <c r="B6949" s="2"/>
      <c r="C6949" s="2"/>
      <c r="D6949" s="2" t="b">
        <f>IF(AND(NOT(ISBLANK(Table1[[#This Row],[Fetal Sex (Male, Female or Unknown)]])),ISNUMBER(Table1[[#This Row],[Birthweight (grams)]]),ISNUMBER(Table1[[#This Row],[Gestation (days)]])),TRUE,FALSE)</f>
        <v>0</v>
      </c>
      <c r="E6949" s="2" t="str">
        <f>IF(Table1[[#This Row],[Is Data Valid]]=TRUE,IF(Table1[[#This Row],[Fetal Sex (Male, Female or Unknown)]]="Male",Backend!$C$6,IF(Table1[[#This Row],[Fetal Sex (Male, Female or Unknown)]]="Female",Backend!$C$7,IF(Table1[[#This Row],[Fetal Sex (Male, Female or Unknown)]]="Unknown",Backend!$C$8,"Error"))),"")</f>
        <v/>
      </c>
      <c r="F6949" s="8" t="str">
        <f>IF(Table1[[#This Row],[Is Data Valid]]=TRUE,EXP(0.578+0.332*((Table1[[#This Row],[Gestation (days)]]+0.5)/7)-0.00354*((Table1[[#This Row],[Gestation (days)]]+0.5)/7)^2)*Table1[[#This Row],[BW40_3705]],"")</f>
        <v/>
      </c>
      <c r="G6949" s="2" t="str">
        <f>IF(Table1[[#This Row],[Is Data Valid]]=TRUE,((Table1[[#This Row],[Birthweight (grams)]]/Table1[[#This Row],[BW_GA]])-1)/(Backend!$B$4/100*Table1[[#This Row],[BW40_3705]]),"")</f>
        <v/>
      </c>
      <c r="H6949" s="7" t="str">
        <f>IF(Table1[[#This Row],[Is Data Valid]]=TRUE,((Table1[[#This Row],[Birthweight (grams)]]*0.9/Table1[[#This Row],[BW_GA]])-1)/(Backend!$B$4/100*Table1[[#This Row],[BW40_3705]]),"")</f>
        <v/>
      </c>
      <c r="I6949" s="7" t="str">
        <f>IF(Table1[[#This Row],[Is Data Valid]]=TRUE,((Table1[[#This Row],[Birthweight (grams)]]*1.1/Table1[[#This Row],[BW_GA]])-1)/(Backend!$B$4/100*Table1[[#This Row],[BW40_3705]]),"")</f>
        <v/>
      </c>
      <c r="J6949" s="7" t="str">
        <f>IF(Table1[[#This Row],[Is Data Valid]]=TRUE,_xlfn.NORM.S.DIST(Table1[[#This Row],[Birthweight Z-Score]],TRUE)*100,"")</f>
        <v/>
      </c>
      <c r="K6949" s="7" t="str">
        <f>IF(Table1[[#This Row],[Is Data Valid]]=TRUE,_xlfn.NORM.S.DIST(Table1[[#This Row],[Birthweight Z-Score (BW-10%)]],TRUE)*100,"")</f>
        <v/>
      </c>
      <c r="L6949" s="7" t="str">
        <f>IF(Table1[[#This Row],[Is Data Valid]]=TRUE,_xlfn.NORM.S.DIST(Table1[[#This Row],[Birthweight Z-Score (BW+10%)]],TRUE)*100,"")</f>
        <v/>
      </c>
    </row>
    <row r="6950" spans="1:12" x14ac:dyDescent="0.35">
      <c r="A6950" s="3"/>
      <c r="B6950" s="2"/>
      <c r="C6950" s="2"/>
      <c r="D6950" s="2" t="b">
        <f>IF(AND(NOT(ISBLANK(Table1[[#This Row],[Fetal Sex (Male, Female or Unknown)]])),ISNUMBER(Table1[[#This Row],[Birthweight (grams)]]),ISNUMBER(Table1[[#This Row],[Gestation (days)]])),TRUE,FALSE)</f>
        <v>0</v>
      </c>
      <c r="E6950" s="2" t="str">
        <f>IF(Table1[[#This Row],[Is Data Valid]]=TRUE,IF(Table1[[#This Row],[Fetal Sex (Male, Female or Unknown)]]="Male",Backend!$C$6,IF(Table1[[#This Row],[Fetal Sex (Male, Female or Unknown)]]="Female",Backend!$C$7,IF(Table1[[#This Row],[Fetal Sex (Male, Female or Unknown)]]="Unknown",Backend!$C$8,"Error"))),"")</f>
        <v/>
      </c>
      <c r="F6950" s="8" t="str">
        <f>IF(Table1[[#This Row],[Is Data Valid]]=TRUE,EXP(0.578+0.332*((Table1[[#This Row],[Gestation (days)]]+0.5)/7)-0.00354*((Table1[[#This Row],[Gestation (days)]]+0.5)/7)^2)*Table1[[#This Row],[BW40_3705]],"")</f>
        <v/>
      </c>
      <c r="G6950" s="2" t="str">
        <f>IF(Table1[[#This Row],[Is Data Valid]]=TRUE,((Table1[[#This Row],[Birthweight (grams)]]/Table1[[#This Row],[BW_GA]])-1)/(Backend!$B$4/100*Table1[[#This Row],[BW40_3705]]),"")</f>
        <v/>
      </c>
      <c r="H6950" s="7" t="str">
        <f>IF(Table1[[#This Row],[Is Data Valid]]=TRUE,((Table1[[#This Row],[Birthweight (grams)]]*0.9/Table1[[#This Row],[BW_GA]])-1)/(Backend!$B$4/100*Table1[[#This Row],[BW40_3705]]),"")</f>
        <v/>
      </c>
      <c r="I6950" s="7" t="str">
        <f>IF(Table1[[#This Row],[Is Data Valid]]=TRUE,((Table1[[#This Row],[Birthweight (grams)]]*1.1/Table1[[#This Row],[BW_GA]])-1)/(Backend!$B$4/100*Table1[[#This Row],[BW40_3705]]),"")</f>
        <v/>
      </c>
      <c r="J6950" s="7" t="str">
        <f>IF(Table1[[#This Row],[Is Data Valid]]=TRUE,_xlfn.NORM.S.DIST(Table1[[#This Row],[Birthweight Z-Score]],TRUE)*100,"")</f>
        <v/>
      </c>
      <c r="K6950" s="7" t="str">
        <f>IF(Table1[[#This Row],[Is Data Valid]]=TRUE,_xlfn.NORM.S.DIST(Table1[[#This Row],[Birthweight Z-Score (BW-10%)]],TRUE)*100,"")</f>
        <v/>
      </c>
      <c r="L6950" s="7" t="str">
        <f>IF(Table1[[#This Row],[Is Data Valid]]=TRUE,_xlfn.NORM.S.DIST(Table1[[#This Row],[Birthweight Z-Score (BW+10%)]],TRUE)*100,"")</f>
        <v/>
      </c>
    </row>
    <row r="6951" spans="1:12" x14ac:dyDescent="0.35">
      <c r="A6951" s="3"/>
      <c r="B6951" s="2"/>
      <c r="C6951" s="2"/>
      <c r="D6951" s="2" t="b">
        <f>IF(AND(NOT(ISBLANK(Table1[[#This Row],[Fetal Sex (Male, Female or Unknown)]])),ISNUMBER(Table1[[#This Row],[Birthweight (grams)]]),ISNUMBER(Table1[[#This Row],[Gestation (days)]])),TRUE,FALSE)</f>
        <v>0</v>
      </c>
      <c r="E6951" s="2" t="str">
        <f>IF(Table1[[#This Row],[Is Data Valid]]=TRUE,IF(Table1[[#This Row],[Fetal Sex (Male, Female or Unknown)]]="Male",Backend!$C$6,IF(Table1[[#This Row],[Fetal Sex (Male, Female or Unknown)]]="Female",Backend!$C$7,IF(Table1[[#This Row],[Fetal Sex (Male, Female or Unknown)]]="Unknown",Backend!$C$8,"Error"))),"")</f>
        <v/>
      </c>
      <c r="F6951" s="8" t="str">
        <f>IF(Table1[[#This Row],[Is Data Valid]]=TRUE,EXP(0.578+0.332*((Table1[[#This Row],[Gestation (days)]]+0.5)/7)-0.00354*((Table1[[#This Row],[Gestation (days)]]+0.5)/7)^2)*Table1[[#This Row],[BW40_3705]],"")</f>
        <v/>
      </c>
      <c r="G6951" s="2" t="str">
        <f>IF(Table1[[#This Row],[Is Data Valid]]=TRUE,((Table1[[#This Row],[Birthweight (grams)]]/Table1[[#This Row],[BW_GA]])-1)/(Backend!$B$4/100*Table1[[#This Row],[BW40_3705]]),"")</f>
        <v/>
      </c>
      <c r="H6951" s="7" t="str">
        <f>IF(Table1[[#This Row],[Is Data Valid]]=TRUE,((Table1[[#This Row],[Birthweight (grams)]]*0.9/Table1[[#This Row],[BW_GA]])-1)/(Backend!$B$4/100*Table1[[#This Row],[BW40_3705]]),"")</f>
        <v/>
      </c>
      <c r="I6951" s="7" t="str">
        <f>IF(Table1[[#This Row],[Is Data Valid]]=TRUE,((Table1[[#This Row],[Birthweight (grams)]]*1.1/Table1[[#This Row],[BW_GA]])-1)/(Backend!$B$4/100*Table1[[#This Row],[BW40_3705]]),"")</f>
        <v/>
      </c>
      <c r="J6951" s="7" t="str">
        <f>IF(Table1[[#This Row],[Is Data Valid]]=TRUE,_xlfn.NORM.S.DIST(Table1[[#This Row],[Birthweight Z-Score]],TRUE)*100,"")</f>
        <v/>
      </c>
      <c r="K6951" s="7" t="str">
        <f>IF(Table1[[#This Row],[Is Data Valid]]=TRUE,_xlfn.NORM.S.DIST(Table1[[#This Row],[Birthweight Z-Score (BW-10%)]],TRUE)*100,"")</f>
        <v/>
      </c>
      <c r="L6951" s="7" t="str">
        <f>IF(Table1[[#This Row],[Is Data Valid]]=TRUE,_xlfn.NORM.S.DIST(Table1[[#This Row],[Birthweight Z-Score (BW+10%)]],TRUE)*100,"")</f>
        <v/>
      </c>
    </row>
    <row r="6952" spans="1:12" x14ac:dyDescent="0.35">
      <c r="A6952" s="3"/>
      <c r="B6952" s="2"/>
      <c r="C6952" s="2"/>
      <c r="D6952" s="2" t="b">
        <f>IF(AND(NOT(ISBLANK(Table1[[#This Row],[Fetal Sex (Male, Female or Unknown)]])),ISNUMBER(Table1[[#This Row],[Birthweight (grams)]]),ISNUMBER(Table1[[#This Row],[Gestation (days)]])),TRUE,FALSE)</f>
        <v>0</v>
      </c>
      <c r="E6952" s="2" t="str">
        <f>IF(Table1[[#This Row],[Is Data Valid]]=TRUE,IF(Table1[[#This Row],[Fetal Sex (Male, Female or Unknown)]]="Male",Backend!$C$6,IF(Table1[[#This Row],[Fetal Sex (Male, Female or Unknown)]]="Female",Backend!$C$7,IF(Table1[[#This Row],[Fetal Sex (Male, Female or Unknown)]]="Unknown",Backend!$C$8,"Error"))),"")</f>
        <v/>
      </c>
      <c r="F6952" s="8" t="str">
        <f>IF(Table1[[#This Row],[Is Data Valid]]=TRUE,EXP(0.578+0.332*((Table1[[#This Row],[Gestation (days)]]+0.5)/7)-0.00354*((Table1[[#This Row],[Gestation (days)]]+0.5)/7)^2)*Table1[[#This Row],[BW40_3705]],"")</f>
        <v/>
      </c>
      <c r="G6952" s="2" t="str">
        <f>IF(Table1[[#This Row],[Is Data Valid]]=TRUE,((Table1[[#This Row],[Birthweight (grams)]]/Table1[[#This Row],[BW_GA]])-1)/(Backend!$B$4/100*Table1[[#This Row],[BW40_3705]]),"")</f>
        <v/>
      </c>
      <c r="H6952" s="7" t="str">
        <f>IF(Table1[[#This Row],[Is Data Valid]]=TRUE,((Table1[[#This Row],[Birthweight (grams)]]*0.9/Table1[[#This Row],[BW_GA]])-1)/(Backend!$B$4/100*Table1[[#This Row],[BW40_3705]]),"")</f>
        <v/>
      </c>
      <c r="I6952" s="7" t="str">
        <f>IF(Table1[[#This Row],[Is Data Valid]]=TRUE,((Table1[[#This Row],[Birthweight (grams)]]*1.1/Table1[[#This Row],[BW_GA]])-1)/(Backend!$B$4/100*Table1[[#This Row],[BW40_3705]]),"")</f>
        <v/>
      </c>
      <c r="J6952" s="7" t="str">
        <f>IF(Table1[[#This Row],[Is Data Valid]]=TRUE,_xlfn.NORM.S.DIST(Table1[[#This Row],[Birthweight Z-Score]],TRUE)*100,"")</f>
        <v/>
      </c>
      <c r="K6952" s="7" t="str">
        <f>IF(Table1[[#This Row],[Is Data Valid]]=TRUE,_xlfn.NORM.S.DIST(Table1[[#This Row],[Birthweight Z-Score (BW-10%)]],TRUE)*100,"")</f>
        <v/>
      </c>
      <c r="L6952" s="7" t="str">
        <f>IF(Table1[[#This Row],[Is Data Valid]]=TRUE,_xlfn.NORM.S.DIST(Table1[[#This Row],[Birthweight Z-Score (BW+10%)]],TRUE)*100,"")</f>
        <v/>
      </c>
    </row>
    <row r="6953" spans="1:12" x14ac:dyDescent="0.35">
      <c r="A6953" s="3"/>
      <c r="B6953" s="2"/>
      <c r="C6953" s="2"/>
      <c r="D6953" s="2" t="b">
        <f>IF(AND(NOT(ISBLANK(Table1[[#This Row],[Fetal Sex (Male, Female or Unknown)]])),ISNUMBER(Table1[[#This Row],[Birthweight (grams)]]),ISNUMBER(Table1[[#This Row],[Gestation (days)]])),TRUE,FALSE)</f>
        <v>0</v>
      </c>
      <c r="E6953" s="2" t="str">
        <f>IF(Table1[[#This Row],[Is Data Valid]]=TRUE,IF(Table1[[#This Row],[Fetal Sex (Male, Female or Unknown)]]="Male",Backend!$C$6,IF(Table1[[#This Row],[Fetal Sex (Male, Female or Unknown)]]="Female",Backend!$C$7,IF(Table1[[#This Row],[Fetal Sex (Male, Female or Unknown)]]="Unknown",Backend!$C$8,"Error"))),"")</f>
        <v/>
      </c>
      <c r="F6953" s="8" t="str">
        <f>IF(Table1[[#This Row],[Is Data Valid]]=TRUE,EXP(0.578+0.332*((Table1[[#This Row],[Gestation (days)]]+0.5)/7)-0.00354*((Table1[[#This Row],[Gestation (days)]]+0.5)/7)^2)*Table1[[#This Row],[BW40_3705]],"")</f>
        <v/>
      </c>
      <c r="G6953" s="2" t="str">
        <f>IF(Table1[[#This Row],[Is Data Valid]]=TRUE,((Table1[[#This Row],[Birthweight (grams)]]/Table1[[#This Row],[BW_GA]])-1)/(Backend!$B$4/100*Table1[[#This Row],[BW40_3705]]),"")</f>
        <v/>
      </c>
      <c r="H6953" s="7" t="str">
        <f>IF(Table1[[#This Row],[Is Data Valid]]=TRUE,((Table1[[#This Row],[Birthweight (grams)]]*0.9/Table1[[#This Row],[BW_GA]])-1)/(Backend!$B$4/100*Table1[[#This Row],[BW40_3705]]),"")</f>
        <v/>
      </c>
      <c r="I6953" s="7" t="str">
        <f>IF(Table1[[#This Row],[Is Data Valid]]=TRUE,((Table1[[#This Row],[Birthweight (grams)]]*1.1/Table1[[#This Row],[BW_GA]])-1)/(Backend!$B$4/100*Table1[[#This Row],[BW40_3705]]),"")</f>
        <v/>
      </c>
      <c r="J6953" s="7" t="str">
        <f>IF(Table1[[#This Row],[Is Data Valid]]=TRUE,_xlfn.NORM.S.DIST(Table1[[#This Row],[Birthweight Z-Score]],TRUE)*100,"")</f>
        <v/>
      </c>
      <c r="K6953" s="7" t="str">
        <f>IF(Table1[[#This Row],[Is Data Valid]]=TRUE,_xlfn.NORM.S.DIST(Table1[[#This Row],[Birthweight Z-Score (BW-10%)]],TRUE)*100,"")</f>
        <v/>
      </c>
      <c r="L6953" s="7" t="str">
        <f>IF(Table1[[#This Row],[Is Data Valid]]=TRUE,_xlfn.NORM.S.DIST(Table1[[#This Row],[Birthweight Z-Score (BW+10%)]],TRUE)*100,"")</f>
        <v/>
      </c>
    </row>
    <row r="6954" spans="1:12" x14ac:dyDescent="0.35">
      <c r="A6954" s="3"/>
      <c r="B6954" s="2"/>
      <c r="C6954" s="2"/>
      <c r="D6954" s="2" t="b">
        <f>IF(AND(NOT(ISBLANK(Table1[[#This Row],[Fetal Sex (Male, Female or Unknown)]])),ISNUMBER(Table1[[#This Row],[Birthweight (grams)]]),ISNUMBER(Table1[[#This Row],[Gestation (days)]])),TRUE,FALSE)</f>
        <v>0</v>
      </c>
      <c r="E6954" s="2" t="str">
        <f>IF(Table1[[#This Row],[Is Data Valid]]=TRUE,IF(Table1[[#This Row],[Fetal Sex (Male, Female or Unknown)]]="Male",Backend!$C$6,IF(Table1[[#This Row],[Fetal Sex (Male, Female or Unknown)]]="Female",Backend!$C$7,IF(Table1[[#This Row],[Fetal Sex (Male, Female or Unknown)]]="Unknown",Backend!$C$8,"Error"))),"")</f>
        <v/>
      </c>
      <c r="F6954" s="8" t="str">
        <f>IF(Table1[[#This Row],[Is Data Valid]]=TRUE,EXP(0.578+0.332*((Table1[[#This Row],[Gestation (days)]]+0.5)/7)-0.00354*((Table1[[#This Row],[Gestation (days)]]+0.5)/7)^2)*Table1[[#This Row],[BW40_3705]],"")</f>
        <v/>
      </c>
      <c r="G6954" s="2" t="str">
        <f>IF(Table1[[#This Row],[Is Data Valid]]=TRUE,((Table1[[#This Row],[Birthweight (grams)]]/Table1[[#This Row],[BW_GA]])-1)/(Backend!$B$4/100*Table1[[#This Row],[BW40_3705]]),"")</f>
        <v/>
      </c>
      <c r="H6954" s="7" t="str">
        <f>IF(Table1[[#This Row],[Is Data Valid]]=TRUE,((Table1[[#This Row],[Birthweight (grams)]]*0.9/Table1[[#This Row],[BW_GA]])-1)/(Backend!$B$4/100*Table1[[#This Row],[BW40_3705]]),"")</f>
        <v/>
      </c>
      <c r="I6954" s="7" t="str">
        <f>IF(Table1[[#This Row],[Is Data Valid]]=TRUE,((Table1[[#This Row],[Birthweight (grams)]]*1.1/Table1[[#This Row],[BW_GA]])-1)/(Backend!$B$4/100*Table1[[#This Row],[BW40_3705]]),"")</f>
        <v/>
      </c>
      <c r="J6954" s="7" t="str">
        <f>IF(Table1[[#This Row],[Is Data Valid]]=TRUE,_xlfn.NORM.S.DIST(Table1[[#This Row],[Birthweight Z-Score]],TRUE)*100,"")</f>
        <v/>
      </c>
      <c r="K6954" s="7" t="str">
        <f>IF(Table1[[#This Row],[Is Data Valid]]=TRUE,_xlfn.NORM.S.DIST(Table1[[#This Row],[Birthweight Z-Score (BW-10%)]],TRUE)*100,"")</f>
        <v/>
      </c>
      <c r="L6954" s="7" t="str">
        <f>IF(Table1[[#This Row],[Is Data Valid]]=TRUE,_xlfn.NORM.S.DIST(Table1[[#This Row],[Birthweight Z-Score (BW+10%)]],TRUE)*100,"")</f>
        <v/>
      </c>
    </row>
    <row r="6955" spans="1:12" x14ac:dyDescent="0.35">
      <c r="A6955" s="3"/>
      <c r="B6955" s="2"/>
      <c r="C6955" s="2"/>
      <c r="D6955" s="2" t="b">
        <f>IF(AND(NOT(ISBLANK(Table1[[#This Row],[Fetal Sex (Male, Female or Unknown)]])),ISNUMBER(Table1[[#This Row],[Birthweight (grams)]]),ISNUMBER(Table1[[#This Row],[Gestation (days)]])),TRUE,FALSE)</f>
        <v>0</v>
      </c>
      <c r="E6955" s="2" t="str">
        <f>IF(Table1[[#This Row],[Is Data Valid]]=TRUE,IF(Table1[[#This Row],[Fetal Sex (Male, Female or Unknown)]]="Male",Backend!$C$6,IF(Table1[[#This Row],[Fetal Sex (Male, Female or Unknown)]]="Female",Backend!$C$7,IF(Table1[[#This Row],[Fetal Sex (Male, Female or Unknown)]]="Unknown",Backend!$C$8,"Error"))),"")</f>
        <v/>
      </c>
      <c r="F6955" s="8" t="str">
        <f>IF(Table1[[#This Row],[Is Data Valid]]=TRUE,EXP(0.578+0.332*((Table1[[#This Row],[Gestation (days)]]+0.5)/7)-0.00354*((Table1[[#This Row],[Gestation (days)]]+0.5)/7)^2)*Table1[[#This Row],[BW40_3705]],"")</f>
        <v/>
      </c>
      <c r="G6955" s="2" t="str">
        <f>IF(Table1[[#This Row],[Is Data Valid]]=TRUE,((Table1[[#This Row],[Birthweight (grams)]]/Table1[[#This Row],[BW_GA]])-1)/(Backend!$B$4/100*Table1[[#This Row],[BW40_3705]]),"")</f>
        <v/>
      </c>
      <c r="H6955" s="7" t="str">
        <f>IF(Table1[[#This Row],[Is Data Valid]]=TRUE,((Table1[[#This Row],[Birthweight (grams)]]*0.9/Table1[[#This Row],[BW_GA]])-1)/(Backend!$B$4/100*Table1[[#This Row],[BW40_3705]]),"")</f>
        <v/>
      </c>
      <c r="I6955" s="7" t="str">
        <f>IF(Table1[[#This Row],[Is Data Valid]]=TRUE,((Table1[[#This Row],[Birthweight (grams)]]*1.1/Table1[[#This Row],[BW_GA]])-1)/(Backend!$B$4/100*Table1[[#This Row],[BW40_3705]]),"")</f>
        <v/>
      </c>
      <c r="J6955" s="7" t="str">
        <f>IF(Table1[[#This Row],[Is Data Valid]]=TRUE,_xlfn.NORM.S.DIST(Table1[[#This Row],[Birthweight Z-Score]],TRUE)*100,"")</f>
        <v/>
      </c>
      <c r="K6955" s="7" t="str">
        <f>IF(Table1[[#This Row],[Is Data Valid]]=TRUE,_xlfn.NORM.S.DIST(Table1[[#This Row],[Birthweight Z-Score (BW-10%)]],TRUE)*100,"")</f>
        <v/>
      </c>
      <c r="L6955" s="7" t="str">
        <f>IF(Table1[[#This Row],[Is Data Valid]]=TRUE,_xlfn.NORM.S.DIST(Table1[[#This Row],[Birthweight Z-Score (BW+10%)]],TRUE)*100,"")</f>
        <v/>
      </c>
    </row>
    <row r="6956" spans="1:12" x14ac:dyDescent="0.35">
      <c r="A6956" s="3"/>
      <c r="B6956" s="2"/>
      <c r="C6956" s="2"/>
      <c r="D6956" s="2" t="b">
        <f>IF(AND(NOT(ISBLANK(Table1[[#This Row],[Fetal Sex (Male, Female or Unknown)]])),ISNUMBER(Table1[[#This Row],[Birthweight (grams)]]),ISNUMBER(Table1[[#This Row],[Gestation (days)]])),TRUE,FALSE)</f>
        <v>0</v>
      </c>
      <c r="E6956" s="2" t="str">
        <f>IF(Table1[[#This Row],[Is Data Valid]]=TRUE,IF(Table1[[#This Row],[Fetal Sex (Male, Female or Unknown)]]="Male",Backend!$C$6,IF(Table1[[#This Row],[Fetal Sex (Male, Female or Unknown)]]="Female",Backend!$C$7,IF(Table1[[#This Row],[Fetal Sex (Male, Female or Unknown)]]="Unknown",Backend!$C$8,"Error"))),"")</f>
        <v/>
      </c>
      <c r="F6956" s="8" t="str">
        <f>IF(Table1[[#This Row],[Is Data Valid]]=TRUE,EXP(0.578+0.332*((Table1[[#This Row],[Gestation (days)]]+0.5)/7)-0.00354*((Table1[[#This Row],[Gestation (days)]]+0.5)/7)^2)*Table1[[#This Row],[BW40_3705]],"")</f>
        <v/>
      </c>
      <c r="G6956" s="2" t="str">
        <f>IF(Table1[[#This Row],[Is Data Valid]]=TRUE,((Table1[[#This Row],[Birthweight (grams)]]/Table1[[#This Row],[BW_GA]])-1)/(Backend!$B$4/100*Table1[[#This Row],[BW40_3705]]),"")</f>
        <v/>
      </c>
      <c r="H6956" s="7" t="str">
        <f>IF(Table1[[#This Row],[Is Data Valid]]=TRUE,((Table1[[#This Row],[Birthweight (grams)]]*0.9/Table1[[#This Row],[BW_GA]])-1)/(Backend!$B$4/100*Table1[[#This Row],[BW40_3705]]),"")</f>
        <v/>
      </c>
      <c r="I6956" s="7" t="str">
        <f>IF(Table1[[#This Row],[Is Data Valid]]=TRUE,((Table1[[#This Row],[Birthweight (grams)]]*1.1/Table1[[#This Row],[BW_GA]])-1)/(Backend!$B$4/100*Table1[[#This Row],[BW40_3705]]),"")</f>
        <v/>
      </c>
      <c r="J6956" s="7" t="str">
        <f>IF(Table1[[#This Row],[Is Data Valid]]=TRUE,_xlfn.NORM.S.DIST(Table1[[#This Row],[Birthweight Z-Score]],TRUE)*100,"")</f>
        <v/>
      </c>
      <c r="K6956" s="7" t="str">
        <f>IF(Table1[[#This Row],[Is Data Valid]]=TRUE,_xlfn.NORM.S.DIST(Table1[[#This Row],[Birthweight Z-Score (BW-10%)]],TRUE)*100,"")</f>
        <v/>
      </c>
      <c r="L6956" s="7" t="str">
        <f>IF(Table1[[#This Row],[Is Data Valid]]=TRUE,_xlfn.NORM.S.DIST(Table1[[#This Row],[Birthweight Z-Score (BW+10%)]],TRUE)*100,"")</f>
        <v/>
      </c>
    </row>
    <row r="6957" spans="1:12" x14ac:dyDescent="0.35">
      <c r="A6957" s="3"/>
      <c r="B6957" s="2"/>
      <c r="C6957" s="2"/>
      <c r="D6957" s="2" t="b">
        <f>IF(AND(NOT(ISBLANK(Table1[[#This Row],[Fetal Sex (Male, Female or Unknown)]])),ISNUMBER(Table1[[#This Row],[Birthweight (grams)]]),ISNUMBER(Table1[[#This Row],[Gestation (days)]])),TRUE,FALSE)</f>
        <v>0</v>
      </c>
      <c r="E6957" s="2" t="str">
        <f>IF(Table1[[#This Row],[Is Data Valid]]=TRUE,IF(Table1[[#This Row],[Fetal Sex (Male, Female or Unknown)]]="Male",Backend!$C$6,IF(Table1[[#This Row],[Fetal Sex (Male, Female or Unknown)]]="Female",Backend!$C$7,IF(Table1[[#This Row],[Fetal Sex (Male, Female or Unknown)]]="Unknown",Backend!$C$8,"Error"))),"")</f>
        <v/>
      </c>
      <c r="F6957" s="8" t="str">
        <f>IF(Table1[[#This Row],[Is Data Valid]]=TRUE,EXP(0.578+0.332*((Table1[[#This Row],[Gestation (days)]]+0.5)/7)-0.00354*((Table1[[#This Row],[Gestation (days)]]+0.5)/7)^2)*Table1[[#This Row],[BW40_3705]],"")</f>
        <v/>
      </c>
      <c r="G6957" s="2" t="str">
        <f>IF(Table1[[#This Row],[Is Data Valid]]=TRUE,((Table1[[#This Row],[Birthweight (grams)]]/Table1[[#This Row],[BW_GA]])-1)/(Backend!$B$4/100*Table1[[#This Row],[BW40_3705]]),"")</f>
        <v/>
      </c>
      <c r="H6957" s="7" t="str">
        <f>IF(Table1[[#This Row],[Is Data Valid]]=TRUE,((Table1[[#This Row],[Birthweight (grams)]]*0.9/Table1[[#This Row],[BW_GA]])-1)/(Backend!$B$4/100*Table1[[#This Row],[BW40_3705]]),"")</f>
        <v/>
      </c>
      <c r="I6957" s="7" t="str">
        <f>IF(Table1[[#This Row],[Is Data Valid]]=TRUE,((Table1[[#This Row],[Birthweight (grams)]]*1.1/Table1[[#This Row],[BW_GA]])-1)/(Backend!$B$4/100*Table1[[#This Row],[BW40_3705]]),"")</f>
        <v/>
      </c>
      <c r="J6957" s="7" t="str">
        <f>IF(Table1[[#This Row],[Is Data Valid]]=TRUE,_xlfn.NORM.S.DIST(Table1[[#This Row],[Birthweight Z-Score]],TRUE)*100,"")</f>
        <v/>
      </c>
      <c r="K6957" s="7" t="str">
        <f>IF(Table1[[#This Row],[Is Data Valid]]=TRUE,_xlfn.NORM.S.DIST(Table1[[#This Row],[Birthweight Z-Score (BW-10%)]],TRUE)*100,"")</f>
        <v/>
      </c>
      <c r="L6957" s="7" t="str">
        <f>IF(Table1[[#This Row],[Is Data Valid]]=TRUE,_xlfn.NORM.S.DIST(Table1[[#This Row],[Birthweight Z-Score (BW+10%)]],TRUE)*100,"")</f>
        <v/>
      </c>
    </row>
    <row r="6958" spans="1:12" x14ac:dyDescent="0.35">
      <c r="A6958" s="3"/>
      <c r="B6958" s="2"/>
      <c r="C6958" s="2"/>
      <c r="D6958" s="2" t="b">
        <f>IF(AND(NOT(ISBLANK(Table1[[#This Row],[Fetal Sex (Male, Female or Unknown)]])),ISNUMBER(Table1[[#This Row],[Birthweight (grams)]]),ISNUMBER(Table1[[#This Row],[Gestation (days)]])),TRUE,FALSE)</f>
        <v>0</v>
      </c>
      <c r="E6958" s="2" t="str">
        <f>IF(Table1[[#This Row],[Is Data Valid]]=TRUE,IF(Table1[[#This Row],[Fetal Sex (Male, Female or Unknown)]]="Male",Backend!$C$6,IF(Table1[[#This Row],[Fetal Sex (Male, Female or Unknown)]]="Female",Backend!$C$7,IF(Table1[[#This Row],[Fetal Sex (Male, Female or Unknown)]]="Unknown",Backend!$C$8,"Error"))),"")</f>
        <v/>
      </c>
      <c r="F6958" s="8" t="str">
        <f>IF(Table1[[#This Row],[Is Data Valid]]=TRUE,EXP(0.578+0.332*((Table1[[#This Row],[Gestation (days)]]+0.5)/7)-0.00354*((Table1[[#This Row],[Gestation (days)]]+0.5)/7)^2)*Table1[[#This Row],[BW40_3705]],"")</f>
        <v/>
      </c>
      <c r="G6958" s="2" t="str">
        <f>IF(Table1[[#This Row],[Is Data Valid]]=TRUE,((Table1[[#This Row],[Birthweight (grams)]]/Table1[[#This Row],[BW_GA]])-1)/(Backend!$B$4/100*Table1[[#This Row],[BW40_3705]]),"")</f>
        <v/>
      </c>
      <c r="H6958" s="7" t="str">
        <f>IF(Table1[[#This Row],[Is Data Valid]]=TRUE,((Table1[[#This Row],[Birthweight (grams)]]*0.9/Table1[[#This Row],[BW_GA]])-1)/(Backend!$B$4/100*Table1[[#This Row],[BW40_3705]]),"")</f>
        <v/>
      </c>
      <c r="I6958" s="7" t="str">
        <f>IF(Table1[[#This Row],[Is Data Valid]]=TRUE,((Table1[[#This Row],[Birthweight (grams)]]*1.1/Table1[[#This Row],[BW_GA]])-1)/(Backend!$B$4/100*Table1[[#This Row],[BW40_3705]]),"")</f>
        <v/>
      </c>
      <c r="J6958" s="7" t="str">
        <f>IF(Table1[[#This Row],[Is Data Valid]]=TRUE,_xlfn.NORM.S.DIST(Table1[[#This Row],[Birthweight Z-Score]],TRUE)*100,"")</f>
        <v/>
      </c>
      <c r="K6958" s="7" t="str">
        <f>IF(Table1[[#This Row],[Is Data Valid]]=TRUE,_xlfn.NORM.S.DIST(Table1[[#This Row],[Birthweight Z-Score (BW-10%)]],TRUE)*100,"")</f>
        <v/>
      </c>
      <c r="L6958" s="7" t="str">
        <f>IF(Table1[[#This Row],[Is Data Valid]]=TRUE,_xlfn.NORM.S.DIST(Table1[[#This Row],[Birthweight Z-Score (BW+10%)]],TRUE)*100,"")</f>
        <v/>
      </c>
    </row>
    <row r="6959" spans="1:12" x14ac:dyDescent="0.35">
      <c r="A6959" s="3"/>
      <c r="B6959" s="2"/>
      <c r="C6959" s="2"/>
      <c r="D6959" s="2" t="b">
        <f>IF(AND(NOT(ISBLANK(Table1[[#This Row],[Fetal Sex (Male, Female or Unknown)]])),ISNUMBER(Table1[[#This Row],[Birthweight (grams)]]),ISNUMBER(Table1[[#This Row],[Gestation (days)]])),TRUE,FALSE)</f>
        <v>0</v>
      </c>
      <c r="E6959" s="2" t="str">
        <f>IF(Table1[[#This Row],[Is Data Valid]]=TRUE,IF(Table1[[#This Row],[Fetal Sex (Male, Female or Unknown)]]="Male",Backend!$C$6,IF(Table1[[#This Row],[Fetal Sex (Male, Female or Unknown)]]="Female",Backend!$C$7,IF(Table1[[#This Row],[Fetal Sex (Male, Female or Unknown)]]="Unknown",Backend!$C$8,"Error"))),"")</f>
        <v/>
      </c>
      <c r="F6959" s="8" t="str">
        <f>IF(Table1[[#This Row],[Is Data Valid]]=TRUE,EXP(0.578+0.332*((Table1[[#This Row],[Gestation (days)]]+0.5)/7)-0.00354*((Table1[[#This Row],[Gestation (days)]]+0.5)/7)^2)*Table1[[#This Row],[BW40_3705]],"")</f>
        <v/>
      </c>
      <c r="G6959" s="2" t="str">
        <f>IF(Table1[[#This Row],[Is Data Valid]]=TRUE,((Table1[[#This Row],[Birthweight (grams)]]/Table1[[#This Row],[BW_GA]])-1)/(Backend!$B$4/100*Table1[[#This Row],[BW40_3705]]),"")</f>
        <v/>
      </c>
      <c r="H6959" s="7" t="str">
        <f>IF(Table1[[#This Row],[Is Data Valid]]=TRUE,((Table1[[#This Row],[Birthweight (grams)]]*0.9/Table1[[#This Row],[BW_GA]])-1)/(Backend!$B$4/100*Table1[[#This Row],[BW40_3705]]),"")</f>
        <v/>
      </c>
      <c r="I6959" s="7" t="str">
        <f>IF(Table1[[#This Row],[Is Data Valid]]=TRUE,((Table1[[#This Row],[Birthweight (grams)]]*1.1/Table1[[#This Row],[BW_GA]])-1)/(Backend!$B$4/100*Table1[[#This Row],[BW40_3705]]),"")</f>
        <v/>
      </c>
      <c r="J6959" s="7" t="str">
        <f>IF(Table1[[#This Row],[Is Data Valid]]=TRUE,_xlfn.NORM.S.DIST(Table1[[#This Row],[Birthweight Z-Score]],TRUE)*100,"")</f>
        <v/>
      </c>
      <c r="K6959" s="7" t="str">
        <f>IF(Table1[[#This Row],[Is Data Valid]]=TRUE,_xlfn.NORM.S.DIST(Table1[[#This Row],[Birthweight Z-Score (BW-10%)]],TRUE)*100,"")</f>
        <v/>
      </c>
      <c r="L6959" s="7" t="str">
        <f>IF(Table1[[#This Row],[Is Data Valid]]=TRUE,_xlfn.NORM.S.DIST(Table1[[#This Row],[Birthweight Z-Score (BW+10%)]],TRUE)*100,"")</f>
        <v/>
      </c>
    </row>
    <row r="6960" spans="1:12" x14ac:dyDescent="0.35">
      <c r="A6960" s="3"/>
      <c r="B6960" s="2"/>
      <c r="C6960" s="2"/>
      <c r="D6960" s="2" t="b">
        <f>IF(AND(NOT(ISBLANK(Table1[[#This Row],[Fetal Sex (Male, Female or Unknown)]])),ISNUMBER(Table1[[#This Row],[Birthweight (grams)]]),ISNUMBER(Table1[[#This Row],[Gestation (days)]])),TRUE,FALSE)</f>
        <v>0</v>
      </c>
      <c r="E6960" s="2" t="str">
        <f>IF(Table1[[#This Row],[Is Data Valid]]=TRUE,IF(Table1[[#This Row],[Fetal Sex (Male, Female or Unknown)]]="Male",Backend!$C$6,IF(Table1[[#This Row],[Fetal Sex (Male, Female or Unknown)]]="Female",Backend!$C$7,IF(Table1[[#This Row],[Fetal Sex (Male, Female or Unknown)]]="Unknown",Backend!$C$8,"Error"))),"")</f>
        <v/>
      </c>
      <c r="F6960" s="8" t="str">
        <f>IF(Table1[[#This Row],[Is Data Valid]]=TRUE,EXP(0.578+0.332*((Table1[[#This Row],[Gestation (days)]]+0.5)/7)-0.00354*((Table1[[#This Row],[Gestation (days)]]+0.5)/7)^2)*Table1[[#This Row],[BW40_3705]],"")</f>
        <v/>
      </c>
      <c r="G6960" s="2" t="str">
        <f>IF(Table1[[#This Row],[Is Data Valid]]=TRUE,((Table1[[#This Row],[Birthweight (grams)]]/Table1[[#This Row],[BW_GA]])-1)/(Backend!$B$4/100*Table1[[#This Row],[BW40_3705]]),"")</f>
        <v/>
      </c>
      <c r="H6960" s="7" t="str">
        <f>IF(Table1[[#This Row],[Is Data Valid]]=TRUE,((Table1[[#This Row],[Birthweight (grams)]]*0.9/Table1[[#This Row],[BW_GA]])-1)/(Backend!$B$4/100*Table1[[#This Row],[BW40_3705]]),"")</f>
        <v/>
      </c>
      <c r="I6960" s="7" t="str">
        <f>IF(Table1[[#This Row],[Is Data Valid]]=TRUE,((Table1[[#This Row],[Birthweight (grams)]]*1.1/Table1[[#This Row],[BW_GA]])-1)/(Backend!$B$4/100*Table1[[#This Row],[BW40_3705]]),"")</f>
        <v/>
      </c>
      <c r="J6960" s="7" t="str">
        <f>IF(Table1[[#This Row],[Is Data Valid]]=TRUE,_xlfn.NORM.S.DIST(Table1[[#This Row],[Birthweight Z-Score]],TRUE)*100,"")</f>
        <v/>
      </c>
      <c r="K6960" s="7" t="str">
        <f>IF(Table1[[#This Row],[Is Data Valid]]=TRUE,_xlfn.NORM.S.DIST(Table1[[#This Row],[Birthweight Z-Score (BW-10%)]],TRUE)*100,"")</f>
        <v/>
      </c>
      <c r="L6960" s="7" t="str">
        <f>IF(Table1[[#This Row],[Is Data Valid]]=TRUE,_xlfn.NORM.S.DIST(Table1[[#This Row],[Birthweight Z-Score (BW+10%)]],TRUE)*100,"")</f>
        <v/>
      </c>
    </row>
    <row r="6961" spans="1:12" x14ac:dyDescent="0.35">
      <c r="A6961" s="3"/>
      <c r="B6961" s="2"/>
      <c r="C6961" s="2"/>
      <c r="D6961" s="2" t="b">
        <f>IF(AND(NOT(ISBLANK(Table1[[#This Row],[Fetal Sex (Male, Female or Unknown)]])),ISNUMBER(Table1[[#This Row],[Birthweight (grams)]]),ISNUMBER(Table1[[#This Row],[Gestation (days)]])),TRUE,FALSE)</f>
        <v>0</v>
      </c>
      <c r="E6961" s="2" t="str">
        <f>IF(Table1[[#This Row],[Is Data Valid]]=TRUE,IF(Table1[[#This Row],[Fetal Sex (Male, Female or Unknown)]]="Male",Backend!$C$6,IF(Table1[[#This Row],[Fetal Sex (Male, Female or Unknown)]]="Female",Backend!$C$7,IF(Table1[[#This Row],[Fetal Sex (Male, Female or Unknown)]]="Unknown",Backend!$C$8,"Error"))),"")</f>
        <v/>
      </c>
      <c r="F6961" s="8" t="str">
        <f>IF(Table1[[#This Row],[Is Data Valid]]=TRUE,EXP(0.578+0.332*((Table1[[#This Row],[Gestation (days)]]+0.5)/7)-0.00354*((Table1[[#This Row],[Gestation (days)]]+0.5)/7)^2)*Table1[[#This Row],[BW40_3705]],"")</f>
        <v/>
      </c>
      <c r="G6961" s="2" t="str">
        <f>IF(Table1[[#This Row],[Is Data Valid]]=TRUE,((Table1[[#This Row],[Birthweight (grams)]]/Table1[[#This Row],[BW_GA]])-1)/(Backend!$B$4/100*Table1[[#This Row],[BW40_3705]]),"")</f>
        <v/>
      </c>
      <c r="H6961" s="7" t="str">
        <f>IF(Table1[[#This Row],[Is Data Valid]]=TRUE,((Table1[[#This Row],[Birthweight (grams)]]*0.9/Table1[[#This Row],[BW_GA]])-1)/(Backend!$B$4/100*Table1[[#This Row],[BW40_3705]]),"")</f>
        <v/>
      </c>
      <c r="I6961" s="7" t="str">
        <f>IF(Table1[[#This Row],[Is Data Valid]]=TRUE,((Table1[[#This Row],[Birthweight (grams)]]*1.1/Table1[[#This Row],[BW_GA]])-1)/(Backend!$B$4/100*Table1[[#This Row],[BW40_3705]]),"")</f>
        <v/>
      </c>
      <c r="J6961" s="7" t="str">
        <f>IF(Table1[[#This Row],[Is Data Valid]]=TRUE,_xlfn.NORM.S.DIST(Table1[[#This Row],[Birthweight Z-Score]],TRUE)*100,"")</f>
        <v/>
      </c>
      <c r="K6961" s="7" t="str">
        <f>IF(Table1[[#This Row],[Is Data Valid]]=TRUE,_xlfn.NORM.S.DIST(Table1[[#This Row],[Birthweight Z-Score (BW-10%)]],TRUE)*100,"")</f>
        <v/>
      </c>
      <c r="L6961" s="7" t="str">
        <f>IF(Table1[[#This Row],[Is Data Valid]]=TRUE,_xlfn.NORM.S.DIST(Table1[[#This Row],[Birthweight Z-Score (BW+10%)]],TRUE)*100,"")</f>
        <v/>
      </c>
    </row>
    <row r="6962" spans="1:12" x14ac:dyDescent="0.35">
      <c r="A6962" s="3"/>
      <c r="B6962" s="2"/>
      <c r="C6962" s="2"/>
      <c r="D6962" s="2" t="b">
        <f>IF(AND(NOT(ISBLANK(Table1[[#This Row],[Fetal Sex (Male, Female or Unknown)]])),ISNUMBER(Table1[[#This Row],[Birthweight (grams)]]),ISNUMBER(Table1[[#This Row],[Gestation (days)]])),TRUE,FALSE)</f>
        <v>0</v>
      </c>
      <c r="E6962" s="2" t="str">
        <f>IF(Table1[[#This Row],[Is Data Valid]]=TRUE,IF(Table1[[#This Row],[Fetal Sex (Male, Female or Unknown)]]="Male",Backend!$C$6,IF(Table1[[#This Row],[Fetal Sex (Male, Female or Unknown)]]="Female",Backend!$C$7,IF(Table1[[#This Row],[Fetal Sex (Male, Female or Unknown)]]="Unknown",Backend!$C$8,"Error"))),"")</f>
        <v/>
      </c>
      <c r="F6962" s="8" t="str">
        <f>IF(Table1[[#This Row],[Is Data Valid]]=TRUE,EXP(0.578+0.332*((Table1[[#This Row],[Gestation (days)]]+0.5)/7)-0.00354*((Table1[[#This Row],[Gestation (days)]]+0.5)/7)^2)*Table1[[#This Row],[BW40_3705]],"")</f>
        <v/>
      </c>
      <c r="G6962" s="2" t="str">
        <f>IF(Table1[[#This Row],[Is Data Valid]]=TRUE,((Table1[[#This Row],[Birthweight (grams)]]/Table1[[#This Row],[BW_GA]])-1)/(Backend!$B$4/100*Table1[[#This Row],[BW40_3705]]),"")</f>
        <v/>
      </c>
      <c r="H6962" s="7" t="str">
        <f>IF(Table1[[#This Row],[Is Data Valid]]=TRUE,((Table1[[#This Row],[Birthweight (grams)]]*0.9/Table1[[#This Row],[BW_GA]])-1)/(Backend!$B$4/100*Table1[[#This Row],[BW40_3705]]),"")</f>
        <v/>
      </c>
      <c r="I6962" s="7" t="str">
        <f>IF(Table1[[#This Row],[Is Data Valid]]=TRUE,((Table1[[#This Row],[Birthweight (grams)]]*1.1/Table1[[#This Row],[BW_GA]])-1)/(Backend!$B$4/100*Table1[[#This Row],[BW40_3705]]),"")</f>
        <v/>
      </c>
      <c r="J6962" s="7" t="str">
        <f>IF(Table1[[#This Row],[Is Data Valid]]=TRUE,_xlfn.NORM.S.DIST(Table1[[#This Row],[Birthweight Z-Score]],TRUE)*100,"")</f>
        <v/>
      </c>
      <c r="K6962" s="7" t="str">
        <f>IF(Table1[[#This Row],[Is Data Valid]]=TRUE,_xlfn.NORM.S.DIST(Table1[[#This Row],[Birthweight Z-Score (BW-10%)]],TRUE)*100,"")</f>
        <v/>
      </c>
      <c r="L6962" s="7" t="str">
        <f>IF(Table1[[#This Row],[Is Data Valid]]=TRUE,_xlfn.NORM.S.DIST(Table1[[#This Row],[Birthweight Z-Score (BW+10%)]],TRUE)*100,"")</f>
        <v/>
      </c>
    </row>
    <row r="6963" spans="1:12" x14ac:dyDescent="0.35">
      <c r="A6963" s="3"/>
      <c r="B6963" s="2"/>
      <c r="C6963" s="2"/>
      <c r="D6963" s="2" t="b">
        <f>IF(AND(NOT(ISBLANK(Table1[[#This Row],[Fetal Sex (Male, Female or Unknown)]])),ISNUMBER(Table1[[#This Row],[Birthweight (grams)]]),ISNUMBER(Table1[[#This Row],[Gestation (days)]])),TRUE,FALSE)</f>
        <v>0</v>
      </c>
      <c r="E6963" s="2" t="str">
        <f>IF(Table1[[#This Row],[Is Data Valid]]=TRUE,IF(Table1[[#This Row],[Fetal Sex (Male, Female or Unknown)]]="Male",Backend!$C$6,IF(Table1[[#This Row],[Fetal Sex (Male, Female or Unknown)]]="Female",Backend!$C$7,IF(Table1[[#This Row],[Fetal Sex (Male, Female or Unknown)]]="Unknown",Backend!$C$8,"Error"))),"")</f>
        <v/>
      </c>
      <c r="F6963" s="8" t="str">
        <f>IF(Table1[[#This Row],[Is Data Valid]]=TRUE,EXP(0.578+0.332*((Table1[[#This Row],[Gestation (days)]]+0.5)/7)-0.00354*((Table1[[#This Row],[Gestation (days)]]+0.5)/7)^2)*Table1[[#This Row],[BW40_3705]],"")</f>
        <v/>
      </c>
      <c r="G6963" s="2" t="str">
        <f>IF(Table1[[#This Row],[Is Data Valid]]=TRUE,((Table1[[#This Row],[Birthweight (grams)]]/Table1[[#This Row],[BW_GA]])-1)/(Backend!$B$4/100*Table1[[#This Row],[BW40_3705]]),"")</f>
        <v/>
      </c>
      <c r="H6963" s="7" t="str">
        <f>IF(Table1[[#This Row],[Is Data Valid]]=TRUE,((Table1[[#This Row],[Birthweight (grams)]]*0.9/Table1[[#This Row],[BW_GA]])-1)/(Backend!$B$4/100*Table1[[#This Row],[BW40_3705]]),"")</f>
        <v/>
      </c>
      <c r="I6963" s="7" t="str">
        <f>IF(Table1[[#This Row],[Is Data Valid]]=TRUE,((Table1[[#This Row],[Birthweight (grams)]]*1.1/Table1[[#This Row],[BW_GA]])-1)/(Backend!$B$4/100*Table1[[#This Row],[BW40_3705]]),"")</f>
        <v/>
      </c>
      <c r="J6963" s="7" t="str">
        <f>IF(Table1[[#This Row],[Is Data Valid]]=TRUE,_xlfn.NORM.S.DIST(Table1[[#This Row],[Birthweight Z-Score]],TRUE)*100,"")</f>
        <v/>
      </c>
      <c r="K6963" s="7" t="str">
        <f>IF(Table1[[#This Row],[Is Data Valid]]=TRUE,_xlfn.NORM.S.DIST(Table1[[#This Row],[Birthweight Z-Score (BW-10%)]],TRUE)*100,"")</f>
        <v/>
      </c>
      <c r="L6963" s="7" t="str">
        <f>IF(Table1[[#This Row],[Is Data Valid]]=TRUE,_xlfn.NORM.S.DIST(Table1[[#This Row],[Birthweight Z-Score (BW+10%)]],TRUE)*100,"")</f>
        <v/>
      </c>
    </row>
    <row r="6964" spans="1:12" x14ac:dyDescent="0.35">
      <c r="A6964" s="3"/>
      <c r="B6964" s="2"/>
      <c r="C6964" s="2"/>
      <c r="D6964" s="2" t="b">
        <f>IF(AND(NOT(ISBLANK(Table1[[#This Row],[Fetal Sex (Male, Female or Unknown)]])),ISNUMBER(Table1[[#This Row],[Birthweight (grams)]]),ISNUMBER(Table1[[#This Row],[Gestation (days)]])),TRUE,FALSE)</f>
        <v>0</v>
      </c>
      <c r="E6964" s="2" t="str">
        <f>IF(Table1[[#This Row],[Is Data Valid]]=TRUE,IF(Table1[[#This Row],[Fetal Sex (Male, Female or Unknown)]]="Male",Backend!$C$6,IF(Table1[[#This Row],[Fetal Sex (Male, Female or Unknown)]]="Female",Backend!$C$7,IF(Table1[[#This Row],[Fetal Sex (Male, Female or Unknown)]]="Unknown",Backend!$C$8,"Error"))),"")</f>
        <v/>
      </c>
      <c r="F6964" s="8" t="str">
        <f>IF(Table1[[#This Row],[Is Data Valid]]=TRUE,EXP(0.578+0.332*((Table1[[#This Row],[Gestation (days)]]+0.5)/7)-0.00354*((Table1[[#This Row],[Gestation (days)]]+0.5)/7)^2)*Table1[[#This Row],[BW40_3705]],"")</f>
        <v/>
      </c>
      <c r="G6964" s="2" t="str">
        <f>IF(Table1[[#This Row],[Is Data Valid]]=TRUE,((Table1[[#This Row],[Birthweight (grams)]]/Table1[[#This Row],[BW_GA]])-1)/(Backend!$B$4/100*Table1[[#This Row],[BW40_3705]]),"")</f>
        <v/>
      </c>
      <c r="H6964" s="7" t="str">
        <f>IF(Table1[[#This Row],[Is Data Valid]]=TRUE,((Table1[[#This Row],[Birthweight (grams)]]*0.9/Table1[[#This Row],[BW_GA]])-1)/(Backend!$B$4/100*Table1[[#This Row],[BW40_3705]]),"")</f>
        <v/>
      </c>
      <c r="I6964" s="7" t="str">
        <f>IF(Table1[[#This Row],[Is Data Valid]]=TRUE,((Table1[[#This Row],[Birthweight (grams)]]*1.1/Table1[[#This Row],[BW_GA]])-1)/(Backend!$B$4/100*Table1[[#This Row],[BW40_3705]]),"")</f>
        <v/>
      </c>
      <c r="J6964" s="7" t="str">
        <f>IF(Table1[[#This Row],[Is Data Valid]]=TRUE,_xlfn.NORM.S.DIST(Table1[[#This Row],[Birthweight Z-Score]],TRUE)*100,"")</f>
        <v/>
      </c>
      <c r="K6964" s="7" t="str">
        <f>IF(Table1[[#This Row],[Is Data Valid]]=TRUE,_xlfn.NORM.S.DIST(Table1[[#This Row],[Birthweight Z-Score (BW-10%)]],TRUE)*100,"")</f>
        <v/>
      </c>
      <c r="L6964" s="7" t="str">
        <f>IF(Table1[[#This Row],[Is Data Valid]]=TRUE,_xlfn.NORM.S.DIST(Table1[[#This Row],[Birthweight Z-Score (BW+10%)]],TRUE)*100,"")</f>
        <v/>
      </c>
    </row>
    <row r="6965" spans="1:12" x14ac:dyDescent="0.35">
      <c r="A6965" s="3"/>
      <c r="B6965" s="2"/>
      <c r="C6965" s="2"/>
      <c r="D6965" s="2" t="b">
        <f>IF(AND(NOT(ISBLANK(Table1[[#This Row],[Fetal Sex (Male, Female or Unknown)]])),ISNUMBER(Table1[[#This Row],[Birthweight (grams)]]),ISNUMBER(Table1[[#This Row],[Gestation (days)]])),TRUE,FALSE)</f>
        <v>0</v>
      </c>
      <c r="E6965" s="2" t="str">
        <f>IF(Table1[[#This Row],[Is Data Valid]]=TRUE,IF(Table1[[#This Row],[Fetal Sex (Male, Female or Unknown)]]="Male",Backend!$C$6,IF(Table1[[#This Row],[Fetal Sex (Male, Female or Unknown)]]="Female",Backend!$C$7,IF(Table1[[#This Row],[Fetal Sex (Male, Female or Unknown)]]="Unknown",Backend!$C$8,"Error"))),"")</f>
        <v/>
      </c>
      <c r="F6965" s="8" t="str">
        <f>IF(Table1[[#This Row],[Is Data Valid]]=TRUE,EXP(0.578+0.332*((Table1[[#This Row],[Gestation (days)]]+0.5)/7)-0.00354*((Table1[[#This Row],[Gestation (days)]]+0.5)/7)^2)*Table1[[#This Row],[BW40_3705]],"")</f>
        <v/>
      </c>
      <c r="G6965" s="2" t="str">
        <f>IF(Table1[[#This Row],[Is Data Valid]]=TRUE,((Table1[[#This Row],[Birthweight (grams)]]/Table1[[#This Row],[BW_GA]])-1)/(Backend!$B$4/100*Table1[[#This Row],[BW40_3705]]),"")</f>
        <v/>
      </c>
      <c r="H6965" s="7" t="str">
        <f>IF(Table1[[#This Row],[Is Data Valid]]=TRUE,((Table1[[#This Row],[Birthweight (grams)]]*0.9/Table1[[#This Row],[BW_GA]])-1)/(Backend!$B$4/100*Table1[[#This Row],[BW40_3705]]),"")</f>
        <v/>
      </c>
      <c r="I6965" s="7" t="str">
        <f>IF(Table1[[#This Row],[Is Data Valid]]=TRUE,((Table1[[#This Row],[Birthweight (grams)]]*1.1/Table1[[#This Row],[BW_GA]])-1)/(Backend!$B$4/100*Table1[[#This Row],[BW40_3705]]),"")</f>
        <v/>
      </c>
      <c r="J6965" s="7" t="str">
        <f>IF(Table1[[#This Row],[Is Data Valid]]=TRUE,_xlfn.NORM.S.DIST(Table1[[#This Row],[Birthweight Z-Score]],TRUE)*100,"")</f>
        <v/>
      </c>
      <c r="K6965" s="7" t="str">
        <f>IF(Table1[[#This Row],[Is Data Valid]]=TRUE,_xlfn.NORM.S.DIST(Table1[[#This Row],[Birthweight Z-Score (BW-10%)]],TRUE)*100,"")</f>
        <v/>
      </c>
      <c r="L6965" s="7" t="str">
        <f>IF(Table1[[#This Row],[Is Data Valid]]=TRUE,_xlfn.NORM.S.DIST(Table1[[#This Row],[Birthweight Z-Score (BW+10%)]],TRUE)*100,"")</f>
        <v/>
      </c>
    </row>
    <row r="6966" spans="1:12" x14ac:dyDescent="0.35">
      <c r="A6966" s="3"/>
      <c r="B6966" s="2"/>
      <c r="C6966" s="2"/>
      <c r="D6966" s="2" t="b">
        <f>IF(AND(NOT(ISBLANK(Table1[[#This Row],[Fetal Sex (Male, Female or Unknown)]])),ISNUMBER(Table1[[#This Row],[Birthweight (grams)]]),ISNUMBER(Table1[[#This Row],[Gestation (days)]])),TRUE,FALSE)</f>
        <v>0</v>
      </c>
      <c r="E6966" s="2" t="str">
        <f>IF(Table1[[#This Row],[Is Data Valid]]=TRUE,IF(Table1[[#This Row],[Fetal Sex (Male, Female or Unknown)]]="Male",Backend!$C$6,IF(Table1[[#This Row],[Fetal Sex (Male, Female or Unknown)]]="Female",Backend!$C$7,IF(Table1[[#This Row],[Fetal Sex (Male, Female or Unknown)]]="Unknown",Backend!$C$8,"Error"))),"")</f>
        <v/>
      </c>
      <c r="F6966" s="8" t="str">
        <f>IF(Table1[[#This Row],[Is Data Valid]]=TRUE,EXP(0.578+0.332*((Table1[[#This Row],[Gestation (days)]]+0.5)/7)-0.00354*((Table1[[#This Row],[Gestation (days)]]+0.5)/7)^2)*Table1[[#This Row],[BW40_3705]],"")</f>
        <v/>
      </c>
      <c r="G6966" s="2" t="str">
        <f>IF(Table1[[#This Row],[Is Data Valid]]=TRUE,((Table1[[#This Row],[Birthweight (grams)]]/Table1[[#This Row],[BW_GA]])-1)/(Backend!$B$4/100*Table1[[#This Row],[BW40_3705]]),"")</f>
        <v/>
      </c>
      <c r="H6966" s="7" t="str">
        <f>IF(Table1[[#This Row],[Is Data Valid]]=TRUE,((Table1[[#This Row],[Birthweight (grams)]]*0.9/Table1[[#This Row],[BW_GA]])-1)/(Backend!$B$4/100*Table1[[#This Row],[BW40_3705]]),"")</f>
        <v/>
      </c>
      <c r="I6966" s="7" t="str">
        <f>IF(Table1[[#This Row],[Is Data Valid]]=TRUE,((Table1[[#This Row],[Birthweight (grams)]]*1.1/Table1[[#This Row],[BW_GA]])-1)/(Backend!$B$4/100*Table1[[#This Row],[BW40_3705]]),"")</f>
        <v/>
      </c>
      <c r="J6966" s="7" t="str">
        <f>IF(Table1[[#This Row],[Is Data Valid]]=TRUE,_xlfn.NORM.S.DIST(Table1[[#This Row],[Birthweight Z-Score]],TRUE)*100,"")</f>
        <v/>
      </c>
      <c r="K6966" s="7" t="str">
        <f>IF(Table1[[#This Row],[Is Data Valid]]=TRUE,_xlfn.NORM.S.DIST(Table1[[#This Row],[Birthweight Z-Score (BW-10%)]],TRUE)*100,"")</f>
        <v/>
      </c>
      <c r="L6966" s="7" t="str">
        <f>IF(Table1[[#This Row],[Is Data Valid]]=TRUE,_xlfn.NORM.S.DIST(Table1[[#This Row],[Birthweight Z-Score (BW+10%)]],TRUE)*100,"")</f>
        <v/>
      </c>
    </row>
    <row r="6967" spans="1:12" x14ac:dyDescent="0.35">
      <c r="A6967" s="3"/>
      <c r="B6967" s="2"/>
      <c r="C6967" s="2"/>
      <c r="D6967" s="2" t="b">
        <f>IF(AND(NOT(ISBLANK(Table1[[#This Row],[Fetal Sex (Male, Female or Unknown)]])),ISNUMBER(Table1[[#This Row],[Birthweight (grams)]]),ISNUMBER(Table1[[#This Row],[Gestation (days)]])),TRUE,FALSE)</f>
        <v>0</v>
      </c>
      <c r="E6967" s="2" t="str">
        <f>IF(Table1[[#This Row],[Is Data Valid]]=TRUE,IF(Table1[[#This Row],[Fetal Sex (Male, Female or Unknown)]]="Male",Backend!$C$6,IF(Table1[[#This Row],[Fetal Sex (Male, Female or Unknown)]]="Female",Backend!$C$7,IF(Table1[[#This Row],[Fetal Sex (Male, Female or Unknown)]]="Unknown",Backend!$C$8,"Error"))),"")</f>
        <v/>
      </c>
      <c r="F6967" s="8" t="str">
        <f>IF(Table1[[#This Row],[Is Data Valid]]=TRUE,EXP(0.578+0.332*((Table1[[#This Row],[Gestation (days)]]+0.5)/7)-0.00354*((Table1[[#This Row],[Gestation (days)]]+0.5)/7)^2)*Table1[[#This Row],[BW40_3705]],"")</f>
        <v/>
      </c>
      <c r="G6967" s="2" t="str">
        <f>IF(Table1[[#This Row],[Is Data Valid]]=TRUE,((Table1[[#This Row],[Birthweight (grams)]]/Table1[[#This Row],[BW_GA]])-1)/(Backend!$B$4/100*Table1[[#This Row],[BW40_3705]]),"")</f>
        <v/>
      </c>
      <c r="H6967" s="7" t="str">
        <f>IF(Table1[[#This Row],[Is Data Valid]]=TRUE,((Table1[[#This Row],[Birthweight (grams)]]*0.9/Table1[[#This Row],[BW_GA]])-1)/(Backend!$B$4/100*Table1[[#This Row],[BW40_3705]]),"")</f>
        <v/>
      </c>
      <c r="I6967" s="7" t="str">
        <f>IF(Table1[[#This Row],[Is Data Valid]]=TRUE,((Table1[[#This Row],[Birthweight (grams)]]*1.1/Table1[[#This Row],[BW_GA]])-1)/(Backend!$B$4/100*Table1[[#This Row],[BW40_3705]]),"")</f>
        <v/>
      </c>
      <c r="J6967" s="7" t="str">
        <f>IF(Table1[[#This Row],[Is Data Valid]]=TRUE,_xlfn.NORM.S.DIST(Table1[[#This Row],[Birthweight Z-Score]],TRUE)*100,"")</f>
        <v/>
      </c>
      <c r="K6967" s="7" t="str">
        <f>IF(Table1[[#This Row],[Is Data Valid]]=TRUE,_xlfn.NORM.S.DIST(Table1[[#This Row],[Birthweight Z-Score (BW-10%)]],TRUE)*100,"")</f>
        <v/>
      </c>
      <c r="L6967" s="7" t="str">
        <f>IF(Table1[[#This Row],[Is Data Valid]]=TRUE,_xlfn.NORM.S.DIST(Table1[[#This Row],[Birthweight Z-Score (BW+10%)]],TRUE)*100,"")</f>
        <v/>
      </c>
    </row>
    <row r="6968" spans="1:12" x14ac:dyDescent="0.35">
      <c r="A6968" s="3"/>
      <c r="B6968" s="2"/>
      <c r="C6968" s="2"/>
      <c r="D6968" s="2" t="b">
        <f>IF(AND(NOT(ISBLANK(Table1[[#This Row],[Fetal Sex (Male, Female or Unknown)]])),ISNUMBER(Table1[[#This Row],[Birthweight (grams)]]),ISNUMBER(Table1[[#This Row],[Gestation (days)]])),TRUE,FALSE)</f>
        <v>0</v>
      </c>
      <c r="E6968" s="2" t="str">
        <f>IF(Table1[[#This Row],[Is Data Valid]]=TRUE,IF(Table1[[#This Row],[Fetal Sex (Male, Female or Unknown)]]="Male",Backend!$C$6,IF(Table1[[#This Row],[Fetal Sex (Male, Female or Unknown)]]="Female",Backend!$C$7,IF(Table1[[#This Row],[Fetal Sex (Male, Female or Unknown)]]="Unknown",Backend!$C$8,"Error"))),"")</f>
        <v/>
      </c>
      <c r="F6968" s="8" t="str">
        <f>IF(Table1[[#This Row],[Is Data Valid]]=TRUE,EXP(0.578+0.332*((Table1[[#This Row],[Gestation (days)]]+0.5)/7)-0.00354*((Table1[[#This Row],[Gestation (days)]]+0.5)/7)^2)*Table1[[#This Row],[BW40_3705]],"")</f>
        <v/>
      </c>
      <c r="G6968" s="2" t="str">
        <f>IF(Table1[[#This Row],[Is Data Valid]]=TRUE,((Table1[[#This Row],[Birthweight (grams)]]/Table1[[#This Row],[BW_GA]])-1)/(Backend!$B$4/100*Table1[[#This Row],[BW40_3705]]),"")</f>
        <v/>
      </c>
      <c r="H6968" s="7" t="str">
        <f>IF(Table1[[#This Row],[Is Data Valid]]=TRUE,((Table1[[#This Row],[Birthweight (grams)]]*0.9/Table1[[#This Row],[BW_GA]])-1)/(Backend!$B$4/100*Table1[[#This Row],[BW40_3705]]),"")</f>
        <v/>
      </c>
      <c r="I6968" s="7" t="str">
        <f>IF(Table1[[#This Row],[Is Data Valid]]=TRUE,((Table1[[#This Row],[Birthweight (grams)]]*1.1/Table1[[#This Row],[BW_GA]])-1)/(Backend!$B$4/100*Table1[[#This Row],[BW40_3705]]),"")</f>
        <v/>
      </c>
      <c r="J6968" s="7" t="str">
        <f>IF(Table1[[#This Row],[Is Data Valid]]=TRUE,_xlfn.NORM.S.DIST(Table1[[#This Row],[Birthweight Z-Score]],TRUE)*100,"")</f>
        <v/>
      </c>
      <c r="K6968" s="7" t="str">
        <f>IF(Table1[[#This Row],[Is Data Valid]]=TRUE,_xlfn.NORM.S.DIST(Table1[[#This Row],[Birthweight Z-Score (BW-10%)]],TRUE)*100,"")</f>
        <v/>
      </c>
      <c r="L6968" s="7" t="str">
        <f>IF(Table1[[#This Row],[Is Data Valid]]=TRUE,_xlfn.NORM.S.DIST(Table1[[#This Row],[Birthweight Z-Score (BW+10%)]],TRUE)*100,"")</f>
        <v/>
      </c>
    </row>
    <row r="6969" spans="1:12" x14ac:dyDescent="0.35">
      <c r="A6969" s="3"/>
      <c r="B6969" s="2"/>
      <c r="C6969" s="2"/>
      <c r="D6969" s="2" t="b">
        <f>IF(AND(NOT(ISBLANK(Table1[[#This Row],[Fetal Sex (Male, Female or Unknown)]])),ISNUMBER(Table1[[#This Row],[Birthweight (grams)]]),ISNUMBER(Table1[[#This Row],[Gestation (days)]])),TRUE,FALSE)</f>
        <v>0</v>
      </c>
      <c r="E6969" s="2" t="str">
        <f>IF(Table1[[#This Row],[Is Data Valid]]=TRUE,IF(Table1[[#This Row],[Fetal Sex (Male, Female or Unknown)]]="Male",Backend!$C$6,IF(Table1[[#This Row],[Fetal Sex (Male, Female or Unknown)]]="Female",Backend!$C$7,IF(Table1[[#This Row],[Fetal Sex (Male, Female or Unknown)]]="Unknown",Backend!$C$8,"Error"))),"")</f>
        <v/>
      </c>
      <c r="F6969" s="8" t="str">
        <f>IF(Table1[[#This Row],[Is Data Valid]]=TRUE,EXP(0.578+0.332*((Table1[[#This Row],[Gestation (days)]]+0.5)/7)-0.00354*((Table1[[#This Row],[Gestation (days)]]+0.5)/7)^2)*Table1[[#This Row],[BW40_3705]],"")</f>
        <v/>
      </c>
      <c r="G6969" s="2" t="str">
        <f>IF(Table1[[#This Row],[Is Data Valid]]=TRUE,((Table1[[#This Row],[Birthweight (grams)]]/Table1[[#This Row],[BW_GA]])-1)/(Backend!$B$4/100*Table1[[#This Row],[BW40_3705]]),"")</f>
        <v/>
      </c>
      <c r="H6969" s="7" t="str">
        <f>IF(Table1[[#This Row],[Is Data Valid]]=TRUE,((Table1[[#This Row],[Birthweight (grams)]]*0.9/Table1[[#This Row],[BW_GA]])-1)/(Backend!$B$4/100*Table1[[#This Row],[BW40_3705]]),"")</f>
        <v/>
      </c>
      <c r="I6969" s="7" t="str">
        <f>IF(Table1[[#This Row],[Is Data Valid]]=TRUE,((Table1[[#This Row],[Birthweight (grams)]]*1.1/Table1[[#This Row],[BW_GA]])-1)/(Backend!$B$4/100*Table1[[#This Row],[BW40_3705]]),"")</f>
        <v/>
      </c>
      <c r="J6969" s="7" t="str">
        <f>IF(Table1[[#This Row],[Is Data Valid]]=TRUE,_xlfn.NORM.S.DIST(Table1[[#This Row],[Birthweight Z-Score]],TRUE)*100,"")</f>
        <v/>
      </c>
      <c r="K6969" s="7" t="str">
        <f>IF(Table1[[#This Row],[Is Data Valid]]=TRUE,_xlfn.NORM.S.DIST(Table1[[#This Row],[Birthweight Z-Score (BW-10%)]],TRUE)*100,"")</f>
        <v/>
      </c>
      <c r="L6969" s="7" t="str">
        <f>IF(Table1[[#This Row],[Is Data Valid]]=TRUE,_xlfn.NORM.S.DIST(Table1[[#This Row],[Birthweight Z-Score (BW+10%)]],TRUE)*100,"")</f>
        <v/>
      </c>
    </row>
    <row r="6970" spans="1:12" x14ac:dyDescent="0.35">
      <c r="A6970" s="3"/>
      <c r="B6970" s="2"/>
      <c r="C6970" s="2"/>
      <c r="D6970" s="2" t="b">
        <f>IF(AND(NOT(ISBLANK(Table1[[#This Row],[Fetal Sex (Male, Female or Unknown)]])),ISNUMBER(Table1[[#This Row],[Birthweight (grams)]]),ISNUMBER(Table1[[#This Row],[Gestation (days)]])),TRUE,FALSE)</f>
        <v>0</v>
      </c>
      <c r="E6970" s="2" t="str">
        <f>IF(Table1[[#This Row],[Is Data Valid]]=TRUE,IF(Table1[[#This Row],[Fetal Sex (Male, Female or Unknown)]]="Male",Backend!$C$6,IF(Table1[[#This Row],[Fetal Sex (Male, Female or Unknown)]]="Female",Backend!$C$7,IF(Table1[[#This Row],[Fetal Sex (Male, Female or Unknown)]]="Unknown",Backend!$C$8,"Error"))),"")</f>
        <v/>
      </c>
      <c r="F6970" s="8" t="str">
        <f>IF(Table1[[#This Row],[Is Data Valid]]=TRUE,EXP(0.578+0.332*((Table1[[#This Row],[Gestation (days)]]+0.5)/7)-0.00354*((Table1[[#This Row],[Gestation (days)]]+0.5)/7)^2)*Table1[[#This Row],[BW40_3705]],"")</f>
        <v/>
      </c>
      <c r="G6970" s="2" t="str">
        <f>IF(Table1[[#This Row],[Is Data Valid]]=TRUE,((Table1[[#This Row],[Birthweight (grams)]]/Table1[[#This Row],[BW_GA]])-1)/(Backend!$B$4/100*Table1[[#This Row],[BW40_3705]]),"")</f>
        <v/>
      </c>
      <c r="H6970" s="7" t="str">
        <f>IF(Table1[[#This Row],[Is Data Valid]]=TRUE,((Table1[[#This Row],[Birthweight (grams)]]*0.9/Table1[[#This Row],[BW_GA]])-1)/(Backend!$B$4/100*Table1[[#This Row],[BW40_3705]]),"")</f>
        <v/>
      </c>
      <c r="I6970" s="7" t="str">
        <f>IF(Table1[[#This Row],[Is Data Valid]]=TRUE,((Table1[[#This Row],[Birthweight (grams)]]*1.1/Table1[[#This Row],[BW_GA]])-1)/(Backend!$B$4/100*Table1[[#This Row],[BW40_3705]]),"")</f>
        <v/>
      </c>
      <c r="J6970" s="7" t="str">
        <f>IF(Table1[[#This Row],[Is Data Valid]]=TRUE,_xlfn.NORM.S.DIST(Table1[[#This Row],[Birthweight Z-Score]],TRUE)*100,"")</f>
        <v/>
      </c>
      <c r="K6970" s="7" t="str">
        <f>IF(Table1[[#This Row],[Is Data Valid]]=TRUE,_xlfn.NORM.S.DIST(Table1[[#This Row],[Birthweight Z-Score (BW-10%)]],TRUE)*100,"")</f>
        <v/>
      </c>
      <c r="L6970" s="7" t="str">
        <f>IF(Table1[[#This Row],[Is Data Valid]]=TRUE,_xlfn.NORM.S.DIST(Table1[[#This Row],[Birthweight Z-Score (BW+10%)]],TRUE)*100,"")</f>
        <v/>
      </c>
    </row>
    <row r="6971" spans="1:12" x14ac:dyDescent="0.35">
      <c r="A6971" s="3"/>
      <c r="B6971" s="2"/>
      <c r="C6971" s="2"/>
      <c r="D6971" s="2" t="b">
        <f>IF(AND(NOT(ISBLANK(Table1[[#This Row],[Fetal Sex (Male, Female or Unknown)]])),ISNUMBER(Table1[[#This Row],[Birthweight (grams)]]),ISNUMBER(Table1[[#This Row],[Gestation (days)]])),TRUE,FALSE)</f>
        <v>0</v>
      </c>
      <c r="E6971" s="2" t="str">
        <f>IF(Table1[[#This Row],[Is Data Valid]]=TRUE,IF(Table1[[#This Row],[Fetal Sex (Male, Female or Unknown)]]="Male",Backend!$C$6,IF(Table1[[#This Row],[Fetal Sex (Male, Female or Unknown)]]="Female",Backend!$C$7,IF(Table1[[#This Row],[Fetal Sex (Male, Female or Unknown)]]="Unknown",Backend!$C$8,"Error"))),"")</f>
        <v/>
      </c>
      <c r="F6971" s="8" t="str">
        <f>IF(Table1[[#This Row],[Is Data Valid]]=TRUE,EXP(0.578+0.332*((Table1[[#This Row],[Gestation (days)]]+0.5)/7)-0.00354*((Table1[[#This Row],[Gestation (days)]]+0.5)/7)^2)*Table1[[#This Row],[BW40_3705]],"")</f>
        <v/>
      </c>
      <c r="G6971" s="2" t="str">
        <f>IF(Table1[[#This Row],[Is Data Valid]]=TRUE,((Table1[[#This Row],[Birthweight (grams)]]/Table1[[#This Row],[BW_GA]])-1)/(Backend!$B$4/100*Table1[[#This Row],[BW40_3705]]),"")</f>
        <v/>
      </c>
      <c r="H6971" s="7" t="str">
        <f>IF(Table1[[#This Row],[Is Data Valid]]=TRUE,((Table1[[#This Row],[Birthweight (grams)]]*0.9/Table1[[#This Row],[BW_GA]])-1)/(Backend!$B$4/100*Table1[[#This Row],[BW40_3705]]),"")</f>
        <v/>
      </c>
      <c r="I6971" s="7" t="str">
        <f>IF(Table1[[#This Row],[Is Data Valid]]=TRUE,((Table1[[#This Row],[Birthweight (grams)]]*1.1/Table1[[#This Row],[BW_GA]])-1)/(Backend!$B$4/100*Table1[[#This Row],[BW40_3705]]),"")</f>
        <v/>
      </c>
      <c r="J6971" s="7" t="str">
        <f>IF(Table1[[#This Row],[Is Data Valid]]=TRUE,_xlfn.NORM.S.DIST(Table1[[#This Row],[Birthweight Z-Score]],TRUE)*100,"")</f>
        <v/>
      </c>
      <c r="K6971" s="7" t="str">
        <f>IF(Table1[[#This Row],[Is Data Valid]]=TRUE,_xlfn.NORM.S.DIST(Table1[[#This Row],[Birthweight Z-Score (BW-10%)]],TRUE)*100,"")</f>
        <v/>
      </c>
      <c r="L6971" s="7" t="str">
        <f>IF(Table1[[#This Row],[Is Data Valid]]=TRUE,_xlfn.NORM.S.DIST(Table1[[#This Row],[Birthweight Z-Score (BW+10%)]],TRUE)*100,"")</f>
        <v/>
      </c>
    </row>
    <row r="6972" spans="1:12" x14ac:dyDescent="0.35">
      <c r="A6972" s="3"/>
      <c r="B6972" s="2"/>
      <c r="C6972" s="2"/>
      <c r="D6972" s="2" t="b">
        <f>IF(AND(NOT(ISBLANK(Table1[[#This Row],[Fetal Sex (Male, Female or Unknown)]])),ISNUMBER(Table1[[#This Row],[Birthweight (grams)]]),ISNUMBER(Table1[[#This Row],[Gestation (days)]])),TRUE,FALSE)</f>
        <v>0</v>
      </c>
      <c r="E6972" s="2" t="str">
        <f>IF(Table1[[#This Row],[Is Data Valid]]=TRUE,IF(Table1[[#This Row],[Fetal Sex (Male, Female or Unknown)]]="Male",Backend!$C$6,IF(Table1[[#This Row],[Fetal Sex (Male, Female or Unknown)]]="Female",Backend!$C$7,IF(Table1[[#This Row],[Fetal Sex (Male, Female or Unknown)]]="Unknown",Backend!$C$8,"Error"))),"")</f>
        <v/>
      </c>
      <c r="F6972" s="8" t="str">
        <f>IF(Table1[[#This Row],[Is Data Valid]]=TRUE,EXP(0.578+0.332*((Table1[[#This Row],[Gestation (days)]]+0.5)/7)-0.00354*((Table1[[#This Row],[Gestation (days)]]+0.5)/7)^2)*Table1[[#This Row],[BW40_3705]],"")</f>
        <v/>
      </c>
      <c r="G6972" s="2" t="str">
        <f>IF(Table1[[#This Row],[Is Data Valid]]=TRUE,((Table1[[#This Row],[Birthweight (grams)]]/Table1[[#This Row],[BW_GA]])-1)/(Backend!$B$4/100*Table1[[#This Row],[BW40_3705]]),"")</f>
        <v/>
      </c>
      <c r="H6972" s="7" t="str">
        <f>IF(Table1[[#This Row],[Is Data Valid]]=TRUE,((Table1[[#This Row],[Birthweight (grams)]]*0.9/Table1[[#This Row],[BW_GA]])-1)/(Backend!$B$4/100*Table1[[#This Row],[BW40_3705]]),"")</f>
        <v/>
      </c>
      <c r="I6972" s="7" t="str">
        <f>IF(Table1[[#This Row],[Is Data Valid]]=TRUE,((Table1[[#This Row],[Birthweight (grams)]]*1.1/Table1[[#This Row],[BW_GA]])-1)/(Backend!$B$4/100*Table1[[#This Row],[BW40_3705]]),"")</f>
        <v/>
      </c>
      <c r="J6972" s="7" t="str">
        <f>IF(Table1[[#This Row],[Is Data Valid]]=TRUE,_xlfn.NORM.S.DIST(Table1[[#This Row],[Birthweight Z-Score]],TRUE)*100,"")</f>
        <v/>
      </c>
      <c r="K6972" s="7" t="str">
        <f>IF(Table1[[#This Row],[Is Data Valid]]=TRUE,_xlfn.NORM.S.DIST(Table1[[#This Row],[Birthweight Z-Score (BW-10%)]],TRUE)*100,"")</f>
        <v/>
      </c>
      <c r="L6972" s="7" t="str">
        <f>IF(Table1[[#This Row],[Is Data Valid]]=TRUE,_xlfn.NORM.S.DIST(Table1[[#This Row],[Birthweight Z-Score (BW+10%)]],TRUE)*100,"")</f>
        <v/>
      </c>
    </row>
    <row r="6973" spans="1:12" x14ac:dyDescent="0.35">
      <c r="A6973" s="3"/>
      <c r="B6973" s="2"/>
      <c r="C6973" s="2"/>
      <c r="D6973" s="2" t="b">
        <f>IF(AND(NOT(ISBLANK(Table1[[#This Row],[Fetal Sex (Male, Female or Unknown)]])),ISNUMBER(Table1[[#This Row],[Birthweight (grams)]]),ISNUMBER(Table1[[#This Row],[Gestation (days)]])),TRUE,FALSE)</f>
        <v>0</v>
      </c>
      <c r="E6973" s="2" t="str">
        <f>IF(Table1[[#This Row],[Is Data Valid]]=TRUE,IF(Table1[[#This Row],[Fetal Sex (Male, Female or Unknown)]]="Male",Backend!$C$6,IF(Table1[[#This Row],[Fetal Sex (Male, Female or Unknown)]]="Female",Backend!$C$7,IF(Table1[[#This Row],[Fetal Sex (Male, Female or Unknown)]]="Unknown",Backend!$C$8,"Error"))),"")</f>
        <v/>
      </c>
      <c r="F6973" s="8" t="str">
        <f>IF(Table1[[#This Row],[Is Data Valid]]=TRUE,EXP(0.578+0.332*((Table1[[#This Row],[Gestation (days)]]+0.5)/7)-0.00354*((Table1[[#This Row],[Gestation (days)]]+0.5)/7)^2)*Table1[[#This Row],[BW40_3705]],"")</f>
        <v/>
      </c>
      <c r="G6973" s="2" t="str">
        <f>IF(Table1[[#This Row],[Is Data Valid]]=TRUE,((Table1[[#This Row],[Birthweight (grams)]]/Table1[[#This Row],[BW_GA]])-1)/(Backend!$B$4/100*Table1[[#This Row],[BW40_3705]]),"")</f>
        <v/>
      </c>
      <c r="H6973" s="7" t="str">
        <f>IF(Table1[[#This Row],[Is Data Valid]]=TRUE,((Table1[[#This Row],[Birthweight (grams)]]*0.9/Table1[[#This Row],[BW_GA]])-1)/(Backend!$B$4/100*Table1[[#This Row],[BW40_3705]]),"")</f>
        <v/>
      </c>
      <c r="I6973" s="7" t="str">
        <f>IF(Table1[[#This Row],[Is Data Valid]]=TRUE,((Table1[[#This Row],[Birthweight (grams)]]*1.1/Table1[[#This Row],[BW_GA]])-1)/(Backend!$B$4/100*Table1[[#This Row],[BW40_3705]]),"")</f>
        <v/>
      </c>
      <c r="J6973" s="7" t="str">
        <f>IF(Table1[[#This Row],[Is Data Valid]]=TRUE,_xlfn.NORM.S.DIST(Table1[[#This Row],[Birthweight Z-Score]],TRUE)*100,"")</f>
        <v/>
      </c>
      <c r="K6973" s="7" t="str">
        <f>IF(Table1[[#This Row],[Is Data Valid]]=TRUE,_xlfn.NORM.S.DIST(Table1[[#This Row],[Birthweight Z-Score (BW-10%)]],TRUE)*100,"")</f>
        <v/>
      </c>
      <c r="L6973" s="7" t="str">
        <f>IF(Table1[[#This Row],[Is Data Valid]]=TRUE,_xlfn.NORM.S.DIST(Table1[[#This Row],[Birthweight Z-Score (BW+10%)]],TRUE)*100,"")</f>
        <v/>
      </c>
    </row>
    <row r="6974" spans="1:12" x14ac:dyDescent="0.35">
      <c r="A6974" s="3"/>
      <c r="B6974" s="2"/>
      <c r="C6974" s="2"/>
      <c r="D6974" s="2" t="b">
        <f>IF(AND(NOT(ISBLANK(Table1[[#This Row],[Fetal Sex (Male, Female or Unknown)]])),ISNUMBER(Table1[[#This Row],[Birthweight (grams)]]),ISNUMBER(Table1[[#This Row],[Gestation (days)]])),TRUE,FALSE)</f>
        <v>0</v>
      </c>
      <c r="E6974" s="2" t="str">
        <f>IF(Table1[[#This Row],[Is Data Valid]]=TRUE,IF(Table1[[#This Row],[Fetal Sex (Male, Female or Unknown)]]="Male",Backend!$C$6,IF(Table1[[#This Row],[Fetal Sex (Male, Female or Unknown)]]="Female",Backend!$C$7,IF(Table1[[#This Row],[Fetal Sex (Male, Female or Unknown)]]="Unknown",Backend!$C$8,"Error"))),"")</f>
        <v/>
      </c>
      <c r="F6974" s="8" t="str">
        <f>IF(Table1[[#This Row],[Is Data Valid]]=TRUE,EXP(0.578+0.332*((Table1[[#This Row],[Gestation (days)]]+0.5)/7)-0.00354*((Table1[[#This Row],[Gestation (days)]]+0.5)/7)^2)*Table1[[#This Row],[BW40_3705]],"")</f>
        <v/>
      </c>
      <c r="G6974" s="2" t="str">
        <f>IF(Table1[[#This Row],[Is Data Valid]]=TRUE,((Table1[[#This Row],[Birthweight (grams)]]/Table1[[#This Row],[BW_GA]])-1)/(Backend!$B$4/100*Table1[[#This Row],[BW40_3705]]),"")</f>
        <v/>
      </c>
      <c r="H6974" s="7" t="str">
        <f>IF(Table1[[#This Row],[Is Data Valid]]=TRUE,((Table1[[#This Row],[Birthweight (grams)]]*0.9/Table1[[#This Row],[BW_GA]])-1)/(Backend!$B$4/100*Table1[[#This Row],[BW40_3705]]),"")</f>
        <v/>
      </c>
      <c r="I6974" s="7" t="str">
        <f>IF(Table1[[#This Row],[Is Data Valid]]=TRUE,((Table1[[#This Row],[Birthweight (grams)]]*1.1/Table1[[#This Row],[BW_GA]])-1)/(Backend!$B$4/100*Table1[[#This Row],[BW40_3705]]),"")</f>
        <v/>
      </c>
      <c r="J6974" s="7" t="str">
        <f>IF(Table1[[#This Row],[Is Data Valid]]=TRUE,_xlfn.NORM.S.DIST(Table1[[#This Row],[Birthweight Z-Score]],TRUE)*100,"")</f>
        <v/>
      </c>
      <c r="K6974" s="7" t="str">
        <f>IF(Table1[[#This Row],[Is Data Valid]]=TRUE,_xlfn.NORM.S.DIST(Table1[[#This Row],[Birthweight Z-Score (BW-10%)]],TRUE)*100,"")</f>
        <v/>
      </c>
      <c r="L6974" s="7" t="str">
        <f>IF(Table1[[#This Row],[Is Data Valid]]=TRUE,_xlfn.NORM.S.DIST(Table1[[#This Row],[Birthweight Z-Score (BW+10%)]],TRUE)*100,"")</f>
        <v/>
      </c>
    </row>
    <row r="6975" spans="1:12" x14ac:dyDescent="0.35">
      <c r="A6975" s="3"/>
      <c r="B6975" s="2"/>
      <c r="C6975" s="2"/>
      <c r="D6975" s="2" t="b">
        <f>IF(AND(NOT(ISBLANK(Table1[[#This Row],[Fetal Sex (Male, Female or Unknown)]])),ISNUMBER(Table1[[#This Row],[Birthweight (grams)]]),ISNUMBER(Table1[[#This Row],[Gestation (days)]])),TRUE,FALSE)</f>
        <v>0</v>
      </c>
      <c r="E6975" s="2" t="str">
        <f>IF(Table1[[#This Row],[Is Data Valid]]=TRUE,IF(Table1[[#This Row],[Fetal Sex (Male, Female or Unknown)]]="Male",Backend!$C$6,IF(Table1[[#This Row],[Fetal Sex (Male, Female or Unknown)]]="Female",Backend!$C$7,IF(Table1[[#This Row],[Fetal Sex (Male, Female or Unknown)]]="Unknown",Backend!$C$8,"Error"))),"")</f>
        <v/>
      </c>
      <c r="F6975" s="8" t="str">
        <f>IF(Table1[[#This Row],[Is Data Valid]]=TRUE,EXP(0.578+0.332*((Table1[[#This Row],[Gestation (days)]]+0.5)/7)-0.00354*((Table1[[#This Row],[Gestation (days)]]+0.5)/7)^2)*Table1[[#This Row],[BW40_3705]],"")</f>
        <v/>
      </c>
      <c r="G6975" s="2" t="str">
        <f>IF(Table1[[#This Row],[Is Data Valid]]=TRUE,((Table1[[#This Row],[Birthweight (grams)]]/Table1[[#This Row],[BW_GA]])-1)/(Backend!$B$4/100*Table1[[#This Row],[BW40_3705]]),"")</f>
        <v/>
      </c>
      <c r="H6975" s="7" t="str">
        <f>IF(Table1[[#This Row],[Is Data Valid]]=TRUE,((Table1[[#This Row],[Birthweight (grams)]]*0.9/Table1[[#This Row],[BW_GA]])-1)/(Backend!$B$4/100*Table1[[#This Row],[BW40_3705]]),"")</f>
        <v/>
      </c>
      <c r="I6975" s="7" t="str">
        <f>IF(Table1[[#This Row],[Is Data Valid]]=TRUE,((Table1[[#This Row],[Birthweight (grams)]]*1.1/Table1[[#This Row],[BW_GA]])-1)/(Backend!$B$4/100*Table1[[#This Row],[BW40_3705]]),"")</f>
        <v/>
      </c>
      <c r="J6975" s="7" t="str">
        <f>IF(Table1[[#This Row],[Is Data Valid]]=TRUE,_xlfn.NORM.S.DIST(Table1[[#This Row],[Birthweight Z-Score]],TRUE)*100,"")</f>
        <v/>
      </c>
      <c r="K6975" s="7" t="str">
        <f>IF(Table1[[#This Row],[Is Data Valid]]=TRUE,_xlfn.NORM.S.DIST(Table1[[#This Row],[Birthweight Z-Score (BW-10%)]],TRUE)*100,"")</f>
        <v/>
      </c>
      <c r="L6975" s="7" t="str">
        <f>IF(Table1[[#This Row],[Is Data Valid]]=TRUE,_xlfn.NORM.S.DIST(Table1[[#This Row],[Birthweight Z-Score (BW+10%)]],TRUE)*100,"")</f>
        <v/>
      </c>
    </row>
    <row r="6976" spans="1:12" x14ac:dyDescent="0.35">
      <c r="A6976" s="3"/>
      <c r="B6976" s="2"/>
      <c r="C6976" s="2"/>
      <c r="D6976" s="2" t="b">
        <f>IF(AND(NOT(ISBLANK(Table1[[#This Row],[Fetal Sex (Male, Female or Unknown)]])),ISNUMBER(Table1[[#This Row],[Birthweight (grams)]]),ISNUMBER(Table1[[#This Row],[Gestation (days)]])),TRUE,FALSE)</f>
        <v>0</v>
      </c>
      <c r="E6976" s="2" t="str">
        <f>IF(Table1[[#This Row],[Is Data Valid]]=TRUE,IF(Table1[[#This Row],[Fetal Sex (Male, Female or Unknown)]]="Male",Backend!$C$6,IF(Table1[[#This Row],[Fetal Sex (Male, Female or Unknown)]]="Female",Backend!$C$7,IF(Table1[[#This Row],[Fetal Sex (Male, Female or Unknown)]]="Unknown",Backend!$C$8,"Error"))),"")</f>
        <v/>
      </c>
      <c r="F6976" s="8" t="str">
        <f>IF(Table1[[#This Row],[Is Data Valid]]=TRUE,EXP(0.578+0.332*((Table1[[#This Row],[Gestation (days)]]+0.5)/7)-0.00354*((Table1[[#This Row],[Gestation (days)]]+0.5)/7)^2)*Table1[[#This Row],[BW40_3705]],"")</f>
        <v/>
      </c>
      <c r="G6976" s="2" t="str">
        <f>IF(Table1[[#This Row],[Is Data Valid]]=TRUE,((Table1[[#This Row],[Birthweight (grams)]]/Table1[[#This Row],[BW_GA]])-1)/(Backend!$B$4/100*Table1[[#This Row],[BW40_3705]]),"")</f>
        <v/>
      </c>
      <c r="H6976" s="7" t="str">
        <f>IF(Table1[[#This Row],[Is Data Valid]]=TRUE,((Table1[[#This Row],[Birthweight (grams)]]*0.9/Table1[[#This Row],[BW_GA]])-1)/(Backend!$B$4/100*Table1[[#This Row],[BW40_3705]]),"")</f>
        <v/>
      </c>
      <c r="I6976" s="7" t="str">
        <f>IF(Table1[[#This Row],[Is Data Valid]]=TRUE,((Table1[[#This Row],[Birthweight (grams)]]*1.1/Table1[[#This Row],[BW_GA]])-1)/(Backend!$B$4/100*Table1[[#This Row],[BW40_3705]]),"")</f>
        <v/>
      </c>
      <c r="J6976" s="7" t="str">
        <f>IF(Table1[[#This Row],[Is Data Valid]]=TRUE,_xlfn.NORM.S.DIST(Table1[[#This Row],[Birthweight Z-Score]],TRUE)*100,"")</f>
        <v/>
      </c>
      <c r="K6976" s="7" t="str">
        <f>IF(Table1[[#This Row],[Is Data Valid]]=TRUE,_xlfn.NORM.S.DIST(Table1[[#This Row],[Birthweight Z-Score (BW-10%)]],TRUE)*100,"")</f>
        <v/>
      </c>
      <c r="L6976" s="7" t="str">
        <f>IF(Table1[[#This Row],[Is Data Valid]]=TRUE,_xlfn.NORM.S.DIST(Table1[[#This Row],[Birthweight Z-Score (BW+10%)]],TRUE)*100,"")</f>
        <v/>
      </c>
    </row>
    <row r="6977" spans="1:12" x14ac:dyDescent="0.35">
      <c r="A6977" s="3"/>
      <c r="B6977" s="2"/>
      <c r="C6977" s="2"/>
      <c r="D6977" s="2" t="b">
        <f>IF(AND(NOT(ISBLANK(Table1[[#This Row],[Fetal Sex (Male, Female or Unknown)]])),ISNUMBER(Table1[[#This Row],[Birthweight (grams)]]),ISNUMBER(Table1[[#This Row],[Gestation (days)]])),TRUE,FALSE)</f>
        <v>0</v>
      </c>
      <c r="E6977" s="2" t="str">
        <f>IF(Table1[[#This Row],[Is Data Valid]]=TRUE,IF(Table1[[#This Row],[Fetal Sex (Male, Female or Unknown)]]="Male",Backend!$C$6,IF(Table1[[#This Row],[Fetal Sex (Male, Female or Unknown)]]="Female",Backend!$C$7,IF(Table1[[#This Row],[Fetal Sex (Male, Female or Unknown)]]="Unknown",Backend!$C$8,"Error"))),"")</f>
        <v/>
      </c>
      <c r="F6977" s="8" t="str">
        <f>IF(Table1[[#This Row],[Is Data Valid]]=TRUE,EXP(0.578+0.332*((Table1[[#This Row],[Gestation (days)]]+0.5)/7)-0.00354*((Table1[[#This Row],[Gestation (days)]]+0.5)/7)^2)*Table1[[#This Row],[BW40_3705]],"")</f>
        <v/>
      </c>
      <c r="G6977" s="2" t="str">
        <f>IF(Table1[[#This Row],[Is Data Valid]]=TRUE,((Table1[[#This Row],[Birthweight (grams)]]/Table1[[#This Row],[BW_GA]])-1)/(Backend!$B$4/100*Table1[[#This Row],[BW40_3705]]),"")</f>
        <v/>
      </c>
      <c r="H6977" s="7" t="str">
        <f>IF(Table1[[#This Row],[Is Data Valid]]=TRUE,((Table1[[#This Row],[Birthweight (grams)]]*0.9/Table1[[#This Row],[BW_GA]])-1)/(Backend!$B$4/100*Table1[[#This Row],[BW40_3705]]),"")</f>
        <v/>
      </c>
      <c r="I6977" s="7" t="str">
        <f>IF(Table1[[#This Row],[Is Data Valid]]=TRUE,((Table1[[#This Row],[Birthweight (grams)]]*1.1/Table1[[#This Row],[BW_GA]])-1)/(Backend!$B$4/100*Table1[[#This Row],[BW40_3705]]),"")</f>
        <v/>
      </c>
      <c r="J6977" s="7" t="str">
        <f>IF(Table1[[#This Row],[Is Data Valid]]=TRUE,_xlfn.NORM.S.DIST(Table1[[#This Row],[Birthweight Z-Score]],TRUE)*100,"")</f>
        <v/>
      </c>
      <c r="K6977" s="7" t="str">
        <f>IF(Table1[[#This Row],[Is Data Valid]]=TRUE,_xlfn.NORM.S.DIST(Table1[[#This Row],[Birthweight Z-Score (BW-10%)]],TRUE)*100,"")</f>
        <v/>
      </c>
      <c r="L6977" s="7" t="str">
        <f>IF(Table1[[#This Row],[Is Data Valid]]=TRUE,_xlfn.NORM.S.DIST(Table1[[#This Row],[Birthweight Z-Score (BW+10%)]],TRUE)*100,"")</f>
        <v/>
      </c>
    </row>
    <row r="6978" spans="1:12" x14ac:dyDescent="0.35">
      <c r="A6978" s="3"/>
      <c r="B6978" s="2"/>
      <c r="C6978" s="2"/>
      <c r="D6978" s="2" t="b">
        <f>IF(AND(NOT(ISBLANK(Table1[[#This Row],[Fetal Sex (Male, Female or Unknown)]])),ISNUMBER(Table1[[#This Row],[Birthweight (grams)]]),ISNUMBER(Table1[[#This Row],[Gestation (days)]])),TRUE,FALSE)</f>
        <v>0</v>
      </c>
      <c r="E6978" s="2" t="str">
        <f>IF(Table1[[#This Row],[Is Data Valid]]=TRUE,IF(Table1[[#This Row],[Fetal Sex (Male, Female or Unknown)]]="Male",Backend!$C$6,IF(Table1[[#This Row],[Fetal Sex (Male, Female or Unknown)]]="Female",Backend!$C$7,IF(Table1[[#This Row],[Fetal Sex (Male, Female or Unknown)]]="Unknown",Backend!$C$8,"Error"))),"")</f>
        <v/>
      </c>
      <c r="F6978" s="8" t="str">
        <f>IF(Table1[[#This Row],[Is Data Valid]]=TRUE,EXP(0.578+0.332*((Table1[[#This Row],[Gestation (days)]]+0.5)/7)-0.00354*((Table1[[#This Row],[Gestation (days)]]+0.5)/7)^2)*Table1[[#This Row],[BW40_3705]],"")</f>
        <v/>
      </c>
      <c r="G6978" s="2" t="str">
        <f>IF(Table1[[#This Row],[Is Data Valid]]=TRUE,((Table1[[#This Row],[Birthweight (grams)]]/Table1[[#This Row],[BW_GA]])-1)/(Backend!$B$4/100*Table1[[#This Row],[BW40_3705]]),"")</f>
        <v/>
      </c>
      <c r="H6978" s="7" t="str">
        <f>IF(Table1[[#This Row],[Is Data Valid]]=TRUE,((Table1[[#This Row],[Birthweight (grams)]]*0.9/Table1[[#This Row],[BW_GA]])-1)/(Backend!$B$4/100*Table1[[#This Row],[BW40_3705]]),"")</f>
        <v/>
      </c>
      <c r="I6978" s="7" t="str">
        <f>IF(Table1[[#This Row],[Is Data Valid]]=TRUE,((Table1[[#This Row],[Birthweight (grams)]]*1.1/Table1[[#This Row],[BW_GA]])-1)/(Backend!$B$4/100*Table1[[#This Row],[BW40_3705]]),"")</f>
        <v/>
      </c>
      <c r="J6978" s="7" t="str">
        <f>IF(Table1[[#This Row],[Is Data Valid]]=TRUE,_xlfn.NORM.S.DIST(Table1[[#This Row],[Birthweight Z-Score]],TRUE)*100,"")</f>
        <v/>
      </c>
      <c r="K6978" s="7" t="str">
        <f>IF(Table1[[#This Row],[Is Data Valid]]=TRUE,_xlfn.NORM.S.DIST(Table1[[#This Row],[Birthweight Z-Score (BW-10%)]],TRUE)*100,"")</f>
        <v/>
      </c>
      <c r="L6978" s="7" t="str">
        <f>IF(Table1[[#This Row],[Is Data Valid]]=TRUE,_xlfn.NORM.S.DIST(Table1[[#This Row],[Birthweight Z-Score (BW+10%)]],TRUE)*100,"")</f>
        <v/>
      </c>
    </row>
    <row r="6979" spans="1:12" x14ac:dyDescent="0.35">
      <c r="A6979" s="3"/>
      <c r="B6979" s="2"/>
      <c r="C6979" s="2"/>
      <c r="D6979" s="2" t="b">
        <f>IF(AND(NOT(ISBLANK(Table1[[#This Row],[Fetal Sex (Male, Female or Unknown)]])),ISNUMBER(Table1[[#This Row],[Birthweight (grams)]]),ISNUMBER(Table1[[#This Row],[Gestation (days)]])),TRUE,FALSE)</f>
        <v>0</v>
      </c>
      <c r="E6979" s="2" t="str">
        <f>IF(Table1[[#This Row],[Is Data Valid]]=TRUE,IF(Table1[[#This Row],[Fetal Sex (Male, Female or Unknown)]]="Male",Backend!$C$6,IF(Table1[[#This Row],[Fetal Sex (Male, Female or Unknown)]]="Female",Backend!$C$7,IF(Table1[[#This Row],[Fetal Sex (Male, Female or Unknown)]]="Unknown",Backend!$C$8,"Error"))),"")</f>
        <v/>
      </c>
      <c r="F6979" s="8" t="str">
        <f>IF(Table1[[#This Row],[Is Data Valid]]=TRUE,EXP(0.578+0.332*((Table1[[#This Row],[Gestation (days)]]+0.5)/7)-0.00354*((Table1[[#This Row],[Gestation (days)]]+0.5)/7)^2)*Table1[[#This Row],[BW40_3705]],"")</f>
        <v/>
      </c>
      <c r="G6979" s="2" t="str">
        <f>IF(Table1[[#This Row],[Is Data Valid]]=TRUE,((Table1[[#This Row],[Birthweight (grams)]]/Table1[[#This Row],[BW_GA]])-1)/(Backend!$B$4/100*Table1[[#This Row],[BW40_3705]]),"")</f>
        <v/>
      </c>
      <c r="H6979" s="7" t="str">
        <f>IF(Table1[[#This Row],[Is Data Valid]]=TRUE,((Table1[[#This Row],[Birthweight (grams)]]*0.9/Table1[[#This Row],[BW_GA]])-1)/(Backend!$B$4/100*Table1[[#This Row],[BW40_3705]]),"")</f>
        <v/>
      </c>
      <c r="I6979" s="7" t="str">
        <f>IF(Table1[[#This Row],[Is Data Valid]]=TRUE,((Table1[[#This Row],[Birthweight (grams)]]*1.1/Table1[[#This Row],[BW_GA]])-1)/(Backend!$B$4/100*Table1[[#This Row],[BW40_3705]]),"")</f>
        <v/>
      </c>
      <c r="J6979" s="7" t="str">
        <f>IF(Table1[[#This Row],[Is Data Valid]]=TRUE,_xlfn.NORM.S.DIST(Table1[[#This Row],[Birthweight Z-Score]],TRUE)*100,"")</f>
        <v/>
      </c>
      <c r="K6979" s="7" t="str">
        <f>IF(Table1[[#This Row],[Is Data Valid]]=TRUE,_xlfn.NORM.S.DIST(Table1[[#This Row],[Birthweight Z-Score (BW-10%)]],TRUE)*100,"")</f>
        <v/>
      </c>
      <c r="L6979" s="7" t="str">
        <f>IF(Table1[[#This Row],[Is Data Valid]]=TRUE,_xlfn.NORM.S.DIST(Table1[[#This Row],[Birthweight Z-Score (BW+10%)]],TRUE)*100,"")</f>
        <v/>
      </c>
    </row>
    <row r="6980" spans="1:12" x14ac:dyDescent="0.35">
      <c r="A6980" s="3"/>
      <c r="B6980" s="2"/>
      <c r="C6980" s="2"/>
      <c r="D6980" s="2" t="b">
        <f>IF(AND(NOT(ISBLANK(Table1[[#This Row],[Fetal Sex (Male, Female or Unknown)]])),ISNUMBER(Table1[[#This Row],[Birthweight (grams)]]),ISNUMBER(Table1[[#This Row],[Gestation (days)]])),TRUE,FALSE)</f>
        <v>0</v>
      </c>
      <c r="E6980" s="2" t="str">
        <f>IF(Table1[[#This Row],[Is Data Valid]]=TRUE,IF(Table1[[#This Row],[Fetal Sex (Male, Female or Unknown)]]="Male",Backend!$C$6,IF(Table1[[#This Row],[Fetal Sex (Male, Female or Unknown)]]="Female",Backend!$C$7,IF(Table1[[#This Row],[Fetal Sex (Male, Female or Unknown)]]="Unknown",Backend!$C$8,"Error"))),"")</f>
        <v/>
      </c>
      <c r="F6980" s="8" t="str">
        <f>IF(Table1[[#This Row],[Is Data Valid]]=TRUE,EXP(0.578+0.332*((Table1[[#This Row],[Gestation (days)]]+0.5)/7)-0.00354*((Table1[[#This Row],[Gestation (days)]]+0.5)/7)^2)*Table1[[#This Row],[BW40_3705]],"")</f>
        <v/>
      </c>
      <c r="G6980" s="2" t="str">
        <f>IF(Table1[[#This Row],[Is Data Valid]]=TRUE,((Table1[[#This Row],[Birthweight (grams)]]/Table1[[#This Row],[BW_GA]])-1)/(Backend!$B$4/100*Table1[[#This Row],[BW40_3705]]),"")</f>
        <v/>
      </c>
      <c r="H6980" s="7" t="str">
        <f>IF(Table1[[#This Row],[Is Data Valid]]=TRUE,((Table1[[#This Row],[Birthweight (grams)]]*0.9/Table1[[#This Row],[BW_GA]])-1)/(Backend!$B$4/100*Table1[[#This Row],[BW40_3705]]),"")</f>
        <v/>
      </c>
      <c r="I6980" s="7" t="str">
        <f>IF(Table1[[#This Row],[Is Data Valid]]=TRUE,((Table1[[#This Row],[Birthweight (grams)]]*1.1/Table1[[#This Row],[BW_GA]])-1)/(Backend!$B$4/100*Table1[[#This Row],[BW40_3705]]),"")</f>
        <v/>
      </c>
      <c r="J6980" s="7" t="str">
        <f>IF(Table1[[#This Row],[Is Data Valid]]=TRUE,_xlfn.NORM.S.DIST(Table1[[#This Row],[Birthweight Z-Score]],TRUE)*100,"")</f>
        <v/>
      </c>
      <c r="K6980" s="7" t="str">
        <f>IF(Table1[[#This Row],[Is Data Valid]]=TRUE,_xlfn.NORM.S.DIST(Table1[[#This Row],[Birthweight Z-Score (BW-10%)]],TRUE)*100,"")</f>
        <v/>
      </c>
      <c r="L6980" s="7" t="str">
        <f>IF(Table1[[#This Row],[Is Data Valid]]=TRUE,_xlfn.NORM.S.DIST(Table1[[#This Row],[Birthweight Z-Score (BW+10%)]],TRUE)*100,"")</f>
        <v/>
      </c>
    </row>
    <row r="6981" spans="1:12" x14ac:dyDescent="0.35">
      <c r="A6981" s="3"/>
      <c r="B6981" s="2"/>
      <c r="C6981" s="2"/>
      <c r="D6981" s="2" t="b">
        <f>IF(AND(NOT(ISBLANK(Table1[[#This Row],[Fetal Sex (Male, Female or Unknown)]])),ISNUMBER(Table1[[#This Row],[Birthweight (grams)]]),ISNUMBER(Table1[[#This Row],[Gestation (days)]])),TRUE,FALSE)</f>
        <v>0</v>
      </c>
      <c r="E6981" s="2" t="str">
        <f>IF(Table1[[#This Row],[Is Data Valid]]=TRUE,IF(Table1[[#This Row],[Fetal Sex (Male, Female or Unknown)]]="Male",Backend!$C$6,IF(Table1[[#This Row],[Fetal Sex (Male, Female or Unknown)]]="Female",Backend!$C$7,IF(Table1[[#This Row],[Fetal Sex (Male, Female or Unknown)]]="Unknown",Backend!$C$8,"Error"))),"")</f>
        <v/>
      </c>
      <c r="F6981" s="8" t="str">
        <f>IF(Table1[[#This Row],[Is Data Valid]]=TRUE,EXP(0.578+0.332*((Table1[[#This Row],[Gestation (days)]]+0.5)/7)-0.00354*((Table1[[#This Row],[Gestation (days)]]+0.5)/7)^2)*Table1[[#This Row],[BW40_3705]],"")</f>
        <v/>
      </c>
      <c r="G6981" s="2" t="str">
        <f>IF(Table1[[#This Row],[Is Data Valid]]=TRUE,((Table1[[#This Row],[Birthweight (grams)]]/Table1[[#This Row],[BW_GA]])-1)/(Backend!$B$4/100*Table1[[#This Row],[BW40_3705]]),"")</f>
        <v/>
      </c>
      <c r="H6981" s="7" t="str">
        <f>IF(Table1[[#This Row],[Is Data Valid]]=TRUE,((Table1[[#This Row],[Birthweight (grams)]]*0.9/Table1[[#This Row],[BW_GA]])-1)/(Backend!$B$4/100*Table1[[#This Row],[BW40_3705]]),"")</f>
        <v/>
      </c>
      <c r="I6981" s="7" t="str">
        <f>IF(Table1[[#This Row],[Is Data Valid]]=TRUE,((Table1[[#This Row],[Birthweight (grams)]]*1.1/Table1[[#This Row],[BW_GA]])-1)/(Backend!$B$4/100*Table1[[#This Row],[BW40_3705]]),"")</f>
        <v/>
      </c>
      <c r="J6981" s="7" t="str">
        <f>IF(Table1[[#This Row],[Is Data Valid]]=TRUE,_xlfn.NORM.S.DIST(Table1[[#This Row],[Birthweight Z-Score]],TRUE)*100,"")</f>
        <v/>
      </c>
      <c r="K6981" s="7" t="str">
        <f>IF(Table1[[#This Row],[Is Data Valid]]=TRUE,_xlfn.NORM.S.DIST(Table1[[#This Row],[Birthweight Z-Score (BW-10%)]],TRUE)*100,"")</f>
        <v/>
      </c>
      <c r="L6981" s="7" t="str">
        <f>IF(Table1[[#This Row],[Is Data Valid]]=TRUE,_xlfn.NORM.S.DIST(Table1[[#This Row],[Birthweight Z-Score (BW+10%)]],TRUE)*100,"")</f>
        <v/>
      </c>
    </row>
    <row r="6982" spans="1:12" x14ac:dyDescent="0.35">
      <c r="A6982" s="3"/>
      <c r="B6982" s="2"/>
      <c r="C6982" s="2"/>
      <c r="D6982" s="2" t="b">
        <f>IF(AND(NOT(ISBLANK(Table1[[#This Row],[Fetal Sex (Male, Female or Unknown)]])),ISNUMBER(Table1[[#This Row],[Birthweight (grams)]]),ISNUMBER(Table1[[#This Row],[Gestation (days)]])),TRUE,FALSE)</f>
        <v>0</v>
      </c>
      <c r="E6982" s="2" t="str">
        <f>IF(Table1[[#This Row],[Is Data Valid]]=TRUE,IF(Table1[[#This Row],[Fetal Sex (Male, Female or Unknown)]]="Male",Backend!$C$6,IF(Table1[[#This Row],[Fetal Sex (Male, Female or Unknown)]]="Female",Backend!$C$7,IF(Table1[[#This Row],[Fetal Sex (Male, Female or Unknown)]]="Unknown",Backend!$C$8,"Error"))),"")</f>
        <v/>
      </c>
      <c r="F6982" s="8" t="str">
        <f>IF(Table1[[#This Row],[Is Data Valid]]=TRUE,EXP(0.578+0.332*((Table1[[#This Row],[Gestation (days)]]+0.5)/7)-0.00354*((Table1[[#This Row],[Gestation (days)]]+0.5)/7)^2)*Table1[[#This Row],[BW40_3705]],"")</f>
        <v/>
      </c>
      <c r="G6982" s="2" t="str">
        <f>IF(Table1[[#This Row],[Is Data Valid]]=TRUE,((Table1[[#This Row],[Birthweight (grams)]]/Table1[[#This Row],[BW_GA]])-1)/(Backend!$B$4/100*Table1[[#This Row],[BW40_3705]]),"")</f>
        <v/>
      </c>
      <c r="H6982" s="7" t="str">
        <f>IF(Table1[[#This Row],[Is Data Valid]]=TRUE,((Table1[[#This Row],[Birthweight (grams)]]*0.9/Table1[[#This Row],[BW_GA]])-1)/(Backend!$B$4/100*Table1[[#This Row],[BW40_3705]]),"")</f>
        <v/>
      </c>
      <c r="I6982" s="7" t="str">
        <f>IF(Table1[[#This Row],[Is Data Valid]]=TRUE,((Table1[[#This Row],[Birthweight (grams)]]*1.1/Table1[[#This Row],[BW_GA]])-1)/(Backend!$B$4/100*Table1[[#This Row],[BW40_3705]]),"")</f>
        <v/>
      </c>
      <c r="J6982" s="7" t="str">
        <f>IF(Table1[[#This Row],[Is Data Valid]]=TRUE,_xlfn.NORM.S.DIST(Table1[[#This Row],[Birthweight Z-Score]],TRUE)*100,"")</f>
        <v/>
      </c>
      <c r="K6982" s="7" t="str">
        <f>IF(Table1[[#This Row],[Is Data Valid]]=TRUE,_xlfn.NORM.S.DIST(Table1[[#This Row],[Birthweight Z-Score (BW-10%)]],TRUE)*100,"")</f>
        <v/>
      </c>
      <c r="L6982" s="7" t="str">
        <f>IF(Table1[[#This Row],[Is Data Valid]]=TRUE,_xlfn.NORM.S.DIST(Table1[[#This Row],[Birthweight Z-Score (BW+10%)]],TRUE)*100,"")</f>
        <v/>
      </c>
    </row>
    <row r="6983" spans="1:12" x14ac:dyDescent="0.35">
      <c r="A6983" s="3"/>
      <c r="B6983" s="2"/>
      <c r="C6983" s="2"/>
      <c r="D6983" s="2" t="b">
        <f>IF(AND(NOT(ISBLANK(Table1[[#This Row],[Fetal Sex (Male, Female or Unknown)]])),ISNUMBER(Table1[[#This Row],[Birthweight (grams)]]),ISNUMBER(Table1[[#This Row],[Gestation (days)]])),TRUE,FALSE)</f>
        <v>0</v>
      </c>
      <c r="E6983" s="2" t="str">
        <f>IF(Table1[[#This Row],[Is Data Valid]]=TRUE,IF(Table1[[#This Row],[Fetal Sex (Male, Female or Unknown)]]="Male",Backend!$C$6,IF(Table1[[#This Row],[Fetal Sex (Male, Female or Unknown)]]="Female",Backend!$C$7,IF(Table1[[#This Row],[Fetal Sex (Male, Female or Unknown)]]="Unknown",Backend!$C$8,"Error"))),"")</f>
        <v/>
      </c>
      <c r="F6983" s="8" t="str">
        <f>IF(Table1[[#This Row],[Is Data Valid]]=TRUE,EXP(0.578+0.332*((Table1[[#This Row],[Gestation (days)]]+0.5)/7)-0.00354*((Table1[[#This Row],[Gestation (days)]]+0.5)/7)^2)*Table1[[#This Row],[BW40_3705]],"")</f>
        <v/>
      </c>
      <c r="G6983" s="2" t="str">
        <f>IF(Table1[[#This Row],[Is Data Valid]]=TRUE,((Table1[[#This Row],[Birthweight (grams)]]/Table1[[#This Row],[BW_GA]])-1)/(Backend!$B$4/100*Table1[[#This Row],[BW40_3705]]),"")</f>
        <v/>
      </c>
      <c r="H6983" s="7" t="str">
        <f>IF(Table1[[#This Row],[Is Data Valid]]=TRUE,((Table1[[#This Row],[Birthweight (grams)]]*0.9/Table1[[#This Row],[BW_GA]])-1)/(Backend!$B$4/100*Table1[[#This Row],[BW40_3705]]),"")</f>
        <v/>
      </c>
      <c r="I6983" s="7" t="str">
        <f>IF(Table1[[#This Row],[Is Data Valid]]=TRUE,((Table1[[#This Row],[Birthweight (grams)]]*1.1/Table1[[#This Row],[BW_GA]])-1)/(Backend!$B$4/100*Table1[[#This Row],[BW40_3705]]),"")</f>
        <v/>
      </c>
      <c r="J6983" s="7" t="str">
        <f>IF(Table1[[#This Row],[Is Data Valid]]=TRUE,_xlfn.NORM.S.DIST(Table1[[#This Row],[Birthweight Z-Score]],TRUE)*100,"")</f>
        <v/>
      </c>
      <c r="K6983" s="7" t="str">
        <f>IF(Table1[[#This Row],[Is Data Valid]]=TRUE,_xlfn.NORM.S.DIST(Table1[[#This Row],[Birthweight Z-Score (BW-10%)]],TRUE)*100,"")</f>
        <v/>
      </c>
      <c r="L6983" s="7" t="str">
        <f>IF(Table1[[#This Row],[Is Data Valid]]=TRUE,_xlfn.NORM.S.DIST(Table1[[#This Row],[Birthweight Z-Score (BW+10%)]],TRUE)*100,"")</f>
        <v/>
      </c>
    </row>
    <row r="6984" spans="1:12" x14ac:dyDescent="0.35">
      <c r="A6984" s="3"/>
      <c r="B6984" s="2"/>
      <c r="C6984" s="2"/>
      <c r="D6984" s="2" t="b">
        <f>IF(AND(NOT(ISBLANK(Table1[[#This Row],[Fetal Sex (Male, Female or Unknown)]])),ISNUMBER(Table1[[#This Row],[Birthweight (grams)]]),ISNUMBER(Table1[[#This Row],[Gestation (days)]])),TRUE,FALSE)</f>
        <v>0</v>
      </c>
      <c r="E6984" s="2" t="str">
        <f>IF(Table1[[#This Row],[Is Data Valid]]=TRUE,IF(Table1[[#This Row],[Fetal Sex (Male, Female or Unknown)]]="Male",Backend!$C$6,IF(Table1[[#This Row],[Fetal Sex (Male, Female or Unknown)]]="Female",Backend!$C$7,IF(Table1[[#This Row],[Fetal Sex (Male, Female or Unknown)]]="Unknown",Backend!$C$8,"Error"))),"")</f>
        <v/>
      </c>
      <c r="F6984" s="8" t="str">
        <f>IF(Table1[[#This Row],[Is Data Valid]]=TRUE,EXP(0.578+0.332*((Table1[[#This Row],[Gestation (days)]]+0.5)/7)-0.00354*((Table1[[#This Row],[Gestation (days)]]+0.5)/7)^2)*Table1[[#This Row],[BW40_3705]],"")</f>
        <v/>
      </c>
      <c r="G6984" s="2" t="str">
        <f>IF(Table1[[#This Row],[Is Data Valid]]=TRUE,((Table1[[#This Row],[Birthweight (grams)]]/Table1[[#This Row],[BW_GA]])-1)/(Backend!$B$4/100*Table1[[#This Row],[BW40_3705]]),"")</f>
        <v/>
      </c>
      <c r="H6984" s="7" t="str">
        <f>IF(Table1[[#This Row],[Is Data Valid]]=TRUE,((Table1[[#This Row],[Birthweight (grams)]]*0.9/Table1[[#This Row],[BW_GA]])-1)/(Backend!$B$4/100*Table1[[#This Row],[BW40_3705]]),"")</f>
        <v/>
      </c>
      <c r="I6984" s="7" t="str">
        <f>IF(Table1[[#This Row],[Is Data Valid]]=TRUE,((Table1[[#This Row],[Birthweight (grams)]]*1.1/Table1[[#This Row],[BW_GA]])-1)/(Backend!$B$4/100*Table1[[#This Row],[BW40_3705]]),"")</f>
        <v/>
      </c>
      <c r="J6984" s="7" t="str">
        <f>IF(Table1[[#This Row],[Is Data Valid]]=TRUE,_xlfn.NORM.S.DIST(Table1[[#This Row],[Birthweight Z-Score]],TRUE)*100,"")</f>
        <v/>
      </c>
      <c r="K6984" s="7" t="str">
        <f>IF(Table1[[#This Row],[Is Data Valid]]=TRUE,_xlfn.NORM.S.DIST(Table1[[#This Row],[Birthweight Z-Score (BW-10%)]],TRUE)*100,"")</f>
        <v/>
      </c>
      <c r="L6984" s="7" t="str">
        <f>IF(Table1[[#This Row],[Is Data Valid]]=TRUE,_xlfn.NORM.S.DIST(Table1[[#This Row],[Birthweight Z-Score (BW+10%)]],TRUE)*100,"")</f>
        <v/>
      </c>
    </row>
    <row r="6985" spans="1:12" x14ac:dyDescent="0.35">
      <c r="A6985" s="3"/>
      <c r="B6985" s="2"/>
      <c r="C6985" s="2"/>
      <c r="D6985" s="2" t="b">
        <f>IF(AND(NOT(ISBLANK(Table1[[#This Row],[Fetal Sex (Male, Female or Unknown)]])),ISNUMBER(Table1[[#This Row],[Birthweight (grams)]]),ISNUMBER(Table1[[#This Row],[Gestation (days)]])),TRUE,FALSE)</f>
        <v>0</v>
      </c>
      <c r="E6985" s="2" t="str">
        <f>IF(Table1[[#This Row],[Is Data Valid]]=TRUE,IF(Table1[[#This Row],[Fetal Sex (Male, Female or Unknown)]]="Male",Backend!$C$6,IF(Table1[[#This Row],[Fetal Sex (Male, Female or Unknown)]]="Female",Backend!$C$7,IF(Table1[[#This Row],[Fetal Sex (Male, Female or Unknown)]]="Unknown",Backend!$C$8,"Error"))),"")</f>
        <v/>
      </c>
      <c r="F6985" s="8" t="str">
        <f>IF(Table1[[#This Row],[Is Data Valid]]=TRUE,EXP(0.578+0.332*((Table1[[#This Row],[Gestation (days)]]+0.5)/7)-0.00354*((Table1[[#This Row],[Gestation (days)]]+0.5)/7)^2)*Table1[[#This Row],[BW40_3705]],"")</f>
        <v/>
      </c>
      <c r="G6985" s="2" t="str">
        <f>IF(Table1[[#This Row],[Is Data Valid]]=TRUE,((Table1[[#This Row],[Birthweight (grams)]]/Table1[[#This Row],[BW_GA]])-1)/(Backend!$B$4/100*Table1[[#This Row],[BW40_3705]]),"")</f>
        <v/>
      </c>
      <c r="H6985" s="7" t="str">
        <f>IF(Table1[[#This Row],[Is Data Valid]]=TRUE,((Table1[[#This Row],[Birthweight (grams)]]*0.9/Table1[[#This Row],[BW_GA]])-1)/(Backend!$B$4/100*Table1[[#This Row],[BW40_3705]]),"")</f>
        <v/>
      </c>
      <c r="I6985" s="7" t="str">
        <f>IF(Table1[[#This Row],[Is Data Valid]]=TRUE,((Table1[[#This Row],[Birthweight (grams)]]*1.1/Table1[[#This Row],[BW_GA]])-1)/(Backend!$B$4/100*Table1[[#This Row],[BW40_3705]]),"")</f>
        <v/>
      </c>
      <c r="J6985" s="7" t="str">
        <f>IF(Table1[[#This Row],[Is Data Valid]]=TRUE,_xlfn.NORM.S.DIST(Table1[[#This Row],[Birthweight Z-Score]],TRUE)*100,"")</f>
        <v/>
      </c>
      <c r="K6985" s="7" t="str">
        <f>IF(Table1[[#This Row],[Is Data Valid]]=TRUE,_xlfn.NORM.S.DIST(Table1[[#This Row],[Birthweight Z-Score (BW-10%)]],TRUE)*100,"")</f>
        <v/>
      </c>
      <c r="L6985" s="7" t="str">
        <f>IF(Table1[[#This Row],[Is Data Valid]]=TRUE,_xlfn.NORM.S.DIST(Table1[[#This Row],[Birthweight Z-Score (BW+10%)]],TRUE)*100,"")</f>
        <v/>
      </c>
    </row>
    <row r="6986" spans="1:12" x14ac:dyDescent="0.35">
      <c r="A6986" s="3"/>
      <c r="B6986" s="2"/>
      <c r="C6986" s="2"/>
      <c r="D6986" s="2" t="b">
        <f>IF(AND(NOT(ISBLANK(Table1[[#This Row],[Fetal Sex (Male, Female or Unknown)]])),ISNUMBER(Table1[[#This Row],[Birthweight (grams)]]),ISNUMBER(Table1[[#This Row],[Gestation (days)]])),TRUE,FALSE)</f>
        <v>0</v>
      </c>
      <c r="E6986" s="2" t="str">
        <f>IF(Table1[[#This Row],[Is Data Valid]]=TRUE,IF(Table1[[#This Row],[Fetal Sex (Male, Female or Unknown)]]="Male",Backend!$C$6,IF(Table1[[#This Row],[Fetal Sex (Male, Female or Unknown)]]="Female",Backend!$C$7,IF(Table1[[#This Row],[Fetal Sex (Male, Female or Unknown)]]="Unknown",Backend!$C$8,"Error"))),"")</f>
        <v/>
      </c>
      <c r="F6986" s="8" t="str">
        <f>IF(Table1[[#This Row],[Is Data Valid]]=TRUE,EXP(0.578+0.332*((Table1[[#This Row],[Gestation (days)]]+0.5)/7)-0.00354*((Table1[[#This Row],[Gestation (days)]]+0.5)/7)^2)*Table1[[#This Row],[BW40_3705]],"")</f>
        <v/>
      </c>
      <c r="G6986" s="2" t="str">
        <f>IF(Table1[[#This Row],[Is Data Valid]]=TRUE,((Table1[[#This Row],[Birthweight (grams)]]/Table1[[#This Row],[BW_GA]])-1)/(Backend!$B$4/100*Table1[[#This Row],[BW40_3705]]),"")</f>
        <v/>
      </c>
      <c r="H6986" s="7" t="str">
        <f>IF(Table1[[#This Row],[Is Data Valid]]=TRUE,((Table1[[#This Row],[Birthweight (grams)]]*0.9/Table1[[#This Row],[BW_GA]])-1)/(Backend!$B$4/100*Table1[[#This Row],[BW40_3705]]),"")</f>
        <v/>
      </c>
      <c r="I6986" s="7" t="str">
        <f>IF(Table1[[#This Row],[Is Data Valid]]=TRUE,((Table1[[#This Row],[Birthweight (grams)]]*1.1/Table1[[#This Row],[BW_GA]])-1)/(Backend!$B$4/100*Table1[[#This Row],[BW40_3705]]),"")</f>
        <v/>
      </c>
      <c r="J6986" s="7" t="str">
        <f>IF(Table1[[#This Row],[Is Data Valid]]=TRUE,_xlfn.NORM.S.DIST(Table1[[#This Row],[Birthweight Z-Score]],TRUE)*100,"")</f>
        <v/>
      </c>
      <c r="K6986" s="7" t="str">
        <f>IF(Table1[[#This Row],[Is Data Valid]]=TRUE,_xlfn.NORM.S.DIST(Table1[[#This Row],[Birthweight Z-Score (BW-10%)]],TRUE)*100,"")</f>
        <v/>
      </c>
      <c r="L6986" s="7" t="str">
        <f>IF(Table1[[#This Row],[Is Data Valid]]=TRUE,_xlfn.NORM.S.DIST(Table1[[#This Row],[Birthweight Z-Score (BW+10%)]],TRUE)*100,"")</f>
        <v/>
      </c>
    </row>
    <row r="6987" spans="1:12" x14ac:dyDescent="0.35">
      <c r="A6987" s="3"/>
      <c r="B6987" s="2"/>
      <c r="C6987" s="2"/>
      <c r="D6987" s="2" t="b">
        <f>IF(AND(NOT(ISBLANK(Table1[[#This Row],[Fetal Sex (Male, Female or Unknown)]])),ISNUMBER(Table1[[#This Row],[Birthweight (grams)]]),ISNUMBER(Table1[[#This Row],[Gestation (days)]])),TRUE,FALSE)</f>
        <v>0</v>
      </c>
      <c r="E6987" s="2" t="str">
        <f>IF(Table1[[#This Row],[Is Data Valid]]=TRUE,IF(Table1[[#This Row],[Fetal Sex (Male, Female or Unknown)]]="Male",Backend!$C$6,IF(Table1[[#This Row],[Fetal Sex (Male, Female or Unknown)]]="Female",Backend!$C$7,IF(Table1[[#This Row],[Fetal Sex (Male, Female or Unknown)]]="Unknown",Backend!$C$8,"Error"))),"")</f>
        <v/>
      </c>
      <c r="F6987" s="8" t="str">
        <f>IF(Table1[[#This Row],[Is Data Valid]]=TRUE,EXP(0.578+0.332*((Table1[[#This Row],[Gestation (days)]]+0.5)/7)-0.00354*((Table1[[#This Row],[Gestation (days)]]+0.5)/7)^2)*Table1[[#This Row],[BW40_3705]],"")</f>
        <v/>
      </c>
      <c r="G6987" s="2" t="str">
        <f>IF(Table1[[#This Row],[Is Data Valid]]=TRUE,((Table1[[#This Row],[Birthweight (grams)]]/Table1[[#This Row],[BW_GA]])-1)/(Backend!$B$4/100*Table1[[#This Row],[BW40_3705]]),"")</f>
        <v/>
      </c>
      <c r="H6987" s="7" t="str">
        <f>IF(Table1[[#This Row],[Is Data Valid]]=TRUE,((Table1[[#This Row],[Birthweight (grams)]]*0.9/Table1[[#This Row],[BW_GA]])-1)/(Backend!$B$4/100*Table1[[#This Row],[BW40_3705]]),"")</f>
        <v/>
      </c>
      <c r="I6987" s="7" t="str">
        <f>IF(Table1[[#This Row],[Is Data Valid]]=TRUE,((Table1[[#This Row],[Birthweight (grams)]]*1.1/Table1[[#This Row],[BW_GA]])-1)/(Backend!$B$4/100*Table1[[#This Row],[BW40_3705]]),"")</f>
        <v/>
      </c>
      <c r="J6987" s="7" t="str">
        <f>IF(Table1[[#This Row],[Is Data Valid]]=TRUE,_xlfn.NORM.S.DIST(Table1[[#This Row],[Birthweight Z-Score]],TRUE)*100,"")</f>
        <v/>
      </c>
      <c r="K6987" s="7" t="str">
        <f>IF(Table1[[#This Row],[Is Data Valid]]=TRUE,_xlfn.NORM.S.DIST(Table1[[#This Row],[Birthweight Z-Score (BW-10%)]],TRUE)*100,"")</f>
        <v/>
      </c>
      <c r="L6987" s="7" t="str">
        <f>IF(Table1[[#This Row],[Is Data Valid]]=TRUE,_xlfn.NORM.S.DIST(Table1[[#This Row],[Birthweight Z-Score (BW+10%)]],TRUE)*100,"")</f>
        <v/>
      </c>
    </row>
    <row r="6988" spans="1:12" x14ac:dyDescent="0.35">
      <c r="A6988" s="3"/>
      <c r="B6988" s="2"/>
      <c r="C6988" s="2"/>
      <c r="D6988" s="2" t="b">
        <f>IF(AND(NOT(ISBLANK(Table1[[#This Row],[Fetal Sex (Male, Female or Unknown)]])),ISNUMBER(Table1[[#This Row],[Birthweight (grams)]]),ISNUMBER(Table1[[#This Row],[Gestation (days)]])),TRUE,FALSE)</f>
        <v>0</v>
      </c>
      <c r="E6988" s="2" t="str">
        <f>IF(Table1[[#This Row],[Is Data Valid]]=TRUE,IF(Table1[[#This Row],[Fetal Sex (Male, Female or Unknown)]]="Male",Backend!$C$6,IF(Table1[[#This Row],[Fetal Sex (Male, Female or Unknown)]]="Female",Backend!$C$7,IF(Table1[[#This Row],[Fetal Sex (Male, Female or Unknown)]]="Unknown",Backend!$C$8,"Error"))),"")</f>
        <v/>
      </c>
      <c r="F6988" s="8" t="str">
        <f>IF(Table1[[#This Row],[Is Data Valid]]=TRUE,EXP(0.578+0.332*((Table1[[#This Row],[Gestation (days)]]+0.5)/7)-0.00354*((Table1[[#This Row],[Gestation (days)]]+0.5)/7)^2)*Table1[[#This Row],[BW40_3705]],"")</f>
        <v/>
      </c>
      <c r="G6988" s="2" t="str">
        <f>IF(Table1[[#This Row],[Is Data Valid]]=TRUE,((Table1[[#This Row],[Birthweight (grams)]]/Table1[[#This Row],[BW_GA]])-1)/(Backend!$B$4/100*Table1[[#This Row],[BW40_3705]]),"")</f>
        <v/>
      </c>
      <c r="H6988" s="7" t="str">
        <f>IF(Table1[[#This Row],[Is Data Valid]]=TRUE,((Table1[[#This Row],[Birthweight (grams)]]*0.9/Table1[[#This Row],[BW_GA]])-1)/(Backend!$B$4/100*Table1[[#This Row],[BW40_3705]]),"")</f>
        <v/>
      </c>
      <c r="I6988" s="7" t="str">
        <f>IF(Table1[[#This Row],[Is Data Valid]]=TRUE,((Table1[[#This Row],[Birthweight (grams)]]*1.1/Table1[[#This Row],[BW_GA]])-1)/(Backend!$B$4/100*Table1[[#This Row],[BW40_3705]]),"")</f>
        <v/>
      </c>
      <c r="J6988" s="7" t="str">
        <f>IF(Table1[[#This Row],[Is Data Valid]]=TRUE,_xlfn.NORM.S.DIST(Table1[[#This Row],[Birthweight Z-Score]],TRUE)*100,"")</f>
        <v/>
      </c>
      <c r="K6988" s="7" t="str">
        <f>IF(Table1[[#This Row],[Is Data Valid]]=TRUE,_xlfn.NORM.S.DIST(Table1[[#This Row],[Birthweight Z-Score (BW-10%)]],TRUE)*100,"")</f>
        <v/>
      </c>
      <c r="L6988" s="7" t="str">
        <f>IF(Table1[[#This Row],[Is Data Valid]]=TRUE,_xlfn.NORM.S.DIST(Table1[[#This Row],[Birthweight Z-Score (BW+10%)]],TRUE)*100,"")</f>
        <v/>
      </c>
    </row>
    <row r="6989" spans="1:12" x14ac:dyDescent="0.35">
      <c r="A6989" s="3"/>
      <c r="B6989" s="2"/>
      <c r="C6989" s="2"/>
      <c r="D6989" s="2" t="b">
        <f>IF(AND(NOT(ISBLANK(Table1[[#This Row],[Fetal Sex (Male, Female or Unknown)]])),ISNUMBER(Table1[[#This Row],[Birthweight (grams)]]),ISNUMBER(Table1[[#This Row],[Gestation (days)]])),TRUE,FALSE)</f>
        <v>0</v>
      </c>
      <c r="E6989" s="2" t="str">
        <f>IF(Table1[[#This Row],[Is Data Valid]]=TRUE,IF(Table1[[#This Row],[Fetal Sex (Male, Female or Unknown)]]="Male",Backend!$C$6,IF(Table1[[#This Row],[Fetal Sex (Male, Female or Unknown)]]="Female",Backend!$C$7,IF(Table1[[#This Row],[Fetal Sex (Male, Female or Unknown)]]="Unknown",Backend!$C$8,"Error"))),"")</f>
        <v/>
      </c>
      <c r="F6989" s="8" t="str">
        <f>IF(Table1[[#This Row],[Is Data Valid]]=TRUE,EXP(0.578+0.332*((Table1[[#This Row],[Gestation (days)]]+0.5)/7)-0.00354*((Table1[[#This Row],[Gestation (days)]]+0.5)/7)^2)*Table1[[#This Row],[BW40_3705]],"")</f>
        <v/>
      </c>
      <c r="G6989" s="2" t="str">
        <f>IF(Table1[[#This Row],[Is Data Valid]]=TRUE,((Table1[[#This Row],[Birthweight (grams)]]/Table1[[#This Row],[BW_GA]])-1)/(Backend!$B$4/100*Table1[[#This Row],[BW40_3705]]),"")</f>
        <v/>
      </c>
      <c r="H6989" s="7" t="str">
        <f>IF(Table1[[#This Row],[Is Data Valid]]=TRUE,((Table1[[#This Row],[Birthweight (grams)]]*0.9/Table1[[#This Row],[BW_GA]])-1)/(Backend!$B$4/100*Table1[[#This Row],[BW40_3705]]),"")</f>
        <v/>
      </c>
      <c r="I6989" s="7" t="str">
        <f>IF(Table1[[#This Row],[Is Data Valid]]=TRUE,((Table1[[#This Row],[Birthweight (grams)]]*1.1/Table1[[#This Row],[BW_GA]])-1)/(Backend!$B$4/100*Table1[[#This Row],[BW40_3705]]),"")</f>
        <v/>
      </c>
      <c r="J6989" s="7" t="str">
        <f>IF(Table1[[#This Row],[Is Data Valid]]=TRUE,_xlfn.NORM.S.DIST(Table1[[#This Row],[Birthweight Z-Score]],TRUE)*100,"")</f>
        <v/>
      </c>
      <c r="K6989" s="7" t="str">
        <f>IF(Table1[[#This Row],[Is Data Valid]]=TRUE,_xlfn.NORM.S.DIST(Table1[[#This Row],[Birthweight Z-Score (BW-10%)]],TRUE)*100,"")</f>
        <v/>
      </c>
      <c r="L6989" s="7" t="str">
        <f>IF(Table1[[#This Row],[Is Data Valid]]=TRUE,_xlfn.NORM.S.DIST(Table1[[#This Row],[Birthweight Z-Score (BW+10%)]],TRUE)*100,"")</f>
        <v/>
      </c>
    </row>
    <row r="6990" spans="1:12" x14ac:dyDescent="0.35">
      <c r="A6990" s="3"/>
      <c r="B6990" s="2"/>
      <c r="C6990" s="2"/>
      <c r="D6990" s="2" t="b">
        <f>IF(AND(NOT(ISBLANK(Table1[[#This Row],[Fetal Sex (Male, Female or Unknown)]])),ISNUMBER(Table1[[#This Row],[Birthweight (grams)]]),ISNUMBER(Table1[[#This Row],[Gestation (days)]])),TRUE,FALSE)</f>
        <v>0</v>
      </c>
      <c r="E6990" s="2" t="str">
        <f>IF(Table1[[#This Row],[Is Data Valid]]=TRUE,IF(Table1[[#This Row],[Fetal Sex (Male, Female or Unknown)]]="Male",Backend!$C$6,IF(Table1[[#This Row],[Fetal Sex (Male, Female or Unknown)]]="Female",Backend!$C$7,IF(Table1[[#This Row],[Fetal Sex (Male, Female or Unknown)]]="Unknown",Backend!$C$8,"Error"))),"")</f>
        <v/>
      </c>
      <c r="F6990" s="8" t="str">
        <f>IF(Table1[[#This Row],[Is Data Valid]]=TRUE,EXP(0.578+0.332*((Table1[[#This Row],[Gestation (days)]]+0.5)/7)-0.00354*((Table1[[#This Row],[Gestation (days)]]+0.5)/7)^2)*Table1[[#This Row],[BW40_3705]],"")</f>
        <v/>
      </c>
      <c r="G6990" s="2" t="str">
        <f>IF(Table1[[#This Row],[Is Data Valid]]=TRUE,((Table1[[#This Row],[Birthweight (grams)]]/Table1[[#This Row],[BW_GA]])-1)/(Backend!$B$4/100*Table1[[#This Row],[BW40_3705]]),"")</f>
        <v/>
      </c>
      <c r="H6990" s="7" t="str">
        <f>IF(Table1[[#This Row],[Is Data Valid]]=TRUE,((Table1[[#This Row],[Birthweight (grams)]]*0.9/Table1[[#This Row],[BW_GA]])-1)/(Backend!$B$4/100*Table1[[#This Row],[BW40_3705]]),"")</f>
        <v/>
      </c>
      <c r="I6990" s="7" t="str">
        <f>IF(Table1[[#This Row],[Is Data Valid]]=TRUE,((Table1[[#This Row],[Birthweight (grams)]]*1.1/Table1[[#This Row],[BW_GA]])-1)/(Backend!$B$4/100*Table1[[#This Row],[BW40_3705]]),"")</f>
        <v/>
      </c>
      <c r="J6990" s="7" t="str">
        <f>IF(Table1[[#This Row],[Is Data Valid]]=TRUE,_xlfn.NORM.S.DIST(Table1[[#This Row],[Birthweight Z-Score]],TRUE)*100,"")</f>
        <v/>
      </c>
      <c r="K6990" s="7" t="str">
        <f>IF(Table1[[#This Row],[Is Data Valid]]=TRUE,_xlfn.NORM.S.DIST(Table1[[#This Row],[Birthweight Z-Score (BW-10%)]],TRUE)*100,"")</f>
        <v/>
      </c>
      <c r="L6990" s="7" t="str">
        <f>IF(Table1[[#This Row],[Is Data Valid]]=TRUE,_xlfn.NORM.S.DIST(Table1[[#This Row],[Birthweight Z-Score (BW+10%)]],TRUE)*100,"")</f>
        <v/>
      </c>
    </row>
    <row r="6991" spans="1:12" x14ac:dyDescent="0.35">
      <c r="A6991" s="3"/>
      <c r="B6991" s="2"/>
      <c r="C6991" s="2"/>
      <c r="D6991" s="2" t="b">
        <f>IF(AND(NOT(ISBLANK(Table1[[#This Row],[Fetal Sex (Male, Female or Unknown)]])),ISNUMBER(Table1[[#This Row],[Birthweight (grams)]]),ISNUMBER(Table1[[#This Row],[Gestation (days)]])),TRUE,FALSE)</f>
        <v>0</v>
      </c>
      <c r="E6991" s="2" t="str">
        <f>IF(Table1[[#This Row],[Is Data Valid]]=TRUE,IF(Table1[[#This Row],[Fetal Sex (Male, Female or Unknown)]]="Male",Backend!$C$6,IF(Table1[[#This Row],[Fetal Sex (Male, Female or Unknown)]]="Female",Backend!$C$7,IF(Table1[[#This Row],[Fetal Sex (Male, Female or Unknown)]]="Unknown",Backend!$C$8,"Error"))),"")</f>
        <v/>
      </c>
      <c r="F6991" s="8" t="str">
        <f>IF(Table1[[#This Row],[Is Data Valid]]=TRUE,EXP(0.578+0.332*((Table1[[#This Row],[Gestation (days)]]+0.5)/7)-0.00354*((Table1[[#This Row],[Gestation (days)]]+0.5)/7)^2)*Table1[[#This Row],[BW40_3705]],"")</f>
        <v/>
      </c>
      <c r="G6991" s="2" t="str">
        <f>IF(Table1[[#This Row],[Is Data Valid]]=TRUE,((Table1[[#This Row],[Birthweight (grams)]]/Table1[[#This Row],[BW_GA]])-1)/(Backend!$B$4/100*Table1[[#This Row],[BW40_3705]]),"")</f>
        <v/>
      </c>
      <c r="H6991" s="7" t="str">
        <f>IF(Table1[[#This Row],[Is Data Valid]]=TRUE,((Table1[[#This Row],[Birthweight (grams)]]*0.9/Table1[[#This Row],[BW_GA]])-1)/(Backend!$B$4/100*Table1[[#This Row],[BW40_3705]]),"")</f>
        <v/>
      </c>
      <c r="I6991" s="7" t="str">
        <f>IF(Table1[[#This Row],[Is Data Valid]]=TRUE,((Table1[[#This Row],[Birthweight (grams)]]*1.1/Table1[[#This Row],[BW_GA]])-1)/(Backend!$B$4/100*Table1[[#This Row],[BW40_3705]]),"")</f>
        <v/>
      </c>
      <c r="J6991" s="7" t="str">
        <f>IF(Table1[[#This Row],[Is Data Valid]]=TRUE,_xlfn.NORM.S.DIST(Table1[[#This Row],[Birthweight Z-Score]],TRUE)*100,"")</f>
        <v/>
      </c>
      <c r="K6991" s="7" t="str">
        <f>IF(Table1[[#This Row],[Is Data Valid]]=TRUE,_xlfn.NORM.S.DIST(Table1[[#This Row],[Birthweight Z-Score (BW-10%)]],TRUE)*100,"")</f>
        <v/>
      </c>
      <c r="L6991" s="7" t="str">
        <f>IF(Table1[[#This Row],[Is Data Valid]]=TRUE,_xlfn.NORM.S.DIST(Table1[[#This Row],[Birthweight Z-Score (BW+10%)]],TRUE)*100,"")</f>
        <v/>
      </c>
    </row>
    <row r="6992" spans="1:12" x14ac:dyDescent="0.35">
      <c r="A6992" s="3"/>
      <c r="B6992" s="2"/>
      <c r="C6992" s="2"/>
      <c r="D6992" s="2" t="b">
        <f>IF(AND(NOT(ISBLANK(Table1[[#This Row],[Fetal Sex (Male, Female or Unknown)]])),ISNUMBER(Table1[[#This Row],[Birthweight (grams)]]),ISNUMBER(Table1[[#This Row],[Gestation (days)]])),TRUE,FALSE)</f>
        <v>0</v>
      </c>
      <c r="E6992" s="2" t="str">
        <f>IF(Table1[[#This Row],[Is Data Valid]]=TRUE,IF(Table1[[#This Row],[Fetal Sex (Male, Female or Unknown)]]="Male",Backend!$C$6,IF(Table1[[#This Row],[Fetal Sex (Male, Female or Unknown)]]="Female",Backend!$C$7,IF(Table1[[#This Row],[Fetal Sex (Male, Female or Unknown)]]="Unknown",Backend!$C$8,"Error"))),"")</f>
        <v/>
      </c>
      <c r="F6992" s="8" t="str">
        <f>IF(Table1[[#This Row],[Is Data Valid]]=TRUE,EXP(0.578+0.332*((Table1[[#This Row],[Gestation (days)]]+0.5)/7)-0.00354*((Table1[[#This Row],[Gestation (days)]]+0.5)/7)^2)*Table1[[#This Row],[BW40_3705]],"")</f>
        <v/>
      </c>
      <c r="G6992" s="2" t="str">
        <f>IF(Table1[[#This Row],[Is Data Valid]]=TRUE,((Table1[[#This Row],[Birthweight (grams)]]/Table1[[#This Row],[BW_GA]])-1)/(Backend!$B$4/100*Table1[[#This Row],[BW40_3705]]),"")</f>
        <v/>
      </c>
      <c r="H6992" s="7" t="str">
        <f>IF(Table1[[#This Row],[Is Data Valid]]=TRUE,((Table1[[#This Row],[Birthweight (grams)]]*0.9/Table1[[#This Row],[BW_GA]])-1)/(Backend!$B$4/100*Table1[[#This Row],[BW40_3705]]),"")</f>
        <v/>
      </c>
      <c r="I6992" s="7" t="str">
        <f>IF(Table1[[#This Row],[Is Data Valid]]=TRUE,((Table1[[#This Row],[Birthweight (grams)]]*1.1/Table1[[#This Row],[BW_GA]])-1)/(Backend!$B$4/100*Table1[[#This Row],[BW40_3705]]),"")</f>
        <v/>
      </c>
      <c r="J6992" s="7" t="str">
        <f>IF(Table1[[#This Row],[Is Data Valid]]=TRUE,_xlfn.NORM.S.DIST(Table1[[#This Row],[Birthweight Z-Score]],TRUE)*100,"")</f>
        <v/>
      </c>
      <c r="K6992" s="7" t="str">
        <f>IF(Table1[[#This Row],[Is Data Valid]]=TRUE,_xlfn.NORM.S.DIST(Table1[[#This Row],[Birthweight Z-Score (BW-10%)]],TRUE)*100,"")</f>
        <v/>
      </c>
      <c r="L6992" s="7" t="str">
        <f>IF(Table1[[#This Row],[Is Data Valid]]=TRUE,_xlfn.NORM.S.DIST(Table1[[#This Row],[Birthweight Z-Score (BW+10%)]],TRUE)*100,"")</f>
        <v/>
      </c>
    </row>
    <row r="6993" spans="1:12" x14ac:dyDescent="0.35">
      <c r="A6993" s="3"/>
      <c r="B6993" s="2"/>
      <c r="C6993" s="2"/>
      <c r="D6993" s="2" t="b">
        <f>IF(AND(NOT(ISBLANK(Table1[[#This Row],[Fetal Sex (Male, Female or Unknown)]])),ISNUMBER(Table1[[#This Row],[Birthweight (grams)]]),ISNUMBER(Table1[[#This Row],[Gestation (days)]])),TRUE,FALSE)</f>
        <v>0</v>
      </c>
      <c r="E6993" s="2" t="str">
        <f>IF(Table1[[#This Row],[Is Data Valid]]=TRUE,IF(Table1[[#This Row],[Fetal Sex (Male, Female or Unknown)]]="Male",Backend!$C$6,IF(Table1[[#This Row],[Fetal Sex (Male, Female or Unknown)]]="Female",Backend!$C$7,IF(Table1[[#This Row],[Fetal Sex (Male, Female or Unknown)]]="Unknown",Backend!$C$8,"Error"))),"")</f>
        <v/>
      </c>
      <c r="F6993" s="8" t="str">
        <f>IF(Table1[[#This Row],[Is Data Valid]]=TRUE,EXP(0.578+0.332*((Table1[[#This Row],[Gestation (days)]]+0.5)/7)-0.00354*((Table1[[#This Row],[Gestation (days)]]+0.5)/7)^2)*Table1[[#This Row],[BW40_3705]],"")</f>
        <v/>
      </c>
      <c r="G6993" s="2" t="str">
        <f>IF(Table1[[#This Row],[Is Data Valid]]=TRUE,((Table1[[#This Row],[Birthweight (grams)]]/Table1[[#This Row],[BW_GA]])-1)/(Backend!$B$4/100*Table1[[#This Row],[BW40_3705]]),"")</f>
        <v/>
      </c>
      <c r="H6993" s="7" t="str">
        <f>IF(Table1[[#This Row],[Is Data Valid]]=TRUE,((Table1[[#This Row],[Birthweight (grams)]]*0.9/Table1[[#This Row],[BW_GA]])-1)/(Backend!$B$4/100*Table1[[#This Row],[BW40_3705]]),"")</f>
        <v/>
      </c>
      <c r="I6993" s="7" t="str">
        <f>IF(Table1[[#This Row],[Is Data Valid]]=TRUE,((Table1[[#This Row],[Birthweight (grams)]]*1.1/Table1[[#This Row],[BW_GA]])-1)/(Backend!$B$4/100*Table1[[#This Row],[BW40_3705]]),"")</f>
        <v/>
      </c>
      <c r="J6993" s="7" t="str">
        <f>IF(Table1[[#This Row],[Is Data Valid]]=TRUE,_xlfn.NORM.S.DIST(Table1[[#This Row],[Birthweight Z-Score]],TRUE)*100,"")</f>
        <v/>
      </c>
      <c r="K6993" s="7" t="str">
        <f>IF(Table1[[#This Row],[Is Data Valid]]=TRUE,_xlfn.NORM.S.DIST(Table1[[#This Row],[Birthweight Z-Score (BW-10%)]],TRUE)*100,"")</f>
        <v/>
      </c>
      <c r="L6993" s="7" t="str">
        <f>IF(Table1[[#This Row],[Is Data Valid]]=TRUE,_xlfn.NORM.S.DIST(Table1[[#This Row],[Birthweight Z-Score (BW+10%)]],TRUE)*100,"")</f>
        <v/>
      </c>
    </row>
    <row r="6994" spans="1:12" x14ac:dyDescent="0.35">
      <c r="A6994" s="3"/>
      <c r="B6994" s="2"/>
      <c r="C6994" s="2"/>
      <c r="D6994" s="2" t="b">
        <f>IF(AND(NOT(ISBLANK(Table1[[#This Row],[Fetal Sex (Male, Female or Unknown)]])),ISNUMBER(Table1[[#This Row],[Birthweight (grams)]]),ISNUMBER(Table1[[#This Row],[Gestation (days)]])),TRUE,FALSE)</f>
        <v>0</v>
      </c>
      <c r="E6994" s="2" t="str">
        <f>IF(Table1[[#This Row],[Is Data Valid]]=TRUE,IF(Table1[[#This Row],[Fetal Sex (Male, Female or Unknown)]]="Male",Backend!$C$6,IF(Table1[[#This Row],[Fetal Sex (Male, Female or Unknown)]]="Female",Backend!$C$7,IF(Table1[[#This Row],[Fetal Sex (Male, Female or Unknown)]]="Unknown",Backend!$C$8,"Error"))),"")</f>
        <v/>
      </c>
      <c r="F6994" s="8" t="str">
        <f>IF(Table1[[#This Row],[Is Data Valid]]=TRUE,EXP(0.578+0.332*((Table1[[#This Row],[Gestation (days)]]+0.5)/7)-0.00354*((Table1[[#This Row],[Gestation (days)]]+0.5)/7)^2)*Table1[[#This Row],[BW40_3705]],"")</f>
        <v/>
      </c>
      <c r="G6994" s="2" t="str">
        <f>IF(Table1[[#This Row],[Is Data Valid]]=TRUE,((Table1[[#This Row],[Birthweight (grams)]]/Table1[[#This Row],[BW_GA]])-1)/(Backend!$B$4/100*Table1[[#This Row],[BW40_3705]]),"")</f>
        <v/>
      </c>
      <c r="H6994" s="7" t="str">
        <f>IF(Table1[[#This Row],[Is Data Valid]]=TRUE,((Table1[[#This Row],[Birthweight (grams)]]*0.9/Table1[[#This Row],[BW_GA]])-1)/(Backend!$B$4/100*Table1[[#This Row],[BW40_3705]]),"")</f>
        <v/>
      </c>
      <c r="I6994" s="7" t="str">
        <f>IF(Table1[[#This Row],[Is Data Valid]]=TRUE,((Table1[[#This Row],[Birthweight (grams)]]*1.1/Table1[[#This Row],[BW_GA]])-1)/(Backend!$B$4/100*Table1[[#This Row],[BW40_3705]]),"")</f>
        <v/>
      </c>
      <c r="J6994" s="7" t="str">
        <f>IF(Table1[[#This Row],[Is Data Valid]]=TRUE,_xlfn.NORM.S.DIST(Table1[[#This Row],[Birthweight Z-Score]],TRUE)*100,"")</f>
        <v/>
      </c>
      <c r="K6994" s="7" t="str">
        <f>IF(Table1[[#This Row],[Is Data Valid]]=TRUE,_xlfn.NORM.S.DIST(Table1[[#This Row],[Birthweight Z-Score (BW-10%)]],TRUE)*100,"")</f>
        <v/>
      </c>
      <c r="L6994" s="7" t="str">
        <f>IF(Table1[[#This Row],[Is Data Valid]]=TRUE,_xlfn.NORM.S.DIST(Table1[[#This Row],[Birthweight Z-Score (BW+10%)]],TRUE)*100,"")</f>
        <v/>
      </c>
    </row>
    <row r="6995" spans="1:12" x14ac:dyDescent="0.35">
      <c r="A6995" s="3"/>
      <c r="B6995" s="2"/>
      <c r="C6995" s="2"/>
      <c r="D6995" s="2" t="b">
        <f>IF(AND(NOT(ISBLANK(Table1[[#This Row],[Fetal Sex (Male, Female or Unknown)]])),ISNUMBER(Table1[[#This Row],[Birthweight (grams)]]),ISNUMBER(Table1[[#This Row],[Gestation (days)]])),TRUE,FALSE)</f>
        <v>0</v>
      </c>
      <c r="E6995" s="2" t="str">
        <f>IF(Table1[[#This Row],[Is Data Valid]]=TRUE,IF(Table1[[#This Row],[Fetal Sex (Male, Female or Unknown)]]="Male",Backend!$C$6,IF(Table1[[#This Row],[Fetal Sex (Male, Female or Unknown)]]="Female",Backend!$C$7,IF(Table1[[#This Row],[Fetal Sex (Male, Female or Unknown)]]="Unknown",Backend!$C$8,"Error"))),"")</f>
        <v/>
      </c>
      <c r="F6995" s="8" t="str">
        <f>IF(Table1[[#This Row],[Is Data Valid]]=TRUE,EXP(0.578+0.332*((Table1[[#This Row],[Gestation (days)]]+0.5)/7)-0.00354*((Table1[[#This Row],[Gestation (days)]]+0.5)/7)^2)*Table1[[#This Row],[BW40_3705]],"")</f>
        <v/>
      </c>
      <c r="G6995" s="2" t="str">
        <f>IF(Table1[[#This Row],[Is Data Valid]]=TRUE,((Table1[[#This Row],[Birthweight (grams)]]/Table1[[#This Row],[BW_GA]])-1)/(Backend!$B$4/100*Table1[[#This Row],[BW40_3705]]),"")</f>
        <v/>
      </c>
      <c r="H6995" s="7" t="str">
        <f>IF(Table1[[#This Row],[Is Data Valid]]=TRUE,((Table1[[#This Row],[Birthweight (grams)]]*0.9/Table1[[#This Row],[BW_GA]])-1)/(Backend!$B$4/100*Table1[[#This Row],[BW40_3705]]),"")</f>
        <v/>
      </c>
      <c r="I6995" s="7" t="str">
        <f>IF(Table1[[#This Row],[Is Data Valid]]=TRUE,((Table1[[#This Row],[Birthweight (grams)]]*1.1/Table1[[#This Row],[BW_GA]])-1)/(Backend!$B$4/100*Table1[[#This Row],[BW40_3705]]),"")</f>
        <v/>
      </c>
      <c r="J6995" s="7" t="str">
        <f>IF(Table1[[#This Row],[Is Data Valid]]=TRUE,_xlfn.NORM.S.DIST(Table1[[#This Row],[Birthweight Z-Score]],TRUE)*100,"")</f>
        <v/>
      </c>
      <c r="K6995" s="7" t="str">
        <f>IF(Table1[[#This Row],[Is Data Valid]]=TRUE,_xlfn.NORM.S.DIST(Table1[[#This Row],[Birthweight Z-Score (BW-10%)]],TRUE)*100,"")</f>
        <v/>
      </c>
      <c r="L6995" s="7" t="str">
        <f>IF(Table1[[#This Row],[Is Data Valid]]=TRUE,_xlfn.NORM.S.DIST(Table1[[#This Row],[Birthweight Z-Score (BW+10%)]],TRUE)*100,"")</f>
        <v/>
      </c>
    </row>
    <row r="6996" spans="1:12" x14ac:dyDescent="0.35">
      <c r="A6996" s="3"/>
      <c r="B6996" s="2"/>
      <c r="C6996" s="2"/>
      <c r="D6996" s="2" t="b">
        <f>IF(AND(NOT(ISBLANK(Table1[[#This Row],[Fetal Sex (Male, Female or Unknown)]])),ISNUMBER(Table1[[#This Row],[Birthweight (grams)]]),ISNUMBER(Table1[[#This Row],[Gestation (days)]])),TRUE,FALSE)</f>
        <v>0</v>
      </c>
      <c r="E6996" s="2" t="str">
        <f>IF(Table1[[#This Row],[Is Data Valid]]=TRUE,IF(Table1[[#This Row],[Fetal Sex (Male, Female or Unknown)]]="Male",Backend!$C$6,IF(Table1[[#This Row],[Fetal Sex (Male, Female or Unknown)]]="Female",Backend!$C$7,IF(Table1[[#This Row],[Fetal Sex (Male, Female or Unknown)]]="Unknown",Backend!$C$8,"Error"))),"")</f>
        <v/>
      </c>
      <c r="F6996" s="8" t="str">
        <f>IF(Table1[[#This Row],[Is Data Valid]]=TRUE,EXP(0.578+0.332*((Table1[[#This Row],[Gestation (days)]]+0.5)/7)-0.00354*((Table1[[#This Row],[Gestation (days)]]+0.5)/7)^2)*Table1[[#This Row],[BW40_3705]],"")</f>
        <v/>
      </c>
      <c r="G6996" s="2" t="str">
        <f>IF(Table1[[#This Row],[Is Data Valid]]=TRUE,((Table1[[#This Row],[Birthweight (grams)]]/Table1[[#This Row],[BW_GA]])-1)/(Backend!$B$4/100*Table1[[#This Row],[BW40_3705]]),"")</f>
        <v/>
      </c>
      <c r="H6996" s="7" t="str">
        <f>IF(Table1[[#This Row],[Is Data Valid]]=TRUE,((Table1[[#This Row],[Birthweight (grams)]]*0.9/Table1[[#This Row],[BW_GA]])-1)/(Backend!$B$4/100*Table1[[#This Row],[BW40_3705]]),"")</f>
        <v/>
      </c>
      <c r="I6996" s="7" t="str">
        <f>IF(Table1[[#This Row],[Is Data Valid]]=TRUE,((Table1[[#This Row],[Birthweight (grams)]]*1.1/Table1[[#This Row],[BW_GA]])-1)/(Backend!$B$4/100*Table1[[#This Row],[BW40_3705]]),"")</f>
        <v/>
      </c>
      <c r="J6996" s="7" t="str">
        <f>IF(Table1[[#This Row],[Is Data Valid]]=TRUE,_xlfn.NORM.S.DIST(Table1[[#This Row],[Birthweight Z-Score]],TRUE)*100,"")</f>
        <v/>
      </c>
      <c r="K6996" s="7" t="str">
        <f>IF(Table1[[#This Row],[Is Data Valid]]=TRUE,_xlfn.NORM.S.DIST(Table1[[#This Row],[Birthweight Z-Score (BW-10%)]],TRUE)*100,"")</f>
        <v/>
      </c>
      <c r="L6996" s="7" t="str">
        <f>IF(Table1[[#This Row],[Is Data Valid]]=TRUE,_xlfn.NORM.S.DIST(Table1[[#This Row],[Birthweight Z-Score (BW+10%)]],TRUE)*100,"")</f>
        <v/>
      </c>
    </row>
    <row r="6997" spans="1:12" x14ac:dyDescent="0.35">
      <c r="A6997" s="3"/>
      <c r="B6997" s="2"/>
      <c r="C6997" s="2"/>
      <c r="D6997" s="2" t="b">
        <f>IF(AND(NOT(ISBLANK(Table1[[#This Row],[Fetal Sex (Male, Female or Unknown)]])),ISNUMBER(Table1[[#This Row],[Birthweight (grams)]]),ISNUMBER(Table1[[#This Row],[Gestation (days)]])),TRUE,FALSE)</f>
        <v>0</v>
      </c>
      <c r="E6997" s="2" t="str">
        <f>IF(Table1[[#This Row],[Is Data Valid]]=TRUE,IF(Table1[[#This Row],[Fetal Sex (Male, Female or Unknown)]]="Male",Backend!$C$6,IF(Table1[[#This Row],[Fetal Sex (Male, Female or Unknown)]]="Female",Backend!$C$7,IF(Table1[[#This Row],[Fetal Sex (Male, Female or Unknown)]]="Unknown",Backend!$C$8,"Error"))),"")</f>
        <v/>
      </c>
      <c r="F6997" s="8" t="str">
        <f>IF(Table1[[#This Row],[Is Data Valid]]=TRUE,EXP(0.578+0.332*((Table1[[#This Row],[Gestation (days)]]+0.5)/7)-0.00354*((Table1[[#This Row],[Gestation (days)]]+0.5)/7)^2)*Table1[[#This Row],[BW40_3705]],"")</f>
        <v/>
      </c>
      <c r="G6997" s="2" t="str">
        <f>IF(Table1[[#This Row],[Is Data Valid]]=TRUE,((Table1[[#This Row],[Birthweight (grams)]]/Table1[[#This Row],[BW_GA]])-1)/(Backend!$B$4/100*Table1[[#This Row],[BW40_3705]]),"")</f>
        <v/>
      </c>
      <c r="H6997" s="7" t="str">
        <f>IF(Table1[[#This Row],[Is Data Valid]]=TRUE,((Table1[[#This Row],[Birthweight (grams)]]*0.9/Table1[[#This Row],[BW_GA]])-1)/(Backend!$B$4/100*Table1[[#This Row],[BW40_3705]]),"")</f>
        <v/>
      </c>
      <c r="I6997" s="7" t="str">
        <f>IF(Table1[[#This Row],[Is Data Valid]]=TRUE,((Table1[[#This Row],[Birthweight (grams)]]*1.1/Table1[[#This Row],[BW_GA]])-1)/(Backend!$B$4/100*Table1[[#This Row],[BW40_3705]]),"")</f>
        <v/>
      </c>
      <c r="J6997" s="7" t="str">
        <f>IF(Table1[[#This Row],[Is Data Valid]]=TRUE,_xlfn.NORM.S.DIST(Table1[[#This Row],[Birthweight Z-Score]],TRUE)*100,"")</f>
        <v/>
      </c>
      <c r="K6997" s="7" t="str">
        <f>IF(Table1[[#This Row],[Is Data Valid]]=TRUE,_xlfn.NORM.S.DIST(Table1[[#This Row],[Birthweight Z-Score (BW-10%)]],TRUE)*100,"")</f>
        <v/>
      </c>
      <c r="L6997" s="7" t="str">
        <f>IF(Table1[[#This Row],[Is Data Valid]]=TRUE,_xlfn.NORM.S.DIST(Table1[[#This Row],[Birthweight Z-Score (BW+10%)]],TRUE)*100,"")</f>
        <v/>
      </c>
    </row>
    <row r="6998" spans="1:12" x14ac:dyDescent="0.35">
      <c r="A6998" s="3"/>
      <c r="B6998" s="2"/>
      <c r="C6998" s="2"/>
      <c r="D6998" s="2" t="b">
        <f>IF(AND(NOT(ISBLANK(Table1[[#This Row],[Fetal Sex (Male, Female or Unknown)]])),ISNUMBER(Table1[[#This Row],[Birthweight (grams)]]),ISNUMBER(Table1[[#This Row],[Gestation (days)]])),TRUE,FALSE)</f>
        <v>0</v>
      </c>
      <c r="E6998" s="2" t="str">
        <f>IF(Table1[[#This Row],[Is Data Valid]]=TRUE,IF(Table1[[#This Row],[Fetal Sex (Male, Female or Unknown)]]="Male",Backend!$C$6,IF(Table1[[#This Row],[Fetal Sex (Male, Female or Unknown)]]="Female",Backend!$C$7,IF(Table1[[#This Row],[Fetal Sex (Male, Female or Unknown)]]="Unknown",Backend!$C$8,"Error"))),"")</f>
        <v/>
      </c>
      <c r="F6998" s="8" t="str">
        <f>IF(Table1[[#This Row],[Is Data Valid]]=TRUE,EXP(0.578+0.332*((Table1[[#This Row],[Gestation (days)]]+0.5)/7)-0.00354*((Table1[[#This Row],[Gestation (days)]]+0.5)/7)^2)*Table1[[#This Row],[BW40_3705]],"")</f>
        <v/>
      </c>
      <c r="G6998" s="2" t="str">
        <f>IF(Table1[[#This Row],[Is Data Valid]]=TRUE,((Table1[[#This Row],[Birthweight (grams)]]/Table1[[#This Row],[BW_GA]])-1)/(Backend!$B$4/100*Table1[[#This Row],[BW40_3705]]),"")</f>
        <v/>
      </c>
      <c r="H6998" s="7" t="str">
        <f>IF(Table1[[#This Row],[Is Data Valid]]=TRUE,((Table1[[#This Row],[Birthweight (grams)]]*0.9/Table1[[#This Row],[BW_GA]])-1)/(Backend!$B$4/100*Table1[[#This Row],[BW40_3705]]),"")</f>
        <v/>
      </c>
      <c r="I6998" s="7" t="str">
        <f>IF(Table1[[#This Row],[Is Data Valid]]=TRUE,((Table1[[#This Row],[Birthweight (grams)]]*1.1/Table1[[#This Row],[BW_GA]])-1)/(Backend!$B$4/100*Table1[[#This Row],[BW40_3705]]),"")</f>
        <v/>
      </c>
      <c r="J6998" s="7" t="str">
        <f>IF(Table1[[#This Row],[Is Data Valid]]=TRUE,_xlfn.NORM.S.DIST(Table1[[#This Row],[Birthweight Z-Score]],TRUE)*100,"")</f>
        <v/>
      </c>
      <c r="K6998" s="7" t="str">
        <f>IF(Table1[[#This Row],[Is Data Valid]]=TRUE,_xlfn.NORM.S.DIST(Table1[[#This Row],[Birthweight Z-Score (BW-10%)]],TRUE)*100,"")</f>
        <v/>
      </c>
      <c r="L6998" s="7" t="str">
        <f>IF(Table1[[#This Row],[Is Data Valid]]=TRUE,_xlfn.NORM.S.DIST(Table1[[#This Row],[Birthweight Z-Score (BW+10%)]],TRUE)*100,"")</f>
        <v/>
      </c>
    </row>
    <row r="6999" spans="1:12" x14ac:dyDescent="0.35">
      <c r="A6999" s="3"/>
      <c r="B6999" s="2"/>
      <c r="C6999" s="2"/>
      <c r="D6999" s="2" t="b">
        <f>IF(AND(NOT(ISBLANK(Table1[[#This Row],[Fetal Sex (Male, Female or Unknown)]])),ISNUMBER(Table1[[#This Row],[Birthweight (grams)]]),ISNUMBER(Table1[[#This Row],[Gestation (days)]])),TRUE,FALSE)</f>
        <v>0</v>
      </c>
      <c r="E6999" s="2" t="str">
        <f>IF(Table1[[#This Row],[Is Data Valid]]=TRUE,IF(Table1[[#This Row],[Fetal Sex (Male, Female or Unknown)]]="Male",Backend!$C$6,IF(Table1[[#This Row],[Fetal Sex (Male, Female or Unknown)]]="Female",Backend!$C$7,IF(Table1[[#This Row],[Fetal Sex (Male, Female or Unknown)]]="Unknown",Backend!$C$8,"Error"))),"")</f>
        <v/>
      </c>
      <c r="F6999" s="8" t="str">
        <f>IF(Table1[[#This Row],[Is Data Valid]]=TRUE,EXP(0.578+0.332*((Table1[[#This Row],[Gestation (days)]]+0.5)/7)-0.00354*((Table1[[#This Row],[Gestation (days)]]+0.5)/7)^2)*Table1[[#This Row],[BW40_3705]],"")</f>
        <v/>
      </c>
      <c r="G6999" s="2" t="str">
        <f>IF(Table1[[#This Row],[Is Data Valid]]=TRUE,((Table1[[#This Row],[Birthweight (grams)]]/Table1[[#This Row],[BW_GA]])-1)/(Backend!$B$4/100*Table1[[#This Row],[BW40_3705]]),"")</f>
        <v/>
      </c>
      <c r="H6999" s="7" t="str">
        <f>IF(Table1[[#This Row],[Is Data Valid]]=TRUE,((Table1[[#This Row],[Birthweight (grams)]]*0.9/Table1[[#This Row],[BW_GA]])-1)/(Backend!$B$4/100*Table1[[#This Row],[BW40_3705]]),"")</f>
        <v/>
      </c>
      <c r="I6999" s="7" t="str">
        <f>IF(Table1[[#This Row],[Is Data Valid]]=TRUE,((Table1[[#This Row],[Birthweight (grams)]]*1.1/Table1[[#This Row],[BW_GA]])-1)/(Backend!$B$4/100*Table1[[#This Row],[BW40_3705]]),"")</f>
        <v/>
      </c>
      <c r="J6999" s="7" t="str">
        <f>IF(Table1[[#This Row],[Is Data Valid]]=TRUE,_xlfn.NORM.S.DIST(Table1[[#This Row],[Birthweight Z-Score]],TRUE)*100,"")</f>
        <v/>
      </c>
      <c r="K6999" s="7" t="str">
        <f>IF(Table1[[#This Row],[Is Data Valid]]=TRUE,_xlfn.NORM.S.DIST(Table1[[#This Row],[Birthweight Z-Score (BW-10%)]],TRUE)*100,"")</f>
        <v/>
      </c>
      <c r="L6999" s="7" t="str">
        <f>IF(Table1[[#This Row],[Is Data Valid]]=TRUE,_xlfn.NORM.S.DIST(Table1[[#This Row],[Birthweight Z-Score (BW+10%)]],TRUE)*100,"")</f>
        <v/>
      </c>
    </row>
    <row r="7000" spans="1:12" x14ac:dyDescent="0.35">
      <c r="A7000" s="3"/>
      <c r="B7000" s="2"/>
      <c r="C7000" s="2"/>
      <c r="D7000" s="2" t="b">
        <f>IF(AND(NOT(ISBLANK(Table1[[#This Row],[Fetal Sex (Male, Female or Unknown)]])),ISNUMBER(Table1[[#This Row],[Birthweight (grams)]]),ISNUMBER(Table1[[#This Row],[Gestation (days)]])),TRUE,FALSE)</f>
        <v>0</v>
      </c>
      <c r="E7000" s="2" t="str">
        <f>IF(Table1[[#This Row],[Is Data Valid]]=TRUE,IF(Table1[[#This Row],[Fetal Sex (Male, Female or Unknown)]]="Male",Backend!$C$6,IF(Table1[[#This Row],[Fetal Sex (Male, Female or Unknown)]]="Female",Backend!$C$7,IF(Table1[[#This Row],[Fetal Sex (Male, Female or Unknown)]]="Unknown",Backend!$C$8,"Error"))),"")</f>
        <v/>
      </c>
      <c r="F7000" s="8" t="str">
        <f>IF(Table1[[#This Row],[Is Data Valid]]=TRUE,EXP(0.578+0.332*((Table1[[#This Row],[Gestation (days)]]+0.5)/7)-0.00354*((Table1[[#This Row],[Gestation (days)]]+0.5)/7)^2)*Table1[[#This Row],[BW40_3705]],"")</f>
        <v/>
      </c>
      <c r="G7000" s="2" t="str">
        <f>IF(Table1[[#This Row],[Is Data Valid]]=TRUE,((Table1[[#This Row],[Birthweight (grams)]]/Table1[[#This Row],[BW_GA]])-1)/(Backend!$B$4/100*Table1[[#This Row],[BW40_3705]]),"")</f>
        <v/>
      </c>
      <c r="H7000" s="7" t="str">
        <f>IF(Table1[[#This Row],[Is Data Valid]]=TRUE,((Table1[[#This Row],[Birthweight (grams)]]*0.9/Table1[[#This Row],[BW_GA]])-1)/(Backend!$B$4/100*Table1[[#This Row],[BW40_3705]]),"")</f>
        <v/>
      </c>
      <c r="I7000" s="7" t="str">
        <f>IF(Table1[[#This Row],[Is Data Valid]]=TRUE,((Table1[[#This Row],[Birthweight (grams)]]*1.1/Table1[[#This Row],[BW_GA]])-1)/(Backend!$B$4/100*Table1[[#This Row],[BW40_3705]]),"")</f>
        <v/>
      </c>
      <c r="J7000" s="7" t="str">
        <f>IF(Table1[[#This Row],[Is Data Valid]]=TRUE,_xlfn.NORM.S.DIST(Table1[[#This Row],[Birthweight Z-Score]],TRUE)*100,"")</f>
        <v/>
      </c>
      <c r="K7000" s="7" t="str">
        <f>IF(Table1[[#This Row],[Is Data Valid]]=TRUE,_xlfn.NORM.S.DIST(Table1[[#This Row],[Birthweight Z-Score (BW-10%)]],TRUE)*100,"")</f>
        <v/>
      </c>
      <c r="L7000" s="7" t="str">
        <f>IF(Table1[[#This Row],[Is Data Valid]]=TRUE,_xlfn.NORM.S.DIST(Table1[[#This Row],[Birthweight Z-Score (BW+10%)]],TRUE)*100,"")</f>
        <v/>
      </c>
    </row>
    <row r="7001" spans="1:12" x14ac:dyDescent="0.35">
      <c r="A7001" s="3"/>
      <c r="B7001" s="2"/>
      <c r="C7001" s="2"/>
      <c r="D7001" s="2" t="b">
        <f>IF(AND(NOT(ISBLANK(Table1[[#This Row],[Fetal Sex (Male, Female or Unknown)]])),ISNUMBER(Table1[[#This Row],[Birthweight (grams)]]),ISNUMBER(Table1[[#This Row],[Gestation (days)]])),TRUE,FALSE)</f>
        <v>0</v>
      </c>
      <c r="E7001" s="2" t="str">
        <f>IF(Table1[[#This Row],[Is Data Valid]]=TRUE,IF(Table1[[#This Row],[Fetal Sex (Male, Female or Unknown)]]="Male",Backend!$C$6,IF(Table1[[#This Row],[Fetal Sex (Male, Female or Unknown)]]="Female",Backend!$C$7,IF(Table1[[#This Row],[Fetal Sex (Male, Female or Unknown)]]="Unknown",Backend!$C$8,"Error"))),"")</f>
        <v/>
      </c>
      <c r="F7001" s="8" t="str">
        <f>IF(Table1[[#This Row],[Is Data Valid]]=TRUE,EXP(0.578+0.332*((Table1[[#This Row],[Gestation (days)]]+0.5)/7)-0.00354*((Table1[[#This Row],[Gestation (days)]]+0.5)/7)^2)*Table1[[#This Row],[BW40_3705]],"")</f>
        <v/>
      </c>
      <c r="G7001" s="2" t="str">
        <f>IF(Table1[[#This Row],[Is Data Valid]]=TRUE,((Table1[[#This Row],[Birthweight (grams)]]/Table1[[#This Row],[BW_GA]])-1)/(Backend!$B$4/100*Table1[[#This Row],[BW40_3705]]),"")</f>
        <v/>
      </c>
      <c r="H7001" s="7" t="str">
        <f>IF(Table1[[#This Row],[Is Data Valid]]=TRUE,((Table1[[#This Row],[Birthweight (grams)]]*0.9/Table1[[#This Row],[BW_GA]])-1)/(Backend!$B$4/100*Table1[[#This Row],[BW40_3705]]),"")</f>
        <v/>
      </c>
      <c r="I7001" s="7" t="str">
        <f>IF(Table1[[#This Row],[Is Data Valid]]=TRUE,((Table1[[#This Row],[Birthweight (grams)]]*1.1/Table1[[#This Row],[BW_GA]])-1)/(Backend!$B$4/100*Table1[[#This Row],[BW40_3705]]),"")</f>
        <v/>
      </c>
      <c r="J7001" s="7" t="str">
        <f>IF(Table1[[#This Row],[Is Data Valid]]=TRUE,_xlfn.NORM.S.DIST(Table1[[#This Row],[Birthweight Z-Score]],TRUE)*100,"")</f>
        <v/>
      </c>
      <c r="K7001" s="7" t="str">
        <f>IF(Table1[[#This Row],[Is Data Valid]]=TRUE,_xlfn.NORM.S.DIST(Table1[[#This Row],[Birthweight Z-Score (BW-10%)]],TRUE)*100,"")</f>
        <v/>
      </c>
      <c r="L7001" s="7" t="str">
        <f>IF(Table1[[#This Row],[Is Data Valid]]=TRUE,_xlfn.NORM.S.DIST(Table1[[#This Row],[Birthweight Z-Score (BW+10%)]],TRUE)*100,"")</f>
        <v/>
      </c>
    </row>
    <row r="7002" spans="1:12" x14ac:dyDescent="0.35">
      <c r="A7002" s="3"/>
      <c r="B7002" s="2"/>
      <c r="C7002" s="2"/>
      <c r="D7002" s="2" t="b">
        <f>IF(AND(NOT(ISBLANK(Table1[[#This Row],[Fetal Sex (Male, Female or Unknown)]])),ISNUMBER(Table1[[#This Row],[Birthweight (grams)]]),ISNUMBER(Table1[[#This Row],[Gestation (days)]])),TRUE,FALSE)</f>
        <v>0</v>
      </c>
      <c r="E7002" s="2" t="str">
        <f>IF(Table1[[#This Row],[Is Data Valid]]=TRUE,IF(Table1[[#This Row],[Fetal Sex (Male, Female or Unknown)]]="Male",Backend!$C$6,IF(Table1[[#This Row],[Fetal Sex (Male, Female or Unknown)]]="Female",Backend!$C$7,IF(Table1[[#This Row],[Fetal Sex (Male, Female or Unknown)]]="Unknown",Backend!$C$8,"Error"))),"")</f>
        <v/>
      </c>
      <c r="F7002" s="8" t="str">
        <f>IF(Table1[[#This Row],[Is Data Valid]]=TRUE,EXP(0.578+0.332*((Table1[[#This Row],[Gestation (days)]]+0.5)/7)-0.00354*((Table1[[#This Row],[Gestation (days)]]+0.5)/7)^2)*Table1[[#This Row],[BW40_3705]],"")</f>
        <v/>
      </c>
      <c r="G7002" s="2" t="str">
        <f>IF(Table1[[#This Row],[Is Data Valid]]=TRUE,((Table1[[#This Row],[Birthweight (grams)]]/Table1[[#This Row],[BW_GA]])-1)/(Backend!$B$4/100*Table1[[#This Row],[BW40_3705]]),"")</f>
        <v/>
      </c>
      <c r="H7002" s="7" t="str">
        <f>IF(Table1[[#This Row],[Is Data Valid]]=TRUE,((Table1[[#This Row],[Birthweight (grams)]]*0.9/Table1[[#This Row],[BW_GA]])-1)/(Backend!$B$4/100*Table1[[#This Row],[BW40_3705]]),"")</f>
        <v/>
      </c>
      <c r="I7002" s="7" t="str">
        <f>IF(Table1[[#This Row],[Is Data Valid]]=TRUE,((Table1[[#This Row],[Birthweight (grams)]]*1.1/Table1[[#This Row],[BW_GA]])-1)/(Backend!$B$4/100*Table1[[#This Row],[BW40_3705]]),"")</f>
        <v/>
      </c>
      <c r="J7002" s="7" t="str">
        <f>IF(Table1[[#This Row],[Is Data Valid]]=TRUE,_xlfn.NORM.S.DIST(Table1[[#This Row],[Birthweight Z-Score]],TRUE)*100,"")</f>
        <v/>
      </c>
      <c r="K7002" s="7" t="str">
        <f>IF(Table1[[#This Row],[Is Data Valid]]=TRUE,_xlfn.NORM.S.DIST(Table1[[#This Row],[Birthweight Z-Score (BW-10%)]],TRUE)*100,"")</f>
        <v/>
      </c>
      <c r="L7002" s="7" t="str">
        <f>IF(Table1[[#This Row],[Is Data Valid]]=TRUE,_xlfn.NORM.S.DIST(Table1[[#This Row],[Birthweight Z-Score (BW+10%)]],TRUE)*100,"")</f>
        <v/>
      </c>
    </row>
    <row r="7003" spans="1:12" x14ac:dyDescent="0.35">
      <c r="A7003" s="3"/>
      <c r="B7003" s="2"/>
      <c r="C7003" s="2"/>
      <c r="D7003" s="2" t="b">
        <f>IF(AND(NOT(ISBLANK(Table1[[#This Row],[Fetal Sex (Male, Female or Unknown)]])),ISNUMBER(Table1[[#This Row],[Birthweight (grams)]]),ISNUMBER(Table1[[#This Row],[Gestation (days)]])),TRUE,FALSE)</f>
        <v>0</v>
      </c>
      <c r="E7003" s="2" t="str">
        <f>IF(Table1[[#This Row],[Is Data Valid]]=TRUE,IF(Table1[[#This Row],[Fetal Sex (Male, Female or Unknown)]]="Male",Backend!$C$6,IF(Table1[[#This Row],[Fetal Sex (Male, Female or Unknown)]]="Female",Backend!$C$7,IF(Table1[[#This Row],[Fetal Sex (Male, Female or Unknown)]]="Unknown",Backend!$C$8,"Error"))),"")</f>
        <v/>
      </c>
      <c r="F7003" s="8" t="str">
        <f>IF(Table1[[#This Row],[Is Data Valid]]=TRUE,EXP(0.578+0.332*((Table1[[#This Row],[Gestation (days)]]+0.5)/7)-0.00354*((Table1[[#This Row],[Gestation (days)]]+0.5)/7)^2)*Table1[[#This Row],[BW40_3705]],"")</f>
        <v/>
      </c>
      <c r="G7003" s="2" t="str">
        <f>IF(Table1[[#This Row],[Is Data Valid]]=TRUE,((Table1[[#This Row],[Birthweight (grams)]]/Table1[[#This Row],[BW_GA]])-1)/(Backend!$B$4/100*Table1[[#This Row],[BW40_3705]]),"")</f>
        <v/>
      </c>
      <c r="H7003" s="7" t="str">
        <f>IF(Table1[[#This Row],[Is Data Valid]]=TRUE,((Table1[[#This Row],[Birthweight (grams)]]*0.9/Table1[[#This Row],[BW_GA]])-1)/(Backend!$B$4/100*Table1[[#This Row],[BW40_3705]]),"")</f>
        <v/>
      </c>
      <c r="I7003" s="7" t="str">
        <f>IF(Table1[[#This Row],[Is Data Valid]]=TRUE,((Table1[[#This Row],[Birthweight (grams)]]*1.1/Table1[[#This Row],[BW_GA]])-1)/(Backend!$B$4/100*Table1[[#This Row],[BW40_3705]]),"")</f>
        <v/>
      </c>
      <c r="J7003" s="7" t="str">
        <f>IF(Table1[[#This Row],[Is Data Valid]]=TRUE,_xlfn.NORM.S.DIST(Table1[[#This Row],[Birthweight Z-Score]],TRUE)*100,"")</f>
        <v/>
      </c>
      <c r="K7003" s="7" t="str">
        <f>IF(Table1[[#This Row],[Is Data Valid]]=TRUE,_xlfn.NORM.S.DIST(Table1[[#This Row],[Birthweight Z-Score (BW-10%)]],TRUE)*100,"")</f>
        <v/>
      </c>
      <c r="L7003" s="7" t="str">
        <f>IF(Table1[[#This Row],[Is Data Valid]]=TRUE,_xlfn.NORM.S.DIST(Table1[[#This Row],[Birthweight Z-Score (BW+10%)]],TRUE)*100,"")</f>
        <v/>
      </c>
    </row>
    <row r="7004" spans="1:12" x14ac:dyDescent="0.35">
      <c r="A7004" s="3"/>
      <c r="B7004" s="2"/>
      <c r="C7004" s="2"/>
      <c r="D7004" s="2" t="b">
        <f>IF(AND(NOT(ISBLANK(Table1[[#This Row],[Fetal Sex (Male, Female or Unknown)]])),ISNUMBER(Table1[[#This Row],[Birthweight (grams)]]),ISNUMBER(Table1[[#This Row],[Gestation (days)]])),TRUE,FALSE)</f>
        <v>0</v>
      </c>
      <c r="E7004" s="2" t="str">
        <f>IF(Table1[[#This Row],[Is Data Valid]]=TRUE,IF(Table1[[#This Row],[Fetal Sex (Male, Female or Unknown)]]="Male",Backend!$C$6,IF(Table1[[#This Row],[Fetal Sex (Male, Female or Unknown)]]="Female",Backend!$C$7,IF(Table1[[#This Row],[Fetal Sex (Male, Female or Unknown)]]="Unknown",Backend!$C$8,"Error"))),"")</f>
        <v/>
      </c>
      <c r="F7004" s="8" t="str">
        <f>IF(Table1[[#This Row],[Is Data Valid]]=TRUE,EXP(0.578+0.332*((Table1[[#This Row],[Gestation (days)]]+0.5)/7)-0.00354*((Table1[[#This Row],[Gestation (days)]]+0.5)/7)^2)*Table1[[#This Row],[BW40_3705]],"")</f>
        <v/>
      </c>
      <c r="G7004" s="2" t="str">
        <f>IF(Table1[[#This Row],[Is Data Valid]]=TRUE,((Table1[[#This Row],[Birthweight (grams)]]/Table1[[#This Row],[BW_GA]])-1)/(Backend!$B$4/100*Table1[[#This Row],[BW40_3705]]),"")</f>
        <v/>
      </c>
      <c r="H7004" s="7" t="str">
        <f>IF(Table1[[#This Row],[Is Data Valid]]=TRUE,((Table1[[#This Row],[Birthweight (grams)]]*0.9/Table1[[#This Row],[BW_GA]])-1)/(Backend!$B$4/100*Table1[[#This Row],[BW40_3705]]),"")</f>
        <v/>
      </c>
      <c r="I7004" s="7" t="str">
        <f>IF(Table1[[#This Row],[Is Data Valid]]=TRUE,((Table1[[#This Row],[Birthweight (grams)]]*1.1/Table1[[#This Row],[BW_GA]])-1)/(Backend!$B$4/100*Table1[[#This Row],[BW40_3705]]),"")</f>
        <v/>
      </c>
      <c r="J7004" s="7" t="str">
        <f>IF(Table1[[#This Row],[Is Data Valid]]=TRUE,_xlfn.NORM.S.DIST(Table1[[#This Row],[Birthweight Z-Score]],TRUE)*100,"")</f>
        <v/>
      </c>
      <c r="K7004" s="7" t="str">
        <f>IF(Table1[[#This Row],[Is Data Valid]]=TRUE,_xlfn.NORM.S.DIST(Table1[[#This Row],[Birthweight Z-Score (BW-10%)]],TRUE)*100,"")</f>
        <v/>
      </c>
      <c r="L7004" s="7" t="str">
        <f>IF(Table1[[#This Row],[Is Data Valid]]=TRUE,_xlfn.NORM.S.DIST(Table1[[#This Row],[Birthweight Z-Score (BW+10%)]],TRUE)*100,"")</f>
        <v/>
      </c>
    </row>
    <row r="7005" spans="1:12" x14ac:dyDescent="0.35">
      <c r="A7005" s="3"/>
      <c r="B7005" s="2"/>
      <c r="C7005" s="2"/>
      <c r="D7005" s="2" t="b">
        <f>IF(AND(NOT(ISBLANK(Table1[[#This Row],[Fetal Sex (Male, Female or Unknown)]])),ISNUMBER(Table1[[#This Row],[Birthweight (grams)]]),ISNUMBER(Table1[[#This Row],[Gestation (days)]])),TRUE,FALSE)</f>
        <v>0</v>
      </c>
      <c r="E7005" s="2" t="str">
        <f>IF(Table1[[#This Row],[Is Data Valid]]=TRUE,IF(Table1[[#This Row],[Fetal Sex (Male, Female or Unknown)]]="Male",Backend!$C$6,IF(Table1[[#This Row],[Fetal Sex (Male, Female or Unknown)]]="Female",Backend!$C$7,IF(Table1[[#This Row],[Fetal Sex (Male, Female or Unknown)]]="Unknown",Backend!$C$8,"Error"))),"")</f>
        <v/>
      </c>
      <c r="F7005" s="8" t="str">
        <f>IF(Table1[[#This Row],[Is Data Valid]]=TRUE,EXP(0.578+0.332*((Table1[[#This Row],[Gestation (days)]]+0.5)/7)-0.00354*((Table1[[#This Row],[Gestation (days)]]+0.5)/7)^2)*Table1[[#This Row],[BW40_3705]],"")</f>
        <v/>
      </c>
      <c r="G7005" s="2" t="str">
        <f>IF(Table1[[#This Row],[Is Data Valid]]=TRUE,((Table1[[#This Row],[Birthweight (grams)]]/Table1[[#This Row],[BW_GA]])-1)/(Backend!$B$4/100*Table1[[#This Row],[BW40_3705]]),"")</f>
        <v/>
      </c>
      <c r="H7005" s="7" t="str">
        <f>IF(Table1[[#This Row],[Is Data Valid]]=TRUE,((Table1[[#This Row],[Birthweight (grams)]]*0.9/Table1[[#This Row],[BW_GA]])-1)/(Backend!$B$4/100*Table1[[#This Row],[BW40_3705]]),"")</f>
        <v/>
      </c>
      <c r="I7005" s="7" t="str">
        <f>IF(Table1[[#This Row],[Is Data Valid]]=TRUE,((Table1[[#This Row],[Birthweight (grams)]]*1.1/Table1[[#This Row],[BW_GA]])-1)/(Backend!$B$4/100*Table1[[#This Row],[BW40_3705]]),"")</f>
        <v/>
      </c>
      <c r="J7005" s="7" t="str">
        <f>IF(Table1[[#This Row],[Is Data Valid]]=TRUE,_xlfn.NORM.S.DIST(Table1[[#This Row],[Birthweight Z-Score]],TRUE)*100,"")</f>
        <v/>
      </c>
      <c r="K7005" s="7" t="str">
        <f>IF(Table1[[#This Row],[Is Data Valid]]=TRUE,_xlfn.NORM.S.DIST(Table1[[#This Row],[Birthweight Z-Score (BW-10%)]],TRUE)*100,"")</f>
        <v/>
      </c>
      <c r="L7005" s="7" t="str">
        <f>IF(Table1[[#This Row],[Is Data Valid]]=TRUE,_xlfn.NORM.S.DIST(Table1[[#This Row],[Birthweight Z-Score (BW+10%)]],TRUE)*100,"")</f>
        <v/>
      </c>
    </row>
    <row r="7006" spans="1:12" x14ac:dyDescent="0.35">
      <c r="A7006" s="3"/>
      <c r="B7006" s="2"/>
      <c r="C7006" s="2"/>
      <c r="D7006" s="2" t="b">
        <f>IF(AND(NOT(ISBLANK(Table1[[#This Row],[Fetal Sex (Male, Female or Unknown)]])),ISNUMBER(Table1[[#This Row],[Birthweight (grams)]]),ISNUMBER(Table1[[#This Row],[Gestation (days)]])),TRUE,FALSE)</f>
        <v>0</v>
      </c>
      <c r="E7006" s="2" t="str">
        <f>IF(Table1[[#This Row],[Is Data Valid]]=TRUE,IF(Table1[[#This Row],[Fetal Sex (Male, Female or Unknown)]]="Male",Backend!$C$6,IF(Table1[[#This Row],[Fetal Sex (Male, Female or Unknown)]]="Female",Backend!$C$7,IF(Table1[[#This Row],[Fetal Sex (Male, Female or Unknown)]]="Unknown",Backend!$C$8,"Error"))),"")</f>
        <v/>
      </c>
      <c r="F7006" s="8" t="str">
        <f>IF(Table1[[#This Row],[Is Data Valid]]=TRUE,EXP(0.578+0.332*((Table1[[#This Row],[Gestation (days)]]+0.5)/7)-0.00354*((Table1[[#This Row],[Gestation (days)]]+0.5)/7)^2)*Table1[[#This Row],[BW40_3705]],"")</f>
        <v/>
      </c>
      <c r="G7006" s="2" t="str">
        <f>IF(Table1[[#This Row],[Is Data Valid]]=TRUE,((Table1[[#This Row],[Birthweight (grams)]]/Table1[[#This Row],[BW_GA]])-1)/(Backend!$B$4/100*Table1[[#This Row],[BW40_3705]]),"")</f>
        <v/>
      </c>
      <c r="H7006" s="7" t="str">
        <f>IF(Table1[[#This Row],[Is Data Valid]]=TRUE,((Table1[[#This Row],[Birthweight (grams)]]*0.9/Table1[[#This Row],[BW_GA]])-1)/(Backend!$B$4/100*Table1[[#This Row],[BW40_3705]]),"")</f>
        <v/>
      </c>
      <c r="I7006" s="7" t="str">
        <f>IF(Table1[[#This Row],[Is Data Valid]]=TRUE,((Table1[[#This Row],[Birthweight (grams)]]*1.1/Table1[[#This Row],[BW_GA]])-1)/(Backend!$B$4/100*Table1[[#This Row],[BW40_3705]]),"")</f>
        <v/>
      </c>
      <c r="J7006" s="7" t="str">
        <f>IF(Table1[[#This Row],[Is Data Valid]]=TRUE,_xlfn.NORM.S.DIST(Table1[[#This Row],[Birthweight Z-Score]],TRUE)*100,"")</f>
        <v/>
      </c>
      <c r="K7006" s="7" t="str">
        <f>IF(Table1[[#This Row],[Is Data Valid]]=TRUE,_xlfn.NORM.S.DIST(Table1[[#This Row],[Birthweight Z-Score (BW-10%)]],TRUE)*100,"")</f>
        <v/>
      </c>
      <c r="L7006" s="7" t="str">
        <f>IF(Table1[[#This Row],[Is Data Valid]]=TRUE,_xlfn.NORM.S.DIST(Table1[[#This Row],[Birthweight Z-Score (BW+10%)]],TRUE)*100,"")</f>
        <v/>
      </c>
    </row>
    <row r="7007" spans="1:12" x14ac:dyDescent="0.35">
      <c r="A7007" s="3"/>
      <c r="B7007" s="2"/>
      <c r="C7007" s="2"/>
      <c r="D7007" s="2" t="b">
        <f>IF(AND(NOT(ISBLANK(Table1[[#This Row],[Fetal Sex (Male, Female or Unknown)]])),ISNUMBER(Table1[[#This Row],[Birthweight (grams)]]),ISNUMBER(Table1[[#This Row],[Gestation (days)]])),TRUE,FALSE)</f>
        <v>0</v>
      </c>
      <c r="E7007" s="2" t="str">
        <f>IF(Table1[[#This Row],[Is Data Valid]]=TRUE,IF(Table1[[#This Row],[Fetal Sex (Male, Female or Unknown)]]="Male",Backend!$C$6,IF(Table1[[#This Row],[Fetal Sex (Male, Female or Unknown)]]="Female",Backend!$C$7,IF(Table1[[#This Row],[Fetal Sex (Male, Female or Unknown)]]="Unknown",Backend!$C$8,"Error"))),"")</f>
        <v/>
      </c>
      <c r="F7007" s="8" t="str">
        <f>IF(Table1[[#This Row],[Is Data Valid]]=TRUE,EXP(0.578+0.332*((Table1[[#This Row],[Gestation (days)]]+0.5)/7)-0.00354*((Table1[[#This Row],[Gestation (days)]]+0.5)/7)^2)*Table1[[#This Row],[BW40_3705]],"")</f>
        <v/>
      </c>
      <c r="G7007" s="2" t="str">
        <f>IF(Table1[[#This Row],[Is Data Valid]]=TRUE,((Table1[[#This Row],[Birthweight (grams)]]/Table1[[#This Row],[BW_GA]])-1)/(Backend!$B$4/100*Table1[[#This Row],[BW40_3705]]),"")</f>
        <v/>
      </c>
      <c r="H7007" s="7" t="str">
        <f>IF(Table1[[#This Row],[Is Data Valid]]=TRUE,((Table1[[#This Row],[Birthweight (grams)]]*0.9/Table1[[#This Row],[BW_GA]])-1)/(Backend!$B$4/100*Table1[[#This Row],[BW40_3705]]),"")</f>
        <v/>
      </c>
      <c r="I7007" s="7" t="str">
        <f>IF(Table1[[#This Row],[Is Data Valid]]=TRUE,((Table1[[#This Row],[Birthweight (grams)]]*1.1/Table1[[#This Row],[BW_GA]])-1)/(Backend!$B$4/100*Table1[[#This Row],[BW40_3705]]),"")</f>
        <v/>
      </c>
      <c r="J7007" s="7" t="str">
        <f>IF(Table1[[#This Row],[Is Data Valid]]=TRUE,_xlfn.NORM.S.DIST(Table1[[#This Row],[Birthweight Z-Score]],TRUE)*100,"")</f>
        <v/>
      </c>
      <c r="K7007" s="7" t="str">
        <f>IF(Table1[[#This Row],[Is Data Valid]]=TRUE,_xlfn.NORM.S.DIST(Table1[[#This Row],[Birthweight Z-Score (BW-10%)]],TRUE)*100,"")</f>
        <v/>
      </c>
      <c r="L7007" s="7" t="str">
        <f>IF(Table1[[#This Row],[Is Data Valid]]=TRUE,_xlfn.NORM.S.DIST(Table1[[#This Row],[Birthweight Z-Score (BW+10%)]],TRUE)*100,"")</f>
        <v/>
      </c>
    </row>
    <row r="7008" spans="1:12" x14ac:dyDescent="0.35">
      <c r="A7008" s="3"/>
      <c r="B7008" s="2"/>
      <c r="C7008" s="2"/>
      <c r="D7008" s="2" t="b">
        <f>IF(AND(NOT(ISBLANK(Table1[[#This Row],[Fetal Sex (Male, Female or Unknown)]])),ISNUMBER(Table1[[#This Row],[Birthweight (grams)]]),ISNUMBER(Table1[[#This Row],[Gestation (days)]])),TRUE,FALSE)</f>
        <v>0</v>
      </c>
      <c r="E7008" s="2" t="str">
        <f>IF(Table1[[#This Row],[Is Data Valid]]=TRUE,IF(Table1[[#This Row],[Fetal Sex (Male, Female or Unknown)]]="Male",Backend!$C$6,IF(Table1[[#This Row],[Fetal Sex (Male, Female or Unknown)]]="Female",Backend!$C$7,IF(Table1[[#This Row],[Fetal Sex (Male, Female or Unknown)]]="Unknown",Backend!$C$8,"Error"))),"")</f>
        <v/>
      </c>
      <c r="F7008" s="8" t="str">
        <f>IF(Table1[[#This Row],[Is Data Valid]]=TRUE,EXP(0.578+0.332*((Table1[[#This Row],[Gestation (days)]]+0.5)/7)-0.00354*((Table1[[#This Row],[Gestation (days)]]+0.5)/7)^2)*Table1[[#This Row],[BW40_3705]],"")</f>
        <v/>
      </c>
      <c r="G7008" s="2" t="str">
        <f>IF(Table1[[#This Row],[Is Data Valid]]=TRUE,((Table1[[#This Row],[Birthweight (grams)]]/Table1[[#This Row],[BW_GA]])-1)/(Backend!$B$4/100*Table1[[#This Row],[BW40_3705]]),"")</f>
        <v/>
      </c>
      <c r="H7008" s="7" t="str">
        <f>IF(Table1[[#This Row],[Is Data Valid]]=TRUE,((Table1[[#This Row],[Birthweight (grams)]]*0.9/Table1[[#This Row],[BW_GA]])-1)/(Backend!$B$4/100*Table1[[#This Row],[BW40_3705]]),"")</f>
        <v/>
      </c>
      <c r="I7008" s="7" t="str">
        <f>IF(Table1[[#This Row],[Is Data Valid]]=TRUE,((Table1[[#This Row],[Birthweight (grams)]]*1.1/Table1[[#This Row],[BW_GA]])-1)/(Backend!$B$4/100*Table1[[#This Row],[BW40_3705]]),"")</f>
        <v/>
      </c>
      <c r="J7008" s="7" t="str">
        <f>IF(Table1[[#This Row],[Is Data Valid]]=TRUE,_xlfn.NORM.S.DIST(Table1[[#This Row],[Birthweight Z-Score]],TRUE)*100,"")</f>
        <v/>
      </c>
      <c r="K7008" s="7" t="str">
        <f>IF(Table1[[#This Row],[Is Data Valid]]=TRUE,_xlfn.NORM.S.DIST(Table1[[#This Row],[Birthweight Z-Score (BW-10%)]],TRUE)*100,"")</f>
        <v/>
      </c>
      <c r="L7008" s="7" t="str">
        <f>IF(Table1[[#This Row],[Is Data Valid]]=TRUE,_xlfn.NORM.S.DIST(Table1[[#This Row],[Birthweight Z-Score (BW+10%)]],TRUE)*100,"")</f>
        <v/>
      </c>
    </row>
    <row r="7009" spans="1:12" x14ac:dyDescent="0.35">
      <c r="A7009" s="3"/>
      <c r="B7009" s="2"/>
      <c r="C7009" s="2"/>
      <c r="D7009" s="2" t="b">
        <f>IF(AND(NOT(ISBLANK(Table1[[#This Row],[Fetal Sex (Male, Female or Unknown)]])),ISNUMBER(Table1[[#This Row],[Birthweight (grams)]]),ISNUMBER(Table1[[#This Row],[Gestation (days)]])),TRUE,FALSE)</f>
        <v>0</v>
      </c>
      <c r="E7009" s="2" t="str">
        <f>IF(Table1[[#This Row],[Is Data Valid]]=TRUE,IF(Table1[[#This Row],[Fetal Sex (Male, Female or Unknown)]]="Male",Backend!$C$6,IF(Table1[[#This Row],[Fetal Sex (Male, Female or Unknown)]]="Female",Backend!$C$7,IF(Table1[[#This Row],[Fetal Sex (Male, Female or Unknown)]]="Unknown",Backend!$C$8,"Error"))),"")</f>
        <v/>
      </c>
      <c r="F7009" s="8" t="str">
        <f>IF(Table1[[#This Row],[Is Data Valid]]=TRUE,EXP(0.578+0.332*((Table1[[#This Row],[Gestation (days)]]+0.5)/7)-0.00354*((Table1[[#This Row],[Gestation (days)]]+0.5)/7)^2)*Table1[[#This Row],[BW40_3705]],"")</f>
        <v/>
      </c>
      <c r="G7009" s="2" t="str">
        <f>IF(Table1[[#This Row],[Is Data Valid]]=TRUE,((Table1[[#This Row],[Birthweight (grams)]]/Table1[[#This Row],[BW_GA]])-1)/(Backend!$B$4/100*Table1[[#This Row],[BW40_3705]]),"")</f>
        <v/>
      </c>
      <c r="H7009" s="7" t="str">
        <f>IF(Table1[[#This Row],[Is Data Valid]]=TRUE,((Table1[[#This Row],[Birthweight (grams)]]*0.9/Table1[[#This Row],[BW_GA]])-1)/(Backend!$B$4/100*Table1[[#This Row],[BW40_3705]]),"")</f>
        <v/>
      </c>
      <c r="I7009" s="7" t="str">
        <f>IF(Table1[[#This Row],[Is Data Valid]]=TRUE,((Table1[[#This Row],[Birthweight (grams)]]*1.1/Table1[[#This Row],[BW_GA]])-1)/(Backend!$B$4/100*Table1[[#This Row],[BW40_3705]]),"")</f>
        <v/>
      </c>
      <c r="J7009" s="7" t="str">
        <f>IF(Table1[[#This Row],[Is Data Valid]]=TRUE,_xlfn.NORM.S.DIST(Table1[[#This Row],[Birthweight Z-Score]],TRUE)*100,"")</f>
        <v/>
      </c>
      <c r="K7009" s="7" t="str">
        <f>IF(Table1[[#This Row],[Is Data Valid]]=TRUE,_xlfn.NORM.S.DIST(Table1[[#This Row],[Birthweight Z-Score (BW-10%)]],TRUE)*100,"")</f>
        <v/>
      </c>
      <c r="L7009" s="7" t="str">
        <f>IF(Table1[[#This Row],[Is Data Valid]]=TRUE,_xlfn.NORM.S.DIST(Table1[[#This Row],[Birthweight Z-Score (BW+10%)]],TRUE)*100,"")</f>
        <v/>
      </c>
    </row>
    <row r="7010" spans="1:12" x14ac:dyDescent="0.35">
      <c r="A7010" s="3"/>
      <c r="B7010" s="2"/>
      <c r="C7010" s="2"/>
      <c r="D7010" s="2" t="b">
        <f>IF(AND(NOT(ISBLANK(Table1[[#This Row],[Fetal Sex (Male, Female or Unknown)]])),ISNUMBER(Table1[[#This Row],[Birthweight (grams)]]),ISNUMBER(Table1[[#This Row],[Gestation (days)]])),TRUE,FALSE)</f>
        <v>0</v>
      </c>
      <c r="E7010" s="2" t="str">
        <f>IF(Table1[[#This Row],[Is Data Valid]]=TRUE,IF(Table1[[#This Row],[Fetal Sex (Male, Female or Unknown)]]="Male",Backend!$C$6,IF(Table1[[#This Row],[Fetal Sex (Male, Female or Unknown)]]="Female",Backend!$C$7,IF(Table1[[#This Row],[Fetal Sex (Male, Female or Unknown)]]="Unknown",Backend!$C$8,"Error"))),"")</f>
        <v/>
      </c>
      <c r="F7010" s="8" t="str">
        <f>IF(Table1[[#This Row],[Is Data Valid]]=TRUE,EXP(0.578+0.332*((Table1[[#This Row],[Gestation (days)]]+0.5)/7)-0.00354*((Table1[[#This Row],[Gestation (days)]]+0.5)/7)^2)*Table1[[#This Row],[BW40_3705]],"")</f>
        <v/>
      </c>
      <c r="G7010" s="2" t="str">
        <f>IF(Table1[[#This Row],[Is Data Valid]]=TRUE,((Table1[[#This Row],[Birthweight (grams)]]/Table1[[#This Row],[BW_GA]])-1)/(Backend!$B$4/100*Table1[[#This Row],[BW40_3705]]),"")</f>
        <v/>
      </c>
      <c r="H7010" s="7" t="str">
        <f>IF(Table1[[#This Row],[Is Data Valid]]=TRUE,((Table1[[#This Row],[Birthweight (grams)]]*0.9/Table1[[#This Row],[BW_GA]])-1)/(Backend!$B$4/100*Table1[[#This Row],[BW40_3705]]),"")</f>
        <v/>
      </c>
      <c r="I7010" s="7" t="str">
        <f>IF(Table1[[#This Row],[Is Data Valid]]=TRUE,((Table1[[#This Row],[Birthweight (grams)]]*1.1/Table1[[#This Row],[BW_GA]])-1)/(Backend!$B$4/100*Table1[[#This Row],[BW40_3705]]),"")</f>
        <v/>
      </c>
      <c r="J7010" s="7" t="str">
        <f>IF(Table1[[#This Row],[Is Data Valid]]=TRUE,_xlfn.NORM.S.DIST(Table1[[#This Row],[Birthweight Z-Score]],TRUE)*100,"")</f>
        <v/>
      </c>
      <c r="K7010" s="7" t="str">
        <f>IF(Table1[[#This Row],[Is Data Valid]]=TRUE,_xlfn.NORM.S.DIST(Table1[[#This Row],[Birthweight Z-Score (BW-10%)]],TRUE)*100,"")</f>
        <v/>
      </c>
      <c r="L7010" s="7" t="str">
        <f>IF(Table1[[#This Row],[Is Data Valid]]=TRUE,_xlfn.NORM.S.DIST(Table1[[#This Row],[Birthweight Z-Score (BW+10%)]],TRUE)*100,"")</f>
        <v/>
      </c>
    </row>
    <row r="7011" spans="1:12" x14ac:dyDescent="0.35">
      <c r="A7011" s="3"/>
      <c r="B7011" s="2"/>
      <c r="C7011" s="2"/>
      <c r="D7011" s="2" t="b">
        <f>IF(AND(NOT(ISBLANK(Table1[[#This Row],[Fetal Sex (Male, Female or Unknown)]])),ISNUMBER(Table1[[#This Row],[Birthweight (grams)]]),ISNUMBER(Table1[[#This Row],[Gestation (days)]])),TRUE,FALSE)</f>
        <v>0</v>
      </c>
      <c r="E7011" s="2" t="str">
        <f>IF(Table1[[#This Row],[Is Data Valid]]=TRUE,IF(Table1[[#This Row],[Fetal Sex (Male, Female or Unknown)]]="Male",Backend!$C$6,IF(Table1[[#This Row],[Fetal Sex (Male, Female or Unknown)]]="Female",Backend!$C$7,IF(Table1[[#This Row],[Fetal Sex (Male, Female or Unknown)]]="Unknown",Backend!$C$8,"Error"))),"")</f>
        <v/>
      </c>
      <c r="F7011" s="8" t="str">
        <f>IF(Table1[[#This Row],[Is Data Valid]]=TRUE,EXP(0.578+0.332*((Table1[[#This Row],[Gestation (days)]]+0.5)/7)-0.00354*((Table1[[#This Row],[Gestation (days)]]+0.5)/7)^2)*Table1[[#This Row],[BW40_3705]],"")</f>
        <v/>
      </c>
      <c r="G7011" s="2" t="str">
        <f>IF(Table1[[#This Row],[Is Data Valid]]=TRUE,((Table1[[#This Row],[Birthweight (grams)]]/Table1[[#This Row],[BW_GA]])-1)/(Backend!$B$4/100*Table1[[#This Row],[BW40_3705]]),"")</f>
        <v/>
      </c>
      <c r="H7011" s="7" t="str">
        <f>IF(Table1[[#This Row],[Is Data Valid]]=TRUE,((Table1[[#This Row],[Birthweight (grams)]]*0.9/Table1[[#This Row],[BW_GA]])-1)/(Backend!$B$4/100*Table1[[#This Row],[BW40_3705]]),"")</f>
        <v/>
      </c>
      <c r="I7011" s="7" t="str">
        <f>IF(Table1[[#This Row],[Is Data Valid]]=TRUE,((Table1[[#This Row],[Birthweight (grams)]]*1.1/Table1[[#This Row],[BW_GA]])-1)/(Backend!$B$4/100*Table1[[#This Row],[BW40_3705]]),"")</f>
        <v/>
      </c>
      <c r="J7011" s="7" t="str">
        <f>IF(Table1[[#This Row],[Is Data Valid]]=TRUE,_xlfn.NORM.S.DIST(Table1[[#This Row],[Birthweight Z-Score]],TRUE)*100,"")</f>
        <v/>
      </c>
      <c r="K7011" s="7" t="str">
        <f>IF(Table1[[#This Row],[Is Data Valid]]=TRUE,_xlfn.NORM.S.DIST(Table1[[#This Row],[Birthweight Z-Score (BW-10%)]],TRUE)*100,"")</f>
        <v/>
      </c>
      <c r="L7011" s="7" t="str">
        <f>IF(Table1[[#This Row],[Is Data Valid]]=TRUE,_xlfn.NORM.S.DIST(Table1[[#This Row],[Birthweight Z-Score (BW+10%)]],TRUE)*100,"")</f>
        <v/>
      </c>
    </row>
    <row r="7012" spans="1:12" x14ac:dyDescent="0.35">
      <c r="A7012" s="3"/>
      <c r="B7012" s="2"/>
      <c r="C7012" s="2"/>
      <c r="D7012" s="2" t="b">
        <f>IF(AND(NOT(ISBLANK(Table1[[#This Row],[Fetal Sex (Male, Female or Unknown)]])),ISNUMBER(Table1[[#This Row],[Birthweight (grams)]]),ISNUMBER(Table1[[#This Row],[Gestation (days)]])),TRUE,FALSE)</f>
        <v>0</v>
      </c>
      <c r="E7012" s="2" t="str">
        <f>IF(Table1[[#This Row],[Is Data Valid]]=TRUE,IF(Table1[[#This Row],[Fetal Sex (Male, Female or Unknown)]]="Male",Backend!$C$6,IF(Table1[[#This Row],[Fetal Sex (Male, Female or Unknown)]]="Female",Backend!$C$7,IF(Table1[[#This Row],[Fetal Sex (Male, Female or Unknown)]]="Unknown",Backend!$C$8,"Error"))),"")</f>
        <v/>
      </c>
      <c r="F7012" s="8" t="str">
        <f>IF(Table1[[#This Row],[Is Data Valid]]=TRUE,EXP(0.578+0.332*((Table1[[#This Row],[Gestation (days)]]+0.5)/7)-0.00354*((Table1[[#This Row],[Gestation (days)]]+0.5)/7)^2)*Table1[[#This Row],[BW40_3705]],"")</f>
        <v/>
      </c>
      <c r="G7012" s="2" t="str">
        <f>IF(Table1[[#This Row],[Is Data Valid]]=TRUE,((Table1[[#This Row],[Birthweight (grams)]]/Table1[[#This Row],[BW_GA]])-1)/(Backend!$B$4/100*Table1[[#This Row],[BW40_3705]]),"")</f>
        <v/>
      </c>
      <c r="H7012" s="7" t="str">
        <f>IF(Table1[[#This Row],[Is Data Valid]]=TRUE,((Table1[[#This Row],[Birthweight (grams)]]*0.9/Table1[[#This Row],[BW_GA]])-1)/(Backend!$B$4/100*Table1[[#This Row],[BW40_3705]]),"")</f>
        <v/>
      </c>
      <c r="I7012" s="7" t="str">
        <f>IF(Table1[[#This Row],[Is Data Valid]]=TRUE,((Table1[[#This Row],[Birthweight (grams)]]*1.1/Table1[[#This Row],[BW_GA]])-1)/(Backend!$B$4/100*Table1[[#This Row],[BW40_3705]]),"")</f>
        <v/>
      </c>
      <c r="J7012" s="7" t="str">
        <f>IF(Table1[[#This Row],[Is Data Valid]]=TRUE,_xlfn.NORM.S.DIST(Table1[[#This Row],[Birthweight Z-Score]],TRUE)*100,"")</f>
        <v/>
      </c>
      <c r="K7012" s="7" t="str">
        <f>IF(Table1[[#This Row],[Is Data Valid]]=TRUE,_xlfn.NORM.S.DIST(Table1[[#This Row],[Birthweight Z-Score (BW-10%)]],TRUE)*100,"")</f>
        <v/>
      </c>
      <c r="L7012" s="7" t="str">
        <f>IF(Table1[[#This Row],[Is Data Valid]]=TRUE,_xlfn.NORM.S.DIST(Table1[[#This Row],[Birthweight Z-Score (BW+10%)]],TRUE)*100,"")</f>
        <v/>
      </c>
    </row>
    <row r="7013" spans="1:12" x14ac:dyDescent="0.35">
      <c r="A7013" s="3"/>
      <c r="B7013" s="2"/>
      <c r="C7013" s="2"/>
      <c r="D7013" s="2" t="b">
        <f>IF(AND(NOT(ISBLANK(Table1[[#This Row],[Fetal Sex (Male, Female or Unknown)]])),ISNUMBER(Table1[[#This Row],[Birthweight (grams)]]),ISNUMBER(Table1[[#This Row],[Gestation (days)]])),TRUE,FALSE)</f>
        <v>0</v>
      </c>
      <c r="E7013" s="2" t="str">
        <f>IF(Table1[[#This Row],[Is Data Valid]]=TRUE,IF(Table1[[#This Row],[Fetal Sex (Male, Female or Unknown)]]="Male",Backend!$C$6,IF(Table1[[#This Row],[Fetal Sex (Male, Female or Unknown)]]="Female",Backend!$C$7,IF(Table1[[#This Row],[Fetal Sex (Male, Female or Unknown)]]="Unknown",Backend!$C$8,"Error"))),"")</f>
        <v/>
      </c>
      <c r="F7013" s="8" t="str">
        <f>IF(Table1[[#This Row],[Is Data Valid]]=TRUE,EXP(0.578+0.332*((Table1[[#This Row],[Gestation (days)]]+0.5)/7)-0.00354*((Table1[[#This Row],[Gestation (days)]]+0.5)/7)^2)*Table1[[#This Row],[BW40_3705]],"")</f>
        <v/>
      </c>
      <c r="G7013" s="2" t="str">
        <f>IF(Table1[[#This Row],[Is Data Valid]]=TRUE,((Table1[[#This Row],[Birthweight (grams)]]/Table1[[#This Row],[BW_GA]])-1)/(Backend!$B$4/100*Table1[[#This Row],[BW40_3705]]),"")</f>
        <v/>
      </c>
      <c r="H7013" s="7" t="str">
        <f>IF(Table1[[#This Row],[Is Data Valid]]=TRUE,((Table1[[#This Row],[Birthweight (grams)]]*0.9/Table1[[#This Row],[BW_GA]])-1)/(Backend!$B$4/100*Table1[[#This Row],[BW40_3705]]),"")</f>
        <v/>
      </c>
      <c r="I7013" s="7" t="str">
        <f>IF(Table1[[#This Row],[Is Data Valid]]=TRUE,((Table1[[#This Row],[Birthweight (grams)]]*1.1/Table1[[#This Row],[BW_GA]])-1)/(Backend!$B$4/100*Table1[[#This Row],[BW40_3705]]),"")</f>
        <v/>
      </c>
      <c r="J7013" s="7" t="str">
        <f>IF(Table1[[#This Row],[Is Data Valid]]=TRUE,_xlfn.NORM.S.DIST(Table1[[#This Row],[Birthweight Z-Score]],TRUE)*100,"")</f>
        <v/>
      </c>
      <c r="K7013" s="7" t="str">
        <f>IF(Table1[[#This Row],[Is Data Valid]]=TRUE,_xlfn.NORM.S.DIST(Table1[[#This Row],[Birthweight Z-Score (BW-10%)]],TRUE)*100,"")</f>
        <v/>
      </c>
      <c r="L7013" s="7" t="str">
        <f>IF(Table1[[#This Row],[Is Data Valid]]=TRUE,_xlfn.NORM.S.DIST(Table1[[#This Row],[Birthweight Z-Score (BW+10%)]],TRUE)*100,"")</f>
        <v/>
      </c>
    </row>
    <row r="7014" spans="1:12" x14ac:dyDescent="0.35">
      <c r="A7014" s="3"/>
      <c r="B7014" s="2"/>
      <c r="C7014" s="2"/>
      <c r="D7014" s="2" t="b">
        <f>IF(AND(NOT(ISBLANK(Table1[[#This Row],[Fetal Sex (Male, Female or Unknown)]])),ISNUMBER(Table1[[#This Row],[Birthweight (grams)]]),ISNUMBER(Table1[[#This Row],[Gestation (days)]])),TRUE,FALSE)</f>
        <v>0</v>
      </c>
      <c r="E7014" s="2" t="str">
        <f>IF(Table1[[#This Row],[Is Data Valid]]=TRUE,IF(Table1[[#This Row],[Fetal Sex (Male, Female or Unknown)]]="Male",Backend!$C$6,IF(Table1[[#This Row],[Fetal Sex (Male, Female or Unknown)]]="Female",Backend!$C$7,IF(Table1[[#This Row],[Fetal Sex (Male, Female or Unknown)]]="Unknown",Backend!$C$8,"Error"))),"")</f>
        <v/>
      </c>
      <c r="F7014" s="8" t="str">
        <f>IF(Table1[[#This Row],[Is Data Valid]]=TRUE,EXP(0.578+0.332*((Table1[[#This Row],[Gestation (days)]]+0.5)/7)-0.00354*((Table1[[#This Row],[Gestation (days)]]+0.5)/7)^2)*Table1[[#This Row],[BW40_3705]],"")</f>
        <v/>
      </c>
      <c r="G7014" s="2" t="str">
        <f>IF(Table1[[#This Row],[Is Data Valid]]=TRUE,((Table1[[#This Row],[Birthweight (grams)]]/Table1[[#This Row],[BW_GA]])-1)/(Backend!$B$4/100*Table1[[#This Row],[BW40_3705]]),"")</f>
        <v/>
      </c>
      <c r="H7014" s="7" t="str">
        <f>IF(Table1[[#This Row],[Is Data Valid]]=TRUE,((Table1[[#This Row],[Birthweight (grams)]]*0.9/Table1[[#This Row],[BW_GA]])-1)/(Backend!$B$4/100*Table1[[#This Row],[BW40_3705]]),"")</f>
        <v/>
      </c>
      <c r="I7014" s="7" t="str">
        <f>IF(Table1[[#This Row],[Is Data Valid]]=TRUE,((Table1[[#This Row],[Birthweight (grams)]]*1.1/Table1[[#This Row],[BW_GA]])-1)/(Backend!$B$4/100*Table1[[#This Row],[BW40_3705]]),"")</f>
        <v/>
      </c>
      <c r="J7014" s="7" t="str">
        <f>IF(Table1[[#This Row],[Is Data Valid]]=TRUE,_xlfn.NORM.S.DIST(Table1[[#This Row],[Birthweight Z-Score]],TRUE)*100,"")</f>
        <v/>
      </c>
      <c r="K7014" s="7" t="str">
        <f>IF(Table1[[#This Row],[Is Data Valid]]=TRUE,_xlfn.NORM.S.DIST(Table1[[#This Row],[Birthweight Z-Score (BW-10%)]],TRUE)*100,"")</f>
        <v/>
      </c>
      <c r="L7014" s="7" t="str">
        <f>IF(Table1[[#This Row],[Is Data Valid]]=TRUE,_xlfn.NORM.S.DIST(Table1[[#This Row],[Birthweight Z-Score (BW+10%)]],TRUE)*100,"")</f>
        <v/>
      </c>
    </row>
    <row r="7015" spans="1:12" x14ac:dyDescent="0.35">
      <c r="A7015" s="3"/>
      <c r="B7015" s="2"/>
      <c r="C7015" s="2"/>
      <c r="D7015" s="2" t="b">
        <f>IF(AND(NOT(ISBLANK(Table1[[#This Row],[Fetal Sex (Male, Female or Unknown)]])),ISNUMBER(Table1[[#This Row],[Birthweight (grams)]]),ISNUMBER(Table1[[#This Row],[Gestation (days)]])),TRUE,FALSE)</f>
        <v>0</v>
      </c>
      <c r="E7015" s="2" t="str">
        <f>IF(Table1[[#This Row],[Is Data Valid]]=TRUE,IF(Table1[[#This Row],[Fetal Sex (Male, Female or Unknown)]]="Male",Backend!$C$6,IF(Table1[[#This Row],[Fetal Sex (Male, Female or Unknown)]]="Female",Backend!$C$7,IF(Table1[[#This Row],[Fetal Sex (Male, Female or Unknown)]]="Unknown",Backend!$C$8,"Error"))),"")</f>
        <v/>
      </c>
      <c r="F7015" s="8" t="str">
        <f>IF(Table1[[#This Row],[Is Data Valid]]=TRUE,EXP(0.578+0.332*((Table1[[#This Row],[Gestation (days)]]+0.5)/7)-0.00354*((Table1[[#This Row],[Gestation (days)]]+0.5)/7)^2)*Table1[[#This Row],[BW40_3705]],"")</f>
        <v/>
      </c>
      <c r="G7015" s="2" t="str">
        <f>IF(Table1[[#This Row],[Is Data Valid]]=TRUE,((Table1[[#This Row],[Birthweight (grams)]]/Table1[[#This Row],[BW_GA]])-1)/(Backend!$B$4/100*Table1[[#This Row],[BW40_3705]]),"")</f>
        <v/>
      </c>
      <c r="H7015" s="7" t="str">
        <f>IF(Table1[[#This Row],[Is Data Valid]]=TRUE,((Table1[[#This Row],[Birthweight (grams)]]*0.9/Table1[[#This Row],[BW_GA]])-1)/(Backend!$B$4/100*Table1[[#This Row],[BW40_3705]]),"")</f>
        <v/>
      </c>
      <c r="I7015" s="7" t="str">
        <f>IF(Table1[[#This Row],[Is Data Valid]]=TRUE,((Table1[[#This Row],[Birthweight (grams)]]*1.1/Table1[[#This Row],[BW_GA]])-1)/(Backend!$B$4/100*Table1[[#This Row],[BW40_3705]]),"")</f>
        <v/>
      </c>
      <c r="J7015" s="7" t="str">
        <f>IF(Table1[[#This Row],[Is Data Valid]]=TRUE,_xlfn.NORM.S.DIST(Table1[[#This Row],[Birthweight Z-Score]],TRUE)*100,"")</f>
        <v/>
      </c>
      <c r="K7015" s="7" t="str">
        <f>IF(Table1[[#This Row],[Is Data Valid]]=TRUE,_xlfn.NORM.S.DIST(Table1[[#This Row],[Birthweight Z-Score (BW-10%)]],TRUE)*100,"")</f>
        <v/>
      </c>
      <c r="L7015" s="7" t="str">
        <f>IF(Table1[[#This Row],[Is Data Valid]]=TRUE,_xlfn.NORM.S.DIST(Table1[[#This Row],[Birthweight Z-Score (BW+10%)]],TRUE)*100,"")</f>
        <v/>
      </c>
    </row>
    <row r="7016" spans="1:12" x14ac:dyDescent="0.35">
      <c r="A7016" s="3"/>
      <c r="B7016" s="2"/>
      <c r="C7016" s="2"/>
      <c r="D7016" s="2" t="b">
        <f>IF(AND(NOT(ISBLANK(Table1[[#This Row],[Fetal Sex (Male, Female or Unknown)]])),ISNUMBER(Table1[[#This Row],[Birthweight (grams)]]),ISNUMBER(Table1[[#This Row],[Gestation (days)]])),TRUE,FALSE)</f>
        <v>0</v>
      </c>
      <c r="E7016" s="2" t="str">
        <f>IF(Table1[[#This Row],[Is Data Valid]]=TRUE,IF(Table1[[#This Row],[Fetal Sex (Male, Female or Unknown)]]="Male",Backend!$C$6,IF(Table1[[#This Row],[Fetal Sex (Male, Female or Unknown)]]="Female",Backend!$C$7,IF(Table1[[#This Row],[Fetal Sex (Male, Female or Unknown)]]="Unknown",Backend!$C$8,"Error"))),"")</f>
        <v/>
      </c>
      <c r="F7016" s="8" t="str">
        <f>IF(Table1[[#This Row],[Is Data Valid]]=TRUE,EXP(0.578+0.332*((Table1[[#This Row],[Gestation (days)]]+0.5)/7)-0.00354*((Table1[[#This Row],[Gestation (days)]]+0.5)/7)^2)*Table1[[#This Row],[BW40_3705]],"")</f>
        <v/>
      </c>
      <c r="G7016" s="2" t="str">
        <f>IF(Table1[[#This Row],[Is Data Valid]]=TRUE,((Table1[[#This Row],[Birthweight (grams)]]/Table1[[#This Row],[BW_GA]])-1)/(Backend!$B$4/100*Table1[[#This Row],[BW40_3705]]),"")</f>
        <v/>
      </c>
      <c r="H7016" s="7" t="str">
        <f>IF(Table1[[#This Row],[Is Data Valid]]=TRUE,((Table1[[#This Row],[Birthweight (grams)]]*0.9/Table1[[#This Row],[BW_GA]])-1)/(Backend!$B$4/100*Table1[[#This Row],[BW40_3705]]),"")</f>
        <v/>
      </c>
      <c r="I7016" s="7" t="str">
        <f>IF(Table1[[#This Row],[Is Data Valid]]=TRUE,((Table1[[#This Row],[Birthweight (grams)]]*1.1/Table1[[#This Row],[BW_GA]])-1)/(Backend!$B$4/100*Table1[[#This Row],[BW40_3705]]),"")</f>
        <v/>
      </c>
      <c r="J7016" s="7" t="str">
        <f>IF(Table1[[#This Row],[Is Data Valid]]=TRUE,_xlfn.NORM.S.DIST(Table1[[#This Row],[Birthweight Z-Score]],TRUE)*100,"")</f>
        <v/>
      </c>
      <c r="K7016" s="7" t="str">
        <f>IF(Table1[[#This Row],[Is Data Valid]]=TRUE,_xlfn.NORM.S.DIST(Table1[[#This Row],[Birthweight Z-Score (BW-10%)]],TRUE)*100,"")</f>
        <v/>
      </c>
      <c r="L7016" s="7" t="str">
        <f>IF(Table1[[#This Row],[Is Data Valid]]=TRUE,_xlfn.NORM.S.DIST(Table1[[#This Row],[Birthweight Z-Score (BW+10%)]],TRUE)*100,"")</f>
        <v/>
      </c>
    </row>
    <row r="7017" spans="1:12" x14ac:dyDescent="0.35">
      <c r="A7017" s="3"/>
      <c r="B7017" s="2"/>
      <c r="C7017" s="2"/>
      <c r="D7017" s="2" t="b">
        <f>IF(AND(NOT(ISBLANK(Table1[[#This Row],[Fetal Sex (Male, Female or Unknown)]])),ISNUMBER(Table1[[#This Row],[Birthweight (grams)]]),ISNUMBER(Table1[[#This Row],[Gestation (days)]])),TRUE,FALSE)</f>
        <v>0</v>
      </c>
      <c r="E7017" s="2" t="str">
        <f>IF(Table1[[#This Row],[Is Data Valid]]=TRUE,IF(Table1[[#This Row],[Fetal Sex (Male, Female or Unknown)]]="Male",Backend!$C$6,IF(Table1[[#This Row],[Fetal Sex (Male, Female or Unknown)]]="Female",Backend!$C$7,IF(Table1[[#This Row],[Fetal Sex (Male, Female or Unknown)]]="Unknown",Backend!$C$8,"Error"))),"")</f>
        <v/>
      </c>
      <c r="F7017" s="8" t="str">
        <f>IF(Table1[[#This Row],[Is Data Valid]]=TRUE,EXP(0.578+0.332*((Table1[[#This Row],[Gestation (days)]]+0.5)/7)-0.00354*((Table1[[#This Row],[Gestation (days)]]+0.5)/7)^2)*Table1[[#This Row],[BW40_3705]],"")</f>
        <v/>
      </c>
      <c r="G7017" s="2" t="str">
        <f>IF(Table1[[#This Row],[Is Data Valid]]=TRUE,((Table1[[#This Row],[Birthweight (grams)]]/Table1[[#This Row],[BW_GA]])-1)/(Backend!$B$4/100*Table1[[#This Row],[BW40_3705]]),"")</f>
        <v/>
      </c>
      <c r="H7017" s="7" t="str">
        <f>IF(Table1[[#This Row],[Is Data Valid]]=TRUE,((Table1[[#This Row],[Birthweight (grams)]]*0.9/Table1[[#This Row],[BW_GA]])-1)/(Backend!$B$4/100*Table1[[#This Row],[BW40_3705]]),"")</f>
        <v/>
      </c>
      <c r="I7017" s="7" t="str">
        <f>IF(Table1[[#This Row],[Is Data Valid]]=TRUE,((Table1[[#This Row],[Birthweight (grams)]]*1.1/Table1[[#This Row],[BW_GA]])-1)/(Backend!$B$4/100*Table1[[#This Row],[BW40_3705]]),"")</f>
        <v/>
      </c>
      <c r="J7017" s="7" t="str">
        <f>IF(Table1[[#This Row],[Is Data Valid]]=TRUE,_xlfn.NORM.S.DIST(Table1[[#This Row],[Birthweight Z-Score]],TRUE)*100,"")</f>
        <v/>
      </c>
      <c r="K7017" s="7" t="str">
        <f>IF(Table1[[#This Row],[Is Data Valid]]=TRUE,_xlfn.NORM.S.DIST(Table1[[#This Row],[Birthweight Z-Score (BW-10%)]],TRUE)*100,"")</f>
        <v/>
      </c>
      <c r="L7017" s="7" t="str">
        <f>IF(Table1[[#This Row],[Is Data Valid]]=TRUE,_xlfn.NORM.S.DIST(Table1[[#This Row],[Birthweight Z-Score (BW+10%)]],TRUE)*100,"")</f>
        <v/>
      </c>
    </row>
    <row r="7018" spans="1:12" x14ac:dyDescent="0.35">
      <c r="A7018" s="3"/>
      <c r="B7018" s="2"/>
      <c r="C7018" s="2"/>
      <c r="D7018" s="2" t="b">
        <f>IF(AND(NOT(ISBLANK(Table1[[#This Row],[Fetal Sex (Male, Female or Unknown)]])),ISNUMBER(Table1[[#This Row],[Birthweight (grams)]]),ISNUMBER(Table1[[#This Row],[Gestation (days)]])),TRUE,FALSE)</f>
        <v>0</v>
      </c>
      <c r="E7018" s="2" t="str">
        <f>IF(Table1[[#This Row],[Is Data Valid]]=TRUE,IF(Table1[[#This Row],[Fetal Sex (Male, Female or Unknown)]]="Male",Backend!$C$6,IF(Table1[[#This Row],[Fetal Sex (Male, Female or Unknown)]]="Female",Backend!$C$7,IF(Table1[[#This Row],[Fetal Sex (Male, Female or Unknown)]]="Unknown",Backend!$C$8,"Error"))),"")</f>
        <v/>
      </c>
      <c r="F7018" s="8" t="str">
        <f>IF(Table1[[#This Row],[Is Data Valid]]=TRUE,EXP(0.578+0.332*((Table1[[#This Row],[Gestation (days)]]+0.5)/7)-0.00354*((Table1[[#This Row],[Gestation (days)]]+0.5)/7)^2)*Table1[[#This Row],[BW40_3705]],"")</f>
        <v/>
      </c>
      <c r="G7018" s="2" t="str">
        <f>IF(Table1[[#This Row],[Is Data Valid]]=TRUE,((Table1[[#This Row],[Birthweight (grams)]]/Table1[[#This Row],[BW_GA]])-1)/(Backend!$B$4/100*Table1[[#This Row],[BW40_3705]]),"")</f>
        <v/>
      </c>
      <c r="H7018" s="7" t="str">
        <f>IF(Table1[[#This Row],[Is Data Valid]]=TRUE,((Table1[[#This Row],[Birthweight (grams)]]*0.9/Table1[[#This Row],[BW_GA]])-1)/(Backend!$B$4/100*Table1[[#This Row],[BW40_3705]]),"")</f>
        <v/>
      </c>
      <c r="I7018" s="7" t="str">
        <f>IF(Table1[[#This Row],[Is Data Valid]]=TRUE,((Table1[[#This Row],[Birthweight (grams)]]*1.1/Table1[[#This Row],[BW_GA]])-1)/(Backend!$B$4/100*Table1[[#This Row],[BW40_3705]]),"")</f>
        <v/>
      </c>
      <c r="J7018" s="7" t="str">
        <f>IF(Table1[[#This Row],[Is Data Valid]]=TRUE,_xlfn.NORM.S.DIST(Table1[[#This Row],[Birthweight Z-Score]],TRUE)*100,"")</f>
        <v/>
      </c>
      <c r="K7018" s="7" t="str">
        <f>IF(Table1[[#This Row],[Is Data Valid]]=TRUE,_xlfn.NORM.S.DIST(Table1[[#This Row],[Birthweight Z-Score (BW-10%)]],TRUE)*100,"")</f>
        <v/>
      </c>
      <c r="L7018" s="7" t="str">
        <f>IF(Table1[[#This Row],[Is Data Valid]]=TRUE,_xlfn.NORM.S.DIST(Table1[[#This Row],[Birthweight Z-Score (BW+10%)]],TRUE)*100,"")</f>
        <v/>
      </c>
    </row>
    <row r="7019" spans="1:12" x14ac:dyDescent="0.35">
      <c r="A7019" s="3"/>
      <c r="B7019" s="2"/>
      <c r="C7019" s="2"/>
      <c r="D7019" s="2" t="b">
        <f>IF(AND(NOT(ISBLANK(Table1[[#This Row],[Fetal Sex (Male, Female or Unknown)]])),ISNUMBER(Table1[[#This Row],[Birthweight (grams)]]),ISNUMBER(Table1[[#This Row],[Gestation (days)]])),TRUE,FALSE)</f>
        <v>0</v>
      </c>
      <c r="E7019" s="2" t="str">
        <f>IF(Table1[[#This Row],[Is Data Valid]]=TRUE,IF(Table1[[#This Row],[Fetal Sex (Male, Female or Unknown)]]="Male",Backend!$C$6,IF(Table1[[#This Row],[Fetal Sex (Male, Female or Unknown)]]="Female",Backend!$C$7,IF(Table1[[#This Row],[Fetal Sex (Male, Female or Unknown)]]="Unknown",Backend!$C$8,"Error"))),"")</f>
        <v/>
      </c>
      <c r="F7019" s="8" t="str">
        <f>IF(Table1[[#This Row],[Is Data Valid]]=TRUE,EXP(0.578+0.332*((Table1[[#This Row],[Gestation (days)]]+0.5)/7)-0.00354*((Table1[[#This Row],[Gestation (days)]]+0.5)/7)^2)*Table1[[#This Row],[BW40_3705]],"")</f>
        <v/>
      </c>
      <c r="G7019" s="2" t="str">
        <f>IF(Table1[[#This Row],[Is Data Valid]]=TRUE,((Table1[[#This Row],[Birthweight (grams)]]/Table1[[#This Row],[BW_GA]])-1)/(Backend!$B$4/100*Table1[[#This Row],[BW40_3705]]),"")</f>
        <v/>
      </c>
      <c r="H7019" s="7" t="str">
        <f>IF(Table1[[#This Row],[Is Data Valid]]=TRUE,((Table1[[#This Row],[Birthweight (grams)]]*0.9/Table1[[#This Row],[BW_GA]])-1)/(Backend!$B$4/100*Table1[[#This Row],[BW40_3705]]),"")</f>
        <v/>
      </c>
      <c r="I7019" s="7" t="str">
        <f>IF(Table1[[#This Row],[Is Data Valid]]=TRUE,((Table1[[#This Row],[Birthweight (grams)]]*1.1/Table1[[#This Row],[BW_GA]])-1)/(Backend!$B$4/100*Table1[[#This Row],[BW40_3705]]),"")</f>
        <v/>
      </c>
      <c r="J7019" s="7" t="str">
        <f>IF(Table1[[#This Row],[Is Data Valid]]=TRUE,_xlfn.NORM.S.DIST(Table1[[#This Row],[Birthweight Z-Score]],TRUE)*100,"")</f>
        <v/>
      </c>
      <c r="K7019" s="7" t="str">
        <f>IF(Table1[[#This Row],[Is Data Valid]]=TRUE,_xlfn.NORM.S.DIST(Table1[[#This Row],[Birthweight Z-Score (BW-10%)]],TRUE)*100,"")</f>
        <v/>
      </c>
      <c r="L7019" s="7" t="str">
        <f>IF(Table1[[#This Row],[Is Data Valid]]=TRUE,_xlfn.NORM.S.DIST(Table1[[#This Row],[Birthweight Z-Score (BW+10%)]],TRUE)*100,"")</f>
        <v/>
      </c>
    </row>
    <row r="7020" spans="1:12" x14ac:dyDescent="0.35">
      <c r="A7020" s="3"/>
      <c r="B7020" s="2"/>
      <c r="C7020" s="2"/>
      <c r="D7020" s="2" t="b">
        <f>IF(AND(NOT(ISBLANK(Table1[[#This Row],[Fetal Sex (Male, Female or Unknown)]])),ISNUMBER(Table1[[#This Row],[Birthweight (grams)]]),ISNUMBER(Table1[[#This Row],[Gestation (days)]])),TRUE,FALSE)</f>
        <v>0</v>
      </c>
      <c r="E7020" s="2" t="str">
        <f>IF(Table1[[#This Row],[Is Data Valid]]=TRUE,IF(Table1[[#This Row],[Fetal Sex (Male, Female or Unknown)]]="Male",Backend!$C$6,IF(Table1[[#This Row],[Fetal Sex (Male, Female or Unknown)]]="Female",Backend!$C$7,IF(Table1[[#This Row],[Fetal Sex (Male, Female or Unknown)]]="Unknown",Backend!$C$8,"Error"))),"")</f>
        <v/>
      </c>
      <c r="F7020" s="8" t="str">
        <f>IF(Table1[[#This Row],[Is Data Valid]]=TRUE,EXP(0.578+0.332*((Table1[[#This Row],[Gestation (days)]]+0.5)/7)-0.00354*((Table1[[#This Row],[Gestation (days)]]+0.5)/7)^2)*Table1[[#This Row],[BW40_3705]],"")</f>
        <v/>
      </c>
      <c r="G7020" s="2" t="str">
        <f>IF(Table1[[#This Row],[Is Data Valid]]=TRUE,((Table1[[#This Row],[Birthweight (grams)]]/Table1[[#This Row],[BW_GA]])-1)/(Backend!$B$4/100*Table1[[#This Row],[BW40_3705]]),"")</f>
        <v/>
      </c>
      <c r="H7020" s="7" t="str">
        <f>IF(Table1[[#This Row],[Is Data Valid]]=TRUE,((Table1[[#This Row],[Birthweight (grams)]]*0.9/Table1[[#This Row],[BW_GA]])-1)/(Backend!$B$4/100*Table1[[#This Row],[BW40_3705]]),"")</f>
        <v/>
      </c>
      <c r="I7020" s="7" t="str">
        <f>IF(Table1[[#This Row],[Is Data Valid]]=TRUE,((Table1[[#This Row],[Birthweight (grams)]]*1.1/Table1[[#This Row],[BW_GA]])-1)/(Backend!$B$4/100*Table1[[#This Row],[BW40_3705]]),"")</f>
        <v/>
      </c>
      <c r="J7020" s="7" t="str">
        <f>IF(Table1[[#This Row],[Is Data Valid]]=TRUE,_xlfn.NORM.S.DIST(Table1[[#This Row],[Birthweight Z-Score]],TRUE)*100,"")</f>
        <v/>
      </c>
      <c r="K7020" s="7" t="str">
        <f>IF(Table1[[#This Row],[Is Data Valid]]=TRUE,_xlfn.NORM.S.DIST(Table1[[#This Row],[Birthweight Z-Score (BW-10%)]],TRUE)*100,"")</f>
        <v/>
      </c>
      <c r="L7020" s="7" t="str">
        <f>IF(Table1[[#This Row],[Is Data Valid]]=TRUE,_xlfn.NORM.S.DIST(Table1[[#This Row],[Birthweight Z-Score (BW+10%)]],TRUE)*100,"")</f>
        <v/>
      </c>
    </row>
    <row r="7021" spans="1:12" x14ac:dyDescent="0.35">
      <c r="A7021" s="3"/>
      <c r="B7021" s="2"/>
      <c r="C7021" s="2"/>
      <c r="D7021" s="2" t="b">
        <f>IF(AND(NOT(ISBLANK(Table1[[#This Row],[Fetal Sex (Male, Female or Unknown)]])),ISNUMBER(Table1[[#This Row],[Birthweight (grams)]]),ISNUMBER(Table1[[#This Row],[Gestation (days)]])),TRUE,FALSE)</f>
        <v>0</v>
      </c>
      <c r="E7021" s="2" t="str">
        <f>IF(Table1[[#This Row],[Is Data Valid]]=TRUE,IF(Table1[[#This Row],[Fetal Sex (Male, Female or Unknown)]]="Male",Backend!$C$6,IF(Table1[[#This Row],[Fetal Sex (Male, Female or Unknown)]]="Female",Backend!$C$7,IF(Table1[[#This Row],[Fetal Sex (Male, Female or Unknown)]]="Unknown",Backend!$C$8,"Error"))),"")</f>
        <v/>
      </c>
      <c r="F7021" s="8" t="str">
        <f>IF(Table1[[#This Row],[Is Data Valid]]=TRUE,EXP(0.578+0.332*((Table1[[#This Row],[Gestation (days)]]+0.5)/7)-0.00354*((Table1[[#This Row],[Gestation (days)]]+0.5)/7)^2)*Table1[[#This Row],[BW40_3705]],"")</f>
        <v/>
      </c>
      <c r="G7021" s="2" t="str">
        <f>IF(Table1[[#This Row],[Is Data Valid]]=TRUE,((Table1[[#This Row],[Birthweight (grams)]]/Table1[[#This Row],[BW_GA]])-1)/(Backend!$B$4/100*Table1[[#This Row],[BW40_3705]]),"")</f>
        <v/>
      </c>
      <c r="H7021" s="7" t="str">
        <f>IF(Table1[[#This Row],[Is Data Valid]]=TRUE,((Table1[[#This Row],[Birthweight (grams)]]*0.9/Table1[[#This Row],[BW_GA]])-1)/(Backend!$B$4/100*Table1[[#This Row],[BW40_3705]]),"")</f>
        <v/>
      </c>
      <c r="I7021" s="7" t="str">
        <f>IF(Table1[[#This Row],[Is Data Valid]]=TRUE,((Table1[[#This Row],[Birthweight (grams)]]*1.1/Table1[[#This Row],[BW_GA]])-1)/(Backend!$B$4/100*Table1[[#This Row],[BW40_3705]]),"")</f>
        <v/>
      </c>
      <c r="J7021" s="7" t="str">
        <f>IF(Table1[[#This Row],[Is Data Valid]]=TRUE,_xlfn.NORM.S.DIST(Table1[[#This Row],[Birthweight Z-Score]],TRUE)*100,"")</f>
        <v/>
      </c>
      <c r="K7021" s="7" t="str">
        <f>IF(Table1[[#This Row],[Is Data Valid]]=TRUE,_xlfn.NORM.S.DIST(Table1[[#This Row],[Birthweight Z-Score (BW-10%)]],TRUE)*100,"")</f>
        <v/>
      </c>
      <c r="L7021" s="7" t="str">
        <f>IF(Table1[[#This Row],[Is Data Valid]]=TRUE,_xlfn.NORM.S.DIST(Table1[[#This Row],[Birthweight Z-Score (BW+10%)]],TRUE)*100,"")</f>
        <v/>
      </c>
    </row>
    <row r="7022" spans="1:12" x14ac:dyDescent="0.35">
      <c r="A7022" s="3"/>
      <c r="B7022" s="2"/>
      <c r="C7022" s="2"/>
      <c r="D7022" s="2" t="b">
        <f>IF(AND(NOT(ISBLANK(Table1[[#This Row],[Fetal Sex (Male, Female or Unknown)]])),ISNUMBER(Table1[[#This Row],[Birthweight (grams)]]),ISNUMBER(Table1[[#This Row],[Gestation (days)]])),TRUE,FALSE)</f>
        <v>0</v>
      </c>
      <c r="E7022" s="2" t="str">
        <f>IF(Table1[[#This Row],[Is Data Valid]]=TRUE,IF(Table1[[#This Row],[Fetal Sex (Male, Female or Unknown)]]="Male",Backend!$C$6,IF(Table1[[#This Row],[Fetal Sex (Male, Female or Unknown)]]="Female",Backend!$C$7,IF(Table1[[#This Row],[Fetal Sex (Male, Female or Unknown)]]="Unknown",Backend!$C$8,"Error"))),"")</f>
        <v/>
      </c>
      <c r="F7022" s="8" t="str">
        <f>IF(Table1[[#This Row],[Is Data Valid]]=TRUE,EXP(0.578+0.332*((Table1[[#This Row],[Gestation (days)]]+0.5)/7)-0.00354*((Table1[[#This Row],[Gestation (days)]]+0.5)/7)^2)*Table1[[#This Row],[BW40_3705]],"")</f>
        <v/>
      </c>
      <c r="G7022" s="2" t="str">
        <f>IF(Table1[[#This Row],[Is Data Valid]]=TRUE,((Table1[[#This Row],[Birthweight (grams)]]/Table1[[#This Row],[BW_GA]])-1)/(Backend!$B$4/100*Table1[[#This Row],[BW40_3705]]),"")</f>
        <v/>
      </c>
      <c r="H7022" s="7" t="str">
        <f>IF(Table1[[#This Row],[Is Data Valid]]=TRUE,((Table1[[#This Row],[Birthweight (grams)]]*0.9/Table1[[#This Row],[BW_GA]])-1)/(Backend!$B$4/100*Table1[[#This Row],[BW40_3705]]),"")</f>
        <v/>
      </c>
      <c r="I7022" s="7" t="str">
        <f>IF(Table1[[#This Row],[Is Data Valid]]=TRUE,((Table1[[#This Row],[Birthweight (grams)]]*1.1/Table1[[#This Row],[BW_GA]])-1)/(Backend!$B$4/100*Table1[[#This Row],[BW40_3705]]),"")</f>
        <v/>
      </c>
      <c r="J7022" s="7" t="str">
        <f>IF(Table1[[#This Row],[Is Data Valid]]=TRUE,_xlfn.NORM.S.DIST(Table1[[#This Row],[Birthweight Z-Score]],TRUE)*100,"")</f>
        <v/>
      </c>
      <c r="K7022" s="7" t="str">
        <f>IF(Table1[[#This Row],[Is Data Valid]]=TRUE,_xlfn.NORM.S.DIST(Table1[[#This Row],[Birthweight Z-Score (BW-10%)]],TRUE)*100,"")</f>
        <v/>
      </c>
      <c r="L7022" s="7" t="str">
        <f>IF(Table1[[#This Row],[Is Data Valid]]=TRUE,_xlfn.NORM.S.DIST(Table1[[#This Row],[Birthweight Z-Score (BW+10%)]],TRUE)*100,"")</f>
        <v/>
      </c>
    </row>
    <row r="7023" spans="1:12" x14ac:dyDescent="0.35">
      <c r="A7023" s="3"/>
      <c r="B7023" s="2"/>
      <c r="C7023" s="2"/>
      <c r="D7023" s="2" t="b">
        <f>IF(AND(NOT(ISBLANK(Table1[[#This Row],[Fetal Sex (Male, Female or Unknown)]])),ISNUMBER(Table1[[#This Row],[Birthweight (grams)]]),ISNUMBER(Table1[[#This Row],[Gestation (days)]])),TRUE,FALSE)</f>
        <v>0</v>
      </c>
      <c r="E7023" s="2" t="str">
        <f>IF(Table1[[#This Row],[Is Data Valid]]=TRUE,IF(Table1[[#This Row],[Fetal Sex (Male, Female or Unknown)]]="Male",Backend!$C$6,IF(Table1[[#This Row],[Fetal Sex (Male, Female or Unknown)]]="Female",Backend!$C$7,IF(Table1[[#This Row],[Fetal Sex (Male, Female or Unknown)]]="Unknown",Backend!$C$8,"Error"))),"")</f>
        <v/>
      </c>
      <c r="F7023" s="8" t="str">
        <f>IF(Table1[[#This Row],[Is Data Valid]]=TRUE,EXP(0.578+0.332*((Table1[[#This Row],[Gestation (days)]]+0.5)/7)-0.00354*((Table1[[#This Row],[Gestation (days)]]+0.5)/7)^2)*Table1[[#This Row],[BW40_3705]],"")</f>
        <v/>
      </c>
      <c r="G7023" s="2" t="str">
        <f>IF(Table1[[#This Row],[Is Data Valid]]=TRUE,((Table1[[#This Row],[Birthweight (grams)]]/Table1[[#This Row],[BW_GA]])-1)/(Backend!$B$4/100*Table1[[#This Row],[BW40_3705]]),"")</f>
        <v/>
      </c>
      <c r="H7023" s="7" t="str">
        <f>IF(Table1[[#This Row],[Is Data Valid]]=TRUE,((Table1[[#This Row],[Birthweight (grams)]]*0.9/Table1[[#This Row],[BW_GA]])-1)/(Backend!$B$4/100*Table1[[#This Row],[BW40_3705]]),"")</f>
        <v/>
      </c>
      <c r="I7023" s="7" t="str">
        <f>IF(Table1[[#This Row],[Is Data Valid]]=TRUE,((Table1[[#This Row],[Birthweight (grams)]]*1.1/Table1[[#This Row],[BW_GA]])-1)/(Backend!$B$4/100*Table1[[#This Row],[BW40_3705]]),"")</f>
        <v/>
      </c>
      <c r="J7023" s="7" t="str">
        <f>IF(Table1[[#This Row],[Is Data Valid]]=TRUE,_xlfn.NORM.S.DIST(Table1[[#This Row],[Birthweight Z-Score]],TRUE)*100,"")</f>
        <v/>
      </c>
      <c r="K7023" s="7" t="str">
        <f>IF(Table1[[#This Row],[Is Data Valid]]=TRUE,_xlfn.NORM.S.DIST(Table1[[#This Row],[Birthweight Z-Score (BW-10%)]],TRUE)*100,"")</f>
        <v/>
      </c>
      <c r="L7023" s="7" t="str">
        <f>IF(Table1[[#This Row],[Is Data Valid]]=TRUE,_xlfn.NORM.S.DIST(Table1[[#This Row],[Birthweight Z-Score (BW+10%)]],TRUE)*100,"")</f>
        <v/>
      </c>
    </row>
    <row r="7024" spans="1:12" x14ac:dyDescent="0.35">
      <c r="A7024" s="3"/>
      <c r="B7024" s="2"/>
      <c r="C7024" s="2"/>
      <c r="D7024" s="2" t="b">
        <f>IF(AND(NOT(ISBLANK(Table1[[#This Row],[Fetal Sex (Male, Female or Unknown)]])),ISNUMBER(Table1[[#This Row],[Birthweight (grams)]]),ISNUMBER(Table1[[#This Row],[Gestation (days)]])),TRUE,FALSE)</f>
        <v>0</v>
      </c>
      <c r="E7024" s="2" t="str">
        <f>IF(Table1[[#This Row],[Is Data Valid]]=TRUE,IF(Table1[[#This Row],[Fetal Sex (Male, Female or Unknown)]]="Male",Backend!$C$6,IF(Table1[[#This Row],[Fetal Sex (Male, Female or Unknown)]]="Female",Backend!$C$7,IF(Table1[[#This Row],[Fetal Sex (Male, Female or Unknown)]]="Unknown",Backend!$C$8,"Error"))),"")</f>
        <v/>
      </c>
      <c r="F7024" s="8" t="str">
        <f>IF(Table1[[#This Row],[Is Data Valid]]=TRUE,EXP(0.578+0.332*((Table1[[#This Row],[Gestation (days)]]+0.5)/7)-0.00354*((Table1[[#This Row],[Gestation (days)]]+0.5)/7)^2)*Table1[[#This Row],[BW40_3705]],"")</f>
        <v/>
      </c>
      <c r="G7024" s="2" t="str">
        <f>IF(Table1[[#This Row],[Is Data Valid]]=TRUE,((Table1[[#This Row],[Birthweight (grams)]]/Table1[[#This Row],[BW_GA]])-1)/(Backend!$B$4/100*Table1[[#This Row],[BW40_3705]]),"")</f>
        <v/>
      </c>
      <c r="H7024" s="7" t="str">
        <f>IF(Table1[[#This Row],[Is Data Valid]]=TRUE,((Table1[[#This Row],[Birthweight (grams)]]*0.9/Table1[[#This Row],[BW_GA]])-1)/(Backend!$B$4/100*Table1[[#This Row],[BW40_3705]]),"")</f>
        <v/>
      </c>
      <c r="I7024" s="7" t="str">
        <f>IF(Table1[[#This Row],[Is Data Valid]]=TRUE,((Table1[[#This Row],[Birthweight (grams)]]*1.1/Table1[[#This Row],[BW_GA]])-1)/(Backend!$B$4/100*Table1[[#This Row],[BW40_3705]]),"")</f>
        <v/>
      </c>
      <c r="J7024" s="7" t="str">
        <f>IF(Table1[[#This Row],[Is Data Valid]]=TRUE,_xlfn.NORM.S.DIST(Table1[[#This Row],[Birthweight Z-Score]],TRUE)*100,"")</f>
        <v/>
      </c>
      <c r="K7024" s="7" t="str">
        <f>IF(Table1[[#This Row],[Is Data Valid]]=TRUE,_xlfn.NORM.S.DIST(Table1[[#This Row],[Birthweight Z-Score (BW-10%)]],TRUE)*100,"")</f>
        <v/>
      </c>
      <c r="L7024" s="7" t="str">
        <f>IF(Table1[[#This Row],[Is Data Valid]]=TRUE,_xlfn.NORM.S.DIST(Table1[[#This Row],[Birthweight Z-Score (BW+10%)]],TRUE)*100,"")</f>
        <v/>
      </c>
    </row>
    <row r="7025" spans="1:12" x14ac:dyDescent="0.35">
      <c r="A7025" s="3"/>
      <c r="B7025" s="2"/>
      <c r="C7025" s="2"/>
      <c r="D7025" s="2" t="b">
        <f>IF(AND(NOT(ISBLANK(Table1[[#This Row],[Fetal Sex (Male, Female or Unknown)]])),ISNUMBER(Table1[[#This Row],[Birthweight (grams)]]),ISNUMBER(Table1[[#This Row],[Gestation (days)]])),TRUE,FALSE)</f>
        <v>0</v>
      </c>
      <c r="E7025" s="2" t="str">
        <f>IF(Table1[[#This Row],[Is Data Valid]]=TRUE,IF(Table1[[#This Row],[Fetal Sex (Male, Female or Unknown)]]="Male",Backend!$C$6,IF(Table1[[#This Row],[Fetal Sex (Male, Female or Unknown)]]="Female",Backend!$C$7,IF(Table1[[#This Row],[Fetal Sex (Male, Female or Unknown)]]="Unknown",Backend!$C$8,"Error"))),"")</f>
        <v/>
      </c>
      <c r="F7025" s="8" t="str">
        <f>IF(Table1[[#This Row],[Is Data Valid]]=TRUE,EXP(0.578+0.332*((Table1[[#This Row],[Gestation (days)]]+0.5)/7)-0.00354*((Table1[[#This Row],[Gestation (days)]]+0.5)/7)^2)*Table1[[#This Row],[BW40_3705]],"")</f>
        <v/>
      </c>
      <c r="G7025" s="2" t="str">
        <f>IF(Table1[[#This Row],[Is Data Valid]]=TRUE,((Table1[[#This Row],[Birthweight (grams)]]/Table1[[#This Row],[BW_GA]])-1)/(Backend!$B$4/100*Table1[[#This Row],[BW40_3705]]),"")</f>
        <v/>
      </c>
      <c r="H7025" s="7" t="str">
        <f>IF(Table1[[#This Row],[Is Data Valid]]=TRUE,((Table1[[#This Row],[Birthweight (grams)]]*0.9/Table1[[#This Row],[BW_GA]])-1)/(Backend!$B$4/100*Table1[[#This Row],[BW40_3705]]),"")</f>
        <v/>
      </c>
      <c r="I7025" s="7" t="str">
        <f>IF(Table1[[#This Row],[Is Data Valid]]=TRUE,((Table1[[#This Row],[Birthweight (grams)]]*1.1/Table1[[#This Row],[BW_GA]])-1)/(Backend!$B$4/100*Table1[[#This Row],[BW40_3705]]),"")</f>
        <v/>
      </c>
      <c r="J7025" s="7" t="str">
        <f>IF(Table1[[#This Row],[Is Data Valid]]=TRUE,_xlfn.NORM.S.DIST(Table1[[#This Row],[Birthweight Z-Score]],TRUE)*100,"")</f>
        <v/>
      </c>
      <c r="K7025" s="7" t="str">
        <f>IF(Table1[[#This Row],[Is Data Valid]]=TRUE,_xlfn.NORM.S.DIST(Table1[[#This Row],[Birthweight Z-Score (BW-10%)]],TRUE)*100,"")</f>
        <v/>
      </c>
      <c r="L7025" s="7" t="str">
        <f>IF(Table1[[#This Row],[Is Data Valid]]=TRUE,_xlfn.NORM.S.DIST(Table1[[#This Row],[Birthweight Z-Score (BW+10%)]],TRUE)*100,"")</f>
        <v/>
      </c>
    </row>
    <row r="7026" spans="1:12" x14ac:dyDescent="0.35">
      <c r="A7026" s="3"/>
      <c r="B7026" s="2"/>
      <c r="C7026" s="2"/>
      <c r="D7026" s="2" t="b">
        <f>IF(AND(NOT(ISBLANK(Table1[[#This Row],[Fetal Sex (Male, Female or Unknown)]])),ISNUMBER(Table1[[#This Row],[Birthweight (grams)]]),ISNUMBER(Table1[[#This Row],[Gestation (days)]])),TRUE,FALSE)</f>
        <v>0</v>
      </c>
      <c r="E7026" s="2" t="str">
        <f>IF(Table1[[#This Row],[Is Data Valid]]=TRUE,IF(Table1[[#This Row],[Fetal Sex (Male, Female or Unknown)]]="Male",Backend!$C$6,IF(Table1[[#This Row],[Fetal Sex (Male, Female or Unknown)]]="Female",Backend!$C$7,IF(Table1[[#This Row],[Fetal Sex (Male, Female or Unknown)]]="Unknown",Backend!$C$8,"Error"))),"")</f>
        <v/>
      </c>
      <c r="F7026" s="8" t="str">
        <f>IF(Table1[[#This Row],[Is Data Valid]]=TRUE,EXP(0.578+0.332*((Table1[[#This Row],[Gestation (days)]]+0.5)/7)-0.00354*((Table1[[#This Row],[Gestation (days)]]+0.5)/7)^2)*Table1[[#This Row],[BW40_3705]],"")</f>
        <v/>
      </c>
      <c r="G7026" s="2" t="str">
        <f>IF(Table1[[#This Row],[Is Data Valid]]=TRUE,((Table1[[#This Row],[Birthweight (grams)]]/Table1[[#This Row],[BW_GA]])-1)/(Backend!$B$4/100*Table1[[#This Row],[BW40_3705]]),"")</f>
        <v/>
      </c>
      <c r="H7026" s="7" t="str">
        <f>IF(Table1[[#This Row],[Is Data Valid]]=TRUE,((Table1[[#This Row],[Birthweight (grams)]]*0.9/Table1[[#This Row],[BW_GA]])-1)/(Backend!$B$4/100*Table1[[#This Row],[BW40_3705]]),"")</f>
        <v/>
      </c>
      <c r="I7026" s="7" t="str">
        <f>IF(Table1[[#This Row],[Is Data Valid]]=TRUE,((Table1[[#This Row],[Birthweight (grams)]]*1.1/Table1[[#This Row],[BW_GA]])-1)/(Backend!$B$4/100*Table1[[#This Row],[BW40_3705]]),"")</f>
        <v/>
      </c>
      <c r="J7026" s="7" t="str">
        <f>IF(Table1[[#This Row],[Is Data Valid]]=TRUE,_xlfn.NORM.S.DIST(Table1[[#This Row],[Birthweight Z-Score]],TRUE)*100,"")</f>
        <v/>
      </c>
      <c r="K7026" s="7" t="str">
        <f>IF(Table1[[#This Row],[Is Data Valid]]=TRUE,_xlfn.NORM.S.DIST(Table1[[#This Row],[Birthweight Z-Score (BW-10%)]],TRUE)*100,"")</f>
        <v/>
      </c>
      <c r="L7026" s="7" t="str">
        <f>IF(Table1[[#This Row],[Is Data Valid]]=TRUE,_xlfn.NORM.S.DIST(Table1[[#This Row],[Birthweight Z-Score (BW+10%)]],TRUE)*100,"")</f>
        <v/>
      </c>
    </row>
    <row r="7027" spans="1:12" x14ac:dyDescent="0.35">
      <c r="A7027" s="3"/>
      <c r="B7027" s="2"/>
      <c r="C7027" s="2"/>
      <c r="D7027" s="2" t="b">
        <f>IF(AND(NOT(ISBLANK(Table1[[#This Row],[Fetal Sex (Male, Female or Unknown)]])),ISNUMBER(Table1[[#This Row],[Birthweight (grams)]]),ISNUMBER(Table1[[#This Row],[Gestation (days)]])),TRUE,FALSE)</f>
        <v>0</v>
      </c>
      <c r="E7027" s="2" t="str">
        <f>IF(Table1[[#This Row],[Is Data Valid]]=TRUE,IF(Table1[[#This Row],[Fetal Sex (Male, Female or Unknown)]]="Male",Backend!$C$6,IF(Table1[[#This Row],[Fetal Sex (Male, Female or Unknown)]]="Female",Backend!$C$7,IF(Table1[[#This Row],[Fetal Sex (Male, Female or Unknown)]]="Unknown",Backend!$C$8,"Error"))),"")</f>
        <v/>
      </c>
      <c r="F7027" s="8" t="str">
        <f>IF(Table1[[#This Row],[Is Data Valid]]=TRUE,EXP(0.578+0.332*((Table1[[#This Row],[Gestation (days)]]+0.5)/7)-0.00354*((Table1[[#This Row],[Gestation (days)]]+0.5)/7)^2)*Table1[[#This Row],[BW40_3705]],"")</f>
        <v/>
      </c>
      <c r="G7027" s="2" t="str">
        <f>IF(Table1[[#This Row],[Is Data Valid]]=TRUE,((Table1[[#This Row],[Birthweight (grams)]]/Table1[[#This Row],[BW_GA]])-1)/(Backend!$B$4/100*Table1[[#This Row],[BW40_3705]]),"")</f>
        <v/>
      </c>
      <c r="H7027" s="7" t="str">
        <f>IF(Table1[[#This Row],[Is Data Valid]]=TRUE,((Table1[[#This Row],[Birthweight (grams)]]*0.9/Table1[[#This Row],[BW_GA]])-1)/(Backend!$B$4/100*Table1[[#This Row],[BW40_3705]]),"")</f>
        <v/>
      </c>
      <c r="I7027" s="7" t="str">
        <f>IF(Table1[[#This Row],[Is Data Valid]]=TRUE,((Table1[[#This Row],[Birthweight (grams)]]*1.1/Table1[[#This Row],[BW_GA]])-1)/(Backend!$B$4/100*Table1[[#This Row],[BW40_3705]]),"")</f>
        <v/>
      </c>
      <c r="J7027" s="7" t="str">
        <f>IF(Table1[[#This Row],[Is Data Valid]]=TRUE,_xlfn.NORM.S.DIST(Table1[[#This Row],[Birthweight Z-Score]],TRUE)*100,"")</f>
        <v/>
      </c>
      <c r="K7027" s="7" t="str">
        <f>IF(Table1[[#This Row],[Is Data Valid]]=TRUE,_xlfn.NORM.S.DIST(Table1[[#This Row],[Birthweight Z-Score (BW-10%)]],TRUE)*100,"")</f>
        <v/>
      </c>
      <c r="L7027" s="7" t="str">
        <f>IF(Table1[[#This Row],[Is Data Valid]]=TRUE,_xlfn.NORM.S.DIST(Table1[[#This Row],[Birthweight Z-Score (BW+10%)]],TRUE)*100,"")</f>
        <v/>
      </c>
    </row>
    <row r="7028" spans="1:12" x14ac:dyDescent="0.35">
      <c r="A7028" s="3"/>
      <c r="B7028" s="2"/>
      <c r="C7028" s="2"/>
      <c r="D7028" s="2" t="b">
        <f>IF(AND(NOT(ISBLANK(Table1[[#This Row],[Fetal Sex (Male, Female or Unknown)]])),ISNUMBER(Table1[[#This Row],[Birthweight (grams)]]),ISNUMBER(Table1[[#This Row],[Gestation (days)]])),TRUE,FALSE)</f>
        <v>0</v>
      </c>
      <c r="E7028" s="2" t="str">
        <f>IF(Table1[[#This Row],[Is Data Valid]]=TRUE,IF(Table1[[#This Row],[Fetal Sex (Male, Female or Unknown)]]="Male",Backend!$C$6,IF(Table1[[#This Row],[Fetal Sex (Male, Female or Unknown)]]="Female",Backend!$C$7,IF(Table1[[#This Row],[Fetal Sex (Male, Female or Unknown)]]="Unknown",Backend!$C$8,"Error"))),"")</f>
        <v/>
      </c>
      <c r="F7028" s="8" t="str">
        <f>IF(Table1[[#This Row],[Is Data Valid]]=TRUE,EXP(0.578+0.332*((Table1[[#This Row],[Gestation (days)]]+0.5)/7)-0.00354*((Table1[[#This Row],[Gestation (days)]]+0.5)/7)^2)*Table1[[#This Row],[BW40_3705]],"")</f>
        <v/>
      </c>
      <c r="G7028" s="2" t="str">
        <f>IF(Table1[[#This Row],[Is Data Valid]]=TRUE,((Table1[[#This Row],[Birthweight (grams)]]/Table1[[#This Row],[BW_GA]])-1)/(Backend!$B$4/100*Table1[[#This Row],[BW40_3705]]),"")</f>
        <v/>
      </c>
      <c r="H7028" s="7" t="str">
        <f>IF(Table1[[#This Row],[Is Data Valid]]=TRUE,((Table1[[#This Row],[Birthweight (grams)]]*0.9/Table1[[#This Row],[BW_GA]])-1)/(Backend!$B$4/100*Table1[[#This Row],[BW40_3705]]),"")</f>
        <v/>
      </c>
      <c r="I7028" s="7" t="str">
        <f>IF(Table1[[#This Row],[Is Data Valid]]=TRUE,((Table1[[#This Row],[Birthweight (grams)]]*1.1/Table1[[#This Row],[BW_GA]])-1)/(Backend!$B$4/100*Table1[[#This Row],[BW40_3705]]),"")</f>
        <v/>
      </c>
      <c r="J7028" s="7" t="str">
        <f>IF(Table1[[#This Row],[Is Data Valid]]=TRUE,_xlfn.NORM.S.DIST(Table1[[#This Row],[Birthweight Z-Score]],TRUE)*100,"")</f>
        <v/>
      </c>
      <c r="K7028" s="7" t="str">
        <f>IF(Table1[[#This Row],[Is Data Valid]]=TRUE,_xlfn.NORM.S.DIST(Table1[[#This Row],[Birthweight Z-Score (BW-10%)]],TRUE)*100,"")</f>
        <v/>
      </c>
      <c r="L7028" s="7" t="str">
        <f>IF(Table1[[#This Row],[Is Data Valid]]=TRUE,_xlfn.NORM.S.DIST(Table1[[#This Row],[Birthweight Z-Score (BW+10%)]],TRUE)*100,"")</f>
        <v/>
      </c>
    </row>
    <row r="7029" spans="1:12" x14ac:dyDescent="0.35">
      <c r="A7029" s="3"/>
      <c r="B7029" s="2"/>
      <c r="C7029" s="2"/>
      <c r="D7029" s="2" t="b">
        <f>IF(AND(NOT(ISBLANK(Table1[[#This Row],[Fetal Sex (Male, Female or Unknown)]])),ISNUMBER(Table1[[#This Row],[Birthweight (grams)]]),ISNUMBER(Table1[[#This Row],[Gestation (days)]])),TRUE,FALSE)</f>
        <v>0</v>
      </c>
      <c r="E7029" s="2" t="str">
        <f>IF(Table1[[#This Row],[Is Data Valid]]=TRUE,IF(Table1[[#This Row],[Fetal Sex (Male, Female or Unknown)]]="Male",Backend!$C$6,IF(Table1[[#This Row],[Fetal Sex (Male, Female or Unknown)]]="Female",Backend!$C$7,IF(Table1[[#This Row],[Fetal Sex (Male, Female or Unknown)]]="Unknown",Backend!$C$8,"Error"))),"")</f>
        <v/>
      </c>
      <c r="F7029" s="8" t="str">
        <f>IF(Table1[[#This Row],[Is Data Valid]]=TRUE,EXP(0.578+0.332*((Table1[[#This Row],[Gestation (days)]]+0.5)/7)-0.00354*((Table1[[#This Row],[Gestation (days)]]+0.5)/7)^2)*Table1[[#This Row],[BW40_3705]],"")</f>
        <v/>
      </c>
      <c r="G7029" s="2" t="str">
        <f>IF(Table1[[#This Row],[Is Data Valid]]=TRUE,((Table1[[#This Row],[Birthweight (grams)]]/Table1[[#This Row],[BW_GA]])-1)/(Backend!$B$4/100*Table1[[#This Row],[BW40_3705]]),"")</f>
        <v/>
      </c>
      <c r="H7029" s="7" t="str">
        <f>IF(Table1[[#This Row],[Is Data Valid]]=TRUE,((Table1[[#This Row],[Birthweight (grams)]]*0.9/Table1[[#This Row],[BW_GA]])-1)/(Backend!$B$4/100*Table1[[#This Row],[BW40_3705]]),"")</f>
        <v/>
      </c>
      <c r="I7029" s="7" t="str">
        <f>IF(Table1[[#This Row],[Is Data Valid]]=TRUE,((Table1[[#This Row],[Birthweight (grams)]]*1.1/Table1[[#This Row],[BW_GA]])-1)/(Backend!$B$4/100*Table1[[#This Row],[BW40_3705]]),"")</f>
        <v/>
      </c>
      <c r="J7029" s="7" t="str">
        <f>IF(Table1[[#This Row],[Is Data Valid]]=TRUE,_xlfn.NORM.S.DIST(Table1[[#This Row],[Birthweight Z-Score]],TRUE)*100,"")</f>
        <v/>
      </c>
      <c r="K7029" s="7" t="str">
        <f>IF(Table1[[#This Row],[Is Data Valid]]=TRUE,_xlfn.NORM.S.DIST(Table1[[#This Row],[Birthweight Z-Score (BW-10%)]],TRUE)*100,"")</f>
        <v/>
      </c>
      <c r="L7029" s="7" t="str">
        <f>IF(Table1[[#This Row],[Is Data Valid]]=TRUE,_xlfn.NORM.S.DIST(Table1[[#This Row],[Birthweight Z-Score (BW+10%)]],TRUE)*100,"")</f>
        <v/>
      </c>
    </row>
    <row r="7030" spans="1:12" x14ac:dyDescent="0.35">
      <c r="A7030" s="3"/>
      <c r="B7030" s="2"/>
      <c r="C7030" s="2"/>
      <c r="D7030" s="2" t="b">
        <f>IF(AND(NOT(ISBLANK(Table1[[#This Row],[Fetal Sex (Male, Female or Unknown)]])),ISNUMBER(Table1[[#This Row],[Birthweight (grams)]]),ISNUMBER(Table1[[#This Row],[Gestation (days)]])),TRUE,FALSE)</f>
        <v>0</v>
      </c>
      <c r="E7030" s="2" t="str">
        <f>IF(Table1[[#This Row],[Is Data Valid]]=TRUE,IF(Table1[[#This Row],[Fetal Sex (Male, Female or Unknown)]]="Male",Backend!$C$6,IF(Table1[[#This Row],[Fetal Sex (Male, Female or Unknown)]]="Female",Backend!$C$7,IF(Table1[[#This Row],[Fetal Sex (Male, Female or Unknown)]]="Unknown",Backend!$C$8,"Error"))),"")</f>
        <v/>
      </c>
      <c r="F7030" s="8" t="str">
        <f>IF(Table1[[#This Row],[Is Data Valid]]=TRUE,EXP(0.578+0.332*((Table1[[#This Row],[Gestation (days)]]+0.5)/7)-0.00354*((Table1[[#This Row],[Gestation (days)]]+0.5)/7)^2)*Table1[[#This Row],[BW40_3705]],"")</f>
        <v/>
      </c>
      <c r="G7030" s="2" t="str">
        <f>IF(Table1[[#This Row],[Is Data Valid]]=TRUE,((Table1[[#This Row],[Birthweight (grams)]]/Table1[[#This Row],[BW_GA]])-1)/(Backend!$B$4/100*Table1[[#This Row],[BW40_3705]]),"")</f>
        <v/>
      </c>
      <c r="H7030" s="7" t="str">
        <f>IF(Table1[[#This Row],[Is Data Valid]]=TRUE,((Table1[[#This Row],[Birthweight (grams)]]*0.9/Table1[[#This Row],[BW_GA]])-1)/(Backend!$B$4/100*Table1[[#This Row],[BW40_3705]]),"")</f>
        <v/>
      </c>
      <c r="I7030" s="7" t="str">
        <f>IF(Table1[[#This Row],[Is Data Valid]]=TRUE,((Table1[[#This Row],[Birthweight (grams)]]*1.1/Table1[[#This Row],[BW_GA]])-1)/(Backend!$B$4/100*Table1[[#This Row],[BW40_3705]]),"")</f>
        <v/>
      </c>
      <c r="J7030" s="7" t="str">
        <f>IF(Table1[[#This Row],[Is Data Valid]]=TRUE,_xlfn.NORM.S.DIST(Table1[[#This Row],[Birthweight Z-Score]],TRUE)*100,"")</f>
        <v/>
      </c>
      <c r="K7030" s="7" t="str">
        <f>IF(Table1[[#This Row],[Is Data Valid]]=TRUE,_xlfn.NORM.S.DIST(Table1[[#This Row],[Birthweight Z-Score (BW-10%)]],TRUE)*100,"")</f>
        <v/>
      </c>
      <c r="L7030" s="7" t="str">
        <f>IF(Table1[[#This Row],[Is Data Valid]]=TRUE,_xlfn.NORM.S.DIST(Table1[[#This Row],[Birthweight Z-Score (BW+10%)]],TRUE)*100,"")</f>
        <v/>
      </c>
    </row>
    <row r="7031" spans="1:12" x14ac:dyDescent="0.35">
      <c r="A7031" s="3"/>
      <c r="B7031" s="2"/>
      <c r="C7031" s="2"/>
      <c r="D7031" s="2" t="b">
        <f>IF(AND(NOT(ISBLANK(Table1[[#This Row],[Fetal Sex (Male, Female or Unknown)]])),ISNUMBER(Table1[[#This Row],[Birthweight (grams)]]),ISNUMBER(Table1[[#This Row],[Gestation (days)]])),TRUE,FALSE)</f>
        <v>0</v>
      </c>
      <c r="E7031" s="2" t="str">
        <f>IF(Table1[[#This Row],[Is Data Valid]]=TRUE,IF(Table1[[#This Row],[Fetal Sex (Male, Female or Unknown)]]="Male",Backend!$C$6,IF(Table1[[#This Row],[Fetal Sex (Male, Female or Unknown)]]="Female",Backend!$C$7,IF(Table1[[#This Row],[Fetal Sex (Male, Female or Unknown)]]="Unknown",Backend!$C$8,"Error"))),"")</f>
        <v/>
      </c>
      <c r="F7031" s="8" t="str">
        <f>IF(Table1[[#This Row],[Is Data Valid]]=TRUE,EXP(0.578+0.332*((Table1[[#This Row],[Gestation (days)]]+0.5)/7)-0.00354*((Table1[[#This Row],[Gestation (days)]]+0.5)/7)^2)*Table1[[#This Row],[BW40_3705]],"")</f>
        <v/>
      </c>
      <c r="G7031" s="2" t="str">
        <f>IF(Table1[[#This Row],[Is Data Valid]]=TRUE,((Table1[[#This Row],[Birthweight (grams)]]/Table1[[#This Row],[BW_GA]])-1)/(Backend!$B$4/100*Table1[[#This Row],[BW40_3705]]),"")</f>
        <v/>
      </c>
      <c r="H7031" s="7" t="str">
        <f>IF(Table1[[#This Row],[Is Data Valid]]=TRUE,((Table1[[#This Row],[Birthweight (grams)]]*0.9/Table1[[#This Row],[BW_GA]])-1)/(Backend!$B$4/100*Table1[[#This Row],[BW40_3705]]),"")</f>
        <v/>
      </c>
      <c r="I7031" s="7" t="str">
        <f>IF(Table1[[#This Row],[Is Data Valid]]=TRUE,((Table1[[#This Row],[Birthweight (grams)]]*1.1/Table1[[#This Row],[BW_GA]])-1)/(Backend!$B$4/100*Table1[[#This Row],[BW40_3705]]),"")</f>
        <v/>
      </c>
      <c r="J7031" s="7" t="str">
        <f>IF(Table1[[#This Row],[Is Data Valid]]=TRUE,_xlfn.NORM.S.DIST(Table1[[#This Row],[Birthweight Z-Score]],TRUE)*100,"")</f>
        <v/>
      </c>
      <c r="K7031" s="7" t="str">
        <f>IF(Table1[[#This Row],[Is Data Valid]]=TRUE,_xlfn.NORM.S.DIST(Table1[[#This Row],[Birthweight Z-Score (BW-10%)]],TRUE)*100,"")</f>
        <v/>
      </c>
      <c r="L7031" s="7" t="str">
        <f>IF(Table1[[#This Row],[Is Data Valid]]=TRUE,_xlfn.NORM.S.DIST(Table1[[#This Row],[Birthweight Z-Score (BW+10%)]],TRUE)*100,"")</f>
        <v/>
      </c>
    </row>
    <row r="7032" spans="1:12" x14ac:dyDescent="0.35">
      <c r="A7032" s="3"/>
      <c r="B7032" s="2"/>
      <c r="C7032" s="2"/>
      <c r="D7032" s="2" t="b">
        <f>IF(AND(NOT(ISBLANK(Table1[[#This Row],[Fetal Sex (Male, Female or Unknown)]])),ISNUMBER(Table1[[#This Row],[Birthweight (grams)]]),ISNUMBER(Table1[[#This Row],[Gestation (days)]])),TRUE,FALSE)</f>
        <v>0</v>
      </c>
      <c r="E7032" s="2" t="str">
        <f>IF(Table1[[#This Row],[Is Data Valid]]=TRUE,IF(Table1[[#This Row],[Fetal Sex (Male, Female or Unknown)]]="Male",Backend!$C$6,IF(Table1[[#This Row],[Fetal Sex (Male, Female or Unknown)]]="Female",Backend!$C$7,IF(Table1[[#This Row],[Fetal Sex (Male, Female or Unknown)]]="Unknown",Backend!$C$8,"Error"))),"")</f>
        <v/>
      </c>
      <c r="F7032" s="8" t="str">
        <f>IF(Table1[[#This Row],[Is Data Valid]]=TRUE,EXP(0.578+0.332*((Table1[[#This Row],[Gestation (days)]]+0.5)/7)-0.00354*((Table1[[#This Row],[Gestation (days)]]+0.5)/7)^2)*Table1[[#This Row],[BW40_3705]],"")</f>
        <v/>
      </c>
      <c r="G7032" s="2" t="str">
        <f>IF(Table1[[#This Row],[Is Data Valid]]=TRUE,((Table1[[#This Row],[Birthweight (grams)]]/Table1[[#This Row],[BW_GA]])-1)/(Backend!$B$4/100*Table1[[#This Row],[BW40_3705]]),"")</f>
        <v/>
      </c>
      <c r="H7032" s="7" t="str">
        <f>IF(Table1[[#This Row],[Is Data Valid]]=TRUE,((Table1[[#This Row],[Birthweight (grams)]]*0.9/Table1[[#This Row],[BW_GA]])-1)/(Backend!$B$4/100*Table1[[#This Row],[BW40_3705]]),"")</f>
        <v/>
      </c>
      <c r="I7032" s="7" t="str">
        <f>IF(Table1[[#This Row],[Is Data Valid]]=TRUE,((Table1[[#This Row],[Birthweight (grams)]]*1.1/Table1[[#This Row],[BW_GA]])-1)/(Backend!$B$4/100*Table1[[#This Row],[BW40_3705]]),"")</f>
        <v/>
      </c>
      <c r="J7032" s="7" t="str">
        <f>IF(Table1[[#This Row],[Is Data Valid]]=TRUE,_xlfn.NORM.S.DIST(Table1[[#This Row],[Birthweight Z-Score]],TRUE)*100,"")</f>
        <v/>
      </c>
      <c r="K7032" s="7" t="str">
        <f>IF(Table1[[#This Row],[Is Data Valid]]=TRUE,_xlfn.NORM.S.DIST(Table1[[#This Row],[Birthweight Z-Score (BW-10%)]],TRUE)*100,"")</f>
        <v/>
      </c>
      <c r="L7032" s="7" t="str">
        <f>IF(Table1[[#This Row],[Is Data Valid]]=TRUE,_xlfn.NORM.S.DIST(Table1[[#This Row],[Birthweight Z-Score (BW+10%)]],TRUE)*100,"")</f>
        <v/>
      </c>
    </row>
    <row r="7033" spans="1:12" x14ac:dyDescent="0.35">
      <c r="A7033" s="3"/>
      <c r="B7033" s="2"/>
      <c r="C7033" s="2"/>
      <c r="D7033" s="2" t="b">
        <f>IF(AND(NOT(ISBLANK(Table1[[#This Row],[Fetal Sex (Male, Female or Unknown)]])),ISNUMBER(Table1[[#This Row],[Birthweight (grams)]]),ISNUMBER(Table1[[#This Row],[Gestation (days)]])),TRUE,FALSE)</f>
        <v>0</v>
      </c>
      <c r="E7033" s="2" t="str">
        <f>IF(Table1[[#This Row],[Is Data Valid]]=TRUE,IF(Table1[[#This Row],[Fetal Sex (Male, Female or Unknown)]]="Male",Backend!$C$6,IF(Table1[[#This Row],[Fetal Sex (Male, Female or Unknown)]]="Female",Backend!$C$7,IF(Table1[[#This Row],[Fetal Sex (Male, Female or Unknown)]]="Unknown",Backend!$C$8,"Error"))),"")</f>
        <v/>
      </c>
      <c r="F7033" s="8" t="str">
        <f>IF(Table1[[#This Row],[Is Data Valid]]=TRUE,EXP(0.578+0.332*((Table1[[#This Row],[Gestation (days)]]+0.5)/7)-0.00354*((Table1[[#This Row],[Gestation (days)]]+0.5)/7)^2)*Table1[[#This Row],[BW40_3705]],"")</f>
        <v/>
      </c>
      <c r="G7033" s="2" t="str">
        <f>IF(Table1[[#This Row],[Is Data Valid]]=TRUE,((Table1[[#This Row],[Birthweight (grams)]]/Table1[[#This Row],[BW_GA]])-1)/(Backend!$B$4/100*Table1[[#This Row],[BW40_3705]]),"")</f>
        <v/>
      </c>
      <c r="H7033" s="7" t="str">
        <f>IF(Table1[[#This Row],[Is Data Valid]]=TRUE,((Table1[[#This Row],[Birthweight (grams)]]*0.9/Table1[[#This Row],[BW_GA]])-1)/(Backend!$B$4/100*Table1[[#This Row],[BW40_3705]]),"")</f>
        <v/>
      </c>
      <c r="I7033" s="7" t="str">
        <f>IF(Table1[[#This Row],[Is Data Valid]]=TRUE,((Table1[[#This Row],[Birthweight (grams)]]*1.1/Table1[[#This Row],[BW_GA]])-1)/(Backend!$B$4/100*Table1[[#This Row],[BW40_3705]]),"")</f>
        <v/>
      </c>
      <c r="J7033" s="7" t="str">
        <f>IF(Table1[[#This Row],[Is Data Valid]]=TRUE,_xlfn.NORM.S.DIST(Table1[[#This Row],[Birthweight Z-Score]],TRUE)*100,"")</f>
        <v/>
      </c>
      <c r="K7033" s="7" t="str">
        <f>IF(Table1[[#This Row],[Is Data Valid]]=TRUE,_xlfn.NORM.S.DIST(Table1[[#This Row],[Birthweight Z-Score (BW-10%)]],TRUE)*100,"")</f>
        <v/>
      </c>
      <c r="L7033" s="7" t="str">
        <f>IF(Table1[[#This Row],[Is Data Valid]]=TRUE,_xlfn.NORM.S.DIST(Table1[[#This Row],[Birthweight Z-Score (BW+10%)]],TRUE)*100,"")</f>
        <v/>
      </c>
    </row>
    <row r="7034" spans="1:12" x14ac:dyDescent="0.35">
      <c r="A7034" s="3"/>
      <c r="B7034" s="2"/>
      <c r="C7034" s="2"/>
      <c r="D7034" s="2" t="b">
        <f>IF(AND(NOT(ISBLANK(Table1[[#This Row],[Fetal Sex (Male, Female or Unknown)]])),ISNUMBER(Table1[[#This Row],[Birthweight (grams)]]),ISNUMBER(Table1[[#This Row],[Gestation (days)]])),TRUE,FALSE)</f>
        <v>0</v>
      </c>
      <c r="E7034" s="2" t="str">
        <f>IF(Table1[[#This Row],[Is Data Valid]]=TRUE,IF(Table1[[#This Row],[Fetal Sex (Male, Female or Unknown)]]="Male",Backend!$C$6,IF(Table1[[#This Row],[Fetal Sex (Male, Female or Unknown)]]="Female",Backend!$C$7,IF(Table1[[#This Row],[Fetal Sex (Male, Female or Unknown)]]="Unknown",Backend!$C$8,"Error"))),"")</f>
        <v/>
      </c>
      <c r="F7034" s="8" t="str">
        <f>IF(Table1[[#This Row],[Is Data Valid]]=TRUE,EXP(0.578+0.332*((Table1[[#This Row],[Gestation (days)]]+0.5)/7)-0.00354*((Table1[[#This Row],[Gestation (days)]]+0.5)/7)^2)*Table1[[#This Row],[BW40_3705]],"")</f>
        <v/>
      </c>
      <c r="G7034" s="2" t="str">
        <f>IF(Table1[[#This Row],[Is Data Valid]]=TRUE,((Table1[[#This Row],[Birthweight (grams)]]/Table1[[#This Row],[BW_GA]])-1)/(Backend!$B$4/100*Table1[[#This Row],[BW40_3705]]),"")</f>
        <v/>
      </c>
      <c r="H7034" s="7" t="str">
        <f>IF(Table1[[#This Row],[Is Data Valid]]=TRUE,((Table1[[#This Row],[Birthweight (grams)]]*0.9/Table1[[#This Row],[BW_GA]])-1)/(Backend!$B$4/100*Table1[[#This Row],[BW40_3705]]),"")</f>
        <v/>
      </c>
      <c r="I7034" s="7" t="str">
        <f>IF(Table1[[#This Row],[Is Data Valid]]=TRUE,((Table1[[#This Row],[Birthweight (grams)]]*1.1/Table1[[#This Row],[BW_GA]])-1)/(Backend!$B$4/100*Table1[[#This Row],[BW40_3705]]),"")</f>
        <v/>
      </c>
      <c r="J7034" s="7" t="str">
        <f>IF(Table1[[#This Row],[Is Data Valid]]=TRUE,_xlfn.NORM.S.DIST(Table1[[#This Row],[Birthweight Z-Score]],TRUE)*100,"")</f>
        <v/>
      </c>
      <c r="K7034" s="7" t="str">
        <f>IF(Table1[[#This Row],[Is Data Valid]]=TRUE,_xlfn.NORM.S.DIST(Table1[[#This Row],[Birthweight Z-Score (BW-10%)]],TRUE)*100,"")</f>
        <v/>
      </c>
      <c r="L7034" s="7" t="str">
        <f>IF(Table1[[#This Row],[Is Data Valid]]=TRUE,_xlfn.NORM.S.DIST(Table1[[#This Row],[Birthweight Z-Score (BW+10%)]],TRUE)*100,"")</f>
        <v/>
      </c>
    </row>
    <row r="7035" spans="1:12" x14ac:dyDescent="0.35">
      <c r="A7035" s="3"/>
      <c r="B7035" s="2"/>
      <c r="C7035" s="2"/>
      <c r="D7035" s="2" t="b">
        <f>IF(AND(NOT(ISBLANK(Table1[[#This Row],[Fetal Sex (Male, Female or Unknown)]])),ISNUMBER(Table1[[#This Row],[Birthweight (grams)]]),ISNUMBER(Table1[[#This Row],[Gestation (days)]])),TRUE,FALSE)</f>
        <v>0</v>
      </c>
      <c r="E7035" s="2" t="str">
        <f>IF(Table1[[#This Row],[Is Data Valid]]=TRUE,IF(Table1[[#This Row],[Fetal Sex (Male, Female or Unknown)]]="Male",Backend!$C$6,IF(Table1[[#This Row],[Fetal Sex (Male, Female or Unknown)]]="Female",Backend!$C$7,IF(Table1[[#This Row],[Fetal Sex (Male, Female or Unknown)]]="Unknown",Backend!$C$8,"Error"))),"")</f>
        <v/>
      </c>
      <c r="F7035" s="8" t="str">
        <f>IF(Table1[[#This Row],[Is Data Valid]]=TRUE,EXP(0.578+0.332*((Table1[[#This Row],[Gestation (days)]]+0.5)/7)-0.00354*((Table1[[#This Row],[Gestation (days)]]+0.5)/7)^2)*Table1[[#This Row],[BW40_3705]],"")</f>
        <v/>
      </c>
      <c r="G7035" s="2" t="str">
        <f>IF(Table1[[#This Row],[Is Data Valid]]=TRUE,((Table1[[#This Row],[Birthweight (grams)]]/Table1[[#This Row],[BW_GA]])-1)/(Backend!$B$4/100*Table1[[#This Row],[BW40_3705]]),"")</f>
        <v/>
      </c>
      <c r="H7035" s="7" t="str">
        <f>IF(Table1[[#This Row],[Is Data Valid]]=TRUE,((Table1[[#This Row],[Birthweight (grams)]]*0.9/Table1[[#This Row],[BW_GA]])-1)/(Backend!$B$4/100*Table1[[#This Row],[BW40_3705]]),"")</f>
        <v/>
      </c>
      <c r="I7035" s="7" t="str">
        <f>IF(Table1[[#This Row],[Is Data Valid]]=TRUE,((Table1[[#This Row],[Birthweight (grams)]]*1.1/Table1[[#This Row],[BW_GA]])-1)/(Backend!$B$4/100*Table1[[#This Row],[BW40_3705]]),"")</f>
        <v/>
      </c>
      <c r="J7035" s="7" t="str">
        <f>IF(Table1[[#This Row],[Is Data Valid]]=TRUE,_xlfn.NORM.S.DIST(Table1[[#This Row],[Birthweight Z-Score]],TRUE)*100,"")</f>
        <v/>
      </c>
      <c r="K7035" s="7" t="str">
        <f>IF(Table1[[#This Row],[Is Data Valid]]=TRUE,_xlfn.NORM.S.DIST(Table1[[#This Row],[Birthweight Z-Score (BW-10%)]],TRUE)*100,"")</f>
        <v/>
      </c>
      <c r="L7035" s="7" t="str">
        <f>IF(Table1[[#This Row],[Is Data Valid]]=TRUE,_xlfn.NORM.S.DIST(Table1[[#This Row],[Birthweight Z-Score (BW+10%)]],TRUE)*100,"")</f>
        <v/>
      </c>
    </row>
    <row r="7036" spans="1:12" x14ac:dyDescent="0.35">
      <c r="A7036" s="3"/>
      <c r="B7036" s="2"/>
      <c r="C7036" s="2"/>
      <c r="D7036" s="2" t="b">
        <f>IF(AND(NOT(ISBLANK(Table1[[#This Row],[Fetal Sex (Male, Female or Unknown)]])),ISNUMBER(Table1[[#This Row],[Birthweight (grams)]]),ISNUMBER(Table1[[#This Row],[Gestation (days)]])),TRUE,FALSE)</f>
        <v>0</v>
      </c>
      <c r="E7036" s="2" t="str">
        <f>IF(Table1[[#This Row],[Is Data Valid]]=TRUE,IF(Table1[[#This Row],[Fetal Sex (Male, Female or Unknown)]]="Male",Backend!$C$6,IF(Table1[[#This Row],[Fetal Sex (Male, Female or Unknown)]]="Female",Backend!$C$7,IF(Table1[[#This Row],[Fetal Sex (Male, Female or Unknown)]]="Unknown",Backend!$C$8,"Error"))),"")</f>
        <v/>
      </c>
      <c r="F7036" s="8" t="str">
        <f>IF(Table1[[#This Row],[Is Data Valid]]=TRUE,EXP(0.578+0.332*((Table1[[#This Row],[Gestation (days)]]+0.5)/7)-0.00354*((Table1[[#This Row],[Gestation (days)]]+0.5)/7)^2)*Table1[[#This Row],[BW40_3705]],"")</f>
        <v/>
      </c>
      <c r="G7036" s="2" t="str">
        <f>IF(Table1[[#This Row],[Is Data Valid]]=TRUE,((Table1[[#This Row],[Birthweight (grams)]]/Table1[[#This Row],[BW_GA]])-1)/(Backend!$B$4/100*Table1[[#This Row],[BW40_3705]]),"")</f>
        <v/>
      </c>
      <c r="H7036" s="7" t="str">
        <f>IF(Table1[[#This Row],[Is Data Valid]]=TRUE,((Table1[[#This Row],[Birthweight (grams)]]*0.9/Table1[[#This Row],[BW_GA]])-1)/(Backend!$B$4/100*Table1[[#This Row],[BW40_3705]]),"")</f>
        <v/>
      </c>
      <c r="I7036" s="7" t="str">
        <f>IF(Table1[[#This Row],[Is Data Valid]]=TRUE,((Table1[[#This Row],[Birthweight (grams)]]*1.1/Table1[[#This Row],[BW_GA]])-1)/(Backend!$B$4/100*Table1[[#This Row],[BW40_3705]]),"")</f>
        <v/>
      </c>
      <c r="J7036" s="7" t="str">
        <f>IF(Table1[[#This Row],[Is Data Valid]]=TRUE,_xlfn.NORM.S.DIST(Table1[[#This Row],[Birthweight Z-Score]],TRUE)*100,"")</f>
        <v/>
      </c>
      <c r="K7036" s="7" t="str">
        <f>IF(Table1[[#This Row],[Is Data Valid]]=TRUE,_xlfn.NORM.S.DIST(Table1[[#This Row],[Birthweight Z-Score (BW-10%)]],TRUE)*100,"")</f>
        <v/>
      </c>
      <c r="L7036" s="7" t="str">
        <f>IF(Table1[[#This Row],[Is Data Valid]]=TRUE,_xlfn.NORM.S.DIST(Table1[[#This Row],[Birthweight Z-Score (BW+10%)]],TRUE)*100,"")</f>
        <v/>
      </c>
    </row>
    <row r="7037" spans="1:12" x14ac:dyDescent="0.35">
      <c r="A7037" s="3"/>
      <c r="B7037" s="2"/>
      <c r="C7037" s="2"/>
      <c r="D7037" s="2" t="b">
        <f>IF(AND(NOT(ISBLANK(Table1[[#This Row],[Fetal Sex (Male, Female or Unknown)]])),ISNUMBER(Table1[[#This Row],[Birthweight (grams)]]),ISNUMBER(Table1[[#This Row],[Gestation (days)]])),TRUE,FALSE)</f>
        <v>0</v>
      </c>
      <c r="E7037" s="2" t="str">
        <f>IF(Table1[[#This Row],[Is Data Valid]]=TRUE,IF(Table1[[#This Row],[Fetal Sex (Male, Female or Unknown)]]="Male",Backend!$C$6,IF(Table1[[#This Row],[Fetal Sex (Male, Female or Unknown)]]="Female",Backend!$C$7,IF(Table1[[#This Row],[Fetal Sex (Male, Female or Unknown)]]="Unknown",Backend!$C$8,"Error"))),"")</f>
        <v/>
      </c>
      <c r="F7037" s="8" t="str">
        <f>IF(Table1[[#This Row],[Is Data Valid]]=TRUE,EXP(0.578+0.332*((Table1[[#This Row],[Gestation (days)]]+0.5)/7)-0.00354*((Table1[[#This Row],[Gestation (days)]]+0.5)/7)^2)*Table1[[#This Row],[BW40_3705]],"")</f>
        <v/>
      </c>
      <c r="G7037" s="2" t="str">
        <f>IF(Table1[[#This Row],[Is Data Valid]]=TRUE,((Table1[[#This Row],[Birthweight (grams)]]/Table1[[#This Row],[BW_GA]])-1)/(Backend!$B$4/100*Table1[[#This Row],[BW40_3705]]),"")</f>
        <v/>
      </c>
      <c r="H7037" s="7" t="str">
        <f>IF(Table1[[#This Row],[Is Data Valid]]=TRUE,((Table1[[#This Row],[Birthweight (grams)]]*0.9/Table1[[#This Row],[BW_GA]])-1)/(Backend!$B$4/100*Table1[[#This Row],[BW40_3705]]),"")</f>
        <v/>
      </c>
      <c r="I7037" s="7" t="str">
        <f>IF(Table1[[#This Row],[Is Data Valid]]=TRUE,((Table1[[#This Row],[Birthweight (grams)]]*1.1/Table1[[#This Row],[BW_GA]])-1)/(Backend!$B$4/100*Table1[[#This Row],[BW40_3705]]),"")</f>
        <v/>
      </c>
      <c r="J7037" s="7" t="str">
        <f>IF(Table1[[#This Row],[Is Data Valid]]=TRUE,_xlfn.NORM.S.DIST(Table1[[#This Row],[Birthweight Z-Score]],TRUE)*100,"")</f>
        <v/>
      </c>
      <c r="K7037" s="7" t="str">
        <f>IF(Table1[[#This Row],[Is Data Valid]]=TRUE,_xlfn.NORM.S.DIST(Table1[[#This Row],[Birthweight Z-Score (BW-10%)]],TRUE)*100,"")</f>
        <v/>
      </c>
      <c r="L7037" s="7" t="str">
        <f>IF(Table1[[#This Row],[Is Data Valid]]=TRUE,_xlfn.NORM.S.DIST(Table1[[#This Row],[Birthweight Z-Score (BW+10%)]],TRUE)*100,"")</f>
        <v/>
      </c>
    </row>
    <row r="7038" spans="1:12" x14ac:dyDescent="0.35">
      <c r="A7038" s="3"/>
      <c r="B7038" s="2"/>
      <c r="C7038" s="2"/>
      <c r="D7038" s="2" t="b">
        <f>IF(AND(NOT(ISBLANK(Table1[[#This Row],[Fetal Sex (Male, Female or Unknown)]])),ISNUMBER(Table1[[#This Row],[Birthweight (grams)]]),ISNUMBER(Table1[[#This Row],[Gestation (days)]])),TRUE,FALSE)</f>
        <v>0</v>
      </c>
      <c r="E7038" s="2" t="str">
        <f>IF(Table1[[#This Row],[Is Data Valid]]=TRUE,IF(Table1[[#This Row],[Fetal Sex (Male, Female or Unknown)]]="Male",Backend!$C$6,IF(Table1[[#This Row],[Fetal Sex (Male, Female or Unknown)]]="Female",Backend!$C$7,IF(Table1[[#This Row],[Fetal Sex (Male, Female or Unknown)]]="Unknown",Backend!$C$8,"Error"))),"")</f>
        <v/>
      </c>
      <c r="F7038" s="8" t="str">
        <f>IF(Table1[[#This Row],[Is Data Valid]]=TRUE,EXP(0.578+0.332*((Table1[[#This Row],[Gestation (days)]]+0.5)/7)-0.00354*((Table1[[#This Row],[Gestation (days)]]+0.5)/7)^2)*Table1[[#This Row],[BW40_3705]],"")</f>
        <v/>
      </c>
      <c r="G7038" s="2" t="str">
        <f>IF(Table1[[#This Row],[Is Data Valid]]=TRUE,((Table1[[#This Row],[Birthweight (grams)]]/Table1[[#This Row],[BW_GA]])-1)/(Backend!$B$4/100*Table1[[#This Row],[BW40_3705]]),"")</f>
        <v/>
      </c>
      <c r="H7038" s="7" t="str">
        <f>IF(Table1[[#This Row],[Is Data Valid]]=TRUE,((Table1[[#This Row],[Birthweight (grams)]]*0.9/Table1[[#This Row],[BW_GA]])-1)/(Backend!$B$4/100*Table1[[#This Row],[BW40_3705]]),"")</f>
        <v/>
      </c>
      <c r="I7038" s="7" t="str">
        <f>IF(Table1[[#This Row],[Is Data Valid]]=TRUE,((Table1[[#This Row],[Birthweight (grams)]]*1.1/Table1[[#This Row],[BW_GA]])-1)/(Backend!$B$4/100*Table1[[#This Row],[BW40_3705]]),"")</f>
        <v/>
      </c>
      <c r="J7038" s="7" t="str">
        <f>IF(Table1[[#This Row],[Is Data Valid]]=TRUE,_xlfn.NORM.S.DIST(Table1[[#This Row],[Birthweight Z-Score]],TRUE)*100,"")</f>
        <v/>
      </c>
      <c r="K7038" s="7" t="str">
        <f>IF(Table1[[#This Row],[Is Data Valid]]=TRUE,_xlfn.NORM.S.DIST(Table1[[#This Row],[Birthweight Z-Score (BW-10%)]],TRUE)*100,"")</f>
        <v/>
      </c>
      <c r="L7038" s="7" t="str">
        <f>IF(Table1[[#This Row],[Is Data Valid]]=TRUE,_xlfn.NORM.S.DIST(Table1[[#This Row],[Birthweight Z-Score (BW+10%)]],TRUE)*100,"")</f>
        <v/>
      </c>
    </row>
    <row r="7039" spans="1:12" x14ac:dyDescent="0.35">
      <c r="A7039" s="3"/>
      <c r="B7039" s="2"/>
      <c r="C7039" s="2"/>
      <c r="D7039" s="2" t="b">
        <f>IF(AND(NOT(ISBLANK(Table1[[#This Row],[Fetal Sex (Male, Female or Unknown)]])),ISNUMBER(Table1[[#This Row],[Birthweight (grams)]]),ISNUMBER(Table1[[#This Row],[Gestation (days)]])),TRUE,FALSE)</f>
        <v>0</v>
      </c>
      <c r="E7039" s="2" t="str">
        <f>IF(Table1[[#This Row],[Is Data Valid]]=TRUE,IF(Table1[[#This Row],[Fetal Sex (Male, Female or Unknown)]]="Male",Backend!$C$6,IF(Table1[[#This Row],[Fetal Sex (Male, Female or Unknown)]]="Female",Backend!$C$7,IF(Table1[[#This Row],[Fetal Sex (Male, Female or Unknown)]]="Unknown",Backend!$C$8,"Error"))),"")</f>
        <v/>
      </c>
      <c r="F7039" s="8" t="str">
        <f>IF(Table1[[#This Row],[Is Data Valid]]=TRUE,EXP(0.578+0.332*((Table1[[#This Row],[Gestation (days)]]+0.5)/7)-0.00354*((Table1[[#This Row],[Gestation (days)]]+0.5)/7)^2)*Table1[[#This Row],[BW40_3705]],"")</f>
        <v/>
      </c>
      <c r="G7039" s="2" t="str">
        <f>IF(Table1[[#This Row],[Is Data Valid]]=TRUE,((Table1[[#This Row],[Birthweight (grams)]]/Table1[[#This Row],[BW_GA]])-1)/(Backend!$B$4/100*Table1[[#This Row],[BW40_3705]]),"")</f>
        <v/>
      </c>
      <c r="H7039" s="7" t="str">
        <f>IF(Table1[[#This Row],[Is Data Valid]]=TRUE,((Table1[[#This Row],[Birthweight (grams)]]*0.9/Table1[[#This Row],[BW_GA]])-1)/(Backend!$B$4/100*Table1[[#This Row],[BW40_3705]]),"")</f>
        <v/>
      </c>
      <c r="I7039" s="7" t="str">
        <f>IF(Table1[[#This Row],[Is Data Valid]]=TRUE,((Table1[[#This Row],[Birthweight (grams)]]*1.1/Table1[[#This Row],[BW_GA]])-1)/(Backend!$B$4/100*Table1[[#This Row],[BW40_3705]]),"")</f>
        <v/>
      </c>
      <c r="J7039" s="7" t="str">
        <f>IF(Table1[[#This Row],[Is Data Valid]]=TRUE,_xlfn.NORM.S.DIST(Table1[[#This Row],[Birthweight Z-Score]],TRUE)*100,"")</f>
        <v/>
      </c>
      <c r="K7039" s="7" t="str">
        <f>IF(Table1[[#This Row],[Is Data Valid]]=TRUE,_xlfn.NORM.S.DIST(Table1[[#This Row],[Birthweight Z-Score (BW-10%)]],TRUE)*100,"")</f>
        <v/>
      </c>
      <c r="L7039" s="7" t="str">
        <f>IF(Table1[[#This Row],[Is Data Valid]]=TRUE,_xlfn.NORM.S.DIST(Table1[[#This Row],[Birthweight Z-Score (BW+10%)]],TRUE)*100,"")</f>
        <v/>
      </c>
    </row>
    <row r="7040" spans="1:12" x14ac:dyDescent="0.35">
      <c r="A7040" s="3"/>
      <c r="B7040" s="2"/>
      <c r="C7040" s="2"/>
      <c r="D7040" s="2" t="b">
        <f>IF(AND(NOT(ISBLANK(Table1[[#This Row],[Fetal Sex (Male, Female or Unknown)]])),ISNUMBER(Table1[[#This Row],[Birthweight (grams)]]),ISNUMBER(Table1[[#This Row],[Gestation (days)]])),TRUE,FALSE)</f>
        <v>0</v>
      </c>
      <c r="E7040" s="2" t="str">
        <f>IF(Table1[[#This Row],[Is Data Valid]]=TRUE,IF(Table1[[#This Row],[Fetal Sex (Male, Female or Unknown)]]="Male",Backend!$C$6,IF(Table1[[#This Row],[Fetal Sex (Male, Female or Unknown)]]="Female",Backend!$C$7,IF(Table1[[#This Row],[Fetal Sex (Male, Female or Unknown)]]="Unknown",Backend!$C$8,"Error"))),"")</f>
        <v/>
      </c>
      <c r="F7040" s="8" t="str">
        <f>IF(Table1[[#This Row],[Is Data Valid]]=TRUE,EXP(0.578+0.332*((Table1[[#This Row],[Gestation (days)]]+0.5)/7)-0.00354*((Table1[[#This Row],[Gestation (days)]]+0.5)/7)^2)*Table1[[#This Row],[BW40_3705]],"")</f>
        <v/>
      </c>
      <c r="G7040" s="2" t="str">
        <f>IF(Table1[[#This Row],[Is Data Valid]]=TRUE,((Table1[[#This Row],[Birthweight (grams)]]/Table1[[#This Row],[BW_GA]])-1)/(Backend!$B$4/100*Table1[[#This Row],[BW40_3705]]),"")</f>
        <v/>
      </c>
      <c r="H7040" s="7" t="str">
        <f>IF(Table1[[#This Row],[Is Data Valid]]=TRUE,((Table1[[#This Row],[Birthweight (grams)]]*0.9/Table1[[#This Row],[BW_GA]])-1)/(Backend!$B$4/100*Table1[[#This Row],[BW40_3705]]),"")</f>
        <v/>
      </c>
      <c r="I7040" s="7" t="str">
        <f>IF(Table1[[#This Row],[Is Data Valid]]=TRUE,((Table1[[#This Row],[Birthweight (grams)]]*1.1/Table1[[#This Row],[BW_GA]])-1)/(Backend!$B$4/100*Table1[[#This Row],[BW40_3705]]),"")</f>
        <v/>
      </c>
      <c r="J7040" s="7" t="str">
        <f>IF(Table1[[#This Row],[Is Data Valid]]=TRUE,_xlfn.NORM.S.DIST(Table1[[#This Row],[Birthweight Z-Score]],TRUE)*100,"")</f>
        <v/>
      </c>
      <c r="K7040" s="7" t="str">
        <f>IF(Table1[[#This Row],[Is Data Valid]]=TRUE,_xlfn.NORM.S.DIST(Table1[[#This Row],[Birthweight Z-Score (BW-10%)]],TRUE)*100,"")</f>
        <v/>
      </c>
      <c r="L7040" s="7" t="str">
        <f>IF(Table1[[#This Row],[Is Data Valid]]=TRUE,_xlfn.NORM.S.DIST(Table1[[#This Row],[Birthweight Z-Score (BW+10%)]],TRUE)*100,"")</f>
        <v/>
      </c>
    </row>
    <row r="7041" spans="1:12" x14ac:dyDescent="0.35">
      <c r="A7041" s="3"/>
      <c r="B7041" s="2"/>
      <c r="C7041" s="2"/>
      <c r="D7041" s="2" t="b">
        <f>IF(AND(NOT(ISBLANK(Table1[[#This Row],[Fetal Sex (Male, Female or Unknown)]])),ISNUMBER(Table1[[#This Row],[Birthweight (grams)]]),ISNUMBER(Table1[[#This Row],[Gestation (days)]])),TRUE,FALSE)</f>
        <v>0</v>
      </c>
      <c r="E7041" s="2" t="str">
        <f>IF(Table1[[#This Row],[Is Data Valid]]=TRUE,IF(Table1[[#This Row],[Fetal Sex (Male, Female or Unknown)]]="Male",Backend!$C$6,IF(Table1[[#This Row],[Fetal Sex (Male, Female or Unknown)]]="Female",Backend!$C$7,IF(Table1[[#This Row],[Fetal Sex (Male, Female or Unknown)]]="Unknown",Backend!$C$8,"Error"))),"")</f>
        <v/>
      </c>
      <c r="F7041" s="8" t="str">
        <f>IF(Table1[[#This Row],[Is Data Valid]]=TRUE,EXP(0.578+0.332*((Table1[[#This Row],[Gestation (days)]]+0.5)/7)-0.00354*((Table1[[#This Row],[Gestation (days)]]+0.5)/7)^2)*Table1[[#This Row],[BW40_3705]],"")</f>
        <v/>
      </c>
      <c r="G7041" s="2" t="str">
        <f>IF(Table1[[#This Row],[Is Data Valid]]=TRUE,((Table1[[#This Row],[Birthweight (grams)]]/Table1[[#This Row],[BW_GA]])-1)/(Backend!$B$4/100*Table1[[#This Row],[BW40_3705]]),"")</f>
        <v/>
      </c>
      <c r="H7041" s="7" t="str">
        <f>IF(Table1[[#This Row],[Is Data Valid]]=TRUE,((Table1[[#This Row],[Birthweight (grams)]]*0.9/Table1[[#This Row],[BW_GA]])-1)/(Backend!$B$4/100*Table1[[#This Row],[BW40_3705]]),"")</f>
        <v/>
      </c>
      <c r="I7041" s="7" t="str">
        <f>IF(Table1[[#This Row],[Is Data Valid]]=TRUE,((Table1[[#This Row],[Birthweight (grams)]]*1.1/Table1[[#This Row],[BW_GA]])-1)/(Backend!$B$4/100*Table1[[#This Row],[BW40_3705]]),"")</f>
        <v/>
      </c>
      <c r="J7041" s="7" t="str">
        <f>IF(Table1[[#This Row],[Is Data Valid]]=TRUE,_xlfn.NORM.S.DIST(Table1[[#This Row],[Birthweight Z-Score]],TRUE)*100,"")</f>
        <v/>
      </c>
      <c r="K7041" s="7" t="str">
        <f>IF(Table1[[#This Row],[Is Data Valid]]=TRUE,_xlfn.NORM.S.DIST(Table1[[#This Row],[Birthweight Z-Score (BW-10%)]],TRUE)*100,"")</f>
        <v/>
      </c>
      <c r="L7041" s="7" t="str">
        <f>IF(Table1[[#This Row],[Is Data Valid]]=TRUE,_xlfn.NORM.S.DIST(Table1[[#This Row],[Birthweight Z-Score (BW+10%)]],TRUE)*100,"")</f>
        <v/>
      </c>
    </row>
    <row r="7042" spans="1:12" x14ac:dyDescent="0.35">
      <c r="A7042" s="3"/>
      <c r="B7042" s="2"/>
      <c r="C7042" s="2"/>
      <c r="D7042" s="2" t="b">
        <f>IF(AND(NOT(ISBLANK(Table1[[#This Row],[Fetal Sex (Male, Female or Unknown)]])),ISNUMBER(Table1[[#This Row],[Birthweight (grams)]]),ISNUMBER(Table1[[#This Row],[Gestation (days)]])),TRUE,FALSE)</f>
        <v>0</v>
      </c>
      <c r="E7042" s="2" t="str">
        <f>IF(Table1[[#This Row],[Is Data Valid]]=TRUE,IF(Table1[[#This Row],[Fetal Sex (Male, Female or Unknown)]]="Male",Backend!$C$6,IF(Table1[[#This Row],[Fetal Sex (Male, Female or Unknown)]]="Female",Backend!$C$7,IF(Table1[[#This Row],[Fetal Sex (Male, Female or Unknown)]]="Unknown",Backend!$C$8,"Error"))),"")</f>
        <v/>
      </c>
      <c r="F7042" s="8" t="str">
        <f>IF(Table1[[#This Row],[Is Data Valid]]=TRUE,EXP(0.578+0.332*((Table1[[#This Row],[Gestation (days)]]+0.5)/7)-0.00354*((Table1[[#This Row],[Gestation (days)]]+0.5)/7)^2)*Table1[[#This Row],[BW40_3705]],"")</f>
        <v/>
      </c>
      <c r="G7042" s="2" t="str">
        <f>IF(Table1[[#This Row],[Is Data Valid]]=TRUE,((Table1[[#This Row],[Birthweight (grams)]]/Table1[[#This Row],[BW_GA]])-1)/(Backend!$B$4/100*Table1[[#This Row],[BW40_3705]]),"")</f>
        <v/>
      </c>
      <c r="H7042" s="7" t="str">
        <f>IF(Table1[[#This Row],[Is Data Valid]]=TRUE,((Table1[[#This Row],[Birthweight (grams)]]*0.9/Table1[[#This Row],[BW_GA]])-1)/(Backend!$B$4/100*Table1[[#This Row],[BW40_3705]]),"")</f>
        <v/>
      </c>
      <c r="I7042" s="7" t="str">
        <f>IF(Table1[[#This Row],[Is Data Valid]]=TRUE,((Table1[[#This Row],[Birthweight (grams)]]*1.1/Table1[[#This Row],[BW_GA]])-1)/(Backend!$B$4/100*Table1[[#This Row],[BW40_3705]]),"")</f>
        <v/>
      </c>
      <c r="J7042" s="7" t="str">
        <f>IF(Table1[[#This Row],[Is Data Valid]]=TRUE,_xlfn.NORM.S.DIST(Table1[[#This Row],[Birthweight Z-Score]],TRUE)*100,"")</f>
        <v/>
      </c>
      <c r="K7042" s="7" t="str">
        <f>IF(Table1[[#This Row],[Is Data Valid]]=TRUE,_xlfn.NORM.S.DIST(Table1[[#This Row],[Birthweight Z-Score (BW-10%)]],TRUE)*100,"")</f>
        <v/>
      </c>
      <c r="L7042" s="7" t="str">
        <f>IF(Table1[[#This Row],[Is Data Valid]]=TRUE,_xlfn.NORM.S.DIST(Table1[[#This Row],[Birthweight Z-Score (BW+10%)]],TRUE)*100,"")</f>
        <v/>
      </c>
    </row>
    <row r="7043" spans="1:12" x14ac:dyDescent="0.35">
      <c r="A7043" s="3"/>
      <c r="B7043" s="2"/>
      <c r="C7043" s="2"/>
      <c r="D7043" s="2" t="b">
        <f>IF(AND(NOT(ISBLANK(Table1[[#This Row],[Fetal Sex (Male, Female or Unknown)]])),ISNUMBER(Table1[[#This Row],[Birthweight (grams)]]),ISNUMBER(Table1[[#This Row],[Gestation (days)]])),TRUE,FALSE)</f>
        <v>0</v>
      </c>
      <c r="E7043" s="2" t="str">
        <f>IF(Table1[[#This Row],[Is Data Valid]]=TRUE,IF(Table1[[#This Row],[Fetal Sex (Male, Female or Unknown)]]="Male",Backend!$C$6,IF(Table1[[#This Row],[Fetal Sex (Male, Female or Unknown)]]="Female",Backend!$C$7,IF(Table1[[#This Row],[Fetal Sex (Male, Female or Unknown)]]="Unknown",Backend!$C$8,"Error"))),"")</f>
        <v/>
      </c>
      <c r="F7043" s="8" t="str">
        <f>IF(Table1[[#This Row],[Is Data Valid]]=TRUE,EXP(0.578+0.332*((Table1[[#This Row],[Gestation (days)]]+0.5)/7)-0.00354*((Table1[[#This Row],[Gestation (days)]]+0.5)/7)^2)*Table1[[#This Row],[BW40_3705]],"")</f>
        <v/>
      </c>
      <c r="G7043" s="2" t="str">
        <f>IF(Table1[[#This Row],[Is Data Valid]]=TRUE,((Table1[[#This Row],[Birthweight (grams)]]/Table1[[#This Row],[BW_GA]])-1)/(Backend!$B$4/100*Table1[[#This Row],[BW40_3705]]),"")</f>
        <v/>
      </c>
      <c r="H7043" s="7" t="str">
        <f>IF(Table1[[#This Row],[Is Data Valid]]=TRUE,((Table1[[#This Row],[Birthweight (grams)]]*0.9/Table1[[#This Row],[BW_GA]])-1)/(Backend!$B$4/100*Table1[[#This Row],[BW40_3705]]),"")</f>
        <v/>
      </c>
      <c r="I7043" s="7" t="str">
        <f>IF(Table1[[#This Row],[Is Data Valid]]=TRUE,((Table1[[#This Row],[Birthweight (grams)]]*1.1/Table1[[#This Row],[BW_GA]])-1)/(Backend!$B$4/100*Table1[[#This Row],[BW40_3705]]),"")</f>
        <v/>
      </c>
      <c r="J7043" s="7" t="str">
        <f>IF(Table1[[#This Row],[Is Data Valid]]=TRUE,_xlfn.NORM.S.DIST(Table1[[#This Row],[Birthweight Z-Score]],TRUE)*100,"")</f>
        <v/>
      </c>
      <c r="K7043" s="7" t="str">
        <f>IF(Table1[[#This Row],[Is Data Valid]]=TRUE,_xlfn.NORM.S.DIST(Table1[[#This Row],[Birthweight Z-Score (BW-10%)]],TRUE)*100,"")</f>
        <v/>
      </c>
      <c r="L7043" s="7" t="str">
        <f>IF(Table1[[#This Row],[Is Data Valid]]=TRUE,_xlfn.NORM.S.DIST(Table1[[#This Row],[Birthweight Z-Score (BW+10%)]],TRUE)*100,"")</f>
        <v/>
      </c>
    </row>
    <row r="7044" spans="1:12" x14ac:dyDescent="0.35">
      <c r="A7044" s="3"/>
      <c r="B7044" s="2"/>
      <c r="C7044" s="2"/>
      <c r="D7044" s="2" t="b">
        <f>IF(AND(NOT(ISBLANK(Table1[[#This Row],[Fetal Sex (Male, Female or Unknown)]])),ISNUMBER(Table1[[#This Row],[Birthweight (grams)]]),ISNUMBER(Table1[[#This Row],[Gestation (days)]])),TRUE,FALSE)</f>
        <v>0</v>
      </c>
      <c r="E7044" s="2" t="str">
        <f>IF(Table1[[#This Row],[Is Data Valid]]=TRUE,IF(Table1[[#This Row],[Fetal Sex (Male, Female or Unknown)]]="Male",Backend!$C$6,IF(Table1[[#This Row],[Fetal Sex (Male, Female or Unknown)]]="Female",Backend!$C$7,IF(Table1[[#This Row],[Fetal Sex (Male, Female or Unknown)]]="Unknown",Backend!$C$8,"Error"))),"")</f>
        <v/>
      </c>
      <c r="F7044" s="8" t="str">
        <f>IF(Table1[[#This Row],[Is Data Valid]]=TRUE,EXP(0.578+0.332*((Table1[[#This Row],[Gestation (days)]]+0.5)/7)-0.00354*((Table1[[#This Row],[Gestation (days)]]+0.5)/7)^2)*Table1[[#This Row],[BW40_3705]],"")</f>
        <v/>
      </c>
      <c r="G7044" s="2" t="str">
        <f>IF(Table1[[#This Row],[Is Data Valid]]=TRUE,((Table1[[#This Row],[Birthweight (grams)]]/Table1[[#This Row],[BW_GA]])-1)/(Backend!$B$4/100*Table1[[#This Row],[BW40_3705]]),"")</f>
        <v/>
      </c>
      <c r="H7044" s="7" t="str">
        <f>IF(Table1[[#This Row],[Is Data Valid]]=TRUE,((Table1[[#This Row],[Birthweight (grams)]]*0.9/Table1[[#This Row],[BW_GA]])-1)/(Backend!$B$4/100*Table1[[#This Row],[BW40_3705]]),"")</f>
        <v/>
      </c>
      <c r="I7044" s="7" t="str">
        <f>IF(Table1[[#This Row],[Is Data Valid]]=TRUE,((Table1[[#This Row],[Birthweight (grams)]]*1.1/Table1[[#This Row],[BW_GA]])-1)/(Backend!$B$4/100*Table1[[#This Row],[BW40_3705]]),"")</f>
        <v/>
      </c>
      <c r="J7044" s="7" t="str">
        <f>IF(Table1[[#This Row],[Is Data Valid]]=TRUE,_xlfn.NORM.S.DIST(Table1[[#This Row],[Birthweight Z-Score]],TRUE)*100,"")</f>
        <v/>
      </c>
      <c r="K7044" s="7" t="str">
        <f>IF(Table1[[#This Row],[Is Data Valid]]=TRUE,_xlfn.NORM.S.DIST(Table1[[#This Row],[Birthweight Z-Score (BW-10%)]],TRUE)*100,"")</f>
        <v/>
      </c>
      <c r="L7044" s="7" t="str">
        <f>IF(Table1[[#This Row],[Is Data Valid]]=TRUE,_xlfn.NORM.S.DIST(Table1[[#This Row],[Birthweight Z-Score (BW+10%)]],TRUE)*100,"")</f>
        <v/>
      </c>
    </row>
    <row r="7045" spans="1:12" x14ac:dyDescent="0.35">
      <c r="A7045" s="3"/>
      <c r="B7045" s="2"/>
      <c r="C7045" s="2"/>
      <c r="D7045" s="2" t="b">
        <f>IF(AND(NOT(ISBLANK(Table1[[#This Row],[Fetal Sex (Male, Female or Unknown)]])),ISNUMBER(Table1[[#This Row],[Birthweight (grams)]]),ISNUMBER(Table1[[#This Row],[Gestation (days)]])),TRUE,FALSE)</f>
        <v>0</v>
      </c>
      <c r="E7045" s="2" t="str">
        <f>IF(Table1[[#This Row],[Is Data Valid]]=TRUE,IF(Table1[[#This Row],[Fetal Sex (Male, Female or Unknown)]]="Male",Backend!$C$6,IF(Table1[[#This Row],[Fetal Sex (Male, Female or Unknown)]]="Female",Backend!$C$7,IF(Table1[[#This Row],[Fetal Sex (Male, Female or Unknown)]]="Unknown",Backend!$C$8,"Error"))),"")</f>
        <v/>
      </c>
      <c r="F7045" s="8" t="str">
        <f>IF(Table1[[#This Row],[Is Data Valid]]=TRUE,EXP(0.578+0.332*((Table1[[#This Row],[Gestation (days)]]+0.5)/7)-0.00354*((Table1[[#This Row],[Gestation (days)]]+0.5)/7)^2)*Table1[[#This Row],[BW40_3705]],"")</f>
        <v/>
      </c>
      <c r="G7045" s="2" t="str">
        <f>IF(Table1[[#This Row],[Is Data Valid]]=TRUE,((Table1[[#This Row],[Birthweight (grams)]]/Table1[[#This Row],[BW_GA]])-1)/(Backend!$B$4/100*Table1[[#This Row],[BW40_3705]]),"")</f>
        <v/>
      </c>
      <c r="H7045" s="7" t="str">
        <f>IF(Table1[[#This Row],[Is Data Valid]]=TRUE,((Table1[[#This Row],[Birthweight (grams)]]*0.9/Table1[[#This Row],[BW_GA]])-1)/(Backend!$B$4/100*Table1[[#This Row],[BW40_3705]]),"")</f>
        <v/>
      </c>
      <c r="I7045" s="7" t="str">
        <f>IF(Table1[[#This Row],[Is Data Valid]]=TRUE,((Table1[[#This Row],[Birthweight (grams)]]*1.1/Table1[[#This Row],[BW_GA]])-1)/(Backend!$B$4/100*Table1[[#This Row],[BW40_3705]]),"")</f>
        <v/>
      </c>
      <c r="J7045" s="7" t="str">
        <f>IF(Table1[[#This Row],[Is Data Valid]]=TRUE,_xlfn.NORM.S.DIST(Table1[[#This Row],[Birthweight Z-Score]],TRUE)*100,"")</f>
        <v/>
      </c>
      <c r="K7045" s="7" t="str">
        <f>IF(Table1[[#This Row],[Is Data Valid]]=TRUE,_xlfn.NORM.S.DIST(Table1[[#This Row],[Birthweight Z-Score (BW-10%)]],TRUE)*100,"")</f>
        <v/>
      </c>
      <c r="L7045" s="7" t="str">
        <f>IF(Table1[[#This Row],[Is Data Valid]]=TRUE,_xlfn.NORM.S.DIST(Table1[[#This Row],[Birthweight Z-Score (BW+10%)]],TRUE)*100,"")</f>
        <v/>
      </c>
    </row>
    <row r="7046" spans="1:12" x14ac:dyDescent="0.35">
      <c r="A7046" s="3"/>
      <c r="B7046" s="2"/>
      <c r="C7046" s="2"/>
      <c r="D7046" s="2" t="b">
        <f>IF(AND(NOT(ISBLANK(Table1[[#This Row],[Fetal Sex (Male, Female or Unknown)]])),ISNUMBER(Table1[[#This Row],[Birthweight (grams)]]),ISNUMBER(Table1[[#This Row],[Gestation (days)]])),TRUE,FALSE)</f>
        <v>0</v>
      </c>
      <c r="E7046" s="2" t="str">
        <f>IF(Table1[[#This Row],[Is Data Valid]]=TRUE,IF(Table1[[#This Row],[Fetal Sex (Male, Female or Unknown)]]="Male",Backend!$C$6,IF(Table1[[#This Row],[Fetal Sex (Male, Female or Unknown)]]="Female",Backend!$C$7,IF(Table1[[#This Row],[Fetal Sex (Male, Female or Unknown)]]="Unknown",Backend!$C$8,"Error"))),"")</f>
        <v/>
      </c>
      <c r="F7046" s="8" t="str">
        <f>IF(Table1[[#This Row],[Is Data Valid]]=TRUE,EXP(0.578+0.332*((Table1[[#This Row],[Gestation (days)]]+0.5)/7)-0.00354*((Table1[[#This Row],[Gestation (days)]]+0.5)/7)^2)*Table1[[#This Row],[BW40_3705]],"")</f>
        <v/>
      </c>
      <c r="G7046" s="2" t="str">
        <f>IF(Table1[[#This Row],[Is Data Valid]]=TRUE,((Table1[[#This Row],[Birthweight (grams)]]/Table1[[#This Row],[BW_GA]])-1)/(Backend!$B$4/100*Table1[[#This Row],[BW40_3705]]),"")</f>
        <v/>
      </c>
      <c r="H7046" s="7" t="str">
        <f>IF(Table1[[#This Row],[Is Data Valid]]=TRUE,((Table1[[#This Row],[Birthweight (grams)]]*0.9/Table1[[#This Row],[BW_GA]])-1)/(Backend!$B$4/100*Table1[[#This Row],[BW40_3705]]),"")</f>
        <v/>
      </c>
      <c r="I7046" s="7" t="str">
        <f>IF(Table1[[#This Row],[Is Data Valid]]=TRUE,((Table1[[#This Row],[Birthweight (grams)]]*1.1/Table1[[#This Row],[BW_GA]])-1)/(Backend!$B$4/100*Table1[[#This Row],[BW40_3705]]),"")</f>
        <v/>
      </c>
      <c r="J7046" s="7" t="str">
        <f>IF(Table1[[#This Row],[Is Data Valid]]=TRUE,_xlfn.NORM.S.DIST(Table1[[#This Row],[Birthweight Z-Score]],TRUE)*100,"")</f>
        <v/>
      </c>
      <c r="K7046" s="7" t="str">
        <f>IF(Table1[[#This Row],[Is Data Valid]]=TRUE,_xlfn.NORM.S.DIST(Table1[[#This Row],[Birthweight Z-Score (BW-10%)]],TRUE)*100,"")</f>
        <v/>
      </c>
      <c r="L7046" s="7" t="str">
        <f>IF(Table1[[#This Row],[Is Data Valid]]=TRUE,_xlfn.NORM.S.DIST(Table1[[#This Row],[Birthweight Z-Score (BW+10%)]],TRUE)*100,"")</f>
        <v/>
      </c>
    </row>
    <row r="7047" spans="1:12" x14ac:dyDescent="0.35">
      <c r="A7047" s="3"/>
      <c r="B7047" s="2"/>
      <c r="C7047" s="2"/>
      <c r="D7047" s="2" t="b">
        <f>IF(AND(NOT(ISBLANK(Table1[[#This Row],[Fetal Sex (Male, Female or Unknown)]])),ISNUMBER(Table1[[#This Row],[Birthweight (grams)]]),ISNUMBER(Table1[[#This Row],[Gestation (days)]])),TRUE,FALSE)</f>
        <v>0</v>
      </c>
      <c r="E7047" s="2" t="str">
        <f>IF(Table1[[#This Row],[Is Data Valid]]=TRUE,IF(Table1[[#This Row],[Fetal Sex (Male, Female or Unknown)]]="Male",Backend!$C$6,IF(Table1[[#This Row],[Fetal Sex (Male, Female or Unknown)]]="Female",Backend!$C$7,IF(Table1[[#This Row],[Fetal Sex (Male, Female or Unknown)]]="Unknown",Backend!$C$8,"Error"))),"")</f>
        <v/>
      </c>
      <c r="F7047" s="8" t="str">
        <f>IF(Table1[[#This Row],[Is Data Valid]]=TRUE,EXP(0.578+0.332*((Table1[[#This Row],[Gestation (days)]]+0.5)/7)-0.00354*((Table1[[#This Row],[Gestation (days)]]+0.5)/7)^2)*Table1[[#This Row],[BW40_3705]],"")</f>
        <v/>
      </c>
      <c r="G7047" s="2" t="str">
        <f>IF(Table1[[#This Row],[Is Data Valid]]=TRUE,((Table1[[#This Row],[Birthweight (grams)]]/Table1[[#This Row],[BW_GA]])-1)/(Backend!$B$4/100*Table1[[#This Row],[BW40_3705]]),"")</f>
        <v/>
      </c>
      <c r="H7047" s="7" t="str">
        <f>IF(Table1[[#This Row],[Is Data Valid]]=TRUE,((Table1[[#This Row],[Birthweight (grams)]]*0.9/Table1[[#This Row],[BW_GA]])-1)/(Backend!$B$4/100*Table1[[#This Row],[BW40_3705]]),"")</f>
        <v/>
      </c>
      <c r="I7047" s="7" t="str">
        <f>IF(Table1[[#This Row],[Is Data Valid]]=TRUE,((Table1[[#This Row],[Birthweight (grams)]]*1.1/Table1[[#This Row],[BW_GA]])-1)/(Backend!$B$4/100*Table1[[#This Row],[BW40_3705]]),"")</f>
        <v/>
      </c>
      <c r="J7047" s="7" t="str">
        <f>IF(Table1[[#This Row],[Is Data Valid]]=TRUE,_xlfn.NORM.S.DIST(Table1[[#This Row],[Birthweight Z-Score]],TRUE)*100,"")</f>
        <v/>
      </c>
      <c r="K7047" s="7" t="str">
        <f>IF(Table1[[#This Row],[Is Data Valid]]=TRUE,_xlfn.NORM.S.DIST(Table1[[#This Row],[Birthweight Z-Score (BW-10%)]],TRUE)*100,"")</f>
        <v/>
      </c>
      <c r="L7047" s="7" t="str">
        <f>IF(Table1[[#This Row],[Is Data Valid]]=TRUE,_xlfn.NORM.S.DIST(Table1[[#This Row],[Birthweight Z-Score (BW+10%)]],TRUE)*100,"")</f>
        <v/>
      </c>
    </row>
    <row r="7048" spans="1:12" x14ac:dyDescent="0.35">
      <c r="A7048" s="3"/>
      <c r="B7048" s="2"/>
      <c r="C7048" s="2"/>
      <c r="D7048" s="2" t="b">
        <f>IF(AND(NOT(ISBLANK(Table1[[#This Row],[Fetal Sex (Male, Female or Unknown)]])),ISNUMBER(Table1[[#This Row],[Birthweight (grams)]]),ISNUMBER(Table1[[#This Row],[Gestation (days)]])),TRUE,FALSE)</f>
        <v>0</v>
      </c>
      <c r="E7048" s="2" t="str">
        <f>IF(Table1[[#This Row],[Is Data Valid]]=TRUE,IF(Table1[[#This Row],[Fetal Sex (Male, Female or Unknown)]]="Male",Backend!$C$6,IF(Table1[[#This Row],[Fetal Sex (Male, Female or Unknown)]]="Female",Backend!$C$7,IF(Table1[[#This Row],[Fetal Sex (Male, Female or Unknown)]]="Unknown",Backend!$C$8,"Error"))),"")</f>
        <v/>
      </c>
      <c r="F7048" s="8" t="str">
        <f>IF(Table1[[#This Row],[Is Data Valid]]=TRUE,EXP(0.578+0.332*((Table1[[#This Row],[Gestation (days)]]+0.5)/7)-0.00354*((Table1[[#This Row],[Gestation (days)]]+0.5)/7)^2)*Table1[[#This Row],[BW40_3705]],"")</f>
        <v/>
      </c>
      <c r="G7048" s="2" t="str">
        <f>IF(Table1[[#This Row],[Is Data Valid]]=TRUE,((Table1[[#This Row],[Birthweight (grams)]]/Table1[[#This Row],[BW_GA]])-1)/(Backend!$B$4/100*Table1[[#This Row],[BW40_3705]]),"")</f>
        <v/>
      </c>
      <c r="H7048" s="7" t="str">
        <f>IF(Table1[[#This Row],[Is Data Valid]]=TRUE,((Table1[[#This Row],[Birthweight (grams)]]*0.9/Table1[[#This Row],[BW_GA]])-1)/(Backend!$B$4/100*Table1[[#This Row],[BW40_3705]]),"")</f>
        <v/>
      </c>
      <c r="I7048" s="7" t="str">
        <f>IF(Table1[[#This Row],[Is Data Valid]]=TRUE,((Table1[[#This Row],[Birthweight (grams)]]*1.1/Table1[[#This Row],[BW_GA]])-1)/(Backend!$B$4/100*Table1[[#This Row],[BW40_3705]]),"")</f>
        <v/>
      </c>
      <c r="J7048" s="7" t="str">
        <f>IF(Table1[[#This Row],[Is Data Valid]]=TRUE,_xlfn.NORM.S.DIST(Table1[[#This Row],[Birthweight Z-Score]],TRUE)*100,"")</f>
        <v/>
      </c>
      <c r="K7048" s="7" t="str">
        <f>IF(Table1[[#This Row],[Is Data Valid]]=TRUE,_xlfn.NORM.S.DIST(Table1[[#This Row],[Birthweight Z-Score (BW-10%)]],TRUE)*100,"")</f>
        <v/>
      </c>
      <c r="L7048" s="7" t="str">
        <f>IF(Table1[[#This Row],[Is Data Valid]]=TRUE,_xlfn.NORM.S.DIST(Table1[[#This Row],[Birthweight Z-Score (BW+10%)]],TRUE)*100,"")</f>
        <v/>
      </c>
    </row>
    <row r="7049" spans="1:12" x14ac:dyDescent="0.35">
      <c r="A7049" s="3"/>
      <c r="B7049" s="2"/>
      <c r="C7049" s="2"/>
      <c r="D7049" s="2" t="b">
        <f>IF(AND(NOT(ISBLANK(Table1[[#This Row],[Fetal Sex (Male, Female or Unknown)]])),ISNUMBER(Table1[[#This Row],[Birthweight (grams)]]),ISNUMBER(Table1[[#This Row],[Gestation (days)]])),TRUE,FALSE)</f>
        <v>0</v>
      </c>
      <c r="E7049" s="2" t="str">
        <f>IF(Table1[[#This Row],[Is Data Valid]]=TRUE,IF(Table1[[#This Row],[Fetal Sex (Male, Female or Unknown)]]="Male",Backend!$C$6,IF(Table1[[#This Row],[Fetal Sex (Male, Female or Unknown)]]="Female",Backend!$C$7,IF(Table1[[#This Row],[Fetal Sex (Male, Female or Unknown)]]="Unknown",Backend!$C$8,"Error"))),"")</f>
        <v/>
      </c>
      <c r="F7049" s="8" t="str">
        <f>IF(Table1[[#This Row],[Is Data Valid]]=TRUE,EXP(0.578+0.332*((Table1[[#This Row],[Gestation (days)]]+0.5)/7)-0.00354*((Table1[[#This Row],[Gestation (days)]]+0.5)/7)^2)*Table1[[#This Row],[BW40_3705]],"")</f>
        <v/>
      </c>
      <c r="G7049" s="2" t="str">
        <f>IF(Table1[[#This Row],[Is Data Valid]]=TRUE,((Table1[[#This Row],[Birthweight (grams)]]/Table1[[#This Row],[BW_GA]])-1)/(Backend!$B$4/100*Table1[[#This Row],[BW40_3705]]),"")</f>
        <v/>
      </c>
      <c r="H7049" s="7" t="str">
        <f>IF(Table1[[#This Row],[Is Data Valid]]=TRUE,((Table1[[#This Row],[Birthweight (grams)]]*0.9/Table1[[#This Row],[BW_GA]])-1)/(Backend!$B$4/100*Table1[[#This Row],[BW40_3705]]),"")</f>
        <v/>
      </c>
      <c r="I7049" s="7" t="str">
        <f>IF(Table1[[#This Row],[Is Data Valid]]=TRUE,((Table1[[#This Row],[Birthweight (grams)]]*1.1/Table1[[#This Row],[BW_GA]])-1)/(Backend!$B$4/100*Table1[[#This Row],[BW40_3705]]),"")</f>
        <v/>
      </c>
      <c r="J7049" s="7" t="str">
        <f>IF(Table1[[#This Row],[Is Data Valid]]=TRUE,_xlfn.NORM.S.DIST(Table1[[#This Row],[Birthweight Z-Score]],TRUE)*100,"")</f>
        <v/>
      </c>
      <c r="K7049" s="7" t="str">
        <f>IF(Table1[[#This Row],[Is Data Valid]]=TRUE,_xlfn.NORM.S.DIST(Table1[[#This Row],[Birthweight Z-Score (BW-10%)]],TRUE)*100,"")</f>
        <v/>
      </c>
      <c r="L7049" s="7" t="str">
        <f>IF(Table1[[#This Row],[Is Data Valid]]=TRUE,_xlfn.NORM.S.DIST(Table1[[#This Row],[Birthweight Z-Score (BW+10%)]],TRUE)*100,"")</f>
        <v/>
      </c>
    </row>
    <row r="7050" spans="1:12" x14ac:dyDescent="0.35">
      <c r="A7050" s="3"/>
      <c r="B7050" s="2"/>
      <c r="C7050" s="2"/>
      <c r="D7050" s="2" t="b">
        <f>IF(AND(NOT(ISBLANK(Table1[[#This Row],[Fetal Sex (Male, Female or Unknown)]])),ISNUMBER(Table1[[#This Row],[Birthweight (grams)]]),ISNUMBER(Table1[[#This Row],[Gestation (days)]])),TRUE,FALSE)</f>
        <v>0</v>
      </c>
      <c r="E7050" s="2" t="str">
        <f>IF(Table1[[#This Row],[Is Data Valid]]=TRUE,IF(Table1[[#This Row],[Fetal Sex (Male, Female or Unknown)]]="Male",Backend!$C$6,IF(Table1[[#This Row],[Fetal Sex (Male, Female or Unknown)]]="Female",Backend!$C$7,IF(Table1[[#This Row],[Fetal Sex (Male, Female or Unknown)]]="Unknown",Backend!$C$8,"Error"))),"")</f>
        <v/>
      </c>
      <c r="F7050" s="8" t="str">
        <f>IF(Table1[[#This Row],[Is Data Valid]]=TRUE,EXP(0.578+0.332*((Table1[[#This Row],[Gestation (days)]]+0.5)/7)-0.00354*((Table1[[#This Row],[Gestation (days)]]+0.5)/7)^2)*Table1[[#This Row],[BW40_3705]],"")</f>
        <v/>
      </c>
      <c r="G7050" s="2" t="str">
        <f>IF(Table1[[#This Row],[Is Data Valid]]=TRUE,((Table1[[#This Row],[Birthweight (grams)]]/Table1[[#This Row],[BW_GA]])-1)/(Backend!$B$4/100*Table1[[#This Row],[BW40_3705]]),"")</f>
        <v/>
      </c>
      <c r="H7050" s="7" t="str">
        <f>IF(Table1[[#This Row],[Is Data Valid]]=TRUE,((Table1[[#This Row],[Birthweight (grams)]]*0.9/Table1[[#This Row],[BW_GA]])-1)/(Backend!$B$4/100*Table1[[#This Row],[BW40_3705]]),"")</f>
        <v/>
      </c>
      <c r="I7050" s="7" t="str">
        <f>IF(Table1[[#This Row],[Is Data Valid]]=TRUE,((Table1[[#This Row],[Birthweight (grams)]]*1.1/Table1[[#This Row],[BW_GA]])-1)/(Backend!$B$4/100*Table1[[#This Row],[BW40_3705]]),"")</f>
        <v/>
      </c>
      <c r="J7050" s="7" t="str">
        <f>IF(Table1[[#This Row],[Is Data Valid]]=TRUE,_xlfn.NORM.S.DIST(Table1[[#This Row],[Birthweight Z-Score]],TRUE)*100,"")</f>
        <v/>
      </c>
      <c r="K7050" s="7" t="str">
        <f>IF(Table1[[#This Row],[Is Data Valid]]=TRUE,_xlfn.NORM.S.DIST(Table1[[#This Row],[Birthweight Z-Score (BW-10%)]],TRUE)*100,"")</f>
        <v/>
      </c>
      <c r="L7050" s="7" t="str">
        <f>IF(Table1[[#This Row],[Is Data Valid]]=TRUE,_xlfn.NORM.S.DIST(Table1[[#This Row],[Birthweight Z-Score (BW+10%)]],TRUE)*100,"")</f>
        <v/>
      </c>
    </row>
    <row r="7051" spans="1:12" x14ac:dyDescent="0.35">
      <c r="A7051" s="3"/>
      <c r="B7051" s="2"/>
      <c r="C7051" s="2"/>
      <c r="D7051" s="2" t="b">
        <f>IF(AND(NOT(ISBLANK(Table1[[#This Row],[Fetal Sex (Male, Female or Unknown)]])),ISNUMBER(Table1[[#This Row],[Birthweight (grams)]]),ISNUMBER(Table1[[#This Row],[Gestation (days)]])),TRUE,FALSE)</f>
        <v>0</v>
      </c>
      <c r="E7051" s="2" t="str">
        <f>IF(Table1[[#This Row],[Is Data Valid]]=TRUE,IF(Table1[[#This Row],[Fetal Sex (Male, Female or Unknown)]]="Male",Backend!$C$6,IF(Table1[[#This Row],[Fetal Sex (Male, Female or Unknown)]]="Female",Backend!$C$7,IF(Table1[[#This Row],[Fetal Sex (Male, Female or Unknown)]]="Unknown",Backend!$C$8,"Error"))),"")</f>
        <v/>
      </c>
      <c r="F7051" s="8" t="str">
        <f>IF(Table1[[#This Row],[Is Data Valid]]=TRUE,EXP(0.578+0.332*((Table1[[#This Row],[Gestation (days)]]+0.5)/7)-0.00354*((Table1[[#This Row],[Gestation (days)]]+0.5)/7)^2)*Table1[[#This Row],[BW40_3705]],"")</f>
        <v/>
      </c>
      <c r="G7051" s="2" t="str">
        <f>IF(Table1[[#This Row],[Is Data Valid]]=TRUE,((Table1[[#This Row],[Birthweight (grams)]]/Table1[[#This Row],[BW_GA]])-1)/(Backend!$B$4/100*Table1[[#This Row],[BW40_3705]]),"")</f>
        <v/>
      </c>
      <c r="H7051" s="7" t="str">
        <f>IF(Table1[[#This Row],[Is Data Valid]]=TRUE,((Table1[[#This Row],[Birthweight (grams)]]*0.9/Table1[[#This Row],[BW_GA]])-1)/(Backend!$B$4/100*Table1[[#This Row],[BW40_3705]]),"")</f>
        <v/>
      </c>
      <c r="I7051" s="7" t="str">
        <f>IF(Table1[[#This Row],[Is Data Valid]]=TRUE,((Table1[[#This Row],[Birthweight (grams)]]*1.1/Table1[[#This Row],[BW_GA]])-1)/(Backend!$B$4/100*Table1[[#This Row],[BW40_3705]]),"")</f>
        <v/>
      </c>
      <c r="J7051" s="7" t="str">
        <f>IF(Table1[[#This Row],[Is Data Valid]]=TRUE,_xlfn.NORM.S.DIST(Table1[[#This Row],[Birthweight Z-Score]],TRUE)*100,"")</f>
        <v/>
      </c>
      <c r="K7051" s="7" t="str">
        <f>IF(Table1[[#This Row],[Is Data Valid]]=TRUE,_xlfn.NORM.S.DIST(Table1[[#This Row],[Birthweight Z-Score (BW-10%)]],TRUE)*100,"")</f>
        <v/>
      </c>
      <c r="L7051" s="7" t="str">
        <f>IF(Table1[[#This Row],[Is Data Valid]]=TRUE,_xlfn.NORM.S.DIST(Table1[[#This Row],[Birthweight Z-Score (BW+10%)]],TRUE)*100,"")</f>
        <v/>
      </c>
    </row>
    <row r="7052" spans="1:12" x14ac:dyDescent="0.35">
      <c r="A7052" s="3"/>
      <c r="B7052" s="2"/>
      <c r="C7052" s="2"/>
      <c r="D7052" s="2" t="b">
        <f>IF(AND(NOT(ISBLANK(Table1[[#This Row],[Fetal Sex (Male, Female or Unknown)]])),ISNUMBER(Table1[[#This Row],[Birthweight (grams)]]),ISNUMBER(Table1[[#This Row],[Gestation (days)]])),TRUE,FALSE)</f>
        <v>0</v>
      </c>
      <c r="E7052" s="2" t="str">
        <f>IF(Table1[[#This Row],[Is Data Valid]]=TRUE,IF(Table1[[#This Row],[Fetal Sex (Male, Female or Unknown)]]="Male",Backend!$C$6,IF(Table1[[#This Row],[Fetal Sex (Male, Female or Unknown)]]="Female",Backend!$C$7,IF(Table1[[#This Row],[Fetal Sex (Male, Female or Unknown)]]="Unknown",Backend!$C$8,"Error"))),"")</f>
        <v/>
      </c>
      <c r="F7052" s="8" t="str">
        <f>IF(Table1[[#This Row],[Is Data Valid]]=TRUE,EXP(0.578+0.332*((Table1[[#This Row],[Gestation (days)]]+0.5)/7)-0.00354*((Table1[[#This Row],[Gestation (days)]]+0.5)/7)^2)*Table1[[#This Row],[BW40_3705]],"")</f>
        <v/>
      </c>
      <c r="G7052" s="2" t="str">
        <f>IF(Table1[[#This Row],[Is Data Valid]]=TRUE,((Table1[[#This Row],[Birthweight (grams)]]/Table1[[#This Row],[BW_GA]])-1)/(Backend!$B$4/100*Table1[[#This Row],[BW40_3705]]),"")</f>
        <v/>
      </c>
      <c r="H7052" s="7" t="str">
        <f>IF(Table1[[#This Row],[Is Data Valid]]=TRUE,((Table1[[#This Row],[Birthweight (grams)]]*0.9/Table1[[#This Row],[BW_GA]])-1)/(Backend!$B$4/100*Table1[[#This Row],[BW40_3705]]),"")</f>
        <v/>
      </c>
      <c r="I7052" s="7" t="str">
        <f>IF(Table1[[#This Row],[Is Data Valid]]=TRUE,((Table1[[#This Row],[Birthweight (grams)]]*1.1/Table1[[#This Row],[BW_GA]])-1)/(Backend!$B$4/100*Table1[[#This Row],[BW40_3705]]),"")</f>
        <v/>
      </c>
      <c r="J7052" s="7" t="str">
        <f>IF(Table1[[#This Row],[Is Data Valid]]=TRUE,_xlfn.NORM.S.DIST(Table1[[#This Row],[Birthweight Z-Score]],TRUE)*100,"")</f>
        <v/>
      </c>
      <c r="K7052" s="7" t="str">
        <f>IF(Table1[[#This Row],[Is Data Valid]]=TRUE,_xlfn.NORM.S.DIST(Table1[[#This Row],[Birthweight Z-Score (BW-10%)]],TRUE)*100,"")</f>
        <v/>
      </c>
      <c r="L7052" s="7" t="str">
        <f>IF(Table1[[#This Row],[Is Data Valid]]=TRUE,_xlfn.NORM.S.DIST(Table1[[#This Row],[Birthweight Z-Score (BW+10%)]],TRUE)*100,"")</f>
        <v/>
      </c>
    </row>
    <row r="7053" spans="1:12" x14ac:dyDescent="0.35">
      <c r="A7053" s="3"/>
      <c r="B7053" s="2"/>
      <c r="C7053" s="2"/>
      <c r="D7053" s="2" t="b">
        <f>IF(AND(NOT(ISBLANK(Table1[[#This Row],[Fetal Sex (Male, Female or Unknown)]])),ISNUMBER(Table1[[#This Row],[Birthweight (grams)]]),ISNUMBER(Table1[[#This Row],[Gestation (days)]])),TRUE,FALSE)</f>
        <v>0</v>
      </c>
      <c r="E7053" s="2" t="str">
        <f>IF(Table1[[#This Row],[Is Data Valid]]=TRUE,IF(Table1[[#This Row],[Fetal Sex (Male, Female or Unknown)]]="Male",Backend!$C$6,IF(Table1[[#This Row],[Fetal Sex (Male, Female or Unknown)]]="Female",Backend!$C$7,IF(Table1[[#This Row],[Fetal Sex (Male, Female or Unknown)]]="Unknown",Backend!$C$8,"Error"))),"")</f>
        <v/>
      </c>
      <c r="F7053" s="8" t="str">
        <f>IF(Table1[[#This Row],[Is Data Valid]]=TRUE,EXP(0.578+0.332*((Table1[[#This Row],[Gestation (days)]]+0.5)/7)-0.00354*((Table1[[#This Row],[Gestation (days)]]+0.5)/7)^2)*Table1[[#This Row],[BW40_3705]],"")</f>
        <v/>
      </c>
      <c r="G7053" s="2" t="str">
        <f>IF(Table1[[#This Row],[Is Data Valid]]=TRUE,((Table1[[#This Row],[Birthweight (grams)]]/Table1[[#This Row],[BW_GA]])-1)/(Backend!$B$4/100*Table1[[#This Row],[BW40_3705]]),"")</f>
        <v/>
      </c>
      <c r="H7053" s="7" t="str">
        <f>IF(Table1[[#This Row],[Is Data Valid]]=TRUE,((Table1[[#This Row],[Birthweight (grams)]]*0.9/Table1[[#This Row],[BW_GA]])-1)/(Backend!$B$4/100*Table1[[#This Row],[BW40_3705]]),"")</f>
        <v/>
      </c>
      <c r="I7053" s="7" t="str">
        <f>IF(Table1[[#This Row],[Is Data Valid]]=TRUE,((Table1[[#This Row],[Birthweight (grams)]]*1.1/Table1[[#This Row],[BW_GA]])-1)/(Backend!$B$4/100*Table1[[#This Row],[BW40_3705]]),"")</f>
        <v/>
      </c>
      <c r="J7053" s="7" t="str">
        <f>IF(Table1[[#This Row],[Is Data Valid]]=TRUE,_xlfn.NORM.S.DIST(Table1[[#This Row],[Birthweight Z-Score]],TRUE)*100,"")</f>
        <v/>
      </c>
      <c r="K7053" s="7" t="str">
        <f>IF(Table1[[#This Row],[Is Data Valid]]=TRUE,_xlfn.NORM.S.DIST(Table1[[#This Row],[Birthweight Z-Score (BW-10%)]],TRUE)*100,"")</f>
        <v/>
      </c>
      <c r="L7053" s="7" t="str">
        <f>IF(Table1[[#This Row],[Is Data Valid]]=TRUE,_xlfn.NORM.S.DIST(Table1[[#This Row],[Birthweight Z-Score (BW+10%)]],TRUE)*100,"")</f>
        <v/>
      </c>
    </row>
    <row r="7054" spans="1:12" x14ac:dyDescent="0.35">
      <c r="A7054" s="3"/>
      <c r="B7054" s="2"/>
      <c r="C7054" s="2"/>
      <c r="D7054" s="2" t="b">
        <f>IF(AND(NOT(ISBLANK(Table1[[#This Row],[Fetal Sex (Male, Female or Unknown)]])),ISNUMBER(Table1[[#This Row],[Birthweight (grams)]]),ISNUMBER(Table1[[#This Row],[Gestation (days)]])),TRUE,FALSE)</f>
        <v>0</v>
      </c>
      <c r="E7054" s="2" t="str">
        <f>IF(Table1[[#This Row],[Is Data Valid]]=TRUE,IF(Table1[[#This Row],[Fetal Sex (Male, Female or Unknown)]]="Male",Backend!$C$6,IF(Table1[[#This Row],[Fetal Sex (Male, Female or Unknown)]]="Female",Backend!$C$7,IF(Table1[[#This Row],[Fetal Sex (Male, Female or Unknown)]]="Unknown",Backend!$C$8,"Error"))),"")</f>
        <v/>
      </c>
      <c r="F7054" s="8" t="str">
        <f>IF(Table1[[#This Row],[Is Data Valid]]=TRUE,EXP(0.578+0.332*((Table1[[#This Row],[Gestation (days)]]+0.5)/7)-0.00354*((Table1[[#This Row],[Gestation (days)]]+0.5)/7)^2)*Table1[[#This Row],[BW40_3705]],"")</f>
        <v/>
      </c>
      <c r="G7054" s="2" t="str">
        <f>IF(Table1[[#This Row],[Is Data Valid]]=TRUE,((Table1[[#This Row],[Birthweight (grams)]]/Table1[[#This Row],[BW_GA]])-1)/(Backend!$B$4/100*Table1[[#This Row],[BW40_3705]]),"")</f>
        <v/>
      </c>
      <c r="H7054" s="7" t="str">
        <f>IF(Table1[[#This Row],[Is Data Valid]]=TRUE,((Table1[[#This Row],[Birthweight (grams)]]*0.9/Table1[[#This Row],[BW_GA]])-1)/(Backend!$B$4/100*Table1[[#This Row],[BW40_3705]]),"")</f>
        <v/>
      </c>
      <c r="I7054" s="7" t="str">
        <f>IF(Table1[[#This Row],[Is Data Valid]]=TRUE,((Table1[[#This Row],[Birthweight (grams)]]*1.1/Table1[[#This Row],[BW_GA]])-1)/(Backend!$B$4/100*Table1[[#This Row],[BW40_3705]]),"")</f>
        <v/>
      </c>
      <c r="J7054" s="7" t="str">
        <f>IF(Table1[[#This Row],[Is Data Valid]]=TRUE,_xlfn.NORM.S.DIST(Table1[[#This Row],[Birthweight Z-Score]],TRUE)*100,"")</f>
        <v/>
      </c>
      <c r="K7054" s="7" t="str">
        <f>IF(Table1[[#This Row],[Is Data Valid]]=TRUE,_xlfn.NORM.S.DIST(Table1[[#This Row],[Birthweight Z-Score (BW-10%)]],TRUE)*100,"")</f>
        <v/>
      </c>
      <c r="L7054" s="7" t="str">
        <f>IF(Table1[[#This Row],[Is Data Valid]]=TRUE,_xlfn.NORM.S.DIST(Table1[[#This Row],[Birthweight Z-Score (BW+10%)]],TRUE)*100,"")</f>
        <v/>
      </c>
    </row>
    <row r="7055" spans="1:12" x14ac:dyDescent="0.35">
      <c r="A7055" s="3"/>
      <c r="B7055" s="2"/>
      <c r="C7055" s="2"/>
      <c r="D7055" s="2" t="b">
        <f>IF(AND(NOT(ISBLANK(Table1[[#This Row],[Fetal Sex (Male, Female or Unknown)]])),ISNUMBER(Table1[[#This Row],[Birthweight (grams)]]),ISNUMBER(Table1[[#This Row],[Gestation (days)]])),TRUE,FALSE)</f>
        <v>0</v>
      </c>
      <c r="E7055" s="2" t="str">
        <f>IF(Table1[[#This Row],[Is Data Valid]]=TRUE,IF(Table1[[#This Row],[Fetal Sex (Male, Female or Unknown)]]="Male",Backend!$C$6,IF(Table1[[#This Row],[Fetal Sex (Male, Female or Unknown)]]="Female",Backend!$C$7,IF(Table1[[#This Row],[Fetal Sex (Male, Female or Unknown)]]="Unknown",Backend!$C$8,"Error"))),"")</f>
        <v/>
      </c>
      <c r="F7055" s="8" t="str">
        <f>IF(Table1[[#This Row],[Is Data Valid]]=TRUE,EXP(0.578+0.332*((Table1[[#This Row],[Gestation (days)]]+0.5)/7)-0.00354*((Table1[[#This Row],[Gestation (days)]]+0.5)/7)^2)*Table1[[#This Row],[BW40_3705]],"")</f>
        <v/>
      </c>
      <c r="G7055" s="2" t="str">
        <f>IF(Table1[[#This Row],[Is Data Valid]]=TRUE,((Table1[[#This Row],[Birthweight (grams)]]/Table1[[#This Row],[BW_GA]])-1)/(Backend!$B$4/100*Table1[[#This Row],[BW40_3705]]),"")</f>
        <v/>
      </c>
      <c r="H7055" s="7" t="str">
        <f>IF(Table1[[#This Row],[Is Data Valid]]=TRUE,((Table1[[#This Row],[Birthweight (grams)]]*0.9/Table1[[#This Row],[BW_GA]])-1)/(Backend!$B$4/100*Table1[[#This Row],[BW40_3705]]),"")</f>
        <v/>
      </c>
      <c r="I7055" s="7" t="str">
        <f>IF(Table1[[#This Row],[Is Data Valid]]=TRUE,((Table1[[#This Row],[Birthweight (grams)]]*1.1/Table1[[#This Row],[BW_GA]])-1)/(Backend!$B$4/100*Table1[[#This Row],[BW40_3705]]),"")</f>
        <v/>
      </c>
      <c r="J7055" s="7" t="str">
        <f>IF(Table1[[#This Row],[Is Data Valid]]=TRUE,_xlfn.NORM.S.DIST(Table1[[#This Row],[Birthweight Z-Score]],TRUE)*100,"")</f>
        <v/>
      </c>
      <c r="K7055" s="7" t="str">
        <f>IF(Table1[[#This Row],[Is Data Valid]]=TRUE,_xlfn.NORM.S.DIST(Table1[[#This Row],[Birthweight Z-Score (BW-10%)]],TRUE)*100,"")</f>
        <v/>
      </c>
      <c r="L7055" s="7" t="str">
        <f>IF(Table1[[#This Row],[Is Data Valid]]=TRUE,_xlfn.NORM.S.DIST(Table1[[#This Row],[Birthweight Z-Score (BW+10%)]],TRUE)*100,"")</f>
        <v/>
      </c>
    </row>
    <row r="7056" spans="1:12" x14ac:dyDescent="0.35">
      <c r="A7056" s="3"/>
      <c r="B7056" s="2"/>
      <c r="C7056" s="2"/>
      <c r="D7056" s="2" t="b">
        <f>IF(AND(NOT(ISBLANK(Table1[[#This Row],[Fetal Sex (Male, Female or Unknown)]])),ISNUMBER(Table1[[#This Row],[Birthweight (grams)]]),ISNUMBER(Table1[[#This Row],[Gestation (days)]])),TRUE,FALSE)</f>
        <v>0</v>
      </c>
      <c r="E7056" s="2" t="str">
        <f>IF(Table1[[#This Row],[Is Data Valid]]=TRUE,IF(Table1[[#This Row],[Fetal Sex (Male, Female or Unknown)]]="Male",Backend!$C$6,IF(Table1[[#This Row],[Fetal Sex (Male, Female or Unknown)]]="Female",Backend!$C$7,IF(Table1[[#This Row],[Fetal Sex (Male, Female or Unknown)]]="Unknown",Backend!$C$8,"Error"))),"")</f>
        <v/>
      </c>
      <c r="F7056" s="8" t="str">
        <f>IF(Table1[[#This Row],[Is Data Valid]]=TRUE,EXP(0.578+0.332*((Table1[[#This Row],[Gestation (days)]]+0.5)/7)-0.00354*((Table1[[#This Row],[Gestation (days)]]+0.5)/7)^2)*Table1[[#This Row],[BW40_3705]],"")</f>
        <v/>
      </c>
      <c r="G7056" s="2" t="str">
        <f>IF(Table1[[#This Row],[Is Data Valid]]=TRUE,((Table1[[#This Row],[Birthweight (grams)]]/Table1[[#This Row],[BW_GA]])-1)/(Backend!$B$4/100*Table1[[#This Row],[BW40_3705]]),"")</f>
        <v/>
      </c>
      <c r="H7056" s="7" t="str">
        <f>IF(Table1[[#This Row],[Is Data Valid]]=TRUE,((Table1[[#This Row],[Birthweight (grams)]]*0.9/Table1[[#This Row],[BW_GA]])-1)/(Backend!$B$4/100*Table1[[#This Row],[BW40_3705]]),"")</f>
        <v/>
      </c>
      <c r="I7056" s="7" t="str">
        <f>IF(Table1[[#This Row],[Is Data Valid]]=TRUE,((Table1[[#This Row],[Birthweight (grams)]]*1.1/Table1[[#This Row],[BW_GA]])-1)/(Backend!$B$4/100*Table1[[#This Row],[BW40_3705]]),"")</f>
        <v/>
      </c>
      <c r="J7056" s="7" t="str">
        <f>IF(Table1[[#This Row],[Is Data Valid]]=TRUE,_xlfn.NORM.S.DIST(Table1[[#This Row],[Birthweight Z-Score]],TRUE)*100,"")</f>
        <v/>
      </c>
      <c r="K7056" s="7" t="str">
        <f>IF(Table1[[#This Row],[Is Data Valid]]=TRUE,_xlfn.NORM.S.DIST(Table1[[#This Row],[Birthweight Z-Score (BW-10%)]],TRUE)*100,"")</f>
        <v/>
      </c>
      <c r="L7056" s="7" t="str">
        <f>IF(Table1[[#This Row],[Is Data Valid]]=TRUE,_xlfn.NORM.S.DIST(Table1[[#This Row],[Birthweight Z-Score (BW+10%)]],TRUE)*100,"")</f>
        <v/>
      </c>
    </row>
    <row r="7057" spans="1:12" x14ac:dyDescent="0.35">
      <c r="A7057" s="3"/>
      <c r="B7057" s="2"/>
      <c r="C7057" s="2"/>
      <c r="D7057" s="2" t="b">
        <f>IF(AND(NOT(ISBLANK(Table1[[#This Row],[Fetal Sex (Male, Female or Unknown)]])),ISNUMBER(Table1[[#This Row],[Birthweight (grams)]]),ISNUMBER(Table1[[#This Row],[Gestation (days)]])),TRUE,FALSE)</f>
        <v>0</v>
      </c>
      <c r="E7057" s="2" t="str">
        <f>IF(Table1[[#This Row],[Is Data Valid]]=TRUE,IF(Table1[[#This Row],[Fetal Sex (Male, Female or Unknown)]]="Male",Backend!$C$6,IF(Table1[[#This Row],[Fetal Sex (Male, Female or Unknown)]]="Female",Backend!$C$7,IF(Table1[[#This Row],[Fetal Sex (Male, Female or Unknown)]]="Unknown",Backend!$C$8,"Error"))),"")</f>
        <v/>
      </c>
      <c r="F7057" s="8" t="str">
        <f>IF(Table1[[#This Row],[Is Data Valid]]=TRUE,EXP(0.578+0.332*((Table1[[#This Row],[Gestation (days)]]+0.5)/7)-0.00354*((Table1[[#This Row],[Gestation (days)]]+0.5)/7)^2)*Table1[[#This Row],[BW40_3705]],"")</f>
        <v/>
      </c>
      <c r="G7057" s="2" t="str">
        <f>IF(Table1[[#This Row],[Is Data Valid]]=TRUE,((Table1[[#This Row],[Birthweight (grams)]]/Table1[[#This Row],[BW_GA]])-1)/(Backend!$B$4/100*Table1[[#This Row],[BW40_3705]]),"")</f>
        <v/>
      </c>
      <c r="H7057" s="7" t="str">
        <f>IF(Table1[[#This Row],[Is Data Valid]]=TRUE,((Table1[[#This Row],[Birthweight (grams)]]*0.9/Table1[[#This Row],[BW_GA]])-1)/(Backend!$B$4/100*Table1[[#This Row],[BW40_3705]]),"")</f>
        <v/>
      </c>
      <c r="I7057" s="7" t="str">
        <f>IF(Table1[[#This Row],[Is Data Valid]]=TRUE,((Table1[[#This Row],[Birthweight (grams)]]*1.1/Table1[[#This Row],[BW_GA]])-1)/(Backend!$B$4/100*Table1[[#This Row],[BW40_3705]]),"")</f>
        <v/>
      </c>
      <c r="J7057" s="7" t="str">
        <f>IF(Table1[[#This Row],[Is Data Valid]]=TRUE,_xlfn.NORM.S.DIST(Table1[[#This Row],[Birthweight Z-Score]],TRUE)*100,"")</f>
        <v/>
      </c>
      <c r="K7057" s="7" t="str">
        <f>IF(Table1[[#This Row],[Is Data Valid]]=TRUE,_xlfn.NORM.S.DIST(Table1[[#This Row],[Birthweight Z-Score (BW-10%)]],TRUE)*100,"")</f>
        <v/>
      </c>
      <c r="L7057" s="7" t="str">
        <f>IF(Table1[[#This Row],[Is Data Valid]]=TRUE,_xlfn.NORM.S.DIST(Table1[[#This Row],[Birthweight Z-Score (BW+10%)]],TRUE)*100,"")</f>
        <v/>
      </c>
    </row>
    <row r="7058" spans="1:12" x14ac:dyDescent="0.35">
      <c r="A7058" s="3"/>
      <c r="B7058" s="2"/>
      <c r="C7058" s="2"/>
      <c r="D7058" s="2" t="b">
        <f>IF(AND(NOT(ISBLANK(Table1[[#This Row],[Fetal Sex (Male, Female or Unknown)]])),ISNUMBER(Table1[[#This Row],[Birthweight (grams)]]),ISNUMBER(Table1[[#This Row],[Gestation (days)]])),TRUE,FALSE)</f>
        <v>0</v>
      </c>
      <c r="E7058" s="2" t="str">
        <f>IF(Table1[[#This Row],[Is Data Valid]]=TRUE,IF(Table1[[#This Row],[Fetal Sex (Male, Female or Unknown)]]="Male",Backend!$C$6,IF(Table1[[#This Row],[Fetal Sex (Male, Female or Unknown)]]="Female",Backend!$C$7,IF(Table1[[#This Row],[Fetal Sex (Male, Female or Unknown)]]="Unknown",Backend!$C$8,"Error"))),"")</f>
        <v/>
      </c>
      <c r="F7058" s="8" t="str">
        <f>IF(Table1[[#This Row],[Is Data Valid]]=TRUE,EXP(0.578+0.332*((Table1[[#This Row],[Gestation (days)]]+0.5)/7)-0.00354*((Table1[[#This Row],[Gestation (days)]]+0.5)/7)^2)*Table1[[#This Row],[BW40_3705]],"")</f>
        <v/>
      </c>
      <c r="G7058" s="2" t="str">
        <f>IF(Table1[[#This Row],[Is Data Valid]]=TRUE,((Table1[[#This Row],[Birthweight (grams)]]/Table1[[#This Row],[BW_GA]])-1)/(Backend!$B$4/100*Table1[[#This Row],[BW40_3705]]),"")</f>
        <v/>
      </c>
      <c r="H7058" s="7" t="str">
        <f>IF(Table1[[#This Row],[Is Data Valid]]=TRUE,((Table1[[#This Row],[Birthweight (grams)]]*0.9/Table1[[#This Row],[BW_GA]])-1)/(Backend!$B$4/100*Table1[[#This Row],[BW40_3705]]),"")</f>
        <v/>
      </c>
      <c r="I7058" s="7" t="str">
        <f>IF(Table1[[#This Row],[Is Data Valid]]=TRUE,((Table1[[#This Row],[Birthweight (grams)]]*1.1/Table1[[#This Row],[BW_GA]])-1)/(Backend!$B$4/100*Table1[[#This Row],[BW40_3705]]),"")</f>
        <v/>
      </c>
      <c r="J7058" s="7" t="str">
        <f>IF(Table1[[#This Row],[Is Data Valid]]=TRUE,_xlfn.NORM.S.DIST(Table1[[#This Row],[Birthweight Z-Score]],TRUE)*100,"")</f>
        <v/>
      </c>
      <c r="K7058" s="7" t="str">
        <f>IF(Table1[[#This Row],[Is Data Valid]]=TRUE,_xlfn.NORM.S.DIST(Table1[[#This Row],[Birthweight Z-Score (BW-10%)]],TRUE)*100,"")</f>
        <v/>
      </c>
      <c r="L7058" s="7" t="str">
        <f>IF(Table1[[#This Row],[Is Data Valid]]=TRUE,_xlfn.NORM.S.DIST(Table1[[#This Row],[Birthweight Z-Score (BW+10%)]],TRUE)*100,"")</f>
        <v/>
      </c>
    </row>
    <row r="7059" spans="1:12" x14ac:dyDescent="0.35">
      <c r="A7059" s="3"/>
      <c r="B7059" s="2"/>
      <c r="C7059" s="2"/>
      <c r="D7059" s="2" t="b">
        <f>IF(AND(NOT(ISBLANK(Table1[[#This Row],[Fetal Sex (Male, Female or Unknown)]])),ISNUMBER(Table1[[#This Row],[Birthweight (grams)]]),ISNUMBER(Table1[[#This Row],[Gestation (days)]])),TRUE,FALSE)</f>
        <v>0</v>
      </c>
      <c r="E7059" s="2" t="str">
        <f>IF(Table1[[#This Row],[Is Data Valid]]=TRUE,IF(Table1[[#This Row],[Fetal Sex (Male, Female or Unknown)]]="Male",Backend!$C$6,IF(Table1[[#This Row],[Fetal Sex (Male, Female or Unknown)]]="Female",Backend!$C$7,IF(Table1[[#This Row],[Fetal Sex (Male, Female or Unknown)]]="Unknown",Backend!$C$8,"Error"))),"")</f>
        <v/>
      </c>
      <c r="F7059" s="8" t="str">
        <f>IF(Table1[[#This Row],[Is Data Valid]]=TRUE,EXP(0.578+0.332*((Table1[[#This Row],[Gestation (days)]]+0.5)/7)-0.00354*((Table1[[#This Row],[Gestation (days)]]+0.5)/7)^2)*Table1[[#This Row],[BW40_3705]],"")</f>
        <v/>
      </c>
      <c r="G7059" s="2" t="str">
        <f>IF(Table1[[#This Row],[Is Data Valid]]=TRUE,((Table1[[#This Row],[Birthweight (grams)]]/Table1[[#This Row],[BW_GA]])-1)/(Backend!$B$4/100*Table1[[#This Row],[BW40_3705]]),"")</f>
        <v/>
      </c>
      <c r="H7059" s="7" t="str">
        <f>IF(Table1[[#This Row],[Is Data Valid]]=TRUE,((Table1[[#This Row],[Birthweight (grams)]]*0.9/Table1[[#This Row],[BW_GA]])-1)/(Backend!$B$4/100*Table1[[#This Row],[BW40_3705]]),"")</f>
        <v/>
      </c>
      <c r="I7059" s="7" t="str">
        <f>IF(Table1[[#This Row],[Is Data Valid]]=TRUE,((Table1[[#This Row],[Birthweight (grams)]]*1.1/Table1[[#This Row],[BW_GA]])-1)/(Backend!$B$4/100*Table1[[#This Row],[BW40_3705]]),"")</f>
        <v/>
      </c>
      <c r="J7059" s="7" t="str">
        <f>IF(Table1[[#This Row],[Is Data Valid]]=TRUE,_xlfn.NORM.S.DIST(Table1[[#This Row],[Birthweight Z-Score]],TRUE)*100,"")</f>
        <v/>
      </c>
      <c r="K7059" s="7" t="str">
        <f>IF(Table1[[#This Row],[Is Data Valid]]=TRUE,_xlfn.NORM.S.DIST(Table1[[#This Row],[Birthweight Z-Score (BW-10%)]],TRUE)*100,"")</f>
        <v/>
      </c>
      <c r="L7059" s="7" t="str">
        <f>IF(Table1[[#This Row],[Is Data Valid]]=TRUE,_xlfn.NORM.S.DIST(Table1[[#This Row],[Birthweight Z-Score (BW+10%)]],TRUE)*100,"")</f>
        <v/>
      </c>
    </row>
    <row r="7060" spans="1:12" x14ac:dyDescent="0.35">
      <c r="A7060" s="3"/>
      <c r="B7060" s="2"/>
      <c r="C7060" s="2"/>
      <c r="D7060" s="2" t="b">
        <f>IF(AND(NOT(ISBLANK(Table1[[#This Row],[Fetal Sex (Male, Female or Unknown)]])),ISNUMBER(Table1[[#This Row],[Birthweight (grams)]]),ISNUMBER(Table1[[#This Row],[Gestation (days)]])),TRUE,FALSE)</f>
        <v>0</v>
      </c>
      <c r="E7060" s="2" t="str">
        <f>IF(Table1[[#This Row],[Is Data Valid]]=TRUE,IF(Table1[[#This Row],[Fetal Sex (Male, Female or Unknown)]]="Male",Backend!$C$6,IF(Table1[[#This Row],[Fetal Sex (Male, Female or Unknown)]]="Female",Backend!$C$7,IF(Table1[[#This Row],[Fetal Sex (Male, Female or Unknown)]]="Unknown",Backend!$C$8,"Error"))),"")</f>
        <v/>
      </c>
      <c r="F7060" s="8" t="str">
        <f>IF(Table1[[#This Row],[Is Data Valid]]=TRUE,EXP(0.578+0.332*((Table1[[#This Row],[Gestation (days)]]+0.5)/7)-0.00354*((Table1[[#This Row],[Gestation (days)]]+0.5)/7)^2)*Table1[[#This Row],[BW40_3705]],"")</f>
        <v/>
      </c>
      <c r="G7060" s="2" t="str">
        <f>IF(Table1[[#This Row],[Is Data Valid]]=TRUE,((Table1[[#This Row],[Birthweight (grams)]]/Table1[[#This Row],[BW_GA]])-1)/(Backend!$B$4/100*Table1[[#This Row],[BW40_3705]]),"")</f>
        <v/>
      </c>
      <c r="H7060" s="7" t="str">
        <f>IF(Table1[[#This Row],[Is Data Valid]]=TRUE,((Table1[[#This Row],[Birthweight (grams)]]*0.9/Table1[[#This Row],[BW_GA]])-1)/(Backend!$B$4/100*Table1[[#This Row],[BW40_3705]]),"")</f>
        <v/>
      </c>
      <c r="I7060" s="7" t="str">
        <f>IF(Table1[[#This Row],[Is Data Valid]]=TRUE,((Table1[[#This Row],[Birthweight (grams)]]*1.1/Table1[[#This Row],[BW_GA]])-1)/(Backend!$B$4/100*Table1[[#This Row],[BW40_3705]]),"")</f>
        <v/>
      </c>
      <c r="J7060" s="7" t="str">
        <f>IF(Table1[[#This Row],[Is Data Valid]]=TRUE,_xlfn.NORM.S.DIST(Table1[[#This Row],[Birthweight Z-Score]],TRUE)*100,"")</f>
        <v/>
      </c>
      <c r="K7060" s="7" t="str">
        <f>IF(Table1[[#This Row],[Is Data Valid]]=TRUE,_xlfn.NORM.S.DIST(Table1[[#This Row],[Birthweight Z-Score (BW-10%)]],TRUE)*100,"")</f>
        <v/>
      </c>
      <c r="L7060" s="7" t="str">
        <f>IF(Table1[[#This Row],[Is Data Valid]]=TRUE,_xlfn.NORM.S.DIST(Table1[[#This Row],[Birthweight Z-Score (BW+10%)]],TRUE)*100,"")</f>
        <v/>
      </c>
    </row>
    <row r="7061" spans="1:12" x14ac:dyDescent="0.35">
      <c r="A7061" s="3"/>
      <c r="B7061" s="2"/>
      <c r="C7061" s="2"/>
      <c r="D7061" s="2" t="b">
        <f>IF(AND(NOT(ISBLANK(Table1[[#This Row],[Fetal Sex (Male, Female or Unknown)]])),ISNUMBER(Table1[[#This Row],[Birthweight (grams)]]),ISNUMBER(Table1[[#This Row],[Gestation (days)]])),TRUE,FALSE)</f>
        <v>0</v>
      </c>
      <c r="E7061" s="2" t="str">
        <f>IF(Table1[[#This Row],[Is Data Valid]]=TRUE,IF(Table1[[#This Row],[Fetal Sex (Male, Female or Unknown)]]="Male",Backend!$C$6,IF(Table1[[#This Row],[Fetal Sex (Male, Female or Unknown)]]="Female",Backend!$C$7,IF(Table1[[#This Row],[Fetal Sex (Male, Female or Unknown)]]="Unknown",Backend!$C$8,"Error"))),"")</f>
        <v/>
      </c>
      <c r="F7061" s="8" t="str">
        <f>IF(Table1[[#This Row],[Is Data Valid]]=TRUE,EXP(0.578+0.332*((Table1[[#This Row],[Gestation (days)]]+0.5)/7)-0.00354*((Table1[[#This Row],[Gestation (days)]]+0.5)/7)^2)*Table1[[#This Row],[BW40_3705]],"")</f>
        <v/>
      </c>
      <c r="G7061" s="2" t="str">
        <f>IF(Table1[[#This Row],[Is Data Valid]]=TRUE,((Table1[[#This Row],[Birthweight (grams)]]/Table1[[#This Row],[BW_GA]])-1)/(Backend!$B$4/100*Table1[[#This Row],[BW40_3705]]),"")</f>
        <v/>
      </c>
      <c r="H7061" s="7" t="str">
        <f>IF(Table1[[#This Row],[Is Data Valid]]=TRUE,((Table1[[#This Row],[Birthweight (grams)]]*0.9/Table1[[#This Row],[BW_GA]])-1)/(Backend!$B$4/100*Table1[[#This Row],[BW40_3705]]),"")</f>
        <v/>
      </c>
      <c r="I7061" s="7" t="str">
        <f>IF(Table1[[#This Row],[Is Data Valid]]=TRUE,((Table1[[#This Row],[Birthweight (grams)]]*1.1/Table1[[#This Row],[BW_GA]])-1)/(Backend!$B$4/100*Table1[[#This Row],[BW40_3705]]),"")</f>
        <v/>
      </c>
      <c r="J7061" s="7" t="str">
        <f>IF(Table1[[#This Row],[Is Data Valid]]=TRUE,_xlfn.NORM.S.DIST(Table1[[#This Row],[Birthweight Z-Score]],TRUE)*100,"")</f>
        <v/>
      </c>
      <c r="K7061" s="7" t="str">
        <f>IF(Table1[[#This Row],[Is Data Valid]]=TRUE,_xlfn.NORM.S.DIST(Table1[[#This Row],[Birthweight Z-Score (BW-10%)]],TRUE)*100,"")</f>
        <v/>
      </c>
      <c r="L7061" s="7" t="str">
        <f>IF(Table1[[#This Row],[Is Data Valid]]=TRUE,_xlfn.NORM.S.DIST(Table1[[#This Row],[Birthweight Z-Score (BW+10%)]],TRUE)*100,"")</f>
        <v/>
      </c>
    </row>
    <row r="7062" spans="1:12" x14ac:dyDescent="0.35">
      <c r="A7062" s="3"/>
      <c r="B7062" s="2"/>
      <c r="C7062" s="2"/>
      <c r="D7062" s="2" t="b">
        <f>IF(AND(NOT(ISBLANK(Table1[[#This Row],[Fetal Sex (Male, Female or Unknown)]])),ISNUMBER(Table1[[#This Row],[Birthweight (grams)]]),ISNUMBER(Table1[[#This Row],[Gestation (days)]])),TRUE,FALSE)</f>
        <v>0</v>
      </c>
      <c r="E7062" s="2" t="str">
        <f>IF(Table1[[#This Row],[Is Data Valid]]=TRUE,IF(Table1[[#This Row],[Fetal Sex (Male, Female or Unknown)]]="Male",Backend!$C$6,IF(Table1[[#This Row],[Fetal Sex (Male, Female or Unknown)]]="Female",Backend!$C$7,IF(Table1[[#This Row],[Fetal Sex (Male, Female or Unknown)]]="Unknown",Backend!$C$8,"Error"))),"")</f>
        <v/>
      </c>
      <c r="F7062" s="8" t="str">
        <f>IF(Table1[[#This Row],[Is Data Valid]]=TRUE,EXP(0.578+0.332*((Table1[[#This Row],[Gestation (days)]]+0.5)/7)-0.00354*((Table1[[#This Row],[Gestation (days)]]+0.5)/7)^2)*Table1[[#This Row],[BW40_3705]],"")</f>
        <v/>
      </c>
      <c r="G7062" s="2" t="str">
        <f>IF(Table1[[#This Row],[Is Data Valid]]=TRUE,((Table1[[#This Row],[Birthweight (grams)]]/Table1[[#This Row],[BW_GA]])-1)/(Backend!$B$4/100*Table1[[#This Row],[BW40_3705]]),"")</f>
        <v/>
      </c>
      <c r="H7062" s="7" t="str">
        <f>IF(Table1[[#This Row],[Is Data Valid]]=TRUE,((Table1[[#This Row],[Birthweight (grams)]]*0.9/Table1[[#This Row],[BW_GA]])-1)/(Backend!$B$4/100*Table1[[#This Row],[BW40_3705]]),"")</f>
        <v/>
      </c>
      <c r="I7062" s="7" t="str">
        <f>IF(Table1[[#This Row],[Is Data Valid]]=TRUE,((Table1[[#This Row],[Birthweight (grams)]]*1.1/Table1[[#This Row],[BW_GA]])-1)/(Backend!$B$4/100*Table1[[#This Row],[BW40_3705]]),"")</f>
        <v/>
      </c>
      <c r="J7062" s="7" t="str">
        <f>IF(Table1[[#This Row],[Is Data Valid]]=TRUE,_xlfn.NORM.S.DIST(Table1[[#This Row],[Birthweight Z-Score]],TRUE)*100,"")</f>
        <v/>
      </c>
      <c r="K7062" s="7" t="str">
        <f>IF(Table1[[#This Row],[Is Data Valid]]=TRUE,_xlfn.NORM.S.DIST(Table1[[#This Row],[Birthweight Z-Score (BW-10%)]],TRUE)*100,"")</f>
        <v/>
      </c>
      <c r="L7062" s="7" t="str">
        <f>IF(Table1[[#This Row],[Is Data Valid]]=TRUE,_xlfn.NORM.S.DIST(Table1[[#This Row],[Birthweight Z-Score (BW+10%)]],TRUE)*100,"")</f>
        <v/>
      </c>
    </row>
    <row r="7063" spans="1:12" x14ac:dyDescent="0.35">
      <c r="A7063" s="3"/>
      <c r="B7063" s="2"/>
      <c r="C7063" s="2"/>
      <c r="D7063" s="2" t="b">
        <f>IF(AND(NOT(ISBLANK(Table1[[#This Row],[Fetal Sex (Male, Female or Unknown)]])),ISNUMBER(Table1[[#This Row],[Birthweight (grams)]]),ISNUMBER(Table1[[#This Row],[Gestation (days)]])),TRUE,FALSE)</f>
        <v>0</v>
      </c>
      <c r="E7063" s="2" t="str">
        <f>IF(Table1[[#This Row],[Is Data Valid]]=TRUE,IF(Table1[[#This Row],[Fetal Sex (Male, Female or Unknown)]]="Male",Backend!$C$6,IF(Table1[[#This Row],[Fetal Sex (Male, Female or Unknown)]]="Female",Backend!$C$7,IF(Table1[[#This Row],[Fetal Sex (Male, Female or Unknown)]]="Unknown",Backend!$C$8,"Error"))),"")</f>
        <v/>
      </c>
      <c r="F7063" s="8" t="str">
        <f>IF(Table1[[#This Row],[Is Data Valid]]=TRUE,EXP(0.578+0.332*((Table1[[#This Row],[Gestation (days)]]+0.5)/7)-0.00354*((Table1[[#This Row],[Gestation (days)]]+0.5)/7)^2)*Table1[[#This Row],[BW40_3705]],"")</f>
        <v/>
      </c>
      <c r="G7063" s="2" t="str">
        <f>IF(Table1[[#This Row],[Is Data Valid]]=TRUE,((Table1[[#This Row],[Birthweight (grams)]]/Table1[[#This Row],[BW_GA]])-1)/(Backend!$B$4/100*Table1[[#This Row],[BW40_3705]]),"")</f>
        <v/>
      </c>
      <c r="H7063" s="7" t="str">
        <f>IF(Table1[[#This Row],[Is Data Valid]]=TRUE,((Table1[[#This Row],[Birthweight (grams)]]*0.9/Table1[[#This Row],[BW_GA]])-1)/(Backend!$B$4/100*Table1[[#This Row],[BW40_3705]]),"")</f>
        <v/>
      </c>
      <c r="I7063" s="7" t="str">
        <f>IF(Table1[[#This Row],[Is Data Valid]]=TRUE,((Table1[[#This Row],[Birthweight (grams)]]*1.1/Table1[[#This Row],[BW_GA]])-1)/(Backend!$B$4/100*Table1[[#This Row],[BW40_3705]]),"")</f>
        <v/>
      </c>
      <c r="J7063" s="7" t="str">
        <f>IF(Table1[[#This Row],[Is Data Valid]]=TRUE,_xlfn.NORM.S.DIST(Table1[[#This Row],[Birthweight Z-Score]],TRUE)*100,"")</f>
        <v/>
      </c>
      <c r="K7063" s="7" t="str">
        <f>IF(Table1[[#This Row],[Is Data Valid]]=TRUE,_xlfn.NORM.S.DIST(Table1[[#This Row],[Birthweight Z-Score (BW-10%)]],TRUE)*100,"")</f>
        <v/>
      </c>
      <c r="L7063" s="7" t="str">
        <f>IF(Table1[[#This Row],[Is Data Valid]]=TRUE,_xlfn.NORM.S.DIST(Table1[[#This Row],[Birthweight Z-Score (BW+10%)]],TRUE)*100,"")</f>
        <v/>
      </c>
    </row>
    <row r="7064" spans="1:12" x14ac:dyDescent="0.35">
      <c r="A7064" s="3"/>
      <c r="B7064" s="2"/>
      <c r="C7064" s="2"/>
      <c r="D7064" s="2" t="b">
        <f>IF(AND(NOT(ISBLANK(Table1[[#This Row],[Fetal Sex (Male, Female or Unknown)]])),ISNUMBER(Table1[[#This Row],[Birthweight (grams)]]),ISNUMBER(Table1[[#This Row],[Gestation (days)]])),TRUE,FALSE)</f>
        <v>0</v>
      </c>
      <c r="E7064" s="2" t="str">
        <f>IF(Table1[[#This Row],[Is Data Valid]]=TRUE,IF(Table1[[#This Row],[Fetal Sex (Male, Female or Unknown)]]="Male",Backend!$C$6,IF(Table1[[#This Row],[Fetal Sex (Male, Female or Unknown)]]="Female",Backend!$C$7,IF(Table1[[#This Row],[Fetal Sex (Male, Female or Unknown)]]="Unknown",Backend!$C$8,"Error"))),"")</f>
        <v/>
      </c>
      <c r="F7064" s="8" t="str">
        <f>IF(Table1[[#This Row],[Is Data Valid]]=TRUE,EXP(0.578+0.332*((Table1[[#This Row],[Gestation (days)]]+0.5)/7)-0.00354*((Table1[[#This Row],[Gestation (days)]]+0.5)/7)^2)*Table1[[#This Row],[BW40_3705]],"")</f>
        <v/>
      </c>
      <c r="G7064" s="2" t="str">
        <f>IF(Table1[[#This Row],[Is Data Valid]]=TRUE,((Table1[[#This Row],[Birthweight (grams)]]/Table1[[#This Row],[BW_GA]])-1)/(Backend!$B$4/100*Table1[[#This Row],[BW40_3705]]),"")</f>
        <v/>
      </c>
      <c r="H7064" s="7" t="str">
        <f>IF(Table1[[#This Row],[Is Data Valid]]=TRUE,((Table1[[#This Row],[Birthweight (grams)]]*0.9/Table1[[#This Row],[BW_GA]])-1)/(Backend!$B$4/100*Table1[[#This Row],[BW40_3705]]),"")</f>
        <v/>
      </c>
      <c r="I7064" s="7" t="str">
        <f>IF(Table1[[#This Row],[Is Data Valid]]=TRUE,((Table1[[#This Row],[Birthweight (grams)]]*1.1/Table1[[#This Row],[BW_GA]])-1)/(Backend!$B$4/100*Table1[[#This Row],[BW40_3705]]),"")</f>
        <v/>
      </c>
      <c r="J7064" s="7" t="str">
        <f>IF(Table1[[#This Row],[Is Data Valid]]=TRUE,_xlfn.NORM.S.DIST(Table1[[#This Row],[Birthweight Z-Score]],TRUE)*100,"")</f>
        <v/>
      </c>
      <c r="K7064" s="7" t="str">
        <f>IF(Table1[[#This Row],[Is Data Valid]]=TRUE,_xlfn.NORM.S.DIST(Table1[[#This Row],[Birthweight Z-Score (BW-10%)]],TRUE)*100,"")</f>
        <v/>
      </c>
      <c r="L7064" s="7" t="str">
        <f>IF(Table1[[#This Row],[Is Data Valid]]=TRUE,_xlfn.NORM.S.DIST(Table1[[#This Row],[Birthweight Z-Score (BW+10%)]],TRUE)*100,"")</f>
        <v/>
      </c>
    </row>
    <row r="7065" spans="1:12" x14ac:dyDescent="0.35">
      <c r="A7065" s="3"/>
      <c r="B7065" s="2"/>
      <c r="C7065" s="2"/>
      <c r="D7065" s="2" t="b">
        <f>IF(AND(NOT(ISBLANK(Table1[[#This Row],[Fetal Sex (Male, Female or Unknown)]])),ISNUMBER(Table1[[#This Row],[Birthweight (grams)]]),ISNUMBER(Table1[[#This Row],[Gestation (days)]])),TRUE,FALSE)</f>
        <v>0</v>
      </c>
      <c r="E7065" s="2" t="str">
        <f>IF(Table1[[#This Row],[Is Data Valid]]=TRUE,IF(Table1[[#This Row],[Fetal Sex (Male, Female or Unknown)]]="Male",Backend!$C$6,IF(Table1[[#This Row],[Fetal Sex (Male, Female or Unknown)]]="Female",Backend!$C$7,IF(Table1[[#This Row],[Fetal Sex (Male, Female or Unknown)]]="Unknown",Backend!$C$8,"Error"))),"")</f>
        <v/>
      </c>
      <c r="F7065" s="8" t="str">
        <f>IF(Table1[[#This Row],[Is Data Valid]]=TRUE,EXP(0.578+0.332*((Table1[[#This Row],[Gestation (days)]]+0.5)/7)-0.00354*((Table1[[#This Row],[Gestation (days)]]+0.5)/7)^2)*Table1[[#This Row],[BW40_3705]],"")</f>
        <v/>
      </c>
      <c r="G7065" s="2" t="str">
        <f>IF(Table1[[#This Row],[Is Data Valid]]=TRUE,((Table1[[#This Row],[Birthweight (grams)]]/Table1[[#This Row],[BW_GA]])-1)/(Backend!$B$4/100*Table1[[#This Row],[BW40_3705]]),"")</f>
        <v/>
      </c>
      <c r="H7065" s="7" t="str">
        <f>IF(Table1[[#This Row],[Is Data Valid]]=TRUE,((Table1[[#This Row],[Birthweight (grams)]]*0.9/Table1[[#This Row],[BW_GA]])-1)/(Backend!$B$4/100*Table1[[#This Row],[BW40_3705]]),"")</f>
        <v/>
      </c>
      <c r="I7065" s="7" t="str">
        <f>IF(Table1[[#This Row],[Is Data Valid]]=TRUE,((Table1[[#This Row],[Birthweight (grams)]]*1.1/Table1[[#This Row],[BW_GA]])-1)/(Backend!$B$4/100*Table1[[#This Row],[BW40_3705]]),"")</f>
        <v/>
      </c>
      <c r="J7065" s="7" t="str">
        <f>IF(Table1[[#This Row],[Is Data Valid]]=TRUE,_xlfn.NORM.S.DIST(Table1[[#This Row],[Birthweight Z-Score]],TRUE)*100,"")</f>
        <v/>
      </c>
      <c r="K7065" s="7" t="str">
        <f>IF(Table1[[#This Row],[Is Data Valid]]=TRUE,_xlfn.NORM.S.DIST(Table1[[#This Row],[Birthweight Z-Score (BW-10%)]],TRUE)*100,"")</f>
        <v/>
      </c>
      <c r="L7065" s="7" t="str">
        <f>IF(Table1[[#This Row],[Is Data Valid]]=TRUE,_xlfn.NORM.S.DIST(Table1[[#This Row],[Birthweight Z-Score (BW+10%)]],TRUE)*100,"")</f>
        <v/>
      </c>
    </row>
    <row r="7066" spans="1:12" x14ac:dyDescent="0.35">
      <c r="A7066" s="3"/>
      <c r="B7066" s="2"/>
      <c r="C7066" s="2"/>
      <c r="D7066" s="2" t="b">
        <f>IF(AND(NOT(ISBLANK(Table1[[#This Row],[Fetal Sex (Male, Female or Unknown)]])),ISNUMBER(Table1[[#This Row],[Birthweight (grams)]]),ISNUMBER(Table1[[#This Row],[Gestation (days)]])),TRUE,FALSE)</f>
        <v>0</v>
      </c>
      <c r="E7066" s="2" t="str">
        <f>IF(Table1[[#This Row],[Is Data Valid]]=TRUE,IF(Table1[[#This Row],[Fetal Sex (Male, Female or Unknown)]]="Male",Backend!$C$6,IF(Table1[[#This Row],[Fetal Sex (Male, Female or Unknown)]]="Female",Backend!$C$7,IF(Table1[[#This Row],[Fetal Sex (Male, Female or Unknown)]]="Unknown",Backend!$C$8,"Error"))),"")</f>
        <v/>
      </c>
      <c r="F7066" s="8" t="str">
        <f>IF(Table1[[#This Row],[Is Data Valid]]=TRUE,EXP(0.578+0.332*((Table1[[#This Row],[Gestation (days)]]+0.5)/7)-0.00354*((Table1[[#This Row],[Gestation (days)]]+0.5)/7)^2)*Table1[[#This Row],[BW40_3705]],"")</f>
        <v/>
      </c>
      <c r="G7066" s="2" t="str">
        <f>IF(Table1[[#This Row],[Is Data Valid]]=TRUE,((Table1[[#This Row],[Birthweight (grams)]]/Table1[[#This Row],[BW_GA]])-1)/(Backend!$B$4/100*Table1[[#This Row],[BW40_3705]]),"")</f>
        <v/>
      </c>
      <c r="H7066" s="7" t="str">
        <f>IF(Table1[[#This Row],[Is Data Valid]]=TRUE,((Table1[[#This Row],[Birthweight (grams)]]*0.9/Table1[[#This Row],[BW_GA]])-1)/(Backend!$B$4/100*Table1[[#This Row],[BW40_3705]]),"")</f>
        <v/>
      </c>
      <c r="I7066" s="7" t="str">
        <f>IF(Table1[[#This Row],[Is Data Valid]]=TRUE,((Table1[[#This Row],[Birthweight (grams)]]*1.1/Table1[[#This Row],[BW_GA]])-1)/(Backend!$B$4/100*Table1[[#This Row],[BW40_3705]]),"")</f>
        <v/>
      </c>
      <c r="J7066" s="7" t="str">
        <f>IF(Table1[[#This Row],[Is Data Valid]]=TRUE,_xlfn.NORM.S.DIST(Table1[[#This Row],[Birthweight Z-Score]],TRUE)*100,"")</f>
        <v/>
      </c>
      <c r="K7066" s="7" t="str">
        <f>IF(Table1[[#This Row],[Is Data Valid]]=TRUE,_xlfn.NORM.S.DIST(Table1[[#This Row],[Birthweight Z-Score (BW-10%)]],TRUE)*100,"")</f>
        <v/>
      </c>
      <c r="L7066" s="7" t="str">
        <f>IF(Table1[[#This Row],[Is Data Valid]]=TRUE,_xlfn.NORM.S.DIST(Table1[[#This Row],[Birthweight Z-Score (BW+10%)]],TRUE)*100,"")</f>
        <v/>
      </c>
    </row>
    <row r="7067" spans="1:12" x14ac:dyDescent="0.35">
      <c r="A7067" s="3"/>
      <c r="B7067" s="2"/>
      <c r="C7067" s="2"/>
      <c r="D7067" s="2" t="b">
        <f>IF(AND(NOT(ISBLANK(Table1[[#This Row],[Fetal Sex (Male, Female or Unknown)]])),ISNUMBER(Table1[[#This Row],[Birthweight (grams)]]),ISNUMBER(Table1[[#This Row],[Gestation (days)]])),TRUE,FALSE)</f>
        <v>0</v>
      </c>
      <c r="E7067" s="2" t="str">
        <f>IF(Table1[[#This Row],[Is Data Valid]]=TRUE,IF(Table1[[#This Row],[Fetal Sex (Male, Female or Unknown)]]="Male",Backend!$C$6,IF(Table1[[#This Row],[Fetal Sex (Male, Female or Unknown)]]="Female",Backend!$C$7,IF(Table1[[#This Row],[Fetal Sex (Male, Female or Unknown)]]="Unknown",Backend!$C$8,"Error"))),"")</f>
        <v/>
      </c>
      <c r="F7067" s="8" t="str">
        <f>IF(Table1[[#This Row],[Is Data Valid]]=TRUE,EXP(0.578+0.332*((Table1[[#This Row],[Gestation (days)]]+0.5)/7)-0.00354*((Table1[[#This Row],[Gestation (days)]]+0.5)/7)^2)*Table1[[#This Row],[BW40_3705]],"")</f>
        <v/>
      </c>
      <c r="G7067" s="2" t="str">
        <f>IF(Table1[[#This Row],[Is Data Valid]]=TRUE,((Table1[[#This Row],[Birthweight (grams)]]/Table1[[#This Row],[BW_GA]])-1)/(Backend!$B$4/100*Table1[[#This Row],[BW40_3705]]),"")</f>
        <v/>
      </c>
      <c r="H7067" s="7" t="str">
        <f>IF(Table1[[#This Row],[Is Data Valid]]=TRUE,((Table1[[#This Row],[Birthweight (grams)]]*0.9/Table1[[#This Row],[BW_GA]])-1)/(Backend!$B$4/100*Table1[[#This Row],[BW40_3705]]),"")</f>
        <v/>
      </c>
      <c r="I7067" s="7" t="str">
        <f>IF(Table1[[#This Row],[Is Data Valid]]=TRUE,((Table1[[#This Row],[Birthweight (grams)]]*1.1/Table1[[#This Row],[BW_GA]])-1)/(Backend!$B$4/100*Table1[[#This Row],[BW40_3705]]),"")</f>
        <v/>
      </c>
      <c r="J7067" s="7" t="str">
        <f>IF(Table1[[#This Row],[Is Data Valid]]=TRUE,_xlfn.NORM.S.DIST(Table1[[#This Row],[Birthweight Z-Score]],TRUE)*100,"")</f>
        <v/>
      </c>
      <c r="K7067" s="7" t="str">
        <f>IF(Table1[[#This Row],[Is Data Valid]]=TRUE,_xlfn.NORM.S.DIST(Table1[[#This Row],[Birthweight Z-Score (BW-10%)]],TRUE)*100,"")</f>
        <v/>
      </c>
      <c r="L7067" s="7" t="str">
        <f>IF(Table1[[#This Row],[Is Data Valid]]=TRUE,_xlfn.NORM.S.DIST(Table1[[#This Row],[Birthweight Z-Score (BW+10%)]],TRUE)*100,"")</f>
        <v/>
      </c>
    </row>
    <row r="7068" spans="1:12" x14ac:dyDescent="0.35">
      <c r="A7068" s="3"/>
      <c r="B7068" s="2"/>
      <c r="C7068" s="2"/>
      <c r="D7068" s="2" t="b">
        <f>IF(AND(NOT(ISBLANK(Table1[[#This Row],[Fetal Sex (Male, Female or Unknown)]])),ISNUMBER(Table1[[#This Row],[Birthweight (grams)]]),ISNUMBER(Table1[[#This Row],[Gestation (days)]])),TRUE,FALSE)</f>
        <v>0</v>
      </c>
      <c r="E7068" s="2" t="str">
        <f>IF(Table1[[#This Row],[Is Data Valid]]=TRUE,IF(Table1[[#This Row],[Fetal Sex (Male, Female or Unknown)]]="Male",Backend!$C$6,IF(Table1[[#This Row],[Fetal Sex (Male, Female or Unknown)]]="Female",Backend!$C$7,IF(Table1[[#This Row],[Fetal Sex (Male, Female or Unknown)]]="Unknown",Backend!$C$8,"Error"))),"")</f>
        <v/>
      </c>
      <c r="F7068" s="8" t="str">
        <f>IF(Table1[[#This Row],[Is Data Valid]]=TRUE,EXP(0.578+0.332*((Table1[[#This Row],[Gestation (days)]]+0.5)/7)-0.00354*((Table1[[#This Row],[Gestation (days)]]+0.5)/7)^2)*Table1[[#This Row],[BW40_3705]],"")</f>
        <v/>
      </c>
      <c r="G7068" s="2" t="str">
        <f>IF(Table1[[#This Row],[Is Data Valid]]=TRUE,((Table1[[#This Row],[Birthweight (grams)]]/Table1[[#This Row],[BW_GA]])-1)/(Backend!$B$4/100*Table1[[#This Row],[BW40_3705]]),"")</f>
        <v/>
      </c>
      <c r="H7068" s="7" t="str">
        <f>IF(Table1[[#This Row],[Is Data Valid]]=TRUE,((Table1[[#This Row],[Birthweight (grams)]]*0.9/Table1[[#This Row],[BW_GA]])-1)/(Backend!$B$4/100*Table1[[#This Row],[BW40_3705]]),"")</f>
        <v/>
      </c>
      <c r="I7068" s="7" t="str">
        <f>IF(Table1[[#This Row],[Is Data Valid]]=TRUE,((Table1[[#This Row],[Birthweight (grams)]]*1.1/Table1[[#This Row],[BW_GA]])-1)/(Backend!$B$4/100*Table1[[#This Row],[BW40_3705]]),"")</f>
        <v/>
      </c>
      <c r="J7068" s="7" t="str">
        <f>IF(Table1[[#This Row],[Is Data Valid]]=TRUE,_xlfn.NORM.S.DIST(Table1[[#This Row],[Birthweight Z-Score]],TRUE)*100,"")</f>
        <v/>
      </c>
      <c r="K7068" s="7" t="str">
        <f>IF(Table1[[#This Row],[Is Data Valid]]=TRUE,_xlfn.NORM.S.DIST(Table1[[#This Row],[Birthweight Z-Score (BW-10%)]],TRUE)*100,"")</f>
        <v/>
      </c>
      <c r="L7068" s="7" t="str">
        <f>IF(Table1[[#This Row],[Is Data Valid]]=TRUE,_xlfn.NORM.S.DIST(Table1[[#This Row],[Birthweight Z-Score (BW+10%)]],TRUE)*100,"")</f>
        <v/>
      </c>
    </row>
    <row r="7069" spans="1:12" x14ac:dyDescent="0.35">
      <c r="A7069" s="3"/>
      <c r="B7069" s="2"/>
      <c r="C7069" s="2"/>
      <c r="D7069" s="2" t="b">
        <f>IF(AND(NOT(ISBLANK(Table1[[#This Row],[Fetal Sex (Male, Female or Unknown)]])),ISNUMBER(Table1[[#This Row],[Birthweight (grams)]]),ISNUMBER(Table1[[#This Row],[Gestation (days)]])),TRUE,FALSE)</f>
        <v>0</v>
      </c>
      <c r="E7069" s="2" t="str">
        <f>IF(Table1[[#This Row],[Is Data Valid]]=TRUE,IF(Table1[[#This Row],[Fetal Sex (Male, Female or Unknown)]]="Male",Backend!$C$6,IF(Table1[[#This Row],[Fetal Sex (Male, Female or Unknown)]]="Female",Backend!$C$7,IF(Table1[[#This Row],[Fetal Sex (Male, Female or Unknown)]]="Unknown",Backend!$C$8,"Error"))),"")</f>
        <v/>
      </c>
      <c r="F7069" s="8" t="str">
        <f>IF(Table1[[#This Row],[Is Data Valid]]=TRUE,EXP(0.578+0.332*((Table1[[#This Row],[Gestation (days)]]+0.5)/7)-0.00354*((Table1[[#This Row],[Gestation (days)]]+0.5)/7)^2)*Table1[[#This Row],[BW40_3705]],"")</f>
        <v/>
      </c>
      <c r="G7069" s="2" t="str">
        <f>IF(Table1[[#This Row],[Is Data Valid]]=TRUE,((Table1[[#This Row],[Birthweight (grams)]]/Table1[[#This Row],[BW_GA]])-1)/(Backend!$B$4/100*Table1[[#This Row],[BW40_3705]]),"")</f>
        <v/>
      </c>
      <c r="H7069" s="7" t="str">
        <f>IF(Table1[[#This Row],[Is Data Valid]]=TRUE,((Table1[[#This Row],[Birthweight (grams)]]*0.9/Table1[[#This Row],[BW_GA]])-1)/(Backend!$B$4/100*Table1[[#This Row],[BW40_3705]]),"")</f>
        <v/>
      </c>
      <c r="I7069" s="7" t="str">
        <f>IF(Table1[[#This Row],[Is Data Valid]]=TRUE,((Table1[[#This Row],[Birthweight (grams)]]*1.1/Table1[[#This Row],[BW_GA]])-1)/(Backend!$B$4/100*Table1[[#This Row],[BW40_3705]]),"")</f>
        <v/>
      </c>
      <c r="J7069" s="7" t="str">
        <f>IF(Table1[[#This Row],[Is Data Valid]]=TRUE,_xlfn.NORM.S.DIST(Table1[[#This Row],[Birthweight Z-Score]],TRUE)*100,"")</f>
        <v/>
      </c>
      <c r="K7069" s="7" t="str">
        <f>IF(Table1[[#This Row],[Is Data Valid]]=TRUE,_xlfn.NORM.S.DIST(Table1[[#This Row],[Birthweight Z-Score (BW-10%)]],TRUE)*100,"")</f>
        <v/>
      </c>
      <c r="L7069" s="7" t="str">
        <f>IF(Table1[[#This Row],[Is Data Valid]]=TRUE,_xlfn.NORM.S.DIST(Table1[[#This Row],[Birthweight Z-Score (BW+10%)]],TRUE)*100,"")</f>
        <v/>
      </c>
    </row>
    <row r="7070" spans="1:12" x14ac:dyDescent="0.35">
      <c r="A7070" s="3"/>
      <c r="B7070" s="2"/>
      <c r="C7070" s="2"/>
      <c r="D7070" s="2" t="b">
        <f>IF(AND(NOT(ISBLANK(Table1[[#This Row],[Fetal Sex (Male, Female or Unknown)]])),ISNUMBER(Table1[[#This Row],[Birthweight (grams)]]),ISNUMBER(Table1[[#This Row],[Gestation (days)]])),TRUE,FALSE)</f>
        <v>0</v>
      </c>
      <c r="E7070" s="2" t="str">
        <f>IF(Table1[[#This Row],[Is Data Valid]]=TRUE,IF(Table1[[#This Row],[Fetal Sex (Male, Female or Unknown)]]="Male",Backend!$C$6,IF(Table1[[#This Row],[Fetal Sex (Male, Female or Unknown)]]="Female",Backend!$C$7,IF(Table1[[#This Row],[Fetal Sex (Male, Female or Unknown)]]="Unknown",Backend!$C$8,"Error"))),"")</f>
        <v/>
      </c>
      <c r="F7070" s="8" t="str">
        <f>IF(Table1[[#This Row],[Is Data Valid]]=TRUE,EXP(0.578+0.332*((Table1[[#This Row],[Gestation (days)]]+0.5)/7)-0.00354*((Table1[[#This Row],[Gestation (days)]]+0.5)/7)^2)*Table1[[#This Row],[BW40_3705]],"")</f>
        <v/>
      </c>
      <c r="G7070" s="2" t="str">
        <f>IF(Table1[[#This Row],[Is Data Valid]]=TRUE,((Table1[[#This Row],[Birthweight (grams)]]/Table1[[#This Row],[BW_GA]])-1)/(Backend!$B$4/100*Table1[[#This Row],[BW40_3705]]),"")</f>
        <v/>
      </c>
      <c r="H7070" s="7" t="str">
        <f>IF(Table1[[#This Row],[Is Data Valid]]=TRUE,((Table1[[#This Row],[Birthweight (grams)]]*0.9/Table1[[#This Row],[BW_GA]])-1)/(Backend!$B$4/100*Table1[[#This Row],[BW40_3705]]),"")</f>
        <v/>
      </c>
      <c r="I7070" s="7" t="str">
        <f>IF(Table1[[#This Row],[Is Data Valid]]=TRUE,((Table1[[#This Row],[Birthweight (grams)]]*1.1/Table1[[#This Row],[BW_GA]])-1)/(Backend!$B$4/100*Table1[[#This Row],[BW40_3705]]),"")</f>
        <v/>
      </c>
      <c r="J7070" s="7" t="str">
        <f>IF(Table1[[#This Row],[Is Data Valid]]=TRUE,_xlfn.NORM.S.DIST(Table1[[#This Row],[Birthweight Z-Score]],TRUE)*100,"")</f>
        <v/>
      </c>
      <c r="K7070" s="7" t="str">
        <f>IF(Table1[[#This Row],[Is Data Valid]]=TRUE,_xlfn.NORM.S.DIST(Table1[[#This Row],[Birthweight Z-Score (BW-10%)]],TRUE)*100,"")</f>
        <v/>
      </c>
      <c r="L7070" s="7" t="str">
        <f>IF(Table1[[#This Row],[Is Data Valid]]=TRUE,_xlfn.NORM.S.DIST(Table1[[#This Row],[Birthweight Z-Score (BW+10%)]],TRUE)*100,"")</f>
        <v/>
      </c>
    </row>
    <row r="7071" spans="1:12" x14ac:dyDescent="0.35">
      <c r="A7071" s="3"/>
      <c r="B7071" s="2"/>
      <c r="C7071" s="2"/>
      <c r="D7071" s="2" t="b">
        <f>IF(AND(NOT(ISBLANK(Table1[[#This Row],[Fetal Sex (Male, Female or Unknown)]])),ISNUMBER(Table1[[#This Row],[Birthweight (grams)]]),ISNUMBER(Table1[[#This Row],[Gestation (days)]])),TRUE,FALSE)</f>
        <v>0</v>
      </c>
      <c r="E7071" s="2" t="str">
        <f>IF(Table1[[#This Row],[Is Data Valid]]=TRUE,IF(Table1[[#This Row],[Fetal Sex (Male, Female or Unknown)]]="Male",Backend!$C$6,IF(Table1[[#This Row],[Fetal Sex (Male, Female or Unknown)]]="Female",Backend!$C$7,IF(Table1[[#This Row],[Fetal Sex (Male, Female or Unknown)]]="Unknown",Backend!$C$8,"Error"))),"")</f>
        <v/>
      </c>
      <c r="F7071" s="8" t="str">
        <f>IF(Table1[[#This Row],[Is Data Valid]]=TRUE,EXP(0.578+0.332*((Table1[[#This Row],[Gestation (days)]]+0.5)/7)-0.00354*((Table1[[#This Row],[Gestation (days)]]+0.5)/7)^2)*Table1[[#This Row],[BW40_3705]],"")</f>
        <v/>
      </c>
      <c r="G7071" s="2" t="str">
        <f>IF(Table1[[#This Row],[Is Data Valid]]=TRUE,((Table1[[#This Row],[Birthweight (grams)]]/Table1[[#This Row],[BW_GA]])-1)/(Backend!$B$4/100*Table1[[#This Row],[BW40_3705]]),"")</f>
        <v/>
      </c>
      <c r="H7071" s="7" t="str">
        <f>IF(Table1[[#This Row],[Is Data Valid]]=TRUE,((Table1[[#This Row],[Birthweight (grams)]]*0.9/Table1[[#This Row],[BW_GA]])-1)/(Backend!$B$4/100*Table1[[#This Row],[BW40_3705]]),"")</f>
        <v/>
      </c>
      <c r="I7071" s="7" t="str">
        <f>IF(Table1[[#This Row],[Is Data Valid]]=TRUE,((Table1[[#This Row],[Birthweight (grams)]]*1.1/Table1[[#This Row],[BW_GA]])-1)/(Backend!$B$4/100*Table1[[#This Row],[BW40_3705]]),"")</f>
        <v/>
      </c>
      <c r="J7071" s="7" t="str">
        <f>IF(Table1[[#This Row],[Is Data Valid]]=TRUE,_xlfn.NORM.S.DIST(Table1[[#This Row],[Birthweight Z-Score]],TRUE)*100,"")</f>
        <v/>
      </c>
      <c r="K7071" s="7" t="str">
        <f>IF(Table1[[#This Row],[Is Data Valid]]=TRUE,_xlfn.NORM.S.DIST(Table1[[#This Row],[Birthweight Z-Score (BW-10%)]],TRUE)*100,"")</f>
        <v/>
      </c>
      <c r="L7071" s="7" t="str">
        <f>IF(Table1[[#This Row],[Is Data Valid]]=TRUE,_xlfn.NORM.S.DIST(Table1[[#This Row],[Birthweight Z-Score (BW+10%)]],TRUE)*100,"")</f>
        <v/>
      </c>
    </row>
    <row r="7072" spans="1:12" x14ac:dyDescent="0.35">
      <c r="A7072" s="3"/>
      <c r="B7072" s="2"/>
      <c r="C7072" s="2"/>
      <c r="D7072" s="2" t="b">
        <f>IF(AND(NOT(ISBLANK(Table1[[#This Row],[Fetal Sex (Male, Female or Unknown)]])),ISNUMBER(Table1[[#This Row],[Birthweight (grams)]]),ISNUMBER(Table1[[#This Row],[Gestation (days)]])),TRUE,FALSE)</f>
        <v>0</v>
      </c>
      <c r="E7072" s="2" t="str">
        <f>IF(Table1[[#This Row],[Is Data Valid]]=TRUE,IF(Table1[[#This Row],[Fetal Sex (Male, Female or Unknown)]]="Male",Backend!$C$6,IF(Table1[[#This Row],[Fetal Sex (Male, Female or Unknown)]]="Female",Backend!$C$7,IF(Table1[[#This Row],[Fetal Sex (Male, Female or Unknown)]]="Unknown",Backend!$C$8,"Error"))),"")</f>
        <v/>
      </c>
      <c r="F7072" s="8" t="str">
        <f>IF(Table1[[#This Row],[Is Data Valid]]=TRUE,EXP(0.578+0.332*((Table1[[#This Row],[Gestation (days)]]+0.5)/7)-0.00354*((Table1[[#This Row],[Gestation (days)]]+0.5)/7)^2)*Table1[[#This Row],[BW40_3705]],"")</f>
        <v/>
      </c>
      <c r="G7072" s="2" t="str">
        <f>IF(Table1[[#This Row],[Is Data Valid]]=TRUE,((Table1[[#This Row],[Birthweight (grams)]]/Table1[[#This Row],[BW_GA]])-1)/(Backend!$B$4/100*Table1[[#This Row],[BW40_3705]]),"")</f>
        <v/>
      </c>
      <c r="H7072" s="7" t="str">
        <f>IF(Table1[[#This Row],[Is Data Valid]]=TRUE,((Table1[[#This Row],[Birthweight (grams)]]*0.9/Table1[[#This Row],[BW_GA]])-1)/(Backend!$B$4/100*Table1[[#This Row],[BW40_3705]]),"")</f>
        <v/>
      </c>
      <c r="I7072" s="7" t="str">
        <f>IF(Table1[[#This Row],[Is Data Valid]]=TRUE,((Table1[[#This Row],[Birthweight (grams)]]*1.1/Table1[[#This Row],[BW_GA]])-1)/(Backend!$B$4/100*Table1[[#This Row],[BW40_3705]]),"")</f>
        <v/>
      </c>
      <c r="J7072" s="7" t="str">
        <f>IF(Table1[[#This Row],[Is Data Valid]]=TRUE,_xlfn.NORM.S.DIST(Table1[[#This Row],[Birthweight Z-Score]],TRUE)*100,"")</f>
        <v/>
      </c>
      <c r="K7072" s="7" t="str">
        <f>IF(Table1[[#This Row],[Is Data Valid]]=TRUE,_xlfn.NORM.S.DIST(Table1[[#This Row],[Birthweight Z-Score (BW-10%)]],TRUE)*100,"")</f>
        <v/>
      </c>
      <c r="L7072" s="7" t="str">
        <f>IF(Table1[[#This Row],[Is Data Valid]]=TRUE,_xlfn.NORM.S.DIST(Table1[[#This Row],[Birthweight Z-Score (BW+10%)]],TRUE)*100,"")</f>
        <v/>
      </c>
    </row>
    <row r="7073" spans="1:12" x14ac:dyDescent="0.35">
      <c r="A7073" s="3"/>
      <c r="B7073" s="2"/>
      <c r="C7073" s="2"/>
      <c r="D7073" s="2" t="b">
        <f>IF(AND(NOT(ISBLANK(Table1[[#This Row],[Fetal Sex (Male, Female or Unknown)]])),ISNUMBER(Table1[[#This Row],[Birthweight (grams)]]),ISNUMBER(Table1[[#This Row],[Gestation (days)]])),TRUE,FALSE)</f>
        <v>0</v>
      </c>
      <c r="E7073" s="2" t="str">
        <f>IF(Table1[[#This Row],[Is Data Valid]]=TRUE,IF(Table1[[#This Row],[Fetal Sex (Male, Female or Unknown)]]="Male",Backend!$C$6,IF(Table1[[#This Row],[Fetal Sex (Male, Female or Unknown)]]="Female",Backend!$C$7,IF(Table1[[#This Row],[Fetal Sex (Male, Female or Unknown)]]="Unknown",Backend!$C$8,"Error"))),"")</f>
        <v/>
      </c>
      <c r="F7073" s="8" t="str">
        <f>IF(Table1[[#This Row],[Is Data Valid]]=TRUE,EXP(0.578+0.332*((Table1[[#This Row],[Gestation (days)]]+0.5)/7)-0.00354*((Table1[[#This Row],[Gestation (days)]]+0.5)/7)^2)*Table1[[#This Row],[BW40_3705]],"")</f>
        <v/>
      </c>
      <c r="G7073" s="2" t="str">
        <f>IF(Table1[[#This Row],[Is Data Valid]]=TRUE,((Table1[[#This Row],[Birthweight (grams)]]/Table1[[#This Row],[BW_GA]])-1)/(Backend!$B$4/100*Table1[[#This Row],[BW40_3705]]),"")</f>
        <v/>
      </c>
      <c r="H7073" s="7" t="str">
        <f>IF(Table1[[#This Row],[Is Data Valid]]=TRUE,((Table1[[#This Row],[Birthweight (grams)]]*0.9/Table1[[#This Row],[BW_GA]])-1)/(Backend!$B$4/100*Table1[[#This Row],[BW40_3705]]),"")</f>
        <v/>
      </c>
      <c r="I7073" s="7" t="str">
        <f>IF(Table1[[#This Row],[Is Data Valid]]=TRUE,((Table1[[#This Row],[Birthweight (grams)]]*1.1/Table1[[#This Row],[BW_GA]])-1)/(Backend!$B$4/100*Table1[[#This Row],[BW40_3705]]),"")</f>
        <v/>
      </c>
      <c r="J7073" s="7" t="str">
        <f>IF(Table1[[#This Row],[Is Data Valid]]=TRUE,_xlfn.NORM.S.DIST(Table1[[#This Row],[Birthweight Z-Score]],TRUE)*100,"")</f>
        <v/>
      </c>
      <c r="K7073" s="7" t="str">
        <f>IF(Table1[[#This Row],[Is Data Valid]]=TRUE,_xlfn.NORM.S.DIST(Table1[[#This Row],[Birthweight Z-Score (BW-10%)]],TRUE)*100,"")</f>
        <v/>
      </c>
      <c r="L7073" s="7" t="str">
        <f>IF(Table1[[#This Row],[Is Data Valid]]=TRUE,_xlfn.NORM.S.DIST(Table1[[#This Row],[Birthweight Z-Score (BW+10%)]],TRUE)*100,"")</f>
        <v/>
      </c>
    </row>
    <row r="7074" spans="1:12" x14ac:dyDescent="0.35">
      <c r="A7074" s="3"/>
      <c r="B7074" s="2"/>
      <c r="C7074" s="2"/>
      <c r="D7074" s="2" t="b">
        <f>IF(AND(NOT(ISBLANK(Table1[[#This Row],[Fetal Sex (Male, Female or Unknown)]])),ISNUMBER(Table1[[#This Row],[Birthweight (grams)]]),ISNUMBER(Table1[[#This Row],[Gestation (days)]])),TRUE,FALSE)</f>
        <v>0</v>
      </c>
      <c r="E7074" s="2" t="str">
        <f>IF(Table1[[#This Row],[Is Data Valid]]=TRUE,IF(Table1[[#This Row],[Fetal Sex (Male, Female or Unknown)]]="Male",Backend!$C$6,IF(Table1[[#This Row],[Fetal Sex (Male, Female or Unknown)]]="Female",Backend!$C$7,IF(Table1[[#This Row],[Fetal Sex (Male, Female or Unknown)]]="Unknown",Backend!$C$8,"Error"))),"")</f>
        <v/>
      </c>
      <c r="F7074" s="8" t="str">
        <f>IF(Table1[[#This Row],[Is Data Valid]]=TRUE,EXP(0.578+0.332*((Table1[[#This Row],[Gestation (days)]]+0.5)/7)-0.00354*((Table1[[#This Row],[Gestation (days)]]+0.5)/7)^2)*Table1[[#This Row],[BW40_3705]],"")</f>
        <v/>
      </c>
      <c r="G7074" s="2" t="str">
        <f>IF(Table1[[#This Row],[Is Data Valid]]=TRUE,((Table1[[#This Row],[Birthweight (grams)]]/Table1[[#This Row],[BW_GA]])-1)/(Backend!$B$4/100*Table1[[#This Row],[BW40_3705]]),"")</f>
        <v/>
      </c>
      <c r="H7074" s="7" t="str">
        <f>IF(Table1[[#This Row],[Is Data Valid]]=TRUE,((Table1[[#This Row],[Birthweight (grams)]]*0.9/Table1[[#This Row],[BW_GA]])-1)/(Backend!$B$4/100*Table1[[#This Row],[BW40_3705]]),"")</f>
        <v/>
      </c>
      <c r="I7074" s="7" t="str">
        <f>IF(Table1[[#This Row],[Is Data Valid]]=TRUE,((Table1[[#This Row],[Birthweight (grams)]]*1.1/Table1[[#This Row],[BW_GA]])-1)/(Backend!$B$4/100*Table1[[#This Row],[BW40_3705]]),"")</f>
        <v/>
      </c>
      <c r="J7074" s="7" t="str">
        <f>IF(Table1[[#This Row],[Is Data Valid]]=TRUE,_xlfn.NORM.S.DIST(Table1[[#This Row],[Birthweight Z-Score]],TRUE)*100,"")</f>
        <v/>
      </c>
      <c r="K7074" s="7" t="str">
        <f>IF(Table1[[#This Row],[Is Data Valid]]=TRUE,_xlfn.NORM.S.DIST(Table1[[#This Row],[Birthweight Z-Score (BW-10%)]],TRUE)*100,"")</f>
        <v/>
      </c>
      <c r="L7074" s="7" t="str">
        <f>IF(Table1[[#This Row],[Is Data Valid]]=TRUE,_xlfn.NORM.S.DIST(Table1[[#This Row],[Birthweight Z-Score (BW+10%)]],TRUE)*100,"")</f>
        <v/>
      </c>
    </row>
    <row r="7075" spans="1:12" x14ac:dyDescent="0.35">
      <c r="A7075" s="3"/>
      <c r="B7075" s="2"/>
      <c r="C7075" s="2"/>
      <c r="D7075" s="2" t="b">
        <f>IF(AND(NOT(ISBLANK(Table1[[#This Row],[Fetal Sex (Male, Female or Unknown)]])),ISNUMBER(Table1[[#This Row],[Birthweight (grams)]]),ISNUMBER(Table1[[#This Row],[Gestation (days)]])),TRUE,FALSE)</f>
        <v>0</v>
      </c>
      <c r="E7075" s="2" t="str">
        <f>IF(Table1[[#This Row],[Is Data Valid]]=TRUE,IF(Table1[[#This Row],[Fetal Sex (Male, Female or Unknown)]]="Male",Backend!$C$6,IF(Table1[[#This Row],[Fetal Sex (Male, Female or Unknown)]]="Female",Backend!$C$7,IF(Table1[[#This Row],[Fetal Sex (Male, Female or Unknown)]]="Unknown",Backend!$C$8,"Error"))),"")</f>
        <v/>
      </c>
      <c r="F7075" s="8" t="str">
        <f>IF(Table1[[#This Row],[Is Data Valid]]=TRUE,EXP(0.578+0.332*((Table1[[#This Row],[Gestation (days)]]+0.5)/7)-0.00354*((Table1[[#This Row],[Gestation (days)]]+0.5)/7)^2)*Table1[[#This Row],[BW40_3705]],"")</f>
        <v/>
      </c>
      <c r="G7075" s="2" t="str">
        <f>IF(Table1[[#This Row],[Is Data Valid]]=TRUE,((Table1[[#This Row],[Birthweight (grams)]]/Table1[[#This Row],[BW_GA]])-1)/(Backend!$B$4/100*Table1[[#This Row],[BW40_3705]]),"")</f>
        <v/>
      </c>
      <c r="H7075" s="7" t="str">
        <f>IF(Table1[[#This Row],[Is Data Valid]]=TRUE,((Table1[[#This Row],[Birthweight (grams)]]*0.9/Table1[[#This Row],[BW_GA]])-1)/(Backend!$B$4/100*Table1[[#This Row],[BW40_3705]]),"")</f>
        <v/>
      </c>
      <c r="I7075" s="7" t="str">
        <f>IF(Table1[[#This Row],[Is Data Valid]]=TRUE,((Table1[[#This Row],[Birthweight (grams)]]*1.1/Table1[[#This Row],[BW_GA]])-1)/(Backend!$B$4/100*Table1[[#This Row],[BW40_3705]]),"")</f>
        <v/>
      </c>
      <c r="J7075" s="7" t="str">
        <f>IF(Table1[[#This Row],[Is Data Valid]]=TRUE,_xlfn.NORM.S.DIST(Table1[[#This Row],[Birthweight Z-Score]],TRUE)*100,"")</f>
        <v/>
      </c>
      <c r="K7075" s="7" t="str">
        <f>IF(Table1[[#This Row],[Is Data Valid]]=TRUE,_xlfn.NORM.S.DIST(Table1[[#This Row],[Birthweight Z-Score (BW-10%)]],TRUE)*100,"")</f>
        <v/>
      </c>
      <c r="L7075" s="7" t="str">
        <f>IF(Table1[[#This Row],[Is Data Valid]]=TRUE,_xlfn.NORM.S.DIST(Table1[[#This Row],[Birthweight Z-Score (BW+10%)]],TRUE)*100,"")</f>
        <v/>
      </c>
    </row>
    <row r="7076" spans="1:12" x14ac:dyDescent="0.35">
      <c r="A7076" s="3"/>
      <c r="B7076" s="2"/>
      <c r="C7076" s="2"/>
      <c r="D7076" s="2" t="b">
        <f>IF(AND(NOT(ISBLANK(Table1[[#This Row],[Fetal Sex (Male, Female or Unknown)]])),ISNUMBER(Table1[[#This Row],[Birthweight (grams)]]),ISNUMBER(Table1[[#This Row],[Gestation (days)]])),TRUE,FALSE)</f>
        <v>0</v>
      </c>
      <c r="E7076" s="2" t="str">
        <f>IF(Table1[[#This Row],[Is Data Valid]]=TRUE,IF(Table1[[#This Row],[Fetal Sex (Male, Female or Unknown)]]="Male",Backend!$C$6,IF(Table1[[#This Row],[Fetal Sex (Male, Female or Unknown)]]="Female",Backend!$C$7,IF(Table1[[#This Row],[Fetal Sex (Male, Female or Unknown)]]="Unknown",Backend!$C$8,"Error"))),"")</f>
        <v/>
      </c>
      <c r="F7076" s="8" t="str">
        <f>IF(Table1[[#This Row],[Is Data Valid]]=TRUE,EXP(0.578+0.332*((Table1[[#This Row],[Gestation (days)]]+0.5)/7)-0.00354*((Table1[[#This Row],[Gestation (days)]]+0.5)/7)^2)*Table1[[#This Row],[BW40_3705]],"")</f>
        <v/>
      </c>
      <c r="G7076" s="2" t="str">
        <f>IF(Table1[[#This Row],[Is Data Valid]]=TRUE,((Table1[[#This Row],[Birthweight (grams)]]/Table1[[#This Row],[BW_GA]])-1)/(Backend!$B$4/100*Table1[[#This Row],[BW40_3705]]),"")</f>
        <v/>
      </c>
      <c r="H7076" s="7" t="str">
        <f>IF(Table1[[#This Row],[Is Data Valid]]=TRUE,((Table1[[#This Row],[Birthweight (grams)]]*0.9/Table1[[#This Row],[BW_GA]])-1)/(Backend!$B$4/100*Table1[[#This Row],[BW40_3705]]),"")</f>
        <v/>
      </c>
      <c r="I7076" s="7" t="str">
        <f>IF(Table1[[#This Row],[Is Data Valid]]=TRUE,((Table1[[#This Row],[Birthweight (grams)]]*1.1/Table1[[#This Row],[BW_GA]])-1)/(Backend!$B$4/100*Table1[[#This Row],[BW40_3705]]),"")</f>
        <v/>
      </c>
      <c r="J7076" s="7" t="str">
        <f>IF(Table1[[#This Row],[Is Data Valid]]=TRUE,_xlfn.NORM.S.DIST(Table1[[#This Row],[Birthweight Z-Score]],TRUE)*100,"")</f>
        <v/>
      </c>
      <c r="K7076" s="7" t="str">
        <f>IF(Table1[[#This Row],[Is Data Valid]]=TRUE,_xlfn.NORM.S.DIST(Table1[[#This Row],[Birthweight Z-Score (BW-10%)]],TRUE)*100,"")</f>
        <v/>
      </c>
      <c r="L7076" s="7" t="str">
        <f>IF(Table1[[#This Row],[Is Data Valid]]=TRUE,_xlfn.NORM.S.DIST(Table1[[#This Row],[Birthweight Z-Score (BW+10%)]],TRUE)*100,"")</f>
        <v/>
      </c>
    </row>
    <row r="7077" spans="1:12" x14ac:dyDescent="0.35">
      <c r="A7077" s="3"/>
      <c r="B7077" s="2"/>
      <c r="C7077" s="2"/>
      <c r="D7077" s="2" t="b">
        <f>IF(AND(NOT(ISBLANK(Table1[[#This Row],[Fetal Sex (Male, Female or Unknown)]])),ISNUMBER(Table1[[#This Row],[Birthweight (grams)]]),ISNUMBER(Table1[[#This Row],[Gestation (days)]])),TRUE,FALSE)</f>
        <v>0</v>
      </c>
      <c r="E7077" s="2" t="str">
        <f>IF(Table1[[#This Row],[Is Data Valid]]=TRUE,IF(Table1[[#This Row],[Fetal Sex (Male, Female or Unknown)]]="Male",Backend!$C$6,IF(Table1[[#This Row],[Fetal Sex (Male, Female or Unknown)]]="Female",Backend!$C$7,IF(Table1[[#This Row],[Fetal Sex (Male, Female or Unknown)]]="Unknown",Backend!$C$8,"Error"))),"")</f>
        <v/>
      </c>
      <c r="F7077" s="8" t="str">
        <f>IF(Table1[[#This Row],[Is Data Valid]]=TRUE,EXP(0.578+0.332*((Table1[[#This Row],[Gestation (days)]]+0.5)/7)-0.00354*((Table1[[#This Row],[Gestation (days)]]+0.5)/7)^2)*Table1[[#This Row],[BW40_3705]],"")</f>
        <v/>
      </c>
      <c r="G7077" s="2" t="str">
        <f>IF(Table1[[#This Row],[Is Data Valid]]=TRUE,((Table1[[#This Row],[Birthweight (grams)]]/Table1[[#This Row],[BW_GA]])-1)/(Backend!$B$4/100*Table1[[#This Row],[BW40_3705]]),"")</f>
        <v/>
      </c>
      <c r="H7077" s="7" t="str">
        <f>IF(Table1[[#This Row],[Is Data Valid]]=TRUE,((Table1[[#This Row],[Birthweight (grams)]]*0.9/Table1[[#This Row],[BW_GA]])-1)/(Backend!$B$4/100*Table1[[#This Row],[BW40_3705]]),"")</f>
        <v/>
      </c>
      <c r="I7077" s="7" t="str">
        <f>IF(Table1[[#This Row],[Is Data Valid]]=TRUE,((Table1[[#This Row],[Birthweight (grams)]]*1.1/Table1[[#This Row],[BW_GA]])-1)/(Backend!$B$4/100*Table1[[#This Row],[BW40_3705]]),"")</f>
        <v/>
      </c>
      <c r="J7077" s="7" t="str">
        <f>IF(Table1[[#This Row],[Is Data Valid]]=TRUE,_xlfn.NORM.S.DIST(Table1[[#This Row],[Birthweight Z-Score]],TRUE)*100,"")</f>
        <v/>
      </c>
      <c r="K7077" s="7" t="str">
        <f>IF(Table1[[#This Row],[Is Data Valid]]=TRUE,_xlfn.NORM.S.DIST(Table1[[#This Row],[Birthweight Z-Score (BW-10%)]],TRUE)*100,"")</f>
        <v/>
      </c>
      <c r="L7077" s="7" t="str">
        <f>IF(Table1[[#This Row],[Is Data Valid]]=TRUE,_xlfn.NORM.S.DIST(Table1[[#This Row],[Birthweight Z-Score (BW+10%)]],TRUE)*100,"")</f>
        <v/>
      </c>
    </row>
    <row r="7078" spans="1:12" x14ac:dyDescent="0.35">
      <c r="A7078" s="3"/>
      <c r="B7078" s="2"/>
      <c r="C7078" s="2"/>
      <c r="D7078" s="2" t="b">
        <f>IF(AND(NOT(ISBLANK(Table1[[#This Row],[Fetal Sex (Male, Female or Unknown)]])),ISNUMBER(Table1[[#This Row],[Birthweight (grams)]]),ISNUMBER(Table1[[#This Row],[Gestation (days)]])),TRUE,FALSE)</f>
        <v>0</v>
      </c>
      <c r="E7078" s="2" t="str">
        <f>IF(Table1[[#This Row],[Is Data Valid]]=TRUE,IF(Table1[[#This Row],[Fetal Sex (Male, Female or Unknown)]]="Male",Backend!$C$6,IF(Table1[[#This Row],[Fetal Sex (Male, Female or Unknown)]]="Female",Backend!$C$7,IF(Table1[[#This Row],[Fetal Sex (Male, Female or Unknown)]]="Unknown",Backend!$C$8,"Error"))),"")</f>
        <v/>
      </c>
      <c r="F7078" s="8" t="str">
        <f>IF(Table1[[#This Row],[Is Data Valid]]=TRUE,EXP(0.578+0.332*((Table1[[#This Row],[Gestation (days)]]+0.5)/7)-0.00354*((Table1[[#This Row],[Gestation (days)]]+0.5)/7)^2)*Table1[[#This Row],[BW40_3705]],"")</f>
        <v/>
      </c>
      <c r="G7078" s="2" t="str">
        <f>IF(Table1[[#This Row],[Is Data Valid]]=TRUE,((Table1[[#This Row],[Birthweight (grams)]]/Table1[[#This Row],[BW_GA]])-1)/(Backend!$B$4/100*Table1[[#This Row],[BW40_3705]]),"")</f>
        <v/>
      </c>
      <c r="H7078" s="7" t="str">
        <f>IF(Table1[[#This Row],[Is Data Valid]]=TRUE,((Table1[[#This Row],[Birthweight (grams)]]*0.9/Table1[[#This Row],[BW_GA]])-1)/(Backend!$B$4/100*Table1[[#This Row],[BW40_3705]]),"")</f>
        <v/>
      </c>
      <c r="I7078" s="7" t="str">
        <f>IF(Table1[[#This Row],[Is Data Valid]]=TRUE,((Table1[[#This Row],[Birthweight (grams)]]*1.1/Table1[[#This Row],[BW_GA]])-1)/(Backend!$B$4/100*Table1[[#This Row],[BW40_3705]]),"")</f>
        <v/>
      </c>
      <c r="J7078" s="7" t="str">
        <f>IF(Table1[[#This Row],[Is Data Valid]]=TRUE,_xlfn.NORM.S.DIST(Table1[[#This Row],[Birthweight Z-Score]],TRUE)*100,"")</f>
        <v/>
      </c>
      <c r="K7078" s="7" t="str">
        <f>IF(Table1[[#This Row],[Is Data Valid]]=TRUE,_xlfn.NORM.S.DIST(Table1[[#This Row],[Birthweight Z-Score (BW-10%)]],TRUE)*100,"")</f>
        <v/>
      </c>
      <c r="L7078" s="7" t="str">
        <f>IF(Table1[[#This Row],[Is Data Valid]]=TRUE,_xlfn.NORM.S.DIST(Table1[[#This Row],[Birthweight Z-Score (BW+10%)]],TRUE)*100,"")</f>
        <v/>
      </c>
    </row>
    <row r="7079" spans="1:12" x14ac:dyDescent="0.35">
      <c r="A7079" s="3"/>
      <c r="B7079" s="2"/>
      <c r="C7079" s="2"/>
      <c r="D7079" s="2" t="b">
        <f>IF(AND(NOT(ISBLANK(Table1[[#This Row],[Fetal Sex (Male, Female or Unknown)]])),ISNUMBER(Table1[[#This Row],[Birthweight (grams)]]),ISNUMBER(Table1[[#This Row],[Gestation (days)]])),TRUE,FALSE)</f>
        <v>0</v>
      </c>
      <c r="E7079" s="2" t="str">
        <f>IF(Table1[[#This Row],[Is Data Valid]]=TRUE,IF(Table1[[#This Row],[Fetal Sex (Male, Female or Unknown)]]="Male",Backend!$C$6,IF(Table1[[#This Row],[Fetal Sex (Male, Female or Unknown)]]="Female",Backend!$C$7,IF(Table1[[#This Row],[Fetal Sex (Male, Female or Unknown)]]="Unknown",Backend!$C$8,"Error"))),"")</f>
        <v/>
      </c>
      <c r="F7079" s="8" t="str">
        <f>IF(Table1[[#This Row],[Is Data Valid]]=TRUE,EXP(0.578+0.332*((Table1[[#This Row],[Gestation (days)]]+0.5)/7)-0.00354*((Table1[[#This Row],[Gestation (days)]]+0.5)/7)^2)*Table1[[#This Row],[BW40_3705]],"")</f>
        <v/>
      </c>
      <c r="G7079" s="2" t="str">
        <f>IF(Table1[[#This Row],[Is Data Valid]]=TRUE,((Table1[[#This Row],[Birthweight (grams)]]/Table1[[#This Row],[BW_GA]])-1)/(Backend!$B$4/100*Table1[[#This Row],[BW40_3705]]),"")</f>
        <v/>
      </c>
      <c r="H7079" s="7" t="str">
        <f>IF(Table1[[#This Row],[Is Data Valid]]=TRUE,((Table1[[#This Row],[Birthweight (grams)]]*0.9/Table1[[#This Row],[BW_GA]])-1)/(Backend!$B$4/100*Table1[[#This Row],[BW40_3705]]),"")</f>
        <v/>
      </c>
      <c r="I7079" s="7" t="str">
        <f>IF(Table1[[#This Row],[Is Data Valid]]=TRUE,((Table1[[#This Row],[Birthweight (grams)]]*1.1/Table1[[#This Row],[BW_GA]])-1)/(Backend!$B$4/100*Table1[[#This Row],[BW40_3705]]),"")</f>
        <v/>
      </c>
      <c r="J7079" s="7" t="str">
        <f>IF(Table1[[#This Row],[Is Data Valid]]=TRUE,_xlfn.NORM.S.DIST(Table1[[#This Row],[Birthweight Z-Score]],TRUE)*100,"")</f>
        <v/>
      </c>
      <c r="K7079" s="7" t="str">
        <f>IF(Table1[[#This Row],[Is Data Valid]]=TRUE,_xlfn.NORM.S.DIST(Table1[[#This Row],[Birthweight Z-Score (BW-10%)]],TRUE)*100,"")</f>
        <v/>
      </c>
      <c r="L7079" s="7" t="str">
        <f>IF(Table1[[#This Row],[Is Data Valid]]=TRUE,_xlfn.NORM.S.DIST(Table1[[#This Row],[Birthweight Z-Score (BW+10%)]],TRUE)*100,"")</f>
        <v/>
      </c>
    </row>
    <row r="7080" spans="1:12" x14ac:dyDescent="0.35">
      <c r="A7080" s="3"/>
      <c r="B7080" s="2"/>
      <c r="C7080" s="2"/>
      <c r="D7080" s="2" t="b">
        <f>IF(AND(NOT(ISBLANK(Table1[[#This Row],[Fetal Sex (Male, Female or Unknown)]])),ISNUMBER(Table1[[#This Row],[Birthweight (grams)]]),ISNUMBER(Table1[[#This Row],[Gestation (days)]])),TRUE,FALSE)</f>
        <v>0</v>
      </c>
      <c r="E7080" s="2" t="str">
        <f>IF(Table1[[#This Row],[Is Data Valid]]=TRUE,IF(Table1[[#This Row],[Fetal Sex (Male, Female or Unknown)]]="Male",Backend!$C$6,IF(Table1[[#This Row],[Fetal Sex (Male, Female or Unknown)]]="Female",Backend!$C$7,IF(Table1[[#This Row],[Fetal Sex (Male, Female or Unknown)]]="Unknown",Backend!$C$8,"Error"))),"")</f>
        <v/>
      </c>
      <c r="F7080" s="8" t="str">
        <f>IF(Table1[[#This Row],[Is Data Valid]]=TRUE,EXP(0.578+0.332*((Table1[[#This Row],[Gestation (days)]]+0.5)/7)-0.00354*((Table1[[#This Row],[Gestation (days)]]+0.5)/7)^2)*Table1[[#This Row],[BW40_3705]],"")</f>
        <v/>
      </c>
      <c r="G7080" s="2" t="str">
        <f>IF(Table1[[#This Row],[Is Data Valid]]=TRUE,((Table1[[#This Row],[Birthweight (grams)]]/Table1[[#This Row],[BW_GA]])-1)/(Backend!$B$4/100*Table1[[#This Row],[BW40_3705]]),"")</f>
        <v/>
      </c>
      <c r="H7080" s="7" t="str">
        <f>IF(Table1[[#This Row],[Is Data Valid]]=TRUE,((Table1[[#This Row],[Birthweight (grams)]]*0.9/Table1[[#This Row],[BW_GA]])-1)/(Backend!$B$4/100*Table1[[#This Row],[BW40_3705]]),"")</f>
        <v/>
      </c>
      <c r="I7080" s="7" t="str">
        <f>IF(Table1[[#This Row],[Is Data Valid]]=TRUE,((Table1[[#This Row],[Birthweight (grams)]]*1.1/Table1[[#This Row],[BW_GA]])-1)/(Backend!$B$4/100*Table1[[#This Row],[BW40_3705]]),"")</f>
        <v/>
      </c>
      <c r="J7080" s="7" t="str">
        <f>IF(Table1[[#This Row],[Is Data Valid]]=TRUE,_xlfn.NORM.S.DIST(Table1[[#This Row],[Birthweight Z-Score]],TRUE)*100,"")</f>
        <v/>
      </c>
      <c r="K7080" s="7" t="str">
        <f>IF(Table1[[#This Row],[Is Data Valid]]=TRUE,_xlfn.NORM.S.DIST(Table1[[#This Row],[Birthweight Z-Score (BW-10%)]],TRUE)*100,"")</f>
        <v/>
      </c>
      <c r="L7080" s="7" t="str">
        <f>IF(Table1[[#This Row],[Is Data Valid]]=TRUE,_xlfn.NORM.S.DIST(Table1[[#This Row],[Birthweight Z-Score (BW+10%)]],TRUE)*100,"")</f>
        <v/>
      </c>
    </row>
    <row r="7081" spans="1:12" x14ac:dyDescent="0.35">
      <c r="A7081" s="3"/>
      <c r="B7081" s="2"/>
      <c r="C7081" s="2"/>
      <c r="D7081" s="2" t="b">
        <f>IF(AND(NOT(ISBLANK(Table1[[#This Row],[Fetal Sex (Male, Female or Unknown)]])),ISNUMBER(Table1[[#This Row],[Birthweight (grams)]]),ISNUMBER(Table1[[#This Row],[Gestation (days)]])),TRUE,FALSE)</f>
        <v>0</v>
      </c>
      <c r="E7081" s="2" t="str">
        <f>IF(Table1[[#This Row],[Is Data Valid]]=TRUE,IF(Table1[[#This Row],[Fetal Sex (Male, Female or Unknown)]]="Male",Backend!$C$6,IF(Table1[[#This Row],[Fetal Sex (Male, Female or Unknown)]]="Female",Backend!$C$7,IF(Table1[[#This Row],[Fetal Sex (Male, Female or Unknown)]]="Unknown",Backend!$C$8,"Error"))),"")</f>
        <v/>
      </c>
      <c r="F7081" s="8" t="str">
        <f>IF(Table1[[#This Row],[Is Data Valid]]=TRUE,EXP(0.578+0.332*((Table1[[#This Row],[Gestation (days)]]+0.5)/7)-0.00354*((Table1[[#This Row],[Gestation (days)]]+0.5)/7)^2)*Table1[[#This Row],[BW40_3705]],"")</f>
        <v/>
      </c>
      <c r="G7081" s="2" t="str">
        <f>IF(Table1[[#This Row],[Is Data Valid]]=TRUE,((Table1[[#This Row],[Birthweight (grams)]]/Table1[[#This Row],[BW_GA]])-1)/(Backend!$B$4/100*Table1[[#This Row],[BW40_3705]]),"")</f>
        <v/>
      </c>
      <c r="H7081" s="7" t="str">
        <f>IF(Table1[[#This Row],[Is Data Valid]]=TRUE,((Table1[[#This Row],[Birthweight (grams)]]*0.9/Table1[[#This Row],[BW_GA]])-1)/(Backend!$B$4/100*Table1[[#This Row],[BW40_3705]]),"")</f>
        <v/>
      </c>
      <c r="I7081" s="7" t="str">
        <f>IF(Table1[[#This Row],[Is Data Valid]]=TRUE,((Table1[[#This Row],[Birthweight (grams)]]*1.1/Table1[[#This Row],[BW_GA]])-1)/(Backend!$B$4/100*Table1[[#This Row],[BW40_3705]]),"")</f>
        <v/>
      </c>
      <c r="J7081" s="7" t="str">
        <f>IF(Table1[[#This Row],[Is Data Valid]]=TRUE,_xlfn.NORM.S.DIST(Table1[[#This Row],[Birthweight Z-Score]],TRUE)*100,"")</f>
        <v/>
      </c>
      <c r="K7081" s="7" t="str">
        <f>IF(Table1[[#This Row],[Is Data Valid]]=TRUE,_xlfn.NORM.S.DIST(Table1[[#This Row],[Birthweight Z-Score (BW-10%)]],TRUE)*100,"")</f>
        <v/>
      </c>
      <c r="L7081" s="7" t="str">
        <f>IF(Table1[[#This Row],[Is Data Valid]]=TRUE,_xlfn.NORM.S.DIST(Table1[[#This Row],[Birthweight Z-Score (BW+10%)]],TRUE)*100,"")</f>
        <v/>
      </c>
    </row>
    <row r="7082" spans="1:12" x14ac:dyDescent="0.35">
      <c r="A7082" s="3"/>
      <c r="B7082" s="2"/>
      <c r="C7082" s="2"/>
      <c r="D7082" s="2" t="b">
        <f>IF(AND(NOT(ISBLANK(Table1[[#This Row],[Fetal Sex (Male, Female or Unknown)]])),ISNUMBER(Table1[[#This Row],[Birthweight (grams)]]),ISNUMBER(Table1[[#This Row],[Gestation (days)]])),TRUE,FALSE)</f>
        <v>0</v>
      </c>
      <c r="E7082" s="2" t="str">
        <f>IF(Table1[[#This Row],[Is Data Valid]]=TRUE,IF(Table1[[#This Row],[Fetal Sex (Male, Female or Unknown)]]="Male",Backend!$C$6,IF(Table1[[#This Row],[Fetal Sex (Male, Female or Unknown)]]="Female",Backend!$C$7,IF(Table1[[#This Row],[Fetal Sex (Male, Female or Unknown)]]="Unknown",Backend!$C$8,"Error"))),"")</f>
        <v/>
      </c>
      <c r="F7082" s="8" t="str">
        <f>IF(Table1[[#This Row],[Is Data Valid]]=TRUE,EXP(0.578+0.332*((Table1[[#This Row],[Gestation (days)]]+0.5)/7)-0.00354*((Table1[[#This Row],[Gestation (days)]]+0.5)/7)^2)*Table1[[#This Row],[BW40_3705]],"")</f>
        <v/>
      </c>
      <c r="G7082" s="2" t="str">
        <f>IF(Table1[[#This Row],[Is Data Valid]]=TRUE,((Table1[[#This Row],[Birthweight (grams)]]/Table1[[#This Row],[BW_GA]])-1)/(Backend!$B$4/100*Table1[[#This Row],[BW40_3705]]),"")</f>
        <v/>
      </c>
      <c r="H7082" s="7" t="str">
        <f>IF(Table1[[#This Row],[Is Data Valid]]=TRUE,((Table1[[#This Row],[Birthweight (grams)]]*0.9/Table1[[#This Row],[BW_GA]])-1)/(Backend!$B$4/100*Table1[[#This Row],[BW40_3705]]),"")</f>
        <v/>
      </c>
      <c r="I7082" s="7" t="str">
        <f>IF(Table1[[#This Row],[Is Data Valid]]=TRUE,((Table1[[#This Row],[Birthweight (grams)]]*1.1/Table1[[#This Row],[BW_GA]])-1)/(Backend!$B$4/100*Table1[[#This Row],[BW40_3705]]),"")</f>
        <v/>
      </c>
      <c r="J7082" s="7" t="str">
        <f>IF(Table1[[#This Row],[Is Data Valid]]=TRUE,_xlfn.NORM.S.DIST(Table1[[#This Row],[Birthweight Z-Score]],TRUE)*100,"")</f>
        <v/>
      </c>
      <c r="K7082" s="7" t="str">
        <f>IF(Table1[[#This Row],[Is Data Valid]]=TRUE,_xlfn.NORM.S.DIST(Table1[[#This Row],[Birthweight Z-Score (BW-10%)]],TRUE)*100,"")</f>
        <v/>
      </c>
      <c r="L7082" s="7" t="str">
        <f>IF(Table1[[#This Row],[Is Data Valid]]=TRUE,_xlfn.NORM.S.DIST(Table1[[#This Row],[Birthweight Z-Score (BW+10%)]],TRUE)*100,"")</f>
        <v/>
      </c>
    </row>
    <row r="7083" spans="1:12" x14ac:dyDescent="0.35">
      <c r="A7083" s="3"/>
      <c r="B7083" s="2"/>
      <c r="C7083" s="2"/>
      <c r="D7083" s="2" t="b">
        <f>IF(AND(NOT(ISBLANK(Table1[[#This Row],[Fetal Sex (Male, Female or Unknown)]])),ISNUMBER(Table1[[#This Row],[Birthweight (grams)]]),ISNUMBER(Table1[[#This Row],[Gestation (days)]])),TRUE,FALSE)</f>
        <v>0</v>
      </c>
      <c r="E7083" s="2" t="str">
        <f>IF(Table1[[#This Row],[Is Data Valid]]=TRUE,IF(Table1[[#This Row],[Fetal Sex (Male, Female or Unknown)]]="Male",Backend!$C$6,IF(Table1[[#This Row],[Fetal Sex (Male, Female or Unknown)]]="Female",Backend!$C$7,IF(Table1[[#This Row],[Fetal Sex (Male, Female or Unknown)]]="Unknown",Backend!$C$8,"Error"))),"")</f>
        <v/>
      </c>
      <c r="F7083" s="8" t="str">
        <f>IF(Table1[[#This Row],[Is Data Valid]]=TRUE,EXP(0.578+0.332*((Table1[[#This Row],[Gestation (days)]]+0.5)/7)-0.00354*((Table1[[#This Row],[Gestation (days)]]+0.5)/7)^2)*Table1[[#This Row],[BW40_3705]],"")</f>
        <v/>
      </c>
      <c r="G7083" s="2" t="str">
        <f>IF(Table1[[#This Row],[Is Data Valid]]=TRUE,((Table1[[#This Row],[Birthweight (grams)]]/Table1[[#This Row],[BW_GA]])-1)/(Backend!$B$4/100*Table1[[#This Row],[BW40_3705]]),"")</f>
        <v/>
      </c>
      <c r="H7083" s="7" t="str">
        <f>IF(Table1[[#This Row],[Is Data Valid]]=TRUE,((Table1[[#This Row],[Birthweight (grams)]]*0.9/Table1[[#This Row],[BW_GA]])-1)/(Backend!$B$4/100*Table1[[#This Row],[BW40_3705]]),"")</f>
        <v/>
      </c>
      <c r="I7083" s="7" t="str">
        <f>IF(Table1[[#This Row],[Is Data Valid]]=TRUE,((Table1[[#This Row],[Birthweight (grams)]]*1.1/Table1[[#This Row],[BW_GA]])-1)/(Backend!$B$4/100*Table1[[#This Row],[BW40_3705]]),"")</f>
        <v/>
      </c>
      <c r="J7083" s="7" t="str">
        <f>IF(Table1[[#This Row],[Is Data Valid]]=TRUE,_xlfn.NORM.S.DIST(Table1[[#This Row],[Birthweight Z-Score]],TRUE)*100,"")</f>
        <v/>
      </c>
      <c r="K7083" s="7" t="str">
        <f>IF(Table1[[#This Row],[Is Data Valid]]=TRUE,_xlfn.NORM.S.DIST(Table1[[#This Row],[Birthweight Z-Score (BW-10%)]],TRUE)*100,"")</f>
        <v/>
      </c>
      <c r="L7083" s="7" t="str">
        <f>IF(Table1[[#This Row],[Is Data Valid]]=TRUE,_xlfn.NORM.S.DIST(Table1[[#This Row],[Birthweight Z-Score (BW+10%)]],TRUE)*100,"")</f>
        <v/>
      </c>
    </row>
    <row r="7084" spans="1:12" x14ac:dyDescent="0.35">
      <c r="A7084" s="3"/>
      <c r="B7084" s="2"/>
      <c r="C7084" s="2"/>
      <c r="D7084" s="2" t="b">
        <f>IF(AND(NOT(ISBLANK(Table1[[#This Row],[Fetal Sex (Male, Female or Unknown)]])),ISNUMBER(Table1[[#This Row],[Birthweight (grams)]]),ISNUMBER(Table1[[#This Row],[Gestation (days)]])),TRUE,FALSE)</f>
        <v>0</v>
      </c>
      <c r="E7084" s="2" t="str">
        <f>IF(Table1[[#This Row],[Is Data Valid]]=TRUE,IF(Table1[[#This Row],[Fetal Sex (Male, Female or Unknown)]]="Male",Backend!$C$6,IF(Table1[[#This Row],[Fetal Sex (Male, Female or Unknown)]]="Female",Backend!$C$7,IF(Table1[[#This Row],[Fetal Sex (Male, Female or Unknown)]]="Unknown",Backend!$C$8,"Error"))),"")</f>
        <v/>
      </c>
      <c r="F7084" s="8" t="str">
        <f>IF(Table1[[#This Row],[Is Data Valid]]=TRUE,EXP(0.578+0.332*((Table1[[#This Row],[Gestation (days)]]+0.5)/7)-0.00354*((Table1[[#This Row],[Gestation (days)]]+0.5)/7)^2)*Table1[[#This Row],[BW40_3705]],"")</f>
        <v/>
      </c>
      <c r="G7084" s="2" t="str">
        <f>IF(Table1[[#This Row],[Is Data Valid]]=TRUE,((Table1[[#This Row],[Birthweight (grams)]]/Table1[[#This Row],[BW_GA]])-1)/(Backend!$B$4/100*Table1[[#This Row],[BW40_3705]]),"")</f>
        <v/>
      </c>
      <c r="H7084" s="7" t="str">
        <f>IF(Table1[[#This Row],[Is Data Valid]]=TRUE,((Table1[[#This Row],[Birthweight (grams)]]*0.9/Table1[[#This Row],[BW_GA]])-1)/(Backend!$B$4/100*Table1[[#This Row],[BW40_3705]]),"")</f>
        <v/>
      </c>
      <c r="I7084" s="7" t="str">
        <f>IF(Table1[[#This Row],[Is Data Valid]]=TRUE,((Table1[[#This Row],[Birthweight (grams)]]*1.1/Table1[[#This Row],[BW_GA]])-1)/(Backend!$B$4/100*Table1[[#This Row],[BW40_3705]]),"")</f>
        <v/>
      </c>
      <c r="J7084" s="7" t="str">
        <f>IF(Table1[[#This Row],[Is Data Valid]]=TRUE,_xlfn.NORM.S.DIST(Table1[[#This Row],[Birthweight Z-Score]],TRUE)*100,"")</f>
        <v/>
      </c>
      <c r="K7084" s="7" t="str">
        <f>IF(Table1[[#This Row],[Is Data Valid]]=TRUE,_xlfn.NORM.S.DIST(Table1[[#This Row],[Birthweight Z-Score (BW-10%)]],TRUE)*100,"")</f>
        <v/>
      </c>
      <c r="L7084" s="7" t="str">
        <f>IF(Table1[[#This Row],[Is Data Valid]]=TRUE,_xlfn.NORM.S.DIST(Table1[[#This Row],[Birthweight Z-Score (BW+10%)]],TRUE)*100,"")</f>
        <v/>
      </c>
    </row>
    <row r="7085" spans="1:12" x14ac:dyDescent="0.35">
      <c r="A7085" s="3"/>
      <c r="B7085" s="2"/>
      <c r="C7085" s="2"/>
      <c r="D7085" s="2" t="b">
        <f>IF(AND(NOT(ISBLANK(Table1[[#This Row],[Fetal Sex (Male, Female or Unknown)]])),ISNUMBER(Table1[[#This Row],[Birthweight (grams)]]),ISNUMBER(Table1[[#This Row],[Gestation (days)]])),TRUE,FALSE)</f>
        <v>0</v>
      </c>
      <c r="E7085" s="2" t="str">
        <f>IF(Table1[[#This Row],[Is Data Valid]]=TRUE,IF(Table1[[#This Row],[Fetal Sex (Male, Female or Unknown)]]="Male",Backend!$C$6,IF(Table1[[#This Row],[Fetal Sex (Male, Female or Unknown)]]="Female",Backend!$C$7,IF(Table1[[#This Row],[Fetal Sex (Male, Female or Unknown)]]="Unknown",Backend!$C$8,"Error"))),"")</f>
        <v/>
      </c>
      <c r="F7085" s="8" t="str">
        <f>IF(Table1[[#This Row],[Is Data Valid]]=TRUE,EXP(0.578+0.332*((Table1[[#This Row],[Gestation (days)]]+0.5)/7)-0.00354*((Table1[[#This Row],[Gestation (days)]]+0.5)/7)^2)*Table1[[#This Row],[BW40_3705]],"")</f>
        <v/>
      </c>
      <c r="G7085" s="2" t="str">
        <f>IF(Table1[[#This Row],[Is Data Valid]]=TRUE,((Table1[[#This Row],[Birthweight (grams)]]/Table1[[#This Row],[BW_GA]])-1)/(Backend!$B$4/100*Table1[[#This Row],[BW40_3705]]),"")</f>
        <v/>
      </c>
      <c r="H7085" s="7" t="str">
        <f>IF(Table1[[#This Row],[Is Data Valid]]=TRUE,((Table1[[#This Row],[Birthweight (grams)]]*0.9/Table1[[#This Row],[BW_GA]])-1)/(Backend!$B$4/100*Table1[[#This Row],[BW40_3705]]),"")</f>
        <v/>
      </c>
      <c r="I7085" s="7" t="str">
        <f>IF(Table1[[#This Row],[Is Data Valid]]=TRUE,((Table1[[#This Row],[Birthweight (grams)]]*1.1/Table1[[#This Row],[BW_GA]])-1)/(Backend!$B$4/100*Table1[[#This Row],[BW40_3705]]),"")</f>
        <v/>
      </c>
      <c r="J7085" s="7" t="str">
        <f>IF(Table1[[#This Row],[Is Data Valid]]=TRUE,_xlfn.NORM.S.DIST(Table1[[#This Row],[Birthweight Z-Score]],TRUE)*100,"")</f>
        <v/>
      </c>
      <c r="K7085" s="7" t="str">
        <f>IF(Table1[[#This Row],[Is Data Valid]]=TRUE,_xlfn.NORM.S.DIST(Table1[[#This Row],[Birthweight Z-Score (BW-10%)]],TRUE)*100,"")</f>
        <v/>
      </c>
      <c r="L7085" s="7" t="str">
        <f>IF(Table1[[#This Row],[Is Data Valid]]=TRUE,_xlfn.NORM.S.DIST(Table1[[#This Row],[Birthweight Z-Score (BW+10%)]],TRUE)*100,"")</f>
        <v/>
      </c>
    </row>
    <row r="7086" spans="1:12" x14ac:dyDescent="0.35">
      <c r="A7086" s="3"/>
      <c r="B7086" s="2"/>
      <c r="C7086" s="2"/>
      <c r="D7086" s="2" t="b">
        <f>IF(AND(NOT(ISBLANK(Table1[[#This Row],[Fetal Sex (Male, Female or Unknown)]])),ISNUMBER(Table1[[#This Row],[Birthweight (grams)]]),ISNUMBER(Table1[[#This Row],[Gestation (days)]])),TRUE,FALSE)</f>
        <v>0</v>
      </c>
      <c r="E7086" s="2" t="str">
        <f>IF(Table1[[#This Row],[Is Data Valid]]=TRUE,IF(Table1[[#This Row],[Fetal Sex (Male, Female or Unknown)]]="Male",Backend!$C$6,IF(Table1[[#This Row],[Fetal Sex (Male, Female or Unknown)]]="Female",Backend!$C$7,IF(Table1[[#This Row],[Fetal Sex (Male, Female or Unknown)]]="Unknown",Backend!$C$8,"Error"))),"")</f>
        <v/>
      </c>
      <c r="F7086" s="8" t="str">
        <f>IF(Table1[[#This Row],[Is Data Valid]]=TRUE,EXP(0.578+0.332*((Table1[[#This Row],[Gestation (days)]]+0.5)/7)-0.00354*((Table1[[#This Row],[Gestation (days)]]+0.5)/7)^2)*Table1[[#This Row],[BW40_3705]],"")</f>
        <v/>
      </c>
      <c r="G7086" s="2" t="str">
        <f>IF(Table1[[#This Row],[Is Data Valid]]=TRUE,((Table1[[#This Row],[Birthweight (grams)]]/Table1[[#This Row],[BW_GA]])-1)/(Backend!$B$4/100*Table1[[#This Row],[BW40_3705]]),"")</f>
        <v/>
      </c>
      <c r="H7086" s="7" t="str">
        <f>IF(Table1[[#This Row],[Is Data Valid]]=TRUE,((Table1[[#This Row],[Birthweight (grams)]]*0.9/Table1[[#This Row],[BW_GA]])-1)/(Backend!$B$4/100*Table1[[#This Row],[BW40_3705]]),"")</f>
        <v/>
      </c>
      <c r="I7086" s="7" t="str">
        <f>IF(Table1[[#This Row],[Is Data Valid]]=TRUE,((Table1[[#This Row],[Birthweight (grams)]]*1.1/Table1[[#This Row],[BW_GA]])-1)/(Backend!$B$4/100*Table1[[#This Row],[BW40_3705]]),"")</f>
        <v/>
      </c>
      <c r="J7086" s="7" t="str">
        <f>IF(Table1[[#This Row],[Is Data Valid]]=TRUE,_xlfn.NORM.S.DIST(Table1[[#This Row],[Birthweight Z-Score]],TRUE)*100,"")</f>
        <v/>
      </c>
      <c r="K7086" s="7" t="str">
        <f>IF(Table1[[#This Row],[Is Data Valid]]=TRUE,_xlfn.NORM.S.DIST(Table1[[#This Row],[Birthweight Z-Score (BW-10%)]],TRUE)*100,"")</f>
        <v/>
      </c>
      <c r="L7086" s="7" t="str">
        <f>IF(Table1[[#This Row],[Is Data Valid]]=TRUE,_xlfn.NORM.S.DIST(Table1[[#This Row],[Birthweight Z-Score (BW+10%)]],TRUE)*100,"")</f>
        <v/>
      </c>
    </row>
    <row r="7087" spans="1:12" x14ac:dyDescent="0.35">
      <c r="A7087" s="3"/>
      <c r="B7087" s="2"/>
      <c r="C7087" s="2"/>
      <c r="D7087" s="2" t="b">
        <f>IF(AND(NOT(ISBLANK(Table1[[#This Row],[Fetal Sex (Male, Female or Unknown)]])),ISNUMBER(Table1[[#This Row],[Birthweight (grams)]]),ISNUMBER(Table1[[#This Row],[Gestation (days)]])),TRUE,FALSE)</f>
        <v>0</v>
      </c>
      <c r="E7087" s="2" t="str">
        <f>IF(Table1[[#This Row],[Is Data Valid]]=TRUE,IF(Table1[[#This Row],[Fetal Sex (Male, Female or Unknown)]]="Male",Backend!$C$6,IF(Table1[[#This Row],[Fetal Sex (Male, Female or Unknown)]]="Female",Backend!$C$7,IF(Table1[[#This Row],[Fetal Sex (Male, Female or Unknown)]]="Unknown",Backend!$C$8,"Error"))),"")</f>
        <v/>
      </c>
      <c r="F7087" s="8" t="str">
        <f>IF(Table1[[#This Row],[Is Data Valid]]=TRUE,EXP(0.578+0.332*((Table1[[#This Row],[Gestation (days)]]+0.5)/7)-0.00354*((Table1[[#This Row],[Gestation (days)]]+0.5)/7)^2)*Table1[[#This Row],[BW40_3705]],"")</f>
        <v/>
      </c>
      <c r="G7087" s="2" t="str">
        <f>IF(Table1[[#This Row],[Is Data Valid]]=TRUE,((Table1[[#This Row],[Birthweight (grams)]]/Table1[[#This Row],[BW_GA]])-1)/(Backend!$B$4/100*Table1[[#This Row],[BW40_3705]]),"")</f>
        <v/>
      </c>
      <c r="H7087" s="7" t="str">
        <f>IF(Table1[[#This Row],[Is Data Valid]]=TRUE,((Table1[[#This Row],[Birthweight (grams)]]*0.9/Table1[[#This Row],[BW_GA]])-1)/(Backend!$B$4/100*Table1[[#This Row],[BW40_3705]]),"")</f>
        <v/>
      </c>
      <c r="I7087" s="7" t="str">
        <f>IF(Table1[[#This Row],[Is Data Valid]]=TRUE,((Table1[[#This Row],[Birthweight (grams)]]*1.1/Table1[[#This Row],[BW_GA]])-1)/(Backend!$B$4/100*Table1[[#This Row],[BW40_3705]]),"")</f>
        <v/>
      </c>
      <c r="J7087" s="7" t="str">
        <f>IF(Table1[[#This Row],[Is Data Valid]]=TRUE,_xlfn.NORM.S.DIST(Table1[[#This Row],[Birthweight Z-Score]],TRUE)*100,"")</f>
        <v/>
      </c>
      <c r="K7087" s="7" t="str">
        <f>IF(Table1[[#This Row],[Is Data Valid]]=TRUE,_xlfn.NORM.S.DIST(Table1[[#This Row],[Birthweight Z-Score (BW-10%)]],TRUE)*100,"")</f>
        <v/>
      </c>
      <c r="L7087" s="7" t="str">
        <f>IF(Table1[[#This Row],[Is Data Valid]]=TRUE,_xlfn.NORM.S.DIST(Table1[[#This Row],[Birthweight Z-Score (BW+10%)]],TRUE)*100,"")</f>
        <v/>
      </c>
    </row>
    <row r="7088" spans="1:12" x14ac:dyDescent="0.35">
      <c r="A7088" s="3"/>
      <c r="B7088" s="2"/>
      <c r="C7088" s="2"/>
      <c r="D7088" s="2" t="b">
        <f>IF(AND(NOT(ISBLANK(Table1[[#This Row],[Fetal Sex (Male, Female or Unknown)]])),ISNUMBER(Table1[[#This Row],[Birthweight (grams)]]),ISNUMBER(Table1[[#This Row],[Gestation (days)]])),TRUE,FALSE)</f>
        <v>0</v>
      </c>
      <c r="E7088" s="2" t="str">
        <f>IF(Table1[[#This Row],[Is Data Valid]]=TRUE,IF(Table1[[#This Row],[Fetal Sex (Male, Female or Unknown)]]="Male",Backend!$C$6,IF(Table1[[#This Row],[Fetal Sex (Male, Female or Unknown)]]="Female",Backend!$C$7,IF(Table1[[#This Row],[Fetal Sex (Male, Female or Unknown)]]="Unknown",Backend!$C$8,"Error"))),"")</f>
        <v/>
      </c>
      <c r="F7088" s="8" t="str">
        <f>IF(Table1[[#This Row],[Is Data Valid]]=TRUE,EXP(0.578+0.332*((Table1[[#This Row],[Gestation (days)]]+0.5)/7)-0.00354*((Table1[[#This Row],[Gestation (days)]]+0.5)/7)^2)*Table1[[#This Row],[BW40_3705]],"")</f>
        <v/>
      </c>
      <c r="G7088" s="2" t="str">
        <f>IF(Table1[[#This Row],[Is Data Valid]]=TRUE,((Table1[[#This Row],[Birthweight (grams)]]/Table1[[#This Row],[BW_GA]])-1)/(Backend!$B$4/100*Table1[[#This Row],[BW40_3705]]),"")</f>
        <v/>
      </c>
      <c r="H7088" s="7" t="str">
        <f>IF(Table1[[#This Row],[Is Data Valid]]=TRUE,((Table1[[#This Row],[Birthweight (grams)]]*0.9/Table1[[#This Row],[BW_GA]])-1)/(Backend!$B$4/100*Table1[[#This Row],[BW40_3705]]),"")</f>
        <v/>
      </c>
      <c r="I7088" s="7" t="str">
        <f>IF(Table1[[#This Row],[Is Data Valid]]=TRUE,((Table1[[#This Row],[Birthweight (grams)]]*1.1/Table1[[#This Row],[BW_GA]])-1)/(Backend!$B$4/100*Table1[[#This Row],[BW40_3705]]),"")</f>
        <v/>
      </c>
      <c r="J7088" s="7" t="str">
        <f>IF(Table1[[#This Row],[Is Data Valid]]=TRUE,_xlfn.NORM.S.DIST(Table1[[#This Row],[Birthweight Z-Score]],TRUE)*100,"")</f>
        <v/>
      </c>
      <c r="K7088" s="7" t="str">
        <f>IF(Table1[[#This Row],[Is Data Valid]]=TRUE,_xlfn.NORM.S.DIST(Table1[[#This Row],[Birthweight Z-Score (BW-10%)]],TRUE)*100,"")</f>
        <v/>
      </c>
      <c r="L7088" s="7" t="str">
        <f>IF(Table1[[#This Row],[Is Data Valid]]=TRUE,_xlfn.NORM.S.DIST(Table1[[#This Row],[Birthweight Z-Score (BW+10%)]],TRUE)*100,"")</f>
        <v/>
      </c>
    </row>
    <row r="7089" spans="1:12" x14ac:dyDescent="0.35">
      <c r="A7089" s="3"/>
      <c r="B7089" s="2"/>
      <c r="C7089" s="2"/>
      <c r="D7089" s="2" t="b">
        <f>IF(AND(NOT(ISBLANK(Table1[[#This Row],[Fetal Sex (Male, Female or Unknown)]])),ISNUMBER(Table1[[#This Row],[Birthweight (grams)]]),ISNUMBER(Table1[[#This Row],[Gestation (days)]])),TRUE,FALSE)</f>
        <v>0</v>
      </c>
      <c r="E7089" s="2" t="str">
        <f>IF(Table1[[#This Row],[Is Data Valid]]=TRUE,IF(Table1[[#This Row],[Fetal Sex (Male, Female or Unknown)]]="Male",Backend!$C$6,IF(Table1[[#This Row],[Fetal Sex (Male, Female or Unknown)]]="Female",Backend!$C$7,IF(Table1[[#This Row],[Fetal Sex (Male, Female or Unknown)]]="Unknown",Backend!$C$8,"Error"))),"")</f>
        <v/>
      </c>
      <c r="F7089" s="8" t="str">
        <f>IF(Table1[[#This Row],[Is Data Valid]]=TRUE,EXP(0.578+0.332*((Table1[[#This Row],[Gestation (days)]]+0.5)/7)-0.00354*((Table1[[#This Row],[Gestation (days)]]+0.5)/7)^2)*Table1[[#This Row],[BW40_3705]],"")</f>
        <v/>
      </c>
      <c r="G7089" s="2" t="str">
        <f>IF(Table1[[#This Row],[Is Data Valid]]=TRUE,((Table1[[#This Row],[Birthweight (grams)]]/Table1[[#This Row],[BW_GA]])-1)/(Backend!$B$4/100*Table1[[#This Row],[BW40_3705]]),"")</f>
        <v/>
      </c>
      <c r="H7089" s="7" t="str">
        <f>IF(Table1[[#This Row],[Is Data Valid]]=TRUE,((Table1[[#This Row],[Birthweight (grams)]]*0.9/Table1[[#This Row],[BW_GA]])-1)/(Backend!$B$4/100*Table1[[#This Row],[BW40_3705]]),"")</f>
        <v/>
      </c>
      <c r="I7089" s="7" t="str">
        <f>IF(Table1[[#This Row],[Is Data Valid]]=TRUE,((Table1[[#This Row],[Birthweight (grams)]]*1.1/Table1[[#This Row],[BW_GA]])-1)/(Backend!$B$4/100*Table1[[#This Row],[BW40_3705]]),"")</f>
        <v/>
      </c>
      <c r="J7089" s="7" t="str">
        <f>IF(Table1[[#This Row],[Is Data Valid]]=TRUE,_xlfn.NORM.S.DIST(Table1[[#This Row],[Birthweight Z-Score]],TRUE)*100,"")</f>
        <v/>
      </c>
      <c r="K7089" s="7" t="str">
        <f>IF(Table1[[#This Row],[Is Data Valid]]=TRUE,_xlfn.NORM.S.DIST(Table1[[#This Row],[Birthweight Z-Score (BW-10%)]],TRUE)*100,"")</f>
        <v/>
      </c>
      <c r="L7089" s="7" t="str">
        <f>IF(Table1[[#This Row],[Is Data Valid]]=TRUE,_xlfn.NORM.S.DIST(Table1[[#This Row],[Birthweight Z-Score (BW+10%)]],TRUE)*100,"")</f>
        <v/>
      </c>
    </row>
    <row r="7090" spans="1:12" x14ac:dyDescent="0.35">
      <c r="A7090" s="3"/>
      <c r="B7090" s="2"/>
      <c r="C7090" s="2"/>
      <c r="D7090" s="2" t="b">
        <f>IF(AND(NOT(ISBLANK(Table1[[#This Row],[Fetal Sex (Male, Female or Unknown)]])),ISNUMBER(Table1[[#This Row],[Birthweight (grams)]]),ISNUMBER(Table1[[#This Row],[Gestation (days)]])),TRUE,FALSE)</f>
        <v>0</v>
      </c>
      <c r="E7090" s="2" t="str">
        <f>IF(Table1[[#This Row],[Is Data Valid]]=TRUE,IF(Table1[[#This Row],[Fetal Sex (Male, Female or Unknown)]]="Male",Backend!$C$6,IF(Table1[[#This Row],[Fetal Sex (Male, Female or Unknown)]]="Female",Backend!$C$7,IF(Table1[[#This Row],[Fetal Sex (Male, Female or Unknown)]]="Unknown",Backend!$C$8,"Error"))),"")</f>
        <v/>
      </c>
      <c r="F7090" s="8" t="str">
        <f>IF(Table1[[#This Row],[Is Data Valid]]=TRUE,EXP(0.578+0.332*((Table1[[#This Row],[Gestation (days)]]+0.5)/7)-0.00354*((Table1[[#This Row],[Gestation (days)]]+0.5)/7)^2)*Table1[[#This Row],[BW40_3705]],"")</f>
        <v/>
      </c>
      <c r="G7090" s="2" t="str">
        <f>IF(Table1[[#This Row],[Is Data Valid]]=TRUE,((Table1[[#This Row],[Birthweight (grams)]]/Table1[[#This Row],[BW_GA]])-1)/(Backend!$B$4/100*Table1[[#This Row],[BW40_3705]]),"")</f>
        <v/>
      </c>
      <c r="H7090" s="7" t="str">
        <f>IF(Table1[[#This Row],[Is Data Valid]]=TRUE,((Table1[[#This Row],[Birthweight (grams)]]*0.9/Table1[[#This Row],[BW_GA]])-1)/(Backend!$B$4/100*Table1[[#This Row],[BW40_3705]]),"")</f>
        <v/>
      </c>
      <c r="I7090" s="7" t="str">
        <f>IF(Table1[[#This Row],[Is Data Valid]]=TRUE,((Table1[[#This Row],[Birthweight (grams)]]*1.1/Table1[[#This Row],[BW_GA]])-1)/(Backend!$B$4/100*Table1[[#This Row],[BW40_3705]]),"")</f>
        <v/>
      </c>
      <c r="J7090" s="7" t="str">
        <f>IF(Table1[[#This Row],[Is Data Valid]]=TRUE,_xlfn.NORM.S.DIST(Table1[[#This Row],[Birthweight Z-Score]],TRUE)*100,"")</f>
        <v/>
      </c>
      <c r="K7090" s="7" t="str">
        <f>IF(Table1[[#This Row],[Is Data Valid]]=TRUE,_xlfn.NORM.S.DIST(Table1[[#This Row],[Birthweight Z-Score (BW-10%)]],TRUE)*100,"")</f>
        <v/>
      </c>
      <c r="L7090" s="7" t="str">
        <f>IF(Table1[[#This Row],[Is Data Valid]]=TRUE,_xlfn.NORM.S.DIST(Table1[[#This Row],[Birthweight Z-Score (BW+10%)]],TRUE)*100,"")</f>
        <v/>
      </c>
    </row>
    <row r="7091" spans="1:12" x14ac:dyDescent="0.35">
      <c r="A7091" s="3"/>
      <c r="B7091" s="2"/>
      <c r="C7091" s="2"/>
      <c r="D7091" s="2" t="b">
        <f>IF(AND(NOT(ISBLANK(Table1[[#This Row],[Fetal Sex (Male, Female or Unknown)]])),ISNUMBER(Table1[[#This Row],[Birthweight (grams)]]),ISNUMBER(Table1[[#This Row],[Gestation (days)]])),TRUE,FALSE)</f>
        <v>0</v>
      </c>
      <c r="E7091" s="2" t="str">
        <f>IF(Table1[[#This Row],[Is Data Valid]]=TRUE,IF(Table1[[#This Row],[Fetal Sex (Male, Female or Unknown)]]="Male",Backend!$C$6,IF(Table1[[#This Row],[Fetal Sex (Male, Female or Unknown)]]="Female",Backend!$C$7,IF(Table1[[#This Row],[Fetal Sex (Male, Female or Unknown)]]="Unknown",Backend!$C$8,"Error"))),"")</f>
        <v/>
      </c>
      <c r="F7091" s="8" t="str">
        <f>IF(Table1[[#This Row],[Is Data Valid]]=TRUE,EXP(0.578+0.332*((Table1[[#This Row],[Gestation (days)]]+0.5)/7)-0.00354*((Table1[[#This Row],[Gestation (days)]]+0.5)/7)^2)*Table1[[#This Row],[BW40_3705]],"")</f>
        <v/>
      </c>
      <c r="G7091" s="2" t="str">
        <f>IF(Table1[[#This Row],[Is Data Valid]]=TRUE,((Table1[[#This Row],[Birthweight (grams)]]/Table1[[#This Row],[BW_GA]])-1)/(Backend!$B$4/100*Table1[[#This Row],[BW40_3705]]),"")</f>
        <v/>
      </c>
      <c r="H7091" s="7" t="str">
        <f>IF(Table1[[#This Row],[Is Data Valid]]=TRUE,((Table1[[#This Row],[Birthweight (grams)]]*0.9/Table1[[#This Row],[BW_GA]])-1)/(Backend!$B$4/100*Table1[[#This Row],[BW40_3705]]),"")</f>
        <v/>
      </c>
      <c r="I7091" s="7" t="str">
        <f>IF(Table1[[#This Row],[Is Data Valid]]=TRUE,((Table1[[#This Row],[Birthweight (grams)]]*1.1/Table1[[#This Row],[BW_GA]])-1)/(Backend!$B$4/100*Table1[[#This Row],[BW40_3705]]),"")</f>
        <v/>
      </c>
      <c r="J7091" s="7" t="str">
        <f>IF(Table1[[#This Row],[Is Data Valid]]=TRUE,_xlfn.NORM.S.DIST(Table1[[#This Row],[Birthweight Z-Score]],TRUE)*100,"")</f>
        <v/>
      </c>
      <c r="K7091" s="7" t="str">
        <f>IF(Table1[[#This Row],[Is Data Valid]]=TRUE,_xlfn.NORM.S.DIST(Table1[[#This Row],[Birthweight Z-Score (BW-10%)]],TRUE)*100,"")</f>
        <v/>
      </c>
      <c r="L7091" s="7" t="str">
        <f>IF(Table1[[#This Row],[Is Data Valid]]=TRUE,_xlfn.NORM.S.DIST(Table1[[#This Row],[Birthweight Z-Score (BW+10%)]],TRUE)*100,"")</f>
        <v/>
      </c>
    </row>
    <row r="7092" spans="1:12" x14ac:dyDescent="0.35">
      <c r="A7092" s="3"/>
      <c r="B7092" s="2"/>
      <c r="C7092" s="2"/>
      <c r="D7092" s="2" t="b">
        <f>IF(AND(NOT(ISBLANK(Table1[[#This Row],[Fetal Sex (Male, Female or Unknown)]])),ISNUMBER(Table1[[#This Row],[Birthweight (grams)]]),ISNUMBER(Table1[[#This Row],[Gestation (days)]])),TRUE,FALSE)</f>
        <v>0</v>
      </c>
      <c r="E7092" s="2" t="str">
        <f>IF(Table1[[#This Row],[Is Data Valid]]=TRUE,IF(Table1[[#This Row],[Fetal Sex (Male, Female or Unknown)]]="Male",Backend!$C$6,IF(Table1[[#This Row],[Fetal Sex (Male, Female or Unknown)]]="Female",Backend!$C$7,IF(Table1[[#This Row],[Fetal Sex (Male, Female or Unknown)]]="Unknown",Backend!$C$8,"Error"))),"")</f>
        <v/>
      </c>
      <c r="F7092" s="8" t="str">
        <f>IF(Table1[[#This Row],[Is Data Valid]]=TRUE,EXP(0.578+0.332*((Table1[[#This Row],[Gestation (days)]]+0.5)/7)-0.00354*((Table1[[#This Row],[Gestation (days)]]+0.5)/7)^2)*Table1[[#This Row],[BW40_3705]],"")</f>
        <v/>
      </c>
      <c r="G7092" s="2" t="str">
        <f>IF(Table1[[#This Row],[Is Data Valid]]=TRUE,((Table1[[#This Row],[Birthweight (grams)]]/Table1[[#This Row],[BW_GA]])-1)/(Backend!$B$4/100*Table1[[#This Row],[BW40_3705]]),"")</f>
        <v/>
      </c>
      <c r="H7092" s="7" t="str">
        <f>IF(Table1[[#This Row],[Is Data Valid]]=TRUE,((Table1[[#This Row],[Birthweight (grams)]]*0.9/Table1[[#This Row],[BW_GA]])-1)/(Backend!$B$4/100*Table1[[#This Row],[BW40_3705]]),"")</f>
        <v/>
      </c>
      <c r="I7092" s="7" t="str">
        <f>IF(Table1[[#This Row],[Is Data Valid]]=TRUE,((Table1[[#This Row],[Birthweight (grams)]]*1.1/Table1[[#This Row],[BW_GA]])-1)/(Backend!$B$4/100*Table1[[#This Row],[BW40_3705]]),"")</f>
        <v/>
      </c>
      <c r="J7092" s="7" t="str">
        <f>IF(Table1[[#This Row],[Is Data Valid]]=TRUE,_xlfn.NORM.S.DIST(Table1[[#This Row],[Birthweight Z-Score]],TRUE)*100,"")</f>
        <v/>
      </c>
      <c r="K7092" s="7" t="str">
        <f>IF(Table1[[#This Row],[Is Data Valid]]=TRUE,_xlfn.NORM.S.DIST(Table1[[#This Row],[Birthweight Z-Score (BW-10%)]],TRUE)*100,"")</f>
        <v/>
      </c>
      <c r="L7092" s="7" t="str">
        <f>IF(Table1[[#This Row],[Is Data Valid]]=TRUE,_xlfn.NORM.S.DIST(Table1[[#This Row],[Birthweight Z-Score (BW+10%)]],TRUE)*100,"")</f>
        <v/>
      </c>
    </row>
    <row r="7093" spans="1:12" x14ac:dyDescent="0.35">
      <c r="A7093" s="3"/>
      <c r="B7093" s="2"/>
      <c r="C7093" s="2"/>
      <c r="D7093" s="2" t="b">
        <f>IF(AND(NOT(ISBLANK(Table1[[#This Row],[Fetal Sex (Male, Female or Unknown)]])),ISNUMBER(Table1[[#This Row],[Birthweight (grams)]]),ISNUMBER(Table1[[#This Row],[Gestation (days)]])),TRUE,FALSE)</f>
        <v>0</v>
      </c>
      <c r="E7093" s="2" t="str">
        <f>IF(Table1[[#This Row],[Is Data Valid]]=TRUE,IF(Table1[[#This Row],[Fetal Sex (Male, Female or Unknown)]]="Male",Backend!$C$6,IF(Table1[[#This Row],[Fetal Sex (Male, Female or Unknown)]]="Female",Backend!$C$7,IF(Table1[[#This Row],[Fetal Sex (Male, Female or Unknown)]]="Unknown",Backend!$C$8,"Error"))),"")</f>
        <v/>
      </c>
      <c r="F7093" s="8" t="str">
        <f>IF(Table1[[#This Row],[Is Data Valid]]=TRUE,EXP(0.578+0.332*((Table1[[#This Row],[Gestation (days)]]+0.5)/7)-0.00354*((Table1[[#This Row],[Gestation (days)]]+0.5)/7)^2)*Table1[[#This Row],[BW40_3705]],"")</f>
        <v/>
      </c>
      <c r="G7093" s="2" t="str">
        <f>IF(Table1[[#This Row],[Is Data Valid]]=TRUE,((Table1[[#This Row],[Birthweight (grams)]]/Table1[[#This Row],[BW_GA]])-1)/(Backend!$B$4/100*Table1[[#This Row],[BW40_3705]]),"")</f>
        <v/>
      </c>
      <c r="H7093" s="7" t="str">
        <f>IF(Table1[[#This Row],[Is Data Valid]]=TRUE,((Table1[[#This Row],[Birthweight (grams)]]*0.9/Table1[[#This Row],[BW_GA]])-1)/(Backend!$B$4/100*Table1[[#This Row],[BW40_3705]]),"")</f>
        <v/>
      </c>
      <c r="I7093" s="7" t="str">
        <f>IF(Table1[[#This Row],[Is Data Valid]]=TRUE,((Table1[[#This Row],[Birthweight (grams)]]*1.1/Table1[[#This Row],[BW_GA]])-1)/(Backend!$B$4/100*Table1[[#This Row],[BW40_3705]]),"")</f>
        <v/>
      </c>
      <c r="J7093" s="7" t="str">
        <f>IF(Table1[[#This Row],[Is Data Valid]]=TRUE,_xlfn.NORM.S.DIST(Table1[[#This Row],[Birthweight Z-Score]],TRUE)*100,"")</f>
        <v/>
      </c>
      <c r="K7093" s="7" t="str">
        <f>IF(Table1[[#This Row],[Is Data Valid]]=TRUE,_xlfn.NORM.S.DIST(Table1[[#This Row],[Birthweight Z-Score (BW-10%)]],TRUE)*100,"")</f>
        <v/>
      </c>
      <c r="L7093" s="7" t="str">
        <f>IF(Table1[[#This Row],[Is Data Valid]]=TRUE,_xlfn.NORM.S.DIST(Table1[[#This Row],[Birthweight Z-Score (BW+10%)]],TRUE)*100,"")</f>
        <v/>
      </c>
    </row>
    <row r="7094" spans="1:12" x14ac:dyDescent="0.35">
      <c r="A7094" s="3"/>
      <c r="B7094" s="2"/>
      <c r="C7094" s="2"/>
      <c r="D7094" s="2" t="b">
        <f>IF(AND(NOT(ISBLANK(Table1[[#This Row],[Fetal Sex (Male, Female or Unknown)]])),ISNUMBER(Table1[[#This Row],[Birthweight (grams)]]),ISNUMBER(Table1[[#This Row],[Gestation (days)]])),TRUE,FALSE)</f>
        <v>0</v>
      </c>
      <c r="E7094" s="2" t="str">
        <f>IF(Table1[[#This Row],[Is Data Valid]]=TRUE,IF(Table1[[#This Row],[Fetal Sex (Male, Female or Unknown)]]="Male",Backend!$C$6,IF(Table1[[#This Row],[Fetal Sex (Male, Female or Unknown)]]="Female",Backend!$C$7,IF(Table1[[#This Row],[Fetal Sex (Male, Female or Unknown)]]="Unknown",Backend!$C$8,"Error"))),"")</f>
        <v/>
      </c>
      <c r="F7094" s="8" t="str">
        <f>IF(Table1[[#This Row],[Is Data Valid]]=TRUE,EXP(0.578+0.332*((Table1[[#This Row],[Gestation (days)]]+0.5)/7)-0.00354*((Table1[[#This Row],[Gestation (days)]]+0.5)/7)^2)*Table1[[#This Row],[BW40_3705]],"")</f>
        <v/>
      </c>
      <c r="G7094" s="2" t="str">
        <f>IF(Table1[[#This Row],[Is Data Valid]]=TRUE,((Table1[[#This Row],[Birthweight (grams)]]/Table1[[#This Row],[BW_GA]])-1)/(Backend!$B$4/100*Table1[[#This Row],[BW40_3705]]),"")</f>
        <v/>
      </c>
      <c r="H7094" s="7" t="str">
        <f>IF(Table1[[#This Row],[Is Data Valid]]=TRUE,((Table1[[#This Row],[Birthweight (grams)]]*0.9/Table1[[#This Row],[BW_GA]])-1)/(Backend!$B$4/100*Table1[[#This Row],[BW40_3705]]),"")</f>
        <v/>
      </c>
      <c r="I7094" s="7" t="str">
        <f>IF(Table1[[#This Row],[Is Data Valid]]=TRUE,((Table1[[#This Row],[Birthweight (grams)]]*1.1/Table1[[#This Row],[BW_GA]])-1)/(Backend!$B$4/100*Table1[[#This Row],[BW40_3705]]),"")</f>
        <v/>
      </c>
      <c r="J7094" s="7" t="str">
        <f>IF(Table1[[#This Row],[Is Data Valid]]=TRUE,_xlfn.NORM.S.DIST(Table1[[#This Row],[Birthweight Z-Score]],TRUE)*100,"")</f>
        <v/>
      </c>
      <c r="K7094" s="7" t="str">
        <f>IF(Table1[[#This Row],[Is Data Valid]]=TRUE,_xlfn.NORM.S.DIST(Table1[[#This Row],[Birthweight Z-Score (BW-10%)]],TRUE)*100,"")</f>
        <v/>
      </c>
      <c r="L7094" s="7" t="str">
        <f>IF(Table1[[#This Row],[Is Data Valid]]=TRUE,_xlfn.NORM.S.DIST(Table1[[#This Row],[Birthweight Z-Score (BW+10%)]],TRUE)*100,"")</f>
        <v/>
      </c>
    </row>
    <row r="7095" spans="1:12" x14ac:dyDescent="0.35">
      <c r="A7095" s="3"/>
      <c r="B7095" s="2"/>
      <c r="C7095" s="2"/>
      <c r="D7095" s="2" t="b">
        <f>IF(AND(NOT(ISBLANK(Table1[[#This Row],[Fetal Sex (Male, Female or Unknown)]])),ISNUMBER(Table1[[#This Row],[Birthweight (grams)]]),ISNUMBER(Table1[[#This Row],[Gestation (days)]])),TRUE,FALSE)</f>
        <v>0</v>
      </c>
      <c r="E7095" s="2" t="str">
        <f>IF(Table1[[#This Row],[Is Data Valid]]=TRUE,IF(Table1[[#This Row],[Fetal Sex (Male, Female or Unknown)]]="Male",Backend!$C$6,IF(Table1[[#This Row],[Fetal Sex (Male, Female or Unknown)]]="Female",Backend!$C$7,IF(Table1[[#This Row],[Fetal Sex (Male, Female or Unknown)]]="Unknown",Backend!$C$8,"Error"))),"")</f>
        <v/>
      </c>
      <c r="F7095" s="8" t="str">
        <f>IF(Table1[[#This Row],[Is Data Valid]]=TRUE,EXP(0.578+0.332*((Table1[[#This Row],[Gestation (days)]]+0.5)/7)-0.00354*((Table1[[#This Row],[Gestation (days)]]+0.5)/7)^2)*Table1[[#This Row],[BW40_3705]],"")</f>
        <v/>
      </c>
      <c r="G7095" s="2" t="str">
        <f>IF(Table1[[#This Row],[Is Data Valid]]=TRUE,((Table1[[#This Row],[Birthweight (grams)]]/Table1[[#This Row],[BW_GA]])-1)/(Backend!$B$4/100*Table1[[#This Row],[BW40_3705]]),"")</f>
        <v/>
      </c>
      <c r="H7095" s="7" t="str">
        <f>IF(Table1[[#This Row],[Is Data Valid]]=TRUE,((Table1[[#This Row],[Birthweight (grams)]]*0.9/Table1[[#This Row],[BW_GA]])-1)/(Backend!$B$4/100*Table1[[#This Row],[BW40_3705]]),"")</f>
        <v/>
      </c>
      <c r="I7095" s="7" t="str">
        <f>IF(Table1[[#This Row],[Is Data Valid]]=TRUE,((Table1[[#This Row],[Birthweight (grams)]]*1.1/Table1[[#This Row],[BW_GA]])-1)/(Backend!$B$4/100*Table1[[#This Row],[BW40_3705]]),"")</f>
        <v/>
      </c>
      <c r="J7095" s="7" t="str">
        <f>IF(Table1[[#This Row],[Is Data Valid]]=TRUE,_xlfn.NORM.S.DIST(Table1[[#This Row],[Birthweight Z-Score]],TRUE)*100,"")</f>
        <v/>
      </c>
      <c r="K7095" s="7" t="str">
        <f>IF(Table1[[#This Row],[Is Data Valid]]=TRUE,_xlfn.NORM.S.DIST(Table1[[#This Row],[Birthweight Z-Score (BW-10%)]],TRUE)*100,"")</f>
        <v/>
      </c>
      <c r="L7095" s="7" t="str">
        <f>IF(Table1[[#This Row],[Is Data Valid]]=TRUE,_xlfn.NORM.S.DIST(Table1[[#This Row],[Birthweight Z-Score (BW+10%)]],TRUE)*100,"")</f>
        <v/>
      </c>
    </row>
    <row r="7096" spans="1:12" x14ac:dyDescent="0.35">
      <c r="A7096" s="3"/>
      <c r="B7096" s="2"/>
      <c r="C7096" s="2"/>
      <c r="D7096" s="2" t="b">
        <f>IF(AND(NOT(ISBLANK(Table1[[#This Row],[Fetal Sex (Male, Female or Unknown)]])),ISNUMBER(Table1[[#This Row],[Birthweight (grams)]]),ISNUMBER(Table1[[#This Row],[Gestation (days)]])),TRUE,FALSE)</f>
        <v>0</v>
      </c>
      <c r="E7096" s="2" t="str">
        <f>IF(Table1[[#This Row],[Is Data Valid]]=TRUE,IF(Table1[[#This Row],[Fetal Sex (Male, Female or Unknown)]]="Male",Backend!$C$6,IF(Table1[[#This Row],[Fetal Sex (Male, Female or Unknown)]]="Female",Backend!$C$7,IF(Table1[[#This Row],[Fetal Sex (Male, Female or Unknown)]]="Unknown",Backend!$C$8,"Error"))),"")</f>
        <v/>
      </c>
      <c r="F7096" s="8" t="str">
        <f>IF(Table1[[#This Row],[Is Data Valid]]=TRUE,EXP(0.578+0.332*((Table1[[#This Row],[Gestation (days)]]+0.5)/7)-0.00354*((Table1[[#This Row],[Gestation (days)]]+0.5)/7)^2)*Table1[[#This Row],[BW40_3705]],"")</f>
        <v/>
      </c>
      <c r="G7096" s="2" t="str">
        <f>IF(Table1[[#This Row],[Is Data Valid]]=TRUE,((Table1[[#This Row],[Birthweight (grams)]]/Table1[[#This Row],[BW_GA]])-1)/(Backend!$B$4/100*Table1[[#This Row],[BW40_3705]]),"")</f>
        <v/>
      </c>
      <c r="H7096" s="7" t="str">
        <f>IF(Table1[[#This Row],[Is Data Valid]]=TRUE,((Table1[[#This Row],[Birthweight (grams)]]*0.9/Table1[[#This Row],[BW_GA]])-1)/(Backend!$B$4/100*Table1[[#This Row],[BW40_3705]]),"")</f>
        <v/>
      </c>
      <c r="I7096" s="7" t="str">
        <f>IF(Table1[[#This Row],[Is Data Valid]]=TRUE,((Table1[[#This Row],[Birthweight (grams)]]*1.1/Table1[[#This Row],[BW_GA]])-1)/(Backend!$B$4/100*Table1[[#This Row],[BW40_3705]]),"")</f>
        <v/>
      </c>
      <c r="J7096" s="7" t="str">
        <f>IF(Table1[[#This Row],[Is Data Valid]]=TRUE,_xlfn.NORM.S.DIST(Table1[[#This Row],[Birthweight Z-Score]],TRUE)*100,"")</f>
        <v/>
      </c>
      <c r="K7096" s="7" t="str">
        <f>IF(Table1[[#This Row],[Is Data Valid]]=TRUE,_xlfn.NORM.S.DIST(Table1[[#This Row],[Birthweight Z-Score (BW-10%)]],TRUE)*100,"")</f>
        <v/>
      </c>
      <c r="L7096" s="7" t="str">
        <f>IF(Table1[[#This Row],[Is Data Valid]]=TRUE,_xlfn.NORM.S.DIST(Table1[[#This Row],[Birthweight Z-Score (BW+10%)]],TRUE)*100,"")</f>
        <v/>
      </c>
    </row>
    <row r="7097" spans="1:12" x14ac:dyDescent="0.35">
      <c r="A7097" s="3"/>
      <c r="B7097" s="2"/>
      <c r="C7097" s="2"/>
      <c r="D7097" s="2" t="b">
        <f>IF(AND(NOT(ISBLANK(Table1[[#This Row],[Fetal Sex (Male, Female or Unknown)]])),ISNUMBER(Table1[[#This Row],[Birthweight (grams)]]),ISNUMBER(Table1[[#This Row],[Gestation (days)]])),TRUE,FALSE)</f>
        <v>0</v>
      </c>
      <c r="E7097" s="2" t="str">
        <f>IF(Table1[[#This Row],[Is Data Valid]]=TRUE,IF(Table1[[#This Row],[Fetal Sex (Male, Female or Unknown)]]="Male",Backend!$C$6,IF(Table1[[#This Row],[Fetal Sex (Male, Female or Unknown)]]="Female",Backend!$C$7,IF(Table1[[#This Row],[Fetal Sex (Male, Female or Unknown)]]="Unknown",Backend!$C$8,"Error"))),"")</f>
        <v/>
      </c>
      <c r="F7097" s="8" t="str">
        <f>IF(Table1[[#This Row],[Is Data Valid]]=TRUE,EXP(0.578+0.332*((Table1[[#This Row],[Gestation (days)]]+0.5)/7)-0.00354*((Table1[[#This Row],[Gestation (days)]]+0.5)/7)^2)*Table1[[#This Row],[BW40_3705]],"")</f>
        <v/>
      </c>
      <c r="G7097" s="2" t="str">
        <f>IF(Table1[[#This Row],[Is Data Valid]]=TRUE,((Table1[[#This Row],[Birthweight (grams)]]/Table1[[#This Row],[BW_GA]])-1)/(Backend!$B$4/100*Table1[[#This Row],[BW40_3705]]),"")</f>
        <v/>
      </c>
      <c r="H7097" s="7" t="str">
        <f>IF(Table1[[#This Row],[Is Data Valid]]=TRUE,((Table1[[#This Row],[Birthweight (grams)]]*0.9/Table1[[#This Row],[BW_GA]])-1)/(Backend!$B$4/100*Table1[[#This Row],[BW40_3705]]),"")</f>
        <v/>
      </c>
      <c r="I7097" s="7" t="str">
        <f>IF(Table1[[#This Row],[Is Data Valid]]=TRUE,((Table1[[#This Row],[Birthweight (grams)]]*1.1/Table1[[#This Row],[BW_GA]])-1)/(Backend!$B$4/100*Table1[[#This Row],[BW40_3705]]),"")</f>
        <v/>
      </c>
      <c r="J7097" s="7" t="str">
        <f>IF(Table1[[#This Row],[Is Data Valid]]=TRUE,_xlfn.NORM.S.DIST(Table1[[#This Row],[Birthweight Z-Score]],TRUE)*100,"")</f>
        <v/>
      </c>
      <c r="K7097" s="7" t="str">
        <f>IF(Table1[[#This Row],[Is Data Valid]]=TRUE,_xlfn.NORM.S.DIST(Table1[[#This Row],[Birthweight Z-Score (BW-10%)]],TRUE)*100,"")</f>
        <v/>
      </c>
      <c r="L7097" s="7" t="str">
        <f>IF(Table1[[#This Row],[Is Data Valid]]=TRUE,_xlfn.NORM.S.DIST(Table1[[#This Row],[Birthweight Z-Score (BW+10%)]],TRUE)*100,"")</f>
        <v/>
      </c>
    </row>
    <row r="7098" spans="1:12" x14ac:dyDescent="0.35">
      <c r="A7098" s="3"/>
      <c r="B7098" s="2"/>
      <c r="C7098" s="2"/>
      <c r="D7098" s="2" t="b">
        <f>IF(AND(NOT(ISBLANK(Table1[[#This Row],[Fetal Sex (Male, Female or Unknown)]])),ISNUMBER(Table1[[#This Row],[Birthweight (grams)]]),ISNUMBER(Table1[[#This Row],[Gestation (days)]])),TRUE,FALSE)</f>
        <v>0</v>
      </c>
      <c r="E7098" s="2" t="str">
        <f>IF(Table1[[#This Row],[Is Data Valid]]=TRUE,IF(Table1[[#This Row],[Fetal Sex (Male, Female or Unknown)]]="Male",Backend!$C$6,IF(Table1[[#This Row],[Fetal Sex (Male, Female or Unknown)]]="Female",Backend!$C$7,IF(Table1[[#This Row],[Fetal Sex (Male, Female or Unknown)]]="Unknown",Backend!$C$8,"Error"))),"")</f>
        <v/>
      </c>
      <c r="F7098" s="8" t="str">
        <f>IF(Table1[[#This Row],[Is Data Valid]]=TRUE,EXP(0.578+0.332*((Table1[[#This Row],[Gestation (days)]]+0.5)/7)-0.00354*((Table1[[#This Row],[Gestation (days)]]+0.5)/7)^2)*Table1[[#This Row],[BW40_3705]],"")</f>
        <v/>
      </c>
      <c r="G7098" s="2" t="str">
        <f>IF(Table1[[#This Row],[Is Data Valid]]=TRUE,((Table1[[#This Row],[Birthweight (grams)]]/Table1[[#This Row],[BW_GA]])-1)/(Backend!$B$4/100*Table1[[#This Row],[BW40_3705]]),"")</f>
        <v/>
      </c>
      <c r="H7098" s="7" t="str">
        <f>IF(Table1[[#This Row],[Is Data Valid]]=TRUE,((Table1[[#This Row],[Birthweight (grams)]]*0.9/Table1[[#This Row],[BW_GA]])-1)/(Backend!$B$4/100*Table1[[#This Row],[BW40_3705]]),"")</f>
        <v/>
      </c>
      <c r="I7098" s="7" t="str">
        <f>IF(Table1[[#This Row],[Is Data Valid]]=TRUE,((Table1[[#This Row],[Birthweight (grams)]]*1.1/Table1[[#This Row],[BW_GA]])-1)/(Backend!$B$4/100*Table1[[#This Row],[BW40_3705]]),"")</f>
        <v/>
      </c>
      <c r="J7098" s="7" t="str">
        <f>IF(Table1[[#This Row],[Is Data Valid]]=TRUE,_xlfn.NORM.S.DIST(Table1[[#This Row],[Birthweight Z-Score]],TRUE)*100,"")</f>
        <v/>
      </c>
      <c r="K7098" s="7" t="str">
        <f>IF(Table1[[#This Row],[Is Data Valid]]=TRUE,_xlfn.NORM.S.DIST(Table1[[#This Row],[Birthweight Z-Score (BW-10%)]],TRUE)*100,"")</f>
        <v/>
      </c>
      <c r="L7098" s="7" t="str">
        <f>IF(Table1[[#This Row],[Is Data Valid]]=TRUE,_xlfn.NORM.S.DIST(Table1[[#This Row],[Birthweight Z-Score (BW+10%)]],TRUE)*100,"")</f>
        <v/>
      </c>
    </row>
    <row r="7099" spans="1:12" x14ac:dyDescent="0.35">
      <c r="A7099" s="3"/>
      <c r="B7099" s="2"/>
      <c r="C7099" s="2"/>
      <c r="D7099" s="2" t="b">
        <f>IF(AND(NOT(ISBLANK(Table1[[#This Row],[Fetal Sex (Male, Female or Unknown)]])),ISNUMBER(Table1[[#This Row],[Birthweight (grams)]]),ISNUMBER(Table1[[#This Row],[Gestation (days)]])),TRUE,FALSE)</f>
        <v>0</v>
      </c>
      <c r="E7099" s="2" t="str">
        <f>IF(Table1[[#This Row],[Is Data Valid]]=TRUE,IF(Table1[[#This Row],[Fetal Sex (Male, Female or Unknown)]]="Male",Backend!$C$6,IF(Table1[[#This Row],[Fetal Sex (Male, Female or Unknown)]]="Female",Backend!$C$7,IF(Table1[[#This Row],[Fetal Sex (Male, Female or Unknown)]]="Unknown",Backend!$C$8,"Error"))),"")</f>
        <v/>
      </c>
      <c r="F7099" s="8" t="str">
        <f>IF(Table1[[#This Row],[Is Data Valid]]=TRUE,EXP(0.578+0.332*((Table1[[#This Row],[Gestation (days)]]+0.5)/7)-0.00354*((Table1[[#This Row],[Gestation (days)]]+0.5)/7)^2)*Table1[[#This Row],[BW40_3705]],"")</f>
        <v/>
      </c>
      <c r="G7099" s="2" t="str">
        <f>IF(Table1[[#This Row],[Is Data Valid]]=TRUE,((Table1[[#This Row],[Birthweight (grams)]]/Table1[[#This Row],[BW_GA]])-1)/(Backend!$B$4/100*Table1[[#This Row],[BW40_3705]]),"")</f>
        <v/>
      </c>
      <c r="H7099" s="7" t="str">
        <f>IF(Table1[[#This Row],[Is Data Valid]]=TRUE,((Table1[[#This Row],[Birthweight (grams)]]*0.9/Table1[[#This Row],[BW_GA]])-1)/(Backend!$B$4/100*Table1[[#This Row],[BW40_3705]]),"")</f>
        <v/>
      </c>
      <c r="I7099" s="7" t="str">
        <f>IF(Table1[[#This Row],[Is Data Valid]]=TRUE,((Table1[[#This Row],[Birthweight (grams)]]*1.1/Table1[[#This Row],[BW_GA]])-1)/(Backend!$B$4/100*Table1[[#This Row],[BW40_3705]]),"")</f>
        <v/>
      </c>
      <c r="J7099" s="7" t="str">
        <f>IF(Table1[[#This Row],[Is Data Valid]]=TRUE,_xlfn.NORM.S.DIST(Table1[[#This Row],[Birthweight Z-Score]],TRUE)*100,"")</f>
        <v/>
      </c>
      <c r="K7099" s="7" t="str">
        <f>IF(Table1[[#This Row],[Is Data Valid]]=TRUE,_xlfn.NORM.S.DIST(Table1[[#This Row],[Birthweight Z-Score (BW-10%)]],TRUE)*100,"")</f>
        <v/>
      </c>
      <c r="L7099" s="7" t="str">
        <f>IF(Table1[[#This Row],[Is Data Valid]]=TRUE,_xlfn.NORM.S.DIST(Table1[[#This Row],[Birthweight Z-Score (BW+10%)]],TRUE)*100,"")</f>
        <v/>
      </c>
    </row>
    <row r="7100" spans="1:12" x14ac:dyDescent="0.35">
      <c r="A7100" s="3"/>
      <c r="B7100" s="2"/>
      <c r="C7100" s="2"/>
      <c r="D7100" s="2" t="b">
        <f>IF(AND(NOT(ISBLANK(Table1[[#This Row],[Fetal Sex (Male, Female or Unknown)]])),ISNUMBER(Table1[[#This Row],[Birthweight (grams)]]),ISNUMBER(Table1[[#This Row],[Gestation (days)]])),TRUE,FALSE)</f>
        <v>0</v>
      </c>
      <c r="E7100" s="2" t="str">
        <f>IF(Table1[[#This Row],[Is Data Valid]]=TRUE,IF(Table1[[#This Row],[Fetal Sex (Male, Female or Unknown)]]="Male",Backend!$C$6,IF(Table1[[#This Row],[Fetal Sex (Male, Female or Unknown)]]="Female",Backend!$C$7,IF(Table1[[#This Row],[Fetal Sex (Male, Female or Unknown)]]="Unknown",Backend!$C$8,"Error"))),"")</f>
        <v/>
      </c>
      <c r="F7100" s="8" t="str">
        <f>IF(Table1[[#This Row],[Is Data Valid]]=TRUE,EXP(0.578+0.332*((Table1[[#This Row],[Gestation (days)]]+0.5)/7)-0.00354*((Table1[[#This Row],[Gestation (days)]]+0.5)/7)^2)*Table1[[#This Row],[BW40_3705]],"")</f>
        <v/>
      </c>
      <c r="G7100" s="2" t="str">
        <f>IF(Table1[[#This Row],[Is Data Valid]]=TRUE,((Table1[[#This Row],[Birthweight (grams)]]/Table1[[#This Row],[BW_GA]])-1)/(Backend!$B$4/100*Table1[[#This Row],[BW40_3705]]),"")</f>
        <v/>
      </c>
      <c r="H7100" s="7" t="str">
        <f>IF(Table1[[#This Row],[Is Data Valid]]=TRUE,((Table1[[#This Row],[Birthweight (grams)]]*0.9/Table1[[#This Row],[BW_GA]])-1)/(Backend!$B$4/100*Table1[[#This Row],[BW40_3705]]),"")</f>
        <v/>
      </c>
      <c r="I7100" s="7" t="str">
        <f>IF(Table1[[#This Row],[Is Data Valid]]=TRUE,((Table1[[#This Row],[Birthweight (grams)]]*1.1/Table1[[#This Row],[BW_GA]])-1)/(Backend!$B$4/100*Table1[[#This Row],[BW40_3705]]),"")</f>
        <v/>
      </c>
      <c r="J7100" s="7" t="str">
        <f>IF(Table1[[#This Row],[Is Data Valid]]=TRUE,_xlfn.NORM.S.DIST(Table1[[#This Row],[Birthweight Z-Score]],TRUE)*100,"")</f>
        <v/>
      </c>
      <c r="K7100" s="7" t="str">
        <f>IF(Table1[[#This Row],[Is Data Valid]]=TRUE,_xlfn.NORM.S.DIST(Table1[[#This Row],[Birthweight Z-Score (BW-10%)]],TRUE)*100,"")</f>
        <v/>
      </c>
      <c r="L7100" s="7" t="str">
        <f>IF(Table1[[#This Row],[Is Data Valid]]=TRUE,_xlfn.NORM.S.DIST(Table1[[#This Row],[Birthweight Z-Score (BW+10%)]],TRUE)*100,"")</f>
        <v/>
      </c>
    </row>
    <row r="7101" spans="1:12" x14ac:dyDescent="0.35">
      <c r="A7101" s="3"/>
      <c r="B7101" s="2"/>
      <c r="C7101" s="2"/>
      <c r="D7101" s="2" t="b">
        <f>IF(AND(NOT(ISBLANK(Table1[[#This Row],[Fetal Sex (Male, Female or Unknown)]])),ISNUMBER(Table1[[#This Row],[Birthweight (grams)]]),ISNUMBER(Table1[[#This Row],[Gestation (days)]])),TRUE,FALSE)</f>
        <v>0</v>
      </c>
      <c r="E7101" s="2" t="str">
        <f>IF(Table1[[#This Row],[Is Data Valid]]=TRUE,IF(Table1[[#This Row],[Fetal Sex (Male, Female or Unknown)]]="Male",Backend!$C$6,IF(Table1[[#This Row],[Fetal Sex (Male, Female or Unknown)]]="Female",Backend!$C$7,IF(Table1[[#This Row],[Fetal Sex (Male, Female or Unknown)]]="Unknown",Backend!$C$8,"Error"))),"")</f>
        <v/>
      </c>
      <c r="F7101" s="8" t="str">
        <f>IF(Table1[[#This Row],[Is Data Valid]]=TRUE,EXP(0.578+0.332*((Table1[[#This Row],[Gestation (days)]]+0.5)/7)-0.00354*((Table1[[#This Row],[Gestation (days)]]+0.5)/7)^2)*Table1[[#This Row],[BW40_3705]],"")</f>
        <v/>
      </c>
      <c r="G7101" s="2" t="str">
        <f>IF(Table1[[#This Row],[Is Data Valid]]=TRUE,((Table1[[#This Row],[Birthweight (grams)]]/Table1[[#This Row],[BW_GA]])-1)/(Backend!$B$4/100*Table1[[#This Row],[BW40_3705]]),"")</f>
        <v/>
      </c>
      <c r="H7101" s="7" t="str">
        <f>IF(Table1[[#This Row],[Is Data Valid]]=TRUE,((Table1[[#This Row],[Birthweight (grams)]]*0.9/Table1[[#This Row],[BW_GA]])-1)/(Backend!$B$4/100*Table1[[#This Row],[BW40_3705]]),"")</f>
        <v/>
      </c>
      <c r="I7101" s="7" t="str">
        <f>IF(Table1[[#This Row],[Is Data Valid]]=TRUE,((Table1[[#This Row],[Birthweight (grams)]]*1.1/Table1[[#This Row],[BW_GA]])-1)/(Backend!$B$4/100*Table1[[#This Row],[BW40_3705]]),"")</f>
        <v/>
      </c>
      <c r="J7101" s="7" t="str">
        <f>IF(Table1[[#This Row],[Is Data Valid]]=TRUE,_xlfn.NORM.S.DIST(Table1[[#This Row],[Birthweight Z-Score]],TRUE)*100,"")</f>
        <v/>
      </c>
      <c r="K7101" s="7" t="str">
        <f>IF(Table1[[#This Row],[Is Data Valid]]=TRUE,_xlfn.NORM.S.DIST(Table1[[#This Row],[Birthweight Z-Score (BW-10%)]],TRUE)*100,"")</f>
        <v/>
      </c>
      <c r="L7101" s="7" t="str">
        <f>IF(Table1[[#This Row],[Is Data Valid]]=TRUE,_xlfn.NORM.S.DIST(Table1[[#This Row],[Birthweight Z-Score (BW+10%)]],TRUE)*100,"")</f>
        <v/>
      </c>
    </row>
    <row r="7102" spans="1:12" x14ac:dyDescent="0.35">
      <c r="A7102" s="3"/>
      <c r="B7102" s="2"/>
      <c r="C7102" s="2"/>
      <c r="D7102" s="2" t="b">
        <f>IF(AND(NOT(ISBLANK(Table1[[#This Row],[Fetal Sex (Male, Female or Unknown)]])),ISNUMBER(Table1[[#This Row],[Birthweight (grams)]]),ISNUMBER(Table1[[#This Row],[Gestation (days)]])),TRUE,FALSE)</f>
        <v>0</v>
      </c>
      <c r="E7102" s="2" t="str">
        <f>IF(Table1[[#This Row],[Is Data Valid]]=TRUE,IF(Table1[[#This Row],[Fetal Sex (Male, Female or Unknown)]]="Male",Backend!$C$6,IF(Table1[[#This Row],[Fetal Sex (Male, Female or Unknown)]]="Female",Backend!$C$7,IF(Table1[[#This Row],[Fetal Sex (Male, Female or Unknown)]]="Unknown",Backend!$C$8,"Error"))),"")</f>
        <v/>
      </c>
      <c r="F7102" s="8" t="str">
        <f>IF(Table1[[#This Row],[Is Data Valid]]=TRUE,EXP(0.578+0.332*((Table1[[#This Row],[Gestation (days)]]+0.5)/7)-0.00354*((Table1[[#This Row],[Gestation (days)]]+0.5)/7)^2)*Table1[[#This Row],[BW40_3705]],"")</f>
        <v/>
      </c>
      <c r="G7102" s="2" t="str">
        <f>IF(Table1[[#This Row],[Is Data Valid]]=TRUE,((Table1[[#This Row],[Birthweight (grams)]]/Table1[[#This Row],[BW_GA]])-1)/(Backend!$B$4/100*Table1[[#This Row],[BW40_3705]]),"")</f>
        <v/>
      </c>
      <c r="H7102" s="7" t="str">
        <f>IF(Table1[[#This Row],[Is Data Valid]]=TRUE,((Table1[[#This Row],[Birthweight (grams)]]*0.9/Table1[[#This Row],[BW_GA]])-1)/(Backend!$B$4/100*Table1[[#This Row],[BW40_3705]]),"")</f>
        <v/>
      </c>
      <c r="I7102" s="7" t="str">
        <f>IF(Table1[[#This Row],[Is Data Valid]]=TRUE,((Table1[[#This Row],[Birthweight (grams)]]*1.1/Table1[[#This Row],[BW_GA]])-1)/(Backend!$B$4/100*Table1[[#This Row],[BW40_3705]]),"")</f>
        <v/>
      </c>
      <c r="J7102" s="7" t="str">
        <f>IF(Table1[[#This Row],[Is Data Valid]]=TRUE,_xlfn.NORM.S.DIST(Table1[[#This Row],[Birthweight Z-Score]],TRUE)*100,"")</f>
        <v/>
      </c>
      <c r="K7102" s="7" t="str">
        <f>IF(Table1[[#This Row],[Is Data Valid]]=TRUE,_xlfn.NORM.S.DIST(Table1[[#This Row],[Birthweight Z-Score (BW-10%)]],TRUE)*100,"")</f>
        <v/>
      </c>
      <c r="L7102" s="7" t="str">
        <f>IF(Table1[[#This Row],[Is Data Valid]]=TRUE,_xlfn.NORM.S.DIST(Table1[[#This Row],[Birthweight Z-Score (BW+10%)]],TRUE)*100,"")</f>
        <v/>
      </c>
    </row>
    <row r="7103" spans="1:12" x14ac:dyDescent="0.35">
      <c r="A7103" s="3"/>
      <c r="B7103" s="2"/>
      <c r="C7103" s="2"/>
      <c r="D7103" s="2" t="b">
        <f>IF(AND(NOT(ISBLANK(Table1[[#This Row],[Fetal Sex (Male, Female or Unknown)]])),ISNUMBER(Table1[[#This Row],[Birthweight (grams)]]),ISNUMBER(Table1[[#This Row],[Gestation (days)]])),TRUE,FALSE)</f>
        <v>0</v>
      </c>
      <c r="E7103" s="2" t="str">
        <f>IF(Table1[[#This Row],[Is Data Valid]]=TRUE,IF(Table1[[#This Row],[Fetal Sex (Male, Female or Unknown)]]="Male",Backend!$C$6,IF(Table1[[#This Row],[Fetal Sex (Male, Female or Unknown)]]="Female",Backend!$C$7,IF(Table1[[#This Row],[Fetal Sex (Male, Female or Unknown)]]="Unknown",Backend!$C$8,"Error"))),"")</f>
        <v/>
      </c>
      <c r="F7103" s="8" t="str">
        <f>IF(Table1[[#This Row],[Is Data Valid]]=TRUE,EXP(0.578+0.332*((Table1[[#This Row],[Gestation (days)]]+0.5)/7)-0.00354*((Table1[[#This Row],[Gestation (days)]]+0.5)/7)^2)*Table1[[#This Row],[BW40_3705]],"")</f>
        <v/>
      </c>
      <c r="G7103" s="2" t="str">
        <f>IF(Table1[[#This Row],[Is Data Valid]]=TRUE,((Table1[[#This Row],[Birthweight (grams)]]/Table1[[#This Row],[BW_GA]])-1)/(Backend!$B$4/100*Table1[[#This Row],[BW40_3705]]),"")</f>
        <v/>
      </c>
      <c r="H7103" s="7" t="str">
        <f>IF(Table1[[#This Row],[Is Data Valid]]=TRUE,((Table1[[#This Row],[Birthweight (grams)]]*0.9/Table1[[#This Row],[BW_GA]])-1)/(Backend!$B$4/100*Table1[[#This Row],[BW40_3705]]),"")</f>
        <v/>
      </c>
      <c r="I7103" s="7" t="str">
        <f>IF(Table1[[#This Row],[Is Data Valid]]=TRUE,((Table1[[#This Row],[Birthweight (grams)]]*1.1/Table1[[#This Row],[BW_GA]])-1)/(Backend!$B$4/100*Table1[[#This Row],[BW40_3705]]),"")</f>
        <v/>
      </c>
      <c r="J7103" s="7" t="str">
        <f>IF(Table1[[#This Row],[Is Data Valid]]=TRUE,_xlfn.NORM.S.DIST(Table1[[#This Row],[Birthweight Z-Score]],TRUE)*100,"")</f>
        <v/>
      </c>
      <c r="K7103" s="7" t="str">
        <f>IF(Table1[[#This Row],[Is Data Valid]]=TRUE,_xlfn.NORM.S.DIST(Table1[[#This Row],[Birthweight Z-Score (BW-10%)]],TRUE)*100,"")</f>
        <v/>
      </c>
      <c r="L7103" s="7" t="str">
        <f>IF(Table1[[#This Row],[Is Data Valid]]=TRUE,_xlfn.NORM.S.DIST(Table1[[#This Row],[Birthweight Z-Score (BW+10%)]],TRUE)*100,"")</f>
        <v/>
      </c>
    </row>
    <row r="7104" spans="1:12" x14ac:dyDescent="0.35">
      <c r="A7104" s="3"/>
      <c r="B7104" s="2"/>
      <c r="C7104" s="2"/>
      <c r="D7104" s="2" t="b">
        <f>IF(AND(NOT(ISBLANK(Table1[[#This Row],[Fetal Sex (Male, Female or Unknown)]])),ISNUMBER(Table1[[#This Row],[Birthweight (grams)]]),ISNUMBER(Table1[[#This Row],[Gestation (days)]])),TRUE,FALSE)</f>
        <v>0</v>
      </c>
      <c r="E7104" s="2" t="str">
        <f>IF(Table1[[#This Row],[Is Data Valid]]=TRUE,IF(Table1[[#This Row],[Fetal Sex (Male, Female or Unknown)]]="Male",Backend!$C$6,IF(Table1[[#This Row],[Fetal Sex (Male, Female or Unknown)]]="Female",Backend!$C$7,IF(Table1[[#This Row],[Fetal Sex (Male, Female or Unknown)]]="Unknown",Backend!$C$8,"Error"))),"")</f>
        <v/>
      </c>
      <c r="F7104" s="8" t="str">
        <f>IF(Table1[[#This Row],[Is Data Valid]]=TRUE,EXP(0.578+0.332*((Table1[[#This Row],[Gestation (days)]]+0.5)/7)-0.00354*((Table1[[#This Row],[Gestation (days)]]+0.5)/7)^2)*Table1[[#This Row],[BW40_3705]],"")</f>
        <v/>
      </c>
      <c r="G7104" s="2" t="str">
        <f>IF(Table1[[#This Row],[Is Data Valid]]=TRUE,((Table1[[#This Row],[Birthweight (grams)]]/Table1[[#This Row],[BW_GA]])-1)/(Backend!$B$4/100*Table1[[#This Row],[BW40_3705]]),"")</f>
        <v/>
      </c>
      <c r="H7104" s="7" t="str">
        <f>IF(Table1[[#This Row],[Is Data Valid]]=TRUE,((Table1[[#This Row],[Birthweight (grams)]]*0.9/Table1[[#This Row],[BW_GA]])-1)/(Backend!$B$4/100*Table1[[#This Row],[BW40_3705]]),"")</f>
        <v/>
      </c>
      <c r="I7104" s="7" t="str">
        <f>IF(Table1[[#This Row],[Is Data Valid]]=TRUE,((Table1[[#This Row],[Birthweight (grams)]]*1.1/Table1[[#This Row],[BW_GA]])-1)/(Backend!$B$4/100*Table1[[#This Row],[BW40_3705]]),"")</f>
        <v/>
      </c>
      <c r="J7104" s="7" t="str">
        <f>IF(Table1[[#This Row],[Is Data Valid]]=TRUE,_xlfn.NORM.S.DIST(Table1[[#This Row],[Birthweight Z-Score]],TRUE)*100,"")</f>
        <v/>
      </c>
      <c r="K7104" s="7" t="str">
        <f>IF(Table1[[#This Row],[Is Data Valid]]=TRUE,_xlfn.NORM.S.DIST(Table1[[#This Row],[Birthweight Z-Score (BW-10%)]],TRUE)*100,"")</f>
        <v/>
      </c>
      <c r="L7104" s="7" t="str">
        <f>IF(Table1[[#This Row],[Is Data Valid]]=TRUE,_xlfn.NORM.S.DIST(Table1[[#This Row],[Birthweight Z-Score (BW+10%)]],TRUE)*100,"")</f>
        <v/>
      </c>
    </row>
    <row r="7105" spans="1:12" x14ac:dyDescent="0.35">
      <c r="A7105" s="3"/>
      <c r="B7105" s="2"/>
      <c r="C7105" s="2"/>
      <c r="D7105" s="2" t="b">
        <f>IF(AND(NOT(ISBLANK(Table1[[#This Row],[Fetal Sex (Male, Female or Unknown)]])),ISNUMBER(Table1[[#This Row],[Birthweight (grams)]]),ISNUMBER(Table1[[#This Row],[Gestation (days)]])),TRUE,FALSE)</f>
        <v>0</v>
      </c>
      <c r="E7105" s="2" t="str">
        <f>IF(Table1[[#This Row],[Is Data Valid]]=TRUE,IF(Table1[[#This Row],[Fetal Sex (Male, Female or Unknown)]]="Male",Backend!$C$6,IF(Table1[[#This Row],[Fetal Sex (Male, Female or Unknown)]]="Female",Backend!$C$7,IF(Table1[[#This Row],[Fetal Sex (Male, Female or Unknown)]]="Unknown",Backend!$C$8,"Error"))),"")</f>
        <v/>
      </c>
      <c r="F7105" s="8" t="str">
        <f>IF(Table1[[#This Row],[Is Data Valid]]=TRUE,EXP(0.578+0.332*((Table1[[#This Row],[Gestation (days)]]+0.5)/7)-0.00354*((Table1[[#This Row],[Gestation (days)]]+0.5)/7)^2)*Table1[[#This Row],[BW40_3705]],"")</f>
        <v/>
      </c>
      <c r="G7105" s="2" t="str">
        <f>IF(Table1[[#This Row],[Is Data Valid]]=TRUE,((Table1[[#This Row],[Birthweight (grams)]]/Table1[[#This Row],[BW_GA]])-1)/(Backend!$B$4/100*Table1[[#This Row],[BW40_3705]]),"")</f>
        <v/>
      </c>
      <c r="H7105" s="7" t="str">
        <f>IF(Table1[[#This Row],[Is Data Valid]]=TRUE,((Table1[[#This Row],[Birthweight (grams)]]*0.9/Table1[[#This Row],[BW_GA]])-1)/(Backend!$B$4/100*Table1[[#This Row],[BW40_3705]]),"")</f>
        <v/>
      </c>
      <c r="I7105" s="7" t="str">
        <f>IF(Table1[[#This Row],[Is Data Valid]]=TRUE,((Table1[[#This Row],[Birthweight (grams)]]*1.1/Table1[[#This Row],[BW_GA]])-1)/(Backend!$B$4/100*Table1[[#This Row],[BW40_3705]]),"")</f>
        <v/>
      </c>
      <c r="J7105" s="7" t="str">
        <f>IF(Table1[[#This Row],[Is Data Valid]]=TRUE,_xlfn.NORM.S.DIST(Table1[[#This Row],[Birthweight Z-Score]],TRUE)*100,"")</f>
        <v/>
      </c>
      <c r="K7105" s="7" t="str">
        <f>IF(Table1[[#This Row],[Is Data Valid]]=TRUE,_xlfn.NORM.S.DIST(Table1[[#This Row],[Birthweight Z-Score (BW-10%)]],TRUE)*100,"")</f>
        <v/>
      </c>
      <c r="L7105" s="7" t="str">
        <f>IF(Table1[[#This Row],[Is Data Valid]]=TRUE,_xlfn.NORM.S.DIST(Table1[[#This Row],[Birthweight Z-Score (BW+10%)]],TRUE)*100,"")</f>
        <v/>
      </c>
    </row>
    <row r="7106" spans="1:12" x14ac:dyDescent="0.35">
      <c r="A7106" s="3"/>
      <c r="B7106" s="2"/>
      <c r="C7106" s="2"/>
      <c r="D7106" s="2" t="b">
        <f>IF(AND(NOT(ISBLANK(Table1[[#This Row],[Fetal Sex (Male, Female or Unknown)]])),ISNUMBER(Table1[[#This Row],[Birthweight (grams)]]),ISNUMBER(Table1[[#This Row],[Gestation (days)]])),TRUE,FALSE)</f>
        <v>0</v>
      </c>
      <c r="E7106" s="2" t="str">
        <f>IF(Table1[[#This Row],[Is Data Valid]]=TRUE,IF(Table1[[#This Row],[Fetal Sex (Male, Female or Unknown)]]="Male",Backend!$C$6,IF(Table1[[#This Row],[Fetal Sex (Male, Female or Unknown)]]="Female",Backend!$C$7,IF(Table1[[#This Row],[Fetal Sex (Male, Female or Unknown)]]="Unknown",Backend!$C$8,"Error"))),"")</f>
        <v/>
      </c>
      <c r="F7106" s="8" t="str">
        <f>IF(Table1[[#This Row],[Is Data Valid]]=TRUE,EXP(0.578+0.332*((Table1[[#This Row],[Gestation (days)]]+0.5)/7)-0.00354*((Table1[[#This Row],[Gestation (days)]]+0.5)/7)^2)*Table1[[#This Row],[BW40_3705]],"")</f>
        <v/>
      </c>
      <c r="G7106" s="2" t="str">
        <f>IF(Table1[[#This Row],[Is Data Valid]]=TRUE,((Table1[[#This Row],[Birthweight (grams)]]/Table1[[#This Row],[BW_GA]])-1)/(Backend!$B$4/100*Table1[[#This Row],[BW40_3705]]),"")</f>
        <v/>
      </c>
      <c r="H7106" s="7" t="str">
        <f>IF(Table1[[#This Row],[Is Data Valid]]=TRUE,((Table1[[#This Row],[Birthweight (grams)]]*0.9/Table1[[#This Row],[BW_GA]])-1)/(Backend!$B$4/100*Table1[[#This Row],[BW40_3705]]),"")</f>
        <v/>
      </c>
      <c r="I7106" s="7" t="str">
        <f>IF(Table1[[#This Row],[Is Data Valid]]=TRUE,((Table1[[#This Row],[Birthweight (grams)]]*1.1/Table1[[#This Row],[BW_GA]])-1)/(Backend!$B$4/100*Table1[[#This Row],[BW40_3705]]),"")</f>
        <v/>
      </c>
      <c r="J7106" s="7" t="str">
        <f>IF(Table1[[#This Row],[Is Data Valid]]=TRUE,_xlfn.NORM.S.DIST(Table1[[#This Row],[Birthweight Z-Score]],TRUE)*100,"")</f>
        <v/>
      </c>
      <c r="K7106" s="7" t="str">
        <f>IF(Table1[[#This Row],[Is Data Valid]]=TRUE,_xlfn.NORM.S.DIST(Table1[[#This Row],[Birthweight Z-Score (BW-10%)]],TRUE)*100,"")</f>
        <v/>
      </c>
      <c r="L7106" s="7" t="str">
        <f>IF(Table1[[#This Row],[Is Data Valid]]=TRUE,_xlfn.NORM.S.DIST(Table1[[#This Row],[Birthweight Z-Score (BW+10%)]],TRUE)*100,"")</f>
        <v/>
      </c>
    </row>
    <row r="7107" spans="1:12" x14ac:dyDescent="0.35">
      <c r="A7107" s="3"/>
      <c r="B7107" s="2"/>
      <c r="C7107" s="2"/>
      <c r="D7107" s="2" t="b">
        <f>IF(AND(NOT(ISBLANK(Table1[[#This Row],[Fetal Sex (Male, Female or Unknown)]])),ISNUMBER(Table1[[#This Row],[Birthweight (grams)]]),ISNUMBER(Table1[[#This Row],[Gestation (days)]])),TRUE,FALSE)</f>
        <v>0</v>
      </c>
      <c r="E7107" s="2" t="str">
        <f>IF(Table1[[#This Row],[Is Data Valid]]=TRUE,IF(Table1[[#This Row],[Fetal Sex (Male, Female or Unknown)]]="Male",Backend!$C$6,IF(Table1[[#This Row],[Fetal Sex (Male, Female or Unknown)]]="Female",Backend!$C$7,IF(Table1[[#This Row],[Fetal Sex (Male, Female or Unknown)]]="Unknown",Backend!$C$8,"Error"))),"")</f>
        <v/>
      </c>
      <c r="F7107" s="8" t="str">
        <f>IF(Table1[[#This Row],[Is Data Valid]]=TRUE,EXP(0.578+0.332*((Table1[[#This Row],[Gestation (days)]]+0.5)/7)-0.00354*((Table1[[#This Row],[Gestation (days)]]+0.5)/7)^2)*Table1[[#This Row],[BW40_3705]],"")</f>
        <v/>
      </c>
      <c r="G7107" s="2" t="str">
        <f>IF(Table1[[#This Row],[Is Data Valid]]=TRUE,((Table1[[#This Row],[Birthweight (grams)]]/Table1[[#This Row],[BW_GA]])-1)/(Backend!$B$4/100*Table1[[#This Row],[BW40_3705]]),"")</f>
        <v/>
      </c>
      <c r="H7107" s="7" t="str">
        <f>IF(Table1[[#This Row],[Is Data Valid]]=TRUE,((Table1[[#This Row],[Birthweight (grams)]]*0.9/Table1[[#This Row],[BW_GA]])-1)/(Backend!$B$4/100*Table1[[#This Row],[BW40_3705]]),"")</f>
        <v/>
      </c>
      <c r="I7107" s="7" t="str">
        <f>IF(Table1[[#This Row],[Is Data Valid]]=TRUE,((Table1[[#This Row],[Birthweight (grams)]]*1.1/Table1[[#This Row],[BW_GA]])-1)/(Backend!$B$4/100*Table1[[#This Row],[BW40_3705]]),"")</f>
        <v/>
      </c>
      <c r="J7107" s="7" t="str">
        <f>IF(Table1[[#This Row],[Is Data Valid]]=TRUE,_xlfn.NORM.S.DIST(Table1[[#This Row],[Birthweight Z-Score]],TRUE)*100,"")</f>
        <v/>
      </c>
      <c r="K7107" s="7" t="str">
        <f>IF(Table1[[#This Row],[Is Data Valid]]=TRUE,_xlfn.NORM.S.DIST(Table1[[#This Row],[Birthweight Z-Score (BW-10%)]],TRUE)*100,"")</f>
        <v/>
      </c>
      <c r="L7107" s="7" t="str">
        <f>IF(Table1[[#This Row],[Is Data Valid]]=TRUE,_xlfn.NORM.S.DIST(Table1[[#This Row],[Birthweight Z-Score (BW+10%)]],TRUE)*100,"")</f>
        <v/>
      </c>
    </row>
    <row r="7108" spans="1:12" x14ac:dyDescent="0.35">
      <c r="A7108" s="3"/>
      <c r="B7108" s="2"/>
      <c r="C7108" s="2"/>
      <c r="D7108" s="2" t="b">
        <f>IF(AND(NOT(ISBLANK(Table1[[#This Row],[Fetal Sex (Male, Female or Unknown)]])),ISNUMBER(Table1[[#This Row],[Birthweight (grams)]]),ISNUMBER(Table1[[#This Row],[Gestation (days)]])),TRUE,FALSE)</f>
        <v>0</v>
      </c>
      <c r="E7108" s="2" t="str">
        <f>IF(Table1[[#This Row],[Is Data Valid]]=TRUE,IF(Table1[[#This Row],[Fetal Sex (Male, Female or Unknown)]]="Male",Backend!$C$6,IF(Table1[[#This Row],[Fetal Sex (Male, Female or Unknown)]]="Female",Backend!$C$7,IF(Table1[[#This Row],[Fetal Sex (Male, Female or Unknown)]]="Unknown",Backend!$C$8,"Error"))),"")</f>
        <v/>
      </c>
      <c r="F7108" s="8" t="str">
        <f>IF(Table1[[#This Row],[Is Data Valid]]=TRUE,EXP(0.578+0.332*((Table1[[#This Row],[Gestation (days)]]+0.5)/7)-0.00354*((Table1[[#This Row],[Gestation (days)]]+0.5)/7)^2)*Table1[[#This Row],[BW40_3705]],"")</f>
        <v/>
      </c>
      <c r="G7108" s="2" t="str">
        <f>IF(Table1[[#This Row],[Is Data Valid]]=TRUE,((Table1[[#This Row],[Birthweight (grams)]]/Table1[[#This Row],[BW_GA]])-1)/(Backend!$B$4/100*Table1[[#This Row],[BW40_3705]]),"")</f>
        <v/>
      </c>
      <c r="H7108" s="7" t="str">
        <f>IF(Table1[[#This Row],[Is Data Valid]]=TRUE,((Table1[[#This Row],[Birthweight (grams)]]*0.9/Table1[[#This Row],[BW_GA]])-1)/(Backend!$B$4/100*Table1[[#This Row],[BW40_3705]]),"")</f>
        <v/>
      </c>
      <c r="I7108" s="7" t="str">
        <f>IF(Table1[[#This Row],[Is Data Valid]]=TRUE,((Table1[[#This Row],[Birthweight (grams)]]*1.1/Table1[[#This Row],[BW_GA]])-1)/(Backend!$B$4/100*Table1[[#This Row],[BW40_3705]]),"")</f>
        <v/>
      </c>
      <c r="J7108" s="7" t="str">
        <f>IF(Table1[[#This Row],[Is Data Valid]]=TRUE,_xlfn.NORM.S.DIST(Table1[[#This Row],[Birthweight Z-Score]],TRUE)*100,"")</f>
        <v/>
      </c>
      <c r="K7108" s="7" t="str">
        <f>IF(Table1[[#This Row],[Is Data Valid]]=TRUE,_xlfn.NORM.S.DIST(Table1[[#This Row],[Birthweight Z-Score (BW-10%)]],TRUE)*100,"")</f>
        <v/>
      </c>
      <c r="L7108" s="7" t="str">
        <f>IF(Table1[[#This Row],[Is Data Valid]]=TRUE,_xlfn.NORM.S.DIST(Table1[[#This Row],[Birthweight Z-Score (BW+10%)]],TRUE)*100,"")</f>
        <v/>
      </c>
    </row>
    <row r="7109" spans="1:12" x14ac:dyDescent="0.35">
      <c r="A7109" s="3"/>
      <c r="B7109" s="2"/>
      <c r="C7109" s="2"/>
      <c r="D7109" s="2" t="b">
        <f>IF(AND(NOT(ISBLANK(Table1[[#This Row],[Fetal Sex (Male, Female or Unknown)]])),ISNUMBER(Table1[[#This Row],[Birthweight (grams)]]),ISNUMBER(Table1[[#This Row],[Gestation (days)]])),TRUE,FALSE)</f>
        <v>0</v>
      </c>
      <c r="E7109" s="2" t="str">
        <f>IF(Table1[[#This Row],[Is Data Valid]]=TRUE,IF(Table1[[#This Row],[Fetal Sex (Male, Female or Unknown)]]="Male",Backend!$C$6,IF(Table1[[#This Row],[Fetal Sex (Male, Female or Unknown)]]="Female",Backend!$C$7,IF(Table1[[#This Row],[Fetal Sex (Male, Female or Unknown)]]="Unknown",Backend!$C$8,"Error"))),"")</f>
        <v/>
      </c>
      <c r="F7109" s="8" t="str">
        <f>IF(Table1[[#This Row],[Is Data Valid]]=TRUE,EXP(0.578+0.332*((Table1[[#This Row],[Gestation (days)]]+0.5)/7)-0.00354*((Table1[[#This Row],[Gestation (days)]]+0.5)/7)^2)*Table1[[#This Row],[BW40_3705]],"")</f>
        <v/>
      </c>
      <c r="G7109" s="2" t="str">
        <f>IF(Table1[[#This Row],[Is Data Valid]]=TRUE,((Table1[[#This Row],[Birthweight (grams)]]/Table1[[#This Row],[BW_GA]])-1)/(Backend!$B$4/100*Table1[[#This Row],[BW40_3705]]),"")</f>
        <v/>
      </c>
      <c r="H7109" s="7" t="str">
        <f>IF(Table1[[#This Row],[Is Data Valid]]=TRUE,((Table1[[#This Row],[Birthweight (grams)]]*0.9/Table1[[#This Row],[BW_GA]])-1)/(Backend!$B$4/100*Table1[[#This Row],[BW40_3705]]),"")</f>
        <v/>
      </c>
      <c r="I7109" s="7" t="str">
        <f>IF(Table1[[#This Row],[Is Data Valid]]=TRUE,((Table1[[#This Row],[Birthweight (grams)]]*1.1/Table1[[#This Row],[BW_GA]])-1)/(Backend!$B$4/100*Table1[[#This Row],[BW40_3705]]),"")</f>
        <v/>
      </c>
      <c r="J7109" s="7" t="str">
        <f>IF(Table1[[#This Row],[Is Data Valid]]=TRUE,_xlfn.NORM.S.DIST(Table1[[#This Row],[Birthweight Z-Score]],TRUE)*100,"")</f>
        <v/>
      </c>
      <c r="K7109" s="7" t="str">
        <f>IF(Table1[[#This Row],[Is Data Valid]]=TRUE,_xlfn.NORM.S.DIST(Table1[[#This Row],[Birthweight Z-Score (BW-10%)]],TRUE)*100,"")</f>
        <v/>
      </c>
      <c r="L7109" s="7" t="str">
        <f>IF(Table1[[#This Row],[Is Data Valid]]=TRUE,_xlfn.NORM.S.DIST(Table1[[#This Row],[Birthweight Z-Score (BW+10%)]],TRUE)*100,"")</f>
        <v/>
      </c>
    </row>
    <row r="7110" spans="1:12" x14ac:dyDescent="0.35">
      <c r="A7110" s="3"/>
      <c r="B7110" s="2"/>
      <c r="C7110" s="2"/>
      <c r="D7110" s="2" t="b">
        <f>IF(AND(NOT(ISBLANK(Table1[[#This Row],[Fetal Sex (Male, Female or Unknown)]])),ISNUMBER(Table1[[#This Row],[Birthweight (grams)]]),ISNUMBER(Table1[[#This Row],[Gestation (days)]])),TRUE,FALSE)</f>
        <v>0</v>
      </c>
      <c r="E7110" s="2" t="str">
        <f>IF(Table1[[#This Row],[Is Data Valid]]=TRUE,IF(Table1[[#This Row],[Fetal Sex (Male, Female or Unknown)]]="Male",Backend!$C$6,IF(Table1[[#This Row],[Fetal Sex (Male, Female or Unknown)]]="Female",Backend!$C$7,IF(Table1[[#This Row],[Fetal Sex (Male, Female or Unknown)]]="Unknown",Backend!$C$8,"Error"))),"")</f>
        <v/>
      </c>
      <c r="F7110" s="8" t="str">
        <f>IF(Table1[[#This Row],[Is Data Valid]]=TRUE,EXP(0.578+0.332*((Table1[[#This Row],[Gestation (days)]]+0.5)/7)-0.00354*((Table1[[#This Row],[Gestation (days)]]+0.5)/7)^2)*Table1[[#This Row],[BW40_3705]],"")</f>
        <v/>
      </c>
      <c r="G7110" s="2" t="str">
        <f>IF(Table1[[#This Row],[Is Data Valid]]=TRUE,((Table1[[#This Row],[Birthweight (grams)]]/Table1[[#This Row],[BW_GA]])-1)/(Backend!$B$4/100*Table1[[#This Row],[BW40_3705]]),"")</f>
        <v/>
      </c>
      <c r="H7110" s="7" t="str">
        <f>IF(Table1[[#This Row],[Is Data Valid]]=TRUE,((Table1[[#This Row],[Birthweight (grams)]]*0.9/Table1[[#This Row],[BW_GA]])-1)/(Backend!$B$4/100*Table1[[#This Row],[BW40_3705]]),"")</f>
        <v/>
      </c>
      <c r="I7110" s="7" t="str">
        <f>IF(Table1[[#This Row],[Is Data Valid]]=TRUE,((Table1[[#This Row],[Birthweight (grams)]]*1.1/Table1[[#This Row],[BW_GA]])-1)/(Backend!$B$4/100*Table1[[#This Row],[BW40_3705]]),"")</f>
        <v/>
      </c>
      <c r="J7110" s="7" t="str">
        <f>IF(Table1[[#This Row],[Is Data Valid]]=TRUE,_xlfn.NORM.S.DIST(Table1[[#This Row],[Birthweight Z-Score]],TRUE)*100,"")</f>
        <v/>
      </c>
      <c r="K7110" s="7" t="str">
        <f>IF(Table1[[#This Row],[Is Data Valid]]=TRUE,_xlfn.NORM.S.DIST(Table1[[#This Row],[Birthweight Z-Score (BW-10%)]],TRUE)*100,"")</f>
        <v/>
      </c>
      <c r="L7110" s="7" t="str">
        <f>IF(Table1[[#This Row],[Is Data Valid]]=TRUE,_xlfn.NORM.S.DIST(Table1[[#This Row],[Birthweight Z-Score (BW+10%)]],TRUE)*100,"")</f>
        <v/>
      </c>
    </row>
    <row r="7111" spans="1:12" x14ac:dyDescent="0.35">
      <c r="A7111" s="3"/>
      <c r="B7111" s="2"/>
      <c r="C7111" s="2"/>
      <c r="D7111" s="2" t="b">
        <f>IF(AND(NOT(ISBLANK(Table1[[#This Row],[Fetal Sex (Male, Female or Unknown)]])),ISNUMBER(Table1[[#This Row],[Birthweight (grams)]]),ISNUMBER(Table1[[#This Row],[Gestation (days)]])),TRUE,FALSE)</f>
        <v>0</v>
      </c>
      <c r="E7111" s="2" t="str">
        <f>IF(Table1[[#This Row],[Is Data Valid]]=TRUE,IF(Table1[[#This Row],[Fetal Sex (Male, Female or Unknown)]]="Male",Backend!$C$6,IF(Table1[[#This Row],[Fetal Sex (Male, Female or Unknown)]]="Female",Backend!$C$7,IF(Table1[[#This Row],[Fetal Sex (Male, Female or Unknown)]]="Unknown",Backend!$C$8,"Error"))),"")</f>
        <v/>
      </c>
      <c r="F7111" s="8" t="str">
        <f>IF(Table1[[#This Row],[Is Data Valid]]=TRUE,EXP(0.578+0.332*((Table1[[#This Row],[Gestation (days)]]+0.5)/7)-0.00354*((Table1[[#This Row],[Gestation (days)]]+0.5)/7)^2)*Table1[[#This Row],[BW40_3705]],"")</f>
        <v/>
      </c>
      <c r="G7111" s="2" t="str">
        <f>IF(Table1[[#This Row],[Is Data Valid]]=TRUE,((Table1[[#This Row],[Birthweight (grams)]]/Table1[[#This Row],[BW_GA]])-1)/(Backend!$B$4/100*Table1[[#This Row],[BW40_3705]]),"")</f>
        <v/>
      </c>
      <c r="H7111" s="7" t="str">
        <f>IF(Table1[[#This Row],[Is Data Valid]]=TRUE,((Table1[[#This Row],[Birthweight (grams)]]*0.9/Table1[[#This Row],[BW_GA]])-1)/(Backend!$B$4/100*Table1[[#This Row],[BW40_3705]]),"")</f>
        <v/>
      </c>
      <c r="I7111" s="7" t="str">
        <f>IF(Table1[[#This Row],[Is Data Valid]]=TRUE,((Table1[[#This Row],[Birthweight (grams)]]*1.1/Table1[[#This Row],[BW_GA]])-1)/(Backend!$B$4/100*Table1[[#This Row],[BW40_3705]]),"")</f>
        <v/>
      </c>
      <c r="J7111" s="7" t="str">
        <f>IF(Table1[[#This Row],[Is Data Valid]]=TRUE,_xlfn.NORM.S.DIST(Table1[[#This Row],[Birthweight Z-Score]],TRUE)*100,"")</f>
        <v/>
      </c>
      <c r="K7111" s="7" t="str">
        <f>IF(Table1[[#This Row],[Is Data Valid]]=TRUE,_xlfn.NORM.S.DIST(Table1[[#This Row],[Birthweight Z-Score (BW-10%)]],TRUE)*100,"")</f>
        <v/>
      </c>
      <c r="L7111" s="7" t="str">
        <f>IF(Table1[[#This Row],[Is Data Valid]]=TRUE,_xlfn.NORM.S.DIST(Table1[[#This Row],[Birthweight Z-Score (BW+10%)]],TRUE)*100,"")</f>
        <v/>
      </c>
    </row>
    <row r="7112" spans="1:12" x14ac:dyDescent="0.35">
      <c r="A7112" s="3"/>
      <c r="B7112" s="2"/>
      <c r="C7112" s="2"/>
      <c r="D7112" s="2" t="b">
        <f>IF(AND(NOT(ISBLANK(Table1[[#This Row],[Fetal Sex (Male, Female or Unknown)]])),ISNUMBER(Table1[[#This Row],[Birthweight (grams)]]),ISNUMBER(Table1[[#This Row],[Gestation (days)]])),TRUE,FALSE)</f>
        <v>0</v>
      </c>
      <c r="E7112" s="2" t="str">
        <f>IF(Table1[[#This Row],[Is Data Valid]]=TRUE,IF(Table1[[#This Row],[Fetal Sex (Male, Female or Unknown)]]="Male",Backend!$C$6,IF(Table1[[#This Row],[Fetal Sex (Male, Female or Unknown)]]="Female",Backend!$C$7,IF(Table1[[#This Row],[Fetal Sex (Male, Female or Unknown)]]="Unknown",Backend!$C$8,"Error"))),"")</f>
        <v/>
      </c>
      <c r="F7112" s="8" t="str">
        <f>IF(Table1[[#This Row],[Is Data Valid]]=TRUE,EXP(0.578+0.332*((Table1[[#This Row],[Gestation (days)]]+0.5)/7)-0.00354*((Table1[[#This Row],[Gestation (days)]]+0.5)/7)^2)*Table1[[#This Row],[BW40_3705]],"")</f>
        <v/>
      </c>
      <c r="G7112" s="2" t="str">
        <f>IF(Table1[[#This Row],[Is Data Valid]]=TRUE,((Table1[[#This Row],[Birthweight (grams)]]/Table1[[#This Row],[BW_GA]])-1)/(Backend!$B$4/100*Table1[[#This Row],[BW40_3705]]),"")</f>
        <v/>
      </c>
      <c r="H7112" s="7" t="str">
        <f>IF(Table1[[#This Row],[Is Data Valid]]=TRUE,((Table1[[#This Row],[Birthweight (grams)]]*0.9/Table1[[#This Row],[BW_GA]])-1)/(Backend!$B$4/100*Table1[[#This Row],[BW40_3705]]),"")</f>
        <v/>
      </c>
      <c r="I7112" s="7" t="str">
        <f>IF(Table1[[#This Row],[Is Data Valid]]=TRUE,((Table1[[#This Row],[Birthweight (grams)]]*1.1/Table1[[#This Row],[BW_GA]])-1)/(Backend!$B$4/100*Table1[[#This Row],[BW40_3705]]),"")</f>
        <v/>
      </c>
      <c r="J7112" s="7" t="str">
        <f>IF(Table1[[#This Row],[Is Data Valid]]=TRUE,_xlfn.NORM.S.DIST(Table1[[#This Row],[Birthweight Z-Score]],TRUE)*100,"")</f>
        <v/>
      </c>
      <c r="K7112" s="7" t="str">
        <f>IF(Table1[[#This Row],[Is Data Valid]]=TRUE,_xlfn.NORM.S.DIST(Table1[[#This Row],[Birthweight Z-Score (BW-10%)]],TRUE)*100,"")</f>
        <v/>
      </c>
      <c r="L7112" s="7" t="str">
        <f>IF(Table1[[#This Row],[Is Data Valid]]=TRUE,_xlfn.NORM.S.DIST(Table1[[#This Row],[Birthweight Z-Score (BW+10%)]],TRUE)*100,"")</f>
        <v/>
      </c>
    </row>
    <row r="7113" spans="1:12" x14ac:dyDescent="0.35">
      <c r="A7113" s="3"/>
      <c r="B7113" s="2"/>
      <c r="C7113" s="2"/>
      <c r="D7113" s="2" t="b">
        <f>IF(AND(NOT(ISBLANK(Table1[[#This Row],[Fetal Sex (Male, Female or Unknown)]])),ISNUMBER(Table1[[#This Row],[Birthweight (grams)]]),ISNUMBER(Table1[[#This Row],[Gestation (days)]])),TRUE,FALSE)</f>
        <v>0</v>
      </c>
      <c r="E7113" s="2" t="str">
        <f>IF(Table1[[#This Row],[Is Data Valid]]=TRUE,IF(Table1[[#This Row],[Fetal Sex (Male, Female or Unknown)]]="Male",Backend!$C$6,IF(Table1[[#This Row],[Fetal Sex (Male, Female or Unknown)]]="Female",Backend!$C$7,IF(Table1[[#This Row],[Fetal Sex (Male, Female or Unknown)]]="Unknown",Backend!$C$8,"Error"))),"")</f>
        <v/>
      </c>
      <c r="F7113" s="8" t="str">
        <f>IF(Table1[[#This Row],[Is Data Valid]]=TRUE,EXP(0.578+0.332*((Table1[[#This Row],[Gestation (days)]]+0.5)/7)-0.00354*((Table1[[#This Row],[Gestation (days)]]+0.5)/7)^2)*Table1[[#This Row],[BW40_3705]],"")</f>
        <v/>
      </c>
      <c r="G7113" s="2" t="str">
        <f>IF(Table1[[#This Row],[Is Data Valid]]=TRUE,((Table1[[#This Row],[Birthweight (grams)]]/Table1[[#This Row],[BW_GA]])-1)/(Backend!$B$4/100*Table1[[#This Row],[BW40_3705]]),"")</f>
        <v/>
      </c>
      <c r="H7113" s="7" t="str">
        <f>IF(Table1[[#This Row],[Is Data Valid]]=TRUE,((Table1[[#This Row],[Birthweight (grams)]]*0.9/Table1[[#This Row],[BW_GA]])-1)/(Backend!$B$4/100*Table1[[#This Row],[BW40_3705]]),"")</f>
        <v/>
      </c>
      <c r="I7113" s="7" t="str">
        <f>IF(Table1[[#This Row],[Is Data Valid]]=TRUE,((Table1[[#This Row],[Birthweight (grams)]]*1.1/Table1[[#This Row],[BW_GA]])-1)/(Backend!$B$4/100*Table1[[#This Row],[BW40_3705]]),"")</f>
        <v/>
      </c>
      <c r="J7113" s="7" t="str">
        <f>IF(Table1[[#This Row],[Is Data Valid]]=TRUE,_xlfn.NORM.S.DIST(Table1[[#This Row],[Birthweight Z-Score]],TRUE)*100,"")</f>
        <v/>
      </c>
      <c r="K7113" s="7" t="str">
        <f>IF(Table1[[#This Row],[Is Data Valid]]=TRUE,_xlfn.NORM.S.DIST(Table1[[#This Row],[Birthweight Z-Score (BW-10%)]],TRUE)*100,"")</f>
        <v/>
      </c>
      <c r="L7113" s="7" t="str">
        <f>IF(Table1[[#This Row],[Is Data Valid]]=TRUE,_xlfn.NORM.S.DIST(Table1[[#This Row],[Birthweight Z-Score (BW+10%)]],TRUE)*100,"")</f>
        <v/>
      </c>
    </row>
    <row r="7114" spans="1:12" x14ac:dyDescent="0.35">
      <c r="A7114" s="3"/>
      <c r="B7114" s="2"/>
      <c r="C7114" s="2"/>
      <c r="D7114" s="2" t="b">
        <f>IF(AND(NOT(ISBLANK(Table1[[#This Row],[Fetal Sex (Male, Female or Unknown)]])),ISNUMBER(Table1[[#This Row],[Birthweight (grams)]]),ISNUMBER(Table1[[#This Row],[Gestation (days)]])),TRUE,FALSE)</f>
        <v>0</v>
      </c>
      <c r="E7114" s="2" t="str">
        <f>IF(Table1[[#This Row],[Is Data Valid]]=TRUE,IF(Table1[[#This Row],[Fetal Sex (Male, Female or Unknown)]]="Male",Backend!$C$6,IF(Table1[[#This Row],[Fetal Sex (Male, Female or Unknown)]]="Female",Backend!$C$7,IF(Table1[[#This Row],[Fetal Sex (Male, Female or Unknown)]]="Unknown",Backend!$C$8,"Error"))),"")</f>
        <v/>
      </c>
      <c r="F7114" s="8" t="str">
        <f>IF(Table1[[#This Row],[Is Data Valid]]=TRUE,EXP(0.578+0.332*((Table1[[#This Row],[Gestation (days)]]+0.5)/7)-0.00354*((Table1[[#This Row],[Gestation (days)]]+0.5)/7)^2)*Table1[[#This Row],[BW40_3705]],"")</f>
        <v/>
      </c>
      <c r="G7114" s="2" t="str">
        <f>IF(Table1[[#This Row],[Is Data Valid]]=TRUE,((Table1[[#This Row],[Birthweight (grams)]]/Table1[[#This Row],[BW_GA]])-1)/(Backend!$B$4/100*Table1[[#This Row],[BW40_3705]]),"")</f>
        <v/>
      </c>
      <c r="H7114" s="7" t="str">
        <f>IF(Table1[[#This Row],[Is Data Valid]]=TRUE,((Table1[[#This Row],[Birthweight (grams)]]*0.9/Table1[[#This Row],[BW_GA]])-1)/(Backend!$B$4/100*Table1[[#This Row],[BW40_3705]]),"")</f>
        <v/>
      </c>
      <c r="I7114" s="7" t="str">
        <f>IF(Table1[[#This Row],[Is Data Valid]]=TRUE,((Table1[[#This Row],[Birthweight (grams)]]*1.1/Table1[[#This Row],[BW_GA]])-1)/(Backend!$B$4/100*Table1[[#This Row],[BW40_3705]]),"")</f>
        <v/>
      </c>
      <c r="J7114" s="7" t="str">
        <f>IF(Table1[[#This Row],[Is Data Valid]]=TRUE,_xlfn.NORM.S.DIST(Table1[[#This Row],[Birthweight Z-Score]],TRUE)*100,"")</f>
        <v/>
      </c>
      <c r="K7114" s="7" t="str">
        <f>IF(Table1[[#This Row],[Is Data Valid]]=TRUE,_xlfn.NORM.S.DIST(Table1[[#This Row],[Birthweight Z-Score (BW-10%)]],TRUE)*100,"")</f>
        <v/>
      </c>
      <c r="L7114" s="7" t="str">
        <f>IF(Table1[[#This Row],[Is Data Valid]]=TRUE,_xlfn.NORM.S.DIST(Table1[[#This Row],[Birthweight Z-Score (BW+10%)]],TRUE)*100,"")</f>
        <v/>
      </c>
    </row>
    <row r="7115" spans="1:12" x14ac:dyDescent="0.35">
      <c r="A7115" s="3"/>
      <c r="B7115" s="2"/>
      <c r="C7115" s="2"/>
      <c r="D7115" s="2" t="b">
        <f>IF(AND(NOT(ISBLANK(Table1[[#This Row],[Fetal Sex (Male, Female or Unknown)]])),ISNUMBER(Table1[[#This Row],[Birthweight (grams)]]),ISNUMBER(Table1[[#This Row],[Gestation (days)]])),TRUE,FALSE)</f>
        <v>0</v>
      </c>
      <c r="E7115" s="2" t="str">
        <f>IF(Table1[[#This Row],[Is Data Valid]]=TRUE,IF(Table1[[#This Row],[Fetal Sex (Male, Female or Unknown)]]="Male",Backend!$C$6,IF(Table1[[#This Row],[Fetal Sex (Male, Female or Unknown)]]="Female",Backend!$C$7,IF(Table1[[#This Row],[Fetal Sex (Male, Female or Unknown)]]="Unknown",Backend!$C$8,"Error"))),"")</f>
        <v/>
      </c>
      <c r="F7115" s="8" t="str">
        <f>IF(Table1[[#This Row],[Is Data Valid]]=TRUE,EXP(0.578+0.332*((Table1[[#This Row],[Gestation (days)]]+0.5)/7)-0.00354*((Table1[[#This Row],[Gestation (days)]]+0.5)/7)^2)*Table1[[#This Row],[BW40_3705]],"")</f>
        <v/>
      </c>
      <c r="G7115" s="2" t="str">
        <f>IF(Table1[[#This Row],[Is Data Valid]]=TRUE,((Table1[[#This Row],[Birthweight (grams)]]/Table1[[#This Row],[BW_GA]])-1)/(Backend!$B$4/100*Table1[[#This Row],[BW40_3705]]),"")</f>
        <v/>
      </c>
      <c r="H7115" s="7" t="str">
        <f>IF(Table1[[#This Row],[Is Data Valid]]=TRUE,((Table1[[#This Row],[Birthweight (grams)]]*0.9/Table1[[#This Row],[BW_GA]])-1)/(Backend!$B$4/100*Table1[[#This Row],[BW40_3705]]),"")</f>
        <v/>
      </c>
      <c r="I7115" s="7" t="str">
        <f>IF(Table1[[#This Row],[Is Data Valid]]=TRUE,((Table1[[#This Row],[Birthweight (grams)]]*1.1/Table1[[#This Row],[BW_GA]])-1)/(Backend!$B$4/100*Table1[[#This Row],[BW40_3705]]),"")</f>
        <v/>
      </c>
      <c r="J7115" s="7" t="str">
        <f>IF(Table1[[#This Row],[Is Data Valid]]=TRUE,_xlfn.NORM.S.DIST(Table1[[#This Row],[Birthweight Z-Score]],TRUE)*100,"")</f>
        <v/>
      </c>
      <c r="K7115" s="7" t="str">
        <f>IF(Table1[[#This Row],[Is Data Valid]]=TRUE,_xlfn.NORM.S.DIST(Table1[[#This Row],[Birthweight Z-Score (BW-10%)]],TRUE)*100,"")</f>
        <v/>
      </c>
      <c r="L7115" s="7" t="str">
        <f>IF(Table1[[#This Row],[Is Data Valid]]=TRUE,_xlfn.NORM.S.DIST(Table1[[#This Row],[Birthweight Z-Score (BW+10%)]],TRUE)*100,"")</f>
        <v/>
      </c>
    </row>
    <row r="7116" spans="1:12" x14ac:dyDescent="0.35">
      <c r="A7116" s="3"/>
      <c r="B7116" s="2"/>
      <c r="C7116" s="2"/>
      <c r="D7116" s="2" t="b">
        <f>IF(AND(NOT(ISBLANK(Table1[[#This Row],[Fetal Sex (Male, Female or Unknown)]])),ISNUMBER(Table1[[#This Row],[Birthweight (grams)]]),ISNUMBER(Table1[[#This Row],[Gestation (days)]])),TRUE,FALSE)</f>
        <v>0</v>
      </c>
      <c r="E7116" s="2" t="str">
        <f>IF(Table1[[#This Row],[Is Data Valid]]=TRUE,IF(Table1[[#This Row],[Fetal Sex (Male, Female or Unknown)]]="Male",Backend!$C$6,IF(Table1[[#This Row],[Fetal Sex (Male, Female or Unknown)]]="Female",Backend!$C$7,IF(Table1[[#This Row],[Fetal Sex (Male, Female or Unknown)]]="Unknown",Backend!$C$8,"Error"))),"")</f>
        <v/>
      </c>
      <c r="F7116" s="8" t="str">
        <f>IF(Table1[[#This Row],[Is Data Valid]]=TRUE,EXP(0.578+0.332*((Table1[[#This Row],[Gestation (days)]]+0.5)/7)-0.00354*((Table1[[#This Row],[Gestation (days)]]+0.5)/7)^2)*Table1[[#This Row],[BW40_3705]],"")</f>
        <v/>
      </c>
      <c r="G7116" s="2" t="str">
        <f>IF(Table1[[#This Row],[Is Data Valid]]=TRUE,((Table1[[#This Row],[Birthweight (grams)]]/Table1[[#This Row],[BW_GA]])-1)/(Backend!$B$4/100*Table1[[#This Row],[BW40_3705]]),"")</f>
        <v/>
      </c>
      <c r="H7116" s="7" t="str">
        <f>IF(Table1[[#This Row],[Is Data Valid]]=TRUE,((Table1[[#This Row],[Birthweight (grams)]]*0.9/Table1[[#This Row],[BW_GA]])-1)/(Backend!$B$4/100*Table1[[#This Row],[BW40_3705]]),"")</f>
        <v/>
      </c>
      <c r="I7116" s="7" t="str">
        <f>IF(Table1[[#This Row],[Is Data Valid]]=TRUE,((Table1[[#This Row],[Birthweight (grams)]]*1.1/Table1[[#This Row],[BW_GA]])-1)/(Backend!$B$4/100*Table1[[#This Row],[BW40_3705]]),"")</f>
        <v/>
      </c>
      <c r="J7116" s="7" t="str">
        <f>IF(Table1[[#This Row],[Is Data Valid]]=TRUE,_xlfn.NORM.S.DIST(Table1[[#This Row],[Birthweight Z-Score]],TRUE)*100,"")</f>
        <v/>
      </c>
      <c r="K7116" s="7" t="str">
        <f>IF(Table1[[#This Row],[Is Data Valid]]=TRUE,_xlfn.NORM.S.DIST(Table1[[#This Row],[Birthweight Z-Score (BW-10%)]],TRUE)*100,"")</f>
        <v/>
      </c>
      <c r="L7116" s="7" t="str">
        <f>IF(Table1[[#This Row],[Is Data Valid]]=TRUE,_xlfn.NORM.S.DIST(Table1[[#This Row],[Birthweight Z-Score (BW+10%)]],TRUE)*100,"")</f>
        <v/>
      </c>
    </row>
    <row r="7117" spans="1:12" x14ac:dyDescent="0.35">
      <c r="A7117" s="3"/>
      <c r="B7117" s="2"/>
      <c r="C7117" s="2"/>
      <c r="D7117" s="2" t="b">
        <f>IF(AND(NOT(ISBLANK(Table1[[#This Row],[Fetal Sex (Male, Female or Unknown)]])),ISNUMBER(Table1[[#This Row],[Birthweight (grams)]]),ISNUMBER(Table1[[#This Row],[Gestation (days)]])),TRUE,FALSE)</f>
        <v>0</v>
      </c>
      <c r="E7117" s="2" t="str">
        <f>IF(Table1[[#This Row],[Is Data Valid]]=TRUE,IF(Table1[[#This Row],[Fetal Sex (Male, Female or Unknown)]]="Male",Backend!$C$6,IF(Table1[[#This Row],[Fetal Sex (Male, Female or Unknown)]]="Female",Backend!$C$7,IF(Table1[[#This Row],[Fetal Sex (Male, Female or Unknown)]]="Unknown",Backend!$C$8,"Error"))),"")</f>
        <v/>
      </c>
      <c r="F7117" s="8" t="str">
        <f>IF(Table1[[#This Row],[Is Data Valid]]=TRUE,EXP(0.578+0.332*((Table1[[#This Row],[Gestation (days)]]+0.5)/7)-0.00354*((Table1[[#This Row],[Gestation (days)]]+0.5)/7)^2)*Table1[[#This Row],[BW40_3705]],"")</f>
        <v/>
      </c>
      <c r="G7117" s="2" t="str">
        <f>IF(Table1[[#This Row],[Is Data Valid]]=TRUE,((Table1[[#This Row],[Birthweight (grams)]]/Table1[[#This Row],[BW_GA]])-1)/(Backend!$B$4/100*Table1[[#This Row],[BW40_3705]]),"")</f>
        <v/>
      </c>
      <c r="H7117" s="7" t="str">
        <f>IF(Table1[[#This Row],[Is Data Valid]]=TRUE,((Table1[[#This Row],[Birthweight (grams)]]*0.9/Table1[[#This Row],[BW_GA]])-1)/(Backend!$B$4/100*Table1[[#This Row],[BW40_3705]]),"")</f>
        <v/>
      </c>
      <c r="I7117" s="7" t="str">
        <f>IF(Table1[[#This Row],[Is Data Valid]]=TRUE,((Table1[[#This Row],[Birthweight (grams)]]*1.1/Table1[[#This Row],[BW_GA]])-1)/(Backend!$B$4/100*Table1[[#This Row],[BW40_3705]]),"")</f>
        <v/>
      </c>
      <c r="J7117" s="7" t="str">
        <f>IF(Table1[[#This Row],[Is Data Valid]]=TRUE,_xlfn.NORM.S.DIST(Table1[[#This Row],[Birthweight Z-Score]],TRUE)*100,"")</f>
        <v/>
      </c>
      <c r="K7117" s="7" t="str">
        <f>IF(Table1[[#This Row],[Is Data Valid]]=TRUE,_xlfn.NORM.S.DIST(Table1[[#This Row],[Birthweight Z-Score (BW-10%)]],TRUE)*100,"")</f>
        <v/>
      </c>
      <c r="L7117" s="7" t="str">
        <f>IF(Table1[[#This Row],[Is Data Valid]]=TRUE,_xlfn.NORM.S.DIST(Table1[[#This Row],[Birthweight Z-Score (BW+10%)]],TRUE)*100,"")</f>
        <v/>
      </c>
    </row>
    <row r="7118" spans="1:12" x14ac:dyDescent="0.35">
      <c r="A7118" s="3"/>
      <c r="B7118" s="2"/>
      <c r="C7118" s="2"/>
      <c r="D7118" s="2" t="b">
        <f>IF(AND(NOT(ISBLANK(Table1[[#This Row],[Fetal Sex (Male, Female or Unknown)]])),ISNUMBER(Table1[[#This Row],[Birthweight (grams)]]),ISNUMBER(Table1[[#This Row],[Gestation (days)]])),TRUE,FALSE)</f>
        <v>0</v>
      </c>
      <c r="E7118" s="2" t="str">
        <f>IF(Table1[[#This Row],[Is Data Valid]]=TRUE,IF(Table1[[#This Row],[Fetal Sex (Male, Female or Unknown)]]="Male",Backend!$C$6,IF(Table1[[#This Row],[Fetal Sex (Male, Female or Unknown)]]="Female",Backend!$C$7,IF(Table1[[#This Row],[Fetal Sex (Male, Female or Unknown)]]="Unknown",Backend!$C$8,"Error"))),"")</f>
        <v/>
      </c>
      <c r="F7118" s="8" t="str">
        <f>IF(Table1[[#This Row],[Is Data Valid]]=TRUE,EXP(0.578+0.332*((Table1[[#This Row],[Gestation (days)]]+0.5)/7)-0.00354*((Table1[[#This Row],[Gestation (days)]]+0.5)/7)^2)*Table1[[#This Row],[BW40_3705]],"")</f>
        <v/>
      </c>
      <c r="G7118" s="2" t="str">
        <f>IF(Table1[[#This Row],[Is Data Valid]]=TRUE,((Table1[[#This Row],[Birthweight (grams)]]/Table1[[#This Row],[BW_GA]])-1)/(Backend!$B$4/100*Table1[[#This Row],[BW40_3705]]),"")</f>
        <v/>
      </c>
      <c r="H7118" s="7" t="str">
        <f>IF(Table1[[#This Row],[Is Data Valid]]=TRUE,((Table1[[#This Row],[Birthweight (grams)]]*0.9/Table1[[#This Row],[BW_GA]])-1)/(Backend!$B$4/100*Table1[[#This Row],[BW40_3705]]),"")</f>
        <v/>
      </c>
      <c r="I7118" s="7" t="str">
        <f>IF(Table1[[#This Row],[Is Data Valid]]=TRUE,((Table1[[#This Row],[Birthweight (grams)]]*1.1/Table1[[#This Row],[BW_GA]])-1)/(Backend!$B$4/100*Table1[[#This Row],[BW40_3705]]),"")</f>
        <v/>
      </c>
      <c r="J7118" s="7" t="str">
        <f>IF(Table1[[#This Row],[Is Data Valid]]=TRUE,_xlfn.NORM.S.DIST(Table1[[#This Row],[Birthweight Z-Score]],TRUE)*100,"")</f>
        <v/>
      </c>
      <c r="K7118" s="7" t="str">
        <f>IF(Table1[[#This Row],[Is Data Valid]]=TRUE,_xlfn.NORM.S.DIST(Table1[[#This Row],[Birthweight Z-Score (BW-10%)]],TRUE)*100,"")</f>
        <v/>
      </c>
      <c r="L7118" s="7" t="str">
        <f>IF(Table1[[#This Row],[Is Data Valid]]=TRUE,_xlfn.NORM.S.DIST(Table1[[#This Row],[Birthweight Z-Score (BW+10%)]],TRUE)*100,"")</f>
        <v/>
      </c>
    </row>
    <row r="7119" spans="1:12" x14ac:dyDescent="0.35">
      <c r="A7119" s="3"/>
      <c r="B7119" s="2"/>
      <c r="C7119" s="2"/>
      <c r="D7119" s="2" t="b">
        <f>IF(AND(NOT(ISBLANK(Table1[[#This Row],[Fetal Sex (Male, Female or Unknown)]])),ISNUMBER(Table1[[#This Row],[Birthweight (grams)]]),ISNUMBER(Table1[[#This Row],[Gestation (days)]])),TRUE,FALSE)</f>
        <v>0</v>
      </c>
      <c r="E7119" s="2" t="str">
        <f>IF(Table1[[#This Row],[Is Data Valid]]=TRUE,IF(Table1[[#This Row],[Fetal Sex (Male, Female or Unknown)]]="Male",Backend!$C$6,IF(Table1[[#This Row],[Fetal Sex (Male, Female or Unknown)]]="Female",Backend!$C$7,IF(Table1[[#This Row],[Fetal Sex (Male, Female or Unknown)]]="Unknown",Backend!$C$8,"Error"))),"")</f>
        <v/>
      </c>
      <c r="F7119" s="8" t="str">
        <f>IF(Table1[[#This Row],[Is Data Valid]]=TRUE,EXP(0.578+0.332*((Table1[[#This Row],[Gestation (days)]]+0.5)/7)-0.00354*((Table1[[#This Row],[Gestation (days)]]+0.5)/7)^2)*Table1[[#This Row],[BW40_3705]],"")</f>
        <v/>
      </c>
      <c r="G7119" s="2" t="str">
        <f>IF(Table1[[#This Row],[Is Data Valid]]=TRUE,((Table1[[#This Row],[Birthweight (grams)]]/Table1[[#This Row],[BW_GA]])-1)/(Backend!$B$4/100*Table1[[#This Row],[BW40_3705]]),"")</f>
        <v/>
      </c>
      <c r="H7119" s="7" t="str">
        <f>IF(Table1[[#This Row],[Is Data Valid]]=TRUE,((Table1[[#This Row],[Birthweight (grams)]]*0.9/Table1[[#This Row],[BW_GA]])-1)/(Backend!$B$4/100*Table1[[#This Row],[BW40_3705]]),"")</f>
        <v/>
      </c>
      <c r="I7119" s="7" t="str">
        <f>IF(Table1[[#This Row],[Is Data Valid]]=TRUE,((Table1[[#This Row],[Birthweight (grams)]]*1.1/Table1[[#This Row],[BW_GA]])-1)/(Backend!$B$4/100*Table1[[#This Row],[BW40_3705]]),"")</f>
        <v/>
      </c>
      <c r="J7119" s="7" t="str">
        <f>IF(Table1[[#This Row],[Is Data Valid]]=TRUE,_xlfn.NORM.S.DIST(Table1[[#This Row],[Birthweight Z-Score]],TRUE)*100,"")</f>
        <v/>
      </c>
      <c r="K7119" s="7" t="str">
        <f>IF(Table1[[#This Row],[Is Data Valid]]=TRUE,_xlfn.NORM.S.DIST(Table1[[#This Row],[Birthweight Z-Score (BW-10%)]],TRUE)*100,"")</f>
        <v/>
      </c>
      <c r="L7119" s="7" t="str">
        <f>IF(Table1[[#This Row],[Is Data Valid]]=TRUE,_xlfn.NORM.S.DIST(Table1[[#This Row],[Birthweight Z-Score (BW+10%)]],TRUE)*100,"")</f>
        <v/>
      </c>
    </row>
    <row r="7120" spans="1:12" x14ac:dyDescent="0.35">
      <c r="A7120" s="3"/>
      <c r="B7120" s="2"/>
      <c r="C7120" s="2"/>
      <c r="D7120" s="2" t="b">
        <f>IF(AND(NOT(ISBLANK(Table1[[#This Row],[Fetal Sex (Male, Female or Unknown)]])),ISNUMBER(Table1[[#This Row],[Birthweight (grams)]]),ISNUMBER(Table1[[#This Row],[Gestation (days)]])),TRUE,FALSE)</f>
        <v>0</v>
      </c>
      <c r="E7120" s="2" t="str">
        <f>IF(Table1[[#This Row],[Is Data Valid]]=TRUE,IF(Table1[[#This Row],[Fetal Sex (Male, Female or Unknown)]]="Male",Backend!$C$6,IF(Table1[[#This Row],[Fetal Sex (Male, Female or Unknown)]]="Female",Backend!$C$7,IF(Table1[[#This Row],[Fetal Sex (Male, Female or Unknown)]]="Unknown",Backend!$C$8,"Error"))),"")</f>
        <v/>
      </c>
      <c r="F7120" s="8" t="str">
        <f>IF(Table1[[#This Row],[Is Data Valid]]=TRUE,EXP(0.578+0.332*((Table1[[#This Row],[Gestation (days)]]+0.5)/7)-0.00354*((Table1[[#This Row],[Gestation (days)]]+0.5)/7)^2)*Table1[[#This Row],[BW40_3705]],"")</f>
        <v/>
      </c>
      <c r="G7120" s="2" t="str">
        <f>IF(Table1[[#This Row],[Is Data Valid]]=TRUE,((Table1[[#This Row],[Birthweight (grams)]]/Table1[[#This Row],[BW_GA]])-1)/(Backend!$B$4/100*Table1[[#This Row],[BW40_3705]]),"")</f>
        <v/>
      </c>
      <c r="H7120" s="7" t="str">
        <f>IF(Table1[[#This Row],[Is Data Valid]]=TRUE,((Table1[[#This Row],[Birthweight (grams)]]*0.9/Table1[[#This Row],[BW_GA]])-1)/(Backend!$B$4/100*Table1[[#This Row],[BW40_3705]]),"")</f>
        <v/>
      </c>
      <c r="I7120" s="7" t="str">
        <f>IF(Table1[[#This Row],[Is Data Valid]]=TRUE,((Table1[[#This Row],[Birthweight (grams)]]*1.1/Table1[[#This Row],[BW_GA]])-1)/(Backend!$B$4/100*Table1[[#This Row],[BW40_3705]]),"")</f>
        <v/>
      </c>
      <c r="J7120" s="7" t="str">
        <f>IF(Table1[[#This Row],[Is Data Valid]]=TRUE,_xlfn.NORM.S.DIST(Table1[[#This Row],[Birthweight Z-Score]],TRUE)*100,"")</f>
        <v/>
      </c>
      <c r="K7120" s="7" t="str">
        <f>IF(Table1[[#This Row],[Is Data Valid]]=TRUE,_xlfn.NORM.S.DIST(Table1[[#This Row],[Birthweight Z-Score (BW-10%)]],TRUE)*100,"")</f>
        <v/>
      </c>
      <c r="L7120" s="7" t="str">
        <f>IF(Table1[[#This Row],[Is Data Valid]]=TRUE,_xlfn.NORM.S.DIST(Table1[[#This Row],[Birthweight Z-Score (BW+10%)]],TRUE)*100,"")</f>
        <v/>
      </c>
    </row>
    <row r="7121" spans="1:12" x14ac:dyDescent="0.35">
      <c r="A7121" s="3"/>
      <c r="B7121" s="2"/>
      <c r="C7121" s="2"/>
      <c r="D7121" s="2" t="b">
        <f>IF(AND(NOT(ISBLANK(Table1[[#This Row],[Fetal Sex (Male, Female or Unknown)]])),ISNUMBER(Table1[[#This Row],[Birthweight (grams)]]),ISNUMBER(Table1[[#This Row],[Gestation (days)]])),TRUE,FALSE)</f>
        <v>0</v>
      </c>
      <c r="E7121" s="2" t="str">
        <f>IF(Table1[[#This Row],[Is Data Valid]]=TRUE,IF(Table1[[#This Row],[Fetal Sex (Male, Female or Unknown)]]="Male",Backend!$C$6,IF(Table1[[#This Row],[Fetal Sex (Male, Female or Unknown)]]="Female",Backend!$C$7,IF(Table1[[#This Row],[Fetal Sex (Male, Female or Unknown)]]="Unknown",Backend!$C$8,"Error"))),"")</f>
        <v/>
      </c>
      <c r="F7121" s="8" t="str">
        <f>IF(Table1[[#This Row],[Is Data Valid]]=TRUE,EXP(0.578+0.332*((Table1[[#This Row],[Gestation (days)]]+0.5)/7)-0.00354*((Table1[[#This Row],[Gestation (days)]]+0.5)/7)^2)*Table1[[#This Row],[BW40_3705]],"")</f>
        <v/>
      </c>
      <c r="G7121" s="2" t="str">
        <f>IF(Table1[[#This Row],[Is Data Valid]]=TRUE,((Table1[[#This Row],[Birthweight (grams)]]/Table1[[#This Row],[BW_GA]])-1)/(Backend!$B$4/100*Table1[[#This Row],[BW40_3705]]),"")</f>
        <v/>
      </c>
      <c r="H7121" s="7" t="str">
        <f>IF(Table1[[#This Row],[Is Data Valid]]=TRUE,((Table1[[#This Row],[Birthweight (grams)]]*0.9/Table1[[#This Row],[BW_GA]])-1)/(Backend!$B$4/100*Table1[[#This Row],[BW40_3705]]),"")</f>
        <v/>
      </c>
      <c r="I7121" s="7" t="str">
        <f>IF(Table1[[#This Row],[Is Data Valid]]=TRUE,((Table1[[#This Row],[Birthweight (grams)]]*1.1/Table1[[#This Row],[BW_GA]])-1)/(Backend!$B$4/100*Table1[[#This Row],[BW40_3705]]),"")</f>
        <v/>
      </c>
      <c r="J7121" s="7" t="str">
        <f>IF(Table1[[#This Row],[Is Data Valid]]=TRUE,_xlfn.NORM.S.DIST(Table1[[#This Row],[Birthweight Z-Score]],TRUE)*100,"")</f>
        <v/>
      </c>
      <c r="K7121" s="7" t="str">
        <f>IF(Table1[[#This Row],[Is Data Valid]]=TRUE,_xlfn.NORM.S.DIST(Table1[[#This Row],[Birthweight Z-Score (BW-10%)]],TRUE)*100,"")</f>
        <v/>
      </c>
      <c r="L7121" s="7" t="str">
        <f>IF(Table1[[#This Row],[Is Data Valid]]=TRUE,_xlfn.NORM.S.DIST(Table1[[#This Row],[Birthweight Z-Score (BW+10%)]],TRUE)*100,"")</f>
        <v/>
      </c>
    </row>
    <row r="7122" spans="1:12" x14ac:dyDescent="0.35">
      <c r="A7122" s="3"/>
      <c r="B7122" s="2"/>
      <c r="C7122" s="2"/>
      <c r="D7122" s="2" t="b">
        <f>IF(AND(NOT(ISBLANK(Table1[[#This Row],[Fetal Sex (Male, Female or Unknown)]])),ISNUMBER(Table1[[#This Row],[Birthweight (grams)]]),ISNUMBER(Table1[[#This Row],[Gestation (days)]])),TRUE,FALSE)</f>
        <v>0</v>
      </c>
      <c r="E7122" s="2" t="str">
        <f>IF(Table1[[#This Row],[Is Data Valid]]=TRUE,IF(Table1[[#This Row],[Fetal Sex (Male, Female or Unknown)]]="Male",Backend!$C$6,IF(Table1[[#This Row],[Fetal Sex (Male, Female or Unknown)]]="Female",Backend!$C$7,IF(Table1[[#This Row],[Fetal Sex (Male, Female or Unknown)]]="Unknown",Backend!$C$8,"Error"))),"")</f>
        <v/>
      </c>
      <c r="F7122" s="8" t="str">
        <f>IF(Table1[[#This Row],[Is Data Valid]]=TRUE,EXP(0.578+0.332*((Table1[[#This Row],[Gestation (days)]]+0.5)/7)-0.00354*((Table1[[#This Row],[Gestation (days)]]+0.5)/7)^2)*Table1[[#This Row],[BW40_3705]],"")</f>
        <v/>
      </c>
      <c r="G7122" s="2" t="str">
        <f>IF(Table1[[#This Row],[Is Data Valid]]=TRUE,((Table1[[#This Row],[Birthweight (grams)]]/Table1[[#This Row],[BW_GA]])-1)/(Backend!$B$4/100*Table1[[#This Row],[BW40_3705]]),"")</f>
        <v/>
      </c>
      <c r="H7122" s="7" t="str">
        <f>IF(Table1[[#This Row],[Is Data Valid]]=TRUE,((Table1[[#This Row],[Birthweight (grams)]]*0.9/Table1[[#This Row],[BW_GA]])-1)/(Backend!$B$4/100*Table1[[#This Row],[BW40_3705]]),"")</f>
        <v/>
      </c>
      <c r="I7122" s="7" t="str">
        <f>IF(Table1[[#This Row],[Is Data Valid]]=TRUE,((Table1[[#This Row],[Birthweight (grams)]]*1.1/Table1[[#This Row],[BW_GA]])-1)/(Backend!$B$4/100*Table1[[#This Row],[BW40_3705]]),"")</f>
        <v/>
      </c>
      <c r="J7122" s="7" t="str">
        <f>IF(Table1[[#This Row],[Is Data Valid]]=TRUE,_xlfn.NORM.S.DIST(Table1[[#This Row],[Birthweight Z-Score]],TRUE)*100,"")</f>
        <v/>
      </c>
      <c r="K7122" s="7" t="str">
        <f>IF(Table1[[#This Row],[Is Data Valid]]=TRUE,_xlfn.NORM.S.DIST(Table1[[#This Row],[Birthweight Z-Score (BW-10%)]],TRUE)*100,"")</f>
        <v/>
      </c>
      <c r="L7122" s="7" t="str">
        <f>IF(Table1[[#This Row],[Is Data Valid]]=TRUE,_xlfn.NORM.S.DIST(Table1[[#This Row],[Birthweight Z-Score (BW+10%)]],TRUE)*100,"")</f>
        <v/>
      </c>
    </row>
    <row r="7123" spans="1:12" x14ac:dyDescent="0.35">
      <c r="A7123" s="3"/>
      <c r="B7123" s="2"/>
      <c r="C7123" s="2"/>
      <c r="D7123" s="2" t="b">
        <f>IF(AND(NOT(ISBLANK(Table1[[#This Row],[Fetal Sex (Male, Female or Unknown)]])),ISNUMBER(Table1[[#This Row],[Birthweight (grams)]]),ISNUMBER(Table1[[#This Row],[Gestation (days)]])),TRUE,FALSE)</f>
        <v>0</v>
      </c>
      <c r="E7123" s="2" t="str">
        <f>IF(Table1[[#This Row],[Is Data Valid]]=TRUE,IF(Table1[[#This Row],[Fetal Sex (Male, Female or Unknown)]]="Male",Backend!$C$6,IF(Table1[[#This Row],[Fetal Sex (Male, Female or Unknown)]]="Female",Backend!$C$7,IF(Table1[[#This Row],[Fetal Sex (Male, Female or Unknown)]]="Unknown",Backend!$C$8,"Error"))),"")</f>
        <v/>
      </c>
      <c r="F7123" s="8" t="str">
        <f>IF(Table1[[#This Row],[Is Data Valid]]=TRUE,EXP(0.578+0.332*((Table1[[#This Row],[Gestation (days)]]+0.5)/7)-0.00354*((Table1[[#This Row],[Gestation (days)]]+0.5)/7)^2)*Table1[[#This Row],[BW40_3705]],"")</f>
        <v/>
      </c>
      <c r="G7123" s="2" t="str">
        <f>IF(Table1[[#This Row],[Is Data Valid]]=TRUE,((Table1[[#This Row],[Birthweight (grams)]]/Table1[[#This Row],[BW_GA]])-1)/(Backend!$B$4/100*Table1[[#This Row],[BW40_3705]]),"")</f>
        <v/>
      </c>
      <c r="H7123" s="7" t="str">
        <f>IF(Table1[[#This Row],[Is Data Valid]]=TRUE,((Table1[[#This Row],[Birthweight (grams)]]*0.9/Table1[[#This Row],[BW_GA]])-1)/(Backend!$B$4/100*Table1[[#This Row],[BW40_3705]]),"")</f>
        <v/>
      </c>
      <c r="I7123" s="7" t="str">
        <f>IF(Table1[[#This Row],[Is Data Valid]]=TRUE,((Table1[[#This Row],[Birthweight (grams)]]*1.1/Table1[[#This Row],[BW_GA]])-1)/(Backend!$B$4/100*Table1[[#This Row],[BW40_3705]]),"")</f>
        <v/>
      </c>
      <c r="J7123" s="7" t="str">
        <f>IF(Table1[[#This Row],[Is Data Valid]]=TRUE,_xlfn.NORM.S.DIST(Table1[[#This Row],[Birthweight Z-Score]],TRUE)*100,"")</f>
        <v/>
      </c>
      <c r="K7123" s="7" t="str">
        <f>IF(Table1[[#This Row],[Is Data Valid]]=TRUE,_xlfn.NORM.S.DIST(Table1[[#This Row],[Birthweight Z-Score (BW-10%)]],TRUE)*100,"")</f>
        <v/>
      </c>
      <c r="L7123" s="7" t="str">
        <f>IF(Table1[[#This Row],[Is Data Valid]]=TRUE,_xlfn.NORM.S.DIST(Table1[[#This Row],[Birthweight Z-Score (BW+10%)]],TRUE)*100,"")</f>
        <v/>
      </c>
    </row>
    <row r="7124" spans="1:12" x14ac:dyDescent="0.35">
      <c r="A7124" s="3"/>
      <c r="B7124" s="2"/>
      <c r="C7124" s="2"/>
      <c r="D7124" s="2" t="b">
        <f>IF(AND(NOT(ISBLANK(Table1[[#This Row],[Fetal Sex (Male, Female or Unknown)]])),ISNUMBER(Table1[[#This Row],[Birthweight (grams)]]),ISNUMBER(Table1[[#This Row],[Gestation (days)]])),TRUE,FALSE)</f>
        <v>0</v>
      </c>
      <c r="E7124" s="2" t="str">
        <f>IF(Table1[[#This Row],[Is Data Valid]]=TRUE,IF(Table1[[#This Row],[Fetal Sex (Male, Female or Unknown)]]="Male",Backend!$C$6,IF(Table1[[#This Row],[Fetal Sex (Male, Female or Unknown)]]="Female",Backend!$C$7,IF(Table1[[#This Row],[Fetal Sex (Male, Female or Unknown)]]="Unknown",Backend!$C$8,"Error"))),"")</f>
        <v/>
      </c>
      <c r="F7124" s="8" t="str">
        <f>IF(Table1[[#This Row],[Is Data Valid]]=TRUE,EXP(0.578+0.332*((Table1[[#This Row],[Gestation (days)]]+0.5)/7)-0.00354*((Table1[[#This Row],[Gestation (days)]]+0.5)/7)^2)*Table1[[#This Row],[BW40_3705]],"")</f>
        <v/>
      </c>
      <c r="G7124" s="2" t="str">
        <f>IF(Table1[[#This Row],[Is Data Valid]]=TRUE,((Table1[[#This Row],[Birthweight (grams)]]/Table1[[#This Row],[BW_GA]])-1)/(Backend!$B$4/100*Table1[[#This Row],[BW40_3705]]),"")</f>
        <v/>
      </c>
      <c r="H7124" s="7" t="str">
        <f>IF(Table1[[#This Row],[Is Data Valid]]=TRUE,((Table1[[#This Row],[Birthweight (grams)]]*0.9/Table1[[#This Row],[BW_GA]])-1)/(Backend!$B$4/100*Table1[[#This Row],[BW40_3705]]),"")</f>
        <v/>
      </c>
      <c r="I7124" s="7" t="str">
        <f>IF(Table1[[#This Row],[Is Data Valid]]=TRUE,((Table1[[#This Row],[Birthweight (grams)]]*1.1/Table1[[#This Row],[BW_GA]])-1)/(Backend!$B$4/100*Table1[[#This Row],[BW40_3705]]),"")</f>
        <v/>
      </c>
      <c r="J7124" s="7" t="str">
        <f>IF(Table1[[#This Row],[Is Data Valid]]=TRUE,_xlfn.NORM.S.DIST(Table1[[#This Row],[Birthweight Z-Score]],TRUE)*100,"")</f>
        <v/>
      </c>
      <c r="K7124" s="7" t="str">
        <f>IF(Table1[[#This Row],[Is Data Valid]]=TRUE,_xlfn.NORM.S.DIST(Table1[[#This Row],[Birthweight Z-Score (BW-10%)]],TRUE)*100,"")</f>
        <v/>
      </c>
      <c r="L7124" s="7" t="str">
        <f>IF(Table1[[#This Row],[Is Data Valid]]=TRUE,_xlfn.NORM.S.DIST(Table1[[#This Row],[Birthweight Z-Score (BW+10%)]],TRUE)*100,"")</f>
        <v/>
      </c>
    </row>
    <row r="7125" spans="1:12" x14ac:dyDescent="0.35">
      <c r="A7125" s="3"/>
      <c r="B7125" s="2"/>
      <c r="C7125" s="2"/>
      <c r="D7125" s="2" t="b">
        <f>IF(AND(NOT(ISBLANK(Table1[[#This Row],[Fetal Sex (Male, Female or Unknown)]])),ISNUMBER(Table1[[#This Row],[Birthweight (grams)]]),ISNUMBER(Table1[[#This Row],[Gestation (days)]])),TRUE,FALSE)</f>
        <v>0</v>
      </c>
      <c r="E7125" s="2" t="str">
        <f>IF(Table1[[#This Row],[Is Data Valid]]=TRUE,IF(Table1[[#This Row],[Fetal Sex (Male, Female or Unknown)]]="Male",Backend!$C$6,IF(Table1[[#This Row],[Fetal Sex (Male, Female or Unknown)]]="Female",Backend!$C$7,IF(Table1[[#This Row],[Fetal Sex (Male, Female or Unknown)]]="Unknown",Backend!$C$8,"Error"))),"")</f>
        <v/>
      </c>
      <c r="F7125" s="8" t="str">
        <f>IF(Table1[[#This Row],[Is Data Valid]]=TRUE,EXP(0.578+0.332*((Table1[[#This Row],[Gestation (days)]]+0.5)/7)-0.00354*((Table1[[#This Row],[Gestation (days)]]+0.5)/7)^2)*Table1[[#This Row],[BW40_3705]],"")</f>
        <v/>
      </c>
      <c r="G7125" s="2" t="str">
        <f>IF(Table1[[#This Row],[Is Data Valid]]=TRUE,((Table1[[#This Row],[Birthweight (grams)]]/Table1[[#This Row],[BW_GA]])-1)/(Backend!$B$4/100*Table1[[#This Row],[BW40_3705]]),"")</f>
        <v/>
      </c>
      <c r="H7125" s="7" t="str">
        <f>IF(Table1[[#This Row],[Is Data Valid]]=TRUE,((Table1[[#This Row],[Birthweight (grams)]]*0.9/Table1[[#This Row],[BW_GA]])-1)/(Backend!$B$4/100*Table1[[#This Row],[BW40_3705]]),"")</f>
        <v/>
      </c>
      <c r="I7125" s="7" t="str">
        <f>IF(Table1[[#This Row],[Is Data Valid]]=TRUE,((Table1[[#This Row],[Birthweight (grams)]]*1.1/Table1[[#This Row],[BW_GA]])-1)/(Backend!$B$4/100*Table1[[#This Row],[BW40_3705]]),"")</f>
        <v/>
      </c>
      <c r="J7125" s="7" t="str">
        <f>IF(Table1[[#This Row],[Is Data Valid]]=TRUE,_xlfn.NORM.S.DIST(Table1[[#This Row],[Birthweight Z-Score]],TRUE)*100,"")</f>
        <v/>
      </c>
      <c r="K7125" s="7" t="str">
        <f>IF(Table1[[#This Row],[Is Data Valid]]=TRUE,_xlfn.NORM.S.DIST(Table1[[#This Row],[Birthweight Z-Score (BW-10%)]],TRUE)*100,"")</f>
        <v/>
      </c>
      <c r="L7125" s="7" t="str">
        <f>IF(Table1[[#This Row],[Is Data Valid]]=TRUE,_xlfn.NORM.S.DIST(Table1[[#This Row],[Birthweight Z-Score (BW+10%)]],TRUE)*100,"")</f>
        <v/>
      </c>
    </row>
    <row r="7126" spans="1:12" x14ac:dyDescent="0.35">
      <c r="A7126" s="3"/>
      <c r="B7126" s="2"/>
      <c r="C7126" s="2"/>
      <c r="D7126" s="2" t="b">
        <f>IF(AND(NOT(ISBLANK(Table1[[#This Row],[Fetal Sex (Male, Female or Unknown)]])),ISNUMBER(Table1[[#This Row],[Birthweight (grams)]]),ISNUMBER(Table1[[#This Row],[Gestation (days)]])),TRUE,FALSE)</f>
        <v>0</v>
      </c>
      <c r="E7126" s="2" t="str">
        <f>IF(Table1[[#This Row],[Is Data Valid]]=TRUE,IF(Table1[[#This Row],[Fetal Sex (Male, Female or Unknown)]]="Male",Backend!$C$6,IF(Table1[[#This Row],[Fetal Sex (Male, Female or Unknown)]]="Female",Backend!$C$7,IF(Table1[[#This Row],[Fetal Sex (Male, Female or Unknown)]]="Unknown",Backend!$C$8,"Error"))),"")</f>
        <v/>
      </c>
      <c r="F7126" s="8" t="str">
        <f>IF(Table1[[#This Row],[Is Data Valid]]=TRUE,EXP(0.578+0.332*((Table1[[#This Row],[Gestation (days)]]+0.5)/7)-0.00354*((Table1[[#This Row],[Gestation (days)]]+0.5)/7)^2)*Table1[[#This Row],[BW40_3705]],"")</f>
        <v/>
      </c>
      <c r="G7126" s="2" t="str">
        <f>IF(Table1[[#This Row],[Is Data Valid]]=TRUE,((Table1[[#This Row],[Birthweight (grams)]]/Table1[[#This Row],[BW_GA]])-1)/(Backend!$B$4/100*Table1[[#This Row],[BW40_3705]]),"")</f>
        <v/>
      </c>
      <c r="H7126" s="7" t="str">
        <f>IF(Table1[[#This Row],[Is Data Valid]]=TRUE,((Table1[[#This Row],[Birthweight (grams)]]*0.9/Table1[[#This Row],[BW_GA]])-1)/(Backend!$B$4/100*Table1[[#This Row],[BW40_3705]]),"")</f>
        <v/>
      </c>
      <c r="I7126" s="7" t="str">
        <f>IF(Table1[[#This Row],[Is Data Valid]]=TRUE,((Table1[[#This Row],[Birthweight (grams)]]*1.1/Table1[[#This Row],[BW_GA]])-1)/(Backend!$B$4/100*Table1[[#This Row],[BW40_3705]]),"")</f>
        <v/>
      </c>
      <c r="J7126" s="7" t="str">
        <f>IF(Table1[[#This Row],[Is Data Valid]]=TRUE,_xlfn.NORM.S.DIST(Table1[[#This Row],[Birthweight Z-Score]],TRUE)*100,"")</f>
        <v/>
      </c>
      <c r="K7126" s="7" t="str">
        <f>IF(Table1[[#This Row],[Is Data Valid]]=TRUE,_xlfn.NORM.S.DIST(Table1[[#This Row],[Birthweight Z-Score (BW-10%)]],TRUE)*100,"")</f>
        <v/>
      </c>
      <c r="L7126" s="7" t="str">
        <f>IF(Table1[[#This Row],[Is Data Valid]]=TRUE,_xlfn.NORM.S.DIST(Table1[[#This Row],[Birthweight Z-Score (BW+10%)]],TRUE)*100,"")</f>
        <v/>
      </c>
    </row>
    <row r="7127" spans="1:12" x14ac:dyDescent="0.35">
      <c r="A7127" s="3"/>
      <c r="B7127" s="2"/>
      <c r="C7127" s="2"/>
      <c r="D7127" s="2" t="b">
        <f>IF(AND(NOT(ISBLANK(Table1[[#This Row],[Fetal Sex (Male, Female or Unknown)]])),ISNUMBER(Table1[[#This Row],[Birthweight (grams)]]),ISNUMBER(Table1[[#This Row],[Gestation (days)]])),TRUE,FALSE)</f>
        <v>0</v>
      </c>
      <c r="E7127" s="2" t="str">
        <f>IF(Table1[[#This Row],[Is Data Valid]]=TRUE,IF(Table1[[#This Row],[Fetal Sex (Male, Female or Unknown)]]="Male",Backend!$C$6,IF(Table1[[#This Row],[Fetal Sex (Male, Female or Unknown)]]="Female",Backend!$C$7,IF(Table1[[#This Row],[Fetal Sex (Male, Female or Unknown)]]="Unknown",Backend!$C$8,"Error"))),"")</f>
        <v/>
      </c>
      <c r="F7127" s="8" t="str">
        <f>IF(Table1[[#This Row],[Is Data Valid]]=TRUE,EXP(0.578+0.332*((Table1[[#This Row],[Gestation (days)]]+0.5)/7)-0.00354*((Table1[[#This Row],[Gestation (days)]]+0.5)/7)^2)*Table1[[#This Row],[BW40_3705]],"")</f>
        <v/>
      </c>
      <c r="G7127" s="2" t="str">
        <f>IF(Table1[[#This Row],[Is Data Valid]]=TRUE,((Table1[[#This Row],[Birthweight (grams)]]/Table1[[#This Row],[BW_GA]])-1)/(Backend!$B$4/100*Table1[[#This Row],[BW40_3705]]),"")</f>
        <v/>
      </c>
      <c r="H7127" s="7" t="str">
        <f>IF(Table1[[#This Row],[Is Data Valid]]=TRUE,((Table1[[#This Row],[Birthweight (grams)]]*0.9/Table1[[#This Row],[BW_GA]])-1)/(Backend!$B$4/100*Table1[[#This Row],[BW40_3705]]),"")</f>
        <v/>
      </c>
      <c r="I7127" s="7" t="str">
        <f>IF(Table1[[#This Row],[Is Data Valid]]=TRUE,((Table1[[#This Row],[Birthweight (grams)]]*1.1/Table1[[#This Row],[BW_GA]])-1)/(Backend!$B$4/100*Table1[[#This Row],[BW40_3705]]),"")</f>
        <v/>
      </c>
      <c r="J7127" s="7" t="str">
        <f>IF(Table1[[#This Row],[Is Data Valid]]=TRUE,_xlfn.NORM.S.DIST(Table1[[#This Row],[Birthweight Z-Score]],TRUE)*100,"")</f>
        <v/>
      </c>
      <c r="K7127" s="7" t="str">
        <f>IF(Table1[[#This Row],[Is Data Valid]]=TRUE,_xlfn.NORM.S.DIST(Table1[[#This Row],[Birthweight Z-Score (BW-10%)]],TRUE)*100,"")</f>
        <v/>
      </c>
      <c r="L7127" s="7" t="str">
        <f>IF(Table1[[#This Row],[Is Data Valid]]=TRUE,_xlfn.NORM.S.DIST(Table1[[#This Row],[Birthweight Z-Score (BW+10%)]],TRUE)*100,"")</f>
        <v/>
      </c>
    </row>
    <row r="7128" spans="1:12" x14ac:dyDescent="0.35">
      <c r="A7128" s="3"/>
      <c r="B7128" s="2"/>
      <c r="C7128" s="2"/>
      <c r="D7128" s="2" t="b">
        <f>IF(AND(NOT(ISBLANK(Table1[[#This Row],[Fetal Sex (Male, Female or Unknown)]])),ISNUMBER(Table1[[#This Row],[Birthweight (grams)]]),ISNUMBER(Table1[[#This Row],[Gestation (days)]])),TRUE,FALSE)</f>
        <v>0</v>
      </c>
      <c r="E7128" s="2" t="str">
        <f>IF(Table1[[#This Row],[Is Data Valid]]=TRUE,IF(Table1[[#This Row],[Fetal Sex (Male, Female or Unknown)]]="Male",Backend!$C$6,IF(Table1[[#This Row],[Fetal Sex (Male, Female or Unknown)]]="Female",Backend!$C$7,IF(Table1[[#This Row],[Fetal Sex (Male, Female or Unknown)]]="Unknown",Backend!$C$8,"Error"))),"")</f>
        <v/>
      </c>
      <c r="F7128" s="8" t="str">
        <f>IF(Table1[[#This Row],[Is Data Valid]]=TRUE,EXP(0.578+0.332*((Table1[[#This Row],[Gestation (days)]]+0.5)/7)-0.00354*((Table1[[#This Row],[Gestation (days)]]+0.5)/7)^2)*Table1[[#This Row],[BW40_3705]],"")</f>
        <v/>
      </c>
      <c r="G7128" s="2" t="str">
        <f>IF(Table1[[#This Row],[Is Data Valid]]=TRUE,((Table1[[#This Row],[Birthweight (grams)]]/Table1[[#This Row],[BW_GA]])-1)/(Backend!$B$4/100*Table1[[#This Row],[BW40_3705]]),"")</f>
        <v/>
      </c>
      <c r="H7128" s="7" t="str">
        <f>IF(Table1[[#This Row],[Is Data Valid]]=TRUE,((Table1[[#This Row],[Birthweight (grams)]]*0.9/Table1[[#This Row],[BW_GA]])-1)/(Backend!$B$4/100*Table1[[#This Row],[BW40_3705]]),"")</f>
        <v/>
      </c>
      <c r="I7128" s="7" t="str">
        <f>IF(Table1[[#This Row],[Is Data Valid]]=TRUE,((Table1[[#This Row],[Birthweight (grams)]]*1.1/Table1[[#This Row],[BW_GA]])-1)/(Backend!$B$4/100*Table1[[#This Row],[BW40_3705]]),"")</f>
        <v/>
      </c>
      <c r="J7128" s="7" t="str">
        <f>IF(Table1[[#This Row],[Is Data Valid]]=TRUE,_xlfn.NORM.S.DIST(Table1[[#This Row],[Birthweight Z-Score]],TRUE)*100,"")</f>
        <v/>
      </c>
      <c r="K7128" s="7" t="str">
        <f>IF(Table1[[#This Row],[Is Data Valid]]=TRUE,_xlfn.NORM.S.DIST(Table1[[#This Row],[Birthweight Z-Score (BW-10%)]],TRUE)*100,"")</f>
        <v/>
      </c>
      <c r="L7128" s="7" t="str">
        <f>IF(Table1[[#This Row],[Is Data Valid]]=TRUE,_xlfn.NORM.S.DIST(Table1[[#This Row],[Birthweight Z-Score (BW+10%)]],TRUE)*100,"")</f>
        <v/>
      </c>
    </row>
    <row r="7129" spans="1:12" x14ac:dyDescent="0.35">
      <c r="A7129" s="3"/>
      <c r="B7129" s="2"/>
      <c r="C7129" s="2"/>
      <c r="D7129" s="2" t="b">
        <f>IF(AND(NOT(ISBLANK(Table1[[#This Row],[Fetal Sex (Male, Female or Unknown)]])),ISNUMBER(Table1[[#This Row],[Birthweight (grams)]]),ISNUMBER(Table1[[#This Row],[Gestation (days)]])),TRUE,FALSE)</f>
        <v>0</v>
      </c>
      <c r="E7129" s="2" t="str">
        <f>IF(Table1[[#This Row],[Is Data Valid]]=TRUE,IF(Table1[[#This Row],[Fetal Sex (Male, Female or Unknown)]]="Male",Backend!$C$6,IF(Table1[[#This Row],[Fetal Sex (Male, Female or Unknown)]]="Female",Backend!$C$7,IF(Table1[[#This Row],[Fetal Sex (Male, Female or Unknown)]]="Unknown",Backend!$C$8,"Error"))),"")</f>
        <v/>
      </c>
      <c r="F7129" s="8" t="str">
        <f>IF(Table1[[#This Row],[Is Data Valid]]=TRUE,EXP(0.578+0.332*((Table1[[#This Row],[Gestation (days)]]+0.5)/7)-0.00354*((Table1[[#This Row],[Gestation (days)]]+0.5)/7)^2)*Table1[[#This Row],[BW40_3705]],"")</f>
        <v/>
      </c>
      <c r="G7129" s="2" t="str">
        <f>IF(Table1[[#This Row],[Is Data Valid]]=TRUE,((Table1[[#This Row],[Birthweight (grams)]]/Table1[[#This Row],[BW_GA]])-1)/(Backend!$B$4/100*Table1[[#This Row],[BW40_3705]]),"")</f>
        <v/>
      </c>
      <c r="H7129" s="7" t="str">
        <f>IF(Table1[[#This Row],[Is Data Valid]]=TRUE,((Table1[[#This Row],[Birthweight (grams)]]*0.9/Table1[[#This Row],[BW_GA]])-1)/(Backend!$B$4/100*Table1[[#This Row],[BW40_3705]]),"")</f>
        <v/>
      </c>
      <c r="I7129" s="7" t="str">
        <f>IF(Table1[[#This Row],[Is Data Valid]]=TRUE,((Table1[[#This Row],[Birthweight (grams)]]*1.1/Table1[[#This Row],[BW_GA]])-1)/(Backend!$B$4/100*Table1[[#This Row],[BW40_3705]]),"")</f>
        <v/>
      </c>
      <c r="J7129" s="7" t="str">
        <f>IF(Table1[[#This Row],[Is Data Valid]]=TRUE,_xlfn.NORM.S.DIST(Table1[[#This Row],[Birthweight Z-Score]],TRUE)*100,"")</f>
        <v/>
      </c>
      <c r="K7129" s="7" t="str">
        <f>IF(Table1[[#This Row],[Is Data Valid]]=TRUE,_xlfn.NORM.S.DIST(Table1[[#This Row],[Birthweight Z-Score (BW-10%)]],TRUE)*100,"")</f>
        <v/>
      </c>
      <c r="L7129" s="7" t="str">
        <f>IF(Table1[[#This Row],[Is Data Valid]]=TRUE,_xlfn.NORM.S.DIST(Table1[[#This Row],[Birthweight Z-Score (BW+10%)]],TRUE)*100,"")</f>
        <v/>
      </c>
    </row>
    <row r="7130" spans="1:12" x14ac:dyDescent="0.35">
      <c r="A7130" s="3"/>
      <c r="B7130" s="2"/>
      <c r="C7130" s="2"/>
      <c r="D7130" s="2" t="b">
        <f>IF(AND(NOT(ISBLANK(Table1[[#This Row],[Fetal Sex (Male, Female or Unknown)]])),ISNUMBER(Table1[[#This Row],[Birthweight (grams)]]),ISNUMBER(Table1[[#This Row],[Gestation (days)]])),TRUE,FALSE)</f>
        <v>0</v>
      </c>
      <c r="E7130" s="2" t="str">
        <f>IF(Table1[[#This Row],[Is Data Valid]]=TRUE,IF(Table1[[#This Row],[Fetal Sex (Male, Female or Unknown)]]="Male",Backend!$C$6,IF(Table1[[#This Row],[Fetal Sex (Male, Female or Unknown)]]="Female",Backend!$C$7,IF(Table1[[#This Row],[Fetal Sex (Male, Female or Unknown)]]="Unknown",Backend!$C$8,"Error"))),"")</f>
        <v/>
      </c>
      <c r="F7130" s="8" t="str">
        <f>IF(Table1[[#This Row],[Is Data Valid]]=TRUE,EXP(0.578+0.332*((Table1[[#This Row],[Gestation (days)]]+0.5)/7)-0.00354*((Table1[[#This Row],[Gestation (days)]]+0.5)/7)^2)*Table1[[#This Row],[BW40_3705]],"")</f>
        <v/>
      </c>
      <c r="G7130" s="2" t="str">
        <f>IF(Table1[[#This Row],[Is Data Valid]]=TRUE,((Table1[[#This Row],[Birthweight (grams)]]/Table1[[#This Row],[BW_GA]])-1)/(Backend!$B$4/100*Table1[[#This Row],[BW40_3705]]),"")</f>
        <v/>
      </c>
      <c r="H7130" s="7" t="str">
        <f>IF(Table1[[#This Row],[Is Data Valid]]=TRUE,((Table1[[#This Row],[Birthweight (grams)]]*0.9/Table1[[#This Row],[BW_GA]])-1)/(Backend!$B$4/100*Table1[[#This Row],[BW40_3705]]),"")</f>
        <v/>
      </c>
      <c r="I7130" s="7" t="str">
        <f>IF(Table1[[#This Row],[Is Data Valid]]=TRUE,((Table1[[#This Row],[Birthweight (grams)]]*1.1/Table1[[#This Row],[BW_GA]])-1)/(Backend!$B$4/100*Table1[[#This Row],[BW40_3705]]),"")</f>
        <v/>
      </c>
      <c r="J7130" s="7" t="str">
        <f>IF(Table1[[#This Row],[Is Data Valid]]=TRUE,_xlfn.NORM.S.DIST(Table1[[#This Row],[Birthweight Z-Score]],TRUE)*100,"")</f>
        <v/>
      </c>
      <c r="K7130" s="7" t="str">
        <f>IF(Table1[[#This Row],[Is Data Valid]]=TRUE,_xlfn.NORM.S.DIST(Table1[[#This Row],[Birthweight Z-Score (BW-10%)]],TRUE)*100,"")</f>
        <v/>
      </c>
      <c r="L7130" s="7" t="str">
        <f>IF(Table1[[#This Row],[Is Data Valid]]=TRUE,_xlfn.NORM.S.DIST(Table1[[#This Row],[Birthweight Z-Score (BW+10%)]],TRUE)*100,"")</f>
        <v/>
      </c>
    </row>
    <row r="7131" spans="1:12" x14ac:dyDescent="0.35">
      <c r="A7131" s="3"/>
      <c r="B7131" s="2"/>
      <c r="C7131" s="2"/>
      <c r="D7131" s="2" t="b">
        <f>IF(AND(NOT(ISBLANK(Table1[[#This Row],[Fetal Sex (Male, Female or Unknown)]])),ISNUMBER(Table1[[#This Row],[Birthweight (grams)]]),ISNUMBER(Table1[[#This Row],[Gestation (days)]])),TRUE,FALSE)</f>
        <v>0</v>
      </c>
      <c r="E7131" s="2" t="str">
        <f>IF(Table1[[#This Row],[Is Data Valid]]=TRUE,IF(Table1[[#This Row],[Fetal Sex (Male, Female or Unknown)]]="Male",Backend!$C$6,IF(Table1[[#This Row],[Fetal Sex (Male, Female or Unknown)]]="Female",Backend!$C$7,IF(Table1[[#This Row],[Fetal Sex (Male, Female or Unknown)]]="Unknown",Backend!$C$8,"Error"))),"")</f>
        <v/>
      </c>
      <c r="F7131" s="8" t="str">
        <f>IF(Table1[[#This Row],[Is Data Valid]]=TRUE,EXP(0.578+0.332*((Table1[[#This Row],[Gestation (days)]]+0.5)/7)-0.00354*((Table1[[#This Row],[Gestation (days)]]+0.5)/7)^2)*Table1[[#This Row],[BW40_3705]],"")</f>
        <v/>
      </c>
      <c r="G7131" s="2" t="str">
        <f>IF(Table1[[#This Row],[Is Data Valid]]=TRUE,((Table1[[#This Row],[Birthweight (grams)]]/Table1[[#This Row],[BW_GA]])-1)/(Backend!$B$4/100*Table1[[#This Row],[BW40_3705]]),"")</f>
        <v/>
      </c>
      <c r="H7131" s="7" t="str">
        <f>IF(Table1[[#This Row],[Is Data Valid]]=TRUE,((Table1[[#This Row],[Birthweight (grams)]]*0.9/Table1[[#This Row],[BW_GA]])-1)/(Backend!$B$4/100*Table1[[#This Row],[BW40_3705]]),"")</f>
        <v/>
      </c>
      <c r="I7131" s="7" t="str">
        <f>IF(Table1[[#This Row],[Is Data Valid]]=TRUE,((Table1[[#This Row],[Birthweight (grams)]]*1.1/Table1[[#This Row],[BW_GA]])-1)/(Backend!$B$4/100*Table1[[#This Row],[BW40_3705]]),"")</f>
        <v/>
      </c>
      <c r="J7131" s="7" t="str">
        <f>IF(Table1[[#This Row],[Is Data Valid]]=TRUE,_xlfn.NORM.S.DIST(Table1[[#This Row],[Birthweight Z-Score]],TRUE)*100,"")</f>
        <v/>
      </c>
      <c r="K7131" s="7" t="str">
        <f>IF(Table1[[#This Row],[Is Data Valid]]=TRUE,_xlfn.NORM.S.DIST(Table1[[#This Row],[Birthweight Z-Score (BW-10%)]],TRUE)*100,"")</f>
        <v/>
      </c>
      <c r="L7131" s="7" t="str">
        <f>IF(Table1[[#This Row],[Is Data Valid]]=TRUE,_xlfn.NORM.S.DIST(Table1[[#This Row],[Birthweight Z-Score (BW+10%)]],TRUE)*100,"")</f>
        <v/>
      </c>
    </row>
    <row r="7132" spans="1:12" x14ac:dyDescent="0.35">
      <c r="A7132" s="3"/>
      <c r="B7132" s="2"/>
      <c r="C7132" s="2"/>
      <c r="D7132" s="2" t="b">
        <f>IF(AND(NOT(ISBLANK(Table1[[#This Row],[Fetal Sex (Male, Female or Unknown)]])),ISNUMBER(Table1[[#This Row],[Birthweight (grams)]]),ISNUMBER(Table1[[#This Row],[Gestation (days)]])),TRUE,FALSE)</f>
        <v>0</v>
      </c>
      <c r="E7132" s="2" t="str">
        <f>IF(Table1[[#This Row],[Is Data Valid]]=TRUE,IF(Table1[[#This Row],[Fetal Sex (Male, Female or Unknown)]]="Male",Backend!$C$6,IF(Table1[[#This Row],[Fetal Sex (Male, Female or Unknown)]]="Female",Backend!$C$7,IF(Table1[[#This Row],[Fetal Sex (Male, Female or Unknown)]]="Unknown",Backend!$C$8,"Error"))),"")</f>
        <v/>
      </c>
      <c r="F7132" s="8" t="str">
        <f>IF(Table1[[#This Row],[Is Data Valid]]=TRUE,EXP(0.578+0.332*((Table1[[#This Row],[Gestation (days)]]+0.5)/7)-0.00354*((Table1[[#This Row],[Gestation (days)]]+0.5)/7)^2)*Table1[[#This Row],[BW40_3705]],"")</f>
        <v/>
      </c>
      <c r="G7132" s="2" t="str">
        <f>IF(Table1[[#This Row],[Is Data Valid]]=TRUE,((Table1[[#This Row],[Birthweight (grams)]]/Table1[[#This Row],[BW_GA]])-1)/(Backend!$B$4/100*Table1[[#This Row],[BW40_3705]]),"")</f>
        <v/>
      </c>
      <c r="H7132" s="7" t="str">
        <f>IF(Table1[[#This Row],[Is Data Valid]]=TRUE,((Table1[[#This Row],[Birthweight (grams)]]*0.9/Table1[[#This Row],[BW_GA]])-1)/(Backend!$B$4/100*Table1[[#This Row],[BW40_3705]]),"")</f>
        <v/>
      </c>
      <c r="I7132" s="7" t="str">
        <f>IF(Table1[[#This Row],[Is Data Valid]]=TRUE,((Table1[[#This Row],[Birthweight (grams)]]*1.1/Table1[[#This Row],[BW_GA]])-1)/(Backend!$B$4/100*Table1[[#This Row],[BW40_3705]]),"")</f>
        <v/>
      </c>
      <c r="J7132" s="7" t="str">
        <f>IF(Table1[[#This Row],[Is Data Valid]]=TRUE,_xlfn.NORM.S.DIST(Table1[[#This Row],[Birthweight Z-Score]],TRUE)*100,"")</f>
        <v/>
      </c>
      <c r="K7132" s="7" t="str">
        <f>IF(Table1[[#This Row],[Is Data Valid]]=TRUE,_xlfn.NORM.S.DIST(Table1[[#This Row],[Birthweight Z-Score (BW-10%)]],TRUE)*100,"")</f>
        <v/>
      </c>
      <c r="L7132" s="7" t="str">
        <f>IF(Table1[[#This Row],[Is Data Valid]]=TRUE,_xlfn.NORM.S.DIST(Table1[[#This Row],[Birthweight Z-Score (BW+10%)]],TRUE)*100,"")</f>
        <v/>
      </c>
    </row>
    <row r="7133" spans="1:12" x14ac:dyDescent="0.35">
      <c r="A7133" s="3"/>
      <c r="B7133" s="2"/>
      <c r="C7133" s="2"/>
      <c r="D7133" s="2" t="b">
        <f>IF(AND(NOT(ISBLANK(Table1[[#This Row],[Fetal Sex (Male, Female or Unknown)]])),ISNUMBER(Table1[[#This Row],[Birthweight (grams)]]),ISNUMBER(Table1[[#This Row],[Gestation (days)]])),TRUE,FALSE)</f>
        <v>0</v>
      </c>
      <c r="E7133" s="2" t="str">
        <f>IF(Table1[[#This Row],[Is Data Valid]]=TRUE,IF(Table1[[#This Row],[Fetal Sex (Male, Female or Unknown)]]="Male",Backend!$C$6,IF(Table1[[#This Row],[Fetal Sex (Male, Female or Unknown)]]="Female",Backend!$C$7,IF(Table1[[#This Row],[Fetal Sex (Male, Female or Unknown)]]="Unknown",Backend!$C$8,"Error"))),"")</f>
        <v/>
      </c>
      <c r="F7133" s="8" t="str">
        <f>IF(Table1[[#This Row],[Is Data Valid]]=TRUE,EXP(0.578+0.332*((Table1[[#This Row],[Gestation (days)]]+0.5)/7)-0.00354*((Table1[[#This Row],[Gestation (days)]]+0.5)/7)^2)*Table1[[#This Row],[BW40_3705]],"")</f>
        <v/>
      </c>
      <c r="G7133" s="2" t="str">
        <f>IF(Table1[[#This Row],[Is Data Valid]]=TRUE,((Table1[[#This Row],[Birthweight (grams)]]/Table1[[#This Row],[BW_GA]])-1)/(Backend!$B$4/100*Table1[[#This Row],[BW40_3705]]),"")</f>
        <v/>
      </c>
      <c r="H7133" s="7" t="str">
        <f>IF(Table1[[#This Row],[Is Data Valid]]=TRUE,((Table1[[#This Row],[Birthweight (grams)]]*0.9/Table1[[#This Row],[BW_GA]])-1)/(Backend!$B$4/100*Table1[[#This Row],[BW40_3705]]),"")</f>
        <v/>
      </c>
      <c r="I7133" s="7" t="str">
        <f>IF(Table1[[#This Row],[Is Data Valid]]=TRUE,((Table1[[#This Row],[Birthweight (grams)]]*1.1/Table1[[#This Row],[BW_GA]])-1)/(Backend!$B$4/100*Table1[[#This Row],[BW40_3705]]),"")</f>
        <v/>
      </c>
      <c r="J7133" s="7" t="str">
        <f>IF(Table1[[#This Row],[Is Data Valid]]=TRUE,_xlfn.NORM.S.DIST(Table1[[#This Row],[Birthweight Z-Score]],TRUE)*100,"")</f>
        <v/>
      </c>
      <c r="K7133" s="7" t="str">
        <f>IF(Table1[[#This Row],[Is Data Valid]]=TRUE,_xlfn.NORM.S.DIST(Table1[[#This Row],[Birthweight Z-Score (BW-10%)]],TRUE)*100,"")</f>
        <v/>
      </c>
      <c r="L7133" s="7" t="str">
        <f>IF(Table1[[#This Row],[Is Data Valid]]=TRUE,_xlfn.NORM.S.DIST(Table1[[#This Row],[Birthweight Z-Score (BW+10%)]],TRUE)*100,"")</f>
        <v/>
      </c>
    </row>
    <row r="7134" spans="1:12" x14ac:dyDescent="0.35">
      <c r="A7134" s="3"/>
      <c r="B7134" s="2"/>
      <c r="C7134" s="2"/>
      <c r="D7134" s="2" t="b">
        <f>IF(AND(NOT(ISBLANK(Table1[[#This Row],[Fetal Sex (Male, Female or Unknown)]])),ISNUMBER(Table1[[#This Row],[Birthweight (grams)]]),ISNUMBER(Table1[[#This Row],[Gestation (days)]])),TRUE,FALSE)</f>
        <v>0</v>
      </c>
      <c r="E7134" s="2" t="str">
        <f>IF(Table1[[#This Row],[Is Data Valid]]=TRUE,IF(Table1[[#This Row],[Fetal Sex (Male, Female or Unknown)]]="Male",Backend!$C$6,IF(Table1[[#This Row],[Fetal Sex (Male, Female or Unknown)]]="Female",Backend!$C$7,IF(Table1[[#This Row],[Fetal Sex (Male, Female or Unknown)]]="Unknown",Backend!$C$8,"Error"))),"")</f>
        <v/>
      </c>
      <c r="F7134" s="8" t="str">
        <f>IF(Table1[[#This Row],[Is Data Valid]]=TRUE,EXP(0.578+0.332*((Table1[[#This Row],[Gestation (days)]]+0.5)/7)-0.00354*((Table1[[#This Row],[Gestation (days)]]+0.5)/7)^2)*Table1[[#This Row],[BW40_3705]],"")</f>
        <v/>
      </c>
      <c r="G7134" s="2" t="str">
        <f>IF(Table1[[#This Row],[Is Data Valid]]=TRUE,((Table1[[#This Row],[Birthweight (grams)]]/Table1[[#This Row],[BW_GA]])-1)/(Backend!$B$4/100*Table1[[#This Row],[BW40_3705]]),"")</f>
        <v/>
      </c>
      <c r="H7134" s="7" t="str">
        <f>IF(Table1[[#This Row],[Is Data Valid]]=TRUE,((Table1[[#This Row],[Birthweight (grams)]]*0.9/Table1[[#This Row],[BW_GA]])-1)/(Backend!$B$4/100*Table1[[#This Row],[BW40_3705]]),"")</f>
        <v/>
      </c>
      <c r="I7134" s="7" t="str">
        <f>IF(Table1[[#This Row],[Is Data Valid]]=TRUE,((Table1[[#This Row],[Birthweight (grams)]]*1.1/Table1[[#This Row],[BW_GA]])-1)/(Backend!$B$4/100*Table1[[#This Row],[BW40_3705]]),"")</f>
        <v/>
      </c>
      <c r="J7134" s="7" t="str">
        <f>IF(Table1[[#This Row],[Is Data Valid]]=TRUE,_xlfn.NORM.S.DIST(Table1[[#This Row],[Birthweight Z-Score]],TRUE)*100,"")</f>
        <v/>
      </c>
      <c r="K7134" s="7" t="str">
        <f>IF(Table1[[#This Row],[Is Data Valid]]=TRUE,_xlfn.NORM.S.DIST(Table1[[#This Row],[Birthweight Z-Score (BW-10%)]],TRUE)*100,"")</f>
        <v/>
      </c>
      <c r="L7134" s="7" t="str">
        <f>IF(Table1[[#This Row],[Is Data Valid]]=TRUE,_xlfn.NORM.S.DIST(Table1[[#This Row],[Birthweight Z-Score (BW+10%)]],TRUE)*100,"")</f>
        <v/>
      </c>
    </row>
    <row r="7135" spans="1:12" x14ac:dyDescent="0.35">
      <c r="A7135" s="3"/>
      <c r="B7135" s="2"/>
      <c r="C7135" s="2"/>
      <c r="D7135" s="2" t="b">
        <f>IF(AND(NOT(ISBLANK(Table1[[#This Row],[Fetal Sex (Male, Female or Unknown)]])),ISNUMBER(Table1[[#This Row],[Birthweight (grams)]]),ISNUMBER(Table1[[#This Row],[Gestation (days)]])),TRUE,FALSE)</f>
        <v>0</v>
      </c>
      <c r="E7135" s="2" t="str">
        <f>IF(Table1[[#This Row],[Is Data Valid]]=TRUE,IF(Table1[[#This Row],[Fetal Sex (Male, Female or Unknown)]]="Male",Backend!$C$6,IF(Table1[[#This Row],[Fetal Sex (Male, Female or Unknown)]]="Female",Backend!$C$7,IF(Table1[[#This Row],[Fetal Sex (Male, Female or Unknown)]]="Unknown",Backend!$C$8,"Error"))),"")</f>
        <v/>
      </c>
      <c r="F7135" s="8" t="str">
        <f>IF(Table1[[#This Row],[Is Data Valid]]=TRUE,EXP(0.578+0.332*((Table1[[#This Row],[Gestation (days)]]+0.5)/7)-0.00354*((Table1[[#This Row],[Gestation (days)]]+0.5)/7)^2)*Table1[[#This Row],[BW40_3705]],"")</f>
        <v/>
      </c>
      <c r="G7135" s="2" t="str">
        <f>IF(Table1[[#This Row],[Is Data Valid]]=TRUE,((Table1[[#This Row],[Birthweight (grams)]]/Table1[[#This Row],[BW_GA]])-1)/(Backend!$B$4/100*Table1[[#This Row],[BW40_3705]]),"")</f>
        <v/>
      </c>
      <c r="H7135" s="7" t="str">
        <f>IF(Table1[[#This Row],[Is Data Valid]]=TRUE,((Table1[[#This Row],[Birthweight (grams)]]*0.9/Table1[[#This Row],[BW_GA]])-1)/(Backend!$B$4/100*Table1[[#This Row],[BW40_3705]]),"")</f>
        <v/>
      </c>
      <c r="I7135" s="7" t="str">
        <f>IF(Table1[[#This Row],[Is Data Valid]]=TRUE,((Table1[[#This Row],[Birthweight (grams)]]*1.1/Table1[[#This Row],[BW_GA]])-1)/(Backend!$B$4/100*Table1[[#This Row],[BW40_3705]]),"")</f>
        <v/>
      </c>
      <c r="J7135" s="7" t="str">
        <f>IF(Table1[[#This Row],[Is Data Valid]]=TRUE,_xlfn.NORM.S.DIST(Table1[[#This Row],[Birthweight Z-Score]],TRUE)*100,"")</f>
        <v/>
      </c>
      <c r="K7135" s="7" t="str">
        <f>IF(Table1[[#This Row],[Is Data Valid]]=TRUE,_xlfn.NORM.S.DIST(Table1[[#This Row],[Birthweight Z-Score (BW-10%)]],TRUE)*100,"")</f>
        <v/>
      </c>
      <c r="L7135" s="7" t="str">
        <f>IF(Table1[[#This Row],[Is Data Valid]]=TRUE,_xlfn.NORM.S.DIST(Table1[[#This Row],[Birthweight Z-Score (BW+10%)]],TRUE)*100,"")</f>
        <v/>
      </c>
    </row>
    <row r="7136" spans="1:12" x14ac:dyDescent="0.35">
      <c r="A7136" s="3"/>
      <c r="B7136" s="2"/>
      <c r="C7136" s="2"/>
      <c r="D7136" s="2" t="b">
        <f>IF(AND(NOT(ISBLANK(Table1[[#This Row],[Fetal Sex (Male, Female or Unknown)]])),ISNUMBER(Table1[[#This Row],[Birthweight (grams)]]),ISNUMBER(Table1[[#This Row],[Gestation (days)]])),TRUE,FALSE)</f>
        <v>0</v>
      </c>
      <c r="E7136" s="2" t="str">
        <f>IF(Table1[[#This Row],[Is Data Valid]]=TRUE,IF(Table1[[#This Row],[Fetal Sex (Male, Female or Unknown)]]="Male",Backend!$C$6,IF(Table1[[#This Row],[Fetal Sex (Male, Female or Unknown)]]="Female",Backend!$C$7,IF(Table1[[#This Row],[Fetal Sex (Male, Female or Unknown)]]="Unknown",Backend!$C$8,"Error"))),"")</f>
        <v/>
      </c>
      <c r="F7136" s="8" t="str">
        <f>IF(Table1[[#This Row],[Is Data Valid]]=TRUE,EXP(0.578+0.332*((Table1[[#This Row],[Gestation (days)]]+0.5)/7)-0.00354*((Table1[[#This Row],[Gestation (days)]]+0.5)/7)^2)*Table1[[#This Row],[BW40_3705]],"")</f>
        <v/>
      </c>
      <c r="G7136" s="2" t="str">
        <f>IF(Table1[[#This Row],[Is Data Valid]]=TRUE,((Table1[[#This Row],[Birthweight (grams)]]/Table1[[#This Row],[BW_GA]])-1)/(Backend!$B$4/100*Table1[[#This Row],[BW40_3705]]),"")</f>
        <v/>
      </c>
      <c r="H7136" s="7" t="str">
        <f>IF(Table1[[#This Row],[Is Data Valid]]=TRUE,((Table1[[#This Row],[Birthweight (grams)]]*0.9/Table1[[#This Row],[BW_GA]])-1)/(Backend!$B$4/100*Table1[[#This Row],[BW40_3705]]),"")</f>
        <v/>
      </c>
      <c r="I7136" s="7" t="str">
        <f>IF(Table1[[#This Row],[Is Data Valid]]=TRUE,((Table1[[#This Row],[Birthweight (grams)]]*1.1/Table1[[#This Row],[BW_GA]])-1)/(Backend!$B$4/100*Table1[[#This Row],[BW40_3705]]),"")</f>
        <v/>
      </c>
      <c r="J7136" s="7" t="str">
        <f>IF(Table1[[#This Row],[Is Data Valid]]=TRUE,_xlfn.NORM.S.DIST(Table1[[#This Row],[Birthweight Z-Score]],TRUE)*100,"")</f>
        <v/>
      </c>
      <c r="K7136" s="7" t="str">
        <f>IF(Table1[[#This Row],[Is Data Valid]]=TRUE,_xlfn.NORM.S.DIST(Table1[[#This Row],[Birthweight Z-Score (BW-10%)]],TRUE)*100,"")</f>
        <v/>
      </c>
      <c r="L7136" s="7" t="str">
        <f>IF(Table1[[#This Row],[Is Data Valid]]=TRUE,_xlfn.NORM.S.DIST(Table1[[#This Row],[Birthweight Z-Score (BW+10%)]],TRUE)*100,"")</f>
        <v/>
      </c>
    </row>
    <row r="7137" spans="1:12" x14ac:dyDescent="0.35">
      <c r="A7137" s="3"/>
      <c r="B7137" s="2"/>
      <c r="C7137" s="2"/>
      <c r="D7137" s="2" t="b">
        <f>IF(AND(NOT(ISBLANK(Table1[[#This Row],[Fetal Sex (Male, Female or Unknown)]])),ISNUMBER(Table1[[#This Row],[Birthweight (grams)]]),ISNUMBER(Table1[[#This Row],[Gestation (days)]])),TRUE,FALSE)</f>
        <v>0</v>
      </c>
      <c r="E7137" s="2" t="str">
        <f>IF(Table1[[#This Row],[Is Data Valid]]=TRUE,IF(Table1[[#This Row],[Fetal Sex (Male, Female or Unknown)]]="Male",Backend!$C$6,IF(Table1[[#This Row],[Fetal Sex (Male, Female or Unknown)]]="Female",Backend!$C$7,IF(Table1[[#This Row],[Fetal Sex (Male, Female or Unknown)]]="Unknown",Backend!$C$8,"Error"))),"")</f>
        <v/>
      </c>
      <c r="F7137" s="8" t="str">
        <f>IF(Table1[[#This Row],[Is Data Valid]]=TRUE,EXP(0.578+0.332*((Table1[[#This Row],[Gestation (days)]]+0.5)/7)-0.00354*((Table1[[#This Row],[Gestation (days)]]+0.5)/7)^2)*Table1[[#This Row],[BW40_3705]],"")</f>
        <v/>
      </c>
      <c r="G7137" s="2" t="str">
        <f>IF(Table1[[#This Row],[Is Data Valid]]=TRUE,((Table1[[#This Row],[Birthweight (grams)]]/Table1[[#This Row],[BW_GA]])-1)/(Backend!$B$4/100*Table1[[#This Row],[BW40_3705]]),"")</f>
        <v/>
      </c>
      <c r="H7137" s="7" t="str">
        <f>IF(Table1[[#This Row],[Is Data Valid]]=TRUE,((Table1[[#This Row],[Birthweight (grams)]]*0.9/Table1[[#This Row],[BW_GA]])-1)/(Backend!$B$4/100*Table1[[#This Row],[BW40_3705]]),"")</f>
        <v/>
      </c>
      <c r="I7137" s="7" t="str">
        <f>IF(Table1[[#This Row],[Is Data Valid]]=TRUE,((Table1[[#This Row],[Birthweight (grams)]]*1.1/Table1[[#This Row],[BW_GA]])-1)/(Backend!$B$4/100*Table1[[#This Row],[BW40_3705]]),"")</f>
        <v/>
      </c>
      <c r="J7137" s="7" t="str">
        <f>IF(Table1[[#This Row],[Is Data Valid]]=TRUE,_xlfn.NORM.S.DIST(Table1[[#This Row],[Birthweight Z-Score]],TRUE)*100,"")</f>
        <v/>
      </c>
      <c r="K7137" s="7" t="str">
        <f>IF(Table1[[#This Row],[Is Data Valid]]=TRUE,_xlfn.NORM.S.DIST(Table1[[#This Row],[Birthweight Z-Score (BW-10%)]],TRUE)*100,"")</f>
        <v/>
      </c>
      <c r="L7137" s="7" t="str">
        <f>IF(Table1[[#This Row],[Is Data Valid]]=TRUE,_xlfn.NORM.S.DIST(Table1[[#This Row],[Birthweight Z-Score (BW+10%)]],TRUE)*100,"")</f>
        <v/>
      </c>
    </row>
    <row r="7138" spans="1:12" x14ac:dyDescent="0.35">
      <c r="A7138" s="3"/>
      <c r="B7138" s="2"/>
      <c r="C7138" s="2"/>
      <c r="D7138" s="2" t="b">
        <f>IF(AND(NOT(ISBLANK(Table1[[#This Row],[Fetal Sex (Male, Female or Unknown)]])),ISNUMBER(Table1[[#This Row],[Birthweight (grams)]]),ISNUMBER(Table1[[#This Row],[Gestation (days)]])),TRUE,FALSE)</f>
        <v>0</v>
      </c>
      <c r="E7138" s="2" t="str">
        <f>IF(Table1[[#This Row],[Is Data Valid]]=TRUE,IF(Table1[[#This Row],[Fetal Sex (Male, Female or Unknown)]]="Male",Backend!$C$6,IF(Table1[[#This Row],[Fetal Sex (Male, Female or Unknown)]]="Female",Backend!$C$7,IF(Table1[[#This Row],[Fetal Sex (Male, Female or Unknown)]]="Unknown",Backend!$C$8,"Error"))),"")</f>
        <v/>
      </c>
      <c r="F7138" s="8" t="str">
        <f>IF(Table1[[#This Row],[Is Data Valid]]=TRUE,EXP(0.578+0.332*((Table1[[#This Row],[Gestation (days)]]+0.5)/7)-0.00354*((Table1[[#This Row],[Gestation (days)]]+0.5)/7)^2)*Table1[[#This Row],[BW40_3705]],"")</f>
        <v/>
      </c>
      <c r="G7138" s="2" t="str">
        <f>IF(Table1[[#This Row],[Is Data Valid]]=TRUE,((Table1[[#This Row],[Birthweight (grams)]]/Table1[[#This Row],[BW_GA]])-1)/(Backend!$B$4/100*Table1[[#This Row],[BW40_3705]]),"")</f>
        <v/>
      </c>
      <c r="H7138" s="7" t="str">
        <f>IF(Table1[[#This Row],[Is Data Valid]]=TRUE,((Table1[[#This Row],[Birthweight (grams)]]*0.9/Table1[[#This Row],[BW_GA]])-1)/(Backend!$B$4/100*Table1[[#This Row],[BW40_3705]]),"")</f>
        <v/>
      </c>
      <c r="I7138" s="7" t="str">
        <f>IF(Table1[[#This Row],[Is Data Valid]]=TRUE,((Table1[[#This Row],[Birthweight (grams)]]*1.1/Table1[[#This Row],[BW_GA]])-1)/(Backend!$B$4/100*Table1[[#This Row],[BW40_3705]]),"")</f>
        <v/>
      </c>
      <c r="J7138" s="7" t="str">
        <f>IF(Table1[[#This Row],[Is Data Valid]]=TRUE,_xlfn.NORM.S.DIST(Table1[[#This Row],[Birthweight Z-Score]],TRUE)*100,"")</f>
        <v/>
      </c>
      <c r="K7138" s="7" t="str">
        <f>IF(Table1[[#This Row],[Is Data Valid]]=TRUE,_xlfn.NORM.S.DIST(Table1[[#This Row],[Birthweight Z-Score (BW-10%)]],TRUE)*100,"")</f>
        <v/>
      </c>
      <c r="L7138" s="7" t="str">
        <f>IF(Table1[[#This Row],[Is Data Valid]]=TRUE,_xlfn.NORM.S.DIST(Table1[[#This Row],[Birthweight Z-Score (BW+10%)]],TRUE)*100,"")</f>
        <v/>
      </c>
    </row>
    <row r="7139" spans="1:12" x14ac:dyDescent="0.35">
      <c r="A7139" s="3"/>
      <c r="B7139" s="2"/>
      <c r="C7139" s="2"/>
      <c r="D7139" s="2" t="b">
        <f>IF(AND(NOT(ISBLANK(Table1[[#This Row],[Fetal Sex (Male, Female or Unknown)]])),ISNUMBER(Table1[[#This Row],[Birthweight (grams)]]),ISNUMBER(Table1[[#This Row],[Gestation (days)]])),TRUE,FALSE)</f>
        <v>0</v>
      </c>
      <c r="E7139" s="2" t="str">
        <f>IF(Table1[[#This Row],[Is Data Valid]]=TRUE,IF(Table1[[#This Row],[Fetal Sex (Male, Female or Unknown)]]="Male",Backend!$C$6,IF(Table1[[#This Row],[Fetal Sex (Male, Female or Unknown)]]="Female",Backend!$C$7,IF(Table1[[#This Row],[Fetal Sex (Male, Female or Unknown)]]="Unknown",Backend!$C$8,"Error"))),"")</f>
        <v/>
      </c>
      <c r="F7139" s="8" t="str">
        <f>IF(Table1[[#This Row],[Is Data Valid]]=TRUE,EXP(0.578+0.332*((Table1[[#This Row],[Gestation (days)]]+0.5)/7)-0.00354*((Table1[[#This Row],[Gestation (days)]]+0.5)/7)^2)*Table1[[#This Row],[BW40_3705]],"")</f>
        <v/>
      </c>
      <c r="G7139" s="2" t="str">
        <f>IF(Table1[[#This Row],[Is Data Valid]]=TRUE,((Table1[[#This Row],[Birthweight (grams)]]/Table1[[#This Row],[BW_GA]])-1)/(Backend!$B$4/100*Table1[[#This Row],[BW40_3705]]),"")</f>
        <v/>
      </c>
      <c r="H7139" s="7" t="str">
        <f>IF(Table1[[#This Row],[Is Data Valid]]=TRUE,((Table1[[#This Row],[Birthweight (grams)]]*0.9/Table1[[#This Row],[BW_GA]])-1)/(Backend!$B$4/100*Table1[[#This Row],[BW40_3705]]),"")</f>
        <v/>
      </c>
      <c r="I7139" s="7" t="str">
        <f>IF(Table1[[#This Row],[Is Data Valid]]=TRUE,((Table1[[#This Row],[Birthweight (grams)]]*1.1/Table1[[#This Row],[BW_GA]])-1)/(Backend!$B$4/100*Table1[[#This Row],[BW40_3705]]),"")</f>
        <v/>
      </c>
      <c r="J7139" s="7" t="str">
        <f>IF(Table1[[#This Row],[Is Data Valid]]=TRUE,_xlfn.NORM.S.DIST(Table1[[#This Row],[Birthweight Z-Score]],TRUE)*100,"")</f>
        <v/>
      </c>
      <c r="K7139" s="7" t="str">
        <f>IF(Table1[[#This Row],[Is Data Valid]]=TRUE,_xlfn.NORM.S.DIST(Table1[[#This Row],[Birthweight Z-Score (BW-10%)]],TRUE)*100,"")</f>
        <v/>
      </c>
      <c r="L7139" s="7" t="str">
        <f>IF(Table1[[#This Row],[Is Data Valid]]=TRUE,_xlfn.NORM.S.DIST(Table1[[#This Row],[Birthweight Z-Score (BW+10%)]],TRUE)*100,"")</f>
        <v/>
      </c>
    </row>
    <row r="7140" spans="1:12" x14ac:dyDescent="0.35">
      <c r="A7140" s="3"/>
      <c r="B7140" s="2"/>
      <c r="C7140" s="2"/>
      <c r="D7140" s="2" t="b">
        <f>IF(AND(NOT(ISBLANK(Table1[[#This Row],[Fetal Sex (Male, Female or Unknown)]])),ISNUMBER(Table1[[#This Row],[Birthweight (grams)]]),ISNUMBER(Table1[[#This Row],[Gestation (days)]])),TRUE,FALSE)</f>
        <v>0</v>
      </c>
      <c r="E7140" s="2" t="str">
        <f>IF(Table1[[#This Row],[Is Data Valid]]=TRUE,IF(Table1[[#This Row],[Fetal Sex (Male, Female or Unknown)]]="Male",Backend!$C$6,IF(Table1[[#This Row],[Fetal Sex (Male, Female or Unknown)]]="Female",Backend!$C$7,IF(Table1[[#This Row],[Fetal Sex (Male, Female or Unknown)]]="Unknown",Backend!$C$8,"Error"))),"")</f>
        <v/>
      </c>
      <c r="F7140" s="8" t="str">
        <f>IF(Table1[[#This Row],[Is Data Valid]]=TRUE,EXP(0.578+0.332*((Table1[[#This Row],[Gestation (days)]]+0.5)/7)-0.00354*((Table1[[#This Row],[Gestation (days)]]+0.5)/7)^2)*Table1[[#This Row],[BW40_3705]],"")</f>
        <v/>
      </c>
      <c r="G7140" s="2" t="str">
        <f>IF(Table1[[#This Row],[Is Data Valid]]=TRUE,((Table1[[#This Row],[Birthweight (grams)]]/Table1[[#This Row],[BW_GA]])-1)/(Backend!$B$4/100*Table1[[#This Row],[BW40_3705]]),"")</f>
        <v/>
      </c>
      <c r="H7140" s="7" t="str">
        <f>IF(Table1[[#This Row],[Is Data Valid]]=TRUE,((Table1[[#This Row],[Birthweight (grams)]]*0.9/Table1[[#This Row],[BW_GA]])-1)/(Backend!$B$4/100*Table1[[#This Row],[BW40_3705]]),"")</f>
        <v/>
      </c>
      <c r="I7140" s="7" t="str">
        <f>IF(Table1[[#This Row],[Is Data Valid]]=TRUE,((Table1[[#This Row],[Birthweight (grams)]]*1.1/Table1[[#This Row],[BW_GA]])-1)/(Backend!$B$4/100*Table1[[#This Row],[BW40_3705]]),"")</f>
        <v/>
      </c>
      <c r="J7140" s="7" t="str">
        <f>IF(Table1[[#This Row],[Is Data Valid]]=TRUE,_xlfn.NORM.S.DIST(Table1[[#This Row],[Birthweight Z-Score]],TRUE)*100,"")</f>
        <v/>
      </c>
      <c r="K7140" s="7" t="str">
        <f>IF(Table1[[#This Row],[Is Data Valid]]=TRUE,_xlfn.NORM.S.DIST(Table1[[#This Row],[Birthweight Z-Score (BW-10%)]],TRUE)*100,"")</f>
        <v/>
      </c>
      <c r="L7140" s="7" t="str">
        <f>IF(Table1[[#This Row],[Is Data Valid]]=TRUE,_xlfn.NORM.S.DIST(Table1[[#This Row],[Birthweight Z-Score (BW+10%)]],TRUE)*100,"")</f>
        <v/>
      </c>
    </row>
    <row r="7141" spans="1:12" x14ac:dyDescent="0.35">
      <c r="A7141" s="3"/>
      <c r="B7141" s="2"/>
      <c r="C7141" s="2"/>
      <c r="D7141" s="2" t="b">
        <f>IF(AND(NOT(ISBLANK(Table1[[#This Row],[Fetal Sex (Male, Female or Unknown)]])),ISNUMBER(Table1[[#This Row],[Birthweight (grams)]]),ISNUMBER(Table1[[#This Row],[Gestation (days)]])),TRUE,FALSE)</f>
        <v>0</v>
      </c>
      <c r="E7141" s="2" t="str">
        <f>IF(Table1[[#This Row],[Is Data Valid]]=TRUE,IF(Table1[[#This Row],[Fetal Sex (Male, Female or Unknown)]]="Male",Backend!$C$6,IF(Table1[[#This Row],[Fetal Sex (Male, Female or Unknown)]]="Female",Backend!$C$7,IF(Table1[[#This Row],[Fetal Sex (Male, Female or Unknown)]]="Unknown",Backend!$C$8,"Error"))),"")</f>
        <v/>
      </c>
      <c r="F7141" s="8" t="str">
        <f>IF(Table1[[#This Row],[Is Data Valid]]=TRUE,EXP(0.578+0.332*((Table1[[#This Row],[Gestation (days)]]+0.5)/7)-0.00354*((Table1[[#This Row],[Gestation (days)]]+0.5)/7)^2)*Table1[[#This Row],[BW40_3705]],"")</f>
        <v/>
      </c>
      <c r="G7141" s="2" t="str">
        <f>IF(Table1[[#This Row],[Is Data Valid]]=TRUE,((Table1[[#This Row],[Birthweight (grams)]]/Table1[[#This Row],[BW_GA]])-1)/(Backend!$B$4/100*Table1[[#This Row],[BW40_3705]]),"")</f>
        <v/>
      </c>
      <c r="H7141" s="7" t="str">
        <f>IF(Table1[[#This Row],[Is Data Valid]]=TRUE,((Table1[[#This Row],[Birthweight (grams)]]*0.9/Table1[[#This Row],[BW_GA]])-1)/(Backend!$B$4/100*Table1[[#This Row],[BW40_3705]]),"")</f>
        <v/>
      </c>
      <c r="I7141" s="7" t="str">
        <f>IF(Table1[[#This Row],[Is Data Valid]]=TRUE,((Table1[[#This Row],[Birthweight (grams)]]*1.1/Table1[[#This Row],[BW_GA]])-1)/(Backend!$B$4/100*Table1[[#This Row],[BW40_3705]]),"")</f>
        <v/>
      </c>
      <c r="J7141" s="7" t="str">
        <f>IF(Table1[[#This Row],[Is Data Valid]]=TRUE,_xlfn.NORM.S.DIST(Table1[[#This Row],[Birthweight Z-Score]],TRUE)*100,"")</f>
        <v/>
      </c>
      <c r="K7141" s="7" t="str">
        <f>IF(Table1[[#This Row],[Is Data Valid]]=TRUE,_xlfn.NORM.S.DIST(Table1[[#This Row],[Birthweight Z-Score (BW-10%)]],TRUE)*100,"")</f>
        <v/>
      </c>
      <c r="L7141" s="7" t="str">
        <f>IF(Table1[[#This Row],[Is Data Valid]]=TRUE,_xlfn.NORM.S.DIST(Table1[[#This Row],[Birthweight Z-Score (BW+10%)]],TRUE)*100,"")</f>
        <v/>
      </c>
    </row>
    <row r="7142" spans="1:12" x14ac:dyDescent="0.35">
      <c r="A7142" s="3"/>
      <c r="B7142" s="2"/>
      <c r="C7142" s="2"/>
      <c r="D7142" s="2" t="b">
        <f>IF(AND(NOT(ISBLANK(Table1[[#This Row],[Fetal Sex (Male, Female or Unknown)]])),ISNUMBER(Table1[[#This Row],[Birthweight (grams)]]),ISNUMBER(Table1[[#This Row],[Gestation (days)]])),TRUE,FALSE)</f>
        <v>0</v>
      </c>
      <c r="E7142" s="2" t="str">
        <f>IF(Table1[[#This Row],[Is Data Valid]]=TRUE,IF(Table1[[#This Row],[Fetal Sex (Male, Female or Unknown)]]="Male",Backend!$C$6,IF(Table1[[#This Row],[Fetal Sex (Male, Female or Unknown)]]="Female",Backend!$C$7,IF(Table1[[#This Row],[Fetal Sex (Male, Female or Unknown)]]="Unknown",Backend!$C$8,"Error"))),"")</f>
        <v/>
      </c>
      <c r="F7142" s="8" t="str">
        <f>IF(Table1[[#This Row],[Is Data Valid]]=TRUE,EXP(0.578+0.332*((Table1[[#This Row],[Gestation (days)]]+0.5)/7)-0.00354*((Table1[[#This Row],[Gestation (days)]]+0.5)/7)^2)*Table1[[#This Row],[BW40_3705]],"")</f>
        <v/>
      </c>
      <c r="G7142" s="2" t="str">
        <f>IF(Table1[[#This Row],[Is Data Valid]]=TRUE,((Table1[[#This Row],[Birthweight (grams)]]/Table1[[#This Row],[BW_GA]])-1)/(Backend!$B$4/100*Table1[[#This Row],[BW40_3705]]),"")</f>
        <v/>
      </c>
      <c r="H7142" s="7" t="str">
        <f>IF(Table1[[#This Row],[Is Data Valid]]=TRUE,((Table1[[#This Row],[Birthweight (grams)]]*0.9/Table1[[#This Row],[BW_GA]])-1)/(Backend!$B$4/100*Table1[[#This Row],[BW40_3705]]),"")</f>
        <v/>
      </c>
      <c r="I7142" s="7" t="str">
        <f>IF(Table1[[#This Row],[Is Data Valid]]=TRUE,((Table1[[#This Row],[Birthweight (grams)]]*1.1/Table1[[#This Row],[BW_GA]])-1)/(Backend!$B$4/100*Table1[[#This Row],[BW40_3705]]),"")</f>
        <v/>
      </c>
      <c r="J7142" s="7" t="str">
        <f>IF(Table1[[#This Row],[Is Data Valid]]=TRUE,_xlfn.NORM.S.DIST(Table1[[#This Row],[Birthweight Z-Score]],TRUE)*100,"")</f>
        <v/>
      </c>
      <c r="K7142" s="7" t="str">
        <f>IF(Table1[[#This Row],[Is Data Valid]]=TRUE,_xlfn.NORM.S.DIST(Table1[[#This Row],[Birthweight Z-Score (BW-10%)]],TRUE)*100,"")</f>
        <v/>
      </c>
      <c r="L7142" s="7" t="str">
        <f>IF(Table1[[#This Row],[Is Data Valid]]=TRUE,_xlfn.NORM.S.DIST(Table1[[#This Row],[Birthweight Z-Score (BW+10%)]],TRUE)*100,"")</f>
        <v/>
      </c>
    </row>
    <row r="7143" spans="1:12" x14ac:dyDescent="0.35">
      <c r="A7143" s="3"/>
      <c r="B7143" s="2"/>
      <c r="C7143" s="2"/>
      <c r="D7143" s="2" t="b">
        <f>IF(AND(NOT(ISBLANK(Table1[[#This Row],[Fetal Sex (Male, Female or Unknown)]])),ISNUMBER(Table1[[#This Row],[Birthweight (grams)]]),ISNUMBER(Table1[[#This Row],[Gestation (days)]])),TRUE,FALSE)</f>
        <v>0</v>
      </c>
      <c r="E7143" s="2" t="str">
        <f>IF(Table1[[#This Row],[Is Data Valid]]=TRUE,IF(Table1[[#This Row],[Fetal Sex (Male, Female or Unknown)]]="Male",Backend!$C$6,IF(Table1[[#This Row],[Fetal Sex (Male, Female or Unknown)]]="Female",Backend!$C$7,IF(Table1[[#This Row],[Fetal Sex (Male, Female or Unknown)]]="Unknown",Backend!$C$8,"Error"))),"")</f>
        <v/>
      </c>
      <c r="F7143" s="8" t="str">
        <f>IF(Table1[[#This Row],[Is Data Valid]]=TRUE,EXP(0.578+0.332*((Table1[[#This Row],[Gestation (days)]]+0.5)/7)-0.00354*((Table1[[#This Row],[Gestation (days)]]+0.5)/7)^2)*Table1[[#This Row],[BW40_3705]],"")</f>
        <v/>
      </c>
      <c r="G7143" s="2" t="str">
        <f>IF(Table1[[#This Row],[Is Data Valid]]=TRUE,((Table1[[#This Row],[Birthweight (grams)]]/Table1[[#This Row],[BW_GA]])-1)/(Backend!$B$4/100*Table1[[#This Row],[BW40_3705]]),"")</f>
        <v/>
      </c>
      <c r="H7143" s="7" t="str">
        <f>IF(Table1[[#This Row],[Is Data Valid]]=TRUE,((Table1[[#This Row],[Birthweight (grams)]]*0.9/Table1[[#This Row],[BW_GA]])-1)/(Backend!$B$4/100*Table1[[#This Row],[BW40_3705]]),"")</f>
        <v/>
      </c>
      <c r="I7143" s="7" t="str">
        <f>IF(Table1[[#This Row],[Is Data Valid]]=TRUE,((Table1[[#This Row],[Birthweight (grams)]]*1.1/Table1[[#This Row],[BW_GA]])-1)/(Backend!$B$4/100*Table1[[#This Row],[BW40_3705]]),"")</f>
        <v/>
      </c>
      <c r="J7143" s="7" t="str">
        <f>IF(Table1[[#This Row],[Is Data Valid]]=TRUE,_xlfn.NORM.S.DIST(Table1[[#This Row],[Birthweight Z-Score]],TRUE)*100,"")</f>
        <v/>
      </c>
      <c r="K7143" s="7" t="str">
        <f>IF(Table1[[#This Row],[Is Data Valid]]=TRUE,_xlfn.NORM.S.DIST(Table1[[#This Row],[Birthweight Z-Score (BW-10%)]],TRUE)*100,"")</f>
        <v/>
      </c>
      <c r="L7143" s="7" t="str">
        <f>IF(Table1[[#This Row],[Is Data Valid]]=TRUE,_xlfn.NORM.S.DIST(Table1[[#This Row],[Birthweight Z-Score (BW+10%)]],TRUE)*100,"")</f>
        <v/>
      </c>
    </row>
    <row r="7144" spans="1:12" x14ac:dyDescent="0.35">
      <c r="A7144" s="3"/>
      <c r="B7144" s="2"/>
      <c r="C7144" s="2"/>
      <c r="D7144" s="2" t="b">
        <f>IF(AND(NOT(ISBLANK(Table1[[#This Row],[Fetal Sex (Male, Female or Unknown)]])),ISNUMBER(Table1[[#This Row],[Birthweight (grams)]]),ISNUMBER(Table1[[#This Row],[Gestation (days)]])),TRUE,FALSE)</f>
        <v>0</v>
      </c>
      <c r="E7144" s="2" t="str">
        <f>IF(Table1[[#This Row],[Is Data Valid]]=TRUE,IF(Table1[[#This Row],[Fetal Sex (Male, Female or Unknown)]]="Male",Backend!$C$6,IF(Table1[[#This Row],[Fetal Sex (Male, Female or Unknown)]]="Female",Backend!$C$7,IF(Table1[[#This Row],[Fetal Sex (Male, Female or Unknown)]]="Unknown",Backend!$C$8,"Error"))),"")</f>
        <v/>
      </c>
      <c r="F7144" s="8" t="str">
        <f>IF(Table1[[#This Row],[Is Data Valid]]=TRUE,EXP(0.578+0.332*((Table1[[#This Row],[Gestation (days)]]+0.5)/7)-0.00354*((Table1[[#This Row],[Gestation (days)]]+0.5)/7)^2)*Table1[[#This Row],[BW40_3705]],"")</f>
        <v/>
      </c>
      <c r="G7144" s="2" t="str">
        <f>IF(Table1[[#This Row],[Is Data Valid]]=TRUE,((Table1[[#This Row],[Birthweight (grams)]]/Table1[[#This Row],[BW_GA]])-1)/(Backend!$B$4/100*Table1[[#This Row],[BW40_3705]]),"")</f>
        <v/>
      </c>
      <c r="H7144" s="7" t="str">
        <f>IF(Table1[[#This Row],[Is Data Valid]]=TRUE,((Table1[[#This Row],[Birthweight (grams)]]*0.9/Table1[[#This Row],[BW_GA]])-1)/(Backend!$B$4/100*Table1[[#This Row],[BW40_3705]]),"")</f>
        <v/>
      </c>
      <c r="I7144" s="7" t="str">
        <f>IF(Table1[[#This Row],[Is Data Valid]]=TRUE,((Table1[[#This Row],[Birthweight (grams)]]*1.1/Table1[[#This Row],[BW_GA]])-1)/(Backend!$B$4/100*Table1[[#This Row],[BW40_3705]]),"")</f>
        <v/>
      </c>
      <c r="J7144" s="7" t="str">
        <f>IF(Table1[[#This Row],[Is Data Valid]]=TRUE,_xlfn.NORM.S.DIST(Table1[[#This Row],[Birthweight Z-Score]],TRUE)*100,"")</f>
        <v/>
      </c>
      <c r="K7144" s="7" t="str">
        <f>IF(Table1[[#This Row],[Is Data Valid]]=TRUE,_xlfn.NORM.S.DIST(Table1[[#This Row],[Birthweight Z-Score (BW-10%)]],TRUE)*100,"")</f>
        <v/>
      </c>
      <c r="L7144" s="7" t="str">
        <f>IF(Table1[[#This Row],[Is Data Valid]]=TRUE,_xlfn.NORM.S.DIST(Table1[[#This Row],[Birthweight Z-Score (BW+10%)]],TRUE)*100,"")</f>
        <v/>
      </c>
    </row>
    <row r="7145" spans="1:12" x14ac:dyDescent="0.35">
      <c r="A7145" s="3"/>
      <c r="B7145" s="2"/>
      <c r="C7145" s="2"/>
      <c r="D7145" s="2" t="b">
        <f>IF(AND(NOT(ISBLANK(Table1[[#This Row],[Fetal Sex (Male, Female or Unknown)]])),ISNUMBER(Table1[[#This Row],[Birthweight (grams)]]),ISNUMBER(Table1[[#This Row],[Gestation (days)]])),TRUE,FALSE)</f>
        <v>0</v>
      </c>
      <c r="E7145" s="2" t="str">
        <f>IF(Table1[[#This Row],[Is Data Valid]]=TRUE,IF(Table1[[#This Row],[Fetal Sex (Male, Female or Unknown)]]="Male",Backend!$C$6,IF(Table1[[#This Row],[Fetal Sex (Male, Female or Unknown)]]="Female",Backend!$C$7,IF(Table1[[#This Row],[Fetal Sex (Male, Female or Unknown)]]="Unknown",Backend!$C$8,"Error"))),"")</f>
        <v/>
      </c>
      <c r="F7145" s="8" t="str">
        <f>IF(Table1[[#This Row],[Is Data Valid]]=TRUE,EXP(0.578+0.332*((Table1[[#This Row],[Gestation (days)]]+0.5)/7)-0.00354*((Table1[[#This Row],[Gestation (days)]]+0.5)/7)^2)*Table1[[#This Row],[BW40_3705]],"")</f>
        <v/>
      </c>
      <c r="G7145" s="2" t="str">
        <f>IF(Table1[[#This Row],[Is Data Valid]]=TRUE,((Table1[[#This Row],[Birthweight (grams)]]/Table1[[#This Row],[BW_GA]])-1)/(Backend!$B$4/100*Table1[[#This Row],[BW40_3705]]),"")</f>
        <v/>
      </c>
      <c r="H7145" s="7" t="str">
        <f>IF(Table1[[#This Row],[Is Data Valid]]=TRUE,((Table1[[#This Row],[Birthweight (grams)]]*0.9/Table1[[#This Row],[BW_GA]])-1)/(Backend!$B$4/100*Table1[[#This Row],[BW40_3705]]),"")</f>
        <v/>
      </c>
      <c r="I7145" s="7" t="str">
        <f>IF(Table1[[#This Row],[Is Data Valid]]=TRUE,((Table1[[#This Row],[Birthweight (grams)]]*1.1/Table1[[#This Row],[BW_GA]])-1)/(Backend!$B$4/100*Table1[[#This Row],[BW40_3705]]),"")</f>
        <v/>
      </c>
      <c r="J7145" s="7" t="str">
        <f>IF(Table1[[#This Row],[Is Data Valid]]=TRUE,_xlfn.NORM.S.DIST(Table1[[#This Row],[Birthweight Z-Score]],TRUE)*100,"")</f>
        <v/>
      </c>
      <c r="K7145" s="7" t="str">
        <f>IF(Table1[[#This Row],[Is Data Valid]]=TRUE,_xlfn.NORM.S.DIST(Table1[[#This Row],[Birthweight Z-Score (BW-10%)]],TRUE)*100,"")</f>
        <v/>
      </c>
      <c r="L7145" s="7" t="str">
        <f>IF(Table1[[#This Row],[Is Data Valid]]=TRUE,_xlfn.NORM.S.DIST(Table1[[#This Row],[Birthweight Z-Score (BW+10%)]],TRUE)*100,"")</f>
        <v/>
      </c>
    </row>
    <row r="7146" spans="1:12" x14ac:dyDescent="0.35">
      <c r="A7146" s="3"/>
      <c r="B7146" s="2"/>
      <c r="C7146" s="2"/>
      <c r="D7146" s="2" t="b">
        <f>IF(AND(NOT(ISBLANK(Table1[[#This Row],[Fetal Sex (Male, Female or Unknown)]])),ISNUMBER(Table1[[#This Row],[Birthweight (grams)]]),ISNUMBER(Table1[[#This Row],[Gestation (days)]])),TRUE,FALSE)</f>
        <v>0</v>
      </c>
      <c r="E7146" s="2" t="str">
        <f>IF(Table1[[#This Row],[Is Data Valid]]=TRUE,IF(Table1[[#This Row],[Fetal Sex (Male, Female or Unknown)]]="Male",Backend!$C$6,IF(Table1[[#This Row],[Fetal Sex (Male, Female or Unknown)]]="Female",Backend!$C$7,IF(Table1[[#This Row],[Fetal Sex (Male, Female or Unknown)]]="Unknown",Backend!$C$8,"Error"))),"")</f>
        <v/>
      </c>
      <c r="F7146" s="8" t="str">
        <f>IF(Table1[[#This Row],[Is Data Valid]]=TRUE,EXP(0.578+0.332*((Table1[[#This Row],[Gestation (days)]]+0.5)/7)-0.00354*((Table1[[#This Row],[Gestation (days)]]+0.5)/7)^2)*Table1[[#This Row],[BW40_3705]],"")</f>
        <v/>
      </c>
      <c r="G7146" s="2" t="str">
        <f>IF(Table1[[#This Row],[Is Data Valid]]=TRUE,((Table1[[#This Row],[Birthweight (grams)]]/Table1[[#This Row],[BW_GA]])-1)/(Backend!$B$4/100*Table1[[#This Row],[BW40_3705]]),"")</f>
        <v/>
      </c>
      <c r="H7146" s="7" t="str">
        <f>IF(Table1[[#This Row],[Is Data Valid]]=TRUE,((Table1[[#This Row],[Birthweight (grams)]]*0.9/Table1[[#This Row],[BW_GA]])-1)/(Backend!$B$4/100*Table1[[#This Row],[BW40_3705]]),"")</f>
        <v/>
      </c>
      <c r="I7146" s="7" t="str">
        <f>IF(Table1[[#This Row],[Is Data Valid]]=TRUE,((Table1[[#This Row],[Birthweight (grams)]]*1.1/Table1[[#This Row],[BW_GA]])-1)/(Backend!$B$4/100*Table1[[#This Row],[BW40_3705]]),"")</f>
        <v/>
      </c>
      <c r="J7146" s="7" t="str">
        <f>IF(Table1[[#This Row],[Is Data Valid]]=TRUE,_xlfn.NORM.S.DIST(Table1[[#This Row],[Birthweight Z-Score]],TRUE)*100,"")</f>
        <v/>
      </c>
      <c r="K7146" s="7" t="str">
        <f>IF(Table1[[#This Row],[Is Data Valid]]=TRUE,_xlfn.NORM.S.DIST(Table1[[#This Row],[Birthweight Z-Score (BW-10%)]],TRUE)*100,"")</f>
        <v/>
      </c>
      <c r="L7146" s="7" t="str">
        <f>IF(Table1[[#This Row],[Is Data Valid]]=TRUE,_xlfn.NORM.S.DIST(Table1[[#This Row],[Birthweight Z-Score (BW+10%)]],TRUE)*100,"")</f>
        <v/>
      </c>
    </row>
    <row r="7147" spans="1:12" x14ac:dyDescent="0.35">
      <c r="A7147" s="3"/>
      <c r="B7147" s="2"/>
      <c r="C7147" s="2"/>
      <c r="D7147" s="2" t="b">
        <f>IF(AND(NOT(ISBLANK(Table1[[#This Row],[Fetal Sex (Male, Female or Unknown)]])),ISNUMBER(Table1[[#This Row],[Birthweight (grams)]]),ISNUMBER(Table1[[#This Row],[Gestation (days)]])),TRUE,FALSE)</f>
        <v>0</v>
      </c>
      <c r="E7147" s="2" t="str">
        <f>IF(Table1[[#This Row],[Is Data Valid]]=TRUE,IF(Table1[[#This Row],[Fetal Sex (Male, Female or Unknown)]]="Male",Backend!$C$6,IF(Table1[[#This Row],[Fetal Sex (Male, Female or Unknown)]]="Female",Backend!$C$7,IF(Table1[[#This Row],[Fetal Sex (Male, Female or Unknown)]]="Unknown",Backend!$C$8,"Error"))),"")</f>
        <v/>
      </c>
      <c r="F7147" s="8" t="str">
        <f>IF(Table1[[#This Row],[Is Data Valid]]=TRUE,EXP(0.578+0.332*((Table1[[#This Row],[Gestation (days)]]+0.5)/7)-0.00354*((Table1[[#This Row],[Gestation (days)]]+0.5)/7)^2)*Table1[[#This Row],[BW40_3705]],"")</f>
        <v/>
      </c>
      <c r="G7147" s="2" t="str">
        <f>IF(Table1[[#This Row],[Is Data Valid]]=TRUE,((Table1[[#This Row],[Birthweight (grams)]]/Table1[[#This Row],[BW_GA]])-1)/(Backend!$B$4/100*Table1[[#This Row],[BW40_3705]]),"")</f>
        <v/>
      </c>
      <c r="H7147" s="7" t="str">
        <f>IF(Table1[[#This Row],[Is Data Valid]]=TRUE,((Table1[[#This Row],[Birthweight (grams)]]*0.9/Table1[[#This Row],[BW_GA]])-1)/(Backend!$B$4/100*Table1[[#This Row],[BW40_3705]]),"")</f>
        <v/>
      </c>
      <c r="I7147" s="7" t="str">
        <f>IF(Table1[[#This Row],[Is Data Valid]]=TRUE,((Table1[[#This Row],[Birthweight (grams)]]*1.1/Table1[[#This Row],[BW_GA]])-1)/(Backend!$B$4/100*Table1[[#This Row],[BW40_3705]]),"")</f>
        <v/>
      </c>
      <c r="J7147" s="7" t="str">
        <f>IF(Table1[[#This Row],[Is Data Valid]]=TRUE,_xlfn.NORM.S.DIST(Table1[[#This Row],[Birthweight Z-Score]],TRUE)*100,"")</f>
        <v/>
      </c>
      <c r="K7147" s="7" t="str">
        <f>IF(Table1[[#This Row],[Is Data Valid]]=TRUE,_xlfn.NORM.S.DIST(Table1[[#This Row],[Birthweight Z-Score (BW-10%)]],TRUE)*100,"")</f>
        <v/>
      </c>
      <c r="L7147" s="7" t="str">
        <f>IF(Table1[[#This Row],[Is Data Valid]]=TRUE,_xlfn.NORM.S.DIST(Table1[[#This Row],[Birthweight Z-Score (BW+10%)]],TRUE)*100,"")</f>
        <v/>
      </c>
    </row>
    <row r="7148" spans="1:12" x14ac:dyDescent="0.35">
      <c r="A7148" s="3"/>
      <c r="B7148" s="2"/>
      <c r="C7148" s="2"/>
      <c r="D7148" s="2" t="b">
        <f>IF(AND(NOT(ISBLANK(Table1[[#This Row],[Fetal Sex (Male, Female or Unknown)]])),ISNUMBER(Table1[[#This Row],[Birthweight (grams)]]),ISNUMBER(Table1[[#This Row],[Gestation (days)]])),TRUE,FALSE)</f>
        <v>0</v>
      </c>
      <c r="E7148" s="2" t="str">
        <f>IF(Table1[[#This Row],[Is Data Valid]]=TRUE,IF(Table1[[#This Row],[Fetal Sex (Male, Female or Unknown)]]="Male",Backend!$C$6,IF(Table1[[#This Row],[Fetal Sex (Male, Female or Unknown)]]="Female",Backend!$C$7,IF(Table1[[#This Row],[Fetal Sex (Male, Female or Unknown)]]="Unknown",Backend!$C$8,"Error"))),"")</f>
        <v/>
      </c>
      <c r="F7148" s="8" t="str">
        <f>IF(Table1[[#This Row],[Is Data Valid]]=TRUE,EXP(0.578+0.332*((Table1[[#This Row],[Gestation (days)]]+0.5)/7)-0.00354*((Table1[[#This Row],[Gestation (days)]]+0.5)/7)^2)*Table1[[#This Row],[BW40_3705]],"")</f>
        <v/>
      </c>
      <c r="G7148" s="2" t="str">
        <f>IF(Table1[[#This Row],[Is Data Valid]]=TRUE,((Table1[[#This Row],[Birthweight (grams)]]/Table1[[#This Row],[BW_GA]])-1)/(Backend!$B$4/100*Table1[[#This Row],[BW40_3705]]),"")</f>
        <v/>
      </c>
      <c r="H7148" s="7" t="str">
        <f>IF(Table1[[#This Row],[Is Data Valid]]=TRUE,((Table1[[#This Row],[Birthweight (grams)]]*0.9/Table1[[#This Row],[BW_GA]])-1)/(Backend!$B$4/100*Table1[[#This Row],[BW40_3705]]),"")</f>
        <v/>
      </c>
      <c r="I7148" s="7" t="str">
        <f>IF(Table1[[#This Row],[Is Data Valid]]=TRUE,((Table1[[#This Row],[Birthweight (grams)]]*1.1/Table1[[#This Row],[BW_GA]])-1)/(Backend!$B$4/100*Table1[[#This Row],[BW40_3705]]),"")</f>
        <v/>
      </c>
      <c r="J7148" s="7" t="str">
        <f>IF(Table1[[#This Row],[Is Data Valid]]=TRUE,_xlfn.NORM.S.DIST(Table1[[#This Row],[Birthweight Z-Score]],TRUE)*100,"")</f>
        <v/>
      </c>
      <c r="K7148" s="7" t="str">
        <f>IF(Table1[[#This Row],[Is Data Valid]]=TRUE,_xlfn.NORM.S.DIST(Table1[[#This Row],[Birthweight Z-Score (BW-10%)]],TRUE)*100,"")</f>
        <v/>
      </c>
      <c r="L7148" s="7" t="str">
        <f>IF(Table1[[#This Row],[Is Data Valid]]=TRUE,_xlfn.NORM.S.DIST(Table1[[#This Row],[Birthweight Z-Score (BW+10%)]],TRUE)*100,"")</f>
        <v/>
      </c>
    </row>
    <row r="7149" spans="1:12" x14ac:dyDescent="0.35">
      <c r="A7149" s="3"/>
      <c r="B7149" s="2"/>
      <c r="C7149" s="2"/>
      <c r="D7149" s="2" t="b">
        <f>IF(AND(NOT(ISBLANK(Table1[[#This Row],[Fetal Sex (Male, Female or Unknown)]])),ISNUMBER(Table1[[#This Row],[Birthweight (grams)]]),ISNUMBER(Table1[[#This Row],[Gestation (days)]])),TRUE,FALSE)</f>
        <v>0</v>
      </c>
      <c r="E7149" s="2" t="str">
        <f>IF(Table1[[#This Row],[Is Data Valid]]=TRUE,IF(Table1[[#This Row],[Fetal Sex (Male, Female or Unknown)]]="Male",Backend!$C$6,IF(Table1[[#This Row],[Fetal Sex (Male, Female or Unknown)]]="Female",Backend!$C$7,IF(Table1[[#This Row],[Fetal Sex (Male, Female or Unknown)]]="Unknown",Backend!$C$8,"Error"))),"")</f>
        <v/>
      </c>
      <c r="F7149" s="8" t="str">
        <f>IF(Table1[[#This Row],[Is Data Valid]]=TRUE,EXP(0.578+0.332*((Table1[[#This Row],[Gestation (days)]]+0.5)/7)-0.00354*((Table1[[#This Row],[Gestation (days)]]+0.5)/7)^2)*Table1[[#This Row],[BW40_3705]],"")</f>
        <v/>
      </c>
      <c r="G7149" s="2" t="str">
        <f>IF(Table1[[#This Row],[Is Data Valid]]=TRUE,((Table1[[#This Row],[Birthweight (grams)]]/Table1[[#This Row],[BW_GA]])-1)/(Backend!$B$4/100*Table1[[#This Row],[BW40_3705]]),"")</f>
        <v/>
      </c>
      <c r="H7149" s="7" t="str">
        <f>IF(Table1[[#This Row],[Is Data Valid]]=TRUE,((Table1[[#This Row],[Birthweight (grams)]]*0.9/Table1[[#This Row],[BW_GA]])-1)/(Backend!$B$4/100*Table1[[#This Row],[BW40_3705]]),"")</f>
        <v/>
      </c>
      <c r="I7149" s="7" t="str">
        <f>IF(Table1[[#This Row],[Is Data Valid]]=TRUE,((Table1[[#This Row],[Birthweight (grams)]]*1.1/Table1[[#This Row],[BW_GA]])-1)/(Backend!$B$4/100*Table1[[#This Row],[BW40_3705]]),"")</f>
        <v/>
      </c>
      <c r="J7149" s="7" t="str">
        <f>IF(Table1[[#This Row],[Is Data Valid]]=TRUE,_xlfn.NORM.S.DIST(Table1[[#This Row],[Birthweight Z-Score]],TRUE)*100,"")</f>
        <v/>
      </c>
      <c r="K7149" s="7" t="str">
        <f>IF(Table1[[#This Row],[Is Data Valid]]=TRUE,_xlfn.NORM.S.DIST(Table1[[#This Row],[Birthweight Z-Score (BW-10%)]],TRUE)*100,"")</f>
        <v/>
      </c>
      <c r="L7149" s="7" t="str">
        <f>IF(Table1[[#This Row],[Is Data Valid]]=TRUE,_xlfn.NORM.S.DIST(Table1[[#This Row],[Birthweight Z-Score (BW+10%)]],TRUE)*100,"")</f>
        <v/>
      </c>
    </row>
    <row r="7150" spans="1:12" x14ac:dyDescent="0.35">
      <c r="A7150" s="3"/>
      <c r="B7150" s="2"/>
      <c r="C7150" s="2"/>
      <c r="D7150" s="2" t="b">
        <f>IF(AND(NOT(ISBLANK(Table1[[#This Row],[Fetal Sex (Male, Female or Unknown)]])),ISNUMBER(Table1[[#This Row],[Birthweight (grams)]]),ISNUMBER(Table1[[#This Row],[Gestation (days)]])),TRUE,FALSE)</f>
        <v>0</v>
      </c>
      <c r="E7150" s="2" t="str">
        <f>IF(Table1[[#This Row],[Is Data Valid]]=TRUE,IF(Table1[[#This Row],[Fetal Sex (Male, Female or Unknown)]]="Male",Backend!$C$6,IF(Table1[[#This Row],[Fetal Sex (Male, Female or Unknown)]]="Female",Backend!$C$7,IF(Table1[[#This Row],[Fetal Sex (Male, Female or Unknown)]]="Unknown",Backend!$C$8,"Error"))),"")</f>
        <v/>
      </c>
      <c r="F7150" s="8" t="str">
        <f>IF(Table1[[#This Row],[Is Data Valid]]=TRUE,EXP(0.578+0.332*((Table1[[#This Row],[Gestation (days)]]+0.5)/7)-0.00354*((Table1[[#This Row],[Gestation (days)]]+0.5)/7)^2)*Table1[[#This Row],[BW40_3705]],"")</f>
        <v/>
      </c>
      <c r="G7150" s="2" t="str">
        <f>IF(Table1[[#This Row],[Is Data Valid]]=TRUE,((Table1[[#This Row],[Birthweight (grams)]]/Table1[[#This Row],[BW_GA]])-1)/(Backend!$B$4/100*Table1[[#This Row],[BW40_3705]]),"")</f>
        <v/>
      </c>
      <c r="H7150" s="7" t="str">
        <f>IF(Table1[[#This Row],[Is Data Valid]]=TRUE,((Table1[[#This Row],[Birthweight (grams)]]*0.9/Table1[[#This Row],[BW_GA]])-1)/(Backend!$B$4/100*Table1[[#This Row],[BW40_3705]]),"")</f>
        <v/>
      </c>
      <c r="I7150" s="7" t="str">
        <f>IF(Table1[[#This Row],[Is Data Valid]]=TRUE,((Table1[[#This Row],[Birthweight (grams)]]*1.1/Table1[[#This Row],[BW_GA]])-1)/(Backend!$B$4/100*Table1[[#This Row],[BW40_3705]]),"")</f>
        <v/>
      </c>
      <c r="J7150" s="7" t="str">
        <f>IF(Table1[[#This Row],[Is Data Valid]]=TRUE,_xlfn.NORM.S.DIST(Table1[[#This Row],[Birthweight Z-Score]],TRUE)*100,"")</f>
        <v/>
      </c>
      <c r="K7150" s="7" t="str">
        <f>IF(Table1[[#This Row],[Is Data Valid]]=TRUE,_xlfn.NORM.S.DIST(Table1[[#This Row],[Birthweight Z-Score (BW-10%)]],TRUE)*100,"")</f>
        <v/>
      </c>
      <c r="L7150" s="7" t="str">
        <f>IF(Table1[[#This Row],[Is Data Valid]]=TRUE,_xlfn.NORM.S.DIST(Table1[[#This Row],[Birthweight Z-Score (BW+10%)]],TRUE)*100,"")</f>
        <v/>
      </c>
    </row>
    <row r="7151" spans="1:12" x14ac:dyDescent="0.35">
      <c r="A7151" s="3"/>
      <c r="B7151" s="2"/>
      <c r="C7151" s="2"/>
      <c r="D7151" s="2" t="b">
        <f>IF(AND(NOT(ISBLANK(Table1[[#This Row],[Fetal Sex (Male, Female or Unknown)]])),ISNUMBER(Table1[[#This Row],[Birthweight (grams)]]),ISNUMBER(Table1[[#This Row],[Gestation (days)]])),TRUE,FALSE)</f>
        <v>0</v>
      </c>
      <c r="E7151" s="2" t="str">
        <f>IF(Table1[[#This Row],[Is Data Valid]]=TRUE,IF(Table1[[#This Row],[Fetal Sex (Male, Female or Unknown)]]="Male",Backend!$C$6,IF(Table1[[#This Row],[Fetal Sex (Male, Female or Unknown)]]="Female",Backend!$C$7,IF(Table1[[#This Row],[Fetal Sex (Male, Female or Unknown)]]="Unknown",Backend!$C$8,"Error"))),"")</f>
        <v/>
      </c>
      <c r="F7151" s="8" t="str">
        <f>IF(Table1[[#This Row],[Is Data Valid]]=TRUE,EXP(0.578+0.332*((Table1[[#This Row],[Gestation (days)]]+0.5)/7)-0.00354*((Table1[[#This Row],[Gestation (days)]]+0.5)/7)^2)*Table1[[#This Row],[BW40_3705]],"")</f>
        <v/>
      </c>
      <c r="G7151" s="2" t="str">
        <f>IF(Table1[[#This Row],[Is Data Valid]]=TRUE,((Table1[[#This Row],[Birthweight (grams)]]/Table1[[#This Row],[BW_GA]])-1)/(Backend!$B$4/100*Table1[[#This Row],[BW40_3705]]),"")</f>
        <v/>
      </c>
      <c r="H7151" s="7" t="str">
        <f>IF(Table1[[#This Row],[Is Data Valid]]=TRUE,((Table1[[#This Row],[Birthweight (grams)]]*0.9/Table1[[#This Row],[BW_GA]])-1)/(Backend!$B$4/100*Table1[[#This Row],[BW40_3705]]),"")</f>
        <v/>
      </c>
      <c r="I7151" s="7" t="str">
        <f>IF(Table1[[#This Row],[Is Data Valid]]=TRUE,((Table1[[#This Row],[Birthweight (grams)]]*1.1/Table1[[#This Row],[BW_GA]])-1)/(Backend!$B$4/100*Table1[[#This Row],[BW40_3705]]),"")</f>
        <v/>
      </c>
      <c r="J7151" s="7" t="str">
        <f>IF(Table1[[#This Row],[Is Data Valid]]=TRUE,_xlfn.NORM.S.DIST(Table1[[#This Row],[Birthweight Z-Score]],TRUE)*100,"")</f>
        <v/>
      </c>
      <c r="K7151" s="7" t="str">
        <f>IF(Table1[[#This Row],[Is Data Valid]]=TRUE,_xlfn.NORM.S.DIST(Table1[[#This Row],[Birthweight Z-Score (BW-10%)]],TRUE)*100,"")</f>
        <v/>
      </c>
      <c r="L7151" s="7" t="str">
        <f>IF(Table1[[#This Row],[Is Data Valid]]=TRUE,_xlfn.NORM.S.DIST(Table1[[#This Row],[Birthweight Z-Score (BW+10%)]],TRUE)*100,"")</f>
        <v/>
      </c>
    </row>
    <row r="7152" spans="1:12" x14ac:dyDescent="0.35">
      <c r="A7152" s="3"/>
      <c r="B7152" s="2"/>
      <c r="C7152" s="2"/>
      <c r="D7152" s="2" t="b">
        <f>IF(AND(NOT(ISBLANK(Table1[[#This Row],[Fetal Sex (Male, Female or Unknown)]])),ISNUMBER(Table1[[#This Row],[Birthweight (grams)]]),ISNUMBER(Table1[[#This Row],[Gestation (days)]])),TRUE,FALSE)</f>
        <v>0</v>
      </c>
      <c r="E7152" s="2" t="str">
        <f>IF(Table1[[#This Row],[Is Data Valid]]=TRUE,IF(Table1[[#This Row],[Fetal Sex (Male, Female or Unknown)]]="Male",Backend!$C$6,IF(Table1[[#This Row],[Fetal Sex (Male, Female or Unknown)]]="Female",Backend!$C$7,IF(Table1[[#This Row],[Fetal Sex (Male, Female or Unknown)]]="Unknown",Backend!$C$8,"Error"))),"")</f>
        <v/>
      </c>
      <c r="F7152" s="8" t="str">
        <f>IF(Table1[[#This Row],[Is Data Valid]]=TRUE,EXP(0.578+0.332*((Table1[[#This Row],[Gestation (days)]]+0.5)/7)-0.00354*((Table1[[#This Row],[Gestation (days)]]+0.5)/7)^2)*Table1[[#This Row],[BW40_3705]],"")</f>
        <v/>
      </c>
      <c r="G7152" s="2" t="str">
        <f>IF(Table1[[#This Row],[Is Data Valid]]=TRUE,((Table1[[#This Row],[Birthweight (grams)]]/Table1[[#This Row],[BW_GA]])-1)/(Backend!$B$4/100*Table1[[#This Row],[BW40_3705]]),"")</f>
        <v/>
      </c>
      <c r="H7152" s="7" t="str">
        <f>IF(Table1[[#This Row],[Is Data Valid]]=TRUE,((Table1[[#This Row],[Birthweight (grams)]]*0.9/Table1[[#This Row],[BW_GA]])-1)/(Backend!$B$4/100*Table1[[#This Row],[BW40_3705]]),"")</f>
        <v/>
      </c>
      <c r="I7152" s="7" t="str">
        <f>IF(Table1[[#This Row],[Is Data Valid]]=TRUE,((Table1[[#This Row],[Birthweight (grams)]]*1.1/Table1[[#This Row],[BW_GA]])-1)/(Backend!$B$4/100*Table1[[#This Row],[BW40_3705]]),"")</f>
        <v/>
      </c>
      <c r="J7152" s="7" t="str">
        <f>IF(Table1[[#This Row],[Is Data Valid]]=TRUE,_xlfn.NORM.S.DIST(Table1[[#This Row],[Birthweight Z-Score]],TRUE)*100,"")</f>
        <v/>
      </c>
      <c r="K7152" s="7" t="str">
        <f>IF(Table1[[#This Row],[Is Data Valid]]=TRUE,_xlfn.NORM.S.DIST(Table1[[#This Row],[Birthweight Z-Score (BW-10%)]],TRUE)*100,"")</f>
        <v/>
      </c>
      <c r="L7152" s="7" t="str">
        <f>IF(Table1[[#This Row],[Is Data Valid]]=TRUE,_xlfn.NORM.S.DIST(Table1[[#This Row],[Birthweight Z-Score (BW+10%)]],TRUE)*100,"")</f>
        <v/>
      </c>
    </row>
    <row r="7153" spans="1:12" x14ac:dyDescent="0.35">
      <c r="A7153" s="3"/>
      <c r="B7153" s="2"/>
      <c r="C7153" s="2"/>
      <c r="D7153" s="2" t="b">
        <f>IF(AND(NOT(ISBLANK(Table1[[#This Row],[Fetal Sex (Male, Female or Unknown)]])),ISNUMBER(Table1[[#This Row],[Birthweight (grams)]]),ISNUMBER(Table1[[#This Row],[Gestation (days)]])),TRUE,FALSE)</f>
        <v>0</v>
      </c>
      <c r="E7153" s="2" t="str">
        <f>IF(Table1[[#This Row],[Is Data Valid]]=TRUE,IF(Table1[[#This Row],[Fetal Sex (Male, Female or Unknown)]]="Male",Backend!$C$6,IF(Table1[[#This Row],[Fetal Sex (Male, Female or Unknown)]]="Female",Backend!$C$7,IF(Table1[[#This Row],[Fetal Sex (Male, Female or Unknown)]]="Unknown",Backend!$C$8,"Error"))),"")</f>
        <v/>
      </c>
      <c r="F7153" s="8" t="str">
        <f>IF(Table1[[#This Row],[Is Data Valid]]=TRUE,EXP(0.578+0.332*((Table1[[#This Row],[Gestation (days)]]+0.5)/7)-0.00354*((Table1[[#This Row],[Gestation (days)]]+0.5)/7)^2)*Table1[[#This Row],[BW40_3705]],"")</f>
        <v/>
      </c>
      <c r="G7153" s="2" t="str">
        <f>IF(Table1[[#This Row],[Is Data Valid]]=TRUE,((Table1[[#This Row],[Birthweight (grams)]]/Table1[[#This Row],[BW_GA]])-1)/(Backend!$B$4/100*Table1[[#This Row],[BW40_3705]]),"")</f>
        <v/>
      </c>
      <c r="H7153" s="7" t="str">
        <f>IF(Table1[[#This Row],[Is Data Valid]]=TRUE,((Table1[[#This Row],[Birthweight (grams)]]*0.9/Table1[[#This Row],[BW_GA]])-1)/(Backend!$B$4/100*Table1[[#This Row],[BW40_3705]]),"")</f>
        <v/>
      </c>
      <c r="I7153" s="7" t="str">
        <f>IF(Table1[[#This Row],[Is Data Valid]]=TRUE,((Table1[[#This Row],[Birthweight (grams)]]*1.1/Table1[[#This Row],[BW_GA]])-1)/(Backend!$B$4/100*Table1[[#This Row],[BW40_3705]]),"")</f>
        <v/>
      </c>
      <c r="J7153" s="7" t="str">
        <f>IF(Table1[[#This Row],[Is Data Valid]]=TRUE,_xlfn.NORM.S.DIST(Table1[[#This Row],[Birthweight Z-Score]],TRUE)*100,"")</f>
        <v/>
      </c>
      <c r="K7153" s="7" t="str">
        <f>IF(Table1[[#This Row],[Is Data Valid]]=TRUE,_xlfn.NORM.S.DIST(Table1[[#This Row],[Birthweight Z-Score (BW-10%)]],TRUE)*100,"")</f>
        <v/>
      </c>
      <c r="L7153" s="7" t="str">
        <f>IF(Table1[[#This Row],[Is Data Valid]]=TRUE,_xlfn.NORM.S.DIST(Table1[[#This Row],[Birthweight Z-Score (BW+10%)]],TRUE)*100,"")</f>
        <v/>
      </c>
    </row>
    <row r="7154" spans="1:12" x14ac:dyDescent="0.35">
      <c r="A7154" s="3"/>
      <c r="B7154" s="2"/>
      <c r="C7154" s="2"/>
      <c r="D7154" s="2" t="b">
        <f>IF(AND(NOT(ISBLANK(Table1[[#This Row],[Fetal Sex (Male, Female or Unknown)]])),ISNUMBER(Table1[[#This Row],[Birthweight (grams)]]),ISNUMBER(Table1[[#This Row],[Gestation (days)]])),TRUE,FALSE)</f>
        <v>0</v>
      </c>
      <c r="E7154" s="2" t="str">
        <f>IF(Table1[[#This Row],[Is Data Valid]]=TRUE,IF(Table1[[#This Row],[Fetal Sex (Male, Female or Unknown)]]="Male",Backend!$C$6,IF(Table1[[#This Row],[Fetal Sex (Male, Female or Unknown)]]="Female",Backend!$C$7,IF(Table1[[#This Row],[Fetal Sex (Male, Female or Unknown)]]="Unknown",Backend!$C$8,"Error"))),"")</f>
        <v/>
      </c>
      <c r="F7154" s="8" t="str">
        <f>IF(Table1[[#This Row],[Is Data Valid]]=TRUE,EXP(0.578+0.332*((Table1[[#This Row],[Gestation (days)]]+0.5)/7)-0.00354*((Table1[[#This Row],[Gestation (days)]]+0.5)/7)^2)*Table1[[#This Row],[BW40_3705]],"")</f>
        <v/>
      </c>
      <c r="G7154" s="2" t="str">
        <f>IF(Table1[[#This Row],[Is Data Valid]]=TRUE,((Table1[[#This Row],[Birthweight (grams)]]/Table1[[#This Row],[BW_GA]])-1)/(Backend!$B$4/100*Table1[[#This Row],[BW40_3705]]),"")</f>
        <v/>
      </c>
      <c r="H7154" s="7" t="str">
        <f>IF(Table1[[#This Row],[Is Data Valid]]=TRUE,((Table1[[#This Row],[Birthweight (grams)]]*0.9/Table1[[#This Row],[BW_GA]])-1)/(Backend!$B$4/100*Table1[[#This Row],[BW40_3705]]),"")</f>
        <v/>
      </c>
      <c r="I7154" s="7" t="str">
        <f>IF(Table1[[#This Row],[Is Data Valid]]=TRUE,((Table1[[#This Row],[Birthweight (grams)]]*1.1/Table1[[#This Row],[BW_GA]])-1)/(Backend!$B$4/100*Table1[[#This Row],[BW40_3705]]),"")</f>
        <v/>
      </c>
      <c r="J7154" s="7" t="str">
        <f>IF(Table1[[#This Row],[Is Data Valid]]=TRUE,_xlfn.NORM.S.DIST(Table1[[#This Row],[Birthweight Z-Score]],TRUE)*100,"")</f>
        <v/>
      </c>
      <c r="K7154" s="7" t="str">
        <f>IF(Table1[[#This Row],[Is Data Valid]]=TRUE,_xlfn.NORM.S.DIST(Table1[[#This Row],[Birthweight Z-Score (BW-10%)]],TRUE)*100,"")</f>
        <v/>
      </c>
      <c r="L7154" s="7" t="str">
        <f>IF(Table1[[#This Row],[Is Data Valid]]=TRUE,_xlfn.NORM.S.DIST(Table1[[#This Row],[Birthweight Z-Score (BW+10%)]],TRUE)*100,"")</f>
        <v/>
      </c>
    </row>
    <row r="7155" spans="1:12" x14ac:dyDescent="0.35">
      <c r="A7155" s="3"/>
      <c r="B7155" s="2"/>
      <c r="C7155" s="2"/>
      <c r="D7155" s="2" t="b">
        <f>IF(AND(NOT(ISBLANK(Table1[[#This Row],[Fetal Sex (Male, Female or Unknown)]])),ISNUMBER(Table1[[#This Row],[Birthweight (grams)]]),ISNUMBER(Table1[[#This Row],[Gestation (days)]])),TRUE,FALSE)</f>
        <v>0</v>
      </c>
      <c r="E7155" s="2" t="str">
        <f>IF(Table1[[#This Row],[Is Data Valid]]=TRUE,IF(Table1[[#This Row],[Fetal Sex (Male, Female or Unknown)]]="Male",Backend!$C$6,IF(Table1[[#This Row],[Fetal Sex (Male, Female or Unknown)]]="Female",Backend!$C$7,IF(Table1[[#This Row],[Fetal Sex (Male, Female or Unknown)]]="Unknown",Backend!$C$8,"Error"))),"")</f>
        <v/>
      </c>
      <c r="F7155" s="8" t="str">
        <f>IF(Table1[[#This Row],[Is Data Valid]]=TRUE,EXP(0.578+0.332*((Table1[[#This Row],[Gestation (days)]]+0.5)/7)-0.00354*((Table1[[#This Row],[Gestation (days)]]+0.5)/7)^2)*Table1[[#This Row],[BW40_3705]],"")</f>
        <v/>
      </c>
      <c r="G7155" s="2" t="str">
        <f>IF(Table1[[#This Row],[Is Data Valid]]=TRUE,((Table1[[#This Row],[Birthweight (grams)]]/Table1[[#This Row],[BW_GA]])-1)/(Backend!$B$4/100*Table1[[#This Row],[BW40_3705]]),"")</f>
        <v/>
      </c>
      <c r="H7155" s="7" t="str">
        <f>IF(Table1[[#This Row],[Is Data Valid]]=TRUE,((Table1[[#This Row],[Birthweight (grams)]]*0.9/Table1[[#This Row],[BW_GA]])-1)/(Backend!$B$4/100*Table1[[#This Row],[BW40_3705]]),"")</f>
        <v/>
      </c>
      <c r="I7155" s="7" t="str">
        <f>IF(Table1[[#This Row],[Is Data Valid]]=TRUE,((Table1[[#This Row],[Birthweight (grams)]]*1.1/Table1[[#This Row],[BW_GA]])-1)/(Backend!$B$4/100*Table1[[#This Row],[BW40_3705]]),"")</f>
        <v/>
      </c>
      <c r="J7155" s="7" t="str">
        <f>IF(Table1[[#This Row],[Is Data Valid]]=TRUE,_xlfn.NORM.S.DIST(Table1[[#This Row],[Birthweight Z-Score]],TRUE)*100,"")</f>
        <v/>
      </c>
      <c r="K7155" s="7" t="str">
        <f>IF(Table1[[#This Row],[Is Data Valid]]=TRUE,_xlfn.NORM.S.DIST(Table1[[#This Row],[Birthweight Z-Score (BW-10%)]],TRUE)*100,"")</f>
        <v/>
      </c>
      <c r="L7155" s="7" t="str">
        <f>IF(Table1[[#This Row],[Is Data Valid]]=TRUE,_xlfn.NORM.S.DIST(Table1[[#This Row],[Birthweight Z-Score (BW+10%)]],TRUE)*100,"")</f>
        <v/>
      </c>
    </row>
    <row r="7156" spans="1:12" x14ac:dyDescent="0.35">
      <c r="A7156" s="3"/>
      <c r="B7156" s="2"/>
      <c r="C7156" s="2"/>
      <c r="D7156" s="2" t="b">
        <f>IF(AND(NOT(ISBLANK(Table1[[#This Row],[Fetal Sex (Male, Female or Unknown)]])),ISNUMBER(Table1[[#This Row],[Birthweight (grams)]]),ISNUMBER(Table1[[#This Row],[Gestation (days)]])),TRUE,FALSE)</f>
        <v>0</v>
      </c>
      <c r="E7156" s="2" t="str">
        <f>IF(Table1[[#This Row],[Is Data Valid]]=TRUE,IF(Table1[[#This Row],[Fetal Sex (Male, Female or Unknown)]]="Male",Backend!$C$6,IF(Table1[[#This Row],[Fetal Sex (Male, Female or Unknown)]]="Female",Backend!$C$7,IF(Table1[[#This Row],[Fetal Sex (Male, Female or Unknown)]]="Unknown",Backend!$C$8,"Error"))),"")</f>
        <v/>
      </c>
      <c r="F7156" s="8" t="str">
        <f>IF(Table1[[#This Row],[Is Data Valid]]=TRUE,EXP(0.578+0.332*((Table1[[#This Row],[Gestation (days)]]+0.5)/7)-0.00354*((Table1[[#This Row],[Gestation (days)]]+0.5)/7)^2)*Table1[[#This Row],[BW40_3705]],"")</f>
        <v/>
      </c>
      <c r="G7156" s="2" t="str">
        <f>IF(Table1[[#This Row],[Is Data Valid]]=TRUE,((Table1[[#This Row],[Birthweight (grams)]]/Table1[[#This Row],[BW_GA]])-1)/(Backend!$B$4/100*Table1[[#This Row],[BW40_3705]]),"")</f>
        <v/>
      </c>
      <c r="H7156" s="7" t="str">
        <f>IF(Table1[[#This Row],[Is Data Valid]]=TRUE,((Table1[[#This Row],[Birthweight (grams)]]*0.9/Table1[[#This Row],[BW_GA]])-1)/(Backend!$B$4/100*Table1[[#This Row],[BW40_3705]]),"")</f>
        <v/>
      </c>
      <c r="I7156" s="7" t="str">
        <f>IF(Table1[[#This Row],[Is Data Valid]]=TRUE,((Table1[[#This Row],[Birthweight (grams)]]*1.1/Table1[[#This Row],[BW_GA]])-1)/(Backend!$B$4/100*Table1[[#This Row],[BW40_3705]]),"")</f>
        <v/>
      </c>
      <c r="J7156" s="7" t="str">
        <f>IF(Table1[[#This Row],[Is Data Valid]]=TRUE,_xlfn.NORM.S.DIST(Table1[[#This Row],[Birthweight Z-Score]],TRUE)*100,"")</f>
        <v/>
      </c>
      <c r="K7156" s="7" t="str">
        <f>IF(Table1[[#This Row],[Is Data Valid]]=TRUE,_xlfn.NORM.S.DIST(Table1[[#This Row],[Birthweight Z-Score (BW-10%)]],TRUE)*100,"")</f>
        <v/>
      </c>
      <c r="L7156" s="7" t="str">
        <f>IF(Table1[[#This Row],[Is Data Valid]]=TRUE,_xlfn.NORM.S.DIST(Table1[[#This Row],[Birthweight Z-Score (BW+10%)]],TRUE)*100,"")</f>
        <v/>
      </c>
    </row>
    <row r="7157" spans="1:12" x14ac:dyDescent="0.35">
      <c r="A7157" s="3"/>
      <c r="B7157" s="2"/>
      <c r="C7157" s="2"/>
      <c r="D7157" s="2" t="b">
        <f>IF(AND(NOT(ISBLANK(Table1[[#This Row],[Fetal Sex (Male, Female or Unknown)]])),ISNUMBER(Table1[[#This Row],[Birthweight (grams)]]),ISNUMBER(Table1[[#This Row],[Gestation (days)]])),TRUE,FALSE)</f>
        <v>0</v>
      </c>
      <c r="E7157" s="2" t="str">
        <f>IF(Table1[[#This Row],[Is Data Valid]]=TRUE,IF(Table1[[#This Row],[Fetal Sex (Male, Female or Unknown)]]="Male",Backend!$C$6,IF(Table1[[#This Row],[Fetal Sex (Male, Female or Unknown)]]="Female",Backend!$C$7,IF(Table1[[#This Row],[Fetal Sex (Male, Female or Unknown)]]="Unknown",Backend!$C$8,"Error"))),"")</f>
        <v/>
      </c>
      <c r="F7157" s="8" t="str">
        <f>IF(Table1[[#This Row],[Is Data Valid]]=TRUE,EXP(0.578+0.332*((Table1[[#This Row],[Gestation (days)]]+0.5)/7)-0.00354*((Table1[[#This Row],[Gestation (days)]]+0.5)/7)^2)*Table1[[#This Row],[BW40_3705]],"")</f>
        <v/>
      </c>
      <c r="G7157" s="2" t="str">
        <f>IF(Table1[[#This Row],[Is Data Valid]]=TRUE,((Table1[[#This Row],[Birthweight (grams)]]/Table1[[#This Row],[BW_GA]])-1)/(Backend!$B$4/100*Table1[[#This Row],[BW40_3705]]),"")</f>
        <v/>
      </c>
      <c r="H7157" s="7" t="str">
        <f>IF(Table1[[#This Row],[Is Data Valid]]=TRUE,((Table1[[#This Row],[Birthweight (grams)]]*0.9/Table1[[#This Row],[BW_GA]])-1)/(Backend!$B$4/100*Table1[[#This Row],[BW40_3705]]),"")</f>
        <v/>
      </c>
      <c r="I7157" s="7" t="str">
        <f>IF(Table1[[#This Row],[Is Data Valid]]=TRUE,((Table1[[#This Row],[Birthweight (grams)]]*1.1/Table1[[#This Row],[BW_GA]])-1)/(Backend!$B$4/100*Table1[[#This Row],[BW40_3705]]),"")</f>
        <v/>
      </c>
      <c r="J7157" s="7" t="str">
        <f>IF(Table1[[#This Row],[Is Data Valid]]=TRUE,_xlfn.NORM.S.DIST(Table1[[#This Row],[Birthweight Z-Score]],TRUE)*100,"")</f>
        <v/>
      </c>
      <c r="K7157" s="7" t="str">
        <f>IF(Table1[[#This Row],[Is Data Valid]]=TRUE,_xlfn.NORM.S.DIST(Table1[[#This Row],[Birthweight Z-Score (BW-10%)]],TRUE)*100,"")</f>
        <v/>
      </c>
      <c r="L7157" s="7" t="str">
        <f>IF(Table1[[#This Row],[Is Data Valid]]=TRUE,_xlfn.NORM.S.DIST(Table1[[#This Row],[Birthweight Z-Score (BW+10%)]],TRUE)*100,"")</f>
        <v/>
      </c>
    </row>
    <row r="7158" spans="1:12" x14ac:dyDescent="0.35">
      <c r="A7158" s="3"/>
      <c r="B7158" s="2"/>
      <c r="C7158" s="2"/>
      <c r="D7158" s="2" t="b">
        <f>IF(AND(NOT(ISBLANK(Table1[[#This Row],[Fetal Sex (Male, Female or Unknown)]])),ISNUMBER(Table1[[#This Row],[Birthweight (grams)]]),ISNUMBER(Table1[[#This Row],[Gestation (days)]])),TRUE,FALSE)</f>
        <v>0</v>
      </c>
      <c r="E7158" s="2" t="str">
        <f>IF(Table1[[#This Row],[Is Data Valid]]=TRUE,IF(Table1[[#This Row],[Fetal Sex (Male, Female or Unknown)]]="Male",Backend!$C$6,IF(Table1[[#This Row],[Fetal Sex (Male, Female or Unknown)]]="Female",Backend!$C$7,IF(Table1[[#This Row],[Fetal Sex (Male, Female or Unknown)]]="Unknown",Backend!$C$8,"Error"))),"")</f>
        <v/>
      </c>
      <c r="F7158" s="8" t="str">
        <f>IF(Table1[[#This Row],[Is Data Valid]]=TRUE,EXP(0.578+0.332*((Table1[[#This Row],[Gestation (days)]]+0.5)/7)-0.00354*((Table1[[#This Row],[Gestation (days)]]+0.5)/7)^2)*Table1[[#This Row],[BW40_3705]],"")</f>
        <v/>
      </c>
      <c r="G7158" s="2" t="str">
        <f>IF(Table1[[#This Row],[Is Data Valid]]=TRUE,((Table1[[#This Row],[Birthweight (grams)]]/Table1[[#This Row],[BW_GA]])-1)/(Backend!$B$4/100*Table1[[#This Row],[BW40_3705]]),"")</f>
        <v/>
      </c>
      <c r="H7158" s="7" t="str">
        <f>IF(Table1[[#This Row],[Is Data Valid]]=TRUE,((Table1[[#This Row],[Birthweight (grams)]]*0.9/Table1[[#This Row],[BW_GA]])-1)/(Backend!$B$4/100*Table1[[#This Row],[BW40_3705]]),"")</f>
        <v/>
      </c>
      <c r="I7158" s="7" t="str">
        <f>IF(Table1[[#This Row],[Is Data Valid]]=TRUE,((Table1[[#This Row],[Birthweight (grams)]]*1.1/Table1[[#This Row],[BW_GA]])-1)/(Backend!$B$4/100*Table1[[#This Row],[BW40_3705]]),"")</f>
        <v/>
      </c>
      <c r="J7158" s="7" t="str">
        <f>IF(Table1[[#This Row],[Is Data Valid]]=TRUE,_xlfn.NORM.S.DIST(Table1[[#This Row],[Birthweight Z-Score]],TRUE)*100,"")</f>
        <v/>
      </c>
      <c r="K7158" s="7" t="str">
        <f>IF(Table1[[#This Row],[Is Data Valid]]=TRUE,_xlfn.NORM.S.DIST(Table1[[#This Row],[Birthweight Z-Score (BW-10%)]],TRUE)*100,"")</f>
        <v/>
      </c>
      <c r="L7158" s="7" t="str">
        <f>IF(Table1[[#This Row],[Is Data Valid]]=TRUE,_xlfn.NORM.S.DIST(Table1[[#This Row],[Birthweight Z-Score (BW+10%)]],TRUE)*100,"")</f>
        <v/>
      </c>
    </row>
    <row r="7159" spans="1:12" x14ac:dyDescent="0.35">
      <c r="A7159" s="3"/>
      <c r="B7159" s="2"/>
      <c r="C7159" s="2"/>
      <c r="D7159" s="2" t="b">
        <f>IF(AND(NOT(ISBLANK(Table1[[#This Row],[Fetal Sex (Male, Female or Unknown)]])),ISNUMBER(Table1[[#This Row],[Birthweight (grams)]]),ISNUMBER(Table1[[#This Row],[Gestation (days)]])),TRUE,FALSE)</f>
        <v>0</v>
      </c>
      <c r="E7159" s="2" t="str">
        <f>IF(Table1[[#This Row],[Is Data Valid]]=TRUE,IF(Table1[[#This Row],[Fetal Sex (Male, Female or Unknown)]]="Male",Backend!$C$6,IF(Table1[[#This Row],[Fetal Sex (Male, Female or Unknown)]]="Female",Backend!$C$7,IF(Table1[[#This Row],[Fetal Sex (Male, Female or Unknown)]]="Unknown",Backend!$C$8,"Error"))),"")</f>
        <v/>
      </c>
      <c r="F7159" s="8" t="str">
        <f>IF(Table1[[#This Row],[Is Data Valid]]=TRUE,EXP(0.578+0.332*((Table1[[#This Row],[Gestation (days)]]+0.5)/7)-0.00354*((Table1[[#This Row],[Gestation (days)]]+0.5)/7)^2)*Table1[[#This Row],[BW40_3705]],"")</f>
        <v/>
      </c>
      <c r="G7159" s="2" t="str">
        <f>IF(Table1[[#This Row],[Is Data Valid]]=TRUE,((Table1[[#This Row],[Birthweight (grams)]]/Table1[[#This Row],[BW_GA]])-1)/(Backend!$B$4/100*Table1[[#This Row],[BW40_3705]]),"")</f>
        <v/>
      </c>
      <c r="H7159" s="7" t="str">
        <f>IF(Table1[[#This Row],[Is Data Valid]]=TRUE,((Table1[[#This Row],[Birthweight (grams)]]*0.9/Table1[[#This Row],[BW_GA]])-1)/(Backend!$B$4/100*Table1[[#This Row],[BW40_3705]]),"")</f>
        <v/>
      </c>
      <c r="I7159" s="7" t="str">
        <f>IF(Table1[[#This Row],[Is Data Valid]]=TRUE,((Table1[[#This Row],[Birthweight (grams)]]*1.1/Table1[[#This Row],[BW_GA]])-1)/(Backend!$B$4/100*Table1[[#This Row],[BW40_3705]]),"")</f>
        <v/>
      </c>
      <c r="J7159" s="7" t="str">
        <f>IF(Table1[[#This Row],[Is Data Valid]]=TRUE,_xlfn.NORM.S.DIST(Table1[[#This Row],[Birthweight Z-Score]],TRUE)*100,"")</f>
        <v/>
      </c>
      <c r="K7159" s="7" t="str">
        <f>IF(Table1[[#This Row],[Is Data Valid]]=TRUE,_xlfn.NORM.S.DIST(Table1[[#This Row],[Birthweight Z-Score (BW-10%)]],TRUE)*100,"")</f>
        <v/>
      </c>
      <c r="L7159" s="7" t="str">
        <f>IF(Table1[[#This Row],[Is Data Valid]]=TRUE,_xlfn.NORM.S.DIST(Table1[[#This Row],[Birthweight Z-Score (BW+10%)]],TRUE)*100,"")</f>
        <v/>
      </c>
    </row>
    <row r="7160" spans="1:12" x14ac:dyDescent="0.35">
      <c r="A7160" s="3"/>
      <c r="B7160" s="2"/>
      <c r="C7160" s="2"/>
      <c r="D7160" s="2" t="b">
        <f>IF(AND(NOT(ISBLANK(Table1[[#This Row],[Fetal Sex (Male, Female or Unknown)]])),ISNUMBER(Table1[[#This Row],[Birthweight (grams)]]),ISNUMBER(Table1[[#This Row],[Gestation (days)]])),TRUE,FALSE)</f>
        <v>0</v>
      </c>
      <c r="E7160" s="2" t="str">
        <f>IF(Table1[[#This Row],[Is Data Valid]]=TRUE,IF(Table1[[#This Row],[Fetal Sex (Male, Female or Unknown)]]="Male",Backend!$C$6,IF(Table1[[#This Row],[Fetal Sex (Male, Female or Unknown)]]="Female",Backend!$C$7,IF(Table1[[#This Row],[Fetal Sex (Male, Female or Unknown)]]="Unknown",Backend!$C$8,"Error"))),"")</f>
        <v/>
      </c>
      <c r="F7160" s="8" t="str">
        <f>IF(Table1[[#This Row],[Is Data Valid]]=TRUE,EXP(0.578+0.332*((Table1[[#This Row],[Gestation (days)]]+0.5)/7)-0.00354*((Table1[[#This Row],[Gestation (days)]]+0.5)/7)^2)*Table1[[#This Row],[BW40_3705]],"")</f>
        <v/>
      </c>
      <c r="G7160" s="2" t="str">
        <f>IF(Table1[[#This Row],[Is Data Valid]]=TRUE,((Table1[[#This Row],[Birthweight (grams)]]/Table1[[#This Row],[BW_GA]])-1)/(Backend!$B$4/100*Table1[[#This Row],[BW40_3705]]),"")</f>
        <v/>
      </c>
      <c r="H7160" s="7" t="str">
        <f>IF(Table1[[#This Row],[Is Data Valid]]=TRUE,((Table1[[#This Row],[Birthweight (grams)]]*0.9/Table1[[#This Row],[BW_GA]])-1)/(Backend!$B$4/100*Table1[[#This Row],[BW40_3705]]),"")</f>
        <v/>
      </c>
      <c r="I7160" s="7" t="str">
        <f>IF(Table1[[#This Row],[Is Data Valid]]=TRUE,((Table1[[#This Row],[Birthweight (grams)]]*1.1/Table1[[#This Row],[BW_GA]])-1)/(Backend!$B$4/100*Table1[[#This Row],[BW40_3705]]),"")</f>
        <v/>
      </c>
      <c r="J7160" s="7" t="str">
        <f>IF(Table1[[#This Row],[Is Data Valid]]=TRUE,_xlfn.NORM.S.DIST(Table1[[#This Row],[Birthweight Z-Score]],TRUE)*100,"")</f>
        <v/>
      </c>
      <c r="K7160" s="7" t="str">
        <f>IF(Table1[[#This Row],[Is Data Valid]]=TRUE,_xlfn.NORM.S.DIST(Table1[[#This Row],[Birthweight Z-Score (BW-10%)]],TRUE)*100,"")</f>
        <v/>
      </c>
      <c r="L7160" s="7" t="str">
        <f>IF(Table1[[#This Row],[Is Data Valid]]=TRUE,_xlfn.NORM.S.DIST(Table1[[#This Row],[Birthweight Z-Score (BW+10%)]],TRUE)*100,"")</f>
        <v/>
      </c>
    </row>
    <row r="7161" spans="1:12" x14ac:dyDescent="0.35">
      <c r="A7161" s="3"/>
      <c r="B7161" s="2"/>
      <c r="C7161" s="2"/>
      <c r="D7161" s="2" t="b">
        <f>IF(AND(NOT(ISBLANK(Table1[[#This Row],[Fetal Sex (Male, Female or Unknown)]])),ISNUMBER(Table1[[#This Row],[Birthweight (grams)]]),ISNUMBER(Table1[[#This Row],[Gestation (days)]])),TRUE,FALSE)</f>
        <v>0</v>
      </c>
      <c r="E7161" s="2" t="str">
        <f>IF(Table1[[#This Row],[Is Data Valid]]=TRUE,IF(Table1[[#This Row],[Fetal Sex (Male, Female or Unknown)]]="Male",Backend!$C$6,IF(Table1[[#This Row],[Fetal Sex (Male, Female or Unknown)]]="Female",Backend!$C$7,IF(Table1[[#This Row],[Fetal Sex (Male, Female or Unknown)]]="Unknown",Backend!$C$8,"Error"))),"")</f>
        <v/>
      </c>
      <c r="F7161" s="8" t="str">
        <f>IF(Table1[[#This Row],[Is Data Valid]]=TRUE,EXP(0.578+0.332*((Table1[[#This Row],[Gestation (days)]]+0.5)/7)-0.00354*((Table1[[#This Row],[Gestation (days)]]+0.5)/7)^2)*Table1[[#This Row],[BW40_3705]],"")</f>
        <v/>
      </c>
      <c r="G7161" s="2" t="str">
        <f>IF(Table1[[#This Row],[Is Data Valid]]=TRUE,((Table1[[#This Row],[Birthweight (grams)]]/Table1[[#This Row],[BW_GA]])-1)/(Backend!$B$4/100*Table1[[#This Row],[BW40_3705]]),"")</f>
        <v/>
      </c>
      <c r="H7161" s="7" t="str">
        <f>IF(Table1[[#This Row],[Is Data Valid]]=TRUE,((Table1[[#This Row],[Birthweight (grams)]]*0.9/Table1[[#This Row],[BW_GA]])-1)/(Backend!$B$4/100*Table1[[#This Row],[BW40_3705]]),"")</f>
        <v/>
      </c>
      <c r="I7161" s="7" t="str">
        <f>IF(Table1[[#This Row],[Is Data Valid]]=TRUE,((Table1[[#This Row],[Birthweight (grams)]]*1.1/Table1[[#This Row],[BW_GA]])-1)/(Backend!$B$4/100*Table1[[#This Row],[BW40_3705]]),"")</f>
        <v/>
      </c>
      <c r="J7161" s="7" t="str">
        <f>IF(Table1[[#This Row],[Is Data Valid]]=TRUE,_xlfn.NORM.S.DIST(Table1[[#This Row],[Birthweight Z-Score]],TRUE)*100,"")</f>
        <v/>
      </c>
      <c r="K7161" s="7" t="str">
        <f>IF(Table1[[#This Row],[Is Data Valid]]=TRUE,_xlfn.NORM.S.DIST(Table1[[#This Row],[Birthweight Z-Score (BW-10%)]],TRUE)*100,"")</f>
        <v/>
      </c>
      <c r="L7161" s="7" t="str">
        <f>IF(Table1[[#This Row],[Is Data Valid]]=TRUE,_xlfn.NORM.S.DIST(Table1[[#This Row],[Birthweight Z-Score (BW+10%)]],TRUE)*100,"")</f>
        <v/>
      </c>
    </row>
    <row r="7162" spans="1:12" x14ac:dyDescent="0.35">
      <c r="A7162" s="3"/>
      <c r="B7162" s="2"/>
      <c r="C7162" s="2"/>
      <c r="D7162" s="2" t="b">
        <f>IF(AND(NOT(ISBLANK(Table1[[#This Row],[Fetal Sex (Male, Female or Unknown)]])),ISNUMBER(Table1[[#This Row],[Birthweight (grams)]]),ISNUMBER(Table1[[#This Row],[Gestation (days)]])),TRUE,FALSE)</f>
        <v>0</v>
      </c>
      <c r="E7162" s="2" t="str">
        <f>IF(Table1[[#This Row],[Is Data Valid]]=TRUE,IF(Table1[[#This Row],[Fetal Sex (Male, Female or Unknown)]]="Male",Backend!$C$6,IF(Table1[[#This Row],[Fetal Sex (Male, Female or Unknown)]]="Female",Backend!$C$7,IF(Table1[[#This Row],[Fetal Sex (Male, Female or Unknown)]]="Unknown",Backend!$C$8,"Error"))),"")</f>
        <v/>
      </c>
      <c r="F7162" s="8" t="str">
        <f>IF(Table1[[#This Row],[Is Data Valid]]=TRUE,EXP(0.578+0.332*((Table1[[#This Row],[Gestation (days)]]+0.5)/7)-0.00354*((Table1[[#This Row],[Gestation (days)]]+0.5)/7)^2)*Table1[[#This Row],[BW40_3705]],"")</f>
        <v/>
      </c>
      <c r="G7162" s="2" t="str">
        <f>IF(Table1[[#This Row],[Is Data Valid]]=TRUE,((Table1[[#This Row],[Birthweight (grams)]]/Table1[[#This Row],[BW_GA]])-1)/(Backend!$B$4/100*Table1[[#This Row],[BW40_3705]]),"")</f>
        <v/>
      </c>
      <c r="H7162" s="7" t="str">
        <f>IF(Table1[[#This Row],[Is Data Valid]]=TRUE,((Table1[[#This Row],[Birthweight (grams)]]*0.9/Table1[[#This Row],[BW_GA]])-1)/(Backend!$B$4/100*Table1[[#This Row],[BW40_3705]]),"")</f>
        <v/>
      </c>
      <c r="I7162" s="7" t="str">
        <f>IF(Table1[[#This Row],[Is Data Valid]]=TRUE,((Table1[[#This Row],[Birthweight (grams)]]*1.1/Table1[[#This Row],[BW_GA]])-1)/(Backend!$B$4/100*Table1[[#This Row],[BW40_3705]]),"")</f>
        <v/>
      </c>
      <c r="J7162" s="7" t="str">
        <f>IF(Table1[[#This Row],[Is Data Valid]]=TRUE,_xlfn.NORM.S.DIST(Table1[[#This Row],[Birthweight Z-Score]],TRUE)*100,"")</f>
        <v/>
      </c>
      <c r="K7162" s="7" t="str">
        <f>IF(Table1[[#This Row],[Is Data Valid]]=TRUE,_xlfn.NORM.S.DIST(Table1[[#This Row],[Birthweight Z-Score (BW-10%)]],TRUE)*100,"")</f>
        <v/>
      </c>
      <c r="L7162" s="7" t="str">
        <f>IF(Table1[[#This Row],[Is Data Valid]]=TRUE,_xlfn.NORM.S.DIST(Table1[[#This Row],[Birthweight Z-Score (BW+10%)]],TRUE)*100,"")</f>
        <v/>
      </c>
    </row>
    <row r="7163" spans="1:12" x14ac:dyDescent="0.35">
      <c r="A7163" s="3"/>
      <c r="B7163" s="2"/>
      <c r="C7163" s="2"/>
      <c r="D7163" s="2" t="b">
        <f>IF(AND(NOT(ISBLANK(Table1[[#This Row],[Fetal Sex (Male, Female or Unknown)]])),ISNUMBER(Table1[[#This Row],[Birthweight (grams)]]),ISNUMBER(Table1[[#This Row],[Gestation (days)]])),TRUE,FALSE)</f>
        <v>0</v>
      </c>
      <c r="E7163" s="2" t="str">
        <f>IF(Table1[[#This Row],[Is Data Valid]]=TRUE,IF(Table1[[#This Row],[Fetal Sex (Male, Female or Unknown)]]="Male",Backend!$C$6,IF(Table1[[#This Row],[Fetal Sex (Male, Female or Unknown)]]="Female",Backend!$C$7,IF(Table1[[#This Row],[Fetal Sex (Male, Female or Unknown)]]="Unknown",Backend!$C$8,"Error"))),"")</f>
        <v/>
      </c>
      <c r="F7163" s="8" t="str">
        <f>IF(Table1[[#This Row],[Is Data Valid]]=TRUE,EXP(0.578+0.332*((Table1[[#This Row],[Gestation (days)]]+0.5)/7)-0.00354*((Table1[[#This Row],[Gestation (days)]]+0.5)/7)^2)*Table1[[#This Row],[BW40_3705]],"")</f>
        <v/>
      </c>
      <c r="G7163" s="2" t="str">
        <f>IF(Table1[[#This Row],[Is Data Valid]]=TRUE,((Table1[[#This Row],[Birthweight (grams)]]/Table1[[#This Row],[BW_GA]])-1)/(Backend!$B$4/100*Table1[[#This Row],[BW40_3705]]),"")</f>
        <v/>
      </c>
      <c r="H7163" s="7" t="str">
        <f>IF(Table1[[#This Row],[Is Data Valid]]=TRUE,((Table1[[#This Row],[Birthweight (grams)]]*0.9/Table1[[#This Row],[BW_GA]])-1)/(Backend!$B$4/100*Table1[[#This Row],[BW40_3705]]),"")</f>
        <v/>
      </c>
      <c r="I7163" s="7" t="str">
        <f>IF(Table1[[#This Row],[Is Data Valid]]=TRUE,((Table1[[#This Row],[Birthweight (grams)]]*1.1/Table1[[#This Row],[BW_GA]])-1)/(Backend!$B$4/100*Table1[[#This Row],[BW40_3705]]),"")</f>
        <v/>
      </c>
      <c r="J7163" s="7" t="str">
        <f>IF(Table1[[#This Row],[Is Data Valid]]=TRUE,_xlfn.NORM.S.DIST(Table1[[#This Row],[Birthweight Z-Score]],TRUE)*100,"")</f>
        <v/>
      </c>
      <c r="K7163" s="7" t="str">
        <f>IF(Table1[[#This Row],[Is Data Valid]]=TRUE,_xlfn.NORM.S.DIST(Table1[[#This Row],[Birthweight Z-Score (BW-10%)]],TRUE)*100,"")</f>
        <v/>
      </c>
      <c r="L7163" s="7" t="str">
        <f>IF(Table1[[#This Row],[Is Data Valid]]=TRUE,_xlfn.NORM.S.DIST(Table1[[#This Row],[Birthweight Z-Score (BW+10%)]],TRUE)*100,"")</f>
        <v/>
      </c>
    </row>
    <row r="7164" spans="1:12" x14ac:dyDescent="0.35">
      <c r="A7164" s="3"/>
      <c r="B7164" s="2"/>
      <c r="C7164" s="2"/>
      <c r="D7164" s="2" t="b">
        <f>IF(AND(NOT(ISBLANK(Table1[[#This Row],[Fetal Sex (Male, Female or Unknown)]])),ISNUMBER(Table1[[#This Row],[Birthweight (grams)]]),ISNUMBER(Table1[[#This Row],[Gestation (days)]])),TRUE,FALSE)</f>
        <v>0</v>
      </c>
      <c r="E7164" s="2" t="str">
        <f>IF(Table1[[#This Row],[Is Data Valid]]=TRUE,IF(Table1[[#This Row],[Fetal Sex (Male, Female or Unknown)]]="Male",Backend!$C$6,IF(Table1[[#This Row],[Fetal Sex (Male, Female or Unknown)]]="Female",Backend!$C$7,IF(Table1[[#This Row],[Fetal Sex (Male, Female or Unknown)]]="Unknown",Backend!$C$8,"Error"))),"")</f>
        <v/>
      </c>
      <c r="F7164" s="8" t="str">
        <f>IF(Table1[[#This Row],[Is Data Valid]]=TRUE,EXP(0.578+0.332*((Table1[[#This Row],[Gestation (days)]]+0.5)/7)-0.00354*((Table1[[#This Row],[Gestation (days)]]+0.5)/7)^2)*Table1[[#This Row],[BW40_3705]],"")</f>
        <v/>
      </c>
      <c r="G7164" s="2" t="str">
        <f>IF(Table1[[#This Row],[Is Data Valid]]=TRUE,((Table1[[#This Row],[Birthweight (grams)]]/Table1[[#This Row],[BW_GA]])-1)/(Backend!$B$4/100*Table1[[#This Row],[BW40_3705]]),"")</f>
        <v/>
      </c>
      <c r="H7164" s="7" t="str">
        <f>IF(Table1[[#This Row],[Is Data Valid]]=TRUE,((Table1[[#This Row],[Birthweight (grams)]]*0.9/Table1[[#This Row],[BW_GA]])-1)/(Backend!$B$4/100*Table1[[#This Row],[BW40_3705]]),"")</f>
        <v/>
      </c>
      <c r="I7164" s="7" t="str">
        <f>IF(Table1[[#This Row],[Is Data Valid]]=TRUE,((Table1[[#This Row],[Birthweight (grams)]]*1.1/Table1[[#This Row],[BW_GA]])-1)/(Backend!$B$4/100*Table1[[#This Row],[BW40_3705]]),"")</f>
        <v/>
      </c>
      <c r="J7164" s="7" t="str">
        <f>IF(Table1[[#This Row],[Is Data Valid]]=TRUE,_xlfn.NORM.S.DIST(Table1[[#This Row],[Birthweight Z-Score]],TRUE)*100,"")</f>
        <v/>
      </c>
      <c r="K7164" s="7" t="str">
        <f>IF(Table1[[#This Row],[Is Data Valid]]=TRUE,_xlfn.NORM.S.DIST(Table1[[#This Row],[Birthweight Z-Score (BW-10%)]],TRUE)*100,"")</f>
        <v/>
      </c>
      <c r="L7164" s="7" t="str">
        <f>IF(Table1[[#This Row],[Is Data Valid]]=TRUE,_xlfn.NORM.S.DIST(Table1[[#This Row],[Birthweight Z-Score (BW+10%)]],TRUE)*100,"")</f>
        <v/>
      </c>
    </row>
    <row r="7165" spans="1:12" x14ac:dyDescent="0.35">
      <c r="A7165" s="3"/>
      <c r="B7165" s="2"/>
      <c r="C7165" s="2"/>
      <c r="D7165" s="2" t="b">
        <f>IF(AND(NOT(ISBLANK(Table1[[#This Row],[Fetal Sex (Male, Female or Unknown)]])),ISNUMBER(Table1[[#This Row],[Birthweight (grams)]]),ISNUMBER(Table1[[#This Row],[Gestation (days)]])),TRUE,FALSE)</f>
        <v>0</v>
      </c>
      <c r="E7165" s="2" t="str">
        <f>IF(Table1[[#This Row],[Is Data Valid]]=TRUE,IF(Table1[[#This Row],[Fetal Sex (Male, Female or Unknown)]]="Male",Backend!$C$6,IF(Table1[[#This Row],[Fetal Sex (Male, Female or Unknown)]]="Female",Backend!$C$7,IF(Table1[[#This Row],[Fetal Sex (Male, Female or Unknown)]]="Unknown",Backend!$C$8,"Error"))),"")</f>
        <v/>
      </c>
      <c r="F7165" s="8" t="str">
        <f>IF(Table1[[#This Row],[Is Data Valid]]=TRUE,EXP(0.578+0.332*((Table1[[#This Row],[Gestation (days)]]+0.5)/7)-0.00354*((Table1[[#This Row],[Gestation (days)]]+0.5)/7)^2)*Table1[[#This Row],[BW40_3705]],"")</f>
        <v/>
      </c>
      <c r="G7165" s="2" t="str">
        <f>IF(Table1[[#This Row],[Is Data Valid]]=TRUE,((Table1[[#This Row],[Birthweight (grams)]]/Table1[[#This Row],[BW_GA]])-1)/(Backend!$B$4/100*Table1[[#This Row],[BW40_3705]]),"")</f>
        <v/>
      </c>
      <c r="H7165" s="7" t="str">
        <f>IF(Table1[[#This Row],[Is Data Valid]]=TRUE,((Table1[[#This Row],[Birthweight (grams)]]*0.9/Table1[[#This Row],[BW_GA]])-1)/(Backend!$B$4/100*Table1[[#This Row],[BW40_3705]]),"")</f>
        <v/>
      </c>
      <c r="I7165" s="7" t="str">
        <f>IF(Table1[[#This Row],[Is Data Valid]]=TRUE,((Table1[[#This Row],[Birthweight (grams)]]*1.1/Table1[[#This Row],[BW_GA]])-1)/(Backend!$B$4/100*Table1[[#This Row],[BW40_3705]]),"")</f>
        <v/>
      </c>
      <c r="J7165" s="7" t="str">
        <f>IF(Table1[[#This Row],[Is Data Valid]]=TRUE,_xlfn.NORM.S.DIST(Table1[[#This Row],[Birthweight Z-Score]],TRUE)*100,"")</f>
        <v/>
      </c>
      <c r="K7165" s="7" t="str">
        <f>IF(Table1[[#This Row],[Is Data Valid]]=TRUE,_xlfn.NORM.S.DIST(Table1[[#This Row],[Birthweight Z-Score (BW-10%)]],TRUE)*100,"")</f>
        <v/>
      </c>
      <c r="L7165" s="7" t="str">
        <f>IF(Table1[[#This Row],[Is Data Valid]]=TRUE,_xlfn.NORM.S.DIST(Table1[[#This Row],[Birthweight Z-Score (BW+10%)]],TRUE)*100,"")</f>
        <v/>
      </c>
    </row>
    <row r="7166" spans="1:12" x14ac:dyDescent="0.35">
      <c r="A7166" s="3"/>
      <c r="B7166" s="2"/>
      <c r="C7166" s="2"/>
      <c r="D7166" s="2" t="b">
        <f>IF(AND(NOT(ISBLANK(Table1[[#This Row],[Fetal Sex (Male, Female or Unknown)]])),ISNUMBER(Table1[[#This Row],[Birthweight (grams)]]),ISNUMBER(Table1[[#This Row],[Gestation (days)]])),TRUE,FALSE)</f>
        <v>0</v>
      </c>
      <c r="E7166" s="2" t="str">
        <f>IF(Table1[[#This Row],[Is Data Valid]]=TRUE,IF(Table1[[#This Row],[Fetal Sex (Male, Female or Unknown)]]="Male",Backend!$C$6,IF(Table1[[#This Row],[Fetal Sex (Male, Female or Unknown)]]="Female",Backend!$C$7,IF(Table1[[#This Row],[Fetal Sex (Male, Female or Unknown)]]="Unknown",Backend!$C$8,"Error"))),"")</f>
        <v/>
      </c>
      <c r="F7166" s="8" t="str">
        <f>IF(Table1[[#This Row],[Is Data Valid]]=TRUE,EXP(0.578+0.332*((Table1[[#This Row],[Gestation (days)]]+0.5)/7)-0.00354*((Table1[[#This Row],[Gestation (days)]]+0.5)/7)^2)*Table1[[#This Row],[BW40_3705]],"")</f>
        <v/>
      </c>
      <c r="G7166" s="2" t="str">
        <f>IF(Table1[[#This Row],[Is Data Valid]]=TRUE,((Table1[[#This Row],[Birthweight (grams)]]/Table1[[#This Row],[BW_GA]])-1)/(Backend!$B$4/100*Table1[[#This Row],[BW40_3705]]),"")</f>
        <v/>
      </c>
      <c r="H7166" s="7" t="str">
        <f>IF(Table1[[#This Row],[Is Data Valid]]=TRUE,((Table1[[#This Row],[Birthweight (grams)]]*0.9/Table1[[#This Row],[BW_GA]])-1)/(Backend!$B$4/100*Table1[[#This Row],[BW40_3705]]),"")</f>
        <v/>
      </c>
      <c r="I7166" s="7" t="str">
        <f>IF(Table1[[#This Row],[Is Data Valid]]=TRUE,((Table1[[#This Row],[Birthweight (grams)]]*1.1/Table1[[#This Row],[BW_GA]])-1)/(Backend!$B$4/100*Table1[[#This Row],[BW40_3705]]),"")</f>
        <v/>
      </c>
      <c r="J7166" s="7" t="str">
        <f>IF(Table1[[#This Row],[Is Data Valid]]=TRUE,_xlfn.NORM.S.DIST(Table1[[#This Row],[Birthweight Z-Score]],TRUE)*100,"")</f>
        <v/>
      </c>
      <c r="K7166" s="7" t="str">
        <f>IF(Table1[[#This Row],[Is Data Valid]]=TRUE,_xlfn.NORM.S.DIST(Table1[[#This Row],[Birthweight Z-Score (BW-10%)]],TRUE)*100,"")</f>
        <v/>
      </c>
      <c r="L7166" s="7" t="str">
        <f>IF(Table1[[#This Row],[Is Data Valid]]=TRUE,_xlfn.NORM.S.DIST(Table1[[#This Row],[Birthweight Z-Score (BW+10%)]],TRUE)*100,"")</f>
        <v/>
      </c>
    </row>
    <row r="7167" spans="1:12" x14ac:dyDescent="0.35">
      <c r="A7167" s="3"/>
      <c r="B7167" s="2"/>
      <c r="C7167" s="2"/>
      <c r="D7167" s="2" t="b">
        <f>IF(AND(NOT(ISBLANK(Table1[[#This Row],[Fetal Sex (Male, Female or Unknown)]])),ISNUMBER(Table1[[#This Row],[Birthweight (grams)]]),ISNUMBER(Table1[[#This Row],[Gestation (days)]])),TRUE,FALSE)</f>
        <v>0</v>
      </c>
      <c r="E7167" s="2" t="str">
        <f>IF(Table1[[#This Row],[Is Data Valid]]=TRUE,IF(Table1[[#This Row],[Fetal Sex (Male, Female or Unknown)]]="Male",Backend!$C$6,IF(Table1[[#This Row],[Fetal Sex (Male, Female or Unknown)]]="Female",Backend!$C$7,IF(Table1[[#This Row],[Fetal Sex (Male, Female or Unknown)]]="Unknown",Backend!$C$8,"Error"))),"")</f>
        <v/>
      </c>
      <c r="F7167" s="8" t="str">
        <f>IF(Table1[[#This Row],[Is Data Valid]]=TRUE,EXP(0.578+0.332*((Table1[[#This Row],[Gestation (days)]]+0.5)/7)-0.00354*((Table1[[#This Row],[Gestation (days)]]+0.5)/7)^2)*Table1[[#This Row],[BW40_3705]],"")</f>
        <v/>
      </c>
      <c r="G7167" s="2" t="str">
        <f>IF(Table1[[#This Row],[Is Data Valid]]=TRUE,((Table1[[#This Row],[Birthweight (grams)]]/Table1[[#This Row],[BW_GA]])-1)/(Backend!$B$4/100*Table1[[#This Row],[BW40_3705]]),"")</f>
        <v/>
      </c>
      <c r="H7167" s="7" t="str">
        <f>IF(Table1[[#This Row],[Is Data Valid]]=TRUE,((Table1[[#This Row],[Birthweight (grams)]]*0.9/Table1[[#This Row],[BW_GA]])-1)/(Backend!$B$4/100*Table1[[#This Row],[BW40_3705]]),"")</f>
        <v/>
      </c>
      <c r="I7167" s="7" t="str">
        <f>IF(Table1[[#This Row],[Is Data Valid]]=TRUE,((Table1[[#This Row],[Birthweight (grams)]]*1.1/Table1[[#This Row],[BW_GA]])-1)/(Backend!$B$4/100*Table1[[#This Row],[BW40_3705]]),"")</f>
        <v/>
      </c>
      <c r="J7167" s="7" t="str">
        <f>IF(Table1[[#This Row],[Is Data Valid]]=TRUE,_xlfn.NORM.S.DIST(Table1[[#This Row],[Birthweight Z-Score]],TRUE)*100,"")</f>
        <v/>
      </c>
      <c r="K7167" s="7" t="str">
        <f>IF(Table1[[#This Row],[Is Data Valid]]=TRUE,_xlfn.NORM.S.DIST(Table1[[#This Row],[Birthweight Z-Score (BW-10%)]],TRUE)*100,"")</f>
        <v/>
      </c>
      <c r="L7167" s="7" t="str">
        <f>IF(Table1[[#This Row],[Is Data Valid]]=TRUE,_xlfn.NORM.S.DIST(Table1[[#This Row],[Birthweight Z-Score (BW+10%)]],TRUE)*100,"")</f>
        <v/>
      </c>
    </row>
    <row r="7168" spans="1:12" x14ac:dyDescent="0.35">
      <c r="A7168" s="3"/>
      <c r="B7168" s="2"/>
      <c r="C7168" s="2"/>
      <c r="D7168" s="2" t="b">
        <f>IF(AND(NOT(ISBLANK(Table1[[#This Row],[Fetal Sex (Male, Female or Unknown)]])),ISNUMBER(Table1[[#This Row],[Birthweight (grams)]]),ISNUMBER(Table1[[#This Row],[Gestation (days)]])),TRUE,FALSE)</f>
        <v>0</v>
      </c>
      <c r="E7168" s="2" t="str">
        <f>IF(Table1[[#This Row],[Is Data Valid]]=TRUE,IF(Table1[[#This Row],[Fetal Sex (Male, Female or Unknown)]]="Male",Backend!$C$6,IF(Table1[[#This Row],[Fetal Sex (Male, Female or Unknown)]]="Female",Backend!$C$7,IF(Table1[[#This Row],[Fetal Sex (Male, Female or Unknown)]]="Unknown",Backend!$C$8,"Error"))),"")</f>
        <v/>
      </c>
      <c r="F7168" s="8" t="str">
        <f>IF(Table1[[#This Row],[Is Data Valid]]=TRUE,EXP(0.578+0.332*((Table1[[#This Row],[Gestation (days)]]+0.5)/7)-0.00354*((Table1[[#This Row],[Gestation (days)]]+0.5)/7)^2)*Table1[[#This Row],[BW40_3705]],"")</f>
        <v/>
      </c>
      <c r="G7168" s="2" t="str">
        <f>IF(Table1[[#This Row],[Is Data Valid]]=TRUE,((Table1[[#This Row],[Birthweight (grams)]]/Table1[[#This Row],[BW_GA]])-1)/(Backend!$B$4/100*Table1[[#This Row],[BW40_3705]]),"")</f>
        <v/>
      </c>
      <c r="H7168" s="7" t="str">
        <f>IF(Table1[[#This Row],[Is Data Valid]]=TRUE,((Table1[[#This Row],[Birthweight (grams)]]*0.9/Table1[[#This Row],[BW_GA]])-1)/(Backend!$B$4/100*Table1[[#This Row],[BW40_3705]]),"")</f>
        <v/>
      </c>
      <c r="I7168" s="7" t="str">
        <f>IF(Table1[[#This Row],[Is Data Valid]]=TRUE,((Table1[[#This Row],[Birthweight (grams)]]*1.1/Table1[[#This Row],[BW_GA]])-1)/(Backend!$B$4/100*Table1[[#This Row],[BW40_3705]]),"")</f>
        <v/>
      </c>
      <c r="J7168" s="7" t="str">
        <f>IF(Table1[[#This Row],[Is Data Valid]]=TRUE,_xlfn.NORM.S.DIST(Table1[[#This Row],[Birthweight Z-Score]],TRUE)*100,"")</f>
        <v/>
      </c>
      <c r="K7168" s="7" t="str">
        <f>IF(Table1[[#This Row],[Is Data Valid]]=TRUE,_xlfn.NORM.S.DIST(Table1[[#This Row],[Birthweight Z-Score (BW-10%)]],TRUE)*100,"")</f>
        <v/>
      </c>
      <c r="L7168" s="7" t="str">
        <f>IF(Table1[[#This Row],[Is Data Valid]]=TRUE,_xlfn.NORM.S.DIST(Table1[[#This Row],[Birthweight Z-Score (BW+10%)]],TRUE)*100,"")</f>
        <v/>
      </c>
    </row>
    <row r="7169" spans="1:12" x14ac:dyDescent="0.35">
      <c r="A7169" s="3"/>
      <c r="B7169" s="2"/>
      <c r="C7169" s="2"/>
      <c r="D7169" s="2" t="b">
        <f>IF(AND(NOT(ISBLANK(Table1[[#This Row],[Fetal Sex (Male, Female or Unknown)]])),ISNUMBER(Table1[[#This Row],[Birthweight (grams)]]),ISNUMBER(Table1[[#This Row],[Gestation (days)]])),TRUE,FALSE)</f>
        <v>0</v>
      </c>
      <c r="E7169" s="2" t="str">
        <f>IF(Table1[[#This Row],[Is Data Valid]]=TRUE,IF(Table1[[#This Row],[Fetal Sex (Male, Female or Unknown)]]="Male",Backend!$C$6,IF(Table1[[#This Row],[Fetal Sex (Male, Female or Unknown)]]="Female",Backend!$C$7,IF(Table1[[#This Row],[Fetal Sex (Male, Female or Unknown)]]="Unknown",Backend!$C$8,"Error"))),"")</f>
        <v/>
      </c>
      <c r="F7169" s="8" t="str">
        <f>IF(Table1[[#This Row],[Is Data Valid]]=TRUE,EXP(0.578+0.332*((Table1[[#This Row],[Gestation (days)]]+0.5)/7)-0.00354*((Table1[[#This Row],[Gestation (days)]]+0.5)/7)^2)*Table1[[#This Row],[BW40_3705]],"")</f>
        <v/>
      </c>
      <c r="G7169" s="2" t="str">
        <f>IF(Table1[[#This Row],[Is Data Valid]]=TRUE,((Table1[[#This Row],[Birthweight (grams)]]/Table1[[#This Row],[BW_GA]])-1)/(Backend!$B$4/100*Table1[[#This Row],[BW40_3705]]),"")</f>
        <v/>
      </c>
      <c r="H7169" s="7" t="str">
        <f>IF(Table1[[#This Row],[Is Data Valid]]=TRUE,((Table1[[#This Row],[Birthweight (grams)]]*0.9/Table1[[#This Row],[BW_GA]])-1)/(Backend!$B$4/100*Table1[[#This Row],[BW40_3705]]),"")</f>
        <v/>
      </c>
      <c r="I7169" s="7" t="str">
        <f>IF(Table1[[#This Row],[Is Data Valid]]=TRUE,((Table1[[#This Row],[Birthweight (grams)]]*1.1/Table1[[#This Row],[BW_GA]])-1)/(Backend!$B$4/100*Table1[[#This Row],[BW40_3705]]),"")</f>
        <v/>
      </c>
      <c r="J7169" s="7" t="str">
        <f>IF(Table1[[#This Row],[Is Data Valid]]=TRUE,_xlfn.NORM.S.DIST(Table1[[#This Row],[Birthweight Z-Score]],TRUE)*100,"")</f>
        <v/>
      </c>
      <c r="K7169" s="7" t="str">
        <f>IF(Table1[[#This Row],[Is Data Valid]]=TRUE,_xlfn.NORM.S.DIST(Table1[[#This Row],[Birthweight Z-Score (BW-10%)]],TRUE)*100,"")</f>
        <v/>
      </c>
      <c r="L7169" s="7" t="str">
        <f>IF(Table1[[#This Row],[Is Data Valid]]=TRUE,_xlfn.NORM.S.DIST(Table1[[#This Row],[Birthweight Z-Score (BW+10%)]],TRUE)*100,"")</f>
        <v/>
      </c>
    </row>
    <row r="7170" spans="1:12" x14ac:dyDescent="0.35">
      <c r="A7170" s="3"/>
      <c r="B7170" s="2"/>
      <c r="C7170" s="2"/>
      <c r="D7170" s="2" t="b">
        <f>IF(AND(NOT(ISBLANK(Table1[[#This Row],[Fetal Sex (Male, Female or Unknown)]])),ISNUMBER(Table1[[#This Row],[Birthweight (grams)]]),ISNUMBER(Table1[[#This Row],[Gestation (days)]])),TRUE,FALSE)</f>
        <v>0</v>
      </c>
      <c r="E7170" s="2" t="str">
        <f>IF(Table1[[#This Row],[Is Data Valid]]=TRUE,IF(Table1[[#This Row],[Fetal Sex (Male, Female or Unknown)]]="Male",Backend!$C$6,IF(Table1[[#This Row],[Fetal Sex (Male, Female or Unknown)]]="Female",Backend!$C$7,IF(Table1[[#This Row],[Fetal Sex (Male, Female or Unknown)]]="Unknown",Backend!$C$8,"Error"))),"")</f>
        <v/>
      </c>
      <c r="F7170" s="8" t="str">
        <f>IF(Table1[[#This Row],[Is Data Valid]]=TRUE,EXP(0.578+0.332*((Table1[[#This Row],[Gestation (days)]]+0.5)/7)-0.00354*((Table1[[#This Row],[Gestation (days)]]+0.5)/7)^2)*Table1[[#This Row],[BW40_3705]],"")</f>
        <v/>
      </c>
      <c r="G7170" s="2" t="str">
        <f>IF(Table1[[#This Row],[Is Data Valid]]=TRUE,((Table1[[#This Row],[Birthweight (grams)]]/Table1[[#This Row],[BW_GA]])-1)/(Backend!$B$4/100*Table1[[#This Row],[BW40_3705]]),"")</f>
        <v/>
      </c>
      <c r="H7170" s="7" t="str">
        <f>IF(Table1[[#This Row],[Is Data Valid]]=TRUE,((Table1[[#This Row],[Birthweight (grams)]]*0.9/Table1[[#This Row],[BW_GA]])-1)/(Backend!$B$4/100*Table1[[#This Row],[BW40_3705]]),"")</f>
        <v/>
      </c>
      <c r="I7170" s="7" t="str">
        <f>IF(Table1[[#This Row],[Is Data Valid]]=TRUE,((Table1[[#This Row],[Birthweight (grams)]]*1.1/Table1[[#This Row],[BW_GA]])-1)/(Backend!$B$4/100*Table1[[#This Row],[BW40_3705]]),"")</f>
        <v/>
      </c>
      <c r="J7170" s="7" t="str">
        <f>IF(Table1[[#This Row],[Is Data Valid]]=TRUE,_xlfn.NORM.S.DIST(Table1[[#This Row],[Birthweight Z-Score]],TRUE)*100,"")</f>
        <v/>
      </c>
      <c r="K7170" s="7" t="str">
        <f>IF(Table1[[#This Row],[Is Data Valid]]=TRUE,_xlfn.NORM.S.DIST(Table1[[#This Row],[Birthweight Z-Score (BW-10%)]],TRUE)*100,"")</f>
        <v/>
      </c>
      <c r="L7170" s="7" t="str">
        <f>IF(Table1[[#This Row],[Is Data Valid]]=TRUE,_xlfn.NORM.S.DIST(Table1[[#This Row],[Birthweight Z-Score (BW+10%)]],TRUE)*100,"")</f>
        <v/>
      </c>
    </row>
    <row r="7171" spans="1:12" x14ac:dyDescent="0.35">
      <c r="A7171" s="3"/>
      <c r="B7171" s="2"/>
      <c r="C7171" s="2"/>
      <c r="D7171" s="2" t="b">
        <f>IF(AND(NOT(ISBLANK(Table1[[#This Row],[Fetal Sex (Male, Female or Unknown)]])),ISNUMBER(Table1[[#This Row],[Birthweight (grams)]]),ISNUMBER(Table1[[#This Row],[Gestation (days)]])),TRUE,FALSE)</f>
        <v>0</v>
      </c>
      <c r="E7171" s="2" t="str">
        <f>IF(Table1[[#This Row],[Is Data Valid]]=TRUE,IF(Table1[[#This Row],[Fetal Sex (Male, Female or Unknown)]]="Male",Backend!$C$6,IF(Table1[[#This Row],[Fetal Sex (Male, Female or Unknown)]]="Female",Backend!$C$7,IF(Table1[[#This Row],[Fetal Sex (Male, Female or Unknown)]]="Unknown",Backend!$C$8,"Error"))),"")</f>
        <v/>
      </c>
      <c r="F7171" s="8" t="str">
        <f>IF(Table1[[#This Row],[Is Data Valid]]=TRUE,EXP(0.578+0.332*((Table1[[#This Row],[Gestation (days)]]+0.5)/7)-0.00354*((Table1[[#This Row],[Gestation (days)]]+0.5)/7)^2)*Table1[[#This Row],[BW40_3705]],"")</f>
        <v/>
      </c>
      <c r="G7171" s="2" t="str">
        <f>IF(Table1[[#This Row],[Is Data Valid]]=TRUE,((Table1[[#This Row],[Birthweight (grams)]]/Table1[[#This Row],[BW_GA]])-1)/(Backend!$B$4/100*Table1[[#This Row],[BW40_3705]]),"")</f>
        <v/>
      </c>
      <c r="H7171" s="7" t="str">
        <f>IF(Table1[[#This Row],[Is Data Valid]]=TRUE,((Table1[[#This Row],[Birthweight (grams)]]*0.9/Table1[[#This Row],[BW_GA]])-1)/(Backend!$B$4/100*Table1[[#This Row],[BW40_3705]]),"")</f>
        <v/>
      </c>
      <c r="I7171" s="7" t="str">
        <f>IF(Table1[[#This Row],[Is Data Valid]]=TRUE,((Table1[[#This Row],[Birthweight (grams)]]*1.1/Table1[[#This Row],[BW_GA]])-1)/(Backend!$B$4/100*Table1[[#This Row],[BW40_3705]]),"")</f>
        <v/>
      </c>
      <c r="J7171" s="7" t="str">
        <f>IF(Table1[[#This Row],[Is Data Valid]]=TRUE,_xlfn.NORM.S.DIST(Table1[[#This Row],[Birthweight Z-Score]],TRUE)*100,"")</f>
        <v/>
      </c>
      <c r="K7171" s="7" t="str">
        <f>IF(Table1[[#This Row],[Is Data Valid]]=TRUE,_xlfn.NORM.S.DIST(Table1[[#This Row],[Birthweight Z-Score (BW-10%)]],TRUE)*100,"")</f>
        <v/>
      </c>
      <c r="L7171" s="7" t="str">
        <f>IF(Table1[[#This Row],[Is Data Valid]]=TRUE,_xlfn.NORM.S.DIST(Table1[[#This Row],[Birthweight Z-Score (BW+10%)]],TRUE)*100,"")</f>
        <v/>
      </c>
    </row>
    <row r="7172" spans="1:12" x14ac:dyDescent="0.35">
      <c r="A7172" s="3"/>
      <c r="B7172" s="2"/>
      <c r="C7172" s="2"/>
      <c r="D7172" s="2" t="b">
        <f>IF(AND(NOT(ISBLANK(Table1[[#This Row],[Fetal Sex (Male, Female or Unknown)]])),ISNUMBER(Table1[[#This Row],[Birthweight (grams)]]),ISNUMBER(Table1[[#This Row],[Gestation (days)]])),TRUE,FALSE)</f>
        <v>0</v>
      </c>
      <c r="E7172" s="2" t="str">
        <f>IF(Table1[[#This Row],[Is Data Valid]]=TRUE,IF(Table1[[#This Row],[Fetal Sex (Male, Female or Unknown)]]="Male",Backend!$C$6,IF(Table1[[#This Row],[Fetal Sex (Male, Female or Unknown)]]="Female",Backend!$C$7,IF(Table1[[#This Row],[Fetal Sex (Male, Female or Unknown)]]="Unknown",Backend!$C$8,"Error"))),"")</f>
        <v/>
      </c>
      <c r="F7172" s="8" t="str">
        <f>IF(Table1[[#This Row],[Is Data Valid]]=TRUE,EXP(0.578+0.332*((Table1[[#This Row],[Gestation (days)]]+0.5)/7)-0.00354*((Table1[[#This Row],[Gestation (days)]]+0.5)/7)^2)*Table1[[#This Row],[BW40_3705]],"")</f>
        <v/>
      </c>
      <c r="G7172" s="2" t="str">
        <f>IF(Table1[[#This Row],[Is Data Valid]]=TRUE,((Table1[[#This Row],[Birthweight (grams)]]/Table1[[#This Row],[BW_GA]])-1)/(Backend!$B$4/100*Table1[[#This Row],[BW40_3705]]),"")</f>
        <v/>
      </c>
      <c r="H7172" s="7" t="str">
        <f>IF(Table1[[#This Row],[Is Data Valid]]=TRUE,((Table1[[#This Row],[Birthweight (grams)]]*0.9/Table1[[#This Row],[BW_GA]])-1)/(Backend!$B$4/100*Table1[[#This Row],[BW40_3705]]),"")</f>
        <v/>
      </c>
      <c r="I7172" s="7" t="str">
        <f>IF(Table1[[#This Row],[Is Data Valid]]=TRUE,((Table1[[#This Row],[Birthweight (grams)]]*1.1/Table1[[#This Row],[BW_GA]])-1)/(Backend!$B$4/100*Table1[[#This Row],[BW40_3705]]),"")</f>
        <v/>
      </c>
      <c r="J7172" s="7" t="str">
        <f>IF(Table1[[#This Row],[Is Data Valid]]=TRUE,_xlfn.NORM.S.DIST(Table1[[#This Row],[Birthweight Z-Score]],TRUE)*100,"")</f>
        <v/>
      </c>
      <c r="K7172" s="7" t="str">
        <f>IF(Table1[[#This Row],[Is Data Valid]]=TRUE,_xlfn.NORM.S.DIST(Table1[[#This Row],[Birthweight Z-Score (BW-10%)]],TRUE)*100,"")</f>
        <v/>
      </c>
      <c r="L7172" s="7" t="str">
        <f>IF(Table1[[#This Row],[Is Data Valid]]=TRUE,_xlfn.NORM.S.DIST(Table1[[#This Row],[Birthweight Z-Score (BW+10%)]],TRUE)*100,"")</f>
        <v/>
      </c>
    </row>
    <row r="7173" spans="1:12" x14ac:dyDescent="0.35">
      <c r="A7173" s="3"/>
      <c r="B7173" s="2"/>
      <c r="C7173" s="2"/>
      <c r="D7173" s="2" t="b">
        <f>IF(AND(NOT(ISBLANK(Table1[[#This Row],[Fetal Sex (Male, Female or Unknown)]])),ISNUMBER(Table1[[#This Row],[Birthweight (grams)]]),ISNUMBER(Table1[[#This Row],[Gestation (days)]])),TRUE,FALSE)</f>
        <v>0</v>
      </c>
      <c r="E7173" s="2" t="str">
        <f>IF(Table1[[#This Row],[Is Data Valid]]=TRUE,IF(Table1[[#This Row],[Fetal Sex (Male, Female or Unknown)]]="Male",Backend!$C$6,IF(Table1[[#This Row],[Fetal Sex (Male, Female or Unknown)]]="Female",Backend!$C$7,IF(Table1[[#This Row],[Fetal Sex (Male, Female or Unknown)]]="Unknown",Backend!$C$8,"Error"))),"")</f>
        <v/>
      </c>
      <c r="F7173" s="8" t="str">
        <f>IF(Table1[[#This Row],[Is Data Valid]]=TRUE,EXP(0.578+0.332*((Table1[[#This Row],[Gestation (days)]]+0.5)/7)-0.00354*((Table1[[#This Row],[Gestation (days)]]+0.5)/7)^2)*Table1[[#This Row],[BW40_3705]],"")</f>
        <v/>
      </c>
      <c r="G7173" s="2" t="str">
        <f>IF(Table1[[#This Row],[Is Data Valid]]=TRUE,((Table1[[#This Row],[Birthweight (grams)]]/Table1[[#This Row],[BW_GA]])-1)/(Backend!$B$4/100*Table1[[#This Row],[BW40_3705]]),"")</f>
        <v/>
      </c>
      <c r="H7173" s="7" t="str">
        <f>IF(Table1[[#This Row],[Is Data Valid]]=TRUE,((Table1[[#This Row],[Birthweight (grams)]]*0.9/Table1[[#This Row],[BW_GA]])-1)/(Backend!$B$4/100*Table1[[#This Row],[BW40_3705]]),"")</f>
        <v/>
      </c>
      <c r="I7173" s="7" t="str">
        <f>IF(Table1[[#This Row],[Is Data Valid]]=TRUE,((Table1[[#This Row],[Birthweight (grams)]]*1.1/Table1[[#This Row],[BW_GA]])-1)/(Backend!$B$4/100*Table1[[#This Row],[BW40_3705]]),"")</f>
        <v/>
      </c>
      <c r="J7173" s="7" t="str">
        <f>IF(Table1[[#This Row],[Is Data Valid]]=TRUE,_xlfn.NORM.S.DIST(Table1[[#This Row],[Birthweight Z-Score]],TRUE)*100,"")</f>
        <v/>
      </c>
      <c r="K7173" s="7" t="str">
        <f>IF(Table1[[#This Row],[Is Data Valid]]=TRUE,_xlfn.NORM.S.DIST(Table1[[#This Row],[Birthweight Z-Score (BW-10%)]],TRUE)*100,"")</f>
        <v/>
      </c>
      <c r="L7173" s="7" t="str">
        <f>IF(Table1[[#This Row],[Is Data Valid]]=TRUE,_xlfn.NORM.S.DIST(Table1[[#This Row],[Birthweight Z-Score (BW+10%)]],TRUE)*100,"")</f>
        <v/>
      </c>
    </row>
    <row r="7174" spans="1:12" x14ac:dyDescent="0.35">
      <c r="A7174" s="3"/>
      <c r="B7174" s="2"/>
      <c r="C7174" s="2"/>
      <c r="D7174" s="2" t="b">
        <f>IF(AND(NOT(ISBLANK(Table1[[#This Row],[Fetal Sex (Male, Female or Unknown)]])),ISNUMBER(Table1[[#This Row],[Birthweight (grams)]]),ISNUMBER(Table1[[#This Row],[Gestation (days)]])),TRUE,FALSE)</f>
        <v>0</v>
      </c>
      <c r="E7174" s="2" t="str">
        <f>IF(Table1[[#This Row],[Is Data Valid]]=TRUE,IF(Table1[[#This Row],[Fetal Sex (Male, Female or Unknown)]]="Male",Backend!$C$6,IF(Table1[[#This Row],[Fetal Sex (Male, Female or Unknown)]]="Female",Backend!$C$7,IF(Table1[[#This Row],[Fetal Sex (Male, Female or Unknown)]]="Unknown",Backend!$C$8,"Error"))),"")</f>
        <v/>
      </c>
      <c r="F7174" s="8" t="str">
        <f>IF(Table1[[#This Row],[Is Data Valid]]=TRUE,EXP(0.578+0.332*((Table1[[#This Row],[Gestation (days)]]+0.5)/7)-0.00354*((Table1[[#This Row],[Gestation (days)]]+0.5)/7)^2)*Table1[[#This Row],[BW40_3705]],"")</f>
        <v/>
      </c>
      <c r="G7174" s="2" t="str">
        <f>IF(Table1[[#This Row],[Is Data Valid]]=TRUE,((Table1[[#This Row],[Birthweight (grams)]]/Table1[[#This Row],[BW_GA]])-1)/(Backend!$B$4/100*Table1[[#This Row],[BW40_3705]]),"")</f>
        <v/>
      </c>
      <c r="H7174" s="7" t="str">
        <f>IF(Table1[[#This Row],[Is Data Valid]]=TRUE,((Table1[[#This Row],[Birthweight (grams)]]*0.9/Table1[[#This Row],[BW_GA]])-1)/(Backend!$B$4/100*Table1[[#This Row],[BW40_3705]]),"")</f>
        <v/>
      </c>
      <c r="I7174" s="7" t="str">
        <f>IF(Table1[[#This Row],[Is Data Valid]]=TRUE,((Table1[[#This Row],[Birthweight (grams)]]*1.1/Table1[[#This Row],[BW_GA]])-1)/(Backend!$B$4/100*Table1[[#This Row],[BW40_3705]]),"")</f>
        <v/>
      </c>
      <c r="J7174" s="7" t="str">
        <f>IF(Table1[[#This Row],[Is Data Valid]]=TRUE,_xlfn.NORM.S.DIST(Table1[[#This Row],[Birthweight Z-Score]],TRUE)*100,"")</f>
        <v/>
      </c>
      <c r="K7174" s="7" t="str">
        <f>IF(Table1[[#This Row],[Is Data Valid]]=TRUE,_xlfn.NORM.S.DIST(Table1[[#This Row],[Birthweight Z-Score (BW-10%)]],TRUE)*100,"")</f>
        <v/>
      </c>
      <c r="L7174" s="7" t="str">
        <f>IF(Table1[[#This Row],[Is Data Valid]]=TRUE,_xlfn.NORM.S.DIST(Table1[[#This Row],[Birthweight Z-Score (BW+10%)]],TRUE)*100,"")</f>
        <v/>
      </c>
    </row>
    <row r="7175" spans="1:12" x14ac:dyDescent="0.35">
      <c r="A7175" s="3"/>
      <c r="B7175" s="2"/>
      <c r="C7175" s="2"/>
      <c r="D7175" s="2" t="b">
        <f>IF(AND(NOT(ISBLANK(Table1[[#This Row],[Fetal Sex (Male, Female or Unknown)]])),ISNUMBER(Table1[[#This Row],[Birthweight (grams)]]),ISNUMBER(Table1[[#This Row],[Gestation (days)]])),TRUE,FALSE)</f>
        <v>0</v>
      </c>
      <c r="E7175" s="2" t="str">
        <f>IF(Table1[[#This Row],[Is Data Valid]]=TRUE,IF(Table1[[#This Row],[Fetal Sex (Male, Female or Unknown)]]="Male",Backend!$C$6,IF(Table1[[#This Row],[Fetal Sex (Male, Female or Unknown)]]="Female",Backend!$C$7,IF(Table1[[#This Row],[Fetal Sex (Male, Female or Unknown)]]="Unknown",Backend!$C$8,"Error"))),"")</f>
        <v/>
      </c>
      <c r="F7175" s="8" t="str">
        <f>IF(Table1[[#This Row],[Is Data Valid]]=TRUE,EXP(0.578+0.332*((Table1[[#This Row],[Gestation (days)]]+0.5)/7)-0.00354*((Table1[[#This Row],[Gestation (days)]]+0.5)/7)^2)*Table1[[#This Row],[BW40_3705]],"")</f>
        <v/>
      </c>
      <c r="G7175" s="2" t="str">
        <f>IF(Table1[[#This Row],[Is Data Valid]]=TRUE,((Table1[[#This Row],[Birthweight (grams)]]/Table1[[#This Row],[BW_GA]])-1)/(Backend!$B$4/100*Table1[[#This Row],[BW40_3705]]),"")</f>
        <v/>
      </c>
      <c r="H7175" s="7" t="str">
        <f>IF(Table1[[#This Row],[Is Data Valid]]=TRUE,((Table1[[#This Row],[Birthweight (grams)]]*0.9/Table1[[#This Row],[BW_GA]])-1)/(Backend!$B$4/100*Table1[[#This Row],[BW40_3705]]),"")</f>
        <v/>
      </c>
      <c r="I7175" s="7" t="str">
        <f>IF(Table1[[#This Row],[Is Data Valid]]=TRUE,((Table1[[#This Row],[Birthweight (grams)]]*1.1/Table1[[#This Row],[BW_GA]])-1)/(Backend!$B$4/100*Table1[[#This Row],[BW40_3705]]),"")</f>
        <v/>
      </c>
      <c r="J7175" s="7" t="str">
        <f>IF(Table1[[#This Row],[Is Data Valid]]=TRUE,_xlfn.NORM.S.DIST(Table1[[#This Row],[Birthweight Z-Score]],TRUE)*100,"")</f>
        <v/>
      </c>
      <c r="K7175" s="7" t="str">
        <f>IF(Table1[[#This Row],[Is Data Valid]]=TRUE,_xlfn.NORM.S.DIST(Table1[[#This Row],[Birthweight Z-Score (BW-10%)]],TRUE)*100,"")</f>
        <v/>
      </c>
      <c r="L7175" s="7" t="str">
        <f>IF(Table1[[#This Row],[Is Data Valid]]=TRUE,_xlfn.NORM.S.DIST(Table1[[#This Row],[Birthweight Z-Score (BW+10%)]],TRUE)*100,"")</f>
        <v/>
      </c>
    </row>
    <row r="7176" spans="1:12" x14ac:dyDescent="0.35">
      <c r="A7176" s="3"/>
      <c r="B7176" s="2"/>
      <c r="C7176" s="2"/>
      <c r="D7176" s="2" t="b">
        <f>IF(AND(NOT(ISBLANK(Table1[[#This Row],[Fetal Sex (Male, Female or Unknown)]])),ISNUMBER(Table1[[#This Row],[Birthweight (grams)]]),ISNUMBER(Table1[[#This Row],[Gestation (days)]])),TRUE,FALSE)</f>
        <v>0</v>
      </c>
      <c r="E7176" s="2" t="str">
        <f>IF(Table1[[#This Row],[Is Data Valid]]=TRUE,IF(Table1[[#This Row],[Fetal Sex (Male, Female or Unknown)]]="Male",Backend!$C$6,IF(Table1[[#This Row],[Fetal Sex (Male, Female or Unknown)]]="Female",Backend!$C$7,IF(Table1[[#This Row],[Fetal Sex (Male, Female or Unknown)]]="Unknown",Backend!$C$8,"Error"))),"")</f>
        <v/>
      </c>
      <c r="F7176" s="8" t="str">
        <f>IF(Table1[[#This Row],[Is Data Valid]]=TRUE,EXP(0.578+0.332*((Table1[[#This Row],[Gestation (days)]]+0.5)/7)-0.00354*((Table1[[#This Row],[Gestation (days)]]+0.5)/7)^2)*Table1[[#This Row],[BW40_3705]],"")</f>
        <v/>
      </c>
      <c r="G7176" s="2" t="str">
        <f>IF(Table1[[#This Row],[Is Data Valid]]=TRUE,((Table1[[#This Row],[Birthweight (grams)]]/Table1[[#This Row],[BW_GA]])-1)/(Backend!$B$4/100*Table1[[#This Row],[BW40_3705]]),"")</f>
        <v/>
      </c>
      <c r="H7176" s="7" t="str">
        <f>IF(Table1[[#This Row],[Is Data Valid]]=TRUE,((Table1[[#This Row],[Birthweight (grams)]]*0.9/Table1[[#This Row],[BW_GA]])-1)/(Backend!$B$4/100*Table1[[#This Row],[BW40_3705]]),"")</f>
        <v/>
      </c>
      <c r="I7176" s="7" t="str">
        <f>IF(Table1[[#This Row],[Is Data Valid]]=TRUE,((Table1[[#This Row],[Birthweight (grams)]]*1.1/Table1[[#This Row],[BW_GA]])-1)/(Backend!$B$4/100*Table1[[#This Row],[BW40_3705]]),"")</f>
        <v/>
      </c>
      <c r="J7176" s="7" t="str">
        <f>IF(Table1[[#This Row],[Is Data Valid]]=TRUE,_xlfn.NORM.S.DIST(Table1[[#This Row],[Birthweight Z-Score]],TRUE)*100,"")</f>
        <v/>
      </c>
      <c r="K7176" s="7" t="str">
        <f>IF(Table1[[#This Row],[Is Data Valid]]=TRUE,_xlfn.NORM.S.DIST(Table1[[#This Row],[Birthweight Z-Score (BW-10%)]],TRUE)*100,"")</f>
        <v/>
      </c>
      <c r="L7176" s="7" t="str">
        <f>IF(Table1[[#This Row],[Is Data Valid]]=TRUE,_xlfn.NORM.S.DIST(Table1[[#This Row],[Birthweight Z-Score (BW+10%)]],TRUE)*100,"")</f>
        <v/>
      </c>
    </row>
    <row r="7177" spans="1:12" x14ac:dyDescent="0.35">
      <c r="A7177" s="3"/>
      <c r="B7177" s="2"/>
      <c r="C7177" s="2"/>
      <c r="D7177" s="2" t="b">
        <f>IF(AND(NOT(ISBLANK(Table1[[#This Row],[Fetal Sex (Male, Female or Unknown)]])),ISNUMBER(Table1[[#This Row],[Birthweight (grams)]]),ISNUMBER(Table1[[#This Row],[Gestation (days)]])),TRUE,FALSE)</f>
        <v>0</v>
      </c>
      <c r="E7177" s="2" t="str">
        <f>IF(Table1[[#This Row],[Is Data Valid]]=TRUE,IF(Table1[[#This Row],[Fetal Sex (Male, Female or Unknown)]]="Male",Backend!$C$6,IF(Table1[[#This Row],[Fetal Sex (Male, Female or Unknown)]]="Female",Backend!$C$7,IF(Table1[[#This Row],[Fetal Sex (Male, Female or Unknown)]]="Unknown",Backend!$C$8,"Error"))),"")</f>
        <v/>
      </c>
      <c r="F7177" s="8" t="str">
        <f>IF(Table1[[#This Row],[Is Data Valid]]=TRUE,EXP(0.578+0.332*((Table1[[#This Row],[Gestation (days)]]+0.5)/7)-0.00354*((Table1[[#This Row],[Gestation (days)]]+0.5)/7)^2)*Table1[[#This Row],[BW40_3705]],"")</f>
        <v/>
      </c>
      <c r="G7177" s="2" t="str">
        <f>IF(Table1[[#This Row],[Is Data Valid]]=TRUE,((Table1[[#This Row],[Birthweight (grams)]]/Table1[[#This Row],[BW_GA]])-1)/(Backend!$B$4/100*Table1[[#This Row],[BW40_3705]]),"")</f>
        <v/>
      </c>
      <c r="H7177" s="7" t="str">
        <f>IF(Table1[[#This Row],[Is Data Valid]]=TRUE,((Table1[[#This Row],[Birthweight (grams)]]*0.9/Table1[[#This Row],[BW_GA]])-1)/(Backend!$B$4/100*Table1[[#This Row],[BW40_3705]]),"")</f>
        <v/>
      </c>
      <c r="I7177" s="7" t="str">
        <f>IF(Table1[[#This Row],[Is Data Valid]]=TRUE,((Table1[[#This Row],[Birthweight (grams)]]*1.1/Table1[[#This Row],[BW_GA]])-1)/(Backend!$B$4/100*Table1[[#This Row],[BW40_3705]]),"")</f>
        <v/>
      </c>
      <c r="J7177" s="7" t="str">
        <f>IF(Table1[[#This Row],[Is Data Valid]]=TRUE,_xlfn.NORM.S.DIST(Table1[[#This Row],[Birthweight Z-Score]],TRUE)*100,"")</f>
        <v/>
      </c>
      <c r="K7177" s="7" t="str">
        <f>IF(Table1[[#This Row],[Is Data Valid]]=TRUE,_xlfn.NORM.S.DIST(Table1[[#This Row],[Birthweight Z-Score (BW-10%)]],TRUE)*100,"")</f>
        <v/>
      </c>
      <c r="L7177" s="7" t="str">
        <f>IF(Table1[[#This Row],[Is Data Valid]]=TRUE,_xlfn.NORM.S.DIST(Table1[[#This Row],[Birthweight Z-Score (BW+10%)]],TRUE)*100,"")</f>
        <v/>
      </c>
    </row>
    <row r="7178" spans="1:12" x14ac:dyDescent="0.35">
      <c r="A7178" s="3"/>
      <c r="B7178" s="2"/>
      <c r="C7178" s="2"/>
      <c r="D7178" s="2" t="b">
        <f>IF(AND(NOT(ISBLANK(Table1[[#This Row],[Fetal Sex (Male, Female or Unknown)]])),ISNUMBER(Table1[[#This Row],[Birthweight (grams)]]),ISNUMBER(Table1[[#This Row],[Gestation (days)]])),TRUE,FALSE)</f>
        <v>0</v>
      </c>
      <c r="E7178" s="2" t="str">
        <f>IF(Table1[[#This Row],[Is Data Valid]]=TRUE,IF(Table1[[#This Row],[Fetal Sex (Male, Female or Unknown)]]="Male",Backend!$C$6,IF(Table1[[#This Row],[Fetal Sex (Male, Female or Unknown)]]="Female",Backend!$C$7,IF(Table1[[#This Row],[Fetal Sex (Male, Female or Unknown)]]="Unknown",Backend!$C$8,"Error"))),"")</f>
        <v/>
      </c>
      <c r="F7178" s="8" t="str">
        <f>IF(Table1[[#This Row],[Is Data Valid]]=TRUE,EXP(0.578+0.332*((Table1[[#This Row],[Gestation (days)]]+0.5)/7)-0.00354*((Table1[[#This Row],[Gestation (days)]]+0.5)/7)^2)*Table1[[#This Row],[BW40_3705]],"")</f>
        <v/>
      </c>
      <c r="G7178" s="2" t="str">
        <f>IF(Table1[[#This Row],[Is Data Valid]]=TRUE,((Table1[[#This Row],[Birthweight (grams)]]/Table1[[#This Row],[BW_GA]])-1)/(Backend!$B$4/100*Table1[[#This Row],[BW40_3705]]),"")</f>
        <v/>
      </c>
      <c r="H7178" s="7" t="str">
        <f>IF(Table1[[#This Row],[Is Data Valid]]=TRUE,((Table1[[#This Row],[Birthweight (grams)]]*0.9/Table1[[#This Row],[BW_GA]])-1)/(Backend!$B$4/100*Table1[[#This Row],[BW40_3705]]),"")</f>
        <v/>
      </c>
      <c r="I7178" s="7" t="str">
        <f>IF(Table1[[#This Row],[Is Data Valid]]=TRUE,((Table1[[#This Row],[Birthweight (grams)]]*1.1/Table1[[#This Row],[BW_GA]])-1)/(Backend!$B$4/100*Table1[[#This Row],[BW40_3705]]),"")</f>
        <v/>
      </c>
      <c r="J7178" s="7" t="str">
        <f>IF(Table1[[#This Row],[Is Data Valid]]=TRUE,_xlfn.NORM.S.DIST(Table1[[#This Row],[Birthweight Z-Score]],TRUE)*100,"")</f>
        <v/>
      </c>
      <c r="K7178" s="7" t="str">
        <f>IF(Table1[[#This Row],[Is Data Valid]]=TRUE,_xlfn.NORM.S.DIST(Table1[[#This Row],[Birthweight Z-Score (BW-10%)]],TRUE)*100,"")</f>
        <v/>
      </c>
      <c r="L7178" s="7" t="str">
        <f>IF(Table1[[#This Row],[Is Data Valid]]=TRUE,_xlfn.NORM.S.DIST(Table1[[#This Row],[Birthweight Z-Score (BW+10%)]],TRUE)*100,"")</f>
        <v/>
      </c>
    </row>
    <row r="7179" spans="1:12" x14ac:dyDescent="0.35">
      <c r="A7179" s="3"/>
      <c r="B7179" s="2"/>
      <c r="C7179" s="2"/>
      <c r="D7179" s="2" t="b">
        <f>IF(AND(NOT(ISBLANK(Table1[[#This Row],[Fetal Sex (Male, Female or Unknown)]])),ISNUMBER(Table1[[#This Row],[Birthweight (grams)]]),ISNUMBER(Table1[[#This Row],[Gestation (days)]])),TRUE,FALSE)</f>
        <v>0</v>
      </c>
      <c r="E7179" s="2" t="str">
        <f>IF(Table1[[#This Row],[Is Data Valid]]=TRUE,IF(Table1[[#This Row],[Fetal Sex (Male, Female or Unknown)]]="Male",Backend!$C$6,IF(Table1[[#This Row],[Fetal Sex (Male, Female or Unknown)]]="Female",Backend!$C$7,IF(Table1[[#This Row],[Fetal Sex (Male, Female or Unknown)]]="Unknown",Backend!$C$8,"Error"))),"")</f>
        <v/>
      </c>
      <c r="F7179" s="8" t="str">
        <f>IF(Table1[[#This Row],[Is Data Valid]]=TRUE,EXP(0.578+0.332*((Table1[[#This Row],[Gestation (days)]]+0.5)/7)-0.00354*((Table1[[#This Row],[Gestation (days)]]+0.5)/7)^2)*Table1[[#This Row],[BW40_3705]],"")</f>
        <v/>
      </c>
      <c r="G7179" s="2" t="str">
        <f>IF(Table1[[#This Row],[Is Data Valid]]=TRUE,((Table1[[#This Row],[Birthweight (grams)]]/Table1[[#This Row],[BW_GA]])-1)/(Backend!$B$4/100*Table1[[#This Row],[BW40_3705]]),"")</f>
        <v/>
      </c>
      <c r="H7179" s="7" t="str">
        <f>IF(Table1[[#This Row],[Is Data Valid]]=TRUE,((Table1[[#This Row],[Birthweight (grams)]]*0.9/Table1[[#This Row],[BW_GA]])-1)/(Backend!$B$4/100*Table1[[#This Row],[BW40_3705]]),"")</f>
        <v/>
      </c>
      <c r="I7179" s="7" t="str">
        <f>IF(Table1[[#This Row],[Is Data Valid]]=TRUE,((Table1[[#This Row],[Birthweight (grams)]]*1.1/Table1[[#This Row],[BW_GA]])-1)/(Backend!$B$4/100*Table1[[#This Row],[BW40_3705]]),"")</f>
        <v/>
      </c>
      <c r="J7179" s="7" t="str">
        <f>IF(Table1[[#This Row],[Is Data Valid]]=TRUE,_xlfn.NORM.S.DIST(Table1[[#This Row],[Birthweight Z-Score]],TRUE)*100,"")</f>
        <v/>
      </c>
      <c r="K7179" s="7" t="str">
        <f>IF(Table1[[#This Row],[Is Data Valid]]=TRUE,_xlfn.NORM.S.DIST(Table1[[#This Row],[Birthweight Z-Score (BW-10%)]],TRUE)*100,"")</f>
        <v/>
      </c>
      <c r="L7179" s="7" t="str">
        <f>IF(Table1[[#This Row],[Is Data Valid]]=TRUE,_xlfn.NORM.S.DIST(Table1[[#This Row],[Birthweight Z-Score (BW+10%)]],TRUE)*100,"")</f>
        <v/>
      </c>
    </row>
    <row r="7180" spans="1:12" x14ac:dyDescent="0.35">
      <c r="A7180" s="3"/>
      <c r="B7180" s="2"/>
      <c r="C7180" s="2"/>
      <c r="D7180" s="2" t="b">
        <f>IF(AND(NOT(ISBLANK(Table1[[#This Row],[Fetal Sex (Male, Female or Unknown)]])),ISNUMBER(Table1[[#This Row],[Birthweight (grams)]]),ISNUMBER(Table1[[#This Row],[Gestation (days)]])),TRUE,FALSE)</f>
        <v>0</v>
      </c>
      <c r="E7180" s="2" t="str">
        <f>IF(Table1[[#This Row],[Is Data Valid]]=TRUE,IF(Table1[[#This Row],[Fetal Sex (Male, Female or Unknown)]]="Male",Backend!$C$6,IF(Table1[[#This Row],[Fetal Sex (Male, Female or Unknown)]]="Female",Backend!$C$7,IF(Table1[[#This Row],[Fetal Sex (Male, Female or Unknown)]]="Unknown",Backend!$C$8,"Error"))),"")</f>
        <v/>
      </c>
      <c r="F7180" s="8" t="str">
        <f>IF(Table1[[#This Row],[Is Data Valid]]=TRUE,EXP(0.578+0.332*((Table1[[#This Row],[Gestation (days)]]+0.5)/7)-0.00354*((Table1[[#This Row],[Gestation (days)]]+0.5)/7)^2)*Table1[[#This Row],[BW40_3705]],"")</f>
        <v/>
      </c>
      <c r="G7180" s="2" t="str">
        <f>IF(Table1[[#This Row],[Is Data Valid]]=TRUE,((Table1[[#This Row],[Birthweight (grams)]]/Table1[[#This Row],[BW_GA]])-1)/(Backend!$B$4/100*Table1[[#This Row],[BW40_3705]]),"")</f>
        <v/>
      </c>
      <c r="H7180" s="7" t="str">
        <f>IF(Table1[[#This Row],[Is Data Valid]]=TRUE,((Table1[[#This Row],[Birthweight (grams)]]*0.9/Table1[[#This Row],[BW_GA]])-1)/(Backend!$B$4/100*Table1[[#This Row],[BW40_3705]]),"")</f>
        <v/>
      </c>
      <c r="I7180" s="7" t="str">
        <f>IF(Table1[[#This Row],[Is Data Valid]]=TRUE,((Table1[[#This Row],[Birthweight (grams)]]*1.1/Table1[[#This Row],[BW_GA]])-1)/(Backend!$B$4/100*Table1[[#This Row],[BW40_3705]]),"")</f>
        <v/>
      </c>
      <c r="J7180" s="7" t="str">
        <f>IF(Table1[[#This Row],[Is Data Valid]]=TRUE,_xlfn.NORM.S.DIST(Table1[[#This Row],[Birthweight Z-Score]],TRUE)*100,"")</f>
        <v/>
      </c>
      <c r="K7180" s="7" t="str">
        <f>IF(Table1[[#This Row],[Is Data Valid]]=TRUE,_xlfn.NORM.S.DIST(Table1[[#This Row],[Birthweight Z-Score (BW-10%)]],TRUE)*100,"")</f>
        <v/>
      </c>
      <c r="L7180" s="7" t="str">
        <f>IF(Table1[[#This Row],[Is Data Valid]]=TRUE,_xlfn.NORM.S.DIST(Table1[[#This Row],[Birthweight Z-Score (BW+10%)]],TRUE)*100,"")</f>
        <v/>
      </c>
    </row>
    <row r="7181" spans="1:12" x14ac:dyDescent="0.35">
      <c r="A7181" s="3"/>
      <c r="B7181" s="2"/>
      <c r="C7181" s="2"/>
      <c r="D7181" s="2" t="b">
        <f>IF(AND(NOT(ISBLANK(Table1[[#This Row],[Fetal Sex (Male, Female or Unknown)]])),ISNUMBER(Table1[[#This Row],[Birthweight (grams)]]),ISNUMBER(Table1[[#This Row],[Gestation (days)]])),TRUE,FALSE)</f>
        <v>0</v>
      </c>
      <c r="E7181" s="2" t="str">
        <f>IF(Table1[[#This Row],[Is Data Valid]]=TRUE,IF(Table1[[#This Row],[Fetal Sex (Male, Female or Unknown)]]="Male",Backend!$C$6,IF(Table1[[#This Row],[Fetal Sex (Male, Female or Unknown)]]="Female",Backend!$C$7,IF(Table1[[#This Row],[Fetal Sex (Male, Female or Unknown)]]="Unknown",Backend!$C$8,"Error"))),"")</f>
        <v/>
      </c>
      <c r="F7181" s="8" t="str">
        <f>IF(Table1[[#This Row],[Is Data Valid]]=TRUE,EXP(0.578+0.332*((Table1[[#This Row],[Gestation (days)]]+0.5)/7)-0.00354*((Table1[[#This Row],[Gestation (days)]]+0.5)/7)^2)*Table1[[#This Row],[BW40_3705]],"")</f>
        <v/>
      </c>
      <c r="G7181" s="2" t="str">
        <f>IF(Table1[[#This Row],[Is Data Valid]]=TRUE,((Table1[[#This Row],[Birthweight (grams)]]/Table1[[#This Row],[BW_GA]])-1)/(Backend!$B$4/100*Table1[[#This Row],[BW40_3705]]),"")</f>
        <v/>
      </c>
      <c r="H7181" s="7" t="str">
        <f>IF(Table1[[#This Row],[Is Data Valid]]=TRUE,((Table1[[#This Row],[Birthweight (grams)]]*0.9/Table1[[#This Row],[BW_GA]])-1)/(Backend!$B$4/100*Table1[[#This Row],[BW40_3705]]),"")</f>
        <v/>
      </c>
      <c r="I7181" s="7" t="str">
        <f>IF(Table1[[#This Row],[Is Data Valid]]=TRUE,((Table1[[#This Row],[Birthweight (grams)]]*1.1/Table1[[#This Row],[BW_GA]])-1)/(Backend!$B$4/100*Table1[[#This Row],[BW40_3705]]),"")</f>
        <v/>
      </c>
      <c r="J7181" s="7" t="str">
        <f>IF(Table1[[#This Row],[Is Data Valid]]=TRUE,_xlfn.NORM.S.DIST(Table1[[#This Row],[Birthweight Z-Score]],TRUE)*100,"")</f>
        <v/>
      </c>
      <c r="K7181" s="7" t="str">
        <f>IF(Table1[[#This Row],[Is Data Valid]]=TRUE,_xlfn.NORM.S.DIST(Table1[[#This Row],[Birthweight Z-Score (BW-10%)]],TRUE)*100,"")</f>
        <v/>
      </c>
      <c r="L7181" s="7" t="str">
        <f>IF(Table1[[#This Row],[Is Data Valid]]=TRUE,_xlfn.NORM.S.DIST(Table1[[#This Row],[Birthweight Z-Score (BW+10%)]],TRUE)*100,"")</f>
        <v/>
      </c>
    </row>
    <row r="7182" spans="1:12" x14ac:dyDescent="0.35">
      <c r="A7182" s="3"/>
      <c r="B7182" s="2"/>
      <c r="C7182" s="2"/>
      <c r="D7182" s="2" t="b">
        <f>IF(AND(NOT(ISBLANK(Table1[[#This Row],[Fetal Sex (Male, Female or Unknown)]])),ISNUMBER(Table1[[#This Row],[Birthweight (grams)]]),ISNUMBER(Table1[[#This Row],[Gestation (days)]])),TRUE,FALSE)</f>
        <v>0</v>
      </c>
      <c r="E7182" s="2" t="str">
        <f>IF(Table1[[#This Row],[Is Data Valid]]=TRUE,IF(Table1[[#This Row],[Fetal Sex (Male, Female or Unknown)]]="Male",Backend!$C$6,IF(Table1[[#This Row],[Fetal Sex (Male, Female or Unknown)]]="Female",Backend!$C$7,IF(Table1[[#This Row],[Fetal Sex (Male, Female or Unknown)]]="Unknown",Backend!$C$8,"Error"))),"")</f>
        <v/>
      </c>
      <c r="F7182" s="8" t="str">
        <f>IF(Table1[[#This Row],[Is Data Valid]]=TRUE,EXP(0.578+0.332*((Table1[[#This Row],[Gestation (days)]]+0.5)/7)-0.00354*((Table1[[#This Row],[Gestation (days)]]+0.5)/7)^2)*Table1[[#This Row],[BW40_3705]],"")</f>
        <v/>
      </c>
      <c r="G7182" s="2" t="str">
        <f>IF(Table1[[#This Row],[Is Data Valid]]=TRUE,((Table1[[#This Row],[Birthweight (grams)]]/Table1[[#This Row],[BW_GA]])-1)/(Backend!$B$4/100*Table1[[#This Row],[BW40_3705]]),"")</f>
        <v/>
      </c>
      <c r="H7182" s="7" t="str">
        <f>IF(Table1[[#This Row],[Is Data Valid]]=TRUE,((Table1[[#This Row],[Birthweight (grams)]]*0.9/Table1[[#This Row],[BW_GA]])-1)/(Backend!$B$4/100*Table1[[#This Row],[BW40_3705]]),"")</f>
        <v/>
      </c>
      <c r="I7182" s="7" t="str">
        <f>IF(Table1[[#This Row],[Is Data Valid]]=TRUE,((Table1[[#This Row],[Birthweight (grams)]]*1.1/Table1[[#This Row],[BW_GA]])-1)/(Backend!$B$4/100*Table1[[#This Row],[BW40_3705]]),"")</f>
        <v/>
      </c>
      <c r="J7182" s="7" t="str">
        <f>IF(Table1[[#This Row],[Is Data Valid]]=TRUE,_xlfn.NORM.S.DIST(Table1[[#This Row],[Birthweight Z-Score]],TRUE)*100,"")</f>
        <v/>
      </c>
      <c r="K7182" s="7" t="str">
        <f>IF(Table1[[#This Row],[Is Data Valid]]=TRUE,_xlfn.NORM.S.DIST(Table1[[#This Row],[Birthweight Z-Score (BW-10%)]],TRUE)*100,"")</f>
        <v/>
      </c>
      <c r="L7182" s="7" t="str">
        <f>IF(Table1[[#This Row],[Is Data Valid]]=TRUE,_xlfn.NORM.S.DIST(Table1[[#This Row],[Birthweight Z-Score (BW+10%)]],TRUE)*100,"")</f>
        <v/>
      </c>
    </row>
    <row r="7183" spans="1:12" x14ac:dyDescent="0.35">
      <c r="A7183" s="3"/>
      <c r="B7183" s="2"/>
      <c r="C7183" s="2"/>
      <c r="D7183" s="2" t="b">
        <f>IF(AND(NOT(ISBLANK(Table1[[#This Row],[Fetal Sex (Male, Female or Unknown)]])),ISNUMBER(Table1[[#This Row],[Birthweight (grams)]]),ISNUMBER(Table1[[#This Row],[Gestation (days)]])),TRUE,FALSE)</f>
        <v>0</v>
      </c>
      <c r="E7183" s="2" t="str">
        <f>IF(Table1[[#This Row],[Is Data Valid]]=TRUE,IF(Table1[[#This Row],[Fetal Sex (Male, Female or Unknown)]]="Male",Backend!$C$6,IF(Table1[[#This Row],[Fetal Sex (Male, Female or Unknown)]]="Female",Backend!$C$7,IF(Table1[[#This Row],[Fetal Sex (Male, Female or Unknown)]]="Unknown",Backend!$C$8,"Error"))),"")</f>
        <v/>
      </c>
      <c r="F7183" s="8" t="str">
        <f>IF(Table1[[#This Row],[Is Data Valid]]=TRUE,EXP(0.578+0.332*((Table1[[#This Row],[Gestation (days)]]+0.5)/7)-0.00354*((Table1[[#This Row],[Gestation (days)]]+0.5)/7)^2)*Table1[[#This Row],[BW40_3705]],"")</f>
        <v/>
      </c>
      <c r="G7183" s="2" t="str">
        <f>IF(Table1[[#This Row],[Is Data Valid]]=TRUE,((Table1[[#This Row],[Birthweight (grams)]]/Table1[[#This Row],[BW_GA]])-1)/(Backend!$B$4/100*Table1[[#This Row],[BW40_3705]]),"")</f>
        <v/>
      </c>
      <c r="H7183" s="7" t="str">
        <f>IF(Table1[[#This Row],[Is Data Valid]]=TRUE,((Table1[[#This Row],[Birthweight (grams)]]*0.9/Table1[[#This Row],[BW_GA]])-1)/(Backend!$B$4/100*Table1[[#This Row],[BW40_3705]]),"")</f>
        <v/>
      </c>
      <c r="I7183" s="7" t="str">
        <f>IF(Table1[[#This Row],[Is Data Valid]]=TRUE,((Table1[[#This Row],[Birthweight (grams)]]*1.1/Table1[[#This Row],[BW_GA]])-1)/(Backend!$B$4/100*Table1[[#This Row],[BW40_3705]]),"")</f>
        <v/>
      </c>
      <c r="J7183" s="7" t="str">
        <f>IF(Table1[[#This Row],[Is Data Valid]]=TRUE,_xlfn.NORM.S.DIST(Table1[[#This Row],[Birthweight Z-Score]],TRUE)*100,"")</f>
        <v/>
      </c>
      <c r="K7183" s="7" t="str">
        <f>IF(Table1[[#This Row],[Is Data Valid]]=TRUE,_xlfn.NORM.S.DIST(Table1[[#This Row],[Birthweight Z-Score (BW-10%)]],TRUE)*100,"")</f>
        <v/>
      </c>
      <c r="L7183" s="7" t="str">
        <f>IF(Table1[[#This Row],[Is Data Valid]]=TRUE,_xlfn.NORM.S.DIST(Table1[[#This Row],[Birthweight Z-Score (BW+10%)]],TRUE)*100,"")</f>
        <v/>
      </c>
    </row>
    <row r="7184" spans="1:12" x14ac:dyDescent="0.35">
      <c r="A7184" s="3"/>
      <c r="B7184" s="2"/>
      <c r="C7184" s="2"/>
      <c r="D7184" s="2" t="b">
        <f>IF(AND(NOT(ISBLANK(Table1[[#This Row],[Fetal Sex (Male, Female or Unknown)]])),ISNUMBER(Table1[[#This Row],[Birthweight (grams)]]),ISNUMBER(Table1[[#This Row],[Gestation (days)]])),TRUE,FALSE)</f>
        <v>0</v>
      </c>
      <c r="E7184" s="2" t="str">
        <f>IF(Table1[[#This Row],[Is Data Valid]]=TRUE,IF(Table1[[#This Row],[Fetal Sex (Male, Female or Unknown)]]="Male",Backend!$C$6,IF(Table1[[#This Row],[Fetal Sex (Male, Female or Unknown)]]="Female",Backend!$C$7,IF(Table1[[#This Row],[Fetal Sex (Male, Female or Unknown)]]="Unknown",Backend!$C$8,"Error"))),"")</f>
        <v/>
      </c>
      <c r="F7184" s="8" t="str">
        <f>IF(Table1[[#This Row],[Is Data Valid]]=TRUE,EXP(0.578+0.332*((Table1[[#This Row],[Gestation (days)]]+0.5)/7)-0.00354*((Table1[[#This Row],[Gestation (days)]]+0.5)/7)^2)*Table1[[#This Row],[BW40_3705]],"")</f>
        <v/>
      </c>
      <c r="G7184" s="2" t="str">
        <f>IF(Table1[[#This Row],[Is Data Valid]]=TRUE,((Table1[[#This Row],[Birthweight (grams)]]/Table1[[#This Row],[BW_GA]])-1)/(Backend!$B$4/100*Table1[[#This Row],[BW40_3705]]),"")</f>
        <v/>
      </c>
      <c r="H7184" s="7" t="str">
        <f>IF(Table1[[#This Row],[Is Data Valid]]=TRUE,((Table1[[#This Row],[Birthweight (grams)]]*0.9/Table1[[#This Row],[BW_GA]])-1)/(Backend!$B$4/100*Table1[[#This Row],[BW40_3705]]),"")</f>
        <v/>
      </c>
      <c r="I7184" s="7" t="str">
        <f>IF(Table1[[#This Row],[Is Data Valid]]=TRUE,((Table1[[#This Row],[Birthweight (grams)]]*1.1/Table1[[#This Row],[BW_GA]])-1)/(Backend!$B$4/100*Table1[[#This Row],[BW40_3705]]),"")</f>
        <v/>
      </c>
      <c r="J7184" s="7" t="str">
        <f>IF(Table1[[#This Row],[Is Data Valid]]=TRUE,_xlfn.NORM.S.DIST(Table1[[#This Row],[Birthweight Z-Score]],TRUE)*100,"")</f>
        <v/>
      </c>
      <c r="K7184" s="7" t="str">
        <f>IF(Table1[[#This Row],[Is Data Valid]]=TRUE,_xlfn.NORM.S.DIST(Table1[[#This Row],[Birthweight Z-Score (BW-10%)]],TRUE)*100,"")</f>
        <v/>
      </c>
      <c r="L7184" s="7" t="str">
        <f>IF(Table1[[#This Row],[Is Data Valid]]=TRUE,_xlfn.NORM.S.DIST(Table1[[#This Row],[Birthweight Z-Score (BW+10%)]],TRUE)*100,"")</f>
        <v/>
      </c>
    </row>
    <row r="7185" spans="1:12" x14ac:dyDescent="0.35">
      <c r="A7185" s="3"/>
      <c r="B7185" s="2"/>
      <c r="C7185" s="2"/>
      <c r="D7185" s="2" t="b">
        <f>IF(AND(NOT(ISBLANK(Table1[[#This Row],[Fetal Sex (Male, Female or Unknown)]])),ISNUMBER(Table1[[#This Row],[Birthweight (grams)]]),ISNUMBER(Table1[[#This Row],[Gestation (days)]])),TRUE,FALSE)</f>
        <v>0</v>
      </c>
      <c r="E7185" s="2" t="str">
        <f>IF(Table1[[#This Row],[Is Data Valid]]=TRUE,IF(Table1[[#This Row],[Fetal Sex (Male, Female or Unknown)]]="Male",Backend!$C$6,IF(Table1[[#This Row],[Fetal Sex (Male, Female or Unknown)]]="Female",Backend!$C$7,IF(Table1[[#This Row],[Fetal Sex (Male, Female or Unknown)]]="Unknown",Backend!$C$8,"Error"))),"")</f>
        <v/>
      </c>
      <c r="F7185" s="8" t="str">
        <f>IF(Table1[[#This Row],[Is Data Valid]]=TRUE,EXP(0.578+0.332*((Table1[[#This Row],[Gestation (days)]]+0.5)/7)-0.00354*((Table1[[#This Row],[Gestation (days)]]+0.5)/7)^2)*Table1[[#This Row],[BW40_3705]],"")</f>
        <v/>
      </c>
      <c r="G7185" s="2" t="str">
        <f>IF(Table1[[#This Row],[Is Data Valid]]=TRUE,((Table1[[#This Row],[Birthweight (grams)]]/Table1[[#This Row],[BW_GA]])-1)/(Backend!$B$4/100*Table1[[#This Row],[BW40_3705]]),"")</f>
        <v/>
      </c>
      <c r="H7185" s="7" t="str">
        <f>IF(Table1[[#This Row],[Is Data Valid]]=TRUE,((Table1[[#This Row],[Birthweight (grams)]]*0.9/Table1[[#This Row],[BW_GA]])-1)/(Backend!$B$4/100*Table1[[#This Row],[BW40_3705]]),"")</f>
        <v/>
      </c>
      <c r="I7185" s="7" t="str">
        <f>IF(Table1[[#This Row],[Is Data Valid]]=TRUE,((Table1[[#This Row],[Birthweight (grams)]]*1.1/Table1[[#This Row],[BW_GA]])-1)/(Backend!$B$4/100*Table1[[#This Row],[BW40_3705]]),"")</f>
        <v/>
      </c>
      <c r="J7185" s="7" t="str">
        <f>IF(Table1[[#This Row],[Is Data Valid]]=TRUE,_xlfn.NORM.S.DIST(Table1[[#This Row],[Birthweight Z-Score]],TRUE)*100,"")</f>
        <v/>
      </c>
      <c r="K7185" s="7" t="str">
        <f>IF(Table1[[#This Row],[Is Data Valid]]=TRUE,_xlfn.NORM.S.DIST(Table1[[#This Row],[Birthweight Z-Score (BW-10%)]],TRUE)*100,"")</f>
        <v/>
      </c>
      <c r="L7185" s="7" t="str">
        <f>IF(Table1[[#This Row],[Is Data Valid]]=TRUE,_xlfn.NORM.S.DIST(Table1[[#This Row],[Birthweight Z-Score (BW+10%)]],TRUE)*100,"")</f>
        <v/>
      </c>
    </row>
    <row r="7186" spans="1:12" x14ac:dyDescent="0.35">
      <c r="A7186" s="3"/>
      <c r="B7186" s="2"/>
      <c r="C7186" s="2"/>
      <c r="D7186" s="2" t="b">
        <f>IF(AND(NOT(ISBLANK(Table1[[#This Row],[Fetal Sex (Male, Female or Unknown)]])),ISNUMBER(Table1[[#This Row],[Birthweight (grams)]]),ISNUMBER(Table1[[#This Row],[Gestation (days)]])),TRUE,FALSE)</f>
        <v>0</v>
      </c>
      <c r="E7186" s="2" t="str">
        <f>IF(Table1[[#This Row],[Is Data Valid]]=TRUE,IF(Table1[[#This Row],[Fetal Sex (Male, Female or Unknown)]]="Male",Backend!$C$6,IF(Table1[[#This Row],[Fetal Sex (Male, Female or Unknown)]]="Female",Backend!$C$7,IF(Table1[[#This Row],[Fetal Sex (Male, Female or Unknown)]]="Unknown",Backend!$C$8,"Error"))),"")</f>
        <v/>
      </c>
      <c r="F7186" s="8" t="str">
        <f>IF(Table1[[#This Row],[Is Data Valid]]=TRUE,EXP(0.578+0.332*((Table1[[#This Row],[Gestation (days)]]+0.5)/7)-0.00354*((Table1[[#This Row],[Gestation (days)]]+0.5)/7)^2)*Table1[[#This Row],[BW40_3705]],"")</f>
        <v/>
      </c>
      <c r="G7186" s="2" t="str">
        <f>IF(Table1[[#This Row],[Is Data Valid]]=TRUE,((Table1[[#This Row],[Birthweight (grams)]]/Table1[[#This Row],[BW_GA]])-1)/(Backend!$B$4/100*Table1[[#This Row],[BW40_3705]]),"")</f>
        <v/>
      </c>
      <c r="H7186" s="7" t="str">
        <f>IF(Table1[[#This Row],[Is Data Valid]]=TRUE,((Table1[[#This Row],[Birthweight (grams)]]*0.9/Table1[[#This Row],[BW_GA]])-1)/(Backend!$B$4/100*Table1[[#This Row],[BW40_3705]]),"")</f>
        <v/>
      </c>
      <c r="I7186" s="7" t="str">
        <f>IF(Table1[[#This Row],[Is Data Valid]]=TRUE,((Table1[[#This Row],[Birthweight (grams)]]*1.1/Table1[[#This Row],[BW_GA]])-1)/(Backend!$B$4/100*Table1[[#This Row],[BW40_3705]]),"")</f>
        <v/>
      </c>
      <c r="J7186" s="7" t="str">
        <f>IF(Table1[[#This Row],[Is Data Valid]]=TRUE,_xlfn.NORM.S.DIST(Table1[[#This Row],[Birthweight Z-Score]],TRUE)*100,"")</f>
        <v/>
      </c>
      <c r="K7186" s="7" t="str">
        <f>IF(Table1[[#This Row],[Is Data Valid]]=TRUE,_xlfn.NORM.S.DIST(Table1[[#This Row],[Birthweight Z-Score (BW-10%)]],TRUE)*100,"")</f>
        <v/>
      </c>
      <c r="L7186" s="7" t="str">
        <f>IF(Table1[[#This Row],[Is Data Valid]]=TRUE,_xlfn.NORM.S.DIST(Table1[[#This Row],[Birthweight Z-Score (BW+10%)]],TRUE)*100,"")</f>
        <v/>
      </c>
    </row>
    <row r="7187" spans="1:12" x14ac:dyDescent="0.35">
      <c r="A7187" s="3"/>
      <c r="B7187" s="2"/>
      <c r="C7187" s="2"/>
      <c r="D7187" s="2" t="b">
        <f>IF(AND(NOT(ISBLANK(Table1[[#This Row],[Fetal Sex (Male, Female or Unknown)]])),ISNUMBER(Table1[[#This Row],[Birthweight (grams)]]),ISNUMBER(Table1[[#This Row],[Gestation (days)]])),TRUE,FALSE)</f>
        <v>0</v>
      </c>
      <c r="E7187" s="2" t="str">
        <f>IF(Table1[[#This Row],[Is Data Valid]]=TRUE,IF(Table1[[#This Row],[Fetal Sex (Male, Female or Unknown)]]="Male",Backend!$C$6,IF(Table1[[#This Row],[Fetal Sex (Male, Female or Unknown)]]="Female",Backend!$C$7,IF(Table1[[#This Row],[Fetal Sex (Male, Female or Unknown)]]="Unknown",Backend!$C$8,"Error"))),"")</f>
        <v/>
      </c>
      <c r="F7187" s="8" t="str">
        <f>IF(Table1[[#This Row],[Is Data Valid]]=TRUE,EXP(0.578+0.332*((Table1[[#This Row],[Gestation (days)]]+0.5)/7)-0.00354*((Table1[[#This Row],[Gestation (days)]]+0.5)/7)^2)*Table1[[#This Row],[BW40_3705]],"")</f>
        <v/>
      </c>
      <c r="G7187" s="2" t="str">
        <f>IF(Table1[[#This Row],[Is Data Valid]]=TRUE,((Table1[[#This Row],[Birthweight (grams)]]/Table1[[#This Row],[BW_GA]])-1)/(Backend!$B$4/100*Table1[[#This Row],[BW40_3705]]),"")</f>
        <v/>
      </c>
      <c r="H7187" s="7" t="str">
        <f>IF(Table1[[#This Row],[Is Data Valid]]=TRUE,((Table1[[#This Row],[Birthweight (grams)]]*0.9/Table1[[#This Row],[BW_GA]])-1)/(Backend!$B$4/100*Table1[[#This Row],[BW40_3705]]),"")</f>
        <v/>
      </c>
      <c r="I7187" s="7" t="str">
        <f>IF(Table1[[#This Row],[Is Data Valid]]=TRUE,((Table1[[#This Row],[Birthweight (grams)]]*1.1/Table1[[#This Row],[BW_GA]])-1)/(Backend!$B$4/100*Table1[[#This Row],[BW40_3705]]),"")</f>
        <v/>
      </c>
      <c r="J7187" s="7" t="str">
        <f>IF(Table1[[#This Row],[Is Data Valid]]=TRUE,_xlfn.NORM.S.DIST(Table1[[#This Row],[Birthweight Z-Score]],TRUE)*100,"")</f>
        <v/>
      </c>
      <c r="K7187" s="7" t="str">
        <f>IF(Table1[[#This Row],[Is Data Valid]]=TRUE,_xlfn.NORM.S.DIST(Table1[[#This Row],[Birthweight Z-Score (BW-10%)]],TRUE)*100,"")</f>
        <v/>
      </c>
      <c r="L7187" s="7" t="str">
        <f>IF(Table1[[#This Row],[Is Data Valid]]=TRUE,_xlfn.NORM.S.DIST(Table1[[#This Row],[Birthweight Z-Score (BW+10%)]],TRUE)*100,"")</f>
        <v/>
      </c>
    </row>
    <row r="7188" spans="1:12" x14ac:dyDescent="0.35">
      <c r="A7188" s="3"/>
      <c r="B7188" s="2"/>
      <c r="C7188" s="2"/>
      <c r="D7188" s="2" t="b">
        <f>IF(AND(NOT(ISBLANK(Table1[[#This Row],[Fetal Sex (Male, Female or Unknown)]])),ISNUMBER(Table1[[#This Row],[Birthweight (grams)]]),ISNUMBER(Table1[[#This Row],[Gestation (days)]])),TRUE,FALSE)</f>
        <v>0</v>
      </c>
      <c r="E7188" s="2" t="str">
        <f>IF(Table1[[#This Row],[Is Data Valid]]=TRUE,IF(Table1[[#This Row],[Fetal Sex (Male, Female or Unknown)]]="Male",Backend!$C$6,IF(Table1[[#This Row],[Fetal Sex (Male, Female or Unknown)]]="Female",Backend!$C$7,IF(Table1[[#This Row],[Fetal Sex (Male, Female or Unknown)]]="Unknown",Backend!$C$8,"Error"))),"")</f>
        <v/>
      </c>
      <c r="F7188" s="8" t="str">
        <f>IF(Table1[[#This Row],[Is Data Valid]]=TRUE,EXP(0.578+0.332*((Table1[[#This Row],[Gestation (days)]]+0.5)/7)-0.00354*((Table1[[#This Row],[Gestation (days)]]+0.5)/7)^2)*Table1[[#This Row],[BW40_3705]],"")</f>
        <v/>
      </c>
      <c r="G7188" s="2" t="str">
        <f>IF(Table1[[#This Row],[Is Data Valid]]=TRUE,((Table1[[#This Row],[Birthweight (grams)]]/Table1[[#This Row],[BW_GA]])-1)/(Backend!$B$4/100*Table1[[#This Row],[BW40_3705]]),"")</f>
        <v/>
      </c>
      <c r="H7188" s="7" t="str">
        <f>IF(Table1[[#This Row],[Is Data Valid]]=TRUE,((Table1[[#This Row],[Birthweight (grams)]]*0.9/Table1[[#This Row],[BW_GA]])-1)/(Backend!$B$4/100*Table1[[#This Row],[BW40_3705]]),"")</f>
        <v/>
      </c>
      <c r="I7188" s="7" t="str">
        <f>IF(Table1[[#This Row],[Is Data Valid]]=TRUE,((Table1[[#This Row],[Birthweight (grams)]]*1.1/Table1[[#This Row],[BW_GA]])-1)/(Backend!$B$4/100*Table1[[#This Row],[BW40_3705]]),"")</f>
        <v/>
      </c>
      <c r="J7188" s="7" t="str">
        <f>IF(Table1[[#This Row],[Is Data Valid]]=TRUE,_xlfn.NORM.S.DIST(Table1[[#This Row],[Birthweight Z-Score]],TRUE)*100,"")</f>
        <v/>
      </c>
      <c r="K7188" s="7" t="str">
        <f>IF(Table1[[#This Row],[Is Data Valid]]=TRUE,_xlfn.NORM.S.DIST(Table1[[#This Row],[Birthweight Z-Score (BW-10%)]],TRUE)*100,"")</f>
        <v/>
      </c>
      <c r="L7188" s="7" t="str">
        <f>IF(Table1[[#This Row],[Is Data Valid]]=TRUE,_xlfn.NORM.S.DIST(Table1[[#This Row],[Birthweight Z-Score (BW+10%)]],TRUE)*100,"")</f>
        <v/>
      </c>
    </row>
    <row r="7189" spans="1:12" x14ac:dyDescent="0.35">
      <c r="A7189" s="3"/>
      <c r="B7189" s="2"/>
      <c r="C7189" s="2"/>
      <c r="D7189" s="2" t="b">
        <f>IF(AND(NOT(ISBLANK(Table1[[#This Row],[Fetal Sex (Male, Female or Unknown)]])),ISNUMBER(Table1[[#This Row],[Birthweight (grams)]]),ISNUMBER(Table1[[#This Row],[Gestation (days)]])),TRUE,FALSE)</f>
        <v>0</v>
      </c>
      <c r="E7189" s="2" t="str">
        <f>IF(Table1[[#This Row],[Is Data Valid]]=TRUE,IF(Table1[[#This Row],[Fetal Sex (Male, Female or Unknown)]]="Male",Backend!$C$6,IF(Table1[[#This Row],[Fetal Sex (Male, Female or Unknown)]]="Female",Backend!$C$7,IF(Table1[[#This Row],[Fetal Sex (Male, Female or Unknown)]]="Unknown",Backend!$C$8,"Error"))),"")</f>
        <v/>
      </c>
      <c r="F7189" s="8" t="str">
        <f>IF(Table1[[#This Row],[Is Data Valid]]=TRUE,EXP(0.578+0.332*((Table1[[#This Row],[Gestation (days)]]+0.5)/7)-0.00354*((Table1[[#This Row],[Gestation (days)]]+0.5)/7)^2)*Table1[[#This Row],[BW40_3705]],"")</f>
        <v/>
      </c>
      <c r="G7189" s="2" t="str">
        <f>IF(Table1[[#This Row],[Is Data Valid]]=TRUE,((Table1[[#This Row],[Birthweight (grams)]]/Table1[[#This Row],[BW_GA]])-1)/(Backend!$B$4/100*Table1[[#This Row],[BW40_3705]]),"")</f>
        <v/>
      </c>
      <c r="H7189" s="7" t="str">
        <f>IF(Table1[[#This Row],[Is Data Valid]]=TRUE,((Table1[[#This Row],[Birthweight (grams)]]*0.9/Table1[[#This Row],[BW_GA]])-1)/(Backend!$B$4/100*Table1[[#This Row],[BW40_3705]]),"")</f>
        <v/>
      </c>
      <c r="I7189" s="7" t="str">
        <f>IF(Table1[[#This Row],[Is Data Valid]]=TRUE,((Table1[[#This Row],[Birthweight (grams)]]*1.1/Table1[[#This Row],[BW_GA]])-1)/(Backend!$B$4/100*Table1[[#This Row],[BW40_3705]]),"")</f>
        <v/>
      </c>
      <c r="J7189" s="7" t="str">
        <f>IF(Table1[[#This Row],[Is Data Valid]]=TRUE,_xlfn.NORM.S.DIST(Table1[[#This Row],[Birthweight Z-Score]],TRUE)*100,"")</f>
        <v/>
      </c>
      <c r="K7189" s="7" t="str">
        <f>IF(Table1[[#This Row],[Is Data Valid]]=TRUE,_xlfn.NORM.S.DIST(Table1[[#This Row],[Birthweight Z-Score (BW-10%)]],TRUE)*100,"")</f>
        <v/>
      </c>
      <c r="L7189" s="7" t="str">
        <f>IF(Table1[[#This Row],[Is Data Valid]]=TRUE,_xlfn.NORM.S.DIST(Table1[[#This Row],[Birthweight Z-Score (BW+10%)]],TRUE)*100,"")</f>
        <v/>
      </c>
    </row>
    <row r="7190" spans="1:12" x14ac:dyDescent="0.35">
      <c r="A7190" s="3"/>
      <c r="B7190" s="2"/>
      <c r="C7190" s="2"/>
      <c r="D7190" s="2" t="b">
        <f>IF(AND(NOT(ISBLANK(Table1[[#This Row],[Fetal Sex (Male, Female or Unknown)]])),ISNUMBER(Table1[[#This Row],[Birthweight (grams)]]),ISNUMBER(Table1[[#This Row],[Gestation (days)]])),TRUE,FALSE)</f>
        <v>0</v>
      </c>
      <c r="E7190" s="2" t="str">
        <f>IF(Table1[[#This Row],[Is Data Valid]]=TRUE,IF(Table1[[#This Row],[Fetal Sex (Male, Female or Unknown)]]="Male",Backend!$C$6,IF(Table1[[#This Row],[Fetal Sex (Male, Female or Unknown)]]="Female",Backend!$C$7,IF(Table1[[#This Row],[Fetal Sex (Male, Female or Unknown)]]="Unknown",Backend!$C$8,"Error"))),"")</f>
        <v/>
      </c>
      <c r="F7190" s="8" t="str">
        <f>IF(Table1[[#This Row],[Is Data Valid]]=TRUE,EXP(0.578+0.332*((Table1[[#This Row],[Gestation (days)]]+0.5)/7)-0.00354*((Table1[[#This Row],[Gestation (days)]]+0.5)/7)^2)*Table1[[#This Row],[BW40_3705]],"")</f>
        <v/>
      </c>
      <c r="G7190" s="2" t="str">
        <f>IF(Table1[[#This Row],[Is Data Valid]]=TRUE,((Table1[[#This Row],[Birthweight (grams)]]/Table1[[#This Row],[BW_GA]])-1)/(Backend!$B$4/100*Table1[[#This Row],[BW40_3705]]),"")</f>
        <v/>
      </c>
      <c r="H7190" s="7" t="str">
        <f>IF(Table1[[#This Row],[Is Data Valid]]=TRUE,((Table1[[#This Row],[Birthweight (grams)]]*0.9/Table1[[#This Row],[BW_GA]])-1)/(Backend!$B$4/100*Table1[[#This Row],[BW40_3705]]),"")</f>
        <v/>
      </c>
      <c r="I7190" s="7" t="str">
        <f>IF(Table1[[#This Row],[Is Data Valid]]=TRUE,((Table1[[#This Row],[Birthweight (grams)]]*1.1/Table1[[#This Row],[BW_GA]])-1)/(Backend!$B$4/100*Table1[[#This Row],[BW40_3705]]),"")</f>
        <v/>
      </c>
      <c r="J7190" s="7" t="str">
        <f>IF(Table1[[#This Row],[Is Data Valid]]=TRUE,_xlfn.NORM.S.DIST(Table1[[#This Row],[Birthweight Z-Score]],TRUE)*100,"")</f>
        <v/>
      </c>
      <c r="K7190" s="7" t="str">
        <f>IF(Table1[[#This Row],[Is Data Valid]]=TRUE,_xlfn.NORM.S.DIST(Table1[[#This Row],[Birthweight Z-Score (BW-10%)]],TRUE)*100,"")</f>
        <v/>
      </c>
      <c r="L7190" s="7" t="str">
        <f>IF(Table1[[#This Row],[Is Data Valid]]=TRUE,_xlfn.NORM.S.DIST(Table1[[#This Row],[Birthweight Z-Score (BW+10%)]],TRUE)*100,"")</f>
        <v/>
      </c>
    </row>
    <row r="7191" spans="1:12" x14ac:dyDescent="0.35">
      <c r="A7191" s="3"/>
      <c r="B7191" s="2"/>
      <c r="C7191" s="2"/>
      <c r="D7191" s="2" t="b">
        <f>IF(AND(NOT(ISBLANK(Table1[[#This Row],[Fetal Sex (Male, Female or Unknown)]])),ISNUMBER(Table1[[#This Row],[Birthweight (grams)]]),ISNUMBER(Table1[[#This Row],[Gestation (days)]])),TRUE,FALSE)</f>
        <v>0</v>
      </c>
      <c r="E7191" s="2" t="str">
        <f>IF(Table1[[#This Row],[Is Data Valid]]=TRUE,IF(Table1[[#This Row],[Fetal Sex (Male, Female or Unknown)]]="Male",Backend!$C$6,IF(Table1[[#This Row],[Fetal Sex (Male, Female or Unknown)]]="Female",Backend!$C$7,IF(Table1[[#This Row],[Fetal Sex (Male, Female or Unknown)]]="Unknown",Backend!$C$8,"Error"))),"")</f>
        <v/>
      </c>
      <c r="F7191" s="8" t="str">
        <f>IF(Table1[[#This Row],[Is Data Valid]]=TRUE,EXP(0.578+0.332*((Table1[[#This Row],[Gestation (days)]]+0.5)/7)-0.00354*((Table1[[#This Row],[Gestation (days)]]+0.5)/7)^2)*Table1[[#This Row],[BW40_3705]],"")</f>
        <v/>
      </c>
      <c r="G7191" s="2" t="str">
        <f>IF(Table1[[#This Row],[Is Data Valid]]=TRUE,((Table1[[#This Row],[Birthweight (grams)]]/Table1[[#This Row],[BW_GA]])-1)/(Backend!$B$4/100*Table1[[#This Row],[BW40_3705]]),"")</f>
        <v/>
      </c>
      <c r="H7191" s="7" t="str">
        <f>IF(Table1[[#This Row],[Is Data Valid]]=TRUE,((Table1[[#This Row],[Birthweight (grams)]]*0.9/Table1[[#This Row],[BW_GA]])-1)/(Backend!$B$4/100*Table1[[#This Row],[BW40_3705]]),"")</f>
        <v/>
      </c>
      <c r="I7191" s="7" t="str">
        <f>IF(Table1[[#This Row],[Is Data Valid]]=TRUE,((Table1[[#This Row],[Birthweight (grams)]]*1.1/Table1[[#This Row],[BW_GA]])-1)/(Backend!$B$4/100*Table1[[#This Row],[BW40_3705]]),"")</f>
        <v/>
      </c>
      <c r="J7191" s="7" t="str">
        <f>IF(Table1[[#This Row],[Is Data Valid]]=TRUE,_xlfn.NORM.S.DIST(Table1[[#This Row],[Birthweight Z-Score]],TRUE)*100,"")</f>
        <v/>
      </c>
      <c r="K7191" s="7" t="str">
        <f>IF(Table1[[#This Row],[Is Data Valid]]=TRUE,_xlfn.NORM.S.DIST(Table1[[#This Row],[Birthweight Z-Score (BW-10%)]],TRUE)*100,"")</f>
        <v/>
      </c>
      <c r="L7191" s="7" t="str">
        <f>IF(Table1[[#This Row],[Is Data Valid]]=TRUE,_xlfn.NORM.S.DIST(Table1[[#This Row],[Birthweight Z-Score (BW+10%)]],TRUE)*100,"")</f>
        <v/>
      </c>
    </row>
    <row r="7192" spans="1:12" x14ac:dyDescent="0.35">
      <c r="A7192" s="3"/>
      <c r="B7192" s="2"/>
      <c r="C7192" s="2"/>
      <c r="D7192" s="2" t="b">
        <f>IF(AND(NOT(ISBLANK(Table1[[#This Row],[Fetal Sex (Male, Female or Unknown)]])),ISNUMBER(Table1[[#This Row],[Birthweight (grams)]]),ISNUMBER(Table1[[#This Row],[Gestation (days)]])),TRUE,FALSE)</f>
        <v>0</v>
      </c>
      <c r="E7192" s="2" t="str">
        <f>IF(Table1[[#This Row],[Is Data Valid]]=TRUE,IF(Table1[[#This Row],[Fetal Sex (Male, Female or Unknown)]]="Male",Backend!$C$6,IF(Table1[[#This Row],[Fetal Sex (Male, Female or Unknown)]]="Female",Backend!$C$7,IF(Table1[[#This Row],[Fetal Sex (Male, Female or Unknown)]]="Unknown",Backend!$C$8,"Error"))),"")</f>
        <v/>
      </c>
      <c r="F7192" s="8" t="str">
        <f>IF(Table1[[#This Row],[Is Data Valid]]=TRUE,EXP(0.578+0.332*((Table1[[#This Row],[Gestation (days)]]+0.5)/7)-0.00354*((Table1[[#This Row],[Gestation (days)]]+0.5)/7)^2)*Table1[[#This Row],[BW40_3705]],"")</f>
        <v/>
      </c>
      <c r="G7192" s="2" t="str">
        <f>IF(Table1[[#This Row],[Is Data Valid]]=TRUE,((Table1[[#This Row],[Birthweight (grams)]]/Table1[[#This Row],[BW_GA]])-1)/(Backend!$B$4/100*Table1[[#This Row],[BW40_3705]]),"")</f>
        <v/>
      </c>
      <c r="H7192" s="7" t="str">
        <f>IF(Table1[[#This Row],[Is Data Valid]]=TRUE,((Table1[[#This Row],[Birthweight (grams)]]*0.9/Table1[[#This Row],[BW_GA]])-1)/(Backend!$B$4/100*Table1[[#This Row],[BW40_3705]]),"")</f>
        <v/>
      </c>
      <c r="I7192" s="7" t="str">
        <f>IF(Table1[[#This Row],[Is Data Valid]]=TRUE,((Table1[[#This Row],[Birthweight (grams)]]*1.1/Table1[[#This Row],[BW_GA]])-1)/(Backend!$B$4/100*Table1[[#This Row],[BW40_3705]]),"")</f>
        <v/>
      </c>
      <c r="J7192" s="7" t="str">
        <f>IF(Table1[[#This Row],[Is Data Valid]]=TRUE,_xlfn.NORM.S.DIST(Table1[[#This Row],[Birthweight Z-Score]],TRUE)*100,"")</f>
        <v/>
      </c>
      <c r="K7192" s="7" t="str">
        <f>IF(Table1[[#This Row],[Is Data Valid]]=TRUE,_xlfn.NORM.S.DIST(Table1[[#This Row],[Birthweight Z-Score (BW-10%)]],TRUE)*100,"")</f>
        <v/>
      </c>
      <c r="L7192" s="7" t="str">
        <f>IF(Table1[[#This Row],[Is Data Valid]]=TRUE,_xlfn.NORM.S.DIST(Table1[[#This Row],[Birthweight Z-Score (BW+10%)]],TRUE)*100,"")</f>
        <v/>
      </c>
    </row>
    <row r="7193" spans="1:12" x14ac:dyDescent="0.35">
      <c r="A7193" s="3"/>
      <c r="B7193" s="2"/>
      <c r="C7193" s="2"/>
      <c r="D7193" s="2" t="b">
        <f>IF(AND(NOT(ISBLANK(Table1[[#This Row],[Fetal Sex (Male, Female or Unknown)]])),ISNUMBER(Table1[[#This Row],[Birthweight (grams)]]),ISNUMBER(Table1[[#This Row],[Gestation (days)]])),TRUE,FALSE)</f>
        <v>0</v>
      </c>
      <c r="E7193" s="2" t="str">
        <f>IF(Table1[[#This Row],[Is Data Valid]]=TRUE,IF(Table1[[#This Row],[Fetal Sex (Male, Female or Unknown)]]="Male",Backend!$C$6,IF(Table1[[#This Row],[Fetal Sex (Male, Female or Unknown)]]="Female",Backend!$C$7,IF(Table1[[#This Row],[Fetal Sex (Male, Female or Unknown)]]="Unknown",Backend!$C$8,"Error"))),"")</f>
        <v/>
      </c>
      <c r="F7193" s="8" t="str">
        <f>IF(Table1[[#This Row],[Is Data Valid]]=TRUE,EXP(0.578+0.332*((Table1[[#This Row],[Gestation (days)]]+0.5)/7)-0.00354*((Table1[[#This Row],[Gestation (days)]]+0.5)/7)^2)*Table1[[#This Row],[BW40_3705]],"")</f>
        <v/>
      </c>
      <c r="G7193" s="2" t="str">
        <f>IF(Table1[[#This Row],[Is Data Valid]]=TRUE,((Table1[[#This Row],[Birthweight (grams)]]/Table1[[#This Row],[BW_GA]])-1)/(Backend!$B$4/100*Table1[[#This Row],[BW40_3705]]),"")</f>
        <v/>
      </c>
      <c r="H7193" s="7" t="str">
        <f>IF(Table1[[#This Row],[Is Data Valid]]=TRUE,((Table1[[#This Row],[Birthweight (grams)]]*0.9/Table1[[#This Row],[BW_GA]])-1)/(Backend!$B$4/100*Table1[[#This Row],[BW40_3705]]),"")</f>
        <v/>
      </c>
      <c r="I7193" s="7" t="str">
        <f>IF(Table1[[#This Row],[Is Data Valid]]=TRUE,((Table1[[#This Row],[Birthweight (grams)]]*1.1/Table1[[#This Row],[BW_GA]])-1)/(Backend!$B$4/100*Table1[[#This Row],[BW40_3705]]),"")</f>
        <v/>
      </c>
      <c r="J7193" s="7" t="str">
        <f>IF(Table1[[#This Row],[Is Data Valid]]=TRUE,_xlfn.NORM.S.DIST(Table1[[#This Row],[Birthweight Z-Score]],TRUE)*100,"")</f>
        <v/>
      </c>
      <c r="K7193" s="7" t="str">
        <f>IF(Table1[[#This Row],[Is Data Valid]]=TRUE,_xlfn.NORM.S.DIST(Table1[[#This Row],[Birthweight Z-Score (BW-10%)]],TRUE)*100,"")</f>
        <v/>
      </c>
      <c r="L7193" s="7" t="str">
        <f>IF(Table1[[#This Row],[Is Data Valid]]=TRUE,_xlfn.NORM.S.DIST(Table1[[#This Row],[Birthweight Z-Score (BW+10%)]],TRUE)*100,"")</f>
        <v/>
      </c>
    </row>
    <row r="7194" spans="1:12" x14ac:dyDescent="0.35">
      <c r="A7194" s="3"/>
      <c r="B7194" s="2"/>
      <c r="C7194" s="2"/>
      <c r="D7194" s="2" t="b">
        <f>IF(AND(NOT(ISBLANK(Table1[[#This Row],[Fetal Sex (Male, Female or Unknown)]])),ISNUMBER(Table1[[#This Row],[Birthweight (grams)]]),ISNUMBER(Table1[[#This Row],[Gestation (days)]])),TRUE,FALSE)</f>
        <v>0</v>
      </c>
      <c r="E7194" s="2" t="str">
        <f>IF(Table1[[#This Row],[Is Data Valid]]=TRUE,IF(Table1[[#This Row],[Fetal Sex (Male, Female or Unknown)]]="Male",Backend!$C$6,IF(Table1[[#This Row],[Fetal Sex (Male, Female or Unknown)]]="Female",Backend!$C$7,IF(Table1[[#This Row],[Fetal Sex (Male, Female or Unknown)]]="Unknown",Backend!$C$8,"Error"))),"")</f>
        <v/>
      </c>
      <c r="F7194" s="8" t="str">
        <f>IF(Table1[[#This Row],[Is Data Valid]]=TRUE,EXP(0.578+0.332*((Table1[[#This Row],[Gestation (days)]]+0.5)/7)-0.00354*((Table1[[#This Row],[Gestation (days)]]+0.5)/7)^2)*Table1[[#This Row],[BW40_3705]],"")</f>
        <v/>
      </c>
      <c r="G7194" s="2" t="str">
        <f>IF(Table1[[#This Row],[Is Data Valid]]=TRUE,((Table1[[#This Row],[Birthweight (grams)]]/Table1[[#This Row],[BW_GA]])-1)/(Backend!$B$4/100*Table1[[#This Row],[BW40_3705]]),"")</f>
        <v/>
      </c>
      <c r="H7194" s="7" t="str">
        <f>IF(Table1[[#This Row],[Is Data Valid]]=TRUE,((Table1[[#This Row],[Birthweight (grams)]]*0.9/Table1[[#This Row],[BW_GA]])-1)/(Backend!$B$4/100*Table1[[#This Row],[BW40_3705]]),"")</f>
        <v/>
      </c>
      <c r="I7194" s="7" t="str">
        <f>IF(Table1[[#This Row],[Is Data Valid]]=TRUE,((Table1[[#This Row],[Birthweight (grams)]]*1.1/Table1[[#This Row],[BW_GA]])-1)/(Backend!$B$4/100*Table1[[#This Row],[BW40_3705]]),"")</f>
        <v/>
      </c>
      <c r="J7194" s="7" t="str">
        <f>IF(Table1[[#This Row],[Is Data Valid]]=TRUE,_xlfn.NORM.S.DIST(Table1[[#This Row],[Birthweight Z-Score]],TRUE)*100,"")</f>
        <v/>
      </c>
      <c r="K7194" s="7" t="str">
        <f>IF(Table1[[#This Row],[Is Data Valid]]=TRUE,_xlfn.NORM.S.DIST(Table1[[#This Row],[Birthweight Z-Score (BW-10%)]],TRUE)*100,"")</f>
        <v/>
      </c>
      <c r="L7194" s="7" t="str">
        <f>IF(Table1[[#This Row],[Is Data Valid]]=TRUE,_xlfn.NORM.S.DIST(Table1[[#This Row],[Birthweight Z-Score (BW+10%)]],TRUE)*100,"")</f>
        <v/>
      </c>
    </row>
    <row r="7195" spans="1:12" x14ac:dyDescent="0.35">
      <c r="A7195" s="3"/>
      <c r="B7195" s="2"/>
      <c r="C7195" s="2"/>
      <c r="D7195" s="2" t="b">
        <f>IF(AND(NOT(ISBLANK(Table1[[#This Row],[Fetal Sex (Male, Female or Unknown)]])),ISNUMBER(Table1[[#This Row],[Birthweight (grams)]]),ISNUMBER(Table1[[#This Row],[Gestation (days)]])),TRUE,FALSE)</f>
        <v>0</v>
      </c>
      <c r="E7195" s="2" t="str">
        <f>IF(Table1[[#This Row],[Is Data Valid]]=TRUE,IF(Table1[[#This Row],[Fetal Sex (Male, Female or Unknown)]]="Male",Backend!$C$6,IF(Table1[[#This Row],[Fetal Sex (Male, Female or Unknown)]]="Female",Backend!$C$7,IF(Table1[[#This Row],[Fetal Sex (Male, Female or Unknown)]]="Unknown",Backend!$C$8,"Error"))),"")</f>
        <v/>
      </c>
      <c r="F7195" s="8" t="str">
        <f>IF(Table1[[#This Row],[Is Data Valid]]=TRUE,EXP(0.578+0.332*((Table1[[#This Row],[Gestation (days)]]+0.5)/7)-0.00354*((Table1[[#This Row],[Gestation (days)]]+0.5)/7)^2)*Table1[[#This Row],[BW40_3705]],"")</f>
        <v/>
      </c>
      <c r="G7195" s="2" t="str">
        <f>IF(Table1[[#This Row],[Is Data Valid]]=TRUE,((Table1[[#This Row],[Birthweight (grams)]]/Table1[[#This Row],[BW_GA]])-1)/(Backend!$B$4/100*Table1[[#This Row],[BW40_3705]]),"")</f>
        <v/>
      </c>
      <c r="H7195" s="7" t="str">
        <f>IF(Table1[[#This Row],[Is Data Valid]]=TRUE,((Table1[[#This Row],[Birthweight (grams)]]*0.9/Table1[[#This Row],[BW_GA]])-1)/(Backend!$B$4/100*Table1[[#This Row],[BW40_3705]]),"")</f>
        <v/>
      </c>
      <c r="I7195" s="7" t="str">
        <f>IF(Table1[[#This Row],[Is Data Valid]]=TRUE,((Table1[[#This Row],[Birthweight (grams)]]*1.1/Table1[[#This Row],[BW_GA]])-1)/(Backend!$B$4/100*Table1[[#This Row],[BW40_3705]]),"")</f>
        <v/>
      </c>
      <c r="J7195" s="7" t="str">
        <f>IF(Table1[[#This Row],[Is Data Valid]]=TRUE,_xlfn.NORM.S.DIST(Table1[[#This Row],[Birthweight Z-Score]],TRUE)*100,"")</f>
        <v/>
      </c>
      <c r="K7195" s="7" t="str">
        <f>IF(Table1[[#This Row],[Is Data Valid]]=TRUE,_xlfn.NORM.S.DIST(Table1[[#This Row],[Birthweight Z-Score (BW-10%)]],TRUE)*100,"")</f>
        <v/>
      </c>
      <c r="L7195" s="7" t="str">
        <f>IF(Table1[[#This Row],[Is Data Valid]]=TRUE,_xlfn.NORM.S.DIST(Table1[[#This Row],[Birthweight Z-Score (BW+10%)]],TRUE)*100,"")</f>
        <v/>
      </c>
    </row>
    <row r="7196" spans="1:12" x14ac:dyDescent="0.35">
      <c r="A7196" s="3"/>
      <c r="B7196" s="2"/>
      <c r="C7196" s="2"/>
      <c r="D7196" s="2" t="b">
        <f>IF(AND(NOT(ISBLANK(Table1[[#This Row],[Fetal Sex (Male, Female or Unknown)]])),ISNUMBER(Table1[[#This Row],[Birthweight (grams)]]),ISNUMBER(Table1[[#This Row],[Gestation (days)]])),TRUE,FALSE)</f>
        <v>0</v>
      </c>
      <c r="E7196" s="2" t="str">
        <f>IF(Table1[[#This Row],[Is Data Valid]]=TRUE,IF(Table1[[#This Row],[Fetal Sex (Male, Female or Unknown)]]="Male",Backend!$C$6,IF(Table1[[#This Row],[Fetal Sex (Male, Female or Unknown)]]="Female",Backend!$C$7,IF(Table1[[#This Row],[Fetal Sex (Male, Female or Unknown)]]="Unknown",Backend!$C$8,"Error"))),"")</f>
        <v/>
      </c>
      <c r="F7196" s="8" t="str">
        <f>IF(Table1[[#This Row],[Is Data Valid]]=TRUE,EXP(0.578+0.332*((Table1[[#This Row],[Gestation (days)]]+0.5)/7)-0.00354*((Table1[[#This Row],[Gestation (days)]]+0.5)/7)^2)*Table1[[#This Row],[BW40_3705]],"")</f>
        <v/>
      </c>
      <c r="G7196" s="2" t="str">
        <f>IF(Table1[[#This Row],[Is Data Valid]]=TRUE,((Table1[[#This Row],[Birthweight (grams)]]/Table1[[#This Row],[BW_GA]])-1)/(Backend!$B$4/100*Table1[[#This Row],[BW40_3705]]),"")</f>
        <v/>
      </c>
      <c r="H7196" s="7" t="str">
        <f>IF(Table1[[#This Row],[Is Data Valid]]=TRUE,((Table1[[#This Row],[Birthweight (grams)]]*0.9/Table1[[#This Row],[BW_GA]])-1)/(Backend!$B$4/100*Table1[[#This Row],[BW40_3705]]),"")</f>
        <v/>
      </c>
      <c r="I7196" s="7" t="str">
        <f>IF(Table1[[#This Row],[Is Data Valid]]=TRUE,((Table1[[#This Row],[Birthweight (grams)]]*1.1/Table1[[#This Row],[BW_GA]])-1)/(Backend!$B$4/100*Table1[[#This Row],[BW40_3705]]),"")</f>
        <v/>
      </c>
      <c r="J7196" s="7" t="str">
        <f>IF(Table1[[#This Row],[Is Data Valid]]=TRUE,_xlfn.NORM.S.DIST(Table1[[#This Row],[Birthweight Z-Score]],TRUE)*100,"")</f>
        <v/>
      </c>
      <c r="K7196" s="7" t="str">
        <f>IF(Table1[[#This Row],[Is Data Valid]]=TRUE,_xlfn.NORM.S.DIST(Table1[[#This Row],[Birthweight Z-Score (BW-10%)]],TRUE)*100,"")</f>
        <v/>
      </c>
      <c r="L7196" s="7" t="str">
        <f>IF(Table1[[#This Row],[Is Data Valid]]=TRUE,_xlfn.NORM.S.DIST(Table1[[#This Row],[Birthweight Z-Score (BW+10%)]],TRUE)*100,"")</f>
        <v/>
      </c>
    </row>
    <row r="7197" spans="1:12" x14ac:dyDescent="0.35">
      <c r="A7197" s="3"/>
      <c r="B7197" s="2"/>
      <c r="C7197" s="2"/>
      <c r="D7197" s="2" t="b">
        <f>IF(AND(NOT(ISBLANK(Table1[[#This Row],[Fetal Sex (Male, Female or Unknown)]])),ISNUMBER(Table1[[#This Row],[Birthweight (grams)]]),ISNUMBER(Table1[[#This Row],[Gestation (days)]])),TRUE,FALSE)</f>
        <v>0</v>
      </c>
      <c r="E7197" s="2" t="str">
        <f>IF(Table1[[#This Row],[Is Data Valid]]=TRUE,IF(Table1[[#This Row],[Fetal Sex (Male, Female or Unknown)]]="Male",Backend!$C$6,IF(Table1[[#This Row],[Fetal Sex (Male, Female or Unknown)]]="Female",Backend!$C$7,IF(Table1[[#This Row],[Fetal Sex (Male, Female or Unknown)]]="Unknown",Backend!$C$8,"Error"))),"")</f>
        <v/>
      </c>
      <c r="F7197" s="8" t="str">
        <f>IF(Table1[[#This Row],[Is Data Valid]]=TRUE,EXP(0.578+0.332*((Table1[[#This Row],[Gestation (days)]]+0.5)/7)-0.00354*((Table1[[#This Row],[Gestation (days)]]+0.5)/7)^2)*Table1[[#This Row],[BW40_3705]],"")</f>
        <v/>
      </c>
      <c r="G7197" s="2" t="str">
        <f>IF(Table1[[#This Row],[Is Data Valid]]=TRUE,((Table1[[#This Row],[Birthweight (grams)]]/Table1[[#This Row],[BW_GA]])-1)/(Backend!$B$4/100*Table1[[#This Row],[BW40_3705]]),"")</f>
        <v/>
      </c>
      <c r="H7197" s="7" t="str">
        <f>IF(Table1[[#This Row],[Is Data Valid]]=TRUE,((Table1[[#This Row],[Birthweight (grams)]]*0.9/Table1[[#This Row],[BW_GA]])-1)/(Backend!$B$4/100*Table1[[#This Row],[BW40_3705]]),"")</f>
        <v/>
      </c>
      <c r="I7197" s="7" t="str">
        <f>IF(Table1[[#This Row],[Is Data Valid]]=TRUE,((Table1[[#This Row],[Birthweight (grams)]]*1.1/Table1[[#This Row],[BW_GA]])-1)/(Backend!$B$4/100*Table1[[#This Row],[BW40_3705]]),"")</f>
        <v/>
      </c>
      <c r="J7197" s="7" t="str">
        <f>IF(Table1[[#This Row],[Is Data Valid]]=TRUE,_xlfn.NORM.S.DIST(Table1[[#This Row],[Birthweight Z-Score]],TRUE)*100,"")</f>
        <v/>
      </c>
      <c r="K7197" s="7" t="str">
        <f>IF(Table1[[#This Row],[Is Data Valid]]=TRUE,_xlfn.NORM.S.DIST(Table1[[#This Row],[Birthweight Z-Score (BW-10%)]],TRUE)*100,"")</f>
        <v/>
      </c>
      <c r="L7197" s="7" t="str">
        <f>IF(Table1[[#This Row],[Is Data Valid]]=TRUE,_xlfn.NORM.S.DIST(Table1[[#This Row],[Birthweight Z-Score (BW+10%)]],TRUE)*100,"")</f>
        <v/>
      </c>
    </row>
    <row r="7198" spans="1:12" x14ac:dyDescent="0.35">
      <c r="A7198" s="3"/>
      <c r="B7198" s="2"/>
      <c r="C7198" s="2"/>
      <c r="D7198" s="2" t="b">
        <f>IF(AND(NOT(ISBLANK(Table1[[#This Row],[Fetal Sex (Male, Female or Unknown)]])),ISNUMBER(Table1[[#This Row],[Birthweight (grams)]]),ISNUMBER(Table1[[#This Row],[Gestation (days)]])),TRUE,FALSE)</f>
        <v>0</v>
      </c>
      <c r="E7198" s="2" t="str">
        <f>IF(Table1[[#This Row],[Is Data Valid]]=TRUE,IF(Table1[[#This Row],[Fetal Sex (Male, Female or Unknown)]]="Male",Backend!$C$6,IF(Table1[[#This Row],[Fetal Sex (Male, Female or Unknown)]]="Female",Backend!$C$7,IF(Table1[[#This Row],[Fetal Sex (Male, Female or Unknown)]]="Unknown",Backend!$C$8,"Error"))),"")</f>
        <v/>
      </c>
      <c r="F7198" s="8" t="str">
        <f>IF(Table1[[#This Row],[Is Data Valid]]=TRUE,EXP(0.578+0.332*((Table1[[#This Row],[Gestation (days)]]+0.5)/7)-0.00354*((Table1[[#This Row],[Gestation (days)]]+0.5)/7)^2)*Table1[[#This Row],[BW40_3705]],"")</f>
        <v/>
      </c>
      <c r="G7198" s="2" t="str">
        <f>IF(Table1[[#This Row],[Is Data Valid]]=TRUE,((Table1[[#This Row],[Birthweight (grams)]]/Table1[[#This Row],[BW_GA]])-1)/(Backend!$B$4/100*Table1[[#This Row],[BW40_3705]]),"")</f>
        <v/>
      </c>
      <c r="H7198" s="7" t="str">
        <f>IF(Table1[[#This Row],[Is Data Valid]]=TRUE,((Table1[[#This Row],[Birthweight (grams)]]*0.9/Table1[[#This Row],[BW_GA]])-1)/(Backend!$B$4/100*Table1[[#This Row],[BW40_3705]]),"")</f>
        <v/>
      </c>
      <c r="I7198" s="7" t="str">
        <f>IF(Table1[[#This Row],[Is Data Valid]]=TRUE,((Table1[[#This Row],[Birthweight (grams)]]*1.1/Table1[[#This Row],[BW_GA]])-1)/(Backend!$B$4/100*Table1[[#This Row],[BW40_3705]]),"")</f>
        <v/>
      </c>
      <c r="J7198" s="7" t="str">
        <f>IF(Table1[[#This Row],[Is Data Valid]]=TRUE,_xlfn.NORM.S.DIST(Table1[[#This Row],[Birthweight Z-Score]],TRUE)*100,"")</f>
        <v/>
      </c>
      <c r="K7198" s="7" t="str">
        <f>IF(Table1[[#This Row],[Is Data Valid]]=TRUE,_xlfn.NORM.S.DIST(Table1[[#This Row],[Birthweight Z-Score (BW-10%)]],TRUE)*100,"")</f>
        <v/>
      </c>
      <c r="L7198" s="7" t="str">
        <f>IF(Table1[[#This Row],[Is Data Valid]]=TRUE,_xlfn.NORM.S.DIST(Table1[[#This Row],[Birthweight Z-Score (BW+10%)]],TRUE)*100,"")</f>
        <v/>
      </c>
    </row>
    <row r="7199" spans="1:12" x14ac:dyDescent="0.35">
      <c r="A7199" s="3"/>
      <c r="B7199" s="2"/>
      <c r="C7199" s="2"/>
      <c r="D7199" s="2" t="b">
        <f>IF(AND(NOT(ISBLANK(Table1[[#This Row],[Fetal Sex (Male, Female or Unknown)]])),ISNUMBER(Table1[[#This Row],[Birthweight (grams)]]),ISNUMBER(Table1[[#This Row],[Gestation (days)]])),TRUE,FALSE)</f>
        <v>0</v>
      </c>
      <c r="E7199" s="2" t="str">
        <f>IF(Table1[[#This Row],[Is Data Valid]]=TRUE,IF(Table1[[#This Row],[Fetal Sex (Male, Female or Unknown)]]="Male",Backend!$C$6,IF(Table1[[#This Row],[Fetal Sex (Male, Female or Unknown)]]="Female",Backend!$C$7,IF(Table1[[#This Row],[Fetal Sex (Male, Female or Unknown)]]="Unknown",Backend!$C$8,"Error"))),"")</f>
        <v/>
      </c>
      <c r="F7199" s="8" t="str">
        <f>IF(Table1[[#This Row],[Is Data Valid]]=TRUE,EXP(0.578+0.332*((Table1[[#This Row],[Gestation (days)]]+0.5)/7)-0.00354*((Table1[[#This Row],[Gestation (days)]]+0.5)/7)^2)*Table1[[#This Row],[BW40_3705]],"")</f>
        <v/>
      </c>
      <c r="G7199" s="2" t="str">
        <f>IF(Table1[[#This Row],[Is Data Valid]]=TRUE,((Table1[[#This Row],[Birthweight (grams)]]/Table1[[#This Row],[BW_GA]])-1)/(Backend!$B$4/100*Table1[[#This Row],[BW40_3705]]),"")</f>
        <v/>
      </c>
      <c r="H7199" s="7" t="str">
        <f>IF(Table1[[#This Row],[Is Data Valid]]=TRUE,((Table1[[#This Row],[Birthweight (grams)]]*0.9/Table1[[#This Row],[BW_GA]])-1)/(Backend!$B$4/100*Table1[[#This Row],[BW40_3705]]),"")</f>
        <v/>
      </c>
      <c r="I7199" s="7" t="str">
        <f>IF(Table1[[#This Row],[Is Data Valid]]=TRUE,((Table1[[#This Row],[Birthweight (grams)]]*1.1/Table1[[#This Row],[BW_GA]])-1)/(Backend!$B$4/100*Table1[[#This Row],[BW40_3705]]),"")</f>
        <v/>
      </c>
      <c r="J7199" s="7" t="str">
        <f>IF(Table1[[#This Row],[Is Data Valid]]=TRUE,_xlfn.NORM.S.DIST(Table1[[#This Row],[Birthweight Z-Score]],TRUE)*100,"")</f>
        <v/>
      </c>
      <c r="K7199" s="7" t="str">
        <f>IF(Table1[[#This Row],[Is Data Valid]]=TRUE,_xlfn.NORM.S.DIST(Table1[[#This Row],[Birthweight Z-Score (BW-10%)]],TRUE)*100,"")</f>
        <v/>
      </c>
      <c r="L7199" s="7" t="str">
        <f>IF(Table1[[#This Row],[Is Data Valid]]=TRUE,_xlfn.NORM.S.DIST(Table1[[#This Row],[Birthweight Z-Score (BW+10%)]],TRUE)*100,"")</f>
        <v/>
      </c>
    </row>
    <row r="7200" spans="1:12" x14ac:dyDescent="0.35">
      <c r="A7200" s="3"/>
      <c r="B7200" s="2"/>
      <c r="C7200" s="2"/>
      <c r="D7200" s="2" t="b">
        <f>IF(AND(NOT(ISBLANK(Table1[[#This Row],[Fetal Sex (Male, Female or Unknown)]])),ISNUMBER(Table1[[#This Row],[Birthweight (grams)]]),ISNUMBER(Table1[[#This Row],[Gestation (days)]])),TRUE,FALSE)</f>
        <v>0</v>
      </c>
      <c r="E7200" s="2" t="str">
        <f>IF(Table1[[#This Row],[Is Data Valid]]=TRUE,IF(Table1[[#This Row],[Fetal Sex (Male, Female or Unknown)]]="Male",Backend!$C$6,IF(Table1[[#This Row],[Fetal Sex (Male, Female or Unknown)]]="Female",Backend!$C$7,IF(Table1[[#This Row],[Fetal Sex (Male, Female or Unknown)]]="Unknown",Backend!$C$8,"Error"))),"")</f>
        <v/>
      </c>
      <c r="F7200" s="8" t="str">
        <f>IF(Table1[[#This Row],[Is Data Valid]]=TRUE,EXP(0.578+0.332*((Table1[[#This Row],[Gestation (days)]]+0.5)/7)-0.00354*((Table1[[#This Row],[Gestation (days)]]+0.5)/7)^2)*Table1[[#This Row],[BW40_3705]],"")</f>
        <v/>
      </c>
      <c r="G7200" s="2" t="str">
        <f>IF(Table1[[#This Row],[Is Data Valid]]=TRUE,((Table1[[#This Row],[Birthweight (grams)]]/Table1[[#This Row],[BW_GA]])-1)/(Backend!$B$4/100*Table1[[#This Row],[BW40_3705]]),"")</f>
        <v/>
      </c>
      <c r="H7200" s="7" t="str">
        <f>IF(Table1[[#This Row],[Is Data Valid]]=TRUE,((Table1[[#This Row],[Birthweight (grams)]]*0.9/Table1[[#This Row],[BW_GA]])-1)/(Backend!$B$4/100*Table1[[#This Row],[BW40_3705]]),"")</f>
        <v/>
      </c>
      <c r="I7200" s="7" t="str">
        <f>IF(Table1[[#This Row],[Is Data Valid]]=TRUE,((Table1[[#This Row],[Birthweight (grams)]]*1.1/Table1[[#This Row],[BW_GA]])-1)/(Backend!$B$4/100*Table1[[#This Row],[BW40_3705]]),"")</f>
        <v/>
      </c>
      <c r="J7200" s="7" t="str">
        <f>IF(Table1[[#This Row],[Is Data Valid]]=TRUE,_xlfn.NORM.S.DIST(Table1[[#This Row],[Birthweight Z-Score]],TRUE)*100,"")</f>
        <v/>
      </c>
      <c r="K7200" s="7" t="str">
        <f>IF(Table1[[#This Row],[Is Data Valid]]=TRUE,_xlfn.NORM.S.DIST(Table1[[#This Row],[Birthweight Z-Score (BW-10%)]],TRUE)*100,"")</f>
        <v/>
      </c>
      <c r="L7200" s="7" t="str">
        <f>IF(Table1[[#This Row],[Is Data Valid]]=TRUE,_xlfn.NORM.S.DIST(Table1[[#This Row],[Birthweight Z-Score (BW+10%)]],TRUE)*100,"")</f>
        <v/>
      </c>
    </row>
    <row r="7201" spans="1:12" x14ac:dyDescent="0.35">
      <c r="A7201" s="3"/>
      <c r="B7201" s="2"/>
      <c r="C7201" s="2"/>
      <c r="D7201" s="2" t="b">
        <f>IF(AND(NOT(ISBLANK(Table1[[#This Row],[Fetal Sex (Male, Female or Unknown)]])),ISNUMBER(Table1[[#This Row],[Birthweight (grams)]]),ISNUMBER(Table1[[#This Row],[Gestation (days)]])),TRUE,FALSE)</f>
        <v>0</v>
      </c>
      <c r="E7201" s="2" t="str">
        <f>IF(Table1[[#This Row],[Is Data Valid]]=TRUE,IF(Table1[[#This Row],[Fetal Sex (Male, Female or Unknown)]]="Male",Backend!$C$6,IF(Table1[[#This Row],[Fetal Sex (Male, Female or Unknown)]]="Female",Backend!$C$7,IF(Table1[[#This Row],[Fetal Sex (Male, Female or Unknown)]]="Unknown",Backend!$C$8,"Error"))),"")</f>
        <v/>
      </c>
      <c r="F7201" s="8" t="str">
        <f>IF(Table1[[#This Row],[Is Data Valid]]=TRUE,EXP(0.578+0.332*((Table1[[#This Row],[Gestation (days)]]+0.5)/7)-0.00354*((Table1[[#This Row],[Gestation (days)]]+0.5)/7)^2)*Table1[[#This Row],[BW40_3705]],"")</f>
        <v/>
      </c>
      <c r="G7201" s="2" t="str">
        <f>IF(Table1[[#This Row],[Is Data Valid]]=TRUE,((Table1[[#This Row],[Birthweight (grams)]]/Table1[[#This Row],[BW_GA]])-1)/(Backend!$B$4/100*Table1[[#This Row],[BW40_3705]]),"")</f>
        <v/>
      </c>
      <c r="H7201" s="7" t="str">
        <f>IF(Table1[[#This Row],[Is Data Valid]]=TRUE,((Table1[[#This Row],[Birthweight (grams)]]*0.9/Table1[[#This Row],[BW_GA]])-1)/(Backend!$B$4/100*Table1[[#This Row],[BW40_3705]]),"")</f>
        <v/>
      </c>
      <c r="I7201" s="7" t="str">
        <f>IF(Table1[[#This Row],[Is Data Valid]]=TRUE,((Table1[[#This Row],[Birthweight (grams)]]*1.1/Table1[[#This Row],[BW_GA]])-1)/(Backend!$B$4/100*Table1[[#This Row],[BW40_3705]]),"")</f>
        <v/>
      </c>
      <c r="J7201" s="7" t="str">
        <f>IF(Table1[[#This Row],[Is Data Valid]]=TRUE,_xlfn.NORM.S.DIST(Table1[[#This Row],[Birthweight Z-Score]],TRUE)*100,"")</f>
        <v/>
      </c>
      <c r="K7201" s="7" t="str">
        <f>IF(Table1[[#This Row],[Is Data Valid]]=TRUE,_xlfn.NORM.S.DIST(Table1[[#This Row],[Birthweight Z-Score (BW-10%)]],TRUE)*100,"")</f>
        <v/>
      </c>
      <c r="L7201" s="7" t="str">
        <f>IF(Table1[[#This Row],[Is Data Valid]]=TRUE,_xlfn.NORM.S.DIST(Table1[[#This Row],[Birthweight Z-Score (BW+10%)]],TRUE)*100,"")</f>
        <v/>
      </c>
    </row>
    <row r="7202" spans="1:12" x14ac:dyDescent="0.35">
      <c r="A7202" s="3"/>
      <c r="B7202" s="2"/>
      <c r="C7202" s="2"/>
      <c r="D7202" s="2" t="b">
        <f>IF(AND(NOT(ISBLANK(Table1[[#This Row],[Fetal Sex (Male, Female or Unknown)]])),ISNUMBER(Table1[[#This Row],[Birthweight (grams)]]),ISNUMBER(Table1[[#This Row],[Gestation (days)]])),TRUE,FALSE)</f>
        <v>0</v>
      </c>
      <c r="E7202" s="2" t="str">
        <f>IF(Table1[[#This Row],[Is Data Valid]]=TRUE,IF(Table1[[#This Row],[Fetal Sex (Male, Female or Unknown)]]="Male",Backend!$C$6,IF(Table1[[#This Row],[Fetal Sex (Male, Female or Unknown)]]="Female",Backend!$C$7,IF(Table1[[#This Row],[Fetal Sex (Male, Female or Unknown)]]="Unknown",Backend!$C$8,"Error"))),"")</f>
        <v/>
      </c>
      <c r="F7202" s="8" t="str">
        <f>IF(Table1[[#This Row],[Is Data Valid]]=TRUE,EXP(0.578+0.332*((Table1[[#This Row],[Gestation (days)]]+0.5)/7)-0.00354*((Table1[[#This Row],[Gestation (days)]]+0.5)/7)^2)*Table1[[#This Row],[BW40_3705]],"")</f>
        <v/>
      </c>
      <c r="G7202" s="2" t="str">
        <f>IF(Table1[[#This Row],[Is Data Valid]]=TRUE,((Table1[[#This Row],[Birthweight (grams)]]/Table1[[#This Row],[BW_GA]])-1)/(Backend!$B$4/100*Table1[[#This Row],[BW40_3705]]),"")</f>
        <v/>
      </c>
      <c r="H7202" s="7" t="str">
        <f>IF(Table1[[#This Row],[Is Data Valid]]=TRUE,((Table1[[#This Row],[Birthweight (grams)]]*0.9/Table1[[#This Row],[BW_GA]])-1)/(Backend!$B$4/100*Table1[[#This Row],[BW40_3705]]),"")</f>
        <v/>
      </c>
      <c r="I7202" s="7" t="str">
        <f>IF(Table1[[#This Row],[Is Data Valid]]=TRUE,((Table1[[#This Row],[Birthweight (grams)]]*1.1/Table1[[#This Row],[BW_GA]])-1)/(Backend!$B$4/100*Table1[[#This Row],[BW40_3705]]),"")</f>
        <v/>
      </c>
      <c r="J7202" s="7" t="str">
        <f>IF(Table1[[#This Row],[Is Data Valid]]=TRUE,_xlfn.NORM.S.DIST(Table1[[#This Row],[Birthweight Z-Score]],TRUE)*100,"")</f>
        <v/>
      </c>
      <c r="K7202" s="7" t="str">
        <f>IF(Table1[[#This Row],[Is Data Valid]]=TRUE,_xlfn.NORM.S.DIST(Table1[[#This Row],[Birthweight Z-Score (BW-10%)]],TRUE)*100,"")</f>
        <v/>
      </c>
      <c r="L7202" s="7" t="str">
        <f>IF(Table1[[#This Row],[Is Data Valid]]=TRUE,_xlfn.NORM.S.DIST(Table1[[#This Row],[Birthweight Z-Score (BW+10%)]],TRUE)*100,"")</f>
        <v/>
      </c>
    </row>
    <row r="7203" spans="1:12" x14ac:dyDescent="0.35">
      <c r="A7203" s="3"/>
      <c r="B7203" s="2"/>
      <c r="C7203" s="2"/>
      <c r="D7203" s="2" t="b">
        <f>IF(AND(NOT(ISBLANK(Table1[[#This Row],[Fetal Sex (Male, Female or Unknown)]])),ISNUMBER(Table1[[#This Row],[Birthweight (grams)]]),ISNUMBER(Table1[[#This Row],[Gestation (days)]])),TRUE,FALSE)</f>
        <v>0</v>
      </c>
      <c r="E7203" s="2" t="str">
        <f>IF(Table1[[#This Row],[Is Data Valid]]=TRUE,IF(Table1[[#This Row],[Fetal Sex (Male, Female or Unknown)]]="Male",Backend!$C$6,IF(Table1[[#This Row],[Fetal Sex (Male, Female or Unknown)]]="Female",Backend!$C$7,IF(Table1[[#This Row],[Fetal Sex (Male, Female or Unknown)]]="Unknown",Backend!$C$8,"Error"))),"")</f>
        <v/>
      </c>
      <c r="F7203" s="8" t="str">
        <f>IF(Table1[[#This Row],[Is Data Valid]]=TRUE,EXP(0.578+0.332*((Table1[[#This Row],[Gestation (days)]]+0.5)/7)-0.00354*((Table1[[#This Row],[Gestation (days)]]+0.5)/7)^2)*Table1[[#This Row],[BW40_3705]],"")</f>
        <v/>
      </c>
      <c r="G7203" s="2" t="str">
        <f>IF(Table1[[#This Row],[Is Data Valid]]=TRUE,((Table1[[#This Row],[Birthweight (grams)]]/Table1[[#This Row],[BW_GA]])-1)/(Backend!$B$4/100*Table1[[#This Row],[BW40_3705]]),"")</f>
        <v/>
      </c>
      <c r="H7203" s="7" t="str">
        <f>IF(Table1[[#This Row],[Is Data Valid]]=TRUE,((Table1[[#This Row],[Birthweight (grams)]]*0.9/Table1[[#This Row],[BW_GA]])-1)/(Backend!$B$4/100*Table1[[#This Row],[BW40_3705]]),"")</f>
        <v/>
      </c>
      <c r="I7203" s="7" t="str">
        <f>IF(Table1[[#This Row],[Is Data Valid]]=TRUE,((Table1[[#This Row],[Birthweight (grams)]]*1.1/Table1[[#This Row],[BW_GA]])-1)/(Backend!$B$4/100*Table1[[#This Row],[BW40_3705]]),"")</f>
        <v/>
      </c>
      <c r="J7203" s="7" t="str">
        <f>IF(Table1[[#This Row],[Is Data Valid]]=TRUE,_xlfn.NORM.S.DIST(Table1[[#This Row],[Birthweight Z-Score]],TRUE)*100,"")</f>
        <v/>
      </c>
      <c r="K7203" s="7" t="str">
        <f>IF(Table1[[#This Row],[Is Data Valid]]=TRUE,_xlfn.NORM.S.DIST(Table1[[#This Row],[Birthweight Z-Score (BW-10%)]],TRUE)*100,"")</f>
        <v/>
      </c>
      <c r="L7203" s="7" t="str">
        <f>IF(Table1[[#This Row],[Is Data Valid]]=TRUE,_xlfn.NORM.S.DIST(Table1[[#This Row],[Birthweight Z-Score (BW+10%)]],TRUE)*100,"")</f>
        <v/>
      </c>
    </row>
    <row r="7204" spans="1:12" x14ac:dyDescent="0.35">
      <c r="A7204" s="3"/>
      <c r="B7204" s="2"/>
      <c r="C7204" s="2"/>
      <c r="D7204" s="2" t="b">
        <f>IF(AND(NOT(ISBLANK(Table1[[#This Row],[Fetal Sex (Male, Female or Unknown)]])),ISNUMBER(Table1[[#This Row],[Birthweight (grams)]]),ISNUMBER(Table1[[#This Row],[Gestation (days)]])),TRUE,FALSE)</f>
        <v>0</v>
      </c>
      <c r="E7204" s="2" t="str">
        <f>IF(Table1[[#This Row],[Is Data Valid]]=TRUE,IF(Table1[[#This Row],[Fetal Sex (Male, Female or Unknown)]]="Male",Backend!$C$6,IF(Table1[[#This Row],[Fetal Sex (Male, Female or Unknown)]]="Female",Backend!$C$7,IF(Table1[[#This Row],[Fetal Sex (Male, Female or Unknown)]]="Unknown",Backend!$C$8,"Error"))),"")</f>
        <v/>
      </c>
      <c r="F7204" s="8" t="str">
        <f>IF(Table1[[#This Row],[Is Data Valid]]=TRUE,EXP(0.578+0.332*((Table1[[#This Row],[Gestation (days)]]+0.5)/7)-0.00354*((Table1[[#This Row],[Gestation (days)]]+0.5)/7)^2)*Table1[[#This Row],[BW40_3705]],"")</f>
        <v/>
      </c>
      <c r="G7204" s="2" t="str">
        <f>IF(Table1[[#This Row],[Is Data Valid]]=TRUE,((Table1[[#This Row],[Birthweight (grams)]]/Table1[[#This Row],[BW_GA]])-1)/(Backend!$B$4/100*Table1[[#This Row],[BW40_3705]]),"")</f>
        <v/>
      </c>
      <c r="H7204" s="7" t="str">
        <f>IF(Table1[[#This Row],[Is Data Valid]]=TRUE,((Table1[[#This Row],[Birthweight (grams)]]*0.9/Table1[[#This Row],[BW_GA]])-1)/(Backend!$B$4/100*Table1[[#This Row],[BW40_3705]]),"")</f>
        <v/>
      </c>
      <c r="I7204" s="7" t="str">
        <f>IF(Table1[[#This Row],[Is Data Valid]]=TRUE,((Table1[[#This Row],[Birthweight (grams)]]*1.1/Table1[[#This Row],[BW_GA]])-1)/(Backend!$B$4/100*Table1[[#This Row],[BW40_3705]]),"")</f>
        <v/>
      </c>
      <c r="J7204" s="7" t="str">
        <f>IF(Table1[[#This Row],[Is Data Valid]]=TRUE,_xlfn.NORM.S.DIST(Table1[[#This Row],[Birthweight Z-Score]],TRUE)*100,"")</f>
        <v/>
      </c>
      <c r="K7204" s="7" t="str">
        <f>IF(Table1[[#This Row],[Is Data Valid]]=TRUE,_xlfn.NORM.S.DIST(Table1[[#This Row],[Birthweight Z-Score (BW-10%)]],TRUE)*100,"")</f>
        <v/>
      </c>
      <c r="L7204" s="7" t="str">
        <f>IF(Table1[[#This Row],[Is Data Valid]]=TRUE,_xlfn.NORM.S.DIST(Table1[[#This Row],[Birthweight Z-Score (BW+10%)]],TRUE)*100,"")</f>
        <v/>
      </c>
    </row>
    <row r="7205" spans="1:12" x14ac:dyDescent="0.35">
      <c r="A7205" s="3"/>
      <c r="B7205" s="2"/>
      <c r="C7205" s="2"/>
      <c r="D7205" s="2" t="b">
        <f>IF(AND(NOT(ISBLANK(Table1[[#This Row],[Fetal Sex (Male, Female or Unknown)]])),ISNUMBER(Table1[[#This Row],[Birthweight (grams)]]),ISNUMBER(Table1[[#This Row],[Gestation (days)]])),TRUE,FALSE)</f>
        <v>0</v>
      </c>
      <c r="E7205" s="2" t="str">
        <f>IF(Table1[[#This Row],[Is Data Valid]]=TRUE,IF(Table1[[#This Row],[Fetal Sex (Male, Female or Unknown)]]="Male",Backend!$C$6,IF(Table1[[#This Row],[Fetal Sex (Male, Female or Unknown)]]="Female",Backend!$C$7,IF(Table1[[#This Row],[Fetal Sex (Male, Female or Unknown)]]="Unknown",Backend!$C$8,"Error"))),"")</f>
        <v/>
      </c>
      <c r="F7205" s="8" t="str">
        <f>IF(Table1[[#This Row],[Is Data Valid]]=TRUE,EXP(0.578+0.332*((Table1[[#This Row],[Gestation (days)]]+0.5)/7)-0.00354*((Table1[[#This Row],[Gestation (days)]]+0.5)/7)^2)*Table1[[#This Row],[BW40_3705]],"")</f>
        <v/>
      </c>
      <c r="G7205" s="2" t="str">
        <f>IF(Table1[[#This Row],[Is Data Valid]]=TRUE,((Table1[[#This Row],[Birthweight (grams)]]/Table1[[#This Row],[BW_GA]])-1)/(Backend!$B$4/100*Table1[[#This Row],[BW40_3705]]),"")</f>
        <v/>
      </c>
      <c r="H7205" s="7" t="str">
        <f>IF(Table1[[#This Row],[Is Data Valid]]=TRUE,((Table1[[#This Row],[Birthweight (grams)]]*0.9/Table1[[#This Row],[BW_GA]])-1)/(Backend!$B$4/100*Table1[[#This Row],[BW40_3705]]),"")</f>
        <v/>
      </c>
      <c r="I7205" s="7" t="str">
        <f>IF(Table1[[#This Row],[Is Data Valid]]=TRUE,((Table1[[#This Row],[Birthweight (grams)]]*1.1/Table1[[#This Row],[BW_GA]])-1)/(Backend!$B$4/100*Table1[[#This Row],[BW40_3705]]),"")</f>
        <v/>
      </c>
      <c r="J7205" s="7" t="str">
        <f>IF(Table1[[#This Row],[Is Data Valid]]=TRUE,_xlfn.NORM.S.DIST(Table1[[#This Row],[Birthweight Z-Score]],TRUE)*100,"")</f>
        <v/>
      </c>
      <c r="K7205" s="7" t="str">
        <f>IF(Table1[[#This Row],[Is Data Valid]]=TRUE,_xlfn.NORM.S.DIST(Table1[[#This Row],[Birthweight Z-Score (BW-10%)]],TRUE)*100,"")</f>
        <v/>
      </c>
      <c r="L7205" s="7" t="str">
        <f>IF(Table1[[#This Row],[Is Data Valid]]=TRUE,_xlfn.NORM.S.DIST(Table1[[#This Row],[Birthweight Z-Score (BW+10%)]],TRUE)*100,"")</f>
        <v/>
      </c>
    </row>
    <row r="7206" spans="1:12" x14ac:dyDescent="0.35">
      <c r="A7206" s="3"/>
      <c r="B7206" s="2"/>
      <c r="C7206" s="2"/>
      <c r="D7206" s="2" t="b">
        <f>IF(AND(NOT(ISBLANK(Table1[[#This Row],[Fetal Sex (Male, Female or Unknown)]])),ISNUMBER(Table1[[#This Row],[Birthweight (grams)]]),ISNUMBER(Table1[[#This Row],[Gestation (days)]])),TRUE,FALSE)</f>
        <v>0</v>
      </c>
      <c r="E7206" s="2" t="str">
        <f>IF(Table1[[#This Row],[Is Data Valid]]=TRUE,IF(Table1[[#This Row],[Fetal Sex (Male, Female or Unknown)]]="Male",Backend!$C$6,IF(Table1[[#This Row],[Fetal Sex (Male, Female or Unknown)]]="Female",Backend!$C$7,IF(Table1[[#This Row],[Fetal Sex (Male, Female or Unknown)]]="Unknown",Backend!$C$8,"Error"))),"")</f>
        <v/>
      </c>
      <c r="F7206" s="8" t="str">
        <f>IF(Table1[[#This Row],[Is Data Valid]]=TRUE,EXP(0.578+0.332*((Table1[[#This Row],[Gestation (days)]]+0.5)/7)-0.00354*((Table1[[#This Row],[Gestation (days)]]+0.5)/7)^2)*Table1[[#This Row],[BW40_3705]],"")</f>
        <v/>
      </c>
      <c r="G7206" s="2" t="str">
        <f>IF(Table1[[#This Row],[Is Data Valid]]=TRUE,((Table1[[#This Row],[Birthweight (grams)]]/Table1[[#This Row],[BW_GA]])-1)/(Backend!$B$4/100*Table1[[#This Row],[BW40_3705]]),"")</f>
        <v/>
      </c>
      <c r="H7206" s="7" t="str">
        <f>IF(Table1[[#This Row],[Is Data Valid]]=TRUE,((Table1[[#This Row],[Birthweight (grams)]]*0.9/Table1[[#This Row],[BW_GA]])-1)/(Backend!$B$4/100*Table1[[#This Row],[BW40_3705]]),"")</f>
        <v/>
      </c>
      <c r="I7206" s="7" t="str">
        <f>IF(Table1[[#This Row],[Is Data Valid]]=TRUE,((Table1[[#This Row],[Birthweight (grams)]]*1.1/Table1[[#This Row],[BW_GA]])-1)/(Backend!$B$4/100*Table1[[#This Row],[BW40_3705]]),"")</f>
        <v/>
      </c>
      <c r="J7206" s="7" t="str">
        <f>IF(Table1[[#This Row],[Is Data Valid]]=TRUE,_xlfn.NORM.S.DIST(Table1[[#This Row],[Birthweight Z-Score]],TRUE)*100,"")</f>
        <v/>
      </c>
      <c r="K7206" s="7" t="str">
        <f>IF(Table1[[#This Row],[Is Data Valid]]=TRUE,_xlfn.NORM.S.DIST(Table1[[#This Row],[Birthweight Z-Score (BW-10%)]],TRUE)*100,"")</f>
        <v/>
      </c>
      <c r="L7206" s="7" t="str">
        <f>IF(Table1[[#This Row],[Is Data Valid]]=TRUE,_xlfn.NORM.S.DIST(Table1[[#This Row],[Birthweight Z-Score (BW+10%)]],TRUE)*100,"")</f>
        <v/>
      </c>
    </row>
    <row r="7207" spans="1:12" x14ac:dyDescent="0.35">
      <c r="A7207" s="3"/>
      <c r="B7207" s="2"/>
      <c r="C7207" s="2"/>
      <c r="D7207" s="2" t="b">
        <f>IF(AND(NOT(ISBLANK(Table1[[#This Row],[Fetal Sex (Male, Female or Unknown)]])),ISNUMBER(Table1[[#This Row],[Birthweight (grams)]]),ISNUMBER(Table1[[#This Row],[Gestation (days)]])),TRUE,FALSE)</f>
        <v>0</v>
      </c>
      <c r="E7207" s="2" t="str">
        <f>IF(Table1[[#This Row],[Is Data Valid]]=TRUE,IF(Table1[[#This Row],[Fetal Sex (Male, Female or Unknown)]]="Male",Backend!$C$6,IF(Table1[[#This Row],[Fetal Sex (Male, Female or Unknown)]]="Female",Backend!$C$7,IF(Table1[[#This Row],[Fetal Sex (Male, Female or Unknown)]]="Unknown",Backend!$C$8,"Error"))),"")</f>
        <v/>
      </c>
      <c r="F7207" s="8" t="str">
        <f>IF(Table1[[#This Row],[Is Data Valid]]=TRUE,EXP(0.578+0.332*((Table1[[#This Row],[Gestation (days)]]+0.5)/7)-0.00354*((Table1[[#This Row],[Gestation (days)]]+0.5)/7)^2)*Table1[[#This Row],[BW40_3705]],"")</f>
        <v/>
      </c>
      <c r="G7207" s="2" t="str">
        <f>IF(Table1[[#This Row],[Is Data Valid]]=TRUE,((Table1[[#This Row],[Birthweight (grams)]]/Table1[[#This Row],[BW_GA]])-1)/(Backend!$B$4/100*Table1[[#This Row],[BW40_3705]]),"")</f>
        <v/>
      </c>
      <c r="H7207" s="7" t="str">
        <f>IF(Table1[[#This Row],[Is Data Valid]]=TRUE,((Table1[[#This Row],[Birthweight (grams)]]*0.9/Table1[[#This Row],[BW_GA]])-1)/(Backend!$B$4/100*Table1[[#This Row],[BW40_3705]]),"")</f>
        <v/>
      </c>
      <c r="I7207" s="7" t="str">
        <f>IF(Table1[[#This Row],[Is Data Valid]]=TRUE,((Table1[[#This Row],[Birthweight (grams)]]*1.1/Table1[[#This Row],[BW_GA]])-1)/(Backend!$B$4/100*Table1[[#This Row],[BW40_3705]]),"")</f>
        <v/>
      </c>
      <c r="J7207" s="7" t="str">
        <f>IF(Table1[[#This Row],[Is Data Valid]]=TRUE,_xlfn.NORM.S.DIST(Table1[[#This Row],[Birthweight Z-Score]],TRUE)*100,"")</f>
        <v/>
      </c>
      <c r="K7207" s="7" t="str">
        <f>IF(Table1[[#This Row],[Is Data Valid]]=TRUE,_xlfn.NORM.S.DIST(Table1[[#This Row],[Birthweight Z-Score (BW-10%)]],TRUE)*100,"")</f>
        <v/>
      </c>
      <c r="L7207" s="7" t="str">
        <f>IF(Table1[[#This Row],[Is Data Valid]]=TRUE,_xlfn.NORM.S.DIST(Table1[[#This Row],[Birthweight Z-Score (BW+10%)]],TRUE)*100,"")</f>
        <v/>
      </c>
    </row>
    <row r="7208" spans="1:12" x14ac:dyDescent="0.35">
      <c r="A7208" s="3"/>
      <c r="B7208" s="2"/>
      <c r="C7208" s="2"/>
      <c r="D7208" s="2" t="b">
        <f>IF(AND(NOT(ISBLANK(Table1[[#This Row],[Fetal Sex (Male, Female or Unknown)]])),ISNUMBER(Table1[[#This Row],[Birthweight (grams)]]),ISNUMBER(Table1[[#This Row],[Gestation (days)]])),TRUE,FALSE)</f>
        <v>0</v>
      </c>
      <c r="E7208" s="2" t="str">
        <f>IF(Table1[[#This Row],[Is Data Valid]]=TRUE,IF(Table1[[#This Row],[Fetal Sex (Male, Female or Unknown)]]="Male",Backend!$C$6,IF(Table1[[#This Row],[Fetal Sex (Male, Female or Unknown)]]="Female",Backend!$C$7,IF(Table1[[#This Row],[Fetal Sex (Male, Female or Unknown)]]="Unknown",Backend!$C$8,"Error"))),"")</f>
        <v/>
      </c>
      <c r="F7208" s="8" t="str">
        <f>IF(Table1[[#This Row],[Is Data Valid]]=TRUE,EXP(0.578+0.332*((Table1[[#This Row],[Gestation (days)]]+0.5)/7)-0.00354*((Table1[[#This Row],[Gestation (days)]]+0.5)/7)^2)*Table1[[#This Row],[BW40_3705]],"")</f>
        <v/>
      </c>
      <c r="G7208" s="2" t="str">
        <f>IF(Table1[[#This Row],[Is Data Valid]]=TRUE,((Table1[[#This Row],[Birthweight (grams)]]/Table1[[#This Row],[BW_GA]])-1)/(Backend!$B$4/100*Table1[[#This Row],[BW40_3705]]),"")</f>
        <v/>
      </c>
      <c r="H7208" s="7" t="str">
        <f>IF(Table1[[#This Row],[Is Data Valid]]=TRUE,((Table1[[#This Row],[Birthweight (grams)]]*0.9/Table1[[#This Row],[BW_GA]])-1)/(Backend!$B$4/100*Table1[[#This Row],[BW40_3705]]),"")</f>
        <v/>
      </c>
      <c r="I7208" s="7" t="str">
        <f>IF(Table1[[#This Row],[Is Data Valid]]=TRUE,((Table1[[#This Row],[Birthweight (grams)]]*1.1/Table1[[#This Row],[BW_GA]])-1)/(Backend!$B$4/100*Table1[[#This Row],[BW40_3705]]),"")</f>
        <v/>
      </c>
      <c r="J7208" s="7" t="str">
        <f>IF(Table1[[#This Row],[Is Data Valid]]=TRUE,_xlfn.NORM.S.DIST(Table1[[#This Row],[Birthweight Z-Score]],TRUE)*100,"")</f>
        <v/>
      </c>
      <c r="K7208" s="7" t="str">
        <f>IF(Table1[[#This Row],[Is Data Valid]]=TRUE,_xlfn.NORM.S.DIST(Table1[[#This Row],[Birthweight Z-Score (BW-10%)]],TRUE)*100,"")</f>
        <v/>
      </c>
      <c r="L7208" s="7" t="str">
        <f>IF(Table1[[#This Row],[Is Data Valid]]=TRUE,_xlfn.NORM.S.DIST(Table1[[#This Row],[Birthweight Z-Score (BW+10%)]],TRUE)*100,"")</f>
        <v/>
      </c>
    </row>
    <row r="7209" spans="1:12" x14ac:dyDescent="0.35">
      <c r="A7209" s="3"/>
      <c r="B7209" s="2"/>
      <c r="C7209" s="2"/>
      <c r="D7209" s="2" t="b">
        <f>IF(AND(NOT(ISBLANK(Table1[[#This Row],[Fetal Sex (Male, Female or Unknown)]])),ISNUMBER(Table1[[#This Row],[Birthweight (grams)]]),ISNUMBER(Table1[[#This Row],[Gestation (days)]])),TRUE,FALSE)</f>
        <v>0</v>
      </c>
      <c r="E7209" s="2" t="str">
        <f>IF(Table1[[#This Row],[Is Data Valid]]=TRUE,IF(Table1[[#This Row],[Fetal Sex (Male, Female or Unknown)]]="Male",Backend!$C$6,IF(Table1[[#This Row],[Fetal Sex (Male, Female or Unknown)]]="Female",Backend!$C$7,IF(Table1[[#This Row],[Fetal Sex (Male, Female or Unknown)]]="Unknown",Backend!$C$8,"Error"))),"")</f>
        <v/>
      </c>
      <c r="F7209" s="8" t="str">
        <f>IF(Table1[[#This Row],[Is Data Valid]]=TRUE,EXP(0.578+0.332*((Table1[[#This Row],[Gestation (days)]]+0.5)/7)-0.00354*((Table1[[#This Row],[Gestation (days)]]+0.5)/7)^2)*Table1[[#This Row],[BW40_3705]],"")</f>
        <v/>
      </c>
      <c r="G7209" s="2" t="str">
        <f>IF(Table1[[#This Row],[Is Data Valid]]=TRUE,((Table1[[#This Row],[Birthweight (grams)]]/Table1[[#This Row],[BW_GA]])-1)/(Backend!$B$4/100*Table1[[#This Row],[BW40_3705]]),"")</f>
        <v/>
      </c>
      <c r="H7209" s="7" t="str">
        <f>IF(Table1[[#This Row],[Is Data Valid]]=TRUE,((Table1[[#This Row],[Birthweight (grams)]]*0.9/Table1[[#This Row],[BW_GA]])-1)/(Backend!$B$4/100*Table1[[#This Row],[BW40_3705]]),"")</f>
        <v/>
      </c>
      <c r="I7209" s="7" t="str">
        <f>IF(Table1[[#This Row],[Is Data Valid]]=TRUE,((Table1[[#This Row],[Birthweight (grams)]]*1.1/Table1[[#This Row],[BW_GA]])-1)/(Backend!$B$4/100*Table1[[#This Row],[BW40_3705]]),"")</f>
        <v/>
      </c>
      <c r="J7209" s="7" t="str">
        <f>IF(Table1[[#This Row],[Is Data Valid]]=TRUE,_xlfn.NORM.S.DIST(Table1[[#This Row],[Birthweight Z-Score]],TRUE)*100,"")</f>
        <v/>
      </c>
      <c r="K7209" s="7" t="str">
        <f>IF(Table1[[#This Row],[Is Data Valid]]=TRUE,_xlfn.NORM.S.DIST(Table1[[#This Row],[Birthweight Z-Score (BW-10%)]],TRUE)*100,"")</f>
        <v/>
      </c>
      <c r="L7209" s="7" t="str">
        <f>IF(Table1[[#This Row],[Is Data Valid]]=TRUE,_xlfn.NORM.S.DIST(Table1[[#This Row],[Birthweight Z-Score (BW+10%)]],TRUE)*100,"")</f>
        <v/>
      </c>
    </row>
    <row r="7210" spans="1:12" x14ac:dyDescent="0.35">
      <c r="A7210" s="3"/>
      <c r="B7210" s="2"/>
      <c r="C7210" s="2"/>
      <c r="D7210" s="2" t="b">
        <f>IF(AND(NOT(ISBLANK(Table1[[#This Row],[Fetal Sex (Male, Female or Unknown)]])),ISNUMBER(Table1[[#This Row],[Birthweight (grams)]]),ISNUMBER(Table1[[#This Row],[Gestation (days)]])),TRUE,FALSE)</f>
        <v>0</v>
      </c>
      <c r="E7210" s="2" t="str">
        <f>IF(Table1[[#This Row],[Is Data Valid]]=TRUE,IF(Table1[[#This Row],[Fetal Sex (Male, Female or Unknown)]]="Male",Backend!$C$6,IF(Table1[[#This Row],[Fetal Sex (Male, Female or Unknown)]]="Female",Backend!$C$7,IF(Table1[[#This Row],[Fetal Sex (Male, Female or Unknown)]]="Unknown",Backend!$C$8,"Error"))),"")</f>
        <v/>
      </c>
      <c r="F7210" s="8" t="str">
        <f>IF(Table1[[#This Row],[Is Data Valid]]=TRUE,EXP(0.578+0.332*((Table1[[#This Row],[Gestation (days)]]+0.5)/7)-0.00354*((Table1[[#This Row],[Gestation (days)]]+0.5)/7)^2)*Table1[[#This Row],[BW40_3705]],"")</f>
        <v/>
      </c>
      <c r="G7210" s="2" t="str">
        <f>IF(Table1[[#This Row],[Is Data Valid]]=TRUE,((Table1[[#This Row],[Birthweight (grams)]]/Table1[[#This Row],[BW_GA]])-1)/(Backend!$B$4/100*Table1[[#This Row],[BW40_3705]]),"")</f>
        <v/>
      </c>
      <c r="H7210" s="7" t="str">
        <f>IF(Table1[[#This Row],[Is Data Valid]]=TRUE,((Table1[[#This Row],[Birthweight (grams)]]*0.9/Table1[[#This Row],[BW_GA]])-1)/(Backend!$B$4/100*Table1[[#This Row],[BW40_3705]]),"")</f>
        <v/>
      </c>
      <c r="I7210" s="7" t="str">
        <f>IF(Table1[[#This Row],[Is Data Valid]]=TRUE,((Table1[[#This Row],[Birthweight (grams)]]*1.1/Table1[[#This Row],[BW_GA]])-1)/(Backend!$B$4/100*Table1[[#This Row],[BW40_3705]]),"")</f>
        <v/>
      </c>
      <c r="J7210" s="7" t="str">
        <f>IF(Table1[[#This Row],[Is Data Valid]]=TRUE,_xlfn.NORM.S.DIST(Table1[[#This Row],[Birthweight Z-Score]],TRUE)*100,"")</f>
        <v/>
      </c>
      <c r="K7210" s="7" t="str">
        <f>IF(Table1[[#This Row],[Is Data Valid]]=TRUE,_xlfn.NORM.S.DIST(Table1[[#This Row],[Birthweight Z-Score (BW-10%)]],TRUE)*100,"")</f>
        <v/>
      </c>
      <c r="L7210" s="7" t="str">
        <f>IF(Table1[[#This Row],[Is Data Valid]]=TRUE,_xlfn.NORM.S.DIST(Table1[[#This Row],[Birthweight Z-Score (BW+10%)]],TRUE)*100,"")</f>
        <v/>
      </c>
    </row>
    <row r="7211" spans="1:12" x14ac:dyDescent="0.35">
      <c r="A7211" s="3"/>
      <c r="B7211" s="2"/>
      <c r="C7211" s="2"/>
      <c r="D7211" s="2" t="b">
        <f>IF(AND(NOT(ISBLANK(Table1[[#This Row],[Fetal Sex (Male, Female or Unknown)]])),ISNUMBER(Table1[[#This Row],[Birthweight (grams)]]),ISNUMBER(Table1[[#This Row],[Gestation (days)]])),TRUE,FALSE)</f>
        <v>0</v>
      </c>
      <c r="E7211" s="2" t="str">
        <f>IF(Table1[[#This Row],[Is Data Valid]]=TRUE,IF(Table1[[#This Row],[Fetal Sex (Male, Female or Unknown)]]="Male",Backend!$C$6,IF(Table1[[#This Row],[Fetal Sex (Male, Female or Unknown)]]="Female",Backend!$C$7,IF(Table1[[#This Row],[Fetal Sex (Male, Female or Unknown)]]="Unknown",Backend!$C$8,"Error"))),"")</f>
        <v/>
      </c>
      <c r="F7211" s="8" t="str">
        <f>IF(Table1[[#This Row],[Is Data Valid]]=TRUE,EXP(0.578+0.332*((Table1[[#This Row],[Gestation (days)]]+0.5)/7)-0.00354*((Table1[[#This Row],[Gestation (days)]]+0.5)/7)^2)*Table1[[#This Row],[BW40_3705]],"")</f>
        <v/>
      </c>
      <c r="G7211" s="2" t="str">
        <f>IF(Table1[[#This Row],[Is Data Valid]]=TRUE,((Table1[[#This Row],[Birthweight (grams)]]/Table1[[#This Row],[BW_GA]])-1)/(Backend!$B$4/100*Table1[[#This Row],[BW40_3705]]),"")</f>
        <v/>
      </c>
      <c r="H7211" s="7" t="str">
        <f>IF(Table1[[#This Row],[Is Data Valid]]=TRUE,((Table1[[#This Row],[Birthweight (grams)]]*0.9/Table1[[#This Row],[BW_GA]])-1)/(Backend!$B$4/100*Table1[[#This Row],[BW40_3705]]),"")</f>
        <v/>
      </c>
      <c r="I7211" s="7" t="str">
        <f>IF(Table1[[#This Row],[Is Data Valid]]=TRUE,((Table1[[#This Row],[Birthweight (grams)]]*1.1/Table1[[#This Row],[BW_GA]])-1)/(Backend!$B$4/100*Table1[[#This Row],[BW40_3705]]),"")</f>
        <v/>
      </c>
      <c r="J7211" s="7" t="str">
        <f>IF(Table1[[#This Row],[Is Data Valid]]=TRUE,_xlfn.NORM.S.DIST(Table1[[#This Row],[Birthweight Z-Score]],TRUE)*100,"")</f>
        <v/>
      </c>
      <c r="K7211" s="7" t="str">
        <f>IF(Table1[[#This Row],[Is Data Valid]]=TRUE,_xlfn.NORM.S.DIST(Table1[[#This Row],[Birthweight Z-Score (BW-10%)]],TRUE)*100,"")</f>
        <v/>
      </c>
      <c r="L7211" s="7" t="str">
        <f>IF(Table1[[#This Row],[Is Data Valid]]=TRUE,_xlfn.NORM.S.DIST(Table1[[#This Row],[Birthweight Z-Score (BW+10%)]],TRUE)*100,"")</f>
        <v/>
      </c>
    </row>
    <row r="7212" spans="1:12" x14ac:dyDescent="0.35">
      <c r="A7212" s="3"/>
      <c r="B7212" s="2"/>
      <c r="C7212" s="2"/>
      <c r="D7212" s="2" t="b">
        <f>IF(AND(NOT(ISBLANK(Table1[[#This Row],[Fetal Sex (Male, Female or Unknown)]])),ISNUMBER(Table1[[#This Row],[Birthweight (grams)]]),ISNUMBER(Table1[[#This Row],[Gestation (days)]])),TRUE,FALSE)</f>
        <v>0</v>
      </c>
      <c r="E7212" s="2" t="str">
        <f>IF(Table1[[#This Row],[Is Data Valid]]=TRUE,IF(Table1[[#This Row],[Fetal Sex (Male, Female or Unknown)]]="Male",Backend!$C$6,IF(Table1[[#This Row],[Fetal Sex (Male, Female or Unknown)]]="Female",Backend!$C$7,IF(Table1[[#This Row],[Fetal Sex (Male, Female or Unknown)]]="Unknown",Backend!$C$8,"Error"))),"")</f>
        <v/>
      </c>
      <c r="F7212" s="8" t="str">
        <f>IF(Table1[[#This Row],[Is Data Valid]]=TRUE,EXP(0.578+0.332*((Table1[[#This Row],[Gestation (days)]]+0.5)/7)-0.00354*((Table1[[#This Row],[Gestation (days)]]+0.5)/7)^2)*Table1[[#This Row],[BW40_3705]],"")</f>
        <v/>
      </c>
      <c r="G7212" s="2" t="str">
        <f>IF(Table1[[#This Row],[Is Data Valid]]=TRUE,((Table1[[#This Row],[Birthweight (grams)]]/Table1[[#This Row],[BW_GA]])-1)/(Backend!$B$4/100*Table1[[#This Row],[BW40_3705]]),"")</f>
        <v/>
      </c>
      <c r="H7212" s="7" t="str">
        <f>IF(Table1[[#This Row],[Is Data Valid]]=TRUE,((Table1[[#This Row],[Birthweight (grams)]]*0.9/Table1[[#This Row],[BW_GA]])-1)/(Backend!$B$4/100*Table1[[#This Row],[BW40_3705]]),"")</f>
        <v/>
      </c>
      <c r="I7212" s="7" t="str">
        <f>IF(Table1[[#This Row],[Is Data Valid]]=TRUE,((Table1[[#This Row],[Birthweight (grams)]]*1.1/Table1[[#This Row],[BW_GA]])-1)/(Backend!$B$4/100*Table1[[#This Row],[BW40_3705]]),"")</f>
        <v/>
      </c>
      <c r="J7212" s="7" t="str">
        <f>IF(Table1[[#This Row],[Is Data Valid]]=TRUE,_xlfn.NORM.S.DIST(Table1[[#This Row],[Birthweight Z-Score]],TRUE)*100,"")</f>
        <v/>
      </c>
      <c r="K7212" s="7" t="str">
        <f>IF(Table1[[#This Row],[Is Data Valid]]=TRUE,_xlfn.NORM.S.DIST(Table1[[#This Row],[Birthweight Z-Score (BW-10%)]],TRUE)*100,"")</f>
        <v/>
      </c>
      <c r="L7212" s="7" t="str">
        <f>IF(Table1[[#This Row],[Is Data Valid]]=TRUE,_xlfn.NORM.S.DIST(Table1[[#This Row],[Birthweight Z-Score (BW+10%)]],TRUE)*100,"")</f>
        <v/>
      </c>
    </row>
    <row r="7213" spans="1:12" x14ac:dyDescent="0.35">
      <c r="A7213" s="3"/>
      <c r="B7213" s="2"/>
      <c r="C7213" s="2"/>
      <c r="D7213" s="2" t="b">
        <f>IF(AND(NOT(ISBLANK(Table1[[#This Row],[Fetal Sex (Male, Female or Unknown)]])),ISNUMBER(Table1[[#This Row],[Birthweight (grams)]]),ISNUMBER(Table1[[#This Row],[Gestation (days)]])),TRUE,FALSE)</f>
        <v>0</v>
      </c>
      <c r="E7213" s="2" t="str">
        <f>IF(Table1[[#This Row],[Is Data Valid]]=TRUE,IF(Table1[[#This Row],[Fetal Sex (Male, Female or Unknown)]]="Male",Backend!$C$6,IF(Table1[[#This Row],[Fetal Sex (Male, Female or Unknown)]]="Female",Backend!$C$7,IF(Table1[[#This Row],[Fetal Sex (Male, Female or Unknown)]]="Unknown",Backend!$C$8,"Error"))),"")</f>
        <v/>
      </c>
      <c r="F7213" s="8" t="str">
        <f>IF(Table1[[#This Row],[Is Data Valid]]=TRUE,EXP(0.578+0.332*((Table1[[#This Row],[Gestation (days)]]+0.5)/7)-0.00354*((Table1[[#This Row],[Gestation (days)]]+0.5)/7)^2)*Table1[[#This Row],[BW40_3705]],"")</f>
        <v/>
      </c>
      <c r="G7213" s="2" t="str">
        <f>IF(Table1[[#This Row],[Is Data Valid]]=TRUE,((Table1[[#This Row],[Birthweight (grams)]]/Table1[[#This Row],[BW_GA]])-1)/(Backend!$B$4/100*Table1[[#This Row],[BW40_3705]]),"")</f>
        <v/>
      </c>
      <c r="H7213" s="7" t="str">
        <f>IF(Table1[[#This Row],[Is Data Valid]]=TRUE,((Table1[[#This Row],[Birthweight (grams)]]*0.9/Table1[[#This Row],[BW_GA]])-1)/(Backend!$B$4/100*Table1[[#This Row],[BW40_3705]]),"")</f>
        <v/>
      </c>
      <c r="I7213" s="7" t="str">
        <f>IF(Table1[[#This Row],[Is Data Valid]]=TRUE,((Table1[[#This Row],[Birthweight (grams)]]*1.1/Table1[[#This Row],[BW_GA]])-1)/(Backend!$B$4/100*Table1[[#This Row],[BW40_3705]]),"")</f>
        <v/>
      </c>
      <c r="J7213" s="7" t="str">
        <f>IF(Table1[[#This Row],[Is Data Valid]]=TRUE,_xlfn.NORM.S.DIST(Table1[[#This Row],[Birthweight Z-Score]],TRUE)*100,"")</f>
        <v/>
      </c>
      <c r="K7213" s="7" t="str">
        <f>IF(Table1[[#This Row],[Is Data Valid]]=TRUE,_xlfn.NORM.S.DIST(Table1[[#This Row],[Birthweight Z-Score (BW-10%)]],TRUE)*100,"")</f>
        <v/>
      </c>
      <c r="L7213" s="7" t="str">
        <f>IF(Table1[[#This Row],[Is Data Valid]]=TRUE,_xlfn.NORM.S.DIST(Table1[[#This Row],[Birthweight Z-Score (BW+10%)]],TRUE)*100,"")</f>
        <v/>
      </c>
    </row>
    <row r="7214" spans="1:12" x14ac:dyDescent="0.35">
      <c r="A7214" s="3"/>
      <c r="B7214" s="2"/>
      <c r="C7214" s="2"/>
      <c r="D7214" s="2" t="b">
        <f>IF(AND(NOT(ISBLANK(Table1[[#This Row],[Fetal Sex (Male, Female or Unknown)]])),ISNUMBER(Table1[[#This Row],[Birthweight (grams)]]),ISNUMBER(Table1[[#This Row],[Gestation (days)]])),TRUE,FALSE)</f>
        <v>0</v>
      </c>
      <c r="E7214" s="2" t="str">
        <f>IF(Table1[[#This Row],[Is Data Valid]]=TRUE,IF(Table1[[#This Row],[Fetal Sex (Male, Female or Unknown)]]="Male",Backend!$C$6,IF(Table1[[#This Row],[Fetal Sex (Male, Female or Unknown)]]="Female",Backend!$C$7,IF(Table1[[#This Row],[Fetal Sex (Male, Female or Unknown)]]="Unknown",Backend!$C$8,"Error"))),"")</f>
        <v/>
      </c>
      <c r="F7214" s="8" t="str">
        <f>IF(Table1[[#This Row],[Is Data Valid]]=TRUE,EXP(0.578+0.332*((Table1[[#This Row],[Gestation (days)]]+0.5)/7)-0.00354*((Table1[[#This Row],[Gestation (days)]]+0.5)/7)^2)*Table1[[#This Row],[BW40_3705]],"")</f>
        <v/>
      </c>
      <c r="G7214" s="2" t="str">
        <f>IF(Table1[[#This Row],[Is Data Valid]]=TRUE,((Table1[[#This Row],[Birthweight (grams)]]/Table1[[#This Row],[BW_GA]])-1)/(Backend!$B$4/100*Table1[[#This Row],[BW40_3705]]),"")</f>
        <v/>
      </c>
      <c r="H7214" s="7" t="str">
        <f>IF(Table1[[#This Row],[Is Data Valid]]=TRUE,((Table1[[#This Row],[Birthweight (grams)]]*0.9/Table1[[#This Row],[BW_GA]])-1)/(Backend!$B$4/100*Table1[[#This Row],[BW40_3705]]),"")</f>
        <v/>
      </c>
      <c r="I7214" s="7" t="str">
        <f>IF(Table1[[#This Row],[Is Data Valid]]=TRUE,((Table1[[#This Row],[Birthweight (grams)]]*1.1/Table1[[#This Row],[BW_GA]])-1)/(Backend!$B$4/100*Table1[[#This Row],[BW40_3705]]),"")</f>
        <v/>
      </c>
      <c r="J7214" s="7" t="str">
        <f>IF(Table1[[#This Row],[Is Data Valid]]=TRUE,_xlfn.NORM.S.DIST(Table1[[#This Row],[Birthweight Z-Score]],TRUE)*100,"")</f>
        <v/>
      </c>
      <c r="K7214" s="7" t="str">
        <f>IF(Table1[[#This Row],[Is Data Valid]]=TRUE,_xlfn.NORM.S.DIST(Table1[[#This Row],[Birthweight Z-Score (BW-10%)]],TRUE)*100,"")</f>
        <v/>
      </c>
      <c r="L7214" s="7" t="str">
        <f>IF(Table1[[#This Row],[Is Data Valid]]=TRUE,_xlfn.NORM.S.DIST(Table1[[#This Row],[Birthweight Z-Score (BW+10%)]],TRUE)*100,"")</f>
        <v/>
      </c>
    </row>
    <row r="7215" spans="1:12" x14ac:dyDescent="0.35">
      <c r="A7215" s="3"/>
      <c r="B7215" s="2"/>
      <c r="C7215" s="2"/>
      <c r="D7215" s="2" t="b">
        <f>IF(AND(NOT(ISBLANK(Table1[[#This Row],[Fetal Sex (Male, Female or Unknown)]])),ISNUMBER(Table1[[#This Row],[Birthweight (grams)]]),ISNUMBER(Table1[[#This Row],[Gestation (days)]])),TRUE,FALSE)</f>
        <v>0</v>
      </c>
      <c r="E7215" s="2" t="str">
        <f>IF(Table1[[#This Row],[Is Data Valid]]=TRUE,IF(Table1[[#This Row],[Fetal Sex (Male, Female or Unknown)]]="Male",Backend!$C$6,IF(Table1[[#This Row],[Fetal Sex (Male, Female or Unknown)]]="Female",Backend!$C$7,IF(Table1[[#This Row],[Fetal Sex (Male, Female or Unknown)]]="Unknown",Backend!$C$8,"Error"))),"")</f>
        <v/>
      </c>
      <c r="F7215" s="8" t="str">
        <f>IF(Table1[[#This Row],[Is Data Valid]]=TRUE,EXP(0.578+0.332*((Table1[[#This Row],[Gestation (days)]]+0.5)/7)-0.00354*((Table1[[#This Row],[Gestation (days)]]+0.5)/7)^2)*Table1[[#This Row],[BW40_3705]],"")</f>
        <v/>
      </c>
      <c r="G7215" s="2" t="str">
        <f>IF(Table1[[#This Row],[Is Data Valid]]=TRUE,((Table1[[#This Row],[Birthweight (grams)]]/Table1[[#This Row],[BW_GA]])-1)/(Backend!$B$4/100*Table1[[#This Row],[BW40_3705]]),"")</f>
        <v/>
      </c>
      <c r="H7215" s="7" t="str">
        <f>IF(Table1[[#This Row],[Is Data Valid]]=TRUE,((Table1[[#This Row],[Birthweight (grams)]]*0.9/Table1[[#This Row],[BW_GA]])-1)/(Backend!$B$4/100*Table1[[#This Row],[BW40_3705]]),"")</f>
        <v/>
      </c>
      <c r="I7215" s="7" t="str">
        <f>IF(Table1[[#This Row],[Is Data Valid]]=TRUE,((Table1[[#This Row],[Birthweight (grams)]]*1.1/Table1[[#This Row],[BW_GA]])-1)/(Backend!$B$4/100*Table1[[#This Row],[BW40_3705]]),"")</f>
        <v/>
      </c>
      <c r="J7215" s="7" t="str">
        <f>IF(Table1[[#This Row],[Is Data Valid]]=TRUE,_xlfn.NORM.S.DIST(Table1[[#This Row],[Birthweight Z-Score]],TRUE)*100,"")</f>
        <v/>
      </c>
      <c r="K7215" s="7" t="str">
        <f>IF(Table1[[#This Row],[Is Data Valid]]=TRUE,_xlfn.NORM.S.DIST(Table1[[#This Row],[Birthweight Z-Score (BW-10%)]],TRUE)*100,"")</f>
        <v/>
      </c>
      <c r="L7215" s="7" t="str">
        <f>IF(Table1[[#This Row],[Is Data Valid]]=TRUE,_xlfn.NORM.S.DIST(Table1[[#This Row],[Birthweight Z-Score (BW+10%)]],TRUE)*100,"")</f>
        <v/>
      </c>
    </row>
    <row r="7216" spans="1:12" x14ac:dyDescent="0.35">
      <c r="A7216" s="3"/>
      <c r="B7216" s="2"/>
      <c r="C7216" s="2"/>
      <c r="D7216" s="2" t="b">
        <f>IF(AND(NOT(ISBLANK(Table1[[#This Row],[Fetal Sex (Male, Female or Unknown)]])),ISNUMBER(Table1[[#This Row],[Birthweight (grams)]]),ISNUMBER(Table1[[#This Row],[Gestation (days)]])),TRUE,FALSE)</f>
        <v>0</v>
      </c>
      <c r="E7216" s="2" t="str">
        <f>IF(Table1[[#This Row],[Is Data Valid]]=TRUE,IF(Table1[[#This Row],[Fetal Sex (Male, Female or Unknown)]]="Male",Backend!$C$6,IF(Table1[[#This Row],[Fetal Sex (Male, Female or Unknown)]]="Female",Backend!$C$7,IF(Table1[[#This Row],[Fetal Sex (Male, Female or Unknown)]]="Unknown",Backend!$C$8,"Error"))),"")</f>
        <v/>
      </c>
      <c r="F7216" s="8" t="str">
        <f>IF(Table1[[#This Row],[Is Data Valid]]=TRUE,EXP(0.578+0.332*((Table1[[#This Row],[Gestation (days)]]+0.5)/7)-0.00354*((Table1[[#This Row],[Gestation (days)]]+0.5)/7)^2)*Table1[[#This Row],[BW40_3705]],"")</f>
        <v/>
      </c>
      <c r="G7216" s="2" t="str">
        <f>IF(Table1[[#This Row],[Is Data Valid]]=TRUE,((Table1[[#This Row],[Birthweight (grams)]]/Table1[[#This Row],[BW_GA]])-1)/(Backend!$B$4/100*Table1[[#This Row],[BW40_3705]]),"")</f>
        <v/>
      </c>
      <c r="H7216" s="7" t="str">
        <f>IF(Table1[[#This Row],[Is Data Valid]]=TRUE,((Table1[[#This Row],[Birthweight (grams)]]*0.9/Table1[[#This Row],[BW_GA]])-1)/(Backend!$B$4/100*Table1[[#This Row],[BW40_3705]]),"")</f>
        <v/>
      </c>
      <c r="I7216" s="7" t="str">
        <f>IF(Table1[[#This Row],[Is Data Valid]]=TRUE,((Table1[[#This Row],[Birthweight (grams)]]*1.1/Table1[[#This Row],[BW_GA]])-1)/(Backend!$B$4/100*Table1[[#This Row],[BW40_3705]]),"")</f>
        <v/>
      </c>
      <c r="J7216" s="7" t="str">
        <f>IF(Table1[[#This Row],[Is Data Valid]]=TRUE,_xlfn.NORM.S.DIST(Table1[[#This Row],[Birthweight Z-Score]],TRUE)*100,"")</f>
        <v/>
      </c>
      <c r="K7216" s="7" t="str">
        <f>IF(Table1[[#This Row],[Is Data Valid]]=TRUE,_xlfn.NORM.S.DIST(Table1[[#This Row],[Birthweight Z-Score (BW-10%)]],TRUE)*100,"")</f>
        <v/>
      </c>
      <c r="L7216" s="7" t="str">
        <f>IF(Table1[[#This Row],[Is Data Valid]]=TRUE,_xlfn.NORM.S.DIST(Table1[[#This Row],[Birthweight Z-Score (BW+10%)]],TRUE)*100,"")</f>
        <v/>
      </c>
    </row>
    <row r="7217" spans="1:12" x14ac:dyDescent="0.35">
      <c r="A7217" s="3"/>
      <c r="B7217" s="2"/>
      <c r="C7217" s="2"/>
      <c r="D7217" s="2" t="b">
        <f>IF(AND(NOT(ISBLANK(Table1[[#This Row],[Fetal Sex (Male, Female or Unknown)]])),ISNUMBER(Table1[[#This Row],[Birthweight (grams)]]),ISNUMBER(Table1[[#This Row],[Gestation (days)]])),TRUE,FALSE)</f>
        <v>0</v>
      </c>
      <c r="E7217" s="2" t="str">
        <f>IF(Table1[[#This Row],[Is Data Valid]]=TRUE,IF(Table1[[#This Row],[Fetal Sex (Male, Female or Unknown)]]="Male",Backend!$C$6,IF(Table1[[#This Row],[Fetal Sex (Male, Female or Unknown)]]="Female",Backend!$C$7,IF(Table1[[#This Row],[Fetal Sex (Male, Female or Unknown)]]="Unknown",Backend!$C$8,"Error"))),"")</f>
        <v/>
      </c>
      <c r="F7217" s="8" t="str">
        <f>IF(Table1[[#This Row],[Is Data Valid]]=TRUE,EXP(0.578+0.332*((Table1[[#This Row],[Gestation (days)]]+0.5)/7)-0.00354*((Table1[[#This Row],[Gestation (days)]]+0.5)/7)^2)*Table1[[#This Row],[BW40_3705]],"")</f>
        <v/>
      </c>
      <c r="G7217" s="2" t="str">
        <f>IF(Table1[[#This Row],[Is Data Valid]]=TRUE,((Table1[[#This Row],[Birthweight (grams)]]/Table1[[#This Row],[BW_GA]])-1)/(Backend!$B$4/100*Table1[[#This Row],[BW40_3705]]),"")</f>
        <v/>
      </c>
      <c r="H7217" s="7" t="str">
        <f>IF(Table1[[#This Row],[Is Data Valid]]=TRUE,((Table1[[#This Row],[Birthweight (grams)]]*0.9/Table1[[#This Row],[BW_GA]])-1)/(Backend!$B$4/100*Table1[[#This Row],[BW40_3705]]),"")</f>
        <v/>
      </c>
      <c r="I7217" s="7" t="str">
        <f>IF(Table1[[#This Row],[Is Data Valid]]=TRUE,((Table1[[#This Row],[Birthweight (grams)]]*1.1/Table1[[#This Row],[BW_GA]])-1)/(Backend!$B$4/100*Table1[[#This Row],[BW40_3705]]),"")</f>
        <v/>
      </c>
      <c r="J7217" s="7" t="str">
        <f>IF(Table1[[#This Row],[Is Data Valid]]=TRUE,_xlfn.NORM.S.DIST(Table1[[#This Row],[Birthweight Z-Score]],TRUE)*100,"")</f>
        <v/>
      </c>
      <c r="K7217" s="7" t="str">
        <f>IF(Table1[[#This Row],[Is Data Valid]]=TRUE,_xlfn.NORM.S.DIST(Table1[[#This Row],[Birthweight Z-Score (BW-10%)]],TRUE)*100,"")</f>
        <v/>
      </c>
      <c r="L7217" s="7" t="str">
        <f>IF(Table1[[#This Row],[Is Data Valid]]=TRUE,_xlfn.NORM.S.DIST(Table1[[#This Row],[Birthweight Z-Score (BW+10%)]],TRUE)*100,"")</f>
        <v/>
      </c>
    </row>
    <row r="7218" spans="1:12" x14ac:dyDescent="0.35">
      <c r="A7218" s="3"/>
      <c r="B7218" s="2"/>
      <c r="C7218" s="2"/>
      <c r="D7218" s="2" t="b">
        <f>IF(AND(NOT(ISBLANK(Table1[[#This Row],[Fetal Sex (Male, Female or Unknown)]])),ISNUMBER(Table1[[#This Row],[Birthweight (grams)]]),ISNUMBER(Table1[[#This Row],[Gestation (days)]])),TRUE,FALSE)</f>
        <v>0</v>
      </c>
      <c r="E7218" s="2" t="str">
        <f>IF(Table1[[#This Row],[Is Data Valid]]=TRUE,IF(Table1[[#This Row],[Fetal Sex (Male, Female or Unknown)]]="Male",Backend!$C$6,IF(Table1[[#This Row],[Fetal Sex (Male, Female or Unknown)]]="Female",Backend!$C$7,IF(Table1[[#This Row],[Fetal Sex (Male, Female or Unknown)]]="Unknown",Backend!$C$8,"Error"))),"")</f>
        <v/>
      </c>
      <c r="F7218" s="8" t="str">
        <f>IF(Table1[[#This Row],[Is Data Valid]]=TRUE,EXP(0.578+0.332*((Table1[[#This Row],[Gestation (days)]]+0.5)/7)-0.00354*((Table1[[#This Row],[Gestation (days)]]+0.5)/7)^2)*Table1[[#This Row],[BW40_3705]],"")</f>
        <v/>
      </c>
      <c r="G7218" s="2" t="str">
        <f>IF(Table1[[#This Row],[Is Data Valid]]=TRUE,((Table1[[#This Row],[Birthweight (grams)]]/Table1[[#This Row],[BW_GA]])-1)/(Backend!$B$4/100*Table1[[#This Row],[BW40_3705]]),"")</f>
        <v/>
      </c>
      <c r="H7218" s="7" t="str">
        <f>IF(Table1[[#This Row],[Is Data Valid]]=TRUE,((Table1[[#This Row],[Birthweight (grams)]]*0.9/Table1[[#This Row],[BW_GA]])-1)/(Backend!$B$4/100*Table1[[#This Row],[BW40_3705]]),"")</f>
        <v/>
      </c>
      <c r="I7218" s="7" t="str">
        <f>IF(Table1[[#This Row],[Is Data Valid]]=TRUE,((Table1[[#This Row],[Birthweight (grams)]]*1.1/Table1[[#This Row],[BW_GA]])-1)/(Backend!$B$4/100*Table1[[#This Row],[BW40_3705]]),"")</f>
        <v/>
      </c>
      <c r="J7218" s="7" t="str">
        <f>IF(Table1[[#This Row],[Is Data Valid]]=TRUE,_xlfn.NORM.S.DIST(Table1[[#This Row],[Birthweight Z-Score]],TRUE)*100,"")</f>
        <v/>
      </c>
      <c r="K7218" s="7" t="str">
        <f>IF(Table1[[#This Row],[Is Data Valid]]=TRUE,_xlfn.NORM.S.DIST(Table1[[#This Row],[Birthweight Z-Score (BW-10%)]],TRUE)*100,"")</f>
        <v/>
      </c>
      <c r="L7218" s="7" t="str">
        <f>IF(Table1[[#This Row],[Is Data Valid]]=TRUE,_xlfn.NORM.S.DIST(Table1[[#This Row],[Birthweight Z-Score (BW+10%)]],TRUE)*100,"")</f>
        <v/>
      </c>
    </row>
    <row r="7219" spans="1:12" x14ac:dyDescent="0.35">
      <c r="A7219" s="3"/>
      <c r="B7219" s="2"/>
      <c r="C7219" s="2"/>
      <c r="D7219" s="2" t="b">
        <f>IF(AND(NOT(ISBLANK(Table1[[#This Row],[Fetal Sex (Male, Female or Unknown)]])),ISNUMBER(Table1[[#This Row],[Birthweight (grams)]]),ISNUMBER(Table1[[#This Row],[Gestation (days)]])),TRUE,FALSE)</f>
        <v>0</v>
      </c>
      <c r="E7219" s="2" t="str">
        <f>IF(Table1[[#This Row],[Is Data Valid]]=TRUE,IF(Table1[[#This Row],[Fetal Sex (Male, Female or Unknown)]]="Male",Backend!$C$6,IF(Table1[[#This Row],[Fetal Sex (Male, Female or Unknown)]]="Female",Backend!$C$7,IF(Table1[[#This Row],[Fetal Sex (Male, Female or Unknown)]]="Unknown",Backend!$C$8,"Error"))),"")</f>
        <v/>
      </c>
      <c r="F7219" s="8" t="str">
        <f>IF(Table1[[#This Row],[Is Data Valid]]=TRUE,EXP(0.578+0.332*((Table1[[#This Row],[Gestation (days)]]+0.5)/7)-0.00354*((Table1[[#This Row],[Gestation (days)]]+0.5)/7)^2)*Table1[[#This Row],[BW40_3705]],"")</f>
        <v/>
      </c>
      <c r="G7219" s="2" t="str">
        <f>IF(Table1[[#This Row],[Is Data Valid]]=TRUE,((Table1[[#This Row],[Birthweight (grams)]]/Table1[[#This Row],[BW_GA]])-1)/(Backend!$B$4/100*Table1[[#This Row],[BW40_3705]]),"")</f>
        <v/>
      </c>
      <c r="H7219" s="7" t="str">
        <f>IF(Table1[[#This Row],[Is Data Valid]]=TRUE,((Table1[[#This Row],[Birthweight (grams)]]*0.9/Table1[[#This Row],[BW_GA]])-1)/(Backend!$B$4/100*Table1[[#This Row],[BW40_3705]]),"")</f>
        <v/>
      </c>
      <c r="I7219" s="7" t="str">
        <f>IF(Table1[[#This Row],[Is Data Valid]]=TRUE,((Table1[[#This Row],[Birthweight (grams)]]*1.1/Table1[[#This Row],[BW_GA]])-1)/(Backend!$B$4/100*Table1[[#This Row],[BW40_3705]]),"")</f>
        <v/>
      </c>
      <c r="J7219" s="7" t="str">
        <f>IF(Table1[[#This Row],[Is Data Valid]]=TRUE,_xlfn.NORM.S.DIST(Table1[[#This Row],[Birthweight Z-Score]],TRUE)*100,"")</f>
        <v/>
      </c>
      <c r="K7219" s="7" t="str">
        <f>IF(Table1[[#This Row],[Is Data Valid]]=TRUE,_xlfn.NORM.S.DIST(Table1[[#This Row],[Birthweight Z-Score (BW-10%)]],TRUE)*100,"")</f>
        <v/>
      </c>
      <c r="L7219" s="7" t="str">
        <f>IF(Table1[[#This Row],[Is Data Valid]]=TRUE,_xlfn.NORM.S.DIST(Table1[[#This Row],[Birthweight Z-Score (BW+10%)]],TRUE)*100,"")</f>
        <v/>
      </c>
    </row>
    <row r="7220" spans="1:12" x14ac:dyDescent="0.35">
      <c r="A7220" s="3"/>
      <c r="B7220" s="2"/>
      <c r="C7220" s="2"/>
      <c r="D7220" s="2" t="b">
        <f>IF(AND(NOT(ISBLANK(Table1[[#This Row],[Fetal Sex (Male, Female or Unknown)]])),ISNUMBER(Table1[[#This Row],[Birthweight (grams)]]),ISNUMBER(Table1[[#This Row],[Gestation (days)]])),TRUE,FALSE)</f>
        <v>0</v>
      </c>
      <c r="E7220" s="2" t="str">
        <f>IF(Table1[[#This Row],[Is Data Valid]]=TRUE,IF(Table1[[#This Row],[Fetal Sex (Male, Female or Unknown)]]="Male",Backend!$C$6,IF(Table1[[#This Row],[Fetal Sex (Male, Female or Unknown)]]="Female",Backend!$C$7,IF(Table1[[#This Row],[Fetal Sex (Male, Female or Unknown)]]="Unknown",Backend!$C$8,"Error"))),"")</f>
        <v/>
      </c>
      <c r="F7220" s="8" t="str">
        <f>IF(Table1[[#This Row],[Is Data Valid]]=TRUE,EXP(0.578+0.332*((Table1[[#This Row],[Gestation (days)]]+0.5)/7)-0.00354*((Table1[[#This Row],[Gestation (days)]]+0.5)/7)^2)*Table1[[#This Row],[BW40_3705]],"")</f>
        <v/>
      </c>
      <c r="G7220" s="2" t="str">
        <f>IF(Table1[[#This Row],[Is Data Valid]]=TRUE,((Table1[[#This Row],[Birthweight (grams)]]/Table1[[#This Row],[BW_GA]])-1)/(Backend!$B$4/100*Table1[[#This Row],[BW40_3705]]),"")</f>
        <v/>
      </c>
      <c r="H7220" s="7" t="str">
        <f>IF(Table1[[#This Row],[Is Data Valid]]=TRUE,((Table1[[#This Row],[Birthweight (grams)]]*0.9/Table1[[#This Row],[BW_GA]])-1)/(Backend!$B$4/100*Table1[[#This Row],[BW40_3705]]),"")</f>
        <v/>
      </c>
      <c r="I7220" s="7" t="str">
        <f>IF(Table1[[#This Row],[Is Data Valid]]=TRUE,((Table1[[#This Row],[Birthweight (grams)]]*1.1/Table1[[#This Row],[BW_GA]])-1)/(Backend!$B$4/100*Table1[[#This Row],[BW40_3705]]),"")</f>
        <v/>
      </c>
      <c r="J7220" s="7" t="str">
        <f>IF(Table1[[#This Row],[Is Data Valid]]=TRUE,_xlfn.NORM.S.DIST(Table1[[#This Row],[Birthweight Z-Score]],TRUE)*100,"")</f>
        <v/>
      </c>
      <c r="K7220" s="7" t="str">
        <f>IF(Table1[[#This Row],[Is Data Valid]]=TRUE,_xlfn.NORM.S.DIST(Table1[[#This Row],[Birthweight Z-Score (BW-10%)]],TRUE)*100,"")</f>
        <v/>
      </c>
      <c r="L7220" s="7" t="str">
        <f>IF(Table1[[#This Row],[Is Data Valid]]=TRUE,_xlfn.NORM.S.DIST(Table1[[#This Row],[Birthweight Z-Score (BW+10%)]],TRUE)*100,"")</f>
        <v/>
      </c>
    </row>
    <row r="7221" spans="1:12" x14ac:dyDescent="0.35">
      <c r="A7221" s="3"/>
      <c r="B7221" s="2"/>
      <c r="C7221" s="2"/>
      <c r="D7221" s="2" t="b">
        <f>IF(AND(NOT(ISBLANK(Table1[[#This Row],[Fetal Sex (Male, Female or Unknown)]])),ISNUMBER(Table1[[#This Row],[Birthweight (grams)]]),ISNUMBER(Table1[[#This Row],[Gestation (days)]])),TRUE,FALSE)</f>
        <v>0</v>
      </c>
      <c r="E7221" s="2" t="str">
        <f>IF(Table1[[#This Row],[Is Data Valid]]=TRUE,IF(Table1[[#This Row],[Fetal Sex (Male, Female or Unknown)]]="Male",Backend!$C$6,IF(Table1[[#This Row],[Fetal Sex (Male, Female or Unknown)]]="Female",Backend!$C$7,IF(Table1[[#This Row],[Fetal Sex (Male, Female or Unknown)]]="Unknown",Backend!$C$8,"Error"))),"")</f>
        <v/>
      </c>
      <c r="F7221" s="8" t="str">
        <f>IF(Table1[[#This Row],[Is Data Valid]]=TRUE,EXP(0.578+0.332*((Table1[[#This Row],[Gestation (days)]]+0.5)/7)-0.00354*((Table1[[#This Row],[Gestation (days)]]+0.5)/7)^2)*Table1[[#This Row],[BW40_3705]],"")</f>
        <v/>
      </c>
      <c r="G7221" s="2" t="str">
        <f>IF(Table1[[#This Row],[Is Data Valid]]=TRUE,((Table1[[#This Row],[Birthweight (grams)]]/Table1[[#This Row],[BW_GA]])-1)/(Backend!$B$4/100*Table1[[#This Row],[BW40_3705]]),"")</f>
        <v/>
      </c>
      <c r="H7221" s="7" t="str">
        <f>IF(Table1[[#This Row],[Is Data Valid]]=TRUE,((Table1[[#This Row],[Birthweight (grams)]]*0.9/Table1[[#This Row],[BW_GA]])-1)/(Backend!$B$4/100*Table1[[#This Row],[BW40_3705]]),"")</f>
        <v/>
      </c>
      <c r="I7221" s="7" t="str">
        <f>IF(Table1[[#This Row],[Is Data Valid]]=TRUE,((Table1[[#This Row],[Birthweight (grams)]]*1.1/Table1[[#This Row],[BW_GA]])-1)/(Backend!$B$4/100*Table1[[#This Row],[BW40_3705]]),"")</f>
        <v/>
      </c>
      <c r="J7221" s="7" t="str">
        <f>IF(Table1[[#This Row],[Is Data Valid]]=TRUE,_xlfn.NORM.S.DIST(Table1[[#This Row],[Birthweight Z-Score]],TRUE)*100,"")</f>
        <v/>
      </c>
      <c r="K7221" s="7" t="str">
        <f>IF(Table1[[#This Row],[Is Data Valid]]=TRUE,_xlfn.NORM.S.DIST(Table1[[#This Row],[Birthweight Z-Score (BW-10%)]],TRUE)*100,"")</f>
        <v/>
      </c>
      <c r="L7221" s="7" t="str">
        <f>IF(Table1[[#This Row],[Is Data Valid]]=TRUE,_xlfn.NORM.S.DIST(Table1[[#This Row],[Birthweight Z-Score (BW+10%)]],TRUE)*100,"")</f>
        <v/>
      </c>
    </row>
    <row r="7222" spans="1:12" x14ac:dyDescent="0.35">
      <c r="A7222" s="3"/>
      <c r="B7222" s="2"/>
      <c r="C7222" s="2"/>
      <c r="D7222" s="2" t="b">
        <f>IF(AND(NOT(ISBLANK(Table1[[#This Row],[Fetal Sex (Male, Female or Unknown)]])),ISNUMBER(Table1[[#This Row],[Birthweight (grams)]]),ISNUMBER(Table1[[#This Row],[Gestation (days)]])),TRUE,FALSE)</f>
        <v>0</v>
      </c>
      <c r="E7222" s="2" t="str">
        <f>IF(Table1[[#This Row],[Is Data Valid]]=TRUE,IF(Table1[[#This Row],[Fetal Sex (Male, Female or Unknown)]]="Male",Backend!$C$6,IF(Table1[[#This Row],[Fetal Sex (Male, Female or Unknown)]]="Female",Backend!$C$7,IF(Table1[[#This Row],[Fetal Sex (Male, Female or Unknown)]]="Unknown",Backend!$C$8,"Error"))),"")</f>
        <v/>
      </c>
      <c r="F7222" s="8" t="str">
        <f>IF(Table1[[#This Row],[Is Data Valid]]=TRUE,EXP(0.578+0.332*((Table1[[#This Row],[Gestation (days)]]+0.5)/7)-0.00354*((Table1[[#This Row],[Gestation (days)]]+0.5)/7)^2)*Table1[[#This Row],[BW40_3705]],"")</f>
        <v/>
      </c>
      <c r="G7222" s="2" t="str">
        <f>IF(Table1[[#This Row],[Is Data Valid]]=TRUE,((Table1[[#This Row],[Birthweight (grams)]]/Table1[[#This Row],[BW_GA]])-1)/(Backend!$B$4/100*Table1[[#This Row],[BW40_3705]]),"")</f>
        <v/>
      </c>
      <c r="H7222" s="7" t="str">
        <f>IF(Table1[[#This Row],[Is Data Valid]]=TRUE,((Table1[[#This Row],[Birthweight (grams)]]*0.9/Table1[[#This Row],[BW_GA]])-1)/(Backend!$B$4/100*Table1[[#This Row],[BW40_3705]]),"")</f>
        <v/>
      </c>
      <c r="I7222" s="7" t="str">
        <f>IF(Table1[[#This Row],[Is Data Valid]]=TRUE,((Table1[[#This Row],[Birthweight (grams)]]*1.1/Table1[[#This Row],[BW_GA]])-1)/(Backend!$B$4/100*Table1[[#This Row],[BW40_3705]]),"")</f>
        <v/>
      </c>
      <c r="J7222" s="7" t="str">
        <f>IF(Table1[[#This Row],[Is Data Valid]]=TRUE,_xlfn.NORM.S.DIST(Table1[[#This Row],[Birthweight Z-Score]],TRUE)*100,"")</f>
        <v/>
      </c>
      <c r="K7222" s="7" t="str">
        <f>IF(Table1[[#This Row],[Is Data Valid]]=TRUE,_xlfn.NORM.S.DIST(Table1[[#This Row],[Birthweight Z-Score (BW-10%)]],TRUE)*100,"")</f>
        <v/>
      </c>
      <c r="L7222" s="7" t="str">
        <f>IF(Table1[[#This Row],[Is Data Valid]]=TRUE,_xlfn.NORM.S.DIST(Table1[[#This Row],[Birthweight Z-Score (BW+10%)]],TRUE)*100,"")</f>
        <v/>
      </c>
    </row>
    <row r="7223" spans="1:12" x14ac:dyDescent="0.35">
      <c r="A7223" s="3"/>
      <c r="B7223" s="2"/>
      <c r="C7223" s="2"/>
      <c r="D7223" s="2" t="b">
        <f>IF(AND(NOT(ISBLANK(Table1[[#This Row],[Fetal Sex (Male, Female or Unknown)]])),ISNUMBER(Table1[[#This Row],[Birthweight (grams)]]),ISNUMBER(Table1[[#This Row],[Gestation (days)]])),TRUE,FALSE)</f>
        <v>0</v>
      </c>
      <c r="E7223" s="2" t="str">
        <f>IF(Table1[[#This Row],[Is Data Valid]]=TRUE,IF(Table1[[#This Row],[Fetal Sex (Male, Female or Unknown)]]="Male",Backend!$C$6,IF(Table1[[#This Row],[Fetal Sex (Male, Female or Unknown)]]="Female",Backend!$C$7,IF(Table1[[#This Row],[Fetal Sex (Male, Female or Unknown)]]="Unknown",Backend!$C$8,"Error"))),"")</f>
        <v/>
      </c>
      <c r="F7223" s="8" t="str">
        <f>IF(Table1[[#This Row],[Is Data Valid]]=TRUE,EXP(0.578+0.332*((Table1[[#This Row],[Gestation (days)]]+0.5)/7)-0.00354*((Table1[[#This Row],[Gestation (days)]]+0.5)/7)^2)*Table1[[#This Row],[BW40_3705]],"")</f>
        <v/>
      </c>
      <c r="G7223" s="2" t="str">
        <f>IF(Table1[[#This Row],[Is Data Valid]]=TRUE,((Table1[[#This Row],[Birthweight (grams)]]/Table1[[#This Row],[BW_GA]])-1)/(Backend!$B$4/100*Table1[[#This Row],[BW40_3705]]),"")</f>
        <v/>
      </c>
      <c r="H7223" s="7" t="str">
        <f>IF(Table1[[#This Row],[Is Data Valid]]=TRUE,((Table1[[#This Row],[Birthweight (grams)]]*0.9/Table1[[#This Row],[BW_GA]])-1)/(Backend!$B$4/100*Table1[[#This Row],[BW40_3705]]),"")</f>
        <v/>
      </c>
      <c r="I7223" s="7" t="str">
        <f>IF(Table1[[#This Row],[Is Data Valid]]=TRUE,((Table1[[#This Row],[Birthweight (grams)]]*1.1/Table1[[#This Row],[BW_GA]])-1)/(Backend!$B$4/100*Table1[[#This Row],[BW40_3705]]),"")</f>
        <v/>
      </c>
      <c r="J7223" s="7" t="str">
        <f>IF(Table1[[#This Row],[Is Data Valid]]=TRUE,_xlfn.NORM.S.DIST(Table1[[#This Row],[Birthweight Z-Score]],TRUE)*100,"")</f>
        <v/>
      </c>
      <c r="K7223" s="7" t="str">
        <f>IF(Table1[[#This Row],[Is Data Valid]]=TRUE,_xlfn.NORM.S.DIST(Table1[[#This Row],[Birthweight Z-Score (BW-10%)]],TRUE)*100,"")</f>
        <v/>
      </c>
      <c r="L7223" s="7" t="str">
        <f>IF(Table1[[#This Row],[Is Data Valid]]=TRUE,_xlfn.NORM.S.DIST(Table1[[#This Row],[Birthweight Z-Score (BW+10%)]],TRUE)*100,"")</f>
        <v/>
      </c>
    </row>
    <row r="7224" spans="1:12" x14ac:dyDescent="0.35">
      <c r="A7224" s="3"/>
      <c r="B7224" s="2"/>
      <c r="C7224" s="2"/>
      <c r="D7224" s="2" t="b">
        <f>IF(AND(NOT(ISBLANK(Table1[[#This Row],[Fetal Sex (Male, Female or Unknown)]])),ISNUMBER(Table1[[#This Row],[Birthweight (grams)]]),ISNUMBER(Table1[[#This Row],[Gestation (days)]])),TRUE,FALSE)</f>
        <v>0</v>
      </c>
      <c r="E7224" s="2" t="str">
        <f>IF(Table1[[#This Row],[Is Data Valid]]=TRUE,IF(Table1[[#This Row],[Fetal Sex (Male, Female or Unknown)]]="Male",Backend!$C$6,IF(Table1[[#This Row],[Fetal Sex (Male, Female or Unknown)]]="Female",Backend!$C$7,IF(Table1[[#This Row],[Fetal Sex (Male, Female or Unknown)]]="Unknown",Backend!$C$8,"Error"))),"")</f>
        <v/>
      </c>
      <c r="F7224" s="8" t="str">
        <f>IF(Table1[[#This Row],[Is Data Valid]]=TRUE,EXP(0.578+0.332*((Table1[[#This Row],[Gestation (days)]]+0.5)/7)-0.00354*((Table1[[#This Row],[Gestation (days)]]+0.5)/7)^2)*Table1[[#This Row],[BW40_3705]],"")</f>
        <v/>
      </c>
      <c r="G7224" s="2" t="str">
        <f>IF(Table1[[#This Row],[Is Data Valid]]=TRUE,((Table1[[#This Row],[Birthweight (grams)]]/Table1[[#This Row],[BW_GA]])-1)/(Backend!$B$4/100*Table1[[#This Row],[BW40_3705]]),"")</f>
        <v/>
      </c>
      <c r="H7224" s="7" t="str">
        <f>IF(Table1[[#This Row],[Is Data Valid]]=TRUE,((Table1[[#This Row],[Birthweight (grams)]]*0.9/Table1[[#This Row],[BW_GA]])-1)/(Backend!$B$4/100*Table1[[#This Row],[BW40_3705]]),"")</f>
        <v/>
      </c>
      <c r="I7224" s="7" t="str">
        <f>IF(Table1[[#This Row],[Is Data Valid]]=TRUE,((Table1[[#This Row],[Birthweight (grams)]]*1.1/Table1[[#This Row],[BW_GA]])-1)/(Backend!$B$4/100*Table1[[#This Row],[BW40_3705]]),"")</f>
        <v/>
      </c>
      <c r="J7224" s="7" t="str">
        <f>IF(Table1[[#This Row],[Is Data Valid]]=TRUE,_xlfn.NORM.S.DIST(Table1[[#This Row],[Birthweight Z-Score]],TRUE)*100,"")</f>
        <v/>
      </c>
      <c r="K7224" s="7" t="str">
        <f>IF(Table1[[#This Row],[Is Data Valid]]=TRUE,_xlfn.NORM.S.DIST(Table1[[#This Row],[Birthweight Z-Score (BW-10%)]],TRUE)*100,"")</f>
        <v/>
      </c>
      <c r="L7224" s="7" t="str">
        <f>IF(Table1[[#This Row],[Is Data Valid]]=TRUE,_xlfn.NORM.S.DIST(Table1[[#This Row],[Birthweight Z-Score (BW+10%)]],TRUE)*100,"")</f>
        <v/>
      </c>
    </row>
    <row r="7225" spans="1:12" x14ac:dyDescent="0.35">
      <c r="A7225" s="3"/>
      <c r="B7225" s="2"/>
      <c r="C7225" s="2"/>
      <c r="D7225" s="2" t="b">
        <f>IF(AND(NOT(ISBLANK(Table1[[#This Row],[Fetal Sex (Male, Female or Unknown)]])),ISNUMBER(Table1[[#This Row],[Birthweight (grams)]]),ISNUMBER(Table1[[#This Row],[Gestation (days)]])),TRUE,FALSE)</f>
        <v>0</v>
      </c>
      <c r="E7225" s="2" t="str">
        <f>IF(Table1[[#This Row],[Is Data Valid]]=TRUE,IF(Table1[[#This Row],[Fetal Sex (Male, Female or Unknown)]]="Male",Backend!$C$6,IF(Table1[[#This Row],[Fetal Sex (Male, Female or Unknown)]]="Female",Backend!$C$7,IF(Table1[[#This Row],[Fetal Sex (Male, Female or Unknown)]]="Unknown",Backend!$C$8,"Error"))),"")</f>
        <v/>
      </c>
      <c r="F7225" s="8" t="str">
        <f>IF(Table1[[#This Row],[Is Data Valid]]=TRUE,EXP(0.578+0.332*((Table1[[#This Row],[Gestation (days)]]+0.5)/7)-0.00354*((Table1[[#This Row],[Gestation (days)]]+0.5)/7)^2)*Table1[[#This Row],[BW40_3705]],"")</f>
        <v/>
      </c>
      <c r="G7225" s="2" t="str">
        <f>IF(Table1[[#This Row],[Is Data Valid]]=TRUE,((Table1[[#This Row],[Birthweight (grams)]]/Table1[[#This Row],[BW_GA]])-1)/(Backend!$B$4/100*Table1[[#This Row],[BW40_3705]]),"")</f>
        <v/>
      </c>
      <c r="H7225" s="7" t="str">
        <f>IF(Table1[[#This Row],[Is Data Valid]]=TRUE,((Table1[[#This Row],[Birthweight (grams)]]*0.9/Table1[[#This Row],[BW_GA]])-1)/(Backend!$B$4/100*Table1[[#This Row],[BW40_3705]]),"")</f>
        <v/>
      </c>
      <c r="I7225" s="7" t="str">
        <f>IF(Table1[[#This Row],[Is Data Valid]]=TRUE,((Table1[[#This Row],[Birthweight (grams)]]*1.1/Table1[[#This Row],[BW_GA]])-1)/(Backend!$B$4/100*Table1[[#This Row],[BW40_3705]]),"")</f>
        <v/>
      </c>
      <c r="J7225" s="7" t="str">
        <f>IF(Table1[[#This Row],[Is Data Valid]]=TRUE,_xlfn.NORM.S.DIST(Table1[[#This Row],[Birthweight Z-Score]],TRUE)*100,"")</f>
        <v/>
      </c>
      <c r="K7225" s="7" t="str">
        <f>IF(Table1[[#This Row],[Is Data Valid]]=TRUE,_xlfn.NORM.S.DIST(Table1[[#This Row],[Birthweight Z-Score (BW-10%)]],TRUE)*100,"")</f>
        <v/>
      </c>
      <c r="L7225" s="7" t="str">
        <f>IF(Table1[[#This Row],[Is Data Valid]]=TRUE,_xlfn.NORM.S.DIST(Table1[[#This Row],[Birthweight Z-Score (BW+10%)]],TRUE)*100,"")</f>
        <v/>
      </c>
    </row>
    <row r="7226" spans="1:12" x14ac:dyDescent="0.35">
      <c r="A7226" s="3"/>
      <c r="B7226" s="2"/>
      <c r="C7226" s="2"/>
      <c r="D7226" s="2" t="b">
        <f>IF(AND(NOT(ISBLANK(Table1[[#This Row],[Fetal Sex (Male, Female or Unknown)]])),ISNUMBER(Table1[[#This Row],[Birthweight (grams)]]),ISNUMBER(Table1[[#This Row],[Gestation (days)]])),TRUE,FALSE)</f>
        <v>0</v>
      </c>
      <c r="E7226" s="2" t="str">
        <f>IF(Table1[[#This Row],[Is Data Valid]]=TRUE,IF(Table1[[#This Row],[Fetal Sex (Male, Female or Unknown)]]="Male",Backend!$C$6,IF(Table1[[#This Row],[Fetal Sex (Male, Female or Unknown)]]="Female",Backend!$C$7,IF(Table1[[#This Row],[Fetal Sex (Male, Female or Unknown)]]="Unknown",Backend!$C$8,"Error"))),"")</f>
        <v/>
      </c>
      <c r="F7226" s="8" t="str">
        <f>IF(Table1[[#This Row],[Is Data Valid]]=TRUE,EXP(0.578+0.332*((Table1[[#This Row],[Gestation (days)]]+0.5)/7)-0.00354*((Table1[[#This Row],[Gestation (days)]]+0.5)/7)^2)*Table1[[#This Row],[BW40_3705]],"")</f>
        <v/>
      </c>
      <c r="G7226" s="2" t="str">
        <f>IF(Table1[[#This Row],[Is Data Valid]]=TRUE,((Table1[[#This Row],[Birthweight (grams)]]/Table1[[#This Row],[BW_GA]])-1)/(Backend!$B$4/100*Table1[[#This Row],[BW40_3705]]),"")</f>
        <v/>
      </c>
      <c r="H7226" s="7" t="str">
        <f>IF(Table1[[#This Row],[Is Data Valid]]=TRUE,((Table1[[#This Row],[Birthweight (grams)]]*0.9/Table1[[#This Row],[BW_GA]])-1)/(Backend!$B$4/100*Table1[[#This Row],[BW40_3705]]),"")</f>
        <v/>
      </c>
      <c r="I7226" s="7" t="str">
        <f>IF(Table1[[#This Row],[Is Data Valid]]=TRUE,((Table1[[#This Row],[Birthweight (grams)]]*1.1/Table1[[#This Row],[BW_GA]])-1)/(Backend!$B$4/100*Table1[[#This Row],[BW40_3705]]),"")</f>
        <v/>
      </c>
      <c r="J7226" s="7" t="str">
        <f>IF(Table1[[#This Row],[Is Data Valid]]=TRUE,_xlfn.NORM.S.DIST(Table1[[#This Row],[Birthweight Z-Score]],TRUE)*100,"")</f>
        <v/>
      </c>
      <c r="K7226" s="7" t="str">
        <f>IF(Table1[[#This Row],[Is Data Valid]]=TRUE,_xlfn.NORM.S.DIST(Table1[[#This Row],[Birthweight Z-Score (BW-10%)]],TRUE)*100,"")</f>
        <v/>
      </c>
      <c r="L7226" s="7" t="str">
        <f>IF(Table1[[#This Row],[Is Data Valid]]=TRUE,_xlfn.NORM.S.DIST(Table1[[#This Row],[Birthweight Z-Score (BW+10%)]],TRUE)*100,"")</f>
        <v/>
      </c>
    </row>
    <row r="7227" spans="1:12" x14ac:dyDescent="0.35">
      <c r="A7227" s="3"/>
      <c r="B7227" s="2"/>
      <c r="C7227" s="2"/>
      <c r="D7227" s="2" t="b">
        <f>IF(AND(NOT(ISBLANK(Table1[[#This Row],[Fetal Sex (Male, Female or Unknown)]])),ISNUMBER(Table1[[#This Row],[Birthweight (grams)]]),ISNUMBER(Table1[[#This Row],[Gestation (days)]])),TRUE,FALSE)</f>
        <v>0</v>
      </c>
      <c r="E7227" s="2" t="str">
        <f>IF(Table1[[#This Row],[Is Data Valid]]=TRUE,IF(Table1[[#This Row],[Fetal Sex (Male, Female or Unknown)]]="Male",Backend!$C$6,IF(Table1[[#This Row],[Fetal Sex (Male, Female or Unknown)]]="Female",Backend!$C$7,IF(Table1[[#This Row],[Fetal Sex (Male, Female or Unknown)]]="Unknown",Backend!$C$8,"Error"))),"")</f>
        <v/>
      </c>
      <c r="F7227" s="8" t="str">
        <f>IF(Table1[[#This Row],[Is Data Valid]]=TRUE,EXP(0.578+0.332*((Table1[[#This Row],[Gestation (days)]]+0.5)/7)-0.00354*((Table1[[#This Row],[Gestation (days)]]+0.5)/7)^2)*Table1[[#This Row],[BW40_3705]],"")</f>
        <v/>
      </c>
      <c r="G7227" s="2" t="str">
        <f>IF(Table1[[#This Row],[Is Data Valid]]=TRUE,((Table1[[#This Row],[Birthweight (grams)]]/Table1[[#This Row],[BW_GA]])-1)/(Backend!$B$4/100*Table1[[#This Row],[BW40_3705]]),"")</f>
        <v/>
      </c>
      <c r="H7227" s="7" t="str">
        <f>IF(Table1[[#This Row],[Is Data Valid]]=TRUE,((Table1[[#This Row],[Birthweight (grams)]]*0.9/Table1[[#This Row],[BW_GA]])-1)/(Backend!$B$4/100*Table1[[#This Row],[BW40_3705]]),"")</f>
        <v/>
      </c>
      <c r="I7227" s="7" t="str">
        <f>IF(Table1[[#This Row],[Is Data Valid]]=TRUE,((Table1[[#This Row],[Birthweight (grams)]]*1.1/Table1[[#This Row],[BW_GA]])-1)/(Backend!$B$4/100*Table1[[#This Row],[BW40_3705]]),"")</f>
        <v/>
      </c>
      <c r="J7227" s="7" t="str">
        <f>IF(Table1[[#This Row],[Is Data Valid]]=TRUE,_xlfn.NORM.S.DIST(Table1[[#This Row],[Birthweight Z-Score]],TRUE)*100,"")</f>
        <v/>
      </c>
      <c r="K7227" s="7" t="str">
        <f>IF(Table1[[#This Row],[Is Data Valid]]=TRUE,_xlfn.NORM.S.DIST(Table1[[#This Row],[Birthweight Z-Score (BW-10%)]],TRUE)*100,"")</f>
        <v/>
      </c>
      <c r="L7227" s="7" t="str">
        <f>IF(Table1[[#This Row],[Is Data Valid]]=TRUE,_xlfn.NORM.S.DIST(Table1[[#This Row],[Birthweight Z-Score (BW+10%)]],TRUE)*100,"")</f>
        <v/>
      </c>
    </row>
    <row r="7228" spans="1:12" x14ac:dyDescent="0.35">
      <c r="A7228" s="3"/>
      <c r="B7228" s="2"/>
      <c r="C7228" s="2"/>
      <c r="D7228" s="2" t="b">
        <f>IF(AND(NOT(ISBLANK(Table1[[#This Row],[Fetal Sex (Male, Female or Unknown)]])),ISNUMBER(Table1[[#This Row],[Birthweight (grams)]]),ISNUMBER(Table1[[#This Row],[Gestation (days)]])),TRUE,FALSE)</f>
        <v>0</v>
      </c>
      <c r="E7228" s="2" t="str">
        <f>IF(Table1[[#This Row],[Is Data Valid]]=TRUE,IF(Table1[[#This Row],[Fetal Sex (Male, Female or Unknown)]]="Male",Backend!$C$6,IF(Table1[[#This Row],[Fetal Sex (Male, Female or Unknown)]]="Female",Backend!$C$7,IF(Table1[[#This Row],[Fetal Sex (Male, Female or Unknown)]]="Unknown",Backend!$C$8,"Error"))),"")</f>
        <v/>
      </c>
      <c r="F7228" s="8" t="str">
        <f>IF(Table1[[#This Row],[Is Data Valid]]=TRUE,EXP(0.578+0.332*((Table1[[#This Row],[Gestation (days)]]+0.5)/7)-0.00354*((Table1[[#This Row],[Gestation (days)]]+0.5)/7)^2)*Table1[[#This Row],[BW40_3705]],"")</f>
        <v/>
      </c>
      <c r="G7228" s="2" t="str">
        <f>IF(Table1[[#This Row],[Is Data Valid]]=TRUE,((Table1[[#This Row],[Birthweight (grams)]]/Table1[[#This Row],[BW_GA]])-1)/(Backend!$B$4/100*Table1[[#This Row],[BW40_3705]]),"")</f>
        <v/>
      </c>
      <c r="H7228" s="7" t="str">
        <f>IF(Table1[[#This Row],[Is Data Valid]]=TRUE,((Table1[[#This Row],[Birthweight (grams)]]*0.9/Table1[[#This Row],[BW_GA]])-1)/(Backend!$B$4/100*Table1[[#This Row],[BW40_3705]]),"")</f>
        <v/>
      </c>
      <c r="I7228" s="7" t="str">
        <f>IF(Table1[[#This Row],[Is Data Valid]]=TRUE,((Table1[[#This Row],[Birthweight (grams)]]*1.1/Table1[[#This Row],[BW_GA]])-1)/(Backend!$B$4/100*Table1[[#This Row],[BW40_3705]]),"")</f>
        <v/>
      </c>
      <c r="J7228" s="7" t="str">
        <f>IF(Table1[[#This Row],[Is Data Valid]]=TRUE,_xlfn.NORM.S.DIST(Table1[[#This Row],[Birthweight Z-Score]],TRUE)*100,"")</f>
        <v/>
      </c>
      <c r="K7228" s="7" t="str">
        <f>IF(Table1[[#This Row],[Is Data Valid]]=TRUE,_xlfn.NORM.S.DIST(Table1[[#This Row],[Birthweight Z-Score (BW-10%)]],TRUE)*100,"")</f>
        <v/>
      </c>
      <c r="L7228" s="7" t="str">
        <f>IF(Table1[[#This Row],[Is Data Valid]]=TRUE,_xlfn.NORM.S.DIST(Table1[[#This Row],[Birthweight Z-Score (BW+10%)]],TRUE)*100,"")</f>
        <v/>
      </c>
    </row>
    <row r="7229" spans="1:12" x14ac:dyDescent="0.35">
      <c r="A7229" s="3"/>
      <c r="B7229" s="2"/>
      <c r="C7229" s="2"/>
      <c r="D7229" s="2" t="b">
        <f>IF(AND(NOT(ISBLANK(Table1[[#This Row],[Fetal Sex (Male, Female or Unknown)]])),ISNUMBER(Table1[[#This Row],[Birthweight (grams)]]),ISNUMBER(Table1[[#This Row],[Gestation (days)]])),TRUE,FALSE)</f>
        <v>0</v>
      </c>
      <c r="E7229" s="2" t="str">
        <f>IF(Table1[[#This Row],[Is Data Valid]]=TRUE,IF(Table1[[#This Row],[Fetal Sex (Male, Female or Unknown)]]="Male",Backend!$C$6,IF(Table1[[#This Row],[Fetal Sex (Male, Female or Unknown)]]="Female",Backend!$C$7,IF(Table1[[#This Row],[Fetal Sex (Male, Female or Unknown)]]="Unknown",Backend!$C$8,"Error"))),"")</f>
        <v/>
      </c>
      <c r="F7229" s="8" t="str">
        <f>IF(Table1[[#This Row],[Is Data Valid]]=TRUE,EXP(0.578+0.332*((Table1[[#This Row],[Gestation (days)]]+0.5)/7)-0.00354*((Table1[[#This Row],[Gestation (days)]]+0.5)/7)^2)*Table1[[#This Row],[BW40_3705]],"")</f>
        <v/>
      </c>
      <c r="G7229" s="2" t="str">
        <f>IF(Table1[[#This Row],[Is Data Valid]]=TRUE,((Table1[[#This Row],[Birthweight (grams)]]/Table1[[#This Row],[BW_GA]])-1)/(Backend!$B$4/100*Table1[[#This Row],[BW40_3705]]),"")</f>
        <v/>
      </c>
      <c r="H7229" s="7" t="str">
        <f>IF(Table1[[#This Row],[Is Data Valid]]=TRUE,((Table1[[#This Row],[Birthweight (grams)]]*0.9/Table1[[#This Row],[BW_GA]])-1)/(Backend!$B$4/100*Table1[[#This Row],[BW40_3705]]),"")</f>
        <v/>
      </c>
      <c r="I7229" s="7" t="str">
        <f>IF(Table1[[#This Row],[Is Data Valid]]=TRUE,((Table1[[#This Row],[Birthweight (grams)]]*1.1/Table1[[#This Row],[BW_GA]])-1)/(Backend!$B$4/100*Table1[[#This Row],[BW40_3705]]),"")</f>
        <v/>
      </c>
      <c r="J7229" s="7" t="str">
        <f>IF(Table1[[#This Row],[Is Data Valid]]=TRUE,_xlfn.NORM.S.DIST(Table1[[#This Row],[Birthweight Z-Score]],TRUE)*100,"")</f>
        <v/>
      </c>
      <c r="K7229" s="7" t="str">
        <f>IF(Table1[[#This Row],[Is Data Valid]]=TRUE,_xlfn.NORM.S.DIST(Table1[[#This Row],[Birthweight Z-Score (BW-10%)]],TRUE)*100,"")</f>
        <v/>
      </c>
      <c r="L7229" s="7" t="str">
        <f>IF(Table1[[#This Row],[Is Data Valid]]=TRUE,_xlfn.NORM.S.DIST(Table1[[#This Row],[Birthweight Z-Score (BW+10%)]],TRUE)*100,"")</f>
        <v/>
      </c>
    </row>
    <row r="7230" spans="1:12" x14ac:dyDescent="0.35">
      <c r="A7230" s="3"/>
      <c r="B7230" s="2"/>
      <c r="C7230" s="2"/>
      <c r="D7230" s="2" t="b">
        <f>IF(AND(NOT(ISBLANK(Table1[[#This Row],[Fetal Sex (Male, Female or Unknown)]])),ISNUMBER(Table1[[#This Row],[Birthweight (grams)]]),ISNUMBER(Table1[[#This Row],[Gestation (days)]])),TRUE,FALSE)</f>
        <v>0</v>
      </c>
      <c r="E7230" s="2" t="str">
        <f>IF(Table1[[#This Row],[Is Data Valid]]=TRUE,IF(Table1[[#This Row],[Fetal Sex (Male, Female or Unknown)]]="Male",Backend!$C$6,IF(Table1[[#This Row],[Fetal Sex (Male, Female or Unknown)]]="Female",Backend!$C$7,IF(Table1[[#This Row],[Fetal Sex (Male, Female or Unknown)]]="Unknown",Backend!$C$8,"Error"))),"")</f>
        <v/>
      </c>
      <c r="F7230" s="8" t="str">
        <f>IF(Table1[[#This Row],[Is Data Valid]]=TRUE,EXP(0.578+0.332*((Table1[[#This Row],[Gestation (days)]]+0.5)/7)-0.00354*((Table1[[#This Row],[Gestation (days)]]+0.5)/7)^2)*Table1[[#This Row],[BW40_3705]],"")</f>
        <v/>
      </c>
      <c r="G7230" s="2" t="str">
        <f>IF(Table1[[#This Row],[Is Data Valid]]=TRUE,((Table1[[#This Row],[Birthweight (grams)]]/Table1[[#This Row],[BW_GA]])-1)/(Backend!$B$4/100*Table1[[#This Row],[BW40_3705]]),"")</f>
        <v/>
      </c>
      <c r="H7230" s="7" t="str">
        <f>IF(Table1[[#This Row],[Is Data Valid]]=TRUE,((Table1[[#This Row],[Birthweight (grams)]]*0.9/Table1[[#This Row],[BW_GA]])-1)/(Backend!$B$4/100*Table1[[#This Row],[BW40_3705]]),"")</f>
        <v/>
      </c>
      <c r="I7230" s="7" t="str">
        <f>IF(Table1[[#This Row],[Is Data Valid]]=TRUE,((Table1[[#This Row],[Birthweight (grams)]]*1.1/Table1[[#This Row],[BW_GA]])-1)/(Backend!$B$4/100*Table1[[#This Row],[BW40_3705]]),"")</f>
        <v/>
      </c>
      <c r="J7230" s="7" t="str">
        <f>IF(Table1[[#This Row],[Is Data Valid]]=TRUE,_xlfn.NORM.S.DIST(Table1[[#This Row],[Birthweight Z-Score]],TRUE)*100,"")</f>
        <v/>
      </c>
      <c r="K7230" s="7" t="str">
        <f>IF(Table1[[#This Row],[Is Data Valid]]=TRUE,_xlfn.NORM.S.DIST(Table1[[#This Row],[Birthweight Z-Score (BW-10%)]],TRUE)*100,"")</f>
        <v/>
      </c>
      <c r="L7230" s="7" t="str">
        <f>IF(Table1[[#This Row],[Is Data Valid]]=TRUE,_xlfn.NORM.S.DIST(Table1[[#This Row],[Birthweight Z-Score (BW+10%)]],TRUE)*100,"")</f>
        <v/>
      </c>
    </row>
    <row r="7231" spans="1:12" x14ac:dyDescent="0.35">
      <c r="A7231" s="3"/>
      <c r="B7231" s="2"/>
      <c r="C7231" s="2"/>
      <c r="D7231" s="2" t="b">
        <f>IF(AND(NOT(ISBLANK(Table1[[#This Row],[Fetal Sex (Male, Female or Unknown)]])),ISNUMBER(Table1[[#This Row],[Birthweight (grams)]]),ISNUMBER(Table1[[#This Row],[Gestation (days)]])),TRUE,FALSE)</f>
        <v>0</v>
      </c>
      <c r="E7231" s="2" t="str">
        <f>IF(Table1[[#This Row],[Is Data Valid]]=TRUE,IF(Table1[[#This Row],[Fetal Sex (Male, Female or Unknown)]]="Male",Backend!$C$6,IF(Table1[[#This Row],[Fetal Sex (Male, Female or Unknown)]]="Female",Backend!$C$7,IF(Table1[[#This Row],[Fetal Sex (Male, Female or Unknown)]]="Unknown",Backend!$C$8,"Error"))),"")</f>
        <v/>
      </c>
      <c r="F7231" s="8" t="str">
        <f>IF(Table1[[#This Row],[Is Data Valid]]=TRUE,EXP(0.578+0.332*((Table1[[#This Row],[Gestation (days)]]+0.5)/7)-0.00354*((Table1[[#This Row],[Gestation (days)]]+0.5)/7)^2)*Table1[[#This Row],[BW40_3705]],"")</f>
        <v/>
      </c>
      <c r="G7231" s="2" t="str">
        <f>IF(Table1[[#This Row],[Is Data Valid]]=TRUE,((Table1[[#This Row],[Birthweight (grams)]]/Table1[[#This Row],[BW_GA]])-1)/(Backend!$B$4/100*Table1[[#This Row],[BW40_3705]]),"")</f>
        <v/>
      </c>
      <c r="H7231" s="7" t="str">
        <f>IF(Table1[[#This Row],[Is Data Valid]]=TRUE,((Table1[[#This Row],[Birthweight (grams)]]*0.9/Table1[[#This Row],[BW_GA]])-1)/(Backend!$B$4/100*Table1[[#This Row],[BW40_3705]]),"")</f>
        <v/>
      </c>
      <c r="I7231" s="7" t="str">
        <f>IF(Table1[[#This Row],[Is Data Valid]]=TRUE,((Table1[[#This Row],[Birthweight (grams)]]*1.1/Table1[[#This Row],[BW_GA]])-1)/(Backend!$B$4/100*Table1[[#This Row],[BW40_3705]]),"")</f>
        <v/>
      </c>
      <c r="J7231" s="7" t="str">
        <f>IF(Table1[[#This Row],[Is Data Valid]]=TRUE,_xlfn.NORM.S.DIST(Table1[[#This Row],[Birthweight Z-Score]],TRUE)*100,"")</f>
        <v/>
      </c>
      <c r="K7231" s="7" t="str">
        <f>IF(Table1[[#This Row],[Is Data Valid]]=TRUE,_xlfn.NORM.S.DIST(Table1[[#This Row],[Birthweight Z-Score (BW-10%)]],TRUE)*100,"")</f>
        <v/>
      </c>
      <c r="L7231" s="7" t="str">
        <f>IF(Table1[[#This Row],[Is Data Valid]]=TRUE,_xlfn.NORM.S.DIST(Table1[[#This Row],[Birthweight Z-Score (BW+10%)]],TRUE)*100,"")</f>
        <v/>
      </c>
    </row>
    <row r="7232" spans="1:12" x14ac:dyDescent="0.35">
      <c r="A7232" s="3"/>
      <c r="B7232" s="2"/>
      <c r="C7232" s="2"/>
      <c r="D7232" s="2" t="b">
        <f>IF(AND(NOT(ISBLANK(Table1[[#This Row],[Fetal Sex (Male, Female or Unknown)]])),ISNUMBER(Table1[[#This Row],[Birthweight (grams)]]),ISNUMBER(Table1[[#This Row],[Gestation (days)]])),TRUE,FALSE)</f>
        <v>0</v>
      </c>
      <c r="E7232" s="2" t="str">
        <f>IF(Table1[[#This Row],[Is Data Valid]]=TRUE,IF(Table1[[#This Row],[Fetal Sex (Male, Female or Unknown)]]="Male",Backend!$C$6,IF(Table1[[#This Row],[Fetal Sex (Male, Female or Unknown)]]="Female",Backend!$C$7,IF(Table1[[#This Row],[Fetal Sex (Male, Female or Unknown)]]="Unknown",Backend!$C$8,"Error"))),"")</f>
        <v/>
      </c>
      <c r="F7232" s="8" t="str">
        <f>IF(Table1[[#This Row],[Is Data Valid]]=TRUE,EXP(0.578+0.332*((Table1[[#This Row],[Gestation (days)]]+0.5)/7)-0.00354*((Table1[[#This Row],[Gestation (days)]]+0.5)/7)^2)*Table1[[#This Row],[BW40_3705]],"")</f>
        <v/>
      </c>
      <c r="G7232" s="2" t="str">
        <f>IF(Table1[[#This Row],[Is Data Valid]]=TRUE,((Table1[[#This Row],[Birthweight (grams)]]/Table1[[#This Row],[BW_GA]])-1)/(Backend!$B$4/100*Table1[[#This Row],[BW40_3705]]),"")</f>
        <v/>
      </c>
      <c r="H7232" s="7" t="str">
        <f>IF(Table1[[#This Row],[Is Data Valid]]=TRUE,((Table1[[#This Row],[Birthweight (grams)]]*0.9/Table1[[#This Row],[BW_GA]])-1)/(Backend!$B$4/100*Table1[[#This Row],[BW40_3705]]),"")</f>
        <v/>
      </c>
      <c r="I7232" s="7" t="str">
        <f>IF(Table1[[#This Row],[Is Data Valid]]=TRUE,((Table1[[#This Row],[Birthweight (grams)]]*1.1/Table1[[#This Row],[BW_GA]])-1)/(Backend!$B$4/100*Table1[[#This Row],[BW40_3705]]),"")</f>
        <v/>
      </c>
      <c r="J7232" s="7" t="str">
        <f>IF(Table1[[#This Row],[Is Data Valid]]=TRUE,_xlfn.NORM.S.DIST(Table1[[#This Row],[Birthweight Z-Score]],TRUE)*100,"")</f>
        <v/>
      </c>
      <c r="K7232" s="7" t="str">
        <f>IF(Table1[[#This Row],[Is Data Valid]]=TRUE,_xlfn.NORM.S.DIST(Table1[[#This Row],[Birthweight Z-Score (BW-10%)]],TRUE)*100,"")</f>
        <v/>
      </c>
      <c r="L7232" s="7" t="str">
        <f>IF(Table1[[#This Row],[Is Data Valid]]=TRUE,_xlfn.NORM.S.DIST(Table1[[#This Row],[Birthweight Z-Score (BW+10%)]],TRUE)*100,"")</f>
        <v/>
      </c>
    </row>
    <row r="7233" spans="1:12" x14ac:dyDescent="0.35">
      <c r="A7233" s="3"/>
      <c r="B7233" s="2"/>
      <c r="C7233" s="2"/>
      <c r="D7233" s="2" t="b">
        <f>IF(AND(NOT(ISBLANK(Table1[[#This Row],[Fetal Sex (Male, Female or Unknown)]])),ISNUMBER(Table1[[#This Row],[Birthweight (grams)]]),ISNUMBER(Table1[[#This Row],[Gestation (days)]])),TRUE,FALSE)</f>
        <v>0</v>
      </c>
      <c r="E7233" s="2" t="str">
        <f>IF(Table1[[#This Row],[Is Data Valid]]=TRUE,IF(Table1[[#This Row],[Fetal Sex (Male, Female or Unknown)]]="Male",Backend!$C$6,IF(Table1[[#This Row],[Fetal Sex (Male, Female or Unknown)]]="Female",Backend!$C$7,IF(Table1[[#This Row],[Fetal Sex (Male, Female or Unknown)]]="Unknown",Backend!$C$8,"Error"))),"")</f>
        <v/>
      </c>
      <c r="F7233" s="8" t="str">
        <f>IF(Table1[[#This Row],[Is Data Valid]]=TRUE,EXP(0.578+0.332*((Table1[[#This Row],[Gestation (days)]]+0.5)/7)-0.00354*((Table1[[#This Row],[Gestation (days)]]+0.5)/7)^2)*Table1[[#This Row],[BW40_3705]],"")</f>
        <v/>
      </c>
      <c r="G7233" s="2" t="str">
        <f>IF(Table1[[#This Row],[Is Data Valid]]=TRUE,((Table1[[#This Row],[Birthweight (grams)]]/Table1[[#This Row],[BW_GA]])-1)/(Backend!$B$4/100*Table1[[#This Row],[BW40_3705]]),"")</f>
        <v/>
      </c>
      <c r="H7233" s="7" t="str">
        <f>IF(Table1[[#This Row],[Is Data Valid]]=TRUE,((Table1[[#This Row],[Birthweight (grams)]]*0.9/Table1[[#This Row],[BW_GA]])-1)/(Backend!$B$4/100*Table1[[#This Row],[BW40_3705]]),"")</f>
        <v/>
      </c>
      <c r="I7233" s="7" t="str">
        <f>IF(Table1[[#This Row],[Is Data Valid]]=TRUE,((Table1[[#This Row],[Birthweight (grams)]]*1.1/Table1[[#This Row],[BW_GA]])-1)/(Backend!$B$4/100*Table1[[#This Row],[BW40_3705]]),"")</f>
        <v/>
      </c>
      <c r="J7233" s="7" t="str">
        <f>IF(Table1[[#This Row],[Is Data Valid]]=TRUE,_xlfn.NORM.S.DIST(Table1[[#This Row],[Birthweight Z-Score]],TRUE)*100,"")</f>
        <v/>
      </c>
      <c r="K7233" s="7" t="str">
        <f>IF(Table1[[#This Row],[Is Data Valid]]=TRUE,_xlfn.NORM.S.DIST(Table1[[#This Row],[Birthweight Z-Score (BW-10%)]],TRUE)*100,"")</f>
        <v/>
      </c>
      <c r="L7233" s="7" t="str">
        <f>IF(Table1[[#This Row],[Is Data Valid]]=TRUE,_xlfn.NORM.S.DIST(Table1[[#This Row],[Birthweight Z-Score (BW+10%)]],TRUE)*100,"")</f>
        <v/>
      </c>
    </row>
    <row r="7234" spans="1:12" x14ac:dyDescent="0.35">
      <c r="A7234" s="3"/>
      <c r="B7234" s="2"/>
      <c r="C7234" s="2"/>
      <c r="D7234" s="2" t="b">
        <f>IF(AND(NOT(ISBLANK(Table1[[#This Row],[Fetal Sex (Male, Female or Unknown)]])),ISNUMBER(Table1[[#This Row],[Birthweight (grams)]]),ISNUMBER(Table1[[#This Row],[Gestation (days)]])),TRUE,FALSE)</f>
        <v>0</v>
      </c>
      <c r="E7234" s="2" t="str">
        <f>IF(Table1[[#This Row],[Is Data Valid]]=TRUE,IF(Table1[[#This Row],[Fetal Sex (Male, Female or Unknown)]]="Male",Backend!$C$6,IF(Table1[[#This Row],[Fetal Sex (Male, Female or Unknown)]]="Female",Backend!$C$7,IF(Table1[[#This Row],[Fetal Sex (Male, Female or Unknown)]]="Unknown",Backend!$C$8,"Error"))),"")</f>
        <v/>
      </c>
      <c r="F7234" s="8" t="str">
        <f>IF(Table1[[#This Row],[Is Data Valid]]=TRUE,EXP(0.578+0.332*((Table1[[#This Row],[Gestation (days)]]+0.5)/7)-0.00354*((Table1[[#This Row],[Gestation (days)]]+0.5)/7)^2)*Table1[[#This Row],[BW40_3705]],"")</f>
        <v/>
      </c>
      <c r="G7234" s="2" t="str">
        <f>IF(Table1[[#This Row],[Is Data Valid]]=TRUE,((Table1[[#This Row],[Birthweight (grams)]]/Table1[[#This Row],[BW_GA]])-1)/(Backend!$B$4/100*Table1[[#This Row],[BW40_3705]]),"")</f>
        <v/>
      </c>
      <c r="H7234" s="7" t="str">
        <f>IF(Table1[[#This Row],[Is Data Valid]]=TRUE,((Table1[[#This Row],[Birthweight (grams)]]*0.9/Table1[[#This Row],[BW_GA]])-1)/(Backend!$B$4/100*Table1[[#This Row],[BW40_3705]]),"")</f>
        <v/>
      </c>
      <c r="I7234" s="7" t="str">
        <f>IF(Table1[[#This Row],[Is Data Valid]]=TRUE,((Table1[[#This Row],[Birthweight (grams)]]*1.1/Table1[[#This Row],[BW_GA]])-1)/(Backend!$B$4/100*Table1[[#This Row],[BW40_3705]]),"")</f>
        <v/>
      </c>
      <c r="J7234" s="7" t="str">
        <f>IF(Table1[[#This Row],[Is Data Valid]]=TRUE,_xlfn.NORM.S.DIST(Table1[[#This Row],[Birthweight Z-Score]],TRUE)*100,"")</f>
        <v/>
      </c>
      <c r="K7234" s="7" t="str">
        <f>IF(Table1[[#This Row],[Is Data Valid]]=TRUE,_xlfn.NORM.S.DIST(Table1[[#This Row],[Birthweight Z-Score (BW-10%)]],TRUE)*100,"")</f>
        <v/>
      </c>
      <c r="L7234" s="7" t="str">
        <f>IF(Table1[[#This Row],[Is Data Valid]]=TRUE,_xlfn.NORM.S.DIST(Table1[[#This Row],[Birthweight Z-Score (BW+10%)]],TRUE)*100,"")</f>
        <v/>
      </c>
    </row>
    <row r="7235" spans="1:12" x14ac:dyDescent="0.35">
      <c r="A7235" s="3"/>
      <c r="B7235" s="2"/>
      <c r="C7235" s="2"/>
      <c r="D7235" s="2" t="b">
        <f>IF(AND(NOT(ISBLANK(Table1[[#This Row],[Fetal Sex (Male, Female or Unknown)]])),ISNUMBER(Table1[[#This Row],[Birthweight (grams)]]),ISNUMBER(Table1[[#This Row],[Gestation (days)]])),TRUE,FALSE)</f>
        <v>0</v>
      </c>
      <c r="E7235" s="2" t="str">
        <f>IF(Table1[[#This Row],[Is Data Valid]]=TRUE,IF(Table1[[#This Row],[Fetal Sex (Male, Female or Unknown)]]="Male",Backend!$C$6,IF(Table1[[#This Row],[Fetal Sex (Male, Female or Unknown)]]="Female",Backend!$C$7,IF(Table1[[#This Row],[Fetal Sex (Male, Female or Unknown)]]="Unknown",Backend!$C$8,"Error"))),"")</f>
        <v/>
      </c>
      <c r="F7235" s="8" t="str">
        <f>IF(Table1[[#This Row],[Is Data Valid]]=TRUE,EXP(0.578+0.332*((Table1[[#This Row],[Gestation (days)]]+0.5)/7)-0.00354*((Table1[[#This Row],[Gestation (days)]]+0.5)/7)^2)*Table1[[#This Row],[BW40_3705]],"")</f>
        <v/>
      </c>
      <c r="G7235" s="2" t="str">
        <f>IF(Table1[[#This Row],[Is Data Valid]]=TRUE,((Table1[[#This Row],[Birthweight (grams)]]/Table1[[#This Row],[BW_GA]])-1)/(Backend!$B$4/100*Table1[[#This Row],[BW40_3705]]),"")</f>
        <v/>
      </c>
      <c r="H7235" s="7" t="str">
        <f>IF(Table1[[#This Row],[Is Data Valid]]=TRUE,((Table1[[#This Row],[Birthweight (grams)]]*0.9/Table1[[#This Row],[BW_GA]])-1)/(Backend!$B$4/100*Table1[[#This Row],[BW40_3705]]),"")</f>
        <v/>
      </c>
      <c r="I7235" s="7" t="str">
        <f>IF(Table1[[#This Row],[Is Data Valid]]=TRUE,((Table1[[#This Row],[Birthweight (grams)]]*1.1/Table1[[#This Row],[BW_GA]])-1)/(Backend!$B$4/100*Table1[[#This Row],[BW40_3705]]),"")</f>
        <v/>
      </c>
      <c r="J7235" s="7" t="str">
        <f>IF(Table1[[#This Row],[Is Data Valid]]=TRUE,_xlfn.NORM.S.DIST(Table1[[#This Row],[Birthweight Z-Score]],TRUE)*100,"")</f>
        <v/>
      </c>
      <c r="K7235" s="7" t="str">
        <f>IF(Table1[[#This Row],[Is Data Valid]]=TRUE,_xlfn.NORM.S.DIST(Table1[[#This Row],[Birthweight Z-Score (BW-10%)]],TRUE)*100,"")</f>
        <v/>
      </c>
      <c r="L7235" s="7" t="str">
        <f>IF(Table1[[#This Row],[Is Data Valid]]=TRUE,_xlfn.NORM.S.DIST(Table1[[#This Row],[Birthweight Z-Score (BW+10%)]],TRUE)*100,"")</f>
        <v/>
      </c>
    </row>
    <row r="7236" spans="1:12" x14ac:dyDescent="0.35">
      <c r="A7236" s="3"/>
      <c r="B7236" s="2"/>
      <c r="C7236" s="2"/>
      <c r="D7236" s="2" t="b">
        <f>IF(AND(NOT(ISBLANK(Table1[[#This Row],[Fetal Sex (Male, Female or Unknown)]])),ISNUMBER(Table1[[#This Row],[Birthweight (grams)]]),ISNUMBER(Table1[[#This Row],[Gestation (days)]])),TRUE,FALSE)</f>
        <v>0</v>
      </c>
      <c r="E7236" s="2" t="str">
        <f>IF(Table1[[#This Row],[Is Data Valid]]=TRUE,IF(Table1[[#This Row],[Fetal Sex (Male, Female or Unknown)]]="Male",Backend!$C$6,IF(Table1[[#This Row],[Fetal Sex (Male, Female or Unknown)]]="Female",Backend!$C$7,IF(Table1[[#This Row],[Fetal Sex (Male, Female or Unknown)]]="Unknown",Backend!$C$8,"Error"))),"")</f>
        <v/>
      </c>
      <c r="F7236" s="8" t="str">
        <f>IF(Table1[[#This Row],[Is Data Valid]]=TRUE,EXP(0.578+0.332*((Table1[[#This Row],[Gestation (days)]]+0.5)/7)-0.00354*((Table1[[#This Row],[Gestation (days)]]+0.5)/7)^2)*Table1[[#This Row],[BW40_3705]],"")</f>
        <v/>
      </c>
      <c r="G7236" s="2" t="str">
        <f>IF(Table1[[#This Row],[Is Data Valid]]=TRUE,((Table1[[#This Row],[Birthweight (grams)]]/Table1[[#This Row],[BW_GA]])-1)/(Backend!$B$4/100*Table1[[#This Row],[BW40_3705]]),"")</f>
        <v/>
      </c>
      <c r="H7236" s="7" t="str">
        <f>IF(Table1[[#This Row],[Is Data Valid]]=TRUE,((Table1[[#This Row],[Birthweight (grams)]]*0.9/Table1[[#This Row],[BW_GA]])-1)/(Backend!$B$4/100*Table1[[#This Row],[BW40_3705]]),"")</f>
        <v/>
      </c>
      <c r="I7236" s="7" t="str">
        <f>IF(Table1[[#This Row],[Is Data Valid]]=TRUE,((Table1[[#This Row],[Birthweight (grams)]]*1.1/Table1[[#This Row],[BW_GA]])-1)/(Backend!$B$4/100*Table1[[#This Row],[BW40_3705]]),"")</f>
        <v/>
      </c>
      <c r="J7236" s="7" t="str">
        <f>IF(Table1[[#This Row],[Is Data Valid]]=TRUE,_xlfn.NORM.S.DIST(Table1[[#This Row],[Birthweight Z-Score]],TRUE)*100,"")</f>
        <v/>
      </c>
      <c r="K7236" s="7" t="str">
        <f>IF(Table1[[#This Row],[Is Data Valid]]=TRUE,_xlfn.NORM.S.DIST(Table1[[#This Row],[Birthweight Z-Score (BW-10%)]],TRUE)*100,"")</f>
        <v/>
      </c>
      <c r="L7236" s="7" t="str">
        <f>IF(Table1[[#This Row],[Is Data Valid]]=TRUE,_xlfn.NORM.S.DIST(Table1[[#This Row],[Birthweight Z-Score (BW+10%)]],TRUE)*100,"")</f>
        <v/>
      </c>
    </row>
    <row r="7237" spans="1:12" x14ac:dyDescent="0.35">
      <c r="A7237" s="3"/>
      <c r="B7237" s="2"/>
      <c r="C7237" s="2"/>
      <c r="D7237" s="2" t="b">
        <f>IF(AND(NOT(ISBLANK(Table1[[#This Row],[Fetal Sex (Male, Female or Unknown)]])),ISNUMBER(Table1[[#This Row],[Birthweight (grams)]]),ISNUMBER(Table1[[#This Row],[Gestation (days)]])),TRUE,FALSE)</f>
        <v>0</v>
      </c>
      <c r="E7237" s="2" t="str">
        <f>IF(Table1[[#This Row],[Is Data Valid]]=TRUE,IF(Table1[[#This Row],[Fetal Sex (Male, Female or Unknown)]]="Male",Backend!$C$6,IF(Table1[[#This Row],[Fetal Sex (Male, Female or Unknown)]]="Female",Backend!$C$7,IF(Table1[[#This Row],[Fetal Sex (Male, Female or Unknown)]]="Unknown",Backend!$C$8,"Error"))),"")</f>
        <v/>
      </c>
      <c r="F7237" s="8" t="str">
        <f>IF(Table1[[#This Row],[Is Data Valid]]=TRUE,EXP(0.578+0.332*((Table1[[#This Row],[Gestation (days)]]+0.5)/7)-0.00354*((Table1[[#This Row],[Gestation (days)]]+0.5)/7)^2)*Table1[[#This Row],[BW40_3705]],"")</f>
        <v/>
      </c>
      <c r="G7237" s="2" t="str">
        <f>IF(Table1[[#This Row],[Is Data Valid]]=TRUE,((Table1[[#This Row],[Birthweight (grams)]]/Table1[[#This Row],[BW_GA]])-1)/(Backend!$B$4/100*Table1[[#This Row],[BW40_3705]]),"")</f>
        <v/>
      </c>
      <c r="H7237" s="7" t="str">
        <f>IF(Table1[[#This Row],[Is Data Valid]]=TRUE,((Table1[[#This Row],[Birthweight (grams)]]*0.9/Table1[[#This Row],[BW_GA]])-1)/(Backend!$B$4/100*Table1[[#This Row],[BW40_3705]]),"")</f>
        <v/>
      </c>
      <c r="I7237" s="7" t="str">
        <f>IF(Table1[[#This Row],[Is Data Valid]]=TRUE,((Table1[[#This Row],[Birthweight (grams)]]*1.1/Table1[[#This Row],[BW_GA]])-1)/(Backend!$B$4/100*Table1[[#This Row],[BW40_3705]]),"")</f>
        <v/>
      </c>
      <c r="J7237" s="7" t="str">
        <f>IF(Table1[[#This Row],[Is Data Valid]]=TRUE,_xlfn.NORM.S.DIST(Table1[[#This Row],[Birthweight Z-Score]],TRUE)*100,"")</f>
        <v/>
      </c>
      <c r="K7237" s="7" t="str">
        <f>IF(Table1[[#This Row],[Is Data Valid]]=TRUE,_xlfn.NORM.S.DIST(Table1[[#This Row],[Birthweight Z-Score (BW-10%)]],TRUE)*100,"")</f>
        <v/>
      </c>
      <c r="L7237" s="7" t="str">
        <f>IF(Table1[[#This Row],[Is Data Valid]]=TRUE,_xlfn.NORM.S.DIST(Table1[[#This Row],[Birthweight Z-Score (BW+10%)]],TRUE)*100,"")</f>
        <v/>
      </c>
    </row>
    <row r="7238" spans="1:12" x14ac:dyDescent="0.35">
      <c r="A7238" s="3"/>
      <c r="B7238" s="2"/>
      <c r="C7238" s="2"/>
      <c r="D7238" s="2" t="b">
        <f>IF(AND(NOT(ISBLANK(Table1[[#This Row],[Fetal Sex (Male, Female or Unknown)]])),ISNUMBER(Table1[[#This Row],[Birthweight (grams)]]),ISNUMBER(Table1[[#This Row],[Gestation (days)]])),TRUE,FALSE)</f>
        <v>0</v>
      </c>
      <c r="E7238" s="2" t="str">
        <f>IF(Table1[[#This Row],[Is Data Valid]]=TRUE,IF(Table1[[#This Row],[Fetal Sex (Male, Female or Unknown)]]="Male",Backend!$C$6,IF(Table1[[#This Row],[Fetal Sex (Male, Female or Unknown)]]="Female",Backend!$C$7,IF(Table1[[#This Row],[Fetal Sex (Male, Female or Unknown)]]="Unknown",Backend!$C$8,"Error"))),"")</f>
        <v/>
      </c>
      <c r="F7238" s="8" t="str">
        <f>IF(Table1[[#This Row],[Is Data Valid]]=TRUE,EXP(0.578+0.332*((Table1[[#This Row],[Gestation (days)]]+0.5)/7)-0.00354*((Table1[[#This Row],[Gestation (days)]]+0.5)/7)^2)*Table1[[#This Row],[BW40_3705]],"")</f>
        <v/>
      </c>
      <c r="G7238" s="2" t="str">
        <f>IF(Table1[[#This Row],[Is Data Valid]]=TRUE,((Table1[[#This Row],[Birthweight (grams)]]/Table1[[#This Row],[BW_GA]])-1)/(Backend!$B$4/100*Table1[[#This Row],[BW40_3705]]),"")</f>
        <v/>
      </c>
      <c r="H7238" s="7" t="str">
        <f>IF(Table1[[#This Row],[Is Data Valid]]=TRUE,((Table1[[#This Row],[Birthweight (grams)]]*0.9/Table1[[#This Row],[BW_GA]])-1)/(Backend!$B$4/100*Table1[[#This Row],[BW40_3705]]),"")</f>
        <v/>
      </c>
      <c r="I7238" s="7" t="str">
        <f>IF(Table1[[#This Row],[Is Data Valid]]=TRUE,((Table1[[#This Row],[Birthweight (grams)]]*1.1/Table1[[#This Row],[BW_GA]])-1)/(Backend!$B$4/100*Table1[[#This Row],[BW40_3705]]),"")</f>
        <v/>
      </c>
      <c r="J7238" s="7" t="str">
        <f>IF(Table1[[#This Row],[Is Data Valid]]=TRUE,_xlfn.NORM.S.DIST(Table1[[#This Row],[Birthweight Z-Score]],TRUE)*100,"")</f>
        <v/>
      </c>
      <c r="K7238" s="7" t="str">
        <f>IF(Table1[[#This Row],[Is Data Valid]]=TRUE,_xlfn.NORM.S.DIST(Table1[[#This Row],[Birthweight Z-Score (BW-10%)]],TRUE)*100,"")</f>
        <v/>
      </c>
      <c r="L7238" s="7" t="str">
        <f>IF(Table1[[#This Row],[Is Data Valid]]=TRUE,_xlfn.NORM.S.DIST(Table1[[#This Row],[Birthweight Z-Score (BW+10%)]],TRUE)*100,"")</f>
        <v/>
      </c>
    </row>
    <row r="7239" spans="1:12" x14ac:dyDescent="0.35">
      <c r="A7239" s="3"/>
      <c r="B7239" s="2"/>
      <c r="C7239" s="2"/>
      <c r="D7239" s="2" t="b">
        <f>IF(AND(NOT(ISBLANK(Table1[[#This Row],[Fetal Sex (Male, Female or Unknown)]])),ISNUMBER(Table1[[#This Row],[Birthweight (grams)]]),ISNUMBER(Table1[[#This Row],[Gestation (days)]])),TRUE,FALSE)</f>
        <v>0</v>
      </c>
      <c r="E7239" s="2" t="str">
        <f>IF(Table1[[#This Row],[Is Data Valid]]=TRUE,IF(Table1[[#This Row],[Fetal Sex (Male, Female or Unknown)]]="Male",Backend!$C$6,IF(Table1[[#This Row],[Fetal Sex (Male, Female or Unknown)]]="Female",Backend!$C$7,IF(Table1[[#This Row],[Fetal Sex (Male, Female or Unknown)]]="Unknown",Backend!$C$8,"Error"))),"")</f>
        <v/>
      </c>
      <c r="F7239" s="8" t="str">
        <f>IF(Table1[[#This Row],[Is Data Valid]]=TRUE,EXP(0.578+0.332*((Table1[[#This Row],[Gestation (days)]]+0.5)/7)-0.00354*((Table1[[#This Row],[Gestation (days)]]+0.5)/7)^2)*Table1[[#This Row],[BW40_3705]],"")</f>
        <v/>
      </c>
      <c r="G7239" s="2" t="str">
        <f>IF(Table1[[#This Row],[Is Data Valid]]=TRUE,((Table1[[#This Row],[Birthweight (grams)]]/Table1[[#This Row],[BW_GA]])-1)/(Backend!$B$4/100*Table1[[#This Row],[BW40_3705]]),"")</f>
        <v/>
      </c>
      <c r="H7239" s="7" t="str">
        <f>IF(Table1[[#This Row],[Is Data Valid]]=TRUE,((Table1[[#This Row],[Birthweight (grams)]]*0.9/Table1[[#This Row],[BW_GA]])-1)/(Backend!$B$4/100*Table1[[#This Row],[BW40_3705]]),"")</f>
        <v/>
      </c>
      <c r="I7239" s="7" t="str">
        <f>IF(Table1[[#This Row],[Is Data Valid]]=TRUE,((Table1[[#This Row],[Birthweight (grams)]]*1.1/Table1[[#This Row],[BW_GA]])-1)/(Backend!$B$4/100*Table1[[#This Row],[BW40_3705]]),"")</f>
        <v/>
      </c>
      <c r="J7239" s="7" t="str">
        <f>IF(Table1[[#This Row],[Is Data Valid]]=TRUE,_xlfn.NORM.S.DIST(Table1[[#This Row],[Birthweight Z-Score]],TRUE)*100,"")</f>
        <v/>
      </c>
      <c r="K7239" s="7" t="str">
        <f>IF(Table1[[#This Row],[Is Data Valid]]=TRUE,_xlfn.NORM.S.DIST(Table1[[#This Row],[Birthweight Z-Score (BW-10%)]],TRUE)*100,"")</f>
        <v/>
      </c>
      <c r="L7239" s="7" t="str">
        <f>IF(Table1[[#This Row],[Is Data Valid]]=TRUE,_xlfn.NORM.S.DIST(Table1[[#This Row],[Birthweight Z-Score (BW+10%)]],TRUE)*100,"")</f>
        <v/>
      </c>
    </row>
    <row r="7240" spans="1:12" x14ac:dyDescent="0.35">
      <c r="A7240" s="3"/>
      <c r="B7240" s="2"/>
      <c r="C7240" s="2"/>
      <c r="D7240" s="2" t="b">
        <f>IF(AND(NOT(ISBLANK(Table1[[#This Row],[Fetal Sex (Male, Female or Unknown)]])),ISNUMBER(Table1[[#This Row],[Birthweight (grams)]]),ISNUMBER(Table1[[#This Row],[Gestation (days)]])),TRUE,FALSE)</f>
        <v>0</v>
      </c>
      <c r="E7240" s="2" t="str">
        <f>IF(Table1[[#This Row],[Is Data Valid]]=TRUE,IF(Table1[[#This Row],[Fetal Sex (Male, Female or Unknown)]]="Male",Backend!$C$6,IF(Table1[[#This Row],[Fetal Sex (Male, Female or Unknown)]]="Female",Backend!$C$7,IF(Table1[[#This Row],[Fetal Sex (Male, Female or Unknown)]]="Unknown",Backend!$C$8,"Error"))),"")</f>
        <v/>
      </c>
      <c r="F7240" s="8" t="str">
        <f>IF(Table1[[#This Row],[Is Data Valid]]=TRUE,EXP(0.578+0.332*((Table1[[#This Row],[Gestation (days)]]+0.5)/7)-0.00354*((Table1[[#This Row],[Gestation (days)]]+0.5)/7)^2)*Table1[[#This Row],[BW40_3705]],"")</f>
        <v/>
      </c>
      <c r="G7240" s="2" t="str">
        <f>IF(Table1[[#This Row],[Is Data Valid]]=TRUE,((Table1[[#This Row],[Birthweight (grams)]]/Table1[[#This Row],[BW_GA]])-1)/(Backend!$B$4/100*Table1[[#This Row],[BW40_3705]]),"")</f>
        <v/>
      </c>
      <c r="H7240" s="7" t="str">
        <f>IF(Table1[[#This Row],[Is Data Valid]]=TRUE,((Table1[[#This Row],[Birthweight (grams)]]*0.9/Table1[[#This Row],[BW_GA]])-1)/(Backend!$B$4/100*Table1[[#This Row],[BW40_3705]]),"")</f>
        <v/>
      </c>
      <c r="I7240" s="7" t="str">
        <f>IF(Table1[[#This Row],[Is Data Valid]]=TRUE,((Table1[[#This Row],[Birthweight (grams)]]*1.1/Table1[[#This Row],[BW_GA]])-1)/(Backend!$B$4/100*Table1[[#This Row],[BW40_3705]]),"")</f>
        <v/>
      </c>
      <c r="J7240" s="7" t="str">
        <f>IF(Table1[[#This Row],[Is Data Valid]]=TRUE,_xlfn.NORM.S.DIST(Table1[[#This Row],[Birthweight Z-Score]],TRUE)*100,"")</f>
        <v/>
      </c>
      <c r="K7240" s="7" t="str">
        <f>IF(Table1[[#This Row],[Is Data Valid]]=TRUE,_xlfn.NORM.S.DIST(Table1[[#This Row],[Birthweight Z-Score (BW-10%)]],TRUE)*100,"")</f>
        <v/>
      </c>
      <c r="L7240" s="7" t="str">
        <f>IF(Table1[[#This Row],[Is Data Valid]]=TRUE,_xlfn.NORM.S.DIST(Table1[[#This Row],[Birthweight Z-Score (BW+10%)]],TRUE)*100,"")</f>
        <v/>
      </c>
    </row>
    <row r="7241" spans="1:12" x14ac:dyDescent="0.35">
      <c r="A7241" s="3"/>
      <c r="B7241" s="2"/>
      <c r="C7241" s="2"/>
      <c r="D7241" s="2" t="b">
        <f>IF(AND(NOT(ISBLANK(Table1[[#This Row],[Fetal Sex (Male, Female or Unknown)]])),ISNUMBER(Table1[[#This Row],[Birthweight (grams)]]),ISNUMBER(Table1[[#This Row],[Gestation (days)]])),TRUE,FALSE)</f>
        <v>0</v>
      </c>
      <c r="E7241" s="2" t="str">
        <f>IF(Table1[[#This Row],[Is Data Valid]]=TRUE,IF(Table1[[#This Row],[Fetal Sex (Male, Female or Unknown)]]="Male",Backend!$C$6,IF(Table1[[#This Row],[Fetal Sex (Male, Female or Unknown)]]="Female",Backend!$C$7,IF(Table1[[#This Row],[Fetal Sex (Male, Female or Unknown)]]="Unknown",Backend!$C$8,"Error"))),"")</f>
        <v/>
      </c>
      <c r="F7241" s="8" t="str">
        <f>IF(Table1[[#This Row],[Is Data Valid]]=TRUE,EXP(0.578+0.332*((Table1[[#This Row],[Gestation (days)]]+0.5)/7)-0.00354*((Table1[[#This Row],[Gestation (days)]]+0.5)/7)^2)*Table1[[#This Row],[BW40_3705]],"")</f>
        <v/>
      </c>
      <c r="G7241" s="2" t="str">
        <f>IF(Table1[[#This Row],[Is Data Valid]]=TRUE,((Table1[[#This Row],[Birthweight (grams)]]/Table1[[#This Row],[BW_GA]])-1)/(Backend!$B$4/100*Table1[[#This Row],[BW40_3705]]),"")</f>
        <v/>
      </c>
      <c r="H7241" s="7" t="str">
        <f>IF(Table1[[#This Row],[Is Data Valid]]=TRUE,((Table1[[#This Row],[Birthweight (grams)]]*0.9/Table1[[#This Row],[BW_GA]])-1)/(Backend!$B$4/100*Table1[[#This Row],[BW40_3705]]),"")</f>
        <v/>
      </c>
      <c r="I7241" s="7" t="str">
        <f>IF(Table1[[#This Row],[Is Data Valid]]=TRUE,((Table1[[#This Row],[Birthweight (grams)]]*1.1/Table1[[#This Row],[BW_GA]])-1)/(Backend!$B$4/100*Table1[[#This Row],[BW40_3705]]),"")</f>
        <v/>
      </c>
      <c r="J7241" s="7" t="str">
        <f>IF(Table1[[#This Row],[Is Data Valid]]=TRUE,_xlfn.NORM.S.DIST(Table1[[#This Row],[Birthweight Z-Score]],TRUE)*100,"")</f>
        <v/>
      </c>
      <c r="K7241" s="7" t="str">
        <f>IF(Table1[[#This Row],[Is Data Valid]]=TRUE,_xlfn.NORM.S.DIST(Table1[[#This Row],[Birthweight Z-Score (BW-10%)]],TRUE)*100,"")</f>
        <v/>
      </c>
      <c r="L7241" s="7" t="str">
        <f>IF(Table1[[#This Row],[Is Data Valid]]=TRUE,_xlfn.NORM.S.DIST(Table1[[#This Row],[Birthweight Z-Score (BW+10%)]],TRUE)*100,"")</f>
        <v/>
      </c>
    </row>
    <row r="7242" spans="1:12" x14ac:dyDescent="0.35">
      <c r="A7242" s="3"/>
      <c r="B7242" s="2"/>
      <c r="C7242" s="2"/>
      <c r="D7242" s="2" t="b">
        <f>IF(AND(NOT(ISBLANK(Table1[[#This Row],[Fetal Sex (Male, Female or Unknown)]])),ISNUMBER(Table1[[#This Row],[Birthweight (grams)]]),ISNUMBER(Table1[[#This Row],[Gestation (days)]])),TRUE,FALSE)</f>
        <v>0</v>
      </c>
      <c r="E7242" s="2" t="str">
        <f>IF(Table1[[#This Row],[Is Data Valid]]=TRUE,IF(Table1[[#This Row],[Fetal Sex (Male, Female or Unknown)]]="Male",Backend!$C$6,IF(Table1[[#This Row],[Fetal Sex (Male, Female or Unknown)]]="Female",Backend!$C$7,IF(Table1[[#This Row],[Fetal Sex (Male, Female or Unknown)]]="Unknown",Backend!$C$8,"Error"))),"")</f>
        <v/>
      </c>
      <c r="F7242" s="8" t="str">
        <f>IF(Table1[[#This Row],[Is Data Valid]]=TRUE,EXP(0.578+0.332*((Table1[[#This Row],[Gestation (days)]]+0.5)/7)-0.00354*((Table1[[#This Row],[Gestation (days)]]+0.5)/7)^2)*Table1[[#This Row],[BW40_3705]],"")</f>
        <v/>
      </c>
      <c r="G7242" s="2" t="str">
        <f>IF(Table1[[#This Row],[Is Data Valid]]=TRUE,((Table1[[#This Row],[Birthweight (grams)]]/Table1[[#This Row],[BW_GA]])-1)/(Backend!$B$4/100*Table1[[#This Row],[BW40_3705]]),"")</f>
        <v/>
      </c>
      <c r="H7242" s="7" t="str">
        <f>IF(Table1[[#This Row],[Is Data Valid]]=TRUE,((Table1[[#This Row],[Birthweight (grams)]]*0.9/Table1[[#This Row],[BW_GA]])-1)/(Backend!$B$4/100*Table1[[#This Row],[BW40_3705]]),"")</f>
        <v/>
      </c>
      <c r="I7242" s="7" t="str">
        <f>IF(Table1[[#This Row],[Is Data Valid]]=TRUE,((Table1[[#This Row],[Birthweight (grams)]]*1.1/Table1[[#This Row],[BW_GA]])-1)/(Backend!$B$4/100*Table1[[#This Row],[BW40_3705]]),"")</f>
        <v/>
      </c>
      <c r="J7242" s="7" t="str">
        <f>IF(Table1[[#This Row],[Is Data Valid]]=TRUE,_xlfn.NORM.S.DIST(Table1[[#This Row],[Birthweight Z-Score]],TRUE)*100,"")</f>
        <v/>
      </c>
      <c r="K7242" s="7" t="str">
        <f>IF(Table1[[#This Row],[Is Data Valid]]=TRUE,_xlfn.NORM.S.DIST(Table1[[#This Row],[Birthweight Z-Score (BW-10%)]],TRUE)*100,"")</f>
        <v/>
      </c>
      <c r="L7242" s="7" t="str">
        <f>IF(Table1[[#This Row],[Is Data Valid]]=TRUE,_xlfn.NORM.S.DIST(Table1[[#This Row],[Birthweight Z-Score (BW+10%)]],TRUE)*100,"")</f>
        <v/>
      </c>
    </row>
    <row r="7243" spans="1:12" x14ac:dyDescent="0.35">
      <c r="A7243" s="3"/>
      <c r="B7243" s="2"/>
      <c r="C7243" s="2"/>
      <c r="D7243" s="2" t="b">
        <f>IF(AND(NOT(ISBLANK(Table1[[#This Row],[Fetal Sex (Male, Female or Unknown)]])),ISNUMBER(Table1[[#This Row],[Birthweight (grams)]]),ISNUMBER(Table1[[#This Row],[Gestation (days)]])),TRUE,FALSE)</f>
        <v>0</v>
      </c>
      <c r="E7243" s="2" t="str">
        <f>IF(Table1[[#This Row],[Is Data Valid]]=TRUE,IF(Table1[[#This Row],[Fetal Sex (Male, Female or Unknown)]]="Male",Backend!$C$6,IF(Table1[[#This Row],[Fetal Sex (Male, Female or Unknown)]]="Female",Backend!$C$7,IF(Table1[[#This Row],[Fetal Sex (Male, Female or Unknown)]]="Unknown",Backend!$C$8,"Error"))),"")</f>
        <v/>
      </c>
      <c r="F7243" s="8" t="str">
        <f>IF(Table1[[#This Row],[Is Data Valid]]=TRUE,EXP(0.578+0.332*((Table1[[#This Row],[Gestation (days)]]+0.5)/7)-0.00354*((Table1[[#This Row],[Gestation (days)]]+0.5)/7)^2)*Table1[[#This Row],[BW40_3705]],"")</f>
        <v/>
      </c>
      <c r="G7243" s="2" t="str">
        <f>IF(Table1[[#This Row],[Is Data Valid]]=TRUE,((Table1[[#This Row],[Birthweight (grams)]]/Table1[[#This Row],[BW_GA]])-1)/(Backend!$B$4/100*Table1[[#This Row],[BW40_3705]]),"")</f>
        <v/>
      </c>
      <c r="H7243" s="7" t="str">
        <f>IF(Table1[[#This Row],[Is Data Valid]]=TRUE,((Table1[[#This Row],[Birthweight (grams)]]*0.9/Table1[[#This Row],[BW_GA]])-1)/(Backend!$B$4/100*Table1[[#This Row],[BW40_3705]]),"")</f>
        <v/>
      </c>
      <c r="I7243" s="7" t="str">
        <f>IF(Table1[[#This Row],[Is Data Valid]]=TRUE,((Table1[[#This Row],[Birthweight (grams)]]*1.1/Table1[[#This Row],[BW_GA]])-1)/(Backend!$B$4/100*Table1[[#This Row],[BW40_3705]]),"")</f>
        <v/>
      </c>
      <c r="J7243" s="7" t="str">
        <f>IF(Table1[[#This Row],[Is Data Valid]]=TRUE,_xlfn.NORM.S.DIST(Table1[[#This Row],[Birthweight Z-Score]],TRUE)*100,"")</f>
        <v/>
      </c>
      <c r="K7243" s="7" t="str">
        <f>IF(Table1[[#This Row],[Is Data Valid]]=TRUE,_xlfn.NORM.S.DIST(Table1[[#This Row],[Birthweight Z-Score (BW-10%)]],TRUE)*100,"")</f>
        <v/>
      </c>
      <c r="L7243" s="7" t="str">
        <f>IF(Table1[[#This Row],[Is Data Valid]]=TRUE,_xlfn.NORM.S.DIST(Table1[[#This Row],[Birthweight Z-Score (BW+10%)]],TRUE)*100,"")</f>
        <v/>
      </c>
    </row>
    <row r="7244" spans="1:12" x14ac:dyDescent="0.35">
      <c r="A7244" s="3"/>
      <c r="B7244" s="2"/>
      <c r="C7244" s="2"/>
      <c r="D7244" s="2" t="b">
        <f>IF(AND(NOT(ISBLANK(Table1[[#This Row],[Fetal Sex (Male, Female or Unknown)]])),ISNUMBER(Table1[[#This Row],[Birthweight (grams)]]),ISNUMBER(Table1[[#This Row],[Gestation (days)]])),TRUE,FALSE)</f>
        <v>0</v>
      </c>
      <c r="E7244" s="2" t="str">
        <f>IF(Table1[[#This Row],[Is Data Valid]]=TRUE,IF(Table1[[#This Row],[Fetal Sex (Male, Female or Unknown)]]="Male",Backend!$C$6,IF(Table1[[#This Row],[Fetal Sex (Male, Female or Unknown)]]="Female",Backend!$C$7,IF(Table1[[#This Row],[Fetal Sex (Male, Female or Unknown)]]="Unknown",Backend!$C$8,"Error"))),"")</f>
        <v/>
      </c>
      <c r="F7244" s="8" t="str">
        <f>IF(Table1[[#This Row],[Is Data Valid]]=TRUE,EXP(0.578+0.332*((Table1[[#This Row],[Gestation (days)]]+0.5)/7)-0.00354*((Table1[[#This Row],[Gestation (days)]]+0.5)/7)^2)*Table1[[#This Row],[BW40_3705]],"")</f>
        <v/>
      </c>
      <c r="G7244" s="2" t="str">
        <f>IF(Table1[[#This Row],[Is Data Valid]]=TRUE,((Table1[[#This Row],[Birthweight (grams)]]/Table1[[#This Row],[BW_GA]])-1)/(Backend!$B$4/100*Table1[[#This Row],[BW40_3705]]),"")</f>
        <v/>
      </c>
      <c r="H7244" s="7" t="str">
        <f>IF(Table1[[#This Row],[Is Data Valid]]=TRUE,((Table1[[#This Row],[Birthweight (grams)]]*0.9/Table1[[#This Row],[BW_GA]])-1)/(Backend!$B$4/100*Table1[[#This Row],[BW40_3705]]),"")</f>
        <v/>
      </c>
      <c r="I7244" s="7" t="str">
        <f>IF(Table1[[#This Row],[Is Data Valid]]=TRUE,((Table1[[#This Row],[Birthweight (grams)]]*1.1/Table1[[#This Row],[BW_GA]])-1)/(Backend!$B$4/100*Table1[[#This Row],[BW40_3705]]),"")</f>
        <v/>
      </c>
      <c r="J7244" s="7" t="str">
        <f>IF(Table1[[#This Row],[Is Data Valid]]=TRUE,_xlfn.NORM.S.DIST(Table1[[#This Row],[Birthweight Z-Score]],TRUE)*100,"")</f>
        <v/>
      </c>
      <c r="K7244" s="7" t="str">
        <f>IF(Table1[[#This Row],[Is Data Valid]]=TRUE,_xlfn.NORM.S.DIST(Table1[[#This Row],[Birthweight Z-Score (BW-10%)]],TRUE)*100,"")</f>
        <v/>
      </c>
      <c r="L7244" s="7" t="str">
        <f>IF(Table1[[#This Row],[Is Data Valid]]=TRUE,_xlfn.NORM.S.DIST(Table1[[#This Row],[Birthweight Z-Score (BW+10%)]],TRUE)*100,"")</f>
        <v/>
      </c>
    </row>
    <row r="7245" spans="1:12" x14ac:dyDescent="0.35">
      <c r="A7245" s="3"/>
      <c r="B7245" s="2"/>
      <c r="C7245" s="2"/>
      <c r="D7245" s="2" t="b">
        <f>IF(AND(NOT(ISBLANK(Table1[[#This Row],[Fetal Sex (Male, Female or Unknown)]])),ISNUMBER(Table1[[#This Row],[Birthweight (grams)]]),ISNUMBER(Table1[[#This Row],[Gestation (days)]])),TRUE,FALSE)</f>
        <v>0</v>
      </c>
      <c r="E7245" s="2" t="str">
        <f>IF(Table1[[#This Row],[Is Data Valid]]=TRUE,IF(Table1[[#This Row],[Fetal Sex (Male, Female or Unknown)]]="Male",Backend!$C$6,IF(Table1[[#This Row],[Fetal Sex (Male, Female or Unknown)]]="Female",Backend!$C$7,IF(Table1[[#This Row],[Fetal Sex (Male, Female or Unknown)]]="Unknown",Backend!$C$8,"Error"))),"")</f>
        <v/>
      </c>
      <c r="F7245" s="8" t="str">
        <f>IF(Table1[[#This Row],[Is Data Valid]]=TRUE,EXP(0.578+0.332*((Table1[[#This Row],[Gestation (days)]]+0.5)/7)-0.00354*((Table1[[#This Row],[Gestation (days)]]+0.5)/7)^2)*Table1[[#This Row],[BW40_3705]],"")</f>
        <v/>
      </c>
      <c r="G7245" s="2" t="str">
        <f>IF(Table1[[#This Row],[Is Data Valid]]=TRUE,((Table1[[#This Row],[Birthweight (grams)]]/Table1[[#This Row],[BW_GA]])-1)/(Backend!$B$4/100*Table1[[#This Row],[BW40_3705]]),"")</f>
        <v/>
      </c>
      <c r="H7245" s="7" t="str">
        <f>IF(Table1[[#This Row],[Is Data Valid]]=TRUE,((Table1[[#This Row],[Birthweight (grams)]]*0.9/Table1[[#This Row],[BW_GA]])-1)/(Backend!$B$4/100*Table1[[#This Row],[BW40_3705]]),"")</f>
        <v/>
      </c>
      <c r="I7245" s="7" t="str">
        <f>IF(Table1[[#This Row],[Is Data Valid]]=TRUE,((Table1[[#This Row],[Birthweight (grams)]]*1.1/Table1[[#This Row],[BW_GA]])-1)/(Backend!$B$4/100*Table1[[#This Row],[BW40_3705]]),"")</f>
        <v/>
      </c>
      <c r="J7245" s="7" t="str">
        <f>IF(Table1[[#This Row],[Is Data Valid]]=TRUE,_xlfn.NORM.S.DIST(Table1[[#This Row],[Birthweight Z-Score]],TRUE)*100,"")</f>
        <v/>
      </c>
      <c r="K7245" s="7" t="str">
        <f>IF(Table1[[#This Row],[Is Data Valid]]=TRUE,_xlfn.NORM.S.DIST(Table1[[#This Row],[Birthweight Z-Score (BW-10%)]],TRUE)*100,"")</f>
        <v/>
      </c>
      <c r="L7245" s="7" t="str">
        <f>IF(Table1[[#This Row],[Is Data Valid]]=TRUE,_xlfn.NORM.S.DIST(Table1[[#This Row],[Birthweight Z-Score (BW+10%)]],TRUE)*100,"")</f>
        <v/>
      </c>
    </row>
    <row r="7246" spans="1:12" x14ac:dyDescent="0.35">
      <c r="A7246" s="3"/>
      <c r="B7246" s="2"/>
      <c r="C7246" s="2"/>
      <c r="D7246" s="2" t="b">
        <f>IF(AND(NOT(ISBLANK(Table1[[#This Row],[Fetal Sex (Male, Female or Unknown)]])),ISNUMBER(Table1[[#This Row],[Birthweight (grams)]]),ISNUMBER(Table1[[#This Row],[Gestation (days)]])),TRUE,FALSE)</f>
        <v>0</v>
      </c>
      <c r="E7246" s="2" t="str">
        <f>IF(Table1[[#This Row],[Is Data Valid]]=TRUE,IF(Table1[[#This Row],[Fetal Sex (Male, Female or Unknown)]]="Male",Backend!$C$6,IF(Table1[[#This Row],[Fetal Sex (Male, Female or Unknown)]]="Female",Backend!$C$7,IF(Table1[[#This Row],[Fetal Sex (Male, Female or Unknown)]]="Unknown",Backend!$C$8,"Error"))),"")</f>
        <v/>
      </c>
      <c r="F7246" s="8" t="str">
        <f>IF(Table1[[#This Row],[Is Data Valid]]=TRUE,EXP(0.578+0.332*((Table1[[#This Row],[Gestation (days)]]+0.5)/7)-0.00354*((Table1[[#This Row],[Gestation (days)]]+0.5)/7)^2)*Table1[[#This Row],[BW40_3705]],"")</f>
        <v/>
      </c>
      <c r="G7246" s="2" t="str">
        <f>IF(Table1[[#This Row],[Is Data Valid]]=TRUE,((Table1[[#This Row],[Birthweight (grams)]]/Table1[[#This Row],[BW_GA]])-1)/(Backend!$B$4/100*Table1[[#This Row],[BW40_3705]]),"")</f>
        <v/>
      </c>
      <c r="H7246" s="7" t="str">
        <f>IF(Table1[[#This Row],[Is Data Valid]]=TRUE,((Table1[[#This Row],[Birthweight (grams)]]*0.9/Table1[[#This Row],[BW_GA]])-1)/(Backend!$B$4/100*Table1[[#This Row],[BW40_3705]]),"")</f>
        <v/>
      </c>
      <c r="I7246" s="7" t="str">
        <f>IF(Table1[[#This Row],[Is Data Valid]]=TRUE,((Table1[[#This Row],[Birthweight (grams)]]*1.1/Table1[[#This Row],[BW_GA]])-1)/(Backend!$B$4/100*Table1[[#This Row],[BW40_3705]]),"")</f>
        <v/>
      </c>
      <c r="J7246" s="7" t="str">
        <f>IF(Table1[[#This Row],[Is Data Valid]]=TRUE,_xlfn.NORM.S.DIST(Table1[[#This Row],[Birthweight Z-Score]],TRUE)*100,"")</f>
        <v/>
      </c>
      <c r="K7246" s="7" t="str">
        <f>IF(Table1[[#This Row],[Is Data Valid]]=TRUE,_xlfn.NORM.S.DIST(Table1[[#This Row],[Birthweight Z-Score (BW-10%)]],TRUE)*100,"")</f>
        <v/>
      </c>
      <c r="L7246" s="7" t="str">
        <f>IF(Table1[[#This Row],[Is Data Valid]]=TRUE,_xlfn.NORM.S.DIST(Table1[[#This Row],[Birthweight Z-Score (BW+10%)]],TRUE)*100,"")</f>
        <v/>
      </c>
    </row>
    <row r="7247" spans="1:12" x14ac:dyDescent="0.35">
      <c r="A7247" s="3"/>
      <c r="B7247" s="2"/>
      <c r="C7247" s="2"/>
      <c r="D7247" s="2" t="b">
        <f>IF(AND(NOT(ISBLANK(Table1[[#This Row],[Fetal Sex (Male, Female or Unknown)]])),ISNUMBER(Table1[[#This Row],[Birthweight (grams)]]),ISNUMBER(Table1[[#This Row],[Gestation (days)]])),TRUE,FALSE)</f>
        <v>0</v>
      </c>
      <c r="E7247" s="2" t="str">
        <f>IF(Table1[[#This Row],[Is Data Valid]]=TRUE,IF(Table1[[#This Row],[Fetal Sex (Male, Female or Unknown)]]="Male",Backend!$C$6,IF(Table1[[#This Row],[Fetal Sex (Male, Female or Unknown)]]="Female",Backend!$C$7,IF(Table1[[#This Row],[Fetal Sex (Male, Female or Unknown)]]="Unknown",Backend!$C$8,"Error"))),"")</f>
        <v/>
      </c>
      <c r="F7247" s="8" t="str">
        <f>IF(Table1[[#This Row],[Is Data Valid]]=TRUE,EXP(0.578+0.332*((Table1[[#This Row],[Gestation (days)]]+0.5)/7)-0.00354*((Table1[[#This Row],[Gestation (days)]]+0.5)/7)^2)*Table1[[#This Row],[BW40_3705]],"")</f>
        <v/>
      </c>
      <c r="G7247" s="2" t="str">
        <f>IF(Table1[[#This Row],[Is Data Valid]]=TRUE,((Table1[[#This Row],[Birthweight (grams)]]/Table1[[#This Row],[BW_GA]])-1)/(Backend!$B$4/100*Table1[[#This Row],[BW40_3705]]),"")</f>
        <v/>
      </c>
      <c r="H7247" s="7" t="str">
        <f>IF(Table1[[#This Row],[Is Data Valid]]=TRUE,((Table1[[#This Row],[Birthweight (grams)]]*0.9/Table1[[#This Row],[BW_GA]])-1)/(Backend!$B$4/100*Table1[[#This Row],[BW40_3705]]),"")</f>
        <v/>
      </c>
      <c r="I7247" s="7" t="str">
        <f>IF(Table1[[#This Row],[Is Data Valid]]=TRUE,((Table1[[#This Row],[Birthweight (grams)]]*1.1/Table1[[#This Row],[BW_GA]])-1)/(Backend!$B$4/100*Table1[[#This Row],[BW40_3705]]),"")</f>
        <v/>
      </c>
      <c r="J7247" s="7" t="str">
        <f>IF(Table1[[#This Row],[Is Data Valid]]=TRUE,_xlfn.NORM.S.DIST(Table1[[#This Row],[Birthweight Z-Score]],TRUE)*100,"")</f>
        <v/>
      </c>
      <c r="K7247" s="7" t="str">
        <f>IF(Table1[[#This Row],[Is Data Valid]]=TRUE,_xlfn.NORM.S.DIST(Table1[[#This Row],[Birthweight Z-Score (BW-10%)]],TRUE)*100,"")</f>
        <v/>
      </c>
      <c r="L7247" s="7" t="str">
        <f>IF(Table1[[#This Row],[Is Data Valid]]=TRUE,_xlfn.NORM.S.DIST(Table1[[#This Row],[Birthweight Z-Score (BW+10%)]],TRUE)*100,"")</f>
        <v/>
      </c>
    </row>
    <row r="7248" spans="1:12" x14ac:dyDescent="0.35">
      <c r="A7248" s="3"/>
      <c r="B7248" s="2"/>
      <c r="C7248" s="2"/>
      <c r="D7248" s="2" t="b">
        <f>IF(AND(NOT(ISBLANK(Table1[[#This Row],[Fetal Sex (Male, Female or Unknown)]])),ISNUMBER(Table1[[#This Row],[Birthweight (grams)]]),ISNUMBER(Table1[[#This Row],[Gestation (days)]])),TRUE,FALSE)</f>
        <v>0</v>
      </c>
      <c r="E7248" s="2" t="str">
        <f>IF(Table1[[#This Row],[Is Data Valid]]=TRUE,IF(Table1[[#This Row],[Fetal Sex (Male, Female or Unknown)]]="Male",Backend!$C$6,IF(Table1[[#This Row],[Fetal Sex (Male, Female or Unknown)]]="Female",Backend!$C$7,IF(Table1[[#This Row],[Fetal Sex (Male, Female or Unknown)]]="Unknown",Backend!$C$8,"Error"))),"")</f>
        <v/>
      </c>
      <c r="F7248" s="8" t="str">
        <f>IF(Table1[[#This Row],[Is Data Valid]]=TRUE,EXP(0.578+0.332*((Table1[[#This Row],[Gestation (days)]]+0.5)/7)-0.00354*((Table1[[#This Row],[Gestation (days)]]+0.5)/7)^2)*Table1[[#This Row],[BW40_3705]],"")</f>
        <v/>
      </c>
      <c r="G7248" s="2" t="str">
        <f>IF(Table1[[#This Row],[Is Data Valid]]=TRUE,((Table1[[#This Row],[Birthweight (grams)]]/Table1[[#This Row],[BW_GA]])-1)/(Backend!$B$4/100*Table1[[#This Row],[BW40_3705]]),"")</f>
        <v/>
      </c>
      <c r="H7248" s="7" t="str">
        <f>IF(Table1[[#This Row],[Is Data Valid]]=TRUE,((Table1[[#This Row],[Birthweight (grams)]]*0.9/Table1[[#This Row],[BW_GA]])-1)/(Backend!$B$4/100*Table1[[#This Row],[BW40_3705]]),"")</f>
        <v/>
      </c>
      <c r="I7248" s="7" t="str">
        <f>IF(Table1[[#This Row],[Is Data Valid]]=TRUE,((Table1[[#This Row],[Birthweight (grams)]]*1.1/Table1[[#This Row],[BW_GA]])-1)/(Backend!$B$4/100*Table1[[#This Row],[BW40_3705]]),"")</f>
        <v/>
      </c>
      <c r="J7248" s="7" t="str">
        <f>IF(Table1[[#This Row],[Is Data Valid]]=TRUE,_xlfn.NORM.S.DIST(Table1[[#This Row],[Birthweight Z-Score]],TRUE)*100,"")</f>
        <v/>
      </c>
      <c r="K7248" s="7" t="str">
        <f>IF(Table1[[#This Row],[Is Data Valid]]=TRUE,_xlfn.NORM.S.DIST(Table1[[#This Row],[Birthweight Z-Score (BW-10%)]],TRUE)*100,"")</f>
        <v/>
      </c>
      <c r="L7248" s="7" t="str">
        <f>IF(Table1[[#This Row],[Is Data Valid]]=TRUE,_xlfn.NORM.S.DIST(Table1[[#This Row],[Birthweight Z-Score (BW+10%)]],TRUE)*100,"")</f>
        <v/>
      </c>
    </row>
    <row r="7249" spans="1:12" x14ac:dyDescent="0.35">
      <c r="A7249" s="3"/>
      <c r="B7249" s="2"/>
      <c r="C7249" s="2"/>
      <c r="D7249" s="2" t="b">
        <f>IF(AND(NOT(ISBLANK(Table1[[#This Row],[Fetal Sex (Male, Female or Unknown)]])),ISNUMBER(Table1[[#This Row],[Birthweight (grams)]]),ISNUMBER(Table1[[#This Row],[Gestation (days)]])),TRUE,FALSE)</f>
        <v>0</v>
      </c>
      <c r="E7249" s="2" t="str">
        <f>IF(Table1[[#This Row],[Is Data Valid]]=TRUE,IF(Table1[[#This Row],[Fetal Sex (Male, Female or Unknown)]]="Male",Backend!$C$6,IF(Table1[[#This Row],[Fetal Sex (Male, Female or Unknown)]]="Female",Backend!$C$7,IF(Table1[[#This Row],[Fetal Sex (Male, Female or Unknown)]]="Unknown",Backend!$C$8,"Error"))),"")</f>
        <v/>
      </c>
      <c r="F7249" s="8" t="str">
        <f>IF(Table1[[#This Row],[Is Data Valid]]=TRUE,EXP(0.578+0.332*((Table1[[#This Row],[Gestation (days)]]+0.5)/7)-0.00354*((Table1[[#This Row],[Gestation (days)]]+0.5)/7)^2)*Table1[[#This Row],[BW40_3705]],"")</f>
        <v/>
      </c>
      <c r="G7249" s="2" t="str">
        <f>IF(Table1[[#This Row],[Is Data Valid]]=TRUE,((Table1[[#This Row],[Birthweight (grams)]]/Table1[[#This Row],[BW_GA]])-1)/(Backend!$B$4/100*Table1[[#This Row],[BW40_3705]]),"")</f>
        <v/>
      </c>
      <c r="H7249" s="7" t="str">
        <f>IF(Table1[[#This Row],[Is Data Valid]]=TRUE,((Table1[[#This Row],[Birthweight (grams)]]*0.9/Table1[[#This Row],[BW_GA]])-1)/(Backend!$B$4/100*Table1[[#This Row],[BW40_3705]]),"")</f>
        <v/>
      </c>
      <c r="I7249" s="7" t="str">
        <f>IF(Table1[[#This Row],[Is Data Valid]]=TRUE,((Table1[[#This Row],[Birthweight (grams)]]*1.1/Table1[[#This Row],[BW_GA]])-1)/(Backend!$B$4/100*Table1[[#This Row],[BW40_3705]]),"")</f>
        <v/>
      </c>
      <c r="J7249" s="7" t="str">
        <f>IF(Table1[[#This Row],[Is Data Valid]]=TRUE,_xlfn.NORM.S.DIST(Table1[[#This Row],[Birthweight Z-Score]],TRUE)*100,"")</f>
        <v/>
      </c>
      <c r="K7249" s="7" t="str">
        <f>IF(Table1[[#This Row],[Is Data Valid]]=TRUE,_xlfn.NORM.S.DIST(Table1[[#This Row],[Birthweight Z-Score (BW-10%)]],TRUE)*100,"")</f>
        <v/>
      </c>
      <c r="L7249" s="7" t="str">
        <f>IF(Table1[[#This Row],[Is Data Valid]]=TRUE,_xlfn.NORM.S.DIST(Table1[[#This Row],[Birthweight Z-Score (BW+10%)]],TRUE)*100,"")</f>
        <v/>
      </c>
    </row>
    <row r="7250" spans="1:12" x14ac:dyDescent="0.35">
      <c r="A7250" s="3"/>
      <c r="B7250" s="2"/>
      <c r="C7250" s="2"/>
      <c r="D7250" s="2" t="b">
        <f>IF(AND(NOT(ISBLANK(Table1[[#This Row],[Fetal Sex (Male, Female or Unknown)]])),ISNUMBER(Table1[[#This Row],[Birthweight (grams)]]),ISNUMBER(Table1[[#This Row],[Gestation (days)]])),TRUE,FALSE)</f>
        <v>0</v>
      </c>
      <c r="E7250" s="2" t="str">
        <f>IF(Table1[[#This Row],[Is Data Valid]]=TRUE,IF(Table1[[#This Row],[Fetal Sex (Male, Female or Unknown)]]="Male",Backend!$C$6,IF(Table1[[#This Row],[Fetal Sex (Male, Female or Unknown)]]="Female",Backend!$C$7,IF(Table1[[#This Row],[Fetal Sex (Male, Female or Unknown)]]="Unknown",Backend!$C$8,"Error"))),"")</f>
        <v/>
      </c>
      <c r="F7250" s="8" t="str">
        <f>IF(Table1[[#This Row],[Is Data Valid]]=TRUE,EXP(0.578+0.332*((Table1[[#This Row],[Gestation (days)]]+0.5)/7)-0.00354*((Table1[[#This Row],[Gestation (days)]]+0.5)/7)^2)*Table1[[#This Row],[BW40_3705]],"")</f>
        <v/>
      </c>
      <c r="G7250" s="2" t="str">
        <f>IF(Table1[[#This Row],[Is Data Valid]]=TRUE,((Table1[[#This Row],[Birthweight (grams)]]/Table1[[#This Row],[BW_GA]])-1)/(Backend!$B$4/100*Table1[[#This Row],[BW40_3705]]),"")</f>
        <v/>
      </c>
      <c r="H7250" s="7" t="str">
        <f>IF(Table1[[#This Row],[Is Data Valid]]=TRUE,((Table1[[#This Row],[Birthweight (grams)]]*0.9/Table1[[#This Row],[BW_GA]])-1)/(Backend!$B$4/100*Table1[[#This Row],[BW40_3705]]),"")</f>
        <v/>
      </c>
      <c r="I7250" s="7" t="str">
        <f>IF(Table1[[#This Row],[Is Data Valid]]=TRUE,((Table1[[#This Row],[Birthweight (grams)]]*1.1/Table1[[#This Row],[BW_GA]])-1)/(Backend!$B$4/100*Table1[[#This Row],[BW40_3705]]),"")</f>
        <v/>
      </c>
      <c r="J7250" s="7" t="str">
        <f>IF(Table1[[#This Row],[Is Data Valid]]=TRUE,_xlfn.NORM.S.DIST(Table1[[#This Row],[Birthweight Z-Score]],TRUE)*100,"")</f>
        <v/>
      </c>
      <c r="K7250" s="7" t="str">
        <f>IF(Table1[[#This Row],[Is Data Valid]]=TRUE,_xlfn.NORM.S.DIST(Table1[[#This Row],[Birthweight Z-Score (BW-10%)]],TRUE)*100,"")</f>
        <v/>
      </c>
      <c r="L7250" s="7" t="str">
        <f>IF(Table1[[#This Row],[Is Data Valid]]=TRUE,_xlfn.NORM.S.DIST(Table1[[#This Row],[Birthweight Z-Score (BW+10%)]],TRUE)*100,"")</f>
        <v/>
      </c>
    </row>
    <row r="7251" spans="1:12" x14ac:dyDescent="0.35">
      <c r="A7251" s="3"/>
      <c r="B7251" s="2"/>
      <c r="C7251" s="2"/>
      <c r="D7251" s="2" t="b">
        <f>IF(AND(NOT(ISBLANK(Table1[[#This Row],[Fetal Sex (Male, Female or Unknown)]])),ISNUMBER(Table1[[#This Row],[Birthweight (grams)]]),ISNUMBER(Table1[[#This Row],[Gestation (days)]])),TRUE,FALSE)</f>
        <v>0</v>
      </c>
      <c r="E7251" s="2" t="str">
        <f>IF(Table1[[#This Row],[Is Data Valid]]=TRUE,IF(Table1[[#This Row],[Fetal Sex (Male, Female or Unknown)]]="Male",Backend!$C$6,IF(Table1[[#This Row],[Fetal Sex (Male, Female or Unknown)]]="Female",Backend!$C$7,IF(Table1[[#This Row],[Fetal Sex (Male, Female or Unknown)]]="Unknown",Backend!$C$8,"Error"))),"")</f>
        <v/>
      </c>
      <c r="F7251" s="8" t="str">
        <f>IF(Table1[[#This Row],[Is Data Valid]]=TRUE,EXP(0.578+0.332*((Table1[[#This Row],[Gestation (days)]]+0.5)/7)-0.00354*((Table1[[#This Row],[Gestation (days)]]+0.5)/7)^2)*Table1[[#This Row],[BW40_3705]],"")</f>
        <v/>
      </c>
      <c r="G7251" s="2" t="str">
        <f>IF(Table1[[#This Row],[Is Data Valid]]=TRUE,((Table1[[#This Row],[Birthweight (grams)]]/Table1[[#This Row],[BW_GA]])-1)/(Backend!$B$4/100*Table1[[#This Row],[BW40_3705]]),"")</f>
        <v/>
      </c>
      <c r="H7251" s="7" t="str">
        <f>IF(Table1[[#This Row],[Is Data Valid]]=TRUE,((Table1[[#This Row],[Birthweight (grams)]]*0.9/Table1[[#This Row],[BW_GA]])-1)/(Backend!$B$4/100*Table1[[#This Row],[BW40_3705]]),"")</f>
        <v/>
      </c>
      <c r="I7251" s="7" t="str">
        <f>IF(Table1[[#This Row],[Is Data Valid]]=TRUE,((Table1[[#This Row],[Birthweight (grams)]]*1.1/Table1[[#This Row],[BW_GA]])-1)/(Backend!$B$4/100*Table1[[#This Row],[BW40_3705]]),"")</f>
        <v/>
      </c>
      <c r="J7251" s="7" t="str">
        <f>IF(Table1[[#This Row],[Is Data Valid]]=TRUE,_xlfn.NORM.S.DIST(Table1[[#This Row],[Birthweight Z-Score]],TRUE)*100,"")</f>
        <v/>
      </c>
      <c r="K7251" s="7" t="str">
        <f>IF(Table1[[#This Row],[Is Data Valid]]=TRUE,_xlfn.NORM.S.DIST(Table1[[#This Row],[Birthweight Z-Score (BW-10%)]],TRUE)*100,"")</f>
        <v/>
      </c>
      <c r="L7251" s="7" t="str">
        <f>IF(Table1[[#This Row],[Is Data Valid]]=TRUE,_xlfn.NORM.S.DIST(Table1[[#This Row],[Birthweight Z-Score (BW+10%)]],TRUE)*100,"")</f>
        <v/>
      </c>
    </row>
    <row r="7252" spans="1:12" x14ac:dyDescent="0.35">
      <c r="A7252" s="3"/>
      <c r="B7252" s="2"/>
      <c r="C7252" s="2"/>
      <c r="D7252" s="2" t="b">
        <f>IF(AND(NOT(ISBLANK(Table1[[#This Row],[Fetal Sex (Male, Female or Unknown)]])),ISNUMBER(Table1[[#This Row],[Birthweight (grams)]]),ISNUMBER(Table1[[#This Row],[Gestation (days)]])),TRUE,FALSE)</f>
        <v>0</v>
      </c>
      <c r="E7252" s="2" t="str">
        <f>IF(Table1[[#This Row],[Is Data Valid]]=TRUE,IF(Table1[[#This Row],[Fetal Sex (Male, Female or Unknown)]]="Male",Backend!$C$6,IF(Table1[[#This Row],[Fetal Sex (Male, Female or Unknown)]]="Female",Backend!$C$7,IF(Table1[[#This Row],[Fetal Sex (Male, Female or Unknown)]]="Unknown",Backend!$C$8,"Error"))),"")</f>
        <v/>
      </c>
      <c r="F7252" s="8" t="str">
        <f>IF(Table1[[#This Row],[Is Data Valid]]=TRUE,EXP(0.578+0.332*((Table1[[#This Row],[Gestation (days)]]+0.5)/7)-0.00354*((Table1[[#This Row],[Gestation (days)]]+0.5)/7)^2)*Table1[[#This Row],[BW40_3705]],"")</f>
        <v/>
      </c>
      <c r="G7252" s="2" t="str">
        <f>IF(Table1[[#This Row],[Is Data Valid]]=TRUE,((Table1[[#This Row],[Birthweight (grams)]]/Table1[[#This Row],[BW_GA]])-1)/(Backend!$B$4/100*Table1[[#This Row],[BW40_3705]]),"")</f>
        <v/>
      </c>
      <c r="H7252" s="7" t="str">
        <f>IF(Table1[[#This Row],[Is Data Valid]]=TRUE,((Table1[[#This Row],[Birthweight (grams)]]*0.9/Table1[[#This Row],[BW_GA]])-1)/(Backend!$B$4/100*Table1[[#This Row],[BW40_3705]]),"")</f>
        <v/>
      </c>
      <c r="I7252" s="7" t="str">
        <f>IF(Table1[[#This Row],[Is Data Valid]]=TRUE,((Table1[[#This Row],[Birthweight (grams)]]*1.1/Table1[[#This Row],[BW_GA]])-1)/(Backend!$B$4/100*Table1[[#This Row],[BW40_3705]]),"")</f>
        <v/>
      </c>
      <c r="J7252" s="7" t="str">
        <f>IF(Table1[[#This Row],[Is Data Valid]]=TRUE,_xlfn.NORM.S.DIST(Table1[[#This Row],[Birthweight Z-Score]],TRUE)*100,"")</f>
        <v/>
      </c>
      <c r="K7252" s="7" t="str">
        <f>IF(Table1[[#This Row],[Is Data Valid]]=TRUE,_xlfn.NORM.S.DIST(Table1[[#This Row],[Birthweight Z-Score (BW-10%)]],TRUE)*100,"")</f>
        <v/>
      </c>
      <c r="L7252" s="7" t="str">
        <f>IF(Table1[[#This Row],[Is Data Valid]]=TRUE,_xlfn.NORM.S.DIST(Table1[[#This Row],[Birthweight Z-Score (BW+10%)]],TRUE)*100,"")</f>
        <v/>
      </c>
    </row>
    <row r="7253" spans="1:12" x14ac:dyDescent="0.35">
      <c r="A7253" s="3"/>
      <c r="B7253" s="2"/>
      <c r="C7253" s="2"/>
      <c r="D7253" s="2" t="b">
        <f>IF(AND(NOT(ISBLANK(Table1[[#This Row],[Fetal Sex (Male, Female or Unknown)]])),ISNUMBER(Table1[[#This Row],[Birthweight (grams)]]),ISNUMBER(Table1[[#This Row],[Gestation (days)]])),TRUE,FALSE)</f>
        <v>0</v>
      </c>
      <c r="E7253" s="2" t="str">
        <f>IF(Table1[[#This Row],[Is Data Valid]]=TRUE,IF(Table1[[#This Row],[Fetal Sex (Male, Female or Unknown)]]="Male",Backend!$C$6,IF(Table1[[#This Row],[Fetal Sex (Male, Female or Unknown)]]="Female",Backend!$C$7,IF(Table1[[#This Row],[Fetal Sex (Male, Female or Unknown)]]="Unknown",Backend!$C$8,"Error"))),"")</f>
        <v/>
      </c>
      <c r="F7253" s="8" t="str">
        <f>IF(Table1[[#This Row],[Is Data Valid]]=TRUE,EXP(0.578+0.332*((Table1[[#This Row],[Gestation (days)]]+0.5)/7)-0.00354*((Table1[[#This Row],[Gestation (days)]]+0.5)/7)^2)*Table1[[#This Row],[BW40_3705]],"")</f>
        <v/>
      </c>
      <c r="G7253" s="2" t="str">
        <f>IF(Table1[[#This Row],[Is Data Valid]]=TRUE,((Table1[[#This Row],[Birthweight (grams)]]/Table1[[#This Row],[BW_GA]])-1)/(Backend!$B$4/100*Table1[[#This Row],[BW40_3705]]),"")</f>
        <v/>
      </c>
      <c r="H7253" s="7" t="str">
        <f>IF(Table1[[#This Row],[Is Data Valid]]=TRUE,((Table1[[#This Row],[Birthweight (grams)]]*0.9/Table1[[#This Row],[BW_GA]])-1)/(Backend!$B$4/100*Table1[[#This Row],[BW40_3705]]),"")</f>
        <v/>
      </c>
      <c r="I7253" s="7" t="str">
        <f>IF(Table1[[#This Row],[Is Data Valid]]=TRUE,((Table1[[#This Row],[Birthweight (grams)]]*1.1/Table1[[#This Row],[BW_GA]])-1)/(Backend!$B$4/100*Table1[[#This Row],[BW40_3705]]),"")</f>
        <v/>
      </c>
      <c r="J7253" s="7" t="str">
        <f>IF(Table1[[#This Row],[Is Data Valid]]=TRUE,_xlfn.NORM.S.DIST(Table1[[#This Row],[Birthweight Z-Score]],TRUE)*100,"")</f>
        <v/>
      </c>
      <c r="K7253" s="7" t="str">
        <f>IF(Table1[[#This Row],[Is Data Valid]]=TRUE,_xlfn.NORM.S.DIST(Table1[[#This Row],[Birthweight Z-Score (BW-10%)]],TRUE)*100,"")</f>
        <v/>
      </c>
      <c r="L7253" s="7" t="str">
        <f>IF(Table1[[#This Row],[Is Data Valid]]=TRUE,_xlfn.NORM.S.DIST(Table1[[#This Row],[Birthweight Z-Score (BW+10%)]],TRUE)*100,"")</f>
        <v/>
      </c>
    </row>
    <row r="7254" spans="1:12" x14ac:dyDescent="0.35">
      <c r="A7254" s="3"/>
      <c r="B7254" s="2"/>
      <c r="C7254" s="2"/>
      <c r="D7254" s="2" t="b">
        <f>IF(AND(NOT(ISBLANK(Table1[[#This Row],[Fetal Sex (Male, Female or Unknown)]])),ISNUMBER(Table1[[#This Row],[Birthweight (grams)]]),ISNUMBER(Table1[[#This Row],[Gestation (days)]])),TRUE,FALSE)</f>
        <v>0</v>
      </c>
      <c r="E7254" s="2" t="str">
        <f>IF(Table1[[#This Row],[Is Data Valid]]=TRUE,IF(Table1[[#This Row],[Fetal Sex (Male, Female or Unknown)]]="Male",Backend!$C$6,IF(Table1[[#This Row],[Fetal Sex (Male, Female or Unknown)]]="Female",Backend!$C$7,IF(Table1[[#This Row],[Fetal Sex (Male, Female or Unknown)]]="Unknown",Backend!$C$8,"Error"))),"")</f>
        <v/>
      </c>
      <c r="F7254" s="8" t="str">
        <f>IF(Table1[[#This Row],[Is Data Valid]]=TRUE,EXP(0.578+0.332*((Table1[[#This Row],[Gestation (days)]]+0.5)/7)-0.00354*((Table1[[#This Row],[Gestation (days)]]+0.5)/7)^2)*Table1[[#This Row],[BW40_3705]],"")</f>
        <v/>
      </c>
      <c r="G7254" s="2" t="str">
        <f>IF(Table1[[#This Row],[Is Data Valid]]=TRUE,((Table1[[#This Row],[Birthweight (grams)]]/Table1[[#This Row],[BW_GA]])-1)/(Backend!$B$4/100*Table1[[#This Row],[BW40_3705]]),"")</f>
        <v/>
      </c>
      <c r="H7254" s="7" t="str">
        <f>IF(Table1[[#This Row],[Is Data Valid]]=TRUE,((Table1[[#This Row],[Birthweight (grams)]]*0.9/Table1[[#This Row],[BW_GA]])-1)/(Backend!$B$4/100*Table1[[#This Row],[BW40_3705]]),"")</f>
        <v/>
      </c>
      <c r="I7254" s="7" t="str">
        <f>IF(Table1[[#This Row],[Is Data Valid]]=TRUE,((Table1[[#This Row],[Birthweight (grams)]]*1.1/Table1[[#This Row],[BW_GA]])-1)/(Backend!$B$4/100*Table1[[#This Row],[BW40_3705]]),"")</f>
        <v/>
      </c>
      <c r="J7254" s="7" t="str">
        <f>IF(Table1[[#This Row],[Is Data Valid]]=TRUE,_xlfn.NORM.S.DIST(Table1[[#This Row],[Birthweight Z-Score]],TRUE)*100,"")</f>
        <v/>
      </c>
      <c r="K7254" s="7" t="str">
        <f>IF(Table1[[#This Row],[Is Data Valid]]=TRUE,_xlfn.NORM.S.DIST(Table1[[#This Row],[Birthweight Z-Score (BW-10%)]],TRUE)*100,"")</f>
        <v/>
      </c>
      <c r="L7254" s="7" t="str">
        <f>IF(Table1[[#This Row],[Is Data Valid]]=TRUE,_xlfn.NORM.S.DIST(Table1[[#This Row],[Birthweight Z-Score (BW+10%)]],TRUE)*100,"")</f>
        <v/>
      </c>
    </row>
    <row r="7255" spans="1:12" x14ac:dyDescent="0.35">
      <c r="A7255" s="3"/>
      <c r="B7255" s="2"/>
      <c r="C7255" s="2"/>
      <c r="D7255" s="2" t="b">
        <f>IF(AND(NOT(ISBLANK(Table1[[#This Row],[Fetal Sex (Male, Female or Unknown)]])),ISNUMBER(Table1[[#This Row],[Birthweight (grams)]]),ISNUMBER(Table1[[#This Row],[Gestation (days)]])),TRUE,FALSE)</f>
        <v>0</v>
      </c>
      <c r="E7255" s="2" t="str">
        <f>IF(Table1[[#This Row],[Is Data Valid]]=TRUE,IF(Table1[[#This Row],[Fetal Sex (Male, Female or Unknown)]]="Male",Backend!$C$6,IF(Table1[[#This Row],[Fetal Sex (Male, Female or Unknown)]]="Female",Backend!$C$7,IF(Table1[[#This Row],[Fetal Sex (Male, Female or Unknown)]]="Unknown",Backend!$C$8,"Error"))),"")</f>
        <v/>
      </c>
      <c r="F7255" s="8" t="str">
        <f>IF(Table1[[#This Row],[Is Data Valid]]=TRUE,EXP(0.578+0.332*((Table1[[#This Row],[Gestation (days)]]+0.5)/7)-0.00354*((Table1[[#This Row],[Gestation (days)]]+0.5)/7)^2)*Table1[[#This Row],[BW40_3705]],"")</f>
        <v/>
      </c>
      <c r="G7255" s="2" t="str">
        <f>IF(Table1[[#This Row],[Is Data Valid]]=TRUE,((Table1[[#This Row],[Birthweight (grams)]]/Table1[[#This Row],[BW_GA]])-1)/(Backend!$B$4/100*Table1[[#This Row],[BW40_3705]]),"")</f>
        <v/>
      </c>
      <c r="H7255" s="7" t="str">
        <f>IF(Table1[[#This Row],[Is Data Valid]]=TRUE,((Table1[[#This Row],[Birthweight (grams)]]*0.9/Table1[[#This Row],[BW_GA]])-1)/(Backend!$B$4/100*Table1[[#This Row],[BW40_3705]]),"")</f>
        <v/>
      </c>
      <c r="I7255" s="7" t="str">
        <f>IF(Table1[[#This Row],[Is Data Valid]]=TRUE,((Table1[[#This Row],[Birthweight (grams)]]*1.1/Table1[[#This Row],[BW_GA]])-1)/(Backend!$B$4/100*Table1[[#This Row],[BW40_3705]]),"")</f>
        <v/>
      </c>
      <c r="J7255" s="7" t="str">
        <f>IF(Table1[[#This Row],[Is Data Valid]]=TRUE,_xlfn.NORM.S.DIST(Table1[[#This Row],[Birthweight Z-Score]],TRUE)*100,"")</f>
        <v/>
      </c>
      <c r="K7255" s="7" t="str">
        <f>IF(Table1[[#This Row],[Is Data Valid]]=TRUE,_xlfn.NORM.S.DIST(Table1[[#This Row],[Birthweight Z-Score (BW-10%)]],TRUE)*100,"")</f>
        <v/>
      </c>
      <c r="L7255" s="7" t="str">
        <f>IF(Table1[[#This Row],[Is Data Valid]]=TRUE,_xlfn.NORM.S.DIST(Table1[[#This Row],[Birthweight Z-Score (BW+10%)]],TRUE)*100,"")</f>
        <v/>
      </c>
    </row>
    <row r="7256" spans="1:12" x14ac:dyDescent="0.35">
      <c r="A7256" s="3"/>
      <c r="B7256" s="2"/>
      <c r="C7256" s="2"/>
      <c r="D7256" s="2" t="b">
        <f>IF(AND(NOT(ISBLANK(Table1[[#This Row],[Fetal Sex (Male, Female or Unknown)]])),ISNUMBER(Table1[[#This Row],[Birthweight (grams)]]),ISNUMBER(Table1[[#This Row],[Gestation (days)]])),TRUE,FALSE)</f>
        <v>0</v>
      </c>
      <c r="E7256" s="2" t="str">
        <f>IF(Table1[[#This Row],[Is Data Valid]]=TRUE,IF(Table1[[#This Row],[Fetal Sex (Male, Female or Unknown)]]="Male",Backend!$C$6,IF(Table1[[#This Row],[Fetal Sex (Male, Female or Unknown)]]="Female",Backend!$C$7,IF(Table1[[#This Row],[Fetal Sex (Male, Female or Unknown)]]="Unknown",Backend!$C$8,"Error"))),"")</f>
        <v/>
      </c>
      <c r="F7256" s="8" t="str">
        <f>IF(Table1[[#This Row],[Is Data Valid]]=TRUE,EXP(0.578+0.332*((Table1[[#This Row],[Gestation (days)]]+0.5)/7)-0.00354*((Table1[[#This Row],[Gestation (days)]]+0.5)/7)^2)*Table1[[#This Row],[BW40_3705]],"")</f>
        <v/>
      </c>
      <c r="G7256" s="2" t="str">
        <f>IF(Table1[[#This Row],[Is Data Valid]]=TRUE,((Table1[[#This Row],[Birthweight (grams)]]/Table1[[#This Row],[BW_GA]])-1)/(Backend!$B$4/100*Table1[[#This Row],[BW40_3705]]),"")</f>
        <v/>
      </c>
      <c r="H7256" s="7" t="str">
        <f>IF(Table1[[#This Row],[Is Data Valid]]=TRUE,((Table1[[#This Row],[Birthweight (grams)]]*0.9/Table1[[#This Row],[BW_GA]])-1)/(Backend!$B$4/100*Table1[[#This Row],[BW40_3705]]),"")</f>
        <v/>
      </c>
      <c r="I7256" s="7" t="str">
        <f>IF(Table1[[#This Row],[Is Data Valid]]=TRUE,((Table1[[#This Row],[Birthweight (grams)]]*1.1/Table1[[#This Row],[BW_GA]])-1)/(Backend!$B$4/100*Table1[[#This Row],[BW40_3705]]),"")</f>
        <v/>
      </c>
      <c r="J7256" s="7" t="str">
        <f>IF(Table1[[#This Row],[Is Data Valid]]=TRUE,_xlfn.NORM.S.DIST(Table1[[#This Row],[Birthweight Z-Score]],TRUE)*100,"")</f>
        <v/>
      </c>
      <c r="K7256" s="7" t="str">
        <f>IF(Table1[[#This Row],[Is Data Valid]]=TRUE,_xlfn.NORM.S.DIST(Table1[[#This Row],[Birthweight Z-Score (BW-10%)]],TRUE)*100,"")</f>
        <v/>
      </c>
      <c r="L7256" s="7" t="str">
        <f>IF(Table1[[#This Row],[Is Data Valid]]=TRUE,_xlfn.NORM.S.DIST(Table1[[#This Row],[Birthweight Z-Score (BW+10%)]],TRUE)*100,"")</f>
        <v/>
      </c>
    </row>
    <row r="7257" spans="1:12" x14ac:dyDescent="0.35">
      <c r="A7257" s="3"/>
      <c r="B7257" s="2"/>
      <c r="C7257" s="2"/>
      <c r="D7257" s="2" t="b">
        <f>IF(AND(NOT(ISBLANK(Table1[[#This Row],[Fetal Sex (Male, Female or Unknown)]])),ISNUMBER(Table1[[#This Row],[Birthweight (grams)]]),ISNUMBER(Table1[[#This Row],[Gestation (days)]])),TRUE,FALSE)</f>
        <v>0</v>
      </c>
      <c r="E7257" s="2" t="str">
        <f>IF(Table1[[#This Row],[Is Data Valid]]=TRUE,IF(Table1[[#This Row],[Fetal Sex (Male, Female or Unknown)]]="Male",Backend!$C$6,IF(Table1[[#This Row],[Fetal Sex (Male, Female or Unknown)]]="Female",Backend!$C$7,IF(Table1[[#This Row],[Fetal Sex (Male, Female or Unknown)]]="Unknown",Backend!$C$8,"Error"))),"")</f>
        <v/>
      </c>
      <c r="F7257" s="8" t="str">
        <f>IF(Table1[[#This Row],[Is Data Valid]]=TRUE,EXP(0.578+0.332*((Table1[[#This Row],[Gestation (days)]]+0.5)/7)-0.00354*((Table1[[#This Row],[Gestation (days)]]+0.5)/7)^2)*Table1[[#This Row],[BW40_3705]],"")</f>
        <v/>
      </c>
      <c r="G7257" s="2" t="str">
        <f>IF(Table1[[#This Row],[Is Data Valid]]=TRUE,((Table1[[#This Row],[Birthweight (grams)]]/Table1[[#This Row],[BW_GA]])-1)/(Backend!$B$4/100*Table1[[#This Row],[BW40_3705]]),"")</f>
        <v/>
      </c>
      <c r="H7257" s="7" t="str">
        <f>IF(Table1[[#This Row],[Is Data Valid]]=TRUE,((Table1[[#This Row],[Birthweight (grams)]]*0.9/Table1[[#This Row],[BW_GA]])-1)/(Backend!$B$4/100*Table1[[#This Row],[BW40_3705]]),"")</f>
        <v/>
      </c>
      <c r="I7257" s="7" t="str">
        <f>IF(Table1[[#This Row],[Is Data Valid]]=TRUE,((Table1[[#This Row],[Birthweight (grams)]]*1.1/Table1[[#This Row],[BW_GA]])-1)/(Backend!$B$4/100*Table1[[#This Row],[BW40_3705]]),"")</f>
        <v/>
      </c>
      <c r="J7257" s="7" t="str">
        <f>IF(Table1[[#This Row],[Is Data Valid]]=TRUE,_xlfn.NORM.S.DIST(Table1[[#This Row],[Birthweight Z-Score]],TRUE)*100,"")</f>
        <v/>
      </c>
      <c r="K7257" s="7" t="str">
        <f>IF(Table1[[#This Row],[Is Data Valid]]=TRUE,_xlfn.NORM.S.DIST(Table1[[#This Row],[Birthweight Z-Score (BW-10%)]],TRUE)*100,"")</f>
        <v/>
      </c>
      <c r="L7257" s="7" t="str">
        <f>IF(Table1[[#This Row],[Is Data Valid]]=TRUE,_xlfn.NORM.S.DIST(Table1[[#This Row],[Birthweight Z-Score (BW+10%)]],TRUE)*100,"")</f>
        <v/>
      </c>
    </row>
    <row r="7258" spans="1:12" x14ac:dyDescent="0.35">
      <c r="A7258" s="3"/>
      <c r="B7258" s="2"/>
      <c r="C7258" s="2"/>
      <c r="D7258" s="2" t="b">
        <f>IF(AND(NOT(ISBLANK(Table1[[#This Row],[Fetal Sex (Male, Female or Unknown)]])),ISNUMBER(Table1[[#This Row],[Birthweight (grams)]]),ISNUMBER(Table1[[#This Row],[Gestation (days)]])),TRUE,FALSE)</f>
        <v>0</v>
      </c>
      <c r="E7258" s="2" t="str">
        <f>IF(Table1[[#This Row],[Is Data Valid]]=TRUE,IF(Table1[[#This Row],[Fetal Sex (Male, Female or Unknown)]]="Male",Backend!$C$6,IF(Table1[[#This Row],[Fetal Sex (Male, Female or Unknown)]]="Female",Backend!$C$7,IF(Table1[[#This Row],[Fetal Sex (Male, Female or Unknown)]]="Unknown",Backend!$C$8,"Error"))),"")</f>
        <v/>
      </c>
      <c r="F7258" s="8" t="str">
        <f>IF(Table1[[#This Row],[Is Data Valid]]=TRUE,EXP(0.578+0.332*((Table1[[#This Row],[Gestation (days)]]+0.5)/7)-0.00354*((Table1[[#This Row],[Gestation (days)]]+0.5)/7)^2)*Table1[[#This Row],[BW40_3705]],"")</f>
        <v/>
      </c>
      <c r="G7258" s="2" t="str">
        <f>IF(Table1[[#This Row],[Is Data Valid]]=TRUE,((Table1[[#This Row],[Birthweight (grams)]]/Table1[[#This Row],[BW_GA]])-1)/(Backend!$B$4/100*Table1[[#This Row],[BW40_3705]]),"")</f>
        <v/>
      </c>
      <c r="H7258" s="7" t="str">
        <f>IF(Table1[[#This Row],[Is Data Valid]]=TRUE,((Table1[[#This Row],[Birthweight (grams)]]*0.9/Table1[[#This Row],[BW_GA]])-1)/(Backend!$B$4/100*Table1[[#This Row],[BW40_3705]]),"")</f>
        <v/>
      </c>
      <c r="I7258" s="7" t="str">
        <f>IF(Table1[[#This Row],[Is Data Valid]]=TRUE,((Table1[[#This Row],[Birthweight (grams)]]*1.1/Table1[[#This Row],[BW_GA]])-1)/(Backend!$B$4/100*Table1[[#This Row],[BW40_3705]]),"")</f>
        <v/>
      </c>
      <c r="J7258" s="7" t="str">
        <f>IF(Table1[[#This Row],[Is Data Valid]]=TRUE,_xlfn.NORM.S.DIST(Table1[[#This Row],[Birthweight Z-Score]],TRUE)*100,"")</f>
        <v/>
      </c>
      <c r="K7258" s="7" t="str">
        <f>IF(Table1[[#This Row],[Is Data Valid]]=TRUE,_xlfn.NORM.S.DIST(Table1[[#This Row],[Birthweight Z-Score (BW-10%)]],TRUE)*100,"")</f>
        <v/>
      </c>
      <c r="L7258" s="7" t="str">
        <f>IF(Table1[[#This Row],[Is Data Valid]]=TRUE,_xlfn.NORM.S.DIST(Table1[[#This Row],[Birthweight Z-Score (BW+10%)]],TRUE)*100,"")</f>
        <v/>
      </c>
    </row>
    <row r="7259" spans="1:12" x14ac:dyDescent="0.35">
      <c r="A7259" s="3"/>
      <c r="B7259" s="2"/>
      <c r="C7259" s="2"/>
      <c r="D7259" s="2" t="b">
        <f>IF(AND(NOT(ISBLANK(Table1[[#This Row],[Fetal Sex (Male, Female or Unknown)]])),ISNUMBER(Table1[[#This Row],[Birthweight (grams)]]),ISNUMBER(Table1[[#This Row],[Gestation (days)]])),TRUE,FALSE)</f>
        <v>0</v>
      </c>
      <c r="E7259" s="2" t="str">
        <f>IF(Table1[[#This Row],[Is Data Valid]]=TRUE,IF(Table1[[#This Row],[Fetal Sex (Male, Female or Unknown)]]="Male",Backend!$C$6,IF(Table1[[#This Row],[Fetal Sex (Male, Female or Unknown)]]="Female",Backend!$C$7,IF(Table1[[#This Row],[Fetal Sex (Male, Female or Unknown)]]="Unknown",Backend!$C$8,"Error"))),"")</f>
        <v/>
      </c>
      <c r="F7259" s="8" t="str">
        <f>IF(Table1[[#This Row],[Is Data Valid]]=TRUE,EXP(0.578+0.332*((Table1[[#This Row],[Gestation (days)]]+0.5)/7)-0.00354*((Table1[[#This Row],[Gestation (days)]]+0.5)/7)^2)*Table1[[#This Row],[BW40_3705]],"")</f>
        <v/>
      </c>
      <c r="G7259" s="2" t="str">
        <f>IF(Table1[[#This Row],[Is Data Valid]]=TRUE,((Table1[[#This Row],[Birthweight (grams)]]/Table1[[#This Row],[BW_GA]])-1)/(Backend!$B$4/100*Table1[[#This Row],[BW40_3705]]),"")</f>
        <v/>
      </c>
      <c r="H7259" s="7" t="str">
        <f>IF(Table1[[#This Row],[Is Data Valid]]=TRUE,((Table1[[#This Row],[Birthweight (grams)]]*0.9/Table1[[#This Row],[BW_GA]])-1)/(Backend!$B$4/100*Table1[[#This Row],[BW40_3705]]),"")</f>
        <v/>
      </c>
      <c r="I7259" s="7" t="str">
        <f>IF(Table1[[#This Row],[Is Data Valid]]=TRUE,((Table1[[#This Row],[Birthweight (grams)]]*1.1/Table1[[#This Row],[BW_GA]])-1)/(Backend!$B$4/100*Table1[[#This Row],[BW40_3705]]),"")</f>
        <v/>
      </c>
      <c r="J7259" s="7" t="str">
        <f>IF(Table1[[#This Row],[Is Data Valid]]=TRUE,_xlfn.NORM.S.DIST(Table1[[#This Row],[Birthweight Z-Score]],TRUE)*100,"")</f>
        <v/>
      </c>
      <c r="K7259" s="7" t="str">
        <f>IF(Table1[[#This Row],[Is Data Valid]]=TRUE,_xlfn.NORM.S.DIST(Table1[[#This Row],[Birthweight Z-Score (BW-10%)]],TRUE)*100,"")</f>
        <v/>
      </c>
      <c r="L7259" s="7" t="str">
        <f>IF(Table1[[#This Row],[Is Data Valid]]=TRUE,_xlfn.NORM.S.DIST(Table1[[#This Row],[Birthweight Z-Score (BW+10%)]],TRUE)*100,"")</f>
        <v/>
      </c>
    </row>
    <row r="7260" spans="1:12" x14ac:dyDescent="0.35">
      <c r="A7260" s="3"/>
      <c r="B7260" s="2"/>
      <c r="C7260" s="2"/>
      <c r="D7260" s="2" t="b">
        <f>IF(AND(NOT(ISBLANK(Table1[[#This Row],[Fetal Sex (Male, Female or Unknown)]])),ISNUMBER(Table1[[#This Row],[Birthweight (grams)]]),ISNUMBER(Table1[[#This Row],[Gestation (days)]])),TRUE,FALSE)</f>
        <v>0</v>
      </c>
      <c r="E7260" s="2" t="str">
        <f>IF(Table1[[#This Row],[Is Data Valid]]=TRUE,IF(Table1[[#This Row],[Fetal Sex (Male, Female or Unknown)]]="Male",Backend!$C$6,IF(Table1[[#This Row],[Fetal Sex (Male, Female or Unknown)]]="Female",Backend!$C$7,IF(Table1[[#This Row],[Fetal Sex (Male, Female or Unknown)]]="Unknown",Backend!$C$8,"Error"))),"")</f>
        <v/>
      </c>
      <c r="F7260" s="8" t="str">
        <f>IF(Table1[[#This Row],[Is Data Valid]]=TRUE,EXP(0.578+0.332*((Table1[[#This Row],[Gestation (days)]]+0.5)/7)-0.00354*((Table1[[#This Row],[Gestation (days)]]+0.5)/7)^2)*Table1[[#This Row],[BW40_3705]],"")</f>
        <v/>
      </c>
      <c r="G7260" s="2" t="str">
        <f>IF(Table1[[#This Row],[Is Data Valid]]=TRUE,((Table1[[#This Row],[Birthweight (grams)]]/Table1[[#This Row],[BW_GA]])-1)/(Backend!$B$4/100*Table1[[#This Row],[BW40_3705]]),"")</f>
        <v/>
      </c>
      <c r="H7260" s="7" t="str">
        <f>IF(Table1[[#This Row],[Is Data Valid]]=TRUE,((Table1[[#This Row],[Birthweight (grams)]]*0.9/Table1[[#This Row],[BW_GA]])-1)/(Backend!$B$4/100*Table1[[#This Row],[BW40_3705]]),"")</f>
        <v/>
      </c>
      <c r="I7260" s="7" t="str">
        <f>IF(Table1[[#This Row],[Is Data Valid]]=TRUE,((Table1[[#This Row],[Birthweight (grams)]]*1.1/Table1[[#This Row],[BW_GA]])-1)/(Backend!$B$4/100*Table1[[#This Row],[BW40_3705]]),"")</f>
        <v/>
      </c>
      <c r="J7260" s="7" t="str">
        <f>IF(Table1[[#This Row],[Is Data Valid]]=TRUE,_xlfn.NORM.S.DIST(Table1[[#This Row],[Birthweight Z-Score]],TRUE)*100,"")</f>
        <v/>
      </c>
      <c r="K7260" s="7" t="str">
        <f>IF(Table1[[#This Row],[Is Data Valid]]=TRUE,_xlfn.NORM.S.DIST(Table1[[#This Row],[Birthweight Z-Score (BW-10%)]],TRUE)*100,"")</f>
        <v/>
      </c>
      <c r="L7260" s="7" t="str">
        <f>IF(Table1[[#This Row],[Is Data Valid]]=TRUE,_xlfn.NORM.S.DIST(Table1[[#This Row],[Birthweight Z-Score (BW+10%)]],TRUE)*100,"")</f>
        <v/>
      </c>
    </row>
    <row r="7261" spans="1:12" x14ac:dyDescent="0.35">
      <c r="A7261" s="3"/>
      <c r="B7261" s="2"/>
      <c r="C7261" s="2"/>
      <c r="D7261" s="2" t="b">
        <f>IF(AND(NOT(ISBLANK(Table1[[#This Row],[Fetal Sex (Male, Female or Unknown)]])),ISNUMBER(Table1[[#This Row],[Birthweight (grams)]]),ISNUMBER(Table1[[#This Row],[Gestation (days)]])),TRUE,FALSE)</f>
        <v>0</v>
      </c>
      <c r="E7261" s="2" t="str">
        <f>IF(Table1[[#This Row],[Is Data Valid]]=TRUE,IF(Table1[[#This Row],[Fetal Sex (Male, Female or Unknown)]]="Male",Backend!$C$6,IF(Table1[[#This Row],[Fetal Sex (Male, Female or Unknown)]]="Female",Backend!$C$7,IF(Table1[[#This Row],[Fetal Sex (Male, Female or Unknown)]]="Unknown",Backend!$C$8,"Error"))),"")</f>
        <v/>
      </c>
      <c r="F7261" s="8" t="str">
        <f>IF(Table1[[#This Row],[Is Data Valid]]=TRUE,EXP(0.578+0.332*((Table1[[#This Row],[Gestation (days)]]+0.5)/7)-0.00354*((Table1[[#This Row],[Gestation (days)]]+0.5)/7)^2)*Table1[[#This Row],[BW40_3705]],"")</f>
        <v/>
      </c>
      <c r="G7261" s="2" t="str">
        <f>IF(Table1[[#This Row],[Is Data Valid]]=TRUE,((Table1[[#This Row],[Birthweight (grams)]]/Table1[[#This Row],[BW_GA]])-1)/(Backend!$B$4/100*Table1[[#This Row],[BW40_3705]]),"")</f>
        <v/>
      </c>
      <c r="H7261" s="7" t="str">
        <f>IF(Table1[[#This Row],[Is Data Valid]]=TRUE,((Table1[[#This Row],[Birthweight (grams)]]*0.9/Table1[[#This Row],[BW_GA]])-1)/(Backend!$B$4/100*Table1[[#This Row],[BW40_3705]]),"")</f>
        <v/>
      </c>
      <c r="I7261" s="7" t="str">
        <f>IF(Table1[[#This Row],[Is Data Valid]]=TRUE,((Table1[[#This Row],[Birthweight (grams)]]*1.1/Table1[[#This Row],[BW_GA]])-1)/(Backend!$B$4/100*Table1[[#This Row],[BW40_3705]]),"")</f>
        <v/>
      </c>
      <c r="J7261" s="7" t="str">
        <f>IF(Table1[[#This Row],[Is Data Valid]]=TRUE,_xlfn.NORM.S.DIST(Table1[[#This Row],[Birthweight Z-Score]],TRUE)*100,"")</f>
        <v/>
      </c>
      <c r="K7261" s="7" t="str">
        <f>IF(Table1[[#This Row],[Is Data Valid]]=TRUE,_xlfn.NORM.S.DIST(Table1[[#This Row],[Birthweight Z-Score (BW-10%)]],TRUE)*100,"")</f>
        <v/>
      </c>
      <c r="L7261" s="7" t="str">
        <f>IF(Table1[[#This Row],[Is Data Valid]]=TRUE,_xlfn.NORM.S.DIST(Table1[[#This Row],[Birthweight Z-Score (BW+10%)]],TRUE)*100,"")</f>
        <v/>
      </c>
    </row>
    <row r="7262" spans="1:12" x14ac:dyDescent="0.35">
      <c r="A7262" s="3"/>
      <c r="B7262" s="2"/>
      <c r="C7262" s="2"/>
      <c r="D7262" s="2" t="b">
        <f>IF(AND(NOT(ISBLANK(Table1[[#This Row],[Fetal Sex (Male, Female or Unknown)]])),ISNUMBER(Table1[[#This Row],[Birthweight (grams)]]),ISNUMBER(Table1[[#This Row],[Gestation (days)]])),TRUE,FALSE)</f>
        <v>0</v>
      </c>
      <c r="E7262" s="2" t="str">
        <f>IF(Table1[[#This Row],[Is Data Valid]]=TRUE,IF(Table1[[#This Row],[Fetal Sex (Male, Female or Unknown)]]="Male",Backend!$C$6,IF(Table1[[#This Row],[Fetal Sex (Male, Female or Unknown)]]="Female",Backend!$C$7,IF(Table1[[#This Row],[Fetal Sex (Male, Female or Unknown)]]="Unknown",Backend!$C$8,"Error"))),"")</f>
        <v/>
      </c>
      <c r="F7262" s="8" t="str">
        <f>IF(Table1[[#This Row],[Is Data Valid]]=TRUE,EXP(0.578+0.332*((Table1[[#This Row],[Gestation (days)]]+0.5)/7)-0.00354*((Table1[[#This Row],[Gestation (days)]]+0.5)/7)^2)*Table1[[#This Row],[BW40_3705]],"")</f>
        <v/>
      </c>
      <c r="G7262" s="2" t="str">
        <f>IF(Table1[[#This Row],[Is Data Valid]]=TRUE,((Table1[[#This Row],[Birthweight (grams)]]/Table1[[#This Row],[BW_GA]])-1)/(Backend!$B$4/100*Table1[[#This Row],[BW40_3705]]),"")</f>
        <v/>
      </c>
      <c r="H7262" s="7" t="str">
        <f>IF(Table1[[#This Row],[Is Data Valid]]=TRUE,((Table1[[#This Row],[Birthweight (grams)]]*0.9/Table1[[#This Row],[BW_GA]])-1)/(Backend!$B$4/100*Table1[[#This Row],[BW40_3705]]),"")</f>
        <v/>
      </c>
      <c r="I7262" s="7" t="str">
        <f>IF(Table1[[#This Row],[Is Data Valid]]=TRUE,((Table1[[#This Row],[Birthweight (grams)]]*1.1/Table1[[#This Row],[BW_GA]])-1)/(Backend!$B$4/100*Table1[[#This Row],[BW40_3705]]),"")</f>
        <v/>
      </c>
      <c r="J7262" s="7" t="str">
        <f>IF(Table1[[#This Row],[Is Data Valid]]=TRUE,_xlfn.NORM.S.DIST(Table1[[#This Row],[Birthweight Z-Score]],TRUE)*100,"")</f>
        <v/>
      </c>
      <c r="K7262" s="7" t="str">
        <f>IF(Table1[[#This Row],[Is Data Valid]]=TRUE,_xlfn.NORM.S.DIST(Table1[[#This Row],[Birthweight Z-Score (BW-10%)]],TRUE)*100,"")</f>
        <v/>
      </c>
      <c r="L7262" s="7" t="str">
        <f>IF(Table1[[#This Row],[Is Data Valid]]=TRUE,_xlfn.NORM.S.DIST(Table1[[#This Row],[Birthweight Z-Score (BW+10%)]],TRUE)*100,"")</f>
        <v/>
      </c>
    </row>
    <row r="7263" spans="1:12" x14ac:dyDescent="0.35">
      <c r="A7263" s="3"/>
      <c r="B7263" s="2"/>
      <c r="C7263" s="2"/>
      <c r="D7263" s="2" t="b">
        <f>IF(AND(NOT(ISBLANK(Table1[[#This Row],[Fetal Sex (Male, Female or Unknown)]])),ISNUMBER(Table1[[#This Row],[Birthweight (grams)]]),ISNUMBER(Table1[[#This Row],[Gestation (days)]])),TRUE,FALSE)</f>
        <v>0</v>
      </c>
      <c r="E7263" s="2" t="str">
        <f>IF(Table1[[#This Row],[Is Data Valid]]=TRUE,IF(Table1[[#This Row],[Fetal Sex (Male, Female or Unknown)]]="Male",Backend!$C$6,IF(Table1[[#This Row],[Fetal Sex (Male, Female or Unknown)]]="Female",Backend!$C$7,IF(Table1[[#This Row],[Fetal Sex (Male, Female or Unknown)]]="Unknown",Backend!$C$8,"Error"))),"")</f>
        <v/>
      </c>
      <c r="F7263" s="8" t="str">
        <f>IF(Table1[[#This Row],[Is Data Valid]]=TRUE,EXP(0.578+0.332*((Table1[[#This Row],[Gestation (days)]]+0.5)/7)-0.00354*((Table1[[#This Row],[Gestation (days)]]+0.5)/7)^2)*Table1[[#This Row],[BW40_3705]],"")</f>
        <v/>
      </c>
      <c r="G7263" s="2" t="str">
        <f>IF(Table1[[#This Row],[Is Data Valid]]=TRUE,((Table1[[#This Row],[Birthweight (grams)]]/Table1[[#This Row],[BW_GA]])-1)/(Backend!$B$4/100*Table1[[#This Row],[BW40_3705]]),"")</f>
        <v/>
      </c>
      <c r="H7263" s="7" t="str">
        <f>IF(Table1[[#This Row],[Is Data Valid]]=TRUE,((Table1[[#This Row],[Birthweight (grams)]]*0.9/Table1[[#This Row],[BW_GA]])-1)/(Backend!$B$4/100*Table1[[#This Row],[BW40_3705]]),"")</f>
        <v/>
      </c>
      <c r="I7263" s="7" t="str">
        <f>IF(Table1[[#This Row],[Is Data Valid]]=TRUE,((Table1[[#This Row],[Birthweight (grams)]]*1.1/Table1[[#This Row],[BW_GA]])-1)/(Backend!$B$4/100*Table1[[#This Row],[BW40_3705]]),"")</f>
        <v/>
      </c>
      <c r="J7263" s="7" t="str">
        <f>IF(Table1[[#This Row],[Is Data Valid]]=TRUE,_xlfn.NORM.S.DIST(Table1[[#This Row],[Birthweight Z-Score]],TRUE)*100,"")</f>
        <v/>
      </c>
      <c r="K7263" s="7" t="str">
        <f>IF(Table1[[#This Row],[Is Data Valid]]=TRUE,_xlfn.NORM.S.DIST(Table1[[#This Row],[Birthweight Z-Score (BW-10%)]],TRUE)*100,"")</f>
        <v/>
      </c>
      <c r="L7263" s="7" t="str">
        <f>IF(Table1[[#This Row],[Is Data Valid]]=TRUE,_xlfn.NORM.S.DIST(Table1[[#This Row],[Birthweight Z-Score (BW+10%)]],TRUE)*100,"")</f>
        <v/>
      </c>
    </row>
    <row r="7264" spans="1:12" x14ac:dyDescent="0.35">
      <c r="A7264" s="3"/>
      <c r="B7264" s="2"/>
      <c r="C7264" s="2"/>
      <c r="D7264" s="2" t="b">
        <f>IF(AND(NOT(ISBLANK(Table1[[#This Row],[Fetal Sex (Male, Female or Unknown)]])),ISNUMBER(Table1[[#This Row],[Birthweight (grams)]]),ISNUMBER(Table1[[#This Row],[Gestation (days)]])),TRUE,FALSE)</f>
        <v>0</v>
      </c>
      <c r="E7264" s="2" t="str">
        <f>IF(Table1[[#This Row],[Is Data Valid]]=TRUE,IF(Table1[[#This Row],[Fetal Sex (Male, Female or Unknown)]]="Male",Backend!$C$6,IF(Table1[[#This Row],[Fetal Sex (Male, Female or Unknown)]]="Female",Backend!$C$7,IF(Table1[[#This Row],[Fetal Sex (Male, Female or Unknown)]]="Unknown",Backend!$C$8,"Error"))),"")</f>
        <v/>
      </c>
      <c r="F7264" s="8" t="str">
        <f>IF(Table1[[#This Row],[Is Data Valid]]=TRUE,EXP(0.578+0.332*((Table1[[#This Row],[Gestation (days)]]+0.5)/7)-0.00354*((Table1[[#This Row],[Gestation (days)]]+0.5)/7)^2)*Table1[[#This Row],[BW40_3705]],"")</f>
        <v/>
      </c>
      <c r="G7264" s="2" t="str">
        <f>IF(Table1[[#This Row],[Is Data Valid]]=TRUE,((Table1[[#This Row],[Birthweight (grams)]]/Table1[[#This Row],[BW_GA]])-1)/(Backend!$B$4/100*Table1[[#This Row],[BW40_3705]]),"")</f>
        <v/>
      </c>
      <c r="H7264" s="7" t="str">
        <f>IF(Table1[[#This Row],[Is Data Valid]]=TRUE,((Table1[[#This Row],[Birthweight (grams)]]*0.9/Table1[[#This Row],[BW_GA]])-1)/(Backend!$B$4/100*Table1[[#This Row],[BW40_3705]]),"")</f>
        <v/>
      </c>
      <c r="I7264" s="7" t="str">
        <f>IF(Table1[[#This Row],[Is Data Valid]]=TRUE,((Table1[[#This Row],[Birthweight (grams)]]*1.1/Table1[[#This Row],[BW_GA]])-1)/(Backend!$B$4/100*Table1[[#This Row],[BW40_3705]]),"")</f>
        <v/>
      </c>
      <c r="J7264" s="7" t="str">
        <f>IF(Table1[[#This Row],[Is Data Valid]]=TRUE,_xlfn.NORM.S.DIST(Table1[[#This Row],[Birthweight Z-Score]],TRUE)*100,"")</f>
        <v/>
      </c>
      <c r="K7264" s="7" t="str">
        <f>IF(Table1[[#This Row],[Is Data Valid]]=TRUE,_xlfn.NORM.S.DIST(Table1[[#This Row],[Birthweight Z-Score (BW-10%)]],TRUE)*100,"")</f>
        <v/>
      </c>
      <c r="L7264" s="7" t="str">
        <f>IF(Table1[[#This Row],[Is Data Valid]]=TRUE,_xlfn.NORM.S.DIST(Table1[[#This Row],[Birthweight Z-Score (BW+10%)]],TRUE)*100,"")</f>
        <v/>
      </c>
    </row>
    <row r="7265" spans="1:12" x14ac:dyDescent="0.35">
      <c r="A7265" s="3"/>
      <c r="B7265" s="2"/>
      <c r="C7265" s="2"/>
      <c r="D7265" s="2" t="b">
        <f>IF(AND(NOT(ISBLANK(Table1[[#This Row],[Fetal Sex (Male, Female or Unknown)]])),ISNUMBER(Table1[[#This Row],[Birthweight (grams)]]),ISNUMBER(Table1[[#This Row],[Gestation (days)]])),TRUE,FALSE)</f>
        <v>0</v>
      </c>
      <c r="E7265" s="2" t="str">
        <f>IF(Table1[[#This Row],[Is Data Valid]]=TRUE,IF(Table1[[#This Row],[Fetal Sex (Male, Female or Unknown)]]="Male",Backend!$C$6,IF(Table1[[#This Row],[Fetal Sex (Male, Female or Unknown)]]="Female",Backend!$C$7,IF(Table1[[#This Row],[Fetal Sex (Male, Female or Unknown)]]="Unknown",Backend!$C$8,"Error"))),"")</f>
        <v/>
      </c>
      <c r="F7265" s="8" t="str">
        <f>IF(Table1[[#This Row],[Is Data Valid]]=TRUE,EXP(0.578+0.332*((Table1[[#This Row],[Gestation (days)]]+0.5)/7)-0.00354*((Table1[[#This Row],[Gestation (days)]]+0.5)/7)^2)*Table1[[#This Row],[BW40_3705]],"")</f>
        <v/>
      </c>
      <c r="G7265" s="2" t="str">
        <f>IF(Table1[[#This Row],[Is Data Valid]]=TRUE,((Table1[[#This Row],[Birthweight (grams)]]/Table1[[#This Row],[BW_GA]])-1)/(Backend!$B$4/100*Table1[[#This Row],[BW40_3705]]),"")</f>
        <v/>
      </c>
      <c r="H7265" s="7" t="str">
        <f>IF(Table1[[#This Row],[Is Data Valid]]=TRUE,((Table1[[#This Row],[Birthweight (grams)]]*0.9/Table1[[#This Row],[BW_GA]])-1)/(Backend!$B$4/100*Table1[[#This Row],[BW40_3705]]),"")</f>
        <v/>
      </c>
      <c r="I7265" s="7" t="str">
        <f>IF(Table1[[#This Row],[Is Data Valid]]=TRUE,((Table1[[#This Row],[Birthweight (grams)]]*1.1/Table1[[#This Row],[BW_GA]])-1)/(Backend!$B$4/100*Table1[[#This Row],[BW40_3705]]),"")</f>
        <v/>
      </c>
      <c r="J7265" s="7" t="str">
        <f>IF(Table1[[#This Row],[Is Data Valid]]=TRUE,_xlfn.NORM.S.DIST(Table1[[#This Row],[Birthweight Z-Score]],TRUE)*100,"")</f>
        <v/>
      </c>
      <c r="K7265" s="7" t="str">
        <f>IF(Table1[[#This Row],[Is Data Valid]]=TRUE,_xlfn.NORM.S.DIST(Table1[[#This Row],[Birthweight Z-Score (BW-10%)]],TRUE)*100,"")</f>
        <v/>
      </c>
      <c r="L7265" s="7" t="str">
        <f>IF(Table1[[#This Row],[Is Data Valid]]=TRUE,_xlfn.NORM.S.DIST(Table1[[#This Row],[Birthweight Z-Score (BW+10%)]],TRUE)*100,"")</f>
        <v/>
      </c>
    </row>
    <row r="7266" spans="1:12" x14ac:dyDescent="0.35">
      <c r="A7266" s="3"/>
      <c r="B7266" s="2"/>
      <c r="C7266" s="2"/>
      <c r="D7266" s="2" t="b">
        <f>IF(AND(NOT(ISBLANK(Table1[[#This Row],[Fetal Sex (Male, Female or Unknown)]])),ISNUMBER(Table1[[#This Row],[Birthweight (grams)]]),ISNUMBER(Table1[[#This Row],[Gestation (days)]])),TRUE,FALSE)</f>
        <v>0</v>
      </c>
      <c r="E7266" s="2" t="str">
        <f>IF(Table1[[#This Row],[Is Data Valid]]=TRUE,IF(Table1[[#This Row],[Fetal Sex (Male, Female or Unknown)]]="Male",Backend!$C$6,IF(Table1[[#This Row],[Fetal Sex (Male, Female or Unknown)]]="Female",Backend!$C$7,IF(Table1[[#This Row],[Fetal Sex (Male, Female or Unknown)]]="Unknown",Backend!$C$8,"Error"))),"")</f>
        <v/>
      </c>
      <c r="F7266" s="8" t="str">
        <f>IF(Table1[[#This Row],[Is Data Valid]]=TRUE,EXP(0.578+0.332*((Table1[[#This Row],[Gestation (days)]]+0.5)/7)-0.00354*((Table1[[#This Row],[Gestation (days)]]+0.5)/7)^2)*Table1[[#This Row],[BW40_3705]],"")</f>
        <v/>
      </c>
      <c r="G7266" s="2" t="str">
        <f>IF(Table1[[#This Row],[Is Data Valid]]=TRUE,((Table1[[#This Row],[Birthweight (grams)]]/Table1[[#This Row],[BW_GA]])-1)/(Backend!$B$4/100*Table1[[#This Row],[BW40_3705]]),"")</f>
        <v/>
      </c>
      <c r="H7266" s="7" t="str">
        <f>IF(Table1[[#This Row],[Is Data Valid]]=TRUE,((Table1[[#This Row],[Birthweight (grams)]]*0.9/Table1[[#This Row],[BW_GA]])-1)/(Backend!$B$4/100*Table1[[#This Row],[BW40_3705]]),"")</f>
        <v/>
      </c>
      <c r="I7266" s="7" t="str">
        <f>IF(Table1[[#This Row],[Is Data Valid]]=TRUE,((Table1[[#This Row],[Birthweight (grams)]]*1.1/Table1[[#This Row],[BW_GA]])-1)/(Backend!$B$4/100*Table1[[#This Row],[BW40_3705]]),"")</f>
        <v/>
      </c>
      <c r="J7266" s="7" t="str">
        <f>IF(Table1[[#This Row],[Is Data Valid]]=TRUE,_xlfn.NORM.S.DIST(Table1[[#This Row],[Birthweight Z-Score]],TRUE)*100,"")</f>
        <v/>
      </c>
      <c r="K7266" s="7" t="str">
        <f>IF(Table1[[#This Row],[Is Data Valid]]=TRUE,_xlfn.NORM.S.DIST(Table1[[#This Row],[Birthweight Z-Score (BW-10%)]],TRUE)*100,"")</f>
        <v/>
      </c>
      <c r="L7266" s="7" t="str">
        <f>IF(Table1[[#This Row],[Is Data Valid]]=TRUE,_xlfn.NORM.S.DIST(Table1[[#This Row],[Birthweight Z-Score (BW+10%)]],TRUE)*100,"")</f>
        <v/>
      </c>
    </row>
    <row r="7267" spans="1:12" x14ac:dyDescent="0.35">
      <c r="A7267" s="3"/>
      <c r="B7267" s="2"/>
      <c r="C7267" s="2"/>
      <c r="D7267" s="2" t="b">
        <f>IF(AND(NOT(ISBLANK(Table1[[#This Row],[Fetal Sex (Male, Female or Unknown)]])),ISNUMBER(Table1[[#This Row],[Birthweight (grams)]]),ISNUMBER(Table1[[#This Row],[Gestation (days)]])),TRUE,FALSE)</f>
        <v>0</v>
      </c>
      <c r="E7267" s="2" t="str">
        <f>IF(Table1[[#This Row],[Is Data Valid]]=TRUE,IF(Table1[[#This Row],[Fetal Sex (Male, Female or Unknown)]]="Male",Backend!$C$6,IF(Table1[[#This Row],[Fetal Sex (Male, Female or Unknown)]]="Female",Backend!$C$7,IF(Table1[[#This Row],[Fetal Sex (Male, Female or Unknown)]]="Unknown",Backend!$C$8,"Error"))),"")</f>
        <v/>
      </c>
      <c r="F7267" s="8" t="str">
        <f>IF(Table1[[#This Row],[Is Data Valid]]=TRUE,EXP(0.578+0.332*((Table1[[#This Row],[Gestation (days)]]+0.5)/7)-0.00354*((Table1[[#This Row],[Gestation (days)]]+0.5)/7)^2)*Table1[[#This Row],[BW40_3705]],"")</f>
        <v/>
      </c>
      <c r="G7267" s="2" t="str">
        <f>IF(Table1[[#This Row],[Is Data Valid]]=TRUE,((Table1[[#This Row],[Birthweight (grams)]]/Table1[[#This Row],[BW_GA]])-1)/(Backend!$B$4/100*Table1[[#This Row],[BW40_3705]]),"")</f>
        <v/>
      </c>
      <c r="H7267" s="7" t="str">
        <f>IF(Table1[[#This Row],[Is Data Valid]]=TRUE,((Table1[[#This Row],[Birthweight (grams)]]*0.9/Table1[[#This Row],[BW_GA]])-1)/(Backend!$B$4/100*Table1[[#This Row],[BW40_3705]]),"")</f>
        <v/>
      </c>
      <c r="I7267" s="7" t="str">
        <f>IF(Table1[[#This Row],[Is Data Valid]]=TRUE,((Table1[[#This Row],[Birthweight (grams)]]*1.1/Table1[[#This Row],[BW_GA]])-1)/(Backend!$B$4/100*Table1[[#This Row],[BW40_3705]]),"")</f>
        <v/>
      </c>
      <c r="J7267" s="7" t="str">
        <f>IF(Table1[[#This Row],[Is Data Valid]]=TRUE,_xlfn.NORM.S.DIST(Table1[[#This Row],[Birthweight Z-Score]],TRUE)*100,"")</f>
        <v/>
      </c>
      <c r="K7267" s="7" t="str">
        <f>IF(Table1[[#This Row],[Is Data Valid]]=TRUE,_xlfn.NORM.S.DIST(Table1[[#This Row],[Birthweight Z-Score (BW-10%)]],TRUE)*100,"")</f>
        <v/>
      </c>
      <c r="L7267" s="7" t="str">
        <f>IF(Table1[[#This Row],[Is Data Valid]]=TRUE,_xlfn.NORM.S.DIST(Table1[[#This Row],[Birthweight Z-Score (BW+10%)]],TRUE)*100,"")</f>
        <v/>
      </c>
    </row>
    <row r="7268" spans="1:12" x14ac:dyDescent="0.35">
      <c r="A7268" s="3"/>
      <c r="B7268" s="2"/>
      <c r="C7268" s="2"/>
      <c r="D7268" s="2" t="b">
        <f>IF(AND(NOT(ISBLANK(Table1[[#This Row],[Fetal Sex (Male, Female or Unknown)]])),ISNUMBER(Table1[[#This Row],[Birthweight (grams)]]),ISNUMBER(Table1[[#This Row],[Gestation (days)]])),TRUE,FALSE)</f>
        <v>0</v>
      </c>
      <c r="E7268" s="2" t="str">
        <f>IF(Table1[[#This Row],[Is Data Valid]]=TRUE,IF(Table1[[#This Row],[Fetal Sex (Male, Female or Unknown)]]="Male",Backend!$C$6,IF(Table1[[#This Row],[Fetal Sex (Male, Female or Unknown)]]="Female",Backend!$C$7,IF(Table1[[#This Row],[Fetal Sex (Male, Female or Unknown)]]="Unknown",Backend!$C$8,"Error"))),"")</f>
        <v/>
      </c>
      <c r="F7268" s="8" t="str">
        <f>IF(Table1[[#This Row],[Is Data Valid]]=TRUE,EXP(0.578+0.332*((Table1[[#This Row],[Gestation (days)]]+0.5)/7)-0.00354*((Table1[[#This Row],[Gestation (days)]]+0.5)/7)^2)*Table1[[#This Row],[BW40_3705]],"")</f>
        <v/>
      </c>
      <c r="G7268" s="2" t="str">
        <f>IF(Table1[[#This Row],[Is Data Valid]]=TRUE,((Table1[[#This Row],[Birthweight (grams)]]/Table1[[#This Row],[BW_GA]])-1)/(Backend!$B$4/100*Table1[[#This Row],[BW40_3705]]),"")</f>
        <v/>
      </c>
      <c r="H7268" s="7" t="str">
        <f>IF(Table1[[#This Row],[Is Data Valid]]=TRUE,((Table1[[#This Row],[Birthweight (grams)]]*0.9/Table1[[#This Row],[BW_GA]])-1)/(Backend!$B$4/100*Table1[[#This Row],[BW40_3705]]),"")</f>
        <v/>
      </c>
      <c r="I7268" s="7" t="str">
        <f>IF(Table1[[#This Row],[Is Data Valid]]=TRUE,((Table1[[#This Row],[Birthweight (grams)]]*1.1/Table1[[#This Row],[BW_GA]])-1)/(Backend!$B$4/100*Table1[[#This Row],[BW40_3705]]),"")</f>
        <v/>
      </c>
      <c r="J7268" s="7" t="str">
        <f>IF(Table1[[#This Row],[Is Data Valid]]=TRUE,_xlfn.NORM.S.DIST(Table1[[#This Row],[Birthweight Z-Score]],TRUE)*100,"")</f>
        <v/>
      </c>
      <c r="K7268" s="7" t="str">
        <f>IF(Table1[[#This Row],[Is Data Valid]]=TRUE,_xlfn.NORM.S.DIST(Table1[[#This Row],[Birthweight Z-Score (BW-10%)]],TRUE)*100,"")</f>
        <v/>
      </c>
      <c r="L7268" s="7" t="str">
        <f>IF(Table1[[#This Row],[Is Data Valid]]=TRUE,_xlfn.NORM.S.DIST(Table1[[#This Row],[Birthweight Z-Score (BW+10%)]],TRUE)*100,"")</f>
        <v/>
      </c>
    </row>
    <row r="7269" spans="1:12" x14ac:dyDescent="0.35">
      <c r="A7269" s="3"/>
      <c r="B7269" s="2"/>
      <c r="C7269" s="2"/>
      <c r="D7269" s="2" t="b">
        <f>IF(AND(NOT(ISBLANK(Table1[[#This Row],[Fetal Sex (Male, Female or Unknown)]])),ISNUMBER(Table1[[#This Row],[Birthweight (grams)]]),ISNUMBER(Table1[[#This Row],[Gestation (days)]])),TRUE,FALSE)</f>
        <v>0</v>
      </c>
      <c r="E7269" s="2" t="str">
        <f>IF(Table1[[#This Row],[Is Data Valid]]=TRUE,IF(Table1[[#This Row],[Fetal Sex (Male, Female or Unknown)]]="Male",Backend!$C$6,IF(Table1[[#This Row],[Fetal Sex (Male, Female or Unknown)]]="Female",Backend!$C$7,IF(Table1[[#This Row],[Fetal Sex (Male, Female or Unknown)]]="Unknown",Backend!$C$8,"Error"))),"")</f>
        <v/>
      </c>
      <c r="F7269" s="8" t="str">
        <f>IF(Table1[[#This Row],[Is Data Valid]]=TRUE,EXP(0.578+0.332*((Table1[[#This Row],[Gestation (days)]]+0.5)/7)-0.00354*((Table1[[#This Row],[Gestation (days)]]+0.5)/7)^2)*Table1[[#This Row],[BW40_3705]],"")</f>
        <v/>
      </c>
      <c r="G7269" s="2" t="str">
        <f>IF(Table1[[#This Row],[Is Data Valid]]=TRUE,((Table1[[#This Row],[Birthweight (grams)]]/Table1[[#This Row],[BW_GA]])-1)/(Backend!$B$4/100*Table1[[#This Row],[BW40_3705]]),"")</f>
        <v/>
      </c>
      <c r="H7269" s="7" t="str">
        <f>IF(Table1[[#This Row],[Is Data Valid]]=TRUE,((Table1[[#This Row],[Birthweight (grams)]]*0.9/Table1[[#This Row],[BW_GA]])-1)/(Backend!$B$4/100*Table1[[#This Row],[BW40_3705]]),"")</f>
        <v/>
      </c>
      <c r="I7269" s="7" t="str">
        <f>IF(Table1[[#This Row],[Is Data Valid]]=TRUE,((Table1[[#This Row],[Birthweight (grams)]]*1.1/Table1[[#This Row],[BW_GA]])-1)/(Backend!$B$4/100*Table1[[#This Row],[BW40_3705]]),"")</f>
        <v/>
      </c>
      <c r="J7269" s="7" t="str">
        <f>IF(Table1[[#This Row],[Is Data Valid]]=TRUE,_xlfn.NORM.S.DIST(Table1[[#This Row],[Birthweight Z-Score]],TRUE)*100,"")</f>
        <v/>
      </c>
      <c r="K7269" s="7" t="str">
        <f>IF(Table1[[#This Row],[Is Data Valid]]=TRUE,_xlfn.NORM.S.DIST(Table1[[#This Row],[Birthweight Z-Score (BW-10%)]],TRUE)*100,"")</f>
        <v/>
      </c>
      <c r="L7269" s="7" t="str">
        <f>IF(Table1[[#This Row],[Is Data Valid]]=TRUE,_xlfn.NORM.S.DIST(Table1[[#This Row],[Birthweight Z-Score (BW+10%)]],TRUE)*100,"")</f>
        <v/>
      </c>
    </row>
    <row r="7270" spans="1:12" x14ac:dyDescent="0.35">
      <c r="A7270" s="3"/>
      <c r="B7270" s="2"/>
      <c r="C7270" s="2"/>
      <c r="D7270" s="2" t="b">
        <f>IF(AND(NOT(ISBLANK(Table1[[#This Row],[Fetal Sex (Male, Female or Unknown)]])),ISNUMBER(Table1[[#This Row],[Birthweight (grams)]]),ISNUMBER(Table1[[#This Row],[Gestation (days)]])),TRUE,FALSE)</f>
        <v>0</v>
      </c>
      <c r="E7270" s="2" t="str">
        <f>IF(Table1[[#This Row],[Is Data Valid]]=TRUE,IF(Table1[[#This Row],[Fetal Sex (Male, Female or Unknown)]]="Male",Backend!$C$6,IF(Table1[[#This Row],[Fetal Sex (Male, Female or Unknown)]]="Female",Backend!$C$7,IF(Table1[[#This Row],[Fetal Sex (Male, Female or Unknown)]]="Unknown",Backend!$C$8,"Error"))),"")</f>
        <v/>
      </c>
      <c r="F7270" s="8" t="str">
        <f>IF(Table1[[#This Row],[Is Data Valid]]=TRUE,EXP(0.578+0.332*((Table1[[#This Row],[Gestation (days)]]+0.5)/7)-0.00354*((Table1[[#This Row],[Gestation (days)]]+0.5)/7)^2)*Table1[[#This Row],[BW40_3705]],"")</f>
        <v/>
      </c>
      <c r="G7270" s="2" t="str">
        <f>IF(Table1[[#This Row],[Is Data Valid]]=TRUE,((Table1[[#This Row],[Birthweight (grams)]]/Table1[[#This Row],[BW_GA]])-1)/(Backend!$B$4/100*Table1[[#This Row],[BW40_3705]]),"")</f>
        <v/>
      </c>
      <c r="H7270" s="7" t="str">
        <f>IF(Table1[[#This Row],[Is Data Valid]]=TRUE,((Table1[[#This Row],[Birthweight (grams)]]*0.9/Table1[[#This Row],[BW_GA]])-1)/(Backend!$B$4/100*Table1[[#This Row],[BW40_3705]]),"")</f>
        <v/>
      </c>
      <c r="I7270" s="7" t="str">
        <f>IF(Table1[[#This Row],[Is Data Valid]]=TRUE,((Table1[[#This Row],[Birthweight (grams)]]*1.1/Table1[[#This Row],[BW_GA]])-1)/(Backend!$B$4/100*Table1[[#This Row],[BW40_3705]]),"")</f>
        <v/>
      </c>
      <c r="J7270" s="7" t="str">
        <f>IF(Table1[[#This Row],[Is Data Valid]]=TRUE,_xlfn.NORM.S.DIST(Table1[[#This Row],[Birthweight Z-Score]],TRUE)*100,"")</f>
        <v/>
      </c>
      <c r="K7270" s="7" t="str">
        <f>IF(Table1[[#This Row],[Is Data Valid]]=TRUE,_xlfn.NORM.S.DIST(Table1[[#This Row],[Birthweight Z-Score (BW-10%)]],TRUE)*100,"")</f>
        <v/>
      </c>
      <c r="L7270" s="7" t="str">
        <f>IF(Table1[[#This Row],[Is Data Valid]]=TRUE,_xlfn.NORM.S.DIST(Table1[[#This Row],[Birthweight Z-Score (BW+10%)]],TRUE)*100,"")</f>
        <v/>
      </c>
    </row>
    <row r="7271" spans="1:12" x14ac:dyDescent="0.35">
      <c r="A7271" s="3"/>
      <c r="B7271" s="2"/>
      <c r="C7271" s="2"/>
      <c r="D7271" s="2" t="b">
        <f>IF(AND(NOT(ISBLANK(Table1[[#This Row],[Fetal Sex (Male, Female or Unknown)]])),ISNUMBER(Table1[[#This Row],[Birthweight (grams)]]),ISNUMBER(Table1[[#This Row],[Gestation (days)]])),TRUE,FALSE)</f>
        <v>0</v>
      </c>
      <c r="E7271" s="2" t="str">
        <f>IF(Table1[[#This Row],[Is Data Valid]]=TRUE,IF(Table1[[#This Row],[Fetal Sex (Male, Female or Unknown)]]="Male",Backend!$C$6,IF(Table1[[#This Row],[Fetal Sex (Male, Female or Unknown)]]="Female",Backend!$C$7,IF(Table1[[#This Row],[Fetal Sex (Male, Female or Unknown)]]="Unknown",Backend!$C$8,"Error"))),"")</f>
        <v/>
      </c>
      <c r="F7271" s="8" t="str">
        <f>IF(Table1[[#This Row],[Is Data Valid]]=TRUE,EXP(0.578+0.332*((Table1[[#This Row],[Gestation (days)]]+0.5)/7)-0.00354*((Table1[[#This Row],[Gestation (days)]]+0.5)/7)^2)*Table1[[#This Row],[BW40_3705]],"")</f>
        <v/>
      </c>
      <c r="G7271" s="2" t="str">
        <f>IF(Table1[[#This Row],[Is Data Valid]]=TRUE,((Table1[[#This Row],[Birthweight (grams)]]/Table1[[#This Row],[BW_GA]])-1)/(Backend!$B$4/100*Table1[[#This Row],[BW40_3705]]),"")</f>
        <v/>
      </c>
      <c r="H7271" s="7" t="str">
        <f>IF(Table1[[#This Row],[Is Data Valid]]=TRUE,((Table1[[#This Row],[Birthweight (grams)]]*0.9/Table1[[#This Row],[BW_GA]])-1)/(Backend!$B$4/100*Table1[[#This Row],[BW40_3705]]),"")</f>
        <v/>
      </c>
      <c r="I7271" s="7" t="str">
        <f>IF(Table1[[#This Row],[Is Data Valid]]=TRUE,((Table1[[#This Row],[Birthweight (grams)]]*1.1/Table1[[#This Row],[BW_GA]])-1)/(Backend!$B$4/100*Table1[[#This Row],[BW40_3705]]),"")</f>
        <v/>
      </c>
      <c r="J7271" s="7" t="str">
        <f>IF(Table1[[#This Row],[Is Data Valid]]=TRUE,_xlfn.NORM.S.DIST(Table1[[#This Row],[Birthweight Z-Score]],TRUE)*100,"")</f>
        <v/>
      </c>
      <c r="K7271" s="7" t="str">
        <f>IF(Table1[[#This Row],[Is Data Valid]]=TRUE,_xlfn.NORM.S.DIST(Table1[[#This Row],[Birthweight Z-Score (BW-10%)]],TRUE)*100,"")</f>
        <v/>
      </c>
      <c r="L7271" s="7" t="str">
        <f>IF(Table1[[#This Row],[Is Data Valid]]=TRUE,_xlfn.NORM.S.DIST(Table1[[#This Row],[Birthweight Z-Score (BW+10%)]],TRUE)*100,"")</f>
        <v/>
      </c>
    </row>
    <row r="7272" spans="1:12" x14ac:dyDescent="0.35">
      <c r="A7272" s="3"/>
      <c r="B7272" s="2"/>
      <c r="C7272" s="2"/>
      <c r="D7272" s="2" t="b">
        <f>IF(AND(NOT(ISBLANK(Table1[[#This Row],[Fetal Sex (Male, Female or Unknown)]])),ISNUMBER(Table1[[#This Row],[Birthweight (grams)]]),ISNUMBER(Table1[[#This Row],[Gestation (days)]])),TRUE,FALSE)</f>
        <v>0</v>
      </c>
      <c r="E7272" s="2" t="str">
        <f>IF(Table1[[#This Row],[Is Data Valid]]=TRUE,IF(Table1[[#This Row],[Fetal Sex (Male, Female or Unknown)]]="Male",Backend!$C$6,IF(Table1[[#This Row],[Fetal Sex (Male, Female or Unknown)]]="Female",Backend!$C$7,IF(Table1[[#This Row],[Fetal Sex (Male, Female or Unknown)]]="Unknown",Backend!$C$8,"Error"))),"")</f>
        <v/>
      </c>
      <c r="F7272" s="8" t="str">
        <f>IF(Table1[[#This Row],[Is Data Valid]]=TRUE,EXP(0.578+0.332*((Table1[[#This Row],[Gestation (days)]]+0.5)/7)-0.00354*((Table1[[#This Row],[Gestation (days)]]+0.5)/7)^2)*Table1[[#This Row],[BW40_3705]],"")</f>
        <v/>
      </c>
      <c r="G7272" s="2" t="str">
        <f>IF(Table1[[#This Row],[Is Data Valid]]=TRUE,((Table1[[#This Row],[Birthweight (grams)]]/Table1[[#This Row],[BW_GA]])-1)/(Backend!$B$4/100*Table1[[#This Row],[BW40_3705]]),"")</f>
        <v/>
      </c>
      <c r="H7272" s="7" t="str">
        <f>IF(Table1[[#This Row],[Is Data Valid]]=TRUE,((Table1[[#This Row],[Birthweight (grams)]]*0.9/Table1[[#This Row],[BW_GA]])-1)/(Backend!$B$4/100*Table1[[#This Row],[BW40_3705]]),"")</f>
        <v/>
      </c>
      <c r="I7272" s="7" t="str">
        <f>IF(Table1[[#This Row],[Is Data Valid]]=TRUE,((Table1[[#This Row],[Birthweight (grams)]]*1.1/Table1[[#This Row],[BW_GA]])-1)/(Backend!$B$4/100*Table1[[#This Row],[BW40_3705]]),"")</f>
        <v/>
      </c>
      <c r="J7272" s="7" t="str">
        <f>IF(Table1[[#This Row],[Is Data Valid]]=TRUE,_xlfn.NORM.S.DIST(Table1[[#This Row],[Birthweight Z-Score]],TRUE)*100,"")</f>
        <v/>
      </c>
      <c r="K7272" s="7" t="str">
        <f>IF(Table1[[#This Row],[Is Data Valid]]=TRUE,_xlfn.NORM.S.DIST(Table1[[#This Row],[Birthweight Z-Score (BW-10%)]],TRUE)*100,"")</f>
        <v/>
      </c>
      <c r="L7272" s="7" t="str">
        <f>IF(Table1[[#This Row],[Is Data Valid]]=TRUE,_xlfn.NORM.S.DIST(Table1[[#This Row],[Birthweight Z-Score (BW+10%)]],TRUE)*100,"")</f>
        <v/>
      </c>
    </row>
    <row r="7273" spans="1:12" x14ac:dyDescent="0.35">
      <c r="A7273" s="3"/>
      <c r="B7273" s="2"/>
      <c r="C7273" s="2"/>
      <c r="D7273" s="2" t="b">
        <f>IF(AND(NOT(ISBLANK(Table1[[#This Row],[Fetal Sex (Male, Female or Unknown)]])),ISNUMBER(Table1[[#This Row],[Birthweight (grams)]]),ISNUMBER(Table1[[#This Row],[Gestation (days)]])),TRUE,FALSE)</f>
        <v>0</v>
      </c>
      <c r="E7273" s="2" t="str">
        <f>IF(Table1[[#This Row],[Is Data Valid]]=TRUE,IF(Table1[[#This Row],[Fetal Sex (Male, Female or Unknown)]]="Male",Backend!$C$6,IF(Table1[[#This Row],[Fetal Sex (Male, Female or Unknown)]]="Female",Backend!$C$7,IF(Table1[[#This Row],[Fetal Sex (Male, Female or Unknown)]]="Unknown",Backend!$C$8,"Error"))),"")</f>
        <v/>
      </c>
      <c r="F7273" s="8" t="str">
        <f>IF(Table1[[#This Row],[Is Data Valid]]=TRUE,EXP(0.578+0.332*((Table1[[#This Row],[Gestation (days)]]+0.5)/7)-0.00354*((Table1[[#This Row],[Gestation (days)]]+0.5)/7)^2)*Table1[[#This Row],[BW40_3705]],"")</f>
        <v/>
      </c>
      <c r="G7273" s="2" t="str">
        <f>IF(Table1[[#This Row],[Is Data Valid]]=TRUE,((Table1[[#This Row],[Birthweight (grams)]]/Table1[[#This Row],[BW_GA]])-1)/(Backend!$B$4/100*Table1[[#This Row],[BW40_3705]]),"")</f>
        <v/>
      </c>
      <c r="H7273" s="7" t="str">
        <f>IF(Table1[[#This Row],[Is Data Valid]]=TRUE,((Table1[[#This Row],[Birthweight (grams)]]*0.9/Table1[[#This Row],[BW_GA]])-1)/(Backend!$B$4/100*Table1[[#This Row],[BW40_3705]]),"")</f>
        <v/>
      </c>
      <c r="I7273" s="7" t="str">
        <f>IF(Table1[[#This Row],[Is Data Valid]]=TRUE,((Table1[[#This Row],[Birthweight (grams)]]*1.1/Table1[[#This Row],[BW_GA]])-1)/(Backend!$B$4/100*Table1[[#This Row],[BW40_3705]]),"")</f>
        <v/>
      </c>
      <c r="J7273" s="7" t="str">
        <f>IF(Table1[[#This Row],[Is Data Valid]]=TRUE,_xlfn.NORM.S.DIST(Table1[[#This Row],[Birthweight Z-Score]],TRUE)*100,"")</f>
        <v/>
      </c>
      <c r="K7273" s="7" t="str">
        <f>IF(Table1[[#This Row],[Is Data Valid]]=TRUE,_xlfn.NORM.S.DIST(Table1[[#This Row],[Birthweight Z-Score (BW-10%)]],TRUE)*100,"")</f>
        <v/>
      </c>
      <c r="L7273" s="7" t="str">
        <f>IF(Table1[[#This Row],[Is Data Valid]]=TRUE,_xlfn.NORM.S.DIST(Table1[[#This Row],[Birthweight Z-Score (BW+10%)]],TRUE)*100,"")</f>
        <v/>
      </c>
    </row>
    <row r="7274" spans="1:12" x14ac:dyDescent="0.35">
      <c r="A7274" s="3"/>
      <c r="B7274" s="2"/>
      <c r="C7274" s="2"/>
      <c r="D7274" s="2" t="b">
        <f>IF(AND(NOT(ISBLANK(Table1[[#This Row],[Fetal Sex (Male, Female or Unknown)]])),ISNUMBER(Table1[[#This Row],[Birthweight (grams)]]),ISNUMBER(Table1[[#This Row],[Gestation (days)]])),TRUE,FALSE)</f>
        <v>0</v>
      </c>
      <c r="E7274" s="2" t="str">
        <f>IF(Table1[[#This Row],[Is Data Valid]]=TRUE,IF(Table1[[#This Row],[Fetal Sex (Male, Female or Unknown)]]="Male",Backend!$C$6,IF(Table1[[#This Row],[Fetal Sex (Male, Female or Unknown)]]="Female",Backend!$C$7,IF(Table1[[#This Row],[Fetal Sex (Male, Female or Unknown)]]="Unknown",Backend!$C$8,"Error"))),"")</f>
        <v/>
      </c>
      <c r="F7274" s="8" t="str">
        <f>IF(Table1[[#This Row],[Is Data Valid]]=TRUE,EXP(0.578+0.332*((Table1[[#This Row],[Gestation (days)]]+0.5)/7)-0.00354*((Table1[[#This Row],[Gestation (days)]]+0.5)/7)^2)*Table1[[#This Row],[BW40_3705]],"")</f>
        <v/>
      </c>
      <c r="G7274" s="2" t="str">
        <f>IF(Table1[[#This Row],[Is Data Valid]]=TRUE,((Table1[[#This Row],[Birthweight (grams)]]/Table1[[#This Row],[BW_GA]])-1)/(Backend!$B$4/100*Table1[[#This Row],[BW40_3705]]),"")</f>
        <v/>
      </c>
      <c r="H7274" s="7" t="str">
        <f>IF(Table1[[#This Row],[Is Data Valid]]=TRUE,((Table1[[#This Row],[Birthweight (grams)]]*0.9/Table1[[#This Row],[BW_GA]])-1)/(Backend!$B$4/100*Table1[[#This Row],[BW40_3705]]),"")</f>
        <v/>
      </c>
      <c r="I7274" s="7" t="str">
        <f>IF(Table1[[#This Row],[Is Data Valid]]=TRUE,((Table1[[#This Row],[Birthweight (grams)]]*1.1/Table1[[#This Row],[BW_GA]])-1)/(Backend!$B$4/100*Table1[[#This Row],[BW40_3705]]),"")</f>
        <v/>
      </c>
      <c r="J7274" s="7" t="str">
        <f>IF(Table1[[#This Row],[Is Data Valid]]=TRUE,_xlfn.NORM.S.DIST(Table1[[#This Row],[Birthweight Z-Score]],TRUE)*100,"")</f>
        <v/>
      </c>
      <c r="K7274" s="7" t="str">
        <f>IF(Table1[[#This Row],[Is Data Valid]]=TRUE,_xlfn.NORM.S.DIST(Table1[[#This Row],[Birthweight Z-Score (BW-10%)]],TRUE)*100,"")</f>
        <v/>
      </c>
      <c r="L7274" s="7" t="str">
        <f>IF(Table1[[#This Row],[Is Data Valid]]=TRUE,_xlfn.NORM.S.DIST(Table1[[#This Row],[Birthweight Z-Score (BW+10%)]],TRUE)*100,"")</f>
        <v/>
      </c>
    </row>
    <row r="7275" spans="1:12" x14ac:dyDescent="0.35">
      <c r="A7275" s="3"/>
      <c r="B7275" s="2"/>
      <c r="C7275" s="2"/>
      <c r="D7275" s="2" t="b">
        <f>IF(AND(NOT(ISBLANK(Table1[[#This Row],[Fetal Sex (Male, Female or Unknown)]])),ISNUMBER(Table1[[#This Row],[Birthweight (grams)]]),ISNUMBER(Table1[[#This Row],[Gestation (days)]])),TRUE,FALSE)</f>
        <v>0</v>
      </c>
      <c r="E7275" s="2" t="str">
        <f>IF(Table1[[#This Row],[Is Data Valid]]=TRUE,IF(Table1[[#This Row],[Fetal Sex (Male, Female or Unknown)]]="Male",Backend!$C$6,IF(Table1[[#This Row],[Fetal Sex (Male, Female or Unknown)]]="Female",Backend!$C$7,IF(Table1[[#This Row],[Fetal Sex (Male, Female or Unknown)]]="Unknown",Backend!$C$8,"Error"))),"")</f>
        <v/>
      </c>
      <c r="F7275" s="8" t="str">
        <f>IF(Table1[[#This Row],[Is Data Valid]]=TRUE,EXP(0.578+0.332*((Table1[[#This Row],[Gestation (days)]]+0.5)/7)-0.00354*((Table1[[#This Row],[Gestation (days)]]+0.5)/7)^2)*Table1[[#This Row],[BW40_3705]],"")</f>
        <v/>
      </c>
      <c r="G7275" s="2" t="str">
        <f>IF(Table1[[#This Row],[Is Data Valid]]=TRUE,((Table1[[#This Row],[Birthweight (grams)]]/Table1[[#This Row],[BW_GA]])-1)/(Backend!$B$4/100*Table1[[#This Row],[BW40_3705]]),"")</f>
        <v/>
      </c>
      <c r="H7275" s="7" t="str">
        <f>IF(Table1[[#This Row],[Is Data Valid]]=TRUE,((Table1[[#This Row],[Birthweight (grams)]]*0.9/Table1[[#This Row],[BW_GA]])-1)/(Backend!$B$4/100*Table1[[#This Row],[BW40_3705]]),"")</f>
        <v/>
      </c>
      <c r="I7275" s="7" t="str">
        <f>IF(Table1[[#This Row],[Is Data Valid]]=TRUE,((Table1[[#This Row],[Birthweight (grams)]]*1.1/Table1[[#This Row],[BW_GA]])-1)/(Backend!$B$4/100*Table1[[#This Row],[BW40_3705]]),"")</f>
        <v/>
      </c>
      <c r="J7275" s="7" t="str">
        <f>IF(Table1[[#This Row],[Is Data Valid]]=TRUE,_xlfn.NORM.S.DIST(Table1[[#This Row],[Birthweight Z-Score]],TRUE)*100,"")</f>
        <v/>
      </c>
      <c r="K7275" s="7" t="str">
        <f>IF(Table1[[#This Row],[Is Data Valid]]=TRUE,_xlfn.NORM.S.DIST(Table1[[#This Row],[Birthweight Z-Score (BW-10%)]],TRUE)*100,"")</f>
        <v/>
      </c>
      <c r="L7275" s="7" t="str">
        <f>IF(Table1[[#This Row],[Is Data Valid]]=TRUE,_xlfn.NORM.S.DIST(Table1[[#This Row],[Birthweight Z-Score (BW+10%)]],TRUE)*100,"")</f>
        <v/>
      </c>
    </row>
    <row r="7276" spans="1:12" x14ac:dyDescent="0.35">
      <c r="A7276" s="3"/>
      <c r="B7276" s="2"/>
      <c r="C7276" s="2"/>
      <c r="D7276" s="2" t="b">
        <f>IF(AND(NOT(ISBLANK(Table1[[#This Row],[Fetal Sex (Male, Female or Unknown)]])),ISNUMBER(Table1[[#This Row],[Birthweight (grams)]]),ISNUMBER(Table1[[#This Row],[Gestation (days)]])),TRUE,FALSE)</f>
        <v>0</v>
      </c>
      <c r="E7276" s="2" t="str">
        <f>IF(Table1[[#This Row],[Is Data Valid]]=TRUE,IF(Table1[[#This Row],[Fetal Sex (Male, Female or Unknown)]]="Male",Backend!$C$6,IF(Table1[[#This Row],[Fetal Sex (Male, Female or Unknown)]]="Female",Backend!$C$7,IF(Table1[[#This Row],[Fetal Sex (Male, Female or Unknown)]]="Unknown",Backend!$C$8,"Error"))),"")</f>
        <v/>
      </c>
      <c r="F7276" s="8" t="str">
        <f>IF(Table1[[#This Row],[Is Data Valid]]=TRUE,EXP(0.578+0.332*((Table1[[#This Row],[Gestation (days)]]+0.5)/7)-0.00354*((Table1[[#This Row],[Gestation (days)]]+0.5)/7)^2)*Table1[[#This Row],[BW40_3705]],"")</f>
        <v/>
      </c>
      <c r="G7276" s="2" t="str">
        <f>IF(Table1[[#This Row],[Is Data Valid]]=TRUE,((Table1[[#This Row],[Birthweight (grams)]]/Table1[[#This Row],[BW_GA]])-1)/(Backend!$B$4/100*Table1[[#This Row],[BW40_3705]]),"")</f>
        <v/>
      </c>
      <c r="H7276" s="7" t="str">
        <f>IF(Table1[[#This Row],[Is Data Valid]]=TRUE,((Table1[[#This Row],[Birthweight (grams)]]*0.9/Table1[[#This Row],[BW_GA]])-1)/(Backend!$B$4/100*Table1[[#This Row],[BW40_3705]]),"")</f>
        <v/>
      </c>
      <c r="I7276" s="7" t="str">
        <f>IF(Table1[[#This Row],[Is Data Valid]]=TRUE,((Table1[[#This Row],[Birthweight (grams)]]*1.1/Table1[[#This Row],[BW_GA]])-1)/(Backend!$B$4/100*Table1[[#This Row],[BW40_3705]]),"")</f>
        <v/>
      </c>
      <c r="J7276" s="7" t="str">
        <f>IF(Table1[[#This Row],[Is Data Valid]]=TRUE,_xlfn.NORM.S.DIST(Table1[[#This Row],[Birthweight Z-Score]],TRUE)*100,"")</f>
        <v/>
      </c>
      <c r="K7276" s="7" t="str">
        <f>IF(Table1[[#This Row],[Is Data Valid]]=TRUE,_xlfn.NORM.S.DIST(Table1[[#This Row],[Birthweight Z-Score (BW-10%)]],TRUE)*100,"")</f>
        <v/>
      </c>
      <c r="L7276" s="7" t="str">
        <f>IF(Table1[[#This Row],[Is Data Valid]]=TRUE,_xlfn.NORM.S.DIST(Table1[[#This Row],[Birthweight Z-Score (BW+10%)]],TRUE)*100,"")</f>
        <v/>
      </c>
    </row>
    <row r="7277" spans="1:12" x14ac:dyDescent="0.35">
      <c r="A7277" s="3"/>
      <c r="B7277" s="2"/>
      <c r="C7277" s="2"/>
      <c r="D7277" s="2" t="b">
        <f>IF(AND(NOT(ISBLANK(Table1[[#This Row],[Fetal Sex (Male, Female or Unknown)]])),ISNUMBER(Table1[[#This Row],[Birthweight (grams)]]),ISNUMBER(Table1[[#This Row],[Gestation (days)]])),TRUE,FALSE)</f>
        <v>0</v>
      </c>
      <c r="E7277" s="2" t="str">
        <f>IF(Table1[[#This Row],[Is Data Valid]]=TRUE,IF(Table1[[#This Row],[Fetal Sex (Male, Female or Unknown)]]="Male",Backend!$C$6,IF(Table1[[#This Row],[Fetal Sex (Male, Female or Unknown)]]="Female",Backend!$C$7,IF(Table1[[#This Row],[Fetal Sex (Male, Female or Unknown)]]="Unknown",Backend!$C$8,"Error"))),"")</f>
        <v/>
      </c>
      <c r="F7277" s="8" t="str">
        <f>IF(Table1[[#This Row],[Is Data Valid]]=TRUE,EXP(0.578+0.332*((Table1[[#This Row],[Gestation (days)]]+0.5)/7)-0.00354*((Table1[[#This Row],[Gestation (days)]]+0.5)/7)^2)*Table1[[#This Row],[BW40_3705]],"")</f>
        <v/>
      </c>
      <c r="G7277" s="2" t="str">
        <f>IF(Table1[[#This Row],[Is Data Valid]]=TRUE,((Table1[[#This Row],[Birthweight (grams)]]/Table1[[#This Row],[BW_GA]])-1)/(Backend!$B$4/100*Table1[[#This Row],[BW40_3705]]),"")</f>
        <v/>
      </c>
      <c r="H7277" s="7" t="str">
        <f>IF(Table1[[#This Row],[Is Data Valid]]=TRUE,((Table1[[#This Row],[Birthweight (grams)]]*0.9/Table1[[#This Row],[BW_GA]])-1)/(Backend!$B$4/100*Table1[[#This Row],[BW40_3705]]),"")</f>
        <v/>
      </c>
      <c r="I7277" s="7" t="str">
        <f>IF(Table1[[#This Row],[Is Data Valid]]=TRUE,((Table1[[#This Row],[Birthweight (grams)]]*1.1/Table1[[#This Row],[BW_GA]])-1)/(Backend!$B$4/100*Table1[[#This Row],[BW40_3705]]),"")</f>
        <v/>
      </c>
      <c r="J7277" s="7" t="str">
        <f>IF(Table1[[#This Row],[Is Data Valid]]=TRUE,_xlfn.NORM.S.DIST(Table1[[#This Row],[Birthweight Z-Score]],TRUE)*100,"")</f>
        <v/>
      </c>
      <c r="K7277" s="7" t="str">
        <f>IF(Table1[[#This Row],[Is Data Valid]]=TRUE,_xlfn.NORM.S.DIST(Table1[[#This Row],[Birthweight Z-Score (BW-10%)]],TRUE)*100,"")</f>
        <v/>
      </c>
      <c r="L7277" s="7" t="str">
        <f>IF(Table1[[#This Row],[Is Data Valid]]=TRUE,_xlfn.NORM.S.DIST(Table1[[#This Row],[Birthweight Z-Score (BW+10%)]],TRUE)*100,"")</f>
        <v/>
      </c>
    </row>
    <row r="7278" spans="1:12" x14ac:dyDescent="0.35">
      <c r="A7278" s="3"/>
      <c r="B7278" s="2"/>
      <c r="C7278" s="2"/>
      <c r="D7278" s="2" t="b">
        <f>IF(AND(NOT(ISBLANK(Table1[[#This Row],[Fetal Sex (Male, Female or Unknown)]])),ISNUMBER(Table1[[#This Row],[Birthweight (grams)]]),ISNUMBER(Table1[[#This Row],[Gestation (days)]])),TRUE,FALSE)</f>
        <v>0</v>
      </c>
      <c r="E7278" s="2" t="str">
        <f>IF(Table1[[#This Row],[Is Data Valid]]=TRUE,IF(Table1[[#This Row],[Fetal Sex (Male, Female or Unknown)]]="Male",Backend!$C$6,IF(Table1[[#This Row],[Fetal Sex (Male, Female or Unknown)]]="Female",Backend!$C$7,IF(Table1[[#This Row],[Fetal Sex (Male, Female or Unknown)]]="Unknown",Backend!$C$8,"Error"))),"")</f>
        <v/>
      </c>
      <c r="F7278" s="8" t="str">
        <f>IF(Table1[[#This Row],[Is Data Valid]]=TRUE,EXP(0.578+0.332*((Table1[[#This Row],[Gestation (days)]]+0.5)/7)-0.00354*((Table1[[#This Row],[Gestation (days)]]+0.5)/7)^2)*Table1[[#This Row],[BW40_3705]],"")</f>
        <v/>
      </c>
      <c r="G7278" s="2" t="str">
        <f>IF(Table1[[#This Row],[Is Data Valid]]=TRUE,((Table1[[#This Row],[Birthweight (grams)]]/Table1[[#This Row],[BW_GA]])-1)/(Backend!$B$4/100*Table1[[#This Row],[BW40_3705]]),"")</f>
        <v/>
      </c>
      <c r="H7278" s="7" t="str">
        <f>IF(Table1[[#This Row],[Is Data Valid]]=TRUE,((Table1[[#This Row],[Birthweight (grams)]]*0.9/Table1[[#This Row],[BW_GA]])-1)/(Backend!$B$4/100*Table1[[#This Row],[BW40_3705]]),"")</f>
        <v/>
      </c>
      <c r="I7278" s="7" t="str">
        <f>IF(Table1[[#This Row],[Is Data Valid]]=TRUE,((Table1[[#This Row],[Birthweight (grams)]]*1.1/Table1[[#This Row],[BW_GA]])-1)/(Backend!$B$4/100*Table1[[#This Row],[BW40_3705]]),"")</f>
        <v/>
      </c>
      <c r="J7278" s="7" t="str">
        <f>IF(Table1[[#This Row],[Is Data Valid]]=TRUE,_xlfn.NORM.S.DIST(Table1[[#This Row],[Birthweight Z-Score]],TRUE)*100,"")</f>
        <v/>
      </c>
      <c r="K7278" s="7" t="str">
        <f>IF(Table1[[#This Row],[Is Data Valid]]=TRUE,_xlfn.NORM.S.DIST(Table1[[#This Row],[Birthweight Z-Score (BW-10%)]],TRUE)*100,"")</f>
        <v/>
      </c>
      <c r="L7278" s="7" t="str">
        <f>IF(Table1[[#This Row],[Is Data Valid]]=TRUE,_xlfn.NORM.S.DIST(Table1[[#This Row],[Birthweight Z-Score (BW+10%)]],TRUE)*100,"")</f>
        <v/>
      </c>
    </row>
    <row r="7279" spans="1:12" x14ac:dyDescent="0.35">
      <c r="A7279" s="3"/>
      <c r="B7279" s="2"/>
      <c r="C7279" s="2"/>
      <c r="D7279" s="2" t="b">
        <f>IF(AND(NOT(ISBLANK(Table1[[#This Row],[Fetal Sex (Male, Female or Unknown)]])),ISNUMBER(Table1[[#This Row],[Birthweight (grams)]]),ISNUMBER(Table1[[#This Row],[Gestation (days)]])),TRUE,FALSE)</f>
        <v>0</v>
      </c>
      <c r="E7279" s="2" t="str">
        <f>IF(Table1[[#This Row],[Is Data Valid]]=TRUE,IF(Table1[[#This Row],[Fetal Sex (Male, Female or Unknown)]]="Male",Backend!$C$6,IF(Table1[[#This Row],[Fetal Sex (Male, Female or Unknown)]]="Female",Backend!$C$7,IF(Table1[[#This Row],[Fetal Sex (Male, Female or Unknown)]]="Unknown",Backend!$C$8,"Error"))),"")</f>
        <v/>
      </c>
      <c r="F7279" s="8" t="str">
        <f>IF(Table1[[#This Row],[Is Data Valid]]=TRUE,EXP(0.578+0.332*((Table1[[#This Row],[Gestation (days)]]+0.5)/7)-0.00354*((Table1[[#This Row],[Gestation (days)]]+0.5)/7)^2)*Table1[[#This Row],[BW40_3705]],"")</f>
        <v/>
      </c>
      <c r="G7279" s="2" t="str">
        <f>IF(Table1[[#This Row],[Is Data Valid]]=TRUE,((Table1[[#This Row],[Birthweight (grams)]]/Table1[[#This Row],[BW_GA]])-1)/(Backend!$B$4/100*Table1[[#This Row],[BW40_3705]]),"")</f>
        <v/>
      </c>
      <c r="H7279" s="7" t="str">
        <f>IF(Table1[[#This Row],[Is Data Valid]]=TRUE,((Table1[[#This Row],[Birthweight (grams)]]*0.9/Table1[[#This Row],[BW_GA]])-1)/(Backend!$B$4/100*Table1[[#This Row],[BW40_3705]]),"")</f>
        <v/>
      </c>
      <c r="I7279" s="7" t="str">
        <f>IF(Table1[[#This Row],[Is Data Valid]]=TRUE,((Table1[[#This Row],[Birthweight (grams)]]*1.1/Table1[[#This Row],[BW_GA]])-1)/(Backend!$B$4/100*Table1[[#This Row],[BW40_3705]]),"")</f>
        <v/>
      </c>
      <c r="J7279" s="7" t="str">
        <f>IF(Table1[[#This Row],[Is Data Valid]]=TRUE,_xlfn.NORM.S.DIST(Table1[[#This Row],[Birthweight Z-Score]],TRUE)*100,"")</f>
        <v/>
      </c>
      <c r="K7279" s="7" t="str">
        <f>IF(Table1[[#This Row],[Is Data Valid]]=TRUE,_xlfn.NORM.S.DIST(Table1[[#This Row],[Birthweight Z-Score (BW-10%)]],TRUE)*100,"")</f>
        <v/>
      </c>
      <c r="L7279" s="7" t="str">
        <f>IF(Table1[[#This Row],[Is Data Valid]]=TRUE,_xlfn.NORM.S.DIST(Table1[[#This Row],[Birthweight Z-Score (BW+10%)]],TRUE)*100,"")</f>
        <v/>
      </c>
    </row>
    <row r="7280" spans="1:12" x14ac:dyDescent="0.35">
      <c r="A7280" s="3"/>
      <c r="B7280" s="2"/>
      <c r="C7280" s="2"/>
      <c r="D7280" s="2" t="b">
        <f>IF(AND(NOT(ISBLANK(Table1[[#This Row],[Fetal Sex (Male, Female or Unknown)]])),ISNUMBER(Table1[[#This Row],[Birthweight (grams)]]),ISNUMBER(Table1[[#This Row],[Gestation (days)]])),TRUE,FALSE)</f>
        <v>0</v>
      </c>
      <c r="E7280" s="2" t="str">
        <f>IF(Table1[[#This Row],[Is Data Valid]]=TRUE,IF(Table1[[#This Row],[Fetal Sex (Male, Female or Unknown)]]="Male",Backend!$C$6,IF(Table1[[#This Row],[Fetal Sex (Male, Female or Unknown)]]="Female",Backend!$C$7,IF(Table1[[#This Row],[Fetal Sex (Male, Female or Unknown)]]="Unknown",Backend!$C$8,"Error"))),"")</f>
        <v/>
      </c>
      <c r="F7280" s="8" t="str">
        <f>IF(Table1[[#This Row],[Is Data Valid]]=TRUE,EXP(0.578+0.332*((Table1[[#This Row],[Gestation (days)]]+0.5)/7)-0.00354*((Table1[[#This Row],[Gestation (days)]]+0.5)/7)^2)*Table1[[#This Row],[BW40_3705]],"")</f>
        <v/>
      </c>
      <c r="G7280" s="2" t="str">
        <f>IF(Table1[[#This Row],[Is Data Valid]]=TRUE,((Table1[[#This Row],[Birthweight (grams)]]/Table1[[#This Row],[BW_GA]])-1)/(Backend!$B$4/100*Table1[[#This Row],[BW40_3705]]),"")</f>
        <v/>
      </c>
      <c r="H7280" s="7" t="str">
        <f>IF(Table1[[#This Row],[Is Data Valid]]=TRUE,((Table1[[#This Row],[Birthweight (grams)]]*0.9/Table1[[#This Row],[BW_GA]])-1)/(Backend!$B$4/100*Table1[[#This Row],[BW40_3705]]),"")</f>
        <v/>
      </c>
      <c r="I7280" s="7" t="str">
        <f>IF(Table1[[#This Row],[Is Data Valid]]=TRUE,((Table1[[#This Row],[Birthweight (grams)]]*1.1/Table1[[#This Row],[BW_GA]])-1)/(Backend!$B$4/100*Table1[[#This Row],[BW40_3705]]),"")</f>
        <v/>
      </c>
      <c r="J7280" s="7" t="str">
        <f>IF(Table1[[#This Row],[Is Data Valid]]=TRUE,_xlfn.NORM.S.DIST(Table1[[#This Row],[Birthweight Z-Score]],TRUE)*100,"")</f>
        <v/>
      </c>
      <c r="K7280" s="7" t="str">
        <f>IF(Table1[[#This Row],[Is Data Valid]]=TRUE,_xlfn.NORM.S.DIST(Table1[[#This Row],[Birthweight Z-Score (BW-10%)]],TRUE)*100,"")</f>
        <v/>
      </c>
      <c r="L7280" s="7" t="str">
        <f>IF(Table1[[#This Row],[Is Data Valid]]=TRUE,_xlfn.NORM.S.DIST(Table1[[#This Row],[Birthweight Z-Score (BW+10%)]],TRUE)*100,"")</f>
        <v/>
      </c>
    </row>
    <row r="7281" spans="1:12" x14ac:dyDescent="0.35">
      <c r="A7281" s="3"/>
      <c r="B7281" s="2"/>
      <c r="C7281" s="2"/>
      <c r="D7281" s="2" t="b">
        <f>IF(AND(NOT(ISBLANK(Table1[[#This Row],[Fetal Sex (Male, Female or Unknown)]])),ISNUMBER(Table1[[#This Row],[Birthweight (grams)]]),ISNUMBER(Table1[[#This Row],[Gestation (days)]])),TRUE,FALSE)</f>
        <v>0</v>
      </c>
      <c r="E7281" s="2" t="str">
        <f>IF(Table1[[#This Row],[Is Data Valid]]=TRUE,IF(Table1[[#This Row],[Fetal Sex (Male, Female or Unknown)]]="Male",Backend!$C$6,IF(Table1[[#This Row],[Fetal Sex (Male, Female or Unknown)]]="Female",Backend!$C$7,IF(Table1[[#This Row],[Fetal Sex (Male, Female or Unknown)]]="Unknown",Backend!$C$8,"Error"))),"")</f>
        <v/>
      </c>
      <c r="F7281" s="8" t="str">
        <f>IF(Table1[[#This Row],[Is Data Valid]]=TRUE,EXP(0.578+0.332*((Table1[[#This Row],[Gestation (days)]]+0.5)/7)-0.00354*((Table1[[#This Row],[Gestation (days)]]+0.5)/7)^2)*Table1[[#This Row],[BW40_3705]],"")</f>
        <v/>
      </c>
      <c r="G7281" s="2" t="str">
        <f>IF(Table1[[#This Row],[Is Data Valid]]=TRUE,((Table1[[#This Row],[Birthweight (grams)]]/Table1[[#This Row],[BW_GA]])-1)/(Backend!$B$4/100*Table1[[#This Row],[BW40_3705]]),"")</f>
        <v/>
      </c>
      <c r="H7281" s="7" t="str">
        <f>IF(Table1[[#This Row],[Is Data Valid]]=TRUE,((Table1[[#This Row],[Birthweight (grams)]]*0.9/Table1[[#This Row],[BW_GA]])-1)/(Backend!$B$4/100*Table1[[#This Row],[BW40_3705]]),"")</f>
        <v/>
      </c>
      <c r="I7281" s="7" t="str">
        <f>IF(Table1[[#This Row],[Is Data Valid]]=TRUE,((Table1[[#This Row],[Birthweight (grams)]]*1.1/Table1[[#This Row],[BW_GA]])-1)/(Backend!$B$4/100*Table1[[#This Row],[BW40_3705]]),"")</f>
        <v/>
      </c>
      <c r="J7281" s="7" t="str">
        <f>IF(Table1[[#This Row],[Is Data Valid]]=TRUE,_xlfn.NORM.S.DIST(Table1[[#This Row],[Birthweight Z-Score]],TRUE)*100,"")</f>
        <v/>
      </c>
      <c r="K7281" s="7" t="str">
        <f>IF(Table1[[#This Row],[Is Data Valid]]=TRUE,_xlfn.NORM.S.DIST(Table1[[#This Row],[Birthweight Z-Score (BW-10%)]],TRUE)*100,"")</f>
        <v/>
      </c>
      <c r="L7281" s="7" t="str">
        <f>IF(Table1[[#This Row],[Is Data Valid]]=TRUE,_xlfn.NORM.S.DIST(Table1[[#This Row],[Birthweight Z-Score (BW+10%)]],TRUE)*100,"")</f>
        <v/>
      </c>
    </row>
    <row r="7282" spans="1:12" x14ac:dyDescent="0.35">
      <c r="A7282" s="3"/>
      <c r="B7282" s="2"/>
      <c r="C7282" s="2"/>
      <c r="D7282" s="2" t="b">
        <f>IF(AND(NOT(ISBLANK(Table1[[#This Row],[Fetal Sex (Male, Female or Unknown)]])),ISNUMBER(Table1[[#This Row],[Birthweight (grams)]]),ISNUMBER(Table1[[#This Row],[Gestation (days)]])),TRUE,FALSE)</f>
        <v>0</v>
      </c>
      <c r="E7282" s="2" t="str">
        <f>IF(Table1[[#This Row],[Is Data Valid]]=TRUE,IF(Table1[[#This Row],[Fetal Sex (Male, Female or Unknown)]]="Male",Backend!$C$6,IF(Table1[[#This Row],[Fetal Sex (Male, Female or Unknown)]]="Female",Backend!$C$7,IF(Table1[[#This Row],[Fetal Sex (Male, Female or Unknown)]]="Unknown",Backend!$C$8,"Error"))),"")</f>
        <v/>
      </c>
      <c r="F7282" s="8" t="str">
        <f>IF(Table1[[#This Row],[Is Data Valid]]=TRUE,EXP(0.578+0.332*((Table1[[#This Row],[Gestation (days)]]+0.5)/7)-0.00354*((Table1[[#This Row],[Gestation (days)]]+0.5)/7)^2)*Table1[[#This Row],[BW40_3705]],"")</f>
        <v/>
      </c>
      <c r="G7282" s="2" t="str">
        <f>IF(Table1[[#This Row],[Is Data Valid]]=TRUE,((Table1[[#This Row],[Birthweight (grams)]]/Table1[[#This Row],[BW_GA]])-1)/(Backend!$B$4/100*Table1[[#This Row],[BW40_3705]]),"")</f>
        <v/>
      </c>
      <c r="H7282" s="7" t="str">
        <f>IF(Table1[[#This Row],[Is Data Valid]]=TRUE,((Table1[[#This Row],[Birthweight (grams)]]*0.9/Table1[[#This Row],[BW_GA]])-1)/(Backend!$B$4/100*Table1[[#This Row],[BW40_3705]]),"")</f>
        <v/>
      </c>
      <c r="I7282" s="7" t="str">
        <f>IF(Table1[[#This Row],[Is Data Valid]]=TRUE,((Table1[[#This Row],[Birthweight (grams)]]*1.1/Table1[[#This Row],[BW_GA]])-1)/(Backend!$B$4/100*Table1[[#This Row],[BW40_3705]]),"")</f>
        <v/>
      </c>
      <c r="J7282" s="7" t="str">
        <f>IF(Table1[[#This Row],[Is Data Valid]]=TRUE,_xlfn.NORM.S.DIST(Table1[[#This Row],[Birthweight Z-Score]],TRUE)*100,"")</f>
        <v/>
      </c>
      <c r="K7282" s="7" t="str">
        <f>IF(Table1[[#This Row],[Is Data Valid]]=TRUE,_xlfn.NORM.S.DIST(Table1[[#This Row],[Birthweight Z-Score (BW-10%)]],TRUE)*100,"")</f>
        <v/>
      </c>
      <c r="L7282" s="7" t="str">
        <f>IF(Table1[[#This Row],[Is Data Valid]]=TRUE,_xlfn.NORM.S.DIST(Table1[[#This Row],[Birthweight Z-Score (BW+10%)]],TRUE)*100,"")</f>
        <v/>
      </c>
    </row>
    <row r="7283" spans="1:12" x14ac:dyDescent="0.35">
      <c r="A7283" s="3"/>
      <c r="B7283" s="2"/>
      <c r="C7283" s="2"/>
      <c r="D7283" s="2" t="b">
        <f>IF(AND(NOT(ISBLANK(Table1[[#This Row],[Fetal Sex (Male, Female or Unknown)]])),ISNUMBER(Table1[[#This Row],[Birthweight (grams)]]),ISNUMBER(Table1[[#This Row],[Gestation (days)]])),TRUE,FALSE)</f>
        <v>0</v>
      </c>
      <c r="E7283" s="2" t="str">
        <f>IF(Table1[[#This Row],[Is Data Valid]]=TRUE,IF(Table1[[#This Row],[Fetal Sex (Male, Female or Unknown)]]="Male",Backend!$C$6,IF(Table1[[#This Row],[Fetal Sex (Male, Female or Unknown)]]="Female",Backend!$C$7,IF(Table1[[#This Row],[Fetal Sex (Male, Female or Unknown)]]="Unknown",Backend!$C$8,"Error"))),"")</f>
        <v/>
      </c>
      <c r="F7283" s="8" t="str">
        <f>IF(Table1[[#This Row],[Is Data Valid]]=TRUE,EXP(0.578+0.332*((Table1[[#This Row],[Gestation (days)]]+0.5)/7)-0.00354*((Table1[[#This Row],[Gestation (days)]]+0.5)/7)^2)*Table1[[#This Row],[BW40_3705]],"")</f>
        <v/>
      </c>
      <c r="G7283" s="2" t="str">
        <f>IF(Table1[[#This Row],[Is Data Valid]]=TRUE,((Table1[[#This Row],[Birthweight (grams)]]/Table1[[#This Row],[BW_GA]])-1)/(Backend!$B$4/100*Table1[[#This Row],[BW40_3705]]),"")</f>
        <v/>
      </c>
      <c r="H7283" s="7" t="str">
        <f>IF(Table1[[#This Row],[Is Data Valid]]=TRUE,((Table1[[#This Row],[Birthweight (grams)]]*0.9/Table1[[#This Row],[BW_GA]])-1)/(Backend!$B$4/100*Table1[[#This Row],[BW40_3705]]),"")</f>
        <v/>
      </c>
      <c r="I7283" s="7" t="str">
        <f>IF(Table1[[#This Row],[Is Data Valid]]=TRUE,((Table1[[#This Row],[Birthweight (grams)]]*1.1/Table1[[#This Row],[BW_GA]])-1)/(Backend!$B$4/100*Table1[[#This Row],[BW40_3705]]),"")</f>
        <v/>
      </c>
      <c r="J7283" s="7" t="str">
        <f>IF(Table1[[#This Row],[Is Data Valid]]=TRUE,_xlfn.NORM.S.DIST(Table1[[#This Row],[Birthweight Z-Score]],TRUE)*100,"")</f>
        <v/>
      </c>
      <c r="K7283" s="7" t="str">
        <f>IF(Table1[[#This Row],[Is Data Valid]]=TRUE,_xlfn.NORM.S.DIST(Table1[[#This Row],[Birthweight Z-Score (BW-10%)]],TRUE)*100,"")</f>
        <v/>
      </c>
      <c r="L7283" s="7" t="str">
        <f>IF(Table1[[#This Row],[Is Data Valid]]=TRUE,_xlfn.NORM.S.DIST(Table1[[#This Row],[Birthweight Z-Score (BW+10%)]],TRUE)*100,"")</f>
        <v/>
      </c>
    </row>
    <row r="7284" spans="1:12" x14ac:dyDescent="0.35">
      <c r="A7284" s="3"/>
      <c r="B7284" s="2"/>
      <c r="C7284" s="2"/>
      <c r="D7284" s="2" t="b">
        <f>IF(AND(NOT(ISBLANK(Table1[[#This Row],[Fetal Sex (Male, Female or Unknown)]])),ISNUMBER(Table1[[#This Row],[Birthweight (grams)]]),ISNUMBER(Table1[[#This Row],[Gestation (days)]])),TRUE,FALSE)</f>
        <v>0</v>
      </c>
      <c r="E7284" s="2" t="str">
        <f>IF(Table1[[#This Row],[Is Data Valid]]=TRUE,IF(Table1[[#This Row],[Fetal Sex (Male, Female or Unknown)]]="Male",Backend!$C$6,IF(Table1[[#This Row],[Fetal Sex (Male, Female or Unknown)]]="Female",Backend!$C$7,IF(Table1[[#This Row],[Fetal Sex (Male, Female or Unknown)]]="Unknown",Backend!$C$8,"Error"))),"")</f>
        <v/>
      </c>
      <c r="F7284" s="8" t="str">
        <f>IF(Table1[[#This Row],[Is Data Valid]]=TRUE,EXP(0.578+0.332*((Table1[[#This Row],[Gestation (days)]]+0.5)/7)-0.00354*((Table1[[#This Row],[Gestation (days)]]+0.5)/7)^2)*Table1[[#This Row],[BW40_3705]],"")</f>
        <v/>
      </c>
      <c r="G7284" s="2" t="str">
        <f>IF(Table1[[#This Row],[Is Data Valid]]=TRUE,((Table1[[#This Row],[Birthweight (grams)]]/Table1[[#This Row],[BW_GA]])-1)/(Backend!$B$4/100*Table1[[#This Row],[BW40_3705]]),"")</f>
        <v/>
      </c>
      <c r="H7284" s="7" t="str">
        <f>IF(Table1[[#This Row],[Is Data Valid]]=TRUE,((Table1[[#This Row],[Birthweight (grams)]]*0.9/Table1[[#This Row],[BW_GA]])-1)/(Backend!$B$4/100*Table1[[#This Row],[BW40_3705]]),"")</f>
        <v/>
      </c>
      <c r="I7284" s="7" t="str">
        <f>IF(Table1[[#This Row],[Is Data Valid]]=TRUE,((Table1[[#This Row],[Birthweight (grams)]]*1.1/Table1[[#This Row],[BW_GA]])-1)/(Backend!$B$4/100*Table1[[#This Row],[BW40_3705]]),"")</f>
        <v/>
      </c>
      <c r="J7284" s="7" t="str">
        <f>IF(Table1[[#This Row],[Is Data Valid]]=TRUE,_xlfn.NORM.S.DIST(Table1[[#This Row],[Birthweight Z-Score]],TRUE)*100,"")</f>
        <v/>
      </c>
      <c r="K7284" s="7" t="str">
        <f>IF(Table1[[#This Row],[Is Data Valid]]=TRUE,_xlfn.NORM.S.DIST(Table1[[#This Row],[Birthweight Z-Score (BW-10%)]],TRUE)*100,"")</f>
        <v/>
      </c>
      <c r="L7284" s="7" t="str">
        <f>IF(Table1[[#This Row],[Is Data Valid]]=TRUE,_xlfn.NORM.S.DIST(Table1[[#This Row],[Birthweight Z-Score (BW+10%)]],TRUE)*100,"")</f>
        <v/>
      </c>
    </row>
    <row r="7285" spans="1:12" x14ac:dyDescent="0.35">
      <c r="A7285" s="3"/>
      <c r="B7285" s="2"/>
      <c r="C7285" s="2"/>
      <c r="D7285" s="2" t="b">
        <f>IF(AND(NOT(ISBLANK(Table1[[#This Row],[Fetal Sex (Male, Female or Unknown)]])),ISNUMBER(Table1[[#This Row],[Birthweight (grams)]]),ISNUMBER(Table1[[#This Row],[Gestation (days)]])),TRUE,FALSE)</f>
        <v>0</v>
      </c>
      <c r="E7285" s="2" t="str">
        <f>IF(Table1[[#This Row],[Is Data Valid]]=TRUE,IF(Table1[[#This Row],[Fetal Sex (Male, Female or Unknown)]]="Male",Backend!$C$6,IF(Table1[[#This Row],[Fetal Sex (Male, Female or Unknown)]]="Female",Backend!$C$7,IF(Table1[[#This Row],[Fetal Sex (Male, Female or Unknown)]]="Unknown",Backend!$C$8,"Error"))),"")</f>
        <v/>
      </c>
      <c r="F7285" s="8" t="str">
        <f>IF(Table1[[#This Row],[Is Data Valid]]=TRUE,EXP(0.578+0.332*((Table1[[#This Row],[Gestation (days)]]+0.5)/7)-0.00354*((Table1[[#This Row],[Gestation (days)]]+0.5)/7)^2)*Table1[[#This Row],[BW40_3705]],"")</f>
        <v/>
      </c>
      <c r="G7285" s="2" t="str">
        <f>IF(Table1[[#This Row],[Is Data Valid]]=TRUE,((Table1[[#This Row],[Birthweight (grams)]]/Table1[[#This Row],[BW_GA]])-1)/(Backend!$B$4/100*Table1[[#This Row],[BW40_3705]]),"")</f>
        <v/>
      </c>
      <c r="H7285" s="7" t="str">
        <f>IF(Table1[[#This Row],[Is Data Valid]]=TRUE,((Table1[[#This Row],[Birthweight (grams)]]*0.9/Table1[[#This Row],[BW_GA]])-1)/(Backend!$B$4/100*Table1[[#This Row],[BW40_3705]]),"")</f>
        <v/>
      </c>
      <c r="I7285" s="7" t="str">
        <f>IF(Table1[[#This Row],[Is Data Valid]]=TRUE,((Table1[[#This Row],[Birthweight (grams)]]*1.1/Table1[[#This Row],[BW_GA]])-1)/(Backend!$B$4/100*Table1[[#This Row],[BW40_3705]]),"")</f>
        <v/>
      </c>
      <c r="J7285" s="7" t="str">
        <f>IF(Table1[[#This Row],[Is Data Valid]]=TRUE,_xlfn.NORM.S.DIST(Table1[[#This Row],[Birthweight Z-Score]],TRUE)*100,"")</f>
        <v/>
      </c>
      <c r="K7285" s="7" t="str">
        <f>IF(Table1[[#This Row],[Is Data Valid]]=TRUE,_xlfn.NORM.S.DIST(Table1[[#This Row],[Birthweight Z-Score (BW-10%)]],TRUE)*100,"")</f>
        <v/>
      </c>
      <c r="L7285" s="7" t="str">
        <f>IF(Table1[[#This Row],[Is Data Valid]]=TRUE,_xlfn.NORM.S.DIST(Table1[[#This Row],[Birthweight Z-Score (BW+10%)]],TRUE)*100,"")</f>
        <v/>
      </c>
    </row>
    <row r="7286" spans="1:12" x14ac:dyDescent="0.35">
      <c r="A7286" s="3"/>
      <c r="B7286" s="2"/>
      <c r="C7286" s="2"/>
      <c r="D7286" s="2" t="b">
        <f>IF(AND(NOT(ISBLANK(Table1[[#This Row],[Fetal Sex (Male, Female or Unknown)]])),ISNUMBER(Table1[[#This Row],[Birthweight (grams)]]),ISNUMBER(Table1[[#This Row],[Gestation (days)]])),TRUE,FALSE)</f>
        <v>0</v>
      </c>
      <c r="E7286" s="2" t="str">
        <f>IF(Table1[[#This Row],[Is Data Valid]]=TRUE,IF(Table1[[#This Row],[Fetal Sex (Male, Female or Unknown)]]="Male",Backend!$C$6,IF(Table1[[#This Row],[Fetal Sex (Male, Female or Unknown)]]="Female",Backend!$C$7,IF(Table1[[#This Row],[Fetal Sex (Male, Female or Unknown)]]="Unknown",Backend!$C$8,"Error"))),"")</f>
        <v/>
      </c>
      <c r="F7286" s="8" t="str">
        <f>IF(Table1[[#This Row],[Is Data Valid]]=TRUE,EXP(0.578+0.332*((Table1[[#This Row],[Gestation (days)]]+0.5)/7)-0.00354*((Table1[[#This Row],[Gestation (days)]]+0.5)/7)^2)*Table1[[#This Row],[BW40_3705]],"")</f>
        <v/>
      </c>
      <c r="G7286" s="2" t="str">
        <f>IF(Table1[[#This Row],[Is Data Valid]]=TRUE,((Table1[[#This Row],[Birthweight (grams)]]/Table1[[#This Row],[BW_GA]])-1)/(Backend!$B$4/100*Table1[[#This Row],[BW40_3705]]),"")</f>
        <v/>
      </c>
      <c r="H7286" s="7" t="str">
        <f>IF(Table1[[#This Row],[Is Data Valid]]=TRUE,((Table1[[#This Row],[Birthweight (grams)]]*0.9/Table1[[#This Row],[BW_GA]])-1)/(Backend!$B$4/100*Table1[[#This Row],[BW40_3705]]),"")</f>
        <v/>
      </c>
      <c r="I7286" s="7" t="str">
        <f>IF(Table1[[#This Row],[Is Data Valid]]=TRUE,((Table1[[#This Row],[Birthweight (grams)]]*1.1/Table1[[#This Row],[BW_GA]])-1)/(Backend!$B$4/100*Table1[[#This Row],[BW40_3705]]),"")</f>
        <v/>
      </c>
      <c r="J7286" s="7" t="str">
        <f>IF(Table1[[#This Row],[Is Data Valid]]=TRUE,_xlfn.NORM.S.DIST(Table1[[#This Row],[Birthweight Z-Score]],TRUE)*100,"")</f>
        <v/>
      </c>
      <c r="K7286" s="7" t="str">
        <f>IF(Table1[[#This Row],[Is Data Valid]]=TRUE,_xlfn.NORM.S.DIST(Table1[[#This Row],[Birthweight Z-Score (BW-10%)]],TRUE)*100,"")</f>
        <v/>
      </c>
      <c r="L7286" s="7" t="str">
        <f>IF(Table1[[#This Row],[Is Data Valid]]=TRUE,_xlfn.NORM.S.DIST(Table1[[#This Row],[Birthweight Z-Score (BW+10%)]],TRUE)*100,"")</f>
        <v/>
      </c>
    </row>
    <row r="7287" spans="1:12" x14ac:dyDescent="0.35">
      <c r="A7287" s="3"/>
      <c r="B7287" s="2"/>
      <c r="C7287" s="2"/>
      <c r="D7287" s="2" t="b">
        <f>IF(AND(NOT(ISBLANK(Table1[[#This Row],[Fetal Sex (Male, Female or Unknown)]])),ISNUMBER(Table1[[#This Row],[Birthweight (grams)]]),ISNUMBER(Table1[[#This Row],[Gestation (days)]])),TRUE,FALSE)</f>
        <v>0</v>
      </c>
      <c r="E7287" s="2" t="str">
        <f>IF(Table1[[#This Row],[Is Data Valid]]=TRUE,IF(Table1[[#This Row],[Fetal Sex (Male, Female or Unknown)]]="Male",Backend!$C$6,IF(Table1[[#This Row],[Fetal Sex (Male, Female or Unknown)]]="Female",Backend!$C$7,IF(Table1[[#This Row],[Fetal Sex (Male, Female or Unknown)]]="Unknown",Backend!$C$8,"Error"))),"")</f>
        <v/>
      </c>
      <c r="F7287" s="8" t="str">
        <f>IF(Table1[[#This Row],[Is Data Valid]]=TRUE,EXP(0.578+0.332*((Table1[[#This Row],[Gestation (days)]]+0.5)/7)-0.00354*((Table1[[#This Row],[Gestation (days)]]+0.5)/7)^2)*Table1[[#This Row],[BW40_3705]],"")</f>
        <v/>
      </c>
      <c r="G7287" s="2" t="str">
        <f>IF(Table1[[#This Row],[Is Data Valid]]=TRUE,((Table1[[#This Row],[Birthweight (grams)]]/Table1[[#This Row],[BW_GA]])-1)/(Backend!$B$4/100*Table1[[#This Row],[BW40_3705]]),"")</f>
        <v/>
      </c>
      <c r="H7287" s="7" t="str">
        <f>IF(Table1[[#This Row],[Is Data Valid]]=TRUE,((Table1[[#This Row],[Birthweight (grams)]]*0.9/Table1[[#This Row],[BW_GA]])-1)/(Backend!$B$4/100*Table1[[#This Row],[BW40_3705]]),"")</f>
        <v/>
      </c>
      <c r="I7287" s="7" t="str">
        <f>IF(Table1[[#This Row],[Is Data Valid]]=TRUE,((Table1[[#This Row],[Birthweight (grams)]]*1.1/Table1[[#This Row],[BW_GA]])-1)/(Backend!$B$4/100*Table1[[#This Row],[BW40_3705]]),"")</f>
        <v/>
      </c>
      <c r="J7287" s="7" t="str">
        <f>IF(Table1[[#This Row],[Is Data Valid]]=TRUE,_xlfn.NORM.S.DIST(Table1[[#This Row],[Birthweight Z-Score]],TRUE)*100,"")</f>
        <v/>
      </c>
      <c r="K7287" s="7" t="str">
        <f>IF(Table1[[#This Row],[Is Data Valid]]=TRUE,_xlfn.NORM.S.DIST(Table1[[#This Row],[Birthweight Z-Score (BW-10%)]],TRUE)*100,"")</f>
        <v/>
      </c>
      <c r="L7287" s="7" t="str">
        <f>IF(Table1[[#This Row],[Is Data Valid]]=TRUE,_xlfn.NORM.S.DIST(Table1[[#This Row],[Birthweight Z-Score (BW+10%)]],TRUE)*100,"")</f>
        <v/>
      </c>
    </row>
    <row r="7288" spans="1:12" x14ac:dyDescent="0.35">
      <c r="A7288" s="3"/>
      <c r="B7288" s="2"/>
      <c r="C7288" s="2"/>
      <c r="D7288" s="2" t="b">
        <f>IF(AND(NOT(ISBLANK(Table1[[#This Row],[Fetal Sex (Male, Female or Unknown)]])),ISNUMBER(Table1[[#This Row],[Birthweight (grams)]]),ISNUMBER(Table1[[#This Row],[Gestation (days)]])),TRUE,FALSE)</f>
        <v>0</v>
      </c>
      <c r="E7288" s="2" t="str">
        <f>IF(Table1[[#This Row],[Is Data Valid]]=TRUE,IF(Table1[[#This Row],[Fetal Sex (Male, Female or Unknown)]]="Male",Backend!$C$6,IF(Table1[[#This Row],[Fetal Sex (Male, Female or Unknown)]]="Female",Backend!$C$7,IF(Table1[[#This Row],[Fetal Sex (Male, Female or Unknown)]]="Unknown",Backend!$C$8,"Error"))),"")</f>
        <v/>
      </c>
      <c r="F7288" s="8" t="str">
        <f>IF(Table1[[#This Row],[Is Data Valid]]=TRUE,EXP(0.578+0.332*((Table1[[#This Row],[Gestation (days)]]+0.5)/7)-0.00354*((Table1[[#This Row],[Gestation (days)]]+0.5)/7)^2)*Table1[[#This Row],[BW40_3705]],"")</f>
        <v/>
      </c>
      <c r="G7288" s="2" t="str">
        <f>IF(Table1[[#This Row],[Is Data Valid]]=TRUE,((Table1[[#This Row],[Birthweight (grams)]]/Table1[[#This Row],[BW_GA]])-1)/(Backend!$B$4/100*Table1[[#This Row],[BW40_3705]]),"")</f>
        <v/>
      </c>
      <c r="H7288" s="7" t="str">
        <f>IF(Table1[[#This Row],[Is Data Valid]]=TRUE,((Table1[[#This Row],[Birthweight (grams)]]*0.9/Table1[[#This Row],[BW_GA]])-1)/(Backend!$B$4/100*Table1[[#This Row],[BW40_3705]]),"")</f>
        <v/>
      </c>
      <c r="I7288" s="7" t="str">
        <f>IF(Table1[[#This Row],[Is Data Valid]]=TRUE,((Table1[[#This Row],[Birthweight (grams)]]*1.1/Table1[[#This Row],[BW_GA]])-1)/(Backend!$B$4/100*Table1[[#This Row],[BW40_3705]]),"")</f>
        <v/>
      </c>
      <c r="J7288" s="7" t="str">
        <f>IF(Table1[[#This Row],[Is Data Valid]]=TRUE,_xlfn.NORM.S.DIST(Table1[[#This Row],[Birthweight Z-Score]],TRUE)*100,"")</f>
        <v/>
      </c>
      <c r="K7288" s="7" t="str">
        <f>IF(Table1[[#This Row],[Is Data Valid]]=TRUE,_xlfn.NORM.S.DIST(Table1[[#This Row],[Birthweight Z-Score (BW-10%)]],TRUE)*100,"")</f>
        <v/>
      </c>
      <c r="L7288" s="7" t="str">
        <f>IF(Table1[[#This Row],[Is Data Valid]]=TRUE,_xlfn.NORM.S.DIST(Table1[[#This Row],[Birthweight Z-Score (BW+10%)]],TRUE)*100,"")</f>
        <v/>
      </c>
    </row>
    <row r="7289" spans="1:12" x14ac:dyDescent="0.35">
      <c r="A7289" s="3"/>
      <c r="B7289" s="2"/>
      <c r="C7289" s="2"/>
      <c r="D7289" s="2" t="b">
        <f>IF(AND(NOT(ISBLANK(Table1[[#This Row],[Fetal Sex (Male, Female or Unknown)]])),ISNUMBER(Table1[[#This Row],[Birthweight (grams)]]),ISNUMBER(Table1[[#This Row],[Gestation (days)]])),TRUE,FALSE)</f>
        <v>0</v>
      </c>
      <c r="E7289" s="2" t="str">
        <f>IF(Table1[[#This Row],[Is Data Valid]]=TRUE,IF(Table1[[#This Row],[Fetal Sex (Male, Female or Unknown)]]="Male",Backend!$C$6,IF(Table1[[#This Row],[Fetal Sex (Male, Female or Unknown)]]="Female",Backend!$C$7,IF(Table1[[#This Row],[Fetal Sex (Male, Female or Unknown)]]="Unknown",Backend!$C$8,"Error"))),"")</f>
        <v/>
      </c>
      <c r="F7289" s="8" t="str">
        <f>IF(Table1[[#This Row],[Is Data Valid]]=TRUE,EXP(0.578+0.332*((Table1[[#This Row],[Gestation (days)]]+0.5)/7)-0.00354*((Table1[[#This Row],[Gestation (days)]]+0.5)/7)^2)*Table1[[#This Row],[BW40_3705]],"")</f>
        <v/>
      </c>
      <c r="G7289" s="2" t="str">
        <f>IF(Table1[[#This Row],[Is Data Valid]]=TRUE,((Table1[[#This Row],[Birthweight (grams)]]/Table1[[#This Row],[BW_GA]])-1)/(Backend!$B$4/100*Table1[[#This Row],[BW40_3705]]),"")</f>
        <v/>
      </c>
      <c r="H7289" s="7" t="str">
        <f>IF(Table1[[#This Row],[Is Data Valid]]=TRUE,((Table1[[#This Row],[Birthweight (grams)]]*0.9/Table1[[#This Row],[BW_GA]])-1)/(Backend!$B$4/100*Table1[[#This Row],[BW40_3705]]),"")</f>
        <v/>
      </c>
      <c r="I7289" s="7" t="str">
        <f>IF(Table1[[#This Row],[Is Data Valid]]=TRUE,((Table1[[#This Row],[Birthweight (grams)]]*1.1/Table1[[#This Row],[BW_GA]])-1)/(Backend!$B$4/100*Table1[[#This Row],[BW40_3705]]),"")</f>
        <v/>
      </c>
      <c r="J7289" s="7" t="str">
        <f>IF(Table1[[#This Row],[Is Data Valid]]=TRUE,_xlfn.NORM.S.DIST(Table1[[#This Row],[Birthweight Z-Score]],TRUE)*100,"")</f>
        <v/>
      </c>
      <c r="K7289" s="7" t="str">
        <f>IF(Table1[[#This Row],[Is Data Valid]]=TRUE,_xlfn.NORM.S.DIST(Table1[[#This Row],[Birthweight Z-Score (BW-10%)]],TRUE)*100,"")</f>
        <v/>
      </c>
      <c r="L7289" s="7" t="str">
        <f>IF(Table1[[#This Row],[Is Data Valid]]=TRUE,_xlfn.NORM.S.DIST(Table1[[#This Row],[Birthweight Z-Score (BW+10%)]],TRUE)*100,"")</f>
        <v/>
      </c>
    </row>
    <row r="7290" spans="1:12" x14ac:dyDescent="0.35">
      <c r="A7290" s="3"/>
      <c r="B7290" s="2"/>
      <c r="C7290" s="2"/>
      <c r="D7290" s="2" t="b">
        <f>IF(AND(NOT(ISBLANK(Table1[[#This Row],[Fetal Sex (Male, Female or Unknown)]])),ISNUMBER(Table1[[#This Row],[Birthweight (grams)]]),ISNUMBER(Table1[[#This Row],[Gestation (days)]])),TRUE,FALSE)</f>
        <v>0</v>
      </c>
      <c r="E7290" s="2" t="str">
        <f>IF(Table1[[#This Row],[Is Data Valid]]=TRUE,IF(Table1[[#This Row],[Fetal Sex (Male, Female or Unknown)]]="Male",Backend!$C$6,IF(Table1[[#This Row],[Fetal Sex (Male, Female or Unknown)]]="Female",Backend!$C$7,IF(Table1[[#This Row],[Fetal Sex (Male, Female or Unknown)]]="Unknown",Backend!$C$8,"Error"))),"")</f>
        <v/>
      </c>
      <c r="F7290" s="8" t="str">
        <f>IF(Table1[[#This Row],[Is Data Valid]]=TRUE,EXP(0.578+0.332*((Table1[[#This Row],[Gestation (days)]]+0.5)/7)-0.00354*((Table1[[#This Row],[Gestation (days)]]+0.5)/7)^2)*Table1[[#This Row],[BW40_3705]],"")</f>
        <v/>
      </c>
      <c r="G7290" s="2" t="str">
        <f>IF(Table1[[#This Row],[Is Data Valid]]=TRUE,((Table1[[#This Row],[Birthweight (grams)]]/Table1[[#This Row],[BW_GA]])-1)/(Backend!$B$4/100*Table1[[#This Row],[BW40_3705]]),"")</f>
        <v/>
      </c>
      <c r="H7290" s="7" t="str">
        <f>IF(Table1[[#This Row],[Is Data Valid]]=TRUE,((Table1[[#This Row],[Birthweight (grams)]]*0.9/Table1[[#This Row],[BW_GA]])-1)/(Backend!$B$4/100*Table1[[#This Row],[BW40_3705]]),"")</f>
        <v/>
      </c>
      <c r="I7290" s="7" t="str">
        <f>IF(Table1[[#This Row],[Is Data Valid]]=TRUE,((Table1[[#This Row],[Birthweight (grams)]]*1.1/Table1[[#This Row],[BW_GA]])-1)/(Backend!$B$4/100*Table1[[#This Row],[BW40_3705]]),"")</f>
        <v/>
      </c>
      <c r="J7290" s="7" t="str">
        <f>IF(Table1[[#This Row],[Is Data Valid]]=TRUE,_xlfn.NORM.S.DIST(Table1[[#This Row],[Birthweight Z-Score]],TRUE)*100,"")</f>
        <v/>
      </c>
      <c r="K7290" s="7" t="str">
        <f>IF(Table1[[#This Row],[Is Data Valid]]=TRUE,_xlfn.NORM.S.DIST(Table1[[#This Row],[Birthweight Z-Score (BW-10%)]],TRUE)*100,"")</f>
        <v/>
      </c>
      <c r="L7290" s="7" t="str">
        <f>IF(Table1[[#This Row],[Is Data Valid]]=TRUE,_xlfn.NORM.S.DIST(Table1[[#This Row],[Birthweight Z-Score (BW+10%)]],TRUE)*100,"")</f>
        <v/>
      </c>
    </row>
    <row r="7291" spans="1:12" x14ac:dyDescent="0.35">
      <c r="A7291" s="3"/>
      <c r="B7291" s="2"/>
      <c r="C7291" s="2"/>
      <c r="D7291" s="2" t="b">
        <f>IF(AND(NOT(ISBLANK(Table1[[#This Row],[Fetal Sex (Male, Female or Unknown)]])),ISNUMBER(Table1[[#This Row],[Birthweight (grams)]]),ISNUMBER(Table1[[#This Row],[Gestation (days)]])),TRUE,FALSE)</f>
        <v>0</v>
      </c>
      <c r="E7291" s="2" t="str">
        <f>IF(Table1[[#This Row],[Is Data Valid]]=TRUE,IF(Table1[[#This Row],[Fetal Sex (Male, Female or Unknown)]]="Male",Backend!$C$6,IF(Table1[[#This Row],[Fetal Sex (Male, Female or Unknown)]]="Female",Backend!$C$7,IF(Table1[[#This Row],[Fetal Sex (Male, Female or Unknown)]]="Unknown",Backend!$C$8,"Error"))),"")</f>
        <v/>
      </c>
      <c r="F7291" s="8" t="str">
        <f>IF(Table1[[#This Row],[Is Data Valid]]=TRUE,EXP(0.578+0.332*((Table1[[#This Row],[Gestation (days)]]+0.5)/7)-0.00354*((Table1[[#This Row],[Gestation (days)]]+0.5)/7)^2)*Table1[[#This Row],[BW40_3705]],"")</f>
        <v/>
      </c>
      <c r="G7291" s="2" t="str">
        <f>IF(Table1[[#This Row],[Is Data Valid]]=TRUE,((Table1[[#This Row],[Birthweight (grams)]]/Table1[[#This Row],[BW_GA]])-1)/(Backend!$B$4/100*Table1[[#This Row],[BW40_3705]]),"")</f>
        <v/>
      </c>
      <c r="H7291" s="7" t="str">
        <f>IF(Table1[[#This Row],[Is Data Valid]]=TRUE,((Table1[[#This Row],[Birthweight (grams)]]*0.9/Table1[[#This Row],[BW_GA]])-1)/(Backend!$B$4/100*Table1[[#This Row],[BW40_3705]]),"")</f>
        <v/>
      </c>
      <c r="I7291" s="7" t="str">
        <f>IF(Table1[[#This Row],[Is Data Valid]]=TRUE,((Table1[[#This Row],[Birthweight (grams)]]*1.1/Table1[[#This Row],[BW_GA]])-1)/(Backend!$B$4/100*Table1[[#This Row],[BW40_3705]]),"")</f>
        <v/>
      </c>
      <c r="J7291" s="7" t="str">
        <f>IF(Table1[[#This Row],[Is Data Valid]]=TRUE,_xlfn.NORM.S.DIST(Table1[[#This Row],[Birthweight Z-Score]],TRUE)*100,"")</f>
        <v/>
      </c>
      <c r="K7291" s="7" t="str">
        <f>IF(Table1[[#This Row],[Is Data Valid]]=TRUE,_xlfn.NORM.S.DIST(Table1[[#This Row],[Birthweight Z-Score (BW-10%)]],TRUE)*100,"")</f>
        <v/>
      </c>
      <c r="L7291" s="7" t="str">
        <f>IF(Table1[[#This Row],[Is Data Valid]]=TRUE,_xlfn.NORM.S.DIST(Table1[[#This Row],[Birthweight Z-Score (BW+10%)]],TRUE)*100,"")</f>
        <v/>
      </c>
    </row>
    <row r="7292" spans="1:12" x14ac:dyDescent="0.35">
      <c r="A7292" s="3"/>
      <c r="B7292" s="2"/>
      <c r="C7292" s="2"/>
      <c r="D7292" s="2" t="b">
        <f>IF(AND(NOT(ISBLANK(Table1[[#This Row],[Fetal Sex (Male, Female or Unknown)]])),ISNUMBER(Table1[[#This Row],[Birthweight (grams)]]),ISNUMBER(Table1[[#This Row],[Gestation (days)]])),TRUE,FALSE)</f>
        <v>0</v>
      </c>
      <c r="E7292" s="2" t="str">
        <f>IF(Table1[[#This Row],[Is Data Valid]]=TRUE,IF(Table1[[#This Row],[Fetal Sex (Male, Female or Unknown)]]="Male",Backend!$C$6,IF(Table1[[#This Row],[Fetal Sex (Male, Female or Unknown)]]="Female",Backend!$C$7,IF(Table1[[#This Row],[Fetal Sex (Male, Female or Unknown)]]="Unknown",Backend!$C$8,"Error"))),"")</f>
        <v/>
      </c>
      <c r="F7292" s="8" t="str">
        <f>IF(Table1[[#This Row],[Is Data Valid]]=TRUE,EXP(0.578+0.332*((Table1[[#This Row],[Gestation (days)]]+0.5)/7)-0.00354*((Table1[[#This Row],[Gestation (days)]]+0.5)/7)^2)*Table1[[#This Row],[BW40_3705]],"")</f>
        <v/>
      </c>
      <c r="G7292" s="2" t="str">
        <f>IF(Table1[[#This Row],[Is Data Valid]]=TRUE,((Table1[[#This Row],[Birthweight (grams)]]/Table1[[#This Row],[BW_GA]])-1)/(Backend!$B$4/100*Table1[[#This Row],[BW40_3705]]),"")</f>
        <v/>
      </c>
      <c r="H7292" s="7" t="str">
        <f>IF(Table1[[#This Row],[Is Data Valid]]=TRUE,((Table1[[#This Row],[Birthweight (grams)]]*0.9/Table1[[#This Row],[BW_GA]])-1)/(Backend!$B$4/100*Table1[[#This Row],[BW40_3705]]),"")</f>
        <v/>
      </c>
      <c r="I7292" s="7" t="str">
        <f>IF(Table1[[#This Row],[Is Data Valid]]=TRUE,((Table1[[#This Row],[Birthweight (grams)]]*1.1/Table1[[#This Row],[BW_GA]])-1)/(Backend!$B$4/100*Table1[[#This Row],[BW40_3705]]),"")</f>
        <v/>
      </c>
      <c r="J7292" s="7" t="str">
        <f>IF(Table1[[#This Row],[Is Data Valid]]=TRUE,_xlfn.NORM.S.DIST(Table1[[#This Row],[Birthweight Z-Score]],TRUE)*100,"")</f>
        <v/>
      </c>
      <c r="K7292" s="7" t="str">
        <f>IF(Table1[[#This Row],[Is Data Valid]]=TRUE,_xlfn.NORM.S.DIST(Table1[[#This Row],[Birthweight Z-Score (BW-10%)]],TRUE)*100,"")</f>
        <v/>
      </c>
      <c r="L7292" s="7" t="str">
        <f>IF(Table1[[#This Row],[Is Data Valid]]=TRUE,_xlfn.NORM.S.DIST(Table1[[#This Row],[Birthweight Z-Score (BW+10%)]],TRUE)*100,"")</f>
        <v/>
      </c>
    </row>
    <row r="7293" spans="1:12" x14ac:dyDescent="0.35">
      <c r="A7293" s="3"/>
      <c r="B7293" s="2"/>
      <c r="C7293" s="2"/>
      <c r="D7293" s="2" t="b">
        <f>IF(AND(NOT(ISBLANK(Table1[[#This Row],[Fetal Sex (Male, Female or Unknown)]])),ISNUMBER(Table1[[#This Row],[Birthweight (grams)]]),ISNUMBER(Table1[[#This Row],[Gestation (days)]])),TRUE,FALSE)</f>
        <v>0</v>
      </c>
      <c r="E7293" s="2" t="str">
        <f>IF(Table1[[#This Row],[Is Data Valid]]=TRUE,IF(Table1[[#This Row],[Fetal Sex (Male, Female or Unknown)]]="Male",Backend!$C$6,IF(Table1[[#This Row],[Fetal Sex (Male, Female or Unknown)]]="Female",Backend!$C$7,IF(Table1[[#This Row],[Fetal Sex (Male, Female or Unknown)]]="Unknown",Backend!$C$8,"Error"))),"")</f>
        <v/>
      </c>
      <c r="F7293" s="8" t="str">
        <f>IF(Table1[[#This Row],[Is Data Valid]]=TRUE,EXP(0.578+0.332*((Table1[[#This Row],[Gestation (days)]]+0.5)/7)-0.00354*((Table1[[#This Row],[Gestation (days)]]+0.5)/7)^2)*Table1[[#This Row],[BW40_3705]],"")</f>
        <v/>
      </c>
      <c r="G7293" s="2" t="str">
        <f>IF(Table1[[#This Row],[Is Data Valid]]=TRUE,((Table1[[#This Row],[Birthweight (grams)]]/Table1[[#This Row],[BW_GA]])-1)/(Backend!$B$4/100*Table1[[#This Row],[BW40_3705]]),"")</f>
        <v/>
      </c>
      <c r="H7293" s="7" t="str">
        <f>IF(Table1[[#This Row],[Is Data Valid]]=TRUE,((Table1[[#This Row],[Birthweight (grams)]]*0.9/Table1[[#This Row],[BW_GA]])-1)/(Backend!$B$4/100*Table1[[#This Row],[BW40_3705]]),"")</f>
        <v/>
      </c>
      <c r="I7293" s="7" t="str">
        <f>IF(Table1[[#This Row],[Is Data Valid]]=TRUE,((Table1[[#This Row],[Birthweight (grams)]]*1.1/Table1[[#This Row],[BW_GA]])-1)/(Backend!$B$4/100*Table1[[#This Row],[BW40_3705]]),"")</f>
        <v/>
      </c>
      <c r="J7293" s="7" t="str">
        <f>IF(Table1[[#This Row],[Is Data Valid]]=TRUE,_xlfn.NORM.S.DIST(Table1[[#This Row],[Birthweight Z-Score]],TRUE)*100,"")</f>
        <v/>
      </c>
      <c r="K7293" s="7" t="str">
        <f>IF(Table1[[#This Row],[Is Data Valid]]=TRUE,_xlfn.NORM.S.DIST(Table1[[#This Row],[Birthweight Z-Score (BW-10%)]],TRUE)*100,"")</f>
        <v/>
      </c>
      <c r="L7293" s="7" t="str">
        <f>IF(Table1[[#This Row],[Is Data Valid]]=TRUE,_xlfn.NORM.S.DIST(Table1[[#This Row],[Birthweight Z-Score (BW+10%)]],TRUE)*100,"")</f>
        <v/>
      </c>
    </row>
    <row r="7294" spans="1:12" x14ac:dyDescent="0.35">
      <c r="A7294" s="3"/>
      <c r="B7294" s="2"/>
      <c r="C7294" s="2"/>
      <c r="D7294" s="2" t="b">
        <f>IF(AND(NOT(ISBLANK(Table1[[#This Row],[Fetal Sex (Male, Female or Unknown)]])),ISNUMBER(Table1[[#This Row],[Birthweight (grams)]]),ISNUMBER(Table1[[#This Row],[Gestation (days)]])),TRUE,FALSE)</f>
        <v>0</v>
      </c>
      <c r="E7294" s="2" t="str">
        <f>IF(Table1[[#This Row],[Is Data Valid]]=TRUE,IF(Table1[[#This Row],[Fetal Sex (Male, Female or Unknown)]]="Male",Backend!$C$6,IF(Table1[[#This Row],[Fetal Sex (Male, Female or Unknown)]]="Female",Backend!$C$7,IF(Table1[[#This Row],[Fetal Sex (Male, Female or Unknown)]]="Unknown",Backend!$C$8,"Error"))),"")</f>
        <v/>
      </c>
      <c r="F7294" s="8" t="str">
        <f>IF(Table1[[#This Row],[Is Data Valid]]=TRUE,EXP(0.578+0.332*((Table1[[#This Row],[Gestation (days)]]+0.5)/7)-0.00354*((Table1[[#This Row],[Gestation (days)]]+0.5)/7)^2)*Table1[[#This Row],[BW40_3705]],"")</f>
        <v/>
      </c>
      <c r="G7294" s="2" t="str">
        <f>IF(Table1[[#This Row],[Is Data Valid]]=TRUE,((Table1[[#This Row],[Birthweight (grams)]]/Table1[[#This Row],[BW_GA]])-1)/(Backend!$B$4/100*Table1[[#This Row],[BW40_3705]]),"")</f>
        <v/>
      </c>
      <c r="H7294" s="7" t="str">
        <f>IF(Table1[[#This Row],[Is Data Valid]]=TRUE,((Table1[[#This Row],[Birthweight (grams)]]*0.9/Table1[[#This Row],[BW_GA]])-1)/(Backend!$B$4/100*Table1[[#This Row],[BW40_3705]]),"")</f>
        <v/>
      </c>
      <c r="I7294" s="7" t="str">
        <f>IF(Table1[[#This Row],[Is Data Valid]]=TRUE,((Table1[[#This Row],[Birthweight (grams)]]*1.1/Table1[[#This Row],[BW_GA]])-1)/(Backend!$B$4/100*Table1[[#This Row],[BW40_3705]]),"")</f>
        <v/>
      </c>
      <c r="J7294" s="7" t="str">
        <f>IF(Table1[[#This Row],[Is Data Valid]]=TRUE,_xlfn.NORM.S.DIST(Table1[[#This Row],[Birthweight Z-Score]],TRUE)*100,"")</f>
        <v/>
      </c>
      <c r="K7294" s="7" t="str">
        <f>IF(Table1[[#This Row],[Is Data Valid]]=TRUE,_xlfn.NORM.S.DIST(Table1[[#This Row],[Birthweight Z-Score (BW-10%)]],TRUE)*100,"")</f>
        <v/>
      </c>
      <c r="L7294" s="7" t="str">
        <f>IF(Table1[[#This Row],[Is Data Valid]]=TRUE,_xlfn.NORM.S.DIST(Table1[[#This Row],[Birthweight Z-Score (BW+10%)]],TRUE)*100,"")</f>
        <v/>
      </c>
    </row>
    <row r="7295" spans="1:12" x14ac:dyDescent="0.35">
      <c r="A7295" s="3"/>
      <c r="B7295" s="2"/>
      <c r="C7295" s="2"/>
      <c r="D7295" s="2" t="b">
        <f>IF(AND(NOT(ISBLANK(Table1[[#This Row],[Fetal Sex (Male, Female or Unknown)]])),ISNUMBER(Table1[[#This Row],[Birthweight (grams)]]),ISNUMBER(Table1[[#This Row],[Gestation (days)]])),TRUE,FALSE)</f>
        <v>0</v>
      </c>
      <c r="E7295" s="2" t="str">
        <f>IF(Table1[[#This Row],[Is Data Valid]]=TRUE,IF(Table1[[#This Row],[Fetal Sex (Male, Female or Unknown)]]="Male",Backend!$C$6,IF(Table1[[#This Row],[Fetal Sex (Male, Female or Unknown)]]="Female",Backend!$C$7,IF(Table1[[#This Row],[Fetal Sex (Male, Female or Unknown)]]="Unknown",Backend!$C$8,"Error"))),"")</f>
        <v/>
      </c>
      <c r="F7295" s="8" t="str">
        <f>IF(Table1[[#This Row],[Is Data Valid]]=TRUE,EXP(0.578+0.332*((Table1[[#This Row],[Gestation (days)]]+0.5)/7)-0.00354*((Table1[[#This Row],[Gestation (days)]]+0.5)/7)^2)*Table1[[#This Row],[BW40_3705]],"")</f>
        <v/>
      </c>
      <c r="G7295" s="2" t="str">
        <f>IF(Table1[[#This Row],[Is Data Valid]]=TRUE,((Table1[[#This Row],[Birthweight (grams)]]/Table1[[#This Row],[BW_GA]])-1)/(Backend!$B$4/100*Table1[[#This Row],[BW40_3705]]),"")</f>
        <v/>
      </c>
      <c r="H7295" s="7" t="str">
        <f>IF(Table1[[#This Row],[Is Data Valid]]=TRUE,((Table1[[#This Row],[Birthweight (grams)]]*0.9/Table1[[#This Row],[BW_GA]])-1)/(Backend!$B$4/100*Table1[[#This Row],[BW40_3705]]),"")</f>
        <v/>
      </c>
      <c r="I7295" s="7" t="str">
        <f>IF(Table1[[#This Row],[Is Data Valid]]=TRUE,((Table1[[#This Row],[Birthweight (grams)]]*1.1/Table1[[#This Row],[BW_GA]])-1)/(Backend!$B$4/100*Table1[[#This Row],[BW40_3705]]),"")</f>
        <v/>
      </c>
      <c r="J7295" s="7" t="str">
        <f>IF(Table1[[#This Row],[Is Data Valid]]=TRUE,_xlfn.NORM.S.DIST(Table1[[#This Row],[Birthweight Z-Score]],TRUE)*100,"")</f>
        <v/>
      </c>
      <c r="K7295" s="7" t="str">
        <f>IF(Table1[[#This Row],[Is Data Valid]]=TRUE,_xlfn.NORM.S.DIST(Table1[[#This Row],[Birthweight Z-Score (BW-10%)]],TRUE)*100,"")</f>
        <v/>
      </c>
      <c r="L7295" s="7" t="str">
        <f>IF(Table1[[#This Row],[Is Data Valid]]=TRUE,_xlfn.NORM.S.DIST(Table1[[#This Row],[Birthweight Z-Score (BW+10%)]],TRUE)*100,"")</f>
        <v/>
      </c>
    </row>
    <row r="7296" spans="1:12" x14ac:dyDescent="0.35">
      <c r="A7296" s="3"/>
      <c r="B7296" s="2"/>
      <c r="C7296" s="2"/>
      <c r="D7296" s="2" t="b">
        <f>IF(AND(NOT(ISBLANK(Table1[[#This Row],[Fetal Sex (Male, Female or Unknown)]])),ISNUMBER(Table1[[#This Row],[Birthweight (grams)]]),ISNUMBER(Table1[[#This Row],[Gestation (days)]])),TRUE,FALSE)</f>
        <v>0</v>
      </c>
      <c r="E7296" s="2" t="str">
        <f>IF(Table1[[#This Row],[Is Data Valid]]=TRUE,IF(Table1[[#This Row],[Fetal Sex (Male, Female or Unknown)]]="Male",Backend!$C$6,IF(Table1[[#This Row],[Fetal Sex (Male, Female or Unknown)]]="Female",Backend!$C$7,IF(Table1[[#This Row],[Fetal Sex (Male, Female or Unknown)]]="Unknown",Backend!$C$8,"Error"))),"")</f>
        <v/>
      </c>
      <c r="F7296" s="8" t="str">
        <f>IF(Table1[[#This Row],[Is Data Valid]]=TRUE,EXP(0.578+0.332*((Table1[[#This Row],[Gestation (days)]]+0.5)/7)-0.00354*((Table1[[#This Row],[Gestation (days)]]+0.5)/7)^2)*Table1[[#This Row],[BW40_3705]],"")</f>
        <v/>
      </c>
      <c r="G7296" s="2" t="str">
        <f>IF(Table1[[#This Row],[Is Data Valid]]=TRUE,((Table1[[#This Row],[Birthweight (grams)]]/Table1[[#This Row],[BW_GA]])-1)/(Backend!$B$4/100*Table1[[#This Row],[BW40_3705]]),"")</f>
        <v/>
      </c>
      <c r="H7296" s="7" t="str">
        <f>IF(Table1[[#This Row],[Is Data Valid]]=TRUE,((Table1[[#This Row],[Birthweight (grams)]]*0.9/Table1[[#This Row],[BW_GA]])-1)/(Backend!$B$4/100*Table1[[#This Row],[BW40_3705]]),"")</f>
        <v/>
      </c>
      <c r="I7296" s="7" t="str">
        <f>IF(Table1[[#This Row],[Is Data Valid]]=TRUE,((Table1[[#This Row],[Birthweight (grams)]]*1.1/Table1[[#This Row],[BW_GA]])-1)/(Backend!$B$4/100*Table1[[#This Row],[BW40_3705]]),"")</f>
        <v/>
      </c>
      <c r="J7296" s="7" t="str">
        <f>IF(Table1[[#This Row],[Is Data Valid]]=TRUE,_xlfn.NORM.S.DIST(Table1[[#This Row],[Birthweight Z-Score]],TRUE)*100,"")</f>
        <v/>
      </c>
      <c r="K7296" s="7" t="str">
        <f>IF(Table1[[#This Row],[Is Data Valid]]=TRUE,_xlfn.NORM.S.DIST(Table1[[#This Row],[Birthweight Z-Score (BW-10%)]],TRUE)*100,"")</f>
        <v/>
      </c>
      <c r="L7296" s="7" t="str">
        <f>IF(Table1[[#This Row],[Is Data Valid]]=TRUE,_xlfn.NORM.S.DIST(Table1[[#This Row],[Birthweight Z-Score (BW+10%)]],TRUE)*100,"")</f>
        <v/>
      </c>
    </row>
    <row r="7297" spans="1:12" x14ac:dyDescent="0.35">
      <c r="A7297" s="3"/>
      <c r="B7297" s="2"/>
      <c r="C7297" s="2"/>
      <c r="D7297" s="2" t="b">
        <f>IF(AND(NOT(ISBLANK(Table1[[#This Row],[Fetal Sex (Male, Female or Unknown)]])),ISNUMBER(Table1[[#This Row],[Birthweight (grams)]]),ISNUMBER(Table1[[#This Row],[Gestation (days)]])),TRUE,FALSE)</f>
        <v>0</v>
      </c>
      <c r="E7297" s="2" t="str">
        <f>IF(Table1[[#This Row],[Is Data Valid]]=TRUE,IF(Table1[[#This Row],[Fetal Sex (Male, Female or Unknown)]]="Male",Backend!$C$6,IF(Table1[[#This Row],[Fetal Sex (Male, Female or Unknown)]]="Female",Backend!$C$7,IF(Table1[[#This Row],[Fetal Sex (Male, Female or Unknown)]]="Unknown",Backend!$C$8,"Error"))),"")</f>
        <v/>
      </c>
      <c r="F7297" s="8" t="str">
        <f>IF(Table1[[#This Row],[Is Data Valid]]=TRUE,EXP(0.578+0.332*((Table1[[#This Row],[Gestation (days)]]+0.5)/7)-0.00354*((Table1[[#This Row],[Gestation (days)]]+0.5)/7)^2)*Table1[[#This Row],[BW40_3705]],"")</f>
        <v/>
      </c>
      <c r="G7297" s="2" t="str">
        <f>IF(Table1[[#This Row],[Is Data Valid]]=TRUE,((Table1[[#This Row],[Birthweight (grams)]]/Table1[[#This Row],[BW_GA]])-1)/(Backend!$B$4/100*Table1[[#This Row],[BW40_3705]]),"")</f>
        <v/>
      </c>
      <c r="H7297" s="7" t="str">
        <f>IF(Table1[[#This Row],[Is Data Valid]]=TRUE,((Table1[[#This Row],[Birthweight (grams)]]*0.9/Table1[[#This Row],[BW_GA]])-1)/(Backend!$B$4/100*Table1[[#This Row],[BW40_3705]]),"")</f>
        <v/>
      </c>
      <c r="I7297" s="7" t="str">
        <f>IF(Table1[[#This Row],[Is Data Valid]]=TRUE,((Table1[[#This Row],[Birthweight (grams)]]*1.1/Table1[[#This Row],[BW_GA]])-1)/(Backend!$B$4/100*Table1[[#This Row],[BW40_3705]]),"")</f>
        <v/>
      </c>
      <c r="J7297" s="7" t="str">
        <f>IF(Table1[[#This Row],[Is Data Valid]]=TRUE,_xlfn.NORM.S.DIST(Table1[[#This Row],[Birthweight Z-Score]],TRUE)*100,"")</f>
        <v/>
      </c>
      <c r="K7297" s="7" t="str">
        <f>IF(Table1[[#This Row],[Is Data Valid]]=TRUE,_xlfn.NORM.S.DIST(Table1[[#This Row],[Birthweight Z-Score (BW-10%)]],TRUE)*100,"")</f>
        <v/>
      </c>
      <c r="L7297" s="7" t="str">
        <f>IF(Table1[[#This Row],[Is Data Valid]]=TRUE,_xlfn.NORM.S.DIST(Table1[[#This Row],[Birthweight Z-Score (BW+10%)]],TRUE)*100,"")</f>
        <v/>
      </c>
    </row>
    <row r="7298" spans="1:12" x14ac:dyDescent="0.35">
      <c r="A7298" s="3"/>
      <c r="B7298" s="2"/>
      <c r="C7298" s="2"/>
      <c r="D7298" s="2" t="b">
        <f>IF(AND(NOT(ISBLANK(Table1[[#This Row],[Fetal Sex (Male, Female or Unknown)]])),ISNUMBER(Table1[[#This Row],[Birthweight (grams)]]),ISNUMBER(Table1[[#This Row],[Gestation (days)]])),TRUE,FALSE)</f>
        <v>0</v>
      </c>
      <c r="E7298" s="2" t="str">
        <f>IF(Table1[[#This Row],[Is Data Valid]]=TRUE,IF(Table1[[#This Row],[Fetal Sex (Male, Female or Unknown)]]="Male",Backend!$C$6,IF(Table1[[#This Row],[Fetal Sex (Male, Female or Unknown)]]="Female",Backend!$C$7,IF(Table1[[#This Row],[Fetal Sex (Male, Female or Unknown)]]="Unknown",Backend!$C$8,"Error"))),"")</f>
        <v/>
      </c>
      <c r="F7298" s="8" t="str">
        <f>IF(Table1[[#This Row],[Is Data Valid]]=TRUE,EXP(0.578+0.332*((Table1[[#This Row],[Gestation (days)]]+0.5)/7)-0.00354*((Table1[[#This Row],[Gestation (days)]]+0.5)/7)^2)*Table1[[#This Row],[BW40_3705]],"")</f>
        <v/>
      </c>
      <c r="G7298" s="2" t="str">
        <f>IF(Table1[[#This Row],[Is Data Valid]]=TRUE,((Table1[[#This Row],[Birthweight (grams)]]/Table1[[#This Row],[BW_GA]])-1)/(Backend!$B$4/100*Table1[[#This Row],[BW40_3705]]),"")</f>
        <v/>
      </c>
      <c r="H7298" s="7" t="str">
        <f>IF(Table1[[#This Row],[Is Data Valid]]=TRUE,((Table1[[#This Row],[Birthweight (grams)]]*0.9/Table1[[#This Row],[BW_GA]])-1)/(Backend!$B$4/100*Table1[[#This Row],[BW40_3705]]),"")</f>
        <v/>
      </c>
      <c r="I7298" s="7" t="str">
        <f>IF(Table1[[#This Row],[Is Data Valid]]=TRUE,((Table1[[#This Row],[Birthweight (grams)]]*1.1/Table1[[#This Row],[BW_GA]])-1)/(Backend!$B$4/100*Table1[[#This Row],[BW40_3705]]),"")</f>
        <v/>
      </c>
      <c r="J7298" s="7" t="str">
        <f>IF(Table1[[#This Row],[Is Data Valid]]=TRUE,_xlfn.NORM.S.DIST(Table1[[#This Row],[Birthweight Z-Score]],TRUE)*100,"")</f>
        <v/>
      </c>
      <c r="K7298" s="7" t="str">
        <f>IF(Table1[[#This Row],[Is Data Valid]]=TRUE,_xlfn.NORM.S.DIST(Table1[[#This Row],[Birthweight Z-Score (BW-10%)]],TRUE)*100,"")</f>
        <v/>
      </c>
      <c r="L7298" s="7" t="str">
        <f>IF(Table1[[#This Row],[Is Data Valid]]=TRUE,_xlfn.NORM.S.DIST(Table1[[#This Row],[Birthweight Z-Score (BW+10%)]],TRUE)*100,"")</f>
        <v/>
      </c>
    </row>
    <row r="7299" spans="1:12" x14ac:dyDescent="0.35">
      <c r="A7299" s="3"/>
      <c r="B7299" s="2"/>
      <c r="C7299" s="2"/>
      <c r="D7299" s="2" t="b">
        <f>IF(AND(NOT(ISBLANK(Table1[[#This Row],[Fetal Sex (Male, Female or Unknown)]])),ISNUMBER(Table1[[#This Row],[Birthweight (grams)]]),ISNUMBER(Table1[[#This Row],[Gestation (days)]])),TRUE,FALSE)</f>
        <v>0</v>
      </c>
      <c r="E7299" s="2" t="str">
        <f>IF(Table1[[#This Row],[Is Data Valid]]=TRUE,IF(Table1[[#This Row],[Fetal Sex (Male, Female or Unknown)]]="Male",Backend!$C$6,IF(Table1[[#This Row],[Fetal Sex (Male, Female or Unknown)]]="Female",Backend!$C$7,IF(Table1[[#This Row],[Fetal Sex (Male, Female or Unknown)]]="Unknown",Backend!$C$8,"Error"))),"")</f>
        <v/>
      </c>
      <c r="F7299" s="8" t="str">
        <f>IF(Table1[[#This Row],[Is Data Valid]]=TRUE,EXP(0.578+0.332*((Table1[[#This Row],[Gestation (days)]]+0.5)/7)-0.00354*((Table1[[#This Row],[Gestation (days)]]+0.5)/7)^2)*Table1[[#This Row],[BW40_3705]],"")</f>
        <v/>
      </c>
      <c r="G7299" s="2" t="str">
        <f>IF(Table1[[#This Row],[Is Data Valid]]=TRUE,((Table1[[#This Row],[Birthweight (grams)]]/Table1[[#This Row],[BW_GA]])-1)/(Backend!$B$4/100*Table1[[#This Row],[BW40_3705]]),"")</f>
        <v/>
      </c>
      <c r="H7299" s="7" t="str">
        <f>IF(Table1[[#This Row],[Is Data Valid]]=TRUE,((Table1[[#This Row],[Birthweight (grams)]]*0.9/Table1[[#This Row],[BW_GA]])-1)/(Backend!$B$4/100*Table1[[#This Row],[BW40_3705]]),"")</f>
        <v/>
      </c>
      <c r="I7299" s="7" t="str">
        <f>IF(Table1[[#This Row],[Is Data Valid]]=TRUE,((Table1[[#This Row],[Birthweight (grams)]]*1.1/Table1[[#This Row],[BW_GA]])-1)/(Backend!$B$4/100*Table1[[#This Row],[BW40_3705]]),"")</f>
        <v/>
      </c>
      <c r="J7299" s="7" t="str">
        <f>IF(Table1[[#This Row],[Is Data Valid]]=TRUE,_xlfn.NORM.S.DIST(Table1[[#This Row],[Birthweight Z-Score]],TRUE)*100,"")</f>
        <v/>
      </c>
      <c r="K7299" s="7" t="str">
        <f>IF(Table1[[#This Row],[Is Data Valid]]=TRUE,_xlfn.NORM.S.DIST(Table1[[#This Row],[Birthweight Z-Score (BW-10%)]],TRUE)*100,"")</f>
        <v/>
      </c>
      <c r="L7299" s="7" t="str">
        <f>IF(Table1[[#This Row],[Is Data Valid]]=TRUE,_xlfn.NORM.S.DIST(Table1[[#This Row],[Birthweight Z-Score (BW+10%)]],TRUE)*100,"")</f>
        <v/>
      </c>
    </row>
    <row r="7300" spans="1:12" x14ac:dyDescent="0.35">
      <c r="A7300" s="3"/>
      <c r="B7300" s="2"/>
      <c r="C7300" s="2"/>
      <c r="D7300" s="2" t="b">
        <f>IF(AND(NOT(ISBLANK(Table1[[#This Row],[Fetal Sex (Male, Female or Unknown)]])),ISNUMBER(Table1[[#This Row],[Birthweight (grams)]]),ISNUMBER(Table1[[#This Row],[Gestation (days)]])),TRUE,FALSE)</f>
        <v>0</v>
      </c>
      <c r="E7300" s="2" t="str">
        <f>IF(Table1[[#This Row],[Is Data Valid]]=TRUE,IF(Table1[[#This Row],[Fetal Sex (Male, Female or Unknown)]]="Male",Backend!$C$6,IF(Table1[[#This Row],[Fetal Sex (Male, Female or Unknown)]]="Female",Backend!$C$7,IF(Table1[[#This Row],[Fetal Sex (Male, Female or Unknown)]]="Unknown",Backend!$C$8,"Error"))),"")</f>
        <v/>
      </c>
      <c r="F7300" s="8" t="str">
        <f>IF(Table1[[#This Row],[Is Data Valid]]=TRUE,EXP(0.578+0.332*((Table1[[#This Row],[Gestation (days)]]+0.5)/7)-0.00354*((Table1[[#This Row],[Gestation (days)]]+0.5)/7)^2)*Table1[[#This Row],[BW40_3705]],"")</f>
        <v/>
      </c>
      <c r="G7300" s="2" t="str">
        <f>IF(Table1[[#This Row],[Is Data Valid]]=TRUE,((Table1[[#This Row],[Birthweight (grams)]]/Table1[[#This Row],[BW_GA]])-1)/(Backend!$B$4/100*Table1[[#This Row],[BW40_3705]]),"")</f>
        <v/>
      </c>
      <c r="H7300" s="7" t="str">
        <f>IF(Table1[[#This Row],[Is Data Valid]]=TRUE,((Table1[[#This Row],[Birthweight (grams)]]*0.9/Table1[[#This Row],[BW_GA]])-1)/(Backend!$B$4/100*Table1[[#This Row],[BW40_3705]]),"")</f>
        <v/>
      </c>
      <c r="I7300" s="7" t="str">
        <f>IF(Table1[[#This Row],[Is Data Valid]]=TRUE,((Table1[[#This Row],[Birthweight (grams)]]*1.1/Table1[[#This Row],[BW_GA]])-1)/(Backend!$B$4/100*Table1[[#This Row],[BW40_3705]]),"")</f>
        <v/>
      </c>
      <c r="J7300" s="7" t="str">
        <f>IF(Table1[[#This Row],[Is Data Valid]]=TRUE,_xlfn.NORM.S.DIST(Table1[[#This Row],[Birthweight Z-Score]],TRUE)*100,"")</f>
        <v/>
      </c>
      <c r="K7300" s="7" t="str">
        <f>IF(Table1[[#This Row],[Is Data Valid]]=TRUE,_xlfn.NORM.S.DIST(Table1[[#This Row],[Birthweight Z-Score (BW-10%)]],TRUE)*100,"")</f>
        <v/>
      </c>
      <c r="L7300" s="7" t="str">
        <f>IF(Table1[[#This Row],[Is Data Valid]]=TRUE,_xlfn.NORM.S.DIST(Table1[[#This Row],[Birthweight Z-Score (BW+10%)]],TRUE)*100,"")</f>
        <v/>
      </c>
    </row>
    <row r="7301" spans="1:12" x14ac:dyDescent="0.35">
      <c r="A7301" s="3"/>
      <c r="B7301" s="2"/>
      <c r="C7301" s="2"/>
      <c r="D7301" s="2" t="b">
        <f>IF(AND(NOT(ISBLANK(Table1[[#This Row],[Fetal Sex (Male, Female or Unknown)]])),ISNUMBER(Table1[[#This Row],[Birthweight (grams)]]),ISNUMBER(Table1[[#This Row],[Gestation (days)]])),TRUE,FALSE)</f>
        <v>0</v>
      </c>
      <c r="E7301" s="2" t="str">
        <f>IF(Table1[[#This Row],[Is Data Valid]]=TRUE,IF(Table1[[#This Row],[Fetal Sex (Male, Female or Unknown)]]="Male",Backend!$C$6,IF(Table1[[#This Row],[Fetal Sex (Male, Female or Unknown)]]="Female",Backend!$C$7,IF(Table1[[#This Row],[Fetal Sex (Male, Female or Unknown)]]="Unknown",Backend!$C$8,"Error"))),"")</f>
        <v/>
      </c>
      <c r="F7301" s="8" t="str">
        <f>IF(Table1[[#This Row],[Is Data Valid]]=TRUE,EXP(0.578+0.332*((Table1[[#This Row],[Gestation (days)]]+0.5)/7)-0.00354*((Table1[[#This Row],[Gestation (days)]]+0.5)/7)^2)*Table1[[#This Row],[BW40_3705]],"")</f>
        <v/>
      </c>
      <c r="G7301" s="2" t="str">
        <f>IF(Table1[[#This Row],[Is Data Valid]]=TRUE,((Table1[[#This Row],[Birthweight (grams)]]/Table1[[#This Row],[BW_GA]])-1)/(Backend!$B$4/100*Table1[[#This Row],[BW40_3705]]),"")</f>
        <v/>
      </c>
      <c r="H7301" s="7" t="str">
        <f>IF(Table1[[#This Row],[Is Data Valid]]=TRUE,((Table1[[#This Row],[Birthweight (grams)]]*0.9/Table1[[#This Row],[BW_GA]])-1)/(Backend!$B$4/100*Table1[[#This Row],[BW40_3705]]),"")</f>
        <v/>
      </c>
      <c r="I7301" s="7" t="str">
        <f>IF(Table1[[#This Row],[Is Data Valid]]=TRUE,((Table1[[#This Row],[Birthweight (grams)]]*1.1/Table1[[#This Row],[BW_GA]])-1)/(Backend!$B$4/100*Table1[[#This Row],[BW40_3705]]),"")</f>
        <v/>
      </c>
      <c r="J7301" s="7" t="str">
        <f>IF(Table1[[#This Row],[Is Data Valid]]=TRUE,_xlfn.NORM.S.DIST(Table1[[#This Row],[Birthweight Z-Score]],TRUE)*100,"")</f>
        <v/>
      </c>
      <c r="K7301" s="7" t="str">
        <f>IF(Table1[[#This Row],[Is Data Valid]]=TRUE,_xlfn.NORM.S.DIST(Table1[[#This Row],[Birthweight Z-Score (BW-10%)]],TRUE)*100,"")</f>
        <v/>
      </c>
      <c r="L7301" s="7" t="str">
        <f>IF(Table1[[#This Row],[Is Data Valid]]=TRUE,_xlfn.NORM.S.DIST(Table1[[#This Row],[Birthweight Z-Score (BW+10%)]],TRUE)*100,"")</f>
        <v/>
      </c>
    </row>
    <row r="7302" spans="1:12" x14ac:dyDescent="0.35">
      <c r="A7302" s="3"/>
      <c r="B7302" s="2"/>
      <c r="C7302" s="2"/>
      <c r="D7302" s="2" t="b">
        <f>IF(AND(NOT(ISBLANK(Table1[[#This Row],[Fetal Sex (Male, Female or Unknown)]])),ISNUMBER(Table1[[#This Row],[Birthweight (grams)]]),ISNUMBER(Table1[[#This Row],[Gestation (days)]])),TRUE,FALSE)</f>
        <v>0</v>
      </c>
      <c r="E7302" s="2" t="str">
        <f>IF(Table1[[#This Row],[Is Data Valid]]=TRUE,IF(Table1[[#This Row],[Fetal Sex (Male, Female or Unknown)]]="Male",Backend!$C$6,IF(Table1[[#This Row],[Fetal Sex (Male, Female or Unknown)]]="Female",Backend!$C$7,IF(Table1[[#This Row],[Fetal Sex (Male, Female or Unknown)]]="Unknown",Backend!$C$8,"Error"))),"")</f>
        <v/>
      </c>
      <c r="F7302" s="8" t="str">
        <f>IF(Table1[[#This Row],[Is Data Valid]]=TRUE,EXP(0.578+0.332*((Table1[[#This Row],[Gestation (days)]]+0.5)/7)-0.00354*((Table1[[#This Row],[Gestation (days)]]+0.5)/7)^2)*Table1[[#This Row],[BW40_3705]],"")</f>
        <v/>
      </c>
      <c r="G7302" s="2" t="str">
        <f>IF(Table1[[#This Row],[Is Data Valid]]=TRUE,((Table1[[#This Row],[Birthweight (grams)]]/Table1[[#This Row],[BW_GA]])-1)/(Backend!$B$4/100*Table1[[#This Row],[BW40_3705]]),"")</f>
        <v/>
      </c>
      <c r="H7302" s="7" t="str">
        <f>IF(Table1[[#This Row],[Is Data Valid]]=TRUE,((Table1[[#This Row],[Birthweight (grams)]]*0.9/Table1[[#This Row],[BW_GA]])-1)/(Backend!$B$4/100*Table1[[#This Row],[BW40_3705]]),"")</f>
        <v/>
      </c>
      <c r="I7302" s="7" t="str">
        <f>IF(Table1[[#This Row],[Is Data Valid]]=TRUE,((Table1[[#This Row],[Birthweight (grams)]]*1.1/Table1[[#This Row],[BW_GA]])-1)/(Backend!$B$4/100*Table1[[#This Row],[BW40_3705]]),"")</f>
        <v/>
      </c>
      <c r="J7302" s="7" t="str">
        <f>IF(Table1[[#This Row],[Is Data Valid]]=TRUE,_xlfn.NORM.S.DIST(Table1[[#This Row],[Birthweight Z-Score]],TRUE)*100,"")</f>
        <v/>
      </c>
      <c r="K7302" s="7" t="str">
        <f>IF(Table1[[#This Row],[Is Data Valid]]=TRUE,_xlfn.NORM.S.DIST(Table1[[#This Row],[Birthweight Z-Score (BW-10%)]],TRUE)*100,"")</f>
        <v/>
      </c>
      <c r="L7302" s="7" t="str">
        <f>IF(Table1[[#This Row],[Is Data Valid]]=TRUE,_xlfn.NORM.S.DIST(Table1[[#This Row],[Birthweight Z-Score (BW+10%)]],TRUE)*100,"")</f>
        <v/>
      </c>
    </row>
    <row r="7303" spans="1:12" x14ac:dyDescent="0.35">
      <c r="A7303" s="3"/>
      <c r="B7303" s="2"/>
      <c r="C7303" s="2"/>
      <c r="D7303" s="2" t="b">
        <f>IF(AND(NOT(ISBLANK(Table1[[#This Row],[Fetal Sex (Male, Female or Unknown)]])),ISNUMBER(Table1[[#This Row],[Birthweight (grams)]]),ISNUMBER(Table1[[#This Row],[Gestation (days)]])),TRUE,FALSE)</f>
        <v>0</v>
      </c>
      <c r="E7303" s="2" t="str">
        <f>IF(Table1[[#This Row],[Is Data Valid]]=TRUE,IF(Table1[[#This Row],[Fetal Sex (Male, Female or Unknown)]]="Male",Backend!$C$6,IF(Table1[[#This Row],[Fetal Sex (Male, Female or Unknown)]]="Female",Backend!$C$7,IF(Table1[[#This Row],[Fetal Sex (Male, Female or Unknown)]]="Unknown",Backend!$C$8,"Error"))),"")</f>
        <v/>
      </c>
      <c r="F7303" s="8" t="str">
        <f>IF(Table1[[#This Row],[Is Data Valid]]=TRUE,EXP(0.578+0.332*((Table1[[#This Row],[Gestation (days)]]+0.5)/7)-0.00354*((Table1[[#This Row],[Gestation (days)]]+0.5)/7)^2)*Table1[[#This Row],[BW40_3705]],"")</f>
        <v/>
      </c>
      <c r="G7303" s="2" t="str">
        <f>IF(Table1[[#This Row],[Is Data Valid]]=TRUE,((Table1[[#This Row],[Birthweight (grams)]]/Table1[[#This Row],[BW_GA]])-1)/(Backend!$B$4/100*Table1[[#This Row],[BW40_3705]]),"")</f>
        <v/>
      </c>
      <c r="H7303" s="7" t="str">
        <f>IF(Table1[[#This Row],[Is Data Valid]]=TRUE,((Table1[[#This Row],[Birthweight (grams)]]*0.9/Table1[[#This Row],[BW_GA]])-1)/(Backend!$B$4/100*Table1[[#This Row],[BW40_3705]]),"")</f>
        <v/>
      </c>
      <c r="I7303" s="7" t="str">
        <f>IF(Table1[[#This Row],[Is Data Valid]]=TRUE,((Table1[[#This Row],[Birthweight (grams)]]*1.1/Table1[[#This Row],[BW_GA]])-1)/(Backend!$B$4/100*Table1[[#This Row],[BW40_3705]]),"")</f>
        <v/>
      </c>
      <c r="J7303" s="7" t="str">
        <f>IF(Table1[[#This Row],[Is Data Valid]]=TRUE,_xlfn.NORM.S.DIST(Table1[[#This Row],[Birthweight Z-Score]],TRUE)*100,"")</f>
        <v/>
      </c>
      <c r="K7303" s="7" t="str">
        <f>IF(Table1[[#This Row],[Is Data Valid]]=TRUE,_xlfn.NORM.S.DIST(Table1[[#This Row],[Birthweight Z-Score (BW-10%)]],TRUE)*100,"")</f>
        <v/>
      </c>
      <c r="L7303" s="7" t="str">
        <f>IF(Table1[[#This Row],[Is Data Valid]]=TRUE,_xlfn.NORM.S.DIST(Table1[[#This Row],[Birthweight Z-Score (BW+10%)]],TRUE)*100,"")</f>
        <v/>
      </c>
    </row>
    <row r="7304" spans="1:12" x14ac:dyDescent="0.35">
      <c r="A7304" s="3"/>
      <c r="B7304" s="2"/>
      <c r="C7304" s="2"/>
      <c r="D7304" s="2" t="b">
        <f>IF(AND(NOT(ISBLANK(Table1[[#This Row],[Fetal Sex (Male, Female or Unknown)]])),ISNUMBER(Table1[[#This Row],[Birthweight (grams)]]),ISNUMBER(Table1[[#This Row],[Gestation (days)]])),TRUE,FALSE)</f>
        <v>0</v>
      </c>
      <c r="E7304" s="2" t="str">
        <f>IF(Table1[[#This Row],[Is Data Valid]]=TRUE,IF(Table1[[#This Row],[Fetal Sex (Male, Female or Unknown)]]="Male",Backend!$C$6,IF(Table1[[#This Row],[Fetal Sex (Male, Female or Unknown)]]="Female",Backend!$C$7,IF(Table1[[#This Row],[Fetal Sex (Male, Female or Unknown)]]="Unknown",Backend!$C$8,"Error"))),"")</f>
        <v/>
      </c>
      <c r="F7304" s="8" t="str">
        <f>IF(Table1[[#This Row],[Is Data Valid]]=TRUE,EXP(0.578+0.332*((Table1[[#This Row],[Gestation (days)]]+0.5)/7)-0.00354*((Table1[[#This Row],[Gestation (days)]]+0.5)/7)^2)*Table1[[#This Row],[BW40_3705]],"")</f>
        <v/>
      </c>
      <c r="G7304" s="2" t="str">
        <f>IF(Table1[[#This Row],[Is Data Valid]]=TRUE,((Table1[[#This Row],[Birthweight (grams)]]/Table1[[#This Row],[BW_GA]])-1)/(Backend!$B$4/100*Table1[[#This Row],[BW40_3705]]),"")</f>
        <v/>
      </c>
      <c r="H7304" s="7" t="str">
        <f>IF(Table1[[#This Row],[Is Data Valid]]=TRUE,((Table1[[#This Row],[Birthweight (grams)]]*0.9/Table1[[#This Row],[BW_GA]])-1)/(Backend!$B$4/100*Table1[[#This Row],[BW40_3705]]),"")</f>
        <v/>
      </c>
      <c r="I7304" s="7" t="str">
        <f>IF(Table1[[#This Row],[Is Data Valid]]=TRUE,((Table1[[#This Row],[Birthweight (grams)]]*1.1/Table1[[#This Row],[BW_GA]])-1)/(Backend!$B$4/100*Table1[[#This Row],[BW40_3705]]),"")</f>
        <v/>
      </c>
      <c r="J7304" s="7" t="str">
        <f>IF(Table1[[#This Row],[Is Data Valid]]=TRUE,_xlfn.NORM.S.DIST(Table1[[#This Row],[Birthweight Z-Score]],TRUE)*100,"")</f>
        <v/>
      </c>
      <c r="K7304" s="7" t="str">
        <f>IF(Table1[[#This Row],[Is Data Valid]]=TRUE,_xlfn.NORM.S.DIST(Table1[[#This Row],[Birthweight Z-Score (BW-10%)]],TRUE)*100,"")</f>
        <v/>
      </c>
      <c r="L7304" s="7" t="str">
        <f>IF(Table1[[#This Row],[Is Data Valid]]=TRUE,_xlfn.NORM.S.DIST(Table1[[#This Row],[Birthweight Z-Score (BW+10%)]],TRUE)*100,"")</f>
        <v/>
      </c>
    </row>
    <row r="7305" spans="1:12" x14ac:dyDescent="0.35">
      <c r="A7305" s="3"/>
      <c r="B7305" s="2"/>
      <c r="C7305" s="2"/>
      <c r="D7305" s="2" t="b">
        <f>IF(AND(NOT(ISBLANK(Table1[[#This Row],[Fetal Sex (Male, Female or Unknown)]])),ISNUMBER(Table1[[#This Row],[Birthweight (grams)]]),ISNUMBER(Table1[[#This Row],[Gestation (days)]])),TRUE,FALSE)</f>
        <v>0</v>
      </c>
      <c r="E7305" s="2" t="str">
        <f>IF(Table1[[#This Row],[Is Data Valid]]=TRUE,IF(Table1[[#This Row],[Fetal Sex (Male, Female or Unknown)]]="Male",Backend!$C$6,IF(Table1[[#This Row],[Fetal Sex (Male, Female or Unknown)]]="Female",Backend!$C$7,IF(Table1[[#This Row],[Fetal Sex (Male, Female or Unknown)]]="Unknown",Backend!$C$8,"Error"))),"")</f>
        <v/>
      </c>
      <c r="F7305" s="8" t="str">
        <f>IF(Table1[[#This Row],[Is Data Valid]]=TRUE,EXP(0.578+0.332*((Table1[[#This Row],[Gestation (days)]]+0.5)/7)-0.00354*((Table1[[#This Row],[Gestation (days)]]+0.5)/7)^2)*Table1[[#This Row],[BW40_3705]],"")</f>
        <v/>
      </c>
      <c r="G7305" s="2" t="str">
        <f>IF(Table1[[#This Row],[Is Data Valid]]=TRUE,((Table1[[#This Row],[Birthweight (grams)]]/Table1[[#This Row],[BW_GA]])-1)/(Backend!$B$4/100*Table1[[#This Row],[BW40_3705]]),"")</f>
        <v/>
      </c>
      <c r="H7305" s="7" t="str">
        <f>IF(Table1[[#This Row],[Is Data Valid]]=TRUE,((Table1[[#This Row],[Birthweight (grams)]]*0.9/Table1[[#This Row],[BW_GA]])-1)/(Backend!$B$4/100*Table1[[#This Row],[BW40_3705]]),"")</f>
        <v/>
      </c>
      <c r="I7305" s="7" t="str">
        <f>IF(Table1[[#This Row],[Is Data Valid]]=TRUE,((Table1[[#This Row],[Birthweight (grams)]]*1.1/Table1[[#This Row],[BW_GA]])-1)/(Backend!$B$4/100*Table1[[#This Row],[BW40_3705]]),"")</f>
        <v/>
      </c>
      <c r="J7305" s="7" t="str">
        <f>IF(Table1[[#This Row],[Is Data Valid]]=TRUE,_xlfn.NORM.S.DIST(Table1[[#This Row],[Birthweight Z-Score]],TRUE)*100,"")</f>
        <v/>
      </c>
      <c r="K7305" s="7" t="str">
        <f>IF(Table1[[#This Row],[Is Data Valid]]=TRUE,_xlfn.NORM.S.DIST(Table1[[#This Row],[Birthweight Z-Score (BW-10%)]],TRUE)*100,"")</f>
        <v/>
      </c>
      <c r="L7305" s="7" t="str">
        <f>IF(Table1[[#This Row],[Is Data Valid]]=TRUE,_xlfn.NORM.S.DIST(Table1[[#This Row],[Birthweight Z-Score (BW+10%)]],TRUE)*100,"")</f>
        <v/>
      </c>
    </row>
    <row r="7306" spans="1:12" x14ac:dyDescent="0.35">
      <c r="A7306" s="3"/>
      <c r="B7306" s="2"/>
      <c r="C7306" s="2"/>
      <c r="D7306" s="2" t="b">
        <f>IF(AND(NOT(ISBLANK(Table1[[#This Row],[Fetal Sex (Male, Female or Unknown)]])),ISNUMBER(Table1[[#This Row],[Birthweight (grams)]]),ISNUMBER(Table1[[#This Row],[Gestation (days)]])),TRUE,FALSE)</f>
        <v>0</v>
      </c>
      <c r="E7306" s="2" t="str">
        <f>IF(Table1[[#This Row],[Is Data Valid]]=TRUE,IF(Table1[[#This Row],[Fetal Sex (Male, Female or Unknown)]]="Male",Backend!$C$6,IF(Table1[[#This Row],[Fetal Sex (Male, Female or Unknown)]]="Female",Backend!$C$7,IF(Table1[[#This Row],[Fetal Sex (Male, Female or Unknown)]]="Unknown",Backend!$C$8,"Error"))),"")</f>
        <v/>
      </c>
      <c r="F7306" s="8" t="str">
        <f>IF(Table1[[#This Row],[Is Data Valid]]=TRUE,EXP(0.578+0.332*((Table1[[#This Row],[Gestation (days)]]+0.5)/7)-0.00354*((Table1[[#This Row],[Gestation (days)]]+0.5)/7)^2)*Table1[[#This Row],[BW40_3705]],"")</f>
        <v/>
      </c>
      <c r="G7306" s="2" t="str">
        <f>IF(Table1[[#This Row],[Is Data Valid]]=TRUE,((Table1[[#This Row],[Birthweight (grams)]]/Table1[[#This Row],[BW_GA]])-1)/(Backend!$B$4/100*Table1[[#This Row],[BW40_3705]]),"")</f>
        <v/>
      </c>
      <c r="H7306" s="7" t="str">
        <f>IF(Table1[[#This Row],[Is Data Valid]]=TRUE,((Table1[[#This Row],[Birthweight (grams)]]*0.9/Table1[[#This Row],[BW_GA]])-1)/(Backend!$B$4/100*Table1[[#This Row],[BW40_3705]]),"")</f>
        <v/>
      </c>
      <c r="I7306" s="7" t="str">
        <f>IF(Table1[[#This Row],[Is Data Valid]]=TRUE,((Table1[[#This Row],[Birthweight (grams)]]*1.1/Table1[[#This Row],[BW_GA]])-1)/(Backend!$B$4/100*Table1[[#This Row],[BW40_3705]]),"")</f>
        <v/>
      </c>
      <c r="J7306" s="7" t="str">
        <f>IF(Table1[[#This Row],[Is Data Valid]]=TRUE,_xlfn.NORM.S.DIST(Table1[[#This Row],[Birthweight Z-Score]],TRUE)*100,"")</f>
        <v/>
      </c>
      <c r="K7306" s="7" t="str">
        <f>IF(Table1[[#This Row],[Is Data Valid]]=TRUE,_xlfn.NORM.S.DIST(Table1[[#This Row],[Birthweight Z-Score (BW-10%)]],TRUE)*100,"")</f>
        <v/>
      </c>
      <c r="L7306" s="7" t="str">
        <f>IF(Table1[[#This Row],[Is Data Valid]]=TRUE,_xlfn.NORM.S.DIST(Table1[[#This Row],[Birthweight Z-Score (BW+10%)]],TRUE)*100,"")</f>
        <v/>
      </c>
    </row>
    <row r="7307" spans="1:12" x14ac:dyDescent="0.35">
      <c r="A7307" s="3"/>
      <c r="B7307" s="2"/>
      <c r="C7307" s="2"/>
      <c r="D7307" s="2" t="b">
        <f>IF(AND(NOT(ISBLANK(Table1[[#This Row],[Fetal Sex (Male, Female or Unknown)]])),ISNUMBER(Table1[[#This Row],[Birthweight (grams)]]),ISNUMBER(Table1[[#This Row],[Gestation (days)]])),TRUE,FALSE)</f>
        <v>0</v>
      </c>
      <c r="E7307" s="2" t="str">
        <f>IF(Table1[[#This Row],[Is Data Valid]]=TRUE,IF(Table1[[#This Row],[Fetal Sex (Male, Female or Unknown)]]="Male",Backend!$C$6,IF(Table1[[#This Row],[Fetal Sex (Male, Female or Unknown)]]="Female",Backend!$C$7,IF(Table1[[#This Row],[Fetal Sex (Male, Female or Unknown)]]="Unknown",Backend!$C$8,"Error"))),"")</f>
        <v/>
      </c>
      <c r="F7307" s="8" t="str">
        <f>IF(Table1[[#This Row],[Is Data Valid]]=TRUE,EXP(0.578+0.332*((Table1[[#This Row],[Gestation (days)]]+0.5)/7)-0.00354*((Table1[[#This Row],[Gestation (days)]]+0.5)/7)^2)*Table1[[#This Row],[BW40_3705]],"")</f>
        <v/>
      </c>
      <c r="G7307" s="2" t="str">
        <f>IF(Table1[[#This Row],[Is Data Valid]]=TRUE,((Table1[[#This Row],[Birthweight (grams)]]/Table1[[#This Row],[BW_GA]])-1)/(Backend!$B$4/100*Table1[[#This Row],[BW40_3705]]),"")</f>
        <v/>
      </c>
      <c r="H7307" s="7" t="str">
        <f>IF(Table1[[#This Row],[Is Data Valid]]=TRUE,((Table1[[#This Row],[Birthweight (grams)]]*0.9/Table1[[#This Row],[BW_GA]])-1)/(Backend!$B$4/100*Table1[[#This Row],[BW40_3705]]),"")</f>
        <v/>
      </c>
      <c r="I7307" s="7" t="str">
        <f>IF(Table1[[#This Row],[Is Data Valid]]=TRUE,((Table1[[#This Row],[Birthweight (grams)]]*1.1/Table1[[#This Row],[BW_GA]])-1)/(Backend!$B$4/100*Table1[[#This Row],[BW40_3705]]),"")</f>
        <v/>
      </c>
      <c r="J7307" s="7" t="str">
        <f>IF(Table1[[#This Row],[Is Data Valid]]=TRUE,_xlfn.NORM.S.DIST(Table1[[#This Row],[Birthweight Z-Score]],TRUE)*100,"")</f>
        <v/>
      </c>
      <c r="K7307" s="7" t="str">
        <f>IF(Table1[[#This Row],[Is Data Valid]]=TRUE,_xlfn.NORM.S.DIST(Table1[[#This Row],[Birthweight Z-Score (BW-10%)]],TRUE)*100,"")</f>
        <v/>
      </c>
      <c r="L7307" s="7" t="str">
        <f>IF(Table1[[#This Row],[Is Data Valid]]=TRUE,_xlfn.NORM.S.DIST(Table1[[#This Row],[Birthweight Z-Score (BW+10%)]],TRUE)*100,"")</f>
        <v/>
      </c>
    </row>
    <row r="7308" spans="1:12" x14ac:dyDescent="0.35">
      <c r="A7308" s="3"/>
      <c r="B7308" s="2"/>
      <c r="C7308" s="2"/>
      <c r="D7308" s="2" t="b">
        <f>IF(AND(NOT(ISBLANK(Table1[[#This Row],[Fetal Sex (Male, Female or Unknown)]])),ISNUMBER(Table1[[#This Row],[Birthweight (grams)]]),ISNUMBER(Table1[[#This Row],[Gestation (days)]])),TRUE,FALSE)</f>
        <v>0</v>
      </c>
      <c r="E7308" s="2" t="str">
        <f>IF(Table1[[#This Row],[Is Data Valid]]=TRUE,IF(Table1[[#This Row],[Fetal Sex (Male, Female or Unknown)]]="Male",Backend!$C$6,IF(Table1[[#This Row],[Fetal Sex (Male, Female or Unknown)]]="Female",Backend!$C$7,IF(Table1[[#This Row],[Fetal Sex (Male, Female or Unknown)]]="Unknown",Backend!$C$8,"Error"))),"")</f>
        <v/>
      </c>
      <c r="F7308" s="8" t="str">
        <f>IF(Table1[[#This Row],[Is Data Valid]]=TRUE,EXP(0.578+0.332*((Table1[[#This Row],[Gestation (days)]]+0.5)/7)-0.00354*((Table1[[#This Row],[Gestation (days)]]+0.5)/7)^2)*Table1[[#This Row],[BW40_3705]],"")</f>
        <v/>
      </c>
      <c r="G7308" s="2" t="str">
        <f>IF(Table1[[#This Row],[Is Data Valid]]=TRUE,((Table1[[#This Row],[Birthweight (grams)]]/Table1[[#This Row],[BW_GA]])-1)/(Backend!$B$4/100*Table1[[#This Row],[BW40_3705]]),"")</f>
        <v/>
      </c>
      <c r="H7308" s="7" t="str">
        <f>IF(Table1[[#This Row],[Is Data Valid]]=TRUE,((Table1[[#This Row],[Birthweight (grams)]]*0.9/Table1[[#This Row],[BW_GA]])-1)/(Backend!$B$4/100*Table1[[#This Row],[BW40_3705]]),"")</f>
        <v/>
      </c>
      <c r="I7308" s="7" t="str">
        <f>IF(Table1[[#This Row],[Is Data Valid]]=TRUE,((Table1[[#This Row],[Birthweight (grams)]]*1.1/Table1[[#This Row],[BW_GA]])-1)/(Backend!$B$4/100*Table1[[#This Row],[BW40_3705]]),"")</f>
        <v/>
      </c>
      <c r="J7308" s="7" t="str">
        <f>IF(Table1[[#This Row],[Is Data Valid]]=TRUE,_xlfn.NORM.S.DIST(Table1[[#This Row],[Birthweight Z-Score]],TRUE)*100,"")</f>
        <v/>
      </c>
      <c r="K7308" s="7" t="str">
        <f>IF(Table1[[#This Row],[Is Data Valid]]=TRUE,_xlfn.NORM.S.DIST(Table1[[#This Row],[Birthweight Z-Score (BW-10%)]],TRUE)*100,"")</f>
        <v/>
      </c>
      <c r="L7308" s="7" t="str">
        <f>IF(Table1[[#This Row],[Is Data Valid]]=TRUE,_xlfn.NORM.S.DIST(Table1[[#This Row],[Birthweight Z-Score (BW+10%)]],TRUE)*100,"")</f>
        <v/>
      </c>
    </row>
    <row r="7309" spans="1:12" x14ac:dyDescent="0.35">
      <c r="A7309" s="3"/>
      <c r="B7309" s="2"/>
      <c r="C7309" s="2"/>
      <c r="D7309" s="2" t="b">
        <f>IF(AND(NOT(ISBLANK(Table1[[#This Row],[Fetal Sex (Male, Female or Unknown)]])),ISNUMBER(Table1[[#This Row],[Birthweight (grams)]]),ISNUMBER(Table1[[#This Row],[Gestation (days)]])),TRUE,FALSE)</f>
        <v>0</v>
      </c>
      <c r="E7309" s="2" t="str">
        <f>IF(Table1[[#This Row],[Is Data Valid]]=TRUE,IF(Table1[[#This Row],[Fetal Sex (Male, Female or Unknown)]]="Male",Backend!$C$6,IF(Table1[[#This Row],[Fetal Sex (Male, Female or Unknown)]]="Female",Backend!$C$7,IF(Table1[[#This Row],[Fetal Sex (Male, Female or Unknown)]]="Unknown",Backend!$C$8,"Error"))),"")</f>
        <v/>
      </c>
      <c r="F7309" s="8" t="str">
        <f>IF(Table1[[#This Row],[Is Data Valid]]=TRUE,EXP(0.578+0.332*((Table1[[#This Row],[Gestation (days)]]+0.5)/7)-0.00354*((Table1[[#This Row],[Gestation (days)]]+0.5)/7)^2)*Table1[[#This Row],[BW40_3705]],"")</f>
        <v/>
      </c>
      <c r="G7309" s="2" t="str">
        <f>IF(Table1[[#This Row],[Is Data Valid]]=TRUE,((Table1[[#This Row],[Birthweight (grams)]]/Table1[[#This Row],[BW_GA]])-1)/(Backend!$B$4/100*Table1[[#This Row],[BW40_3705]]),"")</f>
        <v/>
      </c>
      <c r="H7309" s="7" t="str">
        <f>IF(Table1[[#This Row],[Is Data Valid]]=TRUE,((Table1[[#This Row],[Birthweight (grams)]]*0.9/Table1[[#This Row],[BW_GA]])-1)/(Backend!$B$4/100*Table1[[#This Row],[BW40_3705]]),"")</f>
        <v/>
      </c>
      <c r="I7309" s="7" t="str">
        <f>IF(Table1[[#This Row],[Is Data Valid]]=TRUE,((Table1[[#This Row],[Birthweight (grams)]]*1.1/Table1[[#This Row],[BW_GA]])-1)/(Backend!$B$4/100*Table1[[#This Row],[BW40_3705]]),"")</f>
        <v/>
      </c>
      <c r="J7309" s="7" t="str">
        <f>IF(Table1[[#This Row],[Is Data Valid]]=TRUE,_xlfn.NORM.S.DIST(Table1[[#This Row],[Birthweight Z-Score]],TRUE)*100,"")</f>
        <v/>
      </c>
      <c r="K7309" s="7" t="str">
        <f>IF(Table1[[#This Row],[Is Data Valid]]=TRUE,_xlfn.NORM.S.DIST(Table1[[#This Row],[Birthweight Z-Score (BW-10%)]],TRUE)*100,"")</f>
        <v/>
      </c>
      <c r="L7309" s="7" t="str">
        <f>IF(Table1[[#This Row],[Is Data Valid]]=TRUE,_xlfn.NORM.S.DIST(Table1[[#This Row],[Birthweight Z-Score (BW+10%)]],TRUE)*100,"")</f>
        <v/>
      </c>
    </row>
    <row r="7310" spans="1:12" x14ac:dyDescent="0.35">
      <c r="A7310" s="3"/>
      <c r="B7310" s="2"/>
      <c r="C7310" s="2"/>
      <c r="D7310" s="2" t="b">
        <f>IF(AND(NOT(ISBLANK(Table1[[#This Row],[Fetal Sex (Male, Female or Unknown)]])),ISNUMBER(Table1[[#This Row],[Birthweight (grams)]]),ISNUMBER(Table1[[#This Row],[Gestation (days)]])),TRUE,FALSE)</f>
        <v>0</v>
      </c>
      <c r="E7310" s="2" t="str">
        <f>IF(Table1[[#This Row],[Is Data Valid]]=TRUE,IF(Table1[[#This Row],[Fetal Sex (Male, Female or Unknown)]]="Male",Backend!$C$6,IF(Table1[[#This Row],[Fetal Sex (Male, Female or Unknown)]]="Female",Backend!$C$7,IF(Table1[[#This Row],[Fetal Sex (Male, Female or Unknown)]]="Unknown",Backend!$C$8,"Error"))),"")</f>
        <v/>
      </c>
      <c r="F7310" s="8" t="str">
        <f>IF(Table1[[#This Row],[Is Data Valid]]=TRUE,EXP(0.578+0.332*((Table1[[#This Row],[Gestation (days)]]+0.5)/7)-0.00354*((Table1[[#This Row],[Gestation (days)]]+0.5)/7)^2)*Table1[[#This Row],[BW40_3705]],"")</f>
        <v/>
      </c>
      <c r="G7310" s="2" t="str">
        <f>IF(Table1[[#This Row],[Is Data Valid]]=TRUE,((Table1[[#This Row],[Birthweight (grams)]]/Table1[[#This Row],[BW_GA]])-1)/(Backend!$B$4/100*Table1[[#This Row],[BW40_3705]]),"")</f>
        <v/>
      </c>
      <c r="H7310" s="7" t="str">
        <f>IF(Table1[[#This Row],[Is Data Valid]]=TRUE,((Table1[[#This Row],[Birthweight (grams)]]*0.9/Table1[[#This Row],[BW_GA]])-1)/(Backend!$B$4/100*Table1[[#This Row],[BW40_3705]]),"")</f>
        <v/>
      </c>
      <c r="I7310" s="7" t="str">
        <f>IF(Table1[[#This Row],[Is Data Valid]]=TRUE,((Table1[[#This Row],[Birthweight (grams)]]*1.1/Table1[[#This Row],[BW_GA]])-1)/(Backend!$B$4/100*Table1[[#This Row],[BW40_3705]]),"")</f>
        <v/>
      </c>
      <c r="J7310" s="7" t="str">
        <f>IF(Table1[[#This Row],[Is Data Valid]]=TRUE,_xlfn.NORM.S.DIST(Table1[[#This Row],[Birthweight Z-Score]],TRUE)*100,"")</f>
        <v/>
      </c>
      <c r="K7310" s="7" t="str">
        <f>IF(Table1[[#This Row],[Is Data Valid]]=TRUE,_xlfn.NORM.S.DIST(Table1[[#This Row],[Birthweight Z-Score (BW-10%)]],TRUE)*100,"")</f>
        <v/>
      </c>
      <c r="L7310" s="7" t="str">
        <f>IF(Table1[[#This Row],[Is Data Valid]]=TRUE,_xlfn.NORM.S.DIST(Table1[[#This Row],[Birthweight Z-Score (BW+10%)]],TRUE)*100,"")</f>
        <v/>
      </c>
    </row>
    <row r="7311" spans="1:12" x14ac:dyDescent="0.35">
      <c r="A7311" s="3"/>
      <c r="B7311" s="2"/>
      <c r="C7311" s="2"/>
      <c r="D7311" s="2" t="b">
        <f>IF(AND(NOT(ISBLANK(Table1[[#This Row],[Fetal Sex (Male, Female or Unknown)]])),ISNUMBER(Table1[[#This Row],[Birthweight (grams)]]),ISNUMBER(Table1[[#This Row],[Gestation (days)]])),TRUE,FALSE)</f>
        <v>0</v>
      </c>
      <c r="E7311" s="2" t="str">
        <f>IF(Table1[[#This Row],[Is Data Valid]]=TRUE,IF(Table1[[#This Row],[Fetal Sex (Male, Female or Unknown)]]="Male",Backend!$C$6,IF(Table1[[#This Row],[Fetal Sex (Male, Female or Unknown)]]="Female",Backend!$C$7,IF(Table1[[#This Row],[Fetal Sex (Male, Female or Unknown)]]="Unknown",Backend!$C$8,"Error"))),"")</f>
        <v/>
      </c>
      <c r="F7311" s="8" t="str">
        <f>IF(Table1[[#This Row],[Is Data Valid]]=TRUE,EXP(0.578+0.332*((Table1[[#This Row],[Gestation (days)]]+0.5)/7)-0.00354*((Table1[[#This Row],[Gestation (days)]]+0.5)/7)^2)*Table1[[#This Row],[BW40_3705]],"")</f>
        <v/>
      </c>
      <c r="G7311" s="2" t="str">
        <f>IF(Table1[[#This Row],[Is Data Valid]]=TRUE,((Table1[[#This Row],[Birthweight (grams)]]/Table1[[#This Row],[BW_GA]])-1)/(Backend!$B$4/100*Table1[[#This Row],[BW40_3705]]),"")</f>
        <v/>
      </c>
      <c r="H7311" s="7" t="str">
        <f>IF(Table1[[#This Row],[Is Data Valid]]=TRUE,((Table1[[#This Row],[Birthweight (grams)]]*0.9/Table1[[#This Row],[BW_GA]])-1)/(Backend!$B$4/100*Table1[[#This Row],[BW40_3705]]),"")</f>
        <v/>
      </c>
      <c r="I7311" s="7" t="str">
        <f>IF(Table1[[#This Row],[Is Data Valid]]=TRUE,((Table1[[#This Row],[Birthweight (grams)]]*1.1/Table1[[#This Row],[BW_GA]])-1)/(Backend!$B$4/100*Table1[[#This Row],[BW40_3705]]),"")</f>
        <v/>
      </c>
      <c r="J7311" s="7" t="str">
        <f>IF(Table1[[#This Row],[Is Data Valid]]=TRUE,_xlfn.NORM.S.DIST(Table1[[#This Row],[Birthweight Z-Score]],TRUE)*100,"")</f>
        <v/>
      </c>
      <c r="K7311" s="7" t="str">
        <f>IF(Table1[[#This Row],[Is Data Valid]]=TRUE,_xlfn.NORM.S.DIST(Table1[[#This Row],[Birthweight Z-Score (BW-10%)]],TRUE)*100,"")</f>
        <v/>
      </c>
      <c r="L7311" s="7" t="str">
        <f>IF(Table1[[#This Row],[Is Data Valid]]=TRUE,_xlfn.NORM.S.DIST(Table1[[#This Row],[Birthweight Z-Score (BW+10%)]],TRUE)*100,"")</f>
        <v/>
      </c>
    </row>
    <row r="7312" spans="1:12" x14ac:dyDescent="0.35">
      <c r="A7312" s="3"/>
      <c r="B7312" s="2"/>
      <c r="C7312" s="2"/>
      <c r="D7312" s="2" t="b">
        <f>IF(AND(NOT(ISBLANK(Table1[[#This Row],[Fetal Sex (Male, Female or Unknown)]])),ISNUMBER(Table1[[#This Row],[Birthweight (grams)]]),ISNUMBER(Table1[[#This Row],[Gestation (days)]])),TRUE,FALSE)</f>
        <v>0</v>
      </c>
      <c r="E7312" s="2" t="str">
        <f>IF(Table1[[#This Row],[Is Data Valid]]=TRUE,IF(Table1[[#This Row],[Fetal Sex (Male, Female or Unknown)]]="Male",Backend!$C$6,IF(Table1[[#This Row],[Fetal Sex (Male, Female or Unknown)]]="Female",Backend!$C$7,IF(Table1[[#This Row],[Fetal Sex (Male, Female or Unknown)]]="Unknown",Backend!$C$8,"Error"))),"")</f>
        <v/>
      </c>
      <c r="F7312" s="8" t="str">
        <f>IF(Table1[[#This Row],[Is Data Valid]]=TRUE,EXP(0.578+0.332*((Table1[[#This Row],[Gestation (days)]]+0.5)/7)-0.00354*((Table1[[#This Row],[Gestation (days)]]+0.5)/7)^2)*Table1[[#This Row],[BW40_3705]],"")</f>
        <v/>
      </c>
      <c r="G7312" s="2" t="str">
        <f>IF(Table1[[#This Row],[Is Data Valid]]=TRUE,((Table1[[#This Row],[Birthweight (grams)]]/Table1[[#This Row],[BW_GA]])-1)/(Backend!$B$4/100*Table1[[#This Row],[BW40_3705]]),"")</f>
        <v/>
      </c>
      <c r="H7312" s="7" t="str">
        <f>IF(Table1[[#This Row],[Is Data Valid]]=TRUE,((Table1[[#This Row],[Birthweight (grams)]]*0.9/Table1[[#This Row],[BW_GA]])-1)/(Backend!$B$4/100*Table1[[#This Row],[BW40_3705]]),"")</f>
        <v/>
      </c>
      <c r="I7312" s="7" t="str">
        <f>IF(Table1[[#This Row],[Is Data Valid]]=TRUE,((Table1[[#This Row],[Birthweight (grams)]]*1.1/Table1[[#This Row],[BW_GA]])-1)/(Backend!$B$4/100*Table1[[#This Row],[BW40_3705]]),"")</f>
        <v/>
      </c>
      <c r="J7312" s="7" t="str">
        <f>IF(Table1[[#This Row],[Is Data Valid]]=TRUE,_xlfn.NORM.S.DIST(Table1[[#This Row],[Birthweight Z-Score]],TRUE)*100,"")</f>
        <v/>
      </c>
      <c r="K7312" s="7" t="str">
        <f>IF(Table1[[#This Row],[Is Data Valid]]=TRUE,_xlfn.NORM.S.DIST(Table1[[#This Row],[Birthweight Z-Score (BW-10%)]],TRUE)*100,"")</f>
        <v/>
      </c>
      <c r="L7312" s="7" t="str">
        <f>IF(Table1[[#This Row],[Is Data Valid]]=TRUE,_xlfn.NORM.S.DIST(Table1[[#This Row],[Birthweight Z-Score (BW+10%)]],TRUE)*100,"")</f>
        <v/>
      </c>
    </row>
    <row r="7313" spans="1:12" x14ac:dyDescent="0.35">
      <c r="A7313" s="3"/>
      <c r="B7313" s="2"/>
      <c r="C7313" s="2"/>
      <c r="D7313" s="2" t="b">
        <f>IF(AND(NOT(ISBLANK(Table1[[#This Row],[Fetal Sex (Male, Female or Unknown)]])),ISNUMBER(Table1[[#This Row],[Birthweight (grams)]]),ISNUMBER(Table1[[#This Row],[Gestation (days)]])),TRUE,FALSE)</f>
        <v>0</v>
      </c>
      <c r="E7313" s="2" t="str">
        <f>IF(Table1[[#This Row],[Is Data Valid]]=TRUE,IF(Table1[[#This Row],[Fetal Sex (Male, Female or Unknown)]]="Male",Backend!$C$6,IF(Table1[[#This Row],[Fetal Sex (Male, Female or Unknown)]]="Female",Backend!$C$7,IF(Table1[[#This Row],[Fetal Sex (Male, Female or Unknown)]]="Unknown",Backend!$C$8,"Error"))),"")</f>
        <v/>
      </c>
      <c r="F7313" s="8" t="str">
        <f>IF(Table1[[#This Row],[Is Data Valid]]=TRUE,EXP(0.578+0.332*((Table1[[#This Row],[Gestation (days)]]+0.5)/7)-0.00354*((Table1[[#This Row],[Gestation (days)]]+0.5)/7)^2)*Table1[[#This Row],[BW40_3705]],"")</f>
        <v/>
      </c>
      <c r="G7313" s="2" t="str">
        <f>IF(Table1[[#This Row],[Is Data Valid]]=TRUE,((Table1[[#This Row],[Birthweight (grams)]]/Table1[[#This Row],[BW_GA]])-1)/(Backend!$B$4/100*Table1[[#This Row],[BW40_3705]]),"")</f>
        <v/>
      </c>
      <c r="H7313" s="7" t="str">
        <f>IF(Table1[[#This Row],[Is Data Valid]]=TRUE,((Table1[[#This Row],[Birthweight (grams)]]*0.9/Table1[[#This Row],[BW_GA]])-1)/(Backend!$B$4/100*Table1[[#This Row],[BW40_3705]]),"")</f>
        <v/>
      </c>
      <c r="I7313" s="7" t="str">
        <f>IF(Table1[[#This Row],[Is Data Valid]]=TRUE,((Table1[[#This Row],[Birthweight (grams)]]*1.1/Table1[[#This Row],[BW_GA]])-1)/(Backend!$B$4/100*Table1[[#This Row],[BW40_3705]]),"")</f>
        <v/>
      </c>
      <c r="J7313" s="7" t="str">
        <f>IF(Table1[[#This Row],[Is Data Valid]]=TRUE,_xlfn.NORM.S.DIST(Table1[[#This Row],[Birthweight Z-Score]],TRUE)*100,"")</f>
        <v/>
      </c>
      <c r="K7313" s="7" t="str">
        <f>IF(Table1[[#This Row],[Is Data Valid]]=TRUE,_xlfn.NORM.S.DIST(Table1[[#This Row],[Birthweight Z-Score (BW-10%)]],TRUE)*100,"")</f>
        <v/>
      </c>
      <c r="L7313" s="7" t="str">
        <f>IF(Table1[[#This Row],[Is Data Valid]]=TRUE,_xlfn.NORM.S.DIST(Table1[[#This Row],[Birthweight Z-Score (BW+10%)]],TRUE)*100,"")</f>
        <v/>
      </c>
    </row>
    <row r="7314" spans="1:12" x14ac:dyDescent="0.35">
      <c r="A7314" s="3"/>
      <c r="B7314" s="2"/>
      <c r="C7314" s="2"/>
      <c r="D7314" s="2" t="b">
        <f>IF(AND(NOT(ISBLANK(Table1[[#This Row],[Fetal Sex (Male, Female or Unknown)]])),ISNUMBER(Table1[[#This Row],[Birthweight (grams)]]),ISNUMBER(Table1[[#This Row],[Gestation (days)]])),TRUE,FALSE)</f>
        <v>0</v>
      </c>
      <c r="E7314" s="2" t="str">
        <f>IF(Table1[[#This Row],[Is Data Valid]]=TRUE,IF(Table1[[#This Row],[Fetal Sex (Male, Female or Unknown)]]="Male",Backend!$C$6,IF(Table1[[#This Row],[Fetal Sex (Male, Female or Unknown)]]="Female",Backend!$C$7,IF(Table1[[#This Row],[Fetal Sex (Male, Female or Unknown)]]="Unknown",Backend!$C$8,"Error"))),"")</f>
        <v/>
      </c>
      <c r="F7314" s="8" t="str">
        <f>IF(Table1[[#This Row],[Is Data Valid]]=TRUE,EXP(0.578+0.332*((Table1[[#This Row],[Gestation (days)]]+0.5)/7)-0.00354*((Table1[[#This Row],[Gestation (days)]]+0.5)/7)^2)*Table1[[#This Row],[BW40_3705]],"")</f>
        <v/>
      </c>
      <c r="G7314" s="2" t="str">
        <f>IF(Table1[[#This Row],[Is Data Valid]]=TRUE,((Table1[[#This Row],[Birthweight (grams)]]/Table1[[#This Row],[BW_GA]])-1)/(Backend!$B$4/100*Table1[[#This Row],[BW40_3705]]),"")</f>
        <v/>
      </c>
      <c r="H7314" s="7" t="str">
        <f>IF(Table1[[#This Row],[Is Data Valid]]=TRUE,((Table1[[#This Row],[Birthweight (grams)]]*0.9/Table1[[#This Row],[BW_GA]])-1)/(Backend!$B$4/100*Table1[[#This Row],[BW40_3705]]),"")</f>
        <v/>
      </c>
      <c r="I7314" s="7" t="str">
        <f>IF(Table1[[#This Row],[Is Data Valid]]=TRUE,((Table1[[#This Row],[Birthweight (grams)]]*1.1/Table1[[#This Row],[BW_GA]])-1)/(Backend!$B$4/100*Table1[[#This Row],[BW40_3705]]),"")</f>
        <v/>
      </c>
      <c r="J7314" s="7" t="str">
        <f>IF(Table1[[#This Row],[Is Data Valid]]=TRUE,_xlfn.NORM.S.DIST(Table1[[#This Row],[Birthweight Z-Score]],TRUE)*100,"")</f>
        <v/>
      </c>
      <c r="K7314" s="7" t="str">
        <f>IF(Table1[[#This Row],[Is Data Valid]]=TRUE,_xlfn.NORM.S.DIST(Table1[[#This Row],[Birthweight Z-Score (BW-10%)]],TRUE)*100,"")</f>
        <v/>
      </c>
      <c r="L7314" s="7" t="str">
        <f>IF(Table1[[#This Row],[Is Data Valid]]=TRUE,_xlfn.NORM.S.DIST(Table1[[#This Row],[Birthweight Z-Score (BW+10%)]],TRUE)*100,"")</f>
        <v/>
      </c>
    </row>
    <row r="7315" spans="1:12" x14ac:dyDescent="0.35">
      <c r="A7315" s="3"/>
      <c r="B7315" s="2"/>
      <c r="C7315" s="2"/>
      <c r="D7315" s="2" t="b">
        <f>IF(AND(NOT(ISBLANK(Table1[[#This Row],[Fetal Sex (Male, Female or Unknown)]])),ISNUMBER(Table1[[#This Row],[Birthweight (grams)]]),ISNUMBER(Table1[[#This Row],[Gestation (days)]])),TRUE,FALSE)</f>
        <v>0</v>
      </c>
      <c r="E7315" s="2" t="str">
        <f>IF(Table1[[#This Row],[Is Data Valid]]=TRUE,IF(Table1[[#This Row],[Fetal Sex (Male, Female or Unknown)]]="Male",Backend!$C$6,IF(Table1[[#This Row],[Fetal Sex (Male, Female or Unknown)]]="Female",Backend!$C$7,IF(Table1[[#This Row],[Fetal Sex (Male, Female or Unknown)]]="Unknown",Backend!$C$8,"Error"))),"")</f>
        <v/>
      </c>
      <c r="F7315" s="8" t="str">
        <f>IF(Table1[[#This Row],[Is Data Valid]]=TRUE,EXP(0.578+0.332*((Table1[[#This Row],[Gestation (days)]]+0.5)/7)-0.00354*((Table1[[#This Row],[Gestation (days)]]+0.5)/7)^2)*Table1[[#This Row],[BW40_3705]],"")</f>
        <v/>
      </c>
      <c r="G7315" s="2" t="str">
        <f>IF(Table1[[#This Row],[Is Data Valid]]=TRUE,((Table1[[#This Row],[Birthweight (grams)]]/Table1[[#This Row],[BW_GA]])-1)/(Backend!$B$4/100*Table1[[#This Row],[BW40_3705]]),"")</f>
        <v/>
      </c>
      <c r="H7315" s="7" t="str">
        <f>IF(Table1[[#This Row],[Is Data Valid]]=TRUE,((Table1[[#This Row],[Birthweight (grams)]]*0.9/Table1[[#This Row],[BW_GA]])-1)/(Backend!$B$4/100*Table1[[#This Row],[BW40_3705]]),"")</f>
        <v/>
      </c>
      <c r="I7315" s="7" t="str">
        <f>IF(Table1[[#This Row],[Is Data Valid]]=TRUE,((Table1[[#This Row],[Birthweight (grams)]]*1.1/Table1[[#This Row],[BW_GA]])-1)/(Backend!$B$4/100*Table1[[#This Row],[BW40_3705]]),"")</f>
        <v/>
      </c>
      <c r="J7315" s="7" t="str">
        <f>IF(Table1[[#This Row],[Is Data Valid]]=TRUE,_xlfn.NORM.S.DIST(Table1[[#This Row],[Birthweight Z-Score]],TRUE)*100,"")</f>
        <v/>
      </c>
      <c r="K7315" s="7" t="str">
        <f>IF(Table1[[#This Row],[Is Data Valid]]=TRUE,_xlfn.NORM.S.DIST(Table1[[#This Row],[Birthweight Z-Score (BW-10%)]],TRUE)*100,"")</f>
        <v/>
      </c>
      <c r="L7315" s="7" t="str">
        <f>IF(Table1[[#This Row],[Is Data Valid]]=TRUE,_xlfn.NORM.S.DIST(Table1[[#This Row],[Birthweight Z-Score (BW+10%)]],TRUE)*100,"")</f>
        <v/>
      </c>
    </row>
    <row r="7316" spans="1:12" x14ac:dyDescent="0.35">
      <c r="A7316" s="3"/>
      <c r="B7316" s="2"/>
      <c r="C7316" s="2"/>
      <c r="D7316" s="2" t="b">
        <f>IF(AND(NOT(ISBLANK(Table1[[#This Row],[Fetal Sex (Male, Female or Unknown)]])),ISNUMBER(Table1[[#This Row],[Birthweight (grams)]]),ISNUMBER(Table1[[#This Row],[Gestation (days)]])),TRUE,FALSE)</f>
        <v>0</v>
      </c>
      <c r="E7316" s="2" t="str">
        <f>IF(Table1[[#This Row],[Is Data Valid]]=TRUE,IF(Table1[[#This Row],[Fetal Sex (Male, Female or Unknown)]]="Male",Backend!$C$6,IF(Table1[[#This Row],[Fetal Sex (Male, Female or Unknown)]]="Female",Backend!$C$7,IF(Table1[[#This Row],[Fetal Sex (Male, Female or Unknown)]]="Unknown",Backend!$C$8,"Error"))),"")</f>
        <v/>
      </c>
      <c r="F7316" s="8" t="str">
        <f>IF(Table1[[#This Row],[Is Data Valid]]=TRUE,EXP(0.578+0.332*((Table1[[#This Row],[Gestation (days)]]+0.5)/7)-0.00354*((Table1[[#This Row],[Gestation (days)]]+0.5)/7)^2)*Table1[[#This Row],[BW40_3705]],"")</f>
        <v/>
      </c>
      <c r="G7316" s="2" t="str">
        <f>IF(Table1[[#This Row],[Is Data Valid]]=TRUE,((Table1[[#This Row],[Birthweight (grams)]]/Table1[[#This Row],[BW_GA]])-1)/(Backend!$B$4/100*Table1[[#This Row],[BW40_3705]]),"")</f>
        <v/>
      </c>
      <c r="H7316" s="7" t="str">
        <f>IF(Table1[[#This Row],[Is Data Valid]]=TRUE,((Table1[[#This Row],[Birthweight (grams)]]*0.9/Table1[[#This Row],[BW_GA]])-1)/(Backend!$B$4/100*Table1[[#This Row],[BW40_3705]]),"")</f>
        <v/>
      </c>
      <c r="I7316" s="7" t="str">
        <f>IF(Table1[[#This Row],[Is Data Valid]]=TRUE,((Table1[[#This Row],[Birthweight (grams)]]*1.1/Table1[[#This Row],[BW_GA]])-1)/(Backend!$B$4/100*Table1[[#This Row],[BW40_3705]]),"")</f>
        <v/>
      </c>
      <c r="J7316" s="7" t="str">
        <f>IF(Table1[[#This Row],[Is Data Valid]]=TRUE,_xlfn.NORM.S.DIST(Table1[[#This Row],[Birthweight Z-Score]],TRUE)*100,"")</f>
        <v/>
      </c>
      <c r="K7316" s="7" t="str">
        <f>IF(Table1[[#This Row],[Is Data Valid]]=TRUE,_xlfn.NORM.S.DIST(Table1[[#This Row],[Birthweight Z-Score (BW-10%)]],TRUE)*100,"")</f>
        <v/>
      </c>
      <c r="L7316" s="7" t="str">
        <f>IF(Table1[[#This Row],[Is Data Valid]]=TRUE,_xlfn.NORM.S.DIST(Table1[[#This Row],[Birthweight Z-Score (BW+10%)]],TRUE)*100,"")</f>
        <v/>
      </c>
    </row>
    <row r="7317" spans="1:12" x14ac:dyDescent="0.35">
      <c r="A7317" s="3"/>
      <c r="B7317" s="2"/>
      <c r="C7317" s="2"/>
      <c r="D7317" s="2" t="b">
        <f>IF(AND(NOT(ISBLANK(Table1[[#This Row],[Fetal Sex (Male, Female or Unknown)]])),ISNUMBER(Table1[[#This Row],[Birthweight (grams)]]),ISNUMBER(Table1[[#This Row],[Gestation (days)]])),TRUE,FALSE)</f>
        <v>0</v>
      </c>
      <c r="E7317" s="2" t="str">
        <f>IF(Table1[[#This Row],[Is Data Valid]]=TRUE,IF(Table1[[#This Row],[Fetal Sex (Male, Female or Unknown)]]="Male",Backend!$C$6,IF(Table1[[#This Row],[Fetal Sex (Male, Female or Unknown)]]="Female",Backend!$C$7,IF(Table1[[#This Row],[Fetal Sex (Male, Female or Unknown)]]="Unknown",Backend!$C$8,"Error"))),"")</f>
        <v/>
      </c>
      <c r="F7317" s="8" t="str">
        <f>IF(Table1[[#This Row],[Is Data Valid]]=TRUE,EXP(0.578+0.332*((Table1[[#This Row],[Gestation (days)]]+0.5)/7)-0.00354*((Table1[[#This Row],[Gestation (days)]]+0.5)/7)^2)*Table1[[#This Row],[BW40_3705]],"")</f>
        <v/>
      </c>
      <c r="G7317" s="2" t="str">
        <f>IF(Table1[[#This Row],[Is Data Valid]]=TRUE,((Table1[[#This Row],[Birthweight (grams)]]/Table1[[#This Row],[BW_GA]])-1)/(Backend!$B$4/100*Table1[[#This Row],[BW40_3705]]),"")</f>
        <v/>
      </c>
      <c r="H7317" s="7" t="str">
        <f>IF(Table1[[#This Row],[Is Data Valid]]=TRUE,((Table1[[#This Row],[Birthweight (grams)]]*0.9/Table1[[#This Row],[BW_GA]])-1)/(Backend!$B$4/100*Table1[[#This Row],[BW40_3705]]),"")</f>
        <v/>
      </c>
      <c r="I7317" s="7" t="str">
        <f>IF(Table1[[#This Row],[Is Data Valid]]=TRUE,((Table1[[#This Row],[Birthweight (grams)]]*1.1/Table1[[#This Row],[BW_GA]])-1)/(Backend!$B$4/100*Table1[[#This Row],[BW40_3705]]),"")</f>
        <v/>
      </c>
      <c r="J7317" s="7" t="str">
        <f>IF(Table1[[#This Row],[Is Data Valid]]=TRUE,_xlfn.NORM.S.DIST(Table1[[#This Row],[Birthweight Z-Score]],TRUE)*100,"")</f>
        <v/>
      </c>
      <c r="K7317" s="7" t="str">
        <f>IF(Table1[[#This Row],[Is Data Valid]]=TRUE,_xlfn.NORM.S.DIST(Table1[[#This Row],[Birthweight Z-Score (BW-10%)]],TRUE)*100,"")</f>
        <v/>
      </c>
      <c r="L7317" s="7" t="str">
        <f>IF(Table1[[#This Row],[Is Data Valid]]=TRUE,_xlfn.NORM.S.DIST(Table1[[#This Row],[Birthweight Z-Score (BW+10%)]],TRUE)*100,"")</f>
        <v/>
      </c>
    </row>
    <row r="7318" spans="1:12" x14ac:dyDescent="0.35">
      <c r="A7318" s="3"/>
      <c r="B7318" s="2"/>
      <c r="C7318" s="2"/>
      <c r="D7318" s="2" t="b">
        <f>IF(AND(NOT(ISBLANK(Table1[[#This Row],[Fetal Sex (Male, Female or Unknown)]])),ISNUMBER(Table1[[#This Row],[Birthweight (grams)]]),ISNUMBER(Table1[[#This Row],[Gestation (days)]])),TRUE,FALSE)</f>
        <v>0</v>
      </c>
      <c r="E7318" s="2" t="str">
        <f>IF(Table1[[#This Row],[Is Data Valid]]=TRUE,IF(Table1[[#This Row],[Fetal Sex (Male, Female or Unknown)]]="Male",Backend!$C$6,IF(Table1[[#This Row],[Fetal Sex (Male, Female or Unknown)]]="Female",Backend!$C$7,IF(Table1[[#This Row],[Fetal Sex (Male, Female or Unknown)]]="Unknown",Backend!$C$8,"Error"))),"")</f>
        <v/>
      </c>
      <c r="F7318" s="8" t="str">
        <f>IF(Table1[[#This Row],[Is Data Valid]]=TRUE,EXP(0.578+0.332*((Table1[[#This Row],[Gestation (days)]]+0.5)/7)-0.00354*((Table1[[#This Row],[Gestation (days)]]+0.5)/7)^2)*Table1[[#This Row],[BW40_3705]],"")</f>
        <v/>
      </c>
      <c r="G7318" s="2" t="str">
        <f>IF(Table1[[#This Row],[Is Data Valid]]=TRUE,((Table1[[#This Row],[Birthweight (grams)]]/Table1[[#This Row],[BW_GA]])-1)/(Backend!$B$4/100*Table1[[#This Row],[BW40_3705]]),"")</f>
        <v/>
      </c>
      <c r="H7318" s="7" t="str">
        <f>IF(Table1[[#This Row],[Is Data Valid]]=TRUE,((Table1[[#This Row],[Birthweight (grams)]]*0.9/Table1[[#This Row],[BW_GA]])-1)/(Backend!$B$4/100*Table1[[#This Row],[BW40_3705]]),"")</f>
        <v/>
      </c>
      <c r="I7318" s="7" t="str">
        <f>IF(Table1[[#This Row],[Is Data Valid]]=TRUE,((Table1[[#This Row],[Birthweight (grams)]]*1.1/Table1[[#This Row],[BW_GA]])-1)/(Backend!$B$4/100*Table1[[#This Row],[BW40_3705]]),"")</f>
        <v/>
      </c>
      <c r="J7318" s="7" t="str">
        <f>IF(Table1[[#This Row],[Is Data Valid]]=TRUE,_xlfn.NORM.S.DIST(Table1[[#This Row],[Birthweight Z-Score]],TRUE)*100,"")</f>
        <v/>
      </c>
      <c r="K7318" s="7" t="str">
        <f>IF(Table1[[#This Row],[Is Data Valid]]=TRUE,_xlfn.NORM.S.DIST(Table1[[#This Row],[Birthweight Z-Score (BW-10%)]],TRUE)*100,"")</f>
        <v/>
      </c>
      <c r="L7318" s="7" t="str">
        <f>IF(Table1[[#This Row],[Is Data Valid]]=TRUE,_xlfn.NORM.S.DIST(Table1[[#This Row],[Birthweight Z-Score (BW+10%)]],TRUE)*100,"")</f>
        <v/>
      </c>
    </row>
    <row r="7319" spans="1:12" x14ac:dyDescent="0.35">
      <c r="A7319" s="3"/>
      <c r="B7319" s="2"/>
      <c r="C7319" s="2"/>
      <c r="D7319" s="2" t="b">
        <f>IF(AND(NOT(ISBLANK(Table1[[#This Row],[Fetal Sex (Male, Female or Unknown)]])),ISNUMBER(Table1[[#This Row],[Birthweight (grams)]]),ISNUMBER(Table1[[#This Row],[Gestation (days)]])),TRUE,FALSE)</f>
        <v>0</v>
      </c>
      <c r="E7319" s="2" t="str">
        <f>IF(Table1[[#This Row],[Is Data Valid]]=TRUE,IF(Table1[[#This Row],[Fetal Sex (Male, Female or Unknown)]]="Male",Backend!$C$6,IF(Table1[[#This Row],[Fetal Sex (Male, Female or Unknown)]]="Female",Backend!$C$7,IF(Table1[[#This Row],[Fetal Sex (Male, Female or Unknown)]]="Unknown",Backend!$C$8,"Error"))),"")</f>
        <v/>
      </c>
      <c r="F7319" s="8" t="str">
        <f>IF(Table1[[#This Row],[Is Data Valid]]=TRUE,EXP(0.578+0.332*((Table1[[#This Row],[Gestation (days)]]+0.5)/7)-0.00354*((Table1[[#This Row],[Gestation (days)]]+0.5)/7)^2)*Table1[[#This Row],[BW40_3705]],"")</f>
        <v/>
      </c>
      <c r="G7319" s="2" t="str">
        <f>IF(Table1[[#This Row],[Is Data Valid]]=TRUE,((Table1[[#This Row],[Birthweight (grams)]]/Table1[[#This Row],[BW_GA]])-1)/(Backend!$B$4/100*Table1[[#This Row],[BW40_3705]]),"")</f>
        <v/>
      </c>
      <c r="H7319" s="7" t="str">
        <f>IF(Table1[[#This Row],[Is Data Valid]]=TRUE,((Table1[[#This Row],[Birthweight (grams)]]*0.9/Table1[[#This Row],[BW_GA]])-1)/(Backend!$B$4/100*Table1[[#This Row],[BW40_3705]]),"")</f>
        <v/>
      </c>
      <c r="I7319" s="7" t="str">
        <f>IF(Table1[[#This Row],[Is Data Valid]]=TRUE,((Table1[[#This Row],[Birthweight (grams)]]*1.1/Table1[[#This Row],[BW_GA]])-1)/(Backend!$B$4/100*Table1[[#This Row],[BW40_3705]]),"")</f>
        <v/>
      </c>
      <c r="J7319" s="7" t="str">
        <f>IF(Table1[[#This Row],[Is Data Valid]]=TRUE,_xlfn.NORM.S.DIST(Table1[[#This Row],[Birthweight Z-Score]],TRUE)*100,"")</f>
        <v/>
      </c>
      <c r="K7319" s="7" t="str">
        <f>IF(Table1[[#This Row],[Is Data Valid]]=TRUE,_xlfn.NORM.S.DIST(Table1[[#This Row],[Birthweight Z-Score (BW-10%)]],TRUE)*100,"")</f>
        <v/>
      </c>
      <c r="L7319" s="7" t="str">
        <f>IF(Table1[[#This Row],[Is Data Valid]]=TRUE,_xlfn.NORM.S.DIST(Table1[[#This Row],[Birthweight Z-Score (BW+10%)]],TRUE)*100,"")</f>
        <v/>
      </c>
    </row>
    <row r="7320" spans="1:12" x14ac:dyDescent="0.35">
      <c r="A7320" s="3"/>
      <c r="B7320" s="2"/>
      <c r="C7320" s="2"/>
      <c r="D7320" s="2" t="b">
        <f>IF(AND(NOT(ISBLANK(Table1[[#This Row],[Fetal Sex (Male, Female or Unknown)]])),ISNUMBER(Table1[[#This Row],[Birthweight (grams)]]),ISNUMBER(Table1[[#This Row],[Gestation (days)]])),TRUE,FALSE)</f>
        <v>0</v>
      </c>
      <c r="E7320" s="2" t="str">
        <f>IF(Table1[[#This Row],[Is Data Valid]]=TRUE,IF(Table1[[#This Row],[Fetal Sex (Male, Female or Unknown)]]="Male",Backend!$C$6,IF(Table1[[#This Row],[Fetal Sex (Male, Female or Unknown)]]="Female",Backend!$C$7,IF(Table1[[#This Row],[Fetal Sex (Male, Female or Unknown)]]="Unknown",Backend!$C$8,"Error"))),"")</f>
        <v/>
      </c>
      <c r="F7320" s="8" t="str">
        <f>IF(Table1[[#This Row],[Is Data Valid]]=TRUE,EXP(0.578+0.332*((Table1[[#This Row],[Gestation (days)]]+0.5)/7)-0.00354*((Table1[[#This Row],[Gestation (days)]]+0.5)/7)^2)*Table1[[#This Row],[BW40_3705]],"")</f>
        <v/>
      </c>
      <c r="G7320" s="2" t="str">
        <f>IF(Table1[[#This Row],[Is Data Valid]]=TRUE,((Table1[[#This Row],[Birthweight (grams)]]/Table1[[#This Row],[BW_GA]])-1)/(Backend!$B$4/100*Table1[[#This Row],[BW40_3705]]),"")</f>
        <v/>
      </c>
      <c r="H7320" s="7" t="str">
        <f>IF(Table1[[#This Row],[Is Data Valid]]=TRUE,((Table1[[#This Row],[Birthweight (grams)]]*0.9/Table1[[#This Row],[BW_GA]])-1)/(Backend!$B$4/100*Table1[[#This Row],[BW40_3705]]),"")</f>
        <v/>
      </c>
      <c r="I7320" s="7" t="str">
        <f>IF(Table1[[#This Row],[Is Data Valid]]=TRUE,((Table1[[#This Row],[Birthweight (grams)]]*1.1/Table1[[#This Row],[BW_GA]])-1)/(Backend!$B$4/100*Table1[[#This Row],[BW40_3705]]),"")</f>
        <v/>
      </c>
      <c r="J7320" s="7" t="str">
        <f>IF(Table1[[#This Row],[Is Data Valid]]=TRUE,_xlfn.NORM.S.DIST(Table1[[#This Row],[Birthweight Z-Score]],TRUE)*100,"")</f>
        <v/>
      </c>
      <c r="K7320" s="7" t="str">
        <f>IF(Table1[[#This Row],[Is Data Valid]]=TRUE,_xlfn.NORM.S.DIST(Table1[[#This Row],[Birthweight Z-Score (BW-10%)]],TRUE)*100,"")</f>
        <v/>
      </c>
      <c r="L7320" s="7" t="str">
        <f>IF(Table1[[#This Row],[Is Data Valid]]=TRUE,_xlfn.NORM.S.DIST(Table1[[#This Row],[Birthweight Z-Score (BW+10%)]],TRUE)*100,"")</f>
        <v/>
      </c>
    </row>
    <row r="7321" spans="1:12" x14ac:dyDescent="0.35">
      <c r="A7321" s="3"/>
      <c r="B7321" s="2"/>
      <c r="C7321" s="2"/>
      <c r="D7321" s="2" t="b">
        <f>IF(AND(NOT(ISBLANK(Table1[[#This Row],[Fetal Sex (Male, Female or Unknown)]])),ISNUMBER(Table1[[#This Row],[Birthweight (grams)]]),ISNUMBER(Table1[[#This Row],[Gestation (days)]])),TRUE,FALSE)</f>
        <v>0</v>
      </c>
      <c r="E7321" s="2" t="str">
        <f>IF(Table1[[#This Row],[Is Data Valid]]=TRUE,IF(Table1[[#This Row],[Fetal Sex (Male, Female or Unknown)]]="Male",Backend!$C$6,IF(Table1[[#This Row],[Fetal Sex (Male, Female or Unknown)]]="Female",Backend!$C$7,IF(Table1[[#This Row],[Fetal Sex (Male, Female or Unknown)]]="Unknown",Backend!$C$8,"Error"))),"")</f>
        <v/>
      </c>
      <c r="F7321" s="8" t="str">
        <f>IF(Table1[[#This Row],[Is Data Valid]]=TRUE,EXP(0.578+0.332*((Table1[[#This Row],[Gestation (days)]]+0.5)/7)-0.00354*((Table1[[#This Row],[Gestation (days)]]+0.5)/7)^2)*Table1[[#This Row],[BW40_3705]],"")</f>
        <v/>
      </c>
      <c r="G7321" s="2" t="str">
        <f>IF(Table1[[#This Row],[Is Data Valid]]=TRUE,((Table1[[#This Row],[Birthweight (grams)]]/Table1[[#This Row],[BW_GA]])-1)/(Backend!$B$4/100*Table1[[#This Row],[BW40_3705]]),"")</f>
        <v/>
      </c>
      <c r="H7321" s="7" t="str">
        <f>IF(Table1[[#This Row],[Is Data Valid]]=TRUE,((Table1[[#This Row],[Birthweight (grams)]]*0.9/Table1[[#This Row],[BW_GA]])-1)/(Backend!$B$4/100*Table1[[#This Row],[BW40_3705]]),"")</f>
        <v/>
      </c>
      <c r="I7321" s="7" t="str">
        <f>IF(Table1[[#This Row],[Is Data Valid]]=TRUE,((Table1[[#This Row],[Birthweight (grams)]]*1.1/Table1[[#This Row],[BW_GA]])-1)/(Backend!$B$4/100*Table1[[#This Row],[BW40_3705]]),"")</f>
        <v/>
      </c>
      <c r="J7321" s="7" t="str">
        <f>IF(Table1[[#This Row],[Is Data Valid]]=TRUE,_xlfn.NORM.S.DIST(Table1[[#This Row],[Birthweight Z-Score]],TRUE)*100,"")</f>
        <v/>
      </c>
      <c r="K7321" s="7" t="str">
        <f>IF(Table1[[#This Row],[Is Data Valid]]=TRUE,_xlfn.NORM.S.DIST(Table1[[#This Row],[Birthweight Z-Score (BW-10%)]],TRUE)*100,"")</f>
        <v/>
      </c>
      <c r="L7321" s="7" t="str">
        <f>IF(Table1[[#This Row],[Is Data Valid]]=TRUE,_xlfn.NORM.S.DIST(Table1[[#This Row],[Birthweight Z-Score (BW+10%)]],TRUE)*100,"")</f>
        <v/>
      </c>
    </row>
    <row r="7322" spans="1:12" x14ac:dyDescent="0.35">
      <c r="A7322" s="3"/>
      <c r="B7322" s="2"/>
      <c r="C7322" s="2"/>
      <c r="D7322" s="2" t="b">
        <f>IF(AND(NOT(ISBLANK(Table1[[#This Row],[Fetal Sex (Male, Female or Unknown)]])),ISNUMBER(Table1[[#This Row],[Birthweight (grams)]]),ISNUMBER(Table1[[#This Row],[Gestation (days)]])),TRUE,FALSE)</f>
        <v>0</v>
      </c>
      <c r="E7322" s="2" t="str">
        <f>IF(Table1[[#This Row],[Is Data Valid]]=TRUE,IF(Table1[[#This Row],[Fetal Sex (Male, Female or Unknown)]]="Male",Backend!$C$6,IF(Table1[[#This Row],[Fetal Sex (Male, Female or Unknown)]]="Female",Backend!$C$7,IF(Table1[[#This Row],[Fetal Sex (Male, Female or Unknown)]]="Unknown",Backend!$C$8,"Error"))),"")</f>
        <v/>
      </c>
      <c r="F7322" s="8" t="str">
        <f>IF(Table1[[#This Row],[Is Data Valid]]=TRUE,EXP(0.578+0.332*((Table1[[#This Row],[Gestation (days)]]+0.5)/7)-0.00354*((Table1[[#This Row],[Gestation (days)]]+0.5)/7)^2)*Table1[[#This Row],[BW40_3705]],"")</f>
        <v/>
      </c>
      <c r="G7322" s="2" t="str">
        <f>IF(Table1[[#This Row],[Is Data Valid]]=TRUE,((Table1[[#This Row],[Birthweight (grams)]]/Table1[[#This Row],[BW_GA]])-1)/(Backend!$B$4/100*Table1[[#This Row],[BW40_3705]]),"")</f>
        <v/>
      </c>
      <c r="H7322" s="7" t="str">
        <f>IF(Table1[[#This Row],[Is Data Valid]]=TRUE,((Table1[[#This Row],[Birthweight (grams)]]*0.9/Table1[[#This Row],[BW_GA]])-1)/(Backend!$B$4/100*Table1[[#This Row],[BW40_3705]]),"")</f>
        <v/>
      </c>
      <c r="I7322" s="7" t="str">
        <f>IF(Table1[[#This Row],[Is Data Valid]]=TRUE,((Table1[[#This Row],[Birthweight (grams)]]*1.1/Table1[[#This Row],[BW_GA]])-1)/(Backend!$B$4/100*Table1[[#This Row],[BW40_3705]]),"")</f>
        <v/>
      </c>
      <c r="J7322" s="7" t="str">
        <f>IF(Table1[[#This Row],[Is Data Valid]]=TRUE,_xlfn.NORM.S.DIST(Table1[[#This Row],[Birthweight Z-Score]],TRUE)*100,"")</f>
        <v/>
      </c>
      <c r="K7322" s="7" t="str">
        <f>IF(Table1[[#This Row],[Is Data Valid]]=TRUE,_xlfn.NORM.S.DIST(Table1[[#This Row],[Birthweight Z-Score (BW-10%)]],TRUE)*100,"")</f>
        <v/>
      </c>
      <c r="L7322" s="7" t="str">
        <f>IF(Table1[[#This Row],[Is Data Valid]]=TRUE,_xlfn.NORM.S.DIST(Table1[[#This Row],[Birthweight Z-Score (BW+10%)]],TRUE)*100,"")</f>
        <v/>
      </c>
    </row>
    <row r="7323" spans="1:12" x14ac:dyDescent="0.35">
      <c r="A7323" s="3"/>
      <c r="B7323" s="2"/>
      <c r="C7323" s="2"/>
      <c r="D7323" s="2" t="b">
        <f>IF(AND(NOT(ISBLANK(Table1[[#This Row],[Fetal Sex (Male, Female or Unknown)]])),ISNUMBER(Table1[[#This Row],[Birthweight (grams)]]),ISNUMBER(Table1[[#This Row],[Gestation (days)]])),TRUE,FALSE)</f>
        <v>0</v>
      </c>
      <c r="E7323" s="2" t="str">
        <f>IF(Table1[[#This Row],[Is Data Valid]]=TRUE,IF(Table1[[#This Row],[Fetal Sex (Male, Female or Unknown)]]="Male",Backend!$C$6,IF(Table1[[#This Row],[Fetal Sex (Male, Female or Unknown)]]="Female",Backend!$C$7,IF(Table1[[#This Row],[Fetal Sex (Male, Female or Unknown)]]="Unknown",Backend!$C$8,"Error"))),"")</f>
        <v/>
      </c>
      <c r="F7323" s="8" t="str">
        <f>IF(Table1[[#This Row],[Is Data Valid]]=TRUE,EXP(0.578+0.332*((Table1[[#This Row],[Gestation (days)]]+0.5)/7)-0.00354*((Table1[[#This Row],[Gestation (days)]]+0.5)/7)^2)*Table1[[#This Row],[BW40_3705]],"")</f>
        <v/>
      </c>
      <c r="G7323" s="2" t="str">
        <f>IF(Table1[[#This Row],[Is Data Valid]]=TRUE,((Table1[[#This Row],[Birthweight (grams)]]/Table1[[#This Row],[BW_GA]])-1)/(Backend!$B$4/100*Table1[[#This Row],[BW40_3705]]),"")</f>
        <v/>
      </c>
      <c r="H7323" s="7" t="str">
        <f>IF(Table1[[#This Row],[Is Data Valid]]=TRUE,((Table1[[#This Row],[Birthweight (grams)]]*0.9/Table1[[#This Row],[BW_GA]])-1)/(Backend!$B$4/100*Table1[[#This Row],[BW40_3705]]),"")</f>
        <v/>
      </c>
      <c r="I7323" s="7" t="str">
        <f>IF(Table1[[#This Row],[Is Data Valid]]=TRUE,((Table1[[#This Row],[Birthweight (grams)]]*1.1/Table1[[#This Row],[BW_GA]])-1)/(Backend!$B$4/100*Table1[[#This Row],[BW40_3705]]),"")</f>
        <v/>
      </c>
      <c r="J7323" s="7" t="str">
        <f>IF(Table1[[#This Row],[Is Data Valid]]=TRUE,_xlfn.NORM.S.DIST(Table1[[#This Row],[Birthweight Z-Score]],TRUE)*100,"")</f>
        <v/>
      </c>
      <c r="K7323" s="7" t="str">
        <f>IF(Table1[[#This Row],[Is Data Valid]]=TRUE,_xlfn.NORM.S.DIST(Table1[[#This Row],[Birthweight Z-Score (BW-10%)]],TRUE)*100,"")</f>
        <v/>
      </c>
      <c r="L7323" s="7" t="str">
        <f>IF(Table1[[#This Row],[Is Data Valid]]=TRUE,_xlfn.NORM.S.DIST(Table1[[#This Row],[Birthweight Z-Score (BW+10%)]],TRUE)*100,"")</f>
        <v/>
      </c>
    </row>
    <row r="7324" spans="1:12" x14ac:dyDescent="0.35">
      <c r="A7324" s="3"/>
      <c r="B7324" s="2"/>
      <c r="C7324" s="2"/>
      <c r="D7324" s="2" t="b">
        <f>IF(AND(NOT(ISBLANK(Table1[[#This Row],[Fetal Sex (Male, Female or Unknown)]])),ISNUMBER(Table1[[#This Row],[Birthweight (grams)]]),ISNUMBER(Table1[[#This Row],[Gestation (days)]])),TRUE,FALSE)</f>
        <v>0</v>
      </c>
      <c r="E7324" s="2" t="str">
        <f>IF(Table1[[#This Row],[Is Data Valid]]=TRUE,IF(Table1[[#This Row],[Fetal Sex (Male, Female or Unknown)]]="Male",Backend!$C$6,IF(Table1[[#This Row],[Fetal Sex (Male, Female or Unknown)]]="Female",Backend!$C$7,IF(Table1[[#This Row],[Fetal Sex (Male, Female or Unknown)]]="Unknown",Backend!$C$8,"Error"))),"")</f>
        <v/>
      </c>
      <c r="F7324" s="8" t="str">
        <f>IF(Table1[[#This Row],[Is Data Valid]]=TRUE,EXP(0.578+0.332*((Table1[[#This Row],[Gestation (days)]]+0.5)/7)-0.00354*((Table1[[#This Row],[Gestation (days)]]+0.5)/7)^2)*Table1[[#This Row],[BW40_3705]],"")</f>
        <v/>
      </c>
      <c r="G7324" s="2" t="str">
        <f>IF(Table1[[#This Row],[Is Data Valid]]=TRUE,((Table1[[#This Row],[Birthweight (grams)]]/Table1[[#This Row],[BW_GA]])-1)/(Backend!$B$4/100*Table1[[#This Row],[BW40_3705]]),"")</f>
        <v/>
      </c>
      <c r="H7324" s="7" t="str">
        <f>IF(Table1[[#This Row],[Is Data Valid]]=TRUE,((Table1[[#This Row],[Birthweight (grams)]]*0.9/Table1[[#This Row],[BW_GA]])-1)/(Backend!$B$4/100*Table1[[#This Row],[BW40_3705]]),"")</f>
        <v/>
      </c>
      <c r="I7324" s="7" t="str">
        <f>IF(Table1[[#This Row],[Is Data Valid]]=TRUE,((Table1[[#This Row],[Birthweight (grams)]]*1.1/Table1[[#This Row],[BW_GA]])-1)/(Backend!$B$4/100*Table1[[#This Row],[BW40_3705]]),"")</f>
        <v/>
      </c>
      <c r="J7324" s="7" t="str">
        <f>IF(Table1[[#This Row],[Is Data Valid]]=TRUE,_xlfn.NORM.S.DIST(Table1[[#This Row],[Birthweight Z-Score]],TRUE)*100,"")</f>
        <v/>
      </c>
      <c r="K7324" s="7" t="str">
        <f>IF(Table1[[#This Row],[Is Data Valid]]=TRUE,_xlfn.NORM.S.DIST(Table1[[#This Row],[Birthweight Z-Score (BW-10%)]],TRUE)*100,"")</f>
        <v/>
      </c>
      <c r="L7324" s="7" t="str">
        <f>IF(Table1[[#This Row],[Is Data Valid]]=TRUE,_xlfn.NORM.S.DIST(Table1[[#This Row],[Birthweight Z-Score (BW+10%)]],TRUE)*100,"")</f>
        <v/>
      </c>
    </row>
    <row r="7325" spans="1:12" x14ac:dyDescent="0.35">
      <c r="A7325" s="3"/>
      <c r="B7325" s="2"/>
      <c r="C7325" s="2"/>
      <c r="D7325" s="2" t="b">
        <f>IF(AND(NOT(ISBLANK(Table1[[#This Row],[Fetal Sex (Male, Female or Unknown)]])),ISNUMBER(Table1[[#This Row],[Birthweight (grams)]]),ISNUMBER(Table1[[#This Row],[Gestation (days)]])),TRUE,FALSE)</f>
        <v>0</v>
      </c>
      <c r="E7325" s="2" t="str">
        <f>IF(Table1[[#This Row],[Is Data Valid]]=TRUE,IF(Table1[[#This Row],[Fetal Sex (Male, Female or Unknown)]]="Male",Backend!$C$6,IF(Table1[[#This Row],[Fetal Sex (Male, Female or Unknown)]]="Female",Backend!$C$7,IF(Table1[[#This Row],[Fetal Sex (Male, Female or Unknown)]]="Unknown",Backend!$C$8,"Error"))),"")</f>
        <v/>
      </c>
      <c r="F7325" s="8" t="str">
        <f>IF(Table1[[#This Row],[Is Data Valid]]=TRUE,EXP(0.578+0.332*((Table1[[#This Row],[Gestation (days)]]+0.5)/7)-0.00354*((Table1[[#This Row],[Gestation (days)]]+0.5)/7)^2)*Table1[[#This Row],[BW40_3705]],"")</f>
        <v/>
      </c>
      <c r="G7325" s="2" t="str">
        <f>IF(Table1[[#This Row],[Is Data Valid]]=TRUE,((Table1[[#This Row],[Birthweight (grams)]]/Table1[[#This Row],[BW_GA]])-1)/(Backend!$B$4/100*Table1[[#This Row],[BW40_3705]]),"")</f>
        <v/>
      </c>
      <c r="H7325" s="7" t="str">
        <f>IF(Table1[[#This Row],[Is Data Valid]]=TRUE,((Table1[[#This Row],[Birthweight (grams)]]*0.9/Table1[[#This Row],[BW_GA]])-1)/(Backend!$B$4/100*Table1[[#This Row],[BW40_3705]]),"")</f>
        <v/>
      </c>
      <c r="I7325" s="7" t="str">
        <f>IF(Table1[[#This Row],[Is Data Valid]]=TRUE,((Table1[[#This Row],[Birthweight (grams)]]*1.1/Table1[[#This Row],[BW_GA]])-1)/(Backend!$B$4/100*Table1[[#This Row],[BW40_3705]]),"")</f>
        <v/>
      </c>
      <c r="J7325" s="7" t="str">
        <f>IF(Table1[[#This Row],[Is Data Valid]]=TRUE,_xlfn.NORM.S.DIST(Table1[[#This Row],[Birthweight Z-Score]],TRUE)*100,"")</f>
        <v/>
      </c>
      <c r="K7325" s="7" t="str">
        <f>IF(Table1[[#This Row],[Is Data Valid]]=TRUE,_xlfn.NORM.S.DIST(Table1[[#This Row],[Birthweight Z-Score (BW-10%)]],TRUE)*100,"")</f>
        <v/>
      </c>
      <c r="L7325" s="7" t="str">
        <f>IF(Table1[[#This Row],[Is Data Valid]]=TRUE,_xlfn.NORM.S.DIST(Table1[[#This Row],[Birthweight Z-Score (BW+10%)]],TRUE)*100,"")</f>
        <v/>
      </c>
    </row>
    <row r="7326" spans="1:12" x14ac:dyDescent="0.35">
      <c r="A7326" s="3"/>
      <c r="B7326" s="2"/>
      <c r="C7326" s="2"/>
      <c r="D7326" s="2" t="b">
        <f>IF(AND(NOT(ISBLANK(Table1[[#This Row],[Fetal Sex (Male, Female or Unknown)]])),ISNUMBER(Table1[[#This Row],[Birthweight (grams)]]),ISNUMBER(Table1[[#This Row],[Gestation (days)]])),TRUE,FALSE)</f>
        <v>0</v>
      </c>
      <c r="E7326" s="2" t="str">
        <f>IF(Table1[[#This Row],[Is Data Valid]]=TRUE,IF(Table1[[#This Row],[Fetal Sex (Male, Female or Unknown)]]="Male",Backend!$C$6,IF(Table1[[#This Row],[Fetal Sex (Male, Female or Unknown)]]="Female",Backend!$C$7,IF(Table1[[#This Row],[Fetal Sex (Male, Female or Unknown)]]="Unknown",Backend!$C$8,"Error"))),"")</f>
        <v/>
      </c>
      <c r="F7326" s="8" t="str">
        <f>IF(Table1[[#This Row],[Is Data Valid]]=TRUE,EXP(0.578+0.332*((Table1[[#This Row],[Gestation (days)]]+0.5)/7)-0.00354*((Table1[[#This Row],[Gestation (days)]]+0.5)/7)^2)*Table1[[#This Row],[BW40_3705]],"")</f>
        <v/>
      </c>
      <c r="G7326" s="2" t="str">
        <f>IF(Table1[[#This Row],[Is Data Valid]]=TRUE,((Table1[[#This Row],[Birthweight (grams)]]/Table1[[#This Row],[BW_GA]])-1)/(Backend!$B$4/100*Table1[[#This Row],[BW40_3705]]),"")</f>
        <v/>
      </c>
      <c r="H7326" s="7" t="str">
        <f>IF(Table1[[#This Row],[Is Data Valid]]=TRUE,((Table1[[#This Row],[Birthweight (grams)]]*0.9/Table1[[#This Row],[BW_GA]])-1)/(Backend!$B$4/100*Table1[[#This Row],[BW40_3705]]),"")</f>
        <v/>
      </c>
      <c r="I7326" s="7" t="str">
        <f>IF(Table1[[#This Row],[Is Data Valid]]=TRUE,((Table1[[#This Row],[Birthweight (grams)]]*1.1/Table1[[#This Row],[BW_GA]])-1)/(Backend!$B$4/100*Table1[[#This Row],[BW40_3705]]),"")</f>
        <v/>
      </c>
      <c r="J7326" s="7" t="str">
        <f>IF(Table1[[#This Row],[Is Data Valid]]=TRUE,_xlfn.NORM.S.DIST(Table1[[#This Row],[Birthweight Z-Score]],TRUE)*100,"")</f>
        <v/>
      </c>
      <c r="K7326" s="7" t="str">
        <f>IF(Table1[[#This Row],[Is Data Valid]]=TRUE,_xlfn.NORM.S.DIST(Table1[[#This Row],[Birthweight Z-Score (BW-10%)]],TRUE)*100,"")</f>
        <v/>
      </c>
      <c r="L7326" s="7" t="str">
        <f>IF(Table1[[#This Row],[Is Data Valid]]=TRUE,_xlfn.NORM.S.DIST(Table1[[#This Row],[Birthweight Z-Score (BW+10%)]],TRUE)*100,"")</f>
        <v/>
      </c>
    </row>
    <row r="7327" spans="1:12" x14ac:dyDescent="0.35">
      <c r="A7327" s="3"/>
      <c r="B7327" s="2"/>
      <c r="C7327" s="2"/>
      <c r="D7327" s="2" t="b">
        <f>IF(AND(NOT(ISBLANK(Table1[[#This Row],[Fetal Sex (Male, Female or Unknown)]])),ISNUMBER(Table1[[#This Row],[Birthweight (grams)]]),ISNUMBER(Table1[[#This Row],[Gestation (days)]])),TRUE,FALSE)</f>
        <v>0</v>
      </c>
      <c r="E7327" s="2" t="str">
        <f>IF(Table1[[#This Row],[Is Data Valid]]=TRUE,IF(Table1[[#This Row],[Fetal Sex (Male, Female or Unknown)]]="Male",Backend!$C$6,IF(Table1[[#This Row],[Fetal Sex (Male, Female or Unknown)]]="Female",Backend!$C$7,IF(Table1[[#This Row],[Fetal Sex (Male, Female or Unknown)]]="Unknown",Backend!$C$8,"Error"))),"")</f>
        <v/>
      </c>
      <c r="F7327" s="8" t="str">
        <f>IF(Table1[[#This Row],[Is Data Valid]]=TRUE,EXP(0.578+0.332*((Table1[[#This Row],[Gestation (days)]]+0.5)/7)-0.00354*((Table1[[#This Row],[Gestation (days)]]+0.5)/7)^2)*Table1[[#This Row],[BW40_3705]],"")</f>
        <v/>
      </c>
      <c r="G7327" s="2" t="str">
        <f>IF(Table1[[#This Row],[Is Data Valid]]=TRUE,((Table1[[#This Row],[Birthweight (grams)]]/Table1[[#This Row],[BW_GA]])-1)/(Backend!$B$4/100*Table1[[#This Row],[BW40_3705]]),"")</f>
        <v/>
      </c>
      <c r="H7327" s="7" t="str">
        <f>IF(Table1[[#This Row],[Is Data Valid]]=TRUE,((Table1[[#This Row],[Birthweight (grams)]]*0.9/Table1[[#This Row],[BW_GA]])-1)/(Backend!$B$4/100*Table1[[#This Row],[BW40_3705]]),"")</f>
        <v/>
      </c>
      <c r="I7327" s="7" t="str">
        <f>IF(Table1[[#This Row],[Is Data Valid]]=TRUE,((Table1[[#This Row],[Birthweight (grams)]]*1.1/Table1[[#This Row],[BW_GA]])-1)/(Backend!$B$4/100*Table1[[#This Row],[BW40_3705]]),"")</f>
        <v/>
      </c>
      <c r="J7327" s="7" t="str">
        <f>IF(Table1[[#This Row],[Is Data Valid]]=TRUE,_xlfn.NORM.S.DIST(Table1[[#This Row],[Birthweight Z-Score]],TRUE)*100,"")</f>
        <v/>
      </c>
      <c r="K7327" s="7" t="str">
        <f>IF(Table1[[#This Row],[Is Data Valid]]=TRUE,_xlfn.NORM.S.DIST(Table1[[#This Row],[Birthweight Z-Score (BW-10%)]],TRUE)*100,"")</f>
        <v/>
      </c>
      <c r="L7327" s="7" t="str">
        <f>IF(Table1[[#This Row],[Is Data Valid]]=TRUE,_xlfn.NORM.S.DIST(Table1[[#This Row],[Birthweight Z-Score (BW+10%)]],TRUE)*100,"")</f>
        <v/>
      </c>
    </row>
    <row r="7328" spans="1:12" x14ac:dyDescent="0.35">
      <c r="A7328" s="3"/>
      <c r="B7328" s="2"/>
      <c r="C7328" s="2"/>
      <c r="D7328" s="2" t="b">
        <f>IF(AND(NOT(ISBLANK(Table1[[#This Row],[Fetal Sex (Male, Female or Unknown)]])),ISNUMBER(Table1[[#This Row],[Birthweight (grams)]]),ISNUMBER(Table1[[#This Row],[Gestation (days)]])),TRUE,FALSE)</f>
        <v>0</v>
      </c>
      <c r="E7328" s="2" t="str">
        <f>IF(Table1[[#This Row],[Is Data Valid]]=TRUE,IF(Table1[[#This Row],[Fetal Sex (Male, Female or Unknown)]]="Male",Backend!$C$6,IF(Table1[[#This Row],[Fetal Sex (Male, Female or Unknown)]]="Female",Backend!$C$7,IF(Table1[[#This Row],[Fetal Sex (Male, Female or Unknown)]]="Unknown",Backend!$C$8,"Error"))),"")</f>
        <v/>
      </c>
      <c r="F7328" s="8" t="str">
        <f>IF(Table1[[#This Row],[Is Data Valid]]=TRUE,EXP(0.578+0.332*((Table1[[#This Row],[Gestation (days)]]+0.5)/7)-0.00354*((Table1[[#This Row],[Gestation (days)]]+0.5)/7)^2)*Table1[[#This Row],[BW40_3705]],"")</f>
        <v/>
      </c>
      <c r="G7328" s="2" t="str">
        <f>IF(Table1[[#This Row],[Is Data Valid]]=TRUE,((Table1[[#This Row],[Birthweight (grams)]]/Table1[[#This Row],[BW_GA]])-1)/(Backend!$B$4/100*Table1[[#This Row],[BW40_3705]]),"")</f>
        <v/>
      </c>
      <c r="H7328" s="7" t="str">
        <f>IF(Table1[[#This Row],[Is Data Valid]]=TRUE,((Table1[[#This Row],[Birthweight (grams)]]*0.9/Table1[[#This Row],[BW_GA]])-1)/(Backend!$B$4/100*Table1[[#This Row],[BW40_3705]]),"")</f>
        <v/>
      </c>
      <c r="I7328" s="7" t="str">
        <f>IF(Table1[[#This Row],[Is Data Valid]]=TRUE,((Table1[[#This Row],[Birthweight (grams)]]*1.1/Table1[[#This Row],[BW_GA]])-1)/(Backend!$B$4/100*Table1[[#This Row],[BW40_3705]]),"")</f>
        <v/>
      </c>
      <c r="J7328" s="7" t="str">
        <f>IF(Table1[[#This Row],[Is Data Valid]]=TRUE,_xlfn.NORM.S.DIST(Table1[[#This Row],[Birthweight Z-Score]],TRUE)*100,"")</f>
        <v/>
      </c>
      <c r="K7328" s="7" t="str">
        <f>IF(Table1[[#This Row],[Is Data Valid]]=TRUE,_xlfn.NORM.S.DIST(Table1[[#This Row],[Birthweight Z-Score (BW-10%)]],TRUE)*100,"")</f>
        <v/>
      </c>
      <c r="L7328" s="7" t="str">
        <f>IF(Table1[[#This Row],[Is Data Valid]]=TRUE,_xlfn.NORM.S.DIST(Table1[[#This Row],[Birthweight Z-Score (BW+10%)]],TRUE)*100,"")</f>
        <v/>
      </c>
    </row>
    <row r="7329" spans="1:12" x14ac:dyDescent="0.35">
      <c r="A7329" s="3"/>
      <c r="B7329" s="2"/>
      <c r="C7329" s="2"/>
      <c r="D7329" s="2" t="b">
        <f>IF(AND(NOT(ISBLANK(Table1[[#This Row],[Fetal Sex (Male, Female or Unknown)]])),ISNUMBER(Table1[[#This Row],[Birthweight (grams)]]),ISNUMBER(Table1[[#This Row],[Gestation (days)]])),TRUE,FALSE)</f>
        <v>0</v>
      </c>
      <c r="E7329" s="2" t="str">
        <f>IF(Table1[[#This Row],[Is Data Valid]]=TRUE,IF(Table1[[#This Row],[Fetal Sex (Male, Female or Unknown)]]="Male",Backend!$C$6,IF(Table1[[#This Row],[Fetal Sex (Male, Female or Unknown)]]="Female",Backend!$C$7,IF(Table1[[#This Row],[Fetal Sex (Male, Female or Unknown)]]="Unknown",Backend!$C$8,"Error"))),"")</f>
        <v/>
      </c>
      <c r="F7329" s="8" t="str">
        <f>IF(Table1[[#This Row],[Is Data Valid]]=TRUE,EXP(0.578+0.332*((Table1[[#This Row],[Gestation (days)]]+0.5)/7)-0.00354*((Table1[[#This Row],[Gestation (days)]]+0.5)/7)^2)*Table1[[#This Row],[BW40_3705]],"")</f>
        <v/>
      </c>
      <c r="G7329" s="2" t="str">
        <f>IF(Table1[[#This Row],[Is Data Valid]]=TRUE,((Table1[[#This Row],[Birthweight (grams)]]/Table1[[#This Row],[BW_GA]])-1)/(Backend!$B$4/100*Table1[[#This Row],[BW40_3705]]),"")</f>
        <v/>
      </c>
      <c r="H7329" s="7" t="str">
        <f>IF(Table1[[#This Row],[Is Data Valid]]=TRUE,((Table1[[#This Row],[Birthweight (grams)]]*0.9/Table1[[#This Row],[BW_GA]])-1)/(Backend!$B$4/100*Table1[[#This Row],[BW40_3705]]),"")</f>
        <v/>
      </c>
      <c r="I7329" s="7" t="str">
        <f>IF(Table1[[#This Row],[Is Data Valid]]=TRUE,((Table1[[#This Row],[Birthweight (grams)]]*1.1/Table1[[#This Row],[BW_GA]])-1)/(Backend!$B$4/100*Table1[[#This Row],[BW40_3705]]),"")</f>
        <v/>
      </c>
      <c r="J7329" s="7" t="str">
        <f>IF(Table1[[#This Row],[Is Data Valid]]=TRUE,_xlfn.NORM.S.DIST(Table1[[#This Row],[Birthweight Z-Score]],TRUE)*100,"")</f>
        <v/>
      </c>
      <c r="K7329" s="7" t="str">
        <f>IF(Table1[[#This Row],[Is Data Valid]]=TRUE,_xlfn.NORM.S.DIST(Table1[[#This Row],[Birthweight Z-Score (BW-10%)]],TRUE)*100,"")</f>
        <v/>
      </c>
      <c r="L7329" s="7" t="str">
        <f>IF(Table1[[#This Row],[Is Data Valid]]=TRUE,_xlfn.NORM.S.DIST(Table1[[#This Row],[Birthweight Z-Score (BW+10%)]],TRUE)*100,"")</f>
        <v/>
      </c>
    </row>
    <row r="7330" spans="1:12" x14ac:dyDescent="0.35">
      <c r="A7330" s="3"/>
      <c r="B7330" s="2"/>
      <c r="C7330" s="2"/>
      <c r="D7330" s="2" t="b">
        <f>IF(AND(NOT(ISBLANK(Table1[[#This Row],[Fetal Sex (Male, Female or Unknown)]])),ISNUMBER(Table1[[#This Row],[Birthweight (grams)]]),ISNUMBER(Table1[[#This Row],[Gestation (days)]])),TRUE,FALSE)</f>
        <v>0</v>
      </c>
      <c r="E7330" s="2" t="str">
        <f>IF(Table1[[#This Row],[Is Data Valid]]=TRUE,IF(Table1[[#This Row],[Fetal Sex (Male, Female or Unknown)]]="Male",Backend!$C$6,IF(Table1[[#This Row],[Fetal Sex (Male, Female or Unknown)]]="Female",Backend!$C$7,IF(Table1[[#This Row],[Fetal Sex (Male, Female or Unknown)]]="Unknown",Backend!$C$8,"Error"))),"")</f>
        <v/>
      </c>
      <c r="F7330" s="8" t="str">
        <f>IF(Table1[[#This Row],[Is Data Valid]]=TRUE,EXP(0.578+0.332*((Table1[[#This Row],[Gestation (days)]]+0.5)/7)-0.00354*((Table1[[#This Row],[Gestation (days)]]+0.5)/7)^2)*Table1[[#This Row],[BW40_3705]],"")</f>
        <v/>
      </c>
      <c r="G7330" s="2" t="str">
        <f>IF(Table1[[#This Row],[Is Data Valid]]=TRUE,((Table1[[#This Row],[Birthweight (grams)]]/Table1[[#This Row],[BW_GA]])-1)/(Backend!$B$4/100*Table1[[#This Row],[BW40_3705]]),"")</f>
        <v/>
      </c>
      <c r="H7330" s="7" t="str">
        <f>IF(Table1[[#This Row],[Is Data Valid]]=TRUE,((Table1[[#This Row],[Birthweight (grams)]]*0.9/Table1[[#This Row],[BW_GA]])-1)/(Backend!$B$4/100*Table1[[#This Row],[BW40_3705]]),"")</f>
        <v/>
      </c>
      <c r="I7330" s="7" t="str">
        <f>IF(Table1[[#This Row],[Is Data Valid]]=TRUE,((Table1[[#This Row],[Birthweight (grams)]]*1.1/Table1[[#This Row],[BW_GA]])-1)/(Backend!$B$4/100*Table1[[#This Row],[BW40_3705]]),"")</f>
        <v/>
      </c>
      <c r="J7330" s="7" t="str">
        <f>IF(Table1[[#This Row],[Is Data Valid]]=TRUE,_xlfn.NORM.S.DIST(Table1[[#This Row],[Birthweight Z-Score]],TRUE)*100,"")</f>
        <v/>
      </c>
      <c r="K7330" s="7" t="str">
        <f>IF(Table1[[#This Row],[Is Data Valid]]=TRUE,_xlfn.NORM.S.DIST(Table1[[#This Row],[Birthweight Z-Score (BW-10%)]],TRUE)*100,"")</f>
        <v/>
      </c>
      <c r="L7330" s="7" t="str">
        <f>IF(Table1[[#This Row],[Is Data Valid]]=TRUE,_xlfn.NORM.S.DIST(Table1[[#This Row],[Birthweight Z-Score (BW+10%)]],TRUE)*100,"")</f>
        <v/>
      </c>
    </row>
    <row r="7331" spans="1:12" x14ac:dyDescent="0.35">
      <c r="A7331" s="3"/>
      <c r="B7331" s="2"/>
      <c r="C7331" s="2"/>
      <c r="D7331" s="2" t="b">
        <f>IF(AND(NOT(ISBLANK(Table1[[#This Row],[Fetal Sex (Male, Female or Unknown)]])),ISNUMBER(Table1[[#This Row],[Birthweight (grams)]]),ISNUMBER(Table1[[#This Row],[Gestation (days)]])),TRUE,FALSE)</f>
        <v>0</v>
      </c>
      <c r="E7331" s="2" t="str">
        <f>IF(Table1[[#This Row],[Is Data Valid]]=TRUE,IF(Table1[[#This Row],[Fetal Sex (Male, Female or Unknown)]]="Male",Backend!$C$6,IF(Table1[[#This Row],[Fetal Sex (Male, Female or Unknown)]]="Female",Backend!$C$7,IF(Table1[[#This Row],[Fetal Sex (Male, Female or Unknown)]]="Unknown",Backend!$C$8,"Error"))),"")</f>
        <v/>
      </c>
      <c r="F7331" s="8" t="str">
        <f>IF(Table1[[#This Row],[Is Data Valid]]=TRUE,EXP(0.578+0.332*((Table1[[#This Row],[Gestation (days)]]+0.5)/7)-0.00354*((Table1[[#This Row],[Gestation (days)]]+0.5)/7)^2)*Table1[[#This Row],[BW40_3705]],"")</f>
        <v/>
      </c>
      <c r="G7331" s="2" t="str">
        <f>IF(Table1[[#This Row],[Is Data Valid]]=TRUE,((Table1[[#This Row],[Birthweight (grams)]]/Table1[[#This Row],[BW_GA]])-1)/(Backend!$B$4/100*Table1[[#This Row],[BW40_3705]]),"")</f>
        <v/>
      </c>
      <c r="H7331" s="7" t="str">
        <f>IF(Table1[[#This Row],[Is Data Valid]]=TRUE,((Table1[[#This Row],[Birthweight (grams)]]*0.9/Table1[[#This Row],[BW_GA]])-1)/(Backend!$B$4/100*Table1[[#This Row],[BW40_3705]]),"")</f>
        <v/>
      </c>
      <c r="I7331" s="7" t="str">
        <f>IF(Table1[[#This Row],[Is Data Valid]]=TRUE,((Table1[[#This Row],[Birthweight (grams)]]*1.1/Table1[[#This Row],[BW_GA]])-1)/(Backend!$B$4/100*Table1[[#This Row],[BW40_3705]]),"")</f>
        <v/>
      </c>
      <c r="J7331" s="7" t="str">
        <f>IF(Table1[[#This Row],[Is Data Valid]]=TRUE,_xlfn.NORM.S.DIST(Table1[[#This Row],[Birthweight Z-Score]],TRUE)*100,"")</f>
        <v/>
      </c>
      <c r="K7331" s="7" t="str">
        <f>IF(Table1[[#This Row],[Is Data Valid]]=TRUE,_xlfn.NORM.S.DIST(Table1[[#This Row],[Birthweight Z-Score (BW-10%)]],TRUE)*100,"")</f>
        <v/>
      </c>
      <c r="L7331" s="7" t="str">
        <f>IF(Table1[[#This Row],[Is Data Valid]]=TRUE,_xlfn.NORM.S.DIST(Table1[[#This Row],[Birthweight Z-Score (BW+10%)]],TRUE)*100,"")</f>
        <v/>
      </c>
    </row>
    <row r="7332" spans="1:12" x14ac:dyDescent="0.35">
      <c r="A7332" s="3"/>
      <c r="B7332" s="2"/>
      <c r="C7332" s="2"/>
      <c r="D7332" s="2" t="b">
        <f>IF(AND(NOT(ISBLANK(Table1[[#This Row],[Fetal Sex (Male, Female or Unknown)]])),ISNUMBER(Table1[[#This Row],[Birthweight (grams)]]),ISNUMBER(Table1[[#This Row],[Gestation (days)]])),TRUE,FALSE)</f>
        <v>0</v>
      </c>
      <c r="E7332" s="2" t="str">
        <f>IF(Table1[[#This Row],[Is Data Valid]]=TRUE,IF(Table1[[#This Row],[Fetal Sex (Male, Female or Unknown)]]="Male",Backend!$C$6,IF(Table1[[#This Row],[Fetal Sex (Male, Female or Unknown)]]="Female",Backend!$C$7,IF(Table1[[#This Row],[Fetal Sex (Male, Female or Unknown)]]="Unknown",Backend!$C$8,"Error"))),"")</f>
        <v/>
      </c>
      <c r="F7332" s="8" t="str">
        <f>IF(Table1[[#This Row],[Is Data Valid]]=TRUE,EXP(0.578+0.332*((Table1[[#This Row],[Gestation (days)]]+0.5)/7)-0.00354*((Table1[[#This Row],[Gestation (days)]]+0.5)/7)^2)*Table1[[#This Row],[BW40_3705]],"")</f>
        <v/>
      </c>
      <c r="G7332" s="2" t="str">
        <f>IF(Table1[[#This Row],[Is Data Valid]]=TRUE,((Table1[[#This Row],[Birthweight (grams)]]/Table1[[#This Row],[BW_GA]])-1)/(Backend!$B$4/100*Table1[[#This Row],[BW40_3705]]),"")</f>
        <v/>
      </c>
      <c r="H7332" s="7" t="str">
        <f>IF(Table1[[#This Row],[Is Data Valid]]=TRUE,((Table1[[#This Row],[Birthweight (grams)]]*0.9/Table1[[#This Row],[BW_GA]])-1)/(Backend!$B$4/100*Table1[[#This Row],[BW40_3705]]),"")</f>
        <v/>
      </c>
      <c r="I7332" s="7" t="str">
        <f>IF(Table1[[#This Row],[Is Data Valid]]=TRUE,((Table1[[#This Row],[Birthweight (grams)]]*1.1/Table1[[#This Row],[BW_GA]])-1)/(Backend!$B$4/100*Table1[[#This Row],[BW40_3705]]),"")</f>
        <v/>
      </c>
      <c r="J7332" s="7" t="str">
        <f>IF(Table1[[#This Row],[Is Data Valid]]=TRUE,_xlfn.NORM.S.DIST(Table1[[#This Row],[Birthweight Z-Score]],TRUE)*100,"")</f>
        <v/>
      </c>
      <c r="K7332" s="7" t="str">
        <f>IF(Table1[[#This Row],[Is Data Valid]]=TRUE,_xlfn.NORM.S.DIST(Table1[[#This Row],[Birthweight Z-Score (BW-10%)]],TRUE)*100,"")</f>
        <v/>
      </c>
      <c r="L7332" s="7" t="str">
        <f>IF(Table1[[#This Row],[Is Data Valid]]=TRUE,_xlfn.NORM.S.DIST(Table1[[#This Row],[Birthweight Z-Score (BW+10%)]],TRUE)*100,"")</f>
        <v/>
      </c>
    </row>
    <row r="7333" spans="1:12" x14ac:dyDescent="0.35">
      <c r="A7333" s="3"/>
      <c r="B7333" s="2"/>
      <c r="C7333" s="2"/>
      <c r="D7333" s="2" t="b">
        <f>IF(AND(NOT(ISBLANK(Table1[[#This Row],[Fetal Sex (Male, Female or Unknown)]])),ISNUMBER(Table1[[#This Row],[Birthweight (grams)]]),ISNUMBER(Table1[[#This Row],[Gestation (days)]])),TRUE,FALSE)</f>
        <v>0</v>
      </c>
      <c r="E7333" s="2" t="str">
        <f>IF(Table1[[#This Row],[Is Data Valid]]=TRUE,IF(Table1[[#This Row],[Fetal Sex (Male, Female or Unknown)]]="Male",Backend!$C$6,IF(Table1[[#This Row],[Fetal Sex (Male, Female or Unknown)]]="Female",Backend!$C$7,IF(Table1[[#This Row],[Fetal Sex (Male, Female or Unknown)]]="Unknown",Backend!$C$8,"Error"))),"")</f>
        <v/>
      </c>
      <c r="F7333" s="8" t="str">
        <f>IF(Table1[[#This Row],[Is Data Valid]]=TRUE,EXP(0.578+0.332*((Table1[[#This Row],[Gestation (days)]]+0.5)/7)-0.00354*((Table1[[#This Row],[Gestation (days)]]+0.5)/7)^2)*Table1[[#This Row],[BW40_3705]],"")</f>
        <v/>
      </c>
      <c r="G7333" s="2" t="str">
        <f>IF(Table1[[#This Row],[Is Data Valid]]=TRUE,((Table1[[#This Row],[Birthweight (grams)]]/Table1[[#This Row],[BW_GA]])-1)/(Backend!$B$4/100*Table1[[#This Row],[BW40_3705]]),"")</f>
        <v/>
      </c>
      <c r="H7333" s="7" t="str">
        <f>IF(Table1[[#This Row],[Is Data Valid]]=TRUE,((Table1[[#This Row],[Birthweight (grams)]]*0.9/Table1[[#This Row],[BW_GA]])-1)/(Backend!$B$4/100*Table1[[#This Row],[BW40_3705]]),"")</f>
        <v/>
      </c>
      <c r="I7333" s="7" t="str">
        <f>IF(Table1[[#This Row],[Is Data Valid]]=TRUE,((Table1[[#This Row],[Birthweight (grams)]]*1.1/Table1[[#This Row],[BW_GA]])-1)/(Backend!$B$4/100*Table1[[#This Row],[BW40_3705]]),"")</f>
        <v/>
      </c>
      <c r="J7333" s="7" t="str">
        <f>IF(Table1[[#This Row],[Is Data Valid]]=TRUE,_xlfn.NORM.S.DIST(Table1[[#This Row],[Birthweight Z-Score]],TRUE)*100,"")</f>
        <v/>
      </c>
      <c r="K7333" s="7" t="str">
        <f>IF(Table1[[#This Row],[Is Data Valid]]=TRUE,_xlfn.NORM.S.DIST(Table1[[#This Row],[Birthweight Z-Score (BW-10%)]],TRUE)*100,"")</f>
        <v/>
      </c>
      <c r="L7333" s="7" t="str">
        <f>IF(Table1[[#This Row],[Is Data Valid]]=TRUE,_xlfn.NORM.S.DIST(Table1[[#This Row],[Birthweight Z-Score (BW+10%)]],TRUE)*100,"")</f>
        <v/>
      </c>
    </row>
    <row r="7334" spans="1:12" x14ac:dyDescent="0.35">
      <c r="A7334" s="3"/>
      <c r="B7334" s="2"/>
      <c r="C7334" s="2"/>
      <c r="D7334" s="2" t="b">
        <f>IF(AND(NOT(ISBLANK(Table1[[#This Row],[Fetal Sex (Male, Female or Unknown)]])),ISNUMBER(Table1[[#This Row],[Birthweight (grams)]]),ISNUMBER(Table1[[#This Row],[Gestation (days)]])),TRUE,FALSE)</f>
        <v>0</v>
      </c>
      <c r="E7334" s="2" t="str">
        <f>IF(Table1[[#This Row],[Is Data Valid]]=TRUE,IF(Table1[[#This Row],[Fetal Sex (Male, Female or Unknown)]]="Male",Backend!$C$6,IF(Table1[[#This Row],[Fetal Sex (Male, Female or Unknown)]]="Female",Backend!$C$7,IF(Table1[[#This Row],[Fetal Sex (Male, Female or Unknown)]]="Unknown",Backend!$C$8,"Error"))),"")</f>
        <v/>
      </c>
      <c r="F7334" s="8" t="str">
        <f>IF(Table1[[#This Row],[Is Data Valid]]=TRUE,EXP(0.578+0.332*((Table1[[#This Row],[Gestation (days)]]+0.5)/7)-0.00354*((Table1[[#This Row],[Gestation (days)]]+0.5)/7)^2)*Table1[[#This Row],[BW40_3705]],"")</f>
        <v/>
      </c>
      <c r="G7334" s="2" t="str">
        <f>IF(Table1[[#This Row],[Is Data Valid]]=TRUE,((Table1[[#This Row],[Birthweight (grams)]]/Table1[[#This Row],[BW_GA]])-1)/(Backend!$B$4/100*Table1[[#This Row],[BW40_3705]]),"")</f>
        <v/>
      </c>
      <c r="H7334" s="7" t="str">
        <f>IF(Table1[[#This Row],[Is Data Valid]]=TRUE,((Table1[[#This Row],[Birthweight (grams)]]*0.9/Table1[[#This Row],[BW_GA]])-1)/(Backend!$B$4/100*Table1[[#This Row],[BW40_3705]]),"")</f>
        <v/>
      </c>
      <c r="I7334" s="7" t="str">
        <f>IF(Table1[[#This Row],[Is Data Valid]]=TRUE,((Table1[[#This Row],[Birthweight (grams)]]*1.1/Table1[[#This Row],[BW_GA]])-1)/(Backend!$B$4/100*Table1[[#This Row],[BW40_3705]]),"")</f>
        <v/>
      </c>
      <c r="J7334" s="7" t="str">
        <f>IF(Table1[[#This Row],[Is Data Valid]]=TRUE,_xlfn.NORM.S.DIST(Table1[[#This Row],[Birthweight Z-Score]],TRUE)*100,"")</f>
        <v/>
      </c>
      <c r="K7334" s="7" t="str">
        <f>IF(Table1[[#This Row],[Is Data Valid]]=TRUE,_xlfn.NORM.S.DIST(Table1[[#This Row],[Birthweight Z-Score (BW-10%)]],TRUE)*100,"")</f>
        <v/>
      </c>
      <c r="L7334" s="7" t="str">
        <f>IF(Table1[[#This Row],[Is Data Valid]]=TRUE,_xlfn.NORM.S.DIST(Table1[[#This Row],[Birthweight Z-Score (BW+10%)]],TRUE)*100,"")</f>
        <v/>
      </c>
    </row>
    <row r="7335" spans="1:12" x14ac:dyDescent="0.35">
      <c r="A7335" s="3"/>
      <c r="B7335" s="2"/>
      <c r="C7335" s="2"/>
      <c r="D7335" s="2" t="b">
        <f>IF(AND(NOT(ISBLANK(Table1[[#This Row],[Fetal Sex (Male, Female or Unknown)]])),ISNUMBER(Table1[[#This Row],[Birthweight (grams)]]),ISNUMBER(Table1[[#This Row],[Gestation (days)]])),TRUE,FALSE)</f>
        <v>0</v>
      </c>
      <c r="E7335" s="2" t="str">
        <f>IF(Table1[[#This Row],[Is Data Valid]]=TRUE,IF(Table1[[#This Row],[Fetal Sex (Male, Female or Unknown)]]="Male",Backend!$C$6,IF(Table1[[#This Row],[Fetal Sex (Male, Female or Unknown)]]="Female",Backend!$C$7,IF(Table1[[#This Row],[Fetal Sex (Male, Female or Unknown)]]="Unknown",Backend!$C$8,"Error"))),"")</f>
        <v/>
      </c>
      <c r="F7335" s="8" t="str">
        <f>IF(Table1[[#This Row],[Is Data Valid]]=TRUE,EXP(0.578+0.332*((Table1[[#This Row],[Gestation (days)]]+0.5)/7)-0.00354*((Table1[[#This Row],[Gestation (days)]]+0.5)/7)^2)*Table1[[#This Row],[BW40_3705]],"")</f>
        <v/>
      </c>
      <c r="G7335" s="2" t="str">
        <f>IF(Table1[[#This Row],[Is Data Valid]]=TRUE,((Table1[[#This Row],[Birthweight (grams)]]/Table1[[#This Row],[BW_GA]])-1)/(Backend!$B$4/100*Table1[[#This Row],[BW40_3705]]),"")</f>
        <v/>
      </c>
      <c r="H7335" s="7" t="str">
        <f>IF(Table1[[#This Row],[Is Data Valid]]=TRUE,((Table1[[#This Row],[Birthweight (grams)]]*0.9/Table1[[#This Row],[BW_GA]])-1)/(Backend!$B$4/100*Table1[[#This Row],[BW40_3705]]),"")</f>
        <v/>
      </c>
      <c r="I7335" s="7" t="str">
        <f>IF(Table1[[#This Row],[Is Data Valid]]=TRUE,((Table1[[#This Row],[Birthweight (grams)]]*1.1/Table1[[#This Row],[BW_GA]])-1)/(Backend!$B$4/100*Table1[[#This Row],[BW40_3705]]),"")</f>
        <v/>
      </c>
      <c r="J7335" s="7" t="str">
        <f>IF(Table1[[#This Row],[Is Data Valid]]=TRUE,_xlfn.NORM.S.DIST(Table1[[#This Row],[Birthweight Z-Score]],TRUE)*100,"")</f>
        <v/>
      </c>
      <c r="K7335" s="7" t="str">
        <f>IF(Table1[[#This Row],[Is Data Valid]]=TRUE,_xlfn.NORM.S.DIST(Table1[[#This Row],[Birthweight Z-Score (BW-10%)]],TRUE)*100,"")</f>
        <v/>
      </c>
      <c r="L7335" s="7" t="str">
        <f>IF(Table1[[#This Row],[Is Data Valid]]=TRUE,_xlfn.NORM.S.DIST(Table1[[#This Row],[Birthweight Z-Score (BW+10%)]],TRUE)*100,"")</f>
        <v/>
      </c>
    </row>
    <row r="7336" spans="1:12" x14ac:dyDescent="0.35">
      <c r="A7336" s="3"/>
      <c r="B7336" s="2"/>
      <c r="C7336" s="2"/>
      <c r="D7336" s="2" t="b">
        <f>IF(AND(NOT(ISBLANK(Table1[[#This Row],[Fetal Sex (Male, Female or Unknown)]])),ISNUMBER(Table1[[#This Row],[Birthweight (grams)]]),ISNUMBER(Table1[[#This Row],[Gestation (days)]])),TRUE,FALSE)</f>
        <v>0</v>
      </c>
      <c r="E7336" s="2" t="str">
        <f>IF(Table1[[#This Row],[Is Data Valid]]=TRUE,IF(Table1[[#This Row],[Fetal Sex (Male, Female or Unknown)]]="Male",Backend!$C$6,IF(Table1[[#This Row],[Fetal Sex (Male, Female or Unknown)]]="Female",Backend!$C$7,IF(Table1[[#This Row],[Fetal Sex (Male, Female or Unknown)]]="Unknown",Backend!$C$8,"Error"))),"")</f>
        <v/>
      </c>
      <c r="F7336" s="8" t="str">
        <f>IF(Table1[[#This Row],[Is Data Valid]]=TRUE,EXP(0.578+0.332*((Table1[[#This Row],[Gestation (days)]]+0.5)/7)-0.00354*((Table1[[#This Row],[Gestation (days)]]+0.5)/7)^2)*Table1[[#This Row],[BW40_3705]],"")</f>
        <v/>
      </c>
      <c r="G7336" s="2" t="str">
        <f>IF(Table1[[#This Row],[Is Data Valid]]=TRUE,((Table1[[#This Row],[Birthweight (grams)]]/Table1[[#This Row],[BW_GA]])-1)/(Backend!$B$4/100*Table1[[#This Row],[BW40_3705]]),"")</f>
        <v/>
      </c>
      <c r="H7336" s="7" t="str">
        <f>IF(Table1[[#This Row],[Is Data Valid]]=TRUE,((Table1[[#This Row],[Birthweight (grams)]]*0.9/Table1[[#This Row],[BW_GA]])-1)/(Backend!$B$4/100*Table1[[#This Row],[BW40_3705]]),"")</f>
        <v/>
      </c>
      <c r="I7336" s="7" t="str">
        <f>IF(Table1[[#This Row],[Is Data Valid]]=TRUE,((Table1[[#This Row],[Birthweight (grams)]]*1.1/Table1[[#This Row],[BW_GA]])-1)/(Backend!$B$4/100*Table1[[#This Row],[BW40_3705]]),"")</f>
        <v/>
      </c>
      <c r="J7336" s="7" t="str">
        <f>IF(Table1[[#This Row],[Is Data Valid]]=TRUE,_xlfn.NORM.S.DIST(Table1[[#This Row],[Birthweight Z-Score]],TRUE)*100,"")</f>
        <v/>
      </c>
      <c r="K7336" s="7" t="str">
        <f>IF(Table1[[#This Row],[Is Data Valid]]=TRUE,_xlfn.NORM.S.DIST(Table1[[#This Row],[Birthweight Z-Score (BW-10%)]],TRUE)*100,"")</f>
        <v/>
      </c>
      <c r="L7336" s="7" t="str">
        <f>IF(Table1[[#This Row],[Is Data Valid]]=TRUE,_xlfn.NORM.S.DIST(Table1[[#This Row],[Birthweight Z-Score (BW+10%)]],TRUE)*100,"")</f>
        <v/>
      </c>
    </row>
    <row r="7337" spans="1:12" x14ac:dyDescent="0.35">
      <c r="A7337" s="3"/>
      <c r="B7337" s="2"/>
      <c r="C7337" s="2"/>
      <c r="D7337" s="2" t="b">
        <f>IF(AND(NOT(ISBLANK(Table1[[#This Row],[Fetal Sex (Male, Female or Unknown)]])),ISNUMBER(Table1[[#This Row],[Birthweight (grams)]]),ISNUMBER(Table1[[#This Row],[Gestation (days)]])),TRUE,FALSE)</f>
        <v>0</v>
      </c>
      <c r="E7337" s="2" t="str">
        <f>IF(Table1[[#This Row],[Is Data Valid]]=TRUE,IF(Table1[[#This Row],[Fetal Sex (Male, Female or Unknown)]]="Male",Backend!$C$6,IF(Table1[[#This Row],[Fetal Sex (Male, Female or Unknown)]]="Female",Backend!$C$7,IF(Table1[[#This Row],[Fetal Sex (Male, Female or Unknown)]]="Unknown",Backend!$C$8,"Error"))),"")</f>
        <v/>
      </c>
      <c r="F7337" s="8" t="str">
        <f>IF(Table1[[#This Row],[Is Data Valid]]=TRUE,EXP(0.578+0.332*((Table1[[#This Row],[Gestation (days)]]+0.5)/7)-0.00354*((Table1[[#This Row],[Gestation (days)]]+0.5)/7)^2)*Table1[[#This Row],[BW40_3705]],"")</f>
        <v/>
      </c>
      <c r="G7337" s="2" t="str">
        <f>IF(Table1[[#This Row],[Is Data Valid]]=TRUE,((Table1[[#This Row],[Birthweight (grams)]]/Table1[[#This Row],[BW_GA]])-1)/(Backend!$B$4/100*Table1[[#This Row],[BW40_3705]]),"")</f>
        <v/>
      </c>
      <c r="H7337" s="7" t="str">
        <f>IF(Table1[[#This Row],[Is Data Valid]]=TRUE,((Table1[[#This Row],[Birthweight (grams)]]*0.9/Table1[[#This Row],[BW_GA]])-1)/(Backend!$B$4/100*Table1[[#This Row],[BW40_3705]]),"")</f>
        <v/>
      </c>
      <c r="I7337" s="7" t="str">
        <f>IF(Table1[[#This Row],[Is Data Valid]]=TRUE,((Table1[[#This Row],[Birthweight (grams)]]*1.1/Table1[[#This Row],[BW_GA]])-1)/(Backend!$B$4/100*Table1[[#This Row],[BW40_3705]]),"")</f>
        <v/>
      </c>
      <c r="J7337" s="7" t="str">
        <f>IF(Table1[[#This Row],[Is Data Valid]]=TRUE,_xlfn.NORM.S.DIST(Table1[[#This Row],[Birthweight Z-Score]],TRUE)*100,"")</f>
        <v/>
      </c>
      <c r="K7337" s="7" t="str">
        <f>IF(Table1[[#This Row],[Is Data Valid]]=TRUE,_xlfn.NORM.S.DIST(Table1[[#This Row],[Birthweight Z-Score (BW-10%)]],TRUE)*100,"")</f>
        <v/>
      </c>
      <c r="L7337" s="7" t="str">
        <f>IF(Table1[[#This Row],[Is Data Valid]]=TRUE,_xlfn.NORM.S.DIST(Table1[[#This Row],[Birthweight Z-Score (BW+10%)]],TRUE)*100,"")</f>
        <v/>
      </c>
    </row>
    <row r="7338" spans="1:12" x14ac:dyDescent="0.35">
      <c r="A7338" s="3"/>
      <c r="B7338" s="2"/>
      <c r="C7338" s="2"/>
      <c r="D7338" s="2" t="b">
        <f>IF(AND(NOT(ISBLANK(Table1[[#This Row],[Fetal Sex (Male, Female or Unknown)]])),ISNUMBER(Table1[[#This Row],[Birthweight (grams)]]),ISNUMBER(Table1[[#This Row],[Gestation (days)]])),TRUE,FALSE)</f>
        <v>0</v>
      </c>
      <c r="E7338" s="2" t="str">
        <f>IF(Table1[[#This Row],[Is Data Valid]]=TRUE,IF(Table1[[#This Row],[Fetal Sex (Male, Female or Unknown)]]="Male",Backend!$C$6,IF(Table1[[#This Row],[Fetal Sex (Male, Female or Unknown)]]="Female",Backend!$C$7,IF(Table1[[#This Row],[Fetal Sex (Male, Female or Unknown)]]="Unknown",Backend!$C$8,"Error"))),"")</f>
        <v/>
      </c>
      <c r="F7338" s="8" t="str">
        <f>IF(Table1[[#This Row],[Is Data Valid]]=TRUE,EXP(0.578+0.332*((Table1[[#This Row],[Gestation (days)]]+0.5)/7)-0.00354*((Table1[[#This Row],[Gestation (days)]]+0.5)/7)^2)*Table1[[#This Row],[BW40_3705]],"")</f>
        <v/>
      </c>
      <c r="G7338" s="2" t="str">
        <f>IF(Table1[[#This Row],[Is Data Valid]]=TRUE,((Table1[[#This Row],[Birthweight (grams)]]/Table1[[#This Row],[BW_GA]])-1)/(Backend!$B$4/100*Table1[[#This Row],[BW40_3705]]),"")</f>
        <v/>
      </c>
      <c r="H7338" s="7" t="str">
        <f>IF(Table1[[#This Row],[Is Data Valid]]=TRUE,((Table1[[#This Row],[Birthweight (grams)]]*0.9/Table1[[#This Row],[BW_GA]])-1)/(Backend!$B$4/100*Table1[[#This Row],[BW40_3705]]),"")</f>
        <v/>
      </c>
      <c r="I7338" s="7" t="str">
        <f>IF(Table1[[#This Row],[Is Data Valid]]=TRUE,((Table1[[#This Row],[Birthweight (grams)]]*1.1/Table1[[#This Row],[BW_GA]])-1)/(Backend!$B$4/100*Table1[[#This Row],[BW40_3705]]),"")</f>
        <v/>
      </c>
      <c r="J7338" s="7" t="str">
        <f>IF(Table1[[#This Row],[Is Data Valid]]=TRUE,_xlfn.NORM.S.DIST(Table1[[#This Row],[Birthweight Z-Score]],TRUE)*100,"")</f>
        <v/>
      </c>
      <c r="K7338" s="7" t="str">
        <f>IF(Table1[[#This Row],[Is Data Valid]]=TRUE,_xlfn.NORM.S.DIST(Table1[[#This Row],[Birthweight Z-Score (BW-10%)]],TRUE)*100,"")</f>
        <v/>
      </c>
      <c r="L7338" s="7" t="str">
        <f>IF(Table1[[#This Row],[Is Data Valid]]=TRUE,_xlfn.NORM.S.DIST(Table1[[#This Row],[Birthweight Z-Score (BW+10%)]],TRUE)*100,"")</f>
        <v/>
      </c>
    </row>
    <row r="7339" spans="1:12" x14ac:dyDescent="0.35">
      <c r="A7339" s="3"/>
      <c r="B7339" s="2"/>
      <c r="C7339" s="2"/>
      <c r="D7339" s="2" t="b">
        <f>IF(AND(NOT(ISBLANK(Table1[[#This Row],[Fetal Sex (Male, Female or Unknown)]])),ISNUMBER(Table1[[#This Row],[Birthweight (grams)]]),ISNUMBER(Table1[[#This Row],[Gestation (days)]])),TRUE,FALSE)</f>
        <v>0</v>
      </c>
      <c r="E7339" s="2" t="str">
        <f>IF(Table1[[#This Row],[Is Data Valid]]=TRUE,IF(Table1[[#This Row],[Fetal Sex (Male, Female or Unknown)]]="Male",Backend!$C$6,IF(Table1[[#This Row],[Fetal Sex (Male, Female or Unknown)]]="Female",Backend!$C$7,IF(Table1[[#This Row],[Fetal Sex (Male, Female or Unknown)]]="Unknown",Backend!$C$8,"Error"))),"")</f>
        <v/>
      </c>
      <c r="F7339" s="8" t="str">
        <f>IF(Table1[[#This Row],[Is Data Valid]]=TRUE,EXP(0.578+0.332*((Table1[[#This Row],[Gestation (days)]]+0.5)/7)-0.00354*((Table1[[#This Row],[Gestation (days)]]+0.5)/7)^2)*Table1[[#This Row],[BW40_3705]],"")</f>
        <v/>
      </c>
      <c r="G7339" s="2" t="str">
        <f>IF(Table1[[#This Row],[Is Data Valid]]=TRUE,((Table1[[#This Row],[Birthweight (grams)]]/Table1[[#This Row],[BW_GA]])-1)/(Backend!$B$4/100*Table1[[#This Row],[BW40_3705]]),"")</f>
        <v/>
      </c>
      <c r="H7339" s="7" t="str">
        <f>IF(Table1[[#This Row],[Is Data Valid]]=TRUE,((Table1[[#This Row],[Birthweight (grams)]]*0.9/Table1[[#This Row],[BW_GA]])-1)/(Backend!$B$4/100*Table1[[#This Row],[BW40_3705]]),"")</f>
        <v/>
      </c>
      <c r="I7339" s="7" t="str">
        <f>IF(Table1[[#This Row],[Is Data Valid]]=TRUE,((Table1[[#This Row],[Birthweight (grams)]]*1.1/Table1[[#This Row],[BW_GA]])-1)/(Backend!$B$4/100*Table1[[#This Row],[BW40_3705]]),"")</f>
        <v/>
      </c>
      <c r="J7339" s="7" t="str">
        <f>IF(Table1[[#This Row],[Is Data Valid]]=TRUE,_xlfn.NORM.S.DIST(Table1[[#This Row],[Birthweight Z-Score]],TRUE)*100,"")</f>
        <v/>
      </c>
      <c r="K7339" s="7" t="str">
        <f>IF(Table1[[#This Row],[Is Data Valid]]=TRUE,_xlfn.NORM.S.DIST(Table1[[#This Row],[Birthweight Z-Score (BW-10%)]],TRUE)*100,"")</f>
        <v/>
      </c>
      <c r="L7339" s="7" t="str">
        <f>IF(Table1[[#This Row],[Is Data Valid]]=TRUE,_xlfn.NORM.S.DIST(Table1[[#This Row],[Birthweight Z-Score (BW+10%)]],TRUE)*100,"")</f>
        <v/>
      </c>
    </row>
    <row r="7340" spans="1:12" x14ac:dyDescent="0.35">
      <c r="A7340" s="3"/>
      <c r="B7340" s="2"/>
      <c r="C7340" s="2"/>
      <c r="D7340" s="2" t="b">
        <f>IF(AND(NOT(ISBLANK(Table1[[#This Row],[Fetal Sex (Male, Female or Unknown)]])),ISNUMBER(Table1[[#This Row],[Birthweight (grams)]]),ISNUMBER(Table1[[#This Row],[Gestation (days)]])),TRUE,FALSE)</f>
        <v>0</v>
      </c>
      <c r="E7340" s="2" t="str">
        <f>IF(Table1[[#This Row],[Is Data Valid]]=TRUE,IF(Table1[[#This Row],[Fetal Sex (Male, Female or Unknown)]]="Male",Backend!$C$6,IF(Table1[[#This Row],[Fetal Sex (Male, Female or Unknown)]]="Female",Backend!$C$7,IF(Table1[[#This Row],[Fetal Sex (Male, Female or Unknown)]]="Unknown",Backend!$C$8,"Error"))),"")</f>
        <v/>
      </c>
      <c r="F7340" s="8" t="str">
        <f>IF(Table1[[#This Row],[Is Data Valid]]=TRUE,EXP(0.578+0.332*((Table1[[#This Row],[Gestation (days)]]+0.5)/7)-0.00354*((Table1[[#This Row],[Gestation (days)]]+0.5)/7)^2)*Table1[[#This Row],[BW40_3705]],"")</f>
        <v/>
      </c>
      <c r="G7340" s="2" t="str">
        <f>IF(Table1[[#This Row],[Is Data Valid]]=TRUE,((Table1[[#This Row],[Birthweight (grams)]]/Table1[[#This Row],[BW_GA]])-1)/(Backend!$B$4/100*Table1[[#This Row],[BW40_3705]]),"")</f>
        <v/>
      </c>
      <c r="H7340" s="7" t="str">
        <f>IF(Table1[[#This Row],[Is Data Valid]]=TRUE,((Table1[[#This Row],[Birthweight (grams)]]*0.9/Table1[[#This Row],[BW_GA]])-1)/(Backend!$B$4/100*Table1[[#This Row],[BW40_3705]]),"")</f>
        <v/>
      </c>
      <c r="I7340" s="7" t="str">
        <f>IF(Table1[[#This Row],[Is Data Valid]]=TRUE,((Table1[[#This Row],[Birthweight (grams)]]*1.1/Table1[[#This Row],[BW_GA]])-1)/(Backend!$B$4/100*Table1[[#This Row],[BW40_3705]]),"")</f>
        <v/>
      </c>
      <c r="J7340" s="7" t="str">
        <f>IF(Table1[[#This Row],[Is Data Valid]]=TRUE,_xlfn.NORM.S.DIST(Table1[[#This Row],[Birthweight Z-Score]],TRUE)*100,"")</f>
        <v/>
      </c>
      <c r="K7340" s="7" t="str">
        <f>IF(Table1[[#This Row],[Is Data Valid]]=TRUE,_xlfn.NORM.S.DIST(Table1[[#This Row],[Birthweight Z-Score (BW-10%)]],TRUE)*100,"")</f>
        <v/>
      </c>
      <c r="L7340" s="7" t="str">
        <f>IF(Table1[[#This Row],[Is Data Valid]]=TRUE,_xlfn.NORM.S.DIST(Table1[[#This Row],[Birthweight Z-Score (BW+10%)]],TRUE)*100,"")</f>
        <v/>
      </c>
    </row>
    <row r="7341" spans="1:12" x14ac:dyDescent="0.35">
      <c r="A7341" s="3"/>
      <c r="B7341" s="2"/>
      <c r="C7341" s="2"/>
      <c r="D7341" s="2" t="b">
        <f>IF(AND(NOT(ISBLANK(Table1[[#This Row],[Fetal Sex (Male, Female or Unknown)]])),ISNUMBER(Table1[[#This Row],[Birthweight (grams)]]),ISNUMBER(Table1[[#This Row],[Gestation (days)]])),TRUE,FALSE)</f>
        <v>0</v>
      </c>
      <c r="E7341" s="2" t="str">
        <f>IF(Table1[[#This Row],[Is Data Valid]]=TRUE,IF(Table1[[#This Row],[Fetal Sex (Male, Female or Unknown)]]="Male",Backend!$C$6,IF(Table1[[#This Row],[Fetal Sex (Male, Female or Unknown)]]="Female",Backend!$C$7,IF(Table1[[#This Row],[Fetal Sex (Male, Female or Unknown)]]="Unknown",Backend!$C$8,"Error"))),"")</f>
        <v/>
      </c>
      <c r="F7341" s="8" t="str">
        <f>IF(Table1[[#This Row],[Is Data Valid]]=TRUE,EXP(0.578+0.332*((Table1[[#This Row],[Gestation (days)]]+0.5)/7)-0.00354*((Table1[[#This Row],[Gestation (days)]]+0.5)/7)^2)*Table1[[#This Row],[BW40_3705]],"")</f>
        <v/>
      </c>
      <c r="G7341" s="2" t="str">
        <f>IF(Table1[[#This Row],[Is Data Valid]]=TRUE,((Table1[[#This Row],[Birthweight (grams)]]/Table1[[#This Row],[BW_GA]])-1)/(Backend!$B$4/100*Table1[[#This Row],[BW40_3705]]),"")</f>
        <v/>
      </c>
      <c r="H7341" s="7" t="str">
        <f>IF(Table1[[#This Row],[Is Data Valid]]=TRUE,((Table1[[#This Row],[Birthweight (grams)]]*0.9/Table1[[#This Row],[BW_GA]])-1)/(Backend!$B$4/100*Table1[[#This Row],[BW40_3705]]),"")</f>
        <v/>
      </c>
      <c r="I7341" s="7" t="str">
        <f>IF(Table1[[#This Row],[Is Data Valid]]=TRUE,((Table1[[#This Row],[Birthweight (grams)]]*1.1/Table1[[#This Row],[BW_GA]])-1)/(Backend!$B$4/100*Table1[[#This Row],[BW40_3705]]),"")</f>
        <v/>
      </c>
      <c r="J7341" s="7" t="str">
        <f>IF(Table1[[#This Row],[Is Data Valid]]=TRUE,_xlfn.NORM.S.DIST(Table1[[#This Row],[Birthweight Z-Score]],TRUE)*100,"")</f>
        <v/>
      </c>
      <c r="K7341" s="7" t="str">
        <f>IF(Table1[[#This Row],[Is Data Valid]]=TRUE,_xlfn.NORM.S.DIST(Table1[[#This Row],[Birthweight Z-Score (BW-10%)]],TRUE)*100,"")</f>
        <v/>
      </c>
      <c r="L7341" s="7" t="str">
        <f>IF(Table1[[#This Row],[Is Data Valid]]=TRUE,_xlfn.NORM.S.DIST(Table1[[#This Row],[Birthweight Z-Score (BW+10%)]],TRUE)*100,"")</f>
        <v/>
      </c>
    </row>
    <row r="7342" spans="1:12" x14ac:dyDescent="0.35">
      <c r="A7342" s="3"/>
      <c r="B7342" s="2"/>
      <c r="C7342" s="2"/>
      <c r="D7342" s="2" t="b">
        <f>IF(AND(NOT(ISBLANK(Table1[[#This Row],[Fetal Sex (Male, Female or Unknown)]])),ISNUMBER(Table1[[#This Row],[Birthweight (grams)]]),ISNUMBER(Table1[[#This Row],[Gestation (days)]])),TRUE,FALSE)</f>
        <v>0</v>
      </c>
      <c r="E7342" s="2" t="str">
        <f>IF(Table1[[#This Row],[Is Data Valid]]=TRUE,IF(Table1[[#This Row],[Fetal Sex (Male, Female or Unknown)]]="Male",Backend!$C$6,IF(Table1[[#This Row],[Fetal Sex (Male, Female or Unknown)]]="Female",Backend!$C$7,IF(Table1[[#This Row],[Fetal Sex (Male, Female or Unknown)]]="Unknown",Backend!$C$8,"Error"))),"")</f>
        <v/>
      </c>
      <c r="F7342" s="8" t="str">
        <f>IF(Table1[[#This Row],[Is Data Valid]]=TRUE,EXP(0.578+0.332*((Table1[[#This Row],[Gestation (days)]]+0.5)/7)-0.00354*((Table1[[#This Row],[Gestation (days)]]+0.5)/7)^2)*Table1[[#This Row],[BW40_3705]],"")</f>
        <v/>
      </c>
      <c r="G7342" s="2" t="str">
        <f>IF(Table1[[#This Row],[Is Data Valid]]=TRUE,((Table1[[#This Row],[Birthweight (grams)]]/Table1[[#This Row],[BW_GA]])-1)/(Backend!$B$4/100*Table1[[#This Row],[BW40_3705]]),"")</f>
        <v/>
      </c>
      <c r="H7342" s="7" t="str">
        <f>IF(Table1[[#This Row],[Is Data Valid]]=TRUE,((Table1[[#This Row],[Birthweight (grams)]]*0.9/Table1[[#This Row],[BW_GA]])-1)/(Backend!$B$4/100*Table1[[#This Row],[BW40_3705]]),"")</f>
        <v/>
      </c>
      <c r="I7342" s="7" t="str">
        <f>IF(Table1[[#This Row],[Is Data Valid]]=TRUE,((Table1[[#This Row],[Birthweight (grams)]]*1.1/Table1[[#This Row],[BW_GA]])-1)/(Backend!$B$4/100*Table1[[#This Row],[BW40_3705]]),"")</f>
        <v/>
      </c>
      <c r="J7342" s="7" t="str">
        <f>IF(Table1[[#This Row],[Is Data Valid]]=TRUE,_xlfn.NORM.S.DIST(Table1[[#This Row],[Birthweight Z-Score]],TRUE)*100,"")</f>
        <v/>
      </c>
      <c r="K7342" s="7" t="str">
        <f>IF(Table1[[#This Row],[Is Data Valid]]=TRUE,_xlfn.NORM.S.DIST(Table1[[#This Row],[Birthweight Z-Score (BW-10%)]],TRUE)*100,"")</f>
        <v/>
      </c>
      <c r="L7342" s="7" t="str">
        <f>IF(Table1[[#This Row],[Is Data Valid]]=TRUE,_xlfn.NORM.S.DIST(Table1[[#This Row],[Birthweight Z-Score (BW+10%)]],TRUE)*100,"")</f>
        <v/>
      </c>
    </row>
    <row r="7343" spans="1:12" x14ac:dyDescent="0.35">
      <c r="A7343" s="3"/>
      <c r="B7343" s="2"/>
      <c r="C7343" s="2"/>
      <c r="D7343" s="2" t="b">
        <f>IF(AND(NOT(ISBLANK(Table1[[#This Row],[Fetal Sex (Male, Female or Unknown)]])),ISNUMBER(Table1[[#This Row],[Birthweight (grams)]]),ISNUMBER(Table1[[#This Row],[Gestation (days)]])),TRUE,FALSE)</f>
        <v>0</v>
      </c>
      <c r="E7343" s="2" t="str">
        <f>IF(Table1[[#This Row],[Is Data Valid]]=TRUE,IF(Table1[[#This Row],[Fetal Sex (Male, Female or Unknown)]]="Male",Backend!$C$6,IF(Table1[[#This Row],[Fetal Sex (Male, Female or Unknown)]]="Female",Backend!$C$7,IF(Table1[[#This Row],[Fetal Sex (Male, Female or Unknown)]]="Unknown",Backend!$C$8,"Error"))),"")</f>
        <v/>
      </c>
      <c r="F7343" s="8" t="str">
        <f>IF(Table1[[#This Row],[Is Data Valid]]=TRUE,EXP(0.578+0.332*((Table1[[#This Row],[Gestation (days)]]+0.5)/7)-0.00354*((Table1[[#This Row],[Gestation (days)]]+0.5)/7)^2)*Table1[[#This Row],[BW40_3705]],"")</f>
        <v/>
      </c>
      <c r="G7343" s="2" t="str">
        <f>IF(Table1[[#This Row],[Is Data Valid]]=TRUE,((Table1[[#This Row],[Birthweight (grams)]]/Table1[[#This Row],[BW_GA]])-1)/(Backend!$B$4/100*Table1[[#This Row],[BW40_3705]]),"")</f>
        <v/>
      </c>
      <c r="H7343" s="7" t="str">
        <f>IF(Table1[[#This Row],[Is Data Valid]]=TRUE,((Table1[[#This Row],[Birthweight (grams)]]*0.9/Table1[[#This Row],[BW_GA]])-1)/(Backend!$B$4/100*Table1[[#This Row],[BW40_3705]]),"")</f>
        <v/>
      </c>
      <c r="I7343" s="7" t="str">
        <f>IF(Table1[[#This Row],[Is Data Valid]]=TRUE,((Table1[[#This Row],[Birthweight (grams)]]*1.1/Table1[[#This Row],[BW_GA]])-1)/(Backend!$B$4/100*Table1[[#This Row],[BW40_3705]]),"")</f>
        <v/>
      </c>
      <c r="J7343" s="7" t="str">
        <f>IF(Table1[[#This Row],[Is Data Valid]]=TRUE,_xlfn.NORM.S.DIST(Table1[[#This Row],[Birthweight Z-Score]],TRUE)*100,"")</f>
        <v/>
      </c>
      <c r="K7343" s="7" t="str">
        <f>IF(Table1[[#This Row],[Is Data Valid]]=TRUE,_xlfn.NORM.S.DIST(Table1[[#This Row],[Birthweight Z-Score (BW-10%)]],TRUE)*100,"")</f>
        <v/>
      </c>
      <c r="L7343" s="7" t="str">
        <f>IF(Table1[[#This Row],[Is Data Valid]]=TRUE,_xlfn.NORM.S.DIST(Table1[[#This Row],[Birthweight Z-Score (BW+10%)]],TRUE)*100,"")</f>
        <v/>
      </c>
    </row>
    <row r="7344" spans="1:12" x14ac:dyDescent="0.35">
      <c r="A7344" s="3"/>
      <c r="B7344" s="2"/>
      <c r="C7344" s="2"/>
      <c r="D7344" s="2" t="b">
        <f>IF(AND(NOT(ISBLANK(Table1[[#This Row],[Fetal Sex (Male, Female or Unknown)]])),ISNUMBER(Table1[[#This Row],[Birthweight (grams)]]),ISNUMBER(Table1[[#This Row],[Gestation (days)]])),TRUE,FALSE)</f>
        <v>0</v>
      </c>
      <c r="E7344" s="2" t="str">
        <f>IF(Table1[[#This Row],[Is Data Valid]]=TRUE,IF(Table1[[#This Row],[Fetal Sex (Male, Female or Unknown)]]="Male",Backend!$C$6,IF(Table1[[#This Row],[Fetal Sex (Male, Female or Unknown)]]="Female",Backend!$C$7,IF(Table1[[#This Row],[Fetal Sex (Male, Female or Unknown)]]="Unknown",Backend!$C$8,"Error"))),"")</f>
        <v/>
      </c>
      <c r="F7344" s="8" t="str">
        <f>IF(Table1[[#This Row],[Is Data Valid]]=TRUE,EXP(0.578+0.332*((Table1[[#This Row],[Gestation (days)]]+0.5)/7)-0.00354*((Table1[[#This Row],[Gestation (days)]]+0.5)/7)^2)*Table1[[#This Row],[BW40_3705]],"")</f>
        <v/>
      </c>
      <c r="G7344" s="2" t="str">
        <f>IF(Table1[[#This Row],[Is Data Valid]]=TRUE,((Table1[[#This Row],[Birthweight (grams)]]/Table1[[#This Row],[BW_GA]])-1)/(Backend!$B$4/100*Table1[[#This Row],[BW40_3705]]),"")</f>
        <v/>
      </c>
      <c r="H7344" s="7" t="str">
        <f>IF(Table1[[#This Row],[Is Data Valid]]=TRUE,((Table1[[#This Row],[Birthweight (grams)]]*0.9/Table1[[#This Row],[BW_GA]])-1)/(Backend!$B$4/100*Table1[[#This Row],[BW40_3705]]),"")</f>
        <v/>
      </c>
      <c r="I7344" s="7" t="str">
        <f>IF(Table1[[#This Row],[Is Data Valid]]=TRUE,((Table1[[#This Row],[Birthweight (grams)]]*1.1/Table1[[#This Row],[BW_GA]])-1)/(Backend!$B$4/100*Table1[[#This Row],[BW40_3705]]),"")</f>
        <v/>
      </c>
      <c r="J7344" s="7" t="str">
        <f>IF(Table1[[#This Row],[Is Data Valid]]=TRUE,_xlfn.NORM.S.DIST(Table1[[#This Row],[Birthweight Z-Score]],TRUE)*100,"")</f>
        <v/>
      </c>
      <c r="K7344" s="7" t="str">
        <f>IF(Table1[[#This Row],[Is Data Valid]]=TRUE,_xlfn.NORM.S.DIST(Table1[[#This Row],[Birthweight Z-Score (BW-10%)]],TRUE)*100,"")</f>
        <v/>
      </c>
      <c r="L7344" s="7" t="str">
        <f>IF(Table1[[#This Row],[Is Data Valid]]=TRUE,_xlfn.NORM.S.DIST(Table1[[#This Row],[Birthweight Z-Score (BW+10%)]],TRUE)*100,"")</f>
        <v/>
      </c>
    </row>
    <row r="7345" spans="1:12" x14ac:dyDescent="0.35">
      <c r="A7345" s="3"/>
      <c r="B7345" s="2"/>
      <c r="C7345" s="2"/>
      <c r="D7345" s="2" t="b">
        <f>IF(AND(NOT(ISBLANK(Table1[[#This Row],[Fetal Sex (Male, Female or Unknown)]])),ISNUMBER(Table1[[#This Row],[Birthweight (grams)]]),ISNUMBER(Table1[[#This Row],[Gestation (days)]])),TRUE,FALSE)</f>
        <v>0</v>
      </c>
      <c r="E7345" s="2" t="str">
        <f>IF(Table1[[#This Row],[Is Data Valid]]=TRUE,IF(Table1[[#This Row],[Fetal Sex (Male, Female or Unknown)]]="Male",Backend!$C$6,IF(Table1[[#This Row],[Fetal Sex (Male, Female or Unknown)]]="Female",Backend!$C$7,IF(Table1[[#This Row],[Fetal Sex (Male, Female or Unknown)]]="Unknown",Backend!$C$8,"Error"))),"")</f>
        <v/>
      </c>
      <c r="F7345" s="8" t="str">
        <f>IF(Table1[[#This Row],[Is Data Valid]]=TRUE,EXP(0.578+0.332*((Table1[[#This Row],[Gestation (days)]]+0.5)/7)-0.00354*((Table1[[#This Row],[Gestation (days)]]+0.5)/7)^2)*Table1[[#This Row],[BW40_3705]],"")</f>
        <v/>
      </c>
      <c r="G7345" s="2" t="str">
        <f>IF(Table1[[#This Row],[Is Data Valid]]=TRUE,((Table1[[#This Row],[Birthweight (grams)]]/Table1[[#This Row],[BW_GA]])-1)/(Backend!$B$4/100*Table1[[#This Row],[BW40_3705]]),"")</f>
        <v/>
      </c>
      <c r="H7345" s="7" t="str">
        <f>IF(Table1[[#This Row],[Is Data Valid]]=TRUE,((Table1[[#This Row],[Birthweight (grams)]]*0.9/Table1[[#This Row],[BW_GA]])-1)/(Backend!$B$4/100*Table1[[#This Row],[BW40_3705]]),"")</f>
        <v/>
      </c>
      <c r="I7345" s="7" t="str">
        <f>IF(Table1[[#This Row],[Is Data Valid]]=TRUE,((Table1[[#This Row],[Birthweight (grams)]]*1.1/Table1[[#This Row],[BW_GA]])-1)/(Backend!$B$4/100*Table1[[#This Row],[BW40_3705]]),"")</f>
        <v/>
      </c>
      <c r="J7345" s="7" t="str">
        <f>IF(Table1[[#This Row],[Is Data Valid]]=TRUE,_xlfn.NORM.S.DIST(Table1[[#This Row],[Birthweight Z-Score]],TRUE)*100,"")</f>
        <v/>
      </c>
      <c r="K7345" s="7" t="str">
        <f>IF(Table1[[#This Row],[Is Data Valid]]=TRUE,_xlfn.NORM.S.DIST(Table1[[#This Row],[Birthweight Z-Score (BW-10%)]],TRUE)*100,"")</f>
        <v/>
      </c>
      <c r="L7345" s="7" t="str">
        <f>IF(Table1[[#This Row],[Is Data Valid]]=TRUE,_xlfn.NORM.S.DIST(Table1[[#This Row],[Birthweight Z-Score (BW+10%)]],TRUE)*100,"")</f>
        <v/>
      </c>
    </row>
    <row r="7346" spans="1:12" x14ac:dyDescent="0.35">
      <c r="A7346" s="3"/>
      <c r="B7346" s="2"/>
      <c r="C7346" s="2"/>
      <c r="D7346" s="2" t="b">
        <f>IF(AND(NOT(ISBLANK(Table1[[#This Row],[Fetal Sex (Male, Female or Unknown)]])),ISNUMBER(Table1[[#This Row],[Birthweight (grams)]]),ISNUMBER(Table1[[#This Row],[Gestation (days)]])),TRUE,FALSE)</f>
        <v>0</v>
      </c>
      <c r="E7346" s="2" t="str">
        <f>IF(Table1[[#This Row],[Is Data Valid]]=TRUE,IF(Table1[[#This Row],[Fetal Sex (Male, Female or Unknown)]]="Male",Backend!$C$6,IF(Table1[[#This Row],[Fetal Sex (Male, Female or Unknown)]]="Female",Backend!$C$7,IF(Table1[[#This Row],[Fetal Sex (Male, Female or Unknown)]]="Unknown",Backend!$C$8,"Error"))),"")</f>
        <v/>
      </c>
      <c r="F7346" s="8" t="str">
        <f>IF(Table1[[#This Row],[Is Data Valid]]=TRUE,EXP(0.578+0.332*((Table1[[#This Row],[Gestation (days)]]+0.5)/7)-0.00354*((Table1[[#This Row],[Gestation (days)]]+0.5)/7)^2)*Table1[[#This Row],[BW40_3705]],"")</f>
        <v/>
      </c>
      <c r="G7346" s="2" t="str">
        <f>IF(Table1[[#This Row],[Is Data Valid]]=TRUE,((Table1[[#This Row],[Birthweight (grams)]]/Table1[[#This Row],[BW_GA]])-1)/(Backend!$B$4/100*Table1[[#This Row],[BW40_3705]]),"")</f>
        <v/>
      </c>
      <c r="H7346" s="7" t="str">
        <f>IF(Table1[[#This Row],[Is Data Valid]]=TRUE,((Table1[[#This Row],[Birthweight (grams)]]*0.9/Table1[[#This Row],[BW_GA]])-1)/(Backend!$B$4/100*Table1[[#This Row],[BW40_3705]]),"")</f>
        <v/>
      </c>
      <c r="I7346" s="7" t="str">
        <f>IF(Table1[[#This Row],[Is Data Valid]]=TRUE,((Table1[[#This Row],[Birthweight (grams)]]*1.1/Table1[[#This Row],[BW_GA]])-1)/(Backend!$B$4/100*Table1[[#This Row],[BW40_3705]]),"")</f>
        <v/>
      </c>
      <c r="J7346" s="7" t="str">
        <f>IF(Table1[[#This Row],[Is Data Valid]]=TRUE,_xlfn.NORM.S.DIST(Table1[[#This Row],[Birthweight Z-Score]],TRUE)*100,"")</f>
        <v/>
      </c>
      <c r="K7346" s="7" t="str">
        <f>IF(Table1[[#This Row],[Is Data Valid]]=TRUE,_xlfn.NORM.S.DIST(Table1[[#This Row],[Birthweight Z-Score (BW-10%)]],TRUE)*100,"")</f>
        <v/>
      </c>
      <c r="L7346" s="7" t="str">
        <f>IF(Table1[[#This Row],[Is Data Valid]]=TRUE,_xlfn.NORM.S.DIST(Table1[[#This Row],[Birthweight Z-Score (BW+10%)]],TRUE)*100,"")</f>
        <v/>
      </c>
    </row>
    <row r="7347" spans="1:12" x14ac:dyDescent="0.35">
      <c r="A7347" s="3"/>
      <c r="B7347" s="2"/>
      <c r="C7347" s="2"/>
      <c r="D7347" s="2" t="b">
        <f>IF(AND(NOT(ISBLANK(Table1[[#This Row],[Fetal Sex (Male, Female or Unknown)]])),ISNUMBER(Table1[[#This Row],[Birthweight (grams)]]),ISNUMBER(Table1[[#This Row],[Gestation (days)]])),TRUE,FALSE)</f>
        <v>0</v>
      </c>
      <c r="E7347" s="2" t="str">
        <f>IF(Table1[[#This Row],[Is Data Valid]]=TRUE,IF(Table1[[#This Row],[Fetal Sex (Male, Female or Unknown)]]="Male",Backend!$C$6,IF(Table1[[#This Row],[Fetal Sex (Male, Female or Unknown)]]="Female",Backend!$C$7,IF(Table1[[#This Row],[Fetal Sex (Male, Female or Unknown)]]="Unknown",Backend!$C$8,"Error"))),"")</f>
        <v/>
      </c>
      <c r="F7347" s="8" t="str">
        <f>IF(Table1[[#This Row],[Is Data Valid]]=TRUE,EXP(0.578+0.332*((Table1[[#This Row],[Gestation (days)]]+0.5)/7)-0.00354*((Table1[[#This Row],[Gestation (days)]]+0.5)/7)^2)*Table1[[#This Row],[BW40_3705]],"")</f>
        <v/>
      </c>
      <c r="G7347" s="2" t="str">
        <f>IF(Table1[[#This Row],[Is Data Valid]]=TRUE,((Table1[[#This Row],[Birthweight (grams)]]/Table1[[#This Row],[BW_GA]])-1)/(Backend!$B$4/100*Table1[[#This Row],[BW40_3705]]),"")</f>
        <v/>
      </c>
      <c r="H7347" s="7" t="str">
        <f>IF(Table1[[#This Row],[Is Data Valid]]=TRUE,((Table1[[#This Row],[Birthweight (grams)]]*0.9/Table1[[#This Row],[BW_GA]])-1)/(Backend!$B$4/100*Table1[[#This Row],[BW40_3705]]),"")</f>
        <v/>
      </c>
      <c r="I7347" s="7" t="str">
        <f>IF(Table1[[#This Row],[Is Data Valid]]=TRUE,((Table1[[#This Row],[Birthweight (grams)]]*1.1/Table1[[#This Row],[BW_GA]])-1)/(Backend!$B$4/100*Table1[[#This Row],[BW40_3705]]),"")</f>
        <v/>
      </c>
      <c r="J7347" s="7" t="str">
        <f>IF(Table1[[#This Row],[Is Data Valid]]=TRUE,_xlfn.NORM.S.DIST(Table1[[#This Row],[Birthweight Z-Score]],TRUE)*100,"")</f>
        <v/>
      </c>
      <c r="K7347" s="7" t="str">
        <f>IF(Table1[[#This Row],[Is Data Valid]]=TRUE,_xlfn.NORM.S.DIST(Table1[[#This Row],[Birthweight Z-Score (BW-10%)]],TRUE)*100,"")</f>
        <v/>
      </c>
      <c r="L7347" s="7" t="str">
        <f>IF(Table1[[#This Row],[Is Data Valid]]=TRUE,_xlfn.NORM.S.DIST(Table1[[#This Row],[Birthweight Z-Score (BW+10%)]],TRUE)*100,"")</f>
        <v/>
      </c>
    </row>
    <row r="7348" spans="1:12" x14ac:dyDescent="0.35">
      <c r="A7348" s="3"/>
      <c r="B7348" s="2"/>
      <c r="C7348" s="2"/>
      <c r="D7348" s="2" t="b">
        <f>IF(AND(NOT(ISBLANK(Table1[[#This Row],[Fetal Sex (Male, Female or Unknown)]])),ISNUMBER(Table1[[#This Row],[Birthweight (grams)]]),ISNUMBER(Table1[[#This Row],[Gestation (days)]])),TRUE,FALSE)</f>
        <v>0</v>
      </c>
      <c r="E7348" s="2" t="str">
        <f>IF(Table1[[#This Row],[Is Data Valid]]=TRUE,IF(Table1[[#This Row],[Fetal Sex (Male, Female or Unknown)]]="Male",Backend!$C$6,IF(Table1[[#This Row],[Fetal Sex (Male, Female or Unknown)]]="Female",Backend!$C$7,IF(Table1[[#This Row],[Fetal Sex (Male, Female or Unknown)]]="Unknown",Backend!$C$8,"Error"))),"")</f>
        <v/>
      </c>
      <c r="F7348" s="8" t="str">
        <f>IF(Table1[[#This Row],[Is Data Valid]]=TRUE,EXP(0.578+0.332*((Table1[[#This Row],[Gestation (days)]]+0.5)/7)-0.00354*((Table1[[#This Row],[Gestation (days)]]+0.5)/7)^2)*Table1[[#This Row],[BW40_3705]],"")</f>
        <v/>
      </c>
      <c r="G7348" s="2" t="str">
        <f>IF(Table1[[#This Row],[Is Data Valid]]=TRUE,((Table1[[#This Row],[Birthweight (grams)]]/Table1[[#This Row],[BW_GA]])-1)/(Backend!$B$4/100*Table1[[#This Row],[BW40_3705]]),"")</f>
        <v/>
      </c>
      <c r="H7348" s="7" t="str">
        <f>IF(Table1[[#This Row],[Is Data Valid]]=TRUE,((Table1[[#This Row],[Birthweight (grams)]]*0.9/Table1[[#This Row],[BW_GA]])-1)/(Backend!$B$4/100*Table1[[#This Row],[BW40_3705]]),"")</f>
        <v/>
      </c>
      <c r="I7348" s="7" t="str">
        <f>IF(Table1[[#This Row],[Is Data Valid]]=TRUE,((Table1[[#This Row],[Birthweight (grams)]]*1.1/Table1[[#This Row],[BW_GA]])-1)/(Backend!$B$4/100*Table1[[#This Row],[BW40_3705]]),"")</f>
        <v/>
      </c>
      <c r="J7348" s="7" t="str">
        <f>IF(Table1[[#This Row],[Is Data Valid]]=TRUE,_xlfn.NORM.S.DIST(Table1[[#This Row],[Birthweight Z-Score]],TRUE)*100,"")</f>
        <v/>
      </c>
      <c r="K7348" s="7" t="str">
        <f>IF(Table1[[#This Row],[Is Data Valid]]=TRUE,_xlfn.NORM.S.DIST(Table1[[#This Row],[Birthweight Z-Score (BW-10%)]],TRUE)*100,"")</f>
        <v/>
      </c>
      <c r="L7348" s="7" t="str">
        <f>IF(Table1[[#This Row],[Is Data Valid]]=TRUE,_xlfn.NORM.S.DIST(Table1[[#This Row],[Birthweight Z-Score (BW+10%)]],TRUE)*100,"")</f>
        <v/>
      </c>
    </row>
    <row r="7349" spans="1:12" x14ac:dyDescent="0.35">
      <c r="A7349" s="3"/>
      <c r="B7349" s="2"/>
      <c r="C7349" s="2"/>
      <c r="D7349" s="2" t="b">
        <f>IF(AND(NOT(ISBLANK(Table1[[#This Row],[Fetal Sex (Male, Female or Unknown)]])),ISNUMBER(Table1[[#This Row],[Birthweight (grams)]]),ISNUMBER(Table1[[#This Row],[Gestation (days)]])),TRUE,FALSE)</f>
        <v>0</v>
      </c>
      <c r="E7349" s="2" t="str">
        <f>IF(Table1[[#This Row],[Is Data Valid]]=TRUE,IF(Table1[[#This Row],[Fetal Sex (Male, Female or Unknown)]]="Male",Backend!$C$6,IF(Table1[[#This Row],[Fetal Sex (Male, Female or Unknown)]]="Female",Backend!$C$7,IF(Table1[[#This Row],[Fetal Sex (Male, Female or Unknown)]]="Unknown",Backend!$C$8,"Error"))),"")</f>
        <v/>
      </c>
      <c r="F7349" s="8" t="str">
        <f>IF(Table1[[#This Row],[Is Data Valid]]=TRUE,EXP(0.578+0.332*((Table1[[#This Row],[Gestation (days)]]+0.5)/7)-0.00354*((Table1[[#This Row],[Gestation (days)]]+0.5)/7)^2)*Table1[[#This Row],[BW40_3705]],"")</f>
        <v/>
      </c>
      <c r="G7349" s="2" t="str">
        <f>IF(Table1[[#This Row],[Is Data Valid]]=TRUE,((Table1[[#This Row],[Birthweight (grams)]]/Table1[[#This Row],[BW_GA]])-1)/(Backend!$B$4/100*Table1[[#This Row],[BW40_3705]]),"")</f>
        <v/>
      </c>
      <c r="H7349" s="7" t="str">
        <f>IF(Table1[[#This Row],[Is Data Valid]]=TRUE,((Table1[[#This Row],[Birthweight (grams)]]*0.9/Table1[[#This Row],[BW_GA]])-1)/(Backend!$B$4/100*Table1[[#This Row],[BW40_3705]]),"")</f>
        <v/>
      </c>
      <c r="I7349" s="7" t="str">
        <f>IF(Table1[[#This Row],[Is Data Valid]]=TRUE,((Table1[[#This Row],[Birthweight (grams)]]*1.1/Table1[[#This Row],[BW_GA]])-1)/(Backend!$B$4/100*Table1[[#This Row],[BW40_3705]]),"")</f>
        <v/>
      </c>
      <c r="J7349" s="7" t="str">
        <f>IF(Table1[[#This Row],[Is Data Valid]]=TRUE,_xlfn.NORM.S.DIST(Table1[[#This Row],[Birthweight Z-Score]],TRUE)*100,"")</f>
        <v/>
      </c>
      <c r="K7349" s="7" t="str">
        <f>IF(Table1[[#This Row],[Is Data Valid]]=TRUE,_xlfn.NORM.S.DIST(Table1[[#This Row],[Birthweight Z-Score (BW-10%)]],TRUE)*100,"")</f>
        <v/>
      </c>
      <c r="L7349" s="7" t="str">
        <f>IF(Table1[[#This Row],[Is Data Valid]]=TRUE,_xlfn.NORM.S.DIST(Table1[[#This Row],[Birthweight Z-Score (BW+10%)]],TRUE)*100,"")</f>
        <v/>
      </c>
    </row>
    <row r="7350" spans="1:12" x14ac:dyDescent="0.35">
      <c r="A7350" s="3"/>
      <c r="B7350" s="2"/>
      <c r="C7350" s="2"/>
      <c r="D7350" s="2" t="b">
        <f>IF(AND(NOT(ISBLANK(Table1[[#This Row],[Fetal Sex (Male, Female or Unknown)]])),ISNUMBER(Table1[[#This Row],[Birthweight (grams)]]),ISNUMBER(Table1[[#This Row],[Gestation (days)]])),TRUE,FALSE)</f>
        <v>0</v>
      </c>
      <c r="E7350" s="2" t="str">
        <f>IF(Table1[[#This Row],[Is Data Valid]]=TRUE,IF(Table1[[#This Row],[Fetal Sex (Male, Female or Unknown)]]="Male",Backend!$C$6,IF(Table1[[#This Row],[Fetal Sex (Male, Female or Unknown)]]="Female",Backend!$C$7,IF(Table1[[#This Row],[Fetal Sex (Male, Female or Unknown)]]="Unknown",Backend!$C$8,"Error"))),"")</f>
        <v/>
      </c>
      <c r="F7350" s="8" t="str">
        <f>IF(Table1[[#This Row],[Is Data Valid]]=TRUE,EXP(0.578+0.332*((Table1[[#This Row],[Gestation (days)]]+0.5)/7)-0.00354*((Table1[[#This Row],[Gestation (days)]]+0.5)/7)^2)*Table1[[#This Row],[BW40_3705]],"")</f>
        <v/>
      </c>
      <c r="G7350" s="2" t="str">
        <f>IF(Table1[[#This Row],[Is Data Valid]]=TRUE,((Table1[[#This Row],[Birthweight (grams)]]/Table1[[#This Row],[BW_GA]])-1)/(Backend!$B$4/100*Table1[[#This Row],[BW40_3705]]),"")</f>
        <v/>
      </c>
      <c r="H7350" s="7" t="str">
        <f>IF(Table1[[#This Row],[Is Data Valid]]=TRUE,((Table1[[#This Row],[Birthweight (grams)]]*0.9/Table1[[#This Row],[BW_GA]])-1)/(Backend!$B$4/100*Table1[[#This Row],[BW40_3705]]),"")</f>
        <v/>
      </c>
      <c r="I7350" s="7" t="str">
        <f>IF(Table1[[#This Row],[Is Data Valid]]=TRUE,((Table1[[#This Row],[Birthweight (grams)]]*1.1/Table1[[#This Row],[BW_GA]])-1)/(Backend!$B$4/100*Table1[[#This Row],[BW40_3705]]),"")</f>
        <v/>
      </c>
      <c r="J7350" s="7" t="str">
        <f>IF(Table1[[#This Row],[Is Data Valid]]=TRUE,_xlfn.NORM.S.DIST(Table1[[#This Row],[Birthweight Z-Score]],TRUE)*100,"")</f>
        <v/>
      </c>
      <c r="K7350" s="7" t="str">
        <f>IF(Table1[[#This Row],[Is Data Valid]]=TRUE,_xlfn.NORM.S.DIST(Table1[[#This Row],[Birthweight Z-Score (BW-10%)]],TRUE)*100,"")</f>
        <v/>
      </c>
      <c r="L7350" s="7" t="str">
        <f>IF(Table1[[#This Row],[Is Data Valid]]=TRUE,_xlfn.NORM.S.DIST(Table1[[#This Row],[Birthweight Z-Score (BW+10%)]],TRUE)*100,"")</f>
        <v/>
      </c>
    </row>
    <row r="7351" spans="1:12" x14ac:dyDescent="0.35">
      <c r="A7351" s="3"/>
      <c r="B7351" s="2"/>
      <c r="C7351" s="2"/>
      <c r="D7351" s="2" t="b">
        <f>IF(AND(NOT(ISBLANK(Table1[[#This Row],[Fetal Sex (Male, Female or Unknown)]])),ISNUMBER(Table1[[#This Row],[Birthweight (grams)]]),ISNUMBER(Table1[[#This Row],[Gestation (days)]])),TRUE,FALSE)</f>
        <v>0</v>
      </c>
      <c r="E7351" s="2" t="str">
        <f>IF(Table1[[#This Row],[Is Data Valid]]=TRUE,IF(Table1[[#This Row],[Fetal Sex (Male, Female or Unknown)]]="Male",Backend!$C$6,IF(Table1[[#This Row],[Fetal Sex (Male, Female or Unknown)]]="Female",Backend!$C$7,IF(Table1[[#This Row],[Fetal Sex (Male, Female or Unknown)]]="Unknown",Backend!$C$8,"Error"))),"")</f>
        <v/>
      </c>
      <c r="F7351" s="8" t="str">
        <f>IF(Table1[[#This Row],[Is Data Valid]]=TRUE,EXP(0.578+0.332*((Table1[[#This Row],[Gestation (days)]]+0.5)/7)-0.00354*((Table1[[#This Row],[Gestation (days)]]+0.5)/7)^2)*Table1[[#This Row],[BW40_3705]],"")</f>
        <v/>
      </c>
      <c r="G7351" s="2" t="str">
        <f>IF(Table1[[#This Row],[Is Data Valid]]=TRUE,((Table1[[#This Row],[Birthweight (grams)]]/Table1[[#This Row],[BW_GA]])-1)/(Backend!$B$4/100*Table1[[#This Row],[BW40_3705]]),"")</f>
        <v/>
      </c>
      <c r="H7351" s="7" t="str">
        <f>IF(Table1[[#This Row],[Is Data Valid]]=TRUE,((Table1[[#This Row],[Birthweight (grams)]]*0.9/Table1[[#This Row],[BW_GA]])-1)/(Backend!$B$4/100*Table1[[#This Row],[BW40_3705]]),"")</f>
        <v/>
      </c>
      <c r="I7351" s="7" t="str">
        <f>IF(Table1[[#This Row],[Is Data Valid]]=TRUE,((Table1[[#This Row],[Birthweight (grams)]]*1.1/Table1[[#This Row],[BW_GA]])-1)/(Backend!$B$4/100*Table1[[#This Row],[BW40_3705]]),"")</f>
        <v/>
      </c>
      <c r="J7351" s="7" t="str">
        <f>IF(Table1[[#This Row],[Is Data Valid]]=TRUE,_xlfn.NORM.S.DIST(Table1[[#This Row],[Birthweight Z-Score]],TRUE)*100,"")</f>
        <v/>
      </c>
      <c r="K7351" s="7" t="str">
        <f>IF(Table1[[#This Row],[Is Data Valid]]=TRUE,_xlfn.NORM.S.DIST(Table1[[#This Row],[Birthweight Z-Score (BW-10%)]],TRUE)*100,"")</f>
        <v/>
      </c>
      <c r="L7351" s="7" t="str">
        <f>IF(Table1[[#This Row],[Is Data Valid]]=TRUE,_xlfn.NORM.S.DIST(Table1[[#This Row],[Birthweight Z-Score (BW+10%)]],TRUE)*100,"")</f>
        <v/>
      </c>
    </row>
    <row r="7352" spans="1:12" x14ac:dyDescent="0.35">
      <c r="A7352" s="3"/>
      <c r="B7352" s="2"/>
      <c r="C7352" s="2"/>
      <c r="D7352" s="2" t="b">
        <f>IF(AND(NOT(ISBLANK(Table1[[#This Row],[Fetal Sex (Male, Female or Unknown)]])),ISNUMBER(Table1[[#This Row],[Birthweight (grams)]]),ISNUMBER(Table1[[#This Row],[Gestation (days)]])),TRUE,FALSE)</f>
        <v>0</v>
      </c>
      <c r="E7352" s="2" t="str">
        <f>IF(Table1[[#This Row],[Is Data Valid]]=TRUE,IF(Table1[[#This Row],[Fetal Sex (Male, Female or Unknown)]]="Male",Backend!$C$6,IF(Table1[[#This Row],[Fetal Sex (Male, Female or Unknown)]]="Female",Backend!$C$7,IF(Table1[[#This Row],[Fetal Sex (Male, Female or Unknown)]]="Unknown",Backend!$C$8,"Error"))),"")</f>
        <v/>
      </c>
      <c r="F7352" s="8" t="str">
        <f>IF(Table1[[#This Row],[Is Data Valid]]=TRUE,EXP(0.578+0.332*((Table1[[#This Row],[Gestation (days)]]+0.5)/7)-0.00354*((Table1[[#This Row],[Gestation (days)]]+0.5)/7)^2)*Table1[[#This Row],[BW40_3705]],"")</f>
        <v/>
      </c>
      <c r="G7352" s="2" t="str">
        <f>IF(Table1[[#This Row],[Is Data Valid]]=TRUE,((Table1[[#This Row],[Birthweight (grams)]]/Table1[[#This Row],[BW_GA]])-1)/(Backend!$B$4/100*Table1[[#This Row],[BW40_3705]]),"")</f>
        <v/>
      </c>
      <c r="H7352" s="7" t="str">
        <f>IF(Table1[[#This Row],[Is Data Valid]]=TRUE,((Table1[[#This Row],[Birthweight (grams)]]*0.9/Table1[[#This Row],[BW_GA]])-1)/(Backend!$B$4/100*Table1[[#This Row],[BW40_3705]]),"")</f>
        <v/>
      </c>
      <c r="I7352" s="7" t="str">
        <f>IF(Table1[[#This Row],[Is Data Valid]]=TRUE,((Table1[[#This Row],[Birthweight (grams)]]*1.1/Table1[[#This Row],[BW_GA]])-1)/(Backend!$B$4/100*Table1[[#This Row],[BW40_3705]]),"")</f>
        <v/>
      </c>
      <c r="J7352" s="7" t="str">
        <f>IF(Table1[[#This Row],[Is Data Valid]]=TRUE,_xlfn.NORM.S.DIST(Table1[[#This Row],[Birthweight Z-Score]],TRUE)*100,"")</f>
        <v/>
      </c>
      <c r="K7352" s="7" t="str">
        <f>IF(Table1[[#This Row],[Is Data Valid]]=TRUE,_xlfn.NORM.S.DIST(Table1[[#This Row],[Birthweight Z-Score (BW-10%)]],TRUE)*100,"")</f>
        <v/>
      </c>
      <c r="L7352" s="7" t="str">
        <f>IF(Table1[[#This Row],[Is Data Valid]]=TRUE,_xlfn.NORM.S.DIST(Table1[[#This Row],[Birthweight Z-Score (BW+10%)]],TRUE)*100,"")</f>
        <v/>
      </c>
    </row>
    <row r="7353" spans="1:12" x14ac:dyDescent="0.35">
      <c r="A7353" s="3"/>
      <c r="B7353" s="2"/>
      <c r="C7353" s="2"/>
      <c r="D7353" s="2" t="b">
        <f>IF(AND(NOT(ISBLANK(Table1[[#This Row],[Fetal Sex (Male, Female or Unknown)]])),ISNUMBER(Table1[[#This Row],[Birthweight (grams)]]),ISNUMBER(Table1[[#This Row],[Gestation (days)]])),TRUE,FALSE)</f>
        <v>0</v>
      </c>
      <c r="E7353" s="2" t="str">
        <f>IF(Table1[[#This Row],[Is Data Valid]]=TRUE,IF(Table1[[#This Row],[Fetal Sex (Male, Female or Unknown)]]="Male",Backend!$C$6,IF(Table1[[#This Row],[Fetal Sex (Male, Female or Unknown)]]="Female",Backend!$C$7,IF(Table1[[#This Row],[Fetal Sex (Male, Female or Unknown)]]="Unknown",Backend!$C$8,"Error"))),"")</f>
        <v/>
      </c>
      <c r="F7353" s="8" t="str">
        <f>IF(Table1[[#This Row],[Is Data Valid]]=TRUE,EXP(0.578+0.332*((Table1[[#This Row],[Gestation (days)]]+0.5)/7)-0.00354*((Table1[[#This Row],[Gestation (days)]]+0.5)/7)^2)*Table1[[#This Row],[BW40_3705]],"")</f>
        <v/>
      </c>
      <c r="G7353" s="2" t="str">
        <f>IF(Table1[[#This Row],[Is Data Valid]]=TRUE,((Table1[[#This Row],[Birthweight (grams)]]/Table1[[#This Row],[BW_GA]])-1)/(Backend!$B$4/100*Table1[[#This Row],[BW40_3705]]),"")</f>
        <v/>
      </c>
      <c r="H7353" s="7" t="str">
        <f>IF(Table1[[#This Row],[Is Data Valid]]=TRUE,((Table1[[#This Row],[Birthweight (grams)]]*0.9/Table1[[#This Row],[BW_GA]])-1)/(Backend!$B$4/100*Table1[[#This Row],[BW40_3705]]),"")</f>
        <v/>
      </c>
      <c r="I7353" s="7" t="str">
        <f>IF(Table1[[#This Row],[Is Data Valid]]=TRUE,((Table1[[#This Row],[Birthweight (grams)]]*1.1/Table1[[#This Row],[BW_GA]])-1)/(Backend!$B$4/100*Table1[[#This Row],[BW40_3705]]),"")</f>
        <v/>
      </c>
      <c r="J7353" s="7" t="str">
        <f>IF(Table1[[#This Row],[Is Data Valid]]=TRUE,_xlfn.NORM.S.DIST(Table1[[#This Row],[Birthweight Z-Score]],TRUE)*100,"")</f>
        <v/>
      </c>
      <c r="K7353" s="7" t="str">
        <f>IF(Table1[[#This Row],[Is Data Valid]]=TRUE,_xlfn.NORM.S.DIST(Table1[[#This Row],[Birthweight Z-Score (BW-10%)]],TRUE)*100,"")</f>
        <v/>
      </c>
      <c r="L7353" s="7" t="str">
        <f>IF(Table1[[#This Row],[Is Data Valid]]=TRUE,_xlfn.NORM.S.DIST(Table1[[#This Row],[Birthweight Z-Score (BW+10%)]],TRUE)*100,"")</f>
        <v/>
      </c>
    </row>
    <row r="7354" spans="1:12" x14ac:dyDescent="0.35">
      <c r="A7354" s="3"/>
      <c r="B7354" s="2"/>
      <c r="C7354" s="2"/>
      <c r="D7354" s="2" t="b">
        <f>IF(AND(NOT(ISBLANK(Table1[[#This Row],[Fetal Sex (Male, Female or Unknown)]])),ISNUMBER(Table1[[#This Row],[Birthweight (grams)]]),ISNUMBER(Table1[[#This Row],[Gestation (days)]])),TRUE,FALSE)</f>
        <v>0</v>
      </c>
      <c r="E7354" s="2" t="str">
        <f>IF(Table1[[#This Row],[Is Data Valid]]=TRUE,IF(Table1[[#This Row],[Fetal Sex (Male, Female or Unknown)]]="Male",Backend!$C$6,IF(Table1[[#This Row],[Fetal Sex (Male, Female or Unknown)]]="Female",Backend!$C$7,IF(Table1[[#This Row],[Fetal Sex (Male, Female or Unknown)]]="Unknown",Backend!$C$8,"Error"))),"")</f>
        <v/>
      </c>
      <c r="F7354" s="8" t="str">
        <f>IF(Table1[[#This Row],[Is Data Valid]]=TRUE,EXP(0.578+0.332*((Table1[[#This Row],[Gestation (days)]]+0.5)/7)-0.00354*((Table1[[#This Row],[Gestation (days)]]+0.5)/7)^2)*Table1[[#This Row],[BW40_3705]],"")</f>
        <v/>
      </c>
      <c r="G7354" s="2" t="str">
        <f>IF(Table1[[#This Row],[Is Data Valid]]=TRUE,((Table1[[#This Row],[Birthweight (grams)]]/Table1[[#This Row],[BW_GA]])-1)/(Backend!$B$4/100*Table1[[#This Row],[BW40_3705]]),"")</f>
        <v/>
      </c>
      <c r="H7354" s="7" t="str">
        <f>IF(Table1[[#This Row],[Is Data Valid]]=TRUE,((Table1[[#This Row],[Birthweight (grams)]]*0.9/Table1[[#This Row],[BW_GA]])-1)/(Backend!$B$4/100*Table1[[#This Row],[BW40_3705]]),"")</f>
        <v/>
      </c>
      <c r="I7354" s="7" t="str">
        <f>IF(Table1[[#This Row],[Is Data Valid]]=TRUE,((Table1[[#This Row],[Birthweight (grams)]]*1.1/Table1[[#This Row],[BW_GA]])-1)/(Backend!$B$4/100*Table1[[#This Row],[BW40_3705]]),"")</f>
        <v/>
      </c>
      <c r="J7354" s="7" t="str">
        <f>IF(Table1[[#This Row],[Is Data Valid]]=TRUE,_xlfn.NORM.S.DIST(Table1[[#This Row],[Birthweight Z-Score]],TRUE)*100,"")</f>
        <v/>
      </c>
      <c r="K7354" s="7" t="str">
        <f>IF(Table1[[#This Row],[Is Data Valid]]=TRUE,_xlfn.NORM.S.DIST(Table1[[#This Row],[Birthweight Z-Score (BW-10%)]],TRUE)*100,"")</f>
        <v/>
      </c>
      <c r="L7354" s="7" t="str">
        <f>IF(Table1[[#This Row],[Is Data Valid]]=TRUE,_xlfn.NORM.S.DIST(Table1[[#This Row],[Birthweight Z-Score (BW+10%)]],TRUE)*100,"")</f>
        <v/>
      </c>
    </row>
    <row r="7355" spans="1:12" x14ac:dyDescent="0.35">
      <c r="A7355" s="3"/>
      <c r="B7355" s="2"/>
      <c r="C7355" s="2"/>
      <c r="D7355" s="2" t="b">
        <f>IF(AND(NOT(ISBLANK(Table1[[#This Row],[Fetal Sex (Male, Female or Unknown)]])),ISNUMBER(Table1[[#This Row],[Birthweight (grams)]]),ISNUMBER(Table1[[#This Row],[Gestation (days)]])),TRUE,FALSE)</f>
        <v>0</v>
      </c>
      <c r="E7355" s="2" t="str">
        <f>IF(Table1[[#This Row],[Is Data Valid]]=TRUE,IF(Table1[[#This Row],[Fetal Sex (Male, Female or Unknown)]]="Male",Backend!$C$6,IF(Table1[[#This Row],[Fetal Sex (Male, Female or Unknown)]]="Female",Backend!$C$7,IF(Table1[[#This Row],[Fetal Sex (Male, Female or Unknown)]]="Unknown",Backend!$C$8,"Error"))),"")</f>
        <v/>
      </c>
      <c r="F7355" s="8" t="str">
        <f>IF(Table1[[#This Row],[Is Data Valid]]=TRUE,EXP(0.578+0.332*((Table1[[#This Row],[Gestation (days)]]+0.5)/7)-0.00354*((Table1[[#This Row],[Gestation (days)]]+0.5)/7)^2)*Table1[[#This Row],[BW40_3705]],"")</f>
        <v/>
      </c>
      <c r="G7355" s="2" t="str">
        <f>IF(Table1[[#This Row],[Is Data Valid]]=TRUE,((Table1[[#This Row],[Birthweight (grams)]]/Table1[[#This Row],[BW_GA]])-1)/(Backend!$B$4/100*Table1[[#This Row],[BW40_3705]]),"")</f>
        <v/>
      </c>
      <c r="H7355" s="7" t="str">
        <f>IF(Table1[[#This Row],[Is Data Valid]]=TRUE,((Table1[[#This Row],[Birthweight (grams)]]*0.9/Table1[[#This Row],[BW_GA]])-1)/(Backend!$B$4/100*Table1[[#This Row],[BW40_3705]]),"")</f>
        <v/>
      </c>
      <c r="I7355" s="7" t="str">
        <f>IF(Table1[[#This Row],[Is Data Valid]]=TRUE,((Table1[[#This Row],[Birthweight (grams)]]*1.1/Table1[[#This Row],[BW_GA]])-1)/(Backend!$B$4/100*Table1[[#This Row],[BW40_3705]]),"")</f>
        <v/>
      </c>
      <c r="J7355" s="7" t="str">
        <f>IF(Table1[[#This Row],[Is Data Valid]]=TRUE,_xlfn.NORM.S.DIST(Table1[[#This Row],[Birthweight Z-Score]],TRUE)*100,"")</f>
        <v/>
      </c>
      <c r="K7355" s="7" t="str">
        <f>IF(Table1[[#This Row],[Is Data Valid]]=TRUE,_xlfn.NORM.S.DIST(Table1[[#This Row],[Birthweight Z-Score (BW-10%)]],TRUE)*100,"")</f>
        <v/>
      </c>
      <c r="L7355" s="7" t="str">
        <f>IF(Table1[[#This Row],[Is Data Valid]]=TRUE,_xlfn.NORM.S.DIST(Table1[[#This Row],[Birthweight Z-Score (BW+10%)]],TRUE)*100,"")</f>
        <v/>
      </c>
    </row>
    <row r="7356" spans="1:12" x14ac:dyDescent="0.35">
      <c r="A7356" s="3"/>
      <c r="B7356" s="2"/>
      <c r="C7356" s="2"/>
      <c r="D7356" s="2" t="b">
        <f>IF(AND(NOT(ISBLANK(Table1[[#This Row],[Fetal Sex (Male, Female or Unknown)]])),ISNUMBER(Table1[[#This Row],[Birthweight (grams)]]),ISNUMBER(Table1[[#This Row],[Gestation (days)]])),TRUE,FALSE)</f>
        <v>0</v>
      </c>
      <c r="E7356" s="2" t="str">
        <f>IF(Table1[[#This Row],[Is Data Valid]]=TRUE,IF(Table1[[#This Row],[Fetal Sex (Male, Female or Unknown)]]="Male",Backend!$C$6,IF(Table1[[#This Row],[Fetal Sex (Male, Female or Unknown)]]="Female",Backend!$C$7,IF(Table1[[#This Row],[Fetal Sex (Male, Female or Unknown)]]="Unknown",Backend!$C$8,"Error"))),"")</f>
        <v/>
      </c>
      <c r="F7356" s="8" t="str">
        <f>IF(Table1[[#This Row],[Is Data Valid]]=TRUE,EXP(0.578+0.332*((Table1[[#This Row],[Gestation (days)]]+0.5)/7)-0.00354*((Table1[[#This Row],[Gestation (days)]]+0.5)/7)^2)*Table1[[#This Row],[BW40_3705]],"")</f>
        <v/>
      </c>
      <c r="G7356" s="2" t="str">
        <f>IF(Table1[[#This Row],[Is Data Valid]]=TRUE,((Table1[[#This Row],[Birthweight (grams)]]/Table1[[#This Row],[BW_GA]])-1)/(Backend!$B$4/100*Table1[[#This Row],[BW40_3705]]),"")</f>
        <v/>
      </c>
      <c r="H7356" s="7" t="str">
        <f>IF(Table1[[#This Row],[Is Data Valid]]=TRUE,((Table1[[#This Row],[Birthweight (grams)]]*0.9/Table1[[#This Row],[BW_GA]])-1)/(Backend!$B$4/100*Table1[[#This Row],[BW40_3705]]),"")</f>
        <v/>
      </c>
      <c r="I7356" s="7" t="str">
        <f>IF(Table1[[#This Row],[Is Data Valid]]=TRUE,((Table1[[#This Row],[Birthweight (grams)]]*1.1/Table1[[#This Row],[BW_GA]])-1)/(Backend!$B$4/100*Table1[[#This Row],[BW40_3705]]),"")</f>
        <v/>
      </c>
      <c r="J7356" s="7" t="str">
        <f>IF(Table1[[#This Row],[Is Data Valid]]=TRUE,_xlfn.NORM.S.DIST(Table1[[#This Row],[Birthweight Z-Score]],TRUE)*100,"")</f>
        <v/>
      </c>
      <c r="K7356" s="7" t="str">
        <f>IF(Table1[[#This Row],[Is Data Valid]]=TRUE,_xlfn.NORM.S.DIST(Table1[[#This Row],[Birthweight Z-Score (BW-10%)]],TRUE)*100,"")</f>
        <v/>
      </c>
      <c r="L7356" s="7" t="str">
        <f>IF(Table1[[#This Row],[Is Data Valid]]=TRUE,_xlfn.NORM.S.DIST(Table1[[#This Row],[Birthweight Z-Score (BW+10%)]],TRUE)*100,"")</f>
        <v/>
      </c>
    </row>
    <row r="7357" spans="1:12" x14ac:dyDescent="0.35">
      <c r="A7357" s="3"/>
      <c r="B7357" s="2"/>
      <c r="C7357" s="2"/>
      <c r="D7357" s="2" t="b">
        <f>IF(AND(NOT(ISBLANK(Table1[[#This Row],[Fetal Sex (Male, Female or Unknown)]])),ISNUMBER(Table1[[#This Row],[Birthweight (grams)]]),ISNUMBER(Table1[[#This Row],[Gestation (days)]])),TRUE,FALSE)</f>
        <v>0</v>
      </c>
      <c r="E7357" s="2" t="str">
        <f>IF(Table1[[#This Row],[Is Data Valid]]=TRUE,IF(Table1[[#This Row],[Fetal Sex (Male, Female or Unknown)]]="Male",Backend!$C$6,IF(Table1[[#This Row],[Fetal Sex (Male, Female or Unknown)]]="Female",Backend!$C$7,IF(Table1[[#This Row],[Fetal Sex (Male, Female or Unknown)]]="Unknown",Backend!$C$8,"Error"))),"")</f>
        <v/>
      </c>
      <c r="F7357" s="8" t="str">
        <f>IF(Table1[[#This Row],[Is Data Valid]]=TRUE,EXP(0.578+0.332*((Table1[[#This Row],[Gestation (days)]]+0.5)/7)-0.00354*((Table1[[#This Row],[Gestation (days)]]+0.5)/7)^2)*Table1[[#This Row],[BW40_3705]],"")</f>
        <v/>
      </c>
      <c r="G7357" s="2" t="str">
        <f>IF(Table1[[#This Row],[Is Data Valid]]=TRUE,((Table1[[#This Row],[Birthweight (grams)]]/Table1[[#This Row],[BW_GA]])-1)/(Backend!$B$4/100*Table1[[#This Row],[BW40_3705]]),"")</f>
        <v/>
      </c>
      <c r="H7357" s="7" t="str">
        <f>IF(Table1[[#This Row],[Is Data Valid]]=TRUE,((Table1[[#This Row],[Birthweight (grams)]]*0.9/Table1[[#This Row],[BW_GA]])-1)/(Backend!$B$4/100*Table1[[#This Row],[BW40_3705]]),"")</f>
        <v/>
      </c>
      <c r="I7357" s="7" t="str">
        <f>IF(Table1[[#This Row],[Is Data Valid]]=TRUE,((Table1[[#This Row],[Birthweight (grams)]]*1.1/Table1[[#This Row],[BW_GA]])-1)/(Backend!$B$4/100*Table1[[#This Row],[BW40_3705]]),"")</f>
        <v/>
      </c>
      <c r="J7357" s="7" t="str">
        <f>IF(Table1[[#This Row],[Is Data Valid]]=TRUE,_xlfn.NORM.S.DIST(Table1[[#This Row],[Birthweight Z-Score]],TRUE)*100,"")</f>
        <v/>
      </c>
      <c r="K7357" s="7" t="str">
        <f>IF(Table1[[#This Row],[Is Data Valid]]=TRUE,_xlfn.NORM.S.DIST(Table1[[#This Row],[Birthweight Z-Score (BW-10%)]],TRUE)*100,"")</f>
        <v/>
      </c>
      <c r="L7357" s="7" t="str">
        <f>IF(Table1[[#This Row],[Is Data Valid]]=TRUE,_xlfn.NORM.S.DIST(Table1[[#This Row],[Birthweight Z-Score (BW+10%)]],TRUE)*100,"")</f>
        <v/>
      </c>
    </row>
    <row r="7358" spans="1:12" x14ac:dyDescent="0.35">
      <c r="A7358" s="3"/>
      <c r="B7358" s="2"/>
      <c r="C7358" s="2"/>
      <c r="D7358" s="2" t="b">
        <f>IF(AND(NOT(ISBLANK(Table1[[#This Row],[Fetal Sex (Male, Female or Unknown)]])),ISNUMBER(Table1[[#This Row],[Birthweight (grams)]]),ISNUMBER(Table1[[#This Row],[Gestation (days)]])),TRUE,FALSE)</f>
        <v>0</v>
      </c>
      <c r="E7358" s="2" t="str">
        <f>IF(Table1[[#This Row],[Is Data Valid]]=TRUE,IF(Table1[[#This Row],[Fetal Sex (Male, Female or Unknown)]]="Male",Backend!$C$6,IF(Table1[[#This Row],[Fetal Sex (Male, Female or Unknown)]]="Female",Backend!$C$7,IF(Table1[[#This Row],[Fetal Sex (Male, Female or Unknown)]]="Unknown",Backend!$C$8,"Error"))),"")</f>
        <v/>
      </c>
      <c r="F7358" s="8" t="str">
        <f>IF(Table1[[#This Row],[Is Data Valid]]=TRUE,EXP(0.578+0.332*((Table1[[#This Row],[Gestation (days)]]+0.5)/7)-0.00354*((Table1[[#This Row],[Gestation (days)]]+0.5)/7)^2)*Table1[[#This Row],[BW40_3705]],"")</f>
        <v/>
      </c>
      <c r="G7358" s="2" t="str">
        <f>IF(Table1[[#This Row],[Is Data Valid]]=TRUE,((Table1[[#This Row],[Birthweight (grams)]]/Table1[[#This Row],[BW_GA]])-1)/(Backend!$B$4/100*Table1[[#This Row],[BW40_3705]]),"")</f>
        <v/>
      </c>
      <c r="H7358" s="7" t="str">
        <f>IF(Table1[[#This Row],[Is Data Valid]]=TRUE,((Table1[[#This Row],[Birthweight (grams)]]*0.9/Table1[[#This Row],[BW_GA]])-1)/(Backend!$B$4/100*Table1[[#This Row],[BW40_3705]]),"")</f>
        <v/>
      </c>
      <c r="I7358" s="7" t="str">
        <f>IF(Table1[[#This Row],[Is Data Valid]]=TRUE,((Table1[[#This Row],[Birthweight (grams)]]*1.1/Table1[[#This Row],[BW_GA]])-1)/(Backend!$B$4/100*Table1[[#This Row],[BW40_3705]]),"")</f>
        <v/>
      </c>
      <c r="J7358" s="7" t="str">
        <f>IF(Table1[[#This Row],[Is Data Valid]]=TRUE,_xlfn.NORM.S.DIST(Table1[[#This Row],[Birthweight Z-Score]],TRUE)*100,"")</f>
        <v/>
      </c>
      <c r="K7358" s="7" t="str">
        <f>IF(Table1[[#This Row],[Is Data Valid]]=TRUE,_xlfn.NORM.S.DIST(Table1[[#This Row],[Birthweight Z-Score (BW-10%)]],TRUE)*100,"")</f>
        <v/>
      </c>
      <c r="L7358" s="7" t="str">
        <f>IF(Table1[[#This Row],[Is Data Valid]]=TRUE,_xlfn.NORM.S.DIST(Table1[[#This Row],[Birthweight Z-Score (BW+10%)]],TRUE)*100,"")</f>
        <v/>
      </c>
    </row>
    <row r="7359" spans="1:12" x14ac:dyDescent="0.35">
      <c r="A7359" s="3"/>
      <c r="B7359" s="2"/>
      <c r="C7359" s="2"/>
      <c r="D7359" s="2" t="b">
        <f>IF(AND(NOT(ISBLANK(Table1[[#This Row],[Fetal Sex (Male, Female or Unknown)]])),ISNUMBER(Table1[[#This Row],[Birthweight (grams)]]),ISNUMBER(Table1[[#This Row],[Gestation (days)]])),TRUE,FALSE)</f>
        <v>0</v>
      </c>
      <c r="E7359" s="2" t="str">
        <f>IF(Table1[[#This Row],[Is Data Valid]]=TRUE,IF(Table1[[#This Row],[Fetal Sex (Male, Female or Unknown)]]="Male",Backend!$C$6,IF(Table1[[#This Row],[Fetal Sex (Male, Female or Unknown)]]="Female",Backend!$C$7,IF(Table1[[#This Row],[Fetal Sex (Male, Female or Unknown)]]="Unknown",Backend!$C$8,"Error"))),"")</f>
        <v/>
      </c>
      <c r="F7359" s="8" t="str">
        <f>IF(Table1[[#This Row],[Is Data Valid]]=TRUE,EXP(0.578+0.332*((Table1[[#This Row],[Gestation (days)]]+0.5)/7)-0.00354*((Table1[[#This Row],[Gestation (days)]]+0.5)/7)^2)*Table1[[#This Row],[BW40_3705]],"")</f>
        <v/>
      </c>
      <c r="G7359" s="2" t="str">
        <f>IF(Table1[[#This Row],[Is Data Valid]]=TRUE,((Table1[[#This Row],[Birthweight (grams)]]/Table1[[#This Row],[BW_GA]])-1)/(Backend!$B$4/100*Table1[[#This Row],[BW40_3705]]),"")</f>
        <v/>
      </c>
      <c r="H7359" s="7" t="str">
        <f>IF(Table1[[#This Row],[Is Data Valid]]=TRUE,((Table1[[#This Row],[Birthweight (grams)]]*0.9/Table1[[#This Row],[BW_GA]])-1)/(Backend!$B$4/100*Table1[[#This Row],[BW40_3705]]),"")</f>
        <v/>
      </c>
      <c r="I7359" s="7" t="str">
        <f>IF(Table1[[#This Row],[Is Data Valid]]=TRUE,((Table1[[#This Row],[Birthweight (grams)]]*1.1/Table1[[#This Row],[BW_GA]])-1)/(Backend!$B$4/100*Table1[[#This Row],[BW40_3705]]),"")</f>
        <v/>
      </c>
      <c r="J7359" s="7" t="str">
        <f>IF(Table1[[#This Row],[Is Data Valid]]=TRUE,_xlfn.NORM.S.DIST(Table1[[#This Row],[Birthweight Z-Score]],TRUE)*100,"")</f>
        <v/>
      </c>
      <c r="K7359" s="7" t="str">
        <f>IF(Table1[[#This Row],[Is Data Valid]]=TRUE,_xlfn.NORM.S.DIST(Table1[[#This Row],[Birthweight Z-Score (BW-10%)]],TRUE)*100,"")</f>
        <v/>
      </c>
      <c r="L7359" s="7" t="str">
        <f>IF(Table1[[#This Row],[Is Data Valid]]=TRUE,_xlfn.NORM.S.DIST(Table1[[#This Row],[Birthweight Z-Score (BW+10%)]],TRUE)*100,"")</f>
        <v/>
      </c>
    </row>
    <row r="7360" spans="1:12" x14ac:dyDescent="0.35">
      <c r="A7360" s="3"/>
      <c r="B7360" s="2"/>
      <c r="C7360" s="2"/>
      <c r="D7360" s="2" t="b">
        <f>IF(AND(NOT(ISBLANK(Table1[[#This Row],[Fetal Sex (Male, Female or Unknown)]])),ISNUMBER(Table1[[#This Row],[Birthweight (grams)]]),ISNUMBER(Table1[[#This Row],[Gestation (days)]])),TRUE,FALSE)</f>
        <v>0</v>
      </c>
      <c r="E7360" s="2" t="str">
        <f>IF(Table1[[#This Row],[Is Data Valid]]=TRUE,IF(Table1[[#This Row],[Fetal Sex (Male, Female or Unknown)]]="Male",Backend!$C$6,IF(Table1[[#This Row],[Fetal Sex (Male, Female or Unknown)]]="Female",Backend!$C$7,IF(Table1[[#This Row],[Fetal Sex (Male, Female or Unknown)]]="Unknown",Backend!$C$8,"Error"))),"")</f>
        <v/>
      </c>
      <c r="F7360" s="8" t="str">
        <f>IF(Table1[[#This Row],[Is Data Valid]]=TRUE,EXP(0.578+0.332*((Table1[[#This Row],[Gestation (days)]]+0.5)/7)-0.00354*((Table1[[#This Row],[Gestation (days)]]+0.5)/7)^2)*Table1[[#This Row],[BW40_3705]],"")</f>
        <v/>
      </c>
      <c r="G7360" s="2" t="str">
        <f>IF(Table1[[#This Row],[Is Data Valid]]=TRUE,((Table1[[#This Row],[Birthweight (grams)]]/Table1[[#This Row],[BW_GA]])-1)/(Backend!$B$4/100*Table1[[#This Row],[BW40_3705]]),"")</f>
        <v/>
      </c>
      <c r="H7360" s="7" t="str">
        <f>IF(Table1[[#This Row],[Is Data Valid]]=TRUE,((Table1[[#This Row],[Birthweight (grams)]]*0.9/Table1[[#This Row],[BW_GA]])-1)/(Backend!$B$4/100*Table1[[#This Row],[BW40_3705]]),"")</f>
        <v/>
      </c>
      <c r="I7360" s="7" t="str">
        <f>IF(Table1[[#This Row],[Is Data Valid]]=TRUE,((Table1[[#This Row],[Birthweight (grams)]]*1.1/Table1[[#This Row],[BW_GA]])-1)/(Backend!$B$4/100*Table1[[#This Row],[BW40_3705]]),"")</f>
        <v/>
      </c>
      <c r="J7360" s="7" t="str">
        <f>IF(Table1[[#This Row],[Is Data Valid]]=TRUE,_xlfn.NORM.S.DIST(Table1[[#This Row],[Birthweight Z-Score]],TRUE)*100,"")</f>
        <v/>
      </c>
      <c r="K7360" s="7" t="str">
        <f>IF(Table1[[#This Row],[Is Data Valid]]=TRUE,_xlfn.NORM.S.DIST(Table1[[#This Row],[Birthweight Z-Score (BW-10%)]],TRUE)*100,"")</f>
        <v/>
      </c>
      <c r="L7360" s="7" t="str">
        <f>IF(Table1[[#This Row],[Is Data Valid]]=TRUE,_xlfn.NORM.S.DIST(Table1[[#This Row],[Birthweight Z-Score (BW+10%)]],TRUE)*100,"")</f>
        <v/>
      </c>
    </row>
    <row r="7361" spans="1:12" x14ac:dyDescent="0.35">
      <c r="A7361" s="3"/>
      <c r="B7361" s="2"/>
      <c r="C7361" s="2"/>
      <c r="D7361" s="2" t="b">
        <f>IF(AND(NOT(ISBLANK(Table1[[#This Row],[Fetal Sex (Male, Female or Unknown)]])),ISNUMBER(Table1[[#This Row],[Birthweight (grams)]]),ISNUMBER(Table1[[#This Row],[Gestation (days)]])),TRUE,FALSE)</f>
        <v>0</v>
      </c>
      <c r="E7361" s="2" t="str">
        <f>IF(Table1[[#This Row],[Is Data Valid]]=TRUE,IF(Table1[[#This Row],[Fetal Sex (Male, Female or Unknown)]]="Male",Backend!$C$6,IF(Table1[[#This Row],[Fetal Sex (Male, Female or Unknown)]]="Female",Backend!$C$7,IF(Table1[[#This Row],[Fetal Sex (Male, Female or Unknown)]]="Unknown",Backend!$C$8,"Error"))),"")</f>
        <v/>
      </c>
      <c r="F7361" s="8" t="str">
        <f>IF(Table1[[#This Row],[Is Data Valid]]=TRUE,EXP(0.578+0.332*((Table1[[#This Row],[Gestation (days)]]+0.5)/7)-0.00354*((Table1[[#This Row],[Gestation (days)]]+0.5)/7)^2)*Table1[[#This Row],[BW40_3705]],"")</f>
        <v/>
      </c>
      <c r="G7361" s="2" t="str">
        <f>IF(Table1[[#This Row],[Is Data Valid]]=TRUE,((Table1[[#This Row],[Birthweight (grams)]]/Table1[[#This Row],[BW_GA]])-1)/(Backend!$B$4/100*Table1[[#This Row],[BW40_3705]]),"")</f>
        <v/>
      </c>
      <c r="H7361" s="7" t="str">
        <f>IF(Table1[[#This Row],[Is Data Valid]]=TRUE,((Table1[[#This Row],[Birthweight (grams)]]*0.9/Table1[[#This Row],[BW_GA]])-1)/(Backend!$B$4/100*Table1[[#This Row],[BW40_3705]]),"")</f>
        <v/>
      </c>
      <c r="I7361" s="7" t="str">
        <f>IF(Table1[[#This Row],[Is Data Valid]]=TRUE,((Table1[[#This Row],[Birthweight (grams)]]*1.1/Table1[[#This Row],[BW_GA]])-1)/(Backend!$B$4/100*Table1[[#This Row],[BW40_3705]]),"")</f>
        <v/>
      </c>
      <c r="J7361" s="7" t="str">
        <f>IF(Table1[[#This Row],[Is Data Valid]]=TRUE,_xlfn.NORM.S.DIST(Table1[[#This Row],[Birthweight Z-Score]],TRUE)*100,"")</f>
        <v/>
      </c>
      <c r="K7361" s="7" t="str">
        <f>IF(Table1[[#This Row],[Is Data Valid]]=TRUE,_xlfn.NORM.S.DIST(Table1[[#This Row],[Birthweight Z-Score (BW-10%)]],TRUE)*100,"")</f>
        <v/>
      </c>
      <c r="L7361" s="7" t="str">
        <f>IF(Table1[[#This Row],[Is Data Valid]]=TRUE,_xlfn.NORM.S.DIST(Table1[[#This Row],[Birthweight Z-Score (BW+10%)]],TRUE)*100,"")</f>
        <v/>
      </c>
    </row>
    <row r="7362" spans="1:12" x14ac:dyDescent="0.35">
      <c r="A7362" s="3"/>
      <c r="B7362" s="2"/>
      <c r="C7362" s="2"/>
      <c r="D7362" s="2" t="b">
        <f>IF(AND(NOT(ISBLANK(Table1[[#This Row],[Fetal Sex (Male, Female or Unknown)]])),ISNUMBER(Table1[[#This Row],[Birthweight (grams)]]),ISNUMBER(Table1[[#This Row],[Gestation (days)]])),TRUE,FALSE)</f>
        <v>0</v>
      </c>
      <c r="E7362" s="2" t="str">
        <f>IF(Table1[[#This Row],[Is Data Valid]]=TRUE,IF(Table1[[#This Row],[Fetal Sex (Male, Female or Unknown)]]="Male",Backend!$C$6,IF(Table1[[#This Row],[Fetal Sex (Male, Female or Unknown)]]="Female",Backend!$C$7,IF(Table1[[#This Row],[Fetal Sex (Male, Female or Unknown)]]="Unknown",Backend!$C$8,"Error"))),"")</f>
        <v/>
      </c>
      <c r="F7362" s="8" t="str">
        <f>IF(Table1[[#This Row],[Is Data Valid]]=TRUE,EXP(0.578+0.332*((Table1[[#This Row],[Gestation (days)]]+0.5)/7)-0.00354*((Table1[[#This Row],[Gestation (days)]]+0.5)/7)^2)*Table1[[#This Row],[BW40_3705]],"")</f>
        <v/>
      </c>
      <c r="G7362" s="2" t="str">
        <f>IF(Table1[[#This Row],[Is Data Valid]]=TRUE,((Table1[[#This Row],[Birthweight (grams)]]/Table1[[#This Row],[BW_GA]])-1)/(Backend!$B$4/100*Table1[[#This Row],[BW40_3705]]),"")</f>
        <v/>
      </c>
      <c r="H7362" s="7" t="str">
        <f>IF(Table1[[#This Row],[Is Data Valid]]=TRUE,((Table1[[#This Row],[Birthweight (grams)]]*0.9/Table1[[#This Row],[BW_GA]])-1)/(Backend!$B$4/100*Table1[[#This Row],[BW40_3705]]),"")</f>
        <v/>
      </c>
      <c r="I7362" s="7" t="str">
        <f>IF(Table1[[#This Row],[Is Data Valid]]=TRUE,((Table1[[#This Row],[Birthweight (grams)]]*1.1/Table1[[#This Row],[BW_GA]])-1)/(Backend!$B$4/100*Table1[[#This Row],[BW40_3705]]),"")</f>
        <v/>
      </c>
      <c r="J7362" s="7" t="str">
        <f>IF(Table1[[#This Row],[Is Data Valid]]=TRUE,_xlfn.NORM.S.DIST(Table1[[#This Row],[Birthweight Z-Score]],TRUE)*100,"")</f>
        <v/>
      </c>
      <c r="K7362" s="7" t="str">
        <f>IF(Table1[[#This Row],[Is Data Valid]]=TRUE,_xlfn.NORM.S.DIST(Table1[[#This Row],[Birthweight Z-Score (BW-10%)]],TRUE)*100,"")</f>
        <v/>
      </c>
      <c r="L7362" s="7" t="str">
        <f>IF(Table1[[#This Row],[Is Data Valid]]=TRUE,_xlfn.NORM.S.DIST(Table1[[#This Row],[Birthweight Z-Score (BW+10%)]],TRUE)*100,"")</f>
        <v/>
      </c>
    </row>
    <row r="7363" spans="1:12" x14ac:dyDescent="0.35">
      <c r="A7363" s="3"/>
      <c r="B7363" s="2"/>
      <c r="C7363" s="2"/>
      <c r="D7363" s="2" t="b">
        <f>IF(AND(NOT(ISBLANK(Table1[[#This Row],[Fetal Sex (Male, Female or Unknown)]])),ISNUMBER(Table1[[#This Row],[Birthweight (grams)]]),ISNUMBER(Table1[[#This Row],[Gestation (days)]])),TRUE,FALSE)</f>
        <v>0</v>
      </c>
      <c r="E7363" s="2" t="str">
        <f>IF(Table1[[#This Row],[Is Data Valid]]=TRUE,IF(Table1[[#This Row],[Fetal Sex (Male, Female or Unknown)]]="Male",Backend!$C$6,IF(Table1[[#This Row],[Fetal Sex (Male, Female or Unknown)]]="Female",Backend!$C$7,IF(Table1[[#This Row],[Fetal Sex (Male, Female or Unknown)]]="Unknown",Backend!$C$8,"Error"))),"")</f>
        <v/>
      </c>
      <c r="F7363" s="8" t="str">
        <f>IF(Table1[[#This Row],[Is Data Valid]]=TRUE,EXP(0.578+0.332*((Table1[[#This Row],[Gestation (days)]]+0.5)/7)-0.00354*((Table1[[#This Row],[Gestation (days)]]+0.5)/7)^2)*Table1[[#This Row],[BW40_3705]],"")</f>
        <v/>
      </c>
      <c r="G7363" s="2" t="str">
        <f>IF(Table1[[#This Row],[Is Data Valid]]=TRUE,((Table1[[#This Row],[Birthweight (grams)]]/Table1[[#This Row],[BW_GA]])-1)/(Backend!$B$4/100*Table1[[#This Row],[BW40_3705]]),"")</f>
        <v/>
      </c>
      <c r="H7363" s="7" t="str">
        <f>IF(Table1[[#This Row],[Is Data Valid]]=TRUE,((Table1[[#This Row],[Birthweight (grams)]]*0.9/Table1[[#This Row],[BW_GA]])-1)/(Backend!$B$4/100*Table1[[#This Row],[BW40_3705]]),"")</f>
        <v/>
      </c>
      <c r="I7363" s="7" t="str">
        <f>IF(Table1[[#This Row],[Is Data Valid]]=TRUE,((Table1[[#This Row],[Birthweight (grams)]]*1.1/Table1[[#This Row],[BW_GA]])-1)/(Backend!$B$4/100*Table1[[#This Row],[BW40_3705]]),"")</f>
        <v/>
      </c>
      <c r="J7363" s="7" t="str">
        <f>IF(Table1[[#This Row],[Is Data Valid]]=TRUE,_xlfn.NORM.S.DIST(Table1[[#This Row],[Birthweight Z-Score]],TRUE)*100,"")</f>
        <v/>
      </c>
      <c r="K7363" s="7" t="str">
        <f>IF(Table1[[#This Row],[Is Data Valid]]=TRUE,_xlfn.NORM.S.DIST(Table1[[#This Row],[Birthweight Z-Score (BW-10%)]],TRUE)*100,"")</f>
        <v/>
      </c>
      <c r="L7363" s="7" t="str">
        <f>IF(Table1[[#This Row],[Is Data Valid]]=TRUE,_xlfn.NORM.S.DIST(Table1[[#This Row],[Birthweight Z-Score (BW+10%)]],TRUE)*100,"")</f>
        <v/>
      </c>
    </row>
    <row r="7364" spans="1:12" x14ac:dyDescent="0.35">
      <c r="A7364" s="3"/>
      <c r="B7364" s="2"/>
      <c r="C7364" s="2"/>
      <c r="D7364" s="2" t="b">
        <f>IF(AND(NOT(ISBLANK(Table1[[#This Row],[Fetal Sex (Male, Female or Unknown)]])),ISNUMBER(Table1[[#This Row],[Birthweight (grams)]]),ISNUMBER(Table1[[#This Row],[Gestation (days)]])),TRUE,FALSE)</f>
        <v>0</v>
      </c>
      <c r="E7364" s="2" t="str">
        <f>IF(Table1[[#This Row],[Is Data Valid]]=TRUE,IF(Table1[[#This Row],[Fetal Sex (Male, Female or Unknown)]]="Male",Backend!$C$6,IF(Table1[[#This Row],[Fetal Sex (Male, Female or Unknown)]]="Female",Backend!$C$7,IF(Table1[[#This Row],[Fetal Sex (Male, Female or Unknown)]]="Unknown",Backend!$C$8,"Error"))),"")</f>
        <v/>
      </c>
      <c r="F7364" s="8" t="str">
        <f>IF(Table1[[#This Row],[Is Data Valid]]=TRUE,EXP(0.578+0.332*((Table1[[#This Row],[Gestation (days)]]+0.5)/7)-0.00354*((Table1[[#This Row],[Gestation (days)]]+0.5)/7)^2)*Table1[[#This Row],[BW40_3705]],"")</f>
        <v/>
      </c>
      <c r="G7364" s="2" t="str">
        <f>IF(Table1[[#This Row],[Is Data Valid]]=TRUE,((Table1[[#This Row],[Birthweight (grams)]]/Table1[[#This Row],[BW_GA]])-1)/(Backend!$B$4/100*Table1[[#This Row],[BW40_3705]]),"")</f>
        <v/>
      </c>
      <c r="H7364" s="7" t="str">
        <f>IF(Table1[[#This Row],[Is Data Valid]]=TRUE,((Table1[[#This Row],[Birthweight (grams)]]*0.9/Table1[[#This Row],[BW_GA]])-1)/(Backend!$B$4/100*Table1[[#This Row],[BW40_3705]]),"")</f>
        <v/>
      </c>
      <c r="I7364" s="7" t="str">
        <f>IF(Table1[[#This Row],[Is Data Valid]]=TRUE,((Table1[[#This Row],[Birthweight (grams)]]*1.1/Table1[[#This Row],[BW_GA]])-1)/(Backend!$B$4/100*Table1[[#This Row],[BW40_3705]]),"")</f>
        <v/>
      </c>
      <c r="J7364" s="7" t="str">
        <f>IF(Table1[[#This Row],[Is Data Valid]]=TRUE,_xlfn.NORM.S.DIST(Table1[[#This Row],[Birthweight Z-Score]],TRUE)*100,"")</f>
        <v/>
      </c>
      <c r="K7364" s="7" t="str">
        <f>IF(Table1[[#This Row],[Is Data Valid]]=TRUE,_xlfn.NORM.S.DIST(Table1[[#This Row],[Birthweight Z-Score (BW-10%)]],TRUE)*100,"")</f>
        <v/>
      </c>
      <c r="L7364" s="7" t="str">
        <f>IF(Table1[[#This Row],[Is Data Valid]]=TRUE,_xlfn.NORM.S.DIST(Table1[[#This Row],[Birthweight Z-Score (BW+10%)]],TRUE)*100,"")</f>
        <v/>
      </c>
    </row>
    <row r="7365" spans="1:12" x14ac:dyDescent="0.35">
      <c r="A7365" s="3"/>
      <c r="B7365" s="2"/>
      <c r="C7365" s="2"/>
      <c r="D7365" s="2" t="b">
        <f>IF(AND(NOT(ISBLANK(Table1[[#This Row],[Fetal Sex (Male, Female or Unknown)]])),ISNUMBER(Table1[[#This Row],[Birthweight (grams)]]),ISNUMBER(Table1[[#This Row],[Gestation (days)]])),TRUE,FALSE)</f>
        <v>0</v>
      </c>
      <c r="E7365" s="2" t="str">
        <f>IF(Table1[[#This Row],[Is Data Valid]]=TRUE,IF(Table1[[#This Row],[Fetal Sex (Male, Female or Unknown)]]="Male",Backend!$C$6,IF(Table1[[#This Row],[Fetal Sex (Male, Female or Unknown)]]="Female",Backend!$C$7,IF(Table1[[#This Row],[Fetal Sex (Male, Female or Unknown)]]="Unknown",Backend!$C$8,"Error"))),"")</f>
        <v/>
      </c>
      <c r="F7365" s="8" t="str">
        <f>IF(Table1[[#This Row],[Is Data Valid]]=TRUE,EXP(0.578+0.332*((Table1[[#This Row],[Gestation (days)]]+0.5)/7)-0.00354*((Table1[[#This Row],[Gestation (days)]]+0.5)/7)^2)*Table1[[#This Row],[BW40_3705]],"")</f>
        <v/>
      </c>
      <c r="G7365" s="2" t="str">
        <f>IF(Table1[[#This Row],[Is Data Valid]]=TRUE,((Table1[[#This Row],[Birthweight (grams)]]/Table1[[#This Row],[BW_GA]])-1)/(Backend!$B$4/100*Table1[[#This Row],[BW40_3705]]),"")</f>
        <v/>
      </c>
      <c r="H7365" s="7" t="str">
        <f>IF(Table1[[#This Row],[Is Data Valid]]=TRUE,((Table1[[#This Row],[Birthweight (grams)]]*0.9/Table1[[#This Row],[BW_GA]])-1)/(Backend!$B$4/100*Table1[[#This Row],[BW40_3705]]),"")</f>
        <v/>
      </c>
      <c r="I7365" s="7" t="str">
        <f>IF(Table1[[#This Row],[Is Data Valid]]=TRUE,((Table1[[#This Row],[Birthweight (grams)]]*1.1/Table1[[#This Row],[BW_GA]])-1)/(Backend!$B$4/100*Table1[[#This Row],[BW40_3705]]),"")</f>
        <v/>
      </c>
      <c r="J7365" s="7" t="str">
        <f>IF(Table1[[#This Row],[Is Data Valid]]=TRUE,_xlfn.NORM.S.DIST(Table1[[#This Row],[Birthweight Z-Score]],TRUE)*100,"")</f>
        <v/>
      </c>
      <c r="K7365" s="7" t="str">
        <f>IF(Table1[[#This Row],[Is Data Valid]]=TRUE,_xlfn.NORM.S.DIST(Table1[[#This Row],[Birthweight Z-Score (BW-10%)]],TRUE)*100,"")</f>
        <v/>
      </c>
      <c r="L7365" s="7" t="str">
        <f>IF(Table1[[#This Row],[Is Data Valid]]=TRUE,_xlfn.NORM.S.DIST(Table1[[#This Row],[Birthweight Z-Score (BW+10%)]],TRUE)*100,"")</f>
        <v/>
      </c>
    </row>
    <row r="7366" spans="1:12" x14ac:dyDescent="0.35">
      <c r="A7366" s="3"/>
      <c r="B7366" s="2"/>
      <c r="C7366" s="2"/>
      <c r="D7366" s="2" t="b">
        <f>IF(AND(NOT(ISBLANK(Table1[[#This Row],[Fetal Sex (Male, Female or Unknown)]])),ISNUMBER(Table1[[#This Row],[Birthweight (grams)]]),ISNUMBER(Table1[[#This Row],[Gestation (days)]])),TRUE,FALSE)</f>
        <v>0</v>
      </c>
      <c r="E7366" s="2" t="str">
        <f>IF(Table1[[#This Row],[Is Data Valid]]=TRUE,IF(Table1[[#This Row],[Fetal Sex (Male, Female or Unknown)]]="Male",Backend!$C$6,IF(Table1[[#This Row],[Fetal Sex (Male, Female or Unknown)]]="Female",Backend!$C$7,IF(Table1[[#This Row],[Fetal Sex (Male, Female or Unknown)]]="Unknown",Backend!$C$8,"Error"))),"")</f>
        <v/>
      </c>
      <c r="F7366" s="8" t="str">
        <f>IF(Table1[[#This Row],[Is Data Valid]]=TRUE,EXP(0.578+0.332*((Table1[[#This Row],[Gestation (days)]]+0.5)/7)-0.00354*((Table1[[#This Row],[Gestation (days)]]+0.5)/7)^2)*Table1[[#This Row],[BW40_3705]],"")</f>
        <v/>
      </c>
      <c r="G7366" s="2" t="str">
        <f>IF(Table1[[#This Row],[Is Data Valid]]=TRUE,((Table1[[#This Row],[Birthweight (grams)]]/Table1[[#This Row],[BW_GA]])-1)/(Backend!$B$4/100*Table1[[#This Row],[BW40_3705]]),"")</f>
        <v/>
      </c>
      <c r="H7366" s="7" t="str">
        <f>IF(Table1[[#This Row],[Is Data Valid]]=TRUE,((Table1[[#This Row],[Birthweight (grams)]]*0.9/Table1[[#This Row],[BW_GA]])-1)/(Backend!$B$4/100*Table1[[#This Row],[BW40_3705]]),"")</f>
        <v/>
      </c>
      <c r="I7366" s="7" t="str">
        <f>IF(Table1[[#This Row],[Is Data Valid]]=TRUE,((Table1[[#This Row],[Birthweight (grams)]]*1.1/Table1[[#This Row],[BW_GA]])-1)/(Backend!$B$4/100*Table1[[#This Row],[BW40_3705]]),"")</f>
        <v/>
      </c>
      <c r="J7366" s="7" t="str">
        <f>IF(Table1[[#This Row],[Is Data Valid]]=TRUE,_xlfn.NORM.S.DIST(Table1[[#This Row],[Birthweight Z-Score]],TRUE)*100,"")</f>
        <v/>
      </c>
      <c r="K7366" s="7" t="str">
        <f>IF(Table1[[#This Row],[Is Data Valid]]=TRUE,_xlfn.NORM.S.DIST(Table1[[#This Row],[Birthweight Z-Score (BW-10%)]],TRUE)*100,"")</f>
        <v/>
      </c>
      <c r="L7366" s="7" t="str">
        <f>IF(Table1[[#This Row],[Is Data Valid]]=TRUE,_xlfn.NORM.S.DIST(Table1[[#This Row],[Birthweight Z-Score (BW+10%)]],TRUE)*100,"")</f>
        <v/>
      </c>
    </row>
    <row r="7367" spans="1:12" x14ac:dyDescent="0.35">
      <c r="A7367" s="3"/>
      <c r="B7367" s="2"/>
      <c r="C7367" s="2"/>
      <c r="D7367" s="2" t="b">
        <f>IF(AND(NOT(ISBLANK(Table1[[#This Row],[Fetal Sex (Male, Female or Unknown)]])),ISNUMBER(Table1[[#This Row],[Birthweight (grams)]]),ISNUMBER(Table1[[#This Row],[Gestation (days)]])),TRUE,FALSE)</f>
        <v>0</v>
      </c>
      <c r="E7367" s="2" t="str">
        <f>IF(Table1[[#This Row],[Is Data Valid]]=TRUE,IF(Table1[[#This Row],[Fetal Sex (Male, Female or Unknown)]]="Male",Backend!$C$6,IF(Table1[[#This Row],[Fetal Sex (Male, Female or Unknown)]]="Female",Backend!$C$7,IF(Table1[[#This Row],[Fetal Sex (Male, Female or Unknown)]]="Unknown",Backend!$C$8,"Error"))),"")</f>
        <v/>
      </c>
      <c r="F7367" s="8" t="str">
        <f>IF(Table1[[#This Row],[Is Data Valid]]=TRUE,EXP(0.578+0.332*((Table1[[#This Row],[Gestation (days)]]+0.5)/7)-0.00354*((Table1[[#This Row],[Gestation (days)]]+0.5)/7)^2)*Table1[[#This Row],[BW40_3705]],"")</f>
        <v/>
      </c>
      <c r="G7367" s="2" t="str">
        <f>IF(Table1[[#This Row],[Is Data Valid]]=TRUE,((Table1[[#This Row],[Birthweight (grams)]]/Table1[[#This Row],[BW_GA]])-1)/(Backend!$B$4/100*Table1[[#This Row],[BW40_3705]]),"")</f>
        <v/>
      </c>
      <c r="H7367" s="7" t="str">
        <f>IF(Table1[[#This Row],[Is Data Valid]]=TRUE,((Table1[[#This Row],[Birthweight (grams)]]*0.9/Table1[[#This Row],[BW_GA]])-1)/(Backend!$B$4/100*Table1[[#This Row],[BW40_3705]]),"")</f>
        <v/>
      </c>
      <c r="I7367" s="7" t="str">
        <f>IF(Table1[[#This Row],[Is Data Valid]]=TRUE,((Table1[[#This Row],[Birthweight (grams)]]*1.1/Table1[[#This Row],[BW_GA]])-1)/(Backend!$B$4/100*Table1[[#This Row],[BW40_3705]]),"")</f>
        <v/>
      </c>
      <c r="J7367" s="7" t="str">
        <f>IF(Table1[[#This Row],[Is Data Valid]]=TRUE,_xlfn.NORM.S.DIST(Table1[[#This Row],[Birthweight Z-Score]],TRUE)*100,"")</f>
        <v/>
      </c>
      <c r="K7367" s="7" t="str">
        <f>IF(Table1[[#This Row],[Is Data Valid]]=TRUE,_xlfn.NORM.S.DIST(Table1[[#This Row],[Birthweight Z-Score (BW-10%)]],TRUE)*100,"")</f>
        <v/>
      </c>
      <c r="L7367" s="7" t="str">
        <f>IF(Table1[[#This Row],[Is Data Valid]]=TRUE,_xlfn.NORM.S.DIST(Table1[[#This Row],[Birthweight Z-Score (BW+10%)]],TRUE)*100,"")</f>
        <v/>
      </c>
    </row>
    <row r="7368" spans="1:12" x14ac:dyDescent="0.35">
      <c r="A7368" s="3"/>
      <c r="B7368" s="2"/>
      <c r="C7368" s="2"/>
      <c r="D7368" s="2" t="b">
        <f>IF(AND(NOT(ISBLANK(Table1[[#This Row],[Fetal Sex (Male, Female or Unknown)]])),ISNUMBER(Table1[[#This Row],[Birthweight (grams)]]),ISNUMBER(Table1[[#This Row],[Gestation (days)]])),TRUE,FALSE)</f>
        <v>0</v>
      </c>
      <c r="E7368" s="2" t="str">
        <f>IF(Table1[[#This Row],[Is Data Valid]]=TRUE,IF(Table1[[#This Row],[Fetal Sex (Male, Female or Unknown)]]="Male",Backend!$C$6,IF(Table1[[#This Row],[Fetal Sex (Male, Female or Unknown)]]="Female",Backend!$C$7,IF(Table1[[#This Row],[Fetal Sex (Male, Female or Unknown)]]="Unknown",Backend!$C$8,"Error"))),"")</f>
        <v/>
      </c>
      <c r="F7368" s="8" t="str">
        <f>IF(Table1[[#This Row],[Is Data Valid]]=TRUE,EXP(0.578+0.332*((Table1[[#This Row],[Gestation (days)]]+0.5)/7)-0.00354*((Table1[[#This Row],[Gestation (days)]]+0.5)/7)^2)*Table1[[#This Row],[BW40_3705]],"")</f>
        <v/>
      </c>
      <c r="G7368" s="2" t="str">
        <f>IF(Table1[[#This Row],[Is Data Valid]]=TRUE,((Table1[[#This Row],[Birthweight (grams)]]/Table1[[#This Row],[BW_GA]])-1)/(Backend!$B$4/100*Table1[[#This Row],[BW40_3705]]),"")</f>
        <v/>
      </c>
      <c r="H7368" s="7" t="str">
        <f>IF(Table1[[#This Row],[Is Data Valid]]=TRUE,((Table1[[#This Row],[Birthweight (grams)]]*0.9/Table1[[#This Row],[BW_GA]])-1)/(Backend!$B$4/100*Table1[[#This Row],[BW40_3705]]),"")</f>
        <v/>
      </c>
      <c r="I7368" s="7" t="str">
        <f>IF(Table1[[#This Row],[Is Data Valid]]=TRUE,((Table1[[#This Row],[Birthweight (grams)]]*1.1/Table1[[#This Row],[BW_GA]])-1)/(Backend!$B$4/100*Table1[[#This Row],[BW40_3705]]),"")</f>
        <v/>
      </c>
      <c r="J7368" s="7" t="str">
        <f>IF(Table1[[#This Row],[Is Data Valid]]=TRUE,_xlfn.NORM.S.DIST(Table1[[#This Row],[Birthweight Z-Score]],TRUE)*100,"")</f>
        <v/>
      </c>
      <c r="K7368" s="7" t="str">
        <f>IF(Table1[[#This Row],[Is Data Valid]]=TRUE,_xlfn.NORM.S.DIST(Table1[[#This Row],[Birthweight Z-Score (BW-10%)]],TRUE)*100,"")</f>
        <v/>
      </c>
      <c r="L7368" s="7" t="str">
        <f>IF(Table1[[#This Row],[Is Data Valid]]=TRUE,_xlfn.NORM.S.DIST(Table1[[#This Row],[Birthweight Z-Score (BW+10%)]],TRUE)*100,"")</f>
        <v/>
      </c>
    </row>
    <row r="7369" spans="1:12" x14ac:dyDescent="0.35">
      <c r="A7369" s="3"/>
      <c r="B7369" s="2"/>
      <c r="C7369" s="2"/>
      <c r="D7369" s="2" t="b">
        <f>IF(AND(NOT(ISBLANK(Table1[[#This Row],[Fetal Sex (Male, Female or Unknown)]])),ISNUMBER(Table1[[#This Row],[Birthweight (grams)]]),ISNUMBER(Table1[[#This Row],[Gestation (days)]])),TRUE,FALSE)</f>
        <v>0</v>
      </c>
      <c r="E7369" s="2" t="str">
        <f>IF(Table1[[#This Row],[Is Data Valid]]=TRUE,IF(Table1[[#This Row],[Fetal Sex (Male, Female or Unknown)]]="Male",Backend!$C$6,IF(Table1[[#This Row],[Fetal Sex (Male, Female or Unknown)]]="Female",Backend!$C$7,IF(Table1[[#This Row],[Fetal Sex (Male, Female or Unknown)]]="Unknown",Backend!$C$8,"Error"))),"")</f>
        <v/>
      </c>
      <c r="F7369" s="8" t="str">
        <f>IF(Table1[[#This Row],[Is Data Valid]]=TRUE,EXP(0.578+0.332*((Table1[[#This Row],[Gestation (days)]]+0.5)/7)-0.00354*((Table1[[#This Row],[Gestation (days)]]+0.5)/7)^2)*Table1[[#This Row],[BW40_3705]],"")</f>
        <v/>
      </c>
      <c r="G7369" s="2" t="str">
        <f>IF(Table1[[#This Row],[Is Data Valid]]=TRUE,((Table1[[#This Row],[Birthweight (grams)]]/Table1[[#This Row],[BW_GA]])-1)/(Backend!$B$4/100*Table1[[#This Row],[BW40_3705]]),"")</f>
        <v/>
      </c>
      <c r="H7369" s="7" t="str">
        <f>IF(Table1[[#This Row],[Is Data Valid]]=TRUE,((Table1[[#This Row],[Birthweight (grams)]]*0.9/Table1[[#This Row],[BW_GA]])-1)/(Backend!$B$4/100*Table1[[#This Row],[BW40_3705]]),"")</f>
        <v/>
      </c>
      <c r="I7369" s="7" t="str">
        <f>IF(Table1[[#This Row],[Is Data Valid]]=TRUE,((Table1[[#This Row],[Birthweight (grams)]]*1.1/Table1[[#This Row],[BW_GA]])-1)/(Backend!$B$4/100*Table1[[#This Row],[BW40_3705]]),"")</f>
        <v/>
      </c>
      <c r="J7369" s="7" t="str">
        <f>IF(Table1[[#This Row],[Is Data Valid]]=TRUE,_xlfn.NORM.S.DIST(Table1[[#This Row],[Birthweight Z-Score]],TRUE)*100,"")</f>
        <v/>
      </c>
      <c r="K7369" s="7" t="str">
        <f>IF(Table1[[#This Row],[Is Data Valid]]=TRUE,_xlfn.NORM.S.DIST(Table1[[#This Row],[Birthweight Z-Score (BW-10%)]],TRUE)*100,"")</f>
        <v/>
      </c>
      <c r="L7369" s="7" t="str">
        <f>IF(Table1[[#This Row],[Is Data Valid]]=TRUE,_xlfn.NORM.S.DIST(Table1[[#This Row],[Birthweight Z-Score (BW+10%)]],TRUE)*100,"")</f>
        <v/>
      </c>
    </row>
    <row r="7370" spans="1:12" x14ac:dyDescent="0.35">
      <c r="A7370" s="3"/>
      <c r="B7370" s="2"/>
      <c r="C7370" s="2"/>
      <c r="D7370" s="2" t="b">
        <f>IF(AND(NOT(ISBLANK(Table1[[#This Row],[Fetal Sex (Male, Female or Unknown)]])),ISNUMBER(Table1[[#This Row],[Birthweight (grams)]]),ISNUMBER(Table1[[#This Row],[Gestation (days)]])),TRUE,FALSE)</f>
        <v>0</v>
      </c>
      <c r="E7370" s="2" t="str">
        <f>IF(Table1[[#This Row],[Is Data Valid]]=TRUE,IF(Table1[[#This Row],[Fetal Sex (Male, Female or Unknown)]]="Male",Backend!$C$6,IF(Table1[[#This Row],[Fetal Sex (Male, Female or Unknown)]]="Female",Backend!$C$7,IF(Table1[[#This Row],[Fetal Sex (Male, Female or Unknown)]]="Unknown",Backend!$C$8,"Error"))),"")</f>
        <v/>
      </c>
      <c r="F7370" s="8" t="str">
        <f>IF(Table1[[#This Row],[Is Data Valid]]=TRUE,EXP(0.578+0.332*((Table1[[#This Row],[Gestation (days)]]+0.5)/7)-0.00354*((Table1[[#This Row],[Gestation (days)]]+0.5)/7)^2)*Table1[[#This Row],[BW40_3705]],"")</f>
        <v/>
      </c>
      <c r="G7370" s="2" t="str">
        <f>IF(Table1[[#This Row],[Is Data Valid]]=TRUE,((Table1[[#This Row],[Birthweight (grams)]]/Table1[[#This Row],[BW_GA]])-1)/(Backend!$B$4/100*Table1[[#This Row],[BW40_3705]]),"")</f>
        <v/>
      </c>
      <c r="H7370" s="7" t="str">
        <f>IF(Table1[[#This Row],[Is Data Valid]]=TRUE,((Table1[[#This Row],[Birthweight (grams)]]*0.9/Table1[[#This Row],[BW_GA]])-1)/(Backend!$B$4/100*Table1[[#This Row],[BW40_3705]]),"")</f>
        <v/>
      </c>
      <c r="I7370" s="7" t="str">
        <f>IF(Table1[[#This Row],[Is Data Valid]]=TRUE,((Table1[[#This Row],[Birthweight (grams)]]*1.1/Table1[[#This Row],[BW_GA]])-1)/(Backend!$B$4/100*Table1[[#This Row],[BW40_3705]]),"")</f>
        <v/>
      </c>
      <c r="J7370" s="7" t="str">
        <f>IF(Table1[[#This Row],[Is Data Valid]]=TRUE,_xlfn.NORM.S.DIST(Table1[[#This Row],[Birthweight Z-Score]],TRUE)*100,"")</f>
        <v/>
      </c>
      <c r="K7370" s="7" t="str">
        <f>IF(Table1[[#This Row],[Is Data Valid]]=TRUE,_xlfn.NORM.S.DIST(Table1[[#This Row],[Birthweight Z-Score (BW-10%)]],TRUE)*100,"")</f>
        <v/>
      </c>
      <c r="L7370" s="7" t="str">
        <f>IF(Table1[[#This Row],[Is Data Valid]]=TRUE,_xlfn.NORM.S.DIST(Table1[[#This Row],[Birthweight Z-Score (BW+10%)]],TRUE)*100,"")</f>
        <v/>
      </c>
    </row>
    <row r="7371" spans="1:12" x14ac:dyDescent="0.35">
      <c r="A7371" s="3"/>
      <c r="B7371" s="2"/>
      <c r="C7371" s="2"/>
      <c r="D7371" s="2" t="b">
        <f>IF(AND(NOT(ISBLANK(Table1[[#This Row],[Fetal Sex (Male, Female or Unknown)]])),ISNUMBER(Table1[[#This Row],[Birthweight (grams)]]),ISNUMBER(Table1[[#This Row],[Gestation (days)]])),TRUE,FALSE)</f>
        <v>0</v>
      </c>
      <c r="E7371" s="2" t="str">
        <f>IF(Table1[[#This Row],[Is Data Valid]]=TRUE,IF(Table1[[#This Row],[Fetal Sex (Male, Female or Unknown)]]="Male",Backend!$C$6,IF(Table1[[#This Row],[Fetal Sex (Male, Female or Unknown)]]="Female",Backend!$C$7,IF(Table1[[#This Row],[Fetal Sex (Male, Female or Unknown)]]="Unknown",Backend!$C$8,"Error"))),"")</f>
        <v/>
      </c>
      <c r="F7371" s="8" t="str">
        <f>IF(Table1[[#This Row],[Is Data Valid]]=TRUE,EXP(0.578+0.332*((Table1[[#This Row],[Gestation (days)]]+0.5)/7)-0.00354*((Table1[[#This Row],[Gestation (days)]]+0.5)/7)^2)*Table1[[#This Row],[BW40_3705]],"")</f>
        <v/>
      </c>
      <c r="G7371" s="2" t="str">
        <f>IF(Table1[[#This Row],[Is Data Valid]]=TRUE,((Table1[[#This Row],[Birthweight (grams)]]/Table1[[#This Row],[BW_GA]])-1)/(Backend!$B$4/100*Table1[[#This Row],[BW40_3705]]),"")</f>
        <v/>
      </c>
      <c r="H7371" s="7" t="str">
        <f>IF(Table1[[#This Row],[Is Data Valid]]=TRUE,((Table1[[#This Row],[Birthweight (grams)]]*0.9/Table1[[#This Row],[BW_GA]])-1)/(Backend!$B$4/100*Table1[[#This Row],[BW40_3705]]),"")</f>
        <v/>
      </c>
      <c r="I7371" s="7" t="str">
        <f>IF(Table1[[#This Row],[Is Data Valid]]=TRUE,((Table1[[#This Row],[Birthweight (grams)]]*1.1/Table1[[#This Row],[BW_GA]])-1)/(Backend!$B$4/100*Table1[[#This Row],[BW40_3705]]),"")</f>
        <v/>
      </c>
      <c r="J7371" s="7" t="str">
        <f>IF(Table1[[#This Row],[Is Data Valid]]=TRUE,_xlfn.NORM.S.DIST(Table1[[#This Row],[Birthweight Z-Score]],TRUE)*100,"")</f>
        <v/>
      </c>
      <c r="K7371" s="7" t="str">
        <f>IF(Table1[[#This Row],[Is Data Valid]]=TRUE,_xlfn.NORM.S.DIST(Table1[[#This Row],[Birthweight Z-Score (BW-10%)]],TRUE)*100,"")</f>
        <v/>
      </c>
      <c r="L7371" s="7" t="str">
        <f>IF(Table1[[#This Row],[Is Data Valid]]=TRUE,_xlfn.NORM.S.DIST(Table1[[#This Row],[Birthweight Z-Score (BW+10%)]],TRUE)*100,"")</f>
        <v/>
      </c>
    </row>
    <row r="7372" spans="1:12" x14ac:dyDescent="0.35">
      <c r="A7372" s="3"/>
      <c r="B7372" s="2"/>
      <c r="C7372" s="2"/>
      <c r="D7372" s="2" t="b">
        <f>IF(AND(NOT(ISBLANK(Table1[[#This Row],[Fetal Sex (Male, Female or Unknown)]])),ISNUMBER(Table1[[#This Row],[Birthweight (grams)]]),ISNUMBER(Table1[[#This Row],[Gestation (days)]])),TRUE,FALSE)</f>
        <v>0</v>
      </c>
      <c r="E7372" s="2" t="str">
        <f>IF(Table1[[#This Row],[Is Data Valid]]=TRUE,IF(Table1[[#This Row],[Fetal Sex (Male, Female or Unknown)]]="Male",Backend!$C$6,IF(Table1[[#This Row],[Fetal Sex (Male, Female or Unknown)]]="Female",Backend!$C$7,IF(Table1[[#This Row],[Fetal Sex (Male, Female or Unknown)]]="Unknown",Backend!$C$8,"Error"))),"")</f>
        <v/>
      </c>
      <c r="F7372" s="8" t="str">
        <f>IF(Table1[[#This Row],[Is Data Valid]]=TRUE,EXP(0.578+0.332*((Table1[[#This Row],[Gestation (days)]]+0.5)/7)-0.00354*((Table1[[#This Row],[Gestation (days)]]+0.5)/7)^2)*Table1[[#This Row],[BW40_3705]],"")</f>
        <v/>
      </c>
      <c r="G7372" s="2" t="str">
        <f>IF(Table1[[#This Row],[Is Data Valid]]=TRUE,((Table1[[#This Row],[Birthweight (grams)]]/Table1[[#This Row],[BW_GA]])-1)/(Backend!$B$4/100*Table1[[#This Row],[BW40_3705]]),"")</f>
        <v/>
      </c>
      <c r="H7372" s="7" t="str">
        <f>IF(Table1[[#This Row],[Is Data Valid]]=TRUE,((Table1[[#This Row],[Birthweight (grams)]]*0.9/Table1[[#This Row],[BW_GA]])-1)/(Backend!$B$4/100*Table1[[#This Row],[BW40_3705]]),"")</f>
        <v/>
      </c>
      <c r="I7372" s="7" t="str">
        <f>IF(Table1[[#This Row],[Is Data Valid]]=TRUE,((Table1[[#This Row],[Birthweight (grams)]]*1.1/Table1[[#This Row],[BW_GA]])-1)/(Backend!$B$4/100*Table1[[#This Row],[BW40_3705]]),"")</f>
        <v/>
      </c>
      <c r="J7372" s="7" t="str">
        <f>IF(Table1[[#This Row],[Is Data Valid]]=TRUE,_xlfn.NORM.S.DIST(Table1[[#This Row],[Birthweight Z-Score]],TRUE)*100,"")</f>
        <v/>
      </c>
      <c r="K7372" s="7" t="str">
        <f>IF(Table1[[#This Row],[Is Data Valid]]=TRUE,_xlfn.NORM.S.DIST(Table1[[#This Row],[Birthweight Z-Score (BW-10%)]],TRUE)*100,"")</f>
        <v/>
      </c>
      <c r="L7372" s="7" t="str">
        <f>IF(Table1[[#This Row],[Is Data Valid]]=TRUE,_xlfn.NORM.S.DIST(Table1[[#This Row],[Birthweight Z-Score (BW+10%)]],TRUE)*100,"")</f>
        <v/>
      </c>
    </row>
    <row r="7373" spans="1:12" x14ac:dyDescent="0.35">
      <c r="A7373" s="3"/>
      <c r="B7373" s="2"/>
      <c r="C7373" s="2"/>
      <c r="D7373" s="2" t="b">
        <f>IF(AND(NOT(ISBLANK(Table1[[#This Row],[Fetal Sex (Male, Female or Unknown)]])),ISNUMBER(Table1[[#This Row],[Birthweight (grams)]]),ISNUMBER(Table1[[#This Row],[Gestation (days)]])),TRUE,FALSE)</f>
        <v>0</v>
      </c>
      <c r="E7373" s="2" t="str">
        <f>IF(Table1[[#This Row],[Is Data Valid]]=TRUE,IF(Table1[[#This Row],[Fetal Sex (Male, Female or Unknown)]]="Male",Backend!$C$6,IF(Table1[[#This Row],[Fetal Sex (Male, Female or Unknown)]]="Female",Backend!$C$7,IF(Table1[[#This Row],[Fetal Sex (Male, Female or Unknown)]]="Unknown",Backend!$C$8,"Error"))),"")</f>
        <v/>
      </c>
      <c r="F7373" s="8" t="str">
        <f>IF(Table1[[#This Row],[Is Data Valid]]=TRUE,EXP(0.578+0.332*((Table1[[#This Row],[Gestation (days)]]+0.5)/7)-0.00354*((Table1[[#This Row],[Gestation (days)]]+0.5)/7)^2)*Table1[[#This Row],[BW40_3705]],"")</f>
        <v/>
      </c>
      <c r="G7373" s="2" t="str">
        <f>IF(Table1[[#This Row],[Is Data Valid]]=TRUE,((Table1[[#This Row],[Birthweight (grams)]]/Table1[[#This Row],[BW_GA]])-1)/(Backend!$B$4/100*Table1[[#This Row],[BW40_3705]]),"")</f>
        <v/>
      </c>
      <c r="H7373" s="7" t="str">
        <f>IF(Table1[[#This Row],[Is Data Valid]]=TRUE,((Table1[[#This Row],[Birthweight (grams)]]*0.9/Table1[[#This Row],[BW_GA]])-1)/(Backend!$B$4/100*Table1[[#This Row],[BW40_3705]]),"")</f>
        <v/>
      </c>
      <c r="I7373" s="7" t="str">
        <f>IF(Table1[[#This Row],[Is Data Valid]]=TRUE,((Table1[[#This Row],[Birthweight (grams)]]*1.1/Table1[[#This Row],[BW_GA]])-1)/(Backend!$B$4/100*Table1[[#This Row],[BW40_3705]]),"")</f>
        <v/>
      </c>
      <c r="J7373" s="7" t="str">
        <f>IF(Table1[[#This Row],[Is Data Valid]]=TRUE,_xlfn.NORM.S.DIST(Table1[[#This Row],[Birthweight Z-Score]],TRUE)*100,"")</f>
        <v/>
      </c>
      <c r="K7373" s="7" t="str">
        <f>IF(Table1[[#This Row],[Is Data Valid]]=TRUE,_xlfn.NORM.S.DIST(Table1[[#This Row],[Birthweight Z-Score (BW-10%)]],TRUE)*100,"")</f>
        <v/>
      </c>
      <c r="L7373" s="7" t="str">
        <f>IF(Table1[[#This Row],[Is Data Valid]]=TRUE,_xlfn.NORM.S.DIST(Table1[[#This Row],[Birthweight Z-Score (BW+10%)]],TRUE)*100,"")</f>
        <v/>
      </c>
    </row>
    <row r="7374" spans="1:12" x14ac:dyDescent="0.35">
      <c r="A7374" s="3"/>
      <c r="B7374" s="2"/>
      <c r="C7374" s="2"/>
      <c r="D7374" s="2" t="b">
        <f>IF(AND(NOT(ISBLANK(Table1[[#This Row],[Fetal Sex (Male, Female or Unknown)]])),ISNUMBER(Table1[[#This Row],[Birthweight (grams)]]),ISNUMBER(Table1[[#This Row],[Gestation (days)]])),TRUE,FALSE)</f>
        <v>0</v>
      </c>
      <c r="E7374" s="2" t="str">
        <f>IF(Table1[[#This Row],[Is Data Valid]]=TRUE,IF(Table1[[#This Row],[Fetal Sex (Male, Female or Unknown)]]="Male",Backend!$C$6,IF(Table1[[#This Row],[Fetal Sex (Male, Female or Unknown)]]="Female",Backend!$C$7,IF(Table1[[#This Row],[Fetal Sex (Male, Female or Unknown)]]="Unknown",Backend!$C$8,"Error"))),"")</f>
        <v/>
      </c>
      <c r="F7374" s="8" t="str">
        <f>IF(Table1[[#This Row],[Is Data Valid]]=TRUE,EXP(0.578+0.332*((Table1[[#This Row],[Gestation (days)]]+0.5)/7)-0.00354*((Table1[[#This Row],[Gestation (days)]]+0.5)/7)^2)*Table1[[#This Row],[BW40_3705]],"")</f>
        <v/>
      </c>
      <c r="G7374" s="2" t="str">
        <f>IF(Table1[[#This Row],[Is Data Valid]]=TRUE,((Table1[[#This Row],[Birthweight (grams)]]/Table1[[#This Row],[BW_GA]])-1)/(Backend!$B$4/100*Table1[[#This Row],[BW40_3705]]),"")</f>
        <v/>
      </c>
      <c r="H7374" s="7" t="str">
        <f>IF(Table1[[#This Row],[Is Data Valid]]=TRUE,((Table1[[#This Row],[Birthweight (grams)]]*0.9/Table1[[#This Row],[BW_GA]])-1)/(Backend!$B$4/100*Table1[[#This Row],[BW40_3705]]),"")</f>
        <v/>
      </c>
      <c r="I7374" s="7" t="str">
        <f>IF(Table1[[#This Row],[Is Data Valid]]=TRUE,((Table1[[#This Row],[Birthweight (grams)]]*1.1/Table1[[#This Row],[BW_GA]])-1)/(Backend!$B$4/100*Table1[[#This Row],[BW40_3705]]),"")</f>
        <v/>
      </c>
      <c r="J7374" s="7" t="str">
        <f>IF(Table1[[#This Row],[Is Data Valid]]=TRUE,_xlfn.NORM.S.DIST(Table1[[#This Row],[Birthweight Z-Score]],TRUE)*100,"")</f>
        <v/>
      </c>
      <c r="K7374" s="7" t="str">
        <f>IF(Table1[[#This Row],[Is Data Valid]]=TRUE,_xlfn.NORM.S.DIST(Table1[[#This Row],[Birthweight Z-Score (BW-10%)]],TRUE)*100,"")</f>
        <v/>
      </c>
      <c r="L7374" s="7" t="str">
        <f>IF(Table1[[#This Row],[Is Data Valid]]=TRUE,_xlfn.NORM.S.DIST(Table1[[#This Row],[Birthweight Z-Score (BW+10%)]],TRUE)*100,"")</f>
        <v/>
      </c>
    </row>
    <row r="7375" spans="1:12" x14ac:dyDescent="0.35">
      <c r="A7375" s="3"/>
      <c r="B7375" s="2"/>
      <c r="C7375" s="2"/>
      <c r="D7375" s="2" t="b">
        <f>IF(AND(NOT(ISBLANK(Table1[[#This Row],[Fetal Sex (Male, Female or Unknown)]])),ISNUMBER(Table1[[#This Row],[Birthweight (grams)]]),ISNUMBER(Table1[[#This Row],[Gestation (days)]])),TRUE,FALSE)</f>
        <v>0</v>
      </c>
      <c r="E7375" s="2" t="str">
        <f>IF(Table1[[#This Row],[Is Data Valid]]=TRUE,IF(Table1[[#This Row],[Fetal Sex (Male, Female or Unknown)]]="Male",Backend!$C$6,IF(Table1[[#This Row],[Fetal Sex (Male, Female or Unknown)]]="Female",Backend!$C$7,IF(Table1[[#This Row],[Fetal Sex (Male, Female or Unknown)]]="Unknown",Backend!$C$8,"Error"))),"")</f>
        <v/>
      </c>
      <c r="F7375" s="8" t="str">
        <f>IF(Table1[[#This Row],[Is Data Valid]]=TRUE,EXP(0.578+0.332*((Table1[[#This Row],[Gestation (days)]]+0.5)/7)-0.00354*((Table1[[#This Row],[Gestation (days)]]+0.5)/7)^2)*Table1[[#This Row],[BW40_3705]],"")</f>
        <v/>
      </c>
      <c r="G7375" s="2" t="str">
        <f>IF(Table1[[#This Row],[Is Data Valid]]=TRUE,((Table1[[#This Row],[Birthweight (grams)]]/Table1[[#This Row],[BW_GA]])-1)/(Backend!$B$4/100*Table1[[#This Row],[BW40_3705]]),"")</f>
        <v/>
      </c>
      <c r="H7375" s="7" t="str">
        <f>IF(Table1[[#This Row],[Is Data Valid]]=TRUE,((Table1[[#This Row],[Birthweight (grams)]]*0.9/Table1[[#This Row],[BW_GA]])-1)/(Backend!$B$4/100*Table1[[#This Row],[BW40_3705]]),"")</f>
        <v/>
      </c>
      <c r="I7375" s="7" t="str">
        <f>IF(Table1[[#This Row],[Is Data Valid]]=TRUE,((Table1[[#This Row],[Birthweight (grams)]]*1.1/Table1[[#This Row],[BW_GA]])-1)/(Backend!$B$4/100*Table1[[#This Row],[BW40_3705]]),"")</f>
        <v/>
      </c>
      <c r="J7375" s="7" t="str">
        <f>IF(Table1[[#This Row],[Is Data Valid]]=TRUE,_xlfn.NORM.S.DIST(Table1[[#This Row],[Birthweight Z-Score]],TRUE)*100,"")</f>
        <v/>
      </c>
      <c r="K7375" s="7" t="str">
        <f>IF(Table1[[#This Row],[Is Data Valid]]=TRUE,_xlfn.NORM.S.DIST(Table1[[#This Row],[Birthweight Z-Score (BW-10%)]],TRUE)*100,"")</f>
        <v/>
      </c>
      <c r="L7375" s="7" t="str">
        <f>IF(Table1[[#This Row],[Is Data Valid]]=TRUE,_xlfn.NORM.S.DIST(Table1[[#This Row],[Birthweight Z-Score (BW+10%)]],TRUE)*100,"")</f>
        <v/>
      </c>
    </row>
    <row r="7376" spans="1:12" x14ac:dyDescent="0.35">
      <c r="A7376" s="3"/>
      <c r="B7376" s="2"/>
      <c r="C7376" s="2"/>
      <c r="D7376" s="2" t="b">
        <f>IF(AND(NOT(ISBLANK(Table1[[#This Row],[Fetal Sex (Male, Female or Unknown)]])),ISNUMBER(Table1[[#This Row],[Birthweight (grams)]]),ISNUMBER(Table1[[#This Row],[Gestation (days)]])),TRUE,FALSE)</f>
        <v>0</v>
      </c>
      <c r="E7376" s="2" t="str">
        <f>IF(Table1[[#This Row],[Is Data Valid]]=TRUE,IF(Table1[[#This Row],[Fetal Sex (Male, Female or Unknown)]]="Male",Backend!$C$6,IF(Table1[[#This Row],[Fetal Sex (Male, Female or Unknown)]]="Female",Backend!$C$7,IF(Table1[[#This Row],[Fetal Sex (Male, Female or Unknown)]]="Unknown",Backend!$C$8,"Error"))),"")</f>
        <v/>
      </c>
      <c r="F7376" s="8" t="str">
        <f>IF(Table1[[#This Row],[Is Data Valid]]=TRUE,EXP(0.578+0.332*((Table1[[#This Row],[Gestation (days)]]+0.5)/7)-0.00354*((Table1[[#This Row],[Gestation (days)]]+0.5)/7)^2)*Table1[[#This Row],[BW40_3705]],"")</f>
        <v/>
      </c>
      <c r="G7376" s="2" t="str">
        <f>IF(Table1[[#This Row],[Is Data Valid]]=TRUE,((Table1[[#This Row],[Birthweight (grams)]]/Table1[[#This Row],[BW_GA]])-1)/(Backend!$B$4/100*Table1[[#This Row],[BW40_3705]]),"")</f>
        <v/>
      </c>
      <c r="H7376" s="7" t="str">
        <f>IF(Table1[[#This Row],[Is Data Valid]]=TRUE,((Table1[[#This Row],[Birthweight (grams)]]*0.9/Table1[[#This Row],[BW_GA]])-1)/(Backend!$B$4/100*Table1[[#This Row],[BW40_3705]]),"")</f>
        <v/>
      </c>
      <c r="I7376" s="7" t="str">
        <f>IF(Table1[[#This Row],[Is Data Valid]]=TRUE,((Table1[[#This Row],[Birthweight (grams)]]*1.1/Table1[[#This Row],[BW_GA]])-1)/(Backend!$B$4/100*Table1[[#This Row],[BW40_3705]]),"")</f>
        <v/>
      </c>
      <c r="J7376" s="7" t="str">
        <f>IF(Table1[[#This Row],[Is Data Valid]]=TRUE,_xlfn.NORM.S.DIST(Table1[[#This Row],[Birthweight Z-Score]],TRUE)*100,"")</f>
        <v/>
      </c>
      <c r="K7376" s="7" t="str">
        <f>IF(Table1[[#This Row],[Is Data Valid]]=TRUE,_xlfn.NORM.S.DIST(Table1[[#This Row],[Birthweight Z-Score (BW-10%)]],TRUE)*100,"")</f>
        <v/>
      </c>
      <c r="L7376" s="7" t="str">
        <f>IF(Table1[[#This Row],[Is Data Valid]]=TRUE,_xlfn.NORM.S.DIST(Table1[[#This Row],[Birthweight Z-Score (BW+10%)]],TRUE)*100,"")</f>
        <v/>
      </c>
    </row>
    <row r="7377" spans="1:12" x14ac:dyDescent="0.35">
      <c r="A7377" s="3"/>
      <c r="B7377" s="2"/>
      <c r="C7377" s="2"/>
      <c r="D7377" s="2" t="b">
        <f>IF(AND(NOT(ISBLANK(Table1[[#This Row],[Fetal Sex (Male, Female or Unknown)]])),ISNUMBER(Table1[[#This Row],[Birthweight (grams)]]),ISNUMBER(Table1[[#This Row],[Gestation (days)]])),TRUE,FALSE)</f>
        <v>0</v>
      </c>
      <c r="E7377" s="2" t="str">
        <f>IF(Table1[[#This Row],[Is Data Valid]]=TRUE,IF(Table1[[#This Row],[Fetal Sex (Male, Female or Unknown)]]="Male",Backend!$C$6,IF(Table1[[#This Row],[Fetal Sex (Male, Female or Unknown)]]="Female",Backend!$C$7,IF(Table1[[#This Row],[Fetal Sex (Male, Female or Unknown)]]="Unknown",Backend!$C$8,"Error"))),"")</f>
        <v/>
      </c>
      <c r="F7377" s="8" t="str">
        <f>IF(Table1[[#This Row],[Is Data Valid]]=TRUE,EXP(0.578+0.332*((Table1[[#This Row],[Gestation (days)]]+0.5)/7)-0.00354*((Table1[[#This Row],[Gestation (days)]]+0.5)/7)^2)*Table1[[#This Row],[BW40_3705]],"")</f>
        <v/>
      </c>
      <c r="G7377" s="2" t="str">
        <f>IF(Table1[[#This Row],[Is Data Valid]]=TRUE,((Table1[[#This Row],[Birthweight (grams)]]/Table1[[#This Row],[BW_GA]])-1)/(Backend!$B$4/100*Table1[[#This Row],[BW40_3705]]),"")</f>
        <v/>
      </c>
      <c r="H7377" s="7" t="str">
        <f>IF(Table1[[#This Row],[Is Data Valid]]=TRUE,((Table1[[#This Row],[Birthweight (grams)]]*0.9/Table1[[#This Row],[BW_GA]])-1)/(Backend!$B$4/100*Table1[[#This Row],[BW40_3705]]),"")</f>
        <v/>
      </c>
      <c r="I7377" s="7" t="str">
        <f>IF(Table1[[#This Row],[Is Data Valid]]=TRUE,((Table1[[#This Row],[Birthweight (grams)]]*1.1/Table1[[#This Row],[BW_GA]])-1)/(Backend!$B$4/100*Table1[[#This Row],[BW40_3705]]),"")</f>
        <v/>
      </c>
      <c r="J7377" s="7" t="str">
        <f>IF(Table1[[#This Row],[Is Data Valid]]=TRUE,_xlfn.NORM.S.DIST(Table1[[#This Row],[Birthweight Z-Score]],TRUE)*100,"")</f>
        <v/>
      </c>
      <c r="K7377" s="7" t="str">
        <f>IF(Table1[[#This Row],[Is Data Valid]]=TRUE,_xlfn.NORM.S.DIST(Table1[[#This Row],[Birthweight Z-Score (BW-10%)]],TRUE)*100,"")</f>
        <v/>
      </c>
      <c r="L7377" s="7" t="str">
        <f>IF(Table1[[#This Row],[Is Data Valid]]=TRUE,_xlfn.NORM.S.DIST(Table1[[#This Row],[Birthweight Z-Score (BW+10%)]],TRUE)*100,"")</f>
        <v/>
      </c>
    </row>
    <row r="7378" spans="1:12" x14ac:dyDescent="0.35">
      <c r="A7378" s="3"/>
      <c r="B7378" s="2"/>
      <c r="C7378" s="2"/>
      <c r="D7378" s="2" t="b">
        <f>IF(AND(NOT(ISBLANK(Table1[[#This Row],[Fetal Sex (Male, Female or Unknown)]])),ISNUMBER(Table1[[#This Row],[Birthweight (grams)]]),ISNUMBER(Table1[[#This Row],[Gestation (days)]])),TRUE,FALSE)</f>
        <v>0</v>
      </c>
      <c r="E7378" s="2" t="str">
        <f>IF(Table1[[#This Row],[Is Data Valid]]=TRUE,IF(Table1[[#This Row],[Fetal Sex (Male, Female or Unknown)]]="Male",Backend!$C$6,IF(Table1[[#This Row],[Fetal Sex (Male, Female or Unknown)]]="Female",Backend!$C$7,IF(Table1[[#This Row],[Fetal Sex (Male, Female or Unknown)]]="Unknown",Backend!$C$8,"Error"))),"")</f>
        <v/>
      </c>
      <c r="F7378" s="8" t="str">
        <f>IF(Table1[[#This Row],[Is Data Valid]]=TRUE,EXP(0.578+0.332*((Table1[[#This Row],[Gestation (days)]]+0.5)/7)-0.00354*((Table1[[#This Row],[Gestation (days)]]+0.5)/7)^2)*Table1[[#This Row],[BW40_3705]],"")</f>
        <v/>
      </c>
      <c r="G7378" s="2" t="str">
        <f>IF(Table1[[#This Row],[Is Data Valid]]=TRUE,((Table1[[#This Row],[Birthweight (grams)]]/Table1[[#This Row],[BW_GA]])-1)/(Backend!$B$4/100*Table1[[#This Row],[BW40_3705]]),"")</f>
        <v/>
      </c>
      <c r="H7378" s="7" t="str">
        <f>IF(Table1[[#This Row],[Is Data Valid]]=TRUE,((Table1[[#This Row],[Birthweight (grams)]]*0.9/Table1[[#This Row],[BW_GA]])-1)/(Backend!$B$4/100*Table1[[#This Row],[BW40_3705]]),"")</f>
        <v/>
      </c>
      <c r="I7378" s="7" t="str">
        <f>IF(Table1[[#This Row],[Is Data Valid]]=TRUE,((Table1[[#This Row],[Birthweight (grams)]]*1.1/Table1[[#This Row],[BW_GA]])-1)/(Backend!$B$4/100*Table1[[#This Row],[BW40_3705]]),"")</f>
        <v/>
      </c>
      <c r="J7378" s="7" t="str">
        <f>IF(Table1[[#This Row],[Is Data Valid]]=TRUE,_xlfn.NORM.S.DIST(Table1[[#This Row],[Birthweight Z-Score]],TRUE)*100,"")</f>
        <v/>
      </c>
      <c r="K7378" s="7" t="str">
        <f>IF(Table1[[#This Row],[Is Data Valid]]=TRUE,_xlfn.NORM.S.DIST(Table1[[#This Row],[Birthweight Z-Score (BW-10%)]],TRUE)*100,"")</f>
        <v/>
      </c>
      <c r="L7378" s="7" t="str">
        <f>IF(Table1[[#This Row],[Is Data Valid]]=TRUE,_xlfn.NORM.S.DIST(Table1[[#This Row],[Birthweight Z-Score (BW+10%)]],TRUE)*100,"")</f>
        <v/>
      </c>
    </row>
    <row r="7379" spans="1:12" x14ac:dyDescent="0.35">
      <c r="A7379" s="3"/>
      <c r="B7379" s="2"/>
      <c r="C7379" s="2"/>
      <c r="D7379" s="2" t="b">
        <f>IF(AND(NOT(ISBLANK(Table1[[#This Row],[Fetal Sex (Male, Female or Unknown)]])),ISNUMBER(Table1[[#This Row],[Birthweight (grams)]]),ISNUMBER(Table1[[#This Row],[Gestation (days)]])),TRUE,FALSE)</f>
        <v>0</v>
      </c>
      <c r="E7379" s="2" t="str">
        <f>IF(Table1[[#This Row],[Is Data Valid]]=TRUE,IF(Table1[[#This Row],[Fetal Sex (Male, Female or Unknown)]]="Male",Backend!$C$6,IF(Table1[[#This Row],[Fetal Sex (Male, Female or Unknown)]]="Female",Backend!$C$7,IF(Table1[[#This Row],[Fetal Sex (Male, Female or Unknown)]]="Unknown",Backend!$C$8,"Error"))),"")</f>
        <v/>
      </c>
      <c r="F7379" s="8" t="str">
        <f>IF(Table1[[#This Row],[Is Data Valid]]=TRUE,EXP(0.578+0.332*((Table1[[#This Row],[Gestation (days)]]+0.5)/7)-0.00354*((Table1[[#This Row],[Gestation (days)]]+0.5)/7)^2)*Table1[[#This Row],[BW40_3705]],"")</f>
        <v/>
      </c>
      <c r="G7379" s="2" t="str">
        <f>IF(Table1[[#This Row],[Is Data Valid]]=TRUE,((Table1[[#This Row],[Birthweight (grams)]]/Table1[[#This Row],[BW_GA]])-1)/(Backend!$B$4/100*Table1[[#This Row],[BW40_3705]]),"")</f>
        <v/>
      </c>
      <c r="H7379" s="7" t="str">
        <f>IF(Table1[[#This Row],[Is Data Valid]]=TRUE,((Table1[[#This Row],[Birthweight (grams)]]*0.9/Table1[[#This Row],[BW_GA]])-1)/(Backend!$B$4/100*Table1[[#This Row],[BW40_3705]]),"")</f>
        <v/>
      </c>
      <c r="I7379" s="7" t="str">
        <f>IF(Table1[[#This Row],[Is Data Valid]]=TRUE,((Table1[[#This Row],[Birthweight (grams)]]*1.1/Table1[[#This Row],[BW_GA]])-1)/(Backend!$B$4/100*Table1[[#This Row],[BW40_3705]]),"")</f>
        <v/>
      </c>
      <c r="J7379" s="7" t="str">
        <f>IF(Table1[[#This Row],[Is Data Valid]]=TRUE,_xlfn.NORM.S.DIST(Table1[[#This Row],[Birthweight Z-Score]],TRUE)*100,"")</f>
        <v/>
      </c>
      <c r="K7379" s="7" t="str">
        <f>IF(Table1[[#This Row],[Is Data Valid]]=TRUE,_xlfn.NORM.S.DIST(Table1[[#This Row],[Birthweight Z-Score (BW-10%)]],TRUE)*100,"")</f>
        <v/>
      </c>
      <c r="L7379" s="7" t="str">
        <f>IF(Table1[[#This Row],[Is Data Valid]]=TRUE,_xlfn.NORM.S.DIST(Table1[[#This Row],[Birthweight Z-Score (BW+10%)]],TRUE)*100,"")</f>
        <v/>
      </c>
    </row>
    <row r="7380" spans="1:12" x14ac:dyDescent="0.35">
      <c r="A7380" s="3"/>
      <c r="B7380" s="2"/>
      <c r="C7380" s="2"/>
      <c r="D7380" s="2" t="b">
        <f>IF(AND(NOT(ISBLANK(Table1[[#This Row],[Fetal Sex (Male, Female or Unknown)]])),ISNUMBER(Table1[[#This Row],[Birthweight (grams)]]),ISNUMBER(Table1[[#This Row],[Gestation (days)]])),TRUE,FALSE)</f>
        <v>0</v>
      </c>
      <c r="E7380" s="2" t="str">
        <f>IF(Table1[[#This Row],[Is Data Valid]]=TRUE,IF(Table1[[#This Row],[Fetal Sex (Male, Female or Unknown)]]="Male",Backend!$C$6,IF(Table1[[#This Row],[Fetal Sex (Male, Female or Unknown)]]="Female",Backend!$C$7,IF(Table1[[#This Row],[Fetal Sex (Male, Female or Unknown)]]="Unknown",Backend!$C$8,"Error"))),"")</f>
        <v/>
      </c>
      <c r="F7380" s="8" t="str">
        <f>IF(Table1[[#This Row],[Is Data Valid]]=TRUE,EXP(0.578+0.332*((Table1[[#This Row],[Gestation (days)]]+0.5)/7)-0.00354*((Table1[[#This Row],[Gestation (days)]]+0.5)/7)^2)*Table1[[#This Row],[BW40_3705]],"")</f>
        <v/>
      </c>
      <c r="G7380" s="2" t="str">
        <f>IF(Table1[[#This Row],[Is Data Valid]]=TRUE,((Table1[[#This Row],[Birthweight (grams)]]/Table1[[#This Row],[BW_GA]])-1)/(Backend!$B$4/100*Table1[[#This Row],[BW40_3705]]),"")</f>
        <v/>
      </c>
      <c r="H7380" s="7" t="str">
        <f>IF(Table1[[#This Row],[Is Data Valid]]=TRUE,((Table1[[#This Row],[Birthweight (grams)]]*0.9/Table1[[#This Row],[BW_GA]])-1)/(Backend!$B$4/100*Table1[[#This Row],[BW40_3705]]),"")</f>
        <v/>
      </c>
      <c r="I7380" s="7" t="str">
        <f>IF(Table1[[#This Row],[Is Data Valid]]=TRUE,((Table1[[#This Row],[Birthweight (grams)]]*1.1/Table1[[#This Row],[BW_GA]])-1)/(Backend!$B$4/100*Table1[[#This Row],[BW40_3705]]),"")</f>
        <v/>
      </c>
      <c r="J7380" s="7" t="str">
        <f>IF(Table1[[#This Row],[Is Data Valid]]=TRUE,_xlfn.NORM.S.DIST(Table1[[#This Row],[Birthweight Z-Score]],TRUE)*100,"")</f>
        <v/>
      </c>
      <c r="K7380" s="7" t="str">
        <f>IF(Table1[[#This Row],[Is Data Valid]]=TRUE,_xlfn.NORM.S.DIST(Table1[[#This Row],[Birthweight Z-Score (BW-10%)]],TRUE)*100,"")</f>
        <v/>
      </c>
      <c r="L7380" s="7" t="str">
        <f>IF(Table1[[#This Row],[Is Data Valid]]=TRUE,_xlfn.NORM.S.DIST(Table1[[#This Row],[Birthweight Z-Score (BW+10%)]],TRUE)*100,"")</f>
        <v/>
      </c>
    </row>
    <row r="7381" spans="1:12" x14ac:dyDescent="0.35">
      <c r="A7381" s="3"/>
      <c r="B7381" s="2"/>
      <c r="C7381" s="2"/>
      <c r="D7381" s="2" t="b">
        <f>IF(AND(NOT(ISBLANK(Table1[[#This Row],[Fetal Sex (Male, Female or Unknown)]])),ISNUMBER(Table1[[#This Row],[Birthweight (grams)]]),ISNUMBER(Table1[[#This Row],[Gestation (days)]])),TRUE,FALSE)</f>
        <v>0</v>
      </c>
      <c r="E7381" s="2" t="str">
        <f>IF(Table1[[#This Row],[Is Data Valid]]=TRUE,IF(Table1[[#This Row],[Fetal Sex (Male, Female or Unknown)]]="Male",Backend!$C$6,IF(Table1[[#This Row],[Fetal Sex (Male, Female or Unknown)]]="Female",Backend!$C$7,IF(Table1[[#This Row],[Fetal Sex (Male, Female or Unknown)]]="Unknown",Backend!$C$8,"Error"))),"")</f>
        <v/>
      </c>
      <c r="F7381" s="8" t="str">
        <f>IF(Table1[[#This Row],[Is Data Valid]]=TRUE,EXP(0.578+0.332*((Table1[[#This Row],[Gestation (days)]]+0.5)/7)-0.00354*((Table1[[#This Row],[Gestation (days)]]+0.5)/7)^2)*Table1[[#This Row],[BW40_3705]],"")</f>
        <v/>
      </c>
      <c r="G7381" s="2" t="str">
        <f>IF(Table1[[#This Row],[Is Data Valid]]=TRUE,((Table1[[#This Row],[Birthweight (grams)]]/Table1[[#This Row],[BW_GA]])-1)/(Backend!$B$4/100*Table1[[#This Row],[BW40_3705]]),"")</f>
        <v/>
      </c>
      <c r="H7381" s="7" t="str">
        <f>IF(Table1[[#This Row],[Is Data Valid]]=TRUE,((Table1[[#This Row],[Birthweight (grams)]]*0.9/Table1[[#This Row],[BW_GA]])-1)/(Backend!$B$4/100*Table1[[#This Row],[BW40_3705]]),"")</f>
        <v/>
      </c>
      <c r="I7381" s="7" t="str">
        <f>IF(Table1[[#This Row],[Is Data Valid]]=TRUE,((Table1[[#This Row],[Birthweight (grams)]]*1.1/Table1[[#This Row],[BW_GA]])-1)/(Backend!$B$4/100*Table1[[#This Row],[BW40_3705]]),"")</f>
        <v/>
      </c>
      <c r="J7381" s="7" t="str">
        <f>IF(Table1[[#This Row],[Is Data Valid]]=TRUE,_xlfn.NORM.S.DIST(Table1[[#This Row],[Birthweight Z-Score]],TRUE)*100,"")</f>
        <v/>
      </c>
      <c r="K7381" s="7" t="str">
        <f>IF(Table1[[#This Row],[Is Data Valid]]=TRUE,_xlfn.NORM.S.DIST(Table1[[#This Row],[Birthweight Z-Score (BW-10%)]],TRUE)*100,"")</f>
        <v/>
      </c>
      <c r="L7381" s="7" t="str">
        <f>IF(Table1[[#This Row],[Is Data Valid]]=TRUE,_xlfn.NORM.S.DIST(Table1[[#This Row],[Birthweight Z-Score (BW+10%)]],TRUE)*100,"")</f>
        <v/>
      </c>
    </row>
    <row r="7382" spans="1:12" x14ac:dyDescent="0.35">
      <c r="A7382" s="3"/>
      <c r="B7382" s="2"/>
      <c r="C7382" s="2"/>
      <c r="D7382" s="2" t="b">
        <f>IF(AND(NOT(ISBLANK(Table1[[#This Row],[Fetal Sex (Male, Female or Unknown)]])),ISNUMBER(Table1[[#This Row],[Birthweight (grams)]]),ISNUMBER(Table1[[#This Row],[Gestation (days)]])),TRUE,FALSE)</f>
        <v>0</v>
      </c>
      <c r="E7382" s="2" t="str">
        <f>IF(Table1[[#This Row],[Is Data Valid]]=TRUE,IF(Table1[[#This Row],[Fetal Sex (Male, Female or Unknown)]]="Male",Backend!$C$6,IF(Table1[[#This Row],[Fetal Sex (Male, Female or Unknown)]]="Female",Backend!$C$7,IF(Table1[[#This Row],[Fetal Sex (Male, Female or Unknown)]]="Unknown",Backend!$C$8,"Error"))),"")</f>
        <v/>
      </c>
      <c r="F7382" s="8" t="str">
        <f>IF(Table1[[#This Row],[Is Data Valid]]=TRUE,EXP(0.578+0.332*((Table1[[#This Row],[Gestation (days)]]+0.5)/7)-0.00354*((Table1[[#This Row],[Gestation (days)]]+0.5)/7)^2)*Table1[[#This Row],[BW40_3705]],"")</f>
        <v/>
      </c>
      <c r="G7382" s="2" t="str">
        <f>IF(Table1[[#This Row],[Is Data Valid]]=TRUE,((Table1[[#This Row],[Birthweight (grams)]]/Table1[[#This Row],[BW_GA]])-1)/(Backend!$B$4/100*Table1[[#This Row],[BW40_3705]]),"")</f>
        <v/>
      </c>
      <c r="H7382" s="7" t="str">
        <f>IF(Table1[[#This Row],[Is Data Valid]]=TRUE,((Table1[[#This Row],[Birthweight (grams)]]*0.9/Table1[[#This Row],[BW_GA]])-1)/(Backend!$B$4/100*Table1[[#This Row],[BW40_3705]]),"")</f>
        <v/>
      </c>
      <c r="I7382" s="7" t="str">
        <f>IF(Table1[[#This Row],[Is Data Valid]]=TRUE,((Table1[[#This Row],[Birthweight (grams)]]*1.1/Table1[[#This Row],[BW_GA]])-1)/(Backend!$B$4/100*Table1[[#This Row],[BW40_3705]]),"")</f>
        <v/>
      </c>
      <c r="J7382" s="7" t="str">
        <f>IF(Table1[[#This Row],[Is Data Valid]]=TRUE,_xlfn.NORM.S.DIST(Table1[[#This Row],[Birthweight Z-Score]],TRUE)*100,"")</f>
        <v/>
      </c>
      <c r="K7382" s="7" t="str">
        <f>IF(Table1[[#This Row],[Is Data Valid]]=TRUE,_xlfn.NORM.S.DIST(Table1[[#This Row],[Birthweight Z-Score (BW-10%)]],TRUE)*100,"")</f>
        <v/>
      </c>
      <c r="L7382" s="7" t="str">
        <f>IF(Table1[[#This Row],[Is Data Valid]]=TRUE,_xlfn.NORM.S.DIST(Table1[[#This Row],[Birthweight Z-Score (BW+10%)]],TRUE)*100,"")</f>
        <v/>
      </c>
    </row>
    <row r="7383" spans="1:12" x14ac:dyDescent="0.35">
      <c r="A7383" s="3"/>
      <c r="B7383" s="2"/>
      <c r="C7383" s="2"/>
      <c r="D7383" s="2" t="b">
        <f>IF(AND(NOT(ISBLANK(Table1[[#This Row],[Fetal Sex (Male, Female or Unknown)]])),ISNUMBER(Table1[[#This Row],[Birthweight (grams)]]),ISNUMBER(Table1[[#This Row],[Gestation (days)]])),TRUE,FALSE)</f>
        <v>0</v>
      </c>
      <c r="E7383" s="2" t="str">
        <f>IF(Table1[[#This Row],[Is Data Valid]]=TRUE,IF(Table1[[#This Row],[Fetal Sex (Male, Female or Unknown)]]="Male",Backend!$C$6,IF(Table1[[#This Row],[Fetal Sex (Male, Female or Unknown)]]="Female",Backend!$C$7,IF(Table1[[#This Row],[Fetal Sex (Male, Female or Unknown)]]="Unknown",Backend!$C$8,"Error"))),"")</f>
        <v/>
      </c>
      <c r="F7383" s="8" t="str">
        <f>IF(Table1[[#This Row],[Is Data Valid]]=TRUE,EXP(0.578+0.332*((Table1[[#This Row],[Gestation (days)]]+0.5)/7)-0.00354*((Table1[[#This Row],[Gestation (days)]]+0.5)/7)^2)*Table1[[#This Row],[BW40_3705]],"")</f>
        <v/>
      </c>
      <c r="G7383" s="2" t="str">
        <f>IF(Table1[[#This Row],[Is Data Valid]]=TRUE,((Table1[[#This Row],[Birthweight (grams)]]/Table1[[#This Row],[BW_GA]])-1)/(Backend!$B$4/100*Table1[[#This Row],[BW40_3705]]),"")</f>
        <v/>
      </c>
      <c r="H7383" s="7" t="str">
        <f>IF(Table1[[#This Row],[Is Data Valid]]=TRUE,((Table1[[#This Row],[Birthweight (grams)]]*0.9/Table1[[#This Row],[BW_GA]])-1)/(Backend!$B$4/100*Table1[[#This Row],[BW40_3705]]),"")</f>
        <v/>
      </c>
      <c r="I7383" s="7" t="str">
        <f>IF(Table1[[#This Row],[Is Data Valid]]=TRUE,((Table1[[#This Row],[Birthweight (grams)]]*1.1/Table1[[#This Row],[BW_GA]])-1)/(Backend!$B$4/100*Table1[[#This Row],[BW40_3705]]),"")</f>
        <v/>
      </c>
      <c r="J7383" s="7" t="str">
        <f>IF(Table1[[#This Row],[Is Data Valid]]=TRUE,_xlfn.NORM.S.DIST(Table1[[#This Row],[Birthweight Z-Score]],TRUE)*100,"")</f>
        <v/>
      </c>
      <c r="K7383" s="7" t="str">
        <f>IF(Table1[[#This Row],[Is Data Valid]]=TRUE,_xlfn.NORM.S.DIST(Table1[[#This Row],[Birthweight Z-Score (BW-10%)]],TRUE)*100,"")</f>
        <v/>
      </c>
      <c r="L7383" s="7" t="str">
        <f>IF(Table1[[#This Row],[Is Data Valid]]=TRUE,_xlfn.NORM.S.DIST(Table1[[#This Row],[Birthweight Z-Score (BW+10%)]],TRUE)*100,"")</f>
        <v/>
      </c>
    </row>
    <row r="7384" spans="1:12" x14ac:dyDescent="0.35">
      <c r="A7384" s="3"/>
      <c r="B7384" s="2"/>
      <c r="C7384" s="2"/>
      <c r="D7384" s="2" t="b">
        <f>IF(AND(NOT(ISBLANK(Table1[[#This Row],[Fetal Sex (Male, Female or Unknown)]])),ISNUMBER(Table1[[#This Row],[Birthweight (grams)]]),ISNUMBER(Table1[[#This Row],[Gestation (days)]])),TRUE,FALSE)</f>
        <v>0</v>
      </c>
      <c r="E7384" s="2" t="str">
        <f>IF(Table1[[#This Row],[Is Data Valid]]=TRUE,IF(Table1[[#This Row],[Fetal Sex (Male, Female or Unknown)]]="Male",Backend!$C$6,IF(Table1[[#This Row],[Fetal Sex (Male, Female or Unknown)]]="Female",Backend!$C$7,IF(Table1[[#This Row],[Fetal Sex (Male, Female or Unknown)]]="Unknown",Backend!$C$8,"Error"))),"")</f>
        <v/>
      </c>
      <c r="F7384" s="8" t="str">
        <f>IF(Table1[[#This Row],[Is Data Valid]]=TRUE,EXP(0.578+0.332*((Table1[[#This Row],[Gestation (days)]]+0.5)/7)-0.00354*((Table1[[#This Row],[Gestation (days)]]+0.5)/7)^2)*Table1[[#This Row],[BW40_3705]],"")</f>
        <v/>
      </c>
      <c r="G7384" s="2" t="str">
        <f>IF(Table1[[#This Row],[Is Data Valid]]=TRUE,((Table1[[#This Row],[Birthweight (grams)]]/Table1[[#This Row],[BW_GA]])-1)/(Backend!$B$4/100*Table1[[#This Row],[BW40_3705]]),"")</f>
        <v/>
      </c>
      <c r="H7384" s="7" t="str">
        <f>IF(Table1[[#This Row],[Is Data Valid]]=TRUE,((Table1[[#This Row],[Birthweight (grams)]]*0.9/Table1[[#This Row],[BW_GA]])-1)/(Backend!$B$4/100*Table1[[#This Row],[BW40_3705]]),"")</f>
        <v/>
      </c>
      <c r="I7384" s="7" t="str">
        <f>IF(Table1[[#This Row],[Is Data Valid]]=TRUE,((Table1[[#This Row],[Birthweight (grams)]]*1.1/Table1[[#This Row],[BW_GA]])-1)/(Backend!$B$4/100*Table1[[#This Row],[BW40_3705]]),"")</f>
        <v/>
      </c>
      <c r="J7384" s="7" t="str">
        <f>IF(Table1[[#This Row],[Is Data Valid]]=TRUE,_xlfn.NORM.S.DIST(Table1[[#This Row],[Birthweight Z-Score]],TRUE)*100,"")</f>
        <v/>
      </c>
      <c r="K7384" s="7" t="str">
        <f>IF(Table1[[#This Row],[Is Data Valid]]=TRUE,_xlfn.NORM.S.DIST(Table1[[#This Row],[Birthweight Z-Score (BW-10%)]],TRUE)*100,"")</f>
        <v/>
      </c>
      <c r="L7384" s="7" t="str">
        <f>IF(Table1[[#This Row],[Is Data Valid]]=TRUE,_xlfn.NORM.S.DIST(Table1[[#This Row],[Birthweight Z-Score (BW+10%)]],TRUE)*100,"")</f>
        <v/>
      </c>
    </row>
    <row r="7385" spans="1:12" x14ac:dyDescent="0.35">
      <c r="A7385" s="3"/>
      <c r="B7385" s="2"/>
      <c r="C7385" s="2"/>
      <c r="D7385" s="2" t="b">
        <f>IF(AND(NOT(ISBLANK(Table1[[#This Row],[Fetal Sex (Male, Female or Unknown)]])),ISNUMBER(Table1[[#This Row],[Birthweight (grams)]]),ISNUMBER(Table1[[#This Row],[Gestation (days)]])),TRUE,FALSE)</f>
        <v>0</v>
      </c>
      <c r="E7385" s="2" t="str">
        <f>IF(Table1[[#This Row],[Is Data Valid]]=TRUE,IF(Table1[[#This Row],[Fetal Sex (Male, Female or Unknown)]]="Male",Backend!$C$6,IF(Table1[[#This Row],[Fetal Sex (Male, Female or Unknown)]]="Female",Backend!$C$7,IF(Table1[[#This Row],[Fetal Sex (Male, Female or Unknown)]]="Unknown",Backend!$C$8,"Error"))),"")</f>
        <v/>
      </c>
      <c r="F7385" s="8" t="str">
        <f>IF(Table1[[#This Row],[Is Data Valid]]=TRUE,EXP(0.578+0.332*((Table1[[#This Row],[Gestation (days)]]+0.5)/7)-0.00354*((Table1[[#This Row],[Gestation (days)]]+0.5)/7)^2)*Table1[[#This Row],[BW40_3705]],"")</f>
        <v/>
      </c>
      <c r="G7385" s="2" t="str">
        <f>IF(Table1[[#This Row],[Is Data Valid]]=TRUE,((Table1[[#This Row],[Birthweight (grams)]]/Table1[[#This Row],[BW_GA]])-1)/(Backend!$B$4/100*Table1[[#This Row],[BW40_3705]]),"")</f>
        <v/>
      </c>
      <c r="H7385" s="7" t="str">
        <f>IF(Table1[[#This Row],[Is Data Valid]]=TRUE,((Table1[[#This Row],[Birthweight (grams)]]*0.9/Table1[[#This Row],[BW_GA]])-1)/(Backend!$B$4/100*Table1[[#This Row],[BW40_3705]]),"")</f>
        <v/>
      </c>
      <c r="I7385" s="7" t="str">
        <f>IF(Table1[[#This Row],[Is Data Valid]]=TRUE,((Table1[[#This Row],[Birthweight (grams)]]*1.1/Table1[[#This Row],[BW_GA]])-1)/(Backend!$B$4/100*Table1[[#This Row],[BW40_3705]]),"")</f>
        <v/>
      </c>
      <c r="J7385" s="7" t="str">
        <f>IF(Table1[[#This Row],[Is Data Valid]]=TRUE,_xlfn.NORM.S.DIST(Table1[[#This Row],[Birthweight Z-Score]],TRUE)*100,"")</f>
        <v/>
      </c>
      <c r="K7385" s="7" t="str">
        <f>IF(Table1[[#This Row],[Is Data Valid]]=TRUE,_xlfn.NORM.S.DIST(Table1[[#This Row],[Birthweight Z-Score (BW-10%)]],TRUE)*100,"")</f>
        <v/>
      </c>
      <c r="L7385" s="7" t="str">
        <f>IF(Table1[[#This Row],[Is Data Valid]]=TRUE,_xlfn.NORM.S.DIST(Table1[[#This Row],[Birthweight Z-Score (BW+10%)]],TRUE)*100,"")</f>
        <v/>
      </c>
    </row>
    <row r="7386" spans="1:12" x14ac:dyDescent="0.35">
      <c r="A7386" s="3"/>
      <c r="B7386" s="2"/>
      <c r="C7386" s="2"/>
      <c r="D7386" s="2" t="b">
        <f>IF(AND(NOT(ISBLANK(Table1[[#This Row],[Fetal Sex (Male, Female or Unknown)]])),ISNUMBER(Table1[[#This Row],[Birthweight (grams)]]),ISNUMBER(Table1[[#This Row],[Gestation (days)]])),TRUE,FALSE)</f>
        <v>0</v>
      </c>
      <c r="E7386" s="2" t="str">
        <f>IF(Table1[[#This Row],[Is Data Valid]]=TRUE,IF(Table1[[#This Row],[Fetal Sex (Male, Female or Unknown)]]="Male",Backend!$C$6,IF(Table1[[#This Row],[Fetal Sex (Male, Female or Unknown)]]="Female",Backend!$C$7,IF(Table1[[#This Row],[Fetal Sex (Male, Female or Unknown)]]="Unknown",Backend!$C$8,"Error"))),"")</f>
        <v/>
      </c>
      <c r="F7386" s="8" t="str">
        <f>IF(Table1[[#This Row],[Is Data Valid]]=TRUE,EXP(0.578+0.332*((Table1[[#This Row],[Gestation (days)]]+0.5)/7)-0.00354*((Table1[[#This Row],[Gestation (days)]]+0.5)/7)^2)*Table1[[#This Row],[BW40_3705]],"")</f>
        <v/>
      </c>
      <c r="G7386" s="2" t="str">
        <f>IF(Table1[[#This Row],[Is Data Valid]]=TRUE,((Table1[[#This Row],[Birthweight (grams)]]/Table1[[#This Row],[BW_GA]])-1)/(Backend!$B$4/100*Table1[[#This Row],[BW40_3705]]),"")</f>
        <v/>
      </c>
      <c r="H7386" s="7" t="str">
        <f>IF(Table1[[#This Row],[Is Data Valid]]=TRUE,((Table1[[#This Row],[Birthweight (grams)]]*0.9/Table1[[#This Row],[BW_GA]])-1)/(Backend!$B$4/100*Table1[[#This Row],[BW40_3705]]),"")</f>
        <v/>
      </c>
      <c r="I7386" s="7" t="str">
        <f>IF(Table1[[#This Row],[Is Data Valid]]=TRUE,((Table1[[#This Row],[Birthweight (grams)]]*1.1/Table1[[#This Row],[BW_GA]])-1)/(Backend!$B$4/100*Table1[[#This Row],[BW40_3705]]),"")</f>
        <v/>
      </c>
      <c r="J7386" s="7" t="str">
        <f>IF(Table1[[#This Row],[Is Data Valid]]=TRUE,_xlfn.NORM.S.DIST(Table1[[#This Row],[Birthweight Z-Score]],TRUE)*100,"")</f>
        <v/>
      </c>
      <c r="K7386" s="7" t="str">
        <f>IF(Table1[[#This Row],[Is Data Valid]]=TRUE,_xlfn.NORM.S.DIST(Table1[[#This Row],[Birthweight Z-Score (BW-10%)]],TRUE)*100,"")</f>
        <v/>
      </c>
      <c r="L7386" s="7" t="str">
        <f>IF(Table1[[#This Row],[Is Data Valid]]=TRUE,_xlfn.NORM.S.DIST(Table1[[#This Row],[Birthweight Z-Score (BW+10%)]],TRUE)*100,"")</f>
        <v/>
      </c>
    </row>
    <row r="7387" spans="1:12" x14ac:dyDescent="0.35">
      <c r="A7387" s="3"/>
      <c r="B7387" s="2"/>
      <c r="C7387" s="2"/>
      <c r="D7387" s="2" t="b">
        <f>IF(AND(NOT(ISBLANK(Table1[[#This Row],[Fetal Sex (Male, Female or Unknown)]])),ISNUMBER(Table1[[#This Row],[Birthweight (grams)]]),ISNUMBER(Table1[[#This Row],[Gestation (days)]])),TRUE,FALSE)</f>
        <v>0</v>
      </c>
      <c r="E7387" s="2" t="str">
        <f>IF(Table1[[#This Row],[Is Data Valid]]=TRUE,IF(Table1[[#This Row],[Fetal Sex (Male, Female or Unknown)]]="Male",Backend!$C$6,IF(Table1[[#This Row],[Fetal Sex (Male, Female or Unknown)]]="Female",Backend!$C$7,IF(Table1[[#This Row],[Fetal Sex (Male, Female or Unknown)]]="Unknown",Backend!$C$8,"Error"))),"")</f>
        <v/>
      </c>
      <c r="F7387" s="8" t="str">
        <f>IF(Table1[[#This Row],[Is Data Valid]]=TRUE,EXP(0.578+0.332*((Table1[[#This Row],[Gestation (days)]]+0.5)/7)-0.00354*((Table1[[#This Row],[Gestation (days)]]+0.5)/7)^2)*Table1[[#This Row],[BW40_3705]],"")</f>
        <v/>
      </c>
      <c r="G7387" s="2" t="str">
        <f>IF(Table1[[#This Row],[Is Data Valid]]=TRUE,((Table1[[#This Row],[Birthweight (grams)]]/Table1[[#This Row],[BW_GA]])-1)/(Backend!$B$4/100*Table1[[#This Row],[BW40_3705]]),"")</f>
        <v/>
      </c>
      <c r="H7387" s="7" t="str">
        <f>IF(Table1[[#This Row],[Is Data Valid]]=TRUE,((Table1[[#This Row],[Birthweight (grams)]]*0.9/Table1[[#This Row],[BW_GA]])-1)/(Backend!$B$4/100*Table1[[#This Row],[BW40_3705]]),"")</f>
        <v/>
      </c>
      <c r="I7387" s="7" t="str">
        <f>IF(Table1[[#This Row],[Is Data Valid]]=TRUE,((Table1[[#This Row],[Birthweight (grams)]]*1.1/Table1[[#This Row],[BW_GA]])-1)/(Backend!$B$4/100*Table1[[#This Row],[BW40_3705]]),"")</f>
        <v/>
      </c>
      <c r="J7387" s="7" t="str">
        <f>IF(Table1[[#This Row],[Is Data Valid]]=TRUE,_xlfn.NORM.S.DIST(Table1[[#This Row],[Birthweight Z-Score]],TRUE)*100,"")</f>
        <v/>
      </c>
      <c r="K7387" s="7" t="str">
        <f>IF(Table1[[#This Row],[Is Data Valid]]=TRUE,_xlfn.NORM.S.DIST(Table1[[#This Row],[Birthweight Z-Score (BW-10%)]],TRUE)*100,"")</f>
        <v/>
      </c>
      <c r="L7387" s="7" t="str">
        <f>IF(Table1[[#This Row],[Is Data Valid]]=TRUE,_xlfn.NORM.S.DIST(Table1[[#This Row],[Birthweight Z-Score (BW+10%)]],TRUE)*100,"")</f>
        <v/>
      </c>
    </row>
    <row r="7388" spans="1:12" x14ac:dyDescent="0.35">
      <c r="A7388" s="3"/>
      <c r="B7388" s="2"/>
      <c r="C7388" s="2"/>
      <c r="D7388" s="2" t="b">
        <f>IF(AND(NOT(ISBLANK(Table1[[#This Row],[Fetal Sex (Male, Female or Unknown)]])),ISNUMBER(Table1[[#This Row],[Birthweight (grams)]]),ISNUMBER(Table1[[#This Row],[Gestation (days)]])),TRUE,FALSE)</f>
        <v>0</v>
      </c>
      <c r="E7388" s="2" t="str">
        <f>IF(Table1[[#This Row],[Is Data Valid]]=TRUE,IF(Table1[[#This Row],[Fetal Sex (Male, Female or Unknown)]]="Male",Backend!$C$6,IF(Table1[[#This Row],[Fetal Sex (Male, Female or Unknown)]]="Female",Backend!$C$7,IF(Table1[[#This Row],[Fetal Sex (Male, Female or Unknown)]]="Unknown",Backend!$C$8,"Error"))),"")</f>
        <v/>
      </c>
      <c r="F7388" s="8" t="str">
        <f>IF(Table1[[#This Row],[Is Data Valid]]=TRUE,EXP(0.578+0.332*((Table1[[#This Row],[Gestation (days)]]+0.5)/7)-0.00354*((Table1[[#This Row],[Gestation (days)]]+0.5)/7)^2)*Table1[[#This Row],[BW40_3705]],"")</f>
        <v/>
      </c>
      <c r="G7388" s="2" t="str">
        <f>IF(Table1[[#This Row],[Is Data Valid]]=TRUE,((Table1[[#This Row],[Birthweight (grams)]]/Table1[[#This Row],[BW_GA]])-1)/(Backend!$B$4/100*Table1[[#This Row],[BW40_3705]]),"")</f>
        <v/>
      </c>
      <c r="H7388" s="7" t="str">
        <f>IF(Table1[[#This Row],[Is Data Valid]]=TRUE,((Table1[[#This Row],[Birthweight (grams)]]*0.9/Table1[[#This Row],[BW_GA]])-1)/(Backend!$B$4/100*Table1[[#This Row],[BW40_3705]]),"")</f>
        <v/>
      </c>
      <c r="I7388" s="7" t="str">
        <f>IF(Table1[[#This Row],[Is Data Valid]]=TRUE,((Table1[[#This Row],[Birthweight (grams)]]*1.1/Table1[[#This Row],[BW_GA]])-1)/(Backend!$B$4/100*Table1[[#This Row],[BW40_3705]]),"")</f>
        <v/>
      </c>
      <c r="J7388" s="7" t="str">
        <f>IF(Table1[[#This Row],[Is Data Valid]]=TRUE,_xlfn.NORM.S.DIST(Table1[[#This Row],[Birthweight Z-Score]],TRUE)*100,"")</f>
        <v/>
      </c>
      <c r="K7388" s="7" t="str">
        <f>IF(Table1[[#This Row],[Is Data Valid]]=TRUE,_xlfn.NORM.S.DIST(Table1[[#This Row],[Birthweight Z-Score (BW-10%)]],TRUE)*100,"")</f>
        <v/>
      </c>
      <c r="L7388" s="7" t="str">
        <f>IF(Table1[[#This Row],[Is Data Valid]]=TRUE,_xlfn.NORM.S.DIST(Table1[[#This Row],[Birthweight Z-Score (BW+10%)]],TRUE)*100,"")</f>
        <v/>
      </c>
    </row>
    <row r="7389" spans="1:12" x14ac:dyDescent="0.35">
      <c r="A7389" s="3"/>
      <c r="B7389" s="2"/>
      <c r="C7389" s="2"/>
      <c r="D7389" s="2" t="b">
        <f>IF(AND(NOT(ISBLANK(Table1[[#This Row],[Fetal Sex (Male, Female or Unknown)]])),ISNUMBER(Table1[[#This Row],[Birthweight (grams)]]),ISNUMBER(Table1[[#This Row],[Gestation (days)]])),TRUE,FALSE)</f>
        <v>0</v>
      </c>
      <c r="E7389" s="2" t="str">
        <f>IF(Table1[[#This Row],[Is Data Valid]]=TRUE,IF(Table1[[#This Row],[Fetal Sex (Male, Female or Unknown)]]="Male",Backend!$C$6,IF(Table1[[#This Row],[Fetal Sex (Male, Female or Unknown)]]="Female",Backend!$C$7,IF(Table1[[#This Row],[Fetal Sex (Male, Female or Unknown)]]="Unknown",Backend!$C$8,"Error"))),"")</f>
        <v/>
      </c>
      <c r="F7389" s="8" t="str">
        <f>IF(Table1[[#This Row],[Is Data Valid]]=TRUE,EXP(0.578+0.332*((Table1[[#This Row],[Gestation (days)]]+0.5)/7)-0.00354*((Table1[[#This Row],[Gestation (days)]]+0.5)/7)^2)*Table1[[#This Row],[BW40_3705]],"")</f>
        <v/>
      </c>
      <c r="G7389" s="2" t="str">
        <f>IF(Table1[[#This Row],[Is Data Valid]]=TRUE,((Table1[[#This Row],[Birthweight (grams)]]/Table1[[#This Row],[BW_GA]])-1)/(Backend!$B$4/100*Table1[[#This Row],[BW40_3705]]),"")</f>
        <v/>
      </c>
      <c r="H7389" s="7" t="str">
        <f>IF(Table1[[#This Row],[Is Data Valid]]=TRUE,((Table1[[#This Row],[Birthweight (grams)]]*0.9/Table1[[#This Row],[BW_GA]])-1)/(Backend!$B$4/100*Table1[[#This Row],[BW40_3705]]),"")</f>
        <v/>
      </c>
      <c r="I7389" s="7" t="str">
        <f>IF(Table1[[#This Row],[Is Data Valid]]=TRUE,((Table1[[#This Row],[Birthweight (grams)]]*1.1/Table1[[#This Row],[BW_GA]])-1)/(Backend!$B$4/100*Table1[[#This Row],[BW40_3705]]),"")</f>
        <v/>
      </c>
      <c r="J7389" s="7" t="str">
        <f>IF(Table1[[#This Row],[Is Data Valid]]=TRUE,_xlfn.NORM.S.DIST(Table1[[#This Row],[Birthweight Z-Score]],TRUE)*100,"")</f>
        <v/>
      </c>
      <c r="K7389" s="7" t="str">
        <f>IF(Table1[[#This Row],[Is Data Valid]]=TRUE,_xlfn.NORM.S.DIST(Table1[[#This Row],[Birthweight Z-Score (BW-10%)]],TRUE)*100,"")</f>
        <v/>
      </c>
      <c r="L7389" s="7" t="str">
        <f>IF(Table1[[#This Row],[Is Data Valid]]=TRUE,_xlfn.NORM.S.DIST(Table1[[#This Row],[Birthweight Z-Score (BW+10%)]],TRUE)*100,"")</f>
        <v/>
      </c>
    </row>
    <row r="7390" spans="1:12" x14ac:dyDescent="0.35">
      <c r="A7390" s="3"/>
      <c r="B7390" s="2"/>
      <c r="C7390" s="2"/>
      <c r="D7390" s="2" t="b">
        <f>IF(AND(NOT(ISBLANK(Table1[[#This Row],[Fetal Sex (Male, Female or Unknown)]])),ISNUMBER(Table1[[#This Row],[Birthweight (grams)]]),ISNUMBER(Table1[[#This Row],[Gestation (days)]])),TRUE,FALSE)</f>
        <v>0</v>
      </c>
      <c r="E7390" s="2" t="str">
        <f>IF(Table1[[#This Row],[Is Data Valid]]=TRUE,IF(Table1[[#This Row],[Fetal Sex (Male, Female or Unknown)]]="Male",Backend!$C$6,IF(Table1[[#This Row],[Fetal Sex (Male, Female or Unknown)]]="Female",Backend!$C$7,IF(Table1[[#This Row],[Fetal Sex (Male, Female or Unknown)]]="Unknown",Backend!$C$8,"Error"))),"")</f>
        <v/>
      </c>
      <c r="F7390" s="8" t="str">
        <f>IF(Table1[[#This Row],[Is Data Valid]]=TRUE,EXP(0.578+0.332*((Table1[[#This Row],[Gestation (days)]]+0.5)/7)-0.00354*((Table1[[#This Row],[Gestation (days)]]+0.5)/7)^2)*Table1[[#This Row],[BW40_3705]],"")</f>
        <v/>
      </c>
      <c r="G7390" s="2" t="str">
        <f>IF(Table1[[#This Row],[Is Data Valid]]=TRUE,((Table1[[#This Row],[Birthweight (grams)]]/Table1[[#This Row],[BW_GA]])-1)/(Backend!$B$4/100*Table1[[#This Row],[BW40_3705]]),"")</f>
        <v/>
      </c>
      <c r="H7390" s="7" t="str">
        <f>IF(Table1[[#This Row],[Is Data Valid]]=TRUE,((Table1[[#This Row],[Birthweight (grams)]]*0.9/Table1[[#This Row],[BW_GA]])-1)/(Backend!$B$4/100*Table1[[#This Row],[BW40_3705]]),"")</f>
        <v/>
      </c>
      <c r="I7390" s="7" t="str">
        <f>IF(Table1[[#This Row],[Is Data Valid]]=TRUE,((Table1[[#This Row],[Birthweight (grams)]]*1.1/Table1[[#This Row],[BW_GA]])-1)/(Backend!$B$4/100*Table1[[#This Row],[BW40_3705]]),"")</f>
        <v/>
      </c>
      <c r="J7390" s="7" t="str">
        <f>IF(Table1[[#This Row],[Is Data Valid]]=TRUE,_xlfn.NORM.S.DIST(Table1[[#This Row],[Birthweight Z-Score]],TRUE)*100,"")</f>
        <v/>
      </c>
      <c r="K7390" s="7" t="str">
        <f>IF(Table1[[#This Row],[Is Data Valid]]=TRUE,_xlfn.NORM.S.DIST(Table1[[#This Row],[Birthweight Z-Score (BW-10%)]],TRUE)*100,"")</f>
        <v/>
      </c>
      <c r="L7390" s="7" t="str">
        <f>IF(Table1[[#This Row],[Is Data Valid]]=TRUE,_xlfn.NORM.S.DIST(Table1[[#This Row],[Birthweight Z-Score (BW+10%)]],TRUE)*100,"")</f>
        <v/>
      </c>
    </row>
    <row r="7391" spans="1:12" x14ac:dyDescent="0.35">
      <c r="A7391" s="3"/>
      <c r="B7391" s="2"/>
      <c r="C7391" s="2"/>
      <c r="D7391" s="2" t="b">
        <f>IF(AND(NOT(ISBLANK(Table1[[#This Row],[Fetal Sex (Male, Female or Unknown)]])),ISNUMBER(Table1[[#This Row],[Birthweight (grams)]]),ISNUMBER(Table1[[#This Row],[Gestation (days)]])),TRUE,FALSE)</f>
        <v>0</v>
      </c>
      <c r="E7391" s="2" t="str">
        <f>IF(Table1[[#This Row],[Is Data Valid]]=TRUE,IF(Table1[[#This Row],[Fetal Sex (Male, Female or Unknown)]]="Male",Backend!$C$6,IF(Table1[[#This Row],[Fetal Sex (Male, Female or Unknown)]]="Female",Backend!$C$7,IF(Table1[[#This Row],[Fetal Sex (Male, Female or Unknown)]]="Unknown",Backend!$C$8,"Error"))),"")</f>
        <v/>
      </c>
      <c r="F7391" s="8" t="str">
        <f>IF(Table1[[#This Row],[Is Data Valid]]=TRUE,EXP(0.578+0.332*((Table1[[#This Row],[Gestation (days)]]+0.5)/7)-0.00354*((Table1[[#This Row],[Gestation (days)]]+0.5)/7)^2)*Table1[[#This Row],[BW40_3705]],"")</f>
        <v/>
      </c>
      <c r="G7391" s="2" t="str">
        <f>IF(Table1[[#This Row],[Is Data Valid]]=TRUE,((Table1[[#This Row],[Birthweight (grams)]]/Table1[[#This Row],[BW_GA]])-1)/(Backend!$B$4/100*Table1[[#This Row],[BW40_3705]]),"")</f>
        <v/>
      </c>
      <c r="H7391" s="7" t="str">
        <f>IF(Table1[[#This Row],[Is Data Valid]]=TRUE,((Table1[[#This Row],[Birthweight (grams)]]*0.9/Table1[[#This Row],[BW_GA]])-1)/(Backend!$B$4/100*Table1[[#This Row],[BW40_3705]]),"")</f>
        <v/>
      </c>
      <c r="I7391" s="7" t="str">
        <f>IF(Table1[[#This Row],[Is Data Valid]]=TRUE,((Table1[[#This Row],[Birthweight (grams)]]*1.1/Table1[[#This Row],[BW_GA]])-1)/(Backend!$B$4/100*Table1[[#This Row],[BW40_3705]]),"")</f>
        <v/>
      </c>
      <c r="J7391" s="7" t="str">
        <f>IF(Table1[[#This Row],[Is Data Valid]]=TRUE,_xlfn.NORM.S.DIST(Table1[[#This Row],[Birthweight Z-Score]],TRUE)*100,"")</f>
        <v/>
      </c>
      <c r="K7391" s="7" t="str">
        <f>IF(Table1[[#This Row],[Is Data Valid]]=TRUE,_xlfn.NORM.S.DIST(Table1[[#This Row],[Birthweight Z-Score (BW-10%)]],TRUE)*100,"")</f>
        <v/>
      </c>
      <c r="L7391" s="7" t="str">
        <f>IF(Table1[[#This Row],[Is Data Valid]]=TRUE,_xlfn.NORM.S.DIST(Table1[[#This Row],[Birthweight Z-Score (BW+10%)]],TRUE)*100,"")</f>
        <v/>
      </c>
    </row>
    <row r="7392" spans="1:12" x14ac:dyDescent="0.35">
      <c r="A7392" s="3"/>
      <c r="B7392" s="2"/>
      <c r="C7392" s="2"/>
      <c r="D7392" s="2" t="b">
        <f>IF(AND(NOT(ISBLANK(Table1[[#This Row],[Fetal Sex (Male, Female or Unknown)]])),ISNUMBER(Table1[[#This Row],[Birthweight (grams)]]),ISNUMBER(Table1[[#This Row],[Gestation (days)]])),TRUE,FALSE)</f>
        <v>0</v>
      </c>
      <c r="E7392" s="2" t="str">
        <f>IF(Table1[[#This Row],[Is Data Valid]]=TRUE,IF(Table1[[#This Row],[Fetal Sex (Male, Female or Unknown)]]="Male",Backend!$C$6,IF(Table1[[#This Row],[Fetal Sex (Male, Female or Unknown)]]="Female",Backend!$C$7,IF(Table1[[#This Row],[Fetal Sex (Male, Female or Unknown)]]="Unknown",Backend!$C$8,"Error"))),"")</f>
        <v/>
      </c>
      <c r="F7392" s="8" t="str">
        <f>IF(Table1[[#This Row],[Is Data Valid]]=TRUE,EXP(0.578+0.332*((Table1[[#This Row],[Gestation (days)]]+0.5)/7)-0.00354*((Table1[[#This Row],[Gestation (days)]]+0.5)/7)^2)*Table1[[#This Row],[BW40_3705]],"")</f>
        <v/>
      </c>
      <c r="G7392" s="2" t="str">
        <f>IF(Table1[[#This Row],[Is Data Valid]]=TRUE,((Table1[[#This Row],[Birthweight (grams)]]/Table1[[#This Row],[BW_GA]])-1)/(Backend!$B$4/100*Table1[[#This Row],[BW40_3705]]),"")</f>
        <v/>
      </c>
      <c r="H7392" s="7" t="str">
        <f>IF(Table1[[#This Row],[Is Data Valid]]=TRUE,((Table1[[#This Row],[Birthweight (grams)]]*0.9/Table1[[#This Row],[BW_GA]])-1)/(Backend!$B$4/100*Table1[[#This Row],[BW40_3705]]),"")</f>
        <v/>
      </c>
      <c r="I7392" s="7" t="str">
        <f>IF(Table1[[#This Row],[Is Data Valid]]=TRUE,((Table1[[#This Row],[Birthweight (grams)]]*1.1/Table1[[#This Row],[BW_GA]])-1)/(Backend!$B$4/100*Table1[[#This Row],[BW40_3705]]),"")</f>
        <v/>
      </c>
      <c r="J7392" s="7" t="str">
        <f>IF(Table1[[#This Row],[Is Data Valid]]=TRUE,_xlfn.NORM.S.DIST(Table1[[#This Row],[Birthweight Z-Score]],TRUE)*100,"")</f>
        <v/>
      </c>
      <c r="K7392" s="7" t="str">
        <f>IF(Table1[[#This Row],[Is Data Valid]]=TRUE,_xlfn.NORM.S.DIST(Table1[[#This Row],[Birthweight Z-Score (BW-10%)]],TRUE)*100,"")</f>
        <v/>
      </c>
      <c r="L7392" s="7" t="str">
        <f>IF(Table1[[#This Row],[Is Data Valid]]=TRUE,_xlfn.NORM.S.DIST(Table1[[#This Row],[Birthweight Z-Score (BW+10%)]],TRUE)*100,"")</f>
        <v/>
      </c>
    </row>
    <row r="7393" spans="1:12" x14ac:dyDescent="0.35">
      <c r="A7393" s="3"/>
      <c r="B7393" s="2"/>
      <c r="C7393" s="2"/>
      <c r="D7393" s="2" t="b">
        <f>IF(AND(NOT(ISBLANK(Table1[[#This Row],[Fetal Sex (Male, Female or Unknown)]])),ISNUMBER(Table1[[#This Row],[Birthweight (grams)]]),ISNUMBER(Table1[[#This Row],[Gestation (days)]])),TRUE,FALSE)</f>
        <v>0</v>
      </c>
      <c r="E7393" s="2" t="str">
        <f>IF(Table1[[#This Row],[Is Data Valid]]=TRUE,IF(Table1[[#This Row],[Fetal Sex (Male, Female or Unknown)]]="Male",Backend!$C$6,IF(Table1[[#This Row],[Fetal Sex (Male, Female or Unknown)]]="Female",Backend!$C$7,IF(Table1[[#This Row],[Fetal Sex (Male, Female or Unknown)]]="Unknown",Backend!$C$8,"Error"))),"")</f>
        <v/>
      </c>
      <c r="F7393" s="8" t="str">
        <f>IF(Table1[[#This Row],[Is Data Valid]]=TRUE,EXP(0.578+0.332*((Table1[[#This Row],[Gestation (days)]]+0.5)/7)-0.00354*((Table1[[#This Row],[Gestation (days)]]+0.5)/7)^2)*Table1[[#This Row],[BW40_3705]],"")</f>
        <v/>
      </c>
      <c r="G7393" s="2" t="str">
        <f>IF(Table1[[#This Row],[Is Data Valid]]=TRUE,((Table1[[#This Row],[Birthweight (grams)]]/Table1[[#This Row],[BW_GA]])-1)/(Backend!$B$4/100*Table1[[#This Row],[BW40_3705]]),"")</f>
        <v/>
      </c>
      <c r="H7393" s="7" t="str">
        <f>IF(Table1[[#This Row],[Is Data Valid]]=TRUE,((Table1[[#This Row],[Birthweight (grams)]]*0.9/Table1[[#This Row],[BW_GA]])-1)/(Backend!$B$4/100*Table1[[#This Row],[BW40_3705]]),"")</f>
        <v/>
      </c>
      <c r="I7393" s="7" t="str">
        <f>IF(Table1[[#This Row],[Is Data Valid]]=TRUE,((Table1[[#This Row],[Birthweight (grams)]]*1.1/Table1[[#This Row],[BW_GA]])-1)/(Backend!$B$4/100*Table1[[#This Row],[BW40_3705]]),"")</f>
        <v/>
      </c>
      <c r="J7393" s="7" t="str">
        <f>IF(Table1[[#This Row],[Is Data Valid]]=TRUE,_xlfn.NORM.S.DIST(Table1[[#This Row],[Birthweight Z-Score]],TRUE)*100,"")</f>
        <v/>
      </c>
      <c r="K7393" s="7" t="str">
        <f>IF(Table1[[#This Row],[Is Data Valid]]=TRUE,_xlfn.NORM.S.DIST(Table1[[#This Row],[Birthweight Z-Score (BW-10%)]],TRUE)*100,"")</f>
        <v/>
      </c>
      <c r="L7393" s="7" t="str">
        <f>IF(Table1[[#This Row],[Is Data Valid]]=TRUE,_xlfn.NORM.S.DIST(Table1[[#This Row],[Birthweight Z-Score (BW+10%)]],TRUE)*100,"")</f>
        <v/>
      </c>
    </row>
    <row r="7394" spans="1:12" x14ac:dyDescent="0.35">
      <c r="A7394" s="3"/>
      <c r="B7394" s="2"/>
      <c r="C7394" s="2"/>
      <c r="D7394" s="2" t="b">
        <f>IF(AND(NOT(ISBLANK(Table1[[#This Row],[Fetal Sex (Male, Female or Unknown)]])),ISNUMBER(Table1[[#This Row],[Birthweight (grams)]]),ISNUMBER(Table1[[#This Row],[Gestation (days)]])),TRUE,FALSE)</f>
        <v>0</v>
      </c>
      <c r="E7394" s="2" t="str">
        <f>IF(Table1[[#This Row],[Is Data Valid]]=TRUE,IF(Table1[[#This Row],[Fetal Sex (Male, Female or Unknown)]]="Male",Backend!$C$6,IF(Table1[[#This Row],[Fetal Sex (Male, Female or Unknown)]]="Female",Backend!$C$7,IF(Table1[[#This Row],[Fetal Sex (Male, Female or Unknown)]]="Unknown",Backend!$C$8,"Error"))),"")</f>
        <v/>
      </c>
      <c r="F7394" s="8" t="str">
        <f>IF(Table1[[#This Row],[Is Data Valid]]=TRUE,EXP(0.578+0.332*((Table1[[#This Row],[Gestation (days)]]+0.5)/7)-0.00354*((Table1[[#This Row],[Gestation (days)]]+0.5)/7)^2)*Table1[[#This Row],[BW40_3705]],"")</f>
        <v/>
      </c>
      <c r="G7394" s="2" t="str">
        <f>IF(Table1[[#This Row],[Is Data Valid]]=TRUE,((Table1[[#This Row],[Birthweight (grams)]]/Table1[[#This Row],[BW_GA]])-1)/(Backend!$B$4/100*Table1[[#This Row],[BW40_3705]]),"")</f>
        <v/>
      </c>
      <c r="H7394" s="7" t="str">
        <f>IF(Table1[[#This Row],[Is Data Valid]]=TRUE,((Table1[[#This Row],[Birthweight (grams)]]*0.9/Table1[[#This Row],[BW_GA]])-1)/(Backend!$B$4/100*Table1[[#This Row],[BW40_3705]]),"")</f>
        <v/>
      </c>
      <c r="I7394" s="7" t="str">
        <f>IF(Table1[[#This Row],[Is Data Valid]]=TRUE,((Table1[[#This Row],[Birthweight (grams)]]*1.1/Table1[[#This Row],[BW_GA]])-1)/(Backend!$B$4/100*Table1[[#This Row],[BW40_3705]]),"")</f>
        <v/>
      </c>
      <c r="J7394" s="7" t="str">
        <f>IF(Table1[[#This Row],[Is Data Valid]]=TRUE,_xlfn.NORM.S.DIST(Table1[[#This Row],[Birthweight Z-Score]],TRUE)*100,"")</f>
        <v/>
      </c>
      <c r="K7394" s="7" t="str">
        <f>IF(Table1[[#This Row],[Is Data Valid]]=TRUE,_xlfn.NORM.S.DIST(Table1[[#This Row],[Birthweight Z-Score (BW-10%)]],TRUE)*100,"")</f>
        <v/>
      </c>
      <c r="L7394" s="7" t="str">
        <f>IF(Table1[[#This Row],[Is Data Valid]]=TRUE,_xlfn.NORM.S.DIST(Table1[[#This Row],[Birthweight Z-Score (BW+10%)]],TRUE)*100,"")</f>
        <v/>
      </c>
    </row>
    <row r="7395" spans="1:12" x14ac:dyDescent="0.35">
      <c r="A7395" s="3"/>
      <c r="B7395" s="2"/>
      <c r="C7395" s="2"/>
      <c r="D7395" s="2" t="b">
        <f>IF(AND(NOT(ISBLANK(Table1[[#This Row],[Fetal Sex (Male, Female or Unknown)]])),ISNUMBER(Table1[[#This Row],[Birthweight (grams)]]),ISNUMBER(Table1[[#This Row],[Gestation (days)]])),TRUE,FALSE)</f>
        <v>0</v>
      </c>
      <c r="E7395" s="2" t="str">
        <f>IF(Table1[[#This Row],[Is Data Valid]]=TRUE,IF(Table1[[#This Row],[Fetal Sex (Male, Female or Unknown)]]="Male",Backend!$C$6,IF(Table1[[#This Row],[Fetal Sex (Male, Female or Unknown)]]="Female",Backend!$C$7,IF(Table1[[#This Row],[Fetal Sex (Male, Female or Unknown)]]="Unknown",Backend!$C$8,"Error"))),"")</f>
        <v/>
      </c>
      <c r="F7395" s="8" t="str">
        <f>IF(Table1[[#This Row],[Is Data Valid]]=TRUE,EXP(0.578+0.332*((Table1[[#This Row],[Gestation (days)]]+0.5)/7)-0.00354*((Table1[[#This Row],[Gestation (days)]]+0.5)/7)^2)*Table1[[#This Row],[BW40_3705]],"")</f>
        <v/>
      </c>
      <c r="G7395" s="2" t="str">
        <f>IF(Table1[[#This Row],[Is Data Valid]]=TRUE,((Table1[[#This Row],[Birthweight (grams)]]/Table1[[#This Row],[BW_GA]])-1)/(Backend!$B$4/100*Table1[[#This Row],[BW40_3705]]),"")</f>
        <v/>
      </c>
      <c r="H7395" s="7" t="str">
        <f>IF(Table1[[#This Row],[Is Data Valid]]=TRUE,((Table1[[#This Row],[Birthweight (grams)]]*0.9/Table1[[#This Row],[BW_GA]])-1)/(Backend!$B$4/100*Table1[[#This Row],[BW40_3705]]),"")</f>
        <v/>
      </c>
      <c r="I7395" s="7" t="str">
        <f>IF(Table1[[#This Row],[Is Data Valid]]=TRUE,((Table1[[#This Row],[Birthweight (grams)]]*1.1/Table1[[#This Row],[BW_GA]])-1)/(Backend!$B$4/100*Table1[[#This Row],[BW40_3705]]),"")</f>
        <v/>
      </c>
      <c r="J7395" s="7" t="str">
        <f>IF(Table1[[#This Row],[Is Data Valid]]=TRUE,_xlfn.NORM.S.DIST(Table1[[#This Row],[Birthweight Z-Score]],TRUE)*100,"")</f>
        <v/>
      </c>
      <c r="K7395" s="7" t="str">
        <f>IF(Table1[[#This Row],[Is Data Valid]]=TRUE,_xlfn.NORM.S.DIST(Table1[[#This Row],[Birthweight Z-Score (BW-10%)]],TRUE)*100,"")</f>
        <v/>
      </c>
      <c r="L7395" s="7" t="str">
        <f>IF(Table1[[#This Row],[Is Data Valid]]=TRUE,_xlfn.NORM.S.DIST(Table1[[#This Row],[Birthweight Z-Score (BW+10%)]],TRUE)*100,"")</f>
        <v/>
      </c>
    </row>
    <row r="7396" spans="1:12" x14ac:dyDescent="0.35">
      <c r="A7396" s="3"/>
      <c r="B7396" s="2"/>
      <c r="C7396" s="2"/>
      <c r="D7396" s="2" t="b">
        <f>IF(AND(NOT(ISBLANK(Table1[[#This Row],[Fetal Sex (Male, Female or Unknown)]])),ISNUMBER(Table1[[#This Row],[Birthweight (grams)]]),ISNUMBER(Table1[[#This Row],[Gestation (days)]])),TRUE,FALSE)</f>
        <v>0</v>
      </c>
      <c r="E7396" s="2" t="str">
        <f>IF(Table1[[#This Row],[Is Data Valid]]=TRUE,IF(Table1[[#This Row],[Fetal Sex (Male, Female or Unknown)]]="Male",Backend!$C$6,IF(Table1[[#This Row],[Fetal Sex (Male, Female or Unknown)]]="Female",Backend!$C$7,IF(Table1[[#This Row],[Fetal Sex (Male, Female or Unknown)]]="Unknown",Backend!$C$8,"Error"))),"")</f>
        <v/>
      </c>
      <c r="F7396" s="8" t="str">
        <f>IF(Table1[[#This Row],[Is Data Valid]]=TRUE,EXP(0.578+0.332*((Table1[[#This Row],[Gestation (days)]]+0.5)/7)-0.00354*((Table1[[#This Row],[Gestation (days)]]+0.5)/7)^2)*Table1[[#This Row],[BW40_3705]],"")</f>
        <v/>
      </c>
      <c r="G7396" s="2" t="str">
        <f>IF(Table1[[#This Row],[Is Data Valid]]=TRUE,((Table1[[#This Row],[Birthweight (grams)]]/Table1[[#This Row],[BW_GA]])-1)/(Backend!$B$4/100*Table1[[#This Row],[BW40_3705]]),"")</f>
        <v/>
      </c>
      <c r="H7396" s="7" t="str">
        <f>IF(Table1[[#This Row],[Is Data Valid]]=TRUE,((Table1[[#This Row],[Birthweight (grams)]]*0.9/Table1[[#This Row],[BW_GA]])-1)/(Backend!$B$4/100*Table1[[#This Row],[BW40_3705]]),"")</f>
        <v/>
      </c>
      <c r="I7396" s="7" t="str">
        <f>IF(Table1[[#This Row],[Is Data Valid]]=TRUE,((Table1[[#This Row],[Birthweight (grams)]]*1.1/Table1[[#This Row],[BW_GA]])-1)/(Backend!$B$4/100*Table1[[#This Row],[BW40_3705]]),"")</f>
        <v/>
      </c>
      <c r="J7396" s="7" t="str">
        <f>IF(Table1[[#This Row],[Is Data Valid]]=TRUE,_xlfn.NORM.S.DIST(Table1[[#This Row],[Birthweight Z-Score]],TRUE)*100,"")</f>
        <v/>
      </c>
      <c r="K7396" s="7" t="str">
        <f>IF(Table1[[#This Row],[Is Data Valid]]=TRUE,_xlfn.NORM.S.DIST(Table1[[#This Row],[Birthweight Z-Score (BW-10%)]],TRUE)*100,"")</f>
        <v/>
      </c>
      <c r="L7396" s="7" t="str">
        <f>IF(Table1[[#This Row],[Is Data Valid]]=TRUE,_xlfn.NORM.S.DIST(Table1[[#This Row],[Birthweight Z-Score (BW+10%)]],TRUE)*100,"")</f>
        <v/>
      </c>
    </row>
    <row r="7397" spans="1:12" x14ac:dyDescent="0.35">
      <c r="A7397" s="3"/>
      <c r="B7397" s="2"/>
      <c r="C7397" s="2"/>
      <c r="D7397" s="2" t="b">
        <f>IF(AND(NOT(ISBLANK(Table1[[#This Row],[Fetal Sex (Male, Female or Unknown)]])),ISNUMBER(Table1[[#This Row],[Birthweight (grams)]]),ISNUMBER(Table1[[#This Row],[Gestation (days)]])),TRUE,FALSE)</f>
        <v>0</v>
      </c>
      <c r="E7397" s="2" t="str">
        <f>IF(Table1[[#This Row],[Is Data Valid]]=TRUE,IF(Table1[[#This Row],[Fetal Sex (Male, Female or Unknown)]]="Male",Backend!$C$6,IF(Table1[[#This Row],[Fetal Sex (Male, Female or Unknown)]]="Female",Backend!$C$7,IF(Table1[[#This Row],[Fetal Sex (Male, Female or Unknown)]]="Unknown",Backend!$C$8,"Error"))),"")</f>
        <v/>
      </c>
      <c r="F7397" s="8" t="str">
        <f>IF(Table1[[#This Row],[Is Data Valid]]=TRUE,EXP(0.578+0.332*((Table1[[#This Row],[Gestation (days)]]+0.5)/7)-0.00354*((Table1[[#This Row],[Gestation (days)]]+0.5)/7)^2)*Table1[[#This Row],[BW40_3705]],"")</f>
        <v/>
      </c>
      <c r="G7397" s="2" t="str">
        <f>IF(Table1[[#This Row],[Is Data Valid]]=TRUE,((Table1[[#This Row],[Birthweight (grams)]]/Table1[[#This Row],[BW_GA]])-1)/(Backend!$B$4/100*Table1[[#This Row],[BW40_3705]]),"")</f>
        <v/>
      </c>
      <c r="H7397" s="7" t="str">
        <f>IF(Table1[[#This Row],[Is Data Valid]]=TRUE,((Table1[[#This Row],[Birthweight (grams)]]*0.9/Table1[[#This Row],[BW_GA]])-1)/(Backend!$B$4/100*Table1[[#This Row],[BW40_3705]]),"")</f>
        <v/>
      </c>
      <c r="I7397" s="7" t="str">
        <f>IF(Table1[[#This Row],[Is Data Valid]]=TRUE,((Table1[[#This Row],[Birthweight (grams)]]*1.1/Table1[[#This Row],[BW_GA]])-1)/(Backend!$B$4/100*Table1[[#This Row],[BW40_3705]]),"")</f>
        <v/>
      </c>
      <c r="J7397" s="7" t="str">
        <f>IF(Table1[[#This Row],[Is Data Valid]]=TRUE,_xlfn.NORM.S.DIST(Table1[[#This Row],[Birthweight Z-Score]],TRUE)*100,"")</f>
        <v/>
      </c>
      <c r="K7397" s="7" t="str">
        <f>IF(Table1[[#This Row],[Is Data Valid]]=TRUE,_xlfn.NORM.S.DIST(Table1[[#This Row],[Birthweight Z-Score (BW-10%)]],TRUE)*100,"")</f>
        <v/>
      </c>
      <c r="L7397" s="7" t="str">
        <f>IF(Table1[[#This Row],[Is Data Valid]]=TRUE,_xlfn.NORM.S.DIST(Table1[[#This Row],[Birthweight Z-Score (BW+10%)]],TRUE)*100,"")</f>
        <v/>
      </c>
    </row>
    <row r="7398" spans="1:12" x14ac:dyDescent="0.35">
      <c r="A7398" s="3"/>
      <c r="B7398" s="2"/>
      <c r="C7398" s="2"/>
      <c r="D7398" s="2" t="b">
        <f>IF(AND(NOT(ISBLANK(Table1[[#This Row],[Fetal Sex (Male, Female or Unknown)]])),ISNUMBER(Table1[[#This Row],[Birthweight (grams)]]),ISNUMBER(Table1[[#This Row],[Gestation (days)]])),TRUE,FALSE)</f>
        <v>0</v>
      </c>
      <c r="E7398" s="2" t="str">
        <f>IF(Table1[[#This Row],[Is Data Valid]]=TRUE,IF(Table1[[#This Row],[Fetal Sex (Male, Female or Unknown)]]="Male",Backend!$C$6,IF(Table1[[#This Row],[Fetal Sex (Male, Female or Unknown)]]="Female",Backend!$C$7,IF(Table1[[#This Row],[Fetal Sex (Male, Female or Unknown)]]="Unknown",Backend!$C$8,"Error"))),"")</f>
        <v/>
      </c>
      <c r="F7398" s="8" t="str">
        <f>IF(Table1[[#This Row],[Is Data Valid]]=TRUE,EXP(0.578+0.332*((Table1[[#This Row],[Gestation (days)]]+0.5)/7)-0.00354*((Table1[[#This Row],[Gestation (days)]]+0.5)/7)^2)*Table1[[#This Row],[BW40_3705]],"")</f>
        <v/>
      </c>
      <c r="G7398" s="2" t="str">
        <f>IF(Table1[[#This Row],[Is Data Valid]]=TRUE,((Table1[[#This Row],[Birthweight (grams)]]/Table1[[#This Row],[BW_GA]])-1)/(Backend!$B$4/100*Table1[[#This Row],[BW40_3705]]),"")</f>
        <v/>
      </c>
      <c r="H7398" s="7" t="str">
        <f>IF(Table1[[#This Row],[Is Data Valid]]=TRUE,((Table1[[#This Row],[Birthweight (grams)]]*0.9/Table1[[#This Row],[BW_GA]])-1)/(Backend!$B$4/100*Table1[[#This Row],[BW40_3705]]),"")</f>
        <v/>
      </c>
      <c r="I7398" s="7" t="str">
        <f>IF(Table1[[#This Row],[Is Data Valid]]=TRUE,((Table1[[#This Row],[Birthweight (grams)]]*1.1/Table1[[#This Row],[BW_GA]])-1)/(Backend!$B$4/100*Table1[[#This Row],[BW40_3705]]),"")</f>
        <v/>
      </c>
      <c r="J7398" s="7" t="str">
        <f>IF(Table1[[#This Row],[Is Data Valid]]=TRUE,_xlfn.NORM.S.DIST(Table1[[#This Row],[Birthweight Z-Score]],TRUE)*100,"")</f>
        <v/>
      </c>
      <c r="K7398" s="7" t="str">
        <f>IF(Table1[[#This Row],[Is Data Valid]]=TRUE,_xlfn.NORM.S.DIST(Table1[[#This Row],[Birthweight Z-Score (BW-10%)]],TRUE)*100,"")</f>
        <v/>
      </c>
      <c r="L7398" s="7" t="str">
        <f>IF(Table1[[#This Row],[Is Data Valid]]=TRUE,_xlfn.NORM.S.DIST(Table1[[#This Row],[Birthweight Z-Score (BW+10%)]],TRUE)*100,"")</f>
        <v/>
      </c>
    </row>
    <row r="7399" spans="1:12" x14ac:dyDescent="0.35">
      <c r="A7399" s="3"/>
      <c r="B7399" s="2"/>
      <c r="C7399" s="2"/>
      <c r="D7399" s="2" t="b">
        <f>IF(AND(NOT(ISBLANK(Table1[[#This Row],[Fetal Sex (Male, Female or Unknown)]])),ISNUMBER(Table1[[#This Row],[Birthweight (grams)]]),ISNUMBER(Table1[[#This Row],[Gestation (days)]])),TRUE,FALSE)</f>
        <v>0</v>
      </c>
      <c r="E7399" s="2" t="str">
        <f>IF(Table1[[#This Row],[Is Data Valid]]=TRUE,IF(Table1[[#This Row],[Fetal Sex (Male, Female or Unknown)]]="Male",Backend!$C$6,IF(Table1[[#This Row],[Fetal Sex (Male, Female or Unknown)]]="Female",Backend!$C$7,IF(Table1[[#This Row],[Fetal Sex (Male, Female or Unknown)]]="Unknown",Backend!$C$8,"Error"))),"")</f>
        <v/>
      </c>
      <c r="F7399" s="8" t="str">
        <f>IF(Table1[[#This Row],[Is Data Valid]]=TRUE,EXP(0.578+0.332*((Table1[[#This Row],[Gestation (days)]]+0.5)/7)-0.00354*((Table1[[#This Row],[Gestation (days)]]+0.5)/7)^2)*Table1[[#This Row],[BW40_3705]],"")</f>
        <v/>
      </c>
      <c r="G7399" s="2" t="str">
        <f>IF(Table1[[#This Row],[Is Data Valid]]=TRUE,((Table1[[#This Row],[Birthweight (grams)]]/Table1[[#This Row],[BW_GA]])-1)/(Backend!$B$4/100*Table1[[#This Row],[BW40_3705]]),"")</f>
        <v/>
      </c>
      <c r="H7399" s="7" t="str">
        <f>IF(Table1[[#This Row],[Is Data Valid]]=TRUE,((Table1[[#This Row],[Birthweight (grams)]]*0.9/Table1[[#This Row],[BW_GA]])-1)/(Backend!$B$4/100*Table1[[#This Row],[BW40_3705]]),"")</f>
        <v/>
      </c>
      <c r="I7399" s="7" t="str">
        <f>IF(Table1[[#This Row],[Is Data Valid]]=TRUE,((Table1[[#This Row],[Birthweight (grams)]]*1.1/Table1[[#This Row],[BW_GA]])-1)/(Backend!$B$4/100*Table1[[#This Row],[BW40_3705]]),"")</f>
        <v/>
      </c>
      <c r="J7399" s="7" t="str">
        <f>IF(Table1[[#This Row],[Is Data Valid]]=TRUE,_xlfn.NORM.S.DIST(Table1[[#This Row],[Birthweight Z-Score]],TRUE)*100,"")</f>
        <v/>
      </c>
      <c r="K7399" s="7" t="str">
        <f>IF(Table1[[#This Row],[Is Data Valid]]=TRUE,_xlfn.NORM.S.DIST(Table1[[#This Row],[Birthweight Z-Score (BW-10%)]],TRUE)*100,"")</f>
        <v/>
      </c>
      <c r="L7399" s="7" t="str">
        <f>IF(Table1[[#This Row],[Is Data Valid]]=TRUE,_xlfn.NORM.S.DIST(Table1[[#This Row],[Birthweight Z-Score (BW+10%)]],TRUE)*100,"")</f>
        <v/>
      </c>
    </row>
    <row r="7400" spans="1:12" x14ac:dyDescent="0.35">
      <c r="A7400" s="3"/>
      <c r="B7400" s="2"/>
      <c r="C7400" s="2"/>
      <c r="D7400" s="2" t="b">
        <f>IF(AND(NOT(ISBLANK(Table1[[#This Row],[Fetal Sex (Male, Female or Unknown)]])),ISNUMBER(Table1[[#This Row],[Birthweight (grams)]]),ISNUMBER(Table1[[#This Row],[Gestation (days)]])),TRUE,FALSE)</f>
        <v>0</v>
      </c>
      <c r="E7400" s="2" t="str">
        <f>IF(Table1[[#This Row],[Is Data Valid]]=TRUE,IF(Table1[[#This Row],[Fetal Sex (Male, Female or Unknown)]]="Male",Backend!$C$6,IF(Table1[[#This Row],[Fetal Sex (Male, Female or Unknown)]]="Female",Backend!$C$7,IF(Table1[[#This Row],[Fetal Sex (Male, Female or Unknown)]]="Unknown",Backend!$C$8,"Error"))),"")</f>
        <v/>
      </c>
      <c r="F7400" s="8" t="str">
        <f>IF(Table1[[#This Row],[Is Data Valid]]=TRUE,EXP(0.578+0.332*((Table1[[#This Row],[Gestation (days)]]+0.5)/7)-0.00354*((Table1[[#This Row],[Gestation (days)]]+0.5)/7)^2)*Table1[[#This Row],[BW40_3705]],"")</f>
        <v/>
      </c>
      <c r="G7400" s="2" t="str">
        <f>IF(Table1[[#This Row],[Is Data Valid]]=TRUE,((Table1[[#This Row],[Birthweight (grams)]]/Table1[[#This Row],[BW_GA]])-1)/(Backend!$B$4/100*Table1[[#This Row],[BW40_3705]]),"")</f>
        <v/>
      </c>
      <c r="H7400" s="7" t="str">
        <f>IF(Table1[[#This Row],[Is Data Valid]]=TRUE,((Table1[[#This Row],[Birthweight (grams)]]*0.9/Table1[[#This Row],[BW_GA]])-1)/(Backend!$B$4/100*Table1[[#This Row],[BW40_3705]]),"")</f>
        <v/>
      </c>
      <c r="I7400" s="7" t="str">
        <f>IF(Table1[[#This Row],[Is Data Valid]]=TRUE,((Table1[[#This Row],[Birthweight (grams)]]*1.1/Table1[[#This Row],[BW_GA]])-1)/(Backend!$B$4/100*Table1[[#This Row],[BW40_3705]]),"")</f>
        <v/>
      </c>
      <c r="J7400" s="7" t="str">
        <f>IF(Table1[[#This Row],[Is Data Valid]]=TRUE,_xlfn.NORM.S.DIST(Table1[[#This Row],[Birthweight Z-Score]],TRUE)*100,"")</f>
        <v/>
      </c>
      <c r="K7400" s="7" t="str">
        <f>IF(Table1[[#This Row],[Is Data Valid]]=TRUE,_xlfn.NORM.S.DIST(Table1[[#This Row],[Birthweight Z-Score (BW-10%)]],TRUE)*100,"")</f>
        <v/>
      </c>
      <c r="L7400" s="7" t="str">
        <f>IF(Table1[[#This Row],[Is Data Valid]]=TRUE,_xlfn.NORM.S.DIST(Table1[[#This Row],[Birthweight Z-Score (BW+10%)]],TRUE)*100,"")</f>
        <v/>
      </c>
    </row>
    <row r="7401" spans="1:12" x14ac:dyDescent="0.35">
      <c r="A7401" s="3"/>
      <c r="B7401" s="2"/>
      <c r="C7401" s="2"/>
      <c r="D7401" s="2" t="b">
        <f>IF(AND(NOT(ISBLANK(Table1[[#This Row],[Fetal Sex (Male, Female or Unknown)]])),ISNUMBER(Table1[[#This Row],[Birthweight (grams)]]),ISNUMBER(Table1[[#This Row],[Gestation (days)]])),TRUE,FALSE)</f>
        <v>0</v>
      </c>
      <c r="E7401" s="2" t="str">
        <f>IF(Table1[[#This Row],[Is Data Valid]]=TRUE,IF(Table1[[#This Row],[Fetal Sex (Male, Female or Unknown)]]="Male",Backend!$C$6,IF(Table1[[#This Row],[Fetal Sex (Male, Female or Unknown)]]="Female",Backend!$C$7,IF(Table1[[#This Row],[Fetal Sex (Male, Female or Unknown)]]="Unknown",Backend!$C$8,"Error"))),"")</f>
        <v/>
      </c>
      <c r="F7401" s="8" t="str">
        <f>IF(Table1[[#This Row],[Is Data Valid]]=TRUE,EXP(0.578+0.332*((Table1[[#This Row],[Gestation (days)]]+0.5)/7)-0.00354*((Table1[[#This Row],[Gestation (days)]]+0.5)/7)^2)*Table1[[#This Row],[BW40_3705]],"")</f>
        <v/>
      </c>
      <c r="G7401" s="2" t="str">
        <f>IF(Table1[[#This Row],[Is Data Valid]]=TRUE,((Table1[[#This Row],[Birthweight (grams)]]/Table1[[#This Row],[BW_GA]])-1)/(Backend!$B$4/100*Table1[[#This Row],[BW40_3705]]),"")</f>
        <v/>
      </c>
      <c r="H7401" s="7" t="str">
        <f>IF(Table1[[#This Row],[Is Data Valid]]=TRUE,((Table1[[#This Row],[Birthweight (grams)]]*0.9/Table1[[#This Row],[BW_GA]])-1)/(Backend!$B$4/100*Table1[[#This Row],[BW40_3705]]),"")</f>
        <v/>
      </c>
      <c r="I7401" s="7" t="str">
        <f>IF(Table1[[#This Row],[Is Data Valid]]=TRUE,((Table1[[#This Row],[Birthweight (grams)]]*1.1/Table1[[#This Row],[BW_GA]])-1)/(Backend!$B$4/100*Table1[[#This Row],[BW40_3705]]),"")</f>
        <v/>
      </c>
      <c r="J7401" s="7" t="str">
        <f>IF(Table1[[#This Row],[Is Data Valid]]=TRUE,_xlfn.NORM.S.DIST(Table1[[#This Row],[Birthweight Z-Score]],TRUE)*100,"")</f>
        <v/>
      </c>
      <c r="K7401" s="7" t="str">
        <f>IF(Table1[[#This Row],[Is Data Valid]]=TRUE,_xlfn.NORM.S.DIST(Table1[[#This Row],[Birthweight Z-Score (BW-10%)]],TRUE)*100,"")</f>
        <v/>
      </c>
      <c r="L7401" s="7" t="str">
        <f>IF(Table1[[#This Row],[Is Data Valid]]=TRUE,_xlfn.NORM.S.DIST(Table1[[#This Row],[Birthweight Z-Score (BW+10%)]],TRUE)*100,"")</f>
        <v/>
      </c>
    </row>
    <row r="7402" spans="1:12" x14ac:dyDescent="0.35">
      <c r="A7402" s="3"/>
      <c r="B7402" s="2"/>
      <c r="C7402" s="2"/>
      <c r="D7402" s="2" t="b">
        <f>IF(AND(NOT(ISBLANK(Table1[[#This Row],[Fetal Sex (Male, Female or Unknown)]])),ISNUMBER(Table1[[#This Row],[Birthweight (grams)]]),ISNUMBER(Table1[[#This Row],[Gestation (days)]])),TRUE,FALSE)</f>
        <v>0</v>
      </c>
      <c r="E7402" s="2" t="str">
        <f>IF(Table1[[#This Row],[Is Data Valid]]=TRUE,IF(Table1[[#This Row],[Fetal Sex (Male, Female or Unknown)]]="Male",Backend!$C$6,IF(Table1[[#This Row],[Fetal Sex (Male, Female or Unknown)]]="Female",Backend!$C$7,IF(Table1[[#This Row],[Fetal Sex (Male, Female or Unknown)]]="Unknown",Backend!$C$8,"Error"))),"")</f>
        <v/>
      </c>
      <c r="F7402" s="8" t="str">
        <f>IF(Table1[[#This Row],[Is Data Valid]]=TRUE,EXP(0.578+0.332*((Table1[[#This Row],[Gestation (days)]]+0.5)/7)-0.00354*((Table1[[#This Row],[Gestation (days)]]+0.5)/7)^2)*Table1[[#This Row],[BW40_3705]],"")</f>
        <v/>
      </c>
      <c r="G7402" s="2" t="str">
        <f>IF(Table1[[#This Row],[Is Data Valid]]=TRUE,((Table1[[#This Row],[Birthweight (grams)]]/Table1[[#This Row],[BW_GA]])-1)/(Backend!$B$4/100*Table1[[#This Row],[BW40_3705]]),"")</f>
        <v/>
      </c>
      <c r="H7402" s="7" t="str">
        <f>IF(Table1[[#This Row],[Is Data Valid]]=TRUE,((Table1[[#This Row],[Birthweight (grams)]]*0.9/Table1[[#This Row],[BW_GA]])-1)/(Backend!$B$4/100*Table1[[#This Row],[BW40_3705]]),"")</f>
        <v/>
      </c>
      <c r="I7402" s="7" t="str">
        <f>IF(Table1[[#This Row],[Is Data Valid]]=TRUE,((Table1[[#This Row],[Birthweight (grams)]]*1.1/Table1[[#This Row],[BW_GA]])-1)/(Backend!$B$4/100*Table1[[#This Row],[BW40_3705]]),"")</f>
        <v/>
      </c>
      <c r="J7402" s="7" t="str">
        <f>IF(Table1[[#This Row],[Is Data Valid]]=TRUE,_xlfn.NORM.S.DIST(Table1[[#This Row],[Birthweight Z-Score]],TRUE)*100,"")</f>
        <v/>
      </c>
      <c r="K7402" s="7" t="str">
        <f>IF(Table1[[#This Row],[Is Data Valid]]=TRUE,_xlfn.NORM.S.DIST(Table1[[#This Row],[Birthweight Z-Score (BW-10%)]],TRUE)*100,"")</f>
        <v/>
      </c>
      <c r="L7402" s="7" t="str">
        <f>IF(Table1[[#This Row],[Is Data Valid]]=TRUE,_xlfn.NORM.S.DIST(Table1[[#This Row],[Birthweight Z-Score (BW+10%)]],TRUE)*100,"")</f>
        <v/>
      </c>
    </row>
    <row r="7403" spans="1:12" x14ac:dyDescent="0.35">
      <c r="A7403" s="3"/>
      <c r="B7403" s="2"/>
      <c r="C7403" s="2"/>
      <c r="D7403" s="2" t="b">
        <f>IF(AND(NOT(ISBLANK(Table1[[#This Row],[Fetal Sex (Male, Female or Unknown)]])),ISNUMBER(Table1[[#This Row],[Birthweight (grams)]]),ISNUMBER(Table1[[#This Row],[Gestation (days)]])),TRUE,FALSE)</f>
        <v>0</v>
      </c>
      <c r="E7403" s="2" t="str">
        <f>IF(Table1[[#This Row],[Is Data Valid]]=TRUE,IF(Table1[[#This Row],[Fetal Sex (Male, Female or Unknown)]]="Male",Backend!$C$6,IF(Table1[[#This Row],[Fetal Sex (Male, Female or Unknown)]]="Female",Backend!$C$7,IF(Table1[[#This Row],[Fetal Sex (Male, Female or Unknown)]]="Unknown",Backend!$C$8,"Error"))),"")</f>
        <v/>
      </c>
      <c r="F7403" s="8" t="str">
        <f>IF(Table1[[#This Row],[Is Data Valid]]=TRUE,EXP(0.578+0.332*((Table1[[#This Row],[Gestation (days)]]+0.5)/7)-0.00354*((Table1[[#This Row],[Gestation (days)]]+0.5)/7)^2)*Table1[[#This Row],[BW40_3705]],"")</f>
        <v/>
      </c>
      <c r="G7403" s="2" t="str">
        <f>IF(Table1[[#This Row],[Is Data Valid]]=TRUE,((Table1[[#This Row],[Birthweight (grams)]]/Table1[[#This Row],[BW_GA]])-1)/(Backend!$B$4/100*Table1[[#This Row],[BW40_3705]]),"")</f>
        <v/>
      </c>
      <c r="H7403" s="7" t="str">
        <f>IF(Table1[[#This Row],[Is Data Valid]]=TRUE,((Table1[[#This Row],[Birthweight (grams)]]*0.9/Table1[[#This Row],[BW_GA]])-1)/(Backend!$B$4/100*Table1[[#This Row],[BW40_3705]]),"")</f>
        <v/>
      </c>
      <c r="I7403" s="7" t="str">
        <f>IF(Table1[[#This Row],[Is Data Valid]]=TRUE,((Table1[[#This Row],[Birthweight (grams)]]*1.1/Table1[[#This Row],[BW_GA]])-1)/(Backend!$B$4/100*Table1[[#This Row],[BW40_3705]]),"")</f>
        <v/>
      </c>
      <c r="J7403" s="7" t="str">
        <f>IF(Table1[[#This Row],[Is Data Valid]]=TRUE,_xlfn.NORM.S.DIST(Table1[[#This Row],[Birthweight Z-Score]],TRUE)*100,"")</f>
        <v/>
      </c>
      <c r="K7403" s="7" t="str">
        <f>IF(Table1[[#This Row],[Is Data Valid]]=TRUE,_xlfn.NORM.S.DIST(Table1[[#This Row],[Birthweight Z-Score (BW-10%)]],TRUE)*100,"")</f>
        <v/>
      </c>
      <c r="L7403" s="7" t="str">
        <f>IF(Table1[[#This Row],[Is Data Valid]]=TRUE,_xlfn.NORM.S.DIST(Table1[[#This Row],[Birthweight Z-Score (BW+10%)]],TRUE)*100,"")</f>
        <v/>
      </c>
    </row>
    <row r="7404" spans="1:12" x14ac:dyDescent="0.35">
      <c r="A7404" s="3"/>
      <c r="B7404" s="2"/>
      <c r="C7404" s="2"/>
      <c r="D7404" s="2" t="b">
        <f>IF(AND(NOT(ISBLANK(Table1[[#This Row],[Fetal Sex (Male, Female or Unknown)]])),ISNUMBER(Table1[[#This Row],[Birthweight (grams)]]),ISNUMBER(Table1[[#This Row],[Gestation (days)]])),TRUE,FALSE)</f>
        <v>0</v>
      </c>
      <c r="E7404" s="2" t="str">
        <f>IF(Table1[[#This Row],[Is Data Valid]]=TRUE,IF(Table1[[#This Row],[Fetal Sex (Male, Female or Unknown)]]="Male",Backend!$C$6,IF(Table1[[#This Row],[Fetal Sex (Male, Female or Unknown)]]="Female",Backend!$C$7,IF(Table1[[#This Row],[Fetal Sex (Male, Female or Unknown)]]="Unknown",Backend!$C$8,"Error"))),"")</f>
        <v/>
      </c>
      <c r="F7404" s="8" t="str">
        <f>IF(Table1[[#This Row],[Is Data Valid]]=TRUE,EXP(0.578+0.332*((Table1[[#This Row],[Gestation (days)]]+0.5)/7)-0.00354*((Table1[[#This Row],[Gestation (days)]]+0.5)/7)^2)*Table1[[#This Row],[BW40_3705]],"")</f>
        <v/>
      </c>
      <c r="G7404" s="2" t="str">
        <f>IF(Table1[[#This Row],[Is Data Valid]]=TRUE,((Table1[[#This Row],[Birthweight (grams)]]/Table1[[#This Row],[BW_GA]])-1)/(Backend!$B$4/100*Table1[[#This Row],[BW40_3705]]),"")</f>
        <v/>
      </c>
      <c r="H7404" s="7" t="str">
        <f>IF(Table1[[#This Row],[Is Data Valid]]=TRUE,((Table1[[#This Row],[Birthweight (grams)]]*0.9/Table1[[#This Row],[BW_GA]])-1)/(Backend!$B$4/100*Table1[[#This Row],[BW40_3705]]),"")</f>
        <v/>
      </c>
      <c r="I7404" s="7" t="str">
        <f>IF(Table1[[#This Row],[Is Data Valid]]=TRUE,((Table1[[#This Row],[Birthweight (grams)]]*1.1/Table1[[#This Row],[BW_GA]])-1)/(Backend!$B$4/100*Table1[[#This Row],[BW40_3705]]),"")</f>
        <v/>
      </c>
      <c r="J7404" s="7" t="str">
        <f>IF(Table1[[#This Row],[Is Data Valid]]=TRUE,_xlfn.NORM.S.DIST(Table1[[#This Row],[Birthweight Z-Score]],TRUE)*100,"")</f>
        <v/>
      </c>
      <c r="K7404" s="7" t="str">
        <f>IF(Table1[[#This Row],[Is Data Valid]]=TRUE,_xlfn.NORM.S.DIST(Table1[[#This Row],[Birthweight Z-Score (BW-10%)]],TRUE)*100,"")</f>
        <v/>
      </c>
      <c r="L7404" s="7" t="str">
        <f>IF(Table1[[#This Row],[Is Data Valid]]=TRUE,_xlfn.NORM.S.DIST(Table1[[#This Row],[Birthweight Z-Score (BW+10%)]],TRUE)*100,"")</f>
        <v/>
      </c>
    </row>
    <row r="7405" spans="1:12" x14ac:dyDescent="0.35">
      <c r="A7405" s="3"/>
      <c r="B7405" s="2"/>
      <c r="C7405" s="2"/>
      <c r="D7405" s="2" t="b">
        <f>IF(AND(NOT(ISBLANK(Table1[[#This Row],[Fetal Sex (Male, Female or Unknown)]])),ISNUMBER(Table1[[#This Row],[Birthweight (grams)]]),ISNUMBER(Table1[[#This Row],[Gestation (days)]])),TRUE,FALSE)</f>
        <v>0</v>
      </c>
      <c r="E7405" s="2" t="str">
        <f>IF(Table1[[#This Row],[Is Data Valid]]=TRUE,IF(Table1[[#This Row],[Fetal Sex (Male, Female or Unknown)]]="Male",Backend!$C$6,IF(Table1[[#This Row],[Fetal Sex (Male, Female or Unknown)]]="Female",Backend!$C$7,IF(Table1[[#This Row],[Fetal Sex (Male, Female or Unknown)]]="Unknown",Backend!$C$8,"Error"))),"")</f>
        <v/>
      </c>
      <c r="F7405" s="8" t="str">
        <f>IF(Table1[[#This Row],[Is Data Valid]]=TRUE,EXP(0.578+0.332*((Table1[[#This Row],[Gestation (days)]]+0.5)/7)-0.00354*((Table1[[#This Row],[Gestation (days)]]+0.5)/7)^2)*Table1[[#This Row],[BW40_3705]],"")</f>
        <v/>
      </c>
      <c r="G7405" s="2" t="str">
        <f>IF(Table1[[#This Row],[Is Data Valid]]=TRUE,((Table1[[#This Row],[Birthweight (grams)]]/Table1[[#This Row],[BW_GA]])-1)/(Backend!$B$4/100*Table1[[#This Row],[BW40_3705]]),"")</f>
        <v/>
      </c>
      <c r="H7405" s="7" t="str">
        <f>IF(Table1[[#This Row],[Is Data Valid]]=TRUE,((Table1[[#This Row],[Birthweight (grams)]]*0.9/Table1[[#This Row],[BW_GA]])-1)/(Backend!$B$4/100*Table1[[#This Row],[BW40_3705]]),"")</f>
        <v/>
      </c>
      <c r="I7405" s="7" t="str">
        <f>IF(Table1[[#This Row],[Is Data Valid]]=TRUE,((Table1[[#This Row],[Birthweight (grams)]]*1.1/Table1[[#This Row],[BW_GA]])-1)/(Backend!$B$4/100*Table1[[#This Row],[BW40_3705]]),"")</f>
        <v/>
      </c>
      <c r="J7405" s="7" t="str">
        <f>IF(Table1[[#This Row],[Is Data Valid]]=TRUE,_xlfn.NORM.S.DIST(Table1[[#This Row],[Birthweight Z-Score]],TRUE)*100,"")</f>
        <v/>
      </c>
      <c r="K7405" s="7" t="str">
        <f>IF(Table1[[#This Row],[Is Data Valid]]=TRUE,_xlfn.NORM.S.DIST(Table1[[#This Row],[Birthweight Z-Score (BW-10%)]],TRUE)*100,"")</f>
        <v/>
      </c>
      <c r="L7405" s="7" t="str">
        <f>IF(Table1[[#This Row],[Is Data Valid]]=TRUE,_xlfn.NORM.S.DIST(Table1[[#This Row],[Birthweight Z-Score (BW+10%)]],TRUE)*100,"")</f>
        <v/>
      </c>
    </row>
    <row r="7406" spans="1:12" x14ac:dyDescent="0.35">
      <c r="A7406" s="3"/>
      <c r="B7406" s="2"/>
      <c r="C7406" s="2"/>
      <c r="D7406" s="2" t="b">
        <f>IF(AND(NOT(ISBLANK(Table1[[#This Row],[Fetal Sex (Male, Female or Unknown)]])),ISNUMBER(Table1[[#This Row],[Birthweight (grams)]]),ISNUMBER(Table1[[#This Row],[Gestation (days)]])),TRUE,FALSE)</f>
        <v>0</v>
      </c>
      <c r="E7406" s="2" t="str">
        <f>IF(Table1[[#This Row],[Is Data Valid]]=TRUE,IF(Table1[[#This Row],[Fetal Sex (Male, Female or Unknown)]]="Male",Backend!$C$6,IF(Table1[[#This Row],[Fetal Sex (Male, Female or Unknown)]]="Female",Backend!$C$7,IF(Table1[[#This Row],[Fetal Sex (Male, Female or Unknown)]]="Unknown",Backend!$C$8,"Error"))),"")</f>
        <v/>
      </c>
      <c r="F7406" s="8" t="str">
        <f>IF(Table1[[#This Row],[Is Data Valid]]=TRUE,EXP(0.578+0.332*((Table1[[#This Row],[Gestation (days)]]+0.5)/7)-0.00354*((Table1[[#This Row],[Gestation (days)]]+0.5)/7)^2)*Table1[[#This Row],[BW40_3705]],"")</f>
        <v/>
      </c>
      <c r="G7406" s="2" t="str">
        <f>IF(Table1[[#This Row],[Is Data Valid]]=TRUE,((Table1[[#This Row],[Birthweight (grams)]]/Table1[[#This Row],[BW_GA]])-1)/(Backend!$B$4/100*Table1[[#This Row],[BW40_3705]]),"")</f>
        <v/>
      </c>
      <c r="H7406" s="7" t="str">
        <f>IF(Table1[[#This Row],[Is Data Valid]]=TRUE,((Table1[[#This Row],[Birthweight (grams)]]*0.9/Table1[[#This Row],[BW_GA]])-1)/(Backend!$B$4/100*Table1[[#This Row],[BW40_3705]]),"")</f>
        <v/>
      </c>
      <c r="I7406" s="7" t="str">
        <f>IF(Table1[[#This Row],[Is Data Valid]]=TRUE,((Table1[[#This Row],[Birthweight (grams)]]*1.1/Table1[[#This Row],[BW_GA]])-1)/(Backend!$B$4/100*Table1[[#This Row],[BW40_3705]]),"")</f>
        <v/>
      </c>
      <c r="J7406" s="7" t="str">
        <f>IF(Table1[[#This Row],[Is Data Valid]]=TRUE,_xlfn.NORM.S.DIST(Table1[[#This Row],[Birthweight Z-Score]],TRUE)*100,"")</f>
        <v/>
      </c>
      <c r="K7406" s="7" t="str">
        <f>IF(Table1[[#This Row],[Is Data Valid]]=TRUE,_xlfn.NORM.S.DIST(Table1[[#This Row],[Birthweight Z-Score (BW-10%)]],TRUE)*100,"")</f>
        <v/>
      </c>
      <c r="L7406" s="7" t="str">
        <f>IF(Table1[[#This Row],[Is Data Valid]]=TRUE,_xlfn.NORM.S.DIST(Table1[[#This Row],[Birthweight Z-Score (BW+10%)]],TRUE)*100,"")</f>
        <v/>
      </c>
    </row>
    <row r="7407" spans="1:12" x14ac:dyDescent="0.35">
      <c r="A7407" s="3"/>
      <c r="B7407" s="2"/>
      <c r="C7407" s="2"/>
      <c r="D7407" s="2" t="b">
        <f>IF(AND(NOT(ISBLANK(Table1[[#This Row],[Fetal Sex (Male, Female or Unknown)]])),ISNUMBER(Table1[[#This Row],[Birthweight (grams)]]),ISNUMBER(Table1[[#This Row],[Gestation (days)]])),TRUE,FALSE)</f>
        <v>0</v>
      </c>
      <c r="E7407" s="2" t="str">
        <f>IF(Table1[[#This Row],[Is Data Valid]]=TRUE,IF(Table1[[#This Row],[Fetal Sex (Male, Female or Unknown)]]="Male",Backend!$C$6,IF(Table1[[#This Row],[Fetal Sex (Male, Female or Unknown)]]="Female",Backend!$C$7,IF(Table1[[#This Row],[Fetal Sex (Male, Female or Unknown)]]="Unknown",Backend!$C$8,"Error"))),"")</f>
        <v/>
      </c>
      <c r="F7407" s="8" t="str">
        <f>IF(Table1[[#This Row],[Is Data Valid]]=TRUE,EXP(0.578+0.332*((Table1[[#This Row],[Gestation (days)]]+0.5)/7)-0.00354*((Table1[[#This Row],[Gestation (days)]]+0.5)/7)^2)*Table1[[#This Row],[BW40_3705]],"")</f>
        <v/>
      </c>
      <c r="G7407" s="2" t="str">
        <f>IF(Table1[[#This Row],[Is Data Valid]]=TRUE,((Table1[[#This Row],[Birthweight (grams)]]/Table1[[#This Row],[BW_GA]])-1)/(Backend!$B$4/100*Table1[[#This Row],[BW40_3705]]),"")</f>
        <v/>
      </c>
      <c r="H7407" s="7" t="str">
        <f>IF(Table1[[#This Row],[Is Data Valid]]=TRUE,((Table1[[#This Row],[Birthweight (grams)]]*0.9/Table1[[#This Row],[BW_GA]])-1)/(Backend!$B$4/100*Table1[[#This Row],[BW40_3705]]),"")</f>
        <v/>
      </c>
      <c r="I7407" s="7" t="str">
        <f>IF(Table1[[#This Row],[Is Data Valid]]=TRUE,((Table1[[#This Row],[Birthweight (grams)]]*1.1/Table1[[#This Row],[BW_GA]])-1)/(Backend!$B$4/100*Table1[[#This Row],[BW40_3705]]),"")</f>
        <v/>
      </c>
      <c r="J7407" s="7" t="str">
        <f>IF(Table1[[#This Row],[Is Data Valid]]=TRUE,_xlfn.NORM.S.DIST(Table1[[#This Row],[Birthweight Z-Score]],TRUE)*100,"")</f>
        <v/>
      </c>
      <c r="K7407" s="7" t="str">
        <f>IF(Table1[[#This Row],[Is Data Valid]]=TRUE,_xlfn.NORM.S.DIST(Table1[[#This Row],[Birthweight Z-Score (BW-10%)]],TRUE)*100,"")</f>
        <v/>
      </c>
      <c r="L7407" s="7" t="str">
        <f>IF(Table1[[#This Row],[Is Data Valid]]=TRUE,_xlfn.NORM.S.DIST(Table1[[#This Row],[Birthweight Z-Score (BW+10%)]],TRUE)*100,"")</f>
        <v/>
      </c>
    </row>
    <row r="7408" spans="1:12" x14ac:dyDescent="0.35">
      <c r="A7408" s="3"/>
      <c r="B7408" s="2"/>
      <c r="C7408" s="2"/>
      <c r="D7408" s="2" t="b">
        <f>IF(AND(NOT(ISBLANK(Table1[[#This Row],[Fetal Sex (Male, Female or Unknown)]])),ISNUMBER(Table1[[#This Row],[Birthweight (grams)]]),ISNUMBER(Table1[[#This Row],[Gestation (days)]])),TRUE,FALSE)</f>
        <v>0</v>
      </c>
      <c r="E7408" s="2" t="str">
        <f>IF(Table1[[#This Row],[Is Data Valid]]=TRUE,IF(Table1[[#This Row],[Fetal Sex (Male, Female or Unknown)]]="Male",Backend!$C$6,IF(Table1[[#This Row],[Fetal Sex (Male, Female or Unknown)]]="Female",Backend!$C$7,IF(Table1[[#This Row],[Fetal Sex (Male, Female or Unknown)]]="Unknown",Backend!$C$8,"Error"))),"")</f>
        <v/>
      </c>
      <c r="F7408" s="8" t="str">
        <f>IF(Table1[[#This Row],[Is Data Valid]]=TRUE,EXP(0.578+0.332*((Table1[[#This Row],[Gestation (days)]]+0.5)/7)-0.00354*((Table1[[#This Row],[Gestation (days)]]+0.5)/7)^2)*Table1[[#This Row],[BW40_3705]],"")</f>
        <v/>
      </c>
      <c r="G7408" s="2" t="str">
        <f>IF(Table1[[#This Row],[Is Data Valid]]=TRUE,((Table1[[#This Row],[Birthweight (grams)]]/Table1[[#This Row],[BW_GA]])-1)/(Backend!$B$4/100*Table1[[#This Row],[BW40_3705]]),"")</f>
        <v/>
      </c>
      <c r="H7408" s="7" t="str">
        <f>IF(Table1[[#This Row],[Is Data Valid]]=TRUE,((Table1[[#This Row],[Birthweight (grams)]]*0.9/Table1[[#This Row],[BW_GA]])-1)/(Backend!$B$4/100*Table1[[#This Row],[BW40_3705]]),"")</f>
        <v/>
      </c>
      <c r="I7408" s="7" t="str">
        <f>IF(Table1[[#This Row],[Is Data Valid]]=TRUE,((Table1[[#This Row],[Birthweight (grams)]]*1.1/Table1[[#This Row],[BW_GA]])-1)/(Backend!$B$4/100*Table1[[#This Row],[BW40_3705]]),"")</f>
        <v/>
      </c>
      <c r="J7408" s="7" t="str">
        <f>IF(Table1[[#This Row],[Is Data Valid]]=TRUE,_xlfn.NORM.S.DIST(Table1[[#This Row],[Birthweight Z-Score]],TRUE)*100,"")</f>
        <v/>
      </c>
      <c r="K7408" s="7" t="str">
        <f>IF(Table1[[#This Row],[Is Data Valid]]=TRUE,_xlfn.NORM.S.DIST(Table1[[#This Row],[Birthweight Z-Score (BW-10%)]],TRUE)*100,"")</f>
        <v/>
      </c>
      <c r="L7408" s="7" t="str">
        <f>IF(Table1[[#This Row],[Is Data Valid]]=TRUE,_xlfn.NORM.S.DIST(Table1[[#This Row],[Birthweight Z-Score (BW+10%)]],TRUE)*100,"")</f>
        <v/>
      </c>
    </row>
    <row r="7409" spans="1:12" x14ac:dyDescent="0.35">
      <c r="A7409" s="3"/>
      <c r="B7409" s="2"/>
      <c r="C7409" s="2"/>
      <c r="D7409" s="2" t="b">
        <f>IF(AND(NOT(ISBLANK(Table1[[#This Row],[Fetal Sex (Male, Female or Unknown)]])),ISNUMBER(Table1[[#This Row],[Birthweight (grams)]]),ISNUMBER(Table1[[#This Row],[Gestation (days)]])),TRUE,FALSE)</f>
        <v>0</v>
      </c>
      <c r="E7409" s="2" t="str">
        <f>IF(Table1[[#This Row],[Is Data Valid]]=TRUE,IF(Table1[[#This Row],[Fetal Sex (Male, Female or Unknown)]]="Male",Backend!$C$6,IF(Table1[[#This Row],[Fetal Sex (Male, Female or Unknown)]]="Female",Backend!$C$7,IF(Table1[[#This Row],[Fetal Sex (Male, Female or Unknown)]]="Unknown",Backend!$C$8,"Error"))),"")</f>
        <v/>
      </c>
      <c r="F7409" s="8" t="str">
        <f>IF(Table1[[#This Row],[Is Data Valid]]=TRUE,EXP(0.578+0.332*((Table1[[#This Row],[Gestation (days)]]+0.5)/7)-0.00354*((Table1[[#This Row],[Gestation (days)]]+0.5)/7)^2)*Table1[[#This Row],[BW40_3705]],"")</f>
        <v/>
      </c>
      <c r="G7409" s="2" t="str">
        <f>IF(Table1[[#This Row],[Is Data Valid]]=TRUE,((Table1[[#This Row],[Birthweight (grams)]]/Table1[[#This Row],[BW_GA]])-1)/(Backend!$B$4/100*Table1[[#This Row],[BW40_3705]]),"")</f>
        <v/>
      </c>
      <c r="H7409" s="7" t="str">
        <f>IF(Table1[[#This Row],[Is Data Valid]]=TRUE,((Table1[[#This Row],[Birthweight (grams)]]*0.9/Table1[[#This Row],[BW_GA]])-1)/(Backend!$B$4/100*Table1[[#This Row],[BW40_3705]]),"")</f>
        <v/>
      </c>
      <c r="I7409" s="7" t="str">
        <f>IF(Table1[[#This Row],[Is Data Valid]]=TRUE,((Table1[[#This Row],[Birthweight (grams)]]*1.1/Table1[[#This Row],[BW_GA]])-1)/(Backend!$B$4/100*Table1[[#This Row],[BW40_3705]]),"")</f>
        <v/>
      </c>
      <c r="J7409" s="7" t="str">
        <f>IF(Table1[[#This Row],[Is Data Valid]]=TRUE,_xlfn.NORM.S.DIST(Table1[[#This Row],[Birthweight Z-Score]],TRUE)*100,"")</f>
        <v/>
      </c>
      <c r="K7409" s="7" t="str">
        <f>IF(Table1[[#This Row],[Is Data Valid]]=TRUE,_xlfn.NORM.S.DIST(Table1[[#This Row],[Birthweight Z-Score (BW-10%)]],TRUE)*100,"")</f>
        <v/>
      </c>
      <c r="L7409" s="7" t="str">
        <f>IF(Table1[[#This Row],[Is Data Valid]]=TRUE,_xlfn.NORM.S.DIST(Table1[[#This Row],[Birthweight Z-Score (BW+10%)]],TRUE)*100,"")</f>
        <v/>
      </c>
    </row>
    <row r="7410" spans="1:12" x14ac:dyDescent="0.35">
      <c r="A7410" s="3"/>
      <c r="B7410" s="2"/>
      <c r="C7410" s="2"/>
      <c r="D7410" s="2" t="b">
        <f>IF(AND(NOT(ISBLANK(Table1[[#This Row],[Fetal Sex (Male, Female or Unknown)]])),ISNUMBER(Table1[[#This Row],[Birthweight (grams)]]),ISNUMBER(Table1[[#This Row],[Gestation (days)]])),TRUE,FALSE)</f>
        <v>0</v>
      </c>
      <c r="E7410" s="2" t="str">
        <f>IF(Table1[[#This Row],[Is Data Valid]]=TRUE,IF(Table1[[#This Row],[Fetal Sex (Male, Female or Unknown)]]="Male",Backend!$C$6,IF(Table1[[#This Row],[Fetal Sex (Male, Female or Unknown)]]="Female",Backend!$C$7,IF(Table1[[#This Row],[Fetal Sex (Male, Female or Unknown)]]="Unknown",Backend!$C$8,"Error"))),"")</f>
        <v/>
      </c>
      <c r="F7410" s="8" t="str">
        <f>IF(Table1[[#This Row],[Is Data Valid]]=TRUE,EXP(0.578+0.332*((Table1[[#This Row],[Gestation (days)]]+0.5)/7)-0.00354*((Table1[[#This Row],[Gestation (days)]]+0.5)/7)^2)*Table1[[#This Row],[BW40_3705]],"")</f>
        <v/>
      </c>
      <c r="G7410" s="2" t="str">
        <f>IF(Table1[[#This Row],[Is Data Valid]]=TRUE,((Table1[[#This Row],[Birthweight (grams)]]/Table1[[#This Row],[BW_GA]])-1)/(Backend!$B$4/100*Table1[[#This Row],[BW40_3705]]),"")</f>
        <v/>
      </c>
      <c r="H7410" s="7" t="str">
        <f>IF(Table1[[#This Row],[Is Data Valid]]=TRUE,((Table1[[#This Row],[Birthweight (grams)]]*0.9/Table1[[#This Row],[BW_GA]])-1)/(Backend!$B$4/100*Table1[[#This Row],[BW40_3705]]),"")</f>
        <v/>
      </c>
      <c r="I7410" s="7" t="str">
        <f>IF(Table1[[#This Row],[Is Data Valid]]=TRUE,((Table1[[#This Row],[Birthweight (grams)]]*1.1/Table1[[#This Row],[BW_GA]])-1)/(Backend!$B$4/100*Table1[[#This Row],[BW40_3705]]),"")</f>
        <v/>
      </c>
      <c r="J7410" s="7" t="str">
        <f>IF(Table1[[#This Row],[Is Data Valid]]=TRUE,_xlfn.NORM.S.DIST(Table1[[#This Row],[Birthweight Z-Score]],TRUE)*100,"")</f>
        <v/>
      </c>
      <c r="K7410" s="7" t="str">
        <f>IF(Table1[[#This Row],[Is Data Valid]]=TRUE,_xlfn.NORM.S.DIST(Table1[[#This Row],[Birthweight Z-Score (BW-10%)]],TRUE)*100,"")</f>
        <v/>
      </c>
      <c r="L7410" s="7" t="str">
        <f>IF(Table1[[#This Row],[Is Data Valid]]=TRUE,_xlfn.NORM.S.DIST(Table1[[#This Row],[Birthweight Z-Score (BW+10%)]],TRUE)*100,"")</f>
        <v/>
      </c>
    </row>
    <row r="7411" spans="1:12" x14ac:dyDescent="0.35">
      <c r="A7411" s="3"/>
      <c r="B7411" s="2"/>
      <c r="C7411" s="2"/>
      <c r="D7411" s="2" t="b">
        <f>IF(AND(NOT(ISBLANK(Table1[[#This Row],[Fetal Sex (Male, Female or Unknown)]])),ISNUMBER(Table1[[#This Row],[Birthweight (grams)]]),ISNUMBER(Table1[[#This Row],[Gestation (days)]])),TRUE,FALSE)</f>
        <v>0</v>
      </c>
      <c r="E7411" s="2" t="str">
        <f>IF(Table1[[#This Row],[Is Data Valid]]=TRUE,IF(Table1[[#This Row],[Fetal Sex (Male, Female or Unknown)]]="Male",Backend!$C$6,IF(Table1[[#This Row],[Fetal Sex (Male, Female or Unknown)]]="Female",Backend!$C$7,IF(Table1[[#This Row],[Fetal Sex (Male, Female or Unknown)]]="Unknown",Backend!$C$8,"Error"))),"")</f>
        <v/>
      </c>
      <c r="F7411" s="8" t="str">
        <f>IF(Table1[[#This Row],[Is Data Valid]]=TRUE,EXP(0.578+0.332*((Table1[[#This Row],[Gestation (days)]]+0.5)/7)-0.00354*((Table1[[#This Row],[Gestation (days)]]+0.5)/7)^2)*Table1[[#This Row],[BW40_3705]],"")</f>
        <v/>
      </c>
      <c r="G7411" s="2" t="str">
        <f>IF(Table1[[#This Row],[Is Data Valid]]=TRUE,((Table1[[#This Row],[Birthweight (grams)]]/Table1[[#This Row],[BW_GA]])-1)/(Backend!$B$4/100*Table1[[#This Row],[BW40_3705]]),"")</f>
        <v/>
      </c>
      <c r="H7411" s="7" t="str">
        <f>IF(Table1[[#This Row],[Is Data Valid]]=TRUE,((Table1[[#This Row],[Birthweight (grams)]]*0.9/Table1[[#This Row],[BW_GA]])-1)/(Backend!$B$4/100*Table1[[#This Row],[BW40_3705]]),"")</f>
        <v/>
      </c>
      <c r="I7411" s="7" t="str">
        <f>IF(Table1[[#This Row],[Is Data Valid]]=TRUE,((Table1[[#This Row],[Birthweight (grams)]]*1.1/Table1[[#This Row],[BW_GA]])-1)/(Backend!$B$4/100*Table1[[#This Row],[BW40_3705]]),"")</f>
        <v/>
      </c>
      <c r="J7411" s="7" t="str">
        <f>IF(Table1[[#This Row],[Is Data Valid]]=TRUE,_xlfn.NORM.S.DIST(Table1[[#This Row],[Birthweight Z-Score]],TRUE)*100,"")</f>
        <v/>
      </c>
      <c r="K7411" s="7" t="str">
        <f>IF(Table1[[#This Row],[Is Data Valid]]=TRUE,_xlfn.NORM.S.DIST(Table1[[#This Row],[Birthweight Z-Score (BW-10%)]],TRUE)*100,"")</f>
        <v/>
      </c>
      <c r="L7411" s="7" t="str">
        <f>IF(Table1[[#This Row],[Is Data Valid]]=TRUE,_xlfn.NORM.S.DIST(Table1[[#This Row],[Birthweight Z-Score (BW+10%)]],TRUE)*100,"")</f>
        <v/>
      </c>
    </row>
    <row r="7412" spans="1:12" x14ac:dyDescent="0.35">
      <c r="A7412" s="3"/>
      <c r="B7412" s="2"/>
      <c r="C7412" s="2"/>
      <c r="D7412" s="2" t="b">
        <f>IF(AND(NOT(ISBLANK(Table1[[#This Row],[Fetal Sex (Male, Female or Unknown)]])),ISNUMBER(Table1[[#This Row],[Birthweight (grams)]]),ISNUMBER(Table1[[#This Row],[Gestation (days)]])),TRUE,FALSE)</f>
        <v>0</v>
      </c>
      <c r="E7412" s="2" t="str">
        <f>IF(Table1[[#This Row],[Is Data Valid]]=TRUE,IF(Table1[[#This Row],[Fetal Sex (Male, Female or Unknown)]]="Male",Backend!$C$6,IF(Table1[[#This Row],[Fetal Sex (Male, Female or Unknown)]]="Female",Backend!$C$7,IF(Table1[[#This Row],[Fetal Sex (Male, Female or Unknown)]]="Unknown",Backend!$C$8,"Error"))),"")</f>
        <v/>
      </c>
      <c r="F7412" s="8" t="str">
        <f>IF(Table1[[#This Row],[Is Data Valid]]=TRUE,EXP(0.578+0.332*((Table1[[#This Row],[Gestation (days)]]+0.5)/7)-0.00354*((Table1[[#This Row],[Gestation (days)]]+0.5)/7)^2)*Table1[[#This Row],[BW40_3705]],"")</f>
        <v/>
      </c>
      <c r="G7412" s="2" t="str">
        <f>IF(Table1[[#This Row],[Is Data Valid]]=TRUE,((Table1[[#This Row],[Birthweight (grams)]]/Table1[[#This Row],[BW_GA]])-1)/(Backend!$B$4/100*Table1[[#This Row],[BW40_3705]]),"")</f>
        <v/>
      </c>
      <c r="H7412" s="7" t="str">
        <f>IF(Table1[[#This Row],[Is Data Valid]]=TRUE,((Table1[[#This Row],[Birthweight (grams)]]*0.9/Table1[[#This Row],[BW_GA]])-1)/(Backend!$B$4/100*Table1[[#This Row],[BW40_3705]]),"")</f>
        <v/>
      </c>
      <c r="I7412" s="7" t="str">
        <f>IF(Table1[[#This Row],[Is Data Valid]]=TRUE,((Table1[[#This Row],[Birthweight (grams)]]*1.1/Table1[[#This Row],[BW_GA]])-1)/(Backend!$B$4/100*Table1[[#This Row],[BW40_3705]]),"")</f>
        <v/>
      </c>
      <c r="J7412" s="7" t="str">
        <f>IF(Table1[[#This Row],[Is Data Valid]]=TRUE,_xlfn.NORM.S.DIST(Table1[[#This Row],[Birthweight Z-Score]],TRUE)*100,"")</f>
        <v/>
      </c>
      <c r="K7412" s="7" t="str">
        <f>IF(Table1[[#This Row],[Is Data Valid]]=TRUE,_xlfn.NORM.S.DIST(Table1[[#This Row],[Birthweight Z-Score (BW-10%)]],TRUE)*100,"")</f>
        <v/>
      </c>
      <c r="L7412" s="7" t="str">
        <f>IF(Table1[[#This Row],[Is Data Valid]]=TRUE,_xlfn.NORM.S.DIST(Table1[[#This Row],[Birthweight Z-Score (BW+10%)]],TRUE)*100,"")</f>
        <v/>
      </c>
    </row>
    <row r="7413" spans="1:12" x14ac:dyDescent="0.35">
      <c r="A7413" s="3"/>
      <c r="B7413" s="2"/>
      <c r="C7413" s="2"/>
      <c r="D7413" s="2" t="b">
        <f>IF(AND(NOT(ISBLANK(Table1[[#This Row],[Fetal Sex (Male, Female or Unknown)]])),ISNUMBER(Table1[[#This Row],[Birthweight (grams)]]),ISNUMBER(Table1[[#This Row],[Gestation (days)]])),TRUE,FALSE)</f>
        <v>0</v>
      </c>
      <c r="E7413" s="2" t="str">
        <f>IF(Table1[[#This Row],[Is Data Valid]]=TRUE,IF(Table1[[#This Row],[Fetal Sex (Male, Female or Unknown)]]="Male",Backend!$C$6,IF(Table1[[#This Row],[Fetal Sex (Male, Female or Unknown)]]="Female",Backend!$C$7,IF(Table1[[#This Row],[Fetal Sex (Male, Female or Unknown)]]="Unknown",Backend!$C$8,"Error"))),"")</f>
        <v/>
      </c>
      <c r="F7413" s="8" t="str">
        <f>IF(Table1[[#This Row],[Is Data Valid]]=TRUE,EXP(0.578+0.332*((Table1[[#This Row],[Gestation (days)]]+0.5)/7)-0.00354*((Table1[[#This Row],[Gestation (days)]]+0.5)/7)^2)*Table1[[#This Row],[BW40_3705]],"")</f>
        <v/>
      </c>
      <c r="G7413" s="2" t="str">
        <f>IF(Table1[[#This Row],[Is Data Valid]]=TRUE,((Table1[[#This Row],[Birthweight (grams)]]/Table1[[#This Row],[BW_GA]])-1)/(Backend!$B$4/100*Table1[[#This Row],[BW40_3705]]),"")</f>
        <v/>
      </c>
      <c r="H7413" s="7" t="str">
        <f>IF(Table1[[#This Row],[Is Data Valid]]=TRUE,((Table1[[#This Row],[Birthweight (grams)]]*0.9/Table1[[#This Row],[BW_GA]])-1)/(Backend!$B$4/100*Table1[[#This Row],[BW40_3705]]),"")</f>
        <v/>
      </c>
      <c r="I7413" s="7" t="str">
        <f>IF(Table1[[#This Row],[Is Data Valid]]=TRUE,((Table1[[#This Row],[Birthweight (grams)]]*1.1/Table1[[#This Row],[BW_GA]])-1)/(Backend!$B$4/100*Table1[[#This Row],[BW40_3705]]),"")</f>
        <v/>
      </c>
      <c r="J7413" s="7" t="str">
        <f>IF(Table1[[#This Row],[Is Data Valid]]=TRUE,_xlfn.NORM.S.DIST(Table1[[#This Row],[Birthweight Z-Score]],TRUE)*100,"")</f>
        <v/>
      </c>
      <c r="K7413" s="7" t="str">
        <f>IF(Table1[[#This Row],[Is Data Valid]]=TRUE,_xlfn.NORM.S.DIST(Table1[[#This Row],[Birthweight Z-Score (BW-10%)]],TRUE)*100,"")</f>
        <v/>
      </c>
      <c r="L7413" s="7" t="str">
        <f>IF(Table1[[#This Row],[Is Data Valid]]=TRUE,_xlfn.NORM.S.DIST(Table1[[#This Row],[Birthweight Z-Score (BW+10%)]],TRUE)*100,"")</f>
        <v/>
      </c>
    </row>
    <row r="7414" spans="1:12" x14ac:dyDescent="0.35">
      <c r="A7414" s="3"/>
      <c r="B7414" s="2"/>
      <c r="C7414" s="2"/>
      <c r="D7414" s="2" t="b">
        <f>IF(AND(NOT(ISBLANK(Table1[[#This Row],[Fetal Sex (Male, Female or Unknown)]])),ISNUMBER(Table1[[#This Row],[Birthweight (grams)]]),ISNUMBER(Table1[[#This Row],[Gestation (days)]])),TRUE,FALSE)</f>
        <v>0</v>
      </c>
      <c r="E7414" s="2" t="str">
        <f>IF(Table1[[#This Row],[Is Data Valid]]=TRUE,IF(Table1[[#This Row],[Fetal Sex (Male, Female or Unknown)]]="Male",Backend!$C$6,IF(Table1[[#This Row],[Fetal Sex (Male, Female or Unknown)]]="Female",Backend!$C$7,IF(Table1[[#This Row],[Fetal Sex (Male, Female or Unknown)]]="Unknown",Backend!$C$8,"Error"))),"")</f>
        <v/>
      </c>
      <c r="F7414" s="8" t="str">
        <f>IF(Table1[[#This Row],[Is Data Valid]]=TRUE,EXP(0.578+0.332*((Table1[[#This Row],[Gestation (days)]]+0.5)/7)-0.00354*((Table1[[#This Row],[Gestation (days)]]+0.5)/7)^2)*Table1[[#This Row],[BW40_3705]],"")</f>
        <v/>
      </c>
      <c r="G7414" s="2" t="str">
        <f>IF(Table1[[#This Row],[Is Data Valid]]=TRUE,((Table1[[#This Row],[Birthweight (grams)]]/Table1[[#This Row],[BW_GA]])-1)/(Backend!$B$4/100*Table1[[#This Row],[BW40_3705]]),"")</f>
        <v/>
      </c>
      <c r="H7414" s="7" t="str">
        <f>IF(Table1[[#This Row],[Is Data Valid]]=TRUE,((Table1[[#This Row],[Birthweight (grams)]]*0.9/Table1[[#This Row],[BW_GA]])-1)/(Backend!$B$4/100*Table1[[#This Row],[BW40_3705]]),"")</f>
        <v/>
      </c>
      <c r="I7414" s="7" t="str">
        <f>IF(Table1[[#This Row],[Is Data Valid]]=TRUE,((Table1[[#This Row],[Birthweight (grams)]]*1.1/Table1[[#This Row],[BW_GA]])-1)/(Backend!$B$4/100*Table1[[#This Row],[BW40_3705]]),"")</f>
        <v/>
      </c>
      <c r="J7414" s="7" t="str">
        <f>IF(Table1[[#This Row],[Is Data Valid]]=TRUE,_xlfn.NORM.S.DIST(Table1[[#This Row],[Birthweight Z-Score]],TRUE)*100,"")</f>
        <v/>
      </c>
      <c r="K7414" s="7" t="str">
        <f>IF(Table1[[#This Row],[Is Data Valid]]=TRUE,_xlfn.NORM.S.DIST(Table1[[#This Row],[Birthweight Z-Score (BW-10%)]],TRUE)*100,"")</f>
        <v/>
      </c>
      <c r="L7414" s="7" t="str">
        <f>IF(Table1[[#This Row],[Is Data Valid]]=TRUE,_xlfn.NORM.S.DIST(Table1[[#This Row],[Birthweight Z-Score (BW+10%)]],TRUE)*100,"")</f>
        <v/>
      </c>
    </row>
    <row r="7415" spans="1:12" x14ac:dyDescent="0.35">
      <c r="A7415" s="3"/>
      <c r="B7415" s="2"/>
      <c r="C7415" s="2"/>
      <c r="D7415" s="2" t="b">
        <f>IF(AND(NOT(ISBLANK(Table1[[#This Row],[Fetal Sex (Male, Female or Unknown)]])),ISNUMBER(Table1[[#This Row],[Birthweight (grams)]]),ISNUMBER(Table1[[#This Row],[Gestation (days)]])),TRUE,FALSE)</f>
        <v>0</v>
      </c>
      <c r="E7415" s="2" t="str">
        <f>IF(Table1[[#This Row],[Is Data Valid]]=TRUE,IF(Table1[[#This Row],[Fetal Sex (Male, Female or Unknown)]]="Male",Backend!$C$6,IF(Table1[[#This Row],[Fetal Sex (Male, Female or Unknown)]]="Female",Backend!$C$7,IF(Table1[[#This Row],[Fetal Sex (Male, Female or Unknown)]]="Unknown",Backend!$C$8,"Error"))),"")</f>
        <v/>
      </c>
      <c r="F7415" s="8" t="str">
        <f>IF(Table1[[#This Row],[Is Data Valid]]=TRUE,EXP(0.578+0.332*((Table1[[#This Row],[Gestation (days)]]+0.5)/7)-0.00354*((Table1[[#This Row],[Gestation (days)]]+0.5)/7)^2)*Table1[[#This Row],[BW40_3705]],"")</f>
        <v/>
      </c>
      <c r="G7415" s="2" t="str">
        <f>IF(Table1[[#This Row],[Is Data Valid]]=TRUE,((Table1[[#This Row],[Birthweight (grams)]]/Table1[[#This Row],[BW_GA]])-1)/(Backend!$B$4/100*Table1[[#This Row],[BW40_3705]]),"")</f>
        <v/>
      </c>
      <c r="H7415" s="7" t="str">
        <f>IF(Table1[[#This Row],[Is Data Valid]]=TRUE,((Table1[[#This Row],[Birthweight (grams)]]*0.9/Table1[[#This Row],[BW_GA]])-1)/(Backend!$B$4/100*Table1[[#This Row],[BW40_3705]]),"")</f>
        <v/>
      </c>
      <c r="I7415" s="7" t="str">
        <f>IF(Table1[[#This Row],[Is Data Valid]]=TRUE,((Table1[[#This Row],[Birthweight (grams)]]*1.1/Table1[[#This Row],[BW_GA]])-1)/(Backend!$B$4/100*Table1[[#This Row],[BW40_3705]]),"")</f>
        <v/>
      </c>
      <c r="J7415" s="7" t="str">
        <f>IF(Table1[[#This Row],[Is Data Valid]]=TRUE,_xlfn.NORM.S.DIST(Table1[[#This Row],[Birthweight Z-Score]],TRUE)*100,"")</f>
        <v/>
      </c>
      <c r="K7415" s="7" t="str">
        <f>IF(Table1[[#This Row],[Is Data Valid]]=TRUE,_xlfn.NORM.S.DIST(Table1[[#This Row],[Birthweight Z-Score (BW-10%)]],TRUE)*100,"")</f>
        <v/>
      </c>
      <c r="L7415" s="7" t="str">
        <f>IF(Table1[[#This Row],[Is Data Valid]]=TRUE,_xlfn.NORM.S.DIST(Table1[[#This Row],[Birthweight Z-Score (BW+10%)]],TRUE)*100,"")</f>
        <v/>
      </c>
    </row>
    <row r="7416" spans="1:12" x14ac:dyDescent="0.35">
      <c r="A7416" s="3"/>
      <c r="B7416" s="2"/>
      <c r="C7416" s="2"/>
      <c r="D7416" s="2" t="b">
        <f>IF(AND(NOT(ISBLANK(Table1[[#This Row],[Fetal Sex (Male, Female or Unknown)]])),ISNUMBER(Table1[[#This Row],[Birthweight (grams)]]),ISNUMBER(Table1[[#This Row],[Gestation (days)]])),TRUE,FALSE)</f>
        <v>0</v>
      </c>
      <c r="E7416" s="2" t="str">
        <f>IF(Table1[[#This Row],[Is Data Valid]]=TRUE,IF(Table1[[#This Row],[Fetal Sex (Male, Female or Unknown)]]="Male",Backend!$C$6,IF(Table1[[#This Row],[Fetal Sex (Male, Female or Unknown)]]="Female",Backend!$C$7,IF(Table1[[#This Row],[Fetal Sex (Male, Female or Unknown)]]="Unknown",Backend!$C$8,"Error"))),"")</f>
        <v/>
      </c>
      <c r="F7416" s="8" t="str">
        <f>IF(Table1[[#This Row],[Is Data Valid]]=TRUE,EXP(0.578+0.332*((Table1[[#This Row],[Gestation (days)]]+0.5)/7)-0.00354*((Table1[[#This Row],[Gestation (days)]]+0.5)/7)^2)*Table1[[#This Row],[BW40_3705]],"")</f>
        <v/>
      </c>
      <c r="G7416" s="2" t="str">
        <f>IF(Table1[[#This Row],[Is Data Valid]]=TRUE,((Table1[[#This Row],[Birthweight (grams)]]/Table1[[#This Row],[BW_GA]])-1)/(Backend!$B$4/100*Table1[[#This Row],[BW40_3705]]),"")</f>
        <v/>
      </c>
      <c r="H7416" s="7" t="str">
        <f>IF(Table1[[#This Row],[Is Data Valid]]=TRUE,((Table1[[#This Row],[Birthweight (grams)]]*0.9/Table1[[#This Row],[BW_GA]])-1)/(Backend!$B$4/100*Table1[[#This Row],[BW40_3705]]),"")</f>
        <v/>
      </c>
      <c r="I7416" s="7" t="str">
        <f>IF(Table1[[#This Row],[Is Data Valid]]=TRUE,((Table1[[#This Row],[Birthweight (grams)]]*1.1/Table1[[#This Row],[BW_GA]])-1)/(Backend!$B$4/100*Table1[[#This Row],[BW40_3705]]),"")</f>
        <v/>
      </c>
      <c r="J7416" s="7" t="str">
        <f>IF(Table1[[#This Row],[Is Data Valid]]=TRUE,_xlfn.NORM.S.DIST(Table1[[#This Row],[Birthweight Z-Score]],TRUE)*100,"")</f>
        <v/>
      </c>
      <c r="K7416" s="7" t="str">
        <f>IF(Table1[[#This Row],[Is Data Valid]]=TRUE,_xlfn.NORM.S.DIST(Table1[[#This Row],[Birthweight Z-Score (BW-10%)]],TRUE)*100,"")</f>
        <v/>
      </c>
      <c r="L7416" s="7" t="str">
        <f>IF(Table1[[#This Row],[Is Data Valid]]=TRUE,_xlfn.NORM.S.DIST(Table1[[#This Row],[Birthweight Z-Score (BW+10%)]],TRUE)*100,"")</f>
        <v/>
      </c>
    </row>
    <row r="7417" spans="1:12" x14ac:dyDescent="0.35">
      <c r="A7417" s="3"/>
      <c r="B7417" s="2"/>
      <c r="C7417" s="2"/>
      <c r="D7417" s="2" t="b">
        <f>IF(AND(NOT(ISBLANK(Table1[[#This Row],[Fetal Sex (Male, Female or Unknown)]])),ISNUMBER(Table1[[#This Row],[Birthweight (grams)]]),ISNUMBER(Table1[[#This Row],[Gestation (days)]])),TRUE,FALSE)</f>
        <v>0</v>
      </c>
      <c r="E7417" s="2" t="str">
        <f>IF(Table1[[#This Row],[Is Data Valid]]=TRUE,IF(Table1[[#This Row],[Fetal Sex (Male, Female or Unknown)]]="Male",Backend!$C$6,IF(Table1[[#This Row],[Fetal Sex (Male, Female or Unknown)]]="Female",Backend!$C$7,IF(Table1[[#This Row],[Fetal Sex (Male, Female or Unknown)]]="Unknown",Backend!$C$8,"Error"))),"")</f>
        <v/>
      </c>
      <c r="F7417" s="8" t="str">
        <f>IF(Table1[[#This Row],[Is Data Valid]]=TRUE,EXP(0.578+0.332*((Table1[[#This Row],[Gestation (days)]]+0.5)/7)-0.00354*((Table1[[#This Row],[Gestation (days)]]+0.5)/7)^2)*Table1[[#This Row],[BW40_3705]],"")</f>
        <v/>
      </c>
      <c r="G7417" s="2" t="str">
        <f>IF(Table1[[#This Row],[Is Data Valid]]=TRUE,((Table1[[#This Row],[Birthweight (grams)]]/Table1[[#This Row],[BW_GA]])-1)/(Backend!$B$4/100*Table1[[#This Row],[BW40_3705]]),"")</f>
        <v/>
      </c>
      <c r="H7417" s="7" t="str">
        <f>IF(Table1[[#This Row],[Is Data Valid]]=TRUE,((Table1[[#This Row],[Birthweight (grams)]]*0.9/Table1[[#This Row],[BW_GA]])-1)/(Backend!$B$4/100*Table1[[#This Row],[BW40_3705]]),"")</f>
        <v/>
      </c>
      <c r="I7417" s="7" t="str">
        <f>IF(Table1[[#This Row],[Is Data Valid]]=TRUE,((Table1[[#This Row],[Birthweight (grams)]]*1.1/Table1[[#This Row],[BW_GA]])-1)/(Backend!$B$4/100*Table1[[#This Row],[BW40_3705]]),"")</f>
        <v/>
      </c>
      <c r="J7417" s="7" t="str">
        <f>IF(Table1[[#This Row],[Is Data Valid]]=TRUE,_xlfn.NORM.S.DIST(Table1[[#This Row],[Birthweight Z-Score]],TRUE)*100,"")</f>
        <v/>
      </c>
      <c r="K7417" s="7" t="str">
        <f>IF(Table1[[#This Row],[Is Data Valid]]=TRUE,_xlfn.NORM.S.DIST(Table1[[#This Row],[Birthweight Z-Score (BW-10%)]],TRUE)*100,"")</f>
        <v/>
      </c>
      <c r="L7417" s="7" t="str">
        <f>IF(Table1[[#This Row],[Is Data Valid]]=TRUE,_xlfn.NORM.S.DIST(Table1[[#This Row],[Birthweight Z-Score (BW+10%)]],TRUE)*100,"")</f>
        <v/>
      </c>
    </row>
    <row r="7418" spans="1:12" x14ac:dyDescent="0.35">
      <c r="A7418" s="3"/>
      <c r="B7418" s="2"/>
      <c r="C7418" s="2"/>
      <c r="D7418" s="2" t="b">
        <f>IF(AND(NOT(ISBLANK(Table1[[#This Row],[Fetal Sex (Male, Female or Unknown)]])),ISNUMBER(Table1[[#This Row],[Birthweight (grams)]]),ISNUMBER(Table1[[#This Row],[Gestation (days)]])),TRUE,FALSE)</f>
        <v>0</v>
      </c>
      <c r="E7418" s="2" t="str">
        <f>IF(Table1[[#This Row],[Is Data Valid]]=TRUE,IF(Table1[[#This Row],[Fetal Sex (Male, Female or Unknown)]]="Male",Backend!$C$6,IF(Table1[[#This Row],[Fetal Sex (Male, Female or Unknown)]]="Female",Backend!$C$7,IF(Table1[[#This Row],[Fetal Sex (Male, Female or Unknown)]]="Unknown",Backend!$C$8,"Error"))),"")</f>
        <v/>
      </c>
      <c r="F7418" s="8" t="str">
        <f>IF(Table1[[#This Row],[Is Data Valid]]=TRUE,EXP(0.578+0.332*((Table1[[#This Row],[Gestation (days)]]+0.5)/7)-0.00354*((Table1[[#This Row],[Gestation (days)]]+0.5)/7)^2)*Table1[[#This Row],[BW40_3705]],"")</f>
        <v/>
      </c>
      <c r="G7418" s="2" t="str">
        <f>IF(Table1[[#This Row],[Is Data Valid]]=TRUE,((Table1[[#This Row],[Birthweight (grams)]]/Table1[[#This Row],[BW_GA]])-1)/(Backend!$B$4/100*Table1[[#This Row],[BW40_3705]]),"")</f>
        <v/>
      </c>
      <c r="H7418" s="7" t="str">
        <f>IF(Table1[[#This Row],[Is Data Valid]]=TRUE,((Table1[[#This Row],[Birthweight (grams)]]*0.9/Table1[[#This Row],[BW_GA]])-1)/(Backend!$B$4/100*Table1[[#This Row],[BW40_3705]]),"")</f>
        <v/>
      </c>
      <c r="I7418" s="7" t="str">
        <f>IF(Table1[[#This Row],[Is Data Valid]]=TRUE,((Table1[[#This Row],[Birthweight (grams)]]*1.1/Table1[[#This Row],[BW_GA]])-1)/(Backend!$B$4/100*Table1[[#This Row],[BW40_3705]]),"")</f>
        <v/>
      </c>
      <c r="J7418" s="7" t="str">
        <f>IF(Table1[[#This Row],[Is Data Valid]]=TRUE,_xlfn.NORM.S.DIST(Table1[[#This Row],[Birthweight Z-Score]],TRUE)*100,"")</f>
        <v/>
      </c>
      <c r="K7418" s="7" t="str">
        <f>IF(Table1[[#This Row],[Is Data Valid]]=TRUE,_xlfn.NORM.S.DIST(Table1[[#This Row],[Birthweight Z-Score (BW-10%)]],TRUE)*100,"")</f>
        <v/>
      </c>
      <c r="L7418" s="7" t="str">
        <f>IF(Table1[[#This Row],[Is Data Valid]]=TRUE,_xlfn.NORM.S.DIST(Table1[[#This Row],[Birthweight Z-Score (BW+10%)]],TRUE)*100,"")</f>
        <v/>
      </c>
    </row>
    <row r="7419" spans="1:12" x14ac:dyDescent="0.35">
      <c r="A7419" s="3"/>
      <c r="B7419" s="2"/>
      <c r="C7419" s="2"/>
      <c r="D7419" s="2" t="b">
        <f>IF(AND(NOT(ISBLANK(Table1[[#This Row],[Fetal Sex (Male, Female or Unknown)]])),ISNUMBER(Table1[[#This Row],[Birthweight (grams)]]),ISNUMBER(Table1[[#This Row],[Gestation (days)]])),TRUE,FALSE)</f>
        <v>0</v>
      </c>
      <c r="E7419" s="2" t="str">
        <f>IF(Table1[[#This Row],[Is Data Valid]]=TRUE,IF(Table1[[#This Row],[Fetal Sex (Male, Female or Unknown)]]="Male",Backend!$C$6,IF(Table1[[#This Row],[Fetal Sex (Male, Female or Unknown)]]="Female",Backend!$C$7,IF(Table1[[#This Row],[Fetal Sex (Male, Female or Unknown)]]="Unknown",Backend!$C$8,"Error"))),"")</f>
        <v/>
      </c>
      <c r="F7419" s="8" t="str">
        <f>IF(Table1[[#This Row],[Is Data Valid]]=TRUE,EXP(0.578+0.332*((Table1[[#This Row],[Gestation (days)]]+0.5)/7)-0.00354*((Table1[[#This Row],[Gestation (days)]]+0.5)/7)^2)*Table1[[#This Row],[BW40_3705]],"")</f>
        <v/>
      </c>
      <c r="G7419" s="2" t="str">
        <f>IF(Table1[[#This Row],[Is Data Valid]]=TRUE,((Table1[[#This Row],[Birthweight (grams)]]/Table1[[#This Row],[BW_GA]])-1)/(Backend!$B$4/100*Table1[[#This Row],[BW40_3705]]),"")</f>
        <v/>
      </c>
      <c r="H7419" s="7" t="str">
        <f>IF(Table1[[#This Row],[Is Data Valid]]=TRUE,((Table1[[#This Row],[Birthweight (grams)]]*0.9/Table1[[#This Row],[BW_GA]])-1)/(Backend!$B$4/100*Table1[[#This Row],[BW40_3705]]),"")</f>
        <v/>
      </c>
      <c r="I7419" s="7" t="str">
        <f>IF(Table1[[#This Row],[Is Data Valid]]=TRUE,((Table1[[#This Row],[Birthweight (grams)]]*1.1/Table1[[#This Row],[BW_GA]])-1)/(Backend!$B$4/100*Table1[[#This Row],[BW40_3705]]),"")</f>
        <v/>
      </c>
      <c r="J7419" s="7" t="str">
        <f>IF(Table1[[#This Row],[Is Data Valid]]=TRUE,_xlfn.NORM.S.DIST(Table1[[#This Row],[Birthweight Z-Score]],TRUE)*100,"")</f>
        <v/>
      </c>
      <c r="K7419" s="7" t="str">
        <f>IF(Table1[[#This Row],[Is Data Valid]]=TRUE,_xlfn.NORM.S.DIST(Table1[[#This Row],[Birthweight Z-Score (BW-10%)]],TRUE)*100,"")</f>
        <v/>
      </c>
      <c r="L7419" s="7" t="str">
        <f>IF(Table1[[#This Row],[Is Data Valid]]=TRUE,_xlfn.NORM.S.DIST(Table1[[#This Row],[Birthweight Z-Score (BW+10%)]],TRUE)*100,"")</f>
        <v/>
      </c>
    </row>
    <row r="7420" spans="1:12" x14ac:dyDescent="0.35">
      <c r="A7420" s="3"/>
      <c r="B7420" s="2"/>
      <c r="C7420" s="2"/>
      <c r="D7420" s="2" t="b">
        <f>IF(AND(NOT(ISBLANK(Table1[[#This Row],[Fetal Sex (Male, Female or Unknown)]])),ISNUMBER(Table1[[#This Row],[Birthweight (grams)]]),ISNUMBER(Table1[[#This Row],[Gestation (days)]])),TRUE,FALSE)</f>
        <v>0</v>
      </c>
      <c r="E7420" s="2" t="str">
        <f>IF(Table1[[#This Row],[Is Data Valid]]=TRUE,IF(Table1[[#This Row],[Fetal Sex (Male, Female or Unknown)]]="Male",Backend!$C$6,IF(Table1[[#This Row],[Fetal Sex (Male, Female or Unknown)]]="Female",Backend!$C$7,IF(Table1[[#This Row],[Fetal Sex (Male, Female or Unknown)]]="Unknown",Backend!$C$8,"Error"))),"")</f>
        <v/>
      </c>
      <c r="F7420" s="8" t="str">
        <f>IF(Table1[[#This Row],[Is Data Valid]]=TRUE,EXP(0.578+0.332*((Table1[[#This Row],[Gestation (days)]]+0.5)/7)-0.00354*((Table1[[#This Row],[Gestation (days)]]+0.5)/7)^2)*Table1[[#This Row],[BW40_3705]],"")</f>
        <v/>
      </c>
      <c r="G7420" s="2" t="str">
        <f>IF(Table1[[#This Row],[Is Data Valid]]=TRUE,((Table1[[#This Row],[Birthweight (grams)]]/Table1[[#This Row],[BW_GA]])-1)/(Backend!$B$4/100*Table1[[#This Row],[BW40_3705]]),"")</f>
        <v/>
      </c>
      <c r="H7420" s="7" t="str">
        <f>IF(Table1[[#This Row],[Is Data Valid]]=TRUE,((Table1[[#This Row],[Birthweight (grams)]]*0.9/Table1[[#This Row],[BW_GA]])-1)/(Backend!$B$4/100*Table1[[#This Row],[BW40_3705]]),"")</f>
        <v/>
      </c>
      <c r="I7420" s="7" t="str">
        <f>IF(Table1[[#This Row],[Is Data Valid]]=TRUE,((Table1[[#This Row],[Birthweight (grams)]]*1.1/Table1[[#This Row],[BW_GA]])-1)/(Backend!$B$4/100*Table1[[#This Row],[BW40_3705]]),"")</f>
        <v/>
      </c>
      <c r="J7420" s="7" t="str">
        <f>IF(Table1[[#This Row],[Is Data Valid]]=TRUE,_xlfn.NORM.S.DIST(Table1[[#This Row],[Birthweight Z-Score]],TRUE)*100,"")</f>
        <v/>
      </c>
      <c r="K7420" s="7" t="str">
        <f>IF(Table1[[#This Row],[Is Data Valid]]=TRUE,_xlfn.NORM.S.DIST(Table1[[#This Row],[Birthweight Z-Score (BW-10%)]],TRUE)*100,"")</f>
        <v/>
      </c>
      <c r="L7420" s="7" t="str">
        <f>IF(Table1[[#This Row],[Is Data Valid]]=TRUE,_xlfn.NORM.S.DIST(Table1[[#This Row],[Birthweight Z-Score (BW+10%)]],TRUE)*100,"")</f>
        <v/>
      </c>
    </row>
    <row r="7421" spans="1:12" x14ac:dyDescent="0.35">
      <c r="A7421" s="3"/>
      <c r="B7421" s="2"/>
      <c r="C7421" s="2"/>
      <c r="D7421" s="2" t="b">
        <f>IF(AND(NOT(ISBLANK(Table1[[#This Row],[Fetal Sex (Male, Female or Unknown)]])),ISNUMBER(Table1[[#This Row],[Birthweight (grams)]]),ISNUMBER(Table1[[#This Row],[Gestation (days)]])),TRUE,FALSE)</f>
        <v>0</v>
      </c>
      <c r="E7421" s="2" t="str">
        <f>IF(Table1[[#This Row],[Is Data Valid]]=TRUE,IF(Table1[[#This Row],[Fetal Sex (Male, Female or Unknown)]]="Male",Backend!$C$6,IF(Table1[[#This Row],[Fetal Sex (Male, Female or Unknown)]]="Female",Backend!$C$7,IF(Table1[[#This Row],[Fetal Sex (Male, Female or Unknown)]]="Unknown",Backend!$C$8,"Error"))),"")</f>
        <v/>
      </c>
      <c r="F7421" s="8" t="str">
        <f>IF(Table1[[#This Row],[Is Data Valid]]=TRUE,EXP(0.578+0.332*((Table1[[#This Row],[Gestation (days)]]+0.5)/7)-0.00354*((Table1[[#This Row],[Gestation (days)]]+0.5)/7)^2)*Table1[[#This Row],[BW40_3705]],"")</f>
        <v/>
      </c>
      <c r="G7421" s="2" t="str">
        <f>IF(Table1[[#This Row],[Is Data Valid]]=TRUE,((Table1[[#This Row],[Birthweight (grams)]]/Table1[[#This Row],[BW_GA]])-1)/(Backend!$B$4/100*Table1[[#This Row],[BW40_3705]]),"")</f>
        <v/>
      </c>
      <c r="H7421" s="7" t="str">
        <f>IF(Table1[[#This Row],[Is Data Valid]]=TRUE,((Table1[[#This Row],[Birthweight (grams)]]*0.9/Table1[[#This Row],[BW_GA]])-1)/(Backend!$B$4/100*Table1[[#This Row],[BW40_3705]]),"")</f>
        <v/>
      </c>
      <c r="I7421" s="7" t="str">
        <f>IF(Table1[[#This Row],[Is Data Valid]]=TRUE,((Table1[[#This Row],[Birthweight (grams)]]*1.1/Table1[[#This Row],[BW_GA]])-1)/(Backend!$B$4/100*Table1[[#This Row],[BW40_3705]]),"")</f>
        <v/>
      </c>
      <c r="J7421" s="7" t="str">
        <f>IF(Table1[[#This Row],[Is Data Valid]]=TRUE,_xlfn.NORM.S.DIST(Table1[[#This Row],[Birthweight Z-Score]],TRUE)*100,"")</f>
        <v/>
      </c>
      <c r="K7421" s="7" t="str">
        <f>IF(Table1[[#This Row],[Is Data Valid]]=TRUE,_xlfn.NORM.S.DIST(Table1[[#This Row],[Birthweight Z-Score (BW-10%)]],TRUE)*100,"")</f>
        <v/>
      </c>
      <c r="L7421" s="7" t="str">
        <f>IF(Table1[[#This Row],[Is Data Valid]]=TRUE,_xlfn.NORM.S.DIST(Table1[[#This Row],[Birthweight Z-Score (BW+10%)]],TRUE)*100,"")</f>
        <v/>
      </c>
    </row>
    <row r="7422" spans="1:12" x14ac:dyDescent="0.35">
      <c r="A7422" s="3"/>
      <c r="B7422" s="2"/>
      <c r="C7422" s="2"/>
      <c r="D7422" s="2" t="b">
        <f>IF(AND(NOT(ISBLANK(Table1[[#This Row],[Fetal Sex (Male, Female or Unknown)]])),ISNUMBER(Table1[[#This Row],[Birthweight (grams)]]),ISNUMBER(Table1[[#This Row],[Gestation (days)]])),TRUE,FALSE)</f>
        <v>0</v>
      </c>
      <c r="E7422" s="2" t="str">
        <f>IF(Table1[[#This Row],[Is Data Valid]]=TRUE,IF(Table1[[#This Row],[Fetal Sex (Male, Female or Unknown)]]="Male",Backend!$C$6,IF(Table1[[#This Row],[Fetal Sex (Male, Female or Unknown)]]="Female",Backend!$C$7,IF(Table1[[#This Row],[Fetal Sex (Male, Female or Unknown)]]="Unknown",Backend!$C$8,"Error"))),"")</f>
        <v/>
      </c>
      <c r="F7422" s="8" t="str">
        <f>IF(Table1[[#This Row],[Is Data Valid]]=TRUE,EXP(0.578+0.332*((Table1[[#This Row],[Gestation (days)]]+0.5)/7)-0.00354*((Table1[[#This Row],[Gestation (days)]]+0.5)/7)^2)*Table1[[#This Row],[BW40_3705]],"")</f>
        <v/>
      </c>
      <c r="G7422" s="2" t="str">
        <f>IF(Table1[[#This Row],[Is Data Valid]]=TRUE,((Table1[[#This Row],[Birthweight (grams)]]/Table1[[#This Row],[BW_GA]])-1)/(Backend!$B$4/100*Table1[[#This Row],[BW40_3705]]),"")</f>
        <v/>
      </c>
      <c r="H7422" s="7" t="str">
        <f>IF(Table1[[#This Row],[Is Data Valid]]=TRUE,((Table1[[#This Row],[Birthweight (grams)]]*0.9/Table1[[#This Row],[BW_GA]])-1)/(Backend!$B$4/100*Table1[[#This Row],[BW40_3705]]),"")</f>
        <v/>
      </c>
      <c r="I7422" s="7" t="str">
        <f>IF(Table1[[#This Row],[Is Data Valid]]=TRUE,((Table1[[#This Row],[Birthweight (grams)]]*1.1/Table1[[#This Row],[BW_GA]])-1)/(Backend!$B$4/100*Table1[[#This Row],[BW40_3705]]),"")</f>
        <v/>
      </c>
      <c r="J7422" s="7" t="str">
        <f>IF(Table1[[#This Row],[Is Data Valid]]=TRUE,_xlfn.NORM.S.DIST(Table1[[#This Row],[Birthweight Z-Score]],TRUE)*100,"")</f>
        <v/>
      </c>
      <c r="K7422" s="7" t="str">
        <f>IF(Table1[[#This Row],[Is Data Valid]]=TRUE,_xlfn.NORM.S.DIST(Table1[[#This Row],[Birthweight Z-Score (BW-10%)]],TRUE)*100,"")</f>
        <v/>
      </c>
      <c r="L7422" s="7" t="str">
        <f>IF(Table1[[#This Row],[Is Data Valid]]=TRUE,_xlfn.NORM.S.DIST(Table1[[#This Row],[Birthweight Z-Score (BW+10%)]],TRUE)*100,"")</f>
        <v/>
      </c>
    </row>
    <row r="7423" spans="1:12" x14ac:dyDescent="0.35">
      <c r="A7423" s="3"/>
      <c r="B7423" s="2"/>
      <c r="C7423" s="2"/>
      <c r="D7423" s="2" t="b">
        <f>IF(AND(NOT(ISBLANK(Table1[[#This Row],[Fetal Sex (Male, Female or Unknown)]])),ISNUMBER(Table1[[#This Row],[Birthweight (grams)]]),ISNUMBER(Table1[[#This Row],[Gestation (days)]])),TRUE,FALSE)</f>
        <v>0</v>
      </c>
      <c r="E7423" s="2" t="str">
        <f>IF(Table1[[#This Row],[Is Data Valid]]=TRUE,IF(Table1[[#This Row],[Fetal Sex (Male, Female or Unknown)]]="Male",Backend!$C$6,IF(Table1[[#This Row],[Fetal Sex (Male, Female or Unknown)]]="Female",Backend!$C$7,IF(Table1[[#This Row],[Fetal Sex (Male, Female or Unknown)]]="Unknown",Backend!$C$8,"Error"))),"")</f>
        <v/>
      </c>
      <c r="F7423" s="8" t="str">
        <f>IF(Table1[[#This Row],[Is Data Valid]]=TRUE,EXP(0.578+0.332*((Table1[[#This Row],[Gestation (days)]]+0.5)/7)-0.00354*((Table1[[#This Row],[Gestation (days)]]+0.5)/7)^2)*Table1[[#This Row],[BW40_3705]],"")</f>
        <v/>
      </c>
      <c r="G7423" s="2" t="str">
        <f>IF(Table1[[#This Row],[Is Data Valid]]=TRUE,((Table1[[#This Row],[Birthweight (grams)]]/Table1[[#This Row],[BW_GA]])-1)/(Backend!$B$4/100*Table1[[#This Row],[BW40_3705]]),"")</f>
        <v/>
      </c>
      <c r="H7423" s="7" t="str">
        <f>IF(Table1[[#This Row],[Is Data Valid]]=TRUE,((Table1[[#This Row],[Birthweight (grams)]]*0.9/Table1[[#This Row],[BW_GA]])-1)/(Backend!$B$4/100*Table1[[#This Row],[BW40_3705]]),"")</f>
        <v/>
      </c>
      <c r="I7423" s="7" t="str">
        <f>IF(Table1[[#This Row],[Is Data Valid]]=TRUE,((Table1[[#This Row],[Birthweight (grams)]]*1.1/Table1[[#This Row],[BW_GA]])-1)/(Backend!$B$4/100*Table1[[#This Row],[BW40_3705]]),"")</f>
        <v/>
      </c>
      <c r="J7423" s="7" t="str">
        <f>IF(Table1[[#This Row],[Is Data Valid]]=TRUE,_xlfn.NORM.S.DIST(Table1[[#This Row],[Birthweight Z-Score]],TRUE)*100,"")</f>
        <v/>
      </c>
      <c r="K7423" s="7" t="str">
        <f>IF(Table1[[#This Row],[Is Data Valid]]=TRUE,_xlfn.NORM.S.DIST(Table1[[#This Row],[Birthweight Z-Score (BW-10%)]],TRUE)*100,"")</f>
        <v/>
      </c>
      <c r="L7423" s="7" t="str">
        <f>IF(Table1[[#This Row],[Is Data Valid]]=TRUE,_xlfn.NORM.S.DIST(Table1[[#This Row],[Birthweight Z-Score (BW+10%)]],TRUE)*100,"")</f>
        <v/>
      </c>
    </row>
    <row r="7424" spans="1:12" x14ac:dyDescent="0.35">
      <c r="A7424" s="3"/>
      <c r="B7424" s="2"/>
      <c r="C7424" s="2"/>
      <c r="D7424" s="2" t="b">
        <f>IF(AND(NOT(ISBLANK(Table1[[#This Row],[Fetal Sex (Male, Female or Unknown)]])),ISNUMBER(Table1[[#This Row],[Birthweight (grams)]]),ISNUMBER(Table1[[#This Row],[Gestation (days)]])),TRUE,FALSE)</f>
        <v>0</v>
      </c>
      <c r="E7424" s="2" t="str">
        <f>IF(Table1[[#This Row],[Is Data Valid]]=TRUE,IF(Table1[[#This Row],[Fetal Sex (Male, Female or Unknown)]]="Male",Backend!$C$6,IF(Table1[[#This Row],[Fetal Sex (Male, Female or Unknown)]]="Female",Backend!$C$7,IF(Table1[[#This Row],[Fetal Sex (Male, Female or Unknown)]]="Unknown",Backend!$C$8,"Error"))),"")</f>
        <v/>
      </c>
      <c r="F7424" s="8" t="str">
        <f>IF(Table1[[#This Row],[Is Data Valid]]=TRUE,EXP(0.578+0.332*((Table1[[#This Row],[Gestation (days)]]+0.5)/7)-0.00354*((Table1[[#This Row],[Gestation (days)]]+0.5)/7)^2)*Table1[[#This Row],[BW40_3705]],"")</f>
        <v/>
      </c>
      <c r="G7424" s="2" t="str">
        <f>IF(Table1[[#This Row],[Is Data Valid]]=TRUE,((Table1[[#This Row],[Birthweight (grams)]]/Table1[[#This Row],[BW_GA]])-1)/(Backend!$B$4/100*Table1[[#This Row],[BW40_3705]]),"")</f>
        <v/>
      </c>
      <c r="H7424" s="7" t="str">
        <f>IF(Table1[[#This Row],[Is Data Valid]]=TRUE,((Table1[[#This Row],[Birthweight (grams)]]*0.9/Table1[[#This Row],[BW_GA]])-1)/(Backend!$B$4/100*Table1[[#This Row],[BW40_3705]]),"")</f>
        <v/>
      </c>
      <c r="I7424" s="7" t="str">
        <f>IF(Table1[[#This Row],[Is Data Valid]]=TRUE,((Table1[[#This Row],[Birthweight (grams)]]*1.1/Table1[[#This Row],[BW_GA]])-1)/(Backend!$B$4/100*Table1[[#This Row],[BW40_3705]]),"")</f>
        <v/>
      </c>
      <c r="J7424" s="7" t="str">
        <f>IF(Table1[[#This Row],[Is Data Valid]]=TRUE,_xlfn.NORM.S.DIST(Table1[[#This Row],[Birthweight Z-Score]],TRUE)*100,"")</f>
        <v/>
      </c>
      <c r="K7424" s="7" t="str">
        <f>IF(Table1[[#This Row],[Is Data Valid]]=TRUE,_xlfn.NORM.S.DIST(Table1[[#This Row],[Birthweight Z-Score (BW-10%)]],TRUE)*100,"")</f>
        <v/>
      </c>
      <c r="L7424" s="7" t="str">
        <f>IF(Table1[[#This Row],[Is Data Valid]]=TRUE,_xlfn.NORM.S.DIST(Table1[[#This Row],[Birthweight Z-Score (BW+10%)]],TRUE)*100,"")</f>
        <v/>
      </c>
    </row>
    <row r="7425" spans="1:12" x14ac:dyDescent="0.35">
      <c r="A7425" s="3"/>
      <c r="B7425" s="2"/>
      <c r="C7425" s="2"/>
      <c r="D7425" s="2" t="b">
        <f>IF(AND(NOT(ISBLANK(Table1[[#This Row],[Fetal Sex (Male, Female or Unknown)]])),ISNUMBER(Table1[[#This Row],[Birthweight (grams)]]),ISNUMBER(Table1[[#This Row],[Gestation (days)]])),TRUE,FALSE)</f>
        <v>0</v>
      </c>
      <c r="E7425" s="2" t="str">
        <f>IF(Table1[[#This Row],[Is Data Valid]]=TRUE,IF(Table1[[#This Row],[Fetal Sex (Male, Female or Unknown)]]="Male",Backend!$C$6,IF(Table1[[#This Row],[Fetal Sex (Male, Female or Unknown)]]="Female",Backend!$C$7,IF(Table1[[#This Row],[Fetal Sex (Male, Female or Unknown)]]="Unknown",Backend!$C$8,"Error"))),"")</f>
        <v/>
      </c>
      <c r="F7425" s="8" t="str">
        <f>IF(Table1[[#This Row],[Is Data Valid]]=TRUE,EXP(0.578+0.332*((Table1[[#This Row],[Gestation (days)]]+0.5)/7)-0.00354*((Table1[[#This Row],[Gestation (days)]]+0.5)/7)^2)*Table1[[#This Row],[BW40_3705]],"")</f>
        <v/>
      </c>
      <c r="G7425" s="2" t="str">
        <f>IF(Table1[[#This Row],[Is Data Valid]]=TRUE,((Table1[[#This Row],[Birthweight (grams)]]/Table1[[#This Row],[BW_GA]])-1)/(Backend!$B$4/100*Table1[[#This Row],[BW40_3705]]),"")</f>
        <v/>
      </c>
      <c r="H7425" s="7" t="str">
        <f>IF(Table1[[#This Row],[Is Data Valid]]=TRUE,((Table1[[#This Row],[Birthweight (grams)]]*0.9/Table1[[#This Row],[BW_GA]])-1)/(Backend!$B$4/100*Table1[[#This Row],[BW40_3705]]),"")</f>
        <v/>
      </c>
      <c r="I7425" s="7" t="str">
        <f>IF(Table1[[#This Row],[Is Data Valid]]=TRUE,((Table1[[#This Row],[Birthweight (grams)]]*1.1/Table1[[#This Row],[BW_GA]])-1)/(Backend!$B$4/100*Table1[[#This Row],[BW40_3705]]),"")</f>
        <v/>
      </c>
      <c r="J7425" s="7" t="str">
        <f>IF(Table1[[#This Row],[Is Data Valid]]=TRUE,_xlfn.NORM.S.DIST(Table1[[#This Row],[Birthweight Z-Score]],TRUE)*100,"")</f>
        <v/>
      </c>
      <c r="K7425" s="7" t="str">
        <f>IF(Table1[[#This Row],[Is Data Valid]]=TRUE,_xlfn.NORM.S.DIST(Table1[[#This Row],[Birthweight Z-Score (BW-10%)]],TRUE)*100,"")</f>
        <v/>
      </c>
      <c r="L7425" s="7" t="str">
        <f>IF(Table1[[#This Row],[Is Data Valid]]=TRUE,_xlfn.NORM.S.DIST(Table1[[#This Row],[Birthweight Z-Score (BW+10%)]],TRUE)*100,"")</f>
        <v/>
      </c>
    </row>
    <row r="7426" spans="1:12" x14ac:dyDescent="0.35">
      <c r="A7426" s="3"/>
      <c r="B7426" s="2"/>
      <c r="C7426" s="2"/>
      <c r="D7426" s="2" t="b">
        <f>IF(AND(NOT(ISBLANK(Table1[[#This Row],[Fetal Sex (Male, Female or Unknown)]])),ISNUMBER(Table1[[#This Row],[Birthweight (grams)]]),ISNUMBER(Table1[[#This Row],[Gestation (days)]])),TRUE,FALSE)</f>
        <v>0</v>
      </c>
      <c r="E7426" s="2" t="str">
        <f>IF(Table1[[#This Row],[Is Data Valid]]=TRUE,IF(Table1[[#This Row],[Fetal Sex (Male, Female or Unknown)]]="Male",Backend!$C$6,IF(Table1[[#This Row],[Fetal Sex (Male, Female or Unknown)]]="Female",Backend!$C$7,IF(Table1[[#This Row],[Fetal Sex (Male, Female or Unknown)]]="Unknown",Backend!$C$8,"Error"))),"")</f>
        <v/>
      </c>
      <c r="F7426" s="8" t="str">
        <f>IF(Table1[[#This Row],[Is Data Valid]]=TRUE,EXP(0.578+0.332*((Table1[[#This Row],[Gestation (days)]]+0.5)/7)-0.00354*((Table1[[#This Row],[Gestation (days)]]+0.5)/7)^2)*Table1[[#This Row],[BW40_3705]],"")</f>
        <v/>
      </c>
      <c r="G7426" s="2" t="str">
        <f>IF(Table1[[#This Row],[Is Data Valid]]=TRUE,((Table1[[#This Row],[Birthweight (grams)]]/Table1[[#This Row],[BW_GA]])-1)/(Backend!$B$4/100*Table1[[#This Row],[BW40_3705]]),"")</f>
        <v/>
      </c>
      <c r="H7426" s="7" t="str">
        <f>IF(Table1[[#This Row],[Is Data Valid]]=TRUE,((Table1[[#This Row],[Birthweight (grams)]]*0.9/Table1[[#This Row],[BW_GA]])-1)/(Backend!$B$4/100*Table1[[#This Row],[BW40_3705]]),"")</f>
        <v/>
      </c>
      <c r="I7426" s="7" t="str">
        <f>IF(Table1[[#This Row],[Is Data Valid]]=TRUE,((Table1[[#This Row],[Birthweight (grams)]]*1.1/Table1[[#This Row],[BW_GA]])-1)/(Backend!$B$4/100*Table1[[#This Row],[BW40_3705]]),"")</f>
        <v/>
      </c>
      <c r="J7426" s="7" t="str">
        <f>IF(Table1[[#This Row],[Is Data Valid]]=TRUE,_xlfn.NORM.S.DIST(Table1[[#This Row],[Birthweight Z-Score]],TRUE)*100,"")</f>
        <v/>
      </c>
      <c r="K7426" s="7" t="str">
        <f>IF(Table1[[#This Row],[Is Data Valid]]=TRUE,_xlfn.NORM.S.DIST(Table1[[#This Row],[Birthweight Z-Score (BW-10%)]],TRUE)*100,"")</f>
        <v/>
      </c>
      <c r="L7426" s="7" t="str">
        <f>IF(Table1[[#This Row],[Is Data Valid]]=TRUE,_xlfn.NORM.S.DIST(Table1[[#This Row],[Birthweight Z-Score (BW+10%)]],TRUE)*100,"")</f>
        <v/>
      </c>
    </row>
    <row r="7427" spans="1:12" x14ac:dyDescent="0.35">
      <c r="A7427" s="3"/>
      <c r="B7427" s="2"/>
      <c r="C7427" s="2"/>
      <c r="D7427" s="2" t="b">
        <f>IF(AND(NOT(ISBLANK(Table1[[#This Row],[Fetal Sex (Male, Female or Unknown)]])),ISNUMBER(Table1[[#This Row],[Birthweight (grams)]]),ISNUMBER(Table1[[#This Row],[Gestation (days)]])),TRUE,FALSE)</f>
        <v>0</v>
      </c>
      <c r="E7427" s="2" t="str">
        <f>IF(Table1[[#This Row],[Is Data Valid]]=TRUE,IF(Table1[[#This Row],[Fetal Sex (Male, Female or Unknown)]]="Male",Backend!$C$6,IF(Table1[[#This Row],[Fetal Sex (Male, Female or Unknown)]]="Female",Backend!$C$7,IF(Table1[[#This Row],[Fetal Sex (Male, Female or Unknown)]]="Unknown",Backend!$C$8,"Error"))),"")</f>
        <v/>
      </c>
      <c r="F7427" s="8" t="str">
        <f>IF(Table1[[#This Row],[Is Data Valid]]=TRUE,EXP(0.578+0.332*((Table1[[#This Row],[Gestation (days)]]+0.5)/7)-0.00354*((Table1[[#This Row],[Gestation (days)]]+0.5)/7)^2)*Table1[[#This Row],[BW40_3705]],"")</f>
        <v/>
      </c>
      <c r="G7427" s="2" t="str">
        <f>IF(Table1[[#This Row],[Is Data Valid]]=TRUE,((Table1[[#This Row],[Birthweight (grams)]]/Table1[[#This Row],[BW_GA]])-1)/(Backend!$B$4/100*Table1[[#This Row],[BW40_3705]]),"")</f>
        <v/>
      </c>
      <c r="H7427" s="7" t="str">
        <f>IF(Table1[[#This Row],[Is Data Valid]]=TRUE,((Table1[[#This Row],[Birthweight (grams)]]*0.9/Table1[[#This Row],[BW_GA]])-1)/(Backend!$B$4/100*Table1[[#This Row],[BW40_3705]]),"")</f>
        <v/>
      </c>
      <c r="I7427" s="7" t="str">
        <f>IF(Table1[[#This Row],[Is Data Valid]]=TRUE,((Table1[[#This Row],[Birthweight (grams)]]*1.1/Table1[[#This Row],[BW_GA]])-1)/(Backend!$B$4/100*Table1[[#This Row],[BW40_3705]]),"")</f>
        <v/>
      </c>
      <c r="J7427" s="7" t="str">
        <f>IF(Table1[[#This Row],[Is Data Valid]]=TRUE,_xlfn.NORM.S.DIST(Table1[[#This Row],[Birthweight Z-Score]],TRUE)*100,"")</f>
        <v/>
      </c>
      <c r="K7427" s="7" t="str">
        <f>IF(Table1[[#This Row],[Is Data Valid]]=TRUE,_xlfn.NORM.S.DIST(Table1[[#This Row],[Birthweight Z-Score (BW-10%)]],TRUE)*100,"")</f>
        <v/>
      </c>
      <c r="L7427" s="7" t="str">
        <f>IF(Table1[[#This Row],[Is Data Valid]]=TRUE,_xlfn.NORM.S.DIST(Table1[[#This Row],[Birthweight Z-Score (BW+10%)]],TRUE)*100,"")</f>
        <v/>
      </c>
    </row>
    <row r="7428" spans="1:12" x14ac:dyDescent="0.35">
      <c r="A7428" s="3"/>
      <c r="B7428" s="2"/>
      <c r="C7428" s="2"/>
      <c r="D7428" s="2" t="b">
        <f>IF(AND(NOT(ISBLANK(Table1[[#This Row],[Fetal Sex (Male, Female or Unknown)]])),ISNUMBER(Table1[[#This Row],[Birthweight (grams)]]),ISNUMBER(Table1[[#This Row],[Gestation (days)]])),TRUE,FALSE)</f>
        <v>0</v>
      </c>
      <c r="E7428" s="2" t="str">
        <f>IF(Table1[[#This Row],[Is Data Valid]]=TRUE,IF(Table1[[#This Row],[Fetal Sex (Male, Female or Unknown)]]="Male",Backend!$C$6,IF(Table1[[#This Row],[Fetal Sex (Male, Female or Unknown)]]="Female",Backend!$C$7,IF(Table1[[#This Row],[Fetal Sex (Male, Female or Unknown)]]="Unknown",Backend!$C$8,"Error"))),"")</f>
        <v/>
      </c>
      <c r="F7428" s="8" t="str">
        <f>IF(Table1[[#This Row],[Is Data Valid]]=TRUE,EXP(0.578+0.332*((Table1[[#This Row],[Gestation (days)]]+0.5)/7)-0.00354*((Table1[[#This Row],[Gestation (days)]]+0.5)/7)^2)*Table1[[#This Row],[BW40_3705]],"")</f>
        <v/>
      </c>
      <c r="G7428" s="2" t="str">
        <f>IF(Table1[[#This Row],[Is Data Valid]]=TRUE,((Table1[[#This Row],[Birthweight (grams)]]/Table1[[#This Row],[BW_GA]])-1)/(Backend!$B$4/100*Table1[[#This Row],[BW40_3705]]),"")</f>
        <v/>
      </c>
      <c r="H7428" s="7" t="str">
        <f>IF(Table1[[#This Row],[Is Data Valid]]=TRUE,((Table1[[#This Row],[Birthweight (grams)]]*0.9/Table1[[#This Row],[BW_GA]])-1)/(Backend!$B$4/100*Table1[[#This Row],[BW40_3705]]),"")</f>
        <v/>
      </c>
      <c r="I7428" s="7" t="str">
        <f>IF(Table1[[#This Row],[Is Data Valid]]=TRUE,((Table1[[#This Row],[Birthweight (grams)]]*1.1/Table1[[#This Row],[BW_GA]])-1)/(Backend!$B$4/100*Table1[[#This Row],[BW40_3705]]),"")</f>
        <v/>
      </c>
      <c r="J7428" s="7" t="str">
        <f>IF(Table1[[#This Row],[Is Data Valid]]=TRUE,_xlfn.NORM.S.DIST(Table1[[#This Row],[Birthweight Z-Score]],TRUE)*100,"")</f>
        <v/>
      </c>
      <c r="K7428" s="7" t="str">
        <f>IF(Table1[[#This Row],[Is Data Valid]]=TRUE,_xlfn.NORM.S.DIST(Table1[[#This Row],[Birthweight Z-Score (BW-10%)]],TRUE)*100,"")</f>
        <v/>
      </c>
      <c r="L7428" s="7" t="str">
        <f>IF(Table1[[#This Row],[Is Data Valid]]=TRUE,_xlfn.NORM.S.DIST(Table1[[#This Row],[Birthweight Z-Score (BW+10%)]],TRUE)*100,"")</f>
        <v/>
      </c>
    </row>
    <row r="7429" spans="1:12" x14ac:dyDescent="0.35">
      <c r="A7429" s="3"/>
      <c r="B7429" s="2"/>
      <c r="C7429" s="2"/>
      <c r="D7429" s="2" t="b">
        <f>IF(AND(NOT(ISBLANK(Table1[[#This Row],[Fetal Sex (Male, Female or Unknown)]])),ISNUMBER(Table1[[#This Row],[Birthweight (grams)]]),ISNUMBER(Table1[[#This Row],[Gestation (days)]])),TRUE,FALSE)</f>
        <v>0</v>
      </c>
      <c r="E7429" s="2" t="str">
        <f>IF(Table1[[#This Row],[Is Data Valid]]=TRUE,IF(Table1[[#This Row],[Fetal Sex (Male, Female or Unknown)]]="Male",Backend!$C$6,IF(Table1[[#This Row],[Fetal Sex (Male, Female or Unknown)]]="Female",Backend!$C$7,IF(Table1[[#This Row],[Fetal Sex (Male, Female or Unknown)]]="Unknown",Backend!$C$8,"Error"))),"")</f>
        <v/>
      </c>
      <c r="F7429" s="8" t="str">
        <f>IF(Table1[[#This Row],[Is Data Valid]]=TRUE,EXP(0.578+0.332*((Table1[[#This Row],[Gestation (days)]]+0.5)/7)-0.00354*((Table1[[#This Row],[Gestation (days)]]+0.5)/7)^2)*Table1[[#This Row],[BW40_3705]],"")</f>
        <v/>
      </c>
      <c r="G7429" s="2" t="str">
        <f>IF(Table1[[#This Row],[Is Data Valid]]=TRUE,((Table1[[#This Row],[Birthweight (grams)]]/Table1[[#This Row],[BW_GA]])-1)/(Backend!$B$4/100*Table1[[#This Row],[BW40_3705]]),"")</f>
        <v/>
      </c>
      <c r="H7429" s="7" t="str">
        <f>IF(Table1[[#This Row],[Is Data Valid]]=TRUE,((Table1[[#This Row],[Birthweight (grams)]]*0.9/Table1[[#This Row],[BW_GA]])-1)/(Backend!$B$4/100*Table1[[#This Row],[BW40_3705]]),"")</f>
        <v/>
      </c>
      <c r="I7429" s="7" t="str">
        <f>IF(Table1[[#This Row],[Is Data Valid]]=TRUE,((Table1[[#This Row],[Birthweight (grams)]]*1.1/Table1[[#This Row],[BW_GA]])-1)/(Backend!$B$4/100*Table1[[#This Row],[BW40_3705]]),"")</f>
        <v/>
      </c>
      <c r="J7429" s="7" t="str">
        <f>IF(Table1[[#This Row],[Is Data Valid]]=TRUE,_xlfn.NORM.S.DIST(Table1[[#This Row],[Birthweight Z-Score]],TRUE)*100,"")</f>
        <v/>
      </c>
      <c r="K7429" s="7" t="str">
        <f>IF(Table1[[#This Row],[Is Data Valid]]=TRUE,_xlfn.NORM.S.DIST(Table1[[#This Row],[Birthweight Z-Score (BW-10%)]],TRUE)*100,"")</f>
        <v/>
      </c>
      <c r="L7429" s="7" t="str">
        <f>IF(Table1[[#This Row],[Is Data Valid]]=TRUE,_xlfn.NORM.S.DIST(Table1[[#This Row],[Birthweight Z-Score (BW+10%)]],TRUE)*100,"")</f>
        <v/>
      </c>
    </row>
    <row r="7430" spans="1:12" x14ac:dyDescent="0.35">
      <c r="A7430" s="3"/>
      <c r="B7430" s="2"/>
      <c r="C7430" s="2"/>
      <c r="D7430" s="2" t="b">
        <f>IF(AND(NOT(ISBLANK(Table1[[#This Row],[Fetal Sex (Male, Female or Unknown)]])),ISNUMBER(Table1[[#This Row],[Birthweight (grams)]]),ISNUMBER(Table1[[#This Row],[Gestation (days)]])),TRUE,FALSE)</f>
        <v>0</v>
      </c>
      <c r="E7430" s="2" t="str">
        <f>IF(Table1[[#This Row],[Is Data Valid]]=TRUE,IF(Table1[[#This Row],[Fetal Sex (Male, Female or Unknown)]]="Male",Backend!$C$6,IF(Table1[[#This Row],[Fetal Sex (Male, Female or Unknown)]]="Female",Backend!$C$7,IF(Table1[[#This Row],[Fetal Sex (Male, Female or Unknown)]]="Unknown",Backend!$C$8,"Error"))),"")</f>
        <v/>
      </c>
      <c r="F7430" s="8" t="str">
        <f>IF(Table1[[#This Row],[Is Data Valid]]=TRUE,EXP(0.578+0.332*((Table1[[#This Row],[Gestation (days)]]+0.5)/7)-0.00354*((Table1[[#This Row],[Gestation (days)]]+0.5)/7)^2)*Table1[[#This Row],[BW40_3705]],"")</f>
        <v/>
      </c>
      <c r="G7430" s="2" t="str">
        <f>IF(Table1[[#This Row],[Is Data Valid]]=TRUE,((Table1[[#This Row],[Birthweight (grams)]]/Table1[[#This Row],[BW_GA]])-1)/(Backend!$B$4/100*Table1[[#This Row],[BW40_3705]]),"")</f>
        <v/>
      </c>
      <c r="H7430" s="7" t="str">
        <f>IF(Table1[[#This Row],[Is Data Valid]]=TRUE,((Table1[[#This Row],[Birthweight (grams)]]*0.9/Table1[[#This Row],[BW_GA]])-1)/(Backend!$B$4/100*Table1[[#This Row],[BW40_3705]]),"")</f>
        <v/>
      </c>
      <c r="I7430" s="7" t="str">
        <f>IF(Table1[[#This Row],[Is Data Valid]]=TRUE,((Table1[[#This Row],[Birthweight (grams)]]*1.1/Table1[[#This Row],[BW_GA]])-1)/(Backend!$B$4/100*Table1[[#This Row],[BW40_3705]]),"")</f>
        <v/>
      </c>
      <c r="J7430" s="7" t="str">
        <f>IF(Table1[[#This Row],[Is Data Valid]]=TRUE,_xlfn.NORM.S.DIST(Table1[[#This Row],[Birthweight Z-Score]],TRUE)*100,"")</f>
        <v/>
      </c>
      <c r="K7430" s="7" t="str">
        <f>IF(Table1[[#This Row],[Is Data Valid]]=TRUE,_xlfn.NORM.S.DIST(Table1[[#This Row],[Birthweight Z-Score (BW-10%)]],TRUE)*100,"")</f>
        <v/>
      </c>
      <c r="L7430" s="7" t="str">
        <f>IF(Table1[[#This Row],[Is Data Valid]]=TRUE,_xlfn.NORM.S.DIST(Table1[[#This Row],[Birthweight Z-Score (BW+10%)]],TRUE)*100,"")</f>
        <v/>
      </c>
    </row>
    <row r="7431" spans="1:12" x14ac:dyDescent="0.35">
      <c r="A7431" s="3"/>
      <c r="B7431" s="2"/>
      <c r="C7431" s="2"/>
      <c r="D7431" s="2" t="b">
        <f>IF(AND(NOT(ISBLANK(Table1[[#This Row],[Fetal Sex (Male, Female or Unknown)]])),ISNUMBER(Table1[[#This Row],[Birthweight (grams)]]),ISNUMBER(Table1[[#This Row],[Gestation (days)]])),TRUE,FALSE)</f>
        <v>0</v>
      </c>
      <c r="E7431" s="2" t="str">
        <f>IF(Table1[[#This Row],[Is Data Valid]]=TRUE,IF(Table1[[#This Row],[Fetal Sex (Male, Female or Unknown)]]="Male",Backend!$C$6,IF(Table1[[#This Row],[Fetal Sex (Male, Female or Unknown)]]="Female",Backend!$C$7,IF(Table1[[#This Row],[Fetal Sex (Male, Female or Unknown)]]="Unknown",Backend!$C$8,"Error"))),"")</f>
        <v/>
      </c>
      <c r="F7431" s="8" t="str">
        <f>IF(Table1[[#This Row],[Is Data Valid]]=TRUE,EXP(0.578+0.332*((Table1[[#This Row],[Gestation (days)]]+0.5)/7)-0.00354*((Table1[[#This Row],[Gestation (days)]]+0.5)/7)^2)*Table1[[#This Row],[BW40_3705]],"")</f>
        <v/>
      </c>
      <c r="G7431" s="2" t="str">
        <f>IF(Table1[[#This Row],[Is Data Valid]]=TRUE,((Table1[[#This Row],[Birthweight (grams)]]/Table1[[#This Row],[BW_GA]])-1)/(Backend!$B$4/100*Table1[[#This Row],[BW40_3705]]),"")</f>
        <v/>
      </c>
      <c r="H7431" s="7" t="str">
        <f>IF(Table1[[#This Row],[Is Data Valid]]=TRUE,((Table1[[#This Row],[Birthweight (grams)]]*0.9/Table1[[#This Row],[BW_GA]])-1)/(Backend!$B$4/100*Table1[[#This Row],[BW40_3705]]),"")</f>
        <v/>
      </c>
      <c r="I7431" s="7" t="str">
        <f>IF(Table1[[#This Row],[Is Data Valid]]=TRUE,((Table1[[#This Row],[Birthweight (grams)]]*1.1/Table1[[#This Row],[BW_GA]])-1)/(Backend!$B$4/100*Table1[[#This Row],[BW40_3705]]),"")</f>
        <v/>
      </c>
      <c r="J7431" s="7" t="str">
        <f>IF(Table1[[#This Row],[Is Data Valid]]=TRUE,_xlfn.NORM.S.DIST(Table1[[#This Row],[Birthweight Z-Score]],TRUE)*100,"")</f>
        <v/>
      </c>
      <c r="K7431" s="7" t="str">
        <f>IF(Table1[[#This Row],[Is Data Valid]]=TRUE,_xlfn.NORM.S.DIST(Table1[[#This Row],[Birthweight Z-Score (BW-10%)]],TRUE)*100,"")</f>
        <v/>
      </c>
      <c r="L7431" s="7" t="str">
        <f>IF(Table1[[#This Row],[Is Data Valid]]=TRUE,_xlfn.NORM.S.DIST(Table1[[#This Row],[Birthweight Z-Score (BW+10%)]],TRUE)*100,"")</f>
        <v/>
      </c>
    </row>
    <row r="7432" spans="1:12" x14ac:dyDescent="0.35">
      <c r="A7432" s="3"/>
      <c r="B7432" s="2"/>
      <c r="C7432" s="2"/>
      <c r="D7432" s="2" t="b">
        <f>IF(AND(NOT(ISBLANK(Table1[[#This Row],[Fetal Sex (Male, Female or Unknown)]])),ISNUMBER(Table1[[#This Row],[Birthweight (grams)]]),ISNUMBER(Table1[[#This Row],[Gestation (days)]])),TRUE,FALSE)</f>
        <v>0</v>
      </c>
      <c r="E7432" s="2" t="str">
        <f>IF(Table1[[#This Row],[Is Data Valid]]=TRUE,IF(Table1[[#This Row],[Fetal Sex (Male, Female or Unknown)]]="Male",Backend!$C$6,IF(Table1[[#This Row],[Fetal Sex (Male, Female or Unknown)]]="Female",Backend!$C$7,IF(Table1[[#This Row],[Fetal Sex (Male, Female or Unknown)]]="Unknown",Backend!$C$8,"Error"))),"")</f>
        <v/>
      </c>
      <c r="F7432" s="8" t="str">
        <f>IF(Table1[[#This Row],[Is Data Valid]]=TRUE,EXP(0.578+0.332*((Table1[[#This Row],[Gestation (days)]]+0.5)/7)-0.00354*((Table1[[#This Row],[Gestation (days)]]+0.5)/7)^2)*Table1[[#This Row],[BW40_3705]],"")</f>
        <v/>
      </c>
      <c r="G7432" s="2" t="str">
        <f>IF(Table1[[#This Row],[Is Data Valid]]=TRUE,((Table1[[#This Row],[Birthweight (grams)]]/Table1[[#This Row],[BW_GA]])-1)/(Backend!$B$4/100*Table1[[#This Row],[BW40_3705]]),"")</f>
        <v/>
      </c>
      <c r="H7432" s="7" t="str">
        <f>IF(Table1[[#This Row],[Is Data Valid]]=TRUE,((Table1[[#This Row],[Birthweight (grams)]]*0.9/Table1[[#This Row],[BW_GA]])-1)/(Backend!$B$4/100*Table1[[#This Row],[BW40_3705]]),"")</f>
        <v/>
      </c>
      <c r="I7432" s="7" t="str">
        <f>IF(Table1[[#This Row],[Is Data Valid]]=TRUE,((Table1[[#This Row],[Birthweight (grams)]]*1.1/Table1[[#This Row],[BW_GA]])-1)/(Backend!$B$4/100*Table1[[#This Row],[BW40_3705]]),"")</f>
        <v/>
      </c>
      <c r="J7432" s="7" t="str">
        <f>IF(Table1[[#This Row],[Is Data Valid]]=TRUE,_xlfn.NORM.S.DIST(Table1[[#This Row],[Birthweight Z-Score]],TRUE)*100,"")</f>
        <v/>
      </c>
      <c r="K7432" s="7" t="str">
        <f>IF(Table1[[#This Row],[Is Data Valid]]=TRUE,_xlfn.NORM.S.DIST(Table1[[#This Row],[Birthweight Z-Score (BW-10%)]],TRUE)*100,"")</f>
        <v/>
      </c>
      <c r="L7432" s="7" t="str">
        <f>IF(Table1[[#This Row],[Is Data Valid]]=TRUE,_xlfn.NORM.S.DIST(Table1[[#This Row],[Birthweight Z-Score (BW+10%)]],TRUE)*100,"")</f>
        <v/>
      </c>
    </row>
    <row r="7433" spans="1:12" x14ac:dyDescent="0.35">
      <c r="A7433" s="3"/>
      <c r="B7433" s="2"/>
      <c r="C7433" s="2"/>
      <c r="D7433" s="2" t="b">
        <f>IF(AND(NOT(ISBLANK(Table1[[#This Row],[Fetal Sex (Male, Female or Unknown)]])),ISNUMBER(Table1[[#This Row],[Birthweight (grams)]]),ISNUMBER(Table1[[#This Row],[Gestation (days)]])),TRUE,FALSE)</f>
        <v>0</v>
      </c>
      <c r="E7433" s="2" t="str">
        <f>IF(Table1[[#This Row],[Is Data Valid]]=TRUE,IF(Table1[[#This Row],[Fetal Sex (Male, Female or Unknown)]]="Male",Backend!$C$6,IF(Table1[[#This Row],[Fetal Sex (Male, Female or Unknown)]]="Female",Backend!$C$7,IF(Table1[[#This Row],[Fetal Sex (Male, Female or Unknown)]]="Unknown",Backend!$C$8,"Error"))),"")</f>
        <v/>
      </c>
      <c r="F7433" s="8" t="str">
        <f>IF(Table1[[#This Row],[Is Data Valid]]=TRUE,EXP(0.578+0.332*((Table1[[#This Row],[Gestation (days)]]+0.5)/7)-0.00354*((Table1[[#This Row],[Gestation (days)]]+0.5)/7)^2)*Table1[[#This Row],[BW40_3705]],"")</f>
        <v/>
      </c>
      <c r="G7433" s="2" t="str">
        <f>IF(Table1[[#This Row],[Is Data Valid]]=TRUE,((Table1[[#This Row],[Birthweight (grams)]]/Table1[[#This Row],[BW_GA]])-1)/(Backend!$B$4/100*Table1[[#This Row],[BW40_3705]]),"")</f>
        <v/>
      </c>
      <c r="H7433" s="7" t="str">
        <f>IF(Table1[[#This Row],[Is Data Valid]]=TRUE,((Table1[[#This Row],[Birthweight (grams)]]*0.9/Table1[[#This Row],[BW_GA]])-1)/(Backend!$B$4/100*Table1[[#This Row],[BW40_3705]]),"")</f>
        <v/>
      </c>
      <c r="I7433" s="7" t="str">
        <f>IF(Table1[[#This Row],[Is Data Valid]]=TRUE,((Table1[[#This Row],[Birthweight (grams)]]*1.1/Table1[[#This Row],[BW_GA]])-1)/(Backend!$B$4/100*Table1[[#This Row],[BW40_3705]]),"")</f>
        <v/>
      </c>
      <c r="J7433" s="7" t="str">
        <f>IF(Table1[[#This Row],[Is Data Valid]]=TRUE,_xlfn.NORM.S.DIST(Table1[[#This Row],[Birthweight Z-Score]],TRUE)*100,"")</f>
        <v/>
      </c>
      <c r="K7433" s="7" t="str">
        <f>IF(Table1[[#This Row],[Is Data Valid]]=TRUE,_xlfn.NORM.S.DIST(Table1[[#This Row],[Birthweight Z-Score (BW-10%)]],TRUE)*100,"")</f>
        <v/>
      </c>
      <c r="L7433" s="7" t="str">
        <f>IF(Table1[[#This Row],[Is Data Valid]]=TRUE,_xlfn.NORM.S.DIST(Table1[[#This Row],[Birthweight Z-Score (BW+10%)]],TRUE)*100,"")</f>
        <v/>
      </c>
    </row>
    <row r="7434" spans="1:12" x14ac:dyDescent="0.35">
      <c r="A7434" s="3"/>
      <c r="B7434" s="2"/>
      <c r="C7434" s="2"/>
      <c r="D7434" s="2" t="b">
        <f>IF(AND(NOT(ISBLANK(Table1[[#This Row],[Fetal Sex (Male, Female or Unknown)]])),ISNUMBER(Table1[[#This Row],[Birthweight (grams)]]),ISNUMBER(Table1[[#This Row],[Gestation (days)]])),TRUE,FALSE)</f>
        <v>0</v>
      </c>
      <c r="E7434" s="2" t="str">
        <f>IF(Table1[[#This Row],[Is Data Valid]]=TRUE,IF(Table1[[#This Row],[Fetal Sex (Male, Female or Unknown)]]="Male",Backend!$C$6,IF(Table1[[#This Row],[Fetal Sex (Male, Female or Unknown)]]="Female",Backend!$C$7,IF(Table1[[#This Row],[Fetal Sex (Male, Female or Unknown)]]="Unknown",Backend!$C$8,"Error"))),"")</f>
        <v/>
      </c>
      <c r="F7434" s="8" t="str">
        <f>IF(Table1[[#This Row],[Is Data Valid]]=TRUE,EXP(0.578+0.332*((Table1[[#This Row],[Gestation (days)]]+0.5)/7)-0.00354*((Table1[[#This Row],[Gestation (days)]]+0.5)/7)^2)*Table1[[#This Row],[BW40_3705]],"")</f>
        <v/>
      </c>
      <c r="G7434" s="2" t="str">
        <f>IF(Table1[[#This Row],[Is Data Valid]]=TRUE,((Table1[[#This Row],[Birthweight (grams)]]/Table1[[#This Row],[BW_GA]])-1)/(Backend!$B$4/100*Table1[[#This Row],[BW40_3705]]),"")</f>
        <v/>
      </c>
      <c r="H7434" s="7" t="str">
        <f>IF(Table1[[#This Row],[Is Data Valid]]=TRUE,((Table1[[#This Row],[Birthweight (grams)]]*0.9/Table1[[#This Row],[BW_GA]])-1)/(Backend!$B$4/100*Table1[[#This Row],[BW40_3705]]),"")</f>
        <v/>
      </c>
      <c r="I7434" s="7" t="str">
        <f>IF(Table1[[#This Row],[Is Data Valid]]=TRUE,((Table1[[#This Row],[Birthweight (grams)]]*1.1/Table1[[#This Row],[BW_GA]])-1)/(Backend!$B$4/100*Table1[[#This Row],[BW40_3705]]),"")</f>
        <v/>
      </c>
      <c r="J7434" s="7" t="str">
        <f>IF(Table1[[#This Row],[Is Data Valid]]=TRUE,_xlfn.NORM.S.DIST(Table1[[#This Row],[Birthweight Z-Score]],TRUE)*100,"")</f>
        <v/>
      </c>
      <c r="K7434" s="7" t="str">
        <f>IF(Table1[[#This Row],[Is Data Valid]]=TRUE,_xlfn.NORM.S.DIST(Table1[[#This Row],[Birthweight Z-Score (BW-10%)]],TRUE)*100,"")</f>
        <v/>
      </c>
      <c r="L7434" s="7" t="str">
        <f>IF(Table1[[#This Row],[Is Data Valid]]=TRUE,_xlfn.NORM.S.DIST(Table1[[#This Row],[Birthweight Z-Score (BW+10%)]],TRUE)*100,"")</f>
        <v/>
      </c>
    </row>
    <row r="7435" spans="1:12" x14ac:dyDescent="0.35">
      <c r="A7435" s="3"/>
      <c r="B7435" s="2"/>
      <c r="C7435" s="2"/>
      <c r="D7435" s="2" t="b">
        <f>IF(AND(NOT(ISBLANK(Table1[[#This Row],[Fetal Sex (Male, Female or Unknown)]])),ISNUMBER(Table1[[#This Row],[Birthweight (grams)]]),ISNUMBER(Table1[[#This Row],[Gestation (days)]])),TRUE,FALSE)</f>
        <v>0</v>
      </c>
      <c r="E7435" s="2" t="str">
        <f>IF(Table1[[#This Row],[Is Data Valid]]=TRUE,IF(Table1[[#This Row],[Fetal Sex (Male, Female or Unknown)]]="Male",Backend!$C$6,IF(Table1[[#This Row],[Fetal Sex (Male, Female or Unknown)]]="Female",Backend!$C$7,IF(Table1[[#This Row],[Fetal Sex (Male, Female or Unknown)]]="Unknown",Backend!$C$8,"Error"))),"")</f>
        <v/>
      </c>
      <c r="F7435" s="8" t="str">
        <f>IF(Table1[[#This Row],[Is Data Valid]]=TRUE,EXP(0.578+0.332*((Table1[[#This Row],[Gestation (days)]]+0.5)/7)-0.00354*((Table1[[#This Row],[Gestation (days)]]+0.5)/7)^2)*Table1[[#This Row],[BW40_3705]],"")</f>
        <v/>
      </c>
      <c r="G7435" s="2" t="str">
        <f>IF(Table1[[#This Row],[Is Data Valid]]=TRUE,((Table1[[#This Row],[Birthweight (grams)]]/Table1[[#This Row],[BW_GA]])-1)/(Backend!$B$4/100*Table1[[#This Row],[BW40_3705]]),"")</f>
        <v/>
      </c>
      <c r="H7435" s="7" t="str">
        <f>IF(Table1[[#This Row],[Is Data Valid]]=TRUE,((Table1[[#This Row],[Birthweight (grams)]]*0.9/Table1[[#This Row],[BW_GA]])-1)/(Backend!$B$4/100*Table1[[#This Row],[BW40_3705]]),"")</f>
        <v/>
      </c>
      <c r="I7435" s="7" t="str">
        <f>IF(Table1[[#This Row],[Is Data Valid]]=TRUE,((Table1[[#This Row],[Birthweight (grams)]]*1.1/Table1[[#This Row],[BW_GA]])-1)/(Backend!$B$4/100*Table1[[#This Row],[BW40_3705]]),"")</f>
        <v/>
      </c>
      <c r="J7435" s="7" t="str">
        <f>IF(Table1[[#This Row],[Is Data Valid]]=TRUE,_xlfn.NORM.S.DIST(Table1[[#This Row],[Birthweight Z-Score]],TRUE)*100,"")</f>
        <v/>
      </c>
      <c r="K7435" s="7" t="str">
        <f>IF(Table1[[#This Row],[Is Data Valid]]=TRUE,_xlfn.NORM.S.DIST(Table1[[#This Row],[Birthweight Z-Score (BW-10%)]],TRUE)*100,"")</f>
        <v/>
      </c>
      <c r="L7435" s="7" t="str">
        <f>IF(Table1[[#This Row],[Is Data Valid]]=TRUE,_xlfn.NORM.S.DIST(Table1[[#This Row],[Birthweight Z-Score (BW+10%)]],TRUE)*100,"")</f>
        <v/>
      </c>
    </row>
    <row r="7436" spans="1:12" x14ac:dyDescent="0.35">
      <c r="A7436" s="3"/>
      <c r="B7436" s="2"/>
      <c r="C7436" s="2"/>
      <c r="D7436" s="2" t="b">
        <f>IF(AND(NOT(ISBLANK(Table1[[#This Row],[Fetal Sex (Male, Female or Unknown)]])),ISNUMBER(Table1[[#This Row],[Birthweight (grams)]]),ISNUMBER(Table1[[#This Row],[Gestation (days)]])),TRUE,FALSE)</f>
        <v>0</v>
      </c>
      <c r="E7436" s="2" t="str">
        <f>IF(Table1[[#This Row],[Is Data Valid]]=TRUE,IF(Table1[[#This Row],[Fetal Sex (Male, Female or Unknown)]]="Male",Backend!$C$6,IF(Table1[[#This Row],[Fetal Sex (Male, Female or Unknown)]]="Female",Backend!$C$7,IF(Table1[[#This Row],[Fetal Sex (Male, Female or Unknown)]]="Unknown",Backend!$C$8,"Error"))),"")</f>
        <v/>
      </c>
      <c r="F7436" s="8" t="str">
        <f>IF(Table1[[#This Row],[Is Data Valid]]=TRUE,EXP(0.578+0.332*((Table1[[#This Row],[Gestation (days)]]+0.5)/7)-0.00354*((Table1[[#This Row],[Gestation (days)]]+0.5)/7)^2)*Table1[[#This Row],[BW40_3705]],"")</f>
        <v/>
      </c>
      <c r="G7436" s="2" t="str">
        <f>IF(Table1[[#This Row],[Is Data Valid]]=TRUE,((Table1[[#This Row],[Birthweight (grams)]]/Table1[[#This Row],[BW_GA]])-1)/(Backend!$B$4/100*Table1[[#This Row],[BW40_3705]]),"")</f>
        <v/>
      </c>
      <c r="H7436" s="7" t="str">
        <f>IF(Table1[[#This Row],[Is Data Valid]]=TRUE,((Table1[[#This Row],[Birthweight (grams)]]*0.9/Table1[[#This Row],[BW_GA]])-1)/(Backend!$B$4/100*Table1[[#This Row],[BW40_3705]]),"")</f>
        <v/>
      </c>
      <c r="I7436" s="7" t="str">
        <f>IF(Table1[[#This Row],[Is Data Valid]]=TRUE,((Table1[[#This Row],[Birthweight (grams)]]*1.1/Table1[[#This Row],[BW_GA]])-1)/(Backend!$B$4/100*Table1[[#This Row],[BW40_3705]]),"")</f>
        <v/>
      </c>
      <c r="J7436" s="7" t="str">
        <f>IF(Table1[[#This Row],[Is Data Valid]]=TRUE,_xlfn.NORM.S.DIST(Table1[[#This Row],[Birthweight Z-Score]],TRUE)*100,"")</f>
        <v/>
      </c>
      <c r="K7436" s="7" t="str">
        <f>IF(Table1[[#This Row],[Is Data Valid]]=TRUE,_xlfn.NORM.S.DIST(Table1[[#This Row],[Birthweight Z-Score (BW-10%)]],TRUE)*100,"")</f>
        <v/>
      </c>
      <c r="L7436" s="7" t="str">
        <f>IF(Table1[[#This Row],[Is Data Valid]]=TRUE,_xlfn.NORM.S.DIST(Table1[[#This Row],[Birthweight Z-Score (BW+10%)]],TRUE)*100,"")</f>
        <v/>
      </c>
    </row>
    <row r="7437" spans="1:12" x14ac:dyDescent="0.35">
      <c r="A7437" s="3"/>
      <c r="B7437" s="2"/>
      <c r="C7437" s="2"/>
      <c r="D7437" s="2" t="b">
        <f>IF(AND(NOT(ISBLANK(Table1[[#This Row],[Fetal Sex (Male, Female or Unknown)]])),ISNUMBER(Table1[[#This Row],[Birthweight (grams)]]),ISNUMBER(Table1[[#This Row],[Gestation (days)]])),TRUE,FALSE)</f>
        <v>0</v>
      </c>
      <c r="E7437" s="2" t="str">
        <f>IF(Table1[[#This Row],[Is Data Valid]]=TRUE,IF(Table1[[#This Row],[Fetal Sex (Male, Female or Unknown)]]="Male",Backend!$C$6,IF(Table1[[#This Row],[Fetal Sex (Male, Female or Unknown)]]="Female",Backend!$C$7,IF(Table1[[#This Row],[Fetal Sex (Male, Female or Unknown)]]="Unknown",Backend!$C$8,"Error"))),"")</f>
        <v/>
      </c>
      <c r="F7437" s="8" t="str">
        <f>IF(Table1[[#This Row],[Is Data Valid]]=TRUE,EXP(0.578+0.332*((Table1[[#This Row],[Gestation (days)]]+0.5)/7)-0.00354*((Table1[[#This Row],[Gestation (days)]]+0.5)/7)^2)*Table1[[#This Row],[BW40_3705]],"")</f>
        <v/>
      </c>
      <c r="G7437" s="2" t="str">
        <f>IF(Table1[[#This Row],[Is Data Valid]]=TRUE,((Table1[[#This Row],[Birthweight (grams)]]/Table1[[#This Row],[BW_GA]])-1)/(Backend!$B$4/100*Table1[[#This Row],[BW40_3705]]),"")</f>
        <v/>
      </c>
      <c r="H7437" s="7" t="str">
        <f>IF(Table1[[#This Row],[Is Data Valid]]=TRUE,((Table1[[#This Row],[Birthweight (grams)]]*0.9/Table1[[#This Row],[BW_GA]])-1)/(Backend!$B$4/100*Table1[[#This Row],[BW40_3705]]),"")</f>
        <v/>
      </c>
      <c r="I7437" s="7" t="str">
        <f>IF(Table1[[#This Row],[Is Data Valid]]=TRUE,((Table1[[#This Row],[Birthweight (grams)]]*1.1/Table1[[#This Row],[BW_GA]])-1)/(Backend!$B$4/100*Table1[[#This Row],[BW40_3705]]),"")</f>
        <v/>
      </c>
      <c r="J7437" s="7" t="str">
        <f>IF(Table1[[#This Row],[Is Data Valid]]=TRUE,_xlfn.NORM.S.DIST(Table1[[#This Row],[Birthweight Z-Score]],TRUE)*100,"")</f>
        <v/>
      </c>
      <c r="K7437" s="7" t="str">
        <f>IF(Table1[[#This Row],[Is Data Valid]]=TRUE,_xlfn.NORM.S.DIST(Table1[[#This Row],[Birthweight Z-Score (BW-10%)]],TRUE)*100,"")</f>
        <v/>
      </c>
      <c r="L7437" s="7" t="str">
        <f>IF(Table1[[#This Row],[Is Data Valid]]=TRUE,_xlfn.NORM.S.DIST(Table1[[#This Row],[Birthweight Z-Score (BW+10%)]],TRUE)*100,"")</f>
        <v/>
      </c>
    </row>
    <row r="7438" spans="1:12" x14ac:dyDescent="0.35">
      <c r="A7438" s="3"/>
      <c r="B7438" s="2"/>
      <c r="C7438" s="2"/>
      <c r="D7438" s="2" t="b">
        <f>IF(AND(NOT(ISBLANK(Table1[[#This Row],[Fetal Sex (Male, Female or Unknown)]])),ISNUMBER(Table1[[#This Row],[Birthweight (grams)]]),ISNUMBER(Table1[[#This Row],[Gestation (days)]])),TRUE,FALSE)</f>
        <v>0</v>
      </c>
      <c r="E7438" s="2" t="str">
        <f>IF(Table1[[#This Row],[Is Data Valid]]=TRUE,IF(Table1[[#This Row],[Fetal Sex (Male, Female or Unknown)]]="Male",Backend!$C$6,IF(Table1[[#This Row],[Fetal Sex (Male, Female or Unknown)]]="Female",Backend!$C$7,IF(Table1[[#This Row],[Fetal Sex (Male, Female or Unknown)]]="Unknown",Backend!$C$8,"Error"))),"")</f>
        <v/>
      </c>
      <c r="F7438" s="8" t="str">
        <f>IF(Table1[[#This Row],[Is Data Valid]]=TRUE,EXP(0.578+0.332*((Table1[[#This Row],[Gestation (days)]]+0.5)/7)-0.00354*((Table1[[#This Row],[Gestation (days)]]+0.5)/7)^2)*Table1[[#This Row],[BW40_3705]],"")</f>
        <v/>
      </c>
      <c r="G7438" s="2" t="str">
        <f>IF(Table1[[#This Row],[Is Data Valid]]=TRUE,((Table1[[#This Row],[Birthweight (grams)]]/Table1[[#This Row],[BW_GA]])-1)/(Backend!$B$4/100*Table1[[#This Row],[BW40_3705]]),"")</f>
        <v/>
      </c>
      <c r="H7438" s="7" t="str">
        <f>IF(Table1[[#This Row],[Is Data Valid]]=TRUE,((Table1[[#This Row],[Birthweight (grams)]]*0.9/Table1[[#This Row],[BW_GA]])-1)/(Backend!$B$4/100*Table1[[#This Row],[BW40_3705]]),"")</f>
        <v/>
      </c>
      <c r="I7438" s="7" t="str">
        <f>IF(Table1[[#This Row],[Is Data Valid]]=TRUE,((Table1[[#This Row],[Birthweight (grams)]]*1.1/Table1[[#This Row],[BW_GA]])-1)/(Backend!$B$4/100*Table1[[#This Row],[BW40_3705]]),"")</f>
        <v/>
      </c>
      <c r="J7438" s="7" t="str">
        <f>IF(Table1[[#This Row],[Is Data Valid]]=TRUE,_xlfn.NORM.S.DIST(Table1[[#This Row],[Birthweight Z-Score]],TRUE)*100,"")</f>
        <v/>
      </c>
      <c r="K7438" s="7" t="str">
        <f>IF(Table1[[#This Row],[Is Data Valid]]=TRUE,_xlfn.NORM.S.DIST(Table1[[#This Row],[Birthweight Z-Score (BW-10%)]],TRUE)*100,"")</f>
        <v/>
      </c>
      <c r="L7438" s="7" t="str">
        <f>IF(Table1[[#This Row],[Is Data Valid]]=TRUE,_xlfn.NORM.S.DIST(Table1[[#This Row],[Birthweight Z-Score (BW+10%)]],TRUE)*100,"")</f>
        <v/>
      </c>
    </row>
    <row r="7439" spans="1:12" x14ac:dyDescent="0.35">
      <c r="A7439" s="3"/>
      <c r="B7439" s="2"/>
      <c r="C7439" s="2"/>
      <c r="D7439" s="2" t="b">
        <f>IF(AND(NOT(ISBLANK(Table1[[#This Row],[Fetal Sex (Male, Female or Unknown)]])),ISNUMBER(Table1[[#This Row],[Birthweight (grams)]]),ISNUMBER(Table1[[#This Row],[Gestation (days)]])),TRUE,FALSE)</f>
        <v>0</v>
      </c>
      <c r="E7439" s="2" t="str">
        <f>IF(Table1[[#This Row],[Is Data Valid]]=TRUE,IF(Table1[[#This Row],[Fetal Sex (Male, Female or Unknown)]]="Male",Backend!$C$6,IF(Table1[[#This Row],[Fetal Sex (Male, Female or Unknown)]]="Female",Backend!$C$7,IF(Table1[[#This Row],[Fetal Sex (Male, Female or Unknown)]]="Unknown",Backend!$C$8,"Error"))),"")</f>
        <v/>
      </c>
      <c r="F7439" s="8" t="str">
        <f>IF(Table1[[#This Row],[Is Data Valid]]=TRUE,EXP(0.578+0.332*((Table1[[#This Row],[Gestation (days)]]+0.5)/7)-0.00354*((Table1[[#This Row],[Gestation (days)]]+0.5)/7)^2)*Table1[[#This Row],[BW40_3705]],"")</f>
        <v/>
      </c>
      <c r="G7439" s="2" t="str">
        <f>IF(Table1[[#This Row],[Is Data Valid]]=TRUE,((Table1[[#This Row],[Birthweight (grams)]]/Table1[[#This Row],[BW_GA]])-1)/(Backend!$B$4/100*Table1[[#This Row],[BW40_3705]]),"")</f>
        <v/>
      </c>
      <c r="H7439" s="7" t="str">
        <f>IF(Table1[[#This Row],[Is Data Valid]]=TRUE,((Table1[[#This Row],[Birthweight (grams)]]*0.9/Table1[[#This Row],[BW_GA]])-1)/(Backend!$B$4/100*Table1[[#This Row],[BW40_3705]]),"")</f>
        <v/>
      </c>
      <c r="I7439" s="7" t="str">
        <f>IF(Table1[[#This Row],[Is Data Valid]]=TRUE,((Table1[[#This Row],[Birthweight (grams)]]*1.1/Table1[[#This Row],[BW_GA]])-1)/(Backend!$B$4/100*Table1[[#This Row],[BW40_3705]]),"")</f>
        <v/>
      </c>
      <c r="J7439" s="7" t="str">
        <f>IF(Table1[[#This Row],[Is Data Valid]]=TRUE,_xlfn.NORM.S.DIST(Table1[[#This Row],[Birthweight Z-Score]],TRUE)*100,"")</f>
        <v/>
      </c>
      <c r="K7439" s="7" t="str">
        <f>IF(Table1[[#This Row],[Is Data Valid]]=TRUE,_xlfn.NORM.S.DIST(Table1[[#This Row],[Birthweight Z-Score (BW-10%)]],TRUE)*100,"")</f>
        <v/>
      </c>
      <c r="L7439" s="7" t="str">
        <f>IF(Table1[[#This Row],[Is Data Valid]]=TRUE,_xlfn.NORM.S.DIST(Table1[[#This Row],[Birthweight Z-Score (BW+10%)]],TRUE)*100,"")</f>
        <v/>
      </c>
    </row>
    <row r="7440" spans="1:12" x14ac:dyDescent="0.35">
      <c r="A7440" s="3"/>
      <c r="B7440" s="2"/>
      <c r="C7440" s="2"/>
      <c r="D7440" s="2" t="b">
        <f>IF(AND(NOT(ISBLANK(Table1[[#This Row],[Fetal Sex (Male, Female or Unknown)]])),ISNUMBER(Table1[[#This Row],[Birthweight (grams)]]),ISNUMBER(Table1[[#This Row],[Gestation (days)]])),TRUE,FALSE)</f>
        <v>0</v>
      </c>
      <c r="E7440" s="2" t="str">
        <f>IF(Table1[[#This Row],[Is Data Valid]]=TRUE,IF(Table1[[#This Row],[Fetal Sex (Male, Female or Unknown)]]="Male",Backend!$C$6,IF(Table1[[#This Row],[Fetal Sex (Male, Female or Unknown)]]="Female",Backend!$C$7,IF(Table1[[#This Row],[Fetal Sex (Male, Female or Unknown)]]="Unknown",Backend!$C$8,"Error"))),"")</f>
        <v/>
      </c>
      <c r="F7440" s="8" t="str">
        <f>IF(Table1[[#This Row],[Is Data Valid]]=TRUE,EXP(0.578+0.332*((Table1[[#This Row],[Gestation (days)]]+0.5)/7)-0.00354*((Table1[[#This Row],[Gestation (days)]]+0.5)/7)^2)*Table1[[#This Row],[BW40_3705]],"")</f>
        <v/>
      </c>
      <c r="G7440" s="2" t="str">
        <f>IF(Table1[[#This Row],[Is Data Valid]]=TRUE,((Table1[[#This Row],[Birthweight (grams)]]/Table1[[#This Row],[BW_GA]])-1)/(Backend!$B$4/100*Table1[[#This Row],[BW40_3705]]),"")</f>
        <v/>
      </c>
      <c r="H7440" s="7" t="str">
        <f>IF(Table1[[#This Row],[Is Data Valid]]=TRUE,((Table1[[#This Row],[Birthweight (grams)]]*0.9/Table1[[#This Row],[BW_GA]])-1)/(Backend!$B$4/100*Table1[[#This Row],[BW40_3705]]),"")</f>
        <v/>
      </c>
      <c r="I7440" s="7" t="str">
        <f>IF(Table1[[#This Row],[Is Data Valid]]=TRUE,((Table1[[#This Row],[Birthweight (grams)]]*1.1/Table1[[#This Row],[BW_GA]])-1)/(Backend!$B$4/100*Table1[[#This Row],[BW40_3705]]),"")</f>
        <v/>
      </c>
      <c r="J7440" s="7" t="str">
        <f>IF(Table1[[#This Row],[Is Data Valid]]=TRUE,_xlfn.NORM.S.DIST(Table1[[#This Row],[Birthweight Z-Score]],TRUE)*100,"")</f>
        <v/>
      </c>
      <c r="K7440" s="7" t="str">
        <f>IF(Table1[[#This Row],[Is Data Valid]]=TRUE,_xlfn.NORM.S.DIST(Table1[[#This Row],[Birthweight Z-Score (BW-10%)]],TRUE)*100,"")</f>
        <v/>
      </c>
      <c r="L7440" s="7" t="str">
        <f>IF(Table1[[#This Row],[Is Data Valid]]=TRUE,_xlfn.NORM.S.DIST(Table1[[#This Row],[Birthweight Z-Score (BW+10%)]],TRUE)*100,"")</f>
        <v/>
      </c>
    </row>
    <row r="7441" spans="1:12" x14ac:dyDescent="0.35">
      <c r="A7441" s="3"/>
      <c r="B7441" s="2"/>
      <c r="C7441" s="2"/>
      <c r="D7441" s="2" t="b">
        <f>IF(AND(NOT(ISBLANK(Table1[[#This Row],[Fetal Sex (Male, Female or Unknown)]])),ISNUMBER(Table1[[#This Row],[Birthweight (grams)]]),ISNUMBER(Table1[[#This Row],[Gestation (days)]])),TRUE,FALSE)</f>
        <v>0</v>
      </c>
      <c r="E7441" s="2" t="str">
        <f>IF(Table1[[#This Row],[Is Data Valid]]=TRUE,IF(Table1[[#This Row],[Fetal Sex (Male, Female or Unknown)]]="Male",Backend!$C$6,IF(Table1[[#This Row],[Fetal Sex (Male, Female or Unknown)]]="Female",Backend!$C$7,IF(Table1[[#This Row],[Fetal Sex (Male, Female or Unknown)]]="Unknown",Backend!$C$8,"Error"))),"")</f>
        <v/>
      </c>
      <c r="F7441" s="8" t="str">
        <f>IF(Table1[[#This Row],[Is Data Valid]]=TRUE,EXP(0.578+0.332*((Table1[[#This Row],[Gestation (days)]]+0.5)/7)-0.00354*((Table1[[#This Row],[Gestation (days)]]+0.5)/7)^2)*Table1[[#This Row],[BW40_3705]],"")</f>
        <v/>
      </c>
      <c r="G7441" s="2" t="str">
        <f>IF(Table1[[#This Row],[Is Data Valid]]=TRUE,((Table1[[#This Row],[Birthweight (grams)]]/Table1[[#This Row],[BW_GA]])-1)/(Backend!$B$4/100*Table1[[#This Row],[BW40_3705]]),"")</f>
        <v/>
      </c>
      <c r="H7441" s="7" t="str">
        <f>IF(Table1[[#This Row],[Is Data Valid]]=TRUE,((Table1[[#This Row],[Birthweight (grams)]]*0.9/Table1[[#This Row],[BW_GA]])-1)/(Backend!$B$4/100*Table1[[#This Row],[BW40_3705]]),"")</f>
        <v/>
      </c>
      <c r="I7441" s="7" t="str">
        <f>IF(Table1[[#This Row],[Is Data Valid]]=TRUE,((Table1[[#This Row],[Birthweight (grams)]]*1.1/Table1[[#This Row],[BW_GA]])-1)/(Backend!$B$4/100*Table1[[#This Row],[BW40_3705]]),"")</f>
        <v/>
      </c>
      <c r="J7441" s="7" t="str">
        <f>IF(Table1[[#This Row],[Is Data Valid]]=TRUE,_xlfn.NORM.S.DIST(Table1[[#This Row],[Birthweight Z-Score]],TRUE)*100,"")</f>
        <v/>
      </c>
      <c r="K7441" s="7" t="str">
        <f>IF(Table1[[#This Row],[Is Data Valid]]=TRUE,_xlfn.NORM.S.DIST(Table1[[#This Row],[Birthweight Z-Score (BW-10%)]],TRUE)*100,"")</f>
        <v/>
      </c>
      <c r="L7441" s="7" t="str">
        <f>IF(Table1[[#This Row],[Is Data Valid]]=TRUE,_xlfn.NORM.S.DIST(Table1[[#This Row],[Birthweight Z-Score (BW+10%)]],TRUE)*100,"")</f>
        <v/>
      </c>
    </row>
    <row r="7442" spans="1:12" x14ac:dyDescent="0.35">
      <c r="A7442" s="3"/>
      <c r="B7442" s="2"/>
      <c r="C7442" s="2"/>
      <c r="D7442" s="2" t="b">
        <f>IF(AND(NOT(ISBLANK(Table1[[#This Row],[Fetal Sex (Male, Female or Unknown)]])),ISNUMBER(Table1[[#This Row],[Birthweight (grams)]]),ISNUMBER(Table1[[#This Row],[Gestation (days)]])),TRUE,FALSE)</f>
        <v>0</v>
      </c>
      <c r="E7442" s="2" t="str">
        <f>IF(Table1[[#This Row],[Is Data Valid]]=TRUE,IF(Table1[[#This Row],[Fetal Sex (Male, Female or Unknown)]]="Male",Backend!$C$6,IF(Table1[[#This Row],[Fetal Sex (Male, Female or Unknown)]]="Female",Backend!$C$7,IF(Table1[[#This Row],[Fetal Sex (Male, Female or Unknown)]]="Unknown",Backend!$C$8,"Error"))),"")</f>
        <v/>
      </c>
      <c r="F7442" s="8" t="str">
        <f>IF(Table1[[#This Row],[Is Data Valid]]=TRUE,EXP(0.578+0.332*((Table1[[#This Row],[Gestation (days)]]+0.5)/7)-0.00354*((Table1[[#This Row],[Gestation (days)]]+0.5)/7)^2)*Table1[[#This Row],[BW40_3705]],"")</f>
        <v/>
      </c>
      <c r="G7442" s="2" t="str">
        <f>IF(Table1[[#This Row],[Is Data Valid]]=TRUE,((Table1[[#This Row],[Birthweight (grams)]]/Table1[[#This Row],[BW_GA]])-1)/(Backend!$B$4/100*Table1[[#This Row],[BW40_3705]]),"")</f>
        <v/>
      </c>
      <c r="H7442" s="7" t="str">
        <f>IF(Table1[[#This Row],[Is Data Valid]]=TRUE,((Table1[[#This Row],[Birthweight (grams)]]*0.9/Table1[[#This Row],[BW_GA]])-1)/(Backend!$B$4/100*Table1[[#This Row],[BW40_3705]]),"")</f>
        <v/>
      </c>
      <c r="I7442" s="7" t="str">
        <f>IF(Table1[[#This Row],[Is Data Valid]]=TRUE,((Table1[[#This Row],[Birthweight (grams)]]*1.1/Table1[[#This Row],[BW_GA]])-1)/(Backend!$B$4/100*Table1[[#This Row],[BW40_3705]]),"")</f>
        <v/>
      </c>
      <c r="J7442" s="7" t="str">
        <f>IF(Table1[[#This Row],[Is Data Valid]]=TRUE,_xlfn.NORM.S.DIST(Table1[[#This Row],[Birthweight Z-Score]],TRUE)*100,"")</f>
        <v/>
      </c>
      <c r="K7442" s="7" t="str">
        <f>IF(Table1[[#This Row],[Is Data Valid]]=TRUE,_xlfn.NORM.S.DIST(Table1[[#This Row],[Birthweight Z-Score (BW-10%)]],TRUE)*100,"")</f>
        <v/>
      </c>
      <c r="L7442" s="7" t="str">
        <f>IF(Table1[[#This Row],[Is Data Valid]]=TRUE,_xlfn.NORM.S.DIST(Table1[[#This Row],[Birthweight Z-Score (BW+10%)]],TRUE)*100,"")</f>
        <v/>
      </c>
    </row>
    <row r="7443" spans="1:12" x14ac:dyDescent="0.35">
      <c r="A7443" s="3"/>
      <c r="B7443" s="2"/>
      <c r="C7443" s="2"/>
      <c r="D7443" s="2" t="b">
        <f>IF(AND(NOT(ISBLANK(Table1[[#This Row],[Fetal Sex (Male, Female or Unknown)]])),ISNUMBER(Table1[[#This Row],[Birthweight (grams)]]),ISNUMBER(Table1[[#This Row],[Gestation (days)]])),TRUE,FALSE)</f>
        <v>0</v>
      </c>
      <c r="E7443" s="2" t="str">
        <f>IF(Table1[[#This Row],[Is Data Valid]]=TRUE,IF(Table1[[#This Row],[Fetal Sex (Male, Female or Unknown)]]="Male",Backend!$C$6,IF(Table1[[#This Row],[Fetal Sex (Male, Female or Unknown)]]="Female",Backend!$C$7,IF(Table1[[#This Row],[Fetal Sex (Male, Female or Unknown)]]="Unknown",Backend!$C$8,"Error"))),"")</f>
        <v/>
      </c>
      <c r="F7443" s="8" t="str">
        <f>IF(Table1[[#This Row],[Is Data Valid]]=TRUE,EXP(0.578+0.332*((Table1[[#This Row],[Gestation (days)]]+0.5)/7)-0.00354*((Table1[[#This Row],[Gestation (days)]]+0.5)/7)^2)*Table1[[#This Row],[BW40_3705]],"")</f>
        <v/>
      </c>
      <c r="G7443" s="2" t="str">
        <f>IF(Table1[[#This Row],[Is Data Valid]]=TRUE,((Table1[[#This Row],[Birthweight (grams)]]/Table1[[#This Row],[BW_GA]])-1)/(Backend!$B$4/100*Table1[[#This Row],[BW40_3705]]),"")</f>
        <v/>
      </c>
      <c r="H7443" s="7" t="str">
        <f>IF(Table1[[#This Row],[Is Data Valid]]=TRUE,((Table1[[#This Row],[Birthweight (grams)]]*0.9/Table1[[#This Row],[BW_GA]])-1)/(Backend!$B$4/100*Table1[[#This Row],[BW40_3705]]),"")</f>
        <v/>
      </c>
      <c r="I7443" s="7" t="str">
        <f>IF(Table1[[#This Row],[Is Data Valid]]=TRUE,((Table1[[#This Row],[Birthweight (grams)]]*1.1/Table1[[#This Row],[BW_GA]])-1)/(Backend!$B$4/100*Table1[[#This Row],[BW40_3705]]),"")</f>
        <v/>
      </c>
      <c r="J7443" s="7" t="str">
        <f>IF(Table1[[#This Row],[Is Data Valid]]=TRUE,_xlfn.NORM.S.DIST(Table1[[#This Row],[Birthweight Z-Score]],TRUE)*100,"")</f>
        <v/>
      </c>
      <c r="K7443" s="7" t="str">
        <f>IF(Table1[[#This Row],[Is Data Valid]]=TRUE,_xlfn.NORM.S.DIST(Table1[[#This Row],[Birthweight Z-Score (BW-10%)]],TRUE)*100,"")</f>
        <v/>
      </c>
      <c r="L7443" s="7" t="str">
        <f>IF(Table1[[#This Row],[Is Data Valid]]=TRUE,_xlfn.NORM.S.DIST(Table1[[#This Row],[Birthweight Z-Score (BW+10%)]],TRUE)*100,"")</f>
        <v/>
      </c>
    </row>
    <row r="7444" spans="1:12" x14ac:dyDescent="0.35">
      <c r="A7444" s="3"/>
      <c r="B7444" s="2"/>
      <c r="C7444" s="2"/>
      <c r="D7444" s="2" t="b">
        <f>IF(AND(NOT(ISBLANK(Table1[[#This Row],[Fetal Sex (Male, Female or Unknown)]])),ISNUMBER(Table1[[#This Row],[Birthweight (grams)]]),ISNUMBER(Table1[[#This Row],[Gestation (days)]])),TRUE,FALSE)</f>
        <v>0</v>
      </c>
      <c r="E7444" s="2" t="str">
        <f>IF(Table1[[#This Row],[Is Data Valid]]=TRUE,IF(Table1[[#This Row],[Fetal Sex (Male, Female or Unknown)]]="Male",Backend!$C$6,IF(Table1[[#This Row],[Fetal Sex (Male, Female or Unknown)]]="Female",Backend!$C$7,IF(Table1[[#This Row],[Fetal Sex (Male, Female or Unknown)]]="Unknown",Backend!$C$8,"Error"))),"")</f>
        <v/>
      </c>
      <c r="F7444" s="8" t="str">
        <f>IF(Table1[[#This Row],[Is Data Valid]]=TRUE,EXP(0.578+0.332*((Table1[[#This Row],[Gestation (days)]]+0.5)/7)-0.00354*((Table1[[#This Row],[Gestation (days)]]+0.5)/7)^2)*Table1[[#This Row],[BW40_3705]],"")</f>
        <v/>
      </c>
      <c r="G7444" s="2" t="str">
        <f>IF(Table1[[#This Row],[Is Data Valid]]=TRUE,((Table1[[#This Row],[Birthweight (grams)]]/Table1[[#This Row],[BW_GA]])-1)/(Backend!$B$4/100*Table1[[#This Row],[BW40_3705]]),"")</f>
        <v/>
      </c>
      <c r="H7444" s="7" t="str">
        <f>IF(Table1[[#This Row],[Is Data Valid]]=TRUE,((Table1[[#This Row],[Birthweight (grams)]]*0.9/Table1[[#This Row],[BW_GA]])-1)/(Backend!$B$4/100*Table1[[#This Row],[BW40_3705]]),"")</f>
        <v/>
      </c>
      <c r="I7444" s="7" t="str">
        <f>IF(Table1[[#This Row],[Is Data Valid]]=TRUE,((Table1[[#This Row],[Birthweight (grams)]]*1.1/Table1[[#This Row],[BW_GA]])-1)/(Backend!$B$4/100*Table1[[#This Row],[BW40_3705]]),"")</f>
        <v/>
      </c>
      <c r="J7444" s="7" t="str">
        <f>IF(Table1[[#This Row],[Is Data Valid]]=TRUE,_xlfn.NORM.S.DIST(Table1[[#This Row],[Birthweight Z-Score]],TRUE)*100,"")</f>
        <v/>
      </c>
      <c r="K7444" s="7" t="str">
        <f>IF(Table1[[#This Row],[Is Data Valid]]=TRUE,_xlfn.NORM.S.DIST(Table1[[#This Row],[Birthweight Z-Score (BW-10%)]],TRUE)*100,"")</f>
        <v/>
      </c>
      <c r="L7444" s="7" t="str">
        <f>IF(Table1[[#This Row],[Is Data Valid]]=TRUE,_xlfn.NORM.S.DIST(Table1[[#This Row],[Birthweight Z-Score (BW+10%)]],TRUE)*100,"")</f>
        <v/>
      </c>
    </row>
    <row r="7445" spans="1:12" x14ac:dyDescent="0.35">
      <c r="A7445" s="3"/>
      <c r="B7445" s="2"/>
      <c r="C7445" s="2"/>
      <c r="D7445" s="2" t="b">
        <f>IF(AND(NOT(ISBLANK(Table1[[#This Row],[Fetal Sex (Male, Female or Unknown)]])),ISNUMBER(Table1[[#This Row],[Birthweight (grams)]]),ISNUMBER(Table1[[#This Row],[Gestation (days)]])),TRUE,FALSE)</f>
        <v>0</v>
      </c>
      <c r="E7445" s="2" t="str">
        <f>IF(Table1[[#This Row],[Is Data Valid]]=TRUE,IF(Table1[[#This Row],[Fetal Sex (Male, Female or Unknown)]]="Male",Backend!$C$6,IF(Table1[[#This Row],[Fetal Sex (Male, Female or Unknown)]]="Female",Backend!$C$7,IF(Table1[[#This Row],[Fetal Sex (Male, Female or Unknown)]]="Unknown",Backend!$C$8,"Error"))),"")</f>
        <v/>
      </c>
      <c r="F7445" s="8" t="str">
        <f>IF(Table1[[#This Row],[Is Data Valid]]=TRUE,EXP(0.578+0.332*((Table1[[#This Row],[Gestation (days)]]+0.5)/7)-0.00354*((Table1[[#This Row],[Gestation (days)]]+0.5)/7)^2)*Table1[[#This Row],[BW40_3705]],"")</f>
        <v/>
      </c>
      <c r="G7445" s="2" t="str">
        <f>IF(Table1[[#This Row],[Is Data Valid]]=TRUE,((Table1[[#This Row],[Birthweight (grams)]]/Table1[[#This Row],[BW_GA]])-1)/(Backend!$B$4/100*Table1[[#This Row],[BW40_3705]]),"")</f>
        <v/>
      </c>
      <c r="H7445" s="7" t="str">
        <f>IF(Table1[[#This Row],[Is Data Valid]]=TRUE,((Table1[[#This Row],[Birthweight (grams)]]*0.9/Table1[[#This Row],[BW_GA]])-1)/(Backend!$B$4/100*Table1[[#This Row],[BW40_3705]]),"")</f>
        <v/>
      </c>
      <c r="I7445" s="7" t="str">
        <f>IF(Table1[[#This Row],[Is Data Valid]]=TRUE,((Table1[[#This Row],[Birthweight (grams)]]*1.1/Table1[[#This Row],[BW_GA]])-1)/(Backend!$B$4/100*Table1[[#This Row],[BW40_3705]]),"")</f>
        <v/>
      </c>
      <c r="J7445" s="7" t="str">
        <f>IF(Table1[[#This Row],[Is Data Valid]]=TRUE,_xlfn.NORM.S.DIST(Table1[[#This Row],[Birthweight Z-Score]],TRUE)*100,"")</f>
        <v/>
      </c>
      <c r="K7445" s="7" t="str">
        <f>IF(Table1[[#This Row],[Is Data Valid]]=TRUE,_xlfn.NORM.S.DIST(Table1[[#This Row],[Birthweight Z-Score (BW-10%)]],TRUE)*100,"")</f>
        <v/>
      </c>
      <c r="L7445" s="7" t="str">
        <f>IF(Table1[[#This Row],[Is Data Valid]]=TRUE,_xlfn.NORM.S.DIST(Table1[[#This Row],[Birthweight Z-Score (BW+10%)]],TRUE)*100,"")</f>
        <v/>
      </c>
    </row>
    <row r="7446" spans="1:12" x14ac:dyDescent="0.35">
      <c r="A7446" s="3"/>
      <c r="B7446" s="2"/>
      <c r="C7446" s="2"/>
      <c r="D7446" s="2" t="b">
        <f>IF(AND(NOT(ISBLANK(Table1[[#This Row],[Fetal Sex (Male, Female or Unknown)]])),ISNUMBER(Table1[[#This Row],[Birthweight (grams)]]),ISNUMBER(Table1[[#This Row],[Gestation (days)]])),TRUE,FALSE)</f>
        <v>0</v>
      </c>
      <c r="E7446" s="2" t="str">
        <f>IF(Table1[[#This Row],[Is Data Valid]]=TRUE,IF(Table1[[#This Row],[Fetal Sex (Male, Female or Unknown)]]="Male",Backend!$C$6,IF(Table1[[#This Row],[Fetal Sex (Male, Female or Unknown)]]="Female",Backend!$C$7,IF(Table1[[#This Row],[Fetal Sex (Male, Female or Unknown)]]="Unknown",Backend!$C$8,"Error"))),"")</f>
        <v/>
      </c>
      <c r="F7446" s="8" t="str">
        <f>IF(Table1[[#This Row],[Is Data Valid]]=TRUE,EXP(0.578+0.332*((Table1[[#This Row],[Gestation (days)]]+0.5)/7)-0.00354*((Table1[[#This Row],[Gestation (days)]]+0.5)/7)^2)*Table1[[#This Row],[BW40_3705]],"")</f>
        <v/>
      </c>
      <c r="G7446" s="2" t="str">
        <f>IF(Table1[[#This Row],[Is Data Valid]]=TRUE,((Table1[[#This Row],[Birthweight (grams)]]/Table1[[#This Row],[BW_GA]])-1)/(Backend!$B$4/100*Table1[[#This Row],[BW40_3705]]),"")</f>
        <v/>
      </c>
      <c r="H7446" s="7" t="str">
        <f>IF(Table1[[#This Row],[Is Data Valid]]=TRUE,((Table1[[#This Row],[Birthweight (grams)]]*0.9/Table1[[#This Row],[BW_GA]])-1)/(Backend!$B$4/100*Table1[[#This Row],[BW40_3705]]),"")</f>
        <v/>
      </c>
      <c r="I7446" s="7" t="str">
        <f>IF(Table1[[#This Row],[Is Data Valid]]=TRUE,((Table1[[#This Row],[Birthweight (grams)]]*1.1/Table1[[#This Row],[BW_GA]])-1)/(Backend!$B$4/100*Table1[[#This Row],[BW40_3705]]),"")</f>
        <v/>
      </c>
      <c r="J7446" s="7" t="str">
        <f>IF(Table1[[#This Row],[Is Data Valid]]=TRUE,_xlfn.NORM.S.DIST(Table1[[#This Row],[Birthweight Z-Score]],TRUE)*100,"")</f>
        <v/>
      </c>
      <c r="K7446" s="7" t="str">
        <f>IF(Table1[[#This Row],[Is Data Valid]]=TRUE,_xlfn.NORM.S.DIST(Table1[[#This Row],[Birthweight Z-Score (BW-10%)]],TRUE)*100,"")</f>
        <v/>
      </c>
      <c r="L7446" s="7" t="str">
        <f>IF(Table1[[#This Row],[Is Data Valid]]=TRUE,_xlfn.NORM.S.DIST(Table1[[#This Row],[Birthweight Z-Score (BW+10%)]],TRUE)*100,"")</f>
        <v/>
      </c>
    </row>
    <row r="7447" spans="1:12" x14ac:dyDescent="0.35">
      <c r="A7447" s="3"/>
      <c r="B7447" s="2"/>
      <c r="C7447" s="2"/>
      <c r="D7447" s="2" t="b">
        <f>IF(AND(NOT(ISBLANK(Table1[[#This Row],[Fetal Sex (Male, Female or Unknown)]])),ISNUMBER(Table1[[#This Row],[Birthweight (grams)]]),ISNUMBER(Table1[[#This Row],[Gestation (days)]])),TRUE,FALSE)</f>
        <v>0</v>
      </c>
      <c r="E7447" s="2" t="str">
        <f>IF(Table1[[#This Row],[Is Data Valid]]=TRUE,IF(Table1[[#This Row],[Fetal Sex (Male, Female or Unknown)]]="Male",Backend!$C$6,IF(Table1[[#This Row],[Fetal Sex (Male, Female or Unknown)]]="Female",Backend!$C$7,IF(Table1[[#This Row],[Fetal Sex (Male, Female or Unknown)]]="Unknown",Backend!$C$8,"Error"))),"")</f>
        <v/>
      </c>
      <c r="F7447" s="8" t="str">
        <f>IF(Table1[[#This Row],[Is Data Valid]]=TRUE,EXP(0.578+0.332*((Table1[[#This Row],[Gestation (days)]]+0.5)/7)-0.00354*((Table1[[#This Row],[Gestation (days)]]+0.5)/7)^2)*Table1[[#This Row],[BW40_3705]],"")</f>
        <v/>
      </c>
      <c r="G7447" s="2" t="str">
        <f>IF(Table1[[#This Row],[Is Data Valid]]=TRUE,((Table1[[#This Row],[Birthweight (grams)]]/Table1[[#This Row],[BW_GA]])-1)/(Backend!$B$4/100*Table1[[#This Row],[BW40_3705]]),"")</f>
        <v/>
      </c>
      <c r="H7447" s="7" t="str">
        <f>IF(Table1[[#This Row],[Is Data Valid]]=TRUE,((Table1[[#This Row],[Birthweight (grams)]]*0.9/Table1[[#This Row],[BW_GA]])-1)/(Backend!$B$4/100*Table1[[#This Row],[BW40_3705]]),"")</f>
        <v/>
      </c>
      <c r="I7447" s="7" t="str">
        <f>IF(Table1[[#This Row],[Is Data Valid]]=TRUE,((Table1[[#This Row],[Birthweight (grams)]]*1.1/Table1[[#This Row],[BW_GA]])-1)/(Backend!$B$4/100*Table1[[#This Row],[BW40_3705]]),"")</f>
        <v/>
      </c>
      <c r="J7447" s="7" t="str">
        <f>IF(Table1[[#This Row],[Is Data Valid]]=TRUE,_xlfn.NORM.S.DIST(Table1[[#This Row],[Birthweight Z-Score]],TRUE)*100,"")</f>
        <v/>
      </c>
      <c r="K7447" s="7" t="str">
        <f>IF(Table1[[#This Row],[Is Data Valid]]=TRUE,_xlfn.NORM.S.DIST(Table1[[#This Row],[Birthweight Z-Score (BW-10%)]],TRUE)*100,"")</f>
        <v/>
      </c>
      <c r="L7447" s="7" t="str">
        <f>IF(Table1[[#This Row],[Is Data Valid]]=TRUE,_xlfn.NORM.S.DIST(Table1[[#This Row],[Birthweight Z-Score (BW+10%)]],TRUE)*100,"")</f>
        <v/>
      </c>
    </row>
    <row r="7448" spans="1:12" x14ac:dyDescent="0.35">
      <c r="A7448" s="3"/>
      <c r="B7448" s="2"/>
      <c r="C7448" s="2"/>
      <c r="D7448" s="2" t="b">
        <f>IF(AND(NOT(ISBLANK(Table1[[#This Row],[Fetal Sex (Male, Female or Unknown)]])),ISNUMBER(Table1[[#This Row],[Birthweight (grams)]]),ISNUMBER(Table1[[#This Row],[Gestation (days)]])),TRUE,FALSE)</f>
        <v>0</v>
      </c>
      <c r="E7448" s="2" t="str">
        <f>IF(Table1[[#This Row],[Is Data Valid]]=TRUE,IF(Table1[[#This Row],[Fetal Sex (Male, Female or Unknown)]]="Male",Backend!$C$6,IF(Table1[[#This Row],[Fetal Sex (Male, Female or Unknown)]]="Female",Backend!$C$7,IF(Table1[[#This Row],[Fetal Sex (Male, Female or Unknown)]]="Unknown",Backend!$C$8,"Error"))),"")</f>
        <v/>
      </c>
      <c r="F7448" s="8" t="str">
        <f>IF(Table1[[#This Row],[Is Data Valid]]=TRUE,EXP(0.578+0.332*((Table1[[#This Row],[Gestation (days)]]+0.5)/7)-0.00354*((Table1[[#This Row],[Gestation (days)]]+0.5)/7)^2)*Table1[[#This Row],[BW40_3705]],"")</f>
        <v/>
      </c>
      <c r="G7448" s="2" t="str">
        <f>IF(Table1[[#This Row],[Is Data Valid]]=TRUE,((Table1[[#This Row],[Birthweight (grams)]]/Table1[[#This Row],[BW_GA]])-1)/(Backend!$B$4/100*Table1[[#This Row],[BW40_3705]]),"")</f>
        <v/>
      </c>
      <c r="H7448" s="7" t="str">
        <f>IF(Table1[[#This Row],[Is Data Valid]]=TRUE,((Table1[[#This Row],[Birthweight (grams)]]*0.9/Table1[[#This Row],[BW_GA]])-1)/(Backend!$B$4/100*Table1[[#This Row],[BW40_3705]]),"")</f>
        <v/>
      </c>
      <c r="I7448" s="7" t="str">
        <f>IF(Table1[[#This Row],[Is Data Valid]]=TRUE,((Table1[[#This Row],[Birthweight (grams)]]*1.1/Table1[[#This Row],[BW_GA]])-1)/(Backend!$B$4/100*Table1[[#This Row],[BW40_3705]]),"")</f>
        <v/>
      </c>
      <c r="J7448" s="7" t="str">
        <f>IF(Table1[[#This Row],[Is Data Valid]]=TRUE,_xlfn.NORM.S.DIST(Table1[[#This Row],[Birthweight Z-Score]],TRUE)*100,"")</f>
        <v/>
      </c>
      <c r="K7448" s="7" t="str">
        <f>IF(Table1[[#This Row],[Is Data Valid]]=TRUE,_xlfn.NORM.S.DIST(Table1[[#This Row],[Birthweight Z-Score (BW-10%)]],TRUE)*100,"")</f>
        <v/>
      </c>
      <c r="L7448" s="7" t="str">
        <f>IF(Table1[[#This Row],[Is Data Valid]]=TRUE,_xlfn.NORM.S.DIST(Table1[[#This Row],[Birthweight Z-Score (BW+10%)]],TRUE)*100,"")</f>
        <v/>
      </c>
    </row>
    <row r="7449" spans="1:12" x14ac:dyDescent="0.35">
      <c r="A7449" s="3"/>
      <c r="B7449" s="2"/>
      <c r="C7449" s="2"/>
      <c r="D7449" s="2" t="b">
        <f>IF(AND(NOT(ISBLANK(Table1[[#This Row],[Fetal Sex (Male, Female or Unknown)]])),ISNUMBER(Table1[[#This Row],[Birthweight (grams)]]),ISNUMBER(Table1[[#This Row],[Gestation (days)]])),TRUE,FALSE)</f>
        <v>0</v>
      </c>
      <c r="E7449" s="2" t="str">
        <f>IF(Table1[[#This Row],[Is Data Valid]]=TRUE,IF(Table1[[#This Row],[Fetal Sex (Male, Female or Unknown)]]="Male",Backend!$C$6,IF(Table1[[#This Row],[Fetal Sex (Male, Female or Unknown)]]="Female",Backend!$C$7,IF(Table1[[#This Row],[Fetal Sex (Male, Female or Unknown)]]="Unknown",Backend!$C$8,"Error"))),"")</f>
        <v/>
      </c>
      <c r="F7449" s="8" t="str">
        <f>IF(Table1[[#This Row],[Is Data Valid]]=TRUE,EXP(0.578+0.332*((Table1[[#This Row],[Gestation (days)]]+0.5)/7)-0.00354*((Table1[[#This Row],[Gestation (days)]]+0.5)/7)^2)*Table1[[#This Row],[BW40_3705]],"")</f>
        <v/>
      </c>
      <c r="G7449" s="2" t="str">
        <f>IF(Table1[[#This Row],[Is Data Valid]]=TRUE,((Table1[[#This Row],[Birthweight (grams)]]/Table1[[#This Row],[BW_GA]])-1)/(Backend!$B$4/100*Table1[[#This Row],[BW40_3705]]),"")</f>
        <v/>
      </c>
      <c r="H7449" s="7" t="str">
        <f>IF(Table1[[#This Row],[Is Data Valid]]=TRUE,((Table1[[#This Row],[Birthweight (grams)]]*0.9/Table1[[#This Row],[BW_GA]])-1)/(Backend!$B$4/100*Table1[[#This Row],[BW40_3705]]),"")</f>
        <v/>
      </c>
      <c r="I7449" s="7" t="str">
        <f>IF(Table1[[#This Row],[Is Data Valid]]=TRUE,((Table1[[#This Row],[Birthweight (grams)]]*1.1/Table1[[#This Row],[BW_GA]])-1)/(Backend!$B$4/100*Table1[[#This Row],[BW40_3705]]),"")</f>
        <v/>
      </c>
      <c r="J7449" s="7" t="str">
        <f>IF(Table1[[#This Row],[Is Data Valid]]=TRUE,_xlfn.NORM.S.DIST(Table1[[#This Row],[Birthweight Z-Score]],TRUE)*100,"")</f>
        <v/>
      </c>
      <c r="K7449" s="7" t="str">
        <f>IF(Table1[[#This Row],[Is Data Valid]]=TRUE,_xlfn.NORM.S.DIST(Table1[[#This Row],[Birthweight Z-Score (BW-10%)]],TRUE)*100,"")</f>
        <v/>
      </c>
      <c r="L7449" s="7" t="str">
        <f>IF(Table1[[#This Row],[Is Data Valid]]=TRUE,_xlfn.NORM.S.DIST(Table1[[#This Row],[Birthweight Z-Score (BW+10%)]],TRUE)*100,"")</f>
        <v/>
      </c>
    </row>
    <row r="7450" spans="1:12" x14ac:dyDescent="0.35">
      <c r="A7450" s="3"/>
      <c r="B7450" s="2"/>
      <c r="C7450" s="2"/>
      <c r="D7450" s="2" t="b">
        <f>IF(AND(NOT(ISBLANK(Table1[[#This Row],[Fetal Sex (Male, Female or Unknown)]])),ISNUMBER(Table1[[#This Row],[Birthweight (grams)]]),ISNUMBER(Table1[[#This Row],[Gestation (days)]])),TRUE,FALSE)</f>
        <v>0</v>
      </c>
      <c r="E7450" s="2" t="str">
        <f>IF(Table1[[#This Row],[Is Data Valid]]=TRUE,IF(Table1[[#This Row],[Fetal Sex (Male, Female or Unknown)]]="Male",Backend!$C$6,IF(Table1[[#This Row],[Fetal Sex (Male, Female or Unknown)]]="Female",Backend!$C$7,IF(Table1[[#This Row],[Fetal Sex (Male, Female or Unknown)]]="Unknown",Backend!$C$8,"Error"))),"")</f>
        <v/>
      </c>
      <c r="F7450" s="8" t="str">
        <f>IF(Table1[[#This Row],[Is Data Valid]]=TRUE,EXP(0.578+0.332*((Table1[[#This Row],[Gestation (days)]]+0.5)/7)-0.00354*((Table1[[#This Row],[Gestation (days)]]+0.5)/7)^2)*Table1[[#This Row],[BW40_3705]],"")</f>
        <v/>
      </c>
      <c r="G7450" s="2" t="str">
        <f>IF(Table1[[#This Row],[Is Data Valid]]=TRUE,((Table1[[#This Row],[Birthweight (grams)]]/Table1[[#This Row],[BW_GA]])-1)/(Backend!$B$4/100*Table1[[#This Row],[BW40_3705]]),"")</f>
        <v/>
      </c>
      <c r="H7450" s="7" t="str">
        <f>IF(Table1[[#This Row],[Is Data Valid]]=TRUE,((Table1[[#This Row],[Birthweight (grams)]]*0.9/Table1[[#This Row],[BW_GA]])-1)/(Backend!$B$4/100*Table1[[#This Row],[BW40_3705]]),"")</f>
        <v/>
      </c>
      <c r="I7450" s="7" t="str">
        <f>IF(Table1[[#This Row],[Is Data Valid]]=TRUE,((Table1[[#This Row],[Birthweight (grams)]]*1.1/Table1[[#This Row],[BW_GA]])-1)/(Backend!$B$4/100*Table1[[#This Row],[BW40_3705]]),"")</f>
        <v/>
      </c>
      <c r="J7450" s="7" t="str">
        <f>IF(Table1[[#This Row],[Is Data Valid]]=TRUE,_xlfn.NORM.S.DIST(Table1[[#This Row],[Birthweight Z-Score]],TRUE)*100,"")</f>
        <v/>
      </c>
      <c r="K7450" s="7" t="str">
        <f>IF(Table1[[#This Row],[Is Data Valid]]=TRUE,_xlfn.NORM.S.DIST(Table1[[#This Row],[Birthweight Z-Score (BW-10%)]],TRUE)*100,"")</f>
        <v/>
      </c>
      <c r="L7450" s="7" t="str">
        <f>IF(Table1[[#This Row],[Is Data Valid]]=TRUE,_xlfn.NORM.S.DIST(Table1[[#This Row],[Birthweight Z-Score (BW+10%)]],TRUE)*100,"")</f>
        <v/>
      </c>
    </row>
    <row r="7451" spans="1:12" x14ac:dyDescent="0.35">
      <c r="A7451" s="3"/>
      <c r="B7451" s="2"/>
      <c r="C7451" s="2"/>
      <c r="D7451" s="2" t="b">
        <f>IF(AND(NOT(ISBLANK(Table1[[#This Row],[Fetal Sex (Male, Female or Unknown)]])),ISNUMBER(Table1[[#This Row],[Birthweight (grams)]]),ISNUMBER(Table1[[#This Row],[Gestation (days)]])),TRUE,FALSE)</f>
        <v>0</v>
      </c>
      <c r="E7451" s="2" t="str">
        <f>IF(Table1[[#This Row],[Is Data Valid]]=TRUE,IF(Table1[[#This Row],[Fetal Sex (Male, Female or Unknown)]]="Male",Backend!$C$6,IF(Table1[[#This Row],[Fetal Sex (Male, Female or Unknown)]]="Female",Backend!$C$7,IF(Table1[[#This Row],[Fetal Sex (Male, Female or Unknown)]]="Unknown",Backend!$C$8,"Error"))),"")</f>
        <v/>
      </c>
      <c r="F7451" s="8" t="str">
        <f>IF(Table1[[#This Row],[Is Data Valid]]=TRUE,EXP(0.578+0.332*((Table1[[#This Row],[Gestation (days)]]+0.5)/7)-0.00354*((Table1[[#This Row],[Gestation (days)]]+0.5)/7)^2)*Table1[[#This Row],[BW40_3705]],"")</f>
        <v/>
      </c>
      <c r="G7451" s="2" t="str">
        <f>IF(Table1[[#This Row],[Is Data Valid]]=TRUE,((Table1[[#This Row],[Birthweight (grams)]]/Table1[[#This Row],[BW_GA]])-1)/(Backend!$B$4/100*Table1[[#This Row],[BW40_3705]]),"")</f>
        <v/>
      </c>
      <c r="H7451" s="7" t="str">
        <f>IF(Table1[[#This Row],[Is Data Valid]]=TRUE,((Table1[[#This Row],[Birthweight (grams)]]*0.9/Table1[[#This Row],[BW_GA]])-1)/(Backend!$B$4/100*Table1[[#This Row],[BW40_3705]]),"")</f>
        <v/>
      </c>
      <c r="I7451" s="7" t="str">
        <f>IF(Table1[[#This Row],[Is Data Valid]]=TRUE,((Table1[[#This Row],[Birthweight (grams)]]*1.1/Table1[[#This Row],[BW_GA]])-1)/(Backend!$B$4/100*Table1[[#This Row],[BW40_3705]]),"")</f>
        <v/>
      </c>
      <c r="J7451" s="7" t="str">
        <f>IF(Table1[[#This Row],[Is Data Valid]]=TRUE,_xlfn.NORM.S.DIST(Table1[[#This Row],[Birthweight Z-Score]],TRUE)*100,"")</f>
        <v/>
      </c>
      <c r="K7451" s="7" t="str">
        <f>IF(Table1[[#This Row],[Is Data Valid]]=TRUE,_xlfn.NORM.S.DIST(Table1[[#This Row],[Birthweight Z-Score (BW-10%)]],TRUE)*100,"")</f>
        <v/>
      </c>
      <c r="L7451" s="7" t="str">
        <f>IF(Table1[[#This Row],[Is Data Valid]]=TRUE,_xlfn.NORM.S.DIST(Table1[[#This Row],[Birthweight Z-Score (BW+10%)]],TRUE)*100,"")</f>
        <v/>
      </c>
    </row>
    <row r="7452" spans="1:12" x14ac:dyDescent="0.35">
      <c r="A7452" s="3"/>
      <c r="B7452" s="2"/>
      <c r="C7452" s="2"/>
      <c r="D7452" s="2" t="b">
        <f>IF(AND(NOT(ISBLANK(Table1[[#This Row],[Fetal Sex (Male, Female or Unknown)]])),ISNUMBER(Table1[[#This Row],[Birthweight (grams)]]),ISNUMBER(Table1[[#This Row],[Gestation (days)]])),TRUE,FALSE)</f>
        <v>0</v>
      </c>
      <c r="E7452" s="2" t="str">
        <f>IF(Table1[[#This Row],[Is Data Valid]]=TRUE,IF(Table1[[#This Row],[Fetal Sex (Male, Female or Unknown)]]="Male",Backend!$C$6,IF(Table1[[#This Row],[Fetal Sex (Male, Female or Unknown)]]="Female",Backend!$C$7,IF(Table1[[#This Row],[Fetal Sex (Male, Female or Unknown)]]="Unknown",Backend!$C$8,"Error"))),"")</f>
        <v/>
      </c>
      <c r="F7452" s="8" t="str">
        <f>IF(Table1[[#This Row],[Is Data Valid]]=TRUE,EXP(0.578+0.332*((Table1[[#This Row],[Gestation (days)]]+0.5)/7)-0.00354*((Table1[[#This Row],[Gestation (days)]]+0.5)/7)^2)*Table1[[#This Row],[BW40_3705]],"")</f>
        <v/>
      </c>
      <c r="G7452" s="2" t="str">
        <f>IF(Table1[[#This Row],[Is Data Valid]]=TRUE,((Table1[[#This Row],[Birthweight (grams)]]/Table1[[#This Row],[BW_GA]])-1)/(Backend!$B$4/100*Table1[[#This Row],[BW40_3705]]),"")</f>
        <v/>
      </c>
      <c r="H7452" s="7" t="str">
        <f>IF(Table1[[#This Row],[Is Data Valid]]=TRUE,((Table1[[#This Row],[Birthweight (grams)]]*0.9/Table1[[#This Row],[BW_GA]])-1)/(Backend!$B$4/100*Table1[[#This Row],[BW40_3705]]),"")</f>
        <v/>
      </c>
      <c r="I7452" s="7" t="str">
        <f>IF(Table1[[#This Row],[Is Data Valid]]=TRUE,((Table1[[#This Row],[Birthweight (grams)]]*1.1/Table1[[#This Row],[BW_GA]])-1)/(Backend!$B$4/100*Table1[[#This Row],[BW40_3705]]),"")</f>
        <v/>
      </c>
      <c r="J7452" s="7" t="str">
        <f>IF(Table1[[#This Row],[Is Data Valid]]=TRUE,_xlfn.NORM.S.DIST(Table1[[#This Row],[Birthweight Z-Score]],TRUE)*100,"")</f>
        <v/>
      </c>
      <c r="K7452" s="7" t="str">
        <f>IF(Table1[[#This Row],[Is Data Valid]]=TRUE,_xlfn.NORM.S.DIST(Table1[[#This Row],[Birthweight Z-Score (BW-10%)]],TRUE)*100,"")</f>
        <v/>
      </c>
      <c r="L7452" s="7" t="str">
        <f>IF(Table1[[#This Row],[Is Data Valid]]=TRUE,_xlfn.NORM.S.DIST(Table1[[#This Row],[Birthweight Z-Score (BW+10%)]],TRUE)*100,"")</f>
        <v/>
      </c>
    </row>
    <row r="7453" spans="1:12" x14ac:dyDescent="0.35">
      <c r="A7453" s="3"/>
      <c r="B7453" s="2"/>
      <c r="C7453" s="2"/>
      <c r="D7453" s="2" t="b">
        <f>IF(AND(NOT(ISBLANK(Table1[[#This Row],[Fetal Sex (Male, Female or Unknown)]])),ISNUMBER(Table1[[#This Row],[Birthweight (grams)]]),ISNUMBER(Table1[[#This Row],[Gestation (days)]])),TRUE,FALSE)</f>
        <v>0</v>
      </c>
      <c r="E7453" s="2" t="str">
        <f>IF(Table1[[#This Row],[Is Data Valid]]=TRUE,IF(Table1[[#This Row],[Fetal Sex (Male, Female or Unknown)]]="Male",Backend!$C$6,IF(Table1[[#This Row],[Fetal Sex (Male, Female or Unknown)]]="Female",Backend!$C$7,IF(Table1[[#This Row],[Fetal Sex (Male, Female or Unknown)]]="Unknown",Backend!$C$8,"Error"))),"")</f>
        <v/>
      </c>
      <c r="F7453" s="8" t="str">
        <f>IF(Table1[[#This Row],[Is Data Valid]]=TRUE,EXP(0.578+0.332*((Table1[[#This Row],[Gestation (days)]]+0.5)/7)-0.00354*((Table1[[#This Row],[Gestation (days)]]+0.5)/7)^2)*Table1[[#This Row],[BW40_3705]],"")</f>
        <v/>
      </c>
      <c r="G7453" s="2" t="str">
        <f>IF(Table1[[#This Row],[Is Data Valid]]=TRUE,((Table1[[#This Row],[Birthweight (grams)]]/Table1[[#This Row],[BW_GA]])-1)/(Backend!$B$4/100*Table1[[#This Row],[BW40_3705]]),"")</f>
        <v/>
      </c>
      <c r="H7453" s="7" t="str">
        <f>IF(Table1[[#This Row],[Is Data Valid]]=TRUE,((Table1[[#This Row],[Birthweight (grams)]]*0.9/Table1[[#This Row],[BW_GA]])-1)/(Backend!$B$4/100*Table1[[#This Row],[BW40_3705]]),"")</f>
        <v/>
      </c>
      <c r="I7453" s="7" t="str">
        <f>IF(Table1[[#This Row],[Is Data Valid]]=TRUE,((Table1[[#This Row],[Birthweight (grams)]]*1.1/Table1[[#This Row],[BW_GA]])-1)/(Backend!$B$4/100*Table1[[#This Row],[BW40_3705]]),"")</f>
        <v/>
      </c>
      <c r="J7453" s="7" t="str">
        <f>IF(Table1[[#This Row],[Is Data Valid]]=TRUE,_xlfn.NORM.S.DIST(Table1[[#This Row],[Birthweight Z-Score]],TRUE)*100,"")</f>
        <v/>
      </c>
      <c r="K7453" s="7" t="str">
        <f>IF(Table1[[#This Row],[Is Data Valid]]=TRUE,_xlfn.NORM.S.DIST(Table1[[#This Row],[Birthweight Z-Score (BW-10%)]],TRUE)*100,"")</f>
        <v/>
      </c>
      <c r="L7453" s="7" t="str">
        <f>IF(Table1[[#This Row],[Is Data Valid]]=TRUE,_xlfn.NORM.S.DIST(Table1[[#This Row],[Birthweight Z-Score (BW+10%)]],TRUE)*100,"")</f>
        <v/>
      </c>
    </row>
    <row r="7454" spans="1:12" x14ac:dyDescent="0.35">
      <c r="A7454" s="3"/>
      <c r="B7454" s="2"/>
      <c r="C7454" s="2"/>
      <c r="D7454" s="2" t="b">
        <f>IF(AND(NOT(ISBLANK(Table1[[#This Row],[Fetal Sex (Male, Female or Unknown)]])),ISNUMBER(Table1[[#This Row],[Birthweight (grams)]]),ISNUMBER(Table1[[#This Row],[Gestation (days)]])),TRUE,FALSE)</f>
        <v>0</v>
      </c>
      <c r="E7454" s="2" t="str">
        <f>IF(Table1[[#This Row],[Is Data Valid]]=TRUE,IF(Table1[[#This Row],[Fetal Sex (Male, Female or Unknown)]]="Male",Backend!$C$6,IF(Table1[[#This Row],[Fetal Sex (Male, Female or Unknown)]]="Female",Backend!$C$7,IF(Table1[[#This Row],[Fetal Sex (Male, Female or Unknown)]]="Unknown",Backend!$C$8,"Error"))),"")</f>
        <v/>
      </c>
      <c r="F7454" s="8" t="str">
        <f>IF(Table1[[#This Row],[Is Data Valid]]=TRUE,EXP(0.578+0.332*((Table1[[#This Row],[Gestation (days)]]+0.5)/7)-0.00354*((Table1[[#This Row],[Gestation (days)]]+0.5)/7)^2)*Table1[[#This Row],[BW40_3705]],"")</f>
        <v/>
      </c>
      <c r="G7454" s="2" t="str">
        <f>IF(Table1[[#This Row],[Is Data Valid]]=TRUE,((Table1[[#This Row],[Birthweight (grams)]]/Table1[[#This Row],[BW_GA]])-1)/(Backend!$B$4/100*Table1[[#This Row],[BW40_3705]]),"")</f>
        <v/>
      </c>
      <c r="H7454" s="7" t="str">
        <f>IF(Table1[[#This Row],[Is Data Valid]]=TRUE,((Table1[[#This Row],[Birthweight (grams)]]*0.9/Table1[[#This Row],[BW_GA]])-1)/(Backend!$B$4/100*Table1[[#This Row],[BW40_3705]]),"")</f>
        <v/>
      </c>
      <c r="I7454" s="7" t="str">
        <f>IF(Table1[[#This Row],[Is Data Valid]]=TRUE,((Table1[[#This Row],[Birthweight (grams)]]*1.1/Table1[[#This Row],[BW_GA]])-1)/(Backend!$B$4/100*Table1[[#This Row],[BW40_3705]]),"")</f>
        <v/>
      </c>
      <c r="J7454" s="7" t="str">
        <f>IF(Table1[[#This Row],[Is Data Valid]]=TRUE,_xlfn.NORM.S.DIST(Table1[[#This Row],[Birthweight Z-Score]],TRUE)*100,"")</f>
        <v/>
      </c>
      <c r="K7454" s="7" t="str">
        <f>IF(Table1[[#This Row],[Is Data Valid]]=TRUE,_xlfn.NORM.S.DIST(Table1[[#This Row],[Birthweight Z-Score (BW-10%)]],TRUE)*100,"")</f>
        <v/>
      </c>
      <c r="L7454" s="7" t="str">
        <f>IF(Table1[[#This Row],[Is Data Valid]]=TRUE,_xlfn.NORM.S.DIST(Table1[[#This Row],[Birthweight Z-Score (BW+10%)]],TRUE)*100,"")</f>
        <v/>
      </c>
    </row>
    <row r="7455" spans="1:12" x14ac:dyDescent="0.35">
      <c r="A7455" s="3"/>
      <c r="B7455" s="2"/>
      <c r="C7455" s="2"/>
      <c r="D7455" s="2" t="b">
        <f>IF(AND(NOT(ISBLANK(Table1[[#This Row],[Fetal Sex (Male, Female or Unknown)]])),ISNUMBER(Table1[[#This Row],[Birthweight (grams)]]),ISNUMBER(Table1[[#This Row],[Gestation (days)]])),TRUE,FALSE)</f>
        <v>0</v>
      </c>
      <c r="E7455" s="2" t="str">
        <f>IF(Table1[[#This Row],[Is Data Valid]]=TRUE,IF(Table1[[#This Row],[Fetal Sex (Male, Female or Unknown)]]="Male",Backend!$C$6,IF(Table1[[#This Row],[Fetal Sex (Male, Female or Unknown)]]="Female",Backend!$C$7,IF(Table1[[#This Row],[Fetal Sex (Male, Female or Unknown)]]="Unknown",Backend!$C$8,"Error"))),"")</f>
        <v/>
      </c>
      <c r="F7455" s="8" t="str">
        <f>IF(Table1[[#This Row],[Is Data Valid]]=TRUE,EXP(0.578+0.332*((Table1[[#This Row],[Gestation (days)]]+0.5)/7)-0.00354*((Table1[[#This Row],[Gestation (days)]]+0.5)/7)^2)*Table1[[#This Row],[BW40_3705]],"")</f>
        <v/>
      </c>
      <c r="G7455" s="2" t="str">
        <f>IF(Table1[[#This Row],[Is Data Valid]]=TRUE,((Table1[[#This Row],[Birthweight (grams)]]/Table1[[#This Row],[BW_GA]])-1)/(Backend!$B$4/100*Table1[[#This Row],[BW40_3705]]),"")</f>
        <v/>
      </c>
      <c r="H7455" s="7" t="str">
        <f>IF(Table1[[#This Row],[Is Data Valid]]=TRUE,((Table1[[#This Row],[Birthweight (grams)]]*0.9/Table1[[#This Row],[BW_GA]])-1)/(Backend!$B$4/100*Table1[[#This Row],[BW40_3705]]),"")</f>
        <v/>
      </c>
      <c r="I7455" s="7" t="str">
        <f>IF(Table1[[#This Row],[Is Data Valid]]=TRUE,((Table1[[#This Row],[Birthweight (grams)]]*1.1/Table1[[#This Row],[BW_GA]])-1)/(Backend!$B$4/100*Table1[[#This Row],[BW40_3705]]),"")</f>
        <v/>
      </c>
      <c r="J7455" s="7" t="str">
        <f>IF(Table1[[#This Row],[Is Data Valid]]=TRUE,_xlfn.NORM.S.DIST(Table1[[#This Row],[Birthweight Z-Score]],TRUE)*100,"")</f>
        <v/>
      </c>
      <c r="K7455" s="7" t="str">
        <f>IF(Table1[[#This Row],[Is Data Valid]]=TRUE,_xlfn.NORM.S.DIST(Table1[[#This Row],[Birthweight Z-Score (BW-10%)]],TRUE)*100,"")</f>
        <v/>
      </c>
      <c r="L7455" s="7" t="str">
        <f>IF(Table1[[#This Row],[Is Data Valid]]=TRUE,_xlfn.NORM.S.DIST(Table1[[#This Row],[Birthweight Z-Score (BW+10%)]],TRUE)*100,"")</f>
        <v/>
      </c>
    </row>
    <row r="7456" spans="1:12" x14ac:dyDescent="0.35">
      <c r="A7456" s="3"/>
      <c r="B7456" s="2"/>
      <c r="C7456" s="2"/>
      <c r="D7456" s="2" t="b">
        <f>IF(AND(NOT(ISBLANK(Table1[[#This Row],[Fetal Sex (Male, Female or Unknown)]])),ISNUMBER(Table1[[#This Row],[Birthweight (grams)]]),ISNUMBER(Table1[[#This Row],[Gestation (days)]])),TRUE,FALSE)</f>
        <v>0</v>
      </c>
      <c r="E7456" s="2" t="str">
        <f>IF(Table1[[#This Row],[Is Data Valid]]=TRUE,IF(Table1[[#This Row],[Fetal Sex (Male, Female or Unknown)]]="Male",Backend!$C$6,IF(Table1[[#This Row],[Fetal Sex (Male, Female or Unknown)]]="Female",Backend!$C$7,IF(Table1[[#This Row],[Fetal Sex (Male, Female or Unknown)]]="Unknown",Backend!$C$8,"Error"))),"")</f>
        <v/>
      </c>
      <c r="F7456" s="8" t="str">
        <f>IF(Table1[[#This Row],[Is Data Valid]]=TRUE,EXP(0.578+0.332*((Table1[[#This Row],[Gestation (days)]]+0.5)/7)-0.00354*((Table1[[#This Row],[Gestation (days)]]+0.5)/7)^2)*Table1[[#This Row],[BW40_3705]],"")</f>
        <v/>
      </c>
      <c r="G7456" s="2" t="str">
        <f>IF(Table1[[#This Row],[Is Data Valid]]=TRUE,((Table1[[#This Row],[Birthweight (grams)]]/Table1[[#This Row],[BW_GA]])-1)/(Backend!$B$4/100*Table1[[#This Row],[BW40_3705]]),"")</f>
        <v/>
      </c>
      <c r="H7456" s="7" t="str">
        <f>IF(Table1[[#This Row],[Is Data Valid]]=TRUE,((Table1[[#This Row],[Birthweight (grams)]]*0.9/Table1[[#This Row],[BW_GA]])-1)/(Backend!$B$4/100*Table1[[#This Row],[BW40_3705]]),"")</f>
        <v/>
      </c>
      <c r="I7456" s="7" t="str">
        <f>IF(Table1[[#This Row],[Is Data Valid]]=TRUE,((Table1[[#This Row],[Birthweight (grams)]]*1.1/Table1[[#This Row],[BW_GA]])-1)/(Backend!$B$4/100*Table1[[#This Row],[BW40_3705]]),"")</f>
        <v/>
      </c>
      <c r="J7456" s="7" t="str">
        <f>IF(Table1[[#This Row],[Is Data Valid]]=TRUE,_xlfn.NORM.S.DIST(Table1[[#This Row],[Birthweight Z-Score]],TRUE)*100,"")</f>
        <v/>
      </c>
      <c r="K7456" s="7" t="str">
        <f>IF(Table1[[#This Row],[Is Data Valid]]=TRUE,_xlfn.NORM.S.DIST(Table1[[#This Row],[Birthweight Z-Score (BW-10%)]],TRUE)*100,"")</f>
        <v/>
      </c>
      <c r="L7456" s="7" t="str">
        <f>IF(Table1[[#This Row],[Is Data Valid]]=TRUE,_xlfn.NORM.S.DIST(Table1[[#This Row],[Birthweight Z-Score (BW+10%)]],TRUE)*100,"")</f>
        <v/>
      </c>
    </row>
    <row r="7457" spans="1:12" x14ac:dyDescent="0.35">
      <c r="A7457" s="3"/>
      <c r="B7457" s="2"/>
      <c r="C7457" s="2"/>
      <c r="D7457" s="2" t="b">
        <f>IF(AND(NOT(ISBLANK(Table1[[#This Row],[Fetal Sex (Male, Female or Unknown)]])),ISNUMBER(Table1[[#This Row],[Birthweight (grams)]]),ISNUMBER(Table1[[#This Row],[Gestation (days)]])),TRUE,FALSE)</f>
        <v>0</v>
      </c>
      <c r="E7457" s="2" t="str">
        <f>IF(Table1[[#This Row],[Is Data Valid]]=TRUE,IF(Table1[[#This Row],[Fetal Sex (Male, Female or Unknown)]]="Male",Backend!$C$6,IF(Table1[[#This Row],[Fetal Sex (Male, Female or Unknown)]]="Female",Backend!$C$7,IF(Table1[[#This Row],[Fetal Sex (Male, Female or Unknown)]]="Unknown",Backend!$C$8,"Error"))),"")</f>
        <v/>
      </c>
      <c r="F7457" s="8" t="str">
        <f>IF(Table1[[#This Row],[Is Data Valid]]=TRUE,EXP(0.578+0.332*((Table1[[#This Row],[Gestation (days)]]+0.5)/7)-0.00354*((Table1[[#This Row],[Gestation (days)]]+0.5)/7)^2)*Table1[[#This Row],[BW40_3705]],"")</f>
        <v/>
      </c>
      <c r="G7457" s="2" t="str">
        <f>IF(Table1[[#This Row],[Is Data Valid]]=TRUE,((Table1[[#This Row],[Birthweight (grams)]]/Table1[[#This Row],[BW_GA]])-1)/(Backend!$B$4/100*Table1[[#This Row],[BW40_3705]]),"")</f>
        <v/>
      </c>
      <c r="H7457" s="7" t="str">
        <f>IF(Table1[[#This Row],[Is Data Valid]]=TRUE,((Table1[[#This Row],[Birthweight (grams)]]*0.9/Table1[[#This Row],[BW_GA]])-1)/(Backend!$B$4/100*Table1[[#This Row],[BW40_3705]]),"")</f>
        <v/>
      </c>
      <c r="I7457" s="7" t="str">
        <f>IF(Table1[[#This Row],[Is Data Valid]]=TRUE,((Table1[[#This Row],[Birthweight (grams)]]*1.1/Table1[[#This Row],[BW_GA]])-1)/(Backend!$B$4/100*Table1[[#This Row],[BW40_3705]]),"")</f>
        <v/>
      </c>
      <c r="J7457" s="7" t="str">
        <f>IF(Table1[[#This Row],[Is Data Valid]]=TRUE,_xlfn.NORM.S.DIST(Table1[[#This Row],[Birthweight Z-Score]],TRUE)*100,"")</f>
        <v/>
      </c>
      <c r="K7457" s="7" t="str">
        <f>IF(Table1[[#This Row],[Is Data Valid]]=TRUE,_xlfn.NORM.S.DIST(Table1[[#This Row],[Birthweight Z-Score (BW-10%)]],TRUE)*100,"")</f>
        <v/>
      </c>
      <c r="L7457" s="7" t="str">
        <f>IF(Table1[[#This Row],[Is Data Valid]]=TRUE,_xlfn.NORM.S.DIST(Table1[[#This Row],[Birthweight Z-Score (BW+10%)]],TRUE)*100,"")</f>
        <v/>
      </c>
    </row>
    <row r="7458" spans="1:12" x14ac:dyDescent="0.35">
      <c r="A7458" s="3"/>
      <c r="B7458" s="2"/>
      <c r="C7458" s="2"/>
      <c r="D7458" s="2" t="b">
        <f>IF(AND(NOT(ISBLANK(Table1[[#This Row],[Fetal Sex (Male, Female or Unknown)]])),ISNUMBER(Table1[[#This Row],[Birthweight (grams)]]),ISNUMBER(Table1[[#This Row],[Gestation (days)]])),TRUE,FALSE)</f>
        <v>0</v>
      </c>
      <c r="E7458" s="2" t="str">
        <f>IF(Table1[[#This Row],[Is Data Valid]]=TRUE,IF(Table1[[#This Row],[Fetal Sex (Male, Female or Unknown)]]="Male",Backend!$C$6,IF(Table1[[#This Row],[Fetal Sex (Male, Female or Unknown)]]="Female",Backend!$C$7,IF(Table1[[#This Row],[Fetal Sex (Male, Female or Unknown)]]="Unknown",Backend!$C$8,"Error"))),"")</f>
        <v/>
      </c>
      <c r="F7458" s="8" t="str">
        <f>IF(Table1[[#This Row],[Is Data Valid]]=TRUE,EXP(0.578+0.332*((Table1[[#This Row],[Gestation (days)]]+0.5)/7)-0.00354*((Table1[[#This Row],[Gestation (days)]]+0.5)/7)^2)*Table1[[#This Row],[BW40_3705]],"")</f>
        <v/>
      </c>
      <c r="G7458" s="2" t="str">
        <f>IF(Table1[[#This Row],[Is Data Valid]]=TRUE,((Table1[[#This Row],[Birthweight (grams)]]/Table1[[#This Row],[BW_GA]])-1)/(Backend!$B$4/100*Table1[[#This Row],[BW40_3705]]),"")</f>
        <v/>
      </c>
      <c r="H7458" s="7" t="str">
        <f>IF(Table1[[#This Row],[Is Data Valid]]=TRUE,((Table1[[#This Row],[Birthweight (grams)]]*0.9/Table1[[#This Row],[BW_GA]])-1)/(Backend!$B$4/100*Table1[[#This Row],[BW40_3705]]),"")</f>
        <v/>
      </c>
      <c r="I7458" s="7" t="str">
        <f>IF(Table1[[#This Row],[Is Data Valid]]=TRUE,((Table1[[#This Row],[Birthweight (grams)]]*1.1/Table1[[#This Row],[BW_GA]])-1)/(Backend!$B$4/100*Table1[[#This Row],[BW40_3705]]),"")</f>
        <v/>
      </c>
      <c r="J7458" s="7" t="str">
        <f>IF(Table1[[#This Row],[Is Data Valid]]=TRUE,_xlfn.NORM.S.DIST(Table1[[#This Row],[Birthweight Z-Score]],TRUE)*100,"")</f>
        <v/>
      </c>
      <c r="K7458" s="7" t="str">
        <f>IF(Table1[[#This Row],[Is Data Valid]]=TRUE,_xlfn.NORM.S.DIST(Table1[[#This Row],[Birthweight Z-Score (BW-10%)]],TRUE)*100,"")</f>
        <v/>
      </c>
      <c r="L7458" s="7" t="str">
        <f>IF(Table1[[#This Row],[Is Data Valid]]=TRUE,_xlfn.NORM.S.DIST(Table1[[#This Row],[Birthweight Z-Score (BW+10%)]],TRUE)*100,"")</f>
        <v/>
      </c>
    </row>
    <row r="7459" spans="1:12" x14ac:dyDescent="0.35">
      <c r="A7459" s="3"/>
      <c r="B7459" s="2"/>
      <c r="C7459" s="2"/>
      <c r="D7459" s="2" t="b">
        <f>IF(AND(NOT(ISBLANK(Table1[[#This Row],[Fetal Sex (Male, Female or Unknown)]])),ISNUMBER(Table1[[#This Row],[Birthweight (grams)]]),ISNUMBER(Table1[[#This Row],[Gestation (days)]])),TRUE,FALSE)</f>
        <v>0</v>
      </c>
      <c r="E7459" s="2" t="str">
        <f>IF(Table1[[#This Row],[Is Data Valid]]=TRUE,IF(Table1[[#This Row],[Fetal Sex (Male, Female or Unknown)]]="Male",Backend!$C$6,IF(Table1[[#This Row],[Fetal Sex (Male, Female or Unknown)]]="Female",Backend!$C$7,IF(Table1[[#This Row],[Fetal Sex (Male, Female or Unknown)]]="Unknown",Backend!$C$8,"Error"))),"")</f>
        <v/>
      </c>
      <c r="F7459" s="8" t="str">
        <f>IF(Table1[[#This Row],[Is Data Valid]]=TRUE,EXP(0.578+0.332*((Table1[[#This Row],[Gestation (days)]]+0.5)/7)-0.00354*((Table1[[#This Row],[Gestation (days)]]+0.5)/7)^2)*Table1[[#This Row],[BW40_3705]],"")</f>
        <v/>
      </c>
      <c r="G7459" s="2" t="str">
        <f>IF(Table1[[#This Row],[Is Data Valid]]=TRUE,((Table1[[#This Row],[Birthweight (grams)]]/Table1[[#This Row],[BW_GA]])-1)/(Backend!$B$4/100*Table1[[#This Row],[BW40_3705]]),"")</f>
        <v/>
      </c>
      <c r="H7459" s="7" t="str">
        <f>IF(Table1[[#This Row],[Is Data Valid]]=TRUE,((Table1[[#This Row],[Birthweight (grams)]]*0.9/Table1[[#This Row],[BW_GA]])-1)/(Backend!$B$4/100*Table1[[#This Row],[BW40_3705]]),"")</f>
        <v/>
      </c>
      <c r="I7459" s="7" t="str">
        <f>IF(Table1[[#This Row],[Is Data Valid]]=TRUE,((Table1[[#This Row],[Birthweight (grams)]]*1.1/Table1[[#This Row],[BW_GA]])-1)/(Backend!$B$4/100*Table1[[#This Row],[BW40_3705]]),"")</f>
        <v/>
      </c>
      <c r="J7459" s="7" t="str">
        <f>IF(Table1[[#This Row],[Is Data Valid]]=TRUE,_xlfn.NORM.S.DIST(Table1[[#This Row],[Birthweight Z-Score]],TRUE)*100,"")</f>
        <v/>
      </c>
      <c r="K7459" s="7" t="str">
        <f>IF(Table1[[#This Row],[Is Data Valid]]=TRUE,_xlfn.NORM.S.DIST(Table1[[#This Row],[Birthweight Z-Score (BW-10%)]],TRUE)*100,"")</f>
        <v/>
      </c>
      <c r="L7459" s="7" t="str">
        <f>IF(Table1[[#This Row],[Is Data Valid]]=TRUE,_xlfn.NORM.S.DIST(Table1[[#This Row],[Birthweight Z-Score (BW+10%)]],TRUE)*100,"")</f>
        <v/>
      </c>
    </row>
    <row r="7460" spans="1:12" x14ac:dyDescent="0.35">
      <c r="A7460" s="3"/>
      <c r="B7460" s="2"/>
      <c r="C7460" s="2"/>
      <c r="D7460" s="2" t="b">
        <f>IF(AND(NOT(ISBLANK(Table1[[#This Row],[Fetal Sex (Male, Female or Unknown)]])),ISNUMBER(Table1[[#This Row],[Birthweight (grams)]]),ISNUMBER(Table1[[#This Row],[Gestation (days)]])),TRUE,FALSE)</f>
        <v>0</v>
      </c>
      <c r="E7460" s="2" t="str">
        <f>IF(Table1[[#This Row],[Is Data Valid]]=TRUE,IF(Table1[[#This Row],[Fetal Sex (Male, Female or Unknown)]]="Male",Backend!$C$6,IF(Table1[[#This Row],[Fetal Sex (Male, Female or Unknown)]]="Female",Backend!$C$7,IF(Table1[[#This Row],[Fetal Sex (Male, Female or Unknown)]]="Unknown",Backend!$C$8,"Error"))),"")</f>
        <v/>
      </c>
      <c r="F7460" s="8" t="str">
        <f>IF(Table1[[#This Row],[Is Data Valid]]=TRUE,EXP(0.578+0.332*((Table1[[#This Row],[Gestation (days)]]+0.5)/7)-0.00354*((Table1[[#This Row],[Gestation (days)]]+0.5)/7)^2)*Table1[[#This Row],[BW40_3705]],"")</f>
        <v/>
      </c>
      <c r="G7460" s="2" t="str">
        <f>IF(Table1[[#This Row],[Is Data Valid]]=TRUE,((Table1[[#This Row],[Birthweight (grams)]]/Table1[[#This Row],[BW_GA]])-1)/(Backend!$B$4/100*Table1[[#This Row],[BW40_3705]]),"")</f>
        <v/>
      </c>
      <c r="H7460" s="7" t="str">
        <f>IF(Table1[[#This Row],[Is Data Valid]]=TRUE,((Table1[[#This Row],[Birthweight (grams)]]*0.9/Table1[[#This Row],[BW_GA]])-1)/(Backend!$B$4/100*Table1[[#This Row],[BW40_3705]]),"")</f>
        <v/>
      </c>
      <c r="I7460" s="7" t="str">
        <f>IF(Table1[[#This Row],[Is Data Valid]]=TRUE,((Table1[[#This Row],[Birthweight (grams)]]*1.1/Table1[[#This Row],[BW_GA]])-1)/(Backend!$B$4/100*Table1[[#This Row],[BW40_3705]]),"")</f>
        <v/>
      </c>
      <c r="J7460" s="7" t="str">
        <f>IF(Table1[[#This Row],[Is Data Valid]]=TRUE,_xlfn.NORM.S.DIST(Table1[[#This Row],[Birthweight Z-Score]],TRUE)*100,"")</f>
        <v/>
      </c>
      <c r="K7460" s="7" t="str">
        <f>IF(Table1[[#This Row],[Is Data Valid]]=TRUE,_xlfn.NORM.S.DIST(Table1[[#This Row],[Birthweight Z-Score (BW-10%)]],TRUE)*100,"")</f>
        <v/>
      </c>
      <c r="L7460" s="7" t="str">
        <f>IF(Table1[[#This Row],[Is Data Valid]]=TRUE,_xlfn.NORM.S.DIST(Table1[[#This Row],[Birthweight Z-Score (BW+10%)]],TRUE)*100,"")</f>
        <v/>
      </c>
    </row>
    <row r="7461" spans="1:12" x14ac:dyDescent="0.35">
      <c r="A7461" s="3"/>
      <c r="B7461" s="2"/>
      <c r="C7461" s="2"/>
      <c r="D7461" s="2" t="b">
        <f>IF(AND(NOT(ISBLANK(Table1[[#This Row],[Fetal Sex (Male, Female or Unknown)]])),ISNUMBER(Table1[[#This Row],[Birthweight (grams)]]),ISNUMBER(Table1[[#This Row],[Gestation (days)]])),TRUE,FALSE)</f>
        <v>0</v>
      </c>
      <c r="E7461" s="2" t="str">
        <f>IF(Table1[[#This Row],[Is Data Valid]]=TRUE,IF(Table1[[#This Row],[Fetal Sex (Male, Female or Unknown)]]="Male",Backend!$C$6,IF(Table1[[#This Row],[Fetal Sex (Male, Female or Unknown)]]="Female",Backend!$C$7,IF(Table1[[#This Row],[Fetal Sex (Male, Female or Unknown)]]="Unknown",Backend!$C$8,"Error"))),"")</f>
        <v/>
      </c>
      <c r="F7461" s="8" t="str">
        <f>IF(Table1[[#This Row],[Is Data Valid]]=TRUE,EXP(0.578+0.332*((Table1[[#This Row],[Gestation (days)]]+0.5)/7)-0.00354*((Table1[[#This Row],[Gestation (days)]]+0.5)/7)^2)*Table1[[#This Row],[BW40_3705]],"")</f>
        <v/>
      </c>
      <c r="G7461" s="2" t="str">
        <f>IF(Table1[[#This Row],[Is Data Valid]]=TRUE,((Table1[[#This Row],[Birthweight (grams)]]/Table1[[#This Row],[BW_GA]])-1)/(Backend!$B$4/100*Table1[[#This Row],[BW40_3705]]),"")</f>
        <v/>
      </c>
      <c r="H7461" s="7" t="str">
        <f>IF(Table1[[#This Row],[Is Data Valid]]=TRUE,((Table1[[#This Row],[Birthweight (grams)]]*0.9/Table1[[#This Row],[BW_GA]])-1)/(Backend!$B$4/100*Table1[[#This Row],[BW40_3705]]),"")</f>
        <v/>
      </c>
      <c r="I7461" s="7" t="str">
        <f>IF(Table1[[#This Row],[Is Data Valid]]=TRUE,((Table1[[#This Row],[Birthweight (grams)]]*1.1/Table1[[#This Row],[BW_GA]])-1)/(Backend!$B$4/100*Table1[[#This Row],[BW40_3705]]),"")</f>
        <v/>
      </c>
      <c r="J7461" s="7" t="str">
        <f>IF(Table1[[#This Row],[Is Data Valid]]=TRUE,_xlfn.NORM.S.DIST(Table1[[#This Row],[Birthweight Z-Score]],TRUE)*100,"")</f>
        <v/>
      </c>
      <c r="K7461" s="7" t="str">
        <f>IF(Table1[[#This Row],[Is Data Valid]]=TRUE,_xlfn.NORM.S.DIST(Table1[[#This Row],[Birthweight Z-Score (BW-10%)]],TRUE)*100,"")</f>
        <v/>
      </c>
      <c r="L7461" s="7" t="str">
        <f>IF(Table1[[#This Row],[Is Data Valid]]=TRUE,_xlfn.NORM.S.DIST(Table1[[#This Row],[Birthweight Z-Score (BW+10%)]],TRUE)*100,"")</f>
        <v/>
      </c>
    </row>
    <row r="7462" spans="1:12" x14ac:dyDescent="0.35">
      <c r="A7462" s="3"/>
      <c r="B7462" s="2"/>
      <c r="C7462" s="2"/>
      <c r="D7462" s="2" t="b">
        <f>IF(AND(NOT(ISBLANK(Table1[[#This Row],[Fetal Sex (Male, Female or Unknown)]])),ISNUMBER(Table1[[#This Row],[Birthweight (grams)]]),ISNUMBER(Table1[[#This Row],[Gestation (days)]])),TRUE,FALSE)</f>
        <v>0</v>
      </c>
      <c r="E7462" s="2" t="str">
        <f>IF(Table1[[#This Row],[Is Data Valid]]=TRUE,IF(Table1[[#This Row],[Fetal Sex (Male, Female or Unknown)]]="Male",Backend!$C$6,IF(Table1[[#This Row],[Fetal Sex (Male, Female or Unknown)]]="Female",Backend!$C$7,IF(Table1[[#This Row],[Fetal Sex (Male, Female or Unknown)]]="Unknown",Backend!$C$8,"Error"))),"")</f>
        <v/>
      </c>
      <c r="F7462" s="8" t="str">
        <f>IF(Table1[[#This Row],[Is Data Valid]]=TRUE,EXP(0.578+0.332*((Table1[[#This Row],[Gestation (days)]]+0.5)/7)-0.00354*((Table1[[#This Row],[Gestation (days)]]+0.5)/7)^2)*Table1[[#This Row],[BW40_3705]],"")</f>
        <v/>
      </c>
      <c r="G7462" s="2" t="str">
        <f>IF(Table1[[#This Row],[Is Data Valid]]=TRUE,((Table1[[#This Row],[Birthweight (grams)]]/Table1[[#This Row],[BW_GA]])-1)/(Backend!$B$4/100*Table1[[#This Row],[BW40_3705]]),"")</f>
        <v/>
      </c>
      <c r="H7462" s="7" t="str">
        <f>IF(Table1[[#This Row],[Is Data Valid]]=TRUE,((Table1[[#This Row],[Birthweight (grams)]]*0.9/Table1[[#This Row],[BW_GA]])-1)/(Backend!$B$4/100*Table1[[#This Row],[BW40_3705]]),"")</f>
        <v/>
      </c>
      <c r="I7462" s="7" t="str">
        <f>IF(Table1[[#This Row],[Is Data Valid]]=TRUE,((Table1[[#This Row],[Birthweight (grams)]]*1.1/Table1[[#This Row],[BW_GA]])-1)/(Backend!$B$4/100*Table1[[#This Row],[BW40_3705]]),"")</f>
        <v/>
      </c>
      <c r="J7462" s="7" t="str">
        <f>IF(Table1[[#This Row],[Is Data Valid]]=TRUE,_xlfn.NORM.S.DIST(Table1[[#This Row],[Birthweight Z-Score]],TRUE)*100,"")</f>
        <v/>
      </c>
      <c r="K7462" s="7" t="str">
        <f>IF(Table1[[#This Row],[Is Data Valid]]=TRUE,_xlfn.NORM.S.DIST(Table1[[#This Row],[Birthweight Z-Score (BW-10%)]],TRUE)*100,"")</f>
        <v/>
      </c>
      <c r="L7462" s="7" t="str">
        <f>IF(Table1[[#This Row],[Is Data Valid]]=TRUE,_xlfn.NORM.S.DIST(Table1[[#This Row],[Birthweight Z-Score (BW+10%)]],TRUE)*100,"")</f>
        <v/>
      </c>
    </row>
    <row r="7463" spans="1:12" x14ac:dyDescent="0.35">
      <c r="A7463" s="3"/>
      <c r="B7463" s="2"/>
      <c r="C7463" s="2"/>
      <c r="D7463" s="2" t="b">
        <f>IF(AND(NOT(ISBLANK(Table1[[#This Row],[Fetal Sex (Male, Female or Unknown)]])),ISNUMBER(Table1[[#This Row],[Birthweight (grams)]]),ISNUMBER(Table1[[#This Row],[Gestation (days)]])),TRUE,FALSE)</f>
        <v>0</v>
      </c>
      <c r="E7463" s="2" t="str">
        <f>IF(Table1[[#This Row],[Is Data Valid]]=TRUE,IF(Table1[[#This Row],[Fetal Sex (Male, Female or Unknown)]]="Male",Backend!$C$6,IF(Table1[[#This Row],[Fetal Sex (Male, Female or Unknown)]]="Female",Backend!$C$7,IF(Table1[[#This Row],[Fetal Sex (Male, Female or Unknown)]]="Unknown",Backend!$C$8,"Error"))),"")</f>
        <v/>
      </c>
      <c r="F7463" s="8" t="str">
        <f>IF(Table1[[#This Row],[Is Data Valid]]=TRUE,EXP(0.578+0.332*((Table1[[#This Row],[Gestation (days)]]+0.5)/7)-0.00354*((Table1[[#This Row],[Gestation (days)]]+0.5)/7)^2)*Table1[[#This Row],[BW40_3705]],"")</f>
        <v/>
      </c>
      <c r="G7463" s="2" t="str">
        <f>IF(Table1[[#This Row],[Is Data Valid]]=TRUE,((Table1[[#This Row],[Birthweight (grams)]]/Table1[[#This Row],[BW_GA]])-1)/(Backend!$B$4/100*Table1[[#This Row],[BW40_3705]]),"")</f>
        <v/>
      </c>
      <c r="H7463" s="7" t="str">
        <f>IF(Table1[[#This Row],[Is Data Valid]]=TRUE,((Table1[[#This Row],[Birthweight (grams)]]*0.9/Table1[[#This Row],[BW_GA]])-1)/(Backend!$B$4/100*Table1[[#This Row],[BW40_3705]]),"")</f>
        <v/>
      </c>
      <c r="I7463" s="7" t="str">
        <f>IF(Table1[[#This Row],[Is Data Valid]]=TRUE,((Table1[[#This Row],[Birthweight (grams)]]*1.1/Table1[[#This Row],[BW_GA]])-1)/(Backend!$B$4/100*Table1[[#This Row],[BW40_3705]]),"")</f>
        <v/>
      </c>
      <c r="J7463" s="7" t="str">
        <f>IF(Table1[[#This Row],[Is Data Valid]]=TRUE,_xlfn.NORM.S.DIST(Table1[[#This Row],[Birthweight Z-Score]],TRUE)*100,"")</f>
        <v/>
      </c>
      <c r="K7463" s="7" t="str">
        <f>IF(Table1[[#This Row],[Is Data Valid]]=TRUE,_xlfn.NORM.S.DIST(Table1[[#This Row],[Birthweight Z-Score (BW-10%)]],TRUE)*100,"")</f>
        <v/>
      </c>
      <c r="L7463" s="7" t="str">
        <f>IF(Table1[[#This Row],[Is Data Valid]]=TRUE,_xlfn.NORM.S.DIST(Table1[[#This Row],[Birthweight Z-Score (BW+10%)]],TRUE)*100,"")</f>
        <v/>
      </c>
    </row>
    <row r="7464" spans="1:12" x14ac:dyDescent="0.35">
      <c r="A7464" s="3"/>
      <c r="B7464" s="2"/>
      <c r="C7464" s="2"/>
      <c r="D7464" s="2" t="b">
        <f>IF(AND(NOT(ISBLANK(Table1[[#This Row],[Fetal Sex (Male, Female or Unknown)]])),ISNUMBER(Table1[[#This Row],[Birthweight (grams)]]),ISNUMBER(Table1[[#This Row],[Gestation (days)]])),TRUE,FALSE)</f>
        <v>0</v>
      </c>
      <c r="E7464" s="2" t="str">
        <f>IF(Table1[[#This Row],[Is Data Valid]]=TRUE,IF(Table1[[#This Row],[Fetal Sex (Male, Female or Unknown)]]="Male",Backend!$C$6,IF(Table1[[#This Row],[Fetal Sex (Male, Female or Unknown)]]="Female",Backend!$C$7,IF(Table1[[#This Row],[Fetal Sex (Male, Female or Unknown)]]="Unknown",Backend!$C$8,"Error"))),"")</f>
        <v/>
      </c>
      <c r="F7464" s="8" t="str">
        <f>IF(Table1[[#This Row],[Is Data Valid]]=TRUE,EXP(0.578+0.332*((Table1[[#This Row],[Gestation (days)]]+0.5)/7)-0.00354*((Table1[[#This Row],[Gestation (days)]]+0.5)/7)^2)*Table1[[#This Row],[BW40_3705]],"")</f>
        <v/>
      </c>
      <c r="G7464" s="2" t="str">
        <f>IF(Table1[[#This Row],[Is Data Valid]]=TRUE,((Table1[[#This Row],[Birthweight (grams)]]/Table1[[#This Row],[BW_GA]])-1)/(Backend!$B$4/100*Table1[[#This Row],[BW40_3705]]),"")</f>
        <v/>
      </c>
      <c r="H7464" s="7" t="str">
        <f>IF(Table1[[#This Row],[Is Data Valid]]=TRUE,((Table1[[#This Row],[Birthweight (grams)]]*0.9/Table1[[#This Row],[BW_GA]])-1)/(Backend!$B$4/100*Table1[[#This Row],[BW40_3705]]),"")</f>
        <v/>
      </c>
      <c r="I7464" s="7" t="str">
        <f>IF(Table1[[#This Row],[Is Data Valid]]=TRUE,((Table1[[#This Row],[Birthweight (grams)]]*1.1/Table1[[#This Row],[BW_GA]])-1)/(Backend!$B$4/100*Table1[[#This Row],[BW40_3705]]),"")</f>
        <v/>
      </c>
      <c r="J7464" s="7" t="str">
        <f>IF(Table1[[#This Row],[Is Data Valid]]=TRUE,_xlfn.NORM.S.DIST(Table1[[#This Row],[Birthweight Z-Score]],TRUE)*100,"")</f>
        <v/>
      </c>
      <c r="K7464" s="7" t="str">
        <f>IF(Table1[[#This Row],[Is Data Valid]]=TRUE,_xlfn.NORM.S.DIST(Table1[[#This Row],[Birthweight Z-Score (BW-10%)]],TRUE)*100,"")</f>
        <v/>
      </c>
      <c r="L7464" s="7" t="str">
        <f>IF(Table1[[#This Row],[Is Data Valid]]=TRUE,_xlfn.NORM.S.DIST(Table1[[#This Row],[Birthweight Z-Score (BW+10%)]],TRUE)*100,"")</f>
        <v/>
      </c>
    </row>
    <row r="7465" spans="1:12" x14ac:dyDescent="0.35">
      <c r="A7465" s="3"/>
      <c r="B7465" s="2"/>
      <c r="C7465" s="2"/>
      <c r="D7465" s="2" t="b">
        <f>IF(AND(NOT(ISBLANK(Table1[[#This Row],[Fetal Sex (Male, Female or Unknown)]])),ISNUMBER(Table1[[#This Row],[Birthweight (grams)]]),ISNUMBER(Table1[[#This Row],[Gestation (days)]])),TRUE,FALSE)</f>
        <v>0</v>
      </c>
      <c r="E7465" s="2" t="str">
        <f>IF(Table1[[#This Row],[Is Data Valid]]=TRUE,IF(Table1[[#This Row],[Fetal Sex (Male, Female or Unknown)]]="Male",Backend!$C$6,IF(Table1[[#This Row],[Fetal Sex (Male, Female or Unknown)]]="Female",Backend!$C$7,IF(Table1[[#This Row],[Fetal Sex (Male, Female or Unknown)]]="Unknown",Backend!$C$8,"Error"))),"")</f>
        <v/>
      </c>
      <c r="F7465" s="8" t="str">
        <f>IF(Table1[[#This Row],[Is Data Valid]]=TRUE,EXP(0.578+0.332*((Table1[[#This Row],[Gestation (days)]]+0.5)/7)-0.00354*((Table1[[#This Row],[Gestation (days)]]+0.5)/7)^2)*Table1[[#This Row],[BW40_3705]],"")</f>
        <v/>
      </c>
      <c r="G7465" s="2" t="str">
        <f>IF(Table1[[#This Row],[Is Data Valid]]=TRUE,((Table1[[#This Row],[Birthweight (grams)]]/Table1[[#This Row],[BW_GA]])-1)/(Backend!$B$4/100*Table1[[#This Row],[BW40_3705]]),"")</f>
        <v/>
      </c>
      <c r="H7465" s="7" t="str">
        <f>IF(Table1[[#This Row],[Is Data Valid]]=TRUE,((Table1[[#This Row],[Birthweight (grams)]]*0.9/Table1[[#This Row],[BW_GA]])-1)/(Backend!$B$4/100*Table1[[#This Row],[BW40_3705]]),"")</f>
        <v/>
      </c>
      <c r="I7465" s="7" t="str">
        <f>IF(Table1[[#This Row],[Is Data Valid]]=TRUE,((Table1[[#This Row],[Birthweight (grams)]]*1.1/Table1[[#This Row],[BW_GA]])-1)/(Backend!$B$4/100*Table1[[#This Row],[BW40_3705]]),"")</f>
        <v/>
      </c>
      <c r="J7465" s="7" t="str">
        <f>IF(Table1[[#This Row],[Is Data Valid]]=TRUE,_xlfn.NORM.S.DIST(Table1[[#This Row],[Birthweight Z-Score]],TRUE)*100,"")</f>
        <v/>
      </c>
      <c r="K7465" s="7" t="str">
        <f>IF(Table1[[#This Row],[Is Data Valid]]=TRUE,_xlfn.NORM.S.DIST(Table1[[#This Row],[Birthweight Z-Score (BW-10%)]],TRUE)*100,"")</f>
        <v/>
      </c>
      <c r="L7465" s="7" t="str">
        <f>IF(Table1[[#This Row],[Is Data Valid]]=TRUE,_xlfn.NORM.S.DIST(Table1[[#This Row],[Birthweight Z-Score (BW+10%)]],TRUE)*100,"")</f>
        <v/>
      </c>
    </row>
    <row r="7466" spans="1:12" x14ac:dyDescent="0.35">
      <c r="A7466" s="3"/>
      <c r="B7466" s="2"/>
      <c r="C7466" s="2"/>
      <c r="D7466" s="2" t="b">
        <f>IF(AND(NOT(ISBLANK(Table1[[#This Row],[Fetal Sex (Male, Female or Unknown)]])),ISNUMBER(Table1[[#This Row],[Birthweight (grams)]]),ISNUMBER(Table1[[#This Row],[Gestation (days)]])),TRUE,FALSE)</f>
        <v>0</v>
      </c>
      <c r="E7466" s="2" t="str">
        <f>IF(Table1[[#This Row],[Is Data Valid]]=TRUE,IF(Table1[[#This Row],[Fetal Sex (Male, Female or Unknown)]]="Male",Backend!$C$6,IF(Table1[[#This Row],[Fetal Sex (Male, Female or Unknown)]]="Female",Backend!$C$7,IF(Table1[[#This Row],[Fetal Sex (Male, Female or Unknown)]]="Unknown",Backend!$C$8,"Error"))),"")</f>
        <v/>
      </c>
      <c r="F7466" s="8" t="str">
        <f>IF(Table1[[#This Row],[Is Data Valid]]=TRUE,EXP(0.578+0.332*((Table1[[#This Row],[Gestation (days)]]+0.5)/7)-0.00354*((Table1[[#This Row],[Gestation (days)]]+0.5)/7)^2)*Table1[[#This Row],[BW40_3705]],"")</f>
        <v/>
      </c>
      <c r="G7466" s="2" t="str">
        <f>IF(Table1[[#This Row],[Is Data Valid]]=TRUE,((Table1[[#This Row],[Birthweight (grams)]]/Table1[[#This Row],[BW_GA]])-1)/(Backend!$B$4/100*Table1[[#This Row],[BW40_3705]]),"")</f>
        <v/>
      </c>
      <c r="H7466" s="7" t="str">
        <f>IF(Table1[[#This Row],[Is Data Valid]]=TRUE,((Table1[[#This Row],[Birthweight (grams)]]*0.9/Table1[[#This Row],[BW_GA]])-1)/(Backend!$B$4/100*Table1[[#This Row],[BW40_3705]]),"")</f>
        <v/>
      </c>
      <c r="I7466" s="7" t="str">
        <f>IF(Table1[[#This Row],[Is Data Valid]]=TRUE,((Table1[[#This Row],[Birthweight (grams)]]*1.1/Table1[[#This Row],[BW_GA]])-1)/(Backend!$B$4/100*Table1[[#This Row],[BW40_3705]]),"")</f>
        <v/>
      </c>
      <c r="J7466" s="7" t="str">
        <f>IF(Table1[[#This Row],[Is Data Valid]]=TRUE,_xlfn.NORM.S.DIST(Table1[[#This Row],[Birthweight Z-Score]],TRUE)*100,"")</f>
        <v/>
      </c>
      <c r="K7466" s="7" t="str">
        <f>IF(Table1[[#This Row],[Is Data Valid]]=TRUE,_xlfn.NORM.S.DIST(Table1[[#This Row],[Birthweight Z-Score (BW-10%)]],TRUE)*100,"")</f>
        <v/>
      </c>
      <c r="L7466" s="7" t="str">
        <f>IF(Table1[[#This Row],[Is Data Valid]]=TRUE,_xlfn.NORM.S.DIST(Table1[[#This Row],[Birthweight Z-Score (BW+10%)]],TRUE)*100,"")</f>
        <v/>
      </c>
    </row>
    <row r="7467" spans="1:12" x14ac:dyDescent="0.35">
      <c r="A7467" s="3"/>
      <c r="B7467" s="2"/>
      <c r="C7467" s="2"/>
      <c r="D7467" s="2" t="b">
        <f>IF(AND(NOT(ISBLANK(Table1[[#This Row],[Fetal Sex (Male, Female or Unknown)]])),ISNUMBER(Table1[[#This Row],[Birthweight (grams)]]),ISNUMBER(Table1[[#This Row],[Gestation (days)]])),TRUE,FALSE)</f>
        <v>0</v>
      </c>
      <c r="E7467" s="2" t="str">
        <f>IF(Table1[[#This Row],[Is Data Valid]]=TRUE,IF(Table1[[#This Row],[Fetal Sex (Male, Female or Unknown)]]="Male",Backend!$C$6,IF(Table1[[#This Row],[Fetal Sex (Male, Female or Unknown)]]="Female",Backend!$C$7,IF(Table1[[#This Row],[Fetal Sex (Male, Female or Unknown)]]="Unknown",Backend!$C$8,"Error"))),"")</f>
        <v/>
      </c>
      <c r="F7467" s="8" t="str">
        <f>IF(Table1[[#This Row],[Is Data Valid]]=TRUE,EXP(0.578+0.332*((Table1[[#This Row],[Gestation (days)]]+0.5)/7)-0.00354*((Table1[[#This Row],[Gestation (days)]]+0.5)/7)^2)*Table1[[#This Row],[BW40_3705]],"")</f>
        <v/>
      </c>
      <c r="G7467" s="2" t="str">
        <f>IF(Table1[[#This Row],[Is Data Valid]]=TRUE,((Table1[[#This Row],[Birthweight (grams)]]/Table1[[#This Row],[BW_GA]])-1)/(Backend!$B$4/100*Table1[[#This Row],[BW40_3705]]),"")</f>
        <v/>
      </c>
      <c r="H7467" s="7" t="str">
        <f>IF(Table1[[#This Row],[Is Data Valid]]=TRUE,((Table1[[#This Row],[Birthweight (grams)]]*0.9/Table1[[#This Row],[BW_GA]])-1)/(Backend!$B$4/100*Table1[[#This Row],[BW40_3705]]),"")</f>
        <v/>
      </c>
      <c r="I7467" s="7" t="str">
        <f>IF(Table1[[#This Row],[Is Data Valid]]=TRUE,((Table1[[#This Row],[Birthweight (grams)]]*1.1/Table1[[#This Row],[BW_GA]])-1)/(Backend!$B$4/100*Table1[[#This Row],[BW40_3705]]),"")</f>
        <v/>
      </c>
      <c r="J7467" s="7" t="str">
        <f>IF(Table1[[#This Row],[Is Data Valid]]=TRUE,_xlfn.NORM.S.DIST(Table1[[#This Row],[Birthweight Z-Score]],TRUE)*100,"")</f>
        <v/>
      </c>
      <c r="K7467" s="7" t="str">
        <f>IF(Table1[[#This Row],[Is Data Valid]]=TRUE,_xlfn.NORM.S.DIST(Table1[[#This Row],[Birthweight Z-Score (BW-10%)]],TRUE)*100,"")</f>
        <v/>
      </c>
      <c r="L7467" s="7" t="str">
        <f>IF(Table1[[#This Row],[Is Data Valid]]=TRUE,_xlfn.NORM.S.DIST(Table1[[#This Row],[Birthweight Z-Score (BW+10%)]],TRUE)*100,"")</f>
        <v/>
      </c>
    </row>
    <row r="7468" spans="1:12" x14ac:dyDescent="0.35">
      <c r="A7468" s="3"/>
      <c r="B7468" s="2"/>
      <c r="C7468" s="2"/>
      <c r="D7468" s="2" t="b">
        <f>IF(AND(NOT(ISBLANK(Table1[[#This Row],[Fetal Sex (Male, Female or Unknown)]])),ISNUMBER(Table1[[#This Row],[Birthweight (grams)]]),ISNUMBER(Table1[[#This Row],[Gestation (days)]])),TRUE,FALSE)</f>
        <v>0</v>
      </c>
      <c r="E7468" s="2" t="str">
        <f>IF(Table1[[#This Row],[Is Data Valid]]=TRUE,IF(Table1[[#This Row],[Fetal Sex (Male, Female or Unknown)]]="Male",Backend!$C$6,IF(Table1[[#This Row],[Fetal Sex (Male, Female or Unknown)]]="Female",Backend!$C$7,IF(Table1[[#This Row],[Fetal Sex (Male, Female or Unknown)]]="Unknown",Backend!$C$8,"Error"))),"")</f>
        <v/>
      </c>
      <c r="F7468" s="8" t="str">
        <f>IF(Table1[[#This Row],[Is Data Valid]]=TRUE,EXP(0.578+0.332*((Table1[[#This Row],[Gestation (days)]]+0.5)/7)-0.00354*((Table1[[#This Row],[Gestation (days)]]+0.5)/7)^2)*Table1[[#This Row],[BW40_3705]],"")</f>
        <v/>
      </c>
      <c r="G7468" s="2" t="str">
        <f>IF(Table1[[#This Row],[Is Data Valid]]=TRUE,((Table1[[#This Row],[Birthweight (grams)]]/Table1[[#This Row],[BW_GA]])-1)/(Backend!$B$4/100*Table1[[#This Row],[BW40_3705]]),"")</f>
        <v/>
      </c>
      <c r="H7468" s="7" t="str">
        <f>IF(Table1[[#This Row],[Is Data Valid]]=TRUE,((Table1[[#This Row],[Birthweight (grams)]]*0.9/Table1[[#This Row],[BW_GA]])-1)/(Backend!$B$4/100*Table1[[#This Row],[BW40_3705]]),"")</f>
        <v/>
      </c>
      <c r="I7468" s="7" t="str">
        <f>IF(Table1[[#This Row],[Is Data Valid]]=TRUE,((Table1[[#This Row],[Birthweight (grams)]]*1.1/Table1[[#This Row],[BW_GA]])-1)/(Backend!$B$4/100*Table1[[#This Row],[BW40_3705]]),"")</f>
        <v/>
      </c>
      <c r="J7468" s="7" t="str">
        <f>IF(Table1[[#This Row],[Is Data Valid]]=TRUE,_xlfn.NORM.S.DIST(Table1[[#This Row],[Birthweight Z-Score]],TRUE)*100,"")</f>
        <v/>
      </c>
      <c r="K7468" s="7" t="str">
        <f>IF(Table1[[#This Row],[Is Data Valid]]=TRUE,_xlfn.NORM.S.DIST(Table1[[#This Row],[Birthweight Z-Score (BW-10%)]],TRUE)*100,"")</f>
        <v/>
      </c>
      <c r="L7468" s="7" t="str">
        <f>IF(Table1[[#This Row],[Is Data Valid]]=TRUE,_xlfn.NORM.S.DIST(Table1[[#This Row],[Birthweight Z-Score (BW+10%)]],TRUE)*100,"")</f>
        <v/>
      </c>
    </row>
    <row r="7469" spans="1:12" x14ac:dyDescent="0.35">
      <c r="A7469" s="3"/>
      <c r="B7469" s="2"/>
      <c r="C7469" s="2"/>
      <c r="D7469" s="2" t="b">
        <f>IF(AND(NOT(ISBLANK(Table1[[#This Row],[Fetal Sex (Male, Female or Unknown)]])),ISNUMBER(Table1[[#This Row],[Birthweight (grams)]]),ISNUMBER(Table1[[#This Row],[Gestation (days)]])),TRUE,FALSE)</f>
        <v>0</v>
      </c>
      <c r="E7469" s="2" t="str">
        <f>IF(Table1[[#This Row],[Is Data Valid]]=TRUE,IF(Table1[[#This Row],[Fetal Sex (Male, Female or Unknown)]]="Male",Backend!$C$6,IF(Table1[[#This Row],[Fetal Sex (Male, Female or Unknown)]]="Female",Backend!$C$7,IF(Table1[[#This Row],[Fetal Sex (Male, Female or Unknown)]]="Unknown",Backend!$C$8,"Error"))),"")</f>
        <v/>
      </c>
      <c r="F7469" s="8" t="str">
        <f>IF(Table1[[#This Row],[Is Data Valid]]=TRUE,EXP(0.578+0.332*((Table1[[#This Row],[Gestation (days)]]+0.5)/7)-0.00354*((Table1[[#This Row],[Gestation (days)]]+0.5)/7)^2)*Table1[[#This Row],[BW40_3705]],"")</f>
        <v/>
      </c>
      <c r="G7469" s="2" t="str">
        <f>IF(Table1[[#This Row],[Is Data Valid]]=TRUE,((Table1[[#This Row],[Birthweight (grams)]]/Table1[[#This Row],[BW_GA]])-1)/(Backend!$B$4/100*Table1[[#This Row],[BW40_3705]]),"")</f>
        <v/>
      </c>
      <c r="H7469" s="7" t="str">
        <f>IF(Table1[[#This Row],[Is Data Valid]]=TRUE,((Table1[[#This Row],[Birthweight (grams)]]*0.9/Table1[[#This Row],[BW_GA]])-1)/(Backend!$B$4/100*Table1[[#This Row],[BW40_3705]]),"")</f>
        <v/>
      </c>
      <c r="I7469" s="7" t="str">
        <f>IF(Table1[[#This Row],[Is Data Valid]]=TRUE,((Table1[[#This Row],[Birthweight (grams)]]*1.1/Table1[[#This Row],[BW_GA]])-1)/(Backend!$B$4/100*Table1[[#This Row],[BW40_3705]]),"")</f>
        <v/>
      </c>
      <c r="J7469" s="7" t="str">
        <f>IF(Table1[[#This Row],[Is Data Valid]]=TRUE,_xlfn.NORM.S.DIST(Table1[[#This Row],[Birthweight Z-Score]],TRUE)*100,"")</f>
        <v/>
      </c>
      <c r="K7469" s="7" t="str">
        <f>IF(Table1[[#This Row],[Is Data Valid]]=TRUE,_xlfn.NORM.S.DIST(Table1[[#This Row],[Birthweight Z-Score (BW-10%)]],TRUE)*100,"")</f>
        <v/>
      </c>
      <c r="L7469" s="7" t="str">
        <f>IF(Table1[[#This Row],[Is Data Valid]]=TRUE,_xlfn.NORM.S.DIST(Table1[[#This Row],[Birthweight Z-Score (BW+10%)]],TRUE)*100,"")</f>
        <v/>
      </c>
    </row>
    <row r="7470" spans="1:12" x14ac:dyDescent="0.35">
      <c r="A7470" s="3"/>
      <c r="B7470" s="2"/>
      <c r="C7470" s="2"/>
      <c r="D7470" s="2" t="b">
        <f>IF(AND(NOT(ISBLANK(Table1[[#This Row],[Fetal Sex (Male, Female or Unknown)]])),ISNUMBER(Table1[[#This Row],[Birthweight (grams)]]),ISNUMBER(Table1[[#This Row],[Gestation (days)]])),TRUE,FALSE)</f>
        <v>0</v>
      </c>
      <c r="E7470" s="2" t="str">
        <f>IF(Table1[[#This Row],[Is Data Valid]]=TRUE,IF(Table1[[#This Row],[Fetal Sex (Male, Female or Unknown)]]="Male",Backend!$C$6,IF(Table1[[#This Row],[Fetal Sex (Male, Female or Unknown)]]="Female",Backend!$C$7,IF(Table1[[#This Row],[Fetal Sex (Male, Female or Unknown)]]="Unknown",Backend!$C$8,"Error"))),"")</f>
        <v/>
      </c>
      <c r="F7470" s="8" t="str">
        <f>IF(Table1[[#This Row],[Is Data Valid]]=TRUE,EXP(0.578+0.332*((Table1[[#This Row],[Gestation (days)]]+0.5)/7)-0.00354*((Table1[[#This Row],[Gestation (days)]]+0.5)/7)^2)*Table1[[#This Row],[BW40_3705]],"")</f>
        <v/>
      </c>
      <c r="G7470" s="2" t="str">
        <f>IF(Table1[[#This Row],[Is Data Valid]]=TRUE,((Table1[[#This Row],[Birthweight (grams)]]/Table1[[#This Row],[BW_GA]])-1)/(Backend!$B$4/100*Table1[[#This Row],[BW40_3705]]),"")</f>
        <v/>
      </c>
      <c r="H7470" s="7" t="str">
        <f>IF(Table1[[#This Row],[Is Data Valid]]=TRUE,((Table1[[#This Row],[Birthweight (grams)]]*0.9/Table1[[#This Row],[BW_GA]])-1)/(Backend!$B$4/100*Table1[[#This Row],[BW40_3705]]),"")</f>
        <v/>
      </c>
      <c r="I7470" s="7" t="str">
        <f>IF(Table1[[#This Row],[Is Data Valid]]=TRUE,((Table1[[#This Row],[Birthweight (grams)]]*1.1/Table1[[#This Row],[BW_GA]])-1)/(Backend!$B$4/100*Table1[[#This Row],[BW40_3705]]),"")</f>
        <v/>
      </c>
      <c r="J7470" s="7" t="str">
        <f>IF(Table1[[#This Row],[Is Data Valid]]=TRUE,_xlfn.NORM.S.DIST(Table1[[#This Row],[Birthweight Z-Score]],TRUE)*100,"")</f>
        <v/>
      </c>
      <c r="K7470" s="7" t="str">
        <f>IF(Table1[[#This Row],[Is Data Valid]]=TRUE,_xlfn.NORM.S.DIST(Table1[[#This Row],[Birthweight Z-Score (BW-10%)]],TRUE)*100,"")</f>
        <v/>
      </c>
      <c r="L7470" s="7" t="str">
        <f>IF(Table1[[#This Row],[Is Data Valid]]=TRUE,_xlfn.NORM.S.DIST(Table1[[#This Row],[Birthweight Z-Score (BW+10%)]],TRUE)*100,"")</f>
        <v/>
      </c>
    </row>
    <row r="7471" spans="1:12" x14ac:dyDescent="0.35">
      <c r="A7471" s="3"/>
      <c r="B7471" s="2"/>
      <c r="C7471" s="2"/>
      <c r="D7471" s="2" t="b">
        <f>IF(AND(NOT(ISBLANK(Table1[[#This Row],[Fetal Sex (Male, Female or Unknown)]])),ISNUMBER(Table1[[#This Row],[Birthweight (grams)]]),ISNUMBER(Table1[[#This Row],[Gestation (days)]])),TRUE,FALSE)</f>
        <v>0</v>
      </c>
      <c r="E7471" s="2" t="str">
        <f>IF(Table1[[#This Row],[Is Data Valid]]=TRUE,IF(Table1[[#This Row],[Fetal Sex (Male, Female or Unknown)]]="Male",Backend!$C$6,IF(Table1[[#This Row],[Fetal Sex (Male, Female or Unknown)]]="Female",Backend!$C$7,IF(Table1[[#This Row],[Fetal Sex (Male, Female or Unknown)]]="Unknown",Backend!$C$8,"Error"))),"")</f>
        <v/>
      </c>
      <c r="F7471" s="8" t="str">
        <f>IF(Table1[[#This Row],[Is Data Valid]]=TRUE,EXP(0.578+0.332*((Table1[[#This Row],[Gestation (days)]]+0.5)/7)-0.00354*((Table1[[#This Row],[Gestation (days)]]+0.5)/7)^2)*Table1[[#This Row],[BW40_3705]],"")</f>
        <v/>
      </c>
      <c r="G7471" s="2" t="str">
        <f>IF(Table1[[#This Row],[Is Data Valid]]=TRUE,((Table1[[#This Row],[Birthweight (grams)]]/Table1[[#This Row],[BW_GA]])-1)/(Backend!$B$4/100*Table1[[#This Row],[BW40_3705]]),"")</f>
        <v/>
      </c>
      <c r="H7471" s="7" t="str">
        <f>IF(Table1[[#This Row],[Is Data Valid]]=TRUE,((Table1[[#This Row],[Birthweight (grams)]]*0.9/Table1[[#This Row],[BW_GA]])-1)/(Backend!$B$4/100*Table1[[#This Row],[BW40_3705]]),"")</f>
        <v/>
      </c>
      <c r="I7471" s="7" t="str">
        <f>IF(Table1[[#This Row],[Is Data Valid]]=TRUE,((Table1[[#This Row],[Birthweight (grams)]]*1.1/Table1[[#This Row],[BW_GA]])-1)/(Backend!$B$4/100*Table1[[#This Row],[BW40_3705]]),"")</f>
        <v/>
      </c>
      <c r="J7471" s="7" t="str">
        <f>IF(Table1[[#This Row],[Is Data Valid]]=TRUE,_xlfn.NORM.S.DIST(Table1[[#This Row],[Birthweight Z-Score]],TRUE)*100,"")</f>
        <v/>
      </c>
      <c r="K7471" s="7" t="str">
        <f>IF(Table1[[#This Row],[Is Data Valid]]=TRUE,_xlfn.NORM.S.DIST(Table1[[#This Row],[Birthweight Z-Score (BW-10%)]],TRUE)*100,"")</f>
        <v/>
      </c>
      <c r="L7471" s="7" t="str">
        <f>IF(Table1[[#This Row],[Is Data Valid]]=TRUE,_xlfn.NORM.S.DIST(Table1[[#This Row],[Birthweight Z-Score (BW+10%)]],TRUE)*100,"")</f>
        <v/>
      </c>
    </row>
    <row r="7472" spans="1:12" x14ac:dyDescent="0.35">
      <c r="A7472" s="3"/>
      <c r="B7472" s="2"/>
      <c r="C7472" s="2"/>
      <c r="D7472" s="2" t="b">
        <f>IF(AND(NOT(ISBLANK(Table1[[#This Row],[Fetal Sex (Male, Female or Unknown)]])),ISNUMBER(Table1[[#This Row],[Birthweight (grams)]]),ISNUMBER(Table1[[#This Row],[Gestation (days)]])),TRUE,FALSE)</f>
        <v>0</v>
      </c>
      <c r="E7472" s="2" t="str">
        <f>IF(Table1[[#This Row],[Is Data Valid]]=TRUE,IF(Table1[[#This Row],[Fetal Sex (Male, Female or Unknown)]]="Male",Backend!$C$6,IF(Table1[[#This Row],[Fetal Sex (Male, Female or Unknown)]]="Female",Backend!$C$7,IF(Table1[[#This Row],[Fetal Sex (Male, Female or Unknown)]]="Unknown",Backend!$C$8,"Error"))),"")</f>
        <v/>
      </c>
      <c r="F7472" s="8" t="str">
        <f>IF(Table1[[#This Row],[Is Data Valid]]=TRUE,EXP(0.578+0.332*((Table1[[#This Row],[Gestation (days)]]+0.5)/7)-0.00354*((Table1[[#This Row],[Gestation (days)]]+0.5)/7)^2)*Table1[[#This Row],[BW40_3705]],"")</f>
        <v/>
      </c>
      <c r="G7472" s="2" t="str">
        <f>IF(Table1[[#This Row],[Is Data Valid]]=TRUE,((Table1[[#This Row],[Birthweight (grams)]]/Table1[[#This Row],[BW_GA]])-1)/(Backend!$B$4/100*Table1[[#This Row],[BW40_3705]]),"")</f>
        <v/>
      </c>
      <c r="H7472" s="7" t="str">
        <f>IF(Table1[[#This Row],[Is Data Valid]]=TRUE,((Table1[[#This Row],[Birthweight (grams)]]*0.9/Table1[[#This Row],[BW_GA]])-1)/(Backend!$B$4/100*Table1[[#This Row],[BW40_3705]]),"")</f>
        <v/>
      </c>
      <c r="I7472" s="7" t="str">
        <f>IF(Table1[[#This Row],[Is Data Valid]]=TRUE,((Table1[[#This Row],[Birthweight (grams)]]*1.1/Table1[[#This Row],[BW_GA]])-1)/(Backend!$B$4/100*Table1[[#This Row],[BW40_3705]]),"")</f>
        <v/>
      </c>
      <c r="J7472" s="7" t="str">
        <f>IF(Table1[[#This Row],[Is Data Valid]]=TRUE,_xlfn.NORM.S.DIST(Table1[[#This Row],[Birthweight Z-Score]],TRUE)*100,"")</f>
        <v/>
      </c>
      <c r="K7472" s="7" t="str">
        <f>IF(Table1[[#This Row],[Is Data Valid]]=TRUE,_xlfn.NORM.S.DIST(Table1[[#This Row],[Birthweight Z-Score (BW-10%)]],TRUE)*100,"")</f>
        <v/>
      </c>
      <c r="L7472" s="7" t="str">
        <f>IF(Table1[[#This Row],[Is Data Valid]]=TRUE,_xlfn.NORM.S.DIST(Table1[[#This Row],[Birthweight Z-Score (BW+10%)]],TRUE)*100,"")</f>
        <v/>
      </c>
    </row>
    <row r="7473" spans="1:12" x14ac:dyDescent="0.35">
      <c r="A7473" s="3"/>
      <c r="B7473" s="2"/>
      <c r="C7473" s="2"/>
      <c r="D7473" s="2" t="b">
        <f>IF(AND(NOT(ISBLANK(Table1[[#This Row],[Fetal Sex (Male, Female or Unknown)]])),ISNUMBER(Table1[[#This Row],[Birthweight (grams)]]),ISNUMBER(Table1[[#This Row],[Gestation (days)]])),TRUE,FALSE)</f>
        <v>0</v>
      </c>
      <c r="E7473" s="2" t="str">
        <f>IF(Table1[[#This Row],[Is Data Valid]]=TRUE,IF(Table1[[#This Row],[Fetal Sex (Male, Female or Unknown)]]="Male",Backend!$C$6,IF(Table1[[#This Row],[Fetal Sex (Male, Female or Unknown)]]="Female",Backend!$C$7,IF(Table1[[#This Row],[Fetal Sex (Male, Female or Unknown)]]="Unknown",Backend!$C$8,"Error"))),"")</f>
        <v/>
      </c>
      <c r="F7473" s="8" t="str">
        <f>IF(Table1[[#This Row],[Is Data Valid]]=TRUE,EXP(0.578+0.332*((Table1[[#This Row],[Gestation (days)]]+0.5)/7)-0.00354*((Table1[[#This Row],[Gestation (days)]]+0.5)/7)^2)*Table1[[#This Row],[BW40_3705]],"")</f>
        <v/>
      </c>
      <c r="G7473" s="2" t="str">
        <f>IF(Table1[[#This Row],[Is Data Valid]]=TRUE,((Table1[[#This Row],[Birthweight (grams)]]/Table1[[#This Row],[BW_GA]])-1)/(Backend!$B$4/100*Table1[[#This Row],[BW40_3705]]),"")</f>
        <v/>
      </c>
      <c r="H7473" s="7" t="str">
        <f>IF(Table1[[#This Row],[Is Data Valid]]=TRUE,((Table1[[#This Row],[Birthweight (grams)]]*0.9/Table1[[#This Row],[BW_GA]])-1)/(Backend!$B$4/100*Table1[[#This Row],[BW40_3705]]),"")</f>
        <v/>
      </c>
      <c r="I7473" s="7" t="str">
        <f>IF(Table1[[#This Row],[Is Data Valid]]=TRUE,((Table1[[#This Row],[Birthweight (grams)]]*1.1/Table1[[#This Row],[BW_GA]])-1)/(Backend!$B$4/100*Table1[[#This Row],[BW40_3705]]),"")</f>
        <v/>
      </c>
      <c r="J7473" s="7" t="str">
        <f>IF(Table1[[#This Row],[Is Data Valid]]=TRUE,_xlfn.NORM.S.DIST(Table1[[#This Row],[Birthweight Z-Score]],TRUE)*100,"")</f>
        <v/>
      </c>
      <c r="K7473" s="7" t="str">
        <f>IF(Table1[[#This Row],[Is Data Valid]]=TRUE,_xlfn.NORM.S.DIST(Table1[[#This Row],[Birthweight Z-Score (BW-10%)]],TRUE)*100,"")</f>
        <v/>
      </c>
      <c r="L7473" s="7" t="str">
        <f>IF(Table1[[#This Row],[Is Data Valid]]=TRUE,_xlfn.NORM.S.DIST(Table1[[#This Row],[Birthweight Z-Score (BW+10%)]],TRUE)*100,"")</f>
        <v/>
      </c>
    </row>
    <row r="7474" spans="1:12" x14ac:dyDescent="0.35">
      <c r="A7474" s="3"/>
      <c r="B7474" s="2"/>
      <c r="C7474" s="2"/>
      <c r="D7474" s="2" t="b">
        <f>IF(AND(NOT(ISBLANK(Table1[[#This Row],[Fetal Sex (Male, Female or Unknown)]])),ISNUMBER(Table1[[#This Row],[Birthweight (grams)]]),ISNUMBER(Table1[[#This Row],[Gestation (days)]])),TRUE,FALSE)</f>
        <v>0</v>
      </c>
      <c r="E7474" s="2" t="str">
        <f>IF(Table1[[#This Row],[Is Data Valid]]=TRUE,IF(Table1[[#This Row],[Fetal Sex (Male, Female or Unknown)]]="Male",Backend!$C$6,IF(Table1[[#This Row],[Fetal Sex (Male, Female or Unknown)]]="Female",Backend!$C$7,IF(Table1[[#This Row],[Fetal Sex (Male, Female or Unknown)]]="Unknown",Backend!$C$8,"Error"))),"")</f>
        <v/>
      </c>
      <c r="F7474" s="8" t="str">
        <f>IF(Table1[[#This Row],[Is Data Valid]]=TRUE,EXP(0.578+0.332*((Table1[[#This Row],[Gestation (days)]]+0.5)/7)-0.00354*((Table1[[#This Row],[Gestation (days)]]+0.5)/7)^2)*Table1[[#This Row],[BW40_3705]],"")</f>
        <v/>
      </c>
      <c r="G7474" s="2" t="str">
        <f>IF(Table1[[#This Row],[Is Data Valid]]=TRUE,((Table1[[#This Row],[Birthweight (grams)]]/Table1[[#This Row],[BW_GA]])-1)/(Backend!$B$4/100*Table1[[#This Row],[BW40_3705]]),"")</f>
        <v/>
      </c>
      <c r="H7474" s="7" t="str">
        <f>IF(Table1[[#This Row],[Is Data Valid]]=TRUE,((Table1[[#This Row],[Birthweight (grams)]]*0.9/Table1[[#This Row],[BW_GA]])-1)/(Backend!$B$4/100*Table1[[#This Row],[BW40_3705]]),"")</f>
        <v/>
      </c>
      <c r="I7474" s="7" t="str">
        <f>IF(Table1[[#This Row],[Is Data Valid]]=TRUE,((Table1[[#This Row],[Birthweight (grams)]]*1.1/Table1[[#This Row],[BW_GA]])-1)/(Backend!$B$4/100*Table1[[#This Row],[BW40_3705]]),"")</f>
        <v/>
      </c>
      <c r="J7474" s="7" t="str">
        <f>IF(Table1[[#This Row],[Is Data Valid]]=TRUE,_xlfn.NORM.S.DIST(Table1[[#This Row],[Birthweight Z-Score]],TRUE)*100,"")</f>
        <v/>
      </c>
      <c r="K7474" s="7" t="str">
        <f>IF(Table1[[#This Row],[Is Data Valid]]=TRUE,_xlfn.NORM.S.DIST(Table1[[#This Row],[Birthweight Z-Score (BW-10%)]],TRUE)*100,"")</f>
        <v/>
      </c>
      <c r="L7474" s="7" t="str">
        <f>IF(Table1[[#This Row],[Is Data Valid]]=TRUE,_xlfn.NORM.S.DIST(Table1[[#This Row],[Birthweight Z-Score (BW+10%)]],TRUE)*100,"")</f>
        <v/>
      </c>
    </row>
    <row r="7475" spans="1:12" x14ac:dyDescent="0.35">
      <c r="A7475" s="3"/>
      <c r="B7475" s="2"/>
      <c r="C7475" s="2"/>
      <c r="D7475" s="2" t="b">
        <f>IF(AND(NOT(ISBLANK(Table1[[#This Row],[Fetal Sex (Male, Female or Unknown)]])),ISNUMBER(Table1[[#This Row],[Birthweight (grams)]]),ISNUMBER(Table1[[#This Row],[Gestation (days)]])),TRUE,FALSE)</f>
        <v>0</v>
      </c>
      <c r="E7475" s="2" t="str">
        <f>IF(Table1[[#This Row],[Is Data Valid]]=TRUE,IF(Table1[[#This Row],[Fetal Sex (Male, Female or Unknown)]]="Male",Backend!$C$6,IF(Table1[[#This Row],[Fetal Sex (Male, Female or Unknown)]]="Female",Backend!$C$7,IF(Table1[[#This Row],[Fetal Sex (Male, Female or Unknown)]]="Unknown",Backend!$C$8,"Error"))),"")</f>
        <v/>
      </c>
      <c r="F7475" s="8" t="str">
        <f>IF(Table1[[#This Row],[Is Data Valid]]=TRUE,EXP(0.578+0.332*((Table1[[#This Row],[Gestation (days)]]+0.5)/7)-0.00354*((Table1[[#This Row],[Gestation (days)]]+0.5)/7)^2)*Table1[[#This Row],[BW40_3705]],"")</f>
        <v/>
      </c>
      <c r="G7475" s="2" t="str">
        <f>IF(Table1[[#This Row],[Is Data Valid]]=TRUE,((Table1[[#This Row],[Birthweight (grams)]]/Table1[[#This Row],[BW_GA]])-1)/(Backend!$B$4/100*Table1[[#This Row],[BW40_3705]]),"")</f>
        <v/>
      </c>
      <c r="H7475" s="7" t="str">
        <f>IF(Table1[[#This Row],[Is Data Valid]]=TRUE,((Table1[[#This Row],[Birthweight (grams)]]*0.9/Table1[[#This Row],[BW_GA]])-1)/(Backend!$B$4/100*Table1[[#This Row],[BW40_3705]]),"")</f>
        <v/>
      </c>
      <c r="I7475" s="7" t="str">
        <f>IF(Table1[[#This Row],[Is Data Valid]]=TRUE,((Table1[[#This Row],[Birthweight (grams)]]*1.1/Table1[[#This Row],[BW_GA]])-1)/(Backend!$B$4/100*Table1[[#This Row],[BW40_3705]]),"")</f>
        <v/>
      </c>
      <c r="J7475" s="7" t="str">
        <f>IF(Table1[[#This Row],[Is Data Valid]]=TRUE,_xlfn.NORM.S.DIST(Table1[[#This Row],[Birthweight Z-Score]],TRUE)*100,"")</f>
        <v/>
      </c>
      <c r="K7475" s="7" t="str">
        <f>IF(Table1[[#This Row],[Is Data Valid]]=TRUE,_xlfn.NORM.S.DIST(Table1[[#This Row],[Birthweight Z-Score (BW-10%)]],TRUE)*100,"")</f>
        <v/>
      </c>
      <c r="L7475" s="7" t="str">
        <f>IF(Table1[[#This Row],[Is Data Valid]]=TRUE,_xlfn.NORM.S.DIST(Table1[[#This Row],[Birthweight Z-Score (BW+10%)]],TRUE)*100,"")</f>
        <v/>
      </c>
    </row>
    <row r="7476" spans="1:12" x14ac:dyDescent="0.35">
      <c r="A7476" s="3"/>
      <c r="B7476" s="2"/>
      <c r="C7476" s="2"/>
      <c r="D7476" s="2" t="b">
        <f>IF(AND(NOT(ISBLANK(Table1[[#This Row],[Fetal Sex (Male, Female or Unknown)]])),ISNUMBER(Table1[[#This Row],[Birthweight (grams)]]),ISNUMBER(Table1[[#This Row],[Gestation (days)]])),TRUE,FALSE)</f>
        <v>0</v>
      </c>
      <c r="E7476" s="2" t="str">
        <f>IF(Table1[[#This Row],[Is Data Valid]]=TRUE,IF(Table1[[#This Row],[Fetal Sex (Male, Female or Unknown)]]="Male",Backend!$C$6,IF(Table1[[#This Row],[Fetal Sex (Male, Female or Unknown)]]="Female",Backend!$C$7,IF(Table1[[#This Row],[Fetal Sex (Male, Female or Unknown)]]="Unknown",Backend!$C$8,"Error"))),"")</f>
        <v/>
      </c>
      <c r="F7476" s="8" t="str">
        <f>IF(Table1[[#This Row],[Is Data Valid]]=TRUE,EXP(0.578+0.332*((Table1[[#This Row],[Gestation (days)]]+0.5)/7)-0.00354*((Table1[[#This Row],[Gestation (days)]]+0.5)/7)^2)*Table1[[#This Row],[BW40_3705]],"")</f>
        <v/>
      </c>
      <c r="G7476" s="2" t="str">
        <f>IF(Table1[[#This Row],[Is Data Valid]]=TRUE,((Table1[[#This Row],[Birthweight (grams)]]/Table1[[#This Row],[BW_GA]])-1)/(Backend!$B$4/100*Table1[[#This Row],[BW40_3705]]),"")</f>
        <v/>
      </c>
      <c r="H7476" s="7" t="str">
        <f>IF(Table1[[#This Row],[Is Data Valid]]=TRUE,((Table1[[#This Row],[Birthweight (grams)]]*0.9/Table1[[#This Row],[BW_GA]])-1)/(Backend!$B$4/100*Table1[[#This Row],[BW40_3705]]),"")</f>
        <v/>
      </c>
      <c r="I7476" s="7" t="str">
        <f>IF(Table1[[#This Row],[Is Data Valid]]=TRUE,((Table1[[#This Row],[Birthweight (grams)]]*1.1/Table1[[#This Row],[BW_GA]])-1)/(Backend!$B$4/100*Table1[[#This Row],[BW40_3705]]),"")</f>
        <v/>
      </c>
      <c r="J7476" s="7" t="str">
        <f>IF(Table1[[#This Row],[Is Data Valid]]=TRUE,_xlfn.NORM.S.DIST(Table1[[#This Row],[Birthweight Z-Score]],TRUE)*100,"")</f>
        <v/>
      </c>
      <c r="K7476" s="7" t="str">
        <f>IF(Table1[[#This Row],[Is Data Valid]]=TRUE,_xlfn.NORM.S.DIST(Table1[[#This Row],[Birthweight Z-Score (BW-10%)]],TRUE)*100,"")</f>
        <v/>
      </c>
      <c r="L7476" s="7" t="str">
        <f>IF(Table1[[#This Row],[Is Data Valid]]=TRUE,_xlfn.NORM.S.DIST(Table1[[#This Row],[Birthweight Z-Score (BW+10%)]],TRUE)*100,"")</f>
        <v/>
      </c>
    </row>
    <row r="7477" spans="1:12" x14ac:dyDescent="0.35">
      <c r="A7477" s="3"/>
      <c r="B7477" s="2"/>
      <c r="C7477" s="2"/>
      <c r="D7477" s="2" t="b">
        <f>IF(AND(NOT(ISBLANK(Table1[[#This Row],[Fetal Sex (Male, Female or Unknown)]])),ISNUMBER(Table1[[#This Row],[Birthweight (grams)]]),ISNUMBER(Table1[[#This Row],[Gestation (days)]])),TRUE,FALSE)</f>
        <v>0</v>
      </c>
      <c r="E7477" s="2" t="str">
        <f>IF(Table1[[#This Row],[Is Data Valid]]=TRUE,IF(Table1[[#This Row],[Fetal Sex (Male, Female or Unknown)]]="Male",Backend!$C$6,IF(Table1[[#This Row],[Fetal Sex (Male, Female or Unknown)]]="Female",Backend!$C$7,IF(Table1[[#This Row],[Fetal Sex (Male, Female or Unknown)]]="Unknown",Backend!$C$8,"Error"))),"")</f>
        <v/>
      </c>
      <c r="F7477" s="8" t="str">
        <f>IF(Table1[[#This Row],[Is Data Valid]]=TRUE,EXP(0.578+0.332*((Table1[[#This Row],[Gestation (days)]]+0.5)/7)-0.00354*((Table1[[#This Row],[Gestation (days)]]+0.5)/7)^2)*Table1[[#This Row],[BW40_3705]],"")</f>
        <v/>
      </c>
      <c r="G7477" s="2" t="str">
        <f>IF(Table1[[#This Row],[Is Data Valid]]=TRUE,((Table1[[#This Row],[Birthweight (grams)]]/Table1[[#This Row],[BW_GA]])-1)/(Backend!$B$4/100*Table1[[#This Row],[BW40_3705]]),"")</f>
        <v/>
      </c>
      <c r="H7477" s="7" t="str">
        <f>IF(Table1[[#This Row],[Is Data Valid]]=TRUE,((Table1[[#This Row],[Birthweight (grams)]]*0.9/Table1[[#This Row],[BW_GA]])-1)/(Backend!$B$4/100*Table1[[#This Row],[BW40_3705]]),"")</f>
        <v/>
      </c>
      <c r="I7477" s="7" t="str">
        <f>IF(Table1[[#This Row],[Is Data Valid]]=TRUE,((Table1[[#This Row],[Birthweight (grams)]]*1.1/Table1[[#This Row],[BW_GA]])-1)/(Backend!$B$4/100*Table1[[#This Row],[BW40_3705]]),"")</f>
        <v/>
      </c>
      <c r="J7477" s="7" t="str">
        <f>IF(Table1[[#This Row],[Is Data Valid]]=TRUE,_xlfn.NORM.S.DIST(Table1[[#This Row],[Birthweight Z-Score]],TRUE)*100,"")</f>
        <v/>
      </c>
      <c r="K7477" s="7" t="str">
        <f>IF(Table1[[#This Row],[Is Data Valid]]=TRUE,_xlfn.NORM.S.DIST(Table1[[#This Row],[Birthweight Z-Score (BW-10%)]],TRUE)*100,"")</f>
        <v/>
      </c>
      <c r="L7477" s="7" t="str">
        <f>IF(Table1[[#This Row],[Is Data Valid]]=TRUE,_xlfn.NORM.S.DIST(Table1[[#This Row],[Birthweight Z-Score (BW+10%)]],TRUE)*100,"")</f>
        <v/>
      </c>
    </row>
    <row r="7478" spans="1:12" x14ac:dyDescent="0.35">
      <c r="A7478" s="3"/>
      <c r="B7478" s="2"/>
      <c r="C7478" s="2"/>
      <c r="D7478" s="2" t="b">
        <f>IF(AND(NOT(ISBLANK(Table1[[#This Row],[Fetal Sex (Male, Female or Unknown)]])),ISNUMBER(Table1[[#This Row],[Birthweight (grams)]]),ISNUMBER(Table1[[#This Row],[Gestation (days)]])),TRUE,FALSE)</f>
        <v>0</v>
      </c>
      <c r="E7478" s="2" t="str">
        <f>IF(Table1[[#This Row],[Is Data Valid]]=TRUE,IF(Table1[[#This Row],[Fetal Sex (Male, Female or Unknown)]]="Male",Backend!$C$6,IF(Table1[[#This Row],[Fetal Sex (Male, Female or Unknown)]]="Female",Backend!$C$7,IF(Table1[[#This Row],[Fetal Sex (Male, Female or Unknown)]]="Unknown",Backend!$C$8,"Error"))),"")</f>
        <v/>
      </c>
      <c r="F7478" s="8" t="str">
        <f>IF(Table1[[#This Row],[Is Data Valid]]=TRUE,EXP(0.578+0.332*((Table1[[#This Row],[Gestation (days)]]+0.5)/7)-0.00354*((Table1[[#This Row],[Gestation (days)]]+0.5)/7)^2)*Table1[[#This Row],[BW40_3705]],"")</f>
        <v/>
      </c>
      <c r="G7478" s="2" t="str">
        <f>IF(Table1[[#This Row],[Is Data Valid]]=TRUE,((Table1[[#This Row],[Birthweight (grams)]]/Table1[[#This Row],[BW_GA]])-1)/(Backend!$B$4/100*Table1[[#This Row],[BW40_3705]]),"")</f>
        <v/>
      </c>
      <c r="H7478" s="7" t="str">
        <f>IF(Table1[[#This Row],[Is Data Valid]]=TRUE,((Table1[[#This Row],[Birthweight (grams)]]*0.9/Table1[[#This Row],[BW_GA]])-1)/(Backend!$B$4/100*Table1[[#This Row],[BW40_3705]]),"")</f>
        <v/>
      </c>
      <c r="I7478" s="7" t="str">
        <f>IF(Table1[[#This Row],[Is Data Valid]]=TRUE,((Table1[[#This Row],[Birthweight (grams)]]*1.1/Table1[[#This Row],[BW_GA]])-1)/(Backend!$B$4/100*Table1[[#This Row],[BW40_3705]]),"")</f>
        <v/>
      </c>
      <c r="J7478" s="7" t="str">
        <f>IF(Table1[[#This Row],[Is Data Valid]]=TRUE,_xlfn.NORM.S.DIST(Table1[[#This Row],[Birthweight Z-Score]],TRUE)*100,"")</f>
        <v/>
      </c>
      <c r="K7478" s="7" t="str">
        <f>IF(Table1[[#This Row],[Is Data Valid]]=TRUE,_xlfn.NORM.S.DIST(Table1[[#This Row],[Birthweight Z-Score (BW-10%)]],TRUE)*100,"")</f>
        <v/>
      </c>
      <c r="L7478" s="7" t="str">
        <f>IF(Table1[[#This Row],[Is Data Valid]]=TRUE,_xlfn.NORM.S.DIST(Table1[[#This Row],[Birthweight Z-Score (BW+10%)]],TRUE)*100,"")</f>
        <v/>
      </c>
    </row>
    <row r="7479" spans="1:12" x14ac:dyDescent="0.35">
      <c r="A7479" s="3"/>
      <c r="B7479" s="2"/>
      <c r="C7479" s="2"/>
      <c r="D7479" s="2" t="b">
        <f>IF(AND(NOT(ISBLANK(Table1[[#This Row],[Fetal Sex (Male, Female or Unknown)]])),ISNUMBER(Table1[[#This Row],[Birthweight (grams)]]),ISNUMBER(Table1[[#This Row],[Gestation (days)]])),TRUE,FALSE)</f>
        <v>0</v>
      </c>
      <c r="E7479" s="2" t="str">
        <f>IF(Table1[[#This Row],[Is Data Valid]]=TRUE,IF(Table1[[#This Row],[Fetal Sex (Male, Female or Unknown)]]="Male",Backend!$C$6,IF(Table1[[#This Row],[Fetal Sex (Male, Female or Unknown)]]="Female",Backend!$C$7,IF(Table1[[#This Row],[Fetal Sex (Male, Female or Unknown)]]="Unknown",Backend!$C$8,"Error"))),"")</f>
        <v/>
      </c>
      <c r="F7479" s="8" t="str">
        <f>IF(Table1[[#This Row],[Is Data Valid]]=TRUE,EXP(0.578+0.332*((Table1[[#This Row],[Gestation (days)]]+0.5)/7)-0.00354*((Table1[[#This Row],[Gestation (days)]]+0.5)/7)^2)*Table1[[#This Row],[BW40_3705]],"")</f>
        <v/>
      </c>
      <c r="G7479" s="2" t="str">
        <f>IF(Table1[[#This Row],[Is Data Valid]]=TRUE,((Table1[[#This Row],[Birthweight (grams)]]/Table1[[#This Row],[BW_GA]])-1)/(Backend!$B$4/100*Table1[[#This Row],[BW40_3705]]),"")</f>
        <v/>
      </c>
      <c r="H7479" s="7" t="str">
        <f>IF(Table1[[#This Row],[Is Data Valid]]=TRUE,((Table1[[#This Row],[Birthweight (grams)]]*0.9/Table1[[#This Row],[BW_GA]])-1)/(Backend!$B$4/100*Table1[[#This Row],[BW40_3705]]),"")</f>
        <v/>
      </c>
      <c r="I7479" s="7" t="str">
        <f>IF(Table1[[#This Row],[Is Data Valid]]=TRUE,((Table1[[#This Row],[Birthweight (grams)]]*1.1/Table1[[#This Row],[BW_GA]])-1)/(Backend!$B$4/100*Table1[[#This Row],[BW40_3705]]),"")</f>
        <v/>
      </c>
      <c r="J7479" s="7" t="str">
        <f>IF(Table1[[#This Row],[Is Data Valid]]=TRUE,_xlfn.NORM.S.DIST(Table1[[#This Row],[Birthweight Z-Score]],TRUE)*100,"")</f>
        <v/>
      </c>
      <c r="K7479" s="7" t="str">
        <f>IF(Table1[[#This Row],[Is Data Valid]]=TRUE,_xlfn.NORM.S.DIST(Table1[[#This Row],[Birthweight Z-Score (BW-10%)]],TRUE)*100,"")</f>
        <v/>
      </c>
      <c r="L7479" s="7" t="str">
        <f>IF(Table1[[#This Row],[Is Data Valid]]=TRUE,_xlfn.NORM.S.DIST(Table1[[#This Row],[Birthweight Z-Score (BW+10%)]],TRUE)*100,"")</f>
        <v/>
      </c>
    </row>
    <row r="7480" spans="1:12" x14ac:dyDescent="0.35">
      <c r="A7480" s="3"/>
      <c r="B7480" s="2"/>
      <c r="C7480" s="2"/>
      <c r="D7480" s="2" t="b">
        <f>IF(AND(NOT(ISBLANK(Table1[[#This Row],[Fetal Sex (Male, Female or Unknown)]])),ISNUMBER(Table1[[#This Row],[Birthweight (grams)]]),ISNUMBER(Table1[[#This Row],[Gestation (days)]])),TRUE,FALSE)</f>
        <v>0</v>
      </c>
      <c r="E7480" s="2" t="str">
        <f>IF(Table1[[#This Row],[Is Data Valid]]=TRUE,IF(Table1[[#This Row],[Fetal Sex (Male, Female or Unknown)]]="Male",Backend!$C$6,IF(Table1[[#This Row],[Fetal Sex (Male, Female or Unknown)]]="Female",Backend!$C$7,IF(Table1[[#This Row],[Fetal Sex (Male, Female or Unknown)]]="Unknown",Backend!$C$8,"Error"))),"")</f>
        <v/>
      </c>
      <c r="F7480" s="8" t="str">
        <f>IF(Table1[[#This Row],[Is Data Valid]]=TRUE,EXP(0.578+0.332*((Table1[[#This Row],[Gestation (days)]]+0.5)/7)-0.00354*((Table1[[#This Row],[Gestation (days)]]+0.5)/7)^2)*Table1[[#This Row],[BW40_3705]],"")</f>
        <v/>
      </c>
      <c r="G7480" s="2" t="str">
        <f>IF(Table1[[#This Row],[Is Data Valid]]=TRUE,((Table1[[#This Row],[Birthweight (grams)]]/Table1[[#This Row],[BW_GA]])-1)/(Backend!$B$4/100*Table1[[#This Row],[BW40_3705]]),"")</f>
        <v/>
      </c>
      <c r="H7480" s="7" t="str">
        <f>IF(Table1[[#This Row],[Is Data Valid]]=TRUE,((Table1[[#This Row],[Birthweight (grams)]]*0.9/Table1[[#This Row],[BW_GA]])-1)/(Backend!$B$4/100*Table1[[#This Row],[BW40_3705]]),"")</f>
        <v/>
      </c>
      <c r="I7480" s="7" t="str">
        <f>IF(Table1[[#This Row],[Is Data Valid]]=TRUE,((Table1[[#This Row],[Birthweight (grams)]]*1.1/Table1[[#This Row],[BW_GA]])-1)/(Backend!$B$4/100*Table1[[#This Row],[BW40_3705]]),"")</f>
        <v/>
      </c>
      <c r="J7480" s="7" t="str">
        <f>IF(Table1[[#This Row],[Is Data Valid]]=TRUE,_xlfn.NORM.S.DIST(Table1[[#This Row],[Birthweight Z-Score]],TRUE)*100,"")</f>
        <v/>
      </c>
      <c r="K7480" s="7" t="str">
        <f>IF(Table1[[#This Row],[Is Data Valid]]=TRUE,_xlfn.NORM.S.DIST(Table1[[#This Row],[Birthweight Z-Score (BW-10%)]],TRUE)*100,"")</f>
        <v/>
      </c>
      <c r="L7480" s="7" t="str">
        <f>IF(Table1[[#This Row],[Is Data Valid]]=TRUE,_xlfn.NORM.S.DIST(Table1[[#This Row],[Birthweight Z-Score (BW+10%)]],TRUE)*100,"")</f>
        <v/>
      </c>
    </row>
    <row r="7481" spans="1:12" x14ac:dyDescent="0.35">
      <c r="A7481" s="3"/>
      <c r="B7481" s="2"/>
      <c r="C7481" s="2"/>
      <c r="D7481" s="2" t="b">
        <f>IF(AND(NOT(ISBLANK(Table1[[#This Row],[Fetal Sex (Male, Female or Unknown)]])),ISNUMBER(Table1[[#This Row],[Birthweight (grams)]]),ISNUMBER(Table1[[#This Row],[Gestation (days)]])),TRUE,FALSE)</f>
        <v>0</v>
      </c>
      <c r="E7481" s="2" t="str">
        <f>IF(Table1[[#This Row],[Is Data Valid]]=TRUE,IF(Table1[[#This Row],[Fetal Sex (Male, Female or Unknown)]]="Male",Backend!$C$6,IF(Table1[[#This Row],[Fetal Sex (Male, Female or Unknown)]]="Female",Backend!$C$7,IF(Table1[[#This Row],[Fetal Sex (Male, Female or Unknown)]]="Unknown",Backend!$C$8,"Error"))),"")</f>
        <v/>
      </c>
      <c r="F7481" s="8" t="str">
        <f>IF(Table1[[#This Row],[Is Data Valid]]=TRUE,EXP(0.578+0.332*((Table1[[#This Row],[Gestation (days)]]+0.5)/7)-0.00354*((Table1[[#This Row],[Gestation (days)]]+0.5)/7)^2)*Table1[[#This Row],[BW40_3705]],"")</f>
        <v/>
      </c>
      <c r="G7481" s="2" t="str">
        <f>IF(Table1[[#This Row],[Is Data Valid]]=TRUE,((Table1[[#This Row],[Birthweight (grams)]]/Table1[[#This Row],[BW_GA]])-1)/(Backend!$B$4/100*Table1[[#This Row],[BW40_3705]]),"")</f>
        <v/>
      </c>
      <c r="H7481" s="7" t="str">
        <f>IF(Table1[[#This Row],[Is Data Valid]]=TRUE,((Table1[[#This Row],[Birthweight (grams)]]*0.9/Table1[[#This Row],[BW_GA]])-1)/(Backend!$B$4/100*Table1[[#This Row],[BW40_3705]]),"")</f>
        <v/>
      </c>
      <c r="I7481" s="7" t="str">
        <f>IF(Table1[[#This Row],[Is Data Valid]]=TRUE,((Table1[[#This Row],[Birthweight (grams)]]*1.1/Table1[[#This Row],[BW_GA]])-1)/(Backend!$B$4/100*Table1[[#This Row],[BW40_3705]]),"")</f>
        <v/>
      </c>
      <c r="J7481" s="7" t="str">
        <f>IF(Table1[[#This Row],[Is Data Valid]]=TRUE,_xlfn.NORM.S.DIST(Table1[[#This Row],[Birthweight Z-Score]],TRUE)*100,"")</f>
        <v/>
      </c>
      <c r="K7481" s="7" t="str">
        <f>IF(Table1[[#This Row],[Is Data Valid]]=TRUE,_xlfn.NORM.S.DIST(Table1[[#This Row],[Birthweight Z-Score (BW-10%)]],TRUE)*100,"")</f>
        <v/>
      </c>
      <c r="L7481" s="7" t="str">
        <f>IF(Table1[[#This Row],[Is Data Valid]]=TRUE,_xlfn.NORM.S.DIST(Table1[[#This Row],[Birthweight Z-Score (BW+10%)]],TRUE)*100,"")</f>
        <v/>
      </c>
    </row>
    <row r="7482" spans="1:12" x14ac:dyDescent="0.35">
      <c r="A7482" s="3"/>
      <c r="B7482" s="2"/>
      <c r="C7482" s="2"/>
      <c r="D7482" s="2" t="b">
        <f>IF(AND(NOT(ISBLANK(Table1[[#This Row],[Fetal Sex (Male, Female or Unknown)]])),ISNUMBER(Table1[[#This Row],[Birthweight (grams)]]),ISNUMBER(Table1[[#This Row],[Gestation (days)]])),TRUE,FALSE)</f>
        <v>0</v>
      </c>
      <c r="E7482" s="2" t="str">
        <f>IF(Table1[[#This Row],[Is Data Valid]]=TRUE,IF(Table1[[#This Row],[Fetal Sex (Male, Female or Unknown)]]="Male",Backend!$C$6,IF(Table1[[#This Row],[Fetal Sex (Male, Female or Unknown)]]="Female",Backend!$C$7,IF(Table1[[#This Row],[Fetal Sex (Male, Female or Unknown)]]="Unknown",Backend!$C$8,"Error"))),"")</f>
        <v/>
      </c>
      <c r="F7482" s="8" t="str">
        <f>IF(Table1[[#This Row],[Is Data Valid]]=TRUE,EXP(0.578+0.332*((Table1[[#This Row],[Gestation (days)]]+0.5)/7)-0.00354*((Table1[[#This Row],[Gestation (days)]]+0.5)/7)^2)*Table1[[#This Row],[BW40_3705]],"")</f>
        <v/>
      </c>
      <c r="G7482" s="2" t="str">
        <f>IF(Table1[[#This Row],[Is Data Valid]]=TRUE,((Table1[[#This Row],[Birthweight (grams)]]/Table1[[#This Row],[BW_GA]])-1)/(Backend!$B$4/100*Table1[[#This Row],[BW40_3705]]),"")</f>
        <v/>
      </c>
      <c r="H7482" s="7" t="str">
        <f>IF(Table1[[#This Row],[Is Data Valid]]=TRUE,((Table1[[#This Row],[Birthweight (grams)]]*0.9/Table1[[#This Row],[BW_GA]])-1)/(Backend!$B$4/100*Table1[[#This Row],[BW40_3705]]),"")</f>
        <v/>
      </c>
      <c r="I7482" s="7" t="str">
        <f>IF(Table1[[#This Row],[Is Data Valid]]=TRUE,((Table1[[#This Row],[Birthweight (grams)]]*1.1/Table1[[#This Row],[BW_GA]])-1)/(Backend!$B$4/100*Table1[[#This Row],[BW40_3705]]),"")</f>
        <v/>
      </c>
      <c r="J7482" s="7" t="str">
        <f>IF(Table1[[#This Row],[Is Data Valid]]=TRUE,_xlfn.NORM.S.DIST(Table1[[#This Row],[Birthweight Z-Score]],TRUE)*100,"")</f>
        <v/>
      </c>
      <c r="K7482" s="7" t="str">
        <f>IF(Table1[[#This Row],[Is Data Valid]]=TRUE,_xlfn.NORM.S.DIST(Table1[[#This Row],[Birthweight Z-Score (BW-10%)]],TRUE)*100,"")</f>
        <v/>
      </c>
      <c r="L7482" s="7" t="str">
        <f>IF(Table1[[#This Row],[Is Data Valid]]=TRUE,_xlfn.NORM.S.DIST(Table1[[#This Row],[Birthweight Z-Score (BW+10%)]],TRUE)*100,"")</f>
        <v/>
      </c>
    </row>
    <row r="7483" spans="1:12" x14ac:dyDescent="0.35">
      <c r="A7483" s="3"/>
      <c r="B7483" s="2"/>
      <c r="C7483" s="2"/>
      <c r="D7483" s="2" t="b">
        <f>IF(AND(NOT(ISBLANK(Table1[[#This Row],[Fetal Sex (Male, Female or Unknown)]])),ISNUMBER(Table1[[#This Row],[Birthweight (grams)]]),ISNUMBER(Table1[[#This Row],[Gestation (days)]])),TRUE,FALSE)</f>
        <v>0</v>
      </c>
      <c r="E7483" s="2" t="str">
        <f>IF(Table1[[#This Row],[Is Data Valid]]=TRUE,IF(Table1[[#This Row],[Fetal Sex (Male, Female or Unknown)]]="Male",Backend!$C$6,IF(Table1[[#This Row],[Fetal Sex (Male, Female or Unknown)]]="Female",Backend!$C$7,IF(Table1[[#This Row],[Fetal Sex (Male, Female or Unknown)]]="Unknown",Backend!$C$8,"Error"))),"")</f>
        <v/>
      </c>
      <c r="F7483" s="8" t="str">
        <f>IF(Table1[[#This Row],[Is Data Valid]]=TRUE,EXP(0.578+0.332*((Table1[[#This Row],[Gestation (days)]]+0.5)/7)-0.00354*((Table1[[#This Row],[Gestation (days)]]+0.5)/7)^2)*Table1[[#This Row],[BW40_3705]],"")</f>
        <v/>
      </c>
      <c r="G7483" s="2" t="str">
        <f>IF(Table1[[#This Row],[Is Data Valid]]=TRUE,((Table1[[#This Row],[Birthweight (grams)]]/Table1[[#This Row],[BW_GA]])-1)/(Backend!$B$4/100*Table1[[#This Row],[BW40_3705]]),"")</f>
        <v/>
      </c>
      <c r="H7483" s="7" t="str">
        <f>IF(Table1[[#This Row],[Is Data Valid]]=TRUE,((Table1[[#This Row],[Birthweight (grams)]]*0.9/Table1[[#This Row],[BW_GA]])-1)/(Backend!$B$4/100*Table1[[#This Row],[BW40_3705]]),"")</f>
        <v/>
      </c>
      <c r="I7483" s="7" t="str">
        <f>IF(Table1[[#This Row],[Is Data Valid]]=TRUE,((Table1[[#This Row],[Birthweight (grams)]]*1.1/Table1[[#This Row],[BW_GA]])-1)/(Backend!$B$4/100*Table1[[#This Row],[BW40_3705]]),"")</f>
        <v/>
      </c>
      <c r="J7483" s="7" t="str">
        <f>IF(Table1[[#This Row],[Is Data Valid]]=TRUE,_xlfn.NORM.S.DIST(Table1[[#This Row],[Birthweight Z-Score]],TRUE)*100,"")</f>
        <v/>
      </c>
      <c r="K7483" s="7" t="str">
        <f>IF(Table1[[#This Row],[Is Data Valid]]=TRUE,_xlfn.NORM.S.DIST(Table1[[#This Row],[Birthweight Z-Score (BW-10%)]],TRUE)*100,"")</f>
        <v/>
      </c>
      <c r="L7483" s="7" t="str">
        <f>IF(Table1[[#This Row],[Is Data Valid]]=TRUE,_xlfn.NORM.S.DIST(Table1[[#This Row],[Birthweight Z-Score (BW+10%)]],TRUE)*100,"")</f>
        <v/>
      </c>
    </row>
    <row r="7484" spans="1:12" x14ac:dyDescent="0.35">
      <c r="A7484" s="3"/>
      <c r="B7484" s="2"/>
      <c r="C7484" s="2"/>
      <c r="D7484" s="2" t="b">
        <f>IF(AND(NOT(ISBLANK(Table1[[#This Row],[Fetal Sex (Male, Female or Unknown)]])),ISNUMBER(Table1[[#This Row],[Birthweight (grams)]]),ISNUMBER(Table1[[#This Row],[Gestation (days)]])),TRUE,FALSE)</f>
        <v>0</v>
      </c>
      <c r="E7484" s="2" t="str">
        <f>IF(Table1[[#This Row],[Is Data Valid]]=TRUE,IF(Table1[[#This Row],[Fetal Sex (Male, Female or Unknown)]]="Male",Backend!$C$6,IF(Table1[[#This Row],[Fetal Sex (Male, Female or Unknown)]]="Female",Backend!$C$7,IF(Table1[[#This Row],[Fetal Sex (Male, Female or Unknown)]]="Unknown",Backend!$C$8,"Error"))),"")</f>
        <v/>
      </c>
      <c r="F7484" s="8" t="str">
        <f>IF(Table1[[#This Row],[Is Data Valid]]=TRUE,EXP(0.578+0.332*((Table1[[#This Row],[Gestation (days)]]+0.5)/7)-0.00354*((Table1[[#This Row],[Gestation (days)]]+0.5)/7)^2)*Table1[[#This Row],[BW40_3705]],"")</f>
        <v/>
      </c>
      <c r="G7484" s="2" t="str">
        <f>IF(Table1[[#This Row],[Is Data Valid]]=TRUE,((Table1[[#This Row],[Birthweight (grams)]]/Table1[[#This Row],[BW_GA]])-1)/(Backend!$B$4/100*Table1[[#This Row],[BW40_3705]]),"")</f>
        <v/>
      </c>
      <c r="H7484" s="7" t="str">
        <f>IF(Table1[[#This Row],[Is Data Valid]]=TRUE,((Table1[[#This Row],[Birthweight (grams)]]*0.9/Table1[[#This Row],[BW_GA]])-1)/(Backend!$B$4/100*Table1[[#This Row],[BW40_3705]]),"")</f>
        <v/>
      </c>
      <c r="I7484" s="7" t="str">
        <f>IF(Table1[[#This Row],[Is Data Valid]]=TRUE,((Table1[[#This Row],[Birthweight (grams)]]*1.1/Table1[[#This Row],[BW_GA]])-1)/(Backend!$B$4/100*Table1[[#This Row],[BW40_3705]]),"")</f>
        <v/>
      </c>
      <c r="J7484" s="7" t="str">
        <f>IF(Table1[[#This Row],[Is Data Valid]]=TRUE,_xlfn.NORM.S.DIST(Table1[[#This Row],[Birthweight Z-Score]],TRUE)*100,"")</f>
        <v/>
      </c>
      <c r="K7484" s="7" t="str">
        <f>IF(Table1[[#This Row],[Is Data Valid]]=TRUE,_xlfn.NORM.S.DIST(Table1[[#This Row],[Birthweight Z-Score (BW-10%)]],TRUE)*100,"")</f>
        <v/>
      </c>
      <c r="L7484" s="7" t="str">
        <f>IF(Table1[[#This Row],[Is Data Valid]]=TRUE,_xlfn.NORM.S.DIST(Table1[[#This Row],[Birthweight Z-Score (BW+10%)]],TRUE)*100,"")</f>
        <v/>
      </c>
    </row>
    <row r="7485" spans="1:12" x14ac:dyDescent="0.35">
      <c r="A7485" s="3"/>
      <c r="B7485" s="2"/>
      <c r="C7485" s="2"/>
      <c r="D7485" s="2" t="b">
        <f>IF(AND(NOT(ISBLANK(Table1[[#This Row],[Fetal Sex (Male, Female or Unknown)]])),ISNUMBER(Table1[[#This Row],[Birthweight (grams)]]),ISNUMBER(Table1[[#This Row],[Gestation (days)]])),TRUE,FALSE)</f>
        <v>0</v>
      </c>
      <c r="E7485" s="2" t="str">
        <f>IF(Table1[[#This Row],[Is Data Valid]]=TRUE,IF(Table1[[#This Row],[Fetal Sex (Male, Female or Unknown)]]="Male",Backend!$C$6,IF(Table1[[#This Row],[Fetal Sex (Male, Female or Unknown)]]="Female",Backend!$C$7,IF(Table1[[#This Row],[Fetal Sex (Male, Female or Unknown)]]="Unknown",Backend!$C$8,"Error"))),"")</f>
        <v/>
      </c>
      <c r="F7485" s="8" t="str">
        <f>IF(Table1[[#This Row],[Is Data Valid]]=TRUE,EXP(0.578+0.332*((Table1[[#This Row],[Gestation (days)]]+0.5)/7)-0.00354*((Table1[[#This Row],[Gestation (days)]]+0.5)/7)^2)*Table1[[#This Row],[BW40_3705]],"")</f>
        <v/>
      </c>
      <c r="G7485" s="2" t="str">
        <f>IF(Table1[[#This Row],[Is Data Valid]]=TRUE,((Table1[[#This Row],[Birthweight (grams)]]/Table1[[#This Row],[BW_GA]])-1)/(Backend!$B$4/100*Table1[[#This Row],[BW40_3705]]),"")</f>
        <v/>
      </c>
      <c r="H7485" s="7" t="str">
        <f>IF(Table1[[#This Row],[Is Data Valid]]=TRUE,((Table1[[#This Row],[Birthweight (grams)]]*0.9/Table1[[#This Row],[BW_GA]])-1)/(Backend!$B$4/100*Table1[[#This Row],[BW40_3705]]),"")</f>
        <v/>
      </c>
      <c r="I7485" s="7" t="str">
        <f>IF(Table1[[#This Row],[Is Data Valid]]=TRUE,((Table1[[#This Row],[Birthweight (grams)]]*1.1/Table1[[#This Row],[BW_GA]])-1)/(Backend!$B$4/100*Table1[[#This Row],[BW40_3705]]),"")</f>
        <v/>
      </c>
      <c r="J7485" s="7" t="str">
        <f>IF(Table1[[#This Row],[Is Data Valid]]=TRUE,_xlfn.NORM.S.DIST(Table1[[#This Row],[Birthweight Z-Score]],TRUE)*100,"")</f>
        <v/>
      </c>
      <c r="K7485" s="7" t="str">
        <f>IF(Table1[[#This Row],[Is Data Valid]]=TRUE,_xlfn.NORM.S.DIST(Table1[[#This Row],[Birthweight Z-Score (BW-10%)]],TRUE)*100,"")</f>
        <v/>
      </c>
      <c r="L7485" s="7" t="str">
        <f>IF(Table1[[#This Row],[Is Data Valid]]=TRUE,_xlfn.NORM.S.DIST(Table1[[#This Row],[Birthweight Z-Score (BW+10%)]],TRUE)*100,"")</f>
        <v/>
      </c>
    </row>
    <row r="7486" spans="1:12" x14ac:dyDescent="0.35">
      <c r="A7486" s="3"/>
      <c r="B7486" s="2"/>
      <c r="C7486" s="2"/>
      <c r="D7486" s="2" t="b">
        <f>IF(AND(NOT(ISBLANK(Table1[[#This Row],[Fetal Sex (Male, Female or Unknown)]])),ISNUMBER(Table1[[#This Row],[Birthweight (grams)]]),ISNUMBER(Table1[[#This Row],[Gestation (days)]])),TRUE,FALSE)</f>
        <v>0</v>
      </c>
      <c r="E7486" s="2" t="str">
        <f>IF(Table1[[#This Row],[Is Data Valid]]=TRUE,IF(Table1[[#This Row],[Fetal Sex (Male, Female or Unknown)]]="Male",Backend!$C$6,IF(Table1[[#This Row],[Fetal Sex (Male, Female or Unknown)]]="Female",Backend!$C$7,IF(Table1[[#This Row],[Fetal Sex (Male, Female or Unknown)]]="Unknown",Backend!$C$8,"Error"))),"")</f>
        <v/>
      </c>
      <c r="F7486" s="8" t="str">
        <f>IF(Table1[[#This Row],[Is Data Valid]]=TRUE,EXP(0.578+0.332*((Table1[[#This Row],[Gestation (days)]]+0.5)/7)-0.00354*((Table1[[#This Row],[Gestation (days)]]+0.5)/7)^2)*Table1[[#This Row],[BW40_3705]],"")</f>
        <v/>
      </c>
      <c r="G7486" s="2" t="str">
        <f>IF(Table1[[#This Row],[Is Data Valid]]=TRUE,((Table1[[#This Row],[Birthweight (grams)]]/Table1[[#This Row],[BW_GA]])-1)/(Backend!$B$4/100*Table1[[#This Row],[BW40_3705]]),"")</f>
        <v/>
      </c>
      <c r="H7486" s="7" t="str">
        <f>IF(Table1[[#This Row],[Is Data Valid]]=TRUE,((Table1[[#This Row],[Birthweight (grams)]]*0.9/Table1[[#This Row],[BW_GA]])-1)/(Backend!$B$4/100*Table1[[#This Row],[BW40_3705]]),"")</f>
        <v/>
      </c>
      <c r="I7486" s="7" t="str">
        <f>IF(Table1[[#This Row],[Is Data Valid]]=TRUE,((Table1[[#This Row],[Birthweight (grams)]]*1.1/Table1[[#This Row],[BW_GA]])-1)/(Backend!$B$4/100*Table1[[#This Row],[BW40_3705]]),"")</f>
        <v/>
      </c>
      <c r="J7486" s="7" t="str">
        <f>IF(Table1[[#This Row],[Is Data Valid]]=TRUE,_xlfn.NORM.S.DIST(Table1[[#This Row],[Birthweight Z-Score]],TRUE)*100,"")</f>
        <v/>
      </c>
      <c r="K7486" s="7" t="str">
        <f>IF(Table1[[#This Row],[Is Data Valid]]=TRUE,_xlfn.NORM.S.DIST(Table1[[#This Row],[Birthweight Z-Score (BW-10%)]],TRUE)*100,"")</f>
        <v/>
      </c>
      <c r="L7486" s="7" t="str">
        <f>IF(Table1[[#This Row],[Is Data Valid]]=TRUE,_xlfn.NORM.S.DIST(Table1[[#This Row],[Birthweight Z-Score (BW+10%)]],TRUE)*100,"")</f>
        <v/>
      </c>
    </row>
    <row r="7487" spans="1:12" x14ac:dyDescent="0.35">
      <c r="A7487" s="3"/>
      <c r="B7487" s="2"/>
      <c r="C7487" s="2"/>
      <c r="D7487" s="2" t="b">
        <f>IF(AND(NOT(ISBLANK(Table1[[#This Row],[Fetal Sex (Male, Female or Unknown)]])),ISNUMBER(Table1[[#This Row],[Birthweight (grams)]]),ISNUMBER(Table1[[#This Row],[Gestation (days)]])),TRUE,FALSE)</f>
        <v>0</v>
      </c>
      <c r="E7487" s="2" t="str">
        <f>IF(Table1[[#This Row],[Is Data Valid]]=TRUE,IF(Table1[[#This Row],[Fetal Sex (Male, Female or Unknown)]]="Male",Backend!$C$6,IF(Table1[[#This Row],[Fetal Sex (Male, Female or Unknown)]]="Female",Backend!$C$7,IF(Table1[[#This Row],[Fetal Sex (Male, Female or Unknown)]]="Unknown",Backend!$C$8,"Error"))),"")</f>
        <v/>
      </c>
      <c r="F7487" s="8" t="str">
        <f>IF(Table1[[#This Row],[Is Data Valid]]=TRUE,EXP(0.578+0.332*((Table1[[#This Row],[Gestation (days)]]+0.5)/7)-0.00354*((Table1[[#This Row],[Gestation (days)]]+0.5)/7)^2)*Table1[[#This Row],[BW40_3705]],"")</f>
        <v/>
      </c>
      <c r="G7487" s="2" t="str">
        <f>IF(Table1[[#This Row],[Is Data Valid]]=TRUE,((Table1[[#This Row],[Birthweight (grams)]]/Table1[[#This Row],[BW_GA]])-1)/(Backend!$B$4/100*Table1[[#This Row],[BW40_3705]]),"")</f>
        <v/>
      </c>
      <c r="H7487" s="7" t="str">
        <f>IF(Table1[[#This Row],[Is Data Valid]]=TRUE,((Table1[[#This Row],[Birthweight (grams)]]*0.9/Table1[[#This Row],[BW_GA]])-1)/(Backend!$B$4/100*Table1[[#This Row],[BW40_3705]]),"")</f>
        <v/>
      </c>
      <c r="I7487" s="7" t="str">
        <f>IF(Table1[[#This Row],[Is Data Valid]]=TRUE,((Table1[[#This Row],[Birthweight (grams)]]*1.1/Table1[[#This Row],[BW_GA]])-1)/(Backend!$B$4/100*Table1[[#This Row],[BW40_3705]]),"")</f>
        <v/>
      </c>
      <c r="J7487" s="7" t="str">
        <f>IF(Table1[[#This Row],[Is Data Valid]]=TRUE,_xlfn.NORM.S.DIST(Table1[[#This Row],[Birthweight Z-Score]],TRUE)*100,"")</f>
        <v/>
      </c>
      <c r="K7487" s="7" t="str">
        <f>IF(Table1[[#This Row],[Is Data Valid]]=TRUE,_xlfn.NORM.S.DIST(Table1[[#This Row],[Birthweight Z-Score (BW-10%)]],TRUE)*100,"")</f>
        <v/>
      </c>
      <c r="L7487" s="7" t="str">
        <f>IF(Table1[[#This Row],[Is Data Valid]]=TRUE,_xlfn.NORM.S.DIST(Table1[[#This Row],[Birthweight Z-Score (BW+10%)]],TRUE)*100,"")</f>
        <v/>
      </c>
    </row>
    <row r="7488" spans="1:12" x14ac:dyDescent="0.35">
      <c r="A7488" s="3"/>
      <c r="B7488" s="2"/>
      <c r="C7488" s="2"/>
      <c r="D7488" s="2" t="b">
        <f>IF(AND(NOT(ISBLANK(Table1[[#This Row],[Fetal Sex (Male, Female or Unknown)]])),ISNUMBER(Table1[[#This Row],[Birthweight (grams)]]),ISNUMBER(Table1[[#This Row],[Gestation (days)]])),TRUE,FALSE)</f>
        <v>0</v>
      </c>
      <c r="E7488" s="2" t="str">
        <f>IF(Table1[[#This Row],[Is Data Valid]]=TRUE,IF(Table1[[#This Row],[Fetal Sex (Male, Female or Unknown)]]="Male",Backend!$C$6,IF(Table1[[#This Row],[Fetal Sex (Male, Female or Unknown)]]="Female",Backend!$C$7,IF(Table1[[#This Row],[Fetal Sex (Male, Female or Unknown)]]="Unknown",Backend!$C$8,"Error"))),"")</f>
        <v/>
      </c>
      <c r="F7488" s="8" t="str">
        <f>IF(Table1[[#This Row],[Is Data Valid]]=TRUE,EXP(0.578+0.332*((Table1[[#This Row],[Gestation (days)]]+0.5)/7)-0.00354*((Table1[[#This Row],[Gestation (days)]]+0.5)/7)^2)*Table1[[#This Row],[BW40_3705]],"")</f>
        <v/>
      </c>
      <c r="G7488" s="2" t="str">
        <f>IF(Table1[[#This Row],[Is Data Valid]]=TRUE,((Table1[[#This Row],[Birthweight (grams)]]/Table1[[#This Row],[BW_GA]])-1)/(Backend!$B$4/100*Table1[[#This Row],[BW40_3705]]),"")</f>
        <v/>
      </c>
      <c r="H7488" s="7" t="str">
        <f>IF(Table1[[#This Row],[Is Data Valid]]=TRUE,((Table1[[#This Row],[Birthweight (grams)]]*0.9/Table1[[#This Row],[BW_GA]])-1)/(Backend!$B$4/100*Table1[[#This Row],[BW40_3705]]),"")</f>
        <v/>
      </c>
      <c r="I7488" s="7" t="str">
        <f>IF(Table1[[#This Row],[Is Data Valid]]=TRUE,((Table1[[#This Row],[Birthweight (grams)]]*1.1/Table1[[#This Row],[BW_GA]])-1)/(Backend!$B$4/100*Table1[[#This Row],[BW40_3705]]),"")</f>
        <v/>
      </c>
      <c r="J7488" s="7" t="str">
        <f>IF(Table1[[#This Row],[Is Data Valid]]=TRUE,_xlfn.NORM.S.DIST(Table1[[#This Row],[Birthweight Z-Score]],TRUE)*100,"")</f>
        <v/>
      </c>
      <c r="K7488" s="7" t="str">
        <f>IF(Table1[[#This Row],[Is Data Valid]]=TRUE,_xlfn.NORM.S.DIST(Table1[[#This Row],[Birthweight Z-Score (BW-10%)]],TRUE)*100,"")</f>
        <v/>
      </c>
      <c r="L7488" s="7" t="str">
        <f>IF(Table1[[#This Row],[Is Data Valid]]=TRUE,_xlfn.NORM.S.DIST(Table1[[#This Row],[Birthweight Z-Score (BW+10%)]],TRUE)*100,"")</f>
        <v/>
      </c>
    </row>
    <row r="7489" spans="1:12" x14ac:dyDescent="0.35">
      <c r="A7489" s="3"/>
      <c r="B7489" s="2"/>
      <c r="C7489" s="2"/>
      <c r="D7489" s="2" t="b">
        <f>IF(AND(NOT(ISBLANK(Table1[[#This Row],[Fetal Sex (Male, Female or Unknown)]])),ISNUMBER(Table1[[#This Row],[Birthweight (grams)]]),ISNUMBER(Table1[[#This Row],[Gestation (days)]])),TRUE,FALSE)</f>
        <v>0</v>
      </c>
      <c r="E7489" s="2" t="str">
        <f>IF(Table1[[#This Row],[Is Data Valid]]=TRUE,IF(Table1[[#This Row],[Fetal Sex (Male, Female or Unknown)]]="Male",Backend!$C$6,IF(Table1[[#This Row],[Fetal Sex (Male, Female or Unknown)]]="Female",Backend!$C$7,IF(Table1[[#This Row],[Fetal Sex (Male, Female or Unknown)]]="Unknown",Backend!$C$8,"Error"))),"")</f>
        <v/>
      </c>
      <c r="F7489" s="8" t="str">
        <f>IF(Table1[[#This Row],[Is Data Valid]]=TRUE,EXP(0.578+0.332*((Table1[[#This Row],[Gestation (days)]]+0.5)/7)-0.00354*((Table1[[#This Row],[Gestation (days)]]+0.5)/7)^2)*Table1[[#This Row],[BW40_3705]],"")</f>
        <v/>
      </c>
      <c r="G7489" s="2" t="str">
        <f>IF(Table1[[#This Row],[Is Data Valid]]=TRUE,((Table1[[#This Row],[Birthweight (grams)]]/Table1[[#This Row],[BW_GA]])-1)/(Backend!$B$4/100*Table1[[#This Row],[BW40_3705]]),"")</f>
        <v/>
      </c>
      <c r="H7489" s="7" t="str">
        <f>IF(Table1[[#This Row],[Is Data Valid]]=TRUE,((Table1[[#This Row],[Birthweight (grams)]]*0.9/Table1[[#This Row],[BW_GA]])-1)/(Backend!$B$4/100*Table1[[#This Row],[BW40_3705]]),"")</f>
        <v/>
      </c>
      <c r="I7489" s="7" t="str">
        <f>IF(Table1[[#This Row],[Is Data Valid]]=TRUE,((Table1[[#This Row],[Birthweight (grams)]]*1.1/Table1[[#This Row],[BW_GA]])-1)/(Backend!$B$4/100*Table1[[#This Row],[BW40_3705]]),"")</f>
        <v/>
      </c>
      <c r="J7489" s="7" t="str">
        <f>IF(Table1[[#This Row],[Is Data Valid]]=TRUE,_xlfn.NORM.S.DIST(Table1[[#This Row],[Birthweight Z-Score]],TRUE)*100,"")</f>
        <v/>
      </c>
      <c r="K7489" s="7" t="str">
        <f>IF(Table1[[#This Row],[Is Data Valid]]=TRUE,_xlfn.NORM.S.DIST(Table1[[#This Row],[Birthweight Z-Score (BW-10%)]],TRUE)*100,"")</f>
        <v/>
      </c>
      <c r="L7489" s="7" t="str">
        <f>IF(Table1[[#This Row],[Is Data Valid]]=TRUE,_xlfn.NORM.S.DIST(Table1[[#This Row],[Birthweight Z-Score (BW+10%)]],TRUE)*100,"")</f>
        <v/>
      </c>
    </row>
    <row r="7490" spans="1:12" x14ac:dyDescent="0.35">
      <c r="A7490" s="3"/>
      <c r="B7490" s="2"/>
      <c r="C7490" s="2"/>
      <c r="D7490" s="2" t="b">
        <f>IF(AND(NOT(ISBLANK(Table1[[#This Row],[Fetal Sex (Male, Female or Unknown)]])),ISNUMBER(Table1[[#This Row],[Birthweight (grams)]]),ISNUMBER(Table1[[#This Row],[Gestation (days)]])),TRUE,FALSE)</f>
        <v>0</v>
      </c>
      <c r="E7490" s="2" t="str">
        <f>IF(Table1[[#This Row],[Is Data Valid]]=TRUE,IF(Table1[[#This Row],[Fetal Sex (Male, Female or Unknown)]]="Male",Backend!$C$6,IF(Table1[[#This Row],[Fetal Sex (Male, Female or Unknown)]]="Female",Backend!$C$7,IF(Table1[[#This Row],[Fetal Sex (Male, Female or Unknown)]]="Unknown",Backend!$C$8,"Error"))),"")</f>
        <v/>
      </c>
      <c r="F7490" s="8" t="str">
        <f>IF(Table1[[#This Row],[Is Data Valid]]=TRUE,EXP(0.578+0.332*((Table1[[#This Row],[Gestation (days)]]+0.5)/7)-0.00354*((Table1[[#This Row],[Gestation (days)]]+0.5)/7)^2)*Table1[[#This Row],[BW40_3705]],"")</f>
        <v/>
      </c>
      <c r="G7490" s="2" t="str">
        <f>IF(Table1[[#This Row],[Is Data Valid]]=TRUE,((Table1[[#This Row],[Birthweight (grams)]]/Table1[[#This Row],[BW_GA]])-1)/(Backend!$B$4/100*Table1[[#This Row],[BW40_3705]]),"")</f>
        <v/>
      </c>
      <c r="H7490" s="7" t="str">
        <f>IF(Table1[[#This Row],[Is Data Valid]]=TRUE,((Table1[[#This Row],[Birthweight (grams)]]*0.9/Table1[[#This Row],[BW_GA]])-1)/(Backend!$B$4/100*Table1[[#This Row],[BW40_3705]]),"")</f>
        <v/>
      </c>
      <c r="I7490" s="7" t="str">
        <f>IF(Table1[[#This Row],[Is Data Valid]]=TRUE,((Table1[[#This Row],[Birthweight (grams)]]*1.1/Table1[[#This Row],[BW_GA]])-1)/(Backend!$B$4/100*Table1[[#This Row],[BW40_3705]]),"")</f>
        <v/>
      </c>
      <c r="J7490" s="7" t="str">
        <f>IF(Table1[[#This Row],[Is Data Valid]]=TRUE,_xlfn.NORM.S.DIST(Table1[[#This Row],[Birthweight Z-Score]],TRUE)*100,"")</f>
        <v/>
      </c>
      <c r="K7490" s="7" t="str">
        <f>IF(Table1[[#This Row],[Is Data Valid]]=TRUE,_xlfn.NORM.S.DIST(Table1[[#This Row],[Birthweight Z-Score (BW-10%)]],TRUE)*100,"")</f>
        <v/>
      </c>
      <c r="L7490" s="7" t="str">
        <f>IF(Table1[[#This Row],[Is Data Valid]]=TRUE,_xlfn.NORM.S.DIST(Table1[[#This Row],[Birthweight Z-Score (BW+10%)]],TRUE)*100,"")</f>
        <v/>
      </c>
    </row>
    <row r="7491" spans="1:12" x14ac:dyDescent="0.35">
      <c r="A7491" s="3"/>
      <c r="B7491" s="2"/>
      <c r="C7491" s="2"/>
      <c r="D7491" s="2" t="b">
        <f>IF(AND(NOT(ISBLANK(Table1[[#This Row],[Fetal Sex (Male, Female or Unknown)]])),ISNUMBER(Table1[[#This Row],[Birthweight (grams)]]),ISNUMBER(Table1[[#This Row],[Gestation (days)]])),TRUE,FALSE)</f>
        <v>0</v>
      </c>
      <c r="E7491" s="2" t="str">
        <f>IF(Table1[[#This Row],[Is Data Valid]]=TRUE,IF(Table1[[#This Row],[Fetal Sex (Male, Female or Unknown)]]="Male",Backend!$C$6,IF(Table1[[#This Row],[Fetal Sex (Male, Female or Unknown)]]="Female",Backend!$C$7,IF(Table1[[#This Row],[Fetal Sex (Male, Female or Unknown)]]="Unknown",Backend!$C$8,"Error"))),"")</f>
        <v/>
      </c>
      <c r="F7491" s="8" t="str">
        <f>IF(Table1[[#This Row],[Is Data Valid]]=TRUE,EXP(0.578+0.332*((Table1[[#This Row],[Gestation (days)]]+0.5)/7)-0.00354*((Table1[[#This Row],[Gestation (days)]]+0.5)/7)^2)*Table1[[#This Row],[BW40_3705]],"")</f>
        <v/>
      </c>
      <c r="G7491" s="2" t="str">
        <f>IF(Table1[[#This Row],[Is Data Valid]]=TRUE,((Table1[[#This Row],[Birthweight (grams)]]/Table1[[#This Row],[BW_GA]])-1)/(Backend!$B$4/100*Table1[[#This Row],[BW40_3705]]),"")</f>
        <v/>
      </c>
      <c r="H7491" s="7" t="str">
        <f>IF(Table1[[#This Row],[Is Data Valid]]=TRUE,((Table1[[#This Row],[Birthweight (grams)]]*0.9/Table1[[#This Row],[BW_GA]])-1)/(Backend!$B$4/100*Table1[[#This Row],[BW40_3705]]),"")</f>
        <v/>
      </c>
      <c r="I7491" s="7" t="str">
        <f>IF(Table1[[#This Row],[Is Data Valid]]=TRUE,((Table1[[#This Row],[Birthweight (grams)]]*1.1/Table1[[#This Row],[BW_GA]])-1)/(Backend!$B$4/100*Table1[[#This Row],[BW40_3705]]),"")</f>
        <v/>
      </c>
      <c r="J7491" s="7" t="str">
        <f>IF(Table1[[#This Row],[Is Data Valid]]=TRUE,_xlfn.NORM.S.DIST(Table1[[#This Row],[Birthweight Z-Score]],TRUE)*100,"")</f>
        <v/>
      </c>
      <c r="K7491" s="7" t="str">
        <f>IF(Table1[[#This Row],[Is Data Valid]]=TRUE,_xlfn.NORM.S.DIST(Table1[[#This Row],[Birthweight Z-Score (BW-10%)]],TRUE)*100,"")</f>
        <v/>
      </c>
      <c r="L7491" s="7" t="str">
        <f>IF(Table1[[#This Row],[Is Data Valid]]=TRUE,_xlfn.NORM.S.DIST(Table1[[#This Row],[Birthweight Z-Score (BW+10%)]],TRUE)*100,"")</f>
        <v/>
      </c>
    </row>
    <row r="7492" spans="1:12" x14ac:dyDescent="0.35">
      <c r="A7492" s="3"/>
      <c r="B7492" s="2"/>
      <c r="C7492" s="2"/>
      <c r="D7492" s="2" t="b">
        <f>IF(AND(NOT(ISBLANK(Table1[[#This Row],[Fetal Sex (Male, Female or Unknown)]])),ISNUMBER(Table1[[#This Row],[Birthweight (grams)]]),ISNUMBER(Table1[[#This Row],[Gestation (days)]])),TRUE,FALSE)</f>
        <v>0</v>
      </c>
      <c r="E7492" s="2" t="str">
        <f>IF(Table1[[#This Row],[Is Data Valid]]=TRUE,IF(Table1[[#This Row],[Fetal Sex (Male, Female or Unknown)]]="Male",Backend!$C$6,IF(Table1[[#This Row],[Fetal Sex (Male, Female or Unknown)]]="Female",Backend!$C$7,IF(Table1[[#This Row],[Fetal Sex (Male, Female or Unknown)]]="Unknown",Backend!$C$8,"Error"))),"")</f>
        <v/>
      </c>
      <c r="F7492" s="8" t="str">
        <f>IF(Table1[[#This Row],[Is Data Valid]]=TRUE,EXP(0.578+0.332*((Table1[[#This Row],[Gestation (days)]]+0.5)/7)-0.00354*((Table1[[#This Row],[Gestation (days)]]+0.5)/7)^2)*Table1[[#This Row],[BW40_3705]],"")</f>
        <v/>
      </c>
      <c r="G7492" s="2" t="str">
        <f>IF(Table1[[#This Row],[Is Data Valid]]=TRUE,((Table1[[#This Row],[Birthweight (grams)]]/Table1[[#This Row],[BW_GA]])-1)/(Backend!$B$4/100*Table1[[#This Row],[BW40_3705]]),"")</f>
        <v/>
      </c>
      <c r="H7492" s="7" t="str">
        <f>IF(Table1[[#This Row],[Is Data Valid]]=TRUE,((Table1[[#This Row],[Birthweight (grams)]]*0.9/Table1[[#This Row],[BW_GA]])-1)/(Backend!$B$4/100*Table1[[#This Row],[BW40_3705]]),"")</f>
        <v/>
      </c>
      <c r="I7492" s="7" t="str">
        <f>IF(Table1[[#This Row],[Is Data Valid]]=TRUE,((Table1[[#This Row],[Birthweight (grams)]]*1.1/Table1[[#This Row],[BW_GA]])-1)/(Backend!$B$4/100*Table1[[#This Row],[BW40_3705]]),"")</f>
        <v/>
      </c>
      <c r="J7492" s="7" t="str">
        <f>IF(Table1[[#This Row],[Is Data Valid]]=TRUE,_xlfn.NORM.S.DIST(Table1[[#This Row],[Birthweight Z-Score]],TRUE)*100,"")</f>
        <v/>
      </c>
      <c r="K7492" s="7" t="str">
        <f>IF(Table1[[#This Row],[Is Data Valid]]=TRUE,_xlfn.NORM.S.DIST(Table1[[#This Row],[Birthweight Z-Score (BW-10%)]],TRUE)*100,"")</f>
        <v/>
      </c>
      <c r="L7492" s="7" t="str">
        <f>IF(Table1[[#This Row],[Is Data Valid]]=TRUE,_xlfn.NORM.S.DIST(Table1[[#This Row],[Birthweight Z-Score (BW+10%)]],TRUE)*100,"")</f>
        <v/>
      </c>
    </row>
    <row r="7493" spans="1:12" x14ac:dyDescent="0.35">
      <c r="A7493" s="3"/>
      <c r="B7493" s="2"/>
      <c r="C7493" s="2"/>
      <c r="D7493" s="2" t="b">
        <f>IF(AND(NOT(ISBLANK(Table1[[#This Row],[Fetal Sex (Male, Female or Unknown)]])),ISNUMBER(Table1[[#This Row],[Birthweight (grams)]]),ISNUMBER(Table1[[#This Row],[Gestation (days)]])),TRUE,FALSE)</f>
        <v>0</v>
      </c>
      <c r="E7493" s="2" t="str">
        <f>IF(Table1[[#This Row],[Is Data Valid]]=TRUE,IF(Table1[[#This Row],[Fetal Sex (Male, Female or Unknown)]]="Male",Backend!$C$6,IF(Table1[[#This Row],[Fetal Sex (Male, Female or Unknown)]]="Female",Backend!$C$7,IF(Table1[[#This Row],[Fetal Sex (Male, Female or Unknown)]]="Unknown",Backend!$C$8,"Error"))),"")</f>
        <v/>
      </c>
      <c r="F7493" s="8" t="str">
        <f>IF(Table1[[#This Row],[Is Data Valid]]=TRUE,EXP(0.578+0.332*((Table1[[#This Row],[Gestation (days)]]+0.5)/7)-0.00354*((Table1[[#This Row],[Gestation (days)]]+0.5)/7)^2)*Table1[[#This Row],[BW40_3705]],"")</f>
        <v/>
      </c>
      <c r="G7493" s="2" t="str">
        <f>IF(Table1[[#This Row],[Is Data Valid]]=TRUE,((Table1[[#This Row],[Birthweight (grams)]]/Table1[[#This Row],[BW_GA]])-1)/(Backend!$B$4/100*Table1[[#This Row],[BW40_3705]]),"")</f>
        <v/>
      </c>
      <c r="H7493" s="7" t="str">
        <f>IF(Table1[[#This Row],[Is Data Valid]]=TRUE,((Table1[[#This Row],[Birthweight (grams)]]*0.9/Table1[[#This Row],[BW_GA]])-1)/(Backend!$B$4/100*Table1[[#This Row],[BW40_3705]]),"")</f>
        <v/>
      </c>
      <c r="I7493" s="7" t="str">
        <f>IF(Table1[[#This Row],[Is Data Valid]]=TRUE,((Table1[[#This Row],[Birthweight (grams)]]*1.1/Table1[[#This Row],[BW_GA]])-1)/(Backend!$B$4/100*Table1[[#This Row],[BW40_3705]]),"")</f>
        <v/>
      </c>
      <c r="J7493" s="7" t="str">
        <f>IF(Table1[[#This Row],[Is Data Valid]]=TRUE,_xlfn.NORM.S.DIST(Table1[[#This Row],[Birthweight Z-Score]],TRUE)*100,"")</f>
        <v/>
      </c>
      <c r="K7493" s="7" t="str">
        <f>IF(Table1[[#This Row],[Is Data Valid]]=TRUE,_xlfn.NORM.S.DIST(Table1[[#This Row],[Birthweight Z-Score (BW-10%)]],TRUE)*100,"")</f>
        <v/>
      </c>
      <c r="L7493" s="7" t="str">
        <f>IF(Table1[[#This Row],[Is Data Valid]]=TRUE,_xlfn.NORM.S.DIST(Table1[[#This Row],[Birthweight Z-Score (BW+10%)]],TRUE)*100,"")</f>
        <v/>
      </c>
    </row>
    <row r="7494" spans="1:12" x14ac:dyDescent="0.35">
      <c r="A7494" s="3"/>
      <c r="B7494" s="2"/>
      <c r="C7494" s="2"/>
      <c r="D7494" s="2" t="b">
        <f>IF(AND(NOT(ISBLANK(Table1[[#This Row],[Fetal Sex (Male, Female or Unknown)]])),ISNUMBER(Table1[[#This Row],[Birthweight (grams)]]),ISNUMBER(Table1[[#This Row],[Gestation (days)]])),TRUE,FALSE)</f>
        <v>0</v>
      </c>
      <c r="E7494" s="2" t="str">
        <f>IF(Table1[[#This Row],[Is Data Valid]]=TRUE,IF(Table1[[#This Row],[Fetal Sex (Male, Female or Unknown)]]="Male",Backend!$C$6,IF(Table1[[#This Row],[Fetal Sex (Male, Female or Unknown)]]="Female",Backend!$C$7,IF(Table1[[#This Row],[Fetal Sex (Male, Female or Unknown)]]="Unknown",Backend!$C$8,"Error"))),"")</f>
        <v/>
      </c>
      <c r="F7494" s="8" t="str">
        <f>IF(Table1[[#This Row],[Is Data Valid]]=TRUE,EXP(0.578+0.332*((Table1[[#This Row],[Gestation (days)]]+0.5)/7)-0.00354*((Table1[[#This Row],[Gestation (days)]]+0.5)/7)^2)*Table1[[#This Row],[BW40_3705]],"")</f>
        <v/>
      </c>
      <c r="G7494" s="2" t="str">
        <f>IF(Table1[[#This Row],[Is Data Valid]]=TRUE,((Table1[[#This Row],[Birthweight (grams)]]/Table1[[#This Row],[BW_GA]])-1)/(Backend!$B$4/100*Table1[[#This Row],[BW40_3705]]),"")</f>
        <v/>
      </c>
      <c r="H7494" s="7" t="str">
        <f>IF(Table1[[#This Row],[Is Data Valid]]=TRUE,((Table1[[#This Row],[Birthweight (grams)]]*0.9/Table1[[#This Row],[BW_GA]])-1)/(Backend!$B$4/100*Table1[[#This Row],[BW40_3705]]),"")</f>
        <v/>
      </c>
      <c r="I7494" s="7" t="str">
        <f>IF(Table1[[#This Row],[Is Data Valid]]=TRUE,((Table1[[#This Row],[Birthweight (grams)]]*1.1/Table1[[#This Row],[BW_GA]])-1)/(Backend!$B$4/100*Table1[[#This Row],[BW40_3705]]),"")</f>
        <v/>
      </c>
      <c r="J7494" s="7" t="str">
        <f>IF(Table1[[#This Row],[Is Data Valid]]=TRUE,_xlfn.NORM.S.DIST(Table1[[#This Row],[Birthweight Z-Score]],TRUE)*100,"")</f>
        <v/>
      </c>
      <c r="K7494" s="7" t="str">
        <f>IF(Table1[[#This Row],[Is Data Valid]]=TRUE,_xlfn.NORM.S.DIST(Table1[[#This Row],[Birthweight Z-Score (BW-10%)]],TRUE)*100,"")</f>
        <v/>
      </c>
      <c r="L7494" s="7" t="str">
        <f>IF(Table1[[#This Row],[Is Data Valid]]=TRUE,_xlfn.NORM.S.DIST(Table1[[#This Row],[Birthweight Z-Score (BW+10%)]],TRUE)*100,"")</f>
        <v/>
      </c>
    </row>
    <row r="7495" spans="1:12" x14ac:dyDescent="0.35">
      <c r="A7495" s="3"/>
      <c r="B7495" s="2"/>
      <c r="C7495" s="2"/>
      <c r="D7495" s="2" t="b">
        <f>IF(AND(NOT(ISBLANK(Table1[[#This Row],[Fetal Sex (Male, Female or Unknown)]])),ISNUMBER(Table1[[#This Row],[Birthweight (grams)]]),ISNUMBER(Table1[[#This Row],[Gestation (days)]])),TRUE,FALSE)</f>
        <v>0</v>
      </c>
      <c r="E7495" s="2" t="str">
        <f>IF(Table1[[#This Row],[Is Data Valid]]=TRUE,IF(Table1[[#This Row],[Fetal Sex (Male, Female or Unknown)]]="Male",Backend!$C$6,IF(Table1[[#This Row],[Fetal Sex (Male, Female or Unknown)]]="Female",Backend!$C$7,IF(Table1[[#This Row],[Fetal Sex (Male, Female or Unknown)]]="Unknown",Backend!$C$8,"Error"))),"")</f>
        <v/>
      </c>
      <c r="F7495" s="8" t="str">
        <f>IF(Table1[[#This Row],[Is Data Valid]]=TRUE,EXP(0.578+0.332*((Table1[[#This Row],[Gestation (days)]]+0.5)/7)-0.00354*((Table1[[#This Row],[Gestation (days)]]+0.5)/7)^2)*Table1[[#This Row],[BW40_3705]],"")</f>
        <v/>
      </c>
      <c r="G7495" s="2" t="str">
        <f>IF(Table1[[#This Row],[Is Data Valid]]=TRUE,((Table1[[#This Row],[Birthweight (grams)]]/Table1[[#This Row],[BW_GA]])-1)/(Backend!$B$4/100*Table1[[#This Row],[BW40_3705]]),"")</f>
        <v/>
      </c>
      <c r="H7495" s="7" t="str">
        <f>IF(Table1[[#This Row],[Is Data Valid]]=TRUE,((Table1[[#This Row],[Birthweight (grams)]]*0.9/Table1[[#This Row],[BW_GA]])-1)/(Backend!$B$4/100*Table1[[#This Row],[BW40_3705]]),"")</f>
        <v/>
      </c>
      <c r="I7495" s="7" t="str">
        <f>IF(Table1[[#This Row],[Is Data Valid]]=TRUE,((Table1[[#This Row],[Birthweight (grams)]]*1.1/Table1[[#This Row],[BW_GA]])-1)/(Backend!$B$4/100*Table1[[#This Row],[BW40_3705]]),"")</f>
        <v/>
      </c>
      <c r="J7495" s="7" t="str">
        <f>IF(Table1[[#This Row],[Is Data Valid]]=TRUE,_xlfn.NORM.S.DIST(Table1[[#This Row],[Birthweight Z-Score]],TRUE)*100,"")</f>
        <v/>
      </c>
      <c r="K7495" s="7" t="str">
        <f>IF(Table1[[#This Row],[Is Data Valid]]=TRUE,_xlfn.NORM.S.DIST(Table1[[#This Row],[Birthweight Z-Score (BW-10%)]],TRUE)*100,"")</f>
        <v/>
      </c>
      <c r="L7495" s="7" t="str">
        <f>IF(Table1[[#This Row],[Is Data Valid]]=TRUE,_xlfn.NORM.S.DIST(Table1[[#This Row],[Birthweight Z-Score (BW+10%)]],TRUE)*100,"")</f>
        <v/>
      </c>
    </row>
    <row r="7496" spans="1:12" x14ac:dyDescent="0.35">
      <c r="A7496" s="3"/>
      <c r="B7496" s="2"/>
      <c r="C7496" s="2"/>
      <c r="D7496" s="2" t="b">
        <f>IF(AND(NOT(ISBLANK(Table1[[#This Row],[Fetal Sex (Male, Female or Unknown)]])),ISNUMBER(Table1[[#This Row],[Birthweight (grams)]]),ISNUMBER(Table1[[#This Row],[Gestation (days)]])),TRUE,FALSE)</f>
        <v>0</v>
      </c>
      <c r="E7496" s="2" t="str">
        <f>IF(Table1[[#This Row],[Is Data Valid]]=TRUE,IF(Table1[[#This Row],[Fetal Sex (Male, Female or Unknown)]]="Male",Backend!$C$6,IF(Table1[[#This Row],[Fetal Sex (Male, Female or Unknown)]]="Female",Backend!$C$7,IF(Table1[[#This Row],[Fetal Sex (Male, Female or Unknown)]]="Unknown",Backend!$C$8,"Error"))),"")</f>
        <v/>
      </c>
      <c r="F7496" s="8" t="str">
        <f>IF(Table1[[#This Row],[Is Data Valid]]=TRUE,EXP(0.578+0.332*((Table1[[#This Row],[Gestation (days)]]+0.5)/7)-0.00354*((Table1[[#This Row],[Gestation (days)]]+0.5)/7)^2)*Table1[[#This Row],[BW40_3705]],"")</f>
        <v/>
      </c>
      <c r="G7496" s="2" t="str">
        <f>IF(Table1[[#This Row],[Is Data Valid]]=TRUE,((Table1[[#This Row],[Birthweight (grams)]]/Table1[[#This Row],[BW_GA]])-1)/(Backend!$B$4/100*Table1[[#This Row],[BW40_3705]]),"")</f>
        <v/>
      </c>
      <c r="H7496" s="7" t="str">
        <f>IF(Table1[[#This Row],[Is Data Valid]]=TRUE,((Table1[[#This Row],[Birthweight (grams)]]*0.9/Table1[[#This Row],[BW_GA]])-1)/(Backend!$B$4/100*Table1[[#This Row],[BW40_3705]]),"")</f>
        <v/>
      </c>
      <c r="I7496" s="7" t="str">
        <f>IF(Table1[[#This Row],[Is Data Valid]]=TRUE,((Table1[[#This Row],[Birthweight (grams)]]*1.1/Table1[[#This Row],[BW_GA]])-1)/(Backend!$B$4/100*Table1[[#This Row],[BW40_3705]]),"")</f>
        <v/>
      </c>
      <c r="J7496" s="7" t="str">
        <f>IF(Table1[[#This Row],[Is Data Valid]]=TRUE,_xlfn.NORM.S.DIST(Table1[[#This Row],[Birthweight Z-Score]],TRUE)*100,"")</f>
        <v/>
      </c>
      <c r="K7496" s="7" t="str">
        <f>IF(Table1[[#This Row],[Is Data Valid]]=TRUE,_xlfn.NORM.S.DIST(Table1[[#This Row],[Birthweight Z-Score (BW-10%)]],TRUE)*100,"")</f>
        <v/>
      </c>
      <c r="L7496" s="7" t="str">
        <f>IF(Table1[[#This Row],[Is Data Valid]]=TRUE,_xlfn.NORM.S.DIST(Table1[[#This Row],[Birthweight Z-Score (BW+10%)]],TRUE)*100,"")</f>
        <v/>
      </c>
    </row>
    <row r="7497" spans="1:12" x14ac:dyDescent="0.35">
      <c r="A7497" s="3"/>
      <c r="B7497" s="2"/>
      <c r="C7497" s="2"/>
      <c r="D7497" s="2" t="b">
        <f>IF(AND(NOT(ISBLANK(Table1[[#This Row],[Fetal Sex (Male, Female or Unknown)]])),ISNUMBER(Table1[[#This Row],[Birthweight (grams)]]),ISNUMBER(Table1[[#This Row],[Gestation (days)]])),TRUE,FALSE)</f>
        <v>0</v>
      </c>
      <c r="E7497" s="2" t="str">
        <f>IF(Table1[[#This Row],[Is Data Valid]]=TRUE,IF(Table1[[#This Row],[Fetal Sex (Male, Female or Unknown)]]="Male",Backend!$C$6,IF(Table1[[#This Row],[Fetal Sex (Male, Female or Unknown)]]="Female",Backend!$C$7,IF(Table1[[#This Row],[Fetal Sex (Male, Female or Unknown)]]="Unknown",Backend!$C$8,"Error"))),"")</f>
        <v/>
      </c>
      <c r="F7497" s="8" t="str">
        <f>IF(Table1[[#This Row],[Is Data Valid]]=TRUE,EXP(0.578+0.332*((Table1[[#This Row],[Gestation (days)]]+0.5)/7)-0.00354*((Table1[[#This Row],[Gestation (days)]]+0.5)/7)^2)*Table1[[#This Row],[BW40_3705]],"")</f>
        <v/>
      </c>
      <c r="G7497" s="2" t="str">
        <f>IF(Table1[[#This Row],[Is Data Valid]]=TRUE,((Table1[[#This Row],[Birthweight (grams)]]/Table1[[#This Row],[BW_GA]])-1)/(Backend!$B$4/100*Table1[[#This Row],[BW40_3705]]),"")</f>
        <v/>
      </c>
      <c r="H7497" s="7" t="str">
        <f>IF(Table1[[#This Row],[Is Data Valid]]=TRUE,((Table1[[#This Row],[Birthweight (grams)]]*0.9/Table1[[#This Row],[BW_GA]])-1)/(Backend!$B$4/100*Table1[[#This Row],[BW40_3705]]),"")</f>
        <v/>
      </c>
      <c r="I7497" s="7" t="str">
        <f>IF(Table1[[#This Row],[Is Data Valid]]=TRUE,((Table1[[#This Row],[Birthweight (grams)]]*1.1/Table1[[#This Row],[BW_GA]])-1)/(Backend!$B$4/100*Table1[[#This Row],[BW40_3705]]),"")</f>
        <v/>
      </c>
      <c r="J7497" s="7" t="str">
        <f>IF(Table1[[#This Row],[Is Data Valid]]=TRUE,_xlfn.NORM.S.DIST(Table1[[#This Row],[Birthweight Z-Score]],TRUE)*100,"")</f>
        <v/>
      </c>
      <c r="K7497" s="7" t="str">
        <f>IF(Table1[[#This Row],[Is Data Valid]]=TRUE,_xlfn.NORM.S.DIST(Table1[[#This Row],[Birthweight Z-Score (BW-10%)]],TRUE)*100,"")</f>
        <v/>
      </c>
      <c r="L7497" s="7" t="str">
        <f>IF(Table1[[#This Row],[Is Data Valid]]=TRUE,_xlfn.NORM.S.DIST(Table1[[#This Row],[Birthweight Z-Score (BW+10%)]],TRUE)*100,"")</f>
        <v/>
      </c>
    </row>
    <row r="7498" spans="1:12" x14ac:dyDescent="0.35">
      <c r="A7498" s="3"/>
      <c r="B7498" s="2"/>
      <c r="C7498" s="2"/>
      <c r="D7498" s="2" t="b">
        <f>IF(AND(NOT(ISBLANK(Table1[[#This Row],[Fetal Sex (Male, Female or Unknown)]])),ISNUMBER(Table1[[#This Row],[Birthweight (grams)]]),ISNUMBER(Table1[[#This Row],[Gestation (days)]])),TRUE,FALSE)</f>
        <v>0</v>
      </c>
      <c r="E7498" s="2" t="str">
        <f>IF(Table1[[#This Row],[Is Data Valid]]=TRUE,IF(Table1[[#This Row],[Fetal Sex (Male, Female or Unknown)]]="Male",Backend!$C$6,IF(Table1[[#This Row],[Fetal Sex (Male, Female or Unknown)]]="Female",Backend!$C$7,IF(Table1[[#This Row],[Fetal Sex (Male, Female or Unknown)]]="Unknown",Backend!$C$8,"Error"))),"")</f>
        <v/>
      </c>
      <c r="F7498" s="8" t="str">
        <f>IF(Table1[[#This Row],[Is Data Valid]]=TRUE,EXP(0.578+0.332*((Table1[[#This Row],[Gestation (days)]]+0.5)/7)-0.00354*((Table1[[#This Row],[Gestation (days)]]+0.5)/7)^2)*Table1[[#This Row],[BW40_3705]],"")</f>
        <v/>
      </c>
      <c r="G7498" s="2" t="str">
        <f>IF(Table1[[#This Row],[Is Data Valid]]=TRUE,((Table1[[#This Row],[Birthweight (grams)]]/Table1[[#This Row],[BW_GA]])-1)/(Backend!$B$4/100*Table1[[#This Row],[BW40_3705]]),"")</f>
        <v/>
      </c>
      <c r="H7498" s="7" t="str">
        <f>IF(Table1[[#This Row],[Is Data Valid]]=TRUE,((Table1[[#This Row],[Birthweight (grams)]]*0.9/Table1[[#This Row],[BW_GA]])-1)/(Backend!$B$4/100*Table1[[#This Row],[BW40_3705]]),"")</f>
        <v/>
      </c>
      <c r="I7498" s="7" t="str">
        <f>IF(Table1[[#This Row],[Is Data Valid]]=TRUE,((Table1[[#This Row],[Birthweight (grams)]]*1.1/Table1[[#This Row],[BW_GA]])-1)/(Backend!$B$4/100*Table1[[#This Row],[BW40_3705]]),"")</f>
        <v/>
      </c>
      <c r="J7498" s="7" t="str">
        <f>IF(Table1[[#This Row],[Is Data Valid]]=TRUE,_xlfn.NORM.S.DIST(Table1[[#This Row],[Birthweight Z-Score]],TRUE)*100,"")</f>
        <v/>
      </c>
      <c r="K7498" s="7" t="str">
        <f>IF(Table1[[#This Row],[Is Data Valid]]=TRUE,_xlfn.NORM.S.DIST(Table1[[#This Row],[Birthweight Z-Score (BW-10%)]],TRUE)*100,"")</f>
        <v/>
      </c>
      <c r="L7498" s="7" t="str">
        <f>IF(Table1[[#This Row],[Is Data Valid]]=TRUE,_xlfn.NORM.S.DIST(Table1[[#This Row],[Birthweight Z-Score (BW+10%)]],TRUE)*100,"")</f>
        <v/>
      </c>
    </row>
    <row r="7499" spans="1:12" x14ac:dyDescent="0.35">
      <c r="A7499" s="3"/>
      <c r="B7499" s="2"/>
      <c r="C7499" s="2"/>
      <c r="D7499" s="2" t="b">
        <f>IF(AND(NOT(ISBLANK(Table1[[#This Row],[Fetal Sex (Male, Female or Unknown)]])),ISNUMBER(Table1[[#This Row],[Birthweight (grams)]]),ISNUMBER(Table1[[#This Row],[Gestation (days)]])),TRUE,FALSE)</f>
        <v>0</v>
      </c>
      <c r="E7499" s="2" t="str">
        <f>IF(Table1[[#This Row],[Is Data Valid]]=TRUE,IF(Table1[[#This Row],[Fetal Sex (Male, Female or Unknown)]]="Male",Backend!$C$6,IF(Table1[[#This Row],[Fetal Sex (Male, Female or Unknown)]]="Female",Backend!$C$7,IF(Table1[[#This Row],[Fetal Sex (Male, Female or Unknown)]]="Unknown",Backend!$C$8,"Error"))),"")</f>
        <v/>
      </c>
      <c r="F7499" s="8" t="str">
        <f>IF(Table1[[#This Row],[Is Data Valid]]=TRUE,EXP(0.578+0.332*((Table1[[#This Row],[Gestation (days)]]+0.5)/7)-0.00354*((Table1[[#This Row],[Gestation (days)]]+0.5)/7)^2)*Table1[[#This Row],[BW40_3705]],"")</f>
        <v/>
      </c>
      <c r="G7499" s="2" t="str">
        <f>IF(Table1[[#This Row],[Is Data Valid]]=TRUE,((Table1[[#This Row],[Birthweight (grams)]]/Table1[[#This Row],[BW_GA]])-1)/(Backend!$B$4/100*Table1[[#This Row],[BW40_3705]]),"")</f>
        <v/>
      </c>
      <c r="H7499" s="7" t="str">
        <f>IF(Table1[[#This Row],[Is Data Valid]]=TRUE,((Table1[[#This Row],[Birthweight (grams)]]*0.9/Table1[[#This Row],[BW_GA]])-1)/(Backend!$B$4/100*Table1[[#This Row],[BW40_3705]]),"")</f>
        <v/>
      </c>
      <c r="I7499" s="7" t="str">
        <f>IF(Table1[[#This Row],[Is Data Valid]]=TRUE,((Table1[[#This Row],[Birthweight (grams)]]*1.1/Table1[[#This Row],[BW_GA]])-1)/(Backend!$B$4/100*Table1[[#This Row],[BW40_3705]]),"")</f>
        <v/>
      </c>
      <c r="J7499" s="7" t="str">
        <f>IF(Table1[[#This Row],[Is Data Valid]]=TRUE,_xlfn.NORM.S.DIST(Table1[[#This Row],[Birthweight Z-Score]],TRUE)*100,"")</f>
        <v/>
      </c>
      <c r="K7499" s="7" t="str">
        <f>IF(Table1[[#This Row],[Is Data Valid]]=TRUE,_xlfn.NORM.S.DIST(Table1[[#This Row],[Birthweight Z-Score (BW-10%)]],TRUE)*100,"")</f>
        <v/>
      </c>
      <c r="L7499" s="7" t="str">
        <f>IF(Table1[[#This Row],[Is Data Valid]]=TRUE,_xlfn.NORM.S.DIST(Table1[[#This Row],[Birthweight Z-Score (BW+10%)]],TRUE)*100,"")</f>
        <v/>
      </c>
    </row>
    <row r="7500" spans="1:12" x14ac:dyDescent="0.35">
      <c r="A7500" s="3"/>
      <c r="B7500" s="2"/>
      <c r="C7500" s="2"/>
      <c r="D7500" s="2" t="b">
        <f>IF(AND(NOT(ISBLANK(Table1[[#This Row],[Fetal Sex (Male, Female or Unknown)]])),ISNUMBER(Table1[[#This Row],[Birthweight (grams)]]),ISNUMBER(Table1[[#This Row],[Gestation (days)]])),TRUE,FALSE)</f>
        <v>0</v>
      </c>
      <c r="E7500" s="2" t="str">
        <f>IF(Table1[[#This Row],[Is Data Valid]]=TRUE,IF(Table1[[#This Row],[Fetal Sex (Male, Female or Unknown)]]="Male",Backend!$C$6,IF(Table1[[#This Row],[Fetal Sex (Male, Female or Unknown)]]="Female",Backend!$C$7,IF(Table1[[#This Row],[Fetal Sex (Male, Female or Unknown)]]="Unknown",Backend!$C$8,"Error"))),"")</f>
        <v/>
      </c>
      <c r="F7500" s="8" t="str">
        <f>IF(Table1[[#This Row],[Is Data Valid]]=TRUE,EXP(0.578+0.332*((Table1[[#This Row],[Gestation (days)]]+0.5)/7)-0.00354*((Table1[[#This Row],[Gestation (days)]]+0.5)/7)^2)*Table1[[#This Row],[BW40_3705]],"")</f>
        <v/>
      </c>
      <c r="G7500" s="2" t="str">
        <f>IF(Table1[[#This Row],[Is Data Valid]]=TRUE,((Table1[[#This Row],[Birthweight (grams)]]/Table1[[#This Row],[BW_GA]])-1)/(Backend!$B$4/100*Table1[[#This Row],[BW40_3705]]),"")</f>
        <v/>
      </c>
      <c r="H7500" s="7" t="str">
        <f>IF(Table1[[#This Row],[Is Data Valid]]=TRUE,((Table1[[#This Row],[Birthweight (grams)]]*0.9/Table1[[#This Row],[BW_GA]])-1)/(Backend!$B$4/100*Table1[[#This Row],[BW40_3705]]),"")</f>
        <v/>
      </c>
      <c r="I7500" s="7" t="str">
        <f>IF(Table1[[#This Row],[Is Data Valid]]=TRUE,((Table1[[#This Row],[Birthweight (grams)]]*1.1/Table1[[#This Row],[BW_GA]])-1)/(Backend!$B$4/100*Table1[[#This Row],[BW40_3705]]),"")</f>
        <v/>
      </c>
      <c r="J7500" s="7" t="str">
        <f>IF(Table1[[#This Row],[Is Data Valid]]=TRUE,_xlfn.NORM.S.DIST(Table1[[#This Row],[Birthweight Z-Score]],TRUE)*100,"")</f>
        <v/>
      </c>
      <c r="K7500" s="7" t="str">
        <f>IF(Table1[[#This Row],[Is Data Valid]]=TRUE,_xlfn.NORM.S.DIST(Table1[[#This Row],[Birthweight Z-Score (BW-10%)]],TRUE)*100,"")</f>
        <v/>
      </c>
      <c r="L7500" s="7" t="str">
        <f>IF(Table1[[#This Row],[Is Data Valid]]=TRUE,_xlfn.NORM.S.DIST(Table1[[#This Row],[Birthweight Z-Score (BW+10%)]],TRUE)*100,"")</f>
        <v/>
      </c>
    </row>
    <row r="7501" spans="1:12" x14ac:dyDescent="0.35">
      <c r="A7501" s="3"/>
      <c r="B7501" s="2"/>
      <c r="C7501" s="2"/>
      <c r="D7501" s="2" t="b">
        <f>IF(AND(NOT(ISBLANK(Table1[[#This Row],[Fetal Sex (Male, Female or Unknown)]])),ISNUMBER(Table1[[#This Row],[Birthweight (grams)]]),ISNUMBER(Table1[[#This Row],[Gestation (days)]])),TRUE,FALSE)</f>
        <v>0</v>
      </c>
      <c r="E7501" s="2" t="str">
        <f>IF(Table1[[#This Row],[Is Data Valid]]=TRUE,IF(Table1[[#This Row],[Fetal Sex (Male, Female or Unknown)]]="Male",Backend!$C$6,IF(Table1[[#This Row],[Fetal Sex (Male, Female or Unknown)]]="Female",Backend!$C$7,IF(Table1[[#This Row],[Fetal Sex (Male, Female or Unknown)]]="Unknown",Backend!$C$8,"Error"))),"")</f>
        <v/>
      </c>
      <c r="F7501" s="8" t="str">
        <f>IF(Table1[[#This Row],[Is Data Valid]]=TRUE,EXP(0.578+0.332*((Table1[[#This Row],[Gestation (days)]]+0.5)/7)-0.00354*((Table1[[#This Row],[Gestation (days)]]+0.5)/7)^2)*Table1[[#This Row],[BW40_3705]],"")</f>
        <v/>
      </c>
      <c r="G7501" s="2" t="str">
        <f>IF(Table1[[#This Row],[Is Data Valid]]=TRUE,((Table1[[#This Row],[Birthweight (grams)]]/Table1[[#This Row],[BW_GA]])-1)/(Backend!$B$4/100*Table1[[#This Row],[BW40_3705]]),"")</f>
        <v/>
      </c>
      <c r="H7501" s="7" t="str">
        <f>IF(Table1[[#This Row],[Is Data Valid]]=TRUE,((Table1[[#This Row],[Birthweight (grams)]]*0.9/Table1[[#This Row],[BW_GA]])-1)/(Backend!$B$4/100*Table1[[#This Row],[BW40_3705]]),"")</f>
        <v/>
      </c>
      <c r="I7501" s="7" t="str">
        <f>IF(Table1[[#This Row],[Is Data Valid]]=TRUE,((Table1[[#This Row],[Birthweight (grams)]]*1.1/Table1[[#This Row],[BW_GA]])-1)/(Backend!$B$4/100*Table1[[#This Row],[BW40_3705]]),"")</f>
        <v/>
      </c>
      <c r="J7501" s="7" t="str">
        <f>IF(Table1[[#This Row],[Is Data Valid]]=TRUE,_xlfn.NORM.S.DIST(Table1[[#This Row],[Birthweight Z-Score]],TRUE)*100,"")</f>
        <v/>
      </c>
      <c r="K7501" s="7" t="str">
        <f>IF(Table1[[#This Row],[Is Data Valid]]=TRUE,_xlfn.NORM.S.DIST(Table1[[#This Row],[Birthweight Z-Score (BW-10%)]],TRUE)*100,"")</f>
        <v/>
      </c>
      <c r="L7501" s="7" t="str">
        <f>IF(Table1[[#This Row],[Is Data Valid]]=TRUE,_xlfn.NORM.S.DIST(Table1[[#This Row],[Birthweight Z-Score (BW+10%)]],TRUE)*100,"")</f>
        <v/>
      </c>
    </row>
    <row r="7502" spans="1:12" x14ac:dyDescent="0.35">
      <c r="A7502" s="3"/>
      <c r="B7502" s="2"/>
      <c r="C7502" s="2"/>
      <c r="D7502" s="2" t="b">
        <f>IF(AND(NOT(ISBLANK(Table1[[#This Row],[Fetal Sex (Male, Female or Unknown)]])),ISNUMBER(Table1[[#This Row],[Birthweight (grams)]]),ISNUMBER(Table1[[#This Row],[Gestation (days)]])),TRUE,FALSE)</f>
        <v>0</v>
      </c>
      <c r="E7502" s="2" t="str">
        <f>IF(Table1[[#This Row],[Is Data Valid]]=TRUE,IF(Table1[[#This Row],[Fetal Sex (Male, Female or Unknown)]]="Male",Backend!$C$6,IF(Table1[[#This Row],[Fetal Sex (Male, Female or Unknown)]]="Female",Backend!$C$7,IF(Table1[[#This Row],[Fetal Sex (Male, Female or Unknown)]]="Unknown",Backend!$C$8,"Error"))),"")</f>
        <v/>
      </c>
      <c r="F7502" s="8" t="str">
        <f>IF(Table1[[#This Row],[Is Data Valid]]=TRUE,EXP(0.578+0.332*((Table1[[#This Row],[Gestation (days)]]+0.5)/7)-0.00354*((Table1[[#This Row],[Gestation (days)]]+0.5)/7)^2)*Table1[[#This Row],[BW40_3705]],"")</f>
        <v/>
      </c>
      <c r="G7502" s="2" t="str">
        <f>IF(Table1[[#This Row],[Is Data Valid]]=TRUE,((Table1[[#This Row],[Birthweight (grams)]]/Table1[[#This Row],[BW_GA]])-1)/(Backend!$B$4/100*Table1[[#This Row],[BW40_3705]]),"")</f>
        <v/>
      </c>
      <c r="H7502" s="7" t="str">
        <f>IF(Table1[[#This Row],[Is Data Valid]]=TRUE,((Table1[[#This Row],[Birthweight (grams)]]*0.9/Table1[[#This Row],[BW_GA]])-1)/(Backend!$B$4/100*Table1[[#This Row],[BW40_3705]]),"")</f>
        <v/>
      </c>
      <c r="I7502" s="7" t="str">
        <f>IF(Table1[[#This Row],[Is Data Valid]]=TRUE,((Table1[[#This Row],[Birthweight (grams)]]*1.1/Table1[[#This Row],[BW_GA]])-1)/(Backend!$B$4/100*Table1[[#This Row],[BW40_3705]]),"")</f>
        <v/>
      </c>
      <c r="J7502" s="7" t="str">
        <f>IF(Table1[[#This Row],[Is Data Valid]]=TRUE,_xlfn.NORM.S.DIST(Table1[[#This Row],[Birthweight Z-Score]],TRUE)*100,"")</f>
        <v/>
      </c>
      <c r="K7502" s="7" t="str">
        <f>IF(Table1[[#This Row],[Is Data Valid]]=TRUE,_xlfn.NORM.S.DIST(Table1[[#This Row],[Birthweight Z-Score (BW-10%)]],TRUE)*100,"")</f>
        <v/>
      </c>
      <c r="L7502" s="7" t="str">
        <f>IF(Table1[[#This Row],[Is Data Valid]]=TRUE,_xlfn.NORM.S.DIST(Table1[[#This Row],[Birthweight Z-Score (BW+10%)]],TRUE)*100,"")</f>
        <v/>
      </c>
    </row>
    <row r="7503" spans="1:12" x14ac:dyDescent="0.35">
      <c r="A7503" s="3"/>
      <c r="B7503" s="2"/>
      <c r="C7503" s="2"/>
      <c r="D7503" s="2" t="b">
        <f>IF(AND(NOT(ISBLANK(Table1[[#This Row],[Fetal Sex (Male, Female or Unknown)]])),ISNUMBER(Table1[[#This Row],[Birthweight (grams)]]),ISNUMBER(Table1[[#This Row],[Gestation (days)]])),TRUE,FALSE)</f>
        <v>0</v>
      </c>
      <c r="E7503" s="2" t="str">
        <f>IF(Table1[[#This Row],[Is Data Valid]]=TRUE,IF(Table1[[#This Row],[Fetal Sex (Male, Female or Unknown)]]="Male",Backend!$C$6,IF(Table1[[#This Row],[Fetal Sex (Male, Female or Unknown)]]="Female",Backend!$C$7,IF(Table1[[#This Row],[Fetal Sex (Male, Female or Unknown)]]="Unknown",Backend!$C$8,"Error"))),"")</f>
        <v/>
      </c>
      <c r="F7503" s="8" t="str">
        <f>IF(Table1[[#This Row],[Is Data Valid]]=TRUE,EXP(0.578+0.332*((Table1[[#This Row],[Gestation (days)]]+0.5)/7)-0.00354*((Table1[[#This Row],[Gestation (days)]]+0.5)/7)^2)*Table1[[#This Row],[BW40_3705]],"")</f>
        <v/>
      </c>
      <c r="G7503" s="2" t="str">
        <f>IF(Table1[[#This Row],[Is Data Valid]]=TRUE,((Table1[[#This Row],[Birthweight (grams)]]/Table1[[#This Row],[BW_GA]])-1)/(Backend!$B$4/100*Table1[[#This Row],[BW40_3705]]),"")</f>
        <v/>
      </c>
      <c r="H7503" s="7" t="str">
        <f>IF(Table1[[#This Row],[Is Data Valid]]=TRUE,((Table1[[#This Row],[Birthweight (grams)]]*0.9/Table1[[#This Row],[BW_GA]])-1)/(Backend!$B$4/100*Table1[[#This Row],[BW40_3705]]),"")</f>
        <v/>
      </c>
      <c r="I7503" s="7" t="str">
        <f>IF(Table1[[#This Row],[Is Data Valid]]=TRUE,((Table1[[#This Row],[Birthweight (grams)]]*1.1/Table1[[#This Row],[BW_GA]])-1)/(Backend!$B$4/100*Table1[[#This Row],[BW40_3705]]),"")</f>
        <v/>
      </c>
      <c r="J7503" s="7" t="str">
        <f>IF(Table1[[#This Row],[Is Data Valid]]=TRUE,_xlfn.NORM.S.DIST(Table1[[#This Row],[Birthweight Z-Score]],TRUE)*100,"")</f>
        <v/>
      </c>
      <c r="K7503" s="7" t="str">
        <f>IF(Table1[[#This Row],[Is Data Valid]]=TRUE,_xlfn.NORM.S.DIST(Table1[[#This Row],[Birthweight Z-Score (BW-10%)]],TRUE)*100,"")</f>
        <v/>
      </c>
      <c r="L7503" s="7" t="str">
        <f>IF(Table1[[#This Row],[Is Data Valid]]=TRUE,_xlfn.NORM.S.DIST(Table1[[#This Row],[Birthweight Z-Score (BW+10%)]],TRUE)*100,"")</f>
        <v/>
      </c>
    </row>
    <row r="7504" spans="1:12" x14ac:dyDescent="0.35">
      <c r="A7504" s="3"/>
      <c r="B7504" s="2"/>
      <c r="C7504" s="2"/>
      <c r="D7504" s="2" t="b">
        <f>IF(AND(NOT(ISBLANK(Table1[[#This Row],[Fetal Sex (Male, Female or Unknown)]])),ISNUMBER(Table1[[#This Row],[Birthweight (grams)]]),ISNUMBER(Table1[[#This Row],[Gestation (days)]])),TRUE,FALSE)</f>
        <v>0</v>
      </c>
      <c r="E7504" s="2" t="str">
        <f>IF(Table1[[#This Row],[Is Data Valid]]=TRUE,IF(Table1[[#This Row],[Fetal Sex (Male, Female or Unknown)]]="Male",Backend!$C$6,IF(Table1[[#This Row],[Fetal Sex (Male, Female or Unknown)]]="Female",Backend!$C$7,IF(Table1[[#This Row],[Fetal Sex (Male, Female or Unknown)]]="Unknown",Backend!$C$8,"Error"))),"")</f>
        <v/>
      </c>
      <c r="F7504" s="8" t="str">
        <f>IF(Table1[[#This Row],[Is Data Valid]]=TRUE,EXP(0.578+0.332*((Table1[[#This Row],[Gestation (days)]]+0.5)/7)-0.00354*((Table1[[#This Row],[Gestation (days)]]+0.5)/7)^2)*Table1[[#This Row],[BW40_3705]],"")</f>
        <v/>
      </c>
      <c r="G7504" s="2" t="str">
        <f>IF(Table1[[#This Row],[Is Data Valid]]=TRUE,((Table1[[#This Row],[Birthweight (grams)]]/Table1[[#This Row],[BW_GA]])-1)/(Backend!$B$4/100*Table1[[#This Row],[BW40_3705]]),"")</f>
        <v/>
      </c>
      <c r="H7504" s="7" t="str">
        <f>IF(Table1[[#This Row],[Is Data Valid]]=TRUE,((Table1[[#This Row],[Birthweight (grams)]]*0.9/Table1[[#This Row],[BW_GA]])-1)/(Backend!$B$4/100*Table1[[#This Row],[BW40_3705]]),"")</f>
        <v/>
      </c>
      <c r="I7504" s="7" t="str">
        <f>IF(Table1[[#This Row],[Is Data Valid]]=TRUE,((Table1[[#This Row],[Birthweight (grams)]]*1.1/Table1[[#This Row],[BW_GA]])-1)/(Backend!$B$4/100*Table1[[#This Row],[BW40_3705]]),"")</f>
        <v/>
      </c>
      <c r="J7504" s="7" t="str">
        <f>IF(Table1[[#This Row],[Is Data Valid]]=TRUE,_xlfn.NORM.S.DIST(Table1[[#This Row],[Birthweight Z-Score]],TRUE)*100,"")</f>
        <v/>
      </c>
      <c r="K7504" s="7" t="str">
        <f>IF(Table1[[#This Row],[Is Data Valid]]=TRUE,_xlfn.NORM.S.DIST(Table1[[#This Row],[Birthweight Z-Score (BW-10%)]],TRUE)*100,"")</f>
        <v/>
      </c>
      <c r="L7504" s="7" t="str">
        <f>IF(Table1[[#This Row],[Is Data Valid]]=TRUE,_xlfn.NORM.S.DIST(Table1[[#This Row],[Birthweight Z-Score (BW+10%)]],TRUE)*100,"")</f>
        <v/>
      </c>
    </row>
    <row r="7505" spans="1:12" x14ac:dyDescent="0.35">
      <c r="A7505" s="3"/>
      <c r="B7505" s="2"/>
      <c r="C7505" s="2"/>
      <c r="D7505" s="2" t="b">
        <f>IF(AND(NOT(ISBLANK(Table1[[#This Row],[Fetal Sex (Male, Female or Unknown)]])),ISNUMBER(Table1[[#This Row],[Birthweight (grams)]]),ISNUMBER(Table1[[#This Row],[Gestation (days)]])),TRUE,FALSE)</f>
        <v>0</v>
      </c>
      <c r="E7505" s="2" t="str">
        <f>IF(Table1[[#This Row],[Is Data Valid]]=TRUE,IF(Table1[[#This Row],[Fetal Sex (Male, Female or Unknown)]]="Male",Backend!$C$6,IF(Table1[[#This Row],[Fetal Sex (Male, Female or Unknown)]]="Female",Backend!$C$7,IF(Table1[[#This Row],[Fetal Sex (Male, Female or Unknown)]]="Unknown",Backend!$C$8,"Error"))),"")</f>
        <v/>
      </c>
      <c r="F7505" s="8" t="str">
        <f>IF(Table1[[#This Row],[Is Data Valid]]=TRUE,EXP(0.578+0.332*((Table1[[#This Row],[Gestation (days)]]+0.5)/7)-0.00354*((Table1[[#This Row],[Gestation (days)]]+0.5)/7)^2)*Table1[[#This Row],[BW40_3705]],"")</f>
        <v/>
      </c>
      <c r="G7505" s="2" t="str">
        <f>IF(Table1[[#This Row],[Is Data Valid]]=TRUE,((Table1[[#This Row],[Birthweight (grams)]]/Table1[[#This Row],[BW_GA]])-1)/(Backend!$B$4/100*Table1[[#This Row],[BW40_3705]]),"")</f>
        <v/>
      </c>
      <c r="H7505" s="7" t="str">
        <f>IF(Table1[[#This Row],[Is Data Valid]]=TRUE,((Table1[[#This Row],[Birthweight (grams)]]*0.9/Table1[[#This Row],[BW_GA]])-1)/(Backend!$B$4/100*Table1[[#This Row],[BW40_3705]]),"")</f>
        <v/>
      </c>
      <c r="I7505" s="7" t="str">
        <f>IF(Table1[[#This Row],[Is Data Valid]]=TRUE,((Table1[[#This Row],[Birthweight (grams)]]*1.1/Table1[[#This Row],[BW_GA]])-1)/(Backend!$B$4/100*Table1[[#This Row],[BW40_3705]]),"")</f>
        <v/>
      </c>
      <c r="J7505" s="7" t="str">
        <f>IF(Table1[[#This Row],[Is Data Valid]]=TRUE,_xlfn.NORM.S.DIST(Table1[[#This Row],[Birthweight Z-Score]],TRUE)*100,"")</f>
        <v/>
      </c>
      <c r="K7505" s="7" t="str">
        <f>IF(Table1[[#This Row],[Is Data Valid]]=TRUE,_xlfn.NORM.S.DIST(Table1[[#This Row],[Birthweight Z-Score (BW-10%)]],TRUE)*100,"")</f>
        <v/>
      </c>
      <c r="L7505" s="7" t="str">
        <f>IF(Table1[[#This Row],[Is Data Valid]]=TRUE,_xlfn.NORM.S.DIST(Table1[[#This Row],[Birthweight Z-Score (BW+10%)]],TRUE)*100,"")</f>
        <v/>
      </c>
    </row>
    <row r="7506" spans="1:12" x14ac:dyDescent="0.35">
      <c r="A7506" s="3"/>
      <c r="B7506" s="2"/>
      <c r="C7506" s="2"/>
      <c r="D7506" s="2" t="b">
        <f>IF(AND(NOT(ISBLANK(Table1[[#This Row],[Fetal Sex (Male, Female or Unknown)]])),ISNUMBER(Table1[[#This Row],[Birthweight (grams)]]),ISNUMBER(Table1[[#This Row],[Gestation (days)]])),TRUE,FALSE)</f>
        <v>0</v>
      </c>
      <c r="E7506" s="2" t="str">
        <f>IF(Table1[[#This Row],[Is Data Valid]]=TRUE,IF(Table1[[#This Row],[Fetal Sex (Male, Female or Unknown)]]="Male",Backend!$C$6,IF(Table1[[#This Row],[Fetal Sex (Male, Female or Unknown)]]="Female",Backend!$C$7,IF(Table1[[#This Row],[Fetal Sex (Male, Female or Unknown)]]="Unknown",Backend!$C$8,"Error"))),"")</f>
        <v/>
      </c>
      <c r="F7506" s="8" t="str">
        <f>IF(Table1[[#This Row],[Is Data Valid]]=TRUE,EXP(0.578+0.332*((Table1[[#This Row],[Gestation (days)]]+0.5)/7)-0.00354*((Table1[[#This Row],[Gestation (days)]]+0.5)/7)^2)*Table1[[#This Row],[BW40_3705]],"")</f>
        <v/>
      </c>
      <c r="G7506" s="2" t="str">
        <f>IF(Table1[[#This Row],[Is Data Valid]]=TRUE,((Table1[[#This Row],[Birthweight (grams)]]/Table1[[#This Row],[BW_GA]])-1)/(Backend!$B$4/100*Table1[[#This Row],[BW40_3705]]),"")</f>
        <v/>
      </c>
      <c r="H7506" s="7" t="str">
        <f>IF(Table1[[#This Row],[Is Data Valid]]=TRUE,((Table1[[#This Row],[Birthweight (grams)]]*0.9/Table1[[#This Row],[BW_GA]])-1)/(Backend!$B$4/100*Table1[[#This Row],[BW40_3705]]),"")</f>
        <v/>
      </c>
      <c r="I7506" s="7" t="str">
        <f>IF(Table1[[#This Row],[Is Data Valid]]=TRUE,((Table1[[#This Row],[Birthweight (grams)]]*1.1/Table1[[#This Row],[BW_GA]])-1)/(Backend!$B$4/100*Table1[[#This Row],[BW40_3705]]),"")</f>
        <v/>
      </c>
      <c r="J7506" s="7" t="str">
        <f>IF(Table1[[#This Row],[Is Data Valid]]=TRUE,_xlfn.NORM.S.DIST(Table1[[#This Row],[Birthweight Z-Score]],TRUE)*100,"")</f>
        <v/>
      </c>
      <c r="K7506" s="7" t="str">
        <f>IF(Table1[[#This Row],[Is Data Valid]]=TRUE,_xlfn.NORM.S.DIST(Table1[[#This Row],[Birthweight Z-Score (BW-10%)]],TRUE)*100,"")</f>
        <v/>
      </c>
      <c r="L7506" s="7" t="str">
        <f>IF(Table1[[#This Row],[Is Data Valid]]=TRUE,_xlfn.NORM.S.DIST(Table1[[#This Row],[Birthweight Z-Score (BW+10%)]],TRUE)*100,"")</f>
        <v/>
      </c>
    </row>
    <row r="7507" spans="1:12" x14ac:dyDescent="0.35">
      <c r="A7507" s="3"/>
      <c r="B7507" s="2"/>
      <c r="C7507" s="2"/>
      <c r="D7507" s="2" t="b">
        <f>IF(AND(NOT(ISBLANK(Table1[[#This Row],[Fetal Sex (Male, Female or Unknown)]])),ISNUMBER(Table1[[#This Row],[Birthweight (grams)]]),ISNUMBER(Table1[[#This Row],[Gestation (days)]])),TRUE,FALSE)</f>
        <v>0</v>
      </c>
      <c r="E7507" s="2" t="str">
        <f>IF(Table1[[#This Row],[Is Data Valid]]=TRUE,IF(Table1[[#This Row],[Fetal Sex (Male, Female or Unknown)]]="Male",Backend!$C$6,IF(Table1[[#This Row],[Fetal Sex (Male, Female or Unknown)]]="Female",Backend!$C$7,IF(Table1[[#This Row],[Fetal Sex (Male, Female or Unknown)]]="Unknown",Backend!$C$8,"Error"))),"")</f>
        <v/>
      </c>
      <c r="F7507" s="8" t="str">
        <f>IF(Table1[[#This Row],[Is Data Valid]]=TRUE,EXP(0.578+0.332*((Table1[[#This Row],[Gestation (days)]]+0.5)/7)-0.00354*((Table1[[#This Row],[Gestation (days)]]+0.5)/7)^2)*Table1[[#This Row],[BW40_3705]],"")</f>
        <v/>
      </c>
      <c r="G7507" s="2" t="str">
        <f>IF(Table1[[#This Row],[Is Data Valid]]=TRUE,((Table1[[#This Row],[Birthweight (grams)]]/Table1[[#This Row],[BW_GA]])-1)/(Backend!$B$4/100*Table1[[#This Row],[BW40_3705]]),"")</f>
        <v/>
      </c>
      <c r="H7507" s="7" t="str">
        <f>IF(Table1[[#This Row],[Is Data Valid]]=TRUE,((Table1[[#This Row],[Birthweight (grams)]]*0.9/Table1[[#This Row],[BW_GA]])-1)/(Backend!$B$4/100*Table1[[#This Row],[BW40_3705]]),"")</f>
        <v/>
      </c>
      <c r="I7507" s="7" t="str">
        <f>IF(Table1[[#This Row],[Is Data Valid]]=TRUE,((Table1[[#This Row],[Birthweight (grams)]]*1.1/Table1[[#This Row],[BW_GA]])-1)/(Backend!$B$4/100*Table1[[#This Row],[BW40_3705]]),"")</f>
        <v/>
      </c>
      <c r="J7507" s="7" t="str">
        <f>IF(Table1[[#This Row],[Is Data Valid]]=TRUE,_xlfn.NORM.S.DIST(Table1[[#This Row],[Birthweight Z-Score]],TRUE)*100,"")</f>
        <v/>
      </c>
      <c r="K7507" s="7" t="str">
        <f>IF(Table1[[#This Row],[Is Data Valid]]=TRUE,_xlfn.NORM.S.DIST(Table1[[#This Row],[Birthweight Z-Score (BW-10%)]],TRUE)*100,"")</f>
        <v/>
      </c>
      <c r="L7507" s="7" t="str">
        <f>IF(Table1[[#This Row],[Is Data Valid]]=TRUE,_xlfn.NORM.S.DIST(Table1[[#This Row],[Birthweight Z-Score (BW+10%)]],TRUE)*100,"")</f>
        <v/>
      </c>
    </row>
    <row r="7508" spans="1:12" x14ac:dyDescent="0.35">
      <c r="A7508" s="3"/>
      <c r="B7508" s="2"/>
      <c r="C7508" s="2"/>
      <c r="D7508" s="2" t="b">
        <f>IF(AND(NOT(ISBLANK(Table1[[#This Row],[Fetal Sex (Male, Female or Unknown)]])),ISNUMBER(Table1[[#This Row],[Birthweight (grams)]]),ISNUMBER(Table1[[#This Row],[Gestation (days)]])),TRUE,FALSE)</f>
        <v>0</v>
      </c>
      <c r="E7508" s="2" t="str">
        <f>IF(Table1[[#This Row],[Is Data Valid]]=TRUE,IF(Table1[[#This Row],[Fetal Sex (Male, Female or Unknown)]]="Male",Backend!$C$6,IF(Table1[[#This Row],[Fetal Sex (Male, Female or Unknown)]]="Female",Backend!$C$7,IF(Table1[[#This Row],[Fetal Sex (Male, Female or Unknown)]]="Unknown",Backend!$C$8,"Error"))),"")</f>
        <v/>
      </c>
      <c r="F7508" s="8" t="str">
        <f>IF(Table1[[#This Row],[Is Data Valid]]=TRUE,EXP(0.578+0.332*((Table1[[#This Row],[Gestation (days)]]+0.5)/7)-0.00354*((Table1[[#This Row],[Gestation (days)]]+0.5)/7)^2)*Table1[[#This Row],[BW40_3705]],"")</f>
        <v/>
      </c>
      <c r="G7508" s="2" t="str">
        <f>IF(Table1[[#This Row],[Is Data Valid]]=TRUE,((Table1[[#This Row],[Birthweight (grams)]]/Table1[[#This Row],[BW_GA]])-1)/(Backend!$B$4/100*Table1[[#This Row],[BW40_3705]]),"")</f>
        <v/>
      </c>
      <c r="H7508" s="7" t="str">
        <f>IF(Table1[[#This Row],[Is Data Valid]]=TRUE,((Table1[[#This Row],[Birthweight (grams)]]*0.9/Table1[[#This Row],[BW_GA]])-1)/(Backend!$B$4/100*Table1[[#This Row],[BW40_3705]]),"")</f>
        <v/>
      </c>
      <c r="I7508" s="7" t="str">
        <f>IF(Table1[[#This Row],[Is Data Valid]]=TRUE,((Table1[[#This Row],[Birthweight (grams)]]*1.1/Table1[[#This Row],[BW_GA]])-1)/(Backend!$B$4/100*Table1[[#This Row],[BW40_3705]]),"")</f>
        <v/>
      </c>
      <c r="J7508" s="7" t="str">
        <f>IF(Table1[[#This Row],[Is Data Valid]]=TRUE,_xlfn.NORM.S.DIST(Table1[[#This Row],[Birthweight Z-Score]],TRUE)*100,"")</f>
        <v/>
      </c>
      <c r="K7508" s="7" t="str">
        <f>IF(Table1[[#This Row],[Is Data Valid]]=TRUE,_xlfn.NORM.S.DIST(Table1[[#This Row],[Birthweight Z-Score (BW-10%)]],TRUE)*100,"")</f>
        <v/>
      </c>
      <c r="L7508" s="7" t="str">
        <f>IF(Table1[[#This Row],[Is Data Valid]]=TRUE,_xlfn.NORM.S.DIST(Table1[[#This Row],[Birthweight Z-Score (BW+10%)]],TRUE)*100,"")</f>
        <v/>
      </c>
    </row>
    <row r="7509" spans="1:12" x14ac:dyDescent="0.35">
      <c r="A7509" s="3"/>
      <c r="B7509" s="2"/>
      <c r="C7509" s="2"/>
      <c r="D7509" s="2" t="b">
        <f>IF(AND(NOT(ISBLANK(Table1[[#This Row],[Fetal Sex (Male, Female or Unknown)]])),ISNUMBER(Table1[[#This Row],[Birthweight (grams)]]),ISNUMBER(Table1[[#This Row],[Gestation (days)]])),TRUE,FALSE)</f>
        <v>0</v>
      </c>
      <c r="E7509" s="2" t="str">
        <f>IF(Table1[[#This Row],[Is Data Valid]]=TRUE,IF(Table1[[#This Row],[Fetal Sex (Male, Female or Unknown)]]="Male",Backend!$C$6,IF(Table1[[#This Row],[Fetal Sex (Male, Female or Unknown)]]="Female",Backend!$C$7,IF(Table1[[#This Row],[Fetal Sex (Male, Female or Unknown)]]="Unknown",Backend!$C$8,"Error"))),"")</f>
        <v/>
      </c>
      <c r="F7509" s="8" t="str">
        <f>IF(Table1[[#This Row],[Is Data Valid]]=TRUE,EXP(0.578+0.332*((Table1[[#This Row],[Gestation (days)]]+0.5)/7)-0.00354*((Table1[[#This Row],[Gestation (days)]]+0.5)/7)^2)*Table1[[#This Row],[BW40_3705]],"")</f>
        <v/>
      </c>
      <c r="G7509" s="2" t="str">
        <f>IF(Table1[[#This Row],[Is Data Valid]]=TRUE,((Table1[[#This Row],[Birthweight (grams)]]/Table1[[#This Row],[BW_GA]])-1)/(Backend!$B$4/100*Table1[[#This Row],[BW40_3705]]),"")</f>
        <v/>
      </c>
      <c r="H7509" s="7" t="str">
        <f>IF(Table1[[#This Row],[Is Data Valid]]=TRUE,((Table1[[#This Row],[Birthweight (grams)]]*0.9/Table1[[#This Row],[BW_GA]])-1)/(Backend!$B$4/100*Table1[[#This Row],[BW40_3705]]),"")</f>
        <v/>
      </c>
      <c r="I7509" s="7" t="str">
        <f>IF(Table1[[#This Row],[Is Data Valid]]=TRUE,((Table1[[#This Row],[Birthweight (grams)]]*1.1/Table1[[#This Row],[BW_GA]])-1)/(Backend!$B$4/100*Table1[[#This Row],[BW40_3705]]),"")</f>
        <v/>
      </c>
      <c r="J7509" s="7" t="str">
        <f>IF(Table1[[#This Row],[Is Data Valid]]=TRUE,_xlfn.NORM.S.DIST(Table1[[#This Row],[Birthweight Z-Score]],TRUE)*100,"")</f>
        <v/>
      </c>
      <c r="K7509" s="7" t="str">
        <f>IF(Table1[[#This Row],[Is Data Valid]]=TRUE,_xlfn.NORM.S.DIST(Table1[[#This Row],[Birthweight Z-Score (BW-10%)]],TRUE)*100,"")</f>
        <v/>
      </c>
      <c r="L7509" s="7" t="str">
        <f>IF(Table1[[#This Row],[Is Data Valid]]=TRUE,_xlfn.NORM.S.DIST(Table1[[#This Row],[Birthweight Z-Score (BW+10%)]],TRUE)*100,"")</f>
        <v/>
      </c>
    </row>
    <row r="7510" spans="1:12" x14ac:dyDescent="0.35">
      <c r="A7510" s="3"/>
      <c r="B7510" s="2"/>
      <c r="C7510" s="2"/>
      <c r="D7510" s="2" t="b">
        <f>IF(AND(NOT(ISBLANK(Table1[[#This Row],[Fetal Sex (Male, Female or Unknown)]])),ISNUMBER(Table1[[#This Row],[Birthweight (grams)]]),ISNUMBER(Table1[[#This Row],[Gestation (days)]])),TRUE,FALSE)</f>
        <v>0</v>
      </c>
      <c r="E7510" s="2" t="str">
        <f>IF(Table1[[#This Row],[Is Data Valid]]=TRUE,IF(Table1[[#This Row],[Fetal Sex (Male, Female or Unknown)]]="Male",Backend!$C$6,IF(Table1[[#This Row],[Fetal Sex (Male, Female or Unknown)]]="Female",Backend!$C$7,IF(Table1[[#This Row],[Fetal Sex (Male, Female or Unknown)]]="Unknown",Backend!$C$8,"Error"))),"")</f>
        <v/>
      </c>
      <c r="F7510" s="8" t="str">
        <f>IF(Table1[[#This Row],[Is Data Valid]]=TRUE,EXP(0.578+0.332*((Table1[[#This Row],[Gestation (days)]]+0.5)/7)-0.00354*((Table1[[#This Row],[Gestation (days)]]+0.5)/7)^2)*Table1[[#This Row],[BW40_3705]],"")</f>
        <v/>
      </c>
      <c r="G7510" s="2" t="str">
        <f>IF(Table1[[#This Row],[Is Data Valid]]=TRUE,((Table1[[#This Row],[Birthweight (grams)]]/Table1[[#This Row],[BW_GA]])-1)/(Backend!$B$4/100*Table1[[#This Row],[BW40_3705]]),"")</f>
        <v/>
      </c>
      <c r="H7510" s="7" t="str">
        <f>IF(Table1[[#This Row],[Is Data Valid]]=TRUE,((Table1[[#This Row],[Birthweight (grams)]]*0.9/Table1[[#This Row],[BW_GA]])-1)/(Backend!$B$4/100*Table1[[#This Row],[BW40_3705]]),"")</f>
        <v/>
      </c>
      <c r="I7510" s="7" t="str">
        <f>IF(Table1[[#This Row],[Is Data Valid]]=TRUE,((Table1[[#This Row],[Birthweight (grams)]]*1.1/Table1[[#This Row],[BW_GA]])-1)/(Backend!$B$4/100*Table1[[#This Row],[BW40_3705]]),"")</f>
        <v/>
      </c>
      <c r="J7510" s="7" t="str">
        <f>IF(Table1[[#This Row],[Is Data Valid]]=TRUE,_xlfn.NORM.S.DIST(Table1[[#This Row],[Birthweight Z-Score]],TRUE)*100,"")</f>
        <v/>
      </c>
      <c r="K7510" s="7" t="str">
        <f>IF(Table1[[#This Row],[Is Data Valid]]=TRUE,_xlfn.NORM.S.DIST(Table1[[#This Row],[Birthweight Z-Score (BW-10%)]],TRUE)*100,"")</f>
        <v/>
      </c>
      <c r="L7510" s="7" t="str">
        <f>IF(Table1[[#This Row],[Is Data Valid]]=TRUE,_xlfn.NORM.S.DIST(Table1[[#This Row],[Birthweight Z-Score (BW+10%)]],TRUE)*100,"")</f>
        <v/>
      </c>
    </row>
    <row r="7511" spans="1:12" x14ac:dyDescent="0.35">
      <c r="A7511" s="3"/>
      <c r="B7511" s="2"/>
      <c r="C7511" s="2"/>
      <c r="D7511" s="2" t="b">
        <f>IF(AND(NOT(ISBLANK(Table1[[#This Row],[Fetal Sex (Male, Female or Unknown)]])),ISNUMBER(Table1[[#This Row],[Birthweight (grams)]]),ISNUMBER(Table1[[#This Row],[Gestation (days)]])),TRUE,FALSE)</f>
        <v>0</v>
      </c>
      <c r="E7511" s="2" t="str">
        <f>IF(Table1[[#This Row],[Is Data Valid]]=TRUE,IF(Table1[[#This Row],[Fetal Sex (Male, Female or Unknown)]]="Male",Backend!$C$6,IF(Table1[[#This Row],[Fetal Sex (Male, Female or Unknown)]]="Female",Backend!$C$7,IF(Table1[[#This Row],[Fetal Sex (Male, Female or Unknown)]]="Unknown",Backend!$C$8,"Error"))),"")</f>
        <v/>
      </c>
      <c r="F7511" s="8" t="str">
        <f>IF(Table1[[#This Row],[Is Data Valid]]=TRUE,EXP(0.578+0.332*((Table1[[#This Row],[Gestation (days)]]+0.5)/7)-0.00354*((Table1[[#This Row],[Gestation (days)]]+0.5)/7)^2)*Table1[[#This Row],[BW40_3705]],"")</f>
        <v/>
      </c>
      <c r="G7511" s="2" t="str">
        <f>IF(Table1[[#This Row],[Is Data Valid]]=TRUE,((Table1[[#This Row],[Birthweight (grams)]]/Table1[[#This Row],[BW_GA]])-1)/(Backend!$B$4/100*Table1[[#This Row],[BW40_3705]]),"")</f>
        <v/>
      </c>
      <c r="H7511" s="7" t="str">
        <f>IF(Table1[[#This Row],[Is Data Valid]]=TRUE,((Table1[[#This Row],[Birthweight (grams)]]*0.9/Table1[[#This Row],[BW_GA]])-1)/(Backend!$B$4/100*Table1[[#This Row],[BW40_3705]]),"")</f>
        <v/>
      </c>
      <c r="I7511" s="7" t="str">
        <f>IF(Table1[[#This Row],[Is Data Valid]]=TRUE,((Table1[[#This Row],[Birthweight (grams)]]*1.1/Table1[[#This Row],[BW_GA]])-1)/(Backend!$B$4/100*Table1[[#This Row],[BW40_3705]]),"")</f>
        <v/>
      </c>
      <c r="J7511" s="7" t="str">
        <f>IF(Table1[[#This Row],[Is Data Valid]]=TRUE,_xlfn.NORM.S.DIST(Table1[[#This Row],[Birthweight Z-Score]],TRUE)*100,"")</f>
        <v/>
      </c>
      <c r="K7511" s="7" t="str">
        <f>IF(Table1[[#This Row],[Is Data Valid]]=TRUE,_xlfn.NORM.S.DIST(Table1[[#This Row],[Birthweight Z-Score (BW-10%)]],TRUE)*100,"")</f>
        <v/>
      </c>
      <c r="L7511" s="7" t="str">
        <f>IF(Table1[[#This Row],[Is Data Valid]]=TRUE,_xlfn.NORM.S.DIST(Table1[[#This Row],[Birthweight Z-Score (BW+10%)]],TRUE)*100,"")</f>
        <v/>
      </c>
    </row>
    <row r="7512" spans="1:12" x14ac:dyDescent="0.35">
      <c r="A7512" s="3"/>
      <c r="B7512" s="2"/>
      <c r="C7512" s="2"/>
      <c r="D7512" s="2" t="b">
        <f>IF(AND(NOT(ISBLANK(Table1[[#This Row],[Fetal Sex (Male, Female or Unknown)]])),ISNUMBER(Table1[[#This Row],[Birthweight (grams)]]),ISNUMBER(Table1[[#This Row],[Gestation (days)]])),TRUE,FALSE)</f>
        <v>0</v>
      </c>
      <c r="E7512" s="2" t="str">
        <f>IF(Table1[[#This Row],[Is Data Valid]]=TRUE,IF(Table1[[#This Row],[Fetal Sex (Male, Female or Unknown)]]="Male",Backend!$C$6,IF(Table1[[#This Row],[Fetal Sex (Male, Female or Unknown)]]="Female",Backend!$C$7,IF(Table1[[#This Row],[Fetal Sex (Male, Female or Unknown)]]="Unknown",Backend!$C$8,"Error"))),"")</f>
        <v/>
      </c>
      <c r="F7512" s="8" t="str">
        <f>IF(Table1[[#This Row],[Is Data Valid]]=TRUE,EXP(0.578+0.332*((Table1[[#This Row],[Gestation (days)]]+0.5)/7)-0.00354*((Table1[[#This Row],[Gestation (days)]]+0.5)/7)^2)*Table1[[#This Row],[BW40_3705]],"")</f>
        <v/>
      </c>
      <c r="G7512" s="2" t="str">
        <f>IF(Table1[[#This Row],[Is Data Valid]]=TRUE,((Table1[[#This Row],[Birthweight (grams)]]/Table1[[#This Row],[BW_GA]])-1)/(Backend!$B$4/100*Table1[[#This Row],[BW40_3705]]),"")</f>
        <v/>
      </c>
      <c r="H7512" s="7" t="str">
        <f>IF(Table1[[#This Row],[Is Data Valid]]=TRUE,((Table1[[#This Row],[Birthweight (grams)]]*0.9/Table1[[#This Row],[BW_GA]])-1)/(Backend!$B$4/100*Table1[[#This Row],[BW40_3705]]),"")</f>
        <v/>
      </c>
      <c r="I7512" s="7" t="str">
        <f>IF(Table1[[#This Row],[Is Data Valid]]=TRUE,((Table1[[#This Row],[Birthweight (grams)]]*1.1/Table1[[#This Row],[BW_GA]])-1)/(Backend!$B$4/100*Table1[[#This Row],[BW40_3705]]),"")</f>
        <v/>
      </c>
      <c r="J7512" s="7" t="str">
        <f>IF(Table1[[#This Row],[Is Data Valid]]=TRUE,_xlfn.NORM.S.DIST(Table1[[#This Row],[Birthweight Z-Score]],TRUE)*100,"")</f>
        <v/>
      </c>
      <c r="K7512" s="7" t="str">
        <f>IF(Table1[[#This Row],[Is Data Valid]]=TRUE,_xlfn.NORM.S.DIST(Table1[[#This Row],[Birthweight Z-Score (BW-10%)]],TRUE)*100,"")</f>
        <v/>
      </c>
      <c r="L7512" s="7" t="str">
        <f>IF(Table1[[#This Row],[Is Data Valid]]=TRUE,_xlfn.NORM.S.DIST(Table1[[#This Row],[Birthweight Z-Score (BW+10%)]],TRUE)*100,"")</f>
        <v/>
      </c>
    </row>
    <row r="7513" spans="1:12" x14ac:dyDescent="0.35">
      <c r="A7513" s="3"/>
      <c r="B7513" s="2"/>
      <c r="C7513" s="2"/>
      <c r="D7513" s="2" t="b">
        <f>IF(AND(NOT(ISBLANK(Table1[[#This Row],[Fetal Sex (Male, Female or Unknown)]])),ISNUMBER(Table1[[#This Row],[Birthweight (grams)]]),ISNUMBER(Table1[[#This Row],[Gestation (days)]])),TRUE,FALSE)</f>
        <v>0</v>
      </c>
      <c r="E7513" s="2" t="str">
        <f>IF(Table1[[#This Row],[Is Data Valid]]=TRUE,IF(Table1[[#This Row],[Fetal Sex (Male, Female or Unknown)]]="Male",Backend!$C$6,IF(Table1[[#This Row],[Fetal Sex (Male, Female or Unknown)]]="Female",Backend!$C$7,IF(Table1[[#This Row],[Fetal Sex (Male, Female or Unknown)]]="Unknown",Backend!$C$8,"Error"))),"")</f>
        <v/>
      </c>
      <c r="F7513" s="8" t="str">
        <f>IF(Table1[[#This Row],[Is Data Valid]]=TRUE,EXP(0.578+0.332*((Table1[[#This Row],[Gestation (days)]]+0.5)/7)-0.00354*((Table1[[#This Row],[Gestation (days)]]+0.5)/7)^2)*Table1[[#This Row],[BW40_3705]],"")</f>
        <v/>
      </c>
      <c r="G7513" s="2" t="str">
        <f>IF(Table1[[#This Row],[Is Data Valid]]=TRUE,((Table1[[#This Row],[Birthweight (grams)]]/Table1[[#This Row],[BW_GA]])-1)/(Backend!$B$4/100*Table1[[#This Row],[BW40_3705]]),"")</f>
        <v/>
      </c>
      <c r="H7513" s="7" t="str">
        <f>IF(Table1[[#This Row],[Is Data Valid]]=TRUE,((Table1[[#This Row],[Birthweight (grams)]]*0.9/Table1[[#This Row],[BW_GA]])-1)/(Backend!$B$4/100*Table1[[#This Row],[BW40_3705]]),"")</f>
        <v/>
      </c>
      <c r="I7513" s="7" t="str">
        <f>IF(Table1[[#This Row],[Is Data Valid]]=TRUE,((Table1[[#This Row],[Birthweight (grams)]]*1.1/Table1[[#This Row],[BW_GA]])-1)/(Backend!$B$4/100*Table1[[#This Row],[BW40_3705]]),"")</f>
        <v/>
      </c>
      <c r="J7513" s="7" t="str">
        <f>IF(Table1[[#This Row],[Is Data Valid]]=TRUE,_xlfn.NORM.S.DIST(Table1[[#This Row],[Birthweight Z-Score]],TRUE)*100,"")</f>
        <v/>
      </c>
      <c r="K7513" s="7" t="str">
        <f>IF(Table1[[#This Row],[Is Data Valid]]=TRUE,_xlfn.NORM.S.DIST(Table1[[#This Row],[Birthweight Z-Score (BW-10%)]],TRUE)*100,"")</f>
        <v/>
      </c>
      <c r="L7513" s="7" t="str">
        <f>IF(Table1[[#This Row],[Is Data Valid]]=TRUE,_xlfn.NORM.S.DIST(Table1[[#This Row],[Birthweight Z-Score (BW+10%)]],TRUE)*100,"")</f>
        <v/>
      </c>
    </row>
    <row r="7514" spans="1:12" x14ac:dyDescent="0.35">
      <c r="A7514" s="3"/>
      <c r="B7514" s="2"/>
      <c r="C7514" s="2"/>
      <c r="D7514" s="2" t="b">
        <f>IF(AND(NOT(ISBLANK(Table1[[#This Row],[Fetal Sex (Male, Female or Unknown)]])),ISNUMBER(Table1[[#This Row],[Birthweight (grams)]]),ISNUMBER(Table1[[#This Row],[Gestation (days)]])),TRUE,FALSE)</f>
        <v>0</v>
      </c>
      <c r="E7514" s="2" t="str">
        <f>IF(Table1[[#This Row],[Is Data Valid]]=TRUE,IF(Table1[[#This Row],[Fetal Sex (Male, Female or Unknown)]]="Male",Backend!$C$6,IF(Table1[[#This Row],[Fetal Sex (Male, Female or Unknown)]]="Female",Backend!$C$7,IF(Table1[[#This Row],[Fetal Sex (Male, Female or Unknown)]]="Unknown",Backend!$C$8,"Error"))),"")</f>
        <v/>
      </c>
      <c r="F7514" s="8" t="str">
        <f>IF(Table1[[#This Row],[Is Data Valid]]=TRUE,EXP(0.578+0.332*((Table1[[#This Row],[Gestation (days)]]+0.5)/7)-0.00354*((Table1[[#This Row],[Gestation (days)]]+0.5)/7)^2)*Table1[[#This Row],[BW40_3705]],"")</f>
        <v/>
      </c>
      <c r="G7514" s="2" t="str">
        <f>IF(Table1[[#This Row],[Is Data Valid]]=TRUE,((Table1[[#This Row],[Birthweight (grams)]]/Table1[[#This Row],[BW_GA]])-1)/(Backend!$B$4/100*Table1[[#This Row],[BW40_3705]]),"")</f>
        <v/>
      </c>
      <c r="H7514" s="7" t="str">
        <f>IF(Table1[[#This Row],[Is Data Valid]]=TRUE,((Table1[[#This Row],[Birthweight (grams)]]*0.9/Table1[[#This Row],[BW_GA]])-1)/(Backend!$B$4/100*Table1[[#This Row],[BW40_3705]]),"")</f>
        <v/>
      </c>
      <c r="I7514" s="7" t="str">
        <f>IF(Table1[[#This Row],[Is Data Valid]]=TRUE,((Table1[[#This Row],[Birthweight (grams)]]*1.1/Table1[[#This Row],[BW_GA]])-1)/(Backend!$B$4/100*Table1[[#This Row],[BW40_3705]]),"")</f>
        <v/>
      </c>
      <c r="J7514" s="7" t="str">
        <f>IF(Table1[[#This Row],[Is Data Valid]]=TRUE,_xlfn.NORM.S.DIST(Table1[[#This Row],[Birthweight Z-Score]],TRUE)*100,"")</f>
        <v/>
      </c>
      <c r="K7514" s="7" t="str">
        <f>IF(Table1[[#This Row],[Is Data Valid]]=TRUE,_xlfn.NORM.S.DIST(Table1[[#This Row],[Birthweight Z-Score (BW-10%)]],TRUE)*100,"")</f>
        <v/>
      </c>
      <c r="L7514" s="7" t="str">
        <f>IF(Table1[[#This Row],[Is Data Valid]]=TRUE,_xlfn.NORM.S.DIST(Table1[[#This Row],[Birthweight Z-Score (BW+10%)]],TRUE)*100,"")</f>
        <v/>
      </c>
    </row>
    <row r="7515" spans="1:12" x14ac:dyDescent="0.35">
      <c r="A7515" s="3"/>
      <c r="B7515" s="2"/>
      <c r="C7515" s="2"/>
      <c r="D7515" s="2" t="b">
        <f>IF(AND(NOT(ISBLANK(Table1[[#This Row],[Fetal Sex (Male, Female or Unknown)]])),ISNUMBER(Table1[[#This Row],[Birthweight (grams)]]),ISNUMBER(Table1[[#This Row],[Gestation (days)]])),TRUE,FALSE)</f>
        <v>0</v>
      </c>
      <c r="E7515" s="2" t="str">
        <f>IF(Table1[[#This Row],[Is Data Valid]]=TRUE,IF(Table1[[#This Row],[Fetal Sex (Male, Female or Unknown)]]="Male",Backend!$C$6,IF(Table1[[#This Row],[Fetal Sex (Male, Female or Unknown)]]="Female",Backend!$C$7,IF(Table1[[#This Row],[Fetal Sex (Male, Female or Unknown)]]="Unknown",Backend!$C$8,"Error"))),"")</f>
        <v/>
      </c>
      <c r="F7515" s="8" t="str">
        <f>IF(Table1[[#This Row],[Is Data Valid]]=TRUE,EXP(0.578+0.332*((Table1[[#This Row],[Gestation (days)]]+0.5)/7)-0.00354*((Table1[[#This Row],[Gestation (days)]]+0.5)/7)^2)*Table1[[#This Row],[BW40_3705]],"")</f>
        <v/>
      </c>
      <c r="G7515" s="2" t="str">
        <f>IF(Table1[[#This Row],[Is Data Valid]]=TRUE,((Table1[[#This Row],[Birthweight (grams)]]/Table1[[#This Row],[BW_GA]])-1)/(Backend!$B$4/100*Table1[[#This Row],[BW40_3705]]),"")</f>
        <v/>
      </c>
      <c r="H7515" s="7" t="str">
        <f>IF(Table1[[#This Row],[Is Data Valid]]=TRUE,((Table1[[#This Row],[Birthweight (grams)]]*0.9/Table1[[#This Row],[BW_GA]])-1)/(Backend!$B$4/100*Table1[[#This Row],[BW40_3705]]),"")</f>
        <v/>
      </c>
      <c r="I7515" s="7" t="str">
        <f>IF(Table1[[#This Row],[Is Data Valid]]=TRUE,((Table1[[#This Row],[Birthweight (grams)]]*1.1/Table1[[#This Row],[BW_GA]])-1)/(Backend!$B$4/100*Table1[[#This Row],[BW40_3705]]),"")</f>
        <v/>
      </c>
      <c r="J7515" s="7" t="str">
        <f>IF(Table1[[#This Row],[Is Data Valid]]=TRUE,_xlfn.NORM.S.DIST(Table1[[#This Row],[Birthweight Z-Score]],TRUE)*100,"")</f>
        <v/>
      </c>
      <c r="K7515" s="7" t="str">
        <f>IF(Table1[[#This Row],[Is Data Valid]]=TRUE,_xlfn.NORM.S.DIST(Table1[[#This Row],[Birthweight Z-Score (BW-10%)]],TRUE)*100,"")</f>
        <v/>
      </c>
      <c r="L7515" s="7" t="str">
        <f>IF(Table1[[#This Row],[Is Data Valid]]=TRUE,_xlfn.NORM.S.DIST(Table1[[#This Row],[Birthweight Z-Score (BW+10%)]],TRUE)*100,"")</f>
        <v/>
      </c>
    </row>
    <row r="7516" spans="1:12" x14ac:dyDescent="0.35">
      <c r="A7516" s="3"/>
      <c r="B7516" s="2"/>
      <c r="C7516" s="2"/>
      <c r="D7516" s="2" t="b">
        <f>IF(AND(NOT(ISBLANK(Table1[[#This Row],[Fetal Sex (Male, Female or Unknown)]])),ISNUMBER(Table1[[#This Row],[Birthweight (grams)]]),ISNUMBER(Table1[[#This Row],[Gestation (days)]])),TRUE,FALSE)</f>
        <v>0</v>
      </c>
      <c r="E7516" s="2" t="str">
        <f>IF(Table1[[#This Row],[Is Data Valid]]=TRUE,IF(Table1[[#This Row],[Fetal Sex (Male, Female or Unknown)]]="Male",Backend!$C$6,IF(Table1[[#This Row],[Fetal Sex (Male, Female or Unknown)]]="Female",Backend!$C$7,IF(Table1[[#This Row],[Fetal Sex (Male, Female or Unknown)]]="Unknown",Backend!$C$8,"Error"))),"")</f>
        <v/>
      </c>
      <c r="F7516" s="8" t="str">
        <f>IF(Table1[[#This Row],[Is Data Valid]]=TRUE,EXP(0.578+0.332*((Table1[[#This Row],[Gestation (days)]]+0.5)/7)-0.00354*((Table1[[#This Row],[Gestation (days)]]+0.5)/7)^2)*Table1[[#This Row],[BW40_3705]],"")</f>
        <v/>
      </c>
      <c r="G7516" s="2" t="str">
        <f>IF(Table1[[#This Row],[Is Data Valid]]=TRUE,((Table1[[#This Row],[Birthweight (grams)]]/Table1[[#This Row],[BW_GA]])-1)/(Backend!$B$4/100*Table1[[#This Row],[BW40_3705]]),"")</f>
        <v/>
      </c>
      <c r="H7516" s="7" t="str">
        <f>IF(Table1[[#This Row],[Is Data Valid]]=TRUE,((Table1[[#This Row],[Birthweight (grams)]]*0.9/Table1[[#This Row],[BW_GA]])-1)/(Backend!$B$4/100*Table1[[#This Row],[BW40_3705]]),"")</f>
        <v/>
      </c>
      <c r="I7516" s="7" t="str">
        <f>IF(Table1[[#This Row],[Is Data Valid]]=TRUE,((Table1[[#This Row],[Birthweight (grams)]]*1.1/Table1[[#This Row],[BW_GA]])-1)/(Backend!$B$4/100*Table1[[#This Row],[BW40_3705]]),"")</f>
        <v/>
      </c>
      <c r="J7516" s="7" t="str">
        <f>IF(Table1[[#This Row],[Is Data Valid]]=TRUE,_xlfn.NORM.S.DIST(Table1[[#This Row],[Birthweight Z-Score]],TRUE)*100,"")</f>
        <v/>
      </c>
      <c r="K7516" s="7" t="str">
        <f>IF(Table1[[#This Row],[Is Data Valid]]=TRUE,_xlfn.NORM.S.DIST(Table1[[#This Row],[Birthweight Z-Score (BW-10%)]],TRUE)*100,"")</f>
        <v/>
      </c>
      <c r="L7516" s="7" t="str">
        <f>IF(Table1[[#This Row],[Is Data Valid]]=TRUE,_xlfn.NORM.S.DIST(Table1[[#This Row],[Birthweight Z-Score (BW+10%)]],TRUE)*100,"")</f>
        <v/>
      </c>
    </row>
    <row r="7517" spans="1:12" x14ac:dyDescent="0.35">
      <c r="A7517" s="3"/>
      <c r="B7517" s="2"/>
      <c r="C7517" s="2"/>
      <c r="D7517" s="2" t="b">
        <f>IF(AND(NOT(ISBLANK(Table1[[#This Row],[Fetal Sex (Male, Female or Unknown)]])),ISNUMBER(Table1[[#This Row],[Birthweight (grams)]]),ISNUMBER(Table1[[#This Row],[Gestation (days)]])),TRUE,FALSE)</f>
        <v>0</v>
      </c>
      <c r="E7517" s="2" t="str">
        <f>IF(Table1[[#This Row],[Is Data Valid]]=TRUE,IF(Table1[[#This Row],[Fetal Sex (Male, Female or Unknown)]]="Male",Backend!$C$6,IF(Table1[[#This Row],[Fetal Sex (Male, Female or Unknown)]]="Female",Backend!$C$7,IF(Table1[[#This Row],[Fetal Sex (Male, Female or Unknown)]]="Unknown",Backend!$C$8,"Error"))),"")</f>
        <v/>
      </c>
      <c r="F7517" s="8" t="str">
        <f>IF(Table1[[#This Row],[Is Data Valid]]=TRUE,EXP(0.578+0.332*((Table1[[#This Row],[Gestation (days)]]+0.5)/7)-0.00354*((Table1[[#This Row],[Gestation (days)]]+0.5)/7)^2)*Table1[[#This Row],[BW40_3705]],"")</f>
        <v/>
      </c>
      <c r="G7517" s="2" t="str">
        <f>IF(Table1[[#This Row],[Is Data Valid]]=TRUE,((Table1[[#This Row],[Birthweight (grams)]]/Table1[[#This Row],[BW_GA]])-1)/(Backend!$B$4/100*Table1[[#This Row],[BW40_3705]]),"")</f>
        <v/>
      </c>
      <c r="H7517" s="7" t="str">
        <f>IF(Table1[[#This Row],[Is Data Valid]]=TRUE,((Table1[[#This Row],[Birthweight (grams)]]*0.9/Table1[[#This Row],[BW_GA]])-1)/(Backend!$B$4/100*Table1[[#This Row],[BW40_3705]]),"")</f>
        <v/>
      </c>
      <c r="I7517" s="7" t="str">
        <f>IF(Table1[[#This Row],[Is Data Valid]]=TRUE,((Table1[[#This Row],[Birthweight (grams)]]*1.1/Table1[[#This Row],[BW_GA]])-1)/(Backend!$B$4/100*Table1[[#This Row],[BW40_3705]]),"")</f>
        <v/>
      </c>
      <c r="J7517" s="7" t="str">
        <f>IF(Table1[[#This Row],[Is Data Valid]]=TRUE,_xlfn.NORM.S.DIST(Table1[[#This Row],[Birthweight Z-Score]],TRUE)*100,"")</f>
        <v/>
      </c>
      <c r="K7517" s="7" t="str">
        <f>IF(Table1[[#This Row],[Is Data Valid]]=TRUE,_xlfn.NORM.S.DIST(Table1[[#This Row],[Birthweight Z-Score (BW-10%)]],TRUE)*100,"")</f>
        <v/>
      </c>
      <c r="L7517" s="7" t="str">
        <f>IF(Table1[[#This Row],[Is Data Valid]]=TRUE,_xlfn.NORM.S.DIST(Table1[[#This Row],[Birthweight Z-Score (BW+10%)]],TRUE)*100,"")</f>
        <v/>
      </c>
    </row>
    <row r="7518" spans="1:12" x14ac:dyDescent="0.35">
      <c r="A7518" s="3"/>
      <c r="B7518" s="2"/>
      <c r="C7518" s="2"/>
      <c r="D7518" s="2" t="b">
        <f>IF(AND(NOT(ISBLANK(Table1[[#This Row],[Fetal Sex (Male, Female or Unknown)]])),ISNUMBER(Table1[[#This Row],[Birthweight (grams)]]),ISNUMBER(Table1[[#This Row],[Gestation (days)]])),TRUE,FALSE)</f>
        <v>0</v>
      </c>
      <c r="E7518" s="2" t="str">
        <f>IF(Table1[[#This Row],[Is Data Valid]]=TRUE,IF(Table1[[#This Row],[Fetal Sex (Male, Female or Unknown)]]="Male",Backend!$C$6,IF(Table1[[#This Row],[Fetal Sex (Male, Female or Unknown)]]="Female",Backend!$C$7,IF(Table1[[#This Row],[Fetal Sex (Male, Female or Unknown)]]="Unknown",Backend!$C$8,"Error"))),"")</f>
        <v/>
      </c>
      <c r="F7518" s="8" t="str">
        <f>IF(Table1[[#This Row],[Is Data Valid]]=TRUE,EXP(0.578+0.332*((Table1[[#This Row],[Gestation (days)]]+0.5)/7)-0.00354*((Table1[[#This Row],[Gestation (days)]]+0.5)/7)^2)*Table1[[#This Row],[BW40_3705]],"")</f>
        <v/>
      </c>
      <c r="G7518" s="2" t="str">
        <f>IF(Table1[[#This Row],[Is Data Valid]]=TRUE,((Table1[[#This Row],[Birthweight (grams)]]/Table1[[#This Row],[BW_GA]])-1)/(Backend!$B$4/100*Table1[[#This Row],[BW40_3705]]),"")</f>
        <v/>
      </c>
      <c r="H7518" s="7" t="str">
        <f>IF(Table1[[#This Row],[Is Data Valid]]=TRUE,((Table1[[#This Row],[Birthweight (grams)]]*0.9/Table1[[#This Row],[BW_GA]])-1)/(Backend!$B$4/100*Table1[[#This Row],[BW40_3705]]),"")</f>
        <v/>
      </c>
      <c r="I7518" s="7" t="str">
        <f>IF(Table1[[#This Row],[Is Data Valid]]=TRUE,((Table1[[#This Row],[Birthweight (grams)]]*1.1/Table1[[#This Row],[BW_GA]])-1)/(Backend!$B$4/100*Table1[[#This Row],[BW40_3705]]),"")</f>
        <v/>
      </c>
      <c r="J7518" s="7" t="str">
        <f>IF(Table1[[#This Row],[Is Data Valid]]=TRUE,_xlfn.NORM.S.DIST(Table1[[#This Row],[Birthweight Z-Score]],TRUE)*100,"")</f>
        <v/>
      </c>
      <c r="K7518" s="7" t="str">
        <f>IF(Table1[[#This Row],[Is Data Valid]]=TRUE,_xlfn.NORM.S.DIST(Table1[[#This Row],[Birthweight Z-Score (BW-10%)]],TRUE)*100,"")</f>
        <v/>
      </c>
      <c r="L7518" s="7" t="str">
        <f>IF(Table1[[#This Row],[Is Data Valid]]=TRUE,_xlfn.NORM.S.DIST(Table1[[#This Row],[Birthweight Z-Score (BW+10%)]],TRUE)*100,"")</f>
        <v/>
      </c>
    </row>
    <row r="7519" spans="1:12" x14ac:dyDescent="0.35">
      <c r="A7519" s="3"/>
      <c r="B7519" s="2"/>
      <c r="C7519" s="2"/>
      <c r="D7519" s="2" t="b">
        <f>IF(AND(NOT(ISBLANK(Table1[[#This Row],[Fetal Sex (Male, Female or Unknown)]])),ISNUMBER(Table1[[#This Row],[Birthweight (grams)]]),ISNUMBER(Table1[[#This Row],[Gestation (days)]])),TRUE,FALSE)</f>
        <v>0</v>
      </c>
      <c r="E7519" s="2" t="str">
        <f>IF(Table1[[#This Row],[Is Data Valid]]=TRUE,IF(Table1[[#This Row],[Fetal Sex (Male, Female or Unknown)]]="Male",Backend!$C$6,IF(Table1[[#This Row],[Fetal Sex (Male, Female or Unknown)]]="Female",Backend!$C$7,IF(Table1[[#This Row],[Fetal Sex (Male, Female or Unknown)]]="Unknown",Backend!$C$8,"Error"))),"")</f>
        <v/>
      </c>
      <c r="F7519" s="8" t="str">
        <f>IF(Table1[[#This Row],[Is Data Valid]]=TRUE,EXP(0.578+0.332*((Table1[[#This Row],[Gestation (days)]]+0.5)/7)-0.00354*((Table1[[#This Row],[Gestation (days)]]+0.5)/7)^2)*Table1[[#This Row],[BW40_3705]],"")</f>
        <v/>
      </c>
      <c r="G7519" s="2" t="str">
        <f>IF(Table1[[#This Row],[Is Data Valid]]=TRUE,((Table1[[#This Row],[Birthweight (grams)]]/Table1[[#This Row],[BW_GA]])-1)/(Backend!$B$4/100*Table1[[#This Row],[BW40_3705]]),"")</f>
        <v/>
      </c>
      <c r="H7519" s="7" t="str">
        <f>IF(Table1[[#This Row],[Is Data Valid]]=TRUE,((Table1[[#This Row],[Birthweight (grams)]]*0.9/Table1[[#This Row],[BW_GA]])-1)/(Backend!$B$4/100*Table1[[#This Row],[BW40_3705]]),"")</f>
        <v/>
      </c>
      <c r="I7519" s="7" t="str">
        <f>IF(Table1[[#This Row],[Is Data Valid]]=TRUE,((Table1[[#This Row],[Birthweight (grams)]]*1.1/Table1[[#This Row],[BW_GA]])-1)/(Backend!$B$4/100*Table1[[#This Row],[BW40_3705]]),"")</f>
        <v/>
      </c>
      <c r="J7519" s="7" t="str">
        <f>IF(Table1[[#This Row],[Is Data Valid]]=TRUE,_xlfn.NORM.S.DIST(Table1[[#This Row],[Birthweight Z-Score]],TRUE)*100,"")</f>
        <v/>
      </c>
      <c r="K7519" s="7" t="str">
        <f>IF(Table1[[#This Row],[Is Data Valid]]=TRUE,_xlfn.NORM.S.DIST(Table1[[#This Row],[Birthweight Z-Score (BW-10%)]],TRUE)*100,"")</f>
        <v/>
      </c>
      <c r="L7519" s="7" t="str">
        <f>IF(Table1[[#This Row],[Is Data Valid]]=TRUE,_xlfn.NORM.S.DIST(Table1[[#This Row],[Birthweight Z-Score (BW+10%)]],TRUE)*100,"")</f>
        <v/>
      </c>
    </row>
    <row r="7520" spans="1:12" x14ac:dyDescent="0.35">
      <c r="A7520" s="3"/>
      <c r="B7520" s="2"/>
      <c r="C7520" s="2"/>
      <c r="D7520" s="2" t="b">
        <f>IF(AND(NOT(ISBLANK(Table1[[#This Row],[Fetal Sex (Male, Female or Unknown)]])),ISNUMBER(Table1[[#This Row],[Birthweight (grams)]]),ISNUMBER(Table1[[#This Row],[Gestation (days)]])),TRUE,FALSE)</f>
        <v>0</v>
      </c>
      <c r="E7520" s="2" t="str">
        <f>IF(Table1[[#This Row],[Is Data Valid]]=TRUE,IF(Table1[[#This Row],[Fetal Sex (Male, Female or Unknown)]]="Male",Backend!$C$6,IF(Table1[[#This Row],[Fetal Sex (Male, Female or Unknown)]]="Female",Backend!$C$7,IF(Table1[[#This Row],[Fetal Sex (Male, Female or Unknown)]]="Unknown",Backend!$C$8,"Error"))),"")</f>
        <v/>
      </c>
      <c r="F7520" s="8" t="str">
        <f>IF(Table1[[#This Row],[Is Data Valid]]=TRUE,EXP(0.578+0.332*((Table1[[#This Row],[Gestation (days)]]+0.5)/7)-0.00354*((Table1[[#This Row],[Gestation (days)]]+0.5)/7)^2)*Table1[[#This Row],[BW40_3705]],"")</f>
        <v/>
      </c>
      <c r="G7520" s="2" t="str">
        <f>IF(Table1[[#This Row],[Is Data Valid]]=TRUE,((Table1[[#This Row],[Birthweight (grams)]]/Table1[[#This Row],[BW_GA]])-1)/(Backend!$B$4/100*Table1[[#This Row],[BW40_3705]]),"")</f>
        <v/>
      </c>
      <c r="H7520" s="7" t="str">
        <f>IF(Table1[[#This Row],[Is Data Valid]]=TRUE,((Table1[[#This Row],[Birthweight (grams)]]*0.9/Table1[[#This Row],[BW_GA]])-1)/(Backend!$B$4/100*Table1[[#This Row],[BW40_3705]]),"")</f>
        <v/>
      </c>
      <c r="I7520" s="7" t="str">
        <f>IF(Table1[[#This Row],[Is Data Valid]]=TRUE,((Table1[[#This Row],[Birthweight (grams)]]*1.1/Table1[[#This Row],[BW_GA]])-1)/(Backend!$B$4/100*Table1[[#This Row],[BW40_3705]]),"")</f>
        <v/>
      </c>
      <c r="J7520" s="7" t="str">
        <f>IF(Table1[[#This Row],[Is Data Valid]]=TRUE,_xlfn.NORM.S.DIST(Table1[[#This Row],[Birthweight Z-Score]],TRUE)*100,"")</f>
        <v/>
      </c>
      <c r="K7520" s="7" t="str">
        <f>IF(Table1[[#This Row],[Is Data Valid]]=TRUE,_xlfn.NORM.S.DIST(Table1[[#This Row],[Birthweight Z-Score (BW-10%)]],TRUE)*100,"")</f>
        <v/>
      </c>
      <c r="L7520" s="7" t="str">
        <f>IF(Table1[[#This Row],[Is Data Valid]]=TRUE,_xlfn.NORM.S.DIST(Table1[[#This Row],[Birthweight Z-Score (BW+10%)]],TRUE)*100,"")</f>
        <v/>
      </c>
    </row>
    <row r="7521" spans="1:12" x14ac:dyDescent="0.35">
      <c r="A7521" s="3"/>
      <c r="B7521" s="2"/>
      <c r="C7521" s="2"/>
      <c r="D7521" s="2" t="b">
        <f>IF(AND(NOT(ISBLANK(Table1[[#This Row],[Fetal Sex (Male, Female or Unknown)]])),ISNUMBER(Table1[[#This Row],[Birthweight (grams)]]),ISNUMBER(Table1[[#This Row],[Gestation (days)]])),TRUE,FALSE)</f>
        <v>0</v>
      </c>
      <c r="E7521" s="2" t="str">
        <f>IF(Table1[[#This Row],[Is Data Valid]]=TRUE,IF(Table1[[#This Row],[Fetal Sex (Male, Female or Unknown)]]="Male",Backend!$C$6,IF(Table1[[#This Row],[Fetal Sex (Male, Female or Unknown)]]="Female",Backend!$C$7,IF(Table1[[#This Row],[Fetal Sex (Male, Female or Unknown)]]="Unknown",Backend!$C$8,"Error"))),"")</f>
        <v/>
      </c>
      <c r="F7521" s="8" t="str">
        <f>IF(Table1[[#This Row],[Is Data Valid]]=TRUE,EXP(0.578+0.332*((Table1[[#This Row],[Gestation (days)]]+0.5)/7)-0.00354*((Table1[[#This Row],[Gestation (days)]]+0.5)/7)^2)*Table1[[#This Row],[BW40_3705]],"")</f>
        <v/>
      </c>
      <c r="G7521" s="2" t="str">
        <f>IF(Table1[[#This Row],[Is Data Valid]]=TRUE,((Table1[[#This Row],[Birthweight (grams)]]/Table1[[#This Row],[BW_GA]])-1)/(Backend!$B$4/100*Table1[[#This Row],[BW40_3705]]),"")</f>
        <v/>
      </c>
      <c r="H7521" s="7" t="str">
        <f>IF(Table1[[#This Row],[Is Data Valid]]=TRUE,((Table1[[#This Row],[Birthweight (grams)]]*0.9/Table1[[#This Row],[BW_GA]])-1)/(Backend!$B$4/100*Table1[[#This Row],[BW40_3705]]),"")</f>
        <v/>
      </c>
      <c r="I7521" s="7" t="str">
        <f>IF(Table1[[#This Row],[Is Data Valid]]=TRUE,((Table1[[#This Row],[Birthweight (grams)]]*1.1/Table1[[#This Row],[BW_GA]])-1)/(Backend!$B$4/100*Table1[[#This Row],[BW40_3705]]),"")</f>
        <v/>
      </c>
      <c r="J7521" s="7" t="str">
        <f>IF(Table1[[#This Row],[Is Data Valid]]=TRUE,_xlfn.NORM.S.DIST(Table1[[#This Row],[Birthweight Z-Score]],TRUE)*100,"")</f>
        <v/>
      </c>
      <c r="K7521" s="7" t="str">
        <f>IF(Table1[[#This Row],[Is Data Valid]]=TRUE,_xlfn.NORM.S.DIST(Table1[[#This Row],[Birthweight Z-Score (BW-10%)]],TRUE)*100,"")</f>
        <v/>
      </c>
      <c r="L7521" s="7" t="str">
        <f>IF(Table1[[#This Row],[Is Data Valid]]=TRUE,_xlfn.NORM.S.DIST(Table1[[#This Row],[Birthweight Z-Score (BW+10%)]],TRUE)*100,"")</f>
        <v/>
      </c>
    </row>
    <row r="7522" spans="1:12" x14ac:dyDescent="0.35">
      <c r="A7522" s="3"/>
      <c r="B7522" s="2"/>
      <c r="C7522" s="2"/>
      <c r="D7522" s="2" t="b">
        <f>IF(AND(NOT(ISBLANK(Table1[[#This Row],[Fetal Sex (Male, Female or Unknown)]])),ISNUMBER(Table1[[#This Row],[Birthweight (grams)]]),ISNUMBER(Table1[[#This Row],[Gestation (days)]])),TRUE,FALSE)</f>
        <v>0</v>
      </c>
      <c r="E7522" s="2" t="str">
        <f>IF(Table1[[#This Row],[Is Data Valid]]=TRUE,IF(Table1[[#This Row],[Fetal Sex (Male, Female or Unknown)]]="Male",Backend!$C$6,IF(Table1[[#This Row],[Fetal Sex (Male, Female or Unknown)]]="Female",Backend!$C$7,IF(Table1[[#This Row],[Fetal Sex (Male, Female or Unknown)]]="Unknown",Backend!$C$8,"Error"))),"")</f>
        <v/>
      </c>
      <c r="F7522" s="8" t="str">
        <f>IF(Table1[[#This Row],[Is Data Valid]]=TRUE,EXP(0.578+0.332*((Table1[[#This Row],[Gestation (days)]]+0.5)/7)-0.00354*((Table1[[#This Row],[Gestation (days)]]+0.5)/7)^2)*Table1[[#This Row],[BW40_3705]],"")</f>
        <v/>
      </c>
      <c r="G7522" s="2" t="str">
        <f>IF(Table1[[#This Row],[Is Data Valid]]=TRUE,((Table1[[#This Row],[Birthweight (grams)]]/Table1[[#This Row],[BW_GA]])-1)/(Backend!$B$4/100*Table1[[#This Row],[BW40_3705]]),"")</f>
        <v/>
      </c>
      <c r="H7522" s="7" t="str">
        <f>IF(Table1[[#This Row],[Is Data Valid]]=TRUE,((Table1[[#This Row],[Birthweight (grams)]]*0.9/Table1[[#This Row],[BW_GA]])-1)/(Backend!$B$4/100*Table1[[#This Row],[BW40_3705]]),"")</f>
        <v/>
      </c>
      <c r="I7522" s="7" t="str">
        <f>IF(Table1[[#This Row],[Is Data Valid]]=TRUE,((Table1[[#This Row],[Birthweight (grams)]]*1.1/Table1[[#This Row],[BW_GA]])-1)/(Backend!$B$4/100*Table1[[#This Row],[BW40_3705]]),"")</f>
        <v/>
      </c>
      <c r="J7522" s="7" t="str">
        <f>IF(Table1[[#This Row],[Is Data Valid]]=TRUE,_xlfn.NORM.S.DIST(Table1[[#This Row],[Birthweight Z-Score]],TRUE)*100,"")</f>
        <v/>
      </c>
      <c r="K7522" s="7" t="str">
        <f>IF(Table1[[#This Row],[Is Data Valid]]=TRUE,_xlfn.NORM.S.DIST(Table1[[#This Row],[Birthweight Z-Score (BW-10%)]],TRUE)*100,"")</f>
        <v/>
      </c>
      <c r="L7522" s="7" t="str">
        <f>IF(Table1[[#This Row],[Is Data Valid]]=TRUE,_xlfn.NORM.S.DIST(Table1[[#This Row],[Birthweight Z-Score (BW+10%)]],TRUE)*100,"")</f>
        <v/>
      </c>
    </row>
    <row r="7523" spans="1:12" x14ac:dyDescent="0.35">
      <c r="A7523" s="3"/>
      <c r="B7523" s="2"/>
      <c r="C7523" s="2"/>
      <c r="D7523" s="2" t="b">
        <f>IF(AND(NOT(ISBLANK(Table1[[#This Row],[Fetal Sex (Male, Female or Unknown)]])),ISNUMBER(Table1[[#This Row],[Birthweight (grams)]]),ISNUMBER(Table1[[#This Row],[Gestation (days)]])),TRUE,FALSE)</f>
        <v>0</v>
      </c>
      <c r="E7523" s="2" t="str">
        <f>IF(Table1[[#This Row],[Is Data Valid]]=TRUE,IF(Table1[[#This Row],[Fetal Sex (Male, Female or Unknown)]]="Male",Backend!$C$6,IF(Table1[[#This Row],[Fetal Sex (Male, Female or Unknown)]]="Female",Backend!$C$7,IF(Table1[[#This Row],[Fetal Sex (Male, Female or Unknown)]]="Unknown",Backend!$C$8,"Error"))),"")</f>
        <v/>
      </c>
      <c r="F7523" s="8" t="str">
        <f>IF(Table1[[#This Row],[Is Data Valid]]=TRUE,EXP(0.578+0.332*((Table1[[#This Row],[Gestation (days)]]+0.5)/7)-0.00354*((Table1[[#This Row],[Gestation (days)]]+0.5)/7)^2)*Table1[[#This Row],[BW40_3705]],"")</f>
        <v/>
      </c>
      <c r="G7523" s="2" t="str">
        <f>IF(Table1[[#This Row],[Is Data Valid]]=TRUE,((Table1[[#This Row],[Birthweight (grams)]]/Table1[[#This Row],[BW_GA]])-1)/(Backend!$B$4/100*Table1[[#This Row],[BW40_3705]]),"")</f>
        <v/>
      </c>
      <c r="H7523" s="7" t="str">
        <f>IF(Table1[[#This Row],[Is Data Valid]]=TRUE,((Table1[[#This Row],[Birthweight (grams)]]*0.9/Table1[[#This Row],[BW_GA]])-1)/(Backend!$B$4/100*Table1[[#This Row],[BW40_3705]]),"")</f>
        <v/>
      </c>
      <c r="I7523" s="7" t="str">
        <f>IF(Table1[[#This Row],[Is Data Valid]]=TRUE,((Table1[[#This Row],[Birthweight (grams)]]*1.1/Table1[[#This Row],[BW_GA]])-1)/(Backend!$B$4/100*Table1[[#This Row],[BW40_3705]]),"")</f>
        <v/>
      </c>
      <c r="J7523" s="7" t="str">
        <f>IF(Table1[[#This Row],[Is Data Valid]]=TRUE,_xlfn.NORM.S.DIST(Table1[[#This Row],[Birthweight Z-Score]],TRUE)*100,"")</f>
        <v/>
      </c>
      <c r="K7523" s="7" t="str">
        <f>IF(Table1[[#This Row],[Is Data Valid]]=TRUE,_xlfn.NORM.S.DIST(Table1[[#This Row],[Birthweight Z-Score (BW-10%)]],TRUE)*100,"")</f>
        <v/>
      </c>
      <c r="L7523" s="7" t="str">
        <f>IF(Table1[[#This Row],[Is Data Valid]]=TRUE,_xlfn.NORM.S.DIST(Table1[[#This Row],[Birthweight Z-Score (BW+10%)]],TRUE)*100,"")</f>
        <v/>
      </c>
    </row>
    <row r="7524" spans="1:12" x14ac:dyDescent="0.35">
      <c r="A7524" s="3"/>
      <c r="B7524" s="2"/>
      <c r="C7524" s="2"/>
      <c r="D7524" s="2" t="b">
        <f>IF(AND(NOT(ISBLANK(Table1[[#This Row],[Fetal Sex (Male, Female or Unknown)]])),ISNUMBER(Table1[[#This Row],[Birthweight (grams)]]),ISNUMBER(Table1[[#This Row],[Gestation (days)]])),TRUE,FALSE)</f>
        <v>0</v>
      </c>
      <c r="E7524" s="2" t="str">
        <f>IF(Table1[[#This Row],[Is Data Valid]]=TRUE,IF(Table1[[#This Row],[Fetal Sex (Male, Female or Unknown)]]="Male",Backend!$C$6,IF(Table1[[#This Row],[Fetal Sex (Male, Female or Unknown)]]="Female",Backend!$C$7,IF(Table1[[#This Row],[Fetal Sex (Male, Female or Unknown)]]="Unknown",Backend!$C$8,"Error"))),"")</f>
        <v/>
      </c>
      <c r="F7524" s="8" t="str">
        <f>IF(Table1[[#This Row],[Is Data Valid]]=TRUE,EXP(0.578+0.332*((Table1[[#This Row],[Gestation (days)]]+0.5)/7)-0.00354*((Table1[[#This Row],[Gestation (days)]]+0.5)/7)^2)*Table1[[#This Row],[BW40_3705]],"")</f>
        <v/>
      </c>
      <c r="G7524" s="2" t="str">
        <f>IF(Table1[[#This Row],[Is Data Valid]]=TRUE,((Table1[[#This Row],[Birthweight (grams)]]/Table1[[#This Row],[BW_GA]])-1)/(Backend!$B$4/100*Table1[[#This Row],[BW40_3705]]),"")</f>
        <v/>
      </c>
      <c r="H7524" s="7" t="str">
        <f>IF(Table1[[#This Row],[Is Data Valid]]=TRUE,((Table1[[#This Row],[Birthweight (grams)]]*0.9/Table1[[#This Row],[BW_GA]])-1)/(Backend!$B$4/100*Table1[[#This Row],[BW40_3705]]),"")</f>
        <v/>
      </c>
      <c r="I7524" s="7" t="str">
        <f>IF(Table1[[#This Row],[Is Data Valid]]=TRUE,((Table1[[#This Row],[Birthweight (grams)]]*1.1/Table1[[#This Row],[BW_GA]])-1)/(Backend!$B$4/100*Table1[[#This Row],[BW40_3705]]),"")</f>
        <v/>
      </c>
      <c r="J7524" s="7" t="str">
        <f>IF(Table1[[#This Row],[Is Data Valid]]=TRUE,_xlfn.NORM.S.DIST(Table1[[#This Row],[Birthweight Z-Score]],TRUE)*100,"")</f>
        <v/>
      </c>
      <c r="K7524" s="7" t="str">
        <f>IF(Table1[[#This Row],[Is Data Valid]]=TRUE,_xlfn.NORM.S.DIST(Table1[[#This Row],[Birthweight Z-Score (BW-10%)]],TRUE)*100,"")</f>
        <v/>
      </c>
      <c r="L7524" s="7" t="str">
        <f>IF(Table1[[#This Row],[Is Data Valid]]=TRUE,_xlfn.NORM.S.DIST(Table1[[#This Row],[Birthweight Z-Score (BW+10%)]],TRUE)*100,"")</f>
        <v/>
      </c>
    </row>
    <row r="7525" spans="1:12" x14ac:dyDescent="0.35">
      <c r="A7525" s="3"/>
      <c r="B7525" s="2"/>
      <c r="C7525" s="2"/>
      <c r="D7525" s="2" t="b">
        <f>IF(AND(NOT(ISBLANK(Table1[[#This Row],[Fetal Sex (Male, Female or Unknown)]])),ISNUMBER(Table1[[#This Row],[Birthweight (grams)]]),ISNUMBER(Table1[[#This Row],[Gestation (days)]])),TRUE,FALSE)</f>
        <v>0</v>
      </c>
      <c r="E7525" s="2" t="str">
        <f>IF(Table1[[#This Row],[Is Data Valid]]=TRUE,IF(Table1[[#This Row],[Fetal Sex (Male, Female or Unknown)]]="Male",Backend!$C$6,IF(Table1[[#This Row],[Fetal Sex (Male, Female or Unknown)]]="Female",Backend!$C$7,IF(Table1[[#This Row],[Fetal Sex (Male, Female or Unknown)]]="Unknown",Backend!$C$8,"Error"))),"")</f>
        <v/>
      </c>
      <c r="F7525" s="8" t="str">
        <f>IF(Table1[[#This Row],[Is Data Valid]]=TRUE,EXP(0.578+0.332*((Table1[[#This Row],[Gestation (days)]]+0.5)/7)-0.00354*((Table1[[#This Row],[Gestation (days)]]+0.5)/7)^2)*Table1[[#This Row],[BW40_3705]],"")</f>
        <v/>
      </c>
      <c r="G7525" s="2" t="str">
        <f>IF(Table1[[#This Row],[Is Data Valid]]=TRUE,((Table1[[#This Row],[Birthweight (grams)]]/Table1[[#This Row],[BW_GA]])-1)/(Backend!$B$4/100*Table1[[#This Row],[BW40_3705]]),"")</f>
        <v/>
      </c>
      <c r="H7525" s="7" t="str">
        <f>IF(Table1[[#This Row],[Is Data Valid]]=TRUE,((Table1[[#This Row],[Birthweight (grams)]]*0.9/Table1[[#This Row],[BW_GA]])-1)/(Backend!$B$4/100*Table1[[#This Row],[BW40_3705]]),"")</f>
        <v/>
      </c>
      <c r="I7525" s="7" t="str">
        <f>IF(Table1[[#This Row],[Is Data Valid]]=TRUE,((Table1[[#This Row],[Birthweight (grams)]]*1.1/Table1[[#This Row],[BW_GA]])-1)/(Backend!$B$4/100*Table1[[#This Row],[BW40_3705]]),"")</f>
        <v/>
      </c>
      <c r="J7525" s="7" t="str">
        <f>IF(Table1[[#This Row],[Is Data Valid]]=TRUE,_xlfn.NORM.S.DIST(Table1[[#This Row],[Birthweight Z-Score]],TRUE)*100,"")</f>
        <v/>
      </c>
      <c r="K7525" s="7" t="str">
        <f>IF(Table1[[#This Row],[Is Data Valid]]=TRUE,_xlfn.NORM.S.DIST(Table1[[#This Row],[Birthweight Z-Score (BW-10%)]],TRUE)*100,"")</f>
        <v/>
      </c>
      <c r="L7525" s="7" t="str">
        <f>IF(Table1[[#This Row],[Is Data Valid]]=TRUE,_xlfn.NORM.S.DIST(Table1[[#This Row],[Birthweight Z-Score (BW+10%)]],TRUE)*100,"")</f>
        <v/>
      </c>
    </row>
    <row r="7526" spans="1:12" x14ac:dyDescent="0.35">
      <c r="A7526" s="3"/>
      <c r="B7526" s="2"/>
      <c r="C7526" s="2"/>
      <c r="D7526" s="2" t="b">
        <f>IF(AND(NOT(ISBLANK(Table1[[#This Row],[Fetal Sex (Male, Female or Unknown)]])),ISNUMBER(Table1[[#This Row],[Birthweight (grams)]]),ISNUMBER(Table1[[#This Row],[Gestation (days)]])),TRUE,FALSE)</f>
        <v>0</v>
      </c>
      <c r="E7526" s="2" t="str">
        <f>IF(Table1[[#This Row],[Is Data Valid]]=TRUE,IF(Table1[[#This Row],[Fetal Sex (Male, Female or Unknown)]]="Male",Backend!$C$6,IF(Table1[[#This Row],[Fetal Sex (Male, Female or Unknown)]]="Female",Backend!$C$7,IF(Table1[[#This Row],[Fetal Sex (Male, Female or Unknown)]]="Unknown",Backend!$C$8,"Error"))),"")</f>
        <v/>
      </c>
      <c r="F7526" s="8" t="str">
        <f>IF(Table1[[#This Row],[Is Data Valid]]=TRUE,EXP(0.578+0.332*((Table1[[#This Row],[Gestation (days)]]+0.5)/7)-0.00354*((Table1[[#This Row],[Gestation (days)]]+0.5)/7)^2)*Table1[[#This Row],[BW40_3705]],"")</f>
        <v/>
      </c>
      <c r="G7526" s="2" t="str">
        <f>IF(Table1[[#This Row],[Is Data Valid]]=TRUE,((Table1[[#This Row],[Birthweight (grams)]]/Table1[[#This Row],[BW_GA]])-1)/(Backend!$B$4/100*Table1[[#This Row],[BW40_3705]]),"")</f>
        <v/>
      </c>
      <c r="H7526" s="7" t="str">
        <f>IF(Table1[[#This Row],[Is Data Valid]]=TRUE,((Table1[[#This Row],[Birthweight (grams)]]*0.9/Table1[[#This Row],[BW_GA]])-1)/(Backend!$B$4/100*Table1[[#This Row],[BW40_3705]]),"")</f>
        <v/>
      </c>
      <c r="I7526" s="7" t="str">
        <f>IF(Table1[[#This Row],[Is Data Valid]]=TRUE,((Table1[[#This Row],[Birthweight (grams)]]*1.1/Table1[[#This Row],[BW_GA]])-1)/(Backend!$B$4/100*Table1[[#This Row],[BW40_3705]]),"")</f>
        <v/>
      </c>
      <c r="J7526" s="7" t="str">
        <f>IF(Table1[[#This Row],[Is Data Valid]]=TRUE,_xlfn.NORM.S.DIST(Table1[[#This Row],[Birthweight Z-Score]],TRUE)*100,"")</f>
        <v/>
      </c>
      <c r="K7526" s="7" t="str">
        <f>IF(Table1[[#This Row],[Is Data Valid]]=TRUE,_xlfn.NORM.S.DIST(Table1[[#This Row],[Birthweight Z-Score (BW-10%)]],TRUE)*100,"")</f>
        <v/>
      </c>
      <c r="L7526" s="7" t="str">
        <f>IF(Table1[[#This Row],[Is Data Valid]]=TRUE,_xlfn.NORM.S.DIST(Table1[[#This Row],[Birthweight Z-Score (BW+10%)]],TRUE)*100,"")</f>
        <v/>
      </c>
    </row>
    <row r="7527" spans="1:12" x14ac:dyDescent="0.35">
      <c r="A7527" s="3"/>
      <c r="B7527" s="2"/>
      <c r="C7527" s="2"/>
      <c r="D7527" s="2" t="b">
        <f>IF(AND(NOT(ISBLANK(Table1[[#This Row],[Fetal Sex (Male, Female or Unknown)]])),ISNUMBER(Table1[[#This Row],[Birthweight (grams)]]),ISNUMBER(Table1[[#This Row],[Gestation (days)]])),TRUE,FALSE)</f>
        <v>0</v>
      </c>
      <c r="E7527" s="2" t="str">
        <f>IF(Table1[[#This Row],[Is Data Valid]]=TRUE,IF(Table1[[#This Row],[Fetal Sex (Male, Female or Unknown)]]="Male",Backend!$C$6,IF(Table1[[#This Row],[Fetal Sex (Male, Female or Unknown)]]="Female",Backend!$C$7,IF(Table1[[#This Row],[Fetal Sex (Male, Female or Unknown)]]="Unknown",Backend!$C$8,"Error"))),"")</f>
        <v/>
      </c>
      <c r="F7527" s="8" t="str">
        <f>IF(Table1[[#This Row],[Is Data Valid]]=TRUE,EXP(0.578+0.332*((Table1[[#This Row],[Gestation (days)]]+0.5)/7)-0.00354*((Table1[[#This Row],[Gestation (days)]]+0.5)/7)^2)*Table1[[#This Row],[BW40_3705]],"")</f>
        <v/>
      </c>
      <c r="G7527" s="2" t="str">
        <f>IF(Table1[[#This Row],[Is Data Valid]]=TRUE,((Table1[[#This Row],[Birthweight (grams)]]/Table1[[#This Row],[BW_GA]])-1)/(Backend!$B$4/100*Table1[[#This Row],[BW40_3705]]),"")</f>
        <v/>
      </c>
      <c r="H7527" s="7" t="str">
        <f>IF(Table1[[#This Row],[Is Data Valid]]=TRUE,((Table1[[#This Row],[Birthweight (grams)]]*0.9/Table1[[#This Row],[BW_GA]])-1)/(Backend!$B$4/100*Table1[[#This Row],[BW40_3705]]),"")</f>
        <v/>
      </c>
      <c r="I7527" s="7" t="str">
        <f>IF(Table1[[#This Row],[Is Data Valid]]=TRUE,((Table1[[#This Row],[Birthweight (grams)]]*1.1/Table1[[#This Row],[BW_GA]])-1)/(Backend!$B$4/100*Table1[[#This Row],[BW40_3705]]),"")</f>
        <v/>
      </c>
      <c r="J7527" s="7" t="str">
        <f>IF(Table1[[#This Row],[Is Data Valid]]=TRUE,_xlfn.NORM.S.DIST(Table1[[#This Row],[Birthweight Z-Score]],TRUE)*100,"")</f>
        <v/>
      </c>
      <c r="K7527" s="7" t="str">
        <f>IF(Table1[[#This Row],[Is Data Valid]]=TRUE,_xlfn.NORM.S.DIST(Table1[[#This Row],[Birthweight Z-Score (BW-10%)]],TRUE)*100,"")</f>
        <v/>
      </c>
      <c r="L7527" s="7" t="str">
        <f>IF(Table1[[#This Row],[Is Data Valid]]=TRUE,_xlfn.NORM.S.DIST(Table1[[#This Row],[Birthweight Z-Score (BW+10%)]],TRUE)*100,"")</f>
        <v/>
      </c>
    </row>
    <row r="7528" spans="1:12" x14ac:dyDescent="0.35">
      <c r="A7528" s="3"/>
      <c r="B7528" s="2"/>
      <c r="C7528" s="2"/>
      <c r="D7528" s="2" t="b">
        <f>IF(AND(NOT(ISBLANK(Table1[[#This Row],[Fetal Sex (Male, Female or Unknown)]])),ISNUMBER(Table1[[#This Row],[Birthweight (grams)]]),ISNUMBER(Table1[[#This Row],[Gestation (days)]])),TRUE,FALSE)</f>
        <v>0</v>
      </c>
      <c r="E7528" s="2" t="str">
        <f>IF(Table1[[#This Row],[Is Data Valid]]=TRUE,IF(Table1[[#This Row],[Fetal Sex (Male, Female or Unknown)]]="Male",Backend!$C$6,IF(Table1[[#This Row],[Fetal Sex (Male, Female or Unknown)]]="Female",Backend!$C$7,IF(Table1[[#This Row],[Fetal Sex (Male, Female or Unknown)]]="Unknown",Backend!$C$8,"Error"))),"")</f>
        <v/>
      </c>
      <c r="F7528" s="8" t="str">
        <f>IF(Table1[[#This Row],[Is Data Valid]]=TRUE,EXP(0.578+0.332*((Table1[[#This Row],[Gestation (days)]]+0.5)/7)-0.00354*((Table1[[#This Row],[Gestation (days)]]+0.5)/7)^2)*Table1[[#This Row],[BW40_3705]],"")</f>
        <v/>
      </c>
      <c r="G7528" s="2" t="str">
        <f>IF(Table1[[#This Row],[Is Data Valid]]=TRUE,((Table1[[#This Row],[Birthweight (grams)]]/Table1[[#This Row],[BW_GA]])-1)/(Backend!$B$4/100*Table1[[#This Row],[BW40_3705]]),"")</f>
        <v/>
      </c>
      <c r="H7528" s="7" t="str">
        <f>IF(Table1[[#This Row],[Is Data Valid]]=TRUE,((Table1[[#This Row],[Birthweight (grams)]]*0.9/Table1[[#This Row],[BW_GA]])-1)/(Backend!$B$4/100*Table1[[#This Row],[BW40_3705]]),"")</f>
        <v/>
      </c>
      <c r="I7528" s="7" t="str">
        <f>IF(Table1[[#This Row],[Is Data Valid]]=TRUE,((Table1[[#This Row],[Birthweight (grams)]]*1.1/Table1[[#This Row],[BW_GA]])-1)/(Backend!$B$4/100*Table1[[#This Row],[BW40_3705]]),"")</f>
        <v/>
      </c>
      <c r="J7528" s="7" t="str">
        <f>IF(Table1[[#This Row],[Is Data Valid]]=TRUE,_xlfn.NORM.S.DIST(Table1[[#This Row],[Birthweight Z-Score]],TRUE)*100,"")</f>
        <v/>
      </c>
      <c r="K7528" s="7" t="str">
        <f>IF(Table1[[#This Row],[Is Data Valid]]=TRUE,_xlfn.NORM.S.DIST(Table1[[#This Row],[Birthweight Z-Score (BW-10%)]],TRUE)*100,"")</f>
        <v/>
      </c>
      <c r="L7528" s="7" t="str">
        <f>IF(Table1[[#This Row],[Is Data Valid]]=TRUE,_xlfn.NORM.S.DIST(Table1[[#This Row],[Birthweight Z-Score (BW+10%)]],TRUE)*100,"")</f>
        <v/>
      </c>
    </row>
    <row r="7529" spans="1:12" x14ac:dyDescent="0.35">
      <c r="A7529" s="3"/>
      <c r="B7529" s="2"/>
      <c r="C7529" s="2"/>
      <c r="D7529" s="2" t="b">
        <f>IF(AND(NOT(ISBLANK(Table1[[#This Row],[Fetal Sex (Male, Female or Unknown)]])),ISNUMBER(Table1[[#This Row],[Birthweight (grams)]]),ISNUMBER(Table1[[#This Row],[Gestation (days)]])),TRUE,FALSE)</f>
        <v>0</v>
      </c>
      <c r="E7529" s="2" t="str">
        <f>IF(Table1[[#This Row],[Is Data Valid]]=TRUE,IF(Table1[[#This Row],[Fetal Sex (Male, Female or Unknown)]]="Male",Backend!$C$6,IF(Table1[[#This Row],[Fetal Sex (Male, Female or Unknown)]]="Female",Backend!$C$7,IF(Table1[[#This Row],[Fetal Sex (Male, Female or Unknown)]]="Unknown",Backend!$C$8,"Error"))),"")</f>
        <v/>
      </c>
      <c r="F7529" s="8" t="str">
        <f>IF(Table1[[#This Row],[Is Data Valid]]=TRUE,EXP(0.578+0.332*((Table1[[#This Row],[Gestation (days)]]+0.5)/7)-0.00354*((Table1[[#This Row],[Gestation (days)]]+0.5)/7)^2)*Table1[[#This Row],[BW40_3705]],"")</f>
        <v/>
      </c>
      <c r="G7529" s="2" t="str">
        <f>IF(Table1[[#This Row],[Is Data Valid]]=TRUE,((Table1[[#This Row],[Birthweight (grams)]]/Table1[[#This Row],[BW_GA]])-1)/(Backend!$B$4/100*Table1[[#This Row],[BW40_3705]]),"")</f>
        <v/>
      </c>
      <c r="H7529" s="7" t="str">
        <f>IF(Table1[[#This Row],[Is Data Valid]]=TRUE,((Table1[[#This Row],[Birthweight (grams)]]*0.9/Table1[[#This Row],[BW_GA]])-1)/(Backend!$B$4/100*Table1[[#This Row],[BW40_3705]]),"")</f>
        <v/>
      </c>
      <c r="I7529" s="7" t="str">
        <f>IF(Table1[[#This Row],[Is Data Valid]]=TRUE,((Table1[[#This Row],[Birthweight (grams)]]*1.1/Table1[[#This Row],[BW_GA]])-1)/(Backend!$B$4/100*Table1[[#This Row],[BW40_3705]]),"")</f>
        <v/>
      </c>
      <c r="J7529" s="7" t="str">
        <f>IF(Table1[[#This Row],[Is Data Valid]]=TRUE,_xlfn.NORM.S.DIST(Table1[[#This Row],[Birthweight Z-Score]],TRUE)*100,"")</f>
        <v/>
      </c>
      <c r="K7529" s="7" t="str">
        <f>IF(Table1[[#This Row],[Is Data Valid]]=TRUE,_xlfn.NORM.S.DIST(Table1[[#This Row],[Birthweight Z-Score (BW-10%)]],TRUE)*100,"")</f>
        <v/>
      </c>
      <c r="L7529" s="7" t="str">
        <f>IF(Table1[[#This Row],[Is Data Valid]]=TRUE,_xlfn.NORM.S.DIST(Table1[[#This Row],[Birthweight Z-Score (BW+10%)]],TRUE)*100,"")</f>
        <v/>
      </c>
    </row>
    <row r="7530" spans="1:12" x14ac:dyDescent="0.35">
      <c r="A7530" s="3"/>
      <c r="B7530" s="2"/>
      <c r="C7530" s="2"/>
      <c r="D7530" s="2" t="b">
        <f>IF(AND(NOT(ISBLANK(Table1[[#This Row],[Fetal Sex (Male, Female or Unknown)]])),ISNUMBER(Table1[[#This Row],[Birthweight (grams)]]),ISNUMBER(Table1[[#This Row],[Gestation (days)]])),TRUE,FALSE)</f>
        <v>0</v>
      </c>
      <c r="E7530" s="2" t="str">
        <f>IF(Table1[[#This Row],[Is Data Valid]]=TRUE,IF(Table1[[#This Row],[Fetal Sex (Male, Female or Unknown)]]="Male",Backend!$C$6,IF(Table1[[#This Row],[Fetal Sex (Male, Female or Unknown)]]="Female",Backend!$C$7,IF(Table1[[#This Row],[Fetal Sex (Male, Female or Unknown)]]="Unknown",Backend!$C$8,"Error"))),"")</f>
        <v/>
      </c>
      <c r="F7530" s="8" t="str">
        <f>IF(Table1[[#This Row],[Is Data Valid]]=TRUE,EXP(0.578+0.332*((Table1[[#This Row],[Gestation (days)]]+0.5)/7)-0.00354*((Table1[[#This Row],[Gestation (days)]]+0.5)/7)^2)*Table1[[#This Row],[BW40_3705]],"")</f>
        <v/>
      </c>
      <c r="G7530" s="2" t="str">
        <f>IF(Table1[[#This Row],[Is Data Valid]]=TRUE,((Table1[[#This Row],[Birthweight (grams)]]/Table1[[#This Row],[BW_GA]])-1)/(Backend!$B$4/100*Table1[[#This Row],[BW40_3705]]),"")</f>
        <v/>
      </c>
      <c r="H7530" s="7" t="str">
        <f>IF(Table1[[#This Row],[Is Data Valid]]=TRUE,((Table1[[#This Row],[Birthweight (grams)]]*0.9/Table1[[#This Row],[BW_GA]])-1)/(Backend!$B$4/100*Table1[[#This Row],[BW40_3705]]),"")</f>
        <v/>
      </c>
      <c r="I7530" s="7" t="str">
        <f>IF(Table1[[#This Row],[Is Data Valid]]=TRUE,((Table1[[#This Row],[Birthweight (grams)]]*1.1/Table1[[#This Row],[BW_GA]])-1)/(Backend!$B$4/100*Table1[[#This Row],[BW40_3705]]),"")</f>
        <v/>
      </c>
      <c r="J7530" s="7" t="str">
        <f>IF(Table1[[#This Row],[Is Data Valid]]=TRUE,_xlfn.NORM.S.DIST(Table1[[#This Row],[Birthweight Z-Score]],TRUE)*100,"")</f>
        <v/>
      </c>
      <c r="K7530" s="7" t="str">
        <f>IF(Table1[[#This Row],[Is Data Valid]]=TRUE,_xlfn.NORM.S.DIST(Table1[[#This Row],[Birthweight Z-Score (BW-10%)]],TRUE)*100,"")</f>
        <v/>
      </c>
      <c r="L7530" s="7" t="str">
        <f>IF(Table1[[#This Row],[Is Data Valid]]=TRUE,_xlfn.NORM.S.DIST(Table1[[#This Row],[Birthweight Z-Score (BW+10%)]],TRUE)*100,"")</f>
        <v/>
      </c>
    </row>
    <row r="7531" spans="1:12" x14ac:dyDescent="0.35">
      <c r="A7531" s="3"/>
      <c r="B7531" s="2"/>
      <c r="C7531" s="2"/>
      <c r="D7531" s="2" t="b">
        <f>IF(AND(NOT(ISBLANK(Table1[[#This Row],[Fetal Sex (Male, Female or Unknown)]])),ISNUMBER(Table1[[#This Row],[Birthweight (grams)]]),ISNUMBER(Table1[[#This Row],[Gestation (days)]])),TRUE,FALSE)</f>
        <v>0</v>
      </c>
      <c r="E7531" s="2" t="str">
        <f>IF(Table1[[#This Row],[Is Data Valid]]=TRUE,IF(Table1[[#This Row],[Fetal Sex (Male, Female or Unknown)]]="Male",Backend!$C$6,IF(Table1[[#This Row],[Fetal Sex (Male, Female or Unknown)]]="Female",Backend!$C$7,IF(Table1[[#This Row],[Fetal Sex (Male, Female or Unknown)]]="Unknown",Backend!$C$8,"Error"))),"")</f>
        <v/>
      </c>
      <c r="F7531" s="8" t="str">
        <f>IF(Table1[[#This Row],[Is Data Valid]]=TRUE,EXP(0.578+0.332*((Table1[[#This Row],[Gestation (days)]]+0.5)/7)-0.00354*((Table1[[#This Row],[Gestation (days)]]+0.5)/7)^2)*Table1[[#This Row],[BW40_3705]],"")</f>
        <v/>
      </c>
      <c r="G7531" s="2" t="str">
        <f>IF(Table1[[#This Row],[Is Data Valid]]=TRUE,((Table1[[#This Row],[Birthweight (grams)]]/Table1[[#This Row],[BW_GA]])-1)/(Backend!$B$4/100*Table1[[#This Row],[BW40_3705]]),"")</f>
        <v/>
      </c>
      <c r="H7531" s="7" t="str">
        <f>IF(Table1[[#This Row],[Is Data Valid]]=TRUE,((Table1[[#This Row],[Birthweight (grams)]]*0.9/Table1[[#This Row],[BW_GA]])-1)/(Backend!$B$4/100*Table1[[#This Row],[BW40_3705]]),"")</f>
        <v/>
      </c>
      <c r="I7531" s="7" t="str">
        <f>IF(Table1[[#This Row],[Is Data Valid]]=TRUE,((Table1[[#This Row],[Birthweight (grams)]]*1.1/Table1[[#This Row],[BW_GA]])-1)/(Backend!$B$4/100*Table1[[#This Row],[BW40_3705]]),"")</f>
        <v/>
      </c>
      <c r="J7531" s="7" t="str">
        <f>IF(Table1[[#This Row],[Is Data Valid]]=TRUE,_xlfn.NORM.S.DIST(Table1[[#This Row],[Birthweight Z-Score]],TRUE)*100,"")</f>
        <v/>
      </c>
      <c r="K7531" s="7" t="str">
        <f>IF(Table1[[#This Row],[Is Data Valid]]=TRUE,_xlfn.NORM.S.DIST(Table1[[#This Row],[Birthweight Z-Score (BW-10%)]],TRUE)*100,"")</f>
        <v/>
      </c>
      <c r="L7531" s="7" t="str">
        <f>IF(Table1[[#This Row],[Is Data Valid]]=TRUE,_xlfn.NORM.S.DIST(Table1[[#This Row],[Birthweight Z-Score (BW+10%)]],TRUE)*100,"")</f>
        <v/>
      </c>
    </row>
    <row r="7532" spans="1:12" x14ac:dyDescent="0.35">
      <c r="A7532" s="3"/>
      <c r="B7532" s="2"/>
      <c r="C7532" s="2"/>
      <c r="D7532" s="2" t="b">
        <f>IF(AND(NOT(ISBLANK(Table1[[#This Row],[Fetal Sex (Male, Female or Unknown)]])),ISNUMBER(Table1[[#This Row],[Birthweight (grams)]]),ISNUMBER(Table1[[#This Row],[Gestation (days)]])),TRUE,FALSE)</f>
        <v>0</v>
      </c>
      <c r="E7532" s="2" t="str">
        <f>IF(Table1[[#This Row],[Is Data Valid]]=TRUE,IF(Table1[[#This Row],[Fetal Sex (Male, Female or Unknown)]]="Male",Backend!$C$6,IF(Table1[[#This Row],[Fetal Sex (Male, Female or Unknown)]]="Female",Backend!$C$7,IF(Table1[[#This Row],[Fetal Sex (Male, Female or Unknown)]]="Unknown",Backend!$C$8,"Error"))),"")</f>
        <v/>
      </c>
      <c r="F7532" s="8" t="str">
        <f>IF(Table1[[#This Row],[Is Data Valid]]=TRUE,EXP(0.578+0.332*((Table1[[#This Row],[Gestation (days)]]+0.5)/7)-0.00354*((Table1[[#This Row],[Gestation (days)]]+0.5)/7)^2)*Table1[[#This Row],[BW40_3705]],"")</f>
        <v/>
      </c>
      <c r="G7532" s="2" t="str">
        <f>IF(Table1[[#This Row],[Is Data Valid]]=TRUE,((Table1[[#This Row],[Birthweight (grams)]]/Table1[[#This Row],[BW_GA]])-1)/(Backend!$B$4/100*Table1[[#This Row],[BW40_3705]]),"")</f>
        <v/>
      </c>
      <c r="H7532" s="7" t="str">
        <f>IF(Table1[[#This Row],[Is Data Valid]]=TRUE,((Table1[[#This Row],[Birthweight (grams)]]*0.9/Table1[[#This Row],[BW_GA]])-1)/(Backend!$B$4/100*Table1[[#This Row],[BW40_3705]]),"")</f>
        <v/>
      </c>
      <c r="I7532" s="7" t="str">
        <f>IF(Table1[[#This Row],[Is Data Valid]]=TRUE,((Table1[[#This Row],[Birthweight (grams)]]*1.1/Table1[[#This Row],[BW_GA]])-1)/(Backend!$B$4/100*Table1[[#This Row],[BW40_3705]]),"")</f>
        <v/>
      </c>
      <c r="J7532" s="7" t="str">
        <f>IF(Table1[[#This Row],[Is Data Valid]]=TRUE,_xlfn.NORM.S.DIST(Table1[[#This Row],[Birthweight Z-Score]],TRUE)*100,"")</f>
        <v/>
      </c>
      <c r="K7532" s="7" t="str">
        <f>IF(Table1[[#This Row],[Is Data Valid]]=TRUE,_xlfn.NORM.S.DIST(Table1[[#This Row],[Birthweight Z-Score (BW-10%)]],TRUE)*100,"")</f>
        <v/>
      </c>
      <c r="L7532" s="7" t="str">
        <f>IF(Table1[[#This Row],[Is Data Valid]]=TRUE,_xlfn.NORM.S.DIST(Table1[[#This Row],[Birthweight Z-Score (BW+10%)]],TRUE)*100,"")</f>
        <v/>
      </c>
    </row>
    <row r="7533" spans="1:12" x14ac:dyDescent="0.35">
      <c r="A7533" s="3"/>
      <c r="B7533" s="2"/>
      <c r="C7533" s="2"/>
      <c r="D7533" s="2" t="b">
        <f>IF(AND(NOT(ISBLANK(Table1[[#This Row],[Fetal Sex (Male, Female or Unknown)]])),ISNUMBER(Table1[[#This Row],[Birthweight (grams)]]),ISNUMBER(Table1[[#This Row],[Gestation (days)]])),TRUE,FALSE)</f>
        <v>0</v>
      </c>
      <c r="E7533" s="2" t="str">
        <f>IF(Table1[[#This Row],[Is Data Valid]]=TRUE,IF(Table1[[#This Row],[Fetal Sex (Male, Female or Unknown)]]="Male",Backend!$C$6,IF(Table1[[#This Row],[Fetal Sex (Male, Female or Unknown)]]="Female",Backend!$C$7,IF(Table1[[#This Row],[Fetal Sex (Male, Female or Unknown)]]="Unknown",Backend!$C$8,"Error"))),"")</f>
        <v/>
      </c>
      <c r="F7533" s="8" t="str">
        <f>IF(Table1[[#This Row],[Is Data Valid]]=TRUE,EXP(0.578+0.332*((Table1[[#This Row],[Gestation (days)]]+0.5)/7)-0.00354*((Table1[[#This Row],[Gestation (days)]]+0.5)/7)^2)*Table1[[#This Row],[BW40_3705]],"")</f>
        <v/>
      </c>
      <c r="G7533" s="2" t="str">
        <f>IF(Table1[[#This Row],[Is Data Valid]]=TRUE,((Table1[[#This Row],[Birthweight (grams)]]/Table1[[#This Row],[BW_GA]])-1)/(Backend!$B$4/100*Table1[[#This Row],[BW40_3705]]),"")</f>
        <v/>
      </c>
      <c r="H7533" s="7" t="str">
        <f>IF(Table1[[#This Row],[Is Data Valid]]=TRUE,((Table1[[#This Row],[Birthweight (grams)]]*0.9/Table1[[#This Row],[BW_GA]])-1)/(Backend!$B$4/100*Table1[[#This Row],[BW40_3705]]),"")</f>
        <v/>
      </c>
      <c r="I7533" s="7" t="str">
        <f>IF(Table1[[#This Row],[Is Data Valid]]=TRUE,((Table1[[#This Row],[Birthweight (grams)]]*1.1/Table1[[#This Row],[BW_GA]])-1)/(Backend!$B$4/100*Table1[[#This Row],[BW40_3705]]),"")</f>
        <v/>
      </c>
      <c r="J7533" s="7" t="str">
        <f>IF(Table1[[#This Row],[Is Data Valid]]=TRUE,_xlfn.NORM.S.DIST(Table1[[#This Row],[Birthweight Z-Score]],TRUE)*100,"")</f>
        <v/>
      </c>
      <c r="K7533" s="7" t="str">
        <f>IF(Table1[[#This Row],[Is Data Valid]]=TRUE,_xlfn.NORM.S.DIST(Table1[[#This Row],[Birthweight Z-Score (BW-10%)]],TRUE)*100,"")</f>
        <v/>
      </c>
      <c r="L7533" s="7" t="str">
        <f>IF(Table1[[#This Row],[Is Data Valid]]=TRUE,_xlfn.NORM.S.DIST(Table1[[#This Row],[Birthweight Z-Score (BW+10%)]],TRUE)*100,"")</f>
        <v/>
      </c>
    </row>
    <row r="7534" spans="1:12" x14ac:dyDescent="0.35">
      <c r="A7534" s="3"/>
      <c r="B7534" s="2"/>
      <c r="C7534" s="2"/>
      <c r="D7534" s="2" t="b">
        <f>IF(AND(NOT(ISBLANK(Table1[[#This Row],[Fetal Sex (Male, Female or Unknown)]])),ISNUMBER(Table1[[#This Row],[Birthweight (grams)]]),ISNUMBER(Table1[[#This Row],[Gestation (days)]])),TRUE,FALSE)</f>
        <v>0</v>
      </c>
      <c r="E7534" s="2" t="str">
        <f>IF(Table1[[#This Row],[Is Data Valid]]=TRUE,IF(Table1[[#This Row],[Fetal Sex (Male, Female or Unknown)]]="Male",Backend!$C$6,IF(Table1[[#This Row],[Fetal Sex (Male, Female or Unknown)]]="Female",Backend!$C$7,IF(Table1[[#This Row],[Fetal Sex (Male, Female or Unknown)]]="Unknown",Backend!$C$8,"Error"))),"")</f>
        <v/>
      </c>
      <c r="F7534" s="8" t="str">
        <f>IF(Table1[[#This Row],[Is Data Valid]]=TRUE,EXP(0.578+0.332*((Table1[[#This Row],[Gestation (days)]]+0.5)/7)-0.00354*((Table1[[#This Row],[Gestation (days)]]+0.5)/7)^2)*Table1[[#This Row],[BW40_3705]],"")</f>
        <v/>
      </c>
      <c r="G7534" s="2" t="str">
        <f>IF(Table1[[#This Row],[Is Data Valid]]=TRUE,((Table1[[#This Row],[Birthweight (grams)]]/Table1[[#This Row],[BW_GA]])-1)/(Backend!$B$4/100*Table1[[#This Row],[BW40_3705]]),"")</f>
        <v/>
      </c>
      <c r="H7534" s="7" t="str">
        <f>IF(Table1[[#This Row],[Is Data Valid]]=TRUE,((Table1[[#This Row],[Birthweight (grams)]]*0.9/Table1[[#This Row],[BW_GA]])-1)/(Backend!$B$4/100*Table1[[#This Row],[BW40_3705]]),"")</f>
        <v/>
      </c>
      <c r="I7534" s="7" t="str">
        <f>IF(Table1[[#This Row],[Is Data Valid]]=TRUE,((Table1[[#This Row],[Birthweight (grams)]]*1.1/Table1[[#This Row],[BW_GA]])-1)/(Backend!$B$4/100*Table1[[#This Row],[BW40_3705]]),"")</f>
        <v/>
      </c>
      <c r="J7534" s="7" t="str">
        <f>IF(Table1[[#This Row],[Is Data Valid]]=TRUE,_xlfn.NORM.S.DIST(Table1[[#This Row],[Birthweight Z-Score]],TRUE)*100,"")</f>
        <v/>
      </c>
      <c r="K7534" s="7" t="str">
        <f>IF(Table1[[#This Row],[Is Data Valid]]=TRUE,_xlfn.NORM.S.DIST(Table1[[#This Row],[Birthweight Z-Score (BW-10%)]],TRUE)*100,"")</f>
        <v/>
      </c>
      <c r="L7534" s="7" t="str">
        <f>IF(Table1[[#This Row],[Is Data Valid]]=TRUE,_xlfn.NORM.S.DIST(Table1[[#This Row],[Birthweight Z-Score (BW+10%)]],TRUE)*100,"")</f>
        <v/>
      </c>
    </row>
    <row r="7535" spans="1:12" x14ac:dyDescent="0.35">
      <c r="A7535" s="3"/>
      <c r="B7535" s="2"/>
      <c r="C7535" s="2"/>
      <c r="D7535" s="2" t="b">
        <f>IF(AND(NOT(ISBLANK(Table1[[#This Row],[Fetal Sex (Male, Female or Unknown)]])),ISNUMBER(Table1[[#This Row],[Birthweight (grams)]]),ISNUMBER(Table1[[#This Row],[Gestation (days)]])),TRUE,FALSE)</f>
        <v>0</v>
      </c>
      <c r="E7535" s="2" t="str">
        <f>IF(Table1[[#This Row],[Is Data Valid]]=TRUE,IF(Table1[[#This Row],[Fetal Sex (Male, Female or Unknown)]]="Male",Backend!$C$6,IF(Table1[[#This Row],[Fetal Sex (Male, Female or Unknown)]]="Female",Backend!$C$7,IF(Table1[[#This Row],[Fetal Sex (Male, Female or Unknown)]]="Unknown",Backend!$C$8,"Error"))),"")</f>
        <v/>
      </c>
      <c r="F7535" s="8" t="str">
        <f>IF(Table1[[#This Row],[Is Data Valid]]=TRUE,EXP(0.578+0.332*((Table1[[#This Row],[Gestation (days)]]+0.5)/7)-0.00354*((Table1[[#This Row],[Gestation (days)]]+0.5)/7)^2)*Table1[[#This Row],[BW40_3705]],"")</f>
        <v/>
      </c>
      <c r="G7535" s="2" t="str">
        <f>IF(Table1[[#This Row],[Is Data Valid]]=TRUE,((Table1[[#This Row],[Birthweight (grams)]]/Table1[[#This Row],[BW_GA]])-1)/(Backend!$B$4/100*Table1[[#This Row],[BW40_3705]]),"")</f>
        <v/>
      </c>
      <c r="H7535" s="7" t="str">
        <f>IF(Table1[[#This Row],[Is Data Valid]]=TRUE,((Table1[[#This Row],[Birthweight (grams)]]*0.9/Table1[[#This Row],[BW_GA]])-1)/(Backend!$B$4/100*Table1[[#This Row],[BW40_3705]]),"")</f>
        <v/>
      </c>
      <c r="I7535" s="7" t="str">
        <f>IF(Table1[[#This Row],[Is Data Valid]]=TRUE,((Table1[[#This Row],[Birthweight (grams)]]*1.1/Table1[[#This Row],[BW_GA]])-1)/(Backend!$B$4/100*Table1[[#This Row],[BW40_3705]]),"")</f>
        <v/>
      </c>
      <c r="J7535" s="7" t="str">
        <f>IF(Table1[[#This Row],[Is Data Valid]]=TRUE,_xlfn.NORM.S.DIST(Table1[[#This Row],[Birthweight Z-Score]],TRUE)*100,"")</f>
        <v/>
      </c>
      <c r="K7535" s="7" t="str">
        <f>IF(Table1[[#This Row],[Is Data Valid]]=TRUE,_xlfn.NORM.S.DIST(Table1[[#This Row],[Birthweight Z-Score (BW-10%)]],TRUE)*100,"")</f>
        <v/>
      </c>
      <c r="L7535" s="7" t="str">
        <f>IF(Table1[[#This Row],[Is Data Valid]]=TRUE,_xlfn.NORM.S.DIST(Table1[[#This Row],[Birthweight Z-Score (BW+10%)]],TRUE)*100,"")</f>
        <v/>
      </c>
    </row>
    <row r="7536" spans="1:12" x14ac:dyDescent="0.35">
      <c r="A7536" s="3"/>
      <c r="B7536" s="2"/>
      <c r="C7536" s="2"/>
      <c r="D7536" s="2" t="b">
        <f>IF(AND(NOT(ISBLANK(Table1[[#This Row],[Fetal Sex (Male, Female or Unknown)]])),ISNUMBER(Table1[[#This Row],[Birthweight (grams)]]),ISNUMBER(Table1[[#This Row],[Gestation (days)]])),TRUE,FALSE)</f>
        <v>0</v>
      </c>
      <c r="E7536" s="2" t="str">
        <f>IF(Table1[[#This Row],[Is Data Valid]]=TRUE,IF(Table1[[#This Row],[Fetal Sex (Male, Female or Unknown)]]="Male",Backend!$C$6,IF(Table1[[#This Row],[Fetal Sex (Male, Female or Unknown)]]="Female",Backend!$C$7,IF(Table1[[#This Row],[Fetal Sex (Male, Female or Unknown)]]="Unknown",Backend!$C$8,"Error"))),"")</f>
        <v/>
      </c>
      <c r="F7536" s="8" t="str">
        <f>IF(Table1[[#This Row],[Is Data Valid]]=TRUE,EXP(0.578+0.332*((Table1[[#This Row],[Gestation (days)]]+0.5)/7)-0.00354*((Table1[[#This Row],[Gestation (days)]]+0.5)/7)^2)*Table1[[#This Row],[BW40_3705]],"")</f>
        <v/>
      </c>
      <c r="G7536" s="2" t="str">
        <f>IF(Table1[[#This Row],[Is Data Valid]]=TRUE,((Table1[[#This Row],[Birthweight (grams)]]/Table1[[#This Row],[BW_GA]])-1)/(Backend!$B$4/100*Table1[[#This Row],[BW40_3705]]),"")</f>
        <v/>
      </c>
      <c r="H7536" s="7" t="str">
        <f>IF(Table1[[#This Row],[Is Data Valid]]=TRUE,((Table1[[#This Row],[Birthweight (grams)]]*0.9/Table1[[#This Row],[BW_GA]])-1)/(Backend!$B$4/100*Table1[[#This Row],[BW40_3705]]),"")</f>
        <v/>
      </c>
      <c r="I7536" s="7" t="str">
        <f>IF(Table1[[#This Row],[Is Data Valid]]=TRUE,((Table1[[#This Row],[Birthweight (grams)]]*1.1/Table1[[#This Row],[BW_GA]])-1)/(Backend!$B$4/100*Table1[[#This Row],[BW40_3705]]),"")</f>
        <v/>
      </c>
      <c r="J7536" s="7" t="str">
        <f>IF(Table1[[#This Row],[Is Data Valid]]=TRUE,_xlfn.NORM.S.DIST(Table1[[#This Row],[Birthweight Z-Score]],TRUE)*100,"")</f>
        <v/>
      </c>
      <c r="K7536" s="7" t="str">
        <f>IF(Table1[[#This Row],[Is Data Valid]]=TRUE,_xlfn.NORM.S.DIST(Table1[[#This Row],[Birthweight Z-Score (BW-10%)]],TRUE)*100,"")</f>
        <v/>
      </c>
      <c r="L7536" s="7" t="str">
        <f>IF(Table1[[#This Row],[Is Data Valid]]=TRUE,_xlfn.NORM.S.DIST(Table1[[#This Row],[Birthweight Z-Score (BW+10%)]],TRUE)*100,"")</f>
        <v/>
      </c>
    </row>
    <row r="7537" spans="1:12" x14ac:dyDescent="0.35">
      <c r="A7537" s="3"/>
      <c r="B7537" s="2"/>
      <c r="C7537" s="2"/>
      <c r="D7537" s="2" t="b">
        <f>IF(AND(NOT(ISBLANK(Table1[[#This Row],[Fetal Sex (Male, Female or Unknown)]])),ISNUMBER(Table1[[#This Row],[Birthweight (grams)]]),ISNUMBER(Table1[[#This Row],[Gestation (days)]])),TRUE,FALSE)</f>
        <v>0</v>
      </c>
      <c r="E7537" s="2" t="str">
        <f>IF(Table1[[#This Row],[Is Data Valid]]=TRUE,IF(Table1[[#This Row],[Fetal Sex (Male, Female or Unknown)]]="Male",Backend!$C$6,IF(Table1[[#This Row],[Fetal Sex (Male, Female or Unknown)]]="Female",Backend!$C$7,IF(Table1[[#This Row],[Fetal Sex (Male, Female or Unknown)]]="Unknown",Backend!$C$8,"Error"))),"")</f>
        <v/>
      </c>
      <c r="F7537" s="8" t="str">
        <f>IF(Table1[[#This Row],[Is Data Valid]]=TRUE,EXP(0.578+0.332*((Table1[[#This Row],[Gestation (days)]]+0.5)/7)-0.00354*((Table1[[#This Row],[Gestation (days)]]+0.5)/7)^2)*Table1[[#This Row],[BW40_3705]],"")</f>
        <v/>
      </c>
      <c r="G7537" s="2" t="str">
        <f>IF(Table1[[#This Row],[Is Data Valid]]=TRUE,((Table1[[#This Row],[Birthweight (grams)]]/Table1[[#This Row],[BW_GA]])-1)/(Backend!$B$4/100*Table1[[#This Row],[BW40_3705]]),"")</f>
        <v/>
      </c>
      <c r="H7537" s="7" t="str">
        <f>IF(Table1[[#This Row],[Is Data Valid]]=TRUE,((Table1[[#This Row],[Birthweight (grams)]]*0.9/Table1[[#This Row],[BW_GA]])-1)/(Backend!$B$4/100*Table1[[#This Row],[BW40_3705]]),"")</f>
        <v/>
      </c>
      <c r="I7537" s="7" t="str">
        <f>IF(Table1[[#This Row],[Is Data Valid]]=TRUE,((Table1[[#This Row],[Birthweight (grams)]]*1.1/Table1[[#This Row],[BW_GA]])-1)/(Backend!$B$4/100*Table1[[#This Row],[BW40_3705]]),"")</f>
        <v/>
      </c>
      <c r="J7537" s="7" t="str">
        <f>IF(Table1[[#This Row],[Is Data Valid]]=TRUE,_xlfn.NORM.S.DIST(Table1[[#This Row],[Birthweight Z-Score]],TRUE)*100,"")</f>
        <v/>
      </c>
      <c r="K7537" s="7" t="str">
        <f>IF(Table1[[#This Row],[Is Data Valid]]=TRUE,_xlfn.NORM.S.DIST(Table1[[#This Row],[Birthweight Z-Score (BW-10%)]],TRUE)*100,"")</f>
        <v/>
      </c>
      <c r="L7537" s="7" t="str">
        <f>IF(Table1[[#This Row],[Is Data Valid]]=TRUE,_xlfn.NORM.S.DIST(Table1[[#This Row],[Birthweight Z-Score (BW+10%)]],TRUE)*100,"")</f>
        <v/>
      </c>
    </row>
    <row r="7538" spans="1:12" x14ac:dyDescent="0.35">
      <c r="A7538" s="3"/>
      <c r="B7538" s="2"/>
      <c r="C7538" s="2"/>
      <c r="D7538" s="2" t="b">
        <f>IF(AND(NOT(ISBLANK(Table1[[#This Row],[Fetal Sex (Male, Female or Unknown)]])),ISNUMBER(Table1[[#This Row],[Birthweight (grams)]]),ISNUMBER(Table1[[#This Row],[Gestation (days)]])),TRUE,FALSE)</f>
        <v>0</v>
      </c>
      <c r="E7538" s="2" t="str">
        <f>IF(Table1[[#This Row],[Is Data Valid]]=TRUE,IF(Table1[[#This Row],[Fetal Sex (Male, Female or Unknown)]]="Male",Backend!$C$6,IF(Table1[[#This Row],[Fetal Sex (Male, Female or Unknown)]]="Female",Backend!$C$7,IF(Table1[[#This Row],[Fetal Sex (Male, Female or Unknown)]]="Unknown",Backend!$C$8,"Error"))),"")</f>
        <v/>
      </c>
      <c r="F7538" s="8" t="str">
        <f>IF(Table1[[#This Row],[Is Data Valid]]=TRUE,EXP(0.578+0.332*((Table1[[#This Row],[Gestation (days)]]+0.5)/7)-0.00354*((Table1[[#This Row],[Gestation (days)]]+0.5)/7)^2)*Table1[[#This Row],[BW40_3705]],"")</f>
        <v/>
      </c>
      <c r="G7538" s="2" t="str">
        <f>IF(Table1[[#This Row],[Is Data Valid]]=TRUE,((Table1[[#This Row],[Birthweight (grams)]]/Table1[[#This Row],[BW_GA]])-1)/(Backend!$B$4/100*Table1[[#This Row],[BW40_3705]]),"")</f>
        <v/>
      </c>
      <c r="H7538" s="7" t="str">
        <f>IF(Table1[[#This Row],[Is Data Valid]]=TRUE,((Table1[[#This Row],[Birthweight (grams)]]*0.9/Table1[[#This Row],[BW_GA]])-1)/(Backend!$B$4/100*Table1[[#This Row],[BW40_3705]]),"")</f>
        <v/>
      </c>
      <c r="I7538" s="7" t="str">
        <f>IF(Table1[[#This Row],[Is Data Valid]]=TRUE,((Table1[[#This Row],[Birthweight (grams)]]*1.1/Table1[[#This Row],[BW_GA]])-1)/(Backend!$B$4/100*Table1[[#This Row],[BW40_3705]]),"")</f>
        <v/>
      </c>
      <c r="J7538" s="7" t="str">
        <f>IF(Table1[[#This Row],[Is Data Valid]]=TRUE,_xlfn.NORM.S.DIST(Table1[[#This Row],[Birthweight Z-Score]],TRUE)*100,"")</f>
        <v/>
      </c>
      <c r="K7538" s="7" t="str">
        <f>IF(Table1[[#This Row],[Is Data Valid]]=TRUE,_xlfn.NORM.S.DIST(Table1[[#This Row],[Birthweight Z-Score (BW-10%)]],TRUE)*100,"")</f>
        <v/>
      </c>
      <c r="L7538" s="7" t="str">
        <f>IF(Table1[[#This Row],[Is Data Valid]]=TRUE,_xlfn.NORM.S.DIST(Table1[[#This Row],[Birthweight Z-Score (BW+10%)]],TRUE)*100,"")</f>
        <v/>
      </c>
    </row>
    <row r="7539" spans="1:12" x14ac:dyDescent="0.35">
      <c r="A7539" s="3"/>
      <c r="B7539" s="2"/>
      <c r="C7539" s="2"/>
      <c r="D7539" s="2" t="b">
        <f>IF(AND(NOT(ISBLANK(Table1[[#This Row],[Fetal Sex (Male, Female or Unknown)]])),ISNUMBER(Table1[[#This Row],[Birthweight (grams)]]),ISNUMBER(Table1[[#This Row],[Gestation (days)]])),TRUE,FALSE)</f>
        <v>0</v>
      </c>
      <c r="E7539" s="2" t="str">
        <f>IF(Table1[[#This Row],[Is Data Valid]]=TRUE,IF(Table1[[#This Row],[Fetal Sex (Male, Female or Unknown)]]="Male",Backend!$C$6,IF(Table1[[#This Row],[Fetal Sex (Male, Female or Unknown)]]="Female",Backend!$C$7,IF(Table1[[#This Row],[Fetal Sex (Male, Female or Unknown)]]="Unknown",Backend!$C$8,"Error"))),"")</f>
        <v/>
      </c>
      <c r="F7539" s="8" t="str">
        <f>IF(Table1[[#This Row],[Is Data Valid]]=TRUE,EXP(0.578+0.332*((Table1[[#This Row],[Gestation (days)]]+0.5)/7)-0.00354*((Table1[[#This Row],[Gestation (days)]]+0.5)/7)^2)*Table1[[#This Row],[BW40_3705]],"")</f>
        <v/>
      </c>
      <c r="G7539" s="2" t="str">
        <f>IF(Table1[[#This Row],[Is Data Valid]]=TRUE,((Table1[[#This Row],[Birthweight (grams)]]/Table1[[#This Row],[BW_GA]])-1)/(Backend!$B$4/100*Table1[[#This Row],[BW40_3705]]),"")</f>
        <v/>
      </c>
      <c r="H7539" s="7" t="str">
        <f>IF(Table1[[#This Row],[Is Data Valid]]=TRUE,((Table1[[#This Row],[Birthweight (grams)]]*0.9/Table1[[#This Row],[BW_GA]])-1)/(Backend!$B$4/100*Table1[[#This Row],[BW40_3705]]),"")</f>
        <v/>
      </c>
      <c r="I7539" s="7" t="str">
        <f>IF(Table1[[#This Row],[Is Data Valid]]=TRUE,((Table1[[#This Row],[Birthweight (grams)]]*1.1/Table1[[#This Row],[BW_GA]])-1)/(Backend!$B$4/100*Table1[[#This Row],[BW40_3705]]),"")</f>
        <v/>
      </c>
      <c r="J7539" s="7" t="str">
        <f>IF(Table1[[#This Row],[Is Data Valid]]=TRUE,_xlfn.NORM.S.DIST(Table1[[#This Row],[Birthweight Z-Score]],TRUE)*100,"")</f>
        <v/>
      </c>
      <c r="K7539" s="7" t="str">
        <f>IF(Table1[[#This Row],[Is Data Valid]]=TRUE,_xlfn.NORM.S.DIST(Table1[[#This Row],[Birthweight Z-Score (BW-10%)]],TRUE)*100,"")</f>
        <v/>
      </c>
      <c r="L7539" s="7" t="str">
        <f>IF(Table1[[#This Row],[Is Data Valid]]=TRUE,_xlfn.NORM.S.DIST(Table1[[#This Row],[Birthweight Z-Score (BW+10%)]],TRUE)*100,"")</f>
        <v/>
      </c>
    </row>
    <row r="7540" spans="1:12" x14ac:dyDescent="0.35">
      <c r="A7540" s="3"/>
      <c r="B7540" s="2"/>
      <c r="C7540" s="2"/>
      <c r="D7540" s="2" t="b">
        <f>IF(AND(NOT(ISBLANK(Table1[[#This Row],[Fetal Sex (Male, Female or Unknown)]])),ISNUMBER(Table1[[#This Row],[Birthweight (grams)]]),ISNUMBER(Table1[[#This Row],[Gestation (days)]])),TRUE,FALSE)</f>
        <v>0</v>
      </c>
      <c r="E7540" s="2" t="str">
        <f>IF(Table1[[#This Row],[Is Data Valid]]=TRUE,IF(Table1[[#This Row],[Fetal Sex (Male, Female or Unknown)]]="Male",Backend!$C$6,IF(Table1[[#This Row],[Fetal Sex (Male, Female or Unknown)]]="Female",Backend!$C$7,IF(Table1[[#This Row],[Fetal Sex (Male, Female or Unknown)]]="Unknown",Backend!$C$8,"Error"))),"")</f>
        <v/>
      </c>
      <c r="F7540" s="8" t="str">
        <f>IF(Table1[[#This Row],[Is Data Valid]]=TRUE,EXP(0.578+0.332*((Table1[[#This Row],[Gestation (days)]]+0.5)/7)-0.00354*((Table1[[#This Row],[Gestation (days)]]+0.5)/7)^2)*Table1[[#This Row],[BW40_3705]],"")</f>
        <v/>
      </c>
      <c r="G7540" s="2" t="str">
        <f>IF(Table1[[#This Row],[Is Data Valid]]=TRUE,((Table1[[#This Row],[Birthweight (grams)]]/Table1[[#This Row],[BW_GA]])-1)/(Backend!$B$4/100*Table1[[#This Row],[BW40_3705]]),"")</f>
        <v/>
      </c>
      <c r="H7540" s="7" t="str">
        <f>IF(Table1[[#This Row],[Is Data Valid]]=TRUE,((Table1[[#This Row],[Birthweight (grams)]]*0.9/Table1[[#This Row],[BW_GA]])-1)/(Backend!$B$4/100*Table1[[#This Row],[BW40_3705]]),"")</f>
        <v/>
      </c>
      <c r="I7540" s="7" t="str">
        <f>IF(Table1[[#This Row],[Is Data Valid]]=TRUE,((Table1[[#This Row],[Birthweight (grams)]]*1.1/Table1[[#This Row],[BW_GA]])-1)/(Backend!$B$4/100*Table1[[#This Row],[BW40_3705]]),"")</f>
        <v/>
      </c>
      <c r="J7540" s="7" t="str">
        <f>IF(Table1[[#This Row],[Is Data Valid]]=TRUE,_xlfn.NORM.S.DIST(Table1[[#This Row],[Birthweight Z-Score]],TRUE)*100,"")</f>
        <v/>
      </c>
      <c r="K7540" s="7" t="str">
        <f>IF(Table1[[#This Row],[Is Data Valid]]=TRUE,_xlfn.NORM.S.DIST(Table1[[#This Row],[Birthweight Z-Score (BW-10%)]],TRUE)*100,"")</f>
        <v/>
      </c>
      <c r="L7540" s="7" t="str">
        <f>IF(Table1[[#This Row],[Is Data Valid]]=TRUE,_xlfn.NORM.S.DIST(Table1[[#This Row],[Birthweight Z-Score (BW+10%)]],TRUE)*100,"")</f>
        <v/>
      </c>
    </row>
    <row r="7541" spans="1:12" x14ac:dyDescent="0.35">
      <c r="A7541" s="3"/>
      <c r="B7541" s="2"/>
      <c r="C7541" s="2"/>
      <c r="D7541" s="2" t="b">
        <f>IF(AND(NOT(ISBLANK(Table1[[#This Row],[Fetal Sex (Male, Female or Unknown)]])),ISNUMBER(Table1[[#This Row],[Birthweight (grams)]]),ISNUMBER(Table1[[#This Row],[Gestation (days)]])),TRUE,FALSE)</f>
        <v>0</v>
      </c>
      <c r="E7541" s="2" t="str">
        <f>IF(Table1[[#This Row],[Is Data Valid]]=TRUE,IF(Table1[[#This Row],[Fetal Sex (Male, Female or Unknown)]]="Male",Backend!$C$6,IF(Table1[[#This Row],[Fetal Sex (Male, Female or Unknown)]]="Female",Backend!$C$7,IF(Table1[[#This Row],[Fetal Sex (Male, Female or Unknown)]]="Unknown",Backend!$C$8,"Error"))),"")</f>
        <v/>
      </c>
      <c r="F7541" s="8" t="str">
        <f>IF(Table1[[#This Row],[Is Data Valid]]=TRUE,EXP(0.578+0.332*((Table1[[#This Row],[Gestation (days)]]+0.5)/7)-0.00354*((Table1[[#This Row],[Gestation (days)]]+0.5)/7)^2)*Table1[[#This Row],[BW40_3705]],"")</f>
        <v/>
      </c>
      <c r="G7541" s="2" t="str">
        <f>IF(Table1[[#This Row],[Is Data Valid]]=TRUE,((Table1[[#This Row],[Birthweight (grams)]]/Table1[[#This Row],[BW_GA]])-1)/(Backend!$B$4/100*Table1[[#This Row],[BW40_3705]]),"")</f>
        <v/>
      </c>
      <c r="H7541" s="7" t="str">
        <f>IF(Table1[[#This Row],[Is Data Valid]]=TRUE,((Table1[[#This Row],[Birthweight (grams)]]*0.9/Table1[[#This Row],[BW_GA]])-1)/(Backend!$B$4/100*Table1[[#This Row],[BW40_3705]]),"")</f>
        <v/>
      </c>
      <c r="I7541" s="7" t="str">
        <f>IF(Table1[[#This Row],[Is Data Valid]]=TRUE,((Table1[[#This Row],[Birthweight (grams)]]*1.1/Table1[[#This Row],[BW_GA]])-1)/(Backend!$B$4/100*Table1[[#This Row],[BW40_3705]]),"")</f>
        <v/>
      </c>
      <c r="J7541" s="7" t="str">
        <f>IF(Table1[[#This Row],[Is Data Valid]]=TRUE,_xlfn.NORM.S.DIST(Table1[[#This Row],[Birthweight Z-Score]],TRUE)*100,"")</f>
        <v/>
      </c>
      <c r="K7541" s="7" t="str">
        <f>IF(Table1[[#This Row],[Is Data Valid]]=TRUE,_xlfn.NORM.S.DIST(Table1[[#This Row],[Birthweight Z-Score (BW-10%)]],TRUE)*100,"")</f>
        <v/>
      </c>
      <c r="L7541" s="7" t="str">
        <f>IF(Table1[[#This Row],[Is Data Valid]]=TRUE,_xlfn.NORM.S.DIST(Table1[[#This Row],[Birthweight Z-Score (BW+10%)]],TRUE)*100,"")</f>
        <v/>
      </c>
    </row>
    <row r="7542" spans="1:12" x14ac:dyDescent="0.35">
      <c r="A7542" s="3"/>
      <c r="B7542" s="2"/>
      <c r="C7542" s="2"/>
      <c r="D7542" s="2" t="b">
        <f>IF(AND(NOT(ISBLANK(Table1[[#This Row],[Fetal Sex (Male, Female or Unknown)]])),ISNUMBER(Table1[[#This Row],[Birthweight (grams)]]),ISNUMBER(Table1[[#This Row],[Gestation (days)]])),TRUE,FALSE)</f>
        <v>0</v>
      </c>
      <c r="E7542" s="2" t="str">
        <f>IF(Table1[[#This Row],[Is Data Valid]]=TRUE,IF(Table1[[#This Row],[Fetal Sex (Male, Female or Unknown)]]="Male",Backend!$C$6,IF(Table1[[#This Row],[Fetal Sex (Male, Female or Unknown)]]="Female",Backend!$C$7,IF(Table1[[#This Row],[Fetal Sex (Male, Female or Unknown)]]="Unknown",Backend!$C$8,"Error"))),"")</f>
        <v/>
      </c>
      <c r="F7542" s="8" t="str">
        <f>IF(Table1[[#This Row],[Is Data Valid]]=TRUE,EXP(0.578+0.332*((Table1[[#This Row],[Gestation (days)]]+0.5)/7)-0.00354*((Table1[[#This Row],[Gestation (days)]]+0.5)/7)^2)*Table1[[#This Row],[BW40_3705]],"")</f>
        <v/>
      </c>
      <c r="G7542" s="2" t="str">
        <f>IF(Table1[[#This Row],[Is Data Valid]]=TRUE,((Table1[[#This Row],[Birthweight (grams)]]/Table1[[#This Row],[BW_GA]])-1)/(Backend!$B$4/100*Table1[[#This Row],[BW40_3705]]),"")</f>
        <v/>
      </c>
      <c r="H7542" s="7" t="str">
        <f>IF(Table1[[#This Row],[Is Data Valid]]=TRUE,((Table1[[#This Row],[Birthweight (grams)]]*0.9/Table1[[#This Row],[BW_GA]])-1)/(Backend!$B$4/100*Table1[[#This Row],[BW40_3705]]),"")</f>
        <v/>
      </c>
      <c r="I7542" s="7" t="str">
        <f>IF(Table1[[#This Row],[Is Data Valid]]=TRUE,((Table1[[#This Row],[Birthweight (grams)]]*1.1/Table1[[#This Row],[BW_GA]])-1)/(Backend!$B$4/100*Table1[[#This Row],[BW40_3705]]),"")</f>
        <v/>
      </c>
      <c r="J7542" s="7" t="str">
        <f>IF(Table1[[#This Row],[Is Data Valid]]=TRUE,_xlfn.NORM.S.DIST(Table1[[#This Row],[Birthweight Z-Score]],TRUE)*100,"")</f>
        <v/>
      </c>
      <c r="K7542" s="7" t="str">
        <f>IF(Table1[[#This Row],[Is Data Valid]]=TRUE,_xlfn.NORM.S.DIST(Table1[[#This Row],[Birthweight Z-Score (BW-10%)]],TRUE)*100,"")</f>
        <v/>
      </c>
      <c r="L7542" s="7" t="str">
        <f>IF(Table1[[#This Row],[Is Data Valid]]=TRUE,_xlfn.NORM.S.DIST(Table1[[#This Row],[Birthweight Z-Score (BW+10%)]],TRUE)*100,"")</f>
        <v/>
      </c>
    </row>
    <row r="7543" spans="1:12" x14ac:dyDescent="0.35">
      <c r="A7543" s="3"/>
      <c r="B7543" s="2"/>
      <c r="C7543" s="2"/>
      <c r="D7543" s="2" t="b">
        <f>IF(AND(NOT(ISBLANK(Table1[[#This Row],[Fetal Sex (Male, Female or Unknown)]])),ISNUMBER(Table1[[#This Row],[Birthweight (grams)]]),ISNUMBER(Table1[[#This Row],[Gestation (days)]])),TRUE,FALSE)</f>
        <v>0</v>
      </c>
      <c r="E7543" s="2" t="str">
        <f>IF(Table1[[#This Row],[Is Data Valid]]=TRUE,IF(Table1[[#This Row],[Fetal Sex (Male, Female or Unknown)]]="Male",Backend!$C$6,IF(Table1[[#This Row],[Fetal Sex (Male, Female or Unknown)]]="Female",Backend!$C$7,IF(Table1[[#This Row],[Fetal Sex (Male, Female or Unknown)]]="Unknown",Backend!$C$8,"Error"))),"")</f>
        <v/>
      </c>
      <c r="F7543" s="8" t="str">
        <f>IF(Table1[[#This Row],[Is Data Valid]]=TRUE,EXP(0.578+0.332*((Table1[[#This Row],[Gestation (days)]]+0.5)/7)-0.00354*((Table1[[#This Row],[Gestation (days)]]+0.5)/7)^2)*Table1[[#This Row],[BW40_3705]],"")</f>
        <v/>
      </c>
      <c r="G7543" s="2" t="str">
        <f>IF(Table1[[#This Row],[Is Data Valid]]=TRUE,((Table1[[#This Row],[Birthweight (grams)]]/Table1[[#This Row],[BW_GA]])-1)/(Backend!$B$4/100*Table1[[#This Row],[BW40_3705]]),"")</f>
        <v/>
      </c>
      <c r="H7543" s="7" t="str">
        <f>IF(Table1[[#This Row],[Is Data Valid]]=TRUE,((Table1[[#This Row],[Birthweight (grams)]]*0.9/Table1[[#This Row],[BW_GA]])-1)/(Backend!$B$4/100*Table1[[#This Row],[BW40_3705]]),"")</f>
        <v/>
      </c>
      <c r="I7543" s="7" t="str">
        <f>IF(Table1[[#This Row],[Is Data Valid]]=TRUE,((Table1[[#This Row],[Birthweight (grams)]]*1.1/Table1[[#This Row],[BW_GA]])-1)/(Backend!$B$4/100*Table1[[#This Row],[BW40_3705]]),"")</f>
        <v/>
      </c>
      <c r="J7543" s="7" t="str">
        <f>IF(Table1[[#This Row],[Is Data Valid]]=TRUE,_xlfn.NORM.S.DIST(Table1[[#This Row],[Birthweight Z-Score]],TRUE)*100,"")</f>
        <v/>
      </c>
      <c r="K7543" s="7" t="str">
        <f>IF(Table1[[#This Row],[Is Data Valid]]=TRUE,_xlfn.NORM.S.DIST(Table1[[#This Row],[Birthweight Z-Score (BW-10%)]],TRUE)*100,"")</f>
        <v/>
      </c>
      <c r="L7543" s="7" t="str">
        <f>IF(Table1[[#This Row],[Is Data Valid]]=TRUE,_xlfn.NORM.S.DIST(Table1[[#This Row],[Birthweight Z-Score (BW+10%)]],TRUE)*100,"")</f>
        <v/>
      </c>
    </row>
    <row r="7544" spans="1:12" x14ac:dyDescent="0.35">
      <c r="A7544" s="3"/>
      <c r="B7544" s="2"/>
      <c r="C7544" s="2"/>
      <c r="D7544" s="2" t="b">
        <f>IF(AND(NOT(ISBLANK(Table1[[#This Row],[Fetal Sex (Male, Female or Unknown)]])),ISNUMBER(Table1[[#This Row],[Birthweight (grams)]]),ISNUMBER(Table1[[#This Row],[Gestation (days)]])),TRUE,FALSE)</f>
        <v>0</v>
      </c>
      <c r="E7544" s="2" t="str">
        <f>IF(Table1[[#This Row],[Is Data Valid]]=TRUE,IF(Table1[[#This Row],[Fetal Sex (Male, Female or Unknown)]]="Male",Backend!$C$6,IF(Table1[[#This Row],[Fetal Sex (Male, Female or Unknown)]]="Female",Backend!$C$7,IF(Table1[[#This Row],[Fetal Sex (Male, Female or Unknown)]]="Unknown",Backend!$C$8,"Error"))),"")</f>
        <v/>
      </c>
      <c r="F7544" s="8" t="str">
        <f>IF(Table1[[#This Row],[Is Data Valid]]=TRUE,EXP(0.578+0.332*((Table1[[#This Row],[Gestation (days)]]+0.5)/7)-0.00354*((Table1[[#This Row],[Gestation (days)]]+0.5)/7)^2)*Table1[[#This Row],[BW40_3705]],"")</f>
        <v/>
      </c>
      <c r="G7544" s="2" t="str">
        <f>IF(Table1[[#This Row],[Is Data Valid]]=TRUE,((Table1[[#This Row],[Birthweight (grams)]]/Table1[[#This Row],[BW_GA]])-1)/(Backend!$B$4/100*Table1[[#This Row],[BW40_3705]]),"")</f>
        <v/>
      </c>
      <c r="H7544" s="7" t="str">
        <f>IF(Table1[[#This Row],[Is Data Valid]]=TRUE,((Table1[[#This Row],[Birthweight (grams)]]*0.9/Table1[[#This Row],[BW_GA]])-1)/(Backend!$B$4/100*Table1[[#This Row],[BW40_3705]]),"")</f>
        <v/>
      </c>
      <c r="I7544" s="7" t="str">
        <f>IF(Table1[[#This Row],[Is Data Valid]]=TRUE,((Table1[[#This Row],[Birthweight (grams)]]*1.1/Table1[[#This Row],[BW_GA]])-1)/(Backend!$B$4/100*Table1[[#This Row],[BW40_3705]]),"")</f>
        <v/>
      </c>
      <c r="J7544" s="7" t="str">
        <f>IF(Table1[[#This Row],[Is Data Valid]]=TRUE,_xlfn.NORM.S.DIST(Table1[[#This Row],[Birthweight Z-Score]],TRUE)*100,"")</f>
        <v/>
      </c>
      <c r="K7544" s="7" t="str">
        <f>IF(Table1[[#This Row],[Is Data Valid]]=TRUE,_xlfn.NORM.S.DIST(Table1[[#This Row],[Birthweight Z-Score (BW-10%)]],TRUE)*100,"")</f>
        <v/>
      </c>
      <c r="L7544" s="7" t="str">
        <f>IF(Table1[[#This Row],[Is Data Valid]]=TRUE,_xlfn.NORM.S.DIST(Table1[[#This Row],[Birthweight Z-Score (BW+10%)]],TRUE)*100,"")</f>
        <v/>
      </c>
    </row>
    <row r="7545" spans="1:12" x14ac:dyDescent="0.35">
      <c r="A7545" s="3"/>
      <c r="B7545" s="2"/>
      <c r="C7545" s="2"/>
      <c r="D7545" s="2" t="b">
        <f>IF(AND(NOT(ISBLANK(Table1[[#This Row],[Fetal Sex (Male, Female or Unknown)]])),ISNUMBER(Table1[[#This Row],[Birthweight (grams)]]),ISNUMBER(Table1[[#This Row],[Gestation (days)]])),TRUE,FALSE)</f>
        <v>0</v>
      </c>
      <c r="E7545" s="2" t="str">
        <f>IF(Table1[[#This Row],[Is Data Valid]]=TRUE,IF(Table1[[#This Row],[Fetal Sex (Male, Female or Unknown)]]="Male",Backend!$C$6,IF(Table1[[#This Row],[Fetal Sex (Male, Female or Unknown)]]="Female",Backend!$C$7,IF(Table1[[#This Row],[Fetal Sex (Male, Female or Unknown)]]="Unknown",Backend!$C$8,"Error"))),"")</f>
        <v/>
      </c>
      <c r="F7545" s="8" t="str">
        <f>IF(Table1[[#This Row],[Is Data Valid]]=TRUE,EXP(0.578+0.332*((Table1[[#This Row],[Gestation (days)]]+0.5)/7)-0.00354*((Table1[[#This Row],[Gestation (days)]]+0.5)/7)^2)*Table1[[#This Row],[BW40_3705]],"")</f>
        <v/>
      </c>
      <c r="G7545" s="2" t="str">
        <f>IF(Table1[[#This Row],[Is Data Valid]]=TRUE,((Table1[[#This Row],[Birthweight (grams)]]/Table1[[#This Row],[BW_GA]])-1)/(Backend!$B$4/100*Table1[[#This Row],[BW40_3705]]),"")</f>
        <v/>
      </c>
      <c r="H7545" s="7" t="str">
        <f>IF(Table1[[#This Row],[Is Data Valid]]=TRUE,((Table1[[#This Row],[Birthweight (grams)]]*0.9/Table1[[#This Row],[BW_GA]])-1)/(Backend!$B$4/100*Table1[[#This Row],[BW40_3705]]),"")</f>
        <v/>
      </c>
      <c r="I7545" s="7" t="str">
        <f>IF(Table1[[#This Row],[Is Data Valid]]=TRUE,((Table1[[#This Row],[Birthweight (grams)]]*1.1/Table1[[#This Row],[BW_GA]])-1)/(Backend!$B$4/100*Table1[[#This Row],[BW40_3705]]),"")</f>
        <v/>
      </c>
      <c r="J7545" s="7" t="str">
        <f>IF(Table1[[#This Row],[Is Data Valid]]=TRUE,_xlfn.NORM.S.DIST(Table1[[#This Row],[Birthweight Z-Score]],TRUE)*100,"")</f>
        <v/>
      </c>
      <c r="K7545" s="7" t="str">
        <f>IF(Table1[[#This Row],[Is Data Valid]]=TRUE,_xlfn.NORM.S.DIST(Table1[[#This Row],[Birthweight Z-Score (BW-10%)]],TRUE)*100,"")</f>
        <v/>
      </c>
      <c r="L7545" s="7" t="str">
        <f>IF(Table1[[#This Row],[Is Data Valid]]=TRUE,_xlfn.NORM.S.DIST(Table1[[#This Row],[Birthweight Z-Score (BW+10%)]],TRUE)*100,"")</f>
        <v/>
      </c>
    </row>
    <row r="7546" spans="1:12" x14ac:dyDescent="0.35">
      <c r="A7546" s="3"/>
      <c r="B7546" s="2"/>
      <c r="C7546" s="2"/>
      <c r="D7546" s="2" t="b">
        <f>IF(AND(NOT(ISBLANK(Table1[[#This Row],[Fetal Sex (Male, Female or Unknown)]])),ISNUMBER(Table1[[#This Row],[Birthweight (grams)]]),ISNUMBER(Table1[[#This Row],[Gestation (days)]])),TRUE,FALSE)</f>
        <v>0</v>
      </c>
      <c r="E7546" s="2" t="str">
        <f>IF(Table1[[#This Row],[Is Data Valid]]=TRUE,IF(Table1[[#This Row],[Fetal Sex (Male, Female or Unknown)]]="Male",Backend!$C$6,IF(Table1[[#This Row],[Fetal Sex (Male, Female or Unknown)]]="Female",Backend!$C$7,IF(Table1[[#This Row],[Fetal Sex (Male, Female or Unknown)]]="Unknown",Backend!$C$8,"Error"))),"")</f>
        <v/>
      </c>
      <c r="F7546" s="8" t="str">
        <f>IF(Table1[[#This Row],[Is Data Valid]]=TRUE,EXP(0.578+0.332*((Table1[[#This Row],[Gestation (days)]]+0.5)/7)-0.00354*((Table1[[#This Row],[Gestation (days)]]+0.5)/7)^2)*Table1[[#This Row],[BW40_3705]],"")</f>
        <v/>
      </c>
      <c r="G7546" s="2" t="str">
        <f>IF(Table1[[#This Row],[Is Data Valid]]=TRUE,((Table1[[#This Row],[Birthweight (grams)]]/Table1[[#This Row],[BW_GA]])-1)/(Backend!$B$4/100*Table1[[#This Row],[BW40_3705]]),"")</f>
        <v/>
      </c>
      <c r="H7546" s="7" t="str">
        <f>IF(Table1[[#This Row],[Is Data Valid]]=TRUE,((Table1[[#This Row],[Birthweight (grams)]]*0.9/Table1[[#This Row],[BW_GA]])-1)/(Backend!$B$4/100*Table1[[#This Row],[BW40_3705]]),"")</f>
        <v/>
      </c>
      <c r="I7546" s="7" t="str">
        <f>IF(Table1[[#This Row],[Is Data Valid]]=TRUE,((Table1[[#This Row],[Birthweight (grams)]]*1.1/Table1[[#This Row],[BW_GA]])-1)/(Backend!$B$4/100*Table1[[#This Row],[BW40_3705]]),"")</f>
        <v/>
      </c>
      <c r="J7546" s="7" t="str">
        <f>IF(Table1[[#This Row],[Is Data Valid]]=TRUE,_xlfn.NORM.S.DIST(Table1[[#This Row],[Birthweight Z-Score]],TRUE)*100,"")</f>
        <v/>
      </c>
      <c r="K7546" s="7" t="str">
        <f>IF(Table1[[#This Row],[Is Data Valid]]=TRUE,_xlfn.NORM.S.DIST(Table1[[#This Row],[Birthweight Z-Score (BW-10%)]],TRUE)*100,"")</f>
        <v/>
      </c>
      <c r="L7546" s="7" t="str">
        <f>IF(Table1[[#This Row],[Is Data Valid]]=TRUE,_xlfn.NORM.S.DIST(Table1[[#This Row],[Birthweight Z-Score (BW+10%)]],TRUE)*100,"")</f>
        <v/>
      </c>
    </row>
    <row r="7547" spans="1:12" x14ac:dyDescent="0.35">
      <c r="A7547" s="3"/>
      <c r="B7547" s="2"/>
      <c r="C7547" s="2"/>
      <c r="D7547" s="2" t="b">
        <f>IF(AND(NOT(ISBLANK(Table1[[#This Row],[Fetal Sex (Male, Female or Unknown)]])),ISNUMBER(Table1[[#This Row],[Birthweight (grams)]]),ISNUMBER(Table1[[#This Row],[Gestation (days)]])),TRUE,FALSE)</f>
        <v>0</v>
      </c>
      <c r="E7547" s="2" t="str">
        <f>IF(Table1[[#This Row],[Is Data Valid]]=TRUE,IF(Table1[[#This Row],[Fetal Sex (Male, Female or Unknown)]]="Male",Backend!$C$6,IF(Table1[[#This Row],[Fetal Sex (Male, Female or Unknown)]]="Female",Backend!$C$7,IF(Table1[[#This Row],[Fetal Sex (Male, Female or Unknown)]]="Unknown",Backend!$C$8,"Error"))),"")</f>
        <v/>
      </c>
      <c r="F7547" s="8" t="str">
        <f>IF(Table1[[#This Row],[Is Data Valid]]=TRUE,EXP(0.578+0.332*((Table1[[#This Row],[Gestation (days)]]+0.5)/7)-0.00354*((Table1[[#This Row],[Gestation (days)]]+0.5)/7)^2)*Table1[[#This Row],[BW40_3705]],"")</f>
        <v/>
      </c>
      <c r="G7547" s="2" t="str">
        <f>IF(Table1[[#This Row],[Is Data Valid]]=TRUE,((Table1[[#This Row],[Birthweight (grams)]]/Table1[[#This Row],[BW_GA]])-1)/(Backend!$B$4/100*Table1[[#This Row],[BW40_3705]]),"")</f>
        <v/>
      </c>
      <c r="H7547" s="7" t="str">
        <f>IF(Table1[[#This Row],[Is Data Valid]]=TRUE,((Table1[[#This Row],[Birthweight (grams)]]*0.9/Table1[[#This Row],[BW_GA]])-1)/(Backend!$B$4/100*Table1[[#This Row],[BW40_3705]]),"")</f>
        <v/>
      </c>
      <c r="I7547" s="7" t="str">
        <f>IF(Table1[[#This Row],[Is Data Valid]]=TRUE,((Table1[[#This Row],[Birthweight (grams)]]*1.1/Table1[[#This Row],[BW_GA]])-1)/(Backend!$B$4/100*Table1[[#This Row],[BW40_3705]]),"")</f>
        <v/>
      </c>
      <c r="J7547" s="7" t="str">
        <f>IF(Table1[[#This Row],[Is Data Valid]]=TRUE,_xlfn.NORM.S.DIST(Table1[[#This Row],[Birthweight Z-Score]],TRUE)*100,"")</f>
        <v/>
      </c>
      <c r="K7547" s="7" t="str">
        <f>IF(Table1[[#This Row],[Is Data Valid]]=TRUE,_xlfn.NORM.S.DIST(Table1[[#This Row],[Birthweight Z-Score (BW-10%)]],TRUE)*100,"")</f>
        <v/>
      </c>
      <c r="L7547" s="7" t="str">
        <f>IF(Table1[[#This Row],[Is Data Valid]]=TRUE,_xlfn.NORM.S.DIST(Table1[[#This Row],[Birthweight Z-Score (BW+10%)]],TRUE)*100,"")</f>
        <v/>
      </c>
    </row>
    <row r="7548" spans="1:12" x14ac:dyDescent="0.35">
      <c r="A7548" s="3"/>
      <c r="B7548" s="2"/>
      <c r="C7548" s="2"/>
      <c r="D7548" s="2" t="b">
        <f>IF(AND(NOT(ISBLANK(Table1[[#This Row],[Fetal Sex (Male, Female or Unknown)]])),ISNUMBER(Table1[[#This Row],[Birthweight (grams)]]),ISNUMBER(Table1[[#This Row],[Gestation (days)]])),TRUE,FALSE)</f>
        <v>0</v>
      </c>
      <c r="E7548" s="2" t="str">
        <f>IF(Table1[[#This Row],[Is Data Valid]]=TRUE,IF(Table1[[#This Row],[Fetal Sex (Male, Female or Unknown)]]="Male",Backend!$C$6,IF(Table1[[#This Row],[Fetal Sex (Male, Female or Unknown)]]="Female",Backend!$C$7,IF(Table1[[#This Row],[Fetal Sex (Male, Female or Unknown)]]="Unknown",Backend!$C$8,"Error"))),"")</f>
        <v/>
      </c>
      <c r="F7548" s="8" t="str">
        <f>IF(Table1[[#This Row],[Is Data Valid]]=TRUE,EXP(0.578+0.332*((Table1[[#This Row],[Gestation (days)]]+0.5)/7)-0.00354*((Table1[[#This Row],[Gestation (days)]]+0.5)/7)^2)*Table1[[#This Row],[BW40_3705]],"")</f>
        <v/>
      </c>
      <c r="G7548" s="2" t="str">
        <f>IF(Table1[[#This Row],[Is Data Valid]]=TRUE,((Table1[[#This Row],[Birthweight (grams)]]/Table1[[#This Row],[BW_GA]])-1)/(Backend!$B$4/100*Table1[[#This Row],[BW40_3705]]),"")</f>
        <v/>
      </c>
      <c r="H7548" s="7" t="str">
        <f>IF(Table1[[#This Row],[Is Data Valid]]=TRUE,((Table1[[#This Row],[Birthweight (grams)]]*0.9/Table1[[#This Row],[BW_GA]])-1)/(Backend!$B$4/100*Table1[[#This Row],[BW40_3705]]),"")</f>
        <v/>
      </c>
      <c r="I7548" s="7" t="str">
        <f>IF(Table1[[#This Row],[Is Data Valid]]=TRUE,((Table1[[#This Row],[Birthweight (grams)]]*1.1/Table1[[#This Row],[BW_GA]])-1)/(Backend!$B$4/100*Table1[[#This Row],[BW40_3705]]),"")</f>
        <v/>
      </c>
      <c r="J7548" s="7" t="str">
        <f>IF(Table1[[#This Row],[Is Data Valid]]=TRUE,_xlfn.NORM.S.DIST(Table1[[#This Row],[Birthweight Z-Score]],TRUE)*100,"")</f>
        <v/>
      </c>
      <c r="K7548" s="7" t="str">
        <f>IF(Table1[[#This Row],[Is Data Valid]]=TRUE,_xlfn.NORM.S.DIST(Table1[[#This Row],[Birthweight Z-Score (BW-10%)]],TRUE)*100,"")</f>
        <v/>
      </c>
      <c r="L7548" s="7" t="str">
        <f>IF(Table1[[#This Row],[Is Data Valid]]=TRUE,_xlfn.NORM.S.DIST(Table1[[#This Row],[Birthweight Z-Score (BW+10%)]],TRUE)*100,"")</f>
        <v/>
      </c>
    </row>
    <row r="7549" spans="1:12" x14ac:dyDescent="0.35">
      <c r="A7549" s="3"/>
      <c r="B7549" s="2"/>
      <c r="C7549" s="2"/>
      <c r="D7549" s="2" t="b">
        <f>IF(AND(NOT(ISBLANK(Table1[[#This Row],[Fetal Sex (Male, Female or Unknown)]])),ISNUMBER(Table1[[#This Row],[Birthweight (grams)]]),ISNUMBER(Table1[[#This Row],[Gestation (days)]])),TRUE,FALSE)</f>
        <v>0</v>
      </c>
      <c r="E7549" s="2" t="str">
        <f>IF(Table1[[#This Row],[Is Data Valid]]=TRUE,IF(Table1[[#This Row],[Fetal Sex (Male, Female or Unknown)]]="Male",Backend!$C$6,IF(Table1[[#This Row],[Fetal Sex (Male, Female or Unknown)]]="Female",Backend!$C$7,IF(Table1[[#This Row],[Fetal Sex (Male, Female or Unknown)]]="Unknown",Backend!$C$8,"Error"))),"")</f>
        <v/>
      </c>
      <c r="F7549" s="8" t="str">
        <f>IF(Table1[[#This Row],[Is Data Valid]]=TRUE,EXP(0.578+0.332*((Table1[[#This Row],[Gestation (days)]]+0.5)/7)-0.00354*((Table1[[#This Row],[Gestation (days)]]+0.5)/7)^2)*Table1[[#This Row],[BW40_3705]],"")</f>
        <v/>
      </c>
      <c r="G7549" s="2" t="str">
        <f>IF(Table1[[#This Row],[Is Data Valid]]=TRUE,((Table1[[#This Row],[Birthweight (grams)]]/Table1[[#This Row],[BW_GA]])-1)/(Backend!$B$4/100*Table1[[#This Row],[BW40_3705]]),"")</f>
        <v/>
      </c>
      <c r="H7549" s="7" t="str">
        <f>IF(Table1[[#This Row],[Is Data Valid]]=TRUE,((Table1[[#This Row],[Birthweight (grams)]]*0.9/Table1[[#This Row],[BW_GA]])-1)/(Backend!$B$4/100*Table1[[#This Row],[BW40_3705]]),"")</f>
        <v/>
      </c>
      <c r="I7549" s="7" t="str">
        <f>IF(Table1[[#This Row],[Is Data Valid]]=TRUE,((Table1[[#This Row],[Birthweight (grams)]]*1.1/Table1[[#This Row],[BW_GA]])-1)/(Backend!$B$4/100*Table1[[#This Row],[BW40_3705]]),"")</f>
        <v/>
      </c>
      <c r="J7549" s="7" t="str">
        <f>IF(Table1[[#This Row],[Is Data Valid]]=TRUE,_xlfn.NORM.S.DIST(Table1[[#This Row],[Birthweight Z-Score]],TRUE)*100,"")</f>
        <v/>
      </c>
      <c r="K7549" s="7" t="str">
        <f>IF(Table1[[#This Row],[Is Data Valid]]=TRUE,_xlfn.NORM.S.DIST(Table1[[#This Row],[Birthweight Z-Score (BW-10%)]],TRUE)*100,"")</f>
        <v/>
      </c>
      <c r="L7549" s="7" t="str">
        <f>IF(Table1[[#This Row],[Is Data Valid]]=TRUE,_xlfn.NORM.S.DIST(Table1[[#This Row],[Birthweight Z-Score (BW+10%)]],TRUE)*100,"")</f>
        <v/>
      </c>
    </row>
    <row r="7550" spans="1:12" x14ac:dyDescent="0.35">
      <c r="A7550" s="3"/>
      <c r="B7550" s="2"/>
      <c r="C7550" s="2"/>
      <c r="D7550" s="2" t="b">
        <f>IF(AND(NOT(ISBLANK(Table1[[#This Row],[Fetal Sex (Male, Female or Unknown)]])),ISNUMBER(Table1[[#This Row],[Birthweight (grams)]]),ISNUMBER(Table1[[#This Row],[Gestation (days)]])),TRUE,FALSE)</f>
        <v>0</v>
      </c>
      <c r="E7550" s="2" t="str">
        <f>IF(Table1[[#This Row],[Is Data Valid]]=TRUE,IF(Table1[[#This Row],[Fetal Sex (Male, Female or Unknown)]]="Male",Backend!$C$6,IF(Table1[[#This Row],[Fetal Sex (Male, Female or Unknown)]]="Female",Backend!$C$7,IF(Table1[[#This Row],[Fetal Sex (Male, Female or Unknown)]]="Unknown",Backend!$C$8,"Error"))),"")</f>
        <v/>
      </c>
      <c r="F7550" s="8" t="str">
        <f>IF(Table1[[#This Row],[Is Data Valid]]=TRUE,EXP(0.578+0.332*((Table1[[#This Row],[Gestation (days)]]+0.5)/7)-0.00354*((Table1[[#This Row],[Gestation (days)]]+0.5)/7)^2)*Table1[[#This Row],[BW40_3705]],"")</f>
        <v/>
      </c>
      <c r="G7550" s="2" t="str">
        <f>IF(Table1[[#This Row],[Is Data Valid]]=TRUE,((Table1[[#This Row],[Birthweight (grams)]]/Table1[[#This Row],[BW_GA]])-1)/(Backend!$B$4/100*Table1[[#This Row],[BW40_3705]]),"")</f>
        <v/>
      </c>
      <c r="H7550" s="7" t="str">
        <f>IF(Table1[[#This Row],[Is Data Valid]]=TRUE,((Table1[[#This Row],[Birthweight (grams)]]*0.9/Table1[[#This Row],[BW_GA]])-1)/(Backend!$B$4/100*Table1[[#This Row],[BW40_3705]]),"")</f>
        <v/>
      </c>
      <c r="I7550" s="7" t="str">
        <f>IF(Table1[[#This Row],[Is Data Valid]]=TRUE,((Table1[[#This Row],[Birthweight (grams)]]*1.1/Table1[[#This Row],[BW_GA]])-1)/(Backend!$B$4/100*Table1[[#This Row],[BW40_3705]]),"")</f>
        <v/>
      </c>
      <c r="J7550" s="7" t="str">
        <f>IF(Table1[[#This Row],[Is Data Valid]]=TRUE,_xlfn.NORM.S.DIST(Table1[[#This Row],[Birthweight Z-Score]],TRUE)*100,"")</f>
        <v/>
      </c>
      <c r="K7550" s="7" t="str">
        <f>IF(Table1[[#This Row],[Is Data Valid]]=TRUE,_xlfn.NORM.S.DIST(Table1[[#This Row],[Birthweight Z-Score (BW-10%)]],TRUE)*100,"")</f>
        <v/>
      </c>
      <c r="L7550" s="7" t="str">
        <f>IF(Table1[[#This Row],[Is Data Valid]]=TRUE,_xlfn.NORM.S.DIST(Table1[[#This Row],[Birthweight Z-Score (BW+10%)]],TRUE)*100,"")</f>
        <v/>
      </c>
    </row>
    <row r="7551" spans="1:12" x14ac:dyDescent="0.35">
      <c r="A7551" s="3"/>
      <c r="B7551" s="2"/>
      <c r="C7551" s="2"/>
      <c r="D7551" s="2" t="b">
        <f>IF(AND(NOT(ISBLANK(Table1[[#This Row],[Fetal Sex (Male, Female or Unknown)]])),ISNUMBER(Table1[[#This Row],[Birthweight (grams)]]),ISNUMBER(Table1[[#This Row],[Gestation (days)]])),TRUE,FALSE)</f>
        <v>0</v>
      </c>
      <c r="E7551" s="2" t="str">
        <f>IF(Table1[[#This Row],[Is Data Valid]]=TRUE,IF(Table1[[#This Row],[Fetal Sex (Male, Female or Unknown)]]="Male",Backend!$C$6,IF(Table1[[#This Row],[Fetal Sex (Male, Female or Unknown)]]="Female",Backend!$C$7,IF(Table1[[#This Row],[Fetal Sex (Male, Female or Unknown)]]="Unknown",Backend!$C$8,"Error"))),"")</f>
        <v/>
      </c>
      <c r="F7551" s="8" t="str">
        <f>IF(Table1[[#This Row],[Is Data Valid]]=TRUE,EXP(0.578+0.332*((Table1[[#This Row],[Gestation (days)]]+0.5)/7)-0.00354*((Table1[[#This Row],[Gestation (days)]]+0.5)/7)^2)*Table1[[#This Row],[BW40_3705]],"")</f>
        <v/>
      </c>
      <c r="G7551" s="2" t="str">
        <f>IF(Table1[[#This Row],[Is Data Valid]]=TRUE,((Table1[[#This Row],[Birthweight (grams)]]/Table1[[#This Row],[BW_GA]])-1)/(Backend!$B$4/100*Table1[[#This Row],[BW40_3705]]),"")</f>
        <v/>
      </c>
      <c r="H7551" s="7" t="str">
        <f>IF(Table1[[#This Row],[Is Data Valid]]=TRUE,((Table1[[#This Row],[Birthweight (grams)]]*0.9/Table1[[#This Row],[BW_GA]])-1)/(Backend!$B$4/100*Table1[[#This Row],[BW40_3705]]),"")</f>
        <v/>
      </c>
      <c r="I7551" s="7" t="str">
        <f>IF(Table1[[#This Row],[Is Data Valid]]=TRUE,((Table1[[#This Row],[Birthweight (grams)]]*1.1/Table1[[#This Row],[BW_GA]])-1)/(Backend!$B$4/100*Table1[[#This Row],[BW40_3705]]),"")</f>
        <v/>
      </c>
      <c r="J7551" s="7" t="str">
        <f>IF(Table1[[#This Row],[Is Data Valid]]=TRUE,_xlfn.NORM.S.DIST(Table1[[#This Row],[Birthweight Z-Score]],TRUE)*100,"")</f>
        <v/>
      </c>
      <c r="K7551" s="7" t="str">
        <f>IF(Table1[[#This Row],[Is Data Valid]]=TRUE,_xlfn.NORM.S.DIST(Table1[[#This Row],[Birthweight Z-Score (BW-10%)]],TRUE)*100,"")</f>
        <v/>
      </c>
      <c r="L7551" s="7" t="str">
        <f>IF(Table1[[#This Row],[Is Data Valid]]=TRUE,_xlfn.NORM.S.DIST(Table1[[#This Row],[Birthweight Z-Score (BW+10%)]],TRUE)*100,"")</f>
        <v/>
      </c>
    </row>
    <row r="7552" spans="1:12" x14ac:dyDescent="0.35">
      <c r="A7552" s="3"/>
      <c r="B7552" s="2"/>
      <c r="C7552" s="2"/>
      <c r="D7552" s="2" t="b">
        <f>IF(AND(NOT(ISBLANK(Table1[[#This Row],[Fetal Sex (Male, Female or Unknown)]])),ISNUMBER(Table1[[#This Row],[Birthweight (grams)]]),ISNUMBER(Table1[[#This Row],[Gestation (days)]])),TRUE,FALSE)</f>
        <v>0</v>
      </c>
      <c r="E7552" s="2" t="str">
        <f>IF(Table1[[#This Row],[Is Data Valid]]=TRUE,IF(Table1[[#This Row],[Fetal Sex (Male, Female or Unknown)]]="Male",Backend!$C$6,IF(Table1[[#This Row],[Fetal Sex (Male, Female or Unknown)]]="Female",Backend!$C$7,IF(Table1[[#This Row],[Fetal Sex (Male, Female or Unknown)]]="Unknown",Backend!$C$8,"Error"))),"")</f>
        <v/>
      </c>
      <c r="F7552" s="8" t="str">
        <f>IF(Table1[[#This Row],[Is Data Valid]]=TRUE,EXP(0.578+0.332*((Table1[[#This Row],[Gestation (days)]]+0.5)/7)-0.00354*((Table1[[#This Row],[Gestation (days)]]+0.5)/7)^2)*Table1[[#This Row],[BW40_3705]],"")</f>
        <v/>
      </c>
      <c r="G7552" s="2" t="str">
        <f>IF(Table1[[#This Row],[Is Data Valid]]=TRUE,((Table1[[#This Row],[Birthweight (grams)]]/Table1[[#This Row],[BW_GA]])-1)/(Backend!$B$4/100*Table1[[#This Row],[BW40_3705]]),"")</f>
        <v/>
      </c>
      <c r="H7552" s="7" t="str">
        <f>IF(Table1[[#This Row],[Is Data Valid]]=TRUE,((Table1[[#This Row],[Birthweight (grams)]]*0.9/Table1[[#This Row],[BW_GA]])-1)/(Backend!$B$4/100*Table1[[#This Row],[BW40_3705]]),"")</f>
        <v/>
      </c>
      <c r="I7552" s="7" t="str">
        <f>IF(Table1[[#This Row],[Is Data Valid]]=TRUE,((Table1[[#This Row],[Birthweight (grams)]]*1.1/Table1[[#This Row],[BW_GA]])-1)/(Backend!$B$4/100*Table1[[#This Row],[BW40_3705]]),"")</f>
        <v/>
      </c>
      <c r="J7552" s="7" t="str">
        <f>IF(Table1[[#This Row],[Is Data Valid]]=TRUE,_xlfn.NORM.S.DIST(Table1[[#This Row],[Birthweight Z-Score]],TRUE)*100,"")</f>
        <v/>
      </c>
      <c r="K7552" s="7" t="str">
        <f>IF(Table1[[#This Row],[Is Data Valid]]=TRUE,_xlfn.NORM.S.DIST(Table1[[#This Row],[Birthweight Z-Score (BW-10%)]],TRUE)*100,"")</f>
        <v/>
      </c>
      <c r="L7552" s="7" t="str">
        <f>IF(Table1[[#This Row],[Is Data Valid]]=TRUE,_xlfn.NORM.S.DIST(Table1[[#This Row],[Birthweight Z-Score (BW+10%)]],TRUE)*100,"")</f>
        <v/>
      </c>
    </row>
    <row r="7553" spans="1:12" x14ac:dyDescent="0.35">
      <c r="A7553" s="3"/>
      <c r="B7553" s="2"/>
      <c r="C7553" s="2"/>
      <c r="D7553" s="2" t="b">
        <f>IF(AND(NOT(ISBLANK(Table1[[#This Row],[Fetal Sex (Male, Female or Unknown)]])),ISNUMBER(Table1[[#This Row],[Birthweight (grams)]]),ISNUMBER(Table1[[#This Row],[Gestation (days)]])),TRUE,FALSE)</f>
        <v>0</v>
      </c>
      <c r="E7553" s="2" t="str">
        <f>IF(Table1[[#This Row],[Is Data Valid]]=TRUE,IF(Table1[[#This Row],[Fetal Sex (Male, Female or Unknown)]]="Male",Backend!$C$6,IF(Table1[[#This Row],[Fetal Sex (Male, Female or Unknown)]]="Female",Backend!$C$7,IF(Table1[[#This Row],[Fetal Sex (Male, Female or Unknown)]]="Unknown",Backend!$C$8,"Error"))),"")</f>
        <v/>
      </c>
      <c r="F7553" s="8" t="str">
        <f>IF(Table1[[#This Row],[Is Data Valid]]=TRUE,EXP(0.578+0.332*((Table1[[#This Row],[Gestation (days)]]+0.5)/7)-0.00354*((Table1[[#This Row],[Gestation (days)]]+0.5)/7)^2)*Table1[[#This Row],[BW40_3705]],"")</f>
        <v/>
      </c>
      <c r="G7553" s="2" t="str">
        <f>IF(Table1[[#This Row],[Is Data Valid]]=TRUE,((Table1[[#This Row],[Birthweight (grams)]]/Table1[[#This Row],[BW_GA]])-1)/(Backend!$B$4/100*Table1[[#This Row],[BW40_3705]]),"")</f>
        <v/>
      </c>
      <c r="H7553" s="7" t="str">
        <f>IF(Table1[[#This Row],[Is Data Valid]]=TRUE,((Table1[[#This Row],[Birthweight (grams)]]*0.9/Table1[[#This Row],[BW_GA]])-1)/(Backend!$B$4/100*Table1[[#This Row],[BW40_3705]]),"")</f>
        <v/>
      </c>
      <c r="I7553" s="7" t="str">
        <f>IF(Table1[[#This Row],[Is Data Valid]]=TRUE,((Table1[[#This Row],[Birthweight (grams)]]*1.1/Table1[[#This Row],[BW_GA]])-1)/(Backend!$B$4/100*Table1[[#This Row],[BW40_3705]]),"")</f>
        <v/>
      </c>
      <c r="J7553" s="7" t="str">
        <f>IF(Table1[[#This Row],[Is Data Valid]]=TRUE,_xlfn.NORM.S.DIST(Table1[[#This Row],[Birthweight Z-Score]],TRUE)*100,"")</f>
        <v/>
      </c>
      <c r="K7553" s="7" t="str">
        <f>IF(Table1[[#This Row],[Is Data Valid]]=TRUE,_xlfn.NORM.S.DIST(Table1[[#This Row],[Birthweight Z-Score (BW-10%)]],TRUE)*100,"")</f>
        <v/>
      </c>
      <c r="L7553" s="7" t="str">
        <f>IF(Table1[[#This Row],[Is Data Valid]]=TRUE,_xlfn.NORM.S.DIST(Table1[[#This Row],[Birthweight Z-Score (BW+10%)]],TRUE)*100,"")</f>
        <v/>
      </c>
    </row>
    <row r="7554" spans="1:12" x14ac:dyDescent="0.35">
      <c r="A7554" s="3"/>
      <c r="B7554" s="2"/>
      <c r="C7554" s="2"/>
      <c r="D7554" s="2" t="b">
        <f>IF(AND(NOT(ISBLANK(Table1[[#This Row],[Fetal Sex (Male, Female or Unknown)]])),ISNUMBER(Table1[[#This Row],[Birthweight (grams)]]),ISNUMBER(Table1[[#This Row],[Gestation (days)]])),TRUE,FALSE)</f>
        <v>0</v>
      </c>
      <c r="E7554" s="2" t="str">
        <f>IF(Table1[[#This Row],[Is Data Valid]]=TRUE,IF(Table1[[#This Row],[Fetal Sex (Male, Female or Unknown)]]="Male",Backend!$C$6,IF(Table1[[#This Row],[Fetal Sex (Male, Female or Unknown)]]="Female",Backend!$C$7,IF(Table1[[#This Row],[Fetal Sex (Male, Female or Unknown)]]="Unknown",Backend!$C$8,"Error"))),"")</f>
        <v/>
      </c>
      <c r="F7554" s="8" t="str">
        <f>IF(Table1[[#This Row],[Is Data Valid]]=TRUE,EXP(0.578+0.332*((Table1[[#This Row],[Gestation (days)]]+0.5)/7)-0.00354*((Table1[[#This Row],[Gestation (days)]]+0.5)/7)^2)*Table1[[#This Row],[BW40_3705]],"")</f>
        <v/>
      </c>
      <c r="G7554" s="2" t="str">
        <f>IF(Table1[[#This Row],[Is Data Valid]]=TRUE,((Table1[[#This Row],[Birthweight (grams)]]/Table1[[#This Row],[BW_GA]])-1)/(Backend!$B$4/100*Table1[[#This Row],[BW40_3705]]),"")</f>
        <v/>
      </c>
      <c r="H7554" s="7" t="str">
        <f>IF(Table1[[#This Row],[Is Data Valid]]=TRUE,((Table1[[#This Row],[Birthweight (grams)]]*0.9/Table1[[#This Row],[BW_GA]])-1)/(Backend!$B$4/100*Table1[[#This Row],[BW40_3705]]),"")</f>
        <v/>
      </c>
      <c r="I7554" s="7" t="str">
        <f>IF(Table1[[#This Row],[Is Data Valid]]=TRUE,((Table1[[#This Row],[Birthweight (grams)]]*1.1/Table1[[#This Row],[BW_GA]])-1)/(Backend!$B$4/100*Table1[[#This Row],[BW40_3705]]),"")</f>
        <v/>
      </c>
      <c r="J7554" s="7" t="str">
        <f>IF(Table1[[#This Row],[Is Data Valid]]=TRUE,_xlfn.NORM.S.DIST(Table1[[#This Row],[Birthweight Z-Score]],TRUE)*100,"")</f>
        <v/>
      </c>
      <c r="K7554" s="7" t="str">
        <f>IF(Table1[[#This Row],[Is Data Valid]]=TRUE,_xlfn.NORM.S.DIST(Table1[[#This Row],[Birthweight Z-Score (BW-10%)]],TRUE)*100,"")</f>
        <v/>
      </c>
      <c r="L7554" s="7" t="str">
        <f>IF(Table1[[#This Row],[Is Data Valid]]=TRUE,_xlfn.NORM.S.DIST(Table1[[#This Row],[Birthweight Z-Score (BW+10%)]],TRUE)*100,"")</f>
        <v/>
      </c>
    </row>
    <row r="7555" spans="1:12" x14ac:dyDescent="0.35">
      <c r="A7555" s="3"/>
      <c r="B7555" s="2"/>
      <c r="C7555" s="2"/>
      <c r="D7555" s="2" t="b">
        <f>IF(AND(NOT(ISBLANK(Table1[[#This Row],[Fetal Sex (Male, Female or Unknown)]])),ISNUMBER(Table1[[#This Row],[Birthweight (grams)]]),ISNUMBER(Table1[[#This Row],[Gestation (days)]])),TRUE,FALSE)</f>
        <v>0</v>
      </c>
      <c r="E7555" s="2" t="str">
        <f>IF(Table1[[#This Row],[Is Data Valid]]=TRUE,IF(Table1[[#This Row],[Fetal Sex (Male, Female or Unknown)]]="Male",Backend!$C$6,IF(Table1[[#This Row],[Fetal Sex (Male, Female or Unknown)]]="Female",Backend!$C$7,IF(Table1[[#This Row],[Fetal Sex (Male, Female or Unknown)]]="Unknown",Backend!$C$8,"Error"))),"")</f>
        <v/>
      </c>
      <c r="F7555" s="8" t="str">
        <f>IF(Table1[[#This Row],[Is Data Valid]]=TRUE,EXP(0.578+0.332*((Table1[[#This Row],[Gestation (days)]]+0.5)/7)-0.00354*((Table1[[#This Row],[Gestation (days)]]+0.5)/7)^2)*Table1[[#This Row],[BW40_3705]],"")</f>
        <v/>
      </c>
      <c r="G7555" s="2" t="str">
        <f>IF(Table1[[#This Row],[Is Data Valid]]=TRUE,((Table1[[#This Row],[Birthweight (grams)]]/Table1[[#This Row],[BW_GA]])-1)/(Backend!$B$4/100*Table1[[#This Row],[BW40_3705]]),"")</f>
        <v/>
      </c>
      <c r="H7555" s="7" t="str">
        <f>IF(Table1[[#This Row],[Is Data Valid]]=TRUE,((Table1[[#This Row],[Birthweight (grams)]]*0.9/Table1[[#This Row],[BW_GA]])-1)/(Backend!$B$4/100*Table1[[#This Row],[BW40_3705]]),"")</f>
        <v/>
      </c>
      <c r="I7555" s="7" t="str">
        <f>IF(Table1[[#This Row],[Is Data Valid]]=TRUE,((Table1[[#This Row],[Birthweight (grams)]]*1.1/Table1[[#This Row],[BW_GA]])-1)/(Backend!$B$4/100*Table1[[#This Row],[BW40_3705]]),"")</f>
        <v/>
      </c>
      <c r="J7555" s="7" t="str">
        <f>IF(Table1[[#This Row],[Is Data Valid]]=TRUE,_xlfn.NORM.S.DIST(Table1[[#This Row],[Birthweight Z-Score]],TRUE)*100,"")</f>
        <v/>
      </c>
      <c r="K7555" s="7" t="str">
        <f>IF(Table1[[#This Row],[Is Data Valid]]=TRUE,_xlfn.NORM.S.DIST(Table1[[#This Row],[Birthweight Z-Score (BW-10%)]],TRUE)*100,"")</f>
        <v/>
      </c>
      <c r="L7555" s="7" t="str">
        <f>IF(Table1[[#This Row],[Is Data Valid]]=TRUE,_xlfn.NORM.S.DIST(Table1[[#This Row],[Birthweight Z-Score (BW+10%)]],TRUE)*100,"")</f>
        <v/>
      </c>
    </row>
    <row r="7556" spans="1:12" x14ac:dyDescent="0.35">
      <c r="A7556" s="3"/>
      <c r="B7556" s="2"/>
      <c r="C7556" s="2"/>
      <c r="D7556" s="2" t="b">
        <f>IF(AND(NOT(ISBLANK(Table1[[#This Row],[Fetal Sex (Male, Female or Unknown)]])),ISNUMBER(Table1[[#This Row],[Birthweight (grams)]]),ISNUMBER(Table1[[#This Row],[Gestation (days)]])),TRUE,FALSE)</f>
        <v>0</v>
      </c>
      <c r="E7556" s="2" t="str">
        <f>IF(Table1[[#This Row],[Is Data Valid]]=TRUE,IF(Table1[[#This Row],[Fetal Sex (Male, Female or Unknown)]]="Male",Backend!$C$6,IF(Table1[[#This Row],[Fetal Sex (Male, Female or Unknown)]]="Female",Backend!$C$7,IF(Table1[[#This Row],[Fetal Sex (Male, Female or Unknown)]]="Unknown",Backend!$C$8,"Error"))),"")</f>
        <v/>
      </c>
      <c r="F7556" s="8" t="str">
        <f>IF(Table1[[#This Row],[Is Data Valid]]=TRUE,EXP(0.578+0.332*((Table1[[#This Row],[Gestation (days)]]+0.5)/7)-0.00354*((Table1[[#This Row],[Gestation (days)]]+0.5)/7)^2)*Table1[[#This Row],[BW40_3705]],"")</f>
        <v/>
      </c>
      <c r="G7556" s="2" t="str">
        <f>IF(Table1[[#This Row],[Is Data Valid]]=TRUE,((Table1[[#This Row],[Birthweight (grams)]]/Table1[[#This Row],[BW_GA]])-1)/(Backend!$B$4/100*Table1[[#This Row],[BW40_3705]]),"")</f>
        <v/>
      </c>
      <c r="H7556" s="7" t="str">
        <f>IF(Table1[[#This Row],[Is Data Valid]]=TRUE,((Table1[[#This Row],[Birthweight (grams)]]*0.9/Table1[[#This Row],[BW_GA]])-1)/(Backend!$B$4/100*Table1[[#This Row],[BW40_3705]]),"")</f>
        <v/>
      </c>
      <c r="I7556" s="7" t="str">
        <f>IF(Table1[[#This Row],[Is Data Valid]]=TRUE,((Table1[[#This Row],[Birthweight (grams)]]*1.1/Table1[[#This Row],[BW_GA]])-1)/(Backend!$B$4/100*Table1[[#This Row],[BW40_3705]]),"")</f>
        <v/>
      </c>
      <c r="J7556" s="7" t="str">
        <f>IF(Table1[[#This Row],[Is Data Valid]]=TRUE,_xlfn.NORM.S.DIST(Table1[[#This Row],[Birthweight Z-Score]],TRUE)*100,"")</f>
        <v/>
      </c>
      <c r="K7556" s="7" t="str">
        <f>IF(Table1[[#This Row],[Is Data Valid]]=TRUE,_xlfn.NORM.S.DIST(Table1[[#This Row],[Birthweight Z-Score (BW-10%)]],TRUE)*100,"")</f>
        <v/>
      </c>
      <c r="L7556" s="7" t="str">
        <f>IF(Table1[[#This Row],[Is Data Valid]]=TRUE,_xlfn.NORM.S.DIST(Table1[[#This Row],[Birthweight Z-Score (BW+10%)]],TRUE)*100,"")</f>
        <v/>
      </c>
    </row>
    <row r="7557" spans="1:12" x14ac:dyDescent="0.35">
      <c r="A7557" s="3"/>
      <c r="B7557" s="2"/>
      <c r="C7557" s="2"/>
      <c r="D7557" s="2" t="b">
        <f>IF(AND(NOT(ISBLANK(Table1[[#This Row],[Fetal Sex (Male, Female or Unknown)]])),ISNUMBER(Table1[[#This Row],[Birthweight (grams)]]),ISNUMBER(Table1[[#This Row],[Gestation (days)]])),TRUE,FALSE)</f>
        <v>0</v>
      </c>
      <c r="E7557" s="2" t="str">
        <f>IF(Table1[[#This Row],[Is Data Valid]]=TRUE,IF(Table1[[#This Row],[Fetal Sex (Male, Female or Unknown)]]="Male",Backend!$C$6,IF(Table1[[#This Row],[Fetal Sex (Male, Female or Unknown)]]="Female",Backend!$C$7,IF(Table1[[#This Row],[Fetal Sex (Male, Female or Unknown)]]="Unknown",Backend!$C$8,"Error"))),"")</f>
        <v/>
      </c>
      <c r="F7557" s="8" t="str">
        <f>IF(Table1[[#This Row],[Is Data Valid]]=TRUE,EXP(0.578+0.332*((Table1[[#This Row],[Gestation (days)]]+0.5)/7)-0.00354*((Table1[[#This Row],[Gestation (days)]]+0.5)/7)^2)*Table1[[#This Row],[BW40_3705]],"")</f>
        <v/>
      </c>
      <c r="G7557" s="2" t="str">
        <f>IF(Table1[[#This Row],[Is Data Valid]]=TRUE,((Table1[[#This Row],[Birthweight (grams)]]/Table1[[#This Row],[BW_GA]])-1)/(Backend!$B$4/100*Table1[[#This Row],[BW40_3705]]),"")</f>
        <v/>
      </c>
      <c r="H7557" s="7" t="str">
        <f>IF(Table1[[#This Row],[Is Data Valid]]=TRUE,((Table1[[#This Row],[Birthweight (grams)]]*0.9/Table1[[#This Row],[BW_GA]])-1)/(Backend!$B$4/100*Table1[[#This Row],[BW40_3705]]),"")</f>
        <v/>
      </c>
      <c r="I7557" s="7" t="str">
        <f>IF(Table1[[#This Row],[Is Data Valid]]=TRUE,((Table1[[#This Row],[Birthweight (grams)]]*1.1/Table1[[#This Row],[BW_GA]])-1)/(Backend!$B$4/100*Table1[[#This Row],[BW40_3705]]),"")</f>
        <v/>
      </c>
      <c r="J7557" s="7" t="str">
        <f>IF(Table1[[#This Row],[Is Data Valid]]=TRUE,_xlfn.NORM.S.DIST(Table1[[#This Row],[Birthweight Z-Score]],TRUE)*100,"")</f>
        <v/>
      </c>
      <c r="K7557" s="7" t="str">
        <f>IF(Table1[[#This Row],[Is Data Valid]]=TRUE,_xlfn.NORM.S.DIST(Table1[[#This Row],[Birthweight Z-Score (BW-10%)]],TRUE)*100,"")</f>
        <v/>
      </c>
      <c r="L7557" s="7" t="str">
        <f>IF(Table1[[#This Row],[Is Data Valid]]=TRUE,_xlfn.NORM.S.DIST(Table1[[#This Row],[Birthweight Z-Score (BW+10%)]],TRUE)*100,"")</f>
        <v/>
      </c>
    </row>
    <row r="7558" spans="1:12" x14ac:dyDescent="0.35">
      <c r="A7558" s="3"/>
      <c r="B7558" s="2"/>
      <c r="C7558" s="2"/>
      <c r="D7558" s="2" t="b">
        <f>IF(AND(NOT(ISBLANK(Table1[[#This Row],[Fetal Sex (Male, Female or Unknown)]])),ISNUMBER(Table1[[#This Row],[Birthweight (grams)]]),ISNUMBER(Table1[[#This Row],[Gestation (days)]])),TRUE,FALSE)</f>
        <v>0</v>
      </c>
      <c r="E7558" s="2" t="str">
        <f>IF(Table1[[#This Row],[Is Data Valid]]=TRUE,IF(Table1[[#This Row],[Fetal Sex (Male, Female or Unknown)]]="Male",Backend!$C$6,IF(Table1[[#This Row],[Fetal Sex (Male, Female or Unknown)]]="Female",Backend!$C$7,IF(Table1[[#This Row],[Fetal Sex (Male, Female or Unknown)]]="Unknown",Backend!$C$8,"Error"))),"")</f>
        <v/>
      </c>
      <c r="F7558" s="8" t="str">
        <f>IF(Table1[[#This Row],[Is Data Valid]]=TRUE,EXP(0.578+0.332*((Table1[[#This Row],[Gestation (days)]]+0.5)/7)-0.00354*((Table1[[#This Row],[Gestation (days)]]+0.5)/7)^2)*Table1[[#This Row],[BW40_3705]],"")</f>
        <v/>
      </c>
      <c r="G7558" s="2" t="str">
        <f>IF(Table1[[#This Row],[Is Data Valid]]=TRUE,((Table1[[#This Row],[Birthweight (grams)]]/Table1[[#This Row],[BW_GA]])-1)/(Backend!$B$4/100*Table1[[#This Row],[BW40_3705]]),"")</f>
        <v/>
      </c>
      <c r="H7558" s="7" t="str">
        <f>IF(Table1[[#This Row],[Is Data Valid]]=TRUE,((Table1[[#This Row],[Birthweight (grams)]]*0.9/Table1[[#This Row],[BW_GA]])-1)/(Backend!$B$4/100*Table1[[#This Row],[BW40_3705]]),"")</f>
        <v/>
      </c>
      <c r="I7558" s="7" t="str">
        <f>IF(Table1[[#This Row],[Is Data Valid]]=TRUE,((Table1[[#This Row],[Birthweight (grams)]]*1.1/Table1[[#This Row],[BW_GA]])-1)/(Backend!$B$4/100*Table1[[#This Row],[BW40_3705]]),"")</f>
        <v/>
      </c>
      <c r="J7558" s="7" t="str">
        <f>IF(Table1[[#This Row],[Is Data Valid]]=TRUE,_xlfn.NORM.S.DIST(Table1[[#This Row],[Birthweight Z-Score]],TRUE)*100,"")</f>
        <v/>
      </c>
      <c r="K7558" s="7" t="str">
        <f>IF(Table1[[#This Row],[Is Data Valid]]=TRUE,_xlfn.NORM.S.DIST(Table1[[#This Row],[Birthweight Z-Score (BW-10%)]],TRUE)*100,"")</f>
        <v/>
      </c>
      <c r="L7558" s="7" t="str">
        <f>IF(Table1[[#This Row],[Is Data Valid]]=TRUE,_xlfn.NORM.S.DIST(Table1[[#This Row],[Birthweight Z-Score (BW+10%)]],TRUE)*100,"")</f>
        <v/>
      </c>
    </row>
    <row r="7559" spans="1:12" x14ac:dyDescent="0.35">
      <c r="A7559" s="3"/>
      <c r="B7559" s="2"/>
      <c r="C7559" s="2"/>
      <c r="D7559" s="2" t="b">
        <f>IF(AND(NOT(ISBLANK(Table1[[#This Row],[Fetal Sex (Male, Female or Unknown)]])),ISNUMBER(Table1[[#This Row],[Birthweight (grams)]]),ISNUMBER(Table1[[#This Row],[Gestation (days)]])),TRUE,FALSE)</f>
        <v>0</v>
      </c>
      <c r="E7559" s="2" t="str">
        <f>IF(Table1[[#This Row],[Is Data Valid]]=TRUE,IF(Table1[[#This Row],[Fetal Sex (Male, Female or Unknown)]]="Male",Backend!$C$6,IF(Table1[[#This Row],[Fetal Sex (Male, Female or Unknown)]]="Female",Backend!$C$7,IF(Table1[[#This Row],[Fetal Sex (Male, Female or Unknown)]]="Unknown",Backend!$C$8,"Error"))),"")</f>
        <v/>
      </c>
      <c r="F7559" s="8" t="str">
        <f>IF(Table1[[#This Row],[Is Data Valid]]=TRUE,EXP(0.578+0.332*((Table1[[#This Row],[Gestation (days)]]+0.5)/7)-0.00354*((Table1[[#This Row],[Gestation (days)]]+0.5)/7)^2)*Table1[[#This Row],[BW40_3705]],"")</f>
        <v/>
      </c>
      <c r="G7559" s="2" t="str">
        <f>IF(Table1[[#This Row],[Is Data Valid]]=TRUE,((Table1[[#This Row],[Birthweight (grams)]]/Table1[[#This Row],[BW_GA]])-1)/(Backend!$B$4/100*Table1[[#This Row],[BW40_3705]]),"")</f>
        <v/>
      </c>
      <c r="H7559" s="7" t="str">
        <f>IF(Table1[[#This Row],[Is Data Valid]]=TRUE,((Table1[[#This Row],[Birthweight (grams)]]*0.9/Table1[[#This Row],[BW_GA]])-1)/(Backend!$B$4/100*Table1[[#This Row],[BW40_3705]]),"")</f>
        <v/>
      </c>
      <c r="I7559" s="7" t="str">
        <f>IF(Table1[[#This Row],[Is Data Valid]]=TRUE,((Table1[[#This Row],[Birthweight (grams)]]*1.1/Table1[[#This Row],[BW_GA]])-1)/(Backend!$B$4/100*Table1[[#This Row],[BW40_3705]]),"")</f>
        <v/>
      </c>
      <c r="J7559" s="7" t="str">
        <f>IF(Table1[[#This Row],[Is Data Valid]]=TRUE,_xlfn.NORM.S.DIST(Table1[[#This Row],[Birthweight Z-Score]],TRUE)*100,"")</f>
        <v/>
      </c>
      <c r="K7559" s="7" t="str">
        <f>IF(Table1[[#This Row],[Is Data Valid]]=TRUE,_xlfn.NORM.S.DIST(Table1[[#This Row],[Birthweight Z-Score (BW-10%)]],TRUE)*100,"")</f>
        <v/>
      </c>
      <c r="L7559" s="7" t="str">
        <f>IF(Table1[[#This Row],[Is Data Valid]]=TRUE,_xlfn.NORM.S.DIST(Table1[[#This Row],[Birthweight Z-Score (BW+10%)]],TRUE)*100,"")</f>
        <v/>
      </c>
    </row>
    <row r="7560" spans="1:12" x14ac:dyDescent="0.35">
      <c r="A7560" s="3"/>
      <c r="B7560" s="2"/>
      <c r="C7560" s="2"/>
      <c r="D7560" s="2" t="b">
        <f>IF(AND(NOT(ISBLANK(Table1[[#This Row],[Fetal Sex (Male, Female or Unknown)]])),ISNUMBER(Table1[[#This Row],[Birthweight (grams)]]),ISNUMBER(Table1[[#This Row],[Gestation (days)]])),TRUE,FALSE)</f>
        <v>0</v>
      </c>
      <c r="E7560" s="2" t="str">
        <f>IF(Table1[[#This Row],[Is Data Valid]]=TRUE,IF(Table1[[#This Row],[Fetal Sex (Male, Female or Unknown)]]="Male",Backend!$C$6,IF(Table1[[#This Row],[Fetal Sex (Male, Female or Unknown)]]="Female",Backend!$C$7,IF(Table1[[#This Row],[Fetal Sex (Male, Female or Unknown)]]="Unknown",Backend!$C$8,"Error"))),"")</f>
        <v/>
      </c>
      <c r="F7560" s="8" t="str">
        <f>IF(Table1[[#This Row],[Is Data Valid]]=TRUE,EXP(0.578+0.332*((Table1[[#This Row],[Gestation (days)]]+0.5)/7)-0.00354*((Table1[[#This Row],[Gestation (days)]]+0.5)/7)^2)*Table1[[#This Row],[BW40_3705]],"")</f>
        <v/>
      </c>
      <c r="G7560" s="2" t="str">
        <f>IF(Table1[[#This Row],[Is Data Valid]]=TRUE,((Table1[[#This Row],[Birthweight (grams)]]/Table1[[#This Row],[BW_GA]])-1)/(Backend!$B$4/100*Table1[[#This Row],[BW40_3705]]),"")</f>
        <v/>
      </c>
      <c r="H7560" s="7" t="str">
        <f>IF(Table1[[#This Row],[Is Data Valid]]=TRUE,((Table1[[#This Row],[Birthweight (grams)]]*0.9/Table1[[#This Row],[BW_GA]])-1)/(Backend!$B$4/100*Table1[[#This Row],[BW40_3705]]),"")</f>
        <v/>
      </c>
      <c r="I7560" s="7" t="str">
        <f>IF(Table1[[#This Row],[Is Data Valid]]=TRUE,((Table1[[#This Row],[Birthweight (grams)]]*1.1/Table1[[#This Row],[BW_GA]])-1)/(Backend!$B$4/100*Table1[[#This Row],[BW40_3705]]),"")</f>
        <v/>
      </c>
      <c r="J7560" s="7" t="str">
        <f>IF(Table1[[#This Row],[Is Data Valid]]=TRUE,_xlfn.NORM.S.DIST(Table1[[#This Row],[Birthweight Z-Score]],TRUE)*100,"")</f>
        <v/>
      </c>
      <c r="K7560" s="7" t="str">
        <f>IF(Table1[[#This Row],[Is Data Valid]]=TRUE,_xlfn.NORM.S.DIST(Table1[[#This Row],[Birthweight Z-Score (BW-10%)]],TRUE)*100,"")</f>
        <v/>
      </c>
      <c r="L7560" s="7" t="str">
        <f>IF(Table1[[#This Row],[Is Data Valid]]=TRUE,_xlfn.NORM.S.DIST(Table1[[#This Row],[Birthweight Z-Score (BW+10%)]],TRUE)*100,"")</f>
        <v/>
      </c>
    </row>
    <row r="7561" spans="1:12" x14ac:dyDescent="0.35">
      <c r="A7561" s="3"/>
      <c r="B7561" s="2"/>
      <c r="C7561" s="2"/>
      <c r="D7561" s="2" t="b">
        <f>IF(AND(NOT(ISBLANK(Table1[[#This Row],[Fetal Sex (Male, Female or Unknown)]])),ISNUMBER(Table1[[#This Row],[Birthweight (grams)]]),ISNUMBER(Table1[[#This Row],[Gestation (days)]])),TRUE,FALSE)</f>
        <v>0</v>
      </c>
      <c r="E7561" s="2" t="str">
        <f>IF(Table1[[#This Row],[Is Data Valid]]=TRUE,IF(Table1[[#This Row],[Fetal Sex (Male, Female or Unknown)]]="Male",Backend!$C$6,IF(Table1[[#This Row],[Fetal Sex (Male, Female or Unknown)]]="Female",Backend!$C$7,IF(Table1[[#This Row],[Fetal Sex (Male, Female or Unknown)]]="Unknown",Backend!$C$8,"Error"))),"")</f>
        <v/>
      </c>
      <c r="F7561" s="8" t="str">
        <f>IF(Table1[[#This Row],[Is Data Valid]]=TRUE,EXP(0.578+0.332*((Table1[[#This Row],[Gestation (days)]]+0.5)/7)-0.00354*((Table1[[#This Row],[Gestation (days)]]+0.5)/7)^2)*Table1[[#This Row],[BW40_3705]],"")</f>
        <v/>
      </c>
      <c r="G7561" s="2" t="str">
        <f>IF(Table1[[#This Row],[Is Data Valid]]=TRUE,((Table1[[#This Row],[Birthweight (grams)]]/Table1[[#This Row],[BW_GA]])-1)/(Backend!$B$4/100*Table1[[#This Row],[BW40_3705]]),"")</f>
        <v/>
      </c>
      <c r="H7561" s="7" t="str">
        <f>IF(Table1[[#This Row],[Is Data Valid]]=TRUE,((Table1[[#This Row],[Birthweight (grams)]]*0.9/Table1[[#This Row],[BW_GA]])-1)/(Backend!$B$4/100*Table1[[#This Row],[BW40_3705]]),"")</f>
        <v/>
      </c>
      <c r="I7561" s="7" t="str">
        <f>IF(Table1[[#This Row],[Is Data Valid]]=TRUE,((Table1[[#This Row],[Birthweight (grams)]]*1.1/Table1[[#This Row],[BW_GA]])-1)/(Backend!$B$4/100*Table1[[#This Row],[BW40_3705]]),"")</f>
        <v/>
      </c>
      <c r="J7561" s="7" t="str">
        <f>IF(Table1[[#This Row],[Is Data Valid]]=TRUE,_xlfn.NORM.S.DIST(Table1[[#This Row],[Birthweight Z-Score]],TRUE)*100,"")</f>
        <v/>
      </c>
      <c r="K7561" s="7" t="str">
        <f>IF(Table1[[#This Row],[Is Data Valid]]=TRUE,_xlfn.NORM.S.DIST(Table1[[#This Row],[Birthweight Z-Score (BW-10%)]],TRUE)*100,"")</f>
        <v/>
      </c>
      <c r="L7561" s="7" t="str">
        <f>IF(Table1[[#This Row],[Is Data Valid]]=TRUE,_xlfn.NORM.S.DIST(Table1[[#This Row],[Birthweight Z-Score (BW+10%)]],TRUE)*100,"")</f>
        <v/>
      </c>
    </row>
    <row r="7562" spans="1:12" x14ac:dyDescent="0.35">
      <c r="A7562" s="3"/>
      <c r="B7562" s="2"/>
      <c r="C7562" s="2"/>
      <c r="D7562" s="2" t="b">
        <f>IF(AND(NOT(ISBLANK(Table1[[#This Row],[Fetal Sex (Male, Female or Unknown)]])),ISNUMBER(Table1[[#This Row],[Birthweight (grams)]]),ISNUMBER(Table1[[#This Row],[Gestation (days)]])),TRUE,FALSE)</f>
        <v>0</v>
      </c>
      <c r="E7562" s="2" t="str">
        <f>IF(Table1[[#This Row],[Is Data Valid]]=TRUE,IF(Table1[[#This Row],[Fetal Sex (Male, Female or Unknown)]]="Male",Backend!$C$6,IF(Table1[[#This Row],[Fetal Sex (Male, Female or Unknown)]]="Female",Backend!$C$7,IF(Table1[[#This Row],[Fetal Sex (Male, Female or Unknown)]]="Unknown",Backend!$C$8,"Error"))),"")</f>
        <v/>
      </c>
      <c r="F7562" s="8" t="str">
        <f>IF(Table1[[#This Row],[Is Data Valid]]=TRUE,EXP(0.578+0.332*((Table1[[#This Row],[Gestation (days)]]+0.5)/7)-0.00354*((Table1[[#This Row],[Gestation (days)]]+0.5)/7)^2)*Table1[[#This Row],[BW40_3705]],"")</f>
        <v/>
      </c>
      <c r="G7562" s="2" t="str">
        <f>IF(Table1[[#This Row],[Is Data Valid]]=TRUE,((Table1[[#This Row],[Birthweight (grams)]]/Table1[[#This Row],[BW_GA]])-1)/(Backend!$B$4/100*Table1[[#This Row],[BW40_3705]]),"")</f>
        <v/>
      </c>
      <c r="H7562" s="7" t="str">
        <f>IF(Table1[[#This Row],[Is Data Valid]]=TRUE,((Table1[[#This Row],[Birthweight (grams)]]*0.9/Table1[[#This Row],[BW_GA]])-1)/(Backend!$B$4/100*Table1[[#This Row],[BW40_3705]]),"")</f>
        <v/>
      </c>
      <c r="I7562" s="7" t="str">
        <f>IF(Table1[[#This Row],[Is Data Valid]]=TRUE,((Table1[[#This Row],[Birthweight (grams)]]*1.1/Table1[[#This Row],[BW_GA]])-1)/(Backend!$B$4/100*Table1[[#This Row],[BW40_3705]]),"")</f>
        <v/>
      </c>
      <c r="J7562" s="7" t="str">
        <f>IF(Table1[[#This Row],[Is Data Valid]]=TRUE,_xlfn.NORM.S.DIST(Table1[[#This Row],[Birthweight Z-Score]],TRUE)*100,"")</f>
        <v/>
      </c>
      <c r="K7562" s="7" t="str">
        <f>IF(Table1[[#This Row],[Is Data Valid]]=TRUE,_xlfn.NORM.S.DIST(Table1[[#This Row],[Birthweight Z-Score (BW-10%)]],TRUE)*100,"")</f>
        <v/>
      </c>
      <c r="L7562" s="7" t="str">
        <f>IF(Table1[[#This Row],[Is Data Valid]]=TRUE,_xlfn.NORM.S.DIST(Table1[[#This Row],[Birthweight Z-Score (BW+10%)]],TRUE)*100,"")</f>
        <v/>
      </c>
    </row>
    <row r="7563" spans="1:12" x14ac:dyDescent="0.35">
      <c r="A7563" s="3"/>
      <c r="B7563" s="2"/>
      <c r="C7563" s="2"/>
      <c r="D7563" s="2" t="b">
        <f>IF(AND(NOT(ISBLANK(Table1[[#This Row],[Fetal Sex (Male, Female or Unknown)]])),ISNUMBER(Table1[[#This Row],[Birthweight (grams)]]),ISNUMBER(Table1[[#This Row],[Gestation (days)]])),TRUE,FALSE)</f>
        <v>0</v>
      </c>
      <c r="E7563" s="2" t="str">
        <f>IF(Table1[[#This Row],[Is Data Valid]]=TRUE,IF(Table1[[#This Row],[Fetal Sex (Male, Female or Unknown)]]="Male",Backend!$C$6,IF(Table1[[#This Row],[Fetal Sex (Male, Female or Unknown)]]="Female",Backend!$C$7,IF(Table1[[#This Row],[Fetal Sex (Male, Female or Unknown)]]="Unknown",Backend!$C$8,"Error"))),"")</f>
        <v/>
      </c>
      <c r="F7563" s="8" t="str">
        <f>IF(Table1[[#This Row],[Is Data Valid]]=TRUE,EXP(0.578+0.332*((Table1[[#This Row],[Gestation (days)]]+0.5)/7)-0.00354*((Table1[[#This Row],[Gestation (days)]]+0.5)/7)^2)*Table1[[#This Row],[BW40_3705]],"")</f>
        <v/>
      </c>
      <c r="G7563" s="2" t="str">
        <f>IF(Table1[[#This Row],[Is Data Valid]]=TRUE,((Table1[[#This Row],[Birthweight (grams)]]/Table1[[#This Row],[BW_GA]])-1)/(Backend!$B$4/100*Table1[[#This Row],[BW40_3705]]),"")</f>
        <v/>
      </c>
      <c r="H7563" s="7" t="str">
        <f>IF(Table1[[#This Row],[Is Data Valid]]=TRUE,((Table1[[#This Row],[Birthweight (grams)]]*0.9/Table1[[#This Row],[BW_GA]])-1)/(Backend!$B$4/100*Table1[[#This Row],[BW40_3705]]),"")</f>
        <v/>
      </c>
      <c r="I7563" s="7" t="str">
        <f>IF(Table1[[#This Row],[Is Data Valid]]=TRUE,((Table1[[#This Row],[Birthweight (grams)]]*1.1/Table1[[#This Row],[BW_GA]])-1)/(Backend!$B$4/100*Table1[[#This Row],[BW40_3705]]),"")</f>
        <v/>
      </c>
      <c r="J7563" s="7" t="str">
        <f>IF(Table1[[#This Row],[Is Data Valid]]=TRUE,_xlfn.NORM.S.DIST(Table1[[#This Row],[Birthweight Z-Score]],TRUE)*100,"")</f>
        <v/>
      </c>
      <c r="K7563" s="7" t="str">
        <f>IF(Table1[[#This Row],[Is Data Valid]]=TRUE,_xlfn.NORM.S.DIST(Table1[[#This Row],[Birthweight Z-Score (BW-10%)]],TRUE)*100,"")</f>
        <v/>
      </c>
      <c r="L7563" s="7" t="str">
        <f>IF(Table1[[#This Row],[Is Data Valid]]=TRUE,_xlfn.NORM.S.DIST(Table1[[#This Row],[Birthweight Z-Score (BW+10%)]],TRUE)*100,"")</f>
        <v/>
      </c>
    </row>
    <row r="7564" spans="1:12" x14ac:dyDescent="0.35">
      <c r="A7564" s="3"/>
      <c r="B7564" s="2"/>
      <c r="C7564" s="2"/>
      <c r="D7564" s="2" t="b">
        <f>IF(AND(NOT(ISBLANK(Table1[[#This Row],[Fetal Sex (Male, Female or Unknown)]])),ISNUMBER(Table1[[#This Row],[Birthweight (grams)]]),ISNUMBER(Table1[[#This Row],[Gestation (days)]])),TRUE,FALSE)</f>
        <v>0</v>
      </c>
      <c r="E7564" s="2" t="str">
        <f>IF(Table1[[#This Row],[Is Data Valid]]=TRUE,IF(Table1[[#This Row],[Fetal Sex (Male, Female or Unknown)]]="Male",Backend!$C$6,IF(Table1[[#This Row],[Fetal Sex (Male, Female or Unknown)]]="Female",Backend!$C$7,IF(Table1[[#This Row],[Fetal Sex (Male, Female or Unknown)]]="Unknown",Backend!$C$8,"Error"))),"")</f>
        <v/>
      </c>
      <c r="F7564" s="8" t="str">
        <f>IF(Table1[[#This Row],[Is Data Valid]]=TRUE,EXP(0.578+0.332*((Table1[[#This Row],[Gestation (days)]]+0.5)/7)-0.00354*((Table1[[#This Row],[Gestation (days)]]+0.5)/7)^2)*Table1[[#This Row],[BW40_3705]],"")</f>
        <v/>
      </c>
      <c r="G7564" s="2" t="str">
        <f>IF(Table1[[#This Row],[Is Data Valid]]=TRUE,((Table1[[#This Row],[Birthweight (grams)]]/Table1[[#This Row],[BW_GA]])-1)/(Backend!$B$4/100*Table1[[#This Row],[BW40_3705]]),"")</f>
        <v/>
      </c>
      <c r="H7564" s="7" t="str">
        <f>IF(Table1[[#This Row],[Is Data Valid]]=TRUE,((Table1[[#This Row],[Birthweight (grams)]]*0.9/Table1[[#This Row],[BW_GA]])-1)/(Backend!$B$4/100*Table1[[#This Row],[BW40_3705]]),"")</f>
        <v/>
      </c>
      <c r="I7564" s="7" t="str">
        <f>IF(Table1[[#This Row],[Is Data Valid]]=TRUE,((Table1[[#This Row],[Birthweight (grams)]]*1.1/Table1[[#This Row],[BW_GA]])-1)/(Backend!$B$4/100*Table1[[#This Row],[BW40_3705]]),"")</f>
        <v/>
      </c>
      <c r="J7564" s="7" t="str">
        <f>IF(Table1[[#This Row],[Is Data Valid]]=TRUE,_xlfn.NORM.S.DIST(Table1[[#This Row],[Birthweight Z-Score]],TRUE)*100,"")</f>
        <v/>
      </c>
      <c r="K7564" s="7" t="str">
        <f>IF(Table1[[#This Row],[Is Data Valid]]=TRUE,_xlfn.NORM.S.DIST(Table1[[#This Row],[Birthweight Z-Score (BW-10%)]],TRUE)*100,"")</f>
        <v/>
      </c>
      <c r="L7564" s="7" t="str">
        <f>IF(Table1[[#This Row],[Is Data Valid]]=TRUE,_xlfn.NORM.S.DIST(Table1[[#This Row],[Birthweight Z-Score (BW+10%)]],TRUE)*100,"")</f>
        <v/>
      </c>
    </row>
    <row r="7565" spans="1:12" x14ac:dyDescent="0.35">
      <c r="A7565" s="3"/>
      <c r="B7565" s="2"/>
      <c r="C7565" s="2"/>
      <c r="D7565" s="2" t="b">
        <f>IF(AND(NOT(ISBLANK(Table1[[#This Row],[Fetal Sex (Male, Female or Unknown)]])),ISNUMBER(Table1[[#This Row],[Birthweight (grams)]]),ISNUMBER(Table1[[#This Row],[Gestation (days)]])),TRUE,FALSE)</f>
        <v>0</v>
      </c>
      <c r="E7565" s="2" t="str">
        <f>IF(Table1[[#This Row],[Is Data Valid]]=TRUE,IF(Table1[[#This Row],[Fetal Sex (Male, Female or Unknown)]]="Male",Backend!$C$6,IF(Table1[[#This Row],[Fetal Sex (Male, Female or Unknown)]]="Female",Backend!$C$7,IF(Table1[[#This Row],[Fetal Sex (Male, Female or Unknown)]]="Unknown",Backend!$C$8,"Error"))),"")</f>
        <v/>
      </c>
      <c r="F7565" s="8" t="str">
        <f>IF(Table1[[#This Row],[Is Data Valid]]=TRUE,EXP(0.578+0.332*((Table1[[#This Row],[Gestation (days)]]+0.5)/7)-0.00354*((Table1[[#This Row],[Gestation (days)]]+0.5)/7)^2)*Table1[[#This Row],[BW40_3705]],"")</f>
        <v/>
      </c>
      <c r="G7565" s="2" t="str">
        <f>IF(Table1[[#This Row],[Is Data Valid]]=TRUE,((Table1[[#This Row],[Birthweight (grams)]]/Table1[[#This Row],[BW_GA]])-1)/(Backend!$B$4/100*Table1[[#This Row],[BW40_3705]]),"")</f>
        <v/>
      </c>
      <c r="H7565" s="7" t="str">
        <f>IF(Table1[[#This Row],[Is Data Valid]]=TRUE,((Table1[[#This Row],[Birthweight (grams)]]*0.9/Table1[[#This Row],[BW_GA]])-1)/(Backend!$B$4/100*Table1[[#This Row],[BW40_3705]]),"")</f>
        <v/>
      </c>
      <c r="I7565" s="7" t="str">
        <f>IF(Table1[[#This Row],[Is Data Valid]]=TRUE,((Table1[[#This Row],[Birthweight (grams)]]*1.1/Table1[[#This Row],[BW_GA]])-1)/(Backend!$B$4/100*Table1[[#This Row],[BW40_3705]]),"")</f>
        <v/>
      </c>
      <c r="J7565" s="7" t="str">
        <f>IF(Table1[[#This Row],[Is Data Valid]]=TRUE,_xlfn.NORM.S.DIST(Table1[[#This Row],[Birthweight Z-Score]],TRUE)*100,"")</f>
        <v/>
      </c>
      <c r="K7565" s="7" t="str">
        <f>IF(Table1[[#This Row],[Is Data Valid]]=TRUE,_xlfn.NORM.S.DIST(Table1[[#This Row],[Birthweight Z-Score (BW-10%)]],TRUE)*100,"")</f>
        <v/>
      </c>
      <c r="L7565" s="7" t="str">
        <f>IF(Table1[[#This Row],[Is Data Valid]]=TRUE,_xlfn.NORM.S.DIST(Table1[[#This Row],[Birthweight Z-Score (BW+10%)]],TRUE)*100,"")</f>
        <v/>
      </c>
    </row>
    <row r="7566" spans="1:12" x14ac:dyDescent="0.35">
      <c r="A7566" s="3"/>
      <c r="B7566" s="2"/>
      <c r="C7566" s="2"/>
      <c r="D7566" s="2" t="b">
        <f>IF(AND(NOT(ISBLANK(Table1[[#This Row],[Fetal Sex (Male, Female or Unknown)]])),ISNUMBER(Table1[[#This Row],[Birthweight (grams)]]),ISNUMBER(Table1[[#This Row],[Gestation (days)]])),TRUE,FALSE)</f>
        <v>0</v>
      </c>
      <c r="E7566" s="2" t="str">
        <f>IF(Table1[[#This Row],[Is Data Valid]]=TRUE,IF(Table1[[#This Row],[Fetal Sex (Male, Female or Unknown)]]="Male",Backend!$C$6,IF(Table1[[#This Row],[Fetal Sex (Male, Female or Unknown)]]="Female",Backend!$C$7,IF(Table1[[#This Row],[Fetal Sex (Male, Female or Unknown)]]="Unknown",Backend!$C$8,"Error"))),"")</f>
        <v/>
      </c>
      <c r="F7566" s="8" t="str">
        <f>IF(Table1[[#This Row],[Is Data Valid]]=TRUE,EXP(0.578+0.332*((Table1[[#This Row],[Gestation (days)]]+0.5)/7)-0.00354*((Table1[[#This Row],[Gestation (days)]]+0.5)/7)^2)*Table1[[#This Row],[BW40_3705]],"")</f>
        <v/>
      </c>
      <c r="G7566" s="2" t="str">
        <f>IF(Table1[[#This Row],[Is Data Valid]]=TRUE,((Table1[[#This Row],[Birthweight (grams)]]/Table1[[#This Row],[BW_GA]])-1)/(Backend!$B$4/100*Table1[[#This Row],[BW40_3705]]),"")</f>
        <v/>
      </c>
      <c r="H7566" s="7" t="str">
        <f>IF(Table1[[#This Row],[Is Data Valid]]=TRUE,((Table1[[#This Row],[Birthweight (grams)]]*0.9/Table1[[#This Row],[BW_GA]])-1)/(Backend!$B$4/100*Table1[[#This Row],[BW40_3705]]),"")</f>
        <v/>
      </c>
      <c r="I7566" s="7" t="str">
        <f>IF(Table1[[#This Row],[Is Data Valid]]=TRUE,((Table1[[#This Row],[Birthweight (grams)]]*1.1/Table1[[#This Row],[BW_GA]])-1)/(Backend!$B$4/100*Table1[[#This Row],[BW40_3705]]),"")</f>
        <v/>
      </c>
      <c r="J7566" s="7" t="str">
        <f>IF(Table1[[#This Row],[Is Data Valid]]=TRUE,_xlfn.NORM.S.DIST(Table1[[#This Row],[Birthweight Z-Score]],TRUE)*100,"")</f>
        <v/>
      </c>
      <c r="K7566" s="7" t="str">
        <f>IF(Table1[[#This Row],[Is Data Valid]]=TRUE,_xlfn.NORM.S.DIST(Table1[[#This Row],[Birthweight Z-Score (BW-10%)]],TRUE)*100,"")</f>
        <v/>
      </c>
      <c r="L7566" s="7" t="str">
        <f>IF(Table1[[#This Row],[Is Data Valid]]=TRUE,_xlfn.NORM.S.DIST(Table1[[#This Row],[Birthweight Z-Score (BW+10%)]],TRUE)*100,"")</f>
        <v/>
      </c>
    </row>
    <row r="7567" spans="1:12" x14ac:dyDescent="0.35">
      <c r="A7567" s="3"/>
      <c r="B7567" s="2"/>
      <c r="C7567" s="2"/>
      <c r="D7567" s="2" t="b">
        <f>IF(AND(NOT(ISBLANK(Table1[[#This Row],[Fetal Sex (Male, Female or Unknown)]])),ISNUMBER(Table1[[#This Row],[Birthweight (grams)]]),ISNUMBER(Table1[[#This Row],[Gestation (days)]])),TRUE,FALSE)</f>
        <v>0</v>
      </c>
      <c r="E7567" s="2" t="str">
        <f>IF(Table1[[#This Row],[Is Data Valid]]=TRUE,IF(Table1[[#This Row],[Fetal Sex (Male, Female or Unknown)]]="Male",Backend!$C$6,IF(Table1[[#This Row],[Fetal Sex (Male, Female or Unknown)]]="Female",Backend!$C$7,IF(Table1[[#This Row],[Fetal Sex (Male, Female or Unknown)]]="Unknown",Backend!$C$8,"Error"))),"")</f>
        <v/>
      </c>
      <c r="F7567" s="8" t="str">
        <f>IF(Table1[[#This Row],[Is Data Valid]]=TRUE,EXP(0.578+0.332*((Table1[[#This Row],[Gestation (days)]]+0.5)/7)-0.00354*((Table1[[#This Row],[Gestation (days)]]+0.5)/7)^2)*Table1[[#This Row],[BW40_3705]],"")</f>
        <v/>
      </c>
      <c r="G7567" s="2" t="str">
        <f>IF(Table1[[#This Row],[Is Data Valid]]=TRUE,((Table1[[#This Row],[Birthweight (grams)]]/Table1[[#This Row],[BW_GA]])-1)/(Backend!$B$4/100*Table1[[#This Row],[BW40_3705]]),"")</f>
        <v/>
      </c>
      <c r="H7567" s="7" t="str">
        <f>IF(Table1[[#This Row],[Is Data Valid]]=TRUE,((Table1[[#This Row],[Birthweight (grams)]]*0.9/Table1[[#This Row],[BW_GA]])-1)/(Backend!$B$4/100*Table1[[#This Row],[BW40_3705]]),"")</f>
        <v/>
      </c>
      <c r="I7567" s="7" t="str">
        <f>IF(Table1[[#This Row],[Is Data Valid]]=TRUE,((Table1[[#This Row],[Birthweight (grams)]]*1.1/Table1[[#This Row],[BW_GA]])-1)/(Backend!$B$4/100*Table1[[#This Row],[BW40_3705]]),"")</f>
        <v/>
      </c>
      <c r="J7567" s="7" t="str">
        <f>IF(Table1[[#This Row],[Is Data Valid]]=TRUE,_xlfn.NORM.S.DIST(Table1[[#This Row],[Birthweight Z-Score]],TRUE)*100,"")</f>
        <v/>
      </c>
      <c r="K7567" s="7" t="str">
        <f>IF(Table1[[#This Row],[Is Data Valid]]=TRUE,_xlfn.NORM.S.DIST(Table1[[#This Row],[Birthweight Z-Score (BW-10%)]],TRUE)*100,"")</f>
        <v/>
      </c>
      <c r="L7567" s="7" t="str">
        <f>IF(Table1[[#This Row],[Is Data Valid]]=TRUE,_xlfn.NORM.S.DIST(Table1[[#This Row],[Birthweight Z-Score (BW+10%)]],TRUE)*100,"")</f>
        <v/>
      </c>
    </row>
    <row r="7568" spans="1:12" x14ac:dyDescent="0.35">
      <c r="A7568" s="3"/>
      <c r="B7568" s="2"/>
      <c r="C7568" s="2"/>
      <c r="D7568" s="2" t="b">
        <f>IF(AND(NOT(ISBLANK(Table1[[#This Row],[Fetal Sex (Male, Female or Unknown)]])),ISNUMBER(Table1[[#This Row],[Birthweight (grams)]]),ISNUMBER(Table1[[#This Row],[Gestation (days)]])),TRUE,FALSE)</f>
        <v>0</v>
      </c>
      <c r="E7568" s="2" t="str">
        <f>IF(Table1[[#This Row],[Is Data Valid]]=TRUE,IF(Table1[[#This Row],[Fetal Sex (Male, Female or Unknown)]]="Male",Backend!$C$6,IF(Table1[[#This Row],[Fetal Sex (Male, Female or Unknown)]]="Female",Backend!$C$7,IF(Table1[[#This Row],[Fetal Sex (Male, Female or Unknown)]]="Unknown",Backend!$C$8,"Error"))),"")</f>
        <v/>
      </c>
      <c r="F7568" s="8" t="str">
        <f>IF(Table1[[#This Row],[Is Data Valid]]=TRUE,EXP(0.578+0.332*((Table1[[#This Row],[Gestation (days)]]+0.5)/7)-0.00354*((Table1[[#This Row],[Gestation (days)]]+0.5)/7)^2)*Table1[[#This Row],[BW40_3705]],"")</f>
        <v/>
      </c>
      <c r="G7568" s="2" t="str">
        <f>IF(Table1[[#This Row],[Is Data Valid]]=TRUE,((Table1[[#This Row],[Birthweight (grams)]]/Table1[[#This Row],[BW_GA]])-1)/(Backend!$B$4/100*Table1[[#This Row],[BW40_3705]]),"")</f>
        <v/>
      </c>
      <c r="H7568" s="7" t="str">
        <f>IF(Table1[[#This Row],[Is Data Valid]]=TRUE,((Table1[[#This Row],[Birthweight (grams)]]*0.9/Table1[[#This Row],[BW_GA]])-1)/(Backend!$B$4/100*Table1[[#This Row],[BW40_3705]]),"")</f>
        <v/>
      </c>
      <c r="I7568" s="7" t="str">
        <f>IF(Table1[[#This Row],[Is Data Valid]]=TRUE,((Table1[[#This Row],[Birthweight (grams)]]*1.1/Table1[[#This Row],[BW_GA]])-1)/(Backend!$B$4/100*Table1[[#This Row],[BW40_3705]]),"")</f>
        <v/>
      </c>
      <c r="J7568" s="7" t="str">
        <f>IF(Table1[[#This Row],[Is Data Valid]]=TRUE,_xlfn.NORM.S.DIST(Table1[[#This Row],[Birthweight Z-Score]],TRUE)*100,"")</f>
        <v/>
      </c>
      <c r="K7568" s="7" t="str">
        <f>IF(Table1[[#This Row],[Is Data Valid]]=TRUE,_xlfn.NORM.S.DIST(Table1[[#This Row],[Birthweight Z-Score (BW-10%)]],TRUE)*100,"")</f>
        <v/>
      </c>
      <c r="L7568" s="7" t="str">
        <f>IF(Table1[[#This Row],[Is Data Valid]]=TRUE,_xlfn.NORM.S.DIST(Table1[[#This Row],[Birthweight Z-Score (BW+10%)]],TRUE)*100,"")</f>
        <v/>
      </c>
    </row>
    <row r="7569" spans="1:12" x14ac:dyDescent="0.35">
      <c r="A7569" s="3"/>
      <c r="B7569" s="2"/>
      <c r="C7569" s="2"/>
      <c r="D7569" s="2" t="b">
        <f>IF(AND(NOT(ISBLANK(Table1[[#This Row],[Fetal Sex (Male, Female or Unknown)]])),ISNUMBER(Table1[[#This Row],[Birthweight (grams)]]),ISNUMBER(Table1[[#This Row],[Gestation (days)]])),TRUE,FALSE)</f>
        <v>0</v>
      </c>
      <c r="E7569" s="2" t="str">
        <f>IF(Table1[[#This Row],[Is Data Valid]]=TRUE,IF(Table1[[#This Row],[Fetal Sex (Male, Female or Unknown)]]="Male",Backend!$C$6,IF(Table1[[#This Row],[Fetal Sex (Male, Female or Unknown)]]="Female",Backend!$C$7,IF(Table1[[#This Row],[Fetal Sex (Male, Female or Unknown)]]="Unknown",Backend!$C$8,"Error"))),"")</f>
        <v/>
      </c>
      <c r="F7569" s="8" t="str">
        <f>IF(Table1[[#This Row],[Is Data Valid]]=TRUE,EXP(0.578+0.332*((Table1[[#This Row],[Gestation (days)]]+0.5)/7)-0.00354*((Table1[[#This Row],[Gestation (days)]]+0.5)/7)^2)*Table1[[#This Row],[BW40_3705]],"")</f>
        <v/>
      </c>
      <c r="G7569" s="2" t="str">
        <f>IF(Table1[[#This Row],[Is Data Valid]]=TRUE,((Table1[[#This Row],[Birthweight (grams)]]/Table1[[#This Row],[BW_GA]])-1)/(Backend!$B$4/100*Table1[[#This Row],[BW40_3705]]),"")</f>
        <v/>
      </c>
      <c r="H7569" s="7" t="str">
        <f>IF(Table1[[#This Row],[Is Data Valid]]=TRUE,((Table1[[#This Row],[Birthweight (grams)]]*0.9/Table1[[#This Row],[BW_GA]])-1)/(Backend!$B$4/100*Table1[[#This Row],[BW40_3705]]),"")</f>
        <v/>
      </c>
      <c r="I7569" s="7" t="str">
        <f>IF(Table1[[#This Row],[Is Data Valid]]=TRUE,((Table1[[#This Row],[Birthweight (grams)]]*1.1/Table1[[#This Row],[BW_GA]])-1)/(Backend!$B$4/100*Table1[[#This Row],[BW40_3705]]),"")</f>
        <v/>
      </c>
      <c r="J7569" s="7" t="str">
        <f>IF(Table1[[#This Row],[Is Data Valid]]=TRUE,_xlfn.NORM.S.DIST(Table1[[#This Row],[Birthweight Z-Score]],TRUE)*100,"")</f>
        <v/>
      </c>
      <c r="K7569" s="7" t="str">
        <f>IF(Table1[[#This Row],[Is Data Valid]]=TRUE,_xlfn.NORM.S.DIST(Table1[[#This Row],[Birthweight Z-Score (BW-10%)]],TRUE)*100,"")</f>
        <v/>
      </c>
      <c r="L7569" s="7" t="str">
        <f>IF(Table1[[#This Row],[Is Data Valid]]=TRUE,_xlfn.NORM.S.DIST(Table1[[#This Row],[Birthweight Z-Score (BW+10%)]],TRUE)*100,"")</f>
        <v/>
      </c>
    </row>
    <row r="7570" spans="1:12" x14ac:dyDescent="0.35">
      <c r="A7570" s="3"/>
      <c r="B7570" s="2"/>
      <c r="C7570" s="2"/>
      <c r="D7570" s="2" t="b">
        <f>IF(AND(NOT(ISBLANK(Table1[[#This Row],[Fetal Sex (Male, Female or Unknown)]])),ISNUMBER(Table1[[#This Row],[Birthweight (grams)]]),ISNUMBER(Table1[[#This Row],[Gestation (days)]])),TRUE,FALSE)</f>
        <v>0</v>
      </c>
      <c r="E7570" s="2" t="str">
        <f>IF(Table1[[#This Row],[Is Data Valid]]=TRUE,IF(Table1[[#This Row],[Fetal Sex (Male, Female or Unknown)]]="Male",Backend!$C$6,IF(Table1[[#This Row],[Fetal Sex (Male, Female or Unknown)]]="Female",Backend!$C$7,IF(Table1[[#This Row],[Fetal Sex (Male, Female or Unknown)]]="Unknown",Backend!$C$8,"Error"))),"")</f>
        <v/>
      </c>
      <c r="F7570" s="8" t="str">
        <f>IF(Table1[[#This Row],[Is Data Valid]]=TRUE,EXP(0.578+0.332*((Table1[[#This Row],[Gestation (days)]]+0.5)/7)-0.00354*((Table1[[#This Row],[Gestation (days)]]+0.5)/7)^2)*Table1[[#This Row],[BW40_3705]],"")</f>
        <v/>
      </c>
      <c r="G7570" s="2" t="str">
        <f>IF(Table1[[#This Row],[Is Data Valid]]=TRUE,((Table1[[#This Row],[Birthweight (grams)]]/Table1[[#This Row],[BW_GA]])-1)/(Backend!$B$4/100*Table1[[#This Row],[BW40_3705]]),"")</f>
        <v/>
      </c>
      <c r="H7570" s="7" t="str">
        <f>IF(Table1[[#This Row],[Is Data Valid]]=TRUE,((Table1[[#This Row],[Birthweight (grams)]]*0.9/Table1[[#This Row],[BW_GA]])-1)/(Backend!$B$4/100*Table1[[#This Row],[BW40_3705]]),"")</f>
        <v/>
      </c>
      <c r="I7570" s="7" t="str">
        <f>IF(Table1[[#This Row],[Is Data Valid]]=TRUE,((Table1[[#This Row],[Birthweight (grams)]]*1.1/Table1[[#This Row],[BW_GA]])-1)/(Backend!$B$4/100*Table1[[#This Row],[BW40_3705]]),"")</f>
        <v/>
      </c>
      <c r="J7570" s="7" t="str">
        <f>IF(Table1[[#This Row],[Is Data Valid]]=TRUE,_xlfn.NORM.S.DIST(Table1[[#This Row],[Birthweight Z-Score]],TRUE)*100,"")</f>
        <v/>
      </c>
      <c r="K7570" s="7" t="str">
        <f>IF(Table1[[#This Row],[Is Data Valid]]=TRUE,_xlfn.NORM.S.DIST(Table1[[#This Row],[Birthweight Z-Score (BW-10%)]],TRUE)*100,"")</f>
        <v/>
      </c>
      <c r="L7570" s="7" t="str">
        <f>IF(Table1[[#This Row],[Is Data Valid]]=TRUE,_xlfn.NORM.S.DIST(Table1[[#This Row],[Birthweight Z-Score (BW+10%)]],TRUE)*100,"")</f>
        <v/>
      </c>
    </row>
    <row r="7571" spans="1:12" x14ac:dyDescent="0.35">
      <c r="A7571" s="3"/>
      <c r="B7571" s="2"/>
      <c r="C7571" s="2"/>
      <c r="D7571" s="2" t="b">
        <f>IF(AND(NOT(ISBLANK(Table1[[#This Row],[Fetal Sex (Male, Female or Unknown)]])),ISNUMBER(Table1[[#This Row],[Birthweight (grams)]]),ISNUMBER(Table1[[#This Row],[Gestation (days)]])),TRUE,FALSE)</f>
        <v>0</v>
      </c>
      <c r="E7571" s="2" t="str">
        <f>IF(Table1[[#This Row],[Is Data Valid]]=TRUE,IF(Table1[[#This Row],[Fetal Sex (Male, Female or Unknown)]]="Male",Backend!$C$6,IF(Table1[[#This Row],[Fetal Sex (Male, Female or Unknown)]]="Female",Backend!$C$7,IF(Table1[[#This Row],[Fetal Sex (Male, Female or Unknown)]]="Unknown",Backend!$C$8,"Error"))),"")</f>
        <v/>
      </c>
      <c r="F7571" s="8" t="str">
        <f>IF(Table1[[#This Row],[Is Data Valid]]=TRUE,EXP(0.578+0.332*((Table1[[#This Row],[Gestation (days)]]+0.5)/7)-0.00354*((Table1[[#This Row],[Gestation (days)]]+0.5)/7)^2)*Table1[[#This Row],[BW40_3705]],"")</f>
        <v/>
      </c>
      <c r="G7571" s="2" t="str">
        <f>IF(Table1[[#This Row],[Is Data Valid]]=TRUE,((Table1[[#This Row],[Birthweight (grams)]]/Table1[[#This Row],[BW_GA]])-1)/(Backend!$B$4/100*Table1[[#This Row],[BW40_3705]]),"")</f>
        <v/>
      </c>
      <c r="H7571" s="7" t="str">
        <f>IF(Table1[[#This Row],[Is Data Valid]]=TRUE,((Table1[[#This Row],[Birthweight (grams)]]*0.9/Table1[[#This Row],[BW_GA]])-1)/(Backend!$B$4/100*Table1[[#This Row],[BW40_3705]]),"")</f>
        <v/>
      </c>
      <c r="I7571" s="7" t="str">
        <f>IF(Table1[[#This Row],[Is Data Valid]]=TRUE,((Table1[[#This Row],[Birthweight (grams)]]*1.1/Table1[[#This Row],[BW_GA]])-1)/(Backend!$B$4/100*Table1[[#This Row],[BW40_3705]]),"")</f>
        <v/>
      </c>
      <c r="J7571" s="7" t="str">
        <f>IF(Table1[[#This Row],[Is Data Valid]]=TRUE,_xlfn.NORM.S.DIST(Table1[[#This Row],[Birthweight Z-Score]],TRUE)*100,"")</f>
        <v/>
      </c>
      <c r="K7571" s="7" t="str">
        <f>IF(Table1[[#This Row],[Is Data Valid]]=TRUE,_xlfn.NORM.S.DIST(Table1[[#This Row],[Birthweight Z-Score (BW-10%)]],TRUE)*100,"")</f>
        <v/>
      </c>
      <c r="L7571" s="7" t="str">
        <f>IF(Table1[[#This Row],[Is Data Valid]]=TRUE,_xlfn.NORM.S.DIST(Table1[[#This Row],[Birthweight Z-Score (BW+10%)]],TRUE)*100,"")</f>
        <v/>
      </c>
    </row>
    <row r="7572" spans="1:12" x14ac:dyDescent="0.35">
      <c r="A7572" s="3"/>
      <c r="B7572" s="2"/>
      <c r="C7572" s="2"/>
      <c r="D7572" s="2" t="b">
        <f>IF(AND(NOT(ISBLANK(Table1[[#This Row],[Fetal Sex (Male, Female or Unknown)]])),ISNUMBER(Table1[[#This Row],[Birthweight (grams)]]),ISNUMBER(Table1[[#This Row],[Gestation (days)]])),TRUE,FALSE)</f>
        <v>0</v>
      </c>
      <c r="E7572" s="2" t="str">
        <f>IF(Table1[[#This Row],[Is Data Valid]]=TRUE,IF(Table1[[#This Row],[Fetal Sex (Male, Female or Unknown)]]="Male",Backend!$C$6,IF(Table1[[#This Row],[Fetal Sex (Male, Female or Unknown)]]="Female",Backend!$C$7,IF(Table1[[#This Row],[Fetal Sex (Male, Female or Unknown)]]="Unknown",Backend!$C$8,"Error"))),"")</f>
        <v/>
      </c>
      <c r="F7572" s="8" t="str">
        <f>IF(Table1[[#This Row],[Is Data Valid]]=TRUE,EXP(0.578+0.332*((Table1[[#This Row],[Gestation (days)]]+0.5)/7)-0.00354*((Table1[[#This Row],[Gestation (days)]]+0.5)/7)^2)*Table1[[#This Row],[BW40_3705]],"")</f>
        <v/>
      </c>
      <c r="G7572" s="2" t="str">
        <f>IF(Table1[[#This Row],[Is Data Valid]]=TRUE,((Table1[[#This Row],[Birthweight (grams)]]/Table1[[#This Row],[BW_GA]])-1)/(Backend!$B$4/100*Table1[[#This Row],[BW40_3705]]),"")</f>
        <v/>
      </c>
      <c r="H7572" s="7" t="str">
        <f>IF(Table1[[#This Row],[Is Data Valid]]=TRUE,((Table1[[#This Row],[Birthweight (grams)]]*0.9/Table1[[#This Row],[BW_GA]])-1)/(Backend!$B$4/100*Table1[[#This Row],[BW40_3705]]),"")</f>
        <v/>
      </c>
      <c r="I7572" s="7" t="str">
        <f>IF(Table1[[#This Row],[Is Data Valid]]=TRUE,((Table1[[#This Row],[Birthweight (grams)]]*1.1/Table1[[#This Row],[BW_GA]])-1)/(Backend!$B$4/100*Table1[[#This Row],[BW40_3705]]),"")</f>
        <v/>
      </c>
      <c r="J7572" s="7" t="str">
        <f>IF(Table1[[#This Row],[Is Data Valid]]=TRUE,_xlfn.NORM.S.DIST(Table1[[#This Row],[Birthweight Z-Score]],TRUE)*100,"")</f>
        <v/>
      </c>
      <c r="K7572" s="7" t="str">
        <f>IF(Table1[[#This Row],[Is Data Valid]]=TRUE,_xlfn.NORM.S.DIST(Table1[[#This Row],[Birthweight Z-Score (BW-10%)]],TRUE)*100,"")</f>
        <v/>
      </c>
      <c r="L7572" s="7" t="str">
        <f>IF(Table1[[#This Row],[Is Data Valid]]=TRUE,_xlfn.NORM.S.DIST(Table1[[#This Row],[Birthweight Z-Score (BW+10%)]],TRUE)*100,"")</f>
        <v/>
      </c>
    </row>
    <row r="7573" spans="1:12" x14ac:dyDescent="0.35">
      <c r="A7573" s="3"/>
      <c r="B7573" s="2"/>
      <c r="C7573" s="2"/>
      <c r="D7573" s="2" t="b">
        <f>IF(AND(NOT(ISBLANK(Table1[[#This Row],[Fetal Sex (Male, Female or Unknown)]])),ISNUMBER(Table1[[#This Row],[Birthweight (grams)]]),ISNUMBER(Table1[[#This Row],[Gestation (days)]])),TRUE,FALSE)</f>
        <v>0</v>
      </c>
      <c r="E7573" s="2" t="str">
        <f>IF(Table1[[#This Row],[Is Data Valid]]=TRUE,IF(Table1[[#This Row],[Fetal Sex (Male, Female or Unknown)]]="Male",Backend!$C$6,IF(Table1[[#This Row],[Fetal Sex (Male, Female or Unknown)]]="Female",Backend!$C$7,IF(Table1[[#This Row],[Fetal Sex (Male, Female or Unknown)]]="Unknown",Backend!$C$8,"Error"))),"")</f>
        <v/>
      </c>
      <c r="F7573" s="8" t="str">
        <f>IF(Table1[[#This Row],[Is Data Valid]]=TRUE,EXP(0.578+0.332*((Table1[[#This Row],[Gestation (days)]]+0.5)/7)-0.00354*((Table1[[#This Row],[Gestation (days)]]+0.5)/7)^2)*Table1[[#This Row],[BW40_3705]],"")</f>
        <v/>
      </c>
      <c r="G7573" s="2" t="str">
        <f>IF(Table1[[#This Row],[Is Data Valid]]=TRUE,((Table1[[#This Row],[Birthweight (grams)]]/Table1[[#This Row],[BW_GA]])-1)/(Backend!$B$4/100*Table1[[#This Row],[BW40_3705]]),"")</f>
        <v/>
      </c>
      <c r="H7573" s="7" t="str">
        <f>IF(Table1[[#This Row],[Is Data Valid]]=TRUE,((Table1[[#This Row],[Birthweight (grams)]]*0.9/Table1[[#This Row],[BW_GA]])-1)/(Backend!$B$4/100*Table1[[#This Row],[BW40_3705]]),"")</f>
        <v/>
      </c>
      <c r="I7573" s="7" t="str">
        <f>IF(Table1[[#This Row],[Is Data Valid]]=TRUE,((Table1[[#This Row],[Birthweight (grams)]]*1.1/Table1[[#This Row],[BW_GA]])-1)/(Backend!$B$4/100*Table1[[#This Row],[BW40_3705]]),"")</f>
        <v/>
      </c>
      <c r="J7573" s="7" t="str">
        <f>IF(Table1[[#This Row],[Is Data Valid]]=TRUE,_xlfn.NORM.S.DIST(Table1[[#This Row],[Birthweight Z-Score]],TRUE)*100,"")</f>
        <v/>
      </c>
      <c r="K7573" s="7" t="str">
        <f>IF(Table1[[#This Row],[Is Data Valid]]=TRUE,_xlfn.NORM.S.DIST(Table1[[#This Row],[Birthweight Z-Score (BW-10%)]],TRUE)*100,"")</f>
        <v/>
      </c>
      <c r="L7573" s="7" t="str">
        <f>IF(Table1[[#This Row],[Is Data Valid]]=TRUE,_xlfn.NORM.S.DIST(Table1[[#This Row],[Birthweight Z-Score (BW+10%)]],TRUE)*100,"")</f>
        <v/>
      </c>
    </row>
    <row r="7574" spans="1:12" x14ac:dyDescent="0.35">
      <c r="A7574" s="3"/>
      <c r="B7574" s="2"/>
      <c r="C7574" s="2"/>
      <c r="D7574" s="2" t="b">
        <f>IF(AND(NOT(ISBLANK(Table1[[#This Row],[Fetal Sex (Male, Female or Unknown)]])),ISNUMBER(Table1[[#This Row],[Birthweight (grams)]]),ISNUMBER(Table1[[#This Row],[Gestation (days)]])),TRUE,FALSE)</f>
        <v>0</v>
      </c>
      <c r="E7574" s="2" t="str">
        <f>IF(Table1[[#This Row],[Is Data Valid]]=TRUE,IF(Table1[[#This Row],[Fetal Sex (Male, Female or Unknown)]]="Male",Backend!$C$6,IF(Table1[[#This Row],[Fetal Sex (Male, Female or Unknown)]]="Female",Backend!$C$7,IF(Table1[[#This Row],[Fetal Sex (Male, Female or Unknown)]]="Unknown",Backend!$C$8,"Error"))),"")</f>
        <v/>
      </c>
      <c r="F7574" s="8" t="str">
        <f>IF(Table1[[#This Row],[Is Data Valid]]=TRUE,EXP(0.578+0.332*((Table1[[#This Row],[Gestation (days)]]+0.5)/7)-0.00354*((Table1[[#This Row],[Gestation (days)]]+0.5)/7)^2)*Table1[[#This Row],[BW40_3705]],"")</f>
        <v/>
      </c>
      <c r="G7574" s="2" t="str">
        <f>IF(Table1[[#This Row],[Is Data Valid]]=TRUE,((Table1[[#This Row],[Birthweight (grams)]]/Table1[[#This Row],[BW_GA]])-1)/(Backend!$B$4/100*Table1[[#This Row],[BW40_3705]]),"")</f>
        <v/>
      </c>
      <c r="H7574" s="7" t="str">
        <f>IF(Table1[[#This Row],[Is Data Valid]]=TRUE,((Table1[[#This Row],[Birthweight (grams)]]*0.9/Table1[[#This Row],[BW_GA]])-1)/(Backend!$B$4/100*Table1[[#This Row],[BW40_3705]]),"")</f>
        <v/>
      </c>
      <c r="I7574" s="7" t="str">
        <f>IF(Table1[[#This Row],[Is Data Valid]]=TRUE,((Table1[[#This Row],[Birthweight (grams)]]*1.1/Table1[[#This Row],[BW_GA]])-1)/(Backend!$B$4/100*Table1[[#This Row],[BW40_3705]]),"")</f>
        <v/>
      </c>
      <c r="J7574" s="7" t="str">
        <f>IF(Table1[[#This Row],[Is Data Valid]]=TRUE,_xlfn.NORM.S.DIST(Table1[[#This Row],[Birthweight Z-Score]],TRUE)*100,"")</f>
        <v/>
      </c>
      <c r="K7574" s="7" t="str">
        <f>IF(Table1[[#This Row],[Is Data Valid]]=TRUE,_xlfn.NORM.S.DIST(Table1[[#This Row],[Birthweight Z-Score (BW-10%)]],TRUE)*100,"")</f>
        <v/>
      </c>
      <c r="L7574" s="7" t="str">
        <f>IF(Table1[[#This Row],[Is Data Valid]]=TRUE,_xlfn.NORM.S.DIST(Table1[[#This Row],[Birthweight Z-Score (BW+10%)]],TRUE)*100,"")</f>
        <v/>
      </c>
    </row>
    <row r="7575" spans="1:12" x14ac:dyDescent="0.35">
      <c r="A7575" s="3"/>
      <c r="B7575" s="2"/>
      <c r="C7575" s="2"/>
      <c r="D7575" s="2" t="b">
        <f>IF(AND(NOT(ISBLANK(Table1[[#This Row],[Fetal Sex (Male, Female or Unknown)]])),ISNUMBER(Table1[[#This Row],[Birthweight (grams)]]),ISNUMBER(Table1[[#This Row],[Gestation (days)]])),TRUE,FALSE)</f>
        <v>0</v>
      </c>
      <c r="E7575" s="2" t="str">
        <f>IF(Table1[[#This Row],[Is Data Valid]]=TRUE,IF(Table1[[#This Row],[Fetal Sex (Male, Female or Unknown)]]="Male",Backend!$C$6,IF(Table1[[#This Row],[Fetal Sex (Male, Female or Unknown)]]="Female",Backend!$C$7,IF(Table1[[#This Row],[Fetal Sex (Male, Female or Unknown)]]="Unknown",Backend!$C$8,"Error"))),"")</f>
        <v/>
      </c>
      <c r="F7575" s="8" t="str">
        <f>IF(Table1[[#This Row],[Is Data Valid]]=TRUE,EXP(0.578+0.332*((Table1[[#This Row],[Gestation (days)]]+0.5)/7)-0.00354*((Table1[[#This Row],[Gestation (days)]]+0.5)/7)^2)*Table1[[#This Row],[BW40_3705]],"")</f>
        <v/>
      </c>
      <c r="G7575" s="2" t="str">
        <f>IF(Table1[[#This Row],[Is Data Valid]]=TRUE,((Table1[[#This Row],[Birthweight (grams)]]/Table1[[#This Row],[BW_GA]])-1)/(Backend!$B$4/100*Table1[[#This Row],[BW40_3705]]),"")</f>
        <v/>
      </c>
      <c r="H7575" s="7" t="str">
        <f>IF(Table1[[#This Row],[Is Data Valid]]=TRUE,((Table1[[#This Row],[Birthweight (grams)]]*0.9/Table1[[#This Row],[BW_GA]])-1)/(Backend!$B$4/100*Table1[[#This Row],[BW40_3705]]),"")</f>
        <v/>
      </c>
      <c r="I7575" s="7" t="str">
        <f>IF(Table1[[#This Row],[Is Data Valid]]=TRUE,((Table1[[#This Row],[Birthweight (grams)]]*1.1/Table1[[#This Row],[BW_GA]])-1)/(Backend!$B$4/100*Table1[[#This Row],[BW40_3705]]),"")</f>
        <v/>
      </c>
      <c r="J7575" s="7" t="str">
        <f>IF(Table1[[#This Row],[Is Data Valid]]=TRUE,_xlfn.NORM.S.DIST(Table1[[#This Row],[Birthweight Z-Score]],TRUE)*100,"")</f>
        <v/>
      </c>
      <c r="K7575" s="7" t="str">
        <f>IF(Table1[[#This Row],[Is Data Valid]]=TRUE,_xlfn.NORM.S.DIST(Table1[[#This Row],[Birthweight Z-Score (BW-10%)]],TRUE)*100,"")</f>
        <v/>
      </c>
      <c r="L7575" s="7" t="str">
        <f>IF(Table1[[#This Row],[Is Data Valid]]=TRUE,_xlfn.NORM.S.DIST(Table1[[#This Row],[Birthweight Z-Score (BW+10%)]],TRUE)*100,"")</f>
        <v/>
      </c>
    </row>
    <row r="7576" spans="1:12" x14ac:dyDescent="0.35">
      <c r="A7576" s="3"/>
      <c r="B7576" s="2"/>
      <c r="C7576" s="2"/>
      <c r="D7576" s="2" t="b">
        <f>IF(AND(NOT(ISBLANK(Table1[[#This Row],[Fetal Sex (Male, Female or Unknown)]])),ISNUMBER(Table1[[#This Row],[Birthweight (grams)]]),ISNUMBER(Table1[[#This Row],[Gestation (days)]])),TRUE,FALSE)</f>
        <v>0</v>
      </c>
      <c r="E7576" s="2" t="str">
        <f>IF(Table1[[#This Row],[Is Data Valid]]=TRUE,IF(Table1[[#This Row],[Fetal Sex (Male, Female or Unknown)]]="Male",Backend!$C$6,IF(Table1[[#This Row],[Fetal Sex (Male, Female or Unknown)]]="Female",Backend!$C$7,IF(Table1[[#This Row],[Fetal Sex (Male, Female or Unknown)]]="Unknown",Backend!$C$8,"Error"))),"")</f>
        <v/>
      </c>
      <c r="F7576" s="8" t="str">
        <f>IF(Table1[[#This Row],[Is Data Valid]]=TRUE,EXP(0.578+0.332*((Table1[[#This Row],[Gestation (days)]]+0.5)/7)-0.00354*((Table1[[#This Row],[Gestation (days)]]+0.5)/7)^2)*Table1[[#This Row],[BW40_3705]],"")</f>
        <v/>
      </c>
      <c r="G7576" s="2" t="str">
        <f>IF(Table1[[#This Row],[Is Data Valid]]=TRUE,((Table1[[#This Row],[Birthweight (grams)]]/Table1[[#This Row],[BW_GA]])-1)/(Backend!$B$4/100*Table1[[#This Row],[BW40_3705]]),"")</f>
        <v/>
      </c>
      <c r="H7576" s="7" t="str">
        <f>IF(Table1[[#This Row],[Is Data Valid]]=TRUE,((Table1[[#This Row],[Birthweight (grams)]]*0.9/Table1[[#This Row],[BW_GA]])-1)/(Backend!$B$4/100*Table1[[#This Row],[BW40_3705]]),"")</f>
        <v/>
      </c>
      <c r="I7576" s="7" t="str">
        <f>IF(Table1[[#This Row],[Is Data Valid]]=TRUE,((Table1[[#This Row],[Birthweight (grams)]]*1.1/Table1[[#This Row],[BW_GA]])-1)/(Backend!$B$4/100*Table1[[#This Row],[BW40_3705]]),"")</f>
        <v/>
      </c>
      <c r="J7576" s="7" t="str">
        <f>IF(Table1[[#This Row],[Is Data Valid]]=TRUE,_xlfn.NORM.S.DIST(Table1[[#This Row],[Birthweight Z-Score]],TRUE)*100,"")</f>
        <v/>
      </c>
      <c r="K7576" s="7" t="str">
        <f>IF(Table1[[#This Row],[Is Data Valid]]=TRUE,_xlfn.NORM.S.DIST(Table1[[#This Row],[Birthweight Z-Score (BW-10%)]],TRUE)*100,"")</f>
        <v/>
      </c>
      <c r="L7576" s="7" t="str">
        <f>IF(Table1[[#This Row],[Is Data Valid]]=TRUE,_xlfn.NORM.S.DIST(Table1[[#This Row],[Birthweight Z-Score (BW+10%)]],TRUE)*100,"")</f>
        <v/>
      </c>
    </row>
    <row r="7577" spans="1:12" x14ac:dyDescent="0.35">
      <c r="A7577" s="3"/>
      <c r="B7577" s="2"/>
      <c r="C7577" s="2"/>
      <c r="D7577" s="2" t="b">
        <f>IF(AND(NOT(ISBLANK(Table1[[#This Row],[Fetal Sex (Male, Female or Unknown)]])),ISNUMBER(Table1[[#This Row],[Birthweight (grams)]]),ISNUMBER(Table1[[#This Row],[Gestation (days)]])),TRUE,FALSE)</f>
        <v>0</v>
      </c>
      <c r="E7577" s="2" t="str">
        <f>IF(Table1[[#This Row],[Is Data Valid]]=TRUE,IF(Table1[[#This Row],[Fetal Sex (Male, Female or Unknown)]]="Male",Backend!$C$6,IF(Table1[[#This Row],[Fetal Sex (Male, Female or Unknown)]]="Female",Backend!$C$7,IF(Table1[[#This Row],[Fetal Sex (Male, Female or Unknown)]]="Unknown",Backend!$C$8,"Error"))),"")</f>
        <v/>
      </c>
      <c r="F7577" s="8" t="str">
        <f>IF(Table1[[#This Row],[Is Data Valid]]=TRUE,EXP(0.578+0.332*((Table1[[#This Row],[Gestation (days)]]+0.5)/7)-0.00354*((Table1[[#This Row],[Gestation (days)]]+0.5)/7)^2)*Table1[[#This Row],[BW40_3705]],"")</f>
        <v/>
      </c>
      <c r="G7577" s="2" t="str">
        <f>IF(Table1[[#This Row],[Is Data Valid]]=TRUE,((Table1[[#This Row],[Birthweight (grams)]]/Table1[[#This Row],[BW_GA]])-1)/(Backend!$B$4/100*Table1[[#This Row],[BW40_3705]]),"")</f>
        <v/>
      </c>
      <c r="H7577" s="7" t="str">
        <f>IF(Table1[[#This Row],[Is Data Valid]]=TRUE,((Table1[[#This Row],[Birthweight (grams)]]*0.9/Table1[[#This Row],[BW_GA]])-1)/(Backend!$B$4/100*Table1[[#This Row],[BW40_3705]]),"")</f>
        <v/>
      </c>
      <c r="I7577" s="7" t="str">
        <f>IF(Table1[[#This Row],[Is Data Valid]]=TRUE,((Table1[[#This Row],[Birthweight (grams)]]*1.1/Table1[[#This Row],[BW_GA]])-1)/(Backend!$B$4/100*Table1[[#This Row],[BW40_3705]]),"")</f>
        <v/>
      </c>
      <c r="J7577" s="7" t="str">
        <f>IF(Table1[[#This Row],[Is Data Valid]]=TRUE,_xlfn.NORM.S.DIST(Table1[[#This Row],[Birthweight Z-Score]],TRUE)*100,"")</f>
        <v/>
      </c>
      <c r="K7577" s="7" t="str">
        <f>IF(Table1[[#This Row],[Is Data Valid]]=TRUE,_xlfn.NORM.S.DIST(Table1[[#This Row],[Birthweight Z-Score (BW-10%)]],TRUE)*100,"")</f>
        <v/>
      </c>
      <c r="L7577" s="7" t="str">
        <f>IF(Table1[[#This Row],[Is Data Valid]]=TRUE,_xlfn.NORM.S.DIST(Table1[[#This Row],[Birthweight Z-Score (BW+10%)]],TRUE)*100,"")</f>
        <v/>
      </c>
    </row>
    <row r="7578" spans="1:12" x14ac:dyDescent="0.35">
      <c r="A7578" s="3"/>
      <c r="B7578" s="2"/>
      <c r="C7578" s="2"/>
      <c r="D7578" s="2" t="b">
        <f>IF(AND(NOT(ISBLANK(Table1[[#This Row],[Fetal Sex (Male, Female or Unknown)]])),ISNUMBER(Table1[[#This Row],[Birthweight (grams)]]),ISNUMBER(Table1[[#This Row],[Gestation (days)]])),TRUE,FALSE)</f>
        <v>0</v>
      </c>
      <c r="E7578" s="2" t="str">
        <f>IF(Table1[[#This Row],[Is Data Valid]]=TRUE,IF(Table1[[#This Row],[Fetal Sex (Male, Female or Unknown)]]="Male",Backend!$C$6,IF(Table1[[#This Row],[Fetal Sex (Male, Female or Unknown)]]="Female",Backend!$C$7,IF(Table1[[#This Row],[Fetal Sex (Male, Female or Unknown)]]="Unknown",Backend!$C$8,"Error"))),"")</f>
        <v/>
      </c>
      <c r="F7578" s="8" t="str">
        <f>IF(Table1[[#This Row],[Is Data Valid]]=TRUE,EXP(0.578+0.332*((Table1[[#This Row],[Gestation (days)]]+0.5)/7)-0.00354*((Table1[[#This Row],[Gestation (days)]]+0.5)/7)^2)*Table1[[#This Row],[BW40_3705]],"")</f>
        <v/>
      </c>
      <c r="G7578" s="2" t="str">
        <f>IF(Table1[[#This Row],[Is Data Valid]]=TRUE,((Table1[[#This Row],[Birthweight (grams)]]/Table1[[#This Row],[BW_GA]])-1)/(Backend!$B$4/100*Table1[[#This Row],[BW40_3705]]),"")</f>
        <v/>
      </c>
      <c r="H7578" s="7" t="str">
        <f>IF(Table1[[#This Row],[Is Data Valid]]=TRUE,((Table1[[#This Row],[Birthweight (grams)]]*0.9/Table1[[#This Row],[BW_GA]])-1)/(Backend!$B$4/100*Table1[[#This Row],[BW40_3705]]),"")</f>
        <v/>
      </c>
      <c r="I7578" s="7" t="str">
        <f>IF(Table1[[#This Row],[Is Data Valid]]=TRUE,((Table1[[#This Row],[Birthweight (grams)]]*1.1/Table1[[#This Row],[BW_GA]])-1)/(Backend!$B$4/100*Table1[[#This Row],[BW40_3705]]),"")</f>
        <v/>
      </c>
      <c r="J7578" s="7" t="str">
        <f>IF(Table1[[#This Row],[Is Data Valid]]=TRUE,_xlfn.NORM.S.DIST(Table1[[#This Row],[Birthweight Z-Score]],TRUE)*100,"")</f>
        <v/>
      </c>
      <c r="K7578" s="7" t="str">
        <f>IF(Table1[[#This Row],[Is Data Valid]]=TRUE,_xlfn.NORM.S.DIST(Table1[[#This Row],[Birthweight Z-Score (BW-10%)]],TRUE)*100,"")</f>
        <v/>
      </c>
      <c r="L7578" s="7" t="str">
        <f>IF(Table1[[#This Row],[Is Data Valid]]=TRUE,_xlfn.NORM.S.DIST(Table1[[#This Row],[Birthweight Z-Score (BW+10%)]],TRUE)*100,"")</f>
        <v/>
      </c>
    </row>
    <row r="7579" spans="1:12" x14ac:dyDescent="0.35">
      <c r="A7579" s="3"/>
      <c r="B7579" s="2"/>
      <c r="C7579" s="2"/>
      <c r="D7579" s="2" t="b">
        <f>IF(AND(NOT(ISBLANK(Table1[[#This Row],[Fetal Sex (Male, Female or Unknown)]])),ISNUMBER(Table1[[#This Row],[Birthweight (grams)]]),ISNUMBER(Table1[[#This Row],[Gestation (days)]])),TRUE,FALSE)</f>
        <v>0</v>
      </c>
      <c r="E7579" s="2" t="str">
        <f>IF(Table1[[#This Row],[Is Data Valid]]=TRUE,IF(Table1[[#This Row],[Fetal Sex (Male, Female or Unknown)]]="Male",Backend!$C$6,IF(Table1[[#This Row],[Fetal Sex (Male, Female or Unknown)]]="Female",Backend!$C$7,IF(Table1[[#This Row],[Fetal Sex (Male, Female or Unknown)]]="Unknown",Backend!$C$8,"Error"))),"")</f>
        <v/>
      </c>
      <c r="F7579" s="8" t="str">
        <f>IF(Table1[[#This Row],[Is Data Valid]]=TRUE,EXP(0.578+0.332*((Table1[[#This Row],[Gestation (days)]]+0.5)/7)-0.00354*((Table1[[#This Row],[Gestation (days)]]+0.5)/7)^2)*Table1[[#This Row],[BW40_3705]],"")</f>
        <v/>
      </c>
      <c r="G7579" s="2" t="str">
        <f>IF(Table1[[#This Row],[Is Data Valid]]=TRUE,((Table1[[#This Row],[Birthweight (grams)]]/Table1[[#This Row],[BW_GA]])-1)/(Backend!$B$4/100*Table1[[#This Row],[BW40_3705]]),"")</f>
        <v/>
      </c>
      <c r="H7579" s="7" t="str">
        <f>IF(Table1[[#This Row],[Is Data Valid]]=TRUE,((Table1[[#This Row],[Birthweight (grams)]]*0.9/Table1[[#This Row],[BW_GA]])-1)/(Backend!$B$4/100*Table1[[#This Row],[BW40_3705]]),"")</f>
        <v/>
      </c>
      <c r="I7579" s="7" t="str">
        <f>IF(Table1[[#This Row],[Is Data Valid]]=TRUE,((Table1[[#This Row],[Birthweight (grams)]]*1.1/Table1[[#This Row],[BW_GA]])-1)/(Backend!$B$4/100*Table1[[#This Row],[BW40_3705]]),"")</f>
        <v/>
      </c>
      <c r="J7579" s="7" t="str">
        <f>IF(Table1[[#This Row],[Is Data Valid]]=TRUE,_xlfn.NORM.S.DIST(Table1[[#This Row],[Birthweight Z-Score]],TRUE)*100,"")</f>
        <v/>
      </c>
      <c r="K7579" s="7" t="str">
        <f>IF(Table1[[#This Row],[Is Data Valid]]=TRUE,_xlfn.NORM.S.DIST(Table1[[#This Row],[Birthweight Z-Score (BW-10%)]],TRUE)*100,"")</f>
        <v/>
      </c>
      <c r="L7579" s="7" t="str">
        <f>IF(Table1[[#This Row],[Is Data Valid]]=TRUE,_xlfn.NORM.S.DIST(Table1[[#This Row],[Birthweight Z-Score (BW+10%)]],TRUE)*100,"")</f>
        <v/>
      </c>
    </row>
    <row r="7580" spans="1:12" x14ac:dyDescent="0.35">
      <c r="A7580" s="3"/>
      <c r="B7580" s="2"/>
      <c r="C7580" s="2"/>
      <c r="D7580" s="2" t="b">
        <f>IF(AND(NOT(ISBLANK(Table1[[#This Row],[Fetal Sex (Male, Female or Unknown)]])),ISNUMBER(Table1[[#This Row],[Birthweight (grams)]]),ISNUMBER(Table1[[#This Row],[Gestation (days)]])),TRUE,FALSE)</f>
        <v>0</v>
      </c>
      <c r="E7580" s="2" t="str">
        <f>IF(Table1[[#This Row],[Is Data Valid]]=TRUE,IF(Table1[[#This Row],[Fetal Sex (Male, Female or Unknown)]]="Male",Backend!$C$6,IF(Table1[[#This Row],[Fetal Sex (Male, Female or Unknown)]]="Female",Backend!$C$7,IF(Table1[[#This Row],[Fetal Sex (Male, Female or Unknown)]]="Unknown",Backend!$C$8,"Error"))),"")</f>
        <v/>
      </c>
      <c r="F7580" s="8" t="str">
        <f>IF(Table1[[#This Row],[Is Data Valid]]=TRUE,EXP(0.578+0.332*((Table1[[#This Row],[Gestation (days)]]+0.5)/7)-0.00354*((Table1[[#This Row],[Gestation (days)]]+0.5)/7)^2)*Table1[[#This Row],[BW40_3705]],"")</f>
        <v/>
      </c>
      <c r="G7580" s="2" t="str">
        <f>IF(Table1[[#This Row],[Is Data Valid]]=TRUE,((Table1[[#This Row],[Birthweight (grams)]]/Table1[[#This Row],[BW_GA]])-1)/(Backend!$B$4/100*Table1[[#This Row],[BW40_3705]]),"")</f>
        <v/>
      </c>
      <c r="H7580" s="7" t="str">
        <f>IF(Table1[[#This Row],[Is Data Valid]]=TRUE,((Table1[[#This Row],[Birthweight (grams)]]*0.9/Table1[[#This Row],[BW_GA]])-1)/(Backend!$B$4/100*Table1[[#This Row],[BW40_3705]]),"")</f>
        <v/>
      </c>
      <c r="I7580" s="7" t="str">
        <f>IF(Table1[[#This Row],[Is Data Valid]]=TRUE,((Table1[[#This Row],[Birthweight (grams)]]*1.1/Table1[[#This Row],[BW_GA]])-1)/(Backend!$B$4/100*Table1[[#This Row],[BW40_3705]]),"")</f>
        <v/>
      </c>
      <c r="J7580" s="7" t="str">
        <f>IF(Table1[[#This Row],[Is Data Valid]]=TRUE,_xlfn.NORM.S.DIST(Table1[[#This Row],[Birthweight Z-Score]],TRUE)*100,"")</f>
        <v/>
      </c>
      <c r="K7580" s="7" t="str">
        <f>IF(Table1[[#This Row],[Is Data Valid]]=TRUE,_xlfn.NORM.S.DIST(Table1[[#This Row],[Birthweight Z-Score (BW-10%)]],TRUE)*100,"")</f>
        <v/>
      </c>
      <c r="L7580" s="7" t="str">
        <f>IF(Table1[[#This Row],[Is Data Valid]]=TRUE,_xlfn.NORM.S.DIST(Table1[[#This Row],[Birthweight Z-Score (BW+10%)]],TRUE)*100,"")</f>
        <v/>
      </c>
    </row>
    <row r="7581" spans="1:12" x14ac:dyDescent="0.35">
      <c r="A7581" s="3"/>
      <c r="B7581" s="2"/>
      <c r="C7581" s="2"/>
      <c r="D7581" s="2" t="b">
        <f>IF(AND(NOT(ISBLANK(Table1[[#This Row],[Fetal Sex (Male, Female or Unknown)]])),ISNUMBER(Table1[[#This Row],[Birthweight (grams)]]),ISNUMBER(Table1[[#This Row],[Gestation (days)]])),TRUE,FALSE)</f>
        <v>0</v>
      </c>
      <c r="E7581" s="2" t="str">
        <f>IF(Table1[[#This Row],[Is Data Valid]]=TRUE,IF(Table1[[#This Row],[Fetal Sex (Male, Female or Unknown)]]="Male",Backend!$C$6,IF(Table1[[#This Row],[Fetal Sex (Male, Female or Unknown)]]="Female",Backend!$C$7,IF(Table1[[#This Row],[Fetal Sex (Male, Female or Unknown)]]="Unknown",Backend!$C$8,"Error"))),"")</f>
        <v/>
      </c>
      <c r="F7581" s="8" t="str">
        <f>IF(Table1[[#This Row],[Is Data Valid]]=TRUE,EXP(0.578+0.332*((Table1[[#This Row],[Gestation (days)]]+0.5)/7)-0.00354*((Table1[[#This Row],[Gestation (days)]]+0.5)/7)^2)*Table1[[#This Row],[BW40_3705]],"")</f>
        <v/>
      </c>
      <c r="G7581" s="2" t="str">
        <f>IF(Table1[[#This Row],[Is Data Valid]]=TRUE,((Table1[[#This Row],[Birthweight (grams)]]/Table1[[#This Row],[BW_GA]])-1)/(Backend!$B$4/100*Table1[[#This Row],[BW40_3705]]),"")</f>
        <v/>
      </c>
      <c r="H7581" s="7" t="str">
        <f>IF(Table1[[#This Row],[Is Data Valid]]=TRUE,((Table1[[#This Row],[Birthweight (grams)]]*0.9/Table1[[#This Row],[BW_GA]])-1)/(Backend!$B$4/100*Table1[[#This Row],[BW40_3705]]),"")</f>
        <v/>
      </c>
      <c r="I7581" s="7" t="str">
        <f>IF(Table1[[#This Row],[Is Data Valid]]=TRUE,((Table1[[#This Row],[Birthweight (grams)]]*1.1/Table1[[#This Row],[BW_GA]])-1)/(Backend!$B$4/100*Table1[[#This Row],[BW40_3705]]),"")</f>
        <v/>
      </c>
      <c r="J7581" s="7" t="str">
        <f>IF(Table1[[#This Row],[Is Data Valid]]=TRUE,_xlfn.NORM.S.DIST(Table1[[#This Row],[Birthweight Z-Score]],TRUE)*100,"")</f>
        <v/>
      </c>
      <c r="K7581" s="7" t="str">
        <f>IF(Table1[[#This Row],[Is Data Valid]]=TRUE,_xlfn.NORM.S.DIST(Table1[[#This Row],[Birthweight Z-Score (BW-10%)]],TRUE)*100,"")</f>
        <v/>
      </c>
      <c r="L7581" s="7" t="str">
        <f>IF(Table1[[#This Row],[Is Data Valid]]=TRUE,_xlfn.NORM.S.DIST(Table1[[#This Row],[Birthweight Z-Score (BW+10%)]],TRUE)*100,"")</f>
        <v/>
      </c>
    </row>
    <row r="7582" spans="1:12" x14ac:dyDescent="0.35">
      <c r="A7582" s="3"/>
      <c r="B7582" s="2"/>
      <c r="C7582" s="2"/>
      <c r="D7582" s="2" t="b">
        <f>IF(AND(NOT(ISBLANK(Table1[[#This Row],[Fetal Sex (Male, Female or Unknown)]])),ISNUMBER(Table1[[#This Row],[Birthweight (grams)]]),ISNUMBER(Table1[[#This Row],[Gestation (days)]])),TRUE,FALSE)</f>
        <v>0</v>
      </c>
      <c r="E7582" s="2" t="str">
        <f>IF(Table1[[#This Row],[Is Data Valid]]=TRUE,IF(Table1[[#This Row],[Fetal Sex (Male, Female or Unknown)]]="Male",Backend!$C$6,IF(Table1[[#This Row],[Fetal Sex (Male, Female or Unknown)]]="Female",Backend!$C$7,IF(Table1[[#This Row],[Fetal Sex (Male, Female or Unknown)]]="Unknown",Backend!$C$8,"Error"))),"")</f>
        <v/>
      </c>
      <c r="F7582" s="8" t="str">
        <f>IF(Table1[[#This Row],[Is Data Valid]]=TRUE,EXP(0.578+0.332*((Table1[[#This Row],[Gestation (days)]]+0.5)/7)-0.00354*((Table1[[#This Row],[Gestation (days)]]+0.5)/7)^2)*Table1[[#This Row],[BW40_3705]],"")</f>
        <v/>
      </c>
      <c r="G7582" s="2" t="str">
        <f>IF(Table1[[#This Row],[Is Data Valid]]=TRUE,((Table1[[#This Row],[Birthweight (grams)]]/Table1[[#This Row],[BW_GA]])-1)/(Backend!$B$4/100*Table1[[#This Row],[BW40_3705]]),"")</f>
        <v/>
      </c>
      <c r="H7582" s="7" t="str">
        <f>IF(Table1[[#This Row],[Is Data Valid]]=TRUE,((Table1[[#This Row],[Birthweight (grams)]]*0.9/Table1[[#This Row],[BW_GA]])-1)/(Backend!$B$4/100*Table1[[#This Row],[BW40_3705]]),"")</f>
        <v/>
      </c>
      <c r="I7582" s="7" t="str">
        <f>IF(Table1[[#This Row],[Is Data Valid]]=TRUE,((Table1[[#This Row],[Birthweight (grams)]]*1.1/Table1[[#This Row],[BW_GA]])-1)/(Backend!$B$4/100*Table1[[#This Row],[BW40_3705]]),"")</f>
        <v/>
      </c>
      <c r="J7582" s="7" t="str">
        <f>IF(Table1[[#This Row],[Is Data Valid]]=TRUE,_xlfn.NORM.S.DIST(Table1[[#This Row],[Birthweight Z-Score]],TRUE)*100,"")</f>
        <v/>
      </c>
      <c r="K7582" s="7" t="str">
        <f>IF(Table1[[#This Row],[Is Data Valid]]=TRUE,_xlfn.NORM.S.DIST(Table1[[#This Row],[Birthweight Z-Score (BW-10%)]],TRUE)*100,"")</f>
        <v/>
      </c>
      <c r="L7582" s="7" t="str">
        <f>IF(Table1[[#This Row],[Is Data Valid]]=TRUE,_xlfn.NORM.S.DIST(Table1[[#This Row],[Birthweight Z-Score (BW+10%)]],TRUE)*100,"")</f>
        <v/>
      </c>
    </row>
    <row r="7583" spans="1:12" x14ac:dyDescent="0.35">
      <c r="A7583" s="3"/>
      <c r="B7583" s="2"/>
      <c r="C7583" s="2"/>
      <c r="D7583" s="2" t="b">
        <f>IF(AND(NOT(ISBLANK(Table1[[#This Row],[Fetal Sex (Male, Female or Unknown)]])),ISNUMBER(Table1[[#This Row],[Birthweight (grams)]]),ISNUMBER(Table1[[#This Row],[Gestation (days)]])),TRUE,FALSE)</f>
        <v>0</v>
      </c>
      <c r="E7583" s="2" t="str">
        <f>IF(Table1[[#This Row],[Is Data Valid]]=TRUE,IF(Table1[[#This Row],[Fetal Sex (Male, Female or Unknown)]]="Male",Backend!$C$6,IF(Table1[[#This Row],[Fetal Sex (Male, Female or Unknown)]]="Female",Backend!$C$7,IF(Table1[[#This Row],[Fetal Sex (Male, Female or Unknown)]]="Unknown",Backend!$C$8,"Error"))),"")</f>
        <v/>
      </c>
      <c r="F7583" s="8" t="str">
        <f>IF(Table1[[#This Row],[Is Data Valid]]=TRUE,EXP(0.578+0.332*((Table1[[#This Row],[Gestation (days)]]+0.5)/7)-0.00354*((Table1[[#This Row],[Gestation (days)]]+0.5)/7)^2)*Table1[[#This Row],[BW40_3705]],"")</f>
        <v/>
      </c>
      <c r="G7583" s="2" t="str">
        <f>IF(Table1[[#This Row],[Is Data Valid]]=TRUE,((Table1[[#This Row],[Birthweight (grams)]]/Table1[[#This Row],[BW_GA]])-1)/(Backend!$B$4/100*Table1[[#This Row],[BW40_3705]]),"")</f>
        <v/>
      </c>
      <c r="H7583" s="7" t="str">
        <f>IF(Table1[[#This Row],[Is Data Valid]]=TRUE,((Table1[[#This Row],[Birthweight (grams)]]*0.9/Table1[[#This Row],[BW_GA]])-1)/(Backend!$B$4/100*Table1[[#This Row],[BW40_3705]]),"")</f>
        <v/>
      </c>
      <c r="I7583" s="7" t="str">
        <f>IF(Table1[[#This Row],[Is Data Valid]]=TRUE,((Table1[[#This Row],[Birthweight (grams)]]*1.1/Table1[[#This Row],[BW_GA]])-1)/(Backend!$B$4/100*Table1[[#This Row],[BW40_3705]]),"")</f>
        <v/>
      </c>
      <c r="J7583" s="7" t="str">
        <f>IF(Table1[[#This Row],[Is Data Valid]]=TRUE,_xlfn.NORM.S.DIST(Table1[[#This Row],[Birthweight Z-Score]],TRUE)*100,"")</f>
        <v/>
      </c>
      <c r="K7583" s="7" t="str">
        <f>IF(Table1[[#This Row],[Is Data Valid]]=TRUE,_xlfn.NORM.S.DIST(Table1[[#This Row],[Birthweight Z-Score (BW-10%)]],TRUE)*100,"")</f>
        <v/>
      </c>
      <c r="L7583" s="7" t="str">
        <f>IF(Table1[[#This Row],[Is Data Valid]]=TRUE,_xlfn.NORM.S.DIST(Table1[[#This Row],[Birthweight Z-Score (BW+10%)]],TRUE)*100,"")</f>
        <v/>
      </c>
    </row>
    <row r="7584" spans="1:12" x14ac:dyDescent="0.35">
      <c r="A7584" s="3"/>
      <c r="B7584" s="2"/>
      <c r="C7584" s="2"/>
      <c r="D7584" s="2" t="b">
        <f>IF(AND(NOT(ISBLANK(Table1[[#This Row],[Fetal Sex (Male, Female or Unknown)]])),ISNUMBER(Table1[[#This Row],[Birthweight (grams)]]),ISNUMBER(Table1[[#This Row],[Gestation (days)]])),TRUE,FALSE)</f>
        <v>0</v>
      </c>
      <c r="E7584" s="2" t="str">
        <f>IF(Table1[[#This Row],[Is Data Valid]]=TRUE,IF(Table1[[#This Row],[Fetal Sex (Male, Female or Unknown)]]="Male",Backend!$C$6,IF(Table1[[#This Row],[Fetal Sex (Male, Female or Unknown)]]="Female",Backend!$C$7,IF(Table1[[#This Row],[Fetal Sex (Male, Female or Unknown)]]="Unknown",Backend!$C$8,"Error"))),"")</f>
        <v/>
      </c>
      <c r="F7584" s="8" t="str">
        <f>IF(Table1[[#This Row],[Is Data Valid]]=TRUE,EXP(0.578+0.332*((Table1[[#This Row],[Gestation (days)]]+0.5)/7)-0.00354*((Table1[[#This Row],[Gestation (days)]]+0.5)/7)^2)*Table1[[#This Row],[BW40_3705]],"")</f>
        <v/>
      </c>
      <c r="G7584" s="2" t="str">
        <f>IF(Table1[[#This Row],[Is Data Valid]]=TRUE,((Table1[[#This Row],[Birthweight (grams)]]/Table1[[#This Row],[BW_GA]])-1)/(Backend!$B$4/100*Table1[[#This Row],[BW40_3705]]),"")</f>
        <v/>
      </c>
      <c r="H7584" s="7" t="str">
        <f>IF(Table1[[#This Row],[Is Data Valid]]=TRUE,((Table1[[#This Row],[Birthweight (grams)]]*0.9/Table1[[#This Row],[BW_GA]])-1)/(Backend!$B$4/100*Table1[[#This Row],[BW40_3705]]),"")</f>
        <v/>
      </c>
      <c r="I7584" s="7" t="str">
        <f>IF(Table1[[#This Row],[Is Data Valid]]=TRUE,((Table1[[#This Row],[Birthweight (grams)]]*1.1/Table1[[#This Row],[BW_GA]])-1)/(Backend!$B$4/100*Table1[[#This Row],[BW40_3705]]),"")</f>
        <v/>
      </c>
      <c r="J7584" s="7" t="str">
        <f>IF(Table1[[#This Row],[Is Data Valid]]=TRUE,_xlfn.NORM.S.DIST(Table1[[#This Row],[Birthweight Z-Score]],TRUE)*100,"")</f>
        <v/>
      </c>
      <c r="K7584" s="7" t="str">
        <f>IF(Table1[[#This Row],[Is Data Valid]]=TRUE,_xlfn.NORM.S.DIST(Table1[[#This Row],[Birthweight Z-Score (BW-10%)]],TRUE)*100,"")</f>
        <v/>
      </c>
      <c r="L7584" s="7" t="str">
        <f>IF(Table1[[#This Row],[Is Data Valid]]=TRUE,_xlfn.NORM.S.DIST(Table1[[#This Row],[Birthweight Z-Score (BW+10%)]],TRUE)*100,"")</f>
        <v/>
      </c>
    </row>
    <row r="7585" spans="1:12" x14ac:dyDescent="0.35">
      <c r="A7585" s="3"/>
      <c r="B7585" s="2"/>
      <c r="C7585" s="2"/>
      <c r="D7585" s="2" t="b">
        <f>IF(AND(NOT(ISBLANK(Table1[[#This Row],[Fetal Sex (Male, Female or Unknown)]])),ISNUMBER(Table1[[#This Row],[Birthweight (grams)]]),ISNUMBER(Table1[[#This Row],[Gestation (days)]])),TRUE,FALSE)</f>
        <v>0</v>
      </c>
      <c r="E7585" s="2" t="str">
        <f>IF(Table1[[#This Row],[Is Data Valid]]=TRUE,IF(Table1[[#This Row],[Fetal Sex (Male, Female or Unknown)]]="Male",Backend!$C$6,IF(Table1[[#This Row],[Fetal Sex (Male, Female or Unknown)]]="Female",Backend!$C$7,IF(Table1[[#This Row],[Fetal Sex (Male, Female or Unknown)]]="Unknown",Backend!$C$8,"Error"))),"")</f>
        <v/>
      </c>
      <c r="F7585" s="8" t="str">
        <f>IF(Table1[[#This Row],[Is Data Valid]]=TRUE,EXP(0.578+0.332*((Table1[[#This Row],[Gestation (days)]]+0.5)/7)-0.00354*((Table1[[#This Row],[Gestation (days)]]+0.5)/7)^2)*Table1[[#This Row],[BW40_3705]],"")</f>
        <v/>
      </c>
      <c r="G7585" s="2" t="str">
        <f>IF(Table1[[#This Row],[Is Data Valid]]=TRUE,((Table1[[#This Row],[Birthweight (grams)]]/Table1[[#This Row],[BW_GA]])-1)/(Backend!$B$4/100*Table1[[#This Row],[BW40_3705]]),"")</f>
        <v/>
      </c>
      <c r="H7585" s="7" t="str">
        <f>IF(Table1[[#This Row],[Is Data Valid]]=TRUE,((Table1[[#This Row],[Birthweight (grams)]]*0.9/Table1[[#This Row],[BW_GA]])-1)/(Backend!$B$4/100*Table1[[#This Row],[BW40_3705]]),"")</f>
        <v/>
      </c>
      <c r="I7585" s="7" t="str">
        <f>IF(Table1[[#This Row],[Is Data Valid]]=TRUE,((Table1[[#This Row],[Birthweight (grams)]]*1.1/Table1[[#This Row],[BW_GA]])-1)/(Backend!$B$4/100*Table1[[#This Row],[BW40_3705]]),"")</f>
        <v/>
      </c>
      <c r="J7585" s="7" t="str">
        <f>IF(Table1[[#This Row],[Is Data Valid]]=TRUE,_xlfn.NORM.S.DIST(Table1[[#This Row],[Birthweight Z-Score]],TRUE)*100,"")</f>
        <v/>
      </c>
      <c r="K7585" s="7" t="str">
        <f>IF(Table1[[#This Row],[Is Data Valid]]=TRUE,_xlfn.NORM.S.DIST(Table1[[#This Row],[Birthweight Z-Score (BW-10%)]],TRUE)*100,"")</f>
        <v/>
      </c>
      <c r="L7585" s="7" t="str">
        <f>IF(Table1[[#This Row],[Is Data Valid]]=TRUE,_xlfn.NORM.S.DIST(Table1[[#This Row],[Birthweight Z-Score (BW+10%)]],TRUE)*100,"")</f>
        <v/>
      </c>
    </row>
    <row r="7586" spans="1:12" x14ac:dyDescent="0.35">
      <c r="A7586" s="3"/>
      <c r="B7586" s="2"/>
      <c r="C7586" s="2"/>
      <c r="D7586" s="2" t="b">
        <f>IF(AND(NOT(ISBLANK(Table1[[#This Row],[Fetal Sex (Male, Female or Unknown)]])),ISNUMBER(Table1[[#This Row],[Birthweight (grams)]]),ISNUMBER(Table1[[#This Row],[Gestation (days)]])),TRUE,FALSE)</f>
        <v>0</v>
      </c>
      <c r="E7586" s="2" t="str">
        <f>IF(Table1[[#This Row],[Is Data Valid]]=TRUE,IF(Table1[[#This Row],[Fetal Sex (Male, Female or Unknown)]]="Male",Backend!$C$6,IF(Table1[[#This Row],[Fetal Sex (Male, Female or Unknown)]]="Female",Backend!$C$7,IF(Table1[[#This Row],[Fetal Sex (Male, Female or Unknown)]]="Unknown",Backend!$C$8,"Error"))),"")</f>
        <v/>
      </c>
      <c r="F7586" s="8" t="str">
        <f>IF(Table1[[#This Row],[Is Data Valid]]=TRUE,EXP(0.578+0.332*((Table1[[#This Row],[Gestation (days)]]+0.5)/7)-0.00354*((Table1[[#This Row],[Gestation (days)]]+0.5)/7)^2)*Table1[[#This Row],[BW40_3705]],"")</f>
        <v/>
      </c>
      <c r="G7586" s="2" t="str">
        <f>IF(Table1[[#This Row],[Is Data Valid]]=TRUE,((Table1[[#This Row],[Birthweight (grams)]]/Table1[[#This Row],[BW_GA]])-1)/(Backend!$B$4/100*Table1[[#This Row],[BW40_3705]]),"")</f>
        <v/>
      </c>
      <c r="H7586" s="7" t="str">
        <f>IF(Table1[[#This Row],[Is Data Valid]]=TRUE,((Table1[[#This Row],[Birthweight (grams)]]*0.9/Table1[[#This Row],[BW_GA]])-1)/(Backend!$B$4/100*Table1[[#This Row],[BW40_3705]]),"")</f>
        <v/>
      </c>
      <c r="I7586" s="7" t="str">
        <f>IF(Table1[[#This Row],[Is Data Valid]]=TRUE,((Table1[[#This Row],[Birthweight (grams)]]*1.1/Table1[[#This Row],[BW_GA]])-1)/(Backend!$B$4/100*Table1[[#This Row],[BW40_3705]]),"")</f>
        <v/>
      </c>
      <c r="J7586" s="7" t="str">
        <f>IF(Table1[[#This Row],[Is Data Valid]]=TRUE,_xlfn.NORM.S.DIST(Table1[[#This Row],[Birthweight Z-Score]],TRUE)*100,"")</f>
        <v/>
      </c>
      <c r="K7586" s="7" t="str">
        <f>IF(Table1[[#This Row],[Is Data Valid]]=TRUE,_xlfn.NORM.S.DIST(Table1[[#This Row],[Birthweight Z-Score (BW-10%)]],TRUE)*100,"")</f>
        <v/>
      </c>
      <c r="L7586" s="7" t="str">
        <f>IF(Table1[[#This Row],[Is Data Valid]]=TRUE,_xlfn.NORM.S.DIST(Table1[[#This Row],[Birthweight Z-Score (BW+10%)]],TRUE)*100,"")</f>
        <v/>
      </c>
    </row>
    <row r="7587" spans="1:12" x14ac:dyDescent="0.35">
      <c r="A7587" s="3"/>
      <c r="B7587" s="2"/>
      <c r="C7587" s="2"/>
      <c r="D7587" s="2" t="b">
        <f>IF(AND(NOT(ISBLANK(Table1[[#This Row],[Fetal Sex (Male, Female or Unknown)]])),ISNUMBER(Table1[[#This Row],[Birthweight (grams)]]),ISNUMBER(Table1[[#This Row],[Gestation (days)]])),TRUE,FALSE)</f>
        <v>0</v>
      </c>
      <c r="E7587" s="2" t="str">
        <f>IF(Table1[[#This Row],[Is Data Valid]]=TRUE,IF(Table1[[#This Row],[Fetal Sex (Male, Female or Unknown)]]="Male",Backend!$C$6,IF(Table1[[#This Row],[Fetal Sex (Male, Female or Unknown)]]="Female",Backend!$C$7,IF(Table1[[#This Row],[Fetal Sex (Male, Female or Unknown)]]="Unknown",Backend!$C$8,"Error"))),"")</f>
        <v/>
      </c>
      <c r="F7587" s="8" t="str">
        <f>IF(Table1[[#This Row],[Is Data Valid]]=TRUE,EXP(0.578+0.332*((Table1[[#This Row],[Gestation (days)]]+0.5)/7)-0.00354*((Table1[[#This Row],[Gestation (days)]]+0.5)/7)^2)*Table1[[#This Row],[BW40_3705]],"")</f>
        <v/>
      </c>
      <c r="G7587" s="2" t="str">
        <f>IF(Table1[[#This Row],[Is Data Valid]]=TRUE,((Table1[[#This Row],[Birthweight (grams)]]/Table1[[#This Row],[BW_GA]])-1)/(Backend!$B$4/100*Table1[[#This Row],[BW40_3705]]),"")</f>
        <v/>
      </c>
      <c r="H7587" s="7" t="str">
        <f>IF(Table1[[#This Row],[Is Data Valid]]=TRUE,((Table1[[#This Row],[Birthweight (grams)]]*0.9/Table1[[#This Row],[BW_GA]])-1)/(Backend!$B$4/100*Table1[[#This Row],[BW40_3705]]),"")</f>
        <v/>
      </c>
      <c r="I7587" s="7" t="str">
        <f>IF(Table1[[#This Row],[Is Data Valid]]=TRUE,((Table1[[#This Row],[Birthweight (grams)]]*1.1/Table1[[#This Row],[BW_GA]])-1)/(Backend!$B$4/100*Table1[[#This Row],[BW40_3705]]),"")</f>
        <v/>
      </c>
      <c r="J7587" s="7" t="str">
        <f>IF(Table1[[#This Row],[Is Data Valid]]=TRUE,_xlfn.NORM.S.DIST(Table1[[#This Row],[Birthweight Z-Score]],TRUE)*100,"")</f>
        <v/>
      </c>
      <c r="K7587" s="7" t="str">
        <f>IF(Table1[[#This Row],[Is Data Valid]]=TRUE,_xlfn.NORM.S.DIST(Table1[[#This Row],[Birthweight Z-Score (BW-10%)]],TRUE)*100,"")</f>
        <v/>
      </c>
      <c r="L7587" s="7" t="str">
        <f>IF(Table1[[#This Row],[Is Data Valid]]=TRUE,_xlfn.NORM.S.DIST(Table1[[#This Row],[Birthweight Z-Score (BW+10%)]],TRUE)*100,"")</f>
        <v/>
      </c>
    </row>
    <row r="7588" spans="1:12" x14ac:dyDescent="0.35">
      <c r="A7588" s="3"/>
      <c r="B7588" s="2"/>
      <c r="C7588" s="2"/>
      <c r="D7588" s="2" t="b">
        <f>IF(AND(NOT(ISBLANK(Table1[[#This Row],[Fetal Sex (Male, Female or Unknown)]])),ISNUMBER(Table1[[#This Row],[Birthweight (grams)]]),ISNUMBER(Table1[[#This Row],[Gestation (days)]])),TRUE,FALSE)</f>
        <v>0</v>
      </c>
      <c r="E7588" s="2" t="str">
        <f>IF(Table1[[#This Row],[Is Data Valid]]=TRUE,IF(Table1[[#This Row],[Fetal Sex (Male, Female or Unknown)]]="Male",Backend!$C$6,IF(Table1[[#This Row],[Fetal Sex (Male, Female or Unknown)]]="Female",Backend!$C$7,IF(Table1[[#This Row],[Fetal Sex (Male, Female or Unknown)]]="Unknown",Backend!$C$8,"Error"))),"")</f>
        <v/>
      </c>
      <c r="F7588" s="8" t="str">
        <f>IF(Table1[[#This Row],[Is Data Valid]]=TRUE,EXP(0.578+0.332*((Table1[[#This Row],[Gestation (days)]]+0.5)/7)-0.00354*((Table1[[#This Row],[Gestation (days)]]+0.5)/7)^2)*Table1[[#This Row],[BW40_3705]],"")</f>
        <v/>
      </c>
      <c r="G7588" s="2" t="str">
        <f>IF(Table1[[#This Row],[Is Data Valid]]=TRUE,((Table1[[#This Row],[Birthweight (grams)]]/Table1[[#This Row],[BW_GA]])-1)/(Backend!$B$4/100*Table1[[#This Row],[BW40_3705]]),"")</f>
        <v/>
      </c>
      <c r="H7588" s="7" t="str">
        <f>IF(Table1[[#This Row],[Is Data Valid]]=TRUE,((Table1[[#This Row],[Birthweight (grams)]]*0.9/Table1[[#This Row],[BW_GA]])-1)/(Backend!$B$4/100*Table1[[#This Row],[BW40_3705]]),"")</f>
        <v/>
      </c>
      <c r="I7588" s="7" t="str">
        <f>IF(Table1[[#This Row],[Is Data Valid]]=TRUE,((Table1[[#This Row],[Birthweight (grams)]]*1.1/Table1[[#This Row],[BW_GA]])-1)/(Backend!$B$4/100*Table1[[#This Row],[BW40_3705]]),"")</f>
        <v/>
      </c>
      <c r="J7588" s="7" t="str">
        <f>IF(Table1[[#This Row],[Is Data Valid]]=TRUE,_xlfn.NORM.S.DIST(Table1[[#This Row],[Birthweight Z-Score]],TRUE)*100,"")</f>
        <v/>
      </c>
      <c r="K7588" s="7" t="str">
        <f>IF(Table1[[#This Row],[Is Data Valid]]=TRUE,_xlfn.NORM.S.DIST(Table1[[#This Row],[Birthweight Z-Score (BW-10%)]],TRUE)*100,"")</f>
        <v/>
      </c>
      <c r="L7588" s="7" t="str">
        <f>IF(Table1[[#This Row],[Is Data Valid]]=TRUE,_xlfn.NORM.S.DIST(Table1[[#This Row],[Birthweight Z-Score (BW+10%)]],TRUE)*100,"")</f>
        <v/>
      </c>
    </row>
    <row r="7589" spans="1:12" x14ac:dyDescent="0.35">
      <c r="A7589" s="3"/>
      <c r="B7589" s="2"/>
      <c r="C7589" s="2"/>
      <c r="D7589" s="2" t="b">
        <f>IF(AND(NOT(ISBLANK(Table1[[#This Row],[Fetal Sex (Male, Female or Unknown)]])),ISNUMBER(Table1[[#This Row],[Birthweight (grams)]]),ISNUMBER(Table1[[#This Row],[Gestation (days)]])),TRUE,FALSE)</f>
        <v>0</v>
      </c>
      <c r="E7589" s="2" t="str">
        <f>IF(Table1[[#This Row],[Is Data Valid]]=TRUE,IF(Table1[[#This Row],[Fetal Sex (Male, Female or Unknown)]]="Male",Backend!$C$6,IF(Table1[[#This Row],[Fetal Sex (Male, Female or Unknown)]]="Female",Backend!$C$7,IF(Table1[[#This Row],[Fetal Sex (Male, Female or Unknown)]]="Unknown",Backend!$C$8,"Error"))),"")</f>
        <v/>
      </c>
      <c r="F7589" s="8" t="str">
        <f>IF(Table1[[#This Row],[Is Data Valid]]=TRUE,EXP(0.578+0.332*((Table1[[#This Row],[Gestation (days)]]+0.5)/7)-0.00354*((Table1[[#This Row],[Gestation (days)]]+0.5)/7)^2)*Table1[[#This Row],[BW40_3705]],"")</f>
        <v/>
      </c>
      <c r="G7589" s="2" t="str">
        <f>IF(Table1[[#This Row],[Is Data Valid]]=TRUE,((Table1[[#This Row],[Birthweight (grams)]]/Table1[[#This Row],[BW_GA]])-1)/(Backend!$B$4/100*Table1[[#This Row],[BW40_3705]]),"")</f>
        <v/>
      </c>
      <c r="H7589" s="7" t="str">
        <f>IF(Table1[[#This Row],[Is Data Valid]]=TRUE,((Table1[[#This Row],[Birthweight (grams)]]*0.9/Table1[[#This Row],[BW_GA]])-1)/(Backend!$B$4/100*Table1[[#This Row],[BW40_3705]]),"")</f>
        <v/>
      </c>
      <c r="I7589" s="7" t="str">
        <f>IF(Table1[[#This Row],[Is Data Valid]]=TRUE,((Table1[[#This Row],[Birthweight (grams)]]*1.1/Table1[[#This Row],[BW_GA]])-1)/(Backend!$B$4/100*Table1[[#This Row],[BW40_3705]]),"")</f>
        <v/>
      </c>
      <c r="J7589" s="7" t="str">
        <f>IF(Table1[[#This Row],[Is Data Valid]]=TRUE,_xlfn.NORM.S.DIST(Table1[[#This Row],[Birthweight Z-Score]],TRUE)*100,"")</f>
        <v/>
      </c>
      <c r="K7589" s="7" t="str">
        <f>IF(Table1[[#This Row],[Is Data Valid]]=TRUE,_xlfn.NORM.S.DIST(Table1[[#This Row],[Birthweight Z-Score (BW-10%)]],TRUE)*100,"")</f>
        <v/>
      </c>
      <c r="L7589" s="7" t="str">
        <f>IF(Table1[[#This Row],[Is Data Valid]]=TRUE,_xlfn.NORM.S.DIST(Table1[[#This Row],[Birthweight Z-Score (BW+10%)]],TRUE)*100,"")</f>
        <v/>
      </c>
    </row>
    <row r="7590" spans="1:12" x14ac:dyDescent="0.35">
      <c r="A7590" s="3"/>
      <c r="B7590" s="2"/>
      <c r="C7590" s="2"/>
      <c r="D7590" s="2" t="b">
        <f>IF(AND(NOT(ISBLANK(Table1[[#This Row],[Fetal Sex (Male, Female or Unknown)]])),ISNUMBER(Table1[[#This Row],[Birthweight (grams)]]),ISNUMBER(Table1[[#This Row],[Gestation (days)]])),TRUE,FALSE)</f>
        <v>0</v>
      </c>
      <c r="E7590" s="2" t="str">
        <f>IF(Table1[[#This Row],[Is Data Valid]]=TRUE,IF(Table1[[#This Row],[Fetal Sex (Male, Female or Unknown)]]="Male",Backend!$C$6,IF(Table1[[#This Row],[Fetal Sex (Male, Female or Unknown)]]="Female",Backend!$C$7,IF(Table1[[#This Row],[Fetal Sex (Male, Female or Unknown)]]="Unknown",Backend!$C$8,"Error"))),"")</f>
        <v/>
      </c>
      <c r="F7590" s="8" t="str">
        <f>IF(Table1[[#This Row],[Is Data Valid]]=TRUE,EXP(0.578+0.332*((Table1[[#This Row],[Gestation (days)]]+0.5)/7)-0.00354*((Table1[[#This Row],[Gestation (days)]]+0.5)/7)^2)*Table1[[#This Row],[BW40_3705]],"")</f>
        <v/>
      </c>
      <c r="G7590" s="2" t="str">
        <f>IF(Table1[[#This Row],[Is Data Valid]]=TRUE,((Table1[[#This Row],[Birthweight (grams)]]/Table1[[#This Row],[BW_GA]])-1)/(Backend!$B$4/100*Table1[[#This Row],[BW40_3705]]),"")</f>
        <v/>
      </c>
      <c r="H7590" s="7" t="str">
        <f>IF(Table1[[#This Row],[Is Data Valid]]=TRUE,((Table1[[#This Row],[Birthweight (grams)]]*0.9/Table1[[#This Row],[BW_GA]])-1)/(Backend!$B$4/100*Table1[[#This Row],[BW40_3705]]),"")</f>
        <v/>
      </c>
      <c r="I7590" s="7" t="str">
        <f>IF(Table1[[#This Row],[Is Data Valid]]=TRUE,((Table1[[#This Row],[Birthweight (grams)]]*1.1/Table1[[#This Row],[BW_GA]])-1)/(Backend!$B$4/100*Table1[[#This Row],[BW40_3705]]),"")</f>
        <v/>
      </c>
      <c r="J7590" s="7" t="str">
        <f>IF(Table1[[#This Row],[Is Data Valid]]=TRUE,_xlfn.NORM.S.DIST(Table1[[#This Row],[Birthweight Z-Score]],TRUE)*100,"")</f>
        <v/>
      </c>
      <c r="K7590" s="7" t="str">
        <f>IF(Table1[[#This Row],[Is Data Valid]]=TRUE,_xlfn.NORM.S.DIST(Table1[[#This Row],[Birthweight Z-Score (BW-10%)]],TRUE)*100,"")</f>
        <v/>
      </c>
      <c r="L7590" s="7" t="str">
        <f>IF(Table1[[#This Row],[Is Data Valid]]=TRUE,_xlfn.NORM.S.DIST(Table1[[#This Row],[Birthweight Z-Score (BW+10%)]],TRUE)*100,"")</f>
        <v/>
      </c>
    </row>
    <row r="7591" spans="1:12" x14ac:dyDescent="0.35">
      <c r="A7591" s="3"/>
      <c r="B7591" s="2"/>
      <c r="C7591" s="2"/>
      <c r="D7591" s="2" t="b">
        <f>IF(AND(NOT(ISBLANK(Table1[[#This Row],[Fetal Sex (Male, Female or Unknown)]])),ISNUMBER(Table1[[#This Row],[Birthweight (grams)]]),ISNUMBER(Table1[[#This Row],[Gestation (days)]])),TRUE,FALSE)</f>
        <v>0</v>
      </c>
      <c r="E7591" s="2" t="str">
        <f>IF(Table1[[#This Row],[Is Data Valid]]=TRUE,IF(Table1[[#This Row],[Fetal Sex (Male, Female or Unknown)]]="Male",Backend!$C$6,IF(Table1[[#This Row],[Fetal Sex (Male, Female or Unknown)]]="Female",Backend!$C$7,IF(Table1[[#This Row],[Fetal Sex (Male, Female or Unknown)]]="Unknown",Backend!$C$8,"Error"))),"")</f>
        <v/>
      </c>
      <c r="F7591" s="8" t="str">
        <f>IF(Table1[[#This Row],[Is Data Valid]]=TRUE,EXP(0.578+0.332*((Table1[[#This Row],[Gestation (days)]]+0.5)/7)-0.00354*((Table1[[#This Row],[Gestation (days)]]+0.5)/7)^2)*Table1[[#This Row],[BW40_3705]],"")</f>
        <v/>
      </c>
      <c r="G7591" s="2" t="str">
        <f>IF(Table1[[#This Row],[Is Data Valid]]=TRUE,((Table1[[#This Row],[Birthweight (grams)]]/Table1[[#This Row],[BW_GA]])-1)/(Backend!$B$4/100*Table1[[#This Row],[BW40_3705]]),"")</f>
        <v/>
      </c>
      <c r="H7591" s="7" t="str">
        <f>IF(Table1[[#This Row],[Is Data Valid]]=TRUE,((Table1[[#This Row],[Birthweight (grams)]]*0.9/Table1[[#This Row],[BW_GA]])-1)/(Backend!$B$4/100*Table1[[#This Row],[BW40_3705]]),"")</f>
        <v/>
      </c>
      <c r="I7591" s="7" t="str">
        <f>IF(Table1[[#This Row],[Is Data Valid]]=TRUE,((Table1[[#This Row],[Birthweight (grams)]]*1.1/Table1[[#This Row],[BW_GA]])-1)/(Backend!$B$4/100*Table1[[#This Row],[BW40_3705]]),"")</f>
        <v/>
      </c>
      <c r="J7591" s="7" t="str">
        <f>IF(Table1[[#This Row],[Is Data Valid]]=TRUE,_xlfn.NORM.S.DIST(Table1[[#This Row],[Birthweight Z-Score]],TRUE)*100,"")</f>
        <v/>
      </c>
      <c r="K7591" s="7" t="str">
        <f>IF(Table1[[#This Row],[Is Data Valid]]=TRUE,_xlfn.NORM.S.DIST(Table1[[#This Row],[Birthweight Z-Score (BW-10%)]],TRUE)*100,"")</f>
        <v/>
      </c>
      <c r="L7591" s="7" t="str">
        <f>IF(Table1[[#This Row],[Is Data Valid]]=TRUE,_xlfn.NORM.S.DIST(Table1[[#This Row],[Birthweight Z-Score (BW+10%)]],TRUE)*100,"")</f>
        <v/>
      </c>
    </row>
    <row r="7592" spans="1:12" x14ac:dyDescent="0.35">
      <c r="A7592" s="3"/>
      <c r="B7592" s="2"/>
      <c r="C7592" s="2"/>
      <c r="D7592" s="2" t="b">
        <f>IF(AND(NOT(ISBLANK(Table1[[#This Row],[Fetal Sex (Male, Female or Unknown)]])),ISNUMBER(Table1[[#This Row],[Birthweight (grams)]]),ISNUMBER(Table1[[#This Row],[Gestation (days)]])),TRUE,FALSE)</f>
        <v>0</v>
      </c>
      <c r="E7592" s="2" t="str">
        <f>IF(Table1[[#This Row],[Is Data Valid]]=TRUE,IF(Table1[[#This Row],[Fetal Sex (Male, Female or Unknown)]]="Male",Backend!$C$6,IF(Table1[[#This Row],[Fetal Sex (Male, Female or Unknown)]]="Female",Backend!$C$7,IF(Table1[[#This Row],[Fetal Sex (Male, Female or Unknown)]]="Unknown",Backend!$C$8,"Error"))),"")</f>
        <v/>
      </c>
      <c r="F7592" s="8" t="str">
        <f>IF(Table1[[#This Row],[Is Data Valid]]=TRUE,EXP(0.578+0.332*((Table1[[#This Row],[Gestation (days)]]+0.5)/7)-0.00354*((Table1[[#This Row],[Gestation (days)]]+0.5)/7)^2)*Table1[[#This Row],[BW40_3705]],"")</f>
        <v/>
      </c>
      <c r="G7592" s="2" t="str">
        <f>IF(Table1[[#This Row],[Is Data Valid]]=TRUE,((Table1[[#This Row],[Birthweight (grams)]]/Table1[[#This Row],[BW_GA]])-1)/(Backend!$B$4/100*Table1[[#This Row],[BW40_3705]]),"")</f>
        <v/>
      </c>
      <c r="H7592" s="7" t="str">
        <f>IF(Table1[[#This Row],[Is Data Valid]]=TRUE,((Table1[[#This Row],[Birthweight (grams)]]*0.9/Table1[[#This Row],[BW_GA]])-1)/(Backend!$B$4/100*Table1[[#This Row],[BW40_3705]]),"")</f>
        <v/>
      </c>
      <c r="I7592" s="7" t="str">
        <f>IF(Table1[[#This Row],[Is Data Valid]]=TRUE,((Table1[[#This Row],[Birthweight (grams)]]*1.1/Table1[[#This Row],[BW_GA]])-1)/(Backend!$B$4/100*Table1[[#This Row],[BW40_3705]]),"")</f>
        <v/>
      </c>
      <c r="J7592" s="7" t="str">
        <f>IF(Table1[[#This Row],[Is Data Valid]]=TRUE,_xlfn.NORM.S.DIST(Table1[[#This Row],[Birthweight Z-Score]],TRUE)*100,"")</f>
        <v/>
      </c>
      <c r="K7592" s="7" t="str">
        <f>IF(Table1[[#This Row],[Is Data Valid]]=TRUE,_xlfn.NORM.S.DIST(Table1[[#This Row],[Birthweight Z-Score (BW-10%)]],TRUE)*100,"")</f>
        <v/>
      </c>
      <c r="L7592" s="7" t="str">
        <f>IF(Table1[[#This Row],[Is Data Valid]]=TRUE,_xlfn.NORM.S.DIST(Table1[[#This Row],[Birthweight Z-Score (BW+10%)]],TRUE)*100,"")</f>
        <v/>
      </c>
    </row>
    <row r="7593" spans="1:12" x14ac:dyDescent="0.35">
      <c r="A7593" s="3"/>
      <c r="B7593" s="2"/>
      <c r="C7593" s="2"/>
      <c r="D7593" s="2" t="b">
        <f>IF(AND(NOT(ISBLANK(Table1[[#This Row],[Fetal Sex (Male, Female or Unknown)]])),ISNUMBER(Table1[[#This Row],[Birthweight (grams)]]),ISNUMBER(Table1[[#This Row],[Gestation (days)]])),TRUE,FALSE)</f>
        <v>0</v>
      </c>
      <c r="E7593" s="2" t="str">
        <f>IF(Table1[[#This Row],[Is Data Valid]]=TRUE,IF(Table1[[#This Row],[Fetal Sex (Male, Female or Unknown)]]="Male",Backend!$C$6,IF(Table1[[#This Row],[Fetal Sex (Male, Female or Unknown)]]="Female",Backend!$C$7,IF(Table1[[#This Row],[Fetal Sex (Male, Female or Unknown)]]="Unknown",Backend!$C$8,"Error"))),"")</f>
        <v/>
      </c>
      <c r="F7593" s="8" t="str">
        <f>IF(Table1[[#This Row],[Is Data Valid]]=TRUE,EXP(0.578+0.332*((Table1[[#This Row],[Gestation (days)]]+0.5)/7)-0.00354*((Table1[[#This Row],[Gestation (days)]]+0.5)/7)^2)*Table1[[#This Row],[BW40_3705]],"")</f>
        <v/>
      </c>
      <c r="G7593" s="2" t="str">
        <f>IF(Table1[[#This Row],[Is Data Valid]]=TRUE,((Table1[[#This Row],[Birthweight (grams)]]/Table1[[#This Row],[BW_GA]])-1)/(Backend!$B$4/100*Table1[[#This Row],[BW40_3705]]),"")</f>
        <v/>
      </c>
      <c r="H7593" s="7" t="str">
        <f>IF(Table1[[#This Row],[Is Data Valid]]=TRUE,((Table1[[#This Row],[Birthweight (grams)]]*0.9/Table1[[#This Row],[BW_GA]])-1)/(Backend!$B$4/100*Table1[[#This Row],[BW40_3705]]),"")</f>
        <v/>
      </c>
      <c r="I7593" s="7" t="str">
        <f>IF(Table1[[#This Row],[Is Data Valid]]=TRUE,((Table1[[#This Row],[Birthweight (grams)]]*1.1/Table1[[#This Row],[BW_GA]])-1)/(Backend!$B$4/100*Table1[[#This Row],[BW40_3705]]),"")</f>
        <v/>
      </c>
      <c r="J7593" s="7" t="str">
        <f>IF(Table1[[#This Row],[Is Data Valid]]=TRUE,_xlfn.NORM.S.DIST(Table1[[#This Row],[Birthweight Z-Score]],TRUE)*100,"")</f>
        <v/>
      </c>
      <c r="K7593" s="7" t="str">
        <f>IF(Table1[[#This Row],[Is Data Valid]]=TRUE,_xlfn.NORM.S.DIST(Table1[[#This Row],[Birthweight Z-Score (BW-10%)]],TRUE)*100,"")</f>
        <v/>
      </c>
      <c r="L7593" s="7" t="str">
        <f>IF(Table1[[#This Row],[Is Data Valid]]=TRUE,_xlfn.NORM.S.DIST(Table1[[#This Row],[Birthweight Z-Score (BW+10%)]],TRUE)*100,"")</f>
        <v/>
      </c>
    </row>
    <row r="7594" spans="1:12" x14ac:dyDescent="0.35">
      <c r="A7594" s="3"/>
      <c r="B7594" s="2"/>
      <c r="C7594" s="2"/>
      <c r="D7594" s="2" t="b">
        <f>IF(AND(NOT(ISBLANK(Table1[[#This Row],[Fetal Sex (Male, Female or Unknown)]])),ISNUMBER(Table1[[#This Row],[Birthweight (grams)]]),ISNUMBER(Table1[[#This Row],[Gestation (days)]])),TRUE,FALSE)</f>
        <v>0</v>
      </c>
      <c r="E7594" s="2" t="str">
        <f>IF(Table1[[#This Row],[Is Data Valid]]=TRUE,IF(Table1[[#This Row],[Fetal Sex (Male, Female or Unknown)]]="Male",Backend!$C$6,IF(Table1[[#This Row],[Fetal Sex (Male, Female or Unknown)]]="Female",Backend!$C$7,IF(Table1[[#This Row],[Fetal Sex (Male, Female or Unknown)]]="Unknown",Backend!$C$8,"Error"))),"")</f>
        <v/>
      </c>
      <c r="F7594" s="8" t="str">
        <f>IF(Table1[[#This Row],[Is Data Valid]]=TRUE,EXP(0.578+0.332*((Table1[[#This Row],[Gestation (days)]]+0.5)/7)-0.00354*((Table1[[#This Row],[Gestation (days)]]+0.5)/7)^2)*Table1[[#This Row],[BW40_3705]],"")</f>
        <v/>
      </c>
      <c r="G7594" s="2" t="str">
        <f>IF(Table1[[#This Row],[Is Data Valid]]=TRUE,((Table1[[#This Row],[Birthweight (grams)]]/Table1[[#This Row],[BW_GA]])-1)/(Backend!$B$4/100*Table1[[#This Row],[BW40_3705]]),"")</f>
        <v/>
      </c>
      <c r="H7594" s="7" t="str">
        <f>IF(Table1[[#This Row],[Is Data Valid]]=TRUE,((Table1[[#This Row],[Birthweight (grams)]]*0.9/Table1[[#This Row],[BW_GA]])-1)/(Backend!$B$4/100*Table1[[#This Row],[BW40_3705]]),"")</f>
        <v/>
      </c>
      <c r="I7594" s="7" t="str">
        <f>IF(Table1[[#This Row],[Is Data Valid]]=TRUE,((Table1[[#This Row],[Birthweight (grams)]]*1.1/Table1[[#This Row],[BW_GA]])-1)/(Backend!$B$4/100*Table1[[#This Row],[BW40_3705]]),"")</f>
        <v/>
      </c>
      <c r="J7594" s="7" t="str">
        <f>IF(Table1[[#This Row],[Is Data Valid]]=TRUE,_xlfn.NORM.S.DIST(Table1[[#This Row],[Birthweight Z-Score]],TRUE)*100,"")</f>
        <v/>
      </c>
      <c r="K7594" s="7" t="str">
        <f>IF(Table1[[#This Row],[Is Data Valid]]=TRUE,_xlfn.NORM.S.DIST(Table1[[#This Row],[Birthweight Z-Score (BW-10%)]],TRUE)*100,"")</f>
        <v/>
      </c>
      <c r="L7594" s="7" t="str">
        <f>IF(Table1[[#This Row],[Is Data Valid]]=TRUE,_xlfn.NORM.S.DIST(Table1[[#This Row],[Birthweight Z-Score (BW+10%)]],TRUE)*100,"")</f>
        <v/>
      </c>
    </row>
    <row r="7595" spans="1:12" x14ac:dyDescent="0.35">
      <c r="A7595" s="3"/>
      <c r="B7595" s="2"/>
      <c r="C7595" s="2"/>
      <c r="D7595" s="2" t="b">
        <f>IF(AND(NOT(ISBLANK(Table1[[#This Row],[Fetal Sex (Male, Female or Unknown)]])),ISNUMBER(Table1[[#This Row],[Birthweight (grams)]]),ISNUMBER(Table1[[#This Row],[Gestation (days)]])),TRUE,FALSE)</f>
        <v>0</v>
      </c>
      <c r="E7595" s="2" t="str">
        <f>IF(Table1[[#This Row],[Is Data Valid]]=TRUE,IF(Table1[[#This Row],[Fetal Sex (Male, Female or Unknown)]]="Male",Backend!$C$6,IF(Table1[[#This Row],[Fetal Sex (Male, Female or Unknown)]]="Female",Backend!$C$7,IF(Table1[[#This Row],[Fetal Sex (Male, Female or Unknown)]]="Unknown",Backend!$C$8,"Error"))),"")</f>
        <v/>
      </c>
      <c r="F7595" s="8" t="str">
        <f>IF(Table1[[#This Row],[Is Data Valid]]=TRUE,EXP(0.578+0.332*((Table1[[#This Row],[Gestation (days)]]+0.5)/7)-0.00354*((Table1[[#This Row],[Gestation (days)]]+0.5)/7)^2)*Table1[[#This Row],[BW40_3705]],"")</f>
        <v/>
      </c>
      <c r="G7595" s="2" t="str">
        <f>IF(Table1[[#This Row],[Is Data Valid]]=TRUE,((Table1[[#This Row],[Birthweight (grams)]]/Table1[[#This Row],[BW_GA]])-1)/(Backend!$B$4/100*Table1[[#This Row],[BW40_3705]]),"")</f>
        <v/>
      </c>
      <c r="H7595" s="7" t="str">
        <f>IF(Table1[[#This Row],[Is Data Valid]]=TRUE,((Table1[[#This Row],[Birthweight (grams)]]*0.9/Table1[[#This Row],[BW_GA]])-1)/(Backend!$B$4/100*Table1[[#This Row],[BW40_3705]]),"")</f>
        <v/>
      </c>
      <c r="I7595" s="7" t="str">
        <f>IF(Table1[[#This Row],[Is Data Valid]]=TRUE,((Table1[[#This Row],[Birthweight (grams)]]*1.1/Table1[[#This Row],[BW_GA]])-1)/(Backend!$B$4/100*Table1[[#This Row],[BW40_3705]]),"")</f>
        <v/>
      </c>
      <c r="J7595" s="7" t="str">
        <f>IF(Table1[[#This Row],[Is Data Valid]]=TRUE,_xlfn.NORM.S.DIST(Table1[[#This Row],[Birthweight Z-Score]],TRUE)*100,"")</f>
        <v/>
      </c>
      <c r="K7595" s="7" t="str">
        <f>IF(Table1[[#This Row],[Is Data Valid]]=TRUE,_xlfn.NORM.S.DIST(Table1[[#This Row],[Birthweight Z-Score (BW-10%)]],TRUE)*100,"")</f>
        <v/>
      </c>
      <c r="L7595" s="7" t="str">
        <f>IF(Table1[[#This Row],[Is Data Valid]]=TRUE,_xlfn.NORM.S.DIST(Table1[[#This Row],[Birthweight Z-Score (BW+10%)]],TRUE)*100,"")</f>
        <v/>
      </c>
    </row>
    <row r="7596" spans="1:12" x14ac:dyDescent="0.35">
      <c r="A7596" s="3"/>
      <c r="B7596" s="2"/>
      <c r="C7596" s="2"/>
      <c r="D7596" s="2" t="b">
        <f>IF(AND(NOT(ISBLANK(Table1[[#This Row],[Fetal Sex (Male, Female or Unknown)]])),ISNUMBER(Table1[[#This Row],[Birthweight (grams)]]),ISNUMBER(Table1[[#This Row],[Gestation (days)]])),TRUE,FALSE)</f>
        <v>0</v>
      </c>
      <c r="E7596" s="2" t="str">
        <f>IF(Table1[[#This Row],[Is Data Valid]]=TRUE,IF(Table1[[#This Row],[Fetal Sex (Male, Female or Unknown)]]="Male",Backend!$C$6,IF(Table1[[#This Row],[Fetal Sex (Male, Female or Unknown)]]="Female",Backend!$C$7,IF(Table1[[#This Row],[Fetal Sex (Male, Female or Unknown)]]="Unknown",Backend!$C$8,"Error"))),"")</f>
        <v/>
      </c>
      <c r="F7596" s="8" t="str">
        <f>IF(Table1[[#This Row],[Is Data Valid]]=TRUE,EXP(0.578+0.332*((Table1[[#This Row],[Gestation (days)]]+0.5)/7)-0.00354*((Table1[[#This Row],[Gestation (days)]]+0.5)/7)^2)*Table1[[#This Row],[BW40_3705]],"")</f>
        <v/>
      </c>
      <c r="G7596" s="2" t="str">
        <f>IF(Table1[[#This Row],[Is Data Valid]]=TRUE,((Table1[[#This Row],[Birthweight (grams)]]/Table1[[#This Row],[BW_GA]])-1)/(Backend!$B$4/100*Table1[[#This Row],[BW40_3705]]),"")</f>
        <v/>
      </c>
      <c r="H7596" s="7" t="str">
        <f>IF(Table1[[#This Row],[Is Data Valid]]=TRUE,((Table1[[#This Row],[Birthweight (grams)]]*0.9/Table1[[#This Row],[BW_GA]])-1)/(Backend!$B$4/100*Table1[[#This Row],[BW40_3705]]),"")</f>
        <v/>
      </c>
      <c r="I7596" s="7" t="str">
        <f>IF(Table1[[#This Row],[Is Data Valid]]=TRUE,((Table1[[#This Row],[Birthweight (grams)]]*1.1/Table1[[#This Row],[BW_GA]])-1)/(Backend!$B$4/100*Table1[[#This Row],[BW40_3705]]),"")</f>
        <v/>
      </c>
      <c r="J7596" s="7" t="str">
        <f>IF(Table1[[#This Row],[Is Data Valid]]=TRUE,_xlfn.NORM.S.DIST(Table1[[#This Row],[Birthweight Z-Score]],TRUE)*100,"")</f>
        <v/>
      </c>
      <c r="K7596" s="7" t="str">
        <f>IF(Table1[[#This Row],[Is Data Valid]]=TRUE,_xlfn.NORM.S.DIST(Table1[[#This Row],[Birthweight Z-Score (BW-10%)]],TRUE)*100,"")</f>
        <v/>
      </c>
      <c r="L7596" s="7" t="str">
        <f>IF(Table1[[#This Row],[Is Data Valid]]=TRUE,_xlfn.NORM.S.DIST(Table1[[#This Row],[Birthweight Z-Score (BW+10%)]],TRUE)*100,"")</f>
        <v/>
      </c>
    </row>
    <row r="7597" spans="1:12" x14ac:dyDescent="0.35">
      <c r="A7597" s="3"/>
      <c r="B7597" s="2"/>
      <c r="C7597" s="2"/>
      <c r="D7597" s="2" t="b">
        <f>IF(AND(NOT(ISBLANK(Table1[[#This Row],[Fetal Sex (Male, Female or Unknown)]])),ISNUMBER(Table1[[#This Row],[Birthweight (grams)]]),ISNUMBER(Table1[[#This Row],[Gestation (days)]])),TRUE,FALSE)</f>
        <v>0</v>
      </c>
      <c r="E7597" s="2" t="str">
        <f>IF(Table1[[#This Row],[Is Data Valid]]=TRUE,IF(Table1[[#This Row],[Fetal Sex (Male, Female or Unknown)]]="Male",Backend!$C$6,IF(Table1[[#This Row],[Fetal Sex (Male, Female or Unknown)]]="Female",Backend!$C$7,IF(Table1[[#This Row],[Fetal Sex (Male, Female or Unknown)]]="Unknown",Backend!$C$8,"Error"))),"")</f>
        <v/>
      </c>
      <c r="F7597" s="8" t="str">
        <f>IF(Table1[[#This Row],[Is Data Valid]]=TRUE,EXP(0.578+0.332*((Table1[[#This Row],[Gestation (days)]]+0.5)/7)-0.00354*((Table1[[#This Row],[Gestation (days)]]+0.5)/7)^2)*Table1[[#This Row],[BW40_3705]],"")</f>
        <v/>
      </c>
      <c r="G7597" s="2" t="str">
        <f>IF(Table1[[#This Row],[Is Data Valid]]=TRUE,((Table1[[#This Row],[Birthweight (grams)]]/Table1[[#This Row],[BW_GA]])-1)/(Backend!$B$4/100*Table1[[#This Row],[BW40_3705]]),"")</f>
        <v/>
      </c>
      <c r="H7597" s="7" t="str">
        <f>IF(Table1[[#This Row],[Is Data Valid]]=TRUE,((Table1[[#This Row],[Birthweight (grams)]]*0.9/Table1[[#This Row],[BW_GA]])-1)/(Backend!$B$4/100*Table1[[#This Row],[BW40_3705]]),"")</f>
        <v/>
      </c>
      <c r="I7597" s="7" t="str">
        <f>IF(Table1[[#This Row],[Is Data Valid]]=TRUE,((Table1[[#This Row],[Birthweight (grams)]]*1.1/Table1[[#This Row],[BW_GA]])-1)/(Backend!$B$4/100*Table1[[#This Row],[BW40_3705]]),"")</f>
        <v/>
      </c>
      <c r="J7597" s="7" t="str">
        <f>IF(Table1[[#This Row],[Is Data Valid]]=TRUE,_xlfn.NORM.S.DIST(Table1[[#This Row],[Birthweight Z-Score]],TRUE)*100,"")</f>
        <v/>
      </c>
      <c r="K7597" s="7" t="str">
        <f>IF(Table1[[#This Row],[Is Data Valid]]=TRUE,_xlfn.NORM.S.DIST(Table1[[#This Row],[Birthweight Z-Score (BW-10%)]],TRUE)*100,"")</f>
        <v/>
      </c>
      <c r="L7597" s="7" t="str">
        <f>IF(Table1[[#This Row],[Is Data Valid]]=TRUE,_xlfn.NORM.S.DIST(Table1[[#This Row],[Birthweight Z-Score (BW+10%)]],TRUE)*100,"")</f>
        <v/>
      </c>
    </row>
    <row r="7598" spans="1:12" x14ac:dyDescent="0.35">
      <c r="A7598" s="3"/>
      <c r="B7598" s="2"/>
      <c r="C7598" s="2"/>
      <c r="D7598" s="2" t="b">
        <f>IF(AND(NOT(ISBLANK(Table1[[#This Row],[Fetal Sex (Male, Female or Unknown)]])),ISNUMBER(Table1[[#This Row],[Birthweight (grams)]]),ISNUMBER(Table1[[#This Row],[Gestation (days)]])),TRUE,FALSE)</f>
        <v>0</v>
      </c>
      <c r="E7598" s="2" t="str">
        <f>IF(Table1[[#This Row],[Is Data Valid]]=TRUE,IF(Table1[[#This Row],[Fetal Sex (Male, Female or Unknown)]]="Male",Backend!$C$6,IF(Table1[[#This Row],[Fetal Sex (Male, Female or Unknown)]]="Female",Backend!$C$7,IF(Table1[[#This Row],[Fetal Sex (Male, Female or Unknown)]]="Unknown",Backend!$C$8,"Error"))),"")</f>
        <v/>
      </c>
      <c r="F7598" s="8" t="str">
        <f>IF(Table1[[#This Row],[Is Data Valid]]=TRUE,EXP(0.578+0.332*((Table1[[#This Row],[Gestation (days)]]+0.5)/7)-0.00354*((Table1[[#This Row],[Gestation (days)]]+0.5)/7)^2)*Table1[[#This Row],[BW40_3705]],"")</f>
        <v/>
      </c>
      <c r="G7598" s="2" t="str">
        <f>IF(Table1[[#This Row],[Is Data Valid]]=TRUE,((Table1[[#This Row],[Birthweight (grams)]]/Table1[[#This Row],[BW_GA]])-1)/(Backend!$B$4/100*Table1[[#This Row],[BW40_3705]]),"")</f>
        <v/>
      </c>
      <c r="H7598" s="7" t="str">
        <f>IF(Table1[[#This Row],[Is Data Valid]]=TRUE,((Table1[[#This Row],[Birthweight (grams)]]*0.9/Table1[[#This Row],[BW_GA]])-1)/(Backend!$B$4/100*Table1[[#This Row],[BW40_3705]]),"")</f>
        <v/>
      </c>
      <c r="I7598" s="7" t="str">
        <f>IF(Table1[[#This Row],[Is Data Valid]]=TRUE,((Table1[[#This Row],[Birthweight (grams)]]*1.1/Table1[[#This Row],[BW_GA]])-1)/(Backend!$B$4/100*Table1[[#This Row],[BW40_3705]]),"")</f>
        <v/>
      </c>
      <c r="J7598" s="7" t="str">
        <f>IF(Table1[[#This Row],[Is Data Valid]]=TRUE,_xlfn.NORM.S.DIST(Table1[[#This Row],[Birthweight Z-Score]],TRUE)*100,"")</f>
        <v/>
      </c>
      <c r="K7598" s="7" t="str">
        <f>IF(Table1[[#This Row],[Is Data Valid]]=TRUE,_xlfn.NORM.S.DIST(Table1[[#This Row],[Birthweight Z-Score (BW-10%)]],TRUE)*100,"")</f>
        <v/>
      </c>
      <c r="L7598" s="7" t="str">
        <f>IF(Table1[[#This Row],[Is Data Valid]]=TRUE,_xlfn.NORM.S.DIST(Table1[[#This Row],[Birthweight Z-Score (BW+10%)]],TRUE)*100,"")</f>
        <v/>
      </c>
    </row>
    <row r="7599" spans="1:12" x14ac:dyDescent="0.35">
      <c r="A7599" s="3"/>
      <c r="B7599" s="2"/>
      <c r="C7599" s="2"/>
      <c r="D7599" s="2" t="b">
        <f>IF(AND(NOT(ISBLANK(Table1[[#This Row],[Fetal Sex (Male, Female or Unknown)]])),ISNUMBER(Table1[[#This Row],[Birthweight (grams)]]),ISNUMBER(Table1[[#This Row],[Gestation (days)]])),TRUE,FALSE)</f>
        <v>0</v>
      </c>
      <c r="E7599" s="2" t="str">
        <f>IF(Table1[[#This Row],[Is Data Valid]]=TRUE,IF(Table1[[#This Row],[Fetal Sex (Male, Female or Unknown)]]="Male",Backend!$C$6,IF(Table1[[#This Row],[Fetal Sex (Male, Female or Unknown)]]="Female",Backend!$C$7,IF(Table1[[#This Row],[Fetal Sex (Male, Female or Unknown)]]="Unknown",Backend!$C$8,"Error"))),"")</f>
        <v/>
      </c>
      <c r="F7599" s="8" t="str">
        <f>IF(Table1[[#This Row],[Is Data Valid]]=TRUE,EXP(0.578+0.332*((Table1[[#This Row],[Gestation (days)]]+0.5)/7)-0.00354*((Table1[[#This Row],[Gestation (days)]]+0.5)/7)^2)*Table1[[#This Row],[BW40_3705]],"")</f>
        <v/>
      </c>
      <c r="G7599" s="2" t="str">
        <f>IF(Table1[[#This Row],[Is Data Valid]]=TRUE,((Table1[[#This Row],[Birthweight (grams)]]/Table1[[#This Row],[BW_GA]])-1)/(Backend!$B$4/100*Table1[[#This Row],[BW40_3705]]),"")</f>
        <v/>
      </c>
      <c r="H7599" s="7" t="str">
        <f>IF(Table1[[#This Row],[Is Data Valid]]=TRUE,((Table1[[#This Row],[Birthweight (grams)]]*0.9/Table1[[#This Row],[BW_GA]])-1)/(Backend!$B$4/100*Table1[[#This Row],[BW40_3705]]),"")</f>
        <v/>
      </c>
      <c r="I7599" s="7" t="str">
        <f>IF(Table1[[#This Row],[Is Data Valid]]=TRUE,((Table1[[#This Row],[Birthweight (grams)]]*1.1/Table1[[#This Row],[BW_GA]])-1)/(Backend!$B$4/100*Table1[[#This Row],[BW40_3705]]),"")</f>
        <v/>
      </c>
      <c r="J7599" s="7" t="str">
        <f>IF(Table1[[#This Row],[Is Data Valid]]=TRUE,_xlfn.NORM.S.DIST(Table1[[#This Row],[Birthweight Z-Score]],TRUE)*100,"")</f>
        <v/>
      </c>
      <c r="K7599" s="7" t="str">
        <f>IF(Table1[[#This Row],[Is Data Valid]]=TRUE,_xlfn.NORM.S.DIST(Table1[[#This Row],[Birthweight Z-Score (BW-10%)]],TRUE)*100,"")</f>
        <v/>
      </c>
      <c r="L7599" s="7" t="str">
        <f>IF(Table1[[#This Row],[Is Data Valid]]=TRUE,_xlfn.NORM.S.DIST(Table1[[#This Row],[Birthweight Z-Score (BW+10%)]],TRUE)*100,"")</f>
        <v/>
      </c>
    </row>
    <row r="7600" spans="1:12" x14ac:dyDescent="0.35">
      <c r="A7600" s="3"/>
      <c r="B7600" s="2"/>
      <c r="C7600" s="2"/>
      <c r="D7600" s="2" t="b">
        <f>IF(AND(NOT(ISBLANK(Table1[[#This Row],[Fetal Sex (Male, Female or Unknown)]])),ISNUMBER(Table1[[#This Row],[Birthweight (grams)]]),ISNUMBER(Table1[[#This Row],[Gestation (days)]])),TRUE,FALSE)</f>
        <v>0</v>
      </c>
      <c r="E7600" s="2" t="str">
        <f>IF(Table1[[#This Row],[Is Data Valid]]=TRUE,IF(Table1[[#This Row],[Fetal Sex (Male, Female or Unknown)]]="Male",Backend!$C$6,IF(Table1[[#This Row],[Fetal Sex (Male, Female or Unknown)]]="Female",Backend!$C$7,IF(Table1[[#This Row],[Fetal Sex (Male, Female or Unknown)]]="Unknown",Backend!$C$8,"Error"))),"")</f>
        <v/>
      </c>
      <c r="F7600" s="8" t="str">
        <f>IF(Table1[[#This Row],[Is Data Valid]]=TRUE,EXP(0.578+0.332*((Table1[[#This Row],[Gestation (days)]]+0.5)/7)-0.00354*((Table1[[#This Row],[Gestation (days)]]+0.5)/7)^2)*Table1[[#This Row],[BW40_3705]],"")</f>
        <v/>
      </c>
      <c r="G7600" s="2" t="str">
        <f>IF(Table1[[#This Row],[Is Data Valid]]=TRUE,((Table1[[#This Row],[Birthweight (grams)]]/Table1[[#This Row],[BW_GA]])-1)/(Backend!$B$4/100*Table1[[#This Row],[BW40_3705]]),"")</f>
        <v/>
      </c>
      <c r="H7600" s="7" t="str">
        <f>IF(Table1[[#This Row],[Is Data Valid]]=TRUE,((Table1[[#This Row],[Birthweight (grams)]]*0.9/Table1[[#This Row],[BW_GA]])-1)/(Backend!$B$4/100*Table1[[#This Row],[BW40_3705]]),"")</f>
        <v/>
      </c>
      <c r="I7600" s="7" t="str">
        <f>IF(Table1[[#This Row],[Is Data Valid]]=TRUE,((Table1[[#This Row],[Birthweight (grams)]]*1.1/Table1[[#This Row],[BW_GA]])-1)/(Backend!$B$4/100*Table1[[#This Row],[BW40_3705]]),"")</f>
        <v/>
      </c>
      <c r="J7600" s="7" t="str">
        <f>IF(Table1[[#This Row],[Is Data Valid]]=TRUE,_xlfn.NORM.S.DIST(Table1[[#This Row],[Birthweight Z-Score]],TRUE)*100,"")</f>
        <v/>
      </c>
      <c r="K7600" s="7" t="str">
        <f>IF(Table1[[#This Row],[Is Data Valid]]=TRUE,_xlfn.NORM.S.DIST(Table1[[#This Row],[Birthweight Z-Score (BW-10%)]],TRUE)*100,"")</f>
        <v/>
      </c>
      <c r="L7600" s="7" t="str">
        <f>IF(Table1[[#This Row],[Is Data Valid]]=TRUE,_xlfn.NORM.S.DIST(Table1[[#This Row],[Birthweight Z-Score (BW+10%)]],TRUE)*100,"")</f>
        <v/>
      </c>
    </row>
    <row r="7601" spans="1:12" x14ac:dyDescent="0.35">
      <c r="A7601" s="3"/>
      <c r="B7601" s="2"/>
      <c r="C7601" s="2"/>
      <c r="D7601" s="2" t="b">
        <f>IF(AND(NOT(ISBLANK(Table1[[#This Row],[Fetal Sex (Male, Female or Unknown)]])),ISNUMBER(Table1[[#This Row],[Birthweight (grams)]]),ISNUMBER(Table1[[#This Row],[Gestation (days)]])),TRUE,FALSE)</f>
        <v>0</v>
      </c>
      <c r="E7601" s="2" t="str">
        <f>IF(Table1[[#This Row],[Is Data Valid]]=TRUE,IF(Table1[[#This Row],[Fetal Sex (Male, Female or Unknown)]]="Male",Backend!$C$6,IF(Table1[[#This Row],[Fetal Sex (Male, Female or Unknown)]]="Female",Backend!$C$7,IF(Table1[[#This Row],[Fetal Sex (Male, Female or Unknown)]]="Unknown",Backend!$C$8,"Error"))),"")</f>
        <v/>
      </c>
      <c r="F7601" s="8" t="str">
        <f>IF(Table1[[#This Row],[Is Data Valid]]=TRUE,EXP(0.578+0.332*((Table1[[#This Row],[Gestation (days)]]+0.5)/7)-0.00354*((Table1[[#This Row],[Gestation (days)]]+0.5)/7)^2)*Table1[[#This Row],[BW40_3705]],"")</f>
        <v/>
      </c>
      <c r="G7601" s="2" t="str">
        <f>IF(Table1[[#This Row],[Is Data Valid]]=TRUE,((Table1[[#This Row],[Birthweight (grams)]]/Table1[[#This Row],[BW_GA]])-1)/(Backend!$B$4/100*Table1[[#This Row],[BW40_3705]]),"")</f>
        <v/>
      </c>
      <c r="H7601" s="7" t="str">
        <f>IF(Table1[[#This Row],[Is Data Valid]]=TRUE,((Table1[[#This Row],[Birthweight (grams)]]*0.9/Table1[[#This Row],[BW_GA]])-1)/(Backend!$B$4/100*Table1[[#This Row],[BW40_3705]]),"")</f>
        <v/>
      </c>
      <c r="I7601" s="7" t="str">
        <f>IF(Table1[[#This Row],[Is Data Valid]]=TRUE,((Table1[[#This Row],[Birthweight (grams)]]*1.1/Table1[[#This Row],[BW_GA]])-1)/(Backend!$B$4/100*Table1[[#This Row],[BW40_3705]]),"")</f>
        <v/>
      </c>
      <c r="J7601" s="7" t="str">
        <f>IF(Table1[[#This Row],[Is Data Valid]]=TRUE,_xlfn.NORM.S.DIST(Table1[[#This Row],[Birthweight Z-Score]],TRUE)*100,"")</f>
        <v/>
      </c>
      <c r="K7601" s="7" t="str">
        <f>IF(Table1[[#This Row],[Is Data Valid]]=TRUE,_xlfn.NORM.S.DIST(Table1[[#This Row],[Birthweight Z-Score (BW-10%)]],TRUE)*100,"")</f>
        <v/>
      </c>
      <c r="L7601" s="7" t="str">
        <f>IF(Table1[[#This Row],[Is Data Valid]]=TRUE,_xlfn.NORM.S.DIST(Table1[[#This Row],[Birthweight Z-Score (BW+10%)]],TRUE)*100,"")</f>
        <v/>
      </c>
    </row>
    <row r="7602" spans="1:12" x14ac:dyDescent="0.35">
      <c r="A7602" s="3"/>
      <c r="B7602" s="2"/>
      <c r="C7602" s="2"/>
      <c r="D7602" s="2" t="b">
        <f>IF(AND(NOT(ISBLANK(Table1[[#This Row],[Fetal Sex (Male, Female or Unknown)]])),ISNUMBER(Table1[[#This Row],[Birthweight (grams)]]),ISNUMBER(Table1[[#This Row],[Gestation (days)]])),TRUE,FALSE)</f>
        <v>0</v>
      </c>
      <c r="E7602" s="2" t="str">
        <f>IF(Table1[[#This Row],[Is Data Valid]]=TRUE,IF(Table1[[#This Row],[Fetal Sex (Male, Female or Unknown)]]="Male",Backend!$C$6,IF(Table1[[#This Row],[Fetal Sex (Male, Female or Unknown)]]="Female",Backend!$C$7,IF(Table1[[#This Row],[Fetal Sex (Male, Female or Unknown)]]="Unknown",Backend!$C$8,"Error"))),"")</f>
        <v/>
      </c>
      <c r="F7602" s="8" t="str">
        <f>IF(Table1[[#This Row],[Is Data Valid]]=TRUE,EXP(0.578+0.332*((Table1[[#This Row],[Gestation (days)]]+0.5)/7)-0.00354*((Table1[[#This Row],[Gestation (days)]]+0.5)/7)^2)*Table1[[#This Row],[BW40_3705]],"")</f>
        <v/>
      </c>
      <c r="G7602" s="2" t="str">
        <f>IF(Table1[[#This Row],[Is Data Valid]]=TRUE,((Table1[[#This Row],[Birthweight (grams)]]/Table1[[#This Row],[BW_GA]])-1)/(Backend!$B$4/100*Table1[[#This Row],[BW40_3705]]),"")</f>
        <v/>
      </c>
      <c r="H7602" s="7" t="str">
        <f>IF(Table1[[#This Row],[Is Data Valid]]=TRUE,((Table1[[#This Row],[Birthweight (grams)]]*0.9/Table1[[#This Row],[BW_GA]])-1)/(Backend!$B$4/100*Table1[[#This Row],[BW40_3705]]),"")</f>
        <v/>
      </c>
      <c r="I7602" s="7" t="str">
        <f>IF(Table1[[#This Row],[Is Data Valid]]=TRUE,((Table1[[#This Row],[Birthweight (grams)]]*1.1/Table1[[#This Row],[BW_GA]])-1)/(Backend!$B$4/100*Table1[[#This Row],[BW40_3705]]),"")</f>
        <v/>
      </c>
      <c r="J7602" s="7" t="str">
        <f>IF(Table1[[#This Row],[Is Data Valid]]=TRUE,_xlfn.NORM.S.DIST(Table1[[#This Row],[Birthweight Z-Score]],TRUE)*100,"")</f>
        <v/>
      </c>
      <c r="K7602" s="7" t="str">
        <f>IF(Table1[[#This Row],[Is Data Valid]]=TRUE,_xlfn.NORM.S.DIST(Table1[[#This Row],[Birthweight Z-Score (BW-10%)]],TRUE)*100,"")</f>
        <v/>
      </c>
      <c r="L7602" s="7" t="str">
        <f>IF(Table1[[#This Row],[Is Data Valid]]=TRUE,_xlfn.NORM.S.DIST(Table1[[#This Row],[Birthweight Z-Score (BW+10%)]],TRUE)*100,"")</f>
        <v/>
      </c>
    </row>
    <row r="7603" spans="1:12" x14ac:dyDescent="0.35">
      <c r="A7603" s="3"/>
      <c r="B7603" s="2"/>
      <c r="C7603" s="2"/>
      <c r="D7603" s="2" t="b">
        <f>IF(AND(NOT(ISBLANK(Table1[[#This Row],[Fetal Sex (Male, Female or Unknown)]])),ISNUMBER(Table1[[#This Row],[Birthweight (grams)]]),ISNUMBER(Table1[[#This Row],[Gestation (days)]])),TRUE,FALSE)</f>
        <v>0</v>
      </c>
      <c r="E7603" s="2" t="str">
        <f>IF(Table1[[#This Row],[Is Data Valid]]=TRUE,IF(Table1[[#This Row],[Fetal Sex (Male, Female or Unknown)]]="Male",Backend!$C$6,IF(Table1[[#This Row],[Fetal Sex (Male, Female or Unknown)]]="Female",Backend!$C$7,IF(Table1[[#This Row],[Fetal Sex (Male, Female or Unknown)]]="Unknown",Backend!$C$8,"Error"))),"")</f>
        <v/>
      </c>
      <c r="F7603" s="8" t="str">
        <f>IF(Table1[[#This Row],[Is Data Valid]]=TRUE,EXP(0.578+0.332*((Table1[[#This Row],[Gestation (days)]]+0.5)/7)-0.00354*((Table1[[#This Row],[Gestation (days)]]+0.5)/7)^2)*Table1[[#This Row],[BW40_3705]],"")</f>
        <v/>
      </c>
      <c r="G7603" s="2" t="str">
        <f>IF(Table1[[#This Row],[Is Data Valid]]=TRUE,((Table1[[#This Row],[Birthweight (grams)]]/Table1[[#This Row],[BW_GA]])-1)/(Backend!$B$4/100*Table1[[#This Row],[BW40_3705]]),"")</f>
        <v/>
      </c>
      <c r="H7603" s="7" t="str">
        <f>IF(Table1[[#This Row],[Is Data Valid]]=TRUE,((Table1[[#This Row],[Birthweight (grams)]]*0.9/Table1[[#This Row],[BW_GA]])-1)/(Backend!$B$4/100*Table1[[#This Row],[BW40_3705]]),"")</f>
        <v/>
      </c>
      <c r="I7603" s="7" t="str">
        <f>IF(Table1[[#This Row],[Is Data Valid]]=TRUE,((Table1[[#This Row],[Birthweight (grams)]]*1.1/Table1[[#This Row],[BW_GA]])-1)/(Backend!$B$4/100*Table1[[#This Row],[BW40_3705]]),"")</f>
        <v/>
      </c>
      <c r="J7603" s="7" t="str">
        <f>IF(Table1[[#This Row],[Is Data Valid]]=TRUE,_xlfn.NORM.S.DIST(Table1[[#This Row],[Birthweight Z-Score]],TRUE)*100,"")</f>
        <v/>
      </c>
      <c r="K7603" s="7" t="str">
        <f>IF(Table1[[#This Row],[Is Data Valid]]=TRUE,_xlfn.NORM.S.DIST(Table1[[#This Row],[Birthweight Z-Score (BW-10%)]],TRUE)*100,"")</f>
        <v/>
      </c>
      <c r="L7603" s="7" t="str">
        <f>IF(Table1[[#This Row],[Is Data Valid]]=TRUE,_xlfn.NORM.S.DIST(Table1[[#This Row],[Birthweight Z-Score (BW+10%)]],TRUE)*100,"")</f>
        <v/>
      </c>
    </row>
    <row r="7604" spans="1:12" x14ac:dyDescent="0.35">
      <c r="A7604" s="3"/>
      <c r="B7604" s="2"/>
      <c r="C7604" s="2"/>
      <c r="D7604" s="2" t="b">
        <f>IF(AND(NOT(ISBLANK(Table1[[#This Row],[Fetal Sex (Male, Female or Unknown)]])),ISNUMBER(Table1[[#This Row],[Birthweight (grams)]]),ISNUMBER(Table1[[#This Row],[Gestation (days)]])),TRUE,FALSE)</f>
        <v>0</v>
      </c>
      <c r="E7604" s="2" t="str">
        <f>IF(Table1[[#This Row],[Is Data Valid]]=TRUE,IF(Table1[[#This Row],[Fetal Sex (Male, Female or Unknown)]]="Male",Backend!$C$6,IF(Table1[[#This Row],[Fetal Sex (Male, Female or Unknown)]]="Female",Backend!$C$7,IF(Table1[[#This Row],[Fetal Sex (Male, Female or Unknown)]]="Unknown",Backend!$C$8,"Error"))),"")</f>
        <v/>
      </c>
      <c r="F7604" s="8" t="str">
        <f>IF(Table1[[#This Row],[Is Data Valid]]=TRUE,EXP(0.578+0.332*((Table1[[#This Row],[Gestation (days)]]+0.5)/7)-0.00354*((Table1[[#This Row],[Gestation (days)]]+0.5)/7)^2)*Table1[[#This Row],[BW40_3705]],"")</f>
        <v/>
      </c>
      <c r="G7604" s="2" t="str">
        <f>IF(Table1[[#This Row],[Is Data Valid]]=TRUE,((Table1[[#This Row],[Birthweight (grams)]]/Table1[[#This Row],[BW_GA]])-1)/(Backend!$B$4/100*Table1[[#This Row],[BW40_3705]]),"")</f>
        <v/>
      </c>
      <c r="H7604" s="7" t="str">
        <f>IF(Table1[[#This Row],[Is Data Valid]]=TRUE,((Table1[[#This Row],[Birthweight (grams)]]*0.9/Table1[[#This Row],[BW_GA]])-1)/(Backend!$B$4/100*Table1[[#This Row],[BW40_3705]]),"")</f>
        <v/>
      </c>
      <c r="I7604" s="7" t="str">
        <f>IF(Table1[[#This Row],[Is Data Valid]]=TRUE,((Table1[[#This Row],[Birthweight (grams)]]*1.1/Table1[[#This Row],[BW_GA]])-1)/(Backend!$B$4/100*Table1[[#This Row],[BW40_3705]]),"")</f>
        <v/>
      </c>
      <c r="J7604" s="7" t="str">
        <f>IF(Table1[[#This Row],[Is Data Valid]]=TRUE,_xlfn.NORM.S.DIST(Table1[[#This Row],[Birthweight Z-Score]],TRUE)*100,"")</f>
        <v/>
      </c>
      <c r="K7604" s="7" t="str">
        <f>IF(Table1[[#This Row],[Is Data Valid]]=TRUE,_xlfn.NORM.S.DIST(Table1[[#This Row],[Birthweight Z-Score (BW-10%)]],TRUE)*100,"")</f>
        <v/>
      </c>
      <c r="L7604" s="7" t="str">
        <f>IF(Table1[[#This Row],[Is Data Valid]]=TRUE,_xlfn.NORM.S.DIST(Table1[[#This Row],[Birthweight Z-Score (BW+10%)]],TRUE)*100,"")</f>
        <v/>
      </c>
    </row>
    <row r="7605" spans="1:12" x14ac:dyDescent="0.35">
      <c r="A7605" s="3"/>
      <c r="B7605" s="2"/>
      <c r="C7605" s="2"/>
      <c r="D7605" s="2" t="b">
        <f>IF(AND(NOT(ISBLANK(Table1[[#This Row],[Fetal Sex (Male, Female or Unknown)]])),ISNUMBER(Table1[[#This Row],[Birthweight (grams)]]),ISNUMBER(Table1[[#This Row],[Gestation (days)]])),TRUE,FALSE)</f>
        <v>0</v>
      </c>
      <c r="E7605" s="2" t="str">
        <f>IF(Table1[[#This Row],[Is Data Valid]]=TRUE,IF(Table1[[#This Row],[Fetal Sex (Male, Female or Unknown)]]="Male",Backend!$C$6,IF(Table1[[#This Row],[Fetal Sex (Male, Female or Unknown)]]="Female",Backend!$C$7,IF(Table1[[#This Row],[Fetal Sex (Male, Female or Unknown)]]="Unknown",Backend!$C$8,"Error"))),"")</f>
        <v/>
      </c>
      <c r="F7605" s="8" t="str">
        <f>IF(Table1[[#This Row],[Is Data Valid]]=TRUE,EXP(0.578+0.332*((Table1[[#This Row],[Gestation (days)]]+0.5)/7)-0.00354*((Table1[[#This Row],[Gestation (days)]]+0.5)/7)^2)*Table1[[#This Row],[BW40_3705]],"")</f>
        <v/>
      </c>
      <c r="G7605" s="2" t="str">
        <f>IF(Table1[[#This Row],[Is Data Valid]]=TRUE,((Table1[[#This Row],[Birthweight (grams)]]/Table1[[#This Row],[BW_GA]])-1)/(Backend!$B$4/100*Table1[[#This Row],[BW40_3705]]),"")</f>
        <v/>
      </c>
      <c r="H7605" s="7" t="str">
        <f>IF(Table1[[#This Row],[Is Data Valid]]=TRUE,((Table1[[#This Row],[Birthweight (grams)]]*0.9/Table1[[#This Row],[BW_GA]])-1)/(Backend!$B$4/100*Table1[[#This Row],[BW40_3705]]),"")</f>
        <v/>
      </c>
      <c r="I7605" s="7" t="str">
        <f>IF(Table1[[#This Row],[Is Data Valid]]=TRUE,((Table1[[#This Row],[Birthweight (grams)]]*1.1/Table1[[#This Row],[BW_GA]])-1)/(Backend!$B$4/100*Table1[[#This Row],[BW40_3705]]),"")</f>
        <v/>
      </c>
      <c r="J7605" s="7" t="str">
        <f>IF(Table1[[#This Row],[Is Data Valid]]=TRUE,_xlfn.NORM.S.DIST(Table1[[#This Row],[Birthweight Z-Score]],TRUE)*100,"")</f>
        <v/>
      </c>
      <c r="K7605" s="7" t="str">
        <f>IF(Table1[[#This Row],[Is Data Valid]]=TRUE,_xlfn.NORM.S.DIST(Table1[[#This Row],[Birthweight Z-Score (BW-10%)]],TRUE)*100,"")</f>
        <v/>
      </c>
      <c r="L7605" s="7" t="str">
        <f>IF(Table1[[#This Row],[Is Data Valid]]=TRUE,_xlfn.NORM.S.DIST(Table1[[#This Row],[Birthweight Z-Score (BW+10%)]],TRUE)*100,"")</f>
        <v/>
      </c>
    </row>
    <row r="7606" spans="1:12" x14ac:dyDescent="0.35">
      <c r="A7606" s="3"/>
      <c r="B7606" s="2"/>
      <c r="C7606" s="2"/>
      <c r="D7606" s="2" t="b">
        <f>IF(AND(NOT(ISBLANK(Table1[[#This Row],[Fetal Sex (Male, Female or Unknown)]])),ISNUMBER(Table1[[#This Row],[Birthweight (grams)]]),ISNUMBER(Table1[[#This Row],[Gestation (days)]])),TRUE,FALSE)</f>
        <v>0</v>
      </c>
      <c r="E7606" s="2" t="str">
        <f>IF(Table1[[#This Row],[Is Data Valid]]=TRUE,IF(Table1[[#This Row],[Fetal Sex (Male, Female or Unknown)]]="Male",Backend!$C$6,IF(Table1[[#This Row],[Fetal Sex (Male, Female or Unknown)]]="Female",Backend!$C$7,IF(Table1[[#This Row],[Fetal Sex (Male, Female or Unknown)]]="Unknown",Backend!$C$8,"Error"))),"")</f>
        <v/>
      </c>
      <c r="F7606" s="8" t="str">
        <f>IF(Table1[[#This Row],[Is Data Valid]]=TRUE,EXP(0.578+0.332*((Table1[[#This Row],[Gestation (days)]]+0.5)/7)-0.00354*((Table1[[#This Row],[Gestation (days)]]+0.5)/7)^2)*Table1[[#This Row],[BW40_3705]],"")</f>
        <v/>
      </c>
      <c r="G7606" s="2" t="str">
        <f>IF(Table1[[#This Row],[Is Data Valid]]=TRUE,((Table1[[#This Row],[Birthweight (grams)]]/Table1[[#This Row],[BW_GA]])-1)/(Backend!$B$4/100*Table1[[#This Row],[BW40_3705]]),"")</f>
        <v/>
      </c>
      <c r="H7606" s="7" t="str">
        <f>IF(Table1[[#This Row],[Is Data Valid]]=TRUE,((Table1[[#This Row],[Birthweight (grams)]]*0.9/Table1[[#This Row],[BW_GA]])-1)/(Backend!$B$4/100*Table1[[#This Row],[BW40_3705]]),"")</f>
        <v/>
      </c>
      <c r="I7606" s="7" t="str">
        <f>IF(Table1[[#This Row],[Is Data Valid]]=TRUE,((Table1[[#This Row],[Birthweight (grams)]]*1.1/Table1[[#This Row],[BW_GA]])-1)/(Backend!$B$4/100*Table1[[#This Row],[BW40_3705]]),"")</f>
        <v/>
      </c>
      <c r="J7606" s="7" t="str">
        <f>IF(Table1[[#This Row],[Is Data Valid]]=TRUE,_xlfn.NORM.S.DIST(Table1[[#This Row],[Birthweight Z-Score]],TRUE)*100,"")</f>
        <v/>
      </c>
      <c r="K7606" s="7" t="str">
        <f>IF(Table1[[#This Row],[Is Data Valid]]=TRUE,_xlfn.NORM.S.DIST(Table1[[#This Row],[Birthweight Z-Score (BW-10%)]],TRUE)*100,"")</f>
        <v/>
      </c>
      <c r="L7606" s="7" t="str">
        <f>IF(Table1[[#This Row],[Is Data Valid]]=TRUE,_xlfn.NORM.S.DIST(Table1[[#This Row],[Birthweight Z-Score (BW+10%)]],TRUE)*100,"")</f>
        <v/>
      </c>
    </row>
    <row r="7607" spans="1:12" x14ac:dyDescent="0.35">
      <c r="A7607" s="3"/>
      <c r="B7607" s="2"/>
      <c r="C7607" s="2"/>
      <c r="D7607" s="2" t="b">
        <f>IF(AND(NOT(ISBLANK(Table1[[#This Row],[Fetal Sex (Male, Female or Unknown)]])),ISNUMBER(Table1[[#This Row],[Birthweight (grams)]]),ISNUMBER(Table1[[#This Row],[Gestation (days)]])),TRUE,FALSE)</f>
        <v>0</v>
      </c>
      <c r="E7607" s="2" t="str">
        <f>IF(Table1[[#This Row],[Is Data Valid]]=TRUE,IF(Table1[[#This Row],[Fetal Sex (Male, Female or Unknown)]]="Male",Backend!$C$6,IF(Table1[[#This Row],[Fetal Sex (Male, Female or Unknown)]]="Female",Backend!$C$7,IF(Table1[[#This Row],[Fetal Sex (Male, Female or Unknown)]]="Unknown",Backend!$C$8,"Error"))),"")</f>
        <v/>
      </c>
      <c r="F7607" s="8" t="str">
        <f>IF(Table1[[#This Row],[Is Data Valid]]=TRUE,EXP(0.578+0.332*((Table1[[#This Row],[Gestation (days)]]+0.5)/7)-0.00354*((Table1[[#This Row],[Gestation (days)]]+0.5)/7)^2)*Table1[[#This Row],[BW40_3705]],"")</f>
        <v/>
      </c>
      <c r="G7607" s="2" t="str">
        <f>IF(Table1[[#This Row],[Is Data Valid]]=TRUE,((Table1[[#This Row],[Birthweight (grams)]]/Table1[[#This Row],[BW_GA]])-1)/(Backend!$B$4/100*Table1[[#This Row],[BW40_3705]]),"")</f>
        <v/>
      </c>
      <c r="H7607" s="7" t="str">
        <f>IF(Table1[[#This Row],[Is Data Valid]]=TRUE,((Table1[[#This Row],[Birthweight (grams)]]*0.9/Table1[[#This Row],[BW_GA]])-1)/(Backend!$B$4/100*Table1[[#This Row],[BW40_3705]]),"")</f>
        <v/>
      </c>
      <c r="I7607" s="7" t="str">
        <f>IF(Table1[[#This Row],[Is Data Valid]]=TRUE,((Table1[[#This Row],[Birthweight (grams)]]*1.1/Table1[[#This Row],[BW_GA]])-1)/(Backend!$B$4/100*Table1[[#This Row],[BW40_3705]]),"")</f>
        <v/>
      </c>
      <c r="J7607" s="7" t="str">
        <f>IF(Table1[[#This Row],[Is Data Valid]]=TRUE,_xlfn.NORM.S.DIST(Table1[[#This Row],[Birthweight Z-Score]],TRUE)*100,"")</f>
        <v/>
      </c>
      <c r="K7607" s="7" t="str">
        <f>IF(Table1[[#This Row],[Is Data Valid]]=TRUE,_xlfn.NORM.S.DIST(Table1[[#This Row],[Birthweight Z-Score (BW-10%)]],TRUE)*100,"")</f>
        <v/>
      </c>
      <c r="L7607" s="7" t="str">
        <f>IF(Table1[[#This Row],[Is Data Valid]]=TRUE,_xlfn.NORM.S.DIST(Table1[[#This Row],[Birthweight Z-Score (BW+10%)]],TRUE)*100,"")</f>
        <v/>
      </c>
    </row>
    <row r="7608" spans="1:12" x14ac:dyDescent="0.35">
      <c r="A7608" s="3"/>
      <c r="B7608" s="2"/>
      <c r="C7608" s="2"/>
      <c r="D7608" s="2" t="b">
        <f>IF(AND(NOT(ISBLANK(Table1[[#This Row],[Fetal Sex (Male, Female or Unknown)]])),ISNUMBER(Table1[[#This Row],[Birthweight (grams)]]),ISNUMBER(Table1[[#This Row],[Gestation (days)]])),TRUE,FALSE)</f>
        <v>0</v>
      </c>
      <c r="E7608" s="2" t="str">
        <f>IF(Table1[[#This Row],[Is Data Valid]]=TRUE,IF(Table1[[#This Row],[Fetal Sex (Male, Female or Unknown)]]="Male",Backend!$C$6,IF(Table1[[#This Row],[Fetal Sex (Male, Female or Unknown)]]="Female",Backend!$C$7,IF(Table1[[#This Row],[Fetal Sex (Male, Female or Unknown)]]="Unknown",Backend!$C$8,"Error"))),"")</f>
        <v/>
      </c>
      <c r="F7608" s="8" t="str">
        <f>IF(Table1[[#This Row],[Is Data Valid]]=TRUE,EXP(0.578+0.332*((Table1[[#This Row],[Gestation (days)]]+0.5)/7)-0.00354*((Table1[[#This Row],[Gestation (days)]]+0.5)/7)^2)*Table1[[#This Row],[BW40_3705]],"")</f>
        <v/>
      </c>
      <c r="G7608" s="2" t="str">
        <f>IF(Table1[[#This Row],[Is Data Valid]]=TRUE,((Table1[[#This Row],[Birthweight (grams)]]/Table1[[#This Row],[BW_GA]])-1)/(Backend!$B$4/100*Table1[[#This Row],[BW40_3705]]),"")</f>
        <v/>
      </c>
      <c r="H7608" s="7" t="str">
        <f>IF(Table1[[#This Row],[Is Data Valid]]=TRUE,((Table1[[#This Row],[Birthweight (grams)]]*0.9/Table1[[#This Row],[BW_GA]])-1)/(Backend!$B$4/100*Table1[[#This Row],[BW40_3705]]),"")</f>
        <v/>
      </c>
      <c r="I7608" s="7" t="str">
        <f>IF(Table1[[#This Row],[Is Data Valid]]=TRUE,((Table1[[#This Row],[Birthweight (grams)]]*1.1/Table1[[#This Row],[BW_GA]])-1)/(Backend!$B$4/100*Table1[[#This Row],[BW40_3705]]),"")</f>
        <v/>
      </c>
      <c r="J7608" s="7" t="str">
        <f>IF(Table1[[#This Row],[Is Data Valid]]=TRUE,_xlfn.NORM.S.DIST(Table1[[#This Row],[Birthweight Z-Score]],TRUE)*100,"")</f>
        <v/>
      </c>
      <c r="K7608" s="7" t="str">
        <f>IF(Table1[[#This Row],[Is Data Valid]]=TRUE,_xlfn.NORM.S.DIST(Table1[[#This Row],[Birthweight Z-Score (BW-10%)]],TRUE)*100,"")</f>
        <v/>
      </c>
      <c r="L7608" s="7" t="str">
        <f>IF(Table1[[#This Row],[Is Data Valid]]=TRUE,_xlfn.NORM.S.DIST(Table1[[#This Row],[Birthweight Z-Score (BW+10%)]],TRUE)*100,"")</f>
        <v/>
      </c>
    </row>
    <row r="7609" spans="1:12" x14ac:dyDescent="0.35">
      <c r="A7609" s="3"/>
      <c r="B7609" s="2"/>
      <c r="C7609" s="2"/>
      <c r="D7609" s="2" t="b">
        <f>IF(AND(NOT(ISBLANK(Table1[[#This Row],[Fetal Sex (Male, Female or Unknown)]])),ISNUMBER(Table1[[#This Row],[Birthweight (grams)]]),ISNUMBER(Table1[[#This Row],[Gestation (days)]])),TRUE,FALSE)</f>
        <v>0</v>
      </c>
      <c r="E7609" s="2" t="str">
        <f>IF(Table1[[#This Row],[Is Data Valid]]=TRUE,IF(Table1[[#This Row],[Fetal Sex (Male, Female or Unknown)]]="Male",Backend!$C$6,IF(Table1[[#This Row],[Fetal Sex (Male, Female or Unknown)]]="Female",Backend!$C$7,IF(Table1[[#This Row],[Fetal Sex (Male, Female or Unknown)]]="Unknown",Backend!$C$8,"Error"))),"")</f>
        <v/>
      </c>
      <c r="F7609" s="8" t="str">
        <f>IF(Table1[[#This Row],[Is Data Valid]]=TRUE,EXP(0.578+0.332*((Table1[[#This Row],[Gestation (days)]]+0.5)/7)-0.00354*((Table1[[#This Row],[Gestation (days)]]+0.5)/7)^2)*Table1[[#This Row],[BW40_3705]],"")</f>
        <v/>
      </c>
      <c r="G7609" s="2" t="str">
        <f>IF(Table1[[#This Row],[Is Data Valid]]=TRUE,((Table1[[#This Row],[Birthweight (grams)]]/Table1[[#This Row],[BW_GA]])-1)/(Backend!$B$4/100*Table1[[#This Row],[BW40_3705]]),"")</f>
        <v/>
      </c>
      <c r="H7609" s="7" t="str">
        <f>IF(Table1[[#This Row],[Is Data Valid]]=TRUE,((Table1[[#This Row],[Birthweight (grams)]]*0.9/Table1[[#This Row],[BW_GA]])-1)/(Backend!$B$4/100*Table1[[#This Row],[BW40_3705]]),"")</f>
        <v/>
      </c>
      <c r="I7609" s="7" t="str">
        <f>IF(Table1[[#This Row],[Is Data Valid]]=TRUE,((Table1[[#This Row],[Birthweight (grams)]]*1.1/Table1[[#This Row],[BW_GA]])-1)/(Backend!$B$4/100*Table1[[#This Row],[BW40_3705]]),"")</f>
        <v/>
      </c>
      <c r="J7609" s="7" t="str">
        <f>IF(Table1[[#This Row],[Is Data Valid]]=TRUE,_xlfn.NORM.S.DIST(Table1[[#This Row],[Birthweight Z-Score]],TRUE)*100,"")</f>
        <v/>
      </c>
      <c r="K7609" s="7" t="str">
        <f>IF(Table1[[#This Row],[Is Data Valid]]=TRUE,_xlfn.NORM.S.DIST(Table1[[#This Row],[Birthweight Z-Score (BW-10%)]],TRUE)*100,"")</f>
        <v/>
      </c>
      <c r="L7609" s="7" t="str">
        <f>IF(Table1[[#This Row],[Is Data Valid]]=TRUE,_xlfn.NORM.S.DIST(Table1[[#This Row],[Birthweight Z-Score (BW+10%)]],TRUE)*100,"")</f>
        <v/>
      </c>
    </row>
    <row r="7610" spans="1:12" x14ac:dyDescent="0.35">
      <c r="A7610" s="3"/>
      <c r="B7610" s="2"/>
      <c r="C7610" s="2"/>
      <c r="D7610" s="2" t="b">
        <f>IF(AND(NOT(ISBLANK(Table1[[#This Row],[Fetal Sex (Male, Female or Unknown)]])),ISNUMBER(Table1[[#This Row],[Birthweight (grams)]]),ISNUMBER(Table1[[#This Row],[Gestation (days)]])),TRUE,FALSE)</f>
        <v>0</v>
      </c>
      <c r="E7610" s="2" t="str">
        <f>IF(Table1[[#This Row],[Is Data Valid]]=TRUE,IF(Table1[[#This Row],[Fetal Sex (Male, Female or Unknown)]]="Male",Backend!$C$6,IF(Table1[[#This Row],[Fetal Sex (Male, Female or Unknown)]]="Female",Backend!$C$7,IF(Table1[[#This Row],[Fetal Sex (Male, Female or Unknown)]]="Unknown",Backend!$C$8,"Error"))),"")</f>
        <v/>
      </c>
      <c r="F7610" s="8" t="str">
        <f>IF(Table1[[#This Row],[Is Data Valid]]=TRUE,EXP(0.578+0.332*((Table1[[#This Row],[Gestation (days)]]+0.5)/7)-0.00354*((Table1[[#This Row],[Gestation (days)]]+0.5)/7)^2)*Table1[[#This Row],[BW40_3705]],"")</f>
        <v/>
      </c>
      <c r="G7610" s="2" t="str">
        <f>IF(Table1[[#This Row],[Is Data Valid]]=TRUE,((Table1[[#This Row],[Birthweight (grams)]]/Table1[[#This Row],[BW_GA]])-1)/(Backend!$B$4/100*Table1[[#This Row],[BW40_3705]]),"")</f>
        <v/>
      </c>
      <c r="H7610" s="7" t="str">
        <f>IF(Table1[[#This Row],[Is Data Valid]]=TRUE,((Table1[[#This Row],[Birthweight (grams)]]*0.9/Table1[[#This Row],[BW_GA]])-1)/(Backend!$B$4/100*Table1[[#This Row],[BW40_3705]]),"")</f>
        <v/>
      </c>
      <c r="I7610" s="7" t="str">
        <f>IF(Table1[[#This Row],[Is Data Valid]]=TRUE,((Table1[[#This Row],[Birthweight (grams)]]*1.1/Table1[[#This Row],[BW_GA]])-1)/(Backend!$B$4/100*Table1[[#This Row],[BW40_3705]]),"")</f>
        <v/>
      </c>
      <c r="J7610" s="7" t="str">
        <f>IF(Table1[[#This Row],[Is Data Valid]]=TRUE,_xlfn.NORM.S.DIST(Table1[[#This Row],[Birthweight Z-Score]],TRUE)*100,"")</f>
        <v/>
      </c>
      <c r="K7610" s="7" t="str">
        <f>IF(Table1[[#This Row],[Is Data Valid]]=TRUE,_xlfn.NORM.S.DIST(Table1[[#This Row],[Birthweight Z-Score (BW-10%)]],TRUE)*100,"")</f>
        <v/>
      </c>
      <c r="L7610" s="7" t="str">
        <f>IF(Table1[[#This Row],[Is Data Valid]]=TRUE,_xlfn.NORM.S.DIST(Table1[[#This Row],[Birthweight Z-Score (BW+10%)]],TRUE)*100,"")</f>
        <v/>
      </c>
    </row>
    <row r="7611" spans="1:12" x14ac:dyDescent="0.35">
      <c r="A7611" s="3"/>
      <c r="B7611" s="2"/>
      <c r="C7611" s="2"/>
      <c r="D7611" s="2" t="b">
        <f>IF(AND(NOT(ISBLANK(Table1[[#This Row],[Fetal Sex (Male, Female or Unknown)]])),ISNUMBER(Table1[[#This Row],[Birthweight (grams)]]),ISNUMBER(Table1[[#This Row],[Gestation (days)]])),TRUE,FALSE)</f>
        <v>0</v>
      </c>
      <c r="E7611" s="2" t="str">
        <f>IF(Table1[[#This Row],[Is Data Valid]]=TRUE,IF(Table1[[#This Row],[Fetal Sex (Male, Female or Unknown)]]="Male",Backend!$C$6,IF(Table1[[#This Row],[Fetal Sex (Male, Female or Unknown)]]="Female",Backend!$C$7,IF(Table1[[#This Row],[Fetal Sex (Male, Female or Unknown)]]="Unknown",Backend!$C$8,"Error"))),"")</f>
        <v/>
      </c>
      <c r="F7611" s="8" t="str">
        <f>IF(Table1[[#This Row],[Is Data Valid]]=TRUE,EXP(0.578+0.332*((Table1[[#This Row],[Gestation (days)]]+0.5)/7)-0.00354*((Table1[[#This Row],[Gestation (days)]]+0.5)/7)^2)*Table1[[#This Row],[BW40_3705]],"")</f>
        <v/>
      </c>
      <c r="G7611" s="2" t="str">
        <f>IF(Table1[[#This Row],[Is Data Valid]]=TRUE,((Table1[[#This Row],[Birthweight (grams)]]/Table1[[#This Row],[BW_GA]])-1)/(Backend!$B$4/100*Table1[[#This Row],[BW40_3705]]),"")</f>
        <v/>
      </c>
      <c r="H7611" s="7" t="str">
        <f>IF(Table1[[#This Row],[Is Data Valid]]=TRUE,((Table1[[#This Row],[Birthweight (grams)]]*0.9/Table1[[#This Row],[BW_GA]])-1)/(Backend!$B$4/100*Table1[[#This Row],[BW40_3705]]),"")</f>
        <v/>
      </c>
      <c r="I7611" s="7" t="str">
        <f>IF(Table1[[#This Row],[Is Data Valid]]=TRUE,((Table1[[#This Row],[Birthweight (grams)]]*1.1/Table1[[#This Row],[BW_GA]])-1)/(Backend!$B$4/100*Table1[[#This Row],[BW40_3705]]),"")</f>
        <v/>
      </c>
      <c r="J7611" s="7" t="str">
        <f>IF(Table1[[#This Row],[Is Data Valid]]=TRUE,_xlfn.NORM.S.DIST(Table1[[#This Row],[Birthweight Z-Score]],TRUE)*100,"")</f>
        <v/>
      </c>
      <c r="K7611" s="7" t="str">
        <f>IF(Table1[[#This Row],[Is Data Valid]]=TRUE,_xlfn.NORM.S.DIST(Table1[[#This Row],[Birthweight Z-Score (BW-10%)]],TRUE)*100,"")</f>
        <v/>
      </c>
      <c r="L7611" s="7" t="str">
        <f>IF(Table1[[#This Row],[Is Data Valid]]=TRUE,_xlfn.NORM.S.DIST(Table1[[#This Row],[Birthweight Z-Score (BW+10%)]],TRUE)*100,"")</f>
        <v/>
      </c>
    </row>
    <row r="7612" spans="1:12" x14ac:dyDescent="0.35">
      <c r="A7612" s="3"/>
      <c r="B7612" s="2"/>
      <c r="C7612" s="2"/>
      <c r="D7612" s="2" t="b">
        <f>IF(AND(NOT(ISBLANK(Table1[[#This Row],[Fetal Sex (Male, Female or Unknown)]])),ISNUMBER(Table1[[#This Row],[Birthweight (grams)]]),ISNUMBER(Table1[[#This Row],[Gestation (days)]])),TRUE,FALSE)</f>
        <v>0</v>
      </c>
      <c r="E7612" s="2" t="str">
        <f>IF(Table1[[#This Row],[Is Data Valid]]=TRUE,IF(Table1[[#This Row],[Fetal Sex (Male, Female or Unknown)]]="Male",Backend!$C$6,IF(Table1[[#This Row],[Fetal Sex (Male, Female or Unknown)]]="Female",Backend!$C$7,IF(Table1[[#This Row],[Fetal Sex (Male, Female or Unknown)]]="Unknown",Backend!$C$8,"Error"))),"")</f>
        <v/>
      </c>
      <c r="F7612" s="8" t="str">
        <f>IF(Table1[[#This Row],[Is Data Valid]]=TRUE,EXP(0.578+0.332*((Table1[[#This Row],[Gestation (days)]]+0.5)/7)-0.00354*((Table1[[#This Row],[Gestation (days)]]+0.5)/7)^2)*Table1[[#This Row],[BW40_3705]],"")</f>
        <v/>
      </c>
      <c r="G7612" s="2" t="str">
        <f>IF(Table1[[#This Row],[Is Data Valid]]=TRUE,((Table1[[#This Row],[Birthweight (grams)]]/Table1[[#This Row],[BW_GA]])-1)/(Backend!$B$4/100*Table1[[#This Row],[BW40_3705]]),"")</f>
        <v/>
      </c>
      <c r="H7612" s="7" t="str">
        <f>IF(Table1[[#This Row],[Is Data Valid]]=TRUE,((Table1[[#This Row],[Birthweight (grams)]]*0.9/Table1[[#This Row],[BW_GA]])-1)/(Backend!$B$4/100*Table1[[#This Row],[BW40_3705]]),"")</f>
        <v/>
      </c>
      <c r="I7612" s="7" t="str">
        <f>IF(Table1[[#This Row],[Is Data Valid]]=TRUE,((Table1[[#This Row],[Birthweight (grams)]]*1.1/Table1[[#This Row],[BW_GA]])-1)/(Backend!$B$4/100*Table1[[#This Row],[BW40_3705]]),"")</f>
        <v/>
      </c>
      <c r="J7612" s="7" t="str">
        <f>IF(Table1[[#This Row],[Is Data Valid]]=TRUE,_xlfn.NORM.S.DIST(Table1[[#This Row],[Birthweight Z-Score]],TRUE)*100,"")</f>
        <v/>
      </c>
      <c r="K7612" s="7" t="str">
        <f>IF(Table1[[#This Row],[Is Data Valid]]=TRUE,_xlfn.NORM.S.DIST(Table1[[#This Row],[Birthweight Z-Score (BW-10%)]],TRUE)*100,"")</f>
        <v/>
      </c>
      <c r="L7612" s="7" t="str">
        <f>IF(Table1[[#This Row],[Is Data Valid]]=TRUE,_xlfn.NORM.S.DIST(Table1[[#This Row],[Birthweight Z-Score (BW+10%)]],TRUE)*100,"")</f>
        <v/>
      </c>
    </row>
    <row r="7613" spans="1:12" x14ac:dyDescent="0.35">
      <c r="A7613" s="3"/>
      <c r="B7613" s="2"/>
      <c r="C7613" s="2"/>
      <c r="D7613" s="2" t="b">
        <f>IF(AND(NOT(ISBLANK(Table1[[#This Row],[Fetal Sex (Male, Female or Unknown)]])),ISNUMBER(Table1[[#This Row],[Birthweight (grams)]]),ISNUMBER(Table1[[#This Row],[Gestation (days)]])),TRUE,FALSE)</f>
        <v>0</v>
      </c>
      <c r="E7613" s="2" t="str">
        <f>IF(Table1[[#This Row],[Is Data Valid]]=TRUE,IF(Table1[[#This Row],[Fetal Sex (Male, Female or Unknown)]]="Male",Backend!$C$6,IF(Table1[[#This Row],[Fetal Sex (Male, Female or Unknown)]]="Female",Backend!$C$7,IF(Table1[[#This Row],[Fetal Sex (Male, Female or Unknown)]]="Unknown",Backend!$C$8,"Error"))),"")</f>
        <v/>
      </c>
      <c r="F7613" s="8" t="str">
        <f>IF(Table1[[#This Row],[Is Data Valid]]=TRUE,EXP(0.578+0.332*((Table1[[#This Row],[Gestation (days)]]+0.5)/7)-0.00354*((Table1[[#This Row],[Gestation (days)]]+0.5)/7)^2)*Table1[[#This Row],[BW40_3705]],"")</f>
        <v/>
      </c>
      <c r="G7613" s="2" t="str">
        <f>IF(Table1[[#This Row],[Is Data Valid]]=TRUE,((Table1[[#This Row],[Birthweight (grams)]]/Table1[[#This Row],[BW_GA]])-1)/(Backend!$B$4/100*Table1[[#This Row],[BW40_3705]]),"")</f>
        <v/>
      </c>
      <c r="H7613" s="7" t="str">
        <f>IF(Table1[[#This Row],[Is Data Valid]]=TRUE,((Table1[[#This Row],[Birthweight (grams)]]*0.9/Table1[[#This Row],[BW_GA]])-1)/(Backend!$B$4/100*Table1[[#This Row],[BW40_3705]]),"")</f>
        <v/>
      </c>
      <c r="I7613" s="7" t="str">
        <f>IF(Table1[[#This Row],[Is Data Valid]]=TRUE,((Table1[[#This Row],[Birthweight (grams)]]*1.1/Table1[[#This Row],[BW_GA]])-1)/(Backend!$B$4/100*Table1[[#This Row],[BW40_3705]]),"")</f>
        <v/>
      </c>
      <c r="J7613" s="7" t="str">
        <f>IF(Table1[[#This Row],[Is Data Valid]]=TRUE,_xlfn.NORM.S.DIST(Table1[[#This Row],[Birthweight Z-Score]],TRUE)*100,"")</f>
        <v/>
      </c>
      <c r="K7613" s="7" t="str">
        <f>IF(Table1[[#This Row],[Is Data Valid]]=TRUE,_xlfn.NORM.S.DIST(Table1[[#This Row],[Birthweight Z-Score (BW-10%)]],TRUE)*100,"")</f>
        <v/>
      </c>
      <c r="L7613" s="7" t="str">
        <f>IF(Table1[[#This Row],[Is Data Valid]]=TRUE,_xlfn.NORM.S.DIST(Table1[[#This Row],[Birthweight Z-Score (BW+10%)]],TRUE)*100,"")</f>
        <v/>
      </c>
    </row>
    <row r="7614" spans="1:12" x14ac:dyDescent="0.35">
      <c r="A7614" s="3"/>
      <c r="B7614" s="2"/>
      <c r="C7614" s="2"/>
      <c r="D7614" s="2" t="b">
        <f>IF(AND(NOT(ISBLANK(Table1[[#This Row],[Fetal Sex (Male, Female or Unknown)]])),ISNUMBER(Table1[[#This Row],[Birthweight (grams)]]),ISNUMBER(Table1[[#This Row],[Gestation (days)]])),TRUE,FALSE)</f>
        <v>0</v>
      </c>
      <c r="E7614" s="2" t="str">
        <f>IF(Table1[[#This Row],[Is Data Valid]]=TRUE,IF(Table1[[#This Row],[Fetal Sex (Male, Female or Unknown)]]="Male",Backend!$C$6,IF(Table1[[#This Row],[Fetal Sex (Male, Female or Unknown)]]="Female",Backend!$C$7,IF(Table1[[#This Row],[Fetal Sex (Male, Female or Unknown)]]="Unknown",Backend!$C$8,"Error"))),"")</f>
        <v/>
      </c>
      <c r="F7614" s="8" t="str">
        <f>IF(Table1[[#This Row],[Is Data Valid]]=TRUE,EXP(0.578+0.332*((Table1[[#This Row],[Gestation (days)]]+0.5)/7)-0.00354*((Table1[[#This Row],[Gestation (days)]]+0.5)/7)^2)*Table1[[#This Row],[BW40_3705]],"")</f>
        <v/>
      </c>
      <c r="G7614" s="2" t="str">
        <f>IF(Table1[[#This Row],[Is Data Valid]]=TRUE,((Table1[[#This Row],[Birthweight (grams)]]/Table1[[#This Row],[BW_GA]])-1)/(Backend!$B$4/100*Table1[[#This Row],[BW40_3705]]),"")</f>
        <v/>
      </c>
      <c r="H7614" s="7" t="str">
        <f>IF(Table1[[#This Row],[Is Data Valid]]=TRUE,((Table1[[#This Row],[Birthweight (grams)]]*0.9/Table1[[#This Row],[BW_GA]])-1)/(Backend!$B$4/100*Table1[[#This Row],[BW40_3705]]),"")</f>
        <v/>
      </c>
      <c r="I7614" s="7" t="str">
        <f>IF(Table1[[#This Row],[Is Data Valid]]=TRUE,((Table1[[#This Row],[Birthweight (grams)]]*1.1/Table1[[#This Row],[BW_GA]])-1)/(Backend!$B$4/100*Table1[[#This Row],[BW40_3705]]),"")</f>
        <v/>
      </c>
      <c r="J7614" s="7" t="str">
        <f>IF(Table1[[#This Row],[Is Data Valid]]=TRUE,_xlfn.NORM.S.DIST(Table1[[#This Row],[Birthweight Z-Score]],TRUE)*100,"")</f>
        <v/>
      </c>
      <c r="K7614" s="7" t="str">
        <f>IF(Table1[[#This Row],[Is Data Valid]]=TRUE,_xlfn.NORM.S.DIST(Table1[[#This Row],[Birthweight Z-Score (BW-10%)]],TRUE)*100,"")</f>
        <v/>
      </c>
      <c r="L7614" s="7" t="str">
        <f>IF(Table1[[#This Row],[Is Data Valid]]=TRUE,_xlfn.NORM.S.DIST(Table1[[#This Row],[Birthweight Z-Score (BW+10%)]],TRUE)*100,"")</f>
        <v/>
      </c>
    </row>
    <row r="7615" spans="1:12" x14ac:dyDescent="0.35">
      <c r="A7615" s="3"/>
      <c r="B7615" s="2"/>
      <c r="C7615" s="2"/>
      <c r="D7615" s="2" t="b">
        <f>IF(AND(NOT(ISBLANK(Table1[[#This Row],[Fetal Sex (Male, Female or Unknown)]])),ISNUMBER(Table1[[#This Row],[Birthweight (grams)]]),ISNUMBER(Table1[[#This Row],[Gestation (days)]])),TRUE,FALSE)</f>
        <v>0</v>
      </c>
      <c r="E7615" s="2" t="str">
        <f>IF(Table1[[#This Row],[Is Data Valid]]=TRUE,IF(Table1[[#This Row],[Fetal Sex (Male, Female or Unknown)]]="Male",Backend!$C$6,IF(Table1[[#This Row],[Fetal Sex (Male, Female or Unknown)]]="Female",Backend!$C$7,IF(Table1[[#This Row],[Fetal Sex (Male, Female or Unknown)]]="Unknown",Backend!$C$8,"Error"))),"")</f>
        <v/>
      </c>
      <c r="F7615" s="8" t="str">
        <f>IF(Table1[[#This Row],[Is Data Valid]]=TRUE,EXP(0.578+0.332*((Table1[[#This Row],[Gestation (days)]]+0.5)/7)-0.00354*((Table1[[#This Row],[Gestation (days)]]+0.5)/7)^2)*Table1[[#This Row],[BW40_3705]],"")</f>
        <v/>
      </c>
      <c r="G7615" s="2" t="str">
        <f>IF(Table1[[#This Row],[Is Data Valid]]=TRUE,((Table1[[#This Row],[Birthweight (grams)]]/Table1[[#This Row],[BW_GA]])-1)/(Backend!$B$4/100*Table1[[#This Row],[BW40_3705]]),"")</f>
        <v/>
      </c>
      <c r="H7615" s="7" t="str">
        <f>IF(Table1[[#This Row],[Is Data Valid]]=TRUE,((Table1[[#This Row],[Birthweight (grams)]]*0.9/Table1[[#This Row],[BW_GA]])-1)/(Backend!$B$4/100*Table1[[#This Row],[BW40_3705]]),"")</f>
        <v/>
      </c>
      <c r="I7615" s="7" t="str">
        <f>IF(Table1[[#This Row],[Is Data Valid]]=TRUE,((Table1[[#This Row],[Birthweight (grams)]]*1.1/Table1[[#This Row],[BW_GA]])-1)/(Backend!$B$4/100*Table1[[#This Row],[BW40_3705]]),"")</f>
        <v/>
      </c>
      <c r="J7615" s="7" t="str">
        <f>IF(Table1[[#This Row],[Is Data Valid]]=TRUE,_xlfn.NORM.S.DIST(Table1[[#This Row],[Birthweight Z-Score]],TRUE)*100,"")</f>
        <v/>
      </c>
      <c r="K7615" s="7" t="str">
        <f>IF(Table1[[#This Row],[Is Data Valid]]=TRUE,_xlfn.NORM.S.DIST(Table1[[#This Row],[Birthweight Z-Score (BW-10%)]],TRUE)*100,"")</f>
        <v/>
      </c>
      <c r="L7615" s="7" t="str">
        <f>IF(Table1[[#This Row],[Is Data Valid]]=TRUE,_xlfn.NORM.S.DIST(Table1[[#This Row],[Birthweight Z-Score (BW+10%)]],TRUE)*100,"")</f>
        <v/>
      </c>
    </row>
    <row r="7616" spans="1:12" x14ac:dyDescent="0.35">
      <c r="A7616" s="3"/>
      <c r="B7616" s="2"/>
      <c r="C7616" s="2"/>
      <c r="D7616" s="2" t="b">
        <f>IF(AND(NOT(ISBLANK(Table1[[#This Row],[Fetal Sex (Male, Female or Unknown)]])),ISNUMBER(Table1[[#This Row],[Birthweight (grams)]]),ISNUMBER(Table1[[#This Row],[Gestation (days)]])),TRUE,FALSE)</f>
        <v>0</v>
      </c>
      <c r="E7616" s="2" t="str">
        <f>IF(Table1[[#This Row],[Is Data Valid]]=TRUE,IF(Table1[[#This Row],[Fetal Sex (Male, Female or Unknown)]]="Male",Backend!$C$6,IF(Table1[[#This Row],[Fetal Sex (Male, Female or Unknown)]]="Female",Backend!$C$7,IF(Table1[[#This Row],[Fetal Sex (Male, Female or Unknown)]]="Unknown",Backend!$C$8,"Error"))),"")</f>
        <v/>
      </c>
      <c r="F7616" s="8" t="str">
        <f>IF(Table1[[#This Row],[Is Data Valid]]=TRUE,EXP(0.578+0.332*((Table1[[#This Row],[Gestation (days)]]+0.5)/7)-0.00354*((Table1[[#This Row],[Gestation (days)]]+0.5)/7)^2)*Table1[[#This Row],[BW40_3705]],"")</f>
        <v/>
      </c>
      <c r="G7616" s="2" t="str">
        <f>IF(Table1[[#This Row],[Is Data Valid]]=TRUE,((Table1[[#This Row],[Birthweight (grams)]]/Table1[[#This Row],[BW_GA]])-1)/(Backend!$B$4/100*Table1[[#This Row],[BW40_3705]]),"")</f>
        <v/>
      </c>
      <c r="H7616" s="7" t="str">
        <f>IF(Table1[[#This Row],[Is Data Valid]]=TRUE,((Table1[[#This Row],[Birthweight (grams)]]*0.9/Table1[[#This Row],[BW_GA]])-1)/(Backend!$B$4/100*Table1[[#This Row],[BW40_3705]]),"")</f>
        <v/>
      </c>
      <c r="I7616" s="7" t="str">
        <f>IF(Table1[[#This Row],[Is Data Valid]]=TRUE,((Table1[[#This Row],[Birthweight (grams)]]*1.1/Table1[[#This Row],[BW_GA]])-1)/(Backend!$B$4/100*Table1[[#This Row],[BW40_3705]]),"")</f>
        <v/>
      </c>
      <c r="J7616" s="7" t="str">
        <f>IF(Table1[[#This Row],[Is Data Valid]]=TRUE,_xlfn.NORM.S.DIST(Table1[[#This Row],[Birthweight Z-Score]],TRUE)*100,"")</f>
        <v/>
      </c>
      <c r="K7616" s="7" t="str">
        <f>IF(Table1[[#This Row],[Is Data Valid]]=TRUE,_xlfn.NORM.S.DIST(Table1[[#This Row],[Birthweight Z-Score (BW-10%)]],TRUE)*100,"")</f>
        <v/>
      </c>
      <c r="L7616" s="7" t="str">
        <f>IF(Table1[[#This Row],[Is Data Valid]]=TRUE,_xlfn.NORM.S.DIST(Table1[[#This Row],[Birthweight Z-Score (BW+10%)]],TRUE)*100,"")</f>
        <v/>
      </c>
    </row>
    <row r="7617" spans="1:12" x14ac:dyDescent="0.35">
      <c r="A7617" s="3"/>
      <c r="B7617" s="2"/>
      <c r="C7617" s="2"/>
      <c r="D7617" s="2" t="b">
        <f>IF(AND(NOT(ISBLANK(Table1[[#This Row],[Fetal Sex (Male, Female or Unknown)]])),ISNUMBER(Table1[[#This Row],[Birthweight (grams)]]),ISNUMBER(Table1[[#This Row],[Gestation (days)]])),TRUE,FALSE)</f>
        <v>0</v>
      </c>
      <c r="E7617" s="2" t="str">
        <f>IF(Table1[[#This Row],[Is Data Valid]]=TRUE,IF(Table1[[#This Row],[Fetal Sex (Male, Female or Unknown)]]="Male",Backend!$C$6,IF(Table1[[#This Row],[Fetal Sex (Male, Female or Unknown)]]="Female",Backend!$C$7,IF(Table1[[#This Row],[Fetal Sex (Male, Female or Unknown)]]="Unknown",Backend!$C$8,"Error"))),"")</f>
        <v/>
      </c>
      <c r="F7617" s="8" t="str">
        <f>IF(Table1[[#This Row],[Is Data Valid]]=TRUE,EXP(0.578+0.332*((Table1[[#This Row],[Gestation (days)]]+0.5)/7)-0.00354*((Table1[[#This Row],[Gestation (days)]]+0.5)/7)^2)*Table1[[#This Row],[BW40_3705]],"")</f>
        <v/>
      </c>
      <c r="G7617" s="2" t="str">
        <f>IF(Table1[[#This Row],[Is Data Valid]]=TRUE,((Table1[[#This Row],[Birthweight (grams)]]/Table1[[#This Row],[BW_GA]])-1)/(Backend!$B$4/100*Table1[[#This Row],[BW40_3705]]),"")</f>
        <v/>
      </c>
      <c r="H7617" s="7" t="str">
        <f>IF(Table1[[#This Row],[Is Data Valid]]=TRUE,((Table1[[#This Row],[Birthweight (grams)]]*0.9/Table1[[#This Row],[BW_GA]])-1)/(Backend!$B$4/100*Table1[[#This Row],[BW40_3705]]),"")</f>
        <v/>
      </c>
      <c r="I7617" s="7" t="str">
        <f>IF(Table1[[#This Row],[Is Data Valid]]=TRUE,((Table1[[#This Row],[Birthweight (grams)]]*1.1/Table1[[#This Row],[BW_GA]])-1)/(Backend!$B$4/100*Table1[[#This Row],[BW40_3705]]),"")</f>
        <v/>
      </c>
      <c r="J7617" s="7" t="str">
        <f>IF(Table1[[#This Row],[Is Data Valid]]=TRUE,_xlfn.NORM.S.DIST(Table1[[#This Row],[Birthweight Z-Score]],TRUE)*100,"")</f>
        <v/>
      </c>
      <c r="K7617" s="7" t="str">
        <f>IF(Table1[[#This Row],[Is Data Valid]]=TRUE,_xlfn.NORM.S.DIST(Table1[[#This Row],[Birthweight Z-Score (BW-10%)]],TRUE)*100,"")</f>
        <v/>
      </c>
      <c r="L7617" s="7" t="str">
        <f>IF(Table1[[#This Row],[Is Data Valid]]=TRUE,_xlfn.NORM.S.DIST(Table1[[#This Row],[Birthweight Z-Score (BW+10%)]],TRUE)*100,"")</f>
        <v/>
      </c>
    </row>
    <row r="7618" spans="1:12" x14ac:dyDescent="0.35">
      <c r="A7618" s="3"/>
      <c r="B7618" s="2"/>
      <c r="C7618" s="2"/>
      <c r="D7618" s="2" t="b">
        <f>IF(AND(NOT(ISBLANK(Table1[[#This Row],[Fetal Sex (Male, Female or Unknown)]])),ISNUMBER(Table1[[#This Row],[Birthweight (grams)]]),ISNUMBER(Table1[[#This Row],[Gestation (days)]])),TRUE,FALSE)</f>
        <v>0</v>
      </c>
      <c r="E7618" s="2" t="str">
        <f>IF(Table1[[#This Row],[Is Data Valid]]=TRUE,IF(Table1[[#This Row],[Fetal Sex (Male, Female or Unknown)]]="Male",Backend!$C$6,IF(Table1[[#This Row],[Fetal Sex (Male, Female or Unknown)]]="Female",Backend!$C$7,IF(Table1[[#This Row],[Fetal Sex (Male, Female or Unknown)]]="Unknown",Backend!$C$8,"Error"))),"")</f>
        <v/>
      </c>
      <c r="F7618" s="8" t="str">
        <f>IF(Table1[[#This Row],[Is Data Valid]]=TRUE,EXP(0.578+0.332*((Table1[[#This Row],[Gestation (days)]]+0.5)/7)-0.00354*((Table1[[#This Row],[Gestation (days)]]+0.5)/7)^2)*Table1[[#This Row],[BW40_3705]],"")</f>
        <v/>
      </c>
      <c r="G7618" s="2" t="str">
        <f>IF(Table1[[#This Row],[Is Data Valid]]=TRUE,((Table1[[#This Row],[Birthweight (grams)]]/Table1[[#This Row],[BW_GA]])-1)/(Backend!$B$4/100*Table1[[#This Row],[BW40_3705]]),"")</f>
        <v/>
      </c>
      <c r="H7618" s="7" t="str">
        <f>IF(Table1[[#This Row],[Is Data Valid]]=TRUE,((Table1[[#This Row],[Birthweight (grams)]]*0.9/Table1[[#This Row],[BW_GA]])-1)/(Backend!$B$4/100*Table1[[#This Row],[BW40_3705]]),"")</f>
        <v/>
      </c>
      <c r="I7618" s="7" t="str">
        <f>IF(Table1[[#This Row],[Is Data Valid]]=TRUE,((Table1[[#This Row],[Birthweight (grams)]]*1.1/Table1[[#This Row],[BW_GA]])-1)/(Backend!$B$4/100*Table1[[#This Row],[BW40_3705]]),"")</f>
        <v/>
      </c>
      <c r="J7618" s="7" t="str">
        <f>IF(Table1[[#This Row],[Is Data Valid]]=TRUE,_xlfn.NORM.S.DIST(Table1[[#This Row],[Birthweight Z-Score]],TRUE)*100,"")</f>
        <v/>
      </c>
      <c r="K7618" s="7" t="str">
        <f>IF(Table1[[#This Row],[Is Data Valid]]=TRUE,_xlfn.NORM.S.DIST(Table1[[#This Row],[Birthweight Z-Score (BW-10%)]],TRUE)*100,"")</f>
        <v/>
      </c>
      <c r="L7618" s="7" t="str">
        <f>IF(Table1[[#This Row],[Is Data Valid]]=TRUE,_xlfn.NORM.S.DIST(Table1[[#This Row],[Birthweight Z-Score (BW+10%)]],TRUE)*100,"")</f>
        <v/>
      </c>
    </row>
    <row r="7619" spans="1:12" x14ac:dyDescent="0.35">
      <c r="A7619" s="3"/>
      <c r="B7619" s="2"/>
      <c r="C7619" s="2"/>
      <c r="D7619" s="2" t="b">
        <f>IF(AND(NOT(ISBLANK(Table1[[#This Row],[Fetal Sex (Male, Female or Unknown)]])),ISNUMBER(Table1[[#This Row],[Birthweight (grams)]]),ISNUMBER(Table1[[#This Row],[Gestation (days)]])),TRUE,FALSE)</f>
        <v>0</v>
      </c>
      <c r="E7619" s="2" t="str">
        <f>IF(Table1[[#This Row],[Is Data Valid]]=TRUE,IF(Table1[[#This Row],[Fetal Sex (Male, Female or Unknown)]]="Male",Backend!$C$6,IF(Table1[[#This Row],[Fetal Sex (Male, Female or Unknown)]]="Female",Backend!$C$7,IF(Table1[[#This Row],[Fetal Sex (Male, Female or Unknown)]]="Unknown",Backend!$C$8,"Error"))),"")</f>
        <v/>
      </c>
      <c r="F7619" s="8" t="str">
        <f>IF(Table1[[#This Row],[Is Data Valid]]=TRUE,EXP(0.578+0.332*((Table1[[#This Row],[Gestation (days)]]+0.5)/7)-0.00354*((Table1[[#This Row],[Gestation (days)]]+0.5)/7)^2)*Table1[[#This Row],[BW40_3705]],"")</f>
        <v/>
      </c>
      <c r="G7619" s="2" t="str">
        <f>IF(Table1[[#This Row],[Is Data Valid]]=TRUE,((Table1[[#This Row],[Birthweight (grams)]]/Table1[[#This Row],[BW_GA]])-1)/(Backend!$B$4/100*Table1[[#This Row],[BW40_3705]]),"")</f>
        <v/>
      </c>
      <c r="H7619" s="7" t="str">
        <f>IF(Table1[[#This Row],[Is Data Valid]]=TRUE,((Table1[[#This Row],[Birthweight (grams)]]*0.9/Table1[[#This Row],[BW_GA]])-1)/(Backend!$B$4/100*Table1[[#This Row],[BW40_3705]]),"")</f>
        <v/>
      </c>
      <c r="I7619" s="7" t="str">
        <f>IF(Table1[[#This Row],[Is Data Valid]]=TRUE,((Table1[[#This Row],[Birthweight (grams)]]*1.1/Table1[[#This Row],[BW_GA]])-1)/(Backend!$B$4/100*Table1[[#This Row],[BW40_3705]]),"")</f>
        <v/>
      </c>
      <c r="J7619" s="7" t="str">
        <f>IF(Table1[[#This Row],[Is Data Valid]]=TRUE,_xlfn.NORM.S.DIST(Table1[[#This Row],[Birthweight Z-Score]],TRUE)*100,"")</f>
        <v/>
      </c>
      <c r="K7619" s="7" t="str">
        <f>IF(Table1[[#This Row],[Is Data Valid]]=TRUE,_xlfn.NORM.S.DIST(Table1[[#This Row],[Birthweight Z-Score (BW-10%)]],TRUE)*100,"")</f>
        <v/>
      </c>
      <c r="L7619" s="7" t="str">
        <f>IF(Table1[[#This Row],[Is Data Valid]]=TRUE,_xlfn.NORM.S.DIST(Table1[[#This Row],[Birthweight Z-Score (BW+10%)]],TRUE)*100,"")</f>
        <v/>
      </c>
    </row>
    <row r="7620" spans="1:12" x14ac:dyDescent="0.35">
      <c r="A7620" s="3"/>
      <c r="B7620" s="2"/>
      <c r="C7620" s="2"/>
      <c r="D7620" s="2" t="b">
        <f>IF(AND(NOT(ISBLANK(Table1[[#This Row],[Fetal Sex (Male, Female or Unknown)]])),ISNUMBER(Table1[[#This Row],[Birthweight (grams)]]),ISNUMBER(Table1[[#This Row],[Gestation (days)]])),TRUE,FALSE)</f>
        <v>0</v>
      </c>
      <c r="E7620" s="2" t="str">
        <f>IF(Table1[[#This Row],[Is Data Valid]]=TRUE,IF(Table1[[#This Row],[Fetal Sex (Male, Female or Unknown)]]="Male",Backend!$C$6,IF(Table1[[#This Row],[Fetal Sex (Male, Female or Unknown)]]="Female",Backend!$C$7,IF(Table1[[#This Row],[Fetal Sex (Male, Female or Unknown)]]="Unknown",Backend!$C$8,"Error"))),"")</f>
        <v/>
      </c>
      <c r="F7620" s="8" t="str">
        <f>IF(Table1[[#This Row],[Is Data Valid]]=TRUE,EXP(0.578+0.332*((Table1[[#This Row],[Gestation (days)]]+0.5)/7)-0.00354*((Table1[[#This Row],[Gestation (days)]]+0.5)/7)^2)*Table1[[#This Row],[BW40_3705]],"")</f>
        <v/>
      </c>
      <c r="G7620" s="2" t="str">
        <f>IF(Table1[[#This Row],[Is Data Valid]]=TRUE,((Table1[[#This Row],[Birthweight (grams)]]/Table1[[#This Row],[BW_GA]])-1)/(Backend!$B$4/100*Table1[[#This Row],[BW40_3705]]),"")</f>
        <v/>
      </c>
      <c r="H7620" s="7" t="str">
        <f>IF(Table1[[#This Row],[Is Data Valid]]=TRUE,((Table1[[#This Row],[Birthweight (grams)]]*0.9/Table1[[#This Row],[BW_GA]])-1)/(Backend!$B$4/100*Table1[[#This Row],[BW40_3705]]),"")</f>
        <v/>
      </c>
      <c r="I7620" s="7" t="str">
        <f>IF(Table1[[#This Row],[Is Data Valid]]=TRUE,((Table1[[#This Row],[Birthweight (grams)]]*1.1/Table1[[#This Row],[BW_GA]])-1)/(Backend!$B$4/100*Table1[[#This Row],[BW40_3705]]),"")</f>
        <v/>
      </c>
      <c r="J7620" s="7" t="str">
        <f>IF(Table1[[#This Row],[Is Data Valid]]=TRUE,_xlfn.NORM.S.DIST(Table1[[#This Row],[Birthweight Z-Score]],TRUE)*100,"")</f>
        <v/>
      </c>
      <c r="K7620" s="7" t="str">
        <f>IF(Table1[[#This Row],[Is Data Valid]]=TRUE,_xlfn.NORM.S.DIST(Table1[[#This Row],[Birthweight Z-Score (BW-10%)]],TRUE)*100,"")</f>
        <v/>
      </c>
      <c r="L7620" s="7" t="str">
        <f>IF(Table1[[#This Row],[Is Data Valid]]=TRUE,_xlfn.NORM.S.DIST(Table1[[#This Row],[Birthweight Z-Score (BW+10%)]],TRUE)*100,"")</f>
        <v/>
      </c>
    </row>
    <row r="7621" spans="1:12" x14ac:dyDescent="0.35">
      <c r="A7621" s="3"/>
      <c r="B7621" s="2"/>
      <c r="C7621" s="2"/>
      <c r="D7621" s="2" t="b">
        <f>IF(AND(NOT(ISBLANK(Table1[[#This Row],[Fetal Sex (Male, Female or Unknown)]])),ISNUMBER(Table1[[#This Row],[Birthweight (grams)]]),ISNUMBER(Table1[[#This Row],[Gestation (days)]])),TRUE,FALSE)</f>
        <v>0</v>
      </c>
      <c r="E7621" s="2" t="str">
        <f>IF(Table1[[#This Row],[Is Data Valid]]=TRUE,IF(Table1[[#This Row],[Fetal Sex (Male, Female or Unknown)]]="Male",Backend!$C$6,IF(Table1[[#This Row],[Fetal Sex (Male, Female or Unknown)]]="Female",Backend!$C$7,IF(Table1[[#This Row],[Fetal Sex (Male, Female or Unknown)]]="Unknown",Backend!$C$8,"Error"))),"")</f>
        <v/>
      </c>
      <c r="F7621" s="8" t="str">
        <f>IF(Table1[[#This Row],[Is Data Valid]]=TRUE,EXP(0.578+0.332*((Table1[[#This Row],[Gestation (days)]]+0.5)/7)-0.00354*((Table1[[#This Row],[Gestation (days)]]+0.5)/7)^2)*Table1[[#This Row],[BW40_3705]],"")</f>
        <v/>
      </c>
      <c r="G7621" s="2" t="str">
        <f>IF(Table1[[#This Row],[Is Data Valid]]=TRUE,((Table1[[#This Row],[Birthweight (grams)]]/Table1[[#This Row],[BW_GA]])-1)/(Backend!$B$4/100*Table1[[#This Row],[BW40_3705]]),"")</f>
        <v/>
      </c>
      <c r="H7621" s="7" t="str">
        <f>IF(Table1[[#This Row],[Is Data Valid]]=TRUE,((Table1[[#This Row],[Birthweight (grams)]]*0.9/Table1[[#This Row],[BW_GA]])-1)/(Backend!$B$4/100*Table1[[#This Row],[BW40_3705]]),"")</f>
        <v/>
      </c>
      <c r="I7621" s="7" t="str">
        <f>IF(Table1[[#This Row],[Is Data Valid]]=TRUE,((Table1[[#This Row],[Birthweight (grams)]]*1.1/Table1[[#This Row],[BW_GA]])-1)/(Backend!$B$4/100*Table1[[#This Row],[BW40_3705]]),"")</f>
        <v/>
      </c>
      <c r="J7621" s="7" t="str">
        <f>IF(Table1[[#This Row],[Is Data Valid]]=TRUE,_xlfn.NORM.S.DIST(Table1[[#This Row],[Birthweight Z-Score]],TRUE)*100,"")</f>
        <v/>
      </c>
      <c r="K7621" s="7" t="str">
        <f>IF(Table1[[#This Row],[Is Data Valid]]=TRUE,_xlfn.NORM.S.DIST(Table1[[#This Row],[Birthweight Z-Score (BW-10%)]],TRUE)*100,"")</f>
        <v/>
      </c>
      <c r="L7621" s="7" t="str">
        <f>IF(Table1[[#This Row],[Is Data Valid]]=TRUE,_xlfn.NORM.S.DIST(Table1[[#This Row],[Birthweight Z-Score (BW+10%)]],TRUE)*100,"")</f>
        <v/>
      </c>
    </row>
    <row r="7622" spans="1:12" x14ac:dyDescent="0.35">
      <c r="A7622" s="3"/>
      <c r="B7622" s="2"/>
      <c r="C7622" s="2"/>
      <c r="D7622" s="2" t="b">
        <f>IF(AND(NOT(ISBLANK(Table1[[#This Row],[Fetal Sex (Male, Female or Unknown)]])),ISNUMBER(Table1[[#This Row],[Birthweight (grams)]]),ISNUMBER(Table1[[#This Row],[Gestation (days)]])),TRUE,FALSE)</f>
        <v>0</v>
      </c>
      <c r="E7622" s="2" t="str">
        <f>IF(Table1[[#This Row],[Is Data Valid]]=TRUE,IF(Table1[[#This Row],[Fetal Sex (Male, Female or Unknown)]]="Male",Backend!$C$6,IF(Table1[[#This Row],[Fetal Sex (Male, Female or Unknown)]]="Female",Backend!$C$7,IF(Table1[[#This Row],[Fetal Sex (Male, Female or Unknown)]]="Unknown",Backend!$C$8,"Error"))),"")</f>
        <v/>
      </c>
      <c r="F7622" s="8" t="str">
        <f>IF(Table1[[#This Row],[Is Data Valid]]=TRUE,EXP(0.578+0.332*((Table1[[#This Row],[Gestation (days)]]+0.5)/7)-0.00354*((Table1[[#This Row],[Gestation (days)]]+0.5)/7)^2)*Table1[[#This Row],[BW40_3705]],"")</f>
        <v/>
      </c>
      <c r="G7622" s="2" t="str">
        <f>IF(Table1[[#This Row],[Is Data Valid]]=TRUE,((Table1[[#This Row],[Birthweight (grams)]]/Table1[[#This Row],[BW_GA]])-1)/(Backend!$B$4/100*Table1[[#This Row],[BW40_3705]]),"")</f>
        <v/>
      </c>
      <c r="H7622" s="7" t="str">
        <f>IF(Table1[[#This Row],[Is Data Valid]]=TRUE,((Table1[[#This Row],[Birthweight (grams)]]*0.9/Table1[[#This Row],[BW_GA]])-1)/(Backend!$B$4/100*Table1[[#This Row],[BW40_3705]]),"")</f>
        <v/>
      </c>
      <c r="I7622" s="7" t="str">
        <f>IF(Table1[[#This Row],[Is Data Valid]]=TRUE,((Table1[[#This Row],[Birthweight (grams)]]*1.1/Table1[[#This Row],[BW_GA]])-1)/(Backend!$B$4/100*Table1[[#This Row],[BW40_3705]]),"")</f>
        <v/>
      </c>
      <c r="J7622" s="7" t="str">
        <f>IF(Table1[[#This Row],[Is Data Valid]]=TRUE,_xlfn.NORM.S.DIST(Table1[[#This Row],[Birthweight Z-Score]],TRUE)*100,"")</f>
        <v/>
      </c>
      <c r="K7622" s="7" t="str">
        <f>IF(Table1[[#This Row],[Is Data Valid]]=TRUE,_xlfn.NORM.S.DIST(Table1[[#This Row],[Birthweight Z-Score (BW-10%)]],TRUE)*100,"")</f>
        <v/>
      </c>
      <c r="L7622" s="7" t="str">
        <f>IF(Table1[[#This Row],[Is Data Valid]]=TRUE,_xlfn.NORM.S.DIST(Table1[[#This Row],[Birthweight Z-Score (BW+10%)]],TRUE)*100,"")</f>
        <v/>
      </c>
    </row>
    <row r="7623" spans="1:12" x14ac:dyDescent="0.35">
      <c r="A7623" s="3"/>
      <c r="B7623" s="2"/>
      <c r="C7623" s="2"/>
      <c r="D7623" s="2" t="b">
        <f>IF(AND(NOT(ISBLANK(Table1[[#This Row],[Fetal Sex (Male, Female or Unknown)]])),ISNUMBER(Table1[[#This Row],[Birthweight (grams)]]),ISNUMBER(Table1[[#This Row],[Gestation (days)]])),TRUE,FALSE)</f>
        <v>0</v>
      </c>
      <c r="E7623" s="2" t="str">
        <f>IF(Table1[[#This Row],[Is Data Valid]]=TRUE,IF(Table1[[#This Row],[Fetal Sex (Male, Female or Unknown)]]="Male",Backend!$C$6,IF(Table1[[#This Row],[Fetal Sex (Male, Female or Unknown)]]="Female",Backend!$C$7,IF(Table1[[#This Row],[Fetal Sex (Male, Female or Unknown)]]="Unknown",Backend!$C$8,"Error"))),"")</f>
        <v/>
      </c>
      <c r="F7623" s="8" t="str">
        <f>IF(Table1[[#This Row],[Is Data Valid]]=TRUE,EXP(0.578+0.332*((Table1[[#This Row],[Gestation (days)]]+0.5)/7)-0.00354*((Table1[[#This Row],[Gestation (days)]]+0.5)/7)^2)*Table1[[#This Row],[BW40_3705]],"")</f>
        <v/>
      </c>
      <c r="G7623" s="2" t="str">
        <f>IF(Table1[[#This Row],[Is Data Valid]]=TRUE,((Table1[[#This Row],[Birthweight (grams)]]/Table1[[#This Row],[BW_GA]])-1)/(Backend!$B$4/100*Table1[[#This Row],[BW40_3705]]),"")</f>
        <v/>
      </c>
      <c r="H7623" s="7" t="str">
        <f>IF(Table1[[#This Row],[Is Data Valid]]=TRUE,((Table1[[#This Row],[Birthweight (grams)]]*0.9/Table1[[#This Row],[BW_GA]])-1)/(Backend!$B$4/100*Table1[[#This Row],[BW40_3705]]),"")</f>
        <v/>
      </c>
      <c r="I7623" s="7" t="str">
        <f>IF(Table1[[#This Row],[Is Data Valid]]=TRUE,((Table1[[#This Row],[Birthweight (grams)]]*1.1/Table1[[#This Row],[BW_GA]])-1)/(Backend!$B$4/100*Table1[[#This Row],[BW40_3705]]),"")</f>
        <v/>
      </c>
      <c r="J7623" s="7" t="str">
        <f>IF(Table1[[#This Row],[Is Data Valid]]=TRUE,_xlfn.NORM.S.DIST(Table1[[#This Row],[Birthweight Z-Score]],TRUE)*100,"")</f>
        <v/>
      </c>
      <c r="K7623" s="7" t="str">
        <f>IF(Table1[[#This Row],[Is Data Valid]]=TRUE,_xlfn.NORM.S.DIST(Table1[[#This Row],[Birthweight Z-Score (BW-10%)]],TRUE)*100,"")</f>
        <v/>
      </c>
      <c r="L7623" s="7" t="str">
        <f>IF(Table1[[#This Row],[Is Data Valid]]=TRUE,_xlfn.NORM.S.DIST(Table1[[#This Row],[Birthweight Z-Score (BW+10%)]],TRUE)*100,"")</f>
        <v/>
      </c>
    </row>
    <row r="7624" spans="1:12" x14ac:dyDescent="0.35">
      <c r="A7624" s="3"/>
      <c r="B7624" s="2"/>
      <c r="C7624" s="2"/>
      <c r="D7624" s="2" t="b">
        <f>IF(AND(NOT(ISBLANK(Table1[[#This Row],[Fetal Sex (Male, Female or Unknown)]])),ISNUMBER(Table1[[#This Row],[Birthweight (grams)]]),ISNUMBER(Table1[[#This Row],[Gestation (days)]])),TRUE,FALSE)</f>
        <v>0</v>
      </c>
      <c r="E7624" s="2" t="str">
        <f>IF(Table1[[#This Row],[Is Data Valid]]=TRUE,IF(Table1[[#This Row],[Fetal Sex (Male, Female or Unknown)]]="Male",Backend!$C$6,IF(Table1[[#This Row],[Fetal Sex (Male, Female or Unknown)]]="Female",Backend!$C$7,IF(Table1[[#This Row],[Fetal Sex (Male, Female or Unknown)]]="Unknown",Backend!$C$8,"Error"))),"")</f>
        <v/>
      </c>
      <c r="F7624" s="8" t="str">
        <f>IF(Table1[[#This Row],[Is Data Valid]]=TRUE,EXP(0.578+0.332*((Table1[[#This Row],[Gestation (days)]]+0.5)/7)-0.00354*((Table1[[#This Row],[Gestation (days)]]+0.5)/7)^2)*Table1[[#This Row],[BW40_3705]],"")</f>
        <v/>
      </c>
      <c r="G7624" s="2" t="str">
        <f>IF(Table1[[#This Row],[Is Data Valid]]=TRUE,((Table1[[#This Row],[Birthweight (grams)]]/Table1[[#This Row],[BW_GA]])-1)/(Backend!$B$4/100*Table1[[#This Row],[BW40_3705]]),"")</f>
        <v/>
      </c>
      <c r="H7624" s="7" t="str">
        <f>IF(Table1[[#This Row],[Is Data Valid]]=TRUE,((Table1[[#This Row],[Birthweight (grams)]]*0.9/Table1[[#This Row],[BW_GA]])-1)/(Backend!$B$4/100*Table1[[#This Row],[BW40_3705]]),"")</f>
        <v/>
      </c>
      <c r="I7624" s="7" t="str">
        <f>IF(Table1[[#This Row],[Is Data Valid]]=TRUE,((Table1[[#This Row],[Birthweight (grams)]]*1.1/Table1[[#This Row],[BW_GA]])-1)/(Backend!$B$4/100*Table1[[#This Row],[BW40_3705]]),"")</f>
        <v/>
      </c>
      <c r="J7624" s="7" t="str">
        <f>IF(Table1[[#This Row],[Is Data Valid]]=TRUE,_xlfn.NORM.S.DIST(Table1[[#This Row],[Birthweight Z-Score]],TRUE)*100,"")</f>
        <v/>
      </c>
      <c r="K7624" s="7" t="str">
        <f>IF(Table1[[#This Row],[Is Data Valid]]=TRUE,_xlfn.NORM.S.DIST(Table1[[#This Row],[Birthweight Z-Score (BW-10%)]],TRUE)*100,"")</f>
        <v/>
      </c>
      <c r="L7624" s="7" t="str">
        <f>IF(Table1[[#This Row],[Is Data Valid]]=TRUE,_xlfn.NORM.S.DIST(Table1[[#This Row],[Birthweight Z-Score (BW+10%)]],TRUE)*100,"")</f>
        <v/>
      </c>
    </row>
    <row r="7625" spans="1:12" x14ac:dyDescent="0.35">
      <c r="A7625" s="3"/>
      <c r="B7625" s="2"/>
      <c r="C7625" s="2"/>
      <c r="D7625" s="2" t="b">
        <f>IF(AND(NOT(ISBLANK(Table1[[#This Row],[Fetal Sex (Male, Female or Unknown)]])),ISNUMBER(Table1[[#This Row],[Birthweight (grams)]]),ISNUMBER(Table1[[#This Row],[Gestation (days)]])),TRUE,FALSE)</f>
        <v>0</v>
      </c>
      <c r="E7625" s="2" t="str">
        <f>IF(Table1[[#This Row],[Is Data Valid]]=TRUE,IF(Table1[[#This Row],[Fetal Sex (Male, Female or Unknown)]]="Male",Backend!$C$6,IF(Table1[[#This Row],[Fetal Sex (Male, Female or Unknown)]]="Female",Backend!$C$7,IF(Table1[[#This Row],[Fetal Sex (Male, Female or Unknown)]]="Unknown",Backend!$C$8,"Error"))),"")</f>
        <v/>
      </c>
      <c r="F7625" s="8" t="str">
        <f>IF(Table1[[#This Row],[Is Data Valid]]=TRUE,EXP(0.578+0.332*((Table1[[#This Row],[Gestation (days)]]+0.5)/7)-0.00354*((Table1[[#This Row],[Gestation (days)]]+0.5)/7)^2)*Table1[[#This Row],[BW40_3705]],"")</f>
        <v/>
      </c>
      <c r="G7625" s="2" t="str">
        <f>IF(Table1[[#This Row],[Is Data Valid]]=TRUE,((Table1[[#This Row],[Birthweight (grams)]]/Table1[[#This Row],[BW_GA]])-1)/(Backend!$B$4/100*Table1[[#This Row],[BW40_3705]]),"")</f>
        <v/>
      </c>
      <c r="H7625" s="7" t="str">
        <f>IF(Table1[[#This Row],[Is Data Valid]]=TRUE,((Table1[[#This Row],[Birthweight (grams)]]*0.9/Table1[[#This Row],[BW_GA]])-1)/(Backend!$B$4/100*Table1[[#This Row],[BW40_3705]]),"")</f>
        <v/>
      </c>
      <c r="I7625" s="7" t="str">
        <f>IF(Table1[[#This Row],[Is Data Valid]]=TRUE,((Table1[[#This Row],[Birthweight (grams)]]*1.1/Table1[[#This Row],[BW_GA]])-1)/(Backend!$B$4/100*Table1[[#This Row],[BW40_3705]]),"")</f>
        <v/>
      </c>
      <c r="J7625" s="7" t="str">
        <f>IF(Table1[[#This Row],[Is Data Valid]]=TRUE,_xlfn.NORM.S.DIST(Table1[[#This Row],[Birthweight Z-Score]],TRUE)*100,"")</f>
        <v/>
      </c>
      <c r="K7625" s="7" t="str">
        <f>IF(Table1[[#This Row],[Is Data Valid]]=TRUE,_xlfn.NORM.S.DIST(Table1[[#This Row],[Birthweight Z-Score (BW-10%)]],TRUE)*100,"")</f>
        <v/>
      </c>
      <c r="L7625" s="7" t="str">
        <f>IF(Table1[[#This Row],[Is Data Valid]]=TRUE,_xlfn.NORM.S.DIST(Table1[[#This Row],[Birthweight Z-Score (BW+10%)]],TRUE)*100,"")</f>
        <v/>
      </c>
    </row>
    <row r="7626" spans="1:12" x14ac:dyDescent="0.35">
      <c r="A7626" s="3"/>
      <c r="B7626" s="2"/>
      <c r="C7626" s="2"/>
      <c r="D7626" s="2" t="b">
        <f>IF(AND(NOT(ISBLANK(Table1[[#This Row],[Fetal Sex (Male, Female or Unknown)]])),ISNUMBER(Table1[[#This Row],[Birthweight (grams)]]),ISNUMBER(Table1[[#This Row],[Gestation (days)]])),TRUE,FALSE)</f>
        <v>0</v>
      </c>
      <c r="E7626" s="2" t="str">
        <f>IF(Table1[[#This Row],[Is Data Valid]]=TRUE,IF(Table1[[#This Row],[Fetal Sex (Male, Female or Unknown)]]="Male",Backend!$C$6,IF(Table1[[#This Row],[Fetal Sex (Male, Female or Unknown)]]="Female",Backend!$C$7,IF(Table1[[#This Row],[Fetal Sex (Male, Female or Unknown)]]="Unknown",Backend!$C$8,"Error"))),"")</f>
        <v/>
      </c>
      <c r="F7626" s="8" t="str">
        <f>IF(Table1[[#This Row],[Is Data Valid]]=TRUE,EXP(0.578+0.332*((Table1[[#This Row],[Gestation (days)]]+0.5)/7)-0.00354*((Table1[[#This Row],[Gestation (days)]]+0.5)/7)^2)*Table1[[#This Row],[BW40_3705]],"")</f>
        <v/>
      </c>
      <c r="G7626" s="2" t="str">
        <f>IF(Table1[[#This Row],[Is Data Valid]]=TRUE,((Table1[[#This Row],[Birthweight (grams)]]/Table1[[#This Row],[BW_GA]])-1)/(Backend!$B$4/100*Table1[[#This Row],[BW40_3705]]),"")</f>
        <v/>
      </c>
      <c r="H7626" s="7" t="str">
        <f>IF(Table1[[#This Row],[Is Data Valid]]=TRUE,((Table1[[#This Row],[Birthweight (grams)]]*0.9/Table1[[#This Row],[BW_GA]])-1)/(Backend!$B$4/100*Table1[[#This Row],[BW40_3705]]),"")</f>
        <v/>
      </c>
      <c r="I7626" s="7" t="str">
        <f>IF(Table1[[#This Row],[Is Data Valid]]=TRUE,((Table1[[#This Row],[Birthweight (grams)]]*1.1/Table1[[#This Row],[BW_GA]])-1)/(Backend!$B$4/100*Table1[[#This Row],[BW40_3705]]),"")</f>
        <v/>
      </c>
      <c r="J7626" s="7" t="str">
        <f>IF(Table1[[#This Row],[Is Data Valid]]=TRUE,_xlfn.NORM.S.DIST(Table1[[#This Row],[Birthweight Z-Score]],TRUE)*100,"")</f>
        <v/>
      </c>
      <c r="K7626" s="7" t="str">
        <f>IF(Table1[[#This Row],[Is Data Valid]]=TRUE,_xlfn.NORM.S.DIST(Table1[[#This Row],[Birthweight Z-Score (BW-10%)]],TRUE)*100,"")</f>
        <v/>
      </c>
      <c r="L7626" s="7" t="str">
        <f>IF(Table1[[#This Row],[Is Data Valid]]=TRUE,_xlfn.NORM.S.DIST(Table1[[#This Row],[Birthweight Z-Score (BW+10%)]],TRUE)*100,"")</f>
        <v/>
      </c>
    </row>
    <row r="7627" spans="1:12" x14ac:dyDescent="0.35">
      <c r="A7627" s="3"/>
      <c r="B7627" s="2"/>
      <c r="C7627" s="2"/>
      <c r="D7627" s="2" t="b">
        <f>IF(AND(NOT(ISBLANK(Table1[[#This Row],[Fetal Sex (Male, Female or Unknown)]])),ISNUMBER(Table1[[#This Row],[Birthweight (grams)]]),ISNUMBER(Table1[[#This Row],[Gestation (days)]])),TRUE,FALSE)</f>
        <v>0</v>
      </c>
      <c r="E7627" s="2" t="str">
        <f>IF(Table1[[#This Row],[Is Data Valid]]=TRUE,IF(Table1[[#This Row],[Fetal Sex (Male, Female or Unknown)]]="Male",Backend!$C$6,IF(Table1[[#This Row],[Fetal Sex (Male, Female or Unknown)]]="Female",Backend!$C$7,IF(Table1[[#This Row],[Fetal Sex (Male, Female or Unknown)]]="Unknown",Backend!$C$8,"Error"))),"")</f>
        <v/>
      </c>
      <c r="F7627" s="8" t="str">
        <f>IF(Table1[[#This Row],[Is Data Valid]]=TRUE,EXP(0.578+0.332*((Table1[[#This Row],[Gestation (days)]]+0.5)/7)-0.00354*((Table1[[#This Row],[Gestation (days)]]+0.5)/7)^2)*Table1[[#This Row],[BW40_3705]],"")</f>
        <v/>
      </c>
      <c r="G7627" s="2" t="str">
        <f>IF(Table1[[#This Row],[Is Data Valid]]=TRUE,((Table1[[#This Row],[Birthweight (grams)]]/Table1[[#This Row],[BW_GA]])-1)/(Backend!$B$4/100*Table1[[#This Row],[BW40_3705]]),"")</f>
        <v/>
      </c>
      <c r="H7627" s="7" t="str">
        <f>IF(Table1[[#This Row],[Is Data Valid]]=TRUE,((Table1[[#This Row],[Birthweight (grams)]]*0.9/Table1[[#This Row],[BW_GA]])-1)/(Backend!$B$4/100*Table1[[#This Row],[BW40_3705]]),"")</f>
        <v/>
      </c>
      <c r="I7627" s="7" t="str">
        <f>IF(Table1[[#This Row],[Is Data Valid]]=TRUE,((Table1[[#This Row],[Birthweight (grams)]]*1.1/Table1[[#This Row],[BW_GA]])-1)/(Backend!$B$4/100*Table1[[#This Row],[BW40_3705]]),"")</f>
        <v/>
      </c>
      <c r="J7627" s="7" t="str">
        <f>IF(Table1[[#This Row],[Is Data Valid]]=TRUE,_xlfn.NORM.S.DIST(Table1[[#This Row],[Birthweight Z-Score]],TRUE)*100,"")</f>
        <v/>
      </c>
      <c r="K7627" s="7" t="str">
        <f>IF(Table1[[#This Row],[Is Data Valid]]=TRUE,_xlfn.NORM.S.DIST(Table1[[#This Row],[Birthweight Z-Score (BW-10%)]],TRUE)*100,"")</f>
        <v/>
      </c>
      <c r="L7627" s="7" t="str">
        <f>IF(Table1[[#This Row],[Is Data Valid]]=TRUE,_xlfn.NORM.S.DIST(Table1[[#This Row],[Birthweight Z-Score (BW+10%)]],TRUE)*100,"")</f>
        <v/>
      </c>
    </row>
    <row r="7628" spans="1:12" x14ac:dyDescent="0.35">
      <c r="A7628" s="3"/>
      <c r="B7628" s="2"/>
      <c r="C7628" s="2"/>
      <c r="D7628" s="2" t="b">
        <f>IF(AND(NOT(ISBLANK(Table1[[#This Row],[Fetal Sex (Male, Female or Unknown)]])),ISNUMBER(Table1[[#This Row],[Birthweight (grams)]]),ISNUMBER(Table1[[#This Row],[Gestation (days)]])),TRUE,FALSE)</f>
        <v>0</v>
      </c>
      <c r="E7628" s="2" t="str">
        <f>IF(Table1[[#This Row],[Is Data Valid]]=TRUE,IF(Table1[[#This Row],[Fetal Sex (Male, Female or Unknown)]]="Male",Backend!$C$6,IF(Table1[[#This Row],[Fetal Sex (Male, Female or Unknown)]]="Female",Backend!$C$7,IF(Table1[[#This Row],[Fetal Sex (Male, Female or Unknown)]]="Unknown",Backend!$C$8,"Error"))),"")</f>
        <v/>
      </c>
      <c r="F7628" s="8" t="str">
        <f>IF(Table1[[#This Row],[Is Data Valid]]=TRUE,EXP(0.578+0.332*((Table1[[#This Row],[Gestation (days)]]+0.5)/7)-0.00354*((Table1[[#This Row],[Gestation (days)]]+0.5)/7)^2)*Table1[[#This Row],[BW40_3705]],"")</f>
        <v/>
      </c>
      <c r="G7628" s="2" t="str">
        <f>IF(Table1[[#This Row],[Is Data Valid]]=TRUE,((Table1[[#This Row],[Birthweight (grams)]]/Table1[[#This Row],[BW_GA]])-1)/(Backend!$B$4/100*Table1[[#This Row],[BW40_3705]]),"")</f>
        <v/>
      </c>
      <c r="H7628" s="7" t="str">
        <f>IF(Table1[[#This Row],[Is Data Valid]]=TRUE,((Table1[[#This Row],[Birthweight (grams)]]*0.9/Table1[[#This Row],[BW_GA]])-1)/(Backend!$B$4/100*Table1[[#This Row],[BW40_3705]]),"")</f>
        <v/>
      </c>
      <c r="I7628" s="7" t="str">
        <f>IF(Table1[[#This Row],[Is Data Valid]]=TRUE,((Table1[[#This Row],[Birthweight (grams)]]*1.1/Table1[[#This Row],[BW_GA]])-1)/(Backend!$B$4/100*Table1[[#This Row],[BW40_3705]]),"")</f>
        <v/>
      </c>
      <c r="J7628" s="7" t="str">
        <f>IF(Table1[[#This Row],[Is Data Valid]]=TRUE,_xlfn.NORM.S.DIST(Table1[[#This Row],[Birthweight Z-Score]],TRUE)*100,"")</f>
        <v/>
      </c>
      <c r="K7628" s="7" t="str">
        <f>IF(Table1[[#This Row],[Is Data Valid]]=TRUE,_xlfn.NORM.S.DIST(Table1[[#This Row],[Birthweight Z-Score (BW-10%)]],TRUE)*100,"")</f>
        <v/>
      </c>
      <c r="L7628" s="7" t="str">
        <f>IF(Table1[[#This Row],[Is Data Valid]]=TRUE,_xlfn.NORM.S.DIST(Table1[[#This Row],[Birthweight Z-Score (BW+10%)]],TRUE)*100,"")</f>
        <v/>
      </c>
    </row>
    <row r="7629" spans="1:12" x14ac:dyDescent="0.35">
      <c r="A7629" s="3"/>
      <c r="B7629" s="2"/>
      <c r="C7629" s="2"/>
      <c r="D7629" s="2" t="b">
        <f>IF(AND(NOT(ISBLANK(Table1[[#This Row],[Fetal Sex (Male, Female or Unknown)]])),ISNUMBER(Table1[[#This Row],[Birthweight (grams)]]),ISNUMBER(Table1[[#This Row],[Gestation (days)]])),TRUE,FALSE)</f>
        <v>0</v>
      </c>
      <c r="E7629" s="2" t="str">
        <f>IF(Table1[[#This Row],[Is Data Valid]]=TRUE,IF(Table1[[#This Row],[Fetal Sex (Male, Female or Unknown)]]="Male",Backend!$C$6,IF(Table1[[#This Row],[Fetal Sex (Male, Female or Unknown)]]="Female",Backend!$C$7,IF(Table1[[#This Row],[Fetal Sex (Male, Female or Unknown)]]="Unknown",Backend!$C$8,"Error"))),"")</f>
        <v/>
      </c>
      <c r="F7629" s="8" t="str">
        <f>IF(Table1[[#This Row],[Is Data Valid]]=TRUE,EXP(0.578+0.332*((Table1[[#This Row],[Gestation (days)]]+0.5)/7)-0.00354*((Table1[[#This Row],[Gestation (days)]]+0.5)/7)^2)*Table1[[#This Row],[BW40_3705]],"")</f>
        <v/>
      </c>
      <c r="G7629" s="2" t="str">
        <f>IF(Table1[[#This Row],[Is Data Valid]]=TRUE,((Table1[[#This Row],[Birthweight (grams)]]/Table1[[#This Row],[BW_GA]])-1)/(Backend!$B$4/100*Table1[[#This Row],[BW40_3705]]),"")</f>
        <v/>
      </c>
      <c r="H7629" s="7" t="str">
        <f>IF(Table1[[#This Row],[Is Data Valid]]=TRUE,((Table1[[#This Row],[Birthweight (grams)]]*0.9/Table1[[#This Row],[BW_GA]])-1)/(Backend!$B$4/100*Table1[[#This Row],[BW40_3705]]),"")</f>
        <v/>
      </c>
      <c r="I7629" s="7" t="str">
        <f>IF(Table1[[#This Row],[Is Data Valid]]=TRUE,((Table1[[#This Row],[Birthweight (grams)]]*1.1/Table1[[#This Row],[BW_GA]])-1)/(Backend!$B$4/100*Table1[[#This Row],[BW40_3705]]),"")</f>
        <v/>
      </c>
      <c r="J7629" s="7" t="str">
        <f>IF(Table1[[#This Row],[Is Data Valid]]=TRUE,_xlfn.NORM.S.DIST(Table1[[#This Row],[Birthweight Z-Score]],TRUE)*100,"")</f>
        <v/>
      </c>
      <c r="K7629" s="7" t="str">
        <f>IF(Table1[[#This Row],[Is Data Valid]]=TRUE,_xlfn.NORM.S.DIST(Table1[[#This Row],[Birthweight Z-Score (BW-10%)]],TRUE)*100,"")</f>
        <v/>
      </c>
      <c r="L7629" s="7" t="str">
        <f>IF(Table1[[#This Row],[Is Data Valid]]=TRUE,_xlfn.NORM.S.DIST(Table1[[#This Row],[Birthweight Z-Score (BW+10%)]],TRUE)*100,"")</f>
        <v/>
      </c>
    </row>
    <row r="7630" spans="1:12" x14ac:dyDescent="0.35">
      <c r="A7630" s="3"/>
      <c r="B7630" s="2"/>
      <c r="C7630" s="2"/>
      <c r="D7630" s="2" t="b">
        <f>IF(AND(NOT(ISBLANK(Table1[[#This Row],[Fetal Sex (Male, Female or Unknown)]])),ISNUMBER(Table1[[#This Row],[Birthweight (grams)]]),ISNUMBER(Table1[[#This Row],[Gestation (days)]])),TRUE,FALSE)</f>
        <v>0</v>
      </c>
      <c r="E7630" s="2" t="str">
        <f>IF(Table1[[#This Row],[Is Data Valid]]=TRUE,IF(Table1[[#This Row],[Fetal Sex (Male, Female or Unknown)]]="Male",Backend!$C$6,IF(Table1[[#This Row],[Fetal Sex (Male, Female or Unknown)]]="Female",Backend!$C$7,IF(Table1[[#This Row],[Fetal Sex (Male, Female or Unknown)]]="Unknown",Backend!$C$8,"Error"))),"")</f>
        <v/>
      </c>
      <c r="F7630" s="8" t="str">
        <f>IF(Table1[[#This Row],[Is Data Valid]]=TRUE,EXP(0.578+0.332*((Table1[[#This Row],[Gestation (days)]]+0.5)/7)-0.00354*((Table1[[#This Row],[Gestation (days)]]+0.5)/7)^2)*Table1[[#This Row],[BW40_3705]],"")</f>
        <v/>
      </c>
      <c r="G7630" s="2" t="str">
        <f>IF(Table1[[#This Row],[Is Data Valid]]=TRUE,((Table1[[#This Row],[Birthweight (grams)]]/Table1[[#This Row],[BW_GA]])-1)/(Backend!$B$4/100*Table1[[#This Row],[BW40_3705]]),"")</f>
        <v/>
      </c>
      <c r="H7630" s="7" t="str">
        <f>IF(Table1[[#This Row],[Is Data Valid]]=TRUE,((Table1[[#This Row],[Birthweight (grams)]]*0.9/Table1[[#This Row],[BW_GA]])-1)/(Backend!$B$4/100*Table1[[#This Row],[BW40_3705]]),"")</f>
        <v/>
      </c>
      <c r="I7630" s="7" t="str">
        <f>IF(Table1[[#This Row],[Is Data Valid]]=TRUE,((Table1[[#This Row],[Birthweight (grams)]]*1.1/Table1[[#This Row],[BW_GA]])-1)/(Backend!$B$4/100*Table1[[#This Row],[BW40_3705]]),"")</f>
        <v/>
      </c>
      <c r="J7630" s="7" t="str">
        <f>IF(Table1[[#This Row],[Is Data Valid]]=TRUE,_xlfn.NORM.S.DIST(Table1[[#This Row],[Birthweight Z-Score]],TRUE)*100,"")</f>
        <v/>
      </c>
      <c r="K7630" s="7" t="str">
        <f>IF(Table1[[#This Row],[Is Data Valid]]=TRUE,_xlfn.NORM.S.DIST(Table1[[#This Row],[Birthweight Z-Score (BW-10%)]],TRUE)*100,"")</f>
        <v/>
      </c>
      <c r="L7630" s="7" t="str">
        <f>IF(Table1[[#This Row],[Is Data Valid]]=TRUE,_xlfn.NORM.S.DIST(Table1[[#This Row],[Birthweight Z-Score (BW+10%)]],TRUE)*100,"")</f>
        <v/>
      </c>
    </row>
    <row r="7631" spans="1:12" x14ac:dyDescent="0.35">
      <c r="A7631" s="3"/>
      <c r="B7631" s="2"/>
      <c r="C7631" s="2"/>
      <c r="D7631" s="2" t="b">
        <f>IF(AND(NOT(ISBLANK(Table1[[#This Row],[Fetal Sex (Male, Female or Unknown)]])),ISNUMBER(Table1[[#This Row],[Birthweight (grams)]]),ISNUMBER(Table1[[#This Row],[Gestation (days)]])),TRUE,FALSE)</f>
        <v>0</v>
      </c>
      <c r="E7631" s="2" t="str">
        <f>IF(Table1[[#This Row],[Is Data Valid]]=TRUE,IF(Table1[[#This Row],[Fetal Sex (Male, Female or Unknown)]]="Male",Backend!$C$6,IF(Table1[[#This Row],[Fetal Sex (Male, Female or Unknown)]]="Female",Backend!$C$7,IF(Table1[[#This Row],[Fetal Sex (Male, Female or Unknown)]]="Unknown",Backend!$C$8,"Error"))),"")</f>
        <v/>
      </c>
      <c r="F7631" s="8" t="str">
        <f>IF(Table1[[#This Row],[Is Data Valid]]=TRUE,EXP(0.578+0.332*((Table1[[#This Row],[Gestation (days)]]+0.5)/7)-0.00354*((Table1[[#This Row],[Gestation (days)]]+0.5)/7)^2)*Table1[[#This Row],[BW40_3705]],"")</f>
        <v/>
      </c>
      <c r="G7631" s="2" t="str">
        <f>IF(Table1[[#This Row],[Is Data Valid]]=TRUE,((Table1[[#This Row],[Birthweight (grams)]]/Table1[[#This Row],[BW_GA]])-1)/(Backend!$B$4/100*Table1[[#This Row],[BW40_3705]]),"")</f>
        <v/>
      </c>
      <c r="H7631" s="7" t="str">
        <f>IF(Table1[[#This Row],[Is Data Valid]]=TRUE,((Table1[[#This Row],[Birthweight (grams)]]*0.9/Table1[[#This Row],[BW_GA]])-1)/(Backend!$B$4/100*Table1[[#This Row],[BW40_3705]]),"")</f>
        <v/>
      </c>
      <c r="I7631" s="7" t="str">
        <f>IF(Table1[[#This Row],[Is Data Valid]]=TRUE,((Table1[[#This Row],[Birthweight (grams)]]*1.1/Table1[[#This Row],[BW_GA]])-1)/(Backend!$B$4/100*Table1[[#This Row],[BW40_3705]]),"")</f>
        <v/>
      </c>
      <c r="J7631" s="7" t="str">
        <f>IF(Table1[[#This Row],[Is Data Valid]]=TRUE,_xlfn.NORM.S.DIST(Table1[[#This Row],[Birthweight Z-Score]],TRUE)*100,"")</f>
        <v/>
      </c>
      <c r="K7631" s="7" t="str">
        <f>IF(Table1[[#This Row],[Is Data Valid]]=TRUE,_xlfn.NORM.S.DIST(Table1[[#This Row],[Birthweight Z-Score (BW-10%)]],TRUE)*100,"")</f>
        <v/>
      </c>
      <c r="L7631" s="7" t="str">
        <f>IF(Table1[[#This Row],[Is Data Valid]]=TRUE,_xlfn.NORM.S.DIST(Table1[[#This Row],[Birthweight Z-Score (BW+10%)]],TRUE)*100,"")</f>
        <v/>
      </c>
    </row>
    <row r="7632" spans="1:12" x14ac:dyDescent="0.35">
      <c r="A7632" s="3"/>
      <c r="B7632" s="2"/>
      <c r="C7632" s="2"/>
      <c r="D7632" s="2" t="b">
        <f>IF(AND(NOT(ISBLANK(Table1[[#This Row],[Fetal Sex (Male, Female or Unknown)]])),ISNUMBER(Table1[[#This Row],[Birthweight (grams)]]),ISNUMBER(Table1[[#This Row],[Gestation (days)]])),TRUE,FALSE)</f>
        <v>0</v>
      </c>
      <c r="E7632" s="2" t="str">
        <f>IF(Table1[[#This Row],[Is Data Valid]]=TRUE,IF(Table1[[#This Row],[Fetal Sex (Male, Female or Unknown)]]="Male",Backend!$C$6,IF(Table1[[#This Row],[Fetal Sex (Male, Female or Unknown)]]="Female",Backend!$C$7,IF(Table1[[#This Row],[Fetal Sex (Male, Female or Unknown)]]="Unknown",Backend!$C$8,"Error"))),"")</f>
        <v/>
      </c>
      <c r="F7632" s="8" t="str">
        <f>IF(Table1[[#This Row],[Is Data Valid]]=TRUE,EXP(0.578+0.332*((Table1[[#This Row],[Gestation (days)]]+0.5)/7)-0.00354*((Table1[[#This Row],[Gestation (days)]]+0.5)/7)^2)*Table1[[#This Row],[BW40_3705]],"")</f>
        <v/>
      </c>
      <c r="G7632" s="2" t="str">
        <f>IF(Table1[[#This Row],[Is Data Valid]]=TRUE,((Table1[[#This Row],[Birthweight (grams)]]/Table1[[#This Row],[BW_GA]])-1)/(Backend!$B$4/100*Table1[[#This Row],[BW40_3705]]),"")</f>
        <v/>
      </c>
      <c r="H7632" s="7" t="str">
        <f>IF(Table1[[#This Row],[Is Data Valid]]=TRUE,((Table1[[#This Row],[Birthweight (grams)]]*0.9/Table1[[#This Row],[BW_GA]])-1)/(Backend!$B$4/100*Table1[[#This Row],[BW40_3705]]),"")</f>
        <v/>
      </c>
      <c r="I7632" s="7" t="str">
        <f>IF(Table1[[#This Row],[Is Data Valid]]=TRUE,((Table1[[#This Row],[Birthweight (grams)]]*1.1/Table1[[#This Row],[BW_GA]])-1)/(Backend!$B$4/100*Table1[[#This Row],[BW40_3705]]),"")</f>
        <v/>
      </c>
      <c r="J7632" s="7" t="str">
        <f>IF(Table1[[#This Row],[Is Data Valid]]=TRUE,_xlfn.NORM.S.DIST(Table1[[#This Row],[Birthweight Z-Score]],TRUE)*100,"")</f>
        <v/>
      </c>
      <c r="K7632" s="7" t="str">
        <f>IF(Table1[[#This Row],[Is Data Valid]]=TRUE,_xlfn.NORM.S.DIST(Table1[[#This Row],[Birthweight Z-Score (BW-10%)]],TRUE)*100,"")</f>
        <v/>
      </c>
      <c r="L7632" s="7" t="str">
        <f>IF(Table1[[#This Row],[Is Data Valid]]=TRUE,_xlfn.NORM.S.DIST(Table1[[#This Row],[Birthweight Z-Score (BW+10%)]],TRUE)*100,"")</f>
        <v/>
      </c>
    </row>
    <row r="7633" spans="1:12" x14ac:dyDescent="0.35">
      <c r="A7633" s="3"/>
      <c r="B7633" s="2"/>
      <c r="C7633" s="2"/>
      <c r="D7633" s="2" t="b">
        <f>IF(AND(NOT(ISBLANK(Table1[[#This Row],[Fetal Sex (Male, Female or Unknown)]])),ISNUMBER(Table1[[#This Row],[Birthweight (grams)]]),ISNUMBER(Table1[[#This Row],[Gestation (days)]])),TRUE,FALSE)</f>
        <v>0</v>
      </c>
      <c r="E7633" s="2" t="str">
        <f>IF(Table1[[#This Row],[Is Data Valid]]=TRUE,IF(Table1[[#This Row],[Fetal Sex (Male, Female or Unknown)]]="Male",Backend!$C$6,IF(Table1[[#This Row],[Fetal Sex (Male, Female or Unknown)]]="Female",Backend!$C$7,IF(Table1[[#This Row],[Fetal Sex (Male, Female or Unknown)]]="Unknown",Backend!$C$8,"Error"))),"")</f>
        <v/>
      </c>
      <c r="F7633" s="8" t="str">
        <f>IF(Table1[[#This Row],[Is Data Valid]]=TRUE,EXP(0.578+0.332*((Table1[[#This Row],[Gestation (days)]]+0.5)/7)-0.00354*((Table1[[#This Row],[Gestation (days)]]+0.5)/7)^2)*Table1[[#This Row],[BW40_3705]],"")</f>
        <v/>
      </c>
      <c r="G7633" s="2" t="str">
        <f>IF(Table1[[#This Row],[Is Data Valid]]=TRUE,((Table1[[#This Row],[Birthweight (grams)]]/Table1[[#This Row],[BW_GA]])-1)/(Backend!$B$4/100*Table1[[#This Row],[BW40_3705]]),"")</f>
        <v/>
      </c>
      <c r="H7633" s="7" t="str">
        <f>IF(Table1[[#This Row],[Is Data Valid]]=TRUE,((Table1[[#This Row],[Birthweight (grams)]]*0.9/Table1[[#This Row],[BW_GA]])-1)/(Backend!$B$4/100*Table1[[#This Row],[BW40_3705]]),"")</f>
        <v/>
      </c>
      <c r="I7633" s="7" t="str">
        <f>IF(Table1[[#This Row],[Is Data Valid]]=TRUE,((Table1[[#This Row],[Birthweight (grams)]]*1.1/Table1[[#This Row],[BW_GA]])-1)/(Backend!$B$4/100*Table1[[#This Row],[BW40_3705]]),"")</f>
        <v/>
      </c>
      <c r="J7633" s="7" t="str">
        <f>IF(Table1[[#This Row],[Is Data Valid]]=TRUE,_xlfn.NORM.S.DIST(Table1[[#This Row],[Birthweight Z-Score]],TRUE)*100,"")</f>
        <v/>
      </c>
      <c r="K7633" s="7" t="str">
        <f>IF(Table1[[#This Row],[Is Data Valid]]=TRUE,_xlfn.NORM.S.DIST(Table1[[#This Row],[Birthweight Z-Score (BW-10%)]],TRUE)*100,"")</f>
        <v/>
      </c>
      <c r="L7633" s="7" t="str">
        <f>IF(Table1[[#This Row],[Is Data Valid]]=TRUE,_xlfn.NORM.S.DIST(Table1[[#This Row],[Birthweight Z-Score (BW+10%)]],TRUE)*100,"")</f>
        <v/>
      </c>
    </row>
    <row r="7634" spans="1:12" x14ac:dyDescent="0.35">
      <c r="A7634" s="3"/>
      <c r="B7634" s="2"/>
      <c r="C7634" s="2"/>
      <c r="D7634" s="2" t="b">
        <f>IF(AND(NOT(ISBLANK(Table1[[#This Row],[Fetal Sex (Male, Female or Unknown)]])),ISNUMBER(Table1[[#This Row],[Birthweight (grams)]]),ISNUMBER(Table1[[#This Row],[Gestation (days)]])),TRUE,FALSE)</f>
        <v>0</v>
      </c>
      <c r="E7634" s="2" t="str">
        <f>IF(Table1[[#This Row],[Is Data Valid]]=TRUE,IF(Table1[[#This Row],[Fetal Sex (Male, Female or Unknown)]]="Male",Backend!$C$6,IF(Table1[[#This Row],[Fetal Sex (Male, Female or Unknown)]]="Female",Backend!$C$7,IF(Table1[[#This Row],[Fetal Sex (Male, Female or Unknown)]]="Unknown",Backend!$C$8,"Error"))),"")</f>
        <v/>
      </c>
      <c r="F7634" s="8" t="str">
        <f>IF(Table1[[#This Row],[Is Data Valid]]=TRUE,EXP(0.578+0.332*((Table1[[#This Row],[Gestation (days)]]+0.5)/7)-0.00354*((Table1[[#This Row],[Gestation (days)]]+0.5)/7)^2)*Table1[[#This Row],[BW40_3705]],"")</f>
        <v/>
      </c>
      <c r="G7634" s="2" t="str">
        <f>IF(Table1[[#This Row],[Is Data Valid]]=TRUE,((Table1[[#This Row],[Birthweight (grams)]]/Table1[[#This Row],[BW_GA]])-1)/(Backend!$B$4/100*Table1[[#This Row],[BW40_3705]]),"")</f>
        <v/>
      </c>
      <c r="H7634" s="7" t="str">
        <f>IF(Table1[[#This Row],[Is Data Valid]]=TRUE,((Table1[[#This Row],[Birthweight (grams)]]*0.9/Table1[[#This Row],[BW_GA]])-1)/(Backend!$B$4/100*Table1[[#This Row],[BW40_3705]]),"")</f>
        <v/>
      </c>
      <c r="I7634" s="7" t="str">
        <f>IF(Table1[[#This Row],[Is Data Valid]]=TRUE,((Table1[[#This Row],[Birthweight (grams)]]*1.1/Table1[[#This Row],[BW_GA]])-1)/(Backend!$B$4/100*Table1[[#This Row],[BW40_3705]]),"")</f>
        <v/>
      </c>
      <c r="J7634" s="7" t="str">
        <f>IF(Table1[[#This Row],[Is Data Valid]]=TRUE,_xlfn.NORM.S.DIST(Table1[[#This Row],[Birthweight Z-Score]],TRUE)*100,"")</f>
        <v/>
      </c>
      <c r="K7634" s="7" t="str">
        <f>IF(Table1[[#This Row],[Is Data Valid]]=TRUE,_xlfn.NORM.S.DIST(Table1[[#This Row],[Birthweight Z-Score (BW-10%)]],TRUE)*100,"")</f>
        <v/>
      </c>
      <c r="L7634" s="7" t="str">
        <f>IF(Table1[[#This Row],[Is Data Valid]]=TRUE,_xlfn.NORM.S.DIST(Table1[[#This Row],[Birthweight Z-Score (BW+10%)]],TRUE)*100,"")</f>
        <v/>
      </c>
    </row>
    <row r="7635" spans="1:12" x14ac:dyDescent="0.35">
      <c r="A7635" s="3"/>
      <c r="B7635" s="2"/>
      <c r="C7635" s="2"/>
      <c r="D7635" s="2" t="b">
        <f>IF(AND(NOT(ISBLANK(Table1[[#This Row],[Fetal Sex (Male, Female or Unknown)]])),ISNUMBER(Table1[[#This Row],[Birthweight (grams)]]),ISNUMBER(Table1[[#This Row],[Gestation (days)]])),TRUE,FALSE)</f>
        <v>0</v>
      </c>
      <c r="E7635" s="2" t="str">
        <f>IF(Table1[[#This Row],[Is Data Valid]]=TRUE,IF(Table1[[#This Row],[Fetal Sex (Male, Female or Unknown)]]="Male",Backend!$C$6,IF(Table1[[#This Row],[Fetal Sex (Male, Female or Unknown)]]="Female",Backend!$C$7,IF(Table1[[#This Row],[Fetal Sex (Male, Female or Unknown)]]="Unknown",Backend!$C$8,"Error"))),"")</f>
        <v/>
      </c>
      <c r="F7635" s="8" t="str">
        <f>IF(Table1[[#This Row],[Is Data Valid]]=TRUE,EXP(0.578+0.332*((Table1[[#This Row],[Gestation (days)]]+0.5)/7)-0.00354*((Table1[[#This Row],[Gestation (days)]]+0.5)/7)^2)*Table1[[#This Row],[BW40_3705]],"")</f>
        <v/>
      </c>
      <c r="G7635" s="2" t="str">
        <f>IF(Table1[[#This Row],[Is Data Valid]]=TRUE,((Table1[[#This Row],[Birthweight (grams)]]/Table1[[#This Row],[BW_GA]])-1)/(Backend!$B$4/100*Table1[[#This Row],[BW40_3705]]),"")</f>
        <v/>
      </c>
      <c r="H7635" s="7" t="str">
        <f>IF(Table1[[#This Row],[Is Data Valid]]=TRUE,((Table1[[#This Row],[Birthweight (grams)]]*0.9/Table1[[#This Row],[BW_GA]])-1)/(Backend!$B$4/100*Table1[[#This Row],[BW40_3705]]),"")</f>
        <v/>
      </c>
      <c r="I7635" s="7" t="str">
        <f>IF(Table1[[#This Row],[Is Data Valid]]=TRUE,((Table1[[#This Row],[Birthweight (grams)]]*1.1/Table1[[#This Row],[BW_GA]])-1)/(Backend!$B$4/100*Table1[[#This Row],[BW40_3705]]),"")</f>
        <v/>
      </c>
      <c r="J7635" s="7" t="str">
        <f>IF(Table1[[#This Row],[Is Data Valid]]=TRUE,_xlfn.NORM.S.DIST(Table1[[#This Row],[Birthweight Z-Score]],TRUE)*100,"")</f>
        <v/>
      </c>
      <c r="K7635" s="7" t="str">
        <f>IF(Table1[[#This Row],[Is Data Valid]]=TRUE,_xlfn.NORM.S.DIST(Table1[[#This Row],[Birthweight Z-Score (BW-10%)]],TRUE)*100,"")</f>
        <v/>
      </c>
      <c r="L7635" s="7" t="str">
        <f>IF(Table1[[#This Row],[Is Data Valid]]=TRUE,_xlfn.NORM.S.DIST(Table1[[#This Row],[Birthweight Z-Score (BW+10%)]],TRUE)*100,"")</f>
        <v/>
      </c>
    </row>
    <row r="7636" spans="1:12" x14ac:dyDescent="0.35">
      <c r="A7636" s="3"/>
      <c r="B7636" s="2"/>
      <c r="C7636" s="2"/>
      <c r="D7636" s="2" t="b">
        <f>IF(AND(NOT(ISBLANK(Table1[[#This Row],[Fetal Sex (Male, Female or Unknown)]])),ISNUMBER(Table1[[#This Row],[Birthweight (grams)]]),ISNUMBER(Table1[[#This Row],[Gestation (days)]])),TRUE,FALSE)</f>
        <v>0</v>
      </c>
      <c r="E7636" s="2" t="str">
        <f>IF(Table1[[#This Row],[Is Data Valid]]=TRUE,IF(Table1[[#This Row],[Fetal Sex (Male, Female or Unknown)]]="Male",Backend!$C$6,IF(Table1[[#This Row],[Fetal Sex (Male, Female or Unknown)]]="Female",Backend!$C$7,IF(Table1[[#This Row],[Fetal Sex (Male, Female or Unknown)]]="Unknown",Backend!$C$8,"Error"))),"")</f>
        <v/>
      </c>
      <c r="F7636" s="8" t="str">
        <f>IF(Table1[[#This Row],[Is Data Valid]]=TRUE,EXP(0.578+0.332*((Table1[[#This Row],[Gestation (days)]]+0.5)/7)-0.00354*((Table1[[#This Row],[Gestation (days)]]+0.5)/7)^2)*Table1[[#This Row],[BW40_3705]],"")</f>
        <v/>
      </c>
      <c r="G7636" s="2" t="str">
        <f>IF(Table1[[#This Row],[Is Data Valid]]=TRUE,((Table1[[#This Row],[Birthweight (grams)]]/Table1[[#This Row],[BW_GA]])-1)/(Backend!$B$4/100*Table1[[#This Row],[BW40_3705]]),"")</f>
        <v/>
      </c>
      <c r="H7636" s="7" t="str">
        <f>IF(Table1[[#This Row],[Is Data Valid]]=TRUE,((Table1[[#This Row],[Birthweight (grams)]]*0.9/Table1[[#This Row],[BW_GA]])-1)/(Backend!$B$4/100*Table1[[#This Row],[BW40_3705]]),"")</f>
        <v/>
      </c>
      <c r="I7636" s="7" t="str">
        <f>IF(Table1[[#This Row],[Is Data Valid]]=TRUE,((Table1[[#This Row],[Birthweight (grams)]]*1.1/Table1[[#This Row],[BW_GA]])-1)/(Backend!$B$4/100*Table1[[#This Row],[BW40_3705]]),"")</f>
        <v/>
      </c>
      <c r="J7636" s="7" t="str">
        <f>IF(Table1[[#This Row],[Is Data Valid]]=TRUE,_xlfn.NORM.S.DIST(Table1[[#This Row],[Birthweight Z-Score]],TRUE)*100,"")</f>
        <v/>
      </c>
      <c r="K7636" s="7" t="str">
        <f>IF(Table1[[#This Row],[Is Data Valid]]=TRUE,_xlfn.NORM.S.DIST(Table1[[#This Row],[Birthweight Z-Score (BW-10%)]],TRUE)*100,"")</f>
        <v/>
      </c>
      <c r="L7636" s="7" t="str">
        <f>IF(Table1[[#This Row],[Is Data Valid]]=TRUE,_xlfn.NORM.S.DIST(Table1[[#This Row],[Birthweight Z-Score (BW+10%)]],TRUE)*100,"")</f>
        <v/>
      </c>
    </row>
    <row r="7637" spans="1:12" x14ac:dyDescent="0.35">
      <c r="A7637" s="3"/>
      <c r="B7637" s="2"/>
      <c r="C7637" s="2"/>
      <c r="D7637" s="2" t="b">
        <f>IF(AND(NOT(ISBLANK(Table1[[#This Row],[Fetal Sex (Male, Female or Unknown)]])),ISNUMBER(Table1[[#This Row],[Birthweight (grams)]]),ISNUMBER(Table1[[#This Row],[Gestation (days)]])),TRUE,FALSE)</f>
        <v>0</v>
      </c>
      <c r="E7637" s="2" t="str">
        <f>IF(Table1[[#This Row],[Is Data Valid]]=TRUE,IF(Table1[[#This Row],[Fetal Sex (Male, Female or Unknown)]]="Male",Backend!$C$6,IF(Table1[[#This Row],[Fetal Sex (Male, Female or Unknown)]]="Female",Backend!$C$7,IF(Table1[[#This Row],[Fetal Sex (Male, Female or Unknown)]]="Unknown",Backend!$C$8,"Error"))),"")</f>
        <v/>
      </c>
      <c r="F7637" s="8" t="str">
        <f>IF(Table1[[#This Row],[Is Data Valid]]=TRUE,EXP(0.578+0.332*((Table1[[#This Row],[Gestation (days)]]+0.5)/7)-0.00354*((Table1[[#This Row],[Gestation (days)]]+0.5)/7)^2)*Table1[[#This Row],[BW40_3705]],"")</f>
        <v/>
      </c>
      <c r="G7637" s="2" t="str">
        <f>IF(Table1[[#This Row],[Is Data Valid]]=TRUE,((Table1[[#This Row],[Birthweight (grams)]]/Table1[[#This Row],[BW_GA]])-1)/(Backend!$B$4/100*Table1[[#This Row],[BW40_3705]]),"")</f>
        <v/>
      </c>
      <c r="H7637" s="7" t="str">
        <f>IF(Table1[[#This Row],[Is Data Valid]]=TRUE,((Table1[[#This Row],[Birthweight (grams)]]*0.9/Table1[[#This Row],[BW_GA]])-1)/(Backend!$B$4/100*Table1[[#This Row],[BW40_3705]]),"")</f>
        <v/>
      </c>
      <c r="I7637" s="7" t="str">
        <f>IF(Table1[[#This Row],[Is Data Valid]]=TRUE,((Table1[[#This Row],[Birthweight (grams)]]*1.1/Table1[[#This Row],[BW_GA]])-1)/(Backend!$B$4/100*Table1[[#This Row],[BW40_3705]]),"")</f>
        <v/>
      </c>
      <c r="J7637" s="7" t="str">
        <f>IF(Table1[[#This Row],[Is Data Valid]]=TRUE,_xlfn.NORM.S.DIST(Table1[[#This Row],[Birthweight Z-Score]],TRUE)*100,"")</f>
        <v/>
      </c>
      <c r="K7637" s="7" t="str">
        <f>IF(Table1[[#This Row],[Is Data Valid]]=TRUE,_xlfn.NORM.S.DIST(Table1[[#This Row],[Birthweight Z-Score (BW-10%)]],TRUE)*100,"")</f>
        <v/>
      </c>
      <c r="L7637" s="7" t="str">
        <f>IF(Table1[[#This Row],[Is Data Valid]]=TRUE,_xlfn.NORM.S.DIST(Table1[[#This Row],[Birthweight Z-Score (BW+10%)]],TRUE)*100,"")</f>
        <v/>
      </c>
    </row>
    <row r="7638" spans="1:12" x14ac:dyDescent="0.35">
      <c r="A7638" s="3"/>
      <c r="B7638" s="2"/>
      <c r="C7638" s="2"/>
      <c r="D7638" s="2" t="b">
        <f>IF(AND(NOT(ISBLANK(Table1[[#This Row],[Fetal Sex (Male, Female or Unknown)]])),ISNUMBER(Table1[[#This Row],[Birthweight (grams)]]),ISNUMBER(Table1[[#This Row],[Gestation (days)]])),TRUE,FALSE)</f>
        <v>0</v>
      </c>
      <c r="E7638" s="2" t="str">
        <f>IF(Table1[[#This Row],[Is Data Valid]]=TRUE,IF(Table1[[#This Row],[Fetal Sex (Male, Female or Unknown)]]="Male",Backend!$C$6,IF(Table1[[#This Row],[Fetal Sex (Male, Female or Unknown)]]="Female",Backend!$C$7,IF(Table1[[#This Row],[Fetal Sex (Male, Female or Unknown)]]="Unknown",Backend!$C$8,"Error"))),"")</f>
        <v/>
      </c>
      <c r="F7638" s="8" t="str">
        <f>IF(Table1[[#This Row],[Is Data Valid]]=TRUE,EXP(0.578+0.332*((Table1[[#This Row],[Gestation (days)]]+0.5)/7)-0.00354*((Table1[[#This Row],[Gestation (days)]]+0.5)/7)^2)*Table1[[#This Row],[BW40_3705]],"")</f>
        <v/>
      </c>
      <c r="G7638" s="2" t="str">
        <f>IF(Table1[[#This Row],[Is Data Valid]]=TRUE,((Table1[[#This Row],[Birthweight (grams)]]/Table1[[#This Row],[BW_GA]])-1)/(Backend!$B$4/100*Table1[[#This Row],[BW40_3705]]),"")</f>
        <v/>
      </c>
      <c r="H7638" s="7" t="str">
        <f>IF(Table1[[#This Row],[Is Data Valid]]=TRUE,((Table1[[#This Row],[Birthweight (grams)]]*0.9/Table1[[#This Row],[BW_GA]])-1)/(Backend!$B$4/100*Table1[[#This Row],[BW40_3705]]),"")</f>
        <v/>
      </c>
      <c r="I7638" s="7" t="str">
        <f>IF(Table1[[#This Row],[Is Data Valid]]=TRUE,((Table1[[#This Row],[Birthweight (grams)]]*1.1/Table1[[#This Row],[BW_GA]])-1)/(Backend!$B$4/100*Table1[[#This Row],[BW40_3705]]),"")</f>
        <v/>
      </c>
      <c r="J7638" s="7" t="str">
        <f>IF(Table1[[#This Row],[Is Data Valid]]=TRUE,_xlfn.NORM.S.DIST(Table1[[#This Row],[Birthweight Z-Score]],TRUE)*100,"")</f>
        <v/>
      </c>
      <c r="K7638" s="7" t="str">
        <f>IF(Table1[[#This Row],[Is Data Valid]]=TRUE,_xlfn.NORM.S.DIST(Table1[[#This Row],[Birthweight Z-Score (BW-10%)]],TRUE)*100,"")</f>
        <v/>
      </c>
      <c r="L7638" s="7" t="str">
        <f>IF(Table1[[#This Row],[Is Data Valid]]=TRUE,_xlfn.NORM.S.DIST(Table1[[#This Row],[Birthweight Z-Score (BW+10%)]],TRUE)*100,"")</f>
        <v/>
      </c>
    </row>
    <row r="7639" spans="1:12" x14ac:dyDescent="0.35">
      <c r="A7639" s="3"/>
      <c r="B7639" s="2"/>
      <c r="C7639" s="2"/>
      <c r="D7639" s="2" t="b">
        <f>IF(AND(NOT(ISBLANK(Table1[[#This Row],[Fetal Sex (Male, Female or Unknown)]])),ISNUMBER(Table1[[#This Row],[Birthweight (grams)]]),ISNUMBER(Table1[[#This Row],[Gestation (days)]])),TRUE,FALSE)</f>
        <v>0</v>
      </c>
      <c r="E7639" s="2" t="str">
        <f>IF(Table1[[#This Row],[Is Data Valid]]=TRUE,IF(Table1[[#This Row],[Fetal Sex (Male, Female or Unknown)]]="Male",Backend!$C$6,IF(Table1[[#This Row],[Fetal Sex (Male, Female or Unknown)]]="Female",Backend!$C$7,IF(Table1[[#This Row],[Fetal Sex (Male, Female or Unknown)]]="Unknown",Backend!$C$8,"Error"))),"")</f>
        <v/>
      </c>
      <c r="F7639" s="8" t="str">
        <f>IF(Table1[[#This Row],[Is Data Valid]]=TRUE,EXP(0.578+0.332*((Table1[[#This Row],[Gestation (days)]]+0.5)/7)-0.00354*((Table1[[#This Row],[Gestation (days)]]+0.5)/7)^2)*Table1[[#This Row],[BW40_3705]],"")</f>
        <v/>
      </c>
      <c r="G7639" s="2" t="str">
        <f>IF(Table1[[#This Row],[Is Data Valid]]=TRUE,((Table1[[#This Row],[Birthweight (grams)]]/Table1[[#This Row],[BW_GA]])-1)/(Backend!$B$4/100*Table1[[#This Row],[BW40_3705]]),"")</f>
        <v/>
      </c>
      <c r="H7639" s="7" t="str">
        <f>IF(Table1[[#This Row],[Is Data Valid]]=TRUE,((Table1[[#This Row],[Birthweight (grams)]]*0.9/Table1[[#This Row],[BW_GA]])-1)/(Backend!$B$4/100*Table1[[#This Row],[BW40_3705]]),"")</f>
        <v/>
      </c>
      <c r="I7639" s="7" t="str">
        <f>IF(Table1[[#This Row],[Is Data Valid]]=TRUE,((Table1[[#This Row],[Birthweight (grams)]]*1.1/Table1[[#This Row],[BW_GA]])-1)/(Backend!$B$4/100*Table1[[#This Row],[BW40_3705]]),"")</f>
        <v/>
      </c>
      <c r="J7639" s="7" t="str">
        <f>IF(Table1[[#This Row],[Is Data Valid]]=TRUE,_xlfn.NORM.S.DIST(Table1[[#This Row],[Birthweight Z-Score]],TRUE)*100,"")</f>
        <v/>
      </c>
      <c r="K7639" s="7" t="str">
        <f>IF(Table1[[#This Row],[Is Data Valid]]=TRUE,_xlfn.NORM.S.DIST(Table1[[#This Row],[Birthweight Z-Score (BW-10%)]],TRUE)*100,"")</f>
        <v/>
      </c>
      <c r="L7639" s="7" t="str">
        <f>IF(Table1[[#This Row],[Is Data Valid]]=TRUE,_xlfn.NORM.S.DIST(Table1[[#This Row],[Birthweight Z-Score (BW+10%)]],TRUE)*100,"")</f>
        <v/>
      </c>
    </row>
    <row r="7640" spans="1:12" x14ac:dyDescent="0.35">
      <c r="A7640" s="3"/>
      <c r="B7640" s="2"/>
      <c r="C7640" s="2"/>
      <c r="D7640" s="2" t="b">
        <f>IF(AND(NOT(ISBLANK(Table1[[#This Row],[Fetal Sex (Male, Female or Unknown)]])),ISNUMBER(Table1[[#This Row],[Birthweight (grams)]]),ISNUMBER(Table1[[#This Row],[Gestation (days)]])),TRUE,FALSE)</f>
        <v>0</v>
      </c>
      <c r="E7640" s="2" t="str">
        <f>IF(Table1[[#This Row],[Is Data Valid]]=TRUE,IF(Table1[[#This Row],[Fetal Sex (Male, Female or Unknown)]]="Male",Backend!$C$6,IF(Table1[[#This Row],[Fetal Sex (Male, Female or Unknown)]]="Female",Backend!$C$7,IF(Table1[[#This Row],[Fetal Sex (Male, Female or Unknown)]]="Unknown",Backend!$C$8,"Error"))),"")</f>
        <v/>
      </c>
      <c r="F7640" s="8" t="str">
        <f>IF(Table1[[#This Row],[Is Data Valid]]=TRUE,EXP(0.578+0.332*((Table1[[#This Row],[Gestation (days)]]+0.5)/7)-0.00354*((Table1[[#This Row],[Gestation (days)]]+0.5)/7)^2)*Table1[[#This Row],[BW40_3705]],"")</f>
        <v/>
      </c>
      <c r="G7640" s="2" t="str">
        <f>IF(Table1[[#This Row],[Is Data Valid]]=TRUE,((Table1[[#This Row],[Birthweight (grams)]]/Table1[[#This Row],[BW_GA]])-1)/(Backend!$B$4/100*Table1[[#This Row],[BW40_3705]]),"")</f>
        <v/>
      </c>
      <c r="H7640" s="7" t="str">
        <f>IF(Table1[[#This Row],[Is Data Valid]]=TRUE,((Table1[[#This Row],[Birthweight (grams)]]*0.9/Table1[[#This Row],[BW_GA]])-1)/(Backend!$B$4/100*Table1[[#This Row],[BW40_3705]]),"")</f>
        <v/>
      </c>
      <c r="I7640" s="7" t="str">
        <f>IF(Table1[[#This Row],[Is Data Valid]]=TRUE,((Table1[[#This Row],[Birthweight (grams)]]*1.1/Table1[[#This Row],[BW_GA]])-1)/(Backend!$B$4/100*Table1[[#This Row],[BW40_3705]]),"")</f>
        <v/>
      </c>
      <c r="J7640" s="7" t="str">
        <f>IF(Table1[[#This Row],[Is Data Valid]]=TRUE,_xlfn.NORM.S.DIST(Table1[[#This Row],[Birthweight Z-Score]],TRUE)*100,"")</f>
        <v/>
      </c>
      <c r="K7640" s="7" t="str">
        <f>IF(Table1[[#This Row],[Is Data Valid]]=TRUE,_xlfn.NORM.S.DIST(Table1[[#This Row],[Birthweight Z-Score (BW-10%)]],TRUE)*100,"")</f>
        <v/>
      </c>
      <c r="L7640" s="7" t="str">
        <f>IF(Table1[[#This Row],[Is Data Valid]]=TRUE,_xlfn.NORM.S.DIST(Table1[[#This Row],[Birthweight Z-Score (BW+10%)]],TRUE)*100,"")</f>
        <v/>
      </c>
    </row>
    <row r="7641" spans="1:12" x14ac:dyDescent="0.35">
      <c r="A7641" s="3"/>
      <c r="B7641" s="2"/>
      <c r="C7641" s="2"/>
      <c r="D7641" s="2" t="b">
        <f>IF(AND(NOT(ISBLANK(Table1[[#This Row],[Fetal Sex (Male, Female or Unknown)]])),ISNUMBER(Table1[[#This Row],[Birthweight (grams)]]),ISNUMBER(Table1[[#This Row],[Gestation (days)]])),TRUE,FALSE)</f>
        <v>0</v>
      </c>
      <c r="E7641" s="2" t="str">
        <f>IF(Table1[[#This Row],[Is Data Valid]]=TRUE,IF(Table1[[#This Row],[Fetal Sex (Male, Female or Unknown)]]="Male",Backend!$C$6,IF(Table1[[#This Row],[Fetal Sex (Male, Female or Unknown)]]="Female",Backend!$C$7,IF(Table1[[#This Row],[Fetal Sex (Male, Female or Unknown)]]="Unknown",Backend!$C$8,"Error"))),"")</f>
        <v/>
      </c>
      <c r="F7641" s="8" t="str">
        <f>IF(Table1[[#This Row],[Is Data Valid]]=TRUE,EXP(0.578+0.332*((Table1[[#This Row],[Gestation (days)]]+0.5)/7)-0.00354*((Table1[[#This Row],[Gestation (days)]]+0.5)/7)^2)*Table1[[#This Row],[BW40_3705]],"")</f>
        <v/>
      </c>
      <c r="G7641" s="2" t="str">
        <f>IF(Table1[[#This Row],[Is Data Valid]]=TRUE,((Table1[[#This Row],[Birthweight (grams)]]/Table1[[#This Row],[BW_GA]])-1)/(Backend!$B$4/100*Table1[[#This Row],[BW40_3705]]),"")</f>
        <v/>
      </c>
      <c r="H7641" s="7" t="str">
        <f>IF(Table1[[#This Row],[Is Data Valid]]=TRUE,((Table1[[#This Row],[Birthweight (grams)]]*0.9/Table1[[#This Row],[BW_GA]])-1)/(Backend!$B$4/100*Table1[[#This Row],[BW40_3705]]),"")</f>
        <v/>
      </c>
      <c r="I7641" s="7" t="str">
        <f>IF(Table1[[#This Row],[Is Data Valid]]=TRUE,((Table1[[#This Row],[Birthweight (grams)]]*1.1/Table1[[#This Row],[BW_GA]])-1)/(Backend!$B$4/100*Table1[[#This Row],[BW40_3705]]),"")</f>
        <v/>
      </c>
      <c r="J7641" s="7" t="str">
        <f>IF(Table1[[#This Row],[Is Data Valid]]=TRUE,_xlfn.NORM.S.DIST(Table1[[#This Row],[Birthweight Z-Score]],TRUE)*100,"")</f>
        <v/>
      </c>
      <c r="K7641" s="7" t="str">
        <f>IF(Table1[[#This Row],[Is Data Valid]]=TRUE,_xlfn.NORM.S.DIST(Table1[[#This Row],[Birthweight Z-Score (BW-10%)]],TRUE)*100,"")</f>
        <v/>
      </c>
      <c r="L7641" s="7" t="str">
        <f>IF(Table1[[#This Row],[Is Data Valid]]=TRUE,_xlfn.NORM.S.DIST(Table1[[#This Row],[Birthweight Z-Score (BW+10%)]],TRUE)*100,"")</f>
        <v/>
      </c>
    </row>
    <row r="7642" spans="1:12" x14ac:dyDescent="0.35">
      <c r="A7642" s="3"/>
      <c r="B7642" s="2"/>
      <c r="C7642" s="2"/>
      <c r="D7642" s="2" t="b">
        <f>IF(AND(NOT(ISBLANK(Table1[[#This Row],[Fetal Sex (Male, Female or Unknown)]])),ISNUMBER(Table1[[#This Row],[Birthweight (grams)]]),ISNUMBER(Table1[[#This Row],[Gestation (days)]])),TRUE,FALSE)</f>
        <v>0</v>
      </c>
      <c r="E7642" s="2" t="str">
        <f>IF(Table1[[#This Row],[Is Data Valid]]=TRUE,IF(Table1[[#This Row],[Fetal Sex (Male, Female or Unknown)]]="Male",Backend!$C$6,IF(Table1[[#This Row],[Fetal Sex (Male, Female or Unknown)]]="Female",Backend!$C$7,IF(Table1[[#This Row],[Fetal Sex (Male, Female or Unknown)]]="Unknown",Backend!$C$8,"Error"))),"")</f>
        <v/>
      </c>
      <c r="F7642" s="8" t="str">
        <f>IF(Table1[[#This Row],[Is Data Valid]]=TRUE,EXP(0.578+0.332*((Table1[[#This Row],[Gestation (days)]]+0.5)/7)-0.00354*((Table1[[#This Row],[Gestation (days)]]+0.5)/7)^2)*Table1[[#This Row],[BW40_3705]],"")</f>
        <v/>
      </c>
      <c r="G7642" s="2" t="str">
        <f>IF(Table1[[#This Row],[Is Data Valid]]=TRUE,((Table1[[#This Row],[Birthweight (grams)]]/Table1[[#This Row],[BW_GA]])-1)/(Backend!$B$4/100*Table1[[#This Row],[BW40_3705]]),"")</f>
        <v/>
      </c>
      <c r="H7642" s="7" t="str">
        <f>IF(Table1[[#This Row],[Is Data Valid]]=TRUE,((Table1[[#This Row],[Birthweight (grams)]]*0.9/Table1[[#This Row],[BW_GA]])-1)/(Backend!$B$4/100*Table1[[#This Row],[BW40_3705]]),"")</f>
        <v/>
      </c>
      <c r="I7642" s="7" t="str">
        <f>IF(Table1[[#This Row],[Is Data Valid]]=TRUE,((Table1[[#This Row],[Birthweight (grams)]]*1.1/Table1[[#This Row],[BW_GA]])-1)/(Backend!$B$4/100*Table1[[#This Row],[BW40_3705]]),"")</f>
        <v/>
      </c>
      <c r="J7642" s="7" t="str">
        <f>IF(Table1[[#This Row],[Is Data Valid]]=TRUE,_xlfn.NORM.S.DIST(Table1[[#This Row],[Birthweight Z-Score]],TRUE)*100,"")</f>
        <v/>
      </c>
      <c r="K7642" s="7" t="str">
        <f>IF(Table1[[#This Row],[Is Data Valid]]=TRUE,_xlfn.NORM.S.DIST(Table1[[#This Row],[Birthweight Z-Score (BW-10%)]],TRUE)*100,"")</f>
        <v/>
      </c>
      <c r="L7642" s="7" t="str">
        <f>IF(Table1[[#This Row],[Is Data Valid]]=TRUE,_xlfn.NORM.S.DIST(Table1[[#This Row],[Birthweight Z-Score (BW+10%)]],TRUE)*100,"")</f>
        <v/>
      </c>
    </row>
    <row r="7643" spans="1:12" x14ac:dyDescent="0.35">
      <c r="A7643" s="3"/>
      <c r="B7643" s="2"/>
      <c r="C7643" s="2"/>
      <c r="D7643" s="2" t="b">
        <f>IF(AND(NOT(ISBLANK(Table1[[#This Row],[Fetal Sex (Male, Female or Unknown)]])),ISNUMBER(Table1[[#This Row],[Birthweight (grams)]]),ISNUMBER(Table1[[#This Row],[Gestation (days)]])),TRUE,FALSE)</f>
        <v>0</v>
      </c>
      <c r="E7643" s="2" t="str">
        <f>IF(Table1[[#This Row],[Is Data Valid]]=TRUE,IF(Table1[[#This Row],[Fetal Sex (Male, Female or Unknown)]]="Male",Backend!$C$6,IF(Table1[[#This Row],[Fetal Sex (Male, Female or Unknown)]]="Female",Backend!$C$7,IF(Table1[[#This Row],[Fetal Sex (Male, Female or Unknown)]]="Unknown",Backend!$C$8,"Error"))),"")</f>
        <v/>
      </c>
      <c r="F7643" s="8" t="str">
        <f>IF(Table1[[#This Row],[Is Data Valid]]=TRUE,EXP(0.578+0.332*((Table1[[#This Row],[Gestation (days)]]+0.5)/7)-0.00354*((Table1[[#This Row],[Gestation (days)]]+0.5)/7)^2)*Table1[[#This Row],[BW40_3705]],"")</f>
        <v/>
      </c>
      <c r="G7643" s="2" t="str">
        <f>IF(Table1[[#This Row],[Is Data Valid]]=TRUE,((Table1[[#This Row],[Birthweight (grams)]]/Table1[[#This Row],[BW_GA]])-1)/(Backend!$B$4/100*Table1[[#This Row],[BW40_3705]]),"")</f>
        <v/>
      </c>
      <c r="H7643" s="7" t="str">
        <f>IF(Table1[[#This Row],[Is Data Valid]]=TRUE,((Table1[[#This Row],[Birthweight (grams)]]*0.9/Table1[[#This Row],[BW_GA]])-1)/(Backend!$B$4/100*Table1[[#This Row],[BW40_3705]]),"")</f>
        <v/>
      </c>
      <c r="I7643" s="7" t="str">
        <f>IF(Table1[[#This Row],[Is Data Valid]]=TRUE,((Table1[[#This Row],[Birthweight (grams)]]*1.1/Table1[[#This Row],[BW_GA]])-1)/(Backend!$B$4/100*Table1[[#This Row],[BW40_3705]]),"")</f>
        <v/>
      </c>
      <c r="J7643" s="7" t="str">
        <f>IF(Table1[[#This Row],[Is Data Valid]]=TRUE,_xlfn.NORM.S.DIST(Table1[[#This Row],[Birthweight Z-Score]],TRUE)*100,"")</f>
        <v/>
      </c>
      <c r="K7643" s="7" t="str">
        <f>IF(Table1[[#This Row],[Is Data Valid]]=TRUE,_xlfn.NORM.S.DIST(Table1[[#This Row],[Birthweight Z-Score (BW-10%)]],TRUE)*100,"")</f>
        <v/>
      </c>
      <c r="L7643" s="7" t="str">
        <f>IF(Table1[[#This Row],[Is Data Valid]]=TRUE,_xlfn.NORM.S.DIST(Table1[[#This Row],[Birthweight Z-Score (BW+10%)]],TRUE)*100,"")</f>
        <v/>
      </c>
    </row>
    <row r="7644" spans="1:12" x14ac:dyDescent="0.35">
      <c r="A7644" s="3"/>
      <c r="B7644" s="2"/>
      <c r="C7644" s="2"/>
      <c r="D7644" s="2" t="b">
        <f>IF(AND(NOT(ISBLANK(Table1[[#This Row],[Fetal Sex (Male, Female or Unknown)]])),ISNUMBER(Table1[[#This Row],[Birthweight (grams)]]),ISNUMBER(Table1[[#This Row],[Gestation (days)]])),TRUE,FALSE)</f>
        <v>0</v>
      </c>
      <c r="E7644" s="2" t="str">
        <f>IF(Table1[[#This Row],[Is Data Valid]]=TRUE,IF(Table1[[#This Row],[Fetal Sex (Male, Female or Unknown)]]="Male",Backend!$C$6,IF(Table1[[#This Row],[Fetal Sex (Male, Female or Unknown)]]="Female",Backend!$C$7,IF(Table1[[#This Row],[Fetal Sex (Male, Female or Unknown)]]="Unknown",Backend!$C$8,"Error"))),"")</f>
        <v/>
      </c>
      <c r="F7644" s="8" t="str">
        <f>IF(Table1[[#This Row],[Is Data Valid]]=TRUE,EXP(0.578+0.332*((Table1[[#This Row],[Gestation (days)]]+0.5)/7)-0.00354*((Table1[[#This Row],[Gestation (days)]]+0.5)/7)^2)*Table1[[#This Row],[BW40_3705]],"")</f>
        <v/>
      </c>
      <c r="G7644" s="2" t="str">
        <f>IF(Table1[[#This Row],[Is Data Valid]]=TRUE,((Table1[[#This Row],[Birthweight (grams)]]/Table1[[#This Row],[BW_GA]])-1)/(Backend!$B$4/100*Table1[[#This Row],[BW40_3705]]),"")</f>
        <v/>
      </c>
      <c r="H7644" s="7" t="str">
        <f>IF(Table1[[#This Row],[Is Data Valid]]=TRUE,((Table1[[#This Row],[Birthweight (grams)]]*0.9/Table1[[#This Row],[BW_GA]])-1)/(Backend!$B$4/100*Table1[[#This Row],[BW40_3705]]),"")</f>
        <v/>
      </c>
      <c r="I7644" s="7" t="str">
        <f>IF(Table1[[#This Row],[Is Data Valid]]=TRUE,((Table1[[#This Row],[Birthweight (grams)]]*1.1/Table1[[#This Row],[BW_GA]])-1)/(Backend!$B$4/100*Table1[[#This Row],[BW40_3705]]),"")</f>
        <v/>
      </c>
      <c r="J7644" s="7" t="str">
        <f>IF(Table1[[#This Row],[Is Data Valid]]=TRUE,_xlfn.NORM.S.DIST(Table1[[#This Row],[Birthweight Z-Score]],TRUE)*100,"")</f>
        <v/>
      </c>
      <c r="K7644" s="7" t="str">
        <f>IF(Table1[[#This Row],[Is Data Valid]]=TRUE,_xlfn.NORM.S.DIST(Table1[[#This Row],[Birthweight Z-Score (BW-10%)]],TRUE)*100,"")</f>
        <v/>
      </c>
      <c r="L7644" s="7" t="str">
        <f>IF(Table1[[#This Row],[Is Data Valid]]=TRUE,_xlfn.NORM.S.DIST(Table1[[#This Row],[Birthweight Z-Score (BW+10%)]],TRUE)*100,"")</f>
        <v/>
      </c>
    </row>
    <row r="7645" spans="1:12" x14ac:dyDescent="0.35">
      <c r="A7645" s="3"/>
      <c r="B7645" s="2"/>
      <c r="C7645" s="2"/>
      <c r="D7645" s="2" t="b">
        <f>IF(AND(NOT(ISBLANK(Table1[[#This Row],[Fetal Sex (Male, Female or Unknown)]])),ISNUMBER(Table1[[#This Row],[Birthweight (grams)]]),ISNUMBER(Table1[[#This Row],[Gestation (days)]])),TRUE,FALSE)</f>
        <v>0</v>
      </c>
      <c r="E7645" s="2" t="str">
        <f>IF(Table1[[#This Row],[Is Data Valid]]=TRUE,IF(Table1[[#This Row],[Fetal Sex (Male, Female or Unknown)]]="Male",Backend!$C$6,IF(Table1[[#This Row],[Fetal Sex (Male, Female or Unknown)]]="Female",Backend!$C$7,IF(Table1[[#This Row],[Fetal Sex (Male, Female or Unknown)]]="Unknown",Backend!$C$8,"Error"))),"")</f>
        <v/>
      </c>
      <c r="F7645" s="8" t="str">
        <f>IF(Table1[[#This Row],[Is Data Valid]]=TRUE,EXP(0.578+0.332*((Table1[[#This Row],[Gestation (days)]]+0.5)/7)-0.00354*((Table1[[#This Row],[Gestation (days)]]+0.5)/7)^2)*Table1[[#This Row],[BW40_3705]],"")</f>
        <v/>
      </c>
      <c r="G7645" s="2" t="str">
        <f>IF(Table1[[#This Row],[Is Data Valid]]=TRUE,((Table1[[#This Row],[Birthweight (grams)]]/Table1[[#This Row],[BW_GA]])-1)/(Backend!$B$4/100*Table1[[#This Row],[BW40_3705]]),"")</f>
        <v/>
      </c>
      <c r="H7645" s="7" t="str">
        <f>IF(Table1[[#This Row],[Is Data Valid]]=TRUE,((Table1[[#This Row],[Birthweight (grams)]]*0.9/Table1[[#This Row],[BW_GA]])-1)/(Backend!$B$4/100*Table1[[#This Row],[BW40_3705]]),"")</f>
        <v/>
      </c>
      <c r="I7645" s="7" t="str">
        <f>IF(Table1[[#This Row],[Is Data Valid]]=TRUE,((Table1[[#This Row],[Birthweight (grams)]]*1.1/Table1[[#This Row],[BW_GA]])-1)/(Backend!$B$4/100*Table1[[#This Row],[BW40_3705]]),"")</f>
        <v/>
      </c>
      <c r="J7645" s="7" t="str">
        <f>IF(Table1[[#This Row],[Is Data Valid]]=TRUE,_xlfn.NORM.S.DIST(Table1[[#This Row],[Birthweight Z-Score]],TRUE)*100,"")</f>
        <v/>
      </c>
      <c r="K7645" s="7" t="str">
        <f>IF(Table1[[#This Row],[Is Data Valid]]=TRUE,_xlfn.NORM.S.DIST(Table1[[#This Row],[Birthweight Z-Score (BW-10%)]],TRUE)*100,"")</f>
        <v/>
      </c>
      <c r="L7645" s="7" t="str">
        <f>IF(Table1[[#This Row],[Is Data Valid]]=TRUE,_xlfn.NORM.S.DIST(Table1[[#This Row],[Birthweight Z-Score (BW+10%)]],TRUE)*100,"")</f>
        <v/>
      </c>
    </row>
    <row r="7646" spans="1:12" x14ac:dyDescent="0.35">
      <c r="A7646" s="3"/>
      <c r="B7646" s="2"/>
      <c r="C7646" s="2"/>
      <c r="D7646" s="2" t="b">
        <f>IF(AND(NOT(ISBLANK(Table1[[#This Row],[Fetal Sex (Male, Female or Unknown)]])),ISNUMBER(Table1[[#This Row],[Birthweight (grams)]]),ISNUMBER(Table1[[#This Row],[Gestation (days)]])),TRUE,FALSE)</f>
        <v>0</v>
      </c>
      <c r="E7646" s="2" t="str">
        <f>IF(Table1[[#This Row],[Is Data Valid]]=TRUE,IF(Table1[[#This Row],[Fetal Sex (Male, Female or Unknown)]]="Male",Backend!$C$6,IF(Table1[[#This Row],[Fetal Sex (Male, Female or Unknown)]]="Female",Backend!$C$7,IF(Table1[[#This Row],[Fetal Sex (Male, Female or Unknown)]]="Unknown",Backend!$C$8,"Error"))),"")</f>
        <v/>
      </c>
      <c r="F7646" s="8" t="str">
        <f>IF(Table1[[#This Row],[Is Data Valid]]=TRUE,EXP(0.578+0.332*((Table1[[#This Row],[Gestation (days)]]+0.5)/7)-0.00354*((Table1[[#This Row],[Gestation (days)]]+0.5)/7)^2)*Table1[[#This Row],[BW40_3705]],"")</f>
        <v/>
      </c>
      <c r="G7646" s="2" t="str">
        <f>IF(Table1[[#This Row],[Is Data Valid]]=TRUE,((Table1[[#This Row],[Birthweight (grams)]]/Table1[[#This Row],[BW_GA]])-1)/(Backend!$B$4/100*Table1[[#This Row],[BW40_3705]]),"")</f>
        <v/>
      </c>
      <c r="H7646" s="7" t="str">
        <f>IF(Table1[[#This Row],[Is Data Valid]]=TRUE,((Table1[[#This Row],[Birthweight (grams)]]*0.9/Table1[[#This Row],[BW_GA]])-1)/(Backend!$B$4/100*Table1[[#This Row],[BW40_3705]]),"")</f>
        <v/>
      </c>
      <c r="I7646" s="7" t="str">
        <f>IF(Table1[[#This Row],[Is Data Valid]]=TRUE,((Table1[[#This Row],[Birthweight (grams)]]*1.1/Table1[[#This Row],[BW_GA]])-1)/(Backend!$B$4/100*Table1[[#This Row],[BW40_3705]]),"")</f>
        <v/>
      </c>
      <c r="J7646" s="7" t="str">
        <f>IF(Table1[[#This Row],[Is Data Valid]]=TRUE,_xlfn.NORM.S.DIST(Table1[[#This Row],[Birthweight Z-Score]],TRUE)*100,"")</f>
        <v/>
      </c>
      <c r="K7646" s="7" t="str">
        <f>IF(Table1[[#This Row],[Is Data Valid]]=TRUE,_xlfn.NORM.S.DIST(Table1[[#This Row],[Birthweight Z-Score (BW-10%)]],TRUE)*100,"")</f>
        <v/>
      </c>
      <c r="L7646" s="7" t="str">
        <f>IF(Table1[[#This Row],[Is Data Valid]]=TRUE,_xlfn.NORM.S.DIST(Table1[[#This Row],[Birthweight Z-Score (BW+10%)]],TRUE)*100,"")</f>
        <v/>
      </c>
    </row>
    <row r="7647" spans="1:12" x14ac:dyDescent="0.35">
      <c r="A7647" s="3"/>
      <c r="B7647" s="2"/>
      <c r="C7647" s="2"/>
      <c r="D7647" s="2" t="b">
        <f>IF(AND(NOT(ISBLANK(Table1[[#This Row],[Fetal Sex (Male, Female or Unknown)]])),ISNUMBER(Table1[[#This Row],[Birthweight (grams)]]),ISNUMBER(Table1[[#This Row],[Gestation (days)]])),TRUE,FALSE)</f>
        <v>0</v>
      </c>
      <c r="E7647" s="2" t="str">
        <f>IF(Table1[[#This Row],[Is Data Valid]]=TRUE,IF(Table1[[#This Row],[Fetal Sex (Male, Female or Unknown)]]="Male",Backend!$C$6,IF(Table1[[#This Row],[Fetal Sex (Male, Female or Unknown)]]="Female",Backend!$C$7,IF(Table1[[#This Row],[Fetal Sex (Male, Female or Unknown)]]="Unknown",Backend!$C$8,"Error"))),"")</f>
        <v/>
      </c>
      <c r="F7647" s="8" t="str">
        <f>IF(Table1[[#This Row],[Is Data Valid]]=TRUE,EXP(0.578+0.332*((Table1[[#This Row],[Gestation (days)]]+0.5)/7)-0.00354*((Table1[[#This Row],[Gestation (days)]]+0.5)/7)^2)*Table1[[#This Row],[BW40_3705]],"")</f>
        <v/>
      </c>
      <c r="G7647" s="2" t="str">
        <f>IF(Table1[[#This Row],[Is Data Valid]]=TRUE,((Table1[[#This Row],[Birthweight (grams)]]/Table1[[#This Row],[BW_GA]])-1)/(Backend!$B$4/100*Table1[[#This Row],[BW40_3705]]),"")</f>
        <v/>
      </c>
      <c r="H7647" s="7" t="str">
        <f>IF(Table1[[#This Row],[Is Data Valid]]=TRUE,((Table1[[#This Row],[Birthweight (grams)]]*0.9/Table1[[#This Row],[BW_GA]])-1)/(Backend!$B$4/100*Table1[[#This Row],[BW40_3705]]),"")</f>
        <v/>
      </c>
      <c r="I7647" s="7" t="str">
        <f>IF(Table1[[#This Row],[Is Data Valid]]=TRUE,((Table1[[#This Row],[Birthweight (grams)]]*1.1/Table1[[#This Row],[BW_GA]])-1)/(Backend!$B$4/100*Table1[[#This Row],[BW40_3705]]),"")</f>
        <v/>
      </c>
      <c r="J7647" s="7" t="str">
        <f>IF(Table1[[#This Row],[Is Data Valid]]=TRUE,_xlfn.NORM.S.DIST(Table1[[#This Row],[Birthweight Z-Score]],TRUE)*100,"")</f>
        <v/>
      </c>
      <c r="K7647" s="7" t="str">
        <f>IF(Table1[[#This Row],[Is Data Valid]]=TRUE,_xlfn.NORM.S.DIST(Table1[[#This Row],[Birthweight Z-Score (BW-10%)]],TRUE)*100,"")</f>
        <v/>
      </c>
      <c r="L7647" s="7" t="str">
        <f>IF(Table1[[#This Row],[Is Data Valid]]=TRUE,_xlfn.NORM.S.DIST(Table1[[#This Row],[Birthweight Z-Score (BW+10%)]],TRUE)*100,"")</f>
        <v/>
      </c>
    </row>
    <row r="7648" spans="1:12" x14ac:dyDescent="0.35">
      <c r="A7648" s="3"/>
      <c r="B7648" s="2"/>
      <c r="C7648" s="2"/>
      <c r="D7648" s="2" t="b">
        <f>IF(AND(NOT(ISBLANK(Table1[[#This Row],[Fetal Sex (Male, Female or Unknown)]])),ISNUMBER(Table1[[#This Row],[Birthweight (grams)]]),ISNUMBER(Table1[[#This Row],[Gestation (days)]])),TRUE,FALSE)</f>
        <v>0</v>
      </c>
      <c r="E7648" s="2" t="str">
        <f>IF(Table1[[#This Row],[Is Data Valid]]=TRUE,IF(Table1[[#This Row],[Fetal Sex (Male, Female or Unknown)]]="Male",Backend!$C$6,IF(Table1[[#This Row],[Fetal Sex (Male, Female or Unknown)]]="Female",Backend!$C$7,IF(Table1[[#This Row],[Fetal Sex (Male, Female or Unknown)]]="Unknown",Backend!$C$8,"Error"))),"")</f>
        <v/>
      </c>
      <c r="F7648" s="8" t="str">
        <f>IF(Table1[[#This Row],[Is Data Valid]]=TRUE,EXP(0.578+0.332*((Table1[[#This Row],[Gestation (days)]]+0.5)/7)-0.00354*((Table1[[#This Row],[Gestation (days)]]+0.5)/7)^2)*Table1[[#This Row],[BW40_3705]],"")</f>
        <v/>
      </c>
      <c r="G7648" s="2" t="str">
        <f>IF(Table1[[#This Row],[Is Data Valid]]=TRUE,((Table1[[#This Row],[Birthweight (grams)]]/Table1[[#This Row],[BW_GA]])-1)/(Backend!$B$4/100*Table1[[#This Row],[BW40_3705]]),"")</f>
        <v/>
      </c>
      <c r="H7648" s="7" t="str">
        <f>IF(Table1[[#This Row],[Is Data Valid]]=TRUE,((Table1[[#This Row],[Birthweight (grams)]]*0.9/Table1[[#This Row],[BW_GA]])-1)/(Backend!$B$4/100*Table1[[#This Row],[BW40_3705]]),"")</f>
        <v/>
      </c>
      <c r="I7648" s="7" t="str">
        <f>IF(Table1[[#This Row],[Is Data Valid]]=TRUE,((Table1[[#This Row],[Birthweight (grams)]]*1.1/Table1[[#This Row],[BW_GA]])-1)/(Backend!$B$4/100*Table1[[#This Row],[BW40_3705]]),"")</f>
        <v/>
      </c>
      <c r="J7648" s="7" t="str">
        <f>IF(Table1[[#This Row],[Is Data Valid]]=TRUE,_xlfn.NORM.S.DIST(Table1[[#This Row],[Birthweight Z-Score]],TRUE)*100,"")</f>
        <v/>
      </c>
      <c r="K7648" s="7" t="str">
        <f>IF(Table1[[#This Row],[Is Data Valid]]=TRUE,_xlfn.NORM.S.DIST(Table1[[#This Row],[Birthweight Z-Score (BW-10%)]],TRUE)*100,"")</f>
        <v/>
      </c>
      <c r="L7648" s="7" t="str">
        <f>IF(Table1[[#This Row],[Is Data Valid]]=TRUE,_xlfn.NORM.S.DIST(Table1[[#This Row],[Birthweight Z-Score (BW+10%)]],TRUE)*100,"")</f>
        <v/>
      </c>
    </row>
    <row r="7649" spans="1:12" x14ac:dyDescent="0.35">
      <c r="A7649" s="3"/>
      <c r="B7649" s="2"/>
      <c r="C7649" s="2"/>
      <c r="D7649" s="2" t="b">
        <f>IF(AND(NOT(ISBLANK(Table1[[#This Row],[Fetal Sex (Male, Female or Unknown)]])),ISNUMBER(Table1[[#This Row],[Birthweight (grams)]]),ISNUMBER(Table1[[#This Row],[Gestation (days)]])),TRUE,FALSE)</f>
        <v>0</v>
      </c>
      <c r="E7649" s="2" t="str">
        <f>IF(Table1[[#This Row],[Is Data Valid]]=TRUE,IF(Table1[[#This Row],[Fetal Sex (Male, Female or Unknown)]]="Male",Backend!$C$6,IF(Table1[[#This Row],[Fetal Sex (Male, Female or Unknown)]]="Female",Backend!$C$7,IF(Table1[[#This Row],[Fetal Sex (Male, Female or Unknown)]]="Unknown",Backend!$C$8,"Error"))),"")</f>
        <v/>
      </c>
      <c r="F7649" s="8" t="str">
        <f>IF(Table1[[#This Row],[Is Data Valid]]=TRUE,EXP(0.578+0.332*((Table1[[#This Row],[Gestation (days)]]+0.5)/7)-0.00354*((Table1[[#This Row],[Gestation (days)]]+0.5)/7)^2)*Table1[[#This Row],[BW40_3705]],"")</f>
        <v/>
      </c>
      <c r="G7649" s="2" t="str">
        <f>IF(Table1[[#This Row],[Is Data Valid]]=TRUE,((Table1[[#This Row],[Birthweight (grams)]]/Table1[[#This Row],[BW_GA]])-1)/(Backend!$B$4/100*Table1[[#This Row],[BW40_3705]]),"")</f>
        <v/>
      </c>
      <c r="H7649" s="7" t="str">
        <f>IF(Table1[[#This Row],[Is Data Valid]]=TRUE,((Table1[[#This Row],[Birthweight (grams)]]*0.9/Table1[[#This Row],[BW_GA]])-1)/(Backend!$B$4/100*Table1[[#This Row],[BW40_3705]]),"")</f>
        <v/>
      </c>
      <c r="I7649" s="7" t="str">
        <f>IF(Table1[[#This Row],[Is Data Valid]]=TRUE,((Table1[[#This Row],[Birthweight (grams)]]*1.1/Table1[[#This Row],[BW_GA]])-1)/(Backend!$B$4/100*Table1[[#This Row],[BW40_3705]]),"")</f>
        <v/>
      </c>
      <c r="J7649" s="7" t="str">
        <f>IF(Table1[[#This Row],[Is Data Valid]]=TRUE,_xlfn.NORM.S.DIST(Table1[[#This Row],[Birthweight Z-Score]],TRUE)*100,"")</f>
        <v/>
      </c>
      <c r="K7649" s="7" t="str">
        <f>IF(Table1[[#This Row],[Is Data Valid]]=TRUE,_xlfn.NORM.S.DIST(Table1[[#This Row],[Birthweight Z-Score (BW-10%)]],TRUE)*100,"")</f>
        <v/>
      </c>
      <c r="L7649" s="7" t="str">
        <f>IF(Table1[[#This Row],[Is Data Valid]]=TRUE,_xlfn.NORM.S.DIST(Table1[[#This Row],[Birthweight Z-Score (BW+10%)]],TRUE)*100,"")</f>
        <v/>
      </c>
    </row>
    <row r="7650" spans="1:12" x14ac:dyDescent="0.35">
      <c r="A7650" s="3"/>
      <c r="B7650" s="2"/>
      <c r="C7650" s="2"/>
      <c r="D7650" s="2" t="b">
        <f>IF(AND(NOT(ISBLANK(Table1[[#This Row],[Fetal Sex (Male, Female or Unknown)]])),ISNUMBER(Table1[[#This Row],[Birthweight (grams)]]),ISNUMBER(Table1[[#This Row],[Gestation (days)]])),TRUE,FALSE)</f>
        <v>0</v>
      </c>
      <c r="E7650" s="2" t="str">
        <f>IF(Table1[[#This Row],[Is Data Valid]]=TRUE,IF(Table1[[#This Row],[Fetal Sex (Male, Female or Unknown)]]="Male",Backend!$C$6,IF(Table1[[#This Row],[Fetal Sex (Male, Female or Unknown)]]="Female",Backend!$C$7,IF(Table1[[#This Row],[Fetal Sex (Male, Female or Unknown)]]="Unknown",Backend!$C$8,"Error"))),"")</f>
        <v/>
      </c>
      <c r="F7650" s="8" t="str">
        <f>IF(Table1[[#This Row],[Is Data Valid]]=TRUE,EXP(0.578+0.332*((Table1[[#This Row],[Gestation (days)]]+0.5)/7)-0.00354*((Table1[[#This Row],[Gestation (days)]]+0.5)/7)^2)*Table1[[#This Row],[BW40_3705]],"")</f>
        <v/>
      </c>
      <c r="G7650" s="2" t="str">
        <f>IF(Table1[[#This Row],[Is Data Valid]]=TRUE,((Table1[[#This Row],[Birthweight (grams)]]/Table1[[#This Row],[BW_GA]])-1)/(Backend!$B$4/100*Table1[[#This Row],[BW40_3705]]),"")</f>
        <v/>
      </c>
      <c r="H7650" s="7" t="str">
        <f>IF(Table1[[#This Row],[Is Data Valid]]=TRUE,((Table1[[#This Row],[Birthweight (grams)]]*0.9/Table1[[#This Row],[BW_GA]])-1)/(Backend!$B$4/100*Table1[[#This Row],[BW40_3705]]),"")</f>
        <v/>
      </c>
      <c r="I7650" s="7" t="str">
        <f>IF(Table1[[#This Row],[Is Data Valid]]=TRUE,((Table1[[#This Row],[Birthweight (grams)]]*1.1/Table1[[#This Row],[BW_GA]])-1)/(Backend!$B$4/100*Table1[[#This Row],[BW40_3705]]),"")</f>
        <v/>
      </c>
      <c r="J7650" s="7" t="str">
        <f>IF(Table1[[#This Row],[Is Data Valid]]=TRUE,_xlfn.NORM.S.DIST(Table1[[#This Row],[Birthweight Z-Score]],TRUE)*100,"")</f>
        <v/>
      </c>
      <c r="K7650" s="7" t="str">
        <f>IF(Table1[[#This Row],[Is Data Valid]]=TRUE,_xlfn.NORM.S.DIST(Table1[[#This Row],[Birthweight Z-Score (BW-10%)]],TRUE)*100,"")</f>
        <v/>
      </c>
      <c r="L7650" s="7" t="str">
        <f>IF(Table1[[#This Row],[Is Data Valid]]=TRUE,_xlfn.NORM.S.DIST(Table1[[#This Row],[Birthweight Z-Score (BW+10%)]],TRUE)*100,"")</f>
        <v/>
      </c>
    </row>
    <row r="7651" spans="1:12" x14ac:dyDescent="0.35">
      <c r="A7651" s="3"/>
      <c r="B7651" s="2"/>
      <c r="C7651" s="2"/>
      <c r="D7651" s="2" t="b">
        <f>IF(AND(NOT(ISBLANK(Table1[[#This Row],[Fetal Sex (Male, Female or Unknown)]])),ISNUMBER(Table1[[#This Row],[Birthweight (grams)]]),ISNUMBER(Table1[[#This Row],[Gestation (days)]])),TRUE,FALSE)</f>
        <v>0</v>
      </c>
      <c r="E7651" s="2" t="str">
        <f>IF(Table1[[#This Row],[Is Data Valid]]=TRUE,IF(Table1[[#This Row],[Fetal Sex (Male, Female or Unknown)]]="Male",Backend!$C$6,IF(Table1[[#This Row],[Fetal Sex (Male, Female or Unknown)]]="Female",Backend!$C$7,IF(Table1[[#This Row],[Fetal Sex (Male, Female or Unknown)]]="Unknown",Backend!$C$8,"Error"))),"")</f>
        <v/>
      </c>
      <c r="F7651" s="8" t="str">
        <f>IF(Table1[[#This Row],[Is Data Valid]]=TRUE,EXP(0.578+0.332*((Table1[[#This Row],[Gestation (days)]]+0.5)/7)-0.00354*((Table1[[#This Row],[Gestation (days)]]+0.5)/7)^2)*Table1[[#This Row],[BW40_3705]],"")</f>
        <v/>
      </c>
      <c r="G7651" s="2" t="str">
        <f>IF(Table1[[#This Row],[Is Data Valid]]=TRUE,((Table1[[#This Row],[Birthweight (grams)]]/Table1[[#This Row],[BW_GA]])-1)/(Backend!$B$4/100*Table1[[#This Row],[BW40_3705]]),"")</f>
        <v/>
      </c>
      <c r="H7651" s="7" t="str">
        <f>IF(Table1[[#This Row],[Is Data Valid]]=TRUE,((Table1[[#This Row],[Birthweight (grams)]]*0.9/Table1[[#This Row],[BW_GA]])-1)/(Backend!$B$4/100*Table1[[#This Row],[BW40_3705]]),"")</f>
        <v/>
      </c>
      <c r="I7651" s="7" t="str">
        <f>IF(Table1[[#This Row],[Is Data Valid]]=TRUE,((Table1[[#This Row],[Birthweight (grams)]]*1.1/Table1[[#This Row],[BW_GA]])-1)/(Backend!$B$4/100*Table1[[#This Row],[BW40_3705]]),"")</f>
        <v/>
      </c>
      <c r="J7651" s="7" t="str">
        <f>IF(Table1[[#This Row],[Is Data Valid]]=TRUE,_xlfn.NORM.S.DIST(Table1[[#This Row],[Birthweight Z-Score]],TRUE)*100,"")</f>
        <v/>
      </c>
      <c r="K7651" s="7" t="str">
        <f>IF(Table1[[#This Row],[Is Data Valid]]=TRUE,_xlfn.NORM.S.DIST(Table1[[#This Row],[Birthweight Z-Score (BW-10%)]],TRUE)*100,"")</f>
        <v/>
      </c>
      <c r="L7651" s="7" t="str">
        <f>IF(Table1[[#This Row],[Is Data Valid]]=TRUE,_xlfn.NORM.S.DIST(Table1[[#This Row],[Birthweight Z-Score (BW+10%)]],TRUE)*100,"")</f>
        <v/>
      </c>
    </row>
    <row r="7652" spans="1:12" x14ac:dyDescent="0.35">
      <c r="A7652" s="3"/>
      <c r="B7652" s="2"/>
      <c r="C7652" s="2"/>
      <c r="D7652" s="2" t="b">
        <f>IF(AND(NOT(ISBLANK(Table1[[#This Row],[Fetal Sex (Male, Female or Unknown)]])),ISNUMBER(Table1[[#This Row],[Birthweight (grams)]]),ISNUMBER(Table1[[#This Row],[Gestation (days)]])),TRUE,FALSE)</f>
        <v>0</v>
      </c>
      <c r="E7652" s="2" t="str">
        <f>IF(Table1[[#This Row],[Is Data Valid]]=TRUE,IF(Table1[[#This Row],[Fetal Sex (Male, Female or Unknown)]]="Male",Backend!$C$6,IF(Table1[[#This Row],[Fetal Sex (Male, Female or Unknown)]]="Female",Backend!$C$7,IF(Table1[[#This Row],[Fetal Sex (Male, Female or Unknown)]]="Unknown",Backend!$C$8,"Error"))),"")</f>
        <v/>
      </c>
      <c r="F7652" s="8" t="str">
        <f>IF(Table1[[#This Row],[Is Data Valid]]=TRUE,EXP(0.578+0.332*((Table1[[#This Row],[Gestation (days)]]+0.5)/7)-0.00354*((Table1[[#This Row],[Gestation (days)]]+0.5)/7)^2)*Table1[[#This Row],[BW40_3705]],"")</f>
        <v/>
      </c>
      <c r="G7652" s="2" t="str">
        <f>IF(Table1[[#This Row],[Is Data Valid]]=TRUE,((Table1[[#This Row],[Birthweight (grams)]]/Table1[[#This Row],[BW_GA]])-1)/(Backend!$B$4/100*Table1[[#This Row],[BW40_3705]]),"")</f>
        <v/>
      </c>
      <c r="H7652" s="7" t="str">
        <f>IF(Table1[[#This Row],[Is Data Valid]]=TRUE,((Table1[[#This Row],[Birthweight (grams)]]*0.9/Table1[[#This Row],[BW_GA]])-1)/(Backend!$B$4/100*Table1[[#This Row],[BW40_3705]]),"")</f>
        <v/>
      </c>
      <c r="I7652" s="7" t="str">
        <f>IF(Table1[[#This Row],[Is Data Valid]]=TRUE,((Table1[[#This Row],[Birthweight (grams)]]*1.1/Table1[[#This Row],[BW_GA]])-1)/(Backend!$B$4/100*Table1[[#This Row],[BW40_3705]]),"")</f>
        <v/>
      </c>
      <c r="J7652" s="7" t="str">
        <f>IF(Table1[[#This Row],[Is Data Valid]]=TRUE,_xlfn.NORM.S.DIST(Table1[[#This Row],[Birthweight Z-Score]],TRUE)*100,"")</f>
        <v/>
      </c>
      <c r="K7652" s="7" t="str">
        <f>IF(Table1[[#This Row],[Is Data Valid]]=TRUE,_xlfn.NORM.S.DIST(Table1[[#This Row],[Birthweight Z-Score (BW-10%)]],TRUE)*100,"")</f>
        <v/>
      </c>
      <c r="L7652" s="7" t="str">
        <f>IF(Table1[[#This Row],[Is Data Valid]]=TRUE,_xlfn.NORM.S.DIST(Table1[[#This Row],[Birthweight Z-Score (BW+10%)]],TRUE)*100,"")</f>
        <v/>
      </c>
    </row>
    <row r="7653" spans="1:12" x14ac:dyDescent="0.35">
      <c r="A7653" s="3"/>
      <c r="B7653" s="2"/>
      <c r="C7653" s="2"/>
      <c r="D7653" s="2" t="b">
        <f>IF(AND(NOT(ISBLANK(Table1[[#This Row],[Fetal Sex (Male, Female or Unknown)]])),ISNUMBER(Table1[[#This Row],[Birthweight (grams)]]),ISNUMBER(Table1[[#This Row],[Gestation (days)]])),TRUE,FALSE)</f>
        <v>0</v>
      </c>
      <c r="E7653" s="2" t="str">
        <f>IF(Table1[[#This Row],[Is Data Valid]]=TRUE,IF(Table1[[#This Row],[Fetal Sex (Male, Female or Unknown)]]="Male",Backend!$C$6,IF(Table1[[#This Row],[Fetal Sex (Male, Female or Unknown)]]="Female",Backend!$C$7,IF(Table1[[#This Row],[Fetal Sex (Male, Female or Unknown)]]="Unknown",Backend!$C$8,"Error"))),"")</f>
        <v/>
      </c>
      <c r="F7653" s="8" t="str">
        <f>IF(Table1[[#This Row],[Is Data Valid]]=TRUE,EXP(0.578+0.332*((Table1[[#This Row],[Gestation (days)]]+0.5)/7)-0.00354*((Table1[[#This Row],[Gestation (days)]]+0.5)/7)^2)*Table1[[#This Row],[BW40_3705]],"")</f>
        <v/>
      </c>
      <c r="G7653" s="2" t="str">
        <f>IF(Table1[[#This Row],[Is Data Valid]]=TRUE,((Table1[[#This Row],[Birthweight (grams)]]/Table1[[#This Row],[BW_GA]])-1)/(Backend!$B$4/100*Table1[[#This Row],[BW40_3705]]),"")</f>
        <v/>
      </c>
      <c r="H7653" s="7" t="str">
        <f>IF(Table1[[#This Row],[Is Data Valid]]=TRUE,((Table1[[#This Row],[Birthweight (grams)]]*0.9/Table1[[#This Row],[BW_GA]])-1)/(Backend!$B$4/100*Table1[[#This Row],[BW40_3705]]),"")</f>
        <v/>
      </c>
      <c r="I7653" s="7" t="str">
        <f>IF(Table1[[#This Row],[Is Data Valid]]=TRUE,((Table1[[#This Row],[Birthweight (grams)]]*1.1/Table1[[#This Row],[BW_GA]])-1)/(Backend!$B$4/100*Table1[[#This Row],[BW40_3705]]),"")</f>
        <v/>
      </c>
      <c r="J7653" s="7" t="str">
        <f>IF(Table1[[#This Row],[Is Data Valid]]=TRUE,_xlfn.NORM.S.DIST(Table1[[#This Row],[Birthweight Z-Score]],TRUE)*100,"")</f>
        <v/>
      </c>
      <c r="K7653" s="7" t="str">
        <f>IF(Table1[[#This Row],[Is Data Valid]]=TRUE,_xlfn.NORM.S.DIST(Table1[[#This Row],[Birthweight Z-Score (BW-10%)]],TRUE)*100,"")</f>
        <v/>
      </c>
      <c r="L7653" s="7" t="str">
        <f>IF(Table1[[#This Row],[Is Data Valid]]=TRUE,_xlfn.NORM.S.DIST(Table1[[#This Row],[Birthweight Z-Score (BW+10%)]],TRUE)*100,"")</f>
        <v/>
      </c>
    </row>
    <row r="7654" spans="1:12" x14ac:dyDescent="0.35">
      <c r="A7654" s="3"/>
      <c r="B7654" s="2"/>
      <c r="C7654" s="2"/>
      <c r="D7654" s="2" t="b">
        <f>IF(AND(NOT(ISBLANK(Table1[[#This Row],[Fetal Sex (Male, Female or Unknown)]])),ISNUMBER(Table1[[#This Row],[Birthweight (grams)]]),ISNUMBER(Table1[[#This Row],[Gestation (days)]])),TRUE,FALSE)</f>
        <v>0</v>
      </c>
      <c r="E7654" s="2" t="str">
        <f>IF(Table1[[#This Row],[Is Data Valid]]=TRUE,IF(Table1[[#This Row],[Fetal Sex (Male, Female or Unknown)]]="Male",Backend!$C$6,IF(Table1[[#This Row],[Fetal Sex (Male, Female or Unknown)]]="Female",Backend!$C$7,IF(Table1[[#This Row],[Fetal Sex (Male, Female or Unknown)]]="Unknown",Backend!$C$8,"Error"))),"")</f>
        <v/>
      </c>
      <c r="F7654" s="8" t="str">
        <f>IF(Table1[[#This Row],[Is Data Valid]]=TRUE,EXP(0.578+0.332*((Table1[[#This Row],[Gestation (days)]]+0.5)/7)-0.00354*((Table1[[#This Row],[Gestation (days)]]+0.5)/7)^2)*Table1[[#This Row],[BW40_3705]],"")</f>
        <v/>
      </c>
      <c r="G7654" s="2" t="str">
        <f>IF(Table1[[#This Row],[Is Data Valid]]=TRUE,((Table1[[#This Row],[Birthweight (grams)]]/Table1[[#This Row],[BW_GA]])-1)/(Backend!$B$4/100*Table1[[#This Row],[BW40_3705]]),"")</f>
        <v/>
      </c>
      <c r="H7654" s="7" t="str">
        <f>IF(Table1[[#This Row],[Is Data Valid]]=TRUE,((Table1[[#This Row],[Birthweight (grams)]]*0.9/Table1[[#This Row],[BW_GA]])-1)/(Backend!$B$4/100*Table1[[#This Row],[BW40_3705]]),"")</f>
        <v/>
      </c>
      <c r="I7654" s="7" t="str">
        <f>IF(Table1[[#This Row],[Is Data Valid]]=TRUE,((Table1[[#This Row],[Birthweight (grams)]]*1.1/Table1[[#This Row],[BW_GA]])-1)/(Backend!$B$4/100*Table1[[#This Row],[BW40_3705]]),"")</f>
        <v/>
      </c>
      <c r="J7654" s="7" t="str">
        <f>IF(Table1[[#This Row],[Is Data Valid]]=TRUE,_xlfn.NORM.S.DIST(Table1[[#This Row],[Birthweight Z-Score]],TRUE)*100,"")</f>
        <v/>
      </c>
      <c r="K7654" s="7" t="str">
        <f>IF(Table1[[#This Row],[Is Data Valid]]=TRUE,_xlfn.NORM.S.DIST(Table1[[#This Row],[Birthweight Z-Score (BW-10%)]],TRUE)*100,"")</f>
        <v/>
      </c>
      <c r="L7654" s="7" t="str">
        <f>IF(Table1[[#This Row],[Is Data Valid]]=TRUE,_xlfn.NORM.S.DIST(Table1[[#This Row],[Birthweight Z-Score (BW+10%)]],TRUE)*100,"")</f>
        <v/>
      </c>
    </row>
    <row r="7655" spans="1:12" x14ac:dyDescent="0.35">
      <c r="A7655" s="3"/>
      <c r="B7655" s="2"/>
      <c r="C7655" s="2"/>
      <c r="D7655" s="2" t="b">
        <f>IF(AND(NOT(ISBLANK(Table1[[#This Row],[Fetal Sex (Male, Female or Unknown)]])),ISNUMBER(Table1[[#This Row],[Birthweight (grams)]]),ISNUMBER(Table1[[#This Row],[Gestation (days)]])),TRUE,FALSE)</f>
        <v>0</v>
      </c>
      <c r="E7655" s="2" t="str">
        <f>IF(Table1[[#This Row],[Is Data Valid]]=TRUE,IF(Table1[[#This Row],[Fetal Sex (Male, Female or Unknown)]]="Male",Backend!$C$6,IF(Table1[[#This Row],[Fetal Sex (Male, Female or Unknown)]]="Female",Backend!$C$7,IF(Table1[[#This Row],[Fetal Sex (Male, Female or Unknown)]]="Unknown",Backend!$C$8,"Error"))),"")</f>
        <v/>
      </c>
      <c r="F7655" s="8" t="str">
        <f>IF(Table1[[#This Row],[Is Data Valid]]=TRUE,EXP(0.578+0.332*((Table1[[#This Row],[Gestation (days)]]+0.5)/7)-0.00354*((Table1[[#This Row],[Gestation (days)]]+0.5)/7)^2)*Table1[[#This Row],[BW40_3705]],"")</f>
        <v/>
      </c>
      <c r="G7655" s="2" t="str">
        <f>IF(Table1[[#This Row],[Is Data Valid]]=TRUE,((Table1[[#This Row],[Birthweight (grams)]]/Table1[[#This Row],[BW_GA]])-1)/(Backend!$B$4/100*Table1[[#This Row],[BW40_3705]]),"")</f>
        <v/>
      </c>
      <c r="H7655" s="7" t="str">
        <f>IF(Table1[[#This Row],[Is Data Valid]]=TRUE,((Table1[[#This Row],[Birthweight (grams)]]*0.9/Table1[[#This Row],[BW_GA]])-1)/(Backend!$B$4/100*Table1[[#This Row],[BW40_3705]]),"")</f>
        <v/>
      </c>
      <c r="I7655" s="7" t="str">
        <f>IF(Table1[[#This Row],[Is Data Valid]]=TRUE,((Table1[[#This Row],[Birthweight (grams)]]*1.1/Table1[[#This Row],[BW_GA]])-1)/(Backend!$B$4/100*Table1[[#This Row],[BW40_3705]]),"")</f>
        <v/>
      </c>
      <c r="J7655" s="7" t="str">
        <f>IF(Table1[[#This Row],[Is Data Valid]]=TRUE,_xlfn.NORM.S.DIST(Table1[[#This Row],[Birthweight Z-Score]],TRUE)*100,"")</f>
        <v/>
      </c>
      <c r="K7655" s="7" t="str">
        <f>IF(Table1[[#This Row],[Is Data Valid]]=TRUE,_xlfn.NORM.S.DIST(Table1[[#This Row],[Birthweight Z-Score (BW-10%)]],TRUE)*100,"")</f>
        <v/>
      </c>
      <c r="L7655" s="7" t="str">
        <f>IF(Table1[[#This Row],[Is Data Valid]]=TRUE,_xlfn.NORM.S.DIST(Table1[[#This Row],[Birthweight Z-Score (BW+10%)]],TRUE)*100,"")</f>
        <v/>
      </c>
    </row>
    <row r="7656" spans="1:12" x14ac:dyDescent="0.35">
      <c r="A7656" s="3"/>
      <c r="B7656" s="2"/>
      <c r="C7656" s="2"/>
      <c r="D7656" s="2" t="b">
        <f>IF(AND(NOT(ISBLANK(Table1[[#This Row],[Fetal Sex (Male, Female or Unknown)]])),ISNUMBER(Table1[[#This Row],[Birthweight (grams)]]),ISNUMBER(Table1[[#This Row],[Gestation (days)]])),TRUE,FALSE)</f>
        <v>0</v>
      </c>
      <c r="E7656" s="2" t="str">
        <f>IF(Table1[[#This Row],[Is Data Valid]]=TRUE,IF(Table1[[#This Row],[Fetal Sex (Male, Female or Unknown)]]="Male",Backend!$C$6,IF(Table1[[#This Row],[Fetal Sex (Male, Female or Unknown)]]="Female",Backend!$C$7,IF(Table1[[#This Row],[Fetal Sex (Male, Female or Unknown)]]="Unknown",Backend!$C$8,"Error"))),"")</f>
        <v/>
      </c>
      <c r="F7656" s="8" t="str">
        <f>IF(Table1[[#This Row],[Is Data Valid]]=TRUE,EXP(0.578+0.332*((Table1[[#This Row],[Gestation (days)]]+0.5)/7)-0.00354*((Table1[[#This Row],[Gestation (days)]]+0.5)/7)^2)*Table1[[#This Row],[BW40_3705]],"")</f>
        <v/>
      </c>
      <c r="G7656" s="2" t="str">
        <f>IF(Table1[[#This Row],[Is Data Valid]]=TRUE,((Table1[[#This Row],[Birthweight (grams)]]/Table1[[#This Row],[BW_GA]])-1)/(Backend!$B$4/100*Table1[[#This Row],[BW40_3705]]),"")</f>
        <v/>
      </c>
      <c r="H7656" s="7" t="str">
        <f>IF(Table1[[#This Row],[Is Data Valid]]=TRUE,((Table1[[#This Row],[Birthweight (grams)]]*0.9/Table1[[#This Row],[BW_GA]])-1)/(Backend!$B$4/100*Table1[[#This Row],[BW40_3705]]),"")</f>
        <v/>
      </c>
      <c r="I7656" s="7" t="str">
        <f>IF(Table1[[#This Row],[Is Data Valid]]=TRUE,((Table1[[#This Row],[Birthweight (grams)]]*1.1/Table1[[#This Row],[BW_GA]])-1)/(Backend!$B$4/100*Table1[[#This Row],[BW40_3705]]),"")</f>
        <v/>
      </c>
      <c r="J7656" s="7" t="str">
        <f>IF(Table1[[#This Row],[Is Data Valid]]=TRUE,_xlfn.NORM.S.DIST(Table1[[#This Row],[Birthweight Z-Score]],TRUE)*100,"")</f>
        <v/>
      </c>
      <c r="K7656" s="7" t="str">
        <f>IF(Table1[[#This Row],[Is Data Valid]]=TRUE,_xlfn.NORM.S.DIST(Table1[[#This Row],[Birthweight Z-Score (BW-10%)]],TRUE)*100,"")</f>
        <v/>
      </c>
      <c r="L7656" s="7" t="str">
        <f>IF(Table1[[#This Row],[Is Data Valid]]=TRUE,_xlfn.NORM.S.DIST(Table1[[#This Row],[Birthweight Z-Score (BW+10%)]],TRUE)*100,"")</f>
        <v/>
      </c>
    </row>
    <row r="7657" spans="1:12" x14ac:dyDescent="0.35">
      <c r="A7657" s="3"/>
      <c r="B7657" s="2"/>
      <c r="C7657" s="2"/>
      <c r="D7657" s="2" t="b">
        <f>IF(AND(NOT(ISBLANK(Table1[[#This Row],[Fetal Sex (Male, Female or Unknown)]])),ISNUMBER(Table1[[#This Row],[Birthweight (grams)]]),ISNUMBER(Table1[[#This Row],[Gestation (days)]])),TRUE,FALSE)</f>
        <v>0</v>
      </c>
      <c r="E7657" s="2" t="str">
        <f>IF(Table1[[#This Row],[Is Data Valid]]=TRUE,IF(Table1[[#This Row],[Fetal Sex (Male, Female or Unknown)]]="Male",Backend!$C$6,IF(Table1[[#This Row],[Fetal Sex (Male, Female or Unknown)]]="Female",Backend!$C$7,IF(Table1[[#This Row],[Fetal Sex (Male, Female or Unknown)]]="Unknown",Backend!$C$8,"Error"))),"")</f>
        <v/>
      </c>
      <c r="F7657" s="8" t="str">
        <f>IF(Table1[[#This Row],[Is Data Valid]]=TRUE,EXP(0.578+0.332*((Table1[[#This Row],[Gestation (days)]]+0.5)/7)-0.00354*((Table1[[#This Row],[Gestation (days)]]+0.5)/7)^2)*Table1[[#This Row],[BW40_3705]],"")</f>
        <v/>
      </c>
      <c r="G7657" s="2" t="str">
        <f>IF(Table1[[#This Row],[Is Data Valid]]=TRUE,((Table1[[#This Row],[Birthweight (grams)]]/Table1[[#This Row],[BW_GA]])-1)/(Backend!$B$4/100*Table1[[#This Row],[BW40_3705]]),"")</f>
        <v/>
      </c>
      <c r="H7657" s="7" t="str">
        <f>IF(Table1[[#This Row],[Is Data Valid]]=TRUE,((Table1[[#This Row],[Birthweight (grams)]]*0.9/Table1[[#This Row],[BW_GA]])-1)/(Backend!$B$4/100*Table1[[#This Row],[BW40_3705]]),"")</f>
        <v/>
      </c>
      <c r="I7657" s="7" t="str">
        <f>IF(Table1[[#This Row],[Is Data Valid]]=TRUE,((Table1[[#This Row],[Birthweight (grams)]]*1.1/Table1[[#This Row],[BW_GA]])-1)/(Backend!$B$4/100*Table1[[#This Row],[BW40_3705]]),"")</f>
        <v/>
      </c>
      <c r="J7657" s="7" t="str">
        <f>IF(Table1[[#This Row],[Is Data Valid]]=TRUE,_xlfn.NORM.S.DIST(Table1[[#This Row],[Birthweight Z-Score]],TRUE)*100,"")</f>
        <v/>
      </c>
      <c r="K7657" s="7" t="str">
        <f>IF(Table1[[#This Row],[Is Data Valid]]=TRUE,_xlfn.NORM.S.DIST(Table1[[#This Row],[Birthweight Z-Score (BW-10%)]],TRUE)*100,"")</f>
        <v/>
      </c>
      <c r="L7657" s="7" t="str">
        <f>IF(Table1[[#This Row],[Is Data Valid]]=TRUE,_xlfn.NORM.S.DIST(Table1[[#This Row],[Birthweight Z-Score (BW+10%)]],TRUE)*100,"")</f>
        <v/>
      </c>
    </row>
    <row r="7658" spans="1:12" x14ac:dyDescent="0.35">
      <c r="A7658" s="3"/>
      <c r="B7658" s="2"/>
      <c r="C7658" s="2"/>
      <c r="D7658" s="2" t="b">
        <f>IF(AND(NOT(ISBLANK(Table1[[#This Row],[Fetal Sex (Male, Female or Unknown)]])),ISNUMBER(Table1[[#This Row],[Birthweight (grams)]]),ISNUMBER(Table1[[#This Row],[Gestation (days)]])),TRUE,FALSE)</f>
        <v>0</v>
      </c>
      <c r="E7658" s="2" t="str">
        <f>IF(Table1[[#This Row],[Is Data Valid]]=TRUE,IF(Table1[[#This Row],[Fetal Sex (Male, Female or Unknown)]]="Male",Backend!$C$6,IF(Table1[[#This Row],[Fetal Sex (Male, Female or Unknown)]]="Female",Backend!$C$7,IF(Table1[[#This Row],[Fetal Sex (Male, Female or Unknown)]]="Unknown",Backend!$C$8,"Error"))),"")</f>
        <v/>
      </c>
      <c r="F7658" s="8" t="str">
        <f>IF(Table1[[#This Row],[Is Data Valid]]=TRUE,EXP(0.578+0.332*((Table1[[#This Row],[Gestation (days)]]+0.5)/7)-0.00354*((Table1[[#This Row],[Gestation (days)]]+0.5)/7)^2)*Table1[[#This Row],[BW40_3705]],"")</f>
        <v/>
      </c>
      <c r="G7658" s="2" t="str">
        <f>IF(Table1[[#This Row],[Is Data Valid]]=TRUE,((Table1[[#This Row],[Birthweight (grams)]]/Table1[[#This Row],[BW_GA]])-1)/(Backend!$B$4/100*Table1[[#This Row],[BW40_3705]]),"")</f>
        <v/>
      </c>
      <c r="H7658" s="7" t="str">
        <f>IF(Table1[[#This Row],[Is Data Valid]]=TRUE,((Table1[[#This Row],[Birthweight (grams)]]*0.9/Table1[[#This Row],[BW_GA]])-1)/(Backend!$B$4/100*Table1[[#This Row],[BW40_3705]]),"")</f>
        <v/>
      </c>
      <c r="I7658" s="7" t="str">
        <f>IF(Table1[[#This Row],[Is Data Valid]]=TRUE,((Table1[[#This Row],[Birthweight (grams)]]*1.1/Table1[[#This Row],[BW_GA]])-1)/(Backend!$B$4/100*Table1[[#This Row],[BW40_3705]]),"")</f>
        <v/>
      </c>
      <c r="J7658" s="7" t="str">
        <f>IF(Table1[[#This Row],[Is Data Valid]]=TRUE,_xlfn.NORM.S.DIST(Table1[[#This Row],[Birthweight Z-Score]],TRUE)*100,"")</f>
        <v/>
      </c>
      <c r="K7658" s="7" t="str">
        <f>IF(Table1[[#This Row],[Is Data Valid]]=TRUE,_xlfn.NORM.S.DIST(Table1[[#This Row],[Birthweight Z-Score (BW-10%)]],TRUE)*100,"")</f>
        <v/>
      </c>
      <c r="L7658" s="7" t="str">
        <f>IF(Table1[[#This Row],[Is Data Valid]]=TRUE,_xlfn.NORM.S.DIST(Table1[[#This Row],[Birthweight Z-Score (BW+10%)]],TRUE)*100,"")</f>
        <v/>
      </c>
    </row>
    <row r="7659" spans="1:12" x14ac:dyDescent="0.35">
      <c r="A7659" s="3"/>
      <c r="B7659" s="2"/>
      <c r="C7659" s="2"/>
      <c r="D7659" s="2" t="b">
        <f>IF(AND(NOT(ISBLANK(Table1[[#This Row],[Fetal Sex (Male, Female or Unknown)]])),ISNUMBER(Table1[[#This Row],[Birthweight (grams)]]),ISNUMBER(Table1[[#This Row],[Gestation (days)]])),TRUE,FALSE)</f>
        <v>0</v>
      </c>
      <c r="E7659" s="2" t="str">
        <f>IF(Table1[[#This Row],[Is Data Valid]]=TRUE,IF(Table1[[#This Row],[Fetal Sex (Male, Female or Unknown)]]="Male",Backend!$C$6,IF(Table1[[#This Row],[Fetal Sex (Male, Female or Unknown)]]="Female",Backend!$C$7,IF(Table1[[#This Row],[Fetal Sex (Male, Female or Unknown)]]="Unknown",Backend!$C$8,"Error"))),"")</f>
        <v/>
      </c>
      <c r="F7659" s="8" t="str">
        <f>IF(Table1[[#This Row],[Is Data Valid]]=TRUE,EXP(0.578+0.332*((Table1[[#This Row],[Gestation (days)]]+0.5)/7)-0.00354*((Table1[[#This Row],[Gestation (days)]]+0.5)/7)^2)*Table1[[#This Row],[BW40_3705]],"")</f>
        <v/>
      </c>
      <c r="G7659" s="2" t="str">
        <f>IF(Table1[[#This Row],[Is Data Valid]]=TRUE,((Table1[[#This Row],[Birthweight (grams)]]/Table1[[#This Row],[BW_GA]])-1)/(Backend!$B$4/100*Table1[[#This Row],[BW40_3705]]),"")</f>
        <v/>
      </c>
      <c r="H7659" s="7" t="str">
        <f>IF(Table1[[#This Row],[Is Data Valid]]=TRUE,((Table1[[#This Row],[Birthweight (grams)]]*0.9/Table1[[#This Row],[BW_GA]])-1)/(Backend!$B$4/100*Table1[[#This Row],[BW40_3705]]),"")</f>
        <v/>
      </c>
      <c r="I7659" s="7" t="str">
        <f>IF(Table1[[#This Row],[Is Data Valid]]=TRUE,((Table1[[#This Row],[Birthweight (grams)]]*1.1/Table1[[#This Row],[BW_GA]])-1)/(Backend!$B$4/100*Table1[[#This Row],[BW40_3705]]),"")</f>
        <v/>
      </c>
      <c r="J7659" s="7" t="str">
        <f>IF(Table1[[#This Row],[Is Data Valid]]=TRUE,_xlfn.NORM.S.DIST(Table1[[#This Row],[Birthweight Z-Score]],TRUE)*100,"")</f>
        <v/>
      </c>
      <c r="K7659" s="7" t="str">
        <f>IF(Table1[[#This Row],[Is Data Valid]]=TRUE,_xlfn.NORM.S.DIST(Table1[[#This Row],[Birthweight Z-Score (BW-10%)]],TRUE)*100,"")</f>
        <v/>
      </c>
      <c r="L7659" s="7" t="str">
        <f>IF(Table1[[#This Row],[Is Data Valid]]=TRUE,_xlfn.NORM.S.DIST(Table1[[#This Row],[Birthweight Z-Score (BW+10%)]],TRUE)*100,"")</f>
        <v/>
      </c>
    </row>
    <row r="7660" spans="1:12" x14ac:dyDescent="0.35">
      <c r="A7660" s="3"/>
      <c r="B7660" s="2"/>
      <c r="C7660" s="2"/>
      <c r="D7660" s="2" t="b">
        <f>IF(AND(NOT(ISBLANK(Table1[[#This Row],[Fetal Sex (Male, Female or Unknown)]])),ISNUMBER(Table1[[#This Row],[Birthweight (grams)]]),ISNUMBER(Table1[[#This Row],[Gestation (days)]])),TRUE,FALSE)</f>
        <v>0</v>
      </c>
      <c r="E7660" s="2" t="str">
        <f>IF(Table1[[#This Row],[Is Data Valid]]=TRUE,IF(Table1[[#This Row],[Fetal Sex (Male, Female or Unknown)]]="Male",Backend!$C$6,IF(Table1[[#This Row],[Fetal Sex (Male, Female or Unknown)]]="Female",Backend!$C$7,IF(Table1[[#This Row],[Fetal Sex (Male, Female or Unknown)]]="Unknown",Backend!$C$8,"Error"))),"")</f>
        <v/>
      </c>
      <c r="F7660" s="8" t="str">
        <f>IF(Table1[[#This Row],[Is Data Valid]]=TRUE,EXP(0.578+0.332*((Table1[[#This Row],[Gestation (days)]]+0.5)/7)-0.00354*((Table1[[#This Row],[Gestation (days)]]+0.5)/7)^2)*Table1[[#This Row],[BW40_3705]],"")</f>
        <v/>
      </c>
      <c r="G7660" s="2" t="str">
        <f>IF(Table1[[#This Row],[Is Data Valid]]=TRUE,((Table1[[#This Row],[Birthweight (grams)]]/Table1[[#This Row],[BW_GA]])-1)/(Backend!$B$4/100*Table1[[#This Row],[BW40_3705]]),"")</f>
        <v/>
      </c>
      <c r="H7660" s="7" t="str">
        <f>IF(Table1[[#This Row],[Is Data Valid]]=TRUE,((Table1[[#This Row],[Birthweight (grams)]]*0.9/Table1[[#This Row],[BW_GA]])-1)/(Backend!$B$4/100*Table1[[#This Row],[BW40_3705]]),"")</f>
        <v/>
      </c>
      <c r="I7660" s="7" t="str">
        <f>IF(Table1[[#This Row],[Is Data Valid]]=TRUE,((Table1[[#This Row],[Birthweight (grams)]]*1.1/Table1[[#This Row],[BW_GA]])-1)/(Backend!$B$4/100*Table1[[#This Row],[BW40_3705]]),"")</f>
        <v/>
      </c>
      <c r="J7660" s="7" t="str">
        <f>IF(Table1[[#This Row],[Is Data Valid]]=TRUE,_xlfn.NORM.S.DIST(Table1[[#This Row],[Birthweight Z-Score]],TRUE)*100,"")</f>
        <v/>
      </c>
      <c r="K7660" s="7" t="str">
        <f>IF(Table1[[#This Row],[Is Data Valid]]=TRUE,_xlfn.NORM.S.DIST(Table1[[#This Row],[Birthweight Z-Score (BW-10%)]],TRUE)*100,"")</f>
        <v/>
      </c>
      <c r="L7660" s="7" t="str">
        <f>IF(Table1[[#This Row],[Is Data Valid]]=TRUE,_xlfn.NORM.S.DIST(Table1[[#This Row],[Birthweight Z-Score (BW+10%)]],TRUE)*100,"")</f>
        <v/>
      </c>
    </row>
    <row r="7661" spans="1:12" x14ac:dyDescent="0.35">
      <c r="A7661" s="3"/>
      <c r="B7661" s="2"/>
      <c r="C7661" s="2"/>
      <c r="D7661" s="2" t="b">
        <f>IF(AND(NOT(ISBLANK(Table1[[#This Row],[Fetal Sex (Male, Female or Unknown)]])),ISNUMBER(Table1[[#This Row],[Birthweight (grams)]]),ISNUMBER(Table1[[#This Row],[Gestation (days)]])),TRUE,FALSE)</f>
        <v>0</v>
      </c>
      <c r="E7661" s="2" t="str">
        <f>IF(Table1[[#This Row],[Is Data Valid]]=TRUE,IF(Table1[[#This Row],[Fetal Sex (Male, Female or Unknown)]]="Male",Backend!$C$6,IF(Table1[[#This Row],[Fetal Sex (Male, Female or Unknown)]]="Female",Backend!$C$7,IF(Table1[[#This Row],[Fetal Sex (Male, Female or Unknown)]]="Unknown",Backend!$C$8,"Error"))),"")</f>
        <v/>
      </c>
      <c r="F7661" s="8" t="str">
        <f>IF(Table1[[#This Row],[Is Data Valid]]=TRUE,EXP(0.578+0.332*((Table1[[#This Row],[Gestation (days)]]+0.5)/7)-0.00354*((Table1[[#This Row],[Gestation (days)]]+0.5)/7)^2)*Table1[[#This Row],[BW40_3705]],"")</f>
        <v/>
      </c>
      <c r="G7661" s="2" t="str">
        <f>IF(Table1[[#This Row],[Is Data Valid]]=TRUE,((Table1[[#This Row],[Birthweight (grams)]]/Table1[[#This Row],[BW_GA]])-1)/(Backend!$B$4/100*Table1[[#This Row],[BW40_3705]]),"")</f>
        <v/>
      </c>
      <c r="H7661" s="7" t="str">
        <f>IF(Table1[[#This Row],[Is Data Valid]]=TRUE,((Table1[[#This Row],[Birthweight (grams)]]*0.9/Table1[[#This Row],[BW_GA]])-1)/(Backend!$B$4/100*Table1[[#This Row],[BW40_3705]]),"")</f>
        <v/>
      </c>
      <c r="I7661" s="7" t="str">
        <f>IF(Table1[[#This Row],[Is Data Valid]]=TRUE,((Table1[[#This Row],[Birthweight (grams)]]*1.1/Table1[[#This Row],[BW_GA]])-1)/(Backend!$B$4/100*Table1[[#This Row],[BW40_3705]]),"")</f>
        <v/>
      </c>
      <c r="J7661" s="7" t="str">
        <f>IF(Table1[[#This Row],[Is Data Valid]]=TRUE,_xlfn.NORM.S.DIST(Table1[[#This Row],[Birthweight Z-Score]],TRUE)*100,"")</f>
        <v/>
      </c>
      <c r="K7661" s="7" t="str">
        <f>IF(Table1[[#This Row],[Is Data Valid]]=TRUE,_xlfn.NORM.S.DIST(Table1[[#This Row],[Birthweight Z-Score (BW-10%)]],TRUE)*100,"")</f>
        <v/>
      </c>
      <c r="L7661" s="7" t="str">
        <f>IF(Table1[[#This Row],[Is Data Valid]]=TRUE,_xlfn.NORM.S.DIST(Table1[[#This Row],[Birthweight Z-Score (BW+10%)]],TRUE)*100,"")</f>
        <v/>
      </c>
    </row>
    <row r="7662" spans="1:12" x14ac:dyDescent="0.35">
      <c r="A7662" s="3"/>
      <c r="B7662" s="2"/>
      <c r="C7662" s="2"/>
      <c r="D7662" s="2" t="b">
        <f>IF(AND(NOT(ISBLANK(Table1[[#This Row],[Fetal Sex (Male, Female or Unknown)]])),ISNUMBER(Table1[[#This Row],[Birthweight (grams)]]),ISNUMBER(Table1[[#This Row],[Gestation (days)]])),TRUE,FALSE)</f>
        <v>0</v>
      </c>
      <c r="E7662" s="2" t="str">
        <f>IF(Table1[[#This Row],[Is Data Valid]]=TRUE,IF(Table1[[#This Row],[Fetal Sex (Male, Female or Unknown)]]="Male",Backend!$C$6,IF(Table1[[#This Row],[Fetal Sex (Male, Female or Unknown)]]="Female",Backend!$C$7,IF(Table1[[#This Row],[Fetal Sex (Male, Female or Unknown)]]="Unknown",Backend!$C$8,"Error"))),"")</f>
        <v/>
      </c>
      <c r="F7662" s="8" t="str">
        <f>IF(Table1[[#This Row],[Is Data Valid]]=TRUE,EXP(0.578+0.332*((Table1[[#This Row],[Gestation (days)]]+0.5)/7)-0.00354*((Table1[[#This Row],[Gestation (days)]]+0.5)/7)^2)*Table1[[#This Row],[BW40_3705]],"")</f>
        <v/>
      </c>
      <c r="G7662" s="2" t="str">
        <f>IF(Table1[[#This Row],[Is Data Valid]]=TRUE,((Table1[[#This Row],[Birthweight (grams)]]/Table1[[#This Row],[BW_GA]])-1)/(Backend!$B$4/100*Table1[[#This Row],[BW40_3705]]),"")</f>
        <v/>
      </c>
      <c r="H7662" s="7" t="str">
        <f>IF(Table1[[#This Row],[Is Data Valid]]=TRUE,((Table1[[#This Row],[Birthweight (grams)]]*0.9/Table1[[#This Row],[BW_GA]])-1)/(Backend!$B$4/100*Table1[[#This Row],[BW40_3705]]),"")</f>
        <v/>
      </c>
      <c r="I7662" s="7" t="str">
        <f>IF(Table1[[#This Row],[Is Data Valid]]=TRUE,((Table1[[#This Row],[Birthweight (grams)]]*1.1/Table1[[#This Row],[BW_GA]])-1)/(Backend!$B$4/100*Table1[[#This Row],[BW40_3705]]),"")</f>
        <v/>
      </c>
      <c r="J7662" s="7" t="str">
        <f>IF(Table1[[#This Row],[Is Data Valid]]=TRUE,_xlfn.NORM.S.DIST(Table1[[#This Row],[Birthweight Z-Score]],TRUE)*100,"")</f>
        <v/>
      </c>
      <c r="K7662" s="7" t="str">
        <f>IF(Table1[[#This Row],[Is Data Valid]]=TRUE,_xlfn.NORM.S.DIST(Table1[[#This Row],[Birthweight Z-Score (BW-10%)]],TRUE)*100,"")</f>
        <v/>
      </c>
      <c r="L7662" s="7" t="str">
        <f>IF(Table1[[#This Row],[Is Data Valid]]=TRUE,_xlfn.NORM.S.DIST(Table1[[#This Row],[Birthweight Z-Score (BW+10%)]],TRUE)*100,"")</f>
        <v/>
      </c>
    </row>
    <row r="7663" spans="1:12" x14ac:dyDescent="0.35">
      <c r="A7663" s="3"/>
      <c r="B7663" s="2"/>
      <c r="C7663" s="2"/>
      <c r="D7663" s="2" t="b">
        <f>IF(AND(NOT(ISBLANK(Table1[[#This Row],[Fetal Sex (Male, Female or Unknown)]])),ISNUMBER(Table1[[#This Row],[Birthweight (grams)]]),ISNUMBER(Table1[[#This Row],[Gestation (days)]])),TRUE,FALSE)</f>
        <v>0</v>
      </c>
      <c r="E7663" s="2" t="str">
        <f>IF(Table1[[#This Row],[Is Data Valid]]=TRUE,IF(Table1[[#This Row],[Fetal Sex (Male, Female or Unknown)]]="Male",Backend!$C$6,IF(Table1[[#This Row],[Fetal Sex (Male, Female or Unknown)]]="Female",Backend!$C$7,IF(Table1[[#This Row],[Fetal Sex (Male, Female or Unknown)]]="Unknown",Backend!$C$8,"Error"))),"")</f>
        <v/>
      </c>
      <c r="F7663" s="8" t="str">
        <f>IF(Table1[[#This Row],[Is Data Valid]]=TRUE,EXP(0.578+0.332*((Table1[[#This Row],[Gestation (days)]]+0.5)/7)-0.00354*((Table1[[#This Row],[Gestation (days)]]+0.5)/7)^2)*Table1[[#This Row],[BW40_3705]],"")</f>
        <v/>
      </c>
      <c r="G7663" s="2" t="str">
        <f>IF(Table1[[#This Row],[Is Data Valid]]=TRUE,((Table1[[#This Row],[Birthweight (grams)]]/Table1[[#This Row],[BW_GA]])-1)/(Backend!$B$4/100*Table1[[#This Row],[BW40_3705]]),"")</f>
        <v/>
      </c>
      <c r="H7663" s="7" t="str">
        <f>IF(Table1[[#This Row],[Is Data Valid]]=TRUE,((Table1[[#This Row],[Birthweight (grams)]]*0.9/Table1[[#This Row],[BW_GA]])-1)/(Backend!$B$4/100*Table1[[#This Row],[BW40_3705]]),"")</f>
        <v/>
      </c>
      <c r="I7663" s="7" t="str">
        <f>IF(Table1[[#This Row],[Is Data Valid]]=TRUE,((Table1[[#This Row],[Birthweight (grams)]]*1.1/Table1[[#This Row],[BW_GA]])-1)/(Backend!$B$4/100*Table1[[#This Row],[BW40_3705]]),"")</f>
        <v/>
      </c>
      <c r="J7663" s="7" t="str">
        <f>IF(Table1[[#This Row],[Is Data Valid]]=TRUE,_xlfn.NORM.S.DIST(Table1[[#This Row],[Birthweight Z-Score]],TRUE)*100,"")</f>
        <v/>
      </c>
      <c r="K7663" s="7" t="str">
        <f>IF(Table1[[#This Row],[Is Data Valid]]=TRUE,_xlfn.NORM.S.DIST(Table1[[#This Row],[Birthweight Z-Score (BW-10%)]],TRUE)*100,"")</f>
        <v/>
      </c>
      <c r="L7663" s="7" t="str">
        <f>IF(Table1[[#This Row],[Is Data Valid]]=TRUE,_xlfn.NORM.S.DIST(Table1[[#This Row],[Birthweight Z-Score (BW+10%)]],TRUE)*100,"")</f>
        <v/>
      </c>
    </row>
    <row r="7664" spans="1:12" x14ac:dyDescent="0.35">
      <c r="A7664" s="3"/>
      <c r="B7664" s="2"/>
      <c r="C7664" s="2"/>
      <c r="D7664" s="2" t="b">
        <f>IF(AND(NOT(ISBLANK(Table1[[#This Row],[Fetal Sex (Male, Female or Unknown)]])),ISNUMBER(Table1[[#This Row],[Birthweight (grams)]]),ISNUMBER(Table1[[#This Row],[Gestation (days)]])),TRUE,FALSE)</f>
        <v>0</v>
      </c>
      <c r="E7664" s="2" t="str">
        <f>IF(Table1[[#This Row],[Is Data Valid]]=TRUE,IF(Table1[[#This Row],[Fetal Sex (Male, Female or Unknown)]]="Male",Backend!$C$6,IF(Table1[[#This Row],[Fetal Sex (Male, Female or Unknown)]]="Female",Backend!$C$7,IF(Table1[[#This Row],[Fetal Sex (Male, Female or Unknown)]]="Unknown",Backend!$C$8,"Error"))),"")</f>
        <v/>
      </c>
      <c r="F7664" s="8" t="str">
        <f>IF(Table1[[#This Row],[Is Data Valid]]=TRUE,EXP(0.578+0.332*((Table1[[#This Row],[Gestation (days)]]+0.5)/7)-0.00354*((Table1[[#This Row],[Gestation (days)]]+0.5)/7)^2)*Table1[[#This Row],[BW40_3705]],"")</f>
        <v/>
      </c>
      <c r="G7664" s="2" t="str">
        <f>IF(Table1[[#This Row],[Is Data Valid]]=TRUE,((Table1[[#This Row],[Birthweight (grams)]]/Table1[[#This Row],[BW_GA]])-1)/(Backend!$B$4/100*Table1[[#This Row],[BW40_3705]]),"")</f>
        <v/>
      </c>
      <c r="H7664" s="7" t="str">
        <f>IF(Table1[[#This Row],[Is Data Valid]]=TRUE,((Table1[[#This Row],[Birthweight (grams)]]*0.9/Table1[[#This Row],[BW_GA]])-1)/(Backend!$B$4/100*Table1[[#This Row],[BW40_3705]]),"")</f>
        <v/>
      </c>
      <c r="I7664" s="7" t="str">
        <f>IF(Table1[[#This Row],[Is Data Valid]]=TRUE,((Table1[[#This Row],[Birthweight (grams)]]*1.1/Table1[[#This Row],[BW_GA]])-1)/(Backend!$B$4/100*Table1[[#This Row],[BW40_3705]]),"")</f>
        <v/>
      </c>
      <c r="J7664" s="7" t="str">
        <f>IF(Table1[[#This Row],[Is Data Valid]]=TRUE,_xlfn.NORM.S.DIST(Table1[[#This Row],[Birthweight Z-Score]],TRUE)*100,"")</f>
        <v/>
      </c>
      <c r="K7664" s="7" t="str">
        <f>IF(Table1[[#This Row],[Is Data Valid]]=TRUE,_xlfn.NORM.S.DIST(Table1[[#This Row],[Birthweight Z-Score (BW-10%)]],TRUE)*100,"")</f>
        <v/>
      </c>
      <c r="L7664" s="7" t="str">
        <f>IF(Table1[[#This Row],[Is Data Valid]]=TRUE,_xlfn.NORM.S.DIST(Table1[[#This Row],[Birthweight Z-Score (BW+10%)]],TRUE)*100,"")</f>
        <v/>
      </c>
    </row>
    <row r="7665" spans="1:12" x14ac:dyDescent="0.35">
      <c r="A7665" s="3"/>
      <c r="B7665" s="2"/>
      <c r="C7665" s="2"/>
      <c r="D7665" s="2" t="b">
        <f>IF(AND(NOT(ISBLANK(Table1[[#This Row],[Fetal Sex (Male, Female or Unknown)]])),ISNUMBER(Table1[[#This Row],[Birthweight (grams)]]),ISNUMBER(Table1[[#This Row],[Gestation (days)]])),TRUE,FALSE)</f>
        <v>0</v>
      </c>
      <c r="E7665" s="2" t="str">
        <f>IF(Table1[[#This Row],[Is Data Valid]]=TRUE,IF(Table1[[#This Row],[Fetal Sex (Male, Female or Unknown)]]="Male",Backend!$C$6,IF(Table1[[#This Row],[Fetal Sex (Male, Female or Unknown)]]="Female",Backend!$C$7,IF(Table1[[#This Row],[Fetal Sex (Male, Female or Unknown)]]="Unknown",Backend!$C$8,"Error"))),"")</f>
        <v/>
      </c>
      <c r="F7665" s="8" t="str">
        <f>IF(Table1[[#This Row],[Is Data Valid]]=TRUE,EXP(0.578+0.332*((Table1[[#This Row],[Gestation (days)]]+0.5)/7)-0.00354*((Table1[[#This Row],[Gestation (days)]]+0.5)/7)^2)*Table1[[#This Row],[BW40_3705]],"")</f>
        <v/>
      </c>
      <c r="G7665" s="2" t="str">
        <f>IF(Table1[[#This Row],[Is Data Valid]]=TRUE,((Table1[[#This Row],[Birthweight (grams)]]/Table1[[#This Row],[BW_GA]])-1)/(Backend!$B$4/100*Table1[[#This Row],[BW40_3705]]),"")</f>
        <v/>
      </c>
      <c r="H7665" s="7" t="str">
        <f>IF(Table1[[#This Row],[Is Data Valid]]=TRUE,((Table1[[#This Row],[Birthweight (grams)]]*0.9/Table1[[#This Row],[BW_GA]])-1)/(Backend!$B$4/100*Table1[[#This Row],[BW40_3705]]),"")</f>
        <v/>
      </c>
      <c r="I7665" s="7" t="str">
        <f>IF(Table1[[#This Row],[Is Data Valid]]=TRUE,((Table1[[#This Row],[Birthweight (grams)]]*1.1/Table1[[#This Row],[BW_GA]])-1)/(Backend!$B$4/100*Table1[[#This Row],[BW40_3705]]),"")</f>
        <v/>
      </c>
      <c r="J7665" s="7" t="str">
        <f>IF(Table1[[#This Row],[Is Data Valid]]=TRUE,_xlfn.NORM.S.DIST(Table1[[#This Row],[Birthweight Z-Score]],TRUE)*100,"")</f>
        <v/>
      </c>
      <c r="K7665" s="7" t="str">
        <f>IF(Table1[[#This Row],[Is Data Valid]]=TRUE,_xlfn.NORM.S.DIST(Table1[[#This Row],[Birthweight Z-Score (BW-10%)]],TRUE)*100,"")</f>
        <v/>
      </c>
      <c r="L7665" s="7" t="str">
        <f>IF(Table1[[#This Row],[Is Data Valid]]=TRUE,_xlfn.NORM.S.DIST(Table1[[#This Row],[Birthweight Z-Score (BW+10%)]],TRUE)*100,"")</f>
        <v/>
      </c>
    </row>
    <row r="7666" spans="1:12" x14ac:dyDescent="0.35">
      <c r="A7666" s="3"/>
      <c r="B7666" s="2"/>
      <c r="C7666" s="2"/>
      <c r="D7666" s="2" t="b">
        <f>IF(AND(NOT(ISBLANK(Table1[[#This Row],[Fetal Sex (Male, Female or Unknown)]])),ISNUMBER(Table1[[#This Row],[Birthweight (grams)]]),ISNUMBER(Table1[[#This Row],[Gestation (days)]])),TRUE,FALSE)</f>
        <v>0</v>
      </c>
      <c r="E7666" s="2" t="str">
        <f>IF(Table1[[#This Row],[Is Data Valid]]=TRUE,IF(Table1[[#This Row],[Fetal Sex (Male, Female or Unknown)]]="Male",Backend!$C$6,IF(Table1[[#This Row],[Fetal Sex (Male, Female or Unknown)]]="Female",Backend!$C$7,IF(Table1[[#This Row],[Fetal Sex (Male, Female or Unknown)]]="Unknown",Backend!$C$8,"Error"))),"")</f>
        <v/>
      </c>
      <c r="F7666" s="8" t="str">
        <f>IF(Table1[[#This Row],[Is Data Valid]]=TRUE,EXP(0.578+0.332*((Table1[[#This Row],[Gestation (days)]]+0.5)/7)-0.00354*((Table1[[#This Row],[Gestation (days)]]+0.5)/7)^2)*Table1[[#This Row],[BW40_3705]],"")</f>
        <v/>
      </c>
      <c r="G7666" s="2" t="str">
        <f>IF(Table1[[#This Row],[Is Data Valid]]=TRUE,((Table1[[#This Row],[Birthweight (grams)]]/Table1[[#This Row],[BW_GA]])-1)/(Backend!$B$4/100*Table1[[#This Row],[BW40_3705]]),"")</f>
        <v/>
      </c>
      <c r="H7666" s="7" t="str">
        <f>IF(Table1[[#This Row],[Is Data Valid]]=TRUE,((Table1[[#This Row],[Birthweight (grams)]]*0.9/Table1[[#This Row],[BW_GA]])-1)/(Backend!$B$4/100*Table1[[#This Row],[BW40_3705]]),"")</f>
        <v/>
      </c>
      <c r="I7666" s="7" t="str">
        <f>IF(Table1[[#This Row],[Is Data Valid]]=TRUE,((Table1[[#This Row],[Birthweight (grams)]]*1.1/Table1[[#This Row],[BW_GA]])-1)/(Backend!$B$4/100*Table1[[#This Row],[BW40_3705]]),"")</f>
        <v/>
      </c>
      <c r="J7666" s="7" t="str">
        <f>IF(Table1[[#This Row],[Is Data Valid]]=TRUE,_xlfn.NORM.S.DIST(Table1[[#This Row],[Birthweight Z-Score]],TRUE)*100,"")</f>
        <v/>
      </c>
      <c r="K7666" s="7" t="str">
        <f>IF(Table1[[#This Row],[Is Data Valid]]=TRUE,_xlfn.NORM.S.DIST(Table1[[#This Row],[Birthweight Z-Score (BW-10%)]],TRUE)*100,"")</f>
        <v/>
      </c>
      <c r="L7666" s="7" t="str">
        <f>IF(Table1[[#This Row],[Is Data Valid]]=TRUE,_xlfn.NORM.S.DIST(Table1[[#This Row],[Birthweight Z-Score (BW+10%)]],TRUE)*100,"")</f>
        <v/>
      </c>
    </row>
    <row r="7667" spans="1:12" x14ac:dyDescent="0.35">
      <c r="A7667" s="3"/>
      <c r="B7667" s="2"/>
      <c r="C7667" s="2"/>
      <c r="D7667" s="2" t="b">
        <f>IF(AND(NOT(ISBLANK(Table1[[#This Row],[Fetal Sex (Male, Female or Unknown)]])),ISNUMBER(Table1[[#This Row],[Birthweight (grams)]]),ISNUMBER(Table1[[#This Row],[Gestation (days)]])),TRUE,FALSE)</f>
        <v>0</v>
      </c>
      <c r="E7667" s="2" t="str">
        <f>IF(Table1[[#This Row],[Is Data Valid]]=TRUE,IF(Table1[[#This Row],[Fetal Sex (Male, Female or Unknown)]]="Male",Backend!$C$6,IF(Table1[[#This Row],[Fetal Sex (Male, Female or Unknown)]]="Female",Backend!$C$7,IF(Table1[[#This Row],[Fetal Sex (Male, Female or Unknown)]]="Unknown",Backend!$C$8,"Error"))),"")</f>
        <v/>
      </c>
      <c r="F7667" s="8" t="str">
        <f>IF(Table1[[#This Row],[Is Data Valid]]=TRUE,EXP(0.578+0.332*((Table1[[#This Row],[Gestation (days)]]+0.5)/7)-0.00354*((Table1[[#This Row],[Gestation (days)]]+0.5)/7)^2)*Table1[[#This Row],[BW40_3705]],"")</f>
        <v/>
      </c>
      <c r="G7667" s="2" t="str">
        <f>IF(Table1[[#This Row],[Is Data Valid]]=TRUE,((Table1[[#This Row],[Birthweight (grams)]]/Table1[[#This Row],[BW_GA]])-1)/(Backend!$B$4/100*Table1[[#This Row],[BW40_3705]]),"")</f>
        <v/>
      </c>
      <c r="H7667" s="7" t="str">
        <f>IF(Table1[[#This Row],[Is Data Valid]]=TRUE,((Table1[[#This Row],[Birthweight (grams)]]*0.9/Table1[[#This Row],[BW_GA]])-1)/(Backend!$B$4/100*Table1[[#This Row],[BW40_3705]]),"")</f>
        <v/>
      </c>
      <c r="I7667" s="7" t="str">
        <f>IF(Table1[[#This Row],[Is Data Valid]]=TRUE,((Table1[[#This Row],[Birthweight (grams)]]*1.1/Table1[[#This Row],[BW_GA]])-1)/(Backend!$B$4/100*Table1[[#This Row],[BW40_3705]]),"")</f>
        <v/>
      </c>
      <c r="J7667" s="7" t="str">
        <f>IF(Table1[[#This Row],[Is Data Valid]]=TRUE,_xlfn.NORM.S.DIST(Table1[[#This Row],[Birthweight Z-Score]],TRUE)*100,"")</f>
        <v/>
      </c>
      <c r="K7667" s="7" t="str">
        <f>IF(Table1[[#This Row],[Is Data Valid]]=TRUE,_xlfn.NORM.S.DIST(Table1[[#This Row],[Birthweight Z-Score (BW-10%)]],TRUE)*100,"")</f>
        <v/>
      </c>
      <c r="L7667" s="7" t="str">
        <f>IF(Table1[[#This Row],[Is Data Valid]]=TRUE,_xlfn.NORM.S.DIST(Table1[[#This Row],[Birthweight Z-Score (BW+10%)]],TRUE)*100,"")</f>
        <v/>
      </c>
    </row>
    <row r="7668" spans="1:12" x14ac:dyDescent="0.35">
      <c r="A7668" s="3"/>
      <c r="B7668" s="2"/>
      <c r="C7668" s="2"/>
      <c r="D7668" s="2" t="b">
        <f>IF(AND(NOT(ISBLANK(Table1[[#This Row],[Fetal Sex (Male, Female or Unknown)]])),ISNUMBER(Table1[[#This Row],[Birthweight (grams)]]),ISNUMBER(Table1[[#This Row],[Gestation (days)]])),TRUE,FALSE)</f>
        <v>0</v>
      </c>
      <c r="E7668" s="2" t="str">
        <f>IF(Table1[[#This Row],[Is Data Valid]]=TRUE,IF(Table1[[#This Row],[Fetal Sex (Male, Female or Unknown)]]="Male",Backend!$C$6,IF(Table1[[#This Row],[Fetal Sex (Male, Female or Unknown)]]="Female",Backend!$C$7,IF(Table1[[#This Row],[Fetal Sex (Male, Female or Unknown)]]="Unknown",Backend!$C$8,"Error"))),"")</f>
        <v/>
      </c>
      <c r="F7668" s="8" t="str">
        <f>IF(Table1[[#This Row],[Is Data Valid]]=TRUE,EXP(0.578+0.332*((Table1[[#This Row],[Gestation (days)]]+0.5)/7)-0.00354*((Table1[[#This Row],[Gestation (days)]]+0.5)/7)^2)*Table1[[#This Row],[BW40_3705]],"")</f>
        <v/>
      </c>
      <c r="G7668" s="2" t="str">
        <f>IF(Table1[[#This Row],[Is Data Valid]]=TRUE,((Table1[[#This Row],[Birthweight (grams)]]/Table1[[#This Row],[BW_GA]])-1)/(Backend!$B$4/100*Table1[[#This Row],[BW40_3705]]),"")</f>
        <v/>
      </c>
      <c r="H7668" s="7" t="str">
        <f>IF(Table1[[#This Row],[Is Data Valid]]=TRUE,((Table1[[#This Row],[Birthweight (grams)]]*0.9/Table1[[#This Row],[BW_GA]])-1)/(Backend!$B$4/100*Table1[[#This Row],[BW40_3705]]),"")</f>
        <v/>
      </c>
      <c r="I7668" s="7" t="str">
        <f>IF(Table1[[#This Row],[Is Data Valid]]=TRUE,((Table1[[#This Row],[Birthweight (grams)]]*1.1/Table1[[#This Row],[BW_GA]])-1)/(Backend!$B$4/100*Table1[[#This Row],[BW40_3705]]),"")</f>
        <v/>
      </c>
      <c r="J7668" s="7" t="str">
        <f>IF(Table1[[#This Row],[Is Data Valid]]=TRUE,_xlfn.NORM.S.DIST(Table1[[#This Row],[Birthweight Z-Score]],TRUE)*100,"")</f>
        <v/>
      </c>
      <c r="K7668" s="7" t="str">
        <f>IF(Table1[[#This Row],[Is Data Valid]]=TRUE,_xlfn.NORM.S.DIST(Table1[[#This Row],[Birthweight Z-Score (BW-10%)]],TRUE)*100,"")</f>
        <v/>
      </c>
      <c r="L7668" s="7" t="str">
        <f>IF(Table1[[#This Row],[Is Data Valid]]=TRUE,_xlfn.NORM.S.DIST(Table1[[#This Row],[Birthweight Z-Score (BW+10%)]],TRUE)*100,"")</f>
        <v/>
      </c>
    </row>
    <row r="7669" spans="1:12" x14ac:dyDescent="0.35">
      <c r="A7669" s="3"/>
      <c r="B7669" s="2"/>
      <c r="C7669" s="2"/>
      <c r="D7669" s="2" t="b">
        <f>IF(AND(NOT(ISBLANK(Table1[[#This Row],[Fetal Sex (Male, Female or Unknown)]])),ISNUMBER(Table1[[#This Row],[Birthweight (grams)]]),ISNUMBER(Table1[[#This Row],[Gestation (days)]])),TRUE,FALSE)</f>
        <v>0</v>
      </c>
      <c r="E7669" s="2" t="str">
        <f>IF(Table1[[#This Row],[Is Data Valid]]=TRUE,IF(Table1[[#This Row],[Fetal Sex (Male, Female or Unknown)]]="Male",Backend!$C$6,IF(Table1[[#This Row],[Fetal Sex (Male, Female or Unknown)]]="Female",Backend!$C$7,IF(Table1[[#This Row],[Fetal Sex (Male, Female or Unknown)]]="Unknown",Backend!$C$8,"Error"))),"")</f>
        <v/>
      </c>
      <c r="F7669" s="8" t="str">
        <f>IF(Table1[[#This Row],[Is Data Valid]]=TRUE,EXP(0.578+0.332*((Table1[[#This Row],[Gestation (days)]]+0.5)/7)-0.00354*((Table1[[#This Row],[Gestation (days)]]+0.5)/7)^2)*Table1[[#This Row],[BW40_3705]],"")</f>
        <v/>
      </c>
      <c r="G7669" s="2" t="str">
        <f>IF(Table1[[#This Row],[Is Data Valid]]=TRUE,((Table1[[#This Row],[Birthweight (grams)]]/Table1[[#This Row],[BW_GA]])-1)/(Backend!$B$4/100*Table1[[#This Row],[BW40_3705]]),"")</f>
        <v/>
      </c>
      <c r="H7669" s="7" t="str">
        <f>IF(Table1[[#This Row],[Is Data Valid]]=TRUE,((Table1[[#This Row],[Birthweight (grams)]]*0.9/Table1[[#This Row],[BW_GA]])-1)/(Backend!$B$4/100*Table1[[#This Row],[BW40_3705]]),"")</f>
        <v/>
      </c>
      <c r="I7669" s="7" t="str">
        <f>IF(Table1[[#This Row],[Is Data Valid]]=TRUE,((Table1[[#This Row],[Birthweight (grams)]]*1.1/Table1[[#This Row],[BW_GA]])-1)/(Backend!$B$4/100*Table1[[#This Row],[BW40_3705]]),"")</f>
        <v/>
      </c>
      <c r="J7669" s="7" t="str">
        <f>IF(Table1[[#This Row],[Is Data Valid]]=TRUE,_xlfn.NORM.S.DIST(Table1[[#This Row],[Birthweight Z-Score]],TRUE)*100,"")</f>
        <v/>
      </c>
      <c r="K7669" s="7" t="str">
        <f>IF(Table1[[#This Row],[Is Data Valid]]=TRUE,_xlfn.NORM.S.DIST(Table1[[#This Row],[Birthweight Z-Score (BW-10%)]],TRUE)*100,"")</f>
        <v/>
      </c>
      <c r="L7669" s="7" t="str">
        <f>IF(Table1[[#This Row],[Is Data Valid]]=TRUE,_xlfn.NORM.S.DIST(Table1[[#This Row],[Birthweight Z-Score (BW+10%)]],TRUE)*100,"")</f>
        <v/>
      </c>
    </row>
    <row r="7670" spans="1:12" x14ac:dyDescent="0.35">
      <c r="A7670" s="3"/>
      <c r="B7670" s="2"/>
      <c r="C7670" s="2"/>
      <c r="D7670" s="2" t="b">
        <f>IF(AND(NOT(ISBLANK(Table1[[#This Row],[Fetal Sex (Male, Female or Unknown)]])),ISNUMBER(Table1[[#This Row],[Birthweight (grams)]]),ISNUMBER(Table1[[#This Row],[Gestation (days)]])),TRUE,FALSE)</f>
        <v>0</v>
      </c>
      <c r="E7670" s="2" t="str">
        <f>IF(Table1[[#This Row],[Is Data Valid]]=TRUE,IF(Table1[[#This Row],[Fetal Sex (Male, Female or Unknown)]]="Male",Backend!$C$6,IF(Table1[[#This Row],[Fetal Sex (Male, Female or Unknown)]]="Female",Backend!$C$7,IF(Table1[[#This Row],[Fetal Sex (Male, Female or Unknown)]]="Unknown",Backend!$C$8,"Error"))),"")</f>
        <v/>
      </c>
      <c r="F7670" s="8" t="str">
        <f>IF(Table1[[#This Row],[Is Data Valid]]=TRUE,EXP(0.578+0.332*((Table1[[#This Row],[Gestation (days)]]+0.5)/7)-0.00354*((Table1[[#This Row],[Gestation (days)]]+0.5)/7)^2)*Table1[[#This Row],[BW40_3705]],"")</f>
        <v/>
      </c>
      <c r="G7670" s="2" t="str">
        <f>IF(Table1[[#This Row],[Is Data Valid]]=TRUE,((Table1[[#This Row],[Birthweight (grams)]]/Table1[[#This Row],[BW_GA]])-1)/(Backend!$B$4/100*Table1[[#This Row],[BW40_3705]]),"")</f>
        <v/>
      </c>
      <c r="H7670" s="7" t="str">
        <f>IF(Table1[[#This Row],[Is Data Valid]]=TRUE,((Table1[[#This Row],[Birthweight (grams)]]*0.9/Table1[[#This Row],[BW_GA]])-1)/(Backend!$B$4/100*Table1[[#This Row],[BW40_3705]]),"")</f>
        <v/>
      </c>
      <c r="I7670" s="7" t="str">
        <f>IF(Table1[[#This Row],[Is Data Valid]]=TRUE,((Table1[[#This Row],[Birthweight (grams)]]*1.1/Table1[[#This Row],[BW_GA]])-1)/(Backend!$B$4/100*Table1[[#This Row],[BW40_3705]]),"")</f>
        <v/>
      </c>
      <c r="J7670" s="7" t="str">
        <f>IF(Table1[[#This Row],[Is Data Valid]]=TRUE,_xlfn.NORM.S.DIST(Table1[[#This Row],[Birthweight Z-Score]],TRUE)*100,"")</f>
        <v/>
      </c>
      <c r="K7670" s="7" t="str">
        <f>IF(Table1[[#This Row],[Is Data Valid]]=TRUE,_xlfn.NORM.S.DIST(Table1[[#This Row],[Birthweight Z-Score (BW-10%)]],TRUE)*100,"")</f>
        <v/>
      </c>
      <c r="L7670" s="7" t="str">
        <f>IF(Table1[[#This Row],[Is Data Valid]]=TRUE,_xlfn.NORM.S.DIST(Table1[[#This Row],[Birthweight Z-Score (BW+10%)]],TRUE)*100,"")</f>
        <v/>
      </c>
    </row>
    <row r="7671" spans="1:12" x14ac:dyDescent="0.35">
      <c r="A7671" s="3"/>
      <c r="B7671" s="2"/>
      <c r="C7671" s="2"/>
      <c r="D7671" s="2" t="b">
        <f>IF(AND(NOT(ISBLANK(Table1[[#This Row],[Fetal Sex (Male, Female or Unknown)]])),ISNUMBER(Table1[[#This Row],[Birthweight (grams)]]),ISNUMBER(Table1[[#This Row],[Gestation (days)]])),TRUE,FALSE)</f>
        <v>0</v>
      </c>
      <c r="E7671" s="2" t="str">
        <f>IF(Table1[[#This Row],[Is Data Valid]]=TRUE,IF(Table1[[#This Row],[Fetal Sex (Male, Female or Unknown)]]="Male",Backend!$C$6,IF(Table1[[#This Row],[Fetal Sex (Male, Female or Unknown)]]="Female",Backend!$C$7,IF(Table1[[#This Row],[Fetal Sex (Male, Female or Unknown)]]="Unknown",Backend!$C$8,"Error"))),"")</f>
        <v/>
      </c>
      <c r="F7671" s="8" t="str">
        <f>IF(Table1[[#This Row],[Is Data Valid]]=TRUE,EXP(0.578+0.332*((Table1[[#This Row],[Gestation (days)]]+0.5)/7)-0.00354*((Table1[[#This Row],[Gestation (days)]]+0.5)/7)^2)*Table1[[#This Row],[BW40_3705]],"")</f>
        <v/>
      </c>
      <c r="G7671" s="2" t="str">
        <f>IF(Table1[[#This Row],[Is Data Valid]]=TRUE,((Table1[[#This Row],[Birthweight (grams)]]/Table1[[#This Row],[BW_GA]])-1)/(Backend!$B$4/100*Table1[[#This Row],[BW40_3705]]),"")</f>
        <v/>
      </c>
      <c r="H7671" s="7" t="str">
        <f>IF(Table1[[#This Row],[Is Data Valid]]=TRUE,((Table1[[#This Row],[Birthweight (grams)]]*0.9/Table1[[#This Row],[BW_GA]])-1)/(Backend!$B$4/100*Table1[[#This Row],[BW40_3705]]),"")</f>
        <v/>
      </c>
      <c r="I7671" s="7" t="str">
        <f>IF(Table1[[#This Row],[Is Data Valid]]=TRUE,((Table1[[#This Row],[Birthweight (grams)]]*1.1/Table1[[#This Row],[BW_GA]])-1)/(Backend!$B$4/100*Table1[[#This Row],[BW40_3705]]),"")</f>
        <v/>
      </c>
      <c r="J7671" s="7" t="str">
        <f>IF(Table1[[#This Row],[Is Data Valid]]=TRUE,_xlfn.NORM.S.DIST(Table1[[#This Row],[Birthweight Z-Score]],TRUE)*100,"")</f>
        <v/>
      </c>
      <c r="K7671" s="7" t="str">
        <f>IF(Table1[[#This Row],[Is Data Valid]]=TRUE,_xlfn.NORM.S.DIST(Table1[[#This Row],[Birthweight Z-Score (BW-10%)]],TRUE)*100,"")</f>
        <v/>
      </c>
      <c r="L7671" s="7" t="str">
        <f>IF(Table1[[#This Row],[Is Data Valid]]=TRUE,_xlfn.NORM.S.DIST(Table1[[#This Row],[Birthweight Z-Score (BW+10%)]],TRUE)*100,"")</f>
        <v/>
      </c>
    </row>
    <row r="7672" spans="1:12" x14ac:dyDescent="0.35">
      <c r="A7672" s="3"/>
      <c r="B7672" s="2"/>
      <c r="C7672" s="2"/>
      <c r="D7672" s="2" t="b">
        <f>IF(AND(NOT(ISBLANK(Table1[[#This Row],[Fetal Sex (Male, Female or Unknown)]])),ISNUMBER(Table1[[#This Row],[Birthweight (grams)]]),ISNUMBER(Table1[[#This Row],[Gestation (days)]])),TRUE,FALSE)</f>
        <v>0</v>
      </c>
      <c r="E7672" s="2" t="str">
        <f>IF(Table1[[#This Row],[Is Data Valid]]=TRUE,IF(Table1[[#This Row],[Fetal Sex (Male, Female or Unknown)]]="Male",Backend!$C$6,IF(Table1[[#This Row],[Fetal Sex (Male, Female or Unknown)]]="Female",Backend!$C$7,IF(Table1[[#This Row],[Fetal Sex (Male, Female or Unknown)]]="Unknown",Backend!$C$8,"Error"))),"")</f>
        <v/>
      </c>
      <c r="F7672" s="8" t="str">
        <f>IF(Table1[[#This Row],[Is Data Valid]]=TRUE,EXP(0.578+0.332*((Table1[[#This Row],[Gestation (days)]]+0.5)/7)-0.00354*((Table1[[#This Row],[Gestation (days)]]+0.5)/7)^2)*Table1[[#This Row],[BW40_3705]],"")</f>
        <v/>
      </c>
      <c r="G7672" s="2" t="str">
        <f>IF(Table1[[#This Row],[Is Data Valid]]=TRUE,((Table1[[#This Row],[Birthweight (grams)]]/Table1[[#This Row],[BW_GA]])-1)/(Backend!$B$4/100*Table1[[#This Row],[BW40_3705]]),"")</f>
        <v/>
      </c>
      <c r="H7672" s="7" t="str">
        <f>IF(Table1[[#This Row],[Is Data Valid]]=TRUE,((Table1[[#This Row],[Birthweight (grams)]]*0.9/Table1[[#This Row],[BW_GA]])-1)/(Backend!$B$4/100*Table1[[#This Row],[BW40_3705]]),"")</f>
        <v/>
      </c>
      <c r="I7672" s="7" t="str">
        <f>IF(Table1[[#This Row],[Is Data Valid]]=TRUE,((Table1[[#This Row],[Birthweight (grams)]]*1.1/Table1[[#This Row],[BW_GA]])-1)/(Backend!$B$4/100*Table1[[#This Row],[BW40_3705]]),"")</f>
        <v/>
      </c>
      <c r="J7672" s="7" t="str">
        <f>IF(Table1[[#This Row],[Is Data Valid]]=TRUE,_xlfn.NORM.S.DIST(Table1[[#This Row],[Birthweight Z-Score]],TRUE)*100,"")</f>
        <v/>
      </c>
      <c r="K7672" s="7" t="str">
        <f>IF(Table1[[#This Row],[Is Data Valid]]=TRUE,_xlfn.NORM.S.DIST(Table1[[#This Row],[Birthweight Z-Score (BW-10%)]],TRUE)*100,"")</f>
        <v/>
      </c>
      <c r="L7672" s="7" t="str">
        <f>IF(Table1[[#This Row],[Is Data Valid]]=TRUE,_xlfn.NORM.S.DIST(Table1[[#This Row],[Birthweight Z-Score (BW+10%)]],TRUE)*100,"")</f>
        <v/>
      </c>
    </row>
    <row r="7673" spans="1:12" x14ac:dyDescent="0.35">
      <c r="A7673" s="3"/>
      <c r="B7673" s="2"/>
      <c r="C7673" s="2"/>
      <c r="D7673" s="2" t="b">
        <f>IF(AND(NOT(ISBLANK(Table1[[#This Row],[Fetal Sex (Male, Female or Unknown)]])),ISNUMBER(Table1[[#This Row],[Birthweight (grams)]]),ISNUMBER(Table1[[#This Row],[Gestation (days)]])),TRUE,FALSE)</f>
        <v>0</v>
      </c>
      <c r="E7673" s="2" t="str">
        <f>IF(Table1[[#This Row],[Is Data Valid]]=TRUE,IF(Table1[[#This Row],[Fetal Sex (Male, Female or Unknown)]]="Male",Backend!$C$6,IF(Table1[[#This Row],[Fetal Sex (Male, Female or Unknown)]]="Female",Backend!$C$7,IF(Table1[[#This Row],[Fetal Sex (Male, Female or Unknown)]]="Unknown",Backend!$C$8,"Error"))),"")</f>
        <v/>
      </c>
      <c r="F7673" s="8" t="str">
        <f>IF(Table1[[#This Row],[Is Data Valid]]=TRUE,EXP(0.578+0.332*((Table1[[#This Row],[Gestation (days)]]+0.5)/7)-0.00354*((Table1[[#This Row],[Gestation (days)]]+0.5)/7)^2)*Table1[[#This Row],[BW40_3705]],"")</f>
        <v/>
      </c>
      <c r="G7673" s="2" t="str">
        <f>IF(Table1[[#This Row],[Is Data Valid]]=TRUE,((Table1[[#This Row],[Birthweight (grams)]]/Table1[[#This Row],[BW_GA]])-1)/(Backend!$B$4/100*Table1[[#This Row],[BW40_3705]]),"")</f>
        <v/>
      </c>
      <c r="H7673" s="7" t="str">
        <f>IF(Table1[[#This Row],[Is Data Valid]]=TRUE,((Table1[[#This Row],[Birthweight (grams)]]*0.9/Table1[[#This Row],[BW_GA]])-1)/(Backend!$B$4/100*Table1[[#This Row],[BW40_3705]]),"")</f>
        <v/>
      </c>
      <c r="I7673" s="7" t="str">
        <f>IF(Table1[[#This Row],[Is Data Valid]]=TRUE,((Table1[[#This Row],[Birthweight (grams)]]*1.1/Table1[[#This Row],[BW_GA]])-1)/(Backend!$B$4/100*Table1[[#This Row],[BW40_3705]]),"")</f>
        <v/>
      </c>
      <c r="J7673" s="7" t="str">
        <f>IF(Table1[[#This Row],[Is Data Valid]]=TRUE,_xlfn.NORM.S.DIST(Table1[[#This Row],[Birthweight Z-Score]],TRUE)*100,"")</f>
        <v/>
      </c>
      <c r="K7673" s="7" t="str">
        <f>IF(Table1[[#This Row],[Is Data Valid]]=TRUE,_xlfn.NORM.S.DIST(Table1[[#This Row],[Birthweight Z-Score (BW-10%)]],TRUE)*100,"")</f>
        <v/>
      </c>
      <c r="L7673" s="7" t="str">
        <f>IF(Table1[[#This Row],[Is Data Valid]]=TRUE,_xlfn.NORM.S.DIST(Table1[[#This Row],[Birthweight Z-Score (BW+10%)]],TRUE)*100,"")</f>
        <v/>
      </c>
    </row>
    <row r="7674" spans="1:12" x14ac:dyDescent="0.35">
      <c r="A7674" s="3"/>
      <c r="B7674" s="2"/>
      <c r="C7674" s="2"/>
      <c r="D7674" s="2" t="b">
        <f>IF(AND(NOT(ISBLANK(Table1[[#This Row],[Fetal Sex (Male, Female or Unknown)]])),ISNUMBER(Table1[[#This Row],[Birthweight (grams)]]),ISNUMBER(Table1[[#This Row],[Gestation (days)]])),TRUE,FALSE)</f>
        <v>0</v>
      </c>
      <c r="E7674" s="2" t="str">
        <f>IF(Table1[[#This Row],[Is Data Valid]]=TRUE,IF(Table1[[#This Row],[Fetal Sex (Male, Female or Unknown)]]="Male",Backend!$C$6,IF(Table1[[#This Row],[Fetal Sex (Male, Female or Unknown)]]="Female",Backend!$C$7,IF(Table1[[#This Row],[Fetal Sex (Male, Female or Unknown)]]="Unknown",Backend!$C$8,"Error"))),"")</f>
        <v/>
      </c>
      <c r="F7674" s="8" t="str">
        <f>IF(Table1[[#This Row],[Is Data Valid]]=TRUE,EXP(0.578+0.332*((Table1[[#This Row],[Gestation (days)]]+0.5)/7)-0.00354*((Table1[[#This Row],[Gestation (days)]]+0.5)/7)^2)*Table1[[#This Row],[BW40_3705]],"")</f>
        <v/>
      </c>
      <c r="G7674" s="2" t="str">
        <f>IF(Table1[[#This Row],[Is Data Valid]]=TRUE,((Table1[[#This Row],[Birthweight (grams)]]/Table1[[#This Row],[BW_GA]])-1)/(Backend!$B$4/100*Table1[[#This Row],[BW40_3705]]),"")</f>
        <v/>
      </c>
      <c r="H7674" s="7" t="str">
        <f>IF(Table1[[#This Row],[Is Data Valid]]=TRUE,((Table1[[#This Row],[Birthweight (grams)]]*0.9/Table1[[#This Row],[BW_GA]])-1)/(Backend!$B$4/100*Table1[[#This Row],[BW40_3705]]),"")</f>
        <v/>
      </c>
      <c r="I7674" s="7" t="str">
        <f>IF(Table1[[#This Row],[Is Data Valid]]=TRUE,((Table1[[#This Row],[Birthweight (grams)]]*1.1/Table1[[#This Row],[BW_GA]])-1)/(Backend!$B$4/100*Table1[[#This Row],[BW40_3705]]),"")</f>
        <v/>
      </c>
      <c r="J7674" s="7" t="str">
        <f>IF(Table1[[#This Row],[Is Data Valid]]=TRUE,_xlfn.NORM.S.DIST(Table1[[#This Row],[Birthweight Z-Score]],TRUE)*100,"")</f>
        <v/>
      </c>
      <c r="K7674" s="7" t="str">
        <f>IF(Table1[[#This Row],[Is Data Valid]]=TRUE,_xlfn.NORM.S.DIST(Table1[[#This Row],[Birthweight Z-Score (BW-10%)]],TRUE)*100,"")</f>
        <v/>
      </c>
      <c r="L7674" s="7" t="str">
        <f>IF(Table1[[#This Row],[Is Data Valid]]=TRUE,_xlfn.NORM.S.DIST(Table1[[#This Row],[Birthweight Z-Score (BW+10%)]],TRUE)*100,"")</f>
        <v/>
      </c>
    </row>
    <row r="7675" spans="1:12" x14ac:dyDescent="0.35">
      <c r="A7675" s="3"/>
      <c r="B7675" s="2"/>
      <c r="C7675" s="2"/>
      <c r="D7675" s="2" t="b">
        <f>IF(AND(NOT(ISBLANK(Table1[[#This Row],[Fetal Sex (Male, Female or Unknown)]])),ISNUMBER(Table1[[#This Row],[Birthweight (grams)]]),ISNUMBER(Table1[[#This Row],[Gestation (days)]])),TRUE,FALSE)</f>
        <v>0</v>
      </c>
      <c r="E7675" s="2" t="str">
        <f>IF(Table1[[#This Row],[Is Data Valid]]=TRUE,IF(Table1[[#This Row],[Fetal Sex (Male, Female or Unknown)]]="Male",Backend!$C$6,IF(Table1[[#This Row],[Fetal Sex (Male, Female or Unknown)]]="Female",Backend!$C$7,IF(Table1[[#This Row],[Fetal Sex (Male, Female or Unknown)]]="Unknown",Backend!$C$8,"Error"))),"")</f>
        <v/>
      </c>
      <c r="F7675" s="8" t="str">
        <f>IF(Table1[[#This Row],[Is Data Valid]]=TRUE,EXP(0.578+0.332*((Table1[[#This Row],[Gestation (days)]]+0.5)/7)-0.00354*((Table1[[#This Row],[Gestation (days)]]+0.5)/7)^2)*Table1[[#This Row],[BW40_3705]],"")</f>
        <v/>
      </c>
      <c r="G7675" s="2" t="str">
        <f>IF(Table1[[#This Row],[Is Data Valid]]=TRUE,((Table1[[#This Row],[Birthweight (grams)]]/Table1[[#This Row],[BW_GA]])-1)/(Backend!$B$4/100*Table1[[#This Row],[BW40_3705]]),"")</f>
        <v/>
      </c>
      <c r="H7675" s="7" t="str">
        <f>IF(Table1[[#This Row],[Is Data Valid]]=TRUE,((Table1[[#This Row],[Birthweight (grams)]]*0.9/Table1[[#This Row],[BW_GA]])-1)/(Backend!$B$4/100*Table1[[#This Row],[BW40_3705]]),"")</f>
        <v/>
      </c>
      <c r="I7675" s="7" t="str">
        <f>IF(Table1[[#This Row],[Is Data Valid]]=TRUE,((Table1[[#This Row],[Birthweight (grams)]]*1.1/Table1[[#This Row],[BW_GA]])-1)/(Backend!$B$4/100*Table1[[#This Row],[BW40_3705]]),"")</f>
        <v/>
      </c>
      <c r="J7675" s="7" t="str">
        <f>IF(Table1[[#This Row],[Is Data Valid]]=TRUE,_xlfn.NORM.S.DIST(Table1[[#This Row],[Birthweight Z-Score]],TRUE)*100,"")</f>
        <v/>
      </c>
      <c r="K7675" s="7" t="str">
        <f>IF(Table1[[#This Row],[Is Data Valid]]=TRUE,_xlfn.NORM.S.DIST(Table1[[#This Row],[Birthweight Z-Score (BW-10%)]],TRUE)*100,"")</f>
        <v/>
      </c>
      <c r="L7675" s="7" t="str">
        <f>IF(Table1[[#This Row],[Is Data Valid]]=TRUE,_xlfn.NORM.S.DIST(Table1[[#This Row],[Birthweight Z-Score (BW+10%)]],TRUE)*100,"")</f>
        <v/>
      </c>
    </row>
    <row r="7676" spans="1:12" x14ac:dyDescent="0.35">
      <c r="A7676" s="3"/>
      <c r="B7676" s="2"/>
      <c r="C7676" s="2"/>
      <c r="D7676" s="2" t="b">
        <f>IF(AND(NOT(ISBLANK(Table1[[#This Row],[Fetal Sex (Male, Female or Unknown)]])),ISNUMBER(Table1[[#This Row],[Birthweight (grams)]]),ISNUMBER(Table1[[#This Row],[Gestation (days)]])),TRUE,FALSE)</f>
        <v>0</v>
      </c>
      <c r="E7676" s="2" t="str">
        <f>IF(Table1[[#This Row],[Is Data Valid]]=TRUE,IF(Table1[[#This Row],[Fetal Sex (Male, Female or Unknown)]]="Male",Backend!$C$6,IF(Table1[[#This Row],[Fetal Sex (Male, Female or Unknown)]]="Female",Backend!$C$7,IF(Table1[[#This Row],[Fetal Sex (Male, Female or Unknown)]]="Unknown",Backend!$C$8,"Error"))),"")</f>
        <v/>
      </c>
      <c r="F7676" s="8" t="str">
        <f>IF(Table1[[#This Row],[Is Data Valid]]=TRUE,EXP(0.578+0.332*((Table1[[#This Row],[Gestation (days)]]+0.5)/7)-0.00354*((Table1[[#This Row],[Gestation (days)]]+0.5)/7)^2)*Table1[[#This Row],[BW40_3705]],"")</f>
        <v/>
      </c>
      <c r="G7676" s="2" t="str">
        <f>IF(Table1[[#This Row],[Is Data Valid]]=TRUE,((Table1[[#This Row],[Birthweight (grams)]]/Table1[[#This Row],[BW_GA]])-1)/(Backend!$B$4/100*Table1[[#This Row],[BW40_3705]]),"")</f>
        <v/>
      </c>
      <c r="H7676" s="7" t="str">
        <f>IF(Table1[[#This Row],[Is Data Valid]]=TRUE,((Table1[[#This Row],[Birthweight (grams)]]*0.9/Table1[[#This Row],[BW_GA]])-1)/(Backend!$B$4/100*Table1[[#This Row],[BW40_3705]]),"")</f>
        <v/>
      </c>
      <c r="I7676" s="7" t="str">
        <f>IF(Table1[[#This Row],[Is Data Valid]]=TRUE,((Table1[[#This Row],[Birthweight (grams)]]*1.1/Table1[[#This Row],[BW_GA]])-1)/(Backend!$B$4/100*Table1[[#This Row],[BW40_3705]]),"")</f>
        <v/>
      </c>
      <c r="J7676" s="7" t="str">
        <f>IF(Table1[[#This Row],[Is Data Valid]]=TRUE,_xlfn.NORM.S.DIST(Table1[[#This Row],[Birthweight Z-Score]],TRUE)*100,"")</f>
        <v/>
      </c>
      <c r="K7676" s="7" t="str">
        <f>IF(Table1[[#This Row],[Is Data Valid]]=TRUE,_xlfn.NORM.S.DIST(Table1[[#This Row],[Birthweight Z-Score (BW-10%)]],TRUE)*100,"")</f>
        <v/>
      </c>
      <c r="L7676" s="7" t="str">
        <f>IF(Table1[[#This Row],[Is Data Valid]]=TRUE,_xlfn.NORM.S.DIST(Table1[[#This Row],[Birthweight Z-Score (BW+10%)]],TRUE)*100,"")</f>
        <v/>
      </c>
    </row>
    <row r="7677" spans="1:12" x14ac:dyDescent="0.35">
      <c r="A7677" s="3"/>
      <c r="B7677" s="2"/>
      <c r="C7677" s="2"/>
      <c r="D7677" s="2" t="b">
        <f>IF(AND(NOT(ISBLANK(Table1[[#This Row],[Fetal Sex (Male, Female or Unknown)]])),ISNUMBER(Table1[[#This Row],[Birthweight (grams)]]),ISNUMBER(Table1[[#This Row],[Gestation (days)]])),TRUE,FALSE)</f>
        <v>0</v>
      </c>
      <c r="E7677" s="2" t="str">
        <f>IF(Table1[[#This Row],[Is Data Valid]]=TRUE,IF(Table1[[#This Row],[Fetal Sex (Male, Female or Unknown)]]="Male",Backend!$C$6,IF(Table1[[#This Row],[Fetal Sex (Male, Female or Unknown)]]="Female",Backend!$C$7,IF(Table1[[#This Row],[Fetal Sex (Male, Female or Unknown)]]="Unknown",Backend!$C$8,"Error"))),"")</f>
        <v/>
      </c>
      <c r="F7677" s="8" t="str">
        <f>IF(Table1[[#This Row],[Is Data Valid]]=TRUE,EXP(0.578+0.332*((Table1[[#This Row],[Gestation (days)]]+0.5)/7)-0.00354*((Table1[[#This Row],[Gestation (days)]]+0.5)/7)^2)*Table1[[#This Row],[BW40_3705]],"")</f>
        <v/>
      </c>
      <c r="G7677" s="2" t="str">
        <f>IF(Table1[[#This Row],[Is Data Valid]]=TRUE,((Table1[[#This Row],[Birthweight (grams)]]/Table1[[#This Row],[BW_GA]])-1)/(Backend!$B$4/100*Table1[[#This Row],[BW40_3705]]),"")</f>
        <v/>
      </c>
      <c r="H7677" s="7" t="str">
        <f>IF(Table1[[#This Row],[Is Data Valid]]=TRUE,((Table1[[#This Row],[Birthweight (grams)]]*0.9/Table1[[#This Row],[BW_GA]])-1)/(Backend!$B$4/100*Table1[[#This Row],[BW40_3705]]),"")</f>
        <v/>
      </c>
      <c r="I7677" s="7" t="str">
        <f>IF(Table1[[#This Row],[Is Data Valid]]=TRUE,((Table1[[#This Row],[Birthweight (grams)]]*1.1/Table1[[#This Row],[BW_GA]])-1)/(Backend!$B$4/100*Table1[[#This Row],[BW40_3705]]),"")</f>
        <v/>
      </c>
      <c r="J7677" s="7" t="str">
        <f>IF(Table1[[#This Row],[Is Data Valid]]=TRUE,_xlfn.NORM.S.DIST(Table1[[#This Row],[Birthweight Z-Score]],TRUE)*100,"")</f>
        <v/>
      </c>
      <c r="K7677" s="7" t="str">
        <f>IF(Table1[[#This Row],[Is Data Valid]]=TRUE,_xlfn.NORM.S.DIST(Table1[[#This Row],[Birthweight Z-Score (BW-10%)]],TRUE)*100,"")</f>
        <v/>
      </c>
      <c r="L7677" s="7" t="str">
        <f>IF(Table1[[#This Row],[Is Data Valid]]=TRUE,_xlfn.NORM.S.DIST(Table1[[#This Row],[Birthweight Z-Score (BW+10%)]],TRUE)*100,"")</f>
        <v/>
      </c>
    </row>
    <row r="7678" spans="1:12" x14ac:dyDescent="0.35">
      <c r="A7678" s="3"/>
      <c r="B7678" s="2"/>
      <c r="C7678" s="2"/>
      <c r="D7678" s="2" t="b">
        <f>IF(AND(NOT(ISBLANK(Table1[[#This Row],[Fetal Sex (Male, Female or Unknown)]])),ISNUMBER(Table1[[#This Row],[Birthweight (grams)]]),ISNUMBER(Table1[[#This Row],[Gestation (days)]])),TRUE,FALSE)</f>
        <v>0</v>
      </c>
      <c r="E7678" s="2" t="str">
        <f>IF(Table1[[#This Row],[Is Data Valid]]=TRUE,IF(Table1[[#This Row],[Fetal Sex (Male, Female or Unknown)]]="Male",Backend!$C$6,IF(Table1[[#This Row],[Fetal Sex (Male, Female or Unknown)]]="Female",Backend!$C$7,IF(Table1[[#This Row],[Fetal Sex (Male, Female or Unknown)]]="Unknown",Backend!$C$8,"Error"))),"")</f>
        <v/>
      </c>
      <c r="F7678" s="8" t="str">
        <f>IF(Table1[[#This Row],[Is Data Valid]]=TRUE,EXP(0.578+0.332*((Table1[[#This Row],[Gestation (days)]]+0.5)/7)-0.00354*((Table1[[#This Row],[Gestation (days)]]+0.5)/7)^2)*Table1[[#This Row],[BW40_3705]],"")</f>
        <v/>
      </c>
      <c r="G7678" s="2" t="str">
        <f>IF(Table1[[#This Row],[Is Data Valid]]=TRUE,((Table1[[#This Row],[Birthweight (grams)]]/Table1[[#This Row],[BW_GA]])-1)/(Backend!$B$4/100*Table1[[#This Row],[BW40_3705]]),"")</f>
        <v/>
      </c>
      <c r="H7678" s="7" t="str">
        <f>IF(Table1[[#This Row],[Is Data Valid]]=TRUE,((Table1[[#This Row],[Birthweight (grams)]]*0.9/Table1[[#This Row],[BW_GA]])-1)/(Backend!$B$4/100*Table1[[#This Row],[BW40_3705]]),"")</f>
        <v/>
      </c>
      <c r="I7678" s="7" t="str">
        <f>IF(Table1[[#This Row],[Is Data Valid]]=TRUE,((Table1[[#This Row],[Birthweight (grams)]]*1.1/Table1[[#This Row],[BW_GA]])-1)/(Backend!$B$4/100*Table1[[#This Row],[BW40_3705]]),"")</f>
        <v/>
      </c>
      <c r="J7678" s="7" t="str">
        <f>IF(Table1[[#This Row],[Is Data Valid]]=TRUE,_xlfn.NORM.S.DIST(Table1[[#This Row],[Birthweight Z-Score]],TRUE)*100,"")</f>
        <v/>
      </c>
      <c r="K7678" s="7" t="str">
        <f>IF(Table1[[#This Row],[Is Data Valid]]=TRUE,_xlfn.NORM.S.DIST(Table1[[#This Row],[Birthweight Z-Score (BW-10%)]],TRUE)*100,"")</f>
        <v/>
      </c>
      <c r="L7678" s="7" t="str">
        <f>IF(Table1[[#This Row],[Is Data Valid]]=TRUE,_xlfn.NORM.S.DIST(Table1[[#This Row],[Birthweight Z-Score (BW+10%)]],TRUE)*100,"")</f>
        <v/>
      </c>
    </row>
    <row r="7679" spans="1:12" x14ac:dyDescent="0.35">
      <c r="A7679" s="3"/>
      <c r="B7679" s="2"/>
      <c r="C7679" s="2"/>
      <c r="D7679" s="2" t="b">
        <f>IF(AND(NOT(ISBLANK(Table1[[#This Row],[Fetal Sex (Male, Female or Unknown)]])),ISNUMBER(Table1[[#This Row],[Birthweight (grams)]]),ISNUMBER(Table1[[#This Row],[Gestation (days)]])),TRUE,FALSE)</f>
        <v>0</v>
      </c>
      <c r="E7679" s="2" t="str">
        <f>IF(Table1[[#This Row],[Is Data Valid]]=TRUE,IF(Table1[[#This Row],[Fetal Sex (Male, Female or Unknown)]]="Male",Backend!$C$6,IF(Table1[[#This Row],[Fetal Sex (Male, Female or Unknown)]]="Female",Backend!$C$7,IF(Table1[[#This Row],[Fetal Sex (Male, Female or Unknown)]]="Unknown",Backend!$C$8,"Error"))),"")</f>
        <v/>
      </c>
      <c r="F7679" s="8" t="str">
        <f>IF(Table1[[#This Row],[Is Data Valid]]=TRUE,EXP(0.578+0.332*((Table1[[#This Row],[Gestation (days)]]+0.5)/7)-0.00354*((Table1[[#This Row],[Gestation (days)]]+0.5)/7)^2)*Table1[[#This Row],[BW40_3705]],"")</f>
        <v/>
      </c>
      <c r="G7679" s="2" t="str">
        <f>IF(Table1[[#This Row],[Is Data Valid]]=TRUE,((Table1[[#This Row],[Birthweight (grams)]]/Table1[[#This Row],[BW_GA]])-1)/(Backend!$B$4/100*Table1[[#This Row],[BW40_3705]]),"")</f>
        <v/>
      </c>
      <c r="H7679" s="7" t="str">
        <f>IF(Table1[[#This Row],[Is Data Valid]]=TRUE,((Table1[[#This Row],[Birthweight (grams)]]*0.9/Table1[[#This Row],[BW_GA]])-1)/(Backend!$B$4/100*Table1[[#This Row],[BW40_3705]]),"")</f>
        <v/>
      </c>
      <c r="I7679" s="7" t="str">
        <f>IF(Table1[[#This Row],[Is Data Valid]]=TRUE,((Table1[[#This Row],[Birthweight (grams)]]*1.1/Table1[[#This Row],[BW_GA]])-1)/(Backend!$B$4/100*Table1[[#This Row],[BW40_3705]]),"")</f>
        <v/>
      </c>
      <c r="J7679" s="7" t="str">
        <f>IF(Table1[[#This Row],[Is Data Valid]]=TRUE,_xlfn.NORM.S.DIST(Table1[[#This Row],[Birthweight Z-Score]],TRUE)*100,"")</f>
        <v/>
      </c>
      <c r="K7679" s="7" t="str">
        <f>IF(Table1[[#This Row],[Is Data Valid]]=TRUE,_xlfn.NORM.S.DIST(Table1[[#This Row],[Birthweight Z-Score (BW-10%)]],TRUE)*100,"")</f>
        <v/>
      </c>
      <c r="L7679" s="7" t="str">
        <f>IF(Table1[[#This Row],[Is Data Valid]]=TRUE,_xlfn.NORM.S.DIST(Table1[[#This Row],[Birthweight Z-Score (BW+10%)]],TRUE)*100,"")</f>
        <v/>
      </c>
    </row>
    <row r="7680" spans="1:12" x14ac:dyDescent="0.35">
      <c r="A7680" s="3"/>
      <c r="B7680" s="2"/>
      <c r="C7680" s="2"/>
      <c r="D7680" s="2" t="b">
        <f>IF(AND(NOT(ISBLANK(Table1[[#This Row],[Fetal Sex (Male, Female or Unknown)]])),ISNUMBER(Table1[[#This Row],[Birthweight (grams)]]),ISNUMBER(Table1[[#This Row],[Gestation (days)]])),TRUE,FALSE)</f>
        <v>0</v>
      </c>
      <c r="E7680" s="2" t="str">
        <f>IF(Table1[[#This Row],[Is Data Valid]]=TRUE,IF(Table1[[#This Row],[Fetal Sex (Male, Female or Unknown)]]="Male",Backend!$C$6,IF(Table1[[#This Row],[Fetal Sex (Male, Female or Unknown)]]="Female",Backend!$C$7,IF(Table1[[#This Row],[Fetal Sex (Male, Female or Unknown)]]="Unknown",Backend!$C$8,"Error"))),"")</f>
        <v/>
      </c>
      <c r="F7680" s="8" t="str">
        <f>IF(Table1[[#This Row],[Is Data Valid]]=TRUE,EXP(0.578+0.332*((Table1[[#This Row],[Gestation (days)]]+0.5)/7)-0.00354*((Table1[[#This Row],[Gestation (days)]]+0.5)/7)^2)*Table1[[#This Row],[BW40_3705]],"")</f>
        <v/>
      </c>
      <c r="G7680" s="2" t="str">
        <f>IF(Table1[[#This Row],[Is Data Valid]]=TRUE,((Table1[[#This Row],[Birthweight (grams)]]/Table1[[#This Row],[BW_GA]])-1)/(Backend!$B$4/100*Table1[[#This Row],[BW40_3705]]),"")</f>
        <v/>
      </c>
      <c r="H7680" s="7" t="str">
        <f>IF(Table1[[#This Row],[Is Data Valid]]=TRUE,((Table1[[#This Row],[Birthweight (grams)]]*0.9/Table1[[#This Row],[BW_GA]])-1)/(Backend!$B$4/100*Table1[[#This Row],[BW40_3705]]),"")</f>
        <v/>
      </c>
      <c r="I7680" s="7" t="str">
        <f>IF(Table1[[#This Row],[Is Data Valid]]=TRUE,((Table1[[#This Row],[Birthweight (grams)]]*1.1/Table1[[#This Row],[BW_GA]])-1)/(Backend!$B$4/100*Table1[[#This Row],[BW40_3705]]),"")</f>
        <v/>
      </c>
      <c r="J7680" s="7" t="str">
        <f>IF(Table1[[#This Row],[Is Data Valid]]=TRUE,_xlfn.NORM.S.DIST(Table1[[#This Row],[Birthweight Z-Score]],TRUE)*100,"")</f>
        <v/>
      </c>
      <c r="K7680" s="7" t="str">
        <f>IF(Table1[[#This Row],[Is Data Valid]]=TRUE,_xlfn.NORM.S.DIST(Table1[[#This Row],[Birthweight Z-Score (BW-10%)]],TRUE)*100,"")</f>
        <v/>
      </c>
      <c r="L7680" s="7" t="str">
        <f>IF(Table1[[#This Row],[Is Data Valid]]=TRUE,_xlfn.NORM.S.DIST(Table1[[#This Row],[Birthweight Z-Score (BW+10%)]],TRUE)*100,"")</f>
        <v/>
      </c>
    </row>
    <row r="7681" spans="1:12" x14ac:dyDescent="0.35">
      <c r="A7681" s="3"/>
      <c r="B7681" s="2"/>
      <c r="C7681" s="2"/>
      <c r="D7681" s="2" t="b">
        <f>IF(AND(NOT(ISBLANK(Table1[[#This Row],[Fetal Sex (Male, Female or Unknown)]])),ISNUMBER(Table1[[#This Row],[Birthweight (grams)]]),ISNUMBER(Table1[[#This Row],[Gestation (days)]])),TRUE,FALSE)</f>
        <v>0</v>
      </c>
      <c r="E7681" s="2" t="str">
        <f>IF(Table1[[#This Row],[Is Data Valid]]=TRUE,IF(Table1[[#This Row],[Fetal Sex (Male, Female or Unknown)]]="Male",Backend!$C$6,IF(Table1[[#This Row],[Fetal Sex (Male, Female or Unknown)]]="Female",Backend!$C$7,IF(Table1[[#This Row],[Fetal Sex (Male, Female or Unknown)]]="Unknown",Backend!$C$8,"Error"))),"")</f>
        <v/>
      </c>
      <c r="F7681" s="8" t="str">
        <f>IF(Table1[[#This Row],[Is Data Valid]]=TRUE,EXP(0.578+0.332*((Table1[[#This Row],[Gestation (days)]]+0.5)/7)-0.00354*((Table1[[#This Row],[Gestation (days)]]+0.5)/7)^2)*Table1[[#This Row],[BW40_3705]],"")</f>
        <v/>
      </c>
      <c r="G7681" s="2" t="str">
        <f>IF(Table1[[#This Row],[Is Data Valid]]=TRUE,((Table1[[#This Row],[Birthweight (grams)]]/Table1[[#This Row],[BW_GA]])-1)/(Backend!$B$4/100*Table1[[#This Row],[BW40_3705]]),"")</f>
        <v/>
      </c>
      <c r="H7681" s="7" t="str">
        <f>IF(Table1[[#This Row],[Is Data Valid]]=TRUE,((Table1[[#This Row],[Birthweight (grams)]]*0.9/Table1[[#This Row],[BW_GA]])-1)/(Backend!$B$4/100*Table1[[#This Row],[BW40_3705]]),"")</f>
        <v/>
      </c>
      <c r="I7681" s="7" t="str">
        <f>IF(Table1[[#This Row],[Is Data Valid]]=TRUE,((Table1[[#This Row],[Birthweight (grams)]]*1.1/Table1[[#This Row],[BW_GA]])-1)/(Backend!$B$4/100*Table1[[#This Row],[BW40_3705]]),"")</f>
        <v/>
      </c>
      <c r="J7681" s="7" t="str">
        <f>IF(Table1[[#This Row],[Is Data Valid]]=TRUE,_xlfn.NORM.S.DIST(Table1[[#This Row],[Birthweight Z-Score]],TRUE)*100,"")</f>
        <v/>
      </c>
      <c r="K7681" s="7" t="str">
        <f>IF(Table1[[#This Row],[Is Data Valid]]=TRUE,_xlfn.NORM.S.DIST(Table1[[#This Row],[Birthweight Z-Score (BW-10%)]],TRUE)*100,"")</f>
        <v/>
      </c>
      <c r="L7681" s="7" t="str">
        <f>IF(Table1[[#This Row],[Is Data Valid]]=TRUE,_xlfn.NORM.S.DIST(Table1[[#This Row],[Birthweight Z-Score (BW+10%)]],TRUE)*100,"")</f>
        <v/>
      </c>
    </row>
    <row r="7682" spans="1:12" x14ac:dyDescent="0.35">
      <c r="A7682" s="3"/>
      <c r="B7682" s="2"/>
      <c r="C7682" s="2"/>
      <c r="D7682" s="2" t="b">
        <f>IF(AND(NOT(ISBLANK(Table1[[#This Row],[Fetal Sex (Male, Female or Unknown)]])),ISNUMBER(Table1[[#This Row],[Birthweight (grams)]]),ISNUMBER(Table1[[#This Row],[Gestation (days)]])),TRUE,FALSE)</f>
        <v>0</v>
      </c>
      <c r="E7682" s="2" t="str">
        <f>IF(Table1[[#This Row],[Is Data Valid]]=TRUE,IF(Table1[[#This Row],[Fetal Sex (Male, Female or Unknown)]]="Male",Backend!$C$6,IF(Table1[[#This Row],[Fetal Sex (Male, Female or Unknown)]]="Female",Backend!$C$7,IF(Table1[[#This Row],[Fetal Sex (Male, Female or Unknown)]]="Unknown",Backend!$C$8,"Error"))),"")</f>
        <v/>
      </c>
      <c r="F7682" s="8" t="str">
        <f>IF(Table1[[#This Row],[Is Data Valid]]=TRUE,EXP(0.578+0.332*((Table1[[#This Row],[Gestation (days)]]+0.5)/7)-0.00354*((Table1[[#This Row],[Gestation (days)]]+0.5)/7)^2)*Table1[[#This Row],[BW40_3705]],"")</f>
        <v/>
      </c>
      <c r="G7682" s="2" t="str">
        <f>IF(Table1[[#This Row],[Is Data Valid]]=TRUE,((Table1[[#This Row],[Birthweight (grams)]]/Table1[[#This Row],[BW_GA]])-1)/(Backend!$B$4/100*Table1[[#This Row],[BW40_3705]]),"")</f>
        <v/>
      </c>
      <c r="H7682" s="7" t="str">
        <f>IF(Table1[[#This Row],[Is Data Valid]]=TRUE,((Table1[[#This Row],[Birthweight (grams)]]*0.9/Table1[[#This Row],[BW_GA]])-1)/(Backend!$B$4/100*Table1[[#This Row],[BW40_3705]]),"")</f>
        <v/>
      </c>
      <c r="I7682" s="7" t="str">
        <f>IF(Table1[[#This Row],[Is Data Valid]]=TRUE,((Table1[[#This Row],[Birthweight (grams)]]*1.1/Table1[[#This Row],[BW_GA]])-1)/(Backend!$B$4/100*Table1[[#This Row],[BW40_3705]]),"")</f>
        <v/>
      </c>
      <c r="J7682" s="7" t="str">
        <f>IF(Table1[[#This Row],[Is Data Valid]]=TRUE,_xlfn.NORM.S.DIST(Table1[[#This Row],[Birthweight Z-Score]],TRUE)*100,"")</f>
        <v/>
      </c>
      <c r="K7682" s="7" t="str">
        <f>IF(Table1[[#This Row],[Is Data Valid]]=TRUE,_xlfn.NORM.S.DIST(Table1[[#This Row],[Birthweight Z-Score (BW-10%)]],TRUE)*100,"")</f>
        <v/>
      </c>
      <c r="L7682" s="7" t="str">
        <f>IF(Table1[[#This Row],[Is Data Valid]]=TRUE,_xlfn.NORM.S.DIST(Table1[[#This Row],[Birthweight Z-Score (BW+10%)]],TRUE)*100,"")</f>
        <v/>
      </c>
    </row>
    <row r="7683" spans="1:12" x14ac:dyDescent="0.35">
      <c r="A7683" s="3"/>
      <c r="B7683" s="2"/>
      <c r="C7683" s="2"/>
      <c r="D7683" s="2" t="b">
        <f>IF(AND(NOT(ISBLANK(Table1[[#This Row],[Fetal Sex (Male, Female or Unknown)]])),ISNUMBER(Table1[[#This Row],[Birthweight (grams)]]),ISNUMBER(Table1[[#This Row],[Gestation (days)]])),TRUE,FALSE)</f>
        <v>0</v>
      </c>
      <c r="E7683" s="2" t="str">
        <f>IF(Table1[[#This Row],[Is Data Valid]]=TRUE,IF(Table1[[#This Row],[Fetal Sex (Male, Female or Unknown)]]="Male",Backend!$C$6,IF(Table1[[#This Row],[Fetal Sex (Male, Female or Unknown)]]="Female",Backend!$C$7,IF(Table1[[#This Row],[Fetal Sex (Male, Female or Unknown)]]="Unknown",Backend!$C$8,"Error"))),"")</f>
        <v/>
      </c>
      <c r="F7683" s="8" t="str">
        <f>IF(Table1[[#This Row],[Is Data Valid]]=TRUE,EXP(0.578+0.332*((Table1[[#This Row],[Gestation (days)]]+0.5)/7)-0.00354*((Table1[[#This Row],[Gestation (days)]]+0.5)/7)^2)*Table1[[#This Row],[BW40_3705]],"")</f>
        <v/>
      </c>
      <c r="G7683" s="2" t="str">
        <f>IF(Table1[[#This Row],[Is Data Valid]]=TRUE,((Table1[[#This Row],[Birthweight (grams)]]/Table1[[#This Row],[BW_GA]])-1)/(Backend!$B$4/100*Table1[[#This Row],[BW40_3705]]),"")</f>
        <v/>
      </c>
      <c r="H7683" s="7" t="str">
        <f>IF(Table1[[#This Row],[Is Data Valid]]=TRUE,((Table1[[#This Row],[Birthweight (grams)]]*0.9/Table1[[#This Row],[BW_GA]])-1)/(Backend!$B$4/100*Table1[[#This Row],[BW40_3705]]),"")</f>
        <v/>
      </c>
      <c r="I7683" s="7" t="str">
        <f>IF(Table1[[#This Row],[Is Data Valid]]=TRUE,((Table1[[#This Row],[Birthweight (grams)]]*1.1/Table1[[#This Row],[BW_GA]])-1)/(Backend!$B$4/100*Table1[[#This Row],[BW40_3705]]),"")</f>
        <v/>
      </c>
      <c r="J7683" s="7" t="str">
        <f>IF(Table1[[#This Row],[Is Data Valid]]=TRUE,_xlfn.NORM.S.DIST(Table1[[#This Row],[Birthweight Z-Score]],TRUE)*100,"")</f>
        <v/>
      </c>
      <c r="K7683" s="7" t="str">
        <f>IF(Table1[[#This Row],[Is Data Valid]]=TRUE,_xlfn.NORM.S.DIST(Table1[[#This Row],[Birthweight Z-Score (BW-10%)]],TRUE)*100,"")</f>
        <v/>
      </c>
      <c r="L7683" s="7" t="str">
        <f>IF(Table1[[#This Row],[Is Data Valid]]=TRUE,_xlfn.NORM.S.DIST(Table1[[#This Row],[Birthweight Z-Score (BW+10%)]],TRUE)*100,"")</f>
        <v/>
      </c>
    </row>
    <row r="7684" spans="1:12" x14ac:dyDescent="0.35">
      <c r="A7684" s="3"/>
      <c r="B7684" s="2"/>
      <c r="C7684" s="2"/>
      <c r="D7684" s="2" t="b">
        <f>IF(AND(NOT(ISBLANK(Table1[[#This Row],[Fetal Sex (Male, Female or Unknown)]])),ISNUMBER(Table1[[#This Row],[Birthweight (grams)]]),ISNUMBER(Table1[[#This Row],[Gestation (days)]])),TRUE,FALSE)</f>
        <v>0</v>
      </c>
      <c r="E7684" s="2" t="str">
        <f>IF(Table1[[#This Row],[Is Data Valid]]=TRUE,IF(Table1[[#This Row],[Fetal Sex (Male, Female or Unknown)]]="Male",Backend!$C$6,IF(Table1[[#This Row],[Fetal Sex (Male, Female or Unknown)]]="Female",Backend!$C$7,IF(Table1[[#This Row],[Fetal Sex (Male, Female or Unknown)]]="Unknown",Backend!$C$8,"Error"))),"")</f>
        <v/>
      </c>
      <c r="F7684" s="8" t="str">
        <f>IF(Table1[[#This Row],[Is Data Valid]]=TRUE,EXP(0.578+0.332*((Table1[[#This Row],[Gestation (days)]]+0.5)/7)-0.00354*((Table1[[#This Row],[Gestation (days)]]+0.5)/7)^2)*Table1[[#This Row],[BW40_3705]],"")</f>
        <v/>
      </c>
      <c r="G7684" s="2" t="str">
        <f>IF(Table1[[#This Row],[Is Data Valid]]=TRUE,((Table1[[#This Row],[Birthweight (grams)]]/Table1[[#This Row],[BW_GA]])-1)/(Backend!$B$4/100*Table1[[#This Row],[BW40_3705]]),"")</f>
        <v/>
      </c>
      <c r="H7684" s="7" t="str">
        <f>IF(Table1[[#This Row],[Is Data Valid]]=TRUE,((Table1[[#This Row],[Birthweight (grams)]]*0.9/Table1[[#This Row],[BW_GA]])-1)/(Backend!$B$4/100*Table1[[#This Row],[BW40_3705]]),"")</f>
        <v/>
      </c>
      <c r="I7684" s="7" t="str">
        <f>IF(Table1[[#This Row],[Is Data Valid]]=TRUE,((Table1[[#This Row],[Birthweight (grams)]]*1.1/Table1[[#This Row],[BW_GA]])-1)/(Backend!$B$4/100*Table1[[#This Row],[BW40_3705]]),"")</f>
        <v/>
      </c>
      <c r="J7684" s="7" t="str">
        <f>IF(Table1[[#This Row],[Is Data Valid]]=TRUE,_xlfn.NORM.S.DIST(Table1[[#This Row],[Birthweight Z-Score]],TRUE)*100,"")</f>
        <v/>
      </c>
      <c r="K7684" s="7" t="str">
        <f>IF(Table1[[#This Row],[Is Data Valid]]=TRUE,_xlfn.NORM.S.DIST(Table1[[#This Row],[Birthweight Z-Score (BW-10%)]],TRUE)*100,"")</f>
        <v/>
      </c>
      <c r="L7684" s="7" t="str">
        <f>IF(Table1[[#This Row],[Is Data Valid]]=TRUE,_xlfn.NORM.S.DIST(Table1[[#This Row],[Birthweight Z-Score (BW+10%)]],TRUE)*100,"")</f>
        <v/>
      </c>
    </row>
    <row r="7685" spans="1:12" x14ac:dyDescent="0.35">
      <c r="A7685" s="3"/>
      <c r="B7685" s="2"/>
      <c r="C7685" s="2"/>
      <c r="D7685" s="2" t="b">
        <f>IF(AND(NOT(ISBLANK(Table1[[#This Row],[Fetal Sex (Male, Female or Unknown)]])),ISNUMBER(Table1[[#This Row],[Birthweight (grams)]]),ISNUMBER(Table1[[#This Row],[Gestation (days)]])),TRUE,FALSE)</f>
        <v>0</v>
      </c>
      <c r="E7685" s="2" t="str">
        <f>IF(Table1[[#This Row],[Is Data Valid]]=TRUE,IF(Table1[[#This Row],[Fetal Sex (Male, Female or Unknown)]]="Male",Backend!$C$6,IF(Table1[[#This Row],[Fetal Sex (Male, Female or Unknown)]]="Female",Backend!$C$7,IF(Table1[[#This Row],[Fetal Sex (Male, Female or Unknown)]]="Unknown",Backend!$C$8,"Error"))),"")</f>
        <v/>
      </c>
      <c r="F7685" s="8" t="str">
        <f>IF(Table1[[#This Row],[Is Data Valid]]=TRUE,EXP(0.578+0.332*((Table1[[#This Row],[Gestation (days)]]+0.5)/7)-0.00354*((Table1[[#This Row],[Gestation (days)]]+0.5)/7)^2)*Table1[[#This Row],[BW40_3705]],"")</f>
        <v/>
      </c>
      <c r="G7685" s="2" t="str">
        <f>IF(Table1[[#This Row],[Is Data Valid]]=TRUE,((Table1[[#This Row],[Birthweight (grams)]]/Table1[[#This Row],[BW_GA]])-1)/(Backend!$B$4/100*Table1[[#This Row],[BW40_3705]]),"")</f>
        <v/>
      </c>
      <c r="H7685" s="7" t="str">
        <f>IF(Table1[[#This Row],[Is Data Valid]]=TRUE,((Table1[[#This Row],[Birthweight (grams)]]*0.9/Table1[[#This Row],[BW_GA]])-1)/(Backend!$B$4/100*Table1[[#This Row],[BW40_3705]]),"")</f>
        <v/>
      </c>
      <c r="I7685" s="7" t="str">
        <f>IF(Table1[[#This Row],[Is Data Valid]]=TRUE,((Table1[[#This Row],[Birthweight (grams)]]*1.1/Table1[[#This Row],[BW_GA]])-1)/(Backend!$B$4/100*Table1[[#This Row],[BW40_3705]]),"")</f>
        <v/>
      </c>
      <c r="J7685" s="7" t="str">
        <f>IF(Table1[[#This Row],[Is Data Valid]]=TRUE,_xlfn.NORM.S.DIST(Table1[[#This Row],[Birthweight Z-Score]],TRUE)*100,"")</f>
        <v/>
      </c>
      <c r="K7685" s="7" t="str">
        <f>IF(Table1[[#This Row],[Is Data Valid]]=TRUE,_xlfn.NORM.S.DIST(Table1[[#This Row],[Birthweight Z-Score (BW-10%)]],TRUE)*100,"")</f>
        <v/>
      </c>
      <c r="L7685" s="7" t="str">
        <f>IF(Table1[[#This Row],[Is Data Valid]]=TRUE,_xlfn.NORM.S.DIST(Table1[[#This Row],[Birthweight Z-Score (BW+10%)]],TRUE)*100,"")</f>
        <v/>
      </c>
    </row>
    <row r="7686" spans="1:12" x14ac:dyDescent="0.35">
      <c r="A7686" s="3"/>
      <c r="B7686" s="2"/>
      <c r="C7686" s="2"/>
      <c r="D7686" s="2" t="b">
        <f>IF(AND(NOT(ISBLANK(Table1[[#This Row],[Fetal Sex (Male, Female or Unknown)]])),ISNUMBER(Table1[[#This Row],[Birthweight (grams)]]),ISNUMBER(Table1[[#This Row],[Gestation (days)]])),TRUE,FALSE)</f>
        <v>0</v>
      </c>
      <c r="E7686" s="2" t="str">
        <f>IF(Table1[[#This Row],[Is Data Valid]]=TRUE,IF(Table1[[#This Row],[Fetal Sex (Male, Female or Unknown)]]="Male",Backend!$C$6,IF(Table1[[#This Row],[Fetal Sex (Male, Female or Unknown)]]="Female",Backend!$C$7,IF(Table1[[#This Row],[Fetal Sex (Male, Female or Unknown)]]="Unknown",Backend!$C$8,"Error"))),"")</f>
        <v/>
      </c>
      <c r="F7686" s="8" t="str">
        <f>IF(Table1[[#This Row],[Is Data Valid]]=TRUE,EXP(0.578+0.332*((Table1[[#This Row],[Gestation (days)]]+0.5)/7)-0.00354*((Table1[[#This Row],[Gestation (days)]]+0.5)/7)^2)*Table1[[#This Row],[BW40_3705]],"")</f>
        <v/>
      </c>
      <c r="G7686" s="2" t="str">
        <f>IF(Table1[[#This Row],[Is Data Valid]]=TRUE,((Table1[[#This Row],[Birthweight (grams)]]/Table1[[#This Row],[BW_GA]])-1)/(Backend!$B$4/100*Table1[[#This Row],[BW40_3705]]),"")</f>
        <v/>
      </c>
      <c r="H7686" s="7" t="str">
        <f>IF(Table1[[#This Row],[Is Data Valid]]=TRUE,((Table1[[#This Row],[Birthweight (grams)]]*0.9/Table1[[#This Row],[BW_GA]])-1)/(Backend!$B$4/100*Table1[[#This Row],[BW40_3705]]),"")</f>
        <v/>
      </c>
      <c r="I7686" s="7" t="str">
        <f>IF(Table1[[#This Row],[Is Data Valid]]=TRUE,((Table1[[#This Row],[Birthweight (grams)]]*1.1/Table1[[#This Row],[BW_GA]])-1)/(Backend!$B$4/100*Table1[[#This Row],[BW40_3705]]),"")</f>
        <v/>
      </c>
      <c r="J7686" s="7" t="str">
        <f>IF(Table1[[#This Row],[Is Data Valid]]=TRUE,_xlfn.NORM.S.DIST(Table1[[#This Row],[Birthweight Z-Score]],TRUE)*100,"")</f>
        <v/>
      </c>
      <c r="K7686" s="7" t="str">
        <f>IF(Table1[[#This Row],[Is Data Valid]]=TRUE,_xlfn.NORM.S.DIST(Table1[[#This Row],[Birthweight Z-Score (BW-10%)]],TRUE)*100,"")</f>
        <v/>
      </c>
      <c r="L7686" s="7" t="str">
        <f>IF(Table1[[#This Row],[Is Data Valid]]=TRUE,_xlfn.NORM.S.DIST(Table1[[#This Row],[Birthweight Z-Score (BW+10%)]],TRUE)*100,"")</f>
        <v/>
      </c>
    </row>
    <row r="7687" spans="1:12" x14ac:dyDescent="0.35">
      <c r="A7687" s="3"/>
      <c r="B7687" s="2"/>
      <c r="C7687" s="2"/>
      <c r="D7687" s="2" t="b">
        <f>IF(AND(NOT(ISBLANK(Table1[[#This Row],[Fetal Sex (Male, Female or Unknown)]])),ISNUMBER(Table1[[#This Row],[Birthweight (grams)]]),ISNUMBER(Table1[[#This Row],[Gestation (days)]])),TRUE,FALSE)</f>
        <v>0</v>
      </c>
      <c r="E7687" s="2" t="str">
        <f>IF(Table1[[#This Row],[Is Data Valid]]=TRUE,IF(Table1[[#This Row],[Fetal Sex (Male, Female or Unknown)]]="Male",Backend!$C$6,IF(Table1[[#This Row],[Fetal Sex (Male, Female or Unknown)]]="Female",Backend!$C$7,IF(Table1[[#This Row],[Fetal Sex (Male, Female or Unknown)]]="Unknown",Backend!$C$8,"Error"))),"")</f>
        <v/>
      </c>
      <c r="F7687" s="8" t="str">
        <f>IF(Table1[[#This Row],[Is Data Valid]]=TRUE,EXP(0.578+0.332*((Table1[[#This Row],[Gestation (days)]]+0.5)/7)-0.00354*((Table1[[#This Row],[Gestation (days)]]+0.5)/7)^2)*Table1[[#This Row],[BW40_3705]],"")</f>
        <v/>
      </c>
      <c r="G7687" s="2" t="str">
        <f>IF(Table1[[#This Row],[Is Data Valid]]=TRUE,((Table1[[#This Row],[Birthweight (grams)]]/Table1[[#This Row],[BW_GA]])-1)/(Backend!$B$4/100*Table1[[#This Row],[BW40_3705]]),"")</f>
        <v/>
      </c>
      <c r="H7687" s="7" t="str">
        <f>IF(Table1[[#This Row],[Is Data Valid]]=TRUE,((Table1[[#This Row],[Birthweight (grams)]]*0.9/Table1[[#This Row],[BW_GA]])-1)/(Backend!$B$4/100*Table1[[#This Row],[BW40_3705]]),"")</f>
        <v/>
      </c>
      <c r="I7687" s="7" t="str">
        <f>IF(Table1[[#This Row],[Is Data Valid]]=TRUE,((Table1[[#This Row],[Birthweight (grams)]]*1.1/Table1[[#This Row],[BW_GA]])-1)/(Backend!$B$4/100*Table1[[#This Row],[BW40_3705]]),"")</f>
        <v/>
      </c>
      <c r="J7687" s="7" t="str">
        <f>IF(Table1[[#This Row],[Is Data Valid]]=TRUE,_xlfn.NORM.S.DIST(Table1[[#This Row],[Birthweight Z-Score]],TRUE)*100,"")</f>
        <v/>
      </c>
      <c r="K7687" s="7" t="str">
        <f>IF(Table1[[#This Row],[Is Data Valid]]=TRUE,_xlfn.NORM.S.DIST(Table1[[#This Row],[Birthweight Z-Score (BW-10%)]],TRUE)*100,"")</f>
        <v/>
      </c>
      <c r="L7687" s="7" t="str">
        <f>IF(Table1[[#This Row],[Is Data Valid]]=TRUE,_xlfn.NORM.S.DIST(Table1[[#This Row],[Birthweight Z-Score (BW+10%)]],TRUE)*100,"")</f>
        <v/>
      </c>
    </row>
    <row r="7688" spans="1:12" x14ac:dyDescent="0.35">
      <c r="A7688" s="3"/>
      <c r="B7688" s="2"/>
      <c r="C7688" s="2"/>
      <c r="D7688" s="2" t="b">
        <f>IF(AND(NOT(ISBLANK(Table1[[#This Row],[Fetal Sex (Male, Female or Unknown)]])),ISNUMBER(Table1[[#This Row],[Birthweight (grams)]]),ISNUMBER(Table1[[#This Row],[Gestation (days)]])),TRUE,FALSE)</f>
        <v>0</v>
      </c>
      <c r="E7688" s="2" t="str">
        <f>IF(Table1[[#This Row],[Is Data Valid]]=TRUE,IF(Table1[[#This Row],[Fetal Sex (Male, Female or Unknown)]]="Male",Backend!$C$6,IF(Table1[[#This Row],[Fetal Sex (Male, Female or Unknown)]]="Female",Backend!$C$7,IF(Table1[[#This Row],[Fetal Sex (Male, Female or Unknown)]]="Unknown",Backend!$C$8,"Error"))),"")</f>
        <v/>
      </c>
      <c r="F7688" s="8" t="str">
        <f>IF(Table1[[#This Row],[Is Data Valid]]=TRUE,EXP(0.578+0.332*((Table1[[#This Row],[Gestation (days)]]+0.5)/7)-0.00354*((Table1[[#This Row],[Gestation (days)]]+0.5)/7)^2)*Table1[[#This Row],[BW40_3705]],"")</f>
        <v/>
      </c>
      <c r="G7688" s="2" t="str">
        <f>IF(Table1[[#This Row],[Is Data Valid]]=TRUE,((Table1[[#This Row],[Birthweight (grams)]]/Table1[[#This Row],[BW_GA]])-1)/(Backend!$B$4/100*Table1[[#This Row],[BW40_3705]]),"")</f>
        <v/>
      </c>
      <c r="H7688" s="7" t="str">
        <f>IF(Table1[[#This Row],[Is Data Valid]]=TRUE,((Table1[[#This Row],[Birthweight (grams)]]*0.9/Table1[[#This Row],[BW_GA]])-1)/(Backend!$B$4/100*Table1[[#This Row],[BW40_3705]]),"")</f>
        <v/>
      </c>
      <c r="I7688" s="7" t="str">
        <f>IF(Table1[[#This Row],[Is Data Valid]]=TRUE,((Table1[[#This Row],[Birthweight (grams)]]*1.1/Table1[[#This Row],[BW_GA]])-1)/(Backend!$B$4/100*Table1[[#This Row],[BW40_3705]]),"")</f>
        <v/>
      </c>
      <c r="J7688" s="7" t="str">
        <f>IF(Table1[[#This Row],[Is Data Valid]]=TRUE,_xlfn.NORM.S.DIST(Table1[[#This Row],[Birthweight Z-Score]],TRUE)*100,"")</f>
        <v/>
      </c>
      <c r="K7688" s="7" t="str">
        <f>IF(Table1[[#This Row],[Is Data Valid]]=TRUE,_xlfn.NORM.S.DIST(Table1[[#This Row],[Birthweight Z-Score (BW-10%)]],TRUE)*100,"")</f>
        <v/>
      </c>
      <c r="L7688" s="7" t="str">
        <f>IF(Table1[[#This Row],[Is Data Valid]]=TRUE,_xlfn.NORM.S.DIST(Table1[[#This Row],[Birthweight Z-Score (BW+10%)]],TRUE)*100,"")</f>
        <v/>
      </c>
    </row>
    <row r="7689" spans="1:12" x14ac:dyDescent="0.35">
      <c r="A7689" s="3"/>
      <c r="B7689" s="2"/>
      <c r="C7689" s="2"/>
      <c r="D7689" s="2" t="b">
        <f>IF(AND(NOT(ISBLANK(Table1[[#This Row],[Fetal Sex (Male, Female or Unknown)]])),ISNUMBER(Table1[[#This Row],[Birthweight (grams)]]),ISNUMBER(Table1[[#This Row],[Gestation (days)]])),TRUE,FALSE)</f>
        <v>0</v>
      </c>
      <c r="E7689" s="2" t="str">
        <f>IF(Table1[[#This Row],[Is Data Valid]]=TRUE,IF(Table1[[#This Row],[Fetal Sex (Male, Female or Unknown)]]="Male",Backend!$C$6,IF(Table1[[#This Row],[Fetal Sex (Male, Female or Unknown)]]="Female",Backend!$C$7,IF(Table1[[#This Row],[Fetal Sex (Male, Female or Unknown)]]="Unknown",Backend!$C$8,"Error"))),"")</f>
        <v/>
      </c>
      <c r="F7689" s="8" t="str">
        <f>IF(Table1[[#This Row],[Is Data Valid]]=TRUE,EXP(0.578+0.332*((Table1[[#This Row],[Gestation (days)]]+0.5)/7)-0.00354*((Table1[[#This Row],[Gestation (days)]]+0.5)/7)^2)*Table1[[#This Row],[BW40_3705]],"")</f>
        <v/>
      </c>
      <c r="G7689" s="2" t="str">
        <f>IF(Table1[[#This Row],[Is Data Valid]]=TRUE,((Table1[[#This Row],[Birthweight (grams)]]/Table1[[#This Row],[BW_GA]])-1)/(Backend!$B$4/100*Table1[[#This Row],[BW40_3705]]),"")</f>
        <v/>
      </c>
      <c r="H7689" s="7" t="str">
        <f>IF(Table1[[#This Row],[Is Data Valid]]=TRUE,((Table1[[#This Row],[Birthweight (grams)]]*0.9/Table1[[#This Row],[BW_GA]])-1)/(Backend!$B$4/100*Table1[[#This Row],[BW40_3705]]),"")</f>
        <v/>
      </c>
      <c r="I7689" s="7" t="str">
        <f>IF(Table1[[#This Row],[Is Data Valid]]=TRUE,((Table1[[#This Row],[Birthweight (grams)]]*1.1/Table1[[#This Row],[BW_GA]])-1)/(Backend!$B$4/100*Table1[[#This Row],[BW40_3705]]),"")</f>
        <v/>
      </c>
      <c r="J7689" s="7" t="str">
        <f>IF(Table1[[#This Row],[Is Data Valid]]=TRUE,_xlfn.NORM.S.DIST(Table1[[#This Row],[Birthweight Z-Score]],TRUE)*100,"")</f>
        <v/>
      </c>
      <c r="K7689" s="7" t="str">
        <f>IF(Table1[[#This Row],[Is Data Valid]]=TRUE,_xlfn.NORM.S.DIST(Table1[[#This Row],[Birthweight Z-Score (BW-10%)]],TRUE)*100,"")</f>
        <v/>
      </c>
      <c r="L7689" s="7" t="str">
        <f>IF(Table1[[#This Row],[Is Data Valid]]=TRUE,_xlfn.NORM.S.DIST(Table1[[#This Row],[Birthweight Z-Score (BW+10%)]],TRUE)*100,"")</f>
        <v/>
      </c>
    </row>
    <row r="7690" spans="1:12" x14ac:dyDescent="0.35">
      <c r="A7690" s="3"/>
      <c r="B7690" s="2"/>
      <c r="C7690" s="2"/>
      <c r="D7690" s="2" t="b">
        <f>IF(AND(NOT(ISBLANK(Table1[[#This Row],[Fetal Sex (Male, Female or Unknown)]])),ISNUMBER(Table1[[#This Row],[Birthweight (grams)]]),ISNUMBER(Table1[[#This Row],[Gestation (days)]])),TRUE,FALSE)</f>
        <v>0</v>
      </c>
      <c r="E7690" s="2" t="str">
        <f>IF(Table1[[#This Row],[Is Data Valid]]=TRUE,IF(Table1[[#This Row],[Fetal Sex (Male, Female or Unknown)]]="Male",Backend!$C$6,IF(Table1[[#This Row],[Fetal Sex (Male, Female or Unknown)]]="Female",Backend!$C$7,IF(Table1[[#This Row],[Fetal Sex (Male, Female or Unknown)]]="Unknown",Backend!$C$8,"Error"))),"")</f>
        <v/>
      </c>
      <c r="F7690" s="8" t="str">
        <f>IF(Table1[[#This Row],[Is Data Valid]]=TRUE,EXP(0.578+0.332*((Table1[[#This Row],[Gestation (days)]]+0.5)/7)-0.00354*((Table1[[#This Row],[Gestation (days)]]+0.5)/7)^2)*Table1[[#This Row],[BW40_3705]],"")</f>
        <v/>
      </c>
      <c r="G7690" s="2" t="str">
        <f>IF(Table1[[#This Row],[Is Data Valid]]=TRUE,((Table1[[#This Row],[Birthweight (grams)]]/Table1[[#This Row],[BW_GA]])-1)/(Backend!$B$4/100*Table1[[#This Row],[BW40_3705]]),"")</f>
        <v/>
      </c>
      <c r="H7690" s="7" t="str">
        <f>IF(Table1[[#This Row],[Is Data Valid]]=TRUE,((Table1[[#This Row],[Birthweight (grams)]]*0.9/Table1[[#This Row],[BW_GA]])-1)/(Backend!$B$4/100*Table1[[#This Row],[BW40_3705]]),"")</f>
        <v/>
      </c>
      <c r="I7690" s="7" t="str">
        <f>IF(Table1[[#This Row],[Is Data Valid]]=TRUE,((Table1[[#This Row],[Birthweight (grams)]]*1.1/Table1[[#This Row],[BW_GA]])-1)/(Backend!$B$4/100*Table1[[#This Row],[BW40_3705]]),"")</f>
        <v/>
      </c>
      <c r="J7690" s="7" t="str">
        <f>IF(Table1[[#This Row],[Is Data Valid]]=TRUE,_xlfn.NORM.S.DIST(Table1[[#This Row],[Birthweight Z-Score]],TRUE)*100,"")</f>
        <v/>
      </c>
      <c r="K7690" s="7" t="str">
        <f>IF(Table1[[#This Row],[Is Data Valid]]=TRUE,_xlfn.NORM.S.DIST(Table1[[#This Row],[Birthweight Z-Score (BW-10%)]],TRUE)*100,"")</f>
        <v/>
      </c>
      <c r="L7690" s="7" t="str">
        <f>IF(Table1[[#This Row],[Is Data Valid]]=TRUE,_xlfn.NORM.S.DIST(Table1[[#This Row],[Birthweight Z-Score (BW+10%)]],TRUE)*100,"")</f>
        <v/>
      </c>
    </row>
    <row r="7691" spans="1:12" x14ac:dyDescent="0.35">
      <c r="A7691" s="3"/>
      <c r="B7691" s="2"/>
      <c r="C7691" s="2"/>
      <c r="D7691" s="2" t="b">
        <f>IF(AND(NOT(ISBLANK(Table1[[#This Row],[Fetal Sex (Male, Female or Unknown)]])),ISNUMBER(Table1[[#This Row],[Birthweight (grams)]]),ISNUMBER(Table1[[#This Row],[Gestation (days)]])),TRUE,FALSE)</f>
        <v>0</v>
      </c>
      <c r="E7691" s="2" t="str">
        <f>IF(Table1[[#This Row],[Is Data Valid]]=TRUE,IF(Table1[[#This Row],[Fetal Sex (Male, Female or Unknown)]]="Male",Backend!$C$6,IF(Table1[[#This Row],[Fetal Sex (Male, Female or Unknown)]]="Female",Backend!$C$7,IF(Table1[[#This Row],[Fetal Sex (Male, Female or Unknown)]]="Unknown",Backend!$C$8,"Error"))),"")</f>
        <v/>
      </c>
      <c r="F7691" s="8" t="str">
        <f>IF(Table1[[#This Row],[Is Data Valid]]=TRUE,EXP(0.578+0.332*((Table1[[#This Row],[Gestation (days)]]+0.5)/7)-0.00354*((Table1[[#This Row],[Gestation (days)]]+0.5)/7)^2)*Table1[[#This Row],[BW40_3705]],"")</f>
        <v/>
      </c>
      <c r="G7691" s="2" t="str">
        <f>IF(Table1[[#This Row],[Is Data Valid]]=TRUE,((Table1[[#This Row],[Birthweight (grams)]]/Table1[[#This Row],[BW_GA]])-1)/(Backend!$B$4/100*Table1[[#This Row],[BW40_3705]]),"")</f>
        <v/>
      </c>
      <c r="H7691" s="7" t="str">
        <f>IF(Table1[[#This Row],[Is Data Valid]]=TRUE,((Table1[[#This Row],[Birthweight (grams)]]*0.9/Table1[[#This Row],[BW_GA]])-1)/(Backend!$B$4/100*Table1[[#This Row],[BW40_3705]]),"")</f>
        <v/>
      </c>
      <c r="I7691" s="7" t="str">
        <f>IF(Table1[[#This Row],[Is Data Valid]]=TRUE,((Table1[[#This Row],[Birthweight (grams)]]*1.1/Table1[[#This Row],[BW_GA]])-1)/(Backend!$B$4/100*Table1[[#This Row],[BW40_3705]]),"")</f>
        <v/>
      </c>
      <c r="J7691" s="7" t="str">
        <f>IF(Table1[[#This Row],[Is Data Valid]]=TRUE,_xlfn.NORM.S.DIST(Table1[[#This Row],[Birthweight Z-Score]],TRUE)*100,"")</f>
        <v/>
      </c>
      <c r="K7691" s="7" t="str">
        <f>IF(Table1[[#This Row],[Is Data Valid]]=TRUE,_xlfn.NORM.S.DIST(Table1[[#This Row],[Birthweight Z-Score (BW-10%)]],TRUE)*100,"")</f>
        <v/>
      </c>
      <c r="L7691" s="7" t="str">
        <f>IF(Table1[[#This Row],[Is Data Valid]]=TRUE,_xlfn.NORM.S.DIST(Table1[[#This Row],[Birthweight Z-Score (BW+10%)]],TRUE)*100,"")</f>
        <v/>
      </c>
    </row>
    <row r="7692" spans="1:12" x14ac:dyDescent="0.35">
      <c r="A7692" s="3"/>
      <c r="B7692" s="2"/>
      <c r="C7692" s="2"/>
      <c r="D7692" s="2" t="b">
        <f>IF(AND(NOT(ISBLANK(Table1[[#This Row],[Fetal Sex (Male, Female or Unknown)]])),ISNUMBER(Table1[[#This Row],[Birthweight (grams)]]),ISNUMBER(Table1[[#This Row],[Gestation (days)]])),TRUE,FALSE)</f>
        <v>0</v>
      </c>
      <c r="E7692" s="2" t="str">
        <f>IF(Table1[[#This Row],[Is Data Valid]]=TRUE,IF(Table1[[#This Row],[Fetal Sex (Male, Female or Unknown)]]="Male",Backend!$C$6,IF(Table1[[#This Row],[Fetal Sex (Male, Female or Unknown)]]="Female",Backend!$C$7,IF(Table1[[#This Row],[Fetal Sex (Male, Female or Unknown)]]="Unknown",Backend!$C$8,"Error"))),"")</f>
        <v/>
      </c>
      <c r="F7692" s="8" t="str">
        <f>IF(Table1[[#This Row],[Is Data Valid]]=TRUE,EXP(0.578+0.332*((Table1[[#This Row],[Gestation (days)]]+0.5)/7)-0.00354*((Table1[[#This Row],[Gestation (days)]]+0.5)/7)^2)*Table1[[#This Row],[BW40_3705]],"")</f>
        <v/>
      </c>
      <c r="G7692" s="2" t="str">
        <f>IF(Table1[[#This Row],[Is Data Valid]]=TRUE,((Table1[[#This Row],[Birthweight (grams)]]/Table1[[#This Row],[BW_GA]])-1)/(Backend!$B$4/100*Table1[[#This Row],[BW40_3705]]),"")</f>
        <v/>
      </c>
      <c r="H7692" s="7" t="str">
        <f>IF(Table1[[#This Row],[Is Data Valid]]=TRUE,((Table1[[#This Row],[Birthweight (grams)]]*0.9/Table1[[#This Row],[BW_GA]])-1)/(Backend!$B$4/100*Table1[[#This Row],[BW40_3705]]),"")</f>
        <v/>
      </c>
      <c r="I7692" s="7" t="str">
        <f>IF(Table1[[#This Row],[Is Data Valid]]=TRUE,((Table1[[#This Row],[Birthweight (grams)]]*1.1/Table1[[#This Row],[BW_GA]])-1)/(Backend!$B$4/100*Table1[[#This Row],[BW40_3705]]),"")</f>
        <v/>
      </c>
      <c r="J7692" s="7" t="str">
        <f>IF(Table1[[#This Row],[Is Data Valid]]=TRUE,_xlfn.NORM.S.DIST(Table1[[#This Row],[Birthweight Z-Score]],TRUE)*100,"")</f>
        <v/>
      </c>
      <c r="K7692" s="7" t="str">
        <f>IF(Table1[[#This Row],[Is Data Valid]]=TRUE,_xlfn.NORM.S.DIST(Table1[[#This Row],[Birthweight Z-Score (BW-10%)]],TRUE)*100,"")</f>
        <v/>
      </c>
      <c r="L7692" s="7" t="str">
        <f>IF(Table1[[#This Row],[Is Data Valid]]=TRUE,_xlfn.NORM.S.DIST(Table1[[#This Row],[Birthweight Z-Score (BW+10%)]],TRUE)*100,"")</f>
        <v/>
      </c>
    </row>
    <row r="7693" spans="1:12" x14ac:dyDescent="0.35">
      <c r="A7693" s="3"/>
      <c r="B7693" s="2"/>
      <c r="C7693" s="2"/>
      <c r="D7693" s="2" t="b">
        <f>IF(AND(NOT(ISBLANK(Table1[[#This Row],[Fetal Sex (Male, Female or Unknown)]])),ISNUMBER(Table1[[#This Row],[Birthweight (grams)]]),ISNUMBER(Table1[[#This Row],[Gestation (days)]])),TRUE,FALSE)</f>
        <v>0</v>
      </c>
      <c r="E7693" s="2" t="str">
        <f>IF(Table1[[#This Row],[Is Data Valid]]=TRUE,IF(Table1[[#This Row],[Fetal Sex (Male, Female or Unknown)]]="Male",Backend!$C$6,IF(Table1[[#This Row],[Fetal Sex (Male, Female or Unknown)]]="Female",Backend!$C$7,IF(Table1[[#This Row],[Fetal Sex (Male, Female or Unknown)]]="Unknown",Backend!$C$8,"Error"))),"")</f>
        <v/>
      </c>
      <c r="F7693" s="8" t="str">
        <f>IF(Table1[[#This Row],[Is Data Valid]]=TRUE,EXP(0.578+0.332*((Table1[[#This Row],[Gestation (days)]]+0.5)/7)-0.00354*((Table1[[#This Row],[Gestation (days)]]+0.5)/7)^2)*Table1[[#This Row],[BW40_3705]],"")</f>
        <v/>
      </c>
      <c r="G7693" s="2" t="str">
        <f>IF(Table1[[#This Row],[Is Data Valid]]=TRUE,((Table1[[#This Row],[Birthweight (grams)]]/Table1[[#This Row],[BW_GA]])-1)/(Backend!$B$4/100*Table1[[#This Row],[BW40_3705]]),"")</f>
        <v/>
      </c>
      <c r="H7693" s="7" t="str">
        <f>IF(Table1[[#This Row],[Is Data Valid]]=TRUE,((Table1[[#This Row],[Birthweight (grams)]]*0.9/Table1[[#This Row],[BW_GA]])-1)/(Backend!$B$4/100*Table1[[#This Row],[BW40_3705]]),"")</f>
        <v/>
      </c>
      <c r="I7693" s="7" t="str">
        <f>IF(Table1[[#This Row],[Is Data Valid]]=TRUE,((Table1[[#This Row],[Birthweight (grams)]]*1.1/Table1[[#This Row],[BW_GA]])-1)/(Backend!$B$4/100*Table1[[#This Row],[BW40_3705]]),"")</f>
        <v/>
      </c>
      <c r="J7693" s="7" t="str">
        <f>IF(Table1[[#This Row],[Is Data Valid]]=TRUE,_xlfn.NORM.S.DIST(Table1[[#This Row],[Birthweight Z-Score]],TRUE)*100,"")</f>
        <v/>
      </c>
      <c r="K7693" s="7" t="str">
        <f>IF(Table1[[#This Row],[Is Data Valid]]=TRUE,_xlfn.NORM.S.DIST(Table1[[#This Row],[Birthweight Z-Score (BW-10%)]],TRUE)*100,"")</f>
        <v/>
      </c>
      <c r="L7693" s="7" t="str">
        <f>IF(Table1[[#This Row],[Is Data Valid]]=TRUE,_xlfn.NORM.S.DIST(Table1[[#This Row],[Birthweight Z-Score (BW+10%)]],TRUE)*100,"")</f>
        <v/>
      </c>
    </row>
    <row r="7694" spans="1:12" x14ac:dyDescent="0.35">
      <c r="A7694" s="3"/>
      <c r="B7694" s="2"/>
      <c r="C7694" s="2"/>
      <c r="D7694" s="2" t="b">
        <f>IF(AND(NOT(ISBLANK(Table1[[#This Row],[Fetal Sex (Male, Female or Unknown)]])),ISNUMBER(Table1[[#This Row],[Birthweight (grams)]]),ISNUMBER(Table1[[#This Row],[Gestation (days)]])),TRUE,FALSE)</f>
        <v>0</v>
      </c>
      <c r="E7694" s="2" t="str">
        <f>IF(Table1[[#This Row],[Is Data Valid]]=TRUE,IF(Table1[[#This Row],[Fetal Sex (Male, Female or Unknown)]]="Male",Backend!$C$6,IF(Table1[[#This Row],[Fetal Sex (Male, Female or Unknown)]]="Female",Backend!$C$7,IF(Table1[[#This Row],[Fetal Sex (Male, Female or Unknown)]]="Unknown",Backend!$C$8,"Error"))),"")</f>
        <v/>
      </c>
      <c r="F7694" s="8" t="str">
        <f>IF(Table1[[#This Row],[Is Data Valid]]=TRUE,EXP(0.578+0.332*((Table1[[#This Row],[Gestation (days)]]+0.5)/7)-0.00354*((Table1[[#This Row],[Gestation (days)]]+0.5)/7)^2)*Table1[[#This Row],[BW40_3705]],"")</f>
        <v/>
      </c>
      <c r="G7694" s="2" t="str">
        <f>IF(Table1[[#This Row],[Is Data Valid]]=TRUE,((Table1[[#This Row],[Birthweight (grams)]]/Table1[[#This Row],[BW_GA]])-1)/(Backend!$B$4/100*Table1[[#This Row],[BW40_3705]]),"")</f>
        <v/>
      </c>
      <c r="H7694" s="7" t="str">
        <f>IF(Table1[[#This Row],[Is Data Valid]]=TRUE,((Table1[[#This Row],[Birthweight (grams)]]*0.9/Table1[[#This Row],[BW_GA]])-1)/(Backend!$B$4/100*Table1[[#This Row],[BW40_3705]]),"")</f>
        <v/>
      </c>
      <c r="I7694" s="7" t="str">
        <f>IF(Table1[[#This Row],[Is Data Valid]]=TRUE,((Table1[[#This Row],[Birthweight (grams)]]*1.1/Table1[[#This Row],[BW_GA]])-1)/(Backend!$B$4/100*Table1[[#This Row],[BW40_3705]]),"")</f>
        <v/>
      </c>
      <c r="J7694" s="7" t="str">
        <f>IF(Table1[[#This Row],[Is Data Valid]]=TRUE,_xlfn.NORM.S.DIST(Table1[[#This Row],[Birthweight Z-Score]],TRUE)*100,"")</f>
        <v/>
      </c>
      <c r="K7694" s="7" t="str">
        <f>IF(Table1[[#This Row],[Is Data Valid]]=TRUE,_xlfn.NORM.S.DIST(Table1[[#This Row],[Birthweight Z-Score (BW-10%)]],TRUE)*100,"")</f>
        <v/>
      </c>
      <c r="L7694" s="7" t="str">
        <f>IF(Table1[[#This Row],[Is Data Valid]]=TRUE,_xlfn.NORM.S.DIST(Table1[[#This Row],[Birthweight Z-Score (BW+10%)]],TRUE)*100,"")</f>
        <v/>
      </c>
    </row>
    <row r="7695" spans="1:12" x14ac:dyDescent="0.35">
      <c r="A7695" s="3"/>
      <c r="B7695" s="2"/>
      <c r="C7695" s="2"/>
      <c r="D7695" s="2" t="b">
        <f>IF(AND(NOT(ISBLANK(Table1[[#This Row],[Fetal Sex (Male, Female or Unknown)]])),ISNUMBER(Table1[[#This Row],[Birthweight (grams)]]),ISNUMBER(Table1[[#This Row],[Gestation (days)]])),TRUE,FALSE)</f>
        <v>0</v>
      </c>
      <c r="E7695" s="2" t="str">
        <f>IF(Table1[[#This Row],[Is Data Valid]]=TRUE,IF(Table1[[#This Row],[Fetal Sex (Male, Female or Unknown)]]="Male",Backend!$C$6,IF(Table1[[#This Row],[Fetal Sex (Male, Female or Unknown)]]="Female",Backend!$C$7,IF(Table1[[#This Row],[Fetal Sex (Male, Female or Unknown)]]="Unknown",Backend!$C$8,"Error"))),"")</f>
        <v/>
      </c>
      <c r="F7695" s="8" t="str">
        <f>IF(Table1[[#This Row],[Is Data Valid]]=TRUE,EXP(0.578+0.332*((Table1[[#This Row],[Gestation (days)]]+0.5)/7)-0.00354*((Table1[[#This Row],[Gestation (days)]]+0.5)/7)^2)*Table1[[#This Row],[BW40_3705]],"")</f>
        <v/>
      </c>
      <c r="G7695" s="2" t="str">
        <f>IF(Table1[[#This Row],[Is Data Valid]]=TRUE,((Table1[[#This Row],[Birthweight (grams)]]/Table1[[#This Row],[BW_GA]])-1)/(Backend!$B$4/100*Table1[[#This Row],[BW40_3705]]),"")</f>
        <v/>
      </c>
      <c r="H7695" s="7" t="str">
        <f>IF(Table1[[#This Row],[Is Data Valid]]=TRUE,((Table1[[#This Row],[Birthweight (grams)]]*0.9/Table1[[#This Row],[BW_GA]])-1)/(Backend!$B$4/100*Table1[[#This Row],[BW40_3705]]),"")</f>
        <v/>
      </c>
      <c r="I7695" s="7" t="str">
        <f>IF(Table1[[#This Row],[Is Data Valid]]=TRUE,((Table1[[#This Row],[Birthweight (grams)]]*1.1/Table1[[#This Row],[BW_GA]])-1)/(Backend!$B$4/100*Table1[[#This Row],[BW40_3705]]),"")</f>
        <v/>
      </c>
      <c r="J7695" s="7" t="str">
        <f>IF(Table1[[#This Row],[Is Data Valid]]=TRUE,_xlfn.NORM.S.DIST(Table1[[#This Row],[Birthweight Z-Score]],TRUE)*100,"")</f>
        <v/>
      </c>
      <c r="K7695" s="7" t="str">
        <f>IF(Table1[[#This Row],[Is Data Valid]]=TRUE,_xlfn.NORM.S.DIST(Table1[[#This Row],[Birthweight Z-Score (BW-10%)]],TRUE)*100,"")</f>
        <v/>
      </c>
      <c r="L7695" s="7" t="str">
        <f>IF(Table1[[#This Row],[Is Data Valid]]=TRUE,_xlfn.NORM.S.DIST(Table1[[#This Row],[Birthweight Z-Score (BW+10%)]],TRUE)*100,"")</f>
        <v/>
      </c>
    </row>
    <row r="7696" spans="1:12" x14ac:dyDescent="0.35">
      <c r="A7696" s="3"/>
      <c r="B7696" s="2"/>
      <c r="C7696" s="2"/>
      <c r="D7696" s="2" t="b">
        <f>IF(AND(NOT(ISBLANK(Table1[[#This Row],[Fetal Sex (Male, Female or Unknown)]])),ISNUMBER(Table1[[#This Row],[Birthweight (grams)]]),ISNUMBER(Table1[[#This Row],[Gestation (days)]])),TRUE,FALSE)</f>
        <v>0</v>
      </c>
      <c r="E7696" s="2" t="str">
        <f>IF(Table1[[#This Row],[Is Data Valid]]=TRUE,IF(Table1[[#This Row],[Fetal Sex (Male, Female or Unknown)]]="Male",Backend!$C$6,IF(Table1[[#This Row],[Fetal Sex (Male, Female or Unknown)]]="Female",Backend!$C$7,IF(Table1[[#This Row],[Fetal Sex (Male, Female or Unknown)]]="Unknown",Backend!$C$8,"Error"))),"")</f>
        <v/>
      </c>
      <c r="F7696" s="8" t="str">
        <f>IF(Table1[[#This Row],[Is Data Valid]]=TRUE,EXP(0.578+0.332*((Table1[[#This Row],[Gestation (days)]]+0.5)/7)-0.00354*((Table1[[#This Row],[Gestation (days)]]+0.5)/7)^2)*Table1[[#This Row],[BW40_3705]],"")</f>
        <v/>
      </c>
      <c r="G7696" s="2" t="str">
        <f>IF(Table1[[#This Row],[Is Data Valid]]=TRUE,((Table1[[#This Row],[Birthweight (grams)]]/Table1[[#This Row],[BW_GA]])-1)/(Backend!$B$4/100*Table1[[#This Row],[BW40_3705]]),"")</f>
        <v/>
      </c>
      <c r="H7696" s="7" t="str">
        <f>IF(Table1[[#This Row],[Is Data Valid]]=TRUE,((Table1[[#This Row],[Birthweight (grams)]]*0.9/Table1[[#This Row],[BW_GA]])-1)/(Backend!$B$4/100*Table1[[#This Row],[BW40_3705]]),"")</f>
        <v/>
      </c>
      <c r="I7696" s="7" t="str">
        <f>IF(Table1[[#This Row],[Is Data Valid]]=TRUE,((Table1[[#This Row],[Birthweight (grams)]]*1.1/Table1[[#This Row],[BW_GA]])-1)/(Backend!$B$4/100*Table1[[#This Row],[BW40_3705]]),"")</f>
        <v/>
      </c>
      <c r="J7696" s="7" t="str">
        <f>IF(Table1[[#This Row],[Is Data Valid]]=TRUE,_xlfn.NORM.S.DIST(Table1[[#This Row],[Birthweight Z-Score]],TRUE)*100,"")</f>
        <v/>
      </c>
      <c r="K7696" s="7" t="str">
        <f>IF(Table1[[#This Row],[Is Data Valid]]=TRUE,_xlfn.NORM.S.DIST(Table1[[#This Row],[Birthweight Z-Score (BW-10%)]],TRUE)*100,"")</f>
        <v/>
      </c>
      <c r="L7696" s="7" t="str">
        <f>IF(Table1[[#This Row],[Is Data Valid]]=TRUE,_xlfn.NORM.S.DIST(Table1[[#This Row],[Birthweight Z-Score (BW+10%)]],TRUE)*100,"")</f>
        <v/>
      </c>
    </row>
    <row r="7697" spans="1:12" x14ac:dyDescent="0.35">
      <c r="A7697" s="3"/>
      <c r="B7697" s="2"/>
      <c r="C7697" s="2"/>
      <c r="D7697" s="2" t="b">
        <f>IF(AND(NOT(ISBLANK(Table1[[#This Row],[Fetal Sex (Male, Female or Unknown)]])),ISNUMBER(Table1[[#This Row],[Birthweight (grams)]]),ISNUMBER(Table1[[#This Row],[Gestation (days)]])),TRUE,FALSE)</f>
        <v>0</v>
      </c>
      <c r="E7697" s="2" t="str">
        <f>IF(Table1[[#This Row],[Is Data Valid]]=TRUE,IF(Table1[[#This Row],[Fetal Sex (Male, Female or Unknown)]]="Male",Backend!$C$6,IF(Table1[[#This Row],[Fetal Sex (Male, Female or Unknown)]]="Female",Backend!$C$7,IF(Table1[[#This Row],[Fetal Sex (Male, Female or Unknown)]]="Unknown",Backend!$C$8,"Error"))),"")</f>
        <v/>
      </c>
      <c r="F7697" s="8" t="str">
        <f>IF(Table1[[#This Row],[Is Data Valid]]=TRUE,EXP(0.578+0.332*((Table1[[#This Row],[Gestation (days)]]+0.5)/7)-0.00354*((Table1[[#This Row],[Gestation (days)]]+0.5)/7)^2)*Table1[[#This Row],[BW40_3705]],"")</f>
        <v/>
      </c>
      <c r="G7697" s="2" t="str">
        <f>IF(Table1[[#This Row],[Is Data Valid]]=TRUE,((Table1[[#This Row],[Birthweight (grams)]]/Table1[[#This Row],[BW_GA]])-1)/(Backend!$B$4/100*Table1[[#This Row],[BW40_3705]]),"")</f>
        <v/>
      </c>
      <c r="H7697" s="7" t="str">
        <f>IF(Table1[[#This Row],[Is Data Valid]]=TRUE,((Table1[[#This Row],[Birthweight (grams)]]*0.9/Table1[[#This Row],[BW_GA]])-1)/(Backend!$B$4/100*Table1[[#This Row],[BW40_3705]]),"")</f>
        <v/>
      </c>
      <c r="I7697" s="7" t="str">
        <f>IF(Table1[[#This Row],[Is Data Valid]]=TRUE,((Table1[[#This Row],[Birthweight (grams)]]*1.1/Table1[[#This Row],[BW_GA]])-1)/(Backend!$B$4/100*Table1[[#This Row],[BW40_3705]]),"")</f>
        <v/>
      </c>
      <c r="J7697" s="7" t="str">
        <f>IF(Table1[[#This Row],[Is Data Valid]]=TRUE,_xlfn.NORM.S.DIST(Table1[[#This Row],[Birthweight Z-Score]],TRUE)*100,"")</f>
        <v/>
      </c>
      <c r="K7697" s="7" t="str">
        <f>IF(Table1[[#This Row],[Is Data Valid]]=TRUE,_xlfn.NORM.S.DIST(Table1[[#This Row],[Birthweight Z-Score (BW-10%)]],TRUE)*100,"")</f>
        <v/>
      </c>
      <c r="L7697" s="7" t="str">
        <f>IF(Table1[[#This Row],[Is Data Valid]]=TRUE,_xlfn.NORM.S.DIST(Table1[[#This Row],[Birthweight Z-Score (BW+10%)]],TRUE)*100,"")</f>
        <v/>
      </c>
    </row>
    <row r="7698" spans="1:12" x14ac:dyDescent="0.35">
      <c r="A7698" s="3"/>
      <c r="B7698" s="2"/>
      <c r="C7698" s="2"/>
      <c r="D7698" s="2" t="b">
        <f>IF(AND(NOT(ISBLANK(Table1[[#This Row],[Fetal Sex (Male, Female or Unknown)]])),ISNUMBER(Table1[[#This Row],[Birthweight (grams)]]),ISNUMBER(Table1[[#This Row],[Gestation (days)]])),TRUE,FALSE)</f>
        <v>0</v>
      </c>
      <c r="E7698" s="2" t="str">
        <f>IF(Table1[[#This Row],[Is Data Valid]]=TRUE,IF(Table1[[#This Row],[Fetal Sex (Male, Female or Unknown)]]="Male",Backend!$C$6,IF(Table1[[#This Row],[Fetal Sex (Male, Female or Unknown)]]="Female",Backend!$C$7,IF(Table1[[#This Row],[Fetal Sex (Male, Female or Unknown)]]="Unknown",Backend!$C$8,"Error"))),"")</f>
        <v/>
      </c>
      <c r="F7698" s="8" t="str">
        <f>IF(Table1[[#This Row],[Is Data Valid]]=TRUE,EXP(0.578+0.332*((Table1[[#This Row],[Gestation (days)]]+0.5)/7)-0.00354*((Table1[[#This Row],[Gestation (days)]]+0.5)/7)^2)*Table1[[#This Row],[BW40_3705]],"")</f>
        <v/>
      </c>
      <c r="G7698" s="2" t="str">
        <f>IF(Table1[[#This Row],[Is Data Valid]]=TRUE,((Table1[[#This Row],[Birthweight (grams)]]/Table1[[#This Row],[BW_GA]])-1)/(Backend!$B$4/100*Table1[[#This Row],[BW40_3705]]),"")</f>
        <v/>
      </c>
      <c r="H7698" s="7" t="str">
        <f>IF(Table1[[#This Row],[Is Data Valid]]=TRUE,((Table1[[#This Row],[Birthweight (grams)]]*0.9/Table1[[#This Row],[BW_GA]])-1)/(Backend!$B$4/100*Table1[[#This Row],[BW40_3705]]),"")</f>
        <v/>
      </c>
      <c r="I7698" s="7" t="str">
        <f>IF(Table1[[#This Row],[Is Data Valid]]=TRUE,((Table1[[#This Row],[Birthweight (grams)]]*1.1/Table1[[#This Row],[BW_GA]])-1)/(Backend!$B$4/100*Table1[[#This Row],[BW40_3705]]),"")</f>
        <v/>
      </c>
      <c r="J7698" s="7" t="str">
        <f>IF(Table1[[#This Row],[Is Data Valid]]=TRUE,_xlfn.NORM.S.DIST(Table1[[#This Row],[Birthweight Z-Score]],TRUE)*100,"")</f>
        <v/>
      </c>
      <c r="K7698" s="7" t="str">
        <f>IF(Table1[[#This Row],[Is Data Valid]]=TRUE,_xlfn.NORM.S.DIST(Table1[[#This Row],[Birthweight Z-Score (BW-10%)]],TRUE)*100,"")</f>
        <v/>
      </c>
      <c r="L7698" s="7" t="str">
        <f>IF(Table1[[#This Row],[Is Data Valid]]=TRUE,_xlfn.NORM.S.DIST(Table1[[#This Row],[Birthweight Z-Score (BW+10%)]],TRUE)*100,"")</f>
        <v/>
      </c>
    </row>
    <row r="7699" spans="1:12" x14ac:dyDescent="0.35">
      <c r="A7699" s="3"/>
      <c r="B7699" s="2"/>
      <c r="C7699" s="2"/>
      <c r="D7699" s="2" t="b">
        <f>IF(AND(NOT(ISBLANK(Table1[[#This Row],[Fetal Sex (Male, Female or Unknown)]])),ISNUMBER(Table1[[#This Row],[Birthweight (grams)]]),ISNUMBER(Table1[[#This Row],[Gestation (days)]])),TRUE,FALSE)</f>
        <v>0</v>
      </c>
      <c r="E7699" s="2" t="str">
        <f>IF(Table1[[#This Row],[Is Data Valid]]=TRUE,IF(Table1[[#This Row],[Fetal Sex (Male, Female or Unknown)]]="Male",Backend!$C$6,IF(Table1[[#This Row],[Fetal Sex (Male, Female or Unknown)]]="Female",Backend!$C$7,IF(Table1[[#This Row],[Fetal Sex (Male, Female or Unknown)]]="Unknown",Backend!$C$8,"Error"))),"")</f>
        <v/>
      </c>
      <c r="F7699" s="8" t="str">
        <f>IF(Table1[[#This Row],[Is Data Valid]]=TRUE,EXP(0.578+0.332*((Table1[[#This Row],[Gestation (days)]]+0.5)/7)-0.00354*((Table1[[#This Row],[Gestation (days)]]+0.5)/7)^2)*Table1[[#This Row],[BW40_3705]],"")</f>
        <v/>
      </c>
      <c r="G7699" s="2" t="str">
        <f>IF(Table1[[#This Row],[Is Data Valid]]=TRUE,((Table1[[#This Row],[Birthweight (grams)]]/Table1[[#This Row],[BW_GA]])-1)/(Backend!$B$4/100*Table1[[#This Row],[BW40_3705]]),"")</f>
        <v/>
      </c>
      <c r="H7699" s="7" t="str">
        <f>IF(Table1[[#This Row],[Is Data Valid]]=TRUE,((Table1[[#This Row],[Birthweight (grams)]]*0.9/Table1[[#This Row],[BW_GA]])-1)/(Backend!$B$4/100*Table1[[#This Row],[BW40_3705]]),"")</f>
        <v/>
      </c>
      <c r="I7699" s="7" t="str">
        <f>IF(Table1[[#This Row],[Is Data Valid]]=TRUE,((Table1[[#This Row],[Birthweight (grams)]]*1.1/Table1[[#This Row],[BW_GA]])-1)/(Backend!$B$4/100*Table1[[#This Row],[BW40_3705]]),"")</f>
        <v/>
      </c>
      <c r="J7699" s="7" t="str">
        <f>IF(Table1[[#This Row],[Is Data Valid]]=TRUE,_xlfn.NORM.S.DIST(Table1[[#This Row],[Birthweight Z-Score]],TRUE)*100,"")</f>
        <v/>
      </c>
      <c r="K7699" s="7" t="str">
        <f>IF(Table1[[#This Row],[Is Data Valid]]=TRUE,_xlfn.NORM.S.DIST(Table1[[#This Row],[Birthweight Z-Score (BW-10%)]],TRUE)*100,"")</f>
        <v/>
      </c>
      <c r="L7699" s="7" t="str">
        <f>IF(Table1[[#This Row],[Is Data Valid]]=TRUE,_xlfn.NORM.S.DIST(Table1[[#This Row],[Birthweight Z-Score (BW+10%)]],TRUE)*100,"")</f>
        <v/>
      </c>
    </row>
    <row r="7700" spans="1:12" x14ac:dyDescent="0.35">
      <c r="A7700" s="3"/>
      <c r="B7700" s="2"/>
      <c r="C7700" s="2"/>
      <c r="D7700" s="2" t="b">
        <f>IF(AND(NOT(ISBLANK(Table1[[#This Row],[Fetal Sex (Male, Female or Unknown)]])),ISNUMBER(Table1[[#This Row],[Birthweight (grams)]]),ISNUMBER(Table1[[#This Row],[Gestation (days)]])),TRUE,FALSE)</f>
        <v>0</v>
      </c>
      <c r="E7700" s="2" t="str">
        <f>IF(Table1[[#This Row],[Is Data Valid]]=TRUE,IF(Table1[[#This Row],[Fetal Sex (Male, Female or Unknown)]]="Male",Backend!$C$6,IF(Table1[[#This Row],[Fetal Sex (Male, Female or Unknown)]]="Female",Backend!$C$7,IF(Table1[[#This Row],[Fetal Sex (Male, Female or Unknown)]]="Unknown",Backend!$C$8,"Error"))),"")</f>
        <v/>
      </c>
      <c r="F7700" s="8" t="str">
        <f>IF(Table1[[#This Row],[Is Data Valid]]=TRUE,EXP(0.578+0.332*((Table1[[#This Row],[Gestation (days)]]+0.5)/7)-0.00354*((Table1[[#This Row],[Gestation (days)]]+0.5)/7)^2)*Table1[[#This Row],[BW40_3705]],"")</f>
        <v/>
      </c>
      <c r="G7700" s="2" t="str">
        <f>IF(Table1[[#This Row],[Is Data Valid]]=TRUE,((Table1[[#This Row],[Birthweight (grams)]]/Table1[[#This Row],[BW_GA]])-1)/(Backend!$B$4/100*Table1[[#This Row],[BW40_3705]]),"")</f>
        <v/>
      </c>
      <c r="H7700" s="7" t="str">
        <f>IF(Table1[[#This Row],[Is Data Valid]]=TRUE,((Table1[[#This Row],[Birthweight (grams)]]*0.9/Table1[[#This Row],[BW_GA]])-1)/(Backend!$B$4/100*Table1[[#This Row],[BW40_3705]]),"")</f>
        <v/>
      </c>
      <c r="I7700" s="7" t="str">
        <f>IF(Table1[[#This Row],[Is Data Valid]]=TRUE,((Table1[[#This Row],[Birthweight (grams)]]*1.1/Table1[[#This Row],[BW_GA]])-1)/(Backend!$B$4/100*Table1[[#This Row],[BW40_3705]]),"")</f>
        <v/>
      </c>
      <c r="J7700" s="7" t="str">
        <f>IF(Table1[[#This Row],[Is Data Valid]]=TRUE,_xlfn.NORM.S.DIST(Table1[[#This Row],[Birthweight Z-Score]],TRUE)*100,"")</f>
        <v/>
      </c>
      <c r="K7700" s="7" t="str">
        <f>IF(Table1[[#This Row],[Is Data Valid]]=TRUE,_xlfn.NORM.S.DIST(Table1[[#This Row],[Birthweight Z-Score (BW-10%)]],TRUE)*100,"")</f>
        <v/>
      </c>
      <c r="L7700" s="7" t="str">
        <f>IF(Table1[[#This Row],[Is Data Valid]]=TRUE,_xlfn.NORM.S.DIST(Table1[[#This Row],[Birthweight Z-Score (BW+10%)]],TRUE)*100,"")</f>
        <v/>
      </c>
    </row>
    <row r="7701" spans="1:12" x14ac:dyDescent="0.35">
      <c r="A7701" s="3"/>
      <c r="B7701" s="2"/>
      <c r="C7701" s="2"/>
      <c r="D7701" s="2" t="b">
        <f>IF(AND(NOT(ISBLANK(Table1[[#This Row],[Fetal Sex (Male, Female or Unknown)]])),ISNUMBER(Table1[[#This Row],[Birthweight (grams)]]),ISNUMBER(Table1[[#This Row],[Gestation (days)]])),TRUE,FALSE)</f>
        <v>0</v>
      </c>
      <c r="E7701" s="2" t="str">
        <f>IF(Table1[[#This Row],[Is Data Valid]]=TRUE,IF(Table1[[#This Row],[Fetal Sex (Male, Female or Unknown)]]="Male",Backend!$C$6,IF(Table1[[#This Row],[Fetal Sex (Male, Female or Unknown)]]="Female",Backend!$C$7,IF(Table1[[#This Row],[Fetal Sex (Male, Female or Unknown)]]="Unknown",Backend!$C$8,"Error"))),"")</f>
        <v/>
      </c>
      <c r="F7701" s="8" t="str">
        <f>IF(Table1[[#This Row],[Is Data Valid]]=TRUE,EXP(0.578+0.332*((Table1[[#This Row],[Gestation (days)]]+0.5)/7)-0.00354*((Table1[[#This Row],[Gestation (days)]]+0.5)/7)^2)*Table1[[#This Row],[BW40_3705]],"")</f>
        <v/>
      </c>
      <c r="G7701" s="2" t="str">
        <f>IF(Table1[[#This Row],[Is Data Valid]]=TRUE,((Table1[[#This Row],[Birthweight (grams)]]/Table1[[#This Row],[BW_GA]])-1)/(Backend!$B$4/100*Table1[[#This Row],[BW40_3705]]),"")</f>
        <v/>
      </c>
      <c r="H7701" s="7" t="str">
        <f>IF(Table1[[#This Row],[Is Data Valid]]=TRUE,((Table1[[#This Row],[Birthweight (grams)]]*0.9/Table1[[#This Row],[BW_GA]])-1)/(Backend!$B$4/100*Table1[[#This Row],[BW40_3705]]),"")</f>
        <v/>
      </c>
      <c r="I7701" s="7" t="str">
        <f>IF(Table1[[#This Row],[Is Data Valid]]=TRUE,((Table1[[#This Row],[Birthweight (grams)]]*1.1/Table1[[#This Row],[BW_GA]])-1)/(Backend!$B$4/100*Table1[[#This Row],[BW40_3705]]),"")</f>
        <v/>
      </c>
      <c r="J7701" s="7" t="str">
        <f>IF(Table1[[#This Row],[Is Data Valid]]=TRUE,_xlfn.NORM.S.DIST(Table1[[#This Row],[Birthweight Z-Score]],TRUE)*100,"")</f>
        <v/>
      </c>
      <c r="K7701" s="7" t="str">
        <f>IF(Table1[[#This Row],[Is Data Valid]]=TRUE,_xlfn.NORM.S.DIST(Table1[[#This Row],[Birthweight Z-Score (BW-10%)]],TRUE)*100,"")</f>
        <v/>
      </c>
      <c r="L7701" s="7" t="str">
        <f>IF(Table1[[#This Row],[Is Data Valid]]=TRUE,_xlfn.NORM.S.DIST(Table1[[#This Row],[Birthweight Z-Score (BW+10%)]],TRUE)*100,"")</f>
        <v/>
      </c>
    </row>
    <row r="7702" spans="1:12" x14ac:dyDescent="0.35">
      <c r="A7702" s="3"/>
      <c r="B7702" s="2"/>
      <c r="C7702" s="2"/>
      <c r="D7702" s="2" t="b">
        <f>IF(AND(NOT(ISBLANK(Table1[[#This Row],[Fetal Sex (Male, Female or Unknown)]])),ISNUMBER(Table1[[#This Row],[Birthweight (grams)]]),ISNUMBER(Table1[[#This Row],[Gestation (days)]])),TRUE,FALSE)</f>
        <v>0</v>
      </c>
      <c r="E7702" s="2" t="str">
        <f>IF(Table1[[#This Row],[Is Data Valid]]=TRUE,IF(Table1[[#This Row],[Fetal Sex (Male, Female or Unknown)]]="Male",Backend!$C$6,IF(Table1[[#This Row],[Fetal Sex (Male, Female or Unknown)]]="Female",Backend!$C$7,IF(Table1[[#This Row],[Fetal Sex (Male, Female or Unknown)]]="Unknown",Backend!$C$8,"Error"))),"")</f>
        <v/>
      </c>
      <c r="F7702" s="8" t="str">
        <f>IF(Table1[[#This Row],[Is Data Valid]]=TRUE,EXP(0.578+0.332*((Table1[[#This Row],[Gestation (days)]]+0.5)/7)-0.00354*((Table1[[#This Row],[Gestation (days)]]+0.5)/7)^2)*Table1[[#This Row],[BW40_3705]],"")</f>
        <v/>
      </c>
      <c r="G7702" s="2" t="str">
        <f>IF(Table1[[#This Row],[Is Data Valid]]=TRUE,((Table1[[#This Row],[Birthweight (grams)]]/Table1[[#This Row],[BW_GA]])-1)/(Backend!$B$4/100*Table1[[#This Row],[BW40_3705]]),"")</f>
        <v/>
      </c>
      <c r="H7702" s="7" t="str">
        <f>IF(Table1[[#This Row],[Is Data Valid]]=TRUE,((Table1[[#This Row],[Birthweight (grams)]]*0.9/Table1[[#This Row],[BW_GA]])-1)/(Backend!$B$4/100*Table1[[#This Row],[BW40_3705]]),"")</f>
        <v/>
      </c>
      <c r="I7702" s="7" t="str">
        <f>IF(Table1[[#This Row],[Is Data Valid]]=TRUE,((Table1[[#This Row],[Birthweight (grams)]]*1.1/Table1[[#This Row],[BW_GA]])-1)/(Backend!$B$4/100*Table1[[#This Row],[BW40_3705]]),"")</f>
        <v/>
      </c>
      <c r="J7702" s="7" t="str">
        <f>IF(Table1[[#This Row],[Is Data Valid]]=TRUE,_xlfn.NORM.S.DIST(Table1[[#This Row],[Birthweight Z-Score]],TRUE)*100,"")</f>
        <v/>
      </c>
      <c r="K7702" s="7" t="str">
        <f>IF(Table1[[#This Row],[Is Data Valid]]=TRUE,_xlfn.NORM.S.DIST(Table1[[#This Row],[Birthweight Z-Score (BW-10%)]],TRUE)*100,"")</f>
        <v/>
      </c>
      <c r="L7702" s="7" t="str">
        <f>IF(Table1[[#This Row],[Is Data Valid]]=TRUE,_xlfn.NORM.S.DIST(Table1[[#This Row],[Birthweight Z-Score (BW+10%)]],TRUE)*100,"")</f>
        <v/>
      </c>
    </row>
    <row r="7703" spans="1:12" x14ac:dyDescent="0.35">
      <c r="A7703" s="3"/>
      <c r="B7703" s="2"/>
      <c r="C7703" s="2"/>
      <c r="D7703" s="2" t="b">
        <f>IF(AND(NOT(ISBLANK(Table1[[#This Row],[Fetal Sex (Male, Female or Unknown)]])),ISNUMBER(Table1[[#This Row],[Birthweight (grams)]]),ISNUMBER(Table1[[#This Row],[Gestation (days)]])),TRUE,FALSE)</f>
        <v>0</v>
      </c>
      <c r="E7703" s="2" t="str">
        <f>IF(Table1[[#This Row],[Is Data Valid]]=TRUE,IF(Table1[[#This Row],[Fetal Sex (Male, Female or Unknown)]]="Male",Backend!$C$6,IF(Table1[[#This Row],[Fetal Sex (Male, Female or Unknown)]]="Female",Backend!$C$7,IF(Table1[[#This Row],[Fetal Sex (Male, Female or Unknown)]]="Unknown",Backend!$C$8,"Error"))),"")</f>
        <v/>
      </c>
      <c r="F7703" s="8" t="str">
        <f>IF(Table1[[#This Row],[Is Data Valid]]=TRUE,EXP(0.578+0.332*((Table1[[#This Row],[Gestation (days)]]+0.5)/7)-0.00354*((Table1[[#This Row],[Gestation (days)]]+0.5)/7)^2)*Table1[[#This Row],[BW40_3705]],"")</f>
        <v/>
      </c>
      <c r="G7703" s="2" t="str">
        <f>IF(Table1[[#This Row],[Is Data Valid]]=TRUE,((Table1[[#This Row],[Birthweight (grams)]]/Table1[[#This Row],[BW_GA]])-1)/(Backend!$B$4/100*Table1[[#This Row],[BW40_3705]]),"")</f>
        <v/>
      </c>
      <c r="H7703" s="7" t="str">
        <f>IF(Table1[[#This Row],[Is Data Valid]]=TRUE,((Table1[[#This Row],[Birthweight (grams)]]*0.9/Table1[[#This Row],[BW_GA]])-1)/(Backend!$B$4/100*Table1[[#This Row],[BW40_3705]]),"")</f>
        <v/>
      </c>
      <c r="I7703" s="7" t="str">
        <f>IF(Table1[[#This Row],[Is Data Valid]]=TRUE,((Table1[[#This Row],[Birthweight (grams)]]*1.1/Table1[[#This Row],[BW_GA]])-1)/(Backend!$B$4/100*Table1[[#This Row],[BW40_3705]]),"")</f>
        <v/>
      </c>
      <c r="J7703" s="7" t="str">
        <f>IF(Table1[[#This Row],[Is Data Valid]]=TRUE,_xlfn.NORM.S.DIST(Table1[[#This Row],[Birthweight Z-Score]],TRUE)*100,"")</f>
        <v/>
      </c>
      <c r="K7703" s="7" t="str">
        <f>IF(Table1[[#This Row],[Is Data Valid]]=TRUE,_xlfn.NORM.S.DIST(Table1[[#This Row],[Birthweight Z-Score (BW-10%)]],TRUE)*100,"")</f>
        <v/>
      </c>
      <c r="L7703" s="7" t="str">
        <f>IF(Table1[[#This Row],[Is Data Valid]]=TRUE,_xlfn.NORM.S.DIST(Table1[[#This Row],[Birthweight Z-Score (BW+10%)]],TRUE)*100,"")</f>
        <v/>
      </c>
    </row>
    <row r="7704" spans="1:12" x14ac:dyDescent="0.35">
      <c r="A7704" s="3"/>
      <c r="B7704" s="2"/>
      <c r="C7704" s="2"/>
      <c r="D7704" s="2" t="b">
        <f>IF(AND(NOT(ISBLANK(Table1[[#This Row],[Fetal Sex (Male, Female or Unknown)]])),ISNUMBER(Table1[[#This Row],[Birthweight (grams)]]),ISNUMBER(Table1[[#This Row],[Gestation (days)]])),TRUE,FALSE)</f>
        <v>0</v>
      </c>
      <c r="E7704" s="2" t="str">
        <f>IF(Table1[[#This Row],[Is Data Valid]]=TRUE,IF(Table1[[#This Row],[Fetal Sex (Male, Female or Unknown)]]="Male",Backend!$C$6,IF(Table1[[#This Row],[Fetal Sex (Male, Female or Unknown)]]="Female",Backend!$C$7,IF(Table1[[#This Row],[Fetal Sex (Male, Female or Unknown)]]="Unknown",Backend!$C$8,"Error"))),"")</f>
        <v/>
      </c>
      <c r="F7704" s="8" t="str">
        <f>IF(Table1[[#This Row],[Is Data Valid]]=TRUE,EXP(0.578+0.332*((Table1[[#This Row],[Gestation (days)]]+0.5)/7)-0.00354*((Table1[[#This Row],[Gestation (days)]]+0.5)/7)^2)*Table1[[#This Row],[BW40_3705]],"")</f>
        <v/>
      </c>
      <c r="G7704" s="2" t="str">
        <f>IF(Table1[[#This Row],[Is Data Valid]]=TRUE,((Table1[[#This Row],[Birthweight (grams)]]/Table1[[#This Row],[BW_GA]])-1)/(Backend!$B$4/100*Table1[[#This Row],[BW40_3705]]),"")</f>
        <v/>
      </c>
      <c r="H7704" s="7" t="str">
        <f>IF(Table1[[#This Row],[Is Data Valid]]=TRUE,((Table1[[#This Row],[Birthweight (grams)]]*0.9/Table1[[#This Row],[BW_GA]])-1)/(Backend!$B$4/100*Table1[[#This Row],[BW40_3705]]),"")</f>
        <v/>
      </c>
      <c r="I7704" s="7" t="str">
        <f>IF(Table1[[#This Row],[Is Data Valid]]=TRUE,((Table1[[#This Row],[Birthweight (grams)]]*1.1/Table1[[#This Row],[BW_GA]])-1)/(Backend!$B$4/100*Table1[[#This Row],[BW40_3705]]),"")</f>
        <v/>
      </c>
      <c r="J7704" s="7" t="str">
        <f>IF(Table1[[#This Row],[Is Data Valid]]=TRUE,_xlfn.NORM.S.DIST(Table1[[#This Row],[Birthweight Z-Score]],TRUE)*100,"")</f>
        <v/>
      </c>
      <c r="K7704" s="7" t="str">
        <f>IF(Table1[[#This Row],[Is Data Valid]]=TRUE,_xlfn.NORM.S.DIST(Table1[[#This Row],[Birthweight Z-Score (BW-10%)]],TRUE)*100,"")</f>
        <v/>
      </c>
      <c r="L7704" s="7" t="str">
        <f>IF(Table1[[#This Row],[Is Data Valid]]=TRUE,_xlfn.NORM.S.DIST(Table1[[#This Row],[Birthweight Z-Score (BW+10%)]],TRUE)*100,"")</f>
        <v/>
      </c>
    </row>
    <row r="7705" spans="1:12" x14ac:dyDescent="0.35">
      <c r="A7705" s="3"/>
      <c r="B7705" s="2"/>
      <c r="C7705" s="2"/>
      <c r="D7705" s="2" t="b">
        <f>IF(AND(NOT(ISBLANK(Table1[[#This Row],[Fetal Sex (Male, Female or Unknown)]])),ISNUMBER(Table1[[#This Row],[Birthweight (grams)]]),ISNUMBER(Table1[[#This Row],[Gestation (days)]])),TRUE,FALSE)</f>
        <v>0</v>
      </c>
      <c r="E7705" s="2" t="str">
        <f>IF(Table1[[#This Row],[Is Data Valid]]=TRUE,IF(Table1[[#This Row],[Fetal Sex (Male, Female or Unknown)]]="Male",Backend!$C$6,IF(Table1[[#This Row],[Fetal Sex (Male, Female or Unknown)]]="Female",Backend!$C$7,IF(Table1[[#This Row],[Fetal Sex (Male, Female or Unknown)]]="Unknown",Backend!$C$8,"Error"))),"")</f>
        <v/>
      </c>
      <c r="F7705" s="8" t="str">
        <f>IF(Table1[[#This Row],[Is Data Valid]]=TRUE,EXP(0.578+0.332*((Table1[[#This Row],[Gestation (days)]]+0.5)/7)-0.00354*((Table1[[#This Row],[Gestation (days)]]+0.5)/7)^2)*Table1[[#This Row],[BW40_3705]],"")</f>
        <v/>
      </c>
      <c r="G7705" s="2" t="str">
        <f>IF(Table1[[#This Row],[Is Data Valid]]=TRUE,((Table1[[#This Row],[Birthweight (grams)]]/Table1[[#This Row],[BW_GA]])-1)/(Backend!$B$4/100*Table1[[#This Row],[BW40_3705]]),"")</f>
        <v/>
      </c>
      <c r="H7705" s="7" t="str">
        <f>IF(Table1[[#This Row],[Is Data Valid]]=TRUE,((Table1[[#This Row],[Birthweight (grams)]]*0.9/Table1[[#This Row],[BW_GA]])-1)/(Backend!$B$4/100*Table1[[#This Row],[BW40_3705]]),"")</f>
        <v/>
      </c>
      <c r="I7705" s="7" t="str">
        <f>IF(Table1[[#This Row],[Is Data Valid]]=TRUE,((Table1[[#This Row],[Birthweight (grams)]]*1.1/Table1[[#This Row],[BW_GA]])-1)/(Backend!$B$4/100*Table1[[#This Row],[BW40_3705]]),"")</f>
        <v/>
      </c>
      <c r="J7705" s="7" t="str">
        <f>IF(Table1[[#This Row],[Is Data Valid]]=TRUE,_xlfn.NORM.S.DIST(Table1[[#This Row],[Birthweight Z-Score]],TRUE)*100,"")</f>
        <v/>
      </c>
      <c r="K7705" s="7" t="str">
        <f>IF(Table1[[#This Row],[Is Data Valid]]=TRUE,_xlfn.NORM.S.DIST(Table1[[#This Row],[Birthweight Z-Score (BW-10%)]],TRUE)*100,"")</f>
        <v/>
      </c>
      <c r="L7705" s="7" t="str">
        <f>IF(Table1[[#This Row],[Is Data Valid]]=TRUE,_xlfn.NORM.S.DIST(Table1[[#This Row],[Birthweight Z-Score (BW+10%)]],TRUE)*100,"")</f>
        <v/>
      </c>
    </row>
    <row r="7706" spans="1:12" x14ac:dyDescent="0.35">
      <c r="A7706" s="3"/>
      <c r="B7706" s="2"/>
      <c r="C7706" s="2"/>
      <c r="D7706" s="2" t="b">
        <f>IF(AND(NOT(ISBLANK(Table1[[#This Row],[Fetal Sex (Male, Female or Unknown)]])),ISNUMBER(Table1[[#This Row],[Birthweight (grams)]]),ISNUMBER(Table1[[#This Row],[Gestation (days)]])),TRUE,FALSE)</f>
        <v>0</v>
      </c>
      <c r="E7706" s="2" t="str">
        <f>IF(Table1[[#This Row],[Is Data Valid]]=TRUE,IF(Table1[[#This Row],[Fetal Sex (Male, Female or Unknown)]]="Male",Backend!$C$6,IF(Table1[[#This Row],[Fetal Sex (Male, Female or Unknown)]]="Female",Backend!$C$7,IF(Table1[[#This Row],[Fetal Sex (Male, Female or Unknown)]]="Unknown",Backend!$C$8,"Error"))),"")</f>
        <v/>
      </c>
      <c r="F7706" s="8" t="str">
        <f>IF(Table1[[#This Row],[Is Data Valid]]=TRUE,EXP(0.578+0.332*((Table1[[#This Row],[Gestation (days)]]+0.5)/7)-0.00354*((Table1[[#This Row],[Gestation (days)]]+0.5)/7)^2)*Table1[[#This Row],[BW40_3705]],"")</f>
        <v/>
      </c>
      <c r="G7706" s="2" t="str">
        <f>IF(Table1[[#This Row],[Is Data Valid]]=TRUE,((Table1[[#This Row],[Birthweight (grams)]]/Table1[[#This Row],[BW_GA]])-1)/(Backend!$B$4/100*Table1[[#This Row],[BW40_3705]]),"")</f>
        <v/>
      </c>
      <c r="H7706" s="7" t="str">
        <f>IF(Table1[[#This Row],[Is Data Valid]]=TRUE,((Table1[[#This Row],[Birthweight (grams)]]*0.9/Table1[[#This Row],[BW_GA]])-1)/(Backend!$B$4/100*Table1[[#This Row],[BW40_3705]]),"")</f>
        <v/>
      </c>
      <c r="I7706" s="7" t="str">
        <f>IF(Table1[[#This Row],[Is Data Valid]]=TRUE,((Table1[[#This Row],[Birthweight (grams)]]*1.1/Table1[[#This Row],[BW_GA]])-1)/(Backend!$B$4/100*Table1[[#This Row],[BW40_3705]]),"")</f>
        <v/>
      </c>
      <c r="J7706" s="7" t="str">
        <f>IF(Table1[[#This Row],[Is Data Valid]]=TRUE,_xlfn.NORM.S.DIST(Table1[[#This Row],[Birthweight Z-Score]],TRUE)*100,"")</f>
        <v/>
      </c>
      <c r="K7706" s="7" t="str">
        <f>IF(Table1[[#This Row],[Is Data Valid]]=TRUE,_xlfn.NORM.S.DIST(Table1[[#This Row],[Birthweight Z-Score (BW-10%)]],TRUE)*100,"")</f>
        <v/>
      </c>
      <c r="L7706" s="7" t="str">
        <f>IF(Table1[[#This Row],[Is Data Valid]]=TRUE,_xlfn.NORM.S.DIST(Table1[[#This Row],[Birthweight Z-Score (BW+10%)]],TRUE)*100,"")</f>
        <v/>
      </c>
    </row>
    <row r="7707" spans="1:12" x14ac:dyDescent="0.35">
      <c r="A7707" s="3"/>
      <c r="B7707" s="2"/>
      <c r="C7707" s="2"/>
      <c r="D7707" s="2" t="b">
        <f>IF(AND(NOT(ISBLANK(Table1[[#This Row],[Fetal Sex (Male, Female or Unknown)]])),ISNUMBER(Table1[[#This Row],[Birthweight (grams)]]),ISNUMBER(Table1[[#This Row],[Gestation (days)]])),TRUE,FALSE)</f>
        <v>0</v>
      </c>
      <c r="E7707" s="2" t="str">
        <f>IF(Table1[[#This Row],[Is Data Valid]]=TRUE,IF(Table1[[#This Row],[Fetal Sex (Male, Female or Unknown)]]="Male",Backend!$C$6,IF(Table1[[#This Row],[Fetal Sex (Male, Female or Unknown)]]="Female",Backend!$C$7,IF(Table1[[#This Row],[Fetal Sex (Male, Female or Unknown)]]="Unknown",Backend!$C$8,"Error"))),"")</f>
        <v/>
      </c>
      <c r="F7707" s="8" t="str">
        <f>IF(Table1[[#This Row],[Is Data Valid]]=TRUE,EXP(0.578+0.332*((Table1[[#This Row],[Gestation (days)]]+0.5)/7)-0.00354*((Table1[[#This Row],[Gestation (days)]]+0.5)/7)^2)*Table1[[#This Row],[BW40_3705]],"")</f>
        <v/>
      </c>
      <c r="G7707" s="2" t="str">
        <f>IF(Table1[[#This Row],[Is Data Valid]]=TRUE,((Table1[[#This Row],[Birthweight (grams)]]/Table1[[#This Row],[BW_GA]])-1)/(Backend!$B$4/100*Table1[[#This Row],[BW40_3705]]),"")</f>
        <v/>
      </c>
      <c r="H7707" s="7" t="str">
        <f>IF(Table1[[#This Row],[Is Data Valid]]=TRUE,((Table1[[#This Row],[Birthweight (grams)]]*0.9/Table1[[#This Row],[BW_GA]])-1)/(Backend!$B$4/100*Table1[[#This Row],[BW40_3705]]),"")</f>
        <v/>
      </c>
      <c r="I7707" s="7" t="str">
        <f>IF(Table1[[#This Row],[Is Data Valid]]=TRUE,((Table1[[#This Row],[Birthweight (grams)]]*1.1/Table1[[#This Row],[BW_GA]])-1)/(Backend!$B$4/100*Table1[[#This Row],[BW40_3705]]),"")</f>
        <v/>
      </c>
      <c r="J7707" s="7" t="str">
        <f>IF(Table1[[#This Row],[Is Data Valid]]=TRUE,_xlfn.NORM.S.DIST(Table1[[#This Row],[Birthweight Z-Score]],TRUE)*100,"")</f>
        <v/>
      </c>
      <c r="K7707" s="7" t="str">
        <f>IF(Table1[[#This Row],[Is Data Valid]]=TRUE,_xlfn.NORM.S.DIST(Table1[[#This Row],[Birthweight Z-Score (BW-10%)]],TRUE)*100,"")</f>
        <v/>
      </c>
      <c r="L7707" s="7" t="str">
        <f>IF(Table1[[#This Row],[Is Data Valid]]=TRUE,_xlfn.NORM.S.DIST(Table1[[#This Row],[Birthweight Z-Score (BW+10%)]],TRUE)*100,"")</f>
        <v/>
      </c>
    </row>
    <row r="7708" spans="1:12" x14ac:dyDescent="0.35">
      <c r="A7708" s="3"/>
      <c r="B7708" s="2"/>
      <c r="C7708" s="2"/>
      <c r="D7708" s="2" t="b">
        <f>IF(AND(NOT(ISBLANK(Table1[[#This Row],[Fetal Sex (Male, Female or Unknown)]])),ISNUMBER(Table1[[#This Row],[Birthweight (grams)]]),ISNUMBER(Table1[[#This Row],[Gestation (days)]])),TRUE,FALSE)</f>
        <v>0</v>
      </c>
      <c r="E7708" s="2" t="str">
        <f>IF(Table1[[#This Row],[Is Data Valid]]=TRUE,IF(Table1[[#This Row],[Fetal Sex (Male, Female or Unknown)]]="Male",Backend!$C$6,IF(Table1[[#This Row],[Fetal Sex (Male, Female or Unknown)]]="Female",Backend!$C$7,IF(Table1[[#This Row],[Fetal Sex (Male, Female or Unknown)]]="Unknown",Backend!$C$8,"Error"))),"")</f>
        <v/>
      </c>
      <c r="F7708" s="8" t="str">
        <f>IF(Table1[[#This Row],[Is Data Valid]]=TRUE,EXP(0.578+0.332*((Table1[[#This Row],[Gestation (days)]]+0.5)/7)-0.00354*((Table1[[#This Row],[Gestation (days)]]+0.5)/7)^2)*Table1[[#This Row],[BW40_3705]],"")</f>
        <v/>
      </c>
      <c r="G7708" s="2" t="str">
        <f>IF(Table1[[#This Row],[Is Data Valid]]=TRUE,((Table1[[#This Row],[Birthweight (grams)]]/Table1[[#This Row],[BW_GA]])-1)/(Backend!$B$4/100*Table1[[#This Row],[BW40_3705]]),"")</f>
        <v/>
      </c>
      <c r="H7708" s="7" t="str">
        <f>IF(Table1[[#This Row],[Is Data Valid]]=TRUE,((Table1[[#This Row],[Birthweight (grams)]]*0.9/Table1[[#This Row],[BW_GA]])-1)/(Backend!$B$4/100*Table1[[#This Row],[BW40_3705]]),"")</f>
        <v/>
      </c>
      <c r="I7708" s="7" t="str">
        <f>IF(Table1[[#This Row],[Is Data Valid]]=TRUE,((Table1[[#This Row],[Birthweight (grams)]]*1.1/Table1[[#This Row],[BW_GA]])-1)/(Backend!$B$4/100*Table1[[#This Row],[BW40_3705]]),"")</f>
        <v/>
      </c>
      <c r="J7708" s="7" t="str">
        <f>IF(Table1[[#This Row],[Is Data Valid]]=TRUE,_xlfn.NORM.S.DIST(Table1[[#This Row],[Birthweight Z-Score]],TRUE)*100,"")</f>
        <v/>
      </c>
      <c r="K7708" s="7" t="str">
        <f>IF(Table1[[#This Row],[Is Data Valid]]=TRUE,_xlfn.NORM.S.DIST(Table1[[#This Row],[Birthweight Z-Score (BW-10%)]],TRUE)*100,"")</f>
        <v/>
      </c>
      <c r="L7708" s="7" t="str">
        <f>IF(Table1[[#This Row],[Is Data Valid]]=TRUE,_xlfn.NORM.S.DIST(Table1[[#This Row],[Birthweight Z-Score (BW+10%)]],TRUE)*100,"")</f>
        <v/>
      </c>
    </row>
    <row r="7709" spans="1:12" x14ac:dyDescent="0.35">
      <c r="A7709" s="3"/>
      <c r="B7709" s="2"/>
      <c r="C7709" s="2"/>
      <c r="D7709" s="2" t="b">
        <f>IF(AND(NOT(ISBLANK(Table1[[#This Row],[Fetal Sex (Male, Female or Unknown)]])),ISNUMBER(Table1[[#This Row],[Birthweight (grams)]]),ISNUMBER(Table1[[#This Row],[Gestation (days)]])),TRUE,FALSE)</f>
        <v>0</v>
      </c>
      <c r="E7709" s="2" t="str">
        <f>IF(Table1[[#This Row],[Is Data Valid]]=TRUE,IF(Table1[[#This Row],[Fetal Sex (Male, Female or Unknown)]]="Male",Backend!$C$6,IF(Table1[[#This Row],[Fetal Sex (Male, Female or Unknown)]]="Female",Backend!$C$7,IF(Table1[[#This Row],[Fetal Sex (Male, Female or Unknown)]]="Unknown",Backend!$C$8,"Error"))),"")</f>
        <v/>
      </c>
      <c r="F7709" s="8" t="str">
        <f>IF(Table1[[#This Row],[Is Data Valid]]=TRUE,EXP(0.578+0.332*((Table1[[#This Row],[Gestation (days)]]+0.5)/7)-0.00354*((Table1[[#This Row],[Gestation (days)]]+0.5)/7)^2)*Table1[[#This Row],[BW40_3705]],"")</f>
        <v/>
      </c>
      <c r="G7709" s="2" t="str">
        <f>IF(Table1[[#This Row],[Is Data Valid]]=TRUE,((Table1[[#This Row],[Birthweight (grams)]]/Table1[[#This Row],[BW_GA]])-1)/(Backend!$B$4/100*Table1[[#This Row],[BW40_3705]]),"")</f>
        <v/>
      </c>
      <c r="H7709" s="7" t="str">
        <f>IF(Table1[[#This Row],[Is Data Valid]]=TRUE,((Table1[[#This Row],[Birthweight (grams)]]*0.9/Table1[[#This Row],[BW_GA]])-1)/(Backend!$B$4/100*Table1[[#This Row],[BW40_3705]]),"")</f>
        <v/>
      </c>
      <c r="I7709" s="7" t="str">
        <f>IF(Table1[[#This Row],[Is Data Valid]]=TRUE,((Table1[[#This Row],[Birthweight (grams)]]*1.1/Table1[[#This Row],[BW_GA]])-1)/(Backend!$B$4/100*Table1[[#This Row],[BW40_3705]]),"")</f>
        <v/>
      </c>
      <c r="J7709" s="7" t="str">
        <f>IF(Table1[[#This Row],[Is Data Valid]]=TRUE,_xlfn.NORM.S.DIST(Table1[[#This Row],[Birthweight Z-Score]],TRUE)*100,"")</f>
        <v/>
      </c>
      <c r="K7709" s="7" t="str">
        <f>IF(Table1[[#This Row],[Is Data Valid]]=TRUE,_xlfn.NORM.S.DIST(Table1[[#This Row],[Birthweight Z-Score (BW-10%)]],TRUE)*100,"")</f>
        <v/>
      </c>
      <c r="L7709" s="7" t="str">
        <f>IF(Table1[[#This Row],[Is Data Valid]]=TRUE,_xlfn.NORM.S.DIST(Table1[[#This Row],[Birthweight Z-Score (BW+10%)]],TRUE)*100,"")</f>
        <v/>
      </c>
    </row>
    <row r="7710" spans="1:12" x14ac:dyDescent="0.35">
      <c r="A7710" s="3"/>
      <c r="B7710" s="2"/>
      <c r="C7710" s="2"/>
      <c r="D7710" s="2" t="b">
        <f>IF(AND(NOT(ISBLANK(Table1[[#This Row],[Fetal Sex (Male, Female or Unknown)]])),ISNUMBER(Table1[[#This Row],[Birthweight (grams)]]),ISNUMBER(Table1[[#This Row],[Gestation (days)]])),TRUE,FALSE)</f>
        <v>0</v>
      </c>
      <c r="E7710" s="2" t="str">
        <f>IF(Table1[[#This Row],[Is Data Valid]]=TRUE,IF(Table1[[#This Row],[Fetal Sex (Male, Female or Unknown)]]="Male",Backend!$C$6,IF(Table1[[#This Row],[Fetal Sex (Male, Female or Unknown)]]="Female",Backend!$C$7,IF(Table1[[#This Row],[Fetal Sex (Male, Female or Unknown)]]="Unknown",Backend!$C$8,"Error"))),"")</f>
        <v/>
      </c>
      <c r="F7710" s="8" t="str">
        <f>IF(Table1[[#This Row],[Is Data Valid]]=TRUE,EXP(0.578+0.332*((Table1[[#This Row],[Gestation (days)]]+0.5)/7)-0.00354*((Table1[[#This Row],[Gestation (days)]]+0.5)/7)^2)*Table1[[#This Row],[BW40_3705]],"")</f>
        <v/>
      </c>
      <c r="G7710" s="2" t="str">
        <f>IF(Table1[[#This Row],[Is Data Valid]]=TRUE,((Table1[[#This Row],[Birthweight (grams)]]/Table1[[#This Row],[BW_GA]])-1)/(Backend!$B$4/100*Table1[[#This Row],[BW40_3705]]),"")</f>
        <v/>
      </c>
      <c r="H7710" s="7" t="str">
        <f>IF(Table1[[#This Row],[Is Data Valid]]=TRUE,((Table1[[#This Row],[Birthweight (grams)]]*0.9/Table1[[#This Row],[BW_GA]])-1)/(Backend!$B$4/100*Table1[[#This Row],[BW40_3705]]),"")</f>
        <v/>
      </c>
      <c r="I7710" s="7" t="str">
        <f>IF(Table1[[#This Row],[Is Data Valid]]=TRUE,((Table1[[#This Row],[Birthweight (grams)]]*1.1/Table1[[#This Row],[BW_GA]])-1)/(Backend!$B$4/100*Table1[[#This Row],[BW40_3705]]),"")</f>
        <v/>
      </c>
      <c r="J7710" s="7" t="str">
        <f>IF(Table1[[#This Row],[Is Data Valid]]=TRUE,_xlfn.NORM.S.DIST(Table1[[#This Row],[Birthweight Z-Score]],TRUE)*100,"")</f>
        <v/>
      </c>
      <c r="K7710" s="7" t="str">
        <f>IF(Table1[[#This Row],[Is Data Valid]]=TRUE,_xlfn.NORM.S.DIST(Table1[[#This Row],[Birthweight Z-Score (BW-10%)]],TRUE)*100,"")</f>
        <v/>
      </c>
      <c r="L7710" s="7" t="str">
        <f>IF(Table1[[#This Row],[Is Data Valid]]=TRUE,_xlfn.NORM.S.DIST(Table1[[#This Row],[Birthweight Z-Score (BW+10%)]],TRUE)*100,"")</f>
        <v/>
      </c>
    </row>
    <row r="7711" spans="1:12" x14ac:dyDescent="0.35">
      <c r="A7711" s="3"/>
      <c r="B7711" s="2"/>
      <c r="C7711" s="2"/>
      <c r="D7711" s="2" t="b">
        <f>IF(AND(NOT(ISBLANK(Table1[[#This Row],[Fetal Sex (Male, Female or Unknown)]])),ISNUMBER(Table1[[#This Row],[Birthweight (grams)]]),ISNUMBER(Table1[[#This Row],[Gestation (days)]])),TRUE,FALSE)</f>
        <v>0</v>
      </c>
      <c r="E7711" s="2" t="str">
        <f>IF(Table1[[#This Row],[Is Data Valid]]=TRUE,IF(Table1[[#This Row],[Fetal Sex (Male, Female or Unknown)]]="Male",Backend!$C$6,IF(Table1[[#This Row],[Fetal Sex (Male, Female or Unknown)]]="Female",Backend!$C$7,IF(Table1[[#This Row],[Fetal Sex (Male, Female or Unknown)]]="Unknown",Backend!$C$8,"Error"))),"")</f>
        <v/>
      </c>
      <c r="F7711" s="8" t="str">
        <f>IF(Table1[[#This Row],[Is Data Valid]]=TRUE,EXP(0.578+0.332*((Table1[[#This Row],[Gestation (days)]]+0.5)/7)-0.00354*((Table1[[#This Row],[Gestation (days)]]+0.5)/7)^2)*Table1[[#This Row],[BW40_3705]],"")</f>
        <v/>
      </c>
      <c r="G7711" s="2" t="str">
        <f>IF(Table1[[#This Row],[Is Data Valid]]=TRUE,((Table1[[#This Row],[Birthweight (grams)]]/Table1[[#This Row],[BW_GA]])-1)/(Backend!$B$4/100*Table1[[#This Row],[BW40_3705]]),"")</f>
        <v/>
      </c>
      <c r="H7711" s="7" t="str">
        <f>IF(Table1[[#This Row],[Is Data Valid]]=TRUE,((Table1[[#This Row],[Birthweight (grams)]]*0.9/Table1[[#This Row],[BW_GA]])-1)/(Backend!$B$4/100*Table1[[#This Row],[BW40_3705]]),"")</f>
        <v/>
      </c>
      <c r="I7711" s="7" t="str">
        <f>IF(Table1[[#This Row],[Is Data Valid]]=TRUE,((Table1[[#This Row],[Birthweight (grams)]]*1.1/Table1[[#This Row],[BW_GA]])-1)/(Backend!$B$4/100*Table1[[#This Row],[BW40_3705]]),"")</f>
        <v/>
      </c>
      <c r="J7711" s="7" t="str">
        <f>IF(Table1[[#This Row],[Is Data Valid]]=TRUE,_xlfn.NORM.S.DIST(Table1[[#This Row],[Birthweight Z-Score]],TRUE)*100,"")</f>
        <v/>
      </c>
      <c r="K7711" s="7" t="str">
        <f>IF(Table1[[#This Row],[Is Data Valid]]=TRUE,_xlfn.NORM.S.DIST(Table1[[#This Row],[Birthweight Z-Score (BW-10%)]],TRUE)*100,"")</f>
        <v/>
      </c>
      <c r="L7711" s="7" t="str">
        <f>IF(Table1[[#This Row],[Is Data Valid]]=TRUE,_xlfn.NORM.S.DIST(Table1[[#This Row],[Birthweight Z-Score (BW+10%)]],TRUE)*100,"")</f>
        <v/>
      </c>
    </row>
    <row r="7712" spans="1:12" x14ac:dyDescent="0.35">
      <c r="A7712" s="3"/>
      <c r="B7712" s="2"/>
      <c r="C7712" s="2"/>
      <c r="D7712" s="2" t="b">
        <f>IF(AND(NOT(ISBLANK(Table1[[#This Row],[Fetal Sex (Male, Female or Unknown)]])),ISNUMBER(Table1[[#This Row],[Birthweight (grams)]]),ISNUMBER(Table1[[#This Row],[Gestation (days)]])),TRUE,FALSE)</f>
        <v>0</v>
      </c>
      <c r="E7712" s="2" t="str">
        <f>IF(Table1[[#This Row],[Is Data Valid]]=TRUE,IF(Table1[[#This Row],[Fetal Sex (Male, Female or Unknown)]]="Male",Backend!$C$6,IF(Table1[[#This Row],[Fetal Sex (Male, Female or Unknown)]]="Female",Backend!$C$7,IF(Table1[[#This Row],[Fetal Sex (Male, Female or Unknown)]]="Unknown",Backend!$C$8,"Error"))),"")</f>
        <v/>
      </c>
      <c r="F7712" s="8" t="str">
        <f>IF(Table1[[#This Row],[Is Data Valid]]=TRUE,EXP(0.578+0.332*((Table1[[#This Row],[Gestation (days)]]+0.5)/7)-0.00354*((Table1[[#This Row],[Gestation (days)]]+0.5)/7)^2)*Table1[[#This Row],[BW40_3705]],"")</f>
        <v/>
      </c>
      <c r="G7712" s="2" t="str">
        <f>IF(Table1[[#This Row],[Is Data Valid]]=TRUE,((Table1[[#This Row],[Birthweight (grams)]]/Table1[[#This Row],[BW_GA]])-1)/(Backend!$B$4/100*Table1[[#This Row],[BW40_3705]]),"")</f>
        <v/>
      </c>
      <c r="H7712" s="7" t="str">
        <f>IF(Table1[[#This Row],[Is Data Valid]]=TRUE,((Table1[[#This Row],[Birthweight (grams)]]*0.9/Table1[[#This Row],[BW_GA]])-1)/(Backend!$B$4/100*Table1[[#This Row],[BW40_3705]]),"")</f>
        <v/>
      </c>
      <c r="I7712" s="7" t="str">
        <f>IF(Table1[[#This Row],[Is Data Valid]]=TRUE,((Table1[[#This Row],[Birthweight (grams)]]*1.1/Table1[[#This Row],[BW_GA]])-1)/(Backend!$B$4/100*Table1[[#This Row],[BW40_3705]]),"")</f>
        <v/>
      </c>
      <c r="J7712" s="7" t="str">
        <f>IF(Table1[[#This Row],[Is Data Valid]]=TRUE,_xlfn.NORM.S.DIST(Table1[[#This Row],[Birthweight Z-Score]],TRUE)*100,"")</f>
        <v/>
      </c>
      <c r="K7712" s="7" t="str">
        <f>IF(Table1[[#This Row],[Is Data Valid]]=TRUE,_xlfn.NORM.S.DIST(Table1[[#This Row],[Birthweight Z-Score (BW-10%)]],TRUE)*100,"")</f>
        <v/>
      </c>
      <c r="L7712" s="7" t="str">
        <f>IF(Table1[[#This Row],[Is Data Valid]]=TRUE,_xlfn.NORM.S.DIST(Table1[[#This Row],[Birthweight Z-Score (BW+10%)]],TRUE)*100,"")</f>
        <v/>
      </c>
    </row>
    <row r="7713" spans="1:12" x14ac:dyDescent="0.35">
      <c r="A7713" s="3"/>
      <c r="B7713" s="2"/>
      <c r="C7713" s="2"/>
      <c r="D7713" s="2" t="b">
        <f>IF(AND(NOT(ISBLANK(Table1[[#This Row],[Fetal Sex (Male, Female or Unknown)]])),ISNUMBER(Table1[[#This Row],[Birthweight (grams)]]),ISNUMBER(Table1[[#This Row],[Gestation (days)]])),TRUE,FALSE)</f>
        <v>0</v>
      </c>
      <c r="E7713" s="2" t="str">
        <f>IF(Table1[[#This Row],[Is Data Valid]]=TRUE,IF(Table1[[#This Row],[Fetal Sex (Male, Female or Unknown)]]="Male",Backend!$C$6,IF(Table1[[#This Row],[Fetal Sex (Male, Female or Unknown)]]="Female",Backend!$C$7,IF(Table1[[#This Row],[Fetal Sex (Male, Female or Unknown)]]="Unknown",Backend!$C$8,"Error"))),"")</f>
        <v/>
      </c>
      <c r="F7713" s="8" t="str">
        <f>IF(Table1[[#This Row],[Is Data Valid]]=TRUE,EXP(0.578+0.332*((Table1[[#This Row],[Gestation (days)]]+0.5)/7)-0.00354*((Table1[[#This Row],[Gestation (days)]]+0.5)/7)^2)*Table1[[#This Row],[BW40_3705]],"")</f>
        <v/>
      </c>
      <c r="G7713" s="2" t="str">
        <f>IF(Table1[[#This Row],[Is Data Valid]]=TRUE,((Table1[[#This Row],[Birthweight (grams)]]/Table1[[#This Row],[BW_GA]])-1)/(Backend!$B$4/100*Table1[[#This Row],[BW40_3705]]),"")</f>
        <v/>
      </c>
      <c r="H7713" s="7" t="str">
        <f>IF(Table1[[#This Row],[Is Data Valid]]=TRUE,((Table1[[#This Row],[Birthweight (grams)]]*0.9/Table1[[#This Row],[BW_GA]])-1)/(Backend!$B$4/100*Table1[[#This Row],[BW40_3705]]),"")</f>
        <v/>
      </c>
      <c r="I7713" s="7" t="str">
        <f>IF(Table1[[#This Row],[Is Data Valid]]=TRUE,((Table1[[#This Row],[Birthweight (grams)]]*1.1/Table1[[#This Row],[BW_GA]])-1)/(Backend!$B$4/100*Table1[[#This Row],[BW40_3705]]),"")</f>
        <v/>
      </c>
      <c r="J7713" s="7" t="str">
        <f>IF(Table1[[#This Row],[Is Data Valid]]=TRUE,_xlfn.NORM.S.DIST(Table1[[#This Row],[Birthweight Z-Score]],TRUE)*100,"")</f>
        <v/>
      </c>
      <c r="K7713" s="7" t="str">
        <f>IF(Table1[[#This Row],[Is Data Valid]]=TRUE,_xlfn.NORM.S.DIST(Table1[[#This Row],[Birthweight Z-Score (BW-10%)]],TRUE)*100,"")</f>
        <v/>
      </c>
      <c r="L7713" s="7" t="str">
        <f>IF(Table1[[#This Row],[Is Data Valid]]=TRUE,_xlfn.NORM.S.DIST(Table1[[#This Row],[Birthweight Z-Score (BW+10%)]],TRUE)*100,"")</f>
        <v/>
      </c>
    </row>
    <row r="7714" spans="1:12" x14ac:dyDescent="0.35">
      <c r="A7714" s="3"/>
      <c r="B7714" s="2"/>
      <c r="C7714" s="2"/>
      <c r="D7714" s="2" t="b">
        <f>IF(AND(NOT(ISBLANK(Table1[[#This Row],[Fetal Sex (Male, Female or Unknown)]])),ISNUMBER(Table1[[#This Row],[Birthweight (grams)]]),ISNUMBER(Table1[[#This Row],[Gestation (days)]])),TRUE,FALSE)</f>
        <v>0</v>
      </c>
      <c r="E7714" s="2" t="str">
        <f>IF(Table1[[#This Row],[Is Data Valid]]=TRUE,IF(Table1[[#This Row],[Fetal Sex (Male, Female or Unknown)]]="Male",Backend!$C$6,IF(Table1[[#This Row],[Fetal Sex (Male, Female or Unknown)]]="Female",Backend!$C$7,IF(Table1[[#This Row],[Fetal Sex (Male, Female or Unknown)]]="Unknown",Backend!$C$8,"Error"))),"")</f>
        <v/>
      </c>
      <c r="F7714" s="8" t="str">
        <f>IF(Table1[[#This Row],[Is Data Valid]]=TRUE,EXP(0.578+0.332*((Table1[[#This Row],[Gestation (days)]]+0.5)/7)-0.00354*((Table1[[#This Row],[Gestation (days)]]+0.5)/7)^2)*Table1[[#This Row],[BW40_3705]],"")</f>
        <v/>
      </c>
      <c r="G7714" s="2" t="str">
        <f>IF(Table1[[#This Row],[Is Data Valid]]=TRUE,((Table1[[#This Row],[Birthweight (grams)]]/Table1[[#This Row],[BW_GA]])-1)/(Backend!$B$4/100*Table1[[#This Row],[BW40_3705]]),"")</f>
        <v/>
      </c>
      <c r="H7714" s="7" t="str">
        <f>IF(Table1[[#This Row],[Is Data Valid]]=TRUE,((Table1[[#This Row],[Birthweight (grams)]]*0.9/Table1[[#This Row],[BW_GA]])-1)/(Backend!$B$4/100*Table1[[#This Row],[BW40_3705]]),"")</f>
        <v/>
      </c>
      <c r="I7714" s="7" t="str">
        <f>IF(Table1[[#This Row],[Is Data Valid]]=TRUE,((Table1[[#This Row],[Birthweight (grams)]]*1.1/Table1[[#This Row],[BW_GA]])-1)/(Backend!$B$4/100*Table1[[#This Row],[BW40_3705]]),"")</f>
        <v/>
      </c>
      <c r="J7714" s="7" t="str">
        <f>IF(Table1[[#This Row],[Is Data Valid]]=TRUE,_xlfn.NORM.S.DIST(Table1[[#This Row],[Birthweight Z-Score]],TRUE)*100,"")</f>
        <v/>
      </c>
      <c r="K7714" s="7" t="str">
        <f>IF(Table1[[#This Row],[Is Data Valid]]=TRUE,_xlfn.NORM.S.DIST(Table1[[#This Row],[Birthweight Z-Score (BW-10%)]],TRUE)*100,"")</f>
        <v/>
      </c>
      <c r="L7714" s="7" t="str">
        <f>IF(Table1[[#This Row],[Is Data Valid]]=TRUE,_xlfn.NORM.S.DIST(Table1[[#This Row],[Birthweight Z-Score (BW+10%)]],TRUE)*100,"")</f>
        <v/>
      </c>
    </row>
    <row r="7715" spans="1:12" x14ac:dyDescent="0.35">
      <c r="A7715" s="3"/>
      <c r="B7715" s="2"/>
      <c r="C7715" s="2"/>
      <c r="D7715" s="2" t="b">
        <f>IF(AND(NOT(ISBLANK(Table1[[#This Row],[Fetal Sex (Male, Female or Unknown)]])),ISNUMBER(Table1[[#This Row],[Birthweight (grams)]]),ISNUMBER(Table1[[#This Row],[Gestation (days)]])),TRUE,FALSE)</f>
        <v>0</v>
      </c>
      <c r="E7715" s="2" t="str">
        <f>IF(Table1[[#This Row],[Is Data Valid]]=TRUE,IF(Table1[[#This Row],[Fetal Sex (Male, Female or Unknown)]]="Male",Backend!$C$6,IF(Table1[[#This Row],[Fetal Sex (Male, Female or Unknown)]]="Female",Backend!$C$7,IF(Table1[[#This Row],[Fetal Sex (Male, Female or Unknown)]]="Unknown",Backend!$C$8,"Error"))),"")</f>
        <v/>
      </c>
      <c r="F7715" s="8" t="str">
        <f>IF(Table1[[#This Row],[Is Data Valid]]=TRUE,EXP(0.578+0.332*((Table1[[#This Row],[Gestation (days)]]+0.5)/7)-0.00354*((Table1[[#This Row],[Gestation (days)]]+0.5)/7)^2)*Table1[[#This Row],[BW40_3705]],"")</f>
        <v/>
      </c>
      <c r="G7715" s="2" t="str">
        <f>IF(Table1[[#This Row],[Is Data Valid]]=TRUE,((Table1[[#This Row],[Birthweight (grams)]]/Table1[[#This Row],[BW_GA]])-1)/(Backend!$B$4/100*Table1[[#This Row],[BW40_3705]]),"")</f>
        <v/>
      </c>
      <c r="H7715" s="7" t="str">
        <f>IF(Table1[[#This Row],[Is Data Valid]]=TRUE,((Table1[[#This Row],[Birthweight (grams)]]*0.9/Table1[[#This Row],[BW_GA]])-1)/(Backend!$B$4/100*Table1[[#This Row],[BW40_3705]]),"")</f>
        <v/>
      </c>
      <c r="I7715" s="7" t="str">
        <f>IF(Table1[[#This Row],[Is Data Valid]]=TRUE,((Table1[[#This Row],[Birthweight (grams)]]*1.1/Table1[[#This Row],[BW_GA]])-1)/(Backend!$B$4/100*Table1[[#This Row],[BW40_3705]]),"")</f>
        <v/>
      </c>
      <c r="J7715" s="7" t="str">
        <f>IF(Table1[[#This Row],[Is Data Valid]]=TRUE,_xlfn.NORM.S.DIST(Table1[[#This Row],[Birthweight Z-Score]],TRUE)*100,"")</f>
        <v/>
      </c>
      <c r="K7715" s="7" t="str">
        <f>IF(Table1[[#This Row],[Is Data Valid]]=TRUE,_xlfn.NORM.S.DIST(Table1[[#This Row],[Birthweight Z-Score (BW-10%)]],TRUE)*100,"")</f>
        <v/>
      </c>
      <c r="L7715" s="7" t="str">
        <f>IF(Table1[[#This Row],[Is Data Valid]]=TRUE,_xlfn.NORM.S.DIST(Table1[[#This Row],[Birthweight Z-Score (BW+10%)]],TRUE)*100,"")</f>
        <v/>
      </c>
    </row>
    <row r="7716" spans="1:12" x14ac:dyDescent="0.35">
      <c r="A7716" s="3"/>
      <c r="B7716" s="2"/>
      <c r="C7716" s="2"/>
      <c r="D7716" s="2" t="b">
        <f>IF(AND(NOT(ISBLANK(Table1[[#This Row],[Fetal Sex (Male, Female or Unknown)]])),ISNUMBER(Table1[[#This Row],[Birthweight (grams)]]),ISNUMBER(Table1[[#This Row],[Gestation (days)]])),TRUE,FALSE)</f>
        <v>0</v>
      </c>
      <c r="E7716" s="2" t="str">
        <f>IF(Table1[[#This Row],[Is Data Valid]]=TRUE,IF(Table1[[#This Row],[Fetal Sex (Male, Female or Unknown)]]="Male",Backend!$C$6,IF(Table1[[#This Row],[Fetal Sex (Male, Female or Unknown)]]="Female",Backend!$C$7,IF(Table1[[#This Row],[Fetal Sex (Male, Female or Unknown)]]="Unknown",Backend!$C$8,"Error"))),"")</f>
        <v/>
      </c>
      <c r="F7716" s="8" t="str">
        <f>IF(Table1[[#This Row],[Is Data Valid]]=TRUE,EXP(0.578+0.332*((Table1[[#This Row],[Gestation (days)]]+0.5)/7)-0.00354*((Table1[[#This Row],[Gestation (days)]]+0.5)/7)^2)*Table1[[#This Row],[BW40_3705]],"")</f>
        <v/>
      </c>
      <c r="G7716" s="2" t="str">
        <f>IF(Table1[[#This Row],[Is Data Valid]]=TRUE,((Table1[[#This Row],[Birthweight (grams)]]/Table1[[#This Row],[BW_GA]])-1)/(Backend!$B$4/100*Table1[[#This Row],[BW40_3705]]),"")</f>
        <v/>
      </c>
      <c r="H7716" s="7" t="str">
        <f>IF(Table1[[#This Row],[Is Data Valid]]=TRUE,((Table1[[#This Row],[Birthweight (grams)]]*0.9/Table1[[#This Row],[BW_GA]])-1)/(Backend!$B$4/100*Table1[[#This Row],[BW40_3705]]),"")</f>
        <v/>
      </c>
      <c r="I7716" s="7" t="str">
        <f>IF(Table1[[#This Row],[Is Data Valid]]=TRUE,((Table1[[#This Row],[Birthweight (grams)]]*1.1/Table1[[#This Row],[BW_GA]])-1)/(Backend!$B$4/100*Table1[[#This Row],[BW40_3705]]),"")</f>
        <v/>
      </c>
      <c r="J7716" s="7" t="str">
        <f>IF(Table1[[#This Row],[Is Data Valid]]=TRUE,_xlfn.NORM.S.DIST(Table1[[#This Row],[Birthweight Z-Score]],TRUE)*100,"")</f>
        <v/>
      </c>
      <c r="K7716" s="7" t="str">
        <f>IF(Table1[[#This Row],[Is Data Valid]]=TRUE,_xlfn.NORM.S.DIST(Table1[[#This Row],[Birthweight Z-Score (BW-10%)]],TRUE)*100,"")</f>
        <v/>
      </c>
      <c r="L7716" s="7" t="str">
        <f>IF(Table1[[#This Row],[Is Data Valid]]=TRUE,_xlfn.NORM.S.DIST(Table1[[#This Row],[Birthweight Z-Score (BW+10%)]],TRUE)*100,"")</f>
        <v/>
      </c>
    </row>
    <row r="7717" spans="1:12" x14ac:dyDescent="0.35">
      <c r="A7717" s="3"/>
      <c r="B7717" s="2"/>
      <c r="C7717" s="2"/>
      <c r="D7717" s="2" t="b">
        <f>IF(AND(NOT(ISBLANK(Table1[[#This Row],[Fetal Sex (Male, Female or Unknown)]])),ISNUMBER(Table1[[#This Row],[Birthweight (grams)]]),ISNUMBER(Table1[[#This Row],[Gestation (days)]])),TRUE,FALSE)</f>
        <v>0</v>
      </c>
      <c r="E7717" s="2" t="str">
        <f>IF(Table1[[#This Row],[Is Data Valid]]=TRUE,IF(Table1[[#This Row],[Fetal Sex (Male, Female or Unknown)]]="Male",Backend!$C$6,IF(Table1[[#This Row],[Fetal Sex (Male, Female or Unknown)]]="Female",Backend!$C$7,IF(Table1[[#This Row],[Fetal Sex (Male, Female or Unknown)]]="Unknown",Backend!$C$8,"Error"))),"")</f>
        <v/>
      </c>
      <c r="F7717" s="8" t="str">
        <f>IF(Table1[[#This Row],[Is Data Valid]]=TRUE,EXP(0.578+0.332*((Table1[[#This Row],[Gestation (days)]]+0.5)/7)-0.00354*((Table1[[#This Row],[Gestation (days)]]+0.5)/7)^2)*Table1[[#This Row],[BW40_3705]],"")</f>
        <v/>
      </c>
      <c r="G7717" s="2" t="str">
        <f>IF(Table1[[#This Row],[Is Data Valid]]=TRUE,((Table1[[#This Row],[Birthweight (grams)]]/Table1[[#This Row],[BW_GA]])-1)/(Backend!$B$4/100*Table1[[#This Row],[BW40_3705]]),"")</f>
        <v/>
      </c>
      <c r="H7717" s="7" t="str">
        <f>IF(Table1[[#This Row],[Is Data Valid]]=TRUE,((Table1[[#This Row],[Birthweight (grams)]]*0.9/Table1[[#This Row],[BW_GA]])-1)/(Backend!$B$4/100*Table1[[#This Row],[BW40_3705]]),"")</f>
        <v/>
      </c>
      <c r="I7717" s="7" t="str">
        <f>IF(Table1[[#This Row],[Is Data Valid]]=TRUE,((Table1[[#This Row],[Birthweight (grams)]]*1.1/Table1[[#This Row],[BW_GA]])-1)/(Backend!$B$4/100*Table1[[#This Row],[BW40_3705]]),"")</f>
        <v/>
      </c>
      <c r="J7717" s="7" t="str">
        <f>IF(Table1[[#This Row],[Is Data Valid]]=TRUE,_xlfn.NORM.S.DIST(Table1[[#This Row],[Birthweight Z-Score]],TRUE)*100,"")</f>
        <v/>
      </c>
      <c r="K7717" s="7" t="str">
        <f>IF(Table1[[#This Row],[Is Data Valid]]=TRUE,_xlfn.NORM.S.DIST(Table1[[#This Row],[Birthweight Z-Score (BW-10%)]],TRUE)*100,"")</f>
        <v/>
      </c>
      <c r="L7717" s="7" t="str">
        <f>IF(Table1[[#This Row],[Is Data Valid]]=TRUE,_xlfn.NORM.S.DIST(Table1[[#This Row],[Birthweight Z-Score (BW+10%)]],TRUE)*100,"")</f>
        <v/>
      </c>
    </row>
    <row r="7718" spans="1:12" x14ac:dyDescent="0.35">
      <c r="A7718" s="3"/>
      <c r="B7718" s="2"/>
      <c r="C7718" s="2"/>
      <c r="D7718" s="2" t="b">
        <f>IF(AND(NOT(ISBLANK(Table1[[#This Row],[Fetal Sex (Male, Female or Unknown)]])),ISNUMBER(Table1[[#This Row],[Birthweight (grams)]]),ISNUMBER(Table1[[#This Row],[Gestation (days)]])),TRUE,FALSE)</f>
        <v>0</v>
      </c>
      <c r="E7718" s="2" t="str">
        <f>IF(Table1[[#This Row],[Is Data Valid]]=TRUE,IF(Table1[[#This Row],[Fetal Sex (Male, Female or Unknown)]]="Male",Backend!$C$6,IF(Table1[[#This Row],[Fetal Sex (Male, Female or Unknown)]]="Female",Backend!$C$7,IF(Table1[[#This Row],[Fetal Sex (Male, Female or Unknown)]]="Unknown",Backend!$C$8,"Error"))),"")</f>
        <v/>
      </c>
      <c r="F7718" s="8" t="str">
        <f>IF(Table1[[#This Row],[Is Data Valid]]=TRUE,EXP(0.578+0.332*((Table1[[#This Row],[Gestation (days)]]+0.5)/7)-0.00354*((Table1[[#This Row],[Gestation (days)]]+0.5)/7)^2)*Table1[[#This Row],[BW40_3705]],"")</f>
        <v/>
      </c>
      <c r="G7718" s="2" t="str">
        <f>IF(Table1[[#This Row],[Is Data Valid]]=TRUE,((Table1[[#This Row],[Birthweight (grams)]]/Table1[[#This Row],[BW_GA]])-1)/(Backend!$B$4/100*Table1[[#This Row],[BW40_3705]]),"")</f>
        <v/>
      </c>
      <c r="H7718" s="7" t="str">
        <f>IF(Table1[[#This Row],[Is Data Valid]]=TRUE,((Table1[[#This Row],[Birthweight (grams)]]*0.9/Table1[[#This Row],[BW_GA]])-1)/(Backend!$B$4/100*Table1[[#This Row],[BW40_3705]]),"")</f>
        <v/>
      </c>
      <c r="I7718" s="7" t="str">
        <f>IF(Table1[[#This Row],[Is Data Valid]]=TRUE,((Table1[[#This Row],[Birthweight (grams)]]*1.1/Table1[[#This Row],[BW_GA]])-1)/(Backend!$B$4/100*Table1[[#This Row],[BW40_3705]]),"")</f>
        <v/>
      </c>
      <c r="J7718" s="7" t="str">
        <f>IF(Table1[[#This Row],[Is Data Valid]]=TRUE,_xlfn.NORM.S.DIST(Table1[[#This Row],[Birthweight Z-Score]],TRUE)*100,"")</f>
        <v/>
      </c>
      <c r="K7718" s="7" t="str">
        <f>IF(Table1[[#This Row],[Is Data Valid]]=TRUE,_xlfn.NORM.S.DIST(Table1[[#This Row],[Birthweight Z-Score (BW-10%)]],TRUE)*100,"")</f>
        <v/>
      </c>
      <c r="L7718" s="7" t="str">
        <f>IF(Table1[[#This Row],[Is Data Valid]]=TRUE,_xlfn.NORM.S.DIST(Table1[[#This Row],[Birthweight Z-Score (BW+10%)]],TRUE)*100,"")</f>
        <v/>
      </c>
    </row>
    <row r="7719" spans="1:12" x14ac:dyDescent="0.35">
      <c r="A7719" s="3"/>
      <c r="B7719" s="2"/>
      <c r="C7719" s="2"/>
      <c r="D7719" s="2" t="b">
        <f>IF(AND(NOT(ISBLANK(Table1[[#This Row],[Fetal Sex (Male, Female or Unknown)]])),ISNUMBER(Table1[[#This Row],[Birthweight (grams)]]),ISNUMBER(Table1[[#This Row],[Gestation (days)]])),TRUE,FALSE)</f>
        <v>0</v>
      </c>
      <c r="E7719" s="2" t="str">
        <f>IF(Table1[[#This Row],[Is Data Valid]]=TRUE,IF(Table1[[#This Row],[Fetal Sex (Male, Female or Unknown)]]="Male",Backend!$C$6,IF(Table1[[#This Row],[Fetal Sex (Male, Female or Unknown)]]="Female",Backend!$C$7,IF(Table1[[#This Row],[Fetal Sex (Male, Female or Unknown)]]="Unknown",Backend!$C$8,"Error"))),"")</f>
        <v/>
      </c>
      <c r="F7719" s="8" t="str">
        <f>IF(Table1[[#This Row],[Is Data Valid]]=TRUE,EXP(0.578+0.332*((Table1[[#This Row],[Gestation (days)]]+0.5)/7)-0.00354*((Table1[[#This Row],[Gestation (days)]]+0.5)/7)^2)*Table1[[#This Row],[BW40_3705]],"")</f>
        <v/>
      </c>
      <c r="G7719" s="2" t="str">
        <f>IF(Table1[[#This Row],[Is Data Valid]]=TRUE,((Table1[[#This Row],[Birthweight (grams)]]/Table1[[#This Row],[BW_GA]])-1)/(Backend!$B$4/100*Table1[[#This Row],[BW40_3705]]),"")</f>
        <v/>
      </c>
      <c r="H7719" s="7" t="str">
        <f>IF(Table1[[#This Row],[Is Data Valid]]=TRUE,((Table1[[#This Row],[Birthweight (grams)]]*0.9/Table1[[#This Row],[BW_GA]])-1)/(Backend!$B$4/100*Table1[[#This Row],[BW40_3705]]),"")</f>
        <v/>
      </c>
      <c r="I7719" s="7" t="str">
        <f>IF(Table1[[#This Row],[Is Data Valid]]=TRUE,((Table1[[#This Row],[Birthweight (grams)]]*1.1/Table1[[#This Row],[BW_GA]])-1)/(Backend!$B$4/100*Table1[[#This Row],[BW40_3705]]),"")</f>
        <v/>
      </c>
      <c r="J7719" s="7" t="str">
        <f>IF(Table1[[#This Row],[Is Data Valid]]=TRUE,_xlfn.NORM.S.DIST(Table1[[#This Row],[Birthweight Z-Score]],TRUE)*100,"")</f>
        <v/>
      </c>
      <c r="K7719" s="7" t="str">
        <f>IF(Table1[[#This Row],[Is Data Valid]]=TRUE,_xlfn.NORM.S.DIST(Table1[[#This Row],[Birthweight Z-Score (BW-10%)]],TRUE)*100,"")</f>
        <v/>
      </c>
      <c r="L7719" s="7" t="str">
        <f>IF(Table1[[#This Row],[Is Data Valid]]=TRUE,_xlfn.NORM.S.DIST(Table1[[#This Row],[Birthweight Z-Score (BW+10%)]],TRUE)*100,"")</f>
        <v/>
      </c>
    </row>
    <row r="7720" spans="1:12" x14ac:dyDescent="0.35">
      <c r="A7720" s="3"/>
      <c r="B7720" s="2"/>
      <c r="C7720" s="2"/>
      <c r="D7720" s="2" t="b">
        <f>IF(AND(NOT(ISBLANK(Table1[[#This Row],[Fetal Sex (Male, Female or Unknown)]])),ISNUMBER(Table1[[#This Row],[Birthweight (grams)]]),ISNUMBER(Table1[[#This Row],[Gestation (days)]])),TRUE,FALSE)</f>
        <v>0</v>
      </c>
      <c r="E7720" s="2" t="str">
        <f>IF(Table1[[#This Row],[Is Data Valid]]=TRUE,IF(Table1[[#This Row],[Fetal Sex (Male, Female or Unknown)]]="Male",Backend!$C$6,IF(Table1[[#This Row],[Fetal Sex (Male, Female or Unknown)]]="Female",Backend!$C$7,IF(Table1[[#This Row],[Fetal Sex (Male, Female or Unknown)]]="Unknown",Backend!$C$8,"Error"))),"")</f>
        <v/>
      </c>
      <c r="F7720" s="8" t="str">
        <f>IF(Table1[[#This Row],[Is Data Valid]]=TRUE,EXP(0.578+0.332*((Table1[[#This Row],[Gestation (days)]]+0.5)/7)-0.00354*((Table1[[#This Row],[Gestation (days)]]+0.5)/7)^2)*Table1[[#This Row],[BW40_3705]],"")</f>
        <v/>
      </c>
      <c r="G7720" s="2" t="str">
        <f>IF(Table1[[#This Row],[Is Data Valid]]=TRUE,((Table1[[#This Row],[Birthweight (grams)]]/Table1[[#This Row],[BW_GA]])-1)/(Backend!$B$4/100*Table1[[#This Row],[BW40_3705]]),"")</f>
        <v/>
      </c>
      <c r="H7720" s="7" t="str">
        <f>IF(Table1[[#This Row],[Is Data Valid]]=TRUE,((Table1[[#This Row],[Birthweight (grams)]]*0.9/Table1[[#This Row],[BW_GA]])-1)/(Backend!$B$4/100*Table1[[#This Row],[BW40_3705]]),"")</f>
        <v/>
      </c>
      <c r="I7720" s="7" t="str">
        <f>IF(Table1[[#This Row],[Is Data Valid]]=TRUE,((Table1[[#This Row],[Birthweight (grams)]]*1.1/Table1[[#This Row],[BW_GA]])-1)/(Backend!$B$4/100*Table1[[#This Row],[BW40_3705]]),"")</f>
        <v/>
      </c>
      <c r="J7720" s="7" t="str">
        <f>IF(Table1[[#This Row],[Is Data Valid]]=TRUE,_xlfn.NORM.S.DIST(Table1[[#This Row],[Birthweight Z-Score]],TRUE)*100,"")</f>
        <v/>
      </c>
      <c r="K7720" s="7" t="str">
        <f>IF(Table1[[#This Row],[Is Data Valid]]=TRUE,_xlfn.NORM.S.DIST(Table1[[#This Row],[Birthweight Z-Score (BW-10%)]],TRUE)*100,"")</f>
        <v/>
      </c>
      <c r="L7720" s="7" t="str">
        <f>IF(Table1[[#This Row],[Is Data Valid]]=TRUE,_xlfn.NORM.S.DIST(Table1[[#This Row],[Birthweight Z-Score (BW+10%)]],TRUE)*100,"")</f>
        <v/>
      </c>
    </row>
    <row r="7721" spans="1:12" x14ac:dyDescent="0.35">
      <c r="A7721" s="3"/>
      <c r="B7721" s="2"/>
      <c r="C7721" s="2"/>
      <c r="D7721" s="2" t="b">
        <f>IF(AND(NOT(ISBLANK(Table1[[#This Row],[Fetal Sex (Male, Female or Unknown)]])),ISNUMBER(Table1[[#This Row],[Birthweight (grams)]]),ISNUMBER(Table1[[#This Row],[Gestation (days)]])),TRUE,FALSE)</f>
        <v>0</v>
      </c>
      <c r="E7721" s="2" t="str">
        <f>IF(Table1[[#This Row],[Is Data Valid]]=TRUE,IF(Table1[[#This Row],[Fetal Sex (Male, Female or Unknown)]]="Male",Backend!$C$6,IF(Table1[[#This Row],[Fetal Sex (Male, Female or Unknown)]]="Female",Backend!$C$7,IF(Table1[[#This Row],[Fetal Sex (Male, Female or Unknown)]]="Unknown",Backend!$C$8,"Error"))),"")</f>
        <v/>
      </c>
      <c r="F7721" s="8" t="str">
        <f>IF(Table1[[#This Row],[Is Data Valid]]=TRUE,EXP(0.578+0.332*((Table1[[#This Row],[Gestation (days)]]+0.5)/7)-0.00354*((Table1[[#This Row],[Gestation (days)]]+0.5)/7)^2)*Table1[[#This Row],[BW40_3705]],"")</f>
        <v/>
      </c>
      <c r="G7721" s="2" t="str">
        <f>IF(Table1[[#This Row],[Is Data Valid]]=TRUE,((Table1[[#This Row],[Birthweight (grams)]]/Table1[[#This Row],[BW_GA]])-1)/(Backend!$B$4/100*Table1[[#This Row],[BW40_3705]]),"")</f>
        <v/>
      </c>
      <c r="H7721" s="7" t="str">
        <f>IF(Table1[[#This Row],[Is Data Valid]]=TRUE,((Table1[[#This Row],[Birthweight (grams)]]*0.9/Table1[[#This Row],[BW_GA]])-1)/(Backend!$B$4/100*Table1[[#This Row],[BW40_3705]]),"")</f>
        <v/>
      </c>
      <c r="I7721" s="7" t="str">
        <f>IF(Table1[[#This Row],[Is Data Valid]]=TRUE,((Table1[[#This Row],[Birthweight (grams)]]*1.1/Table1[[#This Row],[BW_GA]])-1)/(Backend!$B$4/100*Table1[[#This Row],[BW40_3705]]),"")</f>
        <v/>
      </c>
      <c r="J7721" s="7" t="str">
        <f>IF(Table1[[#This Row],[Is Data Valid]]=TRUE,_xlfn.NORM.S.DIST(Table1[[#This Row],[Birthweight Z-Score]],TRUE)*100,"")</f>
        <v/>
      </c>
      <c r="K7721" s="7" t="str">
        <f>IF(Table1[[#This Row],[Is Data Valid]]=TRUE,_xlfn.NORM.S.DIST(Table1[[#This Row],[Birthweight Z-Score (BW-10%)]],TRUE)*100,"")</f>
        <v/>
      </c>
      <c r="L7721" s="7" t="str">
        <f>IF(Table1[[#This Row],[Is Data Valid]]=TRUE,_xlfn.NORM.S.DIST(Table1[[#This Row],[Birthweight Z-Score (BW+10%)]],TRUE)*100,"")</f>
        <v/>
      </c>
    </row>
    <row r="7722" spans="1:12" x14ac:dyDescent="0.35">
      <c r="A7722" s="3"/>
      <c r="B7722" s="2"/>
      <c r="C7722" s="2"/>
      <c r="D7722" s="2" t="b">
        <f>IF(AND(NOT(ISBLANK(Table1[[#This Row],[Fetal Sex (Male, Female or Unknown)]])),ISNUMBER(Table1[[#This Row],[Birthweight (grams)]]),ISNUMBER(Table1[[#This Row],[Gestation (days)]])),TRUE,FALSE)</f>
        <v>0</v>
      </c>
      <c r="E7722" s="2" t="str">
        <f>IF(Table1[[#This Row],[Is Data Valid]]=TRUE,IF(Table1[[#This Row],[Fetal Sex (Male, Female or Unknown)]]="Male",Backend!$C$6,IF(Table1[[#This Row],[Fetal Sex (Male, Female or Unknown)]]="Female",Backend!$C$7,IF(Table1[[#This Row],[Fetal Sex (Male, Female or Unknown)]]="Unknown",Backend!$C$8,"Error"))),"")</f>
        <v/>
      </c>
      <c r="F7722" s="8" t="str">
        <f>IF(Table1[[#This Row],[Is Data Valid]]=TRUE,EXP(0.578+0.332*((Table1[[#This Row],[Gestation (days)]]+0.5)/7)-0.00354*((Table1[[#This Row],[Gestation (days)]]+0.5)/7)^2)*Table1[[#This Row],[BW40_3705]],"")</f>
        <v/>
      </c>
      <c r="G7722" s="2" t="str">
        <f>IF(Table1[[#This Row],[Is Data Valid]]=TRUE,((Table1[[#This Row],[Birthweight (grams)]]/Table1[[#This Row],[BW_GA]])-1)/(Backend!$B$4/100*Table1[[#This Row],[BW40_3705]]),"")</f>
        <v/>
      </c>
      <c r="H7722" s="7" t="str">
        <f>IF(Table1[[#This Row],[Is Data Valid]]=TRUE,((Table1[[#This Row],[Birthweight (grams)]]*0.9/Table1[[#This Row],[BW_GA]])-1)/(Backend!$B$4/100*Table1[[#This Row],[BW40_3705]]),"")</f>
        <v/>
      </c>
      <c r="I7722" s="7" t="str">
        <f>IF(Table1[[#This Row],[Is Data Valid]]=TRUE,((Table1[[#This Row],[Birthweight (grams)]]*1.1/Table1[[#This Row],[BW_GA]])-1)/(Backend!$B$4/100*Table1[[#This Row],[BW40_3705]]),"")</f>
        <v/>
      </c>
      <c r="J7722" s="7" t="str">
        <f>IF(Table1[[#This Row],[Is Data Valid]]=TRUE,_xlfn.NORM.S.DIST(Table1[[#This Row],[Birthweight Z-Score]],TRUE)*100,"")</f>
        <v/>
      </c>
      <c r="K7722" s="7" t="str">
        <f>IF(Table1[[#This Row],[Is Data Valid]]=TRUE,_xlfn.NORM.S.DIST(Table1[[#This Row],[Birthweight Z-Score (BW-10%)]],TRUE)*100,"")</f>
        <v/>
      </c>
      <c r="L7722" s="7" t="str">
        <f>IF(Table1[[#This Row],[Is Data Valid]]=TRUE,_xlfn.NORM.S.DIST(Table1[[#This Row],[Birthweight Z-Score (BW+10%)]],TRUE)*100,"")</f>
        <v/>
      </c>
    </row>
    <row r="7723" spans="1:12" x14ac:dyDescent="0.35">
      <c r="A7723" s="3"/>
      <c r="B7723" s="2"/>
      <c r="C7723" s="2"/>
      <c r="D7723" s="2" t="b">
        <f>IF(AND(NOT(ISBLANK(Table1[[#This Row],[Fetal Sex (Male, Female or Unknown)]])),ISNUMBER(Table1[[#This Row],[Birthweight (grams)]]),ISNUMBER(Table1[[#This Row],[Gestation (days)]])),TRUE,FALSE)</f>
        <v>0</v>
      </c>
      <c r="E7723" s="2" t="str">
        <f>IF(Table1[[#This Row],[Is Data Valid]]=TRUE,IF(Table1[[#This Row],[Fetal Sex (Male, Female or Unknown)]]="Male",Backend!$C$6,IF(Table1[[#This Row],[Fetal Sex (Male, Female or Unknown)]]="Female",Backend!$C$7,IF(Table1[[#This Row],[Fetal Sex (Male, Female or Unknown)]]="Unknown",Backend!$C$8,"Error"))),"")</f>
        <v/>
      </c>
      <c r="F7723" s="8" t="str">
        <f>IF(Table1[[#This Row],[Is Data Valid]]=TRUE,EXP(0.578+0.332*((Table1[[#This Row],[Gestation (days)]]+0.5)/7)-0.00354*((Table1[[#This Row],[Gestation (days)]]+0.5)/7)^2)*Table1[[#This Row],[BW40_3705]],"")</f>
        <v/>
      </c>
      <c r="G7723" s="2" t="str">
        <f>IF(Table1[[#This Row],[Is Data Valid]]=TRUE,((Table1[[#This Row],[Birthweight (grams)]]/Table1[[#This Row],[BW_GA]])-1)/(Backend!$B$4/100*Table1[[#This Row],[BW40_3705]]),"")</f>
        <v/>
      </c>
      <c r="H7723" s="7" t="str">
        <f>IF(Table1[[#This Row],[Is Data Valid]]=TRUE,((Table1[[#This Row],[Birthweight (grams)]]*0.9/Table1[[#This Row],[BW_GA]])-1)/(Backend!$B$4/100*Table1[[#This Row],[BW40_3705]]),"")</f>
        <v/>
      </c>
      <c r="I7723" s="7" t="str">
        <f>IF(Table1[[#This Row],[Is Data Valid]]=TRUE,((Table1[[#This Row],[Birthweight (grams)]]*1.1/Table1[[#This Row],[BW_GA]])-1)/(Backend!$B$4/100*Table1[[#This Row],[BW40_3705]]),"")</f>
        <v/>
      </c>
      <c r="J7723" s="7" t="str">
        <f>IF(Table1[[#This Row],[Is Data Valid]]=TRUE,_xlfn.NORM.S.DIST(Table1[[#This Row],[Birthweight Z-Score]],TRUE)*100,"")</f>
        <v/>
      </c>
      <c r="K7723" s="7" t="str">
        <f>IF(Table1[[#This Row],[Is Data Valid]]=TRUE,_xlfn.NORM.S.DIST(Table1[[#This Row],[Birthweight Z-Score (BW-10%)]],TRUE)*100,"")</f>
        <v/>
      </c>
      <c r="L7723" s="7" t="str">
        <f>IF(Table1[[#This Row],[Is Data Valid]]=TRUE,_xlfn.NORM.S.DIST(Table1[[#This Row],[Birthweight Z-Score (BW+10%)]],TRUE)*100,"")</f>
        <v/>
      </c>
    </row>
    <row r="7724" spans="1:12" x14ac:dyDescent="0.35">
      <c r="A7724" s="3"/>
      <c r="B7724" s="2"/>
      <c r="C7724" s="2"/>
      <c r="D7724" s="2" t="b">
        <f>IF(AND(NOT(ISBLANK(Table1[[#This Row],[Fetal Sex (Male, Female or Unknown)]])),ISNUMBER(Table1[[#This Row],[Birthweight (grams)]]),ISNUMBER(Table1[[#This Row],[Gestation (days)]])),TRUE,FALSE)</f>
        <v>0</v>
      </c>
      <c r="E7724" s="2" t="str">
        <f>IF(Table1[[#This Row],[Is Data Valid]]=TRUE,IF(Table1[[#This Row],[Fetal Sex (Male, Female or Unknown)]]="Male",Backend!$C$6,IF(Table1[[#This Row],[Fetal Sex (Male, Female or Unknown)]]="Female",Backend!$C$7,IF(Table1[[#This Row],[Fetal Sex (Male, Female or Unknown)]]="Unknown",Backend!$C$8,"Error"))),"")</f>
        <v/>
      </c>
      <c r="F7724" s="8" t="str">
        <f>IF(Table1[[#This Row],[Is Data Valid]]=TRUE,EXP(0.578+0.332*((Table1[[#This Row],[Gestation (days)]]+0.5)/7)-0.00354*((Table1[[#This Row],[Gestation (days)]]+0.5)/7)^2)*Table1[[#This Row],[BW40_3705]],"")</f>
        <v/>
      </c>
      <c r="G7724" s="2" t="str">
        <f>IF(Table1[[#This Row],[Is Data Valid]]=TRUE,((Table1[[#This Row],[Birthweight (grams)]]/Table1[[#This Row],[BW_GA]])-1)/(Backend!$B$4/100*Table1[[#This Row],[BW40_3705]]),"")</f>
        <v/>
      </c>
      <c r="H7724" s="7" t="str">
        <f>IF(Table1[[#This Row],[Is Data Valid]]=TRUE,((Table1[[#This Row],[Birthweight (grams)]]*0.9/Table1[[#This Row],[BW_GA]])-1)/(Backend!$B$4/100*Table1[[#This Row],[BW40_3705]]),"")</f>
        <v/>
      </c>
      <c r="I7724" s="7" t="str">
        <f>IF(Table1[[#This Row],[Is Data Valid]]=TRUE,((Table1[[#This Row],[Birthweight (grams)]]*1.1/Table1[[#This Row],[BW_GA]])-1)/(Backend!$B$4/100*Table1[[#This Row],[BW40_3705]]),"")</f>
        <v/>
      </c>
      <c r="J7724" s="7" t="str">
        <f>IF(Table1[[#This Row],[Is Data Valid]]=TRUE,_xlfn.NORM.S.DIST(Table1[[#This Row],[Birthweight Z-Score]],TRUE)*100,"")</f>
        <v/>
      </c>
      <c r="K7724" s="7" t="str">
        <f>IF(Table1[[#This Row],[Is Data Valid]]=TRUE,_xlfn.NORM.S.DIST(Table1[[#This Row],[Birthweight Z-Score (BW-10%)]],TRUE)*100,"")</f>
        <v/>
      </c>
      <c r="L7724" s="7" t="str">
        <f>IF(Table1[[#This Row],[Is Data Valid]]=TRUE,_xlfn.NORM.S.DIST(Table1[[#This Row],[Birthweight Z-Score (BW+10%)]],TRUE)*100,"")</f>
        <v/>
      </c>
    </row>
    <row r="7725" spans="1:12" x14ac:dyDescent="0.35">
      <c r="A7725" s="3"/>
      <c r="B7725" s="2"/>
      <c r="C7725" s="2"/>
      <c r="D7725" s="2" t="b">
        <f>IF(AND(NOT(ISBLANK(Table1[[#This Row],[Fetal Sex (Male, Female or Unknown)]])),ISNUMBER(Table1[[#This Row],[Birthweight (grams)]]),ISNUMBER(Table1[[#This Row],[Gestation (days)]])),TRUE,FALSE)</f>
        <v>0</v>
      </c>
      <c r="E7725" s="2" t="str">
        <f>IF(Table1[[#This Row],[Is Data Valid]]=TRUE,IF(Table1[[#This Row],[Fetal Sex (Male, Female or Unknown)]]="Male",Backend!$C$6,IF(Table1[[#This Row],[Fetal Sex (Male, Female or Unknown)]]="Female",Backend!$C$7,IF(Table1[[#This Row],[Fetal Sex (Male, Female or Unknown)]]="Unknown",Backend!$C$8,"Error"))),"")</f>
        <v/>
      </c>
      <c r="F7725" s="8" t="str">
        <f>IF(Table1[[#This Row],[Is Data Valid]]=TRUE,EXP(0.578+0.332*((Table1[[#This Row],[Gestation (days)]]+0.5)/7)-0.00354*((Table1[[#This Row],[Gestation (days)]]+0.5)/7)^2)*Table1[[#This Row],[BW40_3705]],"")</f>
        <v/>
      </c>
      <c r="G7725" s="2" t="str">
        <f>IF(Table1[[#This Row],[Is Data Valid]]=TRUE,((Table1[[#This Row],[Birthweight (grams)]]/Table1[[#This Row],[BW_GA]])-1)/(Backend!$B$4/100*Table1[[#This Row],[BW40_3705]]),"")</f>
        <v/>
      </c>
      <c r="H7725" s="7" t="str">
        <f>IF(Table1[[#This Row],[Is Data Valid]]=TRUE,((Table1[[#This Row],[Birthweight (grams)]]*0.9/Table1[[#This Row],[BW_GA]])-1)/(Backend!$B$4/100*Table1[[#This Row],[BW40_3705]]),"")</f>
        <v/>
      </c>
      <c r="I7725" s="7" t="str">
        <f>IF(Table1[[#This Row],[Is Data Valid]]=TRUE,((Table1[[#This Row],[Birthweight (grams)]]*1.1/Table1[[#This Row],[BW_GA]])-1)/(Backend!$B$4/100*Table1[[#This Row],[BW40_3705]]),"")</f>
        <v/>
      </c>
      <c r="J7725" s="7" t="str">
        <f>IF(Table1[[#This Row],[Is Data Valid]]=TRUE,_xlfn.NORM.S.DIST(Table1[[#This Row],[Birthweight Z-Score]],TRUE)*100,"")</f>
        <v/>
      </c>
      <c r="K7725" s="7" t="str">
        <f>IF(Table1[[#This Row],[Is Data Valid]]=TRUE,_xlfn.NORM.S.DIST(Table1[[#This Row],[Birthweight Z-Score (BW-10%)]],TRUE)*100,"")</f>
        <v/>
      </c>
      <c r="L7725" s="7" t="str">
        <f>IF(Table1[[#This Row],[Is Data Valid]]=TRUE,_xlfn.NORM.S.DIST(Table1[[#This Row],[Birthweight Z-Score (BW+10%)]],TRUE)*100,"")</f>
        <v/>
      </c>
    </row>
    <row r="7726" spans="1:12" x14ac:dyDescent="0.35">
      <c r="A7726" s="3"/>
      <c r="B7726" s="2"/>
      <c r="C7726" s="2"/>
      <c r="D7726" s="2" t="b">
        <f>IF(AND(NOT(ISBLANK(Table1[[#This Row],[Fetal Sex (Male, Female or Unknown)]])),ISNUMBER(Table1[[#This Row],[Birthweight (grams)]]),ISNUMBER(Table1[[#This Row],[Gestation (days)]])),TRUE,FALSE)</f>
        <v>0</v>
      </c>
      <c r="E7726" s="2" t="str">
        <f>IF(Table1[[#This Row],[Is Data Valid]]=TRUE,IF(Table1[[#This Row],[Fetal Sex (Male, Female or Unknown)]]="Male",Backend!$C$6,IF(Table1[[#This Row],[Fetal Sex (Male, Female or Unknown)]]="Female",Backend!$C$7,IF(Table1[[#This Row],[Fetal Sex (Male, Female or Unknown)]]="Unknown",Backend!$C$8,"Error"))),"")</f>
        <v/>
      </c>
      <c r="F7726" s="8" t="str">
        <f>IF(Table1[[#This Row],[Is Data Valid]]=TRUE,EXP(0.578+0.332*((Table1[[#This Row],[Gestation (days)]]+0.5)/7)-0.00354*((Table1[[#This Row],[Gestation (days)]]+0.5)/7)^2)*Table1[[#This Row],[BW40_3705]],"")</f>
        <v/>
      </c>
      <c r="G7726" s="2" t="str">
        <f>IF(Table1[[#This Row],[Is Data Valid]]=TRUE,((Table1[[#This Row],[Birthweight (grams)]]/Table1[[#This Row],[BW_GA]])-1)/(Backend!$B$4/100*Table1[[#This Row],[BW40_3705]]),"")</f>
        <v/>
      </c>
      <c r="H7726" s="7" t="str">
        <f>IF(Table1[[#This Row],[Is Data Valid]]=TRUE,((Table1[[#This Row],[Birthweight (grams)]]*0.9/Table1[[#This Row],[BW_GA]])-1)/(Backend!$B$4/100*Table1[[#This Row],[BW40_3705]]),"")</f>
        <v/>
      </c>
      <c r="I7726" s="7" t="str">
        <f>IF(Table1[[#This Row],[Is Data Valid]]=TRUE,((Table1[[#This Row],[Birthweight (grams)]]*1.1/Table1[[#This Row],[BW_GA]])-1)/(Backend!$B$4/100*Table1[[#This Row],[BW40_3705]]),"")</f>
        <v/>
      </c>
      <c r="J7726" s="7" t="str">
        <f>IF(Table1[[#This Row],[Is Data Valid]]=TRUE,_xlfn.NORM.S.DIST(Table1[[#This Row],[Birthweight Z-Score]],TRUE)*100,"")</f>
        <v/>
      </c>
      <c r="K7726" s="7" t="str">
        <f>IF(Table1[[#This Row],[Is Data Valid]]=TRUE,_xlfn.NORM.S.DIST(Table1[[#This Row],[Birthweight Z-Score (BW-10%)]],TRUE)*100,"")</f>
        <v/>
      </c>
      <c r="L7726" s="7" t="str">
        <f>IF(Table1[[#This Row],[Is Data Valid]]=TRUE,_xlfn.NORM.S.DIST(Table1[[#This Row],[Birthweight Z-Score (BW+10%)]],TRUE)*100,"")</f>
        <v/>
      </c>
    </row>
    <row r="7727" spans="1:12" x14ac:dyDescent="0.35">
      <c r="A7727" s="3"/>
      <c r="B7727" s="2"/>
      <c r="C7727" s="2"/>
      <c r="D7727" s="2" t="b">
        <f>IF(AND(NOT(ISBLANK(Table1[[#This Row],[Fetal Sex (Male, Female or Unknown)]])),ISNUMBER(Table1[[#This Row],[Birthweight (grams)]]),ISNUMBER(Table1[[#This Row],[Gestation (days)]])),TRUE,FALSE)</f>
        <v>0</v>
      </c>
      <c r="E7727" s="2" t="str">
        <f>IF(Table1[[#This Row],[Is Data Valid]]=TRUE,IF(Table1[[#This Row],[Fetal Sex (Male, Female or Unknown)]]="Male",Backend!$C$6,IF(Table1[[#This Row],[Fetal Sex (Male, Female or Unknown)]]="Female",Backend!$C$7,IF(Table1[[#This Row],[Fetal Sex (Male, Female or Unknown)]]="Unknown",Backend!$C$8,"Error"))),"")</f>
        <v/>
      </c>
      <c r="F7727" s="8" t="str">
        <f>IF(Table1[[#This Row],[Is Data Valid]]=TRUE,EXP(0.578+0.332*((Table1[[#This Row],[Gestation (days)]]+0.5)/7)-0.00354*((Table1[[#This Row],[Gestation (days)]]+0.5)/7)^2)*Table1[[#This Row],[BW40_3705]],"")</f>
        <v/>
      </c>
      <c r="G7727" s="2" t="str">
        <f>IF(Table1[[#This Row],[Is Data Valid]]=TRUE,((Table1[[#This Row],[Birthweight (grams)]]/Table1[[#This Row],[BW_GA]])-1)/(Backend!$B$4/100*Table1[[#This Row],[BW40_3705]]),"")</f>
        <v/>
      </c>
      <c r="H7727" s="7" t="str">
        <f>IF(Table1[[#This Row],[Is Data Valid]]=TRUE,((Table1[[#This Row],[Birthweight (grams)]]*0.9/Table1[[#This Row],[BW_GA]])-1)/(Backend!$B$4/100*Table1[[#This Row],[BW40_3705]]),"")</f>
        <v/>
      </c>
      <c r="I7727" s="7" t="str">
        <f>IF(Table1[[#This Row],[Is Data Valid]]=TRUE,((Table1[[#This Row],[Birthweight (grams)]]*1.1/Table1[[#This Row],[BW_GA]])-1)/(Backend!$B$4/100*Table1[[#This Row],[BW40_3705]]),"")</f>
        <v/>
      </c>
      <c r="J7727" s="7" t="str">
        <f>IF(Table1[[#This Row],[Is Data Valid]]=TRUE,_xlfn.NORM.S.DIST(Table1[[#This Row],[Birthweight Z-Score]],TRUE)*100,"")</f>
        <v/>
      </c>
      <c r="K7727" s="7" t="str">
        <f>IF(Table1[[#This Row],[Is Data Valid]]=TRUE,_xlfn.NORM.S.DIST(Table1[[#This Row],[Birthweight Z-Score (BW-10%)]],TRUE)*100,"")</f>
        <v/>
      </c>
      <c r="L7727" s="7" t="str">
        <f>IF(Table1[[#This Row],[Is Data Valid]]=TRUE,_xlfn.NORM.S.DIST(Table1[[#This Row],[Birthweight Z-Score (BW+10%)]],TRUE)*100,"")</f>
        <v/>
      </c>
    </row>
    <row r="7728" spans="1:12" x14ac:dyDescent="0.35">
      <c r="A7728" s="3"/>
      <c r="B7728" s="2"/>
      <c r="C7728" s="2"/>
      <c r="D7728" s="2" t="b">
        <f>IF(AND(NOT(ISBLANK(Table1[[#This Row],[Fetal Sex (Male, Female or Unknown)]])),ISNUMBER(Table1[[#This Row],[Birthweight (grams)]]),ISNUMBER(Table1[[#This Row],[Gestation (days)]])),TRUE,FALSE)</f>
        <v>0</v>
      </c>
      <c r="E7728" s="2" t="str">
        <f>IF(Table1[[#This Row],[Is Data Valid]]=TRUE,IF(Table1[[#This Row],[Fetal Sex (Male, Female or Unknown)]]="Male",Backend!$C$6,IF(Table1[[#This Row],[Fetal Sex (Male, Female or Unknown)]]="Female",Backend!$C$7,IF(Table1[[#This Row],[Fetal Sex (Male, Female or Unknown)]]="Unknown",Backend!$C$8,"Error"))),"")</f>
        <v/>
      </c>
      <c r="F7728" s="8" t="str">
        <f>IF(Table1[[#This Row],[Is Data Valid]]=TRUE,EXP(0.578+0.332*((Table1[[#This Row],[Gestation (days)]]+0.5)/7)-0.00354*((Table1[[#This Row],[Gestation (days)]]+0.5)/7)^2)*Table1[[#This Row],[BW40_3705]],"")</f>
        <v/>
      </c>
      <c r="G7728" s="2" t="str">
        <f>IF(Table1[[#This Row],[Is Data Valid]]=TRUE,((Table1[[#This Row],[Birthweight (grams)]]/Table1[[#This Row],[BW_GA]])-1)/(Backend!$B$4/100*Table1[[#This Row],[BW40_3705]]),"")</f>
        <v/>
      </c>
      <c r="H7728" s="7" t="str">
        <f>IF(Table1[[#This Row],[Is Data Valid]]=TRUE,((Table1[[#This Row],[Birthweight (grams)]]*0.9/Table1[[#This Row],[BW_GA]])-1)/(Backend!$B$4/100*Table1[[#This Row],[BW40_3705]]),"")</f>
        <v/>
      </c>
      <c r="I7728" s="7" t="str">
        <f>IF(Table1[[#This Row],[Is Data Valid]]=TRUE,((Table1[[#This Row],[Birthweight (grams)]]*1.1/Table1[[#This Row],[BW_GA]])-1)/(Backend!$B$4/100*Table1[[#This Row],[BW40_3705]]),"")</f>
        <v/>
      </c>
      <c r="J7728" s="7" t="str">
        <f>IF(Table1[[#This Row],[Is Data Valid]]=TRUE,_xlfn.NORM.S.DIST(Table1[[#This Row],[Birthweight Z-Score]],TRUE)*100,"")</f>
        <v/>
      </c>
      <c r="K7728" s="7" t="str">
        <f>IF(Table1[[#This Row],[Is Data Valid]]=TRUE,_xlfn.NORM.S.DIST(Table1[[#This Row],[Birthweight Z-Score (BW-10%)]],TRUE)*100,"")</f>
        <v/>
      </c>
      <c r="L7728" s="7" t="str">
        <f>IF(Table1[[#This Row],[Is Data Valid]]=TRUE,_xlfn.NORM.S.DIST(Table1[[#This Row],[Birthweight Z-Score (BW+10%)]],TRUE)*100,"")</f>
        <v/>
      </c>
    </row>
    <row r="7729" spans="1:12" x14ac:dyDescent="0.35">
      <c r="A7729" s="3"/>
      <c r="B7729" s="2"/>
      <c r="C7729" s="2"/>
      <c r="D7729" s="2" t="b">
        <f>IF(AND(NOT(ISBLANK(Table1[[#This Row],[Fetal Sex (Male, Female or Unknown)]])),ISNUMBER(Table1[[#This Row],[Birthweight (grams)]]),ISNUMBER(Table1[[#This Row],[Gestation (days)]])),TRUE,FALSE)</f>
        <v>0</v>
      </c>
      <c r="E7729" s="2" t="str">
        <f>IF(Table1[[#This Row],[Is Data Valid]]=TRUE,IF(Table1[[#This Row],[Fetal Sex (Male, Female or Unknown)]]="Male",Backend!$C$6,IF(Table1[[#This Row],[Fetal Sex (Male, Female or Unknown)]]="Female",Backend!$C$7,IF(Table1[[#This Row],[Fetal Sex (Male, Female or Unknown)]]="Unknown",Backend!$C$8,"Error"))),"")</f>
        <v/>
      </c>
      <c r="F7729" s="8" t="str">
        <f>IF(Table1[[#This Row],[Is Data Valid]]=TRUE,EXP(0.578+0.332*((Table1[[#This Row],[Gestation (days)]]+0.5)/7)-0.00354*((Table1[[#This Row],[Gestation (days)]]+0.5)/7)^2)*Table1[[#This Row],[BW40_3705]],"")</f>
        <v/>
      </c>
      <c r="G7729" s="2" t="str">
        <f>IF(Table1[[#This Row],[Is Data Valid]]=TRUE,((Table1[[#This Row],[Birthweight (grams)]]/Table1[[#This Row],[BW_GA]])-1)/(Backend!$B$4/100*Table1[[#This Row],[BW40_3705]]),"")</f>
        <v/>
      </c>
      <c r="H7729" s="7" t="str">
        <f>IF(Table1[[#This Row],[Is Data Valid]]=TRUE,((Table1[[#This Row],[Birthweight (grams)]]*0.9/Table1[[#This Row],[BW_GA]])-1)/(Backend!$B$4/100*Table1[[#This Row],[BW40_3705]]),"")</f>
        <v/>
      </c>
      <c r="I7729" s="7" t="str">
        <f>IF(Table1[[#This Row],[Is Data Valid]]=TRUE,((Table1[[#This Row],[Birthweight (grams)]]*1.1/Table1[[#This Row],[BW_GA]])-1)/(Backend!$B$4/100*Table1[[#This Row],[BW40_3705]]),"")</f>
        <v/>
      </c>
      <c r="J7729" s="7" t="str">
        <f>IF(Table1[[#This Row],[Is Data Valid]]=TRUE,_xlfn.NORM.S.DIST(Table1[[#This Row],[Birthweight Z-Score]],TRUE)*100,"")</f>
        <v/>
      </c>
      <c r="K7729" s="7" t="str">
        <f>IF(Table1[[#This Row],[Is Data Valid]]=TRUE,_xlfn.NORM.S.DIST(Table1[[#This Row],[Birthweight Z-Score (BW-10%)]],TRUE)*100,"")</f>
        <v/>
      </c>
      <c r="L7729" s="7" t="str">
        <f>IF(Table1[[#This Row],[Is Data Valid]]=TRUE,_xlfn.NORM.S.DIST(Table1[[#This Row],[Birthweight Z-Score (BW+10%)]],TRUE)*100,"")</f>
        <v/>
      </c>
    </row>
    <row r="7730" spans="1:12" x14ac:dyDescent="0.35">
      <c r="A7730" s="3"/>
      <c r="B7730" s="2"/>
      <c r="C7730" s="2"/>
      <c r="D7730" s="2" t="b">
        <f>IF(AND(NOT(ISBLANK(Table1[[#This Row],[Fetal Sex (Male, Female or Unknown)]])),ISNUMBER(Table1[[#This Row],[Birthweight (grams)]]),ISNUMBER(Table1[[#This Row],[Gestation (days)]])),TRUE,FALSE)</f>
        <v>0</v>
      </c>
      <c r="E7730" s="2" t="str">
        <f>IF(Table1[[#This Row],[Is Data Valid]]=TRUE,IF(Table1[[#This Row],[Fetal Sex (Male, Female or Unknown)]]="Male",Backend!$C$6,IF(Table1[[#This Row],[Fetal Sex (Male, Female or Unknown)]]="Female",Backend!$C$7,IF(Table1[[#This Row],[Fetal Sex (Male, Female or Unknown)]]="Unknown",Backend!$C$8,"Error"))),"")</f>
        <v/>
      </c>
      <c r="F7730" s="8" t="str">
        <f>IF(Table1[[#This Row],[Is Data Valid]]=TRUE,EXP(0.578+0.332*((Table1[[#This Row],[Gestation (days)]]+0.5)/7)-0.00354*((Table1[[#This Row],[Gestation (days)]]+0.5)/7)^2)*Table1[[#This Row],[BW40_3705]],"")</f>
        <v/>
      </c>
      <c r="G7730" s="2" t="str">
        <f>IF(Table1[[#This Row],[Is Data Valid]]=TRUE,((Table1[[#This Row],[Birthweight (grams)]]/Table1[[#This Row],[BW_GA]])-1)/(Backend!$B$4/100*Table1[[#This Row],[BW40_3705]]),"")</f>
        <v/>
      </c>
      <c r="H7730" s="7" t="str">
        <f>IF(Table1[[#This Row],[Is Data Valid]]=TRUE,((Table1[[#This Row],[Birthweight (grams)]]*0.9/Table1[[#This Row],[BW_GA]])-1)/(Backend!$B$4/100*Table1[[#This Row],[BW40_3705]]),"")</f>
        <v/>
      </c>
      <c r="I7730" s="7" t="str">
        <f>IF(Table1[[#This Row],[Is Data Valid]]=TRUE,((Table1[[#This Row],[Birthweight (grams)]]*1.1/Table1[[#This Row],[BW_GA]])-1)/(Backend!$B$4/100*Table1[[#This Row],[BW40_3705]]),"")</f>
        <v/>
      </c>
      <c r="J7730" s="7" t="str">
        <f>IF(Table1[[#This Row],[Is Data Valid]]=TRUE,_xlfn.NORM.S.DIST(Table1[[#This Row],[Birthweight Z-Score]],TRUE)*100,"")</f>
        <v/>
      </c>
      <c r="K7730" s="7" t="str">
        <f>IF(Table1[[#This Row],[Is Data Valid]]=TRUE,_xlfn.NORM.S.DIST(Table1[[#This Row],[Birthweight Z-Score (BW-10%)]],TRUE)*100,"")</f>
        <v/>
      </c>
      <c r="L7730" s="7" t="str">
        <f>IF(Table1[[#This Row],[Is Data Valid]]=TRUE,_xlfn.NORM.S.DIST(Table1[[#This Row],[Birthweight Z-Score (BW+10%)]],TRUE)*100,"")</f>
        <v/>
      </c>
    </row>
    <row r="7731" spans="1:12" x14ac:dyDescent="0.35">
      <c r="A7731" s="3"/>
      <c r="B7731" s="2"/>
      <c r="C7731" s="2"/>
      <c r="D7731" s="2" t="b">
        <f>IF(AND(NOT(ISBLANK(Table1[[#This Row],[Fetal Sex (Male, Female or Unknown)]])),ISNUMBER(Table1[[#This Row],[Birthweight (grams)]]),ISNUMBER(Table1[[#This Row],[Gestation (days)]])),TRUE,FALSE)</f>
        <v>0</v>
      </c>
      <c r="E7731" s="2" t="str">
        <f>IF(Table1[[#This Row],[Is Data Valid]]=TRUE,IF(Table1[[#This Row],[Fetal Sex (Male, Female or Unknown)]]="Male",Backend!$C$6,IF(Table1[[#This Row],[Fetal Sex (Male, Female or Unknown)]]="Female",Backend!$C$7,IF(Table1[[#This Row],[Fetal Sex (Male, Female or Unknown)]]="Unknown",Backend!$C$8,"Error"))),"")</f>
        <v/>
      </c>
      <c r="F7731" s="8" t="str">
        <f>IF(Table1[[#This Row],[Is Data Valid]]=TRUE,EXP(0.578+0.332*((Table1[[#This Row],[Gestation (days)]]+0.5)/7)-0.00354*((Table1[[#This Row],[Gestation (days)]]+0.5)/7)^2)*Table1[[#This Row],[BW40_3705]],"")</f>
        <v/>
      </c>
      <c r="G7731" s="2" t="str">
        <f>IF(Table1[[#This Row],[Is Data Valid]]=TRUE,((Table1[[#This Row],[Birthweight (grams)]]/Table1[[#This Row],[BW_GA]])-1)/(Backend!$B$4/100*Table1[[#This Row],[BW40_3705]]),"")</f>
        <v/>
      </c>
      <c r="H7731" s="7" t="str">
        <f>IF(Table1[[#This Row],[Is Data Valid]]=TRUE,((Table1[[#This Row],[Birthweight (grams)]]*0.9/Table1[[#This Row],[BW_GA]])-1)/(Backend!$B$4/100*Table1[[#This Row],[BW40_3705]]),"")</f>
        <v/>
      </c>
      <c r="I7731" s="7" t="str">
        <f>IF(Table1[[#This Row],[Is Data Valid]]=TRUE,((Table1[[#This Row],[Birthweight (grams)]]*1.1/Table1[[#This Row],[BW_GA]])-1)/(Backend!$B$4/100*Table1[[#This Row],[BW40_3705]]),"")</f>
        <v/>
      </c>
      <c r="J7731" s="7" t="str">
        <f>IF(Table1[[#This Row],[Is Data Valid]]=TRUE,_xlfn.NORM.S.DIST(Table1[[#This Row],[Birthweight Z-Score]],TRUE)*100,"")</f>
        <v/>
      </c>
      <c r="K7731" s="7" t="str">
        <f>IF(Table1[[#This Row],[Is Data Valid]]=TRUE,_xlfn.NORM.S.DIST(Table1[[#This Row],[Birthweight Z-Score (BW-10%)]],TRUE)*100,"")</f>
        <v/>
      </c>
      <c r="L7731" s="7" t="str">
        <f>IF(Table1[[#This Row],[Is Data Valid]]=TRUE,_xlfn.NORM.S.DIST(Table1[[#This Row],[Birthweight Z-Score (BW+10%)]],TRUE)*100,"")</f>
        <v/>
      </c>
    </row>
    <row r="7732" spans="1:12" x14ac:dyDescent="0.35">
      <c r="A7732" s="3"/>
      <c r="B7732" s="2"/>
      <c r="C7732" s="2"/>
      <c r="D7732" s="2" t="b">
        <f>IF(AND(NOT(ISBLANK(Table1[[#This Row],[Fetal Sex (Male, Female or Unknown)]])),ISNUMBER(Table1[[#This Row],[Birthweight (grams)]]),ISNUMBER(Table1[[#This Row],[Gestation (days)]])),TRUE,FALSE)</f>
        <v>0</v>
      </c>
      <c r="E7732" s="2" t="str">
        <f>IF(Table1[[#This Row],[Is Data Valid]]=TRUE,IF(Table1[[#This Row],[Fetal Sex (Male, Female or Unknown)]]="Male",Backend!$C$6,IF(Table1[[#This Row],[Fetal Sex (Male, Female or Unknown)]]="Female",Backend!$C$7,IF(Table1[[#This Row],[Fetal Sex (Male, Female or Unknown)]]="Unknown",Backend!$C$8,"Error"))),"")</f>
        <v/>
      </c>
      <c r="F7732" s="8" t="str">
        <f>IF(Table1[[#This Row],[Is Data Valid]]=TRUE,EXP(0.578+0.332*((Table1[[#This Row],[Gestation (days)]]+0.5)/7)-0.00354*((Table1[[#This Row],[Gestation (days)]]+0.5)/7)^2)*Table1[[#This Row],[BW40_3705]],"")</f>
        <v/>
      </c>
      <c r="G7732" s="2" t="str">
        <f>IF(Table1[[#This Row],[Is Data Valid]]=TRUE,((Table1[[#This Row],[Birthweight (grams)]]/Table1[[#This Row],[BW_GA]])-1)/(Backend!$B$4/100*Table1[[#This Row],[BW40_3705]]),"")</f>
        <v/>
      </c>
      <c r="H7732" s="7" t="str">
        <f>IF(Table1[[#This Row],[Is Data Valid]]=TRUE,((Table1[[#This Row],[Birthweight (grams)]]*0.9/Table1[[#This Row],[BW_GA]])-1)/(Backend!$B$4/100*Table1[[#This Row],[BW40_3705]]),"")</f>
        <v/>
      </c>
      <c r="I7732" s="7" t="str">
        <f>IF(Table1[[#This Row],[Is Data Valid]]=TRUE,((Table1[[#This Row],[Birthweight (grams)]]*1.1/Table1[[#This Row],[BW_GA]])-1)/(Backend!$B$4/100*Table1[[#This Row],[BW40_3705]]),"")</f>
        <v/>
      </c>
      <c r="J7732" s="7" t="str">
        <f>IF(Table1[[#This Row],[Is Data Valid]]=TRUE,_xlfn.NORM.S.DIST(Table1[[#This Row],[Birthweight Z-Score]],TRUE)*100,"")</f>
        <v/>
      </c>
      <c r="K7732" s="7" t="str">
        <f>IF(Table1[[#This Row],[Is Data Valid]]=TRUE,_xlfn.NORM.S.DIST(Table1[[#This Row],[Birthweight Z-Score (BW-10%)]],TRUE)*100,"")</f>
        <v/>
      </c>
      <c r="L7732" s="7" t="str">
        <f>IF(Table1[[#This Row],[Is Data Valid]]=TRUE,_xlfn.NORM.S.DIST(Table1[[#This Row],[Birthweight Z-Score (BW+10%)]],TRUE)*100,"")</f>
        <v/>
      </c>
    </row>
    <row r="7733" spans="1:12" x14ac:dyDescent="0.35">
      <c r="A7733" s="3"/>
      <c r="B7733" s="2"/>
      <c r="C7733" s="2"/>
      <c r="D7733" s="2" t="b">
        <f>IF(AND(NOT(ISBLANK(Table1[[#This Row],[Fetal Sex (Male, Female or Unknown)]])),ISNUMBER(Table1[[#This Row],[Birthweight (grams)]]),ISNUMBER(Table1[[#This Row],[Gestation (days)]])),TRUE,FALSE)</f>
        <v>0</v>
      </c>
      <c r="E7733" s="2" t="str">
        <f>IF(Table1[[#This Row],[Is Data Valid]]=TRUE,IF(Table1[[#This Row],[Fetal Sex (Male, Female or Unknown)]]="Male",Backend!$C$6,IF(Table1[[#This Row],[Fetal Sex (Male, Female or Unknown)]]="Female",Backend!$C$7,IF(Table1[[#This Row],[Fetal Sex (Male, Female or Unknown)]]="Unknown",Backend!$C$8,"Error"))),"")</f>
        <v/>
      </c>
      <c r="F7733" s="8" t="str">
        <f>IF(Table1[[#This Row],[Is Data Valid]]=TRUE,EXP(0.578+0.332*((Table1[[#This Row],[Gestation (days)]]+0.5)/7)-0.00354*((Table1[[#This Row],[Gestation (days)]]+0.5)/7)^2)*Table1[[#This Row],[BW40_3705]],"")</f>
        <v/>
      </c>
      <c r="G7733" s="2" t="str">
        <f>IF(Table1[[#This Row],[Is Data Valid]]=TRUE,((Table1[[#This Row],[Birthweight (grams)]]/Table1[[#This Row],[BW_GA]])-1)/(Backend!$B$4/100*Table1[[#This Row],[BW40_3705]]),"")</f>
        <v/>
      </c>
      <c r="H7733" s="7" t="str">
        <f>IF(Table1[[#This Row],[Is Data Valid]]=TRUE,((Table1[[#This Row],[Birthweight (grams)]]*0.9/Table1[[#This Row],[BW_GA]])-1)/(Backend!$B$4/100*Table1[[#This Row],[BW40_3705]]),"")</f>
        <v/>
      </c>
      <c r="I7733" s="7" t="str">
        <f>IF(Table1[[#This Row],[Is Data Valid]]=TRUE,((Table1[[#This Row],[Birthweight (grams)]]*1.1/Table1[[#This Row],[BW_GA]])-1)/(Backend!$B$4/100*Table1[[#This Row],[BW40_3705]]),"")</f>
        <v/>
      </c>
      <c r="J7733" s="7" t="str">
        <f>IF(Table1[[#This Row],[Is Data Valid]]=TRUE,_xlfn.NORM.S.DIST(Table1[[#This Row],[Birthweight Z-Score]],TRUE)*100,"")</f>
        <v/>
      </c>
      <c r="K7733" s="7" t="str">
        <f>IF(Table1[[#This Row],[Is Data Valid]]=TRUE,_xlfn.NORM.S.DIST(Table1[[#This Row],[Birthweight Z-Score (BW-10%)]],TRUE)*100,"")</f>
        <v/>
      </c>
      <c r="L7733" s="7" t="str">
        <f>IF(Table1[[#This Row],[Is Data Valid]]=TRUE,_xlfn.NORM.S.DIST(Table1[[#This Row],[Birthweight Z-Score (BW+10%)]],TRUE)*100,"")</f>
        <v/>
      </c>
    </row>
    <row r="7734" spans="1:12" x14ac:dyDescent="0.35">
      <c r="A7734" s="3"/>
      <c r="B7734" s="2"/>
      <c r="C7734" s="2"/>
      <c r="D7734" s="2" t="b">
        <f>IF(AND(NOT(ISBLANK(Table1[[#This Row],[Fetal Sex (Male, Female or Unknown)]])),ISNUMBER(Table1[[#This Row],[Birthweight (grams)]]),ISNUMBER(Table1[[#This Row],[Gestation (days)]])),TRUE,FALSE)</f>
        <v>0</v>
      </c>
      <c r="E7734" s="2" t="str">
        <f>IF(Table1[[#This Row],[Is Data Valid]]=TRUE,IF(Table1[[#This Row],[Fetal Sex (Male, Female or Unknown)]]="Male",Backend!$C$6,IF(Table1[[#This Row],[Fetal Sex (Male, Female or Unknown)]]="Female",Backend!$C$7,IF(Table1[[#This Row],[Fetal Sex (Male, Female or Unknown)]]="Unknown",Backend!$C$8,"Error"))),"")</f>
        <v/>
      </c>
      <c r="F7734" s="8" t="str">
        <f>IF(Table1[[#This Row],[Is Data Valid]]=TRUE,EXP(0.578+0.332*((Table1[[#This Row],[Gestation (days)]]+0.5)/7)-0.00354*((Table1[[#This Row],[Gestation (days)]]+0.5)/7)^2)*Table1[[#This Row],[BW40_3705]],"")</f>
        <v/>
      </c>
      <c r="G7734" s="2" t="str">
        <f>IF(Table1[[#This Row],[Is Data Valid]]=TRUE,((Table1[[#This Row],[Birthweight (grams)]]/Table1[[#This Row],[BW_GA]])-1)/(Backend!$B$4/100*Table1[[#This Row],[BW40_3705]]),"")</f>
        <v/>
      </c>
      <c r="H7734" s="7" t="str">
        <f>IF(Table1[[#This Row],[Is Data Valid]]=TRUE,((Table1[[#This Row],[Birthweight (grams)]]*0.9/Table1[[#This Row],[BW_GA]])-1)/(Backend!$B$4/100*Table1[[#This Row],[BW40_3705]]),"")</f>
        <v/>
      </c>
      <c r="I7734" s="7" t="str">
        <f>IF(Table1[[#This Row],[Is Data Valid]]=TRUE,((Table1[[#This Row],[Birthweight (grams)]]*1.1/Table1[[#This Row],[BW_GA]])-1)/(Backend!$B$4/100*Table1[[#This Row],[BW40_3705]]),"")</f>
        <v/>
      </c>
      <c r="J7734" s="7" t="str">
        <f>IF(Table1[[#This Row],[Is Data Valid]]=TRUE,_xlfn.NORM.S.DIST(Table1[[#This Row],[Birthweight Z-Score]],TRUE)*100,"")</f>
        <v/>
      </c>
      <c r="K7734" s="7" t="str">
        <f>IF(Table1[[#This Row],[Is Data Valid]]=TRUE,_xlfn.NORM.S.DIST(Table1[[#This Row],[Birthweight Z-Score (BW-10%)]],TRUE)*100,"")</f>
        <v/>
      </c>
      <c r="L7734" s="7" t="str">
        <f>IF(Table1[[#This Row],[Is Data Valid]]=TRUE,_xlfn.NORM.S.DIST(Table1[[#This Row],[Birthweight Z-Score (BW+10%)]],TRUE)*100,"")</f>
        <v/>
      </c>
    </row>
    <row r="7735" spans="1:12" x14ac:dyDescent="0.35">
      <c r="A7735" s="3"/>
      <c r="B7735" s="2"/>
      <c r="C7735" s="2"/>
      <c r="D7735" s="2" t="b">
        <f>IF(AND(NOT(ISBLANK(Table1[[#This Row],[Fetal Sex (Male, Female or Unknown)]])),ISNUMBER(Table1[[#This Row],[Birthweight (grams)]]),ISNUMBER(Table1[[#This Row],[Gestation (days)]])),TRUE,FALSE)</f>
        <v>0</v>
      </c>
      <c r="E7735" s="2" t="str">
        <f>IF(Table1[[#This Row],[Is Data Valid]]=TRUE,IF(Table1[[#This Row],[Fetal Sex (Male, Female or Unknown)]]="Male",Backend!$C$6,IF(Table1[[#This Row],[Fetal Sex (Male, Female or Unknown)]]="Female",Backend!$C$7,IF(Table1[[#This Row],[Fetal Sex (Male, Female or Unknown)]]="Unknown",Backend!$C$8,"Error"))),"")</f>
        <v/>
      </c>
      <c r="F7735" s="8" t="str">
        <f>IF(Table1[[#This Row],[Is Data Valid]]=TRUE,EXP(0.578+0.332*((Table1[[#This Row],[Gestation (days)]]+0.5)/7)-0.00354*((Table1[[#This Row],[Gestation (days)]]+0.5)/7)^2)*Table1[[#This Row],[BW40_3705]],"")</f>
        <v/>
      </c>
      <c r="G7735" s="2" t="str">
        <f>IF(Table1[[#This Row],[Is Data Valid]]=TRUE,((Table1[[#This Row],[Birthweight (grams)]]/Table1[[#This Row],[BW_GA]])-1)/(Backend!$B$4/100*Table1[[#This Row],[BW40_3705]]),"")</f>
        <v/>
      </c>
      <c r="H7735" s="7" t="str">
        <f>IF(Table1[[#This Row],[Is Data Valid]]=TRUE,((Table1[[#This Row],[Birthweight (grams)]]*0.9/Table1[[#This Row],[BW_GA]])-1)/(Backend!$B$4/100*Table1[[#This Row],[BW40_3705]]),"")</f>
        <v/>
      </c>
      <c r="I7735" s="7" t="str">
        <f>IF(Table1[[#This Row],[Is Data Valid]]=TRUE,((Table1[[#This Row],[Birthweight (grams)]]*1.1/Table1[[#This Row],[BW_GA]])-1)/(Backend!$B$4/100*Table1[[#This Row],[BW40_3705]]),"")</f>
        <v/>
      </c>
      <c r="J7735" s="7" t="str">
        <f>IF(Table1[[#This Row],[Is Data Valid]]=TRUE,_xlfn.NORM.S.DIST(Table1[[#This Row],[Birthweight Z-Score]],TRUE)*100,"")</f>
        <v/>
      </c>
      <c r="K7735" s="7" t="str">
        <f>IF(Table1[[#This Row],[Is Data Valid]]=TRUE,_xlfn.NORM.S.DIST(Table1[[#This Row],[Birthweight Z-Score (BW-10%)]],TRUE)*100,"")</f>
        <v/>
      </c>
      <c r="L7735" s="7" t="str">
        <f>IF(Table1[[#This Row],[Is Data Valid]]=TRUE,_xlfn.NORM.S.DIST(Table1[[#This Row],[Birthweight Z-Score (BW+10%)]],TRUE)*100,"")</f>
        <v/>
      </c>
    </row>
    <row r="7736" spans="1:12" x14ac:dyDescent="0.35">
      <c r="A7736" s="3"/>
      <c r="B7736" s="2"/>
      <c r="C7736" s="2"/>
      <c r="D7736" s="2" t="b">
        <f>IF(AND(NOT(ISBLANK(Table1[[#This Row],[Fetal Sex (Male, Female or Unknown)]])),ISNUMBER(Table1[[#This Row],[Birthweight (grams)]]),ISNUMBER(Table1[[#This Row],[Gestation (days)]])),TRUE,FALSE)</f>
        <v>0</v>
      </c>
      <c r="E7736" s="2" t="str">
        <f>IF(Table1[[#This Row],[Is Data Valid]]=TRUE,IF(Table1[[#This Row],[Fetal Sex (Male, Female or Unknown)]]="Male",Backend!$C$6,IF(Table1[[#This Row],[Fetal Sex (Male, Female or Unknown)]]="Female",Backend!$C$7,IF(Table1[[#This Row],[Fetal Sex (Male, Female or Unknown)]]="Unknown",Backend!$C$8,"Error"))),"")</f>
        <v/>
      </c>
      <c r="F7736" s="8" t="str">
        <f>IF(Table1[[#This Row],[Is Data Valid]]=TRUE,EXP(0.578+0.332*((Table1[[#This Row],[Gestation (days)]]+0.5)/7)-0.00354*((Table1[[#This Row],[Gestation (days)]]+0.5)/7)^2)*Table1[[#This Row],[BW40_3705]],"")</f>
        <v/>
      </c>
      <c r="G7736" s="2" t="str">
        <f>IF(Table1[[#This Row],[Is Data Valid]]=TRUE,((Table1[[#This Row],[Birthweight (grams)]]/Table1[[#This Row],[BW_GA]])-1)/(Backend!$B$4/100*Table1[[#This Row],[BW40_3705]]),"")</f>
        <v/>
      </c>
      <c r="H7736" s="7" t="str">
        <f>IF(Table1[[#This Row],[Is Data Valid]]=TRUE,((Table1[[#This Row],[Birthweight (grams)]]*0.9/Table1[[#This Row],[BW_GA]])-1)/(Backend!$B$4/100*Table1[[#This Row],[BW40_3705]]),"")</f>
        <v/>
      </c>
      <c r="I7736" s="7" t="str">
        <f>IF(Table1[[#This Row],[Is Data Valid]]=TRUE,((Table1[[#This Row],[Birthweight (grams)]]*1.1/Table1[[#This Row],[BW_GA]])-1)/(Backend!$B$4/100*Table1[[#This Row],[BW40_3705]]),"")</f>
        <v/>
      </c>
      <c r="J7736" s="7" t="str">
        <f>IF(Table1[[#This Row],[Is Data Valid]]=TRUE,_xlfn.NORM.S.DIST(Table1[[#This Row],[Birthweight Z-Score]],TRUE)*100,"")</f>
        <v/>
      </c>
      <c r="K7736" s="7" t="str">
        <f>IF(Table1[[#This Row],[Is Data Valid]]=TRUE,_xlfn.NORM.S.DIST(Table1[[#This Row],[Birthweight Z-Score (BW-10%)]],TRUE)*100,"")</f>
        <v/>
      </c>
      <c r="L7736" s="7" t="str">
        <f>IF(Table1[[#This Row],[Is Data Valid]]=TRUE,_xlfn.NORM.S.DIST(Table1[[#This Row],[Birthweight Z-Score (BW+10%)]],TRUE)*100,"")</f>
        <v/>
      </c>
    </row>
    <row r="7737" spans="1:12" x14ac:dyDescent="0.35">
      <c r="A7737" s="3"/>
      <c r="B7737" s="2"/>
      <c r="C7737" s="2"/>
      <c r="D7737" s="2" t="b">
        <f>IF(AND(NOT(ISBLANK(Table1[[#This Row],[Fetal Sex (Male, Female or Unknown)]])),ISNUMBER(Table1[[#This Row],[Birthweight (grams)]]),ISNUMBER(Table1[[#This Row],[Gestation (days)]])),TRUE,FALSE)</f>
        <v>0</v>
      </c>
      <c r="E7737" s="2" t="str">
        <f>IF(Table1[[#This Row],[Is Data Valid]]=TRUE,IF(Table1[[#This Row],[Fetal Sex (Male, Female or Unknown)]]="Male",Backend!$C$6,IF(Table1[[#This Row],[Fetal Sex (Male, Female or Unknown)]]="Female",Backend!$C$7,IF(Table1[[#This Row],[Fetal Sex (Male, Female or Unknown)]]="Unknown",Backend!$C$8,"Error"))),"")</f>
        <v/>
      </c>
      <c r="F7737" s="8" t="str">
        <f>IF(Table1[[#This Row],[Is Data Valid]]=TRUE,EXP(0.578+0.332*((Table1[[#This Row],[Gestation (days)]]+0.5)/7)-0.00354*((Table1[[#This Row],[Gestation (days)]]+0.5)/7)^2)*Table1[[#This Row],[BW40_3705]],"")</f>
        <v/>
      </c>
      <c r="G7737" s="2" t="str">
        <f>IF(Table1[[#This Row],[Is Data Valid]]=TRUE,((Table1[[#This Row],[Birthweight (grams)]]/Table1[[#This Row],[BW_GA]])-1)/(Backend!$B$4/100*Table1[[#This Row],[BW40_3705]]),"")</f>
        <v/>
      </c>
      <c r="H7737" s="7" t="str">
        <f>IF(Table1[[#This Row],[Is Data Valid]]=TRUE,((Table1[[#This Row],[Birthweight (grams)]]*0.9/Table1[[#This Row],[BW_GA]])-1)/(Backend!$B$4/100*Table1[[#This Row],[BW40_3705]]),"")</f>
        <v/>
      </c>
      <c r="I7737" s="7" t="str">
        <f>IF(Table1[[#This Row],[Is Data Valid]]=TRUE,((Table1[[#This Row],[Birthweight (grams)]]*1.1/Table1[[#This Row],[BW_GA]])-1)/(Backend!$B$4/100*Table1[[#This Row],[BW40_3705]]),"")</f>
        <v/>
      </c>
      <c r="J7737" s="7" t="str">
        <f>IF(Table1[[#This Row],[Is Data Valid]]=TRUE,_xlfn.NORM.S.DIST(Table1[[#This Row],[Birthweight Z-Score]],TRUE)*100,"")</f>
        <v/>
      </c>
      <c r="K7737" s="7" t="str">
        <f>IF(Table1[[#This Row],[Is Data Valid]]=TRUE,_xlfn.NORM.S.DIST(Table1[[#This Row],[Birthweight Z-Score (BW-10%)]],TRUE)*100,"")</f>
        <v/>
      </c>
      <c r="L7737" s="7" t="str">
        <f>IF(Table1[[#This Row],[Is Data Valid]]=TRUE,_xlfn.NORM.S.DIST(Table1[[#This Row],[Birthweight Z-Score (BW+10%)]],TRUE)*100,"")</f>
        <v/>
      </c>
    </row>
    <row r="7738" spans="1:12" x14ac:dyDescent="0.35">
      <c r="A7738" s="3"/>
      <c r="B7738" s="2"/>
      <c r="C7738" s="2"/>
      <c r="D7738" s="2" t="b">
        <f>IF(AND(NOT(ISBLANK(Table1[[#This Row],[Fetal Sex (Male, Female or Unknown)]])),ISNUMBER(Table1[[#This Row],[Birthweight (grams)]]),ISNUMBER(Table1[[#This Row],[Gestation (days)]])),TRUE,FALSE)</f>
        <v>0</v>
      </c>
      <c r="E7738" s="2" t="str">
        <f>IF(Table1[[#This Row],[Is Data Valid]]=TRUE,IF(Table1[[#This Row],[Fetal Sex (Male, Female or Unknown)]]="Male",Backend!$C$6,IF(Table1[[#This Row],[Fetal Sex (Male, Female or Unknown)]]="Female",Backend!$C$7,IF(Table1[[#This Row],[Fetal Sex (Male, Female or Unknown)]]="Unknown",Backend!$C$8,"Error"))),"")</f>
        <v/>
      </c>
      <c r="F7738" s="8" t="str">
        <f>IF(Table1[[#This Row],[Is Data Valid]]=TRUE,EXP(0.578+0.332*((Table1[[#This Row],[Gestation (days)]]+0.5)/7)-0.00354*((Table1[[#This Row],[Gestation (days)]]+0.5)/7)^2)*Table1[[#This Row],[BW40_3705]],"")</f>
        <v/>
      </c>
      <c r="G7738" s="2" t="str">
        <f>IF(Table1[[#This Row],[Is Data Valid]]=TRUE,((Table1[[#This Row],[Birthweight (grams)]]/Table1[[#This Row],[BW_GA]])-1)/(Backend!$B$4/100*Table1[[#This Row],[BW40_3705]]),"")</f>
        <v/>
      </c>
      <c r="H7738" s="7" t="str">
        <f>IF(Table1[[#This Row],[Is Data Valid]]=TRUE,((Table1[[#This Row],[Birthweight (grams)]]*0.9/Table1[[#This Row],[BW_GA]])-1)/(Backend!$B$4/100*Table1[[#This Row],[BW40_3705]]),"")</f>
        <v/>
      </c>
      <c r="I7738" s="7" t="str">
        <f>IF(Table1[[#This Row],[Is Data Valid]]=TRUE,((Table1[[#This Row],[Birthweight (grams)]]*1.1/Table1[[#This Row],[BW_GA]])-1)/(Backend!$B$4/100*Table1[[#This Row],[BW40_3705]]),"")</f>
        <v/>
      </c>
      <c r="J7738" s="7" t="str">
        <f>IF(Table1[[#This Row],[Is Data Valid]]=TRUE,_xlfn.NORM.S.DIST(Table1[[#This Row],[Birthweight Z-Score]],TRUE)*100,"")</f>
        <v/>
      </c>
      <c r="K7738" s="7" t="str">
        <f>IF(Table1[[#This Row],[Is Data Valid]]=TRUE,_xlfn.NORM.S.DIST(Table1[[#This Row],[Birthweight Z-Score (BW-10%)]],TRUE)*100,"")</f>
        <v/>
      </c>
      <c r="L7738" s="7" t="str">
        <f>IF(Table1[[#This Row],[Is Data Valid]]=TRUE,_xlfn.NORM.S.DIST(Table1[[#This Row],[Birthweight Z-Score (BW+10%)]],TRUE)*100,"")</f>
        <v/>
      </c>
    </row>
    <row r="7739" spans="1:12" x14ac:dyDescent="0.35">
      <c r="A7739" s="3"/>
      <c r="B7739" s="2"/>
      <c r="C7739" s="2"/>
      <c r="D7739" s="2" t="b">
        <f>IF(AND(NOT(ISBLANK(Table1[[#This Row],[Fetal Sex (Male, Female or Unknown)]])),ISNUMBER(Table1[[#This Row],[Birthweight (grams)]]),ISNUMBER(Table1[[#This Row],[Gestation (days)]])),TRUE,FALSE)</f>
        <v>0</v>
      </c>
      <c r="E7739" s="2" t="str">
        <f>IF(Table1[[#This Row],[Is Data Valid]]=TRUE,IF(Table1[[#This Row],[Fetal Sex (Male, Female or Unknown)]]="Male",Backend!$C$6,IF(Table1[[#This Row],[Fetal Sex (Male, Female or Unknown)]]="Female",Backend!$C$7,IF(Table1[[#This Row],[Fetal Sex (Male, Female or Unknown)]]="Unknown",Backend!$C$8,"Error"))),"")</f>
        <v/>
      </c>
      <c r="F7739" s="8" t="str">
        <f>IF(Table1[[#This Row],[Is Data Valid]]=TRUE,EXP(0.578+0.332*((Table1[[#This Row],[Gestation (days)]]+0.5)/7)-0.00354*((Table1[[#This Row],[Gestation (days)]]+0.5)/7)^2)*Table1[[#This Row],[BW40_3705]],"")</f>
        <v/>
      </c>
      <c r="G7739" s="2" t="str">
        <f>IF(Table1[[#This Row],[Is Data Valid]]=TRUE,((Table1[[#This Row],[Birthweight (grams)]]/Table1[[#This Row],[BW_GA]])-1)/(Backend!$B$4/100*Table1[[#This Row],[BW40_3705]]),"")</f>
        <v/>
      </c>
      <c r="H7739" s="7" t="str">
        <f>IF(Table1[[#This Row],[Is Data Valid]]=TRUE,((Table1[[#This Row],[Birthweight (grams)]]*0.9/Table1[[#This Row],[BW_GA]])-1)/(Backend!$B$4/100*Table1[[#This Row],[BW40_3705]]),"")</f>
        <v/>
      </c>
      <c r="I7739" s="7" t="str">
        <f>IF(Table1[[#This Row],[Is Data Valid]]=TRUE,((Table1[[#This Row],[Birthweight (grams)]]*1.1/Table1[[#This Row],[BW_GA]])-1)/(Backend!$B$4/100*Table1[[#This Row],[BW40_3705]]),"")</f>
        <v/>
      </c>
      <c r="J7739" s="7" t="str">
        <f>IF(Table1[[#This Row],[Is Data Valid]]=TRUE,_xlfn.NORM.S.DIST(Table1[[#This Row],[Birthweight Z-Score]],TRUE)*100,"")</f>
        <v/>
      </c>
      <c r="K7739" s="7" t="str">
        <f>IF(Table1[[#This Row],[Is Data Valid]]=TRUE,_xlfn.NORM.S.DIST(Table1[[#This Row],[Birthweight Z-Score (BW-10%)]],TRUE)*100,"")</f>
        <v/>
      </c>
      <c r="L7739" s="7" t="str">
        <f>IF(Table1[[#This Row],[Is Data Valid]]=TRUE,_xlfn.NORM.S.DIST(Table1[[#This Row],[Birthweight Z-Score (BW+10%)]],TRUE)*100,"")</f>
        <v/>
      </c>
    </row>
    <row r="7740" spans="1:12" x14ac:dyDescent="0.35">
      <c r="A7740" s="3"/>
      <c r="B7740" s="2"/>
      <c r="C7740" s="2"/>
      <c r="D7740" s="2" t="b">
        <f>IF(AND(NOT(ISBLANK(Table1[[#This Row],[Fetal Sex (Male, Female or Unknown)]])),ISNUMBER(Table1[[#This Row],[Birthweight (grams)]]),ISNUMBER(Table1[[#This Row],[Gestation (days)]])),TRUE,FALSE)</f>
        <v>0</v>
      </c>
      <c r="E7740" s="2" t="str">
        <f>IF(Table1[[#This Row],[Is Data Valid]]=TRUE,IF(Table1[[#This Row],[Fetal Sex (Male, Female or Unknown)]]="Male",Backend!$C$6,IF(Table1[[#This Row],[Fetal Sex (Male, Female or Unknown)]]="Female",Backend!$C$7,IF(Table1[[#This Row],[Fetal Sex (Male, Female or Unknown)]]="Unknown",Backend!$C$8,"Error"))),"")</f>
        <v/>
      </c>
      <c r="F7740" s="8" t="str">
        <f>IF(Table1[[#This Row],[Is Data Valid]]=TRUE,EXP(0.578+0.332*((Table1[[#This Row],[Gestation (days)]]+0.5)/7)-0.00354*((Table1[[#This Row],[Gestation (days)]]+0.5)/7)^2)*Table1[[#This Row],[BW40_3705]],"")</f>
        <v/>
      </c>
      <c r="G7740" s="2" t="str">
        <f>IF(Table1[[#This Row],[Is Data Valid]]=TRUE,((Table1[[#This Row],[Birthweight (grams)]]/Table1[[#This Row],[BW_GA]])-1)/(Backend!$B$4/100*Table1[[#This Row],[BW40_3705]]),"")</f>
        <v/>
      </c>
      <c r="H7740" s="7" t="str">
        <f>IF(Table1[[#This Row],[Is Data Valid]]=TRUE,((Table1[[#This Row],[Birthweight (grams)]]*0.9/Table1[[#This Row],[BW_GA]])-1)/(Backend!$B$4/100*Table1[[#This Row],[BW40_3705]]),"")</f>
        <v/>
      </c>
      <c r="I7740" s="7" t="str">
        <f>IF(Table1[[#This Row],[Is Data Valid]]=TRUE,((Table1[[#This Row],[Birthweight (grams)]]*1.1/Table1[[#This Row],[BW_GA]])-1)/(Backend!$B$4/100*Table1[[#This Row],[BW40_3705]]),"")</f>
        <v/>
      </c>
      <c r="J7740" s="7" t="str">
        <f>IF(Table1[[#This Row],[Is Data Valid]]=TRUE,_xlfn.NORM.S.DIST(Table1[[#This Row],[Birthweight Z-Score]],TRUE)*100,"")</f>
        <v/>
      </c>
      <c r="K7740" s="7" t="str">
        <f>IF(Table1[[#This Row],[Is Data Valid]]=TRUE,_xlfn.NORM.S.DIST(Table1[[#This Row],[Birthweight Z-Score (BW-10%)]],TRUE)*100,"")</f>
        <v/>
      </c>
      <c r="L7740" s="7" t="str">
        <f>IF(Table1[[#This Row],[Is Data Valid]]=TRUE,_xlfn.NORM.S.DIST(Table1[[#This Row],[Birthweight Z-Score (BW+10%)]],TRUE)*100,"")</f>
        <v/>
      </c>
    </row>
    <row r="7741" spans="1:12" x14ac:dyDescent="0.35">
      <c r="A7741" s="3"/>
      <c r="B7741" s="2"/>
      <c r="C7741" s="2"/>
      <c r="D7741" s="2" t="b">
        <f>IF(AND(NOT(ISBLANK(Table1[[#This Row],[Fetal Sex (Male, Female or Unknown)]])),ISNUMBER(Table1[[#This Row],[Birthweight (grams)]]),ISNUMBER(Table1[[#This Row],[Gestation (days)]])),TRUE,FALSE)</f>
        <v>0</v>
      </c>
      <c r="E7741" s="2" t="str">
        <f>IF(Table1[[#This Row],[Is Data Valid]]=TRUE,IF(Table1[[#This Row],[Fetal Sex (Male, Female or Unknown)]]="Male",Backend!$C$6,IF(Table1[[#This Row],[Fetal Sex (Male, Female or Unknown)]]="Female",Backend!$C$7,IF(Table1[[#This Row],[Fetal Sex (Male, Female or Unknown)]]="Unknown",Backend!$C$8,"Error"))),"")</f>
        <v/>
      </c>
      <c r="F7741" s="8" t="str">
        <f>IF(Table1[[#This Row],[Is Data Valid]]=TRUE,EXP(0.578+0.332*((Table1[[#This Row],[Gestation (days)]]+0.5)/7)-0.00354*((Table1[[#This Row],[Gestation (days)]]+0.5)/7)^2)*Table1[[#This Row],[BW40_3705]],"")</f>
        <v/>
      </c>
      <c r="G7741" s="2" t="str">
        <f>IF(Table1[[#This Row],[Is Data Valid]]=TRUE,((Table1[[#This Row],[Birthweight (grams)]]/Table1[[#This Row],[BW_GA]])-1)/(Backend!$B$4/100*Table1[[#This Row],[BW40_3705]]),"")</f>
        <v/>
      </c>
      <c r="H7741" s="7" t="str">
        <f>IF(Table1[[#This Row],[Is Data Valid]]=TRUE,((Table1[[#This Row],[Birthweight (grams)]]*0.9/Table1[[#This Row],[BW_GA]])-1)/(Backend!$B$4/100*Table1[[#This Row],[BW40_3705]]),"")</f>
        <v/>
      </c>
      <c r="I7741" s="7" t="str">
        <f>IF(Table1[[#This Row],[Is Data Valid]]=TRUE,((Table1[[#This Row],[Birthweight (grams)]]*1.1/Table1[[#This Row],[BW_GA]])-1)/(Backend!$B$4/100*Table1[[#This Row],[BW40_3705]]),"")</f>
        <v/>
      </c>
      <c r="J7741" s="7" t="str">
        <f>IF(Table1[[#This Row],[Is Data Valid]]=TRUE,_xlfn.NORM.S.DIST(Table1[[#This Row],[Birthweight Z-Score]],TRUE)*100,"")</f>
        <v/>
      </c>
      <c r="K7741" s="7" t="str">
        <f>IF(Table1[[#This Row],[Is Data Valid]]=TRUE,_xlfn.NORM.S.DIST(Table1[[#This Row],[Birthweight Z-Score (BW-10%)]],TRUE)*100,"")</f>
        <v/>
      </c>
      <c r="L7741" s="7" t="str">
        <f>IF(Table1[[#This Row],[Is Data Valid]]=TRUE,_xlfn.NORM.S.DIST(Table1[[#This Row],[Birthweight Z-Score (BW+10%)]],TRUE)*100,"")</f>
        <v/>
      </c>
    </row>
    <row r="7742" spans="1:12" x14ac:dyDescent="0.35">
      <c r="A7742" s="3"/>
      <c r="B7742" s="2"/>
      <c r="C7742" s="2"/>
      <c r="D7742" s="2" t="b">
        <f>IF(AND(NOT(ISBLANK(Table1[[#This Row],[Fetal Sex (Male, Female or Unknown)]])),ISNUMBER(Table1[[#This Row],[Birthweight (grams)]]),ISNUMBER(Table1[[#This Row],[Gestation (days)]])),TRUE,FALSE)</f>
        <v>0</v>
      </c>
      <c r="E7742" s="2" t="str">
        <f>IF(Table1[[#This Row],[Is Data Valid]]=TRUE,IF(Table1[[#This Row],[Fetal Sex (Male, Female or Unknown)]]="Male",Backend!$C$6,IF(Table1[[#This Row],[Fetal Sex (Male, Female or Unknown)]]="Female",Backend!$C$7,IF(Table1[[#This Row],[Fetal Sex (Male, Female or Unknown)]]="Unknown",Backend!$C$8,"Error"))),"")</f>
        <v/>
      </c>
      <c r="F7742" s="8" t="str">
        <f>IF(Table1[[#This Row],[Is Data Valid]]=TRUE,EXP(0.578+0.332*((Table1[[#This Row],[Gestation (days)]]+0.5)/7)-0.00354*((Table1[[#This Row],[Gestation (days)]]+0.5)/7)^2)*Table1[[#This Row],[BW40_3705]],"")</f>
        <v/>
      </c>
      <c r="G7742" s="2" t="str">
        <f>IF(Table1[[#This Row],[Is Data Valid]]=TRUE,((Table1[[#This Row],[Birthweight (grams)]]/Table1[[#This Row],[BW_GA]])-1)/(Backend!$B$4/100*Table1[[#This Row],[BW40_3705]]),"")</f>
        <v/>
      </c>
      <c r="H7742" s="7" t="str">
        <f>IF(Table1[[#This Row],[Is Data Valid]]=TRUE,((Table1[[#This Row],[Birthweight (grams)]]*0.9/Table1[[#This Row],[BW_GA]])-1)/(Backend!$B$4/100*Table1[[#This Row],[BW40_3705]]),"")</f>
        <v/>
      </c>
      <c r="I7742" s="7" t="str">
        <f>IF(Table1[[#This Row],[Is Data Valid]]=TRUE,((Table1[[#This Row],[Birthweight (grams)]]*1.1/Table1[[#This Row],[BW_GA]])-1)/(Backend!$B$4/100*Table1[[#This Row],[BW40_3705]]),"")</f>
        <v/>
      </c>
      <c r="J7742" s="7" t="str">
        <f>IF(Table1[[#This Row],[Is Data Valid]]=TRUE,_xlfn.NORM.S.DIST(Table1[[#This Row],[Birthweight Z-Score]],TRUE)*100,"")</f>
        <v/>
      </c>
      <c r="K7742" s="7" t="str">
        <f>IF(Table1[[#This Row],[Is Data Valid]]=TRUE,_xlfn.NORM.S.DIST(Table1[[#This Row],[Birthweight Z-Score (BW-10%)]],TRUE)*100,"")</f>
        <v/>
      </c>
      <c r="L7742" s="7" t="str">
        <f>IF(Table1[[#This Row],[Is Data Valid]]=TRUE,_xlfn.NORM.S.DIST(Table1[[#This Row],[Birthweight Z-Score (BW+10%)]],TRUE)*100,"")</f>
        <v/>
      </c>
    </row>
    <row r="7743" spans="1:12" x14ac:dyDescent="0.35">
      <c r="A7743" s="3"/>
      <c r="B7743" s="2"/>
      <c r="C7743" s="2"/>
      <c r="D7743" s="2" t="b">
        <f>IF(AND(NOT(ISBLANK(Table1[[#This Row],[Fetal Sex (Male, Female or Unknown)]])),ISNUMBER(Table1[[#This Row],[Birthweight (grams)]]),ISNUMBER(Table1[[#This Row],[Gestation (days)]])),TRUE,FALSE)</f>
        <v>0</v>
      </c>
      <c r="E7743" s="2" t="str">
        <f>IF(Table1[[#This Row],[Is Data Valid]]=TRUE,IF(Table1[[#This Row],[Fetal Sex (Male, Female or Unknown)]]="Male",Backend!$C$6,IF(Table1[[#This Row],[Fetal Sex (Male, Female or Unknown)]]="Female",Backend!$C$7,IF(Table1[[#This Row],[Fetal Sex (Male, Female or Unknown)]]="Unknown",Backend!$C$8,"Error"))),"")</f>
        <v/>
      </c>
      <c r="F7743" s="8" t="str">
        <f>IF(Table1[[#This Row],[Is Data Valid]]=TRUE,EXP(0.578+0.332*((Table1[[#This Row],[Gestation (days)]]+0.5)/7)-0.00354*((Table1[[#This Row],[Gestation (days)]]+0.5)/7)^2)*Table1[[#This Row],[BW40_3705]],"")</f>
        <v/>
      </c>
      <c r="G7743" s="2" t="str">
        <f>IF(Table1[[#This Row],[Is Data Valid]]=TRUE,((Table1[[#This Row],[Birthweight (grams)]]/Table1[[#This Row],[BW_GA]])-1)/(Backend!$B$4/100*Table1[[#This Row],[BW40_3705]]),"")</f>
        <v/>
      </c>
      <c r="H7743" s="7" t="str">
        <f>IF(Table1[[#This Row],[Is Data Valid]]=TRUE,((Table1[[#This Row],[Birthweight (grams)]]*0.9/Table1[[#This Row],[BW_GA]])-1)/(Backend!$B$4/100*Table1[[#This Row],[BW40_3705]]),"")</f>
        <v/>
      </c>
      <c r="I7743" s="7" t="str">
        <f>IF(Table1[[#This Row],[Is Data Valid]]=TRUE,((Table1[[#This Row],[Birthweight (grams)]]*1.1/Table1[[#This Row],[BW_GA]])-1)/(Backend!$B$4/100*Table1[[#This Row],[BW40_3705]]),"")</f>
        <v/>
      </c>
      <c r="J7743" s="7" t="str">
        <f>IF(Table1[[#This Row],[Is Data Valid]]=TRUE,_xlfn.NORM.S.DIST(Table1[[#This Row],[Birthweight Z-Score]],TRUE)*100,"")</f>
        <v/>
      </c>
      <c r="K7743" s="7" t="str">
        <f>IF(Table1[[#This Row],[Is Data Valid]]=TRUE,_xlfn.NORM.S.DIST(Table1[[#This Row],[Birthweight Z-Score (BW-10%)]],TRUE)*100,"")</f>
        <v/>
      </c>
      <c r="L7743" s="7" t="str">
        <f>IF(Table1[[#This Row],[Is Data Valid]]=TRUE,_xlfn.NORM.S.DIST(Table1[[#This Row],[Birthweight Z-Score (BW+10%)]],TRUE)*100,"")</f>
        <v/>
      </c>
    </row>
    <row r="7744" spans="1:12" x14ac:dyDescent="0.35">
      <c r="A7744" s="3"/>
      <c r="B7744" s="2"/>
      <c r="C7744" s="2"/>
      <c r="D7744" s="2" t="b">
        <f>IF(AND(NOT(ISBLANK(Table1[[#This Row],[Fetal Sex (Male, Female or Unknown)]])),ISNUMBER(Table1[[#This Row],[Birthweight (grams)]]),ISNUMBER(Table1[[#This Row],[Gestation (days)]])),TRUE,FALSE)</f>
        <v>0</v>
      </c>
      <c r="E7744" s="2" t="str">
        <f>IF(Table1[[#This Row],[Is Data Valid]]=TRUE,IF(Table1[[#This Row],[Fetal Sex (Male, Female or Unknown)]]="Male",Backend!$C$6,IF(Table1[[#This Row],[Fetal Sex (Male, Female or Unknown)]]="Female",Backend!$C$7,IF(Table1[[#This Row],[Fetal Sex (Male, Female or Unknown)]]="Unknown",Backend!$C$8,"Error"))),"")</f>
        <v/>
      </c>
      <c r="F7744" s="8" t="str">
        <f>IF(Table1[[#This Row],[Is Data Valid]]=TRUE,EXP(0.578+0.332*((Table1[[#This Row],[Gestation (days)]]+0.5)/7)-0.00354*((Table1[[#This Row],[Gestation (days)]]+0.5)/7)^2)*Table1[[#This Row],[BW40_3705]],"")</f>
        <v/>
      </c>
      <c r="G7744" s="2" t="str">
        <f>IF(Table1[[#This Row],[Is Data Valid]]=TRUE,((Table1[[#This Row],[Birthweight (grams)]]/Table1[[#This Row],[BW_GA]])-1)/(Backend!$B$4/100*Table1[[#This Row],[BW40_3705]]),"")</f>
        <v/>
      </c>
      <c r="H7744" s="7" t="str">
        <f>IF(Table1[[#This Row],[Is Data Valid]]=TRUE,((Table1[[#This Row],[Birthweight (grams)]]*0.9/Table1[[#This Row],[BW_GA]])-1)/(Backend!$B$4/100*Table1[[#This Row],[BW40_3705]]),"")</f>
        <v/>
      </c>
      <c r="I7744" s="7" t="str">
        <f>IF(Table1[[#This Row],[Is Data Valid]]=TRUE,((Table1[[#This Row],[Birthweight (grams)]]*1.1/Table1[[#This Row],[BW_GA]])-1)/(Backend!$B$4/100*Table1[[#This Row],[BW40_3705]]),"")</f>
        <v/>
      </c>
      <c r="J7744" s="7" t="str">
        <f>IF(Table1[[#This Row],[Is Data Valid]]=TRUE,_xlfn.NORM.S.DIST(Table1[[#This Row],[Birthweight Z-Score]],TRUE)*100,"")</f>
        <v/>
      </c>
      <c r="K7744" s="7" t="str">
        <f>IF(Table1[[#This Row],[Is Data Valid]]=TRUE,_xlfn.NORM.S.DIST(Table1[[#This Row],[Birthweight Z-Score (BW-10%)]],TRUE)*100,"")</f>
        <v/>
      </c>
      <c r="L7744" s="7" t="str">
        <f>IF(Table1[[#This Row],[Is Data Valid]]=TRUE,_xlfn.NORM.S.DIST(Table1[[#This Row],[Birthweight Z-Score (BW+10%)]],TRUE)*100,"")</f>
        <v/>
      </c>
    </row>
    <row r="7745" spans="1:12" x14ac:dyDescent="0.35">
      <c r="A7745" s="3"/>
      <c r="B7745" s="2"/>
      <c r="C7745" s="2"/>
      <c r="D7745" s="2" t="b">
        <f>IF(AND(NOT(ISBLANK(Table1[[#This Row],[Fetal Sex (Male, Female or Unknown)]])),ISNUMBER(Table1[[#This Row],[Birthweight (grams)]]),ISNUMBER(Table1[[#This Row],[Gestation (days)]])),TRUE,FALSE)</f>
        <v>0</v>
      </c>
      <c r="E7745" s="2" t="str">
        <f>IF(Table1[[#This Row],[Is Data Valid]]=TRUE,IF(Table1[[#This Row],[Fetal Sex (Male, Female or Unknown)]]="Male",Backend!$C$6,IF(Table1[[#This Row],[Fetal Sex (Male, Female or Unknown)]]="Female",Backend!$C$7,IF(Table1[[#This Row],[Fetal Sex (Male, Female or Unknown)]]="Unknown",Backend!$C$8,"Error"))),"")</f>
        <v/>
      </c>
      <c r="F7745" s="8" t="str">
        <f>IF(Table1[[#This Row],[Is Data Valid]]=TRUE,EXP(0.578+0.332*((Table1[[#This Row],[Gestation (days)]]+0.5)/7)-0.00354*((Table1[[#This Row],[Gestation (days)]]+0.5)/7)^2)*Table1[[#This Row],[BW40_3705]],"")</f>
        <v/>
      </c>
      <c r="G7745" s="2" t="str">
        <f>IF(Table1[[#This Row],[Is Data Valid]]=TRUE,((Table1[[#This Row],[Birthweight (grams)]]/Table1[[#This Row],[BW_GA]])-1)/(Backend!$B$4/100*Table1[[#This Row],[BW40_3705]]),"")</f>
        <v/>
      </c>
      <c r="H7745" s="7" t="str">
        <f>IF(Table1[[#This Row],[Is Data Valid]]=TRUE,((Table1[[#This Row],[Birthweight (grams)]]*0.9/Table1[[#This Row],[BW_GA]])-1)/(Backend!$B$4/100*Table1[[#This Row],[BW40_3705]]),"")</f>
        <v/>
      </c>
      <c r="I7745" s="7" t="str">
        <f>IF(Table1[[#This Row],[Is Data Valid]]=TRUE,((Table1[[#This Row],[Birthweight (grams)]]*1.1/Table1[[#This Row],[BW_GA]])-1)/(Backend!$B$4/100*Table1[[#This Row],[BW40_3705]]),"")</f>
        <v/>
      </c>
      <c r="J7745" s="7" t="str">
        <f>IF(Table1[[#This Row],[Is Data Valid]]=TRUE,_xlfn.NORM.S.DIST(Table1[[#This Row],[Birthweight Z-Score]],TRUE)*100,"")</f>
        <v/>
      </c>
      <c r="K7745" s="7" t="str">
        <f>IF(Table1[[#This Row],[Is Data Valid]]=TRUE,_xlfn.NORM.S.DIST(Table1[[#This Row],[Birthweight Z-Score (BW-10%)]],TRUE)*100,"")</f>
        <v/>
      </c>
      <c r="L7745" s="7" t="str">
        <f>IF(Table1[[#This Row],[Is Data Valid]]=TRUE,_xlfn.NORM.S.DIST(Table1[[#This Row],[Birthweight Z-Score (BW+10%)]],TRUE)*100,"")</f>
        <v/>
      </c>
    </row>
    <row r="7746" spans="1:12" x14ac:dyDescent="0.35">
      <c r="A7746" s="3"/>
      <c r="B7746" s="2"/>
      <c r="C7746" s="2"/>
      <c r="D7746" s="2" t="b">
        <f>IF(AND(NOT(ISBLANK(Table1[[#This Row],[Fetal Sex (Male, Female or Unknown)]])),ISNUMBER(Table1[[#This Row],[Birthweight (grams)]]),ISNUMBER(Table1[[#This Row],[Gestation (days)]])),TRUE,FALSE)</f>
        <v>0</v>
      </c>
      <c r="E7746" s="2" t="str">
        <f>IF(Table1[[#This Row],[Is Data Valid]]=TRUE,IF(Table1[[#This Row],[Fetal Sex (Male, Female or Unknown)]]="Male",Backend!$C$6,IF(Table1[[#This Row],[Fetal Sex (Male, Female or Unknown)]]="Female",Backend!$C$7,IF(Table1[[#This Row],[Fetal Sex (Male, Female or Unknown)]]="Unknown",Backend!$C$8,"Error"))),"")</f>
        <v/>
      </c>
      <c r="F7746" s="8" t="str">
        <f>IF(Table1[[#This Row],[Is Data Valid]]=TRUE,EXP(0.578+0.332*((Table1[[#This Row],[Gestation (days)]]+0.5)/7)-0.00354*((Table1[[#This Row],[Gestation (days)]]+0.5)/7)^2)*Table1[[#This Row],[BW40_3705]],"")</f>
        <v/>
      </c>
      <c r="G7746" s="2" t="str">
        <f>IF(Table1[[#This Row],[Is Data Valid]]=TRUE,((Table1[[#This Row],[Birthweight (grams)]]/Table1[[#This Row],[BW_GA]])-1)/(Backend!$B$4/100*Table1[[#This Row],[BW40_3705]]),"")</f>
        <v/>
      </c>
      <c r="H7746" s="7" t="str">
        <f>IF(Table1[[#This Row],[Is Data Valid]]=TRUE,((Table1[[#This Row],[Birthweight (grams)]]*0.9/Table1[[#This Row],[BW_GA]])-1)/(Backend!$B$4/100*Table1[[#This Row],[BW40_3705]]),"")</f>
        <v/>
      </c>
      <c r="I7746" s="7" t="str">
        <f>IF(Table1[[#This Row],[Is Data Valid]]=TRUE,((Table1[[#This Row],[Birthweight (grams)]]*1.1/Table1[[#This Row],[BW_GA]])-1)/(Backend!$B$4/100*Table1[[#This Row],[BW40_3705]]),"")</f>
        <v/>
      </c>
      <c r="J7746" s="7" t="str">
        <f>IF(Table1[[#This Row],[Is Data Valid]]=TRUE,_xlfn.NORM.S.DIST(Table1[[#This Row],[Birthweight Z-Score]],TRUE)*100,"")</f>
        <v/>
      </c>
      <c r="K7746" s="7" t="str">
        <f>IF(Table1[[#This Row],[Is Data Valid]]=TRUE,_xlfn.NORM.S.DIST(Table1[[#This Row],[Birthweight Z-Score (BW-10%)]],TRUE)*100,"")</f>
        <v/>
      </c>
      <c r="L7746" s="7" t="str">
        <f>IF(Table1[[#This Row],[Is Data Valid]]=TRUE,_xlfn.NORM.S.DIST(Table1[[#This Row],[Birthweight Z-Score (BW+10%)]],TRUE)*100,"")</f>
        <v/>
      </c>
    </row>
    <row r="7747" spans="1:12" x14ac:dyDescent="0.35">
      <c r="A7747" s="3"/>
      <c r="B7747" s="2"/>
      <c r="C7747" s="2"/>
      <c r="D7747" s="2" t="b">
        <f>IF(AND(NOT(ISBLANK(Table1[[#This Row],[Fetal Sex (Male, Female or Unknown)]])),ISNUMBER(Table1[[#This Row],[Birthweight (grams)]]),ISNUMBER(Table1[[#This Row],[Gestation (days)]])),TRUE,FALSE)</f>
        <v>0</v>
      </c>
      <c r="E7747" s="2" t="str">
        <f>IF(Table1[[#This Row],[Is Data Valid]]=TRUE,IF(Table1[[#This Row],[Fetal Sex (Male, Female or Unknown)]]="Male",Backend!$C$6,IF(Table1[[#This Row],[Fetal Sex (Male, Female or Unknown)]]="Female",Backend!$C$7,IF(Table1[[#This Row],[Fetal Sex (Male, Female or Unknown)]]="Unknown",Backend!$C$8,"Error"))),"")</f>
        <v/>
      </c>
      <c r="F7747" s="8" t="str">
        <f>IF(Table1[[#This Row],[Is Data Valid]]=TRUE,EXP(0.578+0.332*((Table1[[#This Row],[Gestation (days)]]+0.5)/7)-0.00354*((Table1[[#This Row],[Gestation (days)]]+0.5)/7)^2)*Table1[[#This Row],[BW40_3705]],"")</f>
        <v/>
      </c>
      <c r="G7747" s="2" t="str">
        <f>IF(Table1[[#This Row],[Is Data Valid]]=TRUE,((Table1[[#This Row],[Birthweight (grams)]]/Table1[[#This Row],[BW_GA]])-1)/(Backend!$B$4/100*Table1[[#This Row],[BW40_3705]]),"")</f>
        <v/>
      </c>
      <c r="H7747" s="7" t="str">
        <f>IF(Table1[[#This Row],[Is Data Valid]]=TRUE,((Table1[[#This Row],[Birthweight (grams)]]*0.9/Table1[[#This Row],[BW_GA]])-1)/(Backend!$B$4/100*Table1[[#This Row],[BW40_3705]]),"")</f>
        <v/>
      </c>
      <c r="I7747" s="7" t="str">
        <f>IF(Table1[[#This Row],[Is Data Valid]]=TRUE,((Table1[[#This Row],[Birthweight (grams)]]*1.1/Table1[[#This Row],[BW_GA]])-1)/(Backend!$B$4/100*Table1[[#This Row],[BW40_3705]]),"")</f>
        <v/>
      </c>
      <c r="J7747" s="7" t="str">
        <f>IF(Table1[[#This Row],[Is Data Valid]]=TRUE,_xlfn.NORM.S.DIST(Table1[[#This Row],[Birthweight Z-Score]],TRUE)*100,"")</f>
        <v/>
      </c>
      <c r="K7747" s="7" t="str">
        <f>IF(Table1[[#This Row],[Is Data Valid]]=TRUE,_xlfn.NORM.S.DIST(Table1[[#This Row],[Birthweight Z-Score (BW-10%)]],TRUE)*100,"")</f>
        <v/>
      </c>
      <c r="L7747" s="7" t="str">
        <f>IF(Table1[[#This Row],[Is Data Valid]]=TRUE,_xlfn.NORM.S.DIST(Table1[[#This Row],[Birthweight Z-Score (BW+10%)]],TRUE)*100,"")</f>
        <v/>
      </c>
    </row>
    <row r="7748" spans="1:12" x14ac:dyDescent="0.35">
      <c r="A7748" s="3"/>
      <c r="B7748" s="2"/>
      <c r="C7748" s="2"/>
      <c r="D7748" s="2" t="b">
        <f>IF(AND(NOT(ISBLANK(Table1[[#This Row],[Fetal Sex (Male, Female or Unknown)]])),ISNUMBER(Table1[[#This Row],[Birthweight (grams)]]),ISNUMBER(Table1[[#This Row],[Gestation (days)]])),TRUE,FALSE)</f>
        <v>0</v>
      </c>
      <c r="E7748" s="2" t="str">
        <f>IF(Table1[[#This Row],[Is Data Valid]]=TRUE,IF(Table1[[#This Row],[Fetal Sex (Male, Female or Unknown)]]="Male",Backend!$C$6,IF(Table1[[#This Row],[Fetal Sex (Male, Female or Unknown)]]="Female",Backend!$C$7,IF(Table1[[#This Row],[Fetal Sex (Male, Female or Unknown)]]="Unknown",Backend!$C$8,"Error"))),"")</f>
        <v/>
      </c>
      <c r="F7748" s="8" t="str">
        <f>IF(Table1[[#This Row],[Is Data Valid]]=TRUE,EXP(0.578+0.332*((Table1[[#This Row],[Gestation (days)]]+0.5)/7)-0.00354*((Table1[[#This Row],[Gestation (days)]]+0.5)/7)^2)*Table1[[#This Row],[BW40_3705]],"")</f>
        <v/>
      </c>
      <c r="G7748" s="2" t="str">
        <f>IF(Table1[[#This Row],[Is Data Valid]]=TRUE,((Table1[[#This Row],[Birthweight (grams)]]/Table1[[#This Row],[BW_GA]])-1)/(Backend!$B$4/100*Table1[[#This Row],[BW40_3705]]),"")</f>
        <v/>
      </c>
      <c r="H7748" s="7" t="str">
        <f>IF(Table1[[#This Row],[Is Data Valid]]=TRUE,((Table1[[#This Row],[Birthweight (grams)]]*0.9/Table1[[#This Row],[BW_GA]])-1)/(Backend!$B$4/100*Table1[[#This Row],[BW40_3705]]),"")</f>
        <v/>
      </c>
      <c r="I7748" s="7" t="str">
        <f>IF(Table1[[#This Row],[Is Data Valid]]=TRUE,((Table1[[#This Row],[Birthweight (grams)]]*1.1/Table1[[#This Row],[BW_GA]])-1)/(Backend!$B$4/100*Table1[[#This Row],[BW40_3705]]),"")</f>
        <v/>
      </c>
      <c r="J7748" s="7" t="str">
        <f>IF(Table1[[#This Row],[Is Data Valid]]=TRUE,_xlfn.NORM.S.DIST(Table1[[#This Row],[Birthweight Z-Score]],TRUE)*100,"")</f>
        <v/>
      </c>
      <c r="K7748" s="7" t="str">
        <f>IF(Table1[[#This Row],[Is Data Valid]]=TRUE,_xlfn.NORM.S.DIST(Table1[[#This Row],[Birthweight Z-Score (BW-10%)]],TRUE)*100,"")</f>
        <v/>
      </c>
      <c r="L7748" s="7" t="str">
        <f>IF(Table1[[#This Row],[Is Data Valid]]=TRUE,_xlfn.NORM.S.DIST(Table1[[#This Row],[Birthweight Z-Score (BW+10%)]],TRUE)*100,"")</f>
        <v/>
      </c>
    </row>
    <row r="7749" spans="1:12" x14ac:dyDescent="0.35">
      <c r="A7749" s="3"/>
      <c r="B7749" s="2"/>
      <c r="C7749" s="2"/>
      <c r="D7749" s="2" t="b">
        <f>IF(AND(NOT(ISBLANK(Table1[[#This Row],[Fetal Sex (Male, Female or Unknown)]])),ISNUMBER(Table1[[#This Row],[Birthweight (grams)]]),ISNUMBER(Table1[[#This Row],[Gestation (days)]])),TRUE,FALSE)</f>
        <v>0</v>
      </c>
      <c r="E7749" s="2" t="str">
        <f>IF(Table1[[#This Row],[Is Data Valid]]=TRUE,IF(Table1[[#This Row],[Fetal Sex (Male, Female or Unknown)]]="Male",Backend!$C$6,IF(Table1[[#This Row],[Fetal Sex (Male, Female or Unknown)]]="Female",Backend!$C$7,IF(Table1[[#This Row],[Fetal Sex (Male, Female or Unknown)]]="Unknown",Backend!$C$8,"Error"))),"")</f>
        <v/>
      </c>
      <c r="F7749" s="8" t="str">
        <f>IF(Table1[[#This Row],[Is Data Valid]]=TRUE,EXP(0.578+0.332*((Table1[[#This Row],[Gestation (days)]]+0.5)/7)-0.00354*((Table1[[#This Row],[Gestation (days)]]+0.5)/7)^2)*Table1[[#This Row],[BW40_3705]],"")</f>
        <v/>
      </c>
      <c r="G7749" s="2" t="str">
        <f>IF(Table1[[#This Row],[Is Data Valid]]=TRUE,((Table1[[#This Row],[Birthweight (grams)]]/Table1[[#This Row],[BW_GA]])-1)/(Backend!$B$4/100*Table1[[#This Row],[BW40_3705]]),"")</f>
        <v/>
      </c>
      <c r="H7749" s="7" t="str">
        <f>IF(Table1[[#This Row],[Is Data Valid]]=TRUE,((Table1[[#This Row],[Birthweight (grams)]]*0.9/Table1[[#This Row],[BW_GA]])-1)/(Backend!$B$4/100*Table1[[#This Row],[BW40_3705]]),"")</f>
        <v/>
      </c>
      <c r="I7749" s="7" t="str">
        <f>IF(Table1[[#This Row],[Is Data Valid]]=TRUE,((Table1[[#This Row],[Birthweight (grams)]]*1.1/Table1[[#This Row],[BW_GA]])-1)/(Backend!$B$4/100*Table1[[#This Row],[BW40_3705]]),"")</f>
        <v/>
      </c>
      <c r="J7749" s="7" t="str">
        <f>IF(Table1[[#This Row],[Is Data Valid]]=TRUE,_xlfn.NORM.S.DIST(Table1[[#This Row],[Birthweight Z-Score]],TRUE)*100,"")</f>
        <v/>
      </c>
      <c r="K7749" s="7" t="str">
        <f>IF(Table1[[#This Row],[Is Data Valid]]=TRUE,_xlfn.NORM.S.DIST(Table1[[#This Row],[Birthweight Z-Score (BW-10%)]],TRUE)*100,"")</f>
        <v/>
      </c>
      <c r="L7749" s="7" t="str">
        <f>IF(Table1[[#This Row],[Is Data Valid]]=TRUE,_xlfn.NORM.S.DIST(Table1[[#This Row],[Birthweight Z-Score (BW+10%)]],TRUE)*100,"")</f>
        <v/>
      </c>
    </row>
    <row r="7750" spans="1:12" x14ac:dyDescent="0.35">
      <c r="A7750" s="3"/>
      <c r="B7750" s="2"/>
      <c r="C7750" s="2"/>
      <c r="D7750" s="2" t="b">
        <f>IF(AND(NOT(ISBLANK(Table1[[#This Row],[Fetal Sex (Male, Female or Unknown)]])),ISNUMBER(Table1[[#This Row],[Birthweight (grams)]]),ISNUMBER(Table1[[#This Row],[Gestation (days)]])),TRUE,FALSE)</f>
        <v>0</v>
      </c>
      <c r="E7750" s="2" t="str">
        <f>IF(Table1[[#This Row],[Is Data Valid]]=TRUE,IF(Table1[[#This Row],[Fetal Sex (Male, Female or Unknown)]]="Male",Backend!$C$6,IF(Table1[[#This Row],[Fetal Sex (Male, Female or Unknown)]]="Female",Backend!$C$7,IF(Table1[[#This Row],[Fetal Sex (Male, Female or Unknown)]]="Unknown",Backend!$C$8,"Error"))),"")</f>
        <v/>
      </c>
      <c r="F7750" s="8" t="str">
        <f>IF(Table1[[#This Row],[Is Data Valid]]=TRUE,EXP(0.578+0.332*((Table1[[#This Row],[Gestation (days)]]+0.5)/7)-0.00354*((Table1[[#This Row],[Gestation (days)]]+0.5)/7)^2)*Table1[[#This Row],[BW40_3705]],"")</f>
        <v/>
      </c>
      <c r="G7750" s="2" t="str">
        <f>IF(Table1[[#This Row],[Is Data Valid]]=TRUE,((Table1[[#This Row],[Birthweight (grams)]]/Table1[[#This Row],[BW_GA]])-1)/(Backend!$B$4/100*Table1[[#This Row],[BW40_3705]]),"")</f>
        <v/>
      </c>
      <c r="H7750" s="7" t="str">
        <f>IF(Table1[[#This Row],[Is Data Valid]]=TRUE,((Table1[[#This Row],[Birthweight (grams)]]*0.9/Table1[[#This Row],[BW_GA]])-1)/(Backend!$B$4/100*Table1[[#This Row],[BW40_3705]]),"")</f>
        <v/>
      </c>
      <c r="I7750" s="7" t="str">
        <f>IF(Table1[[#This Row],[Is Data Valid]]=TRUE,((Table1[[#This Row],[Birthweight (grams)]]*1.1/Table1[[#This Row],[BW_GA]])-1)/(Backend!$B$4/100*Table1[[#This Row],[BW40_3705]]),"")</f>
        <v/>
      </c>
      <c r="J7750" s="7" t="str">
        <f>IF(Table1[[#This Row],[Is Data Valid]]=TRUE,_xlfn.NORM.S.DIST(Table1[[#This Row],[Birthweight Z-Score]],TRUE)*100,"")</f>
        <v/>
      </c>
      <c r="K7750" s="7" t="str">
        <f>IF(Table1[[#This Row],[Is Data Valid]]=TRUE,_xlfn.NORM.S.DIST(Table1[[#This Row],[Birthweight Z-Score (BW-10%)]],TRUE)*100,"")</f>
        <v/>
      </c>
      <c r="L7750" s="7" t="str">
        <f>IF(Table1[[#This Row],[Is Data Valid]]=TRUE,_xlfn.NORM.S.DIST(Table1[[#This Row],[Birthweight Z-Score (BW+10%)]],TRUE)*100,"")</f>
        <v/>
      </c>
    </row>
    <row r="7751" spans="1:12" x14ac:dyDescent="0.35">
      <c r="A7751" s="3"/>
      <c r="B7751" s="2"/>
      <c r="C7751" s="2"/>
      <c r="D7751" s="2" t="b">
        <f>IF(AND(NOT(ISBLANK(Table1[[#This Row],[Fetal Sex (Male, Female or Unknown)]])),ISNUMBER(Table1[[#This Row],[Birthweight (grams)]]),ISNUMBER(Table1[[#This Row],[Gestation (days)]])),TRUE,FALSE)</f>
        <v>0</v>
      </c>
      <c r="E7751" s="2" t="str">
        <f>IF(Table1[[#This Row],[Is Data Valid]]=TRUE,IF(Table1[[#This Row],[Fetal Sex (Male, Female or Unknown)]]="Male",Backend!$C$6,IF(Table1[[#This Row],[Fetal Sex (Male, Female or Unknown)]]="Female",Backend!$C$7,IF(Table1[[#This Row],[Fetal Sex (Male, Female or Unknown)]]="Unknown",Backend!$C$8,"Error"))),"")</f>
        <v/>
      </c>
      <c r="F7751" s="8" t="str">
        <f>IF(Table1[[#This Row],[Is Data Valid]]=TRUE,EXP(0.578+0.332*((Table1[[#This Row],[Gestation (days)]]+0.5)/7)-0.00354*((Table1[[#This Row],[Gestation (days)]]+0.5)/7)^2)*Table1[[#This Row],[BW40_3705]],"")</f>
        <v/>
      </c>
      <c r="G7751" s="2" t="str">
        <f>IF(Table1[[#This Row],[Is Data Valid]]=TRUE,((Table1[[#This Row],[Birthweight (grams)]]/Table1[[#This Row],[BW_GA]])-1)/(Backend!$B$4/100*Table1[[#This Row],[BW40_3705]]),"")</f>
        <v/>
      </c>
      <c r="H7751" s="7" t="str">
        <f>IF(Table1[[#This Row],[Is Data Valid]]=TRUE,((Table1[[#This Row],[Birthweight (grams)]]*0.9/Table1[[#This Row],[BW_GA]])-1)/(Backend!$B$4/100*Table1[[#This Row],[BW40_3705]]),"")</f>
        <v/>
      </c>
      <c r="I7751" s="7" t="str">
        <f>IF(Table1[[#This Row],[Is Data Valid]]=TRUE,((Table1[[#This Row],[Birthweight (grams)]]*1.1/Table1[[#This Row],[BW_GA]])-1)/(Backend!$B$4/100*Table1[[#This Row],[BW40_3705]]),"")</f>
        <v/>
      </c>
      <c r="J7751" s="7" t="str">
        <f>IF(Table1[[#This Row],[Is Data Valid]]=TRUE,_xlfn.NORM.S.DIST(Table1[[#This Row],[Birthweight Z-Score]],TRUE)*100,"")</f>
        <v/>
      </c>
      <c r="K7751" s="7" t="str">
        <f>IF(Table1[[#This Row],[Is Data Valid]]=TRUE,_xlfn.NORM.S.DIST(Table1[[#This Row],[Birthweight Z-Score (BW-10%)]],TRUE)*100,"")</f>
        <v/>
      </c>
      <c r="L7751" s="7" t="str">
        <f>IF(Table1[[#This Row],[Is Data Valid]]=TRUE,_xlfn.NORM.S.DIST(Table1[[#This Row],[Birthweight Z-Score (BW+10%)]],TRUE)*100,"")</f>
        <v/>
      </c>
    </row>
    <row r="7752" spans="1:12" x14ac:dyDescent="0.35">
      <c r="A7752" s="3"/>
      <c r="B7752" s="2"/>
      <c r="C7752" s="2"/>
      <c r="D7752" s="2" t="b">
        <f>IF(AND(NOT(ISBLANK(Table1[[#This Row],[Fetal Sex (Male, Female or Unknown)]])),ISNUMBER(Table1[[#This Row],[Birthweight (grams)]]),ISNUMBER(Table1[[#This Row],[Gestation (days)]])),TRUE,FALSE)</f>
        <v>0</v>
      </c>
      <c r="E7752" s="2" t="str">
        <f>IF(Table1[[#This Row],[Is Data Valid]]=TRUE,IF(Table1[[#This Row],[Fetal Sex (Male, Female or Unknown)]]="Male",Backend!$C$6,IF(Table1[[#This Row],[Fetal Sex (Male, Female or Unknown)]]="Female",Backend!$C$7,IF(Table1[[#This Row],[Fetal Sex (Male, Female or Unknown)]]="Unknown",Backend!$C$8,"Error"))),"")</f>
        <v/>
      </c>
      <c r="F7752" s="8" t="str">
        <f>IF(Table1[[#This Row],[Is Data Valid]]=TRUE,EXP(0.578+0.332*((Table1[[#This Row],[Gestation (days)]]+0.5)/7)-0.00354*((Table1[[#This Row],[Gestation (days)]]+0.5)/7)^2)*Table1[[#This Row],[BW40_3705]],"")</f>
        <v/>
      </c>
      <c r="G7752" s="2" t="str">
        <f>IF(Table1[[#This Row],[Is Data Valid]]=TRUE,((Table1[[#This Row],[Birthweight (grams)]]/Table1[[#This Row],[BW_GA]])-1)/(Backend!$B$4/100*Table1[[#This Row],[BW40_3705]]),"")</f>
        <v/>
      </c>
      <c r="H7752" s="7" t="str">
        <f>IF(Table1[[#This Row],[Is Data Valid]]=TRUE,((Table1[[#This Row],[Birthweight (grams)]]*0.9/Table1[[#This Row],[BW_GA]])-1)/(Backend!$B$4/100*Table1[[#This Row],[BW40_3705]]),"")</f>
        <v/>
      </c>
      <c r="I7752" s="7" t="str">
        <f>IF(Table1[[#This Row],[Is Data Valid]]=TRUE,((Table1[[#This Row],[Birthweight (grams)]]*1.1/Table1[[#This Row],[BW_GA]])-1)/(Backend!$B$4/100*Table1[[#This Row],[BW40_3705]]),"")</f>
        <v/>
      </c>
      <c r="J7752" s="7" t="str">
        <f>IF(Table1[[#This Row],[Is Data Valid]]=TRUE,_xlfn.NORM.S.DIST(Table1[[#This Row],[Birthweight Z-Score]],TRUE)*100,"")</f>
        <v/>
      </c>
      <c r="K7752" s="7" t="str">
        <f>IF(Table1[[#This Row],[Is Data Valid]]=TRUE,_xlfn.NORM.S.DIST(Table1[[#This Row],[Birthweight Z-Score (BW-10%)]],TRUE)*100,"")</f>
        <v/>
      </c>
      <c r="L7752" s="7" t="str">
        <f>IF(Table1[[#This Row],[Is Data Valid]]=TRUE,_xlfn.NORM.S.DIST(Table1[[#This Row],[Birthweight Z-Score (BW+10%)]],TRUE)*100,"")</f>
        <v/>
      </c>
    </row>
    <row r="7753" spans="1:12" x14ac:dyDescent="0.35">
      <c r="A7753" s="3"/>
      <c r="B7753" s="2"/>
      <c r="C7753" s="2"/>
      <c r="D7753" s="2" t="b">
        <f>IF(AND(NOT(ISBLANK(Table1[[#This Row],[Fetal Sex (Male, Female or Unknown)]])),ISNUMBER(Table1[[#This Row],[Birthweight (grams)]]),ISNUMBER(Table1[[#This Row],[Gestation (days)]])),TRUE,FALSE)</f>
        <v>0</v>
      </c>
      <c r="E7753" s="2" t="str">
        <f>IF(Table1[[#This Row],[Is Data Valid]]=TRUE,IF(Table1[[#This Row],[Fetal Sex (Male, Female or Unknown)]]="Male",Backend!$C$6,IF(Table1[[#This Row],[Fetal Sex (Male, Female or Unknown)]]="Female",Backend!$C$7,IF(Table1[[#This Row],[Fetal Sex (Male, Female or Unknown)]]="Unknown",Backend!$C$8,"Error"))),"")</f>
        <v/>
      </c>
      <c r="F7753" s="8" t="str">
        <f>IF(Table1[[#This Row],[Is Data Valid]]=TRUE,EXP(0.578+0.332*((Table1[[#This Row],[Gestation (days)]]+0.5)/7)-0.00354*((Table1[[#This Row],[Gestation (days)]]+0.5)/7)^2)*Table1[[#This Row],[BW40_3705]],"")</f>
        <v/>
      </c>
      <c r="G7753" s="2" t="str">
        <f>IF(Table1[[#This Row],[Is Data Valid]]=TRUE,((Table1[[#This Row],[Birthweight (grams)]]/Table1[[#This Row],[BW_GA]])-1)/(Backend!$B$4/100*Table1[[#This Row],[BW40_3705]]),"")</f>
        <v/>
      </c>
      <c r="H7753" s="7" t="str">
        <f>IF(Table1[[#This Row],[Is Data Valid]]=TRUE,((Table1[[#This Row],[Birthweight (grams)]]*0.9/Table1[[#This Row],[BW_GA]])-1)/(Backend!$B$4/100*Table1[[#This Row],[BW40_3705]]),"")</f>
        <v/>
      </c>
      <c r="I7753" s="7" t="str">
        <f>IF(Table1[[#This Row],[Is Data Valid]]=TRUE,((Table1[[#This Row],[Birthweight (grams)]]*1.1/Table1[[#This Row],[BW_GA]])-1)/(Backend!$B$4/100*Table1[[#This Row],[BW40_3705]]),"")</f>
        <v/>
      </c>
      <c r="J7753" s="7" t="str">
        <f>IF(Table1[[#This Row],[Is Data Valid]]=TRUE,_xlfn.NORM.S.DIST(Table1[[#This Row],[Birthweight Z-Score]],TRUE)*100,"")</f>
        <v/>
      </c>
      <c r="K7753" s="7" t="str">
        <f>IF(Table1[[#This Row],[Is Data Valid]]=TRUE,_xlfn.NORM.S.DIST(Table1[[#This Row],[Birthweight Z-Score (BW-10%)]],TRUE)*100,"")</f>
        <v/>
      </c>
      <c r="L7753" s="7" t="str">
        <f>IF(Table1[[#This Row],[Is Data Valid]]=TRUE,_xlfn.NORM.S.DIST(Table1[[#This Row],[Birthweight Z-Score (BW+10%)]],TRUE)*100,"")</f>
        <v/>
      </c>
    </row>
    <row r="7754" spans="1:12" x14ac:dyDescent="0.35">
      <c r="A7754" s="3"/>
      <c r="B7754" s="2"/>
      <c r="C7754" s="2"/>
      <c r="D7754" s="2" t="b">
        <f>IF(AND(NOT(ISBLANK(Table1[[#This Row],[Fetal Sex (Male, Female or Unknown)]])),ISNUMBER(Table1[[#This Row],[Birthweight (grams)]]),ISNUMBER(Table1[[#This Row],[Gestation (days)]])),TRUE,FALSE)</f>
        <v>0</v>
      </c>
      <c r="E7754" s="2" t="str">
        <f>IF(Table1[[#This Row],[Is Data Valid]]=TRUE,IF(Table1[[#This Row],[Fetal Sex (Male, Female or Unknown)]]="Male",Backend!$C$6,IF(Table1[[#This Row],[Fetal Sex (Male, Female or Unknown)]]="Female",Backend!$C$7,IF(Table1[[#This Row],[Fetal Sex (Male, Female or Unknown)]]="Unknown",Backend!$C$8,"Error"))),"")</f>
        <v/>
      </c>
      <c r="F7754" s="8" t="str">
        <f>IF(Table1[[#This Row],[Is Data Valid]]=TRUE,EXP(0.578+0.332*((Table1[[#This Row],[Gestation (days)]]+0.5)/7)-0.00354*((Table1[[#This Row],[Gestation (days)]]+0.5)/7)^2)*Table1[[#This Row],[BW40_3705]],"")</f>
        <v/>
      </c>
      <c r="G7754" s="2" t="str">
        <f>IF(Table1[[#This Row],[Is Data Valid]]=TRUE,((Table1[[#This Row],[Birthweight (grams)]]/Table1[[#This Row],[BW_GA]])-1)/(Backend!$B$4/100*Table1[[#This Row],[BW40_3705]]),"")</f>
        <v/>
      </c>
      <c r="H7754" s="7" t="str">
        <f>IF(Table1[[#This Row],[Is Data Valid]]=TRUE,((Table1[[#This Row],[Birthweight (grams)]]*0.9/Table1[[#This Row],[BW_GA]])-1)/(Backend!$B$4/100*Table1[[#This Row],[BW40_3705]]),"")</f>
        <v/>
      </c>
      <c r="I7754" s="7" t="str">
        <f>IF(Table1[[#This Row],[Is Data Valid]]=TRUE,((Table1[[#This Row],[Birthweight (grams)]]*1.1/Table1[[#This Row],[BW_GA]])-1)/(Backend!$B$4/100*Table1[[#This Row],[BW40_3705]]),"")</f>
        <v/>
      </c>
      <c r="J7754" s="7" t="str">
        <f>IF(Table1[[#This Row],[Is Data Valid]]=TRUE,_xlfn.NORM.S.DIST(Table1[[#This Row],[Birthweight Z-Score]],TRUE)*100,"")</f>
        <v/>
      </c>
      <c r="K7754" s="7" t="str">
        <f>IF(Table1[[#This Row],[Is Data Valid]]=TRUE,_xlfn.NORM.S.DIST(Table1[[#This Row],[Birthweight Z-Score (BW-10%)]],TRUE)*100,"")</f>
        <v/>
      </c>
      <c r="L7754" s="7" t="str">
        <f>IF(Table1[[#This Row],[Is Data Valid]]=TRUE,_xlfn.NORM.S.DIST(Table1[[#This Row],[Birthweight Z-Score (BW+10%)]],TRUE)*100,"")</f>
        <v/>
      </c>
    </row>
    <row r="7755" spans="1:12" x14ac:dyDescent="0.35">
      <c r="A7755" s="3"/>
      <c r="B7755" s="2"/>
      <c r="C7755" s="2"/>
      <c r="D7755" s="2" t="b">
        <f>IF(AND(NOT(ISBLANK(Table1[[#This Row],[Fetal Sex (Male, Female or Unknown)]])),ISNUMBER(Table1[[#This Row],[Birthweight (grams)]]),ISNUMBER(Table1[[#This Row],[Gestation (days)]])),TRUE,FALSE)</f>
        <v>0</v>
      </c>
      <c r="E7755" s="2" t="str">
        <f>IF(Table1[[#This Row],[Is Data Valid]]=TRUE,IF(Table1[[#This Row],[Fetal Sex (Male, Female or Unknown)]]="Male",Backend!$C$6,IF(Table1[[#This Row],[Fetal Sex (Male, Female or Unknown)]]="Female",Backend!$C$7,IF(Table1[[#This Row],[Fetal Sex (Male, Female or Unknown)]]="Unknown",Backend!$C$8,"Error"))),"")</f>
        <v/>
      </c>
      <c r="F7755" s="8" t="str">
        <f>IF(Table1[[#This Row],[Is Data Valid]]=TRUE,EXP(0.578+0.332*((Table1[[#This Row],[Gestation (days)]]+0.5)/7)-0.00354*((Table1[[#This Row],[Gestation (days)]]+0.5)/7)^2)*Table1[[#This Row],[BW40_3705]],"")</f>
        <v/>
      </c>
      <c r="G7755" s="2" t="str">
        <f>IF(Table1[[#This Row],[Is Data Valid]]=TRUE,((Table1[[#This Row],[Birthweight (grams)]]/Table1[[#This Row],[BW_GA]])-1)/(Backend!$B$4/100*Table1[[#This Row],[BW40_3705]]),"")</f>
        <v/>
      </c>
      <c r="H7755" s="7" t="str">
        <f>IF(Table1[[#This Row],[Is Data Valid]]=TRUE,((Table1[[#This Row],[Birthweight (grams)]]*0.9/Table1[[#This Row],[BW_GA]])-1)/(Backend!$B$4/100*Table1[[#This Row],[BW40_3705]]),"")</f>
        <v/>
      </c>
      <c r="I7755" s="7" t="str">
        <f>IF(Table1[[#This Row],[Is Data Valid]]=TRUE,((Table1[[#This Row],[Birthweight (grams)]]*1.1/Table1[[#This Row],[BW_GA]])-1)/(Backend!$B$4/100*Table1[[#This Row],[BW40_3705]]),"")</f>
        <v/>
      </c>
      <c r="J7755" s="7" t="str">
        <f>IF(Table1[[#This Row],[Is Data Valid]]=TRUE,_xlfn.NORM.S.DIST(Table1[[#This Row],[Birthweight Z-Score]],TRUE)*100,"")</f>
        <v/>
      </c>
      <c r="K7755" s="7" t="str">
        <f>IF(Table1[[#This Row],[Is Data Valid]]=TRUE,_xlfn.NORM.S.DIST(Table1[[#This Row],[Birthweight Z-Score (BW-10%)]],TRUE)*100,"")</f>
        <v/>
      </c>
      <c r="L7755" s="7" t="str">
        <f>IF(Table1[[#This Row],[Is Data Valid]]=TRUE,_xlfn.NORM.S.DIST(Table1[[#This Row],[Birthweight Z-Score (BW+10%)]],TRUE)*100,"")</f>
        <v/>
      </c>
    </row>
    <row r="7756" spans="1:12" x14ac:dyDescent="0.35">
      <c r="A7756" s="3"/>
      <c r="B7756" s="2"/>
      <c r="C7756" s="2"/>
      <c r="D7756" s="2" t="b">
        <f>IF(AND(NOT(ISBLANK(Table1[[#This Row],[Fetal Sex (Male, Female or Unknown)]])),ISNUMBER(Table1[[#This Row],[Birthweight (grams)]]),ISNUMBER(Table1[[#This Row],[Gestation (days)]])),TRUE,FALSE)</f>
        <v>0</v>
      </c>
      <c r="E7756" s="2" t="str">
        <f>IF(Table1[[#This Row],[Is Data Valid]]=TRUE,IF(Table1[[#This Row],[Fetal Sex (Male, Female or Unknown)]]="Male",Backend!$C$6,IF(Table1[[#This Row],[Fetal Sex (Male, Female or Unknown)]]="Female",Backend!$C$7,IF(Table1[[#This Row],[Fetal Sex (Male, Female or Unknown)]]="Unknown",Backend!$C$8,"Error"))),"")</f>
        <v/>
      </c>
      <c r="F7756" s="8" t="str">
        <f>IF(Table1[[#This Row],[Is Data Valid]]=TRUE,EXP(0.578+0.332*((Table1[[#This Row],[Gestation (days)]]+0.5)/7)-0.00354*((Table1[[#This Row],[Gestation (days)]]+0.5)/7)^2)*Table1[[#This Row],[BW40_3705]],"")</f>
        <v/>
      </c>
      <c r="G7756" s="2" t="str">
        <f>IF(Table1[[#This Row],[Is Data Valid]]=TRUE,((Table1[[#This Row],[Birthweight (grams)]]/Table1[[#This Row],[BW_GA]])-1)/(Backend!$B$4/100*Table1[[#This Row],[BW40_3705]]),"")</f>
        <v/>
      </c>
      <c r="H7756" s="7" t="str">
        <f>IF(Table1[[#This Row],[Is Data Valid]]=TRUE,((Table1[[#This Row],[Birthweight (grams)]]*0.9/Table1[[#This Row],[BW_GA]])-1)/(Backend!$B$4/100*Table1[[#This Row],[BW40_3705]]),"")</f>
        <v/>
      </c>
      <c r="I7756" s="7" t="str">
        <f>IF(Table1[[#This Row],[Is Data Valid]]=TRUE,((Table1[[#This Row],[Birthweight (grams)]]*1.1/Table1[[#This Row],[BW_GA]])-1)/(Backend!$B$4/100*Table1[[#This Row],[BW40_3705]]),"")</f>
        <v/>
      </c>
      <c r="J7756" s="7" t="str">
        <f>IF(Table1[[#This Row],[Is Data Valid]]=TRUE,_xlfn.NORM.S.DIST(Table1[[#This Row],[Birthweight Z-Score]],TRUE)*100,"")</f>
        <v/>
      </c>
      <c r="K7756" s="7" t="str">
        <f>IF(Table1[[#This Row],[Is Data Valid]]=TRUE,_xlfn.NORM.S.DIST(Table1[[#This Row],[Birthweight Z-Score (BW-10%)]],TRUE)*100,"")</f>
        <v/>
      </c>
      <c r="L7756" s="7" t="str">
        <f>IF(Table1[[#This Row],[Is Data Valid]]=TRUE,_xlfn.NORM.S.DIST(Table1[[#This Row],[Birthweight Z-Score (BW+10%)]],TRUE)*100,"")</f>
        <v/>
      </c>
    </row>
    <row r="7757" spans="1:12" x14ac:dyDescent="0.35">
      <c r="A7757" s="3"/>
      <c r="B7757" s="2"/>
      <c r="C7757" s="2"/>
      <c r="D7757" s="2" t="b">
        <f>IF(AND(NOT(ISBLANK(Table1[[#This Row],[Fetal Sex (Male, Female or Unknown)]])),ISNUMBER(Table1[[#This Row],[Birthweight (grams)]]),ISNUMBER(Table1[[#This Row],[Gestation (days)]])),TRUE,FALSE)</f>
        <v>0</v>
      </c>
      <c r="E7757" s="2" t="str">
        <f>IF(Table1[[#This Row],[Is Data Valid]]=TRUE,IF(Table1[[#This Row],[Fetal Sex (Male, Female or Unknown)]]="Male",Backend!$C$6,IF(Table1[[#This Row],[Fetal Sex (Male, Female or Unknown)]]="Female",Backend!$C$7,IF(Table1[[#This Row],[Fetal Sex (Male, Female or Unknown)]]="Unknown",Backend!$C$8,"Error"))),"")</f>
        <v/>
      </c>
      <c r="F7757" s="8" t="str">
        <f>IF(Table1[[#This Row],[Is Data Valid]]=TRUE,EXP(0.578+0.332*((Table1[[#This Row],[Gestation (days)]]+0.5)/7)-0.00354*((Table1[[#This Row],[Gestation (days)]]+0.5)/7)^2)*Table1[[#This Row],[BW40_3705]],"")</f>
        <v/>
      </c>
      <c r="G7757" s="2" t="str">
        <f>IF(Table1[[#This Row],[Is Data Valid]]=TRUE,((Table1[[#This Row],[Birthweight (grams)]]/Table1[[#This Row],[BW_GA]])-1)/(Backend!$B$4/100*Table1[[#This Row],[BW40_3705]]),"")</f>
        <v/>
      </c>
      <c r="H7757" s="7" t="str">
        <f>IF(Table1[[#This Row],[Is Data Valid]]=TRUE,((Table1[[#This Row],[Birthweight (grams)]]*0.9/Table1[[#This Row],[BW_GA]])-1)/(Backend!$B$4/100*Table1[[#This Row],[BW40_3705]]),"")</f>
        <v/>
      </c>
      <c r="I7757" s="7" t="str">
        <f>IF(Table1[[#This Row],[Is Data Valid]]=TRUE,((Table1[[#This Row],[Birthweight (grams)]]*1.1/Table1[[#This Row],[BW_GA]])-1)/(Backend!$B$4/100*Table1[[#This Row],[BW40_3705]]),"")</f>
        <v/>
      </c>
      <c r="J7757" s="7" t="str">
        <f>IF(Table1[[#This Row],[Is Data Valid]]=TRUE,_xlfn.NORM.S.DIST(Table1[[#This Row],[Birthweight Z-Score]],TRUE)*100,"")</f>
        <v/>
      </c>
      <c r="K7757" s="7" t="str">
        <f>IF(Table1[[#This Row],[Is Data Valid]]=TRUE,_xlfn.NORM.S.DIST(Table1[[#This Row],[Birthweight Z-Score (BW-10%)]],TRUE)*100,"")</f>
        <v/>
      </c>
      <c r="L7757" s="7" t="str">
        <f>IF(Table1[[#This Row],[Is Data Valid]]=TRUE,_xlfn.NORM.S.DIST(Table1[[#This Row],[Birthweight Z-Score (BW+10%)]],TRUE)*100,"")</f>
        <v/>
      </c>
    </row>
    <row r="7758" spans="1:12" x14ac:dyDescent="0.35">
      <c r="A7758" s="3"/>
      <c r="B7758" s="2"/>
      <c r="C7758" s="2"/>
      <c r="D7758" s="2" t="b">
        <f>IF(AND(NOT(ISBLANK(Table1[[#This Row],[Fetal Sex (Male, Female or Unknown)]])),ISNUMBER(Table1[[#This Row],[Birthweight (grams)]]),ISNUMBER(Table1[[#This Row],[Gestation (days)]])),TRUE,FALSE)</f>
        <v>0</v>
      </c>
      <c r="E7758" s="2" t="str">
        <f>IF(Table1[[#This Row],[Is Data Valid]]=TRUE,IF(Table1[[#This Row],[Fetal Sex (Male, Female or Unknown)]]="Male",Backend!$C$6,IF(Table1[[#This Row],[Fetal Sex (Male, Female or Unknown)]]="Female",Backend!$C$7,IF(Table1[[#This Row],[Fetal Sex (Male, Female or Unknown)]]="Unknown",Backend!$C$8,"Error"))),"")</f>
        <v/>
      </c>
      <c r="F7758" s="8" t="str">
        <f>IF(Table1[[#This Row],[Is Data Valid]]=TRUE,EXP(0.578+0.332*((Table1[[#This Row],[Gestation (days)]]+0.5)/7)-0.00354*((Table1[[#This Row],[Gestation (days)]]+0.5)/7)^2)*Table1[[#This Row],[BW40_3705]],"")</f>
        <v/>
      </c>
      <c r="G7758" s="2" t="str">
        <f>IF(Table1[[#This Row],[Is Data Valid]]=TRUE,((Table1[[#This Row],[Birthweight (grams)]]/Table1[[#This Row],[BW_GA]])-1)/(Backend!$B$4/100*Table1[[#This Row],[BW40_3705]]),"")</f>
        <v/>
      </c>
      <c r="H7758" s="7" t="str">
        <f>IF(Table1[[#This Row],[Is Data Valid]]=TRUE,((Table1[[#This Row],[Birthweight (grams)]]*0.9/Table1[[#This Row],[BW_GA]])-1)/(Backend!$B$4/100*Table1[[#This Row],[BW40_3705]]),"")</f>
        <v/>
      </c>
      <c r="I7758" s="7" t="str">
        <f>IF(Table1[[#This Row],[Is Data Valid]]=TRUE,((Table1[[#This Row],[Birthweight (grams)]]*1.1/Table1[[#This Row],[BW_GA]])-1)/(Backend!$B$4/100*Table1[[#This Row],[BW40_3705]]),"")</f>
        <v/>
      </c>
      <c r="J7758" s="7" t="str">
        <f>IF(Table1[[#This Row],[Is Data Valid]]=TRUE,_xlfn.NORM.S.DIST(Table1[[#This Row],[Birthweight Z-Score]],TRUE)*100,"")</f>
        <v/>
      </c>
      <c r="K7758" s="7" t="str">
        <f>IF(Table1[[#This Row],[Is Data Valid]]=TRUE,_xlfn.NORM.S.DIST(Table1[[#This Row],[Birthweight Z-Score (BW-10%)]],TRUE)*100,"")</f>
        <v/>
      </c>
      <c r="L7758" s="7" t="str">
        <f>IF(Table1[[#This Row],[Is Data Valid]]=TRUE,_xlfn.NORM.S.DIST(Table1[[#This Row],[Birthweight Z-Score (BW+10%)]],TRUE)*100,"")</f>
        <v/>
      </c>
    </row>
    <row r="7759" spans="1:12" x14ac:dyDescent="0.35">
      <c r="A7759" s="3"/>
      <c r="B7759" s="2"/>
      <c r="C7759" s="2"/>
      <c r="D7759" s="2" t="b">
        <f>IF(AND(NOT(ISBLANK(Table1[[#This Row],[Fetal Sex (Male, Female or Unknown)]])),ISNUMBER(Table1[[#This Row],[Birthweight (grams)]]),ISNUMBER(Table1[[#This Row],[Gestation (days)]])),TRUE,FALSE)</f>
        <v>0</v>
      </c>
      <c r="E7759" s="2" t="str">
        <f>IF(Table1[[#This Row],[Is Data Valid]]=TRUE,IF(Table1[[#This Row],[Fetal Sex (Male, Female or Unknown)]]="Male",Backend!$C$6,IF(Table1[[#This Row],[Fetal Sex (Male, Female or Unknown)]]="Female",Backend!$C$7,IF(Table1[[#This Row],[Fetal Sex (Male, Female or Unknown)]]="Unknown",Backend!$C$8,"Error"))),"")</f>
        <v/>
      </c>
      <c r="F7759" s="8" t="str">
        <f>IF(Table1[[#This Row],[Is Data Valid]]=TRUE,EXP(0.578+0.332*((Table1[[#This Row],[Gestation (days)]]+0.5)/7)-0.00354*((Table1[[#This Row],[Gestation (days)]]+0.5)/7)^2)*Table1[[#This Row],[BW40_3705]],"")</f>
        <v/>
      </c>
      <c r="G7759" s="2" t="str">
        <f>IF(Table1[[#This Row],[Is Data Valid]]=TRUE,((Table1[[#This Row],[Birthweight (grams)]]/Table1[[#This Row],[BW_GA]])-1)/(Backend!$B$4/100*Table1[[#This Row],[BW40_3705]]),"")</f>
        <v/>
      </c>
      <c r="H7759" s="7" t="str">
        <f>IF(Table1[[#This Row],[Is Data Valid]]=TRUE,((Table1[[#This Row],[Birthweight (grams)]]*0.9/Table1[[#This Row],[BW_GA]])-1)/(Backend!$B$4/100*Table1[[#This Row],[BW40_3705]]),"")</f>
        <v/>
      </c>
      <c r="I7759" s="7" t="str">
        <f>IF(Table1[[#This Row],[Is Data Valid]]=TRUE,((Table1[[#This Row],[Birthweight (grams)]]*1.1/Table1[[#This Row],[BW_GA]])-1)/(Backend!$B$4/100*Table1[[#This Row],[BW40_3705]]),"")</f>
        <v/>
      </c>
      <c r="J7759" s="7" t="str">
        <f>IF(Table1[[#This Row],[Is Data Valid]]=TRUE,_xlfn.NORM.S.DIST(Table1[[#This Row],[Birthweight Z-Score]],TRUE)*100,"")</f>
        <v/>
      </c>
      <c r="K7759" s="7" t="str">
        <f>IF(Table1[[#This Row],[Is Data Valid]]=TRUE,_xlfn.NORM.S.DIST(Table1[[#This Row],[Birthweight Z-Score (BW-10%)]],TRUE)*100,"")</f>
        <v/>
      </c>
      <c r="L7759" s="7" t="str">
        <f>IF(Table1[[#This Row],[Is Data Valid]]=TRUE,_xlfn.NORM.S.DIST(Table1[[#This Row],[Birthweight Z-Score (BW+10%)]],TRUE)*100,"")</f>
        <v/>
      </c>
    </row>
    <row r="7760" spans="1:12" x14ac:dyDescent="0.35">
      <c r="A7760" s="3"/>
      <c r="B7760" s="2"/>
      <c r="C7760" s="2"/>
      <c r="D7760" s="2" t="b">
        <f>IF(AND(NOT(ISBLANK(Table1[[#This Row],[Fetal Sex (Male, Female or Unknown)]])),ISNUMBER(Table1[[#This Row],[Birthweight (grams)]]),ISNUMBER(Table1[[#This Row],[Gestation (days)]])),TRUE,FALSE)</f>
        <v>0</v>
      </c>
      <c r="E7760" s="2" t="str">
        <f>IF(Table1[[#This Row],[Is Data Valid]]=TRUE,IF(Table1[[#This Row],[Fetal Sex (Male, Female or Unknown)]]="Male",Backend!$C$6,IF(Table1[[#This Row],[Fetal Sex (Male, Female or Unknown)]]="Female",Backend!$C$7,IF(Table1[[#This Row],[Fetal Sex (Male, Female or Unknown)]]="Unknown",Backend!$C$8,"Error"))),"")</f>
        <v/>
      </c>
      <c r="F7760" s="8" t="str">
        <f>IF(Table1[[#This Row],[Is Data Valid]]=TRUE,EXP(0.578+0.332*((Table1[[#This Row],[Gestation (days)]]+0.5)/7)-0.00354*((Table1[[#This Row],[Gestation (days)]]+0.5)/7)^2)*Table1[[#This Row],[BW40_3705]],"")</f>
        <v/>
      </c>
      <c r="G7760" s="2" t="str">
        <f>IF(Table1[[#This Row],[Is Data Valid]]=TRUE,((Table1[[#This Row],[Birthweight (grams)]]/Table1[[#This Row],[BW_GA]])-1)/(Backend!$B$4/100*Table1[[#This Row],[BW40_3705]]),"")</f>
        <v/>
      </c>
      <c r="H7760" s="7" t="str">
        <f>IF(Table1[[#This Row],[Is Data Valid]]=TRUE,((Table1[[#This Row],[Birthweight (grams)]]*0.9/Table1[[#This Row],[BW_GA]])-1)/(Backend!$B$4/100*Table1[[#This Row],[BW40_3705]]),"")</f>
        <v/>
      </c>
      <c r="I7760" s="7" t="str">
        <f>IF(Table1[[#This Row],[Is Data Valid]]=TRUE,((Table1[[#This Row],[Birthweight (grams)]]*1.1/Table1[[#This Row],[BW_GA]])-1)/(Backend!$B$4/100*Table1[[#This Row],[BW40_3705]]),"")</f>
        <v/>
      </c>
      <c r="J7760" s="7" t="str">
        <f>IF(Table1[[#This Row],[Is Data Valid]]=TRUE,_xlfn.NORM.S.DIST(Table1[[#This Row],[Birthweight Z-Score]],TRUE)*100,"")</f>
        <v/>
      </c>
      <c r="K7760" s="7" t="str">
        <f>IF(Table1[[#This Row],[Is Data Valid]]=TRUE,_xlfn.NORM.S.DIST(Table1[[#This Row],[Birthweight Z-Score (BW-10%)]],TRUE)*100,"")</f>
        <v/>
      </c>
      <c r="L7760" s="7" t="str">
        <f>IF(Table1[[#This Row],[Is Data Valid]]=TRUE,_xlfn.NORM.S.DIST(Table1[[#This Row],[Birthweight Z-Score (BW+10%)]],TRUE)*100,"")</f>
        <v/>
      </c>
    </row>
    <row r="7761" spans="1:12" x14ac:dyDescent="0.35">
      <c r="A7761" s="3"/>
      <c r="B7761" s="2"/>
      <c r="C7761" s="2"/>
      <c r="D7761" s="2" t="b">
        <f>IF(AND(NOT(ISBLANK(Table1[[#This Row],[Fetal Sex (Male, Female or Unknown)]])),ISNUMBER(Table1[[#This Row],[Birthweight (grams)]]),ISNUMBER(Table1[[#This Row],[Gestation (days)]])),TRUE,FALSE)</f>
        <v>0</v>
      </c>
      <c r="E7761" s="2" t="str">
        <f>IF(Table1[[#This Row],[Is Data Valid]]=TRUE,IF(Table1[[#This Row],[Fetal Sex (Male, Female or Unknown)]]="Male",Backend!$C$6,IF(Table1[[#This Row],[Fetal Sex (Male, Female or Unknown)]]="Female",Backend!$C$7,IF(Table1[[#This Row],[Fetal Sex (Male, Female or Unknown)]]="Unknown",Backend!$C$8,"Error"))),"")</f>
        <v/>
      </c>
      <c r="F7761" s="8" t="str">
        <f>IF(Table1[[#This Row],[Is Data Valid]]=TRUE,EXP(0.578+0.332*((Table1[[#This Row],[Gestation (days)]]+0.5)/7)-0.00354*((Table1[[#This Row],[Gestation (days)]]+0.5)/7)^2)*Table1[[#This Row],[BW40_3705]],"")</f>
        <v/>
      </c>
      <c r="G7761" s="2" t="str">
        <f>IF(Table1[[#This Row],[Is Data Valid]]=TRUE,((Table1[[#This Row],[Birthweight (grams)]]/Table1[[#This Row],[BW_GA]])-1)/(Backend!$B$4/100*Table1[[#This Row],[BW40_3705]]),"")</f>
        <v/>
      </c>
      <c r="H7761" s="7" t="str">
        <f>IF(Table1[[#This Row],[Is Data Valid]]=TRUE,((Table1[[#This Row],[Birthweight (grams)]]*0.9/Table1[[#This Row],[BW_GA]])-1)/(Backend!$B$4/100*Table1[[#This Row],[BW40_3705]]),"")</f>
        <v/>
      </c>
      <c r="I7761" s="7" t="str">
        <f>IF(Table1[[#This Row],[Is Data Valid]]=TRUE,((Table1[[#This Row],[Birthweight (grams)]]*1.1/Table1[[#This Row],[BW_GA]])-1)/(Backend!$B$4/100*Table1[[#This Row],[BW40_3705]]),"")</f>
        <v/>
      </c>
      <c r="J7761" s="7" t="str">
        <f>IF(Table1[[#This Row],[Is Data Valid]]=TRUE,_xlfn.NORM.S.DIST(Table1[[#This Row],[Birthweight Z-Score]],TRUE)*100,"")</f>
        <v/>
      </c>
      <c r="K7761" s="7" t="str">
        <f>IF(Table1[[#This Row],[Is Data Valid]]=TRUE,_xlfn.NORM.S.DIST(Table1[[#This Row],[Birthweight Z-Score (BW-10%)]],TRUE)*100,"")</f>
        <v/>
      </c>
      <c r="L7761" s="7" t="str">
        <f>IF(Table1[[#This Row],[Is Data Valid]]=TRUE,_xlfn.NORM.S.DIST(Table1[[#This Row],[Birthweight Z-Score (BW+10%)]],TRUE)*100,"")</f>
        <v/>
      </c>
    </row>
    <row r="7762" spans="1:12" x14ac:dyDescent="0.35">
      <c r="A7762" s="3"/>
      <c r="B7762" s="2"/>
      <c r="C7762" s="2"/>
      <c r="D7762" s="2" t="b">
        <f>IF(AND(NOT(ISBLANK(Table1[[#This Row],[Fetal Sex (Male, Female or Unknown)]])),ISNUMBER(Table1[[#This Row],[Birthweight (grams)]]),ISNUMBER(Table1[[#This Row],[Gestation (days)]])),TRUE,FALSE)</f>
        <v>0</v>
      </c>
      <c r="E7762" s="2" t="str">
        <f>IF(Table1[[#This Row],[Is Data Valid]]=TRUE,IF(Table1[[#This Row],[Fetal Sex (Male, Female or Unknown)]]="Male",Backend!$C$6,IF(Table1[[#This Row],[Fetal Sex (Male, Female or Unknown)]]="Female",Backend!$C$7,IF(Table1[[#This Row],[Fetal Sex (Male, Female or Unknown)]]="Unknown",Backend!$C$8,"Error"))),"")</f>
        <v/>
      </c>
      <c r="F7762" s="8" t="str">
        <f>IF(Table1[[#This Row],[Is Data Valid]]=TRUE,EXP(0.578+0.332*((Table1[[#This Row],[Gestation (days)]]+0.5)/7)-0.00354*((Table1[[#This Row],[Gestation (days)]]+0.5)/7)^2)*Table1[[#This Row],[BW40_3705]],"")</f>
        <v/>
      </c>
      <c r="G7762" s="2" t="str">
        <f>IF(Table1[[#This Row],[Is Data Valid]]=TRUE,((Table1[[#This Row],[Birthweight (grams)]]/Table1[[#This Row],[BW_GA]])-1)/(Backend!$B$4/100*Table1[[#This Row],[BW40_3705]]),"")</f>
        <v/>
      </c>
      <c r="H7762" s="7" t="str">
        <f>IF(Table1[[#This Row],[Is Data Valid]]=TRUE,((Table1[[#This Row],[Birthweight (grams)]]*0.9/Table1[[#This Row],[BW_GA]])-1)/(Backend!$B$4/100*Table1[[#This Row],[BW40_3705]]),"")</f>
        <v/>
      </c>
      <c r="I7762" s="7" t="str">
        <f>IF(Table1[[#This Row],[Is Data Valid]]=TRUE,((Table1[[#This Row],[Birthweight (grams)]]*1.1/Table1[[#This Row],[BW_GA]])-1)/(Backend!$B$4/100*Table1[[#This Row],[BW40_3705]]),"")</f>
        <v/>
      </c>
      <c r="J7762" s="7" t="str">
        <f>IF(Table1[[#This Row],[Is Data Valid]]=TRUE,_xlfn.NORM.S.DIST(Table1[[#This Row],[Birthweight Z-Score]],TRUE)*100,"")</f>
        <v/>
      </c>
      <c r="K7762" s="7" t="str">
        <f>IF(Table1[[#This Row],[Is Data Valid]]=TRUE,_xlfn.NORM.S.DIST(Table1[[#This Row],[Birthweight Z-Score (BW-10%)]],TRUE)*100,"")</f>
        <v/>
      </c>
      <c r="L7762" s="7" t="str">
        <f>IF(Table1[[#This Row],[Is Data Valid]]=TRUE,_xlfn.NORM.S.DIST(Table1[[#This Row],[Birthweight Z-Score (BW+10%)]],TRUE)*100,"")</f>
        <v/>
      </c>
    </row>
    <row r="7763" spans="1:12" x14ac:dyDescent="0.35">
      <c r="A7763" s="3"/>
      <c r="B7763" s="2"/>
      <c r="C7763" s="2"/>
      <c r="D7763" s="2" t="b">
        <f>IF(AND(NOT(ISBLANK(Table1[[#This Row],[Fetal Sex (Male, Female or Unknown)]])),ISNUMBER(Table1[[#This Row],[Birthweight (grams)]]),ISNUMBER(Table1[[#This Row],[Gestation (days)]])),TRUE,FALSE)</f>
        <v>0</v>
      </c>
      <c r="E7763" s="2" t="str">
        <f>IF(Table1[[#This Row],[Is Data Valid]]=TRUE,IF(Table1[[#This Row],[Fetal Sex (Male, Female or Unknown)]]="Male",Backend!$C$6,IF(Table1[[#This Row],[Fetal Sex (Male, Female or Unknown)]]="Female",Backend!$C$7,IF(Table1[[#This Row],[Fetal Sex (Male, Female or Unknown)]]="Unknown",Backend!$C$8,"Error"))),"")</f>
        <v/>
      </c>
      <c r="F7763" s="8" t="str">
        <f>IF(Table1[[#This Row],[Is Data Valid]]=TRUE,EXP(0.578+0.332*((Table1[[#This Row],[Gestation (days)]]+0.5)/7)-0.00354*((Table1[[#This Row],[Gestation (days)]]+0.5)/7)^2)*Table1[[#This Row],[BW40_3705]],"")</f>
        <v/>
      </c>
      <c r="G7763" s="2" t="str">
        <f>IF(Table1[[#This Row],[Is Data Valid]]=TRUE,((Table1[[#This Row],[Birthweight (grams)]]/Table1[[#This Row],[BW_GA]])-1)/(Backend!$B$4/100*Table1[[#This Row],[BW40_3705]]),"")</f>
        <v/>
      </c>
      <c r="H7763" s="7" t="str">
        <f>IF(Table1[[#This Row],[Is Data Valid]]=TRUE,((Table1[[#This Row],[Birthweight (grams)]]*0.9/Table1[[#This Row],[BW_GA]])-1)/(Backend!$B$4/100*Table1[[#This Row],[BW40_3705]]),"")</f>
        <v/>
      </c>
      <c r="I7763" s="7" t="str">
        <f>IF(Table1[[#This Row],[Is Data Valid]]=TRUE,((Table1[[#This Row],[Birthweight (grams)]]*1.1/Table1[[#This Row],[BW_GA]])-1)/(Backend!$B$4/100*Table1[[#This Row],[BW40_3705]]),"")</f>
        <v/>
      </c>
      <c r="J7763" s="7" t="str">
        <f>IF(Table1[[#This Row],[Is Data Valid]]=TRUE,_xlfn.NORM.S.DIST(Table1[[#This Row],[Birthweight Z-Score]],TRUE)*100,"")</f>
        <v/>
      </c>
      <c r="K7763" s="7" t="str">
        <f>IF(Table1[[#This Row],[Is Data Valid]]=TRUE,_xlfn.NORM.S.DIST(Table1[[#This Row],[Birthweight Z-Score (BW-10%)]],TRUE)*100,"")</f>
        <v/>
      </c>
      <c r="L7763" s="7" t="str">
        <f>IF(Table1[[#This Row],[Is Data Valid]]=TRUE,_xlfn.NORM.S.DIST(Table1[[#This Row],[Birthweight Z-Score (BW+10%)]],TRUE)*100,"")</f>
        <v/>
      </c>
    </row>
    <row r="7764" spans="1:12" x14ac:dyDescent="0.35">
      <c r="A7764" s="3"/>
      <c r="B7764" s="2"/>
      <c r="C7764" s="2"/>
      <c r="D7764" s="2" t="b">
        <f>IF(AND(NOT(ISBLANK(Table1[[#This Row],[Fetal Sex (Male, Female or Unknown)]])),ISNUMBER(Table1[[#This Row],[Birthweight (grams)]]),ISNUMBER(Table1[[#This Row],[Gestation (days)]])),TRUE,FALSE)</f>
        <v>0</v>
      </c>
      <c r="E7764" s="2" t="str">
        <f>IF(Table1[[#This Row],[Is Data Valid]]=TRUE,IF(Table1[[#This Row],[Fetal Sex (Male, Female or Unknown)]]="Male",Backend!$C$6,IF(Table1[[#This Row],[Fetal Sex (Male, Female or Unknown)]]="Female",Backend!$C$7,IF(Table1[[#This Row],[Fetal Sex (Male, Female or Unknown)]]="Unknown",Backend!$C$8,"Error"))),"")</f>
        <v/>
      </c>
      <c r="F7764" s="8" t="str">
        <f>IF(Table1[[#This Row],[Is Data Valid]]=TRUE,EXP(0.578+0.332*((Table1[[#This Row],[Gestation (days)]]+0.5)/7)-0.00354*((Table1[[#This Row],[Gestation (days)]]+0.5)/7)^2)*Table1[[#This Row],[BW40_3705]],"")</f>
        <v/>
      </c>
      <c r="G7764" s="2" t="str">
        <f>IF(Table1[[#This Row],[Is Data Valid]]=TRUE,((Table1[[#This Row],[Birthweight (grams)]]/Table1[[#This Row],[BW_GA]])-1)/(Backend!$B$4/100*Table1[[#This Row],[BW40_3705]]),"")</f>
        <v/>
      </c>
      <c r="H7764" s="7" t="str">
        <f>IF(Table1[[#This Row],[Is Data Valid]]=TRUE,((Table1[[#This Row],[Birthweight (grams)]]*0.9/Table1[[#This Row],[BW_GA]])-1)/(Backend!$B$4/100*Table1[[#This Row],[BW40_3705]]),"")</f>
        <v/>
      </c>
      <c r="I7764" s="7" t="str">
        <f>IF(Table1[[#This Row],[Is Data Valid]]=TRUE,((Table1[[#This Row],[Birthweight (grams)]]*1.1/Table1[[#This Row],[BW_GA]])-1)/(Backend!$B$4/100*Table1[[#This Row],[BW40_3705]]),"")</f>
        <v/>
      </c>
      <c r="J7764" s="7" t="str">
        <f>IF(Table1[[#This Row],[Is Data Valid]]=TRUE,_xlfn.NORM.S.DIST(Table1[[#This Row],[Birthweight Z-Score]],TRUE)*100,"")</f>
        <v/>
      </c>
      <c r="K7764" s="7" t="str">
        <f>IF(Table1[[#This Row],[Is Data Valid]]=TRUE,_xlfn.NORM.S.DIST(Table1[[#This Row],[Birthweight Z-Score (BW-10%)]],TRUE)*100,"")</f>
        <v/>
      </c>
      <c r="L7764" s="7" t="str">
        <f>IF(Table1[[#This Row],[Is Data Valid]]=TRUE,_xlfn.NORM.S.DIST(Table1[[#This Row],[Birthweight Z-Score (BW+10%)]],TRUE)*100,"")</f>
        <v/>
      </c>
    </row>
    <row r="7765" spans="1:12" x14ac:dyDescent="0.35">
      <c r="A7765" s="3"/>
      <c r="B7765" s="2"/>
      <c r="C7765" s="2"/>
      <c r="D7765" s="2" t="b">
        <f>IF(AND(NOT(ISBLANK(Table1[[#This Row],[Fetal Sex (Male, Female or Unknown)]])),ISNUMBER(Table1[[#This Row],[Birthweight (grams)]]),ISNUMBER(Table1[[#This Row],[Gestation (days)]])),TRUE,FALSE)</f>
        <v>0</v>
      </c>
      <c r="E7765" s="2" t="str">
        <f>IF(Table1[[#This Row],[Is Data Valid]]=TRUE,IF(Table1[[#This Row],[Fetal Sex (Male, Female or Unknown)]]="Male",Backend!$C$6,IF(Table1[[#This Row],[Fetal Sex (Male, Female or Unknown)]]="Female",Backend!$C$7,IF(Table1[[#This Row],[Fetal Sex (Male, Female or Unknown)]]="Unknown",Backend!$C$8,"Error"))),"")</f>
        <v/>
      </c>
      <c r="F7765" s="8" t="str">
        <f>IF(Table1[[#This Row],[Is Data Valid]]=TRUE,EXP(0.578+0.332*((Table1[[#This Row],[Gestation (days)]]+0.5)/7)-0.00354*((Table1[[#This Row],[Gestation (days)]]+0.5)/7)^2)*Table1[[#This Row],[BW40_3705]],"")</f>
        <v/>
      </c>
      <c r="G7765" s="2" t="str">
        <f>IF(Table1[[#This Row],[Is Data Valid]]=TRUE,((Table1[[#This Row],[Birthweight (grams)]]/Table1[[#This Row],[BW_GA]])-1)/(Backend!$B$4/100*Table1[[#This Row],[BW40_3705]]),"")</f>
        <v/>
      </c>
      <c r="H7765" s="7" t="str">
        <f>IF(Table1[[#This Row],[Is Data Valid]]=TRUE,((Table1[[#This Row],[Birthweight (grams)]]*0.9/Table1[[#This Row],[BW_GA]])-1)/(Backend!$B$4/100*Table1[[#This Row],[BW40_3705]]),"")</f>
        <v/>
      </c>
      <c r="I7765" s="7" t="str">
        <f>IF(Table1[[#This Row],[Is Data Valid]]=TRUE,((Table1[[#This Row],[Birthweight (grams)]]*1.1/Table1[[#This Row],[BW_GA]])-1)/(Backend!$B$4/100*Table1[[#This Row],[BW40_3705]]),"")</f>
        <v/>
      </c>
      <c r="J7765" s="7" t="str">
        <f>IF(Table1[[#This Row],[Is Data Valid]]=TRUE,_xlfn.NORM.S.DIST(Table1[[#This Row],[Birthweight Z-Score]],TRUE)*100,"")</f>
        <v/>
      </c>
      <c r="K7765" s="7" t="str">
        <f>IF(Table1[[#This Row],[Is Data Valid]]=TRUE,_xlfn.NORM.S.DIST(Table1[[#This Row],[Birthweight Z-Score (BW-10%)]],TRUE)*100,"")</f>
        <v/>
      </c>
      <c r="L7765" s="7" t="str">
        <f>IF(Table1[[#This Row],[Is Data Valid]]=TRUE,_xlfn.NORM.S.DIST(Table1[[#This Row],[Birthweight Z-Score (BW+10%)]],TRUE)*100,"")</f>
        <v/>
      </c>
    </row>
    <row r="7766" spans="1:12" x14ac:dyDescent="0.35">
      <c r="A7766" s="3"/>
      <c r="B7766" s="2"/>
      <c r="C7766" s="2"/>
      <c r="D7766" s="2" t="b">
        <f>IF(AND(NOT(ISBLANK(Table1[[#This Row],[Fetal Sex (Male, Female or Unknown)]])),ISNUMBER(Table1[[#This Row],[Birthweight (grams)]]),ISNUMBER(Table1[[#This Row],[Gestation (days)]])),TRUE,FALSE)</f>
        <v>0</v>
      </c>
      <c r="E7766" s="2" t="str">
        <f>IF(Table1[[#This Row],[Is Data Valid]]=TRUE,IF(Table1[[#This Row],[Fetal Sex (Male, Female or Unknown)]]="Male",Backend!$C$6,IF(Table1[[#This Row],[Fetal Sex (Male, Female or Unknown)]]="Female",Backend!$C$7,IF(Table1[[#This Row],[Fetal Sex (Male, Female or Unknown)]]="Unknown",Backend!$C$8,"Error"))),"")</f>
        <v/>
      </c>
      <c r="F7766" s="8" t="str">
        <f>IF(Table1[[#This Row],[Is Data Valid]]=TRUE,EXP(0.578+0.332*((Table1[[#This Row],[Gestation (days)]]+0.5)/7)-0.00354*((Table1[[#This Row],[Gestation (days)]]+0.5)/7)^2)*Table1[[#This Row],[BW40_3705]],"")</f>
        <v/>
      </c>
      <c r="G7766" s="2" t="str">
        <f>IF(Table1[[#This Row],[Is Data Valid]]=TRUE,((Table1[[#This Row],[Birthweight (grams)]]/Table1[[#This Row],[BW_GA]])-1)/(Backend!$B$4/100*Table1[[#This Row],[BW40_3705]]),"")</f>
        <v/>
      </c>
      <c r="H7766" s="7" t="str">
        <f>IF(Table1[[#This Row],[Is Data Valid]]=TRUE,((Table1[[#This Row],[Birthweight (grams)]]*0.9/Table1[[#This Row],[BW_GA]])-1)/(Backend!$B$4/100*Table1[[#This Row],[BW40_3705]]),"")</f>
        <v/>
      </c>
      <c r="I7766" s="7" t="str">
        <f>IF(Table1[[#This Row],[Is Data Valid]]=TRUE,((Table1[[#This Row],[Birthweight (grams)]]*1.1/Table1[[#This Row],[BW_GA]])-1)/(Backend!$B$4/100*Table1[[#This Row],[BW40_3705]]),"")</f>
        <v/>
      </c>
      <c r="J7766" s="7" t="str">
        <f>IF(Table1[[#This Row],[Is Data Valid]]=TRUE,_xlfn.NORM.S.DIST(Table1[[#This Row],[Birthweight Z-Score]],TRUE)*100,"")</f>
        <v/>
      </c>
      <c r="K7766" s="7" t="str">
        <f>IF(Table1[[#This Row],[Is Data Valid]]=TRUE,_xlfn.NORM.S.DIST(Table1[[#This Row],[Birthweight Z-Score (BW-10%)]],TRUE)*100,"")</f>
        <v/>
      </c>
      <c r="L7766" s="7" t="str">
        <f>IF(Table1[[#This Row],[Is Data Valid]]=TRUE,_xlfn.NORM.S.DIST(Table1[[#This Row],[Birthweight Z-Score (BW+10%)]],TRUE)*100,"")</f>
        <v/>
      </c>
    </row>
    <row r="7767" spans="1:12" x14ac:dyDescent="0.35">
      <c r="A7767" s="3"/>
      <c r="B7767" s="2"/>
      <c r="C7767" s="2"/>
      <c r="D7767" s="2" t="b">
        <f>IF(AND(NOT(ISBLANK(Table1[[#This Row],[Fetal Sex (Male, Female or Unknown)]])),ISNUMBER(Table1[[#This Row],[Birthweight (grams)]]),ISNUMBER(Table1[[#This Row],[Gestation (days)]])),TRUE,FALSE)</f>
        <v>0</v>
      </c>
      <c r="E7767" s="2" t="str">
        <f>IF(Table1[[#This Row],[Is Data Valid]]=TRUE,IF(Table1[[#This Row],[Fetal Sex (Male, Female or Unknown)]]="Male",Backend!$C$6,IF(Table1[[#This Row],[Fetal Sex (Male, Female or Unknown)]]="Female",Backend!$C$7,IF(Table1[[#This Row],[Fetal Sex (Male, Female or Unknown)]]="Unknown",Backend!$C$8,"Error"))),"")</f>
        <v/>
      </c>
      <c r="F7767" s="8" t="str">
        <f>IF(Table1[[#This Row],[Is Data Valid]]=TRUE,EXP(0.578+0.332*((Table1[[#This Row],[Gestation (days)]]+0.5)/7)-0.00354*((Table1[[#This Row],[Gestation (days)]]+0.5)/7)^2)*Table1[[#This Row],[BW40_3705]],"")</f>
        <v/>
      </c>
      <c r="G7767" s="2" t="str">
        <f>IF(Table1[[#This Row],[Is Data Valid]]=TRUE,((Table1[[#This Row],[Birthweight (grams)]]/Table1[[#This Row],[BW_GA]])-1)/(Backend!$B$4/100*Table1[[#This Row],[BW40_3705]]),"")</f>
        <v/>
      </c>
      <c r="H7767" s="7" t="str">
        <f>IF(Table1[[#This Row],[Is Data Valid]]=TRUE,((Table1[[#This Row],[Birthweight (grams)]]*0.9/Table1[[#This Row],[BW_GA]])-1)/(Backend!$B$4/100*Table1[[#This Row],[BW40_3705]]),"")</f>
        <v/>
      </c>
      <c r="I7767" s="7" t="str">
        <f>IF(Table1[[#This Row],[Is Data Valid]]=TRUE,((Table1[[#This Row],[Birthweight (grams)]]*1.1/Table1[[#This Row],[BW_GA]])-1)/(Backend!$B$4/100*Table1[[#This Row],[BW40_3705]]),"")</f>
        <v/>
      </c>
      <c r="J7767" s="7" t="str">
        <f>IF(Table1[[#This Row],[Is Data Valid]]=TRUE,_xlfn.NORM.S.DIST(Table1[[#This Row],[Birthweight Z-Score]],TRUE)*100,"")</f>
        <v/>
      </c>
      <c r="K7767" s="7" t="str">
        <f>IF(Table1[[#This Row],[Is Data Valid]]=TRUE,_xlfn.NORM.S.DIST(Table1[[#This Row],[Birthweight Z-Score (BW-10%)]],TRUE)*100,"")</f>
        <v/>
      </c>
      <c r="L7767" s="7" t="str">
        <f>IF(Table1[[#This Row],[Is Data Valid]]=TRUE,_xlfn.NORM.S.DIST(Table1[[#This Row],[Birthweight Z-Score (BW+10%)]],TRUE)*100,"")</f>
        <v/>
      </c>
    </row>
    <row r="7768" spans="1:12" x14ac:dyDescent="0.35">
      <c r="A7768" s="3"/>
      <c r="B7768" s="2"/>
      <c r="C7768" s="2"/>
      <c r="D7768" s="2" t="b">
        <f>IF(AND(NOT(ISBLANK(Table1[[#This Row],[Fetal Sex (Male, Female or Unknown)]])),ISNUMBER(Table1[[#This Row],[Birthweight (grams)]]),ISNUMBER(Table1[[#This Row],[Gestation (days)]])),TRUE,FALSE)</f>
        <v>0</v>
      </c>
      <c r="E7768" s="2" t="str">
        <f>IF(Table1[[#This Row],[Is Data Valid]]=TRUE,IF(Table1[[#This Row],[Fetal Sex (Male, Female or Unknown)]]="Male",Backend!$C$6,IF(Table1[[#This Row],[Fetal Sex (Male, Female or Unknown)]]="Female",Backend!$C$7,IF(Table1[[#This Row],[Fetal Sex (Male, Female or Unknown)]]="Unknown",Backend!$C$8,"Error"))),"")</f>
        <v/>
      </c>
      <c r="F7768" s="8" t="str">
        <f>IF(Table1[[#This Row],[Is Data Valid]]=TRUE,EXP(0.578+0.332*((Table1[[#This Row],[Gestation (days)]]+0.5)/7)-0.00354*((Table1[[#This Row],[Gestation (days)]]+0.5)/7)^2)*Table1[[#This Row],[BW40_3705]],"")</f>
        <v/>
      </c>
      <c r="G7768" s="2" t="str">
        <f>IF(Table1[[#This Row],[Is Data Valid]]=TRUE,((Table1[[#This Row],[Birthweight (grams)]]/Table1[[#This Row],[BW_GA]])-1)/(Backend!$B$4/100*Table1[[#This Row],[BW40_3705]]),"")</f>
        <v/>
      </c>
      <c r="H7768" s="7" t="str">
        <f>IF(Table1[[#This Row],[Is Data Valid]]=TRUE,((Table1[[#This Row],[Birthweight (grams)]]*0.9/Table1[[#This Row],[BW_GA]])-1)/(Backend!$B$4/100*Table1[[#This Row],[BW40_3705]]),"")</f>
        <v/>
      </c>
      <c r="I7768" s="7" t="str">
        <f>IF(Table1[[#This Row],[Is Data Valid]]=TRUE,((Table1[[#This Row],[Birthweight (grams)]]*1.1/Table1[[#This Row],[BW_GA]])-1)/(Backend!$B$4/100*Table1[[#This Row],[BW40_3705]]),"")</f>
        <v/>
      </c>
      <c r="J7768" s="7" t="str">
        <f>IF(Table1[[#This Row],[Is Data Valid]]=TRUE,_xlfn.NORM.S.DIST(Table1[[#This Row],[Birthweight Z-Score]],TRUE)*100,"")</f>
        <v/>
      </c>
      <c r="K7768" s="7" t="str">
        <f>IF(Table1[[#This Row],[Is Data Valid]]=TRUE,_xlfn.NORM.S.DIST(Table1[[#This Row],[Birthweight Z-Score (BW-10%)]],TRUE)*100,"")</f>
        <v/>
      </c>
      <c r="L7768" s="7" t="str">
        <f>IF(Table1[[#This Row],[Is Data Valid]]=TRUE,_xlfn.NORM.S.DIST(Table1[[#This Row],[Birthweight Z-Score (BW+10%)]],TRUE)*100,"")</f>
        <v/>
      </c>
    </row>
    <row r="7769" spans="1:12" x14ac:dyDescent="0.35">
      <c r="A7769" s="3"/>
      <c r="B7769" s="2"/>
      <c r="C7769" s="2"/>
      <c r="D7769" s="2" t="b">
        <f>IF(AND(NOT(ISBLANK(Table1[[#This Row],[Fetal Sex (Male, Female or Unknown)]])),ISNUMBER(Table1[[#This Row],[Birthweight (grams)]]),ISNUMBER(Table1[[#This Row],[Gestation (days)]])),TRUE,FALSE)</f>
        <v>0</v>
      </c>
      <c r="E7769" s="2" t="str">
        <f>IF(Table1[[#This Row],[Is Data Valid]]=TRUE,IF(Table1[[#This Row],[Fetal Sex (Male, Female or Unknown)]]="Male",Backend!$C$6,IF(Table1[[#This Row],[Fetal Sex (Male, Female or Unknown)]]="Female",Backend!$C$7,IF(Table1[[#This Row],[Fetal Sex (Male, Female or Unknown)]]="Unknown",Backend!$C$8,"Error"))),"")</f>
        <v/>
      </c>
      <c r="F7769" s="8" t="str">
        <f>IF(Table1[[#This Row],[Is Data Valid]]=TRUE,EXP(0.578+0.332*((Table1[[#This Row],[Gestation (days)]]+0.5)/7)-0.00354*((Table1[[#This Row],[Gestation (days)]]+0.5)/7)^2)*Table1[[#This Row],[BW40_3705]],"")</f>
        <v/>
      </c>
      <c r="G7769" s="2" t="str">
        <f>IF(Table1[[#This Row],[Is Data Valid]]=TRUE,((Table1[[#This Row],[Birthweight (grams)]]/Table1[[#This Row],[BW_GA]])-1)/(Backend!$B$4/100*Table1[[#This Row],[BW40_3705]]),"")</f>
        <v/>
      </c>
      <c r="H7769" s="7" t="str">
        <f>IF(Table1[[#This Row],[Is Data Valid]]=TRUE,((Table1[[#This Row],[Birthweight (grams)]]*0.9/Table1[[#This Row],[BW_GA]])-1)/(Backend!$B$4/100*Table1[[#This Row],[BW40_3705]]),"")</f>
        <v/>
      </c>
      <c r="I7769" s="7" t="str">
        <f>IF(Table1[[#This Row],[Is Data Valid]]=TRUE,((Table1[[#This Row],[Birthweight (grams)]]*1.1/Table1[[#This Row],[BW_GA]])-1)/(Backend!$B$4/100*Table1[[#This Row],[BW40_3705]]),"")</f>
        <v/>
      </c>
      <c r="J7769" s="7" t="str">
        <f>IF(Table1[[#This Row],[Is Data Valid]]=TRUE,_xlfn.NORM.S.DIST(Table1[[#This Row],[Birthweight Z-Score]],TRUE)*100,"")</f>
        <v/>
      </c>
      <c r="K7769" s="7" t="str">
        <f>IF(Table1[[#This Row],[Is Data Valid]]=TRUE,_xlfn.NORM.S.DIST(Table1[[#This Row],[Birthweight Z-Score (BW-10%)]],TRUE)*100,"")</f>
        <v/>
      </c>
      <c r="L7769" s="7" t="str">
        <f>IF(Table1[[#This Row],[Is Data Valid]]=TRUE,_xlfn.NORM.S.DIST(Table1[[#This Row],[Birthweight Z-Score (BW+10%)]],TRUE)*100,"")</f>
        <v/>
      </c>
    </row>
    <row r="7770" spans="1:12" x14ac:dyDescent="0.35">
      <c r="A7770" s="3"/>
      <c r="B7770" s="2"/>
      <c r="C7770" s="2"/>
      <c r="D7770" s="2" t="b">
        <f>IF(AND(NOT(ISBLANK(Table1[[#This Row],[Fetal Sex (Male, Female or Unknown)]])),ISNUMBER(Table1[[#This Row],[Birthweight (grams)]]),ISNUMBER(Table1[[#This Row],[Gestation (days)]])),TRUE,FALSE)</f>
        <v>0</v>
      </c>
      <c r="E7770" s="2" t="str">
        <f>IF(Table1[[#This Row],[Is Data Valid]]=TRUE,IF(Table1[[#This Row],[Fetal Sex (Male, Female or Unknown)]]="Male",Backend!$C$6,IF(Table1[[#This Row],[Fetal Sex (Male, Female or Unknown)]]="Female",Backend!$C$7,IF(Table1[[#This Row],[Fetal Sex (Male, Female or Unknown)]]="Unknown",Backend!$C$8,"Error"))),"")</f>
        <v/>
      </c>
      <c r="F7770" s="8" t="str">
        <f>IF(Table1[[#This Row],[Is Data Valid]]=TRUE,EXP(0.578+0.332*((Table1[[#This Row],[Gestation (days)]]+0.5)/7)-0.00354*((Table1[[#This Row],[Gestation (days)]]+0.5)/7)^2)*Table1[[#This Row],[BW40_3705]],"")</f>
        <v/>
      </c>
      <c r="G7770" s="2" t="str">
        <f>IF(Table1[[#This Row],[Is Data Valid]]=TRUE,((Table1[[#This Row],[Birthweight (grams)]]/Table1[[#This Row],[BW_GA]])-1)/(Backend!$B$4/100*Table1[[#This Row],[BW40_3705]]),"")</f>
        <v/>
      </c>
      <c r="H7770" s="7" t="str">
        <f>IF(Table1[[#This Row],[Is Data Valid]]=TRUE,((Table1[[#This Row],[Birthweight (grams)]]*0.9/Table1[[#This Row],[BW_GA]])-1)/(Backend!$B$4/100*Table1[[#This Row],[BW40_3705]]),"")</f>
        <v/>
      </c>
      <c r="I7770" s="7" t="str">
        <f>IF(Table1[[#This Row],[Is Data Valid]]=TRUE,((Table1[[#This Row],[Birthweight (grams)]]*1.1/Table1[[#This Row],[BW_GA]])-1)/(Backend!$B$4/100*Table1[[#This Row],[BW40_3705]]),"")</f>
        <v/>
      </c>
      <c r="J7770" s="7" t="str">
        <f>IF(Table1[[#This Row],[Is Data Valid]]=TRUE,_xlfn.NORM.S.DIST(Table1[[#This Row],[Birthweight Z-Score]],TRUE)*100,"")</f>
        <v/>
      </c>
      <c r="K7770" s="7" t="str">
        <f>IF(Table1[[#This Row],[Is Data Valid]]=TRUE,_xlfn.NORM.S.DIST(Table1[[#This Row],[Birthweight Z-Score (BW-10%)]],TRUE)*100,"")</f>
        <v/>
      </c>
      <c r="L7770" s="7" t="str">
        <f>IF(Table1[[#This Row],[Is Data Valid]]=TRUE,_xlfn.NORM.S.DIST(Table1[[#This Row],[Birthweight Z-Score (BW+10%)]],TRUE)*100,"")</f>
        <v/>
      </c>
    </row>
    <row r="7771" spans="1:12" x14ac:dyDescent="0.35">
      <c r="A7771" s="3"/>
      <c r="B7771" s="2"/>
      <c r="C7771" s="2"/>
      <c r="D7771" s="2" t="b">
        <f>IF(AND(NOT(ISBLANK(Table1[[#This Row],[Fetal Sex (Male, Female or Unknown)]])),ISNUMBER(Table1[[#This Row],[Birthweight (grams)]]),ISNUMBER(Table1[[#This Row],[Gestation (days)]])),TRUE,FALSE)</f>
        <v>0</v>
      </c>
      <c r="E7771" s="2" t="str">
        <f>IF(Table1[[#This Row],[Is Data Valid]]=TRUE,IF(Table1[[#This Row],[Fetal Sex (Male, Female or Unknown)]]="Male",Backend!$C$6,IF(Table1[[#This Row],[Fetal Sex (Male, Female or Unknown)]]="Female",Backend!$C$7,IF(Table1[[#This Row],[Fetal Sex (Male, Female or Unknown)]]="Unknown",Backend!$C$8,"Error"))),"")</f>
        <v/>
      </c>
      <c r="F7771" s="8" t="str">
        <f>IF(Table1[[#This Row],[Is Data Valid]]=TRUE,EXP(0.578+0.332*((Table1[[#This Row],[Gestation (days)]]+0.5)/7)-0.00354*((Table1[[#This Row],[Gestation (days)]]+0.5)/7)^2)*Table1[[#This Row],[BW40_3705]],"")</f>
        <v/>
      </c>
      <c r="G7771" s="2" t="str">
        <f>IF(Table1[[#This Row],[Is Data Valid]]=TRUE,((Table1[[#This Row],[Birthweight (grams)]]/Table1[[#This Row],[BW_GA]])-1)/(Backend!$B$4/100*Table1[[#This Row],[BW40_3705]]),"")</f>
        <v/>
      </c>
      <c r="H7771" s="7" t="str">
        <f>IF(Table1[[#This Row],[Is Data Valid]]=TRUE,((Table1[[#This Row],[Birthweight (grams)]]*0.9/Table1[[#This Row],[BW_GA]])-1)/(Backend!$B$4/100*Table1[[#This Row],[BW40_3705]]),"")</f>
        <v/>
      </c>
      <c r="I7771" s="7" t="str">
        <f>IF(Table1[[#This Row],[Is Data Valid]]=TRUE,((Table1[[#This Row],[Birthweight (grams)]]*1.1/Table1[[#This Row],[BW_GA]])-1)/(Backend!$B$4/100*Table1[[#This Row],[BW40_3705]]),"")</f>
        <v/>
      </c>
      <c r="J7771" s="7" t="str">
        <f>IF(Table1[[#This Row],[Is Data Valid]]=TRUE,_xlfn.NORM.S.DIST(Table1[[#This Row],[Birthweight Z-Score]],TRUE)*100,"")</f>
        <v/>
      </c>
      <c r="K7771" s="7" t="str">
        <f>IF(Table1[[#This Row],[Is Data Valid]]=TRUE,_xlfn.NORM.S.DIST(Table1[[#This Row],[Birthweight Z-Score (BW-10%)]],TRUE)*100,"")</f>
        <v/>
      </c>
      <c r="L7771" s="7" t="str">
        <f>IF(Table1[[#This Row],[Is Data Valid]]=TRUE,_xlfn.NORM.S.DIST(Table1[[#This Row],[Birthweight Z-Score (BW+10%)]],TRUE)*100,"")</f>
        <v/>
      </c>
    </row>
    <row r="7772" spans="1:12" x14ac:dyDescent="0.35">
      <c r="A7772" s="3"/>
      <c r="B7772" s="2"/>
      <c r="C7772" s="2"/>
      <c r="D7772" s="2" t="b">
        <f>IF(AND(NOT(ISBLANK(Table1[[#This Row],[Fetal Sex (Male, Female or Unknown)]])),ISNUMBER(Table1[[#This Row],[Birthweight (grams)]]),ISNUMBER(Table1[[#This Row],[Gestation (days)]])),TRUE,FALSE)</f>
        <v>0</v>
      </c>
      <c r="E7772" s="2" t="str">
        <f>IF(Table1[[#This Row],[Is Data Valid]]=TRUE,IF(Table1[[#This Row],[Fetal Sex (Male, Female or Unknown)]]="Male",Backend!$C$6,IF(Table1[[#This Row],[Fetal Sex (Male, Female or Unknown)]]="Female",Backend!$C$7,IF(Table1[[#This Row],[Fetal Sex (Male, Female or Unknown)]]="Unknown",Backend!$C$8,"Error"))),"")</f>
        <v/>
      </c>
      <c r="F7772" s="8" t="str">
        <f>IF(Table1[[#This Row],[Is Data Valid]]=TRUE,EXP(0.578+0.332*((Table1[[#This Row],[Gestation (days)]]+0.5)/7)-0.00354*((Table1[[#This Row],[Gestation (days)]]+0.5)/7)^2)*Table1[[#This Row],[BW40_3705]],"")</f>
        <v/>
      </c>
      <c r="G7772" s="2" t="str">
        <f>IF(Table1[[#This Row],[Is Data Valid]]=TRUE,((Table1[[#This Row],[Birthweight (grams)]]/Table1[[#This Row],[BW_GA]])-1)/(Backend!$B$4/100*Table1[[#This Row],[BW40_3705]]),"")</f>
        <v/>
      </c>
      <c r="H7772" s="7" t="str">
        <f>IF(Table1[[#This Row],[Is Data Valid]]=TRUE,((Table1[[#This Row],[Birthweight (grams)]]*0.9/Table1[[#This Row],[BW_GA]])-1)/(Backend!$B$4/100*Table1[[#This Row],[BW40_3705]]),"")</f>
        <v/>
      </c>
      <c r="I7772" s="7" t="str">
        <f>IF(Table1[[#This Row],[Is Data Valid]]=TRUE,((Table1[[#This Row],[Birthweight (grams)]]*1.1/Table1[[#This Row],[BW_GA]])-1)/(Backend!$B$4/100*Table1[[#This Row],[BW40_3705]]),"")</f>
        <v/>
      </c>
      <c r="J7772" s="7" t="str">
        <f>IF(Table1[[#This Row],[Is Data Valid]]=TRUE,_xlfn.NORM.S.DIST(Table1[[#This Row],[Birthweight Z-Score]],TRUE)*100,"")</f>
        <v/>
      </c>
      <c r="K7772" s="7" t="str">
        <f>IF(Table1[[#This Row],[Is Data Valid]]=TRUE,_xlfn.NORM.S.DIST(Table1[[#This Row],[Birthweight Z-Score (BW-10%)]],TRUE)*100,"")</f>
        <v/>
      </c>
      <c r="L7772" s="7" t="str">
        <f>IF(Table1[[#This Row],[Is Data Valid]]=TRUE,_xlfn.NORM.S.DIST(Table1[[#This Row],[Birthweight Z-Score (BW+10%)]],TRUE)*100,"")</f>
        <v/>
      </c>
    </row>
    <row r="7773" spans="1:12" x14ac:dyDescent="0.35">
      <c r="A7773" s="3"/>
      <c r="B7773" s="2"/>
      <c r="C7773" s="2"/>
      <c r="D7773" s="2" t="b">
        <f>IF(AND(NOT(ISBLANK(Table1[[#This Row],[Fetal Sex (Male, Female or Unknown)]])),ISNUMBER(Table1[[#This Row],[Birthweight (grams)]]),ISNUMBER(Table1[[#This Row],[Gestation (days)]])),TRUE,FALSE)</f>
        <v>0</v>
      </c>
      <c r="E7773" s="2" t="str">
        <f>IF(Table1[[#This Row],[Is Data Valid]]=TRUE,IF(Table1[[#This Row],[Fetal Sex (Male, Female or Unknown)]]="Male",Backend!$C$6,IF(Table1[[#This Row],[Fetal Sex (Male, Female or Unknown)]]="Female",Backend!$C$7,IF(Table1[[#This Row],[Fetal Sex (Male, Female or Unknown)]]="Unknown",Backend!$C$8,"Error"))),"")</f>
        <v/>
      </c>
      <c r="F7773" s="8" t="str">
        <f>IF(Table1[[#This Row],[Is Data Valid]]=TRUE,EXP(0.578+0.332*((Table1[[#This Row],[Gestation (days)]]+0.5)/7)-0.00354*((Table1[[#This Row],[Gestation (days)]]+0.5)/7)^2)*Table1[[#This Row],[BW40_3705]],"")</f>
        <v/>
      </c>
      <c r="G7773" s="2" t="str">
        <f>IF(Table1[[#This Row],[Is Data Valid]]=TRUE,((Table1[[#This Row],[Birthweight (grams)]]/Table1[[#This Row],[BW_GA]])-1)/(Backend!$B$4/100*Table1[[#This Row],[BW40_3705]]),"")</f>
        <v/>
      </c>
      <c r="H7773" s="7" t="str">
        <f>IF(Table1[[#This Row],[Is Data Valid]]=TRUE,((Table1[[#This Row],[Birthweight (grams)]]*0.9/Table1[[#This Row],[BW_GA]])-1)/(Backend!$B$4/100*Table1[[#This Row],[BW40_3705]]),"")</f>
        <v/>
      </c>
      <c r="I7773" s="7" t="str">
        <f>IF(Table1[[#This Row],[Is Data Valid]]=TRUE,((Table1[[#This Row],[Birthweight (grams)]]*1.1/Table1[[#This Row],[BW_GA]])-1)/(Backend!$B$4/100*Table1[[#This Row],[BW40_3705]]),"")</f>
        <v/>
      </c>
      <c r="J7773" s="7" t="str">
        <f>IF(Table1[[#This Row],[Is Data Valid]]=TRUE,_xlfn.NORM.S.DIST(Table1[[#This Row],[Birthweight Z-Score]],TRUE)*100,"")</f>
        <v/>
      </c>
      <c r="K7773" s="7" t="str">
        <f>IF(Table1[[#This Row],[Is Data Valid]]=TRUE,_xlfn.NORM.S.DIST(Table1[[#This Row],[Birthweight Z-Score (BW-10%)]],TRUE)*100,"")</f>
        <v/>
      </c>
      <c r="L7773" s="7" t="str">
        <f>IF(Table1[[#This Row],[Is Data Valid]]=TRUE,_xlfn.NORM.S.DIST(Table1[[#This Row],[Birthweight Z-Score (BW+10%)]],TRUE)*100,"")</f>
        <v/>
      </c>
    </row>
    <row r="7774" spans="1:12" x14ac:dyDescent="0.35">
      <c r="A7774" s="3"/>
      <c r="B7774" s="2"/>
      <c r="C7774" s="2"/>
      <c r="D7774" s="2" t="b">
        <f>IF(AND(NOT(ISBLANK(Table1[[#This Row],[Fetal Sex (Male, Female or Unknown)]])),ISNUMBER(Table1[[#This Row],[Birthweight (grams)]]),ISNUMBER(Table1[[#This Row],[Gestation (days)]])),TRUE,FALSE)</f>
        <v>0</v>
      </c>
      <c r="E7774" s="2" t="str">
        <f>IF(Table1[[#This Row],[Is Data Valid]]=TRUE,IF(Table1[[#This Row],[Fetal Sex (Male, Female or Unknown)]]="Male",Backend!$C$6,IF(Table1[[#This Row],[Fetal Sex (Male, Female or Unknown)]]="Female",Backend!$C$7,IF(Table1[[#This Row],[Fetal Sex (Male, Female or Unknown)]]="Unknown",Backend!$C$8,"Error"))),"")</f>
        <v/>
      </c>
      <c r="F7774" s="8" t="str">
        <f>IF(Table1[[#This Row],[Is Data Valid]]=TRUE,EXP(0.578+0.332*((Table1[[#This Row],[Gestation (days)]]+0.5)/7)-0.00354*((Table1[[#This Row],[Gestation (days)]]+0.5)/7)^2)*Table1[[#This Row],[BW40_3705]],"")</f>
        <v/>
      </c>
      <c r="G7774" s="2" t="str">
        <f>IF(Table1[[#This Row],[Is Data Valid]]=TRUE,((Table1[[#This Row],[Birthweight (grams)]]/Table1[[#This Row],[BW_GA]])-1)/(Backend!$B$4/100*Table1[[#This Row],[BW40_3705]]),"")</f>
        <v/>
      </c>
      <c r="H7774" s="7" t="str">
        <f>IF(Table1[[#This Row],[Is Data Valid]]=TRUE,((Table1[[#This Row],[Birthweight (grams)]]*0.9/Table1[[#This Row],[BW_GA]])-1)/(Backend!$B$4/100*Table1[[#This Row],[BW40_3705]]),"")</f>
        <v/>
      </c>
      <c r="I7774" s="7" t="str">
        <f>IF(Table1[[#This Row],[Is Data Valid]]=TRUE,((Table1[[#This Row],[Birthweight (grams)]]*1.1/Table1[[#This Row],[BW_GA]])-1)/(Backend!$B$4/100*Table1[[#This Row],[BW40_3705]]),"")</f>
        <v/>
      </c>
      <c r="J7774" s="7" t="str">
        <f>IF(Table1[[#This Row],[Is Data Valid]]=TRUE,_xlfn.NORM.S.DIST(Table1[[#This Row],[Birthweight Z-Score]],TRUE)*100,"")</f>
        <v/>
      </c>
      <c r="K7774" s="7" t="str">
        <f>IF(Table1[[#This Row],[Is Data Valid]]=TRUE,_xlfn.NORM.S.DIST(Table1[[#This Row],[Birthweight Z-Score (BW-10%)]],TRUE)*100,"")</f>
        <v/>
      </c>
      <c r="L7774" s="7" t="str">
        <f>IF(Table1[[#This Row],[Is Data Valid]]=TRUE,_xlfn.NORM.S.DIST(Table1[[#This Row],[Birthweight Z-Score (BW+10%)]],TRUE)*100,"")</f>
        <v/>
      </c>
    </row>
    <row r="7775" spans="1:12" x14ac:dyDescent="0.35">
      <c r="A7775" s="3"/>
      <c r="B7775" s="2"/>
      <c r="C7775" s="2"/>
      <c r="D7775" s="2" t="b">
        <f>IF(AND(NOT(ISBLANK(Table1[[#This Row],[Fetal Sex (Male, Female or Unknown)]])),ISNUMBER(Table1[[#This Row],[Birthweight (grams)]]),ISNUMBER(Table1[[#This Row],[Gestation (days)]])),TRUE,FALSE)</f>
        <v>0</v>
      </c>
      <c r="E7775" s="2" t="str">
        <f>IF(Table1[[#This Row],[Is Data Valid]]=TRUE,IF(Table1[[#This Row],[Fetal Sex (Male, Female or Unknown)]]="Male",Backend!$C$6,IF(Table1[[#This Row],[Fetal Sex (Male, Female or Unknown)]]="Female",Backend!$C$7,IF(Table1[[#This Row],[Fetal Sex (Male, Female or Unknown)]]="Unknown",Backend!$C$8,"Error"))),"")</f>
        <v/>
      </c>
      <c r="F7775" s="8" t="str">
        <f>IF(Table1[[#This Row],[Is Data Valid]]=TRUE,EXP(0.578+0.332*((Table1[[#This Row],[Gestation (days)]]+0.5)/7)-0.00354*((Table1[[#This Row],[Gestation (days)]]+0.5)/7)^2)*Table1[[#This Row],[BW40_3705]],"")</f>
        <v/>
      </c>
      <c r="G7775" s="2" t="str">
        <f>IF(Table1[[#This Row],[Is Data Valid]]=TRUE,((Table1[[#This Row],[Birthweight (grams)]]/Table1[[#This Row],[BW_GA]])-1)/(Backend!$B$4/100*Table1[[#This Row],[BW40_3705]]),"")</f>
        <v/>
      </c>
      <c r="H7775" s="7" t="str">
        <f>IF(Table1[[#This Row],[Is Data Valid]]=TRUE,((Table1[[#This Row],[Birthweight (grams)]]*0.9/Table1[[#This Row],[BW_GA]])-1)/(Backend!$B$4/100*Table1[[#This Row],[BW40_3705]]),"")</f>
        <v/>
      </c>
      <c r="I7775" s="7" t="str">
        <f>IF(Table1[[#This Row],[Is Data Valid]]=TRUE,((Table1[[#This Row],[Birthweight (grams)]]*1.1/Table1[[#This Row],[BW_GA]])-1)/(Backend!$B$4/100*Table1[[#This Row],[BW40_3705]]),"")</f>
        <v/>
      </c>
      <c r="J7775" s="7" t="str">
        <f>IF(Table1[[#This Row],[Is Data Valid]]=TRUE,_xlfn.NORM.S.DIST(Table1[[#This Row],[Birthweight Z-Score]],TRUE)*100,"")</f>
        <v/>
      </c>
      <c r="K7775" s="7" t="str">
        <f>IF(Table1[[#This Row],[Is Data Valid]]=TRUE,_xlfn.NORM.S.DIST(Table1[[#This Row],[Birthweight Z-Score (BW-10%)]],TRUE)*100,"")</f>
        <v/>
      </c>
      <c r="L7775" s="7" t="str">
        <f>IF(Table1[[#This Row],[Is Data Valid]]=TRUE,_xlfn.NORM.S.DIST(Table1[[#This Row],[Birthweight Z-Score (BW+10%)]],TRUE)*100,"")</f>
        <v/>
      </c>
    </row>
    <row r="7776" spans="1:12" x14ac:dyDescent="0.35">
      <c r="A7776" s="3"/>
      <c r="B7776" s="2"/>
      <c r="C7776" s="2"/>
      <c r="D7776" s="2" t="b">
        <f>IF(AND(NOT(ISBLANK(Table1[[#This Row],[Fetal Sex (Male, Female or Unknown)]])),ISNUMBER(Table1[[#This Row],[Birthweight (grams)]]),ISNUMBER(Table1[[#This Row],[Gestation (days)]])),TRUE,FALSE)</f>
        <v>0</v>
      </c>
      <c r="E7776" s="2" t="str">
        <f>IF(Table1[[#This Row],[Is Data Valid]]=TRUE,IF(Table1[[#This Row],[Fetal Sex (Male, Female or Unknown)]]="Male",Backend!$C$6,IF(Table1[[#This Row],[Fetal Sex (Male, Female or Unknown)]]="Female",Backend!$C$7,IF(Table1[[#This Row],[Fetal Sex (Male, Female or Unknown)]]="Unknown",Backend!$C$8,"Error"))),"")</f>
        <v/>
      </c>
      <c r="F7776" s="8" t="str">
        <f>IF(Table1[[#This Row],[Is Data Valid]]=TRUE,EXP(0.578+0.332*((Table1[[#This Row],[Gestation (days)]]+0.5)/7)-0.00354*((Table1[[#This Row],[Gestation (days)]]+0.5)/7)^2)*Table1[[#This Row],[BW40_3705]],"")</f>
        <v/>
      </c>
      <c r="G7776" s="2" t="str">
        <f>IF(Table1[[#This Row],[Is Data Valid]]=TRUE,((Table1[[#This Row],[Birthweight (grams)]]/Table1[[#This Row],[BW_GA]])-1)/(Backend!$B$4/100*Table1[[#This Row],[BW40_3705]]),"")</f>
        <v/>
      </c>
      <c r="H7776" s="7" t="str">
        <f>IF(Table1[[#This Row],[Is Data Valid]]=TRUE,((Table1[[#This Row],[Birthweight (grams)]]*0.9/Table1[[#This Row],[BW_GA]])-1)/(Backend!$B$4/100*Table1[[#This Row],[BW40_3705]]),"")</f>
        <v/>
      </c>
      <c r="I7776" s="7" t="str">
        <f>IF(Table1[[#This Row],[Is Data Valid]]=TRUE,((Table1[[#This Row],[Birthweight (grams)]]*1.1/Table1[[#This Row],[BW_GA]])-1)/(Backend!$B$4/100*Table1[[#This Row],[BW40_3705]]),"")</f>
        <v/>
      </c>
      <c r="J7776" s="7" t="str">
        <f>IF(Table1[[#This Row],[Is Data Valid]]=TRUE,_xlfn.NORM.S.DIST(Table1[[#This Row],[Birthweight Z-Score]],TRUE)*100,"")</f>
        <v/>
      </c>
      <c r="K7776" s="7" t="str">
        <f>IF(Table1[[#This Row],[Is Data Valid]]=TRUE,_xlfn.NORM.S.DIST(Table1[[#This Row],[Birthweight Z-Score (BW-10%)]],TRUE)*100,"")</f>
        <v/>
      </c>
      <c r="L7776" s="7" t="str">
        <f>IF(Table1[[#This Row],[Is Data Valid]]=TRUE,_xlfn.NORM.S.DIST(Table1[[#This Row],[Birthweight Z-Score (BW+10%)]],TRUE)*100,"")</f>
        <v/>
      </c>
    </row>
    <row r="7777" spans="1:12" x14ac:dyDescent="0.35">
      <c r="A7777" s="3"/>
      <c r="B7777" s="2"/>
      <c r="C7777" s="2"/>
      <c r="D7777" s="2" t="b">
        <f>IF(AND(NOT(ISBLANK(Table1[[#This Row],[Fetal Sex (Male, Female or Unknown)]])),ISNUMBER(Table1[[#This Row],[Birthweight (grams)]]),ISNUMBER(Table1[[#This Row],[Gestation (days)]])),TRUE,FALSE)</f>
        <v>0</v>
      </c>
      <c r="E7777" s="2" t="str">
        <f>IF(Table1[[#This Row],[Is Data Valid]]=TRUE,IF(Table1[[#This Row],[Fetal Sex (Male, Female or Unknown)]]="Male",Backend!$C$6,IF(Table1[[#This Row],[Fetal Sex (Male, Female or Unknown)]]="Female",Backend!$C$7,IF(Table1[[#This Row],[Fetal Sex (Male, Female or Unknown)]]="Unknown",Backend!$C$8,"Error"))),"")</f>
        <v/>
      </c>
      <c r="F7777" s="8" t="str">
        <f>IF(Table1[[#This Row],[Is Data Valid]]=TRUE,EXP(0.578+0.332*((Table1[[#This Row],[Gestation (days)]]+0.5)/7)-0.00354*((Table1[[#This Row],[Gestation (days)]]+0.5)/7)^2)*Table1[[#This Row],[BW40_3705]],"")</f>
        <v/>
      </c>
      <c r="G7777" s="2" t="str">
        <f>IF(Table1[[#This Row],[Is Data Valid]]=TRUE,((Table1[[#This Row],[Birthweight (grams)]]/Table1[[#This Row],[BW_GA]])-1)/(Backend!$B$4/100*Table1[[#This Row],[BW40_3705]]),"")</f>
        <v/>
      </c>
      <c r="H7777" s="7" t="str">
        <f>IF(Table1[[#This Row],[Is Data Valid]]=TRUE,((Table1[[#This Row],[Birthweight (grams)]]*0.9/Table1[[#This Row],[BW_GA]])-1)/(Backend!$B$4/100*Table1[[#This Row],[BW40_3705]]),"")</f>
        <v/>
      </c>
      <c r="I7777" s="7" t="str">
        <f>IF(Table1[[#This Row],[Is Data Valid]]=TRUE,((Table1[[#This Row],[Birthweight (grams)]]*1.1/Table1[[#This Row],[BW_GA]])-1)/(Backend!$B$4/100*Table1[[#This Row],[BW40_3705]]),"")</f>
        <v/>
      </c>
      <c r="J7777" s="7" t="str">
        <f>IF(Table1[[#This Row],[Is Data Valid]]=TRUE,_xlfn.NORM.S.DIST(Table1[[#This Row],[Birthweight Z-Score]],TRUE)*100,"")</f>
        <v/>
      </c>
      <c r="K7777" s="7" t="str">
        <f>IF(Table1[[#This Row],[Is Data Valid]]=TRUE,_xlfn.NORM.S.DIST(Table1[[#This Row],[Birthweight Z-Score (BW-10%)]],TRUE)*100,"")</f>
        <v/>
      </c>
      <c r="L7777" s="7" t="str">
        <f>IF(Table1[[#This Row],[Is Data Valid]]=TRUE,_xlfn.NORM.S.DIST(Table1[[#This Row],[Birthweight Z-Score (BW+10%)]],TRUE)*100,"")</f>
        <v/>
      </c>
    </row>
    <row r="7778" spans="1:12" x14ac:dyDescent="0.35">
      <c r="A7778" s="3"/>
      <c r="B7778" s="2"/>
      <c r="C7778" s="2"/>
      <c r="D7778" s="2" t="b">
        <f>IF(AND(NOT(ISBLANK(Table1[[#This Row],[Fetal Sex (Male, Female or Unknown)]])),ISNUMBER(Table1[[#This Row],[Birthweight (grams)]]),ISNUMBER(Table1[[#This Row],[Gestation (days)]])),TRUE,FALSE)</f>
        <v>0</v>
      </c>
      <c r="E7778" s="2" t="str">
        <f>IF(Table1[[#This Row],[Is Data Valid]]=TRUE,IF(Table1[[#This Row],[Fetal Sex (Male, Female or Unknown)]]="Male",Backend!$C$6,IF(Table1[[#This Row],[Fetal Sex (Male, Female or Unknown)]]="Female",Backend!$C$7,IF(Table1[[#This Row],[Fetal Sex (Male, Female or Unknown)]]="Unknown",Backend!$C$8,"Error"))),"")</f>
        <v/>
      </c>
      <c r="F7778" s="8" t="str">
        <f>IF(Table1[[#This Row],[Is Data Valid]]=TRUE,EXP(0.578+0.332*((Table1[[#This Row],[Gestation (days)]]+0.5)/7)-0.00354*((Table1[[#This Row],[Gestation (days)]]+0.5)/7)^2)*Table1[[#This Row],[BW40_3705]],"")</f>
        <v/>
      </c>
      <c r="G7778" s="2" t="str">
        <f>IF(Table1[[#This Row],[Is Data Valid]]=TRUE,((Table1[[#This Row],[Birthweight (grams)]]/Table1[[#This Row],[BW_GA]])-1)/(Backend!$B$4/100*Table1[[#This Row],[BW40_3705]]),"")</f>
        <v/>
      </c>
      <c r="H7778" s="7" t="str">
        <f>IF(Table1[[#This Row],[Is Data Valid]]=TRUE,((Table1[[#This Row],[Birthweight (grams)]]*0.9/Table1[[#This Row],[BW_GA]])-1)/(Backend!$B$4/100*Table1[[#This Row],[BW40_3705]]),"")</f>
        <v/>
      </c>
      <c r="I7778" s="7" t="str">
        <f>IF(Table1[[#This Row],[Is Data Valid]]=TRUE,((Table1[[#This Row],[Birthweight (grams)]]*1.1/Table1[[#This Row],[BW_GA]])-1)/(Backend!$B$4/100*Table1[[#This Row],[BW40_3705]]),"")</f>
        <v/>
      </c>
      <c r="J7778" s="7" t="str">
        <f>IF(Table1[[#This Row],[Is Data Valid]]=TRUE,_xlfn.NORM.S.DIST(Table1[[#This Row],[Birthweight Z-Score]],TRUE)*100,"")</f>
        <v/>
      </c>
      <c r="K7778" s="7" t="str">
        <f>IF(Table1[[#This Row],[Is Data Valid]]=TRUE,_xlfn.NORM.S.DIST(Table1[[#This Row],[Birthweight Z-Score (BW-10%)]],TRUE)*100,"")</f>
        <v/>
      </c>
      <c r="L7778" s="7" t="str">
        <f>IF(Table1[[#This Row],[Is Data Valid]]=TRUE,_xlfn.NORM.S.DIST(Table1[[#This Row],[Birthweight Z-Score (BW+10%)]],TRUE)*100,"")</f>
        <v/>
      </c>
    </row>
    <row r="7779" spans="1:12" x14ac:dyDescent="0.35">
      <c r="A7779" s="3"/>
      <c r="B7779" s="2"/>
      <c r="C7779" s="2"/>
      <c r="D7779" s="2" t="b">
        <f>IF(AND(NOT(ISBLANK(Table1[[#This Row],[Fetal Sex (Male, Female or Unknown)]])),ISNUMBER(Table1[[#This Row],[Birthweight (grams)]]),ISNUMBER(Table1[[#This Row],[Gestation (days)]])),TRUE,FALSE)</f>
        <v>0</v>
      </c>
      <c r="E7779" s="2" t="str">
        <f>IF(Table1[[#This Row],[Is Data Valid]]=TRUE,IF(Table1[[#This Row],[Fetal Sex (Male, Female or Unknown)]]="Male",Backend!$C$6,IF(Table1[[#This Row],[Fetal Sex (Male, Female or Unknown)]]="Female",Backend!$C$7,IF(Table1[[#This Row],[Fetal Sex (Male, Female or Unknown)]]="Unknown",Backend!$C$8,"Error"))),"")</f>
        <v/>
      </c>
      <c r="F7779" s="8" t="str">
        <f>IF(Table1[[#This Row],[Is Data Valid]]=TRUE,EXP(0.578+0.332*((Table1[[#This Row],[Gestation (days)]]+0.5)/7)-0.00354*((Table1[[#This Row],[Gestation (days)]]+0.5)/7)^2)*Table1[[#This Row],[BW40_3705]],"")</f>
        <v/>
      </c>
      <c r="G7779" s="2" t="str">
        <f>IF(Table1[[#This Row],[Is Data Valid]]=TRUE,((Table1[[#This Row],[Birthweight (grams)]]/Table1[[#This Row],[BW_GA]])-1)/(Backend!$B$4/100*Table1[[#This Row],[BW40_3705]]),"")</f>
        <v/>
      </c>
      <c r="H7779" s="7" t="str">
        <f>IF(Table1[[#This Row],[Is Data Valid]]=TRUE,((Table1[[#This Row],[Birthweight (grams)]]*0.9/Table1[[#This Row],[BW_GA]])-1)/(Backend!$B$4/100*Table1[[#This Row],[BW40_3705]]),"")</f>
        <v/>
      </c>
      <c r="I7779" s="7" t="str">
        <f>IF(Table1[[#This Row],[Is Data Valid]]=TRUE,((Table1[[#This Row],[Birthweight (grams)]]*1.1/Table1[[#This Row],[BW_GA]])-1)/(Backend!$B$4/100*Table1[[#This Row],[BW40_3705]]),"")</f>
        <v/>
      </c>
      <c r="J7779" s="7" t="str">
        <f>IF(Table1[[#This Row],[Is Data Valid]]=TRUE,_xlfn.NORM.S.DIST(Table1[[#This Row],[Birthweight Z-Score]],TRUE)*100,"")</f>
        <v/>
      </c>
      <c r="K7779" s="7" t="str">
        <f>IF(Table1[[#This Row],[Is Data Valid]]=TRUE,_xlfn.NORM.S.DIST(Table1[[#This Row],[Birthweight Z-Score (BW-10%)]],TRUE)*100,"")</f>
        <v/>
      </c>
      <c r="L7779" s="7" t="str">
        <f>IF(Table1[[#This Row],[Is Data Valid]]=TRUE,_xlfn.NORM.S.DIST(Table1[[#This Row],[Birthweight Z-Score (BW+10%)]],TRUE)*100,"")</f>
        <v/>
      </c>
    </row>
    <row r="7780" spans="1:12" x14ac:dyDescent="0.35">
      <c r="A7780" s="3"/>
      <c r="B7780" s="2"/>
      <c r="C7780" s="2"/>
      <c r="D7780" s="2" t="b">
        <f>IF(AND(NOT(ISBLANK(Table1[[#This Row],[Fetal Sex (Male, Female or Unknown)]])),ISNUMBER(Table1[[#This Row],[Birthweight (grams)]]),ISNUMBER(Table1[[#This Row],[Gestation (days)]])),TRUE,FALSE)</f>
        <v>0</v>
      </c>
      <c r="E7780" s="2" t="str">
        <f>IF(Table1[[#This Row],[Is Data Valid]]=TRUE,IF(Table1[[#This Row],[Fetal Sex (Male, Female or Unknown)]]="Male",Backend!$C$6,IF(Table1[[#This Row],[Fetal Sex (Male, Female or Unknown)]]="Female",Backend!$C$7,IF(Table1[[#This Row],[Fetal Sex (Male, Female or Unknown)]]="Unknown",Backend!$C$8,"Error"))),"")</f>
        <v/>
      </c>
      <c r="F7780" s="8" t="str">
        <f>IF(Table1[[#This Row],[Is Data Valid]]=TRUE,EXP(0.578+0.332*((Table1[[#This Row],[Gestation (days)]]+0.5)/7)-0.00354*((Table1[[#This Row],[Gestation (days)]]+0.5)/7)^2)*Table1[[#This Row],[BW40_3705]],"")</f>
        <v/>
      </c>
      <c r="G7780" s="2" t="str">
        <f>IF(Table1[[#This Row],[Is Data Valid]]=TRUE,((Table1[[#This Row],[Birthweight (grams)]]/Table1[[#This Row],[BW_GA]])-1)/(Backend!$B$4/100*Table1[[#This Row],[BW40_3705]]),"")</f>
        <v/>
      </c>
      <c r="H7780" s="7" t="str">
        <f>IF(Table1[[#This Row],[Is Data Valid]]=TRUE,((Table1[[#This Row],[Birthweight (grams)]]*0.9/Table1[[#This Row],[BW_GA]])-1)/(Backend!$B$4/100*Table1[[#This Row],[BW40_3705]]),"")</f>
        <v/>
      </c>
      <c r="I7780" s="7" t="str">
        <f>IF(Table1[[#This Row],[Is Data Valid]]=TRUE,((Table1[[#This Row],[Birthweight (grams)]]*1.1/Table1[[#This Row],[BW_GA]])-1)/(Backend!$B$4/100*Table1[[#This Row],[BW40_3705]]),"")</f>
        <v/>
      </c>
      <c r="J7780" s="7" t="str">
        <f>IF(Table1[[#This Row],[Is Data Valid]]=TRUE,_xlfn.NORM.S.DIST(Table1[[#This Row],[Birthweight Z-Score]],TRUE)*100,"")</f>
        <v/>
      </c>
      <c r="K7780" s="7" t="str">
        <f>IF(Table1[[#This Row],[Is Data Valid]]=TRUE,_xlfn.NORM.S.DIST(Table1[[#This Row],[Birthweight Z-Score (BW-10%)]],TRUE)*100,"")</f>
        <v/>
      </c>
      <c r="L7780" s="7" t="str">
        <f>IF(Table1[[#This Row],[Is Data Valid]]=TRUE,_xlfn.NORM.S.DIST(Table1[[#This Row],[Birthweight Z-Score (BW+10%)]],TRUE)*100,"")</f>
        <v/>
      </c>
    </row>
    <row r="7781" spans="1:12" x14ac:dyDescent="0.35">
      <c r="A7781" s="3"/>
      <c r="B7781" s="2"/>
      <c r="C7781" s="2"/>
      <c r="D7781" s="2" t="b">
        <f>IF(AND(NOT(ISBLANK(Table1[[#This Row],[Fetal Sex (Male, Female or Unknown)]])),ISNUMBER(Table1[[#This Row],[Birthweight (grams)]]),ISNUMBER(Table1[[#This Row],[Gestation (days)]])),TRUE,FALSE)</f>
        <v>0</v>
      </c>
      <c r="E7781" s="2" t="str">
        <f>IF(Table1[[#This Row],[Is Data Valid]]=TRUE,IF(Table1[[#This Row],[Fetal Sex (Male, Female or Unknown)]]="Male",Backend!$C$6,IF(Table1[[#This Row],[Fetal Sex (Male, Female or Unknown)]]="Female",Backend!$C$7,IF(Table1[[#This Row],[Fetal Sex (Male, Female or Unknown)]]="Unknown",Backend!$C$8,"Error"))),"")</f>
        <v/>
      </c>
      <c r="F7781" s="8" t="str">
        <f>IF(Table1[[#This Row],[Is Data Valid]]=TRUE,EXP(0.578+0.332*((Table1[[#This Row],[Gestation (days)]]+0.5)/7)-0.00354*((Table1[[#This Row],[Gestation (days)]]+0.5)/7)^2)*Table1[[#This Row],[BW40_3705]],"")</f>
        <v/>
      </c>
      <c r="G7781" s="2" t="str">
        <f>IF(Table1[[#This Row],[Is Data Valid]]=TRUE,((Table1[[#This Row],[Birthweight (grams)]]/Table1[[#This Row],[BW_GA]])-1)/(Backend!$B$4/100*Table1[[#This Row],[BW40_3705]]),"")</f>
        <v/>
      </c>
      <c r="H7781" s="7" t="str">
        <f>IF(Table1[[#This Row],[Is Data Valid]]=TRUE,((Table1[[#This Row],[Birthweight (grams)]]*0.9/Table1[[#This Row],[BW_GA]])-1)/(Backend!$B$4/100*Table1[[#This Row],[BW40_3705]]),"")</f>
        <v/>
      </c>
      <c r="I7781" s="7" t="str">
        <f>IF(Table1[[#This Row],[Is Data Valid]]=TRUE,((Table1[[#This Row],[Birthweight (grams)]]*1.1/Table1[[#This Row],[BW_GA]])-1)/(Backend!$B$4/100*Table1[[#This Row],[BW40_3705]]),"")</f>
        <v/>
      </c>
      <c r="J7781" s="7" t="str">
        <f>IF(Table1[[#This Row],[Is Data Valid]]=TRUE,_xlfn.NORM.S.DIST(Table1[[#This Row],[Birthweight Z-Score]],TRUE)*100,"")</f>
        <v/>
      </c>
      <c r="K7781" s="7" t="str">
        <f>IF(Table1[[#This Row],[Is Data Valid]]=TRUE,_xlfn.NORM.S.DIST(Table1[[#This Row],[Birthweight Z-Score (BW-10%)]],TRUE)*100,"")</f>
        <v/>
      </c>
      <c r="L7781" s="7" t="str">
        <f>IF(Table1[[#This Row],[Is Data Valid]]=TRUE,_xlfn.NORM.S.DIST(Table1[[#This Row],[Birthweight Z-Score (BW+10%)]],TRUE)*100,"")</f>
        <v/>
      </c>
    </row>
    <row r="7782" spans="1:12" x14ac:dyDescent="0.35">
      <c r="A7782" s="3"/>
      <c r="B7782" s="2"/>
      <c r="C7782" s="2"/>
      <c r="D7782" s="2" t="b">
        <f>IF(AND(NOT(ISBLANK(Table1[[#This Row],[Fetal Sex (Male, Female or Unknown)]])),ISNUMBER(Table1[[#This Row],[Birthweight (grams)]]),ISNUMBER(Table1[[#This Row],[Gestation (days)]])),TRUE,FALSE)</f>
        <v>0</v>
      </c>
      <c r="E7782" s="2" t="str">
        <f>IF(Table1[[#This Row],[Is Data Valid]]=TRUE,IF(Table1[[#This Row],[Fetal Sex (Male, Female or Unknown)]]="Male",Backend!$C$6,IF(Table1[[#This Row],[Fetal Sex (Male, Female or Unknown)]]="Female",Backend!$C$7,IF(Table1[[#This Row],[Fetal Sex (Male, Female or Unknown)]]="Unknown",Backend!$C$8,"Error"))),"")</f>
        <v/>
      </c>
      <c r="F7782" s="8" t="str">
        <f>IF(Table1[[#This Row],[Is Data Valid]]=TRUE,EXP(0.578+0.332*((Table1[[#This Row],[Gestation (days)]]+0.5)/7)-0.00354*((Table1[[#This Row],[Gestation (days)]]+0.5)/7)^2)*Table1[[#This Row],[BW40_3705]],"")</f>
        <v/>
      </c>
      <c r="G7782" s="2" t="str">
        <f>IF(Table1[[#This Row],[Is Data Valid]]=TRUE,((Table1[[#This Row],[Birthweight (grams)]]/Table1[[#This Row],[BW_GA]])-1)/(Backend!$B$4/100*Table1[[#This Row],[BW40_3705]]),"")</f>
        <v/>
      </c>
      <c r="H7782" s="7" t="str">
        <f>IF(Table1[[#This Row],[Is Data Valid]]=TRUE,((Table1[[#This Row],[Birthweight (grams)]]*0.9/Table1[[#This Row],[BW_GA]])-1)/(Backend!$B$4/100*Table1[[#This Row],[BW40_3705]]),"")</f>
        <v/>
      </c>
      <c r="I7782" s="7" t="str">
        <f>IF(Table1[[#This Row],[Is Data Valid]]=TRUE,((Table1[[#This Row],[Birthweight (grams)]]*1.1/Table1[[#This Row],[BW_GA]])-1)/(Backend!$B$4/100*Table1[[#This Row],[BW40_3705]]),"")</f>
        <v/>
      </c>
      <c r="J7782" s="7" t="str">
        <f>IF(Table1[[#This Row],[Is Data Valid]]=TRUE,_xlfn.NORM.S.DIST(Table1[[#This Row],[Birthweight Z-Score]],TRUE)*100,"")</f>
        <v/>
      </c>
      <c r="K7782" s="7" t="str">
        <f>IF(Table1[[#This Row],[Is Data Valid]]=TRUE,_xlfn.NORM.S.DIST(Table1[[#This Row],[Birthweight Z-Score (BW-10%)]],TRUE)*100,"")</f>
        <v/>
      </c>
      <c r="L7782" s="7" t="str">
        <f>IF(Table1[[#This Row],[Is Data Valid]]=TRUE,_xlfn.NORM.S.DIST(Table1[[#This Row],[Birthweight Z-Score (BW+10%)]],TRUE)*100,"")</f>
        <v/>
      </c>
    </row>
    <row r="7783" spans="1:12" x14ac:dyDescent="0.35">
      <c r="A7783" s="3"/>
      <c r="B7783" s="2"/>
      <c r="C7783" s="2"/>
      <c r="D7783" s="2" t="b">
        <f>IF(AND(NOT(ISBLANK(Table1[[#This Row],[Fetal Sex (Male, Female or Unknown)]])),ISNUMBER(Table1[[#This Row],[Birthweight (grams)]]),ISNUMBER(Table1[[#This Row],[Gestation (days)]])),TRUE,FALSE)</f>
        <v>0</v>
      </c>
      <c r="E7783" s="2" t="str">
        <f>IF(Table1[[#This Row],[Is Data Valid]]=TRUE,IF(Table1[[#This Row],[Fetal Sex (Male, Female or Unknown)]]="Male",Backend!$C$6,IF(Table1[[#This Row],[Fetal Sex (Male, Female or Unknown)]]="Female",Backend!$C$7,IF(Table1[[#This Row],[Fetal Sex (Male, Female or Unknown)]]="Unknown",Backend!$C$8,"Error"))),"")</f>
        <v/>
      </c>
      <c r="F7783" s="8" t="str">
        <f>IF(Table1[[#This Row],[Is Data Valid]]=TRUE,EXP(0.578+0.332*((Table1[[#This Row],[Gestation (days)]]+0.5)/7)-0.00354*((Table1[[#This Row],[Gestation (days)]]+0.5)/7)^2)*Table1[[#This Row],[BW40_3705]],"")</f>
        <v/>
      </c>
      <c r="G7783" s="2" t="str">
        <f>IF(Table1[[#This Row],[Is Data Valid]]=TRUE,((Table1[[#This Row],[Birthweight (grams)]]/Table1[[#This Row],[BW_GA]])-1)/(Backend!$B$4/100*Table1[[#This Row],[BW40_3705]]),"")</f>
        <v/>
      </c>
      <c r="H7783" s="7" t="str">
        <f>IF(Table1[[#This Row],[Is Data Valid]]=TRUE,((Table1[[#This Row],[Birthweight (grams)]]*0.9/Table1[[#This Row],[BW_GA]])-1)/(Backend!$B$4/100*Table1[[#This Row],[BW40_3705]]),"")</f>
        <v/>
      </c>
      <c r="I7783" s="7" t="str">
        <f>IF(Table1[[#This Row],[Is Data Valid]]=TRUE,((Table1[[#This Row],[Birthweight (grams)]]*1.1/Table1[[#This Row],[BW_GA]])-1)/(Backend!$B$4/100*Table1[[#This Row],[BW40_3705]]),"")</f>
        <v/>
      </c>
      <c r="J7783" s="7" t="str">
        <f>IF(Table1[[#This Row],[Is Data Valid]]=TRUE,_xlfn.NORM.S.DIST(Table1[[#This Row],[Birthweight Z-Score]],TRUE)*100,"")</f>
        <v/>
      </c>
      <c r="K7783" s="7" t="str">
        <f>IF(Table1[[#This Row],[Is Data Valid]]=TRUE,_xlfn.NORM.S.DIST(Table1[[#This Row],[Birthweight Z-Score (BW-10%)]],TRUE)*100,"")</f>
        <v/>
      </c>
      <c r="L7783" s="7" t="str">
        <f>IF(Table1[[#This Row],[Is Data Valid]]=TRUE,_xlfn.NORM.S.DIST(Table1[[#This Row],[Birthweight Z-Score (BW+10%)]],TRUE)*100,"")</f>
        <v/>
      </c>
    </row>
    <row r="7784" spans="1:12" x14ac:dyDescent="0.35">
      <c r="A7784" s="3"/>
      <c r="B7784" s="2"/>
      <c r="C7784" s="2"/>
      <c r="D7784" s="2" t="b">
        <f>IF(AND(NOT(ISBLANK(Table1[[#This Row],[Fetal Sex (Male, Female or Unknown)]])),ISNUMBER(Table1[[#This Row],[Birthweight (grams)]]),ISNUMBER(Table1[[#This Row],[Gestation (days)]])),TRUE,FALSE)</f>
        <v>0</v>
      </c>
      <c r="E7784" s="2" t="str">
        <f>IF(Table1[[#This Row],[Is Data Valid]]=TRUE,IF(Table1[[#This Row],[Fetal Sex (Male, Female or Unknown)]]="Male",Backend!$C$6,IF(Table1[[#This Row],[Fetal Sex (Male, Female or Unknown)]]="Female",Backend!$C$7,IF(Table1[[#This Row],[Fetal Sex (Male, Female or Unknown)]]="Unknown",Backend!$C$8,"Error"))),"")</f>
        <v/>
      </c>
      <c r="F7784" s="8" t="str">
        <f>IF(Table1[[#This Row],[Is Data Valid]]=TRUE,EXP(0.578+0.332*((Table1[[#This Row],[Gestation (days)]]+0.5)/7)-0.00354*((Table1[[#This Row],[Gestation (days)]]+0.5)/7)^2)*Table1[[#This Row],[BW40_3705]],"")</f>
        <v/>
      </c>
      <c r="G7784" s="2" t="str">
        <f>IF(Table1[[#This Row],[Is Data Valid]]=TRUE,((Table1[[#This Row],[Birthweight (grams)]]/Table1[[#This Row],[BW_GA]])-1)/(Backend!$B$4/100*Table1[[#This Row],[BW40_3705]]),"")</f>
        <v/>
      </c>
      <c r="H7784" s="7" t="str">
        <f>IF(Table1[[#This Row],[Is Data Valid]]=TRUE,((Table1[[#This Row],[Birthweight (grams)]]*0.9/Table1[[#This Row],[BW_GA]])-1)/(Backend!$B$4/100*Table1[[#This Row],[BW40_3705]]),"")</f>
        <v/>
      </c>
      <c r="I7784" s="7" t="str">
        <f>IF(Table1[[#This Row],[Is Data Valid]]=TRUE,((Table1[[#This Row],[Birthweight (grams)]]*1.1/Table1[[#This Row],[BW_GA]])-1)/(Backend!$B$4/100*Table1[[#This Row],[BW40_3705]]),"")</f>
        <v/>
      </c>
      <c r="J7784" s="7" t="str">
        <f>IF(Table1[[#This Row],[Is Data Valid]]=TRUE,_xlfn.NORM.S.DIST(Table1[[#This Row],[Birthweight Z-Score]],TRUE)*100,"")</f>
        <v/>
      </c>
      <c r="K7784" s="7" t="str">
        <f>IF(Table1[[#This Row],[Is Data Valid]]=TRUE,_xlfn.NORM.S.DIST(Table1[[#This Row],[Birthweight Z-Score (BW-10%)]],TRUE)*100,"")</f>
        <v/>
      </c>
      <c r="L7784" s="7" t="str">
        <f>IF(Table1[[#This Row],[Is Data Valid]]=TRUE,_xlfn.NORM.S.DIST(Table1[[#This Row],[Birthweight Z-Score (BW+10%)]],TRUE)*100,"")</f>
        <v/>
      </c>
    </row>
    <row r="7785" spans="1:12" x14ac:dyDescent="0.35">
      <c r="A7785" s="3"/>
      <c r="B7785" s="2"/>
      <c r="C7785" s="2"/>
      <c r="D7785" s="2" t="b">
        <f>IF(AND(NOT(ISBLANK(Table1[[#This Row],[Fetal Sex (Male, Female or Unknown)]])),ISNUMBER(Table1[[#This Row],[Birthweight (grams)]]),ISNUMBER(Table1[[#This Row],[Gestation (days)]])),TRUE,FALSE)</f>
        <v>0</v>
      </c>
      <c r="E7785" s="2" t="str">
        <f>IF(Table1[[#This Row],[Is Data Valid]]=TRUE,IF(Table1[[#This Row],[Fetal Sex (Male, Female or Unknown)]]="Male",Backend!$C$6,IF(Table1[[#This Row],[Fetal Sex (Male, Female or Unknown)]]="Female",Backend!$C$7,IF(Table1[[#This Row],[Fetal Sex (Male, Female or Unknown)]]="Unknown",Backend!$C$8,"Error"))),"")</f>
        <v/>
      </c>
      <c r="F7785" s="8" t="str">
        <f>IF(Table1[[#This Row],[Is Data Valid]]=TRUE,EXP(0.578+0.332*((Table1[[#This Row],[Gestation (days)]]+0.5)/7)-0.00354*((Table1[[#This Row],[Gestation (days)]]+0.5)/7)^2)*Table1[[#This Row],[BW40_3705]],"")</f>
        <v/>
      </c>
      <c r="G7785" s="2" t="str">
        <f>IF(Table1[[#This Row],[Is Data Valid]]=TRUE,((Table1[[#This Row],[Birthweight (grams)]]/Table1[[#This Row],[BW_GA]])-1)/(Backend!$B$4/100*Table1[[#This Row],[BW40_3705]]),"")</f>
        <v/>
      </c>
      <c r="H7785" s="7" t="str">
        <f>IF(Table1[[#This Row],[Is Data Valid]]=TRUE,((Table1[[#This Row],[Birthweight (grams)]]*0.9/Table1[[#This Row],[BW_GA]])-1)/(Backend!$B$4/100*Table1[[#This Row],[BW40_3705]]),"")</f>
        <v/>
      </c>
      <c r="I7785" s="7" t="str">
        <f>IF(Table1[[#This Row],[Is Data Valid]]=TRUE,((Table1[[#This Row],[Birthweight (grams)]]*1.1/Table1[[#This Row],[BW_GA]])-1)/(Backend!$B$4/100*Table1[[#This Row],[BW40_3705]]),"")</f>
        <v/>
      </c>
      <c r="J7785" s="7" t="str">
        <f>IF(Table1[[#This Row],[Is Data Valid]]=TRUE,_xlfn.NORM.S.DIST(Table1[[#This Row],[Birthweight Z-Score]],TRUE)*100,"")</f>
        <v/>
      </c>
      <c r="K7785" s="7" t="str">
        <f>IF(Table1[[#This Row],[Is Data Valid]]=TRUE,_xlfn.NORM.S.DIST(Table1[[#This Row],[Birthweight Z-Score (BW-10%)]],TRUE)*100,"")</f>
        <v/>
      </c>
      <c r="L7785" s="7" t="str">
        <f>IF(Table1[[#This Row],[Is Data Valid]]=TRUE,_xlfn.NORM.S.DIST(Table1[[#This Row],[Birthweight Z-Score (BW+10%)]],TRUE)*100,"")</f>
        <v/>
      </c>
    </row>
    <row r="7786" spans="1:12" x14ac:dyDescent="0.35">
      <c r="A7786" s="3"/>
      <c r="B7786" s="2"/>
      <c r="C7786" s="2"/>
      <c r="D7786" s="2" t="b">
        <f>IF(AND(NOT(ISBLANK(Table1[[#This Row],[Fetal Sex (Male, Female or Unknown)]])),ISNUMBER(Table1[[#This Row],[Birthweight (grams)]]),ISNUMBER(Table1[[#This Row],[Gestation (days)]])),TRUE,FALSE)</f>
        <v>0</v>
      </c>
      <c r="E7786" s="2" t="str">
        <f>IF(Table1[[#This Row],[Is Data Valid]]=TRUE,IF(Table1[[#This Row],[Fetal Sex (Male, Female or Unknown)]]="Male",Backend!$C$6,IF(Table1[[#This Row],[Fetal Sex (Male, Female or Unknown)]]="Female",Backend!$C$7,IF(Table1[[#This Row],[Fetal Sex (Male, Female or Unknown)]]="Unknown",Backend!$C$8,"Error"))),"")</f>
        <v/>
      </c>
      <c r="F7786" s="8" t="str">
        <f>IF(Table1[[#This Row],[Is Data Valid]]=TRUE,EXP(0.578+0.332*((Table1[[#This Row],[Gestation (days)]]+0.5)/7)-0.00354*((Table1[[#This Row],[Gestation (days)]]+0.5)/7)^2)*Table1[[#This Row],[BW40_3705]],"")</f>
        <v/>
      </c>
      <c r="G7786" s="2" t="str">
        <f>IF(Table1[[#This Row],[Is Data Valid]]=TRUE,((Table1[[#This Row],[Birthweight (grams)]]/Table1[[#This Row],[BW_GA]])-1)/(Backend!$B$4/100*Table1[[#This Row],[BW40_3705]]),"")</f>
        <v/>
      </c>
      <c r="H7786" s="7" t="str">
        <f>IF(Table1[[#This Row],[Is Data Valid]]=TRUE,((Table1[[#This Row],[Birthweight (grams)]]*0.9/Table1[[#This Row],[BW_GA]])-1)/(Backend!$B$4/100*Table1[[#This Row],[BW40_3705]]),"")</f>
        <v/>
      </c>
      <c r="I7786" s="7" t="str">
        <f>IF(Table1[[#This Row],[Is Data Valid]]=TRUE,((Table1[[#This Row],[Birthweight (grams)]]*1.1/Table1[[#This Row],[BW_GA]])-1)/(Backend!$B$4/100*Table1[[#This Row],[BW40_3705]]),"")</f>
        <v/>
      </c>
      <c r="J7786" s="7" t="str">
        <f>IF(Table1[[#This Row],[Is Data Valid]]=TRUE,_xlfn.NORM.S.DIST(Table1[[#This Row],[Birthweight Z-Score]],TRUE)*100,"")</f>
        <v/>
      </c>
      <c r="K7786" s="7" t="str">
        <f>IF(Table1[[#This Row],[Is Data Valid]]=TRUE,_xlfn.NORM.S.DIST(Table1[[#This Row],[Birthweight Z-Score (BW-10%)]],TRUE)*100,"")</f>
        <v/>
      </c>
      <c r="L7786" s="7" t="str">
        <f>IF(Table1[[#This Row],[Is Data Valid]]=TRUE,_xlfn.NORM.S.DIST(Table1[[#This Row],[Birthweight Z-Score (BW+10%)]],TRUE)*100,"")</f>
        <v/>
      </c>
    </row>
    <row r="7787" spans="1:12" x14ac:dyDescent="0.35">
      <c r="A7787" s="3"/>
      <c r="B7787" s="2"/>
      <c r="C7787" s="2"/>
      <c r="D7787" s="2" t="b">
        <f>IF(AND(NOT(ISBLANK(Table1[[#This Row],[Fetal Sex (Male, Female or Unknown)]])),ISNUMBER(Table1[[#This Row],[Birthweight (grams)]]),ISNUMBER(Table1[[#This Row],[Gestation (days)]])),TRUE,FALSE)</f>
        <v>0</v>
      </c>
      <c r="E7787" s="2" t="str">
        <f>IF(Table1[[#This Row],[Is Data Valid]]=TRUE,IF(Table1[[#This Row],[Fetal Sex (Male, Female or Unknown)]]="Male",Backend!$C$6,IF(Table1[[#This Row],[Fetal Sex (Male, Female or Unknown)]]="Female",Backend!$C$7,IF(Table1[[#This Row],[Fetal Sex (Male, Female or Unknown)]]="Unknown",Backend!$C$8,"Error"))),"")</f>
        <v/>
      </c>
      <c r="F7787" s="8" t="str">
        <f>IF(Table1[[#This Row],[Is Data Valid]]=TRUE,EXP(0.578+0.332*((Table1[[#This Row],[Gestation (days)]]+0.5)/7)-0.00354*((Table1[[#This Row],[Gestation (days)]]+0.5)/7)^2)*Table1[[#This Row],[BW40_3705]],"")</f>
        <v/>
      </c>
      <c r="G7787" s="2" t="str">
        <f>IF(Table1[[#This Row],[Is Data Valid]]=TRUE,((Table1[[#This Row],[Birthweight (grams)]]/Table1[[#This Row],[BW_GA]])-1)/(Backend!$B$4/100*Table1[[#This Row],[BW40_3705]]),"")</f>
        <v/>
      </c>
      <c r="H7787" s="7" t="str">
        <f>IF(Table1[[#This Row],[Is Data Valid]]=TRUE,((Table1[[#This Row],[Birthweight (grams)]]*0.9/Table1[[#This Row],[BW_GA]])-1)/(Backend!$B$4/100*Table1[[#This Row],[BW40_3705]]),"")</f>
        <v/>
      </c>
      <c r="I7787" s="7" t="str">
        <f>IF(Table1[[#This Row],[Is Data Valid]]=TRUE,((Table1[[#This Row],[Birthweight (grams)]]*1.1/Table1[[#This Row],[BW_GA]])-1)/(Backend!$B$4/100*Table1[[#This Row],[BW40_3705]]),"")</f>
        <v/>
      </c>
      <c r="J7787" s="7" t="str">
        <f>IF(Table1[[#This Row],[Is Data Valid]]=TRUE,_xlfn.NORM.S.DIST(Table1[[#This Row],[Birthweight Z-Score]],TRUE)*100,"")</f>
        <v/>
      </c>
      <c r="K7787" s="7" t="str">
        <f>IF(Table1[[#This Row],[Is Data Valid]]=TRUE,_xlfn.NORM.S.DIST(Table1[[#This Row],[Birthweight Z-Score (BW-10%)]],TRUE)*100,"")</f>
        <v/>
      </c>
      <c r="L7787" s="7" t="str">
        <f>IF(Table1[[#This Row],[Is Data Valid]]=TRUE,_xlfn.NORM.S.DIST(Table1[[#This Row],[Birthweight Z-Score (BW+10%)]],TRUE)*100,"")</f>
        <v/>
      </c>
    </row>
    <row r="7788" spans="1:12" x14ac:dyDescent="0.35">
      <c r="A7788" s="3"/>
      <c r="B7788" s="2"/>
      <c r="C7788" s="2"/>
      <c r="D7788" s="2" t="b">
        <f>IF(AND(NOT(ISBLANK(Table1[[#This Row],[Fetal Sex (Male, Female or Unknown)]])),ISNUMBER(Table1[[#This Row],[Birthweight (grams)]]),ISNUMBER(Table1[[#This Row],[Gestation (days)]])),TRUE,FALSE)</f>
        <v>0</v>
      </c>
      <c r="E7788" s="2" t="str">
        <f>IF(Table1[[#This Row],[Is Data Valid]]=TRUE,IF(Table1[[#This Row],[Fetal Sex (Male, Female or Unknown)]]="Male",Backend!$C$6,IF(Table1[[#This Row],[Fetal Sex (Male, Female or Unknown)]]="Female",Backend!$C$7,IF(Table1[[#This Row],[Fetal Sex (Male, Female or Unknown)]]="Unknown",Backend!$C$8,"Error"))),"")</f>
        <v/>
      </c>
      <c r="F7788" s="8" t="str">
        <f>IF(Table1[[#This Row],[Is Data Valid]]=TRUE,EXP(0.578+0.332*((Table1[[#This Row],[Gestation (days)]]+0.5)/7)-0.00354*((Table1[[#This Row],[Gestation (days)]]+0.5)/7)^2)*Table1[[#This Row],[BW40_3705]],"")</f>
        <v/>
      </c>
      <c r="G7788" s="2" t="str">
        <f>IF(Table1[[#This Row],[Is Data Valid]]=TRUE,((Table1[[#This Row],[Birthweight (grams)]]/Table1[[#This Row],[BW_GA]])-1)/(Backend!$B$4/100*Table1[[#This Row],[BW40_3705]]),"")</f>
        <v/>
      </c>
      <c r="H7788" s="7" t="str">
        <f>IF(Table1[[#This Row],[Is Data Valid]]=TRUE,((Table1[[#This Row],[Birthweight (grams)]]*0.9/Table1[[#This Row],[BW_GA]])-1)/(Backend!$B$4/100*Table1[[#This Row],[BW40_3705]]),"")</f>
        <v/>
      </c>
      <c r="I7788" s="7" t="str">
        <f>IF(Table1[[#This Row],[Is Data Valid]]=TRUE,((Table1[[#This Row],[Birthweight (grams)]]*1.1/Table1[[#This Row],[BW_GA]])-1)/(Backend!$B$4/100*Table1[[#This Row],[BW40_3705]]),"")</f>
        <v/>
      </c>
      <c r="J7788" s="7" t="str">
        <f>IF(Table1[[#This Row],[Is Data Valid]]=TRUE,_xlfn.NORM.S.DIST(Table1[[#This Row],[Birthweight Z-Score]],TRUE)*100,"")</f>
        <v/>
      </c>
      <c r="K7788" s="7" t="str">
        <f>IF(Table1[[#This Row],[Is Data Valid]]=TRUE,_xlfn.NORM.S.DIST(Table1[[#This Row],[Birthweight Z-Score (BW-10%)]],TRUE)*100,"")</f>
        <v/>
      </c>
      <c r="L7788" s="7" t="str">
        <f>IF(Table1[[#This Row],[Is Data Valid]]=TRUE,_xlfn.NORM.S.DIST(Table1[[#This Row],[Birthweight Z-Score (BW+10%)]],TRUE)*100,"")</f>
        <v/>
      </c>
    </row>
    <row r="7789" spans="1:12" x14ac:dyDescent="0.35">
      <c r="A7789" s="3"/>
      <c r="B7789" s="2"/>
      <c r="C7789" s="2"/>
      <c r="D7789" s="2" t="b">
        <f>IF(AND(NOT(ISBLANK(Table1[[#This Row],[Fetal Sex (Male, Female or Unknown)]])),ISNUMBER(Table1[[#This Row],[Birthweight (grams)]]),ISNUMBER(Table1[[#This Row],[Gestation (days)]])),TRUE,FALSE)</f>
        <v>0</v>
      </c>
      <c r="E7789" s="2" t="str">
        <f>IF(Table1[[#This Row],[Is Data Valid]]=TRUE,IF(Table1[[#This Row],[Fetal Sex (Male, Female or Unknown)]]="Male",Backend!$C$6,IF(Table1[[#This Row],[Fetal Sex (Male, Female or Unknown)]]="Female",Backend!$C$7,IF(Table1[[#This Row],[Fetal Sex (Male, Female or Unknown)]]="Unknown",Backend!$C$8,"Error"))),"")</f>
        <v/>
      </c>
      <c r="F7789" s="8" t="str">
        <f>IF(Table1[[#This Row],[Is Data Valid]]=TRUE,EXP(0.578+0.332*((Table1[[#This Row],[Gestation (days)]]+0.5)/7)-0.00354*((Table1[[#This Row],[Gestation (days)]]+0.5)/7)^2)*Table1[[#This Row],[BW40_3705]],"")</f>
        <v/>
      </c>
      <c r="G7789" s="2" t="str">
        <f>IF(Table1[[#This Row],[Is Data Valid]]=TRUE,((Table1[[#This Row],[Birthweight (grams)]]/Table1[[#This Row],[BW_GA]])-1)/(Backend!$B$4/100*Table1[[#This Row],[BW40_3705]]),"")</f>
        <v/>
      </c>
      <c r="H7789" s="7" t="str">
        <f>IF(Table1[[#This Row],[Is Data Valid]]=TRUE,((Table1[[#This Row],[Birthweight (grams)]]*0.9/Table1[[#This Row],[BW_GA]])-1)/(Backend!$B$4/100*Table1[[#This Row],[BW40_3705]]),"")</f>
        <v/>
      </c>
      <c r="I7789" s="7" t="str">
        <f>IF(Table1[[#This Row],[Is Data Valid]]=TRUE,((Table1[[#This Row],[Birthweight (grams)]]*1.1/Table1[[#This Row],[BW_GA]])-1)/(Backend!$B$4/100*Table1[[#This Row],[BW40_3705]]),"")</f>
        <v/>
      </c>
      <c r="J7789" s="7" t="str">
        <f>IF(Table1[[#This Row],[Is Data Valid]]=TRUE,_xlfn.NORM.S.DIST(Table1[[#This Row],[Birthweight Z-Score]],TRUE)*100,"")</f>
        <v/>
      </c>
      <c r="K7789" s="7" t="str">
        <f>IF(Table1[[#This Row],[Is Data Valid]]=TRUE,_xlfn.NORM.S.DIST(Table1[[#This Row],[Birthweight Z-Score (BW-10%)]],TRUE)*100,"")</f>
        <v/>
      </c>
      <c r="L7789" s="7" t="str">
        <f>IF(Table1[[#This Row],[Is Data Valid]]=TRUE,_xlfn.NORM.S.DIST(Table1[[#This Row],[Birthweight Z-Score (BW+10%)]],TRUE)*100,"")</f>
        <v/>
      </c>
    </row>
    <row r="7790" spans="1:12" x14ac:dyDescent="0.35">
      <c r="A7790" s="3"/>
      <c r="B7790" s="2"/>
      <c r="C7790" s="2"/>
      <c r="D7790" s="2" t="b">
        <f>IF(AND(NOT(ISBLANK(Table1[[#This Row],[Fetal Sex (Male, Female or Unknown)]])),ISNUMBER(Table1[[#This Row],[Birthweight (grams)]]),ISNUMBER(Table1[[#This Row],[Gestation (days)]])),TRUE,FALSE)</f>
        <v>0</v>
      </c>
      <c r="E7790" s="2" t="str">
        <f>IF(Table1[[#This Row],[Is Data Valid]]=TRUE,IF(Table1[[#This Row],[Fetal Sex (Male, Female or Unknown)]]="Male",Backend!$C$6,IF(Table1[[#This Row],[Fetal Sex (Male, Female or Unknown)]]="Female",Backend!$C$7,IF(Table1[[#This Row],[Fetal Sex (Male, Female or Unknown)]]="Unknown",Backend!$C$8,"Error"))),"")</f>
        <v/>
      </c>
      <c r="F7790" s="8" t="str">
        <f>IF(Table1[[#This Row],[Is Data Valid]]=TRUE,EXP(0.578+0.332*((Table1[[#This Row],[Gestation (days)]]+0.5)/7)-0.00354*((Table1[[#This Row],[Gestation (days)]]+0.5)/7)^2)*Table1[[#This Row],[BW40_3705]],"")</f>
        <v/>
      </c>
      <c r="G7790" s="2" t="str">
        <f>IF(Table1[[#This Row],[Is Data Valid]]=TRUE,((Table1[[#This Row],[Birthweight (grams)]]/Table1[[#This Row],[BW_GA]])-1)/(Backend!$B$4/100*Table1[[#This Row],[BW40_3705]]),"")</f>
        <v/>
      </c>
      <c r="H7790" s="7" t="str">
        <f>IF(Table1[[#This Row],[Is Data Valid]]=TRUE,((Table1[[#This Row],[Birthweight (grams)]]*0.9/Table1[[#This Row],[BW_GA]])-1)/(Backend!$B$4/100*Table1[[#This Row],[BW40_3705]]),"")</f>
        <v/>
      </c>
      <c r="I7790" s="7" t="str">
        <f>IF(Table1[[#This Row],[Is Data Valid]]=TRUE,((Table1[[#This Row],[Birthweight (grams)]]*1.1/Table1[[#This Row],[BW_GA]])-1)/(Backend!$B$4/100*Table1[[#This Row],[BW40_3705]]),"")</f>
        <v/>
      </c>
      <c r="J7790" s="7" t="str">
        <f>IF(Table1[[#This Row],[Is Data Valid]]=TRUE,_xlfn.NORM.S.DIST(Table1[[#This Row],[Birthweight Z-Score]],TRUE)*100,"")</f>
        <v/>
      </c>
      <c r="K7790" s="7" t="str">
        <f>IF(Table1[[#This Row],[Is Data Valid]]=TRUE,_xlfn.NORM.S.DIST(Table1[[#This Row],[Birthweight Z-Score (BW-10%)]],TRUE)*100,"")</f>
        <v/>
      </c>
      <c r="L7790" s="7" t="str">
        <f>IF(Table1[[#This Row],[Is Data Valid]]=TRUE,_xlfn.NORM.S.DIST(Table1[[#This Row],[Birthweight Z-Score (BW+10%)]],TRUE)*100,"")</f>
        <v/>
      </c>
    </row>
    <row r="7791" spans="1:12" x14ac:dyDescent="0.35">
      <c r="A7791" s="3"/>
      <c r="B7791" s="2"/>
      <c r="C7791" s="2"/>
      <c r="D7791" s="2" t="b">
        <f>IF(AND(NOT(ISBLANK(Table1[[#This Row],[Fetal Sex (Male, Female or Unknown)]])),ISNUMBER(Table1[[#This Row],[Birthweight (grams)]]),ISNUMBER(Table1[[#This Row],[Gestation (days)]])),TRUE,FALSE)</f>
        <v>0</v>
      </c>
      <c r="E7791" s="2" t="str">
        <f>IF(Table1[[#This Row],[Is Data Valid]]=TRUE,IF(Table1[[#This Row],[Fetal Sex (Male, Female or Unknown)]]="Male",Backend!$C$6,IF(Table1[[#This Row],[Fetal Sex (Male, Female or Unknown)]]="Female",Backend!$C$7,IF(Table1[[#This Row],[Fetal Sex (Male, Female or Unknown)]]="Unknown",Backend!$C$8,"Error"))),"")</f>
        <v/>
      </c>
      <c r="F7791" s="8" t="str">
        <f>IF(Table1[[#This Row],[Is Data Valid]]=TRUE,EXP(0.578+0.332*((Table1[[#This Row],[Gestation (days)]]+0.5)/7)-0.00354*((Table1[[#This Row],[Gestation (days)]]+0.5)/7)^2)*Table1[[#This Row],[BW40_3705]],"")</f>
        <v/>
      </c>
      <c r="G7791" s="2" t="str">
        <f>IF(Table1[[#This Row],[Is Data Valid]]=TRUE,((Table1[[#This Row],[Birthweight (grams)]]/Table1[[#This Row],[BW_GA]])-1)/(Backend!$B$4/100*Table1[[#This Row],[BW40_3705]]),"")</f>
        <v/>
      </c>
      <c r="H7791" s="7" t="str">
        <f>IF(Table1[[#This Row],[Is Data Valid]]=TRUE,((Table1[[#This Row],[Birthweight (grams)]]*0.9/Table1[[#This Row],[BW_GA]])-1)/(Backend!$B$4/100*Table1[[#This Row],[BW40_3705]]),"")</f>
        <v/>
      </c>
      <c r="I7791" s="7" t="str">
        <f>IF(Table1[[#This Row],[Is Data Valid]]=TRUE,((Table1[[#This Row],[Birthweight (grams)]]*1.1/Table1[[#This Row],[BW_GA]])-1)/(Backend!$B$4/100*Table1[[#This Row],[BW40_3705]]),"")</f>
        <v/>
      </c>
      <c r="J7791" s="7" t="str">
        <f>IF(Table1[[#This Row],[Is Data Valid]]=TRUE,_xlfn.NORM.S.DIST(Table1[[#This Row],[Birthweight Z-Score]],TRUE)*100,"")</f>
        <v/>
      </c>
      <c r="K7791" s="7" t="str">
        <f>IF(Table1[[#This Row],[Is Data Valid]]=TRUE,_xlfn.NORM.S.DIST(Table1[[#This Row],[Birthweight Z-Score (BW-10%)]],TRUE)*100,"")</f>
        <v/>
      </c>
      <c r="L7791" s="7" t="str">
        <f>IF(Table1[[#This Row],[Is Data Valid]]=TRUE,_xlfn.NORM.S.DIST(Table1[[#This Row],[Birthweight Z-Score (BW+10%)]],TRUE)*100,"")</f>
        <v/>
      </c>
    </row>
    <row r="7792" spans="1:12" x14ac:dyDescent="0.35">
      <c r="A7792" s="3"/>
      <c r="B7792" s="2"/>
      <c r="C7792" s="2"/>
      <c r="D7792" s="2" t="b">
        <f>IF(AND(NOT(ISBLANK(Table1[[#This Row],[Fetal Sex (Male, Female or Unknown)]])),ISNUMBER(Table1[[#This Row],[Birthweight (grams)]]),ISNUMBER(Table1[[#This Row],[Gestation (days)]])),TRUE,FALSE)</f>
        <v>0</v>
      </c>
      <c r="E7792" s="2" t="str">
        <f>IF(Table1[[#This Row],[Is Data Valid]]=TRUE,IF(Table1[[#This Row],[Fetal Sex (Male, Female or Unknown)]]="Male",Backend!$C$6,IF(Table1[[#This Row],[Fetal Sex (Male, Female or Unknown)]]="Female",Backend!$C$7,IF(Table1[[#This Row],[Fetal Sex (Male, Female or Unknown)]]="Unknown",Backend!$C$8,"Error"))),"")</f>
        <v/>
      </c>
      <c r="F7792" s="8" t="str">
        <f>IF(Table1[[#This Row],[Is Data Valid]]=TRUE,EXP(0.578+0.332*((Table1[[#This Row],[Gestation (days)]]+0.5)/7)-0.00354*((Table1[[#This Row],[Gestation (days)]]+0.5)/7)^2)*Table1[[#This Row],[BW40_3705]],"")</f>
        <v/>
      </c>
      <c r="G7792" s="2" t="str">
        <f>IF(Table1[[#This Row],[Is Data Valid]]=TRUE,((Table1[[#This Row],[Birthweight (grams)]]/Table1[[#This Row],[BW_GA]])-1)/(Backend!$B$4/100*Table1[[#This Row],[BW40_3705]]),"")</f>
        <v/>
      </c>
      <c r="H7792" s="7" t="str">
        <f>IF(Table1[[#This Row],[Is Data Valid]]=TRUE,((Table1[[#This Row],[Birthweight (grams)]]*0.9/Table1[[#This Row],[BW_GA]])-1)/(Backend!$B$4/100*Table1[[#This Row],[BW40_3705]]),"")</f>
        <v/>
      </c>
      <c r="I7792" s="7" t="str">
        <f>IF(Table1[[#This Row],[Is Data Valid]]=TRUE,((Table1[[#This Row],[Birthweight (grams)]]*1.1/Table1[[#This Row],[BW_GA]])-1)/(Backend!$B$4/100*Table1[[#This Row],[BW40_3705]]),"")</f>
        <v/>
      </c>
      <c r="J7792" s="7" t="str">
        <f>IF(Table1[[#This Row],[Is Data Valid]]=TRUE,_xlfn.NORM.S.DIST(Table1[[#This Row],[Birthweight Z-Score]],TRUE)*100,"")</f>
        <v/>
      </c>
      <c r="K7792" s="7" t="str">
        <f>IF(Table1[[#This Row],[Is Data Valid]]=TRUE,_xlfn.NORM.S.DIST(Table1[[#This Row],[Birthweight Z-Score (BW-10%)]],TRUE)*100,"")</f>
        <v/>
      </c>
      <c r="L7792" s="7" t="str">
        <f>IF(Table1[[#This Row],[Is Data Valid]]=TRUE,_xlfn.NORM.S.DIST(Table1[[#This Row],[Birthweight Z-Score (BW+10%)]],TRUE)*100,"")</f>
        <v/>
      </c>
    </row>
    <row r="7793" spans="1:12" x14ac:dyDescent="0.35">
      <c r="A7793" s="3"/>
      <c r="B7793" s="2"/>
      <c r="C7793" s="2"/>
      <c r="D7793" s="2" t="b">
        <f>IF(AND(NOT(ISBLANK(Table1[[#This Row],[Fetal Sex (Male, Female or Unknown)]])),ISNUMBER(Table1[[#This Row],[Birthweight (grams)]]),ISNUMBER(Table1[[#This Row],[Gestation (days)]])),TRUE,FALSE)</f>
        <v>0</v>
      </c>
      <c r="E7793" s="2" t="str">
        <f>IF(Table1[[#This Row],[Is Data Valid]]=TRUE,IF(Table1[[#This Row],[Fetal Sex (Male, Female or Unknown)]]="Male",Backend!$C$6,IF(Table1[[#This Row],[Fetal Sex (Male, Female or Unknown)]]="Female",Backend!$C$7,IF(Table1[[#This Row],[Fetal Sex (Male, Female or Unknown)]]="Unknown",Backend!$C$8,"Error"))),"")</f>
        <v/>
      </c>
      <c r="F7793" s="8" t="str">
        <f>IF(Table1[[#This Row],[Is Data Valid]]=TRUE,EXP(0.578+0.332*((Table1[[#This Row],[Gestation (days)]]+0.5)/7)-0.00354*((Table1[[#This Row],[Gestation (days)]]+0.5)/7)^2)*Table1[[#This Row],[BW40_3705]],"")</f>
        <v/>
      </c>
      <c r="G7793" s="2" t="str">
        <f>IF(Table1[[#This Row],[Is Data Valid]]=TRUE,((Table1[[#This Row],[Birthweight (grams)]]/Table1[[#This Row],[BW_GA]])-1)/(Backend!$B$4/100*Table1[[#This Row],[BW40_3705]]),"")</f>
        <v/>
      </c>
      <c r="H7793" s="7" t="str">
        <f>IF(Table1[[#This Row],[Is Data Valid]]=TRUE,((Table1[[#This Row],[Birthweight (grams)]]*0.9/Table1[[#This Row],[BW_GA]])-1)/(Backend!$B$4/100*Table1[[#This Row],[BW40_3705]]),"")</f>
        <v/>
      </c>
      <c r="I7793" s="7" t="str">
        <f>IF(Table1[[#This Row],[Is Data Valid]]=TRUE,((Table1[[#This Row],[Birthweight (grams)]]*1.1/Table1[[#This Row],[BW_GA]])-1)/(Backend!$B$4/100*Table1[[#This Row],[BW40_3705]]),"")</f>
        <v/>
      </c>
      <c r="J7793" s="7" t="str">
        <f>IF(Table1[[#This Row],[Is Data Valid]]=TRUE,_xlfn.NORM.S.DIST(Table1[[#This Row],[Birthweight Z-Score]],TRUE)*100,"")</f>
        <v/>
      </c>
      <c r="K7793" s="7" t="str">
        <f>IF(Table1[[#This Row],[Is Data Valid]]=TRUE,_xlfn.NORM.S.DIST(Table1[[#This Row],[Birthweight Z-Score (BW-10%)]],TRUE)*100,"")</f>
        <v/>
      </c>
      <c r="L7793" s="7" t="str">
        <f>IF(Table1[[#This Row],[Is Data Valid]]=TRUE,_xlfn.NORM.S.DIST(Table1[[#This Row],[Birthweight Z-Score (BW+10%)]],TRUE)*100,"")</f>
        <v/>
      </c>
    </row>
    <row r="7794" spans="1:12" x14ac:dyDescent="0.35">
      <c r="A7794" s="3"/>
      <c r="B7794" s="2"/>
      <c r="C7794" s="2"/>
      <c r="D7794" s="2" t="b">
        <f>IF(AND(NOT(ISBLANK(Table1[[#This Row],[Fetal Sex (Male, Female or Unknown)]])),ISNUMBER(Table1[[#This Row],[Birthweight (grams)]]),ISNUMBER(Table1[[#This Row],[Gestation (days)]])),TRUE,FALSE)</f>
        <v>0</v>
      </c>
      <c r="E7794" s="2" t="str">
        <f>IF(Table1[[#This Row],[Is Data Valid]]=TRUE,IF(Table1[[#This Row],[Fetal Sex (Male, Female or Unknown)]]="Male",Backend!$C$6,IF(Table1[[#This Row],[Fetal Sex (Male, Female or Unknown)]]="Female",Backend!$C$7,IF(Table1[[#This Row],[Fetal Sex (Male, Female or Unknown)]]="Unknown",Backend!$C$8,"Error"))),"")</f>
        <v/>
      </c>
      <c r="F7794" s="8" t="str">
        <f>IF(Table1[[#This Row],[Is Data Valid]]=TRUE,EXP(0.578+0.332*((Table1[[#This Row],[Gestation (days)]]+0.5)/7)-0.00354*((Table1[[#This Row],[Gestation (days)]]+0.5)/7)^2)*Table1[[#This Row],[BW40_3705]],"")</f>
        <v/>
      </c>
      <c r="G7794" s="2" t="str">
        <f>IF(Table1[[#This Row],[Is Data Valid]]=TRUE,((Table1[[#This Row],[Birthweight (grams)]]/Table1[[#This Row],[BW_GA]])-1)/(Backend!$B$4/100*Table1[[#This Row],[BW40_3705]]),"")</f>
        <v/>
      </c>
      <c r="H7794" s="7" t="str">
        <f>IF(Table1[[#This Row],[Is Data Valid]]=TRUE,((Table1[[#This Row],[Birthweight (grams)]]*0.9/Table1[[#This Row],[BW_GA]])-1)/(Backend!$B$4/100*Table1[[#This Row],[BW40_3705]]),"")</f>
        <v/>
      </c>
      <c r="I7794" s="7" t="str">
        <f>IF(Table1[[#This Row],[Is Data Valid]]=TRUE,((Table1[[#This Row],[Birthweight (grams)]]*1.1/Table1[[#This Row],[BW_GA]])-1)/(Backend!$B$4/100*Table1[[#This Row],[BW40_3705]]),"")</f>
        <v/>
      </c>
      <c r="J7794" s="7" t="str">
        <f>IF(Table1[[#This Row],[Is Data Valid]]=TRUE,_xlfn.NORM.S.DIST(Table1[[#This Row],[Birthweight Z-Score]],TRUE)*100,"")</f>
        <v/>
      </c>
      <c r="K7794" s="7" t="str">
        <f>IF(Table1[[#This Row],[Is Data Valid]]=TRUE,_xlfn.NORM.S.DIST(Table1[[#This Row],[Birthweight Z-Score (BW-10%)]],TRUE)*100,"")</f>
        <v/>
      </c>
      <c r="L7794" s="7" t="str">
        <f>IF(Table1[[#This Row],[Is Data Valid]]=TRUE,_xlfn.NORM.S.DIST(Table1[[#This Row],[Birthweight Z-Score (BW+10%)]],TRUE)*100,"")</f>
        <v/>
      </c>
    </row>
    <row r="7795" spans="1:12" x14ac:dyDescent="0.35">
      <c r="A7795" s="3"/>
      <c r="B7795" s="2"/>
      <c r="C7795" s="2"/>
      <c r="D7795" s="2" t="b">
        <f>IF(AND(NOT(ISBLANK(Table1[[#This Row],[Fetal Sex (Male, Female or Unknown)]])),ISNUMBER(Table1[[#This Row],[Birthweight (grams)]]),ISNUMBER(Table1[[#This Row],[Gestation (days)]])),TRUE,FALSE)</f>
        <v>0</v>
      </c>
      <c r="E7795" s="2" t="str">
        <f>IF(Table1[[#This Row],[Is Data Valid]]=TRUE,IF(Table1[[#This Row],[Fetal Sex (Male, Female or Unknown)]]="Male",Backend!$C$6,IF(Table1[[#This Row],[Fetal Sex (Male, Female or Unknown)]]="Female",Backend!$C$7,IF(Table1[[#This Row],[Fetal Sex (Male, Female or Unknown)]]="Unknown",Backend!$C$8,"Error"))),"")</f>
        <v/>
      </c>
      <c r="F7795" s="8" t="str">
        <f>IF(Table1[[#This Row],[Is Data Valid]]=TRUE,EXP(0.578+0.332*((Table1[[#This Row],[Gestation (days)]]+0.5)/7)-0.00354*((Table1[[#This Row],[Gestation (days)]]+0.5)/7)^2)*Table1[[#This Row],[BW40_3705]],"")</f>
        <v/>
      </c>
      <c r="G7795" s="2" t="str">
        <f>IF(Table1[[#This Row],[Is Data Valid]]=TRUE,((Table1[[#This Row],[Birthweight (grams)]]/Table1[[#This Row],[BW_GA]])-1)/(Backend!$B$4/100*Table1[[#This Row],[BW40_3705]]),"")</f>
        <v/>
      </c>
      <c r="H7795" s="7" t="str">
        <f>IF(Table1[[#This Row],[Is Data Valid]]=TRUE,((Table1[[#This Row],[Birthweight (grams)]]*0.9/Table1[[#This Row],[BW_GA]])-1)/(Backend!$B$4/100*Table1[[#This Row],[BW40_3705]]),"")</f>
        <v/>
      </c>
      <c r="I7795" s="7" t="str">
        <f>IF(Table1[[#This Row],[Is Data Valid]]=TRUE,((Table1[[#This Row],[Birthweight (grams)]]*1.1/Table1[[#This Row],[BW_GA]])-1)/(Backend!$B$4/100*Table1[[#This Row],[BW40_3705]]),"")</f>
        <v/>
      </c>
      <c r="J7795" s="7" t="str">
        <f>IF(Table1[[#This Row],[Is Data Valid]]=TRUE,_xlfn.NORM.S.DIST(Table1[[#This Row],[Birthweight Z-Score]],TRUE)*100,"")</f>
        <v/>
      </c>
      <c r="K7795" s="7" t="str">
        <f>IF(Table1[[#This Row],[Is Data Valid]]=TRUE,_xlfn.NORM.S.DIST(Table1[[#This Row],[Birthweight Z-Score (BW-10%)]],TRUE)*100,"")</f>
        <v/>
      </c>
      <c r="L7795" s="7" t="str">
        <f>IF(Table1[[#This Row],[Is Data Valid]]=TRUE,_xlfn.NORM.S.DIST(Table1[[#This Row],[Birthweight Z-Score (BW+10%)]],TRUE)*100,"")</f>
        <v/>
      </c>
    </row>
    <row r="7796" spans="1:12" x14ac:dyDescent="0.35">
      <c r="A7796" s="3"/>
      <c r="B7796" s="2"/>
      <c r="C7796" s="2"/>
      <c r="D7796" s="2" t="b">
        <f>IF(AND(NOT(ISBLANK(Table1[[#This Row],[Fetal Sex (Male, Female or Unknown)]])),ISNUMBER(Table1[[#This Row],[Birthweight (grams)]]),ISNUMBER(Table1[[#This Row],[Gestation (days)]])),TRUE,FALSE)</f>
        <v>0</v>
      </c>
      <c r="E7796" s="2" t="str">
        <f>IF(Table1[[#This Row],[Is Data Valid]]=TRUE,IF(Table1[[#This Row],[Fetal Sex (Male, Female or Unknown)]]="Male",Backend!$C$6,IF(Table1[[#This Row],[Fetal Sex (Male, Female or Unknown)]]="Female",Backend!$C$7,IF(Table1[[#This Row],[Fetal Sex (Male, Female or Unknown)]]="Unknown",Backend!$C$8,"Error"))),"")</f>
        <v/>
      </c>
      <c r="F7796" s="8" t="str">
        <f>IF(Table1[[#This Row],[Is Data Valid]]=TRUE,EXP(0.578+0.332*((Table1[[#This Row],[Gestation (days)]]+0.5)/7)-0.00354*((Table1[[#This Row],[Gestation (days)]]+0.5)/7)^2)*Table1[[#This Row],[BW40_3705]],"")</f>
        <v/>
      </c>
      <c r="G7796" s="2" t="str">
        <f>IF(Table1[[#This Row],[Is Data Valid]]=TRUE,((Table1[[#This Row],[Birthweight (grams)]]/Table1[[#This Row],[BW_GA]])-1)/(Backend!$B$4/100*Table1[[#This Row],[BW40_3705]]),"")</f>
        <v/>
      </c>
      <c r="H7796" s="7" t="str">
        <f>IF(Table1[[#This Row],[Is Data Valid]]=TRUE,((Table1[[#This Row],[Birthweight (grams)]]*0.9/Table1[[#This Row],[BW_GA]])-1)/(Backend!$B$4/100*Table1[[#This Row],[BW40_3705]]),"")</f>
        <v/>
      </c>
      <c r="I7796" s="7" t="str">
        <f>IF(Table1[[#This Row],[Is Data Valid]]=TRUE,((Table1[[#This Row],[Birthweight (grams)]]*1.1/Table1[[#This Row],[BW_GA]])-1)/(Backend!$B$4/100*Table1[[#This Row],[BW40_3705]]),"")</f>
        <v/>
      </c>
      <c r="J7796" s="7" t="str">
        <f>IF(Table1[[#This Row],[Is Data Valid]]=TRUE,_xlfn.NORM.S.DIST(Table1[[#This Row],[Birthweight Z-Score]],TRUE)*100,"")</f>
        <v/>
      </c>
      <c r="K7796" s="7" t="str">
        <f>IF(Table1[[#This Row],[Is Data Valid]]=TRUE,_xlfn.NORM.S.DIST(Table1[[#This Row],[Birthweight Z-Score (BW-10%)]],TRUE)*100,"")</f>
        <v/>
      </c>
      <c r="L7796" s="7" t="str">
        <f>IF(Table1[[#This Row],[Is Data Valid]]=TRUE,_xlfn.NORM.S.DIST(Table1[[#This Row],[Birthweight Z-Score (BW+10%)]],TRUE)*100,"")</f>
        <v/>
      </c>
    </row>
    <row r="7797" spans="1:12" x14ac:dyDescent="0.35">
      <c r="A7797" s="3"/>
      <c r="B7797" s="2"/>
      <c r="C7797" s="2"/>
      <c r="D7797" s="2" t="b">
        <f>IF(AND(NOT(ISBLANK(Table1[[#This Row],[Fetal Sex (Male, Female or Unknown)]])),ISNUMBER(Table1[[#This Row],[Birthweight (grams)]]),ISNUMBER(Table1[[#This Row],[Gestation (days)]])),TRUE,FALSE)</f>
        <v>0</v>
      </c>
      <c r="E7797" s="2" t="str">
        <f>IF(Table1[[#This Row],[Is Data Valid]]=TRUE,IF(Table1[[#This Row],[Fetal Sex (Male, Female or Unknown)]]="Male",Backend!$C$6,IF(Table1[[#This Row],[Fetal Sex (Male, Female or Unknown)]]="Female",Backend!$C$7,IF(Table1[[#This Row],[Fetal Sex (Male, Female or Unknown)]]="Unknown",Backend!$C$8,"Error"))),"")</f>
        <v/>
      </c>
      <c r="F7797" s="8" t="str">
        <f>IF(Table1[[#This Row],[Is Data Valid]]=TRUE,EXP(0.578+0.332*((Table1[[#This Row],[Gestation (days)]]+0.5)/7)-0.00354*((Table1[[#This Row],[Gestation (days)]]+0.5)/7)^2)*Table1[[#This Row],[BW40_3705]],"")</f>
        <v/>
      </c>
      <c r="G7797" s="2" t="str">
        <f>IF(Table1[[#This Row],[Is Data Valid]]=TRUE,((Table1[[#This Row],[Birthweight (grams)]]/Table1[[#This Row],[BW_GA]])-1)/(Backend!$B$4/100*Table1[[#This Row],[BW40_3705]]),"")</f>
        <v/>
      </c>
      <c r="H7797" s="7" t="str">
        <f>IF(Table1[[#This Row],[Is Data Valid]]=TRUE,((Table1[[#This Row],[Birthweight (grams)]]*0.9/Table1[[#This Row],[BW_GA]])-1)/(Backend!$B$4/100*Table1[[#This Row],[BW40_3705]]),"")</f>
        <v/>
      </c>
      <c r="I7797" s="7" t="str">
        <f>IF(Table1[[#This Row],[Is Data Valid]]=TRUE,((Table1[[#This Row],[Birthweight (grams)]]*1.1/Table1[[#This Row],[BW_GA]])-1)/(Backend!$B$4/100*Table1[[#This Row],[BW40_3705]]),"")</f>
        <v/>
      </c>
      <c r="J7797" s="7" t="str">
        <f>IF(Table1[[#This Row],[Is Data Valid]]=TRUE,_xlfn.NORM.S.DIST(Table1[[#This Row],[Birthweight Z-Score]],TRUE)*100,"")</f>
        <v/>
      </c>
      <c r="K7797" s="7" t="str">
        <f>IF(Table1[[#This Row],[Is Data Valid]]=TRUE,_xlfn.NORM.S.DIST(Table1[[#This Row],[Birthweight Z-Score (BW-10%)]],TRUE)*100,"")</f>
        <v/>
      </c>
      <c r="L7797" s="7" t="str">
        <f>IF(Table1[[#This Row],[Is Data Valid]]=TRUE,_xlfn.NORM.S.DIST(Table1[[#This Row],[Birthweight Z-Score (BW+10%)]],TRUE)*100,"")</f>
        <v/>
      </c>
    </row>
    <row r="7798" spans="1:12" x14ac:dyDescent="0.35">
      <c r="A7798" s="3"/>
      <c r="B7798" s="2"/>
      <c r="C7798" s="2"/>
      <c r="D7798" s="2" t="b">
        <f>IF(AND(NOT(ISBLANK(Table1[[#This Row],[Fetal Sex (Male, Female or Unknown)]])),ISNUMBER(Table1[[#This Row],[Birthweight (grams)]]),ISNUMBER(Table1[[#This Row],[Gestation (days)]])),TRUE,FALSE)</f>
        <v>0</v>
      </c>
      <c r="E7798" s="2" t="str">
        <f>IF(Table1[[#This Row],[Is Data Valid]]=TRUE,IF(Table1[[#This Row],[Fetal Sex (Male, Female or Unknown)]]="Male",Backend!$C$6,IF(Table1[[#This Row],[Fetal Sex (Male, Female or Unknown)]]="Female",Backend!$C$7,IF(Table1[[#This Row],[Fetal Sex (Male, Female or Unknown)]]="Unknown",Backend!$C$8,"Error"))),"")</f>
        <v/>
      </c>
      <c r="F7798" s="8" t="str">
        <f>IF(Table1[[#This Row],[Is Data Valid]]=TRUE,EXP(0.578+0.332*((Table1[[#This Row],[Gestation (days)]]+0.5)/7)-0.00354*((Table1[[#This Row],[Gestation (days)]]+0.5)/7)^2)*Table1[[#This Row],[BW40_3705]],"")</f>
        <v/>
      </c>
      <c r="G7798" s="2" t="str">
        <f>IF(Table1[[#This Row],[Is Data Valid]]=TRUE,((Table1[[#This Row],[Birthweight (grams)]]/Table1[[#This Row],[BW_GA]])-1)/(Backend!$B$4/100*Table1[[#This Row],[BW40_3705]]),"")</f>
        <v/>
      </c>
      <c r="H7798" s="7" t="str">
        <f>IF(Table1[[#This Row],[Is Data Valid]]=TRUE,((Table1[[#This Row],[Birthweight (grams)]]*0.9/Table1[[#This Row],[BW_GA]])-1)/(Backend!$B$4/100*Table1[[#This Row],[BW40_3705]]),"")</f>
        <v/>
      </c>
      <c r="I7798" s="7" t="str">
        <f>IF(Table1[[#This Row],[Is Data Valid]]=TRUE,((Table1[[#This Row],[Birthweight (grams)]]*1.1/Table1[[#This Row],[BW_GA]])-1)/(Backend!$B$4/100*Table1[[#This Row],[BW40_3705]]),"")</f>
        <v/>
      </c>
      <c r="J7798" s="7" t="str">
        <f>IF(Table1[[#This Row],[Is Data Valid]]=TRUE,_xlfn.NORM.S.DIST(Table1[[#This Row],[Birthweight Z-Score]],TRUE)*100,"")</f>
        <v/>
      </c>
      <c r="K7798" s="7" t="str">
        <f>IF(Table1[[#This Row],[Is Data Valid]]=TRUE,_xlfn.NORM.S.DIST(Table1[[#This Row],[Birthweight Z-Score (BW-10%)]],TRUE)*100,"")</f>
        <v/>
      </c>
      <c r="L7798" s="7" t="str">
        <f>IF(Table1[[#This Row],[Is Data Valid]]=TRUE,_xlfn.NORM.S.DIST(Table1[[#This Row],[Birthweight Z-Score (BW+10%)]],TRUE)*100,"")</f>
        <v/>
      </c>
    </row>
    <row r="7799" spans="1:12" x14ac:dyDescent="0.35">
      <c r="A7799" s="3"/>
      <c r="B7799" s="2"/>
      <c r="C7799" s="2"/>
      <c r="D7799" s="2" t="b">
        <f>IF(AND(NOT(ISBLANK(Table1[[#This Row],[Fetal Sex (Male, Female or Unknown)]])),ISNUMBER(Table1[[#This Row],[Birthweight (grams)]]),ISNUMBER(Table1[[#This Row],[Gestation (days)]])),TRUE,FALSE)</f>
        <v>0</v>
      </c>
      <c r="E7799" s="2" t="str">
        <f>IF(Table1[[#This Row],[Is Data Valid]]=TRUE,IF(Table1[[#This Row],[Fetal Sex (Male, Female or Unknown)]]="Male",Backend!$C$6,IF(Table1[[#This Row],[Fetal Sex (Male, Female or Unknown)]]="Female",Backend!$C$7,IF(Table1[[#This Row],[Fetal Sex (Male, Female or Unknown)]]="Unknown",Backend!$C$8,"Error"))),"")</f>
        <v/>
      </c>
      <c r="F7799" s="8" t="str">
        <f>IF(Table1[[#This Row],[Is Data Valid]]=TRUE,EXP(0.578+0.332*((Table1[[#This Row],[Gestation (days)]]+0.5)/7)-0.00354*((Table1[[#This Row],[Gestation (days)]]+0.5)/7)^2)*Table1[[#This Row],[BW40_3705]],"")</f>
        <v/>
      </c>
      <c r="G7799" s="2" t="str">
        <f>IF(Table1[[#This Row],[Is Data Valid]]=TRUE,((Table1[[#This Row],[Birthweight (grams)]]/Table1[[#This Row],[BW_GA]])-1)/(Backend!$B$4/100*Table1[[#This Row],[BW40_3705]]),"")</f>
        <v/>
      </c>
      <c r="H7799" s="7" t="str">
        <f>IF(Table1[[#This Row],[Is Data Valid]]=TRUE,((Table1[[#This Row],[Birthweight (grams)]]*0.9/Table1[[#This Row],[BW_GA]])-1)/(Backend!$B$4/100*Table1[[#This Row],[BW40_3705]]),"")</f>
        <v/>
      </c>
      <c r="I7799" s="7" t="str">
        <f>IF(Table1[[#This Row],[Is Data Valid]]=TRUE,((Table1[[#This Row],[Birthweight (grams)]]*1.1/Table1[[#This Row],[BW_GA]])-1)/(Backend!$B$4/100*Table1[[#This Row],[BW40_3705]]),"")</f>
        <v/>
      </c>
      <c r="J7799" s="7" t="str">
        <f>IF(Table1[[#This Row],[Is Data Valid]]=TRUE,_xlfn.NORM.S.DIST(Table1[[#This Row],[Birthweight Z-Score]],TRUE)*100,"")</f>
        <v/>
      </c>
      <c r="K7799" s="7" t="str">
        <f>IF(Table1[[#This Row],[Is Data Valid]]=TRUE,_xlfn.NORM.S.DIST(Table1[[#This Row],[Birthweight Z-Score (BW-10%)]],TRUE)*100,"")</f>
        <v/>
      </c>
      <c r="L7799" s="7" t="str">
        <f>IF(Table1[[#This Row],[Is Data Valid]]=TRUE,_xlfn.NORM.S.DIST(Table1[[#This Row],[Birthweight Z-Score (BW+10%)]],TRUE)*100,"")</f>
        <v/>
      </c>
    </row>
    <row r="7800" spans="1:12" x14ac:dyDescent="0.35">
      <c r="A7800" s="3"/>
      <c r="B7800" s="2"/>
      <c r="C7800" s="2"/>
      <c r="D7800" s="2" t="b">
        <f>IF(AND(NOT(ISBLANK(Table1[[#This Row],[Fetal Sex (Male, Female or Unknown)]])),ISNUMBER(Table1[[#This Row],[Birthweight (grams)]]),ISNUMBER(Table1[[#This Row],[Gestation (days)]])),TRUE,FALSE)</f>
        <v>0</v>
      </c>
      <c r="E7800" s="2" t="str">
        <f>IF(Table1[[#This Row],[Is Data Valid]]=TRUE,IF(Table1[[#This Row],[Fetal Sex (Male, Female or Unknown)]]="Male",Backend!$C$6,IF(Table1[[#This Row],[Fetal Sex (Male, Female or Unknown)]]="Female",Backend!$C$7,IF(Table1[[#This Row],[Fetal Sex (Male, Female or Unknown)]]="Unknown",Backend!$C$8,"Error"))),"")</f>
        <v/>
      </c>
      <c r="F7800" s="8" t="str">
        <f>IF(Table1[[#This Row],[Is Data Valid]]=TRUE,EXP(0.578+0.332*((Table1[[#This Row],[Gestation (days)]]+0.5)/7)-0.00354*((Table1[[#This Row],[Gestation (days)]]+0.5)/7)^2)*Table1[[#This Row],[BW40_3705]],"")</f>
        <v/>
      </c>
      <c r="G7800" s="2" t="str">
        <f>IF(Table1[[#This Row],[Is Data Valid]]=TRUE,((Table1[[#This Row],[Birthweight (grams)]]/Table1[[#This Row],[BW_GA]])-1)/(Backend!$B$4/100*Table1[[#This Row],[BW40_3705]]),"")</f>
        <v/>
      </c>
      <c r="H7800" s="7" t="str">
        <f>IF(Table1[[#This Row],[Is Data Valid]]=TRUE,((Table1[[#This Row],[Birthweight (grams)]]*0.9/Table1[[#This Row],[BW_GA]])-1)/(Backend!$B$4/100*Table1[[#This Row],[BW40_3705]]),"")</f>
        <v/>
      </c>
      <c r="I7800" s="7" t="str">
        <f>IF(Table1[[#This Row],[Is Data Valid]]=TRUE,((Table1[[#This Row],[Birthweight (grams)]]*1.1/Table1[[#This Row],[BW_GA]])-1)/(Backend!$B$4/100*Table1[[#This Row],[BW40_3705]]),"")</f>
        <v/>
      </c>
      <c r="J7800" s="7" t="str">
        <f>IF(Table1[[#This Row],[Is Data Valid]]=TRUE,_xlfn.NORM.S.DIST(Table1[[#This Row],[Birthweight Z-Score]],TRUE)*100,"")</f>
        <v/>
      </c>
      <c r="K7800" s="7" t="str">
        <f>IF(Table1[[#This Row],[Is Data Valid]]=TRUE,_xlfn.NORM.S.DIST(Table1[[#This Row],[Birthweight Z-Score (BW-10%)]],TRUE)*100,"")</f>
        <v/>
      </c>
      <c r="L7800" s="7" t="str">
        <f>IF(Table1[[#This Row],[Is Data Valid]]=TRUE,_xlfn.NORM.S.DIST(Table1[[#This Row],[Birthweight Z-Score (BW+10%)]],TRUE)*100,"")</f>
        <v/>
      </c>
    </row>
    <row r="7801" spans="1:12" x14ac:dyDescent="0.35">
      <c r="A7801" s="3"/>
      <c r="B7801" s="2"/>
      <c r="C7801" s="2"/>
      <c r="D7801" s="2" t="b">
        <f>IF(AND(NOT(ISBLANK(Table1[[#This Row],[Fetal Sex (Male, Female or Unknown)]])),ISNUMBER(Table1[[#This Row],[Birthweight (grams)]]),ISNUMBER(Table1[[#This Row],[Gestation (days)]])),TRUE,FALSE)</f>
        <v>0</v>
      </c>
      <c r="E7801" s="2" t="str">
        <f>IF(Table1[[#This Row],[Is Data Valid]]=TRUE,IF(Table1[[#This Row],[Fetal Sex (Male, Female or Unknown)]]="Male",Backend!$C$6,IF(Table1[[#This Row],[Fetal Sex (Male, Female or Unknown)]]="Female",Backend!$C$7,IF(Table1[[#This Row],[Fetal Sex (Male, Female or Unknown)]]="Unknown",Backend!$C$8,"Error"))),"")</f>
        <v/>
      </c>
      <c r="F7801" s="8" t="str">
        <f>IF(Table1[[#This Row],[Is Data Valid]]=TRUE,EXP(0.578+0.332*((Table1[[#This Row],[Gestation (days)]]+0.5)/7)-0.00354*((Table1[[#This Row],[Gestation (days)]]+0.5)/7)^2)*Table1[[#This Row],[BW40_3705]],"")</f>
        <v/>
      </c>
      <c r="G7801" s="2" t="str">
        <f>IF(Table1[[#This Row],[Is Data Valid]]=TRUE,((Table1[[#This Row],[Birthweight (grams)]]/Table1[[#This Row],[BW_GA]])-1)/(Backend!$B$4/100*Table1[[#This Row],[BW40_3705]]),"")</f>
        <v/>
      </c>
      <c r="H7801" s="7" t="str">
        <f>IF(Table1[[#This Row],[Is Data Valid]]=TRUE,((Table1[[#This Row],[Birthweight (grams)]]*0.9/Table1[[#This Row],[BW_GA]])-1)/(Backend!$B$4/100*Table1[[#This Row],[BW40_3705]]),"")</f>
        <v/>
      </c>
      <c r="I7801" s="7" t="str">
        <f>IF(Table1[[#This Row],[Is Data Valid]]=TRUE,((Table1[[#This Row],[Birthweight (grams)]]*1.1/Table1[[#This Row],[BW_GA]])-1)/(Backend!$B$4/100*Table1[[#This Row],[BW40_3705]]),"")</f>
        <v/>
      </c>
      <c r="J7801" s="7" t="str">
        <f>IF(Table1[[#This Row],[Is Data Valid]]=TRUE,_xlfn.NORM.S.DIST(Table1[[#This Row],[Birthweight Z-Score]],TRUE)*100,"")</f>
        <v/>
      </c>
      <c r="K7801" s="7" t="str">
        <f>IF(Table1[[#This Row],[Is Data Valid]]=TRUE,_xlfn.NORM.S.DIST(Table1[[#This Row],[Birthweight Z-Score (BW-10%)]],TRUE)*100,"")</f>
        <v/>
      </c>
      <c r="L7801" s="7" t="str">
        <f>IF(Table1[[#This Row],[Is Data Valid]]=TRUE,_xlfn.NORM.S.DIST(Table1[[#This Row],[Birthweight Z-Score (BW+10%)]],TRUE)*100,"")</f>
        <v/>
      </c>
    </row>
    <row r="7802" spans="1:12" x14ac:dyDescent="0.35">
      <c r="A7802" s="3"/>
      <c r="B7802" s="2"/>
      <c r="C7802" s="2"/>
      <c r="D7802" s="2" t="b">
        <f>IF(AND(NOT(ISBLANK(Table1[[#This Row],[Fetal Sex (Male, Female or Unknown)]])),ISNUMBER(Table1[[#This Row],[Birthweight (grams)]]),ISNUMBER(Table1[[#This Row],[Gestation (days)]])),TRUE,FALSE)</f>
        <v>0</v>
      </c>
      <c r="E7802" s="2" t="str">
        <f>IF(Table1[[#This Row],[Is Data Valid]]=TRUE,IF(Table1[[#This Row],[Fetal Sex (Male, Female or Unknown)]]="Male",Backend!$C$6,IF(Table1[[#This Row],[Fetal Sex (Male, Female or Unknown)]]="Female",Backend!$C$7,IF(Table1[[#This Row],[Fetal Sex (Male, Female or Unknown)]]="Unknown",Backend!$C$8,"Error"))),"")</f>
        <v/>
      </c>
      <c r="F7802" s="8" t="str">
        <f>IF(Table1[[#This Row],[Is Data Valid]]=TRUE,EXP(0.578+0.332*((Table1[[#This Row],[Gestation (days)]]+0.5)/7)-0.00354*((Table1[[#This Row],[Gestation (days)]]+0.5)/7)^2)*Table1[[#This Row],[BW40_3705]],"")</f>
        <v/>
      </c>
      <c r="G7802" s="2" t="str">
        <f>IF(Table1[[#This Row],[Is Data Valid]]=TRUE,((Table1[[#This Row],[Birthweight (grams)]]/Table1[[#This Row],[BW_GA]])-1)/(Backend!$B$4/100*Table1[[#This Row],[BW40_3705]]),"")</f>
        <v/>
      </c>
      <c r="H7802" s="7" t="str">
        <f>IF(Table1[[#This Row],[Is Data Valid]]=TRUE,((Table1[[#This Row],[Birthweight (grams)]]*0.9/Table1[[#This Row],[BW_GA]])-1)/(Backend!$B$4/100*Table1[[#This Row],[BW40_3705]]),"")</f>
        <v/>
      </c>
      <c r="I7802" s="7" t="str">
        <f>IF(Table1[[#This Row],[Is Data Valid]]=TRUE,((Table1[[#This Row],[Birthweight (grams)]]*1.1/Table1[[#This Row],[BW_GA]])-1)/(Backend!$B$4/100*Table1[[#This Row],[BW40_3705]]),"")</f>
        <v/>
      </c>
      <c r="J7802" s="7" t="str">
        <f>IF(Table1[[#This Row],[Is Data Valid]]=TRUE,_xlfn.NORM.S.DIST(Table1[[#This Row],[Birthweight Z-Score]],TRUE)*100,"")</f>
        <v/>
      </c>
      <c r="K7802" s="7" t="str">
        <f>IF(Table1[[#This Row],[Is Data Valid]]=TRUE,_xlfn.NORM.S.DIST(Table1[[#This Row],[Birthweight Z-Score (BW-10%)]],TRUE)*100,"")</f>
        <v/>
      </c>
      <c r="L7802" s="7" t="str">
        <f>IF(Table1[[#This Row],[Is Data Valid]]=TRUE,_xlfn.NORM.S.DIST(Table1[[#This Row],[Birthweight Z-Score (BW+10%)]],TRUE)*100,"")</f>
        <v/>
      </c>
    </row>
    <row r="7803" spans="1:12" x14ac:dyDescent="0.35">
      <c r="A7803" s="3"/>
      <c r="B7803" s="2"/>
      <c r="C7803" s="2"/>
      <c r="D7803" s="2" t="b">
        <f>IF(AND(NOT(ISBLANK(Table1[[#This Row],[Fetal Sex (Male, Female or Unknown)]])),ISNUMBER(Table1[[#This Row],[Birthweight (grams)]]),ISNUMBER(Table1[[#This Row],[Gestation (days)]])),TRUE,FALSE)</f>
        <v>0</v>
      </c>
      <c r="E7803" s="2" t="str">
        <f>IF(Table1[[#This Row],[Is Data Valid]]=TRUE,IF(Table1[[#This Row],[Fetal Sex (Male, Female or Unknown)]]="Male",Backend!$C$6,IF(Table1[[#This Row],[Fetal Sex (Male, Female or Unknown)]]="Female",Backend!$C$7,IF(Table1[[#This Row],[Fetal Sex (Male, Female or Unknown)]]="Unknown",Backend!$C$8,"Error"))),"")</f>
        <v/>
      </c>
      <c r="F7803" s="8" t="str">
        <f>IF(Table1[[#This Row],[Is Data Valid]]=TRUE,EXP(0.578+0.332*((Table1[[#This Row],[Gestation (days)]]+0.5)/7)-0.00354*((Table1[[#This Row],[Gestation (days)]]+0.5)/7)^2)*Table1[[#This Row],[BW40_3705]],"")</f>
        <v/>
      </c>
      <c r="G7803" s="2" t="str">
        <f>IF(Table1[[#This Row],[Is Data Valid]]=TRUE,((Table1[[#This Row],[Birthweight (grams)]]/Table1[[#This Row],[BW_GA]])-1)/(Backend!$B$4/100*Table1[[#This Row],[BW40_3705]]),"")</f>
        <v/>
      </c>
      <c r="H7803" s="7" t="str">
        <f>IF(Table1[[#This Row],[Is Data Valid]]=TRUE,((Table1[[#This Row],[Birthweight (grams)]]*0.9/Table1[[#This Row],[BW_GA]])-1)/(Backend!$B$4/100*Table1[[#This Row],[BW40_3705]]),"")</f>
        <v/>
      </c>
      <c r="I7803" s="7" t="str">
        <f>IF(Table1[[#This Row],[Is Data Valid]]=TRUE,((Table1[[#This Row],[Birthweight (grams)]]*1.1/Table1[[#This Row],[BW_GA]])-1)/(Backend!$B$4/100*Table1[[#This Row],[BW40_3705]]),"")</f>
        <v/>
      </c>
      <c r="J7803" s="7" t="str">
        <f>IF(Table1[[#This Row],[Is Data Valid]]=TRUE,_xlfn.NORM.S.DIST(Table1[[#This Row],[Birthweight Z-Score]],TRUE)*100,"")</f>
        <v/>
      </c>
      <c r="K7803" s="7" t="str">
        <f>IF(Table1[[#This Row],[Is Data Valid]]=TRUE,_xlfn.NORM.S.DIST(Table1[[#This Row],[Birthweight Z-Score (BW-10%)]],TRUE)*100,"")</f>
        <v/>
      </c>
      <c r="L7803" s="7" t="str">
        <f>IF(Table1[[#This Row],[Is Data Valid]]=TRUE,_xlfn.NORM.S.DIST(Table1[[#This Row],[Birthweight Z-Score (BW+10%)]],TRUE)*100,"")</f>
        <v/>
      </c>
    </row>
    <row r="7804" spans="1:12" x14ac:dyDescent="0.35">
      <c r="A7804" s="3"/>
      <c r="B7804" s="2"/>
      <c r="C7804" s="2"/>
      <c r="D7804" s="2" t="b">
        <f>IF(AND(NOT(ISBLANK(Table1[[#This Row],[Fetal Sex (Male, Female or Unknown)]])),ISNUMBER(Table1[[#This Row],[Birthweight (grams)]]),ISNUMBER(Table1[[#This Row],[Gestation (days)]])),TRUE,FALSE)</f>
        <v>0</v>
      </c>
      <c r="E7804" s="2" t="str">
        <f>IF(Table1[[#This Row],[Is Data Valid]]=TRUE,IF(Table1[[#This Row],[Fetal Sex (Male, Female or Unknown)]]="Male",Backend!$C$6,IF(Table1[[#This Row],[Fetal Sex (Male, Female or Unknown)]]="Female",Backend!$C$7,IF(Table1[[#This Row],[Fetal Sex (Male, Female or Unknown)]]="Unknown",Backend!$C$8,"Error"))),"")</f>
        <v/>
      </c>
      <c r="F7804" s="8" t="str">
        <f>IF(Table1[[#This Row],[Is Data Valid]]=TRUE,EXP(0.578+0.332*((Table1[[#This Row],[Gestation (days)]]+0.5)/7)-0.00354*((Table1[[#This Row],[Gestation (days)]]+0.5)/7)^2)*Table1[[#This Row],[BW40_3705]],"")</f>
        <v/>
      </c>
      <c r="G7804" s="2" t="str">
        <f>IF(Table1[[#This Row],[Is Data Valid]]=TRUE,((Table1[[#This Row],[Birthweight (grams)]]/Table1[[#This Row],[BW_GA]])-1)/(Backend!$B$4/100*Table1[[#This Row],[BW40_3705]]),"")</f>
        <v/>
      </c>
      <c r="H7804" s="7" t="str">
        <f>IF(Table1[[#This Row],[Is Data Valid]]=TRUE,((Table1[[#This Row],[Birthweight (grams)]]*0.9/Table1[[#This Row],[BW_GA]])-1)/(Backend!$B$4/100*Table1[[#This Row],[BW40_3705]]),"")</f>
        <v/>
      </c>
      <c r="I7804" s="7" t="str">
        <f>IF(Table1[[#This Row],[Is Data Valid]]=TRUE,((Table1[[#This Row],[Birthweight (grams)]]*1.1/Table1[[#This Row],[BW_GA]])-1)/(Backend!$B$4/100*Table1[[#This Row],[BW40_3705]]),"")</f>
        <v/>
      </c>
      <c r="J7804" s="7" t="str">
        <f>IF(Table1[[#This Row],[Is Data Valid]]=TRUE,_xlfn.NORM.S.DIST(Table1[[#This Row],[Birthweight Z-Score]],TRUE)*100,"")</f>
        <v/>
      </c>
      <c r="K7804" s="7" t="str">
        <f>IF(Table1[[#This Row],[Is Data Valid]]=TRUE,_xlfn.NORM.S.DIST(Table1[[#This Row],[Birthweight Z-Score (BW-10%)]],TRUE)*100,"")</f>
        <v/>
      </c>
      <c r="L7804" s="7" t="str">
        <f>IF(Table1[[#This Row],[Is Data Valid]]=TRUE,_xlfn.NORM.S.DIST(Table1[[#This Row],[Birthweight Z-Score (BW+10%)]],TRUE)*100,"")</f>
        <v/>
      </c>
    </row>
    <row r="7805" spans="1:12" x14ac:dyDescent="0.35">
      <c r="A7805" s="3"/>
      <c r="B7805" s="2"/>
      <c r="C7805" s="2"/>
      <c r="D7805" s="2" t="b">
        <f>IF(AND(NOT(ISBLANK(Table1[[#This Row],[Fetal Sex (Male, Female or Unknown)]])),ISNUMBER(Table1[[#This Row],[Birthweight (grams)]]),ISNUMBER(Table1[[#This Row],[Gestation (days)]])),TRUE,FALSE)</f>
        <v>0</v>
      </c>
      <c r="E7805" s="2" t="str">
        <f>IF(Table1[[#This Row],[Is Data Valid]]=TRUE,IF(Table1[[#This Row],[Fetal Sex (Male, Female or Unknown)]]="Male",Backend!$C$6,IF(Table1[[#This Row],[Fetal Sex (Male, Female or Unknown)]]="Female",Backend!$C$7,IF(Table1[[#This Row],[Fetal Sex (Male, Female or Unknown)]]="Unknown",Backend!$C$8,"Error"))),"")</f>
        <v/>
      </c>
      <c r="F7805" s="8" t="str">
        <f>IF(Table1[[#This Row],[Is Data Valid]]=TRUE,EXP(0.578+0.332*((Table1[[#This Row],[Gestation (days)]]+0.5)/7)-0.00354*((Table1[[#This Row],[Gestation (days)]]+0.5)/7)^2)*Table1[[#This Row],[BW40_3705]],"")</f>
        <v/>
      </c>
      <c r="G7805" s="2" t="str">
        <f>IF(Table1[[#This Row],[Is Data Valid]]=TRUE,((Table1[[#This Row],[Birthweight (grams)]]/Table1[[#This Row],[BW_GA]])-1)/(Backend!$B$4/100*Table1[[#This Row],[BW40_3705]]),"")</f>
        <v/>
      </c>
      <c r="H7805" s="7" t="str">
        <f>IF(Table1[[#This Row],[Is Data Valid]]=TRUE,((Table1[[#This Row],[Birthweight (grams)]]*0.9/Table1[[#This Row],[BW_GA]])-1)/(Backend!$B$4/100*Table1[[#This Row],[BW40_3705]]),"")</f>
        <v/>
      </c>
      <c r="I7805" s="7" t="str">
        <f>IF(Table1[[#This Row],[Is Data Valid]]=TRUE,((Table1[[#This Row],[Birthweight (grams)]]*1.1/Table1[[#This Row],[BW_GA]])-1)/(Backend!$B$4/100*Table1[[#This Row],[BW40_3705]]),"")</f>
        <v/>
      </c>
      <c r="J7805" s="7" t="str">
        <f>IF(Table1[[#This Row],[Is Data Valid]]=TRUE,_xlfn.NORM.S.DIST(Table1[[#This Row],[Birthweight Z-Score]],TRUE)*100,"")</f>
        <v/>
      </c>
      <c r="K7805" s="7" t="str">
        <f>IF(Table1[[#This Row],[Is Data Valid]]=TRUE,_xlfn.NORM.S.DIST(Table1[[#This Row],[Birthweight Z-Score (BW-10%)]],TRUE)*100,"")</f>
        <v/>
      </c>
      <c r="L7805" s="7" t="str">
        <f>IF(Table1[[#This Row],[Is Data Valid]]=TRUE,_xlfn.NORM.S.DIST(Table1[[#This Row],[Birthweight Z-Score (BW+10%)]],TRUE)*100,"")</f>
        <v/>
      </c>
    </row>
    <row r="7806" spans="1:12" x14ac:dyDescent="0.35">
      <c r="A7806" s="3"/>
      <c r="B7806" s="2"/>
      <c r="C7806" s="2"/>
      <c r="D7806" s="2" t="b">
        <f>IF(AND(NOT(ISBLANK(Table1[[#This Row],[Fetal Sex (Male, Female or Unknown)]])),ISNUMBER(Table1[[#This Row],[Birthweight (grams)]]),ISNUMBER(Table1[[#This Row],[Gestation (days)]])),TRUE,FALSE)</f>
        <v>0</v>
      </c>
      <c r="E7806" s="2" t="str">
        <f>IF(Table1[[#This Row],[Is Data Valid]]=TRUE,IF(Table1[[#This Row],[Fetal Sex (Male, Female or Unknown)]]="Male",Backend!$C$6,IF(Table1[[#This Row],[Fetal Sex (Male, Female or Unknown)]]="Female",Backend!$C$7,IF(Table1[[#This Row],[Fetal Sex (Male, Female or Unknown)]]="Unknown",Backend!$C$8,"Error"))),"")</f>
        <v/>
      </c>
      <c r="F7806" s="8" t="str">
        <f>IF(Table1[[#This Row],[Is Data Valid]]=TRUE,EXP(0.578+0.332*((Table1[[#This Row],[Gestation (days)]]+0.5)/7)-0.00354*((Table1[[#This Row],[Gestation (days)]]+0.5)/7)^2)*Table1[[#This Row],[BW40_3705]],"")</f>
        <v/>
      </c>
      <c r="G7806" s="2" t="str">
        <f>IF(Table1[[#This Row],[Is Data Valid]]=TRUE,((Table1[[#This Row],[Birthweight (grams)]]/Table1[[#This Row],[BW_GA]])-1)/(Backend!$B$4/100*Table1[[#This Row],[BW40_3705]]),"")</f>
        <v/>
      </c>
      <c r="H7806" s="7" t="str">
        <f>IF(Table1[[#This Row],[Is Data Valid]]=TRUE,((Table1[[#This Row],[Birthweight (grams)]]*0.9/Table1[[#This Row],[BW_GA]])-1)/(Backend!$B$4/100*Table1[[#This Row],[BW40_3705]]),"")</f>
        <v/>
      </c>
      <c r="I7806" s="7" t="str">
        <f>IF(Table1[[#This Row],[Is Data Valid]]=TRUE,((Table1[[#This Row],[Birthweight (grams)]]*1.1/Table1[[#This Row],[BW_GA]])-1)/(Backend!$B$4/100*Table1[[#This Row],[BW40_3705]]),"")</f>
        <v/>
      </c>
      <c r="J7806" s="7" t="str">
        <f>IF(Table1[[#This Row],[Is Data Valid]]=TRUE,_xlfn.NORM.S.DIST(Table1[[#This Row],[Birthweight Z-Score]],TRUE)*100,"")</f>
        <v/>
      </c>
      <c r="K7806" s="7" t="str">
        <f>IF(Table1[[#This Row],[Is Data Valid]]=TRUE,_xlfn.NORM.S.DIST(Table1[[#This Row],[Birthweight Z-Score (BW-10%)]],TRUE)*100,"")</f>
        <v/>
      </c>
      <c r="L7806" s="7" t="str">
        <f>IF(Table1[[#This Row],[Is Data Valid]]=TRUE,_xlfn.NORM.S.DIST(Table1[[#This Row],[Birthweight Z-Score (BW+10%)]],TRUE)*100,"")</f>
        <v/>
      </c>
    </row>
    <row r="7807" spans="1:12" x14ac:dyDescent="0.35">
      <c r="A7807" s="3"/>
      <c r="B7807" s="2"/>
      <c r="C7807" s="2"/>
      <c r="D7807" s="2" t="b">
        <f>IF(AND(NOT(ISBLANK(Table1[[#This Row],[Fetal Sex (Male, Female or Unknown)]])),ISNUMBER(Table1[[#This Row],[Birthweight (grams)]]),ISNUMBER(Table1[[#This Row],[Gestation (days)]])),TRUE,FALSE)</f>
        <v>0</v>
      </c>
      <c r="E7807" s="2" t="str">
        <f>IF(Table1[[#This Row],[Is Data Valid]]=TRUE,IF(Table1[[#This Row],[Fetal Sex (Male, Female or Unknown)]]="Male",Backend!$C$6,IF(Table1[[#This Row],[Fetal Sex (Male, Female or Unknown)]]="Female",Backend!$C$7,IF(Table1[[#This Row],[Fetal Sex (Male, Female or Unknown)]]="Unknown",Backend!$C$8,"Error"))),"")</f>
        <v/>
      </c>
      <c r="F7807" s="8" t="str">
        <f>IF(Table1[[#This Row],[Is Data Valid]]=TRUE,EXP(0.578+0.332*((Table1[[#This Row],[Gestation (days)]]+0.5)/7)-0.00354*((Table1[[#This Row],[Gestation (days)]]+0.5)/7)^2)*Table1[[#This Row],[BW40_3705]],"")</f>
        <v/>
      </c>
      <c r="G7807" s="2" t="str">
        <f>IF(Table1[[#This Row],[Is Data Valid]]=TRUE,((Table1[[#This Row],[Birthweight (grams)]]/Table1[[#This Row],[BW_GA]])-1)/(Backend!$B$4/100*Table1[[#This Row],[BW40_3705]]),"")</f>
        <v/>
      </c>
      <c r="H7807" s="7" t="str">
        <f>IF(Table1[[#This Row],[Is Data Valid]]=TRUE,((Table1[[#This Row],[Birthweight (grams)]]*0.9/Table1[[#This Row],[BW_GA]])-1)/(Backend!$B$4/100*Table1[[#This Row],[BW40_3705]]),"")</f>
        <v/>
      </c>
      <c r="I7807" s="7" t="str">
        <f>IF(Table1[[#This Row],[Is Data Valid]]=TRUE,((Table1[[#This Row],[Birthweight (grams)]]*1.1/Table1[[#This Row],[BW_GA]])-1)/(Backend!$B$4/100*Table1[[#This Row],[BW40_3705]]),"")</f>
        <v/>
      </c>
      <c r="J7807" s="7" t="str">
        <f>IF(Table1[[#This Row],[Is Data Valid]]=TRUE,_xlfn.NORM.S.DIST(Table1[[#This Row],[Birthweight Z-Score]],TRUE)*100,"")</f>
        <v/>
      </c>
      <c r="K7807" s="7" t="str">
        <f>IF(Table1[[#This Row],[Is Data Valid]]=TRUE,_xlfn.NORM.S.DIST(Table1[[#This Row],[Birthweight Z-Score (BW-10%)]],TRUE)*100,"")</f>
        <v/>
      </c>
      <c r="L7807" s="7" t="str">
        <f>IF(Table1[[#This Row],[Is Data Valid]]=TRUE,_xlfn.NORM.S.DIST(Table1[[#This Row],[Birthweight Z-Score (BW+10%)]],TRUE)*100,"")</f>
        <v/>
      </c>
    </row>
    <row r="7808" spans="1:12" x14ac:dyDescent="0.35">
      <c r="A7808" s="3"/>
      <c r="B7808" s="2"/>
      <c r="C7808" s="2"/>
      <c r="D7808" s="2" t="b">
        <f>IF(AND(NOT(ISBLANK(Table1[[#This Row],[Fetal Sex (Male, Female or Unknown)]])),ISNUMBER(Table1[[#This Row],[Birthweight (grams)]]),ISNUMBER(Table1[[#This Row],[Gestation (days)]])),TRUE,FALSE)</f>
        <v>0</v>
      </c>
      <c r="E7808" s="2" t="str">
        <f>IF(Table1[[#This Row],[Is Data Valid]]=TRUE,IF(Table1[[#This Row],[Fetal Sex (Male, Female or Unknown)]]="Male",Backend!$C$6,IF(Table1[[#This Row],[Fetal Sex (Male, Female or Unknown)]]="Female",Backend!$C$7,IF(Table1[[#This Row],[Fetal Sex (Male, Female or Unknown)]]="Unknown",Backend!$C$8,"Error"))),"")</f>
        <v/>
      </c>
      <c r="F7808" s="8" t="str">
        <f>IF(Table1[[#This Row],[Is Data Valid]]=TRUE,EXP(0.578+0.332*((Table1[[#This Row],[Gestation (days)]]+0.5)/7)-0.00354*((Table1[[#This Row],[Gestation (days)]]+0.5)/7)^2)*Table1[[#This Row],[BW40_3705]],"")</f>
        <v/>
      </c>
      <c r="G7808" s="2" t="str">
        <f>IF(Table1[[#This Row],[Is Data Valid]]=TRUE,((Table1[[#This Row],[Birthweight (grams)]]/Table1[[#This Row],[BW_GA]])-1)/(Backend!$B$4/100*Table1[[#This Row],[BW40_3705]]),"")</f>
        <v/>
      </c>
      <c r="H7808" s="7" t="str">
        <f>IF(Table1[[#This Row],[Is Data Valid]]=TRUE,((Table1[[#This Row],[Birthweight (grams)]]*0.9/Table1[[#This Row],[BW_GA]])-1)/(Backend!$B$4/100*Table1[[#This Row],[BW40_3705]]),"")</f>
        <v/>
      </c>
      <c r="I7808" s="7" t="str">
        <f>IF(Table1[[#This Row],[Is Data Valid]]=TRUE,((Table1[[#This Row],[Birthweight (grams)]]*1.1/Table1[[#This Row],[BW_GA]])-1)/(Backend!$B$4/100*Table1[[#This Row],[BW40_3705]]),"")</f>
        <v/>
      </c>
      <c r="J7808" s="7" t="str">
        <f>IF(Table1[[#This Row],[Is Data Valid]]=TRUE,_xlfn.NORM.S.DIST(Table1[[#This Row],[Birthweight Z-Score]],TRUE)*100,"")</f>
        <v/>
      </c>
      <c r="K7808" s="7" t="str">
        <f>IF(Table1[[#This Row],[Is Data Valid]]=TRUE,_xlfn.NORM.S.DIST(Table1[[#This Row],[Birthweight Z-Score (BW-10%)]],TRUE)*100,"")</f>
        <v/>
      </c>
      <c r="L7808" s="7" t="str">
        <f>IF(Table1[[#This Row],[Is Data Valid]]=TRUE,_xlfn.NORM.S.DIST(Table1[[#This Row],[Birthweight Z-Score (BW+10%)]],TRUE)*100,"")</f>
        <v/>
      </c>
    </row>
    <row r="7809" spans="1:12" x14ac:dyDescent="0.35">
      <c r="A7809" s="3"/>
      <c r="B7809" s="2"/>
      <c r="C7809" s="2"/>
      <c r="D7809" s="2" t="b">
        <f>IF(AND(NOT(ISBLANK(Table1[[#This Row],[Fetal Sex (Male, Female or Unknown)]])),ISNUMBER(Table1[[#This Row],[Birthweight (grams)]]),ISNUMBER(Table1[[#This Row],[Gestation (days)]])),TRUE,FALSE)</f>
        <v>0</v>
      </c>
      <c r="E7809" s="2" t="str">
        <f>IF(Table1[[#This Row],[Is Data Valid]]=TRUE,IF(Table1[[#This Row],[Fetal Sex (Male, Female or Unknown)]]="Male",Backend!$C$6,IF(Table1[[#This Row],[Fetal Sex (Male, Female or Unknown)]]="Female",Backend!$C$7,IF(Table1[[#This Row],[Fetal Sex (Male, Female or Unknown)]]="Unknown",Backend!$C$8,"Error"))),"")</f>
        <v/>
      </c>
      <c r="F7809" s="8" t="str">
        <f>IF(Table1[[#This Row],[Is Data Valid]]=TRUE,EXP(0.578+0.332*((Table1[[#This Row],[Gestation (days)]]+0.5)/7)-0.00354*((Table1[[#This Row],[Gestation (days)]]+0.5)/7)^2)*Table1[[#This Row],[BW40_3705]],"")</f>
        <v/>
      </c>
      <c r="G7809" s="2" t="str">
        <f>IF(Table1[[#This Row],[Is Data Valid]]=TRUE,((Table1[[#This Row],[Birthweight (grams)]]/Table1[[#This Row],[BW_GA]])-1)/(Backend!$B$4/100*Table1[[#This Row],[BW40_3705]]),"")</f>
        <v/>
      </c>
      <c r="H7809" s="7" t="str">
        <f>IF(Table1[[#This Row],[Is Data Valid]]=TRUE,((Table1[[#This Row],[Birthweight (grams)]]*0.9/Table1[[#This Row],[BW_GA]])-1)/(Backend!$B$4/100*Table1[[#This Row],[BW40_3705]]),"")</f>
        <v/>
      </c>
      <c r="I7809" s="7" t="str">
        <f>IF(Table1[[#This Row],[Is Data Valid]]=TRUE,((Table1[[#This Row],[Birthweight (grams)]]*1.1/Table1[[#This Row],[BW_GA]])-1)/(Backend!$B$4/100*Table1[[#This Row],[BW40_3705]]),"")</f>
        <v/>
      </c>
      <c r="J7809" s="7" t="str">
        <f>IF(Table1[[#This Row],[Is Data Valid]]=TRUE,_xlfn.NORM.S.DIST(Table1[[#This Row],[Birthweight Z-Score]],TRUE)*100,"")</f>
        <v/>
      </c>
      <c r="K7809" s="7" t="str">
        <f>IF(Table1[[#This Row],[Is Data Valid]]=TRUE,_xlfn.NORM.S.DIST(Table1[[#This Row],[Birthweight Z-Score (BW-10%)]],TRUE)*100,"")</f>
        <v/>
      </c>
      <c r="L7809" s="7" t="str">
        <f>IF(Table1[[#This Row],[Is Data Valid]]=TRUE,_xlfn.NORM.S.DIST(Table1[[#This Row],[Birthweight Z-Score (BW+10%)]],TRUE)*100,"")</f>
        <v/>
      </c>
    </row>
    <row r="7810" spans="1:12" x14ac:dyDescent="0.35">
      <c r="A7810" s="3"/>
      <c r="B7810" s="2"/>
      <c r="C7810" s="2"/>
      <c r="D7810" s="2" t="b">
        <f>IF(AND(NOT(ISBLANK(Table1[[#This Row],[Fetal Sex (Male, Female or Unknown)]])),ISNUMBER(Table1[[#This Row],[Birthweight (grams)]]),ISNUMBER(Table1[[#This Row],[Gestation (days)]])),TRUE,FALSE)</f>
        <v>0</v>
      </c>
      <c r="E7810" s="2" t="str">
        <f>IF(Table1[[#This Row],[Is Data Valid]]=TRUE,IF(Table1[[#This Row],[Fetal Sex (Male, Female or Unknown)]]="Male",Backend!$C$6,IF(Table1[[#This Row],[Fetal Sex (Male, Female or Unknown)]]="Female",Backend!$C$7,IF(Table1[[#This Row],[Fetal Sex (Male, Female or Unknown)]]="Unknown",Backend!$C$8,"Error"))),"")</f>
        <v/>
      </c>
      <c r="F7810" s="8" t="str">
        <f>IF(Table1[[#This Row],[Is Data Valid]]=TRUE,EXP(0.578+0.332*((Table1[[#This Row],[Gestation (days)]]+0.5)/7)-0.00354*((Table1[[#This Row],[Gestation (days)]]+0.5)/7)^2)*Table1[[#This Row],[BW40_3705]],"")</f>
        <v/>
      </c>
      <c r="G7810" s="2" t="str">
        <f>IF(Table1[[#This Row],[Is Data Valid]]=TRUE,((Table1[[#This Row],[Birthweight (grams)]]/Table1[[#This Row],[BW_GA]])-1)/(Backend!$B$4/100*Table1[[#This Row],[BW40_3705]]),"")</f>
        <v/>
      </c>
      <c r="H7810" s="7" t="str">
        <f>IF(Table1[[#This Row],[Is Data Valid]]=TRUE,((Table1[[#This Row],[Birthweight (grams)]]*0.9/Table1[[#This Row],[BW_GA]])-1)/(Backend!$B$4/100*Table1[[#This Row],[BW40_3705]]),"")</f>
        <v/>
      </c>
      <c r="I7810" s="7" t="str">
        <f>IF(Table1[[#This Row],[Is Data Valid]]=TRUE,((Table1[[#This Row],[Birthweight (grams)]]*1.1/Table1[[#This Row],[BW_GA]])-1)/(Backend!$B$4/100*Table1[[#This Row],[BW40_3705]]),"")</f>
        <v/>
      </c>
      <c r="J7810" s="7" t="str">
        <f>IF(Table1[[#This Row],[Is Data Valid]]=TRUE,_xlfn.NORM.S.DIST(Table1[[#This Row],[Birthweight Z-Score]],TRUE)*100,"")</f>
        <v/>
      </c>
      <c r="K7810" s="7" t="str">
        <f>IF(Table1[[#This Row],[Is Data Valid]]=TRUE,_xlfn.NORM.S.DIST(Table1[[#This Row],[Birthweight Z-Score (BW-10%)]],TRUE)*100,"")</f>
        <v/>
      </c>
      <c r="L7810" s="7" t="str">
        <f>IF(Table1[[#This Row],[Is Data Valid]]=TRUE,_xlfn.NORM.S.DIST(Table1[[#This Row],[Birthweight Z-Score (BW+10%)]],TRUE)*100,"")</f>
        <v/>
      </c>
    </row>
    <row r="7811" spans="1:12" x14ac:dyDescent="0.35">
      <c r="A7811" s="3"/>
      <c r="B7811" s="2"/>
      <c r="C7811" s="2"/>
      <c r="D7811" s="2" t="b">
        <f>IF(AND(NOT(ISBLANK(Table1[[#This Row],[Fetal Sex (Male, Female or Unknown)]])),ISNUMBER(Table1[[#This Row],[Birthweight (grams)]]),ISNUMBER(Table1[[#This Row],[Gestation (days)]])),TRUE,FALSE)</f>
        <v>0</v>
      </c>
      <c r="E7811" s="2" t="str">
        <f>IF(Table1[[#This Row],[Is Data Valid]]=TRUE,IF(Table1[[#This Row],[Fetal Sex (Male, Female or Unknown)]]="Male",Backend!$C$6,IF(Table1[[#This Row],[Fetal Sex (Male, Female or Unknown)]]="Female",Backend!$C$7,IF(Table1[[#This Row],[Fetal Sex (Male, Female or Unknown)]]="Unknown",Backend!$C$8,"Error"))),"")</f>
        <v/>
      </c>
      <c r="F7811" s="8" t="str">
        <f>IF(Table1[[#This Row],[Is Data Valid]]=TRUE,EXP(0.578+0.332*((Table1[[#This Row],[Gestation (days)]]+0.5)/7)-0.00354*((Table1[[#This Row],[Gestation (days)]]+0.5)/7)^2)*Table1[[#This Row],[BW40_3705]],"")</f>
        <v/>
      </c>
      <c r="G7811" s="2" t="str">
        <f>IF(Table1[[#This Row],[Is Data Valid]]=TRUE,((Table1[[#This Row],[Birthweight (grams)]]/Table1[[#This Row],[BW_GA]])-1)/(Backend!$B$4/100*Table1[[#This Row],[BW40_3705]]),"")</f>
        <v/>
      </c>
      <c r="H7811" s="7" t="str">
        <f>IF(Table1[[#This Row],[Is Data Valid]]=TRUE,((Table1[[#This Row],[Birthweight (grams)]]*0.9/Table1[[#This Row],[BW_GA]])-1)/(Backend!$B$4/100*Table1[[#This Row],[BW40_3705]]),"")</f>
        <v/>
      </c>
      <c r="I7811" s="7" t="str">
        <f>IF(Table1[[#This Row],[Is Data Valid]]=TRUE,((Table1[[#This Row],[Birthweight (grams)]]*1.1/Table1[[#This Row],[BW_GA]])-1)/(Backend!$B$4/100*Table1[[#This Row],[BW40_3705]]),"")</f>
        <v/>
      </c>
      <c r="J7811" s="7" t="str">
        <f>IF(Table1[[#This Row],[Is Data Valid]]=TRUE,_xlfn.NORM.S.DIST(Table1[[#This Row],[Birthweight Z-Score]],TRUE)*100,"")</f>
        <v/>
      </c>
      <c r="K7811" s="7" t="str">
        <f>IF(Table1[[#This Row],[Is Data Valid]]=TRUE,_xlfn.NORM.S.DIST(Table1[[#This Row],[Birthweight Z-Score (BW-10%)]],TRUE)*100,"")</f>
        <v/>
      </c>
      <c r="L7811" s="7" t="str">
        <f>IF(Table1[[#This Row],[Is Data Valid]]=TRUE,_xlfn.NORM.S.DIST(Table1[[#This Row],[Birthweight Z-Score (BW+10%)]],TRUE)*100,"")</f>
        <v/>
      </c>
    </row>
    <row r="7812" spans="1:12" x14ac:dyDescent="0.35">
      <c r="A7812" s="3"/>
      <c r="B7812" s="2"/>
      <c r="C7812" s="2"/>
      <c r="D7812" s="2" t="b">
        <f>IF(AND(NOT(ISBLANK(Table1[[#This Row],[Fetal Sex (Male, Female or Unknown)]])),ISNUMBER(Table1[[#This Row],[Birthweight (grams)]]),ISNUMBER(Table1[[#This Row],[Gestation (days)]])),TRUE,FALSE)</f>
        <v>0</v>
      </c>
      <c r="E7812" s="2" t="str">
        <f>IF(Table1[[#This Row],[Is Data Valid]]=TRUE,IF(Table1[[#This Row],[Fetal Sex (Male, Female or Unknown)]]="Male",Backend!$C$6,IF(Table1[[#This Row],[Fetal Sex (Male, Female or Unknown)]]="Female",Backend!$C$7,IF(Table1[[#This Row],[Fetal Sex (Male, Female or Unknown)]]="Unknown",Backend!$C$8,"Error"))),"")</f>
        <v/>
      </c>
      <c r="F7812" s="8" t="str">
        <f>IF(Table1[[#This Row],[Is Data Valid]]=TRUE,EXP(0.578+0.332*((Table1[[#This Row],[Gestation (days)]]+0.5)/7)-0.00354*((Table1[[#This Row],[Gestation (days)]]+0.5)/7)^2)*Table1[[#This Row],[BW40_3705]],"")</f>
        <v/>
      </c>
      <c r="G7812" s="2" t="str">
        <f>IF(Table1[[#This Row],[Is Data Valid]]=TRUE,((Table1[[#This Row],[Birthweight (grams)]]/Table1[[#This Row],[BW_GA]])-1)/(Backend!$B$4/100*Table1[[#This Row],[BW40_3705]]),"")</f>
        <v/>
      </c>
      <c r="H7812" s="7" t="str">
        <f>IF(Table1[[#This Row],[Is Data Valid]]=TRUE,((Table1[[#This Row],[Birthweight (grams)]]*0.9/Table1[[#This Row],[BW_GA]])-1)/(Backend!$B$4/100*Table1[[#This Row],[BW40_3705]]),"")</f>
        <v/>
      </c>
      <c r="I7812" s="7" t="str">
        <f>IF(Table1[[#This Row],[Is Data Valid]]=TRUE,((Table1[[#This Row],[Birthweight (grams)]]*1.1/Table1[[#This Row],[BW_GA]])-1)/(Backend!$B$4/100*Table1[[#This Row],[BW40_3705]]),"")</f>
        <v/>
      </c>
      <c r="J7812" s="7" t="str">
        <f>IF(Table1[[#This Row],[Is Data Valid]]=TRUE,_xlfn.NORM.S.DIST(Table1[[#This Row],[Birthweight Z-Score]],TRUE)*100,"")</f>
        <v/>
      </c>
      <c r="K7812" s="7" t="str">
        <f>IF(Table1[[#This Row],[Is Data Valid]]=TRUE,_xlfn.NORM.S.DIST(Table1[[#This Row],[Birthweight Z-Score (BW-10%)]],TRUE)*100,"")</f>
        <v/>
      </c>
      <c r="L7812" s="7" t="str">
        <f>IF(Table1[[#This Row],[Is Data Valid]]=TRUE,_xlfn.NORM.S.DIST(Table1[[#This Row],[Birthweight Z-Score (BW+10%)]],TRUE)*100,"")</f>
        <v/>
      </c>
    </row>
    <row r="7813" spans="1:12" x14ac:dyDescent="0.35">
      <c r="A7813" s="3"/>
      <c r="B7813" s="2"/>
      <c r="C7813" s="2"/>
      <c r="D7813" s="2" t="b">
        <f>IF(AND(NOT(ISBLANK(Table1[[#This Row],[Fetal Sex (Male, Female or Unknown)]])),ISNUMBER(Table1[[#This Row],[Birthweight (grams)]]),ISNUMBER(Table1[[#This Row],[Gestation (days)]])),TRUE,FALSE)</f>
        <v>0</v>
      </c>
      <c r="E7813" s="2" t="str">
        <f>IF(Table1[[#This Row],[Is Data Valid]]=TRUE,IF(Table1[[#This Row],[Fetal Sex (Male, Female or Unknown)]]="Male",Backend!$C$6,IF(Table1[[#This Row],[Fetal Sex (Male, Female or Unknown)]]="Female",Backend!$C$7,IF(Table1[[#This Row],[Fetal Sex (Male, Female or Unknown)]]="Unknown",Backend!$C$8,"Error"))),"")</f>
        <v/>
      </c>
      <c r="F7813" s="8" t="str">
        <f>IF(Table1[[#This Row],[Is Data Valid]]=TRUE,EXP(0.578+0.332*((Table1[[#This Row],[Gestation (days)]]+0.5)/7)-0.00354*((Table1[[#This Row],[Gestation (days)]]+0.5)/7)^2)*Table1[[#This Row],[BW40_3705]],"")</f>
        <v/>
      </c>
      <c r="G7813" s="2" t="str">
        <f>IF(Table1[[#This Row],[Is Data Valid]]=TRUE,((Table1[[#This Row],[Birthweight (grams)]]/Table1[[#This Row],[BW_GA]])-1)/(Backend!$B$4/100*Table1[[#This Row],[BW40_3705]]),"")</f>
        <v/>
      </c>
      <c r="H7813" s="7" t="str">
        <f>IF(Table1[[#This Row],[Is Data Valid]]=TRUE,((Table1[[#This Row],[Birthweight (grams)]]*0.9/Table1[[#This Row],[BW_GA]])-1)/(Backend!$B$4/100*Table1[[#This Row],[BW40_3705]]),"")</f>
        <v/>
      </c>
      <c r="I7813" s="7" t="str">
        <f>IF(Table1[[#This Row],[Is Data Valid]]=TRUE,((Table1[[#This Row],[Birthweight (grams)]]*1.1/Table1[[#This Row],[BW_GA]])-1)/(Backend!$B$4/100*Table1[[#This Row],[BW40_3705]]),"")</f>
        <v/>
      </c>
      <c r="J7813" s="7" t="str">
        <f>IF(Table1[[#This Row],[Is Data Valid]]=TRUE,_xlfn.NORM.S.DIST(Table1[[#This Row],[Birthweight Z-Score]],TRUE)*100,"")</f>
        <v/>
      </c>
      <c r="K7813" s="7" t="str">
        <f>IF(Table1[[#This Row],[Is Data Valid]]=TRUE,_xlfn.NORM.S.DIST(Table1[[#This Row],[Birthweight Z-Score (BW-10%)]],TRUE)*100,"")</f>
        <v/>
      </c>
      <c r="L7813" s="7" t="str">
        <f>IF(Table1[[#This Row],[Is Data Valid]]=TRUE,_xlfn.NORM.S.DIST(Table1[[#This Row],[Birthweight Z-Score (BW+10%)]],TRUE)*100,"")</f>
        <v/>
      </c>
    </row>
    <row r="7814" spans="1:12" x14ac:dyDescent="0.35">
      <c r="A7814" s="3"/>
      <c r="B7814" s="2"/>
      <c r="C7814" s="2"/>
      <c r="D7814" s="2" t="b">
        <f>IF(AND(NOT(ISBLANK(Table1[[#This Row],[Fetal Sex (Male, Female or Unknown)]])),ISNUMBER(Table1[[#This Row],[Birthweight (grams)]]),ISNUMBER(Table1[[#This Row],[Gestation (days)]])),TRUE,FALSE)</f>
        <v>0</v>
      </c>
      <c r="E7814" s="2" t="str">
        <f>IF(Table1[[#This Row],[Is Data Valid]]=TRUE,IF(Table1[[#This Row],[Fetal Sex (Male, Female or Unknown)]]="Male",Backend!$C$6,IF(Table1[[#This Row],[Fetal Sex (Male, Female or Unknown)]]="Female",Backend!$C$7,IF(Table1[[#This Row],[Fetal Sex (Male, Female or Unknown)]]="Unknown",Backend!$C$8,"Error"))),"")</f>
        <v/>
      </c>
      <c r="F7814" s="8" t="str">
        <f>IF(Table1[[#This Row],[Is Data Valid]]=TRUE,EXP(0.578+0.332*((Table1[[#This Row],[Gestation (days)]]+0.5)/7)-0.00354*((Table1[[#This Row],[Gestation (days)]]+0.5)/7)^2)*Table1[[#This Row],[BW40_3705]],"")</f>
        <v/>
      </c>
      <c r="G7814" s="2" t="str">
        <f>IF(Table1[[#This Row],[Is Data Valid]]=TRUE,((Table1[[#This Row],[Birthweight (grams)]]/Table1[[#This Row],[BW_GA]])-1)/(Backend!$B$4/100*Table1[[#This Row],[BW40_3705]]),"")</f>
        <v/>
      </c>
      <c r="H7814" s="7" t="str">
        <f>IF(Table1[[#This Row],[Is Data Valid]]=TRUE,((Table1[[#This Row],[Birthweight (grams)]]*0.9/Table1[[#This Row],[BW_GA]])-1)/(Backend!$B$4/100*Table1[[#This Row],[BW40_3705]]),"")</f>
        <v/>
      </c>
      <c r="I7814" s="7" t="str">
        <f>IF(Table1[[#This Row],[Is Data Valid]]=TRUE,((Table1[[#This Row],[Birthweight (grams)]]*1.1/Table1[[#This Row],[BW_GA]])-1)/(Backend!$B$4/100*Table1[[#This Row],[BW40_3705]]),"")</f>
        <v/>
      </c>
      <c r="J7814" s="7" t="str">
        <f>IF(Table1[[#This Row],[Is Data Valid]]=TRUE,_xlfn.NORM.S.DIST(Table1[[#This Row],[Birthweight Z-Score]],TRUE)*100,"")</f>
        <v/>
      </c>
      <c r="K7814" s="7" t="str">
        <f>IF(Table1[[#This Row],[Is Data Valid]]=TRUE,_xlfn.NORM.S.DIST(Table1[[#This Row],[Birthweight Z-Score (BW-10%)]],TRUE)*100,"")</f>
        <v/>
      </c>
      <c r="L7814" s="7" t="str">
        <f>IF(Table1[[#This Row],[Is Data Valid]]=TRUE,_xlfn.NORM.S.DIST(Table1[[#This Row],[Birthweight Z-Score (BW+10%)]],TRUE)*100,"")</f>
        <v/>
      </c>
    </row>
    <row r="7815" spans="1:12" x14ac:dyDescent="0.35">
      <c r="A7815" s="3"/>
      <c r="B7815" s="2"/>
      <c r="C7815" s="2"/>
      <c r="D7815" s="2" t="b">
        <f>IF(AND(NOT(ISBLANK(Table1[[#This Row],[Fetal Sex (Male, Female or Unknown)]])),ISNUMBER(Table1[[#This Row],[Birthweight (grams)]]),ISNUMBER(Table1[[#This Row],[Gestation (days)]])),TRUE,FALSE)</f>
        <v>0</v>
      </c>
      <c r="E7815" s="2" t="str">
        <f>IF(Table1[[#This Row],[Is Data Valid]]=TRUE,IF(Table1[[#This Row],[Fetal Sex (Male, Female or Unknown)]]="Male",Backend!$C$6,IF(Table1[[#This Row],[Fetal Sex (Male, Female or Unknown)]]="Female",Backend!$C$7,IF(Table1[[#This Row],[Fetal Sex (Male, Female or Unknown)]]="Unknown",Backend!$C$8,"Error"))),"")</f>
        <v/>
      </c>
      <c r="F7815" s="8" t="str">
        <f>IF(Table1[[#This Row],[Is Data Valid]]=TRUE,EXP(0.578+0.332*((Table1[[#This Row],[Gestation (days)]]+0.5)/7)-0.00354*((Table1[[#This Row],[Gestation (days)]]+0.5)/7)^2)*Table1[[#This Row],[BW40_3705]],"")</f>
        <v/>
      </c>
      <c r="G7815" s="2" t="str">
        <f>IF(Table1[[#This Row],[Is Data Valid]]=TRUE,((Table1[[#This Row],[Birthweight (grams)]]/Table1[[#This Row],[BW_GA]])-1)/(Backend!$B$4/100*Table1[[#This Row],[BW40_3705]]),"")</f>
        <v/>
      </c>
      <c r="H7815" s="7" t="str">
        <f>IF(Table1[[#This Row],[Is Data Valid]]=TRUE,((Table1[[#This Row],[Birthweight (grams)]]*0.9/Table1[[#This Row],[BW_GA]])-1)/(Backend!$B$4/100*Table1[[#This Row],[BW40_3705]]),"")</f>
        <v/>
      </c>
      <c r="I7815" s="7" t="str">
        <f>IF(Table1[[#This Row],[Is Data Valid]]=TRUE,((Table1[[#This Row],[Birthweight (grams)]]*1.1/Table1[[#This Row],[BW_GA]])-1)/(Backend!$B$4/100*Table1[[#This Row],[BW40_3705]]),"")</f>
        <v/>
      </c>
      <c r="J7815" s="7" t="str">
        <f>IF(Table1[[#This Row],[Is Data Valid]]=TRUE,_xlfn.NORM.S.DIST(Table1[[#This Row],[Birthweight Z-Score]],TRUE)*100,"")</f>
        <v/>
      </c>
      <c r="K7815" s="7" t="str">
        <f>IF(Table1[[#This Row],[Is Data Valid]]=TRUE,_xlfn.NORM.S.DIST(Table1[[#This Row],[Birthweight Z-Score (BW-10%)]],TRUE)*100,"")</f>
        <v/>
      </c>
      <c r="L7815" s="7" t="str">
        <f>IF(Table1[[#This Row],[Is Data Valid]]=TRUE,_xlfn.NORM.S.DIST(Table1[[#This Row],[Birthweight Z-Score (BW+10%)]],TRUE)*100,"")</f>
        <v/>
      </c>
    </row>
    <row r="7816" spans="1:12" x14ac:dyDescent="0.35">
      <c r="A7816" s="3"/>
      <c r="B7816" s="2"/>
      <c r="C7816" s="2"/>
      <c r="D7816" s="2" t="b">
        <f>IF(AND(NOT(ISBLANK(Table1[[#This Row],[Fetal Sex (Male, Female or Unknown)]])),ISNUMBER(Table1[[#This Row],[Birthweight (grams)]]),ISNUMBER(Table1[[#This Row],[Gestation (days)]])),TRUE,FALSE)</f>
        <v>0</v>
      </c>
      <c r="E7816" s="2" t="str">
        <f>IF(Table1[[#This Row],[Is Data Valid]]=TRUE,IF(Table1[[#This Row],[Fetal Sex (Male, Female or Unknown)]]="Male",Backend!$C$6,IF(Table1[[#This Row],[Fetal Sex (Male, Female or Unknown)]]="Female",Backend!$C$7,IF(Table1[[#This Row],[Fetal Sex (Male, Female or Unknown)]]="Unknown",Backend!$C$8,"Error"))),"")</f>
        <v/>
      </c>
      <c r="F7816" s="8" t="str">
        <f>IF(Table1[[#This Row],[Is Data Valid]]=TRUE,EXP(0.578+0.332*((Table1[[#This Row],[Gestation (days)]]+0.5)/7)-0.00354*((Table1[[#This Row],[Gestation (days)]]+0.5)/7)^2)*Table1[[#This Row],[BW40_3705]],"")</f>
        <v/>
      </c>
      <c r="G7816" s="2" t="str">
        <f>IF(Table1[[#This Row],[Is Data Valid]]=TRUE,((Table1[[#This Row],[Birthweight (grams)]]/Table1[[#This Row],[BW_GA]])-1)/(Backend!$B$4/100*Table1[[#This Row],[BW40_3705]]),"")</f>
        <v/>
      </c>
      <c r="H7816" s="7" t="str">
        <f>IF(Table1[[#This Row],[Is Data Valid]]=TRUE,((Table1[[#This Row],[Birthweight (grams)]]*0.9/Table1[[#This Row],[BW_GA]])-1)/(Backend!$B$4/100*Table1[[#This Row],[BW40_3705]]),"")</f>
        <v/>
      </c>
      <c r="I7816" s="7" t="str">
        <f>IF(Table1[[#This Row],[Is Data Valid]]=TRUE,((Table1[[#This Row],[Birthweight (grams)]]*1.1/Table1[[#This Row],[BW_GA]])-1)/(Backend!$B$4/100*Table1[[#This Row],[BW40_3705]]),"")</f>
        <v/>
      </c>
      <c r="J7816" s="7" t="str">
        <f>IF(Table1[[#This Row],[Is Data Valid]]=TRUE,_xlfn.NORM.S.DIST(Table1[[#This Row],[Birthweight Z-Score]],TRUE)*100,"")</f>
        <v/>
      </c>
      <c r="K7816" s="7" t="str">
        <f>IF(Table1[[#This Row],[Is Data Valid]]=TRUE,_xlfn.NORM.S.DIST(Table1[[#This Row],[Birthweight Z-Score (BW-10%)]],TRUE)*100,"")</f>
        <v/>
      </c>
      <c r="L7816" s="7" t="str">
        <f>IF(Table1[[#This Row],[Is Data Valid]]=TRUE,_xlfn.NORM.S.DIST(Table1[[#This Row],[Birthweight Z-Score (BW+10%)]],TRUE)*100,"")</f>
        <v/>
      </c>
    </row>
    <row r="7817" spans="1:12" x14ac:dyDescent="0.35">
      <c r="A7817" s="3"/>
      <c r="B7817" s="2"/>
      <c r="C7817" s="2"/>
      <c r="D7817" s="2" t="b">
        <f>IF(AND(NOT(ISBLANK(Table1[[#This Row],[Fetal Sex (Male, Female or Unknown)]])),ISNUMBER(Table1[[#This Row],[Birthweight (grams)]]),ISNUMBER(Table1[[#This Row],[Gestation (days)]])),TRUE,FALSE)</f>
        <v>0</v>
      </c>
      <c r="E7817" s="2" t="str">
        <f>IF(Table1[[#This Row],[Is Data Valid]]=TRUE,IF(Table1[[#This Row],[Fetal Sex (Male, Female or Unknown)]]="Male",Backend!$C$6,IF(Table1[[#This Row],[Fetal Sex (Male, Female or Unknown)]]="Female",Backend!$C$7,IF(Table1[[#This Row],[Fetal Sex (Male, Female or Unknown)]]="Unknown",Backend!$C$8,"Error"))),"")</f>
        <v/>
      </c>
      <c r="F7817" s="8" t="str">
        <f>IF(Table1[[#This Row],[Is Data Valid]]=TRUE,EXP(0.578+0.332*((Table1[[#This Row],[Gestation (days)]]+0.5)/7)-0.00354*((Table1[[#This Row],[Gestation (days)]]+0.5)/7)^2)*Table1[[#This Row],[BW40_3705]],"")</f>
        <v/>
      </c>
      <c r="G7817" s="2" t="str">
        <f>IF(Table1[[#This Row],[Is Data Valid]]=TRUE,((Table1[[#This Row],[Birthweight (grams)]]/Table1[[#This Row],[BW_GA]])-1)/(Backend!$B$4/100*Table1[[#This Row],[BW40_3705]]),"")</f>
        <v/>
      </c>
      <c r="H7817" s="7" t="str">
        <f>IF(Table1[[#This Row],[Is Data Valid]]=TRUE,((Table1[[#This Row],[Birthweight (grams)]]*0.9/Table1[[#This Row],[BW_GA]])-1)/(Backend!$B$4/100*Table1[[#This Row],[BW40_3705]]),"")</f>
        <v/>
      </c>
      <c r="I7817" s="7" t="str">
        <f>IF(Table1[[#This Row],[Is Data Valid]]=TRUE,((Table1[[#This Row],[Birthweight (grams)]]*1.1/Table1[[#This Row],[BW_GA]])-1)/(Backend!$B$4/100*Table1[[#This Row],[BW40_3705]]),"")</f>
        <v/>
      </c>
      <c r="J7817" s="7" t="str">
        <f>IF(Table1[[#This Row],[Is Data Valid]]=TRUE,_xlfn.NORM.S.DIST(Table1[[#This Row],[Birthweight Z-Score]],TRUE)*100,"")</f>
        <v/>
      </c>
      <c r="K7817" s="7" t="str">
        <f>IF(Table1[[#This Row],[Is Data Valid]]=TRUE,_xlfn.NORM.S.DIST(Table1[[#This Row],[Birthweight Z-Score (BW-10%)]],TRUE)*100,"")</f>
        <v/>
      </c>
      <c r="L7817" s="7" t="str">
        <f>IF(Table1[[#This Row],[Is Data Valid]]=TRUE,_xlfn.NORM.S.DIST(Table1[[#This Row],[Birthweight Z-Score (BW+10%)]],TRUE)*100,"")</f>
        <v/>
      </c>
    </row>
    <row r="7818" spans="1:12" x14ac:dyDescent="0.35">
      <c r="A7818" s="3"/>
      <c r="B7818" s="2"/>
      <c r="C7818" s="2"/>
      <c r="D7818" s="2" t="b">
        <f>IF(AND(NOT(ISBLANK(Table1[[#This Row],[Fetal Sex (Male, Female or Unknown)]])),ISNUMBER(Table1[[#This Row],[Birthweight (grams)]]),ISNUMBER(Table1[[#This Row],[Gestation (days)]])),TRUE,FALSE)</f>
        <v>0</v>
      </c>
      <c r="E7818" s="2" t="str">
        <f>IF(Table1[[#This Row],[Is Data Valid]]=TRUE,IF(Table1[[#This Row],[Fetal Sex (Male, Female or Unknown)]]="Male",Backend!$C$6,IF(Table1[[#This Row],[Fetal Sex (Male, Female or Unknown)]]="Female",Backend!$C$7,IF(Table1[[#This Row],[Fetal Sex (Male, Female or Unknown)]]="Unknown",Backend!$C$8,"Error"))),"")</f>
        <v/>
      </c>
      <c r="F7818" s="8" t="str">
        <f>IF(Table1[[#This Row],[Is Data Valid]]=TRUE,EXP(0.578+0.332*((Table1[[#This Row],[Gestation (days)]]+0.5)/7)-0.00354*((Table1[[#This Row],[Gestation (days)]]+0.5)/7)^2)*Table1[[#This Row],[BW40_3705]],"")</f>
        <v/>
      </c>
      <c r="G7818" s="2" t="str">
        <f>IF(Table1[[#This Row],[Is Data Valid]]=TRUE,((Table1[[#This Row],[Birthweight (grams)]]/Table1[[#This Row],[BW_GA]])-1)/(Backend!$B$4/100*Table1[[#This Row],[BW40_3705]]),"")</f>
        <v/>
      </c>
      <c r="H7818" s="7" t="str">
        <f>IF(Table1[[#This Row],[Is Data Valid]]=TRUE,((Table1[[#This Row],[Birthweight (grams)]]*0.9/Table1[[#This Row],[BW_GA]])-1)/(Backend!$B$4/100*Table1[[#This Row],[BW40_3705]]),"")</f>
        <v/>
      </c>
      <c r="I7818" s="7" t="str">
        <f>IF(Table1[[#This Row],[Is Data Valid]]=TRUE,((Table1[[#This Row],[Birthweight (grams)]]*1.1/Table1[[#This Row],[BW_GA]])-1)/(Backend!$B$4/100*Table1[[#This Row],[BW40_3705]]),"")</f>
        <v/>
      </c>
      <c r="J7818" s="7" t="str">
        <f>IF(Table1[[#This Row],[Is Data Valid]]=TRUE,_xlfn.NORM.S.DIST(Table1[[#This Row],[Birthweight Z-Score]],TRUE)*100,"")</f>
        <v/>
      </c>
      <c r="K7818" s="7" t="str">
        <f>IF(Table1[[#This Row],[Is Data Valid]]=TRUE,_xlfn.NORM.S.DIST(Table1[[#This Row],[Birthweight Z-Score (BW-10%)]],TRUE)*100,"")</f>
        <v/>
      </c>
      <c r="L7818" s="7" t="str">
        <f>IF(Table1[[#This Row],[Is Data Valid]]=TRUE,_xlfn.NORM.S.DIST(Table1[[#This Row],[Birthweight Z-Score (BW+10%)]],TRUE)*100,"")</f>
        <v/>
      </c>
    </row>
    <row r="7819" spans="1:12" x14ac:dyDescent="0.35">
      <c r="A7819" s="3"/>
      <c r="B7819" s="2"/>
      <c r="C7819" s="2"/>
      <c r="D7819" s="2" t="b">
        <f>IF(AND(NOT(ISBLANK(Table1[[#This Row],[Fetal Sex (Male, Female or Unknown)]])),ISNUMBER(Table1[[#This Row],[Birthweight (grams)]]),ISNUMBER(Table1[[#This Row],[Gestation (days)]])),TRUE,FALSE)</f>
        <v>0</v>
      </c>
      <c r="E7819" s="2" t="str">
        <f>IF(Table1[[#This Row],[Is Data Valid]]=TRUE,IF(Table1[[#This Row],[Fetal Sex (Male, Female or Unknown)]]="Male",Backend!$C$6,IF(Table1[[#This Row],[Fetal Sex (Male, Female or Unknown)]]="Female",Backend!$C$7,IF(Table1[[#This Row],[Fetal Sex (Male, Female or Unknown)]]="Unknown",Backend!$C$8,"Error"))),"")</f>
        <v/>
      </c>
      <c r="F7819" s="8" t="str">
        <f>IF(Table1[[#This Row],[Is Data Valid]]=TRUE,EXP(0.578+0.332*((Table1[[#This Row],[Gestation (days)]]+0.5)/7)-0.00354*((Table1[[#This Row],[Gestation (days)]]+0.5)/7)^2)*Table1[[#This Row],[BW40_3705]],"")</f>
        <v/>
      </c>
      <c r="G7819" s="2" t="str">
        <f>IF(Table1[[#This Row],[Is Data Valid]]=TRUE,((Table1[[#This Row],[Birthweight (grams)]]/Table1[[#This Row],[BW_GA]])-1)/(Backend!$B$4/100*Table1[[#This Row],[BW40_3705]]),"")</f>
        <v/>
      </c>
      <c r="H7819" s="7" t="str">
        <f>IF(Table1[[#This Row],[Is Data Valid]]=TRUE,((Table1[[#This Row],[Birthweight (grams)]]*0.9/Table1[[#This Row],[BW_GA]])-1)/(Backend!$B$4/100*Table1[[#This Row],[BW40_3705]]),"")</f>
        <v/>
      </c>
      <c r="I7819" s="7" t="str">
        <f>IF(Table1[[#This Row],[Is Data Valid]]=TRUE,((Table1[[#This Row],[Birthweight (grams)]]*1.1/Table1[[#This Row],[BW_GA]])-1)/(Backend!$B$4/100*Table1[[#This Row],[BW40_3705]]),"")</f>
        <v/>
      </c>
      <c r="J7819" s="7" t="str">
        <f>IF(Table1[[#This Row],[Is Data Valid]]=TRUE,_xlfn.NORM.S.DIST(Table1[[#This Row],[Birthweight Z-Score]],TRUE)*100,"")</f>
        <v/>
      </c>
      <c r="K7819" s="7" t="str">
        <f>IF(Table1[[#This Row],[Is Data Valid]]=TRUE,_xlfn.NORM.S.DIST(Table1[[#This Row],[Birthweight Z-Score (BW-10%)]],TRUE)*100,"")</f>
        <v/>
      </c>
      <c r="L7819" s="7" t="str">
        <f>IF(Table1[[#This Row],[Is Data Valid]]=TRUE,_xlfn.NORM.S.DIST(Table1[[#This Row],[Birthweight Z-Score (BW+10%)]],TRUE)*100,"")</f>
        <v/>
      </c>
    </row>
    <row r="7820" spans="1:12" x14ac:dyDescent="0.35">
      <c r="A7820" s="3"/>
      <c r="B7820" s="2"/>
      <c r="C7820" s="2"/>
      <c r="D7820" s="2" t="b">
        <f>IF(AND(NOT(ISBLANK(Table1[[#This Row],[Fetal Sex (Male, Female or Unknown)]])),ISNUMBER(Table1[[#This Row],[Birthweight (grams)]]),ISNUMBER(Table1[[#This Row],[Gestation (days)]])),TRUE,FALSE)</f>
        <v>0</v>
      </c>
      <c r="E7820" s="2" t="str">
        <f>IF(Table1[[#This Row],[Is Data Valid]]=TRUE,IF(Table1[[#This Row],[Fetal Sex (Male, Female or Unknown)]]="Male",Backend!$C$6,IF(Table1[[#This Row],[Fetal Sex (Male, Female or Unknown)]]="Female",Backend!$C$7,IF(Table1[[#This Row],[Fetal Sex (Male, Female or Unknown)]]="Unknown",Backend!$C$8,"Error"))),"")</f>
        <v/>
      </c>
      <c r="F7820" s="8" t="str">
        <f>IF(Table1[[#This Row],[Is Data Valid]]=TRUE,EXP(0.578+0.332*((Table1[[#This Row],[Gestation (days)]]+0.5)/7)-0.00354*((Table1[[#This Row],[Gestation (days)]]+0.5)/7)^2)*Table1[[#This Row],[BW40_3705]],"")</f>
        <v/>
      </c>
      <c r="G7820" s="2" t="str">
        <f>IF(Table1[[#This Row],[Is Data Valid]]=TRUE,((Table1[[#This Row],[Birthweight (grams)]]/Table1[[#This Row],[BW_GA]])-1)/(Backend!$B$4/100*Table1[[#This Row],[BW40_3705]]),"")</f>
        <v/>
      </c>
      <c r="H7820" s="7" t="str">
        <f>IF(Table1[[#This Row],[Is Data Valid]]=TRUE,((Table1[[#This Row],[Birthweight (grams)]]*0.9/Table1[[#This Row],[BW_GA]])-1)/(Backend!$B$4/100*Table1[[#This Row],[BW40_3705]]),"")</f>
        <v/>
      </c>
      <c r="I7820" s="7" t="str">
        <f>IF(Table1[[#This Row],[Is Data Valid]]=TRUE,((Table1[[#This Row],[Birthweight (grams)]]*1.1/Table1[[#This Row],[BW_GA]])-1)/(Backend!$B$4/100*Table1[[#This Row],[BW40_3705]]),"")</f>
        <v/>
      </c>
      <c r="J7820" s="7" t="str">
        <f>IF(Table1[[#This Row],[Is Data Valid]]=TRUE,_xlfn.NORM.S.DIST(Table1[[#This Row],[Birthweight Z-Score]],TRUE)*100,"")</f>
        <v/>
      </c>
      <c r="K7820" s="7" t="str">
        <f>IF(Table1[[#This Row],[Is Data Valid]]=TRUE,_xlfn.NORM.S.DIST(Table1[[#This Row],[Birthweight Z-Score (BW-10%)]],TRUE)*100,"")</f>
        <v/>
      </c>
      <c r="L7820" s="7" t="str">
        <f>IF(Table1[[#This Row],[Is Data Valid]]=TRUE,_xlfn.NORM.S.DIST(Table1[[#This Row],[Birthweight Z-Score (BW+10%)]],TRUE)*100,"")</f>
        <v/>
      </c>
    </row>
    <row r="7821" spans="1:12" x14ac:dyDescent="0.35">
      <c r="A7821" s="3"/>
      <c r="B7821" s="2"/>
      <c r="C7821" s="2"/>
      <c r="D7821" s="2" t="b">
        <f>IF(AND(NOT(ISBLANK(Table1[[#This Row],[Fetal Sex (Male, Female or Unknown)]])),ISNUMBER(Table1[[#This Row],[Birthweight (grams)]]),ISNUMBER(Table1[[#This Row],[Gestation (days)]])),TRUE,FALSE)</f>
        <v>0</v>
      </c>
      <c r="E7821" s="2" t="str">
        <f>IF(Table1[[#This Row],[Is Data Valid]]=TRUE,IF(Table1[[#This Row],[Fetal Sex (Male, Female or Unknown)]]="Male",Backend!$C$6,IF(Table1[[#This Row],[Fetal Sex (Male, Female or Unknown)]]="Female",Backend!$C$7,IF(Table1[[#This Row],[Fetal Sex (Male, Female or Unknown)]]="Unknown",Backend!$C$8,"Error"))),"")</f>
        <v/>
      </c>
      <c r="F7821" s="8" t="str">
        <f>IF(Table1[[#This Row],[Is Data Valid]]=TRUE,EXP(0.578+0.332*((Table1[[#This Row],[Gestation (days)]]+0.5)/7)-0.00354*((Table1[[#This Row],[Gestation (days)]]+0.5)/7)^2)*Table1[[#This Row],[BW40_3705]],"")</f>
        <v/>
      </c>
      <c r="G7821" s="2" t="str">
        <f>IF(Table1[[#This Row],[Is Data Valid]]=TRUE,((Table1[[#This Row],[Birthweight (grams)]]/Table1[[#This Row],[BW_GA]])-1)/(Backend!$B$4/100*Table1[[#This Row],[BW40_3705]]),"")</f>
        <v/>
      </c>
      <c r="H7821" s="7" t="str">
        <f>IF(Table1[[#This Row],[Is Data Valid]]=TRUE,((Table1[[#This Row],[Birthweight (grams)]]*0.9/Table1[[#This Row],[BW_GA]])-1)/(Backend!$B$4/100*Table1[[#This Row],[BW40_3705]]),"")</f>
        <v/>
      </c>
      <c r="I7821" s="7" t="str">
        <f>IF(Table1[[#This Row],[Is Data Valid]]=TRUE,((Table1[[#This Row],[Birthweight (grams)]]*1.1/Table1[[#This Row],[BW_GA]])-1)/(Backend!$B$4/100*Table1[[#This Row],[BW40_3705]]),"")</f>
        <v/>
      </c>
      <c r="J7821" s="7" t="str">
        <f>IF(Table1[[#This Row],[Is Data Valid]]=TRUE,_xlfn.NORM.S.DIST(Table1[[#This Row],[Birthweight Z-Score]],TRUE)*100,"")</f>
        <v/>
      </c>
      <c r="K7821" s="7" t="str">
        <f>IF(Table1[[#This Row],[Is Data Valid]]=TRUE,_xlfn.NORM.S.DIST(Table1[[#This Row],[Birthweight Z-Score (BW-10%)]],TRUE)*100,"")</f>
        <v/>
      </c>
      <c r="L7821" s="7" t="str">
        <f>IF(Table1[[#This Row],[Is Data Valid]]=TRUE,_xlfn.NORM.S.DIST(Table1[[#This Row],[Birthweight Z-Score (BW+10%)]],TRUE)*100,"")</f>
        <v/>
      </c>
    </row>
    <row r="7822" spans="1:12" x14ac:dyDescent="0.35">
      <c r="A7822" s="3"/>
      <c r="B7822" s="2"/>
      <c r="C7822" s="2"/>
      <c r="D7822" s="2" t="b">
        <f>IF(AND(NOT(ISBLANK(Table1[[#This Row],[Fetal Sex (Male, Female or Unknown)]])),ISNUMBER(Table1[[#This Row],[Birthweight (grams)]]),ISNUMBER(Table1[[#This Row],[Gestation (days)]])),TRUE,FALSE)</f>
        <v>0</v>
      </c>
      <c r="E7822" s="2" t="str">
        <f>IF(Table1[[#This Row],[Is Data Valid]]=TRUE,IF(Table1[[#This Row],[Fetal Sex (Male, Female or Unknown)]]="Male",Backend!$C$6,IF(Table1[[#This Row],[Fetal Sex (Male, Female or Unknown)]]="Female",Backend!$C$7,IF(Table1[[#This Row],[Fetal Sex (Male, Female or Unknown)]]="Unknown",Backend!$C$8,"Error"))),"")</f>
        <v/>
      </c>
      <c r="F7822" s="8" t="str">
        <f>IF(Table1[[#This Row],[Is Data Valid]]=TRUE,EXP(0.578+0.332*((Table1[[#This Row],[Gestation (days)]]+0.5)/7)-0.00354*((Table1[[#This Row],[Gestation (days)]]+0.5)/7)^2)*Table1[[#This Row],[BW40_3705]],"")</f>
        <v/>
      </c>
      <c r="G7822" s="2" t="str">
        <f>IF(Table1[[#This Row],[Is Data Valid]]=TRUE,((Table1[[#This Row],[Birthweight (grams)]]/Table1[[#This Row],[BW_GA]])-1)/(Backend!$B$4/100*Table1[[#This Row],[BW40_3705]]),"")</f>
        <v/>
      </c>
      <c r="H7822" s="7" t="str">
        <f>IF(Table1[[#This Row],[Is Data Valid]]=TRUE,((Table1[[#This Row],[Birthweight (grams)]]*0.9/Table1[[#This Row],[BW_GA]])-1)/(Backend!$B$4/100*Table1[[#This Row],[BW40_3705]]),"")</f>
        <v/>
      </c>
      <c r="I7822" s="7" t="str">
        <f>IF(Table1[[#This Row],[Is Data Valid]]=TRUE,((Table1[[#This Row],[Birthweight (grams)]]*1.1/Table1[[#This Row],[BW_GA]])-1)/(Backend!$B$4/100*Table1[[#This Row],[BW40_3705]]),"")</f>
        <v/>
      </c>
      <c r="J7822" s="7" t="str">
        <f>IF(Table1[[#This Row],[Is Data Valid]]=TRUE,_xlfn.NORM.S.DIST(Table1[[#This Row],[Birthweight Z-Score]],TRUE)*100,"")</f>
        <v/>
      </c>
      <c r="K7822" s="7" t="str">
        <f>IF(Table1[[#This Row],[Is Data Valid]]=TRUE,_xlfn.NORM.S.DIST(Table1[[#This Row],[Birthweight Z-Score (BW-10%)]],TRUE)*100,"")</f>
        <v/>
      </c>
      <c r="L7822" s="7" t="str">
        <f>IF(Table1[[#This Row],[Is Data Valid]]=TRUE,_xlfn.NORM.S.DIST(Table1[[#This Row],[Birthweight Z-Score (BW+10%)]],TRUE)*100,"")</f>
        <v/>
      </c>
    </row>
    <row r="7823" spans="1:12" x14ac:dyDescent="0.35">
      <c r="A7823" s="3"/>
      <c r="B7823" s="2"/>
      <c r="C7823" s="2"/>
      <c r="D7823" s="2" t="b">
        <f>IF(AND(NOT(ISBLANK(Table1[[#This Row],[Fetal Sex (Male, Female or Unknown)]])),ISNUMBER(Table1[[#This Row],[Birthweight (grams)]]),ISNUMBER(Table1[[#This Row],[Gestation (days)]])),TRUE,FALSE)</f>
        <v>0</v>
      </c>
      <c r="E7823" s="2" t="str">
        <f>IF(Table1[[#This Row],[Is Data Valid]]=TRUE,IF(Table1[[#This Row],[Fetal Sex (Male, Female or Unknown)]]="Male",Backend!$C$6,IF(Table1[[#This Row],[Fetal Sex (Male, Female or Unknown)]]="Female",Backend!$C$7,IF(Table1[[#This Row],[Fetal Sex (Male, Female or Unknown)]]="Unknown",Backend!$C$8,"Error"))),"")</f>
        <v/>
      </c>
      <c r="F7823" s="8" t="str">
        <f>IF(Table1[[#This Row],[Is Data Valid]]=TRUE,EXP(0.578+0.332*((Table1[[#This Row],[Gestation (days)]]+0.5)/7)-0.00354*((Table1[[#This Row],[Gestation (days)]]+0.5)/7)^2)*Table1[[#This Row],[BW40_3705]],"")</f>
        <v/>
      </c>
      <c r="G7823" s="2" t="str">
        <f>IF(Table1[[#This Row],[Is Data Valid]]=TRUE,((Table1[[#This Row],[Birthweight (grams)]]/Table1[[#This Row],[BW_GA]])-1)/(Backend!$B$4/100*Table1[[#This Row],[BW40_3705]]),"")</f>
        <v/>
      </c>
      <c r="H7823" s="7" t="str">
        <f>IF(Table1[[#This Row],[Is Data Valid]]=TRUE,((Table1[[#This Row],[Birthweight (grams)]]*0.9/Table1[[#This Row],[BW_GA]])-1)/(Backend!$B$4/100*Table1[[#This Row],[BW40_3705]]),"")</f>
        <v/>
      </c>
      <c r="I7823" s="7" t="str">
        <f>IF(Table1[[#This Row],[Is Data Valid]]=TRUE,((Table1[[#This Row],[Birthweight (grams)]]*1.1/Table1[[#This Row],[BW_GA]])-1)/(Backend!$B$4/100*Table1[[#This Row],[BW40_3705]]),"")</f>
        <v/>
      </c>
      <c r="J7823" s="7" t="str">
        <f>IF(Table1[[#This Row],[Is Data Valid]]=TRUE,_xlfn.NORM.S.DIST(Table1[[#This Row],[Birthweight Z-Score]],TRUE)*100,"")</f>
        <v/>
      </c>
      <c r="K7823" s="7" t="str">
        <f>IF(Table1[[#This Row],[Is Data Valid]]=TRUE,_xlfn.NORM.S.DIST(Table1[[#This Row],[Birthweight Z-Score (BW-10%)]],TRUE)*100,"")</f>
        <v/>
      </c>
      <c r="L7823" s="7" t="str">
        <f>IF(Table1[[#This Row],[Is Data Valid]]=TRUE,_xlfn.NORM.S.DIST(Table1[[#This Row],[Birthweight Z-Score (BW+10%)]],TRUE)*100,"")</f>
        <v/>
      </c>
    </row>
    <row r="7824" spans="1:12" x14ac:dyDescent="0.35">
      <c r="A7824" s="3"/>
      <c r="B7824" s="2"/>
      <c r="C7824" s="2"/>
      <c r="D7824" s="2" t="b">
        <f>IF(AND(NOT(ISBLANK(Table1[[#This Row],[Fetal Sex (Male, Female or Unknown)]])),ISNUMBER(Table1[[#This Row],[Birthweight (grams)]]),ISNUMBER(Table1[[#This Row],[Gestation (days)]])),TRUE,FALSE)</f>
        <v>0</v>
      </c>
      <c r="E7824" s="2" t="str">
        <f>IF(Table1[[#This Row],[Is Data Valid]]=TRUE,IF(Table1[[#This Row],[Fetal Sex (Male, Female or Unknown)]]="Male",Backend!$C$6,IF(Table1[[#This Row],[Fetal Sex (Male, Female or Unknown)]]="Female",Backend!$C$7,IF(Table1[[#This Row],[Fetal Sex (Male, Female or Unknown)]]="Unknown",Backend!$C$8,"Error"))),"")</f>
        <v/>
      </c>
      <c r="F7824" s="8" t="str">
        <f>IF(Table1[[#This Row],[Is Data Valid]]=TRUE,EXP(0.578+0.332*((Table1[[#This Row],[Gestation (days)]]+0.5)/7)-0.00354*((Table1[[#This Row],[Gestation (days)]]+0.5)/7)^2)*Table1[[#This Row],[BW40_3705]],"")</f>
        <v/>
      </c>
      <c r="G7824" s="2" t="str">
        <f>IF(Table1[[#This Row],[Is Data Valid]]=TRUE,((Table1[[#This Row],[Birthweight (grams)]]/Table1[[#This Row],[BW_GA]])-1)/(Backend!$B$4/100*Table1[[#This Row],[BW40_3705]]),"")</f>
        <v/>
      </c>
      <c r="H7824" s="7" t="str">
        <f>IF(Table1[[#This Row],[Is Data Valid]]=TRUE,((Table1[[#This Row],[Birthweight (grams)]]*0.9/Table1[[#This Row],[BW_GA]])-1)/(Backend!$B$4/100*Table1[[#This Row],[BW40_3705]]),"")</f>
        <v/>
      </c>
      <c r="I7824" s="7" t="str">
        <f>IF(Table1[[#This Row],[Is Data Valid]]=TRUE,((Table1[[#This Row],[Birthweight (grams)]]*1.1/Table1[[#This Row],[BW_GA]])-1)/(Backend!$B$4/100*Table1[[#This Row],[BW40_3705]]),"")</f>
        <v/>
      </c>
      <c r="J7824" s="7" t="str">
        <f>IF(Table1[[#This Row],[Is Data Valid]]=TRUE,_xlfn.NORM.S.DIST(Table1[[#This Row],[Birthweight Z-Score]],TRUE)*100,"")</f>
        <v/>
      </c>
      <c r="K7824" s="7" t="str">
        <f>IF(Table1[[#This Row],[Is Data Valid]]=TRUE,_xlfn.NORM.S.DIST(Table1[[#This Row],[Birthweight Z-Score (BW-10%)]],TRUE)*100,"")</f>
        <v/>
      </c>
      <c r="L7824" s="7" t="str">
        <f>IF(Table1[[#This Row],[Is Data Valid]]=TRUE,_xlfn.NORM.S.DIST(Table1[[#This Row],[Birthweight Z-Score (BW+10%)]],TRUE)*100,"")</f>
        <v/>
      </c>
    </row>
    <row r="7825" spans="1:12" x14ac:dyDescent="0.35">
      <c r="A7825" s="3"/>
      <c r="B7825" s="2"/>
      <c r="C7825" s="2"/>
      <c r="D7825" s="2" t="b">
        <f>IF(AND(NOT(ISBLANK(Table1[[#This Row],[Fetal Sex (Male, Female or Unknown)]])),ISNUMBER(Table1[[#This Row],[Birthweight (grams)]]),ISNUMBER(Table1[[#This Row],[Gestation (days)]])),TRUE,FALSE)</f>
        <v>0</v>
      </c>
      <c r="E7825" s="2" t="str">
        <f>IF(Table1[[#This Row],[Is Data Valid]]=TRUE,IF(Table1[[#This Row],[Fetal Sex (Male, Female or Unknown)]]="Male",Backend!$C$6,IF(Table1[[#This Row],[Fetal Sex (Male, Female or Unknown)]]="Female",Backend!$C$7,IF(Table1[[#This Row],[Fetal Sex (Male, Female or Unknown)]]="Unknown",Backend!$C$8,"Error"))),"")</f>
        <v/>
      </c>
      <c r="F7825" s="8" t="str">
        <f>IF(Table1[[#This Row],[Is Data Valid]]=TRUE,EXP(0.578+0.332*((Table1[[#This Row],[Gestation (days)]]+0.5)/7)-0.00354*((Table1[[#This Row],[Gestation (days)]]+0.5)/7)^2)*Table1[[#This Row],[BW40_3705]],"")</f>
        <v/>
      </c>
      <c r="G7825" s="2" t="str">
        <f>IF(Table1[[#This Row],[Is Data Valid]]=TRUE,((Table1[[#This Row],[Birthweight (grams)]]/Table1[[#This Row],[BW_GA]])-1)/(Backend!$B$4/100*Table1[[#This Row],[BW40_3705]]),"")</f>
        <v/>
      </c>
      <c r="H7825" s="7" t="str">
        <f>IF(Table1[[#This Row],[Is Data Valid]]=TRUE,((Table1[[#This Row],[Birthweight (grams)]]*0.9/Table1[[#This Row],[BW_GA]])-1)/(Backend!$B$4/100*Table1[[#This Row],[BW40_3705]]),"")</f>
        <v/>
      </c>
      <c r="I7825" s="7" t="str">
        <f>IF(Table1[[#This Row],[Is Data Valid]]=TRUE,((Table1[[#This Row],[Birthweight (grams)]]*1.1/Table1[[#This Row],[BW_GA]])-1)/(Backend!$B$4/100*Table1[[#This Row],[BW40_3705]]),"")</f>
        <v/>
      </c>
      <c r="J7825" s="7" t="str">
        <f>IF(Table1[[#This Row],[Is Data Valid]]=TRUE,_xlfn.NORM.S.DIST(Table1[[#This Row],[Birthweight Z-Score]],TRUE)*100,"")</f>
        <v/>
      </c>
      <c r="K7825" s="7" t="str">
        <f>IF(Table1[[#This Row],[Is Data Valid]]=TRUE,_xlfn.NORM.S.DIST(Table1[[#This Row],[Birthweight Z-Score (BW-10%)]],TRUE)*100,"")</f>
        <v/>
      </c>
      <c r="L7825" s="7" t="str">
        <f>IF(Table1[[#This Row],[Is Data Valid]]=TRUE,_xlfn.NORM.S.DIST(Table1[[#This Row],[Birthweight Z-Score (BW+10%)]],TRUE)*100,"")</f>
        <v/>
      </c>
    </row>
    <row r="7826" spans="1:12" x14ac:dyDescent="0.35">
      <c r="A7826" s="3"/>
      <c r="B7826" s="2"/>
      <c r="C7826" s="2"/>
      <c r="D7826" s="2" t="b">
        <f>IF(AND(NOT(ISBLANK(Table1[[#This Row],[Fetal Sex (Male, Female or Unknown)]])),ISNUMBER(Table1[[#This Row],[Birthweight (grams)]]),ISNUMBER(Table1[[#This Row],[Gestation (days)]])),TRUE,FALSE)</f>
        <v>0</v>
      </c>
      <c r="E7826" s="2" t="str">
        <f>IF(Table1[[#This Row],[Is Data Valid]]=TRUE,IF(Table1[[#This Row],[Fetal Sex (Male, Female or Unknown)]]="Male",Backend!$C$6,IF(Table1[[#This Row],[Fetal Sex (Male, Female or Unknown)]]="Female",Backend!$C$7,IF(Table1[[#This Row],[Fetal Sex (Male, Female or Unknown)]]="Unknown",Backend!$C$8,"Error"))),"")</f>
        <v/>
      </c>
      <c r="F7826" s="8" t="str">
        <f>IF(Table1[[#This Row],[Is Data Valid]]=TRUE,EXP(0.578+0.332*((Table1[[#This Row],[Gestation (days)]]+0.5)/7)-0.00354*((Table1[[#This Row],[Gestation (days)]]+0.5)/7)^2)*Table1[[#This Row],[BW40_3705]],"")</f>
        <v/>
      </c>
      <c r="G7826" s="2" t="str">
        <f>IF(Table1[[#This Row],[Is Data Valid]]=TRUE,((Table1[[#This Row],[Birthweight (grams)]]/Table1[[#This Row],[BW_GA]])-1)/(Backend!$B$4/100*Table1[[#This Row],[BW40_3705]]),"")</f>
        <v/>
      </c>
      <c r="H7826" s="7" t="str">
        <f>IF(Table1[[#This Row],[Is Data Valid]]=TRUE,((Table1[[#This Row],[Birthweight (grams)]]*0.9/Table1[[#This Row],[BW_GA]])-1)/(Backend!$B$4/100*Table1[[#This Row],[BW40_3705]]),"")</f>
        <v/>
      </c>
      <c r="I7826" s="7" t="str">
        <f>IF(Table1[[#This Row],[Is Data Valid]]=TRUE,((Table1[[#This Row],[Birthweight (grams)]]*1.1/Table1[[#This Row],[BW_GA]])-1)/(Backend!$B$4/100*Table1[[#This Row],[BW40_3705]]),"")</f>
        <v/>
      </c>
      <c r="J7826" s="7" t="str">
        <f>IF(Table1[[#This Row],[Is Data Valid]]=TRUE,_xlfn.NORM.S.DIST(Table1[[#This Row],[Birthweight Z-Score]],TRUE)*100,"")</f>
        <v/>
      </c>
      <c r="K7826" s="7" t="str">
        <f>IF(Table1[[#This Row],[Is Data Valid]]=TRUE,_xlfn.NORM.S.DIST(Table1[[#This Row],[Birthweight Z-Score (BW-10%)]],TRUE)*100,"")</f>
        <v/>
      </c>
      <c r="L7826" s="7" t="str">
        <f>IF(Table1[[#This Row],[Is Data Valid]]=TRUE,_xlfn.NORM.S.DIST(Table1[[#This Row],[Birthweight Z-Score (BW+10%)]],TRUE)*100,"")</f>
        <v/>
      </c>
    </row>
    <row r="7827" spans="1:12" x14ac:dyDescent="0.35">
      <c r="A7827" s="3"/>
      <c r="B7827" s="2"/>
      <c r="C7827" s="2"/>
      <c r="D7827" s="2" t="b">
        <f>IF(AND(NOT(ISBLANK(Table1[[#This Row],[Fetal Sex (Male, Female or Unknown)]])),ISNUMBER(Table1[[#This Row],[Birthweight (grams)]]),ISNUMBER(Table1[[#This Row],[Gestation (days)]])),TRUE,FALSE)</f>
        <v>0</v>
      </c>
      <c r="E7827" s="2" t="str">
        <f>IF(Table1[[#This Row],[Is Data Valid]]=TRUE,IF(Table1[[#This Row],[Fetal Sex (Male, Female or Unknown)]]="Male",Backend!$C$6,IF(Table1[[#This Row],[Fetal Sex (Male, Female or Unknown)]]="Female",Backend!$C$7,IF(Table1[[#This Row],[Fetal Sex (Male, Female or Unknown)]]="Unknown",Backend!$C$8,"Error"))),"")</f>
        <v/>
      </c>
      <c r="F7827" s="8" t="str">
        <f>IF(Table1[[#This Row],[Is Data Valid]]=TRUE,EXP(0.578+0.332*((Table1[[#This Row],[Gestation (days)]]+0.5)/7)-0.00354*((Table1[[#This Row],[Gestation (days)]]+0.5)/7)^2)*Table1[[#This Row],[BW40_3705]],"")</f>
        <v/>
      </c>
      <c r="G7827" s="2" t="str">
        <f>IF(Table1[[#This Row],[Is Data Valid]]=TRUE,((Table1[[#This Row],[Birthweight (grams)]]/Table1[[#This Row],[BW_GA]])-1)/(Backend!$B$4/100*Table1[[#This Row],[BW40_3705]]),"")</f>
        <v/>
      </c>
      <c r="H7827" s="7" t="str">
        <f>IF(Table1[[#This Row],[Is Data Valid]]=TRUE,((Table1[[#This Row],[Birthweight (grams)]]*0.9/Table1[[#This Row],[BW_GA]])-1)/(Backend!$B$4/100*Table1[[#This Row],[BW40_3705]]),"")</f>
        <v/>
      </c>
      <c r="I7827" s="7" t="str">
        <f>IF(Table1[[#This Row],[Is Data Valid]]=TRUE,((Table1[[#This Row],[Birthweight (grams)]]*1.1/Table1[[#This Row],[BW_GA]])-1)/(Backend!$B$4/100*Table1[[#This Row],[BW40_3705]]),"")</f>
        <v/>
      </c>
      <c r="J7827" s="7" t="str">
        <f>IF(Table1[[#This Row],[Is Data Valid]]=TRUE,_xlfn.NORM.S.DIST(Table1[[#This Row],[Birthweight Z-Score]],TRUE)*100,"")</f>
        <v/>
      </c>
      <c r="K7827" s="7" t="str">
        <f>IF(Table1[[#This Row],[Is Data Valid]]=TRUE,_xlfn.NORM.S.DIST(Table1[[#This Row],[Birthweight Z-Score (BW-10%)]],TRUE)*100,"")</f>
        <v/>
      </c>
      <c r="L7827" s="7" t="str">
        <f>IF(Table1[[#This Row],[Is Data Valid]]=TRUE,_xlfn.NORM.S.DIST(Table1[[#This Row],[Birthweight Z-Score (BW+10%)]],TRUE)*100,"")</f>
        <v/>
      </c>
    </row>
    <row r="7828" spans="1:12" x14ac:dyDescent="0.35">
      <c r="A7828" s="3"/>
      <c r="B7828" s="2"/>
      <c r="C7828" s="2"/>
      <c r="D7828" s="2" t="b">
        <f>IF(AND(NOT(ISBLANK(Table1[[#This Row],[Fetal Sex (Male, Female or Unknown)]])),ISNUMBER(Table1[[#This Row],[Birthweight (grams)]]),ISNUMBER(Table1[[#This Row],[Gestation (days)]])),TRUE,FALSE)</f>
        <v>0</v>
      </c>
      <c r="E7828" s="2" t="str">
        <f>IF(Table1[[#This Row],[Is Data Valid]]=TRUE,IF(Table1[[#This Row],[Fetal Sex (Male, Female or Unknown)]]="Male",Backend!$C$6,IF(Table1[[#This Row],[Fetal Sex (Male, Female or Unknown)]]="Female",Backend!$C$7,IF(Table1[[#This Row],[Fetal Sex (Male, Female or Unknown)]]="Unknown",Backend!$C$8,"Error"))),"")</f>
        <v/>
      </c>
      <c r="F7828" s="8" t="str">
        <f>IF(Table1[[#This Row],[Is Data Valid]]=TRUE,EXP(0.578+0.332*((Table1[[#This Row],[Gestation (days)]]+0.5)/7)-0.00354*((Table1[[#This Row],[Gestation (days)]]+0.5)/7)^2)*Table1[[#This Row],[BW40_3705]],"")</f>
        <v/>
      </c>
      <c r="G7828" s="2" t="str">
        <f>IF(Table1[[#This Row],[Is Data Valid]]=TRUE,((Table1[[#This Row],[Birthweight (grams)]]/Table1[[#This Row],[BW_GA]])-1)/(Backend!$B$4/100*Table1[[#This Row],[BW40_3705]]),"")</f>
        <v/>
      </c>
      <c r="H7828" s="7" t="str">
        <f>IF(Table1[[#This Row],[Is Data Valid]]=TRUE,((Table1[[#This Row],[Birthweight (grams)]]*0.9/Table1[[#This Row],[BW_GA]])-1)/(Backend!$B$4/100*Table1[[#This Row],[BW40_3705]]),"")</f>
        <v/>
      </c>
      <c r="I7828" s="7" t="str">
        <f>IF(Table1[[#This Row],[Is Data Valid]]=TRUE,((Table1[[#This Row],[Birthweight (grams)]]*1.1/Table1[[#This Row],[BW_GA]])-1)/(Backend!$B$4/100*Table1[[#This Row],[BW40_3705]]),"")</f>
        <v/>
      </c>
      <c r="J7828" s="7" t="str">
        <f>IF(Table1[[#This Row],[Is Data Valid]]=TRUE,_xlfn.NORM.S.DIST(Table1[[#This Row],[Birthweight Z-Score]],TRUE)*100,"")</f>
        <v/>
      </c>
      <c r="K7828" s="7" t="str">
        <f>IF(Table1[[#This Row],[Is Data Valid]]=TRUE,_xlfn.NORM.S.DIST(Table1[[#This Row],[Birthweight Z-Score (BW-10%)]],TRUE)*100,"")</f>
        <v/>
      </c>
      <c r="L7828" s="7" t="str">
        <f>IF(Table1[[#This Row],[Is Data Valid]]=TRUE,_xlfn.NORM.S.DIST(Table1[[#This Row],[Birthweight Z-Score (BW+10%)]],TRUE)*100,"")</f>
        <v/>
      </c>
    </row>
    <row r="7829" spans="1:12" x14ac:dyDescent="0.35">
      <c r="A7829" s="3"/>
      <c r="B7829" s="2"/>
      <c r="C7829" s="2"/>
      <c r="D7829" s="2" t="b">
        <f>IF(AND(NOT(ISBLANK(Table1[[#This Row],[Fetal Sex (Male, Female or Unknown)]])),ISNUMBER(Table1[[#This Row],[Birthweight (grams)]]),ISNUMBER(Table1[[#This Row],[Gestation (days)]])),TRUE,FALSE)</f>
        <v>0</v>
      </c>
      <c r="E7829" s="2" t="str">
        <f>IF(Table1[[#This Row],[Is Data Valid]]=TRUE,IF(Table1[[#This Row],[Fetal Sex (Male, Female or Unknown)]]="Male",Backend!$C$6,IF(Table1[[#This Row],[Fetal Sex (Male, Female or Unknown)]]="Female",Backend!$C$7,IF(Table1[[#This Row],[Fetal Sex (Male, Female or Unknown)]]="Unknown",Backend!$C$8,"Error"))),"")</f>
        <v/>
      </c>
      <c r="F7829" s="8" t="str">
        <f>IF(Table1[[#This Row],[Is Data Valid]]=TRUE,EXP(0.578+0.332*((Table1[[#This Row],[Gestation (days)]]+0.5)/7)-0.00354*((Table1[[#This Row],[Gestation (days)]]+0.5)/7)^2)*Table1[[#This Row],[BW40_3705]],"")</f>
        <v/>
      </c>
      <c r="G7829" s="2" t="str">
        <f>IF(Table1[[#This Row],[Is Data Valid]]=TRUE,((Table1[[#This Row],[Birthweight (grams)]]/Table1[[#This Row],[BW_GA]])-1)/(Backend!$B$4/100*Table1[[#This Row],[BW40_3705]]),"")</f>
        <v/>
      </c>
      <c r="H7829" s="7" t="str">
        <f>IF(Table1[[#This Row],[Is Data Valid]]=TRUE,((Table1[[#This Row],[Birthweight (grams)]]*0.9/Table1[[#This Row],[BW_GA]])-1)/(Backend!$B$4/100*Table1[[#This Row],[BW40_3705]]),"")</f>
        <v/>
      </c>
      <c r="I7829" s="7" t="str">
        <f>IF(Table1[[#This Row],[Is Data Valid]]=TRUE,((Table1[[#This Row],[Birthweight (grams)]]*1.1/Table1[[#This Row],[BW_GA]])-1)/(Backend!$B$4/100*Table1[[#This Row],[BW40_3705]]),"")</f>
        <v/>
      </c>
      <c r="J7829" s="7" t="str">
        <f>IF(Table1[[#This Row],[Is Data Valid]]=TRUE,_xlfn.NORM.S.DIST(Table1[[#This Row],[Birthweight Z-Score]],TRUE)*100,"")</f>
        <v/>
      </c>
      <c r="K7829" s="7" t="str">
        <f>IF(Table1[[#This Row],[Is Data Valid]]=TRUE,_xlfn.NORM.S.DIST(Table1[[#This Row],[Birthweight Z-Score (BW-10%)]],TRUE)*100,"")</f>
        <v/>
      </c>
      <c r="L7829" s="7" t="str">
        <f>IF(Table1[[#This Row],[Is Data Valid]]=TRUE,_xlfn.NORM.S.DIST(Table1[[#This Row],[Birthweight Z-Score (BW+10%)]],TRUE)*100,"")</f>
        <v/>
      </c>
    </row>
    <row r="7830" spans="1:12" x14ac:dyDescent="0.35">
      <c r="A7830" s="3"/>
      <c r="B7830" s="2"/>
      <c r="C7830" s="2"/>
      <c r="D7830" s="2" t="b">
        <f>IF(AND(NOT(ISBLANK(Table1[[#This Row],[Fetal Sex (Male, Female or Unknown)]])),ISNUMBER(Table1[[#This Row],[Birthweight (grams)]]),ISNUMBER(Table1[[#This Row],[Gestation (days)]])),TRUE,FALSE)</f>
        <v>0</v>
      </c>
      <c r="E7830" s="2" t="str">
        <f>IF(Table1[[#This Row],[Is Data Valid]]=TRUE,IF(Table1[[#This Row],[Fetal Sex (Male, Female or Unknown)]]="Male",Backend!$C$6,IF(Table1[[#This Row],[Fetal Sex (Male, Female or Unknown)]]="Female",Backend!$C$7,IF(Table1[[#This Row],[Fetal Sex (Male, Female or Unknown)]]="Unknown",Backend!$C$8,"Error"))),"")</f>
        <v/>
      </c>
      <c r="F7830" s="8" t="str">
        <f>IF(Table1[[#This Row],[Is Data Valid]]=TRUE,EXP(0.578+0.332*((Table1[[#This Row],[Gestation (days)]]+0.5)/7)-0.00354*((Table1[[#This Row],[Gestation (days)]]+0.5)/7)^2)*Table1[[#This Row],[BW40_3705]],"")</f>
        <v/>
      </c>
      <c r="G7830" s="2" t="str">
        <f>IF(Table1[[#This Row],[Is Data Valid]]=TRUE,((Table1[[#This Row],[Birthweight (grams)]]/Table1[[#This Row],[BW_GA]])-1)/(Backend!$B$4/100*Table1[[#This Row],[BW40_3705]]),"")</f>
        <v/>
      </c>
      <c r="H7830" s="7" t="str">
        <f>IF(Table1[[#This Row],[Is Data Valid]]=TRUE,((Table1[[#This Row],[Birthweight (grams)]]*0.9/Table1[[#This Row],[BW_GA]])-1)/(Backend!$B$4/100*Table1[[#This Row],[BW40_3705]]),"")</f>
        <v/>
      </c>
      <c r="I7830" s="7" t="str">
        <f>IF(Table1[[#This Row],[Is Data Valid]]=TRUE,((Table1[[#This Row],[Birthweight (grams)]]*1.1/Table1[[#This Row],[BW_GA]])-1)/(Backend!$B$4/100*Table1[[#This Row],[BW40_3705]]),"")</f>
        <v/>
      </c>
      <c r="J7830" s="7" t="str">
        <f>IF(Table1[[#This Row],[Is Data Valid]]=TRUE,_xlfn.NORM.S.DIST(Table1[[#This Row],[Birthweight Z-Score]],TRUE)*100,"")</f>
        <v/>
      </c>
      <c r="K7830" s="7" t="str">
        <f>IF(Table1[[#This Row],[Is Data Valid]]=TRUE,_xlfn.NORM.S.DIST(Table1[[#This Row],[Birthweight Z-Score (BW-10%)]],TRUE)*100,"")</f>
        <v/>
      </c>
      <c r="L7830" s="7" t="str">
        <f>IF(Table1[[#This Row],[Is Data Valid]]=TRUE,_xlfn.NORM.S.DIST(Table1[[#This Row],[Birthweight Z-Score (BW+10%)]],TRUE)*100,"")</f>
        <v/>
      </c>
    </row>
    <row r="7831" spans="1:12" x14ac:dyDescent="0.35">
      <c r="A7831" s="3"/>
      <c r="B7831" s="2"/>
      <c r="C7831" s="2"/>
      <c r="D7831" s="2" t="b">
        <f>IF(AND(NOT(ISBLANK(Table1[[#This Row],[Fetal Sex (Male, Female or Unknown)]])),ISNUMBER(Table1[[#This Row],[Birthweight (grams)]]),ISNUMBER(Table1[[#This Row],[Gestation (days)]])),TRUE,FALSE)</f>
        <v>0</v>
      </c>
      <c r="E7831" s="2" t="str">
        <f>IF(Table1[[#This Row],[Is Data Valid]]=TRUE,IF(Table1[[#This Row],[Fetal Sex (Male, Female or Unknown)]]="Male",Backend!$C$6,IF(Table1[[#This Row],[Fetal Sex (Male, Female or Unknown)]]="Female",Backend!$C$7,IF(Table1[[#This Row],[Fetal Sex (Male, Female or Unknown)]]="Unknown",Backend!$C$8,"Error"))),"")</f>
        <v/>
      </c>
      <c r="F7831" s="8" t="str">
        <f>IF(Table1[[#This Row],[Is Data Valid]]=TRUE,EXP(0.578+0.332*((Table1[[#This Row],[Gestation (days)]]+0.5)/7)-0.00354*((Table1[[#This Row],[Gestation (days)]]+0.5)/7)^2)*Table1[[#This Row],[BW40_3705]],"")</f>
        <v/>
      </c>
      <c r="G7831" s="2" t="str">
        <f>IF(Table1[[#This Row],[Is Data Valid]]=TRUE,((Table1[[#This Row],[Birthweight (grams)]]/Table1[[#This Row],[BW_GA]])-1)/(Backend!$B$4/100*Table1[[#This Row],[BW40_3705]]),"")</f>
        <v/>
      </c>
      <c r="H7831" s="7" t="str">
        <f>IF(Table1[[#This Row],[Is Data Valid]]=TRUE,((Table1[[#This Row],[Birthweight (grams)]]*0.9/Table1[[#This Row],[BW_GA]])-1)/(Backend!$B$4/100*Table1[[#This Row],[BW40_3705]]),"")</f>
        <v/>
      </c>
      <c r="I7831" s="7" t="str">
        <f>IF(Table1[[#This Row],[Is Data Valid]]=TRUE,((Table1[[#This Row],[Birthweight (grams)]]*1.1/Table1[[#This Row],[BW_GA]])-1)/(Backend!$B$4/100*Table1[[#This Row],[BW40_3705]]),"")</f>
        <v/>
      </c>
      <c r="J7831" s="7" t="str">
        <f>IF(Table1[[#This Row],[Is Data Valid]]=TRUE,_xlfn.NORM.S.DIST(Table1[[#This Row],[Birthweight Z-Score]],TRUE)*100,"")</f>
        <v/>
      </c>
      <c r="K7831" s="7" t="str">
        <f>IF(Table1[[#This Row],[Is Data Valid]]=TRUE,_xlfn.NORM.S.DIST(Table1[[#This Row],[Birthweight Z-Score (BW-10%)]],TRUE)*100,"")</f>
        <v/>
      </c>
      <c r="L7831" s="7" t="str">
        <f>IF(Table1[[#This Row],[Is Data Valid]]=TRUE,_xlfn.NORM.S.DIST(Table1[[#This Row],[Birthweight Z-Score (BW+10%)]],TRUE)*100,"")</f>
        <v/>
      </c>
    </row>
    <row r="7832" spans="1:12" x14ac:dyDescent="0.35">
      <c r="A7832" s="3"/>
      <c r="B7832" s="2"/>
      <c r="C7832" s="2"/>
      <c r="D7832" s="2" t="b">
        <f>IF(AND(NOT(ISBLANK(Table1[[#This Row],[Fetal Sex (Male, Female or Unknown)]])),ISNUMBER(Table1[[#This Row],[Birthweight (grams)]]),ISNUMBER(Table1[[#This Row],[Gestation (days)]])),TRUE,FALSE)</f>
        <v>0</v>
      </c>
      <c r="E7832" s="2" t="str">
        <f>IF(Table1[[#This Row],[Is Data Valid]]=TRUE,IF(Table1[[#This Row],[Fetal Sex (Male, Female or Unknown)]]="Male",Backend!$C$6,IF(Table1[[#This Row],[Fetal Sex (Male, Female or Unknown)]]="Female",Backend!$C$7,IF(Table1[[#This Row],[Fetal Sex (Male, Female or Unknown)]]="Unknown",Backend!$C$8,"Error"))),"")</f>
        <v/>
      </c>
      <c r="F7832" s="8" t="str">
        <f>IF(Table1[[#This Row],[Is Data Valid]]=TRUE,EXP(0.578+0.332*((Table1[[#This Row],[Gestation (days)]]+0.5)/7)-0.00354*((Table1[[#This Row],[Gestation (days)]]+0.5)/7)^2)*Table1[[#This Row],[BW40_3705]],"")</f>
        <v/>
      </c>
      <c r="G7832" s="2" t="str">
        <f>IF(Table1[[#This Row],[Is Data Valid]]=TRUE,((Table1[[#This Row],[Birthweight (grams)]]/Table1[[#This Row],[BW_GA]])-1)/(Backend!$B$4/100*Table1[[#This Row],[BW40_3705]]),"")</f>
        <v/>
      </c>
      <c r="H7832" s="7" t="str">
        <f>IF(Table1[[#This Row],[Is Data Valid]]=TRUE,((Table1[[#This Row],[Birthweight (grams)]]*0.9/Table1[[#This Row],[BW_GA]])-1)/(Backend!$B$4/100*Table1[[#This Row],[BW40_3705]]),"")</f>
        <v/>
      </c>
      <c r="I7832" s="7" t="str">
        <f>IF(Table1[[#This Row],[Is Data Valid]]=TRUE,((Table1[[#This Row],[Birthweight (grams)]]*1.1/Table1[[#This Row],[BW_GA]])-1)/(Backend!$B$4/100*Table1[[#This Row],[BW40_3705]]),"")</f>
        <v/>
      </c>
      <c r="J7832" s="7" t="str">
        <f>IF(Table1[[#This Row],[Is Data Valid]]=TRUE,_xlfn.NORM.S.DIST(Table1[[#This Row],[Birthweight Z-Score]],TRUE)*100,"")</f>
        <v/>
      </c>
      <c r="K7832" s="7" t="str">
        <f>IF(Table1[[#This Row],[Is Data Valid]]=TRUE,_xlfn.NORM.S.DIST(Table1[[#This Row],[Birthweight Z-Score (BW-10%)]],TRUE)*100,"")</f>
        <v/>
      </c>
      <c r="L7832" s="7" t="str">
        <f>IF(Table1[[#This Row],[Is Data Valid]]=TRUE,_xlfn.NORM.S.DIST(Table1[[#This Row],[Birthweight Z-Score (BW+10%)]],TRUE)*100,"")</f>
        <v/>
      </c>
    </row>
    <row r="7833" spans="1:12" x14ac:dyDescent="0.35">
      <c r="A7833" s="3"/>
      <c r="B7833" s="2"/>
      <c r="C7833" s="2"/>
      <c r="D7833" s="2" t="b">
        <f>IF(AND(NOT(ISBLANK(Table1[[#This Row],[Fetal Sex (Male, Female or Unknown)]])),ISNUMBER(Table1[[#This Row],[Birthweight (grams)]]),ISNUMBER(Table1[[#This Row],[Gestation (days)]])),TRUE,FALSE)</f>
        <v>0</v>
      </c>
      <c r="E7833" s="2" t="str">
        <f>IF(Table1[[#This Row],[Is Data Valid]]=TRUE,IF(Table1[[#This Row],[Fetal Sex (Male, Female or Unknown)]]="Male",Backend!$C$6,IF(Table1[[#This Row],[Fetal Sex (Male, Female or Unknown)]]="Female",Backend!$C$7,IF(Table1[[#This Row],[Fetal Sex (Male, Female or Unknown)]]="Unknown",Backend!$C$8,"Error"))),"")</f>
        <v/>
      </c>
      <c r="F7833" s="8" t="str">
        <f>IF(Table1[[#This Row],[Is Data Valid]]=TRUE,EXP(0.578+0.332*((Table1[[#This Row],[Gestation (days)]]+0.5)/7)-0.00354*((Table1[[#This Row],[Gestation (days)]]+0.5)/7)^2)*Table1[[#This Row],[BW40_3705]],"")</f>
        <v/>
      </c>
      <c r="G7833" s="2" t="str">
        <f>IF(Table1[[#This Row],[Is Data Valid]]=TRUE,((Table1[[#This Row],[Birthweight (grams)]]/Table1[[#This Row],[BW_GA]])-1)/(Backend!$B$4/100*Table1[[#This Row],[BW40_3705]]),"")</f>
        <v/>
      </c>
      <c r="H7833" s="7" t="str">
        <f>IF(Table1[[#This Row],[Is Data Valid]]=TRUE,((Table1[[#This Row],[Birthweight (grams)]]*0.9/Table1[[#This Row],[BW_GA]])-1)/(Backend!$B$4/100*Table1[[#This Row],[BW40_3705]]),"")</f>
        <v/>
      </c>
      <c r="I7833" s="7" t="str">
        <f>IF(Table1[[#This Row],[Is Data Valid]]=TRUE,((Table1[[#This Row],[Birthweight (grams)]]*1.1/Table1[[#This Row],[BW_GA]])-1)/(Backend!$B$4/100*Table1[[#This Row],[BW40_3705]]),"")</f>
        <v/>
      </c>
      <c r="J7833" s="7" t="str">
        <f>IF(Table1[[#This Row],[Is Data Valid]]=TRUE,_xlfn.NORM.S.DIST(Table1[[#This Row],[Birthweight Z-Score]],TRUE)*100,"")</f>
        <v/>
      </c>
      <c r="K7833" s="7" t="str">
        <f>IF(Table1[[#This Row],[Is Data Valid]]=TRUE,_xlfn.NORM.S.DIST(Table1[[#This Row],[Birthweight Z-Score (BW-10%)]],TRUE)*100,"")</f>
        <v/>
      </c>
      <c r="L7833" s="7" t="str">
        <f>IF(Table1[[#This Row],[Is Data Valid]]=TRUE,_xlfn.NORM.S.DIST(Table1[[#This Row],[Birthweight Z-Score (BW+10%)]],TRUE)*100,"")</f>
        <v/>
      </c>
    </row>
    <row r="7834" spans="1:12" x14ac:dyDescent="0.35">
      <c r="A7834" s="3"/>
      <c r="B7834" s="2"/>
      <c r="C7834" s="2"/>
      <c r="D7834" s="2" t="b">
        <f>IF(AND(NOT(ISBLANK(Table1[[#This Row],[Fetal Sex (Male, Female or Unknown)]])),ISNUMBER(Table1[[#This Row],[Birthweight (grams)]]),ISNUMBER(Table1[[#This Row],[Gestation (days)]])),TRUE,FALSE)</f>
        <v>0</v>
      </c>
      <c r="E7834" s="2" t="str">
        <f>IF(Table1[[#This Row],[Is Data Valid]]=TRUE,IF(Table1[[#This Row],[Fetal Sex (Male, Female or Unknown)]]="Male",Backend!$C$6,IF(Table1[[#This Row],[Fetal Sex (Male, Female or Unknown)]]="Female",Backend!$C$7,IF(Table1[[#This Row],[Fetal Sex (Male, Female or Unknown)]]="Unknown",Backend!$C$8,"Error"))),"")</f>
        <v/>
      </c>
      <c r="F7834" s="8" t="str">
        <f>IF(Table1[[#This Row],[Is Data Valid]]=TRUE,EXP(0.578+0.332*((Table1[[#This Row],[Gestation (days)]]+0.5)/7)-0.00354*((Table1[[#This Row],[Gestation (days)]]+0.5)/7)^2)*Table1[[#This Row],[BW40_3705]],"")</f>
        <v/>
      </c>
      <c r="G7834" s="2" t="str">
        <f>IF(Table1[[#This Row],[Is Data Valid]]=TRUE,((Table1[[#This Row],[Birthweight (grams)]]/Table1[[#This Row],[BW_GA]])-1)/(Backend!$B$4/100*Table1[[#This Row],[BW40_3705]]),"")</f>
        <v/>
      </c>
      <c r="H7834" s="7" t="str">
        <f>IF(Table1[[#This Row],[Is Data Valid]]=TRUE,((Table1[[#This Row],[Birthweight (grams)]]*0.9/Table1[[#This Row],[BW_GA]])-1)/(Backend!$B$4/100*Table1[[#This Row],[BW40_3705]]),"")</f>
        <v/>
      </c>
      <c r="I7834" s="7" t="str">
        <f>IF(Table1[[#This Row],[Is Data Valid]]=TRUE,((Table1[[#This Row],[Birthweight (grams)]]*1.1/Table1[[#This Row],[BW_GA]])-1)/(Backend!$B$4/100*Table1[[#This Row],[BW40_3705]]),"")</f>
        <v/>
      </c>
      <c r="J7834" s="7" t="str">
        <f>IF(Table1[[#This Row],[Is Data Valid]]=TRUE,_xlfn.NORM.S.DIST(Table1[[#This Row],[Birthweight Z-Score]],TRUE)*100,"")</f>
        <v/>
      </c>
      <c r="K7834" s="7" t="str">
        <f>IF(Table1[[#This Row],[Is Data Valid]]=TRUE,_xlfn.NORM.S.DIST(Table1[[#This Row],[Birthweight Z-Score (BW-10%)]],TRUE)*100,"")</f>
        <v/>
      </c>
      <c r="L7834" s="7" t="str">
        <f>IF(Table1[[#This Row],[Is Data Valid]]=TRUE,_xlfn.NORM.S.DIST(Table1[[#This Row],[Birthweight Z-Score (BW+10%)]],TRUE)*100,"")</f>
        <v/>
      </c>
    </row>
    <row r="7835" spans="1:12" x14ac:dyDescent="0.35">
      <c r="A7835" s="3"/>
      <c r="B7835" s="2"/>
      <c r="C7835" s="2"/>
      <c r="D7835" s="2" t="b">
        <f>IF(AND(NOT(ISBLANK(Table1[[#This Row],[Fetal Sex (Male, Female or Unknown)]])),ISNUMBER(Table1[[#This Row],[Birthweight (grams)]]),ISNUMBER(Table1[[#This Row],[Gestation (days)]])),TRUE,FALSE)</f>
        <v>0</v>
      </c>
      <c r="E7835" s="2" t="str">
        <f>IF(Table1[[#This Row],[Is Data Valid]]=TRUE,IF(Table1[[#This Row],[Fetal Sex (Male, Female or Unknown)]]="Male",Backend!$C$6,IF(Table1[[#This Row],[Fetal Sex (Male, Female or Unknown)]]="Female",Backend!$C$7,IF(Table1[[#This Row],[Fetal Sex (Male, Female or Unknown)]]="Unknown",Backend!$C$8,"Error"))),"")</f>
        <v/>
      </c>
      <c r="F7835" s="8" t="str">
        <f>IF(Table1[[#This Row],[Is Data Valid]]=TRUE,EXP(0.578+0.332*((Table1[[#This Row],[Gestation (days)]]+0.5)/7)-0.00354*((Table1[[#This Row],[Gestation (days)]]+0.5)/7)^2)*Table1[[#This Row],[BW40_3705]],"")</f>
        <v/>
      </c>
      <c r="G7835" s="2" t="str">
        <f>IF(Table1[[#This Row],[Is Data Valid]]=TRUE,((Table1[[#This Row],[Birthweight (grams)]]/Table1[[#This Row],[BW_GA]])-1)/(Backend!$B$4/100*Table1[[#This Row],[BW40_3705]]),"")</f>
        <v/>
      </c>
      <c r="H7835" s="7" t="str">
        <f>IF(Table1[[#This Row],[Is Data Valid]]=TRUE,((Table1[[#This Row],[Birthweight (grams)]]*0.9/Table1[[#This Row],[BW_GA]])-1)/(Backend!$B$4/100*Table1[[#This Row],[BW40_3705]]),"")</f>
        <v/>
      </c>
      <c r="I7835" s="7" t="str">
        <f>IF(Table1[[#This Row],[Is Data Valid]]=TRUE,((Table1[[#This Row],[Birthweight (grams)]]*1.1/Table1[[#This Row],[BW_GA]])-1)/(Backend!$B$4/100*Table1[[#This Row],[BW40_3705]]),"")</f>
        <v/>
      </c>
      <c r="J7835" s="7" t="str">
        <f>IF(Table1[[#This Row],[Is Data Valid]]=TRUE,_xlfn.NORM.S.DIST(Table1[[#This Row],[Birthweight Z-Score]],TRUE)*100,"")</f>
        <v/>
      </c>
      <c r="K7835" s="7" t="str">
        <f>IF(Table1[[#This Row],[Is Data Valid]]=TRUE,_xlfn.NORM.S.DIST(Table1[[#This Row],[Birthweight Z-Score (BW-10%)]],TRUE)*100,"")</f>
        <v/>
      </c>
      <c r="L7835" s="7" t="str">
        <f>IF(Table1[[#This Row],[Is Data Valid]]=TRUE,_xlfn.NORM.S.DIST(Table1[[#This Row],[Birthweight Z-Score (BW+10%)]],TRUE)*100,"")</f>
        <v/>
      </c>
    </row>
    <row r="7836" spans="1:12" x14ac:dyDescent="0.35">
      <c r="A7836" s="3"/>
      <c r="B7836" s="2"/>
      <c r="C7836" s="2"/>
      <c r="D7836" s="2" t="b">
        <f>IF(AND(NOT(ISBLANK(Table1[[#This Row],[Fetal Sex (Male, Female or Unknown)]])),ISNUMBER(Table1[[#This Row],[Birthweight (grams)]]),ISNUMBER(Table1[[#This Row],[Gestation (days)]])),TRUE,FALSE)</f>
        <v>0</v>
      </c>
      <c r="E7836" s="2" t="str">
        <f>IF(Table1[[#This Row],[Is Data Valid]]=TRUE,IF(Table1[[#This Row],[Fetal Sex (Male, Female or Unknown)]]="Male",Backend!$C$6,IF(Table1[[#This Row],[Fetal Sex (Male, Female or Unknown)]]="Female",Backend!$C$7,IF(Table1[[#This Row],[Fetal Sex (Male, Female or Unknown)]]="Unknown",Backend!$C$8,"Error"))),"")</f>
        <v/>
      </c>
      <c r="F7836" s="8" t="str">
        <f>IF(Table1[[#This Row],[Is Data Valid]]=TRUE,EXP(0.578+0.332*((Table1[[#This Row],[Gestation (days)]]+0.5)/7)-0.00354*((Table1[[#This Row],[Gestation (days)]]+0.5)/7)^2)*Table1[[#This Row],[BW40_3705]],"")</f>
        <v/>
      </c>
      <c r="G7836" s="2" t="str">
        <f>IF(Table1[[#This Row],[Is Data Valid]]=TRUE,((Table1[[#This Row],[Birthweight (grams)]]/Table1[[#This Row],[BW_GA]])-1)/(Backend!$B$4/100*Table1[[#This Row],[BW40_3705]]),"")</f>
        <v/>
      </c>
      <c r="H7836" s="7" t="str">
        <f>IF(Table1[[#This Row],[Is Data Valid]]=TRUE,((Table1[[#This Row],[Birthweight (grams)]]*0.9/Table1[[#This Row],[BW_GA]])-1)/(Backend!$B$4/100*Table1[[#This Row],[BW40_3705]]),"")</f>
        <v/>
      </c>
      <c r="I7836" s="7" t="str">
        <f>IF(Table1[[#This Row],[Is Data Valid]]=TRUE,((Table1[[#This Row],[Birthweight (grams)]]*1.1/Table1[[#This Row],[BW_GA]])-1)/(Backend!$B$4/100*Table1[[#This Row],[BW40_3705]]),"")</f>
        <v/>
      </c>
      <c r="J7836" s="7" t="str">
        <f>IF(Table1[[#This Row],[Is Data Valid]]=TRUE,_xlfn.NORM.S.DIST(Table1[[#This Row],[Birthweight Z-Score]],TRUE)*100,"")</f>
        <v/>
      </c>
      <c r="K7836" s="7" t="str">
        <f>IF(Table1[[#This Row],[Is Data Valid]]=TRUE,_xlfn.NORM.S.DIST(Table1[[#This Row],[Birthweight Z-Score (BW-10%)]],TRUE)*100,"")</f>
        <v/>
      </c>
      <c r="L7836" s="7" t="str">
        <f>IF(Table1[[#This Row],[Is Data Valid]]=TRUE,_xlfn.NORM.S.DIST(Table1[[#This Row],[Birthweight Z-Score (BW+10%)]],TRUE)*100,"")</f>
        <v/>
      </c>
    </row>
    <row r="7837" spans="1:12" x14ac:dyDescent="0.35">
      <c r="A7837" s="3"/>
      <c r="B7837" s="2"/>
      <c r="C7837" s="2"/>
      <c r="D7837" s="2" t="b">
        <f>IF(AND(NOT(ISBLANK(Table1[[#This Row],[Fetal Sex (Male, Female or Unknown)]])),ISNUMBER(Table1[[#This Row],[Birthweight (grams)]]),ISNUMBER(Table1[[#This Row],[Gestation (days)]])),TRUE,FALSE)</f>
        <v>0</v>
      </c>
      <c r="E7837" s="2" t="str">
        <f>IF(Table1[[#This Row],[Is Data Valid]]=TRUE,IF(Table1[[#This Row],[Fetal Sex (Male, Female or Unknown)]]="Male",Backend!$C$6,IF(Table1[[#This Row],[Fetal Sex (Male, Female or Unknown)]]="Female",Backend!$C$7,IF(Table1[[#This Row],[Fetal Sex (Male, Female or Unknown)]]="Unknown",Backend!$C$8,"Error"))),"")</f>
        <v/>
      </c>
      <c r="F7837" s="8" t="str">
        <f>IF(Table1[[#This Row],[Is Data Valid]]=TRUE,EXP(0.578+0.332*((Table1[[#This Row],[Gestation (days)]]+0.5)/7)-0.00354*((Table1[[#This Row],[Gestation (days)]]+0.5)/7)^2)*Table1[[#This Row],[BW40_3705]],"")</f>
        <v/>
      </c>
      <c r="G7837" s="2" t="str">
        <f>IF(Table1[[#This Row],[Is Data Valid]]=TRUE,((Table1[[#This Row],[Birthweight (grams)]]/Table1[[#This Row],[BW_GA]])-1)/(Backend!$B$4/100*Table1[[#This Row],[BW40_3705]]),"")</f>
        <v/>
      </c>
      <c r="H7837" s="7" t="str">
        <f>IF(Table1[[#This Row],[Is Data Valid]]=TRUE,((Table1[[#This Row],[Birthweight (grams)]]*0.9/Table1[[#This Row],[BW_GA]])-1)/(Backend!$B$4/100*Table1[[#This Row],[BW40_3705]]),"")</f>
        <v/>
      </c>
      <c r="I7837" s="7" t="str">
        <f>IF(Table1[[#This Row],[Is Data Valid]]=TRUE,((Table1[[#This Row],[Birthweight (grams)]]*1.1/Table1[[#This Row],[BW_GA]])-1)/(Backend!$B$4/100*Table1[[#This Row],[BW40_3705]]),"")</f>
        <v/>
      </c>
      <c r="J7837" s="7" t="str">
        <f>IF(Table1[[#This Row],[Is Data Valid]]=TRUE,_xlfn.NORM.S.DIST(Table1[[#This Row],[Birthweight Z-Score]],TRUE)*100,"")</f>
        <v/>
      </c>
      <c r="K7837" s="7" t="str">
        <f>IF(Table1[[#This Row],[Is Data Valid]]=TRUE,_xlfn.NORM.S.DIST(Table1[[#This Row],[Birthweight Z-Score (BW-10%)]],TRUE)*100,"")</f>
        <v/>
      </c>
      <c r="L7837" s="7" t="str">
        <f>IF(Table1[[#This Row],[Is Data Valid]]=TRUE,_xlfn.NORM.S.DIST(Table1[[#This Row],[Birthweight Z-Score (BW+10%)]],TRUE)*100,"")</f>
        <v/>
      </c>
    </row>
    <row r="7838" spans="1:12" x14ac:dyDescent="0.35">
      <c r="A7838" s="3"/>
      <c r="B7838" s="2"/>
      <c r="C7838" s="2"/>
      <c r="D7838" s="2" t="b">
        <f>IF(AND(NOT(ISBLANK(Table1[[#This Row],[Fetal Sex (Male, Female or Unknown)]])),ISNUMBER(Table1[[#This Row],[Birthweight (grams)]]),ISNUMBER(Table1[[#This Row],[Gestation (days)]])),TRUE,FALSE)</f>
        <v>0</v>
      </c>
      <c r="E7838" s="2" t="str">
        <f>IF(Table1[[#This Row],[Is Data Valid]]=TRUE,IF(Table1[[#This Row],[Fetal Sex (Male, Female or Unknown)]]="Male",Backend!$C$6,IF(Table1[[#This Row],[Fetal Sex (Male, Female or Unknown)]]="Female",Backend!$C$7,IF(Table1[[#This Row],[Fetal Sex (Male, Female or Unknown)]]="Unknown",Backend!$C$8,"Error"))),"")</f>
        <v/>
      </c>
      <c r="F7838" s="8" t="str">
        <f>IF(Table1[[#This Row],[Is Data Valid]]=TRUE,EXP(0.578+0.332*((Table1[[#This Row],[Gestation (days)]]+0.5)/7)-0.00354*((Table1[[#This Row],[Gestation (days)]]+0.5)/7)^2)*Table1[[#This Row],[BW40_3705]],"")</f>
        <v/>
      </c>
      <c r="G7838" s="2" t="str">
        <f>IF(Table1[[#This Row],[Is Data Valid]]=TRUE,((Table1[[#This Row],[Birthweight (grams)]]/Table1[[#This Row],[BW_GA]])-1)/(Backend!$B$4/100*Table1[[#This Row],[BW40_3705]]),"")</f>
        <v/>
      </c>
      <c r="H7838" s="7" t="str">
        <f>IF(Table1[[#This Row],[Is Data Valid]]=TRUE,((Table1[[#This Row],[Birthweight (grams)]]*0.9/Table1[[#This Row],[BW_GA]])-1)/(Backend!$B$4/100*Table1[[#This Row],[BW40_3705]]),"")</f>
        <v/>
      </c>
      <c r="I7838" s="7" t="str">
        <f>IF(Table1[[#This Row],[Is Data Valid]]=TRUE,((Table1[[#This Row],[Birthweight (grams)]]*1.1/Table1[[#This Row],[BW_GA]])-1)/(Backend!$B$4/100*Table1[[#This Row],[BW40_3705]]),"")</f>
        <v/>
      </c>
      <c r="J7838" s="7" t="str">
        <f>IF(Table1[[#This Row],[Is Data Valid]]=TRUE,_xlfn.NORM.S.DIST(Table1[[#This Row],[Birthweight Z-Score]],TRUE)*100,"")</f>
        <v/>
      </c>
      <c r="K7838" s="7" t="str">
        <f>IF(Table1[[#This Row],[Is Data Valid]]=TRUE,_xlfn.NORM.S.DIST(Table1[[#This Row],[Birthweight Z-Score (BW-10%)]],TRUE)*100,"")</f>
        <v/>
      </c>
      <c r="L7838" s="7" t="str">
        <f>IF(Table1[[#This Row],[Is Data Valid]]=TRUE,_xlfn.NORM.S.DIST(Table1[[#This Row],[Birthweight Z-Score (BW+10%)]],TRUE)*100,"")</f>
        <v/>
      </c>
    </row>
    <row r="7839" spans="1:12" x14ac:dyDescent="0.35">
      <c r="A7839" s="3"/>
      <c r="B7839" s="2"/>
      <c r="C7839" s="2"/>
      <c r="D7839" s="2" t="b">
        <f>IF(AND(NOT(ISBLANK(Table1[[#This Row],[Fetal Sex (Male, Female or Unknown)]])),ISNUMBER(Table1[[#This Row],[Birthweight (grams)]]),ISNUMBER(Table1[[#This Row],[Gestation (days)]])),TRUE,FALSE)</f>
        <v>0</v>
      </c>
      <c r="E7839" s="2" t="str">
        <f>IF(Table1[[#This Row],[Is Data Valid]]=TRUE,IF(Table1[[#This Row],[Fetal Sex (Male, Female or Unknown)]]="Male",Backend!$C$6,IF(Table1[[#This Row],[Fetal Sex (Male, Female or Unknown)]]="Female",Backend!$C$7,IF(Table1[[#This Row],[Fetal Sex (Male, Female or Unknown)]]="Unknown",Backend!$C$8,"Error"))),"")</f>
        <v/>
      </c>
      <c r="F7839" s="8" t="str">
        <f>IF(Table1[[#This Row],[Is Data Valid]]=TRUE,EXP(0.578+0.332*((Table1[[#This Row],[Gestation (days)]]+0.5)/7)-0.00354*((Table1[[#This Row],[Gestation (days)]]+0.5)/7)^2)*Table1[[#This Row],[BW40_3705]],"")</f>
        <v/>
      </c>
      <c r="G7839" s="2" t="str">
        <f>IF(Table1[[#This Row],[Is Data Valid]]=TRUE,((Table1[[#This Row],[Birthweight (grams)]]/Table1[[#This Row],[BW_GA]])-1)/(Backend!$B$4/100*Table1[[#This Row],[BW40_3705]]),"")</f>
        <v/>
      </c>
      <c r="H7839" s="7" t="str">
        <f>IF(Table1[[#This Row],[Is Data Valid]]=TRUE,((Table1[[#This Row],[Birthweight (grams)]]*0.9/Table1[[#This Row],[BW_GA]])-1)/(Backend!$B$4/100*Table1[[#This Row],[BW40_3705]]),"")</f>
        <v/>
      </c>
      <c r="I7839" s="7" t="str">
        <f>IF(Table1[[#This Row],[Is Data Valid]]=TRUE,((Table1[[#This Row],[Birthweight (grams)]]*1.1/Table1[[#This Row],[BW_GA]])-1)/(Backend!$B$4/100*Table1[[#This Row],[BW40_3705]]),"")</f>
        <v/>
      </c>
      <c r="J7839" s="7" t="str">
        <f>IF(Table1[[#This Row],[Is Data Valid]]=TRUE,_xlfn.NORM.S.DIST(Table1[[#This Row],[Birthweight Z-Score]],TRUE)*100,"")</f>
        <v/>
      </c>
      <c r="K7839" s="7" t="str">
        <f>IF(Table1[[#This Row],[Is Data Valid]]=TRUE,_xlfn.NORM.S.DIST(Table1[[#This Row],[Birthweight Z-Score (BW-10%)]],TRUE)*100,"")</f>
        <v/>
      </c>
      <c r="L7839" s="7" t="str">
        <f>IF(Table1[[#This Row],[Is Data Valid]]=TRUE,_xlfn.NORM.S.DIST(Table1[[#This Row],[Birthweight Z-Score (BW+10%)]],TRUE)*100,"")</f>
        <v/>
      </c>
    </row>
    <row r="7840" spans="1:12" x14ac:dyDescent="0.35">
      <c r="A7840" s="3"/>
      <c r="B7840" s="2"/>
      <c r="C7840" s="2"/>
      <c r="D7840" s="2" t="b">
        <f>IF(AND(NOT(ISBLANK(Table1[[#This Row],[Fetal Sex (Male, Female or Unknown)]])),ISNUMBER(Table1[[#This Row],[Birthweight (grams)]]),ISNUMBER(Table1[[#This Row],[Gestation (days)]])),TRUE,FALSE)</f>
        <v>0</v>
      </c>
      <c r="E7840" s="2" t="str">
        <f>IF(Table1[[#This Row],[Is Data Valid]]=TRUE,IF(Table1[[#This Row],[Fetal Sex (Male, Female or Unknown)]]="Male",Backend!$C$6,IF(Table1[[#This Row],[Fetal Sex (Male, Female or Unknown)]]="Female",Backend!$C$7,IF(Table1[[#This Row],[Fetal Sex (Male, Female or Unknown)]]="Unknown",Backend!$C$8,"Error"))),"")</f>
        <v/>
      </c>
      <c r="F7840" s="8" t="str">
        <f>IF(Table1[[#This Row],[Is Data Valid]]=TRUE,EXP(0.578+0.332*((Table1[[#This Row],[Gestation (days)]]+0.5)/7)-0.00354*((Table1[[#This Row],[Gestation (days)]]+0.5)/7)^2)*Table1[[#This Row],[BW40_3705]],"")</f>
        <v/>
      </c>
      <c r="G7840" s="2" t="str">
        <f>IF(Table1[[#This Row],[Is Data Valid]]=TRUE,((Table1[[#This Row],[Birthweight (grams)]]/Table1[[#This Row],[BW_GA]])-1)/(Backend!$B$4/100*Table1[[#This Row],[BW40_3705]]),"")</f>
        <v/>
      </c>
      <c r="H7840" s="7" t="str">
        <f>IF(Table1[[#This Row],[Is Data Valid]]=TRUE,((Table1[[#This Row],[Birthweight (grams)]]*0.9/Table1[[#This Row],[BW_GA]])-1)/(Backend!$B$4/100*Table1[[#This Row],[BW40_3705]]),"")</f>
        <v/>
      </c>
      <c r="I7840" s="7" t="str">
        <f>IF(Table1[[#This Row],[Is Data Valid]]=TRUE,((Table1[[#This Row],[Birthweight (grams)]]*1.1/Table1[[#This Row],[BW_GA]])-1)/(Backend!$B$4/100*Table1[[#This Row],[BW40_3705]]),"")</f>
        <v/>
      </c>
      <c r="J7840" s="7" t="str">
        <f>IF(Table1[[#This Row],[Is Data Valid]]=TRUE,_xlfn.NORM.S.DIST(Table1[[#This Row],[Birthweight Z-Score]],TRUE)*100,"")</f>
        <v/>
      </c>
      <c r="K7840" s="7" t="str">
        <f>IF(Table1[[#This Row],[Is Data Valid]]=TRUE,_xlfn.NORM.S.DIST(Table1[[#This Row],[Birthweight Z-Score (BW-10%)]],TRUE)*100,"")</f>
        <v/>
      </c>
      <c r="L7840" s="7" t="str">
        <f>IF(Table1[[#This Row],[Is Data Valid]]=TRUE,_xlfn.NORM.S.DIST(Table1[[#This Row],[Birthweight Z-Score (BW+10%)]],TRUE)*100,"")</f>
        <v/>
      </c>
    </row>
    <row r="7841" spans="1:12" x14ac:dyDescent="0.35">
      <c r="A7841" s="3"/>
      <c r="B7841" s="2"/>
      <c r="C7841" s="2"/>
      <c r="D7841" s="2" t="b">
        <f>IF(AND(NOT(ISBLANK(Table1[[#This Row],[Fetal Sex (Male, Female or Unknown)]])),ISNUMBER(Table1[[#This Row],[Birthweight (grams)]]),ISNUMBER(Table1[[#This Row],[Gestation (days)]])),TRUE,FALSE)</f>
        <v>0</v>
      </c>
      <c r="E7841" s="2" t="str">
        <f>IF(Table1[[#This Row],[Is Data Valid]]=TRUE,IF(Table1[[#This Row],[Fetal Sex (Male, Female or Unknown)]]="Male",Backend!$C$6,IF(Table1[[#This Row],[Fetal Sex (Male, Female or Unknown)]]="Female",Backend!$C$7,IF(Table1[[#This Row],[Fetal Sex (Male, Female or Unknown)]]="Unknown",Backend!$C$8,"Error"))),"")</f>
        <v/>
      </c>
      <c r="F7841" s="8" t="str">
        <f>IF(Table1[[#This Row],[Is Data Valid]]=TRUE,EXP(0.578+0.332*((Table1[[#This Row],[Gestation (days)]]+0.5)/7)-0.00354*((Table1[[#This Row],[Gestation (days)]]+0.5)/7)^2)*Table1[[#This Row],[BW40_3705]],"")</f>
        <v/>
      </c>
      <c r="G7841" s="2" t="str">
        <f>IF(Table1[[#This Row],[Is Data Valid]]=TRUE,((Table1[[#This Row],[Birthweight (grams)]]/Table1[[#This Row],[BW_GA]])-1)/(Backend!$B$4/100*Table1[[#This Row],[BW40_3705]]),"")</f>
        <v/>
      </c>
      <c r="H7841" s="7" t="str">
        <f>IF(Table1[[#This Row],[Is Data Valid]]=TRUE,((Table1[[#This Row],[Birthweight (grams)]]*0.9/Table1[[#This Row],[BW_GA]])-1)/(Backend!$B$4/100*Table1[[#This Row],[BW40_3705]]),"")</f>
        <v/>
      </c>
      <c r="I7841" s="7" t="str">
        <f>IF(Table1[[#This Row],[Is Data Valid]]=TRUE,((Table1[[#This Row],[Birthweight (grams)]]*1.1/Table1[[#This Row],[BW_GA]])-1)/(Backend!$B$4/100*Table1[[#This Row],[BW40_3705]]),"")</f>
        <v/>
      </c>
      <c r="J7841" s="7" t="str">
        <f>IF(Table1[[#This Row],[Is Data Valid]]=TRUE,_xlfn.NORM.S.DIST(Table1[[#This Row],[Birthweight Z-Score]],TRUE)*100,"")</f>
        <v/>
      </c>
      <c r="K7841" s="7" t="str">
        <f>IF(Table1[[#This Row],[Is Data Valid]]=TRUE,_xlfn.NORM.S.DIST(Table1[[#This Row],[Birthweight Z-Score (BW-10%)]],TRUE)*100,"")</f>
        <v/>
      </c>
      <c r="L7841" s="7" t="str">
        <f>IF(Table1[[#This Row],[Is Data Valid]]=TRUE,_xlfn.NORM.S.DIST(Table1[[#This Row],[Birthweight Z-Score (BW+10%)]],TRUE)*100,"")</f>
        <v/>
      </c>
    </row>
    <row r="7842" spans="1:12" x14ac:dyDescent="0.35">
      <c r="A7842" s="3"/>
      <c r="B7842" s="2"/>
      <c r="C7842" s="2"/>
      <c r="D7842" s="2" t="b">
        <f>IF(AND(NOT(ISBLANK(Table1[[#This Row],[Fetal Sex (Male, Female or Unknown)]])),ISNUMBER(Table1[[#This Row],[Birthweight (grams)]]),ISNUMBER(Table1[[#This Row],[Gestation (days)]])),TRUE,FALSE)</f>
        <v>0</v>
      </c>
      <c r="E7842" s="2" t="str">
        <f>IF(Table1[[#This Row],[Is Data Valid]]=TRUE,IF(Table1[[#This Row],[Fetal Sex (Male, Female or Unknown)]]="Male",Backend!$C$6,IF(Table1[[#This Row],[Fetal Sex (Male, Female or Unknown)]]="Female",Backend!$C$7,IF(Table1[[#This Row],[Fetal Sex (Male, Female or Unknown)]]="Unknown",Backend!$C$8,"Error"))),"")</f>
        <v/>
      </c>
      <c r="F7842" s="8" t="str">
        <f>IF(Table1[[#This Row],[Is Data Valid]]=TRUE,EXP(0.578+0.332*((Table1[[#This Row],[Gestation (days)]]+0.5)/7)-0.00354*((Table1[[#This Row],[Gestation (days)]]+0.5)/7)^2)*Table1[[#This Row],[BW40_3705]],"")</f>
        <v/>
      </c>
      <c r="G7842" s="2" t="str">
        <f>IF(Table1[[#This Row],[Is Data Valid]]=TRUE,((Table1[[#This Row],[Birthweight (grams)]]/Table1[[#This Row],[BW_GA]])-1)/(Backend!$B$4/100*Table1[[#This Row],[BW40_3705]]),"")</f>
        <v/>
      </c>
      <c r="H7842" s="7" t="str">
        <f>IF(Table1[[#This Row],[Is Data Valid]]=TRUE,((Table1[[#This Row],[Birthweight (grams)]]*0.9/Table1[[#This Row],[BW_GA]])-1)/(Backend!$B$4/100*Table1[[#This Row],[BW40_3705]]),"")</f>
        <v/>
      </c>
      <c r="I7842" s="7" t="str">
        <f>IF(Table1[[#This Row],[Is Data Valid]]=TRUE,((Table1[[#This Row],[Birthweight (grams)]]*1.1/Table1[[#This Row],[BW_GA]])-1)/(Backend!$B$4/100*Table1[[#This Row],[BW40_3705]]),"")</f>
        <v/>
      </c>
      <c r="J7842" s="7" t="str">
        <f>IF(Table1[[#This Row],[Is Data Valid]]=TRUE,_xlfn.NORM.S.DIST(Table1[[#This Row],[Birthweight Z-Score]],TRUE)*100,"")</f>
        <v/>
      </c>
      <c r="K7842" s="7" t="str">
        <f>IF(Table1[[#This Row],[Is Data Valid]]=TRUE,_xlfn.NORM.S.DIST(Table1[[#This Row],[Birthweight Z-Score (BW-10%)]],TRUE)*100,"")</f>
        <v/>
      </c>
      <c r="L7842" s="7" t="str">
        <f>IF(Table1[[#This Row],[Is Data Valid]]=TRUE,_xlfn.NORM.S.DIST(Table1[[#This Row],[Birthweight Z-Score (BW+10%)]],TRUE)*100,"")</f>
        <v/>
      </c>
    </row>
    <row r="7843" spans="1:12" x14ac:dyDescent="0.35">
      <c r="A7843" s="3"/>
      <c r="B7843" s="2"/>
      <c r="C7843" s="2"/>
      <c r="D7843" s="2" t="b">
        <f>IF(AND(NOT(ISBLANK(Table1[[#This Row],[Fetal Sex (Male, Female or Unknown)]])),ISNUMBER(Table1[[#This Row],[Birthweight (grams)]]),ISNUMBER(Table1[[#This Row],[Gestation (days)]])),TRUE,FALSE)</f>
        <v>0</v>
      </c>
      <c r="E7843" s="2" t="str">
        <f>IF(Table1[[#This Row],[Is Data Valid]]=TRUE,IF(Table1[[#This Row],[Fetal Sex (Male, Female or Unknown)]]="Male",Backend!$C$6,IF(Table1[[#This Row],[Fetal Sex (Male, Female or Unknown)]]="Female",Backend!$C$7,IF(Table1[[#This Row],[Fetal Sex (Male, Female or Unknown)]]="Unknown",Backend!$C$8,"Error"))),"")</f>
        <v/>
      </c>
      <c r="F7843" s="8" t="str">
        <f>IF(Table1[[#This Row],[Is Data Valid]]=TRUE,EXP(0.578+0.332*((Table1[[#This Row],[Gestation (days)]]+0.5)/7)-0.00354*((Table1[[#This Row],[Gestation (days)]]+0.5)/7)^2)*Table1[[#This Row],[BW40_3705]],"")</f>
        <v/>
      </c>
      <c r="G7843" s="2" t="str">
        <f>IF(Table1[[#This Row],[Is Data Valid]]=TRUE,((Table1[[#This Row],[Birthweight (grams)]]/Table1[[#This Row],[BW_GA]])-1)/(Backend!$B$4/100*Table1[[#This Row],[BW40_3705]]),"")</f>
        <v/>
      </c>
      <c r="H7843" s="7" t="str">
        <f>IF(Table1[[#This Row],[Is Data Valid]]=TRUE,((Table1[[#This Row],[Birthweight (grams)]]*0.9/Table1[[#This Row],[BW_GA]])-1)/(Backend!$B$4/100*Table1[[#This Row],[BW40_3705]]),"")</f>
        <v/>
      </c>
      <c r="I7843" s="7" t="str">
        <f>IF(Table1[[#This Row],[Is Data Valid]]=TRUE,((Table1[[#This Row],[Birthweight (grams)]]*1.1/Table1[[#This Row],[BW_GA]])-1)/(Backend!$B$4/100*Table1[[#This Row],[BW40_3705]]),"")</f>
        <v/>
      </c>
      <c r="J7843" s="7" t="str">
        <f>IF(Table1[[#This Row],[Is Data Valid]]=TRUE,_xlfn.NORM.S.DIST(Table1[[#This Row],[Birthweight Z-Score]],TRUE)*100,"")</f>
        <v/>
      </c>
      <c r="K7843" s="7" t="str">
        <f>IF(Table1[[#This Row],[Is Data Valid]]=TRUE,_xlfn.NORM.S.DIST(Table1[[#This Row],[Birthweight Z-Score (BW-10%)]],TRUE)*100,"")</f>
        <v/>
      </c>
      <c r="L7843" s="7" t="str">
        <f>IF(Table1[[#This Row],[Is Data Valid]]=TRUE,_xlfn.NORM.S.DIST(Table1[[#This Row],[Birthweight Z-Score (BW+10%)]],TRUE)*100,"")</f>
        <v/>
      </c>
    </row>
    <row r="7844" spans="1:12" x14ac:dyDescent="0.35">
      <c r="A7844" s="3"/>
      <c r="B7844" s="2"/>
      <c r="C7844" s="2"/>
      <c r="D7844" s="2" t="b">
        <f>IF(AND(NOT(ISBLANK(Table1[[#This Row],[Fetal Sex (Male, Female or Unknown)]])),ISNUMBER(Table1[[#This Row],[Birthweight (grams)]]),ISNUMBER(Table1[[#This Row],[Gestation (days)]])),TRUE,FALSE)</f>
        <v>0</v>
      </c>
      <c r="E7844" s="2" t="str">
        <f>IF(Table1[[#This Row],[Is Data Valid]]=TRUE,IF(Table1[[#This Row],[Fetal Sex (Male, Female or Unknown)]]="Male",Backend!$C$6,IF(Table1[[#This Row],[Fetal Sex (Male, Female or Unknown)]]="Female",Backend!$C$7,IF(Table1[[#This Row],[Fetal Sex (Male, Female or Unknown)]]="Unknown",Backend!$C$8,"Error"))),"")</f>
        <v/>
      </c>
      <c r="F7844" s="8" t="str">
        <f>IF(Table1[[#This Row],[Is Data Valid]]=TRUE,EXP(0.578+0.332*((Table1[[#This Row],[Gestation (days)]]+0.5)/7)-0.00354*((Table1[[#This Row],[Gestation (days)]]+0.5)/7)^2)*Table1[[#This Row],[BW40_3705]],"")</f>
        <v/>
      </c>
      <c r="G7844" s="2" t="str">
        <f>IF(Table1[[#This Row],[Is Data Valid]]=TRUE,((Table1[[#This Row],[Birthweight (grams)]]/Table1[[#This Row],[BW_GA]])-1)/(Backend!$B$4/100*Table1[[#This Row],[BW40_3705]]),"")</f>
        <v/>
      </c>
      <c r="H7844" s="7" t="str">
        <f>IF(Table1[[#This Row],[Is Data Valid]]=TRUE,((Table1[[#This Row],[Birthweight (grams)]]*0.9/Table1[[#This Row],[BW_GA]])-1)/(Backend!$B$4/100*Table1[[#This Row],[BW40_3705]]),"")</f>
        <v/>
      </c>
      <c r="I7844" s="7" t="str">
        <f>IF(Table1[[#This Row],[Is Data Valid]]=TRUE,((Table1[[#This Row],[Birthweight (grams)]]*1.1/Table1[[#This Row],[BW_GA]])-1)/(Backend!$B$4/100*Table1[[#This Row],[BW40_3705]]),"")</f>
        <v/>
      </c>
      <c r="J7844" s="7" t="str">
        <f>IF(Table1[[#This Row],[Is Data Valid]]=TRUE,_xlfn.NORM.S.DIST(Table1[[#This Row],[Birthweight Z-Score]],TRUE)*100,"")</f>
        <v/>
      </c>
      <c r="K7844" s="7" t="str">
        <f>IF(Table1[[#This Row],[Is Data Valid]]=TRUE,_xlfn.NORM.S.DIST(Table1[[#This Row],[Birthweight Z-Score (BW-10%)]],TRUE)*100,"")</f>
        <v/>
      </c>
      <c r="L7844" s="7" t="str">
        <f>IF(Table1[[#This Row],[Is Data Valid]]=TRUE,_xlfn.NORM.S.DIST(Table1[[#This Row],[Birthweight Z-Score (BW+10%)]],TRUE)*100,"")</f>
        <v/>
      </c>
    </row>
    <row r="7845" spans="1:12" x14ac:dyDescent="0.35">
      <c r="A7845" s="3"/>
      <c r="B7845" s="2"/>
      <c r="C7845" s="2"/>
      <c r="D7845" s="2" t="b">
        <f>IF(AND(NOT(ISBLANK(Table1[[#This Row],[Fetal Sex (Male, Female or Unknown)]])),ISNUMBER(Table1[[#This Row],[Birthweight (grams)]]),ISNUMBER(Table1[[#This Row],[Gestation (days)]])),TRUE,FALSE)</f>
        <v>0</v>
      </c>
      <c r="E7845" s="2" t="str">
        <f>IF(Table1[[#This Row],[Is Data Valid]]=TRUE,IF(Table1[[#This Row],[Fetal Sex (Male, Female or Unknown)]]="Male",Backend!$C$6,IF(Table1[[#This Row],[Fetal Sex (Male, Female or Unknown)]]="Female",Backend!$C$7,IF(Table1[[#This Row],[Fetal Sex (Male, Female or Unknown)]]="Unknown",Backend!$C$8,"Error"))),"")</f>
        <v/>
      </c>
      <c r="F7845" s="8" t="str">
        <f>IF(Table1[[#This Row],[Is Data Valid]]=TRUE,EXP(0.578+0.332*((Table1[[#This Row],[Gestation (days)]]+0.5)/7)-0.00354*((Table1[[#This Row],[Gestation (days)]]+0.5)/7)^2)*Table1[[#This Row],[BW40_3705]],"")</f>
        <v/>
      </c>
      <c r="G7845" s="2" t="str">
        <f>IF(Table1[[#This Row],[Is Data Valid]]=TRUE,((Table1[[#This Row],[Birthweight (grams)]]/Table1[[#This Row],[BW_GA]])-1)/(Backend!$B$4/100*Table1[[#This Row],[BW40_3705]]),"")</f>
        <v/>
      </c>
      <c r="H7845" s="7" t="str">
        <f>IF(Table1[[#This Row],[Is Data Valid]]=TRUE,((Table1[[#This Row],[Birthweight (grams)]]*0.9/Table1[[#This Row],[BW_GA]])-1)/(Backend!$B$4/100*Table1[[#This Row],[BW40_3705]]),"")</f>
        <v/>
      </c>
      <c r="I7845" s="7" t="str">
        <f>IF(Table1[[#This Row],[Is Data Valid]]=TRUE,((Table1[[#This Row],[Birthweight (grams)]]*1.1/Table1[[#This Row],[BW_GA]])-1)/(Backend!$B$4/100*Table1[[#This Row],[BW40_3705]]),"")</f>
        <v/>
      </c>
      <c r="J7845" s="7" t="str">
        <f>IF(Table1[[#This Row],[Is Data Valid]]=TRUE,_xlfn.NORM.S.DIST(Table1[[#This Row],[Birthweight Z-Score]],TRUE)*100,"")</f>
        <v/>
      </c>
      <c r="K7845" s="7" t="str">
        <f>IF(Table1[[#This Row],[Is Data Valid]]=TRUE,_xlfn.NORM.S.DIST(Table1[[#This Row],[Birthweight Z-Score (BW-10%)]],TRUE)*100,"")</f>
        <v/>
      </c>
      <c r="L7845" s="7" t="str">
        <f>IF(Table1[[#This Row],[Is Data Valid]]=TRUE,_xlfn.NORM.S.DIST(Table1[[#This Row],[Birthweight Z-Score (BW+10%)]],TRUE)*100,"")</f>
        <v/>
      </c>
    </row>
    <row r="7846" spans="1:12" x14ac:dyDescent="0.35">
      <c r="A7846" s="3"/>
      <c r="B7846" s="2"/>
      <c r="C7846" s="2"/>
      <c r="D7846" s="2" t="b">
        <f>IF(AND(NOT(ISBLANK(Table1[[#This Row],[Fetal Sex (Male, Female or Unknown)]])),ISNUMBER(Table1[[#This Row],[Birthweight (grams)]]),ISNUMBER(Table1[[#This Row],[Gestation (days)]])),TRUE,FALSE)</f>
        <v>0</v>
      </c>
      <c r="E7846" s="2" t="str">
        <f>IF(Table1[[#This Row],[Is Data Valid]]=TRUE,IF(Table1[[#This Row],[Fetal Sex (Male, Female or Unknown)]]="Male",Backend!$C$6,IF(Table1[[#This Row],[Fetal Sex (Male, Female or Unknown)]]="Female",Backend!$C$7,IF(Table1[[#This Row],[Fetal Sex (Male, Female or Unknown)]]="Unknown",Backend!$C$8,"Error"))),"")</f>
        <v/>
      </c>
      <c r="F7846" s="8" t="str">
        <f>IF(Table1[[#This Row],[Is Data Valid]]=TRUE,EXP(0.578+0.332*((Table1[[#This Row],[Gestation (days)]]+0.5)/7)-0.00354*((Table1[[#This Row],[Gestation (days)]]+0.5)/7)^2)*Table1[[#This Row],[BW40_3705]],"")</f>
        <v/>
      </c>
      <c r="G7846" s="2" t="str">
        <f>IF(Table1[[#This Row],[Is Data Valid]]=TRUE,((Table1[[#This Row],[Birthweight (grams)]]/Table1[[#This Row],[BW_GA]])-1)/(Backend!$B$4/100*Table1[[#This Row],[BW40_3705]]),"")</f>
        <v/>
      </c>
      <c r="H7846" s="7" t="str">
        <f>IF(Table1[[#This Row],[Is Data Valid]]=TRUE,((Table1[[#This Row],[Birthweight (grams)]]*0.9/Table1[[#This Row],[BW_GA]])-1)/(Backend!$B$4/100*Table1[[#This Row],[BW40_3705]]),"")</f>
        <v/>
      </c>
      <c r="I7846" s="7" t="str">
        <f>IF(Table1[[#This Row],[Is Data Valid]]=TRUE,((Table1[[#This Row],[Birthweight (grams)]]*1.1/Table1[[#This Row],[BW_GA]])-1)/(Backend!$B$4/100*Table1[[#This Row],[BW40_3705]]),"")</f>
        <v/>
      </c>
      <c r="J7846" s="7" t="str">
        <f>IF(Table1[[#This Row],[Is Data Valid]]=TRUE,_xlfn.NORM.S.DIST(Table1[[#This Row],[Birthweight Z-Score]],TRUE)*100,"")</f>
        <v/>
      </c>
      <c r="K7846" s="7" t="str">
        <f>IF(Table1[[#This Row],[Is Data Valid]]=TRUE,_xlfn.NORM.S.DIST(Table1[[#This Row],[Birthweight Z-Score (BW-10%)]],TRUE)*100,"")</f>
        <v/>
      </c>
      <c r="L7846" s="7" t="str">
        <f>IF(Table1[[#This Row],[Is Data Valid]]=TRUE,_xlfn.NORM.S.DIST(Table1[[#This Row],[Birthweight Z-Score (BW+10%)]],TRUE)*100,"")</f>
        <v/>
      </c>
    </row>
    <row r="7847" spans="1:12" x14ac:dyDescent="0.35">
      <c r="A7847" s="3"/>
      <c r="B7847" s="2"/>
      <c r="C7847" s="2"/>
      <c r="D7847" s="2" t="b">
        <f>IF(AND(NOT(ISBLANK(Table1[[#This Row],[Fetal Sex (Male, Female or Unknown)]])),ISNUMBER(Table1[[#This Row],[Birthweight (grams)]]),ISNUMBER(Table1[[#This Row],[Gestation (days)]])),TRUE,FALSE)</f>
        <v>0</v>
      </c>
      <c r="E7847" s="2" t="str">
        <f>IF(Table1[[#This Row],[Is Data Valid]]=TRUE,IF(Table1[[#This Row],[Fetal Sex (Male, Female or Unknown)]]="Male",Backend!$C$6,IF(Table1[[#This Row],[Fetal Sex (Male, Female or Unknown)]]="Female",Backend!$C$7,IF(Table1[[#This Row],[Fetal Sex (Male, Female or Unknown)]]="Unknown",Backend!$C$8,"Error"))),"")</f>
        <v/>
      </c>
      <c r="F7847" s="8" t="str">
        <f>IF(Table1[[#This Row],[Is Data Valid]]=TRUE,EXP(0.578+0.332*((Table1[[#This Row],[Gestation (days)]]+0.5)/7)-0.00354*((Table1[[#This Row],[Gestation (days)]]+0.5)/7)^2)*Table1[[#This Row],[BW40_3705]],"")</f>
        <v/>
      </c>
      <c r="G7847" s="2" t="str">
        <f>IF(Table1[[#This Row],[Is Data Valid]]=TRUE,((Table1[[#This Row],[Birthweight (grams)]]/Table1[[#This Row],[BW_GA]])-1)/(Backend!$B$4/100*Table1[[#This Row],[BW40_3705]]),"")</f>
        <v/>
      </c>
      <c r="H7847" s="7" t="str">
        <f>IF(Table1[[#This Row],[Is Data Valid]]=TRUE,((Table1[[#This Row],[Birthweight (grams)]]*0.9/Table1[[#This Row],[BW_GA]])-1)/(Backend!$B$4/100*Table1[[#This Row],[BW40_3705]]),"")</f>
        <v/>
      </c>
      <c r="I7847" s="7" t="str">
        <f>IF(Table1[[#This Row],[Is Data Valid]]=TRUE,((Table1[[#This Row],[Birthweight (grams)]]*1.1/Table1[[#This Row],[BW_GA]])-1)/(Backend!$B$4/100*Table1[[#This Row],[BW40_3705]]),"")</f>
        <v/>
      </c>
      <c r="J7847" s="7" t="str">
        <f>IF(Table1[[#This Row],[Is Data Valid]]=TRUE,_xlfn.NORM.S.DIST(Table1[[#This Row],[Birthweight Z-Score]],TRUE)*100,"")</f>
        <v/>
      </c>
      <c r="K7847" s="7" t="str">
        <f>IF(Table1[[#This Row],[Is Data Valid]]=TRUE,_xlfn.NORM.S.DIST(Table1[[#This Row],[Birthweight Z-Score (BW-10%)]],TRUE)*100,"")</f>
        <v/>
      </c>
      <c r="L7847" s="7" t="str">
        <f>IF(Table1[[#This Row],[Is Data Valid]]=TRUE,_xlfn.NORM.S.DIST(Table1[[#This Row],[Birthweight Z-Score (BW+10%)]],TRUE)*100,"")</f>
        <v/>
      </c>
    </row>
    <row r="7848" spans="1:12" x14ac:dyDescent="0.35">
      <c r="A7848" s="3"/>
      <c r="B7848" s="2"/>
      <c r="C7848" s="2"/>
      <c r="D7848" s="2" t="b">
        <f>IF(AND(NOT(ISBLANK(Table1[[#This Row],[Fetal Sex (Male, Female or Unknown)]])),ISNUMBER(Table1[[#This Row],[Birthweight (grams)]]),ISNUMBER(Table1[[#This Row],[Gestation (days)]])),TRUE,FALSE)</f>
        <v>0</v>
      </c>
      <c r="E7848" s="2" t="str">
        <f>IF(Table1[[#This Row],[Is Data Valid]]=TRUE,IF(Table1[[#This Row],[Fetal Sex (Male, Female or Unknown)]]="Male",Backend!$C$6,IF(Table1[[#This Row],[Fetal Sex (Male, Female or Unknown)]]="Female",Backend!$C$7,IF(Table1[[#This Row],[Fetal Sex (Male, Female or Unknown)]]="Unknown",Backend!$C$8,"Error"))),"")</f>
        <v/>
      </c>
      <c r="F7848" s="8" t="str">
        <f>IF(Table1[[#This Row],[Is Data Valid]]=TRUE,EXP(0.578+0.332*((Table1[[#This Row],[Gestation (days)]]+0.5)/7)-0.00354*((Table1[[#This Row],[Gestation (days)]]+0.5)/7)^2)*Table1[[#This Row],[BW40_3705]],"")</f>
        <v/>
      </c>
      <c r="G7848" s="2" t="str">
        <f>IF(Table1[[#This Row],[Is Data Valid]]=TRUE,((Table1[[#This Row],[Birthweight (grams)]]/Table1[[#This Row],[BW_GA]])-1)/(Backend!$B$4/100*Table1[[#This Row],[BW40_3705]]),"")</f>
        <v/>
      </c>
      <c r="H7848" s="7" t="str">
        <f>IF(Table1[[#This Row],[Is Data Valid]]=TRUE,((Table1[[#This Row],[Birthweight (grams)]]*0.9/Table1[[#This Row],[BW_GA]])-1)/(Backend!$B$4/100*Table1[[#This Row],[BW40_3705]]),"")</f>
        <v/>
      </c>
      <c r="I7848" s="7" t="str">
        <f>IF(Table1[[#This Row],[Is Data Valid]]=TRUE,((Table1[[#This Row],[Birthweight (grams)]]*1.1/Table1[[#This Row],[BW_GA]])-1)/(Backend!$B$4/100*Table1[[#This Row],[BW40_3705]]),"")</f>
        <v/>
      </c>
      <c r="J7848" s="7" t="str">
        <f>IF(Table1[[#This Row],[Is Data Valid]]=TRUE,_xlfn.NORM.S.DIST(Table1[[#This Row],[Birthweight Z-Score]],TRUE)*100,"")</f>
        <v/>
      </c>
      <c r="K7848" s="7" t="str">
        <f>IF(Table1[[#This Row],[Is Data Valid]]=TRUE,_xlfn.NORM.S.DIST(Table1[[#This Row],[Birthweight Z-Score (BW-10%)]],TRUE)*100,"")</f>
        <v/>
      </c>
      <c r="L7848" s="7" t="str">
        <f>IF(Table1[[#This Row],[Is Data Valid]]=TRUE,_xlfn.NORM.S.DIST(Table1[[#This Row],[Birthweight Z-Score (BW+10%)]],TRUE)*100,"")</f>
        <v/>
      </c>
    </row>
    <row r="7849" spans="1:12" x14ac:dyDescent="0.35">
      <c r="A7849" s="3"/>
      <c r="B7849" s="2"/>
      <c r="C7849" s="2"/>
      <c r="D7849" s="2" t="b">
        <f>IF(AND(NOT(ISBLANK(Table1[[#This Row],[Fetal Sex (Male, Female or Unknown)]])),ISNUMBER(Table1[[#This Row],[Birthweight (grams)]]),ISNUMBER(Table1[[#This Row],[Gestation (days)]])),TRUE,FALSE)</f>
        <v>0</v>
      </c>
      <c r="E7849" s="2" t="str">
        <f>IF(Table1[[#This Row],[Is Data Valid]]=TRUE,IF(Table1[[#This Row],[Fetal Sex (Male, Female or Unknown)]]="Male",Backend!$C$6,IF(Table1[[#This Row],[Fetal Sex (Male, Female or Unknown)]]="Female",Backend!$C$7,IF(Table1[[#This Row],[Fetal Sex (Male, Female or Unknown)]]="Unknown",Backend!$C$8,"Error"))),"")</f>
        <v/>
      </c>
      <c r="F7849" s="8" t="str">
        <f>IF(Table1[[#This Row],[Is Data Valid]]=TRUE,EXP(0.578+0.332*((Table1[[#This Row],[Gestation (days)]]+0.5)/7)-0.00354*((Table1[[#This Row],[Gestation (days)]]+0.5)/7)^2)*Table1[[#This Row],[BW40_3705]],"")</f>
        <v/>
      </c>
      <c r="G7849" s="2" t="str">
        <f>IF(Table1[[#This Row],[Is Data Valid]]=TRUE,((Table1[[#This Row],[Birthweight (grams)]]/Table1[[#This Row],[BW_GA]])-1)/(Backend!$B$4/100*Table1[[#This Row],[BW40_3705]]),"")</f>
        <v/>
      </c>
      <c r="H7849" s="7" t="str">
        <f>IF(Table1[[#This Row],[Is Data Valid]]=TRUE,((Table1[[#This Row],[Birthweight (grams)]]*0.9/Table1[[#This Row],[BW_GA]])-1)/(Backend!$B$4/100*Table1[[#This Row],[BW40_3705]]),"")</f>
        <v/>
      </c>
      <c r="I7849" s="7" t="str">
        <f>IF(Table1[[#This Row],[Is Data Valid]]=TRUE,((Table1[[#This Row],[Birthweight (grams)]]*1.1/Table1[[#This Row],[BW_GA]])-1)/(Backend!$B$4/100*Table1[[#This Row],[BW40_3705]]),"")</f>
        <v/>
      </c>
      <c r="J7849" s="7" t="str">
        <f>IF(Table1[[#This Row],[Is Data Valid]]=TRUE,_xlfn.NORM.S.DIST(Table1[[#This Row],[Birthweight Z-Score]],TRUE)*100,"")</f>
        <v/>
      </c>
      <c r="K7849" s="7" t="str">
        <f>IF(Table1[[#This Row],[Is Data Valid]]=TRUE,_xlfn.NORM.S.DIST(Table1[[#This Row],[Birthweight Z-Score (BW-10%)]],TRUE)*100,"")</f>
        <v/>
      </c>
      <c r="L7849" s="7" t="str">
        <f>IF(Table1[[#This Row],[Is Data Valid]]=TRUE,_xlfn.NORM.S.DIST(Table1[[#This Row],[Birthweight Z-Score (BW+10%)]],TRUE)*100,"")</f>
        <v/>
      </c>
    </row>
    <row r="7850" spans="1:12" x14ac:dyDescent="0.35">
      <c r="A7850" s="3"/>
      <c r="B7850" s="2"/>
      <c r="C7850" s="2"/>
      <c r="D7850" s="2" t="b">
        <f>IF(AND(NOT(ISBLANK(Table1[[#This Row],[Fetal Sex (Male, Female or Unknown)]])),ISNUMBER(Table1[[#This Row],[Birthweight (grams)]]),ISNUMBER(Table1[[#This Row],[Gestation (days)]])),TRUE,FALSE)</f>
        <v>0</v>
      </c>
      <c r="E7850" s="2" t="str">
        <f>IF(Table1[[#This Row],[Is Data Valid]]=TRUE,IF(Table1[[#This Row],[Fetal Sex (Male, Female or Unknown)]]="Male",Backend!$C$6,IF(Table1[[#This Row],[Fetal Sex (Male, Female or Unknown)]]="Female",Backend!$C$7,IF(Table1[[#This Row],[Fetal Sex (Male, Female or Unknown)]]="Unknown",Backend!$C$8,"Error"))),"")</f>
        <v/>
      </c>
      <c r="F7850" s="8" t="str">
        <f>IF(Table1[[#This Row],[Is Data Valid]]=TRUE,EXP(0.578+0.332*((Table1[[#This Row],[Gestation (days)]]+0.5)/7)-0.00354*((Table1[[#This Row],[Gestation (days)]]+0.5)/7)^2)*Table1[[#This Row],[BW40_3705]],"")</f>
        <v/>
      </c>
      <c r="G7850" s="2" t="str">
        <f>IF(Table1[[#This Row],[Is Data Valid]]=TRUE,((Table1[[#This Row],[Birthweight (grams)]]/Table1[[#This Row],[BW_GA]])-1)/(Backend!$B$4/100*Table1[[#This Row],[BW40_3705]]),"")</f>
        <v/>
      </c>
      <c r="H7850" s="7" t="str">
        <f>IF(Table1[[#This Row],[Is Data Valid]]=TRUE,((Table1[[#This Row],[Birthweight (grams)]]*0.9/Table1[[#This Row],[BW_GA]])-1)/(Backend!$B$4/100*Table1[[#This Row],[BW40_3705]]),"")</f>
        <v/>
      </c>
      <c r="I7850" s="7" t="str">
        <f>IF(Table1[[#This Row],[Is Data Valid]]=TRUE,((Table1[[#This Row],[Birthweight (grams)]]*1.1/Table1[[#This Row],[BW_GA]])-1)/(Backend!$B$4/100*Table1[[#This Row],[BW40_3705]]),"")</f>
        <v/>
      </c>
      <c r="J7850" s="7" t="str">
        <f>IF(Table1[[#This Row],[Is Data Valid]]=TRUE,_xlfn.NORM.S.DIST(Table1[[#This Row],[Birthweight Z-Score]],TRUE)*100,"")</f>
        <v/>
      </c>
      <c r="K7850" s="7" t="str">
        <f>IF(Table1[[#This Row],[Is Data Valid]]=TRUE,_xlfn.NORM.S.DIST(Table1[[#This Row],[Birthweight Z-Score (BW-10%)]],TRUE)*100,"")</f>
        <v/>
      </c>
      <c r="L7850" s="7" t="str">
        <f>IF(Table1[[#This Row],[Is Data Valid]]=TRUE,_xlfn.NORM.S.DIST(Table1[[#This Row],[Birthweight Z-Score (BW+10%)]],TRUE)*100,"")</f>
        <v/>
      </c>
    </row>
    <row r="7851" spans="1:12" x14ac:dyDescent="0.35">
      <c r="A7851" s="3"/>
      <c r="B7851" s="2"/>
      <c r="C7851" s="2"/>
      <c r="D7851" s="2" t="b">
        <f>IF(AND(NOT(ISBLANK(Table1[[#This Row],[Fetal Sex (Male, Female or Unknown)]])),ISNUMBER(Table1[[#This Row],[Birthweight (grams)]]),ISNUMBER(Table1[[#This Row],[Gestation (days)]])),TRUE,FALSE)</f>
        <v>0</v>
      </c>
      <c r="E7851" s="2" t="str">
        <f>IF(Table1[[#This Row],[Is Data Valid]]=TRUE,IF(Table1[[#This Row],[Fetal Sex (Male, Female or Unknown)]]="Male",Backend!$C$6,IF(Table1[[#This Row],[Fetal Sex (Male, Female or Unknown)]]="Female",Backend!$C$7,IF(Table1[[#This Row],[Fetal Sex (Male, Female or Unknown)]]="Unknown",Backend!$C$8,"Error"))),"")</f>
        <v/>
      </c>
      <c r="F7851" s="8" t="str">
        <f>IF(Table1[[#This Row],[Is Data Valid]]=TRUE,EXP(0.578+0.332*((Table1[[#This Row],[Gestation (days)]]+0.5)/7)-0.00354*((Table1[[#This Row],[Gestation (days)]]+0.5)/7)^2)*Table1[[#This Row],[BW40_3705]],"")</f>
        <v/>
      </c>
      <c r="G7851" s="2" t="str">
        <f>IF(Table1[[#This Row],[Is Data Valid]]=TRUE,((Table1[[#This Row],[Birthweight (grams)]]/Table1[[#This Row],[BW_GA]])-1)/(Backend!$B$4/100*Table1[[#This Row],[BW40_3705]]),"")</f>
        <v/>
      </c>
      <c r="H7851" s="7" t="str">
        <f>IF(Table1[[#This Row],[Is Data Valid]]=TRUE,((Table1[[#This Row],[Birthweight (grams)]]*0.9/Table1[[#This Row],[BW_GA]])-1)/(Backend!$B$4/100*Table1[[#This Row],[BW40_3705]]),"")</f>
        <v/>
      </c>
      <c r="I7851" s="7" t="str">
        <f>IF(Table1[[#This Row],[Is Data Valid]]=TRUE,((Table1[[#This Row],[Birthweight (grams)]]*1.1/Table1[[#This Row],[BW_GA]])-1)/(Backend!$B$4/100*Table1[[#This Row],[BW40_3705]]),"")</f>
        <v/>
      </c>
      <c r="J7851" s="7" t="str">
        <f>IF(Table1[[#This Row],[Is Data Valid]]=TRUE,_xlfn.NORM.S.DIST(Table1[[#This Row],[Birthweight Z-Score]],TRUE)*100,"")</f>
        <v/>
      </c>
      <c r="K7851" s="7" t="str">
        <f>IF(Table1[[#This Row],[Is Data Valid]]=TRUE,_xlfn.NORM.S.DIST(Table1[[#This Row],[Birthweight Z-Score (BW-10%)]],TRUE)*100,"")</f>
        <v/>
      </c>
      <c r="L7851" s="7" t="str">
        <f>IF(Table1[[#This Row],[Is Data Valid]]=TRUE,_xlfn.NORM.S.DIST(Table1[[#This Row],[Birthweight Z-Score (BW+10%)]],TRUE)*100,"")</f>
        <v/>
      </c>
    </row>
    <row r="7852" spans="1:12" x14ac:dyDescent="0.35">
      <c r="A7852" s="3"/>
      <c r="B7852" s="2"/>
      <c r="C7852" s="2"/>
      <c r="D7852" s="2" t="b">
        <f>IF(AND(NOT(ISBLANK(Table1[[#This Row],[Fetal Sex (Male, Female or Unknown)]])),ISNUMBER(Table1[[#This Row],[Birthweight (grams)]]),ISNUMBER(Table1[[#This Row],[Gestation (days)]])),TRUE,FALSE)</f>
        <v>0</v>
      </c>
      <c r="E7852" s="2" t="str">
        <f>IF(Table1[[#This Row],[Is Data Valid]]=TRUE,IF(Table1[[#This Row],[Fetal Sex (Male, Female or Unknown)]]="Male",Backend!$C$6,IF(Table1[[#This Row],[Fetal Sex (Male, Female or Unknown)]]="Female",Backend!$C$7,IF(Table1[[#This Row],[Fetal Sex (Male, Female or Unknown)]]="Unknown",Backend!$C$8,"Error"))),"")</f>
        <v/>
      </c>
      <c r="F7852" s="8" t="str">
        <f>IF(Table1[[#This Row],[Is Data Valid]]=TRUE,EXP(0.578+0.332*((Table1[[#This Row],[Gestation (days)]]+0.5)/7)-0.00354*((Table1[[#This Row],[Gestation (days)]]+0.5)/7)^2)*Table1[[#This Row],[BW40_3705]],"")</f>
        <v/>
      </c>
      <c r="G7852" s="2" t="str">
        <f>IF(Table1[[#This Row],[Is Data Valid]]=TRUE,((Table1[[#This Row],[Birthweight (grams)]]/Table1[[#This Row],[BW_GA]])-1)/(Backend!$B$4/100*Table1[[#This Row],[BW40_3705]]),"")</f>
        <v/>
      </c>
      <c r="H7852" s="7" t="str">
        <f>IF(Table1[[#This Row],[Is Data Valid]]=TRUE,((Table1[[#This Row],[Birthweight (grams)]]*0.9/Table1[[#This Row],[BW_GA]])-1)/(Backend!$B$4/100*Table1[[#This Row],[BW40_3705]]),"")</f>
        <v/>
      </c>
      <c r="I7852" s="7" t="str">
        <f>IF(Table1[[#This Row],[Is Data Valid]]=TRUE,((Table1[[#This Row],[Birthweight (grams)]]*1.1/Table1[[#This Row],[BW_GA]])-1)/(Backend!$B$4/100*Table1[[#This Row],[BW40_3705]]),"")</f>
        <v/>
      </c>
      <c r="J7852" s="7" t="str">
        <f>IF(Table1[[#This Row],[Is Data Valid]]=TRUE,_xlfn.NORM.S.DIST(Table1[[#This Row],[Birthweight Z-Score]],TRUE)*100,"")</f>
        <v/>
      </c>
      <c r="K7852" s="7" t="str">
        <f>IF(Table1[[#This Row],[Is Data Valid]]=TRUE,_xlfn.NORM.S.DIST(Table1[[#This Row],[Birthweight Z-Score (BW-10%)]],TRUE)*100,"")</f>
        <v/>
      </c>
      <c r="L7852" s="7" t="str">
        <f>IF(Table1[[#This Row],[Is Data Valid]]=TRUE,_xlfn.NORM.S.DIST(Table1[[#This Row],[Birthweight Z-Score (BW+10%)]],TRUE)*100,"")</f>
        <v/>
      </c>
    </row>
    <row r="7853" spans="1:12" x14ac:dyDescent="0.35">
      <c r="A7853" s="3"/>
      <c r="B7853" s="2"/>
      <c r="C7853" s="2"/>
      <c r="D7853" s="2" t="b">
        <f>IF(AND(NOT(ISBLANK(Table1[[#This Row],[Fetal Sex (Male, Female or Unknown)]])),ISNUMBER(Table1[[#This Row],[Birthweight (grams)]]),ISNUMBER(Table1[[#This Row],[Gestation (days)]])),TRUE,FALSE)</f>
        <v>0</v>
      </c>
      <c r="E7853" s="2" t="str">
        <f>IF(Table1[[#This Row],[Is Data Valid]]=TRUE,IF(Table1[[#This Row],[Fetal Sex (Male, Female or Unknown)]]="Male",Backend!$C$6,IF(Table1[[#This Row],[Fetal Sex (Male, Female or Unknown)]]="Female",Backend!$C$7,IF(Table1[[#This Row],[Fetal Sex (Male, Female or Unknown)]]="Unknown",Backend!$C$8,"Error"))),"")</f>
        <v/>
      </c>
      <c r="F7853" s="8" t="str">
        <f>IF(Table1[[#This Row],[Is Data Valid]]=TRUE,EXP(0.578+0.332*((Table1[[#This Row],[Gestation (days)]]+0.5)/7)-0.00354*((Table1[[#This Row],[Gestation (days)]]+0.5)/7)^2)*Table1[[#This Row],[BW40_3705]],"")</f>
        <v/>
      </c>
      <c r="G7853" s="2" t="str">
        <f>IF(Table1[[#This Row],[Is Data Valid]]=TRUE,((Table1[[#This Row],[Birthweight (grams)]]/Table1[[#This Row],[BW_GA]])-1)/(Backend!$B$4/100*Table1[[#This Row],[BW40_3705]]),"")</f>
        <v/>
      </c>
      <c r="H7853" s="7" t="str">
        <f>IF(Table1[[#This Row],[Is Data Valid]]=TRUE,((Table1[[#This Row],[Birthweight (grams)]]*0.9/Table1[[#This Row],[BW_GA]])-1)/(Backend!$B$4/100*Table1[[#This Row],[BW40_3705]]),"")</f>
        <v/>
      </c>
      <c r="I7853" s="7" t="str">
        <f>IF(Table1[[#This Row],[Is Data Valid]]=TRUE,((Table1[[#This Row],[Birthweight (grams)]]*1.1/Table1[[#This Row],[BW_GA]])-1)/(Backend!$B$4/100*Table1[[#This Row],[BW40_3705]]),"")</f>
        <v/>
      </c>
      <c r="J7853" s="7" t="str">
        <f>IF(Table1[[#This Row],[Is Data Valid]]=TRUE,_xlfn.NORM.S.DIST(Table1[[#This Row],[Birthweight Z-Score]],TRUE)*100,"")</f>
        <v/>
      </c>
      <c r="K7853" s="7" t="str">
        <f>IF(Table1[[#This Row],[Is Data Valid]]=TRUE,_xlfn.NORM.S.DIST(Table1[[#This Row],[Birthweight Z-Score (BW-10%)]],TRUE)*100,"")</f>
        <v/>
      </c>
      <c r="L7853" s="7" t="str">
        <f>IF(Table1[[#This Row],[Is Data Valid]]=TRUE,_xlfn.NORM.S.DIST(Table1[[#This Row],[Birthweight Z-Score (BW+10%)]],TRUE)*100,"")</f>
        <v/>
      </c>
    </row>
    <row r="7854" spans="1:12" x14ac:dyDescent="0.35">
      <c r="A7854" s="3"/>
      <c r="B7854" s="2"/>
      <c r="C7854" s="2"/>
      <c r="D7854" s="2" t="b">
        <f>IF(AND(NOT(ISBLANK(Table1[[#This Row],[Fetal Sex (Male, Female or Unknown)]])),ISNUMBER(Table1[[#This Row],[Birthweight (grams)]]),ISNUMBER(Table1[[#This Row],[Gestation (days)]])),TRUE,FALSE)</f>
        <v>0</v>
      </c>
      <c r="E7854" s="2" t="str">
        <f>IF(Table1[[#This Row],[Is Data Valid]]=TRUE,IF(Table1[[#This Row],[Fetal Sex (Male, Female or Unknown)]]="Male",Backend!$C$6,IF(Table1[[#This Row],[Fetal Sex (Male, Female or Unknown)]]="Female",Backend!$C$7,IF(Table1[[#This Row],[Fetal Sex (Male, Female or Unknown)]]="Unknown",Backend!$C$8,"Error"))),"")</f>
        <v/>
      </c>
      <c r="F7854" s="8" t="str">
        <f>IF(Table1[[#This Row],[Is Data Valid]]=TRUE,EXP(0.578+0.332*((Table1[[#This Row],[Gestation (days)]]+0.5)/7)-0.00354*((Table1[[#This Row],[Gestation (days)]]+0.5)/7)^2)*Table1[[#This Row],[BW40_3705]],"")</f>
        <v/>
      </c>
      <c r="G7854" s="2" t="str">
        <f>IF(Table1[[#This Row],[Is Data Valid]]=TRUE,((Table1[[#This Row],[Birthweight (grams)]]/Table1[[#This Row],[BW_GA]])-1)/(Backend!$B$4/100*Table1[[#This Row],[BW40_3705]]),"")</f>
        <v/>
      </c>
      <c r="H7854" s="7" t="str">
        <f>IF(Table1[[#This Row],[Is Data Valid]]=TRUE,((Table1[[#This Row],[Birthweight (grams)]]*0.9/Table1[[#This Row],[BW_GA]])-1)/(Backend!$B$4/100*Table1[[#This Row],[BW40_3705]]),"")</f>
        <v/>
      </c>
      <c r="I7854" s="7" t="str">
        <f>IF(Table1[[#This Row],[Is Data Valid]]=TRUE,((Table1[[#This Row],[Birthweight (grams)]]*1.1/Table1[[#This Row],[BW_GA]])-1)/(Backend!$B$4/100*Table1[[#This Row],[BW40_3705]]),"")</f>
        <v/>
      </c>
      <c r="J7854" s="7" t="str">
        <f>IF(Table1[[#This Row],[Is Data Valid]]=TRUE,_xlfn.NORM.S.DIST(Table1[[#This Row],[Birthweight Z-Score]],TRUE)*100,"")</f>
        <v/>
      </c>
      <c r="K7854" s="7" t="str">
        <f>IF(Table1[[#This Row],[Is Data Valid]]=TRUE,_xlfn.NORM.S.DIST(Table1[[#This Row],[Birthweight Z-Score (BW-10%)]],TRUE)*100,"")</f>
        <v/>
      </c>
      <c r="L7854" s="7" t="str">
        <f>IF(Table1[[#This Row],[Is Data Valid]]=TRUE,_xlfn.NORM.S.DIST(Table1[[#This Row],[Birthweight Z-Score (BW+10%)]],TRUE)*100,"")</f>
        <v/>
      </c>
    </row>
    <row r="7855" spans="1:12" x14ac:dyDescent="0.35">
      <c r="A7855" s="3"/>
      <c r="B7855" s="2"/>
      <c r="C7855" s="2"/>
      <c r="D7855" s="2" t="b">
        <f>IF(AND(NOT(ISBLANK(Table1[[#This Row],[Fetal Sex (Male, Female or Unknown)]])),ISNUMBER(Table1[[#This Row],[Birthweight (grams)]]),ISNUMBER(Table1[[#This Row],[Gestation (days)]])),TRUE,FALSE)</f>
        <v>0</v>
      </c>
      <c r="E7855" s="2" t="str">
        <f>IF(Table1[[#This Row],[Is Data Valid]]=TRUE,IF(Table1[[#This Row],[Fetal Sex (Male, Female or Unknown)]]="Male",Backend!$C$6,IF(Table1[[#This Row],[Fetal Sex (Male, Female or Unknown)]]="Female",Backend!$C$7,IF(Table1[[#This Row],[Fetal Sex (Male, Female or Unknown)]]="Unknown",Backend!$C$8,"Error"))),"")</f>
        <v/>
      </c>
      <c r="F7855" s="8" t="str">
        <f>IF(Table1[[#This Row],[Is Data Valid]]=TRUE,EXP(0.578+0.332*((Table1[[#This Row],[Gestation (days)]]+0.5)/7)-0.00354*((Table1[[#This Row],[Gestation (days)]]+0.5)/7)^2)*Table1[[#This Row],[BW40_3705]],"")</f>
        <v/>
      </c>
      <c r="G7855" s="2" t="str">
        <f>IF(Table1[[#This Row],[Is Data Valid]]=TRUE,((Table1[[#This Row],[Birthweight (grams)]]/Table1[[#This Row],[BW_GA]])-1)/(Backend!$B$4/100*Table1[[#This Row],[BW40_3705]]),"")</f>
        <v/>
      </c>
      <c r="H7855" s="7" t="str">
        <f>IF(Table1[[#This Row],[Is Data Valid]]=TRUE,((Table1[[#This Row],[Birthweight (grams)]]*0.9/Table1[[#This Row],[BW_GA]])-1)/(Backend!$B$4/100*Table1[[#This Row],[BW40_3705]]),"")</f>
        <v/>
      </c>
      <c r="I7855" s="7" t="str">
        <f>IF(Table1[[#This Row],[Is Data Valid]]=TRUE,((Table1[[#This Row],[Birthweight (grams)]]*1.1/Table1[[#This Row],[BW_GA]])-1)/(Backend!$B$4/100*Table1[[#This Row],[BW40_3705]]),"")</f>
        <v/>
      </c>
      <c r="J7855" s="7" t="str">
        <f>IF(Table1[[#This Row],[Is Data Valid]]=TRUE,_xlfn.NORM.S.DIST(Table1[[#This Row],[Birthweight Z-Score]],TRUE)*100,"")</f>
        <v/>
      </c>
      <c r="K7855" s="7" t="str">
        <f>IF(Table1[[#This Row],[Is Data Valid]]=TRUE,_xlfn.NORM.S.DIST(Table1[[#This Row],[Birthweight Z-Score (BW-10%)]],TRUE)*100,"")</f>
        <v/>
      </c>
      <c r="L7855" s="7" t="str">
        <f>IF(Table1[[#This Row],[Is Data Valid]]=TRUE,_xlfn.NORM.S.DIST(Table1[[#This Row],[Birthweight Z-Score (BW+10%)]],TRUE)*100,"")</f>
        <v/>
      </c>
    </row>
    <row r="7856" spans="1:12" x14ac:dyDescent="0.35">
      <c r="A7856" s="3"/>
      <c r="B7856" s="2"/>
      <c r="C7856" s="2"/>
      <c r="D7856" s="2" t="b">
        <f>IF(AND(NOT(ISBLANK(Table1[[#This Row],[Fetal Sex (Male, Female or Unknown)]])),ISNUMBER(Table1[[#This Row],[Birthweight (grams)]]),ISNUMBER(Table1[[#This Row],[Gestation (days)]])),TRUE,FALSE)</f>
        <v>0</v>
      </c>
      <c r="E7856" s="2" t="str">
        <f>IF(Table1[[#This Row],[Is Data Valid]]=TRUE,IF(Table1[[#This Row],[Fetal Sex (Male, Female or Unknown)]]="Male",Backend!$C$6,IF(Table1[[#This Row],[Fetal Sex (Male, Female or Unknown)]]="Female",Backend!$C$7,IF(Table1[[#This Row],[Fetal Sex (Male, Female or Unknown)]]="Unknown",Backend!$C$8,"Error"))),"")</f>
        <v/>
      </c>
      <c r="F7856" s="8" t="str">
        <f>IF(Table1[[#This Row],[Is Data Valid]]=TRUE,EXP(0.578+0.332*((Table1[[#This Row],[Gestation (days)]]+0.5)/7)-0.00354*((Table1[[#This Row],[Gestation (days)]]+0.5)/7)^2)*Table1[[#This Row],[BW40_3705]],"")</f>
        <v/>
      </c>
      <c r="G7856" s="2" t="str">
        <f>IF(Table1[[#This Row],[Is Data Valid]]=TRUE,((Table1[[#This Row],[Birthweight (grams)]]/Table1[[#This Row],[BW_GA]])-1)/(Backend!$B$4/100*Table1[[#This Row],[BW40_3705]]),"")</f>
        <v/>
      </c>
      <c r="H7856" s="7" t="str">
        <f>IF(Table1[[#This Row],[Is Data Valid]]=TRUE,((Table1[[#This Row],[Birthweight (grams)]]*0.9/Table1[[#This Row],[BW_GA]])-1)/(Backend!$B$4/100*Table1[[#This Row],[BW40_3705]]),"")</f>
        <v/>
      </c>
      <c r="I7856" s="7" t="str">
        <f>IF(Table1[[#This Row],[Is Data Valid]]=TRUE,((Table1[[#This Row],[Birthweight (grams)]]*1.1/Table1[[#This Row],[BW_GA]])-1)/(Backend!$B$4/100*Table1[[#This Row],[BW40_3705]]),"")</f>
        <v/>
      </c>
      <c r="J7856" s="7" t="str">
        <f>IF(Table1[[#This Row],[Is Data Valid]]=TRUE,_xlfn.NORM.S.DIST(Table1[[#This Row],[Birthweight Z-Score]],TRUE)*100,"")</f>
        <v/>
      </c>
      <c r="K7856" s="7" t="str">
        <f>IF(Table1[[#This Row],[Is Data Valid]]=TRUE,_xlfn.NORM.S.DIST(Table1[[#This Row],[Birthweight Z-Score (BW-10%)]],TRUE)*100,"")</f>
        <v/>
      </c>
      <c r="L7856" s="7" t="str">
        <f>IF(Table1[[#This Row],[Is Data Valid]]=TRUE,_xlfn.NORM.S.DIST(Table1[[#This Row],[Birthweight Z-Score (BW+10%)]],TRUE)*100,"")</f>
        <v/>
      </c>
    </row>
    <row r="7857" spans="1:12" x14ac:dyDescent="0.35">
      <c r="A7857" s="3"/>
      <c r="B7857" s="2"/>
      <c r="C7857" s="2"/>
      <c r="D7857" s="2" t="b">
        <f>IF(AND(NOT(ISBLANK(Table1[[#This Row],[Fetal Sex (Male, Female or Unknown)]])),ISNUMBER(Table1[[#This Row],[Birthweight (grams)]]),ISNUMBER(Table1[[#This Row],[Gestation (days)]])),TRUE,FALSE)</f>
        <v>0</v>
      </c>
      <c r="E7857" s="2" t="str">
        <f>IF(Table1[[#This Row],[Is Data Valid]]=TRUE,IF(Table1[[#This Row],[Fetal Sex (Male, Female or Unknown)]]="Male",Backend!$C$6,IF(Table1[[#This Row],[Fetal Sex (Male, Female or Unknown)]]="Female",Backend!$C$7,IF(Table1[[#This Row],[Fetal Sex (Male, Female or Unknown)]]="Unknown",Backend!$C$8,"Error"))),"")</f>
        <v/>
      </c>
      <c r="F7857" s="8" t="str">
        <f>IF(Table1[[#This Row],[Is Data Valid]]=TRUE,EXP(0.578+0.332*((Table1[[#This Row],[Gestation (days)]]+0.5)/7)-0.00354*((Table1[[#This Row],[Gestation (days)]]+0.5)/7)^2)*Table1[[#This Row],[BW40_3705]],"")</f>
        <v/>
      </c>
      <c r="G7857" s="2" t="str">
        <f>IF(Table1[[#This Row],[Is Data Valid]]=TRUE,((Table1[[#This Row],[Birthweight (grams)]]/Table1[[#This Row],[BW_GA]])-1)/(Backend!$B$4/100*Table1[[#This Row],[BW40_3705]]),"")</f>
        <v/>
      </c>
      <c r="H7857" s="7" t="str">
        <f>IF(Table1[[#This Row],[Is Data Valid]]=TRUE,((Table1[[#This Row],[Birthweight (grams)]]*0.9/Table1[[#This Row],[BW_GA]])-1)/(Backend!$B$4/100*Table1[[#This Row],[BW40_3705]]),"")</f>
        <v/>
      </c>
      <c r="I7857" s="7" t="str">
        <f>IF(Table1[[#This Row],[Is Data Valid]]=TRUE,((Table1[[#This Row],[Birthweight (grams)]]*1.1/Table1[[#This Row],[BW_GA]])-1)/(Backend!$B$4/100*Table1[[#This Row],[BW40_3705]]),"")</f>
        <v/>
      </c>
      <c r="J7857" s="7" t="str">
        <f>IF(Table1[[#This Row],[Is Data Valid]]=TRUE,_xlfn.NORM.S.DIST(Table1[[#This Row],[Birthweight Z-Score]],TRUE)*100,"")</f>
        <v/>
      </c>
      <c r="K7857" s="7" t="str">
        <f>IF(Table1[[#This Row],[Is Data Valid]]=TRUE,_xlfn.NORM.S.DIST(Table1[[#This Row],[Birthweight Z-Score (BW-10%)]],TRUE)*100,"")</f>
        <v/>
      </c>
      <c r="L7857" s="7" t="str">
        <f>IF(Table1[[#This Row],[Is Data Valid]]=TRUE,_xlfn.NORM.S.DIST(Table1[[#This Row],[Birthweight Z-Score (BW+10%)]],TRUE)*100,"")</f>
        <v/>
      </c>
    </row>
    <row r="7858" spans="1:12" x14ac:dyDescent="0.35">
      <c r="A7858" s="3"/>
      <c r="B7858" s="2"/>
      <c r="C7858" s="2"/>
      <c r="D7858" s="2" t="b">
        <f>IF(AND(NOT(ISBLANK(Table1[[#This Row],[Fetal Sex (Male, Female or Unknown)]])),ISNUMBER(Table1[[#This Row],[Birthweight (grams)]]),ISNUMBER(Table1[[#This Row],[Gestation (days)]])),TRUE,FALSE)</f>
        <v>0</v>
      </c>
      <c r="E7858" s="2" t="str">
        <f>IF(Table1[[#This Row],[Is Data Valid]]=TRUE,IF(Table1[[#This Row],[Fetal Sex (Male, Female or Unknown)]]="Male",Backend!$C$6,IF(Table1[[#This Row],[Fetal Sex (Male, Female or Unknown)]]="Female",Backend!$C$7,IF(Table1[[#This Row],[Fetal Sex (Male, Female or Unknown)]]="Unknown",Backend!$C$8,"Error"))),"")</f>
        <v/>
      </c>
      <c r="F7858" s="8" t="str">
        <f>IF(Table1[[#This Row],[Is Data Valid]]=TRUE,EXP(0.578+0.332*((Table1[[#This Row],[Gestation (days)]]+0.5)/7)-0.00354*((Table1[[#This Row],[Gestation (days)]]+0.5)/7)^2)*Table1[[#This Row],[BW40_3705]],"")</f>
        <v/>
      </c>
      <c r="G7858" s="2" t="str">
        <f>IF(Table1[[#This Row],[Is Data Valid]]=TRUE,((Table1[[#This Row],[Birthweight (grams)]]/Table1[[#This Row],[BW_GA]])-1)/(Backend!$B$4/100*Table1[[#This Row],[BW40_3705]]),"")</f>
        <v/>
      </c>
      <c r="H7858" s="7" t="str">
        <f>IF(Table1[[#This Row],[Is Data Valid]]=TRUE,((Table1[[#This Row],[Birthweight (grams)]]*0.9/Table1[[#This Row],[BW_GA]])-1)/(Backend!$B$4/100*Table1[[#This Row],[BW40_3705]]),"")</f>
        <v/>
      </c>
      <c r="I7858" s="7" t="str">
        <f>IF(Table1[[#This Row],[Is Data Valid]]=TRUE,((Table1[[#This Row],[Birthweight (grams)]]*1.1/Table1[[#This Row],[BW_GA]])-1)/(Backend!$B$4/100*Table1[[#This Row],[BW40_3705]]),"")</f>
        <v/>
      </c>
      <c r="J7858" s="7" t="str">
        <f>IF(Table1[[#This Row],[Is Data Valid]]=TRUE,_xlfn.NORM.S.DIST(Table1[[#This Row],[Birthweight Z-Score]],TRUE)*100,"")</f>
        <v/>
      </c>
      <c r="K7858" s="7" t="str">
        <f>IF(Table1[[#This Row],[Is Data Valid]]=TRUE,_xlfn.NORM.S.DIST(Table1[[#This Row],[Birthweight Z-Score (BW-10%)]],TRUE)*100,"")</f>
        <v/>
      </c>
      <c r="L7858" s="7" t="str">
        <f>IF(Table1[[#This Row],[Is Data Valid]]=TRUE,_xlfn.NORM.S.DIST(Table1[[#This Row],[Birthweight Z-Score (BW+10%)]],TRUE)*100,"")</f>
        <v/>
      </c>
    </row>
    <row r="7859" spans="1:12" x14ac:dyDescent="0.35">
      <c r="A7859" s="3"/>
      <c r="B7859" s="2"/>
      <c r="C7859" s="2"/>
      <c r="D7859" s="2" t="b">
        <f>IF(AND(NOT(ISBLANK(Table1[[#This Row],[Fetal Sex (Male, Female or Unknown)]])),ISNUMBER(Table1[[#This Row],[Birthweight (grams)]]),ISNUMBER(Table1[[#This Row],[Gestation (days)]])),TRUE,FALSE)</f>
        <v>0</v>
      </c>
      <c r="E7859" s="2" t="str">
        <f>IF(Table1[[#This Row],[Is Data Valid]]=TRUE,IF(Table1[[#This Row],[Fetal Sex (Male, Female or Unknown)]]="Male",Backend!$C$6,IF(Table1[[#This Row],[Fetal Sex (Male, Female or Unknown)]]="Female",Backend!$C$7,IF(Table1[[#This Row],[Fetal Sex (Male, Female or Unknown)]]="Unknown",Backend!$C$8,"Error"))),"")</f>
        <v/>
      </c>
      <c r="F7859" s="8" t="str">
        <f>IF(Table1[[#This Row],[Is Data Valid]]=TRUE,EXP(0.578+0.332*((Table1[[#This Row],[Gestation (days)]]+0.5)/7)-0.00354*((Table1[[#This Row],[Gestation (days)]]+0.5)/7)^2)*Table1[[#This Row],[BW40_3705]],"")</f>
        <v/>
      </c>
      <c r="G7859" s="2" t="str">
        <f>IF(Table1[[#This Row],[Is Data Valid]]=TRUE,((Table1[[#This Row],[Birthweight (grams)]]/Table1[[#This Row],[BW_GA]])-1)/(Backend!$B$4/100*Table1[[#This Row],[BW40_3705]]),"")</f>
        <v/>
      </c>
      <c r="H7859" s="7" t="str">
        <f>IF(Table1[[#This Row],[Is Data Valid]]=TRUE,((Table1[[#This Row],[Birthweight (grams)]]*0.9/Table1[[#This Row],[BW_GA]])-1)/(Backend!$B$4/100*Table1[[#This Row],[BW40_3705]]),"")</f>
        <v/>
      </c>
      <c r="I7859" s="7" t="str">
        <f>IF(Table1[[#This Row],[Is Data Valid]]=TRUE,((Table1[[#This Row],[Birthweight (grams)]]*1.1/Table1[[#This Row],[BW_GA]])-1)/(Backend!$B$4/100*Table1[[#This Row],[BW40_3705]]),"")</f>
        <v/>
      </c>
      <c r="J7859" s="7" t="str">
        <f>IF(Table1[[#This Row],[Is Data Valid]]=TRUE,_xlfn.NORM.S.DIST(Table1[[#This Row],[Birthweight Z-Score]],TRUE)*100,"")</f>
        <v/>
      </c>
      <c r="K7859" s="7" t="str">
        <f>IF(Table1[[#This Row],[Is Data Valid]]=TRUE,_xlfn.NORM.S.DIST(Table1[[#This Row],[Birthweight Z-Score (BW-10%)]],TRUE)*100,"")</f>
        <v/>
      </c>
      <c r="L7859" s="7" t="str">
        <f>IF(Table1[[#This Row],[Is Data Valid]]=TRUE,_xlfn.NORM.S.DIST(Table1[[#This Row],[Birthweight Z-Score (BW+10%)]],TRUE)*100,"")</f>
        <v/>
      </c>
    </row>
    <row r="7860" spans="1:12" x14ac:dyDescent="0.35">
      <c r="A7860" s="3"/>
      <c r="B7860" s="2"/>
      <c r="C7860" s="2"/>
      <c r="D7860" s="2" t="b">
        <f>IF(AND(NOT(ISBLANK(Table1[[#This Row],[Fetal Sex (Male, Female or Unknown)]])),ISNUMBER(Table1[[#This Row],[Birthweight (grams)]]),ISNUMBER(Table1[[#This Row],[Gestation (days)]])),TRUE,FALSE)</f>
        <v>0</v>
      </c>
      <c r="E7860" s="2" t="str">
        <f>IF(Table1[[#This Row],[Is Data Valid]]=TRUE,IF(Table1[[#This Row],[Fetal Sex (Male, Female or Unknown)]]="Male",Backend!$C$6,IF(Table1[[#This Row],[Fetal Sex (Male, Female or Unknown)]]="Female",Backend!$C$7,IF(Table1[[#This Row],[Fetal Sex (Male, Female or Unknown)]]="Unknown",Backend!$C$8,"Error"))),"")</f>
        <v/>
      </c>
      <c r="F7860" s="8" t="str">
        <f>IF(Table1[[#This Row],[Is Data Valid]]=TRUE,EXP(0.578+0.332*((Table1[[#This Row],[Gestation (days)]]+0.5)/7)-0.00354*((Table1[[#This Row],[Gestation (days)]]+0.5)/7)^2)*Table1[[#This Row],[BW40_3705]],"")</f>
        <v/>
      </c>
      <c r="G7860" s="2" t="str">
        <f>IF(Table1[[#This Row],[Is Data Valid]]=TRUE,((Table1[[#This Row],[Birthweight (grams)]]/Table1[[#This Row],[BW_GA]])-1)/(Backend!$B$4/100*Table1[[#This Row],[BW40_3705]]),"")</f>
        <v/>
      </c>
      <c r="H7860" s="7" t="str">
        <f>IF(Table1[[#This Row],[Is Data Valid]]=TRUE,((Table1[[#This Row],[Birthweight (grams)]]*0.9/Table1[[#This Row],[BW_GA]])-1)/(Backend!$B$4/100*Table1[[#This Row],[BW40_3705]]),"")</f>
        <v/>
      </c>
      <c r="I7860" s="7" t="str">
        <f>IF(Table1[[#This Row],[Is Data Valid]]=TRUE,((Table1[[#This Row],[Birthweight (grams)]]*1.1/Table1[[#This Row],[BW_GA]])-1)/(Backend!$B$4/100*Table1[[#This Row],[BW40_3705]]),"")</f>
        <v/>
      </c>
      <c r="J7860" s="7" t="str">
        <f>IF(Table1[[#This Row],[Is Data Valid]]=TRUE,_xlfn.NORM.S.DIST(Table1[[#This Row],[Birthweight Z-Score]],TRUE)*100,"")</f>
        <v/>
      </c>
      <c r="K7860" s="7" t="str">
        <f>IF(Table1[[#This Row],[Is Data Valid]]=TRUE,_xlfn.NORM.S.DIST(Table1[[#This Row],[Birthweight Z-Score (BW-10%)]],TRUE)*100,"")</f>
        <v/>
      </c>
      <c r="L7860" s="7" t="str">
        <f>IF(Table1[[#This Row],[Is Data Valid]]=TRUE,_xlfn.NORM.S.DIST(Table1[[#This Row],[Birthweight Z-Score (BW+10%)]],TRUE)*100,"")</f>
        <v/>
      </c>
    </row>
    <row r="7861" spans="1:12" x14ac:dyDescent="0.35">
      <c r="A7861" s="3"/>
      <c r="B7861" s="2"/>
      <c r="C7861" s="2"/>
      <c r="D7861" s="2" t="b">
        <f>IF(AND(NOT(ISBLANK(Table1[[#This Row],[Fetal Sex (Male, Female or Unknown)]])),ISNUMBER(Table1[[#This Row],[Birthweight (grams)]]),ISNUMBER(Table1[[#This Row],[Gestation (days)]])),TRUE,FALSE)</f>
        <v>0</v>
      </c>
      <c r="E7861" s="2" t="str">
        <f>IF(Table1[[#This Row],[Is Data Valid]]=TRUE,IF(Table1[[#This Row],[Fetal Sex (Male, Female or Unknown)]]="Male",Backend!$C$6,IF(Table1[[#This Row],[Fetal Sex (Male, Female or Unknown)]]="Female",Backend!$C$7,IF(Table1[[#This Row],[Fetal Sex (Male, Female or Unknown)]]="Unknown",Backend!$C$8,"Error"))),"")</f>
        <v/>
      </c>
      <c r="F7861" s="8" t="str">
        <f>IF(Table1[[#This Row],[Is Data Valid]]=TRUE,EXP(0.578+0.332*((Table1[[#This Row],[Gestation (days)]]+0.5)/7)-0.00354*((Table1[[#This Row],[Gestation (days)]]+0.5)/7)^2)*Table1[[#This Row],[BW40_3705]],"")</f>
        <v/>
      </c>
      <c r="G7861" s="2" t="str">
        <f>IF(Table1[[#This Row],[Is Data Valid]]=TRUE,((Table1[[#This Row],[Birthweight (grams)]]/Table1[[#This Row],[BW_GA]])-1)/(Backend!$B$4/100*Table1[[#This Row],[BW40_3705]]),"")</f>
        <v/>
      </c>
      <c r="H7861" s="7" t="str">
        <f>IF(Table1[[#This Row],[Is Data Valid]]=TRUE,((Table1[[#This Row],[Birthweight (grams)]]*0.9/Table1[[#This Row],[BW_GA]])-1)/(Backend!$B$4/100*Table1[[#This Row],[BW40_3705]]),"")</f>
        <v/>
      </c>
      <c r="I7861" s="7" t="str">
        <f>IF(Table1[[#This Row],[Is Data Valid]]=TRUE,((Table1[[#This Row],[Birthweight (grams)]]*1.1/Table1[[#This Row],[BW_GA]])-1)/(Backend!$B$4/100*Table1[[#This Row],[BW40_3705]]),"")</f>
        <v/>
      </c>
      <c r="J7861" s="7" t="str">
        <f>IF(Table1[[#This Row],[Is Data Valid]]=TRUE,_xlfn.NORM.S.DIST(Table1[[#This Row],[Birthweight Z-Score]],TRUE)*100,"")</f>
        <v/>
      </c>
      <c r="K7861" s="7" t="str">
        <f>IF(Table1[[#This Row],[Is Data Valid]]=TRUE,_xlfn.NORM.S.DIST(Table1[[#This Row],[Birthweight Z-Score (BW-10%)]],TRUE)*100,"")</f>
        <v/>
      </c>
      <c r="L7861" s="7" t="str">
        <f>IF(Table1[[#This Row],[Is Data Valid]]=TRUE,_xlfn.NORM.S.DIST(Table1[[#This Row],[Birthweight Z-Score (BW+10%)]],TRUE)*100,"")</f>
        <v/>
      </c>
    </row>
    <row r="7862" spans="1:12" x14ac:dyDescent="0.35">
      <c r="A7862" s="3"/>
      <c r="B7862" s="2"/>
      <c r="C7862" s="2"/>
      <c r="D7862" s="2" t="b">
        <f>IF(AND(NOT(ISBLANK(Table1[[#This Row],[Fetal Sex (Male, Female or Unknown)]])),ISNUMBER(Table1[[#This Row],[Birthweight (grams)]]),ISNUMBER(Table1[[#This Row],[Gestation (days)]])),TRUE,FALSE)</f>
        <v>0</v>
      </c>
      <c r="E7862" s="2" t="str">
        <f>IF(Table1[[#This Row],[Is Data Valid]]=TRUE,IF(Table1[[#This Row],[Fetal Sex (Male, Female or Unknown)]]="Male",Backend!$C$6,IF(Table1[[#This Row],[Fetal Sex (Male, Female or Unknown)]]="Female",Backend!$C$7,IF(Table1[[#This Row],[Fetal Sex (Male, Female or Unknown)]]="Unknown",Backend!$C$8,"Error"))),"")</f>
        <v/>
      </c>
      <c r="F7862" s="8" t="str">
        <f>IF(Table1[[#This Row],[Is Data Valid]]=TRUE,EXP(0.578+0.332*((Table1[[#This Row],[Gestation (days)]]+0.5)/7)-0.00354*((Table1[[#This Row],[Gestation (days)]]+0.5)/7)^2)*Table1[[#This Row],[BW40_3705]],"")</f>
        <v/>
      </c>
      <c r="G7862" s="2" t="str">
        <f>IF(Table1[[#This Row],[Is Data Valid]]=TRUE,((Table1[[#This Row],[Birthweight (grams)]]/Table1[[#This Row],[BW_GA]])-1)/(Backend!$B$4/100*Table1[[#This Row],[BW40_3705]]),"")</f>
        <v/>
      </c>
      <c r="H7862" s="7" t="str">
        <f>IF(Table1[[#This Row],[Is Data Valid]]=TRUE,((Table1[[#This Row],[Birthweight (grams)]]*0.9/Table1[[#This Row],[BW_GA]])-1)/(Backend!$B$4/100*Table1[[#This Row],[BW40_3705]]),"")</f>
        <v/>
      </c>
      <c r="I7862" s="7" t="str">
        <f>IF(Table1[[#This Row],[Is Data Valid]]=TRUE,((Table1[[#This Row],[Birthweight (grams)]]*1.1/Table1[[#This Row],[BW_GA]])-1)/(Backend!$B$4/100*Table1[[#This Row],[BW40_3705]]),"")</f>
        <v/>
      </c>
      <c r="J7862" s="7" t="str">
        <f>IF(Table1[[#This Row],[Is Data Valid]]=TRUE,_xlfn.NORM.S.DIST(Table1[[#This Row],[Birthweight Z-Score]],TRUE)*100,"")</f>
        <v/>
      </c>
      <c r="K7862" s="7" t="str">
        <f>IF(Table1[[#This Row],[Is Data Valid]]=TRUE,_xlfn.NORM.S.DIST(Table1[[#This Row],[Birthweight Z-Score (BW-10%)]],TRUE)*100,"")</f>
        <v/>
      </c>
      <c r="L7862" s="7" t="str">
        <f>IF(Table1[[#This Row],[Is Data Valid]]=TRUE,_xlfn.NORM.S.DIST(Table1[[#This Row],[Birthweight Z-Score (BW+10%)]],TRUE)*100,"")</f>
        <v/>
      </c>
    </row>
    <row r="7863" spans="1:12" x14ac:dyDescent="0.35">
      <c r="A7863" s="3"/>
      <c r="B7863" s="2"/>
      <c r="C7863" s="2"/>
      <c r="D7863" s="2" t="b">
        <f>IF(AND(NOT(ISBLANK(Table1[[#This Row],[Fetal Sex (Male, Female or Unknown)]])),ISNUMBER(Table1[[#This Row],[Birthweight (grams)]]),ISNUMBER(Table1[[#This Row],[Gestation (days)]])),TRUE,FALSE)</f>
        <v>0</v>
      </c>
      <c r="E7863" s="2" t="str">
        <f>IF(Table1[[#This Row],[Is Data Valid]]=TRUE,IF(Table1[[#This Row],[Fetal Sex (Male, Female or Unknown)]]="Male",Backend!$C$6,IF(Table1[[#This Row],[Fetal Sex (Male, Female or Unknown)]]="Female",Backend!$C$7,IF(Table1[[#This Row],[Fetal Sex (Male, Female or Unknown)]]="Unknown",Backend!$C$8,"Error"))),"")</f>
        <v/>
      </c>
      <c r="F7863" s="8" t="str">
        <f>IF(Table1[[#This Row],[Is Data Valid]]=TRUE,EXP(0.578+0.332*((Table1[[#This Row],[Gestation (days)]]+0.5)/7)-0.00354*((Table1[[#This Row],[Gestation (days)]]+0.5)/7)^2)*Table1[[#This Row],[BW40_3705]],"")</f>
        <v/>
      </c>
      <c r="G7863" s="2" t="str">
        <f>IF(Table1[[#This Row],[Is Data Valid]]=TRUE,((Table1[[#This Row],[Birthweight (grams)]]/Table1[[#This Row],[BW_GA]])-1)/(Backend!$B$4/100*Table1[[#This Row],[BW40_3705]]),"")</f>
        <v/>
      </c>
      <c r="H7863" s="7" t="str">
        <f>IF(Table1[[#This Row],[Is Data Valid]]=TRUE,((Table1[[#This Row],[Birthweight (grams)]]*0.9/Table1[[#This Row],[BW_GA]])-1)/(Backend!$B$4/100*Table1[[#This Row],[BW40_3705]]),"")</f>
        <v/>
      </c>
      <c r="I7863" s="7" t="str">
        <f>IF(Table1[[#This Row],[Is Data Valid]]=TRUE,((Table1[[#This Row],[Birthweight (grams)]]*1.1/Table1[[#This Row],[BW_GA]])-1)/(Backend!$B$4/100*Table1[[#This Row],[BW40_3705]]),"")</f>
        <v/>
      </c>
      <c r="J7863" s="7" t="str">
        <f>IF(Table1[[#This Row],[Is Data Valid]]=TRUE,_xlfn.NORM.S.DIST(Table1[[#This Row],[Birthweight Z-Score]],TRUE)*100,"")</f>
        <v/>
      </c>
      <c r="K7863" s="7" t="str">
        <f>IF(Table1[[#This Row],[Is Data Valid]]=TRUE,_xlfn.NORM.S.DIST(Table1[[#This Row],[Birthweight Z-Score (BW-10%)]],TRUE)*100,"")</f>
        <v/>
      </c>
      <c r="L7863" s="7" t="str">
        <f>IF(Table1[[#This Row],[Is Data Valid]]=TRUE,_xlfn.NORM.S.DIST(Table1[[#This Row],[Birthweight Z-Score (BW+10%)]],TRUE)*100,"")</f>
        <v/>
      </c>
    </row>
    <row r="7864" spans="1:12" x14ac:dyDescent="0.35">
      <c r="A7864" s="3"/>
      <c r="B7864" s="2"/>
      <c r="C7864" s="2"/>
      <c r="D7864" s="2" t="b">
        <f>IF(AND(NOT(ISBLANK(Table1[[#This Row],[Fetal Sex (Male, Female or Unknown)]])),ISNUMBER(Table1[[#This Row],[Birthweight (grams)]]),ISNUMBER(Table1[[#This Row],[Gestation (days)]])),TRUE,FALSE)</f>
        <v>0</v>
      </c>
      <c r="E7864" s="2" t="str">
        <f>IF(Table1[[#This Row],[Is Data Valid]]=TRUE,IF(Table1[[#This Row],[Fetal Sex (Male, Female or Unknown)]]="Male",Backend!$C$6,IF(Table1[[#This Row],[Fetal Sex (Male, Female or Unknown)]]="Female",Backend!$C$7,IF(Table1[[#This Row],[Fetal Sex (Male, Female or Unknown)]]="Unknown",Backend!$C$8,"Error"))),"")</f>
        <v/>
      </c>
      <c r="F7864" s="8" t="str">
        <f>IF(Table1[[#This Row],[Is Data Valid]]=TRUE,EXP(0.578+0.332*((Table1[[#This Row],[Gestation (days)]]+0.5)/7)-0.00354*((Table1[[#This Row],[Gestation (days)]]+0.5)/7)^2)*Table1[[#This Row],[BW40_3705]],"")</f>
        <v/>
      </c>
      <c r="G7864" s="2" t="str">
        <f>IF(Table1[[#This Row],[Is Data Valid]]=TRUE,((Table1[[#This Row],[Birthweight (grams)]]/Table1[[#This Row],[BW_GA]])-1)/(Backend!$B$4/100*Table1[[#This Row],[BW40_3705]]),"")</f>
        <v/>
      </c>
      <c r="H7864" s="7" t="str">
        <f>IF(Table1[[#This Row],[Is Data Valid]]=TRUE,((Table1[[#This Row],[Birthweight (grams)]]*0.9/Table1[[#This Row],[BW_GA]])-1)/(Backend!$B$4/100*Table1[[#This Row],[BW40_3705]]),"")</f>
        <v/>
      </c>
      <c r="I7864" s="7" t="str">
        <f>IF(Table1[[#This Row],[Is Data Valid]]=TRUE,((Table1[[#This Row],[Birthweight (grams)]]*1.1/Table1[[#This Row],[BW_GA]])-1)/(Backend!$B$4/100*Table1[[#This Row],[BW40_3705]]),"")</f>
        <v/>
      </c>
      <c r="J7864" s="7" t="str">
        <f>IF(Table1[[#This Row],[Is Data Valid]]=TRUE,_xlfn.NORM.S.DIST(Table1[[#This Row],[Birthweight Z-Score]],TRUE)*100,"")</f>
        <v/>
      </c>
      <c r="K7864" s="7" t="str">
        <f>IF(Table1[[#This Row],[Is Data Valid]]=TRUE,_xlfn.NORM.S.DIST(Table1[[#This Row],[Birthweight Z-Score (BW-10%)]],TRUE)*100,"")</f>
        <v/>
      </c>
      <c r="L7864" s="7" t="str">
        <f>IF(Table1[[#This Row],[Is Data Valid]]=TRUE,_xlfn.NORM.S.DIST(Table1[[#This Row],[Birthweight Z-Score (BW+10%)]],TRUE)*100,"")</f>
        <v/>
      </c>
    </row>
    <row r="7865" spans="1:12" x14ac:dyDescent="0.35">
      <c r="A7865" s="3"/>
      <c r="B7865" s="2"/>
      <c r="C7865" s="2"/>
      <c r="D7865" s="2" t="b">
        <f>IF(AND(NOT(ISBLANK(Table1[[#This Row],[Fetal Sex (Male, Female or Unknown)]])),ISNUMBER(Table1[[#This Row],[Birthweight (grams)]]),ISNUMBER(Table1[[#This Row],[Gestation (days)]])),TRUE,FALSE)</f>
        <v>0</v>
      </c>
      <c r="E7865" s="2" t="str">
        <f>IF(Table1[[#This Row],[Is Data Valid]]=TRUE,IF(Table1[[#This Row],[Fetal Sex (Male, Female or Unknown)]]="Male",Backend!$C$6,IF(Table1[[#This Row],[Fetal Sex (Male, Female or Unknown)]]="Female",Backend!$C$7,IF(Table1[[#This Row],[Fetal Sex (Male, Female or Unknown)]]="Unknown",Backend!$C$8,"Error"))),"")</f>
        <v/>
      </c>
      <c r="F7865" s="8" t="str">
        <f>IF(Table1[[#This Row],[Is Data Valid]]=TRUE,EXP(0.578+0.332*((Table1[[#This Row],[Gestation (days)]]+0.5)/7)-0.00354*((Table1[[#This Row],[Gestation (days)]]+0.5)/7)^2)*Table1[[#This Row],[BW40_3705]],"")</f>
        <v/>
      </c>
      <c r="G7865" s="2" t="str">
        <f>IF(Table1[[#This Row],[Is Data Valid]]=TRUE,((Table1[[#This Row],[Birthweight (grams)]]/Table1[[#This Row],[BW_GA]])-1)/(Backend!$B$4/100*Table1[[#This Row],[BW40_3705]]),"")</f>
        <v/>
      </c>
      <c r="H7865" s="7" t="str">
        <f>IF(Table1[[#This Row],[Is Data Valid]]=TRUE,((Table1[[#This Row],[Birthweight (grams)]]*0.9/Table1[[#This Row],[BW_GA]])-1)/(Backend!$B$4/100*Table1[[#This Row],[BW40_3705]]),"")</f>
        <v/>
      </c>
      <c r="I7865" s="7" t="str">
        <f>IF(Table1[[#This Row],[Is Data Valid]]=TRUE,((Table1[[#This Row],[Birthweight (grams)]]*1.1/Table1[[#This Row],[BW_GA]])-1)/(Backend!$B$4/100*Table1[[#This Row],[BW40_3705]]),"")</f>
        <v/>
      </c>
      <c r="J7865" s="7" t="str">
        <f>IF(Table1[[#This Row],[Is Data Valid]]=TRUE,_xlfn.NORM.S.DIST(Table1[[#This Row],[Birthweight Z-Score]],TRUE)*100,"")</f>
        <v/>
      </c>
      <c r="K7865" s="7" t="str">
        <f>IF(Table1[[#This Row],[Is Data Valid]]=TRUE,_xlfn.NORM.S.DIST(Table1[[#This Row],[Birthweight Z-Score (BW-10%)]],TRUE)*100,"")</f>
        <v/>
      </c>
      <c r="L7865" s="7" t="str">
        <f>IF(Table1[[#This Row],[Is Data Valid]]=TRUE,_xlfn.NORM.S.DIST(Table1[[#This Row],[Birthweight Z-Score (BW+10%)]],TRUE)*100,"")</f>
        <v/>
      </c>
    </row>
    <row r="7866" spans="1:12" x14ac:dyDescent="0.35">
      <c r="A7866" s="3"/>
      <c r="B7866" s="2"/>
      <c r="C7866" s="2"/>
      <c r="D7866" s="2" t="b">
        <f>IF(AND(NOT(ISBLANK(Table1[[#This Row],[Fetal Sex (Male, Female or Unknown)]])),ISNUMBER(Table1[[#This Row],[Birthweight (grams)]]),ISNUMBER(Table1[[#This Row],[Gestation (days)]])),TRUE,FALSE)</f>
        <v>0</v>
      </c>
      <c r="E7866" s="2" t="str">
        <f>IF(Table1[[#This Row],[Is Data Valid]]=TRUE,IF(Table1[[#This Row],[Fetal Sex (Male, Female or Unknown)]]="Male",Backend!$C$6,IF(Table1[[#This Row],[Fetal Sex (Male, Female or Unknown)]]="Female",Backend!$C$7,IF(Table1[[#This Row],[Fetal Sex (Male, Female or Unknown)]]="Unknown",Backend!$C$8,"Error"))),"")</f>
        <v/>
      </c>
      <c r="F7866" s="8" t="str">
        <f>IF(Table1[[#This Row],[Is Data Valid]]=TRUE,EXP(0.578+0.332*((Table1[[#This Row],[Gestation (days)]]+0.5)/7)-0.00354*((Table1[[#This Row],[Gestation (days)]]+0.5)/7)^2)*Table1[[#This Row],[BW40_3705]],"")</f>
        <v/>
      </c>
      <c r="G7866" s="2" t="str">
        <f>IF(Table1[[#This Row],[Is Data Valid]]=TRUE,((Table1[[#This Row],[Birthweight (grams)]]/Table1[[#This Row],[BW_GA]])-1)/(Backend!$B$4/100*Table1[[#This Row],[BW40_3705]]),"")</f>
        <v/>
      </c>
      <c r="H7866" s="7" t="str">
        <f>IF(Table1[[#This Row],[Is Data Valid]]=TRUE,((Table1[[#This Row],[Birthweight (grams)]]*0.9/Table1[[#This Row],[BW_GA]])-1)/(Backend!$B$4/100*Table1[[#This Row],[BW40_3705]]),"")</f>
        <v/>
      </c>
      <c r="I7866" s="7" t="str">
        <f>IF(Table1[[#This Row],[Is Data Valid]]=TRUE,((Table1[[#This Row],[Birthweight (grams)]]*1.1/Table1[[#This Row],[BW_GA]])-1)/(Backend!$B$4/100*Table1[[#This Row],[BW40_3705]]),"")</f>
        <v/>
      </c>
      <c r="J7866" s="7" t="str">
        <f>IF(Table1[[#This Row],[Is Data Valid]]=TRUE,_xlfn.NORM.S.DIST(Table1[[#This Row],[Birthweight Z-Score]],TRUE)*100,"")</f>
        <v/>
      </c>
      <c r="K7866" s="7" t="str">
        <f>IF(Table1[[#This Row],[Is Data Valid]]=TRUE,_xlfn.NORM.S.DIST(Table1[[#This Row],[Birthweight Z-Score (BW-10%)]],TRUE)*100,"")</f>
        <v/>
      </c>
      <c r="L7866" s="7" t="str">
        <f>IF(Table1[[#This Row],[Is Data Valid]]=TRUE,_xlfn.NORM.S.DIST(Table1[[#This Row],[Birthweight Z-Score (BW+10%)]],TRUE)*100,"")</f>
        <v/>
      </c>
    </row>
    <row r="7867" spans="1:12" x14ac:dyDescent="0.35">
      <c r="A7867" s="3"/>
      <c r="B7867" s="2"/>
      <c r="C7867" s="2"/>
      <c r="D7867" s="2" t="b">
        <f>IF(AND(NOT(ISBLANK(Table1[[#This Row],[Fetal Sex (Male, Female or Unknown)]])),ISNUMBER(Table1[[#This Row],[Birthweight (grams)]]),ISNUMBER(Table1[[#This Row],[Gestation (days)]])),TRUE,FALSE)</f>
        <v>0</v>
      </c>
      <c r="E7867" s="2" t="str">
        <f>IF(Table1[[#This Row],[Is Data Valid]]=TRUE,IF(Table1[[#This Row],[Fetal Sex (Male, Female or Unknown)]]="Male",Backend!$C$6,IF(Table1[[#This Row],[Fetal Sex (Male, Female or Unknown)]]="Female",Backend!$C$7,IF(Table1[[#This Row],[Fetal Sex (Male, Female or Unknown)]]="Unknown",Backend!$C$8,"Error"))),"")</f>
        <v/>
      </c>
      <c r="F7867" s="8" t="str">
        <f>IF(Table1[[#This Row],[Is Data Valid]]=TRUE,EXP(0.578+0.332*((Table1[[#This Row],[Gestation (days)]]+0.5)/7)-0.00354*((Table1[[#This Row],[Gestation (days)]]+0.5)/7)^2)*Table1[[#This Row],[BW40_3705]],"")</f>
        <v/>
      </c>
      <c r="G7867" s="2" t="str">
        <f>IF(Table1[[#This Row],[Is Data Valid]]=TRUE,((Table1[[#This Row],[Birthweight (grams)]]/Table1[[#This Row],[BW_GA]])-1)/(Backend!$B$4/100*Table1[[#This Row],[BW40_3705]]),"")</f>
        <v/>
      </c>
      <c r="H7867" s="7" t="str">
        <f>IF(Table1[[#This Row],[Is Data Valid]]=TRUE,((Table1[[#This Row],[Birthweight (grams)]]*0.9/Table1[[#This Row],[BW_GA]])-1)/(Backend!$B$4/100*Table1[[#This Row],[BW40_3705]]),"")</f>
        <v/>
      </c>
      <c r="I7867" s="7" t="str">
        <f>IF(Table1[[#This Row],[Is Data Valid]]=TRUE,((Table1[[#This Row],[Birthweight (grams)]]*1.1/Table1[[#This Row],[BW_GA]])-1)/(Backend!$B$4/100*Table1[[#This Row],[BW40_3705]]),"")</f>
        <v/>
      </c>
      <c r="J7867" s="7" t="str">
        <f>IF(Table1[[#This Row],[Is Data Valid]]=TRUE,_xlfn.NORM.S.DIST(Table1[[#This Row],[Birthweight Z-Score]],TRUE)*100,"")</f>
        <v/>
      </c>
      <c r="K7867" s="7" t="str">
        <f>IF(Table1[[#This Row],[Is Data Valid]]=TRUE,_xlfn.NORM.S.DIST(Table1[[#This Row],[Birthweight Z-Score (BW-10%)]],TRUE)*100,"")</f>
        <v/>
      </c>
      <c r="L7867" s="7" t="str">
        <f>IF(Table1[[#This Row],[Is Data Valid]]=TRUE,_xlfn.NORM.S.DIST(Table1[[#This Row],[Birthweight Z-Score (BW+10%)]],TRUE)*100,"")</f>
        <v/>
      </c>
    </row>
    <row r="7868" spans="1:12" x14ac:dyDescent="0.35">
      <c r="A7868" s="3"/>
      <c r="B7868" s="2"/>
      <c r="C7868" s="2"/>
      <c r="D7868" s="2" t="b">
        <f>IF(AND(NOT(ISBLANK(Table1[[#This Row],[Fetal Sex (Male, Female or Unknown)]])),ISNUMBER(Table1[[#This Row],[Birthweight (grams)]]),ISNUMBER(Table1[[#This Row],[Gestation (days)]])),TRUE,FALSE)</f>
        <v>0</v>
      </c>
      <c r="E7868" s="2" t="str">
        <f>IF(Table1[[#This Row],[Is Data Valid]]=TRUE,IF(Table1[[#This Row],[Fetal Sex (Male, Female or Unknown)]]="Male",Backend!$C$6,IF(Table1[[#This Row],[Fetal Sex (Male, Female or Unknown)]]="Female",Backend!$C$7,IF(Table1[[#This Row],[Fetal Sex (Male, Female or Unknown)]]="Unknown",Backend!$C$8,"Error"))),"")</f>
        <v/>
      </c>
      <c r="F7868" s="8" t="str">
        <f>IF(Table1[[#This Row],[Is Data Valid]]=TRUE,EXP(0.578+0.332*((Table1[[#This Row],[Gestation (days)]]+0.5)/7)-0.00354*((Table1[[#This Row],[Gestation (days)]]+0.5)/7)^2)*Table1[[#This Row],[BW40_3705]],"")</f>
        <v/>
      </c>
      <c r="G7868" s="2" t="str">
        <f>IF(Table1[[#This Row],[Is Data Valid]]=TRUE,((Table1[[#This Row],[Birthweight (grams)]]/Table1[[#This Row],[BW_GA]])-1)/(Backend!$B$4/100*Table1[[#This Row],[BW40_3705]]),"")</f>
        <v/>
      </c>
      <c r="H7868" s="7" t="str">
        <f>IF(Table1[[#This Row],[Is Data Valid]]=TRUE,((Table1[[#This Row],[Birthweight (grams)]]*0.9/Table1[[#This Row],[BW_GA]])-1)/(Backend!$B$4/100*Table1[[#This Row],[BW40_3705]]),"")</f>
        <v/>
      </c>
      <c r="I7868" s="7" t="str">
        <f>IF(Table1[[#This Row],[Is Data Valid]]=TRUE,((Table1[[#This Row],[Birthweight (grams)]]*1.1/Table1[[#This Row],[BW_GA]])-1)/(Backend!$B$4/100*Table1[[#This Row],[BW40_3705]]),"")</f>
        <v/>
      </c>
      <c r="J7868" s="7" t="str">
        <f>IF(Table1[[#This Row],[Is Data Valid]]=TRUE,_xlfn.NORM.S.DIST(Table1[[#This Row],[Birthweight Z-Score]],TRUE)*100,"")</f>
        <v/>
      </c>
      <c r="K7868" s="7" t="str">
        <f>IF(Table1[[#This Row],[Is Data Valid]]=TRUE,_xlfn.NORM.S.DIST(Table1[[#This Row],[Birthweight Z-Score (BW-10%)]],TRUE)*100,"")</f>
        <v/>
      </c>
      <c r="L7868" s="7" t="str">
        <f>IF(Table1[[#This Row],[Is Data Valid]]=TRUE,_xlfn.NORM.S.DIST(Table1[[#This Row],[Birthweight Z-Score (BW+10%)]],TRUE)*100,"")</f>
        <v/>
      </c>
    </row>
    <row r="7869" spans="1:12" x14ac:dyDescent="0.35">
      <c r="A7869" s="3"/>
      <c r="B7869" s="2"/>
      <c r="C7869" s="2"/>
      <c r="D7869" s="2" t="b">
        <f>IF(AND(NOT(ISBLANK(Table1[[#This Row],[Fetal Sex (Male, Female or Unknown)]])),ISNUMBER(Table1[[#This Row],[Birthweight (grams)]]),ISNUMBER(Table1[[#This Row],[Gestation (days)]])),TRUE,FALSE)</f>
        <v>0</v>
      </c>
      <c r="E7869" s="2" t="str">
        <f>IF(Table1[[#This Row],[Is Data Valid]]=TRUE,IF(Table1[[#This Row],[Fetal Sex (Male, Female or Unknown)]]="Male",Backend!$C$6,IF(Table1[[#This Row],[Fetal Sex (Male, Female or Unknown)]]="Female",Backend!$C$7,IF(Table1[[#This Row],[Fetal Sex (Male, Female or Unknown)]]="Unknown",Backend!$C$8,"Error"))),"")</f>
        <v/>
      </c>
      <c r="F7869" s="8" t="str">
        <f>IF(Table1[[#This Row],[Is Data Valid]]=TRUE,EXP(0.578+0.332*((Table1[[#This Row],[Gestation (days)]]+0.5)/7)-0.00354*((Table1[[#This Row],[Gestation (days)]]+0.5)/7)^2)*Table1[[#This Row],[BW40_3705]],"")</f>
        <v/>
      </c>
      <c r="G7869" s="2" t="str">
        <f>IF(Table1[[#This Row],[Is Data Valid]]=TRUE,((Table1[[#This Row],[Birthweight (grams)]]/Table1[[#This Row],[BW_GA]])-1)/(Backend!$B$4/100*Table1[[#This Row],[BW40_3705]]),"")</f>
        <v/>
      </c>
      <c r="H7869" s="7" t="str">
        <f>IF(Table1[[#This Row],[Is Data Valid]]=TRUE,((Table1[[#This Row],[Birthweight (grams)]]*0.9/Table1[[#This Row],[BW_GA]])-1)/(Backend!$B$4/100*Table1[[#This Row],[BW40_3705]]),"")</f>
        <v/>
      </c>
      <c r="I7869" s="7" t="str">
        <f>IF(Table1[[#This Row],[Is Data Valid]]=TRUE,((Table1[[#This Row],[Birthweight (grams)]]*1.1/Table1[[#This Row],[BW_GA]])-1)/(Backend!$B$4/100*Table1[[#This Row],[BW40_3705]]),"")</f>
        <v/>
      </c>
      <c r="J7869" s="7" t="str">
        <f>IF(Table1[[#This Row],[Is Data Valid]]=TRUE,_xlfn.NORM.S.DIST(Table1[[#This Row],[Birthweight Z-Score]],TRUE)*100,"")</f>
        <v/>
      </c>
      <c r="K7869" s="7" t="str">
        <f>IF(Table1[[#This Row],[Is Data Valid]]=TRUE,_xlfn.NORM.S.DIST(Table1[[#This Row],[Birthweight Z-Score (BW-10%)]],TRUE)*100,"")</f>
        <v/>
      </c>
      <c r="L7869" s="7" t="str">
        <f>IF(Table1[[#This Row],[Is Data Valid]]=TRUE,_xlfn.NORM.S.DIST(Table1[[#This Row],[Birthweight Z-Score (BW+10%)]],TRUE)*100,"")</f>
        <v/>
      </c>
    </row>
    <row r="7870" spans="1:12" x14ac:dyDescent="0.35">
      <c r="A7870" s="3"/>
      <c r="B7870" s="2"/>
      <c r="C7870" s="2"/>
      <c r="D7870" s="2" t="b">
        <f>IF(AND(NOT(ISBLANK(Table1[[#This Row],[Fetal Sex (Male, Female or Unknown)]])),ISNUMBER(Table1[[#This Row],[Birthweight (grams)]]),ISNUMBER(Table1[[#This Row],[Gestation (days)]])),TRUE,FALSE)</f>
        <v>0</v>
      </c>
      <c r="E7870" s="2" t="str">
        <f>IF(Table1[[#This Row],[Is Data Valid]]=TRUE,IF(Table1[[#This Row],[Fetal Sex (Male, Female or Unknown)]]="Male",Backend!$C$6,IF(Table1[[#This Row],[Fetal Sex (Male, Female or Unknown)]]="Female",Backend!$C$7,IF(Table1[[#This Row],[Fetal Sex (Male, Female or Unknown)]]="Unknown",Backend!$C$8,"Error"))),"")</f>
        <v/>
      </c>
      <c r="F7870" s="8" t="str">
        <f>IF(Table1[[#This Row],[Is Data Valid]]=TRUE,EXP(0.578+0.332*((Table1[[#This Row],[Gestation (days)]]+0.5)/7)-0.00354*((Table1[[#This Row],[Gestation (days)]]+0.5)/7)^2)*Table1[[#This Row],[BW40_3705]],"")</f>
        <v/>
      </c>
      <c r="G7870" s="2" t="str">
        <f>IF(Table1[[#This Row],[Is Data Valid]]=TRUE,((Table1[[#This Row],[Birthweight (grams)]]/Table1[[#This Row],[BW_GA]])-1)/(Backend!$B$4/100*Table1[[#This Row],[BW40_3705]]),"")</f>
        <v/>
      </c>
      <c r="H7870" s="7" t="str">
        <f>IF(Table1[[#This Row],[Is Data Valid]]=TRUE,((Table1[[#This Row],[Birthweight (grams)]]*0.9/Table1[[#This Row],[BW_GA]])-1)/(Backend!$B$4/100*Table1[[#This Row],[BW40_3705]]),"")</f>
        <v/>
      </c>
      <c r="I7870" s="7" t="str">
        <f>IF(Table1[[#This Row],[Is Data Valid]]=TRUE,((Table1[[#This Row],[Birthweight (grams)]]*1.1/Table1[[#This Row],[BW_GA]])-1)/(Backend!$B$4/100*Table1[[#This Row],[BW40_3705]]),"")</f>
        <v/>
      </c>
      <c r="J7870" s="7" t="str">
        <f>IF(Table1[[#This Row],[Is Data Valid]]=TRUE,_xlfn.NORM.S.DIST(Table1[[#This Row],[Birthweight Z-Score]],TRUE)*100,"")</f>
        <v/>
      </c>
      <c r="K7870" s="7" t="str">
        <f>IF(Table1[[#This Row],[Is Data Valid]]=TRUE,_xlfn.NORM.S.DIST(Table1[[#This Row],[Birthweight Z-Score (BW-10%)]],TRUE)*100,"")</f>
        <v/>
      </c>
      <c r="L7870" s="7" t="str">
        <f>IF(Table1[[#This Row],[Is Data Valid]]=TRUE,_xlfn.NORM.S.DIST(Table1[[#This Row],[Birthweight Z-Score (BW+10%)]],TRUE)*100,"")</f>
        <v/>
      </c>
    </row>
    <row r="7871" spans="1:12" x14ac:dyDescent="0.35">
      <c r="A7871" s="3"/>
      <c r="B7871" s="2"/>
      <c r="C7871" s="2"/>
      <c r="D7871" s="2" t="b">
        <f>IF(AND(NOT(ISBLANK(Table1[[#This Row],[Fetal Sex (Male, Female or Unknown)]])),ISNUMBER(Table1[[#This Row],[Birthweight (grams)]]),ISNUMBER(Table1[[#This Row],[Gestation (days)]])),TRUE,FALSE)</f>
        <v>0</v>
      </c>
      <c r="E7871" s="2" t="str">
        <f>IF(Table1[[#This Row],[Is Data Valid]]=TRUE,IF(Table1[[#This Row],[Fetal Sex (Male, Female or Unknown)]]="Male",Backend!$C$6,IF(Table1[[#This Row],[Fetal Sex (Male, Female or Unknown)]]="Female",Backend!$C$7,IF(Table1[[#This Row],[Fetal Sex (Male, Female or Unknown)]]="Unknown",Backend!$C$8,"Error"))),"")</f>
        <v/>
      </c>
      <c r="F7871" s="8" t="str">
        <f>IF(Table1[[#This Row],[Is Data Valid]]=TRUE,EXP(0.578+0.332*((Table1[[#This Row],[Gestation (days)]]+0.5)/7)-0.00354*((Table1[[#This Row],[Gestation (days)]]+0.5)/7)^2)*Table1[[#This Row],[BW40_3705]],"")</f>
        <v/>
      </c>
      <c r="G7871" s="2" t="str">
        <f>IF(Table1[[#This Row],[Is Data Valid]]=TRUE,((Table1[[#This Row],[Birthweight (grams)]]/Table1[[#This Row],[BW_GA]])-1)/(Backend!$B$4/100*Table1[[#This Row],[BW40_3705]]),"")</f>
        <v/>
      </c>
      <c r="H7871" s="7" t="str">
        <f>IF(Table1[[#This Row],[Is Data Valid]]=TRUE,((Table1[[#This Row],[Birthweight (grams)]]*0.9/Table1[[#This Row],[BW_GA]])-1)/(Backend!$B$4/100*Table1[[#This Row],[BW40_3705]]),"")</f>
        <v/>
      </c>
      <c r="I7871" s="7" t="str">
        <f>IF(Table1[[#This Row],[Is Data Valid]]=TRUE,((Table1[[#This Row],[Birthweight (grams)]]*1.1/Table1[[#This Row],[BW_GA]])-1)/(Backend!$B$4/100*Table1[[#This Row],[BW40_3705]]),"")</f>
        <v/>
      </c>
      <c r="J7871" s="7" t="str">
        <f>IF(Table1[[#This Row],[Is Data Valid]]=TRUE,_xlfn.NORM.S.DIST(Table1[[#This Row],[Birthweight Z-Score]],TRUE)*100,"")</f>
        <v/>
      </c>
      <c r="K7871" s="7" t="str">
        <f>IF(Table1[[#This Row],[Is Data Valid]]=TRUE,_xlfn.NORM.S.DIST(Table1[[#This Row],[Birthweight Z-Score (BW-10%)]],TRUE)*100,"")</f>
        <v/>
      </c>
      <c r="L7871" s="7" t="str">
        <f>IF(Table1[[#This Row],[Is Data Valid]]=TRUE,_xlfn.NORM.S.DIST(Table1[[#This Row],[Birthweight Z-Score (BW+10%)]],TRUE)*100,"")</f>
        <v/>
      </c>
    </row>
    <row r="7872" spans="1:12" x14ac:dyDescent="0.35">
      <c r="A7872" s="3"/>
      <c r="B7872" s="2"/>
      <c r="C7872" s="2"/>
      <c r="D7872" s="2" t="b">
        <f>IF(AND(NOT(ISBLANK(Table1[[#This Row],[Fetal Sex (Male, Female or Unknown)]])),ISNUMBER(Table1[[#This Row],[Birthweight (grams)]]),ISNUMBER(Table1[[#This Row],[Gestation (days)]])),TRUE,FALSE)</f>
        <v>0</v>
      </c>
      <c r="E7872" s="2" t="str">
        <f>IF(Table1[[#This Row],[Is Data Valid]]=TRUE,IF(Table1[[#This Row],[Fetal Sex (Male, Female or Unknown)]]="Male",Backend!$C$6,IF(Table1[[#This Row],[Fetal Sex (Male, Female or Unknown)]]="Female",Backend!$C$7,IF(Table1[[#This Row],[Fetal Sex (Male, Female or Unknown)]]="Unknown",Backend!$C$8,"Error"))),"")</f>
        <v/>
      </c>
      <c r="F7872" s="8" t="str">
        <f>IF(Table1[[#This Row],[Is Data Valid]]=TRUE,EXP(0.578+0.332*((Table1[[#This Row],[Gestation (days)]]+0.5)/7)-0.00354*((Table1[[#This Row],[Gestation (days)]]+0.5)/7)^2)*Table1[[#This Row],[BW40_3705]],"")</f>
        <v/>
      </c>
      <c r="G7872" s="2" t="str">
        <f>IF(Table1[[#This Row],[Is Data Valid]]=TRUE,((Table1[[#This Row],[Birthweight (grams)]]/Table1[[#This Row],[BW_GA]])-1)/(Backend!$B$4/100*Table1[[#This Row],[BW40_3705]]),"")</f>
        <v/>
      </c>
      <c r="H7872" s="7" t="str">
        <f>IF(Table1[[#This Row],[Is Data Valid]]=TRUE,((Table1[[#This Row],[Birthweight (grams)]]*0.9/Table1[[#This Row],[BW_GA]])-1)/(Backend!$B$4/100*Table1[[#This Row],[BW40_3705]]),"")</f>
        <v/>
      </c>
      <c r="I7872" s="7" t="str">
        <f>IF(Table1[[#This Row],[Is Data Valid]]=TRUE,((Table1[[#This Row],[Birthweight (grams)]]*1.1/Table1[[#This Row],[BW_GA]])-1)/(Backend!$B$4/100*Table1[[#This Row],[BW40_3705]]),"")</f>
        <v/>
      </c>
      <c r="J7872" s="7" t="str">
        <f>IF(Table1[[#This Row],[Is Data Valid]]=TRUE,_xlfn.NORM.S.DIST(Table1[[#This Row],[Birthweight Z-Score]],TRUE)*100,"")</f>
        <v/>
      </c>
      <c r="K7872" s="7" t="str">
        <f>IF(Table1[[#This Row],[Is Data Valid]]=TRUE,_xlfn.NORM.S.DIST(Table1[[#This Row],[Birthweight Z-Score (BW-10%)]],TRUE)*100,"")</f>
        <v/>
      </c>
      <c r="L7872" s="7" t="str">
        <f>IF(Table1[[#This Row],[Is Data Valid]]=TRUE,_xlfn.NORM.S.DIST(Table1[[#This Row],[Birthweight Z-Score (BW+10%)]],TRUE)*100,"")</f>
        <v/>
      </c>
    </row>
    <row r="7873" spans="1:12" x14ac:dyDescent="0.35">
      <c r="A7873" s="3"/>
      <c r="B7873" s="2"/>
      <c r="C7873" s="2"/>
      <c r="D7873" s="2" t="b">
        <f>IF(AND(NOT(ISBLANK(Table1[[#This Row],[Fetal Sex (Male, Female or Unknown)]])),ISNUMBER(Table1[[#This Row],[Birthweight (grams)]]),ISNUMBER(Table1[[#This Row],[Gestation (days)]])),TRUE,FALSE)</f>
        <v>0</v>
      </c>
      <c r="E7873" s="2" t="str">
        <f>IF(Table1[[#This Row],[Is Data Valid]]=TRUE,IF(Table1[[#This Row],[Fetal Sex (Male, Female or Unknown)]]="Male",Backend!$C$6,IF(Table1[[#This Row],[Fetal Sex (Male, Female or Unknown)]]="Female",Backend!$C$7,IF(Table1[[#This Row],[Fetal Sex (Male, Female or Unknown)]]="Unknown",Backend!$C$8,"Error"))),"")</f>
        <v/>
      </c>
      <c r="F7873" s="8" t="str">
        <f>IF(Table1[[#This Row],[Is Data Valid]]=TRUE,EXP(0.578+0.332*((Table1[[#This Row],[Gestation (days)]]+0.5)/7)-0.00354*((Table1[[#This Row],[Gestation (days)]]+0.5)/7)^2)*Table1[[#This Row],[BW40_3705]],"")</f>
        <v/>
      </c>
      <c r="G7873" s="2" t="str">
        <f>IF(Table1[[#This Row],[Is Data Valid]]=TRUE,((Table1[[#This Row],[Birthweight (grams)]]/Table1[[#This Row],[BW_GA]])-1)/(Backend!$B$4/100*Table1[[#This Row],[BW40_3705]]),"")</f>
        <v/>
      </c>
      <c r="H7873" s="7" t="str">
        <f>IF(Table1[[#This Row],[Is Data Valid]]=TRUE,((Table1[[#This Row],[Birthweight (grams)]]*0.9/Table1[[#This Row],[BW_GA]])-1)/(Backend!$B$4/100*Table1[[#This Row],[BW40_3705]]),"")</f>
        <v/>
      </c>
      <c r="I7873" s="7" t="str">
        <f>IF(Table1[[#This Row],[Is Data Valid]]=TRUE,((Table1[[#This Row],[Birthweight (grams)]]*1.1/Table1[[#This Row],[BW_GA]])-1)/(Backend!$B$4/100*Table1[[#This Row],[BW40_3705]]),"")</f>
        <v/>
      </c>
      <c r="J7873" s="7" t="str">
        <f>IF(Table1[[#This Row],[Is Data Valid]]=TRUE,_xlfn.NORM.S.DIST(Table1[[#This Row],[Birthweight Z-Score]],TRUE)*100,"")</f>
        <v/>
      </c>
      <c r="K7873" s="7" t="str">
        <f>IF(Table1[[#This Row],[Is Data Valid]]=TRUE,_xlfn.NORM.S.DIST(Table1[[#This Row],[Birthweight Z-Score (BW-10%)]],TRUE)*100,"")</f>
        <v/>
      </c>
      <c r="L7873" s="7" t="str">
        <f>IF(Table1[[#This Row],[Is Data Valid]]=TRUE,_xlfn.NORM.S.DIST(Table1[[#This Row],[Birthweight Z-Score (BW+10%)]],TRUE)*100,"")</f>
        <v/>
      </c>
    </row>
    <row r="7874" spans="1:12" x14ac:dyDescent="0.35">
      <c r="A7874" s="3"/>
      <c r="B7874" s="2"/>
      <c r="C7874" s="2"/>
      <c r="D7874" s="2" t="b">
        <f>IF(AND(NOT(ISBLANK(Table1[[#This Row],[Fetal Sex (Male, Female or Unknown)]])),ISNUMBER(Table1[[#This Row],[Birthweight (grams)]]),ISNUMBER(Table1[[#This Row],[Gestation (days)]])),TRUE,FALSE)</f>
        <v>0</v>
      </c>
      <c r="E7874" s="2" t="str">
        <f>IF(Table1[[#This Row],[Is Data Valid]]=TRUE,IF(Table1[[#This Row],[Fetal Sex (Male, Female or Unknown)]]="Male",Backend!$C$6,IF(Table1[[#This Row],[Fetal Sex (Male, Female or Unknown)]]="Female",Backend!$C$7,IF(Table1[[#This Row],[Fetal Sex (Male, Female or Unknown)]]="Unknown",Backend!$C$8,"Error"))),"")</f>
        <v/>
      </c>
      <c r="F7874" s="8" t="str">
        <f>IF(Table1[[#This Row],[Is Data Valid]]=TRUE,EXP(0.578+0.332*((Table1[[#This Row],[Gestation (days)]]+0.5)/7)-0.00354*((Table1[[#This Row],[Gestation (days)]]+0.5)/7)^2)*Table1[[#This Row],[BW40_3705]],"")</f>
        <v/>
      </c>
      <c r="G7874" s="2" t="str">
        <f>IF(Table1[[#This Row],[Is Data Valid]]=TRUE,((Table1[[#This Row],[Birthweight (grams)]]/Table1[[#This Row],[BW_GA]])-1)/(Backend!$B$4/100*Table1[[#This Row],[BW40_3705]]),"")</f>
        <v/>
      </c>
      <c r="H7874" s="7" t="str">
        <f>IF(Table1[[#This Row],[Is Data Valid]]=TRUE,((Table1[[#This Row],[Birthweight (grams)]]*0.9/Table1[[#This Row],[BW_GA]])-1)/(Backend!$B$4/100*Table1[[#This Row],[BW40_3705]]),"")</f>
        <v/>
      </c>
      <c r="I7874" s="7" t="str">
        <f>IF(Table1[[#This Row],[Is Data Valid]]=TRUE,((Table1[[#This Row],[Birthweight (grams)]]*1.1/Table1[[#This Row],[BW_GA]])-1)/(Backend!$B$4/100*Table1[[#This Row],[BW40_3705]]),"")</f>
        <v/>
      </c>
      <c r="J7874" s="7" t="str">
        <f>IF(Table1[[#This Row],[Is Data Valid]]=TRUE,_xlfn.NORM.S.DIST(Table1[[#This Row],[Birthweight Z-Score]],TRUE)*100,"")</f>
        <v/>
      </c>
      <c r="K7874" s="7" t="str">
        <f>IF(Table1[[#This Row],[Is Data Valid]]=TRUE,_xlfn.NORM.S.DIST(Table1[[#This Row],[Birthweight Z-Score (BW-10%)]],TRUE)*100,"")</f>
        <v/>
      </c>
      <c r="L7874" s="7" t="str">
        <f>IF(Table1[[#This Row],[Is Data Valid]]=TRUE,_xlfn.NORM.S.DIST(Table1[[#This Row],[Birthweight Z-Score (BW+10%)]],TRUE)*100,"")</f>
        <v/>
      </c>
    </row>
    <row r="7875" spans="1:12" x14ac:dyDescent="0.35">
      <c r="A7875" s="3"/>
      <c r="B7875" s="2"/>
      <c r="C7875" s="2"/>
      <c r="D7875" s="2" t="b">
        <f>IF(AND(NOT(ISBLANK(Table1[[#This Row],[Fetal Sex (Male, Female or Unknown)]])),ISNUMBER(Table1[[#This Row],[Birthweight (grams)]]),ISNUMBER(Table1[[#This Row],[Gestation (days)]])),TRUE,FALSE)</f>
        <v>0</v>
      </c>
      <c r="E7875" s="2" t="str">
        <f>IF(Table1[[#This Row],[Is Data Valid]]=TRUE,IF(Table1[[#This Row],[Fetal Sex (Male, Female or Unknown)]]="Male",Backend!$C$6,IF(Table1[[#This Row],[Fetal Sex (Male, Female or Unknown)]]="Female",Backend!$C$7,IF(Table1[[#This Row],[Fetal Sex (Male, Female or Unknown)]]="Unknown",Backend!$C$8,"Error"))),"")</f>
        <v/>
      </c>
      <c r="F7875" s="8" t="str">
        <f>IF(Table1[[#This Row],[Is Data Valid]]=TRUE,EXP(0.578+0.332*((Table1[[#This Row],[Gestation (days)]]+0.5)/7)-0.00354*((Table1[[#This Row],[Gestation (days)]]+0.5)/7)^2)*Table1[[#This Row],[BW40_3705]],"")</f>
        <v/>
      </c>
      <c r="G7875" s="2" t="str">
        <f>IF(Table1[[#This Row],[Is Data Valid]]=TRUE,((Table1[[#This Row],[Birthweight (grams)]]/Table1[[#This Row],[BW_GA]])-1)/(Backend!$B$4/100*Table1[[#This Row],[BW40_3705]]),"")</f>
        <v/>
      </c>
      <c r="H7875" s="7" t="str">
        <f>IF(Table1[[#This Row],[Is Data Valid]]=TRUE,((Table1[[#This Row],[Birthweight (grams)]]*0.9/Table1[[#This Row],[BW_GA]])-1)/(Backend!$B$4/100*Table1[[#This Row],[BW40_3705]]),"")</f>
        <v/>
      </c>
      <c r="I7875" s="7" t="str">
        <f>IF(Table1[[#This Row],[Is Data Valid]]=TRUE,((Table1[[#This Row],[Birthweight (grams)]]*1.1/Table1[[#This Row],[BW_GA]])-1)/(Backend!$B$4/100*Table1[[#This Row],[BW40_3705]]),"")</f>
        <v/>
      </c>
      <c r="J7875" s="7" t="str">
        <f>IF(Table1[[#This Row],[Is Data Valid]]=TRUE,_xlfn.NORM.S.DIST(Table1[[#This Row],[Birthweight Z-Score]],TRUE)*100,"")</f>
        <v/>
      </c>
      <c r="K7875" s="7" t="str">
        <f>IF(Table1[[#This Row],[Is Data Valid]]=TRUE,_xlfn.NORM.S.DIST(Table1[[#This Row],[Birthweight Z-Score (BW-10%)]],TRUE)*100,"")</f>
        <v/>
      </c>
      <c r="L7875" s="7" t="str">
        <f>IF(Table1[[#This Row],[Is Data Valid]]=TRUE,_xlfn.NORM.S.DIST(Table1[[#This Row],[Birthweight Z-Score (BW+10%)]],TRUE)*100,"")</f>
        <v/>
      </c>
    </row>
    <row r="7876" spans="1:12" x14ac:dyDescent="0.35">
      <c r="A7876" s="3"/>
      <c r="B7876" s="2"/>
      <c r="C7876" s="2"/>
      <c r="D7876" s="2" t="b">
        <f>IF(AND(NOT(ISBLANK(Table1[[#This Row],[Fetal Sex (Male, Female or Unknown)]])),ISNUMBER(Table1[[#This Row],[Birthweight (grams)]]),ISNUMBER(Table1[[#This Row],[Gestation (days)]])),TRUE,FALSE)</f>
        <v>0</v>
      </c>
      <c r="E7876" s="2" t="str">
        <f>IF(Table1[[#This Row],[Is Data Valid]]=TRUE,IF(Table1[[#This Row],[Fetal Sex (Male, Female or Unknown)]]="Male",Backend!$C$6,IF(Table1[[#This Row],[Fetal Sex (Male, Female or Unknown)]]="Female",Backend!$C$7,IF(Table1[[#This Row],[Fetal Sex (Male, Female or Unknown)]]="Unknown",Backend!$C$8,"Error"))),"")</f>
        <v/>
      </c>
      <c r="F7876" s="8" t="str">
        <f>IF(Table1[[#This Row],[Is Data Valid]]=TRUE,EXP(0.578+0.332*((Table1[[#This Row],[Gestation (days)]]+0.5)/7)-0.00354*((Table1[[#This Row],[Gestation (days)]]+0.5)/7)^2)*Table1[[#This Row],[BW40_3705]],"")</f>
        <v/>
      </c>
      <c r="G7876" s="2" t="str">
        <f>IF(Table1[[#This Row],[Is Data Valid]]=TRUE,((Table1[[#This Row],[Birthweight (grams)]]/Table1[[#This Row],[BW_GA]])-1)/(Backend!$B$4/100*Table1[[#This Row],[BW40_3705]]),"")</f>
        <v/>
      </c>
      <c r="H7876" s="7" t="str">
        <f>IF(Table1[[#This Row],[Is Data Valid]]=TRUE,((Table1[[#This Row],[Birthweight (grams)]]*0.9/Table1[[#This Row],[BW_GA]])-1)/(Backend!$B$4/100*Table1[[#This Row],[BW40_3705]]),"")</f>
        <v/>
      </c>
      <c r="I7876" s="7" t="str">
        <f>IF(Table1[[#This Row],[Is Data Valid]]=TRUE,((Table1[[#This Row],[Birthweight (grams)]]*1.1/Table1[[#This Row],[BW_GA]])-1)/(Backend!$B$4/100*Table1[[#This Row],[BW40_3705]]),"")</f>
        <v/>
      </c>
      <c r="J7876" s="7" t="str">
        <f>IF(Table1[[#This Row],[Is Data Valid]]=TRUE,_xlfn.NORM.S.DIST(Table1[[#This Row],[Birthweight Z-Score]],TRUE)*100,"")</f>
        <v/>
      </c>
      <c r="K7876" s="7" t="str">
        <f>IF(Table1[[#This Row],[Is Data Valid]]=TRUE,_xlfn.NORM.S.DIST(Table1[[#This Row],[Birthweight Z-Score (BW-10%)]],TRUE)*100,"")</f>
        <v/>
      </c>
      <c r="L7876" s="7" t="str">
        <f>IF(Table1[[#This Row],[Is Data Valid]]=TRUE,_xlfn.NORM.S.DIST(Table1[[#This Row],[Birthweight Z-Score (BW+10%)]],TRUE)*100,"")</f>
        <v/>
      </c>
    </row>
    <row r="7877" spans="1:12" x14ac:dyDescent="0.35">
      <c r="A7877" s="3"/>
      <c r="B7877" s="2"/>
      <c r="C7877" s="2"/>
      <c r="D7877" s="2" t="b">
        <f>IF(AND(NOT(ISBLANK(Table1[[#This Row],[Fetal Sex (Male, Female or Unknown)]])),ISNUMBER(Table1[[#This Row],[Birthweight (grams)]]),ISNUMBER(Table1[[#This Row],[Gestation (days)]])),TRUE,FALSE)</f>
        <v>0</v>
      </c>
      <c r="E7877" s="2" t="str">
        <f>IF(Table1[[#This Row],[Is Data Valid]]=TRUE,IF(Table1[[#This Row],[Fetal Sex (Male, Female or Unknown)]]="Male",Backend!$C$6,IF(Table1[[#This Row],[Fetal Sex (Male, Female or Unknown)]]="Female",Backend!$C$7,IF(Table1[[#This Row],[Fetal Sex (Male, Female or Unknown)]]="Unknown",Backend!$C$8,"Error"))),"")</f>
        <v/>
      </c>
      <c r="F7877" s="8" t="str">
        <f>IF(Table1[[#This Row],[Is Data Valid]]=TRUE,EXP(0.578+0.332*((Table1[[#This Row],[Gestation (days)]]+0.5)/7)-0.00354*((Table1[[#This Row],[Gestation (days)]]+0.5)/7)^2)*Table1[[#This Row],[BW40_3705]],"")</f>
        <v/>
      </c>
      <c r="G7877" s="2" t="str">
        <f>IF(Table1[[#This Row],[Is Data Valid]]=TRUE,((Table1[[#This Row],[Birthweight (grams)]]/Table1[[#This Row],[BW_GA]])-1)/(Backend!$B$4/100*Table1[[#This Row],[BW40_3705]]),"")</f>
        <v/>
      </c>
      <c r="H7877" s="7" t="str">
        <f>IF(Table1[[#This Row],[Is Data Valid]]=TRUE,((Table1[[#This Row],[Birthweight (grams)]]*0.9/Table1[[#This Row],[BW_GA]])-1)/(Backend!$B$4/100*Table1[[#This Row],[BW40_3705]]),"")</f>
        <v/>
      </c>
      <c r="I7877" s="7" t="str">
        <f>IF(Table1[[#This Row],[Is Data Valid]]=TRUE,((Table1[[#This Row],[Birthweight (grams)]]*1.1/Table1[[#This Row],[BW_GA]])-1)/(Backend!$B$4/100*Table1[[#This Row],[BW40_3705]]),"")</f>
        <v/>
      </c>
      <c r="J7877" s="7" t="str">
        <f>IF(Table1[[#This Row],[Is Data Valid]]=TRUE,_xlfn.NORM.S.DIST(Table1[[#This Row],[Birthweight Z-Score]],TRUE)*100,"")</f>
        <v/>
      </c>
      <c r="K7877" s="7" t="str">
        <f>IF(Table1[[#This Row],[Is Data Valid]]=TRUE,_xlfn.NORM.S.DIST(Table1[[#This Row],[Birthweight Z-Score (BW-10%)]],TRUE)*100,"")</f>
        <v/>
      </c>
      <c r="L7877" s="7" t="str">
        <f>IF(Table1[[#This Row],[Is Data Valid]]=TRUE,_xlfn.NORM.S.DIST(Table1[[#This Row],[Birthweight Z-Score (BW+10%)]],TRUE)*100,"")</f>
        <v/>
      </c>
    </row>
    <row r="7878" spans="1:12" x14ac:dyDescent="0.35">
      <c r="A7878" s="3"/>
      <c r="B7878" s="2"/>
      <c r="C7878" s="2"/>
      <c r="D7878" s="2" t="b">
        <f>IF(AND(NOT(ISBLANK(Table1[[#This Row],[Fetal Sex (Male, Female or Unknown)]])),ISNUMBER(Table1[[#This Row],[Birthweight (grams)]]),ISNUMBER(Table1[[#This Row],[Gestation (days)]])),TRUE,FALSE)</f>
        <v>0</v>
      </c>
      <c r="E7878" s="2" t="str">
        <f>IF(Table1[[#This Row],[Is Data Valid]]=TRUE,IF(Table1[[#This Row],[Fetal Sex (Male, Female or Unknown)]]="Male",Backend!$C$6,IF(Table1[[#This Row],[Fetal Sex (Male, Female or Unknown)]]="Female",Backend!$C$7,IF(Table1[[#This Row],[Fetal Sex (Male, Female or Unknown)]]="Unknown",Backend!$C$8,"Error"))),"")</f>
        <v/>
      </c>
      <c r="F7878" s="8" t="str">
        <f>IF(Table1[[#This Row],[Is Data Valid]]=TRUE,EXP(0.578+0.332*((Table1[[#This Row],[Gestation (days)]]+0.5)/7)-0.00354*((Table1[[#This Row],[Gestation (days)]]+0.5)/7)^2)*Table1[[#This Row],[BW40_3705]],"")</f>
        <v/>
      </c>
      <c r="G7878" s="2" t="str">
        <f>IF(Table1[[#This Row],[Is Data Valid]]=TRUE,((Table1[[#This Row],[Birthweight (grams)]]/Table1[[#This Row],[BW_GA]])-1)/(Backend!$B$4/100*Table1[[#This Row],[BW40_3705]]),"")</f>
        <v/>
      </c>
      <c r="H7878" s="7" t="str">
        <f>IF(Table1[[#This Row],[Is Data Valid]]=TRUE,((Table1[[#This Row],[Birthweight (grams)]]*0.9/Table1[[#This Row],[BW_GA]])-1)/(Backend!$B$4/100*Table1[[#This Row],[BW40_3705]]),"")</f>
        <v/>
      </c>
      <c r="I7878" s="7" t="str">
        <f>IF(Table1[[#This Row],[Is Data Valid]]=TRUE,((Table1[[#This Row],[Birthweight (grams)]]*1.1/Table1[[#This Row],[BW_GA]])-1)/(Backend!$B$4/100*Table1[[#This Row],[BW40_3705]]),"")</f>
        <v/>
      </c>
      <c r="J7878" s="7" t="str">
        <f>IF(Table1[[#This Row],[Is Data Valid]]=TRUE,_xlfn.NORM.S.DIST(Table1[[#This Row],[Birthweight Z-Score]],TRUE)*100,"")</f>
        <v/>
      </c>
      <c r="K7878" s="7" t="str">
        <f>IF(Table1[[#This Row],[Is Data Valid]]=TRUE,_xlfn.NORM.S.DIST(Table1[[#This Row],[Birthweight Z-Score (BW-10%)]],TRUE)*100,"")</f>
        <v/>
      </c>
      <c r="L7878" s="7" t="str">
        <f>IF(Table1[[#This Row],[Is Data Valid]]=TRUE,_xlfn.NORM.S.DIST(Table1[[#This Row],[Birthweight Z-Score (BW+10%)]],TRUE)*100,"")</f>
        <v/>
      </c>
    </row>
    <row r="7879" spans="1:12" x14ac:dyDescent="0.35">
      <c r="A7879" s="3"/>
      <c r="B7879" s="2"/>
      <c r="C7879" s="2"/>
      <c r="D7879" s="2" t="b">
        <f>IF(AND(NOT(ISBLANK(Table1[[#This Row],[Fetal Sex (Male, Female or Unknown)]])),ISNUMBER(Table1[[#This Row],[Birthweight (grams)]]),ISNUMBER(Table1[[#This Row],[Gestation (days)]])),TRUE,FALSE)</f>
        <v>0</v>
      </c>
      <c r="E7879" s="2" t="str">
        <f>IF(Table1[[#This Row],[Is Data Valid]]=TRUE,IF(Table1[[#This Row],[Fetal Sex (Male, Female or Unknown)]]="Male",Backend!$C$6,IF(Table1[[#This Row],[Fetal Sex (Male, Female or Unknown)]]="Female",Backend!$C$7,IF(Table1[[#This Row],[Fetal Sex (Male, Female or Unknown)]]="Unknown",Backend!$C$8,"Error"))),"")</f>
        <v/>
      </c>
      <c r="F7879" s="8" t="str">
        <f>IF(Table1[[#This Row],[Is Data Valid]]=TRUE,EXP(0.578+0.332*((Table1[[#This Row],[Gestation (days)]]+0.5)/7)-0.00354*((Table1[[#This Row],[Gestation (days)]]+0.5)/7)^2)*Table1[[#This Row],[BW40_3705]],"")</f>
        <v/>
      </c>
      <c r="G7879" s="2" t="str">
        <f>IF(Table1[[#This Row],[Is Data Valid]]=TRUE,((Table1[[#This Row],[Birthweight (grams)]]/Table1[[#This Row],[BW_GA]])-1)/(Backend!$B$4/100*Table1[[#This Row],[BW40_3705]]),"")</f>
        <v/>
      </c>
      <c r="H7879" s="7" t="str">
        <f>IF(Table1[[#This Row],[Is Data Valid]]=TRUE,((Table1[[#This Row],[Birthweight (grams)]]*0.9/Table1[[#This Row],[BW_GA]])-1)/(Backend!$B$4/100*Table1[[#This Row],[BW40_3705]]),"")</f>
        <v/>
      </c>
      <c r="I7879" s="7" t="str">
        <f>IF(Table1[[#This Row],[Is Data Valid]]=TRUE,((Table1[[#This Row],[Birthweight (grams)]]*1.1/Table1[[#This Row],[BW_GA]])-1)/(Backend!$B$4/100*Table1[[#This Row],[BW40_3705]]),"")</f>
        <v/>
      </c>
      <c r="J7879" s="7" t="str">
        <f>IF(Table1[[#This Row],[Is Data Valid]]=TRUE,_xlfn.NORM.S.DIST(Table1[[#This Row],[Birthweight Z-Score]],TRUE)*100,"")</f>
        <v/>
      </c>
      <c r="K7879" s="7" t="str">
        <f>IF(Table1[[#This Row],[Is Data Valid]]=TRUE,_xlfn.NORM.S.DIST(Table1[[#This Row],[Birthweight Z-Score (BW-10%)]],TRUE)*100,"")</f>
        <v/>
      </c>
      <c r="L7879" s="7" t="str">
        <f>IF(Table1[[#This Row],[Is Data Valid]]=TRUE,_xlfn.NORM.S.DIST(Table1[[#This Row],[Birthweight Z-Score (BW+10%)]],TRUE)*100,"")</f>
        <v/>
      </c>
    </row>
    <row r="7880" spans="1:12" x14ac:dyDescent="0.35">
      <c r="A7880" s="3"/>
      <c r="B7880" s="2"/>
      <c r="C7880" s="2"/>
      <c r="D7880" s="2" t="b">
        <f>IF(AND(NOT(ISBLANK(Table1[[#This Row],[Fetal Sex (Male, Female or Unknown)]])),ISNUMBER(Table1[[#This Row],[Birthweight (grams)]]),ISNUMBER(Table1[[#This Row],[Gestation (days)]])),TRUE,FALSE)</f>
        <v>0</v>
      </c>
      <c r="E7880" s="2" t="str">
        <f>IF(Table1[[#This Row],[Is Data Valid]]=TRUE,IF(Table1[[#This Row],[Fetal Sex (Male, Female or Unknown)]]="Male",Backend!$C$6,IF(Table1[[#This Row],[Fetal Sex (Male, Female or Unknown)]]="Female",Backend!$C$7,IF(Table1[[#This Row],[Fetal Sex (Male, Female or Unknown)]]="Unknown",Backend!$C$8,"Error"))),"")</f>
        <v/>
      </c>
      <c r="F7880" s="8" t="str">
        <f>IF(Table1[[#This Row],[Is Data Valid]]=TRUE,EXP(0.578+0.332*((Table1[[#This Row],[Gestation (days)]]+0.5)/7)-0.00354*((Table1[[#This Row],[Gestation (days)]]+0.5)/7)^2)*Table1[[#This Row],[BW40_3705]],"")</f>
        <v/>
      </c>
      <c r="G7880" s="2" t="str">
        <f>IF(Table1[[#This Row],[Is Data Valid]]=TRUE,((Table1[[#This Row],[Birthweight (grams)]]/Table1[[#This Row],[BW_GA]])-1)/(Backend!$B$4/100*Table1[[#This Row],[BW40_3705]]),"")</f>
        <v/>
      </c>
      <c r="H7880" s="7" t="str">
        <f>IF(Table1[[#This Row],[Is Data Valid]]=TRUE,((Table1[[#This Row],[Birthweight (grams)]]*0.9/Table1[[#This Row],[BW_GA]])-1)/(Backend!$B$4/100*Table1[[#This Row],[BW40_3705]]),"")</f>
        <v/>
      </c>
      <c r="I7880" s="7" t="str">
        <f>IF(Table1[[#This Row],[Is Data Valid]]=TRUE,((Table1[[#This Row],[Birthweight (grams)]]*1.1/Table1[[#This Row],[BW_GA]])-1)/(Backend!$B$4/100*Table1[[#This Row],[BW40_3705]]),"")</f>
        <v/>
      </c>
      <c r="J7880" s="7" t="str">
        <f>IF(Table1[[#This Row],[Is Data Valid]]=TRUE,_xlfn.NORM.S.DIST(Table1[[#This Row],[Birthweight Z-Score]],TRUE)*100,"")</f>
        <v/>
      </c>
      <c r="K7880" s="7" t="str">
        <f>IF(Table1[[#This Row],[Is Data Valid]]=TRUE,_xlfn.NORM.S.DIST(Table1[[#This Row],[Birthweight Z-Score (BW-10%)]],TRUE)*100,"")</f>
        <v/>
      </c>
      <c r="L7880" s="7" t="str">
        <f>IF(Table1[[#This Row],[Is Data Valid]]=TRUE,_xlfn.NORM.S.DIST(Table1[[#This Row],[Birthweight Z-Score (BW+10%)]],TRUE)*100,"")</f>
        <v/>
      </c>
    </row>
    <row r="7881" spans="1:12" x14ac:dyDescent="0.35">
      <c r="A7881" s="3"/>
      <c r="B7881" s="2"/>
      <c r="C7881" s="2"/>
      <c r="D7881" s="2" t="b">
        <f>IF(AND(NOT(ISBLANK(Table1[[#This Row],[Fetal Sex (Male, Female or Unknown)]])),ISNUMBER(Table1[[#This Row],[Birthweight (grams)]]),ISNUMBER(Table1[[#This Row],[Gestation (days)]])),TRUE,FALSE)</f>
        <v>0</v>
      </c>
      <c r="E7881" s="2" t="str">
        <f>IF(Table1[[#This Row],[Is Data Valid]]=TRUE,IF(Table1[[#This Row],[Fetal Sex (Male, Female or Unknown)]]="Male",Backend!$C$6,IF(Table1[[#This Row],[Fetal Sex (Male, Female or Unknown)]]="Female",Backend!$C$7,IF(Table1[[#This Row],[Fetal Sex (Male, Female or Unknown)]]="Unknown",Backend!$C$8,"Error"))),"")</f>
        <v/>
      </c>
      <c r="F7881" s="8" t="str">
        <f>IF(Table1[[#This Row],[Is Data Valid]]=TRUE,EXP(0.578+0.332*((Table1[[#This Row],[Gestation (days)]]+0.5)/7)-0.00354*((Table1[[#This Row],[Gestation (days)]]+0.5)/7)^2)*Table1[[#This Row],[BW40_3705]],"")</f>
        <v/>
      </c>
      <c r="G7881" s="2" t="str">
        <f>IF(Table1[[#This Row],[Is Data Valid]]=TRUE,((Table1[[#This Row],[Birthweight (grams)]]/Table1[[#This Row],[BW_GA]])-1)/(Backend!$B$4/100*Table1[[#This Row],[BW40_3705]]),"")</f>
        <v/>
      </c>
      <c r="H7881" s="7" t="str">
        <f>IF(Table1[[#This Row],[Is Data Valid]]=TRUE,((Table1[[#This Row],[Birthweight (grams)]]*0.9/Table1[[#This Row],[BW_GA]])-1)/(Backend!$B$4/100*Table1[[#This Row],[BW40_3705]]),"")</f>
        <v/>
      </c>
      <c r="I7881" s="7" t="str">
        <f>IF(Table1[[#This Row],[Is Data Valid]]=TRUE,((Table1[[#This Row],[Birthweight (grams)]]*1.1/Table1[[#This Row],[BW_GA]])-1)/(Backend!$B$4/100*Table1[[#This Row],[BW40_3705]]),"")</f>
        <v/>
      </c>
      <c r="J7881" s="7" t="str">
        <f>IF(Table1[[#This Row],[Is Data Valid]]=TRUE,_xlfn.NORM.S.DIST(Table1[[#This Row],[Birthweight Z-Score]],TRUE)*100,"")</f>
        <v/>
      </c>
      <c r="K7881" s="7" t="str">
        <f>IF(Table1[[#This Row],[Is Data Valid]]=TRUE,_xlfn.NORM.S.DIST(Table1[[#This Row],[Birthweight Z-Score (BW-10%)]],TRUE)*100,"")</f>
        <v/>
      </c>
      <c r="L7881" s="7" t="str">
        <f>IF(Table1[[#This Row],[Is Data Valid]]=TRUE,_xlfn.NORM.S.DIST(Table1[[#This Row],[Birthweight Z-Score (BW+10%)]],TRUE)*100,"")</f>
        <v/>
      </c>
    </row>
    <row r="7882" spans="1:12" x14ac:dyDescent="0.35">
      <c r="A7882" s="3"/>
      <c r="B7882" s="2"/>
      <c r="C7882" s="2"/>
      <c r="D7882" s="2" t="b">
        <f>IF(AND(NOT(ISBLANK(Table1[[#This Row],[Fetal Sex (Male, Female or Unknown)]])),ISNUMBER(Table1[[#This Row],[Birthweight (grams)]]),ISNUMBER(Table1[[#This Row],[Gestation (days)]])),TRUE,FALSE)</f>
        <v>0</v>
      </c>
      <c r="E7882" s="2" t="str">
        <f>IF(Table1[[#This Row],[Is Data Valid]]=TRUE,IF(Table1[[#This Row],[Fetal Sex (Male, Female or Unknown)]]="Male",Backend!$C$6,IF(Table1[[#This Row],[Fetal Sex (Male, Female or Unknown)]]="Female",Backend!$C$7,IF(Table1[[#This Row],[Fetal Sex (Male, Female or Unknown)]]="Unknown",Backend!$C$8,"Error"))),"")</f>
        <v/>
      </c>
      <c r="F7882" s="8" t="str">
        <f>IF(Table1[[#This Row],[Is Data Valid]]=TRUE,EXP(0.578+0.332*((Table1[[#This Row],[Gestation (days)]]+0.5)/7)-0.00354*((Table1[[#This Row],[Gestation (days)]]+0.5)/7)^2)*Table1[[#This Row],[BW40_3705]],"")</f>
        <v/>
      </c>
      <c r="G7882" s="2" t="str">
        <f>IF(Table1[[#This Row],[Is Data Valid]]=TRUE,((Table1[[#This Row],[Birthweight (grams)]]/Table1[[#This Row],[BW_GA]])-1)/(Backend!$B$4/100*Table1[[#This Row],[BW40_3705]]),"")</f>
        <v/>
      </c>
      <c r="H7882" s="7" t="str">
        <f>IF(Table1[[#This Row],[Is Data Valid]]=TRUE,((Table1[[#This Row],[Birthweight (grams)]]*0.9/Table1[[#This Row],[BW_GA]])-1)/(Backend!$B$4/100*Table1[[#This Row],[BW40_3705]]),"")</f>
        <v/>
      </c>
      <c r="I7882" s="7" t="str">
        <f>IF(Table1[[#This Row],[Is Data Valid]]=TRUE,((Table1[[#This Row],[Birthweight (grams)]]*1.1/Table1[[#This Row],[BW_GA]])-1)/(Backend!$B$4/100*Table1[[#This Row],[BW40_3705]]),"")</f>
        <v/>
      </c>
      <c r="J7882" s="7" t="str">
        <f>IF(Table1[[#This Row],[Is Data Valid]]=TRUE,_xlfn.NORM.S.DIST(Table1[[#This Row],[Birthweight Z-Score]],TRUE)*100,"")</f>
        <v/>
      </c>
      <c r="K7882" s="7" t="str">
        <f>IF(Table1[[#This Row],[Is Data Valid]]=TRUE,_xlfn.NORM.S.DIST(Table1[[#This Row],[Birthweight Z-Score (BW-10%)]],TRUE)*100,"")</f>
        <v/>
      </c>
      <c r="L7882" s="7" t="str">
        <f>IF(Table1[[#This Row],[Is Data Valid]]=TRUE,_xlfn.NORM.S.DIST(Table1[[#This Row],[Birthweight Z-Score (BW+10%)]],TRUE)*100,"")</f>
        <v/>
      </c>
    </row>
    <row r="7883" spans="1:12" x14ac:dyDescent="0.35">
      <c r="A7883" s="3"/>
      <c r="B7883" s="2"/>
      <c r="C7883" s="2"/>
      <c r="D7883" s="2" t="b">
        <f>IF(AND(NOT(ISBLANK(Table1[[#This Row],[Fetal Sex (Male, Female or Unknown)]])),ISNUMBER(Table1[[#This Row],[Birthweight (grams)]]),ISNUMBER(Table1[[#This Row],[Gestation (days)]])),TRUE,FALSE)</f>
        <v>0</v>
      </c>
      <c r="E7883" s="2" t="str">
        <f>IF(Table1[[#This Row],[Is Data Valid]]=TRUE,IF(Table1[[#This Row],[Fetal Sex (Male, Female or Unknown)]]="Male",Backend!$C$6,IF(Table1[[#This Row],[Fetal Sex (Male, Female or Unknown)]]="Female",Backend!$C$7,IF(Table1[[#This Row],[Fetal Sex (Male, Female or Unknown)]]="Unknown",Backend!$C$8,"Error"))),"")</f>
        <v/>
      </c>
      <c r="F7883" s="8" t="str">
        <f>IF(Table1[[#This Row],[Is Data Valid]]=TRUE,EXP(0.578+0.332*((Table1[[#This Row],[Gestation (days)]]+0.5)/7)-0.00354*((Table1[[#This Row],[Gestation (days)]]+0.5)/7)^2)*Table1[[#This Row],[BW40_3705]],"")</f>
        <v/>
      </c>
      <c r="G7883" s="2" t="str">
        <f>IF(Table1[[#This Row],[Is Data Valid]]=TRUE,((Table1[[#This Row],[Birthweight (grams)]]/Table1[[#This Row],[BW_GA]])-1)/(Backend!$B$4/100*Table1[[#This Row],[BW40_3705]]),"")</f>
        <v/>
      </c>
      <c r="H7883" s="7" t="str">
        <f>IF(Table1[[#This Row],[Is Data Valid]]=TRUE,((Table1[[#This Row],[Birthweight (grams)]]*0.9/Table1[[#This Row],[BW_GA]])-1)/(Backend!$B$4/100*Table1[[#This Row],[BW40_3705]]),"")</f>
        <v/>
      </c>
      <c r="I7883" s="7" t="str">
        <f>IF(Table1[[#This Row],[Is Data Valid]]=TRUE,((Table1[[#This Row],[Birthweight (grams)]]*1.1/Table1[[#This Row],[BW_GA]])-1)/(Backend!$B$4/100*Table1[[#This Row],[BW40_3705]]),"")</f>
        <v/>
      </c>
      <c r="J7883" s="7" t="str">
        <f>IF(Table1[[#This Row],[Is Data Valid]]=TRUE,_xlfn.NORM.S.DIST(Table1[[#This Row],[Birthweight Z-Score]],TRUE)*100,"")</f>
        <v/>
      </c>
      <c r="K7883" s="7" t="str">
        <f>IF(Table1[[#This Row],[Is Data Valid]]=TRUE,_xlfn.NORM.S.DIST(Table1[[#This Row],[Birthweight Z-Score (BW-10%)]],TRUE)*100,"")</f>
        <v/>
      </c>
      <c r="L7883" s="7" t="str">
        <f>IF(Table1[[#This Row],[Is Data Valid]]=TRUE,_xlfn.NORM.S.DIST(Table1[[#This Row],[Birthweight Z-Score (BW+10%)]],TRUE)*100,"")</f>
        <v/>
      </c>
    </row>
    <row r="7884" spans="1:12" x14ac:dyDescent="0.35">
      <c r="A7884" s="3"/>
      <c r="B7884" s="2"/>
      <c r="C7884" s="2"/>
      <c r="D7884" s="2" t="b">
        <f>IF(AND(NOT(ISBLANK(Table1[[#This Row],[Fetal Sex (Male, Female or Unknown)]])),ISNUMBER(Table1[[#This Row],[Birthweight (grams)]]),ISNUMBER(Table1[[#This Row],[Gestation (days)]])),TRUE,FALSE)</f>
        <v>0</v>
      </c>
      <c r="E7884" s="2" t="str">
        <f>IF(Table1[[#This Row],[Is Data Valid]]=TRUE,IF(Table1[[#This Row],[Fetal Sex (Male, Female or Unknown)]]="Male",Backend!$C$6,IF(Table1[[#This Row],[Fetal Sex (Male, Female or Unknown)]]="Female",Backend!$C$7,IF(Table1[[#This Row],[Fetal Sex (Male, Female or Unknown)]]="Unknown",Backend!$C$8,"Error"))),"")</f>
        <v/>
      </c>
      <c r="F7884" s="8" t="str">
        <f>IF(Table1[[#This Row],[Is Data Valid]]=TRUE,EXP(0.578+0.332*((Table1[[#This Row],[Gestation (days)]]+0.5)/7)-0.00354*((Table1[[#This Row],[Gestation (days)]]+0.5)/7)^2)*Table1[[#This Row],[BW40_3705]],"")</f>
        <v/>
      </c>
      <c r="G7884" s="2" t="str">
        <f>IF(Table1[[#This Row],[Is Data Valid]]=TRUE,((Table1[[#This Row],[Birthweight (grams)]]/Table1[[#This Row],[BW_GA]])-1)/(Backend!$B$4/100*Table1[[#This Row],[BW40_3705]]),"")</f>
        <v/>
      </c>
      <c r="H7884" s="7" t="str">
        <f>IF(Table1[[#This Row],[Is Data Valid]]=TRUE,((Table1[[#This Row],[Birthweight (grams)]]*0.9/Table1[[#This Row],[BW_GA]])-1)/(Backend!$B$4/100*Table1[[#This Row],[BW40_3705]]),"")</f>
        <v/>
      </c>
      <c r="I7884" s="7" t="str">
        <f>IF(Table1[[#This Row],[Is Data Valid]]=TRUE,((Table1[[#This Row],[Birthweight (grams)]]*1.1/Table1[[#This Row],[BW_GA]])-1)/(Backend!$B$4/100*Table1[[#This Row],[BW40_3705]]),"")</f>
        <v/>
      </c>
      <c r="J7884" s="7" t="str">
        <f>IF(Table1[[#This Row],[Is Data Valid]]=TRUE,_xlfn.NORM.S.DIST(Table1[[#This Row],[Birthweight Z-Score]],TRUE)*100,"")</f>
        <v/>
      </c>
      <c r="K7884" s="7" t="str">
        <f>IF(Table1[[#This Row],[Is Data Valid]]=TRUE,_xlfn.NORM.S.DIST(Table1[[#This Row],[Birthweight Z-Score (BW-10%)]],TRUE)*100,"")</f>
        <v/>
      </c>
      <c r="L7884" s="7" t="str">
        <f>IF(Table1[[#This Row],[Is Data Valid]]=TRUE,_xlfn.NORM.S.DIST(Table1[[#This Row],[Birthweight Z-Score (BW+10%)]],TRUE)*100,"")</f>
        <v/>
      </c>
    </row>
    <row r="7885" spans="1:12" x14ac:dyDescent="0.35">
      <c r="A7885" s="3"/>
      <c r="B7885" s="2"/>
      <c r="C7885" s="2"/>
      <c r="D7885" s="2" t="b">
        <f>IF(AND(NOT(ISBLANK(Table1[[#This Row],[Fetal Sex (Male, Female or Unknown)]])),ISNUMBER(Table1[[#This Row],[Birthweight (grams)]]),ISNUMBER(Table1[[#This Row],[Gestation (days)]])),TRUE,FALSE)</f>
        <v>0</v>
      </c>
      <c r="E7885" s="2" t="str">
        <f>IF(Table1[[#This Row],[Is Data Valid]]=TRUE,IF(Table1[[#This Row],[Fetal Sex (Male, Female or Unknown)]]="Male",Backend!$C$6,IF(Table1[[#This Row],[Fetal Sex (Male, Female or Unknown)]]="Female",Backend!$C$7,IF(Table1[[#This Row],[Fetal Sex (Male, Female or Unknown)]]="Unknown",Backend!$C$8,"Error"))),"")</f>
        <v/>
      </c>
      <c r="F7885" s="8" t="str">
        <f>IF(Table1[[#This Row],[Is Data Valid]]=TRUE,EXP(0.578+0.332*((Table1[[#This Row],[Gestation (days)]]+0.5)/7)-0.00354*((Table1[[#This Row],[Gestation (days)]]+0.5)/7)^2)*Table1[[#This Row],[BW40_3705]],"")</f>
        <v/>
      </c>
      <c r="G7885" s="2" t="str">
        <f>IF(Table1[[#This Row],[Is Data Valid]]=TRUE,((Table1[[#This Row],[Birthweight (grams)]]/Table1[[#This Row],[BW_GA]])-1)/(Backend!$B$4/100*Table1[[#This Row],[BW40_3705]]),"")</f>
        <v/>
      </c>
      <c r="H7885" s="7" t="str">
        <f>IF(Table1[[#This Row],[Is Data Valid]]=TRUE,((Table1[[#This Row],[Birthweight (grams)]]*0.9/Table1[[#This Row],[BW_GA]])-1)/(Backend!$B$4/100*Table1[[#This Row],[BW40_3705]]),"")</f>
        <v/>
      </c>
      <c r="I7885" s="7" t="str">
        <f>IF(Table1[[#This Row],[Is Data Valid]]=TRUE,((Table1[[#This Row],[Birthweight (grams)]]*1.1/Table1[[#This Row],[BW_GA]])-1)/(Backend!$B$4/100*Table1[[#This Row],[BW40_3705]]),"")</f>
        <v/>
      </c>
      <c r="J7885" s="7" t="str">
        <f>IF(Table1[[#This Row],[Is Data Valid]]=TRUE,_xlfn.NORM.S.DIST(Table1[[#This Row],[Birthweight Z-Score]],TRUE)*100,"")</f>
        <v/>
      </c>
      <c r="K7885" s="7" t="str">
        <f>IF(Table1[[#This Row],[Is Data Valid]]=TRUE,_xlfn.NORM.S.DIST(Table1[[#This Row],[Birthweight Z-Score (BW-10%)]],TRUE)*100,"")</f>
        <v/>
      </c>
      <c r="L7885" s="7" t="str">
        <f>IF(Table1[[#This Row],[Is Data Valid]]=TRUE,_xlfn.NORM.S.DIST(Table1[[#This Row],[Birthweight Z-Score (BW+10%)]],TRUE)*100,"")</f>
        <v/>
      </c>
    </row>
    <row r="7886" spans="1:12" x14ac:dyDescent="0.35">
      <c r="A7886" s="3"/>
      <c r="B7886" s="2"/>
      <c r="C7886" s="2"/>
      <c r="D7886" s="2" t="b">
        <f>IF(AND(NOT(ISBLANK(Table1[[#This Row],[Fetal Sex (Male, Female or Unknown)]])),ISNUMBER(Table1[[#This Row],[Birthweight (grams)]]),ISNUMBER(Table1[[#This Row],[Gestation (days)]])),TRUE,FALSE)</f>
        <v>0</v>
      </c>
      <c r="E7886" s="2" t="str">
        <f>IF(Table1[[#This Row],[Is Data Valid]]=TRUE,IF(Table1[[#This Row],[Fetal Sex (Male, Female or Unknown)]]="Male",Backend!$C$6,IF(Table1[[#This Row],[Fetal Sex (Male, Female or Unknown)]]="Female",Backend!$C$7,IF(Table1[[#This Row],[Fetal Sex (Male, Female or Unknown)]]="Unknown",Backend!$C$8,"Error"))),"")</f>
        <v/>
      </c>
      <c r="F7886" s="8" t="str">
        <f>IF(Table1[[#This Row],[Is Data Valid]]=TRUE,EXP(0.578+0.332*((Table1[[#This Row],[Gestation (days)]]+0.5)/7)-0.00354*((Table1[[#This Row],[Gestation (days)]]+0.5)/7)^2)*Table1[[#This Row],[BW40_3705]],"")</f>
        <v/>
      </c>
      <c r="G7886" s="2" t="str">
        <f>IF(Table1[[#This Row],[Is Data Valid]]=TRUE,((Table1[[#This Row],[Birthweight (grams)]]/Table1[[#This Row],[BW_GA]])-1)/(Backend!$B$4/100*Table1[[#This Row],[BW40_3705]]),"")</f>
        <v/>
      </c>
      <c r="H7886" s="7" t="str">
        <f>IF(Table1[[#This Row],[Is Data Valid]]=TRUE,((Table1[[#This Row],[Birthweight (grams)]]*0.9/Table1[[#This Row],[BW_GA]])-1)/(Backend!$B$4/100*Table1[[#This Row],[BW40_3705]]),"")</f>
        <v/>
      </c>
      <c r="I7886" s="7" t="str">
        <f>IF(Table1[[#This Row],[Is Data Valid]]=TRUE,((Table1[[#This Row],[Birthweight (grams)]]*1.1/Table1[[#This Row],[BW_GA]])-1)/(Backend!$B$4/100*Table1[[#This Row],[BW40_3705]]),"")</f>
        <v/>
      </c>
      <c r="J7886" s="7" t="str">
        <f>IF(Table1[[#This Row],[Is Data Valid]]=TRUE,_xlfn.NORM.S.DIST(Table1[[#This Row],[Birthweight Z-Score]],TRUE)*100,"")</f>
        <v/>
      </c>
      <c r="K7886" s="7" t="str">
        <f>IF(Table1[[#This Row],[Is Data Valid]]=TRUE,_xlfn.NORM.S.DIST(Table1[[#This Row],[Birthweight Z-Score (BW-10%)]],TRUE)*100,"")</f>
        <v/>
      </c>
      <c r="L7886" s="7" t="str">
        <f>IF(Table1[[#This Row],[Is Data Valid]]=TRUE,_xlfn.NORM.S.DIST(Table1[[#This Row],[Birthweight Z-Score (BW+10%)]],TRUE)*100,"")</f>
        <v/>
      </c>
    </row>
    <row r="7887" spans="1:12" x14ac:dyDescent="0.35">
      <c r="A7887" s="3"/>
      <c r="B7887" s="2"/>
      <c r="C7887" s="2"/>
      <c r="D7887" s="2" t="b">
        <f>IF(AND(NOT(ISBLANK(Table1[[#This Row],[Fetal Sex (Male, Female or Unknown)]])),ISNUMBER(Table1[[#This Row],[Birthweight (grams)]]),ISNUMBER(Table1[[#This Row],[Gestation (days)]])),TRUE,FALSE)</f>
        <v>0</v>
      </c>
      <c r="E7887" s="2" t="str">
        <f>IF(Table1[[#This Row],[Is Data Valid]]=TRUE,IF(Table1[[#This Row],[Fetal Sex (Male, Female or Unknown)]]="Male",Backend!$C$6,IF(Table1[[#This Row],[Fetal Sex (Male, Female or Unknown)]]="Female",Backend!$C$7,IF(Table1[[#This Row],[Fetal Sex (Male, Female or Unknown)]]="Unknown",Backend!$C$8,"Error"))),"")</f>
        <v/>
      </c>
      <c r="F7887" s="8" t="str">
        <f>IF(Table1[[#This Row],[Is Data Valid]]=TRUE,EXP(0.578+0.332*((Table1[[#This Row],[Gestation (days)]]+0.5)/7)-0.00354*((Table1[[#This Row],[Gestation (days)]]+0.5)/7)^2)*Table1[[#This Row],[BW40_3705]],"")</f>
        <v/>
      </c>
      <c r="G7887" s="2" t="str">
        <f>IF(Table1[[#This Row],[Is Data Valid]]=TRUE,((Table1[[#This Row],[Birthweight (grams)]]/Table1[[#This Row],[BW_GA]])-1)/(Backend!$B$4/100*Table1[[#This Row],[BW40_3705]]),"")</f>
        <v/>
      </c>
      <c r="H7887" s="7" t="str">
        <f>IF(Table1[[#This Row],[Is Data Valid]]=TRUE,((Table1[[#This Row],[Birthweight (grams)]]*0.9/Table1[[#This Row],[BW_GA]])-1)/(Backend!$B$4/100*Table1[[#This Row],[BW40_3705]]),"")</f>
        <v/>
      </c>
      <c r="I7887" s="7" t="str">
        <f>IF(Table1[[#This Row],[Is Data Valid]]=TRUE,((Table1[[#This Row],[Birthweight (grams)]]*1.1/Table1[[#This Row],[BW_GA]])-1)/(Backend!$B$4/100*Table1[[#This Row],[BW40_3705]]),"")</f>
        <v/>
      </c>
      <c r="J7887" s="7" t="str">
        <f>IF(Table1[[#This Row],[Is Data Valid]]=TRUE,_xlfn.NORM.S.DIST(Table1[[#This Row],[Birthweight Z-Score]],TRUE)*100,"")</f>
        <v/>
      </c>
      <c r="K7887" s="7" t="str">
        <f>IF(Table1[[#This Row],[Is Data Valid]]=TRUE,_xlfn.NORM.S.DIST(Table1[[#This Row],[Birthweight Z-Score (BW-10%)]],TRUE)*100,"")</f>
        <v/>
      </c>
      <c r="L7887" s="7" t="str">
        <f>IF(Table1[[#This Row],[Is Data Valid]]=TRUE,_xlfn.NORM.S.DIST(Table1[[#This Row],[Birthweight Z-Score (BW+10%)]],TRUE)*100,"")</f>
        <v/>
      </c>
    </row>
    <row r="7888" spans="1:12" x14ac:dyDescent="0.35">
      <c r="A7888" s="3"/>
      <c r="B7888" s="2"/>
      <c r="C7888" s="2"/>
      <c r="D7888" s="2" t="b">
        <f>IF(AND(NOT(ISBLANK(Table1[[#This Row],[Fetal Sex (Male, Female or Unknown)]])),ISNUMBER(Table1[[#This Row],[Birthweight (grams)]]),ISNUMBER(Table1[[#This Row],[Gestation (days)]])),TRUE,FALSE)</f>
        <v>0</v>
      </c>
      <c r="E7888" s="2" t="str">
        <f>IF(Table1[[#This Row],[Is Data Valid]]=TRUE,IF(Table1[[#This Row],[Fetal Sex (Male, Female or Unknown)]]="Male",Backend!$C$6,IF(Table1[[#This Row],[Fetal Sex (Male, Female or Unknown)]]="Female",Backend!$C$7,IF(Table1[[#This Row],[Fetal Sex (Male, Female or Unknown)]]="Unknown",Backend!$C$8,"Error"))),"")</f>
        <v/>
      </c>
      <c r="F7888" s="8" t="str">
        <f>IF(Table1[[#This Row],[Is Data Valid]]=TRUE,EXP(0.578+0.332*((Table1[[#This Row],[Gestation (days)]]+0.5)/7)-0.00354*((Table1[[#This Row],[Gestation (days)]]+0.5)/7)^2)*Table1[[#This Row],[BW40_3705]],"")</f>
        <v/>
      </c>
      <c r="G7888" s="2" t="str">
        <f>IF(Table1[[#This Row],[Is Data Valid]]=TRUE,((Table1[[#This Row],[Birthweight (grams)]]/Table1[[#This Row],[BW_GA]])-1)/(Backend!$B$4/100*Table1[[#This Row],[BW40_3705]]),"")</f>
        <v/>
      </c>
      <c r="H7888" s="7" t="str">
        <f>IF(Table1[[#This Row],[Is Data Valid]]=TRUE,((Table1[[#This Row],[Birthweight (grams)]]*0.9/Table1[[#This Row],[BW_GA]])-1)/(Backend!$B$4/100*Table1[[#This Row],[BW40_3705]]),"")</f>
        <v/>
      </c>
      <c r="I7888" s="7" t="str">
        <f>IF(Table1[[#This Row],[Is Data Valid]]=TRUE,((Table1[[#This Row],[Birthweight (grams)]]*1.1/Table1[[#This Row],[BW_GA]])-1)/(Backend!$B$4/100*Table1[[#This Row],[BW40_3705]]),"")</f>
        <v/>
      </c>
      <c r="J7888" s="7" t="str">
        <f>IF(Table1[[#This Row],[Is Data Valid]]=TRUE,_xlfn.NORM.S.DIST(Table1[[#This Row],[Birthweight Z-Score]],TRUE)*100,"")</f>
        <v/>
      </c>
      <c r="K7888" s="7" t="str">
        <f>IF(Table1[[#This Row],[Is Data Valid]]=TRUE,_xlfn.NORM.S.DIST(Table1[[#This Row],[Birthweight Z-Score (BW-10%)]],TRUE)*100,"")</f>
        <v/>
      </c>
      <c r="L7888" s="7" t="str">
        <f>IF(Table1[[#This Row],[Is Data Valid]]=TRUE,_xlfn.NORM.S.DIST(Table1[[#This Row],[Birthweight Z-Score (BW+10%)]],TRUE)*100,"")</f>
        <v/>
      </c>
    </row>
    <row r="7889" spans="1:12" x14ac:dyDescent="0.35">
      <c r="A7889" s="3"/>
      <c r="B7889" s="2"/>
      <c r="C7889" s="2"/>
      <c r="D7889" s="2" t="b">
        <f>IF(AND(NOT(ISBLANK(Table1[[#This Row],[Fetal Sex (Male, Female or Unknown)]])),ISNUMBER(Table1[[#This Row],[Birthweight (grams)]]),ISNUMBER(Table1[[#This Row],[Gestation (days)]])),TRUE,FALSE)</f>
        <v>0</v>
      </c>
      <c r="E7889" s="2" t="str">
        <f>IF(Table1[[#This Row],[Is Data Valid]]=TRUE,IF(Table1[[#This Row],[Fetal Sex (Male, Female or Unknown)]]="Male",Backend!$C$6,IF(Table1[[#This Row],[Fetal Sex (Male, Female or Unknown)]]="Female",Backend!$C$7,IF(Table1[[#This Row],[Fetal Sex (Male, Female or Unknown)]]="Unknown",Backend!$C$8,"Error"))),"")</f>
        <v/>
      </c>
      <c r="F7889" s="8" t="str">
        <f>IF(Table1[[#This Row],[Is Data Valid]]=TRUE,EXP(0.578+0.332*((Table1[[#This Row],[Gestation (days)]]+0.5)/7)-0.00354*((Table1[[#This Row],[Gestation (days)]]+0.5)/7)^2)*Table1[[#This Row],[BW40_3705]],"")</f>
        <v/>
      </c>
      <c r="G7889" s="2" t="str">
        <f>IF(Table1[[#This Row],[Is Data Valid]]=TRUE,((Table1[[#This Row],[Birthweight (grams)]]/Table1[[#This Row],[BW_GA]])-1)/(Backend!$B$4/100*Table1[[#This Row],[BW40_3705]]),"")</f>
        <v/>
      </c>
      <c r="H7889" s="7" t="str">
        <f>IF(Table1[[#This Row],[Is Data Valid]]=TRUE,((Table1[[#This Row],[Birthweight (grams)]]*0.9/Table1[[#This Row],[BW_GA]])-1)/(Backend!$B$4/100*Table1[[#This Row],[BW40_3705]]),"")</f>
        <v/>
      </c>
      <c r="I7889" s="7" t="str">
        <f>IF(Table1[[#This Row],[Is Data Valid]]=TRUE,((Table1[[#This Row],[Birthweight (grams)]]*1.1/Table1[[#This Row],[BW_GA]])-1)/(Backend!$B$4/100*Table1[[#This Row],[BW40_3705]]),"")</f>
        <v/>
      </c>
      <c r="J7889" s="7" t="str">
        <f>IF(Table1[[#This Row],[Is Data Valid]]=TRUE,_xlfn.NORM.S.DIST(Table1[[#This Row],[Birthweight Z-Score]],TRUE)*100,"")</f>
        <v/>
      </c>
      <c r="K7889" s="7" t="str">
        <f>IF(Table1[[#This Row],[Is Data Valid]]=TRUE,_xlfn.NORM.S.DIST(Table1[[#This Row],[Birthweight Z-Score (BW-10%)]],TRUE)*100,"")</f>
        <v/>
      </c>
      <c r="L7889" s="7" t="str">
        <f>IF(Table1[[#This Row],[Is Data Valid]]=TRUE,_xlfn.NORM.S.DIST(Table1[[#This Row],[Birthweight Z-Score (BW+10%)]],TRUE)*100,"")</f>
        <v/>
      </c>
    </row>
    <row r="7890" spans="1:12" x14ac:dyDescent="0.35">
      <c r="A7890" s="3"/>
      <c r="B7890" s="2"/>
      <c r="C7890" s="2"/>
      <c r="D7890" s="2" t="b">
        <f>IF(AND(NOT(ISBLANK(Table1[[#This Row],[Fetal Sex (Male, Female or Unknown)]])),ISNUMBER(Table1[[#This Row],[Birthweight (grams)]]),ISNUMBER(Table1[[#This Row],[Gestation (days)]])),TRUE,FALSE)</f>
        <v>0</v>
      </c>
      <c r="E7890" s="2" t="str">
        <f>IF(Table1[[#This Row],[Is Data Valid]]=TRUE,IF(Table1[[#This Row],[Fetal Sex (Male, Female or Unknown)]]="Male",Backend!$C$6,IF(Table1[[#This Row],[Fetal Sex (Male, Female or Unknown)]]="Female",Backend!$C$7,IF(Table1[[#This Row],[Fetal Sex (Male, Female or Unknown)]]="Unknown",Backend!$C$8,"Error"))),"")</f>
        <v/>
      </c>
      <c r="F7890" s="8" t="str">
        <f>IF(Table1[[#This Row],[Is Data Valid]]=TRUE,EXP(0.578+0.332*((Table1[[#This Row],[Gestation (days)]]+0.5)/7)-0.00354*((Table1[[#This Row],[Gestation (days)]]+0.5)/7)^2)*Table1[[#This Row],[BW40_3705]],"")</f>
        <v/>
      </c>
      <c r="G7890" s="2" t="str">
        <f>IF(Table1[[#This Row],[Is Data Valid]]=TRUE,((Table1[[#This Row],[Birthweight (grams)]]/Table1[[#This Row],[BW_GA]])-1)/(Backend!$B$4/100*Table1[[#This Row],[BW40_3705]]),"")</f>
        <v/>
      </c>
      <c r="H7890" s="7" t="str">
        <f>IF(Table1[[#This Row],[Is Data Valid]]=TRUE,((Table1[[#This Row],[Birthweight (grams)]]*0.9/Table1[[#This Row],[BW_GA]])-1)/(Backend!$B$4/100*Table1[[#This Row],[BW40_3705]]),"")</f>
        <v/>
      </c>
      <c r="I7890" s="7" t="str">
        <f>IF(Table1[[#This Row],[Is Data Valid]]=TRUE,((Table1[[#This Row],[Birthweight (grams)]]*1.1/Table1[[#This Row],[BW_GA]])-1)/(Backend!$B$4/100*Table1[[#This Row],[BW40_3705]]),"")</f>
        <v/>
      </c>
      <c r="J7890" s="7" t="str">
        <f>IF(Table1[[#This Row],[Is Data Valid]]=TRUE,_xlfn.NORM.S.DIST(Table1[[#This Row],[Birthweight Z-Score]],TRUE)*100,"")</f>
        <v/>
      </c>
      <c r="K7890" s="7" t="str">
        <f>IF(Table1[[#This Row],[Is Data Valid]]=TRUE,_xlfn.NORM.S.DIST(Table1[[#This Row],[Birthweight Z-Score (BW-10%)]],TRUE)*100,"")</f>
        <v/>
      </c>
      <c r="L7890" s="7" t="str">
        <f>IF(Table1[[#This Row],[Is Data Valid]]=TRUE,_xlfn.NORM.S.DIST(Table1[[#This Row],[Birthweight Z-Score (BW+10%)]],TRUE)*100,"")</f>
        <v/>
      </c>
    </row>
    <row r="7891" spans="1:12" x14ac:dyDescent="0.35">
      <c r="A7891" s="3"/>
      <c r="B7891" s="2"/>
      <c r="C7891" s="2"/>
      <c r="D7891" s="2" t="b">
        <f>IF(AND(NOT(ISBLANK(Table1[[#This Row],[Fetal Sex (Male, Female or Unknown)]])),ISNUMBER(Table1[[#This Row],[Birthweight (grams)]]),ISNUMBER(Table1[[#This Row],[Gestation (days)]])),TRUE,FALSE)</f>
        <v>0</v>
      </c>
      <c r="E7891" s="2" t="str">
        <f>IF(Table1[[#This Row],[Is Data Valid]]=TRUE,IF(Table1[[#This Row],[Fetal Sex (Male, Female or Unknown)]]="Male",Backend!$C$6,IF(Table1[[#This Row],[Fetal Sex (Male, Female or Unknown)]]="Female",Backend!$C$7,IF(Table1[[#This Row],[Fetal Sex (Male, Female or Unknown)]]="Unknown",Backend!$C$8,"Error"))),"")</f>
        <v/>
      </c>
      <c r="F7891" s="8" t="str">
        <f>IF(Table1[[#This Row],[Is Data Valid]]=TRUE,EXP(0.578+0.332*((Table1[[#This Row],[Gestation (days)]]+0.5)/7)-0.00354*((Table1[[#This Row],[Gestation (days)]]+0.5)/7)^2)*Table1[[#This Row],[BW40_3705]],"")</f>
        <v/>
      </c>
      <c r="G7891" s="2" t="str">
        <f>IF(Table1[[#This Row],[Is Data Valid]]=TRUE,((Table1[[#This Row],[Birthweight (grams)]]/Table1[[#This Row],[BW_GA]])-1)/(Backend!$B$4/100*Table1[[#This Row],[BW40_3705]]),"")</f>
        <v/>
      </c>
      <c r="H7891" s="7" t="str">
        <f>IF(Table1[[#This Row],[Is Data Valid]]=TRUE,((Table1[[#This Row],[Birthweight (grams)]]*0.9/Table1[[#This Row],[BW_GA]])-1)/(Backend!$B$4/100*Table1[[#This Row],[BW40_3705]]),"")</f>
        <v/>
      </c>
      <c r="I7891" s="7" t="str">
        <f>IF(Table1[[#This Row],[Is Data Valid]]=TRUE,((Table1[[#This Row],[Birthweight (grams)]]*1.1/Table1[[#This Row],[BW_GA]])-1)/(Backend!$B$4/100*Table1[[#This Row],[BW40_3705]]),"")</f>
        <v/>
      </c>
      <c r="J7891" s="7" t="str">
        <f>IF(Table1[[#This Row],[Is Data Valid]]=TRUE,_xlfn.NORM.S.DIST(Table1[[#This Row],[Birthweight Z-Score]],TRUE)*100,"")</f>
        <v/>
      </c>
      <c r="K7891" s="7" t="str">
        <f>IF(Table1[[#This Row],[Is Data Valid]]=TRUE,_xlfn.NORM.S.DIST(Table1[[#This Row],[Birthweight Z-Score (BW-10%)]],TRUE)*100,"")</f>
        <v/>
      </c>
      <c r="L7891" s="7" t="str">
        <f>IF(Table1[[#This Row],[Is Data Valid]]=TRUE,_xlfn.NORM.S.DIST(Table1[[#This Row],[Birthweight Z-Score (BW+10%)]],TRUE)*100,"")</f>
        <v/>
      </c>
    </row>
    <row r="7892" spans="1:12" x14ac:dyDescent="0.35">
      <c r="A7892" s="3"/>
      <c r="B7892" s="2"/>
      <c r="C7892" s="2"/>
      <c r="D7892" s="2" t="b">
        <f>IF(AND(NOT(ISBLANK(Table1[[#This Row],[Fetal Sex (Male, Female or Unknown)]])),ISNUMBER(Table1[[#This Row],[Birthweight (grams)]]),ISNUMBER(Table1[[#This Row],[Gestation (days)]])),TRUE,FALSE)</f>
        <v>0</v>
      </c>
      <c r="E7892" s="2" t="str">
        <f>IF(Table1[[#This Row],[Is Data Valid]]=TRUE,IF(Table1[[#This Row],[Fetal Sex (Male, Female or Unknown)]]="Male",Backend!$C$6,IF(Table1[[#This Row],[Fetal Sex (Male, Female or Unknown)]]="Female",Backend!$C$7,IF(Table1[[#This Row],[Fetal Sex (Male, Female or Unknown)]]="Unknown",Backend!$C$8,"Error"))),"")</f>
        <v/>
      </c>
      <c r="F7892" s="8" t="str">
        <f>IF(Table1[[#This Row],[Is Data Valid]]=TRUE,EXP(0.578+0.332*((Table1[[#This Row],[Gestation (days)]]+0.5)/7)-0.00354*((Table1[[#This Row],[Gestation (days)]]+0.5)/7)^2)*Table1[[#This Row],[BW40_3705]],"")</f>
        <v/>
      </c>
      <c r="G7892" s="2" t="str">
        <f>IF(Table1[[#This Row],[Is Data Valid]]=TRUE,((Table1[[#This Row],[Birthweight (grams)]]/Table1[[#This Row],[BW_GA]])-1)/(Backend!$B$4/100*Table1[[#This Row],[BW40_3705]]),"")</f>
        <v/>
      </c>
      <c r="H7892" s="7" t="str">
        <f>IF(Table1[[#This Row],[Is Data Valid]]=TRUE,((Table1[[#This Row],[Birthweight (grams)]]*0.9/Table1[[#This Row],[BW_GA]])-1)/(Backend!$B$4/100*Table1[[#This Row],[BW40_3705]]),"")</f>
        <v/>
      </c>
      <c r="I7892" s="7" t="str">
        <f>IF(Table1[[#This Row],[Is Data Valid]]=TRUE,((Table1[[#This Row],[Birthweight (grams)]]*1.1/Table1[[#This Row],[BW_GA]])-1)/(Backend!$B$4/100*Table1[[#This Row],[BW40_3705]]),"")</f>
        <v/>
      </c>
      <c r="J7892" s="7" t="str">
        <f>IF(Table1[[#This Row],[Is Data Valid]]=TRUE,_xlfn.NORM.S.DIST(Table1[[#This Row],[Birthweight Z-Score]],TRUE)*100,"")</f>
        <v/>
      </c>
      <c r="K7892" s="7" t="str">
        <f>IF(Table1[[#This Row],[Is Data Valid]]=TRUE,_xlfn.NORM.S.DIST(Table1[[#This Row],[Birthweight Z-Score (BW-10%)]],TRUE)*100,"")</f>
        <v/>
      </c>
      <c r="L7892" s="7" t="str">
        <f>IF(Table1[[#This Row],[Is Data Valid]]=TRUE,_xlfn.NORM.S.DIST(Table1[[#This Row],[Birthweight Z-Score (BW+10%)]],TRUE)*100,"")</f>
        <v/>
      </c>
    </row>
    <row r="7893" spans="1:12" x14ac:dyDescent="0.35">
      <c r="A7893" s="3"/>
      <c r="B7893" s="2"/>
      <c r="C7893" s="2"/>
      <c r="D7893" s="2" t="b">
        <f>IF(AND(NOT(ISBLANK(Table1[[#This Row],[Fetal Sex (Male, Female or Unknown)]])),ISNUMBER(Table1[[#This Row],[Birthweight (grams)]]),ISNUMBER(Table1[[#This Row],[Gestation (days)]])),TRUE,FALSE)</f>
        <v>0</v>
      </c>
      <c r="E7893" s="2" t="str">
        <f>IF(Table1[[#This Row],[Is Data Valid]]=TRUE,IF(Table1[[#This Row],[Fetal Sex (Male, Female or Unknown)]]="Male",Backend!$C$6,IF(Table1[[#This Row],[Fetal Sex (Male, Female or Unknown)]]="Female",Backend!$C$7,IF(Table1[[#This Row],[Fetal Sex (Male, Female or Unknown)]]="Unknown",Backend!$C$8,"Error"))),"")</f>
        <v/>
      </c>
      <c r="F7893" s="8" t="str">
        <f>IF(Table1[[#This Row],[Is Data Valid]]=TRUE,EXP(0.578+0.332*((Table1[[#This Row],[Gestation (days)]]+0.5)/7)-0.00354*((Table1[[#This Row],[Gestation (days)]]+0.5)/7)^2)*Table1[[#This Row],[BW40_3705]],"")</f>
        <v/>
      </c>
      <c r="G7893" s="2" t="str">
        <f>IF(Table1[[#This Row],[Is Data Valid]]=TRUE,((Table1[[#This Row],[Birthweight (grams)]]/Table1[[#This Row],[BW_GA]])-1)/(Backend!$B$4/100*Table1[[#This Row],[BW40_3705]]),"")</f>
        <v/>
      </c>
      <c r="H7893" s="7" t="str">
        <f>IF(Table1[[#This Row],[Is Data Valid]]=TRUE,((Table1[[#This Row],[Birthweight (grams)]]*0.9/Table1[[#This Row],[BW_GA]])-1)/(Backend!$B$4/100*Table1[[#This Row],[BW40_3705]]),"")</f>
        <v/>
      </c>
      <c r="I7893" s="7" t="str">
        <f>IF(Table1[[#This Row],[Is Data Valid]]=TRUE,((Table1[[#This Row],[Birthweight (grams)]]*1.1/Table1[[#This Row],[BW_GA]])-1)/(Backend!$B$4/100*Table1[[#This Row],[BW40_3705]]),"")</f>
        <v/>
      </c>
      <c r="J7893" s="7" t="str">
        <f>IF(Table1[[#This Row],[Is Data Valid]]=TRUE,_xlfn.NORM.S.DIST(Table1[[#This Row],[Birthweight Z-Score]],TRUE)*100,"")</f>
        <v/>
      </c>
      <c r="K7893" s="7" t="str">
        <f>IF(Table1[[#This Row],[Is Data Valid]]=TRUE,_xlfn.NORM.S.DIST(Table1[[#This Row],[Birthweight Z-Score (BW-10%)]],TRUE)*100,"")</f>
        <v/>
      </c>
      <c r="L7893" s="7" t="str">
        <f>IF(Table1[[#This Row],[Is Data Valid]]=TRUE,_xlfn.NORM.S.DIST(Table1[[#This Row],[Birthweight Z-Score (BW+10%)]],TRUE)*100,"")</f>
        <v/>
      </c>
    </row>
    <row r="7894" spans="1:12" x14ac:dyDescent="0.35">
      <c r="A7894" s="3"/>
      <c r="B7894" s="2"/>
      <c r="C7894" s="2"/>
      <c r="D7894" s="2" t="b">
        <f>IF(AND(NOT(ISBLANK(Table1[[#This Row],[Fetal Sex (Male, Female or Unknown)]])),ISNUMBER(Table1[[#This Row],[Birthweight (grams)]]),ISNUMBER(Table1[[#This Row],[Gestation (days)]])),TRUE,FALSE)</f>
        <v>0</v>
      </c>
      <c r="E7894" s="2" t="str">
        <f>IF(Table1[[#This Row],[Is Data Valid]]=TRUE,IF(Table1[[#This Row],[Fetal Sex (Male, Female or Unknown)]]="Male",Backend!$C$6,IF(Table1[[#This Row],[Fetal Sex (Male, Female or Unknown)]]="Female",Backend!$C$7,IF(Table1[[#This Row],[Fetal Sex (Male, Female or Unknown)]]="Unknown",Backend!$C$8,"Error"))),"")</f>
        <v/>
      </c>
      <c r="F7894" s="8" t="str">
        <f>IF(Table1[[#This Row],[Is Data Valid]]=TRUE,EXP(0.578+0.332*((Table1[[#This Row],[Gestation (days)]]+0.5)/7)-0.00354*((Table1[[#This Row],[Gestation (days)]]+0.5)/7)^2)*Table1[[#This Row],[BW40_3705]],"")</f>
        <v/>
      </c>
      <c r="G7894" s="2" t="str">
        <f>IF(Table1[[#This Row],[Is Data Valid]]=TRUE,((Table1[[#This Row],[Birthweight (grams)]]/Table1[[#This Row],[BW_GA]])-1)/(Backend!$B$4/100*Table1[[#This Row],[BW40_3705]]),"")</f>
        <v/>
      </c>
      <c r="H7894" s="7" t="str">
        <f>IF(Table1[[#This Row],[Is Data Valid]]=TRUE,((Table1[[#This Row],[Birthweight (grams)]]*0.9/Table1[[#This Row],[BW_GA]])-1)/(Backend!$B$4/100*Table1[[#This Row],[BW40_3705]]),"")</f>
        <v/>
      </c>
      <c r="I7894" s="7" t="str">
        <f>IF(Table1[[#This Row],[Is Data Valid]]=TRUE,((Table1[[#This Row],[Birthweight (grams)]]*1.1/Table1[[#This Row],[BW_GA]])-1)/(Backend!$B$4/100*Table1[[#This Row],[BW40_3705]]),"")</f>
        <v/>
      </c>
      <c r="J7894" s="7" t="str">
        <f>IF(Table1[[#This Row],[Is Data Valid]]=TRUE,_xlfn.NORM.S.DIST(Table1[[#This Row],[Birthweight Z-Score]],TRUE)*100,"")</f>
        <v/>
      </c>
      <c r="K7894" s="7" t="str">
        <f>IF(Table1[[#This Row],[Is Data Valid]]=TRUE,_xlfn.NORM.S.DIST(Table1[[#This Row],[Birthweight Z-Score (BW-10%)]],TRUE)*100,"")</f>
        <v/>
      </c>
      <c r="L7894" s="7" t="str">
        <f>IF(Table1[[#This Row],[Is Data Valid]]=TRUE,_xlfn.NORM.S.DIST(Table1[[#This Row],[Birthweight Z-Score (BW+10%)]],TRUE)*100,"")</f>
        <v/>
      </c>
    </row>
    <row r="7895" spans="1:12" x14ac:dyDescent="0.35">
      <c r="A7895" s="3"/>
      <c r="B7895" s="2"/>
      <c r="C7895" s="2"/>
      <c r="D7895" s="2" t="b">
        <f>IF(AND(NOT(ISBLANK(Table1[[#This Row],[Fetal Sex (Male, Female or Unknown)]])),ISNUMBER(Table1[[#This Row],[Birthweight (grams)]]),ISNUMBER(Table1[[#This Row],[Gestation (days)]])),TRUE,FALSE)</f>
        <v>0</v>
      </c>
      <c r="E7895" s="2" t="str">
        <f>IF(Table1[[#This Row],[Is Data Valid]]=TRUE,IF(Table1[[#This Row],[Fetal Sex (Male, Female or Unknown)]]="Male",Backend!$C$6,IF(Table1[[#This Row],[Fetal Sex (Male, Female or Unknown)]]="Female",Backend!$C$7,IF(Table1[[#This Row],[Fetal Sex (Male, Female or Unknown)]]="Unknown",Backend!$C$8,"Error"))),"")</f>
        <v/>
      </c>
      <c r="F7895" s="8" t="str">
        <f>IF(Table1[[#This Row],[Is Data Valid]]=TRUE,EXP(0.578+0.332*((Table1[[#This Row],[Gestation (days)]]+0.5)/7)-0.00354*((Table1[[#This Row],[Gestation (days)]]+0.5)/7)^2)*Table1[[#This Row],[BW40_3705]],"")</f>
        <v/>
      </c>
      <c r="G7895" s="2" t="str">
        <f>IF(Table1[[#This Row],[Is Data Valid]]=TRUE,((Table1[[#This Row],[Birthweight (grams)]]/Table1[[#This Row],[BW_GA]])-1)/(Backend!$B$4/100*Table1[[#This Row],[BW40_3705]]),"")</f>
        <v/>
      </c>
      <c r="H7895" s="7" t="str">
        <f>IF(Table1[[#This Row],[Is Data Valid]]=TRUE,((Table1[[#This Row],[Birthweight (grams)]]*0.9/Table1[[#This Row],[BW_GA]])-1)/(Backend!$B$4/100*Table1[[#This Row],[BW40_3705]]),"")</f>
        <v/>
      </c>
      <c r="I7895" s="7" t="str">
        <f>IF(Table1[[#This Row],[Is Data Valid]]=TRUE,((Table1[[#This Row],[Birthweight (grams)]]*1.1/Table1[[#This Row],[BW_GA]])-1)/(Backend!$B$4/100*Table1[[#This Row],[BW40_3705]]),"")</f>
        <v/>
      </c>
      <c r="J7895" s="7" t="str">
        <f>IF(Table1[[#This Row],[Is Data Valid]]=TRUE,_xlfn.NORM.S.DIST(Table1[[#This Row],[Birthweight Z-Score]],TRUE)*100,"")</f>
        <v/>
      </c>
      <c r="K7895" s="7" t="str">
        <f>IF(Table1[[#This Row],[Is Data Valid]]=TRUE,_xlfn.NORM.S.DIST(Table1[[#This Row],[Birthweight Z-Score (BW-10%)]],TRUE)*100,"")</f>
        <v/>
      </c>
      <c r="L7895" s="7" t="str">
        <f>IF(Table1[[#This Row],[Is Data Valid]]=TRUE,_xlfn.NORM.S.DIST(Table1[[#This Row],[Birthweight Z-Score (BW+10%)]],TRUE)*100,"")</f>
        <v/>
      </c>
    </row>
    <row r="7896" spans="1:12" x14ac:dyDescent="0.35">
      <c r="A7896" s="3"/>
      <c r="B7896" s="2"/>
      <c r="C7896" s="2"/>
      <c r="D7896" s="2" t="b">
        <f>IF(AND(NOT(ISBLANK(Table1[[#This Row],[Fetal Sex (Male, Female or Unknown)]])),ISNUMBER(Table1[[#This Row],[Birthweight (grams)]]),ISNUMBER(Table1[[#This Row],[Gestation (days)]])),TRUE,FALSE)</f>
        <v>0</v>
      </c>
      <c r="E7896" s="2" t="str">
        <f>IF(Table1[[#This Row],[Is Data Valid]]=TRUE,IF(Table1[[#This Row],[Fetal Sex (Male, Female or Unknown)]]="Male",Backend!$C$6,IF(Table1[[#This Row],[Fetal Sex (Male, Female or Unknown)]]="Female",Backend!$C$7,IF(Table1[[#This Row],[Fetal Sex (Male, Female or Unknown)]]="Unknown",Backend!$C$8,"Error"))),"")</f>
        <v/>
      </c>
      <c r="F7896" s="8" t="str">
        <f>IF(Table1[[#This Row],[Is Data Valid]]=TRUE,EXP(0.578+0.332*((Table1[[#This Row],[Gestation (days)]]+0.5)/7)-0.00354*((Table1[[#This Row],[Gestation (days)]]+0.5)/7)^2)*Table1[[#This Row],[BW40_3705]],"")</f>
        <v/>
      </c>
      <c r="G7896" s="2" t="str">
        <f>IF(Table1[[#This Row],[Is Data Valid]]=TRUE,((Table1[[#This Row],[Birthweight (grams)]]/Table1[[#This Row],[BW_GA]])-1)/(Backend!$B$4/100*Table1[[#This Row],[BW40_3705]]),"")</f>
        <v/>
      </c>
      <c r="H7896" s="7" t="str">
        <f>IF(Table1[[#This Row],[Is Data Valid]]=TRUE,((Table1[[#This Row],[Birthweight (grams)]]*0.9/Table1[[#This Row],[BW_GA]])-1)/(Backend!$B$4/100*Table1[[#This Row],[BW40_3705]]),"")</f>
        <v/>
      </c>
      <c r="I7896" s="7" t="str">
        <f>IF(Table1[[#This Row],[Is Data Valid]]=TRUE,((Table1[[#This Row],[Birthweight (grams)]]*1.1/Table1[[#This Row],[BW_GA]])-1)/(Backend!$B$4/100*Table1[[#This Row],[BW40_3705]]),"")</f>
        <v/>
      </c>
      <c r="J7896" s="7" t="str">
        <f>IF(Table1[[#This Row],[Is Data Valid]]=TRUE,_xlfn.NORM.S.DIST(Table1[[#This Row],[Birthweight Z-Score]],TRUE)*100,"")</f>
        <v/>
      </c>
      <c r="K7896" s="7" t="str">
        <f>IF(Table1[[#This Row],[Is Data Valid]]=TRUE,_xlfn.NORM.S.DIST(Table1[[#This Row],[Birthweight Z-Score (BW-10%)]],TRUE)*100,"")</f>
        <v/>
      </c>
      <c r="L7896" s="7" t="str">
        <f>IF(Table1[[#This Row],[Is Data Valid]]=TRUE,_xlfn.NORM.S.DIST(Table1[[#This Row],[Birthweight Z-Score (BW+10%)]],TRUE)*100,"")</f>
        <v/>
      </c>
    </row>
    <row r="7897" spans="1:12" x14ac:dyDescent="0.35">
      <c r="A7897" s="3"/>
      <c r="B7897" s="2"/>
      <c r="C7897" s="2"/>
      <c r="D7897" s="2" t="b">
        <f>IF(AND(NOT(ISBLANK(Table1[[#This Row],[Fetal Sex (Male, Female or Unknown)]])),ISNUMBER(Table1[[#This Row],[Birthweight (grams)]]),ISNUMBER(Table1[[#This Row],[Gestation (days)]])),TRUE,FALSE)</f>
        <v>0</v>
      </c>
      <c r="E7897" s="2" t="str">
        <f>IF(Table1[[#This Row],[Is Data Valid]]=TRUE,IF(Table1[[#This Row],[Fetal Sex (Male, Female or Unknown)]]="Male",Backend!$C$6,IF(Table1[[#This Row],[Fetal Sex (Male, Female or Unknown)]]="Female",Backend!$C$7,IF(Table1[[#This Row],[Fetal Sex (Male, Female or Unknown)]]="Unknown",Backend!$C$8,"Error"))),"")</f>
        <v/>
      </c>
      <c r="F7897" s="8" t="str">
        <f>IF(Table1[[#This Row],[Is Data Valid]]=TRUE,EXP(0.578+0.332*((Table1[[#This Row],[Gestation (days)]]+0.5)/7)-0.00354*((Table1[[#This Row],[Gestation (days)]]+0.5)/7)^2)*Table1[[#This Row],[BW40_3705]],"")</f>
        <v/>
      </c>
      <c r="G7897" s="2" t="str">
        <f>IF(Table1[[#This Row],[Is Data Valid]]=TRUE,((Table1[[#This Row],[Birthweight (grams)]]/Table1[[#This Row],[BW_GA]])-1)/(Backend!$B$4/100*Table1[[#This Row],[BW40_3705]]),"")</f>
        <v/>
      </c>
      <c r="H7897" s="7" t="str">
        <f>IF(Table1[[#This Row],[Is Data Valid]]=TRUE,((Table1[[#This Row],[Birthweight (grams)]]*0.9/Table1[[#This Row],[BW_GA]])-1)/(Backend!$B$4/100*Table1[[#This Row],[BW40_3705]]),"")</f>
        <v/>
      </c>
      <c r="I7897" s="7" t="str">
        <f>IF(Table1[[#This Row],[Is Data Valid]]=TRUE,((Table1[[#This Row],[Birthweight (grams)]]*1.1/Table1[[#This Row],[BW_GA]])-1)/(Backend!$B$4/100*Table1[[#This Row],[BW40_3705]]),"")</f>
        <v/>
      </c>
      <c r="J7897" s="7" t="str">
        <f>IF(Table1[[#This Row],[Is Data Valid]]=TRUE,_xlfn.NORM.S.DIST(Table1[[#This Row],[Birthweight Z-Score]],TRUE)*100,"")</f>
        <v/>
      </c>
      <c r="K7897" s="7" t="str">
        <f>IF(Table1[[#This Row],[Is Data Valid]]=TRUE,_xlfn.NORM.S.DIST(Table1[[#This Row],[Birthweight Z-Score (BW-10%)]],TRUE)*100,"")</f>
        <v/>
      </c>
      <c r="L7897" s="7" t="str">
        <f>IF(Table1[[#This Row],[Is Data Valid]]=TRUE,_xlfn.NORM.S.DIST(Table1[[#This Row],[Birthweight Z-Score (BW+10%)]],TRUE)*100,"")</f>
        <v/>
      </c>
    </row>
    <row r="7898" spans="1:12" x14ac:dyDescent="0.35">
      <c r="A7898" s="3"/>
      <c r="B7898" s="2"/>
      <c r="C7898" s="2"/>
      <c r="D7898" s="2" t="b">
        <f>IF(AND(NOT(ISBLANK(Table1[[#This Row],[Fetal Sex (Male, Female or Unknown)]])),ISNUMBER(Table1[[#This Row],[Birthweight (grams)]]),ISNUMBER(Table1[[#This Row],[Gestation (days)]])),TRUE,FALSE)</f>
        <v>0</v>
      </c>
      <c r="E7898" s="2" t="str">
        <f>IF(Table1[[#This Row],[Is Data Valid]]=TRUE,IF(Table1[[#This Row],[Fetal Sex (Male, Female or Unknown)]]="Male",Backend!$C$6,IF(Table1[[#This Row],[Fetal Sex (Male, Female or Unknown)]]="Female",Backend!$C$7,IF(Table1[[#This Row],[Fetal Sex (Male, Female or Unknown)]]="Unknown",Backend!$C$8,"Error"))),"")</f>
        <v/>
      </c>
      <c r="F7898" s="8" t="str">
        <f>IF(Table1[[#This Row],[Is Data Valid]]=TRUE,EXP(0.578+0.332*((Table1[[#This Row],[Gestation (days)]]+0.5)/7)-0.00354*((Table1[[#This Row],[Gestation (days)]]+0.5)/7)^2)*Table1[[#This Row],[BW40_3705]],"")</f>
        <v/>
      </c>
      <c r="G7898" s="2" t="str">
        <f>IF(Table1[[#This Row],[Is Data Valid]]=TRUE,((Table1[[#This Row],[Birthweight (grams)]]/Table1[[#This Row],[BW_GA]])-1)/(Backend!$B$4/100*Table1[[#This Row],[BW40_3705]]),"")</f>
        <v/>
      </c>
      <c r="H7898" s="7" t="str">
        <f>IF(Table1[[#This Row],[Is Data Valid]]=TRUE,((Table1[[#This Row],[Birthweight (grams)]]*0.9/Table1[[#This Row],[BW_GA]])-1)/(Backend!$B$4/100*Table1[[#This Row],[BW40_3705]]),"")</f>
        <v/>
      </c>
      <c r="I7898" s="7" t="str">
        <f>IF(Table1[[#This Row],[Is Data Valid]]=TRUE,((Table1[[#This Row],[Birthweight (grams)]]*1.1/Table1[[#This Row],[BW_GA]])-1)/(Backend!$B$4/100*Table1[[#This Row],[BW40_3705]]),"")</f>
        <v/>
      </c>
      <c r="J7898" s="7" t="str">
        <f>IF(Table1[[#This Row],[Is Data Valid]]=TRUE,_xlfn.NORM.S.DIST(Table1[[#This Row],[Birthweight Z-Score]],TRUE)*100,"")</f>
        <v/>
      </c>
      <c r="K7898" s="7" t="str">
        <f>IF(Table1[[#This Row],[Is Data Valid]]=TRUE,_xlfn.NORM.S.DIST(Table1[[#This Row],[Birthweight Z-Score (BW-10%)]],TRUE)*100,"")</f>
        <v/>
      </c>
      <c r="L7898" s="7" t="str">
        <f>IF(Table1[[#This Row],[Is Data Valid]]=TRUE,_xlfn.NORM.S.DIST(Table1[[#This Row],[Birthweight Z-Score (BW+10%)]],TRUE)*100,"")</f>
        <v/>
      </c>
    </row>
    <row r="7899" spans="1:12" x14ac:dyDescent="0.35">
      <c r="A7899" s="3"/>
      <c r="B7899" s="2"/>
      <c r="C7899" s="2"/>
      <c r="D7899" s="2" t="b">
        <f>IF(AND(NOT(ISBLANK(Table1[[#This Row],[Fetal Sex (Male, Female or Unknown)]])),ISNUMBER(Table1[[#This Row],[Birthweight (grams)]]),ISNUMBER(Table1[[#This Row],[Gestation (days)]])),TRUE,FALSE)</f>
        <v>0</v>
      </c>
      <c r="E7899" s="2" t="str">
        <f>IF(Table1[[#This Row],[Is Data Valid]]=TRUE,IF(Table1[[#This Row],[Fetal Sex (Male, Female or Unknown)]]="Male",Backend!$C$6,IF(Table1[[#This Row],[Fetal Sex (Male, Female or Unknown)]]="Female",Backend!$C$7,IF(Table1[[#This Row],[Fetal Sex (Male, Female or Unknown)]]="Unknown",Backend!$C$8,"Error"))),"")</f>
        <v/>
      </c>
      <c r="F7899" s="8" t="str">
        <f>IF(Table1[[#This Row],[Is Data Valid]]=TRUE,EXP(0.578+0.332*((Table1[[#This Row],[Gestation (days)]]+0.5)/7)-0.00354*((Table1[[#This Row],[Gestation (days)]]+0.5)/7)^2)*Table1[[#This Row],[BW40_3705]],"")</f>
        <v/>
      </c>
      <c r="G7899" s="2" t="str">
        <f>IF(Table1[[#This Row],[Is Data Valid]]=TRUE,((Table1[[#This Row],[Birthweight (grams)]]/Table1[[#This Row],[BW_GA]])-1)/(Backend!$B$4/100*Table1[[#This Row],[BW40_3705]]),"")</f>
        <v/>
      </c>
      <c r="H7899" s="7" t="str">
        <f>IF(Table1[[#This Row],[Is Data Valid]]=TRUE,((Table1[[#This Row],[Birthweight (grams)]]*0.9/Table1[[#This Row],[BW_GA]])-1)/(Backend!$B$4/100*Table1[[#This Row],[BW40_3705]]),"")</f>
        <v/>
      </c>
      <c r="I7899" s="7" t="str">
        <f>IF(Table1[[#This Row],[Is Data Valid]]=TRUE,((Table1[[#This Row],[Birthweight (grams)]]*1.1/Table1[[#This Row],[BW_GA]])-1)/(Backend!$B$4/100*Table1[[#This Row],[BW40_3705]]),"")</f>
        <v/>
      </c>
      <c r="J7899" s="7" t="str">
        <f>IF(Table1[[#This Row],[Is Data Valid]]=TRUE,_xlfn.NORM.S.DIST(Table1[[#This Row],[Birthweight Z-Score]],TRUE)*100,"")</f>
        <v/>
      </c>
      <c r="K7899" s="7" t="str">
        <f>IF(Table1[[#This Row],[Is Data Valid]]=TRUE,_xlfn.NORM.S.DIST(Table1[[#This Row],[Birthweight Z-Score (BW-10%)]],TRUE)*100,"")</f>
        <v/>
      </c>
      <c r="L7899" s="7" t="str">
        <f>IF(Table1[[#This Row],[Is Data Valid]]=TRUE,_xlfn.NORM.S.DIST(Table1[[#This Row],[Birthweight Z-Score (BW+10%)]],TRUE)*100,"")</f>
        <v/>
      </c>
    </row>
    <row r="7900" spans="1:12" x14ac:dyDescent="0.35">
      <c r="A7900" s="3"/>
      <c r="B7900" s="2"/>
      <c r="C7900" s="2"/>
      <c r="D7900" s="2" t="b">
        <f>IF(AND(NOT(ISBLANK(Table1[[#This Row],[Fetal Sex (Male, Female or Unknown)]])),ISNUMBER(Table1[[#This Row],[Birthweight (grams)]]),ISNUMBER(Table1[[#This Row],[Gestation (days)]])),TRUE,FALSE)</f>
        <v>0</v>
      </c>
      <c r="E7900" s="2" t="str">
        <f>IF(Table1[[#This Row],[Is Data Valid]]=TRUE,IF(Table1[[#This Row],[Fetal Sex (Male, Female or Unknown)]]="Male",Backend!$C$6,IF(Table1[[#This Row],[Fetal Sex (Male, Female or Unknown)]]="Female",Backend!$C$7,IF(Table1[[#This Row],[Fetal Sex (Male, Female or Unknown)]]="Unknown",Backend!$C$8,"Error"))),"")</f>
        <v/>
      </c>
      <c r="F7900" s="8" t="str">
        <f>IF(Table1[[#This Row],[Is Data Valid]]=TRUE,EXP(0.578+0.332*((Table1[[#This Row],[Gestation (days)]]+0.5)/7)-0.00354*((Table1[[#This Row],[Gestation (days)]]+0.5)/7)^2)*Table1[[#This Row],[BW40_3705]],"")</f>
        <v/>
      </c>
      <c r="G7900" s="2" t="str">
        <f>IF(Table1[[#This Row],[Is Data Valid]]=TRUE,((Table1[[#This Row],[Birthweight (grams)]]/Table1[[#This Row],[BW_GA]])-1)/(Backend!$B$4/100*Table1[[#This Row],[BW40_3705]]),"")</f>
        <v/>
      </c>
      <c r="H7900" s="7" t="str">
        <f>IF(Table1[[#This Row],[Is Data Valid]]=TRUE,((Table1[[#This Row],[Birthweight (grams)]]*0.9/Table1[[#This Row],[BW_GA]])-1)/(Backend!$B$4/100*Table1[[#This Row],[BW40_3705]]),"")</f>
        <v/>
      </c>
      <c r="I7900" s="7" t="str">
        <f>IF(Table1[[#This Row],[Is Data Valid]]=TRUE,((Table1[[#This Row],[Birthweight (grams)]]*1.1/Table1[[#This Row],[BW_GA]])-1)/(Backend!$B$4/100*Table1[[#This Row],[BW40_3705]]),"")</f>
        <v/>
      </c>
      <c r="J7900" s="7" t="str">
        <f>IF(Table1[[#This Row],[Is Data Valid]]=TRUE,_xlfn.NORM.S.DIST(Table1[[#This Row],[Birthweight Z-Score]],TRUE)*100,"")</f>
        <v/>
      </c>
      <c r="K7900" s="7" t="str">
        <f>IF(Table1[[#This Row],[Is Data Valid]]=TRUE,_xlfn.NORM.S.DIST(Table1[[#This Row],[Birthweight Z-Score (BW-10%)]],TRUE)*100,"")</f>
        <v/>
      </c>
      <c r="L7900" s="7" t="str">
        <f>IF(Table1[[#This Row],[Is Data Valid]]=TRUE,_xlfn.NORM.S.DIST(Table1[[#This Row],[Birthweight Z-Score (BW+10%)]],TRUE)*100,"")</f>
        <v/>
      </c>
    </row>
    <row r="7901" spans="1:12" x14ac:dyDescent="0.35">
      <c r="A7901" s="3"/>
      <c r="B7901" s="2"/>
      <c r="C7901" s="2"/>
      <c r="D7901" s="2" t="b">
        <f>IF(AND(NOT(ISBLANK(Table1[[#This Row],[Fetal Sex (Male, Female or Unknown)]])),ISNUMBER(Table1[[#This Row],[Birthweight (grams)]]),ISNUMBER(Table1[[#This Row],[Gestation (days)]])),TRUE,FALSE)</f>
        <v>0</v>
      </c>
      <c r="E7901" s="2" t="str">
        <f>IF(Table1[[#This Row],[Is Data Valid]]=TRUE,IF(Table1[[#This Row],[Fetal Sex (Male, Female or Unknown)]]="Male",Backend!$C$6,IF(Table1[[#This Row],[Fetal Sex (Male, Female or Unknown)]]="Female",Backend!$C$7,IF(Table1[[#This Row],[Fetal Sex (Male, Female or Unknown)]]="Unknown",Backend!$C$8,"Error"))),"")</f>
        <v/>
      </c>
      <c r="F7901" s="8" t="str">
        <f>IF(Table1[[#This Row],[Is Data Valid]]=TRUE,EXP(0.578+0.332*((Table1[[#This Row],[Gestation (days)]]+0.5)/7)-0.00354*((Table1[[#This Row],[Gestation (days)]]+0.5)/7)^2)*Table1[[#This Row],[BW40_3705]],"")</f>
        <v/>
      </c>
      <c r="G7901" s="2" t="str">
        <f>IF(Table1[[#This Row],[Is Data Valid]]=TRUE,((Table1[[#This Row],[Birthweight (grams)]]/Table1[[#This Row],[BW_GA]])-1)/(Backend!$B$4/100*Table1[[#This Row],[BW40_3705]]),"")</f>
        <v/>
      </c>
      <c r="H7901" s="7" t="str">
        <f>IF(Table1[[#This Row],[Is Data Valid]]=TRUE,((Table1[[#This Row],[Birthweight (grams)]]*0.9/Table1[[#This Row],[BW_GA]])-1)/(Backend!$B$4/100*Table1[[#This Row],[BW40_3705]]),"")</f>
        <v/>
      </c>
      <c r="I7901" s="7" t="str">
        <f>IF(Table1[[#This Row],[Is Data Valid]]=TRUE,((Table1[[#This Row],[Birthweight (grams)]]*1.1/Table1[[#This Row],[BW_GA]])-1)/(Backend!$B$4/100*Table1[[#This Row],[BW40_3705]]),"")</f>
        <v/>
      </c>
      <c r="J7901" s="7" t="str">
        <f>IF(Table1[[#This Row],[Is Data Valid]]=TRUE,_xlfn.NORM.S.DIST(Table1[[#This Row],[Birthweight Z-Score]],TRUE)*100,"")</f>
        <v/>
      </c>
      <c r="K7901" s="7" t="str">
        <f>IF(Table1[[#This Row],[Is Data Valid]]=TRUE,_xlfn.NORM.S.DIST(Table1[[#This Row],[Birthweight Z-Score (BW-10%)]],TRUE)*100,"")</f>
        <v/>
      </c>
      <c r="L7901" s="7" t="str">
        <f>IF(Table1[[#This Row],[Is Data Valid]]=TRUE,_xlfn.NORM.S.DIST(Table1[[#This Row],[Birthweight Z-Score (BW+10%)]],TRUE)*100,"")</f>
        <v/>
      </c>
    </row>
    <row r="7902" spans="1:12" x14ac:dyDescent="0.35">
      <c r="A7902" s="3"/>
      <c r="B7902" s="2"/>
      <c r="C7902" s="2"/>
      <c r="D7902" s="2" t="b">
        <f>IF(AND(NOT(ISBLANK(Table1[[#This Row],[Fetal Sex (Male, Female or Unknown)]])),ISNUMBER(Table1[[#This Row],[Birthweight (grams)]]),ISNUMBER(Table1[[#This Row],[Gestation (days)]])),TRUE,FALSE)</f>
        <v>0</v>
      </c>
      <c r="E7902" s="2" t="str">
        <f>IF(Table1[[#This Row],[Is Data Valid]]=TRUE,IF(Table1[[#This Row],[Fetal Sex (Male, Female or Unknown)]]="Male",Backend!$C$6,IF(Table1[[#This Row],[Fetal Sex (Male, Female or Unknown)]]="Female",Backend!$C$7,IF(Table1[[#This Row],[Fetal Sex (Male, Female or Unknown)]]="Unknown",Backend!$C$8,"Error"))),"")</f>
        <v/>
      </c>
      <c r="F7902" s="8" t="str">
        <f>IF(Table1[[#This Row],[Is Data Valid]]=TRUE,EXP(0.578+0.332*((Table1[[#This Row],[Gestation (days)]]+0.5)/7)-0.00354*((Table1[[#This Row],[Gestation (days)]]+0.5)/7)^2)*Table1[[#This Row],[BW40_3705]],"")</f>
        <v/>
      </c>
      <c r="G7902" s="2" t="str">
        <f>IF(Table1[[#This Row],[Is Data Valid]]=TRUE,((Table1[[#This Row],[Birthweight (grams)]]/Table1[[#This Row],[BW_GA]])-1)/(Backend!$B$4/100*Table1[[#This Row],[BW40_3705]]),"")</f>
        <v/>
      </c>
      <c r="H7902" s="7" t="str">
        <f>IF(Table1[[#This Row],[Is Data Valid]]=TRUE,((Table1[[#This Row],[Birthweight (grams)]]*0.9/Table1[[#This Row],[BW_GA]])-1)/(Backend!$B$4/100*Table1[[#This Row],[BW40_3705]]),"")</f>
        <v/>
      </c>
      <c r="I7902" s="7" t="str">
        <f>IF(Table1[[#This Row],[Is Data Valid]]=TRUE,((Table1[[#This Row],[Birthweight (grams)]]*1.1/Table1[[#This Row],[BW_GA]])-1)/(Backend!$B$4/100*Table1[[#This Row],[BW40_3705]]),"")</f>
        <v/>
      </c>
      <c r="J7902" s="7" t="str">
        <f>IF(Table1[[#This Row],[Is Data Valid]]=TRUE,_xlfn.NORM.S.DIST(Table1[[#This Row],[Birthweight Z-Score]],TRUE)*100,"")</f>
        <v/>
      </c>
      <c r="K7902" s="7" t="str">
        <f>IF(Table1[[#This Row],[Is Data Valid]]=TRUE,_xlfn.NORM.S.DIST(Table1[[#This Row],[Birthweight Z-Score (BW-10%)]],TRUE)*100,"")</f>
        <v/>
      </c>
      <c r="L7902" s="7" t="str">
        <f>IF(Table1[[#This Row],[Is Data Valid]]=TRUE,_xlfn.NORM.S.DIST(Table1[[#This Row],[Birthweight Z-Score (BW+10%)]],TRUE)*100,"")</f>
        <v/>
      </c>
    </row>
    <row r="7903" spans="1:12" x14ac:dyDescent="0.35">
      <c r="A7903" s="3"/>
      <c r="B7903" s="2"/>
      <c r="C7903" s="2"/>
      <c r="D7903" s="2" t="b">
        <f>IF(AND(NOT(ISBLANK(Table1[[#This Row],[Fetal Sex (Male, Female or Unknown)]])),ISNUMBER(Table1[[#This Row],[Birthweight (grams)]]),ISNUMBER(Table1[[#This Row],[Gestation (days)]])),TRUE,FALSE)</f>
        <v>0</v>
      </c>
      <c r="E7903" s="2" t="str">
        <f>IF(Table1[[#This Row],[Is Data Valid]]=TRUE,IF(Table1[[#This Row],[Fetal Sex (Male, Female or Unknown)]]="Male",Backend!$C$6,IF(Table1[[#This Row],[Fetal Sex (Male, Female or Unknown)]]="Female",Backend!$C$7,IF(Table1[[#This Row],[Fetal Sex (Male, Female or Unknown)]]="Unknown",Backend!$C$8,"Error"))),"")</f>
        <v/>
      </c>
      <c r="F7903" s="8" t="str">
        <f>IF(Table1[[#This Row],[Is Data Valid]]=TRUE,EXP(0.578+0.332*((Table1[[#This Row],[Gestation (days)]]+0.5)/7)-0.00354*((Table1[[#This Row],[Gestation (days)]]+0.5)/7)^2)*Table1[[#This Row],[BW40_3705]],"")</f>
        <v/>
      </c>
      <c r="G7903" s="2" t="str">
        <f>IF(Table1[[#This Row],[Is Data Valid]]=TRUE,((Table1[[#This Row],[Birthweight (grams)]]/Table1[[#This Row],[BW_GA]])-1)/(Backend!$B$4/100*Table1[[#This Row],[BW40_3705]]),"")</f>
        <v/>
      </c>
      <c r="H7903" s="7" t="str">
        <f>IF(Table1[[#This Row],[Is Data Valid]]=TRUE,((Table1[[#This Row],[Birthweight (grams)]]*0.9/Table1[[#This Row],[BW_GA]])-1)/(Backend!$B$4/100*Table1[[#This Row],[BW40_3705]]),"")</f>
        <v/>
      </c>
      <c r="I7903" s="7" t="str">
        <f>IF(Table1[[#This Row],[Is Data Valid]]=TRUE,((Table1[[#This Row],[Birthweight (grams)]]*1.1/Table1[[#This Row],[BW_GA]])-1)/(Backend!$B$4/100*Table1[[#This Row],[BW40_3705]]),"")</f>
        <v/>
      </c>
      <c r="J7903" s="7" t="str">
        <f>IF(Table1[[#This Row],[Is Data Valid]]=TRUE,_xlfn.NORM.S.DIST(Table1[[#This Row],[Birthweight Z-Score]],TRUE)*100,"")</f>
        <v/>
      </c>
      <c r="K7903" s="7" t="str">
        <f>IF(Table1[[#This Row],[Is Data Valid]]=TRUE,_xlfn.NORM.S.DIST(Table1[[#This Row],[Birthweight Z-Score (BW-10%)]],TRUE)*100,"")</f>
        <v/>
      </c>
      <c r="L7903" s="7" t="str">
        <f>IF(Table1[[#This Row],[Is Data Valid]]=TRUE,_xlfn.NORM.S.DIST(Table1[[#This Row],[Birthweight Z-Score (BW+10%)]],TRUE)*100,"")</f>
        <v/>
      </c>
    </row>
    <row r="7904" spans="1:12" x14ac:dyDescent="0.35">
      <c r="A7904" s="3"/>
      <c r="B7904" s="2"/>
      <c r="C7904" s="2"/>
      <c r="D7904" s="2" t="b">
        <f>IF(AND(NOT(ISBLANK(Table1[[#This Row],[Fetal Sex (Male, Female or Unknown)]])),ISNUMBER(Table1[[#This Row],[Birthweight (grams)]]),ISNUMBER(Table1[[#This Row],[Gestation (days)]])),TRUE,FALSE)</f>
        <v>0</v>
      </c>
      <c r="E7904" s="2" t="str">
        <f>IF(Table1[[#This Row],[Is Data Valid]]=TRUE,IF(Table1[[#This Row],[Fetal Sex (Male, Female or Unknown)]]="Male",Backend!$C$6,IF(Table1[[#This Row],[Fetal Sex (Male, Female or Unknown)]]="Female",Backend!$C$7,IF(Table1[[#This Row],[Fetal Sex (Male, Female or Unknown)]]="Unknown",Backend!$C$8,"Error"))),"")</f>
        <v/>
      </c>
      <c r="F7904" s="8" t="str">
        <f>IF(Table1[[#This Row],[Is Data Valid]]=TRUE,EXP(0.578+0.332*((Table1[[#This Row],[Gestation (days)]]+0.5)/7)-0.00354*((Table1[[#This Row],[Gestation (days)]]+0.5)/7)^2)*Table1[[#This Row],[BW40_3705]],"")</f>
        <v/>
      </c>
      <c r="G7904" s="2" t="str">
        <f>IF(Table1[[#This Row],[Is Data Valid]]=TRUE,((Table1[[#This Row],[Birthweight (grams)]]/Table1[[#This Row],[BW_GA]])-1)/(Backend!$B$4/100*Table1[[#This Row],[BW40_3705]]),"")</f>
        <v/>
      </c>
      <c r="H7904" s="7" t="str">
        <f>IF(Table1[[#This Row],[Is Data Valid]]=TRUE,((Table1[[#This Row],[Birthweight (grams)]]*0.9/Table1[[#This Row],[BW_GA]])-1)/(Backend!$B$4/100*Table1[[#This Row],[BW40_3705]]),"")</f>
        <v/>
      </c>
      <c r="I7904" s="7" t="str">
        <f>IF(Table1[[#This Row],[Is Data Valid]]=TRUE,((Table1[[#This Row],[Birthweight (grams)]]*1.1/Table1[[#This Row],[BW_GA]])-1)/(Backend!$B$4/100*Table1[[#This Row],[BW40_3705]]),"")</f>
        <v/>
      </c>
      <c r="J7904" s="7" t="str">
        <f>IF(Table1[[#This Row],[Is Data Valid]]=TRUE,_xlfn.NORM.S.DIST(Table1[[#This Row],[Birthweight Z-Score]],TRUE)*100,"")</f>
        <v/>
      </c>
      <c r="K7904" s="7" t="str">
        <f>IF(Table1[[#This Row],[Is Data Valid]]=TRUE,_xlfn.NORM.S.DIST(Table1[[#This Row],[Birthweight Z-Score (BW-10%)]],TRUE)*100,"")</f>
        <v/>
      </c>
      <c r="L7904" s="7" t="str">
        <f>IF(Table1[[#This Row],[Is Data Valid]]=TRUE,_xlfn.NORM.S.DIST(Table1[[#This Row],[Birthweight Z-Score (BW+10%)]],TRUE)*100,"")</f>
        <v/>
      </c>
    </row>
    <row r="7905" spans="1:12" x14ac:dyDescent="0.35">
      <c r="A7905" s="3"/>
      <c r="B7905" s="2"/>
      <c r="C7905" s="2"/>
      <c r="D7905" s="2" t="b">
        <f>IF(AND(NOT(ISBLANK(Table1[[#This Row],[Fetal Sex (Male, Female or Unknown)]])),ISNUMBER(Table1[[#This Row],[Birthweight (grams)]]),ISNUMBER(Table1[[#This Row],[Gestation (days)]])),TRUE,FALSE)</f>
        <v>0</v>
      </c>
      <c r="E7905" s="2" t="str">
        <f>IF(Table1[[#This Row],[Is Data Valid]]=TRUE,IF(Table1[[#This Row],[Fetal Sex (Male, Female or Unknown)]]="Male",Backend!$C$6,IF(Table1[[#This Row],[Fetal Sex (Male, Female or Unknown)]]="Female",Backend!$C$7,IF(Table1[[#This Row],[Fetal Sex (Male, Female or Unknown)]]="Unknown",Backend!$C$8,"Error"))),"")</f>
        <v/>
      </c>
      <c r="F7905" s="8" t="str">
        <f>IF(Table1[[#This Row],[Is Data Valid]]=TRUE,EXP(0.578+0.332*((Table1[[#This Row],[Gestation (days)]]+0.5)/7)-0.00354*((Table1[[#This Row],[Gestation (days)]]+0.5)/7)^2)*Table1[[#This Row],[BW40_3705]],"")</f>
        <v/>
      </c>
      <c r="G7905" s="2" t="str">
        <f>IF(Table1[[#This Row],[Is Data Valid]]=TRUE,((Table1[[#This Row],[Birthweight (grams)]]/Table1[[#This Row],[BW_GA]])-1)/(Backend!$B$4/100*Table1[[#This Row],[BW40_3705]]),"")</f>
        <v/>
      </c>
      <c r="H7905" s="7" t="str">
        <f>IF(Table1[[#This Row],[Is Data Valid]]=TRUE,((Table1[[#This Row],[Birthweight (grams)]]*0.9/Table1[[#This Row],[BW_GA]])-1)/(Backend!$B$4/100*Table1[[#This Row],[BW40_3705]]),"")</f>
        <v/>
      </c>
      <c r="I7905" s="7" t="str">
        <f>IF(Table1[[#This Row],[Is Data Valid]]=TRUE,((Table1[[#This Row],[Birthweight (grams)]]*1.1/Table1[[#This Row],[BW_GA]])-1)/(Backend!$B$4/100*Table1[[#This Row],[BW40_3705]]),"")</f>
        <v/>
      </c>
      <c r="J7905" s="7" t="str">
        <f>IF(Table1[[#This Row],[Is Data Valid]]=TRUE,_xlfn.NORM.S.DIST(Table1[[#This Row],[Birthweight Z-Score]],TRUE)*100,"")</f>
        <v/>
      </c>
      <c r="K7905" s="7" t="str">
        <f>IF(Table1[[#This Row],[Is Data Valid]]=TRUE,_xlfn.NORM.S.DIST(Table1[[#This Row],[Birthweight Z-Score (BW-10%)]],TRUE)*100,"")</f>
        <v/>
      </c>
      <c r="L7905" s="7" t="str">
        <f>IF(Table1[[#This Row],[Is Data Valid]]=TRUE,_xlfn.NORM.S.DIST(Table1[[#This Row],[Birthweight Z-Score (BW+10%)]],TRUE)*100,"")</f>
        <v/>
      </c>
    </row>
    <row r="7906" spans="1:12" x14ac:dyDescent="0.35">
      <c r="A7906" s="3"/>
      <c r="B7906" s="2"/>
      <c r="C7906" s="2"/>
      <c r="D7906" s="2" t="b">
        <f>IF(AND(NOT(ISBLANK(Table1[[#This Row],[Fetal Sex (Male, Female or Unknown)]])),ISNUMBER(Table1[[#This Row],[Birthweight (grams)]]),ISNUMBER(Table1[[#This Row],[Gestation (days)]])),TRUE,FALSE)</f>
        <v>0</v>
      </c>
      <c r="E7906" s="2" t="str">
        <f>IF(Table1[[#This Row],[Is Data Valid]]=TRUE,IF(Table1[[#This Row],[Fetal Sex (Male, Female or Unknown)]]="Male",Backend!$C$6,IF(Table1[[#This Row],[Fetal Sex (Male, Female or Unknown)]]="Female",Backend!$C$7,IF(Table1[[#This Row],[Fetal Sex (Male, Female or Unknown)]]="Unknown",Backend!$C$8,"Error"))),"")</f>
        <v/>
      </c>
      <c r="F7906" s="8" t="str">
        <f>IF(Table1[[#This Row],[Is Data Valid]]=TRUE,EXP(0.578+0.332*((Table1[[#This Row],[Gestation (days)]]+0.5)/7)-0.00354*((Table1[[#This Row],[Gestation (days)]]+0.5)/7)^2)*Table1[[#This Row],[BW40_3705]],"")</f>
        <v/>
      </c>
      <c r="G7906" s="2" t="str">
        <f>IF(Table1[[#This Row],[Is Data Valid]]=TRUE,((Table1[[#This Row],[Birthweight (grams)]]/Table1[[#This Row],[BW_GA]])-1)/(Backend!$B$4/100*Table1[[#This Row],[BW40_3705]]),"")</f>
        <v/>
      </c>
      <c r="H7906" s="7" t="str">
        <f>IF(Table1[[#This Row],[Is Data Valid]]=TRUE,((Table1[[#This Row],[Birthweight (grams)]]*0.9/Table1[[#This Row],[BW_GA]])-1)/(Backend!$B$4/100*Table1[[#This Row],[BW40_3705]]),"")</f>
        <v/>
      </c>
      <c r="I7906" s="7" t="str">
        <f>IF(Table1[[#This Row],[Is Data Valid]]=TRUE,((Table1[[#This Row],[Birthweight (grams)]]*1.1/Table1[[#This Row],[BW_GA]])-1)/(Backend!$B$4/100*Table1[[#This Row],[BW40_3705]]),"")</f>
        <v/>
      </c>
      <c r="J7906" s="7" t="str">
        <f>IF(Table1[[#This Row],[Is Data Valid]]=TRUE,_xlfn.NORM.S.DIST(Table1[[#This Row],[Birthweight Z-Score]],TRUE)*100,"")</f>
        <v/>
      </c>
      <c r="K7906" s="7" t="str">
        <f>IF(Table1[[#This Row],[Is Data Valid]]=TRUE,_xlfn.NORM.S.DIST(Table1[[#This Row],[Birthweight Z-Score (BW-10%)]],TRUE)*100,"")</f>
        <v/>
      </c>
      <c r="L7906" s="7" t="str">
        <f>IF(Table1[[#This Row],[Is Data Valid]]=TRUE,_xlfn.NORM.S.DIST(Table1[[#This Row],[Birthweight Z-Score (BW+10%)]],TRUE)*100,"")</f>
        <v/>
      </c>
    </row>
    <row r="7907" spans="1:12" x14ac:dyDescent="0.35">
      <c r="A7907" s="3"/>
      <c r="B7907" s="2"/>
      <c r="C7907" s="2"/>
      <c r="D7907" s="2" t="b">
        <f>IF(AND(NOT(ISBLANK(Table1[[#This Row],[Fetal Sex (Male, Female or Unknown)]])),ISNUMBER(Table1[[#This Row],[Birthweight (grams)]]),ISNUMBER(Table1[[#This Row],[Gestation (days)]])),TRUE,FALSE)</f>
        <v>0</v>
      </c>
      <c r="E7907" s="2" t="str">
        <f>IF(Table1[[#This Row],[Is Data Valid]]=TRUE,IF(Table1[[#This Row],[Fetal Sex (Male, Female or Unknown)]]="Male",Backend!$C$6,IF(Table1[[#This Row],[Fetal Sex (Male, Female or Unknown)]]="Female",Backend!$C$7,IF(Table1[[#This Row],[Fetal Sex (Male, Female or Unknown)]]="Unknown",Backend!$C$8,"Error"))),"")</f>
        <v/>
      </c>
      <c r="F7907" s="8" t="str">
        <f>IF(Table1[[#This Row],[Is Data Valid]]=TRUE,EXP(0.578+0.332*((Table1[[#This Row],[Gestation (days)]]+0.5)/7)-0.00354*((Table1[[#This Row],[Gestation (days)]]+0.5)/7)^2)*Table1[[#This Row],[BW40_3705]],"")</f>
        <v/>
      </c>
      <c r="G7907" s="2" t="str">
        <f>IF(Table1[[#This Row],[Is Data Valid]]=TRUE,((Table1[[#This Row],[Birthweight (grams)]]/Table1[[#This Row],[BW_GA]])-1)/(Backend!$B$4/100*Table1[[#This Row],[BW40_3705]]),"")</f>
        <v/>
      </c>
      <c r="H7907" s="7" t="str">
        <f>IF(Table1[[#This Row],[Is Data Valid]]=TRUE,((Table1[[#This Row],[Birthweight (grams)]]*0.9/Table1[[#This Row],[BW_GA]])-1)/(Backend!$B$4/100*Table1[[#This Row],[BW40_3705]]),"")</f>
        <v/>
      </c>
      <c r="I7907" s="7" t="str">
        <f>IF(Table1[[#This Row],[Is Data Valid]]=TRUE,((Table1[[#This Row],[Birthweight (grams)]]*1.1/Table1[[#This Row],[BW_GA]])-1)/(Backend!$B$4/100*Table1[[#This Row],[BW40_3705]]),"")</f>
        <v/>
      </c>
      <c r="J7907" s="7" t="str">
        <f>IF(Table1[[#This Row],[Is Data Valid]]=TRUE,_xlfn.NORM.S.DIST(Table1[[#This Row],[Birthweight Z-Score]],TRUE)*100,"")</f>
        <v/>
      </c>
      <c r="K7907" s="7" t="str">
        <f>IF(Table1[[#This Row],[Is Data Valid]]=TRUE,_xlfn.NORM.S.DIST(Table1[[#This Row],[Birthweight Z-Score (BW-10%)]],TRUE)*100,"")</f>
        <v/>
      </c>
      <c r="L7907" s="7" t="str">
        <f>IF(Table1[[#This Row],[Is Data Valid]]=TRUE,_xlfn.NORM.S.DIST(Table1[[#This Row],[Birthweight Z-Score (BW+10%)]],TRUE)*100,"")</f>
        <v/>
      </c>
    </row>
    <row r="7908" spans="1:12" x14ac:dyDescent="0.35">
      <c r="A7908" s="3"/>
      <c r="B7908" s="2"/>
      <c r="C7908" s="2"/>
      <c r="D7908" s="2" t="b">
        <f>IF(AND(NOT(ISBLANK(Table1[[#This Row],[Fetal Sex (Male, Female or Unknown)]])),ISNUMBER(Table1[[#This Row],[Birthweight (grams)]]),ISNUMBER(Table1[[#This Row],[Gestation (days)]])),TRUE,FALSE)</f>
        <v>0</v>
      </c>
      <c r="E7908" s="2" t="str">
        <f>IF(Table1[[#This Row],[Is Data Valid]]=TRUE,IF(Table1[[#This Row],[Fetal Sex (Male, Female or Unknown)]]="Male",Backend!$C$6,IF(Table1[[#This Row],[Fetal Sex (Male, Female or Unknown)]]="Female",Backend!$C$7,IF(Table1[[#This Row],[Fetal Sex (Male, Female or Unknown)]]="Unknown",Backend!$C$8,"Error"))),"")</f>
        <v/>
      </c>
      <c r="F7908" s="8" t="str">
        <f>IF(Table1[[#This Row],[Is Data Valid]]=TRUE,EXP(0.578+0.332*((Table1[[#This Row],[Gestation (days)]]+0.5)/7)-0.00354*((Table1[[#This Row],[Gestation (days)]]+0.5)/7)^2)*Table1[[#This Row],[BW40_3705]],"")</f>
        <v/>
      </c>
      <c r="G7908" s="2" t="str">
        <f>IF(Table1[[#This Row],[Is Data Valid]]=TRUE,((Table1[[#This Row],[Birthweight (grams)]]/Table1[[#This Row],[BW_GA]])-1)/(Backend!$B$4/100*Table1[[#This Row],[BW40_3705]]),"")</f>
        <v/>
      </c>
      <c r="H7908" s="7" t="str">
        <f>IF(Table1[[#This Row],[Is Data Valid]]=TRUE,((Table1[[#This Row],[Birthweight (grams)]]*0.9/Table1[[#This Row],[BW_GA]])-1)/(Backend!$B$4/100*Table1[[#This Row],[BW40_3705]]),"")</f>
        <v/>
      </c>
      <c r="I7908" s="7" t="str">
        <f>IF(Table1[[#This Row],[Is Data Valid]]=TRUE,((Table1[[#This Row],[Birthweight (grams)]]*1.1/Table1[[#This Row],[BW_GA]])-1)/(Backend!$B$4/100*Table1[[#This Row],[BW40_3705]]),"")</f>
        <v/>
      </c>
      <c r="J7908" s="7" t="str">
        <f>IF(Table1[[#This Row],[Is Data Valid]]=TRUE,_xlfn.NORM.S.DIST(Table1[[#This Row],[Birthweight Z-Score]],TRUE)*100,"")</f>
        <v/>
      </c>
      <c r="K7908" s="7" t="str">
        <f>IF(Table1[[#This Row],[Is Data Valid]]=TRUE,_xlfn.NORM.S.DIST(Table1[[#This Row],[Birthweight Z-Score (BW-10%)]],TRUE)*100,"")</f>
        <v/>
      </c>
      <c r="L7908" s="7" t="str">
        <f>IF(Table1[[#This Row],[Is Data Valid]]=TRUE,_xlfn.NORM.S.DIST(Table1[[#This Row],[Birthweight Z-Score (BW+10%)]],TRUE)*100,"")</f>
        <v/>
      </c>
    </row>
    <row r="7909" spans="1:12" x14ac:dyDescent="0.35">
      <c r="A7909" s="3"/>
      <c r="B7909" s="2"/>
      <c r="C7909" s="2"/>
      <c r="D7909" s="2" t="b">
        <f>IF(AND(NOT(ISBLANK(Table1[[#This Row],[Fetal Sex (Male, Female or Unknown)]])),ISNUMBER(Table1[[#This Row],[Birthweight (grams)]]),ISNUMBER(Table1[[#This Row],[Gestation (days)]])),TRUE,FALSE)</f>
        <v>0</v>
      </c>
      <c r="E7909" s="2" t="str">
        <f>IF(Table1[[#This Row],[Is Data Valid]]=TRUE,IF(Table1[[#This Row],[Fetal Sex (Male, Female or Unknown)]]="Male",Backend!$C$6,IF(Table1[[#This Row],[Fetal Sex (Male, Female or Unknown)]]="Female",Backend!$C$7,IF(Table1[[#This Row],[Fetal Sex (Male, Female or Unknown)]]="Unknown",Backend!$C$8,"Error"))),"")</f>
        <v/>
      </c>
      <c r="F7909" s="8" t="str">
        <f>IF(Table1[[#This Row],[Is Data Valid]]=TRUE,EXP(0.578+0.332*((Table1[[#This Row],[Gestation (days)]]+0.5)/7)-0.00354*((Table1[[#This Row],[Gestation (days)]]+0.5)/7)^2)*Table1[[#This Row],[BW40_3705]],"")</f>
        <v/>
      </c>
      <c r="G7909" s="2" t="str">
        <f>IF(Table1[[#This Row],[Is Data Valid]]=TRUE,((Table1[[#This Row],[Birthweight (grams)]]/Table1[[#This Row],[BW_GA]])-1)/(Backend!$B$4/100*Table1[[#This Row],[BW40_3705]]),"")</f>
        <v/>
      </c>
      <c r="H7909" s="7" t="str">
        <f>IF(Table1[[#This Row],[Is Data Valid]]=TRUE,((Table1[[#This Row],[Birthweight (grams)]]*0.9/Table1[[#This Row],[BW_GA]])-1)/(Backend!$B$4/100*Table1[[#This Row],[BW40_3705]]),"")</f>
        <v/>
      </c>
      <c r="I7909" s="7" t="str">
        <f>IF(Table1[[#This Row],[Is Data Valid]]=TRUE,((Table1[[#This Row],[Birthweight (grams)]]*1.1/Table1[[#This Row],[BW_GA]])-1)/(Backend!$B$4/100*Table1[[#This Row],[BW40_3705]]),"")</f>
        <v/>
      </c>
      <c r="J7909" s="7" t="str">
        <f>IF(Table1[[#This Row],[Is Data Valid]]=TRUE,_xlfn.NORM.S.DIST(Table1[[#This Row],[Birthweight Z-Score]],TRUE)*100,"")</f>
        <v/>
      </c>
      <c r="K7909" s="7" t="str">
        <f>IF(Table1[[#This Row],[Is Data Valid]]=TRUE,_xlfn.NORM.S.DIST(Table1[[#This Row],[Birthweight Z-Score (BW-10%)]],TRUE)*100,"")</f>
        <v/>
      </c>
      <c r="L7909" s="7" t="str">
        <f>IF(Table1[[#This Row],[Is Data Valid]]=TRUE,_xlfn.NORM.S.DIST(Table1[[#This Row],[Birthweight Z-Score (BW+10%)]],TRUE)*100,"")</f>
        <v/>
      </c>
    </row>
    <row r="7910" spans="1:12" x14ac:dyDescent="0.35">
      <c r="A7910" s="3"/>
      <c r="B7910" s="2"/>
      <c r="C7910" s="2"/>
      <c r="D7910" s="2" t="b">
        <f>IF(AND(NOT(ISBLANK(Table1[[#This Row],[Fetal Sex (Male, Female or Unknown)]])),ISNUMBER(Table1[[#This Row],[Birthweight (grams)]]),ISNUMBER(Table1[[#This Row],[Gestation (days)]])),TRUE,FALSE)</f>
        <v>0</v>
      </c>
      <c r="E7910" s="2" t="str">
        <f>IF(Table1[[#This Row],[Is Data Valid]]=TRUE,IF(Table1[[#This Row],[Fetal Sex (Male, Female or Unknown)]]="Male",Backend!$C$6,IF(Table1[[#This Row],[Fetal Sex (Male, Female or Unknown)]]="Female",Backend!$C$7,IF(Table1[[#This Row],[Fetal Sex (Male, Female or Unknown)]]="Unknown",Backend!$C$8,"Error"))),"")</f>
        <v/>
      </c>
      <c r="F7910" s="8" t="str">
        <f>IF(Table1[[#This Row],[Is Data Valid]]=TRUE,EXP(0.578+0.332*((Table1[[#This Row],[Gestation (days)]]+0.5)/7)-0.00354*((Table1[[#This Row],[Gestation (days)]]+0.5)/7)^2)*Table1[[#This Row],[BW40_3705]],"")</f>
        <v/>
      </c>
      <c r="G7910" s="2" t="str">
        <f>IF(Table1[[#This Row],[Is Data Valid]]=TRUE,((Table1[[#This Row],[Birthweight (grams)]]/Table1[[#This Row],[BW_GA]])-1)/(Backend!$B$4/100*Table1[[#This Row],[BW40_3705]]),"")</f>
        <v/>
      </c>
      <c r="H7910" s="7" t="str">
        <f>IF(Table1[[#This Row],[Is Data Valid]]=TRUE,((Table1[[#This Row],[Birthweight (grams)]]*0.9/Table1[[#This Row],[BW_GA]])-1)/(Backend!$B$4/100*Table1[[#This Row],[BW40_3705]]),"")</f>
        <v/>
      </c>
      <c r="I7910" s="7" t="str">
        <f>IF(Table1[[#This Row],[Is Data Valid]]=TRUE,((Table1[[#This Row],[Birthweight (grams)]]*1.1/Table1[[#This Row],[BW_GA]])-1)/(Backend!$B$4/100*Table1[[#This Row],[BW40_3705]]),"")</f>
        <v/>
      </c>
      <c r="J7910" s="7" t="str">
        <f>IF(Table1[[#This Row],[Is Data Valid]]=TRUE,_xlfn.NORM.S.DIST(Table1[[#This Row],[Birthweight Z-Score]],TRUE)*100,"")</f>
        <v/>
      </c>
      <c r="K7910" s="7" t="str">
        <f>IF(Table1[[#This Row],[Is Data Valid]]=TRUE,_xlfn.NORM.S.DIST(Table1[[#This Row],[Birthweight Z-Score (BW-10%)]],TRUE)*100,"")</f>
        <v/>
      </c>
      <c r="L7910" s="7" t="str">
        <f>IF(Table1[[#This Row],[Is Data Valid]]=TRUE,_xlfn.NORM.S.DIST(Table1[[#This Row],[Birthweight Z-Score (BW+10%)]],TRUE)*100,"")</f>
        <v/>
      </c>
    </row>
    <row r="7911" spans="1:12" x14ac:dyDescent="0.35">
      <c r="A7911" s="3"/>
      <c r="B7911" s="2"/>
      <c r="C7911" s="2"/>
      <c r="D7911" s="2" t="b">
        <f>IF(AND(NOT(ISBLANK(Table1[[#This Row],[Fetal Sex (Male, Female or Unknown)]])),ISNUMBER(Table1[[#This Row],[Birthweight (grams)]]),ISNUMBER(Table1[[#This Row],[Gestation (days)]])),TRUE,FALSE)</f>
        <v>0</v>
      </c>
      <c r="E7911" s="2" t="str">
        <f>IF(Table1[[#This Row],[Is Data Valid]]=TRUE,IF(Table1[[#This Row],[Fetal Sex (Male, Female or Unknown)]]="Male",Backend!$C$6,IF(Table1[[#This Row],[Fetal Sex (Male, Female or Unknown)]]="Female",Backend!$C$7,IF(Table1[[#This Row],[Fetal Sex (Male, Female or Unknown)]]="Unknown",Backend!$C$8,"Error"))),"")</f>
        <v/>
      </c>
      <c r="F7911" s="8" t="str">
        <f>IF(Table1[[#This Row],[Is Data Valid]]=TRUE,EXP(0.578+0.332*((Table1[[#This Row],[Gestation (days)]]+0.5)/7)-0.00354*((Table1[[#This Row],[Gestation (days)]]+0.5)/7)^2)*Table1[[#This Row],[BW40_3705]],"")</f>
        <v/>
      </c>
      <c r="G7911" s="2" t="str">
        <f>IF(Table1[[#This Row],[Is Data Valid]]=TRUE,((Table1[[#This Row],[Birthweight (grams)]]/Table1[[#This Row],[BW_GA]])-1)/(Backend!$B$4/100*Table1[[#This Row],[BW40_3705]]),"")</f>
        <v/>
      </c>
      <c r="H7911" s="7" t="str">
        <f>IF(Table1[[#This Row],[Is Data Valid]]=TRUE,((Table1[[#This Row],[Birthweight (grams)]]*0.9/Table1[[#This Row],[BW_GA]])-1)/(Backend!$B$4/100*Table1[[#This Row],[BW40_3705]]),"")</f>
        <v/>
      </c>
      <c r="I7911" s="7" t="str">
        <f>IF(Table1[[#This Row],[Is Data Valid]]=TRUE,((Table1[[#This Row],[Birthweight (grams)]]*1.1/Table1[[#This Row],[BW_GA]])-1)/(Backend!$B$4/100*Table1[[#This Row],[BW40_3705]]),"")</f>
        <v/>
      </c>
      <c r="J7911" s="7" t="str">
        <f>IF(Table1[[#This Row],[Is Data Valid]]=TRUE,_xlfn.NORM.S.DIST(Table1[[#This Row],[Birthweight Z-Score]],TRUE)*100,"")</f>
        <v/>
      </c>
      <c r="K7911" s="7" t="str">
        <f>IF(Table1[[#This Row],[Is Data Valid]]=TRUE,_xlfn.NORM.S.DIST(Table1[[#This Row],[Birthweight Z-Score (BW-10%)]],TRUE)*100,"")</f>
        <v/>
      </c>
      <c r="L7911" s="7" t="str">
        <f>IF(Table1[[#This Row],[Is Data Valid]]=TRUE,_xlfn.NORM.S.DIST(Table1[[#This Row],[Birthweight Z-Score (BW+10%)]],TRUE)*100,"")</f>
        <v/>
      </c>
    </row>
    <row r="7912" spans="1:12" x14ac:dyDescent="0.35">
      <c r="A7912" s="3"/>
      <c r="B7912" s="2"/>
      <c r="C7912" s="2"/>
      <c r="D7912" s="2" t="b">
        <f>IF(AND(NOT(ISBLANK(Table1[[#This Row],[Fetal Sex (Male, Female or Unknown)]])),ISNUMBER(Table1[[#This Row],[Birthweight (grams)]]),ISNUMBER(Table1[[#This Row],[Gestation (days)]])),TRUE,FALSE)</f>
        <v>0</v>
      </c>
      <c r="E7912" s="2" t="str">
        <f>IF(Table1[[#This Row],[Is Data Valid]]=TRUE,IF(Table1[[#This Row],[Fetal Sex (Male, Female or Unknown)]]="Male",Backend!$C$6,IF(Table1[[#This Row],[Fetal Sex (Male, Female or Unknown)]]="Female",Backend!$C$7,IF(Table1[[#This Row],[Fetal Sex (Male, Female or Unknown)]]="Unknown",Backend!$C$8,"Error"))),"")</f>
        <v/>
      </c>
      <c r="F7912" s="8" t="str">
        <f>IF(Table1[[#This Row],[Is Data Valid]]=TRUE,EXP(0.578+0.332*((Table1[[#This Row],[Gestation (days)]]+0.5)/7)-0.00354*((Table1[[#This Row],[Gestation (days)]]+0.5)/7)^2)*Table1[[#This Row],[BW40_3705]],"")</f>
        <v/>
      </c>
      <c r="G7912" s="2" t="str">
        <f>IF(Table1[[#This Row],[Is Data Valid]]=TRUE,((Table1[[#This Row],[Birthweight (grams)]]/Table1[[#This Row],[BW_GA]])-1)/(Backend!$B$4/100*Table1[[#This Row],[BW40_3705]]),"")</f>
        <v/>
      </c>
      <c r="H7912" s="7" t="str">
        <f>IF(Table1[[#This Row],[Is Data Valid]]=TRUE,((Table1[[#This Row],[Birthweight (grams)]]*0.9/Table1[[#This Row],[BW_GA]])-1)/(Backend!$B$4/100*Table1[[#This Row],[BW40_3705]]),"")</f>
        <v/>
      </c>
      <c r="I7912" s="7" t="str">
        <f>IF(Table1[[#This Row],[Is Data Valid]]=TRUE,((Table1[[#This Row],[Birthweight (grams)]]*1.1/Table1[[#This Row],[BW_GA]])-1)/(Backend!$B$4/100*Table1[[#This Row],[BW40_3705]]),"")</f>
        <v/>
      </c>
      <c r="J7912" s="7" t="str">
        <f>IF(Table1[[#This Row],[Is Data Valid]]=TRUE,_xlfn.NORM.S.DIST(Table1[[#This Row],[Birthweight Z-Score]],TRUE)*100,"")</f>
        <v/>
      </c>
      <c r="K7912" s="7" t="str">
        <f>IF(Table1[[#This Row],[Is Data Valid]]=TRUE,_xlfn.NORM.S.DIST(Table1[[#This Row],[Birthweight Z-Score (BW-10%)]],TRUE)*100,"")</f>
        <v/>
      </c>
      <c r="L7912" s="7" t="str">
        <f>IF(Table1[[#This Row],[Is Data Valid]]=TRUE,_xlfn.NORM.S.DIST(Table1[[#This Row],[Birthweight Z-Score (BW+10%)]],TRUE)*100,"")</f>
        <v/>
      </c>
    </row>
    <row r="7913" spans="1:12" x14ac:dyDescent="0.35">
      <c r="A7913" s="3"/>
      <c r="B7913" s="2"/>
      <c r="C7913" s="2"/>
      <c r="D7913" s="2" t="b">
        <f>IF(AND(NOT(ISBLANK(Table1[[#This Row],[Fetal Sex (Male, Female or Unknown)]])),ISNUMBER(Table1[[#This Row],[Birthweight (grams)]]),ISNUMBER(Table1[[#This Row],[Gestation (days)]])),TRUE,FALSE)</f>
        <v>0</v>
      </c>
      <c r="E7913" s="2" t="str">
        <f>IF(Table1[[#This Row],[Is Data Valid]]=TRUE,IF(Table1[[#This Row],[Fetal Sex (Male, Female or Unknown)]]="Male",Backend!$C$6,IF(Table1[[#This Row],[Fetal Sex (Male, Female or Unknown)]]="Female",Backend!$C$7,IF(Table1[[#This Row],[Fetal Sex (Male, Female or Unknown)]]="Unknown",Backend!$C$8,"Error"))),"")</f>
        <v/>
      </c>
      <c r="F7913" s="8" t="str">
        <f>IF(Table1[[#This Row],[Is Data Valid]]=TRUE,EXP(0.578+0.332*((Table1[[#This Row],[Gestation (days)]]+0.5)/7)-0.00354*((Table1[[#This Row],[Gestation (days)]]+0.5)/7)^2)*Table1[[#This Row],[BW40_3705]],"")</f>
        <v/>
      </c>
      <c r="G7913" s="2" t="str">
        <f>IF(Table1[[#This Row],[Is Data Valid]]=TRUE,((Table1[[#This Row],[Birthweight (grams)]]/Table1[[#This Row],[BW_GA]])-1)/(Backend!$B$4/100*Table1[[#This Row],[BW40_3705]]),"")</f>
        <v/>
      </c>
      <c r="H7913" s="7" t="str">
        <f>IF(Table1[[#This Row],[Is Data Valid]]=TRUE,((Table1[[#This Row],[Birthweight (grams)]]*0.9/Table1[[#This Row],[BW_GA]])-1)/(Backend!$B$4/100*Table1[[#This Row],[BW40_3705]]),"")</f>
        <v/>
      </c>
      <c r="I7913" s="7" t="str">
        <f>IF(Table1[[#This Row],[Is Data Valid]]=TRUE,((Table1[[#This Row],[Birthweight (grams)]]*1.1/Table1[[#This Row],[BW_GA]])-1)/(Backend!$B$4/100*Table1[[#This Row],[BW40_3705]]),"")</f>
        <v/>
      </c>
      <c r="J7913" s="7" t="str">
        <f>IF(Table1[[#This Row],[Is Data Valid]]=TRUE,_xlfn.NORM.S.DIST(Table1[[#This Row],[Birthweight Z-Score]],TRUE)*100,"")</f>
        <v/>
      </c>
      <c r="K7913" s="7" t="str">
        <f>IF(Table1[[#This Row],[Is Data Valid]]=TRUE,_xlfn.NORM.S.DIST(Table1[[#This Row],[Birthweight Z-Score (BW-10%)]],TRUE)*100,"")</f>
        <v/>
      </c>
      <c r="L7913" s="7" t="str">
        <f>IF(Table1[[#This Row],[Is Data Valid]]=TRUE,_xlfn.NORM.S.DIST(Table1[[#This Row],[Birthweight Z-Score (BW+10%)]],TRUE)*100,"")</f>
        <v/>
      </c>
    </row>
    <row r="7914" spans="1:12" x14ac:dyDescent="0.35">
      <c r="A7914" s="3"/>
      <c r="B7914" s="2"/>
      <c r="C7914" s="2"/>
      <c r="D7914" s="2" t="b">
        <f>IF(AND(NOT(ISBLANK(Table1[[#This Row],[Fetal Sex (Male, Female or Unknown)]])),ISNUMBER(Table1[[#This Row],[Birthweight (grams)]]),ISNUMBER(Table1[[#This Row],[Gestation (days)]])),TRUE,FALSE)</f>
        <v>0</v>
      </c>
      <c r="E7914" s="2" t="str">
        <f>IF(Table1[[#This Row],[Is Data Valid]]=TRUE,IF(Table1[[#This Row],[Fetal Sex (Male, Female or Unknown)]]="Male",Backend!$C$6,IF(Table1[[#This Row],[Fetal Sex (Male, Female or Unknown)]]="Female",Backend!$C$7,IF(Table1[[#This Row],[Fetal Sex (Male, Female or Unknown)]]="Unknown",Backend!$C$8,"Error"))),"")</f>
        <v/>
      </c>
      <c r="F7914" s="8" t="str">
        <f>IF(Table1[[#This Row],[Is Data Valid]]=TRUE,EXP(0.578+0.332*((Table1[[#This Row],[Gestation (days)]]+0.5)/7)-0.00354*((Table1[[#This Row],[Gestation (days)]]+0.5)/7)^2)*Table1[[#This Row],[BW40_3705]],"")</f>
        <v/>
      </c>
      <c r="G7914" s="2" t="str">
        <f>IF(Table1[[#This Row],[Is Data Valid]]=TRUE,((Table1[[#This Row],[Birthweight (grams)]]/Table1[[#This Row],[BW_GA]])-1)/(Backend!$B$4/100*Table1[[#This Row],[BW40_3705]]),"")</f>
        <v/>
      </c>
      <c r="H7914" s="7" t="str">
        <f>IF(Table1[[#This Row],[Is Data Valid]]=TRUE,((Table1[[#This Row],[Birthweight (grams)]]*0.9/Table1[[#This Row],[BW_GA]])-1)/(Backend!$B$4/100*Table1[[#This Row],[BW40_3705]]),"")</f>
        <v/>
      </c>
      <c r="I7914" s="7" t="str">
        <f>IF(Table1[[#This Row],[Is Data Valid]]=TRUE,((Table1[[#This Row],[Birthweight (grams)]]*1.1/Table1[[#This Row],[BW_GA]])-1)/(Backend!$B$4/100*Table1[[#This Row],[BW40_3705]]),"")</f>
        <v/>
      </c>
      <c r="J7914" s="7" t="str">
        <f>IF(Table1[[#This Row],[Is Data Valid]]=TRUE,_xlfn.NORM.S.DIST(Table1[[#This Row],[Birthweight Z-Score]],TRUE)*100,"")</f>
        <v/>
      </c>
      <c r="K7914" s="7" t="str">
        <f>IF(Table1[[#This Row],[Is Data Valid]]=TRUE,_xlfn.NORM.S.DIST(Table1[[#This Row],[Birthweight Z-Score (BW-10%)]],TRUE)*100,"")</f>
        <v/>
      </c>
      <c r="L7914" s="7" t="str">
        <f>IF(Table1[[#This Row],[Is Data Valid]]=TRUE,_xlfn.NORM.S.DIST(Table1[[#This Row],[Birthweight Z-Score (BW+10%)]],TRUE)*100,"")</f>
        <v/>
      </c>
    </row>
    <row r="7915" spans="1:12" x14ac:dyDescent="0.35">
      <c r="A7915" s="3"/>
      <c r="B7915" s="2"/>
      <c r="C7915" s="2"/>
      <c r="D7915" s="2" t="b">
        <f>IF(AND(NOT(ISBLANK(Table1[[#This Row],[Fetal Sex (Male, Female or Unknown)]])),ISNUMBER(Table1[[#This Row],[Birthweight (grams)]]),ISNUMBER(Table1[[#This Row],[Gestation (days)]])),TRUE,FALSE)</f>
        <v>0</v>
      </c>
      <c r="E7915" s="2" t="str">
        <f>IF(Table1[[#This Row],[Is Data Valid]]=TRUE,IF(Table1[[#This Row],[Fetal Sex (Male, Female or Unknown)]]="Male",Backend!$C$6,IF(Table1[[#This Row],[Fetal Sex (Male, Female or Unknown)]]="Female",Backend!$C$7,IF(Table1[[#This Row],[Fetal Sex (Male, Female or Unknown)]]="Unknown",Backend!$C$8,"Error"))),"")</f>
        <v/>
      </c>
      <c r="F7915" s="8" t="str">
        <f>IF(Table1[[#This Row],[Is Data Valid]]=TRUE,EXP(0.578+0.332*((Table1[[#This Row],[Gestation (days)]]+0.5)/7)-0.00354*((Table1[[#This Row],[Gestation (days)]]+0.5)/7)^2)*Table1[[#This Row],[BW40_3705]],"")</f>
        <v/>
      </c>
      <c r="G7915" s="2" t="str">
        <f>IF(Table1[[#This Row],[Is Data Valid]]=TRUE,((Table1[[#This Row],[Birthweight (grams)]]/Table1[[#This Row],[BW_GA]])-1)/(Backend!$B$4/100*Table1[[#This Row],[BW40_3705]]),"")</f>
        <v/>
      </c>
      <c r="H7915" s="7" t="str">
        <f>IF(Table1[[#This Row],[Is Data Valid]]=TRUE,((Table1[[#This Row],[Birthweight (grams)]]*0.9/Table1[[#This Row],[BW_GA]])-1)/(Backend!$B$4/100*Table1[[#This Row],[BW40_3705]]),"")</f>
        <v/>
      </c>
      <c r="I7915" s="7" t="str">
        <f>IF(Table1[[#This Row],[Is Data Valid]]=TRUE,((Table1[[#This Row],[Birthweight (grams)]]*1.1/Table1[[#This Row],[BW_GA]])-1)/(Backend!$B$4/100*Table1[[#This Row],[BW40_3705]]),"")</f>
        <v/>
      </c>
      <c r="J7915" s="7" t="str">
        <f>IF(Table1[[#This Row],[Is Data Valid]]=TRUE,_xlfn.NORM.S.DIST(Table1[[#This Row],[Birthweight Z-Score]],TRUE)*100,"")</f>
        <v/>
      </c>
      <c r="K7915" s="7" t="str">
        <f>IF(Table1[[#This Row],[Is Data Valid]]=TRUE,_xlfn.NORM.S.DIST(Table1[[#This Row],[Birthweight Z-Score (BW-10%)]],TRUE)*100,"")</f>
        <v/>
      </c>
      <c r="L7915" s="7" t="str">
        <f>IF(Table1[[#This Row],[Is Data Valid]]=TRUE,_xlfn.NORM.S.DIST(Table1[[#This Row],[Birthweight Z-Score (BW+10%)]],TRUE)*100,"")</f>
        <v/>
      </c>
    </row>
    <row r="7916" spans="1:12" x14ac:dyDescent="0.35">
      <c r="A7916" s="3"/>
      <c r="B7916" s="2"/>
      <c r="C7916" s="2"/>
      <c r="D7916" s="2" t="b">
        <f>IF(AND(NOT(ISBLANK(Table1[[#This Row],[Fetal Sex (Male, Female or Unknown)]])),ISNUMBER(Table1[[#This Row],[Birthweight (grams)]]),ISNUMBER(Table1[[#This Row],[Gestation (days)]])),TRUE,FALSE)</f>
        <v>0</v>
      </c>
      <c r="E7916" s="2" t="str">
        <f>IF(Table1[[#This Row],[Is Data Valid]]=TRUE,IF(Table1[[#This Row],[Fetal Sex (Male, Female or Unknown)]]="Male",Backend!$C$6,IF(Table1[[#This Row],[Fetal Sex (Male, Female or Unknown)]]="Female",Backend!$C$7,IF(Table1[[#This Row],[Fetal Sex (Male, Female or Unknown)]]="Unknown",Backend!$C$8,"Error"))),"")</f>
        <v/>
      </c>
      <c r="F7916" s="8" t="str">
        <f>IF(Table1[[#This Row],[Is Data Valid]]=TRUE,EXP(0.578+0.332*((Table1[[#This Row],[Gestation (days)]]+0.5)/7)-0.00354*((Table1[[#This Row],[Gestation (days)]]+0.5)/7)^2)*Table1[[#This Row],[BW40_3705]],"")</f>
        <v/>
      </c>
      <c r="G7916" s="2" t="str">
        <f>IF(Table1[[#This Row],[Is Data Valid]]=TRUE,((Table1[[#This Row],[Birthweight (grams)]]/Table1[[#This Row],[BW_GA]])-1)/(Backend!$B$4/100*Table1[[#This Row],[BW40_3705]]),"")</f>
        <v/>
      </c>
      <c r="H7916" s="7" t="str">
        <f>IF(Table1[[#This Row],[Is Data Valid]]=TRUE,((Table1[[#This Row],[Birthweight (grams)]]*0.9/Table1[[#This Row],[BW_GA]])-1)/(Backend!$B$4/100*Table1[[#This Row],[BW40_3705]]),"")</f>
        <v/>
      </c>
      <c r="I7916" s="7" t="str">
        <f>IF(Table1[[#This Row],[Is Data Valid]]=TRUE,((Table1[[#This Row],[Birthweight (grams)]]*1.1/Table1[[#This Row],[BW_GA]])-1)/(Backend!$B$4/100*Table1[[#This Row],[BW40_3705]]),"")</f>
        <v/>
      </c>
      <c r="J7916" s="7" t="str">
        <f>IF(Table1[[#This Row],[Is Data Valid]]=TRUE,_xlfn.NORM.S.DIST(Table1[[#This Row],[Birthweight Z-Score]],TRUE)*100,"")</f>
        <v/>
      </c>
      <c r="K7916" s="7" t="str">
        <f>IF(Table1[[#This Row],[Is Data Valid]]=TRUE,_xlfn.NORM.S.DIST(Table1[[#This Row],[Birthweight Z-Score (BW-10%)]],TRUE)*100,"")</f>
        <v/>
      </c>
      <c r="L7916" s="7" t="str">
        <f>IF(Table1[[#This Row],[Is Data Valid]]=TRUE,_xlfn.NORM.S.DIST(Table1[[#This Row],[Birthweight Z-Score (BW+10%)]],TRUE)*100,"")</f>
        <v/>
      </c>
    </row>
    <row r="7917" spans="1:12" x14ac:dyDescent="0.35">
      <c r="A7917" s="3"/>
      <c r="B7917" s="2"/>
      <c r="C7917" s="2"/>
      <c r="D7917" s="2" t="b">
        <f>IF(AND(NOT(ISBLANK(Table1[[#This Row],[Fetal Sex (Male, Female or Unknown)]])),ISNUMBER(Table1[[#This Row],[Birthweight (grams)]]),ISNUMBER(Table1[[#This Row],[Gestation (days)]])),TRUE,FALSE)</f>
        <v>0</v>
      </c>
      <c r="E7917" s="2" t="str">
        <f>IF(Table1[[#This Row],[Is Data Valid]]=TRUE,IF(Table1[[#This Row],[Fetal Sex (Male, Female or Unknown)]]="Male",Backend!$C$6,IF(Table1[[#This Row],[Fetal Sex (Male, Female or Unknown)]]="Female",Backend!$C$7,IF(Table1[[#This Row],[Fetal Sex (Male, Female or Unknown)]]="Unknown",Backend!$C$8,"Error"))),"")</f>
        <v/>
      </c>
      <c r="F7917" s="8" t="str">
        <f>IF(Table1[[#This Row],[Is Data Valid]]=TRUE,EXP(0.578+0.332*((Table1[[#This Row],[Gestation (days)]]+0.5)/7)-0.00354*((Table1[[#This Row],[Gestation (days)]]+0.5)/7)^2)*Table1[[#This Row],[BW40_3705]],"")</f>
        <v/>
      </c>
      <c r="G7917" s="2" t="str">
        <f>IF(Table1[[#This Row],[Is Data Valid]]=TRUE,((Table1[[#This Row],[Birthweight (grams)]]/Table1[[#This Row],[BW_GA]])-1)/(Backend!$B$4/100*Table1[[#This Row],[BW40_3705]]),"")</f>
        <v/>
      </c>
      <c r="H7917" s="7" t="str">
        <f>IF(Table1[[#This Row],[Is Data Valid]]=TRUE,((Table1[[#This Row],[Birthweight (grams)]]*0.9/Table1[[#This Row],[BW_GA]])-1)/(Backend!$B$4/100*Table1[[#This Row],[BW40_3705]]),"")</f>
        <v/>
      </c>
      <c r="I7917" s="7" t="str">
        <f>IF(Table1[[#This Row],[Is Data Valid]]=TRUE,((Table1[[#This Row],[Birthweight (grams)]]*1.1/Table1[[#This Row],[BW_GA]])-1)/(Backend!$B$4/100*Table1[[#This Row],[BW40_3705]]),"")</f>
        <v/>
      </c>
      <c r="J7917" s="7" t="str">
        <f>IF(Table1[[#This Row],[Is Data Valid]]=TRUE,_xlfn.NORM.S.DIST(Table1[[#This Row],[Birthweight Z-Score]],TRUE)*100,"")</f>
        <v/>
      </c>
      <c r="K7917" s="7" t="str">
        <f>IF(Table1[[#This Row],[Is Data Valid]]=TRUE,_xlfn.NORM.S.DIST(Table1[[#This Row],[Birthweight Z-Score (BW-10%)]],TRUE)*100,"")</f>
        <v/>
      </c>
      <c r="L7917" s="7" t="str">
        <f>IF(Table1[[#This Row],[Is Data Valid]]=TRUE,_xlfn.NORM.S.DIST(Table1[[#This Row],[Birthweight Z-Score (BW+10%)]],TRUE)*100,"")</f>
        <v/>
      </c>
    </row>
    <row r="7918" spans="1:12" x14ac:dyDescent="0.35">
      <c r="A7918" s="3"/>
      <c r="B7918" s="2"/>
      <c r="C7918" s="2"/>
      <c r="D7918" s="2" t="b">
        <f>IF(AND(NOT(ISBLANK(Table1[[#This Row],[Fetal Sex (Male, Female or Unknown)]])),ISNUMBER(Table1[[#This Row],[Birthweight (grams)]]),ISNUMBER(Table1[[#This Row],[Gestation (days)]])),TRUE,FALSE)</f>
        <v>0</v>
      </c>
      <c r="E7918" s="2" t="str">
        <f>IF(Table1[[#This Row],[Is Data Valid]]=TRUE,IF(Table1[[#This Row],[Fetal Sex (Male, Female or Unknown)]]="Male",Backend!$C$6,IF(Table1[[#This Row],[Fetal Sex (Male, Female or Unknown)]]="Female",Backend!$C$7,IF(Table1[[#This Row],[Fetal Sex (Male, Female or Unknown)]]="Unknown",Backend!$C$8,"Error"))),"")</f>
        <v/>
      </c>
      <c r="F7918" s="8" t="str">
        <f>IF(Table1[[#This Row],[Is Data Valid]]=TRUE,EXP(0.578+0.332*((Table1[[#This Row],[Gestation (days)]]+0.5)/7)-0.00354*((Table1[[#This Row],[Gestation (days)]]+0.5)/7)^2)*Table1[[#This Row],[BW40_3705]],"")</f>
        <v/>
      </c>
      <c r="G7918" s="2" t="str">
        <f>IF(Table1[[#This Row],[Is Data Valid]]=TRUE,((Table1[[#This Row],[Birthweight (grams)]]/Table1[[#This Row],[BW_GA]])-1)/(Backend!$B$4/100*Table1[[#This Row],[BW40_3705]]),"")</f>
        <v/>
      </c>
      <c r="H7918" s="7" t="str">
        <f>IF(Table1[[#This Row],[Is Data Valid]]=TRUE,((Table1[[#This Row],[Birthweight (grams)]]*0.9/Table1[[#This Row],[BW_GA]])-1)/(Backend!$B$4/100*Table1[[#This Row],[BW40_3705]]),"")</f>
        <v/>
      </c>
      <c r="I7918" s="7" t="str">
        <f>IF(Table1[[#This Row],[Is Data Valid]]=TRUE,((Table1[[#This Row],[Birthweight (grams)]]*1.1/Table1[[#This Row],[BW_GA]])-1)/(Backend!$B$4/100*Table1[[#This Row],[BW40_3705]]),"")</f>
        <v/>
      </c>
      <c r="J7918" s="7" t="str">
        <f>IF(Table1[[#This Row],[Is Data Valid]]=TRUE,_xlfn.NORM.S.DIST(Table1[[#This Row],[Birthweight Z-Score]],TRUE)*100,"")</f>
        <v/>
      </c>
      <c r="K7918" s="7" t="str">
        <f>IF(Table1[[#This Row],[Is Data Valid]]=TRUE,_xlfn.NORM.S.DIST(Table1[[#This Row],[Birthweight Z-Score (BW-10%)]],TRUE)*100,"")</f>
        <v/>
      </c>
      <c r="L7918" s="7" t="str">
        <f>IF(Table1[[#This Row],[Is Data Valid]]=TRUE,_xlfn.NORM.S.DIST(Table1[[#This Row],[Birthweight Z-Score (BW+10%)]],TRUE)*100,"")</f>
        <v/>
      </c>
    </row>
    <row r="7919" spans="1:12" x14ac:dyDescent="0.35">
      <c r="A7919" s="3"/>
      <c r="B7919" s="2"/>
      <c r="C7919" s="2"/>
      <c r="D7919" s="2" t="b">
        <f>IF(AND(NOT(ISBLANK(Table1[[#This Row],[Fetal Sex (Male, Female or Unknown)]])),ISNUMBER(Table1[[#This Row],[Birthweight (grams)]]),ISNUMBER(Table1[[#This Row],[Gestation (days)]])),TRUE,FALSE)</f>
        <v>0</v>
      </c>
      <c r="E7919" s="2" t="str">
        <f>IF(Table1[[#This Row],[Is Data Valid]]=TRUE,IF(Table1[[#This Row],[Fetal Sex (Male, Female or Unknown)]]="Male",Backend!$C$6,IF(Table1[[#This Row],[Fetal Sex (Male, Female or Unknown)]]="Female",Backend!$C$7,IF(Table1[[#This Row],[Fetal Sex (Male, Female or Unknown)]]="Unknown",Backend!$C$8,"Error"))),"")</f>
        <v/>
      </c>
      <c r="F7919" s="8" t="str">
        <f>IF(Table1[[#This Row],[Is Data Valid]]=TRUE,EXP(0.578+0.332*((Table1[[#This Row],[Gestation (days)]]+0.5)/7)-0.00354*((Table1[[#This Row],[Gestation (days)]]+0.5)/7)^2)*Table1[[#This Row],[BW40_3705]],"")</f>
        <v/>
      </c>
      <c r="G7919" s="2" t="str">
        <f>IF(Table1[[#This Row],[Is Data Valid]]=TRUE,((Table1[[#This Row],[Birthweight (grams)]]/Table1[[#This Row],[BW_GA]])-1)/(Backend!$B$4/100*Table1[[#This Row],[BW40_3705]]),"")</f>
        <v/>
      </c>
      <c r="H7919" s="7" t="str">
        <f>IF(Table1[[#This Row],[Is Data Valid]]=TRUE,((Table1[[#This Row],[Birthweight (grams)]]*0.9/Table1[[#This Row],[BW_GA]])-1)/(Backend!$B$4/100*Table1[[#This Row],[BW40_3705]]),"")</f>
        <v/>
      </c>
      <c r="I7919" s="7" t="str">
        <f>IF(Table1[[#This Row],[Is Data Valid]]=TRUE,((Table1[[#This Row],[Birthweight (grams)]]*1.1/Table1[[#This Row],[BW_GA]])-1)/(Backend!$B$4/100*Table1[[#This Row],[BW40_3705]]),"")</f>
        <v/>
      </c>
      <c r="J7919" s="7" t="str">
        <f>IF(Table1[[#This Row],[Is Data Valid]]=TRUE,_xlfn.NORM.S.DIST(Table1[[#This Row],[Birthweight Z-Score]],TRUE)*100,"")</f>
        <v/>
      </c>
      <c r="K7919" s="7" t="str">
        <f>IF(Table1[[#This Row],[Is Data Valid]]=TRUE,_xlfn.NORM.S.DIST(Table1[[#This Row],[Birthweight Z-Score (BW-10%)]],TRUE)*100,"")</f>
        <v/>
      </c>
      <c r="L7919" s="7" t="str">
        <f>IF(Table1[[#This Row],[Is Data Valid]]=TRUE,_xlfn.NORM.S.DIST(Table1[[#This Row],[Birthweight Z-Score (BW+10%)]],TRUE)*100,"")</f>
        <v/>
      </c>
    </row>
    <row r="7920" spans="1:12" x14ac:dyDescent="0.35">
      <c r="A7920" s="3"/>
      <c r="B7920" s="2"/>
      <c r="C7920" s="2"/>
      <c r="D7920" s="2" t="b">
        <f>IF(AND(NOT(ISBLANK(Table1[[#This Row],[Fetal Sex (Male, Female or Unknown)]])),ISNUMBER(Table1[[#This Row],[Birthweight (grams)]]),ISNUMBER(Table1[[#This Row],[Gestation (days)]])),TRUE,FALSE)</f>
        <v>0</v>
      </c>
      <c r="E7920" s="2" t="str">
        <f>IF(Table1[[#This Row],[Is Data Valid]]=TRUE,IF(Table1[[#This Row],[Fetal Sex (Male, Female or Unknown)]]="Male",Backend!$C$6,IF(Table1[[#This Row],[Fetal Sex (Male, Female or Unknown)]]="Female",Backend!$C$7,IF(Table1[[#This Row],[Fetal Sex (Male, Female or Unknown)]]="Unknown",Backend!$C$8,"Error"))),"")</f>
        <v/>
      </c>
      <c r="F7920" s="8" t="str">
        <f>IF(Table1[[#This Row],[Is Data Valid]]=TRUE,EXP(0.578+0.332*((Table1[[#This Row],[Gestation (days)]]+0.5)/7)-0.00354*((Table1[[#This Row],[Gestation (days)]]+0.5)/7)^2)*Table1[[#This Row],[BW40_3705]],"")</f>
        <v/>
      </c>
      <c r="G7920" s="2" t="str">
        <f>IF(Table1[[#This Row],[Is Data Valid]]=TRUE,((Table1[[#This Row],[Birthweight (grams)]]/Table1[[#This Row],[BW_GA]])-1)/(Backend!$B$4/100*Table1[[#This Row],[BW40_3705]]),"")</f>
        <v/>
      </c>
      <c r="H7920" s="7" t="str">
        <f>IF(Table1[[#This Row],[Is Data Valid]]=TRUE,((Table1[[#This Row],[Birthweight (grams)]]*0.9/Table1[[#This Row],[BW_GA]])-1)/(Backend!$B$4/100*Table1[[#This Row],[BW40_3705]]),"")</f>
        <v/>
      </c>
      <c r="I7920" s="7" t="str">
        <f>IF(Table1[[#This Row],[Is Data Valid]]=TRUE,((Table1[[#This Row],[Birthweight (grams)]]*1.1/Table1[[#This Row],[BW_GA]])-1)/(Backend!$B$4/100*Table1[[#This Row],[BW40_3705]]),"")</f>
        <v/>
      </c>
      <c r="J7920" s="7" t="str">
        <f>IF(Table1[[#This Row],[Is Data Valid]]=TRUE,_xlfn.NORM.S.DIST(Table1[[#This Row],[Birthweight Z-Score]],TRUE)*100,"")</f>
        <v/>
      </c>
      <c r="K7920" s="7" t="str">
        <f>IF(Table1[[#This Row],[Is Data Valid]]=TRUE,_xlfn.NORM.S.DIST(Table1[[#This Row],[Birthweight Z-Score (BW-10%)]],TRUE)*100,"")</f>
        <v/>
      </c>
      <c r="L7920" s="7" t="str">
        <f>IF(Table1[[#This Row],[Is Data Valid]]=TRUE,_xlfn.NORM.S.DIST(Table1[[#This Row],[Birthweight Z-Score (BW+10%)]],TRUE)*100,"")</f>
        <v/>
      </c>
    </row>
    <row r="7921" spans="1:12" x14ac:dyDescent="0.35">
      <c r="A7921" s="3"/>
      <c r="B7921" s="2"/>
      <c r="C7921" s="2"/>
      <c r="D7921" s="2" t="b">
        <f>IF(AND(NOT(ISBLANK(Table1[[#This Row],[Fetal Sex (Male, Female or Unknown)]])),ISNUMBER(Table1[[#This Row],[Birthweight (grams)]]),ISNUMBER(Table1[[#This Row],[Gestation (days)]])),TRUE,FALSE)</f>
        <v>0</v>
      </c>
      <c r="E7921" s="2" t="str">
        <f>IF(Table1[[#This Row],[Is Data Valid]]=TRUE,IF(Table1[[#This Row],[Fetal Sex (Male, Female or Unknown)]]="Male",Backend!$C$6,IF(Table1[[#This Row],[Fetal Sex (Male, Female or Unknown)]]="Female",Backend!$C$7,IF(Table1[[#This Row],[Fetal Sex (Male, Female or Unknown)]]="Unknown",Backend!$C$8,"Error"))),"")</f>
        <v/>
      </c>
      <c r="F7921" s="8" t="str">
        <f>IF(Table1[[#This Row],[Is Data Valid]]=TRUE,EXP(0.578+0.332*((Table1[[#This Row],[Gestation (days)]]+0.5)/7)-0.00354*((Table1[[#This Row],[Gestation (days)]]+0.5)/7)^2)*Table1[[#This Row],[BW40_3705]],"")</f>
        <v/>
      </c>
      <c r="G7921" s="2" t="str">
        <f>IF(Table1[[#This Row],[Is Data Valid]]=TRUE,((Table1[[#This Row],[Birthweight (grams)]]/Table1[[#This Row],[BW_GA]])-1)/(Backend!$B$4/100*Table1[[#This Row],[BW40_3705]]),"")</f>
        <v/>
      </c>
      <c r="H7921" s="7" t="str">
        <f>IF(Table1[[#This Row],[Is Data Valid]]=TRUE,((Table1[[#This Row],[Birthweight (grams)]]*0.9/Table1[[#This Row],[BW_GA]])-1)/(Backend!$B$4/100*Table1[[#This Row],[BW40_3705]]),"")</f>
        <v/>
      </c>
      <c r="I7921" s="7" t="str">
        <f>IF(Table1[[#This Row],[Is Data Valid]]=TRUE,((Table1[[#This Row],[Birthweight (grams)]]*1.1/Table1[[#This Row],[BW_GA]])-1)/(Backend!$B$4/100*Table1[[#This Row],[BW40_3705]]),"")</f>
        <v/>
      </c>
      <c r="J7921" s="7" t="str">
        <f>IF(Table1[[#This Row],[Is Data Valid]]=TRUE,_xlfn.NORM.S.DIST(Table1[[#This Row],[Birthweight Z-Score]],TRUE)*100,"")</f>
        <v/>
      </c>
      <c r="K7921" s="7" t="str">
        <f>IF(Table1[[#This Row],[Is Data Valid]]=TRUE,_xlfn.NORM.S.DIST(Table1[[#This Row],[Birthweight Z-Score (BW-10%)]],TRUE)*100,"")</f>
        <v/>
      </c>
      <c r="L7921" s="7" t="str">
        <f>IF(Table1[[#This Row],[Is Data Valid]]=TRUE,_xlfn.NORM.S.DIST(Table1[[#This Row],[Birthweight Z-Score (BW+10%)]],TRUE)*100,"")</f>
        <v/>
      </c>
    </row>
    <row r="7922" spans="1:12" x14ac:dyDescent="0.35">
      <c r="A7922" s="3"/>
      <c r="B7922" s="2"/>
      <c r="C7922" s="2"/>
      <c r="D7922" s="2" t="b">
        <f>IF(AND(NOT(ISBLANK(Table1[[#This Row],[Fetal Sex (Male, Female or Unknown)]])),ISNUMBER(Table1[[#This Row],[Birthweight (grams)]]),ISNUMBER(Table1[[#This Row],[Gestation (days)]])),TRUE,FALSE)</f>
        <v>0</v>
      </c>
      <c r="E7922" s="2" t="str">
        <f>IF(Table1[[#This Row],[Is Data Valid]]=TRUE,IF(Table1[[#This Row],[Fetal Sex (Male, Female or Unknown)]]="Male",Backend!$C$6,IF(Table1[[#This Row],[Fetal Sex (Male, Female or Unknown)]]="Female",Backend!$C$7,IF(Table1[[#This Row],[Fetal Sex (Male, Female or Unknown)]]="Unknown",Backend!$C$8,"Error"))),"")</f>
        <v/>
      </c>
      <c r="F7922" s="8" t="str">
        <f>IF(Table1[[#This Row],[Is Data Valid]]=TRUE,EXP(0.578+0.332*((Table1[[#This Row],[Gestation (days)]]+0.5)/7)-0.00354*((Table1[[#This Row],[Gestation (days)]]+0.5)/7)^2)*Table1[[#This Row],[BW40_3705]],"")</f>
        <v/>
      </c>
      <c r="G7922" s="2" t="str">
        <f>IF(Table1[[#This Row],[Is Data Valid]]=TRUE,((Table1[[#This Row],[Birthweight (grams)]]/Table1[[#This Row],[BW_GA]])-1)/(Backend!$B$4/100*Table1[[#This Row],[BW40_3705]]),"")</f>
        <v/>
      </c>
      <c r="H7922" s="7" t="str">
        <f>IF(Table1[[#This Row],[Is Data Valid]]=TRUE,((Table1[[#This Row],[Birthweight (grams)]]*0.9/Table1[[#This Row],[BW_GA]])-1)/(Backend!$B$4/100*Table1[[#This Row],[BW40_3705]]),"")</f>
        <v/>
      </c>
      <c r="I7922" s="7" t="str">
        <f>IF(Table1[[#This Row],[Is Data Valid]]=TRUE,((Table1[[#This Row],[Birthweight (grams)]]*1.1/Table1[[#This Row],[BW_GA]])-1)/(Backend!$B$4/100*Table1[[#This Row],[BW40_3705]]),"")</f>
        <v/>
      </c>
      <c r="J7922" s="7" t="str">
        <f>IF(Table1[[#This Row],[Is Data Valid]]=TRUE,_xlfn.NORM.S.DIST(Table1[[#This Row],[Birthweight Z-Score]],TRUE)*100,"")</f>
        <v/>
      </c>
      <c r="K7922" s="7" t="str">
        <f>IF(Table1[[#This Row],[Is Data Valid]]=TRUE,_xlfn.NORM.S.DIST(Table1[[#This Row],[Birthweight Z-Score (BW-10%)]],TRUE)*100,"")</f>
        <v/>
      </c>
      <c r="L7922" s="7" t="str">
        <f>IF(Table1[[#This Row],[Is Data Valid]]=TRUE,_xlfn.NORM.S.DIST(Table1[[#This Row],[Birthweight Z-Score (BW+10%)]],TRUE)*100,"")</f>
        <v/>
      </c>
    </row>
    <row r="7923" spans="1:12" x14ac:dyDescent="0.35">
      <c r="A7923" s="3"/>
      <c r="B7923" s="2"/>
      <c r="C7923" s="2"/>
      <c r="D7923" s="2" t="b">
        <f>IF(AND(NOT(ISBLANK(Table1[[#This Row],[Fetal Sex (Male, Female or Unknown)]])),ISNUMBER(Table1[[#This Row],[Birthweight (grams)]]),ISNUMBER(Table1[[#This Row],[Gestation (days)]])),TRUE,FALSE)</f>
        <v>0</v>
      </c>
      <c r="E7923" s="2" t="str">
        <f>IF(Table1[[#This Row],[Is Data Valid]]=TRUE,IF(Table1[[#This Row],[Fetal Sex (Male, Female or Unknown)]]="Male",Backend!$C$6,IF(Table1[[#This Row],[Fetal Sex (Male, Female or Unknown)]]="Female",Backend!$C$7,IF(Table1[[#This Row],[Fetal Sex (Male, Female or Unknown)]]="Unknown",Backend!$C$8,"Error"))),"")</f>
        <v/>
      </c>
      <c r="F7923" s="8" t="str">
        <f>IF(Table1[[#This Row],[Is Data Valid]]=TRUE,EXP(0.578+0.332*((Table1[[#This Row],[Gestation (days)]]+0.5)/7)-0.00354*((Table1[[#This Row],[Gestation (days)]]+0.5)/7)^2)*Table1[[#This Row],[BW40_3705]],"")</f>
        <v/>
      </c>
      <c r="G7923" s="2" t="str">
        <f>IF(Table1[[#This Row],[Is Data Valid]]=TRUE,((Table1[[#This Row],[Birthweight (grams)]]/Table1[[#This Row],[BW_GA]])-1)/(Backend!$B$4/100*Table1[[#This Row],[BW40_3705]]),"")</f>
        <v/>
      </c>
      <c r="H7923" s="7" t="str">
        <f>IF(Table1[[#This Row],[Is Data Valid]]=TRUE,((Table1[[#This Row],[Birthweight (grams)]]*0.9/Table1[[#This Row],[BW_GA]])-1)/(Backend!$B$4/100*Table1[[#This Row],[BW40_3705]]),"")</f>
        <v/>
      </c>
      <c r="I7923" s="7" t="str">
        <f>IF(Table1[[#This Row],[Is Data Valid]]=TRUE,((Table1[[#This Row],[Birthweight (grams)]]*1.1/Table1[[#This Row],[BW_GA]])-1)/(Backend!$B$4/100*Table1[[#This Row],[BW40_3705]]),"")</f>
        <v/>
      </c>
      <c r="J7923" s="7" t="str">
        <f>IF(Table1[[#This Row],[Is Data Valid]]=TRUE,_xlfn.NORM.S.DIST(Table1[[#This Row],[Birthweight Z-Score]],TRUE)*100,"")</f>
        <v/>
      </c>
      <c r="K7923" s="7" t="str">
        <f>IF(Table1[[#This Row],[Is Data Valid]]=TRUE,_xlfn.NORM.S.DIST(Table1[[#This Row],[Birthweight Z-Score (BW-10%)]],TRUE)*100,"")</f>
        <v/>
      </c>
      <c r="L7923" s="7" t="str">
        <f>IF(Table1[[#This Row],[Is Data Valid]]=TRUE,_xlfn.NORM.S.DIST(Table1[[#This Row],[Birthweight Z-Score (BW+10%)]],TRUE)*100,"")</f>
        <v/>
      </c>
    </row>
    <row r="7924" spans="1:12" x14ac:dyDescent="0.35">
      <c r="A7924" s="3"/>
      <c r="B7924" s="2"/>
      <c r="C7924" s="2"/>
      <c r="D7924" s="2" t="b">
        <f>IF(AND(NOT(ISBLANK(Table1[[#This Row],[Fetal Sex (Male, Female or Unknown)]])),ISNUMBER(Table1[[#This Row],[Birthweight (grams)]]),ISNUMBER(Table1[[#This Row],[Gestation (days)]])),TRUE,FALSE)</f>
        <v>0</v>
      </c>
      <c r="E7924" s="2" t="str">
        <f>IF(Table1[[#This Row],[Is Data Valid]]=TRUE,IF(Table1[[#This Row],[Fetal Sex (Male, Female or Unknown)]]="Male",Backend!$C$6,IF(Table1[[#This Row],[Fetal Sex (Male, Female or Unknown)]]="Female",Backend!$C$7,IF(Table1[[#This Row],[Fetal Sex (Male, Female or Unknown)]]="Unknown",Backend!$C$8,"Error"))),"")</f>
        <v/>
      </c>
      <c r="F7924" s="8" t="str">
        <f>IF(Table1[[#This Row],[Is Data Valid]]=TRUE,EXP(0.578+0.332*((Table1[[#This Row],[Gestation (days)]]+0.5)/7)-0.00354*((Table1[[#This Row],[Gestation (days)]]+0.5)/7)^2)*Table1[[#This Row],[BW40_3705]],"")</f>
        <v/>
      </c>
      <c r="G7924" s="2" t="str">
        <f>IF(Table1[[#This Row],[Is Data Valid]]=TRUE,((Table1[[#This Row],[Birthweight (grams)]]/Table1[[#This Row],[BW_GA]])-1)/(Backend!$B$4/100*Table1[[#This Row],[BW40_3705]]),"")</f>
        <v/>
      </c>
      <c r="H7924" s="7" t="str">
        <f>IF(Table1[[#This Row],[Is Data Valid]]=TRUE,((Table1[[#This Row],[Birthweight (grams)]]*0.9/Table1[[#This Row],[BW_GA]])-1)/(Backend!$B$4/100*Table1[[#This Row],[BW40_3705]]),"")</f>
        <v/>
      </c>
      <c r="I7924" s="7" t="str">
        <f>IF(Table1[[#This Row],[Is Data Valid]]=TRUE,((Table1[[#This Row],[Birthweight (grams)]]*1.1/Table1[[#This Row],[BW_GA]])-1)/(Backend!$B$4/100*Table1[[#This Row],[BW40_3705]]),"")</f>
        <v/>
      </c>
      <c r="J7924" s="7" t="str">
        <f>IF(Table1[[#This Row],[Is Data Valid]]=TRUE,_xlfn.NORM.S.DIST(Table1[[#This Row],[Birthweight Z-Score]],TRUE)*100,"")</f>
        <v/>
      </c>
      <c r="K7924" s="7" t="str">
        <f>IF(Table1[[#This Row],[Is Data Valid]]=TRUE,_xlfn.NORM.S.DIST(Table1[[#This Row],[Birthweight Z-Score (BW-10%)]],TRUE)*100,"")</f>
        <v/>
      </c>
      <c r="L7924" s="7" t="str">
        <f>IF(Table1[[#This Row],[Is Data Valid]]=TRUE,_xlfn.NORM.S.DIST(Table1[[#This Row],[Birthweight Z-Score (BW+10%)]],TRUE)*100,"")</f>
        <v/>
      </c>
    </row>
    <row r="7925" spans="1:12" x14ac:dyDescent="0.35">
      <c r="A7925" s="3"/>
      <c r="B7925" s="2"/>
      <c r="C7925" s="2"/>
      <c r="D7925" s="2" t="b">
        <f>IF(AND(NOT(ISBLANK(Table1[[#This Row],[Fetal Sex (Male, Female or Unknown)]])),ISNUMBER(Table1[[#This Row],[Birthweight (grams)]]),ISNUMBER(Table1[[#This Row],[Gestation (days)]])),TRUE,FALSE)</f>
        <v>0</v>
      </c>
      <c r="E7925" s="2" t="str">
        <f>IF(Table1[[#This Row],[Is Data Valid]]=TRUE,IF(Table1[[#This Row],[Fetal Sex (Male, Female or Unknown)]]="Male",Backend!$C$6,IF(Table1[[#This Row],[Fetal Sex (Male, Female or Unknown)]]="Female",Backend!$C$7,IF(Table1[[#This Row],[Fetal Sex (Male, Female or Unknown)]]="Unknown",Backend!$C$8,"Error"))),"")</f>
        <v/>
      </c>
      <c r="F7925" s="8" t="str">
        <f>IF(Table1[[#This Row],[Is Data Valid]]=TRUE,EXP(0.578+0.332*((Table1[[#This Row],[Gestation (days)]]+0.5)/7)-0.00354*((Table1[[#This Row],[Gestation (days)]]+0.5)/7)^2)*Table1[[#This Row],[BW40_3705]],"")</f>
        <v/>
      </c>
      <c r="G7925" s="2" t="str">
        <f>IF(Table1[[#This Row],[Is Data Valid]]=TRUE,((Table1[[#This Row],[Birthweight (grams)]]/Table1[[#This Row],[BW_GA]])-1)/(Backend!$B$4/100*Table1[[#This Row],[BW40_3705]]),"")</f>
        <v/>
      </c>
      <c r="H7925" s="7" t="str">
        <f>IF(Table1[[#This Row],[Is Data Valid]]=TRUE,((Table1[[#This Row],[Birthweight (grams)]]*0.9/Table1[[#This Row],[BW_GA]])-1)/(Backend!$B$4/100*Table1[[#This Row],[BW40_3705]]),"")</f>
        <v/>
      </c>
      <c r="I7925" s="7" t="str">
        <f>IF(Table1[[#This Row],[Is Data Valid]]=TRUE,((Table1[[#This Row],[Birthweight (grams)]]*1.1/Table1[[#This Row],[BW_GA]])-1)/(Backend!$B$4/100*Table1[[#This Row],[BW40_3705]]),"")</f>
        <v/>
      </c>
      <c r="J7925" s="7" t="str">
        <f>IF(Table1[[#This Row],[Is Data Valid]]=TRUE,_xlfn.NORM.S.DIST(Table1[[#This Row],[Birthweight Z-Score]],TRUE)*100,"")</f>
        <v/>
      </c>
      <c r="K7925" s="7" t="str">
        <f>IF(Table1[[#This Row],[Is Data Valid]]=TRUE,_xlfn.NORM.S.DIST(Table1[[#This Row],[Birthweight Z-Score (BW-10%)]],TRUE)*100,"")</f>
        <v/>
      </c>
      <c r="L7925" s="7" t="str">
        <f>IF(Table1[[#This Row],[Is Data Valid]]=TRUE,_xlfn.NORM.S.DIST(Table1[[#This Row],[Birthweight Z-Score (BW+10%)]],TRUE)*100,"")</f>
        <v/>
      </c>
    </row>
    <row r="7926" spans="1:12" x14ac:dyDescent="0.35">
      <c r="A7926" s="3"/>
      <c r="B7926" s="2"/>
      <c r="C7926" s="2"/>
      <c r="D7926" s="2" t="b">
        <f>IF(AND(NOT(ISBLANK(Table1[[#This Row],[Fetal Sex (Male, Female or Unknown)]])),ISNUMBER(Table1[[#This Row],[Birthweight (grams)]]),ISNUMBER(Table1[[#This Row],[Gestation (days)]])),TRUE,FALSE)</f>
        <v>0</v>
      </c>
      <c r="E7926" s="2" t="str">
        <f>IF(Table1[[#This Row],[Is Data Valid]]=TRUE,IF(Table1[[#This Row],[Fetal Sex (Male, Female or Unknown)]]="Male",Backend!$C$6,IF(Table1[[#This Row],[Fetal Sex (Male, Female or Unknown)]]="Female",Backend!$C$7,IF(Table1[[#This Row],[Fetal Sex (Male, Female or Unknown)]]="Unknown",Backend!$C$8,"Error"))),"")</f>
        <v/>
      </c>
      <c r="F7926" s="8" t="str">
        <f>IF(Table1[[#This Row],[Is Data Valid]]=TRUE,EXP(0.578+0.332*((Table1[[#This Row],[Gestation (days)]]+0.5)/7)-0.00354*((Table1[[#This Row],[Gestation (days)]]+0.5)/7)^2)*Table1[[#This Row],[BW40_3705]],"")</f>
        <v/>
      </c>
      <c r="G7926" s="2" t="str">
        <f>IF(Table1[[#This Row],[Is Data Valid]]=TRUE,((Table1[[#This Row],[Birthweight (grams)]]/Table1[[#This Row],[BW_GA]])-1)/(Backend!$B$4/100*Table1[[#This Row],[BW40_3705]]),"")</f>
        <v/>
      </c>
      <c r="H7926" s="7" t="str">
        <f>IF(Table1[[#This Row],[Is Data Valid]]=TRUE,((Table1[[#This Row],[Birthweight (grams)]]*0.9/Table1[[#This Row],[BW_GA]])-1)/(Backend!$B$4/100*Table1[[#This Row],[BW40_3705]]),"")</f>
        <v/>
      </c>
      <c r="I7926" s="7" t="str">
        <f>IF(Table1[[#This Row],[Is Data Valid]]=TRUE,((Table1[[#This Row],[Birthweight (grams)]]*1.1/Table1[[#This Row],[BW_GA]])-1)/(Backend!$B$4/100*Table1[[#This Row],[BW40_3705]]),"")</f>
        <v/>
      </c>
      <c r="J7926" s="7" t="str">
        <f>IF(Table1[[#This Row],[Is Data Valid]]=TRUE,_xlfn.NORM.S.DIST(Table1[[#This Row],[Birthweight Z-Score]],TRUE)*100,"")</f>
        <v/>
      </c>
      <c r="K7926" s="7" t="str">
        <f>IF(Table1[[#This Row],[Is Data Valid]]=TRUE,_xlfn.NORM.S.DIST(Table1[[#This Row],[Birthweight Z-Score (BW-10%)]],TRUE)*100,"")</f>
        <v/>
      </c>
      <c r="L7926" s="7" t="str">
        <f>IF(Table1[[#This Row],[Is Data Valid]]=TRUE,_xlfn.NORM.S.DIST(Table1[[#This Row],[Birthweight Z-Score (BW+10%)]],TRUE)*100,"")</f>
        <v/>
      </c>
    </row>
    <row r="7927" spans="1:12" x14ac:dyDescent="0.35">
      <c r="A7927" s="3"/>
      <c r="B7927" s="2"/>
      <c r="C7927" s="2"/>
      <c r="D7927" s="2" t="b">
        <f>IF(AND(NOT(ISBLANK(Table1[[#This Row],[Fetal Sex (Male, Female or Unknown)]])),ISNUMBER(Table1[[#This Row],[Birthweight (grams)]]),ISNUMBER(Table1[[#This Row],[Gestation (days)]])),TRUE,FALSE)</f>
        <v>0</v>
      </c>
      <c r="E7927" s="2" t="str">
        <f>IF(Table1[[#This Row],[Is Data Valid]]=TRUE,IF(Table1[[#This Row],[Fetal Sex (Male, Female or Unknown)]]="Male",Backend!$C$6,IF(Table1[[#This Row],[Fetal Sex (Male, Female or Unknown)]]="Female",Backend!$C$7,IF(Table1[[#This Row],[Fetal Sex (Male, Female or Unknown)]]="Unknown",Backend!$C$8,"Error"))),"")</f>
        <v/>
      </c>
      <c r="F7927" s="8" t="str">
        <f>IF(Table1[[#This Row],[Is Data Valid]]=TRUE,EXP(0.578+0.332*((Table1[[#This Row],[Gestation (days)]]+0.5)/7)-0.00354*((Table1[[#This Row],[Gestation (days)]]+0.5)/7)^2)*Table1[[#This Row],[BW40_3705]],"")</f>
        <v/>
      </c>
      <c r="G7927" s="2" t="str">
        <f>IF(Table1[[#This Row],[Is Data Valid]]=TRUE,((Table1[[#This Row],[Birthweight (grams)]]/Table1[[#This Row],[BW_GA]])-1)/(Backend!$B$4/100*Table1[[#This Row],[BW40_3705]]),"")</f>
        <v/>
      </c>
      <c r="H7927" s="7" t="str">
        <f>IF(Table1[[#This Row],[Is Data Valid]]=TRUE,((Table1[[#This Row],[Birthweight (grams)]]*0.9/Table1[[#This Row],[BW_GA]])-1)/(Backend!$B$4/100*Table1[[#This Row],[BW40_3705]]),"")</f>
        <v/>
      </c>
      <c r="I7927" s="7" t="str">
        <f>IF(Table1[[#This Row],[Is Data Valid]]=TRUE,((Table1[[#This Row],[Birthweight (grams)]]*1.1/Table1[[#This Row],[BW_GA]])-1)/(Backend!$B$4/100*Table1[[#This Row],[BW40_3705]]),"")</f>
        <v/>
      </c>
      <c r="J7927" s="7" t="str">
        <f>IF(Table1[[#This Row],[Is Data Valid]]=TRUE,_xlfn.NORM.S.DIST(Table1[[#This Row],[Birthweight Z-Score]],TRUE)*100,"")</f>
        <v/>
      </c>
      <c r="K7927" s="7" t="str">
        <f>IF(Table1[[#This Row],[Is Data Valid]]=TRUE,_xlfn.NORM.S.DIST(Table1[[#This Row],[Birthweight Z-Score (BW-10%)]],TRUE)*100,"")</f>
        <v/>
      </c>
      <c r="L7927" s="7" t="str">
        <f>IF(Table1[[#This Row],[Is Data Valid]]=TRUE,_xlfn.NORM.S.DIST(Table1[[#This Row],[Birthweight Z-Score (BW+10%)]],TRUE)*100,"")</f>
        <v/>
      </c>
    </row>
    <row r="7928" spans="1:12" x14ac:dyDescent="0.35">
      <c r="A7928" s="3"/>
      <c r="B7928" s="2"/>
      <c r="C7928" s="2"/>
      <c r="D7928" s="2" t="b">
        <f>IF(AND(NOT(ISBLANK(Table1[[#This Row],[Fetal Sex (Male, Female or Unknown)]])),ISNUMBER(Table1[[#This Row],[Birthweight (grams)]]),ISNUMBER(Table1[[#This Row],[Gestation (days)]])),TRUE,FALSE)</f>
        <v>0</v>
      </c>
      <c r="E7928" s="2" t="str">
        <f>IF(Table1[[#This Row],[Is Data Valid]]=TRUE,IF(Table1[[#This Row],[Fetal Sex (Male, Female or Unknown)]]="Male",Backend!$C$6,IF(Table1[[#This Row],[Fetal Sex (Male, Female or Unknown)]]="Female",Backend!$C$7,IF(Table1[[#This Row],[Fetal Sex (Male, Female or Unknown)]]="Unknown",Backend!$C$8,"Error"))),"")</f>
        <v/>
      </c>
      <c r="F7928" s="8" t="str">
        <f>IF(Table1[[#This Row],[Is Data Valid]]=TRUE,EXP(0.578+0.332*((Table1[[#This Row],[Gestation (days)]]+0.5)/7)-0.00354*((Table1[[#This Row],[Gestation (days)]]+0.5)/7)^2)*Table1[[#This Row],[BW40_3705]],"")</f>
        <v/>
      </c>
      <c r="G7928" s="2" t="str">
        <f>IF(Table1[[#This Row],[Is Data Valid]]=TRUE,((Table1[[#This Row],[Birthweight (grams)]]/Table1[[#This Row],[BW_GA]])-1)/(Backend!$B$4/100*Table1[[#This Row],[BW40_3705]]),"")</f>
        <v/>
      </c>
      <c r="H7928" s="7" t="str">
        <f>IF(Table1[[#This Row],[Is Data Valid]]=TRUE,((Table1[[#This Row],[Birthweight (grams)]]*0.9/Table1[[#This Row],[BW_GA]])-1)/(Backend!$B$4/100*Table1[[#This Row],[BW40_3705]]),"")</f>
        <v/>
      </c>
      <c r="I7928" s="7" t="str">
        <f>IF(Table1[[#This Row],[Is Data Valid]]=TRUE,((Table1[[#This Row],[Birthweight (grams)]]*1.1/Table1[[#This Row],[BW_GA]])-1)/(Backend!$B$4/100*Table1[[#This Row],[BW40_3705]]),"")</f>
        <v/>
      </c>
      <c r="J7928" s="7" t="str">
        <f>IF(Table1[[#This Row],[Is Data Valid]]=TRUE,_xlfn.NORM.S.DIST(Table1[[#This Row],[Birthweight Z-Score]],TRUE)*100,"")</f>
        <v/>
      </c>
      <c r="K7928" s="7" t="str">
        <f>IF(Table1[[#This Row],[Is Data Valid]]=TRUE,_xlfn.NORM.S.DIST(Table1[[#This Row],[Birthweight Z-Score (BW-10%)]],TRUE)*100,"")</f>
        <v/>
      </c>
      <c r="L7928" s="7" t="str">
        <f>IF(Table1[[#This Row],[Is Data Valid]]=TRUE,_xlfn.NORM.S.DIST(Table1[[#This Row],[Birthweight Z-Score (BW+10%)]],TRUE)*100,"")</f>
        <v/>
      </c>
    </row>
    <row r="7929" spans="1:12" x14ac:dyDescent="0.35">
      <c r="A7929" s="3"/>
      <c r="B7929" s="2"/>
      <c r="C7929" s="2"/>
      <c r="D7929" s="2" t="b">
        <f>IF(AND(NOT(ISBLANK(Table1[[#This Row],[Fetal Sex (Male, Female or Unknown)]])),ISNUMBER(Table1[[#This Row],[Birthweight (grams)]]),ISNUMBER(Table1[[#This Row],[Gestation (days)]])),TRUE,FALSE)</f>
        <v>0</v>
      </c>
      <c r="E7929" s="2" t="str">
        <f>IF(Table1[[#This Row],[Is Data Valid]]=TRUE,IF(Table1[[#This Row],[Fetal Sex (Male, Female or Unknown)]]="Male",Backend!$C$6,IF(Table1[[#This Row],[Fetal Sex (Male, Female or Unknown)]]="Female",Backend!$C$7,IF(Table1[[#This Row],[Fetal Sex (Male, Female or Unknown)]]="Unknown",Backend!$C$8,"Error"))),"")</f>
        <v/>
      </c>
      <c r="F7929" s="8" t="str">
        <f>IF(Table1[[#This Row],[Is Data Valid]]=TRUE,EXP(0.578+0.332*((Table1[[#This Row],[Gestation (days)]]+0.5)/7)-0.00354*((Table1[[#This Row],[Gestation (days)]]+0.5)/7)^2)*Table1[[#This Row],[BW40_3705]],"")</f>
        <v/>
      </c>
      <c r="G7929" s="2" t="str">
        <f>IF(Table1[[#This Row],[Is Data Valid]]=TRUE,((Table1[[#This Row],[Birthweight (grams)]]/Table1[[#This Row],[BW_GA]])-1)/(Backend!$B$4/100*Table1[[#This Row],[BW40_3705]]),"")</f>
        <v/>
      </c>
      <c r="H7929" s="7" t="str">
        <f>IF(Table1[[#This Row],[Is Data Valid]]=TRUE,((Table1[[#This Row],[Birthweight (grams)]]*0.9/Table1[[#This Row],[BW_GA]])-1)/(Backend!$B$4/100*Table1[[#This Row],[BW40_3705]]),"")</f>
        <v/>
      </c>
      <c r="I7929" s="7" t="str">
        <f>IF(Table1[[#This Row],[Is Data Valid]]=TRUE,((Table1[[#This Row],[Birthweight (grams)]]*1.1/Table1[[#This Row],[BW_GA]])-1)/(Backend!$B$4/100*Table1[[#This Row],[BW40_3705]]),"")</f>
        <v/>
      </c>
      <c r="J7929" s="7" t="str">
        <f>IF(Table1[[#This Row],[Is Data Valid]]=TRUE,_xlfn.NORM.S.DIST(Table1[[#This Row],[Birthweight Z-Score]],TRUE)*100,"")</f>
        <v/>
      </c>
      <c r="K7929" s="7" t="str">
        <f>IF(Table1[[#This Row],[Is Data Valid]]=TRUE,_xlfn.NORM.S.DIST(Table1[[#This Row],[Birthweight Z-Score (BW-10%)]],TRUE)*100,"")</f>
        <v/>
      </c>
      <c r="L7929" s="7" t="str">
        <f>IF(Table1[[#This Row],[Is Data Valid]]=TRUE,_xlfn.NORM.S.DIST(Table1[[#This Row],[Birthweight Z-Score (BW+10%)]],TRUE)*100,"")</f>
        <v/>
      </c>
    </row>
    <row r="7930" spans="1:12" x14ac:dyDescent="0.35">
      <c r="A7930" s="3"/>
      <c r="B7930" s="2"/>
      <c r="C7930" s="2"/>
      <c r="D7930" s="2" t="b">
        <f>IF(AND(NOT(ISBLANK(Table1[[#This Row],[Fetal Sex (Male, Female or Unknown)]])),ISNUMBER(Table1[[#This Row],[Birthweight (grams)]]),ISNUMBER(Table1[[#This Row],[Gestation (days)]])),TRUE,FALSE)</f>
        <v>0</v>
      </c>
      <c r="E7930" s="2" t="str">
        <f>IF(Table1[[#This Row],[Is Data Valid]]=TRUE,IF(Table1[[#This Row],[Fetal Sex (Male, Female or Unknown)]]="Male",Backend!$C$6,IF(Table1[[#This Row],[Fetal Sex (Male, Female or Unknown)]]="Female",Backend!$C$7,IF(Table1[[#This Row],[Fetal Sex (Male, Female or Unknown)]]="Unknown",Backend!$C$8,"Error"))),"")</f>
        <v/>
      </c>
      <c r="F7930" s="8" t="str">
        <f>IF(Table1[[#This Row],[Is Data Valid]]=TRUE,EXP(0.578+0.332*((Table1[[#This Row],[Gestation (days)]]+0.5)/7)-0.00354*((Table1[[#This Row],[Gestation (days)]]+0.5)/7)^2)*Table1[[#This Row],[BW40_3705]],"")</f>
        <v/>
      </c>
      <c r="G7930" s="2" t="str">
        <f>IF(Table1[[#This Row],[Is Data Valid]]=TRUE,((Table1[[#This Row],[Birthweight (grams)]]/Table1[[#This Row],[BW_GA]])-1)/(Backend!$B$4/100*Table1[[#This Row],[BW40_3705]]),"")</f>
        <v/>
      </c>
      <c r="H7930" s="7" t="str">
        <f>IF(Table1[[#This Row],[Is Data Valid]]=TRUE,((Table1[[#This Row],[Birthweight (grams)]]*0.9/Table1[[#This Row],[BW_GA]])-1)/(Backend!$B$4/100*Table1[[#This Row],[BW40_3705]]),"")</f>
        <v/>
      </c>
      <c r="I7930" s="7" t="str">
        <f>IF(Table1[[#This Row],[Is Data Valid]]=TRUE,((Table1[[#This Row],[Birthweight (grams)]]*1.1/Table1[[#This Row],[BW_GA]])-1)/(Backend!$B$4/100*Table1[[#This Row],[BW40_3705]]),"")</f>
        <v/>
      </c>
      <c r="J7930" s="7" t="str">
        <f>IF(Table1[[#This Row],[Is Data Valid]]=TRUE,_xlfn.NORM.S.DIST(Table1[[#This Row],[Birthweight Z-Score]],TRUE)*100,"")</f>
        <v/>
      </c>
      <c r="K7930" s="7" t="str">
        <f>IF(Table1[[#This Row],[Is Data Valid]]=TRUE,_xlfn.NORM.S.DIST(Table1[[#This Row],[Birthweight Z-Score (BW-10%)]],TRUE)*100,"")</f>
        <v/>
      </c>
      <c r="L7930" s="7" t="str">
        <f>IF(Table1[[#This Row],[Is Data Valid]]=TRUE,_xlfn.NORM.S.DIST(Table1[[#This Row],[Birthweight Z-Score (BW+10%)]],TRUE)*100,"")</f>
        <v/>
      </c>
    </row>
    <row r="7931" spans="1:12" x14ac:dyDescent="0.35">
      <c r="A7931" s="3"/>
      <c r="B7931" s="2"/>
      <c r="C7931" s="2"/>
      <c r="D7931" s="2" t="b">
        <f>IF(AND(NOT(ISBLANK(Table1[[#This Row],[Fetal Sex (Male, Female or Unknown)]])),ISNUMBER(Table1[[#This Row],[Birthweight (grams)]]),ISNUMBER(Table1[[#This Row],[Gestation (days)]])),TRUE,FALSE)</f>
        <v>0</v>
      </c>
      <c r="E7931" s="2" t="str">
        <f>IF(Table1[[#This Row],[Is Data Valid]]=TRUE,IF(Table1[[#This Row],[Fetal Sex (Male, Female or Unknown)]]="Male",Backend!$C$6,IF(Table1[[#This Row],[Fetal Sex (Male, Female or Unknown)]]="Female",Backend!$C$7,IF(Table1[[#This Row],[Fetal Sex (Male, Female or Unknown)]]="Unknown",Backend!$C$8,"Error"))),"")</f>
        <v/>
      </c>
      <c r="F7931" s="8" t="str">
        <f>IF(Table1[[#This Row],[Is Data Valid]]=TRUE,EXP(0.578+0.332*((Table1[[#This Row],[Gestation (days)]]+0.5)/7)-0.00354*((Table1[[#This Row],[Gestation (days)]]+0.5)/7)^2)*Table1[[#This Row],[BW40_3705]],"")</f>
        <v/>
      </c>
      <c r="G7931" s="2" t="str">
        <f>IF(Table1[[#This Row],[Is Data Valid]]=TRUE,((Table1[[#This Row],[Birthweight (grams)]]/Table1[[#This Row],[BW_GA]])-1)/(Backend!$B$4/100*Table1[[#This Row],[BW40_3705]]),"")</f>
        <v/>
      </c>
      <c r="H7931" s="7" t="str">
        <f>IF(Table1[[#This Row],[Is Data Valid]]=TRUE,((Table1[[#This Row],[Birthweight (grams)]]*0.9/Table1[[#This Row],[BW_GA]])-1)/(Backend!$B$4/100*Table1[[#This Row],[BW40_3705]]),"")</f>
        <v/>
      </c>
      <c r="I7931" s="7" t="str">
        <f>IF(Table1[[#This Row],[Is Data Valid]]=TRUE,((Table1[[#This Row],[Birthweight (grams)]]*1.1/Table1[[#This Row],[BW_GA]])-1)/(Backend!$B$4/100*Table1[[#This Row],[BW40_3705]]),"")</f>
        <v/>
      </c>
      <c r="J7931" s="7" t="str">
        <f>IF(Table1[[#This Row],[Is Data Valid]]=TRUE,_xlfn.NORM.S.DIST(Table1[[#This Row],[Birthweight Z-Score]],TRUE)*100,"")</f>
        <v/>
      </c>
      <c r="K7931" s="7" t="str">
        <f>IF(Table1[[#This Row],[Is Data Valid]]=TRUE,_xlfn.NORM.S.DIST(Table1[[#This Row],[Birthweight Z-Score (BW-10%)]],TRUE)*100,"")</f>
        <v/>
      </c>
      <c r="L7931" s="7" t="str">
        <f>IF(Table1[[#This Row],[Is Data Valid]]=TRUE,_xlfn.NORM.S.DIST(Table1[[#This Row],[Birthweight Z-Score (BW+10%)]],TRUE)*100,"")</f>
        <v/>
      </c>
    </row>
    <row r="7932" spans="1:12" x14ac:dyDescent="0.35">
      <c r="A7932" s="3"/>
      <c r="B7932" s="2"/>
      <c r="C7932" s="2"/>
      <c r="D7932" s="2" t="b">
        <f>IF(AND(NOT(ISBLANK(Table1[[#This Row],[Fetal Sex (Male, Female or Unknown)]])),ISNUMBER(Table1[[#This Row],[Birthweight (grams)]]),ISNUMBER(Table1[[#This Row],[Gestation (days)]])),TRUE,FALSE)</f>
        <v>0</v>
      </c>
      <c r="E7932" s="2" t="str">
        <f>IF(Table1[[#This Row],[Is Data Valid]]=TRUE,IF(Table1[[#This Row],[Fetal Sex (Male, Female or Unknown)]]="Male",Backend!$C$6,IF(Table1[[#This Row],[Fetal Sex (Male, Female or Unknown)]]="Female",Backend!$C$7,IF(Table1[[#This Row],[Fetal Sex (Male, Female or Unknown)]]="Unknown",Backend!$C$8,"Error"))),"")</f>
        <v/>
      </c>
      <c r="F7932" s="8" t="str">
        <f>IF(Table1[[#This Row],[Is Data Valid]]=TRUE,EXP(0.578+0.332*((Table1[[#This Row],[Gestation (days)]]+0.5)/7)-0.00354*((Table1[[#This Row],[Gestation (days)]]+0.5)/7)^2)*Table1[[#This Row],[BW40_3705]],"")</f>
        <v/>
      </c>
      <c r="G7932" s="2" t="str">
        <f>IF(Table1[[#This Row],[Is Data Valid]]=TRUE,((Table1[[#This Row],[Birthweight (grams)]]/Table1[[#This Row],[BW_GA]])-1)/(Backend!$B$4/100*Table1[[#This Row],[BW40_3705]]),"")</f>
        <v/>
      </c>
      <c r="H7932" s="7" t="str">
        <f>IF(Table1[[#This Row],[Is Data Valid]]=TRUE,((Table1[[#This Row],[Birthweight (grams)]]*0.9/Table1[[#This Row],[BW_GA]])-1)/(Backend!$B$4/100*Table1[[#This Row],[BW40_3705]]),"")</f>
        <v/>
      </c>
      <c r="I7932" s="7" t="str">
        <f>IF(Table1[[#This Row],[Is Data Valid]]=TRUE,((Table1[[#This Row],[Birthweight (grams)]]*1.1/Table1[[#This Row],[BW_GA]])-1)/(Backend!$B$4/100*Table1[[#This Row],[BW40_3705]]),"")</f>
        <v/>
      </c>
      <c r="J7932" s="7" t="str">
        <f>IF(Table1[[#This Row],[Is Data Valid]]=TRUE,_xlfn.NORM.S.DIST(Table1[[#This Row],[Birthweight Z-Score]],TRUE)*100,"")</f>
        <v/>
      </c>
      <c r="K7932" s="7" t="str">
        <f>IF(Table1[[#This Row],[Is Data Valid]]=TRUE,_xlfn.NORM.S.DIST(Table1[[#This Row],[Birthweight Z-Score (BW-10%)]],TRUE)*100,"")</f>
        <v/>
      </c>
      <c r="L7932" s="7" t="str">
        <f>IF(Table1[[#This Row],[Is Data Valid]]=TRUE,_xlfn.NORM.S.DIST(Table1[[#This Row],[Birthweight Z-Score (BW+10%)]],TRUE)*100,"")</f>
        <v/>
      </c>
    </row>
    <row r="7933" spans="1:12" x14ac:dyDescent="0.35">
      <c r="A7933" s="3"/>
      <c r="B7933" s="2"/>
      <c r="C7933" s="2"/>
      <c r="D7933" s="2" t="b">
        <f>IF(AND(NOT(ISBLANK(Table1[[#This Row],[Fetal Sex (Male, Female or Unknown)]])),ISNUMBER(Table1[[#This Row],[Birthweight (grams)]]),ISNUMBER(Table1[[#This Row],[Gestation (days)]])),TRUE,FALSE)</f>
        <v>0</v>
      </c>
      <c r="E7933" s="2" t="str">
        <f>IF(Table1[[#This Row],[Is Data Valid]]=TRUE,IF(Table1[[#This Row],[Fetal Sex (Male, Female or Unknown)]]="Male",Backend!$C$6,IF(Table1[[#This Row],[Fetal Sex (Male, Female or Unknown)]]="Female",Backend!$C$7,IF(Table1[[#This Row],[Fetal Sex (Male, Female or Unknown)]]="Unknown",Backend!$C$8,"Error"))),"")</f>
        <v/>
      </c>
      <c r="F7933" s="8" t="str">
        <f>IF(Table1[[#This Row],[Is Data Valid]]=TRUE,EXP(0.578+0.332*((Table1[[#This Row],[Gestation (days)]]+0.5)/7)-0.00354*((Table1[[#This Row],[Gestation (days)]]+0.5)/7)^2)*Table1[[#This Row],[BW40_3705]],"")</f>
        <v/>
      </c>
      <c r="G7933" s="2" t="str">
        <f>IF(Table1[[#This Row],[Is Data Valid]]=TRUE,((Table1[[#This Row],[Birthweight (grams)]]/Table1[[#This Row],[BW_GA]])-1)/(Backend!$B$4/100*Table1[[#This Row],[BW40_3705]]),"")</f>
        <v/>
      </c>
      <c r="H7933" s="7" t="str">
        <f>IF(Table1[[#This Row],[Is Data Valid]]=TRUE,((Table1[[#This Row],[Birthweight (grams)]]*0.9/Table1[[#This Row],[BW_GA]])-1)/(Backend!$B$4/100*Table1[[#This Row],[BW40_3705]]),"")</f>
        <v/>
      </c>
      <c r="I7933" s="7" t="str">
        <f>IF(Table1[[#This Row],[Is Data Valid]]=TRUE,((Table1[[#This Row],[Birthweight (grams)]]*1.1/Table1[[#This Row],[BW_GA]])-1)/(Backend!$B$4/100*Table1[[#This Row],[BW40_3705]]),"")</f>
        <v/>
      </c>
      <c r="J7933" s="7" t="str">
        <f>IF(Table1[[#This Row],[Is Data Valid]]=TRUE,_xlfn.NORM.S.DIST(Table1[[#This Row],[Birthweight Z-Score]],TRUE)*100,"")</f>
        <v/>
      </c>
      <c r="K7933" s="7" t="str">
        <f>IF(Table1[[#This Row],[Is Data Valid]]=TRUE,_xlfn.NORM.S.DIST(Table1[[#This Row],[Birthweight Z-Score (BW-10%)]],TRUE)*100,"")</f>
        <v/>
      </c>
      <c r="L7933" s="7" t="str">
        <f>IF(Table1[[#This Row],[Is Data Valid]]=TRUE,_xlfn.NORM.S.DIST(Table1[[#This Row],[Birthweight Z-Score (BW+10%)]],TRUE)*100,"")</f>
        <v/>
      </c>
    </row>
    <row r="7934" spans="1:12" x14ac:dyDescent="0.35">
      <c r="A7934" s="3"/>
      <c r="B7934" s="2"/>
      <c r="C7934" s="2"/>
      <c r="D7934" s="2" t="b">
        <f>IF(AND(NOT(ISBLANK(Table1[[#This Row],[Fetal Sex (Male, Female or Unknown)]])),ISNUMBER(Table1[[#This Row],[Birthweight (grams)]]),ISNUMBER(Table1[[#This Row],[Gestation (days)]])),TRUE,FALSE)</f>
        <v>0</v>
      </c>
      <c r="E7934" s="2" t="str">
        <f>IF(Table1[[#This Row],[Is Data Valid]]=TRUE,IF(Table1[[#This Row],[Fetal Sex (Male, Female or Unknown)]]="Male",Backend!$C$6,IF(Table1[[#This Row],[Fetal Sex (Male, Female or Unknown)]]="Female",Backend!$C$7,IF(Table1[[#This Row],[Fetal Sex (Male, Female or Unknown)]]="Unknown",Backend!$C$8,"Error"))),"")</f>
        <v/>
      </c>
      <c r="F7934" s="8" t="str">
        <f>IF(Table1[[#This Row],[Is Data Valid]]=TRUE,EXP(0.578+0.332*((Table1[[#This Row],[Gestation (days)]]+0.5)/7)-0.00354*((Table1[[#This Row],[Gestation (days)]]+0.5)/7)^2)*Table1[[#This Row],[BW40_3705]],"")</f>
        <v/>
      </c>
      <c r="G7934" s="2" t="str">
        <f>IF(Table1[[#This Row],[Is Data Valid]]=TRUE,((Table1[[#This Row],[Birthweight (grams)]]/Table1[[#This Row],[BW_GA]])-1)/(Backend!$B$4/100*Table1[[#This Row],[BW40_3705]]),"")</f>
        <v/>
      </c>
      <c r="H7934" s="7" t="str">
        <f>IF(Table1[[#This Row],[Is Data Valid]]=TRUE,((Table1[[#This Row],[Birthweight (grams)]]*0.9/Table1[[#This Row],[BW_GA]])-1)/(Backend!$B$4/100*Table1[[#This Row],[BW40_3705]]),"")</f>
        <v/>
      </c>
      <c r="I7934" s="7" t="str">
        <f>IF(Table1[[#This Row],[Is Data Valid]]=TRUE,((Table1[[#This Row],[Birthweight (grams)]]*1.1/Table1[[#This Row],[BW_GA]])-1)/(Backend!$B$4/100*Table1[[#This Row],[BW40_3705]]),"")</f>
        <v/>
      </c>
      <c r="J7934" s="7" t="str">
        <f>IF(Table1[[#This Row],[Is Data Valid]]=TRUE,_xlfn.NORM.S.DIST(Table1[[#This Row],[Birthweight Z-Score]],TRUE)*100,"")</f>
        <v/>
      </c>
      <c r="K7934" s="7" t="str">
        <f>IF(Table1[[#This Row],[Is Data Valid]]=TRUE,_xlfn.NORM.S.DIST(Table1[[#This Row],[Birthweight Z-Score (BW-10%)]],TRUE)*100,"")</f>
        <v/>
      </c>
      <c r="L7934" s="7" t="str">
        <f>IF(Table1[[#This Row],[Is Data Valid]]=TRUE,_xlfn.NORM.S.DIST(Table1[[#This Row],[Birthweight Z-Score (BW+10%)]],TRUE)*100,"")</f>
        <v/>
      </c>
    </row>
    <row r="7935" spans="1:12" x14ac:dyDescent="0.35">
      <c r="A7935" s="3"/>
      <c r="B7935" s="2"/>
      <c r="C7935" s="2"/>
      <c r="D7935" s="2" t="b">
        <f>IF(AND(NOT(ISBLANK(Table1[[#This Row],[Fetal Sex (Male, Female or Unknown)]])),ISNUMBER(Table1[[#This Row],[Birthweight (grams)]]),ISNUMBER(Table1[[#This Row],[Gestation (days)]])),TRUE,FALSE)</f>
        <v>0</v>
      </c>
      <c r="E7935" s="2" t="str">
        <f>IF(Table1[[#This Row],[Is Data Valid]]=TRUE,IF(Table1[[#This Row],[Fetal Sex (Male, Female or Unknown)]]="Male",Backend!$C$6,IF(Table1[[#This Row],[Fetal Sex (Male, Female or Unknown)]]="Female",Backend!$C$7,IF(Table1[[#This Row],[Fetal Sex (Male, Female or Unknown)]]="Unknown",Backend!$C$8,"Error"))),"")</f>
        <v/>
      </c>
      <c r="F7935" s="8" t="str">
        <f>IF(Table1[[#This Row],[Is Data Valid]]=TRUE,EXP(0.578+0.332*((Table1[[#This Row],[Gestation (days)]]+0.5)/7)-0.00354*((Table1[[#This Row],[Gestation (days)]]+0.5)/7)^2)*Table1[[#This Row],[BW40_3705]],"")</f>
        <v/>
      </c>
      <c r="G7935" s="2" t="str">
        <f>IF(Table1[[#This Row],[Is Data Valid]]=TRUE,((Table1[[#This Row],[Birthweight (grams)]]/Table1[[#This Row],[BW_GA]])-1)/(Backend!$B$4/100*Table1[[#This Row],[BW40_3705]]),"")</f>
        <v/>
      </c>
      <c r="H7935" s="7" t="str">
        <f>IF(Table1[[#This Row],[Is Data Valid]]=TRUE,((Table1[[#This Row],[Birthweight (grams)]]*0.9/Table1[[#This Row],[BW_GA]])-1)/(Backend!$B$4/100*Table1[[#This Row],[BW40_3705]]),"")</f>
        <v/>
      </c>
      <c r="I7935" s="7" t="str">
        <f>IF(Table1[[#This Row],[Is Data Valid]]=TRUE,((Table1[[#This Row],[Birthweight (grams)]]*1.1/Table1[[#This Row],[BW_GA]])-1)/(Backend!$B$4/100*Table1[[#This Row],[BW40_3705]]),"")</f>
        <v/>
      </c>
      <c r="J7935" s="7" t="str">
        <f>IF(Table1[[#This Row],[Is Data Valid]]=TRUE,_xlfn.NORM.S.DIST(Table1[[#This Row],[Birthweight Z-Score]],TRUE)*100,"")</f>
        <v/>
      </c>
      <c r="K7935" s="7" t="str">
        <f>IF(Table1[[#This Row],[Is Data Valid]]=TRUE,_xlfn.NORM.S.DIST(Table1[[#This Row],[Birthweight Z-Score (BW-10%)]],TRUE)*100,"")</f>
        <v/>
      </c>
      <c r="L7935" s="7" t="str">
        <f>IF(Table1[[#This Row],[Is Data Valid]]=TRUE,_xlfn.NORM.S.DIST(Table1[[#This Row],[Birthweight Z-Score (BW+10%)]],TRUE)*100,"")</f>
        <v/>
      </c>
    </row>
    <row r="7936" spans="1:12" x14ac:dyDescent="0.35">
      <c r="A7936" s="3"/>
      <c r="B7936" s="2"/>
      <c r="C7936" s="2"/>
      <c r="D7936" s="2" t="b">
        <f>IF(AND(NOT(ISBLANK(Table1[[#This Row],[Fetal Sex (Male, Female or Unknown)]])),ISNUMBER(Table1[[#This Row],[Birthweight (grams)]]),ISNUMBER(Table1[[#This Row],[Gestation (days)]])),TRUE,FALSE)</f>
        <v>0</v>
      </c>
      <c r="E7936" s="2" t="str">
        <f>IF(Table1[[#This Row],[Is Data Valid]]=TRUE,IF(Table1[[#This Row],[Fetal Sex (Male, Female or Unknown)]]="Male",Backend!$C$6,IF(Table1[[#This Row],[Fetal Sex (Male, Female or Unknown)]]="Female",Backend!$C$7,IF(Table1[[#This Row],[Fetal Sex (Male, Female or Unknown)]]="Unknown",Backend!$C$8,"Error"))),"")</f>
        <v/>
      </c>
      <c r="F7936" s="8" t="str">
        <f>IF(Table1[[#This Row],[Is Data Valid]]=TRUE,EXP(0.578+0.332*((Table1[[#This Row],[Gestation (days)]]+0.5)/7)-0.00354*((Table1[[#This Row],[Gestation (days)]]+0.5)/7)^2)*Table1[[#This Row],[BW40_3705]],"")</f>
        <v/>
      </c>
      <c r="G7936" s="2" t="str">
        <f>IF(Table1[[#This Row],[Is Data Valid]]=TRUE,((Table1[[#This Row],[Birthweight (grams)]]/Table1[[#This Row],[BW_GA]])-1)/(Backend!$B$4/100*Table1[[#This Row],[BW40_3705]]),"")</f>
        <v/>
      </c>
      <c r="H7936" s="7" t="str">
        <f>IF(Table1[[#This Row],[Is Data Valid]]=TRUE,((Table1[[#This Row],[Birthweight (grams)]]*0.9/Table1[[#This Row],[BW_GA]])-1)/(Backend!$B$4/100*Table1[[#This Row],[BW40_3705]]),"")</f>
        <v/>
      </c>
      <c r="I7936" s="7" t="str">
        <f>IF(Table1[[#This Row],[Is Data Valid]]=TRUE,((Table1[[#This Row],[Birthweight (grams)]]*1.1/Table1[[#This Row],[BW_GA]])-1)/(Backend!$B$4/100*Table1[[#This Row],[BW40_3705]]),"")</f>
        <v/>
      </c>
      <c r="J7936" s="7" t="str">
        <f>IF(Table1[[#This Row],[Is Data Valid]]=TRUE,_xlfn.NORM.S.DIST(Table1[[#This Row],[Birthweight Z-Score]],TRUE)*100,"")</f>
        <v/>
      </c>
      <c r="K7936" s="7" t="str">
        <f>IF(Table1[[#This Row],[Is Data Valid]]=TRUE,_xlfn.NORM.S.DIST(Table1[[#This Row],[Birthweight Z-Score (BW-10%)]],TRUE)*100,"")</f>
        <v/>
      </c>
      <c r="L7936" s="7" t="str">
        <f>IF(Table1[[#This Row],[Is Data Valid]]=TRUE,_xlfn.NORM.S.DIST(Table1[[#This Row],[Birthweight Z-Score (BW+10%)]],TRUE)*100,"")</f>
        <v/>
      </c>
    </row>
    <row r="7937" spans="1:12" x14ac:dyDescent="0.35">
      <c r="A7937" s="3"/>
      <c r="B7937" s="2"/>
      <c r="C7937" s="2"/>
      <c r="D7937" s="2" t="b">
        <f>IF(AND(NOT(ISBLANK(Table1[[#This Row],[Fetal Sex (Male, Female or Unknown)]])),ISNUMBER(Table1[[#This Row],[Birthweight (grams)]]),ISNUMBER(Table1[[#This Row],[Gestation (days)]])),TRUE,FALSE)</f>
        <v>0</v>
      </c>
      <c r="E7937" s="2" t="str">
        <f>IF(Table1[[#This Row],[Is Data Valid]]=TRUE,IF(Table1[[#This Row],[Fetal Sex (Male, Female or Unknown)]]="Male",Backend!$C$6,IF(Table1[[#This Row],[Fetal Sex (Male, Female or Unknown)]]="Female",Backend!$C$7,IF(Table1[[#This Row],[Fetal Sex (Male, Female or Unknown)]]="Unknown",Backend!$C$8,"Error"))),"")</f>
        <v/>
      </c>
      <c r="F7937" s="8" t="str">
        <f>IF(Table1[[#This Row],[Is Data Valid]]=TRUE,EXP(0.578+0.332*((Table1[[#This Row],[Gestation (days)]]+0.5)/7)-0.00354*((Table1[[#This Row],[Gestation (days)]]+0.5)/7)^2)*Table1[[#This Row],[BW40_3705]],"")</f>
        <v/>
      </c>
      <c r="G7937" s="2" t="str">
        <f>IF(Table1[[#This Row],[Is Data Valid]]=TRUE,((Table1[[#This Row],[Birthweight (grams)]]/Table1[[#This Row],[BW_GA]])-1)/(Backend!$B$4/100*Table1[[#This Row],[BW40_3705]]),"")</f>
        <v/>
      </c>
      <c r="H7937" s="7" t="str">
        <f>IF(Table1[[#This Row],[Is Data Valid]]=TRUE,((Table1[[#This Row],[Birthweight (grams)]]*0.9/Table1[[#This Row],[BW_GA]])-1)/(Backend!$B$4/100*Table1[[#This Row],[BW40_3705]]),"")</f>
        <v/>
      </c>
      <c r="I7937" s="7" t="str">
        <f>IF(Table1[[#This Row],[Is Data Valid]]=TRUE,((Table1[[#This Row],[Birthweight (grams)]]*1.1/Table1[[#This Row],[BW_GA]])-1)/(Backend!$B$4/100*Table1[[#This Row],[BW40_3705]]),"")</f>
        <v/>
      </c>
      <c r="J7937" s="7" t="str">
        <f>IF(Table1[[#This Row],[Is Data Valid]]=TRUE,_xlfn.NORM.S.DIST(Table1[[#This Row],[Birthweight Z-Score]],TRUE)*100,"")</f>
        <v/>
      </c>
      <c r="K7937" s="7" t="str">
        <f>IF(Table1[[#This Row],[Is Data Valid]]=TRUE,_xlfn.NORM.S.DIST(Table1[[#This Row],[Birthweight Z-Score (BW-10%)]],TRUE)*100,"")</f>
        <v/>
      </c>
      <c r="L7937" s="7" t="str">
        <f>IF(Table1[[#This Row],[Is Data Valid]]=TRUE,_xlfn.NORM.S.DIST(Table1[[#This Row],[Birthweight Z-Score (BW+10%)]],TRUE)*100,"")</f>
        <v/>
      </c>
    </row>
    <row r="7938" spans="1:12" x14ac:dyDescent="0.35">
      <c r="A7938" s="3"/>
      <c r="B7938" s="2"/>
      <c r="C7938" s="2"/>
      <c r="D7938" s="2" t="b">
        <f>IF(AND(NOT(ISBLANK(Table1[[#This Row],[Fetal Sex (Male, Female or Unknown)]])),ISNUMBER(Table1[[#This Row],[Birthweight (grams)]]),ISNUMBER(Table1[[#This Row],[Gestation (days)]])),TRUE,FALSE)</f>
        <v>0</v>
      </c>
      <c r="E7938" s="2" t="str">
        <f>IF(Table1[[#This Row],[Is Data Valid]]=TRUE,IF(Table1[[#This Row],[Fetal Sex (Male, Female or Unknown)]]="Male",Backend!$C$6,IF(Table1[[#This Row],[Fetal Sex (Male, Female or Unknown)]]="Female",Backend!$C$7,IF(Table1[[#This Row],[Fetal Sex (Male, Female or Unknown)]]="Unknown",Backend!$C$8,"Error"))),"")</f>
        <v/>
      </c>
      <c r="F7938" s="8" t="str">
        <f>IF(Table1[[#This Row],[Is Data Valid]]=TRUE,EXP(0.578+0.332*((Table1[[#This Row],[Gestation (days)]]+0.5)/7)-0.00354*((Table1[[#This Row],[Gestation (days)]]+0.5)/7)^2)*Table1[[#This Row],[BW40_3705]],"")</f>
        <v/>
      </c>
      <c r="G7938" s="2" t="str">
        <f>IF(Table1[[#This Row],[Is Data Valid]]=TRUE,((Table1[[#This Row],[Birthweight (grams)]]/Table1[[#This Row],[BW_GA]])-1)/(Backend!$B$4/100*Table1[[#This Row],[BW40_3705]]),"")</f>
        <v/>
      </c>
      <c r="H7938" s="7" t="str">
        <f>IF(Table1[[#This Row],[Is Data Valid]]=TRUE,((Table1[[#This Row],[Birthweight (grams)]]*0.9/Table1[[#This Row],[BW_GA]])-1)/(Backend!$B$4/100*Table1[[#This Row],[BW40_3705]]),"")</f>
        <v/>
      </c>
      <c r="I7938" s="7" t="str">
        <f>IF(Table1[[#This Row],[Is Data Valid]]=TRUE,((Table1[[#This Row],[Birthweight (grams)]]*1.1/Table1[[#This Row],[BW_GA]])-1)/(Backend!$B$4/100*Table1[[#This Row],[BW40_3705]]),"")</f>
        <v/>
      </c>
      <c r="J7938" s="7" t="str">
        <f>IF(Table1[[#This Row],[Is Data Valid]]=TRUE,_xlfn.NORM.S.DIST(Table1[[#This Row],[Birthweight Z-Score]],TRUE)*100,"")</f>
        <v/>
      </c>
      <c r="K7938" s="7" t="str">
        <f>IF(Table1[[#This Row],[Is Data Valid]]=TRUE,_xlfn.NORM.S.DIST(Table1[[#This Row],[Birthweight Z-Score (BW-10%)]],TRUE)*100,"")</f>
        <v/>
      </c>
      <c r="L7938" s="7" t="str">
        <f>IF(Table1[[#This Row],[Is Data Valid]]=TRUE,_xlfn.NORM.S.DIST(Table1[[#This Row],[Birthweight Z-Score (BW+10%)]],TRUE)*100,"")</f>
        <v/>
      </c>
    </row>
    <row r="7939" spans="1:12" x14ac:dyDescent="0.35">
      <c r="A7939" s="3"/>
      <c r="B7939" s="2"/>
      <c r="C7939" s="2"/>
      <c r="D7939" s="2" t="b">
        <f>IF(AND(NOT(ISBLANK(Table1[[#This Row],[Fetal Sex (Male, Female or Unknown)]])),ISNUMBER(Table1[[#This Row],[Birthweight (grams)]]),ISNUMBER(Table1[[#This Row],[Gestation (days)]])),TRUE,FALSE)</f>
        <v>0</v>
      </c>
      <c r="E7939" s="2" t="str">
        <f>IF(Table1[[#This Row],[Is Data Valid]]=TRUE,IF(Table1[[#This Row],[Fetal Sex (Male, Female or Unknown)]]="Male",Backend!$C$6,IF(Table1[[#This Row],[Fetal Sex (Male, Female or Unknown)]]="Female",Backend!$C$7,IF(Table1[[#This Row],[Fetal Sex (Male, Female or Unknown)]]="Unknown",Backend!$C$8,"Error"))),"")</f>
        <v/>
      </c>
      <c r="F7939" s="8" t="str">
        <f>IF(Table1[[#This Row],[Is Data Valid]]=TRUE,EXP(0.578+0.332*((Table1[[#This Row],[Gestation (days)]]+0.5)/7)-0.00354*((Table1[[#This Row],[Gestation (days)]]+0.5)/7)^2)*Table1[[#This Row],[BW40_3705]],"")</f>
        <v/>
      </c>
      <c r="G7939" s="2" t="str">
        <f>IF(Table1[[#This Row],[Is Data Valid]]=TRUE,((Table1[[#This Row],[Birthweight (grams)]]/Table1[[#This Row],[BW_GA]])-1)/(Backend!$B$4/100*Table1[[#This Row],[BW40_3705]]),"")</f>
        <v/>
      </c>
      <c r="H7939" s="7" t="str">
        <f>IF(Table1[[#This Row],[Is Data Valid]]=TRUE,((Table1[[#This Row],[Birthweight (grams)]]*0.9/Table1[[#This Row],[BW_GA]])-1)/(Backend!$B$4/100*Table1[[#This Row],[BW40_3705]]),"")</f>
        <v/>
      </c>
      <c r="I7939" s="7" t="str">
        <f>IF(Table1[[#This Row],[Is Data Valid]]=TRUE,((Table1[[#This Row],[Birthweight (grams)]]*1.1/Table1[[#This Row],[BW_GA]])-1)/(Backend!$B$4/100*Table1[[#This Row],[BW40_3705]]),"")</f>
        <v/>
      </c>
      <c r="J7939" s="7" t="str">
        <f>IF(Table1[[#This Row],[Is Data Valid]]=TRUE,_xlfn.NORM.S.DIST(Table1[[#This Row],[Birthweight Z-Score]],TRUE)*100,"")</f>
        <v/>
      </c>
      <c r="K7939" s="7" t="str">
        <f>IF(Table1[[#This Row],[Is Data Valid]]=TRUE,_xlfn.NORM.S.DIST(Table1[[#This Row],[Birthweight Z-Score (BW-10%)]],TRUE)*100,"")</f>
        <v/>
      </c>
      <c r="L7939" s="7" t="str">
        <f>IF(Table1[[#This Row],[Is Data Valid]]=TRUE,_xlfn.NORM.S.DIST(Table1[[#This Row],[Birthweight Z-Score (BW+10%)]],TRUE)*100,"")</f>
        <v/>
      </c>
    </row>
    <row r="7940" spans="1:12" x14ac:dyDescent="0.35">
      <c r="A7940" s="3"/>
      <c r="B7940" s="2"/>
      <c r="C7940" s="2"/>
      <c r="D7940" s="2" t="b">
        <f>IF(AND(NOT(ISBLANK(Table1[[#This Row],[Fetal Sex (Male, Female or Unknown)]])),ISNUMBER(Table1[[#This Row],[Birthweight (grams)]]),ISNUMBER(Table1[[#This Row],[Gestation (days)]])),TRUE,FALSE)</f>
        <v>0</v>
      </c>
      <c r="E7940" s="2" t="str">
        <f>IF(Table1[[#This Row],[Is Data Valid]]=TRUE,IF(Table1[[#This Row],[Fetal Sex (Male, Female or Unknown)]]="Male",Backend!$C$6,IF(Table1[[#This Row],[Fetal Sex (Male, Female or Unknown)]]="Female",Backend!$C$7,IF(Table1[[#This Row],[Fetal Sex (Male, Female or Unknown)]]="Unknown",Backend!$C$8,"Error"))),"")</f>
        <v/>
      </c>
      <c r="F7940" s="8" t="str">
        <f>IF(Table1[[#This Row],[Is Data Valid]]=TRUE,EXP(0.578+0.332*((Table1[[#This Row],[Gestation (days)]]+0.5)/7)-0.00354*((Table1[[#This Row],[Gestation (days)]]+0.5)/7)^2)*Table1[[#This Row],[BW40_3705]],"")</f>
        <v/>
      </c>
      <c r="G7940" s="2" t="str">
        <f>IF(Table1[[#This Row],[Is Data Valid]]=TRUE,((Table1[[#This Row],[Birthweight (grams)]]/Table1[[#This Row],[BW_GA]])-1)/(Backend!$B$4/100*Table1[[#This Row],[BW40_3705]]),"")</f>
        <v/>
      </c>
      <c r="H7940" s="7" t="str">
        <f>IF(Table1[[#This Row],[Is Data Valid]]=TRUE,((Table1[[#This Row],[Birthweight (grams)]]*0.9/Table1[[#This Row],[BW_GA]])-1)/(Backend!$B$4/100*Table1[[#This Row],[BW40_3705]]),"")</f>
        <v/>
      </c>
      <c r="I7940" s="7" t="str">
        <f>IF(Table1[[#This Row],[Is Data Valid]]=TRUE,((Table1[[#This Row],[Birthweight (grams)]]*1.1/Table1[[#This Row],[BW_GA]])-1)/(Backend!$B$4/100*Table1[[#This Row],[BW40_3705]]),"")</f>
        <v/>
      </c>
      <c r="J7940" s="7" t="str">
        <f>IF(Table1[[#This Row],[Is Data Valid]]=TRUE,_xlfn.NORM.S.DIST(Table1[[#This Row],[Birthweight Z-Score]],TRUE)*100,"")</f>
        <v/>
      </c>
      <c r="K7940" s="7" t="str">
        <f>IF(Table1[[#This Row],[Is Data Valid]]=TRUE,_xlfn.NORM.S.DIST(Table1[[#This Row],[Birthweight Z-Score (BW-10%)]],TRUE)*100,"")</f>
        <v/>
      </c>
      <c r="L7940" s="7" t="str">
        <f>IF(Table1[[#This Row],[Is Data Valid]]=TRUE,_xlfn.NORM.S.DIST(Table1[[#This Row],[Birthweight Z-Score (BW+10%)]],TRUE)*100,"")</f>
        <v/>
      </c>
    </row>
    <row r="7941" spans="1:12" x14ac:dyDescent="0.35">
      <c r="A7941" s="3"/>
      <c r="B7941" s="2"/>
      <c r="C7941" s="2"/>
      <c r="D7941" s="2" t="b">
        <f>IF(AND(NOT(ISBLANK(Table1[[#This Row],[Fetal Sex (Male, Female or Unknown)]])),ISNUMBER(Table1[[#This Row],[Birthweight (grams)]]),ISNUMBER(Table1[[#This Row],[Gestation (days)]])),TRUE,FALSE)</f>
        <v>0</v>
      </c>
      <c r="E7941" s="2" t="str">
        <f>IF(Table1[[#This Row],[Is Data Valid]]=TRUE,IF(Table1[[#This Row],[Fetal Sex (Male, Female or Unknown)]]="Male",Backend!$C$6,IF(Table1[[#This Row],[Fetal Sex (Male, Female or Unknown)]]="Female",Backend!$C$7,IF(Table1[[#This Row],[Fetal Sex (Male, Female or Unknown)]]="Unknown",Backend!$C$8,"Error"))),"")</f>
        <v/>
      </c>
      <c r="F7941" s="8" t="str">
        <f>IF(Table1[[#This Row],[Is Data Valid]]=TRUE,EXP(0.578+0.332*((Table1[[#This Row],[Gestation (days)]]+0.5)/7)-0.00354*((Table1[[#This Row],[Gestation (days)]]+0.5)/7)^2)*Table1[[#This Row],[BW40_3705]],"")</f>
        <v/>
      </c>
      <c r="G7941" s="2" t="str">
        <f>IF(Table1[[#This Row],[Is Data Valid]]=TRUE,((Table1[[#This Row],[Birthweight (grams)]]/Table1[[#This Row],[BW_GA]])-1)/(Backend!$B$4/100*Table1[[#This Row],[BW40_3705]]),"")</f>
        <v/>
      </c>
      <c r="H7941" s="7" t="str">
        <f>IF(Table1[[#This Row],[Is Data Valid]]=TRUE,((Table1[[#This Row],[Birthweight (grams)]]*0.9/Table1[[#This Row],[BW_GA]])-1)/(Backend!$B$4/100*Table1[[#This Row],[BW40_3705]]),"")</f>
        <v/>
      </c>
      <c r="I7941" s="7" t="str">
        <f>IF(Table1[[#This Row],[Is Data Valid]]=TRUE,((Table1[[#This Row],[Birthweight (grams)]]*1.1/Table1[[#This Row],[BW_GA]])-1)/(Backend!$B$4/100*Table1[[#This Row],[BW40_3705]]),"")</f>
        <v/>
      </c>
      <c r="J7941" s="7" t="str">
        <f>IF(Table1[[#This Row],[Is Data Valid]]=TRUE,_xlfn.NORM.S.DIST(Table1[[#This Row],[Birthweight Z-Score]],TRUE)*100,"")</f>
        <v/>
      </c>
      <c r="K7941" s="7" t="str">
        <f>IF(Table1[[#This Row],[Is Data Valid]]=TRUE,_xlfn.NORM.S.DIST(Table1[[#This Row],[Birthweight Z-Score (BW-10%)]],TRUE)*100,"")</f>
        <v/>
      </c>
      <c r="L7941" s="7" t="str">
        <f>IF(Table1[[#This Row],[Is Data Valid]]=TRUE,_xlfn.NORM.S.DIST(Table1[[#This Row],[Birthweight Z-Score (BW+10%)]],TRUE)*100,"")</f>
        <v/>
      </c>
    </row>
    <row r="7942" spans="1:12" x14ac:dyDescent="0.35">
      <c r="A7942" s="3"/>
      <c r="B7942" s="2"/>
      <c r="C7942" s="2"/>
      <c r="D7942" s="2" t="b">
        <f>IF(AND(NOT(ISBLANK(Table1[[#This Row],[Fetal Sex (Male, Female or Unknown)]])),ISNUMBER(Table1[[#This Row],[Birthweight (grams)]]),ISNUMBER(Table1[[#This Row],[Gestation (days)]])),TRUE,FALSE)</f>
        <v>0</v>
      </c>
      <c r="E7942" s="2" t="str">
        <f>IF(Table1[[#This Row],[Is Data Valid]]=TRUE,IF(Table1[[#This Row],[Fetal Sex (Male, Female or Unknown)]]="Male",Backend!$C$6,IF(Table1[[#This Row],[Fetal Sex (Male, Female or Unknown)]]="Female",Backend!$C$7,IF(Table1[[#This Row],[Fetal Sex (Male, Female or Unknown)]]="Unknown",Backend!$C$8,"Error"))),"")</f>
        <v/>
      </c>
      <c r="F7942" s="8" t="str">
        <f>IF(Table1[[#This Row],[Is Data Valid]]=TRUE,EXP(0.578+0.332*((Table1[[#This Row],[Gestation (days)]]+0.5)/7)-0.00354*((Table1[[#This Row],[Gestation (days)]]+0.5)/7)^2)*Table1[[#This Row],[BW40_3705]],"")</f>
        <v/>
      </c>
      <c r="G7942" s="2" t="str">
        <f>IF(Table1[[#This Row],[Is Data Valid]]=TRUE,((Table1[[#This Row],[Birthweight (grams)]]/Table1[[#This Row],[BW_GA]])-1)/(Backend!$B$4/100*Table1[[#This Row],[BW40_3705]]),"")</f>
        <v/>
      </c>
      <c r="H7942" s="7" t="str">
        <f>IF(Table1[[#This Row],[Is Data Valid]]=TRUE,((Table1[[#This Row],[Birthweight (grams)]]*0.9/Table1[[#This Row],[BW_GA]])-1)/(Backend!$B$4/100*Table1[[#This Row],[BW40_3705]]),"")</f>
        <v/>
      </c>
      <c r="I7942" s="7" t="str">
        <f>IF(Table1[[#This Row],[Is Data Valid]]=TRUE,((Table1[[#This Row],[Birthweight (grams)]]*1.1/Table1[[#This Row],[BW_GA]])-1)/(Backend!$B$4/100*Table1[[#This Row],[BW40_3705]]),"")</f>
        <v/>
      </c>
      <c r="J7942" s="7" t="str">
        <f>IF(Table1[[#This Row],[Is Data Valid]]=TRUE,_xlfn.NORM.S.DIST(Table1[[#This Row],[Birthweight Z-Score]],TRUE)*100,"")</f>
        <v/>
      </c>
      <c r="K7942" s="7" t="str">
        <f>IF(Table1[[#This Row],[Is Data Valid]]=TRUE,_xlfn.NORM.S.DIST(Table1[[#This Row],[Birthweight Z-Score (BW-10%)]],TRUE)*100,"")</f>
        <v/>
      </c>
      <c r="L7942" s="7" t="str">
        <f>IF(Table1[[#This Row],[Is Data Valid]]=TRUE,_xlfn.NORM.S.DIST(Table1[[#This Row],[Birthweight Z-Score (BW+10%)]],TRUE)*100,"")</f>
        <v/>
      </c>
    </row>
    <row r="7943" spans="1:12" x14ac:dyDescent="0.35">
      <c r="A7943" s="3"/>
      <c r="B7943" s="2"/>
      <c r="C7943" s="2"/>
      <c r="D7943" s="2" t="b">
        <f>IF(AND(NOT(ISBLANK(Table1[[#This Row],[Fetal Sex (Male, Female or Unknown)]])),ISNUMBER(Table1[[#This Row],[Birthweight (grams)]]),ISNUMBER(Table1[[#This Row],[Gestation (days)]])),TRUE,FALSE)</f>
        <v>0</v>
      </c>
      <c r="E7943" s="2" t="str">
        <f>IF(Table1[[#This Row],[Is Data Valid]]=TRUE,IF(Table1[[#This Row],[Fetal Sex (Male, Female or Unknown)]]="Male",Backend!$C$6,IF(Table1[[#This Row],[Fetal Sex (Male, Female or Unknown)]]="Female",Backend!$C$7,IF(Table1[[#This Row],[Fetal Sex (Male, Female or Unknown)]]="Unknown",Backend!$C$8,"Error"))),"")</f>
        <v/>
      </c>
      <c r="F7943" s="8" t="str">
        <f>IF(Table1[[#This Row],[Is Data Valid]]=TRUE,EXP(0.578+0.332*((Table1[[#This Row],[Gestation (days)]]+0.5)/7)-0.00354*((Table1[[#This Row],[Gestation (days)]]+0.5)/7)^2)*Table1[[#This Row],[BW40_3705]],"")</f>
        <v/>
      </c>
      <c r="G7943" s="2" t="str">
        <f>IF(Table1[[#This Row],[Is Data Valid]]=TRUE,((Table1[[#This Row],[Birthweight (grams)]]/Table1[[#This Row],[BW_GA]])-1)/(Backend!$B$4/100*Table1[[#This Row],[BW40_3705]]),"")</f>
        <v/>
      </c>
      <c r="H7943" s="7" t="str">
        <f>IF(Table1[[#This Row],[Is Data Valid]]=TRUE,((Table1[[#This Row],[Birthweight (grams)]]*0.9/Table1[[#This Row],[BW_GA]])-1)/(Backend!$B$4/100*Table1[[#This Row],[BW40_3705]]),"")</f>
        <v/>
      </c>
      <c r="I7943" s="7" t="str">
        <f>IF(Table1[[#This Row],[Is Data Valid]]=TRUE,((Table1[[#This Row],[Birthweight (grams)]]*1.1/Table1[[#This Row],[BW_GA]])-1)/(Backend!$B$4/100*Table1[[#This Row],[BW40_3705]]),"")</f>
        <v/>
      </c>
      <c r="J7943" s="7" t="str">
        <f>IF(Table1[[#This Row],[Is Data Valid]]=TRUE,_xlfn.NORM.S.DIST(Table1[[#This Row],[Birthweight Z-Score]],TRUE)*100,"")</f>
        <v/>
      </c>
      <c r="K7943" s="7" t="str">
        <f>IF(Table1[[#This Row],[Is Data Valid]]=TRUE,_xlfn.NORM.S.DIST(Table1[[#This Row],[Birthweight Z-Score (BW-10%)]],TRUE)*100,"")</f>
        <v/>
      </c>
      <c r="L7943" s="7" t="str">
        <f>IF(Table1[[#This Row],[Is Data Valid]]=TRUE,_xlfn.NORM.S.DIST(Table1[[#This Row],[Birthweight Z-Score (BW+10%)]],TRUE)*100,"")</f>
        <v/>
      </c>
    </row>
    <row r="7944" spans="1:12" x14ac:dyDescent="0.35">
      <c r="A7944" s="3"/>
      <c r="B7944" s="2"/>
      <c r="C7944" s="2"/>
      <c r="D7944" s="2" t="b">
        <f>IF(AND(NOT(ISBLANK(Table1[[#This Row],[Fetal Sex (Male, Female or Unknown)]])),ISNUMBER(Table1[[#This Row],[Birthweight (grams)]]),ISNUMBER(Table1[[#This Row],[Gestation (days)]])),TRUE,FALSE)</f>
        <v>0</v>
      </c>
      <c r="E7944" s="2" t="str">
        <f>IF(Table1[[#This Row],[Is Data Valid]]=TRUE,IF(Table1[[#This Row],[Fetal Sex (Male, Female or Unknown)]]="Male",Backend!$C$6,IF(Table1[[#This Row],[Fetal Sex (Male, Female or Unknown)]]="Female",Backend!$C$7,IF(Table1[[#This Row],[Fetal Sex (Male, Female or Unknown)]]="Unknown",Backend!$C$8,"Error"))),"")</f>
        <v/>
      </c>
      <c r="F7944" s="8" t="str">
        <f>IF(Table1[[#This Row],[Is Data Valid]]=TRUE,EXP(0.578+0.332*((Table1[[#This Row],[Gestation (days)]]+0.5)/7)-0.00354*((Table1[[#This Row],[Gestation (days)]]+0.5)/7)^2)*Table1[[#This Row],[BW40_3705]],"")</f>
        <v/>
      </c>
      <c r="G7944" s="2" t="str">
        <f>IF(Table1[[#This Row],[Is Data Valid]]=TRUE,((Table1[[#This Row],[Birthweight (grams)]]/Table1[[#This Row],[BW_GA]])-1)/(Backend!$B$4/100*Table1[[#This Row],[BW40_3705]]),"")</f>
        <v/>
      </c>
      <c r="H7944" s="7" t="str">
        <f>IF(Table1[[#This Row],[Is Data Valid]]=TRUE,((Table1[[#This Row],[Birthweight (grams)]]*0.9/Table1[[#This Row],[BW_GA]])-1)/(Backend!$B$4/100*Table1[[#This Row],[BW40_3705]]),"")</f>
        <v/>
      </c>
      <c r="I7944" s="7" t="str">
        <f>IF(Table1[[#This Row],[Is Data Valid]]=TRUE,((Table1[[#This Row],[Birthweight (grams)]]*1.1/Table1[[#This Row],[BW_GA]])-1)/(Backend!$B$4/100*Table1[[#This Row],[BW40_3705]]),"")</f>
        <v/>
      </c>
      <c r="J7944" s="7" t="str">
        <f>IF(Table1[[#This Row],[Is Data Valid]]=TRUE,_xlfn.NORM.S.DIST(Table1[[#This Row],[Birthweight Z-Score]],TRUE)*100,"")</f>
        <v/>
      </c>
      <c r="K7944" s="7" t="str">
        <f>IF(Table1[[#This Row],[Is Data Valid]]=TRUE,_xlfn.NORM.S.DIST(Table1[[#This Row],[Birthweight Z-Score (BW-10%)]],TRUE)*100,"")</f>
        <v/>
      </c>
      <c r="L7944" s="7" t="str">
        <f>IF(Table1[[#This Row],[Is Data Valid]]=TRUE,_xlfn.NORM.S.DIST(Table1[[#This Row],[Birthweight Z-Score (BW+10%)]],TRUE)*100,"")</f>
        <v/>
      </c>
    </row>
    <row r="7945" spans="1:12" x14ac:dyDescent="0.35">
      <c r="A7945" s="3"/>
      <c r="B7945" s="2"/>
      <c r="C7945" s="2"/>
      <c r="D7945" s="2" t="b">
        <f>IF(AND(NOT(ISBLANK(Table1[[#This Row],[Fetal Sex (Male, Female or Unknown)]])),ISNUMBER(Table1[[#This Row],[Birthweight (grams)]]),ISNUMBER(Table1[[#This Row],[Gestation (days)]])),TRUE,FALSE)</f>
        <v>0</v>
      </c>
      <c r="E7945" s="2" t="str">
        <f>IF(Table1[[#This Row],[Is Data Valid]]=TRUE,IF(Table1[[#This Row],[Fetal Sex (Male, Female or Unknown)]]="Male",Backend!$C$6,IF(Table1[[#This Row],[Fetal Sex (Male, Female or Unknown)]]="Female",Backend!$C$7,IF(Table1[[#This Row],[Fetal Sex (Male, Female or Unknown)]]="Unknown",Backend!$C$8,"Error"))),"")</f>
        <v/>
      </c>
      <c r="F7945" s="8" t="str">
        <f>IF(Table1[[#This Row],[Is Data Valid]]=TRUE,EXP(0.578+0.332*((Table1[[#This Row],[Gestation (days)]]+0.5)/7)-0.00354*((Table1[[#This Row],[Gestation (days)]]+0.5)/7)^2)*Table1[[#This Row],[BW40_3705]],"")</f>
        <v/>
      </c>
      <c r="G7945" s="2" t="str">
        <f>IF(Table1[[#This Row],[Is Data Valid]]=TRUE,((Table1[[#This Row],[Birthweight (grams)]]/Table1[[#This Row],[BW_GA]])-1)/(Backend!$B$4/100*Table1[[#This Row],[BW40_3705]]),"")</f>
        <v/>
      </c>
      <c r="H7945" s="7" t="str">
        <f>IF(Table1[[#This Row],[Is Data Valid]]=TRUE,((Table1[[#This Row],[Birthweight (grams)]]*0.9/Table1[[#This Row],[BW_GA]])-1)/(Backend!$B$4/100*Table1[[#This Row],[BW40_3705]]),"")</f>
        <v/>
      </c>
      <c r="I7945" s="7" t="str">
        <f>IF(Table1[[#This Row],[Is Data Valid]]=TRUE,((Table1[[#This Row],[Birthweight (grams)]]*1.1/Table1[[#This Row],[BW_GA]])-1)/(Backend!$B$4/100*Table1[[#This Row],[BW40_3705]]),"")</f>
        <v/>
      </c>
      <c r="J7945" s="7" t="str">
        <f>IF(Table1[[#This Row],[Is Data Valid]]=TRUE,_xlfn.NORM.S.DIST(Table1[[#This Row],[Birthweight Z-Score]],TRUE)*100,"")</f>
        <v/>
      </c>
      <c r="K7945" s="7" t="str">
        <f>IF(Table1[[#This Row],[Is Data Valid]]=TRUE,_xlfn.NORM.S.DIST(Table1[[#This Row],[Birthweight Z-Score (BW-10%)]],TRUE)*100,"")</f>
        <v/>
      </c>
      <c r="L7945" s="7" t="str">
        <f>IF(Table1[[#This Row],[Is Data Valid]]=TRUE,_xlfn.NORM.S.DIST(Table1[[#This Row],[Birthweight Z-Score (BW+10%)]],TRUE)*100,"")</f>
        <v/>
      </c>
    </row>
    <row r="7946" spans="1:12" x14ac:dyDescent="0.35">
      <c r="A7946" s="3"/>
      <c r="B7946" s="2"/>
      <c r="C7946" s="2"/>
      <c r="D7946" s="2" t="b">
        <f>IF(AND(NOT(ISBLANK(Table1[[#This Row],[Fetal Sex (Male, Female or Unknown)]])),ISNUMBER(Table1[[#This Row],[Birthweight (grams)]]),ISNUMBER(Table1[[#This Row],[Gestation (days)]])),TRUE,FALSE)</f>
        <v>0</v>
      </c>
      <c r="E7946" s="2" t="str">
        <f>IF(Table1[[#This Row],[Is Data Valid]]=TRUE,IF(Table1[[#This Row],[Fetal Sex (Male, Female or Unknown)]]="Male",Backend!$C$6,IF(Table1[[#This Row],[Fetal Sex (Male, Female or Unknown)]]="Female",Backend!$C$7,IF(Table1[[#This Row],[Fetal Sex (Male, Female or Unknown)]]="Unknown",Backend!$C$8,"Error"))),"")</f>
        <v/>
      </c>
      <c r="F7946" s="8" t="str">
        <f>IF(Table1[[#This Row],[Is Data Valid]]=TRUE,EXP(0.578+0.332*((Table1[[#This Row],[Gestation (days)]]+0.5)/7)-0.00354*((Table1[[#This Row],[Gestation (days)]]+0.5)/7)^2)*Table1[[#This Row],[BW40_3705]],"")</f>
        <v/>
      </c>
      <c r="G7946" s="2" t="str">
        <f>IF(Table1[[#This Row],[Is Data Valid]]=TRUE,((Table1[[#This Row],[Birthweight (grams)]]/Table1[[#This Row],[BW_GA]])-1)/(Backend!$B$4/100*Table1[[#This Row],[BW40_3705]]),"")</f>
        <v/>
      </c>
      <c r="H7946" s="7" t="str">
        <f>IF(Table1[[#This Row],[Is Data Valid]]=TRUE,((Table1[[#This Row],[Birthweight (grams)]]*0.9/Table1[[#This Row],[BW_GA]])-1)/(Backend!$B$4/100*Table1[[#This Row],[BW40_3705]]),"")</f>
        <v/>
      </c>
      <c r="I7946" s="7" t="str">
        <f>IF(Table1[[#This Row],[Is Data Valid]]=TRUE,((Table1[[#This Row],[Birthweight (grams)]]*1.1/Table1[[#This Row],[BW_GA]])-1)/(Backend!$B$4/100*Table1[[#This Row],[BW40_3705]]),"")</f>
        <v/>
      </c>
      <c r="J7946" s="7" t="str">
        <f>IF(Table1[[#This Row],[Is Data Valid]]=TRUE,_xlfn.NORM.S.DIST(Table1[[#This Row],[Birthweight Z-Score]],TRUE)*100,"")</f>
        <v/>
      </c>
      <c r="K7946" s="7" t="str">
        <f>IF(Table1[[#This Row],[Is Data Valid]]=TRUE,_xlfn.NORM.S.DIST(Table1[[#This Row],[Birthweight Z-Score (BW-10%)]],TRUE)*100,"")</f>
        <v/>
      </c>
      <c r="L7946" s="7" t="str">
        <f>IF(Table1[[#This Row],[Is Data Valid]]=TRUE,_xlfn.NORM.S.DIST(Table1[[#This Row],[Birthweight Z-Score (BW+10%)]],TRUE)*100,"")</f>
        <v/>
      </c>
    </row>
    <row r="7947" spans="1:12" x14ac:dyDescent="0.35">
      <c r="A7947" s="3"/>
      <c r="B7947" s="2"/>
      <c r="C7947" s="2"/>
      <c r="D7947" s="2" t="b">
        <f>IF(AND(NOT(ISBLANK(Table1[[#This Row],[Fetal Sex (Male, Female or Unknown)]])),ISNUMBER(Table1[[#This Row],[Birthweight (grams)]]),ISNUMBER(Table1[[#This Row],[Gestation (days)]])),TRUE,FALSE)</f>
        <v>0</v>
      </c>
      <c r="E7947" s="2" t="str">
        <f>IF(Table1[[#This Row],[Is Data Valid]]=TRUE,IF(Table1[[#This Row],[Fetal Sex (Male, Female or Unknown)]]="Male",Backend!$C$6,IF(Table1[[#This Row],[Fetal Sex (Male, Female or Unknown)]]="Female",Backend!$C$7,IF(Table1[[#This Row],[Fetal Sex (Male, Female or Unknown)]]="Unknown",Backend!$C$8,"Error"))),"")</f>
        <v/>
      </c>
      <c r="F7947" s="8" t="str">
        <f>IF(Table1[[#This Row],[Is Data Valid]]=TRUE,EXP(0.578+0.332*((Table1[[#This Row],[Gestation (days)]]+0.5)/7)-0.00354*((Table1[[#This Row],[Gestation (days)]]+0.5)/7)^2)*Table1[[#This Row],[BW40_3705]],"")</f>
        <v/>
      </c>
      <c r="G7947" s="2" t="str">
        <f>IF(Table1[[#This Row],[Is Data Valid]]=TRUE,((Table1[[#This Row],[Birthweight (grams)]]/Table1[[#This Row],[BW_GA]])-1)/(Backend!$B$4/100*Table1[[#This Row],[BW40_3705]]),"")</f>
        <v/>
      </c>
      <c r="H7947" s="7" t="str">
        <f>IF(Table1[[#This Row],[Is Data Valid]]=TRUE,((Table1[[#This Row],[Birthweight (grams)]]*0.9/Table1[[#This Row],[BW_GA]])-1)/(Backend!$B$4/100*Table1[[#This Row],[BW40_3705]]),"")</f>
        <v/>
      </c>
      <c r="I7947" s="7" t="str">
        <f>IF(Table1[[#This Row],[Is Data Valid]]=TRUE,((Table1[[#This Row],[Birthweight (grams)]]*1.1/Table1[[#This Row],[BW_GA]])-1)/(Backend!$B$4/100*Table1[[#This Row],[BW40_3705]]),"")</f>
        <v/>
      </c>
      <c r="J7947" s="7" t="str">
        <f>IF(Table1[[#This Row],[Is Data Valid]]=TRUE,_xlfn.NORM.S.DIST(Table1[[#This Row],[Birthweight Z-Score]],TRUE)*100,"")</f>
        <v/>
      </c>
      <c r="K7947" s="7" t="str">
        <f>IF(Table1[[#This Row],[Is Data Valid]]=TRUE,_xlfn.NORM.S.DIST(Table1[[#This Row],[Birthweight Z-Score (BW-10%)]],TRUE)*100,"")</f>
        <v/>
      </c>
      <c r="L7947" s="7" t="str">
        <f>IF(Table1[[#This Row],[Is Data Valid]]=TRUE,_xlfn.NORM.S.DIST(Table1[[#This Row],[Birthweight Z-Score (BW+10%)]],TRUE)*100,"")</f>
        <v/>
      </c>
    </row>
    <row r="7948" spans="1:12" x14ac:dyDescent="0.35">
      <c r="A7948" s="3"/>
      <c r="B7948" s="2"/>
      <c r="C7948" s="2"/>
      <c r="D7948" s="2" t="b">
        <f>IF(AND(NOT(ISBLANK(Table1[[#This Row],[Fetal Sex (Male, Female or Unknown)]])),ISNUMBER(Table1[[#This Row],[Birthweight (grams)]]),ISNUMBER(Table1[[#This Row],[Gestation (days)]])),TRUE,FALSE)</f>
        <v>0</v>
      </c>
      <c r="E7948" s="2" t="str">
        <f>IF(Table1[[#This Row],[Is Data Valid]]=TRUE,IF(Table1[[#This Row],[Fetal Sex (Male, Female or Unknown)]]="Male",Backend!$C$6,IF(Table1[[#This Row],[Fetal Sex (Male, Female or Unknown)]]="Female",Backend!$C$7,IF(Table1[[#This Row],[Fetal Sex (Male, Female or Unknown)]]="Unknown",Backend!$C$8,"Error"))),"")</f>
        <v/>
      </c>
      <c r="F7948" s="8" t="str">
        <f>IF(Table1[[#This Row],[Is Data Valid]]=TRUE,EXP(0.578+0.332*((Table1[[#This Row],[Gestation (days)]]+0.5)/7)-0.00354*((Table1[[#This Row],[Gestation (days)]]+0.5)/7)^2)*Table1[[#This Row],[BW40_3705]],"")</f>
        <v/>
      </c>
      <c r="G7948" s="2" t="str">
        <f>IF(Table1[[#This Row],[Is Data Valid]]=TRUE,((Table1[[#This Row],[Birthweight (grams)]]/Table1[[#This Row],[BW_GA]])-1)/(Backend!$B$4/100*Table1[[#This Row],[BW40_3705]]),"")</f>
        <v/>
      </c>
      <c r="H7948" s="7" t="str">
        <f>IF(Table1[[#This Row],[Is Data Valid]]=TRUE,((Table1[[#This Row],[Birthweight (grams)]]*0.9/Table1[[#This Row],[BW_GA]])-1)/(Backend!$B$4/100*Table1[[#This Row],[BW40_3705]]),"")</f>
        <v/>
      </c>
      <c r="I7948" s="7" t="str">
        <f>IF(Table1[[#This Row],[Is Data Valid]]=TRUE,((Table1[[#This Row],[Birthweight (grams)]]*1.1/Table1[[#This Row],[BW_GA]])-1)/(Backend!$B$4/100*Table1[[#This Row],[BW40_3705]]),"")</f>
        <v/>
      </c>
      <c r="J7948" s="7" t="str">
        <f>IF(Table1[[#This Row],[Is Data Valid]]=TRUE,_xlfn.NORM.S.DIST(Table1[[#This Row],[Birthweight Z-Score]],TRUE)*100,"")</f>
        <v/>
      </c>
      <c r="K7948" s="7" t="str">
        <f>IF(Table1[[#This Row],[Is Data Valid]]=TRUE,_xlfn.NORM.S.DIST(Table1[[#This Row],[Birthweight Z-Score (BW-10%)]],TRUE)*100,"")</f>
        <v/>
      </c>
      <c r="L7948" s="7" t="str">
        <f>IF(Table1[[#This Row],[Is Data Valid]]=TRUE,_xlfn.NORM.S.DIST(Table1[[#This Row],[Birthweight Z-Score (BW+10%)]],TRUE)*100,"")</f>
        <v/>
      </c>
    </row>
    <row r="7949" spans="1:12" x14ac:dyDescent="0.35">
      <c r="A7949" s="3"/>
      <c r="B7949" s="2"/>
      <c r="C7949" s="2"/>
      <c r="D7949" s="2" t="b">
        <f>IF(AND(NOT(ISBLANK(Table1[[#This Row],[Fetal Sex (Male, Female or Unknown)]])),ISNUMBER(Table1[[#This Row],[Birthweight (grams)]]),ISNUMBER(Table1[[#This Row],[Gestation (days)]])),TRUE,FALSE)</f>
        <v>0</v>
      </c>
      <c r="E7949" s="2" t="str">
        <f>IF(Table1[[#This Row],[Is Data Valid]]=TRUE,IF(Table1[[#This Row],[Fetal Sex (Male, Female or Unknown)]]="Male",Backend!$C$6,IF(Table1[[#This Row],[Fetal Sex (Male, Female or Unknown)]]="Female",Backend!$C$7,IF(Table1[[#This Row],[Fetal Sex (Male, Female or Unknown)]]="Unknown",Backend!$C$8,"Error"))),"")</f>
        <v/>
      </c>
      <c r="F7949" s="8" t="str">
        <f>IF(Table1[[#This Row],[Is Data Valid]]=TRUE,EXP(0.578+0.332*((Table1[[#This Row],[Gestation (days)]]+0.5)/7)-0.00354*((Table1[[#This Row],[Gestation (days)]]+0.5)/7)^2)*Table1[[#This Row],[BW40_3705]],"")</f>
        <v/>
      </c>
      <c r="G7949" s="2" t="str">
        <f>IF(Table1[[#This Row],[Is Data Valid]]=TRUE,((Table1[[#This Row],[Birthweight (grams)]]/Table1[[#This Row],[BW_GA]])-1)/(Backend!$B$4/100*Table1[[#This Row],[BW40_3705]]),"")</f>
        <v/>
      </c>
      <c r="H7949" s="7" t="str">
        <f>IF(Table1[[#This Row],[Is Data Valid]]=TRUE,((Table1[[#This Row],[Birthweight (grams)]]*0.9/Table1[[#This Row],[BW_GA]])-1)/(Backend!$B$4/100*Table1[[#This Row],[BW40_3705]]),"")</f>
        <v/>
      </c>
      <c r="I7949" s="7" t="str">
        <f>IF(Table1[[#This Row],[Is Data Valid]]=TRUE,((Table1[[#This Row],[Birthweight (grams)]]*1.1/Table1[[#This Row],[BW_GA]])-1)/(Backend!$B$4/100*Table1[[#This Row],[BW40_3705]]),"")</f>
        <v/>
      </c>
      <c r="J7949" s="7" t="str">
        <f>IF(Table1[[#This Row],[Is Data Valid]]=TRUE,_xlfn.NORM.S.DIST(Table1[[#This Row],[Birthweight Z-Score]],TRUE)*100,"")</f>
        <v/>
      </c>
      <c r="K7949" s="7" t="str">
        <f>IF(Table1[[#This Row],[Is Data Valid]]=TRUE,_xlfn.NORM.S.DIST(Table1[[#This Row],[Birthweight Z-Score (BW-10%)]],TRUE)*100,"")</f>
        <v/>
      </c>
      <c r="L7949" s="7" t="str">
        <f>IF(Table1[[#This Row],[Is Data Valid]]=TRUE,_xlfn.NORM.S.DIST(Table1[[#This Row],[Birthweight Z-Score (BW+10%)]],TRUE)*100,"")</f>
        <v/>
      </c>
    </row>
    <row r="7950" spans="1:12" x14ac:dyDescent="0.35">
      <c r="A7950" s="3"/>
      <c r="B7950" s="2"/>
      <c r="C7950" s="2"/>
      <c r="D7950" s="2" t="b">
        <f>IF(AND(NOT(ISBLANK(Table1[[#This Row],[Fetal Sex (Male, Female or Unknown)]])),ISNUMBER(Table1[[#This Row],[Birthweight (grams)]]),ISNUMBER(Table1[[#This Row],[Gestation (days)]])),TRUE,FALSE)</f>
        <v>0</v>
      </c>
      <c r="E7950" s="2" t="str">
        <f>IF(Table1[[#This Row],[Is Data Valid]]=TRUE,IF(Table1[[#This Row],[Fetal Sex (Male, Female or Unknown)]]="Male",Backend!$C$6,IF(Table1[[#This Row],[Fetal Sex (Male, Female or Unknown)]]="Female",Backend!$C$7,IF(Table1[[#This Row],[Fetal Sex (Male, Female or Unknown)]]="Unknown",Backend!$C$8,"Error"))),"")</f>
        <v/>
      </c>
      <c r="F7950" s="8" t="str">
        <f>IF(Table1[[#This Row],[Is Data Valid]]=TRUE,EXP(0.578+0.332*((Table1[[#This Row],[Gestation (days)]]+0.5)/7)-0.00354*((Table1[[#This Row],[Gestation (days)]]+0.5)/7)^2)*Table1[[#This Row],[BW40_3705]],"")</f>
        <v/>
      </c>
      <c r="G7950" s="2" t="str">
        <f>IF(Table1[[#This Row],[Is Data Valid]]=TRUE,((Table1[[#This Row],[Birthweight (grams)]]/Table1[[#This Row],[BW_GA]])-1)/(Backend!$B$4/100*Table1[[#This Row],[BW40_3705]]),"")</f>
        <v/>
      </c>
      <c r="H7950" s="7" t="str">
        <f>IF(Table1[[#This Row],[Is Data Valid]]=TRUE,((Table1[[#This Row],[Birthweight (grams)]]*0.9/Table1[[#This Row],[BW_GA]])-1)/(Backend!$B$4/100*Table1[[#This Row],[BW40_3705]]),"")</f>
        <v/>
      </c>
      <c r="I7950" s="7" t="str">
        <f>IF(Table1[[#This Row],[Is Data Valid]]=TRUE,((Table1[[#This Row],[Birthweight (grams)]]*1.1/Table1[[#This Row],[BW_GA]])-1)/(Backend!$B$4/100*Table1[[#This Row],[BW40_3705]]),"")</f>
        <v/>
      </c>
      <c r="J7950" s="7" t="str">
        <f>IF(Table1[[#This Row],[Is Data Valid]]=TRUE,_xlfn.NORM.S.DIST(Table1[[#This Row],[Birthweight Z-Score]],TRUE)*100,"")</f>
        <v/>
      </c>
      <c r="K7950" s="7" t="str">
        <f>IF(Table1[[#This Row],[Is Data Valid]]=TRUE,_xlfn.NORM.S.DIST(Table1[[#This Row],[Birthweight Z-Score (BW-10%)]],TRUE)*100,"")</f>
        <v/>
      </c>
      <c r="L7950" s="7" t="str">
        <f>IF(Table1[[#This Row],[Is Data Valid]]=TRUE,_xlfn.NORM.S.DIST(Table1[[#This Row],[Birthweight Z-Score (BW+10%)]],TRUE)*100,"")</f>
        <v/>
      </c>
    </row>
    <row r="7951" spans="1:12" x14ac:dyDescent="0.35">
      <c r="A7951" s="3"/>
      <c r="B7951" s="2"/>
      <c r="C7951" s="2"/>
      <c r="D7951" s="2" t="b">
        <f>IF(AND(NOT(ISBLANK(Table1[[#This Row],[Fetal Sex (Male, Female or Unknown)]])),ISNUMBER(Table1[[#This Row],[Birthweight (grams)]]),ISNUMBER(Table1[[#This Row],[Gestation (days)]])),TRUE,FALSE)</f>
        <v>0</v>
      </c>
      <c r="E7951" s="2" t="str">
        <f>IF(Table1[[#This Row],[Is Data Valid]]=TRUE,IF(Table1[[#This Row],[Fetal Sex (Male, Female or Unknown)]]="Male",Backend!$C$6,IF(Table1[[#This Row],[Fetal Sex (Male, Female or Unknown)]]="Female",Backend!$C$7,IF(Table1[[#This Row],[Fetal Sex (Male, Female or Unknown)]]="Unknown",Backend!$C$8,"Error"))),"")</f>
        <v/>
      </c>
      <c r="F7951" s="8" t="str">
        <f>IF(Table1[[#This Row],[Is Data Valid]]=TRUE,EXP(0.578+0.332*((Table1[[#This Row],[Gestation (days)]]+0.5)/7)-0.00354*((Table1[[#This Row],[Gestation (days)]]+0.5)/7)^2)*Table1[[#This Row],[BW40_3705]],"")</f>
        <v/>
      </c>
      <c r="G7951" s="2" t="str">
        <f>IF(Table1[[#This Row],[Is Data Valid]]=TRUE,((Table1[[#This Row],[Birthweight (grams)]]/Table1[[#This Row],[BW_GA]])-1)/(Backend!$B$4/100*Table1[[#This Row],[BW40_3705]]),"")</f>
        <v/>
      </c>
      <c r="H7951" s="7" t="str">
        <f>IF(Table1[[#This Row],[Is Data Valid]]=TRUE,((Table1[[#This Row],[Birthweight (grams)]]*0.9/Table1[[#This Row],[BW_GA]])-1)/(Backend!$B$4/100*Table1[[#This Row],[BW40_3705]]),"")</f>
        <v/>
      </c>
      <c r="I7951" s="7" t="str">
        <f>IF(Table1[[#This Row],[Is Data Valid]]=TRUE,((Table1[[#This Row],[Birthweight (grams)]]*1.1/Table1[[#This Row],[BW_GA]])-1)/(Backend!$B$4/100*Table1[[#This Row],[BW40_3705]]),"")</f>
        <v/>
      </c>
      <c r="J7951" s="7" t="str">
        <f>IF(Table1[[#This Row],[Is Data Valid]]=TRUE,_xlfn.NORM.S.DIST(Table1[[#This Row],[Birthweight Z-Score]],TRUE)*100,"")</f>
        <v/>
      </c>
      <c r="K7951" s="7" t="str">
        <f>IF(Table1[[#This Row],[Is Data Valid]]=TRUE,_xlfn.NORM.S.DIST(Table1[[#This Row],[Birthweight Z-Score (BW-10%)]],TRUE)*100,"")</f>
        <v/>
      </c>
      <c r="L7951" s="7" t="str">
        <f>IF(Table1[[#This Row],[Is Data Valid]]=TRUE,_xlfn.NORM.S.DIST(Table1[[#This Row],[Birthweight Z-Score (BW+10%)]],TRUE)*100,"")</f>
        <v/>
      </c>
    </row>
    <row r="7952" spans="1:12" x14ac:dyDescent="0.35">
      <c r="A7952" s="3"/>
      <c r="B7952" s="2"/>
      <c r="C7952" s="2"/>
      <c r="D7952" s="2" t="b">
        <f>IF(AND(NOT(ISBLANK(Table1[[#This Row],[Fetal Sex (Male, Female or Unknown)]])),ISNUMBER(Table1[[#This Row],[Birthweight (grams)]]),ISNUMBER(Table1[[#This Row],[Gestation (days)]])),TRUE,FALSE)</f>
        <v>0</v>
      </c>
      <c r="E7952" s="2" t="str">
        <f>IF(Table1[[#This Row],[Is Data Valid]]=TRUE,IF(Table1[[#This Row],[Fetal Sex (Male, Female or Unknown)]]="Male",Backend!$C$6,IF(Table1[[#This Row],[Fetal Sex (Male, Female or Unknown)]]="Female",Backend!$C$7,IF(Table1[[#This Row],[Fetal Sex (Male, Female or Unknown)]]="Unknown",Backend!$C$8,"Error"))),"")</f>
        <v/>
      </c>
      <c r="F7952" s="8" t="str">
        <f>IF(Table1[[#This Row],[Is Data Valid]]=TRUE,EXP(0.578+0.332*((Table1[[#This Row],[Gestation (days)]]+0.5)/7)-0.00354*((Table1[[#This Row],[Gestation (days)]]+0.5)/7)^2)*Table1[[#This Row],[BW40_3705]],"")</f>
        <v/>
      </c>
      <c r="G7952" s="2" t="str">
        <f>IF(Table1[[#This Row],[Is Data Valid]]=TRUE,((Table1[[#This Row],[Birthweight (grams)]]/Table1[[#This Row],[BW_GA]])-1)/(Backend!$B$4/100*Table1[[#This Row],[BW40_3705]]),"")</f>
        <v/>
      </c>
      <c r="H7952" s="7" t="str">
        <f>IF(Table1[[#This Row],[Is Data Valid]]=TRUE,((Table1[[#This Row],[Birthweight (grams)]]*0.9/Table1[[#This Row],[BW_GA]])-1)/(Backend!$B$4/100*Table1[[#This Row],[BW40_3705]]),"")</f>
        <v/>
      </c>
      <c r="I7952" s="7" t="str">
        <f>IF(Table1[[#This Row],[Is Data Valid]]=TRUE,((Table1[[#This Row],[Birthweight (grams)]]*1.1/Table1[[#This Row],[BW_GA]])-1)/(Backend!$B$4/100*Table1[[#This Row],[BW40_3705]]),"")</f>
        <v/>
      </c>
      <c r="J7952" s="7" t="str">
        <f>IF(Table1[[#This Row],[Is Data Valid]]=TRUE,_xlfn.NORM.S.DIST(Table1[[#This Row],[Birthweight Z-Score]],TRUE)*100,"")</f>
        <v/>
      </c>
      <c r="K7952" s="7" t="str">
        <f>IF(Table1[[#This Row],[Is Data Valid]]=TRUE,_xlfn.NORM.S.DIST(Table1[[#This Row],[Birthweight Z-Score (BW-10%)]],TRUE)*100,"")</f>
        <v/>
      </c>
      <c r="L7952" s="7" t="str">
        <f>IF(Table1[[#This Row],[Is Data Valid]]=TRUE,_xlfn.NORM.S.DIST(Table1[[#This Row],[Birthweight Z-Score (BW+10%)]],TRUE)*100,"")</f>
        <v/>
      </c>
    </row>
    <row r="7953" spans="1:12" x14ac:dyDescent="0.35">
      <c r="A7953" s="3"/>
      <c r="B7953" s="2"/>
      <c r="C7953" s="2"/>
      <c r="D7953" s="2" t="b">
        <f>IF(AND(NOT(ISBLANK(Table1[[#This Row],[Fetal Sex (Male, Female or Unknown)]])),ISNUMBER(Table1[[#This Row],[Birthweight (grams)]]),ISNUMBER(Table1[[#This Row],[Gestation (days)]])),TRUE,FALSE)</f>
        <v>0</v>
      </c>
      <c r="E7953" s="2" t="str">
        <f>IF(Table1[[#This Row],[Is Data Valid]]=TRUE,IF(Table1[[#This Row],[Fetal Sex (Male, Female or Unknown)]]="Male",Backend!$C$6,IF(Table1[[#This Row],[Fetal Sex (Male, Female or Unknown)]]="Female",Backend!$C$7,IF(Table1[[#This Row],[Fetal Sex (Male, Female or Unknown)]]="Unknown",Backend!$C$8,"Error"))),"")</f>
        <v/>
      </c>
      <c r="F7953" s="8" t="str">
        <f>IF(Table1[[#This Row],[Is Data Valid]]=TRUE,EXP(0.578+0.332*((Table1[[#This Row],[Gestation (days)]]+0.5)/7)-0.00354*((Table1[[#This Row],[Gestation (days)]]+0.5)/7)^2)*Table1[[#This Row],[BW40_3705]],"")</f>
        <v/>
      </c>
      <c r="G7953" s="2" t="str">
        <f>IF(Table1[[#This Row],[Is Data Valid]]=TRUE,((Table1[[#This Row],[Birthweight (grams)]]/Table1[[#This Row],[BW_GA]])-1)/(Backend!$B$4/100*Table1[[#This Row],[BW40_3705]]),"")</f>
        <v/>
      </c>
      <c r="H7953" s="7" t="str">
        <f>IF(Table1[[#This Row],[Is Data Valid]]=TRUE,((Table1[[#This Row],[Birthweight (grams)]]*0.9/Table1[[#This Row],[BW_GA]])-1)/(Backend!$B$4/100*Table1[[#This Row],[BW40_3705]]),"")</f>
        <v/>
      </c>
      <c r="I7953" s="7" t="str">
        <f>IF(Table1[[#This Row],[Is Data Valid]]=TRUE,((Table1[[#This Row],[Birthweight (grams)]]*1.1/Table1[[#This Row],[BW_GA]])-1)/(Backend!$B$4/100*Table1[[#This Row],[BW40_3705]]),"")</f>
        <v/>
      </c>
      <c r="J7953" s="7" t="str">
        <f>IF(Table1[[#This Row],[Is Data Valid]]=TRUE,_xlfn.NORM.S.DIST(Table1[[#This Row],[Birthweight Z-Score]],TRUE)*100,"")</f>
        <v/>
      </c>
      <c r="K7953" s="7" t="str">
        <f>IF(Table1[[#This Row],[Is Data Valid]]=TRUE,_xlfn.NORM.S.DIST(Table1[[#This Row],[Birthweight Z-Score (BW-10%)]],TRUE)*100,"")</f>
        <v/>
      </c>
      <c r="L7953" s="7" t="str">
        <f>IF(Table1[[#This Row],[Is Data Valid]]=TRUE,_xlfn.NORM.S.DIST(Table1[[#This Row],[Birthweight Z-Score (BW+10%)]],TRUE)*100,"")</f>
        <v/>
      </c>
    </row>
    <row r="7954" spans="1:12" x14ac:dyDescent="0.35">
      <c r="A7954" s="3"/>
      <c r="B7954" s="2"/>
      <c r="C7954" s="2"/>
      <c r="D7954" s="2" t="b">
        <f>IF(AND(NOT(ISBLANK(Table1[[#This Row],[Fetal Sex (Male, Female or Unknown)]])),ISNUMBER(Table1[[#This Row],[Birthweight (grams)]]),ISNUMBER(Table1[[#This Row],[Gestation (days)]])),TRUE,FALSE)</f>
        <v>0</v>
      </c>
      <c r="E7954" s="2" t="str">
        <f>IF(Table1[[#This Row],[Is Data Valid]]=TRUE,IF(Table1[[#This Row],[Fetal Sex (Male, Female or Unknown)]]="Male",Backend!$C$6,IF(Table1[[#This Row],[Fetal Sex (Male, Female or Unknown)]]="Female",Backend!$C$7,IF(Table1[[#This Row],[Fetal Sex (Male, Female or Unknown)]]="Unknown",Backend!$C$8,"Error"))),"")</f>
        <v/>
      </c>
      <c r="F7954" s="8" t="str">
        <f>IF(Table1[[#This Row],[Is Data Valid]]=TRUE,EXP(0.578+0.332*((Table1[[#This Row],[Gestation (days)]]+0.5)/7)-0.00354*((Table1[[#This Row],[Gestation (days)]]+0.5)/7)^2)*Table1[[#This Row],[BW40_3705]],"")</f>
        <v/>
      </c>
      <c r="G7954" s="2" t="str">
        <f>IF(Table1[[#This Row],[Is Data Valid]]=TRUE,((Table1[[#This Row],[Birthweight (grams)]]/Table1[[#This Row],[BW_GA]])-1)/(Backend!$B$4/100*Table1[[#This Row],[BW40_3705]]),"")</f>
        <v/>
      </c>
      <c r="H7954" s="7" t="str">
        <f>IF(Table1[[#This Row],[Is Data Valid]]=TRUE,((Table1[[#This Row],[Birthweight (grams)]]*0.9/Table1[[#This Row],[BW_GA]])-1)/(Backend!$B$4/100*Table1[[#This Row],[BW40_3705]]),"")</f>
        <v/>
      </c>
      <c r="I7954" s="7" t="str">
        <f>IF(Table1[[#This Row],[Is Data Valid]]=TRUE,((Table1[[#This Row],[Birthweight (grams)]]*1.1/Table1[[#This Row],[BW_GA]])-1)/(Backend!$B$4/100*Table1[[#This Row],[BW40_3705]]),"")</f>
        <v/>
      </c>
      <c r="J7954" s="7" t="str">
        <f>IF(Table1[[#This Row],[Is Data Valid]]=TRUE,_xlfn.NORM.S.DIST(Table1[[#This Row],[Birthweight Z-Score]],TRUE)*100,"")</f>
        <v/>
      </c>
      <c r="K7954" s="7" t="str">
        <f>IF(Table1[[#This Row],[Is Data Valid]]=TRUE,_xlfn.NORM.S.DIST(Table1[[#This Row],[Birthweight Z-Score (BW-10%)]],TRUE)*100,"")</f>
        <v/>
      </c>
      <c r="L7954" s="7" t="str">
        <f>IF(Table1[[#This Row],[Is Data Valid]]=TRUE,_xlfn.NORM.S.DIST(Table1[[#This Row],[Birthweight Z-Score (BW+10%)]],TRUE)*100,"")</f>
        <v/>
      </c>
    </row>
    <row r="7955" spans="1:12" x14ac:dyDescent="0.35">
      <c r="A7955" s="3"/>
      <c r="B7955" s="2"/>
      <c r="C7955" s="2"/>
      <c r="D7955" s="2" t="b">
        <f>IF(AND(NOT(ISBLANK(Table1[[#This Row],[Fetal Sex (Male, Female or Unknown)]])),ISNUMBER(Table1[[#This Row],[Birthweight (grams)]]),ISNUMBER(Table1[[#This Row],[Gestation (days)]])),TRUE,FALSE)</f>
        <v>0</v>
      </c>
      <c r="E7955" s="2" t="str">
        <f>IF(Table1[[#This Row],[Is Data Valid]]=TRUE,IF(Table1[[#This Row],[Fetal Sex (Male, Female or Unknown)]]="Male",Backend!$C$6,IF(Table1[[#This Row],[Fetal Sex (Male, Female or Unknown)]]="Female",Backend!$C$7,IF(Table1[[#This Row],[Fetal Sex (Male, Female or Unknown)]]="Unknown",Backend!$C$8,"Error"))),"")</f>
        <v/>
      </c>
      <c r="F7955" s="8" t="str">
        <f>IF(Table1[[#This Row],[Is Data Valid]]=TRUE,EXP(0.578+0.332*((Table1[[#This Row],[Gestation (days)]]+0.5)/7)-0.00354*((Table1[[#This Row],[Gestation (days)]]+0.5)/7)^2)*Table1[[#This Row],[BW40_3705]],"")</f>
        <v/>
      </c>
      <c r="G7955" s="2" t="str">
        <f>IF(Table1[[#This Row],[Is Data Valid]]=TRUE,((Table1[[#This Row],[Birthweight (grams)]]/Table1[[#This Row],[BW_GA]])-1)/(Backend!$B$4/100*Table1[[#This Row],[BW40_3705]]),"")</f>
        <v/>
      </c>
      <c r="H7955" s="7" t="str">
        <f>IF(Table1[[#This Row],[Is Data Valid]]=TRUE,((Table1[[#This Row],[Birthweight (grams)]]*0.9/Table1[[#This Row],[BW_GA]])-1)/(Backend!$B$4/100*Table1[[#This Row],[BW40_3705]]),"")</f>
        <v/>
      </c>
      <c r="I7955" s="7" t="str">
        <f>IF(Table1[[#This Row],[Is Data Valid]]=TRUE,((Table1[[#This Row],[Birthweight (grams)]]*1.1/Table1[[#This Row],[BW_GA]])-1)/(Backend!$B$4/100*Table1[[#This Row],[BW40_3705]]),"")</f>
        <v/>
      </c>
      <c r="J7955" s="7" t="str">
        <f>IF(Table1[[#This Row],[Is Data Valid]]=TRUE,_xlfn.NORM.S.DIST(Table1[[#This Row],[Birthweight Z-Score]],TRUE)*100,"")</f>
        <v/>
      </c>
      <c r="K7955" s="7" t="str">
        <f>IF(Table1[[#This Row],[Is Data Valid]]=TRUE,_xlfn.NORM.S.DIST(Table1[[#This Row],[Birthweight Z-Score (BW-10%)]],TRUE)*100,"")</f>
        <v/>
      </c>
      <c r="L7955" s="7" t="str">
        <f>IF(Table1[[#This Row],[Is Data Valid]]=TRUE,_xlfn.NORM.S.DIST(Table1[[#This Row],[Birthweight Z-Score (BW+10%)]],TRUE)*100,"")</f>
        <v/>
      </c>
    </row>
    <row r="7956" spans="1:12" x14ac:dyDescent="0.35">
      <c r="A7956" s="3"/>
      <c r="B7956" s="2"/>
      <c r="C7956" s="2"/>
      <c r="D7956" s="2" t="b">
        <f>IF(AND(NOT(ISBLANK(Table1[[#This Row],[Fetal Sex (Male, Female or Unknown)]])),ISNUMBER(Table1[[#This Row],[Birthweight (grams)]]),ISNUMBER(Table1[[#This Row],[Gestation (days)]])),TRUE,FALSE)</f>
        <v>0</v>
      </c>
      <c r="E7956" s="2" t="str">
        <f>IF(Table1[[#This Row],[Is Data Valid]]=TRUE,IF(Table1[[#This Row],[Fetal Sex (Male, Female or Unknown)]]="Male",Backend!$C$6,IF(Table1[[#This Row],[Fetal Sex (Male, Female or Unknown)]]="Female",Backend!$C$7,IF(Table1[[#This Row],[Fetal Sex (Male, Female or Unknown)]]="Unknown",Backend!$C$8,"Error"))),"")</f>
        <v/>
      </c>
      <c r="F7956" s="8" t="str">
        <f>IF(Table1[[#This Row],[Is Data Valid]]=TRUE,EXP(0.578+0.332*((Table1[[#This Row],[Gestation (days)]]+0.5)/7)-0.00354*((Table1[[#This Row],[Gestation (days)]]+0.5)/7)^2)*Table1[[#This Row],[BW40_3705]],"")</f>
        <v/>
      </c>
      <c r="G7956" s="2" t="str">
        <f>IF(Table1[[#This Row],[Is Data Valid]]=TRUE,((Table1[[#This Row],[Birthweight (grams)]]/Table1[[#This Row],[BW_GA]])-1)/(Backend!$B$4/100*Table1[[#This Row],[BW40_3705]]),"")</f>
        <v/>
      </c>
      <c r="H7956" s="7" t="str">
        <f>IF(Table1[[#This Row],[Is Data Valid]]=TRUE,((Table1[[#This Row],[Birthweight (grams)]]*0.9/Table1[[#This Row],[BW_GA]])-1)/(Backend!$B$4/100*Table1[[#This Row],[BW40_3705]]),"")</f>
        <v/>
      </c>
      <c r="I7956" s="7" t="str">
        <f>IF(Table1[[#This Row],[Is Data Valid]]=TRUE,((Table1[[#This Row],[Birthweight (grams)]]*1.1/Table1[[#This Row],[BW_GA]])-1)/(Backend!$B$4/100*Table1[[#This Row],[BW40_3705]]),"")</f>
        <v/>
      </c>
      <c r="J7956" s="7" t="str">
        <f>IF(Table1[[#This Row],[Is Data Valid]]=TRUE,_xlfn.NORM.S.DIST(Table1[[#This Row],[Birthweight Z-Score]],TRUE)*100,"")</f>
        <v/>
      </c>
      <c r="K7956" s="7" t="str">
        <f>IF(Table1[[#This Row],[Is Data Valid]]=TRUE,_xlfn.NORM.S.DIST(Table1[[#This Row],[Birthweight Z-Score (BW-10%)]],TRUE)*100,"")</f>
        <v/>
      </c>
      <c r="L7956" s="7" t="str">
        <f>IF(Table1[[#This Row],[Is Data Valid]]=TRUE,_xlfn.NORM.S.DIST(Table1[[#This Row],[Birthweight Z-Score (BW+10%)]],TRUE)*100,"")</f>
        <v/>
      </c>
    </row>
    <row r="7957" spans="1:12" x14ac:dyDescent="0.35">
      <c r="A7957" s="3"/>
      <c r="B7957" s="2"/>
      <c r="C7957" s="2"/>
      <c r="D7957" s="2" t="b">
        <f>IF(AND(NOT(ISBLANK(Table1[[#This Row],[Fetal Sex (Male, Female or Unknown)]])),ISNUMBER(Table1[[#This Row],[Birthweight (grams)]]),ISNUMBER(Table1[[#This Row],[Gestation (days)]])),TRUE,FALSE)</f>
        <v>0</v>
      </c>
      <c r="E7957" s="2" t="str">
        <f>IF(Table1[[#This Row],[Is Data Valid]]=TRUE,IF(Table1[[#This Row],[Fetal Sex (Male, Female or Unknown)]]="Male",Backend!$C$6,IF(Table1[[#This Row],[Fetal Sex (Male, Female or Unknown)]]="Female",Backend!$C$7,IF(Table1[[#This Row],[Fetal Sex (Male, Female or Unknown)]]="Unknown",Backend!$C$8,"Error"))),"")</f>
        <v/>
      </c>
      <c r="F7957" s="8" t="str">
        <f>IF(Table1[[#This Row],[Is Data Valid]]=TRUE,EXP(0.578+0.332*((Table1[[#This Row],[Gestation (days)]]+0.5)/7)-0.00354*((Table1[[#This Row],[Gestation (days)]]+0.5)/7)^2)*Table1[[#This Row],[BW40_3705]],"")</f>
        <v/>
      </c>
      <c r="G7957" s="2" t="str">
        <f>IF(Table1[[#This Row],[Is Data Valid]]=TRUE,((Table1[[#This Row],[Birthweight (grams)]]/Table1[[#This Row],[BW_GA]])-1)/(Backend!$B$4/100*Table1[[#This Row],[BW40_3705]]),"")</f>
        <v/>
      </c>
      <c r="H7957" s="7" t="str">
        <f>IF(Table1[[#This Row],[Is Data Valid]]=TRUE,((Table1[[#This Row],[Birthweight (grams)]]*0.9/Table1[[#This Row],[BW_GA]])-1)/(Backend!$B$4/100*Table1[[#This Row],[BW40_3705]]),"")</f>
        <v/>
      </c>
      <c r="I7957" s="7" t="str">
        <f>IF(Table1[[#This Row],[Is Data Valid]]=TRUE,((Table1[[#This Row],[Birthweight (grams)]]*1.1/Table1[[#This Row],[BW_GA]])-1)/(Backend!$B$4/100*Table1[[#This Row],[BW40_3705]]),"")</f>
        <v/>
      </c>
      <c r="J7957" s="7" t="str">
        <f>IF(Table1[[#This Row],[Is Data Valid]]=TRUE,_xlfn.NORM.S.DIST(Table1[[#This Row],[Birthweight Z-Score]],TRUE)*100,"")</f>
        <v/>
      </c>
      <c r="K7957" s="7" t="str">
        <f>IF(Table1[[#This Row],[Is Data Valid]]=TRUE,_xlfn.NORM.S.DIST(Table1[[#This Row],[Birthweight Z-Score (BW-10%)]],TRUE)*100,"")</f>
        <v/>
      </c>
      <c r="L7957" s="7" t="str">
        <f>IF(Table1[[#This Row],[Is Data Valid]]=TRUE,_xlfn.NORM.S.DIST(Table1[[#This Row],[Birthweight Z-Score (BW+10%)]],TRUE)*100,"")</f>
        <v/>
      </c>
    </row>
    <row r="7958" spans="1:12" x14ac:dyDescent="0.35">
      <c r="A7958" s="3"/>
      <c r="B7958" s="2"/>
      <c r="C7958" s="2"/>
      <c r="D7958" s="2" t="b">
        <f>IF(AND(NOT(ISBLANK(Table1[[#This Row],[Fetal Sex (Male, Female or Unknown)]])),ISNUMBER(Table1[[#This Row],[Birthweight (grams)]]),ISNUMBER(Table1[[#This Row],[Gestation (days)]])),TRUE,FALSE)</f>
        <v>0</v>
      </c>
      <c r="E7958" s="2" t="str">
        <f>IF(Table1[[#This Row],[Is Data Valid]]=TRUE,IF(Table1[[#This Row],[Fetal Sex (Male, Female or Unknown)]]="Male",Backend!$C$6,IF(Table1[[#This Row],[Fetal Sex (Male, Female or Unknown)]]="Female",Backend!$C$7,IF(Table1[[#This Row],[Fetal Sex (Male, Female or Unknown)]]="Unknown",Backend!$C$8,"Error"))),"")</f>
        <v/>
      </c>
      <c r="F7958" s="8" t="str">
        <f>IF(Table1[[#This Row],[Is Data Valid]]=TRUE,EXP(0.578+0.332*((Table1[[#This Row],[Gestation (days)]]+0.5)/7)-0.00354*((Table1[[#This Row],[Gestation (days)]]+0.5)/7)^2)*Table1[[#This Row],[BW40_3705]],"")</f>
        <v/>
      </c>
      <c r="G7958" s="2" t="str">
        <f>IF(Table1[[#This Row],[Is Data Valid]]=TRUE,((Table1[[#This Row],[Birthweight (grams)]]/Table1[[#This Row],[BW_GA]])-1)/(Backend!$B$4/100*Table1[[#This Row],[BW40_3705]]),"")</f>
        <v/>
      </c>
      <c r="H7958" s="7" t="str">
        <f>IF(Table1[[#This Row],[Is Data Valid]]=TRUE,((Table1[[#This Row],[Birthweight (grams)]]*0.9/Table1[[#This Row],[BW_GA]])-1)/(Backend!$B$4/100*Table1[[#This Row],[BW40_3705]]),"")</f>
        <v/>
      </c>
      <c r="I7958" s="7" t="str">
        <f>IF(Table1[[#This Row],[Is Data Valid]]=TRUE,((Table1[[#This Row],[Birthweight (grams)]]*1.1/Table1[[#This Row],[BW_GA]])-1)/(Backend!$B$4/100*Table1[[#This Row],[BW40_3705]]),"")</f>
        <v/>
      </c>
      <c r="J7958" s="7" t="str">
        <f>IF(Table1[[#This Row],[Is Data Valid]]=TRUE,_xlfn.NORM.S.DIST(Table1[[#This Row],[Birthweight Z-Score]],TRUE)*100,"")</f>
        <v/>
      </c>
      <c r="K7958" s="7" t="str">
        <f>IF(Table1[[#This Row],[Is Data Valid]]=TRUE,_xlfn.NORM.S.DIST(Table1[[#This Row],[Birthweight Z-Score (BW-10%)]],TRUE)*100,"")</f>
        <v/>
      </c>
      <c r="L7958" s="7" t="str">
        <f>IF(Table1[[#This Row],[Is Data Valid]]=TRUE,_xlfn.NORM.S.DIST(Table1[[#This Row],[Birthweight Z-Score (BW+10%)]],TRUE)*100,"")</f>
        <v/>
      </c>
    </row>
    <row r="7959" spans="1:12" x14ac:dyDescent="0.35">
      <c r="A7959" s="3"/>
      <c r="B7959" s="2"/>
      <c r="C7959" s="2"/>
      <c r="D7959" s="2" t="b">
        <f>IF(AND(NOT(ISBLANK(Table1[[#This Row],[Fetal Sex (Male, Female or Unknown)]])),ISNUMBER(Table1[[#This Row],[Birthweight (grams)]]),ISNUMBER(Table1[[#This Row],[Gestation (days)]])),TRUE,FALSE)</f>
        <v>0</v>
      </c>
      <c r="E7959" s="2" t="str">
        <f>IF(Table1[[#This Row],[Is Data Valid]]=TRUE,IF(Table1[[#This Row],[Fetal Sex (Male, Female or Unknown)]]="Male",Backend!$C$6,IF(Table1[[#This Row],[Fetal Sex (Male, Female or Unknown)]]="Female",Backend!$C$7,IF(Table1[[#This Row],[Fetal Sex (Male, Female or Unknown)]]="Unknown",Backend!$C$8,"Error"))),"")</f>
        <v/>
      </c>
      <c r="F7959" s="8" t="str">
        <f>IF(Table1[[#This Row],[Is Data Valid]]=TRUE,EXP(0.578+0.332*((Table1[[#This Row],[Gestation (days)]]+0.5)/7)-0.00354*((Table1[[#This Row],[Gestation (days)]]+0.5)/7)^2)*Table1[[#This Row],[BW40_3705]],"")</f>
        <v/>
      </c>
      <c r="G7959" s="2" t="str">
        <f>IF(Table1[[#This Row],[Is Data Valid]]=TRUE,((Table1[[#This Row],[Birthweight (grams)]]/Table1[[#This Row],[BW_GA]])-1)/(Backend!$B$4/100*Table1[[#This Row],[BW40_3705]]),"")</f>
        <v/>
      </c>
      <c r="H7959" s="7" t="str">
        <f>IF(Table1[[#This Row],[Is Data Valid]]=TRUE,((Table1[[#This Row],[Birthweight (grams)]]*0.9/Table1[[#This Row],[BW_GA]])-1)/(Backend!$B$4/100*Table1[[#This Row],[BW40_3705]]),"")</f>
        <v/>
      </c>
      <c r="I7959" s="7" t="str">
        <f>IF(Table1[[#This Row],[Is Data Valid]]=TRUE,((Table1[[#This Row],[Birthweight (grams)]]*1.1/Table1[[#This Row],[BW_GA]])-1)/(Backend!$B$4/100*Table1[[#This Row],[BW40_3705]]),"")</f>
        <v/>
      </c>
      <c r="J7959" s="7" t="str">
        <f>IF(Table1[[#This Row],[Is Data Valid]]=TRUE,_xlfn.NORM.S.DIST(Table1[[#This Row],[Birthweight Z-Score]],TRUE)*100,"")</f>
        <v/>
      </c>
      <c r="K7959" s="7" t="str">
        <f>IF(Table1[[#This Row],[Is Data Valid]]=TRUE,_xlfn.NORM.S.DIST(Table1[[#This Row],[Birthweight Z-Score (BW-10%)]],TRUE)*100,"")</f>
        <v/>
      </c>
      <c r="L7959" s="7" t="str">
        <f>IF(Table1[[#This Row],[Is Data Valid]]=TRUE,_xlfn.NORM.S.DIST(Table1[[#This Row],[Birthweight Z-Score (BW+10%)]],TRUE)*100,"")</f>
        <v/>
      </c>
    </row>
    <row r="7960" spans="1:12" x14ac:dyDescent="0.35">
      <c r="A7960" s="3"/>
      <c r="B7960" s="2"/>
      <c r="C7960" s="2"/>
      <c r="D7960" s="2" t="b">
        <f>IF(AND(NOT(ISBLANK(Table1[[#This Row],[Fetal Sex (Male, Female or Unknown)]])),ISNUMBER(Table1[[#This Row],[Birthweight (grams)]]),ISNUMBER(Table1[[#This Row],[Gestation (days)]])),TRUE,FALSE)</f>
        <v>0</v>
      </c>
      <c r="E7960" s="2" t="str">
        <f>IF(Table1[[#This Row],[Is Data Valid]]=TRUE,IF(Table1[[#This Row],[Fetal Sex (Male, Female or Unknown)]]="Male",Backend!$C$6,IF(Table1[[#This Row],[Fetal Sex (Male, Female or Unknown)]]="Female",Backend!$C$7,IF(Table1[[#This Row],[Fetal Sex (Male, Female or Unknown)]]="Unknown",Backend!$C$8,"Error"))),"")</f>
        <v/>
      </c>
      <c r="F7960" s="8" t="str">
        <f>IF(Table1[[#This Row],[Is Data Valid]]=TRUE,EXP(0.578+0.332*((Table1[[#This Row],[Gestation (days)]]+0.5)/7)-0.00354*((Table1[[#This Row],[Gestation (days)]]+0.5)/7)^2)*Table1[[#This Row],[BW40_3705]],"")</f>
        <v/>
      </c>
      <c r="G7960" s="2" t="str">
        <f>IF(Table1[[#This Row],[Is Data Valid]]=TRUE,((Table1[[#This Row],[Birthweight (grams)]]/Table1[[#This Row],[BW_GA]])-1)/(Backend!$B$4/100*Table1[[#This Row],[BW40_3705]]),"")</f>
        <v/>
      </c>
      <c r="H7960" s="7" t="str">
        <f>IF(Table1[[#This Row],[Is Data Valid]]=TRUE,((Table1[[#This Row],[Birthweight (grams)]]*0.9/Table1[[#This Row],[BW_GA]])-1)/(Backend!$B$4/100*Table1[[#This Row],[BW40_3705]]),"")</f>
        <v/>
      </c>
      <c r="I7960" s="7" t="str">
        <f>IF(Table1[[#This Row],[Is Data Valid]]=TRUE,((Table1[[#This Row],[Birthweight (grams)]]*1.1/Table1[[#This Row],[BW_GA]])-1)/(Backend!$B$4/100*Table1[[#This Row],[BW40_3705]]),"")</f>
        <v/>
      </c>
      <c r="J7960" s="7" t="str">
        <f>IF(Table1[[#This Row],[Is Data Valid]]=TRUE,_xlfn.NORM.S.DIST(Table1[[#This Row],[Birthweight Z-Score]],TRUE)*100,"")</f>
        <v/>
      </c>
      <c r="K7960" s="7" t="str">
        <f>IF(Table1[[#This Row],[Is Data Valid]]=TRUE,_xlfn.NORM.S.DIST(Table1[[#This Row],[Birthweight Z-Score (BW-10%)]],TRUE)*100,"")</f>
        <v/>
      </c>
      <c r="L7960" s="7" t="str">
        <f>IF(Table1[[#This Row],[Is Data Valid]]=TRUE,_xlfn.NORM.S.DIST(Table1[[#This Row],[Birthweight Z-Score (BW+10%)]],TRUE)*100,"")</f>
        <v/>
      </c>
    </row>
    <row r="7961" spans="1:12" x14ac:dyDescent="0.35">
      <c r="A7961" s="3"/>
      <c r="B7961" s="2"/>
      <c r="C7961" s="2"/>
      <c r="D7961" s="2" t="b">
        <f>IF(AND(NOT(ISBLANK(Table1[[#This Row],[Fetal Sex (Male, Female or Unknown)]])),ISNUMBER(Table1[[#This Row],[Birthweight (grams)]]),ISNUMBER(Table1[[#This Row],[Gestation (days)]])),TRUE,FALSE)</f>
        <v>0</v>
      </c>
      <c r="E7961" s="2" t="str">
        <f>IF(Table1[[#This Row],[Is Data Valid]]=TRUE,IF(Table1[[#This Row],[Fetal Sex (Male, Female or Unknown)]]="Male",Backend!$C$6,IF(Table1[[#This Row],[Fetal Sex (Male, Female or Unknown)]]="Female",Backend!$C$7,IF(Table1[[#This Row],[Fetal Sex (Male, Female or Unknown)]]="Unknown",Backend!$C$8,"Error"))),"")</f>
        <v/>
      </c>
      <c r="F7961" s="8" t="str">
        <f>IF(Table1[[#This Row],[Is Data Valid]]=TRUE,EXP(0.578+0.332*((Table1[[#This Row],[Gestation (days)]]+0.5)/7)-0.00354*((Table1[[#This Row],[Gestation (days)]]+0.5)/7)^2)*Table1[[#This Row],[BW40_3705]],"")</f>
        <v/>
      </c>
      <c r="G7961" s="2" t="str">
        <f>IF(Table1[[#This Row],[Is Data Valid]]=TRUE,((Table1[[#This Row],[Birthweight (grams)]]/Table1[[#This Row],[BW_GA]])-1)/(Backend!$B$4/100*Table1[[#This Row],[BW40_3705]]),"")</f>
        <v/>
      </c>
      <c r="H7961" s="7" t="str">
        <f>IF(Table1[[#This Row],[Is Data Valid]]=TRUE,((Table1[[#This Row],[Birthweight (grams)]]*0.9/Table1[[#This Row],[BW_GA]])-1)/(Backend!$B$4/100*Table1[[#This Row],[BW40_3705]]),"")</f>
        <v/>
      </c>
      <c r="I7961" s="7" t="str">
        <f>IF(Table1[[#This Row],[Is Data Valid]]=TRUE,((Table1[[#This Row],[Birthweight (grams)]]*1.1/Table1[[#This Row],[BW_GA]])-1)/(Backend!$B$4/100*Table1[[#This Row],[BW40_3705]]),"")</f>
        <v/>
      </c>
      <c r="J7961" s="7" t="str">
        <f>IF(Table1[[#This Row],[Is Data Valid]]=TRUE,_xlfn.NORM.S.DIST(Table1[[#This Row],[Birthweight Z-Score]],TRUE)*100,"")</f>
        <v/>
      </c>
      <c r="K7961" s="7" t="str">
        <f>IF(Table1[[#This Row],[Is Data Valid]]=TRUE,_xlfn.NORM.S.DIST(Table1[[#This Row],[Birthweight Z-Score (BW-10%)]],TRUE)*100,"")</f>
        <v/>
      </c>
      <c r="L7961" s="7" t="str">
        <f>IF(Table1[[#This Row],[Is Data Valid]]=TRUE,_xlfn.NORM.S.DIST(Table1[[#This Row],[Birthweight Z-Score (BW+10%)]],TRUE)*100,"")</f>
        <v/>
      </c>
    </row>
    <row r="7962" spans="1:12" x14ac:dyDescent="0.35">
      <c r="A7962" s="3"/>
      <c r="B7962" s="2"/>
      <c r="C7962" s="2"/>
      <c r="D7962" s="2" t="b">
        <f>IF(AND(NOT(ISBLANK(Table1[[#This Row],[Fetal Sex (Male, Female or Unknown)]])),ISNUMBER(Table1[[#This Row],[Birthweight (grams)]]),ISNUMBER(Table1[[#This Row],[Gestation (days)]])),TRUE,FALSE)</f>
        <v>0</v>
      </c>
      <c r="E7962" s="2" t="str">
        <f>IF(Table1[[#This Row],[Is Data Valid]]=TRUE,IF(Table1[[#This Row],[Fetal Sex (Male, Female or Unknown)]]="Male",Backend!$C$6,IF(Table1[[#This Row],[Fetal Sex (Male, Female or Unknown)]]="Female",Backend!$C$7,IF(Table1[[#This Row],[Fetal Sex (Male, Female or Unknown)]]="Unknown",Backend!$C$8,"Error"))),"")</f>
        <v/>
      </c>
      <c r="F7962" s="8" t="str">
        <f>IF(Table1[[#This Row],[Is Data Valid]]=TRUE,EXP(0.578+0.332*((Table1[[#This Row],[Gestation (days)]]+0.5)/7)-0.00354*((Table1[[#This Row],[Gestation (days)]]+0.5)/7)^2)*Table1[[#This Row],[BW40_3705]],"")</f>
        <v/>
      </c>
      <c r="G7962" s="2" t="str">
        <f>IF(Table1[[#This Row],[Is Data Valid]]=TRUE,((Table1[[#This Row],[Birthweight (grams)]]/Table1[[#This Row],[BW_GA]])-1)/(Backend!$B$4/100*Table1[[#This Row],[BW40_3705]]),"")</f>
        <v/>
      </c>
      <c r="H7962" s="7" t="str">
        <f>IF(Table1[[#This Row],[Is Data Valid]]=TRUE,((Table1[[#This Row],[Birthweight (grams)]]*0.9/Table1[[#This Row],[BW_GA]])-1)/(Backend!$B$4/100*Table1[[#This Row],[BW40_3705]]),"")</f>
        <v/>
      </c>
      <c r="I7962" s="7" t="str">
        <f>IF(Table1[[#This Row],[Is Data Valid]]=TRUE,((Table1[[#This Row],[Birthweight (grams)]]*1.1/Table1[[#This Row],[BW_GA]])-1)/(Backend!$B$4/100*Table1[[#This Row],[BW40_3705]]),"")</f>
        <v/>
      </c>
      <c r="J7962" s="7" t="str">
        <f>IF(Table1[[#This Row],[Is Data Valid]]=TRUE,_xlfn.NORM.S.DIST(Table1[[#This Row],[Birthweight Z-Score]],TRUE)*100,"")</f>
        <v/>
      </c>
      <c r="K7962" s="7" t="str">
        <f>IF(Table1[[#This Row],[Is Data Valid]]=TRUE,_xlfn.NORM.S.DIST(Table1[[#This Row],[Birthweight Z-Score (BW-10%)]],TRUE)*100,"")</f>
        <v/>
      </c>
      <c r="L7962" s="7" t="str">
        <f>IF(Table1[[#This Row],[Is Data Valid]]=TRUE,_xlfn.NORM.S.DIST(Table1[[#This Row],[Birthweight Z-Score (BW+10%)]],TRUE)*100,"")</f>
        <v/>
      </c>
    </row>
    <row r="7963" spans="1:12" x14ac:dyDescent="0.35">
      <c r="A7963" s="3"/>
      <c r="B7963" s="2"/>
      <c r="C7963" s="2"/>
      <c r="D7963" s="2" t="b">
        <f>IF(AND(NOT(ISBLANK(Table1[[#This Row],[Fetal Sex (Male, Female or Unknown)]])),ISNUMBER(Table1[[#This Row],[Birthweight (grams)]]),ISNUMBER(Table1[[#This Row],[Gestation (days)]])),TRUE,FALSE)</f>
        <v>0</v>
      </c>
      <c r="E7963" s="2" t="str">
        <f>IF(Table1[[#This Row],[Is Data Valid]]=TRUE,IF(Table1[[#This Row],[Fetal Sex (Male, Female or Unknown)]]="Male",Backend!$C$6,IF(Table1[[#This Row],[Fetal Sex (Male, Female or Unknown)]]="Female",Backend!$C$7,IF(Table1[[#This Row],[Fetal Sex (Male, Female or Unknown)]]="Unknown",Backend!$C$8,"Error"))),"")</f>
        <v/>
      </c>
      <c r="F7963" s="8" t="str">
        <f>IF(Table1[[#This Row],[Is Data Valid]]=TRUE,EXP(0.578+0.332*((Table1[[#This Row],[Gestation (days)]]+0.5)/7)-0.00354*((Table1[[#This Row],[Gestation (days)]]+0.5)/7)^2)*Table1[[#This Row],[BW40_3705]],"")</f>
        <v/>
      </c>
      <c r="G7963" s="2" t="str">
        <f>IF(Table1[[#This Row],[Is Data Valid]]=TRUE,((Table1[[#This Row],[Birthweight (grams)]]/Table1[[#This Row],[BW_GA]])-1)/(Backend!$B$4/100*Table1[[#This Row],[BW40_3705]]),"")</f>
        <v/>
      </c>
      <c r="H7963" s="7" t="str">
        <f>IF(Table1[[#This Row],[Is Data Valid]]=TRUE,((Table1[[#This Row],[Birthweight (grams)]]*0.9/Table1[[#This Row],[BW_GA]])-1)/(Backend!$B$4/100*Table1[[#This Row],[BW40_3705]]),"")</f>
        <v/>
      </c>
      <c r="I7963" s="7" t="str">
        <f>IF(Table1[[#This Row],[Is Data Valid]]=TRUE,((Table1[[#This Row],[Birthweight (grams)]]*1.1/Table1[[#This Row],[BW_GA]])-1)/(Backend!$B$4/100*Table1[[#This Row],[BW40_3705]]),"")</f>
        <v/>
      </c>
      <c r="J7963" s="7" t="str">
        <f>IF(Table1[[#This Row],[Is Data Valid]]=TRUE,_xlfn.NORM.S.DIST(Table1[[#This Row],[Birthweight Z-Score]],TRUE)*100,"")</f>
        <v/>
      </c>
      <c r="K7963" s="7" t="str">
        <f>IF(Table1[[#This Row],[Is Data Valid]]=TRUE,_xlfn.NORM.S.DIST(Table1[[#This Row],[Birthweight Z-Score (BW-10%)]],TRUE)*100,"")</f>
        <v/>
      </c>
      <c r="L7963" s="7" t="str">
        <f>IF(Table1[[#This Row],[Is Data Valid]]=TRUE,_xlfn.NORM.S.DIST(Table1[[#This Row],[Birthweight Z-Score (BW+10%)]],TRUE)*100,"")</f>
        <v/>
      </c>
    </row>
    <row r="7964" spans="1:12" x14ac:dyDescent="0.35">
      <c r="A7964" s="3"/>
      <c r="B7964" s="2"/>
      <c r="C7964" s="2"/>
      <c r="D7964" s="2" t="b">
        <f>IF(AND(NOT(ISBLANK(Table1[[#This Row],[Fetal Sex (Male, Female or Unknown)]])),ISNUMBER(Table1[[#This Row],[Birthweight (grams)]]),ISNUMBER(Table1[[#This Row],[Gestation (days)]])),TRUE,FALSE)</f>
        <v>0</v>
      </c>
      <c r="E7964" s="2" t="str">
        <f>IF(Table1[[#This Row],[Is Data Valid]]=TRUE,IF(Table1[[#This Row],[Fetal Sex (Male, Female or Unknown)]]="Male",Backend!$C$6,IF(Table1[[#This Row],[Fetal Sex (Male, Female or Unknown)]]="Female",Backend!$C$7,IF(Table1[[#This Row],[Fetal Sex (Male, Female or Unknown)]]="Unknown",Backend!$C$8,"Error"))),"")</f>
        <v/>
      </c>
      <c r="F7964" s="8" t="str">
        <f>IF(Table1[[#This Row],[Is Data Valid]]=TRUE,EXP(0.578+0.332*((Table1[[#This Row],[Gestation (days)]]+0.5)/7)-0.00354*((Table1[[#This Row],[Gestation (days)]]+0.5)/7)^2)*Table1[[#This Row],[BW40_3705]],"")</f>
        <v/>
      </c>
      <c r="G7964" s="2" t="str">
        <f>IF(Table1[[#This Row],[Is Data Valid]]=TRUE,((Table1[[#This Row],[Birthweight (grams)]]/Table1[[#This Row],[BW_GA]])-1)/(Backend!$B$4/100*Table1[[#This Row],[BW40_3705]]),"")</f>
        <v/>
      </c>
      <c r="H7964" s="7" t="str">
        <f>IF(Table1[[#This Row],[Is Data Valid]]=TRUE,((Table1[[#This Row],[Birthweight (grams)]]*0.9/Table1[[#This Row],[BW_GA]])-1)/(Backend!$B$4/100*Table1[[#This Row],[BW40_3705]]),"")</f>
        <v/>
      </c>
      <c r="I7964" s="7" t="str">
        <f>IF(Table1[[#This Row],[Is Data Valid]]=TRUE,((Table1[[#This Row],[Birthweight (grams)]]*1.1/Table1[[#This Row],[BW_GA]])-1)/(Backend!$B$4/100*Table1[[#This Row],[BW40_3705]]),"")</f>
        <v/>
      </c>
      <c r="J7964" s="7" t="str">
        <f>IF(Table1[[#This Row],[Is Data Valid]]=TRUE,_xlfn.NORM.S.DIST(Table1[[#This Row],[Birthweight Z-Score]],TRUE)*100,"")</f>
        <v/>
      </c>
      <c r="K7964" s="7" t="str">
        <f>IF(Table1[[#This Row],[Is Data Valid]]=TRUE,_xlfn.NORM.S.DIST(Table1[[#This Row],[Birthweight Z-Score (BW-10%)]],TRUE)*100,"")</f>
        <v/>
      </c>
      <c r="L7964" s="7" t="str">
        <f>IF(Table1[[#This Row],[Is Data Valid]]=TRUE,_xlfn.NORM.S.DIST(Table1[[#This Row],[Birthweight Z-Score (BW+10%)]],TRUE)*100,"")</f>
        <v/>
      </c>
    </row>
    <row r="7965" spans="1:12" x14ac:dyDescent="0.35">
      <c r="A7965" s="3"/>
      <c r="B7965" s="2"/>
      <c r="C7965" s="2"/>
      <c r="D7965" s="2" t="b">
        <f>IF(AND(NOT(ISBLANK(Table1[[#This Row],[Fetal Sex (Male, Female or Unknown)]])),ISNUMBER(Table1[[#This Row],[Birthweight (grams)]]),ISNUMBER(Table1[[#This Row],[Gestation (days)]])),TRUE,FALSE)</f>
        <v>0</v>
      </c>
      <c r="E7965" s="2" t="str">
        <f>IF(Table1[[#This Row],[Is Data Valid]]=TRUE,IF(Table1[[#This Row],[Fetal Sex (Male, Female or Unknown)]]="Male",Backend!$C$6,IF(Table1[[#This Row],[Fetal Sex (Male, Female or Unknown)]]="Female",Backend!$C$7,IF(Table1[[#This Row],[Fetal Sex (Male, Female or Unknown)]]="Unknown",Backend!$C$8,"Error"))),"")</f>
        <v/>
      </c>
      <c r="F7965" s="8" t="str">
        <f>IF(Table1[[#This Row],[Is Data Valid]]=TRUE,EXP(0.578+0.332*((Table1[[#This Row],[Gestation (days)]]+0.5)/7)-0.00354*((Table1[[#This Row],[Gestation (days)]]+0.5)/7)^2)*Table1[[#This Row],[BW40_3705]],"")</f>
        <v/>
      </c>
      <c r="G7965" s="2" t="str">
        <f>IF(Table1[[#This Row],[Is Data Valid]]=TRUE,((Table1[[#This Row],[Birthweight (grams)]]/Table1[[#This Row],[BW_GA]])-1)/(Backend!$B$4/100*Table1[[#This Row],[BW40_3705]]),"")</f>
        <v/>
      </c>
      <c r="H7965" s="7" t="str">
        <f>IF(Table1[[#This Row],[Is Data Valid]]=TRUE,((Table1[[#This Row],[Birthweight (grams)]]*0.9/Table1[[#This Row],[BW_GA]])-1)/(Backend!$B$4/100*Table1[[#This Row],[BW40_3705]]),"")</f>
        <v/>
      </c>
      <c r="I7965" s="7" t="str">
        <f>IF(Table1[[#This Row],[Is Data Valid]]=TRUE,((Table1[[#This Row],[Birthweight (grams)]]*1.1/Table1[[#This Row],[BW_GA]])-1)/(Backend!$B$4/100*Table1[[#This Row],[BW40_3705]]),"")</f>
        <v/>
      </c>
      <c r="J7965" s="7" t="str">
        <f>IF(Table1[[#This Row],[Is Data Valid]]=TRUE,_xlfn.NORM.S.DIST(Table1[[#This Row],[Birthweight Z-Score]],TRUE)*100,"")</f>
        <v/>
      </c>
      <c r="K7965" s="7" t="str">
        <f>IF(Table1[[#This Row],[Is Data Valid]]=TRUE,_xlfn.NORM.S.DIST(Table1[[#This Row],[Birthweight Z-Score (BW-10%)]],TRUE)*100,"")</f>
        <v/>
      </c>
      <c r="L7965" s="7" t="str">
        <f>IF(Table1[[#This Row],[Is Data Valid]]=TRUE,_xlfn.NORM.S.DIST(Table1[[#This Row],[Birthweight Z-Score (BW+10%)]],TRUE)*100,"")</f>
        <v/>
      </c>
    </row>
    <row r="7966" spans="1:12" x14ac:dyDescent="0.35">
      <c r="A7966" s="3"/>
      <c r="B7966" s="2"/>
      <c r="C7966" s="2"/>
      <c r="D7966" s="2" t="b">
        <f>IF(AND(NOT(ISBLANK(Table1[[#This Row],[Fetal Sex (Male, Female or Unknown)]])),ISNUMBER(Table1[[#This Row],[Birthweight (grams)]]),ISNUMBER(Table1[[#This Row],[Gestation (days)]])),TRUE,FALSE)</f>
        <v>0</v>
      </c>
      <c r="E7966" s="2" t="str">
        <f>IF(Table1[[#This Row],[Is Data Valid]]=TRUE,IF(Table1[[#This Row],[Fetal Sex (Male, Female or Unknown)]]="Male",Backend!$C$6,IF(Table1[[#This Row],[Fetal Sex (Male, Female or Unknown)]]="Female",Backend!$C$7,IF(Table1[[#This Row],[Fetal Sex (Male, Female or Unknown)]]="Unknown",Backend!$C$8,"Error"))),"")</f>
        <v/>
      </c>
      <c r="F7966" s="8" t="str">
        <f>IF(Table1[[#This Row],[Is Data Valid]]=TRUE,EXP(0.578+0.332*((Table1[[#This Row],[Gestation (days)]]+0.5)/7)-0.00354*((Table1[[#This Row],[Gestation (days)]]+0.5)/7)^2)*Table1[[#This Row],[BW40_3705]],"")</f>
        <v/>
      </c>
      <c r="G7966" s="2" t="str">
        <f>IF(Table1[[#This Row],[Is Data Valid]]=TRUE,((Table1[[#This Row],[Birthweight (grams)]]/Table1[[#This Row],[BW_GA]])-1)/(Backend!$B$4/100*Table1[[#This Row],[BW40_3705]]),"")</f>
        <v/>
      </c>
      <c r="H7966" s="7" t="str">
        <f>IF(Table1[[#This Row],[Is Data Valid]]=TRUE,((Table1[[#This Row],[Birthweight (grams)]]*0.9/Table1[[#This Row],[BW_GA]])-1)/(Backend!$B$4/100*Table1[[#This Row],[BW40_3705]]),"")</f>
        <v/>
      </c>
      <c r="I7966" s="7" t="str">
        <f>IF(Table1[[#This Row],[Is Data Valid]]=TRUE,((Table1[[#This Row],[Birthweight (grams)]]*1.1/Table1[[#This Row],[BW_GA]])-1)/(Backend!$B$4/100*Table1[[#This Row],[BW40_3705]]),"")</f>
        <v/>
      </c>
      <c r="J7966" s="7" t="str">
        <f>IF(Table1[[#This Row],[Is Data Valid]]=TRUE,_xlfn.NORM.S.DIST(Table1[[#This Row],[Birthweight Z-Score]],TRUE)*100,"")</f>
        <v/>
      </c>
      <c r="K7966" s="7" t="str">
        <f>IF(Table1[[#This Row],[Is Data Valid]]=TRUE,_xlfn.NORM.S.DIST(Table1[[#This Row],[Birthweight Z-Score (BW-10%)]],TRUE)*100,"")</f>
        <v/>
      </c>
      <c r="L7966" s="7" t="str">
        <f>IF(Table1[[#This Row],[Is Data Valid]]=TRUE,_xlfn.NORM.S.DIST(Table1[[#This Row],[Birthweight Z-Score (BW+10%)]],TRUE)*100,"")</f>
        <v/>
      </c>
    </row>
    <row r="7967" spans="1:12" x14ac:dyDescent="0.35">
      <c r="A7967" s="3"/>
      <c r="B7967" s="2"/>
      <c r="C7967" s="2"/>
      <c r="D7967" s="2" t="b">
        <f>IF(AND(NOT(ISBLANK(Table1[[#This Row],[Fetal Sex (Male, Female or Unknown)]])),ISNUMBER(Table1[[#This Row],[Birthweight (grams)]]),ISNUMBER(Table1[[#This Row],[Gestation (days)]])),TRUE,FALSE)</f>
        <v>0</v>
      </c>
      <c r="E7967" s="2" t="str">
        <f>IF(Table1[[#This Row],[Is Data Valid]]=TRUE,IF(Table1[[#This Row],[Fetal Sex (Male, Female or Unknown)]]="Male",Backend!$C$6,IF(Table1[[#This Row],[Fetal Sex (Male, Female or Unknown)]]="Female",Backend!$C$7,IF(Table1[[#This Row],[Fetal Sex (Male, Female or Unknown)]]="Unknown",Backend!$C$8,"Error"))),"")</f>
        <v/>
      </c>
      <c r="F7967" s="8" t="str">
        <f>IF(Table1[[#This Row],[Is Data Valid]]=TRUE,EXP(0.578+0.332*((Table1[[#This Row],[Gestation (days)]]+0.5)/7)-0.00354*((Table1[[#This Row],[Gestation (days)]]+0.5)/7)^2)*Table1[[#This Row],[BW40_3705]],"")</f>
        <v/>
      </c>
      <c r="G7967" s="2" t="str">
        <f>IF(Table1[[#This Row],[Is Data Valid]]=TRUE,((Table1[[#This Row],[Birthweight (grams)]]/Table1[[#This Row],[BW_GA]])-1)/(Backend!$B$4/100*Table1[[#This Row],[BW40_3705]]),"")</f>
        <v/>
      </c>
      <c r="H7967" s="7" t="str">
        <f>IF(Table1[[#This Row],[Is Data Valid]]=TRUE,((Table1[[#This Row],[Birthweight (grams)]]*0.9/Table1[[#This Row],[BW_GA]])-1)/(Backend!$B$4/100*Table1[[#This Row],[BW40_3705]]),"")</f>
        <v/>
      </c>
      <c r="I7967" s="7" t="str">
        <f>IF(Table1[[#This Row],[Is Data Valid]]=TRUE,((Table1[[#This Row],[Birthweight (grams)]]*1.1/Table1[[#This Row],[BW_GA]])-1)/(Backend!$B$4/100*Table1[[#This Row],[BW40_3705]]),"")</f>
        <v/>
      </c>
      <c r="J7967" s="7" t="str">
        <f>IF(Table1[[#This Row],[Is Data Valid]]=TRUE,_xlfn.NORM.S.DIST(Table1[[#This Row],[Birthweight Z-Score]],TRUE)*100,"")</f>
        <v/>
      </c>
      <c r="K7967" s="7" t="str">
        <f>IF(Table1[[#This Row],[Is Data Valid]]=TRUE,_xlfn.NORM.S.DIST(Table1[[#This Row],[Birthweight Z-Score (BW-10%)]],TRUE)*100,"")</f>
        <v/>
      </c>
      <c r="L7967" s="7" t="str">
        <f>IF(Table1[[#This Row],[Is Data Valid]]=TRUE,_xlfn.NORM.S.DIST(Table1[[#This Row],[Birthweight Z-Score (BW+10%)]],TRUE)*100,"")</f>
        <v/>
      </c>
    </row>
    <row r="7968" spans="1:12" x14ac:dyDescent="0.35">
      <c r="A7968" s="3"/>
      <c r="B7968" s="2"/>
      <c r="C7968" s="2"/>
      <c r="D7968" s="2" t="b">
        <f>IF(AND(NOT(ISBLANK(Table1[[#This Row],[Fetal Sex (Male, Female or Unknown)]])),ISNUMBER(Table1[[#This Row],[Birthweight (grams)]]),ISNUMBER(Table1[[#This Row],[Gestation (days)]])),TRUE,FALSE)</f>
        <v>0</v>
      </c>
      <c r="E7968" s="2" t="str">
        <f>IF(Table1[[#This Row],[Is Data Valid]]=TRUE,IF(Table1[[#This Row],[Fetal Sex (Male, Female or Unknown)]]="Male",Backend!$C$6,IF(Table1[[#This Row],[Fetal Sex (Male, Female or Unknown)]]="Female",Backend!$C$7,IF(Table1[[#This Row],[Fetal Sex (Male, Female or Unknown)]]="Unknown",Backend!$C$8,"Error"))),"")</f>
        <v/>
      </c>
      <c r="F7968" s="8" t="str">
        <f>IF(Table1[[#This Row],[Is Data Valid]]=TRUE,EXP(0.578+0.332*((Table1[[#This Row],[Gestation (days)]]+0.5)/7)-0.00354*((Table1[[#This Row],[Gestation (days)]]+0.5)/7)^2)*Table1[[#This Row],[BW40_3705]],"")</f>
        <v/>
      </c>
      <c r="G7968" s="2" t="str">
        <f>IF(Table1[[#This Row],[Is Data Valid]]=TRUE,((Table1[[#This Row],[Birthweight (grams)]]/Table1[[#This Row],[BW_GA]])-1)/(Backend!$B$4/100*Table1[[#This Row],[BW40_3705]]),"")</f>
        <v/>
      </c>
      <c r="H7968" s="7" t="str">
        <f>IF(Table1[[#This Row],[Is Data Valid]]=TRUE,((Table1[[#This Row],[Birthweight (grams)]]*0.9/Table1[[#This Row],[BW_GA]])-1)/(Backend!$B$4/100*Table1[[#This Row],[BW40_3705]]),"")</f>
        <v/>
      </c>
      <c r="I7968" s="7" t="str">
        <f>IF(Table1[[#This Row],[Is Data Valid]]=TRUE,((Table1[[#This Row],[Birthweight (grams)]]*1.1/Table1[[#This Row],[BW_GA]])-1)/(Backend!$B$4/100*Table1[[#This Row],[BW40_3705]]),"")</f>
        <v/>
      </c>
      <c r="J7968" s="7" t="str">
        <f>IF(Table1[[#This Row],[Is Data Valid]]=TRUE,_xlfn.NORM.S.DIST(Table1[[#This Row],[Birthweight Z-Score]],TRUE)*100,"")</f>
        <v/>
      </c>
      <c r="K7968" s="7" t="str">
        <f>IF(Table1[[#This Row],[Is Data Valid]]=TRUE,_xlfn.NORM.S.DIST(Table1[[#This Row],[Birthweight Z-Score (BW-10%)]],TRUE)*100,"")</f>
        <v/>
      </c>
      <c r="L7968" s="7" t="str">
        <f>IF(Table1[[#This Row],[Is Data Valid]]=TRUE,_xlfn.NORM.S.DIST(Table1[[#This Row],[Birthweight Z-Score (BW+10%)]],TRUE)*100,"")</f>
        <v/>
      </c>
    </row>
    <row r="7969" spans="1:12" x14ac:dyDescent="0.35">
      <c r="A7969" s="3"/>
      <c r="B7969" s="2"/>
      <c r="C7969" s="2"/>
      <c r="D7969" s="2" t="b">
        <f>IF(AND(NOT(ISBLANK(Table1[[#This Row],[Fetal Sex (Male, Female or Unknown)]])),ISNUMBER(Table1[[#This Row],[Birthweight (grams)]]),ISNUMBER(Table1[[#This Row],[Gestation (days)]])),TRUE,FALSE)</f>
        <v>0</v>
      </c>
      <c r="E7969" s="2" t="str">
        <f>IF(Table1[[#This Row],[Is Data Valid]]=TRUE,IF(Table1[[#This Row],[Fetal Sex (Male, Female or Unknown)]]="Male",Backend!$C$6,IF(Table1[[#This Row],[Fetal Sex (Male, Female or Unknown)]]="Female",Backend!$C$7,IF(Table1[[#This Row],[Fetal Sex (Male, Female or Unknown)]]="Unknown",Backend!$C$8,"Error"))),"")</f>
        <v/>
      </c>
      <c r="F7969" s="8" t="str">
        <f>IF(Table1[[#This Row],[Is Data Valid]]=TRUE,EXP(0.578+0.332*((Table1[[#This Row],[Gestation (days)]]+0.5)/7)-0.00354*((Table1[[#This Row],[Gestation (days)]]+0.5)/7)^2)*Table1[[#This Row],[BW40_3705]],"")</f>
        <v/>
      </c>
      <c r="G7969" s="2" t="str">
        <f>IF(Table1[[#This Row],[Is Data Valid]]=TRUE,((Table1[[#This Row],[Birthweight (grams)]]/Table1[[#This Row],[BW_GA]])-1)/(Backend!$B$4/100*Table1[[#This Row],[BW40_3705]]),"")</f>
        <v/>
      </c>
      <c r="H7969" s="7" t="str">
        <f>IF(Table1[[#This Row],[Is Data Valid]]=TRUE,((Table1[[#This Row],[Birthweight (grams)]]*0.9/Table1[[#This Row],[BW_GA]])-1)/(Backend!$B$4/100*Table1[[#This Row],[BW40_3705]]),"")</f>
        <v/>
      </c>
      <c r="I7969" s="7" t="str">
        <f>IF(Table1[[#This Row],[Is Data Valid]]=TRUE,((Table1[[#This Row],[Birthweight (grams)]]*1.1/Table1[[#This Row],[BW_GA]])-1)/(Backend!$B$4/100*Table1[[#This Row],[BW40_3705]]),"")</f>
        <v/>
      </c>
      <c r="J7969" s="7" t="str">
        <f>IF(Table1[[#This Row],[Is Data Valid]]=TRUE,_xlfn.NORM.S.DIST(Table1[[#This Row],[Birthweight Z-Score]],TRUE)*100,"")</f>
        <v/>
      </c>
      <c r="K7969" s="7" t="str">
        <f>IF(Table1[[#This Row],[Is Data Valid]]=TRUE,_xlfn.NORM.S.DIST(Table1[[#This Row],[Birthweight Z-Score (BW-10%)]],TRUE)*100,"")</f>
        <v/>
      </c>
      <c r="L7969" s="7" t="str">
        <f>IF(Table1[[#This Row],[Is Data Valid]]=TRUE,_xlfn.NORM.S.DIST(Table1[[#This Row],[Birthweight Z-Score (BW+10%)]],TRUE)*100,"")</f>
        <v/>
      </c>
    </row>
    <row r="7970" spans="1:12" x14ac:dyDescent="0.35">
      <c r="A7970" s="3"/>
      <c r="B7970" s="2"/>
      <c r="C7970" s="2"/>
      <c r="D7970" s="2" t="b">
        <f>IF(AND(NOT(ISBLANK(Table1[[#This Row],[Fetal Sex (Male, Female or Unknown)]])),ISNUMBER(Table1[[#This Row],[Birthweight (grams)]]),ISNUMBER(Table1[[#This Row],[Gestation (days)]])),TRUE,FALSE)</f>
        <v>0</v>
      </c>
      <c r="E7970" s="2" t="str">
        <f>IF(Table1[[#This Row],[Is Data Valid]]=TRUE,IF(Table1[[#This Row],[Fetal Sex (Male, Female or Unknown)]]="Male",Backend!$C$6,IF(Table1[[#This Row],[Fetal Sex (Male, Female or Unknown)]]="Female",Backend!$C$7,IF(Table1[[#This Row],[Fetal Sex (Male, Female or Unknown)]]="Unknown",Backend!$C$8,"Error"))),"")</f>
        <v/>
      </c>
      <c r="F7970" s="8" t="str">
        <f>IF(Table1[[#This Row],[Is Data Valid]]=TRUE,EXP(0.578+0.332*((Table1[[#This Row],[Gestation (days)]]+0.5)/7)-0.00354*((Table1[[#This Row],[Gestation (days)]]+0.5)/7)^2)*Table1[[#This Row],[BW40_3705]],"")</f>
        <v/>
      </c>
      <c r="G7970" s="2" t="str">
        <f>IF(Table1[[#This Row],[Is Data Valid]]=TRUE,((Table1[[#This Row],[Birthweight (grams)]]/Table1[[#This Row],[BW_GA]])-1)/(Backend!$B$4/100*Table1[[#This Row],[BW40_3705]]),"")</f>
        <v/>
      </c>
      <c r="H7970" s="7" t="str">
        <f>IF(Table1[[#This Row],[Is Data Valid]]=TRUE,((Table1[[#This Row],[Birthweight (grams)]]*0.9/Table1[[#This Row],[BW_GA]])-1)/(Backend!$B$4/100*Table1[[#This Row],[BW40_3705]]),"")</f>
        <v/>
      </c>
      <c r="I7970" s="7" t="str">
        <f>IF(Table1[[#This Row],[Is Data Valid]]=TRUE,((Table1[[#This Row],[Birthweight (grams)]]*1.1/Table1[[#This Row],[BW_GA]])-1)/(Backend!$B$4/100*Table1[[#This Row],[BW40_3705]]),"")</f>
        <v/>
      </c>
      <c r="J7970" s="7" t="str">
        <f>IF(Table1[[#This Row],[Is Data Valid]]=TRUE,_xlfn.NORM.S.DIST(Table1[[#This Row],[Birthweight Z-Score]],TRUE)*100,"")</f>
        <v/>
      </c>
      <c r="K7970" s="7" t="str">
        <f>IF(Table1[[#This Row],[Is Data Valid]]=TRUE,_xlfn.NORM.S.DIST(Table1[[#This Row],[Birthweight Z-Score (BW-10%)]],TRUE)*100,"")</f>
        <v/>
      </c>
      <c r="L7970" s="7" t="str">
        <f>IF(Table1[[#This Row],[Is Data Valid]]=TRUE,_xlfn.NORM.S.DIST(Table1[[#This Row],[Birthweight Z-Score (BW+10%)]],TRUE)*100,"")</f>
        <v/>
      </c>
    </row>
    <row r="7971" spans="1:12" x14ac:dyDescent="0.35">
      <c r="A7971" s="3"/>
      <c r="B7971" s="2"/>
      <c r="C7971" s="2"/>
      <c r="D7971" s="2" t="b">
        <f>IF(AND(NOT(ISBLANK(Table1[[#This Row],[Fetal Sex (Male, Female or Unknown)]])),ISNUMBER(Table1[[#This Row],[Birthweight (grams)]]),ISNUMBER(Table1[[#This Row],[Gestation (days)]])),TRUE,FALSE)</f>
        <v>0</v>
      </c>
      <c r="E7971" s="2" t="str">
        <f>IF(Table1[[#This Row],[Is Data Valid]]=TRUE,IF(Table1[[#This Row],[Fetal Sex (Male, Female or Unknown)]]="Male",Backend!$C$6,IF(Table1[[#This Row],[Fetal Sex (Male, Female or Unknown)]]="Female",Backend!$C$7,IF(Table1[[#This Row],[Fetal Sex (Male, Female or Unknown)]]="Unknown",Backend!$C$8,"Error"))),"")</f>
        <v/>
      </c>
      <c r="F7971" s="8" t="str">
        <f>IF(Table1[[#This Row],[Is Data Valid]]=TRUE,EXP(0.578+0.332*((Table1[[#This Row],[Gestation (days)]]+0.5)/7)-0.00354*((Table1[[#This Row],[Gestation (days)]]+0.5)/7)^2)*Table1[[#This Row],[BW40_3705]],"")</f>
        <v/>
      </c>
      <c r="G7971" s="2" t="str">
        <f>IF(Table1[[#This Row],[Is Data Valid]]=TRUE,((Table1[[#This Row],[Birthweight (grams)]]/Table1[[#This Row],[BW_GA]])-1)/(Backend!$B$4/100*Table1[[#This Row],[BW40_3705]]),"")</f>
        <v/>
      </c>
      <c r="H7971" s="7" t="str">
        <f>IF(Table1[[#This Row],[Is Data Valid]]=TRUE,((Table1[[#This Row],[Birthweight (grams)]]*0.9/Table1[[#This Row],[BW_GA]])-1)/(Backend!$B$4/100*Table1[[#This Row],[BW40_3705]]),"")</f>
        <v/>
      </c>
      <c r="I7971" s="7" t="str">
        <f>IF(Table1[[#This Row],[Is Data Valid]]=TRUE,((Table1[[#This Row],[Birthweight (grams)]]*1.1/Table1[[#This Row],[BW_GA]])-1)/(Backend!$B$4/100*Table1[[#This Row],[BW40_3705]]),"")</f>
        <v/>
      </c>
      <c r="J7971" s="7" t="str">
        <f>IF(Table1[[#This Row],[Is Data Valid]]=TRUE,_xlfn.NORM.S.DIST(Table1[[#This Row],[Birthweight Z-Score]],TRUE)*100,"")</f>
        <v/>
      </c>
      <c r="K7971" s="7" t="str">
        <f>IF(Table1[[#This Row],[Is Data Valid]]=TRUE,_xlfn.NORM.S.DIST(Table1[[#This Row],[Birthweight Z-Score (BW-10%)]],TRUE)*100,"")</f>
        <v/>
      </c>
      <c r="L7971" s="7" t="str">
        <f>IF(Table1[[#This Row],[Is Data Valid]]=TRUE,_xlfn.NORM.S.DIST(Table1[[#This Row],[Birthweight Z-Score (BW+10%)]],TRUE)*100,"")</f>
        <v/>
      </c>
    </row>
    <row r="7972" spans="1:12" x14ac:dyDescent="0.35">
      <c r="A7972" s="3"/>
      <c r="B7972" s="2"/>
      <c r="C7972" s="2"/>
      <c r="D7972" s="2" t="b">
        <f>IF(AND(NOT(ISBLANK(Table1[[#This Row],[Fetal Sex (Male, Female or Unknown)]])),ISNUMBER(Table1[[#This Row],[Birthweight (grams)]]),ISNUMBER(Table1[[#This Row],[Gestation (days)]])),TRUE,FALSE)</f>
        <v>0</v>
      </c>
      <c r="E7972" s="2" t="str">
        <f>IF(Table1[[#This Row],[Is Data Valid]]=TRUE,IF(Table1[[#This Row],[Fetal Sex (Male, Female or Unknown)]]="Male",Backend!$C$6,IF(Table1[[#This Row],[Fetal Sex (Male, Female or Unknown)]]="Female",Backend!$C$7,IF(Table1[[#This Row],[Fetal Sex (Male, Female or Unknown)]]="Unknown",Backend!$C$8,"Error"))),"")</f>
        <v/>
      </c>
      <c r="F7972" s="8" t="str">
        <f>IF(Table1[[#This Row],[Is Data Valid]]=TRUE,EXP(0.578+0.332*((Table1[[#This Row],[Gestation (days)]]+0.5)/7)-0.00354*((Table1[[#This Row],[Gestation (days)]]+0.5)/7)^2)*Table1[[#This Row],[BW40_3705]],"")</f>
        <v/>
      </c>
      <c r="G7972" s="2" t="str">
        <f>IF(Table1[[#This Row],[Is Data Valid]]=TRUE,((Table1[[#This Row],[Birthweight (grams)]]/Table1[[#This Row],[BW_GA]])-1)/(Backend!$B$4/100*Table1[[#This Row],[BW40_3705]]),"")</f>
        <v/>
      </c>
      <c r="H7972" s="7" t="str">
        <f>IF(Table1[[#This Row],[Is Data Valid]]=TRUE,((Table1[[#This Row],[Birthweight (grams)]]*0.9/Table1[[#This Row],[BW_GA]])-1)/(Backend!$B$4/100*Table1[[#This Row],[BW40_3705]]),"")</f>
        <v/>
      </c>
      <c r="I7972" s="7" t="str">
        <f>IF(Table1[[#This Row],[Is Data Valid]]=TRUE,((Table1[[#This Row],[Birthweight (grams)]]*1.1/Table1[[#This Row],[BW_GA]])-1)/(Backend!$B$4/100*Table1[[#This Row],[BW40_3705]]),"")</f>
        <v/>
      </c>
      <c r="J7972" s="7" t="str">
        <f>IF(Table1[[#This Row],[Is Data Valid]]=TRUE,_xlfn.NORM.S.DIST(Table1[[#This Row],[Birthweight Z-Score]],TRUE)*100,"")</f>
        <v/>
      </c>
      <c r="K7972" s="7" t="str">
        <f>IF(Table1[[#This Row],[Is Data Valid]]=TRUE,_xlfn.NORM.S.DIST(Table1[[#This Row],[Birthweight Z-Score (BW-10%)]],TRUE)*100,"")</f>
        <v/>
      </c>
      <c r="L7972" s="7" t="str">
        <f>IF(Table1[[#This Row],[Is Data Valid]]=TRUE,_xlfn.NORM.S.DIST(Table1[[#This Row],[Birthweight Z-Score (BW+10%)]],TRUE)*100,"")</f>
        <v/>
      </c>
    </row>
    <row r="7973" spans="1:12" x14ac:dyDescent="0.35">
      <c r="A7973" s="3"/>
      <c r="B7973" s="2"/>
      <c r="C7973" s="2"/>
      <c r="D7973" s="2" t="b">
        <f>IF(AND(NOT(ISBLANK(Table1[[#This Row],[Fetal Sex (Male, Female or Unknown)]])),ISNUMBER(Table1[[#This Row],[Birthweight (grams)]]),ISNUMBER(Table1[[#This Row],[Gestation (days)]])),TRUE,FALSE)</f>
        <v>0</v>
      </c>
      <c r="E7973" s="2" t="str">
        <f>IF(Table1[[#This Row],[Is Data Valid]]=TRUE,IF(Table1[[#This Row],[Fetal Sex (Male, Female or Unknown)]]="Male",Backend!$C$6,IF(Table1[[#This Row],[Fetal Sex (Male, Female or Unknown)]]="Female",Backend!$C$7,IF(Table1[[#This Row],[Fetal Sex (Male, Female or Unknown)]]="Unknown",Backend!$C$8,"Error"))),"")</f>
        <v/>
      </c>
      <c r="F7973" s="8" t="str">
        <f>IF(Table1[[#This Row],[Is Data Valid]]=TRUE,EXP(0.578+0.332*((Table1[[#This Row],[Gestation (days)]]+0.5)/7)-0.00354*((Table1[[#This Row],[Gestation (days)]]+0.5)/7)^2)*Table1[[#This Row],[BW40_3705]],"")</f>
        <v/>
      </c>
      <c r="G7973" s="2" t="str">
        <f>IF(Table1[[#This Row],[Is Data Valid]]=TRUE,((Table1[[#This Row],[Birthweight (grams)]]/Table1[[#This Row],[BW_GA]])-1)/(Backend!$B$4/100*Table1[[#This Row],[BW40_3705]]),"")</f>
        <v/>
      </c>
      <c r="H7973" s="7" t="str">
        <f>IF(Table1[[#This Row],[Is Data Valid]]=TRUE,((Table1[[#This Row],[Birthweight (grams)]]*0.9/Table1[[#This Row],[BW_GA]])-1)/(Backend!$B$4/100*Table1[[#This Row],[BW40_3705]]),"")</f>
        <v/>
      </c>
      <c r="I7973" s="7" t="str">
        <f>IF(Table1[[#This Row],[Is Data Valid]]=TRUE,((Table1[[#This Row],[Birthweight (grams)]]*1.1/Table1[[#This Row],[BW_GA]])-1)/(Backend!$B$4/100*Table1[[#This Row],[BW40_3705]]),"")</f>
        <v/>
      </c>
      <c r="J7973" s="7" t="str">
        <f>IF(Table1[[#This Row],[Is Data Valid]]=TRUE,_xlfn.NORM.S.DIST(Table1[[#This Row],[Birthweight Z-Score]],TRUE)*100,"")</f>
        <v/>
      </c>
      <c r="K7973" s="7" t="str">
        <f>IF(Table1[[#This Row],[Is Data Valid]]=TRUE,_xlfn.NORM.S.DIST(Table1[[#This Row],[Birthweight Z-Score (BW-10%)]],TRUE)*100,"")</f>
        <v/>
      </c>
      <c r="L7973" s="7" t="str">
        <f>IF(Table1[[#This Row],[Is Data Valid]]=TRUE,_xlfn.NORM.S.DIST(Table1[[#This Row],[Birthweight Z-Score (BW+10%)]],TRUE)*100,"")</f>
        <v/>
      </c>
    </row>
    <row r="7974" spans="1:12" x14ac:dyDescent="0.35">
      <c r="A7974" s="3"/>
      <c r="B7974" s="2"/>
      <c r="C7974" s="2"/>
      <c r="D7974" s="2" t="b">
        <f>IF(AND(NOT(ISBLANK(Table1[[#This Row],[Fetal Sex (Male, Female or Unknown)]])),ISNUMBER(Table1[[#This Row],[Birthweight (grams)]]),ISNUMBER(Table1[[#This Row],[Gestation (days)]])),TRUE,FALSE)</f>
        <v>0</v>
      </c>
      <c r="E7974" s="2" t="str">
        <f>IF(Table1[[#This Row],[Is Data Valid]]=TRUE,IF(Table1[[#This Row],[Fetal Sex (Male, Female or Unknown)]]="Male",Backend!$C$6,IF(Table1[[#This Row],[Fetal Sex (Male, Female or Unknown)]]="Female",Backend!$C$7,IF(Table1[[#This Row],[Fetal Sex (Male, Female or Unknown)]]="Unknown",Backend!$C$8,"Error"))),"")</f>
        <v/>
      </c>
      <c r="F7974" s="8" t="str">
        <f>IF(Table1[[#This Row],[Is Data Valid]]=TRUE,EXP(0.578+0.332*((Table1[[#This Row],[Gestation (days)]]+0.5)/7)-0.00354*((Table1[[#This Row],[Gestation (days)]]+0.5)/7)^2)*Table1[[#This Row],[BW40_3705]],"")</f>
        <v/>
      </c>
      <c r="G7974" s="2" t="str">
        <f>IF(Table1[[#This Row],[Is Data Valid]]=TRUE,((Table1[[#This Row],[Birthweight (grams)]]/Table1[[#This Row],[BW_GA]])-1)/(Backend!$B$4/100*Table1[[#This Row],[BW40_3705]]),"")</f>
        <v/>
      </c>
      <c r="H7974" s="7" t="str">
        <f>IF(Table1[[#This Row],[Is Data Valid]]=TRUE,((Table1[[#This Row],[Birthweight (grams)]]*0.9/Table1[[#This Row],[BW_GA]])-1)/(Backend!$B$4/100*Table1[[#This Row],[BW40_3705]]),"")</f>
        <v/>
      </c>
      <c r="I7974" s="7" t="str">
        <f>IF(Table1[[#This Row],[Is Data Valid]]=TRUE,((Table1[[#This Row],[Birthweight (grams)]]*1.1/Table1[[#This Row],[BW_GA]])-1)/(Backend!$B$4/100*Table1[[#This Row],[BW40_3705]]),"")</f>
        <v/>
      </c>
      <c r="J7974" s="7" t="str">
        <f>IF(Table1[[#This Row],[Is Data Valid]]=TRUE,_xlfn.NORM.S.DIST(Table1[[#This Row],[Birthweight Z-Score]],TRUE)*100,"")</f>
        <v/>
      </c>
      <c r="K7974" s="7" t="str">
        <f>IF(Table1[[#This Row],[Is Data Valid]]=TRUE,_xlfn.NORM.S.DIST(Table1[[#This Row],[Birthweight Z-Score (BW-10%)]],TRUE)*100,"")</f>
        <v/>
      </c>
      <c r="L7974" s="7" t="str">
        <f>IF(Table1[[#This Row],[Is Data Valid]]=TRUE,_xlfn.NORM.S.DIST(Table1[[#This Row],[Birthweight Z-Score (BW+10%)]],TRUE)*100,"")</f>
        <v/>
      </c>
    </row>
    <row r="7975" spans="1:12" x14ac:dyDescent="0.35">
      <c r="A7975" s="3"/>
      <c r="B7975" s="2"/>
      <c r="C7975" s="2"/>
      <c r="D7975" s="2" t="b">
        <f>IF(AND(NOT(ISBLANK(Table1[[#This Row],[Fetal Sex (Male, Female or Unknown)]])),ISNUMBER(Table1[[#This Row],[Birthweight (grams)]]),ISNUMBER(Table1[[#This Row],[Gestation (days)]])),TRUE,FALSE)</f>
        <v>0</v>
      </c>
      <c r="E7975" s="2" t="str">
        <f>IF(Table1[[#This Row],[Is Data Valid]]=TRUE,IF(Table1[[#This Row],[Fetal Sex (Male, Female or Unknown)]]="Male",Backend!$C$6,IF(Table1[[#This Row],[Fetal Sex (Male, Female or Unknown)]]="Female",Backend!$C$7,IF(Table1[[#This Row],[Fetal Sex (Male, Female or Unknown)]]="Unknown",Backend!$C$8,"Error"))),"")</f>
        <v/>
      </c>
      <c r="F7975" s="8" t="str">
        <f>IF(Table1[[#This Row],[Is Data Valid]]=TRUE,EXP(0.578+0.332*((Table1[[#This Row],[Gestation (days)]]+0.5)/7)-0.00354*((Table1[[#This Row],[Gestation (days)]]+0.5)/7)^2)*Table1[[#This Row],[BW40_3705]],"")</f>
        <v/>
      </c>
      <c r="G7975" s="2" t="str">
        <f>IF(Table1[[#This Row],[Is Data Valid]]=TRUE,((Table1[[#This Row],[Birthweight (grams)]]/Table1[[#This Row],[BW_GA]])-1)/(Backend!$B$4/100*Table1[[#This Row],[BW40_3705]]),"")</f>
        <v/>
      </c>
      <c r="H7975" s="7" t="str">
        <f>IF(Table1[[#This Row],[Is Data Valid]]=TRUE,((Table1[[#This Row],[Birthweight (grams)]]*0.9/Table1[[#This Row],[BW_GA]])-1)/(Backend!$B$4/100*Table1[[#This Row],[BW40_3705]]),"")</f>
        <v/>
      </c>
      <c r="I7975" s="7" t="str">
        <f>IF(Table1[[#This Row],[Is Data Valid]]=TRUE,((Table1[[#This Row],[Birthweight (grams)]]*1.1/Table1[[#This Row],[BW_GA]])-1)/(Backend!$B$4/100*Table1[[#This Row],[BW40_3705]]),"")</f>
        <v/>
      </c>
      <c r="J7975" s="7" t="str">
        <f>IF(Table1[[#This Row],[Is Data Valid]]=TRUE,_xlfn.NORM.S.DIST(Table1[[#This Row],[Birthweight Z-Score]],TRUE)*100,"")</f>
        <v/>
      </c>
      <c r="K7975" s="7" t="str">
        <f>IF(Table1[[#This Row],[Is Data Valid]]=TRUE,_xlfn.NORM.S.DIST(Table1[[#This Row],[Birthweight Z-Score (BW-10%)]],TRUE)*100,"")</f>
        <v/>
      </c>
      <c r="L7975" s="7" t="str">
        <f>IF(Table1[[#This Row],[Is Data Valid]]=TRUE,_xlfn.NORM.S.DIST(Table1[[#This Row],[Birthweight Z-Score (BW+10%)]],TRUE)*100,"")</f>
        <v/>
      </c>
    </row>
    <row r="7976" spans="1:12" x14ac:dyDescent="0.35">
      <c r="A7976" s="3"/>
      <c r="B7976" s="2"/>
      <c r="C7976" s="2"/>
      <c r="D7976" s="2" t="b">
        <f>IF(AND(NOT(ISBLANK(Table1[[#This Row],[Fetal Sex (Male, Female or Unknown)]])),ISNUMBER(Table1[[#This Row],[Birthweight (grams)]]),ISNUMBER(Table1[[#This Row],[Gestation (days)]])),TRUE,FALSE)</f>
        <v>0</v>
      </c>
      <c r="E7976" s="2" t="str">
        <f>IF(Table1[[#This Row],[Is Data Valid]]=TRUE,IF(Table1[[#This Row],[Fetal Sex (Male, Female or Unknown)]]="Male",Backend!$C$6,IF(Table1[[#This Row],[Fetal Sex (Male, Female or Unknown)]]="Female",Backend!$C$7,IF(Table1[[#This Row],[Fetal Sex (Male, Female or Unknown)]]="Unknown",Backend!$C$8,"Error"))),"")</f>
        <v/>
      </c>
      <c r="F7976" s="8" t="str">
        <f>IF(Table1[[#This Row],[Is Data Valid]]=TRUE,EXP(0.578+0.332*((Table1[[#This Row],[Gestation (days)]]+0.5)/7)-0.00354*((Table1[[#This Row],[Gestation (days)]]+0.5)/7)^2)*Table1[[#This Row],[BW40_3705]],"")</f>
        <v/>
      </c>
      <c r="G7976" s="2" t="str">
        <f>IF(Table1[[#This Row],[Is Data Valid]]=TRUE,((Table1[[#This Row],[Birthweight (grams)]]/Table1[[#This Row],[BW_GA]])-1)/(Backend!$B$4/100*Table1[[#This Row],[BW40_3705]]),"")</f>
        <v/>
      </c>
      <c r="H7976" s="7" t="str">
        <f>IF(Table1[[#This Row],[Is Data Valid]]=TRUE,((Table1[[#This Row],[Birthweight (grams)]]*0.9/Table1[[#This Row],[BW_GA]])-1)/(Backend!$B$4/100*Table1[[#This Row],[BW40_3705]]),"")</f>
        <v/>
      </c>
      <c r="I7976" s="7" t="str">
        <f>IF(Table1[[#This Row],[Is Data Valid]]=TRUE,((Table1[[#This Row],[Birthweight (grams)]]*1.1/Table1[[#This Row],[BW_GA]])-1)/(Backend!$B$4/100*Table1[[#This Row],[BW40_3705]]),"")</f>
        <v/>
      </c>
      <c r="J7976" s="7" t="str">
        <f>IF(Table1[[#This Row],[Is Data Valid]]=TRUE,_xlfn.NORM.S.DIST(Table1[[#This Row],[Birthweight Z-Score]],TRUE)*100,"")</f>
        <v/>
      </c>
      <c r="K7976" s="7" t="str">
        <f>IF(Table1[[#This Row],[Is Data Valid]]=TRUE,_xlfn.NORM.S.DIST(Table1[[#This Row],[Birthweight Z-Score (BW-10%)]],TRUE)*100,"")</f>
        <v/>
      </c>
      <c r="L7976" s="7" t="str">
        <f>IF(Table1[[#This Row],[Is Data Valid]]=TRUE,_xlfn.NORM.S.DIST(Table1[[#This Row],[Birthweight Z-Score (BW+10%)]],TRUE)*100,"")</f>
        <v/>
      </c>
    </row>
    <row r="7977" spans="1:12" x14ac:dyDescent="0.35">
      <c r="A7977" s="3"/>
      <c r="B7977" s="2"/>
      <c r="C7977" s="2"/>
      <c r="D7977" s="2" t="b">
        <f>IF(AND(NOT(ISBLANK(Table1[[#This Row],[Fetal Sex (Male, Female or Unknown)]])),ISNUMBER(Table1[[#This Row],[Birthweight (grams)]]),ISNUMBER(Table1[[#This Row],[Gestation (days)]])),TRUE,FALSE)</f>
        <v>0</v>
      </c>
      <c r="E7977" s="2" t="str">
        <f>IF(Table1[[#This Row],[Is Data Valid]]=TRUE,IF(Table1[[#This Row],[Fetal Sex (Male, Female or Unknown)]]="Male",Backend!$C$6,IF(Table1[[#This Row],[Fetal Sex (Male, Female or Unknown)]]="Female",Backend!$C$7,IF(Table1[[#This Row],[Fetal Sex (Male, Female or Unknown)]]="Unknown",Backend!$C$8,"Error"))),"")</f>
        <v/>
      </c>
      <c r="F7977" s="8" t="str">
        <f>IF(Table1[[#This Row],[Is Data Valid]]=TRUE,EXP(0.578+0.332*((Table1[[#This Row],[Gestation (days)]]+0.5)/7)-0.00354*((Table1[[#This Row],[Gestation (days)]]+0.5)/7)^2)*Table1[[#This Row],[BW40_3705]],"")</f>
        <v/>
      </c>
      <c r="G7977" s="2" t="str">
        <f>IF(Table1[[#This Row],[Is Data Valid]]=TRUE,((Table1[[#This Row],[Birthweight (grams)]]/Table1[[#This Row],[BW_GA]])-1)/(Backend!$B$4/100*Table1[[#This Row],[BW40_3705]]),"")</f>
        <v/>
      </c>
      <c r="H7977" s="7" t="str">
        <f>IF(Table1[[#This Row],[Is Data Valid]]=TRUE,((Table1[[#This Row],[Birthweight (grams)]]*0.9/Table1[[#This Row],[BW_GA]])-1)/(Backend!$B$4/100*Table1[[#This Row],[BW40_3705]]),"")</f>
        <v/>
      </c>
      <c r="I7977" s="7" t="str">
        <f>IF(Table1[[#This Row],[Is Data Valid]]=TRUE,((Table1[[#This Row],[Birthweight (grams)]]*1.1/Table1[[#This Row],[BW_GA]])-1)/(Backend!$B$4/100*Table1[[#This Row],[BW40_3705]]),"")</f>
        <v/>
      </c>
      <c r="J7977" s="7" t="str">
        <f>IF(Table1[[#This Row],[Is Data Valid]]=TRUE,_xlfn.NORM.S.DIST(Table1[[#This Row],[Birthweight Z-Score]],TRUE)*100,"")</f>
        <v/>
      </c>
      <c r="K7977" s="7" t="str">
        <f>IF(Table1[[#This Row],[Is Data Valid]]=TRUE,_xlfn.NORM.S.DIST(Table1[[#This Row],[Birthweight Z-Score (BW-10%)]],TRUE)*100,"")</f>
        <v/>
      </c>
      <c r="L7977" s="7" t="str">
        <f>IF(Table1[[#This Row],[Is Data Valid]]=TRUE,_xlfn.NORM.S.DIST(Table1[[#This Row],[Birthweight Z-Score (BW+10%)]],TRUE)*100,"")</f>
        <v/>
      </c>
    </row>
    <row r="7978" spans="1:12" x14ac:dyDescent="0.35">
      <c r="A7978" s="3"/>
      <c r="B7978" s="2"/>
      <c r="C7978" s="2"/>
      <c r="D7978" s="2" t="b">
        <f>IF(AND(NOT(ISBLANK(Table1[[#This Row],[Fetal Sex (Male, Female or Unknown)]])),ISNUMBER(Table1[[#This Row],[Birthweight (grams)]]),ISNUMBER(Table1[[#This Row],[Gestation (days)]])),TRUE,FALSE)</f>
        <v>0</v>
      </c>
      <c r="E7978" s="2" t="str">
        <f>IF(Table1[[#This Row],[Is Data Valid]]=TRUE,IF(Table1[[#This Row],[Fetal Sex (Male, Female or Unknown)]]="Male",Backend!$C$6,IF(Table1[[#This Row],[Fetal Sex (Male, Female or Unknown)]]="Female",Backend!$C$7,IF(Table1[[#This Row],[Fetal Sex (Male, Female or Unknown)]]="Unknown",Backend!$C$8,"Error"))),"")</f>
        <v/>
      </c>
      <c r="F7978" s="8" t="str">
        <f>IF(Table1[[#This Row],[Is Data Valid]]=TRUE,EXP(0.578+0.332*((Table1[[#This Row],[Gestation (days)]]+0.5)/7)-0.00354*((Table1[[#This Row],[Gestation (days)]]+0.5)/7)^2)*Table1[[#This Row],[BW40_3705]],"")</f>
        <v/>
      </c>
      <c r="G7978" s="2" t="str">
        <f>IF(Table1[[#This Row],[Is Data Valid]]=TRUE,((Table1[[#This Row],[Birthweight (grams)]]/Table1[[#This Row],[BW_GA]])-1)/(Backend!$B$4/100*Table1[[#This Row],[BW40_3705]]),"")</f>
        <v/>
      </c>
      <c r="H7978" s="7" t="str">
        <f>IF(Table1[[#This Row],[Is Data Valid]]=TRUE,((Table1[[#This Row],[Birthweight (grams)]]*0.9/Table1[[#This Row],[BW_GA]])-1)/(Backend!$B$4/100*Table1[[#This Row],[BW40_3705]]),"")</f>
        <v/>
      </c>
      <c r="I7978" s="7" t="str">
        <f>IF(Table1[[#This Row],[Is Data Valid]]=TRUE,((Table1[[#This Row],[Birthweight (grams)]]*1.1/Table1[[#This Row],[BW_GA]])-1)/(Backend!$B$4/100*Table1[[#This Row],[BW40_3705]]),"")</f>
        <v/>
      </c>
      <c r="J7978" s="7" t="str">
        <f>IF(Table1[[#This Row],[Is Data Valid]]=TRUE,_xlfn.NORM.S.DIST(Table1[[#This Row],[Birthweight Z-Score]],TRUE)*100,"")</f>
        <v/>
      </c>
      <c r="K7978" s="7" t="str">
        <f>IF(Table1[[#This Row],[Is Data Valid]]=TRUE,_xlfn.NORM.S.DIST(Table1[[#This Row],[Birthweight Z-Score (BW-10%)]],TRUE)*100,"")</f>
        <v/>
      </c>
      <c r="L7978" s="7" t="str">
        <f>IF(Table1[[#This Row],[Is Data Valid]]=TRUE,_xlfn.NORM.S.DIST(Table1[[#This Row],[Birthweight Z-Score (BW+10%)]],TRUE)*100,"")</f>
        <v/>
      </c>
    </row>
    <row r="7979" spans="1:12" x14ac:dyDescent="0.35">
      <c r="A7979" s="3"/>
      <c r="B7979" s="2"/>
      <c r="C7979" s="2"/>
      <c r="D7979" s="2" t="b">
        <f>IF(AND(NOT(ISBLANK(Table1[[#This Row],[Fetal Sex (Male, Female or Unknown)]])),ISNUMBER(Table1[[#This Row],[Birthweight (grams)]]),ISNUMBER(Table1[[#This Row],[Gestation (days)]])),TRUE,FALSE)</f>
        <v>0</v>
      </c>
      <c r="E7979" s="2" t="str">
        <f>IF(Table1[[#This Row],[Is Data Valid]]=TRUE,IF(Table1[[#This Row],[Fetal Sex (Male, Female or Unknown)]]="Male",Backend!$C$6,IF(Table1[[#This Row],[Fetal Sex (Male, Female or Unknown)]]="Female",Backend!$C$7,IF(Table1[[#This Row],[Fetal Sex (Male, Female or Unknown)]]="Unknown",Backend!$C$8,"Error"))),"")</f>
        <v/>
      </c>
      <c r="F7979" s="8" t="str">
        <f>IF(Table1[[#This Row],[Is Data Valid]]=TRUE,EXP(0.578+0.332*((Table1[[#This Row],[Gestation (days)]]+0.5)/7)-0.00354*((Table1[[#This Row],[Gestation (days)]]+0.5)/7)^2)*Table1[[#This Row],[BW40_3705]],"")</f>
        <v/>
      </c>
      <c r="G7979" s="2" t="str">
        <f>IF(Table1[[#This Row],[Is Data Valid]]=TRUE,((Table1[[#This Row],[Birthweight (grams)]]/Table1[[#This Row],[BW_GA]])-1)/(Backend!$B$4/100*Table1[[#This Row],[BW40_3705]]),"")</f>
        <v/>
      </c>
      <c r="H7979" s="7" t="str">
        <f>IF(Table1[[#This Row],[Is Data Valid]]=TRUE,((Table1[[#This Row],[Birthweight (grams)]]*0.9/Table1[[#This Row],[BW_GA]])-1)/(Backend!$B$4/100*Table1[[#This Row],[BW40_3705]]),"")</f>
        <v/>
      </c>
      <c r="I7979" s="7" t="str">
        <f>IF(Table1[[#This Row],[Is Data Valid]]=TRUE,((Table1[[#This Row],[Birthweight (grams)]]*1.1/Table1[[#This Row],[BW_GA]])-1)/(Backend!$B$4/100*Table1[[#This Row],[BW40_3705]]),"")</f>
        <v/>
      </c>
      <c r="J7979" s="7" t="str">
        <f>IF(Table1[[#This Row],[Is Data Valid]]=TRUE,_xlfn.NORM.S.DIST(Table1[[#This Row],[Birthweight Z-Score]],TRUE)*100,"")</f>
        <v/>
      </c>
      <c r="K7979" s="7" t="str">
        <f>IF(Table1[[#This Row],[Is Data Valid]]=TRUE,_xlfn.NORM.S.DIST(Table1[[#This Row],[Birthweight Z-Score (BW-10%)]],TRUE)*100,"")</f>
        <v/>
      </c>
      <c r="L7979" s="7" t="str">
        <f>IF(Table1[[#This Row],[Is Data Valid]]=TRUE,_xlfn.NORM.S.DIST(Table1[[#This Row],[Birthweight Z-Score (BW+10%)]],TRUE)*100,"")</f>
        <v/>
      </c>
    </row>
    <row r="7980" spans="1:12" x14ac:dyDescent="0.35">
      <c r="A7980" s="3"/>
      <c r="B7980" s="2"/>
      <c r="C7980" s="2"/>
      <c r="D7980" s="2" t="b">
        <f>IF(AND(NOT(ISBLANK(Table1[[#This Row],[Fetal Sex (Male, Female or Unknown)]])),ISNUMBER(Table1[[#This Row],[Birthweight (grams)]]),ISNUMBER(Table1[[#This Row],[Gestation (days)]])),TRUE,FALSE)</f>
        <v>0</v>
      </c>
      <c r="E7980" s="2" t="str">
        <f>IF(Table1[[#This Row],[Is Data Valid]]=TRUE,IF(Table1[[#This Row],[Fetal Sex (Male, Female or Unknown)]]="Male",Backend!$C$6,IF(Table1[[#This Row],[Fetal Sex (Male, Female or Unknown)]]="Female",Backend!$C$7,IF(Table1[[#This Row],[Fetal Sex (Male, Female or Unknown)]]="Unknown",Backend!$C$8,"Error"))),"")</f>
        <v/>
      </c>
      <c r="F7980" s="8" t="str">
        <f>IF(Table1[[#This Row],[Is Data Valid]]=TRUE,EXP(0.578+0.332*((Table1[[#This Row],[Gestation (days)]]+0.5)/7)-0.00354*((Table1[[#This Row],[Gestation (days)]]+0.5)/7)^2)*Table1[[#This Row],[BW40_3705]],"")</f>
        <v/>
      </c>
      <c r="G7980" s="2" t="str">
        <f>IF(Table1[[#This Row],[Is Data Valid]]=TRUE,((Table1[[#This Row],[Birthweight (grams)]]/Table1[[#This Row],[BW_GA]])-1)/(Backend!$B$4/100*Table1[[#This Row],[BW40_3705]]),"")</f>
        <v/>
      </c>
      <c r="H7980" s="7" t="str">
        <f>IF(Table1[[#This Row],[Is Data Valid]]=TRUE,((Table1[[#This Row],[Birthweight (grams)]]*0.9/Table1[[#This Row],[BW_GA]])-1)/(Backend!$B$4/100*Table1[[#This Row],[BW40_3705]]),"")</f>
        <v/>
      </c>
      <c r="I7980" s="7" t="str">
        <f>IF(Table1[[#This Row],[Is Data Valid]]=TRUE,((Table1[[#This Row],[Birthweight (grams)]]*1.1/Table1[[#This Row],[BW_GA]])-1)/(Backend!$B$4/100*Table1[[#This Row],[BW40_3705]]),"")</f>
        <v/>
      </c>
      <c r="J7980" s="7" t="str">
        <f>IF(Table1[[#This Row],[Is Data Valid]]=TRUE,_xlfn.NORM.S.DIST(Table1[[#This Row],[Birthweight Z-Score]],TRUE)*100,"")</f>
        <v/>
      </c>
      <c r="K7980" s="7" t="str">
        <f>IF(Table1[[#This Row],[Is Data Valid]]=TRUE,_xlfn.NORM.S.DIST(Table1[[#This Row],[Birthweight Z-Score (BW-10%)]],TRUE)*100,"")</f>
        <v/>
      </c>
      <c r="L7980" s="7" t="str">
        <f>IF(Table1[[#This Row],[Is Data Valid]]=TRUE,_xlfn.NORM.S.DIST(Table1[[#This Row],[Birthweight Z-Score (BW+10%)]],TRUE)*100,"")</f>
        <v/>
      </c>
    </row>
    <row r="7981" spans="1:12" x14ac:dyDescent="0.35">
      <c r="A7981" s="3"/>
      <c r="B7981" s="2"/>
      <c r="C7981" s="2"/>
      <c r="D7981" s="2" t="b">
        <f>IF(AND(NOT(ISBLANK(Table1[[#This Row],[Fetal Sex (Male, Female or Unknown)]])),ISNUMBER(Table1[[#This Row],[Birthweight (grams)]]),ISNUMBER(Table1[[#This Row],[Gestation (days)]])),TRUE,FALSE)</f>
        <v>0</v>
      </c>
      <c r="E7981" s="2" t="str">
        <f>IF(Table1[[#This Row],[Is Data Valid]]=TRUE,IF(Table1[[#This Row],[Fetal Sex (Male, Female or Unknown)]]="Male",Backend!$C$6,IF(Table1[[#This Row],[Fetal Sex (Male, Female or Unknown)]]="Female",Backend!$C$7,IF(Table1[[#This Row],[Fetal Sex (Male, Female or Unknown)]]="Unknown",Backend!$C$8,"Error"))),"")</f>
        <v/>
      </c>
      <c r="F7981" s="8" t="str">
        <f>IF(Table1[[#This Row],[Is Data Valid]]=TRUE,EXP(0.578+0.332*((Table1[[#This Row],[Gestation (days)]]+0.5)/7)-0.00354*((Table1[[#This Row],[Gestation (days)]]+0.5)/7)^2)*Table1[[#This Row],[BW40_3705]],"")</f>
        <v/>
      </c>
      <c r="G7981" s="2" t="str">
        <f>IF(Table1[[#This Row],[Is Data Valid]]=TRUE,((Table1[[#This Row],[Birthweight (grams)]]/Table1[[#This Row],[BW_GA]])-1)/(Backend!$B$4/100*Table1[[#This Row],[BW40_3705]]),"")</f>
        <v/>
      </c>
      <c r="H7981" s="7" t="str">
        <f>IF(Table1[[#This Row],[Is Data Valid]]=TRUE,((Table1[[#This Row],[Birthweight (grams)]]*0.9/Table1[[#This Row],[BW_GA]])-1)/(Backend!$B$4/100*Table1[[#This Row],[BW40_3705]]),"")</f>
        <v/>
      </c>
      <c r="I7981" s="7" t="str">
        <f>IF(Table1[[#This Row],[Is Data Valid]]=TRUE,((Table1[[#This Row],[Birthweight (grams)]]*1.1/Table1[[#This Row],[BW_GA]])-1)/(Backend!$B$4/100*Table1[[#This Row],[BW40_3705]]),"")</f>
        <v/>
      </c>
      <c r="J7981" s="7" t="str">
        <f>IF(Table1[[#This Row],[Is Data Valid]]=TRUE,_xlfn.NORM.S.DIST(Table1[[#This Row],[Birthweight Z-Score]],TRUE)*100,"")</f>
        <v/>
      </c>
      <c r="K7981" s="7" t="str">
        <f>IF(Table1[[#This Row],[Is Data Valid]]=TRUE,_xlfn.NORM.S.DIST(Table1[[#This Row],[Birthweight Z-Score (BW-10%)]],TRUE)*100,"")</f>
        <v/>
      </c>
      <c r="L7981" s="7" t="str">
        <f>IF(Table1[[#This Row],[Is Data Valid]]=TRUE,_xlfn.NORM.S.DIST(Table1[[#This Row],[Birthweight Z-Score (BW+10%)]],TRUE)*100,"")</f>
        <v/>
      </c>
    </row>
    <row r="7982" spans="1:12" x14ac:dyDescent="0.35">
      <c r="A7982" s="3"/>
      <c r="B7982" s="2"/>
      <c r="C7982" s="2"/>
      <c r="D7982" s="2" t="b">
        <f>IF(AND(NOT(ISBLANK(Table1[[#This Row],[Fetal Sex (Male, Female or Unknown)]])),ISNUMBER(Table1[[#This Row],[Birthweight (grams)]]),ISNUMBER(Table1[[#This Row],[Gestation (days)]])),TRUE,FALSE)</f>
        <v>0</v>
      </c>
      <c r="E7982" s="2" t="str">
        <f>IF(Table1[[#This Row],[Is Data Valid]]=TRUE,IF(Table1[[#This Row],[Fetal Sex (Male, Female or Unknown)]]="Male",Backend!$C$6,IF(Table1[[#This Row],[Fetal Sex (Male, Female or Unknown)]]="Female",Backend!$C$7,IF(Table1[[#This Row],[Fetal Sex (Male, Female or Unknown)]]="Unknown",Backend!$C$8,"Error"))),"")</f>
        <v/>
      </c>
      <c r="F7982" s="8" t="str">
        <f>IF(Table1[[#This Row],[Is Data Valid]]=TRUE,EXP(0.578+0.332*((Table1[[#This Row],[Gestation (days)]]+0.5)/7)-0.00354*((Table1[[#This Row],[Gestation (days)]]+0.5)/7)^2)*Table1[[#This Row],[BW40_3705]],"")</f>
        <v/>
      </c>
      <c r="G7982" s="2" t="str">
        <f>IF(Table1[[#This Row],[Is Data Valid]]=TRUE,((Table1[[#This Row],[Birthweight (grams)]]/Table1[[#This Row],[BW_GA]])-1)/(Backend!$B$4/100*Table1[[#This Row],[BW40_3705]]),"")</f>
        <v/>
      </c>
      <c r="H7982" s="7" t="str">
        <f>IF(Table1[[#This Row],[Is Data Valid]]=TRUE,((Table1[[#This Row],[Birthweight (grams)]]*0.9/Table1[[#This Row],[BW_GA]])-1)/(Backend!$B$4/100*Table1[[#This Row],[BW40_3705]]),"")</f>
        <v/>
      </c>
      <c r="I7982" s="7" t="str">
        <f>IF(Table1[[#This Row],[Is Data Valid]]=TRUE,((Table1[[#This Row],[Birthweight (grams)]]*1.1/Table1[[#This Row],[BW_GA]])-1)/(Backend!$B$4/100*Table1[[#This Row],[BW40_3705]]),"")</f>
        <v/>
      </c>
      <c r="J7982" s="7" t="str">
        <f>IF(Table1[[#This Row],[Is Data Valid]]=TRUE,_xlfn.NORM.S.DIST(Table1[[#This Row],[Birthweight Z-Score]],TRUE)*100,"")</f>
        <v/>
      </c>
      <c r="K7982" s="7" t="str">
        <f>IF(Table1[[#This Row],[Is Data Valid]]=TRUE,_xlfn.NORM.S.DIST(Table1[[#This Row],[Birthweight Z-Score (BW-10%)]],TRUE)*100,"")</f>
        <v/>
      </c>
      <c r="L7982" s="7" t="str">
        <f>IF(Table1[[#This Row],[Is Data Valid]]=TRUE,_xlfn.NORM.S.DIST(Table1[[#This Row],[Birthweight Z-Score (BW+10%)]],TRUE)*100,"")</f>
        <v/>
      </c>
    </row>
    <row r="7983" spans="1:12" x14ac:dyDescent="0.35">
      <c r="A7983" s="3"/>
      <c r="B7983" s="2"/>
      <c r="C7983" s="2"/>
      <c r="D7983" s="2" t="b">
        <f>IF(AND(NOT(ISBLANK(Table1[[#This Row],[Fetal Sex (Male, Female or Unknown)]])),ISNUMBER(Table1[[#This Row],[Birthweight (grams)]]),ISNUMBER(Table1[[#This Row],[Gestation (days)]])),TRUE,FALSE)</f>
        <v>0</v>
      </c>
      <c r="E7983" s="2" t="str">
        <f>IF(Table1[[#This Row],[Is Data Valid]]=TRUE,IF(Table1[[#This Row],[Fetal Sex (Male, Female or Unknown)]]="Male",Backend!$C$6,IF(Table1[[#This Row],[Fetal Sex (Male, Female or Unknown)]]="Female",Backend!$C$7,IF(Table1[[#This Row],[Fetal Sex (Male, Female or Unknown)]]="Unknown",Backend!$C$8,"Error"))),"")</f>
        <v/>
      </c>
      <c r="F7983" s="8" t="str">
        <f>IF(Table1[[#This Row],[Is Data Valid]]=TRUE,EXP(0.578+0.332*((Table1[[#This Row],[Gestation (days)]]+0.5)/7)-0.00354*((Table1[[#This Row],[Gestation (days)]]+0.5)/7)^2)*Table1[[#This Row],[BW40_3705]],"")</f>
        <v/>
      </c>
      <c r="G7983" s="2" t="str">
        <f>IF(Table1[[#This Row],[Is Data Valid]]=TRUE,((Table1[[#This Row],[Birthweight (grams)]]/Table1[[#This Row],[BW_GA]])-1)/(Backend!$B$4/100*Table1[[#This Row],[BW40_3705]]),"")</f>
        <v/>
      </c>
      <c r="H7983" s="7" t="str">
        <f>IF(Table1[[#This Row],[Is Data Valid]]=TRUE,((Table1[[#This Row],[Birthweight (grams)]]*0.9/Table1[[#This Row],[BW_GA]])-1)/(Backend!$B$4/100*Table1[[#This Row],[BW40_3705]]),"")</f>
        <v/>
      </c>
      <c r="I7983" s="7" t="str">
        <f>IF(Table1[[#This Row],[Is Data Valid]]=TRUE,((Table1[[#This Row],[Birthweight (grams)]]*1.1/Table1[[#This Row],[BW_GA]])-1)/(Backend!$B$4/100*Table1[[#This Row],[BW40_3705]]),"")</f>
        <v/>
      </c>
      <c r="J7983" s="7" t="str">
        <f>IF(Table1[[#This Row],[Is Data Valid]]=TRUE,_xlfn.NORM.S.DIST(Table1[[#This Row],[Birthweight Z-Score]],TRUE)*100,"")</f>
        <v/>
      </c>
      <c r="K7983" s="7" t="str">
        <f>IF(Table1[[#This Row],[Is Data Valid]]=TRUE,_xlfn.NORM.S.DIST(Table1[[#This Row],[Birthweight Z-Score (BW-10%)]],TRUE)*100,"")</f>
        <v/>
      </c>
      <c r="L7983" s="7" t="str">
        <f>IF(Table1[[#This Row],[Is Data Valid]]=TRUE,_xlfn.NORM.S.DIST(Table1[[#This Row],[Birthweight Z-Score (BW+10%)]],TRUE)*100,"")</f>
        <v/>
      </c>
    </row>
    <row r="7984" spans="1:12" x14ac:dyDescent="0.35">
      <c r="A7984" s="3"/>
      <c r="B7984" s="2"/>
      <c r="C7984" s="2"/>
      <c r="D7984" s="2" t="b">
        <f>IF(AND(NOT(ISBLANK(Table1[[#This Row],[Fetal Sex (Male, Female or Unknown)]])),ISNUMBER(Table1[[#This Row],[Birthweight (grams)]]),ISNUMBER(Table1[[#This Row],[Gestation (days)]])),TRUE,FALSE)</f>
        <v>0</v>
      </c>
      <c r="E7984" s="2" t="str">
        <f>IF(Table1[[#This Row],[Is Data Valid]]=TRUE,IF(Table1[[#This Row],[Fetal Sex (Male, Female or Unknown)]]="Male",Backend!$C$6,IF(Table1[[#This Row],[Fetal Sex (Male, Female or Unknown)]]="Female",Backend!$C$7,IF(Table1[[#This Row],[Fetal Sex (Male, Female or Unknown)]]="Unknown",Backend!$C$8,"Error"))),"")</f>
        <v/>
      </c>
      <c r="F7984" s="8" t="str">
        <f>IF(Table1[[#This Row],[Is Data Valid]]=TRUE,EXP(0.578+0.332*((Table1[[#This Row],[Gestation (days)]]+0.5)/7)-0.00354*((Table1[[#This Row],[Gestation (days)]]+0.5)/7)^2)*Table1[[#This Row],[BW40_3705]],"")</f>
        <v/>
      </c>
      <c r="G7984" s="2" t="str">
        <f>IF(Table1[[#This Row],[Is Data Valid]]=TRUE,((Table1[[#This Row],[Birthweight (grams)]]/Table1[[#This Row],[BW_GA]])-1)/(Backend!$B$4/100*Table1[[#This Row],[BW40_3705]]),"")</f>
        <v/>
      </c>
      <c r="H7984" s="7" t="str">
        <f>IF(Table1[[#This Row],[Is Data Valid]]=TRUE,((Table1[[#This Row],[Birthweight (grams)]]*0.9/Table1[[#This Row],[BW_GA]])-1)/(Backend!$B$4/100*Table1[[#This Row],[BW40_3705]]),"")</f>
        <v/>
      </c>
      <c r="I7984" s="7" t="str">
        <f>IF(Table1[[#This Row],[Is Data Valid]]=TRUE,((Table1[[#This Row],[Birthweight (grams)]]*1.1/Table1[[#This Row],[BW_GA]])-1)/(Backend!$B$4/100*Table1[[#This Row],[BW40_3705]]),"")</f>
        <v/>
      </c>
      <c r="J7984" s="7" t="str">
        <f>IF(Table1[[#This Row],[Is Data Valid]]=TRUE,_xlfn.NORM.S.DIST(Table1[[#This Row],[Birthweight Z-Score]],TRUE)*100,"")</f>
        <v/>
      </c>
      <c r="K7984" s="7" t="str">
        <f>IF(Table1[[#This Row],[Is Data Valid]]=TRUE,_xlfn.NORM.S.DIST(Table1[[#This Row],[Birthweight Z-Score (BW-10%)]],TRUE)*100,"")</f>
        <v/>
      </c>
      <c r="L7984" s="7" t="str">
        <f>IF(Table1[[#This Row],[Is Data Valid]]=TRUE,_xlfn.NORM.S.DIST(Table1[[#This Row],[Birthweight Z-Score (BW+10%)]],TRUE)*100,"")</f>
        <v/>
      </c>
    </row>
    <row r="7985" spans="1:12" x14ac:dyDescent="0.35">
      <c r="A7985" s="3"/>
      <c r="B7985" s="2"/>
      <c r="C7985" s="2"/>
      <c r="D7985" s="2" t="b">
        <f>IF(AND(NOT(ISBLANK(Table1[[#This Row],[Fetal Sex (Male, Female or Unknown)]])),ISNUMBER(Table1[[#This Row],[Birthweight (grams)]]),ISNUMBER(Table1[[#This Row],[Gestation (days)]])),TRUE,FALSE)</f>
        <v>0</v>
      </c>
      <c r="E7985" s="2" t="str">
        <f>IF(Table1[[#This Row],[Is Data Valid]]=TRUE,IF(Table1[[#This Row],[Fetal Sex (Male, Female or Unknown)]]="Male",Backend!$C$6,IF(Table1[[#This Row],[Fetal Sex (Male, Female or Unknown)]]="Female",Backend!$C$7,IF(Table1[[#This Row],[Fetal Sex (Male, Female or Unknown)]]="Unknown",Backend!$C$8,"Error"))),"")</f>
        <v/>
      </c>
      <c r="F7985" s="8" t="str">
        <f>IF(Table1[[#This Row],[Is Data Valid]]=TRUE,EXP(0.578+0.332*((Table1[[#This Row],[Gestation (days)]]+0.5)/7)-0.00354*((Table1[[#This Row],[Gestation (days)]]+0.5)/7)^2)*Table1[[#This Row],[BW40_3705]],"")</f>
        <v/>
      </c>
      <c r="G7985" s="2" t="str">
        <f>IF(Table1[[#This Row],[Is Data Valid]]=TRUE,((Table1[[#This Row],[Birthweight (grams)]]/Table1[[#This Row],[BW_GA]])-1)/(Backend!$B$4/100*Table1[[#This Row],[BW40_3705]]),"")</f>
        <v/>
      </c>
      <c r="H7985" s="7" t="str">
        <f>IF(Table1[[#This Row],[Is Data Valid]]=TRUE,((Table1[[#This Row],[Birthweight (grams)]]*0.9/Table1[[#This Row],[BW_GA]])-1)/(Backend!$B$4/100*Table1[[#This Row],[BW40_3705]]),"")</f>
        <v/>
      </c>
      <c r="I7985" s="7" t="str">
        <f>IF(Table1[[#This Row],[Is Data Valid]]=TRUE,((Table1[[#This Row],[Birthweight (grams)]]*1.1/Table1[[#This Row],[BW_GA]])-1)/(Backend!$B$4/100*Table1[[#This Row],[BW40_3705]]),"")</f>
        <v/>
      </c>
      <c r="J7985" s="7" t="str">
        <f>IF(Table1[[#This Row],[Is Data Valid]]=TRUE,_xlfn.NORM.S.DIST(Table1[[#This Row],[Birthweight Z-Score]],TRUE)*100,"")</f>
        <v/>
      </c>
      <c r="K7985" s="7" t="str">
        <f>IF(Table1[[#This Row],[Is Data Valid]]=TRUE,_xlfn.NORM.S.DIST(Table1[[#This Row],[Birthweight Z-Score (BW-10%)]],TRUE)*100,"")</f>
        <v/>
      </c>
      <c r="L7985" s="7" t="str">
        <f>IF(Table1[[#This Row],[Is Data Valid]]=TRUE,_xlfn.NORM.S.DIST(Table1[[#This Row],[Birthweight Z-Score (BW+10%)]],TRUE)*100,"")</f>
        <v/>
      </c>
    </row>
    <row r="7986" spans="1:12" x14ac:dyDescent="0.35">
      <c r="A7986" s="3"/>
      <c r="B7986" s="2"/>
      <c r="C7986" s="2"/>
      <c r="D7986" s="2" t="b">
        <f>IF(AND(NOT(ISBLANK(Table1[[#This Row],[Fetal Sex (Male, Female or Unknown)]])),ISNUMBER(Table1[[#This Row],[Birthweight (grams)]]),ISNUMBER(Table1[[#This Row],[Gestation (days)]])),TRUE,FALSE)</f>
        <v>0</v>
      </c>
      <c r="E7986" s="2" t="str">
        <f>IF(Table1[[#This Row],[Is Data Valid]]=TRUE,IF(Table1[[#This Row],[Fetal Sex (Male, Female or Unknown)]]="Male",Backend!$C$6,IF(Table1[[#This Row],[Fetal Sex (Male, Female or Unknown)]]="Female",Backend!$C$7,IF(Table1[[#This Row],[Fetal Sex (Male, Female or Unknown)]]="Unknown",Backend!$C$8,"Error"))),"")</f>
        <v/>
      </c>
      <c r="F7986" s="8" t="str">
        <f>IF(Table1[[#This Row],[Is Data Valid]]=TRUE,EXP(0.578+0.332*((Table1[[#This Row],[Gestation (days)]]+0.5)/7)-0.00354*((Table1[[#This Row],[Gestation (days)]]+0.5)/7)^2)*Table1[[#This Row],[BW40_3705]],"")</f>
        <v/>
      </c>
      <c r="G7986" s="2" t="str">
        <f>IF(Table1[[#This Row],[Is Data Valid]]=TRUE,((Table1[[#This Row],[Birthweight (grams)]]/Table1[[#This Row],[BW_GA]])-1)/(Backend!$B$4/100*Table1[[#This Row],[BW40_3705]]),"")</f>
        <v/>
      </c>
      <c r="H7986" s="7" t="str">
        <f>IF(Table1[[#This Row],[Is Data Valid]]=TRUE,((Table1[[#This Row],[Birthweight (grams)]]*0.9/Table1[[#This Row],[BW_GA]])-1)/(Backend!$B$4/100*Table1[[#This Row],[BW40_3705]]),"")</f>
        <v/>
      </c>
      <c r="I7986" s="7" t="str">
        <f>IF(Table1[[#This Row],[Is Data Valid]]=TRUE,((Table1[[#This Row],[Birthweight (grams)]]*1.1/Table1[[#This Row],[BW_GA]])-1)/(Backend!$B$4/100*Table1[[#This Row],[BW40_3705]]),"")</f>
        <v/>
      </c>
      <c r="J7986" s="7" t="str">
        <f>IF(Table1[[#This Row],[Is Data Valid]]=TRUE,_xlfn.NORM.S.DIST(Table1[[#This Row],[Birthweight Z-Score]],TRUE)*100,"")</f>
        <v/>
      </c>
      <c r="K7986" s="7" t="str">
        <f>IF(Table1[[#This Row],[Is Data Valid]]=TRUE,_xlfn.NORM.S.DIST(Table1[[#This Row],[Birthweight Z-Score (BW-10%)]],TRUE)*100,"")</f>
        <v/>
      </c>
      <c r="L7986" s="7" t="str">
        <f>IF(Table1[[#This Row],[Is Data Valid]]=TRUE,_xlfn.NORM.S.DIST(Table1[[#This Row],[Birthweight Z-Score (BW+10%)]],TRUE)*100,"")</f>
        <v/>
      </c>
    </row>
    <row r="7987" spans="1:12" x14ac:dyDescent="0.35">
      <c r="A7987" s="3"/>
      <c r="B7987" s="2"/>
      <c r="C7987" s="2"/>
      <c r="D7987" s="2" t="b">
        <f>IF(AND(NOT(ISBLANK(Table1[[#This Row],[Fetal Sex (Male, Female or Unknown)]])),ISNUMBER(Table1[[#This Row],[Birthweight (grams)]]),ISNUMBER(Table1[[#This Row],[Gestation (days)]])),TRUE,FALSE)</f>
        <v>0</v>
      </c>
      <c r="E7987" s="2" t="str">
        <f>IF(Table1[[#This Row],[Is Data Valid]]=TRUE,IF(Table1[[#This Row],[Fetal Sex (Male, Female or Unknown)]]="Male",Backend!$C$6,IF(Table1[[#This Row],[Fetal Sex (Male, Female or Unknown)]]="Female",Backend!$C$7,IF(Table1[[#This Row],[Fetal Sex (Male, Female or Unknown)]]="Unknown",Backend!$C$8,"Error"))),"")</f>
        <v/>
      </c>
      <c r="F7987" s="8" t="str">
        <f>IF(Table1[[#This Row],[Is Data Valid]]=TRUE,EXP(0.578+0.332*((Table1[[#This Row],[Gestation (days)]]+0.5)/7)-0.00354*((Table1[[#This Row],[Gestation (days)]]+0.5)/7)^2)*Table1[[#This Row],[BW40_3705]],"")</f>
        <v/>
      </c>
      <c r="G7987" s="2" t="str">
        <f>IF(Table1[[#This Row],[Is Data Valid]]=TRUE,((Table1[[#This Row],[Birthweight (grams)]]/Table1[[#This Row],[BW_GA]])-1)/(Backend!$B$4/100*Table1[[#This Row],[BW40_3705]]),"")</f>
        <v/>
      </c>
      <c r="H7987" s="7" t="str">
        <f>IF(Table1[[#This Row],[Is Data Valid]]=TRUE,((Table1[[#This Row],[Birthweight (grams)]]*0.9/Table1[[#This Row],[BW_GA]])-1)/(Backend!$B$4/100*Table1[[#This Row],[BW40_3705]]),"")</f>
        <v/>
      </c>
      <c r="I7987" s="7" t="str">
        <f>IF(Table1[[#This Row],[Is Data Valid]]=TRUE,((Table1[[#This Row],[Birthweight (grams)]]*1.1/Table1[[#This Row],[BW_GA]])-1)/(Backend!$B$4/100*Table1[[#This Row],[BW40_3705]]),"")</f>
        <v/>
      </c>
      <c r="J7987" s="7" t="str">
        <f>IF(Table1[[#This Row],[Is Data Valid]]=TRUE,_xlfn.NORM.S.DIST(Table1[[#This Row],[Birthweight Z-Score]],TRUE)*100,"")</f>
        <v/>
      </c>
      <c r="K7987" s="7" t="str">
        <f>IF(Table1[[#This Row],[Is Data Valid]]=TRUE,_xlfn.NORM.S.DIST(Table1[[#This Row],[Birthweight Z-Score (BW-10%)]],TRUE)*100,"")</f>
        <v/>
      </c>
      <c r="L7987" s="7" t="str">
        <f>IF(Table1[[#This Row],[Is Data Valid]]=TRUE,_xlfn.NORM.S.DIST(Table1[[#This Row],[Birthweight Z-Score (BW+10%)]],TRUE)*100,"")</f>
        <v/>
      </c>
    </row>
    <row r="7988" spans="1:12" x14ac:dyDescent="0.35">
      <c r="A7988" s="3"/>
      <c r="B7988" s="2"/>
      <c r="C7988" s="2"/>
      <c r="D7988" s="2" t="b">
        <f>IF(AND(NOT(ISBLANK(Table1[[#This Row],[Fetal Sex (Male, Female or Unknown)]])),ISNUMBER(Table1[[#This Row],[Birthweight (grams)]]),ISNUMBER(Table1[[#This Row],[Gestation (days)]])),TRUE,FALSE)</f>
        <v>0</v>
      </c>
      <c r="E7988" s="2" t="str">
        <f>IF(Table1[[#This Row],[Is Data Valid]]=TRUE,IF(Table1[[#This Row],[Fetal Sex (Male, Female or Unknown)]]="Male",Backend!$C$6,IF(Table1[[#This Row],[Fetal Sex (Male, Female or Unknown)]]="Female",Backend!$C$7,IF(Table1[[#This Row],[Fetal Sex (Male, Female or Unknown)]]="Unknown",Backend!$C$8,"Error"))),"")</f>
        <v/>
      </c>
      <c r="F7988" s="8" t="str">
        <f>IF(Table1[[#This Row],[Is Data Valid]]=TRUE,EXP(0.578+0.332*((Table1[[#This Row],[Gestation (days)]]+0.5)/7)-0.00354*((Table1[[#This Row],[Gestation (days)]]+0.5)/7)^2)*Table1[[#This Row],[BW40_3705]],"")</f>
        <v/>
      </c>
      <c r="G7988" s="2" t="str">
        <f>IF(Table1[[#This Row],[Is Data Valid]]=TRUE,((Table1[[#This Row],[Birthweight (grams)]]/Table1[[#This Row],[BW_GA]])-1)/(Backend!$B$4/100*Table1[[#This Row],[BW40_3705]]),"")</f>
        <v/>
      </c>
      <c r="H7988" s="7" t="str">
        <f>IF(Table1[[#This Row],[Is Data Valid]]=TRUE,((Table1[[#This Row],[Birthweight (grams)]]*0.9/Table1[[#This Row],[BW_GA]])-1)/(Backend!$B$4/100*Table1[[#This Row],[BW40_3705]]),"")</f>
        <v/>
      </c>
      <c r="I7988" s="7" t="str">
        <f>IF(Table1[[#This Row],[Is Data Valid]]=TRUE,((Table1[[#This Row],[Birthweight (grams)]]*1.1/Table1[[#This Row],[BW_GA]])-1)/(Backend!$B$4/100*Table1[[#This Row],[BW40_3705]]),"")</f>
        <v/>
      </c>
      <c r="J7988" s="7" t="str">
        <f>IF(Table1[[#This Row],[Is Data Valid]]=TRUE,_xlfn.NORM.S.DIST(Table1[[#This Row],[Birthweight Z-Score]],TRUE)*100,"")</f>
        <v/>
      </c>
      <c r="K7988" s="7" t="str">
        <f>IF(Table1[[#This Row],[Is Data Valid]]=TRUE,_xlfn.NORM.S.DIST(Table1[[#This Row],[Birthweight Z-Score (BW-10%)]],TRUE)*100,"")</f>
        <v/>
      </c>
      <c r="L7988" s="7" t="str">
        <f>IF(Table1[[#This Row],[Is Data Valid]]=TRUE,_xlfn.NORM.S.DIST(Table1[[#This Row],[Birthweight Z-Score (BW+10%)]],TRUE)*100,"")</f>
        <v/>
      </c>
    </row>
    <row r="7989" spans="1:12" x14ac:dyDescent="0.35">
      <c r="A7989" s="3"/>
      <c r="B7989" s="2"/>
      <c r="C7989" s="2"/>
      <c r="D7989" s="2" t="b">
        <f>IF(AND(NOT(ISBLANK(Table1[[#This Row],[Fetal Sex (Male, Female or Unknown)]])),ISNUMBER(Table1[[#This Row],[Birthweight (grams)]]),ISNUMBER(Table1[[#This Row],[Gestation (days)]])),TRUE,FALSE)</f>
        <v>0</v>
      </c>
      <c r="E7989" s="2" t="str">
        <f>IF(Table1[[#This Row],[Is Data Valid]]=TRUE,IF(Table1[[#This Row],[Fetal Sex (Male, Female or Unknown)]]="Male",Backend!$C$6,IF(Table1[[#This Row],[Fetal Sex (Male, Female or Unknown)]]="Female",Backend!$C$7,IF(Table1[[#This Row],[Fetal Sex (Male, Female or Unknown)]]="Unknown",Backend!$C$8,"Error"))),"")</f>
        <v/>
      </c>
      <c r="F7989" s="8" t="str">
        <f>IF(Table1[[#This Row],[Is Data Valid]]=TRUE,EXP(0.578+0.332*((Table1[[#This Row],[Gestation (days)]]+0.5)/7)-0.00354*((Table1[[#This Row],[Gestation (days)]]+0.5)/7)^2)*Table1[[#This Row],[BW40_3705]],"")</f>
        <v/>
      </c>
      <c r="G7989" s="2" t="str">
        <f>IF(Table1[[#This Row],[Is Data Valid]]=TRUE,((Table1[[#This Row],[Birthweight (grams)]]/Table1[[#This Row],[BW_GA]])-1)/(Backend!$B$4/100*Table1[[#This Row],[BW40_3705]]),"")</f>
        <v/>
      </c>
      <c r="H7989" s="7" t="str">
        <f>IF(Table1[[#This Row],[Is Data Valid]]=TRUE,((Table1[[#This Row],[Birthweight (grams)]]*0.9/Table1[[#This Row],[BW_GA]])-1)/(Backend!$B$4/100*Table1[[#This Row],[BW40_3705]]),"")</f>
        <v/>
      </c>
      <c r="I7989" s="7" t="str">
        <f>IF(Table1[[#This Row],[Is Data Valid]]=TRUE,((Table1[[#This Row],[Birthweight (grams)]]*1.1/Table1[[#This Row],[BW_GA]])-1)/(Backend!$B$4/100*Table1[[#This Row],[BW40_3705]]),"")</f>
        <v/>
      </c>
      <c r="J7989" s="7" t="str">
        <f>IF(Table1[[#This Row],[Is Data Valid]]=TRUE,_xlfn.NORM.S.DIST(Table1[[#This Row],[Birthweight Z-Score]],TRUE)*100,"")</f>
        <v/>
      </c>
      <c r="K7989" s="7" t="str">
        <f>IF(Table1[[#This Row],[Is Data Valid]]=TRUE,_xlfn.NORM.S.DIST(Table1[[#This Row],[Birthweight Z-Score (BW-10%)]],TRUE)*100,"")</f>
        <v/>
      </c>
      <c r="L7989" s="7" t="str">
        <f>IF(Table1[[#This Row],[Is Data Valid]]=TRUE,_xlfn.NORM.S.DIST(Table1[[#This Row],[Birthweight Z-Score (BW+10%)]],TRUE)*100,"")</f>
        <v/>
      </c>
    </row>
    <row r="7990" spans="1:12" x14ac:dyDescent="0.35">
      <c r="A7990" s="3"/>
      <c r="B7990" s="2"/>
      <c r="C7990" s="2"/>
      <c r="D7990" s="2" t="b">
        <f>IF(AND(NOT(ISBLANK(Table1[[#This Row],[Fetal Sex (Male, Female or Unknown)]])),ISNUMBER(Table1[[#This Row],[Birthweight (grams)]]),ISNUMBER(Table1[[#This Row],[Gestation (days)]])),TRUE,FALSE)</f>
        <v>0</v>
      </c>
      <c r="E7990" s="2" t="str">
        <f>IF(Table1[[#This Row],[Is Data Valid]]=TRUE,IF(Table1[[#This Row],[Fetal Sex (Male, Female or Unknown)]]="Male",Backend!$C$6,IF(Table1[[#This Row],[Fetal Sex (Male, Female or Unknown)]]="Female",Backend!$C$7,IF(Table1[[#This Row],[Fetal Sex (Male, Female or Unknown)]]="Unknown",Backend!$C$8,"Error"))),"")</f>
        <v/>
      </c>
      <c r="F7990" s="8" t="str">
        <f>IF(Table1[[#This Row],[Is Data Valid]]=TRUE,EXP(0.578+0.332*((Table1[[#This Row],[Gestation (days)]]+0.5)/7)-0.00354*((Table1[[#This Row],[Gestation (days)]]+0.5)/7)^2)*Table1[[#This Row],[BW40_3705]],"")</f>
        <v/>
      </c>
      <c r="G7990" s="2" t="str">
        <f>IF(Table1[[#This Row],[Is Data Valid]]=TRUE,((Table1[[#This Row],[Birthweight (grams)]]/Table1[[#This Row],[BW_GA]])-1)/(Backend!$B$4/100*Table1[[#This Row],[BW40_3705]]),"")</f>
        <v/>
      </c>
      <c r="H7990" s="7" t="str">
        <f>IF(Table1[[#This Row],[Is Data Valid]]=TRUE,((Table1[[#This Row],[Birthweight (grams)]]*0.9/Table1[[#This Row],[BW_GA]])-1)/(Backend!$B$4/100*Table1[[#This Row],[BW40_3705]]),"")</f>
        <v/>
      </c>
      <c r="I7990" s="7" t="str">
        <f>IF(Table1[[#This Row],[Is Data Valid]]=TRUE,((Table1[[#This Row],[Birthweight (grams)]]*1.1/Table1[[#This Row],[BW_GA]])-1)/(Backend!$B$4/100*Table1[[#This Row],[BW40_3705]]),"")</f>
        <v/>
      </c>
      <c r="J7990" s="7" t="str">
        <f>IF(Table1[[#This Row],[Is Data Valid]]=TRUE,_xlfn.NORM.S.DIST(Table1[[#This Row],[Birthweight Z-Score]],TRUE)*100,"")</f>
        <v/>
      </c>
      <c r="K7990" s="7" t="str">
        <f>IF(Table1[[#This Row],[Is Data Valid]]=TRUE,_xlfn.NORM.S.DIST(Table1[[#This Row],[Birthweight Z-Score (BW-10%)]],TRUE)*100,"")</f>
        <v/>
      </c>
      <c r="L7990" s="7" t="str">
        <f>IF(Table1[[#This Row],[Is Data Valid]]=TRUE,_xlfn.NORM.S.DIST(Table1[[#This Row],[Birthweight Z-Score (BW+10%)]],TRUE)*100,"")</f>
        <v/>
      </c>
    </row>
    <row r="7991" spans="1:12" x14ac:dyDescent="0.35">
      <c r="A7991" s="3"/>
      <c r="B7991" s="2"/>
      <c r="C7991" s="2"/>
      <c r="D7991" s="2" t="b">
        <f>IF(AND(NOT(ISBLANK(Table1[[#This Row],[Fetal Sex (Male, Female or Unknown)]])),ISNUMBER(Table1[[#This Row],[Birthweight (grams)]]),ISNUMBER(Table1[[#This Row],[Gestation (days)]])),TRUE,FALSE)</f>
        <v>0</v>
      </c>
      <c r="E7991" s="2" t="str">
        <f>IF(Table1[[#This Row],[Is Data Valid]]=TRUE,IF(Table1[[#This Row],[Fetal Sex (Male, Female or Unknown)]]="Male",Backend!$C$6,IF(Table1[[#This Row],[Fetal Sex (Male, Female or Unknown)]]="Female",Backend!$C$7,IF(Table1[[#This Row],[Fetal Sex (Male, Female or Unknown)]]="Unknown",Backend!$C$8,"Error"))),"")</f>
        <v/>
      </c>
      <c r="F7991" s="8" t="str">
        <f>IF(Table1[[#This Row],[Is Data Valid]]=TRUE,EXP(0.578+0.332*((Table1[[#This Row],[Gestation (days)]]+0.5)/7)-0.00354*((Table1[[#This Row],[Gestation (days)]]+0.5)/7)^2)*Table1[[#This Row],[BW40_3705]],"")</f>
        <v/>
      </c>
      <c r="G7991" s="2" t="str">
        <f>IF(Table1[[#This Row],[Is Data Valid]]=TRUE,((Table1[[#This Row],[Birthweight (grams)]]/Table1[[#This Row],[BW_GA]])-1)/(Backend!$B$4/100*Table1[[#This Row],[BW40_3705]]),"")</f>
        <v/>
      </c>
      <c r="H7991" s="7" t="str">
        <f>IF(Table1[[#This Row],[Is Data Valid]]=TRUE,((Table1[[#This Row],[Birthweight (grams)]]*0.9/Table1[[#This Row],[BW_GA]])-1)/(Backend!$B$4/100*Table1[[#This Row],[BW40_3705]]),"")</f>
        <v/>
      </c>
      <c r="I7991" s="7" t="str">
        <f>IF(Table1[[#This Row],[Is Data Valid]]=TRUE,((Table1[[#This Row],[Birthweight (grams)]]*1.1/Table1[[#This Row],[BW_GA]])-1)/(Backend!$B$4/100*Table1[[#This Row],[BW40_3705]]),"")</f>
        <v/>
      </c>
      <c r="J7991" s="7" t="str">
        <f>IF(Table1[[#This Row],[Is Data Valid]]=TRUE,_xlfn.NORM.S.DIST(Table1[[#This Row],[Birthweight Z-Score]],TRUE)*100,"")</f>
        <v/>
      </c>
      <c r="K7991" s="7" t="str">
        <f>IF(Table1[[#This Row],[Is Data Valid]]=TRUE,_xlfn.NORM.S.DIST(Table1[[#This Row],[Birthweight Z-Score (BW-10%)]],TRUE)*100,"")</f>
        <v/>
      </c>
      <c r="L7991" s="7" t="str">
        <f>IF(Table1[[#This Row],[Is Data Valid]]=TRUE,_xlfn.NORM.S.DIST(Table1[[#This Row],[Birthweight Z-Score (BW+10%)]],TRUE)*100,"")</f>
        <v/>
      </c>
    </row>
    <row r="7992" spans="1:12" x14ac:dyDescent="0.35">
      <c r="A7992" s="3"/>
      <c r="B7992" s="2"/>
      <c r="C7992" s="2"/>
      <c r="D7992" s="2" t="b">
        <f>IF(AND(NOT(ISBLANK(Table1[[#This Row],[Fetal Sex (Male, Female or Unknown)]])),ISNUMBER(Table1[[#This Row],[Birthweight (grams)]]),ISNUMBER(Table1[[#This Row],[Gestation (days)]])),TRUE,FALSE)</f>
        <v>0</v>
      </c>
      <c r="E7992" s="2" t="str">
        <f>IF(Table1[[#This Row],[Is Data Valid]]=TRUE,IF(Table1[[#This Row],[Fetal Sex (Male, Female or Unknown)]]="Male",Backend!$C$6,IF(Table1[[#This Row],[Fetal Sex (Male, Female or Unknown)]]="Female",Backend!$C$7,IF(Table1[[#This Row],[Fetal Sex (Male, Female or Unknown)]]="Unknown",Backend!$C$8,"Error"))),"")</f>
        <v/>
      </c>
      <c r="F7992" s="8" t="str">
        <f>IF(Table1[[#This Row],[Is Data Valid]]=TRUE,EXP(0.578+0.332*((Table1[[#This Row],[Gestation (days)]]+0.5)/7)-0.00354*((Table1[[#This Row],[Gestation (days)]]+0.5)/7)^2)*Table1[[#This Row],[BW40_3705]],"")</f>
        <v/>
      </c>
      <c r="G7992" s="2" t="str">
        <f>IF(Table1[[#This Row],[Is Data Valid]]=TRUE,((Table1[[#This Row],[Birthweight (grams)]]/Table1[[#This Row],[BW_GA]])-1)/(Backend!$B$4/100*Table1[[#This Row],[BW40_3705]]),"")</f>
        <v/>
      </c>
      <c r="H7992" s="7" t="str">
        <f>IF(Table1[[#This Row],[Is Data Valid]]=TRUE,((Table1[[#This Row],[Birthweight (grams)]]*0.9/Table1[[#This Row],[BW_GA]])-1)/(Backend!$B$4/100*Table1[[#This Row],[BW40_3705]]),"")</f>
        <v/>
      </c>
      <c r="I7992" s="7" t="str">
        <f>IF(Table1[[#This Row],[Is Data Valid]]=TRUE,((Table1[[#This Row],[Birthweight (grams)]]*1.1/Table1[[#This Row],[BW_GA]])-1)/(Backend!$B$4/100*Table1[[#This Row],[BW40_3705]]),"")</f>
        <v/>
      </c>
      <c r="J7992" s="7" t="str">
        <f>IF(Table1[[#This Row],[Is Data Valid]]=TRUE,_xlfn.NORM.S.DIST(Table1[[#This Row],[Birthweight Z-Score]],TRUE)*100,"")</f>
        <v/>
      </c>
      <c r="K7992" s="7" t="str">
        <f>IF(Table1[[#This Row],[Is Data Valid]]=TRUE,_xlfn.NORM.S.DIST(Table1[[#This Row],[Birthweight Z-Score (BW-10%)]],TRUE)*100,"")</f>
        <v/>
      </c>
      <c r="L7992" s="7" t="str">
        <f>IF(Table1[[#This Row],[Is Data Valid]]=TRUE,_xlfn.NORM.S.DIST(Table1[[#This Row],[Birthweight Z-Score (BW+10%)]],TRUE)*100,"")</f>
        <v/>
      </c>
    </row>
    <row r="7993" spans="1:12" x14ac:dyDescent="0.35">
      <c r="A7993" s="3"/>
      <c r="B7993" s="2"/>
      <c r="C7993" s="2"/>
      <c r="D7993" s="2" t="b">
        <f>IF(AND(NOT(ISBLANK(Table1[[#This Row],[Fetal Sex (Male, Female or Unknown)]])),ISNUMBER(Table1[[#This Row],[Birthweight (grams)]]),ISNUMBER(Table1[[#This Row],[Gestation (days)]])),TRUE,FALSE)</f>
        <v>0</v>
      </c>
      <c r="E7993" s="2" t="str">
        <f>IF(Table1[[#This Row],[Is Data Valid]]=TRUE,IF(Table1[[#This Row],[Fetal Sex (Male, Female or Unknown)]]="Male",Backend!$C$6,IF(Table1[[#This Row],[Fetal Sex (Male, Female or Unknown)]]="Female",Backend!$C$7,IF(Table1[[#This Row],[Fetal Sex (Male, Female or Unknown)]]="Unknown",Backend!$C$8,"Error"))),"")</f>
        <v/>
      </c>
      <c r="F7993" s="8" t="str">
        <f>IF(Table1[[#This Row],[Is Data Valid]]=TRUE,EXP(0.578+0.332*((Table1[[#This Row],[Gestation (days)]]+0.5)/7)-0.00354*((Table1[[#This Row],[Gestation (days)]]+0.5)/7)^2)*Table1[[#This Row],[BW40_3705]],"")</f>
        <v/>
      </c>
      <c r="G7993" s="2" t="str">
        <f>IF(Table1[[#This Row],[Is Data Valid]]=TRUE,((Table1[[#This Row],[Birthweight (grams)]]/Table1[[#This Row],[BW_GA]])-1)/(Backend!$B$4/100*Table1[[#This Row],[BW40_3705]]),"")</f>
        <v/>
      </c>
      <c r="H7993" s="7" t="str">
        <f>IF(Table1[[#This Row],[Is Data Valid]]=TRUE,((Table1[[#This Row],[Birthweight (grams)]]*0.9/Table1[[#This Row],[BW_GA]])-1)/(Backend!$B$4/100*Table1[[#This Row],[BW40_3705]]),"")</f>
        <v/>
      </c>
      <c r="I7993" s="7" t="str">
        <f>IF(Table1[[#This Row],[Is Data Valid]]=TRUE,((Table1[[#This Row],[Birthweight (grams)]]*1.1/Table1[[#This Row],[BW_GA]])-1)/(Backend!$B$4/100*Table1[[#This Row],[BW40_3705]]),"")</f>
        <v/>
      </c>
      <c r="J7993" s="7" t="str">
        <f>IF(Table1[[#This Row],[Is Data Valid]]=TRUE,_xlfn.NORM.S.DIST(Table1[[#This Row],[Birthweight Z-Score]],TRUE)*100,"")</f>
        <v/>
      </c>
      <c r="K7993" s="7" t="str">
        <f>IF(Table1[[#This Row],[Is Data Valid]]=TRUE,_xlfn.NORM.S.DIST(Table1[[#This Row],[Birthweight Z-Score (BW-10%)]],TRUE)*100,"")</f>
        <v/>
      </c>
      <c r="L7993" s="7" t="str">
        <f>IF(Table1[[#This Row],[Is Data Valid]]=TRUE,_xlfn.NORM.S.DIST(Table1[[#This Row],[Birthweight Z-Score (BW+10%)]],TRUE)*100,"")</f>
        <v/>
      </c>
    </row>
    <row r="7994" spans="1:12" x14ac:dyDescent="0.35">
      <c r="A7994" s="3"/>
      <c r="B7994" s="2"/>
      <c r="C7994" s="2"/>
      <c r="D7994" s="2" t="b">
        <f>IF(AND(NOT(ISBLANK(Table1[[#This Row],[Fetal Sex (Male, Female or Unknown)]])),ISNUMBER(Table1[[#This Row],[Birthweight (grams)]]),ISNUMBER(Table1[[#This Row],[Gestation (days)]])),TRUE,FALSE)</f>
        <v>0</v>
      </c>
      <c r="E7994" s="2" t="str">
        <f>IF(Table1[[#This Row],[Is Data Valid]]=TRUE,IF(Table1[[#This Row],[Fetal Sex (Male, Female or Unknown)]]="Male",Backend!$C$6,IF(Table1[[#This Row],[Fetal Sex (Male, Female or Unknown)]]="Female",Backend!$C$7,IF(Table1[[#This Row],[Fetal Sex (Male, Female or Unknown)]]="Unknown",Backend!$C$8,"Error"))),"")</f>
        <v/>
      </c>
      <c r="F7994" s="8" t="str">
        <f>IF(Table1[[#This Row],[Is Data Valid]]=TRUE,EXP(0.578+0.332*((Table1[[#This Row],[Gestation (days)]]+0.5)/7)-0.00354*((Table1[[#This Row],[Gestation (days)]]+0.5)/7)^2)*Table1[[#This Row],[BW40_3705]],"")</f>
        <v/>
      </c>
      <c r="G7994" s="2" t="str">
        <f>IF(Table1[[#This Row],[Is Data Valid]]=TRUE,((Table1[[#This Row],[Birthweight (grams)]]/Table1[[#This Row],[BW_GA]])-1)/(Backend!$B$4/100*Table1[[#This Row],[BW40_3705]]),"")</f>
        <v/>
      </c>
      <c r="H7994" s="7" t="str">
        <f>IF(Table1[[#This Row],[Is Data Valid]]=TRUE,((Table1[[#This Row],[Birthweight (grams)]]*0.9/Table1[[#This Row],[BW_GA]])-1)/(Backend!$B$4/100*Table1[[#This Row],[BW40_3705]]),"")</f>
        <v/>
      </c>
      <c r="I7994" s="7" t="str">
        <f>IF(Table1[[#This Row],[Is Data Valid]]=TRUE,((Table1[[#This Row],[Birthweight (grams)]]*1.1/Table1[[#This Row],[BW_GA]])-1)/(Backend!$B$4/100*Table1[[#This Row],[BW40_3705]]),"")</f>
        <v/>
      </c>
      <c r="J7994" s="7" t="str">
        <f>IF(Table1[[#This Row],[Is Data Valid]]=TRUE,_xlfn.NORM.S.DIST(Table1[[#This Row],[Birthweight Z-Score]],TRUE)*100,"")</f>
        <v/>
      </c>
      <c r="K7994" s="7" t="str">
        <f>IF(Table1[[#This Row],[Is Data Valid]]=TRUE,_xlfn.NORM.S.DIST(Table1[[#This Row],[Birthweight Z-Score (BW-10%)]],TRUE)*100,"")</f>
        <v/>
      </c>
      <c r="L7994" s="7" t="str">
        <f>IF(Table1[[#This Row],[Is Data Valid]]=TRUE,_xlfn.NORM.S.DIST(Table1[[#This Row],[Birthweight Z-Score (BW+10%)]],TRUE)*100,"")</f>
        <v/>
      </c>
    </row>
    <row r="7995" spans="1:12" x14ac:dyDescent="0.35">
      <c r="A7995" s="3"/>
      <c r="B7995" s="2"/>
      <c r="C7995" s="2"/>
      <c r="D7995" s="2" t="b">
        <f>IF(AND(NOT(ISBLANK(Table1[[#This Row],[Fetal Sex (Male, Female or Unknown)]])),ISNUMBER(Table1[[#This Row],[Birthweight (grams)]]),ISNUMBER(Table1[[#This Row],[Gestation (days)]])),TRUE,FALSE)</f>
        <v>0</v>
      </c>
      <c r="E7995" s="2" t="str">
        <f>IF(Table1[[#This Row],[Is Data Valid]]=TRUE,IF(Table1[[#This Row],[Fetal Sex (Male, Female or Unknown)]]="Male",Backend!$C$6,IF(Table1[[#This Row],[Fetal Sex (Male, Female or Unknown)]]="Female",Backend!$C$7,IF(Table1[[#This Row],[Fetal Sex (Male, Female or Unknown)]]="Unknown",Backend!$C$8,"Error"))),"")</f>
        <v/>
      </c>
      <c r="F7995" s="8" t="str">
        <f>IF(Table1[[#This Row],[Is Data Valid]]=TRUE,EXP(0.578+0.332*((Table1[[#This Row],[Gestation (days)]]+0.5)/7)-0.00354*((Table1[[#This Row],[Gestation (days)]]+0.5)/7)^2)*Table1[[#This Row],[BW40_3705]],"")</f>
        <v/>
      </c>
      <c r="G7995" s="2" t="str">
        <f>IF(Table1[[#This Row],[Is Data Valid]]=TRUE,((Table1[[#This Row],[Birthweight (grams)]]/Table1[[#This Row],[BW_GA]])-1)/(Backend!$B$4/100*Table1[[#This Row],[BW40_3705]]),"")</f>
        <v/>
      </c>
      <c r="H7995" s="7" t="str">
        <f>IF(Table1[[#This Row],[Is Data Valid]]=TRUE,((Table1[[#This Row],[Birthweight (grams)]]*0.9/Table1[[#This Row],[BW_GA]])-1)/(Backend!$B$4/100*Table1[[#This Row],[BW40_3705]]),"")</f>
        <v/>
      </c>
      <c r="I7995" s="7" t="str">
        <f>IF(Table1[[#This Row],[Is Data Valid]]=TRUE,((Table1[[#This Row],[Birthweight (grams)]]*1.1/Table1[[#This Row],[BW_GA]])-1)/(Backend!$B$4/100*Table1[[#This Row],[BW40_3705]]),"")</f>
        <v/>
      </c>
      <c r="J7995" s="7" t="str">
        <f>IF(Table1[[#This Row],[Is Data Valid]]=TRUE,_xlfn.NORM.S.DIST(Table1[[#This Row],[Birthweight Z-Score]],TRUE)*100,"")</f>
        <v/>
      </c>
      <c r="K7995" s="7" t="str">
        <f>IF(Table1[[#This Row],[Is Data Valid]]=TRUE,_xlfn.NORM.S.DIST(Table1[[#This Row],[Birthweight Z-Score (BW-10%)]],TRUE)*100,"")</f>
        <v/>
      </c>
      <c r="L7995" s="7" t="str">
        <f>IF(Table1[[#This Row],[Is Data Valid]]=TRUE,_xlfn.NORM.S.DIST(Table1[[#This Row],[Birthweight Z-Score (BW+10%)]],TRUE)*100,"")</f>
        <v/>
      </c>
    </row>
    <row r="7996" spans="1:12" x14ac:dyDescent="0.35">
      <c r="A7996" s="3"/>
      <c r="B7996" s="2"/>
      <c r="C7996" s="2"/>
      <c r="D7996" s="2" t="b">
        <f>IF(AND(NOT(ISBLANK(Table1[[#This Row],[Fetal Sex (Male, Female or Unknown)]])),ISNUMBER(Table1[[#This Row],[Birthweight (grams)]]),ISNUMBER(Table1[[#This Row],[Gestation (days)]])),TRUE,FALSE)</f>
        <v>0</v>
      </c>
      <c r="E7996" s="2" t="str">
        <f>IF(Table1[[#This Row],[Is Data Valid]]=TRUE,IF(Table1[[#This Row],[Fetal Sex (Male, Female or Unknown)]]="Male",Backend!$C$6,IF(Table1[[#This Row],[Fetal Sex (Male, Female or Unknown)]]="Female",Backend!$C$7,IF(Table1[[#This Row],[Fetal Sex (Male, Female or Unknown)]]="Unknown",Backend!$C$8,"Error"))),"")</f>
        <v/>
      </c>
      <c r="F7996" s="8" t="str">
        <f>IF(Table1[[#This Row],[Is Data Valid]]=TRUE,EXP(0.578+0.332*((Table1[[#This Row],[Gestation (days)]]+0.5)/7)-0.00354*((Table1[[#This Row],[Gestation (days)]]+0.5)/7)^2)*Table1[[#This Row],[BW40_3705]],"")</f>
        <v/>
      </c>
      <c r="G7996" s="2" t="str">
        <f>IF(Table1[[#This Row],[Is Data Valid]]=TRUE,((Table1[[#This Row],[Birthweight (grams)]]/Table1[[#This Row],[BW_GA]])-1)/(Backend!$B$4/100*Table1[[#This Row],[BW40_3705]]),"")</f>
        <v/>
      </c>
      <c r="H7996" s="7" t="str">
        <f>IF(Table1[[#This Row],[Is Data Valid]]=TRUE,((Table1[[#This Row],[Birthweight (grams)]]*0.9/Table1[[#This Row],[BW_GA]])-1)/(Backend!$B$4/100*Table1[[#This Row],[BW40_3705]]),"")</f>
        <v/>
      </c>
      <c r="I7996" s="7" t="str">
        <f>IF(Table1[[#This Row],[Is Data Valid]]=TRUE,((Table1[[#This Row],[Birthweight (grams)]]*1.1/Table1[[#This Row],[BW_GA]])-1)/(Backend!$B$4/100*Table1[[#This Row],[BW40_3705]]),"")</f>
        <v/>
      </c>
      <c r="J7996" s="7" t="str">
        <f>IF(Table1[[#This Row],[Is Data Valid]]=TRUE,_xlfn.NORM.S.DIST(Table1[[#This Row],[Birthweight Z-Score]],TRUE)*100,"")</f>
        <v/>
      </c>
      <c r="K7996" s="7" t="str">
        <f>IF(Table1[[#This Row],[Is Data Valid]]=TRUE,_xlfn.NORM.S.DIST(Table1[[#This Row],[Birthweight Z-Score (BW-10%)]],TRUE)*100,"")</f>
        <v/>
      </c>
      <c r="L7996" s="7" t="str">
        <f>IF(Table1[[#This Row],[Is Data Valid]]=TRUE,_xlfn.NORM.S.DIST(Table1[[#This Row],[Birthweight Z-Score (BW+10%)]],TRUE)*100,"")</f>
        <v/>
      </c>
    </row>
    <row r="7997" spans="1:12" x14ac:dyDescent="0.35">
      <c r="A7997" s="3"/>
      <c r="B7997" s="2"/>
      <c r="C7997" s="2"/>
      <c r="D7997" s="2" t="b">
        <f>IF(AND(NOT(ISBLANK(Table1[[#This Row],[Fetal Sex (Male, Female or Unknown)]])),ISNUMBER(Table1[[#This Row],[Birthweight (grams)]]),ISNUMBER(Table1[[#This Row],[Gestation (days)]])),TRUE,FALSE)</f>
        <v>0</v>
      </c>
      <c r="E7997" s="2" t="str">
        <f>IF(Table1[[#This Row],[Is Data Valid]]=TRUE,IF(Table1[[#This Row],[Fetal Sex (Male, Female or Unknown)]]="Male",Backend!$C$6,IF(Table1[[#This Row],[Fetal Sex (Male, Female or Unknown)]]="Female",Backend!$C$7,IF(Table1[[#This Row],[Fetal Sex (Male, Female or Unknown)]]="Unknown",Backend!$C$8,"Error"))),"")</f>
        <v/>
      </c>
      <c r="F7997" s="8" t="str">
        <f>IF(Table1[[#This Row],[Is Data Valid]]=TRUE,EXP(0.578+0.332*((Table1[[#This Row],[Gestation (days)]]+0.5)/7)-0.00354*((Table1[[#This Row],[Gestation (days)]]+0.5)/7)^2)*Table1[[#This Row],[BW40_3705]],"")</f>
        <v/>
      </c>
      <c r="G7997" s="2" t="str">
        <f>IF(Table1[[#This Row],[Is Data Valid]]=TRUE,((Table1[[#This Row],[Birthweight (grams)]]/Table1[[#This Row],[BW_GA]])-1)/(Backend!$B$4/100*Table1[[#This Row],[BW40_3705]]),"")</f>
        <v/>
      </c>
      <c r="H7997" s="7" t="str">
        <f>IF(Table1[[#This Row],[Is Data Valid]]=TRUE,((Table1[[#This Row],[Birthweight (grams)]]*0.9/Table1[[#This Row],[BW_GA]])-1)/(Backend!$B$4/100*Table1[[#This Row],[BW40_3705]]),"")</f>
        <v/>
      </c>
      <c r="I7997" s="7" t="str">
        <f>IF(Table1[[#This Row],[Is Data Valid]]=TRUE,((Table1[[#This Row],[Birthweight (grams)]]*1.1/Table1[[#This Row],[BW_GA]])-1)/(Backend!$B$4/100*Table1[[#This Row],[BW40_3705]]),"")</f>
        <v/>
      </c>
      <c r="J7997" s="7" t="str">
        <f>IF(Table1[[#This Row],[Is Data Valid]]=TRUE,_xlfn.NORM.S.DIST(Table1[[#This Row],[Birthweight Z-Score]],TRUE)*100,"")</f>
        <v/>
      </c>
      <c r="K7997" s="7" t="str">
        <f>IF(Table1[[#This Row],[Is Data Valid]]=TRUE,_xlfn.NORM.S.DIST(Table1[[#This Row],[Birthweight Z-Score (BW-10%)]],TRUE)*100,"")</f>
        <v/>
      </c>
      <c r="L7997" s="7" t="str">
        <f>IF(Table1[[#This Row],[Is Data Valid]]=TRUE,_xlfn.NORM.S.DIST(Table1[[#This Row],[Birthweight Z-Score (BW+10%)]],TRUE)*100,"")</f>
        <v/>
      </c>
    </row>
    <row r="7998" spans="1:12" x14ac:dyDescent="0.35">
      <c r="A7998" s="3"/>
      <c r="B7998" s="2"/>
      <c r="C7998" s="2"/>
      <c r="D7998" s="2" t="b">
        <f>IF(AND(NOT(ISBLANK(Table1[[#This Row],[Fetal Sex (Male, Female or Unknown)]])),ISNUMBER(Table1[[#This Row],[Birthweight (grams)]]),ISNUMBER(Table1[[#This Row],[Gestation (days)]])),TRUE,FALSE)</f>
        <v>0</v>
      </c>
      <c r="E7998" s="2" t="str">
        <f>IF(Table1[[#This Row],[Is Data Valid]]=TRUE,IF(Table1[[#This Row],[Fetal Sex (Male, Female or Unknown)]]="Male",Backend!$C$6,IF(Table1[[#This Row],[Fetal Sex (Male, Female or Unknown)]]="Female",Backend!$C$7,IF(Table1[[#This Row],[Fetal Sex (Male, Female or Unknown)]]="Unknown",Backend!$C$8,"Error"))),"")</f>
        <v/>
      </c>
      <c r="F7998" s="8" t="str">
        <f>IF(Table1[[#This Row],[Is Data Valid]]=TRUE,EXP(0.578+0.332*((Table1[[#This Row],[Gestation (days)]]+0.5)/7)-0.00354*((Table1[[#This Row],[Gestation (days)]]+0.5)/7)^2)*Table1[[#This Row],[BW40_3705]],"")</f>
        <v/>
      </c>
      <c r="G7998" s="2" t="str">
        <f>IF(Table1[[#This Row],[Is Data Valid]]=TRUE,((Table1[[#This Row],[Birthweight (grams)]]/Table1[[#This Row],[BW_GA]])-1)/(Backend!$B$4/100*Table1[[#This Row],[BW40_3705]]),"")</f>
        <v/>
      </c>
      <c r="H7998" s="7" t="str">
        <f>IF(Table1[[#This Row],[Is Data Valid]]=TRUE,((Table1[[#This Row],[Birthweight (grams)]]*0.9/Table1[[#This Row],[BW_GA]])-1)/(Backend!$B$4/100*Table1[[#This Row],[BW40_3705]]),"")</f>
        <v/>
      </c>
      <c r="I7998" s="7" t="str">
        <f>IF(Table1[[#This Row],[Is Data Valid]]=TRUE,((Table1[[#This Row],[Birthweight (grams)]]*1.1/Table1[[#This Row],[BW_GA]])-1)/(Backend!$B$4/100*Table1[[#This Row],[BW40_3705]]),"")</f>
        <v/>
      </c>
      <c r="J7998" s="7" t="str">
        <f>IF(Table1[[#This Row],[Is Data Valid]]=TRUE,_xlfn.NORM.S.DIST(Table1[[#This Row],[Birthweight Z-Score]],TRUE)*100,"")</f>
        <v/>
      </c>
      <c r="K7998" s="7" t="str">
        <f>IF(Table1[[#This Row],[Is Data Valid]]=TRUE,_xlfn.NORM.S.DIST(Table1[[#This Row],[Birthweight Z-Score (BW-10%)]],TRUE)*100,"")</f>
        <v/>
      </c>
      <c r="L7998" s="7" t="str">
        <f>IF(Table1[[#This Row],[Is Data Valid]]=TRUE,_xlfn.NORM.S.DIST(Table1[[#This Row],[Birthweight Z-Score (BW+10%)]],TRUE)*100,"")</f>
        <v/>
      </c>
    </row>
    <row r="7999" spans="1:12" x14ac:dyDescent="0.35">
      <c r="A7999" s="3"/>
      <c r="B7999" s="2"/>
      <c r="C7999" s="2"/>
      <c r="D7999" s="2" t="b">
        <f>IF(AND(NOT(ISBLANK(Table1[[#This Row],[Fetal Sex (Male, Female or Unknown)]])),ISNUMBER(Table1[[#This Row],[Birthweight (grams)]]),ISNUMBER(Table1[[#This Row],[Gestation (days)]])),TRUE,FALSE)</f>
        <v>0</v>
      </c>
      <c r="E7999" s="2" t="str">
        <f>IF(Table1[[#This Row],[Is Data Valid]]=TRUE,IF(Table1[[#This Row],[Fetal Sex (Male, Female or Unknown)]]="Male",Backend!$C$6,IF(Table1[[#This Row],[Fetal Sex (Male, Female or Unknown)]]="Female",Backend!$C$7,IF(Table1[[#This Row],[Fetal Sex (Male, Female or Unknown)]]="Unknown",Backend!$C$8,"Error"))),"")</f>
        <v/>
      </c>
      <c r="F7999" s="8" t="str">
        <f>IF(Table1[[#This Row],[Is Data Valid]]=TRUE,EXP(0.578+0.332*((Table1[[#This Row],[Gestation (days)]]+0.5)/7)-0.00354*((Table1[[#This Row],[Gestation (days)]]+0.5)/7)^2)*Table1[[#This Row],[BW40_3705]],"")</f>
        <v/>
      </c>
      <c r="G7999" s="2" t="str">
        <f>IF(Table1[[#This Row],[Is Data Valid]]=TRUE,((Table1[[#This Row],[Birthweight (grams)]]/Table1[[#This Row],[BW_GA]])-1)/(Backend!$B$4/100*Table1[[#This Row],[BW40_3705]]),"")</f>
        <v/>
      </c>
      <c r="H7999" s="7" t="str">
        <f>IF(Table1[[#This Row],[Is Data Valid]]=TRUE,((Table1[[#This Row],[Birthweight (grams)]]*0.9/Table1[[#This Row],[BW_GA]])-1)/(Backend!$B$4/100*Table1[[#This Row],[BW40_3705]]),"")</f>
        <v/>
      </c>
      <c r="I7999" s="7" t="str">
        <f>IF(Table1[[#This Row],[Is Data Valid]]=TRUE,((Table1[[#This Row],[Birthweight (grams)]]*1.1/Table1[[#This Row],[BW_GA]])-1)/(Backend!$B$4/100*Table1[[#This Row],[BW40_3705]]),"")</f>
        <v/>
      </c>
      <c r="J7999" s="7" t="str">
        <f>IF(Table1[[#This Row],[Is Data Valid]]=TRUE,_xlfn.NORM.S.DIST(Table1[[#This Row],[Birthweight Z-Score]],TRUE)*100,"")</f>
        <v/>
      </c>
      <c r="K7999" s="7" t="str">
        <f>IF(Table1[[#This Row],[Is Data Valid]]=TRUE,_xlfn.NORM.S.DIST(Table1[[#This Row],[Birthweight Z-Score (BW-10%)]],TRUE)*100,"")</f>
        <v/>
      </c>
      <c r="L7999" s="7" t="str">
        <f>IF(Table1[[#This Row],[Is Data Valid]]=TRUE,_xlfn.NORM.S.DIST(Table1[[#This Row],[Birthweight Z-Score (BW+10%)]],TRUE)*100,"")</f>
        <v/>
      </c>
    </row>
    <row r="8000" spans="1:12" x14ac:dyDescent="0.35">
      <c r="A8000" s="3"/>
      <c r="B8000" s="2"/>
      <c r="C8000" s="2"/>
      <c r="D8000" s="2" t="b">
        <f>IF(AND(NOT(ISBLANK(Table1[[#This Row],[Fetal Sex (Male, Female or Unknown)]])),ISNUMBER(Table1[[#This Row],[Birthweight (grams)]]),ISNUMBER(Table1[[#This Row],[Gestation (days)]])),TRUE,FALSE)</f>
        <v>0</v>
      </c>
      <c r="E8000" s="2" t="str">
        <f>IF(Table1[[#This Row],[Is Data Valid]]=TRUE,IF(Table1[[#This Row],[Fetal Sex (Male, Female or Unknown)]]="Male",Backend!$C$6,IF(Table1[[#This Row],[Fetal Sex (Male, Female or Unknown)]]="Female",Backend!$C$7,IF(Table1[[#This Row],[Fetal Sex (Male, Female or Unknown)]]="Unknown",Backend!$C$8,"Error"))),"")</f>
        <v/>
      </c>
      <c r="F8000" s="8" t="str">
        <f>IF(Table1[[#This Row],[Is Data Valid]]=TRUE,EXP(0.578+0.332*((Table1[[#This Row],[Gestation (days)]]+0.5)/7)-0.00354*((Table1[[#This Row],[Gestation (days)]]+0.5)/7)^2)*Table1[[#This Row],[BW40_3705]],"")</f>
        <v/>
      </c>
      <c r="G8000" s="2" t="str">
        <f>IF(Table1[[#This Row],[Is Data Valid]]=TRUE,((Table1[[#This Row],[Birthweight (grams)]]/Table1[[#This Row],[BW_GA]])-1)/(Backend!$B$4/100*Table1[[#This Row],[BW40_3705]]),"")</f>
        <v/>
      </c>
      <c r="H8000" s="7" t="str">
        <f>IF(Table1[[#This Row],[Is Data Valid]]=TRUE,((Table1[[#This Row],[Birthweight (grams)]]*0.9/Table1[[#This Row],[BW_GA]])-1)/(Backend!$B$4/100*Table1[[#This Row],[BW40_3705]]),"")</f>
        <v/>
      </c>
      <c r="I8000" s="7" t="str">
        <f>IF(Table1[[#This Row],[Is Data Valid]]=TRUE,((Table1[[#This Row],[Birthweight (grams)]]*1.1/Table1[[#This Row],[BW_GA]])-1)/(Backend!$B$4/100*Table1[[#This Row],[BW40_3705]]),"")</f>
        <v/>
      </c>
      <c r="J8000" s="7" t="str">
        <f>IF(Table1[[#This Row],[Is Data Valid]]=TRUE,_xlfn.NORM.S.DIST(Table1[[#This Row],[Birthweight Z-Score]],TRUE)*100,"")</f>
        <v/>
      </c>
      <c r="K8000" s="7" t="str">
        <f>IF(Table1[[#This Row],[Is Data Valid]]=TRUE,_xlfn.NORM.S.DIST(Table1[[#This Row],[Birthweight Z-Score (BW-10%)]],TRUE)*100,"")</f>
        <v/>
      </c>
      <c r="L8000" s="7" t="str">
        <f>IF(Table1[[#This Row],[Is Data Valid]]=TRUE,_xlfn.NORM.S.DIST(Table1[[#This Row],[Birthweight Z-Score (BW+10%)]],TRUE)*100,"")</f>
        <v/>
      </c>
    </row>
    <row r="8001" spans="1:12" x14ac:dyDescent="0.35">
      <c r="A8001" s="3"/>
      <c r="B8001" s="2"/>
      <c r="C8001" s="2"/>
      <c r="D8001" s="2" t="b">
        <f>IF(AND(NOT(ISBLANK(Table1[[#This Row],[Fetal Sex (Male, Female or Unknown)]])),ISNUMBER(Table1[[#This Row],[Birthweight (grams)]]),ISNUMBER(Table1[[#This Row],[Gestation (days)]])),TRUE,FALSE)</f>
        <v>0</v>
      </c>
      <c r="E8001" s="2" t="str">
        <f>IF(Table1[[#This Row],[Is Data Valid]]=TRUE,IF(Table1[[#This Row],[Fetal Sex (Male, Female or Unknown)]]="Male",Backend!$C$6,IF(Table1[[#This Row],[Fetal Sex (Male, Female or Unknown)]]="Female",Backend!$C$7,IF(Table1[[#This Row],[Fetal Sex (Male, Female or Unknown)]]="Unknown",Backend!$C$8,"Error"))),"")</f>
        <v/>
      </c>
      <c r="F8001" s="8" t="str">
        <f>IF(Table1[[#This Row],[Is Data Valid]]=TRUE,EXP(0.578+0.332*((Table1[[#This Row],[Gestation (days)]]+0.5)/7)-0.00354*((Table1[[#This Row],[Gestation (days)]]+0.5)/7)^2)*Table1[[#This Row],[BW40_3705]],"")</f>
        <v/>
      </c>
      <c r="G8001" s="2" t="str">
        <f>IF(Table1[[#This Row],[Is Data Valid]]=TRUE,((Table1[[#This Row],[Birthweight (grams)]]/Table1[[#This Row],[BW_GA]])-1)/(Backend!$B$4/100*Table1[[#This Row],[BW40_3705]]),"")</f>
        <v/>
      </c>
      <c r="H8001" s="7" t="str">
        <f>IF(Table1[[#This Row],[Is Data Valid]]=TRUE,((Table1[[#This Row],[Birthweight (grams)]]*0.9/Table1[[#This Row],[BW_GA]])-1)/(Backend!$B$4/100*Table1[[#This Row],[BW40_3705]]),"")</f>
        <v/>
      </c>
      <c r="I8001" s="7" t="str">
        <f>IF(Table1[[#This Row],[Is Data Valid]]=TRUE,((Table1[[#This Row],[Birthweight (grams)]]*1.1/Table1[[#This Row],[BW_GA]])-1)/(Backend!$B$4/100*Table1[[#This Row],[BW40_3705]]),"")</f>
        <v/>
      </c>
      <c r="J8001" s="7" t="str">
        <f>IF(Table1[[#This Row],[Is Data Valid]]=TRUE,_xlfn.NORM.S.DIST(Table1[[#This Row],[Birthweight Z-Score]],TRUE)*100,"")</f>
        <v/>
      </c>
      <c r="K8001" s="7" t="str">
        <f>IF(Table1[[#This Row],[Is Data Valid]]=TRUE,_xlfn.NORM.S.DIST(Table1[[#This Row],[Birthweight Z-Score (BW-10%)]],TRUE)*100,"")</f>
        <v/>
      </c>
      <c r="L8001" s="7" t="str">
        <f>IF(Table1[[#This Row],[Is Data Valid]]=TRUE,_xlfn.NORM.S.DIST(Table1[[#This Row],[Birthweight Z-Score (BW+10%)]],TRUE)*100,"")</f>
        <v/>
      </c>
    </row>
    <row r="8002" spans="1:12" x14ac:dyDescent="0.35">
      <c r="A8002" s="3"/>
      <c r="B8002" s="2"/>
      <c r="C8002" s="2"/>
      <c r="D8002" s="2" t="b">
        <f>IF(AND(NOT(ISBLANK(Table1[[#This Row],[Fetal Sex (Male, Female or Unknown)]])),ISNUMBER(Table1[[#This Row],[Birthweight (grams)]]),ISNUMBER(Table1[[#This Row],[Gestation (days)]])),TRUE,FALSE)</f>
        <v>0</v>
      </c>
      <c r="E8002" s="2" t="str">
        <f>IF(Table1[[#This Row],[Is Data Valid]]=TRUE,IF(Table1[[#This Row],[Fetal Sex (Male, Female or Unknown)]]="Male",Backend!$C$6,IF(Table1[[#This Row],[Fetal Sex (Male, Female or Unknown)]]="Female",Backend!$C$7,IF(Table1[[#This Row],[Fetal Sex (Male, Female or Unknown)]]="Unknown",Backend!$C$8,"Error"))),"")</f>
        <v/>
      </c>
      <c r="F8002" s="8" t="str">
        <f>IF(Table1[[#This Row],[Is Data Valid]]=TRUE,EXP(0.578+0.332*((Table1[[#This Row],[Gestation (days)]]+0.5)/7)-0.00354*((Table1[[#This Row],[Gestation (days)]]+0.5)/7)^2)*Table1[[#This Row],[BW40_3705]],"")</f>
        <v/>
      </c>
      <c r="G8002" s="2" t="str">
        <f>IF(Table1[[#This Row],[Is Data Valid]]=TRUE,((Table1[[#This Row],[Birthweight (grams)]]/Table1[[#This Row],[BW_GA]])-1)/(Backend!$B$4/100*Table1[[#This Row],[BW40_3705]]),"")</f>
        <v/>
      </c>
      <c r="H8002" s="7" t="str">
        <f>IF(Table1[[#This Row],[Is Data Valid]]=TRUE,((Table1[[#This Row],[Birthweight (grams)]]*0.9/Table1[[#This Row],[BW_GA]])-1)/(Backend!$B$4/100*Table1[[#This Row],[BW40_3705]]),"")</f>
        <v/>
      </c>
      <c r="I8002" s="7" t="str">
        <f>IF(Table1[[#This Row],[Is Data Valid]]=TRUE,((Table1[[#This Row],[Birthweight (grams)]]*1.1/Table1[[#This Row],[BW_GA]])-1)/(Backend!$B$4/100*Table1[[#This Row],[BW40_3705]]),"")</f>
        <v/>
      </c>
      <c r="J8002" s="7" t="str">
        <f>IF(Table1[[#This Row],[Is Data Valid]]=TRUE,_xlfn.NORM.S.DIST(Table1[[#This Row],[Birthweight Z-Score]],TRUE)*100,"")</f>
        <v/>
      </c>
      <c r="K8002" s="7" t="str">
        <f>IF(Table1[[#This Row],[Is Data Valid]]=TRUE,_xlfn.NORM.S.DIST(Table1[[#This Row],[Birthweight Z-Score (BW-10%)]],TRUE)*100,"")</f>
        <v/>
      </c>
      <c r="L8002" s="7" t="str">
        <f>IF(Table1[[#This Row],[Is Data Valid]]=TRUE,_xlfn.NORM.S.DIST(Table1[[#This Row],[Birthweight Z-Score (BW+10%)]],TRUE)*100,"")</f>
        <v/>
      </c>
    </row>
    <row r="8003" spans="1:12" x14ac:dyDescent="0.35">
      <c r="A8003" s="3"/>
      <c r="B8003" s="2"/>
      <c r="C8003" s="2"/>
      <c r="D8003" s="2" t="b">
        <f>IF(AND(NOT(ISBLANK(Table1[[#This Row],[Fetal Sex (Male, Female or Unknown)]])),ISNUMBER(Table1[[#This Row],[Birthweight (grams)]]),ISNUMBER(Table1[[#This Row],[Gestation (days)]])),TRUE,FALSE)</f>
        <v>0</v>
      </c>
      <c r="E8003" s="2" t="str">
        <f>IF(Table1[[#This Row],[Is Data Valid]]=TRUE,IF(Table1[[#This Row],[Fetal Sex (Male, Female or Unknown)]]="Male",Backend!$C$6,IF(Table1[[#This Row],[Fetal Sex (Male, Female or Unknown)]]="Female",Backend!$C$7,IF(Table1[[#This Row],[Fetal Sex (Male, Female or Unknown)]]="Unknown",Backend!$C$8,"Error"))),"")</f>
        <v/>
      </c>
      <c r="F8003" s="8" t="str">
        <f>IF(Table1[[#This Row],[Is Data Valid]]=TRUE,EXP(0.578+0.332*((Table1[[#This Row],[Gestation (days)]]+0.5)/7)-0.00354*((Table1[[#This Row],[Gestation (days)]]+0.5)/7)^2)*Table1[[#This Row],[BW40_3705]],"")</f>
        <v/>
      </c>
      <c r="G8003" s="2" t="str">
        <f>IF(Table1[[#This Row],[Is Data Valid]]=TRUE,((Table1[[#This Row],[Birthweight (grams)]]/Table1[[#This Row],[BW_GA]])-1)/(Backend!$B$4/100*Table1[[#This Row],[BW40_3705]]),"")</f>
        <v/>
      </c>
      <c r="H8003" s="7" t="str">
        <f>IF(Table1[[#This Row],[Is Data Valid]]=TRUE,((Table1[[#This Row],[Birthweight (grams)]]*0.9/Table1[[#This Row],[BW_GA]])-1)/(Backend!$B$4/100*Table1[[#This Row],[BW40_3705]]),"")</f>
        <v/>
      </c>
      <c r="I8003" s="7" t="str">
        <f>IF(Table1[[#This Row],[Is Data Valid]]=TRUE,((Table1[[#This Row],[Birthweight (grams)]]*1.1/Table1[[#This Row],[BW_GA]])-1)/(Backend!$B$4/100*Table1[[#This Row],[BW40_3705]]),"")</f>
        <v/>
      </c>
      <c r="J8003" s="7" t="str">
        <f>IF(Table1[[#This Row],[Is Data Valid]]=TRUE,_xlfn.NORM.S.DIST(Table1[[#This Row],[Birthweight Z-Score]],TRUE)*100,"")</f>
        <v/>
      </c>
      <c r="K8003" s="7" t="str">
        <f>IF(Table1[[#This Row],[Is Data Valid]]=TRUE,_xlfn.NORM.S.DIST(Table1[[#This Row],[Birthweight Z-Score (BW-10%)]],TRUE)*100,"")</f>
        <v/>
      </c>
      <c r="L8003" s="7" t="str">
        <f>IF(Table1[[#This Row],[Is Data Valid]]=TRUE,_xlfn.NORM.S.DIST(Table1[[#This Row],[Birthweight Z-Score (BW+10%)]],TRUE)*100,"")</f>
        <v/>
      </c>
    </row>
    <row r="8004" spans="1:12" x14ac:dyDescent="0.35">
      <c r="A8004" s="3"/>
      <c r="B8004" s="2"/>
      <c r="C8004" s="2"/>
      <c r="D8004" s="2" t="b">
        <f>IF(AND(NOT(ISBLANK(Table1[[#This Row],[Fetal Sex (Male, Female or Unknown)]])),ISNUMBER(Table1[[#This Row],[Birthweight (grams)]]),ISNUMBER(Table1[[#This Row],[Gestation (days)]])),TRUE,FALSE)</f>
        <v>0</v>
      </c>
      <c r="E8004" s="2" t="str">
        <f>IF(Table1[[#This Row],[Is Data Valid]]=TRUE,IF(Table1[[#This Row],[Fetal Sex (Male, Female or Unknown)]]="Male",Backend!$C$6,IF(Table1[[#This Row],[Fetal Sex (Male, Female or Unknown)]]="Female",Backend!$C$7,IF(Table1[[#This Row],[Fetal Sex (Male, Female or Unknown)]]="Unknown",Backend!$C$8,"Error"))),"")</f>
        <v/>
      </c>
      <c r="F8004" s="8" t="str">
        <f>IF(Table1[[#This Row],[Is Data Valid]]=TRUE,EXP(0.578+0.332*((Table1[[#This Row],[Gestation (days)]]+0.5)/7)-0.00354*((Table1[[#This Row],[Gestation (days)]]+0.5)/7)^2)*Table1[[#This Row],[BW40_3705]],"")</f>
        <v/>
      </c>
      <c r="G8004" s="2" t="str">
        <f>IF(Table1[[#This Row],[Is Data Valid]]=TRUE,((Table1[[#This Row],[Birthweight (grams)]]/Table1[[#This Row],[BW_GA]])-1)/(Backend!$B$4/100*Table1[[#This Row],[BW40_3705]]),"")</f>
        <v/>
      </c>
      <c r="H8004" s="7" t="str">
        <f>IF(Table1[[#This Row],[Is Data Valid]]=TRUE,((Table1[[#This Row],[Birthweight (grams)]]*0.9/Table1[[#This Row],[BW_GA]])-1)/(Backend!$B$4/100*Table1[[#This Row],[BW40_3705]]),"")</f>
        <v/>
      </c>
      <c r="I8004" s="7" t="str">
        <f>IF(Table1[[#This Row],[Is Data Valid]]=TRUE,((Table1[[#This Row],[Birthweight (grams)]]*1.1/Table1[[#This Row],[BW_GA]])-1)/(Backend!$B$4/100*Table1[[#This Row],[BW40_3705]]),"")</f>
        <v/>
      </c>
      <c r="J8004" s="7" t="str">
        <f>IF(Table1[[#This Row],[Is Data Valid]]=TRUE,_xlfn.NORM.S.DIST(Table1[[#This Row],[Birthweight Z-Score]],TRUE)*100,"")</f>
        <v/>
      </c>
      <c r="K8004" s="7" t="str">
        <f>IF(Table1[[#This Row],[Is Data Valid]]=TRUE,_xlfn.NORM.S.DIST(Table1[[#This Row],[Birthweight Z-Score (BW-10%)]],TRUE)*100,"")</f>
        <v/>
      </c>
      <c r="L8004" s="7" t="str">
        <f>IF(Table1[[#This Row],[Is Data Valid]]=TRUE,_xlfn.NORM.S.DIST(Table1[[#This Row],[Birthweight Z-Score (BW+10%)]],TRUE)*100,"")</f>
        <v/>
      </c>
    </row>
    <row r="8005" spans="1:12" x14ac:dyDescent="0.35">
      <c r="A8005" s="3"/>
      <c r="B8005" s="2"/>
      <c r="C8005" s="2"/>
      <c r="D8005" s="2" t="b">
        <f>IF(AND(NOT(ISBLANK(Table1[[#This Row],[Fetal Sex (Male, Female or Unknown)]])),ISNUMBER(Table1[[#This Row],[Birthweight (grams)]]),ISNUMBER(Table1[[#This Row],[Gestation (days)]])),TRUE,FALSE)</f>
        <v>0</v>
      </c>
      <c r="E8005" s="2" t="str">
        <f>IF(Table1[[#This Row],[Is Data Valid]]=TRUE,IF(Table1[[#This Row],[Fetal Sex (Male, Female or Unknown)]]="Male",Backend!$C$6,IF(Table1[[#This Row],[Fetal Sex (Male, Female or Unknown)]]="Female",Backend!$C$7,IF(Table1[[#This Row],[Fetal Sex (Male, Female or Unknown)]]="Unknown",Backend!$C$8,"Error"))),"")</f>
        <v/>
      </c>
      <c r="F8005" s="8" t="str">
        <f>IF(Table1[[#This Row],[Is Data Valid]]=TRUE,EXP(0.578+0.332*((Table1[[#This Row],[Gestation (days)]]+0.5)/7)-0.00354*((Table1[[#This Row],[Gestation (days)]]+0.5)/7)^2)*Table1[[#This Row],[BW40_3705]],"")</f>
        <v/>
      </c>
      <c r="G8005" s="2" t="str">
        <f>IF(Table1[[#This Row],[Is Data Valid]]=TRUE,((Table1[[#This Row],[Birthweight (grams)]]/Table1[[#This Row],[BW_GA]])-1)/(Backend!$B$4/100*Table1[[#This Row],[BW40_3705]]),"")</f>
        <v/>
      </c>
      <c r="H8005" s="7" t="str">
        <f>IF(Table1[[#This Row],[Is Data Valid]]=TRUE,((Table1[[#This Row],[Birthweight (grams)]]*0.9/Table1[[#This Row],[BW_GA]])-1)/(Backend!$B$4/100*Table1[[#This Row],[BW40_3705]]),"")</f>
        <v/>
      </c>
      <c r="I8005" s="7" t="str">
        <f>IF(Table1[[#This Row],[Is Data Valid]]=TRUE,((Table1[[#This Row],[Birthweight (grams)]]*1.1/Table1[[#This Row],[BW_GA]])-1)/(Backend!$B$4/100*Table1[[#This Row],[BW40_3705]]),"")</f>
        <v/>
      </c>
      <c r="J8005" s="7" t="str">
        <f>IF(Table1[[#This Row],[Is Data Valid]]=TRUE,_xlfn.NORM.S.DIST(Table1[[#This Row],[Birthweight Z-Score]],TRUE)*100,"")</f>
        <v/>
      </c>
      <c r="K8005" s="7" t="str">
        <f>IF(Table1[[#This Row],[Is Data Valid]]=TRUE,_xlfn.NORM.S.DIST(Table1[[#This Row],[Birthweight Z-Score (BW-10%)]],TRUE)*100,"")</f>
        <v/>
      </c>
      <c r="L8005" s="7" t="str">
        <f>IF(Table1[[#This Row],[Is Data Valid]]=TRUE,_xlfn.NORM.S.DIST(Table1[[#This Row],[Birthweight Z-Score (BW+10%)]],TRUE)*100,"")</f>
        <v/>
      </c>
    </row>
    <row r="8006" spans="1:12" x14ac:dyDescent="0.35">
      <c r="A8006" s="3"/>
      <c r="B8006" s="2"/>
      <c r="C8006" s="2"/>
      <c r="D8006" s="2" t="b">
        <f>IF(AND(NOT(ISBLANK(Table1[[#This Row],[Fetal Sex (Male, Female or Unknown)]])),ISNUMBER(Table1[[#This Row],[Birthweight (grams)]]),ISNUMBER(Table1[[#This Row],[Gestation (days)]])),TRUE,FALSE)</f>
        <v>0</v>
      </c>
      <c r="E8006" s="2" t="str">
        <f>IF(Table1[[#This Row],[Is Data Valid]]=TRUE,IF(Table1[[#This Row],[Fetal Sex (Male, Female or Unknown)]]="Male",Backend!$C$6,IF(Table1[[#This Row],[Fetal Sex (Male, Female or Unknown)]]="Female",Backend!$C$7,IF(Table1[[#This Row],[Fetal Sex (Male, Female or Unknown)]]="Unknown",Backend!$C$8,"Error"))),"")</f>
        <v/>
      </c>
      <c r="F8006" s="8" t="str">
        <f>IF(Table1[[#This Row],[Is Data Valid]]=TRUE,EXP(0.578+0.332*((Table1[[#This Row],[Gestation (days)]]+0.5)/7)-0.00354*((Table1[[#This Row],[Gestation (days)]]+0.5)/7)^2)*Table1[[#This Row],[BW40_3705]],"")</f>
        <v/>
      </c>
      <c r="G8006" s="2" t="str">
        <f>IF(Table1[[#This Row],[Is Data Valid]]=TRUE,((Table1[[#This Row],[Birthweight (grams)]]/Table1[[#This Row],[BW_GA]])-1)/(Backend!$B$4/100*Table1[[#This Row],[BW40_3705]]),"")</f>
        <v/>
      </c>
      <c r="H8006" s="7" t="str">
        <f>IF(Table1[[#This Row],[Is Data Valid]]=TRUE,((Table1[[#This Row],[Birthweight (grams)]]*0.9/Table1[[#This Row],[BW_GA]])-1)/(Backend!$B$4/100*Table1[[#This Row],[BW40_3705]]),"")</f>
        <v/>
      </c>
      <c r="I8006" s="7" t="str">
        <f>IF(Table1[[#This Row],[Is Data Valid]]=TRUE,((Table1[[#This Row],[Birthweight (grams)]]*1.1/Table1[[#This Row],[BW_GA]])-1)/(Backend!$B$4/100*Table1[[#This Row],[BW40_3705]]),"")</f>
        <v/>
      </c>
      <c r="J8006" s="7" t="str">
        <f>IF(Table1[[#This Row],[Is Data Valid]]=TRUE,_xlfn.NORM.S.DIST(Table1[[#This Row],[Birthweight Z-Score]],TRUE)*100,"")</f>
        <v/>
      </c>
      <c r="K8006" s="7" t="str">
        <f>IF(Table1[[#This Row],[Is Data Valid]]=TRUE,_xlfn.NORM.S.DIST(Table1[[#This Row],[Birthweight Z-Score (BW-10%)]],TRUE)*100,"")</f>
        <v/>
      </c>
      <c r="L8006" s="7" t="str">
        <f>IF(Table1[[#This Row],[Is Data Valid]]=TRUE,_xlfn.NORM.S.DIST(Table1[[#This Row],[Birthweight Z-Score (BW+10%)]],TRUE)*100,"")</f>
        <v/>
      </c>
    </row>
    <row r="8007" spans="1:12" x14ac:dyDescent="0.35">
      <c r="A8007" s="3"/>
      <c r="B8007" s="2"/>
      <c r="C8007" s="2"/>
      <c r="D8007" s="2" t="b">
        <f>IF(AND(NOT(ISBLANK(Table1[[#This Row],[Fetal Sex (Male, Female or Unknown)]])),ISNUMBER(Table1[[#This Row],[Birthweight (grams)]]),ISNUMBER(Table1[[#This Row],[Gestation (days)]])),TRUE,FALSE)</f>
        <v>0</v>
      </c>
      <c r="E8007" s="2" t="str">
        <f>IF(Table1[[#This Row],[Is Data Valid]]=TRUE,IF(Table1[[#This Row],[Fetal Sex (Male, Female or Unknown)]]="Male",Backend!$C$6,IF(Table1[[#This Row],[Fetal Sex (Male, Female or Unknown)]]="Female",Backend!$C$7,IF(Table1[[#This Row],[Fetal Sex (Male, Female or Unknown)]]="Unknown",Backend!$C$8,"Error"))),"")</f>
        <v/>
      </c>
      <c r="F8007" s="8" t="str">
        <f>IF(Table1[[#This Row],[Is Data Valid]]=TRUE,EXP(0.578+0.332*((Table1[[#This Row],[Gestation (days)]]+0.5)/7)-0.00354*((Table1[[#This Row],[Gestation (days)]]+0.5)/7)^2)*Table1[[#This Row],[BW40_3705]],"")</f>
        <v/>
      </c>
      <c r="G8007" s="2" t="str">
        <f>IF(Table1[[#This Row],[Is Data Valid]]=TRUE,((Table1[[#This Row],[Birthweight (grams)]]/Table1[[#This Row],[BW_GA]])-1)/(Backend!$B$4/100*Table1[[#This Row],[BW40_3705]]),"")</f>
        <v/>
      </c>
      <c r="H8007" s="7" t="str">
        <f>IF(Table1[[#This Row],[Is Data Valid]]=TRUE,((Table1[[#This Row],[Birthweight (grams)]]*0.9/Table1[[#This Row],[BW_GA]])-1)/(Backend!$B$4/100*Table1[[#This Row],[BW40_3705]]),"")</f>
        <v/>
      </c>
      <c r="I8007" s="7" t="str">
        <f>IF(Table1[[#This Row],[Is Data Valid]]=TRUE,((Table1[[#This Row],[Birthweight (grams)]]*1.1/Table1[[#This Row],[BW_GA]])-1)/(Backend!$B$4/100*Table1[[#This Row],[BW40_3705]]),"")</f>
        <v/>
      </c>
      <c r="J8007" s="7" t="str">
        <f>IF(Table1[[#This Row],[Is Data Valid]]=TRUE,_xlfn.NORM.S.DIST(Table1[[#This Row],[Birthweight Z-Score]],TRUE)*100,"")</f>
        <v/>
      </c>
      <c r="K8007" s="7" t="str">
        <f>IF(Table1[[#This Row],[Is Data Valid]]=TRUE,_xlfn.NORM.S.DIST(Table1[[#This Row],[Birthweight Z-Score (BW-10%)]],TRUE)*100,"")</f>
        <v/>
      </c>
      <c r="L8007" s="7" t="str">
        <f>IF(Table1[[#This Row],[Is Data Valid]]=TRUE,_xlfn.NORM.S.DIST(Table1[[#This Row],[Birthweight Z-Score (BW+10%)]],TRUE)*100,"")</f>
        <v/>
      </c>
    </row>
    <row r="8008" spans="1:12" x14ac:dyDescent="0.35">
      <c r="A8008" s="3"/>
      <c r="B8008" s="2"/>
      <c r="C8008" s="2"/>
      <c r="D8008" s="2" t="b">
        <f>IF(AND(NOT(ISBLANK(Table1[[#This Row],[Fetal Sex (Male, Female or Unknown)]])),ISNUMBER(Table1[[#This Row],[Birthweight (grams)]]),ISNUMBER(Table1[[#This Row],[Gestation (days)]])),TRUE,FALSE)</f>
        <v>0</v>
      </c>
      <c r="E8008" s="2" t="str">
        <f>IF(Table1[[#This Row],[Is Data Valid]]=TRUE,IF(Table1[[#This Row],[Fetal Sex (Male, Female or Unknown)]]="Male",Backend!$C$6,IF(Table1[[#This Row],[Fetal Sex (Male, Female or Unknown)]]="Female",Backend!$C$7,IF(Table1[[#This Row],[Fetal Sex (Male, Female or Unknown)]]="Unknown",Backend!$C$8,"Error"))),"")</f>
        <v/>
      </c>
      <c r="F8008" s="8" t="str">
        <f>IF(Table1[[#This Row],[Is Data Valid]]=TRUE,EXP(0.578+0.332*((Table1[[#This Row],[Gestation (days)]]+0.5)/7)-0.00354*((Table1[[#This Row],[Gestation (days)]]+0.5)/7)^2)*Table1[[#This Row],[BW40_3705]],"")</f>
        <v/>
      </c>
      <c r="G8008" s="2" t="str">
        <f>IF(Table1[[#This Row],[Is Data Valid]]=TRUE,((Table1[[#This Row],[Birthweight (grams)]]/Table1[[#This Row],[BW_GA]])-1)/(Backend!$B$4/100*Table1[[#This Row],[BW40_3705]]),"")</f>
        <v/>
      </c>
      <c r="H8008" s="7" t="str">
        <f>IF(Table1[[#This Row],[Is Data Valid]]=TRUE,((Table1[[#This Row],[Birthweight (grams)]]*0.9/Table1[[#This Row],[BW_GA]])-1)/(Backend!$B$4/100*Table1[[#This Row],[BW40_3705]]),"")</f>
        <v/>
      </c>
      <c r="I8008" s="7" t="str">
        <f>IF(Table1[[#This Row],[Is Data Valid]]=TRUE,((Table1[[#This Row],[Birthweight (grams)]]*1.1/Table1[[#This Row],[BW_GA]])-1)/(Backend!$B$4/100*Table1[[#This Row],[BW40_3705]]),"")</f>
        <v/>
      </c>
      <c r="J8008" s="7" t="str">
        <f>IF(Table1[[#This Row],[Is Data Valid]]=TRUE,_xlfn.NORM.S.DIST(Table1[[#This Row],[Birthweight Z-Score]],TRUE)*100,"")</f>
        <v/>
      </c>
      <c r="K8008" s="7" t="str">
        <f>IF(Table1[[#This Row],[Is Data Valid]]=TRUE,_xlfn.NORM.S.DIST(Table1[[#This Row],[Birthweight Z-Score (BW-10%)]],TRUE)*100,"")</f>
        <v/>
      </c>
      <c r="L8008" s="7" t="str">
        <f>IF(Table1[[#This Row],[Is Data Valid]]=TRUE,_xlfn.NORM.S.DIST(Table1[[#This Row],[Birthweight Z-Score (BW+10%)]],TRUE)*100,"")</f>
        <v/>
      </c>
    </row>
    <row r="8009" spans="1:12" x14ac:dyDescent="0.35">
      <c r="A8009" s="3"/>
      <c r="B8009" s="2"/>
      <c r="C8009" s="2"/>
      <c r="D8009" s="2" t="b">
        <f>IF(AND(NOT(ISBLANK(Table1[[#This Row],[Fetal Sex (Male, Female or Unknown)]])),ISNUMBER(Table1[[#This Row],[Birthweight (grams)]]),ISNUMBER(Table1[[#This Row],[Gestation (days)]])),TRUE,FALSE)</f>
        <v>0</v>
      </c>
      <c r="E8009" s="2" t="str">
        <f>IF(Table1[[#This Row],[Is Data Valid]]=TRUE,IF(Table1[[#This Row],[Fetal Sex (Male, Female or Unknown)]]="Male",Backend!$C$6,IF(Table1[[#This Row],[Fetal Sex (Male, Female or Unknown)]]="Female",Backend!$C$7,IF(Table1[[#This Row],[Fetal Sex (Male, Female or Unknown)]]="Unknown",Backend!$C$8,"Error"))),"")</f>
        <v/>
      </c>
      <c r="F8009" s="8" t="str">
        <f>IF(Table1[[#This Row],[Is Data Valid]]=TRUE,EXP(0.578+0.332*((Table1[[#This Row],[Gestation (days)]]+0.5)/7)-0.00354*((Table1[[#This Row],[Gestation (days)]]+0.5)/7)^2)*Table1[[#This Row],[BW40_3705]],"")</f>
        <v/>
      </c>
      <c r="G8009" s="2" t="str">
        <f>IF(Table1[[#This Row],[Is Data Valid]]=TRUE,((Table1[[#This Row],[Birthweight (grams)]]/Table1[[#This Row],[BW_GA]])-1)/(Backend!$B$4/100*Table1[[#This Row],[BW40_3705]]),"")</f>
        <v/>
      </c>
      <c r="H8009" s="7" t="str">
        <f>IF(Table1[[#This Row],[Is Data Valid]]=TRUE,((Table1[[#This Row],[Birthweight (grams)]]*0.9/Table1[[#This Row],[BW_GA]])-1)/(Backend!$B$4/100*Table1[[#This Row],[BW40_3705]]),"")</f>
        <v/>
      </c>
      <c r="I8009" s="7" t="str">
        <f>IF(Table1[[#This Row],[Is Data Valid]]=TRUE,((Table1[[#This Row],[Birthweight (grams)]]*1.1/Table1[[#This Row],[BW_GA]])-1)/(Backend!$B$4/100*Table1[[#This Row],[BW40_3705]]),"")</f>
        <v/>
      </c>
      <c r="J8009" s="7" t="str">
        <f>IF(Table1[[#This Row],[Is Data Valid]]=TRUE,_xlfn.NORM.S.DIST(Table1[[#This Row],[Birthweight Z-Score]],TRUE)*100,"")</f>
        <v/>
      </c>
      <c r="K8009" s="7" t="str">
        <f>IF(Table1[[#This Row],[Is Data Valid]]=TRUE,_xlfn.NORM.S.DIST(Table1[[#This Row],[Birthweight Z-Score (BW-10%)]],TRUE)*100,"")</f>
        <v/>
      </c>
      <c r="L8009" s="7" t="str">
        <f>IF(Table1[[#This Row],[Is Data Valid]]=TRUE,_xlfn.NORM.S.DIST(Table1[[#This Row],[Birthweight Z-Score (BW+10%)]],TRUE)*100,"")</f>
        <v/>
      </c>
    </row>
    <row r="8010" spans="1:12" x14ac:dyDescent="0.35">
      <c r="A8010" s="3"/>
      <c r="B8010" s="2"/>
      <c r="C8010" s="2"/>
      <c r="D8010" s="2" t="b">
        <f>IF(AND(NOT(ISBLANK(Table1[[#This Row],[Fetal Sex (Male, Female or Unknown)]])),ISNUMBER(Table1[[#This Row],[Birthweight (grams)]]),ISNUMBER(Table1[[#This Row],[Gestation (days)]])),TRUE,FALSE)</f>
        <v>0</v>
      </c>
      <c r="E8010" s="2" t="str">
        <f>IF(Table1[[#This Row],[Is Data Valid]]=TRUE,IF(Table1[[#This Row],[Fetal Sex (Male, Female or Unknown)]]="Male",Backend!$C$6,IF(Table1[[#This Row],[Fetal Sex (Male, Female or Unknown)]]="Female",Backend!$C$7,IF(Table1[[#This Row],[Fetal Sex (Male, Female or Unknown)]]="Unknown",Backend!$C$8,"Error"))),"")</f>
        <v/>
      </c>
      <c r="F8010" s="8" t="str">
        <f>IF(Table1[[#This Row],[Is Data Valid]]=TRUE,EXP(0.578+0.332*((Table1[[#This Row],[Gestation (days)]]+0.5)/7)-0.00354*((Table1[[#This Row],[Gestation (days)]]+0.5)/7)^2)*Table1[[#This Row],[BW40_3705]],"")</f>
        <v/>
      </c>
      <c r="G8010" s="2" t="str">
        <f>IF(Table1[[#This Row],[Is Data Valid]]=TRUE,((Table1[[#This Row],[Birthweight (grams)]]/Table1[[#This Row],[BW_GA]])-1)/(Backend!$B$4/100*Table1[[#This Row],[BW40_3705]]),"")</f>
        <v/>
      </c>
      <c r="H8010" s="7" t="str">
        <f>IF(Table1[[#This Row],[Is Data Valid]]=TRUE,((Table1[[#This Row],[Birthweight (grams)]]*0.9/Table1[[#This Row],[BW_GA]])-1)/(Backend!$B$4/100*Table1[[#This Row],[BW40_3705]]),"")</f>
        <v/>
      </c>
      <c r="I8010" s="7" t="str">
        <f>IF(Table1[[#This Row],[Is Data Valid]]=TRUE,((Table1[[#This Row],[Birthweight (grams)]]*1.1/Table1[[#This Row],[BW_GA]])-1)/(Backend!$B$4/100*Table1[[#This Row],[BW40_3705]]),"")</f>
        <v/>
      </c>
      <c r="J8010" s="7" t="str">
        <f>IF(Table1[[#This Row],[Is Data Valid]]=TRUE,_xlfn.NORM.S.DIST(Table1[[#This Row],[Birthweight Z-Score]],TRUE)*100,"")</f>
        <v/>
      </c>
      <c r="K8010" s="7" t="str">
        <f>IF(Table1[[#This Row],[Is Data Valid]]=TRUE,_xlfn.NORM.S.DIST(Table1[[#This Row],[Birthweight Z-Score (BW-10%)]],TRUE)*100,"")</f>
        <v/>
      </c>
      <c r="L8010" s="7" t="str">
        <f>IF(Table1[[#This Row],[Is Data Valid]]=TRUE,_xlfn.NORM.S.DIST(Table1[[#This Row],[Birthweight Z-Score (BW+10%)]],TRUE)*100,"")</f>
        <v/>
      </c>
    </row>
    <row r="8011" spans="1:12" x14ac:dyDescent="0.35">
      <c r="A8011" s="3"/>
      <c r="B8011" s="2"/>
      <c r="C8011" s="2"/>
      <c r="D8011" s="2" t="b">
        <f>IF(AND(NOT(ISBLANK(Table1[[#This Row],[Fetal Sex (Male, Female or Unknown)]])),ISNUMBER(Table1[[#This Row],[Birthweight (grams)]]),ISNUMBER(Table1[[#This Row],[Gestation (days)]])),TRUE,FALSE)</f>
        <v>0</v>
      </c>
      <c r="E8011" s="2" t="str">
        <f>IF(Table1[[#This Row],[Is Data Valid]]=TRUE,IF(Table1[[#This Row],[Fetal Sex (Male, Female or Unknown)]]="Male",Backend!$C$6,IF(Table1[[#This Row],[Fetal Sex (Male, Female or Unknown)]]="Female",Backend!$C$7,IF(Table1[[#This Row],[Fetal Sex (Male, Female or Unknown)]]="Unknown",Backend!$C$8,"Error"))),"")</f>
        <v/>
      </c>
      <c r="F8011" s="8" t="str">
        <f>IF(Table1[[#This Row],[Is Data Valid]]=TRUE,EXP(0.578+0.332*((Table1[[#This Row],[Gestation (days)]]+0.5)/7)-0.00354*((Table1[[#This Row],[Gestation (days)]]+0.5)/7)^2)*Table1[[#This Row],[BW40_3705]],"")</f>
        <v/>
      </c>
      <c r="G8011" s="2" t="str">
        <f>IF(Table1[[#This Row],[Is Data Valid]]=TRUE,((Table1[[#This Row],[Birthweight (grams)]]/Table1[[#This Row],[BW_GA]])-1)/(Backend!$B$4/100*Table1[[#This Row],[BW40_3705]]),"")</f>
        <v/>
      </c>
      <c r="H8011" s="7" t="str">
        <f>IF(Table1[[#This Row],[Is Data Valid]]=TRUE,((Table1[[#This Row],[Birthweight (grams)]]*0.9/Table1[[#This Row],[BW_GA]])-1)/(Backend!$B$4/100*Table1[[#This Row],[BW40_3705]]),"")</f>
        <v/>
      </c>
      <c r="I8011" s="7" t="str">
        <f>IF(Table1[[#This Row],[Is Data Valid]]=TRUE,((Table1[[#This Row],[Birthweight (grams)]]*1.1/Table1[[#This Row],[BW_GA]])-1)/(Backend!$B$4/100*Table1[[#This Row],[BW40_3705]]),"")</f>
        <v/>
      </c>
      <c r="J8011" s="7" t="str">
        <f>IF(Table1[[#This Row],[Is Data Valid]]=TRUE,_xlfn.NORM.S.DIST(Table1[[#This Row],[Birthweight Z-Score]],TRUE)*100,"")</f>
        <v/>
      </c>
      <c r="K8011" s="7" t="str">
        <f>IF(Table1[[#This Row],[Is Data Valid]]=TRUE,_xlfn.NORM.S.DIST(Table1[[#This Row],[Birthweight Z-Score (BW-10%)]],TRUE)*100,"")</f>
        <v/>
      </c>
      <c r="L8011" s="7" t="str">
        <f>IF(Table1[[#This Row],[Is Data Valid]]=TRUE,_xlfn.NORM.S.DIST(Table1[[#This Row],[Birthweight Z-Score (BW+10%)]],TRUE)*100,"")</f>
        <v/>
      </c>
    </row>
    <row r="8012" spans="1:12" x14ac:dyDescent="0.35">
      <c r="A8012" s="3"/>
      <c r="B8012" s="2"/>
      <c r="C8012" s="2"/>
      <c r="D8012" s="2" t="b">
        <f>IF(AND(NOT(ISBLANK(Table1[[#This Row],[Fetal Sex (Male, Female or Unknown)]])),ISNUMBER(Table1[[#This Row],[Birthweight (grams)]]),ISNUMBER(Table1[[#This Row],[Gestation (days)]])),TRUE,FALSE)</f>
        <v>0</v>
      </c>
      <c r="E8012" s="2" t="str">
        <f>IF(Table1[[#This Row],[Is Data Valid]]=TRUE,IF(Table1[[#This Row],[Fetal Sex (Male, Female or Unknown)]]="Male",Backend!$C$6,IF(Table1[[#This Row],[Fetal Sex (Male, Female or Unknown)]]="Female",Backend!$C$7,IF(Table1[[#This Row],[Fetal Sex (Male, Female or Unknown)]]="Unknown",Backend!$C$8,"Error"))),"")</f>
        <v/>
      </c>
      <c r="F8012" s="8" t="str">
        <f>IF(Table1[[#This Row],[Is Data Valid]]=TRUE,EXP(0.578+0.332*((Table1[[#This Row],[Gestation (days)]]+0.5)/7)-0.00354*((Table1[[#This Row],[Gestation (days)]]+0.5)/7)^2)*Table1[[#This Row],[BW40_3705]],"")</f>
        <v/>
      </c>
      <c r="G8012" s="2" t="str">
        <f>IF(Table1[[#This Row],[Is Data Valid]]=TRUE,((Table1[[#This Row],[Birthweight (grams)]]/Table1[[#This Row],[BW_GA]])-1)/(Backend!$B$4/100*Table1[[#This Row],[BW40_3705]]),"")</f>
        <v/>
      </c>
      <c r="H8012" s="7" t="str">
        <f>IF(Table1[[#This Row],[Is Data Valid]]=TRUE,((Table1[[#This Row],[Birthweight (grams)]]*0.9/Table1[[#This Row],[BW_GA]])-1)/(Backend!$B$4/100*Table1[[#This Row],[BW40_3705]]),"")</f>
        <v/>
      </c>
      <c r="I8012" s="7" t="str">
        <f>IF(Table1[[#This Row],[Is Data Valid]]=TRUE,((Table1[[#This Row],[Birthweight (grams)]]*1.1/Table1[[#This Row],[BW_GA]])-1)/(Backend!$B$4/100*Table1[[#This Row],[BW40_3705]]),"")</f>
        <v/>
      </c>
      <c r="J8012" s="7" t="str">
        <f>IF(Table1[[#This Row],[Is Data Valid]]=TRUE,_xlfn.NORM.S.DIST(Table1[[#This Row],[Birthweight Z-Score]],TRUE)*100,"")</f>
        <v/>
      </c>
      <c r="K8012" s="7" t="str">
        <f>IF(Table1[[#This Row],[Is Data Valid]]=TRUE,_xlfn.NORM.S.DIST(Table1[[#This Row],[Birthweight Z-Score (BW-10%)]],TRUE)*100,"")</f>
        <v/>
      </c>
      <c r="L8012" s="7" t="str">
        <f>IF(Table1[[#This Row],[Is Data Valid]]=TRUE,_xlfn.NORM.S.DIST(Table1[[#This Row],[Birthweight Z-Score (BW+10%)]],TRUE)*100,"")</f>
        <v/>
      </c>
    </row>
    <row r="8013" spans="1:12" x14ac:dyDescent="0.35">
      <c r="A8013" s="3"/>
      <c r="B8013" s="2"/>
      <c r="C8013" s="2"/>
      <c r="D8013" s="2" t="b">
        <f>IF(AND(NOT(ISBLANK(Table1[[#This Row],[Fetal Sex (Male, Female or Unknown)]])),ISNUMBER(Table1[[#This Row],[Birthweight (grams)]]),ISNUMBER(Table1[[#This Row],[Gestation (days)]])),TRUE,FALSE)</f>
        <v>0</v>
      </c>
      <c r="E8013" s="2" t="str">
        <f>IF(Table1[[#This Row],[Is Data Valid]]=TRUE,IF(Table1[[#This Row],[Fetal Sex (Male, Female or Unknown)]]="Male",Backend!$C$6,IF(Table1[[#This Row],[Fetal Sex (Male, Female or Unknown)]]="Female",Backend!$C$7,IF(Table1[[#This Row],[Fetal Sex (Male, Female or Unknown)]]="Unknown",Backend!$C$8,"Error"))),"")</f>
        <v/>
      </c>
      <c r="F8013" s="8" t="str">
        <f>IF(Table1[[#This Row],[Is Data Valid]]=TRUE,EXP(0.578+0.332*((Table1[[#This Row],[Gestation (days)]]+0.5)/7)-0.00354*((Table1[[#This Row],[Gestation (days)]]+0.5)/7)^2)*Table1[[#This Row],[BW40_3705]],"")</f>
        <v/>
      </c>
      <c r="G8013" s="2" t="str">
        <f>IF(Table1[[#This Row],[Is Data Valid]]=TRUE,((Table1[[#This Row],[Birthweight (grams)]]/Table1[[#This Row],[BW_GA]])-1)/(Backend!$B$4/100*Table1[[#This Row],[BW40_3705]]),"")</f>
        <v/>
      </c>
      <c r="H8013" s="7" t="str">
        <f>IF(Table1[[#This Row],[Is Data Valid]]=TRUE,((Table1[[#This Row],[Birthweight (grams)]]*0.9/Table1[[#This Row],[BW_GA]])-1)/(Backend!$B$4/100*Table1[[#This Row],[BW40_3705]]),"")</f>
        <v/>
      </c>
      <c r="I8013" s="7" t="str">
        <f>IF(Table1[[#This Row],[Is Data Valid]]=TRUE,((Table1[[#This Row],[Birthweight (grams)]]*1.1/Table1[[#This Row],[BW_GA]])-1)/(Backend!$B$4/100*Table1[[#This Row],[BW40_3705]]),"")</f>
        <v/>
      </c>
      <c r="J8013" s="7" t="str">
        <f>IF(Table1[[#This Row],[Is Data Valid]]=TRUE,_xlfn.NORM.S.DIST(Table1[[#This Row],[Birthweight Z-Score]],TRUE)*100,"")</f>
        <v/>
      </c>
      <c r="K8013" s="7" t="str">
        <f>IF(Table1[[#This Row],[Is Data Valid]]=TRUE,_xlfn.NORM.S.DIST(Table1[[#This Row],[Birthweight Z-Score (BW-10%)]],TRUE)*100,"")</f>
        <v/>
      </c>
      <c r="L8013" s="7" t="str">
        <f>IF(Table1[[#This Row],[Is Data Valid]]=TRUE,_xlfn.NORM.S.DIST(Table1[[#This Row],[Birthweight Z-Score (BW+10%)]],TRUE)*100,"")</f>
        <v/>
      </c>
    </row>
    <row r="8014" spans="1:12" x14ac:dyDescent="0.35">
      <c r="A8014" s="3"/>
      <c r="B8014" s="2"/>
      <c r="C8014" s="2"/>
      <c r="D8014" s="2" t="b">
        <f>IF(AND(NOT(ISBLANK(Table1[[#This Row],[Fetal Sex (Male, Female or Unknown)]])),ISNUMBER(Table1[[#This Row],[Birthweight (grams)]]),ISNUMBER(Table1[[#This Row],[Gestation (days)]])),TRUE,FALSE)</f>
        <v>0</v>
      </c>
      <c r="E8014" s="2" t="str">
        <f>IF(Table1[[#This Row],[Is Data Valid]]=TRUE,IF(Table1[[#This Row],[Fetal Sex (Male, Female or Unknown)]]="Male",Backend!$C$6,IF(Table1[[#This Row],[Fetal Sex (Male, Female or Unknown)]]="Female",Backend!$C$7,IF(Table1[[#This Row],[Fetal Sex (Male, Female or Unknown)]]="Unknown",Backend!$C$8,"Error"))),"")</f>
        <v/>
      </c>
      <c r="F8014" s="8" t="str">
        <f>IF(Table1[[#This Row],[Is Data Valid]]=TRUE,EXP(0.578+0.332*((Table1[[#This Row],[Gestation (days)]]+0.5)/7)-0.00354*((Table1[[#This Row],[Gestation (days)]]+0.5)/7)^2)*Table1[[#This Row],[BW40_3705]],"")</f>
        <v/>
      </c>
      <c r="G8014" s="2" t="str">
        <f>IF(Table1[[#This Row],[Is Data Valid]]=TRUE,((Table1[[#This Row],[Birthweight (grams)]]/Table1[[#This Row],[BW_GA]])-1)/(Backend!$B$4/100*Table1[[#This Row],[BW40_3705]]),"")</f>
        <v/>
      </c>
      <c r="H8014" s="7" t="str">
        <f>IF(Table1[[#This Row],[Is Data Valid]]=TRUE,((Table1[[#This Row],[Birthweight (grams)]]*0.9/Table1[[#This Row],[BW_GA]])-1)/(Backend!$B$4/100*Table1[[#This Row],[BW40_3705]]),"")</f>
        <v/>
      </c>
      <c r="I8014" s="7" t="str">
        <f>IF(Table1[[#This Row],[Is Data Valid]]=TRUE,((Table1[[#This Row],[Birthweight (grams)]]*1.1/Table1[[#This Row],[BW_GA]])-1)/(Backend!$B$4/100*Table1[[#This Row],[BW40_3705]]),"")</f>
        <v/>
      </c>
      <c r="J8014" s="7" t="str">
        <f>IF(Table1[[#This Row],[Is Data Valid]]=TRUE,_xlfn.NORM.S.DIST(Table1[[#This Row],[Birthweight Z-Score]],TRUE)*100,"")</f>
        <v/>
      </c>
      <c r="K8014" s="7" t="str">
        <f>IF(Table1[[#This Row],[Is Data Valid]]=TRUE,_xlfn.NORM.S.DIST(Table1[[#This Row],[Birthweight Z-Score (BW-10%)]],TRUE)*100,"")</f>
        <v/>
      </c>
      <c r="L8014" s="7" t="str">
        <f>IF(Table1[[#This Row],[Is Data Valid]]=TRUE,_xlfn.NORM.S.DIST(Table1[[#This Row],[Birthweight Z-Score (BW+10%)]],TRUE)*100,"")</f>
        <v/>
      </c>
    </row>
    <row r="8015" spans="1:12" x14ac:dyDescent="0.35">
      <c r="A8015" s="3"/>
      <c r="B8015" s="2"/>
      <c r="C8015" s="2"/>
      <c r="D8015" s="2" t="b">
        <f>IF(AND(NOT(ISBLANK(Table1[[#This Row],[Fetal Sex (Male, Female or Unknown)]])),ISNUMBER(Table1[[#This Row],[Birthweight (grams)]]),ISNUMBER(Table1[[#This Row],[Gestation (days)]])),TRUE,FALSE)</f>
        <v>0</v>
      </c>
      <c r="E8015" s="2" t="str">
        <f>IF(Table1[[#This Row],[Is Data Valid]]=TRUE,IF(Table1[[#This Row],[Fetal Sex (Male, Female or Unknown)]]="Male",Backend!$C$6,IF(Table1[[#This Row],[Fetal Sex (Male, Female or Unknown)]]="Female",Backend!$C$7,IF(Table1[[#This Row],[Fetal Sex (Male, Female or Unknown)]]="Unknown",Backend!$C$8,"Error"))),"")</f>
        <v/>
      </c>
      <c r="F8015" s="8" t="str">
        <f>IF(Table1[[#This Row],[Is Data Valid]]=TRUE,EXP(0.578+0.332*((Table1[[#This Row],[Gestation (days)]]+0.5)/7)-0.00354*((Table1[[#This Row],[Gestation (days)]]+0.5)/7)^2)*Table1[[#This Row],[BW40_3705]],"")</f>
        <v/>
      </c>
      <c r="G8015" s="2" t="str">
        <f>IF(Table1[[#This Row],[Is Data Valid]]=TRUE,((Table1[[#This Row],[Birthweight (grams)]]/Table1[[#This Row],[BW_GA]])-1)/(Backend!$B$4/100*Table1[[#This Row],[BW40_3705]]),"")</f>
        <v/>
      </c>
      <c r="H8015" s="7" t="str">
        <f>IF(Table1[[#This Row],[Is Data Valid]]=TRUE,((Table1[[#This Row],[Birthweight (grams)]]*0.9/Table1[[#This Row],[BW_GA]])-1)/(Backend!$B$4/100*Table1[[#This Row],[BW40_3705]]),"")</f>
        <v/>
      </c>
      <c r="I8015" s="7" t="str">
        <f>IF(Table1[[#This Row],[Is Data Valid]]=TRUE,((Table1[[#This Row],[Birthweight (grams)]]*1.1/Table1[[#This Row],[BW_GA]])-1)/(Backend!$B$4/100*Table1[[#This Row],[BW40_3705]]),"")</f>
        <v/>
      </c>
      <c r="J8015" s="7" t="str">
        <f>IF(Table1[[#This Row],[Is Data Valid]]=TRUE,_xlfn.NORM.S.DIST(Table1[[#This Row],[Birthweight Z-Score]],TRUE)*100,"")</f>
        <v/>
      </c>
      <c r="K8015" s="7" t="str">
        <f>IF(Table1[[#This Row],[Is Data Valid]]=TRUE,_xlfn.NORM.S.DIST(Table1[[#This Row],[Birthweight Z-Score (BW-10%)]],TRUE)*100,"")</f>
        <v/>
      </c>
      <c r="L8015" s="7" t="str">
        <f>IF(Table1[[#This Row],[Is Data Valid]]=TRUE,_xlfn.NORM.S.DIST(Table1[[#This Row],[Birthweight Z-Score (BW+10%)]],TRUE)*100,"")</f>
        <v/>
      </c>
    </row>
    <row r="8016" spans="1:12" x14ac:dyDescent="0.35">
      <c r="A8016" s="3"/>
      <c r="B8016" s="2"/>
      <c r="C8016" s="2"/>
      <c r="D8016" s="2" t="b">
        <f>IF(AND(NOT(ISBLANK(Table1[[#This Row],[Fetal Sex (Male, Female or Unknown)]])),ISNUMBER(Table1[[#This Row],[Birthweight (grams)]]),ISNUMBER(Table1[[#This Row],[Gestation (days)]])),TRUE,FALSE)</f>
        <v>0</v>
      </c>
      <c r="E8016" s="2" t="str">
        <f>IF(Table1[[#This Row],[Is Data Valid]]=TRUE,IF(Table1[[#This Row],[Fetal Sex (Male, Female or Unknown)]]="Male",Backend!$C$6,IF(Table1[[#This Row],[Fetal Sex (Male, Female or Unknown)]]="Female",Backend!$C$7,IF(Table1[[#This Row],[Fetal Sex (Male, Female or Unknown)]]="Unknown",Backend!$C$8,"Error"))),"")</f>
        <v/>
      </c>
      <c r="F8016" s="8" t="str">
        <f>IF(Table1[[#This Row],[Is Data Valid]]=TRUE,EXP(0.578+0.332*((Table1[[#This Row],[Gestation (days)]]+0.5)/7)-0.00354*((Table1[[#This Row],[Gestation (days)]]+0.5)/7)^2)*Table1[[#This Row],[BW40_3705]],"")</f>
        <v/>
      </c>
      <c r="G8016" s="2" t="str">
        <f>IF(Table1[[#This Row],[Is Data Valid]]=TRUE,((Table1[[#This Row],[Birthweight (grams)]]/Table1[[#This Row],[BW_GA]])-1)/(Backend!$B$4/100*Table1[[#This Row],[BW40_3705]]),"")</f>
        <v/>
      </c>
      <c r="H8016" s="7" t="str">
        <f>IF(Table1[[#This Row],[Is Data Valid]]=TRUE,((Table1[[#This Row],[Birthweight (grams)]]*0.9/Table1[[#This Row],[BW_GA]])-1)/(Backend!$B$4/100*Table1[[#This Row],[BW40_3705]]),"")</f>
        <v/>
      </c>
      <c r="I8016" s="7" t="str">
        <f>IF(Table1[[#This Row],[Is Data Valid]]=TRUE,((Table1[[#This Row],[Birthweight (grams)]]*1.1/Table1[[#This Row],[BW_GA]])-1)/(Backend!$B$4/100*Table1[[#This Row],[BW40_3705]]),"")</f>
        <v/>
      </c>
      <c r="J8016" s="7" t="str">
        <f>IF(Table1[[#This Row],[Is Data Valid]]=TRUE,_xlfn.NORM.S.DIST(Table1[[#This Row],[Birthweight Z-Score]],TRUE)*100,"")</f>
        <v/>
      </c>
      <c r="K8016" s="7" t="str">
        <f>IF(Table1[[#This Row],[Is Data Valid]]=TRUE,_xlfn.NORM.S.DIST(Table1[[#This Row],[Birthweight Z-Score (BW-10%)]],TRUE)*100,"")</f>
        <v/>
      </c>
      <c r="L8016" s="7" t="str">
        <f>IF(Table1[[#This Row],[Is Data Valid]]=TRUE,_xlfn.NORM.S.DIST(Table1[[#This Row],[Birthweight Z-Score (BW+10%)]],TRUE)*100,"")</f>
        <v/>
      </c>
    </row>
    <row r="8017" spans="1:12" x14ac:dyDescent="0.35">
      <c r="A8017" s="3"/>
      <c r="B8017" s="2"/>
      <c r="C8017" s="2"/>
      <c r="D8017" s="2" t="b">
        <f>IF(AND(NOT(ISBLANK(Table1[[#This Row],[Fetal Sex (Male, Female or Unknown)]])),ISNUMBER(Table1[[#This Row],[Birthweight (grams)]]),ISNUMBER(Table1[[#This Row],[Gestation (days)]])),TRUE,FALSE)</f>
        <v>0</v>
      </c>
      <c r="E8017" s="2" t="str">
        <f>IF(Table1[[#This Row],[Is Data Valid]]=TRUE,IF(Table1[[#This Row],[Fetal Sex (Male, Female or Unknown)]]="Male",Backend!$C$6,IF(Table1[[#This Row],[Fetal Sex (Male, Female or Unknown)]]="Female",Backend!$C$7,IF(Table1[[#This Row],[Fetal Sex (Male, Female or Unknown)]]="Unknown",Backend!$C$8,"Error"))),"")</f>
        <v/>
      </c>
      <c r="F8017" s="8" t="str">
        <f>IF(Table1[[#This Row],[Is Data Valid]]=TRUE,EXP(0.578+0.332*((Table1[[#This Row],[Gestation (days)]]+0.5)/7)-0.00354*((Table1[[#This Row],[Gestation (days)]]+0.5)/7)^2)*Table1[[#This Row],[BW40_3705]],"")</f>
        <v/>
      </c>
      <c r="G8017" s="2" t="str">
        <f>IF(Table1[[#This Row],[Is Data Valid]]=TRUE,((Table1[[#This Row],[Birthweight (grams)]]/Table1[[#This Row],[BW_GA]])-1)/(Backend!$B$4/100*Table1[[#This Row],[BW40_3705]]),"")</f>
        <v/>
      </c>
      <c r="H8017" s="7" t="str">
        <f>IF(Table1[[#This Row],[Is Data Valid]]=TRUE,((Table1[[#This Row],[Birthweight (grams)]]*0.9/Table1[[#This Row],[BW_GA]])-1)/(Backend!$B$4/100*Table1[[#This Row],[BW40_3705]]),"")</f>
        <v/>
      </c>
      <c r="I8017" s="7" t="str">
        <f>IF(Table1[[#This Row],[Is Data Valid]]=TRUE,((Table1[[#This Row],[Birthweight (grams)]]*1.1/Table1[[#This Row],[BW_GA]])-1)/(Backend!$B$4/100*Table1[[#This Row],[BW40_3705]]),"")</f>
        <v/>
      </c>
      <c r="J8017" s="7" t="str">
        <f>IF(Table1[[#This Row],[Is Data Valid]]=TRUE,_xlfn.NORM.S.DIST(Table1[[#This Row],[Birthweight Z-Score]],TRUE)*100,"")</f>
        <v/>
      </c>
      <c r="K8017" s="7" t="str">
        <f>IF(Table1[[#This Row],[Is Data Valid]]=TRUE,_xlfn.NORM.S.DIST(Table1[[#This Row],[Birthweight Z-Score (BW-10%)]],TRUE)*100,"")</f>
        <v/>
      </c>
      <c r="L8017" s="7" t="str">
        <f>IF(Table1[[#This Row],[Is Data Valid]]=TRUE,_xlfn.NORM.S.DIST(Table1[[#This Row],[Birthweight Z-Score (BW+10%)]],TRUE)*100,"")</f>
        <v/>
      </c>
    </row>
    <row r="8018" spans="1:12" x14ac:dyDescent="0.35">
      <c r="A8018" s="3"/>
      <c r="B8018" s="2"/>
      <c r="C8018" s="2"/>
      <c r="D8018" s="2" t="b">
        <f>IF(AND(NOT(ISBLANK(Table1[[#This Row],[Fetal Sex (Male, Female or Unknown)]])),ISNUMBER(Table1[[#This Row],[Birthweight (grams)]]),ISNUMBER(Table1[[#This Row],[Gestation (days)]])),TRUE,FALSE)</f>
        <v>0</v>
      </c>
      <c r="E8018" s="2" t="str">
        <f>IF(Table1[[#This Row],[Is Data Valid]]=TRUE,IF(Table1[[#This Row],[Fetal Sex (Male, Female or Unknown)]]="Male",Backend!$C$6,IF(Table1[[#This Row],[Fetal Sex (Male, Female or Unknown)]]="Female",Backend!$C$7,IF(Table1[[#This Row],[Fetal Sex (Male, Female or Unknown)]]="Unknown",Backend!$C$8,"Error"))),"")</f>
        <v/>
      </c>
      <c r="F8018" s="8" t="str">
        <f>IF(Table1[[#This Row],[Is Data Valid]]=TRUE,EXP(0.578+0.332*((Table1[[#This Row],[Gestation (days)]]+0.5)/7)-0.00354*((Table1[[#This Row],[Gestation (days)]]+0.5)/7)^2)*Table1[[#This Row],[BW40_3705]],"")</f>
        <v/>
      </c>
      <c r="G8018" s="2" t="str">
        <f>IF(Table1[[#This Row],[Is Data Valid]]=TRUE,((Table1[[#This Row],[Birthweight (grams)]]/Table1[[#This Row],[BW_GA]])-1)/(Backend!$B$4/100*Table1[[#This Row],[BW40_3705]]),"")</f>
        <v/>
      </c>
      <c r="H8018" s="7" t="str">
        <f>IF(Table1[[#This Row],[Is Data Valid]]=TRUE,((Table1[[#This Row],[Birthweight (grams)]]*0.9/Table1[[#This Row],[BW_GA]])-1)/(Backend!$B$4/100*Table1[[#This Row],[BW40_3705]]),"")</f>
        <v/>
      </c>
      <c r="I8018" s="7" t="str">
        <f>IF(Table1[[#This Row],[Is Data Valid]]=TRUE,((Table1[[#This Row],[Birthweight (grams)]]*1.1/Table1[[#This Row],[BW_GA]])-1)/(Backend!$B$4/100*Table1[[#This Row],[BW40_3705]]),"")</f>
        <v/>
      </c>
      <c r="J8018" s="7" t="str">
        <f>IF(Table1[[#This Row],[Is Data Valid]]=TRUE,_xlfn.NORM.S.DIST(Table1[[#This Row],[Birthweight Z-Score]],TRUE)*100,"")</f>
        <v/>
      </c>
      <c r="K8018" s="7" t="str">
        <f>IF(Table1[[#This Row],[Is Data Valid]]=TRUE,_xlfn.NORM.S.DIST(Table1[[#This Row],[Birthweight Z-Score (BW-10%)]],TRUE)*100,"")</f>
        <v/>
      </c>
      <c r="L8018" s="7" t="str">
        <f>IF(Table1[[#This Row],[Is Data Valid]]=TRUE,_xlfn.NORM.S.DIST(Table1[[#This Row],[Birthweight Z-Score (BW+10%)]],TRUE)*100,"")</f>
        <v/>
      </c>
    </row>
    <row r="8019" spans="1:12" x14ac:dyDescent="0.35">
      <c r="A8019" s="3"/>
      <c r="B8019" s="2"/>
      <c r="C8019" s="2"/>
      <c r="D8019" s="2" t="b">
        <f>IF(AND(NOT(ISBLANK(Table1[[#This Row],[Fetal Sex (Male, Female or Unknown)]])),ISNUMBER(Table1[[#This Row],[Birthweight (grams)]]),ISNUMBER(Table1[[#This Row],[Gestation (days)]])),TRUE,FALSE)</f>
        <v>0</v>
      </c>
      <c r="E8019" s="2" t="str">
        <f>IF(Table1[[#This Row],[Is Data Valid]]=TRUE,IF(Table1[[#This Row],[Fetal Sex (Male, Female or Unknown)]]="Male",Backend!$C$6,IF(Table1[[#This Row],[Fetal Sex (Male, Female or Unknown)]]="Female",Backend!$C$7,IF(Table1[[#This Row],[Fetal Sex (Male, Female or Unknown)]]="Unknown",Backend!$C$8,"Error"))),"")</f>
        <v/>
      </c>
      <c r="F8019" s="8" t="str">
        <f>IF(Table1[[#This Row],[Is Data Valid]]=TRUE,EXP(0.578+0.332*((Table1[[#This Row],[Gestation (days)]]+0.5)/7)-0.00354*((Table1[[#This Row],[Gestation (days)]]+0.5)/7)^2)*Table1[[#This Row],[BW40_3705]],"")</f>
        <v/>
      </c>
      <c r="G8019" s="2" t="str">
        <f>IF(Table1[[#This Row],[Is Data Valid]]=TRUE,((Table1[[#This Row],[Birthweight (grams)]]/Table1[[#This Row],[BW_GA]])-1)/(Backend!$B$4/100*Table1[[#This Row],[BW40_3705]]),"")</f>
        <v/>
      </c>
      <c r="H8019" s="7" t="str">
        <f>IF(Table1[[#This Row],[Is Data Valid]]=TRUE,((Table1[[#This Row],[Birthweight (grams)]]*0.9/Table1[[#This Row],[BW_GA]])-1)/(Backend!$B$4/100*Table1[[#This Row],[BW40_3705]]),"")</f>
        <v/>
      </c>
      <c r="I8019" s="7" t="str">
        <f>IF(Table1[[#This Row],[Is Data Valid]]=TRUE,((Table1[[#This Row],[Birthweight (grams)]]*1.1/Table1[[#This Row],[BW_GA]])-1)/(Backend!$B$4/100*Table1[[#This Row],[BW40_3705]]),"")</f>
        <v/>
      </c>
      <c r="J8019" s="7" t="str">
        <f>IF(Table1[[#This Row],[Is Data Valid]]=TRUE,_xlfn.NORM.S.DIST(Table1[[#This Row],[Birthweight Z-Score]],TRUE)*100,"")</f>
        <v/>
      </c>
      <c r="K8019" s="7" t="str">
        <f>IF(Table1[[#This Row],[Is Data Valid]]=TRUE,_xlfn.NORM.S.DIST(Table1[[#This Row],[Birthweight Z-Score (BW-10%)]],TRUE)*100,"")</f>
        <v/>
      </c>
      <c r="L8019" s="7" t="str">
        <f>IF(Table1[[#This Row],[Is Data Valid]]=TRUE,_xlfn.NORM.S.DIST(Table1[[#This Row],[Birthweight Z-Score (BW+10%)]],TRUE)*100,"")</f>
        <v/>
      </c>
    </row>
    <row r="8020" spans="1:12" x14ac:dyDescent="0.35">
      <c r="A8020" s="3"/>
      <c r="B8020" s="2"/>
      <c r="C8020" s="2"/>
      <c r="D8020" s="2" t="b">
        <f>IF(AND(NOT(ISBLANK(Table1[[#This Row],[Fetal Sex (Male, Female or Unknown)]])),ISNUMBER(Table1[[#This Row],[Birthweight (grams)]]),ISNUMBER(Table1[[#This Row],[Gestation (days)]])),TRUE,FALSE)</f>
        <v>0</v>
      </c>
      <c r="E8020" s="2" t="str">
        <f>IF(Table1[[#This Row],[Is Data Valid]]=TRUE,IF(Table1[[#This Row],[Fetal Sex (Male, Female or Unknown)]]="Male",Backend!$C$6,IF(Table1[[#This Row],[Fetal Sex (Male, Female or Unknown)]]="Female",Backend!$C$7,IF(Table1[[#This Row],[Fetal Sex (Male, Female or Unknown)]]="Unknown",Backend!$C$8,"Error"))),"")</f>
        <v/>
      </c>
      <c r="F8020" s="8" t="str">
        <f>IF(Table1[[#This Row],[Is Data Valid]]=TRUE,EXP(0.578+0.332*((Table1[[#This Row],[Gestation (days)]]+0.5)/7)-0.00354*((Table1[[#This Row],[Gestation (days)]]+0.5)/7)^2)*Table1[[#This Row],[BW40_3705]],"")</f>
        <v/>
      </c>
      <c r="G8020" s="2" t="str">
        <f>IF(Table1[[#This Row],[Is Data Valid]]=TRUE,((Table1[[#This Row],[Birthweight (grams)]]/Table1[[#This Row],[BW_GA]])-1)/(Backend!$B$4/100*Table1[[#This Row],[BW40_3705]]),"")</f>
        <v/>
      </c>
      <c r="H8020" s="7" t="str">
        <f>IF(Table1[[#This Row],[Is Data Valid]]=TRUE,((Table1[[#This Row],[Birthweight (grams)]]*0.9/Table1[[#This Row],[BW_GA]])-1)/(Backend!$B$4/100*Table1[[#This Row],[BW40_3705]]),"")</f>
        <v/>
      </c>
      <c r="I8020" s="7" t="str">
        <f>IF(Table1[[#This Row],[Is Data Valid]]=TRUE,((Table1[[#This Row],[Birthweight (grams)]]*1.1/Table1[[#This Row],[BW_GA]])-1)/(Backend!$B$4/100*Table1[[#This Row],[BW40_3705]]),"")</f>
        <v/>
      </c>
      <c r="J8020" s="7" t="str">
        <f>IF(Table1[[#This Row],[Is Data Valid]]=TRUE,_xlfn.NORM.S.DIST(Table1[[#This Row],[Birthweight Z-Score]],TRUE)*100,"")</f>
        <v/>
      </c>
      <c r="K8020" s="7" t="str">
        <f>IF(Table1[[#This Row],[Is Data Valid]]=TRUE,_xlfn.NORM.S.DIST(Table1[[#This Row],[Birthweight Z-Score (BW-10%)]],TRUE)*100,"")</f>
        <v/>
      </c>
      <c r="L8020" s="7" t="str">
        <f>IF(Table1[[#This Row],[Is Data Valid]]=TRUE,_xlfn.NORM.S.DIST(Table1[[#This Row],[Birthweight Z-Score (BW+10%)]],TRUE)*100,"")</f>
        <v/>
      </c>
    </row>
    <row r="8021" spans="1:12" x14ac:dyDescent="0.35">
      <c r="A8021" s="3"/>
      <c r="B8021" s="2"/>
      <c r="C8021" s="2"/>
      <c r="D8021" s="2" t="b">
        <f>IF(AND(NOT(ISBLANK(Table1[[#This Row],[Fetal Sex (Male, Female or Unknown)]])),ISNUMBER(Table1[[#This Row],[Birthweight (grams)]]),ISNUMBER(Table1[[#This Row],[Gestation (days)]])),TRUE,FALSE)</f>
        <v>0</v>
      </c>
      <c r="E8021" s="2" t="str">
        <f>IF(Table1[[#This Row],[Is Data Valid]]=TRUE,IF(Table1[[#This Row],[Fetal Sex (Male, Female or Unknown)]]="Male",Backend!$C$6,IF(Table1[[#This Row],[Fetal Sex (Male, Female or Unknown)]]="Female",Backend!$C$7,IF(Table1[[#This Row],[Fetal Sex (Male, Female or Unknown)]]="Unknown",Backend!$C$8,"Error"))),"")</f>
        <v/>
      </c>
      <c r="F8021" s="8" t="str">
        <f>IF(Table1[[#This Row],[Is Data Valid]]=TRUE,EXP(0.578+0.332*((Table1[[#This Row],[Gestation (days)]]+0.5)/7)-0.00354*((Table1[[#This Row],[Gestation (days)]]+0.5)/7)^2)*Table1[[#This Row],[BW40_3705]],"")</f>
        <v/>
      </c>
      <c r="G8021" s="2" t="str">
        <f>IF(Table1[[#This Row],[Is Data Valid]]=TRUE,((Table1[[#This Row],[Birthweight (grams)]]/Table1[[#This Row],[BW_GA]])-1)/(Backend!$B$4/100*Table1[[#This Row],[BW40_3705]]),"")</f>
        <v/>
      </c>
      <c r="H8021" s="7" t="str">
        <f>IF(Table1[[#This Row],[Is Data Valid]]=TRUE,((Table1[[#This Row],[Birthweight (grams)]]*0.9/Table1[[#This Row],[BW_GA]])-1)/(Backend!$B$4/100*Table1[[#This Row],[BW40_3705]]),"")</f>
        <v/>
      </c>
      <c r="I8021" s="7" t="str">
        <f>IF(Table1[[#This Row],[Is Data Valid]]=TRUE,((Table1[[#This Row],[Birthweight (grams)]]*1.1/Table1[[#This Row],[BW_GA]])-1)/(Backend!$B$4/100*Table1[[#This Row],[BW40_3705]]),"")</f>
        <v/>
      </c>
      <c r="J8021" s="7" t="str">
        <f>IF(Table1[[#This Row],[Is Data Valid]]=TRUE,_xlfn.NORM.S.DIST(Table1[[#This Row],[Birthweight Z-Score]],TRUE)*100,"")</f>
        <v/>
      </c>
      <c r="K8021" s="7" t="str">
        <f>IF(Table1[[#This Row],[Is Data Valid]]=TRUE,_xlfn.NORM.S.DIST(Table1[[#This Row],[Birthweight Z-Score (BW-10%)]],TRUE)*100,"")</f>
        <v/>
      </c>
      <c r="L8021" s="7" t="str">
        <f>IF(Table1[[#This Row],[Is Data Valid]]=TRUE,_xlfn.NORM.S.DIST(Table1[[#This Row],[Birthweight Z-Score (BW+10%)]],TRUE)*100,"")</f>
        <v/>
      </c>
    </row>
    <row r="8022" spans="1:12" x14ac:dyDescent="0.35">
      <c r="A8022" s="3"/>
      <c r="B8022" s="2"/>
      <c r="C8022" s="2"/>
      <c r="D8022" s="2" t="b">
        <f>IF(AND(NOT(ISBLANK(Table1[[#This Row],[Fetal Sex (Male, Female or Unknown)]])),ISNUMBER(Table1[[#This Row],[Birthweight (grams)]]),ISNUMBER(Table1[[#This Row],[Gestation (days)]])),TRUE,FALSE)</f>
        <v>0</v>
      </c>
      <c r="E8022" s="2" t="str">
        <f>IF(Table1[[#This Row],[Is Data Valid]]=TRUE,IF(Table1[[#This Row],[Fetal Sex (Male, Female or Unknown)]]="Male",Backend!$C$6,IF(Table1[[#This Row],[Fetal Sex (Male, Female or Unknown)]]="Female",Backend!$C$7,IF(Table1[[#This Row],[Fetal Sex (Male, Female or Unknown)]]="Unknown",Backend!$C$8,"Error"))),"")</f>
        <v/>
      </c>
      <c r="F8022" s="8" t="str">
        <f>IF(Table1[[#This Row],[Is Data Valid]]=TRUE,EXP(0.578+0.332*((Table1[[#This Row],[Gestation (days)]]+0.5)/7)-0.00354*((Table1[[#This Row],[Gestation (days)]]+0.5)/7)^2)*Table1[[#This Row],[BW40_3705]],"")</f>
        <v/>
      </c>
      <c r="G8022" s="2" t="str">
        <f>IF(Table1[[#This Row],[Is Data Valid]]=TRUE,((Table1[[#This Row],[Birthweight (grams)]]/Table1[[#This Row],[BW_GA]])-1)/(Backend!$B$4/100*Table1[[#This Row],[BW40_3705]]),"")</f>
        <v/>
      </c>
      <c r="H8022" s="7" t="str">
        <f>IF(Table1[[#This Row],[Is Data Valid]]=TRUE,((Table1[[#This Row],[Birthweight (grams)]]*0.9/Table1[[#This Row],[BW_GA]])-1)/(Backend!$B$4/100*Table1[[#This Row],[BW40_3705]]),"")</f>
        <v/>
      </c>
      <c r="I8022" s="7" t="str">
        <f>IF(Table1[[#This Row],[Is Data Valid]]=TRUE,((Table1[[#This Row],[Birthweight (grams)]]*1.1/Table1[[#This Row],[BW_GA]])-1)/(Backend!$B$4/100*Table1[[#This Row],[BW40_3705]]),"")</f>
        <v/>
      </c>
      <c r="J8022" s="7" t="str">
        <f>IF(Table1[[#This Row],[Is Data Valid]]=TRUE,_xlfn.NORM.S.DIST(Table1[[#This Row],[Birthweight Z-Score]],TRUE)*100,"")</f>
        <v/>
      </c>
      <c r="K8022" s="7" t="str">
        <f>IF(Table1[[#This Row],[Is Data Valid]]=TRUE,_xlfn.NORM.S.DIST(Table1[[#This Row],[Birthweight Z-Score (BW-10%)]],TRUE)*100,"")</f>
        <v/>
      </c>
      <c r="L8022" s="7" t="str">
        <f>IF(Table1[[#This Row],[Is Data Valid]]=TRUE,_xlfn.NORM.S.DIST(Table1[[#This Row],[Birthweight Z-Score (BW+10%)]],TRUE)*100,"")</f>
        <v/>
      </c>
    </row>
    <row r="8023" spans="1:12" x14ac:dyDescent="0.35">
      <c r="A8023" s="3"/>
      <c r="B8023" s="2"/>
      <c r="C8023" s="2"/>
      <c r="D8023" s="2" t="b">
        <f>IF(AND(NOT(ISBLANK(Table1[[#This Row],[Fetal Sex (Male, Female or Unknown)]])),ISNUMBER(Table1[[#This Row],[Birthweight (grams)]]),ISNUMBER(Table1[[#This Row],[Gestation (days)]])),TRUE,FALSE)</f>
        <v>0</v>
      </c>
      <c r="E8023" s="2" t="str">
        <f>IF(Table1[[#This Row],[Is Data Valid]]=TRUE,IF(Table1[[#This Row],[Fetal Sex (Male, Female or Unknown)]]="Male",Backend!$C$6,IF(Table1[[#This Row],[Fetal Sex (Male, Female or Unknown)]]="Female",Backend!$C$7,IF(Table1[[#This Row],[Fetal Sex (Male, Female or Unknown)]]="Unknown",Backend!$C$8,"Error"))),"")</f>
        <v/>
      </c>
      <c r="F8023" s="8" t="str">
        <f>IF(Table1[[#This Row],[Is Data Valid]]=TRUE,EXP(0.578+0.332*((Table1[[#This Row],[Gestation (days)]]+0.5)/7)-0.00354*((Table1[[#This Row],[Gestation (days)]]+0.5)/7)^2)*Table1[[#This Row],[BW40_3705]],"")</f>
        <v/>
      </c>
      <c r="G8023" s="2" t="str">
        <f>IF(Table1[[#This Row],[Is Data Valid]]=TRUE,((Table1[[#This Row],[Birthweight (grams)]]/Table1[[#This Row],[BW_GA]])-1)/(Backend!$B$4/100*Table1[[#This Row],[BW40_3705]]),"")</f>
        <v/>
      </c>
      <c r="H8023" s="7" t="str">
        <f>IF(Table1[[#This Row],[Is Data Valid]]=TRUE,((Table1[[#This Row],[Birthweight (grams)]]*0.9/Table1[[#This Row],[BW_GA]])-1)/(Backend!$B$4/100*Table1[[#This Row],[BW40_3705]]),"")</f>
        <v/>
      </c>
      <c r="I8023" s="7" t="str">
        <f>IF(Table1[[#This Row],[Is Data Valid]]=TRUE,((Table1[[#This Row],[Birthweight (grams)]]*1.1/Table1[[#This Row],[BW_GA]])-1)/(Backend!$B$4/100*Table1[[#This Row],[BW40_3705]]),"")</f>
        <v/>
      </c>
      <c r="J8023" s="7" t="str">
        <f>IF(Table1[[#This Row],[Is Data Valid]]=TRUE,_xlfn.NORM.S.DIST(Table1[[#This Row],[Birthweight Z-Score]],TRUE)*100,"")</f>
        <v/>
      </c>
      <c r="K8023" s="7" t="str">
        <f>IF(Table1[[#This Row],[Is Data Valid]]=TRUE,_xlfn.NORM.S.DIST(Table1[[#This Row],[Birthweight Z-Score (BW-10%)]],TRUE)*100,"")</f>
        <v/>
      </c>
      <c r="L8023" s="7" t="str">
        <f>IF(Table1[[#This Row],[Is Data Valid]]=TRUE,_xlfn.NORM.S.DIST(Table1[[#This Row],[Birthweight Z-Score (BW+10%)]],TRUE)*100,"")</f>
        <v/>
      </c>
    </row>
    <row r="8024" spans="1:12" x14ac:dyDescent="0.35">
      <c r="A8024" s="3"/>
      <c r="B8024" s="2"/>
      <c r="C8024" s="2"/>
      <c r="D8024" s="2" t="b">
        <f>IF(AND(NOT(ISBLANK(Table1[[#This Row],[Fetal Sex (Male, Female or Unknown)]])),ISNUMBER(Table1[[#This Row],[Birthweight (grams)]]),ISNUMBER(Table1[[#This Row],[Gestation (days)]])),TRUE,FALSE)</f>
        <v>0</v>
      </c>
      <c r="E8024" s="2" t="str">
        <f>IF(Table1[[#This Row],[Is Data Valid]]=TRUE,IF(Table1[[#This Row],[Fetal Sex (Male, Female or Unknown)]]="Male",Backend!$C$6,IF(Table1[[#This Row],[Fetal Sex (Male, Female or Unknown)]]="Female",Backend!$C$7,IF(Table1[[#This Row],[Fetal Sex (Male, Female or Unknown)]]="Unknown",Backend!$C$8,"Error"))),"")</f>
        <v/>
      </c>
      <c r="F8024" s="8" t="str">
        <f>IF(Table1[[#This Row],[Is Data Valid]]=TRUE,EXP(0.578+0.332*((Table1[[#This Row],[Gestation (days)]]+0.5)/7)-0.00354*((Table1[[#This Row],[Gestation (days)]]+0.5)/7)^2)*Table1[[#This Row],[BW40_3705]],"")</f>
        <v/>
      </c>
      <c r="G8024" s="2" t="str">
        <f>IF(Table1[[#This Row],[Is Data Valid]]=TRUE,((Table1[[#This Row],[Birthweight (grams)]]/Table1[[#This Row],[BW_GA]])-1)/(Backend!$B$4/100*Table1[[#This Row],[BW40_3705]]),"")</f>
        <v/>
      </c>
      <c r="H8024" s="7" t="str">
        <f>IF(Table1[[#This Row],[Is Data Valid]]=TRUE,((Table1[[#This Row],[Birthweight (grams)]]*0.9/Table1[[#This Row],[BW_GA]])-1)/(Backend!$B$4/100*Table1[[#This Row],[BW40_3705]]),"")</f>
        <v/>
      </c>
      <c r="I8024" s="7" t="str">
        <f>IF(Table1[[#This Row],[Is Data Valid]]=TRUE,((Table1[[#This Row],[Birthweight (grams)]]*1.1/Table1[[#This Row],[BW_GA]])-1)/(Backend!$B$4/100*Table1[[#This Row],[BW40_3705]]),"")</f>
        <v/>
      </c>
      <c r="J8024" s="7" t="str">
        <f>IF(Table1[[#This Row],[Is Data Valid]]=TRUE,_xlfn.NORM.S.DIST(Table1[[#This Row],[Birthweight Z-Score]],TRUE)*100,"")</f>
        <v/>
      </c>
      <c r="K8024" s="7" t="str">
        <f>IF(Table1[[#This Row],[Is Data Valid]]=TRUE,_xlfn.NORM.S.DIST(Table1[[#This Row],[Birthweight Z-Score (BW-10%)]],TRUE)*100,"")</f>
        <v/>
      </c>
      <c r="L8024" s="7" t="str">
        <f>IF(Table1[[#This Row],[Is Data Valid]]=TRUE,_xlfn.NORM.S.DIST(Table1[[#This Row],[Birthweight Z-Score (BW+10%)]],TRUE)*100,"")</f>
        <v/>
      </c>
    </row>
    <row r="8025" spans="1:12" x14ac:dyDescent="0.35">
      <c r="A8025" s="3"/>
      <c r="B8025" s="2"/>
      <c r="C8025" s="2"/>
      <c r="D8025" s="2" t="b">
        <f>IF(AND(NOT(ISBLANK(Table1[[#This Row],[Fetal Sex (Male, Female or Unknown)]])),ISNUMBER(Table1[[#This Row],[Birthweight (grams)]]),ISNUMBER(Table1[[#This Row],[Gestation (days)]])),TRUE,FALSE)</f>
        <v>0</v>
      </c>
      <c r="E8025" s="2" t="str">
        <f>IF(Table1[[#This Row],[Is Data Valid]]=TRUE,IF(Table1[[#This Row],[Fetal Sex (Male, Female or Unknown)]]="Male",Backend!$C$6,IF(Table1[[#This Row],[Fetal Sex (Male, Female or Unknown)]]="Female",Backend!$C$7,IF(Table1[[#This Row],[Fetal Sex (Male, Female or Unknown)]]="Unknown",Backend!$C$8,"Error"))),"")</f>
        <v/>
      </c>
      <c r="F8025" s="8" t="str">
        <f>IF(Table1[[#This Row],[Is Data Valid]]=TRUE,EXP(0.578+0.332*((Table1[[#This Row],[Gestation (days)]]+0.5)/7)-0.00354*((Table1[[#This Row],[Gestation (days)]]+0.5)/7)^2)*Table1[[#This Row],[BW40_3705]],"")</f>
        <v/>
      </c>
      <c r="G8025" s="2" t="str">
        <f>IF(Table1[[#This Row],[Is Data Valid]]=TRUE,((Table1[[#This Row],[Birthweight (grams)]]/Table1[[#This Row],[BW_GA]])-1)/(Backend!$B$4/100*Table1[[#This Row],[BW40_3705]]),"")</f>
        <v/>
      </c>
      <c r="H8025" s="7" t="str">
        <f>IF(Table1[[#This Row],[Is Data Valid]]=TRUE,((Table1[[#This Row],[Birthweight (grams)]]*0.9/Table1[[#This Row],[BW_GA]])-1)/(Backend!$B$4/100*Table1[[#This Row],[BW40_3705]]),"")</f>
        <v/>
      </c>
      <c r="I8025" s="7" t="str">
        <f>IF(Table1[[#This Row],[Is Data Valid]]=TRUE,((Table1[[#This Row],[Birthweight (grams)]]*1.1/Table1[[#This Row],[BW_GA]])-1)/(Backend!$B$4/100*Table1[[#This Row],[BW40_3705]]),"")</f>
        <v/>
      </c>
      <c r="J8025" s="7" t="str">
        <f>IF(Table1[[#This Row],[Is Data Valid]]=TRUE,_xlfn.NORM.S.DIST(Table1[[#This Row],[Birthweight Z-Score]],TRUE)*100,"")</f>
        <v/>
      </c>
      <c r="K8025" s="7" t="str">
        <f>IF(Table1[[#This Row],[Is Data Valid]]=TRUE,_xlfn.NORM.S.DIST(Table1[[#This Row],[Birthweight Z-Score (BW-10%)]],TRUE)*100,"")</f>
        <v/>
      </c>
      <c r="L8025" s="7" t="str">
        <f>IF(Table1[[#This Row],[Is Data Valid]]=TRUE,_xlfn.NORM.S.DIST(Table1[[#This Row],[Birthweight Z-Score (BW+10%)]],TRUE)*100,"")</f>
        <v/>
      </c>
    </row>
    <row r="8026" spans="1:12" x14ac:dyDescent="0.35">
      <c r="A8026" s="3"/>
      <c r="B8026" s="2"/>
      <c r="C8026" s="2"/>
      <c r="D8026" s="2" t="b">
        <f>IF(AND(NOT(ISBLANK(Table1[[#This Row],[Fetal Sex (Male, Female or Unknown)]])),ISNUMBER(Table1[[#This Row],[Birthweight (grams)]]),ISNUMBER(Table1[[#This Row],[Gestation (days)]])),TRUE,FALSE)</f>
        <v>0</v>
      </c>
      <c r="E8026" s="2" t="str">
        <f>IF(Table1[[#This Row],[Is Data Valid]]=TRUE,IF(Table1[[#This Row],[Fetal Sex (Male, Female or Unknown)]]="Male",Backend!$C$6,IF(Table1[[#This Row],[Fetal Sex (Male, Female or Unknown)]]="Female",Backend!$C$7,IF(Table1[[#This Row],[Fetal Sex (Male, Female or Unknown)]]="Unknown",Backend!$C$8,"Error"))),"")</f>
        <v/>
      </c>
      <c r="F8026" s="8" t="str">
        <f>IF(Table1[[#This Row],[Is Data Valid]]=TRUE,EXP(0.578+0.332*((Table1[[#This Row],[Gestation (days)]]+0.5)/7)-0.00354*((Table1[[#This Row],[Gestation (days)]]+0.5)/7)^2)*Table1[[#This Row],[BW40_3705]],"")</f>
        <v/>
      </c>
      <c r="G8026" s="2" t="str">
        <f>IF(Table1[[#This Row],[Is Data Valid]]=TRUE,((Table1[[#This Row],[Birthweight (grams)]]/Table1[[#This Row],[BW_GA]])-1)/(Backend!$B$4/100*Table1[[#This Row],[BW40_3705]]),"")</f>
        <v/>
      </c>
      <c r="H8026" s="7" t="str">
        <f>IF(Table1[[#This Row],[Is Data Valid]]=TRUE,((Table1[[#This Row],[Birthweight (grams)]]*0.9/Table1[[#This Row],[BW_GA]])-1)/(Backend!$B$4/100*Table1[[#This Row],[BW40_3705]]),"")</f>
        <v/>
      </c>
      <c r="I8026" s="7" t="str">
        <f>IF(Table1[[#This Row],[Is Data Valid]]=TRUE,((Table1[[#This Row],[Birthweight (grams)]]*1.1/Table1[[#This Row],[BW_GA]])-1)/(Backend!$B$4/100*Table1[[#This Row],[BW40_3705]]),"")</f>
        <v/>
      </c>
      <c r="J8026" s="7" t="str">
        <f>IF(Table1[[#This Row],[Is Data Valid]]=TRUE,_xlfn.NORM.S.DIST(Table1[[#This Row],[Birthweight Z-Score]],TRUE)*100,"")</f>
        <v/>
      </c>
      <c r="K8026" s="7" t="str">
        <f>IF(Table1[[#This Row],[Is Data Valid]]=TRUE,_xlfn.NORM.S.DIST(Table1[[#This Row],[Birthweight Z-Score (BW-10%)]],TRUE)*100,"")</f>
        <v/>
      </c>
      <c r="L8026" s="7" t="str">
        <f>IF(Table1[[#This Row],[Is Data Valid]]=TRUE,_xlfn.NORM.S.DIST(Table1[[#This Row],[Birthweight Z-Score (BW+10%)]],TRUE)*100,"")</f>
        <v/>
      </c>
    </row>
    <row r="8027" spans="1:12" x14ac:dyDescent="0.35">
      <c r="A8027" s="3"/>
      <c r="B8027" s="2"/>
      <c r="C8027" s="2"/>
      <c r="D8027" s="2" t="b">
        <f>IF(AND(NOT(ISBLANK(Table1[[#This Row],[Fetal Sex (Male, Female or Unknown)]])),ISNUMBER(Table1[[#This Row],[Birthweight (grams)]]),ISNUMBER(Table1[[#This Row],[Gestation (days)]])),TRUE,FALSE)</f>
        <v>0</v>
      </c>
      <c r="E8027" s="2" t="str">
        <f>IF(Table1[[#This Row],[Is Data Valid]]=TRUE,IF(Table1[[#This Row],[Fetal Sex (Male, Female or Unknown)]]="Male",Backend!$C$6,IF(Table1[[#This Row],[Fetal Sex (Male, Female or Unknown)]]="Female",Backend!$C$7,IF(Table1[[#This Row],[Fetal Sex (Male, Female or Unknown)]]="Unknown",Backend!$C$8,"Error"))),"")</f>
        <v/>
      </c>
      <c r="F8027" s="8" t="str">
        <f>IF(Table1[[#This Row],[Is Data Valid]]=TRUE,EXP(0.578+0.332*((Table1[[#This Row],[Gestation (days)]]+0.5)/7)-0.00354*((Table1[[#This Row],[Gestation (days)]]+0.5)/7)^2)*Table1[[#This Row],[BW40_3705]],"")</f>
        <v/>
      </c>
      <c r="G8027" s="2" t="str">
        <f>IF(Table1[[#This Row],[Is Data Valid]]=TRUE,((Table1[[#This Row],[Birthweight (grams)]]/Table1[[#This Row],[BW_GA]])-1)/(Backend!$B$4/100*Table1[[#This Row],[BW40_3705]]),"")</f>
        <v/>
      </c>
      <c r="H8027" s="7" t="str">
        <f>IF(Table1[[#This Row],[Is Data Valid]]=TRUE,((Table1[[#This Row],[Birthweight (grams)]]*0.9/Table1[[#This Row],[BW_GA]])-1)/(Backend!$B$4/100*Table1[[#This Row],[BW40_3705]]),"")</f>
        <v/>
      </c>
      <c r="I8027" s="7" t="str">
        <f>IF(Table1[[#This Row],[Is Data Valid]]=TRUE,((Table1[[#This Row],[Birthweight (grams)]]*1.1/Table1[[#This Row],[BW_GA]])-1)/(Backend!$B$4/100*Table1[[#This Row],[BW40_3705]]),"")</f>
        <v/>
      </c>
      <c r="J8027" s="7" t="str">
        <f>IF(Table1[[#This Row],[Is Data Valid]]=TRUE,_xlfn.NORM.S.DIST(Table1[[#This Row],[Birthweight Z-Score]],TRUE)*100,"")</f>
        <v/>
      </c>
      <c r="K8027" s="7" t="str">
        <f>IF(Table1[[#This Row],[Is Data Valid]]=TRUE,_xlfn.NORM.S.DIST(Table1[[#This Row],[Birthweight Z-Score (BW-10%)]],TRUE)*100,"")</f>
        <v/>
      </c>
      <c r="L8027" s="7" t="str">
        <f>IF(Table1[[#This Row],[Is Data Valid]]=TRUE,_xlfn.NORM.S.DIST(Table1[[#This Row],[Birthweight Z-Score (BW+10%)]],TRUE)*100,"")</f>
        <v/>
      </c>
    </row>
    <row r="8028" spans="1:12" x14ac:dyDescent="0.35">
      <c r="A8028" s="3"/>
      <c r="B8028" s="2"/>
      <c r="C8028" s="2"/>
      <c r="D8028" s="2" t="b">
        <f>IF(AND(NOT(ISBLANK(Table1[[#This Row],[Fetal Sex (Male, Female or Unknown)]])),ISNUMBER(Table1[[#This Row],[Birthweight (grams)]]),ISNUMBER(Table1[[#This Row],[Gestation (days)]])),TRUE,FALSE)</f>
        <v>0</v>
      </c>
      <c r="E8028" s="2" t="str">
        <f>IF(Table1[[#This Row],[Is Data Valid]]=TRUE,IF(Table1[[#This Row],[Fetal Sex (Male, Female or Unknown)]]="Male",Backend!$C$6,IF(Table1[[#This Row],[Fetal Sex (Male, Female or Unknown)]]="Female",Backend!$C$7,IF(Table1[[#This Row],[Fetal Sex (Male, Female or Unknown)]]="Unknown",Backend!$C$8,"Error"))),"")</f>
        <v/>
      </c>
      <c r="F8028" s="8" t="str">
        <f>IF(Table1[[#This Row],[Is Data Valid]]=TRUE,EXP(0.578+0.332*((Table1[[#This Row],[Gestation (days)]]+0.5)/7)-0.00354*((Table1[[#This Row],[Gestation (days)]]+0.5)/7)^2)*Table1[[#This Row],[BW40_3705]],"")</f>
        <v/>
      </c>
      <c r="G8028" s="2" t="str">
        <f>IF(Table1[[#This Row],[Is Data Valid]]=TRUE,((Table1[[#This Row],[Birthweight (grams)]]/Table1[[#This Row],[BW_GA]])-1)/(Backend!$B$4/100*Table1[[#This Row],[BW40_3705]]),"")</f>
        <v/>
      </c>
      <c r="H8028" s="7" t="str">
        <f>IF(Table1[[#This Row],[Is Data Valid]]=TRUE,((Table1[[#This Row],[Birthweight (grams)]]*0.9/Table1[[#This Row],[BW_GA]])-1)/(Backend!$B$4/100*Table1[[#This Row],[BW40_3705]]),"")</f>
        <v/>
      </c>
      <c r="I8028" s="7" t="str">
        <f>IF(Table1[[#This Row],[Is Data Valid]]=TRUE,((Table1[[#This Row],[Birthweight (grams)]]*1.1/Table1[[#This Row],[BW_GA]])-1)/(Backend!$B$4/100*Table1[[#This Row],[BW40_3705]]),"")</f>
        <v/>
      </c>
      <c r="J8028" s="7" t="str">
        <f>IF(Table1[[#This Row],[Is Data Valid]]=TRUE,_xlfn.NORM.S.DIST(Table1[[#This Row],[Birthweight Z-Score]],TRUE)*100,"")</f>
        <v/>
      </c>
      <c r="K8028" s="7" t="str">
        <f>IF(Table1[[#This Row],[Is Data Valid]]=TRUE,_xlfn.NORM.S.DIST(Table1[[#This Row],[Birthweight Z-Score (BW-10%)]],TRUE)*100,"")</f>
        <v/>
      </c>
      <c r="L8028" s="7" t="str">
        <f>IF(Table1[[#This Row],[Is Data Valid]]=TRUE,_xlfn.NORM.S.DIST(Table1[[#This Row],[Birthweight Z-Score (BW+10%)]],TRUE)*100,"")</f>
        <v/>
      </c>
    </row>
    <row r="8029" spans="1:12" x14ac:dyDescent="0.35">
      <c r="A8029" s="3"/>
      <c r="B8029" s="2"/>
      <c r="C8029" s="2"/>
      <c r="D8029" s="2" t="b">
        <f>IF(AND(NOT(ISBLANK(Table1[[#This Row],[Fetal Sex (Male, Female or Unknown)]])),ISNUMBER(Table1[[#This Row],[Birthweight (grams)]]),ISNUMBER(Table1[[#This Row],[Gestation (days)]])),TRUE,FALSE)</f>
        <v>0</v>
      </c>
      <c r="E8029" s="2" t="str">
        <f>IF(Table1[[#This Row],[Is Data Valid]]=TRUE,IF(Table1[[#This Row],[Fetal Sex (Male, Female or Unknown)]]="Male",Backend!$C$6,IF(Table1[[#This Row],[Fetal Sex (Male, Female or Unknown)]]="Female",Backend!$C$7,IF(Table1[[#This Row],[Fetal Sex (Male, Female or Unknown)]]="Unknown",Backend!$C$8,"Error"))),"")</f>
        <v/>
      </c>
      <c r="F8029" s="8" t="str">
        <f>IF(Table1[[#This Row],[Is Data Valid]]=TRUE,EXP(0.578+0.332*((Table1[[#This Row],[Gestation (days)]]+0.5)/7)-0.00354*((Table1[[#This Row],[Gestation (days)]]+0.5)/7)^2)*Table1[[#This Row],[BW40_3705]],"")</f>
        <v/>
      </c>
      <c r="G8029" s="2" t="str">
        <f>IF(Table1[[#This Row],[Is Data Valid]]=TRUE,((Table1[[#This Row],[Birthweight (grams)]]/Table1[[#This Row],[BW_GA]])-1)/(Backend!$B$4/100*Table1[[#This Row],[BW40_3705]]),"")</f>
        <v/>
      </c>
      <c r="H8029" s="7" t="str">
        <f>IF(Table1[[#This Row],[Is Data Valid]]=TRUE,((Table1[[#This Row],[Birthweight (grams)]]*0.9/Table1[[#This Row],[BW_GA]])-1)/(Backend!$B$4/100*Table1[[#This Row],[BW40_3705]]),"")</f>
        <v/>
      </c>
      <c r="I8029" s="7" t="str">
        <f>IF(Table1[[#This Row],[Is Data Valid]]=TRUE,((Table1[[#This Row],[Birthweight (grams)]]*1.1/Table1[[#This Row],[BW_GA]])-1)/(Backend!$B$4/100*Table1[[#This Row],[BW40_3705]]),"")</f>
        <v/>
      </c>
      <c r="J8029" s="7" t="str">
        <f>IF(Table1[[#This Row],[Is Data Valid]]=TRUE,_xlfn.NORM.S.DIST(Table1[[#This Row],[Birthweight Z-Score]],TRUE)*100,"")</f>
        <v/>
      </c>
      <c r="K8029" s="7" t="str">
        <f>IF(Table1[[#This Row],[Is Data Valid]]=TRUE,_xlfn.NORM.S.DIST(Table1[[#This Row],[Birthweight Z-Score (BW-10%)]],TRUE)*100,"")</f>
        <v/>
      </c>
      <c r="L8029" s="7" t="str">
        <f>IF(Table1[[#This Row],[Is Data Valid]]=TRUE,_xlfn.NORM.S.DIST(Table1[[#This Row],[Birthweight Z-Score (BW+10%)]],TRUE)*100,"")</f>
        <v/>
      </c>
    </row>
    <row r="8030" spans="1:12" x14ac:dyDescent="0.35">
      <c r="A8030" s="3"/>
      <c r="B8030" s="2"/>
      <c r="C8030" s="2"/>
      <c r="D8030" s="2" t="b">
        <f>IF(AND(NOT(ISBLANK(Table1[[#This Row],[Fetal Sex (Male, Female or Unknown)]])),ISNUMBER(Table1[[#This Row],[Birthweight (grams)]]),ISNUMBER(Table1[[#This Row],[Gestation (days)]])),TRUE,FALSE)</f>
        <v>0</v>
      </c>
      <c r="E8030" s="2" t="str">
        <f>IF(Table1[[#This Row],[Is Data Valid]]=TRUE,IF(Table1[[#This Row],[Fetal Sex (Male, Female or Unknown)]]="Male",Backend!$C$6,IF(Table1[[#This Row],[Fetal Sex (Male, Female or Unknown)]]="Female",Backend!$C$7,IF(Table1[[#This Row],[Fetal Sex (Male, Female or Unknown)]]="Unknown",Backend!$C$8,"Error"))),"")</f>
        <v/>
      </c>
      <c r="F8030" s="8" t="str">
        <f>IF(Table1[[#This Row],[Is Data Valid]]=TRUE,EXP(0.578+0.332*((Table1[[#This Row],[Gestation (days)]]+0.5)/7)-0.00354*((Table1[[#This Row],[Gestation (days)]]+0.5)/7)^2)*Table1[[#This Row],[BW40_3705]],"")</f>
        <v/>
      </c>
      <c r="G8030" s="2" t="str">
        <f>IF(Table1[[#This Row],[Is Data Valid]]=TRUE,((Table1[[#This Row],[Birthweight (grams)]]/Table1[[#This Row],[BW_GA]])-1)/(Backend!$B$4/100*Table1[[#This Row],[BW40_3705]]),"")</f>
        <v/>
      </c>
      <c r="H8030" s="7" t="str">
        <f>IF(Table1[[#This Row],[Is Data Valid]]=TRUE,((Table1[[#This Row],[Birthweight (grams)]]*0.9/Table1[[#This Row],[BW_GA]])-1)/(Backend!$B$4/100*Table1[[#This Row],[BW40_3705]]),"")</f>
        <v/>
      </c>
      <c r="I8030" s="7" t="str">
        <f>IF(Table1[[#This Row],[Is Data Valid]]=TRUE,((Table1[[#This Row],[Birthweight (grams)]]*1.1/Table1[[#This Row],[BW_GA]])-1)/(Backend!$B$4/100*Table1[[#This Row],[BW40_3705]]),"")</f>
        <v/>
      </c>
      <c r="J8030" s="7" t="str">
        <f>IF(Table1[[#This Row],[Is Data Valid]]=TRUE,_xlfn.NORM.S.DIST(Table1[[#This Row],[Birthweight Z-Score]],TRUE)*100,"")</f>
        <v/>
      </c>
      <c r="K8030" s="7" t="str">
        <f>IF(Table1[[#This Row],[Is Data Valid]]=TRUE,_xlfn.NORM.S.DIST(Table1[[#This Row],[Birthweight Z-Score (BW-10%)]],TRUE)*100,"")</f>
        <v/>
      </c>
      <c r="L8030" s="7" t="str">
        <f>IF(Table1[[#This Row],[Is Data Valid]]=TRUE,_xlfn.NORM.S.DIST(Table1[[#This Row],[Birthweight Z-Score (BW+10%)]],TRUE)*100,"")</f>
        <v/>
      </c>
    </row>
    <row r="8031" spans="1:12" x14ac:dyDescent="0.35">
      <c r="A8031" s="3"/>
      <c r="B8031" s="2"/>
      <c r="C8031" s="2"/>
      <c r="D8031" s="2" t="b">
        <f>IF(AND(NOT(ISBLANK(Table1[[#This Row],[Fetal Sex (Male, Female or Unknown)]])),ISNUMBER(Table1[[#This Row],[Birthweight (grams)]]),ISNUMBER(Table1[[#This Row],[Gestation (days)]])),TRUE,FALSE)</f>
        <v>0</v>
      </c>
      <c r="E8031" s="2" t="str">
        <f>IF(Table1[[#This Row],[Is Data Valid]]=TRUE,IF(Table1[[#This Row],[Fetal Sex (Male, Female or Unknown)]]="Male",Backend!$C$6,IF(Table1[[#This Row],[Fetal Sex (Male, Female or Unknown)]]="Female",Backend!$C$7,IF(Table1[[#This Row],[Fetal Sex (Male, Female or Unknown)]]="Unknown",Backend!$C$8,"Error"))),"")</f>
        <v/>
      </c>
      <c r="F8031" s="8" t="str">
        <f>IF(Table1[[#This Row],[Is Data Valid]]=TRUE,EXP(0.578+0.332*((Table1[[#This Row],[Gestation (days)]]+0.5)/7)-0.00354*((Table1[[#This Row],[Gestation (days)]]+0.5)/7)^2)*Table1[[#This Row],[BW40_3705]],"")</f>
        <v/>
      </c>
      <c r="G8031" s="2" t="str">
        <f>IF(Table1[[#This Row],[Is Data Valid]]=TRUE,((Table1[[#This Row],[Birthweight (grams)]]/Table1[[#This Row],[BW_GA]])-1)/(Backend!$B$4/100*Table1[[#This Row],[BW40_3705]]),"")</f>
        <v/>
      </c>
      <c r="H8031" s="7" t="str">
        <f>IF(Table1[[#This Row],[Is Data Valid]]=TRUE,((Table1[[#This Row],[Birthweight (grams)]]*0.9/Table1[[#This Row],[BW_GA]])-1)/(Backend!$B$4/100*Table1[[#This Row],[BW40_3705]]),"")</f>
        <v/>
      </c>
      <c r="I8031" s="7" t="str">
        <f>IF(Table1[[#This Row],[Is Data Valid]]=TRUE,((Table1[[#This Row],[Birthweight (grams)]]*1.1/Table1[[#This Row],[BW_GA]])-1)/(Backend!$B$4/100*Table1[[#This Row],[BW40_3705]]),"")</f>
        <v/>
      </c>
      <c r="J8031" s="7" t="str">
        <f>IF(Table1[[#This Row],[Is Data Valid]]=TRUE,_xlfn.NORM.S.DIST(Table1[[#This Row],[Birthweight Z-Score]],TRUE)*100,"")</f>
        <v/>
      </c>
      <c r="K8031" s="7" t="str">
        <f>IF(Table1[[#This Row],[Is Data Valid]]=TRUE,_xlfn.NORM.S.DIST(Table1[[#This Row],[Birthweight Z-Score (BW-10%)]],TRUE)*100,"")</f>
        <v/>
      </c>
      <c r="L8031" s="7" t="str">
        <f>IF(Table1[[#This Row],[Is Data Valid]]=TRUE,_xlfn.NORM.S.DIST(Table1[[#This Row],[Birthweight Z-Score (BW+10%)]],TRUE)*100,"")</f>
        <v/>
      </c>
    </row>
    <row r="8032" spans="1:12" x14ac:dyDescent="0.35">
      <c r="A8032" s="3"/>
      <c r="B8032" s="2"/>
      <c r="C8032" s="2"/>
      <c r="D8032" s="2" t="b">
        <f>IF(AND(NOT(ISBLANK(Table1[[#This Row],[Fetal Sex (Male, Female or Unknown)]])),ISNUMBER(Table1[[#This Row],[Birthweight (grams)]]),ISNUMBER(Table1[[#This Row],[Gestation (days)]])),TRUE,FALSE)</f>
        <v>0</v>
      </c>
      <c r="E8032" s="2" t="str">
        <f>IF(Table1[[#This Row],[Is Data Valid]]=TRUE,IF(Table1[[#This Row],[Fetal Sex (Male, Female or Unknown)]]="Male",Backend!$C$6,IF(Table1[[#This Row],[Fetal Sex (Male, Female or Unknown)]]="Female",Backend!$C$7,IF(Table1[[#This Row],[Fetal Sex (Male, Female or Unknown)]]="Unknown",Backend!$C$8,"Error"))),"")</f>
        <v/>
      </c>
      <c r="F8032" s="8" t="str">
        <f>IF(Table1[[#This Row],[Is Data Valid]]=TRUE,EXP(0.578+0.332*((Table1[[#This Row],[Gestation (days)]]+0.5)/7)-0.00354*((Table1[[#This Row],[Gestation (days)]]+0.5)/7)^2)*Table1[[#This Row],[BW40_3705]],"")</f>
        <v/>
      </c>
      <c r="G8032" s="2" t="str">
        <f>IF(Table1[[#This Row],[Is Data Valid]]=TRUE,((Table1[[#This Row],[Birthweight (grams)]]/Table1[[#This Row],[BW_GA]])-1)/(Backend!$B$4/100*Table1[[#This Row],[BW40_3705]]),"")</f>
        <v/>
      </c>
      <c r="H8032" s="7" t="str">
        <f>IF(Table1[[#This Row],[Is Data Valid]]=TRUE,((Table1[[#This Row],[Birthweight (grams)]]*0.9/Table1[[#This Row],[BW_GA]])-1)/(Backend!$B$4/100*Table1[[#This Row],[BW40_3705]]),"")</f>
        <v/>
      </c>
      <c r="I8032" s="7" t="str">
        <f>IF(Table1[[#This Row],[Is Data Valid]]=TRUE,((Table1[[#This Row],[Birthweight (grams)]]*1.1/Table1[[#This Row],[BW_GA]])-1)/(Backend!$B$4/100*Table1[[#This Row],[BW40_3705]]),"")</f>
        <v/>
      </c>
      <c r="J8032" s="7" t="str">
        <f>IF(Table1[[#This Row],[Is Data Valid]]=TRUE,_xlfn.NORM.S.DIST(Table1[[#This Row],[Birthweight Z-Score]],TRUE)*100,"")</f>
        <v/>
      </c>
      <c r="K8032" s="7" t="str">
        <f>IF(Table1[[#This Row],[Is Data Valid]]=TRUE,_xlfn.NORM.S.DIST(Table1[[#This Row],[Birthweight Z-Score (BW-10%)]],TRUE)*100,"")</f>
        <v/>
      </c>
      <c r="L8032" s="7" t="str">
        <f>IF(Table1[[#This Row],[Is Data Valid]]=TRUE,_xlfn.NORM.S.DIST(Table1[[#This Row],[Birthweight Z-Score (BW+10%)]],TRUE)*100,"")</f>
        <v/>
      </c>
    </row>
    <row r="8033" spans="1:12" x14ac:dyDescent="0.35">
      <c r="A8033" s="3"/>
      <c r="B8033" s="2"/>
      <c r="C8033" s="2"/>
      <c r="D8033" s="2" t="b">
        <f>IF(AND(NOT(ISBLANK(Table1[[#This Row],[Fetal Sex (Male, Female or Unknown)]])),ISNUMBER(Table1[[#This Row],[Birthweight (grams)]]),ISNUMBER(Table1[[#This Row],[Gestation (days)]])),TRUE,FALSE)</f>
        <v>0</v>
      </c>
      <c r="E8033" s="2" t="str">
        <f>IF(Table1[[#This Row],[Is Data Valid]]=TRUE,IF(Table1[[#This Row],[Fetal Sex (Male, Female or Unknown)]]="Male",Backend!$C$6,IF(Table1[[#This Row],[Fetal Sex (Male, Female or Unknown)]]="Female",Backend!$C$7,IF(Table1[[#This Row],[Fetal Sex (Male, Female or Unknown)]]="Unknown",Backend!$C$8,"Error"))),"")</f>
        <v/>
      </c>
      <c r="F8033" s="8" t="str">
        <f>IF(Table1[[#This Row],[Is Data Valid]]=TRUE,EXP(0.578+0.332*((Table1[[#This Row],[Gestation (days)]]+0.5)/7)-0.00354*((Table1[[#This Row],[Gestation (days)]]+0.5)/7)^2)*Table1[[#This Row],[BW40_3705]],"")</f>
        <v/>
      </c>
      <c r="G8033" s="2" t="str">
        <f>IF(Table1[[#This Row],[Is Data Valid]]=TRUE,((Table1[[#This Row],[Birthweight (grams)]]/Table1[[#This Row],[BW_GA]])-1)/(Backend!$B$4/100*Table1[[#This Row],[BW40_3705]]),"")</f>
        <v/>
      </c>
      <c r="H8033" s="7" t="str">
        <f>IF(Table1[[#This Row],[Is Data Valid]]=TRUE,((Table1[[#This Row],[Birthweight (grams)]]*0.9/Table1[[#This Row],[BW_GA]])-1)/(Backend!$B$4/100*Table1[[#This Row],[BW40_3705]]),"")</f>
        <v/>
      </c>
      <c r="I8033" s="7" t="str">
        <f>IF(Table1[[#This Row],[Is Data Valid]]=TRUE,((Table1[[#This Row],[Birthweight (grams)]]*1.1/Table1[[#This Row],[BW_GA]])-1)/(Backend!$B$4/100*Table1[[#This Row],[BW40_3705]]),"")</f>
        <v/>
      </c>
      <c r="J8033" s="7" t="str">
        <f>IF(Table1[[#This Row],[Is Data Valid]]=TRUE,_xlfn.NORM.S.DIST(Table1[[#This Row],[Birthweight Z-Score]],TRUE)*100,"")</f>
        <v/>
      </c>
      <c r="K8033" s="7" t="str">
        <f>IF(Table1[[#This Row],[Is Data Valid]]=TRUE,_xlfn.NORM.S.DIST(Table1[[#This Row],[Birthweight Z-Score (BW-10%)]],TRUE)*100,"")</f>
        <v/>
      </c>
      <c r="L8033" s="7" t="str">
        <f>IF(Table1[[#This Row],[Is Data Valid]]=TRUE,_xlfn.NORM.S.DIST(Table1[[#This Row],[Birthweight Z-Score (BW+10%)]],TRUE)*100,"")</f>
        <v/>
      </c>
    </row>
    <row r="8034" spans="1:12" x14ac:dyDescent="0.35">
      <c r="A8034" s="3"/>
      <c r="B8034" s="2"/>
      <c r="C8034" s="2"/>
      <c r="D8034" s="2" t="b">
        <f>IF(AND(NOT(ISBLANK(Table1[[#This Row],[Fetal Sex (Male, Female or Unknown)]])),ISNUMBER(Table1[[#This Row],[Birthweight (grams)]]),ISNUMBER(Table1[[#This Row],[Gestation (days)]])),TRUE,FALSE)</f>
        <v>0</v>
      </c>
      <c r="E8034" s="2" t="str">
        <f>IF(Table1[[#This Row],[Is Data Valid]]=TRUE,IF(Table1[[#This Row],[Fetal Sex (Male, Female or Unknown)]]="Male",Backend!$C$6,IF(Table1[[#This Row],[Fetal Sex (Male, Female or Unknown)]]="Female",Backend!$C$7,IF(Table1[[#This Row],[Fetal Sex (Male, Female or Unknown)]]="Unknown",Backend!$C$8,"Error"))),"")</f>
        <v/>
      </c>
      <c r="F8034" s="8" t="str">
        <f>IF(Table1[[#This Row],[Is Data Valid]]=TRUE,EXP(0.578+0.332*((Table1[[#This Row],[Gestation (days)]]+0.5)/7)-0.00354*((Table1[[#This Row],[Gestation (days)]]+0.5)/7)^2)*Table1[[#This Row],[BW40_3705]],"")</f>
        <v/>
      </c>
      <c r="G8034" s="2" t="str">
        <f>IF(Table1[[#This Row],[Is Data Valid]]=TRUE,((Table1[[#This Row],[Birthweight (grams)]]/Table1[[#This Row],[BW_GA]])-1)/(Backend!$B$4/100*Table1[[#This Row],[BW40_3705]]),"")</f>
        <v/>
      </c>
      <c r="H8034" s="7" t="str">
        <f>IF(Table1[[#This Row],[Is Data Valid]]=TRUE,((Table1[[#This Row],[Birthweight (grams)]]*0.9/Table1[[#This Row],[BW_GA]])-1)/(Backend!$B$4/100*Table1[[#This Row],[BW40_3705]]),"")</f>
        <v/>
      </c>
      <c r="I8034" s="7" t="str">
        <f>IF(Table1[[#This Row],[Is Data Valid]]=TRUE,((Table1[[#This Row],[Birthweight (grams)]]*1.1/Table1[[#This Row],[BW_GA]])-1)/(Backend!$B$4/100*Table1[[#This Row],[BW40_3705]]),"")</f>
        <v/>
      </c>
      <c r="J8034" s="7" t="str">
        <f>IF(Table1[[#This Row],[Is Data Valid]]=TRUE,_xlfn.NORM.S.DIST(Table1[[#This Row],[Birthweight Z-Score]],TRUE)*100,"")</f>
        <v/>
      </c>
      <c r="K8034" s="7" t="str">
        <f>IF(Table1[[#This Row],[Is Data Valid]]=TRUE,_xlfn.NORM.S.DIST(Table1[[#This Row],[Birthweight Z-Score (BW-10%)]],TRUE)*100,"")</f>
        <v/>
      </c>
      <c r="L8034" s="7" t="str">
        <f>IF(Table1[[#This Row],[Is Data Valid]]=TRUE,_xlfn.NORM.S.DIST(Table1[[#This Row],[Birthweight Z-Score (BW+10%)]],TRUE)*100,"")</f>
        <v/>
      </c>
    </row>
    <row r="8035" spans="1:12" x14ac:dyDescent="0.35">
      <c r="A8035" s="3"/>
      <c r="B8035" s="2"/>
      <c r="C8035" s="2"/>
      <c r="D8035" s="2" t="b">
        <f>IF(AND(NOT(ISBLANK(Table1[[#This Row],[Fetal Sex (Male, Female or Unknown)]])),ISNUMBER(Table1[[#This Row],[Birthweight (grams)]]),ISNUMBER(Table1[[#This Row],[Gestation (days)]])),TRUE,FALSE)</f>
        <v>0</v>
      </c>
      <c r="E8035" s="2" t="str">
        <f>IF(Table1[[#This Row],[Is Data Valid]]=TRUE,IF(Table1[[#This Row],[Fetal Sex (Male, Female or Unknown)]]="Male",Backend!$C$6,IF(Table1[[#This Row],[Fetal Sex (Male, Female or Unknown)]]="Female",Backend!$C$7,IF(Table1[[#This Row],[Fetal Sex (Male, Female or Unknown)]]="Unknown",Backend!$C$8,"Error"))),"")</f>
        <v/>
      </c>
      <c r="F8035" s="8" t="str">
        <f>IF(Table1[[#This Row],[Is Data Valid]]=TRUE,EXP(0.578+0.332*((Table1[[#This Row],[Gestation (days)]]+0.5)/7)-0.00354*((Table1[[#This Row],[Gestation (days)]]+0.5)/7)^2)*Table1[[#This Row],[BW40_3705]],"")</f>
        <v/>
      </c>
      <c r="G8035" s="2" t="str">
        <f>IF(Table1[[#This Row],[Is Data Valid]]=TRUE,((Table1[[#This Row],[Birthweight (grams)]]/Table1[[#This Row],[BW_GA]])-1)/(Backend!$B$4/100*Table1[[#This Row],[BW40_3705]]),"")</f>
        <v/>
      </c>
      <c r="H8035" s="7" t="str">
        <f>IF(Table1[[#This Row],[Is Data Valid]]=TRUE,((Table1[[#This Row],[Birthweight (grams)]]*0.9/Table1[[#This Row],[BW_GA]])-1)/(Backend!$B$4/100*Table1[[#This Row],[BW40_3705]]),"")</f>
        <v/>
      </c>
      <c r="I8035" s="7" t="str">
        <f>IF(Table1[[#This Row],[Is Data Valid]]=TRUE,((Table1[[#This Row],[Birthweight (grams)]]*1.1/Table1[[#This Row],[BW_GA]])-1)/(Backend!$B$4/100*Table1[[#This Row],[BW40_3705]]),"")</f>
        <v/>
      </c>
      <c r="J8035" s="7" t="str">
        <f>IF(Table1[[#This Row],[Is Data Valid]]=TRUE,_xlfn.NORM.S.DIST(Table1[[#This Row],[Birthweight Z-Score]],TRUE)*100,"")</f>
        <v/>
      </c>
      <c r="K8035" s="7" t="str">
        <f>IF(Table1[[#This Row],[Is Data Valid]]=TRUE,_xlfn.NORM.S.DIST(Table1[[#This Row],[Birthweight Z-Score (BW-10%)]],TRUE)*100,"")</f>
        <v/>
      </c>
      <c r="L8035" s="7" t="str">
        <f>IF(Table1[[#This Row],[Is Data Valid]]=TRUE,_xlfn.NORM.S.DIST(Table1[[#This Row],[Birthweight Z-Score (BW+10%)]],TRUE)*100,"")</f>
        <v/>
      </c>
    </row>
    <row r="8036" spans="1:12" x14ac:dyDescent="0.35">
      <c r="A8036" s="3"/>
      <c r="B8036" s="2"/>
      <c r="C8036" s="2"/>
      <c r="D8036" s="2" t="b">
        <f>IF(AND(NOT(ISBLANK(Table1[[#This Row],[Fetal Sex (Male, Female or Unknown)]])),ISNUMBER(Table1[[#This Row],[Birthweight (grams)]]),ISNUMBER(Table1[[#This Row],[Gestation (days)]])),TRUE,FALSE)</f>
        <v>0</v>
      </c>
      <c r="E8036" s="2" t="str">
        <f>IF(Table1[[#This Row],[Is Data Valid]]=TRUE,IF(Table1[[#This Row],[Fetal Sex (Male, Female or Unknown)]]="Male",Backend!$C$6,IF(Table1[[#This Row],[Fetal Sex (Male, Female or Unknown)]]="Female",Backend!$C$7,IF(Table1[[#This Row],[Fetal Sex (Male, Female or Unknown)]]="Unknown",Backend!$C$8,"Error"))),"")</f>
        <v/>
      </c>
      <c r="F8036" s="8" t="str">
        <f>IF(Table1[[#This Row],[Is Data Valid]]=TRUE,EXP(0.578+0.332*((Table1[[#This Row],[Gestation (days)]]+0.5)/7)-0.00354*((Table1[[#This Row],[Gestation (days)]]+0.5)/7)^2)*Table1[[#This Row],[BW40_3705]],"")</f>
        <v/>
      </c>
      <c r="G8036" s="2" t="str">
        <f>IF(Table1[[#This Row],[Is Data Valid]]=TRUE,((Table1[[#This Row],[Birthweight (grams)]]/Table1[[#This Row],[BW_GA]])-1)/(Backend!$B$4/100*Table1[[#This Row],[BW40_3705]]),"")</f>
        <v/>
      </c>
      <c r="H8036" s="7" t="str">
        <f>IF(Table1[[#This Row],[Is Data Valid]]=TRUE,((Table1[[#This Row],[Birthweight (grams)]]*0.9/Table1[[#This Row],[BW_GA]])-1)/(Backend!$B$4/100*Table1[[#This Row],[BW40_3705]]),"")</f>
        <v/>
      </c>
      <c r="I8036" s="7" t="str">
        <f>IF(Table1[[#This Row],[Is Data Valid]]=TRUE,((Table1[[#This Row],[Birthweight (grams)]]*1.1/Table1[[#This Row],[BW_GA]])-1)/(Backend!$B$4/100*Table1[[#This Row],[BW40_3705]]),"")</f>
        <v/>
      </c>
      <c r="J8036" s="7" t="str">
        <f>IF(Table1[[#This Row],[Is Data Valid]]=TRUE,_xlfn.NORM.S.DIST(Table1[[#This Row],[Birthweight Z-Score]],TRUE)*100,"")</f>
        <v/>
      </c>
      <c r="K8036" s="7" t="str">
        <f>IF(Table1[[#This Row],[Is Data Valid]]=TRUE,_xlfn.NORM.S.DIST(Table1[[#This Row],[Birthweight Z-Score (BW-10%)]],TRUE)*100,"")</f>
        <v/>
      </c>
      <c r="L8036" s="7" t="str">
        <f>IF(Table1[[#This Row],[Is Data Valid]]=TRUE,_xlfn.NORM.S.DIST(Table1[[#This Row],[Birthweight Z-Score (BW+10%)]],TRUE)*100,"")</f>
        <v/>
      </c>
    </row>
    <row r="8037" spans="1:12" x14ac:dyDescent="0.35">
      <c r="A8037" s="3"/>
      <c r="B8037" s="2"/>
      <c r="C8037" s="2"/>
      <c r="D8037" s="2" t="b">
        <f>IF(AND(NOT(ISBLANK(Table1[[#This Row],[Fetal Sex (Male, Female or Unknown)]])),ISNUMBER(Table1[[#This Row],[Birthweight (grams)]]),ISNUMBER(Table1[[#This Row],[Gestation (days)]])),TRUE,FALSE)</f>
        <v>0</v>
      </c>
      <c r="E8037" s="2" t="str">
        <f>IF(Table1[[#This Row],[Is Data Valid]]=TRUE,IF(Table1[[#This Row],[Fetal Sex (Male, Female or Unknown)]]="Male",Backend!$C$6,IF(Table1[[#This Row],[Fetal Sex (Male, Female or Unknown)]]="Female",Backend!$C$7,IF(Table1[[#This Row],[Fetal Sex (Male, Female or Unknown)]]="Unknown",Backend!$C$8,"Error"))),"")</f>
        <v/>
      </c>
      <c r="F8037" s="8" t="str">
        <f>IF(Table1[[#This Row],[Is Data Valid]]=TRUE,EXP(0.578+0.332*((Table1[[#This Row],[Gestation (days)]]+0.5)/7)-0.00354*((Table1[[#This Row],[Gestation (days)]]+0.5)/7)^2)*Table1[[#This Row],[BW40_3705]],"")</f>
        <v/>
      </c>
      <c r="G8037" s="2" t="str">
        <f>IF(Table1[[#This Row],[Is Data Valid]]=TRUE,((Table1[[#This Row],[Birthweight (grams)]]/Table1[[#This Row],[BW_GA]])-1)/(Backend!$B$4/100*Table1[[#This Row],[BW40_3705]]),"")</f>
        <v/>
      </c>
      <c r="H8037" s="7" t="str">
        <f>IF(Table1[[#This Row],[Is Data Valid]]=TRUE,((Table1[[#This Row],[Birthweight (grams)]]*0.9/Table1[[#This Row],[BW_GA]])-1)/(Backend!$B$4/100*Table1[[#This Row],[BW40_3705]]),"")</f>
        <v/>
      </c>
      <c r="I8037" s="7" t="str">
        <f>IF(Table1[[#This Row],[Is Data Valid]]=TRUE,((Table1[[#This Row],[Birthweight (grams)]]*1.1/Table1[[#This Row],[BW_GA]])-1)/(Backend!$B$4/100*Table1[[#This Row],[BW40_3705]]),"")</f>
        <v/>
      </c>
      <c r="J8037" s="7" t="str">
        <f>IF(Table1[[#This Row],[Is Data Valid]]=TRUE,_xlfn.NORM.S.DIST(Table1[[#This Row],[Birthweight Z-Score]],TRUE)*100,"")</f>
        <v/>
      </c>
      <c r="K8037" s="7" t="str">
        <f>IF(Table1[[#This Row],[Is Data Valid]]=TRUE,_xlfn.NORM.S.DIST(Table1[[#This Row],[Birthweight Z-Score (BW-10%)]],TRUE)*100,"")</f>
        <v/>
      </c>
      <c r="L8037" s="7" t="str">
        <f>IF(Table1[[#This Row],[Is Data Valid]]=TRUE,_xlfn.NORM.S.DIST(Table1[[#This Row],[Birthweight Z-Score (BW+10%)]],TRUE)*100,"")</f>
        <v/>
      </c>
    </row>
    <row r="8038" spans="1:12" x14ac:dyDescent="0.35">
      <c r="A8038" s="3"/>
      <c r="B8038" s="2"/>
      <c r="C8038" s="2"/>
      <c r="D8038" s="2" t="b">
        <f>IF(AND(NOT(ISBLANK(Table1[[#This Row],[Fetal Sex (Male, Female or Unknown)]])),ISNUMBER(Table1[[#This Row],[Birthweight (grams)]]),ISNUMBER(Table1[[#This Row],[Gestation (days)]])),TRUE,FALSE)</f>
        <v>0</v>
      </c>
      <c r="E8038" s="2" t="str">
        <f>IF(Table1[[#This Row],[Is Data Valid]]=TRUE,IF(Table1[[#This Row],[Fetal Sex (Male, Female or Unknown)]]="Male",Backend!$C$6,IF(Table1[[#This Row],[Fetal Sex (Male, Female or Unknown)]]="Female",Backend!$C$7,IF(Table1[[#This Row],[Fetal Sex (Male, Female or Unknown)]]="Unknown",Backend!$C$8,"Error"))),"")</f>
        <v/>
      </c>
      <c r="F8038" s="8" t="str">
        <f>IF(Table1[[#This Row],[Is Data Valid]]=TRUE,EXP(0.578+0.332*((Table1[[#This Row],[Gestation (days)]]+0.5)/7)-0.00354*((Table1[[#This Row],[Gestation (days)]]+0.5)/7)^2)*Table1[[#This Row],[BW40_3705]],"")</f>
        <v/>
      </c>
      <c r="G8038" s="2" t="str">
        <f>IF(Table1[[#This Row],[Is Data Valid]]=TRUE,((Table1[[#This Row],[Birthweight (grams)]]/Table1[[#This Row],[BW_GA]])-1)/(Backend!$B$4/100*Table1[[#This Row],[BW40_3705]]),"")</f>
        <v/>
      </c>
      <c r="H8038" s="7" t="str">
        <f>IF(Table1[[#This Row],[Is Data Valid]]=TRUE,((Table1[[#This Row],[Birthweight (grams)]]*0.9/Table1[[#This Row],[BW_GA]])-1)/(Backend!$B$4/100*Table1[[#This Row],[BW40_3705]]),"")</f>
        <v/>
      </c>
      <c r="I8038" s="7" t="str">
        <f>IF(Table1[[#This Row],[Is Data Valid]]=TRUE,((Table1[[#This Row],[Birthweight (grams)]]*1.1/Table1[[#This Row],[BW_GA]])-1)/(Backend!$B$4/100*Table1[[#This Row],[BW40_3705]]),"")</f>
        <v/>
      </c>
      <c r="J8038" s="7" t="str">
        <f>IF(Table1[[#This Row],[Is Data Valid]]=TRUE,_xlfn.NORM.S.DIST(Table1[[#This Row],[Birthweight Z-Score]],TRUE)*100,"")</f>
        <v/>
      </c>
      <c r="K8038" s="7" t="str">
        <f>IF(Table1[[#This Row],[Is Data Valid]]=TRUE,_xlfn.NORM.S.DIST(Table1[[#This Row],[Birthweight Z-Score (BW-10%)]],TRUE)*100,"")</f>
        <v/>
      </c>
      <c r="L8038" s="7" t="str">
        <f>IF(Table1[[#This Row],[Is Data Valid]]=TRUE,_xlfn.NORM.S.DIST(Table1[[#This Row],[Birthweight Z-Score (BW+10%)]],TRUE)*100,"")</f>
        <v/>
      </c>
    </row>
    <row r="8039" spans="1:12" x14ac:dyDescent="0.35">
      <c r="A8039" s="3"/>
      <c r="B8039" s="2"/>
      <c r="C8039" s="2"/>
      <c r="D8039" s="2" t="b">
        <f>IF(AND(NOT(ISBLANK(Table1[[#This Row],[Fetal Sex (Male, Female or Unknown)]])),ISNUMBER(Table1[[#This Row],[Birthweight (grams)]]),ISNUMBER(Table1[[#This Row],[Gestation (days)]])),TRUE,FALSE)</f>
        <v>0</v>
      </c>
      <c r="E8039" s="2" t="str">
        <f>IF(Table1[[#This Row],[Is Data Valid]]=TRUE,IF(Table1[[#This Row],[Fetal Sex (Male, Female or Unknown)]]="Male",Backend!$C$6,IF(Table1[[#This Row],[Fetal Sex (Male, Female or Unknown)]]="Female",Backend!$C$7,IF(Table1[[#This Row],[Fetal Sex (Male, Female or Unknown)]]="Unknown",Backend!$C$8,"Error"))),"")</f>
        <v/>
      </c>
      <c r="F8039" s="8" t="str">
        <f>IF(Table1[[#This Row],[Is Data Valid]]=TRUE,EXP(0.578+0.332*((Table1[[#This Row],[Gestation (days)]]+0.5)/7)-0.00354*((Table1[[#This Row],[Gestation (days)]]+0.5)/7)^2)*Table1[[#This Row],[BW40_3705]],"")</f>
        <v/>
      </c>
      <c r="G8039" s="2" t="str">
        <f>IF(Table1[[#This Row],[Is Data Valid]]=TRUE,((Table1[[#This Row],[Birthweight (grams)]]/Table1[[#This Row],[BW_GA]])-1)/(Backend!$B$4/100*Table1[[#This Row],[BW40_3705]]),"")</f>
        <v/>
      </c>
      <c r="H8039" s="7" t="str">
        <f>IF(Table1[[#This Row],[Is Data Valid]]=TRUE,((Table1[[#This Row],[Birthweight (grams)]]*0.9/Table1[[#This Row],[BW_GA]])-1)/(Backend!$B$4/100*Table1[[#This Row],[BW40_3705]]),"")</f>
        <v/>
      </c>
      <c r="I8039" s="7" t="str">
        <f>IF(Table1[[#This Row],[Is Data Valid]]=TRUE,((Table1[[#This Row],[Birthweight (grams)]]*1.1/Table1[[#This Row],[BW_GA]])-1)/(Backend!$B$4/100*Table1[[#This Row],[BW40_3705]]),"")</f>
        <v/>
      </c>
      <c r="J8039" s="7" t="str">
        <f>IF(Table1[[#This Row],[Is Data Valid]]=TRUE,_xlfn.NORM.S.DIST(Table1[[#This Row],[Birthweight Z-Score]],TRUE)*100,"")</f>
        <v/>
      </c>
      <c r="K8039" s="7" t="str">
        <f>IF(Table1[[#This Row],[Is Data Valid]]=TRUE,_xlfn.NORM.S.DIST(Table1[[#This Row],[Birthweight Z-Score (BW-10%)]],TRUE)*100,"")</f>
        <v/>
      </c>
      <c r="L8039" s="7" t="str">
        <f>IF(Table1[[#This Row],[Is Data Valid]]=TRUE,_xlfn.NORM.S.DIST(Table1[[#This Row],[Birthweight Z-Score (BW+10%)]],TRUE)*100,"")</f>
        <v/>
      </c>
    </row>
    <row r="8040" spans="1:12" x14ac:dyDescent="0.35">
      <c r="A8040" s="3"/>
      <c r="B8040" s="2"/>
      <c r="C8040" s="2"/>
      <c r="D8040" s="2" t="b">
        <f>IF(AND(NOT(ISBLANK(Table1[[#This Row],[Fetal Sex (Male, Female or Unknown)]])),ISNUMBER(Table1[[#This Row],[Birthweight (grams)]]),ISNUMBER(Table1[[#This Row],[Gestation (days)]])),TRUE,FALSE)</f>
        <v>0</v>
      </c>
      <c r="E8040" s="2" t="str">
        <f>IF(Table1[[#This Row],[Is Data Valid]]=TRUE,IF(Table1[[#This Row],[Fetal Sex (Male, Female or Unknown)]]="Male",Backend!$C$6,IF(Table1[[#This Row],[Fetal Sex (Male, Female or Unknown)]]="Female",Backend!$C$7,IF(Table1[[#This Row],[Fetal Sex (Male, Female or Unknown)]]="Unknown",Backend!$C$8,"Error"))),"")</f>
        <v/>
      </c>
      <c r="F8040" s="8" t="str">
        <f>IF(Table1[[#This Row],[Is Data Valid]]=TRUE,EXP(0.578+0.332*((Table1[[#This Row],[Gestation (days)]]+0.5)/7)-0.00354*((Table1[[#This Row],[Gestation (days)]]+0.5)/7)^2)*Table1[[#This Row],[BW40_3705]],"")</f>
        <v/>
      </c>
      <c r="G8040" s="2" t="str">
        <f>IF(Table1[[#This Row],[Is Data Valid]]=TRUE,((Table1[[#This Row],[Birthweight (grams)]]/Table1[[#This Row],[BW_GA]])-1)/(Backend!$B$4/100*Table1[[#This Row],[BW40_3705]]),"")</f>
        <v/>
      </c>
      <c r="H8040" s="7" t="str">
        <f>IF(Table1[[#This Row],[Is Data Valid]]=TRUE,((Table1[[#This Row],[Birthweight (grams)]]*0.9/Table1[[#This Row],[BW_GA]])-1)/(Backend!$B$4/100*Table1[[#This Row],[BW40_3705]]),"")</f>
        <v/>
      </c>
      <c r="I8040" s="7" t="str">
        <f>IF(Table1[[#This Row],[Is Data Valid]]=TRUE,((Table1[[#This Row],[Birthweight (grams)]]*1.1/Table1[[#This Row],[BW_GA]])-1)/(Backend!$B$4/100*Table1[[#This Row],[BW40_3705]]),"")</f>
        <v/>
      </c>
      <c r="J8040" s="7" t="str">
        <f>IF(Table1[[#This Row],[Is Data Valid]]=TRUE,_xlfn.NORM.S.DIST(Table1[[#This Row],[Birthweight Z-Score]],TRUE)*100,"")</f>
        <v/>
      </c>
      <c r="K8040" s="7" t="str">
        <f>IF(Table1[[#This Row],[Is Data Valid]]=TRUE,_xlfn.NORM.S.DIST(Table1[[#This Row],[Birthweight Z-Score (BW-10%)]],TRUE)*100,"")</f>
        <v/>
      </c>
      <c r="L8040" s="7" t="str">
        <f>IF(Table1[[#This Row],[Is Data Valid]]=TRUE,_xlfn.NORM.S.DIST(Table1[[#This Row],[Birthweight Z-Score (BW+10%)]],TRUE)*100,"")</f>
        <v/>
      </c>
    </row>
    <row r="8041" spans="1:12" x14ac:dyDescent="0.35">
      <c r="A8041" s="3"/>
      <c r="B8041" s="2"/>
      <c r="C8041" s="2"/>
      <c r="D8041" s="2" t="b">
        <f>IF(AND(NOT(ISBLANK(Table1[[#This Row],[Fetal Sex (Male, Female or Unknown)]])),ISNUMBER(Table1[[#This Row],[Birthweight (grams)]]),ISNUMBER(Table1[[#This Row],[Gestation (days)]])),TRUE,FALSE)</f>
        <v>0</v>
      </c>
      <c r="E8041" s="2" t="str">
        <f>IF(Table1[[#This Row],[Is Data Valid]]=TRUE,IF(Table1[[#This Row],[Fetal Sex (Male, Female or Unknown)]]="Male",Backend!$C$6,IF(Table1[[#This Row],[Fetal Sex (Male, Female or Unknown)]]="Female",Backend!$C$7,IF(Table1[[#This Row],[Fetal Sex (Male, Female or Unknown)]]="Unknown",Backend!$C$8,"Error"))),"")</f>
        <v/>
      </c>
      <c r="F8041" s="8" t="str">
        <f>IF(Table1[[#This Row],[Is Data Valid]]=TRUE,EXP(0.578+0.332*((Table1[[#This Row],[Gestation (days)]]+0.5)/7)-0.00354*((Table1[[#This Row],[Gestation (days)]]+0.5)/7)^2)*Table1[[#This Row],[BW40_3705]],"")</f>
        <v/>
      </c>
      <c r="G8041" s="2" t="str">
        <f>IF(Table1[[#This Row],[Is Data Valid]]=TRUE,((Table1[[#This Row],[Birthweight (grams)]]/Table1[[#This Row],[BW_GA]])-1)/(Backend!$B$4/100*Table1[[#This Row],[BW40_3705]]),"")</f>
        <v/>
      </c>
      <c r="H8041" s="7" t="str">
        <f>IF(Table1[[#This Row],[Is Data Valid]]=TRUE,((Table1[[#This Row],[Birthweight (grams)]]*0.9/Table1[[#This Row],[BW_GA]])-1)/(Backend!$B$4/100*Table1[[#This Row],[BW40_3705]]),"")</f>
        <v/>
      </c>
      <c r="I8041" s="7" t="str">
        <f>IF(Table1[[#This Row],[Is Data Valid]]=TRUE,((Table1[[#This Row],[Birthweight (grams)]]*1.1/Table1[[#This Row],[BW_GA]])-1)/(Backend!$B$4/100*Table1[[#This Row],[BW40_3705]]),"")</f>
        <v/>
      </c>
      <c r="J8041" s="7" t="str">
        <f>IF(Table1[[#This Row],[Is Data Valid]]=TRUE,_xlfn.NORM.S.DIST(Table1[[#This Row],[Birthweight Z-Score]],TRUE)*100,"")</f>
        <v/>
      </c>
      <c r="K8041" s="7" t="str">
        <f>IF(Table1[[#This Row],[Is Data Valid]]=TRUE,_xlfn.NORM.S.DIST(Table1[[#This Row],[Birthweight Z-Score (BW-10%)]],TRUE)*100,"")</f>
        <v/>
      </c>
      <c r="L8041" s="7" t="str">
        <f>IF(Table1[[#This Row],[Is Data Valid]]=TRUE,_xlfn.NORM.S.DIST(Table1[[#This Row],[Birthweight Z-Score (BW+10%)]],TRUE)*100,"")</f>
        <v/>
      </c>
    </row>
    <row r="8042" spans="1:12" x14ac:dyDescent="0.35">
      <c r="A8042" s="3"/>
      <c r="B8042" s="2"/>
      <c r="C8042" s="2"/>
      <c r="D8042" s="2" t="b">
        <f>IF(AND(NOT(ISBLANK(Table1[[#This Row],[Fetal Sex (Male, Female or Unknown)]])),ISNUMBER(Table1[[#This Row],[Birthweight (grams)]]),ISNUMBER(Table1[[#This Row],[Gestation (days)]])),TRUE,FALSE)</f>
        <v>0</v>
      </c>
      <c r="E8042" s="2" t="str">
        <f>IF(Table1[[#This Row],[Is Data Valid]]=TRUE,IF(Table1[[#This Row],[Fetal Sex (Male, Female or Unknown)]]="Male",Backend!$C$6,IF(Table1[[#This Row],[Fetal Sex (Male, Female or Unknown)]]="Female",Backend!$C$7,IF(Table1[[#This Row],[Fetal Sex (Male, Female or Unknown)]]="Unknown",Backend!$C$8,"Error"))),"")</f>
        <v/>
      </c>
      <c r="F8042" s="8" t="str">
        <f>IF(Table1[[#This Row],[Is Data Valid]]=TRUE,EXP(0.578+0.332*((Table1[[#This Row],[Gestation (days)]]+0.5)/7)-0.00354*((Table1[[#This Row],[Gestation (days)]]+0.5)/7)^2)*Table1[[#This Row],[BW40_3705]],"")</f>
        <v/>
      </c>
      <c r="G8042" s="2" t="str">
        <f>IF(Table1[[#This Row],[Is Data Valid]]=TRUE,((Table1[[#This Row],[Birthweight (grams)]]/Table1[[#This Row],[BW_GA]])-1)/(Backend!$B$4/100*Table1[[#This Row],[BW40_3705]]),"")</f>
        <v/>
      </c>
      <c r="H8042" s="7" t="str">
        <f>IF(Table1[[#This Row],[Is Data Valid]]=TRUE,((Table1[[#This Row],[Birthweight (grams)]]*0.9/Table1[[#This Row],[BW_GA]])-1)/(Backend!$B$4/100*Table1[[#This Row],[BW40_3705]]),"")</f>
        <v/>
      </c>
      <c r="I8042" s="7" t="str">
        <f>IF(Table1[[#This Row],[Is Data Valid]]=TRUE,((Table1[[#This Row],[Birthweight (grams)]]*1.1/Table1[[#This Row],[BW_GA]])-1)/(Backend!$B$4/100*Table1[[#This Row],[BW40_3705]]),"")</f>
        <v/>
      </c>
      <c r="J8042" s="7" t="str">
        <f>IF(Table1[[#This Row],[Is Data Valid]]=TRUE,_xlfn.NORM.S.DIST(Table1[[#This Row],[Birthweight Z-Score]],TRUE)*100,"")</f>
        <v/>
      </c>
      <c r="K8042" s="7" t="str">
        <f>IF(Table1[[#This Row],[Is Data Valid]]=TRUE,_xlfn.NORM.S.DIST(Table1[[#This Row],[Birthweight Z-Score (BW-10%)]],TRUE)*100,"")</f>
        <v/>
      </c>
      <c r="L8042" s="7" t="str">
        <f>IF(Table1[[#This Row],[Is Data Valid]]=TRUE,_xlfn.NORM.S.DIST(Table1[[#This Row],[Birthweight Z-Score (BW+10%)]],TRUE)*100,"")</f>
        <v/>
      </c>
    </row>
    <row r="8043" spans="1:12" x14ac:dyDescent="0.35">
      <c r="A8043" s="3"/>
      <c r="B8043" s="2"/>
      <c r="C8043" s="2"/>
      <c r="D8043" s="2" t="b">
        <f>IF(AND(NOT(ISBLANK(Table1[[#This Row],[Fetal Sex (Male, Female or Unknown)]])),ISNUMBER(Table1[[#This Row],[Birthweight (grams)]]),ISNUMBER(Table1[[#This Row],[Gestation (days)]])),TRUE,FALSE)</f>
        <v>0</v>
      </c>
      <c r="E8043" s="2" t="str">
        <f>IF(Table1[[#This Row],[Is Data Valid]]=TRUE,IF(Table1[[#This Row],[Fetal Sex (Male, Female or Unknown)]]="Male",Backend!$C$6,IF(Table1[[#This Row],[Fetal Sex (Male, Female or Unknown)]]="Female",Backend!$C$7,IF(Table1[[#This Row],[Fetal Sex (Male, Female or Unknown)]]="Unknown",Backend!$C$8,"Error"))),"")</f>
        <v/>
      </c>
      <c r="F8043" s="8" t="str">
        <f>IF(Table1[[#This Row],[Is Data Valid]]=TRUE,EXP(0.578+0.332*((Table1[[#This Row],[Gestation (days)]]+0.5)/7)-0.00354*((Table1[[#This Row],[Gestation (days)]]+0.5)/7)^2)*Table1[[#This Row],[BW40_3705]],"")</f>
        <v/>
      </c>
      <c r="G8043" s="2" t="str">
        <f>IF(Table1[[#This Row],[Is Data Valid]]=TRUE,((Table1[[#This Row],[Birthweight (grams)]]/Table1[[#This Row],[BW_GA]])-1)/(Backend!$B$4/100*Table1[[#This Row],[BW40_3705]]),"")</f>
        <v/>
      </c>
      <c r="H8043" s="7" t="str">
        <f>IF(Table1[[#This Row],[Is Data Valid]]=TRUE,((Table1[[#This Row],[Birthweight (grams)]]*0.9/Table1[[#This Row],[BW_GA]])-1)/(Backend!$B$4/100*Table1[[#This Row],[BW40_3705]]),"")</f>
        <v/>
      </c>
      <c r="I8043" s="7" t="str">
        <f>IF(Table1[[#This Row],[Is Data Valid]]=TRUE,((Table1[[#This Row],[Birthweight (grams)]]*1.1/Table1[[#This Row],[BW_GA]])-1)/(Backend!$B$4/100*Table1[[#This Row],[BW40_3705]]),"")</f>
        <v/>
      </c>
      <c r="J8043" s="7" t="str">
        <f>IF(Table1[[#This Row],[Is Data Valid]]=TRUE,_xlfn.NORM.S.DIST(Table1[[#This Row],[Birthweight Z-Score]],TRUE)*100,"")</f>
        <v/>
      </c>
      <c r="K8043" s="7" t="str">
        <f>IF(Table1[[#This Row],[Is Data Valid]]=TRUE,_xlfn.NORM.S.DIST(Table1[[#This Row],[Birthweight Z-Score (BW-10%)]],TRUE)*100,"")</f>
        <v/>
      </c>
      <c r="L8043" s="7" t="str">
        <f>IF(Table1[[#This Row],[Is Data Valid]]=TRUE,_xlfn.NORM.S.DIST(Table1[[#This Row],[Birthweight Z-Score (BW+10%)]],TRUE)*100,"")</f>
        <v/>
      </c>
    </row>
    <row r="8044" spans="1:12" x14ac:dyDescent="0.35">
      <c r="A8044" s="3"/>
      <c r="B8044" s="2"/>
      <c r="C8044" s="2"/>
      <c r="D8044" s="2" t="b">
        <f>IF(AND(NOT(ISBLANK(Table1[[#This Row],[Fetal Sex (Male, Female or Unknown)]])),ISNUMBER(Table1[[#This Row],[Birthweight (grams)]]),ISNUMBER(Table1[[#This Row],[Gestation (days)]])),TRUE,FALSE)</f>
        <v>0</v>
      </c>
      <c r="E8044" s="2" t="str">
        <f>IF(Table1[[#This Row],[Is Data Valid]]=TRUE,IF(Table1[[#This Row],[Fetal Sex (Male, Female or Unknown)]]="Male",Backend!$C$6,IF(Table1[[#This Row],[Fetal Sex (Male, Female or Unknown)]]="Female",Backend!$C$7,IF(Table1[[#This Row],[Fetal Sex (Male, Female or Unknown)]]="Unknown",Backend!$C$8,"Error"))),"")</f>
        <v/>
      </c>
      <c r="F8044" s="8" t="str">
        <f>IF(Table1[[#This Row],[Is Data Valid]]=TRUE,EXP(0.578+0.332*((Table1[[#This Row],[Gestation (days)]]+0.5)/7)-0.00354*((Table1[[#This Row],[Gestation (days)]]+0.5)/7)^2)*Table1[[#This Row],[BW40_3705]],"")</f>
        <v/>
      </c>
      <c r="G8044" s="2" t="str">
        <f>IF(Table1[[#This Row],[Is Data Valid]]=TRUE,((Table1[[#This Row],[Birthweight (grams)]]/Table1[[#This Row],[BW_GA]])-1)/(Backend!$B$4/100*Table1[[#This Row],[BW40_3705]]),"")</f>
        <v/>
      </c>
      <c r="H8044" s="7" t="str">
        <f>IF(Table1[[#This Row],[Is Data Valid]]=TRUE,((Table1[[#This Row],[Birthweight (grams)]]*0.9/Table1[[#This Row],[BW_GA]])-1)/(Backend!$B$4/100*Table1[[#This Row],[BW40_3705]]),"")</f>
        <v/>
      </c>
      <c r="I8044" s="7" t="str">
        <f>IF(Table1[[#This Row],[Is Data Valid]]=TRUE,((Table1[[#This Row],[Birthweight (grams)]]*1.1/Table1[[#This Row],[BW_GA]])-1)/(Backend!$B$4/100*Table1[[#This Row],[BW40_3705]]),"")</f>
        <v/>
      </c>
      <c r="J8044" s="7" t="str">
        <f>IF(Table1[[#This Row],[Is Data Valid]]=TRUE,_xlfn.NORM.S.DIST(Table1[[#This Row],[Birthweight Z-Score]],TRUE)*100,"")</f>
        <v/>
      </c>
      <c r="K8044" s="7" t="str">
        <f>IF(Table1[[#This Row],[Is Data Valid]]=TRUE,_xlfn.NORM.S.DIST(Table1[[#This Row],[Birthweight Z-Score (BW-10%)]],TRUE)*100,"")</f>
        <v/>
      </c>
      <c r="L8044" s="7" t="str">
        <f>IF(Table1[[#This Row],[Is Data Valid]]=TRUE,_xlfn.NORM.S.DIST(Table1[[#This Row],[Birthweight Z-Score (BW+10%)]],TRUE)*100,"")</f>
        <v/>
      </c>
    </row>
    <row r="8045" spans="1:12" x14ac:dyDescent="0.35">
      <c r="A8045" s="3"/>
      <c r="B8045" s="2"/>
      <c r="C8045" s="2"/>
      <c r="D8045" s="2" t="b">
        <f>IF(AND(NOT(ISBLANK(Table1[[#This Row],[Fetal Sex (Male, Female or Unknown)]])),ISNUMBER(Table1[[#This Row],[Birthweight (grams)]]),ISNUMBER(Table1[[#This Row],[Gestation (days)]])),TRUE,FALSE)</f>
        <v>0</v>
      </c>
      <c r="E8045" s="2" t="str">
        <f>IF(Table1[[#This Row],[Is Data Valid]]=TRUE,IF(Table1[[#This Row],[Fetal Sex (Male, Female or Unknown)]]="Male",Backend!$C$6,IF(Table1[[#This Row],[Fetal Sex (Male, Female or Unknown)]]="Female",Backend!$C$7,IF(Table1[[#This Row],[Fetal Sex (Male, Female or Unknown)]]="Unknown",Backend!$C$8,"Error"))),"")</f>
        <v/>
      </c>
      <c r="F8045" s="8" t="str">
        <f>IF(Table1[[#This Row],[Is Data Valid]]=TRUE,EXP(0.578+0.332*((Table1[[#This Row],[Gestation (days)]]+0.5)/7)-0.00354*((Table1[[#This Row],[Gestation (days)]]+0.5)/7)^2)*Table1[[#This Row],[BW40_3705]],"")</f>
        <v/>
      </c>
      <c r="G8045" s="2" t="str">
        <f>IF(Table1[[#This Row],[Is Data Valid]]=TRUE,((Table1[[#This Row],[Birthweight (grams)]]/Table1[[#This Row],[BW_GA]])-1)/(Backend!$B$4/100*Table1[[#This Row],[BW40_3705]]),"")</f>
        <v/>
      </c>
      <c r="H8045" s="7" t="str">
        <f>IF(Table1[[#This Row],[Is Data Valid]]=TRUE,((Table1[[#This Row],[Birthweight (grams)]]*0.9/Table1[[#This Row],[BW_GA]])-1)/(Backend!$B$4/100*Table1[[#This Row],[BW40_3705]]),"")</f>
        <v/>
      </c>
      <c r="I8045" s="7" t="str">
        <f>IF(Table1[[#This Row],[Is Data Valid]]=TRUE,((Table1[[#This Row],[Birthweight (grams)]]*1.1/Table1[[#This Row],[BW_GA]])-1)/(Backend!$B$4/100*Table1[[#This Row],[BW40_3705]]),"")</f>
        <v/>
      </c>
      <c r="J8045" s="7" t="str">
        <f>IF(Table1[[#This Row],[Is Data Valid]]=TRUE,_xlfn.NORM.S.DIST(Table1[[#This Row],[Birthweight Z-Score]],TRUE)*100,"")</f>
        <v/>
      </c>
      <c r="K8045" s="7" t="str">
        <f>IF(Table1[[#This Row],[Is Data Valid]]=TRUE,_xlfn.NORM.S.DIST(Table1[[#This Row],[Birthweight Z-Score (BW-10%)]],TRUE)*100,"")</f>
        <v/>
      </c>
      <c r="L8045" s="7" t="str">
        <f>IF(Table1[[#This Row],[Is Data Valid]]=TRUE,_xlfn.NORM.S.DIST(Table1[[#This Row],[Birthweight Z-Score (BW+10%)]],TRUE)*100,"")</f>
        <v/>
      </c>
    </row>
    <row r="8046" spans="1:12" x14ac:dyDescent="0.35">
      <c r="A8046" s="3"/>
      <c r="B8046" s="2"/>
      <c r="C8046" s="2"/>
      <c r="D8046" s="2" t="b">
        <f>IF(AND(NOT(ISBLANK(Table1[[#This Row],[Fetal Sex (Male, Female or Unknown)]])),ISNUMBER(Table1[[#This Row],[Birthweight (grams)]]),ISNUMBER(Table1[[#This Row],[Gestation (days)]])),TRUE,FALSE)</f>
        <v>0</v>
      </c>
      <c r="E8046" s="2" t="str">
        <f>IF(Table1[[#This Row],[Is Data Valid]]=TRUE,IF(Table1[[#This Row],[Fetal Sex (Male, Female or Unknown)]]="Male",Backend!$C$6,IF(Table1[[#This Row],[Fetal Sex (Male, Female or Unknown)]]="Female",Backend!$C$7,IF(Table1[[#This Row],[Fetal Sex (Male, Female or Unknown)]]="Unknown",Backend!$C$8,"Error"))),"")</f>
        <v/>
      </c>
      <c r="F8046" s="8" t="str">
        <f>IF(Table1[[#This Row],[Is Data Valid]]=TRUE,EXP(0.578+0.332*((Table1[[#This Row],[Gestation (days)]]+0.5)/7)-0.00354*((Table1[[#This Row],[Gestation (days)]]+0.5)/7)^2)*Table1[[#This Row],[BW40_3705]],"")</f>
        <v/>
      </c>
      <c r="G8046" s="2" t="str">
        <f>IF(Table1[[#This Row],[Is Data Valid]]=TRUE,((Table1[[#This Row],[Birthweight (grams)]]/Table1[[#This Row],[BW_GA]])-1)/(Backend!$B$4/100*Table1[[#This Row],[BW40_3705]]),"")</f>
        <v/>
      </c>
      <c r="H8046" s="7" t="str">
        <f>IF(Table1[[#This Row],[Is Data Valid]]=TRUE,((Table1[[#This Row],[Birthweight (grams)]]*0.9/Table1[[#This Row],[BW_GA]])-1)/(Backend!$B$4/100*Table1[[#This Row],[BW40_3705]]),"")</f>
        <v/>
      </c>
      <c r="I8046" s="7" t="str">
        <f>IF(Table1[[#This Row],[Is Data Valid]]=TRUE,((Table1[[#This Row],[Birthweight (grams)]]*1.1/Table1[[#This Row],[BW_GA]])-1)/(Backend!$B$4/100*Table1[[#This Row],[BW40_3705]]),"")</f>
        <v/>
      </c>
      <c r="J8046" s="7" t="str">
        <f>IF(Table1[[#This Row],[Is Data Valid]]=TRUE,_xlfn.NORM.S.DIST(Table1[[#This Row],[Birthweight Z-Score]],TRUE)*100,"")</f>
        <v/>
      </c>
      <c r="K8046" s="7" t="str">
        <f>IF(Table1[[#This Row],[Is Data Valid]]=TRUE,_xlfn.NORM.S.DIST(Table1[[#This Row],[Birthweight Z-Score (BW-10%)]],TRUE)*100,"")</f>
        <v/>
      </c>
      <c r="L8046" s="7" t="str">
        <f>IF(Table1[[#This Row],[Is Data Valid]]=TRUE,_xlfn.NORM.S.DIST(Table1[[#This Row],[Birthweight Z-Score (BW+10%)]],TRUE)*100,"")</f>
        <v/>
      </c>
    </row>
    <row r="8047" spans="1:12" x14ac:dyDescent="0.35">
      <c r="A8047" s="3"/>
      <c r="B8047" s="2"/>
      <c r="C8047" s="2"/>
      <c r="D8047" s="2" t="b">
        <f>IF(AND(NOT(ISBLANK(Table1[[#This Row],[Fetal Sex (Male, Female or Unknown)]])),ISNUMBER(Table1[[#This Row],[Birthweight (grams)]]),ISNUMBER(Table1[[#This Row],[Gestation (days)]])),TRUE,FALSE)</f>
        <v>0</v>
      </c>
      <c r="E8047" s="2" t="str">
        <f>IF(Table1[[#This Row],[Is Data Valid]]=TRUE,IF(Table1[[#This Row],[Fetal Sex (Male, Female or Unknown)]]="Male",Backend!$C$6,IF(Table1[[#This Row],[Fetal Sex (Male, Female or Unknown)]]="Female",Backend!$C$7,IF(Table1[[#This Row],[Fetal Sex (Male, Female or Unknown)]]="Unknown",Backend!$C$8,"Error"))),"")</f>
        <v/>
      </c>
      <c r="F8047" s="8" t="str">
        <f>IF(Table1[[#This Row],[Is Data Valid]]=TRUE,EXP(0.578+0.332*((Table1[[#This Row],[Gestation (days)]]+0.5)/7)-0.00354*((Table1[[#This Row],[Gestation (days)]]+0.5)/7)^2)*Table1[[#This Row],[BW40_3705]],"")</f>
        <v/>
      </c>
      <c r="G8047" s="2" t="str">
        <f>IF(Table1[[#This Row],[Is Data Valid]]=TRUE,((Table1[[#This Row],[Birthweight (grams)]]/Table1[[#This Row],[BW_GA]])-1)/(Backend!$B$4/100*Table1[[#This Row],[BW40_3705]]),"")</f>
        <v/>
      </c>
      <c r="H8047" s="7" t="str">
        <f>IF(Table1[[#This Row],[Is Data Valid]]=TRUE,((Table1[[#This Row],[Birthweight (grams)]]*0.9/Table1[[#This Row],[BW_GA]])-1)/(Backend!$B$4/100*Table1[[#This Row],[BW40_3705]]),"")</f>
        <v/>
      </c>
      <c r="I8047" s="7" t="str">
        <f>IF(Table1[[#This Row],[Is Data Valid]]=TRUE,((Table1[[#This Row],[Birthweight (grams)]]*1.1/Table1[[#This Row],[BW_GA]])-1)/(Backend!$B$4/100*Table1[[#This Row],[BW40_3705]]),"")</f>
        <v/>
      </c>
      <c r="J8047" s="7" t="str">
        <f>IF(Table1[[#This Row],[Is Data Valid]]=TRUE,_xlfn.NORM.S.DIST(Table1[[#This Row],[Birthweight Z-Score]],TRUE)*100,"")</f>
        <v/>
      </c>
      <c r="K8047" s="7" t="str">
        <f>IF(Table1[[#This Row],[Is Data Valid]]=TRUE,_xlfn.NORM.S.DIST(Table1[[#This Row],[Birthweight Z-Score (BW-10%)]],TRUE)*100,"")</f>
        <v/>
      </c>
      <c r="L8047" s="7" t="str">
        <f>IF(Table1[[#This Row],[Is Data Valid]]=TRUE,_xlfn.NORM.S.DIST(Table1[[#This Row],[Birthweight Z-Score (BW+10%)]],TRUE)*100,"")</f>
        <v/>
      </c>
    </row>
    <row r="8048" spans="1:12" x14ac:dyDescent="0.35">
      <c r="A8048" s="3"/>
      <c r="B8048" s="2"/>
      <c r="C8048" s="2"/>
      <c r="D8048" s="2" t="b">
        <f>IF(AND(NOT(ISBLANK(Table1[[#This Row],[Fetal Sex (Male, Female or Unknown)]])),ISNUMBER(Table1[[#This Row],[Birthweight (grams)]]),ISNUMBER(Table1[[#This Row],[Gestation (days)]])),TRUE,FALSE)</f>
        <v>0</v>
      </c>
      <c r="E8048" s="2" t="str">
        <f>IF(Table1[[#This Row],[Is Data Valid]]=TRUE,IF(Table1[[#This Row],[Fetal Sex (Male, Female or Unknown)]]="Male",Backend!$C$6,IF(Table1[[#This Row],[Fetal Sex (Male, Female or Unknown)]]="Female",Backend!$C$7,IF(Table1[[#This Row],[Fetal Sex (Male, Female or Unknown)]]="Unknown",Backend!$C$8,"Error"))),"")</f>
        <v/>
      </c>
      <c r="F8048" s="8" t="str">
        <f>IF(Table1[[#This Row],[Is Data Valid]]=TRUE,EXP(0.578+0.332*((Table1[[#This Row],[Gestation (days)]]+0.5)/7)-0.00354*((Table1[[#This Row],[Gestation (days)]]+0.5)/7)^2)*Table1[[#This Row],[BW40_3705]],"")</f>
        <v/>
      </c>
      <c r="G8048" s="2" t="str">
        <f>IF(Table1[[#This Row],[Is Data Valid]]=TRUE,((Table1[[#This Row],[Birthweight (grams)]]/Table1[[#This Row],[BW_GA]])-1)/(Backend!$B$4/100*Table1[[#This Row],[BW40_3705]]),"")</f>
        <v/>
      </c>
      <c r="H8048" s="7" t="str">
        <f>IF(Table1[[#This Row],[Is Data Valid]]=TRUE,((Table1[[#This Row],[Birthweight (grams)]]*0.9/Table1[[#This Row],[BW_GA]])-1)/(Backend!$B$4/100*Table1[[#This Row],[BW40_3705]]),"")</f>
        <v/>
      </c>
      <c r="I8048" s="7" t="str">
        <f>IF(Table1[[#This Row],[Is Data Valid]]=TRUE,((Table1[[#This Row],[Birthweight (grams)]]*1.1/Table1[[#This Row],[BW_GA]])-1)/(Backend!$B$4/100*Table1[[#This Row],[BW40_3705]]),"")</f>
        <v/>
      </c>
      <c r="J8048" s="7" t="str">
        <f>IF(Table1[[#This Row],[Is Data Valid]]=TRUE,_xlfn.NORM.S.DIST(Table1[[#This Row],[Birthweight Z-Score]],TRUE)*100,"")</f>
        <v/>
      </c>
      <c r="K8048" s="7" t="str">
        <f>IF(Table1[[#This Row],[Is Data Valid]]=TRUE,_xlfn.NORM.S.DIST(Table1[[#This Row],[Birthweight Z-Score (BW-10%)]],TRUE)*100,"")</f>
        <v/>
      </c>
      <c r="L8048" s="7" t="str">
        <f>IF(Table1[[#This Row],[Is Data Valid]]=TRUE,_xlfn.NORM.S.DIST(Table1[[#This Row],[Birthweight Z-Score (BW+10%)]],TRUE)*100,"")</f>
        <v/>
      </c>
    </row>
    <row r="8049" spans="1:12" x14ac:dyDescent="0.35">
      <c r="A8049" s="3"/>
      <c r="B8049" s="2"/>
      <c r="C8049" s="2"/>
      <c r="D8049" s="2" t="b">
        <f>IF(AND(NOT(ISBLANK(Table1[[#This Row],[Fetal Sex (Male, Female or Unknown)]])),ISNUMBER(Table1[[#This Row],[Birthweight (grams)]]),ISNUMBER(Table1[[#This Row],[Gestation (days)]])),TRUE,FALSE)</f>
        <v>0</v>
      </c>
      <c r="E8049" s="2" t="str">
        <f>IF(Table1[[#This Row],[Is Data Valid]]=TRUE,IF(Table1[[#This Row],[Fetal Sex (Male, Female or Unknown)]]="Male",Backend!$C$6,IF(Table1[[#This Row],[Fetal Sex (Male, Female or Unknown)]]="Female",Backend!$C$7,IF(Table1[[#This Row],[Fetal Sex (Male, Female or Unknown)]]="Unknown",Backend!$C$8,"Error"))),"")</f>
        <v/>
      </c>
      <c r="F8049" s="8" t="str">
        <f>IF(Table1[[#This Row],[Is Data Valid]]=TRUE,EXP(0.578+0.332*((Table1[[#This Row],[Gestation (days)]]+0.5)/7)-0.00354*((Table1[[#This Row],[Gestation (days)]]+0.5)/7)^2)*Table1[[#This Row],[BW40_3705]],"")</f>
        <v/>
      </c>
      <c r="G8049" s="2" t="str">
        <f>IF(Table1[[#This Row],[Is Data Valid]]=TRUE,((Table1[[#This Row],[Birthweight (grams)]]/Table1[[#This Row],[BW_GA]])-1)/(Backend!$B$4/100*Table1[[#This Row],[BW40_3705]]),"")</f>
        <v/>
      </c>
      <c r="H8049" s="7" t="str">
        <f>IF(Table1[[#This Row],[Is Data Valid]]=TRUE,((Table1[[#This Row],[Birthweight (grams)]]*0.9/Table1[[#This Row],[BW_GA]])-1)/(Backend!$B$4/100*Table1[[#This Row],[BW40_3705]]),"")</f>
        <v/>
      </c>
      <c r="I8049" s="7" t="str">
        <f>IF(Table1[[#This Row],[Is Data Valid]]=TRUE,((Table1[[#This Row],[Birthweight (grams)]]*1.1/Table1[[#This Row],[BW_GA]])-1)/(Backend!$B$4/100*Table1[[#This Row],[BW40_3705]]),"")</f>
        <v/>
      </c>
      <c r="J8049" s="7" t="str">
        <f>IF(Table1[[#This Row],[Is Data Valid]]=TRUE,_xlfn.NORM.S.DIST(Table1[[#This Row],[Birthweight Z-Score]],TRUE)*100,"")</f>
        <v/>
      </c>
      <c r="K8049" s="7" t="str">
        <f>IF(Table1[[#This Row],[Is Data Valid]]=TRUE,_xlfn.NORM.S.DIST(Table1[[#This Row],[Birthweight Z-Score (BW-10%)]],TRUE)*100,"")</f>
        <v/>
      </c>
      <c r="L8049" s="7" t="str">
        <f>IF(Table1[[#This Row],[Is Data Valid]]=TRUE,_xlfn.NORM.S.DIST(Table1[[#This Row],[Birthweight Z-Score (BW+10%)]],TRUE)*100,"")</f>
        <v/>
      </c>
    </row>
    <row r="8050" spans="1:12" x14ac:dyDescent="0.35">
      <c r="A8050" s="3"/>
      <c r="B8050" s="2"/>
      <c r="C8050" s="2"/>
      <c r="D8050" s="2" t="b">
        <f>IF(AND(NOT(ISBLANK(Table1[[#This Row],[Fetal Sex (Male, Female or Unknown)]])),ISNUMBER(Table1[[#This Row],[Birthweight (grams)]]),ISNUMBER(Table1[[#This Row],[Gestation (days)]])),TRUE,FALSE)</f>
        <v>0</v>
      </c>
      <c r="E8050" s="2" t="str">
        <f>IF(Table1[[#This Row],[Is Data Valid]]=TRUE,IF(Table1[[#This Row],[Fetal Sex (Male, Female or Unknown)]]="Male",Backend!$C$6,IF(Table1[[#This Row],[Fetal Sex (Male, Female or Unknown)]]="Female",Backend!$C$7,IF(Table1[[#This Row],[Fetal Sex (Male, Female or Unknown)]]="Unknown",Backend!$C$8,"Error"))),"")</f>
        <v/>
      </c>
      <c r="F8050" s="8" t="str">
        <f>IF(Table1[[#This Row],[Is Data Valid]]=TRUE,EXP(0.578+0.332*((Table1[[#This Row],[Gestation (days)]]+0.5)/7)-0.00354*((Table1[[#This Row],[Gestation (days)]]+0.5)/7)^2)*Table1[[#This Row],[BW40_3705]],"")</f>
        <v/>
      </c>
      <c r="G8050" s="2" t="str">
        <f>IF(Table1[[#This Row],[Is Data Valid]]=TRUE,((Table1[[#This Row],[Birthweight (grams)]]/Table1[[#This Row],[BW_GA]])-1)/(Backend!$B$4/100*Table1[[#This Row],[BW40_3705]]),"")</f>
        <v/>
      </c>
      <c r="H8050" s="7" t="str">
        <f>IF(Table1[[#This Row],[Is Data Valid]]=TRUE,((Table1[[#This Row],[Birthweight (grams)]]*0.9/Table1[[#This Row],[BW_GA]])-1)/(Backend!$B$4/100*Table1[[#This Row],[BW40_3705]]),"")</f>
        <v/>
      </c>
      <c r="I8050" s="7" t="str">
        <f>IF(Table1[[#This Row],[Is Data Valid]]=TRUE,((Table1[[#This Row],[Birthweight (grams)]]*1.1/Table1[[#This Row],[BW_GA]])-1)/(Backend!$B$4/100*Table1[[#This Row],[BW40_3705]]),"")</f>
        <v/>
      </c>
      <c r="J8050" s="7" t="str">
        <f>IF(Table1[[#This Row],[Is Data Valid]]=TRUE,_xlfn.NORM.S.DIST(Table1[[#This Row],[Birthweight Z-Score]],TRUE)*100,"")</f>
        <v/>
      </c>
      <c r="K8050" s="7" t="str">
        <f>IF(Table1[[#This Row],[Is Data Valid]]=TRUE,_xlfn.NORM.S.DIST(Table1[[#This Row],[Birthweight Z-Score (BW-10%)]],TRUE)*100,"")</f>
        <v/>
      </c>
      <c r="L8050" s="7" t="str">
        <f>IF(Table1[[#This Row],[Is Data Valid]]=TRUE,_xlfn.NORM.S.DIST(Table1[[#This Row],[Birthweight Z-Score (BW+10%)]],TRUE)*100,"")</f>
        <v/>
      </c>
    </row>
    <row r="8051" spans="1:12" x14ac:dyDescent="0.35">
      <c r="A8051" s="3"/>
      <c r="B8051" s="2"/>
      <c r="C8051" s="2"/>
      <c r="D8051" s="2" t="b">
        <f>IF(AND(NOT(ISBLANK(Table1[[#This Row],[Fetal Sex (Male, Female or Unknown)]])),ISNUMBER(Table1[[#This Row],[Birthweight (grams)]]),ISNUMBER(Table1[[#This Row],[Gestation (days)]])),TRUE,FALSE)</f>
        <v>0</v>
      </c>
      <c r="E8051" s="2" t="str">
        <f>IF(Table1[[#This Row],[Is Data Valid]]=TRUE,IF(Table1[[#This Row],[Fetal Sex (Male, Female or Unknown)]]="Male",Backend!$C$6,IF(Table1[[#This Row],[Fetal Sex (Male, Female or Unknown)]]="Female",Backend!$C$7,IF(Table1[[#This Row],[Fetal Sex (Male, Female or Unknown)]]="Unknown",Backend!$C$8,"Error"))),"")</f>
        <v/>
      </c>
      <c r="F8051" s="8" t="str">
        <f>IF(Table1[[#This Row],[Is Data Valid]]=TRUE,EXP(0.578+0.332*((Table1[[#This Row],[Gestation (days)]]+0.5)/7)-0.00354*((Table1[[#This Row],[Gestation (days)]]+0.5)/7)^2)*Table1[[#This Row],[BW40_3705]],"")</f>
        <v/>
      </c>
      <c r="G8051" s="2" t="str">
        <f>IF(Table1[[#This Row],[Is Data Valid]]=TRUE,((Table1[[#This Row],[Birthweight (grams)]]/Table1[[#This Row],[BW_GA]])-1)/(Backend!$B$4/100*Table1[[#This Row],[BW40_3705]]),"")</f>
        <v/>
      </c>
      <c r="H8051" s="7" t="str">
        <f>IF(Table1[[#This Row],[Is Data Valid]]=TRUE,((Table1[[#This Row],[Birthweight (grams)]]*0.9/Table1[[#This Row],[BW_GA]])-1)/(Backend!$B$4/100*Table1[[#This Row],[BW40_3705]]),"")</f>
        <v/>
      </c>
      <c r="I8051" s="7" t="str">
        <f>IF(Table1[[#This Row],[Is Data Valid]]=TRUE,((Table1[[#This Row],[Birthweight (grams)]]*1.1/Table1[[#This Row],[BW_GA]])-1)/(Backend!$B$4/100*Table1[[#This Row],[BW40_3705]]),"")</f>
        <v/>
      </c>
      <c r="J8051" s="7" t="str">
        <f>IF(Table1[[#This Row],[Is Data Valid]]=TRUE,_xlfn.NORM.S.DIST(Table1[[#This Row],[Birthweight Z-Score]],TRUE)*100,"")</f>
        <v/>
      </c>
      <c r="K8051" s="7" t="str">
        <f>IF(Table1[[#This Row],[Is Data Valid]]=TRUE,_xlfn.NORM.S.DIST(Table1[[#This Row],[Birthweight Z-Score (BW-10%)]],TRUE)*100,"")</f>
        <v/>
      </c>
      <c r="L8051" s="7" t="str">
        <f>IF(Table1[[#This Row],[Is Data Valid]]=TRUE,_xlfn.NORM.S.DIST(Table1[[#This Row],[Birthweight Z-Score (BW+10%)]],TRUE)*100,"")</f>
        <v/>
      </c>
    </row>
    <row r="8052" spans="1:12" x14ac:dyDescent="0.35">
      <c r="A8052" s="3"/>
      <c r="B8052" s="2"/>
      <c r="C8052" s="2"/>
      <c r="D8052" s="2" t="b">
        <f>IF(AND(NOT(ISBLANK(Table1[[#This Row],[Fetal Sex (Male, Female or Unknown)]])),ISNUMBER(Table1[[#This Row],[Birthweight (grams)]]),ISNUMBER(Table1[[#This Row],[Gestation (days)]])),TRUE,FALSE)</f>
        <v>0</v>
      </c>
      <c r="E8052" s="2" t="str">
        <f>IF(Table1[[#This Row],[Is Data Valid]]=TRUE,IF(Table1[[#This Row],[Fetal Sex (Male, Female or Unknown)]]="Male",Backend!$C$6,IF(Table1[[#This Row],[Fetal Sex (Male, Female or Unknown)]]="Female",Backend!$C$7,IF(Table1[[#This Row],[Fetal Sex (Male, Female or Unknown)]]="Unknown",Backend!$C$8,"Error"))),"")</f>
        <v/>
      </c>
      <c r="F8052" s="8" t="str">
        <f>IF(Table1[[#This Row],[Is Data Valid]]=TRUE,EXP(0.578+0.332*((Table1[[#This Row],[Gestation (days)]]+0.5)/7)-0.00354*((Table1[[#This Row],[Gestation (days)]]+0.5)/7)^2)*Table1[[#This Row],[BW40_3705]],"")</f>
        <v/>
      </c>
      <c r="G8052" s="2" t="str">
        <f>IF(Table1[[#This Row],[Is Data Valid]]=TRUE,((Table1[[#This Row],[Birthweight (grams)]]/Table1[[#This Row],[BW_GA]])-1)/(Backend!$B$4/100*Table1[[#This Row],[BW40_3705]]),"")</f>
        <v/>
      </c>
      <c r="H8052" s="7" t="str">
        <f>IF(Table1[[#This Row],[Is Data Valid]]=TRUE,((Table1[[#This Row],[Birthweight (grams)]]*0.9/Table1[[#This Row],[BW_GA]])-1)/(Backend!$B$4/100*Table1[[#This Row],[BW40_3705]]),"")</f>
        <v/>
      </c>
      <c r="I8052" s="7" t="str">
        <f>IF(Table1[[#This Row],[Is Data Valid]]=TRUE,((Table1[[#This Row],[Birthweight (grams)]]*1.1/Table1[[#This Row],[BW_GA]])-1)/(Backend!$B$4/100*Table1[[#This Row],[BW40_3705]]),"")</f>
        <v/>
      </c>
      <c r="J8052" s="7" t="str">
        <f>IF(Table1[[#This Row],[Is Data Valid]]=TRUE,_xlfn.NORM.S.DIST(Table1[[#This Row],[Birthweight Z-Score]],TRUE)*100,"")</f>
        <v/>
      </c>
      <c r="K8052" s="7" t="str">
        <f>IF(Table1[[#This Row],[Is Data Valid]]=TRUE,_xlfn.NORM.S.DIST(Table1[[#This Row],[Birthweight Z-Score (BW-10%)]],TRUE)*100,"")</f>
        <v/>
      </c>
      <c r="L8052" s="7" t="str">
        <f>IF(Table1[[#This Row],[Is Data Valid]]=TRUE,_xlfn.NORM.S.DIST(Table1[[#This Row],[Birthweight Z-Score (BW+10%)]],TRUE)*100,"")</f>
        <v/>
      </c>
    </row>
    <row r="8053" spans="1:12" x14ac:dyDescent="0.35">
      <c r="A8053" s="3"/>
      <c r="B8053" s="2"/>
      <c r="C8053" s="2"/>
      <c r="D8053" s="2" t="b">
        <f>IF(AND(NOT(ISBLANK(Table1[[#This Row],[Fetal Sex (Male, Female or Unknown)]])),ISNUMBER(Table1[[#This Row],[Birthweight (grams)]]),ISNUMBER(Table1[[#This Row],[Gestation (days)]])),TRUE,FALSE)</f>
        <v>0</v>
      </c>
      <c r="E8053" s="2" t="str">
        <f>IF(Table1[[#This Row],[Is Data Valid]]=TRUE,IF(Table1[[#This Row],[Fetal Sex (Male, Female or Unknown)]]="Male",Backend!$C$6,IF(Table1[[#This Row],[Fetal Sex (Male, Female or Unknown)]]="Female",Backend!$C$7,IF(Table1[[#This Row],[Fetal Sex (Male, Female or Unknown)]]="Unknown",Backend!$C$8,"Error"))),"")</f>
        <v/>
      </c>
      <c r="F8053" s="8" t="str">
        <f>IF(Table1[[#This Row],[Is Data Valid]]=TRUE,EXP(0.578+0.332*((Table1[[#This Row],[Gestation (days)]]+0.5)/7)-0.00354*((Table1[[#This Row],[Gestation (days)]]+0.5)/7)^2)*Table1[[#This Row],[BW40_3705]],"")</f>
        <v/>
      </c>
      <c r="G8053" s="2" t="str">
        <f>IF(Table1[[#This Row],[Is Data Valid]]=TRUE,((Table1[[#This Row],[Birthweight (grams)]]/Table1[[#This Row],[BW_GA]])-1)/(Backend!$B$4/100*Table1[[#This Row],[BW40_3705]]),"")</f>
        <v/>
      </c>
      <c r="H8053" s="7" t="str">
        <f>IF(Table1[[#This Row],[Is Data Valid]]=TRUE,((Table1[[#This Row],[Birthweight (grams)]]*0.9/Table1[[#This Row],[BW_GA]])-1)/(Backend!$B$4/100*Table1[[#This Row],[BW40_3705]]),"")</f>
        <v/>
      </c>
      <c r="I8053" s="7" t="str">
        <f>IF(Table1[[#This Row],[Is Data Valid]]=TRUE,((Table1[[#This Row],[Birthweight (grams)]]*1.1/Table1[[#This Row],[BW_GA]])-1)/(Backend!$B$4/100*Table1[[#This Row],[BW40_3705]]),"")</f>
        <v/>
      </c>
      <c r="J8053" s="7" t="str">
        <f>IF(Table1[[#This Row],[Is Data Valid]]=TRUE,_xlfn.NORM.S.DIST(Table1[[#This Row],[Birthweight Z-Score]],TRUE)*100,"")</f>
        <v/>
      </c>
      <c r="K8053" s="7" t="str">
        <f>IF(Table1[[#This Row],[Is Data Valid]]=TRUE,_xlfn.NORM.S.DIST(Table1[[#This Row],[Birthweight Z-Score (BW-10%)]],TRUE)*100,"")</f>
        <v/>
      </c>
      <c r="L8053" s="7" t="str">
        <f>IF(Table1[[#This Row],[Is Data Valid]]=TRUE,_xlfn.NORM.S.DIST(Table1[[#This Row],[Birthweight Z-Score (BW+10%)]],TRUE)*100,"")</f>
        <v/>
      </c>
    </row>
    <row r="8054" spans="1:12" x14ac:dyDescent="0.35">
      <c r="A8054" s="3"/>
      <c r="B8054" s="2"/>
      <c r="C8054" s="2"/>
      <c r="D8054" s="2" t="b">
        <f>IF(AND(NOT(ISBLANK(Table1[[#This Row],[Fetal Sex (Male, Female or Unknown)]])),ISNUMBER(Table1[[#This Row],[Birthweight (grams)]]),ISNUMBER(Table1[[#This Row],[Gestation (days)]])),TRUE,FALSE)</f>
        <v>0</v>
      </c>
      <c r="E8054" s="2" t="str">
        <f>IF(Table1[[#This Row],[Is Data Valid]]=TRUE,IF(Table1[[#This Row],[Fetal Sex (Male, Female or Unknown)]]="Male",Backend!$C$6,IF(Table1[[#This Row],[Fetal Sex (Male, Female or Unknown)]]="Female",Backend!$C$7,IF(Table1[[#This Row],[Fetal Sex (Male, Female or Unknown)]]="Unknown",Backend!$C$8,"Error"))),"")</f>
        <v/>
      </c>
      <c r="F8054" s="8" t="str">
        <f>IF(Table1[[#This Row],[Is Data Valid]]=TRUE,EXP(0.578+0.332*((Table1[[#This Row],[Gestation (days)]]+0.5)/7)-0.00354*((Table1[[#This Row],[Gestation (days)]]+0.5)/7)^2)*Table1[[#This Row],[BW40_3705]],"")</f>
        <v/>
      </c>
      <c r="G8054" s="2" t="str">
        <f>IF(Table1[[#This Row],[Is Data Valid]]=TRUE,((Table1[[#This Row],[Birthweight (grams)]]/Table1[[#This Row],[BW_GA]])-1)/(Backend!$B$4/100*Table1[[#This Row],[BW40_3705]]),"")</f>
        <v/>
      </c>
      <c r="H8054" s="7" t="str">
        <f>IF(Table1[[#This Row],[Is Data Valid]]=TRUE,((Table1[[#This Row],[Birthweight (grams)]]*0.9/Table1[[#This Row],[BW_GA]])-1)/(Backend!$B$4/100*Table1[[#This Row],[BW40_3705]]),"")</f>
        <v/>
      </c>
      <c r="I8054" s="7" t="str">
        <f>IF(Table1[[#This Row],[Is Data Valid]]=TRUE,((Table1[[#This Row],[Birthweight (grams)]]*1.1/Table1[[#This Row],[BW_GA]])-1)/(Backend!$B$4/100*Table1[[#This Row],[BW40_3705]]),"")</f>
        <v/>
      </c>
      <c r="J8054" s="7" t="str">
        <f>IF(Table1[[#This Row],[Is Data Valid]]=TRUE,_xlfn.NORM.S.DIST(Table1[[#This Row],[Birthweight Z-Score]],TRUE)*100,"")</f>
        <v/>
      </c>
      <c r="K8054" s="7" t="str">
        <f>IF(Table1[[#This Row],[Is Data Valid]]=TRUE,_xlfn.NORM.S.DIST(Table1[[#This Row],[Birthweight Z-Score (BW-10%)]],TRUE)*100,"")</f>
        <v/>
      </c>
      <c r="L8054" s="7" t="str">
        <f>IF(Table1[[#This Row],[Is Data Valid]]=TRUE,_xlfn.NORM.S.DIST(Table1[[#This Row],[Birthweight Z-Score (BW+10%)]],TRUE)*100,"")</f>
        <v/>
      </c>
    </row>
    <row r="8055" spans="1:12" x14ac:dyDescent="0.35">
      <c r="A8055" s="3"/>
      <c r="B8055" s="2"/>
      <c r="C8055" s="2"/>
      <c r="D8055" s="2" t="b">
        <f>IF(AND(NOT(ISBLANK(Table1[[#This Row],[Fetal Sex (Male, Female or Unknown)]])),ISNUMBER(Table1[[#This Row],[Birthweight (grams)]]),ISNUMBER(Table1[[#This Row],[Gestation (days)]])),TRUE,FALSE)</f>
        <v>0</v>
      </c>
      <c r="E8055" s="2" t="str">
        <f>IF(Table1[[#This Row],[Is Data Valid]]=TRUE,IF(Table1[[#This Row],[Fetal Sex (Male, Female or Unknown)]]="Male",Backend!$C$6,IF(Table1[[#This Row],[Fetal Sex (Male, Female or Unknown)]]="Female",Backend!$C$7,IF(Table1[[#This Row],[Fetal Sex (Male, Female or Unknown)]]="Unknown",Backend!$C$8,"Error"))),"")</f>
        <v/>
      </c>
      <c r="F8055" s="8" t="str">
        <f>IF(Table1[[#This Row],[Is Data Valid]]=TRUE,EXP(0.578+0.332*((Table1[[#This Row],[Gestation (days)]]+0.5)/7)-0.00354*((Table1[[#This Row],[Gestation (days)]]+0.5)/7)^2)*Table1[[#This Row],[BW40_3705]],"")</f>
        <v/>
      </c>
      <c r="G8055" s="2" t="str">
        <f>IF(Table1[[#This Row],[Is Data Valid]]=TRUE,((Table1[[#This Row],[Birthweight (grams)]]/Table1[[#This Row],[BW_GA]])-1)/(Backend!$B$4/100*Table1[[#This Row],[BW40_3705]]),"")</f>
        <v/>
      </c>
      <c r="H8055" s="7" t="str">
        <f>IF(Table1[[#This Row],[Is Data Valid]]=TRUE,((Table1[[#This Row],[Birthweight (grams)]]*0.9/Table1[[#This Row],[BW_GA]])-1)/(Backend!$B$4/100*Table1[[#This Row],[BW40_3705]]),"")</f>
        <v/>
      </c>
      <c r="I8055" s="7" t="str">
        <f>IF(Table1[[#This Row],[Is Data Valid]]=TRUE,((Table1[[#This Row],[Birthweight (grams)]]*1.1/Table1[[#This Row],[BW_GA]])-1)/(Backend!$B$4/100*Table1[[#This Row],[BW40_3705]]),"")</f>
        <v/>
      </c>
      <c r="J8055" s="7" t="str">
        <f>IF(Table1[[#This Row],[Is Data Valid]]=TRUE,_xlfn.NORM.S.DIST(Table1[[#This Row],[Birthweight Z-Score]],TRUE)*100,"")</f>
        <v/>
      </c>
      <c r="K8055" s="7" t="str">
        <f>IF(Table1[[#This Row],[Is Data Valid]]=TRUE,_xlfn.NORM.S.DIST(Table1[[#This Row],[Birthweight Z-Score (BW-10%)]],TRUE)*100,"")</f>
        <v/>
      </c>
      <c r="L8055" s="7" t="str">
        <f>IF(Table1[[#This Row],[Is Data Valid]]=TRUE,_xlfn.NORM.S.DIST(Table1[[#This Row],[Birthweight Z-Score (BW+10%)]],TRUE)*100,"")</f>
        <v/>
      </c>
    </row>
    <row r="8056" spans="1:12" x14ac:dyDescent="0.35">
      <c r="A8056" s="3"/>
      <c r="B8056" s="2"/>
      <c r="C8056" s="2"/>
      <c r="D8056" s="2" t="b">
        <f>IF(AND(NOT(ISBLANK(Table1[[#This Row],[Fetal Sex (Male, Female or Unknown)]])),ISNUMBER(Table1[[#This Row],[Birthweight (grams)]]),ISNUMBER(Table1[[#This Row],[Gestation (days)]])),TRUE,FALSE)</f>
        <v>0</v>
      </c>
      <c r="E8056" s="2" t="str">
        <f>IF(Table1[[#This Row],[Is Data Valid]]=TRUE,IF(Table1[[#This Row],[Fetal Sex (Male, Female or Unknown)]]="Male",Backend!$C$6,IF(Table1[[#This Row],[Fetal Sex (Male, Female or Unknown)]]="Female",Backend!$C$7,IF(Table1[[#This Row],[Fetal Sex (Male, Female or Unknown)]]="Unknown",Backend!$C$8,"Error"))),"")</f>
        <v/>
      </c>
      <c r="F8056" s="8" t="str">
        <f>IF(Table1[[#This Row],[Is Data Valid]]=TRUE,EXP(0.578+0.332*((Table1[[#This Row],[Gestation (days)]]+0.5)/7)-0.00354*((Table1[[#This Row],[Gestation (days)]]+0.5)/7)^2)*Table1[[#This Row],[BW40_3705]],"")</f>
        <v/>
      </c>
      <c r="G8056" s="2" t="str">
        <f>IF(Table1[[#This Row],[Is Data Valid]]=TRUE,((Table1[[#This Row],[Birthweight (grams)]]/Table1[[#This Row],[BW_GA]])-1)/(Backend!$B$4/100*Table1[[#This Row],[BW40_3705]]),"")</f>
        <v/>
      </c>
      <c r="H8056" s="7" t="str">
        <f>IF(Table1[[#This Row],[Is Data Valid]]=TRUE,((Table1[[#This Row],[Birthweight (grams)]]*0.9/Table1[[#This Row],[BW_GA]])-1)/(Backend!$B$4/100*Table1[[#This Row],[BW40_3705]]),"")</f>
        <v/>
      </c>
      <c r="I8056" s="7" t="str">
        <f>IF(Table1[[#This Row],[Is Data Valid]]=TRUE,((Table1[[#This Row],[Birthweight (grams)]]*1.1/Table1[[#This Row],[BW_GA]])-1)/(Backend!$B$4/100*Table1[[#This Row],[BW40_3705]]),"")</f>
        <v/>
      </c>
      <c r="J8056" s="7" t="str">
        <f>IF(Table1[[#This Row],[Is Data Valid]]=TRUE,_xlfn.NORM.S.DIST(Table1[[#This Row],[Birthweight Z-Score]],TRUE)*100,"")</f>
        <v/>
      </c>
      <c r="K8056" s="7" t="str">
        <f>IF(Table1[[#This Row],[Is Data Valid]]=TRUE,_xlfn.NORM.S.DIST(Table1[[#This Row],[Birthweight Z-Score (BW-10%)]],TRUE)*100,"")</f>
        <v/>
      </c>
      <c r="L8056" s="7" t="str">
        <f>IF(Table1[[#This Row],[Is Data Valid]]=TRUE,_xlfn.NORM.S.DIST(Table1[[#This Row],[Birthweight Z-Score (BW+10%)]],TRUE)*100,"")</f>
        <v/>
      </c>
    </row>
    <row r="8057" spans="1:12" x14ac:dyDescent="0.35">
      <c r="A8057" s="3"/>
      <c r="B8057" s="2"/>
      <c r="C8057" s="2"/>
      <c r="D8057" s="2" t="b">
        <f>IF(AND(NOT(ISBLANK(Table1[[#This Row],[Fetal Sex (Male, Female or Unknown)]])),ISNUMBER(Table1[[#This Row],[Birthweight (grams)]]),ISNUMBER(Table1[[#This Row],[Gestation (days)]])),TRUE,FALSE)</f>
        <v>0</v>
      </c>
      <c r="E8057" s="2" t="str">
        <f>IF(Table1[[#This Row],[Is Data Valid]]=TRUE,IF(Table1[[#This Row],[Fetal Sex (Male, Female or Unknown)]]="Male",Backend!$C$6,IF(Table1[[#This Row],[Fetal Sex (Male, Female or Unknown)]]="Female",Backend!$C$7,IF(Table1[[#This Row],[Fetal Sex (Male, Female or Unknown)]]="Unknown",Backend!$C$8,"Error"))),"")</f>
        <v/>
      </c>
      <c r="F8057" s="8" t="str">
        <f>IF(Table1[[#This Row],[Is Data Valid]]=TRUE,EXP(0.578+0.332*((Table1[[#This Row],[Gestation (days)]]+0.5)/7)-0.00354*((Table1[[#This Row],[Gestation (days)]]+0.5)/7)^2)*Table1[[#This Row],[BW40_3705]],"")</f>
        <v/>
      </c>
      <c r="G8057" s="2" t="str">
        <f>IF(Table1[[#This Row],[Is Data Valid]]=TRUE,((Table1[[#This Row],[Birthweight (grams)]]/Table1[[#This Row],[BW_GA]])-1)/(Backend!$B$4/100*Table1[[#This Row],[BW40_3705]]),"")</f>
        <v/>
      </c>
      <c r="H8057" s="7" t="str">
        <f>IF(Table1[[#This Row],[Is Data Valid]]=TRUE,((Table1[[#This Row],[Birthweight (grams)]]*0.9/Table1[[#This Row],[BW_GA]])-1)/(Backend!$B$4/100*Table1[[#This Row],[BW40_3705]]),"")</f>
        <v/>
      </c>
      <c r="I8057" s="7" t="str">
        <f>IF(Table1[[#This Row],[Is Data Valid]]=TRUE,((Table1[[#This Row],[Birthweight (grams)]]*1.1/Table1[[#This Row],[BW_GA]])-1)/(Backend!$B$4/100*Table1[[#This Row],[BW40_3705]]),"")</f>
        <v/>
      </c>
      <c r="J8057" s="7" t="str">
        <f>IF(Table1[[#This Row],[Is Data Valid]]=TRUE,_xlfn.NORM.S.DIST(Table1[[#This Row],[Birthweight Z-Score]],TRUE)*100,"")</f>
        <v/>
      </c>
      <c r="K8057" s="7" t="str">
        <f>IF(Table1[[#This Row],[Is Data Valid]]=TRUE,_xlfn.NORM.S.DIST(Table1[[#This Row],[Birthweight Z-Score (BW-10%)]],TRUE)*100,"")</f>
        <v/>
      </c>
      <c r="L8057" s="7" t="str">
        <f>IF(Table1[[#This Row],[Is Data Valid]]=TRUE,_xlfn.NORM.S.DIST(Table1[[#This Row],[Birthweight Z-Score (BW+10%)]],TRUE)*100,"")</f>
        <v/>
      </c>
    </row>
    <row r="8058" spans="1:12" x14ac:dyDescent="0.35">
      <c r="A8058" s="3"/>
      <c r="B8058" s="2"/>
      <c r="C8058" s="2"/>
      <c r="D8058" s="2" t="b">
        <f>IF(AND(NOT(ISBLANK(Table1[[#This Row],[Fetal Sex (Male, Female or Unknown)]])),ISNUMBER(Table1[[#This Row],[Birthweight (grams)]]),ISNUMBER(Table1[[#This Row],[Gestation (days)]])),TRUE,FALSE)</f>
        <v>0</v>
      </c>
      <c r="E8058" s="2" t="str">
        <f>IF(Table1[[#This Row],[Is Data Valid]]=TRUE,IF(Table1[[#This Row],[Fetal Sex (Male, Female or Unknown)]]="Male",Backend!$C$6,IF(Table1[[#This Row],[Fetal Sex (Male, Female or Unknown)]]="Female",Backend!$C$7,IF(Table1[[#This Row],[Fetal Sex (Male, Female or Unknown)]]="Unknown",Backend!$C$8,"Error"))),"")</f>
        <v/>
      </c>
      <c r="F8058" s="8" t="str">
        <f>IF(Table1[[#This Row],[Is Data Valid]]=TRUE,EXP(0.578+0.332*((Table1[[#This Row],[Gestation (days)]]+0.5)/7)-0.00354*((Table1[[#This Row],[Gestation (days)]]+0.5)/7)^2)*Table1[[#This Row],[BW40_3705]],"")</f>
        <v/>
      </c>
      <c r="G8058" s="2" t="str">
        <f>IF(Table1[[#This Row],[Is Data Valid]]=TRUE,((Table1[[#This Row],[Birthweight (grams)]]/Table1[[#This Row],[BW_GA]])-1)/(Backend!$B$4/100*Table1[[#This Row],[BW40_3705]]),"")</f>
        <v/>
      </c>
      <c r="H8058" s="7" t="str">
        <f>IF(Table1[[#This Row],[Is Data Valid]]=TRUE,((Table1[[#This Row],[Birthweight (grams)]]*0.9/Table1[[#This Row],[BW_GA]])-1)/(Backend!$B$4/100*Table1[[#This Row],[BW40_3705]]),"")</f>
        <v/>
      </c>
      <c r="I8058" s="7" t="str">
        <f>IF(Table1[[#This Row],[Is Data Valid]]=TRUE,((Table1[[#This Row],[Birthweight (grams)]]*1.1/Table1[[#This Row],[BW_GA]])-1)/(Backend!$B$4/100*Table1[[#This Row],[BW40_3705]]),"")</f>
        <v/>
      </c>
      <c r="J8058" s="7" t="str">
        <f>IF(Table1[[#This Row],[Is Data Valid]]=TRUE,_xlfn.NORM.S.DIST(Table1[[#This Row],[Birthweight Z-Score]],TRUE)*100,"")</f>
        <v/>
      </c>
      <c r="K8058" s="7" t="str">
        <f>IF(Table1[[#This Row],[Is Data Valid]]=TRUE,_xlfn.NORM.S.DIST(Table1[[#This Row],[Birthweight Z-Score (BW-10%)]],TRUE)*100,"")</f>
        <v/>
      </c>
      <c r="L8058" s="7" t="str">
        <f>IF(Table1[[#This Row],[Is Data Valid]]=TRUE,_xlfn.NORM.S.DIST(Table1[[#This Row],[Birthweight Z-Score (BW+10%)]],TRUE)*100,"")</f>
        <v/>
      </c>
    </row>
    <row r="8059" spans="1:12" x14ac:dyDescent="0.35">
      <c r="A8059" s="3"/>
      <c r="B8059" s="2"/>
      <c r="C8059" s="2"/>
      <c r="D8059" s="2" t="b">
        <f>IF(AND(NOT(ISBLANK(Table1[[#This Row],[Fetal Sex (Male, Female or Unknown)]])),ISNUMBER(Table1[[#This Row],[Birthweight (grams)]]),ISNUMBER(Table1[[#This Row],[Gestation (days)]])),TRUE,FALSE)</f>
        <v>0</v>
      </c>
      <c r="E8059" s="2" t="str">
        <f>IF(Table1[[#This Row],[Is Data Valid]]=TRUE,IF(Table1[[#This Row],[Fetal Sex (Male, Female or Unknown)]]="Male",Backend!$C$6,IF(Table1[[#This Row],[Fetal Sex (Male, Female or Unknown)]]="Female",Backend!$C$7,IF(Table1[[#This Row],[Fetal Sex (Male, Female or Unknown)]]="Unknown",Backend!$C$8,"Error"))),"")</f>
        <v/>
      </c>
      <c r="F8059" s="8" t="str">
        <f>IF(Table1[[#This Row],[Is Data Valid]]=TRUE,EXP(0.578+0.332*((Table1[[#This Row],[Gestation (days)]]+0.5)/7)-0.00354*((Table1[[#This Row],[Gestation (days)]]+0.5)/7)^2)*Table1[[#This Row],[BW40_3705]],"")</f>
        <v/>
      </c>
      <c r="G8059" s="2" t="str">
        <f>IF(Table1[[#This Row],[Is Data Valid]]=TRUE,((Table1[[#This Row],[Birthweight (grams)]]/Table1[[#This Row],[BW_GA]])-1)/(Backend!$B$4/100*Table1[[#This Row],[BW40_3705]]),"")</f>
        <v/>
      </c>
      <c r="H8059" s="7" t="str">
        <f>IF(Table1[[#This Row],[Is Data Valid]]=TRUE,((Table1[[#This Row],[Birthweight (grams)]]*0.9/Table1[[#This Row],[BW_GA]])-1)/(Backend!$B$4/100*Table1[[#This Row],[BW40_3705]]),"")</f>
        <v/>
      </c>
      <c r="I8059" s="7" t="str">
        <f>IF(Table1[[#This Row],[Is Data Valid]]=TRUE,((Table1[[#This Row],[Birthweight (grams)]]*1.1/Table1[[#This Row],[BW_GA]])-1)/(Backend!$B$4/100*Table1[[#This Row],[BW40_3705]]),"")</f>
        <v/>
      </c>
      <c r="J8059" s="7" t="str">
        <f>IF(Table1[[#This Row],[Is Data Valid]]=TRUE,_xlfn.NORM.S.DIST(Table1[[#This Row],[Birthweight Z-Score]],TRUE)*100,"")</f>
        <v/>
      </c>
      <c r="K8059" s="7" t="str">
        <f>IF(Table1[[#This Row],[Is Data Valid]]=TRUE,_xlfn.NORM.S.DIST(Table1[[#This Row],[Birthweight Z-Score (BW-10%)]],TRUE)*100,"")</f>
        <v/>
      </c>
      <c r="L8059" s="7" t="str">
        <f>IF(Table1[[#This Row],[Is Data Valid]]=TRUE,_xlfn.NORM.S.DIST(Table1[[#This Row],[Birthweight Z-Score (BW+10%)]],TRUE)*100,"")</f>
        <v/>
      </c>
    </row>
    <row r="8060" spans="1:12" x14ac:dyDescent="0.35">
      <c r="A8060" s="3"/>
      <c r="B8060" s="2"/>
      <c r="C8060" s="2"/>
      <c r="D8060" s="2" t="b">
        <f>IF(AND(NOT(ISBLANK(Table1[[#This Row],[Fetal Sex (Male, Female or Unknown)]])),ISNUMBER(Table1[[#This Row],[Birthweight (grams)]]),ISNUMBER(Table1[[#This Row],[Gestation (days)]])),TRUE,FALSE)</f>
        <v>0</v>
      </c>
      <c r="E8060" s="2" t="str">
        <f>IF(Table1[[#This Row],[Is Data Valid]]=TRUE,IF(Table1[[#This Row],[Fetal Sex (Male, Female or Unknown)]]="Male",Backend!$C$6,IF(Table1[[#This Row],[Fetal Sex (Male, Female or Unknown)]]="Female",Backend!$C$7,IF(Table1[[#This Row],[Fetal Sex (Male, Female or Unknown)]]="Unknown",Backend!$C$8,"Error"))),"")</f>
        <v/>
      </c>
      <c r="F8060" s="8" t="str">
        <f>IF(Table1[[#This Row],[Is Data Valid]]=TRUE,EXP(0.578+0.332*((Table1[[#This Row],[Gestation (days)]]+0.5)/7)-0.00354*((Table1[[#This Row],[Gestation (days)]]+0.5)/7)^2)*Table1[[#This Row],[BW40_3705]],"")</f>
        <v/>
      </c>
      <c r="G8060" s="2" t="str">
        <f>IF(Table1[[#This Row],[Is Data Valid]]=TRUE,((Table1[[#This Row],[Birthweight (grams)]]/Table1[[#This Row],[BW_GA]])-1)/(Backend!$B$4/100*Table1[[#This Row],[BW40_3705]]),"")</f>
        <v/>
      </c>
      <c r="H8060" s="7" t="str">
        <f>IF(Table1[[#This Row],[Is Data Valid]]=TRUE,((Table1[[#This Row],[Birthweight (grams)]]*0.9/Table1[[#This Row],[BW_GA]])-1)/(Backend!$B$4/100*Table1[[#This Row],[BW40_3705]]),"")</f>
        <v/>
      </c>
      <c r="I8060" s="7" t="str">
        <f>IF(Table1[[#This Row],[Is Data Valid]]=TRUE,((Table1[[#This Row],[Birthweight (grams)]]*1.1/Table1[[#This Row],[BW_GA]])-1)/(Backend!$B$4/100*Table1[[#This Row],[BW40_3705]]),"")</f>
        <v/>
      </c>
      <c r="J8060" s="7" t="str">
        <f>IF(Table1[[#This Row],[Is Data Valid]]=TRUE,_xlfn.NORM.S.DIST(Table1[[#This Row],[Birthweight Z-Score]],TRUE)*100,"")</f>
        <v/>
      </c>
      <c r="K8060" s="7" t="str">
        <f>IF(Table1[[#This Row],[Is Data Valid]]=TRUE,_xlfn.NORM.S.DIST(Table1[[#This Row],[Birthweight Z-Score (BW-10%)]],TRUE)*100,"")</f>
        <v/>
      </c>
      <c r="L8060" s="7" t="str">
        <f>IF(Table1[[#This Row],[Is Data Valid]]=TRUE,_xlfn.NORM.S.DIST(Table1[[#This Row],[Birthweight Z-Score (BW+10%)]],TRUE)*100,"")</f>
        <v/>
      </c>
    </row>
    <row r="8061" spans="1:12" x14ac:dyDescent="0.35">
      <c r="A8061" s="3"/>
      <c r="B8061" s="2"/>
      <c r="C8061" s="2"/>
      <c r="D8061" s="2" t="b">
        <f>IF(AND(NOT(ISBLANK(Table1[[#This Row],[Fetal Sex (Male, Female or Unknown)]])),ISNUMBER(Table1[[#This Row],[Birthweight (grams)]]),ISNUMBER(Table1[[#This Row],[Gestation (days)]])),TRUE,FALSE)</f>
        <v>0</v>
      </c>
      <c r="E8061" s="2" t="str">
        <f>IF(Table1[[#This Row],[Is Data Valid]]=TRUE,IF(Table1[[#This Row],[Fetal Sex (Male, Female or Unknown)]]="Male",Backend!$C$6,IF(Table1[[#This Row],[Fetal Sex (Male, Female or Unknown)]]="Female",Backend!$C$7,IF(Table1[[#This Row],[Fetal Sex (Male, Female or Unknown)]]="Unknown",Backend!$C$8,"Error"))),"")</f>
        <v/>
      </c>
      <c r="F8061" s="8" t="str">
        <f>IF(Table1[[#This Row],[Is Data Valid]]=TRUE,EXP(0.578+0.332*((Table1[[#This Row],[Gestation (days)]]+0.5)/7)-0.00354*((Table1[[#This Row],[Gestation (days)]]+0.5)/7)^2)*Table1[[#This Row],[BW40_3705]],"")</f>
        <v/>
      </c>
      <c r="G8061" s="2" t="str">
        <f>IF(Table1[[#This Row],[Is Data Valid]]=TRUE,((Table1[[#This Row],[Birthweight (grams)]]/Table1[[#This Row],[BW_GA]])-1)/(Backend!$B$4/100*Table1[[#This Row],[BW40_3705]]),"")</f>
        <v/>
      </c>
      <c r="H8061" s="7" t="str">
        <f>IF(Table1[[#This Row],[Is Data Valid]]=TRUE,((Table1[[#This Row],[Birthweight (grams)]]*0.9/Table1[[#This Row],[BW_GA]])-1)/(Backend!$B$4/100*Table1[[#This Row],[BW40_3705]]),"")</f>
        <v/>
      </c>
      <c r="I8061" s="7" t="str">
        <f>IF(Table1[[#This Row],[Is Data Valid]]=TRUE,((Table1[[#This Row],[Birthweight (grams)]]*1.1/Table1[[#This Row],[BW_GA]])-1)/(Backend!$B$4/100*Table1[[#This Row],[BW40_3705]]),"")</f>
        <v/>
      </c>
      <c r="J8061" s="7" t="str">
        <f>IF(Table1[[#This Row],[Is Data Valid]]=TRUE,_xlfn.NORM.S.DIST(Table1[[#This Row],[Birthweight Z-Score]],TRUE)*100,"")</f>
        <v/>
      </c>
      <c r="K8061" s="7" t="str">
        <f>IF(Table1[[#This Row],[Is Data Valid]]=TRUE,_xlfn.NORM.S.DIST(Table1[[#This Row],[Birthweight Z-Score (BW-10%)]],TRUE)*100,"")</f>
        <v/>
      </c>
      <c r="L8061" s="7" t="str">
        <f>IF(Table1[[#This Row],[Is Data Valid]]=TRUE,_xlfn.NORM.S.DIST(Table1[[#This Row],[Birthweight Z-Score (BW+10%)]],TRUE)*100,"")</f>
        <v/>
      </c>
    </row>
    <row r="8062" spans="1:12" x14ac:dyDescent="0.35">
      <c r="A8062" s="3"/>
      <c r="B8062" s="2"/>
      <c r="C8062" s="2"/>
      <c r="D8062" s="2" t="b">
        <f>IF(AND(NOT(ISBLANK(Table1[[#This Row],[Fetal Sex (Male, Female or Unknown)]])),ISNUMBER(Table1[[#This Row],[Birthweight (grams)]]),ISNUMBER(Table1[[#This Row],[Gestation (days)]])),TRUE,FALSE)</f>
        <v>0</v>
      </c>
      <c r="E8062" s="2" t="str">
        <f>IF(Table1[[#This Row],[Is Data Valid]]=TRUE,IF(Table1[[#This Row],[Fetal Sex (Male, Female or Unknown)]]="Male",Backend!$C$6,IF(Table1[[#This Row],[Fetal Sex (Male, Female or Unknown)]]="Female",Backend!$C$7,IF(Table1[[#This Row],[Fetal Sex (Male, Female or Unknown)]]="Unknown",Backend!$C$8,"Error"))),"")</f>
        <v/>
      </c>
      <c r="F8062" s="8" t="str">
        <f>IF(Table1[[#This Row],[Is Data Valid]]=TRUE,EXP(0.578+0.332*((Table1[[#This Row],[Gestation (days)]]+0.5)/7)-0.00354*((Table1[[#This Row],[Gestation (days)]]+0.5)/7)^2)*Table1[[#This Row],[BW40_3705]],"")</f>
        <v/>
      </c>
      <c r="G8062" s="2" t="str">
        <f>IF(Table1[[#This Row],[Is Data Valid]]=TRUE,((Table1[[#This Row],[Birthweight (grams)]]/Table1[[#This Row],[BW_GA]])-1)/(Backend!$B$4/100*Table1[[#This Row],[BW40_3705]]),"")</f>
        <v/>
      </c>
      <c r="H8062" s="7" t="str">
        <f>IF(Table1[[#This Row],[Is Data Valid]]=TRUE,((Table1[[#This Row],[Birthweight (grams)]]*0.9/Table1[[#This Row],[BW_GA]])-1)/(Backend!$B$4/100*Table1[[#This Row],[BW40_3705]]),"")</f>
        <v/>
      </c>
      <c r="I8062" s="7" t="str">
        <f>IF(Table1[[#This Row],[Is Data Valid]]=TRUE,((Table1[[#This Row],[Birthweight (grams)]]*1.1/Table1[[#This Row],[BW_GA]])-1)/(Backend!$B$4/100*Table1[[#This Row],[BW40_3705]]),"")</f>
        <v/>
      </c>
      <c r="J8062" s="7" t="str">
        <f>IF(Table1[[#This Row],[Is Data Valid]]=TRUE,_xlfn.NORM.S.DIST(Table1[[#This Row],[Birthweight Z-Score]],TRUE)*100,"")</f>
        <v/>
      </c>
      <c r="K8062" s="7" t="str">
        <f>IF(Table1[[#This Row],[Is Data Valid]]=TRUE,_xlfn.NORM.S.DIST(Table1[[#This Row],[Birthweight Z-Score (BW-10%)]],TRUE)*100,"")</f>
        <v/>
      </c>
      <c r="L8062" s="7" t="str">
        <f>IF(Table1[[#This Row],[Is Data Valid]]=TRUE,_xlfn.NORM.S.DIST(Table1[[#This Row],[Birthweight Z-Score (BW+10%)]],TRUE)*100,"")</f>
        <v/>
      </c>
    </row>
    <row r="8063" spans="1:12" x14ac:dyDescent="0.35">
      <c r="A8063" s="3"/>
      <c r="B8063" s="2"/>
      <c r="C8063" s="2"/>
      <c r="D8063" s="2" t="b">
        <f>IF(AND(NOT(ISBLANK(Table1[[#This Row],[Fetal Sex (Male, Female or Unknown)]])),ISNUMBER(Table1[[#This Row],[Birthweight (grams)]]),ISNUMBER(Table1[[#This Row],[Gestation (days)]])),TRUE,FALSE)</f>
        <v>0</v>
      </c>
      <c r="E8063" s="2" t="str">
        <f>IF(Table1[[#This Row],[Is Data Valid]]=TRUE,IF(Table1[[#This Row],[Fetal Sex (Male, Female or Unknown)]]="Male",Backend!$C$6,IF(Table1[[#This Row],[Fetal Sex (Male, Female or Unknown)]]="Female",Backend!$C$7,IF(Table1[[#This Row],[Fetal Sex (Male, Female or Unknown)]]="Unknown",Backend!$C$8,"Error"))),"")</f>
        <v/>
      </c>
      <c r="F8063" s="8" t="str">
        <f>IF(Table1[[#This Row],[Is Data Valid]]=TRUE,EXP(0.578+0.332*((Table1[[#This Row],[Gestation (days)]]+0.5)/7)-0.00354*((Table1[[#This Row],[Gestation (days)]]+0.5)/7)^2)*Table1[[#This Row],[BW40_3705]],"")</f>
        <v/>
      </c>
      <c r="G8063" s="2" t="str">
        <f>IF(Table1[[#This Row],[Is Data Valid]]=TRUE,((Table1[[#This Row],[Birthweight (grams)]]/Table1[[#This Row],[BW_GA]])-1)/(Backend!$B$4/100*Table1[[#This Row],[BW40_3705]]),"")</f>
        <v/>
      </c>
      <c r="H8063" s="7" t="str">
        <f>IF(Table1[[#This Row],[Is Data Valid]]=TRUE,((Table1[[#This Row],[Birthweight (grams)]]*0.9/Table1[[#This Row],[BW_GA]])-1)/(Backend!$B$4/100*Table1[[#This Row],[BW40_3705]]),"")</f>
        <v/>
      </c>
      <c r="I8063" s="7" t="str">
        <f>IF(Table1[[#This Row],[Is Data Valid]]=TRUE,((Table1[[#This Row],[Birthweight (grams)]]*1.1/Table1[[#This Row],[BW_GA]])-1)/(Backend!$B$4/100*Table1[[#This Row],[BW40_3705]]),"")</f>
        <v/>
      </c>
      <c r="J8063" s="7" t="str">
        <f>IF(Table1[[#This Row],[Is Data Valid]]=TRUE,_xlfn.NORM.S.DIST(Table1[[#This Row],[Birthweight Z-Score]],TRUE)*100,"")</f>
        <v/>
      </c>
      <c r="K8063" s="7" t="str">
        <f>IF(Table1[[#This Row],[Is Data Valid]]=TRUE,_xlfn.NORM.S.DIST(Table1[[#This Row],[Birthweight Z-Score (BW-10%)]],TRUE)*100,"")</f>
        <v/>
      </c>
      <c r="L8063" s="7" t="str">
        <f>IF(Table1[[#This Row],[Is Data Valid]]=TRUE,_xlfn.NORM.S.DIST(Table1[[#This Row],[Birthweight Z-Score (BW+10%)]],TRUE)*100,"")</f>
        <v/>
      </c>
    </row>
    <row r="8064" spans="1:12" x14ac:dyDescent="0.35">
      <c r="A8064" s="3"/>
      <c r="B8064" s="2"/>
      <c r="C8064" s="2"/>
      <c r="D8064" s="2" t="b">
        <f>IF(AND(NOT(ISBLANK(Table1[[#This Row],[Fetal Sex (Male, Female or Unknown)]])),ISNUMBER(Table1[[#This Row],[Birthweight (grams)]]),ISNUMBER(Table1[[#This Row],[Gestation (days)]])),TRUE,FALSE)</f>
        <v>0</v>
      </c>
      <c r="E8064" s="2" t="str">
        <f>IF(Table1[[#This Row],[Is Data Valid]]=TRUE,IF(Table1[[#This Row],[Fetal Sex (Male, Female or Unknown)]]="Male",Backend!$C$6,IF(Table1[[#This Row],[Fetal Sex (Male, Female or Unknown)]]="Female",Backend!$C$7,IF(Table1[[#This Row],[Fetal Sex (Male, Female or Unknown)]]="Unknown",Backend!$C$8,"Error"))),"")</f>
        <v/>
      </c>
      <c r="F8064" s="8" t="str">
        <f>IF(Table1[[#This Row],[Is Data Valid]]=TRUE,EXP(0.578+0.332*((Table1[[#This Row],[Gestation (days)]]+0.5)/7)-0.00354*((Table1[[#This Row],[Gestation (days)]]+0.5)/7)^2)*Table1[[#This Row],[BW40_3705]],"")</f>
        <v/>
      </c>
      <c r="G8064" s="2" t="str">
        <f>IF(Table1[[#This Row],[Is Data Valid]]=TRUE,((Table1[[#This Row],[Birthweight (grams)]]/Table1[[#This Row],[BW_GA]])-1)/(Backend!$B$4/100*Table1[[#This Row],[BW40_3705]]),"")</f>
        <v/>
      </c>
      <c r="H8064" s="7" t="str">
        <f>IF(Table1[[#This Row],[Is Data Valid]]=TRUE,((Table1[[#This Row],[Birthweight (grams)]]*0.9/Table1[[#This Row],[BW_GA]])-1)/(Backend!$B$4/100*Table1[[#This Row],[BW40_3705]]),"")</f>
        <v/>
      </c>
      <c r="I8064" s="7" t="str">
        <f>IF(Table1[[#This Row],[Is Data Valid]]=TRUE,((Table1[[#This Row],[Birthweight (grams)]]*1.1/Table1[[#This Row],[BW_GA]])-1)/(Backend!$B$4/100*Table1[[#This Row],[BW40_3705]]),"")</f>
        <v/>
      </c>
      <c r="J8064" s="7" t="str">
        <f>IF(Table1[[#This Row],[Is Data Valid]]=TRUE,_xlfn.NORM.S.DIST(Table1[[#This Row],[Birthweight Z-Score]],TRUE)*100,"")</f>
        <v/>
      </c>
      <c r="K8064" s="7" t="str">
        <f>IF(Table1[[#This Row],[Is Data Valid]]=TRUE,_xlfn.NORM.S.DIST(Table1[[#This Row],[Birthweight Z-Score (BW-10%)]],TRUE)*100,"")</f>
        <v/>
      </c>
      <c r="L8064" s="7" t="str">
        <f>IF(Table1[[#This Row],[Is Data Valid]]=TRUE,_xlfn.NORM.S.DIST(Table1[[#This Row],[Birthweight Z-Score (BW+10%)]],TRUE)*100,"")</f>
        <v/>
      </c>
    </row>
    <row r="8065" spans="1:12" x14ac:dyDescent="0.35">
      <c r="A8065" s="3"/>
      <c r="B8065" s="2"/>
      <c r="C8065" s="2"/>
      <c r="D8065" s="2" t="b">
        <f>IF(AND(NOT(ISBLANK(Table1[[#This Row],[Fetal Sex (Male, Female or Unknown)]])),ISNUMBER(Table1[[#This Row],[Birthweight (grams)]]),ISNUMBER(Table1[[#This Row],[Gestation (days)]])),TRUE,FALSE)</f>
        <v>0</v>
      </c>
      <c r="E8065" s="2" t="str">
        <f>IF(Table1[[#This Row],[Is Data Valid]]=TRUE,IF(Table1[[#This Row],[Fetal Sex (Male, Female or Unknown)]]="Male",Backend!$C$6,IF(Table1[[#This Row],[Fetal Sex (Male, Female or Unknown)]]="Female",Backend!$C$7,IF(Table1[[#This Row],[Fetal Sex (Male, Female or Unknown)]]="Unknown",Backend!$C$8,"Error"))),"")</f>
        <v/>
      </c>
      <c r="F8065" s="8" t="str">
        <f>IF(Table1[[#This Row],[Is Data Valid]]=TRUE,EXP(0.578+0.332*((Table1[[#This Row],[Gestation (days)]]+0.5)/7)-0.00354*((Table1[[#This Row],[Gestation (days)]]+0.5)/7)^2)*Table1[[#This Row],[BW40_3705]],"")</f>
        <v/>
      </c>
      <c r="G8065" s="2" t="str">
        <f>IF(Table1[[#This Row],[Is Data Valid]]=TRUE,((Table1[[#This Row],[Birthweight (grams)]]/Table1[[#This Row],[BW_GA]])-1)/(Backend!$B$4/100*Table1[[#This Row],[BW40_3705]]),"")</f>
        <v/>
      </c>
      <c r="H8065" s="7" t="str">
        <f>IF(Table1[[#This Row],[Is Data Valid]]=TRUE,((Table1[[#This Row],[Birthweight (grams)]]*0.9/Table1[[#This Row],[BW_GA]])-1)/(Backend!$B$4/100*Table1[[#This Row],[BW40_3705]]),"")</f>
        <v/>
      </c>
      <c r="I8065" s="7" t="str">
        <f>IF(Table1[[#This Row],[Is Data Valid]]=TRUE,((Table1[[#This Row],[Birthweight (grams)]]*1.1/Table1[[#This Row],[BW_GA]])-1)/(Backend!$B$4/100*Table1[[#This Row],[BW40_3705]]),"")</f>
        <v/>
      </c>
      <c r="J8065" s="7" t="str">
        <f>IF(Table1[[#This Row],[Is Data Valid]]=TRUE,_xlfn.NORM.S.DIST(Table1[[#This Row],[Birthweight Z-Score]],TRUE)*100,"")</f>
        <v/>
      </c>
      <c r="K8065" s="7" t="str">
        <f>IF(Table1[[#This Row],[Is Data Valid]]=TRUE,_xlfn.NORM.S.DIST(Table1[[#This Row],[Birthweight Z-Score (BW-10%)]],TRUE)*100,"")</f>
        <v/>
      </c>
      <c r="L8065" s="7" t="str">
        <f>IF(Table1[[#This Row],[Is Data Valid]]=TRUE,_xlfn.NORM.S.DIST(Table1[[#This Row],[Birthweight Z-Score (BW+10%)]],TRUE)*100,"")</f>
        <v/>
      </c>
    </row>
    <row r="8066" spans="1:12" x14ac:dyDescent="0.35">
      <c r="A8066" s="3"/>
      <c r="B8066" s="2"/>
      <c r="C8066" s="2"/>
      <c r="D8066" s="2" t="b">
        <f>IF(AND(NOT(ISBLANK(Table1[[#This Row],[Fetal Sex (Male, Female or Unknown)]])),ISNUMBER(Table1[[#This Row],[Birthweight (grams)]]),ISNUMBER(Table1[[#This Row],[Gestation (days)]])),TRUE,FALSE)</f>
        <v>0</v>
      </c>
      <c r="E8066" s="2" t="str">
        <f>IF(Table1[[#This Row],[Is Data Valid]]=TRUE,IF(Table1[[#This Row],[Fetal Sex (Male, Female or Unknown)]]="Male",Backend!$C$6,IF(Table1[[#This Row],[Fetal Sex (Male, Female or Unknown)]]="Female",Backend!$C$7,IF(Table1[[#This Row],[Fetal Sex (Male, Female or Unknown)]]="Unknown",Backend!$C$8,"Error"))),"")</f>
        <v/>
      </c>
      <c r="F8066" s="8" t="str">
        <f>IF(Table1[[#This Row],[Is Data Valid]]=TRUE,EXP(0.578+0.332*((Table1[[#This Row],[Gestation (days)]]+0.5)/7)-0.00354*((Table1[[#This Row],[Gestation (days)]]+0.5)/7)^2)*Table1[[#This Row],[BW40_3705]],"")</f>
        <v/>
      </c>
      <c r="G8066" s="2" t="str">
        <f>IF(Table1[[#This Row],[Is Data Valid]]=TRUE,((Table1[[#This Row],[Birthweight (grams)]]/Table1[[#This Row],[BW_GA]])-1)/(Backend!$B$4/100*Table1[[#This Row],[BW40_3705]]),"")</f>
        <v/>
      </c>
      <c r="H8066" s="7" t="str">
        <f>IF(Table1[[#This Row],[Is Data Valid]]=TRUE,((Table1[[#This Row],[Birthweight (grams)]]*0.9/Table1[[#This Row],[BW_GA]])-1)/(Backend!$B$4/100*Table1[[#This Row],[BW40_3705]]),"")</f>
        <v/>
      </c>
      <c r="I8066" s="7" t="str">
        <f>IF(Table1[[#This Row],[Is Data Valid]]=TRUE,((Table1[[#This Row],[Birthweight (grams)]]*1.1/Table1[[#This Row],[BW_GA]])-1)/(Backend!$B$4/100*Table1[[#This Row],[BW40_3705]]),"")</f>
        <v/>
      </c>
      <c r="J8066" s="7" t="str">
        <f>IF(Table1[[#This Row],[Is Data Valid]]=TRUE,_xlfn.NORM.S.DIST(Table1[[#This Row],[Birthweight Z-Score]],TRUE)*100,"")</f>
        <v/>
      </c>
      <c r="K8066" s="7" t="str">
        <f>IF(Table1[[#This Row],[Is Data Valid]]=TRUE,_xlfn.NORM.S.DIST(Table1[[#This Row],[Birthweight Z-Score (BW-10%)]],TRUE)*100,"")</f>
        <v/>
      </c>
      <c r="L8066" s="7" t="str">
        <f>IF(Table1[[#This Row],[Is Data Valid]]=TRUE,_xlfn.NORM.S.DIST(Table1[[#This Row],[Birthweight Z-Score (BW+10%)]],TRUE)*100,"")</f>
        <v/>
      </c>
    </row>
    <row r="8067" spans="1:12" x14ac:dyDescent="0.35">
      <c r="A8067" s="3"/>
      <c r="B8067" s="2"/>
      <c r="C8067" s="2"/>
      <c r="D8067" s="2" t="b">
        <f>IF(AND(NOT(ISBLANK(Table1[[#This Row],[Fetal Sex (Male, Female or Unknown)]])),ISNUMBER(Table1[[#This Row],[Birthweight (grams)]]),ISNUMBER(Table1[[#This Row],[Gestation (days)]])),TRUE,FALSE)</f>
        <v>0</v>
      </c>
      <c r="E8067" s="2" t="str">
        <f>IF(Table1[[#This Row],[Is Data Valid]]=TRUE,IF(Table1[[#This Row],[Fetal Sex (Male, Female or Unknown)]]="Male",Backend!$C$6,IF(Table1[[#This Row],[Fetal Sex (Male, Female or Unknown)]]="Female",Backend!$C$7,IF(Table1[[#This Row],[Fetal Sex (Male, Female or Unknown)]]="Unknown",Backend!$C$8,"Error"))),"")</f>
        <v/>
      </c>
      <c r="F8067" s="8" t="str">
        <f>IF(Table1[[#This Row],[Is Data Valid]]=TRUE,EXP(0.578+0.332*((Table1[[#This Row],[Gestation (days)]]+0.5)/7)-0.00354*((Table1[[#This Row],[Gestation (days)]]+0.5)/7)^2)*Table1[[#This Row],[BW40_3705]],"")</f>
        <v/>
      </c>
      <c r="G8067" s="2" t="str">
        <f>IF(Table1[[#This Row],[Is Data Valid]]=TRUE,((Table1[[#This Row],[Birthweight (grams)]]/Table1[[#This Row],[BW_GA]])-1)/(Backend!$B$4/100*Table1[[#This Row],[BW40_3705]]),"")</f>
        <v/>
      </c>
      <c r="H8067" s="7" t="str">
        <f>IF(Table1[[#This Row],[Is Data Valid]]=TRUE,((Table1[[#This Row],[Birthweight (grams)]]*0.9/Table1[[#This Row],[BW_GA]])-1)/(Backend!$B$4/100*Table1[[#This Row],[BW40_3705]]),"")</f>
        <v/>
      </c>
      <c r="I8067" s="7" t="str">
        <f>IF(Table1[[#This Row],[Is Data Valid]]=TRUE,((Table1[[#This Row],[Birthweight (grams)]]*1.1/Table1[[#This Row],[BW_GA]])-1)/(Backend!$B$4/100*Table1[[#This Row],[BW40_3705]]),"")</f>
        <v/>
      </c>
      <c r="J8067" s="7" t="str">
        <f>IF(Table1[[#This Row],[Is Data Valid]]=TRUE,_xlfn.NORM.S.DIST(Table1[[#This Row],[Birthweight Z-Score]],TRUE)*100,"")</f>
        <v/>
      </c>
      <c r="K8067" s="7" t="str">
        <f>IF(Table1[[#This Row],[Is Data Valid]]=TRUE,_xlfn.NORM.S.DIST(Table1[[#This Row],[Birthweight Z-Score (BW-10%)]],TRUE)*100,"")</f>
        <v/>
      </c>
      <c r="L8067" s="7" t="str">
        <f>IF(Table1[[#This Row],[Is Data Valid]]=TRUE,_xlfn.NORM.S.DIST(Table1[[#This Row],[Birthweight Z-Score (BW+10%)]],TRUE)*100,"")</f>
        <v/>
      </c>
    </row>
    <row r="8068" spans="1:12" x14ac:dyDescent="0.35">
      <c r="A8068" s="3"/>
      <c r="B8068" s="2"/>
      <c r="C8068" s="2"/>
      <c r="D8068" s="2" t="b">
        <f>IF(AND(NOT(ISBLANK(Table1[[#This Row],[Fetal Sex (Male, Female or Unknown)]])),ISNUMBER(Table1[[#This Row],[Birthweight (grams)]]),ISNUMBER(Table1[[#This Row],[Gestation (days)]])),TRUE,FALSE)</f>
        <v>0</v>
      </c>
      <c r="E8068" s="2" t="str">
        <f>IF(Table1[[#This Row],[Is Data Valid]]=TRUE,IF(Table1[[#This Row],[Fetal Sex (Male, Female or Unknown)]]="Male",Backend!$C$6,IF(Table1[[#This Row],[Fetal Sex (Male, Female or Unknown)]]="Female",Backend!$C$7,IF(Table1[[#This Row],[Fetal Sex (Male, Female or Unknown)]]="Unknown",Backend!$C$8,"Error"))),"")</f>
        <v/>
      </c>
      <c r="F8068" s="8" t="str">
        <f>IF(Table1[[#This Row],[Is Data Valid]]=TRUE,EXP(0.578+0.332*((Table1[[#This Row],[Gestation (days)]]+0.5)/7)-0.00354*((Table1[[#This Row],[Gestation (days)]]+0.5)/7)^2)*Table1[[#This Row],[BW40_3705]],"")</f>
        <v/>
      </c>
      <c r="G8068" s="2" t="str">
        <f>IF(Table1[[#This Row],[Is Data Valid]]=TRUE,((Table1[[#This Row],[Birthweight (grams)]]/Table1[[#This Row],[BW_GA]])-1)/(Backend!$B$4/100*Table1[[#This Row],[BW40_3705]]),"")</f>
        <v/>
      </c>
      <c r="H8068" s="7" t="str">
        <f>IF(Table1[[#This Row],[Is Data Valid]]=TRUE,((Table1[[#This Row],[Birthweight (grams)]]*0.9/Table1[[#This Row],[BW_GA]])-1)/(Backend!$B$4/100*Table1[[#This Row],[BW40_3705]]),"")</f>
        <v/>
      </c>
      <c r="I8068" s="7" t="str">
        <f>IF(Table1[[#This Row],[Is Data Valid]]=TRUE,((Table1[[#This Row],[Birthweight (grams)]]*1.1/Table1[[#This Row],[BW_GA]])-1)/(Backend!$B$4/100*Table1[[#This Row],[BW40_3705]]),"")</f>
        <v/>
      </c>
      <c r="J8068" s="7" t="str">
        <f>IF(Table1[[#This Row],[Is Data Valid]]=TRUE,_xlfn.NORM.S.DIST(Table1[[#This Row],[Birthweight Z-Score]],TRUE)*100,"")</f>
        <v/>
      </c>
      <c r="K8068" s="7" t="str">
        <f>IF(Table1[[#This Row],[Is Data Valid]]=TRUE,_xlfn.NORM.S.DIST(Table1[[#This Row],[Birthweight Z-Score (BW-10%)]],TRUE)*100,"")</f>
        <v/>
      </c>
      <c r="L8068" s="7" t="str">
        <f>IF(Table1[[#This Row],[Is Data Valid]]=TRUE,_xlfn.NORM.S.DIST(Table1[[#This Row],[Birthweight Z-Score (BW+10%)]],TRUE)*100,"")</f>
        <v/>
      </c>
    </row>
    <row r="8069" spans="1:12" x14ac:dyDescent="0.35">
      <c r="A8069" s="3"/>
      <c r="B8069" s="2"/>
      <c r="C8069" s="2"/>
      <c r="D8069" s="2" t="b">
        <f>IF(AND(NOT(ISBLANK(Table1[[#This Row],[Fetal Sex (Male, Female or Unknown)]])),ISNUMBER(Table1[[#This Row],[Birthweight (grams)]]),ISNUMBER(Table1[[#This Row],[Gestation (days)]])),TRUE,FALSE)</f>
        <v>0</v>
      </c>
      <c r="E8069" s="2" t="str">
        <f>IF(Table1[[#This Row],[Is Data Valid]]=TRUE,IF(Table1[[#This Row],[Fetal Sex (Male, Female or Unknown)]]="Male",Backend!$C$6,IF(Table1[[#This Row],[Fetal Sex (Male, Female or Unknown)]]="Female",Backend!$C$7,IF(Table1[[#This Row],[Fetal Sex (Male, Female or Unknown)]]="Unknown",Backend!$C$8,"Error"))),"")</f>
        <v/>
      </c>
      <c r="F8069" s="8" t="str">
        <f>IF(Table1[[#This Row],[Is Data Valid]]=TRUE,EXP(0.578+0.332*((Table1[[#This Row],[Gestation (days)]]+0.5)/7)-0.00354*((Table1[[#This Row],[Gestation (days)]]+0.5)/7)^2)*Table1[[#This Row],[BW40_3705]],"")</f>
        <v/>
      </c>
      <c r="G8069" s="2" t="str">
        <f>IF(Table1[[#This Row],[Is Data Valid]]=TRUE,((Table1[[#This Row],[Birthweight (grams)]]/Table1[[#This Row],[BW_GA]])-1)/(Backend!$B$4/100*Table1[[#This Row],[BW40_3705]]),"")</f>
        <v/>
      </c>
      <c r="H8069" s="7" t="str">
        <f>IF(Table1[[#This Row],[Is Data Valid]]=TRUE,((Table1[[#This Row],[Birthweight (grams)]]*0.9/Table1[[#This Row],[BW_GA]])-1)/(Backend!$B$4/100*Table1[[#This Row],[BW40_3705]]),"")</f>
        <v/>
      </c>
      <c r="I8069" s="7" t="str">
        <f>IF(Table1[[#This Row],[Is Data Valid]]=TRUE,((Table1[[#This Row],[Birthweight (grams)]]*1.1/Table1[[#This Row],[BW_GA]])-1)/(Backend!$B$4/100*Table1[[#This Row],[BW40_3705]]),"")</f>
        <v/>
      </c>
      <c r="J8069" s="7" t="str">
        <f>IF(Table1[[#This Row],[Is Data Valid]]=TRUE,_xlfn.NORM.S.DIST(Table1[[#This Row],[Birthweight Z-Score]],TRUE)*100,"")</f>
        <v/>
      </c>
      <c r="K8069" s="7" t="str">
        <f>IF(Table1[[#This Row],[Is Data Valid]]=TRUE,_xlfn.NORM.S.DIST(Table1[[#This Row],[Birthweight Z-Score (BW-10%)]],TRUE)*100,"")</f>
        <v/>
      </c>
      <c r="L8069" s="7" t="str">
        <f>IF(Table1[[#This Row],[Is Data Valid]]=TRUE,_xlfn.NORM.S.DIST(Table1[[#This Row],[Birthweight Z-Score (BW+10%)]],TRUE)*100,"")</f>
        <v/>
      </c>
    </row>
    <row r="8070" spans="1:12" x14ac:dyDescent="0.35">
      <c r="A8070" s="3"/>
      <c r="B8070" s="2"/>
      <c r="C8070" s="2"/>
      <c r="D8070" s="2" t="b">
        <f>IF(AND(NOT(ISBLANK(Table1[[#This Row],[Fetal Sex (Male, Female or Unknown)]])),ISNUMBER(Table1[[#This Row],[Birthweight (grams)]]),ISNUMBER(Table1[[#This Row],[Gestation (days)]])),TRUE,FALSE)</f>
        <v>0</v>
      </c>
      <c r="E8070" s="2" t="str">
        <f>IF(Table1[[#This Row],[Is Data Valid]]=TRUE,IF(Table1[[#This Row],[Fetal Sex (Male, Female or Unknown)]]="Male",Backend!$C$6,IF(Table1[[#This Row],[Fetal Sex (Male, Female or Unknown)]]="Female",Backend!$C$7,IF(Table1[[#This Row],[Fetal Sex (Male, Female or Unknown)]]="Unknown",Backend!$C$8,"Error"))),"")</f>
        <v/>
      </c>
      <c r="F8070" s="8" t="str">
        <f>IF(Table1[[#This Row],[Is Data Valid]]=TRUE,EXP(0.578+0.332*((Table1[[#This Row],[Gestation (days)]]+0.5)/7)-0.00354*((Table1[[#This Row],[Gestation (days)]]+0.5)/7)^2)*Table1[[#This Row],[BW40_3705]],"")</f>
        <v/>
      </c>
      <c r="G8070" s="2" t="str">
        <f>IF(Table1[[#This Row],[Is Data Valid]]=TRUE,((Table1[[#This Row],[Birthweight (grams)]]/Table1[[#This Row],[BW_GA]])-1)/(Backend!$B$4/100*Table1[[#This Row],[BW40_3705]]),"")</f>
        <v/>
      </c>
      <c r="H8070" s="7" t="str">
        <f>IF(Table1[[#This Row],[Is Data Valid]]=TRUE,((Table1[[#This Row],[Birthweight (grams)]]*0.9/Table1[[#This Row],[BW_GA]])-1)/(Backend!$B$4/100*Table1[[#This Row],[BW40_3705]]),"")</f>
        <v/>
      </c>
      <c r="I8070" s="7" t="str">
        <f>IF(Table1[[#This Row],[Is Data Valid]]=TRUE,((Table1[[#This Row],[Birthweight (grams)]]*1.1/Table1[[#This Row],[BW_GA]])-1)/(Backend!$B$4/100*Table1[[#This Row],[BW40_3705]]),"")</f>
        <v/>
      </c>
      <c r="J8070" s="7" t="str">
        <f>IF(Table1[[#This Row],[Is Data Valid]]=TRUE,_xlfn.NORM.S.DIST(Table1[[#This Row],[Birthweight Z-Score]],TRUE)*100,"")</f>
        <v/>
      </c>
      <c r="K8070" s="7" t="str">
        <f>IF(Table1[[#This Row],[Is Data Valid]]=TRUE,_xlfn.NORM.S.DIST(Table1[[#This Row],[Birthweight Z-Score (BW-10%)]],TRUE)*100,"")</f>
        <v/>
      </c>
      <c r="L8070" s="7" t="str">
        <f>IF(Table1[[#This Row],[Is Data Valid]]=TRUE,_xlfn.NORM.S.DIST(Table1[[#This Row],[Birthweight Z-Score (BW+10%)]],TRUE)*100,"")</f>
        <v/>
      </c>
    </row>
    <row r="8071" spans="1:12" x14ac:dyDescent="0.35">
      <c r="A8071" s="3"/>
      <c r="B8071" s="2"/>
      <c r="C8071" s="2"/>
      <c r="D8071" s="2" t="b">
        <f>IF(AND(NOT(ISBLANK(Table1[[#This Row],[Fetal Sex (Male, Female or Unknown)]])),ISNUMBER(Table1[[#This Row],[Birthweight (grams)]]),ISNUMBER(Table1[[#This Row],[Gestation (days)]])),TRUE,FALSE)</f>
        <v>0</v>
      </c>
      <c r="E8071" s="2" t="str">
        <f>IF(Table1[[#This Row],[Is Data Valid]]=TRUE,IF(Table1[[#This Row],[Fetal Sex (Male, Female or Unknown)]]="Male",Backend!$C$6,IF(Table1[[#This Row],[Fetal Sex (Male, Female or Unknown)]]="Female",Backend!$C$7,IF(Table1[[#This Row],[Fetal Sex (Male, Female or Unknown)]]="Unknown",Backend!$C$8,"Error"))),"")</f>
        <v/>
      </c>
      <c r="F8071" s="8" t="str">
        <f>IF(Table1[[#This Row],[Is Data Valid]]=TRUE,EXP(0.578+0.332*((Table1[[#This Row],[Gestation (days)]]+0.5)/7)-0.00354*((Table1[[#This Row],[Gestation (days)]]+0.5)/7)^2)*Table1[[#This Row],[BW40_3705]],"")</f>
        <v/>
      </c>
      <c r="G8071" s="2" t="str">
        <f>IF(Table1[[#This Row],[Is Data Valid]]=TRUE,((Table1[[#This Row],[Birthweight (grams)]]/Table1[[#This Row],[BW_GA]])-1)/(Backend!$B$4/100*Table1[[#This Row],[BW40_3705]]),"")</f>
        <v/>
      </c>
      <c r="H8071" s="7" t="str">
        <f>IF(Table1[[#This Row],[Is Data Valid]]=TRUE,((Table1[[#This Row],[Birthweight (grams)]]*0.9/Table1[[#This Row],[BW_GA]])-1)/(Backend!$B$4/100*Table1[[#This Row],[BW40_3705]]),"")</f>
        <v/>
      </c>
      <c r="I8071" s="7" t="str">
        <f>IF(Table1[[#This Row],[Is Data Valid]]=TRUE,((Table1[[#This Row],[Birthweight (grams)]]*1.1/Table1[[#This Row],[BW_GA]])-1)/(Backend!$B$4/100*Table1[[#This Row],[BW40_3705]]),"")</f>
        <v/>
      </c>
      <c r="J8071" s="7" t="str">
        <f>IF(Table1[[#This Row],[Is Data Valid]]=TRUE,_xlfn.NORM.S.DIST(Table1[[#This Row],[Birthweight Z-Score]],TRUE)*100,"")</f>
        <v/>
      </c>
      <c r="K8071" s="7" t="str">
        <f>IF(Table1[[#This Row],[Is Data Valid]]=TRUE,_xlfn.NORM.S.DIST(Table1[[#This Row],[Birthweight Z-Score (BW-10%)]],TRUE)*100,"")</f>
        <v/>
      </c>
      <c r="L8071" s="7" t="str">
        <f>IF(Table1[[#This Row],[Is Data Valid]]=TRUE,_xlfn.NORM.S.DIST(Table1[[#This Row],[Birthweight Z-Score (BW+10%)]],TRUE)*100,"")</f>
        <v/>
      </c>
    </row>
    <row r="8072" spans="1:12" x14ac:dyDescent="0.35">
      <c r="A8072" s="3"/>
      <c r="B8072" s="2"/>
      <c r="C8072" s="2"/>
      <c r="D8072" s="2" t="b">
        <f>IF(AND(NOT(ISBLANK(Table1[[#This Row],[Fetal Sex (Male, Female or Unknown)]])),ISNUMBER(Table1[[#This Row],[Birthweight (grams)]]),ISNUMBER(Table1[[#This Row],[Gestation (days)]])),TRUE,FALSE)</f>
        <v>0</v>
      </c>
      <c r="E8072" s="2" t="str">
        <f>IF(Table1[[#This Row],[Is Data Valid]]=TRUE,IF(Table1[[#This Row],[Fetal Sex (Male, Female or Unknown)]]="Male",Backend!$C$6,IF(Table1[[#This Row],[Fetal Sex (Male, Female or Unknown)]]="Female",Backend!$C$7,IF(Table1[[#This Row],[Fetal Sex (Male, Female or Unknown)]]="Unknown",Backend!$C$8,"Error"))),"")</f>
        <v/>
      </c>
      <c r="F8072" s="8" t="str">
        <f>IF(Table1[[#This Row],[Is Data Valid]]=TRUE,EXP(0.578+0.332*((Table1[[#This Row],[Gestation (days)]]+0.5)/7)-0.00354*((Table1[[#This Row],[Gestation (days)]]+0.5)/7)^2)*Table1[[#This Row],[BW40_3705]],"")</f>
        <v/>
      </c>
      <c r="G8072" s="2" t="str">
        <f>IF(Table1[[#This Row],[Is Data Valid]]=TRUE,((Table1[[#This Row],[Birthweight (grams)]]/Table1[[#This Row],[BW_GA]])-1)/(Backend!$B$4/100*Table1[[#This Row],[BW40_3705]]),"")</f>
        <v/>
      </c>
      <c r="H8072" s="7" t="str">
        <f>IF(Table1[[#This Row],[Is Data Valid]]=TRUE,((Table1[[#This Row],[Birthweight (grams)]]*0.9/Table1[[#This Row],[BW_GA]])-1)/(Backend!$B$4/100*Table1[[#This Row],[BW40_3705]]),"")</f>
        <v/>
      </c>
      <c r="I8072" s="7" t="str">
        <f>IF(Table1[[#This Row],[Is Data Valid]]=TRUE,((Table1[[#This Row],[Birthweight (grams)]]*1.1/Table1[[#This Row],[BW_GA]])-1)/(Backend!$B$4/100*Table1[[#This Row],[BW40_3705]]),"")</f>
        <v/>
      </c>
      <c r="J8072" s="7" t="str">
        <f>IF(Table1[[#This Row],[Is Data Valid]]=TRUE,_xlfn.NORM.S.DIST(Table1[[#This Row],[Birthweight Z-Score]],TRUE)*100,"")</f>
        <v/>
      </c>
      <c r="K8072" s="7" t="str">
        <f>IF(Table1[[#This Row],[Is Data Valid]]=TRUE,_xlfn.NORM.S.DIST(Table1[[#This Row],[Birthweight Z-Score (BW-10%)]],TRUE)*100,"")</f>
        <v/>
      </c>
      <c r="L8072" s="7" t="str">
        <f>IF(Table1[[#This Row],[Is Data Valid]]=TRUE,_xlfn.NORM.S.DIST(Table1[[#This Row],[Birthweight Z-Score (BW+10%)]],TRUE)*100,"")</f>
        <v/>
      </c>
    </row>
    <row r="8073" spans="1:12" x14ac:dyDescent="0.35">
      <c r="A8073" s="3"/>
      <c r="B8073" s="2"/>
      <c r="C8073" s="2"/>
      <c r="D8073" s="2" t="b">
        <f>IF(AND(NOT(ISBLANK(Table1[[#This Row],[Fetal Sex (Male, Female or Unknown)]])),ISNUMBER(Table1[[#This Row],[Birthweight (grams)]]),ISNUMBER(Table1[[#This Row],[Gestation (days)]])),TRUE,FALSE)</f>
        <v>0</v>
      </c>
      <c r="E8073" s="2" t="str">
        <f>IF(Table1[[#This Row],[Is Data Valid]]=TRUE,IF(Table1[[#This Row],[Fetal Sex (Male, Female or Unknown)]]="Male",Backend!$C$6,IF(Table1[[#This Row],[Fetal Sex (Male, Female or Unknown)]]="Female",Backend!$C$7,IF(Table1[[#This Row],[Fetal Sex (Male, Female or Unknown)]]="Unknown",Backend!$C$8,"Error"))),"")</f>
        <v/>
      </c>
      <c r="F8073" s="8" t="str">
        <f>IF(Table1[[#This Row],[Is Data Valid]]=TRUE,EXP(0.578+0.332*((Table1[[#This Row],[Gestation (days)]]+0.5)/7)-0.00354*((Table1[[#This Row],[Gestation (days)]]+0.5)/7)^2)*Table1[[#This Row],[BW40_3705]],"")</f>
        <v/>
      </c>
      <c r="G8073" s="2" t="str">
        <f>IF(Table1[[#This Row],[Is Data Valid]]=TRUE,((Table1[[#This Row],[Birthweight (grams)]]/Table1[[#This Row],[BW_GA]])-1)/(Backend!$B$4/100*Table1[[#This Row],[BW40_3705]]),"")</f>
        <v/>
      </c>
      <c r="H8073" s="7" t="str">
        <f>IF(Table1[[#This Row],[Is Data Valid]]=TRUE,((Table1[[#This Row],[Birthweight (grams)]]*0.9/Table1[[#This Row],[BW_GA]])-1)/(Backend!$B$4/100*Table1[[#This Row],[BW40_3705]]),"")</f>
        <v/>
      </c>
      <c r="I8073" s="7" t="str">
        <f>IF(Table1[[#This Row],[Is Data Valid]]=TRUE,((Table1[[#This Row],[Birthweight (grams)]]*1.1/Table1[[#This Row],[BW_GA]])-1)/(Backend!$B$4/100*Table1[[#This Row],[BW40_3705]]),"")</f>
        <v/>
      </c>
      <c r="J8073" s="7" t="str">
        <f>IF(Table1[[#This Row],[Is Data Valid]]=TRUE,_xlfn.NORM.S.DIST(Table1[[#This Row],[Birthweight Z-Score]],TRUE)*100,"")</f>
        <v/>
      </c>
      <c r="K8073" s="7" t="str">
        <f>IF(Table1[[#This Row],[Is Data Valid]]=TRUE,_xlfn.NORM.S.DIST(Table1[[#This Row],[Birthweight Z-Score (BW-10%)]],TRUE)*100,"")</f>
        <v/>
      </c>
      <c r="L8073" s="7" t="str">
        <f>IF(Table1[[#This Row],[Is Data Valid]]=TRUE,_xlfn.NORM.S.DIST(Table1[[#This Row],[Birthweight Z-Score (BW+10%)]],TRUE)*100,"")</f>
        <v/>
      </c>
    </row>
    <row r="8074" spans="1:12" x14ac:dyDescent="0.35">
      <c r="A8074" s="3"/>
      <c r="B8074" s="2"/>
      <c r="C8074" s="2"/>
      <c r="D8074" s="2" t="b">
        <f>IF(AND(NOT(ISBLANK(Table1[[#This Row],[Fetal Sex (Male, Female or Unknown)]])),ISNUMBER(Table1[[#This Row],[Birthweight (grams)]]),ISNUMBER(Table1[[#This Row],[Gestation (days)]])),TRUE,FALSE)</f>
        <v>0</v>
      </c>
      <c r="E8074" s="2" t="str">
        <f>IF(Table1[[#This Row],[Is Data Valid]]=TRUE,IF(Table1[[#This Row],[Fetal Sex (Male, Female or Unknown)]]="Male",Backend!$C$6,IF(Table1[[#This Row],[Fetal Sex (Male, Female or Unknown)]]="Female",Backend!$C$7,IF(Table1[[#This Row],[Fetal Sex (Male, Female or Unknown)]]="Unknown",Backend!$C$8,"Error"))),"")</f>
        <v/>
      </c>
      <c r="F8074" s="8" t="str">
        <f>IF(Table1[[#This Row],[Is Data Valid]]=TRUE,EXP(0.578+0.332*((Table1[[#This Row],[Gestation (days)]]+0.5)/7)-0.00354*((Table1[[#This Row],[Gestation (days)]]+0.5)/7)^2)*Table1[[#This Row],[BW40_3705]],"")</f>
        <v/>
      </c>
      <c r="G8074" s="2" t="str">
        <f>IF(Table1[[#This Row],[Is Data Valid]]=TRUE,((Table1[[#This Row],[Birthweight (grams)]]/Table1[[#This Row],[BW_GA]])-1)/(Backend!$B$4/100*Table1[[#This Row],[BW40_3705]]),"")</f>
        <v/>
      </c>
      <c r="H8074" s="7" t="str">
        <f>IF(Table1[[#This Row],[Is Data Valid]]=TRUE,((Table1[[#This Row],[Birthweight (grams)]]*0.9/Table1[[#This Row],[BW_GA]])-1)/(Backend!$B$4/100*Table1[[#This Row],[BW40_3705]]),"")</f>
        <v/>
      </c>
      <c r="I8074" s="7" t="str">
        <f>IF(Table1[[#This Row],[Is Data Valid]]=TRUE,((Table1[[#This Row],[Birthweight (grams)]]*1.1/Table1[[#This Row],[BW_GA]])-1)/(Backend!$B$4/100*Table1[[#This Row],[BW40_3705]]),"")</f>
        <v/>
      </c>
      <c r="J8074" s="7" t="str">
        <f>IF(Table1[[#This Row],[Is Data Valid]]=TRUE,_xlfn.NORM.S.DIST(Table1[[#This Row],[Birthweight Z-Score]],TRUE)*100,"")</f>
        <v/>
      </c>
      <c r="K8074" s="7" t="str">
        <f>IF(Table1[[#This Row],[Is Data Valid]]=TRUE,_xlfn.NORM.S.DIST(Table1[[#This Row],[Birthweight Z-Score (BW-10%)]],TRUE)*100,"")</f>
        <v/>
      </c>
      <c r="L8074" s="7" t="str">
        <f>IF(Table1[[#This Row],[Is Data Valid]]=TRUE,_xlfn.NORM.S.DIST(Table1[[#This Row],[Birthweight Z-Score (BW+10%)]],TRUE)*100,"")</f>
        <v/>
      </c>
    </row>
    <row r="8075" spans="1:12" x14ac:dyDescent="0.35">
      <c r="A8075" s="3"/>
      <c r="B8075" s="2"/>
      <c r="C8075" s="2"/>
      <c r="D8075" s="2" t="b">
        <f>IF(AND(NOT(ISBLANK(Table1[[#This Row],[Fetal Sex (Male, Female or Unknown)]])),ISNUMBER(Table1[[#This Row],[Birthweight (grams)]]),ISNUMBER(Table1[[#This Row],[Gestation (days)]])),TRUE,FALSE)</f>
        <v>0</v>
      </c>
      <c r="E8075" s="2" t="str">
        <f>IF(Table1[[#This Row],[Is Data Valid]]=TRUE,IF(Table1[[#This Row],[Fetal Sex (Male, Female or Unknown)]]="Male",Backend!$C$6,IF(Table1[[#This Row],[Fetal Sex (Male, Female or Unknown)]]="Female",Backend!$C$7,IF(Table1[[#This Row],[Fetal Sex (Male, Female or Unknown)]]="Unknown",Backend!$C$8,"Error"))),"")</f>
        <v/>
      </c>
      <c r="F8075" s="8" t="str">
        <f>IF(Table1[[#This Row],[Is Data Valid]]=TRUE,EXP(0.578+0.332*((Table1[[#This Row],[Gestation (days)]]+0.5)/7)-0.00354*((Table1[[#This Row],[Gestation (days)]]+0.5)/7)^2)*Table1[[#This Row],[BW40_3705]],"")</f>
        <v/>
      </c>
      <c r="G8075" s="2" t="str">
        <f>IF(Table1[[#This Row],[Is Data Valid]]=TRUE,((Table1[[#This Row],[Birthweight (grams)]]/Table1[[#This Row],[BW_GA]])-1)/(Backend!$B$4/100*Table1[[#This Row],[BW40_3705]]),"")</f>
        <v/>
      </c>
      <c r="H8075" s="7" t="str">
        <f>IF(Table1[[#This Row],[Is Data Valid]]=TRUE,((Table1[[#This Row],[Birthweight (grams)]]*0.9/Table1[[#This Row],[BW_GA]])-1)/(Backend!$B$4/100*Table1[[#This Row],[BW40_3705]]),"")</f>
        <v/>
      </c>
      <c r="I8075" s="7" t="str">
        <f>IF(Table1[[#This Row],[Is Data Valid]]=TRUE,((Table1[[#This Row],[Birthweight (grams)]]*1.1/Table1[[#This Row],[BW_GA]])-1)/(Backend!$B$4/100*Table1[[#This Row],[BW40_3705]]),"")</f>
        <v/>
      </c>
      <c r="J8075" s="7" t="str">
        <f>IF(Table1[[#This Row],[Is Data Valid]]=TRUE,_xlfn.NORM.S.DIST(Table1[[#This Row],[Birthweight Z-Score]],TRUE)*100,"")</f>
        <v/>
      </c>
      <c r="K8075" s="7" t="str">
        <f>IF(Table1[[#This Row],[Is Data Valid]]=TRUE,_xlfn.NORM.S.DIST(Table1[[#This Row],[Birthweight Z-Score (BW-10%)]],TRUE)*100,"")</f>
        <v/>
      </c>
      <c r="L8075" s="7" t="str">
        <f>IF(Table1[[#This Row],[Is Data Valid]]=TRUE,_xlfn.NORM.S.DIST(Table1[[#This Row],[Birthweight Z-Score (BW+10%)]],TRUE)*100,"")</f>
        <v/>
      </c>
    </row>
    <row r="8076" spans="1:12" x14ac:dyDescent="0.35">
      <c r="A8076" s="3"/>
      <c r="B8076" s="2"/>
      <c r="C8076" s="2"/>
      <c r="D8076" s="2" t="b">
        <f>IF(AND(NOT(ISBLANK(Table1[[#This Row],[Fetal Sex (Male, Female or Unknown)]])),ISNUMBER(Table1[[#This Row],[Birthweight (grams)]]),ISNUMBER(Table1[[#This Row],[Gestation (days)]])),TRUE,FALSE)</f>
        <v>0</v>
      </c>
      <c r="E8076" s="2" t="str">
        <f>IF(Table1[[#This Row],[Is Data Valid]]=TRUE,IF(Table1[[#This Row],[Fetal Sex (Male, Female or Unknown)]]="Male",Backend!$C$6,IF(Table1[[#This Row],[Fetal Sex (Male, Female or Unknown)]]="Female",Backend!$C$7,IF(Table1[[#This Row],[Fetal Sex (Male, Female or Unknown)]]="Unknown",Backend!$C$8,"Error"))),"")</f>
        <v/>
      </c>
      <c r="F8076" s="8" t="str">
        <f>IF(Table1[[#This Row],[Is Data Valid]]=TRUE,EXP(0.578+0.332*((Table1[[#This Row],[Gestation (days)]]+0.5)/7)-0.00354*((Table1[[#This Row],[Gestation (days)]]+0.5)/7)^2)*Table1[[#This Row],[BW40_3705]],"")</f>
        <v/>
      </c>
      <c r="G8076" s="2" t="str">
        <f>IF(Table1[[#This Row],[Is Data Valid]]=TRUE,((Table1[[#This Row],[Birthweight (grams)]]/Table1[[#This Row],[BW_GA]])-1)/(Backend!$B$4/100*Table1[[#This Row],[BW40_3705]]),"")</f>
        <v/>
      </c>
      <c r="H8076" s="7" t="str">
        <f>IF(Table1[[#This Row],[Is Data Valid]]=TRUE,((Table1[[#This Row],[Birthweight (grams)]]*0.9/Table1[[#This Row],[BW_GA]])-1)/(Backend!$B$4/100*Table1[[#This Row],[BW40_3705]]),"")</f>
        <v/>
      </c>
      <c r="I8076" s="7" t="str">
        <f>IF(Table1[[#This Row],[Is Data Valid]]=TRUE,((Table1[[#This Row],[Birthweight (grams)]]*1.1/Table1[[#This Row],[BW_GA]])-1)/(Backend!$B$4/100*Table1[[#This Row],[BW40_3705]]),"")</f>
        <v/>
      </c>
      <c r="J8076" s="7" t="str">
        <f>IF(Table1[[#This Row],[Is Data Valid]]=TRUE,_xlfn.NORM.S.DIST(Table1[[#This Row],[Birthweight Z-Score]],TRUE)*100,"")</f>
        <v/>
      </c>
      <c r="K8076" s="7" t="str">
        <f>IF(Table1[[#This Row],[Is Data Valid]]=TRUE,_xlfn.NORM.S.DIST(Table1[[#This Row],[Birthweight Z-Score (BW-10%)]],TRUE)*100,"")</f>
        <v/>
      </c>
      <c r="L8076" s="7" t="str">
        <f>IF(Table1[[#This Row],[Is Data Valid]]=TRUE,_xlfn.NORM.S.DIST(Table1[[#This Row],[Birthweight Z-Score (BW+10%)]],TRUE)*100,"")</f>
        <v/>
      </c>
    </row>
    <row r="8077" spans="1:12" x14ac:dyDescent="0.35">
      <c r="A8077" s="3"/>
      <c r="B8077" s="2"/>
      <c r="C8077" s="2"/>
      <c r="D8077" s="2" t="b">
        <f>IF(AND(NOT(ISBLANK(Table1[[#This Row],[Fetal Sex (Male, Female or Unknown)]])),ISNUMBER(Table1[[#This Row],[Birthweight (grams)]]),ISNUMBER(Table1[[#This Row],[Gestation (days)]])),TRUE,FALSE)</f>
        <v>0</v>
      </c>
      <c r="E8077" s="2" t="str">
        <f>IF(Table1[[#This Row],[Is Data Valid]]=TRUE,IF(Table1[[#This Row],[Fetal Sex (Male, Female or Unknown)]]="Male",Backend!$C$6,IF(Table1[[#This Row],[Fetal Sex (Male, Female or Unknown)]]="Female",Backend!$C$7,IF(Table1[[#This Row],[Fetal Sex (Male, Female or Unknown)]]="Unknown",Backend!$C$8,"Error"))),"")</f>
        <v/>
      </c>
      <c r="F8077" s="8" t="str">
        <f>IF(Table1[[#This Row],[Is Data Valid]]=TRUE,EXP(0.578+0.332*((Table1[[#This Row],[Gestation (days)]]+0.5)/7)-0.00354*((Table1[[#This Row],[Gestation (days)]]+0.5)/7)^2)*Table1[[#This Row],[BW40_3705]],"")</f>
        <v/>
      </c>
      <c r="G8077" s="2" t="str">
        <f>IF(Table1[[#This Row],[Is Data Valid]]=TRUE,((Table1[[#This Row],[Birthweight (grams)]]/Table1[[#This Row],[BW_GA]])-1)/(Backend!$B$4/100*Table1[[#This Row],[BW40_3705]]),"")</f>
        <v/>
      </c>
      <c r="H8077" s="7" t="str">
        <f>IF(Table1[[#This Row],[Is Data Valid]]=TRUE,((Table1[[#This Row],[Birthweight (grams)]]*0.9/Table1[[#This Row],[BW_GA]])-1)/(Backend!$B$4/100*Table1[[#This Row],[BW40_3705]]),"")</f>
        <v/>
      </c>
      <c r="I8077" s="7" t="str">
        <f>IF(Table1[[#This Row],[Is Data Valid]]=TRUE,((Table1[[#This Row],[Birthweight (grams)]]*1.1/Table1[[#This Row],[BW_GA]])-1)/(Backend!$B$4/100*Table1[[#This Row],[BW40_3705]]),"")</f>
        <v/>
      </c>
      <c r="J8077" s="7" t="str">
        <f>IF(Table1[[#This Row],[Is Data Valid]]=TRUE,_xlfn.NORM.S.DIST(Table1[[#This Row],[Birthweight Z-Score]],TRUE)*100,"")</f>
        <v/>
      </c>
      <c r="K8077" s="7" t="str">
        <f>IF(Table1[[#This Row],[Is Data Valid]]=TRUE,_xlfn.NORM.S.DIST(Table1[[#This Row],[Birthweight Z-Score (BW-10%)]],TRUE)*100,"")</f>
        <v/>
      </c>
      <c r="L8077" s="7" t="str">
        <f>IF(Table1[[#This Row],[Is Data Valid]]=TRUE,_xlfn.NORM.S.DIST(Table1[[#This Row],[Birthweight Z-Score (BW+10%)]],TRUE)*100,"")</f>
        <v/>
      </c>
    </row>
    <row r="8078" spans="1:12" x14ac:dyDescent="0.35">
      <c r="A8078" s="3"/>
      <c r="B8078" s="2"/>
      <c r="C8078" s="2"/>
      <c r="D8078" s="2" t="b">
        <f>IF(AND(NOT(ISBLANK(Table1[[#This Row],[Fetal Sex (Male, Female or Unknown)]])),ISNUMBER(Table1[[#This Row],[Birthweight (grams)]]),ISNUMBER(Table1[[#This Row],[Gestation (days)]])),TRUE,FALSE)</f>
        <v>0</v>
      </c>
      <c r="E8078" s="2" t="str">
        <f>IF(Table1[[#This Row],[Is Data Valid]]=TRUE,IF(Table1[[#This Row],[Fetal Sex (Male, Female or Unknown)]]="Male",Backend!$C$6,IF(Table1[[#This Row],[Fetal Sex (Male, Female or Unknown)]]="Female",Backend!$C$7,IF(Table1[[#This Row],[Fetal Sex (Male, Female or Unknown)]]="Unknown",Backend!$C$8,"Error"))),"")</f>
        <v/>
      </c>
      <c r="F8078" s="8" t="str">
        <f>IF(Table1[[#This Row],[Is Data Valid]]=TRUE,EXP(0.578+0.332*((Table1[[#This Row],[Gestation (days)]]+0.5)/7)-0.00354*((Table1[[#This Row],[Gestation (days)]]+0.5)/7)^2)*Table1[[#This Row],[BW40_3705]],"")</f>
        <v/>
      </c>
      <c r="G8078" s="2" t="str">
        <f>IF(Table1[[#This Row],[Is Data Valid]]=TRUE,((Table1[[#This Row],[Birthweight (grams)]]/Table1[[#This Row],[BW_GA]])-1)/(Backend!$B$4/100*Table1[[#This Row],[BW40_3705]]),"")</f>
        <v/>
      </c>
      <c r="H8078" s="7" t="str">
        <f>IF(Table1[[#This Row],[Is Data Valid]]=TRUE,((Table1[[#This Row],[Birthweight (grams)]]*0.9/Table1[[#This Row],[BW_GA]])-1)/(Backend!$B$4/100*Table1[[#This Row],[BW40_3705]]),"")</f>
        <v/>
      </c>
      <c r="I8078" s="7" t="str">
        <f>IF(Table1[[#This Row],[Is Data Valid]]=TRUE,((Table1[[#This Row],[Birthweight (grams)]]*1.1/Table1[[#This Row],[BW_GA]])-1)/(Backend!$B$4/100*Table1[[#This Row],[BW40_3705]]),"")</f>
        <v/>
      </c>
      <c r="J8078" s="7" t="str">
        <f>IF(Table1[[#This Row],[Is Data Valid]]=TRUE,_xlfn.NORM.S.DIST(Table1[[#This Row],[Birthweight Z-Score]],TRUE)*100,"")</f>
        <v/>
      </c>
      <c r="K8078" s="7" t="str">
        <f>IF(Table1[[#This Row],[Is Data Valid]]=TRUE,_xlfn.NORM.S.DIST(Table1[[#This Row],[Birthweight Z-Score (BW-10%)]],TRUE)*100,"")</f>
        <v/>
      </c>
      <c r="L8078" s="7" t="str">
        <f>IF(Table1[[#This Row],[Is Data Valid]]=TRUE,_xlfn.NORM.S.DIST(Table1[[#This Row],[Birthweight Z-Score (BW+10%)]],TRUE)*100,"")</f>
        <v/>
      </c>
    </row>
    <row r="8079" spans="1:12" x14ac:dyDescent="0.35">
      <c r="A8079" s="3"/>
      <c r="B8079" s="2"/>
      <c r="C8079" s="2"/>
      <c r="D8079" s="2" t="b">
        <f>IF(AND(NOT(ISBLANK(Table1[[#This Row],[Fetal Sex (Male, Female or Unknown)]])),ISNUMBER(Table1[[#This Row],[Birthweight (grams)]]),ISNUMBER(Table1[[#This Row],[Gestation (days)]])),TRUE,FALSE)</f>
        <v>0</v>
      </c>
      <c r="E8079" s="2" t="str">
        <f>IF(Table1[[#This Row],[Is Data Valid]]=TRUE,IF(Table1[[#This Row],[Fetal Sex (Male, Female or Unknown)]]="Male",Backend!$C$6,IF(Table1[[#This Row],[Fetal Sex (Male, Female or Unknown)]]="Female",Backend!$C$7,IF(Table1[[#This Row],[Fetal Sex (Male, Female or Unknown)]]="Unknown",Backend!$C$8,"Error"))),"")</f>
        <v/>
      </c>
      <c r="F8079" s="8" t="str">
        <f>IF(Table1[[#This Row],[Is Data Valid]]=TRUE,EXP(0.578+0.332*((Table1[[#This Row],[Gestation (days)]]+0.5)/7)-0.00354*((Table1[[#This Row],[Gestation (days)]]+0.5)/7)^2)*Table1[[#This Row],[BW40_3705]],"")</f>
        <v/>
      </c>
      <c r="G8079" s="2" t="str">
        <f>IF(Table1[[#This Row],[Is Data Valid]]=TRUE,((Table1[[#This Row],[Birthweight (grams)]]/Table1[[#This Row],[BW_GA]])-1)/(Backend!$B$4/100*Table1[[#This Row],[BW40_3705]]),"")</f>
        <v/>
      </c>
      <c r="H8079" s="7" t="str">
        <f>IF(Table1[[#This Row],[Is Data Valid]]=TRUE,((Table1[[#This Row],[Birthweight (grams)]]*0.9/Table1[[#This Row],[BW_GA]])-1)/(Backend!$B$4/100*Table1[[#This Row],[BW40_3705]]),"")</f>
        <v/>
      </c>
      <c r="I8079" s="7" t="str">
        <f>IF(Table1[[#This Row],[Is Data Valid]]=TRUE,((Table1[[#This Row],[Birthweight (grams)]]*1.1/Table1[[#This Row],[BW_GA]])-1)/(Backend!$B$4/100*Table1[[#This Row],[BW40_3705]]),"")</f>
        <v/>
      </c>
      <c r="J8079" s="7" t="str">
        <f>IF(Table1[[#This Row],[Is Data Valid]]=TRUE,_xlfn.NORM.S.DIST(Table1[[#This Row],[Birthweight Z-Score]],TRUE)*100,"")</f>
        <v/>
      </c>
      <c r="K8079" s="7" t="str">
        <f>IF(Table1[[#This Row],[Is Data Valid]]=TRUE,_xlfn.NORM.S.DIST(Table1[[#This Row],[Birthweight Z-Score (BW-10%)]],TRUE)*100,"")</f>
        <v/>
      </c>
      <c r="L8079" s="7" t="str">
        <f>IF(Table1[[#This Row],[Is Data Valid]]=TRUE,_xlfn.NORM.S.DIST(Table1[[#This Row],[Birthweight Z-Score (BW+10%)]],TRUE)*100,"")</f>
        <v/>
      </c>
    </row>
    <row r="8080" spans="1:12" x14ac:dyDescent="0.35">
      <c r="A8080" s="3"/>
      <c r="B8080" s="2"/>
      <c r="C8080" s="2"/>
      <c r="D8080" s="2" t="b">
        <f>IF(AND(NOT(ISBLANK(Table1[[#This Row],[Fetal Sex (Male, Female or Unknown)]])),ISNUMBER(Table1[[#This Row],[Birthweight (grams)]]),ISNUMBER(Table1[[#This Row],[Gestation (days)]])),TRUE,FALSE)</f>
        <v>0</v>
      </c>
      <c r="E8080" s="2" t="str">
        <f>IF(Table1[[#This Row],[Is Data Valid]]=TRUE,IF(Table1[[#This Row],[Fetal Sex (Male, Female or Unknown)]]="Male",Backend!$C$6,IF(Table1[[#This Row],[Fetal Sex (Male, Female or Unknown)]]="Female",Backend!$C$7,IF(Table1[[#This Row],[Fetal Sex (Male, Female or Unknown)]]="Unknown",Backend!$C$8,"Error"))),"")</f>
        <v/>
      </c>
      <c r="F8080" s="8" t="str">
        <f>IF(Table1[[#This Row],[Is Data Valid]]=TRUE,EXP(0.578+0.332*((Table1[[#This Row],[Gestation (days)]]+0.5)/7)-0.00354*((Table1[[#This Row],[Gestation (days)]]+0.5)/7)^2)*Table1[[#This Row],[BW40_3705]],"")</f>
        <v/>
      </c>
      <c r="G8080" s="2" t="str">
        <f>IF(Table1[[#This Row],[Is Data Valid]]=TRUE,((Table1[[#This Row],[Birthweight (grams)]]/Table1[[#This Row],[BW_GA]])-1)/(Backend!$B$4/100*Table1[[#This Row],[BW40_3705]]),"")</f>
        <v/>
      </c>
      <c r="H8080" s="7" t="str">
        <f>IF(Table1[[#This Row],[Is Data Valid]]=TRUE,((Table1[[#This Row],[Birthweight (grams)]]*0.9/Table1[[#This Row],[BW_GA]])-1)/(Backend!$B$4/100*Table1[[#This Row],[BW40_3705]]),"")</f>
        <v/>
      </c>
      <c r="I8080" s="7" t="str">
        <f>IF(Table1[[#This Row],[Is Data Valid]]=TRUE,((Table1[[#This Row],[Birthweight (grams)]]*1.1/Table1[[#This Row],[BW_GA]])-1)/(Backend!$B$4/100*Table1[[#This Row],[BW40_3705]]),"")</f>
        <v/>
      </c>
      <c r="J8080" s="7" t="str">
        <f>IF(Table1[[#This Row],[Is Data Valid]]=TRUE,_xlfn.NORM.S.DIST(Table1[[#This Row],[Birthweight Z-Score]],TRUE)*100,"")</f>
        <v/>
      </c>
      <c r="K8080" s="7" t="str">
        <f>IF(Table1[[#This Row],[Is Data Valid]]=TRUE,_xlfn.NORM.S.DIST(Table1[[#This Row],[Birthweight Z-Score (BW-10%)]],TRUE)*100,"")</f>
        <v/>
      </c>
      <c r="L8080" s="7" t="str">
        <f>IF(Table1[[#This Row],[Is Data Valid]]=TRUE,_xlfn.NORM.S.DIST(Table1[[#This Row],[Birthweight Z-Score (BW+10%)]],TRUE)*100,"")</f>
        <v/>
      </c>
    </row>
    <row r="8081" spans="1:12" x14ac:dyDescent="0.35">
      <c r="A8081" s="3"/>
      <c r="B8081" s="2"/>
      <c r="C8081" s="2"/>
      <c r="D8081" s="2" t="b">
        <f>IF(AND(NOT(ISBLANK(Table1[[#This Row],[Fetal Sex (Male, Female or Unknown)]])),ISNUMBER(Table1[[#This Row],[Birthweight (grams)]]),ISNUMBER(Table1[[#This Row],[Gestation (days)]])),TRUE,FALSE)</f>
        <v>0</v>
      </c>
      <c r="E8081" s="2" t="str">
        <f>IF(Table1[[#This Row],[Is Data Valid]]=TRUE,IF(Table1[[#This Row],[Fetal Sex (Male, Female or Unknown)]]="Male",Backend!$C$6,IF(Table1[[#This Row],[Fetal Sex (Male, Female or Unknown)]]="Female",Backend!$C$7,IF(Table1[[#This Row],[Fetal Sex (Male, Female or Unknown)]]="Unknown",Backend!$C$8,"Error"))),"")</f>
        <v/>
      </c>
      <c r="F8081" s="8" t="str">
        <f>IF(Table1[[#This Row],[Is Data Valid]]=TRUE,EXP(0.578+0.332*((Table1[[#This Row],[Gestation (days)]]+0.5)/7)-0.00354*((Table1[[#This Row],[Gestation (days)]]+0.5)/7)^2)*Table1[[#This Row],[BW40_3705]],"")</f>
        <v/>
      </c>
      <c r="G8081" s="2" t="str">
        <f>IF(Table1[[#This Row],[Is Data Valid]]=TRUE,((Table1[[#This Row],[Birthweight (grams)]]/Table1[[#This Row],[BW_GA]])-1)/(Backend!$B$4/100*Table1[[#This Row],[BW40_3705]]),"")</f>
        <v/>
      </c>
      <c r="H8081" s="7" t="str">
        <f>IF(Table1[[#This Row],[Is Data Valid]]=TRUE,((Table1[[#This Row],[Birthweight (grams)]]*0.9/Table1[[#This Row],[BW_GA]])-1)/(Backend!$B$4/100*Table1[[#This Row],[BW40_3705]]),"")</f>
        <v/>
      </c>
      <c r="I8081" s="7" t="str">
        <f>IF(Table1[[#This Row],[Is Data Valid]]=TRUE,((Table1[[#This Row],[Birthweight (grams)]]*1.1/Table1[[#This Row],[BW_GA]])-1)/(Backend!$B$4/100*Table1[[#This Row],[BW40_3705]]),"")</f>
        <v/>
      </c>
      <c r="J8081" s="7" t="str">
        <f>IF(Table1[[#This Row],[Is Data Valid]]=TRUE,_xlfn.NORM.S.DIST(Table1[[#This Row],[Birthweight Z-Score]],TRUE)*100,"")</f>
        <v/>
      </c>
      <c r="K8081" s="7" t="str">
        <f>IF(Table1[[#This Row],[Is Data Valid]]=TRUE,_xlfn.NORM.S.DIST(Table1[[#This Row],[Birthweight Z-Score (BW-10%)]],TRUE)*100,"")</f>
        <v/>
      </c>
      <c r="L8081" s="7" t="str">
        <f>IF(Table1[[#This Row],[Is Data Valid]]=TRUE,_xlfn.NORM.S.DIST(Table1[[#This Row],[Birthweight Z-Score (BW+10%)]],TRUE)*100,"")</f>
        <v/>
      </c>
    </row>
    <row r="8082" spans="1:12" x14ac:dyDescent="0.35">
      <c r="A8082" s="3"/>
      <c r="B8082" s="2"/>
      <c r="C8082" s="2"/>
      <c r="D8082" s="2" t="b">
        <f>IF(AND(NOT(ISBLANK(Table1[[#This Row],[Fetal Sex (Male, Female or Unknown)]])),ISNUMBER(Table1[[#This Row],[Birthweight (grams)]]),ISNUMBER(Table1[[#This Row],[Gestation (days)]])),TRUE,FALSE)</f>
        <v>0</v>
      </c>
      <c r="E8082" s="2" t="str">
        <f>IF(Table1[[#This Row],[Is Data Valid]]=TRUE,IF(Table1[[#This Row],[Fetal Sex (Male, Female or Unknown)]]="Male",Backend!$C$6,IF(Table1[[#This Row],[Fetal Sex (Male, Female or Unknown)]]="Female",Backend!$C$7,IF(Table1[[#This Row],[Fetal Sex (Male, Female or Unknown)]]="Unknown",Backend!$C$8,"Error"))),"")</f>
        <v/>
      </c>
      <c r="F8082" s="8" t="str">
        <f>IF(Table1[[#This Row],[Is Data Valid]]=TRUE,EXP(0.578+0.332*((Table1[[#This Row],[Gestation (days)]]+0.5)/7)-0.00354*((Table1[[#This Row],[Gestation (days)]]+0.5)/7)^2)*Table1[[#This Row],[BW40_3705]],"")</f>
        <v/>
      </c>
      <c r="G8082" s="2" t="str">
        <f>IF(Table1[[#This Row],[Is Data Valid]]=TRUE,((Table1[[#This Row],[Birthweight (grams)]]/Table1[[#This Row],[BW_GA]])-1)/(Backend!$B$4/100*Table1[[#This Row],[BW40_3705]]),"")</f>
        <v/>
      </c>
      <c r="H8082" s="7" t="str">
        <f>IF(Table1[[#This Row],[Is Data Valid]]=TRUE,((Table1[[#This Row],[Birthweight (grams)]]*0.9/Table1[[#This Row],[BW_GA]])-1)/(Backend!$B$4/100*Table1[[#This Row],[BW40_3705]]),"")</f>
        <v/>
      </c>
      <c r="I8082" s="7" t="str">
        <f>IF(Table1[[#This Row],[Is Data Valid]]=TRUE,((Table1[[#This Row],[Birthweight (grams)]]*1.1/Table1[[#This Row],[BW_GA]])-1)/(Backend!$B$4/100*Table1[[#This Row],[BW40_3705]]),"")</f>
        <v/>
      </c>
      <c r="J8082" s="7" t="str">
        <f>IF(Table1[[#This Row],[Is Data Valid]]=TRUE,_xlfn.NORM.S.DIST(Table1[[#This Row],[Birthweight Z-Score]],TRUE)*100,"")</f>
        <v/>
      </c>
      <c r="K8082" s="7" t="str">
        <f>IF(Table1[[#This Row],[Is Data Valid]]=TRUE,_xlfn.NORM.S.DIST(Table1[[#This Row],[Birthweight Z-Score (BW-10%)]],TRUE)*100,"")</f>
        <v/>
      </c>
      <c r="L8082" s="7" t="str">
        <f>IF(Table1[[#This Row],[Is Data Valid]]=TRUE,_xlfn.NORM.S.DIST(Table1[[#This Row],[Birthweight Z-Score (BW+10%)]],TRUE)*100,"")</f>
        <v/>
      </c>
    </row>
    <row r="8083" spans="1:12" x14ac:dyDescent="0.35">
      <c r="A8083" s="3"/>
      <c r="B8083" s="2"/>
      <c r="C8083" s="2"/>
      <c r="D8083" s="2" t="b">
        <f>IF(AND(NOT(ISBLANK(Table1[[#This Row],[Fetal Sex (Male, Female or Unknown)]])),ISNUMBER(Table1[[#This Row],[Birthweight (grams)]]),ISNUMBER(Table1[[#This Row],[Gestation (days)]])),TRUE,FALSE)</f>
        <v>0</v>
      </c>
      <c r="E8083" s="2" t="str">
        <f>IF(Table1[[#This Row],[Is Data Valid]]=TRUE,IF(Table1[[#This Row],[Fetal Sex (Male, Female or Unknown)]]="Male",Backend!$C$6,IF(Table1[[#This Row],[Fetal Sex (Male, Female or Unknown)]]="Female",Backend!$C$7,IF(Table1[[#This Row],[Fetal Sex (Male, Female or Unknown)]]="Unknown",Backend!$C$8,"Error"))),"")</f>
        <v/>
      </c>
      <c r="F8083" s="8" t="str">
        <f>IF(Table1[[#This Row],[Is Data Valid]]=TRUE,EXP(0.578+0.332*((Table1[[#This Row],[Gestation (days)]]+0.5)/7)-0.00354*((Table1[[#This Row],[Gestation (days)]]+0.5)/7)^2)*Table1[[#This Row],[BW40_3705]],"")</f>
        <v/>
      </c>
      <c r="G8083" s="2" t="str">
        <f>IF(Table1[[#This Row],[Is Data Valid]]=TRUE,((Table1[[#This Row],[Birthweight (grams)]]/Table1[[#This Row],[BW_GA]])-1)/(Backend!$B$4/100*Table1[[#This Row],[BW40_3705]]),"")</f>
        <v/>
      </c>
      <c r="H8083" s="7" t="str">
        <f>IF(Table1[[#This Row],[Is Data Valid]]=TRUE,((Table1[[#This Row],[Birthweight (grams)]]*0.9/Table1[[#This Row],[BW_GA]])-1)/(Backend!$B$4/100*Table1[[#This Row],[BW40_3705]]),"")</f>
        <v/>
      </c>
      <c r="I8083" s="7" t="str">
        <f>IF(Table1[[#This Row],[Is Data Valid]]=TRUE,((Table1[[#This Row],[Birthweight (grams)]]*1.1/Table1[[#This Row],[BW_GA]])-1)/(Backend!$B$4/100*Table1[[#This Row],[BW40_3705]]),"")</f>
        <v/>
      </c>
      <c r="J8083" s="7" t="str">
        <f>IF(Table1[[#This Row],[Is Data Valid]]=TRUE,_xlfn.NORM.S.DIST(Table1[[#This Row],[Birthweight Z-Score]],TRUE)*100,"")</f>
        <v/>
      </c>
      <c r="K8083" s="7" t="str">
        <f>IF(Table1[[#This Row],[Is Data Valid]]=TRUE,_xlfn.NORM.S.DIST(Table1[[#This Row],[Birthweight Z-Score (BW-10%)]],TRUE)*100,"")</f>
        <v/>
      </c>
      <c r="L8083" s="7" t="str">
        <f>IF(Table1[[#This Row],[Is Data Valid]]=TRUE,_xlfn.NORM.S.DIST(Table1[[#This Row],[Birthweight Z-Score (BW+10%)]],TRUE)*100,"")</f>
        <v/>
      </c>
    </row>
    <row r="8084" spans="1:12" x14ac:dyDescent="0.35">
      <c r="A8084" s="3"/>
      <c r="B8084" s="2"/>
      <c r="C8084" s="2"/>
      <c r="D8084" s="2" t="b">
        <f>IF(AND(NOT(ISBLANK(Table1[[#This Row],[Fetal Sex (Male, Female or Unknown)]])),ISNUMBER(Table1[[#This Row],[Birthweight (grams)]]),ISNUMBER(Table1[[#This Row],[Gestation (days)]])),TRUE,FALSE)</f>
        <v>0</v>
      </c>
      <c r="E8084" s="2" t="str">
        <f>IF(Table1[[#This Row],[Is Data Valid]]=TRUE,IF(Table1[[#This Row],[Fetal Sex (Male, Female or Unknown)]]="Male",Backend!$C$6,IF(Table1[[#This Row],[Fetal Sex (Male, Female or Unknown)]]="Female",Backend!$C$7,IF(Table1[[#This Row],[Fetal Sex (Male, Female or Unknown)]]="Unknown",Backend!$C$8,"Error"))),"")</f>
        <v/>
      </c>
      <c r="F8084" s="8" t="str">
        <f>IF(Table1[[#This Row],[Is Data Valid]]=TRUE,EXP(0.578+0.332*((Table1[[#This Row],[Gestation (days)]]+0.5)/7)-0.00354*((Table1[[#This Row],[Gestation (days)]]+0.5)/7)^2)*Table1[[#This Row],[BW40_3705]],"")</f>
        <v/>
      </c>
      <c r="G8084" s="2" t="str">
        <f>IF(Table1[[#This Row],[Is Data Valid]]=TRUE,((Table1[[#This Row],[Birthweight (grams)]]/Table1[[#This Row],[BW_GA]])-1)/(Backend!$B$4/100*Table1[[#This Row],[BW40_3705]]),"")</f>
        <v/>
      </c>
      <c r="H8084" s="7" t="str">
        <f>IF(Table1[[#This Row],[Is Data Valid]]=TRUE,((Table1[[#This Row],[Birthweight (grams)]]*0.9/Table1[[#This Row],[BW_GA]])-1)/(Backend!$B$4/100*Table1[[#This Row],[BW40_3705]]),"")</f>
        <v/>
      </c>
      <c r="I8084" s="7" t="str">
        <f>IF(Table1[[#This Row],[Is Data Valid]]=TRUE,((Table1[[#This Row],[Birthweight (grams)]]*1.1/Table1[[#This Row],[BW_GA]])-1)/(Backend!$B$4/100*Table1[[#This Row],[BW40_3705]]),"")</f>
        <v/>
      </c>
      <c r="J8084" s="7" t="str">
        <f>IF(Table1[[#This Row],[Is Data Valid]]=TRUE,_xlfn.NORM.S.DIST(Table1[[#This Row],[Birthweight Z-Score]],TRUE)*100,"")</f>
        <v/>
      </c>
      <c r="K8084" s="7" t="str">
        <f>IF(Table1[[#This Row],[Is Data Valid]]=TRUE,_xlfn.NORM.S.DIST(Table1[[#This Row],[Birthweight Z-Score (BW-10%)]],TRUE)*100,"")</f>
        <v/>
      </c>
      <c r="L8084" s="7" t="str">
        <f>IF(Table1[[#This Row],[Is Data Valid]]=TRUE,_xlfn.NORM.S.DIST(Table1[[#This Row],[Birthweight Z-Score (BW+10%)]],TRUE)*100,"")</f>
        <v/>
      </c>
    </row>
    <row r="8085" spans="1:12" x14ac:dyDescent="0.35">
      <c r="A8085" s="3"/>
      <c r="B8085" s="2"/>
      <c r="C8085" s="2"/>
      <c r="D8085" s="2" t="b">
        <f>IF(AND(NOT(ISBLANK(Table1[[#This Row],[Fetal Sex (Male, Female or Unknown)]])),ISNUMBER(Table1[[#This Row],[Birthweight (grams)]]),ISNUMBER(Table1[[#This Row],[Gestation (days)]])),TRUE,FALSE)</f>
        <v>0</v>
      </c>
      <c r="E8085" s="2" t="str">
        <f>IF(Table1[[#This Row],[Is Data Valid]]=TRUE,IF(Table1[[#This Row],[Fetal Sex (Male, Female or Unknown)]]="Male",Backend!$C$6,IF(Table1[[#This Row],[Fetal Sex (Male, Female or Unknown)]]="Female",Backend!$C$7,IF(Table1[[#This Row],[Fetal Sex (Male, Female or Unknown)]]="Unknown",Backend!$C$8,"Error"))),"")</f>
        <v/>
      </c>
      <c r="F8085" s="8" t="str">
        <f>IF(Table1[[#This Row],[Is Data Valid]]=TRUE,EXP(0.578+0.332*((Table1[[#This Row],[Gestation (days)]]+0.5)/7)-0.00354*((Table1[[#This Row],[Gestation (days)]]+0.5)/7)^2)*Table1[[#This Row],[BW40_3705]],"")</f>
        <v/>
      </c>
      <c r="G8085" s="2" t="str">
        <f>IF(Table1[[#This Row],[Is Data Valid]]=TRUE,((Table1[[#This Row],[Birthweight (grams)]]/Table1[[#This Row],[BW_GA]])-1)/(Backend!$B$4/100*Table1[[#This Row],[BW40_3705]]),"")</f>
        <v/>
      </c>
      <c r="H8085" s="7" t="str">
        <f>IF(Table1[[#This Row],[Is Data Valid]]=TRUE,((Table1[[#This Row],[Birthweight (grams)]]*0.9/Table1[[#This Row],[BW_GA]])-1)/(Backend!$B$4/100*Table1[[#This Row],[BW40_3705]]),"")</f>
        <v/>
      </c>
      <c r="I8085" s="7" t="str">
        <f>IF(Table1[[#This Row],[Is Data Valid]]=TRUE,((Table1[[#This Row],[Birthweight (grams)]]*1.1/Table1[[#This Row],[BW_GA]])-1)/(Backend!$B$4/100*Table1[[#This Row],[BW40_3705]]),"")</f>
        <v/>
      </c>
      <c r="J8085" s="7" t="str">
        <f>IF(Table1[[#This Row],[Is Data Valid]]=TRUE,_xlfn.NORM.S.DIST(Table1[[#This Row],[Birthweight Z-Score]],TRUE)*100,"")</f>
        <v/>
      </c>
      <c r="K8085" s="7" t="str">
        <f>IF(Table1[[#This Row],[Is Data Valid]]=TRUE,_xlfn.NORM.S.DIST(Table1[[#This Row],[Birthweight Z-Score (BW-10%)]],TRUE)*100,"")</f>
        <v/>
      </c>
      <c r="L8085" s="7" t="str">
        <f>IF(Table1[[#This Row],[Is Data Valid]]=TRUE,_xlfn.NORM.S.DIST(Table1[[#This Row],[Birthweight Z-Score (BW+10%)]],TRUE)*100,"")</f>
        <v/>
      </c>
    </row>
    <row r="8086" spans="1:12" x14ac:dyDescent="0.35">
      <c r="A8086" s="3"/>
      <c r="B8086" s="2"/>
      <c r="C8086" s="2"/>
      <c r="D8086" s="2" t="b">
        <f>IF(AND(NOT(ISBLANK(Table1[[#This Row],[Fetal Sex (Male, Female or Unknown)]])),ISNUMBER(Table1[[#This Row],[Birthweight (grams)]]),ISNUMBER(Table1[[#This Row],[Gestation (days)]])),TRUE,FALSE)</f>
        <v>0</v>
      </c>
      <c r="E8086" s="2" t="str">
        <f>IF(Table1[[#This Row],[Is Data Valid]]=TRUE,IF(Table1[[#This Row],[Fetal Sex (Male, Female or Unknown)]]="Male",Backend!$C$6,IF(Table1[[#This Row],[Fetal Sex (Male, Female or Unknown)]]="Female",Backend!$C$7,IF(Table1[[#This Row],[Fetal Sex (Male, Female or Unknown)]]="Unknown",Backend!$C$8,"Error"))),"")</f>
        <v/>
      </c>
      <c r="F8086" s="8" t="str">
        <f>IF(Table1[[#This Row],[Is Data Valid]]=TRUE,EXP(0.578+0.332*((Table1[[#This Row],[Gestation (days)]]+0.5)/7)-0.00354*((Table1[[#This Row],[Gestation (days)]]+0.5)/7)^2)*Table1[[#This Row],[BW40_3705]],"")</f>
        <v/>
      </c>
      <c r="G8086" s="2" t="str">
        <f>IF(Table1[[#This Row],[Is Data Valid]]=TRUE,((Table1[[#This Row],[Birthweight (grams)]]/Table1[[#This Row],[BW_GA]])-1)/(Backend!$B$4/100*Table1[[#This Row],[BW40_3705]]),"")</f>
        <v/>
      </c>
      <c r="H8086" s="7" t="str">
        <f>IF(Table1[[#This Row],[Is Data Valid]]=TRUE,((Table1[[#This Row],[Birthweight (grams)]]*0.9/Table1[[#This Row],[BW_GA]])-1)/(Backend!$B$4/100*Table1[[#This Row],[BW40_3705]]),"")</f>
        <v/>
      </c>
      <c r="I8086" s="7" t="str">
        <f>IF(Table1[[#This Row],[Is Data Valid]]=TRUE,((Table1[[#This Row],[Birthweight (grams)]]*1.1/Table1[[#This Row],[BW_GA]])-1)/(Backend!$B$4/100*Table1[[#This Row],[BW40_3705]]),"")</f>
        <v/>
      </c>
      <c r="J8086" s="7" t="str">
        <f>IF(Table1[[#This Row],[Is Data Valid]]=TRUE,_xlfn.NORM.S.DIST(Table1[[#This Row],[Birthweight Z-Score]],TRUE)*100,"")</f>
        <v/>
      </c>
      <c r="K8086" s="7" t="str">
        <f>IF(Table1[[#This Row],[Is Data Valid]]=TRUE,_xlfn.NORM.S.DIST(Table1[[#This Row],[Birthweight Z-Score (BW-10%)]],TRUE)*100,"")</f>
        <v/>
      </c>
      <c r="L8086" s="7" t="str">
        <f>IF(Table1[[#This Row],[Is Data Valid]]=TRUE,_xlfn.NORM.S.DIST(Table1[[#This Row],[Birthweight Z-Score (BW+10%)]],TRUE)*100,"")</f>
        <v/>
      </c>
    </row>
    <row r="8087" spans="1:12" x14ac:dyDescent="0.35">
      <c r="A8087" s="3"/>
      <c r="B8087" s="2"/>
      <c r="C8087" s="2"/>
      <c r="D8087" s="2" t="b">
        <f>IF(AND(NOT(ISBLANK(Table1[[#This Row],[Fetal Sex (Male, Female or Unknown)]])),ISNUMBER(Table1[[#This Row],[Birthweight (grams)]]),ISNUMBER(Table1[[#This Row],[Gestation (days)]])),TRUE,FALSE)</f>
        <v>0</v>
      </c>
      <c r="E8087" s="2" t="str">
        <f>IF(Table1[[#This Row],[Is Data Valid]]=TRUE,IF(Table1[[#This Row],[Fetal Sex (Male, Female or Unknown)]]="Male",Backend!$C$6,IF(Table1[[#This Row],[Fetal Sex (Male, Female or Unknown)]]="Female",Backend!$C$7,IF(Table1[[#This Row],[Fetal Sex (Male, Female or Unknown)]]="Unknown",Backend!$C$8,"Error"))),"")</f>
        <v/>
      </c>
      <c r="F8087" s="8" t="str">
        <f>IF(Table1[[#This Row],[Is Data Valid]]=TRUE,EXP(0.578+0.332*((Table1[[#This Row],[Gestation (days)]]+0.5)/7)-0.00354*((Table1[[#This Row],[Gestation (days)]]+0.5)/7)^2)*Table1[[#This Row],[BW40_3705]],"")</f>
        <v/>
      </c>
      <c r="G8087" s="2" t="str">
        <f>IF(Table1[[#This Row],[Is Data Valid]]=TRUE,((Table1[[#This Row],[Birthweight (grams)]]/Table1[[#This Row],[BW_GA]])-1)/(Backend!$B$4/100*Table1[[#This Row],[BW40_3705]]),"")</f>
        <v/>
      </c>
      <c r="H8087" s="7" t="str">
        <f>IF(Table1[[#This Row],[Is Data Valid]]=TRUE,((Table1[[#This Row],[Birthweight (grams)]]*0.9/Table1[[#This Row],[BW_GA]])-1)/(Backend!$B$4/100*Table1[[#This Row],[BW40_3705]]),"")</f>
        <v/>
      </c>
      <c r="I8087" s="7" t="str">
        <f>IF(Table1[[#This Row],[Is Data Valid]]=TRUE,((Table1[[#This Row],[Birthweight (grams)]]*1.1/Table1[[#This Row],[BW_GA]])-1)/(Backend!$B$4/100*Table1[[#This Row],[BW40_3705]]),"")</f>
        <v/>
      </c>
      <c r="J8087" s="7" t="str">
        <f>IF(Table1[[#This Row],[Is Data Valid]]=TRUE,_xlfn.NORM.S.DIST(Table1[[#This Row],[Birthweight Z-Score]],TRUE)*100,"")</f>
        <v/>
      </c>
      <c r="K8087" s="7" t="str">
        <f>IF(Table1[[#This Row],[Is Data Valid]]=TRUE,_xlfn.NORM.S.DIST(Table1[[#This Row],[Birthweight Z-Score (BW-10%)]],TRUE)*100,"")</f>
        <v/>
      </c>
      <c r="L8087" s="7" t="str">
        <f>IF(Table1[[#This Row],[Is Data Valid]]=TRUE,_xlfn.NORM.S.DIST(Table1[[#This Row],[Birthweight Z-Score (BW+10%)]],TRUE)*100,"")</f>
        <v/>
      </c>
    </row>
    <row r="8088" spans="1:12" x14ac:dyDescent="0.35">
      <c r="A8088" s="3"/>
      <c r="B8088" s="2"/>
      <c r="C8088" s="2"/>
      <c r="D8088" s="2" t="b">
        <f>IF(AND(NOT(ISBLANK(Table1[[#This Row],[Fetal Sex (Male, Female or Unknown)]])),ISNUMBER(Table1[[#This Row],[Birthweight (grams)]]),ISNUMBER(Table1[[#This Row],[Gestation (days)]])),TRUE,FALSE)</f>
        <v>0</v>
      </c>
      <c r="E8088" s="2" t="str">
        <f>IF(Table1[[#This Row],[Is Data Valid]]=TRUE,IF(Table1[[#This Row],[Fetal Sex (Male, Female or Unknown)]]="Male",Backend!$C$6,IF(Table1[[#This Row],[Fetal Sex (Male, Female or Unknown)]]="Female",Backend!$C$7,IF(Table1[[#This Row],[Fetal Sex (Male, Female or Unknown)]]="Unknown",Backend!$C$8,"Error"))),"")</f>
        <v/>
      </c>
      <c r="F8088" s="8" t="str">
        <f>IF(Table1[[#This Row],[Is Data Valid]]=TRUE,EXP(0.578+0.332*((Table1[[#This Row],[Gestation (days)]]+0.5)/7)-0.00354*((Table1[[#This Row],[Gestation (days)]]+0.5)/7)^2)*Table1[[#This Row],[BW40_3705]],"")</f>
        <v/>
      </c>
      <c r="G8088" s="2" t="str">
        <f>IF(Table1[[#This Row],[Is Data Valid]]=TRUE,((Table1[[#This Row],[Birthweight (grams)]]/Table1[[#This Row],[BW_GA]])-1)/(Backend!$B$4/100*Table1[[#This Row],[BW40_3705]]),"")</f>
        <v/>
      </c>
      <c r="H8088" s="7" t="str">
        <f>IF(Table1[[#This Row],[Is Data Valid]]=TRUE,((Table1[[#This Row],[Birthweight (grams)]]*0.9/Table1[[#This Row],[BW_GA]])-1)/(Backend!$B$4/100*Table1[[#This Row],[BW40_3705]]),"")</f>
        <v/>
      </c>
      <c r="I8088" s="7" t="str">
        <f>IF(Table1[[#This Row],[Is Data Valid]]=TRUE,((Table1[[#This Row],[Birthweight (grams)]]*1.1/Table1[[#This Row],[BW_GA]])-1)/(Backend!$B$4/100*Table1[[#This Row],[BW40_3705]]),"")</f>
        <v/>
      </c>
      <c r="J8088" s="7" t="str">
        <f>IF(Table1[[#This Row],[Is Data Valid]]=TRUE,_xlfn.NORM.S.DIST(Table1[[#This Row],[Birthweight Z-Score]],TRUE)*100,"")</f>
        <v/>
      </c>
      <c r="K8088" s="7" t="str">
        <f>IF(Table1[[#This Row],[Is Data Valid]]=TRUE,_xlfn.NORM.S.DIST(Table1[[#This Row],[Birthweight Z-Score (BW-10%)]],TRUE)*100,"")</f>
        <v/>
      </c>
      <c r="L8088" s="7" t="str">
        <f>IF(Table1[[#This Row],[Is Data Valid]]=TRUE,_xlfn.NORM.S.DIST(Table1[[#This Row],[Birthweight Z-Score (BW+10%)]],TRUE)*100,"")</f>
        <v/>
      </c>
    </row>
    <row r="8089" spans="1:12" x14ac:dyDescent="0.35">
      <c r="A8089" s="3"/>
      <c r="B8089" s="2"/>
      <c r="C8089" s="2"/>
      <c r="D8089" s="2" t="b">
        <f>IF(AND(NOT(ISBLANK(Table1[[#This Row],[Fetal Sex (Male, Female or Unknown)]])),ISNUMBER(Table1[[#This Row],[Birthweight (grams)]]),ISNUMBER(Table1[[#This Row],[Gestation (days)]])),TRUE,FALSE)</f>
        <v>0</v>
      </c>
      <c r="E8089" s="2" t="str">
        <f>IF(Table1[[#This Row],[Is Data Valid]]=TRUE,IF(Table1[[#This Row],[Fetal Sex (Male, Female or Unknown)]]="Male",Backend!$C$6,IF(Table1[[#This Row],[Fetal Sex (Male, Female or Unknown)]]="Female",Backend!$C$7,IF(Table1[[#This Row],[Fetal Sex (Male, Female or Unknown)]]="Unknown",Backend!$C$8,"Error"))),"")</f>
        <v/>
      </c>
      <c r="F8089" s="8" t="str">
        <f>IF(Table1[[#This Row],[Is Data Valid]]=TRUE,EXP(0.578+0.332*((Table1[[#This Row],[Gestation (days)]]+0.5)/7)-0.00354*((Table1[[#This Row],[Gestation (days)]]+0.5)/7)^2)*Table1[[#This Row],[BW40_3705]],"")</f>
        <v/>
      </c>
      <c r="G8089" s="2" t="str">
        <f>IF(Table1[[#This Row],[Is Data Valid]]=TRUE,((Table1[[#This Row],[Birthweight (grams)]]/Table1[[#This Row],[BW_GA]])-1)/(Backend!$B$4/100*Table1[[#This Row],[BW40_3705]]),"")</f>
        <v/>
      </c>
      <c r="H8089" s="7" t="str">
        <f>IF(Table1[[#This Row],[Is Data Valid]]=TRUE,((Table1[[#This Row],[Birthweight (grams)]]*0.9/Table1[[#This Row],[BW_GA]])-1)/(Backend!$B$4/100*Table1[[#This Row],[BW40_3705]]),"")</f>
        <v/>
      </c>
      <c r="I8089" s="7" t="str">
        <f>IF(Table1[[#This Row],[Is Data Valid]]=TRUE,((Table1[[#This Row],[Birthweight (grams)]]*1.1/Table1[[#This Row],[BW_GA]])-1)/(Backend!$B$4/100*Table1[[#This Row],[BW40_3705]]),"")</f>
        <v/>
      </c>
      <c r="J8089" s="7" t="str">
        <f>IF(Table1[[#This Row],[Is Data Valid]]=TRUE,_xlfn.NORM.S.DIST(Table1[[#This Row],[Birthweight Z-Score]],TRUE)*100,"")</f>
        <v/>
      </c>
      <c r="K8089" s="7" t="str">
        <f>IF(Table1[[#This Row],[Is Data Valid]]=TRUE,_xlfn.NORM.S.DIST(Table1[[#This Row],[Birthweight Z-Score (BW-10%)]],TRUE)*100,"")</f>
        <v/>
      </c>
      <c r="L8089" s="7" t="str">
        <f>IF(Table1[[#This Row],[Is Data Valid]]=TRUE,_xlfn.NORM.S.DIST(Table1[[#This Row],[Birthweight Z-Score (BW+10%)]],TRUE)*100,"")</f>
        <v/>
      </c>
    </row>
    <row r="8090" spans="1:12" x14ac:dyDescent="0.35">
      <c r="A8090" s="3"/>
      <c r="B8090" s="2"/>
      <c r="C8090" s="2"/>
      <c r="D8090" s="2" t="b">
        <f>IF(AND(NOT(ISBLANK(Table1[[#This Row],[Fetal Sex (Male, Female or Unknown)]])),ISNUMBER(Table1[[#This Row],[Birthweight (grams)]]),ISNUMBER(Table1[[#This Row],[Gestation (days)]])),TRUE,FALSE)</f>
        <v>0</v>
      </c>
      <c r="E8090" s="2" t="str">
        <f>IF(Table1[[#This Row],[Is Data Valid]]=TRUE,IF(Table1[[#This Row],[Fetal Sex (Male, Female or Unknown)]]="Male",Backend!$C$6,IF(Table1[[#This Row],[Fetal Sex (Male, Female or Unknown)]]="Female",Backend!$C$7,IF(Table1[[#This Row],[Fetal Sex (Male, Female or Unknown)]]="Unknown",Backend!$C$8,"Error"))),"")</f>
        <v/>
      </c>
      <c r="F8090" s="8" t="str">
        <f>IF(Table1[[#This Row],[Is Data Valid]]=TRUE,EXP(0.578+0.332*((Table1[[#This Row],[Gestation (days)]]+0.5)/7)-0.00354*((Table1[[#This Row],[Gestation (days)]]+0.5)/7)^2)*Table1[[#This Row],[BW40_3705]],"")</f>
        <v/>
      </c>
      <c r="G8090" s="2" t="str">
        <f>IF(Table1[[#This Row],[Is Data Valid]]=TRUE,((Table1[[#This Row],[Birthweight (grams)]]/Table1[[#This Row],[BW_GA]])-1)/(Backend!$B$4/100*Table1[[#This Row],[BW40_3705]]),"")</f>
        <v/>
      </c>
      <c r="H8090" s="7" t="str">
        <f>IF(Table1[[#This Row],[Is Data Valid]]=TRUE,((Table1[[#This Row],[Birthweight (grams)]]*0.9/Table1[[#This Row],[BW_GA]])-1)/(Backend!$B$4/100*Table1[[#This Row],[BW40_3705]]),"")</f>
        <v/>
      </c>
      <c r="I8090" s="7" t="str">
        <f>IF(Table1[[#This Row],[Is Data Valid]]=TRUE,((Table1[[#This Row],[Birthweight (grams)]]*1.1/Table1[[#This Row],[BW_GA]])-1)/(Backend!$B$4/100*Table1[[#This Row],[BW40_3705]]),"")</f>
        <v/>
      </c>
      <c r="J8090" s="7" t="str">
        <f>IF(Table1[[#This Row],[Is Data Valid]]=TRUE,_xlfn.NORM.S.DIST(Table1[[#This Row],[Birthweight Z-Score]],TRUE)*100,"")</f>
        <v/>
      </c>
      <c r="K8090" s="7" t="str">
        <f>IF(Table1[[#This Row],[Is Data Valid]]=TRUE,_xlfn.NORM.S.DIST(Table1[[#This Row],[Birthweight Z-Score (BW-10%)]],TRUE)*100,"")</f>
        <v/>
      </c>
      <c r="L8090" s="7" t="str">
        <f>IF(Table1[[#This Row],[Is Data Valid]]=TRUE,_xlfn.NORM.S.DIST(Table1[[#This Row],[Birthweight Z-Score (BW+10%)]],TRUE)*100,"")</f>
        <v/>
      </c>
    </row>
    <row r="8091" spans="1:12" x14ac:dyDescent="0.35">
      <c r="A8091" s="3"/>
      <c r="B8091" s="2"/>
      <c r="C8091" s="2"/>
      <c r="D8091" s="2" t="b">
        <f>IF(AND(NOT(ISBLANK(Table1[[#This Row],[Fetal Sex (Male, Female or Unknown)]])),ISNUMBER(Table1[[#This Row],[Birthweight (grams)]]),ISNUMBER(Table1[[#This Row],[Gestation (days)]])),TRUE,FALSE)</f>
        <v>0</v>
      </c>
      <c r="E8091" s="2" t="str">
        <f>IF(Table1[[#This Row],[Is Data Valid]]=TRUE,IF(Table1[[#This Row],[Fetal Sex (Male, Female or Unknown)]]="Male",Backend!$C$6,IF(Table1[[#This Row],[Fetal Sex (Male, Female or Unknown)]]="Female",Backend!$C$7,IF(Table1[[#This Row],[Fetal Sex (Male, Female or Unknown)]]="Unknown",Backend!$C$8,"Error"))),"")</f>
        <v/>
      </c>
      <c r="F8091" s="8" t="str">
        <f>IF(Table1[[#This Row],[Is Data Valid]]=TRUE,EXP(0.578+0.332*((Table1[[#This Row],[Gestation (days)]]+0.5)/7)-0.00354*((Table1[[#This Row],[Gestation (days)]]+0.5)/7)^2)*Table1[[#This Row],[BW40_3705]],"")</f>
        <v/>
      </c>
      <c r="G8091" s="2" t="str">
        <f>IF(Table1[[#This Row],[Is Data Valid]]=TRUE,((Table1[[#This Row],[Birthweight (grams)]]/Table1[[#This Row],[BW_GA]])-1)/(Backend!$B$4/100*Table1[[#This Row],[BW40_3705]]),"")</f>
        <v/>
      </c>
      <c r="H8091" s="7" t="str">
        <f>IF(Table1[[#This Row],[Is Data Valid]]=TRUE,((Table1[[#This Row],[Birthweight (grams)]]*0.9/Table1[[#This Row],[BW_GA]])-1)/(Backend!$B$4/100*Table1[[#This Row],[BW40_3705]]),"")</f>
        <v/>
      </c>
      <c r="I8091" s="7" t="str">
        <f>IF(Table1[[#This Row],[Is Data Valid]]=TRUE,((Table1[[#This Row],[Birthweight (grams)]]*1.1/Table1[[#This Row],[BW_GA]])-1)/(Backend!$B$4/100*Table1[[#This Row],[BW40_3705]]),"")</f>
        <v/>
      </c>
      <c r="J8091" s="7" t="str">
        <f>IF(Table1[[#This Row],[Is Data Valid]]=TRUE,_xlfn.NORM.S.DIST(Table1[[#This Row],[Birthweight Z-Score]],TRUE)*100,"")</f>
        <v/>
      </c>
      <c r="K8091" s="7" t="str">
        <f>IF(Table1[[#This Row],[Is Data Valid]]=TRUE,_xlfn.NORM.S.DIST(Table1[[#This Row],[Birthweight Z-Score (BW-10%)]],TRUE)*100,"")</f>
        <v/>
      </c>
      <c r="L8091" s="7" t="str">
        <f>IF(Table1[[#This Row],[Is Data Valid]]=TRUE,_xlfn.NORM.S.DIST(Table1[[#This Row],[Birthweight Z-Score (BW+10%)]],TRUE)*100,"")</f>
        <v/>
      </c>
    </row>
    <row r="8092" spans="1:12" x14ac:dyDescent="0.35">
      <c r="A8092" s="3"/>
      <c r="B8092" s="2"/>
      <c r="C8092" s="2"/>
      <c r="D8092" s="2" t="b">
        <f>IF(AND(NOT(ISBLANK(Table1[[#This Row],[Fetal Sex (Male, Female or Unknown)]])),ISNUMBER(Table1[[#This Row],[Birthweight (grams)]]),ISNUMBER(Table1[[#This Row],[Gestation (days)]])),TRUE,FALSE)</f>
        <v>0</v>
      </c>
      <c r="E8092" s="2" t="str">
        <f>IF(Table1[[#This Row],[Is Data Valid]]=TRUE,IF(Table1[[#This Row],[Fetal Sex (Male, Female or Unknown)]]="Male",Backend!$C$6,IF(Table1[[#This Row],[Fetal Sex (Male, Female or Unknown)]]="Female",Backend!$C$7,IF(Table1[[#This Row],[Fetal Sex (Male, Female or Unknown)]]="Unknown",Backend!$C$8,"Error"))),"")</f>
        <v/>
      </c>
      <c r="F8092" s="8" t="str">
        <f>IF(Table1[[#This Row],[Is Data Valid]]=TRUE,EXP(0.578+0.332*((Table1[[#This Row],[Gestation (days)]]+0.5)/7)-0.00354*((Table1[[#This Row],[Gestation (days)]]+0.5)/7)^2)*Table1[[#This Row],[BW40_3705]],"")</f>
        <v/>
      </c>
      <c r="G8092" s="2" t="str">
        <f>IF(Table1[[#This Row],[Is Data Valid]]=TRUE,((Table1[[#This Row],[Birthweight (grams)]]/Table1[[#This Row],[BW_GA]])-1)/(Backend!$B$4/100*Table1[[#This Row],[BW40_3705]]),"")</f>
        <v/>
      </c>
      <c r="H8092" s="7" t="str">
        <f>IF(Table1[[#This Row],[Is Data Valid]]=TRUE,((Table1[[#This Row],[Birthweight (grams)]]*0.9/Table1[[#This Row],[BW_GA]])-1)/(Backend!$B$4/100*Table1[[#This Row],[BW40_3705]]),"")</f>
        <v/>
      </c>
      <c r="I8092" s="7" t="str">
        <f>IF(Table1[[#This Row],[Is Data Valid]]=TRUE,((Table1[[#This Row],[Birthweight (grams)]]*1.1/Table1[[#This Row],[BW_GA]])-1)/(Backend!$B$4/100*Table1[[#This Row],[BW40_3705]]),"")</f>
        <v/>
      </c>
      <c r="J8092" s="7" t="str">
        <f>IF(Table1[[#This Row],[Is Data Valid]]=TRUE,_xlfn.NORM.S.DIST(Table1[[#This Row],[Birthweight Z-Score]],TRUE)*100,"")</f>
        <v/>
      </c>
      <c r="K8092" s="7" t="str">
        <f>IF(Table1[[#This Row],[Is Data Valid]]=TRUE,_xlfn.NORM.S.DIST(Table1[[#This Row],[Birthweight Z-Score (BW-10%)]],TRUE)*100,"")</f>
        <v/>
      </c>
      <c r="L8092" s="7" t="str">
        <f>IF(Table1[[#This Row],[Is Data Valid]]=TRUE,_xlfn.NORM.S.DIST(Table1[[#This Row],[Birthweight Z-Score (BW+10%)]],TRUE)*100,"")</f>
        <v/>
      </c>
    </row>
    <row r="8093" spans="1:12" x14ac:dyDescent="0.35">
      <c r="A8093" s="3"/>
      <c r="B8093" s="2"/>
      <c r="C8093" s="2"/>
      <c r="D8093" s="2" t="b">
        <f>IF(AND(NOT(ISBLANK(Table1[[#This Row],[Fetal Sex (Male, Female or Unknown)]])),ISNUMBER(Table1[[#This Row],[Birthweight (grams)]]),ISNUMBER(Table1[[#This Row],[Gestation (days)]])),TRUE,FALSE)</f>
        <v>0</v>
      </c>
      <c r="E8093" s="2" t="str">
        <f>IF(Table1[[#This Row],[Is Data Valid]]=TRUE,IF(Table1[[#This Row],[Fetal Sex (Male, Female or Unknown)]]="Male",Backend!$C$6,IF(Table1[[#This Row],[Fetal Sex (Male, Female or Unknown)]]="Female",Backend!$C$7,IF(Table1[[#This Row],[Fetal Sex (Male, Female or Unknown)]]="Unknown",Backend!$C$8,"Error"))),"")</f>
        <v/>
      </c>
      <c r="F8093" s="8" t="str">
        <f>IF(Table1[[#This Row],[Is Data Valid]]=TRUE,EXP(0.578+0.332*((Table1[[#This Row],[Gestation (days)]]+0.5)/7)-0.00354*((Table1[[#This Row],[Gestation (days)]]+0.5)/7)^2)*Table1[[#This Row],[BW40_3705]],"")</f>
        <v/>
      </c>
      <c r="G8093" s="2" t="str">
        <f>IF(Table1[[#This Row],[Is Data Valid]]=TRUE,((Table1[[#This Row],[Birthweight (grams)]]/Table1[[#This Row],[BW_GA]])-1)/(Backend!$B$4/100*Table1[[#This Row],[BW40_3705]]),"")</f>
        <v/>
      </c>
      <c r="H8093" s="7" t="str">
        <f>IF(Table1[[#This Row],[Is Data Valid]]=TRUE,((Table1[[#This Row],[Birthweight (grams)]]*0.9/Table1[[#This Row],[BW_GA]])-1)/(Backend!$B$4/100*Table1[[#This Row],[BW40_3705]]),"")</f>
        <v/>
      </c>
      <c r="I8093" s="7" t="str">
        <f>IF(Table1[[#This Row],[Is Data Valid]]=TRUE,((Table1[[#This Row],[Birthweight (grams)]]*1.1/Table1[[#This Row],[BW_GA]])-1)/(Backend!$B$4/100*Table1[[#This Row],[BW40_3705]]),"")</f>
        <v/>
      </c>
      <c r="J8093" s="7" t="str">
        <f>IF(Table1[[#This Row],[Is Data Valid]]=TRUE,_xlfn.NORM.S.DIST(Table1[[#This Row],[Birthweight Z-Score]],TRUE)*100,"")</f>
        <v/>
      </c>
      <c r="K8093" s="7" t="str">
        <f>IF(Table1[[#This Row],[Is Data Valid]]=TRUE,_xlfn.NORM.S.DIST(Table1[[#This Row],[Birthweight Z-Score (BW-10%)]],TRUE)*100,"")</f>
        <v/>
      </c>
      <c r="L8093" s="7" t="str">
        <f>IF(Table1[[#This Row],[Is Data Valid]]=TRUE,_xlfn.NORM.S.DIST(Table1[[#This Row],[Birthweight Z-Score (BW+10%)]],TRUE)*100,"")</f>
        <v/>
      </c>
    </row>
    <row r="8094" spans="1:12" x14ac:dyDescent="0.35">
      <c r="A8094" s="3"/>
      <c r="B8094" s="2"/>
      <c r="C8094" s="2"/>
      <c r="D8094" s="2" t="b">
        <f>IF(AND(NOT(ISBLANK(Table1[[#This Row],[Fetal Sex (Male, Female or Unknown)]])),ISNUMBER(Table1[[#This Row],[Birthweight (grams)]]),ISNUMBER(Table1[[#This Row],[Gestation (days)]])),TRUE,FALSE)</f>
        <v>0</v>
      </c>
      <c r="E8094" s="2" t="str">
        <f>IF(Table1[[#This Row],[Is Data Valid]]=TRUE,IF(Table1[[#This Row],[Fetal Sex (Male, Female or Unknown)]]="Male",Backend!$C$6,IF(Table1[[#This Row],[Fetal Sex (Male, Female or Unknown)]]="Female",Backend!$C$7,IF(Table1[[#This Row],[Fetal Sex (Male, Female or Unknown)]]="Unknown",Backend!$C$8,"Error"))),"")</f>
        <v/>
      </c>
      <c r="F8094" s="8" t="str">
        <f>IF(Table1[[#This Row],[Is Data Valid]]=TRUE,EXP(0.578+0.332*((Table1[[#This Row],[Gestation (days)]]+0.5)/7)-0.00354*((Table1[[#This Row],[Gestation (days)]]+0.5)/7)^2)*Table1[[#This Row],[BW40_3705]],"")</f>
        <v/>
      </c>
      <c r="G8094" s="2" t="str">
        <f>IF(Table1[[#This Row],[Is Data Valid]]=TRUE,((Table1[[#This Row],[Birthweight (grams)]]/Table1[[#This Row],[BW_GA]])-1)/(Backend!$B$4/100*Table1[[#This Row],[BW40_3705]]),"")</f>
        <v/>
      </c>
      <c r="H8094" s="7" t="str">
        <f>IF(Table1[[#This Row],[Is Data Valid]]=TRUE,((Table1[[#This Row],[Birthweight (grams)]]*0.9/Table1[[#This Row],[BW_GA]])-1)/(Backend!$B$4/100*Table1[[#This Row],[BW40_3705]]),"")</f>
        <v/>
      </c>
      <c r="I8094" s="7" t="str">
        <f>IF(Table1[[#This Row],[Is Data Valid]]=TRUE,((Table1[[#This Row],[Birthweight (grams)]]*1.1/Table1[[#This Row],[BW_GA]])-1)/(Backend!$B$4/100*Table1[[#This Row],[BW40_3705]]),"")</f>
        <v/>
      </c>
      <c r="J8094" s="7" t="str">
        <f>IF(Table1[[#This Row],[Is Data Valid]]=TRUE,_xlfn.NORM.S.DIST(Table1[[#This Row],[Birthweight Z-Score]],TRUE)*100,"")</f>
        <v/>
      </c>
      <c r="K8094" s="7" t="str">
        <f>IF(Table1[[#This Row],[Is Data Valid]]=TRUE,_xlfn.NORM.S.DIST(Table1[[#This Row],[Birthweight Z-Score (BW-10%)]],TRUE)*100,"")</f>
        <v/>
      </c>
      <c r="L8094" s="7" t="str">
        <f>IF(Table1[[#This Row],[Is Data Valid]]=TRUE,_xlfn.NORM.S.DIST(Table1[[#This Row],[Birthweight Z-Score (BW+10%)]],TRUE)*100,"")</f>
        <v/>
      </c>
    </row>
    <row r="8095" spans="1:12" x14ac:dyDescent="0.35">
      <c r="A8095" s="3"/>
      <c r="B8095" s="2"/>
      <c r="C8095" s="2"/>
      <c r="D8095" s="2" t="b">
        <f>IF(AND(NOT(ISBLANK(Table1[[#This Row],[Fetal Sex (Male, Female or Unknown)]])),ISNUMBER(Table1[[#This Row],[Birthweight (grams)]]),ISNUMBER(Table1[[#This Row],[Gestation (days)]])),TRUE,FALSE)</f>
        <v>0</v>
      </c>
      <c r="E8095" s="2" t="str">
        <f>IF(Table1[[#This Row],[Is Data Valid]]=TRUE,IF(Table1[[#This Row],[Fetal Sex (Male, Female or Unknown)]]="Male",Backend!$C$6,IF(Table1[[#This Row],[Fetal Sex (Male, Female or Unknown)]]="Female",Backend!$C$7,IF(Table1[[#This Row],[Fetal Sex (Male, Female or Unknown)]]="Unknown",Backend!$C$8,"Error"))),"")</f>
        <v/>
      </c>
      <c r="F8095" s="8" t="str">
        <f>IF(Table1[[#This Row],[Is Data Valid]]=TRUE,EXP(0.578+0.332*((Table1[[#This Row],[Gestation (days)]]+0.5)/7)-0.00354*((Table1[[#This Row],[Gestation (days)]]+0.5)/7)^2)*Table1[[#This Row],[BW40_3705]],"")</f>
        <v/>
      </c>
      <c r="G8095" s="2" t="str">
        <f>IF(Table1[[#This Row],[Is Data Valid]]=TRUE,((Table1[[#This Row],[Birthweight (grams)]]/Table1[[#This Row],[BW_GA]])-1)/(Backend!$B$4/100*Table1[[#This Row],[BW40_3705]]),"")</f>
        <v/>
      </c>
      <c r="H8095" s="7" t="str">
        <f>IF(Table1[[#This Row],[Is Data Valid]]=TRUE,((Table1[[#This Row],[Birthweight (grams)]]*0.9/Table1[[#This Row],[BW_GA]])-1)/(Backend!$B$4/100*Table1[[#This Row],[BW40_3705]]),"")</f>
        <v/>
      </c>
      <c r="I8095" s="7" t="str">
        <f>IF(Table1[[#This Row],[Is Data Valid]]=TRUE,((Table1[[#This Row],[Birthweight (grams)]]*1.1/Table1[[#This Row],[BW_GA]])-1)/(Backend!$B$4/100*Table1[[#This Row],[BW40_3705]]),"")</f>
        <v/>
      </c>
      <c r="J8095" s="7" t="str">
        <f>IF(Table1[[#This Row],[Is Data Valid]]=TRUE,_xlfn.NORM.S.DIST(Table1[[#This Row],[Birthweight Z-Score]],TRUE)*100,"")</f>
        <v/>
      </c>
      <c r="K8095" s="7" t="str">
        <f>IF(Table1[[#This Row],[Is Data Valid]]=TRUE,_xlfn.NORM.S.DIST(Table1[[#This Row],[Birthweight Z-Score (BW-10%)]],TRUE)*100,"")</f>
        <v/>
      </c>
      <c r="L8095" s="7" t="str">
        <f>IF(Table1[[#This Row],[Is Data Valid]]=TRUE,_xlfn.NORM.S.DIST(Table1[[#This Row],[Birthweight Z-Score (BW+10%)]],TRUE)*100,"")</f>
        <v/>
      </c>
    </row>
    <row r="8096" spans="1:12" x14ac:dyDescent="0.35">
      <c r="A8096" s="3"/>
      <c r="B8096" s="2"/>
      <c r="C8096" s="2"/>
      <c r="D8096" s="2" t="b">
        <f>IF(AND(NOT(ISBLANK(Table1[[#This Row],[Fetal Sex (Male, Female or Unknown)]])),ISNUMBER(Table1[[#This Row],[Birthweight (grams)]]),ISNUMBER(Table1[[#This Row],[Gestation (days)]])),TRUE,FALSE)</f>
        <v>0</v>
      </c>
      <c r="E8096" s="2" t="str">
        <f>IF(Table1[[#This Row],[Is Data Valid]]=TRUE,IF(Table1[[#This Row],[Fetal Sex (Male, Female or Unknown)]]="Male",Backend!$C$6,IF(Table1[[#This Row],[Fetal Sex (Male, Female or Unknown)]]="Female",Backend!$C$7,IF(Table1[[#This Row],[Fetal Sex (Male, Female or Unknown)]]="Unknown",Backend!$C$8,"Error"))),"")</f>
        <v/>
      </c>
      <c r="F8096" s="8" t="str">
        <f>IF(Table1[[#This Row],[Is Data Valid]]=TRUE,EXP(0.578+0.332*((Table1[[#This Row],[Gestation (days)]]+0.5)/7)-0.00354*((Table1[[#This Row],[Gestation (days)]]+0.5)/7)^2)*Table1[[#This Row],[BW40_3705]],"")</f>
        <v/>
      </c>
      <c r="G8096" s="2" t="str">
        <f>IF(Table1[[#This Row],[Is Data Valid]]=TRUE,((Table1[[#This Row],[Birthweight (grams)]]/Table1[[#This Row],[BW_GA]])-1)/(Backend!$B$4/100*Table1[[#This Row],[BW40_3705]]),"")</f>
        <v/>
      </c>
      <c r="H8096" s="7" t="str">
        <f>IF(Table1[[#This Row],[Is Data Valid]]=TRUE,((Table1[[#This Row],[Birthweight (grams)]]*0.9/Table1[[#This Row],[BW_GA]])-1)/(Backend!$B$4/100*Table1[[#This Row],[BW40_3705]]),"")</f>
        <v/>
      </c>
      <c r="I8096" s="7" t="str">
        <f>IF(Table1[[#This Row],[Is Data Valid]]=TRUE,((Table1[[#This Row],[Birthweight (grams)]]*1.1/Table1[[#This Row],[BW_GA]])-1)/(Backend!$B$4/100*Table1[[#This Row],[BW40_3705]]),"")</f>
        <v/>
      </c>
      <c r="J8096" s="7" t="str">
        <f>IF(Table1[[#This Row],[Is Data Valid]]=TRUE,_xlfn.NORM.S.DIST(Table1[[#This Row],[Birthweight Z-Score]],TRUE)*100,"")</f>
        <v/>
      </c>
      <c r="K8096" s="7" t="str">
        <f>IF(Table1[[#This Row],[Is Data Valid]]=TRUE,_xlfn.NORM.S.DIST(Table1[[#This Row],[Birthweight Z-Score (BW-10%)]],TRUE)*100,"")</f>
        <v/>
      </c>
      <c r="L8096" s="7" t="str">
        <f>IF(Table1[[#This Row],[Is Data Valid]]=TRUE,_xlfn.NORM.S.DIST(Table1[[#This Row],[Birthweight Z-Score (BW+10%)]],TRUE)*100,"")</f>
        <v/>
      </c>
    </row>
    <row r="8097" spans="1:12" x14ac:dyDescent="0.35">
      <c r="A8097" s="3"/>
      <c r="B8097" s="2"/>
      <c r="C8097" s="2"/>
      <c r="D8097" s="2" t="b">
        <f>IF(AND(NOT(ISBLANK(Table1[[#This Row],[Fetal Sex (Male, Female or Unknown)]])),ISNUMBER(Table1[[#This Row],[Birthweight (grams)]]),ISNUMBER(Table1[[#This Row],[Gestation (days)]])),TRUE,FALSE)</f>
        <v>0</v>
      </c>
      <c r="E8097" s="2" t="str">
        <f>IF(Table1[[#This Row],[Is Data Valid]]=TRUE,IF(Table1[[#This Row],[Fetal Sex (Male, Female or Unknown)]]="Male",Backend!$C$6,IF(Table1[[#This Row],[Fetal Sex (Male, Female or Unknown)]]="Female",Backend!$C$7,IF(Table1[[#This Row],[Fetal Sex (Male, Female or Unknown)]]="Unknown",Backend!$C$8,"Error"))),"")</f>
        <v/>
      </c>
      <c r="F8097" s="8" t="str">
        <f>IF(Table1[[#This Row],[Is Data Valid]]=TRUE,EXP(0.578+0.332*((Table1[[#This Row],[Gestation (days)]]+0.5)/7)-0.00354*((Table1[[#This Row],[Gestation (days)]]+0.5)/7)^2)*Table1[[#This Row],[BW40_3705]],"")</f>
        <v/>
      </c>
      <c r="G8097" s="2" t="str">
        <f>IF(Table1[[#This Row],[Is Data Valid]]=TRUE,((Table1[[#This Row],[Birthweight (grams)]]/Table1[[#This Row],[BW_GA]])-1)/(Backend!$B$4/100*Table1[[#This Row],[BW40_3705]]),"")</f>
        <v/>
      </c>
      <c r="H8097" s="7" t="str">
        <f>IF(Table1[[#This Row],[Is Data Valid]]=TRUE,((Table1[[#This Row],[Birthweight (grams)]]*0.9/Table1[[#This Row],[BW_GA]])-1)/(Backend!$B$4/100*Table1[[#This Row],[BW40_3705]]),"")</f>
        <v/>
      </c>
      <c r="I8097" s="7" t="str">
        <f>IF(Table1[[#This Row],[Is Data Valid]]=TRUE,((Table1[[#This Row],[Birthweight (grams)]]*1.1/Table1[[#This Row],[BW_GA]])-1)/(Backend!$B$4/100*Table1[[#This Row],[BW40_3705]]),"")</f>
        <v/>
      </c>
      <c r="J8097" s="7" t="str">
        <f>IF(Table1[[#This Row],[Is Data Valid]]=TRUE,_xlfn.NORM.S.DIST(Table1[[#This Row],[Birthweight Z-Score]],TRUE)*100,"")</f>
        <v/>
      </c>
      <c r="K8097" s="7" t="str">
        <f>IF(Table1[[#This Row],[Is Data Valid]]=TRUE,_xlfn.NORM.S.DIST(Table1[[#This Row],[Birthweight Z-Score (BW-10%)]],TRUE)*100,"")</f>
        <v/>
      </c>
      <c r="L8097" s="7" t="str">
        <f>IF(Table1[[#This Row],[Is Data Valid]]=TRUE,_xlfn.NORM.S.DIST(Table1[[#This Row],[Birthweight Z-Score (BW+10%)]],TRUE)*100,"")</f>
        <v/>
      </c>
    </row>
    <row r="8098" spans="1:12" x14ac:dyDescent="0.35">
      <c r="A8098" s="3"/>
      <c r="B8098" s="2"/>
      <c r="C8098" s="2"/>
      <c r="D8098" s="2" t="b">
        <f>IF(AND(NOT(ISBLANK(Table1[[#This Row],[Fetal Sex (Male, Female or Unknown)]])),ISNUMBER(Table1[[#This Row],[Birthweight (grams)]]),ISNUMBER(Table1[[#This Row],[Gestation (days)]])),TRUE,FALSE)</f>
        <v>0</v>
      </c>
      <c r="E8098" s="2" t="str">
        <f>IF(Table1[[#This Row],[Is Data Valid]]=TRUE,IF(Table1[[#This Row],[Fetal Sex (Male, Female or Unknown)]]="Male",Backend!$C$6,IF(Table1[[#This Row],[Fetal Sex (Male, Female or Unknown)]]="Female",Backend!$C$7,IF(Table1[[#This Row],[Fetal Sex (Male, Female or Unknown)]]="Unknown",Backend!$C$8,"Error"))),"")</f>
        <v/>
      </c>
      <c r="F8098" s="8" t="str">
        <f>IF(Table1[[#This Row],[Is Data Valid]]=TRUE,EXP(0.578+0.332*((Table1[[#This Row],[Gestation (days)]]+0.5)/7)-0.00354*((Table1[[#This Row],[Gestation (days)]]+0.5)/7)^2)*Table1[[#This Row],[BW40_3705]],"")</f>
        <v/>
      </c>
      <c r="G8098" s="2" t="str">
        <f>IF(Table1[[#This Row],[Is Data Valid]]=TRUE,((Table1[[#This Row],[Birthweight (grams)]]/Table1[[#This Row],[BW_GA]])-1)/(Backend!$B$4/100*Table1[[#This Row],[BW40_3705]]),"")</f>
        <v/>
      </c>
      <c r="H8098" s="7" t="str">
        <f>IF(Table1[[#This Row],[Is Data Valid]]=TRUE,((Table1[[#This Row],[Birthweight (grams)]]*0.9/Table1[[#This Row],[BW_GA]])-1)/(Backend!$B$4/100*Table1[[#This Row],[BW40_3705]]),"")</f>
        <v/>
      </c>
      <c r="I8098" s="7" t="str">
        <f>IF(Table1[[#This Row],[Is Data Valid]]=TRUE,((Table1[[#This Row],[Birthweight (grams)]]*1.1/Table1[[#This Row],[BW_GA]])-1)/(Backend!$B$4/100*Table1[[#This Row],[BW40_3705]]),"")</f>
        <v/>
      </c>
      <c r="J8098" s="7" t="str">
        <f>IF(Table1[[#This Row],[Is Data Valid]]=TRUE,_xlfn.NORM.S.DIST(Table1[[#This Row],[Birthweight Z-Score]],TRUE)*100,"")</f>
        <v/>
      </c>
      <c r="K8098" s="7" t="str">
        <f>IF(Table1[[#This Row],[Is Data Valid]]=TRUE,_xlfn.NORM.S.DIST(Table1[[#This Row],[Birthweight Z-Score (BW-10%)]],TRUE)*100,"")</f>
        <v/>
      </c>
      <c r="L8098" s="7" t="str">
        <f>IF(Table1[[#This Row],[Is Data Valid]]=TRUE,_xlfn.NORM.S.DIST(Table1[[#This Row],[Birthweight Z-Score (BW+10%)]],TRUE)*100,"")</f>
        <v/>
      </c>
    </row>
    <row r="8099" spans="1:12" x14ac:dyDescent="0.35">
      <c r="A8099" s="3"/>
      <c r="B8099" s="2"/>
      <c r="C8099" s="2"/>
      <c r="D8099" s="2" t="b">
        <f>IF(AND(NOT(ISBLANK(Table1[[#This Row],[Fetal Sex (Male, Female or Unknown)]])),ISNUMBER(Table1[[#This Row],[Birthweight (grams)]]),ISNUMBER(Table1[[#This Row],[Gestation (days)]])),TRUE,FALSE)</f>
        <v>0</v>
      </c>
      <c r="E8099" s="2" t="str">
        <f>IF(Table1[[#This Row],[Is Data Valid]]=TRUE,IF(Table1[[#This Row],[Fetal Sex (Male, Female or Unknown)]]="Male",Backend!$C$6,IF(Table1[[#This Row],[Fetal Sex (Male, Female or Unknown)]]="Female",Backend!$C$7,IF(Table1[[#This Row],[Fetal Sex (Male, Female or Unknown)]]="Unknown",Backend!$C$8,"Error"))),"")</f>
        <v/>
      </c>
      <c r="F8099" s="8" t="str">
        <f>IF(Table1[[#This Row],[Is Data Valid]]=TRUE,EXP(0.578+0.332*((Table1[[#This Row],[Gestation (days)]]+0.5)/7)-0.00354*((Table1[[#This Row],[Gestation (days)]]+0.5)/7)^2)*Table1[[#This Row],[BW40_3705]],"")</f>
        <v/>
      </c>
      <c r="G8099" s="2" t="str">
        <f>IF(Table1[[#This Row],[Is Data Valid]]=TRUE,((Table1[[#This Row],[Birthweight (grams)]]/Table1[[#This Row],[BW_GA]])-1)/(Backend!$B$4/100*Table1[[#This Row],[BW40_3705]]),"")</f>
        <v/>
      </c>
      <c r="H8099" s="7" t="str">
        <f>IF(Table1[[#This Row],[Is Data Valid]]=TRUE,((Table1[[#This Row],[Birthweight (grams)]]*0.9/Table1[[#This Row],[BW_GA]])-1)/(Backend!$B$4/100*Table1[[#This Row],[BW40_3705]]),"")</f>
        <v/>
      </c>
      <c r="I8099" s="7" t="str">
        <f>IF(Table1[[#This Row],[Is Data Valid]]=TRUE,((Table1[[#This Row],[Birthweight (grams)]]*1.1/Table1[[#This Row],[BW_GA]])-1)/(Backend!$B$4/100*Table1[[#This Row],[BW40_3705]]),"")</f>
        <v/>
      </c>
      <c r="J8099" s="7" t="str">
        <f>IF(Table1[[#This Row],[Is Data Valid]]=TRUE,_xlfn.NORM.S.DIST(Table1[[#This Row],[Birthweight Z-Score]],TRUE)*100,"")</f>
        <v/>
      </c>
      <c r="K8099" s="7" t="str">
        <f>IF(Table1[[#This Row],[Is Data Valid]]=TRUE,_xlfn.NORM.S.DIST(Table1[[#This Row],[Birthweight Z-Score (BW-10%)]],TRUE)*100,"")</f>
        <v/>
      </c>
      <c r="L8099" s="7" t="str">
        <f>IF(Table1[[#This Row],[Is Data Valid]]=TRUE,_xlfn.NORM.S.DIST(Table1[[#This Row],[Birthweight Z-Score (BW+10%)]],TRUE)*100,"")</f>
        <v/>
      </c>
    </row>
    <row r="8100" spans="1:12" x14ac:dyDescent="0.35">
      <c r="A8100" s="3"/>
      <c r="B8100" s="2"/>
      <c r="C8100" s="2"/>
      <c r="D8100" s="2" t="b">
        <f>IF(AND(NOT(ISBLANK(Table1[[#This Row],[Fetal Sex (Male, Female or Unknown)]])),ISNUMBER(Table1[[#This Row],[Birthweight (grams)]]),ISNUMBER(Table1[[#This Row],[Gestation (days)]])),TRUE,FALSE)</f>
        <v>0</v>
      </c>
      <c r="E8100" s="2" t="str">
        <f>IF(Table1[[#This Row],[Is Data Valid]]=TRUE,IF(Table1[[#This Row],[Fetal Sex (Male, Female or Unknown)]]="Male",Backend!$C$6,IF(Table1[[#This Row],[Fetal Sex (Male, Female or Unknown)]]="Female",Backend!$C$7,IF(Table1[[#This Row],[Fetal Sex (Male, Female or Unknown)]]="Unknown",Backend!$C$8,"Error"))),"")</f>
        <v/>
      </c>
      <c r="F8100" s="8" t="str">
        <f>IF(Table1[[#This Row],[Is Data Valid]]=TRUE,EXP(0.578+0.332*((Table1[[#This Row],[Gestation (days)]]+0.5)/7)-0.00354*((Table1[[#This Row],[Gestation (days)]]+0.5)/7)^2)*Table1[[#This Row],[BW40_3705]],"")</f>
        <v/>
      </c>
      <c r="G8100" s="2" t="str">
        <f>IF(Table1[[#This Row],[Is Data Valid]]=TRUE,((Table1[[#This Row],[Birthweight (grams)]]/Table1[[#This Row],[BW_GA]])-1)/(Backend!$B$4/100*Table1[[#This Row],[BW40_3705]]),"")</f>
        <v/>
      </c>
      <c r="H8100" s="7" t="str">
        <f>IF(Table1[[#This Row],[Is Data Valid]]=TRUE,((Table1[[#This Row],[Birthweight (grams)]]*0.9/Table1[[#This Row],[BW_GA]])-1)/(Backend!$B$4/100*Table1[[#This Row],[BW40_3705]]),"")</f>
        <v/>
      </c>
      <c r="I8100" s="7" t="str">
        <f>IF(Table1[[#This Row],[Is Data Valid]]=TRUE,((Table1[[#This Row],[Birthweight (grams)]]*1.1/Table1[[#This Row],[BW_GA]])-1)/(Backend!$B$4/100*Table1[[#This Row],[BW40_3705]]),"")</f>
        <v/>
      </c>
      <c r="J8100" s="7" t="str">
        <f>IF(Table1[[#This Row],[Is Data Valid]]=TRUE,_xlfn.NORM.S.DIST(Table1[[#This Row],[Birthweight Z-Score]],TRUE)*100,"")</f>
        <v/>
      </c>
      <c r="K8100" s="7" t="str">
        <f>IF(Table1[[#This Row],[Is Data Valid]]=TRUE,_xlfn.NORM.S.DIST(Table1[[#This Row],[Birthweight Z-Score (BW-10%)]],TRUE)*100,"")</f>
        <v/>
      </c>
      <c r="L8100" s="7" t="str">
        <f>IF(Table1[[#This Row],[Is Data Valid]]=TRUE,_xlfn.NORM.S.DIST(Table1[[#This Row],[Birthweight Z-Score (BW+10%)]],TRUE)*100,"")</f>
        <v/>
      </c>
    </row>
    <row r="8101" spans="1:12" x14ac:dyDescent="0.35">
      <c r="A8101" s="3"/>
      <c r="B8101" s="2"/>
      <c r="C8101" s="2"/>
      <c r="D8101" s="2" t="b">
        <f>IF(AND(NOT(ISBLANK(Table1[[#This Row],[Fetal Sex (Male, Female or Unknown)]])),ISNUMBER(Table1[[#This Row],[Birthweight (grams)]]),ISNUMBER(Table1[[#This Row],[Gestation (days)]])),TRUE,FALSE)</f>
        <v>0</v>
      </c>
      <c r="E8101" s="2" t="str">
        <f>IF(Table1[[#This Row],[Is Data Valid]]=TRUE,IF(Table1[[#This Row],[Fetal Sex (Male, Female or Unknown)]]="Male",Backend!$C$6,IF(Table1[[#This Row],[Fetal Sex (Male, Female or Unknown)]]="Female",Backend!$C$7,IF(Table1[[#This Row],[Fetal Sex (Male, Female or Unknown)]]="Unknown",Backend!$C$8,"Error"))),"")</f>
        <v/>
      </c>
      <c r="F8101" s="8" t="str">
        <f>IF(Table1[[#This Row],[Is Data Valid]]=TRUE,EXP(0.578+0.332*((Table1[[#This Row],[Gestation (days)]]+0.5)/7)-0.00354*((Table1[[#This Row],[Gestation (days)]]+0.5)/7)^2)*Table1[[#This Row],[BW40_3705]],"")</f>
        <v/>
      </c>
      <c r="G8101" s="2" t="str">
        <f>IF(Table1[[#This Row],[Is Data Valid]]=TRUE,((Table1[[#This Row],[Birthweight (grams)]]/Table1[[#This Row],[BW_GA]])-1)/(Backend!$B$4/100*Table1[[#This Row],[BW40_3705]]),"")</f>
        <v/>
      </c>
      <c r="H8101" s="7" t="str">
        <f>IF(Table1[[#This Row],[Is Data Valid]]=TRUE,((Table1[[#This Row],[Birthweight (grams)]]*0.9/Table1[[#This Row],[BW_GA]])-1)/(Backend!$B$4/100*Table1[[#This Row],[BW40_3705]]),"")</f>
        <v/>
      </c>
      <c r="I8101" s="7" t="str">
        <f>IF(Table1[[#This Row],[Is Data Valid]]=TRUE,((Table1[[#This Row],[Birthweight (grams)]]*1.1/Table1[[#This Row],[BW_GA]])-1)/(Backend!$B$4/100*Table1[[#This Row],[BW40_3705]]),"")</f>
        <v/>
      </c>
      <c r="J8101" s="7" t="str">
        <f>IF(Table1[[#This Row],[Is Data Valid]]=TRUE,_xlfn.NORM.S.DIST(Table1[[#This Row],[Birthweight Z-Score]],TRUE)*100,"")</f>
        <v/>
      </c>
      <c r="K8101" s="7" t="str">
        <f>IF(Table1[[#This Row],[Is Data Valid]]=TRUE,_xlfn.NORM.S.DIST(Table1[[#This Row],[Birthweight Z-Score (BW-10%)]],TRUE)*100,"")</f>
        <v/>
      </c>
      <c r="L8101" s="7" t="str">
        <f>IF(Table1[[#This Row],[Is Data Valid]]=TRUE,_xlfn.NORM.S.DIST(Table1[[#This Row],[Birthweight Z-Score (BW+10%)]],TRUE)*100,"")</f>
        <v/>
      </c>
    </row>
    <row r="8102" spans="1:12" x14ac:dyDescent="0.35">
      <c r="A8102" s="3"/>
      <c r="B8102" s="2"/>
      <c r="C8102" s="2"/>
      <c r="D8102" s="2" t="b">
        <f>IF(AND(NOT(ISBLANK(Table1[[#This Row],[Fetal Sex (Male, Female or Unknown)]])),ISNUMBER(Table1[[#This Row],[Birthweight (grams)]]),ISNUMBER(Table1[[#This Row],[Gestation (days)]])),TRUE,FALSE)</f>
        <v>0</v>
      </c>
      <c r="E8102" s="2" t="str">
        <f>IF(Table1[[#This Row],[Is Data Valid]]=TRUE,IF(Table1[[#This Row],[Fetal Sex (Male, Female or Unknown)]]="Male",Backend!$C$6,IF(Table1[[#This Row],[Fetal Sex (Male, Female or Unknown)]]="Female",Backend!$C$7,IF(Table1[[#This Row],[Fetal Sex (Male, Female or Unknown)]]="Unknown",Backend!$C$8,"Error"))),"")</f>
        <v/>
      </c>
      <c r="F8102" s="8" t="str">
        <f>IF(Table1[[#This Row],[Is Data Valid]]=TRUE,EXP(0.578+0.332*((Table1[[#This Row],[Gestation (days)]]+0.5)/7)-0.00354*((Table1[[#This Row],[Gestation (days)]]+0.5)/7)^2)*Table1[[#This Row],[BW40_3705]],"")</f>
        <v/>
      </c>
      <c r="G8102" s="2" t="str">
        <f>IF(Table1[[#This Row],[Is Data Valid]]=TRUE,((Table1[[#This Row],[Birthweight (grams)]]/Table1[[#This Row],[BW_GA]])-1)/(Backend!$B$4/100*Table1[[#This Row],[BW40_3705]]),"")</f>
        <v/>
      </c>
      <c r="H8102" s="7" t="str">
        <f>IF(Table1[[#This Row],[Is Data Valid]]=TRUE,((Table1[[#This Row],[Birthweight (grams)]]*0.9/Table1[[#This Row],[BW_GA]])-1)/(Backend!$B$4/100*Table1[[#This Row],[BW40_3705]]),"")</f>
        <v/>
      </c>
      <c r="I8102" s="7" t="str">
        <f>IF(Table1[[#This Row],[Is Data Valid]]=TRUE,((Table1[[#This Row],[Birthweight (grams)]]*1.1/Table1[[#This Row],[BW_GA]])-1)/(Backend!$B$4/100*Table1[[#This Row],[BW40_3705]]),"")</f>
        <v/>
      </c>
      <c r="J8102" s="7" t="str">
        <f>IF(Table1[[#This Row],[Is Data Valid]]=TRUE,_xlfn.NORM.S.DIST(Table1[[#This Row],[Birthweight Z-Score]],TRUE)*100,"")</f>
        <v/>
      </c>
      <c r="K8102" s="7" t="str">
        <f>IF(Table1[[#This Row],[Is Data Valid]]=TRUE,_xlfn.NORM.S.DIST(Table1[[#This Row],[Birthweight Z-Score (BW-10%)]],TRUE)*100,"")</f>
        <v/>
      </c>
      <c r="L8102" s="7" t="str">
        <f>IF(Table1[[#This Row],[Is Data Valid]]=TRUE,_xlfn.NORM.S.DIST(Table1[[#This Row],[Birthweight Z-Score (BW+10%)]],TRUE)*100,"")</f>
        <v/>
      </c>
    </row>
    <row r="8103" spans="1:12" x14ac:dyDescent="0.35">
      <c r="A8103" s="3"/>
      <c r="B8103" s="2"/>
      <c r="C8103" s="2"/>
      <c r="D8103" s="2" t="b">
        <f>IF(AND(NOT(ISBLANK(Table1[[#This Row],[Fetal Sex (Male, Female or Unknown)]])),ISNUMBER(Table1[[#This Row],[Birthweight (grams)]]),ISNUMBER(Table1[[#This Row],[Gestation (days)]])),TRUE,FALSE)</f>
        <v>0</v>
      </c>
      <c r="E8103" s="2" t="str">
        <f>IF(Table1[[#This Row],[Is Data Valid]]=TRUE,IF(Table1[[#This Row],[Fetal Sex (Male, Female or Unknown)]]="Male",Backend!$C$6,IF(Table1[[#This Row],[Fetal Sex (Male, Female or Unknown)]]="Female",Backend!$C$7,IF(Table1[[#This Row],[Fetal Sex (Male, Female or Unknown)]]="Unknown",Backend!$C$8,"Error"))),"")</f>
        <v/>
      </c>
      <c r="F8103" s="8" t="str">
        <f>IF(Table1[[#This Row],[Is Data Valid]]=TRUE,EXP(0.578+0.332*((Table1[[#This Row],[Gestation (days)]]+0.5)/7)-0.00354*((Table1[[#This Row],[Gestation (days)]]+0.5)/7)^2)*Table1[[#This Row],[BW40_3705]],"")</f>
        <v/>
      </c>
      <c r="G8103" s="2" t="str">
        <f>IF(Table1[[#This Row],[Is Data Valid]]=TRUE,((Table1[[#This Row],[Birthweight (grams)]]/Table1[[#This Row],[BW_GA]])-1)/(Backend!$B$4/100*Table1[[#This Row],[BW40_3705]]),"")</f>
        <v/>
      </c>
      <c r="H8103" s="7" t="str">
        <f>IF(Table1[[#This Row],[Is Data Valid]]=TRUE,((Table1[[#This Row],[Birthweight (grams)]]*0.9/Table1[[#This Row],[BW_GA]])-1)/(Backend!$B$4/100*Table1[[#This Row],[BW40_3705]]),"")</f>
        <v/>
      </c>
      <c r="I8103" s="7" t="str">
        <f>IF(Table1[[#This Row],[Is Data Valid]]=TRUE,((Table1[[#This Row],[Birthweight (grams)]]*1.1/Table1[[#This Row],[BW_GA]])-1)/(Backend!$B$4/100*Table1[[#This Row],[BW40_3705]]),"")</f>
        <v/>
      </c>
      <c r="J8103" s="7" t="str">
        <f>IF(Table1[[#This Row],[Is Data Valid]]=TRUE,_xlfn.NORM.S.DIST(Table1[[#This Row],[Birthweight Z-Score]],TRUE)*100,"")</f>
        <v/>
      </c>
      <c r="K8103" s="7" t="str">
        <f>IF(Table1[[#This Row],[Is Data Valid]]=TRUE,_xlfn.NORM.S.DIST(Table1[[#This Row],[Birthweight Z-Score (BW-10%)]],TRUE)*100,"")</f>
        <v/>
      </c>
      <c r="L8103" s="7" t="str">
        <f>IF(Table1[[#This Row],[Is Data Valid]]=TRUE,_xlfn.NORM.S.DIST(Table1[[#This Row],[Birthweight Z-Score (BW+10%)]],TRUE)*100,"")</f>
        <v/>
      </c>
    </row>
    <row r="8104" spans="1:12" x14ac:dyDescent="0.35">
      <c r="A8104" s="3"/>
      <c r="B8104" s="2"/>
      <c r="C8104" s="2"/>
      <c r="D8104" s="2" t="b">
        <f>IF(AND(NOT(ISBLANK(Table1[[#This Row],[Fetal Sex (Male, Female or Unknown)]])),ISNUMBER(Table1[[#This Row],[Birthweight (grams)]]),ISNUMBER(Table1[[#This Row],[Gestation (days)]])),TRUE,FALSE)</f>
        <v>0</v>
      </c>
      <c r="E8104" s="2" t="str">
        <f>IF(Table1[[#This Row],[Is Data Valid]]=TRUE,IF(Table1[[#This Row],[Fetal Sex (Male, Female or Unknown)]]="Male",Backend!$C$6,IF(Table1[[#This Row],[Fetal Sex (Male, Female or Unknown)]]="Female",Backend!$C$7,IF(Table1[[#This Row],[Fetal Sex (Male, Female or Unknown)]]="Unknown",Backend!$C$8,"Error"))),"")</f>
        <v/>
      </c>
      <c r="F8104" s="8" t="str">
        <f>IF(Table1[[#This Row],[Is Data Valid]]=TRUE,EXP(0.578+0.332*((Table1[[#This Row],[Gestation (days)]]+0.5)/7)-0.00354*((Table1[[#This Row],[Gestation (days)]]+0.5)/7)^2)*Table1[[#This Row],[BW40_3705]],"")</f>
        <v/>
      </c>
      <c r="G8104" s="2" t="str">
        <f>IF(Table1[[#This Row],[Is Data Valid]]=TRUE,((Table1[[#This Row],[Birthweight (grams)]]/Table1[[#This Row],[BW_GA]])-1)/(Backend!$B$4/100*Table1[[#This Row],[BW40_3705]]),"")</f>
        <v/>
      </c>
      <c r="H8104" s="7" t="str">
        <f>IF(Table1[[#This Row],[Is Data Valid]]=TRUE,((Table1[[#This Row],[Birthweight (grams)]]*0.9/Table1[[#This Row],[BW_GA]])-1)/(Backend!$B$4/100*Table1[[#This Row],[BW40_3705]]),"")</f>
        <v/>
      </c>
      <c r="I8104" s="7" t="str">
        <f>IF(Table1[[#This Row],[Is Data Valid]]=TRUE,((Table1[[#This Row],[Birthweight (grams)]]*1.1/Table1[[#This Row],[BW_GA]])-1)/(Backend!$B$4/100*Table1[[#This Row],[BW40_3705]]),"")</f>
        <v/>
      </c>
      <c r="J8104" s="7" t="str">
        <f>IF(Table1[[#This Row],[Is Data Valid]]=TRUE,_xlfn.NORM.S.DIST(Table1[[#This Row],[Birthweight Z-Score]],TRUE)*100,"")</f>
        <v/>
      </c>
      <c r="K8104" s="7" t="str">
        <f>IF(Table1[[#This Row],[Is Data Valid]]=TRUE,_xlfn.NORM.S.DIST(Table1[[#This Row],[Birthweight Z-Score (BW-10%)]],TRUE)*100,"")</f>
        <v/>
      </c>
      <c r="L8104" s="7" t="str">
        <f>IF(Table1[[#This Row],[Is Data Valid]]=TRUE,_xlfn.NORM.S.DIST(Table1[[#This Row],[Birthweight Z-Score (BW+10%)]],TRUE)*100,"")</f>
        <v/>
      </c>
    </row>
    <row r="8105" spans="1:12" x14ac:dyDescent="0.35">
      <c r="A8105" s="3"/>
      <c r="B8105" s="2"/>
      <c r="C8105" s="2"/>
      <c r="D8105" s="2" t="b">
        <f>IF(AND(NOT(ISBLANK(Table1[[#This Row],[Fetal Sex (Male, Female or Unknown)]])),ISNUMBER(Table1[[#This Row],[Birthweight (grams)]]),ISNUMBER(Table1[[#This Row],[Gestation (days)]])),TRUE,FALSE)</f>
        <v>0</v>
      </c>
      <c r="E8105" s="2" t="str">
        <f>IF(Table1[[#This Row],[Is Data Valid]]=TRUE,IF(Table1[[#This Row],[Fetal Sex (Male, Female or Unknown)]]="Male",Backend!$C$6,IF(Table1[[#This Row],[Fetal Sex (Male, Female or Unknown)]]="Female",Backend!$C$7,IF(Table1[[#This Row],[Fetal Sex (Male, Female or Unknown)]]="Unknown",Backend!$C$8,"Error"))),"")</f>
        <v/>
      </c>
      <c r="F8105" s="8" t="str">
        <f>IF(Table1[[#This Row],[Is Data Valid]]=TRUE,EXP(0.578+0.332*((Table1[[#This Row],[Gestation (days)]]+0.5)/7)-0.00354*((Table1[[#This Row],[Gestation (days)]]+0.5)/7)^2)*Table1[[#This Row],[BW40_3705]],"")</f>
        <v/>
      </c>
      <c r="G8105" s="2" t="str">
        <f>IF(Table1[[#This Row],[Is Data Valid]]=TRUE,((Table1[[#This Row],[Birthweight (grams)]]/Table1[[#This Row],[BW_GA]])-1)/(Backend!$B$4/100*Table1[[#This Row],[BW40_3705]]),"")</f>
        <v/>
      </c>
      <c r="H8105" s="7" t="str">
        <f>IF(Table1[[#This Row],[Is Data Valid]]=TRUE,((Table1[[#This Row],[Birthweight (grams)]]*0.9/Table1[[#This Row],[BW_GA]])-1)/(Backend!$B$4/100*Table1[[#This Row],[BW40_3705]]),"")</f>
        <v/>
      </c>
      <c r="I8105" s="7" t="str">
        <f>IF(Table1[[#This Row],[Is Data Valid]]=TRUE,((Table1[[#This Row],[Birthweight (grams)]]*1.1/Table1[[#This Row],[BW_GA]])-1)/(Backend!$B$4/100*Table1[[#This Row],[BW40_3705]]),"")</f>
        <v/>
      </c>
      <c r="J8105" s="7" t="str">
        <f>IF(Table1[[#This Row],[Is Data Valid]]=TRUE,_xlfn.NORM.S.DIST(Table1[[#This Row],[Birthweight Z-Score]],TRUE)*100,"")</f>
        <v/>
      </c>
      <c r="K8105" s="7" t="str">
        <f>IF(Table1[[#This Row],[Is Data Valid]]=TRUE,_xlfn.NORM.S.DIST(Table1[[#This Row],[Birthweight Z-Score (BW-10%)]],TRUE)*100,"")</f>
        <v/>
      </c>
      <c r="L8105" s="7" t="str">
        <f>IF(Table1[[#This Row],[Is Data Valid]]=TRUE,_xlfn.NORM.S.DIST(Table1[[#This Row],[Birthweight Z-Score (BW+10%)]],TRUE)*100,"")</f>
        <v/>
      </c>
    </row>
    <row r="8106" spans="1:12" x14ac:dyDescent="0.35">
      <c r="A8106" s="3"/>
      <c r="B8106" s="2"/>
      <c r="C8106" s="2"/>
      <c r="D8106" s="2" t="b">
        <f>IF(AND(NOT(ISBLANK(Table1[[#This Row],[Fetal Sex (Male, Female or Unknown)]])),ISNUMBER(Table1[[#This Row],[Birthweight (grams)]]),ISNUMBER(Table1[[#This Row],[Gestation (days)]])),TRUE,FALSE)</f>
        <v>0</v>
      </c>
      <c r="E8106" s="2" t="str">
        <f>IF(Table1[[#This Row],[Is Data Valid]]=TRUE,IF(Table1[[#This Row],[Fetal Sex (Male, Female or Unknown)]]="Male",Backend!$C$6,IF(Table1[[#This Row],[Fetal Sex (Male, Female or Unknown)]]="Female",Backend!$C$7,IF(Table1[[#This Row],[Fetal Sex (Male, Female or Unknown)]]="Unknown",Backend!$C$8,"Error"))),"")</f>
        <v/>
      </c>
      <c r="F8106" s="8" t="str">
        <f>IF(Table1[[#This Row],[Is Data Valid]]=TRUE,EXP(0.578+0.332*((Table1[[#This Row],[Gestation (days)]]+0.5)/7)-0.00354*((Table1[[#This Row],[Gestation (days)]]+0.5)/7)^2)*Table1[[#This Row],[BW40_3705]],"")</f>
        <v/>
      </c>
      <c r="G8106" s="2" t="str">
        <f>IF(Table1[[#This Row],[Is Data Valid]]=TRUE,((Table1[[#This Row],[Birthweight (grams)]]/Table1[[#This Row],[BW_GA]])-1)/(Backend!$B$4/100*Table1[[#This Row],[BW40_3705]]),"")</f>
        <v/>
      </c>
      <c r="H8106" s="7" t="str">
        <f>IF(Table1[[#This Row],[Is Data Valid]]=TRUE,((Table1[[#This Row],[Birthweight (grams)]]*0.9/Table1[[#This Row],[BW_GA]])-1)/(Backend!$B$4/100*Table1[[#This Row],[BW40_3705]]),"")</f>
        <v/>
      </c>
      <c r="I8106" s="7" t="str">
        <f>IF(Table1[[#This Row],[Is Data Valid]]=TRUE,((Table1[[#This Row],[Birthweight (grams)]]*1.1/Table1[[#This Row],[BW_GA]])-1)/(Backend!$B$4/100*Table1[[#This Row],[BW40_3705]]),"")</f>
        <v/>
      </c>
      <c r="J8106" s="7" t="str">
        <f>IF(Table1[[#This Row],[Is Data Valid]]=TRUE,_xlfn.NORM.S.DIST(Table1[[#This Row],[Birthweight Z-Score]],TRUE)*100,"")</f>
        <v/>
      </c>
      <c r="K8106" s="7" t="str">
        <f>IF(Table1[[#This Row],[Is Data Valid]]=TRUE,_xlfn.NORM.S.DIST(Table1[[#This Row],[Birthweight Z-Score (BW-10%)]],TRUE)*100,"")</f>
        <v/>
      </c>
      <c r="L8106" s="7" t="str">
        <f>IF(Table1[[#This Row],[Is Data Valid]]=TRUE,_xlfn.NORM.S.DIST(Table1[[#This Row],[Birthweight Z-Score (BW+10%)]],TRUE)*100,"")</f>
        <v/>
      </c>
    </row>
    <row r="8107" spans="1:12" x14ac:dyDescent="0.35">
      <c r="A8107" s="3"/>
      <c r="B8107" s="2"/>
      <c r="C8107" s="2"/>
      <c r="D8107" s="2" t="b">
        <f>IF(AND(NOT(ISBLANK(Table1[[#This Row],[Fetal Sex (Male, Female or Unknown)]])),ISNUMBER(Table1[[#This Row],[Birthweight (grams)]]),ISNUMBER(Table1[[#This Row],[Gestation (days)]])),TRUE,FALSE)</f>
        <v>0</v>
      </c>
      <c r="E8107" s="2" t="str">
        <f>IF(Table1[[#This Row],[Is Data Valid]]=TRUE,IF(Table1[[#This Row],[Fetal Sex (Male, Female or Unknown)]]="Male",Backend!$C$6,IF(Table1[[#This Row],[Fetal Sex (Male, Female or Unknown)]]="Female",Backend!$C$7,IF(Table1[[#This Row],[Fetal Sex (Male, Female or Unknown)]]="Unknown",Backend!$C$8,"Error"))),"")</f>
        <v/>
      </c>
      <c r="F8107" s="8" t="str">
        <f>IF(Table1[[#This Row],[Is Data Valid]]=TRUE,EXP(0.578+0.332*((Table1[[#This Row],[Gestation (days)]]+0.5)/7)-0.00354*((Table1[[#This Row],[Gestation (days)]]+0.5)/7)^2)*Table1[[#This Row],[BW40_3705]],"")</f>
        <v/>
      </c>
      <c r="G8107" s="2" t="str">
        <f>IF(Table1[[#This Row],[Is Data Valid]]=TRUE,((Table1[[#This Row],[Birthweight (grams)]]/Table1[[#This Row],[BW_GA]])-1)/(Backend!$B$4/100*Table1[[#This Row],[BW40_3705]]),"")</f>
        <v/>
      </c>
      <c r="H8107" s="7" t="str">
        <f>IF(Table1[[#This Row],[Is Data Valid]]=TRUE,((Table1[[#This Row],[Birthweight (grams)]]*0.9/Table1[[#This Row],[BW_GA]])-1)/(Backend!$B$4/100*Table1[[#This Row],[BW40_3705]]),"")</f>
        <v/>
      </c>
      <c r="I8107" s="7" t="str">
        <f>IF(Table1[[#This Row],[Is Data Valid]]=TRUE,((Table1[[#This Row],[Birthweight (grams)]]*1.1/Table1[[#This Row],[BW_GA]])-1)/(Backend!$B$4/100*Table1[[#This Row],[BW40_3705]]),"")</f>
        <v/>
      </c>
      <c r="J8107" s="7" t="str">
        <f>IF(Table1[[#This Row],[Is Data Valid]]=TRUE,_xlfn.NORM.S.DIST(Table1[[#This Row],[Birthweight Z-Score]],TRUE)*100,"")</f>
        <v/>
      </c>
      <c r="K8107" s="7" t="str">
        <f>IF(Table1[[#This Row],[Is Data Valid]]=TRUE,_xlfn.NORM.S.DIST(Table1[[#This Row],[Birthweight Z-Score (BW-10%)]],TRUE)*100,"")</f>
        <v/>
      </c>
      <c r="L8107" s="7" t="str">
        <f>IF(Table1[[#This Row],[Is Data Valid]]=TRUE,_xlfn.NORM.S.DIST(Table1[[#This Row],[Birthweight Z-Score (BW+10%)]],TRUE)*100,"")</f>
        <v/>
      </c>
    </row>
    <row r="8108" spans="1:12" x14ac:dyDescent="0.35">
      <c r="A8108" s="3"/>
      <c r="B8108" s="2"/>
      <c r="C8108" s="2"/>
      <c r="D8108" s="2" t="b">
        <f>IF(AND(NOT(ISBLANK(Table1[[#This Row],[Fetal Sex (Male, Female or Unknown)]])),ISNUMBER(Table1[[#This Row],[Birthweight (grams)]]),ISNUMBER(Table1[[#This Row],[Gestation (days)]])),TRUE,FALSE)</f>
        <v>0</v>
      </c>
      <c r="E8108" s="2" t="str">
        <f>IF(Table1[[#This Row],[Is Data Valid]]=TRUE,IF(Table1[[#This Row],[Fetal Sex (Male, Female or Unknown)]]="Male",Backend!$C$6,IF(Table1[[#This Row],[Fetal Sex (Male, Female or Unknown)]]="Female",Backend!$C$7,IF(Table1[[#This Row],[Fetal Sex (Male, Female or Unknown)]]="Unknown",Backend!$C$8,"Error"))),"")</f>
        <v/>
      </c>
      <c r="F8108" s="8" t="str">
        <f>IF(Table1[[#This Row],[Is Data Valid]]=TRUE,EXP(0.578+0.332*((Table1[[#This Row],[Gestation (days)]]+0.5)/7)-0.00354*((Table1[[#This Row],[Gestation (days)]]+0.5)/7)^2)*Table1[[#This Row],[BW40_3705]],"")</f>
        <v/>
      </c>
      <c r="G8108" s="2" t="str">
        <f>IF(Table1[[#This Row],[Is Data Valid]]=TRUE,((Table1[[#This Row],[Birthweight (grams)]]/Table1[[#This Row],[BW_GA]])-1)/(Backend!$B$4/100*Table1[[#This Row],[BW40_3705]]),"")</f>
        <v/>
      </c>
      <c r="H8108" s="7" t="str">
        <f>IF(Table1[[#This Row],[Is Data Valid]]=TRUE,((Table1[[#This Row],[Birthweight (grams)]]*0.9/Table1[[#This Row],[BW_GA]])-1)/(Backend!$B$4/100*Table1[[#This Row],[BW40_3705]]),"")</f>
        <v/>
      </c>
      <c r="I8108" s="7" t="str">
        <f>IF(Table1[[#This Row],[Is Data Valid]]=TRUE,((Table1[[#This Row],[Birthweight (grams)]]*1.1/Table1[[#This Row],[BW_GA]])-1)/(Backend!$B$4/100*Table1[[#This Row],[BW40_3705]]),"")</f>
        <v/>
      </c>
      <c r="J8108" s="7" t="str">
        <f>IF(Table1[[#This Row],[Is Data Valid]]=TRUE,_xlfn.NORM.S.DIST(Table1[[#This Row],[Birthweight Z-Score]],TRUE)*100,"")</f>
        <v/>
      </c>
      <c r="K8108" s="7" t="str">
        <f>IF(Table1[[#This Row],[Is Data Valid]]=TRUE,_xlfn.NORM.S.DIST(Table1[[#This Row],[Birthweight Z-Score (BW-10%)]],TRUE)*100,"")</f>
        <v/>
      </c>
      <c r="L8108" s="7" t="str">
        <f>IF(Table1[[#This Row],[Is Data Valid]]=TRUE,_xlfn.NORM.S.DIST(Table1[[#This Row],[Birthweight Z-Score (BW+10%)]],TRUE)*100,"")</f>
        <v/>
      </c>
    </row>
    <row r="8109" spans="1:12" x14ac:dyDescent="0.35">
      <c r="A8109" s="3"/>
      <c r="B8109" s="2"/>
      <c r="C8109" s="2"/>
      <c r="D8109" s="2" t="b">
        <f>IF(AND(NOT(ISBLANK(Table1[[#This Row],[Fetal Sex (Male, Female or Unknown)]])),ISNUMBER(Table1[[#This Row],[Birthweight (grams)]]),ISNUMBER(Table1[[#This Row],[Gestation (days)]])),TRUE,FALSE)</f>
        <v>0</v>
      </c>
      <c r="E8109" s="2" t="str">
        <f>IF(Table1[[#This Row],[Is Data Valid]]=TRUE,IF(Table1[[#This Row],[Fetal Sex (Male, Female or Unknown)]]="Male",Backend!$C$6,IF(Table1[[#This Row],[Fetal Sex (Male, Female or Unknown)]]="Female",Backend!$C$7,IF(Table1[[#This Row],[Fetal Sex (Male, Female or Unknown)]]="Unknown",Backend!$C$8,"Error"))),"")</f>
        <v/>
      </c>
      <c r="F8109" s="8" t="str">
        <f>IF(Table1[[#This Row],[Is Data Valid]]=TRUE,EXP(0.578+0.332*((Table1[[#This Row],[Gestation (days)]]+0.5)/7)-0.00354*((Table1[[#This Row],[Gestation (days)]]+0.5)/7)^2)*Table1[[#This Row],[BW40_3705]],"")</f>
        <v/>
      </c>
      <c r="G8109" s="2" t="str">
        <f>IF(Table1[[#This Row],[Is Data Valid]]=TRUE,((Table1[[#This Row],[Birthweight (grams)]]/Table1[[#This Row],[BW_GA]])-1)/(Backend!$B$4/100*Table1[[#This Row],[BW40_3705]]),"")</f>
        <v/>
      </c>
      <c r="H8109" s="7" t="str">
        <f>IF(Table1[[#This Row],[Is Data Valid]]=TRUE,((Table1[[#This Row],[Birthweight (grams)]]*0.9/Table1[[#This Row],[BW_GA]])-1)/(Backend!$B$4/100*Table1[[#This Row],[BW40_3705]]),"")</f>
        <v/>
      </c>
      <c r="I8109" s="7" t="str">
        <f>IF(Table1[[#This Row],[Is Data Valid]]=TRUE,((Table1[[#This Row],[Birthweight (grams)]]*1.1/Table1[[#This Row],[BW_GA]])-1)/(Backend!$B$4/100*Table1[[#This Row],[BW40_3705]]),"")</f>
        <v/>
      </c>
      <c r="J8109" s="7" t="str">
        <f>IF(Table1[[#This Row],[Is Data Valid]]=TRUE,_xlfn.NORM.S.DIST(Table1[[#This Row],[Birthweight Z-Score]],TRUE)*100,"")</f>
        <v/>
      </c>
      <c r="K8109" s="7" t="str">
        <f>IF(Table1[[#This Row],[Is Data Valid]]=TRUE,_xlfn.NORM.S.DIST(Table1[[#This Row],[Birthweight Z-Score (BW-10%)]],TRUE)*100,"")</f>
        <v/>
      </c>
      <c r="L8109" s="7" t="str">
        <f>IF(Table1[[#This Row],[Is Data Valid]]=TRUE,_xlfn.NORM.S.DIST(Table1[[#This Row],[Birthweight Z-Score (BW+10%)]],TRUE)*100,"")</f>
        <v/>
      </c>
    </row>
    <row r="8110" spans="1:12" x14ac:dyDescent="0.35">
      <c r="A8110" s="3"/>
      <c r="B8110" s="2"/>
      <c r="C8110" s="2"/>
      <c r="D8110" s="2" t="b">
        <f>IF(AND(NOT(ISBLANK(Table1[[#This Row],[Fetal Sex (Male, Female or Unknown)]])),ISNUMBER(Table1[[#This Row],[Birthweight (grams)]]),ISNUMBER(Table1[[#This Row],[Gestation (days)]])),TRUE,FALSE)</f>
        <v>0</v>
      </c>
      <c r="E8110" s="2" t="str">
        <f>IF(Table1[[#This Row],[Is Data Valid]]=TRUE,IF(Table1[[#This Row],[Fetal Sex (Male, Female or Unknown)]]="Male",Backend!$C$6,IF(Table1[[#This Row],[Fetal Sex (Male, Female or Unknown)]]="Female",Backend!$C$7,IF(Table1[[#This Row],[Fetal Sex (Male, Female or Unknown)]]="Unknown",Backend!$C$8,"Error"))),"")</f>
        <v/>
      </c>
      <c r="F8110" s="8" t="str">
        <f>IF(Table1[[#This Row],[Is Data Valid]]=TRUE,EXP(0.578+0.332*((Table1[[#This Row],[Gestation (days)]]+0.5)/7)-0.00354*((Table1[[#This Row],[Gestation (days)]]+0.5)/7)^2)*Table1[[#This Row],[BW40_3705]],"")</f>
        <v/>
      </c>
      <c r="G8110" s="2" t="str">
        <f>IF(Table1[[#This Row],[Is Data Valid]]=TRUE,((Table1[[#This Row],[Birthweight (grams)]]/Table1[[#This Row],[BW_GA]])-1)/(Backend!$B$4/100*Table1[[#This Row],[BW40_3705]]),"")</f>
        <v/>
      </c>
      <c r="H8110" s="7" t="str">
        <f>IF(Table1[[#This Row],[Is Data Valid]]=TRUE,((Table1[[#This Row],[Birthweight (grams)]]*0.9/Table1[[#This Row],[BW_GA]])-1)/(Backend!$B$4/100*Table1[[#This Row],[BW40_3705]]),"")</f>
        <v/>
      </c>
      <c r="I8110" s="7" t="str">
        <f>IF(Table1[[#This Row],[Is Data Valid]]=TRUE,((Table1[[#This Row],[Birthweight (grams)]]*1.1/Table1[[#This Row],[BW_GA]])-1)/(Backend!$B$4/100*Table1[[#This Row],[BW40_3705]]),"")</f>
        <v/>
      </c>
      <c r="J8110" s="7" t="str">
        <f>IF(Table1[[#This Row],[Is Data Valid]]=TRUE,_xlfn.NORM.S.DIST(Table1[[#This Row],[Birthweight Z-Score]],TRUE)*100,"")</f>
        <v/>
      </c>
      <c r="K8110" s="7" t="str">
        <f>IF(Table1[[#This Row],[Is Data Valid]]=TRUE,_xlfn.NORM.S.DIST(Table1[[#This Row],[Birthweight Z-Score (BW-10%)]],TRUE)*100,"")</f>
        <v/>
      </c>
      <c r="L8110" s="7" t="str">
        <f>IF(Table1[[#This Row],[Is Data Valid]]=TRUE,_xlfn.NORM.S.DIST(Table1[[#This Row],[Birthweight Z-Score (BW+10%)]],TRUE)*100,"")</f>
        <v/>
      </c>
    </row>
    <row r="8111" spans="1:12" x14ac:dyDescent="0.35">
      <c r="A8111" s="3"/>
      <c r="B8111" s="2"/>
      <c r="C8111" s="2"/>
      <c r="D8111" s="2" t="b">
        <f>IF(AND(NOT(ISBLANK(Table1[[#This Row],[Fetal Sex (Male, Female or Unknown)]])),ISNUMBER(Table1[[#This Row],[Birthweight (grams)]]),ISNUMBER(Table1[[#This Row],[Gestation (days)]])),TRUE,FALSE)</f>
        <v>0</v>
      </c>
      <c r="E8111" s="2" t="str">
        <f>IF(Table1[[#This Row],[Is Data Valid]]=TRUE,IF(Table1[[#This Row],[Fetal Sex (Male, Female or Unknown)]]="Male",Backend!$C$6,IF(Table1[[#This Row],[Fetal Sex (Male, Female or Unknown)]]="Female",Backend!$C$7,IF(Table1[[#This Row],[Fetal Sex (Male, Female or Unknown)]]="Unknown",Backend!$C$8,"Error"))),"")</f>
        <v/>
      </c>
      <c r="F8111" s="8" t="str">
        <f>IF(Table1[[#This Row],[Is Data Valid]]=TRUE,EXP(0.578+0.332*((Table1[[#This Row],[Gestation (days)]]+0.5)/7)-0.00354*((Table1[[#This Row],[Gestation (days)]]+0.5)/7)^2)*Table1[[#This Row],[BW40_3705]],"")</f>
        <v/>
      </c>
      <c r="G8111" s="2" t="str">
        <f>IF(Table1[[#This Row],[Is Data Valid]]=TRUE,((Table1[[#This Row],[Birthweight (grams)]]/Table1[[#This Row],[BW_GA]])-1)/(Backend!$B$4/100*Table1[[#This Row],[BW40_3705]]),"")</f>
        <v/>
      </c>
      <c r="H8111" s="7" t="str">
        <f>IF(Table1[[#This Row],[Is Data Valid]]=TRUE,((Table1[[#This Row],[Birthweight (grams)]]*0.9/Table1[[#This Row],[BW_GA]])-1)/(Backend!$B$4/100*Table1[[#This Row],[BW40_3705]]),"")</f>
        <v/>
      </c>
      <c r="I8111" s="7" t="str">
        <f>IF(Table1[[#This Row],[Is Data Valid]]=TRUE,((Table1[[#This Row],[Birthweight (grams)]]*1.1/Table1[[#This Row],[BW_GA]])-1)/(Backend!$B$4/100*Table1[[#This Row],[BW40_3705]]),"")</f>
        <v/>
      </c>
      <c r="J8111" s="7" t="str">
        <f>IF(Table1[[#This Row],[Is Data Valid]]=TRUE,_xlfn.NORM.S.DIST(Table1[[#This Row],[Birthweight Z-Score]],TRUE)*100,"")</f>
        <v/>
      </c>
      <c r="K8111" s="7" t="str">
        <f>IF(Table1[[#This Row],[Is Data Valid]]=TRUE,_xlfn.NORM.S.DIST(Table1[[#This Row],[Birthweight Z-Score (BW-10%)]],TRUE)*100,"")</f>
        <v/>
      </c>
      <c r="L8111" s="7" t="str">
        <f>IF(Table1[[#This Row],[Is Data Valid]]=TRUE,_xlfn.NORM.S.DIST(Table1[[#This Row],[Birthweight Z-Score (BW+10%)]],TRUE)*100,"")</f>
        <v/>
      </c>
    </row>
    <row r="8112" spans="1:12" x14ac:dyDescent="0.35">
      <c r="A8112" s="3"/>
      <c r="B8112" s="2"/>
      <c r="C8112" s="2"/>
      <c r="D8112" s="2" t="b">
        <f>IF(AND(NOT(ISBLANK(Table1[[#This Row],[Fetal Sex (Male, Female or Unknown)]])),ISNUMBER(Table1[[#This Row],[Birthweight (grams)]]),ISNUMBER(Table1[[#This Row],[Gestation (days)]])),TRUE,FALSE)</f>
        <v>0</v>
      </c>
      <c r="E8112" s="2" t="str">
        <f>IF(Table1[[#This Row],[Is Data Valid]]=TRUE,IF(Table1[[#This Row],[Fetal Sex (Male, Female or Unknown)]]="Male",Backend!$C$6,IF(Table1[[#This Row],[Fetal Sex (Male, Female or Unknown)]]="Female",Backend!$C$7,IF(Table1[[#This Row],[Fetal Sex (Male, Female or Unknown)]]="Unknown",Backend!$C$8,"Error"))),"")</f>
        <v/>
      </c>
      <c r="F8112" s="8" t="str">
        <f>IF(Table1[[#This Row],[Is Data Valid]]=TRUE,EXP(0.578+0.332*((Table1[[#This Row],[Gestation (days)]]+0.5)/7)-0.00354*((Table1[[#This Row],[Gestation (days)]]+0.5)/7)^2)*Table1[[#This Row],[BW40_3705]],"")</f>
        <v/>
      </c>
      <c r="G8112" s="2" t="str">
        <f>IF(Table1[[#This Row],[Is Data Valid]]=TRUE,((Table1[[#This Row],[Birthweight (grams)]]/Table1[[#This Row],[BW_GA]])-1)/(Backend!$B$4/100*Table1[[#This Row],[BW40_3705]]),"")</f>
        <v/>
      </c>
      <c r="H8112" s="7" t="str">
        <f>IF(Table1[[#This Row],[Is Data Valid]]=TRUE,((Table1[[#This Row],[Birthweight (grams)]]*0.9/Table1[[#This Row],[BW_GA]])-1)/(Backend!$B$4/100*Table1[[#This Row],[BW40_3705]]),"")</f>
        <v/>
      </c>
      <c r="I8112" s="7" t="str">
        <f>IF(Table1[[#This Row],[Is Data Valid]]=TRUE,((Table1[[#This Row],[Birthweight (grams)]]*1.1/Table1[[#This Row],[BW_GA]])-1)/(Backend!$B$4/100*Table1[[#This Row],[BW40_3705]]),"")</f>
        <v/>
      </c>
      <c r="J8112" s="7" t="str">
        <f>IF(Table1[[#This Row],[Is Data Valid]]=TRUE,_xlfn.NORM.S.DIST(Table1[[#This Row],[Birthweight Z-Score]],TRUE)*100,"")</f>
        <v/>
      </c>
      <c r="K8112" s="7" t="str">
        <f>IF(Table1[[#This Row],[Is Data Valid]]=TRUE,_xlfn.NORM.S.DIST(Table1[[#This Row],[Birthweight Z-Score (BW-10%)]],TRUE)*100,"")</f>
        <v/>
      </c>
      <c r="L8112" s="7" t="str">
        <f>IF(Table1[[#This Row],[Is Data Valid]]=TRUE,_xlfn.NORM.S.DIST(Table1[[#This Row],[Birthweight Z-Score (BW+10%)]],TRUE)*100,"")</f>
        <v/>
      </c>
    </row>
    <row r="8113" spans="1:12" x14ac:dyDescent="0.35">
      <c r="A8113" s="3"/>
      <c r="B8113" s="2"/>
      <c r="C8113" s="2"/>
      <c r="D8113" s="2" t="b">
        <f>IF(AND(NOT(ISBLANK(Table1[[#This Row],[Fetal Sex (Male, Female or Unknown)]])),ISNUMBER(Table1[[#This Row],[Birthweight (grams)]]),ISNUMBER(Table1[[#This Row],[Gestation (days)]])),TRUE,FALSE)</f>
        <v>0</v>
      </c>
      <c r="E8113" s="2" t="str">
        <f>IF(Table1[[#This Row],[Is Data Valid]]=TRUE,IF(Table1[[#This Row],[Fetal Sex (Male, Female or Unknown)]]="Male",Backend!$C$6,IF(Table1[[#This Row],[Fetal Sex (Male, Female or Unknown)]]="Female",Backend!$C$7,IF(Table1[[#This Row],[Fetal Sex (Male, Female or Unknown)]]="Unknown",Backend!$C$8,"Error"))),"")</f>
        <v/>
      </c>
      <c r="F8113" s="8" t="str">
        <f>IF(Table1[[#This Row],[Is Data Valid]]=TRUE,EXP(0.578+0.332*((Table1[[#This Row],[Gestation (days)]]+0.5)/7)-0.00354*((Table1[[#This Row],[Gestation (days)]]+0.5)/7)^2)*Table1[[#This Row],[BW40_3705]],"")</f>
        <v/>
      </c>
      <c r="G8113" s="2" t="str">
        <f>IF(Table1[[#This Row],[Is Data Valid]]=TRUE,((Table1[[#This Row],[Birthweight (grams)]]/Table1[[#This Row],[BW_GA]])-1)/(Backend!$B$4/100*Table1[[#This Row],[BW40_3705]]),"")</f>
        <v/>
      </c>
      <c r="H8113" s="7" t="str">
        <f>IF(Table1[[#This Row],[Is Data Valid]]=TRUE,((Table1[[#This Row],[Birthweight (grams)]]*0.9/Table1[[#This Row],[BW_GA]])-1)/(Backend!$B$4/100*Table1[[#This Row],[BW40_3705]]),"")</f>
        <v/>
      </c>
      <c r="I8113" s="7" t="str">
        <f>IF(Table1[[#This Row],[Is Data Valid]]=TRUE,((Table1[[#This Row],[Birthweight (grams)]]*1.1/Table1[[#This Row],[BW_GA]])-1)/(Backend!$B$4/100*Table1[[#This Row],[BW40_3705]]),"")</f>
        <v/>
      </c>
      <c r="J8113" s="7" t="str">
        <f>IF(Table1[[#This Row],[Is Data Valid]]=TRUE,_xlfn.NORM.S.DIST(Table1[[#This Row],[Birthweight Z-Score]],TRUE)*100,"")</f>
        <v/>
      </c>
      <c r="K8113" s="7" t="str">
        <f>IF(Table1[[#This Row],[Is Data Valid]]=TRUE,_xlfn.NORM.S.DIST(Table1[[#This Row],[Birthweight Z-Score (BW-10%)]],TRUE)*100,"")</f>
        <v/>
      </c>
      <c r="L8113" s="7" t="str">
        <f>IF(Table1[[#This Row],[Is Data Valid]]=TRUE,_xlfn.NORM.S.DIST(Table1[[#This Row],[Birthweight Z-Score (BW+10%)]],TRUE)*100,"")</f>
        <v/>
      </c>
    </row>
    <row r="8114" spans="1:12" x14ac:dyDescent="0.35">
      <c r="A8114" s="3"/>
      <c r="B8114" s="2"/>
      <c r="C8114" s="2"/>
      <c r="D8114" s="2" t="b">
        <f>IF(AND(NOT(ISBLANK(Table1[[#This Row],[Fetal Sex (Male, Female or Unknown)]])),ISNUMBER(Table1[[#This Row],[Birthweight (grams)]]),ISNUMBER(Table1[[#This Row],[Gestation (days)]])),TRUE,FALSE)</f>
        <v>0</v>
      </c>
      <c r="E8114" s="2" t="str">
        <f>IF(Table1[[#This Row],[Is Data Valid]]=TRUE,IF(Table1[[#This Row],[Fetal Sex (Male, Female or Unknown)]]="Male",Backend!$C$6,IF(Table1[[#This Row],[Fetal Sex (Male, Female or Unknown)]]="Female",Backend!$C$7,IF(Table1[[#This Row],[Fetal Sex (Male, Female or Unknown)]]="Unknown",Backend!$C$8,"Error"))),"")</f>
        <v/>
      </c>
      <c r="F8114" s="8" t="str">
        <f>IF(Table1[[#This Row],[Is Data Valid]]=TRUE,EXP(0.578+0.332*((Table1[[#This Row],[Gestation (days)]]+0.5)/7)-0.00354*((Table1[[#This Row],[Gestation (days)]]+0.5)/7)^2)*Table1[[#This Row],[BW40_3705]],"")</f>
        <v/>
      </c>
      <c r="G8114" s="2" t="str">
        <f>IF(Table1[[#This Row],[Is Data Valid]]=TRUE,((Table1[[#This Row],[Birthweight (grams)]]/Table1[[#This Row],[BW_GA]])-1)/(Backend!$B$4/100*Table1[[#This Row],[BW40_3705]]),"")</f>
        <v/>
      </c>
      <c r="H8114" s="7" t="str">
        <f>IF(Table1[[#This Row],[Is Data Valid]]=TRUE,((Table1[[#This Row],[Birthweight (grams)]]*0.9/Table1[[#This Row],[BW_GA]])-1)/(Backend!$B$4/100*Table1[[#This Row],[BW40_3705]]),"")</f>
        <v/>
      </c>
      <c r="I8114" s="7" t="str">
        <f>IF(Table1[[#This Row],[Is Data Valid]]=TRUE,((Table1[[#This Row],[Birthweight (grams)]]*1.1/Table1[[#This Row],[BW_GA]])-1)/(Backend!$B$4/100*Table1[[#This Row],[BW40_3705]]),"")</f>
        <v/>
      </c>
      <c r="J8114" s="7" t="str">
        <f>IF(Table1[[#This Row],[Is Data Valid]]=TRUE,_xlfn.NORM.S.DIST(Table1[[#This Row],[Birthweight Z-Score]],TRUE)*100,"")</f>
        <v/>
      </c>
      <c r="K8114" s="7" t="str">
        <f>IF(Table1[[#This Row],[Is Data Valid]]=TRUE,_xlfn.NORM.S.DIST(Table1[[#This Row],[Birthweight Z-Score (BW-10%)]],TRUE)*100,"")</f>
        <v/>
      </c>
      <c r="L8114" s="7" t="str">
        <f>IF(Table1[[#This Row],[Is Data Valid]]=TRUE,_xlfn.NORM.S.DIST(Table1[[#This Row],[Birthweight Z-Score (BW+10%)]],TRUE)*100,"")</f>
        <v/>
      </c>
    </row>
    <row r="8115" spans="1:12" x14ac:dyDescent="0.35">
      <c r="A8115" s="3"/>
      <c r="B8115" s="2"/>
      <c r="C8115" s="2"/>
      <c r="D8115" s="2" t="b">
        <f>IF(AND(NOT(ISBLANK(Table1[[#This Row],[Fetal Sex (Male, Female or Unknown)]])),ISNUMBER(Table1[[#This Row],[Birthweight (grams)]]),ISNUMBER(Table1[[#This Row],[Gestation (days)]])),TRUE,FALSE)</f>
        <v>0</v>
      </c>
      <c r="E8115" s="2" t="str">
        <f>IF(Table1[[#This Row],[Is Data Valid]]=TRUE,IF(Table1[[#This Row],[Fetal Sex (Male, Female or Unknown)]]="Male",Backend!$C$6,IF(Table1[[#This Row],[Fetal Sex (Male, Female or Unknown)]]="Female",Backend!$C$7,IF(Table1[[#This Row],[Fetal Sex (Male, Female or Unknown)]]="Unknown",Backend!$C$8,"Error"))),"")</f>
        <v/>
      </c>
      <c r="F8115" s="8" t="str">
        <f>IF(Table1[[#This Row],[Is Data Valid]]=TRUE,EXP(0.578+0.332*((Table1[[#This Row],[Gestation (days)]]+0.5)/7)-0.00354*((Table1[[#This Row],[Gestation (days)]]+0.5)/7)^2)*Table1[[#This Row],[BW40_3705]],"")</f>
        <v/>
      </c>
      <c r="G8115" s="2" t="str">
        <f>IF(Table1[[#This Row],[Is Data Valid]]=TRUE,((Table1[[#This Row],[Birthweight (grams)]]/Table1[[#This Row],[BW_GA]])-1)/(Backend!$B$4/100*Table1[[#This Row],[BW40_3705]]),"")</f>
        <v/>
      </c>
      <c r="H8115" s="7" t="str">
        <f>IF(Table1[[#This Row],[Is Data Valid]]=TRUE,((Table1[[#This Row],[Birthweight (grams)]]*0.9/Table1[[#This Row],[BW_GA]])-1)/(Backend!$B$4/100*Table1[[#This Row],[BW40_3705]]),"")</f>
        <v/>
      </c>
      <c r="I8115" s="7" t="str">
        <f>IF(Table1[[#This Row],[Is Data Valid]]=TRUE,((Table1[[#This Row],[Birthweight (grams)]]*1.1/Table1[[#This Row],[BW_GA]])-1)/(Backend!$B$4/100*Table1[[#This Row],[BW40_3705]]),"")</f>
        <v/>
      </c>
      <c r="J8115" s="7" t="str">
        <f>IF(Table1[[#This Row],[Is Data Valid]]=TRUE,_xlfn.NORM.S.DIST(Table1[[#This Row],[Birthweight Z-Score]],TRUE)*100,"")</f>
        <v/>
      </c>
      <c r="K8115" s="7" t="str">
        <f>IF(Table1[[#This Row],[Is Data Valid]]=TRUE,_xlfn.NORM.S.DIST(Table1[[#This Row],[Birthweight Z-Score (BW-10%)]],TRUE)*100,"")</f>
        <v/>
      </c>
      <c r="L8115" s="7" t="str">
        <f>IF(Table1[[#This Row],[Is Data Valid]]=TRUE,_xlfn.NORM.S.DIST(Table1[[#This Row],[Birthweight Z-Score (BW+10%)]],TRUE)*100,"")</f>
        <v/>
      </c>
    </row>
    <row r="8116" spans="1:12" x14ac:dyDescent="0.35">
      <c r="A8116" s="3"/>
      <c r="B8116" s="2"/>
      <c r="C8116" s="2"/>
      <c r="D8116" s="2" t="b">
        <f>IF(AND(NOT(ISBLANK(Table1[[#This Row],[Fetal Sex (Male, Female or Unknown)]])),ISNUMBER(Table1[[#This Row],[Birthweight (grams)]]),ISNUMBER(Table1[[#This Row],[Gestation (days)]])),TRUE,FALSE)</f>
        <v>0</v>
      </c>
      <c r="E8116" s="2" t="str">
        <f>IF(Table1[[#This Row],[Is Data Valid]]=TRUE,IF(Table1[[#This Row],[Fetal Sex (Male, Female or Unknown)]]="Male",Backend!$C$6,IF(Table1[[#This Row],[Fetal Sex (Male, Female or Unknown)]]="Female",Backend!$C$7,IF(Table1[[#This Row],[Fetal Sex (Male, Female or Unknown)]]="Unknown",Backend!$C$8,"Error"))),"")</f>
        <v/>
      </c>
      <c r="F8116" s="8" t="str">
        <f>IF(Table1[[#This Row],[Is Data Valid]]=TRUE,EXP(0.578+0.332*((Table1[[#This Row],[Gestation (days)]]+0.5)/7)-0.00354*((Table1[[#This Row],[Gestation (days)]]+0.5)/7)^2)*Table1[[#This Row],[BW40_3705]],"")</f>
        <v/>
      </c>
      <c r="G8116" s="2" t="str">
        <f>IF(Table1[[#This Row],[Is Data Valid]]=TRUE,((Table1[[#This Row],[Birthweight (grams)]]/Table1[[#This Row],[BW_GA]])-1)/(Backend!$B$4/100*Table1[[#This Row],[BW40_3705]]),"")</f>
        <v/>
      </c>
      <c r="H8116" s="7" t="str">
        <f>IF(Table1[[#This Row],[Is Data Valid]]=TRUE,((Table1[[#This Row],[Birthweight (grams)]]*0.9/Table1[[#This Row],[BW_GA]])-1)/(Backend!$B$4/100*Table1[[#This Row],[BW40_3705]]),"")</f>
        <v/>
      </c>
      <c r="I8116" s="7" t="str">
        <f>IF(Table1[[#This Row],[Is Data Valid]]=TRUE,((Table1[[#This Row],[Birthweight (grams)]]*1.1/Table1[[#This Row],[BW_GA]])-1)/(Backend!$B$4/100*Table1[[#This Row],[BW40_3705]]),"")</f>
        <v/>
      </c>
      <c r="J8116" s="7" t="str">
        <f>IF(Table1[[#This Row],[Is Data Valid]]=TRUE,_xlfn.NORM.S.DIST(Table1[[#This Row],[Birthweight Z-Score]],TRUE)*100,"")</f>
        <v/>
      </c>
      <c r="K8116" s="7" t="str">
        <f>IF(Table1[[#This Row],[Is Data Valid]]=TRUE,_xlfn.NORM.S.DIST(Table1[[#This Row],[Birthweight Z-Score (BW-10%)]],TRUE)*100,"")</f>
        <v/>
      </c>
      <c r="L8116" s="7" t="str">
        <f>IF(Table1[[#This Row],[Is Data Valid]]=TRUE,_xlfn.NORM.S.DIST(Table1[[#This Row],[Birthweight Z-Score (BW+10%)]],TRUE)*100,"")</f>
        <v/>
      </c>
    </row>
    <row r="8117" spans="1:12" x14ac:dyDescent="0.35">
      <c r="A8117" s="3"/>
      <c r="B8117" s="2"/>
      <c r="C8117" s="2"/>
      <c r="D8117" s="2" t="b">
        <f>IF(AND(NOT(ISBLANK(Table1[[#This Row],[Fetal Sex (Male, Female or Unknown)]])),ISNUMBER(Table1[[#This Row],[Birthweight (grams)]]),ISNUMBER(Table1[[#This Row],[Gestation (days)]])),TRUE,FALSE)</f>
        <v>0</v>
      </c>
      <c r="E8117" s="2" t="str">
        <f>IF(Table1[[#This Row],[Is Data Valid]]=TRUE,IF(Table1[[#This Row],[Fetal Sex (Male, Female or Unknown)]]="Male",Backend!$C$6,IF(Table1[[#This Row],[Fetal Sex (Male, Female or Unknown)]]="Female",Backend!$C$7,IF(Table1[[#This Row],[Fetal Sex (Male, Female or Unknown)]]="Unknown",Backend!$C$8,"Error"))),"")</f>
        <v/>
      </c>
      <c r="F8117" s="8" t="str">
        <f>IF(Table1[[#This Row],[Is Data Valid]]=TRUE,EXP(0.578+0.332*((Table1[[#This Row],[Gestation (days)]]+0.5)/7)-0.00354*((Table1[[#This Row],[Gestation (days)]]+0.5)/7)^2)*Table1[[#This Row],[BW40_3705]],"")</f>
        <v/>
      </c>
      <c r="G8117" s="2" t="str">
        <f>IF(Table1[[#This Row],[Is Data Valid]]=TRUE,((Table1[[#This Row],[Birthweight (grams)]]/Table1[[#This Row],[BW_GA]])-1)/(Backend!$B$4/100*Table1[[#This Row],[BW40_3705]]),"")</f>
        <v/>
      </c>
      <c r="H8117" s="7" t="str">
        <f>IF(Table1[[#This Row],[Is Data Valid]]=TRUE,((Table1[[#This Row],[Birthweight (grams)]]*0.9/Table1[[#This Row],[BW_GA]])-1)/(Backend!$B$4/100*Table1[[#This Row],[BW40_3705]]),"")</f>
        <v/>
      </c>
      <c r="I8117" s="7" t="str">
        <f>IF(Table1[[#This Row],[Is Data Valid]]=TRUE,((Table1[[#This Row],[Birthweight (grams)]]*1.1/Table1[[#This Row],[BW_GA]])-1)/(Backend!$B$4/100*Table1[[#This Row],[BW40_3705]]),"")</f>
        <v/>
      </c>
      <c r="J8117" s="7" t="str">
        <f>IF(Table1[[#This Row],[Is Data Valid]]=TRUE,_xlfn.NORM.S.DIST(Table1[[#This Row],[Birthweight Z-Score]],TRUE)*100,"")</f>
        <v/>
      </c>
      <c r="K8117" s="7" t="str">
        <f>IF(Table1[[#This Row],[Is Data Valid]]=TRUE,_xlfn.NORM.S.DIST(Table1[[#This Row],[Birthweight Z-Score (BW-10%)]],TRUE)*100,"")</f>
        <v/>
      </c>
      <c r="L8117" s="7" t="str">
        <f>IF(Table1[[#This Row],[Is Data Valid]]=TRUE,_xlfn.NORM.S.DIST(Table1[[#This Row],[Birthweight Z-Score (BW+10%)]],TRUE)*100,"")</f>
        <v/>
      </c>
    </row>
    <row r="8118" spans="1:12" x14ac:dyDescent="0.35">
      <c r="A8118" s="3"/>
      <c r="B8118" s="2"/>
      <c r="C8118" s="2"/>
      <c r="D8118" s="2" t="b">
        <f>IF(AND(NOT(ISBLANK(Table1[[#This Row],[Fetal Sex (Male, Female or Unknown)]])),ISNUMBER(Table1[[#This Row],[Birthweight (grams)]]),ISNUMBER(Table1[[#This Row],[Gestation (days)]])),TRUE,FALSE)</f>
        <v>0</v>
      </c>
      <c r="E8118" s="2" t="str">
        <f>IF(Table1[[#This Row],[Is Data Valid]]=TRUE,IF(Table1[[#This Row],[Fetal Sex (Male, Female or Unknown)]]="Male",Backend!$C$6,IF(Table1[[#This Row],[Fetal Sex (Male, Female or Unknown)]]="Female",Backend!$C$7,IF(Table1[[#This Row],[Fetal Sex (Male, Female or Unknown)]]="Unknown",Backend!$C$8,"Error"))),"")</f>
        <v/>
      </c>
      <c r="F8118" s="8" t="str">
        <f>IF(Table1[[#This Row],[Is Data Valid]]=TRUE,EXP(0.578+0.332*((Table1[[#This Row],[Gestation (days)]]+0.5)/7)-0.00354*((Table1[[#This Row],[Gestation (days)]]+0.5)/7)^2)*Table1[[#This Row],[BW40_3705]],"")</f>
        <v/>
      </c>
      <c r="G8118" s="2" t="str">
        <f>IF(Table1[[#This Row],[Is Data Valid]]=TRUE,((Table1[[#This Row],[Birthweight (grams)]]/Table1[[#This Row],[BW_GA]])-1)/(Backend!$B$4/100*Table1[[#This Row],[BW40_3705]]),"")</f>
        <v/>
      </c>
      <c r="H8118" s="7" t="str">
        <f>IF(Table1[[#This Row],[Is Data Valid]]=TRUE,((Table1[[#This Row],[Birthweight (grams)]]*0.9/Table1[[#This Row],[BW_GA]])-1)/(Backend!$B$4/100*Table1[[#This Row],[BW40_3705]]),"")</f>
        <v/>
      </c>
      <c r="I8118" s="7" t="str">
        <f>IF(Table1[[#This Row],[Is Data Valid]]=TRUE,((Table1[[#This Row],[Birthweight (grams)]]*1.1/Table1[[#This Row],[BW_GA]])-1)/(Backend!$B$4/100*Table1[[#This Row],[BW40_3705]]),"")</f>
        <v/>
      </c>
      <c r="J8118" s="7" t="str">
        <f>IF(Table1[[#This Row],[Is Data Valid]]=TRUE,_xlfn.NORM.S.DIST(Table1[[#This Row],[Birthweight Z-Score]],TRUE)*100,"")</f>
        <v/>
      </c>
      <c r="K8118" s="7" t="str">
        <f>IF(Table1[[#This Row],[Is Data Valid]]=TRUE,_xlfn.NORM.S.DIST(Table1[[#This Row],[Birthweight Z-Score (BW-10%)]],TRUE)*100,"")</f>
        <v/>
      </c>
      <c r="L8118" s="7" t="str">
        <f>IF(Table1[[#This Row],[Is Data Valid]]=TRUE,_xlfn.NORM.S.DIST(Table1[[#This Row],[Birthweight Z-Score (BW+10%)]],TRUE)*100,"")</f>
        <v/>
      </c>
    </row>
    <row r="8119" spans="1:12" x14ac:dyDescent="0.35">
      <c r="A8119" s="3"/>
      <c r="B8119" s="2"/>
      <c r="C8119" s="2"/>
      <c r="D8119" s="2" t="b">
        <f>IF(AND(NOT(ISBLANK(Table1[[#This Row],[Fetal Sex (Male, Female or Unknown)]])),ISNUMBER(Table1[[#This Row],[Birthweight (grams)]]),ISNUMBER(Table1[[#This Row],[Gestation (days)]])),TRUE,FALSE)</f>
        <v>0</v>
      </c>
      <c r="E8119" s="2" t="str">
        <f>IF(Table1[[#This Row],[Is Data Valid]]=TRUE,IF(Table1[[#This Row],[Fetal Sex (Male, Female or Unknown)]]="Male",Backend!$C$6,IF(Table1[[#This Row],[Fetal Sex (Male, Female or Unknown)]]="Female",Backend!$C$7,IF(Table1[[#This Row],[Fetal Sex (Male, Female or Unknown)]]="Unknown",Backend!$C$8,"Error"))),"")</f>
        <v/>
      </c>
      <c r="F8119" s="8" t="str">
        <f>IF(Table1[[#This Row],[Is Data Valid]]=TRUE,EXP(0.578+0.332*((Table1[[#This Row],[Gestation (days)]]+0.5)/7)-0.00354*((Table1[[#This Row],[Gestation (days)]]+0.5)/7)^2)*Table1[[#This Row],[BW40_3705]],"")</f>
        <v/>
      </c>
      <c r="G8119" s="2" t="str">
        <f>IF(Table1[[#This Row],[Is Data Valid]]=TRUE,((Table1[[#This Row],[Birthweight (grams)]]/Table1[[#This Row],[BW_GA]])-1)/(Backend!$B$4/100*Table1[[#This Row],[BW40_3705]]),"")</f>
        <v/>
      </c>
      <c r="H8119" s="7" t="str">
        <f>IF(Table1[[#This Row],[Is Data Valid]]=TRUE,((Table1[[#This Row],[Birthweight (grams)]]*0.9/Table1[[#This Row],[BW_GA]])-1)/(Backend!$B$4/100*Table1[[#This Row],[BW40_3705]]),"")</f>
        <v/>
      </c>
      <c r="I8119" s="7" t="str">
        <f>IF(Table1[[#This Row],[Is Data Valid]]=TRUE,((Table1[[#This Row],[Birthweight (grams)]]*1.1/Table1[[#This Row],[BW_GA]])-1)/(Backend!$B$4/100*Table1[[#This Row],[BW40_3705]]),"")</f>
        <v/>
      </c>
      <c r="J8119" s="7" t="str">
        <f>IF(Table1[[#This Row],[Is Data Valid]]=TRUE,_xlfn.NORM.S.DIST(Table1[[#This Row],[Birthweight Z-Score]],TRUE)*100,"")</f>
        <v/>
      </c>
      <c r="K8119" s="7" t="str">
        <f>IF(Table1[[#This Row],[Is Data Valid]]=TRUE,_xlfn.NORM.S.DIST(Table1[[#This Row],[Birthweight Z-Score (BW-10%)]],TRUE)*100,"")</f>
        <v/>
      </c>
      <c r="L8119" s="7" t="str">
        <f>IF(Table1[[#This Row],[Is Data Valid]]=TRUE,_xlfn.NORM.S.DIST(Table1[[#This Row],[Birthweight Z-Score (BW+10%)]],TRUE)*100,"")</f>
        <v/>
      </c>
    </row>
    <row r="8120" spans="1:12" x14ac:dyDescent="0.35">
      <c r="A8120" s="3"/>
      <c r="B8120" s="2"/>
      <c r="C8120" s="2"/>
      <c r="D8120" s="2" t="b">
        <f>IF(AND(NOT(ISBLANK(Table1[[#This Row],[Fetal Sex (Male, Female or Unknown)]])),ISNUMBER(Table1[[#This Row],[Birthweight (grams)]]),ISNUMBER(Table1[[#This Row],[Gestation (days)]])),TRUE,FALSE)</f>
        <v>0</v>
      </c>
      <c r="E8120" s="2" t="str">
        <f>IF(Table1[[#This Row],[Is Data Valid]]=TRUE,IF(Table1[[#This Row],[Fetal Sex (Male, Female or Unknown)]]="Male",Backend!$C$6,IF(Table1[[#This Row],[Fetal Sex (Male, Female or Unknown)]]="Female",Backend!$C$7,IF(Table1[[#This Row],[Fetal Sex (Male, Female or Unknown)]]="Unknown",Backend!$C$8,"Error"))),"")</f>
        <v/>
      </c>
      <c r="F8120" s="8" t="str">
        <f>IF(Table1[[#This Row],[Is Data Valid]]=TRUE,EXP(0.578+0.332*((Table1[[#This Row],[Gestation (days)]]+0.5)/7)-0.00354*((Table1[[#This Row],[Gestation (days)]]+0.5)/7)^2)*Table1[[#This Row],[BW40_3705]],"")</f>
        <v/>
      </c>
      <c r="G8120" s="2" t="str">
        <f>IF(Table1[[#This Row],[Is Data Valid]]=TRUE,((Table1[[#This Row],[Birthweight (grams)]]/Table1[[#This Row],[BW_GA]])-1)/(Backend!$B$4/100*Table1[[#This Row],[BW40_3705]]),"")</f>
        <v/>
      </c>
      <c r="H8120" s="7" t="str">
        <f>IF(Table1[[#This Row],[Is Data Valid]]=TRUE,((Table1[[#This Row],[Birthweight (grams)]]*0.9/Table1[[#This Row],[BW_GA]])-1)/(Backend!$B$4/100*Table1[[#This Row],[BW40_3705]]),"")</f>
        <v/>
      </c>
      <c r="I8120" s="7" t="str">
        <f>IF(Table1[[#This Row],[Is Data Valid]]=TRUE,((Table1[[#This Row],[Birthweight (grams)]]*1.1/Table1[[#This Row],[BW_GA]])-1)/(Backend!$B$4/100*Table1[[#This Row],[BW40_3705]]),"")</f>
        <v/>
      </c>
      <c r="J8120" s="7" t="str">
        <f>IF(Table1[[#This Row],[Is Data Valid]]=TRUE,_xlfn.NORM.S.DIST(Table1[[#This Row],[Birthweight Z-Score]],TRUE)*100,"")</f>
        <v/>
      </c>
      <c r="K8120" s="7" t="str">
        <f>IF(Table1[[#This Row],[Is Data Valid]]=TRUE,_xlfn.NORM.S.DIST(Table1[[#This Row],[Birthweight Z-Score (BW-10%)]],TRUE)*100,"")</f>
        <v/>
      </c>
      <c r="L8120" s="7" t="str">
        <f>IF(Table1[[#This Row],[Is Data Valid]]=TRUE,_xlfn.NORM.S.DIST(Table1[[#This Row],[Birthweight Z-Score (BW+10%)]],TRUE)*100,"")</f>
        <v/>
      </c>
    </row>
    <row r="8121" spans="1:12" x14ac:dyDescent="0.35">
      <c r="A8121" s="3"/>
      <c r="B8121" s="2"/>
      <c r="C8121" s="2"/>
      <c r="D8121" s="2" t="b">
        <f>IF(AND(NOT(ISBLANK(Table1[[#This Row],[Fetal Sex (Male, Female or Unknown)]])),ISNUMBER(Table1[[#This Row],[Birthweight (grams)]]),ISNUMBER(Table1[[#This Row],[Gestation (days)]])),TRUE,FALSE)</f>
        <v>0</v>
      </c>
      <c r="E8121" s="2" t="str">
        <f>IF(Table1[[#This Row],[Is Data Valid]]=TRUE,IF(Table1[[#This Row],[Fetal Sex (Male, Female or Unknown)]]="Male",Backend!$C$6,IF(Table1[[#This Row],[Fetal Sex (Male, Female or Unknown)]]="Female",Backend!$C$7,IF(Table1[[#This Row],[Fetal Sex (Male, Female or Unknown)]]="Unknown",Backend!$C$8,"Error"))),"")</f>
        <v/>
      </c>
      <c r="F8121" s="8" t="str">
        <f>IF(Table1[[#This Row],[Is Data Valid]]=TRUE,EXP(0.578+0.332*((Table1[[#This Row],[Gestation (days)]]+0.5)/7)-0.00354*((Table1[[#This Row],[Gestation (days)]]+0.5)/7)^2)*Table1[[#This Row],[BW40_3705]],"")</f>
        <v/>
      </c>
      <c r="G8121" s="2" t="str">
        <f>IF(Table1[[#This Row],[Is Data Valid]]=TRUE,((Table1[[#This Row],[Birthweight (grams)]]/Table1[[#This Row],[BW_GA]])-1)/(Backend!$B$4/100*Table1[[#This Row],[BW40_3705]]),"")</f>
        <v/>
      </c>
      <c r="H8121" s="7" t="str">
        <f>IF(Table1[[#This Row],[Is Data Valid]]=TRUE,((Table1[[#This Row],[Birthweight (grams)]]*0.9/Table1[[#This Row],[BW_GA]])-1)/(Backend!$B$4/100*Table1[[#This Row],[BW40_3705]]),"")</f>
        <v/>
      </c>
      <c r="I8121" s="7" t="str">
        <f>IF(Table1[[#This Row],[Is Data Valid]]=TRUE,((Table1[[#This Row],[Birthweight (grams)]]*1.1/Table1[[#This Row],[BW_GA]])-1)/(Backend!$B$4/100*Table1[[#This Row],[BW40_3705]]),"")</f>
        <v/>
      </c>
      <c r="J8121" s="7" t="str">
        <f>IF(Table1[[#This Row],[Is Data Valid]]=TRUE,_xlfn.NORM.S.DIST(Table1[[#This Row],[Birthweight Z-Score]],TRUE)*100,"")</f>
        <v/>
      </c>
      <c r="K8121" s="7" t="str">
        <f>IF(Table1[[#This Row],[Is Data Valid]]=TRUE,_xlfn.NORM.S.DIST(Table1[[#This Row],[Birthweight Z-Score (BW-10%)]],TRUE)*100,"")</f>
        <v/>
      </c>
      <c r="L8121" s="7" t="str">
        <f>IF(Table1[[#This Row],[Is Data Valid]]=TRUE,_xlfn.NORM.S.DIST(Table1[[#This Row],[Birthweight Z-Score (BW+10%)]],TRUE)*100,"")</f>
        <v/>
      </c>
    </row>
    <row r="8122" spans="1:12" x14ac:dyDescent="0.35">
      <c r="A8122" s="3"/>
      <c r="B8122" s="2"/>
      <c r="C8122" s="2"/>
      <c r="D8122" s="2" t="b">
        <f>IF(AND(NOT(ISBLANK(Table1[[#This Row],[Fetal Sex (Male, Female or Unknown)]])),ISNUMBER(Table1[[#This Row],[Birthweight (grams)]]),ISNUMBER(Table1[[#This Row],[Gestation (days)]])),TRUE,FALSE)</f>
        <v>0</v>
      </c>
      <c r="E8122" s="2" t="str">
        <f>IF(Table1[[#This Row],[Is Data Valid]]=TRUE,IF(Table1[[#This Row],[Fetal Sex (Male, Female or Unknown)]]="Male",Backend!$C$6,IF(Table1[[#This Row],[Fetal Sex (Male, Female or Unknown)]]="Female",Backend!$C$7,IF(Table1[[#This Row],[Fetal Sex (Male, Female or Unknown)]]="Unknown",Backend!$C$8,"Error"))),"")</f>
        <v/>
      </c>
      <c r="F8122" s="8" t="str">
        <f>IF(Table1[[#This Row],[Is Data Valid]]=TRUE,EXP(0.578+0.332*((Table1[[#This Row],[Gestation (days)]]+0.5)/7)-0.00354*((Table1[[#This Row],[Gestation (days)]]+0.5)/7)^2)*Table1[[#This Row],[BW40_3705]],"")</f>
        <v/>
      </c>
      <c r="G8122" s="2" t="str">
        <f>IF(Table1[[#This Row],[Is Data Valid]]=TRUE,((Table1[[#This Row],[Birthweight (grams)]]/Table1[[#This Row],[BW_GA]])-1)/(Backend!$B$4/100*Table1[[#This Row],[BW40_3705]]),"")</f>
        <v/>
      </c>
      <c r="H8122" s="7" t="str">
        <f>IF(Table1[[#This Row],[Is Data Valid]]=TRUE,((Table1[[#This Row],[Birthweight (grams)]]*0.9/Table1[[#This Row],[BW_GA]])-1)/(Backend!$B$4/100*Table1[[#This Row],[BW40_3705]]),"")</f>
        <v/>
      </c>
      <c r="I8122" s="7" t="str">
        <f>IF(Table1[[#This Row],[Is Data Valid]]=TRUE,((Table1[[#This Row],[Birthweight (grams)]]*1.1/Table1[[#This Row],[BW_GA]])-1)/(Backend!$B$4/100*Table1[[#This Row],[BW40_3705]]),"")</f>
        <v/>
      </c>
      <c r="J8122" s="7" t="str">
        <f>IF(Table1[[#This Row],[Is Data Valid]]=TRUE,_xlfn.NORM.S.DIST(Table1[[#This Row],[Birthweight Z-Score]],TRUE)*100,"")</f>
        <v/>
      </c>
      <c r="K8122" s="7" t="str">
        <f>IF(Table1[[#This Row],[Is Data Valid]]=TRUE,_xlfn.NORM.S.DIST(Table1[[#This Row],[Birthweight Z-Score (BW-10%)]],TRUE)*100,"")</f>
        <v/>
      </c>
      <c r="L8122" s="7" t="str">
        <f>IF(Table1[[#This Row],[Is Data Valid]]=TRUE,_xlfn.NORM.S.DIST(Table1[[#This Row],[Birthweight Z-Score (BW+10%)]],TRUE)*100,"")</f>
        <v/>
      </c>
    </row>
    <row r="8123" spans="1:12" x14ac:dyDescent="0.35">
      <c r="A8123" s="3"/>
      <c r="B8123" s="2"/>
      <c r="C8123" s="2"/>
      <c r="D8123" s="2" t="b">
        <f>IF(AND(NOT(ISBLANK(Table1[[#This Row],[Fetal Sex (Male, Female or Unknown)]])),ISNUMBER(Table1[[#This Row],[Birthweight (grams)]]),ISNUMBER(Table1[[#This Row],[Gestation (days)]])),TRUE,FALSE)</f>
        <v>0</v>
      </c>
      <c r="E8123" s="2" t="str">
        <f>IF(Table1[[#This Row],[Is Data Valid]]=TRUE,IF(Table1[[#This Row],[Fetal Sex (Male, Female or Unknown)]]="Male",Backend!$C$6,IF(Table1[[#This Row],[Fetal Sex (Male, Female or Unknown)]]="Female",Backend!$C$7,IF(Table1[[#This Row],[Fetal Sex (Male, Female or Unknown)]]="Unknown",Backend!$C$8,"Error"))),"")</f>
        <v/>
      </c>
      <c r="F8123" s="8" t="str">
        <f>IF(Table1[[#This Row],[Is Data Valid]]=TRUE,EXP(0.578+0.332*((Table1[[#This Row],[Gestation (days)]]+0.5)/7)-0.00354*((Table1[[#This Row],[Gestation (days)]]+0.5)/7)^2)*Table1[[#This Row],[BW40_3705]],"")</f>
        <v/>
      </c>
      <c r="G8123" s="2" t="str">
        <f>IF(Table1[[#This Row],[Is Data Valid]]=TRUE,((Table1[[#This Row],[Birthweight (grams)]]/Table1[[#This Row],[BW_GA]])-1)/(Backend!$B$4/100*Table1[[#This Row],[BW40_3705]]),"")</f>
        <v/>
      </c>
      <c r="H8123" s="7" t="str">
        <f>IF(Table1[[#This Row],[Is Data Valid]]=TRUE,((Table1[[#This Row],[Birthweight (grams)]]*0.9/Table1[[#This Row],[BW_GA]])-1)/(Backend!$B$4/100*Table1[[#This Row],[BW40_3705]]),"")</f>
        <v/>
      </c>
      <c r="I8123" s="7" t="str">
        <f>IF(Table1[[#This Row],[Is Data Valid]]=TRUE,((Table1[[#This Row],[Birthweight (grams)]]*1.1/Table1[[#This Row],[BW_GA]])-1)/(Backend!$B$4/100*Table1[[#This Row],[BW40_3705]]),"")</f>
        <v/>
      </c>
      <c r="J8123" s="7" t="str">
        <f>IF(Table1[[#This Row],[Is Data Valid]]=TRUE,_xlfn.NORM.S.DIST(Table1[[#This Row],[Birthweight Z-Score]],TRUE)*100,"")</f>
        <v/>
      </c>
      <c r="K8123" s="7" t="str">
        <f>IF(Table1[[#This Row],[Is Data Valid]]=TRUE,_xlfn.NORM.S.DIST(Table1[[#This Row],[Birthweight Z-Score (BW-10%)]],TRUE)*100,"")</f>
        <v/>
      </c>
      <c r="L8123" s="7" t="str">
        <f>IF(Table1[[#This Row],[Is Data Valid]]=TRUE,_xlfn.NORM.S.DIST(Table1[[#This Row],[Birthweight Z-Score (BW+10%)]],TRUE)*100,"")</f>
        <v/>
      </c>
    </row>
    <row r="8124" spans="1:12" x14ac:dyDescent="0.35">
      <c r="A8124" s="3"/>
      <c r="B8124" s="2"/>
      <c r="C8124" s="2"/>
      <c r="D8124" s="2" t="b">
        <f>IF(AND(NOT(ISBLANK(Table1[[#This Row],[Fetal Sex (Male, Female or Unknown)]])),ISNUMBER(Table1[[#This Row],[Birthweight (grams)]]),ISNUMBER(Table1[[#This Row],[Gestation (days)]])),TRUE,FALSE)</f>
        <v>0</v>
      </c>
      <c r="E8124" s="2" t="str">
        <f>IF(Table1[[#This Row],[Is Data Valid]]=TRUE,IF(Table1[[#This Row],[Fetal Sex (Male, Female or Unknown)]]="Male",Backend!$C$6,IF(Table1[[#This Row],[Fetal Sex (Male, Female or Unknown)]]="Female",Backend!$C$7,IF(Table1[[#This Row],[Fetal Sex (Male, Female or Unknown)]]="Unknown",Backend!$C$8,"Error"))),"")</f>
        <v/>
      </c>
      <c r="F8124" s="8" t="str">
        <f>IF(Table1[[#This Row],[Is Data Valid]]=TRUE,EXP(0.578+0.332*((Table1[[#This Row],[Gestation (days)]]+0.5)/7)-0.00354*((Table1[[#This Row],[Gestation (days)]]+0.5)/7)^2)*Table1[[#This Row],[BW40_3705]],"")</f>
        <v/>
      </c>
      <c r="G8124" s="2" t="str">
        <f>IF(Table1[[#This Row],[Is Data Valid]]=TRUE,((Table1[[#This Row],[Birthweight (grams)]]/Table1[[#This Row],[BW_GA]])-1)/(Backend!$B$4/100*Table1[[#This Row],[BW40_3705]]),"")</f>
        <v/>
      </c>
      <c r="H8124" s="7" t="str">
        <f>IF(Table1[[#This Row],[Is Data Valid]]=TRUE,((Table1[[#This Row],[Birthweight (grams)]]*0.9/Table1[[#This Row],[BW_GA]])-1)/(Backend!$B$4/100*Table1[[#This Row],[BW40_3705]]),"")</f>
        <v/>
      </c>
      <c r="I8124" s="7" t="str">
        <f>IF(Table1[[#This Row],[Is Data Valid]]=TRUE,((Table1[[#This Row],[Birthweight (grams)]]*1.1/Table1[[#This Row],[BW_GA]])-1)/(Backend!$B$4/100*Table1[[#This Row],[BW40_3705]]),"")</f>
        <v/>
      </c>
      <c r="J8124" s="7" t="str">
        <f>IF(Table1[[#This Row],[Is Data Valid]]=TRUE,_xlfn.NORM.S.DIST(Table1[[#This Row],[Birthweight Z-Score]],TRUE)*100,"")</f>
        <v/>
      </c>
      <c r="K8124" s="7" t="str">
        <f>IF(Table1[[#This Row],[Is Data Valid]]=TRUE,_xlfn.NORM.S.DIST(Table1[[#This Row],[Birthweight Z-Score (BW-10%)]],TRUE)*100,"")</f>
        <v/>
      </c>
      <c r="L8124" s="7" t="str">
        <f>IF(Table1[[#This Row],[Is Data Valid]]=TRUE,_xlfn.NORM.S.DIST(Table1[[#This Row],[Birthweight Z-Score (BW+10%)]],TRUE)*100,"")</f>
        <v/>
      </c>
    </row>
    <row r="8125" spans="1:12" x14ac:dyDescent="0.35">
      <c r="A8125" s="3"/>
      <c r="B8125" s="2"/>
      <c r="C8125" s="2"/>
      <c r="D8125" s="2" t="b">
        <f>IF(AND(NOT(ISBLANK(Table1[[#This Row],[Fetal Sex (Male, Female or Unknown)]])),ISNUMBER(Table1[[#This Row],[Birthweight (grams)]]),ISNUMBER(Table1[[#This Row],[Gestation (days)]])),TRUE,FALSE)</f>
        <v>0</v>
      </c>
      <c r="E8125" s="2" t="str">
        <f>IF(Table1[[#This Row],[Is Data Valid]]=TRUE,IF(Table1[[#This Row],[Fetal Sex (Male, Female or Unknown)]]="Male",Backend!$C$6,IF(Table1[[#This Row],[Fetal Sex (Male, Female or Unknown)]]="Female",Backend!$C$7,IF(Table1[[#This Row],[Fetal Sex (Male, Female or Unknown)]]="Unknown",Backend!$C$8,"Error"))),"")</f>
        <v/>
      </c>
      <c r="F8125" s="8" t="str">
        <f>IF(Table1[[#This Row],[Is Data Valid]]=TRUE,EXP(0.578+0.332*((Table1[[#This Row],[Gestation (days)]]+0.5)/7)-0.00354*((Table1[[#This Row],[Gestation (days)]]+0.5)/7)^2)*Table1[[#This Row],[BW40_3705]],"")</f>
        <v/>
      </c>
      <c r="G8125" s="2" t="str">
        <f>IF(Table1[[#This Row],[Is Data Valid]]=TRUE,((Table1[[#This Row],[Birthweight (grams)]]/Table1[[#This Row],[BW_GA]])-1)/(Backend!$B$4/100*Table1[[#This Row],[BW40_3705]]),"")</f>
        <v/>
      </c>
      <c r="H8125" s="7" t="str">
        <f>IF(Table1[[#This Row],[Is Data Valid]]=TRUE,((Table1[[#This Row],[Birthweight (grams)]]*0.9/Table1[[#This Row],[BW_GA]])-1)/(Backend!$B$4/100*Table1[[#This Row],[BW40_3705]]),"")</f>
        <v/>
      </c>
      <c r="I8125" s="7" t="str">
        <f>IF(Table1[[#This Row],[Is Data Valid]]=TRUE,((Table1[[#This Row],[Birthweight (grams)]]*1.1/Table1[[#This Row],[BW_GA]])-1)/(Backend!$B$4/100*Table1[[#This Row],[BW40_3705]]),"")</f>
        <v/>
      </c>
      <c r="J8125" s="7" t="str">
        <f>IF(Table1[[#This Row],[Is Data Valid]]=TRUE,_xlfn.NORM.S.DIST(Table1[[#This Row],[Birthweight Z-Score]],TRUE)*100,"")</f>
        <v/>
      </c>
      <c r="K8125" s="7" t="str">
        <f>IF(Table1[[#This Row],[Is Data Valid]]=TRUE,_xlfn.NORM.S.DIST(Table1[[#This Row],[Birthweight Z-Score (BW-10%)]],TRUE)*100,"")</f>
        <v/>
      </c>
      <c r="L8125" s="7" t="str">
        <f>IF(Table1[[#This Row],[Is Data Valid]]=TRUE,_xlfn.NORM.S.DIST(Table1[[#This Row],[Birthweight Z-Score (BW+10%)]],TRUE)*100,"")</f>
        <v/>
      </c>
    </row>
    <row r="8126" spans="1:12" x14ac:dyDescent="0.35">
      <c r="A8126" s="3"/>
      <c r="B8126" s="2"/>
      <c r="C8126" s="2"/>
      <c r="D8126" s="2" t="b">
        <f>IF(AND(NOT(ISBLANK(Table1[[#This Row],[Fetal Sex (Male, Female or Unknown)]])),ISNUMBER(Table1[[#This Row],[Birthweight (grams)]]),ISNUMBER(Table1[[#This Row],[Gestation (days)]])),TRUE,FALSE)</f>
        <v>0</v>
      </c>
      <c r="E8126" s="2" t="str">
        <f>IF(Table1[[#This Row],[Is Data Valid]]=TRUE,IF(Table1[[#This Row],[Fetal Sex (Male, Female or Unknown)]]="Male",Backend!$C$6,IF(Table1[[#This Row],[Fetal Sex (Male, Female or Unknown)]]="Female",Backend!$C$7,IF(Table1[[#This Row],[Fetal Sex (Male, Female or Unknown)]]="Unknown",Backend!$C$8,"Error"))),"")</f>
        <v/>
      </c>
      <c r="F8126" s="8" t="str">
        <f>IF(Table1[[#This Row],[Is Data Valid]]=TRUE,EXP(0.578+0.332*((Table1[[#This Row],[Gestation (days)]]+0.5)/7)-0.00354*((Table1[[#This Row],[Gestation (days)]]+0.5)/7)^2)*Table1[[#This Row],[BW40_3705]],"")</f>
        <v/>
      </c>
      <c r="G8126" s="2" t="str">
        <f>IF(Table1[[#This Row],[Is Data Valid]]=TRUE,((Table1[[#This Row],[Birthweight (grams)]]/Table1[[#This Row],[BW_GA]])-1)/(Backend!$B$4/100*Table1[[#This Row],[BW40_3705]]),"")</f>
        <v/>
      </c>
      <c r="H8126" s="7" t="str">
        <f>IF(Table1[[#This Row],[Is Data Valid]]=TRUE,((Table1[[#This Row],[Birthweight (grams)]]*0.9/Table1[[#This Row],[BW_GA]])-1)/(Backend!$B$4/100*Table1[[#This Row],[BW40_3705]]),"")</f>
        <v/>
      </c>
      <c r="I8126" s="7" t="str">
        <f>IF(Table1[[#This Row],[Is Data Valid]]=TRUE,((Table1[[#This Row],[Birthweight (grams)]]*1.1/Table1[[#This Row],[BW_GA]])-1)/(Backend!$B$4/100*Table1[[#This Row],[BW40_3705]]),"")</f>
        <v/>
      </c>
      <c r="J8126" s="7" t="str">
        <f>IF(Table1[[#This Row],[Is Data Valid]]=TRUE,_xlfn.NORM.S.DIST(Table1[[#This Row],[Birthweight Z-Score]],TRUE)*100,"")</f>
        <v/>
      </c>
      <c r="K8126" s="7" t="str">
        <f>IF(Table1[[#This Row],[Is Data Valid]]=TRUE,_xlfn.NORM.S.DIST(Table1[[#This Row],[Birthweight Z-Score (BW-10%)]],TRUE)*100,"")</f>
        <v/>
      </c>
      <c r="L8126" s="7" t="str">
        <f>IF(Table1[[#This Row],[Is Data Valid]]=TRUE,_xlfn.NORM.S.DIST(Table1[[#This Row],[Birthweight Z-Score (BW+10%)]],TRUE)*100,"")</f>
        <v/>
      </c>
    </row>
    <row r="8127" spans="1:12" x14ac:dyDescent="0.35">
      <c r="A8127" s="3"/>
      <c r="B8127" s="2"/>
      <c r="C8127" s="2"/>
      <c r="D8127" s="2" t="b">
        <f>IF(AND(NOT(ISBLANK(Table1[[#This Row],[Fetal Sex (Male, Female or Unknown)]])),ISNUMBER(Table1[[#This Row],[Birthweight (grams)]]),ISNUMBER(Table1[[#This Row],[Gestation (days)]])),TRUE,FALSE)</f>
        <v>0</v>
      </c>
      <c r="E8127" s="2" t="str">
        <f>IF(Table1[[#This Row],[Is Data Valid]]=TRUE,IF(Table1[[#This Row],[Fetal Sex (Male, Female or Unknown)]]="Male",Backend!$C$6,IF(Table1[[#This Row],[Fetal Sex (Male, Female or Unknown)]]="Female",Backend!$C$7,IF(Table1[[#This Row],[Fetal Sex (Male, Female or Unknown)]]="Unknown",Backend!$C$8,"Error"))),"")</f>
        <v/>
      </c>
      <c r="F8127" s="8" t="str">
        <f>IF(Table1[[#This Row],[Is Data Valid]]=TRUE,EXP(0.578+0.332*((Table1[[#This Row],[Gestation (days)]]+0.5)/7)-0.00354*((Table1[[#This Row],[Gestation (days)]]+0.5)/7)^2)*Table1[[#This Row],[BW40_3705]],"")</f>
        <v/>
      </c>
      <c r="G8127" s="2" t="str">
        <f>IF(Table1[[#This Row],[Is Data Valid]]=TRUE,((Table1[[#This Row],[Birthweight (grams)]]/Table1[[#This Row],[BW_GA]])-1)/(Backend!$B$4/100*Table1[[#This Row],[BW40_3705]]),"")</f>
        <v/>
      </c>
      <c r="H8127" s="7" t="str">
        <f>IF(Table1[[#This Row],[Is Data Valid]]=TRUE,((Table1[[#This Row],[Birthweight (grams)]]*0.9/Table1[[#This Row],[BW_GA]])-1)/(Backend!$B$4/100*Table1[[#This Row],[BW40_3705]]),"")</f>
        <v/>
      </c>
      <c r="I8127" s="7" t="str">
        <f>IF(Table1[[#This Row],[Is Data Valid]]=TRUE,((Table1[[#This Row],[Birthweight (grams)]]*1.1/Table1[[#This Row],[BW_GA]])-1)/(Backend!$B$4/100*Table1[[#This Row],[BW40_3705]]),"")</f>
        <v/>
      </c>
      <c r="J8127" s="7" t="str">
        <f>IF(Table1[[#This Row],[Is Data Valid]]=TRUE,_xlfn.NORM.S.DIST(Table1[[#This Row],[Birthweight Z-Score]],TRUE)*100,"")</f>
        <v/>
      </c>
      <c r="K8127" s="7" t="str">
        <f>IF(Table1[[#This Row],[Is Data Valid]]=TRUE,_xlfn.NORM.S.DIST(Table1[[#This Row],[Birthweight Z-Score (BW-10%)]],TRUE)*100,"")</f>
        <v/>
      </c>
      <c r="L8127" s="7" t="str">
        <f>IF(Table1[[#This Row],[Is Data Valid]]=TRUE,_xlfn.NORM.S.DIST(Table1[[#This Row],[Birthweight Z-Score (BW+10%)]],TRUE)*100,"")</f>
        <v/>
      </c>
    </row>
    <row r="8128" spans="1:12" x14ac:dyDescent="0.35">
      <c r="A8128" s="3"/>
      <c r="B8128" s="2"/>
      <c r="C8128" s="2"/>
      <c r="D8128" s="2" t="b">
        <f>IF(AND(NOT(ISBLANK(Table1[[#This Row],[Fetal Sex (Male, Female or Unknown)]])),ISNUMBER(Table1[[#This Row],[Birthweight (grams)]]),ISNUMBER(Table1[[#This Row],[Gestation (days)]])),TRUE,FALSE)</f>
        <v>0</v>
      </c>
      <c r="E8128" s="2" t="str">
        <f>IF(Table1[[#This Row],[Is Data Valid]]=TRUE,IF(Table1[[#This Row],[Fetal Sex (Male, Female or Unknown)]]="Male",Backend!$C$6,IF(Table1[[#This Row],[Fetal Sex (Male, Female or Unknown)]]="Female",Backend!$C$7,IF(Table1[[#This Row],[Fetal Sex (Male, Female or Unknown)]]="Unknown",Backend!$C$8,"Error"))),"")</f>
        <v/>
      </c>
      <c r="F8128" s="8" t="str">
        <f>IF(Table1[[#This Row],[Is Data Valid]]=TRUE,EXP(0.578+0.332*((Table1[[#This Row],[Gestation (days)]]+0.5)/7)-0.00354*((Table1[[#This Row],[Gestation (days)]]+0.5)/7)^2)*Table1[[#This Row],[BW40_3705]],"")</f>
        <v/>
      </c>
      <c r="G8128" s="2" t="str">
        <f>IF(Table1[[#This Row],[Is Data Valid]]=TRUE,((Table1[[#This Row],[Birthweight (grams)]]/Table1[[#This Row],[BW_GA]])-1)/(Backend!$B$4/100*Table1[[#This Row],[BW40_3705]]),"")</f>
        <v/>
      </c>
      <c r="H8128" s="7" t="str">
        <f>IF(Table1[[#This Row],[Is Data Valid]]=TRUE,((Table1[[#This Row],[Birthweight (grams)]]*0.9/Table1[[#This Row],[BW_GA]])-1)/(Backend!$B$4/100*Table1[[#This Row],[BW40_3705]]),"")</f>
        <v/>
      </c>
      <c r="I8128" s="7" t="str">
        <f>IF(Table1[[#This Row],[Is Data Valid]]=TRUE,((Table1[[#This Row],[Birthweight (grams)]]*1.1/Table1[[#This Row],[BW_GA]])-1)/(Backend!$B$4/100*Table1[[#This Row],[BW40_3705]]),"")</f>
        <v/>
      </c>
      <c r="J8128" s="7" t="str">
        <f>IF(Table1[[#This Row],[Is Data Valid]]=TRUE,_xlfn.NORM.S.DIST(Table1[[#This Row],[Birthweight Z-Score]],TRUE)*100,"")</f>
        <v/>
      </c>
      <c r="K8128" s="7" t="str">
        <f>IF(Table1[[#This Row],[Is Data Valid]]=TRUE,_xlfn.NORM.S.DIST(Table1[[#This Row],[Birthweight Z-Score (BW-10%)]],TRUE)*100,"")</f>
        <v/>
      </c>
      <c r="L8128" s="7" t="str">
        <f>IF(Table1[[#This Row],[Is Data Valid]]=TRUE,_xlfn.NORM.S.DIST(Table1[[#This Row],[Birthweight Z-Score (BW+10%)]],TRUE)*100,"")</f>
        <v/>
      </c>
    </row>
    <row r="8129" spans="1:12" x14ac:dyDescent="0.35">
      <c r="A8129" s="3"/>
      <c r="B8129" s="2"/>
      <c r="C8129" s="2"/>
      <c r="D8129" s="2" t="b">
        <f>IF(AND(NOT(ISBLANK(Table1[[#This Row],[Fetal Sex (Male, Female or Unknown)]])),ISNUMBER(Table1[[#This Row],[Birthweight (grams)]]),ISNUMBER(Table1[[#This Row],[Gestation (days)]])),TRUE,FALSE)</f>
        <v>0</v>
      </c>
      <c r="E8129" s="2" t="str">
        <f>IF(Table1[[#This Row],[Is Data Valid]]=TRUE,IF(Table1[[#This Row],[Fetal Sex (Male, Female or Unknown)]]="Male",Backend!$C$6,IF(Table1[[#This Row],[Fetal Sex (Male, Female or Unknown)]]="Female",Backend!$C$7,IF(Table1[[#This Row],[Fetal Sex (Male, Female or Unknown)]]="Unknown",Backend!$C$8,"Error"))),"")</f>
        <v/>
      </c>
      <c r="F8129" s="8" t="str">
        <f>IF(Table1[[#This Row],[Is Data Valid]]=TRUE,EXP(0.578+0.332*((Table1[[#This Row],[Gestation (days)]]+0.5)/7)-0.00354*((Table1[[#This Row],[Gestation (days)]]+0.5)/7)^2)*Table1[[#This Row],[BW40_3705]],"")</f>
        <v/>
      </c>
      <c r="G8129" s="2" t="str">
        <f>IF(Table1[[#This Row],[Is Data Valid]]=TRUE,((Table1[[#This Row],[Birthweight (grams)]]/Table1[[#This Row],[BW_GA]])-1)/(Backend!$B$4/100*Table1[[#This Row],[BW40_3705]]),"")</f>
        <v/>
      </c>
      <c r="H8129" s="7" t="str">
        <f>IF(Table1[[#This Row],[Is Data Valid]]=TRUE,((Table1[[#This Row],[Birthweight (grams)]]*0.9/Table1[[#This Row],[BW_GA]])-1)/(Backend!$B$4/100*Table1[[#This Row],[BW40_3705]]),"")</f>
        <v/>
      </c>
      <c r="I8129" s="7" t="str">
        <f>IF(Table1[[#This Row],[Is Data Valid]]=TRUE,((Table1[[#This Row],[Birthweight (grams)]]*1.1/Table1[[#This Row],[BW_GA]])-1)/(Backend!$B$4/100*Table1[[#This Row],[BW40_3705]]),"")</f>
        <v/>
      </c>
      <c r="J8129" s="7" t="str">
        <f>IF(Table1[[#This Row],[Is Data Valid]]=TRUE,_xlfn.NORM.S.DIST(Table1[[#This Row],[Birthweight Z-Score]],TRUE)*100,"")</f>
        <v/>
      </c>
      <c r="K8129" s="7" t="str">
        <f>IF(Table1[[#This Row],[Is Data Valid]]=TRUE,_xlfn.NORM.S.DIST(Table1[[#This Row],[Birthweight Z-Score (BW-10%)]],TRUE)*100,"")</f>
        <v/>
      </c>
      <c r="L8129" s="7" t="str">
        <f>IF(Table1[[#This Row],[Is Data Valid]]=TRUE,_xlfn.NORM.S.DIST(Table1[[#This Row],[Birthweight Z-Score (BW+10%)]],TRUE)*100,"")</f>
        <v/>
      </c>
    </row>
    <row r="8130" spans="1:12" x14ac:dyDescent="0.35">
      <c r="A8130" s="3"/>
      <c r="B8130" s="2"/>
      <c r="C8130" s="2"/>
      <c r="D8130" s="2" t="b">
        <f>IF(AND(NOT(ISBLANK(Table1[[#This Row],[Fetal Sex (Male, Female or Unknown)]])),ISNUMBER(Table1[[#This Row],[Birthweight (grams)]]),ISNUMBER(Table1[[#This Row],[Gestation (days)]])),TRUE,FALSE)</f>
        <v>0</v>
      </c>
      <c r="E8130" s="2" t="str">
        <f>IF(Table1[[#This Row],[Is Data Valid]]=TRUE,IF(Table1[[#This Row],[Fetal Sex (Male, Female or Unknown)]]="Male",Backend!$C$6,IF(Table1[[#This Row],[Fetal Sex (Male, Female or Unknown)]]="Female",Backend!$C$7,IF(Table1[[#This Row],[Fetal Sex (Male, Female or Unknown)]]="Unknown",Backend!$C$8,"Error"))),"")</f>
        <v/>
      </c>
      <c r="F8130" s="8" t="str">
        <f>IF(Table1[[#This Row],[Is Data Valid]]=TRUE,EXP(0.578+0.332*((Table1[[#This Row],[Gestation (days)]]+0.5)/7)-0.00354*((Table1[[#This Row],[Gestation (days)]]+0.5)/7)^2)*Table1[[#This Row],[BW40_3705]],"")</f>
        <v/>
      </c>
      <c r="G8130" s="2" t="str">
        <f>IF(Table1[[#This Row],[Is Data Valid]]=TRUE,((Table1[[#This Row],[Birthweight (grams)]]/Table1[[#This Row],[BW_GA]])-1)/(Backend!$B$4/100*Table1[[#This Row],[BW40_3705]]),"")</f>
        <v/>
      </c>
      <c r="H8130" s="7" t="str">
        <f>IF(Table1[[#This Row],[Is Data Valid]]=TRUE,((Table1[[#This Row],[Birthweight (grams)]]*0.9/Table1[[#This Row],[BW_GA]])-1)/(Backend!$B$4/100*Table1[[#This Row],[BW40_3705]]),"")</f>
        <v/>
      </c>
      <c r="I8130" s="7" t="str">
        <f>IF(Table1[[#This Row],[Is Data Valid]]=TRUE,((Table1[[#This Row],[Birthweight (grams)]]*1.1/Table1[[#This Row],[BW_GA]])-1)/(Backend!$B$4/100*Table1[[#This Row],[BW40_3705]]),"")</f>
        <v/>
      </c>
      <c r="J8130" s="7" t="str">
        <f>IF(Table1[[#This Row],[Is Data Valid]]=TRUE,_xlfn.NORM.S.DIST(Table1[[#This Row],[Birthweight Z-Score]],TRUE)*100,"")</f>
        <v/>
      </c>
      <c r="K8130" s="7" t="str">
        <f>IF(Table1[[#This Row],[Is Data Valid]]=TRUE,_xlfn.NORM.S.DIST(Table1[[#This Row],[Birthweight Z-Score (BW-10%)]],TRUE)*100,"")</f>
        <v/>
      </c>
      <c r="L8130" s="7" t="str">
        <f>IF(Table1[[#This Row],[Is Data Valid]]=TRUE,_xlfn.NORM.S.DIST(Table1[[#This Row],[Birthweight Z-Score (BW+10%)]],TRUE)*100,"")</f>
        <v/>
      </c>
    </row>
    <row r="8131" spans="1:12" x14ac:dyDescent="0.35">
      <c r="A8131" s="3"/>
      <c r="B8131" s="2"/>
      <c r="C8131" s="2"/>
      <c r="D8131" s="2" t="b">
        <f>IF(AND(NOT(ISBLANK(Table1[[#This Row],[Fetal Sex (Male, Female or Unknown)]])),ISNUMBER(Table1[[#This Row],[Birthweight (grams)]]),ISNUMBER(Table1[[#This Row],[Gestation (days)]])),TRUE,FALSE)</f>
        <v>0</v>
      </c>
      <c r="E8131" s="2" t="str">
        <f>IF(Table1[[#This Row],[Is Data Valid]]=TRUE,IF(Table1[[#This Row],[Fetal Sex (Male, Female or Unknown)]]="Male",Backend!$C$6,IF(Table1[[#This Row],[Fetal Sex (Male, Female or Unknown)]]="Female",Backend!$C$7,IF(Table1[[#This Row],[Fetal Sex (Male, Female or Unknown)]]="Unknown",Backend!$C$8,"Error"))),"")</f>
        <v/>
      </c>
      <c r="F8131" s="8" t="str">
        <f>IF(Table1[[#This Row],[Is Data Valid]]=TRUE,EXP(0.578+0.332*((Table1[[#This Row],[Gestation (days)]]+0.5)/7)-0.00354*((Table1[[#This Row],[Gestation (days)]]+0.5)/7)^2)*Table1[[#This Row],[BW40_3705]],"")</f>
        <v/>
      </c>
      <c r="G8131" s="2" t="str">
        <f>IF(Table1[[#This Row],[Is Data Valid]]=TRUE,((Table1[[#This Row],[Birthweight (grams)]]/Table1[[#This Row],[BW_GA]])-1)/(Backend!$B$4/100*Table1[[#This Row],[BW40_3705]]),"")</f>
        <v/>
      </c>
      <c r="H8131" s="7" t="str">
        <f>IF(Table1[[#This Row],[Is Data Valid]]=TRUE,((Table1[[#This Row],[Birthweight (grams)]]*0.9/Table1[[#This Row],[BW_GA]])-1)/(Backend!$B$4/100*Table1[[#This Row],[BW40_3705]]),"")</f>
        <v/>
      </c>
      <c r="I8131" s="7" t="str">
        <f>IF(Table1[[#This Row],[Is Data Valid]]=TRUE,((Table1[[#This Row],[Birthweight (grams)]]*1.1/Table1[[#This Row],[BW_GA]])-1)/(Backend!$B$4/100*Table1[[#This Row],[BW40_3705]]),"")</f>
        <v/>
      </c>
      <c r="J8131" s="7" t="str">
        <f>IF(Table1[[#This Row],[Is Data Valid]]=TRUE,_xlfn.NORM.S.DIST(Table1[[#This Row],[Birthweight Z-Score]],TRUE)*100,"")</f>
        <v/>
      </c>
      <c r="K8131" s="7" t="str">
        <f>IF(Table1[[#This Row],[Is Data Valid]]=TRUE,_xlfn.NORM.S.DIST(Table1[[#This Row],[Birthweight Z-Score (BW-10%)]],TRUE)*100,"")</f>
        <v/>
      </c>
      <c r="L8131" s="7" t="str">
        <f>IF(Table1[[#This Row],[Is Data Valid]]=TRUE,_xlfn.NORM.S.DIST(Table1[[#This Row],[Birthweight Z-Score (BW+10%)]],TRUE)*100,"")</f>
        <v/>
      </c>
    </row>
    <row r="8132" spans="1:12" x14ac:dyDescent="0.35">
      <c r="A8132" s="3"/>
      <c r="B8132" s="2"/>
      <c r="C8132" s="2"/>
      <c r="D8132" s="2" t="b">
        <f>IF(AND(NOT(ISBLANK(Table1[[#This Row],[Fetal Sex (Male, Female or Unknown)]])),ISNUMBER(Table1[[#This Row],[Birthweight (grams)]]),ISNUMBER(Table1[[#This Row],[Gestation (days)]])),TRUE,FALSE)</f>
        <v>0</v>
      </c>
      <c r="E8132" s="2" t="str">
        <f>IF(Table1[[#This Row],[Is Data Valid]]=TRUE,IF(Table1[[#This Row],[Fetal Sex (Male, Female or Unknown)]]="Male",Backend!$C$6,IF(Table1[[#This Row],[Fetal Sex (Male, Female or Unknown)]]="Female",Backend!$C$7,IF(Table1[[#This Row],[Fetal Sex (Male, Female or Unknown)]]="Unknown",Backend!$C$8,"Error"))),"")</f>
        <v/>
      </c>
      <c r="F8132" s="8" t="str">
        <f>IF(Table1[[#This Row],[Is Data Valid]]=TRUE,EXP(0.578+0.332*((Table1[[#This Row],[Gestation (days)]]+0.5)/7)-0.00354*((Table1[[#This Row],[Gestation (days)]]+0.5)/7)^2)*Table1[[#This Row],[BW40_3705]],"")</f>
        <v/>
      </c>
      <c r="G8132" s="2" t="str">
        <f>IF(Table1[[#This Row],[Is Data Valid]]=TRUE,((Table1[[#This Row],[Birthweight (grams)]]/Table1[[#This Row],[BW_GA]])-1)/(Backend!$B$4/100*Table1[[#This Row],[BW40_3705]]),"")</f>
        <v/>
      </c>
      <c r="H8132" s="7" t="str">
        <f>IF(Table1[[#This Row],[Is Data Valid]]=TRUE,((Table1[[#This Row],[Birthweight (grams)]]*0.9/Table1[[#This Row],[BW_GA]])-1)/(Backend!$B$4/100*Table1[[#This Row],[BW40_3705]]),"")</f>
        <v/>
      </c>
      <c r="I8132" s="7" t="str">
        <f>IF(Table1[[#This Row],[Is Data Valid]]=TRUE,((Table1[[#This Row],[Birthweight (grams)]]*1.1/Table1[[#This Row],[BW_GA]])-1)/(Backend!$B$4/100*Table1[[#This Row],[BW40_3705]]),"")</f>
        <v/>
      </c>
      <c r="J8132" s="7" t="str">
        <f>IF(Table1[[#This Row],[Is Data Valid]]=TRUE,_xlfn.NORM.S.DIST(Table1[[#This Row],[Birthweight Z-Score]],TRUE)*100,"")</f>
        <v/>
      </c>
      <c r="K8132" s="7" t="str">
        <f>IF(Table1[[#This Row],[Is Data Valid]]=TRUE,_xlfn.NORM.S.DIST(Table1[[#This Row],[Birthweight Z-Score (BW-10%)]],TRUE)*100,"")</f>
        <v/>
      </c>
      <c r="L8132" s="7" t="str">
        <f>IF(Table1[[#This Row],[Is Data Valid]]=TRUE,_xlfn.NORM.S.DIST(Table1[[#This Row],[Birthweight Z-Score (BW+10%)]],TRUE)*100,"")</f>
        <v/>
      </c>
    </row>
    <row r="8133" spans="1:12" x14ac:dyDescent="0.35">
      <c r="A8133" s="3"/>
      <c r="B8133" s="2"/>
      <c r="C8133" s="2"/>
      <c r="D8133" s="2" t="b">
        <f>IF(AND(NOT(ISBLANK(Table1[[#This Row],[Fetal Sex (Male, Female or Unknown)]])),ISNUMBER(Table1[[#This Row],[Birthweight (grams)]]),ISNUMBER(Table1[[#This Row],[Gestation (days)]])),TRUE,FALSE)</f>
        <v>0</v>
      </c>
      <c r="E8133" s="2" t="str">
        <f>IF(Table1[[#This Row],[Is Data Valid]]=TRUE,IF(Table1[[#This Row],[Fetal Sex (Male, Female or Unknown)]]="Male",Backend!$C$6,IF(Table1[[#This Row],[Fetal Sex (Male, Female or Unknown)]]="Female",Backend!$C$7,IF(Table1[[#This Row],[Fetal Sex (Male, Female or Unknown)]]="Unknown",Backend!$C$8,"Error"))),"")</f>
        <v/>
      </c>
      <c r="F8133" s="8" t="str">
        <f>IF(Table1[[#This Row],[Is Data Valid]]=TRUE,EXP(0.578+0.332*((Table1[[#This Row],[Gestation (days)]]+0.5)/7)-0.00354*((Table1[[#This Row],[Gestation (days)]]+0.5)/7)^2)*Table1[[#This Row],[BW40_3705]],"")</f>
        <v/>
      </c>
      <c r="G8133" s="2" t="str">
        <f>IF(Table1[[#This Row],[Is Data Valid]]=TRUE,((Table1[[#This Row],[Birthweight (grams)]]/Table1[[#This Row],[BW_GA]])-1)/(Backend!$B$4/100*Table1[[#This Row],[BW40_3705]]),"")</f>
        <v/>
      </c>
      <c r="H8133" s="7" t="str">
        <f>IF(Table1[[#This Row],[Is Data Valid]]=TRUE,((Table1[[#This Row],[Birthweight (grams)]]*0.9/Table1[[#This Row],[BW_GA]])-1)/(Backend!$B$4/100*Table1[[#This Row],[BW40_3705]]),"")</f>
        <v/>
      </c>
      <c r="I8133" s="7" t="str">
        <f>IF(Table1[[#This Row],[Is Data Valid]]=TRUE,((Table1[[#This Row],[Birthweight (grams)]]*1.1/Table1[[#This Row],[BW_GA]])-1)/(Backend!$B$4/100*Table1[[#This Row],[BW40_3705]]),"")</f>
        <v/>
      </c>
      <c r="J8133" s="7" t="str">
        <f>IF(Table1[[#This Row],[Is Data Valid]]=TRUE,_xlfn.NORM.S.DIST(Table1[[#This Row],[Birthweight Z-Score]],TRUE)*100,"")</f>
        <v/>
      </c>
      <c r="K8133" s="7" t="str">
        <f>IF(Table1[[#This Row],[Is Data Valid]]=TRUE,_xlfn.NORM.S.DIST(Table1[[#This Row],[Birthweight Z-Score (BW-10%)]],TRUE)*100,"")</f>
        <v/>
      </c>
      <c r="L8133" s="7" t="str">
        <f>IF(Table1[[#This Row],[Is Data Valid]]=TRUE,_xlfn.NORM.S.DIST(Table1[[#This Row],[Birthweight Z-Score (BW+10%)]],TRUE)*100,"")</f>
        <v/>
      </c>
    </row>
    <row r="8134" spans="1:12" x14ac:dyDescent="0.35">
      <c r="A8134" s="3"/>
      <c r="B8134" s="2"/>
      <c r="C8134" s="2"/>
      <c r="D8134" s="2" t="b">
        <f>IF(AND(NOT(ISBLANK(Table1[[#This Row],[Fetal Sex (Male, Female or Unknown)]])),ISNUMBER(Table1[[#This Row],[Birthweight (grams)]]),ISNUMBER(Table1[[#This Row],[Gestation (days)]])),TRUE,FALSE)</f>
        <v>0</v>
      </c>
      <c r="E8134" s="2" t="str">
        <f>IF(Table1[[#This Row],[Is Data Valid]]=TRUE,IF(Table1[[#This Row],[Fetal Sex (Male, Female or Unknown)]]="Male",Backend!$C$6,IF(Table1[[#This Row],[Fetal Sex (Male, Female or Unknown)]]="Female",Backend!$C$7,IF(Table1[[#This Row],[Fetal Sex (Male, Female or Unknown)]]="Unknown",Backend!$C$8,"Error"))),"")</f>
        <v/>
      </c>
      <c r="F8134" s="8" t="str">
        <f>IF(Table1[[#This Row],[Is Data Valid]]=TRUE,EXP(0.578+0.332*((Table1[[#This Row],[Gestation (days)]]+0.5)/7)-0.00354*((Table1[[#This Row],[Gestation (days)]]+0.5)/7)^2)*Table1[[#This Row],[BW40_3705]],"")</f>
        <v/>
      </c>
      <c r="G8134" s="2" t="str">
        <f>IF(Table1[[#This Row],[Is Data Valid]]=TRUE,((Table1[[#This Row],[Birthweight (grams)]]/Table1[[#This Row],[BW_GA]])-1)/(Backend!$B$4/100*Table1[[#This Row],[BW40_3705]]),"")</f>
        <v/>
      </c>
      <c r="H8134" s="7" t="str">
        <f>IF(Table1[[#This Row],[Is Data Valid]]=TRUE,((Table1[[#This Row],[Birthweight (grams)]]*0.9/Table1[[#This Row],[BW_GA]])-1)/(Backend!$B$4/100*Table1[[#This Row],[BW40_3705]]),"")</f>
        <v/>
      </c>
      <c r="I8134" s="7" t="str">
        <f>IF(Table1[[#This Row],[Is Data Valid]]=TRUE,((Table1[[#This Row],[Birthweight (grams)]]*1.1/Table1[[#This Row],[BW_GA]])-1)/(Backend!$B$4/100*Table1[[#This Row],[BW40_3705]]),"")</f>
        <v/>
      </c>
      <c r="J8134" s="7" t="str">
        <f>IF(Table1[[#This Row],[Is Data Valid]]=TRUE,_xlfn.NORM.S.DIST(Table1[[#This Row],[Birthweight Z-Score]],TRUE)*100,"")</f>
        <v/>
      </c>
      <c r="K8134" s="7" t="str">
        <f>IF(Table1[[#This Row],[Is Data Valid]]=TRUE,_xlfn.NORM.S.DIST(Table1[[#This Row],[Birthweight Z-Score (BW-10%)]],TRUE)*100,"")</f>
        <v/>
      </c>
      <c r="L8134" s="7" t="str">
        <f>IF(Table1[[#This Row],[Is Data Valid]]=TRUE,_xlfn.NORM.S.DIST(Table1[[#This Row],[Birthweight Z-Score (BW+10%)]],TRUE)*100,"")</f>
        <v/>
      </c>
    </row>
    <row r="8135" spans="1:12" x14ac:dyDescent="0.35">
      <c r="A8135" s="3"/>
      <c r="B8135" s="2"/>
      <c r="C8135" s="2"/>
      <c r="D8135" s="2" t="b">
        <f>IF(AND(NOT(ISBLANK(Table1[[#This Row],[Fetal Sex (Male, Female or Unknown)]])),ISNUMBER(Table1[[#This Row],[Birthweight (grams)]]),ISNUMBER(Table1[[#This Row],[Gestation (days)]])),TRUE,FALSE)</f>
        <v>0</v>
      </c>
      <c r="E8135" s="2" t="str">
        <f>IF(Table1[[#This Row],[Is Data Valid]]=TRUE,IF(Table1[[#This Row],[Fetal Sex (Male, Female or Unknown)]]="Male",Backend!$C$6,IF(Table1[[#This Row],[Fetal Sex (Male, Female or Unknown)]]="Female",Backend!$C$7,IF(Table1[[#This Row],[Fetal Sex (Male, Female or Unknown)]]="Unknown",Backend!$C$8,"Error"))),"")</f>
        <v/>
      </c>
      <c r="F8135" s="8" t="str">
        <f>IF(Table1[[#This Row],[Is Data Valid]]=TRUE,EXP(0.578+0.332*((Table1[[#This Row],[Gestation (days)]]+0.5)/7)-0.00354*((Table1[[#This Row],[Gestation (days)]]+0.5)/7)^2)*Table1[[#This Row],[BW40_3705]],"")</f>
        <v/>
      </c>
      <c r="G8135" s="2" t="str">
        <f>IF(Table1[[#This Row],[Is Data Valid]]=TRUE,((Table1[[#This Row],[Birthweight (grams)]]/Table1[[#This Row],[BW_GA]])-1)/(Backend!$B$4/100*Table1[[#This Row],[BW40_3705]]),"")</f>
        <v/>
      </c>
      <c r="H8135" s="7" t="str">
        <f>IF(Table1[[#This Row],[Is Data Valid]]=TRUE,((Table1[[#This Row],[Birthweight (grams)]]*0.9/Table1[[#This Row],[BW_GA]])-1)/(Backend!$B$4/100*Table1[[#This Row],[BW40_3705]]),"")</f>
        <v/>
      </c>
      <c r="I8135" s="7" t="str">
        <f>IF(Table1[[#This Row],[Is Data Valid]]=TRUE,((Table1[[#This Row],[Birthweight (grams)]]*1.1/Table1[[#This Row],[BW_GA]])-1)/(Backend!$B$4/100*Table1[[#This Row],[BW40_3705]]),"")</f>
        <v/>
      </c>
      <c r="J8135" s="7" t="str">
        <f>IF(Table1[[#This Row],[Is Data Valid]]=TRUE,_xlfn.NORM.S.DIST(Table1[[#This Row],[Birthweight Z-Score]],TRUE)*100,"")</f>
        <v/>
      </c>
      <c r="K8135" s="7" t="str">
        <f>IF(Table1[[#This Row],[Is Data Valid]]=TRUE,_xlfn.NORM.S.DIST(Table1[[#This Row],[Birthweight Z-Score (BW-10%)]],TRUE)*100,"")</f>
        <v/>
      </c>
      <c r="L8135" s="7" t="str">
        <f>IF(Table1[[#This Row],[Is Data Valid]]=TRUE,_xlfn.NORM.S.DIST(Table1[[#This Row],[Birthweight Z-Score (BW+10%)]],TRUE)*100,"")</f>
        <v/>
      </c>
    </row>
    <row r="8136" spans="1:12" x14ac:dyDescent="0.35">
      <c r="A8136" s="3"/>
      <c r="B8136" s="2"/>
      <c r="C8136" s="2"/>
      <c r="D8136" s="2" t="b">
        <f>IF(AND(NOT(ISBLANK(Table1[[#This Row],[Fetal Sex (Male, Female or Unknown)]])),ISNUMBER(Table1[[#This Row],[Birthweight (grams)]]),ISNUMBER(Table1[[#This Row],[Gestation (days)]])),TRUE,FALSE)</f>
        <v>0</v>
      </c>
      <c r="E8136" s="2" t="str">
        <f>IF(Table1[[#This Row],[Is Data Valid]]=TRUE,IF(Table1[[#This Row],[Fetal Sex (Male, Female or Unknown)]]="Male",Backend!$C$6,IF(Table1[[#This Row],[Fetal Sex (Male, Female or Unknown)]]="Female",Backend!$C$7,IF(Table1[[#This Row],[Fetal Sex (Male, Female or Unknown)]]="Unknown",Backend!$C$8,"Error"))),"")</f>
        <v/>
      </c>
      <c r="F8136" s="8" t="str">
        <f>IF(Table1[[#This Row],[Is Data Valid]]=TRUE,EXP(0.578+0.332*((Table1[[#This Row],[Gestation (days)]]+0.5)/7)-0.00354*((Table1[[#This Row],[Gestation (days)]]+0.5)/7)^2)*Table1[[#This Row],[BW40_3705]],"")</f>
        <v/>
      </c>
      <c r="G8136" s="2" t="str">
        <f>IF(Table1[[#This Row],[Is Data Valid]]=TRUE,((Table1[[#This Row],[Birthweight (grams)]]/Table1[[#This Row],[BW_GA]])-1)/(Backend!$B$4/100*Table1[[#This Row],[BW40_3705]]),"")</f>
        <v/>
      </c>
      <c r="H8136" s="7" t="str">
        <f>IF(Table1[[#This Row],[Is Data Valid]]=TRUE,((Table1[[#This Row],[Birthweight (grams)]]*0.9/Table1[[#This Row],[BW_GA]])-1)/(Backend!$B$4/100*Table1[[#This Row],[BW40_3705]]),"")</f>
        <v/>
      </c>
      <c r="I8136" s="7" t="str">
        <f>IF(Table1[[#This Row],[Is Data Valid]]=TRUE,((Table1[[#This Row],[Birthweight (grams)]]*1.1/Table1[[#This Row],[BW_GA]])-1)/(Backend!$B$4/100*Table1[[#This Row],[BW40_3705]]),"")</f>
        <v/>
      </c>
      <c r="J8136" s="7" t="str">
        <f>IF(Table1[[#This Row],[Is Data Valid]]=TRUE,_xlfn.NORM.S.DIST(Table1[[#This Row],[Birthweight Z-Score]],TRUE)*100,"")</f>
        <v/>
      </c>
      <c r="K8136" s="7" t="str">
        <f>IF(Table1[[#This Row],[Is Data Valid]]=TRUE,_xlfn.NORM.S.DIST(Table1[[#This Row],[Birthweight Z-Score (BW-10%)]],TRUE)*100,"")</f>
        <v/>
      </c>
      <c r="L8136" s="7" t="str">
        <f>IF(Table1[[#This Row],[Is Data Valid]]=TRUE,_xlfn.NORM.S.DIST(Table1[[#This Row],[Birthweight Z-Score (BW+10%)]],TRUE)*100,"")</f>
        <v/>
      </c>
    </row>
    <row r="8137" spans="1:12" x14ac:dyDescent="0.35">
      <c r="A8137" s="3"/>
      <c r="B8137" s="2"/>
      <c r="C8137" s="2"/>
      <c r="D8137" s="2" t="b">
        <f>IF(AND(NOT(ISBLANK(Table1[[#This Row],[Fetal Sex (Male, Female or Unknown)]])),ISNUMBER(Table1[[#This Row],[Birthweight (grams)]]),ISNUMBER(Table1[[#This Row],[Gestation (days)]])),TRUE,FALSE)</f>
        <v>0</v>
      </c>
      <c r="E8137" s="2" t="str">
        <f>IF(Table1[[#This Row],[Is Data Valid]]=TRUE,IF(Table1[[#This Row],[Fetal Sex (Male, Female or Unknown)]]="Male",Backend!$C$6,IF(Table1[[#This Row],[Fetal Sex (Male, Female or Unknown)]]="Female",Backend!$C$7,IF(Table1[[#This Row],[Fetal Sex (Male, Female or Unknown)]]="Unknown",Backend!$C$8,"Error"))),"")</f>
        <v/>
      </c>
      <c r="F8137" s="8" t="str">
        <f>IF(Table1[[#This Row],[Is Data Valid]]=TRUE,EXP(0.578+0.332*((Table1[[#This Row],[Gestation (days)]]+0.5)/7)-0.00354*((Table1[[#This Row],[Gestation (days)]]+0.5)/7)^2)*Table1[[#This Row],[BW40_3705]],"")</f>
        <v/>
      </c>
      <c r="G8137" s="2" t="str">
        <f>IF(Table1[[#This Row],[Is Data Valid]]=TRUE,((Table1[[#This Row],[Birthweight (grams)]]/Table1[[#This Row],[BW_GA]])-1)/(Backend!$B$4/100*Table1[[#This Row],[BW40_3705]]),"")</f>
        <v/>
      </c>
      <c r="H8137" s="7" t="str">
        <f>IF(Table1[[#This Row],[Is Data Valid]]=TRUE,((Table1[[#This Row],[Birthweight (grams)]]*0.9/Table1[[#This Row],[BW_GA]])-1)/(Backend!$B$4/100*Table1[[#This Row],[BW40_3705]]),"")</f>
        <v/>
      </c>
      <c r="I8137" s="7" t="str">
        <f>IF(Table1[[#This Row],[Is Data Valid]]=TRUE,((Table1[[#This Row],[Birthweight (grams)]]*1.1/Table1[[#This Row],[BW_GA]])-1)/(Backend!$B$4/100*Table1[[#This Row],[BW40_3705]]),"")</f>
        <v/>
      </c>
      <c r="J8137" s="7" t="str">
        <f>IF(Table1[[#This Row],[Is Data Valid]]=TRUE,_xlfn.NORM.S.DIST(Table1[[#This Row],[Birthweight Z-Score]],TRUE)*100,"")</f>
        <v/>
      </c>
      <c r="K8137" s="7" t="str">
        <f>IF(Table1[[#This Row],[Is Data Valid]]=TRUE,_xlfn.NORM.S.DIST(Table1[[#This Row],[Birthweight Z-Score (BW-10%)]],TRUE)*100,"")</f>
        <v/>
      </c>
      <c r="L8137" s="7" t="str">
        <f>IF(Table1[[#This Row],[Is Data Valid]]=TRUE,_xlfn.NORM.S.DIST(Table1[[#This Row],[Birthweight Z-Score (BW+10%)]],TRUE)*100,"")</f>
        <v/>
      </c>
    </row>
    <row r="8138" spans="1:12" x14ac:dyDescent="0.35">
      <c r="A8138" s="3"/>
      <c r="B8138" s="2"/>
      <c r="C8138" s="2"/>
      <c r="D8138" s="2" t="b">
        <f>IF(AND(NOT(ISBLANK(Table1[[#This Row],[Fetal Sex (Male, Female or Unknown)]])),ISNUMBER(Table1[[#This Row],[Birthweight (grams)]]),ISNUMBER(Table1[[#This Row],[Gestation (days)]])),TRUE,FALSE)</f>
        <v>0</v>
      </c>
      <c r="E8138" s="2" t="str">
        <f>IF(Table1[[#This Row],[Is Data Valid]]=TRUE,IF(Table1[[#This Row],[Fetal Sex (Male, Female or Unknown)]]="Male",Backend!$C$6,IF(Table1[[#This Row],[Fetal Sex (Male, Female or Unknown)]]="Female",Backend!$C$7,IF(Table1[[#This Row],[Fetal Sex (Male, Female or Unknown)]]="Unknown",Backend!$C$8,"Error"))),"")</f>
        <v/>
      </c>
      <c r="F8138" s="8" t="str">
        <f>IF(Table1[[#This Row],[Is Data Valid]]=TRUE,EXP(0.578+0.332*((Table1[[#This Row],[Gestation (days)]]+0.5)/7)-0.00354*((Table1[[#This Row],[Gestation (days)]]+0.5)/7)^2)*Table1[[#This Row],[BW40_3705]],"")</f>
        <v/>
      </c>
      <c r="G8138" s="2" t="str">
        <f>IF(Table1[[#This Row],[Is Data Valid]]=TRUE,((Table1[[#This Row],[Birthweight (grams)]]/Table1[[#This Row],[BW_GA]])-1)/(Backend!$B$4/100*Table1[[#This Row],[BW40_3705]]),"")</f>
        <v/>
      </c>
      <c r="H8138" s="7" t="str">
        <f>IF(Table1[[#This Row],[Is Data Valid]]=TRUE,((Table1[[#This Row],[Birthweight (grams)]]*0.9/Table1[[#This Row],[BW_GA]])-1)/(Backend!$B$4/100*Table1[[#This Row],[BW40_3705]]),"")</f>
        <v/>
      </c>
      <c r="I8138" s="7" t="str">
        <f>IF(Table1[[#This Row],[Is Data Valid]]=TRUE,((Table1[[#This Row],[Birthweight (grams)]]*1.1/Table1[[#This Row],[BW_GA]])-1)/(Backend!$B$4/100*Table1[[#This Row],[BW40_3705]]),"")</f>
        <v/>
      </c>
      <c r="J8138" s="7" t="str">
        <f>IF(Table1[[#This Row],[Is Data Valid]]=TRUE,_xlfn.NORM.S.DIST(Table1[[#This Row],[Birthweight Z-Score]],TRUE)*100,"")</f>
        <v/>
      </c>
      <c r="K8138" s="7" t="str">
        <f>IF(Table1[[#This Row],[Is Data Valid]]=TRUE,_xlfn.NORM.S.DIST(Table1[[#This Row],[Birthweight Z-Score (BW-10%)]],TRUE)*100,"")</f>
        <v/>
      </c>
      <c r="L8138" s="7" t="str">
        <f>IF(Table1[[#This Row],[Is Data Valid]]=TRUE,_xlfn.NORM.S.DIST(Table1[[#This Row],[Birthweight Z-Score (BW+10%)]],TRUE)*100,"")</f>
        <v/>
      </c>
    </row>
    <row r="8139" spans="1:12" x14ac:dyDescent="0.35">
      <c r="A8139" s="3"/>
      <c r="B8139" s="2"/>
      <c r="C8139" s="2"/>
      <c r="D8139" s="2" t="b">
        <f>IF(AND(NOT(ISBLANK(Table1[[#This Row],[Fetal Sex (Male, Female or Unknown)]])),ISNUMBER(Table1[[#This Row],[Birthweight (grams)]]),ISNUMBER(Table1[[#This Row],[Gestation (days)]])),TRUE,FALSE)</f>
        <v>0</v>
      </c>
      <c r="E8139" s="2" t="str">
        <f>IF(Table1[[#This Row],[Is Data Valid]]=TRUE,IF(Table1[[#This Row],[Fetal Sex (Male, Female or Unknown)]]="Male",Backend!$C$6,IF(Table1[[#This Row],[Fetal Sex (Male, Female or Unknown)]]="Female",Backend!$C$7,IF(Table1[[#This Row],[Fetal Sex (Male, Female or Unknown)]]="Unknown",Backend!$C$8,"Error"))),"")</f>
        <v/>
      </c>
      <c r="F8139" s="8" t="str">
        <f>IF(Table1[[#This Row],[Is Data Valid]]=TRUE,EXP(0.578+0.332*((Table1[[#This Row],[Gestation (days)]]+0.5)/7)-0.00354*((Table1[[#This Row],[Gestation (days)]]+0.5)/7)^2)*Table1[[#This Row],[BW40_3705]],"")</f>
        <v/>
      </c>
      <c r="G8139" s="2" t="str">
        <f>IF(Table1[[#This Row],[Is Data Valid]]=TRUE,((Table1[[#This Row],[Birthweight (grams)]]/Table1[[#This Row],[BW_GA]])-1)/(Backend!$B$4/100*Table1[[#This Row],[BW40_3705]]),"")</f>
        <v/>
      </c>
      <c r="H8139" s="7" t="str">
        <f>IF(Table1[[#This Row],[Is Data Valid]]=TRUE,((Table1[[#This Row],[Birthweight (grams)]]*0.9/Table1[[#This Row],[BW_GA]])-1)/(Backend!$B$4/100*Table1[[#This Row],[BW40_3705]]),"")</f>
        <v/>
      </c>
      <c r="I8139" s="7" t="str">
        <f>IF(Table1[[#This Row],[Is Data Valid]]=TRUE,((Table1[[#This Row],[Birthweight (grams)]]*1.1/Table1[[#This Row],[BW_GA]])-1)/(Backend!$B$4/100*Table1[[#This Row],[BW40_3705]]),"")</f>
        <v/>
      </c>
      <c r="J8139" s="7" t="str">
        <f>IF(Table1[[#This Row],[Is Data Valid]]=TRUE,_xlfn.NORM.S.DIST(Table1[[#This Row],[Birthweight Z-Score]],TRUE)*100,"")</f>
        <v/>
      </c>
      <c r="K8139" s="7" t="str">
        <f>IF(Table1[[#This Row],[Is Data Valid]]=TRUE,_xlfn.NORM.S.DIST(Table1[[#This Row],[Birthweight Z-Score (BW-10%)]],TRUE)*100,"")</f>
        <v/>
      </c>
      <c r="L8139" s="7" t="str">
        <f>IF(Table1[[#This Row],[Is Data Valid]]=TRUE,_xlfn.NORM.S.DIST(Table1[[#This Row],[Birthweight Z-Score (BW+10%)]],TRUE)*100,"")</f>
        <v/>
      </c>
    </row>
    <row r="8140" spans="1:12" x14ac:dyDescent="0.35">
      <c r="A8140" s="3"/>
      <c r="B8140" s="2"/>
      <c r="C8140" s="2"/>
      <c r="D8140" s="2" t="b">
        <f>IF(AND(NOT(ISBLANK(Table1[[#This Row],[Fetal Sex (Male, Female or Unknown)]])),ISNUMBER(Table1[[#This Row],[Birthweight (grams)]]),ISNUMBER(Table1[[#This Row],[Gestation (days)]])),TRUE,FALSE)</f>
        <v>0</v>
      </c>
      <c r="E8140" s="2" t="str">
        <f>IF(Table1[[#This Row],[Is Data Valid]]=TRUE,IF(Table1[[#This Row],[Fetal Sex (Male, Female or Unknown)]]="Male",Backend!$C$6,IF(Table1[[#This Row],[Fetal Sex (Male, Female or Unknown)]]="Female",Backend!$C$7,IF(Table1[[#This Row],[Fetal Sex (Male, Female or Unknown)]]="Unknown",Backend!$C$8,"Error"))),"")</f>
        <v/>
      </c>
      <c r="F8140" s="8" t="str">
        <f>IF(Table1[[#This Row],[Is Data Valid]]=TRUE,EXP(0.578+0.332*((Table1[[#This Row],[Gestation (days)]]+0.5)/7)-0.00354*((Table1[[#This Row],[Gestation (days)]]+0.5)/7)^2)*Table1[[#This Row],[BW40_3705]],"")</f>
        <v/>
      </c>
      <c r="G8140" s="2" t="str">
        <f>IF(Table1[[#This Row],[Is Data Valid]]=TRUE,((Table1[[#This Row],[Birthweight (grams)]]/Table1[[#This Row],[BW_GA]])-1)/(Backend!$B$4/100*Table1[[#This Row],[BW40_3705]]),"")</f>
        <v/>
      </c>
      <c r="H8140" s="7" t="str">
        <f>IF(Table1[[#This Row],[Is Data Valid]]=TRUE,((Table1[[#This Row],[Birthweight (grams)]]*0.9/Table1[[#This Row],[BW_GA]])-1)/(Backend!$B$4/100*Table1[[#This Row],[BW40_3705]]),"")</f>
        <v/>
      </c>
      <c r="I8140" s="7" t="str">
        <f>IF(Table1[[#This Row],[Is Data Valid]]=TRUE,((Table1[[#This Row],[Birthweight (grams)]]*1.1/Table1[[#This Row],[BW_GA]])-1)/(Backend!$B$4/100*Table1[[#This Row],[BW40_3705]]),"")</f>
        <v/>
      </c>
      <c r="J8140" s="7" t="str">
        <f>IF(Table1[[#This Row],[Is Data Valid]]=TRUE,_xlfn.NORM.S.DIST(Table1[[#This Row],[Birthweight Z-Score]],TRUE)*100,"")</f>
        <v/>
      </c>
      <c r="K8140" s="7" t="str">
        <f>IF(Table1[[#This Row],[Is Data Valid]]=TRUE,_xlfn.NORM.S.DIST(Table1[[#This Row],[Birthweight Z-Score (BW-10%)]],TRUE)*100,"")</f>
        <v/>
      </c>
      <c r="L8140" s="7" t="str">
        <f>IF(Table1[[#This Row],[Is Data Valid]]=TRUE,_xlfn.NORM.S.DIST(Table1[[#This Row],[Birthweight Z-Score (BW+10%)]],TRUE)*100,"")</f>
        <v/>
      </c>
    </row>
    <row r="8141" spans="1:12" x14ac:dyDescent="0.35">
      <c r="A8141" s="3"/>
      <c r="B8141" s="2"/>
      <c r="C8141" s="2"/>
      <c r="D8141" s="2" t="b">
        <f>IF(AND(NOT(ISBLANK(Table1[[#This Row],[Fetal Sex (Male, Female or Unknown)]])),ISNUMBER(Table1[[#This Row],[Birthweight (grams)]]),ISNUMBER(Table1[[#This Row],[Gestation (days)]])),TRUE,FALSE)</f>
        <v>0</v>
      </c>
      <c r="E8141" s="2" t="str">
        <f>IF(Table1[[#This Row],[Is Data Valid]]=TRUE,IF(Table1[[#This Row],[Fetal Sex (Male, Female or Unknown)]]="Male",Backend!$C$6,IF(Table1[[#This Row],[Fetal Sex (Male, Female or Unknown)]]="Female",Backend!$C$7,IF(Table1[[#This Row],[Fetal Sex (Male, Female or Unknown)]]="Unknown",Backend!$C$8,"Error"))),"")</f>
        <v/>
      </c>
      <c r="F8141" s="8" t="str">
        <f>IF(Table1[[#This Row],[Is Data Valid]]=TRUE,EXP(0.578+0.332*((Table1[[#This Row],[Gestation (days)]]+0.5)/7)-0.00354*((Table1[[#This Row],[Gestation (days)]]+0.5)/7)^2)*Table1[[#This Row],[BW40_3705]],"")</f>
        <v/>
      </c>
      <c r="G8141" s="2" t="str">
        <f>IF(Table1[[#This Row],[Is Data Valid]]=TRUE,((Table1[[#This Row],[Birthweight (grams)]]/Table1[[#This Row],[BW_GA]])-1)/(Backend!$B$4/100*Table1[[#This Row],[BW40_3705]]),"")</f>
        <v/>
      </c>
      <c r="H8141" s="7" t="str">
        <f>IF(Table1[[#This Row],[Is Data Valid]]=TRUE,((Table1[[#This Row],[Birthweight (grams)]]*0.9/Table1[[#This Row],[BW_GA]])-1)/(Backend!$B$4/100*Table1[[#This Row],[BW40_3705]]),"")</f>
        <v/>
      </c>
      <c r="I8141" s="7" t="str">
        <f>IF(Table1[[#This Row],[Is Data Valid]]=TRUE,((Table1[[#This Row],[Birthweight (grams)]]*1.1/Table1[[#This Row],[BW_GA]])-1)/(Backend!$B$4/100*Table1[[#This Row],[BW40_3705]]),"")</f>
        <v/>
      </c>
      <c r="J8141" s="7" t="str">
        <f>IF(Table1[[#This Row],[Is Data Valid]]=TRUE,_xlfn.NORM.S.DIST(Table1[[#This Row],[Birthweight Z-Score]],TRUE)*100,"")</f>
        <v/>
      </c>
      <c r="K8141" s="7" t="str">
        <f>IF(Table1[[#This Row],[Is Data Valid]]=TRUE,_xlfn.NORM.S.DIST(Table1[[#This Row],[Birthweight Z-Score (BW-10%)]],TRUE)*100,"")</f>
        <v/>
      </c>
      <c r="L8141" s="7" t="str">
        <f>IF(Table1[[#This Row],[Is Data Valid]]=TRUE,_xlfn.NORM.S.DIST(Table1[[#This Row],[Birthweight Z-Score (BW+10%)]],TRUE)*100,"")</f>
        <v/>
      </c>
    </row>
    <row r="8142" spans="1:12" x14ac:dyDescent="0.35">
      <c r="A8142" s="3"/>
      <c r="B8142" s="2"/>
      <c r="C8142" s="2"/>
      <c r="D8142" s="2" t="b">
        <f>IF(AND(NOT(ISBLANK(Table1[[#This Row],[Fetal Sex (Male, Female or Unknown)]])),ISNUMBER(Table1[[#This Row],[Birthweight (grams)]]),ISNUMBER(Table1[[#This Row],[Gestation (days)]])),TRUE,FALSE)</f>
        <v>0</v>
      </c>
      <c r="E8142" s="2" t="str">
        <f>IF(Table1[[#This Row],[Is Data Valid]]=TRUE,IF(Table1[[#This Row],[Fetal Sex (Male, Female or Unknown)]]="Male",Backend!$C$6,IF(Table1[[#This Row],[Fetal Sex (Male, Female or Unknown)]]="Female",Backend!$C$7,IF(Table1[[#This Row],[Fetal Sex (Male, Female or Unknown)]]="Unknown",Backend!$C$8,"Error"))),"")</f>
        <v/>
      </c>
      <c r="F8142" s="8" t="str">
        <f>IF(Table1[[#This Row],[Is Data Valid]]=TRUE,EXP(0.578+0.332*((Table1[[#This Row],[Gestation (days)]]+0.5)/7)-0.00354*((Table1[[#This Row],[Gestation (days)]]+0.5)/7)^2)*Table1[[#This Row],[BW40_3705]],"")</f>
        <v/>
      </c>
      <c r="G8142" s="2" t="str">
        <f>IF(Table1[[#This Row],[Is Data Valid]]=TRUE,((Table1[[#This Row],[Birthweight (grams)]]/Table1[[#This Row],[BW_GA]])-1)/(Backend!$B$4/100*Table1[[#This Row],[BW40_3705]]),"")</f>
        <v/>
      </c>
      <c r="H8142" s="7" t="str">
        <f>IF(Table1[[#This Row],[Is Data Valid]]=TRUE,((Table1[[#This Row],[Birthweight (grams)]]*0.9/Table1[[#This Row],[BW_GA]])-1)/(Backend!$B$4/100*Table1[[#This Row],[BW40_3705]]),"")</f>
        <v/>
      </c>
      <c r="I8142" s="7" t="str">
        <f>IF(Table1[[#This Row],[Is Data Valid]]=TRUE,((Table1[[#This Row],[Birthweight (grams)]]*1.1/Table1[[#This Row],[BW_GA]])-1)/(Backend!$B$4/100*Table1[[#This Row],[BW40_3705]]),"")</f>
        <v/>
      </c>
      <c r="J8142" s="7" t="str">
        <f>IF(Table1[[#This Row],[Is Data Valid]]=TRUE,_xlfn.NORM.S.DIST(Table1[[#This Row],[Birthweight Z-Score]],TRUE)*100,"")</f>
        <v/>
      </c>
      <c r="K8142" s="7" t="str">
        <f>IF(Table1[[#This Row],[Is Data Valid]]=TRUE,_xlfn.NORM.S.DIST(Table1[[#This Row],[Birthweight Z-Score (BW-10%)]],TRUE)*100,"")</f>
        <v/>
      </c>
      <c r="L8142" s="7" t="str">
        <f>IF(Table1[[#This Row],[Is Data Valid]]=TRUE,_xlfn.NORM.S.DIST(Table1[[#This Row],[Birthweight Z-Score (BW+10%)]],TRUE)*100,"")</f>
        <v/>
      </c>
    </row>
    <row r="8143" spans="1:12" x14ac:dyDescent="0.35">
      <c r="A8143" s="3"/>
      <c r="B8143" s="2"/>
      <c r="C8143" s="2"/>
      <c r="D8143" s="2" t="b">
        <f>IF(AND(NOT(ISBLANK(Table1[[#This Row],[Fetal Sex (Male, Female or Unknown)]])),ISNUMBER(Table1[[#This Row],[Birthweight (grams)]]),ISNUMBER(Table1[[#This Row],[Gestation (days)]])),TRUE,FALSE)</f>
        <v>0</v>
      </c>
      <c r="E8143" s="2" t="str">
        <f>IF(Table1[[#This Row],[Is Data Valid]]=TRUE,IF(Table1[[#This Row],[Fetal Sex (Male, Female or Unknown)]]="Male",Backend!$C$6,IF(Table1[[#This Row],[Fetal Sex (Male, Female or Unknown)]]="Female",Backend!$C$7,IF(Table1[[#This Row],[Fetal Sex (Male, Female or Unknown)]]="Unknown",Backend!$C$8,"Error"))),"")</f>
        <v/>
      </c>
      <c r="F8143" s="8" t="str">
        <f>IF(Table1[[#This Row],[Is Data Valid]]=TRUE,EXP(0.578+0.332*((Table1[[#This Row],[Gestation (days)]]+0.5)/7)-0.00354*((Table1[[#This Row],[Gestation (days)]]+0.5)/7)^2)*Table1[[#This Row],[BW40_3705]],"")</f>
        <v/>
      </c>
      <c r="G8143" s="2" t="str">
        <f>IF(Table1[[#This Row],[Is Data Valid]]=TRUE,((Table1[[#This Row],[Birthweight (grams)]]/Table1[[#This Row],[BW_GA]])-1)/(Backend!$B$4/100*Table1[[#This Row],[BW40_3705]]),"")</f>
        <v/>
      </c>
      <c r="H8143" s="7" t="str">
        <f>IF(Table1[[#This Row],[Is Data Valid]]=TRUE,((Table1[[#This Row],[Birthweight (grams)]]*0.9/Table1[[#This Row],[BW_GA]])-1)/(Backend!$B$4/100*Table1[[#This Row],[BW40_3705]]),"")</f>
        <v/>
      </c>
      <c r="I8143" s="7" t="str">
        <f>IF(Table1[[#This Row],[Is Data Valid]]=TRUE,((Table1[[#This Row],[Birthweight (grams)]]*1.1/Table1[[#This Row],[BW_GA]])-1)/(Backend!$B$4/100*Table1[[#This Row],[BW40_3705]]),"")</f>
        <v/>
      </c>
      <c r="J8143" s="7" t="str">
        <f>IF(Table1[[#This Row],[Is Data Valid]]=TRUE,_xlfn.NORM.S.DIST(Table1[[#This Row],[Birthweight Z-Score]],TRUE)*100,"")</f>
        <v/>
      </c>
      <c r="K8143" s="7" t="str">
        <f>IF(Table1[[#This Row],[Is Data Valid]]=TRUE,_xlfn.NORM.S.DIST(Table1[[#This Row],[Birthweight Z-Score (BW-10%)]],TRUE)*100,"")</f>
        <v/>
      </c>
      <c r="L8143" s="7" t="str">
        <f>IF(Table1[[#This Row],[Is Data Valid]]=TRUE,_xlfn.NORM.S.DIST(Table1[[#This Row],[Birthweight Z-Score (BW+10%)]],TRUE)*100,"")</f>
        <v/>
      </c>
    </row>
    <row r="8144" spans="1:12" x14ac:dyDescent="0.35">
      <c r="A8144" s="3"/>
      <c r="B8144" s="2"/>
      <c r="C8144" s="2"/>
      <c r="D8144" s="2" t="b">
        <f>IF(AND(NOT(ISBLANK(Table1[[#This Row],[Fetal Sex (Male, Female or Unknown)]])),ISNUMBER(Table1[[#This Row],[Birthweight (grams)]]),ISNUMBER(Table1[[#This Row],[Gestation (days)]])),TRUE,FALSE)</f>
        <v>0</v>
      </c>
      <c r="E8144" s="2" t="str">
        <f>IF(Table1[[#This Row],[Is Data Valid]]=TRUE,IF(Table1[[#This Row],[Fetal Sex (Male, Female or Unknown)]]="Male",Backend!$C$6,IF(Table1[[#This Row],[Fetal Sex (Male, Female or Unknown)]]="Female",Backend!$C$7,IF(Table1[[#This Row],[Fetal Sex (Male, Female or Unknown)]]="Unknown",Backend!$C$8,"Error"))),"")</f>
        <v/>
      </c>
      <c r="F8144" s="8" t="str">
        <f>IF(Table1[[#This Row],[Is Data Valid]]=TRUE,EXP(0.578+0.332*((Table1[[#This Row],[Gestation (days)]]+0.5)/7)-0.00354*((Table1[[#This Row],[Gestation (days)]]+0.5)/7)^2)*Table1[[#This Row],[BW40_3705]],"")</f>
        <v/>
      </c>
      <c r="G8144" s="2" t="str">
        <f>IF(Table1[[#This Row],[Is Data Valid]]=TRUE,((Table1[[#This Row],[Birthweight (grams)]]/Table1[[#This Row],[BW_GA]])-1)/(Backend!$B$4/100*Table1[[#This Row],[BW40_3705]]),"")</f>
        <v/>
      </c>
      <c r="H8144" s="7" t="str">
        <f>IF(Table1[[#This Row],[Is Data Valid]]=TRUE,((Table1[[#This Row],[Birthweight (grams)]]*0.9/Table1[[#This Row],[BW_GA]])-1)/(Backend!$B$4/100*Table1[[#This Row],[BW40_3705]]),"")</f>
        <v/>
      </c>
      <c r="I8144" s="7" t="str">
        <f>IF(Table1[[#This Row],[Is Data Valid]]=TRUE,((Table1[[#This Row],[Birthweight (grams)]]*1.1/Table1[[#This Row],[BW_GA]])-1)/(Backend!$B$4/100*Table1[[#This Row],[BW40_3705]]),"")</f>
        <v/>
      </c>
      <c r="J8144" s="7" t="str">
        <f>IF(Table1[[#This Row],[Is Data Valid]]=TRUE,_xlfn.NORM.S.DIST(Table1[[#This Row],[Birthweight Z-Score]],TRUE)*100,"")</f>
        <v/>
      </c>
      <c r="K8144" s="7" t="str">
        <f>IF(Table1[[#This Row],[Is Data Valid]]=TRUE,_xlfn.NORM.S.DIST(Table1[[#This Row],[Birthweight Z-Score (BW-10%)]],TRUE)*100,"")</f>
        <v/>
      </c>
      <c r="L8144" s="7" t="str">
        <f>IF(Table1[[#This Row],[Is Data Valid]]=TRUE,_xlfn.NORM.S.DIST(Table1[[#This Row],[Birthweight Z-Score (BW+10%)]],TRUE)*100,"")</f>
        <v/>
      </c>
    </row>
    <row r="8145" spans="1:12" x14ac:dyDescent="0.35">
      <c r="A8145" s="3"/>
      <c r="B8145" s="2"/>
      <c r="C8145" s="2"/>
      <c r="D8145" s="2" t="b">
        <f>IF(AND(NOT(ISBLANK(Table1[[#This Row],[Fetal Sex (Male, Female or Unknown)]])),ISNUMBER(Table1[[#This Row],[Birthweight (grams)]]),ISNUMBER(Table1[[#This Row],[Gestation (days)]])),TRUE,FALSE)</f>
        <v>0</v>
      </c>
      <c r="E8145" s="2" t="str">
        <f>IF(Table1[[#This Row],[Is Data Valid]]=TRUE,IF(Table1[[#This Row],[Fetal Sex (Male, Female or Unknown)]]="Male",Backend!$C$6,IF(Table1[[#This Row],[Fetal Sex (Male, Female or Unknown)]]="Female",Backend!$C$7,IF(Table1[[#This Row],[Fetal Sex (Male, Female or Unknown)]]="Unknown",Backend!$C$8,"Error"))),"")</f>
        <v/>
      </c>
      <c r="F8145" s="8" t="str">
        <f>IF(Table1[[#This Row],[Is Data Valid]]=TRUE,EXP(0.578+0.332*((Table1[[#This Row],[Gestation (days)]]+0.5)/7)-0.00354*((Table1[[#This Row],[Gestation (days)]]+0.5)/7)^2)*Table1[[#This Row],[BW40_3705]],"")</f>
        <v/>
      </c>
      <c r="G8145" s="2" t="str">
        <f>IF(Table1[[#This Row],[Is Data Valid]]=TRUE,((Table1[[#This Row],[Birthweight (grams)]]/Table1[[#This Row],[BW_GA]])-1)/(Backend!$B$4/100*Table1[[#This Row],[BW40_3705]]),"")</f>
        <v/>
      </c>
      <c r="H8145" s="7" t="str">
        <f>IF(Table1[[#This Row],[Is Data Valid]]=TRUE,((Table1[[#This Row],[Birthweight (grams)]]*0.9/Table1[[#This Row],[BW_GA]])-1)/(Backend!$B$4/100*Table1[[#This Row],[BW40_3705]]),"")</f>
        <v/>
      </c>
      <c r="I8145" s="7" t="str">
        <f>IF(Table1[[#This Row],[Is Data Valid]]=TRUE,((Table1[[#This Row],[Birthweight (grams)]]*1.1/Table1[[#This Row],[BW_GA]])-1)/(Backend!$B$4/100*Table1[[#This Row],[BW40_3705]]),"")</f>
        <v/>
      </c>
      <c r="J8145" s="7" t="str">
        <f>IF(Table1[[#This Row],[Is Data Valid]]=TRUE,_xlfn.NORM.S.DIST(Table1[[#This Row],[Birthweight Z-Score]],TRUE)*100,"")</f>
        <v/>
      </c>
      <c r="K8145" s="7" t="str">
        <f>IF(Table1[[#This Row],[Is Data Valid]]=TRUE,_xlfn.NORM.S.DIST(Table1[[#This Row],[Birthweight Z-Score (BW-10%)]],TRUE)*100,"")</f>
        <v/>
      </c>
      <c r="L8145" s="7" t="str">
        <f>IF(Table1[[#This Row],[Is Data Valid]]=TRUE,_xlfn.NORM.S.DIST(Table1[[#This Row],[Birthweight Z-Score (BW+10%)]],TRUE)*100,"")</f>
        <v/>
      </c>
    </row>
    <row r="8146" spans="1:12" x14ac:dyDescent="0.35">
      <c r="A8146" s="3"/>
      <c r="B8146" s="2"/>
      <c r="C8146" s="2"/>
      <c r="D8146" s="2" t="b">
        <f>IF(AND(NOT(ISBLANK(Table1[[#This Row],[Fetal Sex (Male, Female or Unknown)]])),ISNUMBER(Table1[[#This Row],[Birthweight (grams)]]),ISNUMBER(Table1[[#This Row],[Gestation (days)]])),TRUE,FALSE)</f>
        <v>0</v>
      </c>
      <c r="E8146" s="2" t="str">
        <f>IF(Table1[[#This Row],[Is Data Valid]]=TRUE,IF(Table1[[#This Row],[Fetal Sex (Male, Female or Unknown)]]="Male",Backend!$C$6,IF(Table1[[#This Row],[Fetal Sex (Male, Female or Unknown)]]="Female",Backend!$C$7,IF(Table1[[#This Row],[Fetal Sex (Male, Female or Unknown)]]="Unknown",Backend!$C$8,"Error"))),"")</f>
        <v/>
      </c>
      <c r="F8146" s="8" t="str">
        <f>IF(Table1[[#This Row],[Is Data Valid]]=TRUE,EXP(0.578+0.332*((Table1[[#This Row],[Gestation (days)]]+0.5)/7)-0.00354*((Table1[[#This Row],[Gestation (days)]]+0.5)/7)^2)*Table1[[#This Row],[BW40_3705]],"")</f>
        <v/>
      </c>
      <c r="G8146" s="2" t="str">
        <f>IF(Table1[[#This Row],[Is Data Valid]]=TRUE,((Table1[[#This Row],[Birthweight (grams)]]/Table1[[#This Row],[BW_GA]])-1)/(Backend!$B$4/100*Table1[[#This Row],[BW40_3705]]),"")</f>
        <v/>
      </c>
      <c r="H8146" s="7" t="str">
        <f>IF(Table1[[#This Row],[Is Data Valid]]=TRUE,((Table1[[#This Row],[Birthweight (grams)]]*0.9/Table1[[#This Row],[BW_GA]])-1)/(Backend!$B$4/100*Table1[[#This Row],[BW40_3705]]),"")</f>
        <v/>
      </c>
      <c r="I8146" s="7" t="str">
        <f>IF(Table1[[#This Row],[Is Data Valid]]=TRUE,((Table1[[#This Row],[Birthweight (grams)]]*1.1/Table1[[#This Row],[BW_GA]])-1)/(Backend!$B$4/100*Table1[[#This Row],[BW40_3705]]),"")</f>
        <v/>
      </c>
      <c r="J8146" s="7" t="str">
        <f>IF(Table1[[#This Row],[Is Data Valid]]=TRUE,_xlfn.NORM.S.DIST(Table1[[#This Row],[Birthweight Z-Score]],TRUE)*100,"")</f>
        <v/>
      </c>
      <c r="K8146" s="7" t="str">
        <f>IF(Table1[[#This Row],[Is Data Valid]]=TRUE,_xlfn.NORM.S.DIST(Table1[[#This Row],[Birthweight Z-Score (BW-10%)]],TRUE)*100,"")</f>
        <v/>
      </c>
      <c r="L8146" s="7" t="str">
        <f>IF(Table1[[#This Row],[Is Data Valid]]=TRUE,_xlfn.NORM.S.DIST(Table1[[#This Row],[Birthweight Z-Score (BW+10%)]],TRUE)*100,"")</f>
        <v/>
      </c>
    </row>
    <row r="8147" spans="1:12" x14ac:dyDescent="0.35">
      <c r="A8147" s="3"/>
      <c r="B8147" s="2"/>
      <c r="C8147" s="2"/>
      <c r="D8147" s="2" t="b">
        <f>IF(AND(NOT(ISBLANK(Table1[[#This Row],[Fetal Sex (Male, Female or Unknown)]])),ISNUMBER(Table1[[#This Row],[Birthweight (grams)]]),ISNUMBER(Table1[[#This Row],[Gestation (days)]])),TRUE,FALSE)</f>
        <v>0</v>
      </c>
      <c r="E8147" s="2" t="str">
        <f>IF(Table1[[#This Row],[Is Data Valid]]=TRUE,IF(Table1[[#This Row],[Fetal Sex (Male, Female or Unknown)]]="Male",Backend!$C$6,IF(Table1[[#This Row],[Fetal Sex (Male, Female or Unknown)]]="Female",Backend!$C$7,IF(Table1[[#This Row],[Fetal Sex (Male, Female or Unknown)]]="Unknown",Backend!$C$8,"Error"))),"")</f>
        <v/>
      </c>
      <c r="F8147" s="8" t="str">
        <f>IF(Table1[[#This Row],[Is Data Valid]]=TRUE,EXP(0.578+0.332*((Table1[[#This Row],[Gestation (days)]]+0.5)/7)-0.00354*((Table1[[#This Row],[Gestation (days)]]+0.5)/7)^2)*Table1[[#This Row],[BW40_3705]],"")</f>
        <v/>
      </c>
      <c r="G8147" s="2" t="str">
        <f>IF(Table1[[#This Row],[Is Data Valid]]=TRUE,((Table1[[#This Row],[Birthweight (grams)]]/Table1[[#This Row],[BW_GA]])-1)/(Backend!$B$4/100*Table1[[#This Row],[BW40_3705]]),"")</f>
        <v/>
      </c>
      <c r="H8147" s="7" t="str">
        <f>IF(Table1[[#This Row],[Is Data Valid]]=TRUE,((Table1[[#This Row],[Birthweight (grams)]]*0.9/Table1[[#This Row],[BW_GA]])-1)/(Backend!$B$4/100*Table1[[#This Row],[BW40_3705]]),"")</f>
        <v/>
      </c>
      <c r="I8147" s="7" t="str">
        <f>IF(Table1[[#This Row],[Is Data Valid]]=TRUE,((Table1[[#This Row],[Birthweight (grams)]]*1.1/Table1[[#This Row],[BW_GA]])-1)/(Backend!$B$4/100*Table1[[#This Row],[BW40_3705]]),"")</f>
        <v/>
      </c>
      <c r="J8147" s="7" t="str">
        <f>IF(Table1[[#This Row],[Is Data Valid]]=TRUE,_xlfn.NORM.S.DIST(Table1[[#This Row],[Birthweight Z-Score]],TRUE)*100,"")</f>
        <v/>
      </c>
      <c r="K8147" s="7" t="str">
        <f>IF(Table1[[#This Row],[Is Data Valid]]=TRUE,_xlfn.NORM.S.DIST(Table1[[#This Row],[Birthweight Z-Score (BW-10%)]],TRUE)*100,"")</f>
        <v/>
      </c>
      <c r="L8147" s="7" t="str">
        <f>IF(Table1[[#This Row],[Is Data Valid]]=TRUE,_xlfn.NORM.S.DIST(Table1[[#This Row],[Birthweight Z-Score (BW+10%)]],TRUE)*100,"")</f>
        <v/>
      </c>
    </row>
    <row r="8148" spans="1:12" x14ac:dyDescent="0.35">
      <c r="A8148" s="3"/>
      <c r="B8148" s="2"/>
      <c r="C8148" s="2"/>
      <c r="D8148" s="2" t="b">
        <f>IF(AND(NOT(ISBLANK(Table1[[#This Row],[Fetal Sex (Male, Female or Unknown)]])),ISNUMBER(Table1[[#This Row],[Birthweight (grams)]]),ISNUMBER(Table1[[#This Row],[Gestation (days)]])),TRUE,FALSE)</f>
        <v>0</v>
      </c>
      <c r="E8148" s="2" t="str">
        <f>IF(Table1[[#This Row],[Is Data Valid]]=TRUE,IF(Table1[[#This Row],[Fetal Sex (Male, Female or Unknown)]]="Male",Backend!$C$6,IF(Table1[[#This Row],[Fetal Sex (Male, Female or Unknown)]]="Female",Backend!$C$7,IF(Table1[[#This Row],[Fetal Sex (Male, Female or Unknown)]]="Unknown",Backend!$C$8,"Error"))),"")</f>
        <v/>
      </c>
      <c r="F8148" s="8" t="str">
        <f>IF(Table1[[#This Row],[Is Data Valid]]=TRUE,EXP(0.578+0.332*((Table1[[#This Row],[Gestation (days)]]+0.5)/7)-0.00354*((Table1[[#This Row],[Gestation (days)]]+0.5)/7)^2)*Table1[[#This Row],[BW40_3705]],"")</f>
        <v/>
      </c>
      <c r="G8148" s="2" t="str">
        <f>IF(Table1[[#This Row],[Is Data Valid]]=TRUE,((Table1[[#This Row],[Birthweight (grams)]]/Table1[[#This Row],[BW_GA]])-1)/(Backend!$B$4/100*Table1[[#This Row],[BW40_3705]]),"")</f>
        <v/>
      </c>
      <c r="H8148" s="7" t="str">
        <f>IF(Table1[[#This Row],[Is Data Valid]]=TRUE,((Table1[[#This Row],[Birthweight (grams)]]*0.9/Table1[[#This Row],[BW_GA]])-1)/(Backend!$B$4/100*Table1[[#This Row],[BW40_3705]]),"")</f>
        <v/>
      </c>
      <c r="I8148" s="7" t="str">
        <f>IF(Table1[[#This Row],[Is Data Valid]]=TRUE,((Table1[[#This Row],[Birthweight (grams)]]*1.1/Table1[[#This Row],[BW_GA]])-1)/(Backend!$B$4/100*Table1[[#This Row],[BW40_3705]]),"")</f>
        <v/>
      </c>
      <c r="J8148" s="7" t="str">
        <f>IF(Table1[[#This Row],[Is Data Valid]]=TRUE,_xlfn.NORM.S.DIST(Table1[[#This Row],[Birthweight Z-Score]],TRUE)*100,"")</f>
        <v/>
      </c>
      <c r="K8148" s="7" t="str">
        <f>IF(Table1[[#This Row],[Is Data Valid]]=TRUE,_xlfn.NORM.S.DIST(Table1[[#This Row],[Birthweight Z-Score (BW-10%)]],TRUE)*100,"")</f>
        <v/>
      </c>
      <c r="L8148" s="7" t="str">
        <f>IF(Table1[[#This Row],[Is Data Valid]]=TRUE,_xlfn.NORM.S.DIST(Table1[[#This Row],[Birthweight Z-Score (BW+10%)]],TRUE)*100,"")</f>
        <v/>
      </c>
    </row>
    <row r="8149" spans="1:12" x14ac:dyDescent="0.35">
      <c r="A8149" s="3"/>
      <c r="B8149" s="2"/>
      <c r="C8149" s="2"/>
      <c r="D8149" s="2" t="b">
        <f>IF(AND(NOT(ISBLANK(Table1[[#This Row],[Fetal Sex (Male, Female or Unknown)]])),ISNUMBER(Table1[[#This Row],[Birthweight (grams)]]),ISNUMBER(Table1[[#This Row],[Gestation (days)]])),TRUE,FALSE)</f>
        <v>0</v>
      </c>
      <c r="E8149" s="2" t="str">
        <f>IF(Table1[[#This Row],[Is Data Valid]]=TRUE,IF(Table1[[#This Row],[Fetal Sex (Male, Female or Unknown)]]="Male",Backend!$C$6,IF(Table1[[#This Row],[Fetal Sex (Male, Female or Unknown)]]="Female",Backend!$C$7,IF(Table1[[#This Row],[Fetal Sex (Male, Female or Unknown)]]="Unknown",Backend!$C$8,"Error"))),"")</f>
        <v/>
      </c>
      <c r="F8149" s="8" t="str">
        <f>IF(Table1[[#This Row],[Is Data Valid]]=TRUE,EXP(0.578+0.332*((Table1[[#This Row],[Gestation (days)]]+0.5)/7)-0.00354*((Table1[[#This Row],[Gestation (days)]]+0.5)/7)^2)*Table1[[#This Row],[BW40_3705]],"")</f>
        <v/>
      </c>
      <c r="G8149" s="2" t="str">
        <f>IF(Table1[[#This Row],[Is Data Valid]]=TRUE,((Table1[[#This Row],[Birthweight (grams)]]/Table1[[#This Row],[BW_GA]])-1)/(Backend!$B$4/100*Table1[[#This Row],[BW40_3705]]),"")</f>
        <v/>
      </c>
      <c r="H8149" s="7" t="str">
        <f>IF(Table1[[#This Row],[Is Data Valid]]=TRUE,((Table1[[#This Row],[Birthweight (grams)]]*0.9/Table1[[#This Row],[BW_GA]])-1)/(Backend!$B$4/100*Table1[[#This Row],[BW40_3705]]),"")</f>
        <v/>
      </c>
      <c r="I8149" s="7" t="str">
        <f>IF(Table1[[#This Row],[Is Data Valid]]=TRUE,((Table1[[#This Row],[Birthweight (grams)]]*1.1/Table1[[#This Row],[BW_GA]])-1)/(Backend!$B$4/100*Table1[[#This Row],[BW40_3705]]),"")</f>
        <v/>
      </c>
      <c r="J8149" s="7" t="str">
        <f>IF(Table1[[#This Row],[Is Data Valid]]=TRUE,_xlfn.NORM.S.DIST(Table1[[#This Row],[Birthweight Z-Score]],TRUE)*100,"")</f>
        <v/>
      </c>
      <c r="K8149" s="7" t="str">
        <f>IF(Table1[[#This Row],[Is Data Valid]]=TRUE,_xlfn.NORM.S.DIST(Table1[[#This Row],[Birthweight Z-Score (BW-10%)]],TRUE)*100,"")</f>
        <v/>
      </c>
      <c r="L8149" s="7" t="str">
        <f>IF(Table1[[#This Row],[Is Data Valid]]=TRUE,_xlfn.NORM.S.DIST(Table1[[#This Row],[Birthweight Z-Score (BW+10%)]],TRUE)*100,"")</f>
        <v/>
      </c>
    </row>
    <row r="8150" spans="1:12" x14ac:dyDescent="0.35">
      <c r="A8150" s="3"/>
      <c r="B8150" s="2"/>
      <c r="C8150" s="2"/>
      <c r="D8150" s="2" t="b">
        <f>IF(AND(NOT(ISBLANK(Table1[[#This Row],[Fetal Sex (Male, Female or Unknown)]])),ISNUMBER(Table1[[#This Row],[Birthweight (grams)]]),ISNUMBER(Table1[[#This Row],[Gestation (days)]])),TRUE,FALSE)</f>
        <v>0</v>
      </c>
      <c r="E8150" s="2" t="str">
        <f>IF(Table1[[#This Row],[Is Data Valid]]=TRUE,IF(Table1[[#This Row],[Fetal Sex (Male, Female or Unknown)]]="Male",Backend!$C$6,IF(Table1[[#This Row],[Fetal Sex (Male, Female or Unknown)]]="Female",Backend!$C$7,IF(Table1[[#This Row],[Fetal Sex (Male, Female or Unknown)]]="Unknown",Backend!$C$8,"Error"))),"")</f>
        <v/>
      </c>
      <c r="F8150" s="8" t="str">
        <f>IF(Table1[[#This Row],[Is Data Valid]]=TRUE,EXP(0.578+0.332*((Table1[[#This Row],[Gestation (days)]]+0.5)/7)-0.00354*((Table1[[#This Row],[Gestation (days)]]+0.5)/7)^2)*Table1[[#This Row],[BW40_3705]],"")</f>
        <v/>
      </c>
      <c r="G8150" s="2" t="str">
        <f>IF(Table1[[#This Row],[Is Data Valid]]=TRUE,((Table1[[#This Row],[Birthweight (grams)]]/Table1[[#This Row],[BW_GA]])-1)/(Backend!$B$4/100*Table1[[#This Row],[BW40_3705]]),"")</f>
        <v/>
      </c>
      <c r="H8150" s="7" t="str">
        <f>IF(Table1[[#This Row],[Is Data Valid]]=TRUE,((Table1[[#This Row],[Birthweight (grams)]]*0.9/Table1[[#This Row],[BW_GA]])-1)/(Backend!$B$4/100*Table1[[#This Row],[BW40_3705]]),"")</f>
        <v/>
      </c>
      <c r="I8150" s="7" t="str">
        <f>IF(Table1[[#This Row],[Is Data Valid]]=TRUE,((Table1[[#This Row],[Birthweight (grams)]]*1.1/Table1[[#This Row],[BW_GA]])-1)/(Backend!$B$4/100*Table1[[#This Row],[BW40_3705]]),"")</f>
        <v/>
      </c>
      <c r="J8150" s="7" t="str">
        <f>IF(Table1[[#This Row],[Is Data Valid]]=TRUE,_xlfn.NORM.S.DIST(Table1[[#This Row],[Birthweight Z-Score]],TRUE)*100,"")</f>
        <v/>
      </c>
      <c r="K8150" s="7" t="str">
        <f>IF(Table1[[#This Row],[Is Data Valid]]=TRUE,_xlfn.NORM.S.DIST(Table1[[#This Row],[Birthweight Z-Score (BW-10%)]],TRUE)*100,"")</f>
        <v/>
      </c>
      <c r="L8150" s="7" t="str">
        <f>IF(Table1[[#This Row],[Is Data Valid]]=TRUE,_xlfn.NORM.S.DIST(Table1[[#This Row],[Birthweight Z-Score (BW+10%)]],TRUE)*100,"")</f>
        <v/>
      </c>
    </row>
    <row r="8151" spans="1:12" x14ac:dyDescent="0.35">
      <c r="A8151" s="3"/>
      <c r="B8151" s="2"/>
      <c r="C8151" s="2"/>
      <c r="D8151" s="2" t="b">
        <f>IF(AND(NOT(ISBLANK(Table1[[#This Row],[Fetal Sex (Male, Female or Unknown)]])),ISNUMBER(Table1[[#This Row],[Birthweight (grams)]]),ISNUMBER(Table1[[#This Row],[Gestation (days)]])),TRUE,FALSE)</f>
        <v>0</v>
      </c>
      <c r="E8151" s="2" t="str">
        <f>IF(Table1[[#This Row],[Is Data Valid]]=TRUE,IF(Table1[[#This Row],[Fetal Sex (Male, Female or Unknown)]]="Male",Backend!$C$6,IF(Table1[[#This Row],[Fetal Sex (Male, Female or Unknown)]]="Female",Backend!$C$7,IF(Table1[[#This Row],[Fetal Sex (Male, Female or Unknown)]]="Unknown",Backend!$C$8,"Error"))),"")</f>
        <v/>
      </c>
      <c r="F8151" s="8" t="str">
        <f>IF(Table1[[#This Row],[Is Data Valid]]=TRUE,EXP(0.578+0.332*((Table1[[#This Row],[Gestation (days)]]+0.5)/7)-0.00354*((Table1[[#This Row],[Gestation (days)]]+0.5)/7)^2)*Table1[[#This Row],[BW40_3705]],"")</f>
        <v/>
      </c>
      <c r="G8151" s="2" t="str">
        <f>IF(Table1[[#This Row],[Is Data Valid]]=TRUE,((Table1[[#This Row],[Birthweight (grams)]]/Table1[[#This Row],[BW_GA]])-1)/(Backend!$B$4/100*Table1[[#This Row],[BW40_3705]]),"")</f>
        <v/>
      </c>
      <c r="H8151" s="7" t="str">
        <f>IF(Table1[[#This Row],[Is Data Valid]]=TRUE,((Table1[[#This Row],[Birthweight (grams)]]*0.9/Table1[[#This Row],[BW_GA]])-1)/(Backend!$B$4/100*Table1[[#This Row],[BW40_3705]]),"")</f>
        <v/>
      </c>
      <c r="I8151" s="7" t="str">
        <f>IF(Table1[[#This Row],[Is Data Valid]]=TRUE,((Table1[[#This Row],[Birthweight (grams)]]*1.1/Table1[[#This Row],[BW_GA]])-1)/(Backend!$B$4/100*Table1[[#This Row],[BW40_3705]]),"")</f>
        <v/>
      </c>
      <c r="J8151" s="7" t="str">
        <f>IF(Table1[[#This Row],[Is Data Valid]]=TRUE,_xlfn.NORM.S.DIST(Table1[[#This Row],[Birthweight Z-Score]],TRUE)*100,"")</f>
        <v/>
      </c>
      <c r="K8151" s="7" t="str">
        <f>IF(Table1[[#This Row],[Is Data Valid]]=TRUE,_xlfn.NORM.S.DIST(Table1[[#This Row],[Birthweight Z-Score (BW-10%)]],TRUE)*100,"")</f>
        <v/>
      </c>
      <c r="L8151" s="7" t="str">
        <f>IF(Table1[[#This Row],[Is Data Valid]]=TRUE,_xlfn.NORM.S.DIST(Table1[[#This Row],[Birthweight Z-Score (BW+10%)]],TRUE)*100,"")</f>
        <v/>
      </c>
    </row>
    <row r="8152" spans="1:12" x14ac:dyDescent="0.35">
      <c r="A8152" s="3"/>
      <c r="B8152" s="2"/>
      <c r="C8152" s="2"/>
      <c r="D8152" s="2" t="b">
        <f>IF(AND(NOT(ISBLANK(Table1[[#This Row],[Fetal Sex (Male, Female or Unknown)]])),ISNUMBER(Table1[[#This Row],[Birthweight (grams)]]),ISNUMBER(Table1[[#This Row],[Gestation (days)]])),TRUE,FALSE)</f>
        <v>0</v>
      </c>
      <c r="E8152" s="2" t="str">
        <f>IF(Table1[[#This Row],[Is Data Valid]]=TRUE,IF(Table1[[#This Row],[Fetal Sex (Male, Female or Unknown)]]="Male",Backend!$C$6,IF(Table1[[#This Row],[Fetal Sex (Male, Female or Unknown)]]="Female",Backend!$C$7,IF(Table1[[#This Row],[Fetal Sex (Male, Female or Unknown)]]="Unknown",Backend!$C$8,"Error"))),"")</f>
        <v/>
      </c>
      <c r="F8152" s="8" t="str">
        <f>IF(Table1[[#This Row],[Is Data Valid]]=TRUE,EXP(0.578+0.332*((Table1[[#This Row],[Gestation (days)]]+0.5)/7)-0.00354*((Table1[[#This Row],[Gestation (days)]]+0.5)/7)^2)*Table1[[#This Row],[BW40_3705]],"")</f>
        <v/>
      </c>
      <c r="G8152" s="2" t="str">
        <f>IF(Table1[[#This Row],[Is Data Valid]]=TRUE,((Table1[[#This Row],[Birthweight (grams)]]/Table1[[#This Row],[BW_GA]])-1)/(Backend!$B$4/100*Table1[[#This Row],[BW40_3705]]),"")</f>
        <v/>
      </c>
      <c r="H8152" s="7" t="str">
        <f>IF(Table1[[#This Row],[Is Data Valid]]=TRUE,((Table1[[#This Row],[Birthweight (grams)]]*0.9/Table1[[#This Row],[BW_GA]])-1)/(Backend!$B$4/100*Table1[[#This Row],[BW40_3705]]),"")</f>
        <v/>
      </c>
      <c r="I8152" s="7" t="str">
        <f>IF(Table1[[#This Row],[Is Data Valid]]=TRUE,((Table1[[#This Row],[Birthweight (grams)]]*1.1/Table1[[#This Row],[BW_GA]])-1)/(Backend!$B$4/100*Table1[[#This Row],[BW40_3705]]),"")</f>
        <v/>
      </c>
      <c r="J8152" s="7" t="str">
        <f>IF(Table1[[#This Row],[Is Data Valid]]=TRUE,_xlfn.NORM.S.DIST(Table1[[#This Row],[Birthweight Z-Score]],TRUE)*100,"")</f>
        <v/>
      </c>
      <c r="K8152" s="7" t="str">
        <f>IF(Table1[[#This Row],[Is Data Valid]]=TRUE,_xlfn.NORM.S.DIST(Table1[[#This Row],[Birthweight Z-Score (BW-10%)]],TRUE)*100,"")</f>
        <v/>
      </c>
      <c r="L8152" s="7" t="str">
        <f>IF(Table1[[#This Row],[Is Data Valid]]=TRUE,_xlfn.NORM.S.DIST(Table1[[#This Row],[Birthweight Z-Score (BW+10%)]],TRUE)*100,"")</f>
        <v/>
      </c>
    </row>
    <row r="8153" spans="1:12" x14ac:dyDescent="0.35">
      <c r="A8153" s="3"/>
      <c r="B8153" s="2"/>
      <c r="C8153" s="2"/>
      <c r="D8153" s="2" t="b">
        <f>IF(AND(NOT(ISBLANK(Table1[[#This Row],[Fetal Sex (Male, Female or Unknown)]])),ISNUMBER(Table1[[#This Row],[Birthweight (grams)]]),ISNUMBER(Table1[[#This Row],[Gestation (days)]])),TRUE,FALSE)</f>
        <v>0</v>
      </c>
      <c r="E8153" s="2" t="str">
        <f>IF(Table1[[#This Row],[Is Data Valid]]=TRUE,IF(Table1[[#This Row],[Fetal Sex (Male, Female or Unknown)]]="Male",Backend!$C$6,IF(Table1[[#This Row],[Fetal Sex (Male, Female or Unknown)]]="Female",Backend!$C$7,IF(Table1[[#This Row],[Fetal Sex (Male, Female or Unknown)]]="Unknown",Backend!$C$8,"Error"))),"")</f>
        <v/>
      </c>
      <c r="F8153" s="8" t="str">
        <f>IF(Table1[[#This Row],[Is Data Valid]]=TRUE,EXP(0.578+0.332*((Table1[[#This Row],[Gestation (days)]]+0.5)/7)-0.00354*((Table1[[#This Row],[Gestation (days)]]+0.5)/7)^2)*Table1[[#This Row],[BW40_3705]],"")</f>
        <v/>
      </c>
      <c r="G8153" s="2" t="str">
        <f>IF(Table1[[#This Row],[Is Data Valid]]=TRUE,((Table1[[#This Row],[Birthweight (grams)]]/Table1[[#This Row],[BW_GA]])-1)/(Backend!$B$4/100*Table1[[#This Row],[BW40_3705]]),"")</f>
        <v/>
      </c>
      <c r="H8153" s="7" t="str">
        <f>IF(Table1[[#This Row],[Is Data Valid]]=TRUE,((Table1[[#This Row],[Birthweight (grams)]]*0.9/Table1[[#This Row],[BW_GA]])-1)/(Backend!$B$4/100*Table1[[#This Row],[BW40_3705]]),"")</f>
        <v/>
      </c>
      <c r="I8153" s="7" t="str">
        <f>IF(Table1[[#This Row],[Is Data Valid]]=TRUE,((Table1[[#This Row],[Birthweight (grams)]]*1.1/Table1[[#This Row],[BW_GA]])-1)/(Backend!$B$4/100*Table1[[#This Row],[BW40_3705]]),"")</f>
        <v/>
      </c>
      <c r="J8153" s="7" t="str">
        <f>IF(Table1[[#This Row],[Is Data Valid]]=TRUE,_xlfn.NORM.S.DIST(Table1[[#This Row],[Birthweight Z-Score]],TRUE)*100,"")</f>
        <v/>
      </c>
      <c r="K8153" s="7" t="str">
        <f>IF(Table1[[#This Row],[Is Data Valid]]=TRUE,_xlfn.NORM.S.DIST(Table1[[#This Row],[Birthweight Z-Score (BW-10%)]],TRUE)*100,"")</f>
        <v/>
      </c>
      <c r="L8153" s="7" t="str">
        <f>IF(Table1[[#This Row],[Is Data Valid]]=TRUE,_xlfn.NORM.S.DIST(Table1[[#This Row],[Birthweight Z-Score (BW+10%)]],TRUE)*100,"")</f>
        <v/>
      </c>
    </row>
    <row r="8154" spans="1:12" x14ac:dyDescent="0.35">
      <c r="A8154" s="3"/>
      <c r="B8154" s="2"/>
      <c r="C8154" s="2"/>
      <c r="D8154" s="2" t="b">
        <f>IF(AND(NOT(ISBLANK(Table1[[#This Row],[Fetal Sex (Male, Female or Unknown)]])),ISNUMBER(Table1[[#This Row],[Birthweight (grams)]]),ISNUMBER(Table1[[#This Row],[Gestation (days)]])),TRUE,FALSE)</f>
        <v>0</v>
      </c>
      <c r="E8154" s="2" t="str">
        <f>IF(Table1[[#This Row],[Is Data Valid]]=TRUE,IF(Table1[[#This Row],[Fetal Sex (Male, Female or Unknown)]]="Male",Backend!$C$6,IF(Table1[[#This Row],[Fetal Sex (Male, Female or Unknown)]]="Female",Backend!$C$7,IF(Table1[[#This Row],[Fetal Sex (Male, Female or Unknown)]]="Unknown",Backend!$C$8,"Error"))),"")</f>
        <v/>
      </c>
      <c r="F8154" s="8" t="str">
        <f>IF(Table1[[#This Row],[Is Data Valid]]=TRUE,EXP(0.578+0.332*((Table1[[#This Row],[Gestation (days)]]+0.5)/7)-0.00354*((Table1[[#This Row],[Gestation (days)]]+0.5)/7)^2)*Table1[[#This Row],[BW40_3705]],"")</f>
        <v/>
      </c>
      <c r="G8154" s="2" t="str">
        <f>IF(Table1[[#This Row],[Is Data Valid]]=TRUE,((Table1[[#This Row],[Birthweight (grams)]]/Table1[[#This Row],[BW_GA]])-1)/(Backend!$B$4/100*Table1[[#This Row],[BW40_3705]]),"")</f>
        <v/>
      </c>
      <c r="H8154" s="7" t="str">
        <f>IF(Table1[[#This Row],[Is Data Valid]]=TRUE,((Table1[[#This Row],[Birthweight (grams)]]*0.9/Table1[[#This Row],[BW_GA]])-1)/(Backend!$B$4/100*Table1[[#This Row],[BW40_3705]]),"")</f>
        <v/>
      </c>
      <c r="I8154" s="7" t="str">
        <f>IF(Table1[[#This Row],[Is Data Valid]]=TRUE,((Table1[[#This Row],[Birthweight (grams)]]*1.1/Table1[[#This Row],[BW_GA]])-1)/(Backend!$B$4/100*Table1[[#This Row],[BW40_3705]]),"")</f>
        <v/>
      </c>
      <c r="J8154" s="7" t="str">
        <f>IF(Table1[[#This Row],[Is Data Valid]]=TRUE,_xlfn.NORM.S.DIST(Table1[[#This Row],[Birthweight Z-Score]],TRUE)*100,"")</f>
        <v/>
      </c>
      <c r="K8154" s="7" t="str">
        <f>IF(Table1[[#This Row],[Is Data Valid]]=TRUE,_xlfn.NORM.S.DIST(Table1[[#This Row],[Birthweight Z-Score (BW-10%)]],TRUE)*100,"")</f>
        <v/>
      </c>
      <c r="L8154" s="7" t="str">
        <f>IF(Table1[[#This Row],[Is Data Valid]]=TRUE,_xlfn.NORM.S.DIST(Table1[[#This Row],[Birthweight Z-Score (BW+10%)]],TRUE)*100,"")</f>
        <v/>
      </c>
    </row>
    <row r="8155" spans="1:12" x14ac:dyDescent="0.35">
      <c r="A8155" s="3"/>
      <c r="B8155" s="2"/>
      <c r="C8155" s="2"/>
      <c r="D8155" s="2" t="b">
        <f>IF(AND(NOT(ISBLANK(Table1[[#This Row],[Fetal Sex (Male, Female or Unknown)]])),ISNUMBER(Table1[[#This Row],[Birthweight (grams)]]),ISNUMBER(Table1[[#This Row],[Gestation (days)]])),TRUE,FALSE)</f>
        <v>0</v>
      </c>
      <c r="E8155" s="2" t="str">
        <f>IF(Table1[[#This Row],[Is Data Valid]]=TRUE,IF(Table1[[#This Row],[Fetal Sex (Male, Female or Unknown)]]="Male",Backend!$C$6,IF(Table1[[#This Row],[Fetal Sex (Male, Female or Unknown)]]="Female",Backend!$C$7,IF(Table1[[#This Row],[Fetal Sex (Male, Female or Unknown)]]="Unknown",Backend!$C$8,"Error"))),"")</f>
        <v/>
      </c>
      <c r="F8155" s="8" t="str">
        <f>IF(Table1[[#This Row],[Is Data Valid]]=TRUE,EXP(0.578+0.332*((Table1[[#This Row],[Gestation (days)]]+0.5)/7)-0.00354*((Table1[[#This Row],[Gestation (days)]]+0.5)/7)^2)*Table1[[#This Row],[BW40_3705]],"")</f>
        <v/>
      </c>
      <c r="G8155" s="2" t="str">
        <f>IF(Table1[[#This Row],[Is Data Valid]]=TRUE,((Table1[[#This Row],[Birthweight (grams)]]/Table1[[#This Row],[BW_GA]])-1)/(Backend!$B$4/100*Table1[[#This Row],[BW40_3705]]),"")</f>
        <v/>
      </c>
      <c r="H8155" s="7" t="str">
        <f>IF(Table1[[#This Row],[Is Data Valid]]=TRUE,((Table1[[#This Row],[Birthweight (grams)]]*0.9/Table1[[#This Row],[BW_GA]])-1)/(Backend!$B$4/100*Table1[[#This Row],[BW40_3705]]),"")</f>
        <v/>
      </c>
      <c r="I8155" s="7" t="str">
        <f>IF(Table1[[#This Row],[Is Data Valid]]=TRUE,((Table1[[#This Row],[Birthweight (grams)]]*1.1/Table1[[#This Row],[BW_GA]])-1)/(Backend!$B$4/100*Table1[[#This Row],[BW40_3705]]),"")</f>
        <v/>
      </c>
      <c r="J8155" s="7" t="str">
        <f>IF(Table1[[#This Row],[Is Data Valid]]=TRUE,_xlfn.NORM.S.DIST(Table1[[#This Row],[Birthweight Z-Score]],TRUE)*100,"")</f>
        <v/>
      </c>
      <c r="K8155" s="7" t="str">
        <f>IF(Table1[[#This Row],[Is Data Valid]]=TRUE,_xlfn.NORM.S.DIST(Table1[[#This Row],[Birthweight Z-Score (BW-10%)]],TRUE)*100,"")</f>
        <v/>
      </c>
      <c r="L8155" s="7" t="str">
        <f>IF(Table1[[#This Row],[Is Data Valid]]=TRUE,_xlfn.NORM.S.DIST(Table1[[#This Row],[Birthweight Z-Score (BW+10%)]],TRUE)*100,"")</f>
        <v/>
      </c>
    </row>
    <row r="8156" spans="1:12" x14ac:dyDescent="0.35">
      <c r="A8156" s="3"/>
      <c r="B8156" s="2"/>
      <c r="C8156" s="2"/>
      <c r="D8156" s="2" t="b">
        <f>IF(AND(NOT(ISBLANK(Table1[[#This Row],[Fetal Sex (Male, Female or Unknown)]])),ISNUMBER(Table1[[#This Row],[Birthweight (grams)]]),ISNUMBER(Table1[[#This Row],[Gestation (days)]])),TRUE,FALSE)</f>
        <v>0</v>
      </c>
      <c r="E8156" s="2" t="str">
        <f>IF(Table1[[#This Row],[Is Data Valid]]=TRUE,IF(Table1[[#This Row],[Fetal Sex (Male, Female or Unknown)]]="Male",Backend!$C$6,IF(Table1[[#This Row],[Fetal Sex (Male, Female or Unknown)]]="Female",Backend!$C$7,IF(Table1[[#This Row],[Fetal Sex (Male, Female or Unknown)]]="Unknown",Backend!$C$8,"Error"))),"")</f>
        <v/>
      </c>
      <c r="F8156" s="8" t="str">
        <f>IF(Table1[[#This Row],[Is Data Valid]]=TRUE,EXP(0.578+0.332*((Table1[[#This Row],[Gestation (days)]]+0.5)/7)-0.00354*((Table1[[#This Row],[Gestation (days)]]+0.5)/7)^2)*Table1[[#This Row],[BW40_3705]],"")</f>
        <v/>
      </c>
      <c r="G8156" s="2" t="str">
        <f>IF(Table1[[#This Row],[Is Data Valid]]=TRUE,((Table1[[#This Row],[Birthweight (grams)]]/Table1[[#This Row],[BW_GA]])-1)/(Backend!$B$4/100*Table1[[#This Row],[BW40_3705]]),"")</f>
        <v/>
      </c>
      <c r="H8156" s="7" t="str">
        <f>IF(Table1[[#This Row],[Is Data Valid]]=TRUE,((Table1[[#This Row],[Birthweight (grams)]]*0.9/Table1[[#This Row],[BW_GA]])-1)/(Backend!$B$4/100*Table1[[#This Row],[BW40_3705]]),"")</f>
        <v/>
      </c>
      <c r="I8156" s="7" t="str">
        <f>IF(Table1[[#This Row],[Is Data Valid]]=TRUE,((Table1[[#This Row],[Birthweight (grams)]]*1.1/Table1[[#This Row],[BW_GA]])-1)/(Backend!$B$4/100*Table1[[#This Row],[BW40_3705]]),"")</f>
        <v/>
      </c>
      <c r="J8156" s="7" t="str">
        <f>IF(Table1[[#This Row],[Is Data Valid]]=TRUE,_xlfn.NORM.S.DIST(Table1[[#This Row],[Birthweight Z-Score]],TRUE)*100,"")</f>
        <v/>
      </c>
      <c r="K8156" s="7" t="str">
        <f>IF(Table1[[#This Row],[Is Data Valid]]=TRUE,_xlfn.NORM.S.DIST(Table1[[#This Row],[Birthweight Z-Score (BW-10%)]],TRUE)*100,"")</f>
        <v/>
      </c>
      <c r="L8156" s="7" t="str">
        <f>IF(Table1[[#This Row],[Is Data Valid]]=TRUE,_xlfn.NORM.S.DIST(Table1[[#This Row],[Birthweight Z-Score (BW+10%)]],TRUE)*100,"")</f>
        <v/>
      </c>
    </row>
    <row r="8157" spans="1:12" x14ac:dyDescent="0.35">
      <c r="A8157" s="3"/>
      <c r="B8157" s="2"/>
      <c r="C8157" s="2"/>
      <c r="D8157" s="2" t="b">
        <f>IF(AND(NOT(ISBLANK(Table1[[#This Row],[Fetal Sex (Male, Female or Unknown)]])),ISNUMBER(Table1[[#This Row],[Birthweight (grams)]]),ISNUMBER(Table1[[#This Row],[Gestation (days)]])),TRUE,FALSE)</f>
        <v>0</v>
      </c>
      <c r="E8157" s="2" t="str">
        <f>IF(Table1[[#This Row],[Is Data Valid]]=TRUE,IF(Table1[[#This Row],[Fetal Sex (Male, Female or Unknown)]]="Male",Backend!$C$6,IF(Table1[[#This Row],[Fetal Sex (Male, Female or Unknown)]]="Female",Backend!$C$7,IF(Table1[[#This Row],[Fetal Sex (Male, Female or Unknown)]]="Unknown",Backend!$C$8,"Error"))),"")</f>
        <v/>
      </c>
      <c r="F8157" s="8" t="str">
        <f>IF(Table1[[#This Row],[Is Data Valid]]=TRUE,EXP(0.578+0.332*((Table1[[#This Row],[Gestation (days)]]+0.5)/7)-0.00354*((Table1[[#This Row],[Gestation (days)]]+0.5)/7)^2)*Table1[[#This Row],[BW40_3705]],"")</f>
        <v/>
      </c>
      <c r="G8157" s="2" t="str">
        <f>IF(Table1[[#This Row],[Is Data Valid]]=TRUE,((Table1[[#This Row],[Birthweight (grams)]]/Table1[[#This Row],[BW_GA]])-1)/(Backend!$B$4/100*Table1[[#This Row],[BW40_3705]]),"")</f>
        <v/>
      </c>
      <c r="H8157" s="7" t="str">
        <f>IF(Table1[[#This Row],[Is Data Valid]]=TRUE,((Table1[[#This Row],[Birthweight (grams)]]*0.9/Table1[[#This Row],[BW_GA]])-1)/(Backend!$B$4/100*Table1[[#This Row],[BW40_3705]]),"")</f>
        <v/>
      </c>
      <c r="I8157" s="7" t="str">
        <f>IF(Table1[[#This Row],[Is Data Valid]]=TRUE,((Table1[[#This Row],[Birthweight (grams)]]*1.1/Table1[[#This Row],[BW_GA]])-1)/(Backend!$B$4/100*Table1[[#This Row],[BW40_3705]]),"")</f>
        <v/>
      </c>
      <c r="J8157" s="7" t="str">
        <f>IF(Table1[[#This Row],[Is Data Valid]]=TRUE,_xlfn.NORM.S.DIST(Table1[[#This Row],[Birthweight Z-Score]],TRUE)*100,"")</f>
        <v/>
      </c>
      <c r="K8157" s="7" t="str">
        <f>IF(Table1[[#This Row],[Is Data Valid]]=TRUE,_xlfn.NORM.S.DIST(Table1[[#This Row],[Birthweight Z-Score (BW-10%)]],TRUE)*100,"")</f>
        <v/>
      </c>
      <c r="L8157" s="7" t="str">
        <f>IF(Table1[[#This Row],[Is Data Valid]]=TRUE,_xlfn.NORM.S.DIST(Table1[[#This Row],[Birthweight Z-Score (BW+10%)]],TRUE)*100,"")</f>
        <v/>
      </c>
    </row>
    <row r="8158" spans="1:12" x14ac:dyDescent="0.35">
      <c r="A8158" s="3"/>
      <c r="B8158" s="2"/>
      <c r="C8158" s="2"/>
      <c r="D8158" s="2" t="b">
        <f>IF(AND(NOT(ISBLANK(Table1[[#This Row],[Fetal Sex (Male, Female or Unknown)]])),ISNUMBER(Table1[[#This Row],[Birthweight (grams)]]),ISNUMBER(Table1[[#This Row],[Gestation (days)]])),TRUE,FALSE)</f>
        <v>0</v>
      </c>
      <c r="E8158" s="2" t="str">
        <f>IF(Table1[[#This Row],[Is Data Valid]]=TRUE,IF(Table1[[#This Row],[Fetal Sex (Male, Female or Unknown)]]="Male",Backend!$C$6,IF(Table1[[#This Row],[Fetal Sex (Male, Female or Unknown)]]="Female",Backend!$C$7,IF(Table1[[#This Row],[Fetal Sex (Male, Female or Unknown)]]="Unknown",Backend!$C$8,"Error"))),"")</f>
        <v/>
      </c>
      <c r="F8158" s="8" t="str">
        <f>IF(Table1[[#This Row],[Is Data Valid]]=TRUE,EXP(0.578+0.332*((Table1[[#This Row],[Gestation (days)]]+0.5)/7)-0.00354*((Table1[[#This Row],[Gestation (days)]]+0.5)/7)^2)*Table1[[#This Row],[BW40_3705]],"")</f>
        <v/>
      </c>
      <c r="G8158" s="2" t="str">
        <f>IF(Table1[[#This Row],[Is Data Valid]]=TRUE,((Table1[[#This Row],[Birthweight (grams)]]/Table1[[#This Row],[BW_GA]])-1)/(Backend!$B$4/100*Table1[[#This Row],[BW40_3705]]),"")</f>
        <v/>
      </c>
      <c r="H8158" s="7" t="str">
        <f>IF(Table1[[#This Row],[Is Data Valid]]=TRUE,((Table1[[#This Row],[Birthweight (grams)]]*0.9/Table1[[#This Row],[BW_GA]])-1)/(Backend!$B$4/100*Table1[[#This Row],[BW40_3705]]),"")</f>
        <v/>
      </c>
      <c r="I8158" s="7" t="str">
        <f>IF(Table1[[#This Row],[Is Data Valid]]=TRUE,((Table1[[#This Row],[Birthweight (grams)]]*1.1/Table1[[#This Row],[BW_GA]])-1)/(Backend!$B$4/100*Table1[[#This Row],[BW40_3705]]),"")</f>
        <v/>
      </c>
      <c r="J8158" s="7" t="str">
        <f>IF(Table1[[#This Row],[Is Data Valid]]=TRUE,_xlfn.NORM.S.DIST(Table1[[#This Row],[Birthweight Z-Score]],TRUE)*100,"")</f>
        <v/>
      </c>
      <c r="K8158" s="7" t="str">
        <f>IF(Table1[[#This Row],[Is Data Valid]]=TRUE,_xlfn.NORM.S.DIST(Table1[[#This Row],[Birthweight Z-Score (BW-10%)]],TRUE)*100,"")</f>
        <v/>
      </c>
      <c r="L8158" s="7" t="str">
        <f>IF(Table1[[#This Row],[Is Data Valid]]=TRUE,_xlfn.NORM.S.DIST(Table1[[#This Row],[Birthweight Z-Score (BW+10%)]],TRUE)*100,"")</f>
        <v/>
      </c>
    </row>
    <row r="8159" spans="1:12" x14ac:dyDescent="0.35">
      <c r="A8159" s="3"/>
      <c r="B8159" s="2"/>
      <c r="C8159" s="2"/>
      <c r="D8159" s="2" t="b">
        <f>IF(AND(NOT(ISBLANK(Table1[[#This Row],[Fetal Sex (Male, Female or Unknown)]])),ISNUMBER(Table1[[#This Row],[Birthweight (grams)]]),ISNUMBER(Table1[[#This Row],[Gestation (days)]])),TRUE,FALSE)</f>
        <v>0</v>
      </c>
      <c r="E8159" s="2" t="str">
        <f>IF(Table1[[#This Row],[Is Data Valid]]=TRUE,IF(Table1[[#This Row],[Fetal Sex (Male, Female or Unknown)]]="Male",Backend!$C$6,IF(Table1[[#This Row],[Fetal Sex (Male, Female or Unknown)]]="Female",Backend!$C$7,IF(Table1[[#This Row],[Fetal Sex (Male, Female or Unknown)]]="Unknown",Backend!$C$8,"Error"))),"")</f>
        <v/>
      </c>
      <c r="F8159" s="8" t="str">
        <f>IF(Table1[[#This Row],[Is Data Valid]]=TRUE,EXP(0.578+0.332*((Table1[[#This Row],[Gestation (days)]]+0.5)/7)-0.00354*((Table1[[#This Row],[Gestation (days)]]+0.5)/7)^2)*Table1[[#This Row],[BW40_3705]],"")</f>
        <v/>
      </c>
      <c r="G8159" s="2" t="str">
        <f>IF(Table1[[#This Row],[Is Data Valid]]=TRUE,((Table1[[#This Row],[Birthweight (grams)]]/Table1[[#This Row],[BW_GA]])-1)/(Backend!$B$4/100*Table1[[#This Row],[BW40_3705]]),"")</f>
        <v/>
      </c>
      <c r="H8159" s="7" t="str">
        <f>IF(Table1[[#This Row],[Is Data Valid]]=TRUE,((Table1[[#This Row],[Birthweight (grams)]]*0.9/Table1[[#This Row],[BW_GA]])-1)/(Backend!$B$4/100*Table1[[#This Row],[BW40_3705]]),"")</f>
        <v/>
      </c>
      <c r="I8159" s="7" t="str">
        <f>IF(Table1[[#This Row],[Is Data Valid]]=TRUE,((Table1[[#This Row],[Birthweight (grams)]]*1.1/Table1[[#This Row],[BW_GA]])-1)/(Backend!$B$4/100*Table1[[#This Row],[BW40_3705]]),"")</f>
        <v/>
      </c>
      <c r="J8159" s="7" t="str">
        <f>IF(Table1[[#This Row],[Is Data Valid]]=TRUE,_xlfn.NORM.S.DIST(Table1[[#This Row],[Birthweight Z-Score]],TRUE)*100,"")</f>
        <v/>
      </c>
      <c r="K8159" s="7" t="str">
        <f>IF(Table1[[#This Row],[Is Data Valid]]=TRUE,_xlfn.NORM.S.DIST(Table1[[#This Row],[Birthweight Z-Score (BW-10%)]],TRUE)*100,"")</f>
        <v/>
      </c>
      <c r="L8159" s="7" t="str">
        <f>IF(Table1[[#This Row],[Is Data Valid]]=TRUE,_xlfn.NORM.S.DIST(Table1[[#This Row],[Birthweight Z-Score (BW+10%)]],TRUE)*100,"")</f>
        <v/>
      </c>
    </row>
    <row r="8160" spans="1:12" x14ac:dyDescent="0.35">
      <c r="A8160" s="3"/>
      <c r="B8160" s="2"/>
      <c r="C8160" s="2"/>
      <c r="D8160" s="2" t="b">
        <f>IF(AND(NOT(ISBLANK(Table1[[#This Row],[Fetal Sex (Male, Female or Unknown)]])),ISNUMBER(Table1[[#This Row],[Birthweight (grams)]]),ISNUMBER(Table1[[#This Row],[Gestation (days)]])),TRUE,FALSE)</f>
        <v>0</v>
      </c>
      <c r="E8160" s="2" t="str">
        <f>IF(Table1[[#This Row],[Is Data Valid]]=TRUE,IF(Table1[[#This Row],[Fetal Sex (Male, Female or Unknown)]]="Male",Backend!$C$6,IF(Table1[[#This Row],[Fetal Sex (Male, Female or Unknown)]]="Female",Backend!$C$7,IF(Table1[[#This Row],[Fetal Sex (Male, Female or Unknown)]]="Unknown",Backend!$C$8,"Error"))),"")</f>
        <v/>
      </c>
      <c r="F8160" s="8" t="str">
        <f>IF(Table1[[#This Row],[Is Data Valid]]=TRUE,EXP(0.578+0.332*((Table1[[#This Row],[Gestation (days)]]+0.5)/7)-0.00354*((Table1[[#This Row],[Gestation (days)]]+0.5)/7)^2)*Table1[[#This Row],[BW40_3705]],"")</f>
        <v/>
      </c>
      <c r="G8160" s="2" t="str">
        <f>IF(Table1[[#This Row],[Is Data Valid]]=TRUE,((Table1[[#This Row],[Birthweight (grams)]]/Table1[[#This Row],[BW_GA]])-1)/(Backend!$B$4/100*Table1[[#This Row],[BW40_3705]]),"")</f>
        <v/>
      </c>
      <c r="H8160" s="7" t="str">
        <f>IF(Table1[[#This Row],[Is Data Valid]]=TRUE,((Table1[[#This Row],[Birthweight (grams)]]*0.9/Table1[[#This Row],[BW_GA]])-1)/(Backend!$B$4/100*Table1[[#This Row],[BW40_3705]]),"")</f>
        <v/>
      </c>
      <c r="I8160" s="7" t="str">
        <f>IF(Table1[[#This Row],[Is Data Valid]]=TRUE,((Table1[[#This Row],[Birthweight (grams)]]*1.1/Table1[[#This Row],[BW_GA]])-1)/(Backend!$B$4/100*Table1[[#This Row],[BW40_3705]]),"")</f>
        <v/>
      </c>
      <c r="J8160" s="7" t="str">
        <f>IF(Table1[[#This Row],[Is Data Valid]]=TRUE,_xlfn.NORM.S.DIST(Table1[[#This Row],[Birthweight Z-Score]],TRUE)*100,"")</f>
        <v/>
      </c>
      <c r="K8160" s="7" t="str">
        <f>IF(Table1[[#This Row],[Is Data Valid]]=TRUE,_xlfn.NORM.S.DIST(Table1[[#This Row],[Birthweight Z-Score (BW-10%)]],TRUE)*100,"")</f>
        <v/>
      </c>
      <c r="L8160" s="7" t="str">
        <f>IF(Table1[[#This Row],[Is Data Valid]]=TRUE,_xlfn.NORM.S.DIST(Table1[[#This Row],[Birthweight Z-Score (BW+10%)]],TRUE)*100,"")</f>
        <v/>
      </c>
    </row>
    <row r="8161" spans="1:12" x14ac:dyDescent="0.35">
      <c r="A8161" s="3"/>
      <c r="B8161" s="2"/>
      <c r="C8161" s="2"/>
      <c r="D8161" s="2" t="b">
        <f>IF(AND(NOT(ISBLANK(Table1[[#This Row],[Fetal Sex (Male, Female or Unknown)]])),ISNUMBER(Table1[[#This Row],[Birthweight (grams)]]),ISNUMBER(Table1[[#This Row],[Gestation (days)]])),TRUE,FALSE)</f>
        <v>0</v>
      </c>
      <c r="E8161" s="2" t="str">
        <f>IF(Table1[[#This Row],[Is Data Valid]]=TRUE,IF(Table1[[#This Row],[Fetal Sex (Male, Female or Unknown)]]="Male",Backend!$C$6,IF(Table1[[#This Row],[Fetal Sex (Male, Female or Unknown)]]="Female",Backend!$C$7,IF(Table1[[#This Row],[Fetal Sex (Male, Female or Unknown)]]="Unknown",Backend!$C$8,"Error"))),"")</f>
        <v/>
      </c>
      <c r="F8161" s="8" t="str">
        <f>IF(Table1[[#This Row],[Is Data Valid]]=TRUE,EXP(0.578+0.332*((Table1[[#This Row],[Gestation (days)]]+0.5)/7)-0.00354*((Table1[[#This Row],[Gestation (days)]]+0.5)/7)^2)*Table1[[#This Row],[BW40_3705]],"")</f>
        <v/>
      </c>
      <c r="G8161" s="2" t="str">
        <f>IF(Table1[[#This Row],[Is Data Valid]]=TRUE,((Table1[[#This Row],[Birthweight (grams)]]/Table1[[#This Row],[BW_GA]])-1)/(Backend!$B$4/100*Table1[[#This Row],[BW40_3705]]),"")</f>
        <v/>
      </c>
      <c r="H8161" s="7" t="str">
        <f>IF(Table1[[#This Row],[Is Data Valid]]=TRUE,((Table1[[#This Row],[Birthweight (grams)]]*0.9/Table1[[#This Row],[BW_GA]])-1)/(Backend!$B$4/100*Table1[[#This Row],[BW40_3705]]),"")</f>
        <v/>
      </c>
      <c r="I8161" s="7" t="str">
        <f>IF(Table1[[#This Row],[Is Data Valid]]=TRUE,((Table1[[#This Row],[Birthweight (grams)]]*1.1/Table1[[#This Row],[BW_GA]])-1)/(Backend!$B$4/100*Table1[[#This Row],[BW40_3705]]),"")</f>
        <v/>
      </c>
      <c r="J8161" s="7" t="str">
        <f>IF(Table1[[#This Row],[Is Data Valid]]=TRUE,_xlfn.NORM.S.DIST(Table1[[#This Row],[Birthweight Z-Score]],TRUE)*100,"")</f>
        <v/>
      </c>
      <c r="K8161" s="7" t="str">
        <f>IF(Table1[[#This Row],[Is Data Valid]]=TRUE,_xlfn.NORM.S.DIST(Table1[[#This Row],[Birthweight Z-Score (BW-10%)]],TRUE)*100,"")</f>
        <v/>
      </c>
      <c r="L8161" s="7" t="str">
        <f>IF(Table1[[#This Row],[Is Data Valid]]=TRUE,_xlfn.NORM.S.DIST(Table1[[#This Row],[Birthweight Z-Score (BW+10%)]],TRUE)*100,"")</f>
        <v/>
      </c>
    </row>
    <row r="8162" spans="1:12" x14ac:dyDescent="0.35">
      <c r="A8162" s="3"/>
      <c r="B8162" s="2"/>
      <c r="C8162" s="2"/>
      <c r="D8162" s="2" t="b">
        <f>IF(AND(NOT(ISBLANK(Table1[[#This Row],[Fetal Sex (Male, Female or Unknown)]])),ISNUMBER(Table1[[#This Row],[Birthweight (grams)]]),ISNUMBER(Table1[[#This Row],[Gestation (days)]])),TRUE,FALSE)</f>
        <v>0</v>
      </c>
      <c r="E8162" s="2" t="str">
        <f>IF(Table1[[#This Row],[Is Data Valid]]=TRUE,IF(Table1[[#This Row],[Fetal Sex (Male, Female or Unknown)]]="Male",Backend!$C$6,IF(Table1[[#This Row],[Fetal Sex (Male, Female or Unknown)]]="Female",Backend!$C$7,IF(Table1[[#This Row],[Fetal Sex (Male, Female or Unknown)]]="Unknown",Backend!$C$8,"Error"))),"")</f>
        <v/>
      </c>
      <c r="F8162" s="8" t="str">
        <f>IF(Table1[[#This Row],[Is Data Valid]]=TRUE,EXP(0.578+0.332*((Table1[[#This Row],[Gestation (days)]]+0.5)/7)-0.00354*((Table1[[#This Row],[Gestation (days)]]+0.5)/7)^2)*Table1[[#This Row],[BW40_3705]],"")</f>
        <v/>
      </c>
      <c r="G8162" s="2" t="str">
        <f>IF(Table1[[#This Row],[Is Data Valid]]=TRUE,((Table1[[#This Row],[Birthweight (grams)]]/Table1[[#This Row],[BW_GA]])-1)/(Backend!$B$4/100*Table1[[#This Row],[BW40_3705]]),"")</f>
        <v/>
      </c>
      <c r="H8162" s="7" t="str">
        <f>IF(Table1[[#This Row],[Is Data Valid]]=TRUE,((Table1[[#This Row],[Birthweight (grams)]]*0.9/Table1[[#This Row],[BW_GA]])-1)/(Backend!$B$4/100*Table1[[#This Row],[BW40_3705]]),"")</f>
        <v/>
      </c>
      <c r="I8162" s="7" t="str">
        <f>IF(Table1[[#This Row],[Is Data Valid]]=TRUE,((Table1[[#This Row],[Birthweight (grams)]]*1.1/Table1[[#This Row],[BW_GA]])-1)/(Backend!$B$4/100*Table1[[#This Row],[BW40_3705]]),"")</f>
        <v/>
      </c>
      <c r="J8162" s="7" t="str">
        <f>IF(Table1[[#This Row],[Is Data Valid]]=TRUE,_xlfn.NORM.S.DIST(Table1[[#This Row],[Birthweight Z-Score]],TRUE)*100,"")</f>
        <v/>
      </c>
      <c r="K8162" s="7" t="str">
        <f>IF(Table1[[#This Row],[Is Data Valid]]=TRUE,_xlfn.NORM.S.DIST(Table1[[#This Row],[Birthweight Z-Score (BW-10%)]],TRUE)*100,"")</f>
        <v/>
      </c>
      <c r="L8162" s="7" t="str">
        <f>IF(Table1[[#This Row],[Is Data Valid]]=TRUE,_xlfn.NORM.S.DIST(Table1[[#This Row],[Birthweight Z-Score (BW+10%)]],TRUE)*100,"")</f>
        <v/>
      </c>
    </row>
    <row r="8163" spans="1:12" x14ac:dyDescent="0.35">
      <c r="A8163" s="3"/>
      <c r="B8163" s="2"/>
      <c r="C8163" s="2"/>
      <c r="D8163" s="2" t="b">
        <f>IF(AND(NOT(ISBLANK(Table1[[#This Row],[Fetal Sex (Male, Female or Unknown)]])),ISNUMBER(Table1[[#This Row],[Birthweight (grams)]]),ISNUMBER(Table1[[#This Row],[Gestation (days)]])),TRUE,FALSE)</f>
        <v>0</v>
      </c>
      <c r="E8163" s="2" t="str">
        <f>IF(Table1[[#This Row],[Is Data Valid]]=TRUE,IF(Table1[[#This Row],[Fetal Sex (Male, Female or Unknown)]]="Male",Backend!$C$6,IF(Table1[[#This Row],[Fetal Sex (Male, Female or Unknown)]]="Female",Backend!$C$7,IF(Table1[[#This Row],[Fetal Sex (Male, Female or Unknown)]]="Unknown",Backend!$C$8,"Error"))),"")</f>
        <v/>
      </c>
      <c r="F8163" s="8" t="str">
        <f>IF(Table1[[#This Row],[Is Data Valid]]=TRUE,EXP(0.578+0.332*((Table1[[#This Row],[Gestation (days)]]+0.5)/7)-0.00354*((Table1[[#This Row],[Gestation (days)]]+0.5)/7)^2)*Table1[[#This Row],[BW40_3705]],"")</f>
        <v/>
      </c>
      <c r="G8163" s="2" t="str">
        <f>IF(Table1[[#This Row],[Is Data Valid]]=TRUE,((Table1[[#This Row],[Birthweight (grams)]]/Table1[[#This Row],[BW_GA]])-1)/(Backend!$B$4/100*Table1[[#This Row],[BW40_3705]]),"")</f>
        <v/>
      </c>
      <c r="H8163" s="7" t="str">
        <f>IF(Table1[[#This Row],[Is Data Valid]]=TRUE,((Table1[[#This Row],[Birthweight (grams)]]*0.9/Table1[[#This Row],[BW_GA]])-1)/(Backend!$B$4/100*Table1[[#This Row],[BW40_3705]]),"")</f>
        <v/>
      </c>
      <c r="I8163" s="7" t="str">
        <f>IF(Table1[[#This Row],[Is Data Valid]]=TRUE,((Table1[[#This Row],[Birthweight (grams)]]*1.1/Table1[[#This Row],[BW_GA]])-1)/(Backend!$B$4/100*Table1[[#This Row],[BW40_3705]]),"")</f>
        <v/>
      </c>
      <c r="J8163" s="7" t="str">
        <f>IF(Table1[[#This Row],[Is Data Valid]]=TRUE,_xlfn.NORM.S.DIST(Table1[[#This Row],[Birthweight Z-Score]],TRUE)*100,"")</f>
        <v/>
      </c>
      <c r="K8163" s="7" t="str">
        <f>IF(Table1[[#This Row],[Is Data Valid]]=TRUE,_xlfn.NORM.S.DIST(Table1[[#This Row],[Birthweight Z-Score (BW-10%)]],TRUE)*100,"")</f>
        <v/>
      </c>
      <c r="L8163" s="7" t="str">
        <f>IF(Table1[[#This Row],[Is Data Valid]]=TRUE,_xlfn.NORM.S.DIST(Table1[[#This Row],[Birthweight Z-Score (BW+10%)]],TRUE)*100,"")</f>
        <v/>
      </c>
    </row>
    <row r="8164" spans="1:12" x14ac:dyDescent="0.35">
      <c r="A8164" s="3"/>
      <c r="B8164" s="2"/>
      <c r="C8164" s="2"/>
      <c r="D8164" s="2" t="b">
        <f>IF(AND(NOT(ISBLANK(Table1[[#This Row],[Fetal Sex (Male, Female or Unknown)]])),ISNUMBER(Table1[[#This Row],[Birthweight (grams)]]),ISNUMBER(Table1[[#This Row],[Gestation (days)]])),TRUE,FALSE)</f>
        <v>0</v>
      </c>
      <c r="E8164" s="2" t="str">
        <f>IF(Table1[[#This Row],[Is Data Valid]]=TRUE,IF(Table1[[#This Row],[Fetal Sex (Male, Female or Unknown)]]="Male",Backend!$C$6,IF(Table1[[#This Row],[Fetal Sex (Male, Female or Unknown)]]="Female",Backend!$C$7,IF(Table1[[#This Row],[Fetal Sex (Male, Female or Unknown)]]="Unknown",Backend!$C$8,"Error"))),"")</f>
        <v/>
      </c>
      <c r="F8164" s="8" t="str">
        <f>IF(Table1[[#This Row],[Is Data Valid]]=TRUE,EXP(0.578+0.332*((Table1[[#This Row],[Gestation (days)]]+0.5)/7)-0.00354*((Table1[[#This Row],[Gestation (days)]]+0.5)/7)^2)*Table1[[#This Row],[BW40_3705]],"")</f>
        <v/>
      </c>
      <c r="G8164" s="2" t="str">
        <f>IF(Table1[[#This Row],[Is Data Valid]]=TRUE,((Table1[[#This Row],[Birthweight (grams)]]/Table1[[#This Row],[BW_GA]])-1)/(Backend!$B$4/100*Table1[[#This Row],[BW40_3705]]),"")</f>
        <v/>
      </c>
      <c r="H8164" s="7" t="str">
        <f>IF(Table1[[#This Row],[Is Data Valid]]=TRUE,((Table1[[#This Row],[Birthweight (grams)]]*0.9/Table1[[#This Row],[BW_GA]])-1)/(Backend!$B$4/100*Table1[[#This Row],[BW40_3705]]),"")</f>
        <v/>
      </c>
      <c r="I8164" s="7" t="str">
        <f>IF(Table1[[#This Row],[Is Data Valid]]=TRUE,((Table1[[#This Row],[Birthweight (grams)]]*1.1/Table1[[#This Row],[BW_GA]])-1)/(Backend!$B$4/100*Table1[[#This Row],[BW40_3705]]),"")</f>
        <v/>
      </c>
      <c r="J8164" s="7" t="str">
        <f>IF(Table1[[#This Row],[Is Data Valid]]=TRUE,_xlfn.NORM.S.DIST(Table1[[#This Row],[Birthweight Z-Score]],TRUE)*100,"")</f>
        <v/>
      </c>
      <c r="K8164" s="7" t="str">
        <f>IF(Table1[[#This Row],[Is Data Valid]]=TRUE,_xlfn.NORM.S.DIST(Table1[[#This Row],[Birthweight Z-Score (BW-10%)]],TRUE)*100,"")</f>
        <v/>
      </c>
      <c r="L8164" s="7" t="str">
        <f>IF(Table1[[#This Row],[Is Data Valid]]=TRUE,_xlfn.NORM.S.DIST(Table1[[#This Row],[Birthweight Z-Score (BW+10%)]],TRUE)*100,"")</f>
        <v/>
      </c>
    </row>
    <row r="8165" spans="1:12" x14ac:dyDescent="0.35">
      <c r="A8165" s="3"/>
      <c r="B8165" s="2"/>
      <c r="C8165" s="2"/>
      <c r="D8165" s="2" t="b">
        <f>IF(AND(NOT(ISBLANK(Table1[[#This Row],[Fetal Sex (Male, Female or Unknown)]])),ISNUMBER(Table1[[#This Row],[Birthweight (grams)]]),ISNUMBER(Table1[[#This Row],[Gestation (days)]])),TRUE,FALSE)</f>
        <v>0</v>
      </c>
      <c r="E8165" s="2" t="str">
        <f>IF(Table1[[#This Row],[Is Data Valid]]=TRUE,IF(Table1[[#This Row],[Fetal Sex (Male, Female or Unknown)]]="Male",Backend!$C$6,IF(Table1[[#This Row],[Fetal Sex (Male, Female or Unknown)]]="Female",Backend!$C$7,IF(Table1[[#This Row],[Fetal Sex (Male, Female or Unknown)]]="Unknown",Backend!$C$8,"Error"))),"")</f>
        <v/>
      </c>
      <c r="F8165" s="8" t="str">
        <f>IF(Table1[[#This Row],[Is Data Valid]]=TRUE,EXP(0.578+0.332*((Table1[[#This Row],[Gestation (days)]]+0.5)/7)-0.00354*((Table1[[#This Row],[Gestation (days)]]+0.5)/7)^2)*Table1[[#This Row],[BW40_3705]],"")</f>
        <v/>
      </c>
      <c r="G8165" s="2" t="str">
        <f>IF(Table1[[#This Row],[Is Data Valid]]=TRUE,((Table1[[#This Row],[Birthweight (grams)]]/Table1[[#This Row],[BW_GA]])-1)/(Backend!$B$4/100*Table1[[#This Row],[BW40_3705]]),"")</f>
        <v/>
      </c>
      <c r="H8165" s="7" t="str">
        <f>IF(Table1[[#This Row],[Is Data Valid]]=TRUE,((Table1[[#This Row],[Birthweight (grams)]]*0.9/Table1[[#This Row],[BW_GA]])-1)/(Backend!$B$4/100*Table1[[#This Row],[BW40_3705]]),"")</f>
        <v/>
      </c>
      <c r="I8165" s="7" t="str">
        <f>IF(Table1[[#This Row],[Is Data Valid]]=TRUE,((Table1[[#This Row],[Birthweight (grams)]]*1.1/Table1[[#This Row],[BW_GA]])-1)/(Backend!$B$4/100*Table1[[#This Row],[BW40_3705]]),"")</f>
        <v/>
      </c>
      <c r="J8165" s="7" t="str">
        <f>IF(Table1[[#This Row],[Is Data Valid]]=TRUE,_xlfn.NORM.S.DIST(Table1[[#This Row],[Birthweight Z-Score]],TRUE)*100,"")</f>
        <v/>
      </c>
      <c r="K8165" s="7" t="str">
        <f>IF(Table1[[#This Row],[Is Data Valid]]=TRUE,_xlfn.NORM.S.DIST(Table1[[#This Row],[Birthweight Z-Score (BW-10%)]],TRUE)*100,"")</f>
        <v/>
      </c>
      <c r="L8165" s="7" t="str">
        <f>IF(Table1[[#This Row],[Is Data Valid]]=TRUE,_xlfn.NORM.S.DIST(Table1[[#This Row],[Birthweight Z-Score (BW+10%)]],TRUE)*100,"")</f>
        <v/>
      </c>
    </row>
    <row r="8166" spans="1:12" x14ac:dyDescent="0.35">
      <c r="A8166" s="3"/>
      <c r="B8166" s="2"/>
      <c r="C8166" s="2"/>
      <c r="D8166" s="2" t="b">
        <f>IF(AND(NOT(ISBLANK(Table1[[#This Row],[Fetal Sex (Male, Female or Unknown)]])),ISNUMBER(Table1[[#This Row],[Birthweight (grams)]]),ISNUMBER(Table1[[#This Row],[Gestation (days)]])),TRUE,FALSE)</f>
        <v>0</v>
      </c>
      <c r="E8166" s="2" t="str">
        <f>IF(Table1[[#This Row],[Is Data Valid]]=TRUE,IF(Table1[[#This Row],[Fetal Sex (Male, Female or Unknown)]]="Male",Backend!$C$6,IF(Table1[[#This Row],[Fetal Sex (Male, Female or Unknown)]]="Female",Backend!$C$7,IF(Table1[[#This Row],[Fetal Sex (Male, Female or Unknown)]]="Unknown",Backend!$C$8,"Error"))),"")</f>
        <v/>
      </c>
      <c r="F8166" s="8" t="str">
        <f>IF(Table1[[#This Row],[Is Data Valid]]=TRUE,EXP(0.578+0.332*((Table1[[#This Row],[Gestation (days)]]+0.5)/7)-0.00354*((Table1[[#This Row],[Gestation (days)]]+0.5)/7)^2)*Table1[[#This Row],[BW40_3705]],"")</f>
        <v/>
      </c>
      <c r="G8166" s="2" t="str">
        <f>IF(Table1[[#This Row],[Is Data Valid]]=TRUE,((Table1[[#This Row],[Birthweight (grams)]]/Table1[[#This Row],[BW_GA]])-1)/(Backend!$B$4/100*Table1[[#This Row],[BW40_3705]]),"")</f>
        <v/>
      </c>
      <c r="H8166" s="7" t="str">
        <f>IF(Table1[[#This Row],[Is Data Valid]]=TRUE,((Table1[[#This Row],[Birthweight (grams)]]*0.9/Table1[[#This Row],[BW_GA]])-1)/(Backend!$B$4/100*Table1[[#This Row],[BW40_3705]]),"")</f>
        <v/>
      </c>
      <c r="I8166" s="7" t="str">
        <f>IF(Table1[[#This Row],[Is Data Valid]]=TRUE,((Table1[[#This Row],[Birthweight (grams)]]*1.1/Table1[[#This Row],[BW_GA]])-1)/(Backend!$B$4/100*Table1[[#This Row],[BW40_3705]]),"")</f>
        <v/>
      </c>
      <c r="J8166" s="7" t="str">
        <f>IF(Table1[[#This Row],[Is Data Valid]]=TRUE,_xlfn.NORM.S.DIST(Table1[[#This Row],[Birthweight Z-Score]],TRUE)*100,"")</f>
        <v/>
      </c>
      <c r="K8166" s="7" t="str">
        <f>IF(Table1[[#This Row],[Is Data Valid]]=TRUE,_xlfn.NORM.S.DIST(Table1[[#This Row],[Birthweight Z-Score (BW-10%)]],TRUE)*100,"")</f>
        <v/>
      </c>
      <c r="L8166" s="7" t="str">
        <f>IF(Table1[[#This Row],[Is Data Valid]]=TRUE,_xlfn.NORM.S.DIST(Table1[[#This Row],[Birthweight Z-Score (BW+10%)]],TRUE)*100,"")</f>
        <v/>
      </c>
    </row>
    <row r="8167" spans="1:12" x14ac:dyDescent="0.35">
      <c r="A8167" s="3"/>
      <c r="B8167" s="2"/>
      <c r="C8167" s="2"/>
      <c r="D8167" s="2" t="b">
        <f>IF(AND(NOT(ISBLANK(Table1[[#This Row],[Fetal Sex (Male, Female or Unknown)]])),ISNUMBER(Table1[[#This Row],[Birthweight (grams)]]),ISNUMBER(Table1[[#This Row],[Gestation (days)]])),TRUE,FALSE)</f>
        <v>0</v>
      </c>
      <c r="E8167" s="2" t="str">
        <f>IF(Table1[[#This Row],[Is Data Valid]]=TRUE,IF(Table1[[#This Row],[Fetal Sex (Male, Female or Unknown)]]="Male",Backend!$C$6,IF(Table1[[#This Row],[Fetal Sex (Male, Female or Unknown)]]="Female",Backend!$C$7,IF(Table1[[#This Row],[Fetal Sex (Male, Female or Unknown)]]="Unknown",Backend!$C$8,"Error"))),"")</f>
        <v/>
      </c>
      <c r="F8167" s="8" t="str">
        <f>IF(Table1[[#This Row],[Is Data Valid]]=TRUE,EXP(0.578+0.332*((Table1[[#This Row],[Gestation (days)]]+0.5)/7)-0.00354*((Table1[[#This Row],[Gestation (days)]]+0.5)/7)^2)*Table1[[#This Row],[BW40_3705]],"")</f>
        <v/>
      </c>
      <c r="G8167" s="2" t="str">
        <f>IF(Table1[[#This Row],[Is Data Valid]]=TRUE,((Table1[[#This Row],[Birthweight (grams)]]/Table1[[#This Row],[BW_GA]])-1)/(Backend!$B$4/100*Table1[[#This Row],[BW40_3705]]),"")</f>
        <v/>
      </c>
      <c r="H8167" s="7" t="str">
        <f>IF(Table1[[#This Row],[Is Data Valid]]=TRUE,((Table1[[#This Row],[Birthweight (grams)]]*0.9/Table1[[#This Row],[BW_GA]])-1)/(Backend!$B$4/100*Table1[[#This Row],[BW40_3705]]),"")</f>
        <v/>
      </c>
      <c r="I8167" s="7" t="str">
        <f>IF(Table1[[#This Row],[Is Data Valid]]=TRUE,((Table1[[#This Row],[Birthweight (grams)]]*1.1/Table1[[#This Row],[BW_GA]])-1)/(Backend!$B$4/100*Table1[[#This Row],[BW40_3705]]),"")</f>
        <v/>
      </c>
      <c r="J8167" s="7" t="str">
        <f>IF(Table1[[#This Row],[Is Data Valid]]=TRUE,_xlfn.NORM.S.DIST(Table1[[#This Row],[Birthweight Z-Score]],TRUE)*100,"")</f>
        <v/>
      </c>
      <c r="K8167" s="7" t="str">
        <f>IF(Table1[[#This Row],[Is Data Valid]]=TRUE,_xlfn.NORM.S.DIST(Table1[[#This Row],[Birthweight Z-Score (BW-10%)]],TRUE)*100,"")</f>
        <v/>
      </c>
      <c r="L8167" s="7" t="str">
        <f>IF(Table1[[#This Row],[Is Data Valid]]=TRUE,_xlfn.NORM.S.DIST(Table1[[#This Row],[Birthweight Z-Score (BW+10%)]],TRUE)*100,"")</f>
        <v/>
      </c>
    </row>
    <row r="8168" spans="1:12" x14ac:dyDescent="0.35">
      <c r="A8168" s="3"/>
      <c r="B8168" s="2"/>
      <c r="C8168" s="2"/>
      <c r="D8168" s="2" t="b">
        <f>IF(AND(NOT(ISBLANK(Table1[[#This Row],[Fetal Sex (Male, Female or Unknown)]])),ISNUMBER(Table1[[#This Row],[Birthweight (grams)]]),ISNUMBER(Table1[[#This Row],[Gestation (days)]])),TRUE,FALSE)</f>
        <v>0</v>
      </c>
      <c r="E8168" s="2" t="str">
        <f>IF(Table1[[#This Row],[Is Data Valid]]=TRUE,IF(Table1[[#This Row],[Fetal Sex (Male, Female or Unknown)]]="Male",Backend!$C$6,IF(Table1[[#This Row],[Fetal Sex (Male, Female or Unknown)]]="Female",Backend!$C$7,IF(Table1[[#This Row],[Fetal Sex (Male, Female or Unknown)]]="Unknown",Backend!$C$8,"Error"))),"")</f>
        <v/>
      </c>
      <c r="F8168" s="8" t="str">
        <f>IF(Table1[[#This Row],[Is Data Valid]]=TRUE,EXP(0.578+0.332*((Table1[[#This Row],[Gestation (days)]]+0.5)/7)-0.00354*((Table1[[#This Row],[Gestation (days)]]+0.5)/7)^2)*Table1[[#This Row],[BW40_3705]],"")</f>
        <v/>
      </c>
      <c r="G8168" s="2" t="str">
        <f>IF(Table1[[#This Row],[Is Data Valid]]=TRUE,((Table1[[#This Row],[Birthweight (grams)]]/Table1[[#This Row],[BW_GA]])-1)/(Backend!$B$4/100*Table1[[#This Row],[BW40_3705]]),"")</f>
        <v/>
      </c>
      <c r="H8168" s="7" t="str">
        <f>IF(Table1[[#This Row],[Is Data Valid]]=TRUE,((Table1[[#This Row],[Birthweight (grams)]]*0.9/Table1[[#This Row],[BW_GA]])-1)/(Backend!$B$4/100*Table1[[#This Row],[BW40_3705]]),"")</f>
        <v/>
      </c>
      <c r="I8168" s="7" t="str">
        <f>IF(Table1[[#This Row],[Is Data Valid]]=TRUE,((Table1[[#This Row],[Birthweight (grams)]]*1.1/Table1[[#This Row],[BW_GA]])-1)/(Backend!$B$4/100*Table1[[#This Row],[BW40_3705]]),"")</f>
        <v/>
      </c>
      <c r="J8168" s="7" t="str">
        <f>IF(Table1[[#This Row],[Is Data Valid]]=TRUE,_xlfn.NORM.S.DIST(Table1[[#This Row],[Birthweight Z-Score]],TRUE)*100,"")</f>
        <v/>
      </c>
      <c r="K8168" s="7" t="str">
        <f>IF(Table1[[#This Row],[Is Data Valid]]=TRUE,_xlfn.NORM.S.DIST(Table1[[#This Row],[Birthweight Z-Score (BW-10%)]],TRUE)*100,"")</f>
        <v/>
      </c>
      <c r="L8168" s="7" t="str">
        <f>IF(Table1[[#This Row],[Is Data Valid]]=TRUE,_xlfn.NORM.S.DIST(Table1[[#This Row],[Birthweight Z-Score (BW+10%)]],TRUE)*100,"")</f>
        <v/>
      </c>
    </row>
    <row r="8169" spans="1:12" x14ac:dyDescent="0.35">
      <c r="A8169" s="3"/>
      <c r="B8169" s="2"/>
      <c r="C8169" s="2"/>
      <c r="D8169" s="2" t="b">
        <f>IF(AND(NOT(ISBLANK(Table1[[#This Row],[Fetal Sex (Male, Female or Unknown)]])),ISNUMBER(Table1[[#This Row],[Birthweight (grams)]]),ISNUMBER(Table1[[#This Row],[Gestation (days)]])),TRUE,FALSE)</f>
        <v>0</v>
      </c>
      <c r="E8169" s="2" t="str">
        <f>IF(Table1[[#This Row],[Is Data Valid]]=TRUE,IF(Table1[[#This Row],[Fetal Sex (Male, Female or Unknown)]]="Male",Backend!$C$6,IF(Table1[[#This Row],[Fetal Sex (Male, Female or Unknown)]]="Female",Backend!$C$7,IF(Table1[[#This Row],[Fetal Sex (Male, Female or Unknown)]]="Unknown",Backend!$C$8,"Error"))),"")</f>
        <v/>
      </c>
      <c r="F8169" s="8" t="str">
        <f>IF(Table1[[#This Row],[Is Data Valid]]=TRUE,EXP(0.578+0.332*((Table1[[#This Row],[Gestation (days)]]+0.5)/7)-0.00354*((Table1[[#This Row],[Gestation (days)]]+0.5)/7)^2)*Table1[[#This Row],[BW40_3705]],"")</f>
        <v/>
      </c>
      <c r="G8169" s="2" t="str">
        <f>IF(Table1[[#This Row],[Is Data Valid]]=TRUE,((Table1[[#This Row],[Birthweight (grams)]]/Table1[[#This Row],[BW_GA]])-1)/(Backend!$B$4/100*Table1[[#This Row],[BW40_3705]]),"")</f>
        <v/>
      </c>
      <c r="H8169" s="7" t="str">
        <f>IF(Table1[[#This Row],[Is Data Valid]]=TRUE,((Table1[[#This Row],[Birthweight (grams)]]*0.9/Table1[[#This Row],[BW_GA]])-1)/(Backend!$B$4/100*Table1[[#This Row],[BW40_3705]]),"")</f>
        <v/>
      </c>
      <c r="I8169" s="7" t="str">
        <f>IF(Table1[[#This Row],[Is Data Valid]]=TRUE,((Table1[[#This Row],[Birthweight (grams)]]*1.1/Table1[[#This Row],[BW_GA]])-1)/(Backend!$B$4/100*Table1[[#This Row],[BW40_3705]]),"")</f>
        <v/>
      </c>
      <c r="J8169" s="7" t="str">
        <f>IF(Table1[[#This Row],[Is Data Valid]]=TRUE,_xlfn.NORM.S.DIST(Table1[[#This Row],[Birthweight Z-Score]],TRUE)*100,"")</f>
        <v/>
      </c>
      <c r="K8169" s="7" t="str">
        <f>IF(Table1[[#This Row],[Is Data Valid]]=TRUE,_xlfn.NORM.S.DIST(Table1[[#This Row],[Birthweight Z-Score (BW-10%)]],TRUE)*100,"")</f>
        <v/>
      </c>
      <c r="L8169" s="7" t="str">
        <f>IF(Table1[[#This Row],[Is Data Valid]]=TRUE,_xlfn.NORM.S.DIST(Table1[[#This Row],[Birthweight Z-Score (BW+10%)]],TRUE)*100,"")</f>
        <v/>
      </c>
    </row>
    <row r="8170" spans="1:12" x14ac:dyDescent="0.35">
      <c r="A8170" s="3"/>
      <c r="B8170" s="2"/>
      <c r="C8170" s="2"/>
      <c r="D8170" s="2" t="b">
        <f>IF(AND(NOT(ISBLANK(Table1[[#This Row],[Fetal Sex (Male, Female or Unknown)]])),ISNUMBER(Table1[[#This Row],[Birthweight (grams)]]),ISNUMBER(Table1[[#This Row],[Gestation (days)]])),TRUE,FALSE)</f>
        <v>0</v>
      </c>
      <c r="E8170" s="2" t="str">
        <f>IF(Table1[[#This Row],[Is Data Valid]]=TRUE,IF(Table1[[#This Row],[Fetal Sex (Male, Female or Unknown)]]="Male",Backend!$C$6,IF(Table1[[#This Row],[Fetal Sex (Male, Female or Unknown)]]="Female",Backend!$C$7,IF(Table1[[#This Row],[Fetal Sex (Male, Female or Unknown)]]="Unknown",Backend!$C$8,"Error"))),"")</f>
        <v/>
      </c>
      <c r="F8170" s="8" t="str">
        <f>IF(Table1[[#This Row],[Is Data Valid]]=TRUE,EXP(0.578+0.332*((Table1[[#This Row],[Gestation (days)]]+0.5)/7)-0.00354*((Table1[[#This Row],[Gestation (days)]]+0.5)/7)^2)*Table1[[#This Row],[BW40_3705]],"")</f>
        <v/>
      </c>
      <c r="G8170" s="2" t="str">
        <f>IF(Table1[[#This Row],[Is Data Valid]]=TRUE,((Table1[[#This Row],[Birthweight (grams)]]/Table1[[#This Row],[BW_GA]])-1)/(Backend!$B$4/100*Table1[[#This Row],[BW40_3705]]),"")</f>
        <v/>
      </c>
      <c r="H8170" s="7" t="str">
        <f>IF(Table1[[#This Row],[Is Data Valid]]=TRUE,((Table1[[#This Row],[Birthweight (grams)]]*0.9/Table1[[#This Row],[BW_GA]])-1)/(Backend!$B$4/100*Table1[[#This Row],[BW40_3705]]),"")</f>
        <v/>
      </c>
      <c r="I8170" s="7" t="str">
        <f>IF(Table1[[#This Row],[Is Data Valid]]=TRUE,((Table1[[#This Row],[Birthweight (grams)]]*1.1/Table1[[#This Row],[BW_GA]])-1)/(Backend!$B$4/100*Table1[[#This Row],[BW40_3705]]),"")</f>
        <v/>
      </c>
      <c r="J8170" s="7" t="str">
        <f>IF(Table1[[#This Row],[Is Data Valid]]=TRUE,_xlfn.NORM.S.DIST(Table1[[#This Row],[Birthweight Z-Score]],TRUE)*100,"")</f>
        <v/>
      </c>
      <c r="K8170" s="7" t="str">
        <f>IF(Table1[[#This Row],[Is Data Valid]]=TRUE,_xlfn.NORM.S.DIST(Table1[[#This Row],[Birthweight Z-Score (BW-10%)]],TRUE)*100,"")</f>
        <v/>
      </c>
      <c r="L8170" s="7" t="str">
        <f>IF(Table1[[#This Row],[Is Data Valid]]=TRUE,_xlfn.NORM.S.DIST(Table1[[#This Row],[Birthweight Z-Score (BW+10%)]],TRUE)*100,"")</f>
        <v/>
      </c>
    </row>
    <row r="8171" spans="1:12" x14ac:dyDescent="0.35">
      <c r="A8171" s="3"/>
      <c r="B8171" s="2"/>
      <c r="C8171" s="2"/>
      <c r="D8171" s="2" t="b">
        <f>IF(AND(NOT(ISBLANK(Table1[[#This Row],[Fetal Sex (Male, Female or Unknown)]])),ISNUMBER(Table1[[#This Row],[Birthweight (grams)]]),ISNUMBER(Table1[[#This Row],[Gestation (days)]])),TRUE,FALSE)</f>
        <v>0</v>
      </c>
      <c r="E8171" s="2" t="str">
        <f>IF(Table1[[#This Row],[Is Data Valid]]=TRUE,IF(Table1[[#This Row],[Fetal Sex (Male, Female or Unknown)]]="Male",Backend!$C$6,IF(Table1[[#This Row],[Fetal Sex (Male, Female or Unknown)]]="Female",Backend!$C$7,IF(Table1[[#This Row],[Fetal Sex (Male, Female or Unknown)]]="Unknown",Backend!$C$8,"Error"))),"")</f>
        <v/>
      </c>
      <c r="F8171" s="8" t="str">
        <f>IF(Table1[[#This Row],[Is Data Valid]]=TRUE,EXP(0.578+0.332*((Table1[[#This Row],[Gestation (days)]]+0.5)/7)-0.00354*((Table1[[#This Row],[Gestation (days)]]+0.5)/7)^2)*Table1[[#This Row],[BW40_3705]],"")</f>
        <v/>
      </c>
      <c r="G8171" s="2" t="str">
        <f>IF(Table1[[#This Row],[Is Data Valid]]=TRUE,((Table1[[#This Row],[Birthweight (grams)]]/Table1[[#This Row],[BW_GA]])-1)/(Backend!$B$4/100*Table1[[#This Row],[BW40_3705]]),"")</f>
        <v/>
      </c>
      <c r="H8171" s="7" t="str">
        <f>IF(Table1[[#This Row],[Is Data Valid]]=TRUE,((Table1[[#This Row],[Birthweight (grams)]]*0.9/Table1[[#This Row],[BW_GA]])-1)/(Backend!$B$4/100*Table1[[#This Row],[BW40_3705]]),"")</f>
        <v/>
      </c>
      <c r="I8171" s="7" t="str">
        <f>IF(Table1[[#This Row],[Is Data Valid]]=TRUE,((Table1[[#This Row],[Birthweight (grams)]]*1.1/Table1[[#This Row],[BW_GA]])-1)/(Backend!$B$4/100*Table1[[#This Row],[BW40_3705]]),"")</f>
        <v/>
      </c>
      <c r="J8171" s="7" t="str">
        <f>IF(Table1[[#This Row],[Is Data Valid]]=TRUE,_xlfn.NORM.S.DIST(Table1[[#This Row],[Birthweight Z-Score]],TRUE)*100,"")</f>
        <v/>
      </c>
      <c r="K8171" s="7" t="str">
        <f>IF(Table1[[#This Row],[Is Data Valid]]=TRUE,_xlfn.NORM.S.DIST(Table1[[#This Row],[Birthweight Z-Score (BW-10%)]],TRUE)*100,"")</f>
        <v/>
      </c>
      <c r="L8171" s="7" t="str">
        <f>IF(Table1[[#This Row],[Is Data Valid]]=TRUE,_xlfn.NORM.S.DIST(Table1[[#This Row],[Birthweight Z-Score (BW+10%)]],TRUE)*100,"")</f>
        <v/>
      </c>
    </row>
    <row r="8172" spans="1:12" x14ac:dyDescent="0.35">
      <c r="A8172" s="3"/>
      <c r="B8172" s="2"/>
      <c r="C8172" s="2"/>
      <c r="D8172" s="2" t="b">
        <f>IF(AND(NOT(ISBLANK(Table1[[#This Row],[Fetal Sex (Male, Female or Unknown)]])),ISNUMBER(Table1[[#This Row],[Birthweight (grams)]]),ISNUMBER(Table1[[#This Row],[Gestation (days)]])),TRUE,FALSE)</f>
        <v>0</v>
      </c>
      <c r="E8172" s="2" t="str">
        <f>IF(Table1[[#This Row],[Is Data Valid]]=TRUE,IF(Table1[[#This Row],[Fetal Sex (Male, Female or Unknown)]]="Male",Backend!$C$6,IF(Table1[[#This Row],[Fetal Sex (Male, Female or Unknown)]]="Female",Backend!$C$7,IF(Table1[[#This Row],[Fetal Sex (Male, Female or Unknown)]]="Unknown",Backend!$C$8,"Error"))),"")</f>
        <v/>
      </c>
      <c r="F8172" s="8" t="str">
        <f>IF(Table1[[#This Row],[Is Data Valid]]=TRUE,EXP(0.578+0.332*((Table1[[#This Row],[Gestation (days)]]+0.5)/7)-0.00354*((Table1[[#This Row],[Gestation (days)]]+0.5)/7)^2)*Table1[[#This Row],[BW40_3705]],"")</f>
        <v/>
      </c>
      <c r="G8172" s="2" t="str">
        <f>IF(Table1[[#This Row],[Is Data Valid]]=TRUE,((Table1[[#This Row],[Birthweight (grams)]]/Table1[[#This Row],[BW_GA]])-1)/(Backend!$B$4/100*Table1[[#This Row],[BW40_3705]]),"")</f>
        <v/>
      </c>
      <c r="H8172" s="7" t="str">
        <f>IF(Table1[[#This Row],[Is Data Valid]]=TRUE,((Table1[[#This Row],[Birthweight (grams)]]*0.9/Table1[[#This Row],[BW_GA]])-1)/(Backend!$B$4/100*Table1[[#This Row],[BW40_3705]]),"")</f>
        <v/>
      </c>
      <c r="I8172" s="7" t="str">
        <f>IF(Table1[[#This Row],[Is Data Valid]]=TRUE,((Table1[[#This Row],[Birthweight (grams)]]*1.1/Table1[[#This Row],[BW_GA]])-1)/(Backend!$B$4/100*Table1[[#This Row],[BW40_3705]]),"")</f>
        <v/>
      </c>
      <c r="J8172" s="7" t="str">
        <f>IF(Table1[[#This Row],[Is Data Valid]]=TRUE,_xlfn.NORM.S.DIST(Table1[[#This Row],[Birthweight Z-Score]],TRUE)*100,"")</f>
        <v/>
      </c>
      <c r="K8172" s="7" t="str">
        <f>IF(Table1[[#This Row],[Is Data Valid]]=TRUE,_xlfn.NORM.S.DIST(Table1[[#This Row],[Birthweight Z-Score (BW-10%)]],TRUE)*100,"")</f>
        <v/>
      </c>
      <c r="L8172" s="7" t="str">
        <f>IF(Table1[[#This Row],[Is Data Valid]]=TRUE,_xlfn.NORM.S.DIST(Table1[[#This Row],[Birthweight Z-Score (BW+10%)]],TRUE)*100,"")</f>
        <v/>
      </c>
    </row>
    <row r="8173" spans="1:12" x14ac:dyDescent="0.35">
      <c r="A8173" s="3"/>
      <c r="B8173" s="2"/>
      <c r="C8173" s="2"/>
      <c r="D8173" s="2" t="b">
        <f>IF(AND(NOT(ISBLANK(Table1[[#This Row],[Fetal Sex (Male, Female or Unknown)]])),ISNUMBER(Table1[[#This Row],[Birthweight (grams)]]),ISNUMBER(Table1[[#This Row],[Gestation (days)]])),TRUE,FALSE)</f>
        <v>0</v>
      </c>
      <c r="E8173" s="2" t="str">
        <f>IF(Table1[[#This Row],[Is Data Valid]]=TRUE,IF(Table1[[#This Row],[Fetal Sex (Male, Female or Unknown)]]="Male",Backend!$C$6,IF(Table1[[#This Row],[Fetal Sex (Male, Female or Unknown)]]="Female",Backend!$C$7,IF(Table1[[#This Row],[Fetal Sex (Male, Female or Unknown)]]="Unknown",Backend!$C$8,"Error"))),"")</f>
        <v/>
      </c>
      <c r="F8173" s="8" t="str">
        <f>IF(Table1[[#This Row],[Is Data Valid]]=TRUE,EXP(0.578+0.332*((Table1[[#This Row],[Gestation (days)]]+0.5)/7)-0.00354*((Table1[[#This Row],[Gestation (days)]]+0.5)/7)^2)*Table1[[#This Row],[BW40_3705]],"")</f>
        <v/>
      </c>
      <c r="G8173" s="2" t="str">
        <f>IF(Table1[[#This Row],[Is Data Valid]]=TRUE,((Table1[[#This Row],[Birthweight (grams)]]/Table1[[#This Row],[BW_GA]])-1)/(Backend!$B$4/100*Table1[[#This Row],[BW40_3705]]),"")</f>
        <v/>
      </c>
      <c r="H8173" s="7" t="str">
        <f>IF(Table1[[#This Row],[Is Data Valid]]=TRUE,((Table1[[#This Row],[Birthweight (grams)]]*0.9/Table1[[#This Row],[BW_GA]])-1)/(Backend!$B$4/100*Table1[[#This Row],[BW40_3705]]),"")</f>
        <v/>
      </c>
      <c r="I8173" s="7" t="str">
        <f>IF(Table1[[#This Row],[Is Data Valid]]=TRUE,((Table1[[#This Row],[Birthweight (grams)]]*1.1/Table1[[#This Row],[BW_GA]])-1)/(Backend!$B$4/100*Table1[[#This Row],[BW40_3705]]),"")</f>
        <v/>
      </c>
      <c r="J8173" s="7" t="str">
        <f>IF(Table1[[#This Row],[Is Data Valid]]=TRUE,_xlfn.NORM.S.DIST(Table1[[#This Row],[Birthweight Z-Score]],TRUE)*100,"")</f>
        <v/>
      </c>
      <c r="K8173" s="7" t="str">
        <f>IF(Table1[[#This Row],[Is Data Valid]]=TRUE,_xlfn.NORM.S.DIST(Table1[[#This Row],[Birthweight Z-Score (BW-10%)]],TRUE)*100,"")</f>
        <v/>
      </c>
      <c r="L8173" s="7" t="str">
        <f>IF(Table1[[#This Row],[Is Data Valid]]=TRUE,_xlfn.NORM.S.DIST(Table1[[#This Row],[Birthweight Z-Score (BW+10%)]],TRUE)*100,"")</f>
        <v/>
      </c>
    </row>
    <row r="8174" spans="1:12" x14ac:dyDescent="0.35">
      <c r="A8174" s="3"/>
      <c r="B8174" s="2"/>
      <c r="C8174" s="2"/>
      <c r="D8174" s="2" t="b">
        <f>IF(AND(NOT(ISBLANK(Table1[[#This Row],[Fetal Sex (Male, Female or Unknown)]])),ISNUMBER(Table1[[#This Row],[Birthweight (grams)]]),ISNUMBER(Table1[[#This Row],[Gestation (days)]])),TRUE,FALSE)</f>
        <v>0</v>
      </c>
      <c r="E8174" s="2" t="str">
        <f>IF(Table1[[#This Row],[Is Data Valid]]=TRUE,IF(Table1[[#This Row],[Fetal Sex (Male, Female or Unknown)]]="Male",Backend!$C$6,IF(Table1[[#This Row],[Fetal Sex (Male, Female or Unknown)]]="Female",Backend!$C$7,IF(Table1[[#This Row],[Fetal Sex (Male, Female or Unknown)]]="Unknown",Backend!$C$8,"Error"))),"")</f>
        <v/>
      </c>
      <c r="F8174" s="8" t="str">
        <f>IF(Table1[[#This Row],[Is Data Valid]]=TRUE,EXP(0.578+0.332*((Table1[[#This Row],[Gestation (days)]]+0.5)/7)-0.00354*((Table1[[#This Row],[Gestation (days)]]+0.5)/7)^2)*Table1[[#This Row],[BW40_3705]],"")</f>
        <v/>
      </c>
      <c r="G8174" s="2" t="str">
        <f>IF(Table1[[#This Row],[Is Data Valid]]=TRUE,((Table1[[#This Row],[Birthweight (grams)]]/Table1[[#This Row],[BW_GA]])-1)/(Backend!$B$4/100*Table1[[#This Row],[BW40_3705]]),"")</f>
        <v/>
      </c>
      <c r="H8174" s="7" t="str">
        <f>IF(Table1[[#This Row],[Is Data Valid]]=TRUE,((Table1[[#This Row],[Birthweight (grams)]]*0.9/Table1[[#This Row],[BW_GA]])-1)/(Backend!$B$4/100*Table1[[#This Row],[BW40_3705]]),"")</f>
        <v/>
      </c>
      <c r="I8174" s="7" t="str">
        <f>IF(Table1[[#This Row],[Is Data Valid]]=TRUE,((Table1[[#This Row],[Birthweight (grams)]]*1.1/Table1[[#This Row],[BW_GA]])-1)/(Backend!$B$4/100*Table1[[#This Row],[BW40_3705]]),"")</f>
        <v/>
      </c>
      <c r="J8174" s="7" t="str">
        <f>IF(Table1[[#This Row],[Is Data Valid]]=TRUE,_xlfn.NORM.S.DIST(Table1[[#This Row],[Birthweight Z-Score]],TRUE)*100,"")</f>
        <v/>
      </c>
      <c r="K8174" s="7" t="str">
        <f>IF(Table1[[#This Row],[Is Data Valid]]=TRUE,_xlfn.NORM.S.DIST(Table1[[#This Row],[Birthweight Z-Score (BW-10%)]],TRUE)*100,"")</f>
        <v/>
      </c>
      <c r="L8174" s="7" t="str">
        <f>IF(Table1[[#This Row],[Is Data Valid]]=TRUE,_xlfn.NORM.S.DIST(Table1[[#This Row],[Birthweight Z-Score (BW+10%)]],TRUE)*100,"")</f>
        <v/>
      </c>
    </row>
    <row r="8175" spans="1:12" x14ac:dyDescent="0.35">
      <c r="A8175" s="3"/>
      <c r="B8175" s="2"/>
      <c r="C8175" s="2"/>
      <c r="D8175" s="2" t="b">
        <f>IF(AND(NOT(ISBLANK(Table1[[#This Row],[Fetal Sex (Male, Female or Unknown)]])),ISNUMBER(Table1[[#This Row],[Birthweight (grams)]]),ISNUMBER(Table1[[#This Row],[Gestation (days)]])),TRUE,FALSE)</f>
        <v>0</v>
      </c>
      <c r="E8175" s="2" t="str">
        <f>IF(Table1[[#This Row],[Is Data Valid]]=TRUE,IF(Table1[[#This Row],[Fetal Sex (Male, Female or Unknown)]]="Male",Backend!$C$6,IF(Table1[[#This Row],[Fetal Sex (Male, Female or Unknown)]]="Female",Backend!$C$7,IF(Table1[[#This Row],[Fetal Sex (Male, Female or Unknown)]]="Unknown",Backend!$C$8,"Error"))),"")</f>
        <v/>
      </c>
      <c r="F8175" s="8" t="str">
        <f>IF(Table1[[#This Row],[Is Data Valid]]=TRUE,EXP(0.578+0.332*((Table1[[#This Row],[Gestation (days)]]+0.5)/7)-0.00354*((Table1[[#This Row],[Gestation (days)]]+0.5)/7)^2)*Table1[[#This Row],[BW40_3705]],"")</f>
        <v/>
      </c>
      <c r="G8175" s="2" t="str">
        <f>IF(Table1[[#This Row],[Is Data Valid]]=TRUE,((Table1[[#This Row],[Birthweight (grams)]]/Table1[[#This Row],[BW_GA]])-1)/(Backend!$B$4/100*Table1[[#This Row],[BW40_3705]]),"")</f>
        <v/>
      </c>
      <c r="H8175" s="7" t="str">
        <f>IF(Table1[[#This Row],[Is Data Valid]]=TRUE,((Table1[[#This Row],[Birthweight (grams)]]*0.9/Table1[[#This Row],[BW_GA]])-1)/(Backend!$B$4/100*Table1[[#This Row],[BW40_3705]]),"")</f>
        <v/>
      </c>
      <c r="I8175" s="7" t="str">
        <f>IF(Table1[[#This Row],[Is Data Valid]]=TRUE,((Table1[[#This Row],[Birthweight (grams)]]*1.1/Table1[[#This Row],[BW_GA]])-1)/(Backend!$B$4/100*Table1[[#This Row],[BW40_3705]]),"")</f>
        <v/>
      </c>
      <c r="J8175" s="7" t="str">
        <f>IF(Table1[[#This Row],[Is Data Valid]]=TRUE,_xlfn.NORM.S.DIST(Table1[[#This Row],[Birthweight Z-Score]],TRUE)*100,"")</f>
        <v/>
      </c>
      <c r="K8175" s="7" t="str">
        <f>IF(Table1[[#This Row],[Is Data Valid]]=TRUE,_xlfn.NORM.S.DIST(Table1[[#This Row],[Birthweight Z-Score (BW-10%)]],TRUE)*100,"")</f>
        <v/>
      </c>
      <c r="L8175" s="7" t="str">
        <f>IF(Table1[[#This Row],[Is Data Valid]]=TRUE,_xlfn.NORM.S.DIST(Table1[[#This Row],[Birthweight Z-Score (BW+10%)]],TRUE)*100,"")</f>
        <v/>
      </c>
    </row>
    <row r="8176" spans="1:12" x14ac:dyDescent="0.35">
      <c r="A8176" s="3"/>
      <c r="B8176" s="2"/>
      <c r="C8176" s="2"/>
      <c r="D8176" s="2" t="b">
        <f>IF(AND(NOT(ISBLANK(Table1[[#This Row],[Fetal Sex (Male, Female or Unknown)]])),ISNUMBER(Table1[[#This Row],[Birthweight (grams)]]),ISNUMBER(Table1[[#This Row],[Gestation (days)]])),TRUE,FALSE)</f>
        <v>0</v>
      </c>
      <c r="E8176" s="2" t="str">
        <f>IF(Table1[[#This Row],[Is Data Valid]]=TRUE,IF(Table1[[#This Row],[Fetal Sex (Male, Female or Unknown)]]="Male",Backend!$C$6,IF(Table1[[#This Row],[Fetal Sex (Male, Female or Unknown)]]="Female",Backend!$C$7,IF(Table1[[#This Row],[Fetal Sex (Male, Female or Unknown)]]="Unknown",Backend!$C$8,"Error"))),"")</f>
        <v/>
      </c>
      <c r="F8176" s="8" t="str">
        <f>IF(Table1[[#This Row],[Is Data Valid]]=TRUE,EXP(0.578+0.332*((Table1[[#This Row],[Gestation (days)]]+0.5)/7)-0.00354*((Table1[[#This Row],[Gestation (days)]]+0.5)/7)^2)*Table1[[#This Row],[BW40_3705]],"")</f>
        <v/>
      </c>
      <c r="G8176" s="2" t="str">
        <f>IF(Table1[[#This Row],[Is Data Valid]]=TRUE,((Table1[[#This Row],[Birthweight (grams)]]/Table1[[#This Row],[BW_GA]])-1)/(Backend!$B$4/100*Table1[[#This Row],[BW40_3705]]),"")</f>
        <v/>
      </c>
      <c r="H8176" s="7" t="str">
        <f>IF(Table1[[#This Row],[Is Data Valid]]=TRUE,((Table1[[#This Row],[Birthweight (grams)]]*0.9/Table1[[#This Row],[BW_GA]])-1)/(Backend!$B$4/100*Table1[[#This Row],[BW40_3705]]),"")</f>
        <v/>
      </c>
      <c r="I8176" s="7" t="str">
        <f>IF(Table1[[#This Row],[Is Data Valid]]=TRUE,((Table1[[#This Row],[Birthweight (grams)]]*1.1/Table1[[#This Row],[BW_GA]])-1)/(Backend!$B$4/100*Table1[[#This Row],[BW40_3705]]),"")</f>
        <v/>
      </c>
      <c r="J8176" s="7" t="str">
        <f>IF(Table1[[#This Row],[Is Data Valid]]=TRUE,_xlfn.NORM.S.DIST(Table1[[#This Row],[Birthweight Z-Score]],TRUE)*100,"")</f>
        <v/>
      </c>
      <c r="K8176" s="7" t="str">
        <f>IF(Table1[[#This Row],[Is Data Valid]]=TRUE,_xlfn.NORM.S.DIST(Table1[[#This Row],[Birthweight Z-Score (BW-10%)]],TRUE)*100,"")</f>
        <v/>
      </c>
      <c r="L8176" s="7" t="str">
        <f>IF(Table1[[#This Row],[Is Data Valid]]=TRUE,_xlfn.NORM.S.DIST(Table1[[#This Row],[Birthweight Z-Score (BW+10%)]],TRUE)*100,"")</f>
        <v/>
      </c>
    </row>
    <row r="8177" spans="1:12" x14ac:dyDescent="0.35">
      <c r="A8177" s="3"/>
      <c r="B8177" s="2"/>
      <c r="C8177" s="2"/>
      <c r="D8177" s="2" t="b">
        <f>IF(AND(NOT(ISBLANK(Table1[[#This Row],[Fetal Sex (Male, Female or Unknown)]])),ISNUMBER(Table1[[#This Row],[Birthweight (grams)]]),ISNUMBER(Table1[[#This Row],[Gestation (days)]])),TRUE,FALSE)</f>
        <v>0</v>
      </c>
      <c r="E8177" s="2" t="str">
        <f>IF(Table1[[#This Row],[Is Data Valid]]=TRUE,IF(Table1[[#This Row],[Fetal Sex (Male, Female or Unknown)]]="Male",Backend!$C$6,IF(Table1[[#This Row],[Fetal Sex (Male, Female or Unknown)]]="Female",Backend!$C$7,IF(Table1[[#This Row],[Fetal Sex (Male, Female or Unknown)]]="Unknown",Backend!$C$8,"Error"))),"")</f>
        <v/>
      </c>
      <c r="F8177" s="8" t="str">
        <f>IF(Table1[[#This Row],[Is Data Valid]]=TRUE,EXP(0.578+0.332*((Table1[[#This Row],[Gestation (days)]]+0.5)/7)-0.00354*((Table1[[#This Row],[Gestation (days)]]+0.5)/7)^2)*Table1[[#This Row],[BW40_3705]],"")</f>
        <v/>
      </c>
      <c r="G8177" s="2" t="str">
        <f>IF(Table1[[#This Row],[Is Data Valid]]=TRUE,((Table1[[#This Row],[Birthweight (grams)]]/Table1[[#This Row],[BW_GA]])-1)/(Backend!$B$4/100*Table1[[#This Row],[BW40_3705]]),"")</f>
        <v/>
      </c>
      <c r="H8177" s="7" t="str">
        <f>IF(Table1[[#This Row],[Is Data Valid]]=TRUE,((Table1[[#This Row],[Birthweight (grams)]]*0.9/Table1[[#This Row],[BW_GA]])-1)/(Backend!$B$4/100*Table1[[#This Row],[BW40_3705]]),"")</f>
        <v/>
      </c>
      <c r="I8177" s="7" t="str">
        <f>IF(Table1[[#This Row],[Is Data Valid]]=TRUE,((Table1[[#This Row],[Birthweight (grams)]]*1.1/Table1[[#This Row],[BW_GA]])-1)/(Backend!$B$4/100*Table1[[#This Row],[BW40_3705]]),"")</f>
        <v/>
      </c>
      <c r="J8177" s="7" t="str">
        <f>IF(Table1[[#This Row],[Is Data Valid]]=TRUE,_xlfn.NORM.S.DIST(Table1[[#This Row],[Birthweight Z-Score]],TRUE)*100,"")</f>
        <v/>
      </c>
      <c r="K8177" s="7" t="str">
        <f>IF(Table1[[#This Row],[Is Data Valid]]=TRUE,_xlfn.NORM.S.DIST(Table1[[#This Row],[Birthweight Z-Score (BW-10%)]],TRUE)*100,"")</f>
        <v/>
      </c>
      <c r="L8177" s="7" t="str">
        <f>IF(Table1[[#This Row],[Is Data Valid]]=TRUE,_xlfn.NORM.S.DIST(Table1[[#This Row],[Birthweight Z-Score (BW+10%)]],TRUE)*100,"")</f>
        <v/>
      </c>
    </row>
    <row r="8178" spans="1:12" x14ac:dyDescent="0.35">
      <c r="A8178" s="3"/>
      <c r="B8178" s="2"/>
      <c r="C8178" s="2"/>
      <c r="D8178" s="2" t="b">
        <f>IF(AND(NOT(ISBLANK(Table1[[#This Row],[Fetal Sex (Male, Female or Unknown)]])),ISNUMBER(Table1[[#This Row],[Birthweight (grams)]]),ISNUMBER(Table1[[#This Row],[Gestation (days)]])),TRUE,FALSE)</f>
        <v>0</v>
      </c>
      <c r="E8178" s="2" t="str">
        <f>IF(Table1[[#This Row],[Is Data Valid]]=TRUE,IF(Table1[[#This Row],[Fetal Sex (Male, Female or Unknown)]]="Male",Backend!$C$6,IF(Table1[[#This Row],[Fetal Sex (Male, Female or Unknown)]]="Female",Backend!$C$7,IF(Table1[[#This Row],[Fetal Sex (Male, Female or Unknown)]]="Unknown",Backend!$C$8,"Error"))),"")</f>
        <v/>
      </c>
      <c r="F8178" s="8" t="str">
        <f>IF(Table1[[#This Row],[Is Data Valid]]=TRUE,EXP(0.578+0.332*((Table1[[#This Row],[Gestation (days)]]+0.5)/7)-0.00354*((Table1[[#This Row],[Gestation (days)]]+0.5)/7)^2)*Table1[[#This Row],[BW40_3705]],"")</f>
        <v/>
      </c>
      <c r="G8178" s="2" t="str">
        <f>IF(Table1[[#This Row],[Is Data Valid]]=TRUE,((Table1[[#This Row],[Birthweight (grams)]]/Table1[[#This Row],[BW_GA]])-1)/(Backend!$B$4/100*Table1[[#This Row],[BW40_3705]]),"")</f>
        <v/>
      </c>
      <c r="H8178" s="7" t="str">
        <f>IF(Table1[[#This Row],[Is Data Valid]]=TRUE,((Table1[[#This Row],[Birthweight (grams)]]*0.9/Table1[[#This Row],[BW_GA]])-1)/(Backend!$B$4/100*Table1[[#This Row],[BW40_3705]]),"")</f>
        <v/>
      </c>
      <c r="I8178" s="7" t="str">
        <f>IF(Table1[[#This Row],[Is Data Valid]]=TRUE,((Table1[[#This Row],[Birthweight (grams)]]*1.1/Table1[[#This Row],[BW_GA]])-1)/(Backend!$B$4/100*Table1[[#This Row],[BW40_3705]]),"")</f>
        <v/>
      </c>
      <c r="J8178" s="7" t="str">
        <f>IF(Table1[[#This Row],[Is Data Valid]]=TRUE,_xlfn.NORM.S.DIST(Table1[[#This Row],[Birthweight Z-Score]],TRUE)*100,"")</f>
        <v/>
      </c>
      <c r="K8178" s="7" t="str">
        <f>IF(Table1[[#This Row],[Is Data Valid]]=TRUE,_xlfn.NORM.S.DIST(Table1[[#This Row],[Birthweight Z-Score (BW-10%)]],TRUE)*100,"")</f>
        <v/>
      </c>
      <c r="L8178" s="7" t="str">
        <f>IF(Table1[[#This Row],[Is Data Valid]]=TRUE,_xlfn.NORM.S.DIST(Table1[[#This Row],[Birthweight Z-Score (BW+10%)]],TRUE)*100,"")</f>
        <v/>
      </c>
    </row>
    <row r="8179" spans="1:12" x14ac:dyDescent="0.35">
      <c r="A8179" s="3"/>
      <c r="B8179" s="2"/>
      <c r="C8179" s="2"/>
      <c r="D8179" s="2" t="b">
        <f>IF(AND(NOT(ISBLANK(Table1[[#This Row],[Fetal Sex (Male, Female or Unknown)]])),ISNUMBER(Table1[[#This Row],[Birthweight (grams)]]),ISNUMBER(Table1[[#This Row],[Gestation (days)]])),TRUE,FALSE)</f>
        <v>0</v>
      </c>
      <c r="E8179" s="2" t="str">
        <f>IF(Table1[[#This Row],[Is Data Valid]]=TRUE,IF(Table1[[#This Row],[Fetal Sex (Male, Female or Unknown)]]="Male",Backend!$C$6,IF(Table1[[#This Row],[Fetal Sex (Male, Female or Unknown)]]="Female",Backend!$C$7,IF(Table1[[#This Row],[Fetal Sex (Male, Female or Unknown)]]="Unknown",Backend!$C$8,"Error"))),"")</f>
        <v/>
      </c>
      <c r="F8179" s="8" t="str">
        <f>IF(Table1[[#This Row],[Is Data Valid]]=TRUE,EXP(0.578+0.332*((Table1[[#This Row],[Gestation (days)]]+0.5)/7)-0.00354*((Table1[[#This Row],[Gestation (days)]]+0.5)/7)^2)*Table1[[#This Row],[BW40_3705]],"")</f>
        <v/>
      </c>
      <c r="G8179" s="2" t="str">
        <f>IF(Table1[[#This Row],[Is Data Valid]]=TRUE,((Table1[[#This Row],[Birthweight (grams)]]/Table1[[#This Row],[BW_GA]])-1)/(Backend!$B$4/100*Table1[[#This Row],[BW40_3705]]),"")</f>
        <v/>
      </c>
      <c r="H8179" s="7" t="str">
        <f>IF(Table1[[#This Row],[Is Data Valid]]=TRUE,((Table1[[#This Row],[Birthweight (grams)]]*0.9/Table1[[#This Row],[BW_GA]])-1)/(Backend!$B$4/100*Table1[[#This Row],[BW40_3705]]),"")</f>
        <v/>
      </c>
      <c r="I8179" s="7" t="str">
        <f>IF(Table1[[#This Row],[Is Data Valid]]=TRUE,((Table1[[#This Row],[Birthweight (grams)]]*1.1/Table1[[#This Row],[BW_GA]])-1)/(Backend!$B$4/100*Table1[[#This Row],[BW40_3705]]),"")</f>
        <v/>
      </c>
      <c r="J8179" s="7" t="str">
        <f>IF(Table1[[#This Row],[Is Data Valid]]=TRUE,_xlfn.NORM.S.DIST(Table1[[#This Row],[Birthweight Z-Score]],TRUE)*100,"")</f>
        <v/>
      </c>
      <c r="K8179" s="7" t="str">
        <f>IF(Table1[[#This Row],[Is Data Valid]]=TRUE,_xlfn.NORM.S.DIST(Table1[[#This Row],[Birthweight Z-Score (BW-10%)]],TRUE)*100,"")</f>
        <v/>
      </c>
      <c r="L8179" s="7" t="str">
        <f>IF(Table1[[#This Row],[Is Data Valid]]=TRUE,_xlfn.NORM.S.DIST(Table1[[#This Row],[Birthweight Z-Score (BW+10%)]],TRUE)*100,"")</f>
        <v/>
      </c>
    </row>
    <row r="8180" spans="1:12" x14ac:dyDescent="0.35">
      <c r="A8180" s="3"/>
      <c r="B8180" s="2"/>
      <c r="C8180" s="2"/>
      <c r="D8180" s="2" t="b">
        <f>IF(AND(NOT(ISBLANK(Table1[[#This Row],[Fetal Sex (Male, Female or Unknown)]])),ISNUMBER(Table1[[#This Row],[Birthweight (grams)]]),ISNUMBER(Table1[[#This Row],[Gestation (days)]])),TRUE,FALSE)</f>
        <v>0</v>
      </c>
      <c r="E8180" s="2" t="str">
        <f>IF(Table1[[#This Row],[Is Data Valid]]=TRUE,IF(Table1[[#This Row],[Fetal Sex (Male, Female or Unknown)]]="Male",Backend!$C$6,IF(Table1[[#This Row],[Fetal Sex (Male, Female or Unknown)]]="Female",Backend!$C$7,IF(Table1[[#This Row],[Fetal Sex (Male, Female or Unknown)]]="Unknown",Backend!$C$8,"Error"))),"")</f>
        <v/>
      </c>
      <c r="F8180" s="8" t="str">
        <f>IF(Table1[[#This Row],[Is Data Valid]]=TRUE,EXP(0.578+0.332*((Table1[[#This Row],[Gestation (days)]]+0.5)/7)-0.00354*((Table1[[#This Row],[Gestation (days)]]+0.5)/7)^2)*Table1[[#This Row],[BW40_3705]],"")</f>
        <v/>
      </c>
      <c r="G8180" s="2" t="str">
        <f>IF(Table1[[#This Row],[Is Data Valid]]=TRUE,((Table1[[#This Row],[Birthweight (grams)]]/Table1[[#This Row],[BW_GA]])-1)/(Backend!$B$4/100*Table1[[#This Row],[BW40_3705]]),"")</f>
        <v/>
      </c>
      <c r="H8180" s="7" t="str">
        <f>IF(Table1[[#This Row],[Is Data Valid]]=TRUE,((Table1[[#This Row],[Birthweight (grams)]]*0.9/Table1[[#This Row],[BW_GA]])-1)/(Backend!$B$4/100*Table1[[#This Row],[BW40_3705]]),"")</f>
        <v/>
      </c>
      <c r="I8180" s="7" t="str">
        <f>IF(Table1[[#This Row],[Is Data Valid]]=TRUE,((Table1[[#This Row],[Birthweight (grams)]]*1.1/Table1[[#This Row],[BW_GA]])-1)/(Backend!$B$4/100*Table1[[#This Row],[BW40_3705]]),"")</f>
        <v/>
      </c>
      <c r="J8180" s="7" t="str">
        <f>IF(Table1[[#This Row],[Is Data Valid]]=TRUE,_xlfn.NORM.S.DIST(Table1[[#This Row],[Birthweight Z-Score]],TRUE)*100,"")</f>
        <v/>
      </c>
      <c r="K8180" s="7" t="str">
        <f>IF(Table1[[#This Row],[Is Data Valid]]=TRUE,_xlfn.NORM.S.DIST(Table1[[#This Row],[Birthweight Z-Score (BW-10%)]],TRUE)*100,"")</f>
        <v/>
      </c>
      <c r="L8180" s="7" t="str">
        <f>IF(Table1[[#This Row],[Is Data Valid]]=TRUE,_xlfn.NORM.S.DIST(Table1[[#This Row],[Birthweight Z-Score (BW+10%)]],TRUE)*100,"")</f>
        <v/>
      </c>
    </row>
    <row r="8181" spans="1:12" x14ac:dyDescent="0.35">
      <c r="A8181" s="3"/>
      <c r="B8181" s="2"/>
      <c r="C8181" s="2"/>
      <c r="D8181" s="2" t="b">
        <f>IF(AND(NOT(ISBLANK(Table1[[#This Row],[Fetal Sex (Male, Female or Unknown)]])),ISNUMBER(Table1[[#This Row],[Birthweight (grams)]]),ISNUMBER(Table1[[#This Row],[Gestation (days)]])),TRUE,FALSE)</f>
        <v>0</v>
      </c>
      <c r="E8181" s="2" t="str">
        <f>IF(Table1[[#This Row],[Is Data Valid]]=TRUE,IF(Table1[[#This Row],[Fetal Sex (Male, Female or Unknown)]]="Male",Backend!$C$6,IF(Table1[[#This Row],[Fetal Sex (Male, Female or Unknown)]]="Female",Backend!$C$7,IF(Table1[[#This Row],[Fetal Sex (Male, Female or Unknown)]]="Unknown",Backend!$C$8,"Error"))),"")</f>
        <v/>
      </c>
      <c r="F8181" s="8" t="str">
        <f>IF(Table1[[#This Row],[Is Data Valid]]=TRUE,EXP(0.578+0.332*((Table1[[#This Row],[Gestation (days)]]+0.5)/7)-0.00354*((Table1[[#This Row],[Gestation (days)]]+0.5)/7)^2)*Table1[[#This Row],[BW40_3705]],"")</f>
        <v/>
      </c>
      <c r="G8181" s="2" t="str">
        <f>IF(Table1[[#This Row],[Is Data Valid]]=TRUE,((Table1[[#This Row],[Birthweight (grams)]]/Table1[[#This Row],[BW_GA]])-1)/(Backend!$B$4/100*Table1[[#This Row],[BW40_3705]]),"")</f>
        <v/>
      </c>
      <c r="H8181" s="7" t="str">
        <f>IF(Table1[[#This Row],[Is Data Valid]]=TRUE,((Table1[[#This Row],[Birthweight (grams)]]*0.9/Table1[[#This Row],[BW_GA]])-1)/(Backend!$B$4/100*Table1[[#This Row],[BW40_3705]]),"")</f>
        <v/>
      </c>
      <c r="I8181" s="7" t="str">
        <f>IF(Table1[[#This Row],[Is Data Valid]]=TRUE,((Table1[[#This Row],[Birthweight (grams)]]*1.1/Table1[[#This Row],[BW_GA]])-1)/(Backend!$B$4/100*Table1[[#This Row],[BW40_3705]]),"")</f>
        <v/>
      </c>
      <c r="J8181" s="7" t="str">
        <f>IF(Table1[[#This Row],[Is Data Valid]]=TRUE,_xlfn.NORM.S.DIST(Table1[[#This Row],[Birthweight Z-Score]],TRUE)*100,"")</f>
        <v/>
      </c>
      <c r="K8181" s="7" t="str">
        <f>IF(Table1[[#This Row],[Is Data Valid]]=TRUE,_xlfn.NORM.S.DIST(Table1[[#This Row],[Birthweight Z-Score (BW-10%)]],TRUE)*100,"")</f>
        <v/>
      </c>
      <c r="L8181" s="7" t="str">
        <f>IF(Table1[[#This Row],[Is Data Valid]]=TRUE,_xlfn.NORM.S.DIST(Table1[[#This Row],[Birthweight Z-Score (BW+10%)]],TRUE)*100,"")</f>
        <v/>
      </c>
    </row>
    <row r="8182" spans="1:12" x14ac:dyDescent="0.35">
      <c r="A8182" s="3"/>
      <c r="B8182" s="2"/>
      <c r="C8182" s="2"/>
      <c r="D8182" s="2" t="b">
        <f>IF(AND(NOT(ISBLANK(Table1[[#This Row],[Fetal Sex (Male, Female or Unknown)]])),ISNUMBER(Table1[[#This Row],[Birthweight (grams)]]),ISNUMBER(Table1[[#This Row],[Gestation (days)]])),TRUE,FALSE)</f>
        <v>0</v>
      </c>
      <c r="E8182" s="2" t="str">
        <f>IF(Table1[[#This Row],[Is Data Valid]]=TRUE,IF(Table1[[#This Row],[Fetal Sex (Male, Female or Unknown)]]="Male",Backend!$C$6,IF(Table1[[#This Row],[Fetal Sex (Male, Female or Unknown)]]="Female",Backend!$C$7,IF(Table1[[#This Row],[Fetal Sex (Male, Female or Unknown)]]="Unknown",Backend!$C$8,"Error"))),"")</f>
        <v/>
      </c>
      <c r="F8182" s="8" t="str">
        <f>IF(Table1[[#This Row],[Is Data Valid]]=TRUE,EXP(0.578+0.332*((Table1[[#This Row],[Gestation (days)]]+0.5)/7)-0.00354*((Table1[[#This Row],[Gestation (days)]]+0.5)/7)^2)*Table1[[#This Row],[BW40_3705]],"")</f>
        <v/>
      </c>
      <c r="G8182" s="2" t="str">
        <f>IF(Table1[[#This Row],[Is Data Valid]]=TRUE,((Table1[[#This Row],[Birthweight (grams)]]/Table1[[#This Row],[BW_GA]])-1)/(Backend!$B$4/100*Table1[[#This Row],[BW40_3705]]),"")</f>
        <v/>
      </c>
      <c r="H8182" s="7" t="str">
        <f>IF(Table1[[#This Row],[Is Data Valid]]=TRUE,((Table1[[#This Row],[Birthweight (grams)]]*0.9/Table1[[#This Row],[BW_GA]])-1)/(Backend!$B$4/100*Table1[[#This Row],[BW40_3705]]),"")</f>
        <v/>
      </c>
      <c r="I8182" s="7" t="str">
        <f>IF(Table1[[#This Row],[Is Data Valid]]=TRUE,((Table1[[#This Row],[Birthweight (grams)]]*1.1/Table1[[#This Row],[BW_GA]])-1)/(Backend!$B$4/100*Table1[[#This Row],[BW40_3705]]),"")</f>
        <v/>
      </c>
      <c r="J8182" s="7" t="str">
        <f>IF(Table1[[#This Row],[Is Data Valid]]=TRUE,_xlfn.NORM.S.DIST(Table1[[#This Row],[Birthweight Z-Score]],TRUE)*100,"")</f>
        <v/>
      </c>
      <c r="K8182" s="7" t="str">
        <f>IF(Table1[[#This Row],[Is Data Valid]]=TRUE,_xlfn.NORM.S.DIST(Table1[[#This Row],[Birthweight Z-Score (BW-10%)]],TRUE)*100,"")</f>
        <v/>
      </c>
      <c r="L8182" s="7" t="str">
        <f>IF(Table1[[#This Row],[Is Data Valid]]=TRUE,_xlfn.NORM.S.DIST(Table1[[#This Row],[Birthweight Z-Score (BW+10%)]],TRUE)*100,"")</f>
        <v/>
      </c>
    </row>
    <row r="8183" spans="1:12" x14ac:dyDescent="0.35">
      <c r="A8183" s="3"/>
      <c r="B8183" s="2"/>
      <c r="C8183" s="2"/>
      <c r="D8183" s="2" t="b">
        <f>IF(AND(NOT(ISBLANK(Table1[[#This Row],[Fetal Sex (Male, Female or Unknown)]])),ISNUMBER(Table1[[#This Row],[Birthweight (grams)]]),ISNUMBER(Table1[[#This Row],[Gestation (days)]])),TRUE,FALSE)</f>
        <v>0</v>
      </c>
      <c r="E8183" s="2" t="str">
        <f>IF(Table1[[#This Row],[Is Data Valid]]=TRUE,IF(Table1[[#This Row],[Fetal Sex (Male, Female or Unknown)]]="Male",Backend!$C$6,IF(Table1[[#This Row],[Fetal Sex (Male, Female or Unknown)]]="Female",Backend!$C$7,IF(Table1[[#This Row],[Fetal Sex (Male, Female or Unknown)]]="Unknown",Backend!$C$8,"Error"))),"")</f>
        <v/>
      </c>
      <c r="F8183" s="8" t="str">
        <f>IF(Table1[[#This Row],[Is Data Valid]]=TRUE,EXP(0.578+0.332*((Table1[[#This Row],[Gestation (days)]]+0.5)/7)-0.00354*((Table1[[#This Row],[Gestation (days)]]+0.5)/7)^2)*Table1[[#This Row],[BW40_3705]],"")</f>
        <v/>
      </c>
      <c r="G8183" s="2" t="str">
        <f>IF(Table1[[#This Row],[Is Data Valid]]=TRUE,((Table1[[#This Row],[Birthweight (grams)]]/Table1[[#This Row],[BW_GA]])-1)/(Backend!$B$4/100*Table1[[#This Row],[BW40_3705]]),"")</f>
        <v/>
      </c>
      <c r="H8183" s="7" t="str">
        <f>IF(Table1[[#This Row],[Is Data Valid]]=TRUE,((Table1[[#This Row],[Birthweight (grams)]]*0.9/Table1[[#This Row],[BW_GA]])-1)/(Backend!$B$4/100*Table1[[#This Row],[BW40_3705]]),"")</f>
        <v/>
      </c>
      <c r="I8183" s="7" t="str">
        <f>IF(Table1[[#This Row],[Is Data Valid]]=TRUE,((Table1[[#This Row],[Birthweight (grams)]]*1.1/Table1[[#This Row],[BW_GA]])-1)/(Backend!$B$4/100*Table1[[#This Row],[BW40_3705]]),"")</f>
        <v/>
      </c>
      <c r="J8183" s="7" t="str">
        <f>IF(Table1[[#This Row],[Is Data Valid]]=TRUE,_xlfn.NORM.S.DIST(Table1[[#This Row],[Birthweight Z-Score]],TRUE)*100,"")</f>
        <v/>
      </c>
      <c r="K8183" s="7" t="str">
        <f>IF(Table1[[#This Row],[Is Data Valid]]=TRUE,_xlfn.NORM.S.DIST(Table1[[#This Row],[Birthweight Z-Score (BW-10%)]],TRUE)*100,"")</f>
        <v/>
      </c>
      <c r="L8183" s="7" t="str">
        <f>IF(Table1[[#This Row],[Is Data Valid]]=TRUE,_xlfn.NORM.S.DIST(Table1[[#This Row],[Birthweight Z-Score (BW+10%)]],TRUE)*100,"")</f>
        <v/>
      </c>
    </row>
    <row r="8184" spans="1:12" x14ac:dyDescent="0.35">
      <c r="A8184" s="3"/>
      <c r="B8184" s="2"/>
      <c r="C8184" s="2"/>
      <c r="D8184" s="2" t="b">
        <f>IF(AND(NOT(ISBLANK(Table1[[#This Row],[Fetal Sex (Male, Female or Unknown)]])),ISNUMBER(Table1[[#This Row],[Birthweight (grams)]]),ISNUMBER(Table1[[#This Row],[Gestation (days)]])),TRUE,FALSE)</f>
        <v>0</v>
      </c>
      <c r="E8184" s="2" t="str">
        <f>IF(Table1[[#This Row],[Is Data Valid]]=TRUE,IF(Table1[[#This Row],[Fetal Sex (Male, Female or Unknown)]]="Male",Backend!$C$6,IF(Table1[[#This Row],[Fetal Sex (Male, Female or Unknown)]]="Female",Backend!$C$7,IF(Table1[[#This Row],[Fetal Sex (Male, Female or Unknown)]]="Unknown",Backend!$C$8,"Error"))),"")</f>
        <v/>
      </c>
      <c r="F8184" s="8" t="str">
        <f>IF(Table1[[#This Row],[Is Data Valid]]=TRUE,EXP(0.578+0.332*((Table1[[#This Row],[Gestation (days)]]+0.5)/7)-0.00354*((Table1[[#This Row],[Gestation (days)]]+0.5)/7)^2)*Table1[[#This Row],[BW40_3705]],"")</f>
        <v/>
      </c>
      <c r="G8184" s="2" t="str">
        <f>IF(Table1[[#This Row],[Is Data Valid]]=TRUE,((Table1[[#This Row],[Birthweight (grams)]]/Table1[[#This Row],[BW_GA]])-1)/(Backend!$B$4/100*Table1[[#This Row],[BW40_3705]]),"")</f>
        <v/>
      </c>
      <c r="H8184" s="7" t="str">
        <f>IF(Table1[[#This Row],[Is Data Valid]]=TRUE,((Table1[[#This Row],[Birthweight (grams)]]*0.9/Table1[[#This Row],[BW_GA]])-1)/(Backend!$B$4/100*Table1[[#This Row],[BW40_3705]]),"")</f>
        <v/>
      </c>
      <c r="I8184" s="7" t="str">
        <f>IF(Table1[[#This Row],[Is Data Valid]]=TRUE,((Table1[[#This Row],[Birthweight (grams)]]*1.1/Table1[[#This Row],[BW_GA]])-1)/(Backend!$B$4/100*Table1[[#This Row],[BW40_3705]]),"")</f>
        <v/>
      </c>
      <c r="J8184" s="7" t="str">
        <f>IF(Table1[[#This Row],[Is Data Valid]]=TRUE,_xlfn.NORM.S.DIST(Table1[[#This Row],[Birthweight Z-Score]],TRUE)*100,"")</f>
        <v/>
      </c>
      <c r="K8184" s="7" t="str">
        <f>IF(Table1[[#This Row],[Is Data Valid]]=TRUE,_xlfn.NORM.S.DIST(Table1[[#This Row],[Birthweight Z-Score (BW-10%)]],TRUE)*100,"")</f>
        <v/>
      </c>
      <c r="L8184" s="7" t="str">
        <f>IF(Table1[[#This Row],[Is Data Valid]]=TRUE,_xlfn.NORM.S.DIST(Table1[[#This Row],[Birthweight Z-Score (BW+10%)]],TRUE)*100,"")</f>
        <v/>
      </c>
    </row>
    <row r="8185" spans="1:12" x14ac:dyDescent="0.35">
      <c r="A8185" s="3"/>
      <c r="B8185" s="2"/>
      <c r="C8185" s="2"/>
      <c r="D8185" s="2" t="b">
        <f>IF(AND(NOT(ISBLANK(Table1[[#This Row],[Fetal Sex (Male, Female or Unknown)]])),ISNUMBER(Table1[[#This Row],[Birthweight (grams)]]),ISNUMBER(Table1[[#This Row],[Gestation (days)]])),TRUE,FALSE)</f>
        <v>0</v>
      </c>
      <c r="E8185" s="2" t="str">
        <f>IF(Table1[[#This Row],[Is Data Valid]]=TRUE,IF(Table1[[#This Row],[Fetal Sex (Male, Female or Unknown)]]="Male",Backend!$C$6,IF(Table1[[#This Row],[Fetal Sex (Male, Female or Unknown)]]="Female",Backend!$C$7,IF(Table1[[#This Row],[Fetal Sex (Male, Female or Unknown)]]="Unknown",Backend!$C$8,"Error"))),"")</f>
        <v/>
      </c>
      <c r="F8185" s="8" t="str">
        <f>IF(Table1[[#This Row],[Is Data Valid]]=TRUE,EXP(0.578+0.332*((Table1[[#This Row],[Gestation (days)]]+0.5)/7)-0.00354*((Table1[[#This Row],[Gestation (days)]]+0.5)/7)^2)*Table1[[#This Row],[BW40_3705]],"")</f>
        <v/>
      </c>
      <c r="G8185" s="2" t="str">
        <f>IF(Table1[[#This Row],[Is Data Valid]]=TRUE,((Table1[[#This Row],[Birthweight (grams)]]/Table1[[#This Row],[BW_GA]])-1)/(Backend!$B$4/100*Table1[[#This Row],[BW40_3705]]),"")</f>
        <v/>
      </c>
      <c r="H8185" s="7" t="str">
        <f>IF(Table1[[#This Row],[Is Data Valid]]=TRUE,((Table1[[#This Row],[Birthweight (grams)]]*0.9/Table1[[#This Row],[BW_GA]])-1)/(Backend!$B$4/100*Table1[[#This Row],[BW40_3705]]),"")</f>
        <v/>
      </c>
      <c r="I8185" s="7" t="str">
        <f>IF(Table1[[#This Row],[Is Data Valid]]=TRUE,((Table1[[#This Row],[Birthweight (grams)]]*1.1/Table1[[#This Row],[BW_GA]])-1)/(Backend!$B$4/100*Table1[[#This Row],[BW40_3705]]),"")</f>
        <v/>
      </c>
      <c r="J8185" s="7" t="str">
        <f>IF(Table1[[#This Row],[Is Data Valid]]=TRUE,_xlfn.NORM.S.DIST(Table1[[#This Row],[Birthweight Z-Score]],TRUE)*100,"")</f>
        <v/>
      </c>
      <c r="K8185" s="7" t="str">
        <f>IF(Table1[[#This Row],[Is Data Valid]]=TRUE,_xlfn.NORM.S.DIST(Table1[[#This Row],[Birthweight Z-Score (BW-10%)]],TRUE)*100,"")</f>
        <v/>
      </c>
      <c r="L8185" s="7" t="str">
        <f>IF(Table1[[#This Row],[Is Data Valid]]=TRUE,_xlfn.NORM.S.DIST(Table1[[#This Row],[Birthweight Z-Score (BW+10%)]],TRUE)*100,"")</f>
        <v/>
      </c>
    </row>
    <row r="8186" spans="1:12" x14ac:dyDescent="0.35">
      <c r="A8186" s="3"/>
      <c r="B8186" s="2"/>
      <c r="C8186" s="2"/>
      <c r="D8186" s="2" t="b">
        <f>IF(AND(NOT(ISBLANK(Table1[[#This Row],[Fetal Sex (Male, Female or Unknown)]])),ISNUMBER(Table1[[#This Row],[Birthweight (grams)]]),ISNUMBER(Table1[[#This Row],[Gestation (days)]])),TRUE,FALSE)</f>
        <v>0</v>
      </c>
      <c r="E8186" s="2" t="str">
        <f>IF(Table1[[#This Row],[Is Data Valid]]=TRUE,IF(Table1[[#This Row],[Fetal Sex (Male, Female or Unknown)]]="Male",Backend!$C$6,IF(Table1[[#This Row],[Fetal Sex (Male, Female or Unknown)]]="Female",Backend!$C$7,IF(Table1[[#This Row],[Fetal Sex (Male, Female or Unknown)]]="Unknown",Backend!$C$8,"Error"))),"")</f>
        <v/>
      </c>
      <c r="F8186" s="8" t="str">
        <f>IF(Table1[[#This Row],[Is Data Valid]]=TRUE,EXP(0.578+0.332*((Table1[[#This Row],[Gestation (days)]]+0.5)/7)-0.00354*((Table1[[#This Row],[Gestation (days)]]+0.5)/7)^2)*Table1[[#This Row],[BW40_3705]],"")</f>
        <v/>
      </c>
      <c r="G8186" s="2" t="str">
        <f>IF(Table1[[#This Row],[Is Data Valid]]=TRUE,((Table1[[#This Row],[Birthweight (grams)]]/Table1[[#This Row],[BW_GA]])-1)/(Backend!$B$4/100*Table1[[#This Row],[BW40_3705]]),"")</f>
        <v/>
      </c>
      <c r="H8186" s="7" t="str">
        <f>IF(Table1[[#This Row],[Is Data Valid]]=TRUE,((Table1[[#This Row],[Birthweight (grams)]]*0.9/Table1[[#This Row],[BW_GA]])-1)/(Backend!$B$4/100*Table1[[#This Row],[BW40_3705]]),"")</f>
        <v/>
      </c>
      <c r="I8186" s="7" t="str">
        <f>IF(Table1[[#This Row],[Is Data Valid]]=TRUE,((Table1[[#This Row],[Birthweight (grams)]]*1.1/Table1[[#This Row],[BW_GA]])-1)/(Backend!$B$4/100*Table1[[#This Row],[BW40_3705]]),"")</f>
        <v/>
      </c>
      <c r="J8186" s="7" t="str">
        <f>IF(Table1[[#This Row],[Is Data Valid]]=TRUE,_xlfn.NORM.S.DIST(Table1[[#This Row],[Birthweight Z-Score]],TRUE)*100,"")</f>
        <v/>
      </c>
      <c r="K8186" s="7" t="str">
        <f>IF(Table1[[#This Row],[Is Data Valid]]=TRUE,_xlfn.NORM.S.DIST(Table1[[#This Row],[Birthweight Z-Score (BW-10%)]],TRUE)*100,"")</f>
        <v/>
      </c>
      <c r="L8186" s="7" t="str">
        <f>IF(Table1[[#This Row],[Is Data Valid]]=TRUE,_xlfn.NORM.S.DIST(Table1[[#This Row],[Birthweight Z-Score (BW+10%)]],TRUE)*100,"")</f>
        <v/>
      </c>
    </row>
    <row r="8187" spans="1:12" x14ac:dyDescent="0.35">
      <c r="A8187" s="3"/>
      <c r="B8187" s="2"/>
      <c r="C8187" s="2"/>
      <c r="D8187" s="2" t="b">
        <f>IF(AND(NOT(ISBLANK(Table1[[#This Row],[Fetal Sex (Male, Female or Unknown)]])),ISNUMBER(Table1[[#This Row],[Birthweight (grams)]]),ISNUMBER(Table1[[#This Row],[Gestation (days)]])),TRUE,FALSE)</f>
        <v>0</v>
      </c>
      <c r="E8187" s="2" t="str">
        <f>IF(Table1[[#This Row],[Is Data Valid]]=TRUE,IF(Table1[[#This Row],[Fetal Sex (Male, Female or Unknown)]]="Male",Backend!$C$6,IF(Table1[[#This Row],[Fetal Sex (Male, Female or Unknown)]]="Female",Backend!$C$7,IF(Table1[[#This Row],[Fetal Sex (Male, Female or Unknown)]]="Unknown",Backend!$C$8,"Error"))),"")</f>
        <v/>
      </c>
      <c r="F8187" s="8" t="str">
        <f>IF(Table1[[#This Row],[Is Data Valid]]=TRUE,EXP(0.578+0.332*((Table1[[#This Row],[Gestation (days)]]+0.5)/7)-0.00354*((Table1[[#This Row],[Gestation (days)]]+0.5)/7)^2)*Table1[[#This Row],[BW40_3705]],"")</f>
        <v/>
      </c>
      <c r="G8187" s="2" t="str">
        <f>IF(Table1[[#This Row],[Is Data Valid]]=TRUE,((Table1[[#This Row],[Birthweight (grams)]]/Table1[[#This Row],[BW_GA]])-1)/(Backend!$B$4/100*Table1[[#This Row],[BW40_3705]]),"")</f>
        <v/>
      </c>
      <c r="H8187" s="7" t="str">
        <f>IF(Table1[[#This Row],[Is Data Valid]]=TRUE,((Table1[[#This Row],[Birthweight (grams)]]*0.9/Table1[[#This Row],[BW_GA]])-1)/(Backend!$B$4/100*Table1[[#This Row],[BW40_3705]]),"")</f>
        <v/>
      </c>
      <c r="I8187" s="7" t="str">
        <f>IF(Table1[[#This Row],[Is Data Valid]]=TRUE,((Table1[[#This Row],[Birthweight (grams)]]*1.1/Table1[[#This Row],[BW_GA]])-1)/(Backend!$B$4/100*Table1[[#This Row],[BW40_3705]]),"")</f>
        <v/>
      </c>
      <c r="J8187" s="7" t="str">
        <f>IF(Table1[[#This Row],[Is Data Valid]]=TRUE,_xlfn.NORM.S.DIST(Table1[[#This Row],[Birthweight Z-Score]],TRUE)*100,"")</f>
        <v/>
      </c>
      <c r="K8187" s="7" t="str">
        <f>IF(Table1[[#This Row],[Is Data Valid]]=TRUE,_xlfn.NORM.S.DIST(Table1[[#This Row],[Birthweight Z-Score (BW-10%)]],TRUE)*100,"")</f>
        <v/>
      </c>
      <c r="L8187" s="7" t="str">
        <f>IF(Table1[[#This Row],[Is Data Valid]]=TRUE,_xlfn.NORM.S.DIST(Table1[[#This Row],[Birthweight Z-Score (BW+10%)]],TRUE)*100,"")</f>
        <v/>
      </c>
    </row>
    <row r="8188" spans="1:12" x14ac:dyDescent="0.35">
      <c r="A8188" s="3"/>
      <c r="B8188" s="2"/>
      <c r="C8188" s="2"/>
      <c r="D8188" s="2" t="b">
        <f>IF(AND(NOT(ISBLANK(Table1[[#This Row],[Fetal Sex (Male, Female or Unknown)]])),ISNUMBER(Table1[[#This Row],[Birthweight (grams)]]),ISNUMBER(Table1[[#This Row],[Gestation (days)]])),TRUE,FALSE)</f>
        <v>0</v>
      </c>
      <c r="E8188" s="2" t="str">
        <f>IF(Table1[[#This Row],[Is Data Valid]]=TRUE,IF(Table1[[#This Row],[Fetal Sex (Male, Female or Unknown)]]="Male",Backend!$C$6,IF(Table1[[#This Row],[Fetal Sex (Male, Female or Unknown)]]="Female",Backend!$C$7,IF(Table1[[#This Row],[Fetal Sex (Male, Female or Unknown)]]="Unknown",Backend!$C$8,"Error"))),"")</f>
        <v/>
      </c>
      <c r="F8188" s="8" t="str">
        <f>IF(Table1[[#This Row],[Is Data Valid]]=TRUE,EXP(0.578+0.332*((Table1[[#This Row],[Gestation (days)]]+0.5)/7)-0.00354*((Table1[[#This Row],[Gestation (days)]]+0.5)/7)^2)*Table1[[#This Row],[BW40_3705]],"")</f>
        <v/>
      </c>
      <c r="G8188" s="2" t="str">
        <f>IF(Table1[[#This Row],[Is Data Valid]]=TRUE,((Table1[[#This Row],[Birthweight (grams)]]/Table1[[#This Row],[BW_GA]])-1)/(Backend!$B$4/100*Table1[[#This Row],[BW40_3705]]),"")</f>
        <v/>
      </c>
      <c r="H8188" s="7" t="str">
        <f>IF(Table1[[#This Row],[Is Data Valid]]=TRUE,((Table1[[#This Row],[Birthweight (grams)]]*0.9/Table1[[#This Row],[BW_GA]])-1)/(Backend!$B$4/100*Table1[[#This Row],[BW40_3705]]),"")</f>
        <v/>
      </c>
      <c r="I8188" s="7" t="str">
        <f>IF(Table1[[#This Row],[Is Data Valid]]=TRUE,((Table1[[#This Row],[Birthweight (grams)]]*1.1/Table1[[#This Row],[BW_GA]])-1)/(Backend!$B$4/100*Table1[[#This Row],[BW40_3705]]),"")</f>
        <v/>
      </c>
      <c r="J8188" s="7" t="str">
        <f>IF(Table1[[#This Row],[Is Data Valid]]=TRUE,_xlfn.NORM.S.DIST(Table1[[#This Row],[Birthweight Z-Score]],TRUE)*100,"")</f>
        <v/>
      </c>
      <c r="K8188" s="7" t="str">
        <f>IF(Table1[[#This Row],[Is Data Valid]]=TRUE,_xlfn.NORM.S.DIST(Table1[[#This Row],[Birthweight Z-Score (BW-10%)]],TRUE)*100,"")</f>
        <v/>
      </c>
      <c r="L8188" s="7" t="str">
        <f>IF(Table1[[#This Row],[Is Data Valid]]=TRUE,_xlfn.NORM.S.DIST(Table1[[#This Row],[Birthweight Z-Score (BW+10%)]],TRUE)*100,"")</f>
        <v/>
      </c>
    </row>
    <row r="8189" spans="1:12" x14ac:dyDescent="0.35">
      <c r="A8189" s="3"/>
      <c r="B8189" s="2"/>
      <c r="C8189" s="2"/>
      <c r="D8189" s="2" t="b">
        <f>IF(AND(NOT(ISBLANK(Table1[[#This Row],[Fetal Sex (Male, Female or Unknown)]])),ISNUMBER(Table1[[#This Row],[Birthweight (grams)]]),ISNUMBER(Table1[[#This Row],[Gestation (days)]])),TRUE,FALSE)</f>
        <v>0</v>
      </c>
      <c r="E8189" s="2" t="str">
        <f>IF(Table1[[#This Row],[Is Data Valid]]=TRUE,IF(Table1[[#This Row],[Fetal Sex (Male, Female or Unknown)]]="Male",Backend!$C$6,IF(Table1[[#This Row],[Fetal Sex (Male, Female or Unknown)]]="Female",Backend!$C$7,IF(Table1[[#This Row],[Fetal Sex (Male, Female or Unknown)]]="Unknown",Backend!$C$8,"Error"))),"")</f>
        <v/>
      </c>
      <c r="F8189" s="8" t="str">
        <f>IF(Table1[[#This Row],[Is Data Valid]]=TRUE,EXP(0.578+0.332*((Table1[[#This Row],[Gestation (days)]]+0.5)/7)-0.00354*((Table1[[#This Row],[Gestation (days)]]+0.5)/7)^2)*Table1[[#This Row],[BW40_3705]],"")</f>
        <v/>
      </c>
      <c r="G8189" s="2" t="str">
        <f>IF(Table1[[#This Row],[Is Data Valid]]=TRUE,((Table1[[#This Row],[Birthweight (grams)]]/Table1[[#This Row],[BW_GA]])-1)/(Backend!$B$4/100*Table1[[#This Row],[BW40_3705]]),"")</f>
        <v/>
      </c>
      <c r="H8189" s="7" t="str">
        <f>IF(Table1[[#This Row],[Is Data Valid]]=TRUE,((Table1[[#This Row],[Birthweight (grams)]]*0.9/Table1[[#This Row],[BW_GA]])-1)/(Backend!$B$4/100*Table1[[#This Row],[BW40_3705]]),"")</f>
        <v/>
      </c>
      <c r="I8189" s="7" t="str">
        <f>IF(Table1[[#This Row],[Is Data Valid]]=TRUE,((Table1[[#This Row],[Birthweight (grams)]]*1.1/Table1[[#This Row],[BW_GA]])-1)/(Backend!$B$4/100*Table1[[#This Row],[BW40_3705]]),"")</f>
        <v/>
      </c>
      <c r="J8189" s="7" t="str">
        <f>IF(Table1[[#This Row],[Is Data Valid]]=TRUE,_xlfn.NORM.S.DIST(Table1[[#This Row],[Birthweight Z-Score]],TRUE)*100,"")</f>
        <v/>
      </c>
      <c r="K8189" s="7" t="str">
        <f>IF(Table1[[#This Row],[Is Data Valid]]=TRUE,_xlfn.NORM.S.DIST(Table1[[#This Row],[Birthweight Z-Score (BW-10%)]],TRUE)*100,"")</f>
        <v/>
      </c>
      <c r="L8189" s="7" t="str">
        <f>IF(Table1[[#This Row],[Is Data Valid]]=TRUE,_xlfn.NORM.S.DIST(Table1[[#This Row],[Birthweight Z-Score (BW+10%)]],TRUE)*100,"")</f>
        <v/>
      </c>
    </row>
    <row r="8190" spans="1:12" x14ac:dyDescent="0.35">
      <c r="A8190" s="3"/>
      <c r="B8190" s="2"/>
      <c r="C8190" s="2"/>
      <c r="D8190" s="2" t="b">
        <f>IF(AND(NOT(ISBLANK(Table1[[#This Row],[Fetal Sex (Male, Female or Unknown)]])),ISNUMBER(Table1[[#This Row],[Birthweight (grams)]]),ISNUMBER(Table1[[#This Row],[Gestation (days)]])),TRUE,FALSE)</f>
        <v>0</v>
      </c>
      <c r="E8190" s="2" t="str">
        <f>IF(Table1[[#This Row],[Is Data Valid]]=TRUE,IF(Table1[[#This Row],[Fetal Sex (Male, Female or Unknown)]]="Male",Backend!$C$6,IF(Table1[[#This Row],[Fetal Sex (Male, Female or Unknown)]]="Female",Backend!$C$7,IF(Table1[[#This Row],[Fetal Sex (Male, Female or Unknown)]]="Unknown",Backend!$C$8,"Error"))),"")</f>
        <v/>
      </c>
      <c r="F8190" s="8" t="str">
        <f>IF(Table1[[#This Row],[Is Data Valid]]=TRUE,EXP(0.578+0.332*((Table1[[#This Row],[Gestation (days)]]+0.5)/7)-0.00354*((Table1[[#This Row],[Gestation (days)]]+0.5)/7)^2)*Table1[[#This Row],[BW40_3705]],"")</f>
        <v/>
      </c>
      <c r="G8190" s="2" t="str">
        <f>IF(Table1[[#This Row],[Is Data Valid]]=TRUE,((Table1[[#This Row],[Birthweight (grams)]]/Table1[[#This Row],[BW_GA]])-1)/(Backend!$B$4/100*Table1[[#This Row],[BW40_3705]]),"")</f>
        <v/>
      </c>
      <c r="H8190" s="7" t="str">
        <f>IF(Table1[[#This Row],[Is Data Valid]]=TRUE,((Table1[[#This Row],[Birthweight (grams)]]*0.9/Table1[[#This Row],[BW_GA]])-1)/(Backend!$B$4/100*Table1[[#This Row],[BW40_3705]]),"")</f>
        <v/>
      </c>
      <c r="I8190" s="7" t="str">
        <f>IF(Table1[[#This Row],[Is Data Valid]]=TRUE,((Table1[[#This Row],[Birthweight (grams)]]*1.1/Table1[[#This Row],[BW_GA]])-1)/(Backend!$B$4/100*Table1[[#This Row],[BW40_3705]]),"")</f>
        <v/>
      </c>
      <c r="J8190" s="7" t="str">
        <f>IF(Table1[[#This Row],[Is Data Valid]]=TRUE,_xlfn.NORM.S.DIST(Table1[[#This Row],[Birthweight Z-Score]],TRUE)*100,"")</f>
        <v/>
      </c>
      <c r="K8190" s="7" t="str">
        <f>IF(Table1[[#This Row],[Is Data Valid]]=TRUE,_xlfn.NORM.S.DIST(Table1[[#This Row],[Birthweight Z-Score (BW-10%)]],TRUE)*100,"")</f>
        <v/>
      </c>
      <c r="L8190" s="7" t="str">
        <f>IF(Table1[[#This Row],[Is Data Valid]]=TRUE,_xlfn.NORM.S.DIST(Table1[[#This Row],[Birthweight Z-Score (BW+10%)]],TRUE)*100,"")</f>
        <v/>
      </c>
    </row>
    <row r="8191" spans="1:12" x14ac:dyDescent="0.35">
      <c r="A8191" s="3"/>
      <c r="B8191" s="2"/>
      <c r="C8191" s="2"/>
      <c r="D8191" s="2" t="b">
        <f>IF(AND(NOT(ISBLANK(Table1[[#This Row],[Fetal Sex (Male, Female or Unknown)]])),ISNUMBER(Table1[[#This Row],[Birthweight (grams)]]),ISNUMBER(Table1[[#This Row],[Gestation (days)]])),TRUE,FALSE)</f>
        <v>0</v>
      </c>
      <c r="E8191" s="2" t="str">
        <f>IF(Table1[[#This Row],[Is Data Valid]]=TRUE,IF(Table1[[#This Row],[Fetal Sex (Male, Female or Unknown)]]="Male",Backend!$C$6,IF(Table1[[#This Row],[Fetal Sex (Male, Female or Unknown)]]="Female",Backend!$C$7,IF(Table1[[#This Row],[Fetal Sex (Male, Female or Unknown)]]="Unknown",Backend!$C$8,"Error"))),"")</f>
        <v/>
      </c>
      <c r="F8191" s="8" t="str">
        <f>IF(Table1[[#This Row],[Is Data Valid]]=TRUE,EXP(0.578+0.332*((Table1[[#This Row],[Gestation (days)]]+0.5)/7)-0.00354*((Table1[[#This Row],[Gestation (days)]]+0.5)/7)^2)*Table1[[#This Row],[BW40_3705]],"")</f>
        <v/>
      </c>
      <c r="G8191" s="2" t="str">
        <f>IF(Table1[[#This Row],[Is Data Valid]]=TRUE,((Table1[[#This Row],[Birthweight (grams)]]/Table1[[#This Row],[BW_GA]])-1)/(Backend!$B$4/100*Table1[[#This Row],[BW40_3705]]),"")</f>
        <v/>
      </c>
      <c r="H8191" s="7" t="str">
        <f>IF(Table1[[#This Row],[Is Data Valid]]=TRUE,((Table1[[#This Row],[Birthweight (grams)]]*0.9/Table1[[#This Row],[BW_GA]])-1)/(Backend!$B$4/100*Table1[[#This Row],[BW40_3705]]),"")</f>
        <v/>
      </c>
      <c r="I8191" s="7" t="str">
        <f>IF(Table1[[#This Row],[Is Data Valid]]=TRUE,((Table1[[#This Row],[Birthweight (grams)]]*1.1/Table1[[#This Row],[BW_GA]])-1)/(Backend!$B$4/100*Table1[[#This Row],[BW40_3705]]),"")</f>
        <v/>
      </c>
      <c r="J8191" s="7" t="str">
        <f>IF(Table1[[#This Row],[Is Data Valid]]=TRUE,_xlfn.NORM.S.DIST(Table1[[#This Row],[Birthweight Z-Score]],TRUE)*100,"")</f>
        <v/>
      </c>
      <c r="K8191" s="7" t="str">
        <f>IF(Table1[[#This Row],[Is Data Valid]]=TRUE,_xlfn.NORM.S.DIST(Table1[[#This Row],[Birthweight Z-Score (BW-10%)]],TRUE)*100,"")</f>
        <v/>
      </c>
      <c r="L8191" s="7" t="str">
        <f>IF(Table1[[#This Row],[Is Data Valid]]=TRUE,_xlfn.NORM.S.DIST(Table1[[#This Row],[Birthweight Z-Score (BW+10%)]],TRUE)*100,"")</f>
        <v/>
      </c>
    </row>
    <row r="8192" spans="1:12" x14ac:dyDescent="0.35">
      <c r="A8192" s="3"/>
      <c r="B8192" s="2"/>
      <c r="C8192" s="2"/>
      <c r="D8192" s="2" t="b">
        <f>IF(AND(NOT(ISBLANK(Table1[[#This Row],[Fetal Sex (Male, Female or Unknown)]])),ISNUMBER(Table1[[#This Row],[Birthweight (grams)]]),ISNUMBER(Table1[[#This Row],[Gestation (days)]])),TRUE,FALSE)</f>
        <v>0</v>
      </c>
      <c r="E8192" s="2" t="str">
        <f>IF(Table1[[#This Row],[Is Data Valid]]=TRUE,IF(Table1[[#This Row],[Fetal Sex (Male, Female or Unknown)]]="Male",Backend!$C$6,IF(Table1[[#This Row],[Fetal Sex (Male, Female or Unknown)]]="Female",Backend!$C$7,IF(Table1[[#This Row],[Fetal Sex (Male, Female or Unknown)]]="Unknown",Backend!$C$8,"Error"))),"")</f>
        <v/>
      </c>
      <c r="F8192" s="8" t="str">
        <f>IF(Table1[[#This Row],[Is Data Valid]]=TRUE,EXP(0.578+0.332*((Table1[[#This Row],[Gestation (days)]]+0.5)/7)-0.00354*((Table1[[#This Row],[Gestation (days)]]+0.5)/7)^2)*Table1[[#This Row],[BW40_3705]],"")</f>
        <v/>
      </c>
      <c r="G8192" s="2" t="str">
        <f>IF(Table1[[#This Row],[Is Data Valid]]=TRUE,((Table1[[#This Row],[Birthweight (grams)]]/Table1[[#This Row],[BW_GA]])-1)/(Backend!$B$4/100*Table1[[#This Row],[BW40_3705]]),"")</f>
        <v/>
      </c>
      <c r="H8192" s="7" t="str">
        <f>IF(Table1[[#This Row],[Is Data Valid]]=TRUE,((Table1[[#This Row],[Birthweight (grams)]]*0.9/Table1[[#This Row],[BW_GA]])-1)/(Backend!$B$4/100*Table1[[#This Row],[BW40_3705]]),"")</f>
        <v/>
      </c>
      <c r="I8192" s="7" t="str">
        <f>IF(Table1[[#This Row],[Is Data Valid]]=TRUE,((Table1[[#This Row],[Birthweight (grams)]]*1.1/Table1[[#This Row],[BW_GA]])-1)/(Backend!$B$4/100*Table1[[#This Row],[BW40_3705]]),"")</f>
        <v/>
      </c>
      <c r="J8192" s="7" t="str">
        <f>IF(Table1[[#This Row],[Is Data Valid]]=TRUE,_xlfn.NORM.S.DIST(Table1[[#This Row],[Birthweight Z-Score]],TRUE)*100,"")</f>
        <v/>
      </c>
      <c r="K8192" s="7" t="str">
        <f>IF(Table1[[#This Row],[Is Data Valid]]=TRUE,_xlfn.NORM.S.DIST(Table1[[#This Row],[Birthweight Z-Score (BW-10%)]],TRUE)*100,"")</f>
        <v/>
      </c>
      <c r="L8192" s="7" t="str">
        <f>IF(Table1[[#This Row],[Is Data Valid]]=TRUE,_xlfn.NORM.S.DIST(Table1[[#This Row],[Birthweight Z-Score (BW+10%)]],TRUE)*100,"")</f>
        <v/>
      </c>
    </row>
    <row r="8193" spans="1:12" x14ac:dyDescent="0.35">
      <c r="A8193" s="3"/>
      <c r="B8193" s="2"/>
      <c r="C8193" s="2"/>
      <c r="D8193" s="2" t="b">
        <f>IF(AND(NOT(ISBLANK(Table1[[#This Row],[Fetal Sex (Male, Female or Unknown)]])),ISNUMBER(Table1[[#This Row],[Birthweight (grams)]]),ISNUMBER(Table1[[#This Row],[Gestation (days)]])),TRUE,FALSE)</f>
        <v>0</v>
      </c>
      <c r="E8193" s="2" t="str">
        <f>IF(Table1[[#This Row],[Is Data Valid]]=TRUE,IF(Table1[[#This Row],[Fetal Sex (Male, Female or Unknown)]]="Male",Backend!$C$6,IF(Table1[[#This Row],[Fetal Sex (Male, Female or Unknown)]]="Female",Backend!$C$7,IF(Table1[[#This Row],[Fetal Sex (Male, Female or Unknown)]]="Unknown",Backend!$C$8,"Error"))),"")</f>
        <v/>
      </c>
      <c r="F8193" s="8" t="str">
        <f>IF(Table1[[#This Row],[Is Data Valid]]=TRUE,EXP(0.578+0.332*((Table1[[#This Row],[Gestation (days)]]+0.5)/7)-0.00354*((Table1[[#This Row],[Gestation (days)]]+0.5)/7)^2)*Table1[[#This Row],[BW40_3705]],"")</f>
        <v/>
      </c>
      <c r="G8193" s="2" t="str">
        <f>IF(Table1[[#This Row],[Is Data Valid]]=TRUE,((Table1[[#This Row],[Birthweight (grams)]]/Table1[[#This Row],[BW_GA]])-1)/(Backend!$B$4/100*Table1[[#This Row],[BW40_3705]]),"")</f>
        <v/>
      </c>
      <c r="H8193" s="7" t="str">
        <f>IF(Table1[[#This Row],[Is Data Valid]]=TRUE,((Table1[[#This Row],[Birthweight (grams)]]*0.9/Table1[[#This Row],[BW_GA]])-1)/(Backend!$B$4/100*Table1[[#This Row],[BW40_3705]]),"")</f>
        <v/>
      </c>
      <c r="I8193" s="7" t="str">
        <f>IF(Table1[[#This Row],[Is Data Valid]]=TRUE,((Table1[[#This Row],[Birthweight (grams)]]*1.1/Table1[[#This Row],[BW_GA]])-1)/(Backend!$B$4/100*Table1[[#This Row],[BW40_3705]]),"")</f>
        <v/>
      </c>
      <c r="J8193" s="7" t="str">
        <f>IF(Table1[[#This Row],[Is Data Valid]]=TRUE,_xlfn.NORM.S.DIST(Table1[[#This Row],[Birthweight Z-Score]],TRUE)*100,"")</f>
        <v/>
      </c>
      <c r="K8193" s="7" t="str">
        <f>IF(Table1[[#This Row],[Is Data Valid]]=TRUE,_xlfn.NORM.S.DIST(Table1[[#This Row],[Birthweight Z-Score (BW-10%)]],TRUE)*100,"")</f>
        <v/>
      </c>
      <c r="L8193" s="7" t="str">
        <f>IF(Table1[[#This Row],[Is Data Valid]]=TRUE,_xlfn.NORM.S.DIST(Table1[[#This Row],[Birthweight Z-Score (BW+10%)]],TRUE)*100,"")</f>
        <v/>
      </c>
    </row>
    <row r="8194" spans="1:12" x14ac:dyDescent="0.35">
      <c r="A8194" s="3"/>
      <c r="B8194" s="2"/>
      <c r="C8194" s="2"/>
      <c r="D8194" s="2" t="b">
        <f>IF(AND(NOT(ISBLANK(Table1[[#This Row],[Fetal Sex (Male, Female or Unknown)]])),ISNUMBER(Table1[[#This Row],[Birthweight (grams)]]),ISNUMBER(Table1[[#This Row],[Gestation (days)]])),TRUE,FALSE)</f>
        <v>0</v>
      </c>
      <c r="E8194" s="2" t="str">
        <f>IF(Table1[[#This Row],[Is Data Valid]]=TRUE,IF(Table1[[#This Row],[Fetal Sex (Male, Female or Unknown)]]="Male",Backend!$C$6,IF(Table1[[#This Row],[Fetal Sex (Male, Female or Unknown)]]="Female",Backend!$C$7,IF(Table1[[#This Row],[Fetal Sex (Male, Female or Unknown)]]="Unknown",Backend!$C$8,"Error"))),"")</f>
        <v/>
      </c>
      <c r="F8194" s="8" t="str">
        <f>IF(Table1[[#This Row],[Is Data Valid]]=TRUE,EXP(0.578+0.332*((Table1[[#This Row],[Gestation (days)]]+0.5)/7)-0.00354*((Table1[[#This Row],[Gestation (days)]]+0.5)/7)^2)*Table1[[#This Row],[BW40_3705]],"")</f>
        <v/>
      </c>
      <c r="G8194" s="2" t="str">
        <f>IF(Table1[[#This Row],[Is Data Valid]]=TRUE,((Table1[[#This Row],[Birthweight (grams)]]/Table1[[#This Row],[BW_GA]])-1)/(Backend!$B$4/100*Table1[[#This Row],[BW40_3705]]),"")</f>
        <v/>
      </c>
      <c r="H8194" s="7" t="str">
        <f>IF(Table1[[#This Row],[Is Data Valid]]=TRUE,((Table1[[#This Row],[Birthweight (grams)]]*0.9/Table1[[#This Row],[BW_GA]])-1)/(Backend!$B$4/100*Table1[[#This Row],[BW40_3705]]),"")</f>
        <v/>
      </c>
      <c r="I8194" s="7" t="str">
        <f>IF(Table1[[#This Row],[Is Data Valid]]=TRUE,((Table1[[#This Row],[Birthweight (grams)]]*1.1/Table1[[#This Row],[BW_GA]])-1)/(Backend!$B$4/100*Table1[[#This Row],[BW40_3705]]),"")</f>
        <v/>
      </c>
      <c r="J8194" s="7" t="str">
        <f>IF(Table1[[#This Row],[Is Data Valid]]=TRUE,_xlfn.NORM.S.DIST(Table1[[#This Row],[Birthweight Z-Score]],TRUE)*100,"")</f>
        <v/>
      </c>
      <c r="K8194" s="7" t="str">
        <f>IF(Table1[[#This Row],[Is Data Valid]]=TRUE,_xlfn.NORM.S.DIST(Table1[[#This Row],[Birthweight Z-Score (BW-10%)]],TRUE)*100,"")</f>
        <v/>
      </c>
      <c r="L8194" s="7" t="str">
        <f>IF(Table1[[#This Row],[Is Data Valid]]=TRUE,_xlfn.NORM.S.DIST(Table1[[#This Row],[Birthweight Z-Score (BW+10%)]],TRUE)*100,"")</f>
        <v/>
      </c>
    </row>
    <row r="8195" spans="1:12" x14ac:dyDescent="0.35">
      <c r="A8195" s="3"/>
      <c r="B8195" s="2"/>
      <c r="C8195" s="2"/>
      <c r="D8195" s="2" t="b">
        <f>IF(AND(NOT(ISBLANK(Table1[[#This Row],[Fetal Sex (Male, Female or Unknown)]])),ISNUMBER(Table1[[#This Row],[Birthweight (grams)]]),ISNUMBER(Table1[[#This Row],[Gestation (days)]])),TRUE,FALSE)</f>
        <v>0</v>
      </c>
      <c r="E8195" s="2" t="str">
        <f>IF(Table1[[#This Row],[Is Data Valid]]=TRUE,IF(Table1[[#This Row],[Fetal Sex (Male, Female or Unknown)]]="Male",Backend!$C$6,IF(Table1[[#This Row],[Fetal Sex (Male, Female or Unknown)]]="Female",Backend!$C$7,IF(Table1[[#This Row],[Fetal Sex (Male, Female or Unknown)]]="Unknown",Backend!$C$8,"Error"))),"")</f>
        <v/>
      </c>
      <c r="F8195" s="8" t="str">
        <f>IF(Table1[[#This Row],[Is Data Valid]]=TRUE,EXP(0.578+0.332*((Table1[[#This Row],[Gestation (days)]]+0.5)/7)-0.00354*((Table1[[#This Row],[Gestation (days)]]+0.5)/7)^2)*Table1[[#This Row],[BW40_3705]],"")</f>
        <v/>
      </c>
      <c r="G8195" s="2" t="str">
        <f>IF(Table1[[#This Row],[Is Data Valid]]=TRUE,((Table1[[#This Row],[Birthweight (grams)]]/Table1[[#This Row],[BW_GA]])-1)/(Backend!$B$4/100*Table1[[#This Row],[BW40_3705]]),"")</f>
        <v/>
      </c>
      <c r="H8195" s="7" t="str">
        <f>IF(Table1[[#This Row],[Is Data Valid]]=TRUE,((Table1[[#This Row],[Birthweight (grams)]]*0.9/Table1[[#This Row],[BW_GA]])-1)/(Backend!$B$4/100*Table1[[#This Row],[BW40_3705]]),"")</f>
        <v/>
      </c>
      <c r="I8195" s="7" t="str">
        <f>IF(Table1[[#This Row],[Is Data Valid]]=TRUE,((Table1[[#This Row],[Birthweight (grams)]]*1.1/Table1[[#This Row],[BW_GA]])-1)/(Backend!$B$4/100*Table1[[#This Row],[BW40_3705]]),"")</f>
        <v/>
      </c>
      <c r="J8195" s="7" t="str">
        <f>IF(Table1[[#This Row],[Is Data Valid]]=TRUE,_xlfn.NORM.S.DIST(Table1[[#This Row],[Birthweight Z-Score]],TRUE)*100,"")</f>
        <v/>
      </c>
      <c r="K8195" s="7" t="str">
        <f>IF(Table1[[#This Row],[Is Data Valid]]=TRUE,_xlfn.NORM.S.DIST(Table1[[#This Row],[Birthweight Z-Score (BW-10%)]],TRUE)*100,"")</f>
        <v/>
      </c>
      <c r="L8195" s="7" t="str">
        <f>IF(Table1[[#This Row],[Is Data Valid]]=TRUE,_xlfn.NORM.S.DIST(Table1[[#This Row],[Birthweight Z-Score (BW+10%)]],TRUE)*100,"")</f>
        <v/>
      </c>
    </row>
    <row r="8196" spans="1:12" x14ac:dyDescent="0.35">
      <c r="A8196" s="3"/>
      <c r="B8196" s="2"/>
      <c r="C8196" s="2"/>
      <c r="D8196" s="2" t="b">
        <f>IF(AND(NOT(ISBLANK(Table1[[#This Row],[Fetal Sex (Male, Female or Unknown)]])),ISNUMBER(Table1[[#This Row],[Birthweight (grams)]]),ISNUMBER(Table1[[#This Row],[Gestation (days)]])),TRUE,FALSE)</f>
        <v>0</v>
      </c>
      <c r="E8196" s="2" t="str">
        <f>IF(Table1[[#This Row],[Is Data Valid]]=TRUE,IF(Table1[[#This Row],[Fetal Sex (Male, Female or Unknown)]]="Male",Backend!$C$6,IF(Table1[[#This Row],[Fetal Sex (Male, Female or Unknown)]]="Female",Backend!$C$7,IF(Table1[[#This Row],[Fetal Sex (Male, Female or Unknown)]]="Unknown",Backend!$C$8,"Error"))),"")</f>
        <v/>
      </c>
      <c r="F8196" s="8" t="str">
        <f>IF(Table1[[#This Row],[Is Data Valid]]=TRUE,EXP(0.578+0.332*((Table1[[#This Row],[Gestation (days)]]+0.5)/7)-0.00354*((Table1[[#This Row],[Gestation (days)]]+0.5)/7)^2)*Table1[[#This Row],[BW40_3705]],"")</f>
        <v/>
      </c>
      <c r="G8196" s="2" t="str">
        <f>IF(Table1[[#This Row],[Is Data Valid]]=TRUE,((Table1[[#This Row],[Birthweight (grams)]]/Table1[[#This Row],[BW_GA]])-1)/(Backend!$B$4/100*Table1[[#This Row],[BW40_3705]]),"")</f>
        <v/>
      </c>
      <c r="H8196" s="7" t="str">
        <f>IF(Table1[[#This Row],[Is Data Valid]]=TRUE,((Table1[[#This Row],[Birthweight (grams)]]*0.9/Table1[[#This Row],[BW_GA]])-1)/(Backend!$B$4/100*Table1[[#This Row],[BW40_3705]]),"")</f>
        <v/>
      </c>
      <c r="I8196" s="7" t="str">
        <f>IF(Table1[[#This Row],[Is Data Valid]]=TRUE,((Table1[[#This Row],[Birthweight (grams)]]*1.1/Table1[[#This Row],[BW_GA]])-1)/(Backend!$B$4/100*Table1[[#This Row],[BW40_3705]]),"")</f>
        <v/>
      </c>
      <c r="J8196" s="7" t="str">
        <f>IF(Table1[[#This Row],[Is Data Valid]]=TRUE,_xlfn.NORM.S.DIST(Table1[[#This Row],[Birthweight Z-Score]],TRUE)*100,"")</f>
        <v/>
      </c>
      <c r="K8196" s="7" t="str">
        <f>IF(Table1[[#This Row],[Is Data Valid]]=TRUE,_xlfn.NORM.S.DIST(Table1[[#This Row],[Birthweight Z-Score (BW-10%)]],TRUE)*100,"")</f>
        <v/>
      </c>
      <c r="L8196" s="7" t="str">
        <f>IF(Table1[[#This Row],[Is Data Valid]]=TRUE,_xlfn.NORM.S.DIST(Table1[[#This Row],[Birthweight Z-Score (BW+10%)]],TRUE)*100,"")</f>
        <v/>
      </c>
    </row>
    <row r="8197" spans="1:12" x14ac:dyDescent="0.35">
      <c r="A8197" s="3"/>
      <c r="B8197" s="2"/>
      <c r="C8197" s="2"/>
      <c r="D8197" s="2" t="b">
        <f>IF(AND(NOT(ISBLANK(Table1[[#This Row],[Fetal Sex (Male, Female or Unknown)]])),ISNUMBER(Table1[[#This Row],[Birthweight (grams)]]),ISNUMBER(Table1[[#This Row],[Gestation (days)]])),TRUE,FALSE)</f>
        <v>0</v>
      </c>
      <c r="E8197" s="2" t="str">
        <f>IF(Table1[[#This Row],[Is Data Valid]]=TRUE,IF(Table1[[#This Row],[Fetal Sex (Male, Female or Unknown)]]="Male",Backend!$C$6,IF(Table1[[#This Row],[Fetal Sex (Male, Female or Unknown)]]="Female",Backend!$C$7,IF(Table1[[#This Row],[Fetal Sex (Male, Female or Unknown)]]="Unknown",Backend!$C$8,"Error"))),"")</f>
        <v/>
      </c>
      <c r="F8197" s="8" t="str">
        <f>IF(Table1[[#This Row],[Is Data Valid]]=TRUE,EXP(0.578+0.332*((Table1[[#This Row],[Gestation (days)]]+0.5)/7)-0.00354*((Table1[[#This Row],[Gestation (days)]]+0.5)/7)^2)*Table1[[#This Row],[BW40_3705]],"")</f>
        <v/>
      </c>
      <c r="G8197" s="2" t="str">
        <f>IF(Table1[[#This Row],[Is Data Valid]]=TRUE,((Table1[[#This Row],[Birthweight (grams)]]/Table1[[#This Row],[BW_GA]])-1)/(Backend!$B$4/100*Table1[[#This Row],[BW40_3705]]),"")</f>
        <v/>
      </c>
      <c r="H8197" s="7" t="str">
        <f>IF(Table1[[#This Row],[Is Data Valid]]=TRUE,((Table1[[#This Row],[Birthweight (grams)]]*0.9/Table1[[#This Row],[BW_GA]])-1)/(Backend!$B$4/100*Table1[[#This Row],[BW40_3705]]),"")</f>
        <v/>
      </c>
      <c r="I8197" s="7" t="str">
        <f>IF(Table1[[#This Row],[Is Data Valid]]=TRUE,((Table1[[#This Row],[Birthweight (grams)]]*1.1/Table1[[#This Row],[BW_GA]])-1)/(Backend!$B$4/100*Table1[[#This Row],[BW40_3705]]),"")</f>
        <v/>
      </c>
      <c r="J8197" s="7" t="str">
        <f>IF(Table1[[#This Row],[Is Data Valid]]=TRUE,_xlfn.NORM.S.DIST(Table1[[#This Row],[Birthweight Z-Score]],TRUE)*100,"")</f>
        <v/>
      </c>
      <c r="K8197" s="7" t="str">
        <f>IF(Table1[[#This Row],[Is Data Valid]]=TRUE,_xlfn.NORM.S.DIST(Table1[[#This Row],[Birthweight Z-Score (BW-10%)]],TRUE)*100,"")</f>
        <v/>
      </c>
      <c r="L8197" s="7" t="str">
        <f>IF(Table1[[#This Row],[Is Data Valid]]=TRUE,_xlfn.NORM.S.DIST(Table1[[#This Row],[Birthweight Z-Score (BW+10%)]],TRUE)*100,"")</f>
        <v/>
      </c>
    </row>
    <row r="8198" spans="1:12" x14ac:dyDescent="0.35">
      <c r="A8198" s="3"/>
      <c r="B8198" s="2"/>
      <c r="C8198" s="2"/>
      <c r="D8198" s="2" t="b">
        <f>IF(AND(NOT(ISBLANK(Table1[[#This Row],[Fetal Sex (Male, Female or Unknown)]])),ISNUMBER(Table1[[#This Row],[Birthweight (grams)]]),ISNUMBER(Table1[[#This Row],[Gestation (days)]])),TRUE,FALSE)</f>
        <v>0</v>
      </c>
      <c r="E8198" s="2" t="str">
        <f>IF(Table1[[#This Row],[Is Data Valid]]=TRUE,IF(Table1[[#This Row],[Fetal Sex (Male, Female or Unknown)]]="Male",Backend!$C$6,IF(Table1[[#This Row],[Fetal Sex (Male, Female or Unknown)]]="Female",Backend!$C$7,IF(Table1[[#This Row],[Fetal Sex (Male, Female or Unknown)]]="Unknown",Backend!$C$8,"Error"))),"")</f>
        <v/>
      </c>
      <c r="F8198" s="8" t="str">
        <f>IF(Table1[[#This Row],[Is Data Valid]]=TRUE,EXP(0.578+0.332*((Table1[[#This Row],[Gestation (days)]]+0.5)/7)-0.00354*((Table1[[#This Row],[Gestation (days)]]+0.5)/7)^2)*Table1[[#This Row],[BW40_3705]],"")</f>
        <v/>
      </c>
      <c r="G8198" s="2" t="str">
        <f>IF(Table1[[#This Row],[Is Data Valid]]=TRUE,((Table1[[#This Row],[Birthweight (grams)]]/Table1[[#This Row],[BW_GA]])-1)/(Backend!$B$4/100*Table1[[#This Row],[BW40_3705]]),"")</f>
        <v/>
      </c>
      <c r="H8198" s="7" t="str">
        <f>IF(Table1[[#This Row],[Is Data Valid]]=TRUE,((Table1[[#This Row],[Birthweight (grams)]]*0.9/Table1[[#This Row],[BW_GA]])-1)/(Backend!$B$4/100*Table1[[#This Row],[BW40_3705]]),"")</f>
        <v/>
      </c>
      <c r="I8198" s="7" t="str">
        <f>IF(Table1[[#This Row],[Is Data Valid]]=TRUE,((Table1[[#This Row],[Birthweight (grams)]]*1.1/Table1[[#This Row],[BW_GA]])-1)/(Backend!$B$4/100*Table1[[#This Row],[BW40_3705]]),"")</f>
        <v/>
      </c>
      <c r="J8198" s="7" t="str">
        <f>IF(Table1[[#This Row],[Is Data Valid]]=TRUE,_xlfn.NORM.S.DIST(Table1[[#This Row],[Birthweight Z-Score]],TRUE)*100,"")</f>
        <v/>
      </c>
      <c r="K8198" s="7" t="str">
        <f>IF(Table1[[#This Row],[Is Data Valid]]=TRUE,_xlfn.NORM.S.DIST(Table1[[#This Row],[Birthweight Z-Score (BW-10%)]],TRUE)*100,"")</f>
        <v/>
      </c>
      <c r="L8198" s="7" t="str">
        <f>IF(Table1[[#This Row],[Is Data Valid]]=TRUE,_xlfn.NORM.S.DIST(Table1[[#This Row],[Birthweight Z-Score (BW+10%)]],TRUE)*100,"")</f>
        <v/>
      </c>
    </row>
    <row r="8199" spans="1:12" x14ac:dyDescent="0.35">
      <c r="A8199" s="3"/>
      <c r="B8199" s="2"/>
      <c r="C8199" s="2"/>
      <c r="D8199" s="2" t="b">
        <f>IF(AND(NOT(ISBLANK(Table1[[#This Row],[Fetal Sex (Male, Female or Unknown)]])),ISNUMBER(Table1[[#This Row],[Birthweight (grams)]]),ISNUMBER(Table1[[#This Row],[Gestation (days)]])),TRUE,FALSE)</f>
        <v>0</v>
      </c>
      <c r="E8199" s="2" t="str">
        <f>IF(Table1[[#This Row],[Is Data Valid]]=TRUE,IF(Table1[[#This Row],[Fetal Sex (Male, Female or Unknown)]]="Male",Backend!$C$6,IF(Table1[[#This Row],[Fetal Sex (Male, Female or Unknown)]]="Female",Backend!$C$7,IF(Table1[[#This Row],[Fetal Sex (Male, Female or Unknown)]]="Unknown",Backend!$C$8,"Error"))),"")</f>
        <v/>
      </c>
      <c r="F8199" s="8" t="str">
        <f>IF(Table1[[#This Row],[Is Data Valid]]=TRUE,EXP(0.578+0.332*((Table1[[#This Row],[Gestation (days)]]+0.5)/7)-0.00354*((Table1[[#This Row],[Gestation (days)]]+0.5)/7)^2)*Table1[[#This Row],[BW40_3705]],"")</f>
        <v/>
      </c>
      <c r="G8199" s="2" t="str">
        <f>IF(Table1[[#This Row],[Is Data Valid]]=TRUE,((Table1[[#This Row],[Birthweight (grams)]]/Table1[[#This Row],[BW_GA]])-1)/(Backend!$B$4/100*Table1[[#This Row],[BW40_3705]]),"")</f>
        <v/>
      </c>
      <c r="H8199" s="7" t="str">
        <f>IF(Table1[[#This Row],[Is Data Valid]]=TRUE,((Table1[[#This Row],[Birthweight (grams)]]*0.9/Table1[[#This Row],[BW_GA]])-1)/(Backend!$B$4/100*Table1[[#This Row],[BW40_3705]]),"")</f>
        <v/>
      </c>
      <c r="I8199" s="7" t="str">
        <f>IF(Table1[[#This Row],[Is Data Valid]]=TRUE,((Table1[[#This Row],[Birthweight (grams)]]*1.1/Table1[[#This Row],[BW_GA]])-1)/(Backend!$B$4/100*Table1[[#This Row],[BW40_3705]]),"")</f>
        <v/>
      </c>
      <c r="J8199" s="7" t="str">
        <f>IF(Table1[[#This Row],[Is Data Valid]]=TRUE,_xlfn.NORM.S.DIST(Table1[[#This Row],[Birthweight Z-Score]],TRUE)*100,"")</f>
        <v/>
      </c>
      <c r="K8199" s="7" t="str">
        <f>IF(Table1[[#This Row],[Is Data Valid]]=TRUE,_xlfn.NORM.S.DIST(Table1[[#This Row],[Birthweight Z-Score (BW-10%)]],TRUE)*100,"")</f>
        <v/>
      </c>
      <c r="L8199" s="7" t="str">
        <f>IF(Table1[[#This Row],[Is Data Valid]]=TRUE,_xlfn.NORM.S.DIST(Table1[[#This Row],[Birthweight Z-Score (BW+10%)]],TRUE)*100,"")</f>
        <v/>
      </c>
    </row>
    <row r="8200" spans="1:12" x14ac:dyDescent="0.35">
      <c r="A8200" s="3"/>
      <c r="B8200" s="2"/>
      <c r="C8200" s="2"/>
      <c r="D8200" s="2" t="b">
        <f>IF(AND(NOT(ISBLANK(Table1[[#This Row],[Fetal Sex (Male, Female or Unknown)]])),ISNUMBER(Table1[[#This Row],[Birthweight (grams)]]),ISNUMBER(Table1[[#This Row],[Gestation (days)]])),TRUE,FALSE)</f>
        <v>0</v>
      </c>
      <c r="E8200" s="2" t="str">
        <f>IF(Table1[[#This Row],[Is Data Valid]]=TRUE,IF(Table1[[#This Row],[Fetal Sex (Male, Female or Unknown)]]="Male",Backend!$C$6,IF(Table1[[#This Row],[Fetal Sex (Male, Female or Unknown)]]="Female",Backend!$C$7,IF(Table1[[#This Row],[Fetal Sex (Male, Female or Unknown)]]="Unknown",Backend!$C$8,"Error"))),"")</f>
        <v/>
      </c>
      <c r="F8200" s="8" t="str">
        <f>IF(Table1[[#This Row],[Is Data Valid]]=TRUE,EXP(0.578+0.332*((Table1[[#This Row],[Gestation (days)]]+0.5)/7)-0.00354*((Table1[[#This Row],[Gestation (days)]]+0.5)/7)^2)*Table1[[#This Row],[BW40_3705]],"")</f>
        <v/>
      </c>
      <c r="G8200" s="2" t="str">
        <f>IF(Table1[[#This Row],[Is Data Valid]]=TRUE,((Table1[[#This Row],[Birthweight (grams)]]/Table1[[#This Row],[BW_GA]])-1)/(Backend!$B$4/100*Table1[[#This Row],[BW40_3705]]),"")</f>
        <v/>
      </c>
      <c r="H8200" s="7" t="str">
        <f>IF(Table1[[#This Row],[Is Data Valid]]=TRUE,((Table1[[#This Row],[Birthweight (grams)]]*0.9/Table1[[#This Row],[BW_GA]])-1)/(Backend!$B$4/100*Table1[[#This Row],[BW40_3705]]),"")</f>
        <v/>
      </c>
      <c r="I8200" s="7" t="str">
        <f>IF(Table1[[#This Row],[Is Data Valid]]=TRUE,((Table1[[#This Row],[Birthweight (grams)]]*1.1/Table1[[#This Row],[BW_GA]])-1)/(Backend!$B$4/100*Table1[[#This Row],[BW40_3705]]),"")</f>
        <v/>
      </c>
      <c r="J8200" s="7" t="str">
        <f>IF(Table1[[#This Row],[Is Data Valid]]=TRUE,_xlfn.NORM.S.DIST(Table1[[#This Row],[Birthweight Z-Score]],TRUE)*100,"")</f>
        <v/>
      </c>
      <c r="K8200" s="7" t="str">
        <f>IF(Table1[[#This Row],[Is Data Valid]]=TRUE,_xlfn.NORM.S.DIST(Table1[[#This Row],[Birthweight Z-Score (BW-10%)]],TRUE)*100,"")</f>
        <v/>
      </c>
      <c r="L8200" s="7" t="str">
        <f>IF(Table1[[#This Row],[Is Data Valid]]=TRUE,_xlfn.NORM.S.DIST(Table1[[#This Row],[Birthweight Z-Score (BW+10%)]],TRUE)*100,"")</f>
        <v/>
      </c>
    </row>
    <row r="8201" spans="1:12" x14ac:dyDescent="0.35">
      <c r="A8201" s="3"/>
      <c r="B8201" s="2"/>
      <c r="C8201" s="2"/>
      <c r="D8201" s="2" t="b">
        <f>IF(AND(NOT(ISBLANK(Table1[[#This Row],[Fetal Sex (Male, Female or Unknown)]])),ISNUMBER(Table1[[#This Row],[Birthweight (grams)]]),ISNUMBER(Table1[[#This Row],[Gestation (days)]])),TRUE,FALSE)</f>
        <v>0</v>
      </c>
      <c r="E8201" s="2" t="str">
        <f>IF(Table1[[#This Row],[Is Data Valid]]=TRUE,IF(Table1[[#This Row],[Fetal Sex (Male, Female or Unknown)]]="Male",Backend!$C$6,IF(Table1[[#This Row],[Fetal Sex (Male, Female or Unknown)]]="Female",Backend!$C$7,IF(Table1[[#This Row],[Fetal Sex (Male, Female or Unknown)]]="Unknown",Backend!$C$8,"Error"))),"")</f>
        <v/>
      </c>
      <c r="F8201" s="8" t="str">
        <f>IF(Table1[[#This Row],[Is Data Valid]]=TRUE,EXP(0.578+0.332*((Table1[[#This Row],[Gestation (days)]]+0.5)/7)-0.00354*((Table1[[#This Row],[Gestation (days)]]+0.5)/7)^2)*Table1[[#This Row],[BW40_3705]],"")</f>
        <v/>
      </c>
      <c r="G8201" s="2" t="str">
        <f>IF(Table1[[#This Row],[Is Data Valid]]=TRUE,((Table1[[#This Row],[Birthweight (grams)]]/Table1[[#This Row],[BW_GA]])-1)/(Backend!$B$4/100*Table1[[#This Row],[BW40_3705]]),"")</f>
        <v/>
      </c>
      <c r="H8201" s="7" t="str">
        <f>IF(Table1[[#This Row],[Is Data Valid]]=TRUE,((Table1[[#This Row],[Birthweight (grams)]]*0.9/Table1[[#This Row],[BW_GA]])-1)/(Backend!$B$4/100*Table1[[#This Row],[BW40_3705]]),"")</f>
        <v/>
      </c>
      <c r="I8201" s="7" t="str">
        <f>IF(Table1[[#This Row],[Is Data Valid]]=TRUE,((Table1[[#This Row],[Birthweight (grams)]]*1.1/Table1[[#This Row],[BW_GA]])-1)/(Backend!$B$4/100*Table1[[#This Row],[BW40_3705]]),"")</f>
        <v/>
      </c>
      <c r="J8201" s="7" t="str">
        <f>IF(Table1[[#This Row],[Is Data Valid]]=TRUE,_xlfn.NORM.S.DIST(Table1[[#This Row],[Birthweight Z-Score]],TRUE)*100,"")</f>
        <v/>
      </c>
      <c r="K8201" s="7" t="str">
        <f>IF(Table1[[#This Row],[Is Data Valid]]=TRUE,_xlfn.NORM.S.DIST(Table1[[#This Row],[Birthweight Z-Score (BW-10%)]],TRUE)*100,"")</f>
        <v/>
      </c>
      <c r="L8201" s="7" t="str">
        <f>IF(Table1[[#This Row],[Is Data Valid]]=TRUE,_xlfn.NORM.S.DIST(Table1[[#This Row],[Birthweight Z-Score (BW+10%)]],TRUE)*100,"")</f>
        <v/>
      </c>
    </row>
    <row r="8202" spans="1:12" x14ac:dyDescent="0.35">
      <c r="A8202" s="3"/>
      <c r="B8202" s="2"/>
      <c r="C8202" s="2"/>
      <c r="D8202" s="2" t="b">
        <f>IF(AND(NOT(ISBLANK(Table1[[#This Row],[Fetal Sex (Male, Female or Unknown)]])),ISNUMBER(Table1[[#This Row],[Birthweight (grams)]]),ISNUMBER(Table1[[#This Row],[Gestation (days)]])),TRUE,FALSE)</f>
        <v>0</v>
      </c>
      <c r="E8202" s="2" t="str">
        <f>IF(Table1[[#This Row],[Is Data Valid]]=TRUE,IF(Table1[[#This Row],[Fetal Sex (Male, Female or Unknown)]]="Male",Backend!$C$6,IF(Table1[[#This Row],[Fetal Sex (Male, Female or Unknown)]]="Female",Backend!$C$7,IF(Table1[[#This Row],[Fetal Sex (Male, Female or Unknown)]]="Unknown",Backend!$C$8,"Error"))),"")</f>
        <v/>
      </c>
      <c r="F8202" s="8" t="str">
        <f>IF(Table1[[#This Row],[Is Data Valid]]=TRUE,EXP(0.578+0.332*((Table1[[#This Row],[Gestation (days)]]+0.5)/7)-0.00354*((Table1[[#This Row],[Gestation (days)]]+0.5)/7)^2)*Table1[[#This Row],[BW40_3705]],"")</f>
        <v/>
      </c>
      <c r="G8202" s="2" t="str">
        <f>IF(Table1[[#This Row],[Is Data Valid]]=TRUE,((Table1[[#This Row],[Birthweight (grams)]]/Table1[[#This Row],[BW_GA]])-1)/(Backend!$B$4/100*Table1[[#This Row],[BW40_3705]]),"")</f>
        <v/>
      </c>
      <c r="H8202" s="7" t="str">
        <f>IF(Table1[[#This Row],[Is Data Valid]]=TRUE,((Table1[[#This Row],[Birthweight (grams)]]*0.9/Table1[[#This Row],[BW_GA]])-1)/(Backend!$B$4/100*Table1[[#This Row],[BW40_3705]]),"")</f>
        <v/>
      </c>
      <c r="I8202" s="7" t="str">
        <f>IF(Table1[[#This Row],[Is Data Valid]]=TRUE,((Table1[[#This Row],[Birthweight (grams)]]*1.1/Table1[[#This Row],[BW_GA]])-1)/(Backend!$B$4/100*Table1[[#This Row],[BW40_3705]]),"")</f>
        <v/>
      </c>
      <c r="J8202" s="7" t="str">
        <f>IF(Table1[[#This Row],[Is Data Valid]]=TRUE,_xlfn.NORM.S.DIST(Table1[[#This Row],[Birthweight Z-Score]],TRUE)*100,"")</f>
        <v/>
      </c>
      <c r="K8202" s="7" t="str">
        <f>IF(Table1[[#This Row],[Is Data Valid]]=TRUE,_xlfn.NORM.S.DIST(Table1[[#This Row],[Birthweight Z-Score (BW-10%)]],TRUE)*100,"")</f>
        <v/>
      </c>
      <c r="L8202" s="7" t="str">
        <f>IF(Table1[[#This Row],[Is Data Valid]]=TRUE,_xlfn.NORM.S.DIST(Table1[[#This Row],[Birthweight Z-Score (BW+10%)]],TRUE)*100,"")</f>
        <v/>
      </c>
    </row>
    <row r="8203" spans="1:12" x14ac:dyDescent="0.35">
      <c r="A8203" s="3"/>
      <c r="B8203" s="2"/>
      <c r="C8203" s="2"/>
      <c r="D8203" s="2" t="b">
        <f>IF(AND(NOT(ISBLANK(Table1[[#This Row],[Fetal Sex (Male, Female or Unknown)]])),ISNUMBER(Table1[[#This Row],[Birthweight (grams)]]),ISNUMBER(Table1[[#This Row],[Gestation (days)]])),TRUE,FALSE)</f>
        <v>0</v>
      </c>
      <c r="E8203" s="2" t="str">
        <f>IF(Table1[[#This Row],[Is Data Valid]]=TRUE,IF(Table1[[#This Row],[Fetal Sex (Male, Female or Unknown)]]="Male",Backend!$C$6,IF(Table1[[#This Row],[Fetal Sex (Male, Female or Unknown)]]="Female",Backend!$C$7,IF(Table1[[#This Row],[Fetal Sex (Male, Female or Unknown)]]="Unknown",Backend!$C$8,"Error"))),"")</f>
        <v/>
      </c>
      <c r="F8203" s="8" t="str">
        <f>IF(Table1[[#This Row],[Is Data Valid]]=TRUE,EXP(0.578+0.332*((Table1[[#This Row],[Gestation (days)]]+0.5)/7)-0.00354*((Table1[[#This Row],[Gestation (days)]]+0.5)/7)^2)*Table1[[#This Row],[BW40_3705]],"")</f>
        <v/>
      </c>
      <c r="G8203" s="2" t="str">
        <f>IF(Table1[[#This Row],[Is Data Valid]]=TRUE,((Table1[[#This Row],[Birthweight (grams)]]/Table1[[#This Row],[BW_GA]])-1)/(Backend!$B$4/100*Table1[[#This Row],[BW40_3705]]),"")</f>
        <v/>
      </c>
      <c r="H8203" s="7" t="str">
        <f>IF(Table1[[#This Row],[Is Data Valid]]=TRUE,((Table1[[#This Row],[Birthweight (grams)]]*0.9/Table1[[#This Row],[BW_GA]])-1)/(Backend!$B$4/100*Table1[[#This Row],[BW40_3705]]),"")</f>
        <v/>
      </c>
      <c r="I8203" s="7" t="str">
        <f>IF(Table1[[#This Row],[Is Data Valid]]=TRUE,((Table1[[#This Row],[Birthweight (grams)]]*1.1/Table1[[#This Row],[BW_GA]])-1)/(Backend!$B$4/100*Table1[[#This Row],[BW40_3705]]),"")</f>
        <v/>
      </c>
      <c r="J8203" s="7" t="str">
        <f>IF(Table1[[#This Row],[Is Data Valid]]=TRUE,_xlfn.NORM.S.DIST(Table1[[#This Row],[Birthweight Z-Score]],TRUE)*100,"")</f>
        <v/>
      </c>
      <c r="K8203" s="7" t="str">
        <f>IF(Table1[[#This Row],[Is Data Valid]]=TRUE,_xlfn.NORM.S.DIST(Table1[[#This Row],[Birthweight Z-Score (BW-10%)]],TRUE)*100,"")</f>
        <v/>
      </c>
      <c r="L8203" s="7" t="str">
        <f>IF(Table1[[#This Row],[Is Data Valid]]=TRUE,_xlfn.NORM.S.DIST(Table1[[#This Row],[Birthweight Z-Score (BW+10%)]],TRUE)*100,"")</f>
        <v/>
      </c>
    </row>
    <row r="8204" spans="1:12" x14ac:dyDescent="0.35">
      <c r="A8204" s="3"/>
      <c r="B8204" s="2"/>
      <c r="C8204" s="2"/>
      <c r="D8204" s="2" t="b">
        <f>IF(AND(NOT(ISBLANK(Table1[[#This Row],[Fetal Sex (Male, Female or Unknown)]])),ISNUMBER(Table1[[#This Row],[Birthweight (grams)]]),ISNUMBER(Table1[[#This Row],[Gestation (days)]])),TRUE,FALSE)</f>
        <v>0</v>
      </c>
      <c r="E8204" s="2" t="str">
        <f>IF(Table1[[#This Row],[Is Data Valid]]=TRUE,IF(Table1[[#This Row],[Fetal Sex (Male, Female or Unknown)]]="Male",Backend!$C$6,IF(Table1[[#This Row],[Fetal Sex (Male, Female or Unknown)]]="Female",Backend!$C$7,IF(Table1[[#This Row],[Fetal Sex (Male, Female or Unknown)]]="Unknown",Backend!$C$8,"Error"))),"")</f>
        <v/>
      </c>
      <c r="F8204" s="8" t="str">
        <f>IF(Table1[[#This Row],[Is Data Valid]]=TRUE,EXP(0.578+0.332*((Table1[[#This Row],[Gestation (days)]]+0.5)/7)-0.00354*((Table1[[#This Row],[Gestation (days)]]+0.5)/7)^2)*Table1[[#This Row],[BW40_3705]],"")</f>
        <v/>
      </c>
      <c r="G8204" s="2" t="str">
        <f>IF(Table1[[#This Row],[Is Data Valid]]=TRUE,((Table1[[#This Row],[Birthweight (grams)]]/Table1[[#This Row],[BW_GA]])-1)/(Backend!$B$4/100*Table1[[#This Row],[BW40_3705]]),"")</f>
        <v/>
      </c>
      <c r="H8204" s="7" t="str">
        <f>IF(Table1[[#This Row],[Is Data Valid]]=TRUE,((Table1[[#This Row],[Birthweight (grams)]]*0.9/Table1[[#This Row],[BW_GA]])-1)/(Backend!$B$4/100*Table1[[#This Row],[BW40_3705]]),"")</f>
        <v/>
      </c>
      <c r="I8204" s="7" t="str">
        <f>IF(Table1[[#This Row],[Is Data Valid]]=TRUE,((Table1[[#This Row],[Birthweight (grams)]]*1.1/Table1[[#This Row],[BW_GA]])-1)/(Backend!$B$4/100*Table1[[#This Row],[BW40_3705]]),"")</f>
        <v/>
      </c>
      <c r="J8204" s="7" t="str">
        <f>IF(Table1[[#This Row],[Is Data Valid]]=TRUE,_xlfn.NORM.S.DIST(Table1[[#This Row],[Birthweight Z-Score]],TRUE)*100,"")</f>
        <v/>
      </c>
      <c r="K8204" s="7" t="str">
        <f>IF(Table1[[#This Row],[Is Data Valid]]=TRUE,_xlfn.NORM.S.DIST(Table1[[#This Row],[Birthweight Z-Score (BW-10%)]],TRUE)*100,"")</f>
        <v/>
      </c>
      <c r="L8204" s="7" t="str">
        <f>IF(Table1[[#This Row],[Is Data Valid]]=TRUE,_xlfn.NORM.S.DIST(Table1[[#This Row],[Birthweight Z-Score (BW+10%)]],TRUE)*100,"")</f>
        <v/>
      </c>
    </row>
    <row r="8205" spans="1:12" x14ac:dyDescent="0.35">
      <c r="A8205" s="3"/>
      <c r="B8205" s="2"/>
      <c r="C8205" s="2"/>
      <c r="D8205" s="2" t="b">
        <f>IF(AND(NOT(ISBLANK(Table1[[#This Row],[Fetal Sex (Male, Female or Unknown)]])),ISNUMBER(Table1[[#This Row],[Birthweight (grams)]]),ISNUMBER(Table1[[#This Row],[Gestation (days)]])),TRUE,FALSE)</f>
        <v>0</v>
      </c>
      <c r="E8205" s="2" t="str">
        <f>IF(Table1[[#This Row],[Is Data Valid]]=TRUE,IF(Table1[[#This Row],[Fetal Sex (Male, Female or Unknown)]]="Male",Backend!$C$6,IF(Table1[[#This Row],[Fetal Sex (Male, Female or Unknown)]]="Female",Backend!$C$7,IF(Table1[[#This Row],[Fetal Sex (Male, Female or Unknown)]]="Unknown",Backend!$C$8,"Error"))),"")</f>
        <v/>
      </c>
      <c r="F8205" s="8" t="str">
        <f>IF(Table1[[#This Row],[Is Data Valid]]=TRUE,EXP(0.578+0.332*((Table1[[#This Row],[Gestation (days)]]+0.5)/7)-0.00354*((Table1[[#This Row],[Gestation (days)]]+0.5)/7)^2)*Table1[[#This Row],[BW40_3705]],"")</f>
        <v/>
      </c>
      <c r="G8205" s="2" t="str">
        <f>IF(Table1[[#This Row],[Is Data Valid]]=TRUE,((Table1[[#This Row],[Birthweight (grams)]]/Table1[[#This Row],[BW_GA]])-1)/(Backend!$B$4/100*Table1[[#This Row],[BW40_3705]]),"")</f>
        <v/>
      </c>
      <c r="H8205" s="7" t="str">
        <f>IF(Table1[[#This Row],[Is Data Valid]]=TRUE,((Table1[[#This Row],[Birthweight (grams)]]*0.9/Table1[[#This Row],[BW_GA]])-1)/(Backend!$B$4/100*Table1[[#This Row],[BW40_3705]]),"")</f>
        <v/>
      </c>
      <c r="I8205" s="7" t="str">
        <f>IF(Table1[[#This Row],[Is Data Valid]]=TRUE,((Table1[[#This Row],[Birthweight (grams)]]*1.1/Table1[[#This Row],[BW_GA]])-1)/(Backend!$B$4/100*Table1[[#This Row],[BW40_3705]]),"")</f>
        <v/>
      </c>
      <c r="J8205" s="7" t="str">
        <f>IF(Table1[[#This Row],[Is Data Valid]]=TRUE,_xlfn.NORM.S.DIST(Table1[[#This Row],[Birthweight Z-Score]],TRUE)*100,"")</f>
        <v/>
      </c>
      <c r="K8205" s="7" t="str">
        <f>IF(Table1[[#This Row],[Is Data Valid]]=TRUE,_xlfn.NORM.S.DIST(Table1[[#This Row],[Birthweight Z-Score (BW-10%)]],TRUE)*100,"")</f>
        <v/>
      </c>
      <c r="L8205" s="7" t="str">
        <f>IF(Table1[[#This Row],[Is Data Valid]]=TRUE,_xlfn.NORM.S.DIST(Table1[[#This Row],[Birthweight Z-Score (BW+10%)]],TRUE)*100,"")</f>
        <v/>
      </c>
    </row>
    <row r="8206" spans="1:12" x14ac:dyDescent="0.35">
      <c r="A8206" s="3"/>
      <c r="B8206" s="2"/>
      <c r="C8206" s="2"/>
      <c r="D8206" s="2" t="b">
        <f>IF(AND(NOT(ISBLANK(Table1[[#This Row],[Fetal Sex (Male, Female or Unknown)]])),ISNUMBER(Table1[[#This Row],[Birthweight (grams)]]),ISNUMBER(Table1[[#This Row],[Gestation (days)]])),TRUE,FALSE)</f>
        <v>0</v>
      </c>
      <c r="E8206" s="2" t="str">
        <f>IF(Table1[[#This Row],[Is Data Valid]]=TRUE,IF(Table1[[#This Row],[Fetal Sex (Male, Female or Unknown)]]="Male",Backend!$C$6,IF(Table1[[#This Row],[Fetal Sex (Male, Female or Unknown)]]="Female",Backend!$C$7,IF(Table1[[#This Row],[Fetal Sex (Male, Female or Unknown)]]="Unknown",Backend!$C$8,"Error"))),"")</f>
        <v/>
      </c>
      <c r="F8206" s="8" t="str">
        <f>IF(Table1[[#This Row],[Is Data Valid]]=TRUE,EXP(0.578+0.332*((Table1[[#This Row],[Gestation (days)]]+0.5)/7)-0.00354*((Table1[[#This Row],[Gestation (days)]]+0.5)/7)^2)*Table1[[#This Row],[BW40_3705]],"")</f>
        <v/>
      </c>
      <c r="G8206" s="2" t="str">
        <f>IF(Table1[[#This Row],[Is Data Valid]]=TRUE,((Table1[[#This Row],[Birthweight (grams)]]/Table1[[#This Row],[BW_GA]])-1)/(Backend!$B$4/100*Table1[[#This Row],[BW40_3705]]),"")</f>
        <v/>
      </c>
      <c r="H8206" s="7" t="str">
        <f>IF(Table1[[#This Row],[Is Data Valid]]=TRUE,((Table1[[#This Row],[Birthweight (grams)]]*0.9/Table1[[#This Row],[BW_GA]])-1)/(Backend!$B$4/100*Table1[[#This Row],[BW40_3705]]),"")</f>
        <v/>
      </c>
      <c r="I8206" s="7" t="str">
        <f>IF(Table1[[#This Row],[Is Data Valid]]=TRUE,((Table1[[#This Row],[Birthweight (grams)]]*1.1/Table1[[#This Row],[BW_GA]])-1)/(Backend!$B$4/100*Table1[[#This Row],[BW40_3705]]),"")</f>
        <v/>
      </c>
      <c r="J8206" s="7" t="str">
        <f>IF(Table1[[#This Row],[Is Data Valid]]=TRUE,_xlfn.NORM.S.DIST(Table1[[#This Row],[Birthweight Z-Score]],TRUE)*100,"")</f>
        <v/>
      </c>
      <c r="K8206" s="7" t="str">
        <f>IF(Table1[[#This Row],[Is Data Valid]]=TRUE,_xlfn.NORM.S.DIST(Table1[[#This Row],[Birthweight Z-Score (BW-10%)]],TRUE)*100,"")</f>
        <v/>
      </c>
      <c r="L8206" s="7" t="str">
        <f>IF(Table1[[#This Row],[Is Data Valid]]=TRUE,_xlfn.NORM.S.DIST(Table1[[#This Row],[Birthweight Z-Score (BW+10%)]],TRUE)*100,"")</f>
        <v/>
      </c>
    </row>
    <row r="8207" spans="1:12" x14ac:dyDescent="0.35">
      <c r="A8207" s="3"/>
      <c r="B8207" s="2"/>
      <c r="C8207" s="2"/>
      <c r="D8207" s="2" t="b">
        <f>IF(AND(NOT(ISBLANK(Table1[[#This Row],[Fetal Sex (Male, Female or Unknown)]])),ISNUMBER(Table1[[#This Row],[Birthweight (grams)]]),ISNUMBER(Table1[[#This Row],[Gestation (days)]])),TRUE,FALSE)</f>
        <v>0</v>
      </c>
      <c r="E8207" s="2" t="str">
        <f>IF(Table1[[#This Row],[Is Data Valid]]=TRUE,IF(Table1[[#This Row],[Fetal Sex (Male, Female or Unknown)]]="Male",Backend!$C$6,IF(Table1[[#This Row],[Fetal Sex (Male, Female or Unknown)]]="Female",Backend!$C$7,IF(Table1[[#This Row],[Fetal Sex (Male, Female or Unknown)]]="Unknown",Backend!$C$8,"Error"))),"")</f>
        <v/>
      </c>
      <c r="F8207" s="8" t="str">
        <f>IF(Table1[[#This Row],[Is Data Valid]]=TRUE,EXP(0.578+0.332*((Table1[[#This Row],[Gestation (days)]]+0.5)/7)-0.00354*((Table1[[#This Row],[Gestation (days)]]+0.5)/7)^2)*Table1[[#This Row],[BW40_3705]],"")</f>
        <v/>
      </c>
      <c r="G8207" s="2" t="str">
        <f>IF(Table1[[#This Row],[Is Data Valid]]=TRUE,((Table1[[#This Row],[Birthweight (grams)]]/Table1[[#This Row],[BW_GA]])-1)/(Backend!$B$4/100*Table1[[#This Row],[BW40_3705]]),"")</f>
        <v/>
      </c>
      <c r="H8207" s="7" t="str">
        <f>IF(Table1[[#This Row],[Is Data Valid]]=TRUE,((Table1[[#This Row],[Birthweight (grams)]]*0.9/Table1[[#This Row],[BW_GA]])-1)/(Backend!$B$4/100*Table1[[#This Row],[BW40_3705]]),"")</f>
        <v/>
      </c>
      <c r="I8207" s="7" t="str">
        <f>IF(Table1[[#This Row],[Is Data Valid]]=TRUE,((Table1[[#This Row],[Birthweight (grams)]]*1.1/Table1[[#This Row],[BW_GA]])-1)/(Backend!$B$4/100*Table1[[#This Row],[BW40_3705]]),"")</f>
        <v/>
      </c>
      <c r="J8207" s="7" t="str">
        <f>IF(Table1[[#This Row],[Is Data Valid]]=TRUE,_xlfn.NORM.S.DIST(Table1[[#This Row],[Birthweight Z-Score]],TRUE)*100,"")</f>
        <v/>
      </c>
      <c r="K8207" s="7" t="str">
        <f>IF(Table1[[#This Row],[Is Data Valid]]=TRUE,_xlfn.NORM.S.DIST(Table1[[#This Row],[Birthweight Z-Score (BW-10%)]],TRUE)*100,"")</f>
        <v/>
      </c>
      <c r="L8207" s="7" t="str">
        <f>IF(Table1[[#This Row],[Is Data Valid]]=TRUE,_xlfn.NORM.S.DIST(Table1[[#This Row],[Birthweight Z-Score (BW+10%)]],TRUE)*100,"")</f>
        <v/>
      </c>
    </row>
    <row r="8208" spans="1:12" x14ac:dyDescent="0.35">
      <c r="A8208" s="3"/>
      <c r="B8208" s="2"/>
      <c r="C8208" s="2"/>
      <c r="D8208" s="2" t="b">
        <f>IF(AND(NOT(ISBLANK(Table1[[#This Row],[Fetal Sex (Male, Female or Unknown)]])),ISNUMBER(Table1[[#This Row],[Birthweight (grams)]]),ISNUMBER(Table1[[#This Row],[Gestation (days)]])),TRUE,FALSE)</f>
        <v>0</v>
      </c>
      <c r="E8208" s="2" t="str">
        <f>IF(Table1[[#This Row],[Is Data Valid]]=TRUE,IF(Table1[[#This Row],[Fetal Sex (Male, Female or Unknown)]]="Male",Backend!$C$6,IF(Table1[[#This Row],[Fetal Sex (Male, Female or Unknown)]]="Female",Backend!$C$7,IF(Table1[[#This Row],[Fetal Sex (Male, Female or Unknown)]]="Unknown",Backend!$C$8,"Error"))),"")</f>
        <v/>
      </c>
      <c r="F8208" s="8" t="str">
        <f>IF(Table1[[#This Row],[Is Data Valid]]=TRUE,EXP(0.578+0.332*((Table1[[#This Row],[Gestation (days)]]+0.5)/7)-0.00354*((Table1[[#This Row],[Gestation (days)]]+0.5)/7)^2)*Table1[[#This Row],[BW40_3705]],"")</f>
        <v/>
      </c>
      <c r="G8208" s="2" t="str">
        <f>IF(Table1[[#This Row],[Is Data Valid]]=TRUE,((Table1[[#This Row],[Birthweight (grams)]]/Table1[[#This Row],[BW_GA]])-1)/(Backend!$B$4/100*Table1[[#This Row],[BW40_3705]]),"")</f>
        <v/>
      </c>
      <c r="H8208" s="7" t="str">
        <f>IF(Table1[[#This Row],[Is Data Valid]]=TRUE,((Table1[[#This Row],[Birthweight (grams)]]*0.9/Table1[[#This Row],[BW_GA]])-1)/(Backend!$B$4/100*Table1[[#This Row],[BW40_3705]]),"")</f>
        <v/>
      </c>
      <c r="I8208" s="7" t="str">
        <f>IF(Table1[[#This Row],[Is Data Valid]]=TRUE,((Table1[[#This Row],[Birthweight (grams)]]*1.1/Table1[[#This Row],[BW_GA]])-1)/(Backend!$B$4/100*Table1[[#This Row],[BW40_3705]]),"")</f>
        <v/>
      </c>
      <c r="J8208" s="7" t="str">
        <f>IF(Table1[[#This Row],[Is Data Valid]]=TRUE,_xlfn.NORM.S.DIST(Table1[[#This Row],[Birthweight Z-Score]],TRUE)*100,"")</f>
        <v/>
      </c>
      <c r="K8208" s="7" t="str">
        <f>IF(Table1[[#This Row],[Is Data Valid]]=TRUE,_xlfn.NORM.S.DIST(Table1[[#This Row],[Birthweight Z-Score (BW-10%)]],TRUE)*100,"")</f>
        <v/>
      </c>
      <c r="L8208" s="7" t="str">
        <f>IF(Table1[[#This Row],[Is Data Valid]]=TRUE,_xlfn.NORM.S.DIST(Table1[[#This Row],[Birthweight Z-Score (BW+10%)]],TRUE)*100,"")</f>
        <v/>
      </c>
    </row>
    <row r="8209" spans="1:12" x14ac:dyDescent="0.35">
      <c r="A8209" s="3"/>
      <c r="B8209" s="2"/>
      <c r="C8209" s="2"/>
      <c r="D8209" s="2" t="b">
        <f>IF(AND(NOT(ISBLANK(Table1[[#This Row],[Fetal Sex (Male, Female or Unknown)]])),ISNUMBER(Table1[[#This Row],[Birthweight (grams)]]),ISNUMBER(Table1[[#This Row],[Gestation (days)]])),TRUE,FALSE)</f>
        <v>0</v>
      </c>
      <c r="E8209" s="2" t="str">
        <f>IF(Table1[[#This Row],[Is Data Valid]]=TRUE,IF(Table1[[#This Row],[Fetal Sex (Male, Female or Unknown)]]="Male",Backend!$C$6,IF(Table1[[#This Row],[Fetal Sex (Male, Female or Unknown)]]="Female",Backend!$C$7,IF(Table1[[#This Row],[Fetal Sex (Male, Female or Unknown)]]="Unknown",Backend!$C$8,"Error"))),"")</f>
        <v/>
      </c>
      <c r="F8209" s="8" t="str">
        <f>IF(Table1[[#This Row],[Is Data Valid]]=TRUE,EXP(0.578+0.332*((Table1[[#This Row],[Gestation (days)]]+0.5)/7)-0.00354*((Table1[[#This Row],[Gestation (days)]]+0.5)/7)^2)*Table1[[#This Row],[BW40_3705]],"")</f>
        <v/>
      </c>
      <c r="G8209" s="2" t="str">
        <f>IF(Table1[[#This Row],[Is Data Valid]]=TRUE,((Table1[[#This Row],[Birthweight (grams)]]/Table1[[#This Row],[BW_GA]])-1)/(Backend!$B$4/100*Table1[[#This Row],[BW40_3705]]),"")</f>
        <v/>
      </c>
      <c r="H8209" s="7" t="str">
        <f>IF(Table1[[#This Row],[Is Data Valid]]=TRUE,((Table1[[#This Row],[Birthweight (grams)]]*0.9/Table1[[#This Row],[BW_GA]])-1)/(Backend!$B$4/100*Table1[[#This Row],[BW40_3705]]),"")</f>
        <v/>
      </c>
      <c r="I8209" s="7" t="str">
        <f>IF(Table1[[#This Row],[Is Data Valid]]=TRUE,((Table1[[#This Row],[Birthweight (grams)]]*1.1/Table1[[#This Row],[BW_GA]])-1)/(Backend!$B$4/100*Table1[[#This Row],[BW40_3705]]),"")</f>
        <v/>
      </c>
      <c r="J8209" s="7" t="str">
        <f>IF(Table1[[#This Row],[Is Data Valid]]=TRUE,_xlfn.NORM.S.DIST(Table1[[#This Row],[Birthweight Z-Score]],TRUE)*100,"")</f>
        <v/>
      </c>
      <c r="K8209" s="7" t="str">
        <f>IF(Table1[[#This Row],[Is Data Valid]]=TRUE,_xlfn.NORM.S.DIST(Table1[[#This Row],[Birthweight Z-Score (BW-10%)]],TRUE)*100,"")</f>
        <v/>
      </c>
      <c r="L8209" s="7" t="str">
        <f>IF(Table1[[#This Row],[Is Data Valid]]=TRUE,_xlfn.NORM.S.DIST(Table1[[#This Row],[Birthweight Z-Score (BW+10%)]],TRUE)*100,"")</f>
        <v/>
      </c>
    </row>
    <row r="8210" spans="1:12" x14ac:dyDescent="0.35">
      <c r="A8210" s="3"/>
      <c r="B8210" s="2"/>
      <c r="C8210" s="2"/>
      <c r="D8210" s="2" t="b">
        <f>IF(AND(NOT(ISBLANK(Table1[[#This Row],[Fetal Sex (Male, Female or Unknown)]])),ISNUMBER(Table1[[#This Row],[Birthweight (grams)]]),ISNUMBER(Table1[[#This Row],[Gestation (days)]])),TRUE,FALSE)</f>
        <v>0</v>
      </c>
      <c r="E8210" s="2" t="str">
        <f>IF(Table1[[#This Row],[Is Data Valid]]=TRUE,IF(Table1[[#This Row],[Fetal Sex (Male, Female or Unknown)]]="Male",Backend!$C$6,IF(Table1[[#This Row],[Fetal Sex (Male, Female or Unknown)]]="Female",Backend!$C$7,IF(Table1[[#This Row],[Fetal Sex (Male, Female or Unknown)]]="Unknown",Backend!$C$8,"Error"))),"")</f>
        <v/>
      </c>
      <c r="F8210" s="8" t="str">
        <f>IF(Table1[[#This Row],[Is Data Valid]]=TRUE,EXP(0.578+0.332*((Table1[[#This Row],[Gestation (days)]]+0.5)/7)-0.00354*((Table1[[#This Row],[Gestation (days)]]+0.5)/7)^2)*Table1[[#This Row],[BW40_3705]],"")</f>
        <v/>
      </c>
      <c r="G8210" s="2" t="str">
        <f>IF(Table1[[#This Row],[Is Data Valid]]=TRUE,((Table1[[#This Row],[Birthweight (grams)]]/Table1[[#This Row],[BW_GA]])-1)/(Backend!$B$4/100*Table1[[#This Row],[BW40_3705]]),"")</f>
        <v/>
      </c>
      <c r="H8210" s="7" t="str">
        <f>IF(Table1[[#This Row],[Is Data Valid]]=TRUE,((Table1[[#This Row],[Birthweight (grams)]]*0.9/Table1[[#This Row],[BW_GA]])-1)/(Backend!$B$4/100*Table1[[#This Row],[BW40_3705]]),"")</f>
        <v/>
      </c>
      <c r="I8210" s="7" t="str">
        <f>IF(Table1[[#This Row],[Is Data Valid]]=TRUE,((Table1[[#This Row],[Birthweight (grams)]]*1.1/Table1[[#This Row],[BW_GA]])-1)/(Backend!$B$4/100*Table1[[#This Row],[BW40_3705]]),"")</f>
        <v/>
      </c>
      <c r="J8210" s="7" t="str">
        <f>IF(Table1[[#This Row],[Is Data Valid]]=TRUE,_xlfn.NORM.S.DIST(Table1[[#This Row],[Birthweight Z-Score]],TRUE)*100,"")</f>
        <v/>
      </c>
      <c r="K8210" s="7" t="str">
        <f>IF(Table1[[#This Row],[Is Data Valid]]=TRUE,_xlfn.NORM.S.DIST(Table1[[#This Row],[Birthweight Z-Score (BW-10%)]],TRUE)*100,"")</f>
        <v/>
      </c>
      <c r="L8210" s="7" t="str">
        <f>IF(Table1[[#This Row],[Is Data Valid]]=TRUE,_xlfn.NORM.S.DIST(Table1[[#This Row],[Birthweight Z-Score (BW+10%)]],TRUE)*100,"")</f>
        <v/>
      </c>
    </row>
    <row r="8211" spans="1:12" x14ac:dyDescent="0.35">
      <c r="A8211" s="3"/>
      <c r="B8211" s="2"/>
      <c r="C8211" s="2"/>
      <c r="D8211" s="2" t="b">
        <f>IF(AND(NOT(ISBLANK(Table1[[#This Row],[Fetal Sex (Male, Female or Unknown)]])),ISNUMBER(Table1[[#This Row],[Birthweight (grams)]]),ISNUMBER(Table1[[#This Row],[Gestation (days)]])),TRUE,FALSE)</f>
        <v>0</v>
      </c>
      <c r="E8211" s="2" t="str">
        <f>IF(Table1[[#This Row],[Is Data Valid]]=TRUE,IF(Table1[[#This Row],[Fetal Sex (Male, Female or Unknown)]]="Male",Backend!$C$6,IF(Table1[[#This Row],[Fetal Sex (Male, Female or Unknown)]]="Female",Backend!$C$7,IF(Table1[[#This Row],[Fetal Sex (Male, Female or Unknown)]]="Unknown",Backend!$C$8,"Error"))),"")</f>
        <v/>
      </c>
      <c r="F8211" s="8" t="str">
        <f>IF(Table1[[#This Row],[Is Data Valid]]=TRUE,EXP(0.578+0.332*((Table1[[#This Row],[Gestation (days)]]+0.5)/7)-0.00354*((Table1[[#This Row],[Gestation (days)]]+0.5)/7)^2)*Table1[[#This Row],[BW40_3705]],"")</f>
        <v/>
      </c>
      <c r="G8211" s="2" t="str">
        <f>IF(Table1[[#This Row],[Is Data Valid]]=TRUE,((Table1[[#This Row],[Birthweight (grams)]]/Table1[[#This Row],[BW_GA]])-1)/(Backend!$B$4/100*Table1[[#This Row],[BW40_3705]]),"")</f>
        <v/>
      </c>
      <c r="H8211" s="7" t="str">
        <f>IF(Table1[[#This Row],[Is Data Valid]]=TRUE,((Table1[[#This Row],[Birthweight (grams)]]*0.9/Table1[[#This Row],[BW_GA]])-1)/(Backend!$B$4/100*Table1[[#This Row],[BW40_3705]]),"")</f>
        <v/>
      </c>
      <c r="I8211" s="7" t="str">
        <f>IF(Table1[[#This Row],[Is Data Valid]]=TRUE,((Table1[[#This Row],[Birthweight (grams)]]*1.1/Table1[[#This Row],[BW_GA]])-1)/(Backend!$B$4/100*Table1[[#This Row],[BW40_3705]]),"")</f>
        <v/>
      </c>
      <c r="J8211" s="7" t="str">
        <f>IF(Table1[[#This Row],[Is Data Valid]]=TRUE,_xlfn.NORM.S.DIST(Table1[[#This Row],[Birthweight Z-Score]],TRUE)*100,"")</f>
        <v/>
      </c>
      <c r="K8211" s="7" t="str">
        <f>IF(Table1[[#This Row],[Is Data Valid]]=TRUE,_xlfn.NORM.S.DIST(Table1[[#This Row],[Birthweight Z-Score (BW-10%)]],TRUE)*100,"")</f>
        <v/>
      </c>
      <c r="L8211" s="7" t="str">
        <f>IF(Table1[[#This Row],[Is Data Valid]]=TRUE,_xlfn.NORM.S.DIST(Table1[[#This Row],[Birthweight Z-Score (BW+10%)]],TRUE)*100,"")</f>
        <v/>
      </c>
    </row>
    <row r="8212" spans="1:12" x14ac:dyDescent="0.35">
      <c r="A8212" s="3"/>
      <c r="B8212" s="2"/>
      <c r="C8212" s="2"/>
      <c r="D8212" s="2" t="b">
        <f>IF(AND(NOT(ISBLANK(Table1[[#This Row],[Fetal Sex (Male, Female or Unknown)]])),ISNUMBER(Table1[[#This Row],[Birthweight (grams)]]),ISNUMBER(Table1[[#This Row],[Gestation (days)]])),TRUE,FALSE)</f>
        <v>0</v>
      </c>
      <c r="E8212" s="2" t="str">
        <f>IF(Table1[[#This Row],[Is Data Valid]]=TRUE,IF(Table1[[#This Row],[Fetal Sex (Male, Female or Unknown)]]="Male",Backend!$C$6,IF(Table1[[#This Row],[Fetal Sex (Male, Female or Unknown)]]="Female",Backend!$C$7,IF(Table1[[#This Row],[Fetal Sex (Male, Female or Unknown)]]="Unknown",Backend!$C$8,"Error"))),"")</f>
        <v/>
      </c>
      <c r="F8212" s="8" t="str">
        <f>IF(Table1[[#This Row],[Is Data Valid]]=TRUE,EXP(0.578+0.332*((Table1[[#This Row],[Gestation (days)]]+0.5)/7)-0.00354*((Table1[[#This Row],[Gestation (days)]]+0.5)/7)^2)*Table1[[#This Row],[BW40_3705]],"")</f>
        <v/>
      </c>
      <c r="G8212" s="2" t="str">
        <f>IF(Table1[[#This Row],[Is Data Valid]]=TRUE,((Table1[[#This Row],[Birthweight (grams)]]/Table1[[#This Row],[BW_GA]])-1)/(Backend!$B$4/100*Table1[[#This Row],[BW40_3705]]),"")</f>
        <v/>
      </c>
      <c r="H8212" s="7" t="str">
        <f>IF(Table1[[#This Row],[Is Data Valid]]=TRUE,((Table1[[#This Row],[Birthweight (grams)]]*0.9/Table1[[#This Row],[BW_GA]])-1)/(Backend!$B$4/100*Table1[[#This Row],[BW40_3705]]),"")</f>
        <v/>
      </c>
      <c r="I8212" s="7" t="str">
        <f>IF(Table1[[#This Row],[Is Data Valid]]=TRUE,((Table1[[#This Row],[Birthweight (grams)]]*1.1/Table1[[#This Row],[BW_GA]])-1)/(Backend!$B$4/100*Table1[[#This Row],[BW40_3705]]),"")</f>
        <v/>
      </c>
      <c r="J8212" s="7" t="str">
        <f>IF(Table1[[#This Row],[Is Data Valid]]=TRUE,_xlfn.NORM.S.DIST(Table1[[#This Row],[Birthweight Z-Score]],TRUE)*100,"")</f>
        <v/>
      </c>
      <c r="K8212" s="7" t="str">
        <f>IF(Table1[[#This Row],[Is Data Valid]]=TRUE,_xlfn.NORM.S.DIST(Table1[[#This Row],[Birthweight Z-Score (BW-10%)]],TRUE)*100,"")</f>
        <v/>
      </c>
      <c r="L8212" s="7" t="str">
        <f>IF(Table1[[#This Row],[Is Data Valid]]=TRUE,_xlfn.NORM.S.DIST(Table1[[#This Row],[Birthweight Z-Score (BW+10%)]],TRUE)*100,"")</f>
        <v/>
      </c>
    </row>
    <row r="8213" spans="1:12" x14ac:dyDescent="0.35">
      <c r="A8213" s="3"/>
      <c r="B8213" s="2"/>
      <c r="C8213" s="2"/>
      <c r="D8213" s="2" t="b">
        <f>IF(AND(NOT(ISBLANK(Table1[[#This Row],[Fetal Sex (Male, Female or Unknown)]])),ISNUMBER(Table1[[#This Row],[Birthweight (grams)]]),ISNUMBER(Table1[[#This Row],[Gestation (days)]])),TRUE,FALSE)</f>
        <v>0</v>
      </c>
      <c r="E8213" s="2" t="str">
        <f>IF(Table1[[#This Row],[Is Data Valid]]=TRUE,IF(Table1[[#This Row],[Fetal Sex (Male, Female or Unknown)]]="Male",Backend!$C$6,IF(Table1[[#This Row],[Fetal Sex (Male, Female or Unknown)]]="Female",Backend!$C$7,IF(Table1[[#This Row],[Fetal Sex (Male, Female or Unknown)]]="Unknown",Backend!$C$8,"Error"))),"")</f>
        <v/>
      </c>
      <c r="F8213" s="8" t="str">
        <f>IF(Table1[[#This Row],[Is Data Valid]]=TRUE,EXP(0.578+0.332*((Table1[[#This Row],[Gestation (days)]]+0.5)/7)-0.00354*((Table1[[#This Row],[Gestation (days)]]+0.5)/7)^2)*Table1[[#This Row],[BW40_3705]],"")</f>
        <v/>
      </c>
      <c r="G8213" s="2" t="str">
        <f>IF(Table1[[#This Row],[Is Data Valid]]=TRUE,((Table1[[#This Row],[Birthweight (grams)]]/Table1[[#This Row],[BW_GA]])-1)/(Backend!$B$4/100*Table1[[#This Row],[BW40_3705]]),"")</f>
        <v/>
      </c>
      <c r="H8213" s="7" t="str">
        <f>IF(Table1[[#This Row],[Is Data Valid]]=TRUE,((Table1[[#This Row],[Birthweight (grams)]]*0.9/Table1[[#This Row],[BW_GA]])-1)/(Backend!$B$4/100*Table1[[#This Row],[BW40_3705]]),"")</f>
        <v/>
      </c>
      <c r="I8213" s="7" t="str">
        <f>IF(Table1[[#This Row],[Is Data Valid]]=TRUE,((Table1[[#This Row],[Birthweight (grams)]]*1.1/Table1[[#This Row],[BW_GA]])-1)/(Backend!$B$4/100*Table1[[#This Row],[BW40_3705]]),"")</f>
        <v/>
      </c>
      <c r="J8213" s="7" t="str">
        <f>IF(Table1[[#This Row],[Is Data Valid]]=TRUE,_xlfn.NORM.S.DIST(Table1[[#This Row],[Birthweight Z-Score]],TRUE)*100,"")</f>
        <v/>
      </c>
      <c r="K8213" s="7" t="str">
        <f>IF(Table1[[#This Row],[Is Data Valid]]=TRUE,_xlfn.NORM.S.DIST(Table1[[#This Row],[Birthweight Z-Score (BW-10%)]],TRUE)*100,"")</f>
        <v/>
      </c>
      <c r="L8213" s="7" t="str">
        <f>IF(Table1[[#This Row],[Is Data Valid]]=TRUE,_xlfn.NORM.S.DIST(Table1[[#This Row],[Birthweight Z-Score (BW+10%)]],TRUE)*100,"")</f>
        <v/>
      </c>
    </row>
    <row r="8214" spans="1:12" x14ac:dyDescent="0.35">
      <c r="A8214" s="3"/>
      <c r="B8214" s="2"/>
      <c r="C8214" s="2"/>
      <c r="D8214" s="2" t="b">
        <f>IF(AND(NOT(ISBLANK(Table1[[#This Row],[Fetal Sex (Male, Female or Unknown)]])),ISNUMBER(Table1[[#This Row],[Birthweight (grams)]]),ISNUMBER(Table1[[#This Row],[Gestation (days)]])),TRUE,FALSE)</f>
        <v>0</v>
      </c>
      <c r="E8214" s="2" t="str">
        <f>IF(Table1[[#This Row],[Is Data Valid]]=TRUE,IF(Table1[[#This Row],[Fetal Sex (Male, Female or Unknown)]]="Male",Backend!$C$6,IF(Table1[[#This Row],[Fetal Sex (Male, Female or Unknown)]]="Female",Backend!$C$7,IF(Table1[[#This Row],[Fetal Sex (Male, Female or Unknown)]]="Unknown",Backend!$C$8,"Error"))),"")</f>
        <v/>
      </c>
      <c r="F8214" s="8" t="str">
        <f>IF(Table1[[#This Row],[Is Data Valid]]=TRUE,EXP(0.578+0.332*((Table1[[#This Row],[Gestation (days)]]+0.5)/7)-0.00354*((Table1[[#This Row],[Gestation (days)]]+0.5)/7)^2)*Table1[[#This Row],[BW40_3705]],"")</f>
        <v/>
      </c>
      <c r="G8214" s="2" t="str">
        <f>IF(Table1[[#This Row],[Is Data Valid]]=TRUE,((Table1[[#This Row],[Birthweight (grams)]]/Table1[[#This Row],[BW_GA]])-1)/(Backend!$B$4/100*Table1[[#This Row],[BW40_3705]]),"")</f>
        <v/>
      </c>
      <c r="H8214" s="7" t="str">
        <f>IF(Table1[[#This Row],[Is Data Valid]]=TRUE,((Table1[[#This Row],[Birthweight (grams)]]*0.9/Table1[[#This Row],[BW_GA]])-1)/(Backend!$B$4/100*Table1[[#This Row],[BW40_3705]]),"")</f>
        <v/>
      </c>
      <c r="I8214" s="7" t="str">
        <f>IF(Table1[[#This Row],[Is Data Valid]]=TRUE,((Table1[[#This Row],[Birthweight (grams)]]*1.1/Table1[[#This Row],[BW_GA]])-1)/(Backend!$B$4/100*Table1[[#This Row],[BW40_3705]]),"")</f>
        <v/>
      </c>
      <c r="J8214" s="7" t="str">
        <f>IF(Table1[[#This Row],[Is Data Valid]]=TRUE,_xlfn.NORM.S.DIST(Table1[[#This Row],[Birthweight Z-Score]],TRUE)*100,"")</f>
        <v/>
      </c>
      <c r="K8214" s="7" t="str">
        <f>IF(Table1[[#This Row],[Is Data Valid]]=TRUE,_xlfn.NORM.S.DIST(Table1[[#This Row],[Birthweight Z-Score (BW-10%)]],TRUE)*100,"")</f>
        <v/>
      </c>
      <c r="L8214" s="7" t="str">
        <f>IF(Table1[[#This Row],[Is Data Valid]]=TRUE,_xlfn.NORM.S.DIST(Table1[[#This Row],[Birthweight Z-Score (BW+10%)]],TRUE)*100,"")</f>
        <v/>
      </c>
    </row>
    <row r="8215" spans="1:12" x14ac:dyDescent="0.35">
      <c r="A8215" s="3"/>
      <c r="B8215" s="2"/>
      <c r="C8215" s="2"/>
      <c r="D8215" s="2" t="b">
        <f>IF(AND(NOT(ISBLANK(Table1[[#This Row],[Fetal Sex (Male, Female or Unknown)]])),ISNUMBER(Table1[[#This Row],[Birthweight (grams)]]),ISNUMBER(Table1[[#This Row],[Gestation (days)]])),TRUE,FALSE)</f>
        <v>0</v>
      </c>
      <c r="E8215" s="2" t="str">
        <f>IF(Table1[[#This Row],[Is Data Valid]]=TRUE,IF(Table1[[#This Row],[Fetal Sex (Male, Female or Unknown)]]="Male",Backend!$C$6,IF(Table1[[#This Row],[Fetal Sex (Male, Female or Unknown)]]="Female",Backend!$C$7,IF(Table1[[#This Row],[Fetal Sex (Male, Female or Unknown)]]="Unknown",Backend!$C$8,"Error"))),"")</f>
        <v/>
      </c>
      <c r="F8215" s="8" t="str">
        <f>IF(Table1[[#This Row],[Is Data Valid]]=TRUE,EXP(0.578+0.332*((Table1[[#This Row],[Gestation (days)]]+0.5)/7)-0.00354*((Table1[[#This Row],[Gestation (days)]]+0.5)/7)^2)*Table1[[#This Row],[BW40_3705]],"")</f>
        <v/>
      </c>
      <c r="G8215" s="2" t="str">
        <f>IF(Table1[[#This Row],[Is Data Valid]]=TRUE,((Table1[[#This Row],[Birthweight (grams)]]/Table1[[#This Row],[BW_GA]])-1)/(Backend!$B$4/100*Table1[[#This Row],[BW40_3705]]),"")</f>
        <v/>
      </c>
      <c r="H8215" s="7" t="str">
        <f>IF(Table1[[#This Row],[Is Data Valid]]=TRUE,((Table1[[#This Row],[Birthweight (grams)]]*0.9/Table1[[#This Row],[BW_GA]])-1)/(Backend!$B$4/100*Table1[[#This Row],[BW40_3705]]),"")</f>
        <v/>
      </c>
      <c r="I8215" s="7" t="str">
        <f>IF(Table1[[#This Row],[Is Data Valid]]=TRUE,((Table1[[#This Row],[Birthweight (grams)]]*1.1/Table1[[#This Row],[BW_GA]])-1)/(Backend!$B$4/100*Table1[[#This Row],[BW40_3705]]),"")</f>
        <v/>
      </c>
      <c r="J8215" s="7" t="str">
        <f>IF(Table1[[#This Row],[Is Data Valid]]=TRUE,_xlfn.NORM.S.DIST(Table1[[#This Row],[Birthweight Z-Score]],TRUE)*100,"")</f>
        <v/>
      </c>
      <c r="K8215" s="7" t="str">
        <f>IF(Table1[[#This Row],[Is Data Valid]]=TRUE,_xlfn.NORM.S.DIST(Table1[[#This Row],[Birthweight Z-Score (BW-10%)]],TRUE)*100,"")</f>
        <v/>
      </c>
      <c r="L8215" s="7" t="str">
        <f>IF(Table1[[#This Row],[Is Data Valid]]=TRUE,_xlfn.NORM.S.DIST(Table1[[#This Row],[Birthweight Z-Score (BW+10%)]],TRUE)*100,"")</f>
        <v/>
      </c>
    </row>
    <row r="8216" spans="1:12" x14ac:dyDescent="0.35">
      <c r="A8216" s="3"/>
      <c r="B8216" s="2"/>
      <c r="C8216" s="2"/>
      <c r="D8216" s="2" t="b">
        <f>IF(AND(NOT(ISBLANK(Table1[[#This Row],[Fetal Sex (Male, Female or Unknown)]])),ISNUMBER(Table1[[#This Row],[Birthweight (grams)]]),ISNUMBER(Table1[[#This Row],[Gestation (days)]])),TRUE,FALSE)</f>
        <v>0</v>
      </c>
      <c r="E8216" s="2" t="str">
        <f>IF(Table1[[#This Row],[Is Data Valid]]=TRUE,IF(Table1[[#This Row],[Fetal Sex (Male, Female or Unknown)]]="Male",Backend!$C$6,IF(Table1[[#This Row],[Fetal Sex (Male, Female or Unknown)]]="Female",Backend!$C$7,IF(Table1[[#This Row],[Fetal Sex (Male, Female or Unknown)]]="Unknown",Backend!$C$8,"Error"))),"")</f>
        <v/>
      </c>
      <c r="F8216" s="8" t="str">
        <f>IF(Table1[[#This Row],[Is Data Valid]]=TRUE,EXP(0.578+0.332*((Table1[[#This Row],[Gestation (days)]]+0.5)/7)-0.00354*((Table1[[#This Row],[Gestation (days)]]+0.5)/7)^2)*Table1[[#This Row],[BW40_3705]],"")</f>
        <v/>
      </c>
      <c r="G8216" s="2" t="str">
        <f>IF(Table1[[#This Row],[Is Data Valid]]=TRUE,((Table1[[#This Row],[Birthweight (grams)]]/Table1[[#This Row],[BW_GA]])-1)/(Backend!$B$4/100*Table1[[#This Row],[BW40_3705]]),"")</f>
        <v/>
      </c>
      <c r="H8216" s="7" t="str">
        <f>IF(Table1[[#This Row],[Is Data Valid]]=TRUE,((Table1[[#This Row],[Birthweight (grams)]]*0.9/Table1[[#This Row],[BW_GA]])-1)/(Backend!$B$4/100*Table1[[#This Row],[BW40_3705]]),"")</f>
        <v/>
      </c>
      <c r="I8216" s="7" t="str">
        <f>IF(Table1[[#This Row],[Is Data Valid]]=TRUE,((Table1[[#This Row],[Birthweight (grams)]]*1.1/Table1[[#This Row],[BW_GA]])-1)/(Backend!$B$4/100*Table1[[#This Row],[BW40_3705]]),"")</f>
        <v/>
      </c>
      <c r="J8216" s="7" t="str">
        <f>IF(Table1[[#This Row],[Is Data Valid]]=TRUE,_xlfn.NORM.S.DIST(Table1[[#This Row],[Birthweight Z-Score]],TRUE)*100,"")</f>
        <v/>
      </c>
      <c r="K8216" s="7" t="str">
        <f>IF(Table1[[#This Row],[Is Data Valid]]=TRUE,_xlfn.NORM.S.DIST(Table1[[#This Row],[Birthweight Z-Score (BW-10%)]],TRUE)*100,"")</f>
        <v/>
      </c>
      <c r="L8216" s="7" t="str">
        <f>IF(Table1[[#This Row],[Is Data Valid]]=TRUE,_xlfn.NORM.S.DIST(Table1[[#This Row],[Birthweight Z-Score (BW+10%)]],TRUE)*100,"")</f>
        <v/>
      </c>
    </row>
    <row r="8217" spans="1:12" x14ac:dyDescent="0.35">
      <c r="A8217" s="3"/>
      <c r="B8217" s="2"/>
      <c r="C8217" s="2"/>
      <c r="D8217" s="2" t="b">
        <f>IF(AND(NOT(ISBLANK(Table1[[#This Row],[Fetal Sex (Male, Female or Unknown)]])),ISNUMBER(Table1[[#This Row],[Birthweight (grams)]]),ISNUMBER(Table1[[#This Row],[Gestation (days)]])),TRUE,FALSE)</f>
        <v>0</v>
      </c>
      <c r="E8217" s="2" t="str">
        <f>IF(Table1[[#This Row],[Is Data Valid]]=TRUE,IF(Table1[[#This Row],[Fetal Sex (Male, Female or Unknown)]]="Male",Backend!$C$6,IF(Table1[[#This Row],[Fetal Sex (Male, Female or Unknown)]]="Female",Backend!$C$7,IF(Table1[[#This Row],[Fetal Sex (Male, Female or Unknown)]]="Unknown",Backend!$C$8,"Error"))),"")</f>
        <v/>
      </c>
      <c r="F8217" s="8" t="str">
        <f>IF(Table1[[#This Row],[Is Data Valid]]=TRUE,EXP(0.578+0.332*((Table1[[#This Row],[Gestation (days)]]+0.5)/7)-0.00354*((Table1[[#This Row],[Gestation (days)]]+0.5)/7)^2)*Table1[[#This Row],[BW40_3705]],"")</f>
        <v/>
      </c>
      <c r="G8217" s="2" t="str">
        <f>IF(Table1[[#This Row],[Is Data Valid]]=TRUE,((Table1[[#This Row],[Birthweight (grams)]]/Table1[[#This Row],[BW_GA]])-1)/(Backend!$B$4/100*Table1[[#This Row],[BW40_3705]]),"")</f>
        <v/>
      </c>
      <c r="H8217" s="7" t="str">
        <f>IF(Table1[[#This Row],[Is Data Valid]]=TRUE,((Table1[[#This Row],[Birthweight (grams)]]*0.9/Table1[[#This Row],[BW_GA]])-1)/(Backend!$B$4/100*Table1[[#This Row],[BW40_3705]]),"")</f>
        <v/>
      </c>
      <c r="I8217" s="7" t="str">
        <f>IF(Table1[[#This Row],[Is Data Valid]]=TRUE,((Table1[[#This Row],[Birthweight (grams)]]*1.1/Table1[[#This Row],[BW_GA]])-1)/(Backend!$B$4/100*Table1[[#This Row],[BW40_3705]]),"")</f>
        <v/>
      </c>
      <c r="J8217" s="7" t="str">
        <f>IF(Table1[[#This Row],[Is Data Valid]]=TRUE,_xlfn.NORM.S.DIST(Table1[[#This Row],[Birthweight Z-Score]],TRUE)*100,"")</f>
        <v/>
      </c>
      <c r="K8217" s="7" t="str">
        <f>IF(Table1[[#This Row],[Is Data Valid]]=TRUE,_xlfn.NORM.S.DIST(Table1[[#This Row],[Birthweight Z-Score (BW-10%)]],TRUE)*100,"")</f>
        <v/>
      </c>
      <c r="L8217" s="7" t="str">
        <f>IF(Table1[[#This Row],[Is Data Valid]]=TRUE,_xlfn.NORM.S.DIST(Table1[[#This Row],[Birthweight Z-Score (BW+10%)]],TRUE)*100,"")</f>
        <v/>
      </c>
    </row>
    <row r="8218" spans="1:12" x14ac:dyDescent="0.35">
      <c r="A8218" s="3"/>
      <c r="B8218" s="2"/>
      <c r="C8218" s="2"/>
      <c r="D8218" s="2" t="b">
        <f>IF(AND(NOT(ISBLANK(Table1[[#This Row],[Fetal Sex (Male, Female or Unknown)]])),ISNUMBER(Table1[[#This Row],[Birthweight (grams)]]),ISNUMBER(Table1[[#This Row],[Gestation (days)]])),TRUE,FALSE)</f>
        <v>0</v>
      </c>
      <c r="E8218" s="2" t="str">
        <f>IF(Table1[[#This Row],[Is Data Valid]]=TRUE,IF(Table1[[#This Row],[Fetal Sex (Male, Female or Unknown)]]="Male",Backend!$C$6,IF(Table1[[#This Row],[Fetal Sex (Male, Female or Unknown)]]="Female",Backend!$C$7,IF(Table1[[#This Row],[Fetal Sex (Male, Female or Unknown)]]="Unknown",Backend!$C$8,"Error"))),"")</f>
        <v/>
      </c>
      <c r="F8218" s="8" t="str">
        <f>IF(Table1[[#This Row],[Is Data Valid]]=TRUE,EXP(0.578+0.332*((Table1[[#This Row],[Gestation (days)]]+0.5)/7)-0.00354*((Table1[[#This Row],[Gestation (days)]]+0.5)/7)^2)*Table1[[#This Row],[BW40_3705]],"")</f>
        <v/>
      </c>
      <c r="G8218" s="2" t="str">
        <f>IF(Table1[[#This Row],[Is Data Valid]]=TRUE,((Table1[[#This Row],[Birthweight (grams)]]/Table1[[#This Row],[BW_GA]])-1)/(Backend!$B$4/100*Table1[[#This Row],[BW40_3705]]),"")</f>
        <v/>
      </c>
      <c r="H8218" s="7" t="str">
        <f>IF(Table1[[#This Row],[Is Data Valid]]=TRUE,((Table1[[#This Row],[Birthweight (grams)]]*0.9/Table1[[#This Row],[BW_GA]])-1)/(Backend!$B$4/100*Table1[[#This Row],[BW40_3705]]),"")</f>
        <v/>
      </c>
      <c r="I8218" s="7" t="str">
        <f>IF(Table1[[#This Row],[Is Data Valid]]=TRUE,((Table1[[#This Row],[Birthweight (grams)]]*1.1/Table1[[#This Row],[BW_GA]])-1)/(Backend!$B$4/100*Table1[[#This Row],[BW40_3705]]),"")</f>
        <v/>
      </c>
      <c r="J8218" s="7" t="str">
        <f>IF(Table1[[#This Row],[Is Data Valid]]=TRUE,_xlfn.NORM.S.DIST(Table1[[#This Row],[Birthweight Z-Score]],TRUE)*100,"")</f>
        <v/>
      </c>
      <c r="K8218" s="7" t="str">
        <f>IF(Table1[[#This Row],[Is Data Valid]]=TRUE,_xlfn.NORM.S.DIST(Table1[[#This Row],[Birthweight Z-Score (BW-10%)]],TRUE)*100,"")</f>
        <v/>
      </c>
      <c r="L8218" s="7" t="str">
        <f>IF(Table1[[#This Row],[Is Data Valid]]=TRUE,_xlfn.NORM.S.DIST(Table1[[#This Row],[Birthweight Z-Score (BW+10%)]],TRUE)*100,"")</f>
        <v/>
      </c>
    </row>
    <row r="8219" spans="1:12" x14ac:dyDescent="0.35">
      <c r="A8219" s="3"/>
      <c r="B8219" s="2"/>
      <c r="C8219" s="2"/>
      <c r="D8219" s="2" t="b">
        <f>IF(AND(NOT(ISBLANK(Table1[[#This Row],[Fetal Sex (Male, Female or Unknown)]])),ISNUMBER(Table1[[#This Row],[Birthweight (grams)]]),ISNUMBER(Table1[[#This Row],[Gestation (days)]])),TRUE,FALSE)</f>
        <v>0</v>
      </c>
      <c r="E8219" s="2" t="str">
        <f>IF(Table1[[#This Row],[Is Data Valid]]=TRUE,IF(Table1[[#This Row],[Fetal Sex (Male, Female or Unknown)]]="Male",Backend!$C$6,IF(Table1[[#This Row],[Fetal Sex (Male, Female or Unknown)]]="Female",Backend!$C$7,IF(Table1[[#This Row],[Fetal Sex (Male, Female or Unknown)]]="Unknown",Backend!$C$8,"Error"))),"")</f>
        <v/>
      </c>
      <c r="F8219" s="8" t="str">
        <f>IF(Table1[[#This Row],[Is Data Valid]]=TRUE,EXP(0.578+0.332*((Table1[[#This Row],[Gestation (days)]]+0.5)/7)-0.00354*((Table1[[#This Row],[Gestation (days)]]+0.5)/7)^2)*Table1[[#This Row],[BW40_3705]],"")</f>
        <v/>
      </c>
      <c r="G8219" s="2" t="str">
        <f>IF(Table1[[#This Row],[Is Data Valid]]=TRUE,((Table1[[#This Row],[Birthweight (grams)]]/Table1[[#This Row],[BW_GA]])-1)/(Backend!$B$4/100*Table1[[#This Row],[BW40_3705]]),"")</f>
        <v/>
      </c>
      <c r="H8219" s="7" t="str">
        <f>IF(Table1[[#This Row],[Is Data Valid]]=TRUE,((Table1[[#This Row],[Birthweight (grams)]]*0.9/Table1[[#This Row],[BW_GA]])-1)/(Backend!$B$4/100*Table1[[#This Row],[BW40_3705]]),"")</f>
        <v/>
      </c>
      <c r="I8219" s="7" t="str">
        <f>IF(Table1[[#This Row],[Is Data Valid]]=TRUE,((Table1[[#This Row],[Birthweight (grams)]]*1.1/Table1[[#This Row],[BW_GA]])-1)/(Backend!$B$4/100*Table1[[#This Row],[BW40_3705]]),"")</f>
        <v/>
      </c>
      <c r="J8219" s="7" t="str">
        <f>IF(Table1[[#This Row],[Is Data Valid]]=TRUE,_xlfn.NORM.S.DIST(Table1[[#This Row],[Birthweight Z-Score]],TRUE)*100,"")</f>
        <v/>
      </c>
      <c r="K8219" s="7" t="str">
        <f>IF(Table1[[#This Row],[Is Data Valid]]=TRUE,_xlfn.NORM.S.DIST(Table1[[#This Row],[Birthweight Z-Score (BW-10%)]],TRUE)*100,"")</f>
        <v/>
      </c>
      <c r="L8219" s="7" t="str">
        <f>IF(Table1[[#This Row],[Is Data Valid]]=TRUE,_xlfn.NORM.S.DIST(Table1[[#This Row],[Birthweight Z-Score (BW+10%)]],TRUE)*100,"")</f>
        <v/>
      </c>
    </row>
    <row r="8220" spans="1:12" x14ac:dyDescent="0.35">
      <c r="A8220" s="3"/>
      <c r="B8220" s="2"/>
      <c r="C8220" s="2"/>
      <c r="D8220" s="2" t="b">
        <f>IF(AND(NOT(ISBLANK(Table1[[#This Row],[Fetal Sex (Male, Female or Unknown)]])),ISNUMBER(Table1[[#This Row],[Birthweight (grams)]]),ISNUMBER(Table1[[#This Row],[Gestation (days)]])),TRUE,FALSE)</f>
        <v>0</v>
      </c>
      <c r="E8220" s="2" t="str">
        <f>IF(Table1[[#This Row],[Is Data Valid]]=TRUE,IF(Table1[[#This Row],[Fetal Sex (Male, Female or Unknown)]]="Male",Backend!$C$6,IF(Table1[[#This Row],[Fetal Sex (Male, Female or Unknown)]]="Female",Backend!$C$7,IF(Table1[[#This Row],[Fetal Sex (Male, Female or Unknown)]]="Unknown",Backend!$C$8,"Error"))),"")</f>
        <v/>
      </c>
      <c r="F8220" s="8" t="str">
        <f>IF(Table1[[#This Row],[Is Data Valid]]=TRUE,EXP(0.578+0.332*((Table1[[#This Row],[Gestation (days)]]+0.5)/7)-0.00354*((Table1[[#This Row],[Gestation (days)]]+0.5)/7)^2)*Table1[[#This Row],[BW40_3705]],"")</f>
        <v/>
      </c>
      <c r="G8220" s="2" t="str">
        <f>IF(Table1[[#This Row],[Is Data Valid]]=TRUE,((Table1[[#This Row],[Birthweight (grams)]]/Table1[[#This Row],[BW_GA]])-1)/(Backend!$B$4/100*Table1[[#This Row],[BW40_3705]]),"")</f>
        <v/>
      </c>
      <c r="H8220" s="7" t="str">
        <f>IF(Table1[[#This Row],[Is Data Valid]]=TRUE,((Table1[[#This Row],[Birthweight (grams)]]*0.9/Table1[[#This Row],[BW_GA]])-1)/(Backend!$B$4/100*Table1[[#This Row],[BW40_3705]]),"")</f>
        <v/>
      </c>
      <c r="I8220" s="7" t="str">
        <f>IF(Table1[[#This Row],[Is Data Valid]]=TRUE,((Table1[[#This Row],[Birthweight (grams)]]*1.1/Table1[[#This Row],[BW_GA]])-1)/(Backend!$B$4/100*Table1[[#This Row],[BW40_3705]]),"")</f>
        <v/>
      </c>
      <c r="J8220" s="7" t="str">
        <f>IF(Table1[[#This Row],[Is Data Valid]]=TRUE,_xlfn.NORM.S.DIST(Table1[[#This Row],[Birthweight Z-Score]],TRUE)*100,"")</f>
        <v/>
      </c>
      <c r="K8220" s="7" t="str">
        <f>IF(Table1[[#This Row],[Is Data Valid]]=TRUE,_xlfn.NORM.S.DIST(Table1[[#This Row],[Birthweight Z-Score (BW-10%)]],TRUE)*100,"")</f>
        <v/>
      </c>
      <c r="L8220" s="7" t="str">
        <f>IF(Table1[[#This Row],[Is Data Valid]]=TRUE,_xlfn.NORM.S.DIST(Table1[[#This Row],[Birthweight Z-Score (BW+10%)]],TRUE)*100,"")</f>
        <v/>
      </c>
    </row>
    <row r="8221" spans="1:12" x14ac:dyDescent="0.35">
      <c r="A8221" s="3"/>
      <c r="B8221" s="2"/>
      <c r="C8221" s="2"/>
      <c r="D8221" s="2" t="b">
        <f>IF(AND(NOT(ISBLANK(Table1[[#This Row],[Fetal Sex (Male, Female or Unknown)]])),ISNUMBER(Table1[[#This Row],[Birthweight (grams)]]),ISNUMBER(Table1[[#This Row],[Gestation (days)]])),TRUE,FALSE)</f>
        <v>0</v>
      </c>
      <c r="E8221" s="2" t="str">
        <f>IF(Table1[[#This Row],[Is Data Valid]]=TRUE,IF(Table1[[#This Row],[Fetal Sex (Male, Female or Unknown)]]="Male",Backend!$C$6,IF(Table1[[#This Row],[Fetal Sex (Male, Female or Unknown)]]="Female",Backend!$C$7,IF(Table1[[#This Row],[Fetal Sex (Male, Female or Unknown)]]="Unknown",Backend!$C$8,"Error"))),"")</f>
        <v/>
      </c>
      <c r="F8221" s="8" t="str">
        <f>IF(Table1[[#This Row],[Is Data Valid]]=TRUE,EXP(0.578+0.332*((Table1[[#This Row],[Gestation (days)]]+0.5)/7)-0.00354*((Table1[[#This Row],[Gestation (days)]]+0.5)/7)^2)*Table1[[#This Row],[BW40_3705]],"")</f>
        <v/>
      </c>
      <c r="G8221" s="2" t="str">
        <f>IF(Table1[[#This Row],[Is Data Valid]]=TRUE,((Table1[[#This Row],[Birthweight (grams)]]/Table1[[#This Row],[BW_GA]])-1)/(Backend!$B$4/100*Table1[[#This Row],[BW40_3705]]),"")</f>
        <v/>
      </c>
      <c r="H8221" s="7" t="str">
        <f>IF(Table1[[#This Row],[Is Data Valid]]=TRUE,((Table1[[#This Row],[Birthweight (grams)]]*0.9/Table1[[#This Row],[BW_GA]])-1)/(Backend!$B$4/100*Table1[[#This Row],[BW40_3705]]),"")</f>
        <v/>
      </c>
      <c r="I8221" s="7" t="str">
        <f>IF(Table1[[#This Row],[Is Data Valid]]=TRUE,((Table1[[#This Row],[Birthweight (grams)]]*1.1/Table1[[#This Row],[BW_GA]])-1)/(Backend!$B$4/100*Table1[[#This Row],[BW40_3705]]),"")</f>
        <v/>
      </c>
      <c r="J8221" s="7" t="str">
        <f>IF(Table1[[#This Row],[Is Data Valid]]=TRUE,_xlfn.NORM.S.DIST(Table1[[#This Row],[Birthweight Z-Score]],TRUE)*100,"")</f>
        <v/>
      </c>
      <c r="K8221" s="7" t="str">
        <f>IF(Table1[[#This Row],[Is Data Valid]]=TRUE,_xlfn.NORM.S.DIST(Table1[[#This Row],[Birthweight Z-Score (BW-10%)]],TRUE)*100,"")</f>
        <v/>
      </c>
      <c r="L8221" s="7" t="str">
        <f>IF(Table1[[#This Row],[Is Data Valid]]=TRUE,_xlfn.NORM.S.DIST(Table1[[#This Row],[Birthweight Z-Score (BW+10%)]],TRUE)*100,"")</f>
        <v/>
      </c>
    </row>
    <row r="8222" spans="1:12" x14ac:dyDescent="0.35">
      <c r="A8222" s="3"/>
      <c r="B8222" s="2"/>
      <c r="C8222" s="2"/>
      <c r="D8222" s="2" t="b">
        <f>IF(AND(NOT(ISBLANK(Table1[[#This Row],[Fetal Sex (Male, Female or Unknown)]])),ISNUMBER(Table1[[#This Row],[Birthweight (grams)]]),ISNUMBER(Table1[[#This Row],[Gestation (days)]])),TRUE,FALSE)</f>
        <v>0</v>
      </c>
      <c r="E8222" s="2" t="str">
        <f>IF(Table1[[#This Row],[Is Data Valid]]=TRUE,IF(Table1[[#This Row],[Fetal Sex (Male, Female or Unknown)]]="Male",Backend!$C$6,IF(Table1[[#This Row],[Fetal Sex (Male, Female or Unknown)]]="Female",Backend!$C$7,IF(Table1[[#This Row],[Fetal Sex (Male, Female or Unknown)]]="Unknown",Backend!$C$8,"Error"))),"")</f>
        <v/>
      </c>
      <c r="F8222" s="8" t="str">
        <f>IF(Table1[[#This Row],[Is Data Valid]]=TRUE,EXP(0.578+0.332*((Table1[[#This Row],[Gestation (days)]]+0.5)/7)-0.00354*((Table1[[#This Row],[Gestation (days)]]+0.5)/7)^2)*Table1[[#This Row],[BW40_3705]],"")</f>
        <v/>
      </c>
      <c r="G8222" s="2" t="str">
        <f>IF(Table1[[#This Row],[Is Data Valid]]=TRUE,((Table1[[#This Row],[Birthweight (grams)]]/Table1[[#This Row],[BW_GA]])-1)/(Backend!$B$4/100*Table1[[#This Row],[BW40_3705]]),"")</f>
        <v/>
      </c>
      <c r="H8222" s="7" t="str">
        <f>IF(Table1[[#This Row],[Is Data Valid]]=TRUE,((Table1[[#This Row],[Birthweight (grams)]]*0.9/Table1[[#This Row],[BW_GA]])-1)/(Backend!$B$4/100*Table1[[#This Row],[BW40_3705]]),"")</f>
        <v/>
      </c>
      <c r="I8222" s="7" t="str">
        <f>IF(Table1[[#This Row],[Is Data Valid]]=TRUE,((Table1[[#This Row],[Birthweight (grams)]]*1.1/Table1[[#This Row],[BW_GA]])-1)/(Backend!$B$4/100*Table1[[#This Row],[BW40_3705]]),"")</f>
        <v/>
      </c>
      <c r="J8222" s="7" t="str">
        <f>IF(Table1[[#This Row],[Is Data Valid]]=TRUE,_xlfn.NORM.S.DIST(Table1[[#This Row],[Birthweight Z-Score]],TRUE)*100,"")</f>
        <v/>
      </c>
      <c r="K8222" s="7" t="str">
        <f>IF(Table1[[#This Row],[Is Data Valid]]=TRUE,_xlfn.NORM.S.DIST(Table1[[#This Row],[Birthweight Z-Score (BW-10%)]],TRUE)*100,"")</f>
        <v/>
      </c>
      <c r="L8222" s="7" t="str">
        <f>IF(Table1[[#This Row],[Is Data Valid]]=TRUE,_xlfn.NORM.S.DIST(Table1[[#This Row],[Birthweight Z-Score (BW+10%)]],TRUE)*100,"")</f>
        <v/>
      </c>
    </row>
    <row r="8223" spans="1:12" x14ac:dyDescent="0.35">
      <c r="A8223" s="3"/>
      <c r="B8223" s="2"/>
      <c r="C8223" s="2"/>
      <c r="D8223" s="2" t="b">
        <f>IF(AND(NOT(ISBLANK(Table1[[#This Row],[Fetal Sex (Male, Female or Unknown)]])),ISNUMBER(Table1[[#This Row],[Birthweight (grams)]]),ISNUMBER(Table1[[#This Row],[Gestation (days)]])),TRUE,FALSE)</f>
        <v>0</v>
      </c>
      <c r="E8223" s="2" t="str">
        <f>IF(Table1[[#This Row],[Is Data Valid]]=TRUE,IF(Table1[[#This Row],[Fetal Sex (Male, Female or Unknown)]]="Male",Backend!$C$6,IF(Table1[[#This Row],[Fetal Sex (Male, Female or Unknown)]]="Female",Backend!$C$7,IF(Table1[[#This Row],[Fetal Sex (Male, Female or Unknown)]]="Unknown",Backend!$C$8,"Error"))),"")</f>
        <v/>
      </c>
      <c r="F8223" s="8" t="str">
        <f>IF(Table1[[#This Row],[Is Data Valid]]=TRUE,EXP(0.578+0.332*((Table1[[#This Row],[Gestation (days)]]+0.5)/7)-0.00354*((Table1[[#This Row],[Gestation (days)]]+0.5)/7)^2)*Table1[[#This Row],[BW40_3705]],"")</f>
        <v/>
      </c>
      <c r="G8223" s="2" t="str">
        <f>IF(Table1[[#This Row],[Is Data Valid]]=TRUE,((Table1[[#This Row],[Birthweight (grams)]]/Table1[[#This Row],[BW_GA]])-1)/(Backend!$B$4/100*Table1[[#This Row],[BW40_3705]]),"")</f>
        <v/>
      </c>
      <c r="H8223" s="7" t="str">
        <f>IF(Table1[[#This Row],[Is Data Valid]]=TRUE,((Table1[[#This Row],[Birthweight (grams)]]*0.9/Table1[[#This Row],[BW_GA]])-1)/(Backend!$B$4/100*Table1[[#This Row],[BW40_3705]]),"")</f>
        <v/>
      </c>
      <c r="I8223" s="7" t="str">
        <f>IF(Table1[[#This Row],[Is Data Valid]]=TRUE,((Table1[[#This Row],[Birthweight (grams)]]*1.1/Table1[[#This Row],[BW_GA]])-1)/(Backend!$B$4/100*Table1[[#This Row],[BW40_3705]]),"")</f>
        <v/>
      </c>
      <c r="J8223" s="7" t="str">
        <f>IF(Table1[[#This Row],[Is Data Valid]]=TRUE,_xlfn.NORM.S.DIST(Table1[[#This Row],[Birthweight Z-Score]],TRUE)*100,"")</f>
        <v/>
      </c>
      <c r="K8223" s="7" t="str">
        <f>IF(Table1[[#This Row],[Is Data Valid]]=TRUE,_xlfn.NORM.S.DIST(Table1[[#This Row],[Birthweight Z-Score (BW-10%)]],TRUE)*100,"")</f>
        <v/>
      </c>
      <c r="L8223" s="7" t="str">
        <f>IF(Table1[[#This Row],[Is Data Valid]]=TRUE,_xlfn.NORM.S.DIST(Table1[[#This Row],[Birthweight Z-Score (BW+10%)]],TRUE)*100,"")</f>
        <v/>
      </c>
    </row>
    <row r="8224" spans="1:12" x14ac:dyDescent="0.35">
      <c r="A8224" s="3"/>
      <c r="B8224" s="2"/>
      <c r="C8224" s="2"/>
      <c r="D8224" s="2" t="b">
        <f>IF(AND(NOT(ISBLANK(Table1[[#This Row],[Fetal Sex (Male, Female or Unknown)]])),ISNUMBER(Table1[[#This Row],[Birthweight (grams)]]),ISNUMBER(Table1[[#This Row],[Gestation (days)]])),TRUE,FALSE)</f>
        <v>0</v>
      </c>
      <c r="E8224" s="2" t="str">
        <f>IF(Table1[[#This Row],[Is Data Valid]]=TRUE,IF(Table1[[#This Row],[Fetal Sex (Male, Female or Unknown)]]="Male",Backend!$C$6,IF(Table1[[#This Row],[Fetal Sex (Male, Female or Unknown)]]="Female",Backend!$C$7,IF(Table1[[#This Row],[Fetal Sex (Male, Female or Unknown)]]="Unknown",Backend!$C$8,"Error"))),"")</f>
        <v/>
      </c>
      <c r="F8224" s="8" t="str">
        <f>IF(Table1[[#This Row],[Is Data Valid]]=TRUE,EXP(0.578+0.332*((Table1[[#This Row],[Gestation (days)]]+0.5)/7)-0.00354*((Table1[[#This Row],[Gestation (days)]]+0.5)/7)^2)*Table1[[#This Row],[BW40_3705]],"")</f>
        <v/>
      </c>
      <c r="G8224" s="2" t="str">
        <f>IF(Table1[[#This Row],[Is Data Valid]]=TRUE,((Table1[[#This Row],[Birthweight (grams)]]/Table1[[#This Row],[BW_GA]])-1)/(Backend!$B$4/100*Table1[[#This Row],[BW40_3705]]),"")</f>
        <v/>
      </c>
      <c r="H8224" s="7" t="str">
        <f>IF(Table1[[#This Row],[Is Data Valid]]=TRUE,((Table1[[#This Row],[Birthweight (grams)]]*0.9/Table1[[#This Row],[BW_GA]])-1)/(Backend!$B$4/100*Table1[[#This Row],[BW40_3705]]),"")</f>
        <v/>
      </c>
      <c r="I8224" s="7" t="str">
        <f>IF(Table1[[#This Row],[Is Data Valid]]=TRUE,((Table1[[#This Row],[Birthweight (grams)]]*1.1/Table1[[#This Row],[BW_GA]])-1)/(Backend!$B$4/100*Table1[[#This Row],[BW40_3705]]),"")</f>
        <v/>
      </c>
      <c r="J8224" s="7" t="str">
        <f>IF(Table1[[#This Row],[Is Data Valid]]=TRUE,_xlfn.NORM.S.DIST(Table1[[#This Row],[Birthweight Z-Score]],TRUE)*100,"")</f>
        <v/>
      </c>
      <c r="K8224" s="7" t="str">
        <f>IF(Table1[[#This Row],[Is Data Valid]]=TRUE,_xlfn.NORM.S.DIST(Table1[[#This Row],[Birthweight Z-Score (BW-10%)]],TRUE)*100,"")</f>
        <v/>
      </c>
      <c r="L8224" s="7" t="str">
        <f>IF(Table1[[#This Row],[Is Data Valid]]=TRUE,_xlfn.NORM.S.DIST(Table1[[#This Row],[Birthweight Z-Score (BW+10%)]],TRUE)*100,"")</f>
        <v/>
      </c>
    </row>
    <row r="8225" spans="1:12" x14ac:dyDescent="0.35">
      <c r="A8225" s="3"/>
      <c r="B8225" s="2"/>
      <c r="C8225" s="2"/>
      <c r="D8225" s="2" t="b">
        <f>IF(AND(NOT(ISBLANK(Table1[[#This Row],[Fetal Sex (Male, Female or Unknown)]])),ISNUMBER(Table1[[#This Row],[Birthweight (grams)]]),ISNUMBER(Table1[[#This Row],[Gestation (days)]])),TRUE,FALSE)</f>
        <v>0</v>
      </c>
      <c r="E8225" s="2" t="str">
        <f>IF(Table1[[#This Row],[Is Data Valid]]=TRUE,IF(Table1[[#This Row],[Fetal Sex (Male, Female or Unknown)]]="Male",Backend!$C$6,IF(Table1[[#This Row],[Fetal Sex (Male, Female or Unknown)]]="Female",Backend!$C$7,IF(Table1[[#This Row],[Fetal Sex (Male, Female or Unknown)]]="Unknown",Backend!$C$8,"Error"))),"")</f>
        <v/>
      </c>
      <c r="F8225" s="8" t="str">
        <f>IF(Table1[[#This Row],[Is Data Valid]]=TRUE,EXP(0.578+0.332*((Table1[[#This Row],[Gestation (days)]]+0.5)/7)-0.00354*((Table1[[#This Row],[Gestation (days)]]+0.5)/7)^2)*Table1[[#This Row],[BW40_3705]],"")</f>
        <v/>
      </c>
      <c r="G8225" s="2" t="str">
        <f>IF(Table1[[#This Row],[Is Data Valid]]=TRUE,((Table1[[#This Row],[Birthweight (grams)]]/Table1[[#This Row],[BW_GA]])-1)/(Backend!$B$4/100*Table1[[#This Row],[BW40_3705]]),"")</f>
        <v/>
      </c>
      <c r="H8225" s="7" t="str">
        <f>IF(Table1[[#This Row],[Is Data Valid]]=TRUE,((Table1[[#This Row],[Birthweight (grams)]]*0.9/Table1[[#This Row],[BW_GA]])-1)/(Backend!$B$4/100*Table1[[#This Row],[BW40_3705]]),"")</f>
        <v/>
      </c>
      <c r="I8225" s="7" t="str">
        <f>IF(Table1[[#This Row],[Is Data Valid]]=TRUE,((Table1[[#This Row],[Birthweight (grams)]]*1.1/Table1[[#This Row],[BW_GA]])-1)/(Backend!$B$4/100*Table1[[#This Row],[BW40_3705]]),"")</f>
        <v/>
      </c>
      <c r="J8225" s="7" t="str">
        <f>IF(Table1[[#This Row],[Is Data Valid]]=TRUE,_xlfn.NORM.S.DIST(Table1[[#This Row],[Birthweight Z-Score]],TRUE)*100,"")</f>
        <v/>
      </c>
      <c r="K8225" s="7" t="str">
        <f>IF(Table1[[#This Row],[Is Data Valid]]=TRUE,_xlfn.NORM.S.DIST(Table1[[#This Row],[Birthweight Z-Score (BW-10%)]],TRUE)*100,"")</f>
        <v/>
      </c>
      <c r="L8225" s="7" t="str">
        <f>IF(Table1[[#This Row],[Is Data Valid]]=TRUE,_xlfn.NORM.S.DIST(Table1[[#This Row],[Birthweight Z-Score (BW+10%)]],TRUE)*100,"")</f>
        <v/>
      </c>
    </row>
    <row r="8226" spans="1:12" x14ac:dyDescent="0.35">
      <c r="A8226" s="3"/>
      <c r="B8226" s="2"/>
      <c r="C8226" s="2"/>
      <c r="D8226" s="2" t="b">
        <f>IF(AND(NOT(ISBLANK(Table1[[#This Row],[Fetal Sex (Male, Female or Unknown)]])),ISNUMBER(Table1[[#This Row],[Birthweight (grams)]]),ISNUMBER(Table1[[#This Row],[Gestation (days)]])),TRUE,FALSE)</f>
        <v>0</v>
      </c>
      <c r="E8226" s="2" t="str">
        <f>IF(Table1[[#This Row],[Is Data Valid]]=TRUE,IF(Table1[[#This Row],[Fetal Sex (Male, Female or Unknown)]]="Male",Backend!$C$6,IF(Table1[[#This Row],[Fetal Sex (Male, Female or Unknown)]]="Female",Backend!$C$7,IF(Table1[[#This Row],[Fetal Sex (Male, Female or Unknown)]]="Unknown",Backend!$C$8,"Error"))),"")</f>
        <v/>
      </c>
      <c r="F8226" s="8" t="str">
        <f>IF(Table1[[#This Row],[Is Data Valid]]=TRUE,EXP(0.578+0.332*((Table1[[#This Row],[Gestation (days)]]+0.5)/7)-0.00354*((Table1[[#This Row],[Gestation (days)]]+0.5)/7)^2)*Table1[[#This Row],[BW40_3705]],"")</f>
        <v/>
      </c>
      <c r="G8226" s="2" t="str">
        <f>IF(Table1[[#This Row],[Is Data Valid]]=TRUE,((Table1[[#This Row],[Birthweight (grams)]]/Table1[[#This Row],[BW_GA]])-1)/(Backend!$B$4/100*Table1[[#This Row],[BW40_3705]]),"")</f>
        <v/>
      </c>
      <c r="H8226" s="7" t="str">
        <f>IF(Table1[[#This Row],[Is Data Valid]]=TRUE,((Table1[[#This Row],[Birthweight (grams)]]*0.9/Table1[[#This Row],[BW_GA]])-1)/(Backend!$B$4/100*Table1[[#This Row],[BW40_3705]]),"")</f>
        <v/>
      </c>
      <c r="I8226" s="7" t="str">
        <f>IF(Table1[[#This Row],[Is Data Valid]]=TRUE,((Table1[[#This Row],[Birthweight (grams)]]*1.1/Table1[[#This Row],[BW_GA]])-1)/(Backend!$B$4/100*Table1[[#This Row],[BW40_3705]]),"")</f>
        <v/>
      </c>
      <c r="J8226" s="7" t="str">
        <f>IF(Table1[[#This Row],[Is Data Valid]]=TRUE,_xlfn.NORM.S.DIST(Table1[[#This Row],[Birthweight Z-Score]],TRUE)*100,"")</f>
        <v/>
      </c>
      <c r="K8226" s="7" t="str">
        <f>IF(Table1[[#This Row],[Is Data Valid]]=TRUE,_xlfn.NORM.S.DIST(Table1[[#This Row],[Birthweight Z-Score (BW-10%)]],TRUE)*100,"")</f>
        <v/>
      </c>
      <c r="L8226" s="7" t="str">
        <f>IF(Table1[[#This Row],[Is Data Valid]]=TRUE,_xlfn.NORM.S.DIST(Table1[[#This Row],[Birthweight Z-Score (BW+10%)]],TRUE)*100,"")</f>
        <v/>
      </c>
    </row>
    <row r="8227" spans="1:12" x14ac:dyDescent="0.35">
      <c r="A8227" s="3"/>
      <c r="B8227" s="2"/>
      <c r="C8227" s="2"/>
      <c r="D8227" s="2" t="b">
        <f>IF(AND(NOT(ISBLANK(Table1[[#This Row],[Fetal Sex (Male, Female or Unknown)]])),ISNUMBER(Table1[[#This Row],[Birthweight (grams)]]),ISNUMBER(Table1[[#This Row],[Gestation (days)]])),TRUE,FALSE)</f>
        <v>0</v>
      </c>
      <c r="E8227" s="2" t="str">
        <f>IF(Table1[[#This Row],[Is Data Valid]]=TRUE,IF(Table1[[#This Row],[Fetal Sex (Male, Female or Unknown)]]="Male",Backend!$C$6,IF(Table1[[#This Row],[Fetal Sex (Male, Female or Unknown)]]="Female",Backend!$C$7,IF(Table1[[#This Row],[Fetal Sex (Male, Female or Unknown)]]="Unknown",Backend!$C$8,"Error"))),"")</f>
        <v/>
      </c>
      <c r="F8227" s="8" t="str">
        <f>IF(Table1[[#This Row],[Is Data Valid]]=TRUE,EXP(0.578+0.332*((Table1[[#This Row],[Gestation (days)]]+0.5)/7)-0.00354*((Table1[[#This Row],[Gestation (days)]]+0.5)/7)^2)*Table1[[#This Row],[BW40_3705]],"")</f>
        <v/>
      </c>
      <c r="G8227" s="2" t="str">
        <f>IF(Table1[[#This Row],[Is Data Valid]]=TRUE,((Table1[[#This Row],[Birthweight (grams)]]/Table1[[#This Row],[BW_GA]])-1)/(Backend!$B$4/100*Table1[[#This Row],[BW40_3705]]),"")</f>
        <v/>
      </c>
      <c r="H8227" s="7" t="str">
        <f>IF(Table1[[#This Row],[Is Data Valid]]=TRUE,((Table1[[#This Row],[Birthweight (grams)]]*0.9/Table1[[#This Row],[BW_GA]])-1)/(Backend!$B$4/100*Table1[[#This Row],[BW40_3705]]),"")</f>
        <v/>
      </c>
      <c r="I8227" s="7" t="str">
        <f>IF(Table1[[#This Row],[Is Data Valid]]=TRUE,((Table1[[#This Row],[Birthweight (grams)]]*1.1/Table1[[#This Row],[BW_GA]])-1)/(Backend!$B$4/100*Table1[[#This Row],[BW40_3705]]),"")</f>
        <v/>
      </c>
      <c r="J8227" s="7" t="str">
        <f>IF(Table1[[#This Row],[Is Data Valid]]=TRUE,_xlfn.NORM.S.DIST(Table1[[#This Row],[Birthweight Z-Score]],TRUE)*100,"")</f>
        <v/>
      </c>
      <c r="K8227" s="7" t="str">
        <f>IF(Table1[[#This Row],[Is Data Valid]]=TRUE,_xlfn.NORM.S.DIST(Table1[[#This Row],[Birthweight Z-Score (BW-10%)]],TRUE)*100,"")</f>
        <v/>
      </c>
      <c r="L8227" s="7" t="str">
        <f>IF(Table1[[#This Row],[Is Data Valid]]=TRUE,_xlfn.NORM.S.DIST(Table1[[#This Row],[Birthweight Z-Score (BW+10%)]],TRUE)*100,"")</f>
        <v/>
      </c>
    </row>
    <row r="8228" spans="1:12" x14ac:dyDescent="0.35">
      <c r="A8228" s="3"/>
      <c r="B8228" s="2"/>
      <c r="C8228" s="2"/>
      <c r="D8228" s="2" t="b">
        <f>IF(AND(NOT(ISBLANK(Table1[[#This Row],[Fetal Sex (Male, Female or Unknown)]])),ISNUMBER(Table1[[#This Row],[Birthweight (grams)]]),ISNUMBER(Table1[[#This Row],[Gestation (days)]])),TRUE,FALSE)</f>
        <v>0</v>
      </c>
      <c r="E8228" s="2" t="str">
        <f>IF(Table1[[#This Row],[Is Data Valid]]=TRUE,IF(Table1[[#This Row],[Fetal Sex (Male, Female or Unknown)]]="Male",Backend!$C$6,IF(Table1[[#This Row],[Fetal Sex (Male, Female or Unknown)]]="Female",Backend!$C$7,IF(Table1[[#This Row],[Fetal Sex (Male, Female or Unknown)]]="Unknown",Backend!$C$8,"Error"))),"")</f>
        <v/>
      </c>
      <c r="F8228" s="8" t="str">
        <f>IF(Table1[[#This Row],[Is Data Valid]]=TRUE,EXP(0.578+0.332*((Table1[[#This Row],[Gestation (days)]]+0.5)/7)-0.00354*((Table1[[#This Row],[Gestation (days)]]+0.5)/7)^2)*Table1[[#This Row],[BW40_3705]],"")</f>
        <v/>
      </c>
      <c r="G8228" s="2" t="str">
        <f>IF(Table1[[#This Row],[Is Data Valid]]=TRUE,((Table1[[#This Row],[Birthweight (grams)]]/Table1[[#This Row],[BW_GA]])-1)/(Backend!$B$4/100*Table1[[#This Row],[BW40_3705]]),"")</f>
        <v/>
      </c>
      <c r="H8228" s="7" t="str">
        <f>IF(Table1[[#This Row],[Is Data Valid]]=TRUE,((Table1[[#This Row],[Birthweight (grams)]]*0.9/Table1[[#This Row],[BW_GA]])-1)/(Backend!$B$4/100*Table1[[#This Row],[BW40_3705]]),"")</f>
        <v/>
      </c>
      <c r="I8228" s="7" t="str">
        <f>IF(Table1[[#This Row],[Is Data Valid]]=TRUE,((Table1[[#This Row],[Birthweight (grams)]]*1.1/Table1[[#This Row],[BW_GA]])-1)/(Backend!$B$4/100*Table1[[#This Row],[BW40_3705]]),"")</f>
        <v/>
      </c>
      <c r="J8228" s="7" t="str">
        <f>IF(Table1[[#This Row],[Is Data Valid]]=TRUE,_xlfn.NORM.S.DIST(Table1[[#This Row],[Birthweight Z-Score]],TRUE)*100,"")</f>
        <v/>
      </c>
      <c r="K8228" s="7" t="str">
        <f>IF(Table1[[#This Row],[Is Data Valid]]=TRUE,_xlfn.NORM.S.DIST(Table1[[#This Row],[Birthweight Z-Score (BW-10%)]],TRUE)*100,"")</f>
        <v/>
      </c>
      <c r="L8228" s="7" t="str">
        <f>IF(Table1[[#This Row],[Is Data Valid]]=TRUE,_xlfn.NORM.S.DIST(Table1[[#This Row],[Birthweight Z-Score (BW+10%)]],TRUE)*100,"")</f>
        <v/>
      </c>
    </row>
    <row r="8229" spans="1:12" x14ac:dyDescent="0.35">
      <c r="A8229" s="3"/>
      <c r="B8229" s="2"/>
      <c r="C8229" s="2"/>
      <c r="D8229" s="2" t="b">
        <f>IF(AND(NOT(ISBLANK(Table1[[#This Row],[Fetal Sex (Male, Female or Unknown)]])),ISNUMBER(Table1[[#This Row],[Birthweight (grams)]]),ISNUMBER(Table1[[#This Row],[Gestation (days)]])),TRUE,FALSE)</f>
        <v>0</v>
      </c>
      <c r="E8229" s="2" t="str">
        <f>IF(Table1[[#This Row],[Is Data Valid]]=TRUE,IF(Table1[[#This Row],[Fetal Sex (Male, Female or Unknown)]]="Male",Backend!$C$6,IF(Table1[[#This Row],[Fetal Sex (Male, Female or Unknown)]]="Female",Backend!$C$7,IF(Table1[[#This Row],[Fetal Sex (Male, Female or Unknown)]]="Unknown",Backend!$C$8,"Error"))),"")</f>
        <v/>
      </c>
      <c r="F8229" s="8" t="str">
        <f>IF(Table1[[#This Row],[Is Data Valid]]=TRUE,EXP(0.578+0.332*((Table1[[#This Row],[Gestation (days)]]+0.5)/7)-0.00354*((Table1[[#This Row],[Gestation (days)]]+0.5)/7)^2)*Table1[[#This Row],[BW40_3705]],"")</f>
        <v/>
      </c>
      <c r="G8229" s="2" t="str">
        <f>IF(Table1[[#This Row],[Is Data Valid]]=TRUE,((Table1[[#This Row],[Birthweight (grams)]]/Table1[[#This Row],[BW_GA]])-1)/(Backend!$B$4/100*Table1[[#This Row],[BW40_3705]]),"")</f>
        <v/>
      </c>
      <c r="H8229" s="7" t="str">
        <f>IF(Table1[[#This Row],[Is Data Valid]]=TRUE,((Table1[[#This Row],[Birthweight (grams)]]*0.9/Table1[[#This Row],[BW_GA]])-1)/(Backend!$B$4/100*Table1[[#This Row],[BW40_3705]]),"")</f>
        <v/>
      </c>
      <c r="I8229" s="7" t="str">
        <f>IF(Table1[[#This Row],[Is Data Valid]]=TRUE,((Table1[[#This Row],[Birthweight (grams)]]*1.1/Table1[[#This Row],[BW_GA]])-1)/(Backend!$B$4/100*Table1[[#This Row],[BW40_3705]]),"")</f>
        <v/>
      </c>
      <c r="J8229" s="7" t="str">
        <f>IF(Table1[[#This Row],[Is Data Valid]]=TRUE,_xlfn.NORM.S.DIST(Table1[[#This Row],[Birthweight Z-Score]],TRUE)*100,"")</f>
        <v/>
      </c>
      <c r="K8229" s="7" t="str">
        <f>IF(Table1[[#This Row],[Is Data Valid]]=TRUE,_xlfn.NORM.S.DIST(Table1[[#This Row],[Birthweight Z-Score (BW-10%)]],TRUE)*100,"")</f>
        <v/>
      </c>
      <c r="L8229" s="7" t="str">
        <f>IF(Table1[[#This Row],[Is Data Valid]]=TRUE,_xlfn.NORM.S.DIST(Table1[[#This Row],[Birthweight Z-Score (BW+10%)]],TRUE)*100,"")</f>
        <v/>
      </c>
    </row>
    <row r="8230" spans="1:12" x14ac:dyDescent="0.35">
      <c r="A8230" s="3"/>
      <c r="B8230" s="2"/>
      <c r="C8230" s="2"/>
      <c r="D8230" s="2" t="b">
        <f>IF(AND(NOT(ISBLANK(Table1[[#This Row],[Fetal Sex (Male, Female or Unknown)]])),ISNUMBER(Table1[[#This Row],[Birthweight (grams)]]),ISNUMBER(Table1[[#This Row],[Gestation (days)]])),TRUE,FALSE)</f>
        <v>0</v>
      </c>
      <c r="E8230" s="2" t="str">
        <f>IF(Table1[[#This Row],[Is Data Valid]]=TRUE,IF(Table1[[#This Row],[Fetal Sex (Male, Female or Unknown)]]="Male",Backend!$C$6,IF(Table1[[#This Row],[Fetal Sex (Male, Female or Unknown)]]="Female",Backend!$C$7,IF(Table1[[#This Row],[Fetal Sex (Male, Female or Unknown)]]="Unknown",Backend!$C$8,"Error"))),"")</f>
        <v/>
      </c>
      <c r="F8230" s="8" t="str">
        <f>IF(Table1[[#This Row],[Is Data Valid]]=TRUE,EXP(0.578+0.332*((Table1[[#This Row],[Gestation (days)]]+0.5)/7)-0.00354*((Table1[[#This Row],[Gestation (days)]]+0.5)/7)^2)*Table1[[#This Row],[BW40_3705]],"")</f>
        <v/>
      </c>
      <c r="G8230" s="2" t="str">
        <f>IF(Table1[[#This Row],[Is Data Valid]]=TRUE,((Table1[[#This Row],[Birthweight (grams)]]/Table1[[#This Row],[BW_GA]])-1)/(Backend!$B$4/100*Table1[[#This Row],[BW40_3705]]),"")</f>
        <v/>
      </c>
      <c r="H8230" s="7" t="str">
        <f>IF(Table1[[#This Row],[Is Data Valid]]=TRUE,((Table1[[#This Row],[Birthweight (grams)]]*0.9/Table1[[#This Row],[BW_GA]])-1)/(Backend!$B$4/100*Table1[[#This Row],[BW40_3705]]),"")</f>
        <v/>
      </c>
      <c r="I8230" s="7" t="str">
        <f>IF(Table1[[#This Row],[Is Data Valid]]=TRUE,((Table1[[#This Row],[Birthweight (grams)]]*1.1/Table1[[#This Row],[BW_GA]])-1)/(Backend!$B$4/100*Table1[[#This Row],[BW40_3705]]),"")</f>
        <v/>
      </c>
      <c r="J8230" s="7" t="str">
        <f>IF(Table1[[#This Row],[Is Data Valid]]=TRUE,_xlfn.NORM.S.DIST(Table1[[#This Row],[Birthweight Z-Score]],TRUE)*100,"")</f>
        <v/>
      </c>
      <c r="K8230" s="7" t="str">
        <f>IF(Table1[[#This Row],[Is Data Valid]]=TRUE,_xlfn.NORM.S.DIST(Table1[[#This Row],[Birthweight Z-Score (BW-10%)]],TRUE)*100,"")</f>
        <v/>
      </c>
      <c r="L8230" s="7" t="str">
        <f>IF(Table1[[#This Row],[Is Data Valid]]=TRUE,_xlfn.NORM.S.DIST(Table1[[#This Row],[Birthweight Z-Score (BW+10%)]],TRUE)*100,"")</f>
        <v/>
      </c>
    </row>
    <row r="8231" spans="1:12" x14ac:dyDescent="0.35">
      <c r="A8231" s="3"/>
      <c r="B8231" s="2"/>
      <c r="C8231" s="2"/>
      <c r="D8231" s="2" t="b">
        <f>IF(AND(NOT(ISBLANK(Table1[[#This Row],[Fetal Sex (Male, Female or Unknown)]])),ISNUMBER(Table1[[#This Row],[Birthweight (grams)]]),ISNUMBER(Table1[[#This Row],[Gestation (days)]])),TRUE,FALSE)</f>
        <v>0</v>
      </c>
      <c r="E8231" s="2" t="str">
        <f>IF(Table1[[#This Row],[Is Data Valid]]=TRUE,IF(Table1[[#This Row],[Fetal Sex (Male, Female or Unknown)]]="Male",Backend!$C$6,IF(Table1[[#This Row],[Fetal Sex (Male, Female or Unknown)]]="Female",Backend!$C$7,IF(Table1[[#This Row],[Fetal Sex (Male, Female or Unknown)]]="Unknown",Backend!$C$8,"Error"))),"")</f>
        <v/>
      </c>
      <c r="F8231" s="8" t="str">
        <f>IF(Table1[[#This Row],[Is Data Valid]]=TRUE,EXP(0.578+0.332*((Table1[[#This Row],[Gestation (days)]]+0.5)/7)-0.00354*((Table1[[#This Row],[Gestation (days)]]+0.5)/7)^2)*Table1[[#This Row],[BW40_3705]],"")</f>
        <v/>
      </c>
      <c r="G8231" s="2" t="str">
        <f>IF(Table1[[#This Row],[Is Data Valid]]=TRUE,((Table1[[#This Row],[Birthweight (grams)]]/Table1[[#This Row],[BW_GA]])-1)/(Backend!$B$4/100*Table1[[#This Row],[BW40_3705]]),"")</f>
        <v/>
      </c>
      <c r="H8231" s="7" t="str">
        <f>IF(Table1[[#This Row],[Is Data Valid]]=TRUE,((Table1[[#This Row],[Birthweight (grams)]]*0.9/Table1[[#This Row],[BW_GA]])-1)/(Backend!$B$4/100*Table1[[#This Row],[BW40_3705]]),"")</f>
        <v/>
      </c>
      <c r="I8231" s="7" t="str">
        <f>IF(Table1[[#This Row],[Is Data Valid]]=TRUE,((Table1[[#This Row],[Birthweight (grams)]]*1.1/Table1[[#This Row],[BW_GA]])-1)/(Backend!$B$4/100*Table1[[#This Row],[BW40_3705]]),"")</f>
        <v/>
      </c>
      <c r="J8231" s="7" t="str">
        <f>IF(Table1[[#This Row],[Is Data Valid]]=TRUE,_xlfn.NORM.S.DIST(Table1[[#This Row],[Birthweight Z-Score]],TRUE)*100,"")</f>
        <v/>
      </c>
      <c r="K8231" s="7" t="str">
        <f>IF(Table1[[#This Row],[Is Data Valid]]=TRUE,_xlfn.NORM.S.DIST(Table1[[#This Row],[Birthweight Z-Score (BW-10%)]],TRUE)*100,"")</f>
        <v/>
      </c>
      <c r="L8231" s="7" t="str">
        <f>IF(Table1[[#This Row],[Is Data Valid]]=TRUE,_xlfn.NORM.S.DIST(Table1[[#This Row],[Birthweight Z-Score (BW+10%)]],TRUE)*100,"")</f>
        <v/>
      </c>
    </row>
    <row r="8232" spans="1:12" x14ac:dyDescent="0.35">
      <c r="A8232" s="3"/>
      <c r="B8232" s="2"/>
      <c r="C8232" s="2"/>
      <c r="D8232" s="2" t="b">
        <f>IF(AND(NOT(ISBLANK(Table1[[#This Row],[Fetal Sex (Male, Female or Unknown)]])),ISNUMBER(Table1[[#This Row],[Birthweight (grams)]]),ISNUMBER(Table1[[#This Row],[Gestation (days)]])),TRUE,FALSE)</f>
        <v>0</v>
      </c>
      <c r="E8232" s="2" t="str">
        <f>IF(Table1[[#This Row],[Is Data Valid]]=TRUE,IF(Table1[[#This Row],[Fetal Sex (Male, Female or Unknown)]]="Male",Backend!$C$6,IF(Table1[[#This Row],[Fetal Sex (Male, Female or Unknown)]]="Female",Backend!$C$7,IF(Table1[[#This Row],[Fetal Sex (Male, Female or Unknown)]]="Unknown",Backend!$C$8,"Error"))),"")</f>
        <v/>
      </c>
      <c r="F8232" s="8" t="str">
        <f>IF(Table1[[#This Row],[Is Data Valid]]=TRUE,EXP(0.578+0.332*((Table1[[#This Row],[Gestation (days)]]+0.5)/7)-0.00354*((Table1[[#This Row],[Gestation (days)]]+0.5)/7)^2)*Table1[[#This Row],[BW40_3705]],"")</f>
        <v/>
      </c>
      <c r="G8232" s="2" t="str">
        <f>IF(Table1[[#This Row],[Is Data Valid]]=TRUE,((Table1[[#This Row],[Birthweight (grams)]]/Table1[[#This Row],[BW_GA]])-1)/(Backend!$B$4/100*Table1[[#This Row],[BW40_3705]]),"")</f>
        <v/>
      </c>
      <c r="H8232" s="7" t="str">
        <f>IF(Table1[[#This Row],[Is Data Valid]]=TRUE,((Table1[[#This Row],[Birthweight (grams)]]*0.9/Table1[[#This Row],[BW_GA]])-1)/(Backend!$B$4/100*Table1[[#This Row],[BW40_3705]]),"")</f>
        <v/>
      </c>
      <c r="I8232" s="7" t="str">
        <f>IF(Table1[[#This Row],[Is Data Valid]]=TRUE,((Table1[[#This Row],[Birthweight (grams)]]*1.1/Table1[[#This Row],[BW_GA]])-1)/(Backend!$B$4/100*Table1[[#This Row],[BW40_3705]]),"")</f>
        <v/>
      </c>
      <c r="J8232" s="7" t="str">
        <f>IF(Table1[[#This Row],[Is Data Valid]]=TRUE,_xlfn.NORM.S.DIST(Table1[[#This Row],[Birthweight Z-Score]],TRUE)*100,"")</f>
        <v/>
      </c>
      <c r="K8232" s="7" t="str">
        <f>IF(Table1[[#This Row],[Is Data Valid]]=TRUE,_xlfn.NORM.S.DIST(Table1[[#This Row],[Birthweight Z-Score (BW-10%)]],TRUE)*100,"")</f>
        <v/>
      </c>
      <c r="L8232" s="7" t="str">
        <f>IF(Table1[[#This Row],[Is Data Valid]]=TRUE,_xlfn.NORM.S.DIST(Table1[[#This Row],[Birthweight Z-Score (BW+10%)]],TRUE)*100,"")</f>
        <v/>
      </c>
    </row>
    <row r="8233" spans="1:12" x14ac:dyDescent="0.35">
      <c r="A8233" s="3"/>
      <c r="B8233" s="2"/>
      <c r="C8233" s="2"/>
      <c r="D8233" s="2" t="b">
        <f>IF(AND(NOT(ISBLANK(Table1[[#This Row],[Fetal Sex (Male, Female or Unknown)]])),ISNUMBER(Table1[[#This Row],[Birthweight (grams)]]),ISNUMBER(Table1[[#This Row],[Gestation (days)]])),TRUE,FALSE)</f>
        <v>0</v>
      </c>
      <c r="E8233" s="2" t="str">
        <f>IF(Table1[[#This Row],[Is Data Valid]]=TRUE,IF(Table1[[#This Row],[Fetal Sex (Male, Female or Unknown)]]="Male",Backend!$C$6,IF(Table1[[#This Row],[Fetal Sex (Male, Female or Unknown)]]="Female",Backend!$C$7,IF(Table1[[#This Row],[Fetal Sex (Male, Female or Unknown)]]="Unknown",Backend!$C$8,"Error"))),"")</f>
        <v/>
      </c>
      <c r="F8233" s="8" t="str">
        <f>IF(Table1[[#This Row],[Is Data Valid]]=TRUE,EXP(0.578+0.332*((Table1[[#This Row],[Gestation (days)]]+0.5)/7)-0.00354*((Table1[[#This Row],[Gestation (days)]]+0.5)/7)^2)*Table1[[#This Row],[BW40_3705]],"")</f>
        <v/>
      </c>
      <c r="G8233" s="2" t="str">
        <f>IF(Table1[[#This Row],[Is Data Valid]]=TRUE,((Table1[[#This Row],[Birthweight (grams)]]/Table1[[#This Row],[BW_GA]])-1)/(Backend!$B$4/100*Table1[[#This Row],[BW40_3705]]),"")</f>
        <v/>
      </c>
      <c r="H8233" s="7" t="str">
        <f>IF(Table1[[#This Row],[Is Data Valid]]=TRUE,((Table1[[#This Row],[Birthweight (grams)]]*0.9/Table1[[#This Row],[BW_GA]])-1)/(Backend!$B$4/100*Table1[[#This Row],[BW40_3705]]),"")</f>
        <v/>
      </c>
      <c r="I8233" s="7" t="str">
        <f>IF(Table1[[#This Row],[Is Data Valid]]=TRUE,((Table1[[#This Row],[Birthweight (grams)]]*1.1/Table1[[#This Row],[BW_GA]])-1)/(Backend!$B$4/100*Table1[[#This Row],[BW40_3705]]),"")</f>
        <v/>
      </c>
      <c r="J8233" s="7" t="str">
        <f>IF(Table1[[#This Row],[Is Data Valid]]=TRUE,_xlfn.NORM.S.DIST(Table1[[#This Row],[Birthweight Z-Score]],TRUE)*100,"")</f>
        <v/>
      </c>
      <c r="K8233" s="7" t="str">
        <f>IF(Table1[[#This Row],[Is Data Valid]]=TRUE,_xlfn.NORM.S.DIST(Table1[[#This Row],[Birthweight Z-Score (BW-10%)]],TRUE)*100,"")</f>
        <v/>
      </c>
      <c r="L8233" s="7" t="str">
        <f>IF(Table1[[#This Row],[Is Data Valid]]=TRUE,_xlfn.NORM.S.DIST(Table1[[#This Row],[Birthweight Z-Score (BW+10%)]],TRUE)*100,"")</f>
        <v/>
      </c>
    </row>
    <row r="8234" spans="1:12" x14ac:dyDescent="0.35">
      <c r="A8234" s="3"/>
      <c r="B8234" s="2"/>
      <c r="C8234" s="2"/>
      <c r="D8234" s="2" t="b">
        <f>IF(AND(NOT(ISBLANK(Table1[[#This Row],[Fetal Sex (Male, Female or Unknown)]])),ISNUMBER(Table1[[#This Row],[Birthweight (grams)]]),ISNUMBER(Table1[[#This Row],[Gestation (days)]])),TRUE,FALSE)</f>
        <v>0</v>
      </c>
      <c r="E8234" s="2" t="str">
        <f>IF(Table1[[#This Row],[Is Data Valid]]=TRUE,IF(Table1[[#This Row],[Fetal Sex (Male, Female or Unknown)]]="Male",Backend!$C$6,IF(Table1[[#This Row],[Fetal Sex (Male, Female or Unknown)]]="Female",Backend!$C$7,IF(Table1[[#This Row],[Fetal Sex (Male, Female or Unknown)]]="Unknown",Backend!$C$8,"Error"))),"")</f>
        <v/>
      </c>
      <c r="F8234" s="8" t="str">
        <f>IF(Table1[[#This Row],[Is Data Valid]]=TRUE,EXP(0.578+0.332*((Table1[[#This Row],[Gestation (days)]]+0.5)/7)-0.00354*((Table1[[#This Row],[Gestation (days)]]+0.5)/7)^2)*Table1[[#This Row],[BW40_3705]],"")</f>
        <v/>
      </c>
      <c r="G8234" s="2" t="str">
        <f>IF(Table1[[#This Row],[Is Data Valid]]=TRUE,((Table1[[#This Row],[Birthweight (grams)]]/Table1[[#This Row],[BW_GA]])-1)/(Backend!$B$4/100*Table1[[#This Row],[BW40_3705]]),"")</f>
        <v/>
      </c>
      <c r="H8234" s="7" t="str">
        <f>IF(Table1[[#This Row],[Is Data Valid]]=TRUE,((Table1[[#This Row],[Birthweight (grams)]]*0.9/Table1[[#This Row],[BW_GA]])-1)/(Backend!$B$4/100*Table1[[#This Row],[BW40_3705]]),"")</f>
        <v/>
      </c>
      <c r="I8234" s="7" t="str">
        <f>IF(Table1[[#This Row],[Is Data Valid]]=TRUE,((Table1[[#This Row],[Birthweight (grams)]]*1.1/Table1[[#This Row],[BW_GA]])-1)/(Backend!$B$4/100*Table1[[#This Row],[BW40_3705]]),"")</f>
        <v/>
      </c>
      <c r="J8234" s="7" t="str">
        <f>IF(Table1[[#This Row],[Is Data Valid]]=TRUE,_xlfn.NORM.S.DIST(Table1[[#This Row],[Birthweight Z-Score]],TRUE)*100,"")</f>
        <v/>
      </c>
      <c r="K8234" s="7" t="str">
        <f>IF(Table1[[#This Row],[Is Data Valid]]=TRUE,_xlfn.NORM.S.DIST(Table1[[#This Row],[Birthweight Z-Score (BW-10%)]],TRUE)*100,"")</f>
        <v/>
      </c>
      <c r="L8234" s="7" t="str">
        <f>IF(Table1[[#This Row],[Is Data Valid]]=TRUE,_xlfn.NORM.S.DIST(Table1[[#This Row],[Birthweight Z-Score (BW+10%)]],TRUE)*100,"")</f>
        <v/>
      </c>
    </row>
    <row r="8235" spans="1:12" x14ac:dyDescent="0.35">
      <c r="A8235" s="3"/>
      <c r="B8235" s="2"/>
      <c r="C8235" s="2"/>
      <c r="D8235" s="2" t="b">
        <f>IF(AND(NOT(ISBLANK(Table1[[#This Row],[Fetal Sex (Male, Female or Unknown)]])),ISNUMBER(Table1[[#This Row],[Birthweight (grams)]]),ISNUMBER(Table1[[#This Row],[Gestation (days)]])),TRUE,FALSE)</f>
        <v>0</v>
      </c>
      <c r="E8235" s="2" t="str">
        <f>IF(Table1[[#This Row],[Is Data Valid]]=TRUE,IF(Table1[[#This Row],[Fetal Sex (Male, Female or Unknown)]]="Male",Backend!$C$6,IF(Table1[[#This Row],[Fetal Sex (Male, Female or Unknown)]]="Female",Backend!$C$7,IF(Table1[[#This Row],[Fetal Sex (Male, Female or Unknown)]]="Unknown",Backend!$C$8,"Error"))),"")</f>
        <v/>
      </c>
      <c r="F8235" s="8" t="str">
        <f>IF(Table1[[#This Row],[Is Data Valid]]=TRUE,EXP(0.578+0.332*((Table1[[#This Row],[Gestation (days)]]+0.5)/7)-0.00354*((Table1[[#This Row],[Gestation (days)]]+0.5)/7)^2)*Table1[[#This Row],[BW40_3705]],"")</f>
        <v/>
      </c>
      <c r="G8235" s="2" t="str">
        <f>IF(Table1[[#This Row],[Is Data Valid]]=TRUE,((Table1[[#This Row],[Birthweight (grams)]]/Table1[[#This Row],[BW_GA]])-1)/(Backend!$B$4/100*Table1[[#This Row],[BW40_3705]]),"")</f>
        <v/>
      </c>
      <c r="H8235" s="7" t="str">
        <f>IF(Table1[[#This Row],[Is Data Valid]]=TRUE,((Table1[[#This Row],[Birthweight (grams)]]*0.9/Table1[[#This Row],[BW_GA]])-1)/(Backend!$B$4/100*Table1[[#This Row],[BW40_3705]]),"")</f>
        <v/>
      </c>
      <c r="I8235" s="7" t="str">
        <f>IF(Table1[[#This Row],[Is Data Valid]]=TRUE,((Table1[[#This Row],[Birthweight (grams)]]*1.1/Table1[[#This Row],[BW_GA]])-1)/(Backend!$B$4/100*Table1[[#This Row],[BW40_3705]]),"")</f>
        <v/>
      </c>
      <c r="J8235" s="7" t="str">
        <f>IF(Table1[[#This Row],[Is Data Valid]]=TRUE,_xlfn.NORM.S.DIST(Table1[[#This Row],[Birthweight Z-Score]],TRUE)*100,"")</f>
        <v/>
      </c>
      <c r="K8235" s="7" t="str">
        <f>IF(Table1[[#This Row],[Is Data Valid]]=TRUE,_xlfn.NORM.S.DIST(Table1[[#This Row],[Birthweight Z-Score (BW-10%)]],TRUE)*100,"")</f>
        <v/>
      </c>
      <c r="L8235" s="7" t="str">
        <f>IF(Table1[[#This Row],[Is Data Valid]]=TRUE,_xlfn.NORM.S.DIST(Table1[[#This Row],[Birthweight Z-Score (BW+10%)]],TRUE)*100,"")</f>
        <v/>
      </c>
    </row>
    <row r="8236" spans="1:12" x14ac:dyDescent="0.35">
      <c r="A8236" s="3"/>
      <c r="B8236" s="2"/>
      <c r="C8236" s="2"/>
      <c r="D8236" s="2" t="b">
        <f>IF(AND(NOT(ISBLANK(Table1[[#This Row],[Fetal Sex (Male, Female or Unknown)]])),ISNUMBER(Table1[[#This Row],[Birthweight (grams)]]),ISNUMBER(Table1[[#This Row],[Gestation (days)]])),TRUE,FALSE)</f>
        <v>0</v>
      </c>
      <c r="E8236" s="2" t="str">
        <f>IF(Table1[[#This Row],[Is Data Valid]]=TRUE,IF(Table1[[#This Row],[Fetal Sex (Male, Female or Unknown)]]="Male",Backend!$C$6,IF(Table1[[#This Row],[Fetal Sex (Male, Female or Unknown)]]="Female",Backend!$C$7,IF(Table1[[#This Row],[Fetal Sex (Male, Female or Unknown)]]="Unknown",Backend!$C$8,"Error"))),"")</f>
        <v/>
      </c>
      <c r="F8236" s="8" t="str">
        <f>IF(Table1[[#This Row],[Is Data Valid]]=TRUE,EXP(0.578+0.332*((Table1[[#This Row],[Gestation (days)]]+0.5)/7)-0.00354*((Table1[[#This Row],[Gestation (days)]]+0.5)/7)^2)*Table1[[#This Row],[BW40_3705]],"")</f>
        <v/>
      </c>
      <c r="G8236" s="2" t="str">
        <f>IF(Table1[[#This Row],[Is Data Valid]]=TRUE,((Table1[[#This Row],[Birthweight (grams)]]/Table1[[#This Row],[BW_GA]])-1)/(Backend!$B$4/100*Table1[[#This Row],[BW40_3705]]),"")</f>
        <v/>
      </c>
      <c r="H8236" s="7" t="str">
        <f>IF(Table1[[#This Row],[Is Data Valid]]=TRUE,((Table1[[#This Row],[Birthweight (grams)]]*0.9/Table1[[#This Row],[BW_GA]])-1)/(Backend!$B$4/100*Table1[[#This Row],[BW40_3705]]),"")</f>
        <v/>
      </c>
      <c r="I8236" s="7" t="str">
        <f>IF(Table1[[#This Row],[Is Data Valid]]=TRUE,((Table1[[#This Row],[Birthweight (grams)]]*1.1/Table1[[#This Row],[BW_GA]])-1)/(Backend!$B$4/100*Table1[[#This Row],[BW40_3705]]),"")</f>
        <v/>
      </c>
      <c r="J8236" s="7" t="str">
        <f>IF(Table1[[#This Row],[Is Data Valid]]=TRUE,_xlfn.NORM.S.DIST(Table1[[#This Row],[Birthweight Z-Score]],TRUE)*100,"")</f>
        <v/>
      </c>
      <c r="K8236" s="7" t="str">
        <f>IF(Table1[[#This Row],[Is Data Valid]]=TRUE,_xlfn.NORM.S.DIST(Table1[[#This Row],[Birthweight Z-Score (BW-10%)]],TRUE)*100,"")</f>
        <v/>
      </c>
      <c r="L8236" s="7" t="str">
        <f>IF(Table1[[#This Row],[Is Data Valid]]=TRUE,_xlfn.NORM.S.DIST(Table1[[#This Row],[Birthweight Z-Score (BW+10%)]],TRUE)*100,"")</f>
        <v/>
      </c>
    </row>
    <row r="8237" spans="1:12" x14ac:dyDescent="0.35">
      <c r="A8237" s="3"/>
      <c r="B8237" s="2"/>
      <c r="C8237" s="2"/>
      <c r="D8237" s="2" t="b">
        <f>IF(AND(NOT(ISBLANK(Table1[[#This Row],[Fetal Sex (Male, Female or Unknown)]])),ISNUMBER(Table1[[#This Row],[Birthweight (grams)]]),ISNUMBER(Table1[[#This Row],[Gestation (days)]])),TRUE,FALSE)</f>
        <v>0</v>
      </c>
      <c r="E8237" s="2" t="str">
        <f>IF(Table1[[#This Row],[Is Data Valid]]=TRUE,IF(Table1[[#This Row],[Fetal Sex (Male, Female or Unknown)]]="Male",Backend!$C$6,IF(Table1[[#This Row],[Fetal Sex (Male, Female or Unknown)]]="Female",Backend!$C$7,IF(Table1[[#This Row],[Fetal Sex (Male, Female or Unknown)]]="Unknown",Backend!$C$8,"Error"))),"")</f>
        <v/>
      </c>
      <c r="F8237" s="8" t="str">
        <f>IF(Table1[[#This Row],[Is Data Valid]]=TRUE,EXP(0.578+0.332*((Table1[[#This Row],[Gestation (days)]]+0.5)/7)-0.00354*((Table1[[#This Row],[Gestation (days)]]+0.5)/7)^2)*Table1[[#This Row],[BW40_3705]],"")</f>
        <v/>
      </c>
      <c r="G8237" s="2" t="str">
        <f>IF(Table1[[#This Row],[Is Data Valid]]=TRUE,((Table1[[#This Row],[Birthweight (grams)]]/Table1[[#This Row],[BW_GA]])-1)/(Backend!$B$4/100*Table1[[#This Row],[BW40_3705]]),"")</f>
        <v/>
      </c>
      <c r="H8237" s="7" t="str">
        <f>IF(Table1[[#This Row],[Is Data Valid]]=TRUE,((Table1[[#This Row],[Birthweight (grams)]]*0.9/Table1[[#This Row],[BW_GA]])-1)/(Backend!$B$4/100*Table1[[#This Row],[BW40_3705]]),"")</f>
        <v/>
      </c>
      <c r="I8237" s="7" t="str">
        <f>IF(Table1[[#This Row],[Is Data Valid]]=TRUE,((Table1[[#This Row],[Birthweight (grams)]]*1.1/Table1[[#This Row],[BW_GA]])-1)/(Backend!$B$4/100*Table1[[#This Row],[BW40_3705]]),"")</f>
        <v/>
      </c>
      <c r="J8237" s="7" t="str">
        <f>IF(Table1[[#This Row],[Is Data Valid]]=TRUE,_xlfn.NORM.S.DIST(Table1[[#This Row],[Birthweight Z-Score]],TRUE)*100,"")</f>
        <v/>
      </c>
      <c r="K8237" s="7" t="str">
        <f>IF(Table1[[#This Row],[Is Data Valid]]=TRUE,_xlfn.NORM.S.DIST(Table1[[#This Row],[Birthweight Z-Score (BW-10%)]],TRUE)*100,"")</f>
        <v/>
      </c>
      <c r="L8237" s="7" t="str">
        <f>IF(Table1[[#This Row],[Is Data Valid]]=TRUE,_xlfn.NORM.S.DIST(Table1[[#This Row],[Birthweight Z-Score (BW+10%)]],TRUE)*100,"")</f>
        <v/>
      </c>
    </row>
    <row r="8238" spans="1:12" x14ac:dyDescent="0.35">
      <c r="A8238" s="3"/>
      <c r="B8238" s="2"/>
      <c r="C8238" s="2"/>
      <c r="D8238" s="2" t="b">
        <f>IF(AND(NOT(ISBLANK(Table1[[#This Row],[Fetal Sex (Male, Female or Unknown)]])),ISNUMBER(Table1[[#This Row],[Birthweight (grams)]]),ISNUMBER(Table1[[#This Row],[Gestation (days)]])),TRUE,FALSE)</f>
        <v>0</v>
      </c>
      <c r="E8238" s="2" t="str">
        <f>IF(Table1[[#This Row],[Is Data Valid]]=TRUE,IF(Table1[[#This Row],[Fetal Sex (Male, Female or Unknown)]]="Male",Backend!$C$6,IF(Table1[[#This Row],[Fetal Sex (Male, Female or Unknown)]]="Female",Backend!$C$7,IF(Table1[[#This Row],[Fetal Sex (Male, Female or Unknown)]]="Unknown",Backend!$C$8,"Error"))),"")</f>
        <v/>
      </c>
      <c r="F8238" s="8" t="str">
        <f>IF(Table1[[#This Row],[Is Data Valid]]=TRUE,EXP(0.578+0.332*((Table1[[#This Row],[Gestation (days)]]+0.5)/7)-0.00354*((Table1[[#This Row],[Gestation (days)]]+0.5)/7)^2)*Table1[[#This Row],[BW40_3705]],"")</f>
        <v/>
      </c>
      <c r="G8238" s="2" t="str">
        <f>IF(Table1[[#This Row],[Is Data Valid]]=TRUE,((Table1[[#This Row],[Birthweight (grams)]]/Table1[[#This Row],[BW_GA]])-1)/(Backend!$B$4/100*Table1[[#This Row],[BW40_3705]]),"")</f>
        <v/>
      </c>
      <c r="H8238" s="7" t="str">
        <f>IF(Table1[[#This Row],[Is Data Valid]]=TRUE,((Table1[[#This Row],[Birthweight (grams)]]*0.9/Table1[[#This Row],[BW_GA]])-1)/(Backend!$B$4/100*Table1[[#This Row],[BW40_3705]]),"")</f>
        <v/>
      </c>
      <c r="I8238" s="7" t="str">
        <f>IF(Table1[[#This Row],[Is Data Valid]]=TRUE,((Table1[[#This Row],[Birthweight (grams)]]*1.1/Table1[[#This Row],[BW_GA]])-1)/(Backend!$B$4/100*Table1[[#This Row],[BW40_3705]]),"")</f>
        <v/>
      </c>
      <c r="J8238" s="7" t="str">
        <f>IF(Table1[[#This Row],[Is Data Valid]]=TRUE,_xlfn.NORM.S.DIST(Table1[[#This Row],[Birthweight Z-Score]],TRUE)*100,"")</f>
        <v/>
      </c>
      <c r="K8238" s="7" t="str">
        <f>IF(Table1[[#This Row],[Is Data Valid]]=TRUE,_xlfn.NORM.S.DIST(Table1[[#This Row],[Birthweight Z-Score (BW-10%)]],TRUE)*100,"")</f>
        <v/>
      </c>
      <c r="L8238" s="7" t="str">
        <f>IF(Table1[[#This Row],[Is Data Valid]]=TRUE,_xlfn.NORM.S.DIST(Table1[[#This Row],[Birthweight Z-Score (BW+10%)]],TRUE)*100,"")</f>
        <v/>
      </c>
    </row>
    <row r="8239" spans="1:12" x14ac:dyDescent="0.35">
      <c r="A8239" s="3"/>
      <c r="B8239" s="2"/>
      <c r="C8239" s="2"/>
      <c r="D8239" s="2" t="b">
        <f>IF(AND(NOT(ISBLANK(Table1[[#This Row],[Fetal Sex (Male, Female or Unknown)]])),ISNUMBER(Table1[[#This Row],[Birthweight (grams)]]),ISNUMBER(Table1[[#This Row],[Gestation (days)]])),TRUE,FALSE)</f>
        <v>0</v>
      </c>
      <c r="E8239" s="2" t="str">
        <f>IF(Table1[[#This Row],[Is Data Valid]]=TRUE,IF(Table1[[#This Row],[Fetal Sex (Male, Female or Unknown)]]="Male",Backend!$C$6,IF(Table1[[#This Row],[Fetal Sex (Male, Female or Unknown)]]="Female",Backend!$C$7,IF(Table1[[#This Row],[Fetal Sex (Male, Female or Unknown)]]="Unknown",Backend!$C$8,"Error"))),"")</f>
        <v/>
      </c>
      <c r="F8239" s="8" t="str">
        <f>IF(Table1[[#This Row],[Is Data Valid]]=TRUE,EXP(0.578+0.332*((Table1[[#This Row],[Gestation (days)]]+0.5)/7)-0.00354*((Table1[[#This Row],[Gestation (days)]]+0.5)/7)^2)*Table1[[#This Row],[BW40_3705]],"")</f>
        <v/>
      </c>
      <c r="G8239" s="2" t="str">
        <f>IF(Table1[[#This Row],[Is Data Valid]]=TRUE,((Table1[[#This Row],[Birthweight (grams)]]/Table1[[#This Row],[BW_GA]])-1)/(Backend!$B$4/100*Table1[[#This Row],[BW40_3705]]),"")</f>
        <v/>
      </c>
      <c r="H8239" s="7" t="str">
        <f>IF(Table1[[#This Row],[Is Data Valid]]=TRUE,((Table1[[#This Row],[Birthweight (grams)]]*0.9/Table1[[#This Row],[BW_GA]])-1)/(Backend!$B$4/100*Table1[[#This Row],[BW40_3705]]),"")</f>
        <v/>
      </c>
      <c r="I8239" s="7" t="str">
        <f>IF(Table1[[#This Row],[Is Data Valid]]=TRUE,((Table1[[#This Row],[Birthweight (grams)]]*1.1/Table1[[#This Row],[BW_GA]])-1)/(Backend!$B$4/100*Table1[[#This Row],[BW40_3705]]),"")</f>
        <v/>
      </c>
      <c r="J8239" s="7" t="str">
        <f>IF(Table1[[#This Row],[Is Data Valid]]=TRUE,_xlfn.NORM.S.DIST(Table1[[#This Row],[Birthweight Z-Score]],TRUE)*100,"")</f>
        <v/>
      </c>
      <c r="K8239" s="7" t="str">
        <f>IF(Table1[[#This Row],[Is Data Valid]]=TRUE,_xlfn.NORM.S.DIST(Table1[[#This Row],[Birthweight Z-Score (BW-10%)]],TRUE)*100,"")</f>
        <v/>
      </c>
      <c r="L8239" s="7" t="str">
        <f>IF(Table1[[#This Row],[Is Data Valid]]=TRUE,_xlfn.NORM.S.DIST(Table1[[#This Row],[Birthweight Z-Score (BW+10%)]],TRUE)*100,"")</f>
        <v/>
      </c>
    </row>
    <row r="8240" spans="1:12" x14ac:dyDescent="0.35">
      <c r="A8240" s="3"/>
      <c r="B8240" s="2"/>
      <c r="C8240" s="2"/>
      <c r="D8240" s="2" t="b">
        <f>IF(AND(NOT(ISBLANK(Table1[[#This Row],[Fetal Sex (Male, Female or Unknown)]])),ISNUMBER(Table1[[#This Row],[Birthweight (grams)]]),ISNUMBER(Table1[[#This Row],[Gestation (days)]])),TRUE,FALSE)</f>
        <v>0</v>
      </c>
      <c r="E8240" s="2" t="str">
        <f>IF(Table1[[#This Row],[Is Data Valid]]=TRUE,IF(Table1[[#This Row],[Fetal Sex (Male, Female or Unknown)]]="Male",Backend!$C$6,IF(Table1[[#This Row],[Fetal Sex (Male, Female or Unknown)]]="Female",Backend!$C$7,IF(Table1[[#This Row],[Fetal Sex (Male, Female or Unknown)]]="Unknown",Backend!$C$8,"Error"))),"")</f>
        <v/>
      </c>
      <c r="F8240" s="8" t="str">
        <f>IF(Table1[[#This Row],[Is Data Valid]]=TRUE,EXP(0.578+0.332*((Table1[[#This Row],[Gestation (days)]]+0.5)/7)-0.00354*((Table1[[#This Row],[Gestation (days)]]+0.5)/7)^2)*Table1[[#This Row],[BW40_3705]],"")</f>
        <v/>
      </c>
      <c r="G8240" s="2" t="str">
        <f>IF(Table1[[#This Row],[Is Data Valid]]=TRUE,((Table1[[#This Row],[Birthweight (grams)]]/Table1[[#This Row],[BW_GA]])-1)/(Backend!$B$4/100*Table1[[#This Row],[BW40_3705]]),"")</f>
        <v/>
      </c>
      <c r="H8240" s="7" t="str">
        <f>IF(Table1[[#This Row],[Is Data Valid]]=TRUE,((Table1[[#This Row],[Birthweight (grams)]]*0.9/Table1[[#This Row],[BW_GA]])-1)/(Backend!$B$4/100*Table1[[#This Row],[BW40_3705]]),"")</f>
        <v/>
      </c>
      <c r="I8240" s="7" t="str">
        <f>IF(Table1[[#This Row],[Is Data Valid]]=TRUE,((Table1[[#This Row],[Birthweight (grams)]]*1.1/Table1[[#This Row],[BW_GA]])-1)/(Backend!$B$4/100*Table1[[#This Row],[BW40_3705]]),"")</f>
        <v/>
      </c>
      <c r="J8240" s="7" t="str">
        <f>IF(Table1[[#This Row],[Is Data Valid]]=TRUE,_xlfn.NORM.S.DIST(Table1[[#This Row],[Birthweight Z-Score]],TRUE)*100,"")</f>
        <v/>
      </c>
      <c r="K8240" s="7" t="str">
        <f>IF(Table1[[#This Row],[Is Data Valid]]=TRUE,_xlfn.NORM.S.DIST(Table1[[#This Row],[Birthweight Z-Score (BW-10%)]],TRUE)*100,"")</f>
        <v/>
      </c>
      <c r="L8240" s="7" t="str">
        <f>IF(Table1[[#This Row],[Is Data Valid]]=TRUE,_xlfn.NORM.S.DIST(Table1[[#This Row],[Birthweight Z-Score (BW+10%)]],TRUE)*100,"")</f>
        <v/>
      </c>
    </row>
    <row r="8241" spans="1:12" x14ac:dyDescent="0.35">
      <c r="A8241" s="3"/>
      <c r="B8241" s="2"/>
      <c r="C8241" s="2"/>
      <c r="D8241" s="2" t="b">
        <f>IF(AND(NOT(ISBLANK(Table1[[#This Row],[Fetal Sex (Male, Female or Unknown)]])),ISNUMBER(Table1[[#This Row],[Birthweight (grams)]]),ISNUMBER(Table1[[#This Row],[Gestation (days)]])),TRUE,FALSE)</f>
        <v>0</v>
      </c>
      <c r="E8241" s="2" t="str">
        <f>IF(Table1[[#This Row],[Is Data Valid]]=TRUE,IF(Table1[[#This Row],[Fetal Sex (Male, Female or Unknown)]]="Male",Backend!$C$6,IF(Table1[[#This Row],[Fetal Sex (Male, Female or Unknown)]]="Female",Backend!$C$7,IF(Table1[[#This Row],[Fetal Sex (Male, Female or Unknown)]]="Unknown",Backend!$C$8,"Error"))),"")</f>
        <v/>
      </c>
      <c r="F8241" s="8" t="str">
        <f>IF(Table1[[#This Row],[Is Data Valid]]=TRUE,EXP(0.578+0.332*((Table1[[#This Row],[Gestation (days)]]+0.5)/7)-0.00354*((Table1[[#This Row],[Gestation (days)]]+0.5)/7)^2)*Table1[[#This Row],[BW40_3705]],"")</f>
        <v/>
      </c>
      <c r="G8241" s="2" t="str">
        <f>IF(Table1[[#This Row],[Is Data Valid]]=TRUE,((Table1[[#This Row],[Birthweight (grams)]]/Table1[[#This Row],[BW_GA]])-1)/(Backend!$B$4/100*Table1[[#This Row],[BW40_3705]]),"")</f>
        <v/>
      </c>
      <c r="H8241" s="7" t="str">
        <f>IF(Table1[[#This Row],[Is Data Valid]]=TRUE,((Table1[[#This Row],[Birthweight (grams)]]*0.9/Table1[[#This Row],[BW_GA]])-1)/(Backend!$B$4/100*Table1[[#This Row],[BW40_3705]]),"")</f>
        <v/>
      </c>
      <c r="I8241" s="7" t="str">
        <f>IF(Table1[[#This Row],[Is Data Valid]]=TRUE,((Table1[[#This Row],[Birthweight (grams)]]*1.1/Table1[[#This Row],[BW_GA]])-1)/(Backend!$B$4/100*Table1[[#This Row],[BW40_3705]]),"")</f>
        <v/>
      </c>
      <c r="J8241" s="7" t="str">
        <f>IF(Table1[[#This Row],[Is Data Valid]]=TRUE,_xlfn.NORM.S.DIST(Table1[[#This Row],[Birthweight Z-Score]],TRUE)*100,"")</f>
        <v/>
      </c>
      <c r="K8241" s="7" t="str">
        <f>IF(Table1[[#This Row],[Is Data Valid]]=TRUE,_xlfn.NORM.S.DIST(Table1[[#This Row],[Birthweight Z-Score (BW-10%)]],TRUE)*100,"")</f>
        <v/>
      </c>
      <c r="L8241" s="7" t="str">
        <f>IF(Table1[[#This Row],[Is Data Valid]]=TRUE,_xlfn.NORM.S.DIST(Table1[[#This Row],[Birthweight Z-Score (BW+10%)]],TRUE)*100,"")</f>
        <v/>
      </c>
    </row>
    <row r="8242" spans="1:12" x14ac:dyDescent="0.35">
      <c r="A8242" s="3"/>
      <c r="B8242" s="2"/>
      <c r="C8242" s="2"/>
      <c r="D8242" s="2" t="b">
        <f>IF(AND(NOT(ISBLANK(Table1[[#This Row],[Fetal Sex (Male, Female or Unknown)]])),ISNUMBER(Table1[[#This Row],[Birthweight (grams)]]),ISNUMBER(Table1[[#This Row],[Gestation (days)]])),TRUE,FALSE)</f>
        <v>0</v>
      </c>
      <c r="E8242" s="2" t="str">
        <f>IF(Table1[[#This Row],[Is Data Valid]]=TRUE,IF(Table1[[#This Row],[Fetal Sex (Male, Female or Unknown)]]="Male",Backend!$C$6,IF(Table1[[#This Row],[Fetal Sex (Male, Female or Unknown)]]="Female",Backend!$C$7,IF(Table1[[#This Row],[Fetal Sex (Male, Female or Unknown)]]="Unknown",Backend!$C$8,"Error"))),"")</f>
        <v/>
      </c>
      <c r="F8242" s="8" t="str">
        <f>IF(Table1[[#This Row],[Is Data Valid]]=TRUE,EXP(0.578+0.332*((Table1[[#This Row],[Gestation (days)]]+0.5)/7)-0.00354*((Table1[[#This Row],[Gestation (days)]]+0.5)/7)^2)*Table1[[#This Row],[BW40_3705]],"")</f>
        <v/>
      </c>
      <c r="G8242" s="2" t="str">
        <f>IF(Table1[[#This Row],[Is Data Valid]]=TRUE,((Table1[[#This Row],[Birthweight (grams)]]/Table1[[#This Row],[BW_GA]])-1)/(Backend!$B$4/100*Table1[[#This Row],[BW40_3705]]),"")</f>
        <v/>
      </c>
      <c r="H8242" s="7" t="str">
        <f>IF(Table1[[#This Row],[Is Data Valid]]=TRUE,((Table1[[#This Row],[Birthweight (grams)]]*0.9/Table1[[#This Row],[BW_GA]])-1)/(Backend!$B$4/100*Table1[[#This Row],[BW40_3705]]),"")</f>
        <v/>
      </c>
      <c r="I8242" s="7" t="str">
        <f>IF(Table1[[#This Row],[Is Data Valid]]=TRUE,((Table1[[#This Row],[Birthweight (grams)]]*1.1/Table1[[#This Row],[BW_GA]])-1)/(Backend!$B$4/100*Table1[[#This Row],[BW40_3705]]),"")</f>
        <v/>
      </c>
      <c r="J8242" s="7" t="str">
        <f>IF(Table1[[#This Row],[Is Data Valid]]=TRUE,_xlfn.NORM.S.DIST(Table1[[#This Row],[Birthweight Z-Score]],TRUE)*100,"")</f>
        <v/>
      </c>
      <c r="K8242" s="7" t="str">
        <f>IF(Table1[[#This Row],[Is Data Valid]]=TRUE,_xlfn.NORM.S.DIST(Table1[[#This Row],[Birthweight Z-Score (BW-10%)]],TRUE)*100,"")</f>
        <v/>
      </c>
      <c r="L8242" s="7" t="str">
        <f>IF(Table1[[#This Row],[Is Data Valid]]=TRUE,_xlfn.NORM.S.DIST(Table1[[#This Row],[Birthweight Z-Score (BW+10%)]],TRUE)*100,"")</f>
        <v/>
      </c>
    </row>
    <row r="8243" spans="1:12" x14ac:dyDescent="0.35">
      <c r="A8243" s="3"/>
      <c r="B8243" s="2"/>
      <c r="C8243" s="2"/>
      <c r="D8243" s="2" t="b">
        <f>IF(AND(NOT(ISBLANK(Table1[[#This Row],[Fetal Sex (Male, Female or Unknown)]])),ISNUMBER(Table1[[#This Row],[Birthweight (grams)]]),ISNUMBER(Table1[[#This Row],[Gestation (days)]])),TRUE,FALSE)</f>
        <v>0</v>
      </c>
      <c r="E8243" s="2" t="str">
        <f>IF(Table1[[#This Row],[Is Data Valid]]=TRUE,IF(Table1[[#This Row],[Fetal Sex (Male, Female or Unknown)]]="Male",Backend!$C$6,IF(Table1[[#This Row],[Fetal Sex (Male, Female or Unknown)]]="Female",Backend!$C$7,IF(Table1[[#This Row],[Fetal Sex (Male, Female or Unknown)]]="Unknown",Backend!$C$8,"Error"))),"")</f>
        <v/>
      </c>
      <c r="F8243" s="8" t="str">
        <f>IF(Table1[[#This Row],[Is Data Valid]]=TRUE,EXP(0.578+0.332*((Table1[[#This Row],[Gestation (days)]]+0.5)/7)-0.00354*((Table1[[#This Row],[Gestation (days)]]+0.5)/7)^2)*Table1[[#This Row],[BW40_3705]],"")</f>
        <v/>
      </c>
      <c r="G8243" s="2" t="str">
        <f>IF(Table1[[#This Row],[Is Data Valid]]=TRUE,((Table1[[#This Row],[Birthweight (grams)]]/Table1[[#This Row],[BW_GA]])-1)/(Backend!$B$4/100*Table1[[#This Row],[BW40_3705]]),"")</f>
        <v/>
      </c>
      <c r="H8243" s="7" t="str">
        <f>IF(Table1[[#This Row],[Is Data Valid]]=TRUE,((Table1[[#This Row],[Birthweight (grams)]]*0.9/Table1[[#This Row],[BW_GA]])-1)/(Backend!$B$4/100*Table1[[#This Row],[BW40_3705]]),"")</f>
        <v/>
      </c>
      <c r="I8243" s="7" t="str">
        <f>IF(Table1[[#This Row],[Is Data Valid]]=TRUE,((Table1[[#This Row],[Birthweight (grams)]]*1.1/Table1[[#This Row],[BW_GA]])-1)/(Backend!$B$4/100*Table1[[#This Row],[BW40_3705]]),"")</f>
        <v/>
      </c>
      <c r="J8243" s="7" t="str">
        <f>IF(Table1[[#This Row],[Is Data Valid]]=TRUE,_xlfn.NORM.S.DIST(Table1[[#This Row],[Birthweight Z-Score]],TRUE)*100,"")</f>
        <v/>
      </c>
      <c r="K8243" s="7" t="str">
        <f>IF(Table1[[#This Row],[Is Data Valid]]=TRUE,_xlfn.NORM.S.DIST(Table1[[#This Row],[Birthweight Z-Score (BW-10%)]],TRUE)*100,"")</f>
        <v/>
      </c>
      <c r="L8243" s="7" t="str">
        <f>IF(Table1[[#This Row],[Is Data Valid]]=TRUE,_xlfn.NORM.S.DIST(Table1[[#This Row],[Birthweight Z-Score (BW+10%)]],TRUE)*100,"")</f>
        <v/>
      </c>
    </row>
    <row r="8244" spans="1:12" x14ac:dyDescent="0.35">
      <c r="A8244" s="3"/>
      <c r="B8244" s="2"/>
      <c r="C8244" s="2"/>
      <c r="D8244" s="2" t="b">
        <f>IF(AND(NOT(ISBLANK(Table1[[#This Row],[Fetal Sex (Male, Female or Unknown)]])),ISNUMBER(Table1[[#This Row],[Birthweight (grams)]]),ISNUMBER(Table1[[#This Row],[Gestation (days)]])),TRUE,FALSE)</f>
        <v>0</v>
      </c>
      <c r="E8244" s="2" t="str">
        <f>IF(Table1[[#This Row],[Is Data Valid]]=TRUE,IF(Table1[[#This Row],[Fetal Sex (Male, Female or Unknown)]]="Male",Backend!$C$6,IF(Table1[[#This Row],[Fetal Sex (Male, Female or Unknown)]]="Female",Backend!$C$7,IF(Table1[[#This Row],[Fetal Sex (Male, Female or Unknown)]]="Unknown",Backend!$C$8,"Error"))),"")</f>
        <v/>
      </c>
      <c r="F8244" s="8" t="str">
        <f>IF(Table1[[#This Row],[Is Data Valid]]=TRUE,EXP(0.578+0.332*((Table1[[#This Row],[Gestation (days)]]+0.5)/7)-0.00354*((Table1[[#This Row],[Gestation (days)]]+0.5)/7)^2)*Table1[[#This Row],[BW40_3705]],"")</f>
        <v/>
      </c>
      <c r="G8244" s="2" t="str">
        <f>IF(Table1[[#This Row],[Is Data Valid]]=TRUE,((Table1[[#This Row],[Birthweight (grams)]]/Table1[[#This Row],[BW_GA]])-1)/(Backend!$B$4/100*Table1[[#This Row],[BW40_3705]]),"")</f>
        <v/>
      </c>
      <c r="H8244" s="7" t="str">
        <f>IF(Table1[[#This Row],[Is Data Valid]]=TRUE,((Table1[[#This Row],[Birthweight (grams)]]*0.9/Table1[[#This Row],[BW_GA]])-1)/(Backend!$B$4/100*Table1[[#This Row],[BW40_3705]]),"")</f>
        <v/>
      </c>
      <c r="I8244" s="7" t="str">
        <f>IF(Table1[[#This Row],[Is Data Valid]]=TRUE,((Table1[[#This Row],[Birthweight (grams)]]*1.1/Table1[[#This Row],[BW_GA]])-1)/(Backend!$B$4/100*Table1[[#This Row],[BW40_3705]]),"")</f>
        <v/>
      </c>
      <c r="J8244" s="7" t="str">
        <f>IF(Table1[[#This Row],[Is Data Valid]]=TRUE,_xlfn.NORM.S.DIST(Table1[[#This Row],[Birthweight Z-Score]],TRUE)*100,"")</f>
        <v/>
      </c>
      <c r="K8244" s="7" t="str">
        <f>IF(Table1[[#This Row],[Is Data Valid]]=TRUE,_xlfn.NORM.S.DIST(Table1[[#This Row],[Birthweight Z-Score (BW-10%)]],TRUE)*100,"")</f>
        <v/>
      </c>
      <c r="L8244" s="7" t="str">
        <f>IF(Table1[[#This Row],[Is Data Valid]]=TRUE,_xlfn.NORM.S.DIST(Table1[[#This Row],[Birthweight Z-Score (BW+10%)]],TRUE)*100,"")</f>
        <v/>
      </c>
    </row>
    <row r="8245" spans="1:12" x14ac:dyDescent="0.35">
      <c r="A8245" s="3"/>
      <c r="B8245" s="2"/>
      <c r="C8245" s="2"/>
      <c r="D8245" s="2" t="b">
        <f>IF(AND(NOT(ISBLANK(Table1[[#This Row],[Fetal Sex (Male, Female or Unknown)]])),ISNUMBER(Table1[[#This Row],[Birthweight (grams)]]),ISNUMBER(Table1[[#This Row],[Gestation (days)]])),TRUE,FALSE)</f>
        <v>0</v>
      </c>
      <c r="E8245" s="2" t="str">
        <f>IF(Table1[[#This Row],[Is Data Valid]]=TRUE,IF(Table1[[#This Row],[Fetal Sex (Male, Female or Unknown)]]="Male",Backend!$C$6,IF(Table1[[#This Row],[Fetal Sex (Male, Female or Unknown)]]="Female",Backend!$C$7,IF(Table1[[#This Row],[Fetal Sex (Male, Female or Unknown)]]="Unknown",Backend!$C$8,"Error"))),"")</f>
        <v/>
      </c>
      <c r="F8245" s="8" t="str">
        <f>IF(Table1[[#This Row],[Is Data Valid]]=TRUE,EXP(0.578+0.332*((Table1[[#This Row],[Gestation (days)]]+0.5)/7)-0.00354*((Table1[[#This Row],[Gestation (days)]]+0.5)/7)^2)*Table1[[#This Row],[BW40_3705]],"")</f>
        <v/>
      </c>
      <c r="G8245" s="2" t="str">
        <f>IF(Table1[[#This Row],[Is Data Valid]]=TRUE,((Table1[[#This Row],[Birthweight (grams)]]/Table1[[#This Row],[BW_GA]])-1)/(Backend!$B$4/100*Table1[[#This Row],[BW40_3705]]),"")</f>
        <v/>
      </c>
      <c r="H8245" s="7" t="str">
        <f>IF(Table1[[#This Row],[Is Data Valid]]=TRUE,((Table1[[#This Row],[Birthweight (grams)]]*0.9/Table1[[#This Row],[BW_GA]])-1)/(Backend!$B$4/100*Table1[[#This Row],[BW40_3705]]),"")</f>
        <v/>
      </c>
      <c r="I8245" s="7" t="str">
        <f>IF(Table1[[#This Row],[Is Data Valid]]=TRUE,((Table1[[#This Row],[Birthweight (grams)]]*1.1/Table1[[#This Row],[BW_GA]])-1)/(Backend!$B$4/100*Table1[[#This Row],[BW40_3705]]),"")</f>
        <v/>
      </c>
      <c r="J8245" s="7" t="str">
        <f>IF(Table1[[#This Row],[Is Data Valid]]=TRUE,_xlfn.NORM.S.DIST(Table1[[#This Row],[Birthweight Z-Score]],TRUE)*100,"")</f>
        <v/>
      </c>
      <c r="K8245" s="7" t="str">
        <f>IF(Table1[[#This Row],[Is Data Valid]]=TRUE,_xlfn.NORM.S.DIST(Table1[[#This Row],[Birthweight Z-Score (BW-10%)]],TRUE)*100,"")</f>
        <v/>
      </c>
      <c r="L8245" s="7" t="str">
        <f>IF(Table1[[#This Row],[Is Data Valid]]=TRUE,_xlfn.NORM.S.DIST(Table1[[#This Row],[Birthweight Z-Score (BW+10%)]],TRUE)*100,"")</f>
        <v/>
      </c>
    </row>
    <row r="8246" spans="1:12" x14ac:dyDescent="0.35">
      <c r="A8246" s="3"/>
      <c r="B8246" s="2"/>
      <c r="C8246" s="2"/>
      <c r="D8246" s="2" t="b">
        <f>IF(AND(NOT(ISBLANK(Table1[[#This Row],[Fetal Sex (Male, Female or Unknown)]])),ISNUMBER(Table1[[#This Row],[Birthweight (grams)]]),ISNUMBER(Table1[[#This Row],[Gestation (days)]])),TRUE,FALSE)</f>
        <v>0</v>
      </c>
      <c r="E8246" s="2" t="str">
        <f>IF(Table1[[#This Row],[Is Data Valid]]=TRUE,IF(Table1[[#This Row],[Fetal Sex (Male, Female or Unknown)]]="Male",Backend!$C$6,IF(Table1[[#This Row],[Fetal Sex (Male, Female or Unknown)]]="Female",Backend!$C$7,IF(Table1[[#This Row],[Fetal Sex (Male, Female or Unknown)]]="Unknown",Backend!$C$8,"Error"))),"")</f>
        <v/>
      </c>
      <c r="F8246" s="8" t="str">
        <f>IF(Table1[[#This Row],[Is Data Valid]]=TRUE,EXP(0.578+0.332*((Table1[[#This Row],[Gestation (days)]]+0.5)/7)-0.00354*((Table1[[#This Row],[Gestation (days)]]+0.5)/7)^2)*Table1[[#This Row],[BW40_3705]],"")</f>
        <v/>
      </c>
      <c r="G8246" s="2" t="str">
        <f>IF(Table1[[#This Row],[Is Data Valid]]=TRUE,((Table1[[#This Row],[Birthweight (grams)]]/Table1[[#This Row],[BW_GA]])-1)/(Backend!$B$4/100*Table1[[#This Row],[BW40_3705]]),"")</f>
        <v/>
      </c>
      <c r="H8246" s="7" t="str">
        <f>IF(Table1[[#This Row],[Is Data Valid]]=TRUE,((Table1[[#This Row],[Birthweight (grams)]]*0.9/Table1[[#This Row],[BW_GA]])-1)/(Backend!$B$4/100*Table1[[#This Row],[BW40_3705]]),"")</f>
        <v/>
      </c>
      <c r="I8246" s="7" t="str">
        <f>IF(Table1[[#This Row],[Is Data Valid]]=TRUE,((Table1[[#This Row],[Birthweight (grams)]]*1.1/Table1[[#This Row],[BW_GA]])-1)/(Backend!$B$4/100*Table1[[#This Row],[BW40_3705]]),"")</f>
        <v/>
      </c>
      <c r="J8246" s="7" t="str">
        <f>IF(Table1[[#This Row],[Is Data Valid]]=TRUE,_xlfn.NORM.S.DIST(Table1[[#This Row],[Birthweight Z-Score]],TRUE)*100,"")</f>
        <v/>
      </c>
      <c r="K8246" s="7" t="str">
        <f>IF(Table1[[#This Row],[Is Data Valid]]=TRUE,_xlfn.NORM.S.DIST(Table1[[#This Row],[Birthweight Z-Score (BW-10%)]],TRUE)*100,"")</f>
        <v/>
      </c>
      <c r="L8246" s="7" t="str">
        <f>IF(Table1[[#This Row],[Is Data Valid]]=TRUE,_xlfn.NORM.S.DIST(Table1[[#This Row],[Birthweight Z-Score (BW+10%)]],TRUE)*100,"")</f>
        <v/>
      </c>
    </row>
    <row r="8247" spans="1:12" x14ac:dyDescent="0.35">
      <c r="A8247" s="3"/>
      <c r="B8247" s="2"/>
      <c r="C8247" s="2"/>
      <c r="D8247" s="2" t="b">
        <f>IF(AND(NOT(ISBLANK(Table1[[#This Row],[Fetal Sex (Male, Female or Unknown)]])),ISNUMBER(Table1[[#This Row],[Birthweight (grams)]]),ISNUMBER(Table1[[#This Row],[Gestation (days)]])),TRUE,FALSE)</f>
        <v>0</v>
      </c>
      <c r="E8247" s="2" t="str">
        <f>IF(Table1[[#This Row],[Is Data Valid]]=TRUE,IF(Table1[[#This Row],[Fetal Sex (Male, Female or Unknown)]]="Male",Backend!$C$6,IF(Table1[[#This Row],[Fetal Sex (Male, Female or Unknown)]]="Female",Backend!$C$7,IF(Table1[[#This Row],[Fetal Sex (Male, Female or Unknown)]]="Unknown",Backend!$C$8,"Error"))),"")</f>
        <v/>
      </c>
      <c r="F8247" s="8" t="str">
        <f>IF(Table1[[#This Row],[Is Data Valid]]=TRUE,EXP(0.578+0.332*((Table1[[#This Row],[Gestation (days)]]+0.5)/7)-0.00354*((Table1[[#This Row],[Gestation (days)]]+0.5)/7)^2)*Table1[[#This Row],[BW40_3705]],"")</f>
        <v/>
      </c>
      <c r="G8247" s="2" t="str">
        <f>IF(Table1[[#This Row],[Is Data Valid]]=TRUE,((Table1[[#This Row],[Birthweight (grams)]]/Table1[[#This Row],[BW_GA]])-1)/(Backend!$B$4/100*Table1[[#This Row],[BW40_3705]]),"")</f>
        <v/>
      </c>
      <c r="H8247" s="7" t="str">
        <f>IF(Table1[[#This Row],[Is Data Valid]]=TRUE,((Table1[[#This Row],[Birthweight (grams)]]*0.9/Table1[[#This Row],[BW_GA]])-1)/(Backend!$B$4/100*Table1[[#This Row],[BW40_3705]]),"")</f>
        <v/>
      </c>
      <c r="I8247" s="7" t="str">
        <f>IF(Table1[[#This Row],[Is Data Valid]]=TRUE,((Table1[[#This Row],[Birthweight (grams)]]*1.1/Table1[[#This Row],[BW_GA]])-1)/(Backend!$B$4/100*Table1[[#This Row],[BW40_3705]]),"")</f>
        <v/>
      </c>
      <c r="J8247" s="7" t="str">
        <f>IF(Table1[[#This Row],[Is Data Valid]]=TRUE,_xlfn.NORM.S.DIST(Table1[[#This Row],[Birthweight Z-Score]],TRUE)*100,"")</f>
        <v/>
      </c>
      <c r="K8247" s="7" t="str">
        <f>IF(Table1[[#This Row],[Is Data Valid]]=TRUE,_xlfn.NORM.S.DIST(Table1[[#This Row],[Birthweight Z-Score (BW-10%)]],TRUE)*100,"")</f>
        <v/>
      </c>
      <c r="L8247" s="7" t="str">
        <f>IF(Table1[[#This Row],[Is Data Valid]]=TRUE,_xlfn.NORM.S.DIST(Table1[[#This Row],[Birthweight Z-Score (BW+10%)]],TRUE)*100,"")</f>
        <v/>
      </c>
    </row>
    <row r="8248" spans="1:12" x14ac:dyDescent="0.35">
      <c r="A8248" s="3"/>
      <c r="B8248" s="2"/>
      <c r="C8248" s="2"/>
      <c r="D8248" s="2" t="b">
        <f>IF(AND(NOT(ISBLANK(Table1[[#This Row],[Fetal Sex (Male, Female or Unknown)]])),ISNUMBER(Table1[[#This Row],[Birthweight (grams)]]),ISNUMBER(Table1[[#This Row],[Gestation (days)]])),TRUE,FALSE)</f>
        <v>0</v>
      </c>
      <c r="E8248" s="2" t="str">
        <f>IF(Table1[[#This Row],[Is Data Valid]]=TRUE,IF(Table1[[#This Row],[Fetal Sex (Male, Female or Unknown)]]="Male",Backend!$C$6,IF(Table1[[#This Row],[Fetal Sex (Male, Female or Unknown)]]="Female",Backend!$C$7,IF(Table1[[#This Row],[Fetal Sex (Male, Female or Unknown)]]="Unknown",Backend!$C$8,"Error"))),"")</f>
        <v/>
      </c>
      <c r="F8248" s="8" t="str">
        <f>IF(Table1[[#This Row],[Is Data Valid]]=TRUE,EXP(0.578+0.332*((Table1[[#This Row],[Gestation (days)]]+0.5)/7)-0.00354*((Table1[[#This Row],[Gestation (days)]]+0.5)/7)^2)*Table1[[#This Row],[BW40_3705]],"")</f>
        <v/>
      </c>
      <c r="G8248" s="2" t="str">
        <f>IF(Table1[[#This Row],[Is Data Valid]]=TRUE,((Table1[[#This Row],[Birthweight (grams)]]/Table1[[#This Row],[BW_GA]])-1)/(Backend!$B$4/100*Table1[[#This Row],[BW40_3705]]),"")</f>
        <v/>
      </c>
      <c r="H8248" s="7" t="str">
        <f>IF(Table1[[#This Row],[Is Data Valid]]=TRUE,((Table1[[#This Row],[Birthweight (grams)]]*0.9/Table1[[#This Row],[BW_GA]])-1)/(Backend!$B$4/100*Table1[[#This Row],[BW40_3705]]),"")</f>
        <v/>
      </c>
      <c r="I8248" s="7" t="str">
        <f>IF(Table1[[#This Row],[Is Data Valid]]=TRUE,((Table1[[#This Row],[Birthweight (grams)]]*1.1/Table1[[#This Row],[BW_GA]])-1)/(Backend!$B$4/100*Table1[[#This Row],[BW40_3705]]),"")</f>
        <v/>
      </c>
      <c r="J8248" s="7" t="str">
        <f>IF(Table1[[#This Row],[Is Data Valid]]=TRUE,_xlfn.NORM.S.DIST(Table1[[#This Row],[Birthweight Z-Score]],TRUE)*100,"")</f>
        <v/>
      </c>
      <c r="K8248" s="7" t="str">
        <f>IF(Table1[[#This Row],[Is Data Valid]]=TRUE,_xlfn.NORM.S.DIST(Table1[[#This Row],[Birthweight Z-Score (BW-10%)]],TRUE)*100,"")</f>
        <v/>
      </c>
      <c r="L8248" s="7" t="str">
        <f>IF(Table1[[#This Row],[Is Data Valid]]=TRUE,_xlfn.NORM.S.DIST(Table1[[#This Row],[Birthweight Z-Score (BW+10%)]],TRUE)*100,"")</f>
        <v/>
      </c>
    </row>
    <row r="8249" spans="1:12" x14ac:dyDescent="0.35">
      <c r="A8249" s="3"/>
      <c r="B8249" s="2"/>
      <c r="C8249" s="2"/>
      <c r="D8249" s="2" t="b">
        <f>IF(AND(NOT(ISBLANK(Table1[[#This Row],[Fetal Sex (Male, Female or Unknown)]])),ISNUMBER(Table1[[#This Row],[Birthweight (grams)]]),ISNUMBER(Table1[[#This Row],[Gestation (days)]])),TRUE,FALSE)</f>
        <v>0</v>
      </c>
      <c r="E8249" s="2" t="str">
        <f>IF(Table1[[#This Row],[Is Data Valid]]=TRUE,IF(Table1[[#This Row],[Fetal Sex (Male, Female or Unknown)]]="Male",Backend!$C$6,IF(Table1[[#This Row],[Fetal Sex (Male, Female or Unknown)]]="Female",Backend!$C$7,IF(Table1[[#This Row],[Fetal Sex (Male, Female or Unknown)]]="Unknown",Backend!$C$8,"Error"))),"")</f>
        <v/>
      </c>
      <c r="F8249" s="8" t="str">
        <f>IF(Table1[[#This Row],[Is Data Valid]]=TRUE,EXP(0.578+0.332*((Table1[[#This Row],[Gestation (days)]]+0.5)/7)-0.00354*((Table1[[#This Row],[Gestation (days)]]+0.5)/7)^2)*Table1[[#This Row],[BW40_3705]],"")</f>
        <v/>
      </c>
      <c r="G8249" s="2" t="str">
        <f>IF(Table1[[#This Row],[Is Data Valid]]=TRUE,((Table1[[#This Row],[Birthweight (grams)]]/Table1[[#This Row],[BW_GA]])-1)/(Backend!$B$4/100*Table1[[#This Row],[BW40_3705]]),"")</f>
        <v/>
      </c>
      <c r="H8249" s="7" t="str">
        <f>IF(Table1[[#This Row],[Is Data Valid]]=TRUE,((Table1[[#This Row],[Birthweight (grams)]]*0.9/Table1[[#This Row],[BW_GA]])-1)/(Backend!$B$4/100*Table1[[#This Row],[BW40_3705]]),"")</f>
        <v/>
      </c>
      <c r="I8249" s="7" t="str">
        <f>IF(Table1[[#This Row],[Is Data Valid]]=TRUE,((Table1[[#This Row],[Birthweight (grams)]]*1.1/Table1[[#This Row],[BW_GA]])-1)/(Backend!$B$4/100*Table1[[#This Row],[BW40_3705]]),"")</f>
        <v/>
      </c>
      <c r="J8249" s="7" t="str">
        <f>IF(Table1[[#This Row],[Is Data Valid]]=TRUE,_xlfn.NORM.S.DIST(Table1[[#This Row],[Birthweight Z-Score]],TRUE)*100,"")</f>
        <v/>
      </c>
      <c r="K8249" s="7" t="str">
        <f>IF(Table1[[#This Row],[Is Data Valid]]=TRUE,_xlfn.NORM.S.DIST(Table1[[#This Row],[Birthweight Z-Score (BW-10%)]],TRUE)*100,"")</f>
        <v/>
      </c>
      <c r="L8249" s="7" t="str">
        <f>IF(Table1[[#This Row],[Is Data Valid]]=TRUE,_xlfn.NORM.S.DIST(Table1[[#This Row],[Birthweight Z-Score (BW+10%)]],TRUE)*100,"")</f>
        <v/>
      </c>
    </row>
    <row r="8250" spans="1:12" x14ac:dyDescent="0.35">
      <c r="A8250" s="3"/>
      <c r="B8250" s="2"/>
      <c r="C8250" s="2"/>
      <c r="D8250" s="2" t="b">
        <f>IF(AND(NOT(ISBLANK(Table1[[#This Row],[Fetal Sex (Male, Female or Unknown)]])),ISNUMBER(Table1[[#This Row],[Birthweight (grams)]]),ISNUMBER(Table1[[#This Row],[Gestation (days)]])),TRUE,FALSE)</f>
        <v>0</v>
      </c>
      <c r="E8250" s="2" t="str">
        <f>IF(Table1[[#This Row],[Is Data Valid]]=TRUE,IF(Table1[[#This Row],[Fetal Sex (Male, Female or Unknown)]]="Male",Backend!$C$6,IF(Table1[[#This Row],[Fetal Sex (Male, Female or Unknown)]]="Female",Backend!$C$7,IF(Table1[[#This Row],[Fetal Sex (Male, Female or Unknown)]]="Unknown",Backend!$C$8,"Error"))),"")</f>
        <v/>
      </c>
      <c r="F8250" s="8" t="str">
        <f>IF(Table1[[#This Row],[Is Data Valid]]=TRUE,EXP(0.578+0.332*((Table1[[#This Row],[Gestation (days)]]+0.5)/7)-0.00354*((Table1[[#This Row],[Gestation (days)]]+0.5)/7)^2)*Table1[[#This Row],[BW40_3705]],"")</f>
        <v/>
      </c>
      <c r="G8250" s="2" t="str">
        <f>IF(Table1[[#This Row],[Is Data Valid]]=TRUE,((Table1[[#This Row],[Birthweight (grams)]]/Table1[[#This Row],[BW_GA]])-1)/(Backend!$B$4/100*Table1[[#This Row],[BW40_3705]]),"")</f>
        <v/>
      </c>
      <c r="H8250" s="7" t="str">
        <f>IF(Table1[[#This Row],[Is Data Valid]]=TRUE,((Table1[[#This Row],[Birthweight (grams)]]*0.9/Table1[[#This Row],[BW_GA]])-1)/(Backend!$B$4/100*Table1[[#This Row],[BW40_3705]]),"")</f>
        <v/>
      </c>
      <c r="I8250" s="7" t="str">
        <f>IF(Table1[[#This Row],[Is Data Valid]]=TRUE,((Table1[[#This Row],[Birthweight (grams)]]*1.1/Table1[[#This Row],[BW_GA]])-1)/(Backend!$B$4/100*Table1[[#This Row],[BW40_3705]]),"")</f>
        <v/>
      </c>
      <c r="J8250" s="7" t="str">
        <f>IF(Table1[[#This Row],[Is Data Valid]]=TRUE,_xlfn.NORM.S.DIST(Table1[[#This Row],[Birthweight Z-Score]],TRUE)*100,"")</f>
        <v/>
      </c>
      <c r="K8250" s="7" t="str">
        <f>IF(Table1[[#This Row],[Is Data Valid]]=TRUE,_xlfn.NORM.S.DIST(Table1[[#This Row],[Birthweight Z-Score (BW-10%)]],TRUE)*100,"")</f>
        <v/>
      </c>
      <c r="L8250" s="7" t="str">
        <f>IF(Table1[[#This Row],[Is Data Valid]]=TRUE,_xlfn.NORM.S.DIST(Table1[[#This Row],[Birthweight Z-Score (BW+10%)]],TRUE)*100,"")</f>
        <v/>
      </c>
    </row>
    <row r="8251" spans="1:12" x14ac:dyDescent="0.35">
      <c r="A8251" s="3"/>
      <c r="B8251" s="2"/>
      <c r="C8251" s="2"/>
      <c r="D8251" s="2" t="b">
        <f>IF(AND(NOT(ISBLANK(Table1[[#This Row],[Fetal Sex (Male, Female or Unknown)]])),ISNUMBER(Table1[[#This Row],[Birthweight (grams)]]),ISNUMBER(Table1[[#This Row],[Gestation (days)]])),TRUE,FALSE)</f>
        <v>0</v>
      </c>
      <c r="E8251" s="2" t="str">
        <f>IF(Table1[[#This Row],[Is Data Valid]]=TRUE,IF(Table1[[#This Row],[Fetal Sex (Male, Female or Unknown)]]="Male",Backend!$C$6,IF(Table1[[#This Row],[Fetal Sex (Male, Female or Unknown)]]="Female",Backend!$C$7,IF(Table1[[#This Row],[Fetal Sex (Male, Female or Unknown)]]="Unknown",Backend!$C$8,"Error"))),"")</f>
        <v/>
      </c>
      <c r="F8251" s="8" t="str">
        <f>IF(Table1[[#This Row],[Is Data Valid]]=TRUE,EXP(0.578+0.332*((Table1[[#This Row],[Gestation (days)]]+0.5)/7)-0.00354*((Table1[[#This Row],[Gestation (days)]]+0.5)/7)^2)*Table1[[#This Row],[BW40_3705]],"")</f>
        <v/>
      </c>
      <c r="G8251" s="2" t="str">
        <f>IF(Table1[[#This Row],[Is Data Valid]]=TRUE,((Table1[[#This Row],[Birthweight (grams)]]/Table1[[#This Row],[BW_GA]])-1)/(Backend!$B$4/100*Table1[[#This Row],[BW40_3705]]),"")</f>
        <v/>
      </c>
      <c r="H8251" s="7" t="str">
        <f>IF(Table1[[#This Row],[Is Data Valid]]=TRUE,((Table1[[#This Row],[Birthweight (grams)]]*0.9/Table1[[#This Row],[BW_GA]])-1)/(Backend!$B$4/100*Table1[[#This Row],[BW40_3705]]),"")</f>
        <v/>
      </c>
      <c r="I8251" s="7" t="str">
        <f>IF(Table1[[#This Row],[Is Data Valid]]=TRUE,((Table1[[#This Row],[Birthweight (grams)]]*1.1/Table1[[#This Row],[BW_GA]])-1)/(Backend!$B$4/100*Table1[[#This Row],[BW40_3705]]),"")</f>
        <v/>
      </c>
      <c r="J8251" s="7" t="str">
        <f>IF(Table1[[#This Row],[Is Data Valid]]=TRUE,_xlfn.NORM.S.DIST(Table1[[#This Row],[Birthweight Z-Score]],TRUE)*100,"")</f>
        <v/>
      </c>
      <c r="K8251" s="7" t="str">
        <f>IF(Table1[[#This Row],[Is Data Valid]]=TRUE,_xlfn.NORM.S.DIST(Table1[[#This Row],[Birthweight Z-Score (BW-10%)]],TRUE)*100,"")</f>
        <v/>
      </c>
      <c r="L8251" s="7" t="str">
        <f>IF(Table1[[#This Row],[Is Data Valid]]=TRUE,_xlfn.NORM.S.DIST(Table1[[#This Row],[Birthweight Z-Score (BW+10%)]],TRUE)*100,"")</f>
        <v/>
      </c>
    </row>
    <row r="8252" spans="1:12" x14ac:dyDescent="0.35">
      <c r="A8252" s="3"/>
      <c r="B8252" s="2"/>
      <c r="C8252" s="2"/>
      <c r="D8252" s="2" t="b">
        <f>IF(AND(NOT(ISBLANK(Table1[[#This Row],[Fetal Sex (Male, Female or Unknown)]])),ISNUMBER(Table1[[#This Row],[Birthweight (grams)]]),ISNUMBER(Table1[[#This Row],[Gestation (days)]])),TRUE,FALSE)</f>
        <v>0</v>
      </c>
      <c r="E8252" s="2" t="str">
        <f>IF(Table1[[#This Row],[Is Data Valid]]=TRUE,IF(Table1[[#This Row],[Fetal Sex (Male, Female or Unknown)]]="Male",Backend!$C$6,IF(Table1[[#This Row],[Fetal Sex (Male, Female or Unknown)]]="Female",Backend!$C$7,IF(Table1[[#This Row],[Fetal Sex (Male, Female or Unknown)]]="Unknown",Backend!$C$8,"Error"))),"")</f>
        <v/>
      </c>
      <c r="F8252" s="8" t="str">
        <f>IF(Table1[[#This Row],[Is Data Valid]]=TRUE,EXP(0.578+0.332*((Table1[[#This Row],[Gestation (days)]]+0.5)/7)-0.00354*((Table1[[#This Row],[Gestation (days)]]+0.5)/7)^2)*Table1[[#This Row],[BW40_3705]],"")</f>
        <v/>
      </c>
      <c r="G8252" s="2" t="str">
        <f>IF(Table1[[#This Row],[Is Data Valid]]=TRUE,((Table1[[#This Row],[Birthweight (grams)]]/Table1[[#This Row],[BW_GA]])-1)/(Backend!$B$4/100*Table1[[#This Row],[BW40_3705]]),"")</f>
        <v/>
      </c>
      <c r="H8252" s="7" t="str">
        <f>IF(Table1[[#This Row],[Is Data Valid]]=TRUE,((Table1[[#This Row],[Birthweight (grams)]]*0.9/Table1[[#This Row],[BW_GA]])-1)/(Backend!$B$4/100*Table1[[#This Row],[BW40_3705]]),"")</f>
        <v/>
      </c>
      <c r="I8252" s="7" t="str">
        <f>IF(Table1[[#This Row],[Is Data Valid]]=TRUE,((Table1[[#This Row],[Birthweight (grams)]]*1.1/Table1[[#This Row],[BW_GA]])-1)/(Backend!$B$4/100*Table1[[#This Row],[BW40_3705]]),"")</f>
        <v/>
      </c>
      <c r="J8252" s="7" t="str">
        <f>IF(Table1[[#This Row],[Is Data Valid]]=TRUE,_xlfn.NORM.S.DIST(Table1[[#This Row],[Birthweight Z-Score]],TRUE)*100,"")</f>
        <v/>
      </c>
      <c r="K8252" s="7" t="str">
        <f>IF(Table1[[#This Row],[Is Data Valid]]=TRUE,_xlfn.NORM.S.DIST(Table1[[#This Row],[Birthweight Z-Score (BW-10%)]],TRUE)*100,"")</f>
        <v/>
      </c>
      <c r="L8252" s="7" t="str">
        <f>IF(Table1[[#This Row],[Is Data Valid]]=TRUE,_xlfn.NORM.S.DIST(Table1[[#This Row],[Birthweight Z-Score (BW+10%)]],TRUE)*100,"")</f>
        <v/>
      </c>
    </row>
    <row r="8253" spans="1:12" x14ac:dyDescent="0.35">
      <c r="A8253" s="3"/>
      <c r="B8253" s="2"/>
      <c r="C8253" s="2"/>
      <c r="D8253" s="2" t="b">
        <f>IF(AND(NOT(ISBLANK(Table1[[#This Row],[Fetal Sex (Male, Female or Unknown)]])),ISNUMBER(Table1[[#This Row],[Birthweight (grams)]]),ISNUMBER(Table1[[#This Row],[Gestation (days)]])),TRUE,FALSE)</f>
        <v>0</v>
      </c>
      <c r="E8253" s="2" t="str">
        <f>IF(Table1[[#This Row],[Is Data Valid]]=TRUE,IF(Table1[[#This Row],[Fetal Sex (Male, Female or Unknown)]]="Male",Backend!$C$6,IF(Table1[[#This Row],[Fetal Sex (Male, Female or Unknown)]]="Female",Backend!$C$7,IF(Table1[[#This Row],[Fetal Sex (Male, Female or Unknown)]]="Unknown",Backend!$C$8,"Error"))),"")</f>
        <v/>
      </c>
      <c r="F8253" s="8" t="str">
        <f>IF(Table1[[#This Row],[Is Data Valid]]=TRUE,EXP(0.578+0.332*((Table1[[#This Row],[Gestation (days)]]+0.5)/7)-0.00354*((Table1[[#This Row],[Gestation (days)]]+0.5)/7)^2)*Table1[[#This Row],[BW40_3705]],"")</f>
        <v/>
      </c>
      <c r="G8253" s="2" t="str">
        <f>IF(Table1[[#This Row],[Is Data Valid]]=TRUE,((Table1[[#This Row],[Birthweight (grams)]]/Table1[[#This Row],[BW_GA]])-1)/(Backend!$B$4/100*Table1[[#This Row],[BW40_3705]]),"")</f>
        <v/>
      </c>
      <c r="H8253" s="7" t="str">
        <f>IF(Table1[[#This Row],[Is Data Valid]]=TRUE,((Table1[[#This Row],[Birthweight (grams)]]*0.9/Table1[[#This Row],[BW_GA]])-1)/(Backend!$B$4/100*Table1[[#This Row],[BW40_3705]]),"")</f>
        <v/>
      </c>
      <c r="I8253" s="7" t="str">
        <f>IF(Table1[[#This Row],[Is Data Valid]]=TRUE,((Table1[[#This Row],[Birthweight (grams)]]*1.1/Table1[[#This Row],[BW_GA]])-1)/(Backend!$B$4/100*Table1[[#This Row],[BW40_3705]]),"")</f>
        <v/>
      </c>
      <c r="J8253" s="7" t="str">
        <f>IF(Table1[[#This Row],[Is Data Valid]]=TRUE,_xlfn.NORM.S.DIST(Table1[[#This Row],[Birthweight Z-Score]],TRUE)*100,"")</f>
        <v/>
      </c>
      <c r="K8253" s="7" t="str">
        <f>IF(Table1[[#This Row],[Is Data Valid]]=TRUE,_xlfn.NORM.S.DIST(Table1[[#This Row],[Birthweight Z-Score (BW-10%)]],TRUE)*100,"")</f>
        <v/>
      </c>
      <c r="L8253" s="7" t="str">
        <f>IF(Table1[[#This Row],[Is Data Valid]]=TRUE,_xlfn.NORM.S.DIST(Table1[[#This Row],[Birthweight Z-Score (BW+10%)]],TRUE)*100,"")</f>
        <v/>
      </c>
    </row>
    <row r="8254" spans="1:12" x14ac:dyDescent="0.35">
      <c r="A8254" s="3"/>
      <c r="B8254" s="2"/>
      <c r="C8254" s="2"/>
      <c r="D8254" s="2" t="b">
        <f>IF(AND(NOT(ISBLANK(Table1[[#This Row],[Fetal Sex (Male, Female or Unknown)]])),ISNUMBER(Table1[[#This Row],[Birthweight (grams)]]),ISNUMBER(Table1[[#This Row],[Gestation (days)]])),TRUE,FALSE)</f>
        <v>0</v>
      </c>
      <c r="E8254" s="2" t="str">
        <f>IF(Table1[[#This Row],[Is Data Valid]]=TRUE,IF(Table1[[#This Row],[Fetal Sex (Male, Female or Unknown)]]="Male",Backend!$C$6,IF(Table1[[#This Row],[Fetal Sex (Male, Female or Unknown)]]="Female",Backend!$C$7,IF(Table1[[#This Row],[Fetal Sex (Male, Female or Unknown)]]="Unknown",Backend!$C$8,"Error"))),"")</f>
        <v/>
      </c>
      <c r="F8254" s="8" t="str">
        <f>IF(Table1[[#This Row],[Is Data Valid]]=TRUE,EXP(0.578+0.332*((Table1[[#This Row],[Gestation (days)]]+0.5)/7)-0.00354*((Table1[[#This Row],[Gestation (days)]]+0.5)/7)^2)*Table1[[#This Row],[BW40_3705]],"")</f>
        <v/>
      </c>
      <c r="G8254" s="2" t="str">
        <f>IF(Table1[[#This Row],[Is Data Valid]]=TRUE,((Table1[[#This Row],[Birthweight (grams)]]/Table1[[#This Row],[BW_GA]])-1)/(Backend!$B$4/100*Table1[[#This Row],[BW40_3705]]),"")</f>
        <v/>
      </c>
      <c r="H8254" s="7" t="str">
        <f>IF(Table1[[#This Row],[Is Data Valid]]=TRUE,((Table1[[#This Row],[Birthweight (grams)]]*0.9/Table1[[#This Row],[BW_GA]])-1)/(Backend!$B$4/100*Table1[[#This Row],[BW40_3705]]),"")</f>
        <v/>
      </c>
      <c r="I8254" s="7" t="str">
        <f>IF(Table1[[#This Row],[Is Data Valid]]=TRUE,((Table1[[#This Row],[Birthweight (grams)]]*1.1/Table1[[#This Row],[BW_GA]])-1)/(Backend!$B$4/100*Table1[[#This Row],[BW40_3705]]),"")</f>
        <v/>
      </c>
      <c r="J8254" s="7" t="str">
        <f>IF(Table1[[#This Row],[Is Data Valid]]=TRUE,_xlfn.NORM.S.DIST(Table1[[#This Row],[Birthweight Z-Score]],TRUE)*100,"")</f>
        <v/>
      </c>
      <c r="K8254" s="7" t="str">
        <f>IF(Table1[[#This Row],[Is Data Valid]]=TRUE,_xlfn.NORM.S.DIST(Table1[[#This Row],[Birthweight Z-Score (BW-10%)]],TRUE)*100,"")</f>
        <v/>
      </c>
      <c r="L8254" s="7" t="str">
        <f>IF(Table1[[#This Row],[Is Data Valid]]=TRUE,_xlfn.NORM.S.DIST(Table1[[#This Row],[Birthweight Z-Score (BW+10%)]],TRUE)*100,"")</f>
        <v/>
      </c>
    </row>
    <row r="8255" spans="1:12" x14ac:dyDescent="0.35">
      <c r="A8255" s="3"/>
      <c r="B8255" s="2"/>
      <c r="C8255" s="2"/>
      <c r="D8255" s="2" t="b">
        <f>IF(AND(NOT(ISBLANK(Table1[[#This Row],[Fetal Sex (Male, Female or Unknown)]])),ISNUMBER(Table1[[#This Row],[Birthweight (grams)]]),ISNUMBER(Table1[[#This Row],[Gestation (days)]])),TRUE,FALSE)</f>
        <v>0</v>
      </c>
      <c r="E8255" s="2" t="str">
        <f>IF(Table1[[#This Row],[Is Data Valid]]=TRUE,IF(Table1[[#This Row],[Fetal Sex (Male, Female or Unknown)]]="Male",Backend!$C$6,IF(Table1[[#This Row],[Fetal Sex (Male, Female or Unknown)]]="Female",Backend!$C$7,IF(Table1[[#This Row],[Fetal Sex (Male, Female or Unknown)]]="Unknown",Backend!$C$8,"Error"))),"")</f>
        <v/>
      </c>
      <c r="F8255" s="8" t="str">
        <f>IF(Table1[[#This Row],[Is Data Valid]]=TRUE,EXP(0.578+0.332*((Table1[[#This Row],[Gestation (days)]]+0.5)/7)-0.00354*((Table1[[#This Row],[Gestation (days)]]+0.5)/7)^2)*Table1[[#This Row],[BW40_3705]],"")</f>
        <v/>
      </c>
      <c r="G8255" s="2" t="str">
        <f>IF(Table1[[#This Row],[Is Data Valid]]=TRUE,((Table1[[#This Row],[Birthweight (grams)]]/Table1[[#This Row],[BW_GA]])-1)/(Backend!$B$4/100*Table1[[#This Row],[BW40_3705]]),"")</f>
        <v/>
      </c>
      <c r="H8255" s="7" t="str">
        <f>IF(Table1[[#This Row],[Is Data Valid]]=TRUE,((Table1[[#This Row],[Birthweight (grams)]]*0.9/Table1[[#This Row],[BW_GA]])-1)/(Backend!$B$4/100*Table1[[#This Row],[BW40_3705]]),"")</f>
        <v/>
      </c>
      <c r="I8255" s="7" t="str">
        <f>IF(Table1[[#This Row],[Is Data Valid]]=TRUE,((Table1[[#This Row],[Birthweight (grams)]]*1.1/Table1[[#This Row],[BW_GA]])-1)/(Backend!$B$4/100*Table1[[#This Row],[BW40_3705]]),"")</f>
        <v/>
      </c>
      <c r="J8255" s="7" t="str">
        <f>IF(Table1[[#This Row],[Is Data Valid]]=TRUE,_xlfn.NORM.S.DIST(Table1[[#This Row],[Birthweight Z-Score]],TRUE)*100,"")</f>
        <v/>
      </c>
      <c r="K8255" s="7" t="str">
        <f>IF(Table1[[#This Row],[Is Data Valid]]=TRUE,_xlfn.NORM.S.DIST(Table1[[#This Row],[Birthweight Z-Score (BW-10%)]],TRUE)*100,"")</f>
        <v/>
      </c>
      <c r="L8255" s="7" t="str">
        <f>IF(Table1[[#This Row],[Is Data Valid]]=TRUE,_xlfn.NORM.S.DIST(Table1[[#This Row],[Birthweight Z-Score (BW+10%)]],TRUE)*100,"")</f>
        <v/>
      </c>
    </row>
    <row r="8256" spans="1:12" x14ac:dyDescent="0.35">
      <c r="A8256" s="3"/>
      <c r="B8256" s="2"/>
      <c r="C8256" s="2"/>
      <c r="D8256" s="2" t="b">
        <f>IF(AND(NOT(ISBLANK(Table1[[#This Row],[Fetal Sex (Male, Female or Unknown)]])),ISNUMBER(Table1[[#This Row],[Birthweight (grams)]]),ISNUMBER(Table1[[#This Row],[Gestation (days)]])),TRUE,FALSE)</f>
        <v>0</v>
      </c>
      <c r="E8256" s="2" t="str">
        <f>IF(Table1[[#This Row],[Is Data Valid]]=TRUE,IF(Table1[[#This Row],[Fetal Sex (Male, Female or Unknown)]]="Male",Backend!$C$6,IF(Table1[[#This Row],[Fetal Sex (Male, Female or Unknown)]]="Female",Backend!$C$7,IF(Table1[[#This Row],[Fetal Sex (Male, Female or Unknown)]]="Unknown",Backend!$C$8,"Error"))),"")</f>
        <v/>
      </c>
      <c r="F8256" s="8" t="str">
        <f>IF(Table1[[#This Row],[Is Data Valid]]=TRUE,EXP(0.578+0.332*((Table1[[#This Row],[Gestation (days)]]+0.5)/7)-0.00354*((Table1[[#This Row],[Gestation (days)]]+0.5)/7)^2)*Table1[[#This Row],[BW40_3705]],"")</f>
        <v/>
      </c>
      <c r="G8256" s="2" t="str">
        <f>IF(Table1[[#This Row],[Is Data Valid]]=TRUE,((Table1[[#This Row],[Birthweight (grams)]]/Table1[[#This Row],[BW_GA]])-1)/(Backend!$B$4/100*Table1[[#This Row],[BW40_3705]]),"")</f>
        <v/>
      </c>
      <c r="H8256" s="7" t="str">
        <f>IF(Table1[[#This Row],[Is Data Valid]]=TRUE,((Table1[[#This Row],[Birthweight (grams)]]*0.9/Table1[[#This Row],[BW_GA]])-1)/(Backend!$B$4/100*Table1[[#This Row],[BW40_3705]]),"")</f>
        <v/>
      </c>
      <c r="I8256" s="7" t="str">
        <f>IF(Table1[[#This Row],[Is Data Valid]]=TRUE,((Table1[[#This Row],[Birthweight (grams)]]*1.1/Table1[[#This Row],[BW_GA]])-1)/(Backend!$B$4/100*Table1[[#This Row],[BW40_3705]]),"")</f>
        <v/>
      </c>
      <c r="J8256" s="7" t="str">
        <f>IF(Table1[[#This Row],[Is Data Valid]]=TRUE,_xlfn.NORM.S.DIST(Table1[[#This Row],[Birthweight Z-Score]],TRUE)*100,"")</f>
        <v/>
      </c>
      <c r="K8256" s="7" t="str">
        <f>IF(Table1[[#This Row],[Is Data Valid]]=TRUE,_xlfn.NORM.S.DIST(Table1[[#This Row],[Birthweight Z-Score (BW-10%)]],TRUE)*100,"")</f>
        <v/>
      </c>
      <c r="L8256" s="7" t="str">
        <f>IF(Table1[[#This Row],[Is Data Valid]]=TRUE,_xlfn.NORM.S.DIST(Table1[[#This Row],[Birthweight Z-Score (BW+10%)]],TRUE)*100,"")</f>
        <v/>
      </c>
    </row>
    <row r="8257" spans="1:12" x14ac:dyDescent="0.35">
      <c r="A8257" s="3"/>
      <c r="B8257" s="2"/>
      <c r="C8257" s="2"/>
      <c r="D8257" s="2" t="b">
        <f>IF(AND(NOT(ISBLANK(Table1[[#This Row],[Fetal Sex (Male, Female or Unknown)]])),ISNUMBER(Table1[[#This Row],[Birthweight (grams)]]),ISNUMBER(Table1[[#This Row],[Gestation (days)]])),TRUE,FALSE)</f>
        <v>0</v>
      </c>
      <c r="E8257" s="2" t="str">
        <f>IF(Table1[[#This Row],[Is Data Valid]]=TRUE,IF(Table1[[#This Row],[Fetal Sex (Male, Female or Unknown)]]="Male",Backend!$C$6,IF(Table1[[#This Row],[Fetal Sex (Male, Female or Unknown)]]="Female",Backend!$C$7,IF(Table1[[#This Row],[Fetal Sex (Male, Female or Unknown)]]="Unknown",Backend!$C$8,"Error"))),"")</f>
        <v/>
      </c>
      <c r="F8257" s="8" t="str">
        <f>IF(Table1[[#This Row],[Is Data Valid]]=TRUE,EXP(0.578+0.332*((Table1[[#This Row],[Gestation (days)]]+0.5)/7)-0.00354*((Table1[[#This Row],[Gestation (days)]]+0.5)/7)^2)*Table1[[#This Row],[BW40_3705]],"")</f>
        <v/>
      </c>
      <c r="G8257" s="2" t="str">
        <f>IF(Table1[[#This Row],[Is Data Valid]]=TRUE,((Table1[[#This Row],[Birthweight (grams)]]/Table1[[#This Row],[BW_GA]])-1)/(Backend!$B$4/100*Table1[[#This Row],[BW40_3705]]),"")</f>
        <v/>
      </c>
      <c r="H8257" s="7" t="str">
        <f>IF(Table1[[#This Row],[Is Data Valid]]=TRUE,((Table1[[#This Row],[Birthweight (grams)]]*0.9/Table1[[#This Row],[BW_GA]])-1)/(Backend!$B$4/100*Table1[[#This Row],[BW40_3705]]),"")</f>
        <v/>
      </c>
      <c r="I8257" s="7" t="str">
        <f>IF(Table1[[#This Row],[Is Data Valid]]=TRUE,((Table1[[#This Row],[Birthweight (grams)]]*1.1/Table1[[#This Row],[BW_GA]])-1)/(Backend!$B$4/100*Table1[[#This Row],[BW40_3705]]),"")</f>
        <v/>
      </c>
      <c r="J8257" s="7" t="str">
        <f>IF(Table1[[#This Row],[Is Data Valid]]=TRUE,_xlfn.NORM.S.DIST(Table1[[#This Row],[Birthweight Z-Score]],TRUE)*100,"")</f>
        <v/>
      </c>
      <c r="K8257" s="7" t="str">
        <f>IF(Table1[[#This Row],[Is Data Valid]]=TRUE,_xlfn.NORM.S.DIST(Table1[[#This Row],[Birthweight Z-Score (BW-10%)]],TRUE)*100,"")</f>
        <v/>
      </c>
      <c r="L8257" s="7" t="str">
        <f>IF(Table1[[#This Row],[Is Data Valid]]=TRUE,_xlfn.NORM.S.DIST(Table1[[#This Row],[Birthweight Z-Score (BW+10%)]],TRUE)*100,"")</f>
        <v/>
      </c>
    </row>
    <row r="8258" spans="1:12" x14ac:dyDescent="0.35">
      <c r="A8258" s="3"/>
      <c r="B8258" s="2"/>
      <c r="C8258" s="2"/>
      <c r="D8258" s="2" t="b">
        <f>IF(AND(NOT(ISBLANK(Table1[[#This Row],[Fetal Sex (Male, Female or Unknown)]])),ISNUMBER(Table1[[#This Row],[Birthweight (grams)]]),ISNUMBER(Table1[[#This Row],[Gestation (days)]])),TRUE,FALSE)</f>
        <v>0</v>
      </c>
      <c r="E8258" s="2" t="str">
        <f>IF(Table1[[#This Row],[Is Data Valid]]=TRUE,IF(Table1[[#This Row],[Fetal Sex (Male, Female or Unknown)]]="Male",Backend!$C$6,IF(Table1[[#This Row],[Fetal Sex (Male, Female or Unknown)]]="Female",Backend!$C$7,IF(Table1[[#This Row],[Fetal Sex (Male, Female or Unknown)]]="Unknown",Backend!$C$8,"Error"))),"")</f>
        <v/>
      </c>
      <c r="F8258" s="8" t="str">
        <f>IF(Table1[[#This Row],[Is Data Valid]]=TRUE,EXP(0.578+0.332*((Table1[[#This Row],[Gestation (days)]]+0.5)/7)-0.00354*((Table1[[#This Row],[Gestation (days)]]+0.5)/7)^2)*Table1[[#This Row],[BW40_3705]],"")</f>
        <v/>
      </c>
      <c r="G8258" s="2" t="str">
        <f>IF(Table1[[#This Row],[Is Data Valid]]=TRUE,((Table1[[#This Row],[Birthweight (grams)]]/Table1[[#This Row],[BW_GA]])-1)/(Backend!$B$4/100*Table1[[#This Row],[BW40_3705]]),"")</f>
        <v/>
      </c>
      <c r="H8258" s="7" t="str">
        <f>IF(Table1[[#This Row],[Is Data Valid]]=TRUE,((Table1[[#This Row],[Birthweight (grams)]]*0.9/Table1[[#This Row],[BW_GA]])-1)/(Backend!$B$4/100*Table1[[#This Row],[BW40_3705]]),"")</f>
        <v/>
      </c>
      <c r="I8258" s="7" t="str">
        <f>IF(Table1[[#This Row],[Is Data Valid]]=TRUE,((Table1[[#This Row],[Birthweight (grams)]]*1.1/Table1[[#This Row],[BW_GA]])-1)/(Backend!$B$4/100*Table1[[#This Row],[BW40_3705]]),"")</f>
        <v/>
      </c>
      <c r="J8258" s="7" t="str">
        <f>IF(Table1[[#This Row],[Is Data Valid]]=TRUE,_xlfn.NORM.S.DIST(Table1[[#This Row],[Birthweight Z-Score]],TRUE)*100,"")</f>
        <v/>
      </c>
      <c r="K8258" s="7" t="str">
        <f>IF(Table1[[#This Row],[Is Data Valid]]=TRUE,_xlfn.NORM.S.DIST(Table1[[#This Row],[Birthweight Z-Score (BW-10%)]],TRUE)*100,"")</f>
        <v/>
      </c>
      <c r="L8258" s="7" t="str">
        <f>IF(Table1[[#This Row],[Is Data Valid]]=TRUE,_xlfn.NORM.S.DIST(Table1[[#This Row],[Birthweight Z-Score (BW+10%)]],TRUE)*100,"")</f>
        <v/>
      </c>
    </row>
    <row r="8259" spans="1:12" x14ac:dyDescent="0.35">
      <c r="A8259" s="3"/>
      <c r="B8259" s="2"/>
      <c r="C8259" s="2"/>
      <c r="D8259" s="2" t="b">
        <f>IF(AND(NOT(ISBLANK(Table1[[#This Row],[Fetal Sex (Male, Female or Unknown)]])),ISNUMBER(Table1[[#This Row],[Birthweight (grams)]]),ISNUMBER(Table1[[#This Row],[Gestation (days)]])),TRUE,FALSE)</f>
        <v>0</v>
      </c>
      <c r="E8259" s="2" t="str">
        <f>IF(Table1[[#This Row],[Is Data Valid]]=TRUE,IF(Table1[[#This Row],[Fetal Sex (Male, Female or Unknown)]]="Male",Backend!$C$6,IF(Table1[[#This Row],[Fetal Sex (Male, Female or Unknown)]]="Female",Backend!$C$7,IF(Table1[[#This Row],[Fetal Sex (Male, Female or Unknown)]]="Unknown",Backend!$C$8,"Error"))),"")</f>
        <v/>
      </c>
      <c r="F8259" s="8" t="str">
        <f>IF(Table1[[#This Row],[Is Data Valid]]=TRUE,EXP(0.578+0.332*((Table1[[#This Row],[Gestation (days)]]+0.5)/7)-0.00354*((Table1[[#This Row],[Gestation (days)]]+0.5)/7)^2)*Table1[[#This Row],[BW40_3705]],"")</f>
        <v/>
      </c>
      <c r="G8259" s="2" t="str">
        <f>IF(Table1[[#This Row],[Is Data Valid]]=TRUE,((Table1[[#This Row],[Birthweight (grams)]]/Table1[[#This Row],[BW_GA]])-1)/(Backend!$B$4/100*Table1[[#This Row],[BW40_3705]]),"")</f>
        <v/>
      </c>
      <c r="H8259" s="7" t="str">
        <f>IF(Table1[[#This Row],[Is Data Valid]]=TRUE,((Table1[[#This Row],[Birthweight (grams)]]*0.9/Table1[[#This Row],[BW_GA]])-1)/(Backend!$B$4/100*Table1[[#This Row],[BW40_3705]]),"")</f>
        <v/>
      </c>
      <c r="I8259" s="7" t="str">
        <f>IF(Table1[[#This Row],[Is Data Valid]]=TRUE,((Table1[[#This Row],[Birthweight (grams)]]*1.1/Table1[[#This Row],[BW_GA]])-1)/(Backend!$B$4/100*Table1[[#This Row],[BW40_3705]]),"")</f>
        <v/>
      </c>
      <c r="J8259" s="7" t="str">
        <f>IF(Table1[[#This Row],[Is Data Valid]]=TRUE,_xlfn.NORM.S.DIST(Table1[[#This Row],[Birthweight Z-Score]],TRUE)*100,"")</f>
        <v/>
      </c>
      <c r="K8259" s="7" t="str">
        <f>IF(Table1[[#This Row],[Is Data Valid]]=TRUE,_xlfn.NORM.S.DIST(Table1[[#This Row],[Birthweight Z-Score (BW-10%)]],TRUE)*100,"")</f>
        <v/>
      </c>
      <c r="L8259" s="7" t="str">
        <f>IF(Table1[[#This Row],[Is Data Valid]]=TRUE,_xlfn.NORM.S.DIST(Table1[[#This Row],[Birthweight Z-Score (BW+10%)]],TRUE)*100,"")</f>
        <v/>
      </c>
    </row>
    <row r="8260" spans="1:12" x14ac:dyDescent="0.35">
      <c r="A8260" s="3"/>
      <c r="B8260" s="2"/>
      <c r="C8260" s="2"/>
      <c r="D8260" s="2" t="b">
        <f>IF(AND(NOT(ISBLANK(Table1[[#This Row],[Fetal Sex (Male, Female or Unknown)]])),ISNUMBER(Table1[[#This Row],[Birthweight (grams)]]),ISNUMBER(Table1[[#This Row],[Gestation (days)]])),TRUE,FALSE)</f>
        <v>0</v>
      </c>
      <c r="E8260" s="2" t="str">
        <f>IF(Table1[[#This Row],[Is Data Valid]]=TRUE,IF(Table1[[#This Row],[Fetal Sex (Male, Female or Unknown)]]="Male",Backend!$C$6,IF(Table1[[#This Row],[Fetal Sex (Male, Female or Unknown)]]="Female",Backend!$C$7,IF(Table1[[#This Row],[Fetal Sex (Male, Female or Unknown)]]="Unknown",Backend!$C$8,"Error"))),"")</f>
        <v/>
      </c>
      <c r="F8260" s="8" t="str">
        <f>IF(Table1[[#This Row],[Is Data Valid]]=TRUE,EXP(0.578+0.332*((Table1[[#This Row],[Gestation (days)]]+0.5)/7)-0.00354*((Table1[[#This Row],[Gestation (days)]]+0.5)/7)^2)*Table1[[#This Row],[BW40_3705]],"")</f>
        <v/>
      </c>
      <c r="G8260" s="2" t="str">
        <f>IF(Table1[[#This Row],[Is Data Valid]]=TRUE,((Table1[[#This Row],[Birthweight (grams)]]/Table1[[#This Row],[BW_GA]])-1)/(Backend!$B$4/100*Table1[[#This Row],[BW40_3705]]),"")</f>
        <v/>
      </c>
      <c r="H8260" s="7" t="str">
        <f>IF(Table1[[#This Row],[Is Data Valid]]=TRUE,((Table1[[#This Row],[Birthweight (grams)]]*0.9/Table1[[#This Row],[BW_GA]])-1)/(Backend!$B$4/100*Table1[[#This Row],[BW40_3705]]),"")</f>
        <v/>
      </c>
      <c r="I8260" s="7" t="str">
        <f>IF(Table1[[#This Row],[Is Data Valid]]=TRUE,((Table1[[#This Row],[Birthweight (grams)]]*1.1/Table1[[#This Row],[BW_GA]])-1)/(Backend!$B$4/100*Table1[[#This Row],[BW40_3705]]),"")</f>
        <v/>
      </c>
      <c r="J8260" s="7" t="str">
        <f>IF(Table1[[#This Row],[Is Data Valid]]=TRUE,_xlfn.NORM.S.DIST(Table1[[#This Row],[Birthweight Z-Score]],TRUE)*100,"")</f>
        <v/>
      </c>
      <c r="K8260" s="7" t="str">
        <f>IF(Table1[[#This Row],[Is Data Valid]]=TRUE,_xlfn.NORM.S.DIST(Table1[[#This Row],[Birthweight Z-Score (BW-10%)]],TRUE)*100,"")</f>
        <v/>
      </c>
      <c r="L8260" s="7" t="str">
        <f>IF(Table1[[#This Row],[Is Data Valid]]=TRUE,_xlfn.NORM.S.DIST(Table1[[#This Row],[Birthweight Z-Score (BW+10%)]],TRUE)*100,"")</f>
        <v/>
      </c>
    </row>
    <row r="8261" spans="1:12" x14ac:dyDescent="0.35">
      <c r="A8261" s="3"/>
      <c r="B8261" s="2"/>
      <c r="C8261" s="2"/>
      <c r="D8261" s="2" t="b">
        <f>IF(AND(NOT(ISBLANK(Table1[[#This Row],[Fetal Sex (Male, Female or Unknown)]])),ISNUMBER(Table1[[#This Row],[Birthweight (grams)]]),ISNUMBER(Table1[[#This Row],[Gestation (days)]])),TRUE,FALSE)</f>
        <v>0</v>
      </c>
      <c r="E8261" s="2" t="str">
        <f>IF(Table1[[#This Row],[Is Data Valid]]=TRUE,IF(Table1[[#This Row],[Fetal Sex (Male, Female or Unknown)]]="Male",Backend!$C$6,IF(Table1[[#This Row],[Fetal Sex (Male, Female or Unknown)]]="Female",Backend!$C$7,IF(Table1[[#This Row],[Fetal Sex (Male, Female or Unknown)]]="Unknown",Backend!$C$8,"Error"))),"")</f>
        <v/>
      </c>
      <c r="F8261" s="8" t="str">
        <f>IF(Table1[[#This Row],[Is Data Valid]]=TRUE,EXP(0.578+0.332*((Table1[[#This Row],[Gestation (days)]]+0.5)/7)-0.00354*((Table1[[#This Row],[Gestation (days)]]+0.5)/7)^2)*Table1[[#This Row],[BW40_3705]],"")</f>
        <v/>
      </c>
      <c r="G8261" s="2" t="str">
        <f>IF(Table1[[#This Row],[Is Data Valid]]=TRUE,((Table1[[#This Row],[Birthweight (grams)]]/Table1[[#This Row],[BW_GA]])-1)/(Backend!$B$4/100*Table1[[#This Row],[BW40_3705]]),"")</f>
        <v/>
      </c>
      <c r="H8261" s="7" t="str">
        <f>IF(Table1[[#This Row],[Is Data Valid]]=TRUE,((Table1[[#This Row],[Birthweight (grams)]]*0.9/Table1[[#This Row],[BW_GA]])-1)/(Backend!$B$4/100*Table1[[#This Row],[BW40_3705]]),"")</f>
        <v/>
      </c>
      <c r="I8261" s="7" t="str">
        <f>IF(Table1[[#This Row],[Is Data Valid]]=TRUE,((Table1[[#This Row],[Birthweight (grams)]]*1.1/Table1[[#This Row],[BW_GA]])-1)/(Backend!$B$4/100*Table1[[#This Row],[BW40_3705]]),"")</f>
        <v/>
      </c>
      <c r="J8261" s="7" t="str">
        <f>IF(Table1[[#This Row],[Is Data Valid]]=TRUE,_xlfn.NORM.S.DIST(Table1[[#This Row],[Birthweight Z-Score]],TRUE)*100,"")</f>
        <v/>
      </c>
      <c r="K8261" s="7" t="str">
        <f>IF(Table1[[#This Row],[Is Data Valid]]=TRUE,_xlfn.NORM.S.DIST(Table1[[#This Row],[Birthweight Z-Score (BW-10%)]],TRUE)*100,"")</f>
        <v/>
      </c>
      <c r="L8261" s="7" t="str">
        <f>IF(Table1[[#This Row],[Is Data Valid]]=TRUE,_xlfn.NORM.S.DIST(Table1[[#This Row],[Birthweight Z-Score (BW+10%)]],TRUE)*100,"")</f>
        <v/>
      </c>
    </row>
    <row r="8262" spans="1:12" x14ac:dyDescent="0.35">
      <c r="A8262" s="3"/>
      <c r="B8262" s="2"/>
      <c r="C8262" s="2"/>
      <c r="D8262" s="2" t="b">
        <f>IF(AND(NOT(ISBLANK(Table1[[#This Row],[Fetal Sex (Male, Female or Unknown)]])),ISNUMBER(Table1[[#This Row],[Birthweight (grams)]]),ISNUMBER(Table1[[#This Row],[Gestation (days)]])),TRUE,FALSE)</f>
        <v>0</v>
      </c>
      <c r="E8262" s="2" t="str">
        <f>IF(Table1[[#This Row],[Is Data Valid]]=TRUE,IF(Table1[[#This Row],[Fetal Sex (Male, Female or Unknown)]]="Male",Backend!$C$6,IF(Table1[[#This Row],[Fetal Sex (Male, Female or Unknown)]]="Female",Backend!$C$7,IF(Table1[[#This Row],[Fetal Sex (Male, Female or Unknown)]]="Unknown",Backend!$C$8,"Error"))),"")</f>
        <v/>
      </c>
      <c r="F8262" s="8" t="str">
        <f>IF(Table1[[#This Row],[Is Data Valid]]=TRUE,EXP(0.578+0.332*((Table1[[#This Row],[Gestation (days)]]+0.5)/7)-0.00354*((Table1[[#This Row],[Gestation (days)]]+0.5)/7)^2)*Table1[[#This Row],[BW40_3705]],"")</f>
        <v/>
      </c>
      <c r="G8262" s="2" t="str">
        <f>IF(Table1[[#This Row],[Is Data Valid]]=TRUE,((Table1[[#This Row],[Birthweight (grams)]]/Table1[[#This Row],[BW_GA]])-1)/(Backend!$B$4/100*Table1[[#This Row],[BW40_3705]]),"")</f>
        <v/>
      </c>
      <c r="H8262" s="7" t="str">
        <f>IF(Table1[[#This Row],[Is Data Valid]]=TRUE,((Table1[[#This Row],[Birthweight (grams)]]*0.9/Table1[[#This Row],[BW_GA]])-1)/(Backend!$B$4/100*Table1[[#This Row],[BW40_3705]]),"")</f>
        <v/>
      </c>
      <c r="I8262" s="7" t="str">
        <f>IF(Table1[[#This Row],[Is Data Valid]]=TRUE,((Table1[[#This Row],[Birthweight (grams)]]*1.1/Table1[[#This Row],[BW_GA]])-1)/(Backend!$B$4/100*Table1[[#This Row],[BW40_3705]]),"")</f>
        <v/>
      </c>
      <c r="J8262" s="7" t="str">
        <f>IF(Table1[[#This Row],[Is Data Valid]]=TRUE,_xlfn.NORM.S.DIST(Table1[[#This Row],[Birthweight Z-Score]],TRUE)*100,"")</f>
        <v/>
      </c>
      <c r="K8262" s="7" t="str">
        <f>IF(Table1[[#This Row],[Is Data Valid]]=TRUE,_xlfn.NORM.S.DIST(Table1[[#This Row],[Birthweight Z-Score (BW-10%)]],TRUE)*100,"")</f>
        <v/>
      </c>
      <c r="L8262" s="7" t="str">
        <f>IF(Table1[[#This Row],[Is Data Valid]]=TRUE,_xlfn.NORM.S.DIST(Table1[[#This Row],[Birthweight Z-Score (BW+10%)]],TRUE)*100,"")</f>
        <v/>
      </c>
    </row>
    <row r="8263" spans="1:12" x14ac:dyDescent="0.35">
      <c r="A8263" s="3"/>
      <c r="B8263" s="2"/>
      <c r="C8263" s="2"/>
      <c r="D8263" s="2" t="b">
        <f>IF(AND(NOT(ISBLANK(Table1[[#This Row],[Fetal Sex (Male, Female or Unknown)]])),ISNUMBER(Table1[[#This Row],[Birthweight (grams)]]),ISNUMBER(Table1[[#This Row],[Gestation (days)]])),TRUE,FALSE)</f>
        <v>0</v>
      </c>
      <c r="E8263" s="2" t="str">
        <f>IF(Table1[[#This Row],[Is Data Valid]]=TRUE,IF(Table1[[#This Row],[Fetal Sex (Male, Female or Unknown)]]="Male",Backend!$C$6,IF(Table1[[#This Row],[Fetal Sex (Male, Female or Unknown)]]="Female",Backend!$C$7,IF(Table1[[#This Row],[Fetal Sex (Male, Female or Unknown)]]="Unknown",Backend!$C$8,"Error"))),"")</f>
        <v/>
      </c>
      <c r="F8263" s="8" t="str">
        <f>IF(Table1[[#This Row],[Is Data Valid]]=TRUE,EXP(0.578+0.332*((Table1[[#This Row],[Gestation (days)]]+0.5)/7)-0.00354*((Table1[[#This Row],[Gestation (days)]]+0.5)/7)^2)*Table1[[#This Row],[BW40_3705]],"")</f>
        <v/>
      </c>
      <c r="G8263" s="2" t="str">
        <f>IF(Table1[[#This Row],[Is Data Valid]]=TRUE,((Table1[[#This Row],[Birthweight (grams)]]/Table1[[#This Row],[BW_GA]])-1)/(Backend!$B$4/100*Table1[[#This Row],[BW40_3705]]),"")</f>
        <v/>
      </c>
      <c r="H8263" s="7" t="str">
        <f>IF(Table1[[#This Row],[Is Data Valid]]=TRUE,((Table1[[#This Row],[Birthweight (grams)]]*0.9/Table1[[#This Row],[BW_GA]])-1)/(Backend!$B$4/100*Table1[[#This Row],[BW40_3705]]),"")</f>
        <v/>
      </c>
      <c r="I8263" s="7" t="str">
        <f>IF(Table1[[#This Row],[Is Data Valid]]=TRUE,((Table1[[#This Row],[Birthweight (grams)]]*1.1/Table1[[#This Row],[BW_GA]])-1)/(Backend!$B$4/100*Table1[[#This Row],[BW40_3705]]),"")</f>
        <v/>
      </c>
      <c r="J8263" s="7" t="str">
        <f>IF(Table1[[#This Row],[Is Data Valid]]=TRUE,_xlfn.NORM.S.DIST(Table1[[#This Row],[Birthweight Z-Score]],TRUE)*100,"")</f>
        <v/>
      </c>
      <c r="K8263" s="7" t="str">
        <f>IF(Table1[[#This Row],[Is Data Valid]]=TRUE,_xlfn.NORM.S.DIST(Table1[[#This Row],[Birthweight Z-Score (BW-10%)]],TRUE)*100,"")</f>
        <v/>
      </c>
      <c r="L8263" s="7" t="str">
        <f>IF(Table1[[#This Row],[Is Data Valid]]=TRUE,_xlfn.NORM.S.DIST(Table1[[#This Row],[Birthweight Z-Score (BW+10%)]],TRUE)*100,"")</f>
        <v/>
      </c>
    </row>
    <row r="8264" spans="1:12" x14ac:dyDescent="0.35">
      <c r="A8264" s="3"/>
      <c r="B8264" s="2"/>
      <c r="C8264" s="2"/>
      <c r="D8264" s="2" t="b">
        <f>IF(AND(NOT(ISBLANK(Table1[[#This Row],[Fetal Sex (Male, Female or Unknown)]])),ISNUMBER(Table1[[#This Row],[Birthweight (grams)]]),ISNUMBER(Table1[[#This Row],[Gestation (days)]])),TRUE,FALSE)</f>
        <v>0</v>
      </c>
      <c r="E8264" s="2" t="str">
        <f>IF(Table1[[#This Row],[Is Data Valid]]=TRUE,IF(Table1[[#This Row],[Fetal Sex (Male, Female or Unknown)]]="Male",Backend!$C$6,IF(Table1[[#This Row],[Fetal Sex (Male, Female or Unknown)]]="Female",Backend!$C$7,IF(Table1[[#This Row],[Fetal Sex (Male, Female or Unknown)]]="Unknown",Backend!$C$8,"Error"))),"")</f>
        <v/>
      </c>
      <c r="F8264" s="8" t="str">
        <f>IF(Table1[[#This Row],[Is Data Valid]]=TRUE,EXP(0.578+0.332*((Table1[[#This Row],[Gestation (days)]]+0.5)/7)-0.00354*((Table1[[#This Row],[Gestation (days)]]+0.5)/7)^2)*Table1[[#This Row],[BW40_3705]],"")</f>
        <v/>
      </c>
      <c r="G8264" s="2" t="str">
        <f>IF(Table1[[#This Row],[Is Data Valid]]=TRUE,((Table1[[#This Row],[Birthweight (grams)]]/Table1[[#This Row],[BW_GA]])-1)/(Backend!$B$4/100*Table1[[#This Row],[BW40_3705]]),"")</f>
        <v/>
      </c>
      <c r="H8264" s="7" t="str">
        <f>IF(Table1[[#This Row],[Is Data Valid]]=TRUE,((Table1[[#This Row],[Birthweight (grams)]]*0.9/Table1[[#This Row],[BW_GA]])-1)/(Backend!$B$4/100*Table1[[#This Row],[BW40_3705]]),"")</f>
        <v/>
      </c>
      <c r="I8264" s="7" t="str">
        <f>IF(Table1[[#This Row],[Is Data Valid]]=TRUE,((Table1[[#This Row],[Birthweight (grams)]]*1.1/Table1[[#This Row],[BW_GA]])-1)/(Backend!$B$4/100*Table1[[#This Row],[BW40_3705]]),"")</f>
        <v/>
      </c>
      <c r="J8264" s="7" t="str">
        <f>IF(Table1[[#This Row],[Is Data Valid]]=TRUE,_xlfn.NORM.S.DIST(Table1[[#This Row],[Birthweight Z-Score]],TRUE)*100,"")</f>
        <v/>
      </c>
      <c r="K8264" s="7" t="str">
        <f>IF(Table1[[#This Row],[Is Data Valid]]=TRUE,_xlfn.NORM.S.DIST(Table1[[#This Row],[Birthweight Z-Score (BW-10%)]],TRUE)*100,"")</f>
        <v/>
      </c>
      <c r="L8264" s="7" t="str">
        <f>IF(Table1[[#This Row],[Is Data Valid]]=TRUE,_xlfn.NORM.S.DIST(Table1[[#This Row],[Birthweight Z-Score (BW+10%)]],TRUE)*100,"")</f>
        <v/>
      </c>
    </row>
    <row r="8265" spans="1:12" x14ac:dyDescent="0.35">
      <c r="A8265" s="3"/>
      <c r="B8265" s="2"/>
      <c r="C8265" s="2"/>
      <c r="D8265" s="2" t="b">
        <f>IF(AND(NOT(ISBLANK(Table1[[#This Row],[Fetal Sex (Male, Female or Unknown)]])),ISNUMBER(Table1[[#This Row],[Birthweight (grams)]]),ISNUMBER(Table1[[#This Row],[Gestation (days)]])),TRUE,FALSE)</f>
        <v>0</v>
      </c>
      <c r="E8265" s="2" t="str">
        <f>IF(Table1[[#This Row],[Is Data Valid]]=TRUE,IF(Table1[[#This Row],[Fetal Sex (Male, Female or Unknown)]]="Male",Backend!$C$6,IF(Table1[[#This Row],[Fetal Sex (Male, Female or Unknown)]]="Female",Backend!$C$7,IF(Table1[[#This Row],[Fetal Sex (Male, Female or Unknown)]]="Unknown",Backend!$C$8,"Error"))),"")</f>
        <v/>
      </c>
      <c r="F8265" s="8" t="str">
        <f>IF(Table1[[#This Row],[Is Data Valid]]=TRUE,EXP(0.578+0.332*((Table1[[#This Row],[Gestation (days)]]+0.5)/7)-0.00354*((Table1[[#This Row],[Gestation (days)]]+0.5)/7)^2)*Table1[[#This Row],[BW40_3705]],"")</f>
        <v/>
      </c>
      <c r="G8265" s="2" t="str">
        <f>IF(Table1[[#This Row],[Is Data Valid]]=TRUE,((Table1[[#This Row],[Birthweight (grams)]]/Table1[[#This Row],[BW_GA]])-1)/(Backend!$B$4/100*Table1[[#This Row],[BW40_3705]]),"")</f>
        <v/>
      </c>
      <c r="H8265" s="7" t="str">
        <f>IF(Table1[[#This Row],[Is Data Valid]]=TRUE,((Table1[[#This Row],[Birthweight (grams)]]*0.9/Table1[[#This Row],[BW_GA]])-1)/(Backend!$B$4/100*Table1[[#This Row],[BW40_3705]]),"")</f>
        <v/>
      </c>
      <c r="I8265" s="7" t="str">
        <f>IF(Table1[[#This Row],[Is Data Valid]]=TRUE,((Table1[[#This Row],[Birthweight (grams)]]*1.1/Table1[[#This Row],[BW_GA]])-1)/(Backend!$B$4/100*Table1[[#This Row],[BW40_3705]]),"")</f>
        <v/>
      </c>
      <c r="J8265" s="7" t="str">
        <f>IF(Table1[[#This Row],[Is Data Valid]]=TRUE,_xlfn.NORM.S.DIST(Table1[[#This Row],[Birthweight Z-Score]],TRUE)*100,"")</f>
        <v/>
      </c>
      <c r="K8265" s="7" t="str">
        <f>IF(Table1[[#This Row],[Is Data Valid]]=TRUE,_xlfn.NORM.S.DIST(Table1[[#This Row],[Birthweight Z-Score (BW-10%)]],TRUE)*100,"")</f>
        <v/>
      </c>
      <c r="L8265" s="7" t="str">
        <f>IF(Table1[[#This Row],[Is Data Valid]]=TRUE,_xlfn.NORM.S.DIST(Table1[[#This Row],[Birthweight Z-Score (BW+10%)]],TRUE)*100,"")</f>
        <v/>
      </c>
    </row>
    <row r="8266" spans="1:12" x14ac:dyDescent="0.35">
      <c r="A8266" s="3"/>
      <c r="B8266" s="2"/>
      <c r="C8266" s="2"/>
      <c r="D8266" s="2" t="b">
        <f>IF(AND(NOT(ISBLANK(Table1[[#This Row],[Fetal Sex (Male, Female or Unknown)]])),ISNUMBER(Table1[[#This Row],[Birthweight (grams)]]),ISNUMBER(Table1[[#This Row],[Gestation (days)]])),TRUE,FALSE)</f>
        <v>0</v>
      </c>
      <c r="E8266" s="2" t="str">
        <f>IF(Table1[[#This Row],[Is Data Valid]]=TRUE,IF(Table1[[#This Row],[Fetal Sex (Male, Female or Unknown)]]="Male",Backend!$C$6,IF(Table1[[#This Row],[Fetal Sex (Male, Female or Unknown)]]="Female",Backend!$C$7,IF(Table1[[#This Row],[Fetal Sex (Male, Female or Unknown)]]="Unknown",Backend!$C$8,"Error"))),"")</f>
        <v/>
      </c>
      <c r="F8266" s="8" t="str">
        <f>IF(Table1[[#This Row],[Is Data Valid]]=TRUE,EXP(0.578+0.332*((Table1[[#This Row],[Gestation (days)]]+0.5)/7)-0.00354*((Table1[[#This Row],[Gestation (days)]]+0.5)/7)^2)*Table1[[#This Row],[BW40_3705]],"")</f>
        <v/>
      </c>
      <c r="G8266" s="2" t="str">
        <f>IF(Table1[[#This Row],[Is Data Valid]]=TRUE,((Table1[[#This Row],[Birthweight (grams)]]/Table1[[#This Row],[BW_GA]])-1)/(Backend!$B$4/100*Table1[[#This Row],[BW40_3705]]),"")</f>
        <v/>
      </c>
      <c r="H8266" s="7" t="str">
        <f>IF(Table1[[#This Row],[Is Data Valid]]=TRUE,((Table1[[#This Row],[Birthweight (grams)]]*0.9/Table1[[#This Row],[BW_GA]])-1)/(Backend!$B$4/100*Table1[[#This Row],[BW40_3705]]),"")</f>
        <v/>
      </c>
      <c r="I8266" s="7" t="str">
        <f>IF(Table1[[#This Row],[Is Data Valid]]=TRUE,((Table1[[#This Row],[Birthweight (grams)]]*1.1/Table1[[#This Row],[BW_GA]])-1)/(Backend!$B$4/100*Table1[[#This Row],[BW40_3705]]),"")</f>
        <v/>
      </c>
      <c r="J8266" s="7" t="str">
        <f>IF(Table1[[#This Row],[Is Data Valid]]=TRUE,_xlfn.NORM.S.DIST(Table1[[#This Row],[Birthweight Z-Score]],TRUE)*100,"")</f>
        <v/>
      </c>
      <c r="K8266" s="7" t="str">
        <f>IF(Table1[[#This Row],[Is Data Valid]]=TRUE,_xlfn.NORM.S.DIST(Table1[[#This Row],[Birthweight Z-Score (BW-10%)]],TRUE)*100,"")</f>
        <v/>
      </c>
      <c r="L8266" s="7" t="str">
        <f>IF(Table1[[#This Row],[Is Data Valid]]=TRUE,_xlfn.NORM.S.DIST(Table1[[#This Row],[Birthweight Z-Score (BW+10%)]],TRUE)*100,"")</f>
        <v/>
      </c>
    </row>
    <row r="8267" spans="1:12" x14ac:dyDescent="0.35">
      <c r="A8267" s="3"/>
      <c r="B8267" s="2"/>
      <c r="C8267" s="2"/>
      <c r="D8267" s="2" t="b">
        <f>IF(AND(NOT(ISBLANK(Table1[[#This Row],[Fetal Sex (Male, Female or Unknown)]])),ISNUMBER(Table1[[#This Row],[Birthweight (grams)]]),ISNUMBER(Table1[[#This Row],[Gestation (days)]])),TRUE,FALSE)</f>
        <v>0</v>
      </c>
      <c r="E8267" s="2" t="str">
        <f>IF(Table1[[#This Row],[Is Data Valid]]=TRUE,IF(Table1[[#This Row],[Fetal Sex (Male, Female or Unknown)]]="Male",Backend!$C$6,IF(Table1[[#This Row],[Fetal Sex (Male, Female or Unknown)]]="Female",Backend!$C$7,IF(Table1[[#This Row],[Fetal Sex (Male, Female or Unknown)]]="Unknown",Backend!$C$8,"Error"))),"")</f>
        <v/>
      </c>
      <c r="F8267" s="8" t="str">
        <f>IF(Table1[[#This Row],[Is Data Valid]]=TRUE,EXP(0.578+0.332*((Table1[[#This Row],[Gestation (days)]]+0.5)/7)-0.00354*((Table1[[#This Row],[Gestation (days)]]+0.5)/7)^2)*Table1[[#This Row],[BW40_3705]],"")</f>
        <v/>
      </c>
      <c r="G8267" s="2" t="str">
        <f>IF(Table1[[#This Row],[Is Data Valid]]=TRUE,((Table1[[#This Row],[Birthweight (grams)]]/Table1[[#This Row],[BW_GA]])-1)/(Backend!$B$4/100*Table1[[#This Row],[BW40_3705]]),"")</f>
        <v/>
      </c>
      <c r="H8267" s="7" t="str">
        <f>IF(Table1[[#This Row],[Is Data Valid]]=TRUE,((Table1[[#This Row],[Birthweight (grams)]]*0.9/Table1[[#This Row],[BW_GA]])-1)/(Backend!$B$4/100*Table1[[#This Row],[BW40_3705]]),"")</f>
        <v/>
      </c>
      <c r="I8267" s="7" t="str">
        <f>IF(Table1[[#This Row],[Is Data Valid]]=TRUE,((Table1[[#This Row],[Birthweight (grams)]]*1.1/Table1[[#This Row],[BW_GA]])-1)/(Backend!$B$4/100*Table1[[#This Row],[BW40_3705]]),"")</f>
        <v/>
      </c>
      <c r="J8267" s="7" t="str">
        <f>IF(Table1[[#This Row],[Is Data Valid]]=TRUE,_xlfn.NORM.S.DIST(Table1[[#This Row],[Birthweight Z-Score]],TRUE)*100,"")</f>
        <v/>
      </c>
      <c r="K8267" s="7" t="str">
        <f>IF(Table1[[#This Row],[Is Data Valid]]=TRUE,_xlfn.NORM.S.DIST(Table1[[#This Row],[Birthweight Z-Score (BW-10%)]],TRUE)*100,"")</f>
        <v/>
      </c>
      <c r="L8267" s="7" t="str">
        <f>IF(Table1[[#This Row],[Is Data Valid]]=TRUE,_xlfn.NORM.S.DIST(Table1[[#This Row],[Birthweight Z-Score (BW+10%)]],TRUE)*100,"")</f>
        <v/>
      </c>
    </row>
    <row r="8268" spans="1:12" x14ac:dyDescent="0.35">
      <c r="A8268" s="3"/>
      <c r="B8268" s="2"/>
      <c r="C8268" s="2"/>
      <c r="D8268" s="2" t="b">
        <f>IF(AND(NOT(ISBLANK(Table1[[#This Row],[Fetal Sex (Male, Female or Unknown)]])),ISNUMBER(Table1[[#This Row],[Birthweight (grams)]]),ISNUMBER(Table1[[#This Row],[Gestation (days)]])),TRUE,FALSE)</f>
        <v>0</v>
      </c>
      <c r="E8268" s="2" t="str">
        <f>IF(Table1[[#This Row],[Is Data Valid]]=TRUE,IF(Table1[[#This Row],[Fetal Sex (Male, Female or Unknown)]]="Male",Backend!$C$6,IF(Table1[[#This Row],[Fetal Sex (Male, Female or Unknown)]]="Female",Backend!$C$7,IF(Table1[[#This Row],[Fetal Sex (Male, Female or Unknown)]]="Unknown",Backend!$C$8,"Error"))),"")</f>
        <v/>
      </c>
      <c r="F8268" s="8" t="str">
        <f>IF(Table1[[#This Row],[Is Data Valid]]=TRUE,EXP(0.578+0.332*((Table1[[#This Row],[Gestation (days)]]+0.5)/7)-0.00354*((Table1[[#This Row],[Gestation (days)]]+0.5)/7)^2)*Table1[[#This Row],[BW40_3705]],"")</f>
        <v/>
      </c>
      <c r="G8268" s="2" t="str">
        <f>IF(Table1[[#This Row],[Is Data Valid]]=TRUE,((Table1[[#This Row],[Birthweight (grams)]]/Table1[[#This Row],[BW_GA]])-1)/(Backend!$B$4/100*Table1[[#This Row],[BW40_3705]]),"")</f>
        <v/>
      </c>
      <c r="H8268" s="7" t="str">
        <f>IF(Table1[[#This Row],[Is Data Valid]]=TRUE,((Table1[[#This Row],[Birthweight (grams)]]*0.9/Table1[[#This Row],[BW_GA]])-1)/(Backend!$B$4/100*Table1[[#This Row],[BW40_3705]]),"")</f>
        <v/>
      </c>
      <c r="I8268" s="7" t="str">
        <f>IF(Table1[[#This Row],[Is Data Valid]]=TRUE,((Table1[[#This Row],[Birthweight (grams)]]*1.1/Table1[[#This Row],[BW_GA]])-1)/(Backend!$B$4/100*Table1[[#This Row],[BW40_3705]]),"")</f>
        <v/>
      </c>
      <c r="J8268" s="7" t="str">
        <f>IF(Table1[[#This Row],[Is Data Valid]]=TRUE,_xlfn.NORM.S.DIST(Table1[[#This Row],[Birthweight Z-Score]],TRUE)*100,"")</f>
        <v/>
      </c>
      <c r="K8268" s="7" t="str">
        <f>IF(Table1[[#This Row],[Is Data Valid]]=TRUE,_xlfn.NORM.S.DIST(Table1[[#This Row],[Birthweight Z-Score (BW-10%)]],TRUE)*100,"")</f>
        <v/>
      </c>
      <c r="L8268" s="7" t="str">
        <f>IF(Table1[[#This Row],[Is Data Valid]]=TRUE,_xlfn.NORM.S.DIST(Table1[[#This Row],[Birthweight Z-Score (BW+10%)]],TRUE)*100,"")</f>
        <v/>
      </c>
    </row>
    <row r="8269" spans="1:12" x14ac:dyDescent="0.35">
      <c r="A8269" s="3"/>
      <c r="B8269" s="2"/>
      <c r="C8269" s="2"/>
      <c r="D8269" s="2" t="b">
        <f>IF(AND(NOT(ISBLANK(Table1[[#This Row],[Fetal Sex (Male, Female or Unknown)]])),ISNUMBER(Table1[[#This Row],[Birthweight (grams)]]),ISNUMBER(Table1[[#This Row],[Gestation (days)]])),TRUE,FALSE)</f>
        <v>0</v>
      </c>
      <c r="E8269" s="2" t="str">
        <f>IF(Table1[[#This Row],[Is Data Valid]]=TRUE,IF(Table1[[#This Row],[Fetal Sex (Male, Female or Unknown)]]="Male",Backend!$C$6,IF(Table1[[#This Row],[Fetal Sex (Male, Female or Unknown)]]="Female",Backend!$C$7,IF(Table1[[#This Row],[Fetal Sex (Male, Female or Unknown)]]="Unknown",Backend!$C$8,"Error"))),"")</f>
        <v/>
      </c>
      <c r="F8269" s="8" t="str">
        <f>IF(Table1[[#This Row],[Is Data Valid]]=TRUE,EXP(0.578+0.332*((Table1[[#This Row],[Gestation (days)]]+0.5)/7)-0.00354*((Table1[[#This Row],[Gestation (days)]]+0.5)/7)^2)*Table1[[#This Row],[BW40_3705]],"")</f>
        <v/>
      </c>
      <c r="G8269" s="2" t="str">
        <f>IF(Table1[[#This Row],[Is Data Valid]]=TRUE,((Table1[[#This Row],[Birthweight (grams)]]/Table1[[#This Row],[BW_GA]])-1)/(Backend!$B$4/100*Table1[[#This Row],[BW40_3705]]),"")</f>
        <v/>
      </c>
      <c r="H8269" s="7" t="str">
        <f>IF(Table1[[#This Row],[Is Data Valid]]=TRUE,((Table1[[#This Row],[Birthweight (grams)]]*0.9/Table1[[#This Row],[BW_GA]])-1)/(Backend!$B$4/100*Table1[[#This Row],[BW40_3705]]),"")</f>
        <v/>
      </c>
      <c r="I8269" s="7" t="str">
        <f>IF(Table1[[#This Row],[Is Data Valid]]=TRUE,((Table1[[#This Row],[Birthweight (grams)]]*1.1/Table1[[#This Row],[BW_GA]])-1)/(Backend!$B$4/100*Table1[[#This Row],[BW40_3705]]),"")</f>
        <v/>
      </c>
      <c r="J8269" s="7" t="str">
        <f>IF(Table1[[#This Row],[Is Data Valid]]=TRUE,_xlfn.NORM.S.DIST(Table1[[#This Row],[Birthweight Z-Score]],TRUE)*100,"")</f>
        <v/>
      </c>
      <c r="K8269" s="7" t="str">
        <f>IF(Table1[[#This Row],[Is Data Valid]]=TRUE,_xlfn.NORM.S.DIST(Table1[[#This Row],[Birthweight Z-Score (BW-10%)]],TRUE)*100,"")</f>
        <v/>
      </c>
      <c r="L8269" s="7" t="str">
        <f>IF(Table1[[#This Row],[Is Data Valid]]=TRUE,_xlfn.NORM.S.DIST(Table1[[#This Row],[Birthweight Z-Score (BW+10%)]],TRUE)*100,"")</f>
        <v/>
      </c>
    </row>
    <row r="8270" spans="1:12" x14ac:dyDescent="0.35">
      <c r="A8270" s="3"/>
      <c r="B8270" s="2"/>
      <c r="C8270" s="2"/>
      <c r="D8270" s="2" t="b">
        <f>IF(AND(NOT(ISBLANK(Table1[[#This Row],[Fetal Sex (Male, Female or Unknown)]])),ISNUMBER(Table1[[#This Row],[Birthweight (grams)]]),ISNUMBER(Table1[[#This Row],[Gestation (days)]])),TRUE,FALSE)</f>
        <v>0</v>
      </c>
      <c r="E8270" s="2" t="str">
        <f>IF(Table1[[#This Row],[Is Data Valid]]=TRUE,IF(Table1[[#This Row],[Fetal Sex (Male, Female or Unknown)]]="Male",Backend!$C$6,IF(Table1[[#This Row],[Fetal Sex (Male, Female or Unknown)]]="Female",Backend!$C$7,IF(Table1[[#This Row],[Fetal Sex (Male, Female or Unknown)]]="Unknown",Backend!$C$8,"Error"))),"")</f>
        <v/>
      </c>
      <c r="F8270" s="8" t="str">
        <f>IF(Table1[[#This Row],[Is Data Valid]]=TRUE,EXP(0.578+0.332*((Table1[[#This Row],[Gestation (days)]]+0.5)/7)-0.00354*((Table1[[#This Row],[Gestation (days)]]+0.5)/7)^2)*Table1[[#This Row],[BW40_3705]],"")</f>
        <v/>
      </c>
      <c r="G8270" s="2" t="str">
        <f>IF(Table1[[#This Row],[Is Data Valid]]=TRUE,((Table1[[#This Row],[Birthweight (grams)]]/Table1[[#This Row],[BW_GA]])-1)/(Backend!$B$4/100*Table1[[#This Row],[BW40_3705]]),"")</f>
        <v/>
      </c>
      <c r="H8270" s="7" t="str">
        <f>IF(Table1[[#This Row],[Is Data Valid]]=TRUE,((Table1[[#This Row],[Birthweight (grams)]]*0.9/Table1[[#This Row],[BW_GA]])-1)/(Backend!$B$4/100*Table1[[#This Row],[BW40_3705]]),"")</f>
        <v/>
      </c>
      <c r="I8270" s="7" t="str">
        <f>IF(Table1[[#This Row],[Is Data Valid]]=TRUE,((Table1[[#This Row],[Birthweight (grams)]]*1.1/Table1[[#This Row],[BW_GA]])-1)/(Backend!$B$4/100*Table1[[#This Row],[BW40_3705]]),"")</f>
        <v/>
      </c>
      <c r="J8270" s="7" t="str">
        <f>IF(Table1[[#This Row],[Is Data Valid]]=TRUE,_xlfn.NORM.S.DIST(Table1[[#This Row],[Birthweight Z-Score]],TRUE)*100,"")</f>
        <v/>
      </c>
      <c r="K8270" s="7" t="str">
        <f>IF(Table1[[#This Row],[Is Data Valid]]=TRUE,_xlfn.NORM.S.DIST(Table1[[#This Row],[Birthweight Z-Score (BW-10%)]],TRUE)*100,"")</f>
        <v/>
      </c>
      <c r="L8270" s="7" t="str">
        <f>IF(Table1[[#This Row],[Is Data Valid]]=TRUE,_xlfn.NORM.S.DIST(Table1[[#This Row],[Birthweight Z-Score (BW+10%)]],TRUE)*100,"")</f>
        <v/>
      </c>
    </row>
    <row r="8271" spans="1:12" x14ac:dyDescent="0.35">
      <c r="A8271" s="3"/>
      <c r="B8271" s="2"/>
      <c r="C8271" s="2"/>
      <c r="D8271" s="2" t="b">
        <f>IF(AND(NOT(ISBLANK(Table1[[#This Row],[Fetal Sex (Male, Female or Unknown)]])),ISNUMBER(Table1[[#This Row],[Birthweight (grams)]]),ISNUMBER(Table1[[#This Row],[Gestation (days)]])),TRUE,FALSE)</f>
        <v>0</v>
      </c>
      <c r="E8271" s="2" t="str">
        <f>IF(Table1[[#This Row],[Is Data Valid]]=TRUE,IF(Table1[[#This Row],[Fetal Sex (Male, Female or Unknown)]]="Male",Backend!$C$6,IF(Table1[[#This Row],[Fetal Sex (Male, Female or Unknown)]]="Female",Backend!$C$7,IF(Table1[[#This Row],[Fetal Sex (Male, Female or Unknown)]]="Unknown",Backend!$C$8,"Error"))),"")</f>
        <v/>
      </c>
      <c r="F8271" s="8" t="str">
        <f>IF(Table1[[#This Row],[Is Data Valid]]=TRUE,EXP(0.578+0.332*((Table1[[#This Row],[Gestation (days)]]+0.5)/7)-0.00354*((Table1[[#This Row],[Gestation (days)]]+0.5)/7)^2)*Table1[[#This Row],[BW40_3705]],"")</f>
        <v/>
      </c>
      <c r="G8271" s="2" t="str">
        <f>IF(Table1[[#This Row],[Is Data Valid]]=TRUE,((Table1[[#This Row],[Birthweight (grams)]]/Table1[[#This Row],[BW_GA]])-1)/(Backend!$B$4/100*Table1[[#This Row],[BW40_3705]]),"")</f>
        <v/>
      </c>
      <c r="H8271" s="7" t="str">
        <f>IF(Table1[[#This Row],[Is Data Valid]]=TRUE,((Table1[[#This Row],[Birthweight (grams)]]*0.9/Table1[[#This Row],[BW_GA]])-1)/(Backend!$B$4/100*Table1[[#This Row],[BW40_3705]]),"")</f>
        <v/>
      </c>
      <c r="I8271" s="7" t="str">
        <f>IF(Table1[[#This Row],[Is Data Valid]]=TRUE,((Table1[[#This Row],[Birthweight (grams)]]*1.1/Table1[[#This Row],[BW_GA]])-1)/(Backend!$B$4/100*Table1[[#This Row],[BW40_3705]]),"")</f>
        <v/>
      </c>
      <c r="J8271" s="7" t="str">
        <f>IF(Table1[[#This Row],[Is Data Valid]]=TRUE,_xlfn.NORM.S.DIST(Table1[[#This Row],[Birthweight Z-Score]],TRUE)*100,"")</f>
        <v/>
      </c>
      <c r="K8271" s="7" t="str">
        <f>IF(Table1[[#This Row],[Is Data Valid]]=TRUE,_xlfn.NORM.S.DIST(Table1[[#This Row],[Birthweight Z-Score (BW-10%)]],TRUE)*100,"")</f>
        <v/>
      </c>
      <c r="L8271" s="7" t="str">
        <f>IF(Table1[[#This Row],[Is Data Valid]]=TRUE,_xlfn.NORM.S.DIST(Table1[[#This Row],[Birthweight Z-Score (BW+10%)]],TRUE)*100,"")</f>
        <v/>
      </c>
    </row>
    <row r="8272" spans="1:12" x14ac:dyDescent="0.35">
      <c r="A8272" s="3"/>
      <c r="B8272" s="2"/>
      <c r="C8272" s="2"/>
      <c r="D8272" s="2" t="b">
        <f>IF(AND(NOT(ISBLANK(Table1[[#This Row],[Fetal Sex (Male, Female or Unknown)]])),ISNUMBER(Table1[[#This Row],[Birthweight (grams)]]),ISNUMBER(Table1[[#This Row],[Gestation (days)]])),TRUE,FALSE)</f>
        <v>0</v>
      </c>
      <c r="E8272" s="2" t="str">
        <f>IF(Table1[[#This Row],[Is Data Valid]]=TRUE,IF(Table1[[#This Row],[Fetal Sex (Male, Female or Unknown)]]="Male",Backend!$C$6,IF(Table1[[#This Row],[Fetal Sex (Male, Female or Unknown)]]="Female",Backend!$C$7,IF(Table1[[#This Row],[Fetal Sex (Male, Female or Unknown)]]="Unknown",Backend!$C$8,"Error"))),"")</f>
        <v/>
      </c>
      <c r="F8272" s="8" t="str">
        <f>IF(Table1[[#This Row],[Is Data Valid]]=TRUE,EXP(0.578+0.332*((Table1[[#This Row],[Gestation (days)]]+0.5)/7)-0.00354*((Table1[[#This Row],[Gestation (days)]]+0.5)/7)^2)*Table1[[#This Row],[BW40_3705]],"")</f>
        <v/>
      </c>
      <c r="G8272" s="2" t="str">
        <f>IF(Table1[[#This Row],[Is Data Valid]]=TRUE,((Table1[[#This Row],[Birthweight (grams)]]/Table1[[#This Row],[BW_GA]])-1)/(Backend!$B$4/100*Table1[[#This Row],[BW40_3705]]),"")</f>
        <v/>
      </c>
      <c r="H8272" s="7" t="str">
        <f>IF(Table1[[#This Row],[Is Data Valid]]=TRUE,((Table1[[#This Row],[Birthweight (grams)]]*0.9/Table1[[#This Row],[BW_GA]])-1)/(Backend!$B$4/100*Table1[[#This Row],[BW40_3705]]),"")</f>
        <v/>
      </c>
      <c r="I8272" s="7" t="str">
        <f>IF(Table1[[#This Row],[Is Data Valid]]=TRUE,((Table1[[#This Row],[Birthweight (grams)]]*1.1/Table1[[#This Row],[BW_GA]])-1)/(Backend!$B$4/100*Table1[[#This Row],[BW40_3705]]),"")</f>
        <v/>
      </c>
      <c r="J8272" s="7" t="str">
        <f>IF(Table1[[#This Row],[Is Data Valid]]=TRUE,_xlfn.NORM.S.DIST(Table1[[#This Row],[Birthweight Z-Score]],TRUE)*100,"")</f>
        <v/>
      </c>
      <c r="K8272" s="7" t="str">
        <f>IF(Table1[[#This Row],[Is Data Valid]]=TRUE,_xlfn.NORM.S.DIST(Table1[[#This Row],[Birthweight Z-Score (BW-10%)]],TRUE)*100,"")</f>
        <v/>
      </c>
      <c r="L8272" s="7" t="str">
        <f>IF(Table1[[#This Row],[Is Data Valid]]=TRUE,_xlfn.NORM.S.DIST(Table1[[#This Row],[Birthweight Z-Score (BW+10%)]],TRUE)*100,"")</f>
        <v/>
      </c>
    </row>
    <row r="8273" spans="1:12" x14ac:dyDescent="0.35">
      <c r="A8273" s="3"/>
      <c r="B8273" s="2"/>
      <c r="C8273" s="2"/>
      <c r="D8273" s="2" t="b">
        <f>IF(AND(NOT(ISBLANK(Table1[[#This Row],[Fetal Sex (Male, Female or Unknown)]])),ISNUMBER(Table1[[#This Row],[Birthweight (grams)]]),ISNUMBER(Table1[[#This Row],[Gestation (days)]])),TRUE,FALSE)</f>
        <v>0</v>
      </c>
      <c r="E8273" s="2" t="str">
        <f>IF(Table1[[#This Row],[Is Data Valid]]=TRUE,IF(Table1[[#This Row],[Fetal Sex (Male, Female or Unknown)]]="Male",Backend!$C$6,IF(Table1[[#This Row],[Fetal Sex (Male, Female or Unknown)]]="Female",Backend!$C$7,IF(Table1[[#This Row],[Fetal Sex (Male, Female or Unknown)]]="Unknown",Backend!$C$8,"Error"))),"")</f>
        <v/>
      </c>
      <c r="F8273" s="8" t="str">
        <f>IF(Table1[[#This Row],[Is Data Valid]]=TRUE,EXP(0.578+0.332*((Table1[[#This Row],[Gestation (days)]]+0.5)/7)-0.00354*((Table1[[#This Row],[Gestation (days)]]+0.5)/7)^2)*Table1[[#This Row],[BW40_3705]],"")</f>
        <v/>
      </c>
      <c r="G8273" s="2" t="str">
        <f>IF(Table1[[#This Row],[Is Data Valid]]=TRUE,((Table1[[#This Row],[Birthweight (grams)]]/Table1[[#This Row],[BW_GA]])-1)/(Backend!$B$4/100*Table1[[#This Row],[BW40_3705]]),"")</f>
        <v/>
      </c>
      <c r="H8273" s="7" t="str">
        <f>IF(Table1[[#This Row],[Is Data Valid]]=TRUE,((Table1[[#This Row],[Birthweight (grams)]]*0.9/Table1[[#This Row],[BW_GA]])-1)/(Backend!$B$4/100*Table1[[#This Row],[BW40_3705]]),"")</f>
        <v/>
      </c>
      <c r="I8273" s="7" t="str">
        <f>IF(Table1[[#This Row],[Is Data Valid]]=TRUE,((Table1[[#This Row],[Birthweight (grams)]]*1.1/Table1[[#This Row],[BW_GA]])-1)/(Backend!$B$4/100*Table1[[#This Row],[BW40_3705]]),"")</f>
        <v/>
      </c>
      <c r="J8273" s="7" t="str">
        <f>IF(Table1[[#This Row],[Is Data Valid]]=TRUE,_xlfn.NORM.S.DIST(Table1[[#This Row],[Birthweight Z-Score]],TRUE)*100,"")</f>
        <v/>
      </c>
      <c r="K8273" s="7" t="str">
        <f>IF(Table1[[#This Row],[Is Data Valid]]=TRUE,_xlfn.NORM.S.DIST(Table1[[#This Row],[Birthweight Z-Score (BW-10%)]],TRUE)*100,"")</f>
        <v/>
      </c>
      <c r="L8273" s="7" t="str">
        <f>IF(Table1[[#This Row],[Is Data Valid]]=TRUE,_xlfn.NORM.S.DIST(Table1[[#This Row],[Birthweight Z-Score (BW+10%)]],TRUE)*100,"")</f>
        <v/>
      </c>
    </row>
    <row r="8274" spans="1:12" x14ac:dyDescent="0.35">
      <c r="A8274" s="3"/>
      <c r="B8274" s="2"/>
      <c r="C8274" s="2"/>
      <c r="D8274" s="2" t="b">
        <f>IF(AND(NOT(ISBLANK(Table1[[#This Row],[Fetal Sex (Male, Female or Unknown)]])),ISNUMBER(Table1[[#This Row],[Birthweight (grams)]]),ISNUMBER(Table1[[#This Row],[Gestation (days)]])),TRUE,FALSE)</f>
        <v>0</v>
      </c>
      <c r="E8274" s="2" t="str">
        <f>IF(Table1[[#This Row],[Is Data Valid]]=TRUE,IF(Table1[[#This Row],[Fetal Sex (Male, Female or Unknown)]]="Male",Backend!$C$6,IF(Table1[[#This Row],[Fetal Sex (Male, Female or Unknown)]]="Female",Backend!$C$7,IF(Table1[[#This Row],[Fetal Sex (Male, Female or Unknown)]]="Unknown",Backend!$C$8,"Error"))),"")</f>
        <v/>
      </c>
      <c r="F8274" s="8" t="str">
        <f>IF(Table1[[#This Row],[Is Data Valid]]=TRUE,EXP(0.578+0.332*((Table1[[#This Row],[Gestation (days)]]+0.5)/7)-0.00354*((Table1[[#This Row],[Gestation (days)]]+0.5)/7)^2)*Table1[[#This Row],[BW40_3705]],"")</f>
        <v/>
      </c>
      <c r="G8274" s="2" t="str">
        <f>IF(Table1[[#This Row],[Is Data Valid]]=TRUE,((Table1[[#This Row],[Birthweight (grams)]]/Table1[[#This Row],[BW_GA]])-1)/(Backend!$B$4/100*Table1[[#This Row],[BW40_3705]]),"")</f>
        <v/>
      </c>
      <c r="H8274" s="7" t="str">
        <f>IF(Table1[[#This Row],[Is Data Valid]]=TRUE,((Table1[[#This Row],[Birthweight (grams)]]*0.9/Table1[[#This Row],[BW_GA]])-1)/(Backend!$B$4/100*Table1[[#This Row],[BW40_3705]]),"")</f>
        <v/>
      </c>
      <c r="I8274" s="7" t="str">
        <f>IF(Table1[[#This Row],[Is Data Valid]]=TRUE,((Table1[[#This Row],[Birthweight (grams)]]*1.1/Table1[[#This Row],[BW_GA]])-1)/(Backend!$B$4/100*Table1[[#This Row],[BW40_3705]]),"")</f>
        <v/>
      </c>
      <c r="J8274" s="7" t="str">
        <f>IF(Table1[[#This Row],[Is Data Valid]]=TRUE,_xlfn.NORM.S.DIST(Table1[[#This Row],[Birthweight Z-Score]],TRUE)*100,"")</f>
        <v/>
      </c>
      <c r="K8274" s="7" t="str">
        <f>IF(Table1[[#This Row],[Is Data Valid]]=TRUE,_xlfn.NORM.S.DIST(Table1[[#This Row],[Birthweight Z-Score (BW-10%)]],TRUE)*100,"")</f>
        <v/>
      </c>
      <c r="L8274" s="7" t="str">
        <f>IF(Table1[[#This Row],[Is Data Valid]]=TRUE,_xlfn.NORM.S.DIST(Table1[[#This Row],[Birthweight Z-Score (BW+10%)]],TRUE)*100,"")</f>
        <v/>
      </c>
    </row>
    <row r="8275" spans="1:12" x14ac:dyDescent="0.35">
      <c r="A8275" s="3"/>
      <c r="B8275" s="2"/>
      <c r="C8275" s="2"/>
      <c r="D8275" s="2" t="b">
        <f>IF(AND(NOT(ISBLANK(Table1[[#This Row],[Fetal Sex (Male, Female or Unknown)]])),ISNUMBER(Table1[[#This Row],[Birthweight (grams)]]),ISNUMBER(Table1[[#This Row],[Gestation (days)]])),TRUE,FALSE)</f>
        <v>0</v>
      </c>
      <c r="E8275" s="2" t="str">
        <f>IF(Table1[[#This Row],[Is Data Valid]]=TRUE,IF(Table1[[#This Row],[Fetal Sex (Male, Female or Unknown)]]="Male",Backend!$C$6,IF(Table1[[#This Row],[Fetal Sex (Male, Female or Unknown)]]="Female",Backend!$C$7,IF(Table1[[#This Row],[Fetal Sex (Male, Female or Unknown)]]="Unknown",Backend!$C$8,"Error"))),"")</f>
        <v/>
      </c>
      <c r="F8275" s="8" t="str">
        <f>IF(Table1[[#This Row],[Is Data Valid]]=TRUE,EXP(0.578+0.332*((Table1[[#This Row],[Gestation (days)]]+0.5)/7)-0.00354*((Table1[[#This Row],[Gestation (days)]]+0.5)/7)^2)*Table1[[#This Row],[BW40_3705]],"")</f>
        <v/>
      </c>
      <c r="G8275" s="2" t="str">
        <f>IF(Table1[[#This Row],[Is Data Valid]]=TRUE,((Table1[[#This Row],[Birthweight (grams)]]/Table1[[#This Row],[BW_GA]])-1)/(Backend!$B$4/100*Table1[[#This Row],[BW40_3705]]),"")</f>
        <v/>
      </c>
      <c r="H8275" s="7" t="str">
        <f>IF(Table1[[#This Row],[Is Data Valid]]=TRUE,((Table1[[#This Row],[Birthweight (grams)]]*0.9/Table1[[#This Row],[BW_GA]])-1)/(Backend!$B$4/100*Table1[[#This Row],[BW40_3705]]),"")</f>
        <v/>
      </c>
      <c r="I8275" s="7" t="str">
        <f>IF(Table1[[#This Row],[Is Data Valid]]=TRUE,((Table1[[#This Row],[Birthweight (grams)]]*1.1/Table1[[#This Row],[BW_GA]])-1)/(Backend!$B$4/100*Table1[[#This Row],[BW40_3705]]),"")</f>
        <v/>
      </c>
      <c r="J8275" s="7" t="str">
        <f>IF(Table1[[#This Row],[Is Data Valid]]=TRUE,_xlfn.NORM.S.DIST(Table1[[#This Row],[Birthweight Z-Score]],TRUE)*100,"")</f>
        <v/>
      </c>
      <c r="K8275" s="7" t="str">
        <f>IF(Table1[[#This Row],[Is Data Valid]]=TRUE,_xlfn.NORM.S.DIST(Table1[[#This Row],[Birthweight Z-Score (BW-10%)]],TRUE)*100,"")</f>
        <v/>
      </c>
      <c r="L8275" s="7" t="str">
        <f>IF(Table1[[#This Row],[Is Data Valid]]=TRUE,_xlfn.NORM.S.DIST(Table1[[#This Row],[Birthweight Z-Score (BW+10%)]],TRUE)*100,"")</f>
        <v/>
      </c>
    </row>
    <row r="8276" spans="1:12" x14ac:dyDescent="0.35">
      <c r="A8276" s="3"/>
      <c r="B8276" s="2"/>
      <c r="C8276" s="2"/>
      <c r="D8276" s="2" t="b">
        <f>IF(AND(NOT(ISBLANK(Table1[[#This Row],[Fetal Sex (Male, Female or Unknown)]])),ISNUMBER(Table1[[#This Row],[Birthweight (grams)]]),ISNUMBER(Table1[[#This Row],[Gestation (days)]])),TRUE,FALSE)</f>
        <v>0</v>
      </c>
      <c r="E8276" s="2" t="str">
        <f>IF(Table1[[#This Row],[Is Data Valid]]=TRUE,IF(Table1[[#This Row],[Fetal Sex (Male, Female or Unknown)]]="Male",Backend!$C$6,IF(Table1[[#This Row],[Fetal Sex (Male, Female or Unknown)]]="Female",Backend!$C$7,IF(Table1[[#This Row],[Fetal Sex (Male, Female or Unknown)]]="Unknown",Backend!$C$8,"Error"))),"")</f>
        <v/>
      </c>
      <c r="F8276" s="8" t="str">
        <f>IF(Table1[[#This Row],[Is Data Valid]]=TRUE,EXP(0.578+0.332*((Table1[[#This Row],[Gestation (days)]]+0.5)/7)-0.00354*((Table1[[#This Row],[Gestation (days)]]+0.5)/7)^2)*Table1[[#This Row],[BW40_3705]],"")</f>
        <v/>
      </c>
      <c r="G8276" s="2" t="str">
        <f>IF(Table1[[#This Row],[Is Data Valid]]=TRUE,((Table1[[#This Row],[Birthweight (grams)]]/Table1[[#This Row],[BW_GA]])-1)/(Backend!$B$4/100*Table1[[#This Row],[BW40_3705]]),"")</f>
        <v/>
      </c>
      <c r="H8276" s="7" t="str">
        <f>IF(Table1[[#This Row],[Is Data Valid]]=TRUE,((Table1[[#This Row],[Birthweight (grams)]]*0.9/Table1[[#This Row],[BW_GA]])-1)/(Backend!$B$4/100*Table1[[#This Row],[BW40_3705]]),"")</f>
        <v/>
      </c>
      <c r="I8276" s="7" t="str">
        <f>IF(Table1[[#This Row],[Is Data Valid]]=TRUE,((Table1[[#This Row],[Birthweight (grams)]]*1.1/Table1[[#This Row],[BW_GA]])-1)/(Backend!$B$4/100*Table1[[#This Row],[BW40_3705]]),"")</f>
        <v/>
      </c>
      <c r="J8276" s="7" t="str">
        <f>IF(Table1[[#This Row],[Is Data Valid]]=TRUE,_xlfn.NORM.S.DIST(Table1[[#This Row],[Birthweight Z-Score]],TRUE)*100,"")</f>
        <v/>
      </c>
      <c r="K8276" s="7" t="str">
        <f>IF(Table1[[#This Row],[Is Data Valid]]=TRUE,_xlfn.NORM.S.DIST(Table1[[#This Row],[Birthweight Z-Score (BW-10%)]],TRUE)*100,"")</f>
        <v/>
      </c>
      <c r="L8276" s="7" t="str">
        <f>IF(Table1[[#This Row],[Is Data Valid]]=TRUE,_xlfn.NORM.S.DIST(Table1[[#This Row],[Birthweight Z-Score (BW+10%)]],TRUE)*100,"")</f>
        <v/>
      </c>
    </row>
    <row r="8277" spans="1:12" x14ac:dyDescent="0.35">
      <c r="A8277" s="3"/>
      <c r="B8277" s="2"/>
      <c r="C8277" s="2"/>
      <c r="D8277" s="2" t="b">
        <f>IF(AND(NOT(ISBLANK(Table1[[#This Row],[Fetal Sex (Male, Female or Unknown)]])),ISNUMBER(Table1[[#This Row],[Birthweight (grams)]]),ISNUMBER(Table1[[#This Row],[Gestation (days)]])),TRUE,FALSE)</f>
        <v>0</v>
      </c>
      <c r="E8277" s="2" t="str">
        <f>IF(Table1[[#This Row],[Is Data Valid]]=TRUE,IF(Table1[[#This Row],[Fetal Sex (Male, Female or Unknown)]]="Male",Backend!$C$6,IF(Table1[[#This Row],[Fetal Sex (Male, Female or Unknown)]]="Female",Backend!$C$7,IF(Table1[[#This Row],[Fetal Sex (Male, Female or Unknown)]]="Unknown",Backend!$C$8,"Error"))),"")</f>
        <v/>
      </c>
      <c r="F8277" s="8" t="str">
        <f>IF(Table1[[#This Row],[Is Data Valid]]=TRUE,EXP(0.578+0.332*((Table1[[#This Row],[Gestation (days)]]+0.5)/7)-0.00354*((Table1[[#This Row],[Gestation (days)]]+0.5)/7)^2)*Table1[[#This Row],[BW40_3705]],"")</f>
        <v/>
      </c>
      <c r="G8277" s="2" t="str">
        <f>IF(Table1[[#This Row],[Is Data Valid]]=TRUE,((Table1[[#This Row],[Birthweight (grams)]]/Table1[[#This Row],[BW_GA]])-1)/(Backend!$B$4/100*Table1[[#This Row],[BW40_3705]]),"")</f>
        <v/>
      </c>
      <c r="H8277" s="7" t="str">
        <f>IF(Table1[[#This Row],[Is Data Valid]]=TRUE,((Table1[[#This Row],[Birthweight (grams)]]*0.9/Table1[[#This Row],[BW_GA]])-1)/(Backend!$B$4/100*Table1[[#This Row],[BW40_3705]]),"")</f>
        <v/>
      </c>
      <c r="I8277" s="7" t="str">
        <f>IF(Table1[[#This Row],[Is Data Valid]]=TRUE,((Table1[[#This Row],[Birthweight (grams)]]*1.1/Table1[[#This Row],[BW_GA]])-1)/(Backend!$B$4/100*Table1[[#This Row],[BW40_3705]]),"")</f>
        <v/>
      </c>
      <c r="J8277" s="7" t="str">
        <f>IF(Table1[[#This Row],[Is Data Valid]]=TRUE,_xlfn.NORM.S.DIST(Table1[[#This Row],[Birthweight Z-Score]],TRUE)*100,"")</f>
        <v/>
      </c>
      <c r="K8277" s="7" t="str">
        <f>IF(Table1[[#This Row],[Is Data Valid]]=TRUE,_xlfn.NORM.S.DIST(Table1[[#This Row],[Birthweight Z-Score (BW-10%)]],TRUE)*100,"")</f>
        <v/>
      </c>
      <c r="L8277" s="7" t="str">
        <f>IF(Table1[[#This Row],[Is Data Valid]]=TRUE,_xlfn.NORM.S.DIST(Table1[[#This Row],[Birthweight Z-Score (BW+10%)]],TRUE)*100,"")</f>
        <v/>
      </c>
    </row>
    <row r="8278" spans="1:12" x14ac:dyDescent="0.35">
      <c r="A8278" s="3"/>
      <c r="B8278" s="2"/>
      <c r="C8278" s="2"/>
      <c r="D8278" s="2" t="b">
        <f>IF(AND(NOT(ISBLANK(Table1[[#This Row],[Fetal Sex (Male, Female or Unknown)]])),ISNUMBER(Table1[[#This Row],[Birthweight (grams)]]),ISNUMBER(Table1[[#This Row],[Gestation (days)]])),TRUE,FALSE)</f>
        <v>0</v>
      </c>
      <c r="E8278" s="2" t="str">
        <f>IF(Table1[[#This Row],[Is Data Valid]]=TRUE,IF(Table1[[#This Row],[Fetal Sex (Male, Female or Unknown)]]="Male",Backend!$C$6,IF(Table1[[#This Row],[Fetal Sex (Male, Female or Unknown)]]="Female",Backend!$C$7,IF(Table1[[#This Row],[Fetal Sex (Male, Female or Unknown)]]="Unknown",Backend!$C$8,"Error"))),"")</f>
        <v/>
      </c>
      <c r="F8278" s="8" t="str">
        <f>IF(Table1[[#This Row],[Is Data Valid]]=TRUE,EXP(0.578+0.332*((Table1[[#This Row],[Gestation (days)]]+0.5)/7)-0.00354*((Table1[[#This Row],[Gestation (days)]]+0.5)/7)^2)*Table1[[#This Row],[BW40_3705]],"")</f>
        <v/>
      </c>
      <c r="G8278" s="2" t="str">
        <f>IF(Table1[[#This Row],[Is Data Valid]]=TRUE,((Table1[[#This Row],[Birthweight (grams)]]/Table1[[#This Row],[BW_GA]])-1)/(Backend!$B$4/100*Table1[[#This Row],[BW40_3705]]),"")</f>
        <v/>
      </c>
      <c r="H8278" s="7" t="str">
        <f>IF(Table1[[#This Row],[Is Data Valid]]=TRUE,((Table1[[#This Row],[Birthweight (grams)]]*0.9/Table1[[#This Row],[BW_GA]])-1)/(Backend!$B$4/100*Table1[[#This Row],[BW40_3705]]),"")</f>
        <v/>
      </c>
      <c r="I8278" s="7" t="str">
        <f>IF(Table1[[#This Row],[Is Data Valid]]=TRUE,((Table1[[#This Row],[Birthweight (grams)]]*1.1/Table1[[#This Row],[BW_GA]])-1)/(Backend!$B$4/100*Table1[[#This Row],[BW40_3705]]),"")</f>
        <v/>
      </c>
      <c r="J8278" s="7" t="str">
        <f>IF(Table1[[#This Row],[Is Data Valid]]=TRUE,_xlfn.NORM.S.DIST(Table1[[#This Row],[Birthweight Z-Score]],TRUE)*100,"")</f>
        <v/>
      </c>
      <c r="K8278" s="7" t="str">
        <f>IF(Table1[[#This Row],[Is Data Valid]]=TRUE,_xlfn.NORM.S.DIST(Table1[[#This Row],[Birthweight Z-Score (BW-10%)]],TRUE)*100,"")</f>
        <v/>
      </c>
      <c r="L8278" s="7" t="str">
        <f>IF(Table1[[#This Row],[Is Data Valid]]=TRUE,_xlfn.NORM.S.DIST(Table1[[#This Row],[Birthweight Z-Score (BW+10%)]],TRUE)*100,"")</f>
        <v/>
      </c>
    </row>
    <row r="8279" spans="1:12" x14ac:dyDescent="0.35">
      <c r="A8279" s="3"/>
      <c r="B8279" s="2"/>
      <c r="C8279" s="2"/>
      <c r="D8279" s="2" t="b">
        <f>IF(AND(NOT(ISBLANK(Table1[[#This Row],[Fetal Sex (Male, Female or Unknown)]])),ISNUMBER(Table1[[#This Row],[Birthweight (grams)]]),ISNUMBER(Table1[[#This Row],[Gestation (days)]])),TRUE,FALSE)</f>
        <v>0</v>
      </c>
      <c r="E8279" s="2" t="str">
        <f>IF(Table1[[#This Row],[Is Data Valid]]=TRUE,IF(Table1[[#This Row],[Fetal Sex (Male, Female or Unknown)]]="Male",Backend!$C$6,IF(Table1[[#This Row],[Fetal Sex (Male, Female or Unknown)]]="Female",Backend!$C$7,IF(Table1[[#This Row],[Fetal Sex (Male, Female or Unknown)]]="Unknown",Backend!$C$8,"Error"))),"")</f>
        <v/>
      </c>
      <c r="F8279" s="8" t="str">
        <f>IF(Table1[[#This Row],[Is Data Valid]]=TRUE,EXP(0.578+0.332*((Table1[[#This Row],[Gestation (days)]]+0.5)/7)-0.00354*((Table1[[#This Row],[Gestation (days)]]+0.5)/7)^2)*Table1[[#This Row],[BW40_3705]],"")</f>
        <v/>
      </c>
      <c r="G8279" s="2" t="str">
        <f>IF(Table1[[#This Row],[Is Data Valid]]=TRUE,((Table1[[#This Row],[Birthweight (grams)]]/Table1[[#This Row],[BW_GA]])-1)/(Backend!$B$4/100*Table1[[#This Row],[BW40_3705]]),"")</f>
        <v/>
      </c>
      <c r="H8279" s="7" t="str">
        <f>IF(Table1[[#This Row],[Is Data Valid]]=TRUE,((Table1[[#This Row],[Birthweight (grams)]]*0.9/Table1[[#This Row],[BW_GA]])-1)/(Backend!$B$4/100*Table1[[#This Row],[BW40_3705]]),"")</f>
        <v/>
      </c>
      <c r="I8279" s="7" t="str">
        <f>IF(Table1[[#This Row],[Is Data Valid]]=TRUE,((Table1[[#This Row],[Birthweight (grams)]]*1.1/Table1[[#This Row],[BW_GA]])-1)/(Backend!$B$4/100*Table1[[#This Row],[BW40_3705]]),"")</f>
        <v/>
      </c>
      <c r="J8279" s="7" t="str">
        <f>IF(Table1[[#This Row],[Is Data Valid]]=TRUE,_xlfn.NORM.S.DIST(Table1[[#This Row],[Birthweight Z-Score]],TRUE)*100,"")</f>
        <v/>
      </c>
      <c r="K8279" s="7" t="str">
        <f>IF(Table1[[#This Row],[Is Data Valid]]=TRUE,_xlfn.NORM.S.DIST(Table1[[#This Row],[Birthweight Z-Score (BW-10%)]],TRUE)*100,"")</f>
        <v/>
      </c>
      <c r="L8279" s="7" t="str">
        <f>IF(Table1[[#This Row],[Is Data Valid]]=TRUE,_xlfn.NORM.S.DIST(Table1[[#This Row],[Birthweight Z-Score (BW+10%)]],TRUE)*100,"")</f>
        <v/>
      </c>
    </row>
    <row r="8280" spans="1:12" x14ac:dyDescent="0.35">
      <c r="A8280" s="3"/>
      <c r="B8280" s="2"/>
      <c r="C8280" s="2"/>
      <c r="D8280" s="2" t="b">
        <f>IF(AND(NOT(ISBLANK(Table1[[#This Row],[Fetal Sex (Male, Female or Unknown)]])),ISNUMBER(Table1[[#This Row],[Birthweight (grams)]]),ISNUMBER(Table1[[#This Row],[Gestation (days)]])),TRUE,FALSE)</f>
        <v>0</v>
      </c>
      <c r="E8280" s="2" t="str">
        <f>IF(Table1[[#This Row],[Is Data Valid]]=TRUE,IF(Table1[[#This Row],[Fetal Sex (Male, Female or Unknown)]]="Male",Backend!$C$6,IF(Table1[[#This Row],[Fetal Sex (Male, Female or Unknown)]]="Female",Backend!$C$7,IF(Table1[[#This Row],[Fetal Sex (Male, Female or Unknown)]]="Unknown",Backend!$C$8,"Error"))),"")</f>
        <v/>
      </c>
      <c r="F8280" s="8" t="str">
        <f>IF(Table1[[#This Row],[Is Data Valid]]=TRUE,EXP(0.578+0.332*((Table1[[#This Row],[Gestation (days)]]+0.5)/7)-0.00354*((Table1[[#This Row],[Gestation (days)]]+0.5)/7)^2)*Table1[[#This Row],[BW40_3705]],"")</f>
        <v/>
      </c>
      <c r="G8280" s="2" t="str">
        <f>IF(Table1[[#This Row],[Is Data Valid]]=TRUE,((Table1[[#This Row],[Birthweight (grams)]]/Table1[[#This Row],[BW_GA]])-1)/(Backend!$B$4/100*Table1[[#This Row],[BW40_3705]]),"")</f>
        <v/>
      </c>
      <c r="H8280" s="7" t="str">
        <f>IF(Table1[[#This Row],[Is Data Valid]]=TRUE,((Table1[[#This Row],[Birthweight (grams)]]*0.9/Table1[[#This Row],[BW_GA]])-1)/(Backend!$B$4/100*Table1[[#This Row],[BW40_3705]]),"")</f>
        <v/>
      </c>
      <c r="I8280" s="7" t="str">
        <f>IF(Table1[[#This Row],[Is Data Valid]]=TRUE,((Table1[[#This Row],[Birthweight (grams)]]*1.1/Table1[[#This Row],[BW_GA]])-1)/(Backend!$B$4/100*Table1[[#This Row],[BW40_3705]]),"")</f>
        <v/>
      </c>
      <c r="J8280" s="7" t="str">
        <f>IF(Table1[[#This Row],[Is Data Valid]]=TRUE,_xlfn.NORM.S.DIST(Table1[[#This Row],[Birthweight Z-Score]],TRUE)*100,"")</f>
        <v/>
      </c>
      <c r="K8280" s="7" t="str">
        <f>IF(Table1[[#This Row],[Is Data Valid]]=TRUE,_xlfn.NORM.S.DIST(Table1[[#This Row],[Birthweight Z-Score (BW-10%)]],TRUE)*100,"")</f>
        <v/>
      </c>
      <c r="L8280" s="7" t="str">
        <f>IF(Table1[[#This Row],[Is Data Valid]]=TRUE,_xlfn.NORM.S.DIST(Table1[[#This Row],[Birthweight Z-Score (BW+10%)]],TRUE)*100,"")</f>
        <v/>
      </c>
    </row>
    <row r="8281" spans="1:12" x14ac:dyDescent="0.35">
      <c r="A8281" s="3"/>
      <c r="B8281" s="2"/>
      <c r="C8281" s="2"/>
      <c r="D8281" s="2" t="b">
        <f>IF(AND(NOT(ISBLANK(Table1[[#This Row],[Fetal Sex (Male, Female or Unknown)]])),ISNUMBER(Table1[[#This Row],[Birthweight (grams)]]),ISNUMBER(Table1[[#This Row],[Gestation (days)]])),TRUE,FALSE)</f>
        <v>0</v>
      </c>
      <c r="E8281" s="2" t="str">
        <f>IF(Table1[[#This Row],[Is Data Valid]]=TRUE,IF(Table1[[#This Row],[Fetal Sex (Male, Female or Unknown)]]="Male",Backend!$C$6,IF(Table1[[#This Row],[Fetal Sex (Male, Female or Unknown)]]="Female",Backend!$C$7,IF(Table1[[#This Row],[Fetal Sex (Male, Female or Unknown)]]="Unknown",Backend!$C$8,"Error"))),"")</f>
        <v/>
      </c>
      <c r="F8281" s="8" t="str">
        <f>IF(Table1[[#This Row],[Is Data Valid]]=TRUE,EXP(0.578+0.332*((Table1[[#This Row],[Gestation (days)]]+0.5)/7)-0.00354*((Table1[[#This Row],[Gestation (days)]]+0.5)/7)^2)*Table1[[#This Row],[BW40_3705]],"")</f>
        <v/>
      </c>
      <c r="G8281" s="2" t="str">
        <f>IF(Table1[[#This Row],[Is Data Valid]]=TRUE,((Table1[[#This Row],[Birthweight (grams)]]/Table1[[#This Row],[BW_GA]])-1)/(Backend!$B$4/100*Table1[[#This Row],[BW40_3705]]),"")</f>
        <v/>
      </c>
      <c r="H8281" s="7" t="str">
        <f>IF(Table1[[#This Row],[Is Data Valid]]=TRUE,((Table1[[#This Row],[Birthweight (grams)]]*0.9/Table1[[#This Row],[BW_GA]])-1)/(Backend!$B$4/100*Table1[[#This Row],[BW40_3705]]),"")</f>
        <v/>
      </c>
      <c r="I8281" s="7" t="str">
        <f>IF(Table1[[#This Row],[Is Data Valid]]=TRUE,((Table1[[#This Row],[Birthweight (grams)]]*1.1/Table1[[#This Row],[BW_GA]])-1)/(Backend!$B$4/100*Table1[[#This Row],[BW40_3705]]),"")</f>
        <v/>
      </c>
      <c r="J8281" s="7" t="str">
        <f>IF(Table1[[#This Row],[Is Data Valid]]=TRUE,_xlfn.NORM.S.DIST(Table1[[#This Row],[Birthweight Z-Score]],TRUE)*100,"")</f>
        <v/>
      </c>
      <c r="K8281" s="7" t="str">
        <f>IF(Table1[[#This Row],[Is Data Valid]]=TRUE,_xlfn.NORM.S.DIST(Table1[[#This Row],[Birthweight Z-Score (BW-10%)]],TRUE)*100,"")</f>
        <v/>
      </c>
      <c r="L8281" s="7" t="str">
        <f>IF(Table1[[#This Row],[Is Data Valid]]=TRUE,_xlfn.NORM.S.DIST(Table1[[#This Row],[Birthweight Z-Score (BW+10%)]],TRUE)*100,"")</f>
        <v/>
      </c>
    </row>
    <row r="8282" spans="1:12" x14ac:dyDescent="0.35">
      <c r="A8282" s="3"/>
      <c r="B8282" s="2"/>
      <c r="C8282" s="2"/>
      <c r="D8282" s="2" t="b">
        <f>IF(AND(NOT(ISBLANK(Table1[[#This Row],[Fetal Sex (Male, Female or Unknown)]])),ISNUMBER(Table1[[#This Row],[Birthweight (grams)]]),ISNUMBER(Table1[[#This Row],[Gestation (days)]])),TRUE,FALSE)</f>
        <v>0</v>
      </c>
      <c r="E8282" s="2" t="str">
        <f>IF(Table1[[#This Row],[Is Data Valid]]=TRUE,IF(Table1[[#This Row],[Fetal Sex (Male, Female or Unknown)]]="Male",Backend!$C$6,IF(Table1[[#This Row],[Fetal Sex (Male, Female or Unknown)]]="Female",Backend!$C$7,IF(Table1[[#This Row],[Fetal Sex (Male, Female or Unknown)]]="Unknown",Backend!$C$8,"Error"))),"")</f>
        <v/>
      </c>
      <c r="F8282" s="8" t="str">
        <f>IF(Table1[[#This Row],[Is Data Valid]]=TRUE,EXP(0.578+0.332*((Table1[[#This Row],[Gestation (days)]]+0.5)/7)-0.00354*((Table1[[#This Row],[Gestation (days)]]+0.5)/7)^2)*Table1[[#This Row],[BW40_3705]],"")</f>
        <v/>
      </c>
      <c r="G8282" s="2" t="str">
        <f>IF(Table1[[#This Row],[Is Data Valid]]=TRUE,((Table1[[#This Row],[Birthweight (grams)]]/Table1[[#This Row],[BW_GA]])-1)/(Backend!$B$4/100*Table1[[#This Row],[BW40_3705]]),"")</f>
        <v/>
      </c>
      <c r="H8282" s="7" t="str">
        <f>IF(Table1[[#This Row],[Is Data Valid]]=TRUE,((Table1[[#This Row],[Birthweight (grams)]]*0.9/Table1[[#This Row],[BW_GA]])-1)/(Backend!$B$4/100*Table1[[#This Row],[BW40_3705]]),"")</f>
        <v/>
      </c>
      <c r="I8282" s="7" t="str">
        <f>IF(Table1[[#This Row],[Is Data Valid]]=TRUE,((Table1[[#This Row],[Birthweight (grams)]]*1.1/Table1[[#This Row],[BW_GA]])-1)/(Backend!$B$4/100*Table1[[#This Row],[BW40_3705]]),"")</f>
        <v/>
      </c>
      <c r="J8282" s="7" t="str">
        <f>IF(Table1[[#This Row],[Is Data Valid]]=TRUE,_xlfn.NORM.S.DIST(Table1[[#This Row],[Birthweight Z-Score]],TRUE)*100,"")</f>
        <v/>
      </c>
      <c r="K8282" s="7" t="str">
        <f>IF(Table1[[#This Row],[Is Data Valid]]=TRUE,_xlfn.NORM.S.DIST(Table1[[#This Row],[Birthweight Z-Score (BW-10%)]],TRUE)*100,"")</f>
        <v/>
      </c>
      <c r="L8282" s="7" t="str">
        <f>IF(Table1[[#This Row],[Is Data Valid]]=TRUE,_xlfn.NORM.S.DIST(Table1[[#This Row],[Birthweight Z-Score (BW+10%)]],TRUE)*100,"")</f>
        <v/>
      </c>
    </row>
    <row r="8283" spans="1:12" x14ac:dyDescent="0.35">
      <c r="A8283" s="3"/>
      <c r="B8283" s="2"/>
      <c r="C8283" s="2"/>
      <c r="D8283" s="2" t="b">
        <f>IF(AND(NOT(ISBLANK(Table1[[#This Row],[Fetal Sex (Male, Female or Unknown)]])),ISNUMBER(Table1[[#This Row],[Birthweight (grams)]]),ISNUMBER(Table1[[#This Row],[Gestation (days)]])),TRUE,FALSE)</f>
        <v>0</v>
      </c>
      <c r="E8283" s="2" t="str">
        <f>IF(Table1[[#This Row],[Is Data Valid]]=TRUE,IF(Table1[[#This Row],[Fetal Sex (Male, Female or Unknown)]]="Male",Backend!$C$6,IF(Table1[[#This Row],[Fetal Sex (Male, Female or Unknown)]]="Female",Backend!$C$7,IF(Table1[[#This Row],[Fetal Sex (Male, Female or Unknown)]]="Unknown",Backend!$C$8,"Error"))),"")</f>
        <v/>
      </c>
      <c r="F8283" s="8" t="str">
        <f>IF(Table1[[#This Row],[Is Data Valid]]=TRUE,EXP(0.578+0.332*((Table1[[#This Row],[Gestation (days)]]+0.5)/7)-0.00354*((Table1[[#This Row],[Gestation (days)]]+0.5)/7)^2)*Table1[[#This Row],[BW40_3705]],"")</f>
        <v/>
      </c>
      <c r="G8283" s="2" t="str">
        <f>IF(Table1[[#This Row],[Is Data Valid]]=TRUE,((Table1[[#This Row],[Birthweight (grams)]]/Table1[[#This Row],[BW_GA]])-1)/(Backend!$B$4/100*Table1[[#This Row],[BW40_3705]]),"")</f>
        <v/>
      </c>
      <c r="H8283" s="7" t="str">
        <f>IF(Table1[[#This Row],[Is Data Valid]]=TRUE,((Table1[[#This Row],[Birthweight (grams)]]*0.9/Table1[[#This Row],[BW_GA]])-1)/(Backend!$B$4/100*Table1[[#This Row],[BW40_3705]]),"")</f>
        <v/>
      </c>
      <c r="I8283" s="7" t="str">
        <f>IF(Table1[[#This Row],[Is Data Valid]]=TRUE,((Table1[[#This Row],[Birthweight (grams)]]*1.1/Table1[[#This Row],[BW_GA]])-1)/(Backend!$B$4/100*Table1[[#This Row],[BW40_3705]]),"")</f>
        <v/>
      </c>
      <c r="J8283" s="7" t="str">
        <f>IF(Table1[[#This Row],[Is Data Valid]]=TRUE,_xlfn.NORM.S.DIST(Table1[[#This Row],[Birthweight Z-Score]],TRUE)*100,"")</f>
        <v/>
      </c>
      <c r="K8283" s="7" t="str">
        <f>IF(Table1[[#This Row],[Is Data Valid]]=TRUE,_xlfn.NORM.S.DIST(Table1[[#This Row],[Birthweight Z-Score (BW-10%)]],TRUE)*100,"")</f>
        <v/>
      </c>
      <c r="L8283" s="7" t="str">
        <f>IF(Table1[[#This Row],[Is Data Valid]]=TRUE,_xlfn.NORM.S.DIST(Table1[[#This Row],[Birthweight Z-Score (BW+10%)]],TRUE)*100,"")</f>
        <v/>
      </c>
    </row>
    <row r="8284" spans="1:12" x14ac:dyDescent="0.35">
      <c r="A8284" s="3"/>
      <c r="B8284" s="2"/>
      <c r="C8284" s="2"/>
      <c r="D8284" s="2" t="b">
        <f>IF(AND(NOT(ISBLANK(Table1[[#This Row],[Fetal Sex (Male, Female or Unknown)]])),ISNUMBER(Table1[[#This Row],[Birthweight (grams)]]),ISNUMBER(Table1[[#This Row],[Gestation (days)]])),TRUE,FALSE)</f>
        <v>0</v>
      </c>
      <c r="E8284" s="2" t="str">
        <f>IF(Table1[[#This Row],[Is Data Valid]]=TRUE,IF(Table1[[#This Row],[Fetal Sex (Male, Female or Unknown)]]="Male",Backend!$C$6,IF(Table1[[#This Row],[Fetal Sex (Male, Female or Unknown)]]="Female",Backend!$C$7,IF(Table1[[#This Row],[Fetal Sex (Male, Female or Unknown)]]="Unknown",Backend!$C$8,"Error"))),"")</f>
        <v/>
      </c>
      <c r="F8284" s="8" t="str">
        <f>IF(Table1[[#This Row],[Is Data Valid]]=TRUE,EXP(0.578+0.332*((Table1[[#This Row],[Gestation (days)]]+0.5)/7)-0.00354*((Table1[[#This Row],[Gestation (days)]]+0.5)/7)^2)*Table1[[#This Row],[BW40_3705]],"")</f>
        <v/>
      </c>
      <c r="G8284" s="2" t="str">
        <f>IF(Table1[[#This Row],[Is Data Valid]]=TRUE,((Table1[[#This Row],[Birthweight (grams)]]/Table1[[#This Row],[BW_GA]])-1)/(Backend!$B$4/100*Table1[[#This Row],[BW40_3705]]),"")</f>
        <v/>
      </c>
      <c r="H8284" s="7" t="str">
        <f>IF(Table1[[#This Row],[Is Data Valid]]=TRUE,((Table1[[#This Row],[Birthweight (grams)]]*0.9/Table1[[#This Row],[BW_GA]])-1)/(Backend!$B$4/100*Table1[[#This Row],[BW40_3705]]),"")</f>
        <v/>
      </c>
      <c r="I8284" s="7" t="str">
        <f>IF(Table1[[#This Row],[Is Data Valid]]=TRUE,((Table1[[#This Row],[Birthweight (grams)]]*1.1/Table1[[#This Row],[BW_GA]])-1)/(Backend!$B$4/100*Table1[[#This Row],[BW40_3705]]),"")</f>
        <v/>
      </c>
      <c r="J8284" s="7" t="str">
        <f>IF(Table1[[#This Row],[Is Data Valid]]=TRUE,_xlfn.NORM.S.DIST(Table1[[#This Row],[Birthweight Z-Score]],TRUE)*100,"")</f>
        <v/>
      </c>
      <c r="K8284" s="7" t="str">
        <f>IF(Table1[[#This Row],[Is Data Valid]]=TRUE,_xlfn.NORM.S.DIST(Table1[[#This Row],[Birthweight Z-Score (BW-10%)]],TRUE)*100,"")</f>
        <v/>
      </c>
      <c r="L8284" s="7" t="str">
        <f>IF(Table1[[#This Row],[Is Data Valid]]=TRUE,_xlfn.NORM.S.DIST(Table1[[#This Row],[Birthweight Z-Score (BW+10%)]],TRUE)*100,"")</f>
        <v/>
      </c>
    </row>
    <row r="8285" spans="1:12" x14ac:dyDescent="0.35">
      <c r="A8285" s="3"/>
      <c r="B8285" s="2"/>
      <c r="C8285" s="2"/>
      <c r="D8285" s="2" t="b">
        <f>IF(AND(NOT(ISBLANK(Table1[[#This Row],[Fetal Sex (Male, Female or Unknown)]])),ISNUMBER(Table1[[#This Row],[Birthweight (grams)]]),ISNUMBER(Table1[[#This Row],[Gestation (days)]])),TRUE,FALSE)</f>
        <v>0</v>
      </c>
      <c r="E8285" s="2" t="str">
        <f>IF(Table1[[#This Row],[Is Data Valid]]=TRUE,IF(Table1[[#This Row],[Fetal Sex (Male, Female or Unknown)]]="Male",Backend!$C$6,IF(Table1[[#This Row],[Fetal Sex (Male, Female or Unknown)]]="Female",Backend!$C$7,IF(Table1[[#This Row],[Fetal Sex (Male, Female or Unknown)]]="Unknown",Backend!$C$8,"Error"))),"")</f>
        <v/>
      </c>
      <c r="F8285" s="8" t="str">
        <f>IF(Table1[[#This Row],[Is Data Valid]]=TRUE,EXP(0.578+0.332*((Table1[[#This Row],[Gestation (days)]]+0.5)/7)-0.00354*((Table1[[#This Row],[Gestation (days)]]+0.5)/7)^2)*Table1[[#This Row],[BW40_3705]],"")</f>
        <v/>
      </c>
      <c r="G8285" s="2" t="str">
        <f>IF(Table1[[#This Row],[Is Data Valid]]=TRUE,((Table1[[#This Row],[Birthweight (grams)]]/Table1[[#This Row],[BW_GA]])-1)/(Backend!$B$4/100*Table1[[#This Row],[BW40_3705]]),"")</f>
        <v/>
      </c>
      <c r="H8285" s="7" t="str">
        <f>IF(Table1[[#This Row],[Is Data Valid]]=TRUE,((Table1[[#This Row],[Birthweight (grams)]]*0.9/Table1[[#This Row],[BW_GA]])-1)/(Backend!$B$4/100*Table1[[#This Row],[BW40_3705]]),"")</f>
        <v/>
      </c>
      <c r="I8285" s="7" t="str">
        <f>IF(Table1[[#This Row],[Is Data Valid]]=TRUE,((Table1[[#This Row],[Birthweight (grams)]]*1.1/Table1[[#This Row],[BW_GA]])-1)/(Backend!$B$4/100*Table1[[#This Row],[BW40_3705]]),"")</f>
        <v/>
      </c>
      <c r="J8285" s="7" t="str">
        <f>IF(Table1[[#This Row],[Is Data Valid]]=TRUE,_xlfn.NORM.S.DIST(Table1[[#This Row],[Birthweight Z-Score]],TRUE)*100,"")</f>
        <v/>
      </c>
      <c r="K8285" s="7" t="str">
        <f>IF(Table1[[#This Row],[Is Data Valid]]=TRUE,_xlfn.NORM.S.DIST(Table1[[#This Row],[Birthweight Z-Score (BW-10%)]],TRUE)*100,"")</f>
        <v/>
      </c>
      <c r="L8285" s="7" t="str">
        <f>IF(Table1[[#This Row],[Is Data Valid]]=TRUE,_xlfn.NORM.S.DIST(Table1[[#This Row],[Birthweight Z-Score (BW+10%)]],TRUE)*100,"")</f>
        <v/>
      </c>
    </row>
    <row r="8286" spans="1:12" x14ac:dyDescent="0.35">
      <c r="A8286" s="3"/>
      <c r="B8286" s="2"/>
      <c r="C8286" s="2"/>
      <c r="D8286" s="2" t="b">
        <f>IF(AND(NOT(ISBLANK(Table1[[#This Row],[Fetal Sex (Male, Female or Unknown)]])),ISNUMBER(Table1[[#This Row],[Birthweight (grams)]]),ISNUMBER(Table1[[#This Row],[Gestation (days)]])),TRUE,FALSE)</f>
        <v>0</v>
      </c>
      <c r="E8286" s="2" t="str">
        <f>IF(Table1[[#This Row],[Is Data Valid]]=TRUE,IF(Table1[[#This Row],[Fetal Sex (Male, Female or Unknown)]]="Male",Backend!$C$6,IF(Table1[[#This Row],[Fetal Sex (Male, Female or Unknown)]]="Female",Backend!$C$7,IF(Table1[[#This Row],[Fetal Sex (Male, Female or Unknown)]]="Unknown",Backend!$C$8,"Error"))),"")</f>
        <v/>
      </c>
      <c r="F8286" s="8" t="str">
        <f>IF(Table1[[#This Row],[Is Data Valid]]=TRUE,EXP(0.578+0.332*((Table1[[#This Row],[Gestation (days)]]+0.5)/7)-0.00354*((Table1[[#This Row],[Gestation (days)]]+0.5)/7)^2)*Table1[[#This Row],[BW40_3705]],"")</f>
        <v/>
      </c>
      <c r="G8286" s="2" t="str">
        <f>IF(Table1[[#This Row],[Is Data Valid]]=TRUE,((Table1[[#This Row],[Birthweight (grams)]]/Table1[[#This Row],[BW_GA]])-1)/(Backend!$B$4/100*Table1[[#This Row],[BW40_3705]]),"")</f>
        <v/>
      </c>
      <c r="H8286" s="7" t="str">
        <f>IF(Table1[[#This Row],[Is Data Valid]]=TRUE,((Table1[[#This Row],[Birthweight (grams)]]*0.9/Table1[[#This Row],[BW_GA]])-1)/(Backend!$B$4/100*Table1[[#This Row],[BW40_3705]]),"")</f>
        <v/>
      </c>
      <c r="I8286" s="7" t="str">
        <f>IF(Table1[[#This Row],[Is Data Valid]]=TRUE,((Table1[[#This Row],[Birthweight (grams)]]*1.1/Table1[[#This Row],[BW_GA]])-1)/(Backend!$B$4/100*Table1[[#This Row],[BW40_3705]]),"")</f>
        <v/>
      </c>
      <c r="J8286" s="7" t="str">
        <f>IF(Table1[[#This Row],[Is Data Valid]]=TRUE,_xlfn.NORM.S.DIST(Table1[[#This Row],[Birthweight Z-Score]],TRUE)*100,"")</f>
        <v/>
      </c>
      <c r="K8286" s="7" t="str">
        <f>IF(Table1[[#This Row],[Is Data Valid]]=TRUE,_xlfn.NORM.S.DIST(Table1[[#This Row],[Birthweight Z-Score (BW-10%)]],TRUE)*100,"")</f>
        <v/>
      </c>
      <c r="L8286" s="7" t="str">
        <f>IF(Table1[[#This Row],[Is Data Valid]]=TRUE,_xlfn.NORM.S.DIST(Table1[[#This Row],[Birthweight Z-Score (BW+10%)]],TRUE)*100,"")</f>
        <v/>
      </c>
    </row>
    <row r="8287" spans="1:12" x14ac:dyDescent="0.35">
      <c r="A8287" s="3"/>
      <c r="B8287" s="2"/>
      <c r="C8287" s="2"/>
      <c r="D8287" s="2" t="b">
        <f>IF(AND(NOT(ISBLANK(Table1[[#This Row],[Fetal Sex (Male, Female or Unknown)]])),ISNUMBER(Table1[[#This Row],[Birthweight (grams)]]),ISNUMBER(Table1[[#This Row],[Gestation (days)]])),TRUE,FALSE)</f>
        <v>0</v>
      </c>
      <c r="E8287" s="2" t="str">
        <f>IF(Table1[[#This Row],[Is Data Valid]]=TRUE,IF(Table1[[#This Row],[Fetal Sex (Male, Female or Unknown)]]="Male",Backend!$C$6,IF(Table1[[#This Row],[Fetal Sex (Male, Female or Unknown)]]="Female",Backend!$C$7,IF(Table1[[#This Row],[Fetal Sex (Male, Female or Unknown)]]="Unknown",Backend!$C$8,"Error"))),"")</f>
        <v/>
      </c>
      <c r="F8287" s="8" t="str">
        <f>IF(Table1[[#This Row],[Is Data Valid]]=TRUE,EXP(0.578+0.332*((Table1[[#This Row],[Gestation (days)]]+0.5)/7)-0.00354*((Table1[[#This Row],[Gestation (days)]]+0.5)/7)^2)*Table1[[#This Row],[BW40_3705]],"")</f>
        <v/>
      </c>
      <c r="G8287" s="2" t="str">
        <f>IF(Table1[[#This Row],[Is Data Valid]]=TRUE,((Table1[[#This Row],[Birthweight (grams)]]/Table1[[#This Row],[BW_GA]])-1)/(Backend!$B$4/100*Table1[[#This Row],[BW40_3705]]),"")</f>
        <v/>
      </c>
      <c r="H8287" s="7" t="str">
        <f>IF(Table1[[#This Row],[Is Data Valid]]=TRUE,((Table1[[#This Row],[Birthweight (grams)]]*0.9/Table1[[#This Row],[BW_GA]])-1)/(Backend!$B$4/100*Table1[[#This Row],[BW40_3705]]),"")</f>
        <v/>
      </c>
      <c r="I8287" s="7" t="str">
        <f>IF(Table1[[#This Row],[Is Data Valid]]=TRUE,((Table1[[#This Row],[Birthweight (grams)]]*1.1/Table1[[#This Row],[BW_GA]])-1)/(Backend!$B$4/100*Table1[[#This Row],[BW40_3705]]),"")</f>
        <v/>
      </c>
      <c r="J8287" s="7" t="str">
        <f>IF(Table1[[#This Row],[Is Data Valid]]=TRUE,_xlfn.NORM.S.DIST(Table1[[#This Row],[Birthweight Z-Score]],TRUE)*100,"")</f>
        <v/>
      </c>
      <c r="K8287" s="7" t="str">
        <f>IF(Table1[[#This Row],[Is Data Valid]]=TRUE,_xlfn.NORM.S.DIST(Table1[[#This Row],[Birthweight Z-Score (BW-10%)]],TRUE)*100,"")</f>
        <v/>
      </c>
      <c r="L8287" s="7" t="str">
        <f>IF(Table1[[#This Row],[Is Data Valid]]=TRUE,_xlfn.NORM.S.DIST(Table1[[#This Row],[Birthweight Z-Score (BW+10%)]],TRUE)*100,"")</f>
        <v/>
      </c>
    </row>
    <row r="8288" spans="1:12" x14ac:dyDescent="0.35">
      <c r="A8288" s="3"/>
      <c r="B8288" s="2"/>
      <c r="C8288" s="2"/>
      <c r="D8288" s="2" t="b">
        <f>IF(AND(NOT(ISBLANK(Table1[[#This Row],[Fetal Sex (Male, Female or Unknown)]])),ISNUMBER(Table1[[#This Row],[Birthweight (grams)]]),ISNUMBER(Table1[[#This Row],[Gestation (days)]])),TRUE,FALSE)</f>
        <v>0</v>
      </c>
      <c r="E8288" s="2" t="str">
        <f>IF(Table1[[#This Row],[Is Data Valid]]=TRUE,IF(Table1[[#This Row],[Fetal Sex (Male, Female or Unknown)]]="Male",Backend!$C$6,IF(Table1[[#This Row],[Fetal Sex (Male, Female or Unknown)]]="Female",Backend!$C$7,IF(Table1[[#This Row],[Fetal Sex (Male, Female or Unknown)]]="Unknown",Backend!$C$8,"Error"))),"")</f>
        <v/>
      </c>
      <c r="F8288" s="8" t="str">
        <f>IF(Table1[[#This Row],[Is Data Valid]]=TRUE,EXP(0.578+0.332*((Table1[[#This Row],[Gestation (days)]]+0.5)/7)-0.00354*((Table1[[#This Row],[Gestation (days)]]+0.5)/7)^2)*Table1[[#This Row],[BW40_3705]],"")</f>
        <v/>
      </c>
      <c r="G8288" s="2" t="str">
        <f>IF(Table1[[#This Row],[Is Data Valid]]=TRUE,((Table1[[#This Row],[Birthweight (grams)]]/Table1[[#This Row],[BW_GA]])-1)/(Backend!$B$4/100*Table1[[#This Row],[BW40_3705]]),"")</f>
        <v/>
      </c>
      <c r="H8288" s="7" t="str">
        <f>IF(Table1[[#This Row],[Is Data Valid]]=TRUE,((Table1[[#This Row],[Birthweight (grams)]]*0.9/Table1[[#This Row],[BW_GA]])-1)/(Backend!$B$4/100*Table1[[#This Row],[BW40_3705]]),"")</f>
        <v/>
      </c>
      <c r="I8288" s="7" t="str">
        <f>IF(Table1[[#This Row],[Is Data Valid]]=TRUE,((Table1[[#This Row],[Birthweight (grams)]]*1.1/Table1[[#This Row],[BW_GA]])-1)/(Backend!$B$4/100*Table1[[#This Row],[BW40_3705]]),"")</f>
        <v/>
      </c>
      <c r="J8288" s="7" t="str">
        <f>IF(Table1[[#This Row],[Is Data Valid]]=TRUE,_xlfn.NORM.S.DIST(Table1[[#This Row],[Birthweight Z-Score]],TRUE)*100,"")</f>
        <v/>
      </c>
      <c r="K8288" s="7" t="str">
        <f>IF(Table1[[#This Row],[Is Data Valid]]=TRUE,_xlfn.NORM.S.DIST(Table1[[#This Row],[Birthweight Z-Score (BW-10%)]],TRUE)*100,"")</f>
        <v/>
      </c>
      <c r="L8288" s="7" t="str">
        <f>IF(Table1[[#This Row],[Is Data Valid]]=TRUE,_xlfn.NORM.S.DIST(Table1[[#This Row],[Birthweight Z-Score (BW+10%)]],TRUE)*100,"")</f>
        <v/>
      </c>
    </row>
    <row r="8289" spans="1:12" x14ac:dyDescent="0.35">
      <c r="A8289" s="3"/>
      <c r="B8289" s="2"/>
      <c r="C8289" s="2"/>
      <c r="D8289" s="2" t="b">
        <f>IF(AND(NOT(ISBLANK(Table1[[#This Row],[Fetal Sex (Male, Female or Unknown)]])),ISNUMBER(Table1[[#This Row],[Birthweight (grams)]]),ISNUMBER(Table1[[#This Row],[Gestation (days)]])),TRUE,FALSE)</f>
        <v>0</v>
      </c>
      <c r="E8289" s="2" t="str">
        <f>IF(Table1[[#This Row],[Is Data Valid]]=TRUE,IF(Table1[[#This Row],[Fetal Sex (Male, Female or Unknown)]]="Male",Backend!$C$6,IF(Table1[[#This Row],[Fetal Sex (Male, Female or Unknown)]]="Female",Backend!$C$7,IF(Table1[[#This Row],[Fetal Sex (Male, Female or Unknown)]]="Unknown",Backend!$C$8,"Error"))),"")</f>
        <v/>
      </c>
      <c r="F8289" s="8" t="str">
        <f>IF(Table1[[#This Row],[Is Data Valid]]=TRUE,EXP(0.578+0.332*((Table1[[#This Row],[Gestation (days)]]+0.5)/7)-0.00354*((Table1[[#This Row],[Gestation (days)]]+0.5)/7)^2)*Table1[[#This Row],[BW40_3705]],"")</f>
        <v/>
      </c>
      <c r="G8289" s="2" t="str">
        <f>IF(Table1[[#This Row],[Is Data Valid]]=TRUE,((Table1[[#This Row],[Birthweight (grams)]]/Table1[[#This Row],[BW_GA]])-1)/(Backend!$B$4/100*Table1[[#This Row],[BW40_3705]]),"")</f>
        <v/>
      </c>
      <c r="H8289" s="7" t="str">
        <f>IF(Table1[[#This Row],[Is Data Valid]]=TRUE,((Table1[[#This Row],[Birthweight (grams)]]*0.9/Table1[[#This Row],[BW_GA]])-1)/(Backend!$B$4/100*Table1[[#This Row],[BW40_3705]]),"")</f>
        <v/>
      </c>
      <c r="I8289" s="7" t="str">
        <f>IF(Table1[[#This Row],[Is Data Valid]]=TRUE,((Table1[[#This Row],[Birthweight (grams)]]*1.1/Table1[[#This Row],[BW_GA]])-1)/(Backend!$B$4/100*Table1[[#This Row],[BW40_3705]]),"")</f>
        <v/>
      </c>
      <c r="J8289" s="7" t="str">
        <f>IF(Table1[[#This Row],[Is Data Valid]]=TRUE,_xlfn.NORM.S.DIST(Table1[[#This Row],[Birthweight Z-Score]],TRUE)*100,"")</f>
        <v/>
      </c>
      <c r="K8289" s="7" t="str">
        <f>IF(Table1[[#This Row],[Is Data Valid]]=TRUE,_xlfn.NORM.S.DIST(Table1[[#This Row],[Birthweight Z-Score (BW-10%)]],TRUE)*100,"")</f>
        <v/>
      </c>
      <c r="L8289" s="7" t="str">
        <f>IF(Table1[[#This Row],[Is Data Valid]]=TRUE,_xlfn.NORM.S.DIST(Table1[[#This Row],[Birthweight Z-Score (BW+10%)]],TRUE)*100,"")</f>
        <v/>
      </c>
    </row>
    <row r="8290" spans="1:12" x14ac:dyDescent="0.35">
      <c r="A8290" s="3"/>
      <c r="B8290" s="2"/>
      <c r="C8290" s="2"/>
      <c r="D8290" s="2" t="b">
        <f>IF(AND(NOT(ISBLANK(Table1[[#This Row],[Fetal Sex (Male, Female or Unknown)]])),ISNUMBER(Table1[[#This Row],[Birthweight (grams)]]),ISNUMBER(Table1[[#This Row],[Gestation (days)]])),TRUE,FALSE)</f>
        <v>0</v>
      </c>
      <c r="E8290" s="2" t="str">
        <f>IF(Table1[[#This Row],[Is Data Valid]]=TRUE,IF(Table1[[#This Row],[Fetal Sex (Male, Female or Unknown)]]="Male",Backend!$C$6,IF(Table1[[#This Row],[Fetal Sex (Male, Female or Unknown)]]="Female",Backend!$C$7,IF(Table1[[#This Row],[Fetal Sex (Male, Female or Unknown)]]="Unknown",Backend!$C$8,"Error"))),"")</f>
        <v/>
      </c>
      <c r="F8290" s="8" t="str">
        <f>IF(Table1[[#This Row],[Is Data Valid]]=TRUE,EXP(0.578+0.332*((Table1[[#This Row],[Gestation (days)]]+0.5)/7)-0.00354*((Table1[[#This Row],[Gestation (days)]]+0.5)/7)^2)*Table1[[#This Row],[BW40_3705]],"")</f>
        <v/>
      </c>
      <c r="G8290" s="2" t="str">
        <f>IF(Table1[[#This Row],[Is Data Valid]]=TRUE,((Table1[[#This Row],[Birthweight (grams)]]/Table1[[#This Row],[BW_GA]])-1)/(Backend!$B$4/100*Table1[[#This Row],[BW40_3705]]),"")</f>
        <v/>
      </c>
      <c r="H8290" s="7" t="str">
        <f>IF(Table1[[#This Row],[Is Data Valid]]=TRUE,((Table1[[#This Row],[Birthweight (grams)]]*0.9/Table1[[#This Row],[BW_GA]])-1)/(Backend!$B$4/100*Table1[[#This Row],[BW40_3705]]),"")</f>
        <v/>
      </c>
      <c r="I8290" s="7" t="str">
        <f>IF(Table1[[#This Row],[Is Data Valid]]=TRUE,((Table1[[#This Row],[Birthweight (grams)]]*1.1/Table1[[#This Row],[BW_GA]])-1)/(Backend!$B$4/100*Table1[[#This Row],[BW40_3705]]),"")</f>
        <v/>
      </c>
      <c r="J8290" s="7" t="str">
        <f>IF(Table1[[#This Row],[Is Data Valid]]=TRUE,_xlfn.NORM.S.DIST(Table1[[#This Row],[Birthweight Z-Score]],TRUE)*100,"")</f>
        <v/>
      </c>
      <c r="K8290" s="7" t="str">
        <f>IF(Table1[[#This Row],[Is Data Valid]]=TRUE,_xlfn.NORM.S.DIST(Table1[[#This Row],[Birthweight Z-Score (BW-10%)]],TRUE)*100,"")</f>
        <v/>
      </c>
      <c r="L8290" s="7" t="str">
        <f>IF(Table1[[#This Row],[Is Data Valid]]=TRUE,_xlfn.NORM.S.DIST(Table1[[#This Row],[Birthweight Z-Score (BW+10%)]],TRUE)*100,"")</f>
        <v/>
      </c>
    </row>
    <row r="8291" spans="1:12" x14ac:dyDescent="0.35">
      <c r="A8291" s="3"/>
      <c r="B8291" s="2"/>
      <c r="C8291" s="2"/>
      <c r="D8291" s="2" t="b">
        <f>IF(AND(NOT(ISBLANK(Table1[[#This Row],[Fetal Sex (Male, Female or Unknown)]])),ISNUMBER(Table1[[#This Row],[Birthweight (grams)]]),ISNUMBER(Table1[[#This Row],[Gestation (days)]])),TRUE,FALSE)</f>
        <v>0</v>
      </c>
      <c r="E8291" s="2" t="str">
        <f>IF(Table1[[#This Row],[Is Data Valid]]=TRUE,IF(Table1[[#This Row],[Fetal Sex (Male, Female or Unknown)]]="Male",Backend!$C$6,IF(Table1[[#This Row],[Fetal Sex (Male, Female or Unknown)]]="Female",Backend!$C$7,IF(Table1[[#This Row],[Fetal Sex (Male, Female or Unknown)]]="Unknown",Backend!$C$8,"Error"))),"")</f>
        <v/>
      </c>
      <c r="F8291" s="8" t="str">
        <f>IF(Table1[[#This Row],[Is Data Valid]]=TRUE,EXP(0.578+0.332*((Table1[[#This Row],[Gestation (days)]]+0.5)/7)-0.00354*((Table1[[#This Row],[Gestation (days)]]+0.5)/7)^2)*Table1[[#This Row],[BW40_3705]],"")</f>
        <v/>
      </c>
      <c r="G8291" s="2" t="str">
        <f>IF(Table1[[#This Row],[Is Data Valid]]=TRUE,((Table1[[#This Row],[Birthweight (grams)]]/Table1[[#This Row],[BW_GA]])-1)/(Backend!$B$4/100*Table1[[#This Row],[BW40_3705]]),"")</f>
        <v/>
      </c>
      <c r="H8291" s="7" t="str">
        <f>IF(Table1[[#This Row],[Is Data Valid]]=TRUE,((Table1[[#This Row],[Birthweight (grams)]]*0.9/Table1[[#This Row],[BW_GA]])-1)/(Backend!$B$4/100*Table1[[#This Row],[BW40_3705]]),"")</f>
        <v/>
      </c>
      <c r="I8291" s="7" t="str">
        <f>IF(Table1[[#This Row],[Is Data Valid]]=TRUE,((Table1[[#This Row],[Birthweight (grams)]]*1.1/Table1[[#This Row],[BW_GA]])-1)/(Backend!$B$4/100*Table1[[#This Row],[BW40_3705]]),"")</f>
        <v/>
      </c>
      <c r="J8291" s="7" t="str">
        <f>IF(Table1[[#This Row],[Is Data Valid]]=TRUE,_xlfn.NORM.S.DIST(Table1[[#This Row],[Birthweight Z-Score]],TRUE)*100,"")</f>
        <v/>
      </c>
      <c r="K8291" s="7" t="str">
        <f>IF(Table1[[#This Row],[Is Data Valid]]=TRUE,_xlfn.NORM.S.DIST(Table1[[#This Row],[Birthweight Z-Score (BW-10%)]],TRUE)*100,"")</f>
        <v/>
      </c>
      <c r="L8291" s="7" t="str">
        <f>IF(Table1[[#This Row],[Is Data Valid]]=TRUE,_xlfn.NORM.S.DIST(Table1[[#This Row],[Birthweight Z-Score (BW+10%)]],TRUE)*100,"")</f>
        <v/>
      </c>
    </row>
    <row r="8292" spans="1:12" x14ac:dyDescent="0.35">
      <c r="A8292" s="3"/>
      <c r="B8292" s="2"/>
      <c r="C8292" s="2"/>
      <c r="D8292" s="2" t="b">
        <f>IF(AND(NOT(ISBLANK(Table1[[#This Row],[Fetal Sex (Male, Female or Unknown)]])),ISNUMBER(Table1[[#This Row],[Birthweight (grams)]]),ISNUMBER(Table1[[#This Row],[Gestation (days)]])),TRUE,FALSE)</f>
        <v>0</v>
      </c>
      <c r="E8292" s="2" t="str">
        <f>IF(Table1[[#This Row],[Is Data Valid]]=TRUE,IF(Table1[[#This Row],[Fetal Sex (Male, Female or Unknown)]]="Male",Backend!$C$6,IF(Table1[[#This Row],[Fetal Sex (Male, Female or Unknown)]]="Female",Backend!$C$7,IF(Table1[[#This Row],[Fetal Sex (Male, Female or Unknown)]]="Unknown",Backend!$C$8,"Error"))),"")</f>
        <v/>
      </c>
      <c r="F8292" s="8" t="str">
        <f>IF(Table1[[#This Row],[Is Data Valid]]=TRUE,EXP(0.578+0.332*((Table1[[#This Row],[Gestation (days)]]+0.5)/7)-0.00354*((Table1[[#This Row],[Gestation (days)]]+0.5)/7)^2)*Table1[[#This Row],[BW40_3705]],"")</f>
        <v/>
      </c>
      <c r="G8292" s="2" t="str">
        <f>IF(Table1[[#This Row],[Is Data Valid]]=TRUE,((Table1[[#This Row],[Birthweight (grams)]]/Table1[[#This Row],[BW_GA]])-1)/(Backend!$B$4/100*Table1[[#This Row],[BW40_3705]]),"")</f>
        <v/>
      </c>
      <c r="H8292" s="7" t="str">
        <f>IF(Table1[[#This Row],[Is Data Valid]]=TRUE,((Table1[[#This Row],[Birthweight (grams)]]*0.9/Table1[[#This Row],[BW_GA]])-1)/(Backend!$B$4/100*Table1[[#This Row],[BW40_3705]]),"")</f>
        <v/>
      </c>
      <c r="I8292" s="7" t="str">
        <f>IF(Table1[[#This Row],[Is Data Valid]]=TRUE,((Table1[[#This Row],[Birthweight (grams)]]*1.1/Table1[[#This Row],[BW_GA]])-1)/(Backend!$B$4/100*Table1[[#This Row],[BW40_3705]]),"")</f>
        <v/>
      </c>
      <c r="J8292" s="7" t="str">
        <f>IF(Table1[[#This Row],[Is Data Valid]]=TRUE,_xlfn.NORM.S.DIST(Table1[[#This Row],[Birthweight Z-Score]],TRUE)*100,"")</f>
        <v/>
      </c>
      <c r="K8292" s="7" t="str">
        <f>IF(Table1[[#This Row],[Is Data Valid]]=TRUE,_xlfn.NORM.S.DIST(Table1[[#This Row],[Birthweight Z-Score (BW-10%)]],TRUE)*100,"")</f>
        <v/>
      </c>
      <c r="L8292" s="7" t="str">
        <f>IF(Table1[[#This Row],[Is Data Valid]]=TRUE,_xlfn.NORM.S.DIST(Table1[[#This Row],[Birthweight Z-Score (BW+10%)]],TRUE)*100,"")</f>
        <v/>
      </c>
    </row>
    <row r="8293" spans="1:12" x14ac:dyDescent="0.35">
      <c r="A8293" s="3"/>
      <c r="B8293" s="2"/>
      <c r="C8293" s="2"/>
      <c r="D8293" s="2" t="b">
        <f>IF(AND(NOT(ISBLANK(Table1[[#This Row],[Fetal Sex (Male, Female or Unknown)]])),ISNUMBER(Table1[[#This Row],[Birthweight (grams)]]),ISNUMBER(Table1[[#This Row],[Gestation (days)]])),TRUE,FALSE)</f>
        <v>0</v>
      </c>
      <c r="E8293" s="2" t="str">
        <f>IF(Table1[[#This Row],[Is Data Valid]]=TRUE,IF(Table1[[#This Row],[Fetal Sex (Male, Female or Unknown)]]="Male",Backend!$C$6,IF(Table1[[#This Row],[Fetal Sex (Male, Female or Unknown)]]="Female",Backend!$C$7,IF(Table1[[#This Row],[Fetal Sex (Male, Female or Unknown)]]="Unknown",Backend!$C$8,"Error"))),"")</f>
        <v/>
      </c>
      <c r="F8293" s="8" t="str">
        <f>IF(Table1[[#This Row],[Is Data Valid]]=TRUE,EXP(0.578+0.332*((Table1[[#This Row],[Gestation (days)]]+0.5)/7)-0.00354*((Table1[[#This Row],[Gestation (days)]]+0.5)/7)^2)*Table1[[#This Row],[BW40_3705]],"")</f>
        <v/>
      </c>
      <c r="G8293" s="2" t="str">
        <f>IF(Table1[[#This Row],[Is Data Valid]]=TRUE,((Table1[[#This Row],[Birthweight (grams)]]/Table1[[#This Row],[BW_GA]])-1)/(Backend!$B$4/100*Table1[[#This Row],[BW40_3705]]),"")</f>
        <v/>
      </c>
      <c r="H8293" s="7" t="str">
        <f>IF(Table1[[#This Row],[Is Data Valid]]=TRUE,((Table1[[#This Row],[Birthweight (grams)]]*0.9/Table1[[#This Row],[BW_GA]])-1)/(Backend!$B$4/100*Table1[[#This Row],[BW40_3705]]),"")</f>
        <v/>
      </c>
      <c r="I8293" s="7" t="str">
        <f>IF(Table1[[#This Row],[Is Data Valid]]=TRUE,((Table1[[#This Row],[Birthweight (grams)]]*1.1/Table1[[#This Row],[BW_GA]])-1)/(Backend!$B$4/100*Table1[[#This Row],[BW40_3705]]),"")</f>
        <v/>
      </c>
      <c r="J8293" s="7" t="str">
        <f>IF(Table1[[#This Row],[Is Data Valid]]=TRUE,_xlfn.NORM.S.DIST(Table1[[#This Row],[Birthweight Z-Score]],TRUE)*100,"")</f>
        <v/>
      </c>
      <c r="K8293" s="7" t="str">
        <f>IF(Table1[[#This Row],[Is Data Valid]]=TRUE,_xlfn.NORM.S.DIST(Table1[[#This Row],[Birthweight Z-Score (BW-10%)]],TRUE)*100,"")</f>
        <v/>
      </c>
      <c r="L8293" s="7" t="str">
        <f>IF(Table1[[#This Row],[Is Data Valid]]=TRUE,_xlfn.NORM.S.DIST(Table1[[#This Row],[Birthweight Z-Score (BW+10%)]],TRUE)*100,"")</f>
        <v/>
      </c>
    </row>
    <row r="8294" spans="1:12" x14ac:dyDescent="0.35">
      <c r="A8294" s="3"/>
      <c r="B8294" s="2"/>
      <c r="C8294" s="2"/>
      <c r="D8294" s="2" t="b">
        <f>IF(AND(NOT(ISBLANK(Table1[[#This Row],[Fetal Sex (Male, Female or Unknown)]])),ISNUMBER(Table1[[#This Row],[Birthweight (grams)]]),ISNUMBER(Table1[[#This Row],[Gestation (days)]])),TRUE,FALSE)</f>
        <v>0</v>
      </c>
      <c r="E8294" s="2" t="str">
        <f>IF(Table1[[#This Row],[Is Data Valid]]=TRUE,IF(Table1[[#This Row],[Fetal Sex (Male, Female or Unknown)]]="Male",Backend!$C$6,IF(Table1[[#This Row],[Fetal Sex (Male, Female or Unknown)]]="Female",Backend!$C$7,IF(Table1[[#This Row],[Fetal Sex (Male, Female or Unknown)]]="Unknown",Backend!$C$8,"Error"))),"")</f>
        <v/>
      </c>
      <c r="F8294" s="8" t="str">
        <f>IF(Table1[[#This Row],[Is Data Valid]]=TRUE,EXP(0.578+0.332*((Table1[[#This Row],[Gestation (days)]]+0.5)/7)-0.00354*((Table1[[#This Row],[Gestation (days)]]+0.5)/7)^2)*Table1[[#This Row],[BW40_3705]],"")</f>
        <v/>
      </c>
      <c r="G8294" s="2" t="str">
        <f>IF(Table1[[#This Row],[Is Data Valid]]=TRUE,((Table1[[#This Row],[Birthweight (grams)]]/Table1[[#This Row],[BW_GA]])-1)/(Backend!$B$4/100*Table1[[#This Row],[BW40_3705]]),"")</f>
        <v/>
      </c>
      <c r="H8294" s="7" t="str">
        <f>IF(Table1[[#This Row],[Is Data Valid]]=TRUE,((Table1[[#This Row],[Birthweight (grams)]]*0.9/Table1[[#This Row],[BW_GA]])-1)/(Backend!$B$4/100*Table1[[#This Row],[BW40_3705]]),"")</f>
        <v/>
      </c>
      <c r="I8294" s="7" t="str">
        <f>IF(Table1[[#This Row],[Is Data Valid]]=TRUE,((Table1[[#This Row],[Birthweight (grams)]]*1.1/Table1[[#This Row],[BW_GA]])-1)/(Backend!$B$4/100*Table1[[#This Row],[BW40_3705]]),"")</f>
        <v/>
      </c>
      <c r="J8294" s="7" t="str">
        <f>IF(Table1[[#This Row],[Is Data Valid]]=TRUE,_xlfn.NORM.S.DIST(Table1[[#This Row],[Birthweight Z-Score]],TRUE)*100,"")</f>
        <v/>
      </c>
      <c r="K8294" s="7" t="str">
        <f>IF(Table1[[#This Row],[Is Data Valid]]=TRUE,_xlfn.NORM.S.DIST(Table1[[#This Row],[Birthweight Z-Score (BW-10%)]],TRUE)*100,"")</f>
        <v/>
      </c>
      <c r="L8294" s="7" t="str">
        <f>IF(Table1[[#This Row],[Is Data Valid]]=TRUE,_xlfn.NORM.S.DIST(Table1[[#This Row],[Birthweight Z-Score (BW+10%)]],TRUE)*100,"")</f>
        <v/>
      </c>
    </row>
    <row r="8295" spans="1:12" x14ac:dyDescent="0.35">
      <c r="A8295" s="3"/>
      <c r="B8295" s="2"/>
      <c r="C8295" s="2"/>
      <c r="D8295" s="2" t="b">
        <f>IF(AND(NOT(ISBLANK(Table1[[#This Row],[Fetal Sex (Male, Female or Unknown)]])),ISNUMBER(Table1[[#This Row],[Birthweight (grams)]]),ISNUMBER(Table1[[#This Row],[Gestation (days)]])),TRUE,FALSE)</f>
        <v>0</v>
      </c>
      <c r="E8295" s="2" t="str">
        <f>IF(Table1[[#This Row],[Is Data Valid]]=TRUE,IF(Table1[[#This Row],[Fetal Sex (Male, Female or Unknown)]]="Male",Backend!$C$6,IF(Table1[[#This Row],[Fetal Sex (Male, Female or Unknown)]]="Female",Backend!$C$7,IF(Table1[[#This Row],[Fetal Sex (Male, Female or Unknown)]]="Unknown",Backend!$C$8,"Error"))),"")</f>
        <v/>
      </c>
      <c r="F8295" s="8" t="str">
        <f>IF(Table1[[#This Row],[Is Data Valid]]=TRUE,EXP(0.578+0.332*((Table1[[#This Row],[Gestation (days)]]+0.5)/7)-0.00354*((Table1[[#This Row],[Gestation (days)]]+0.5)/7)^2)*Table1[[#This Row],[BW40_3705]],"")</f>
        <v/>
      </c>
      <c r="G8295" s="2" t="str">
        <f>IF(Table1[[#This Row],[Is Data Valid]]=TRUE,((Table1[[#This Row],[Birthweight (grams)]]/Table1[[#This Row],[BW_GA]])-1)/(Backend!$B$4/100*Table1[[#This Row],[BW40_3705]]),"")</f>
        <v/>
      </c>
      <c r="H8295" s="7" t="str">
        <f>IF(Table1[[#This Row],[Is Data Valid]]=TRUE,((Table1[[#This Row],[Birthweight (grams)]]*0.9/Table1[[#This Row],[BW_GA]])-1)/(Backend!$B$4/100*Table1[[#This Row],[BW40_3705]]),"")</f>
        <v/>
      </c>
      <c r="I8295" s="7" t="str">
        <f>IF(Table1[[#This Row],[Is Data Valid]]=TRUE,((Table1[[#This Row],[Birthweight (grams)]]*1.1/Table1[[#This Row],[BW_GA]])-1)/(Backend!$B$4/100*Table1[[#This Row],[BW40_3705]]),"")</f>
        <v/>
      </c>
      <c r="J8295" s="7" t="str">
        <f>IF(Table1[[#This Row],[Is Data Valid]]=TRUE,_xlfn.NORM.S.DIST(Table1[[#This Row],[Birthweight Z-Score]],TRUE)*100,"")</f>
        <v/>
      </c>
      <c r="K8295" s="7" t="str">
        <f>IF(Table1[[#This Row],[Is Data Valid]]=TRUE,_xlfn.NORM.S.DIST(Table1[[#This Row],[Birthweight Z-Score (BW-10%)]],TRUE)*100,"")</f>
        <v/>
      </c>
      <c r="L8295" s="7" t="str">
        <f>IF(Table1[[#This Row],[Is Data Valid]]=TRUE,_xlfn.NORM.S.DIST(Table1[[#This Row],[Birthweight Z-Score (BW+10%)]],TRUE)*100,"")</f>
        <v/>
      </c>
    </row>
    <row r="8296" spans="1:12" x14ac:dyDescent="0.35">
      <c r="A8296" s="3"/>
      <c r="B8296" s="2"/>
      <c r="C8296" s="2"/>
      <c r="D8296" s="2" t="b">
        <f>IF(AND(NOT(ISBLANK(Table1[[#This Row],[Fetal Sex (Male, Female or Unknown)]])),ISNUMBER(Table1[[#This Row],[Birthweight (grams)]]),ISNUMBER(Table1[[#This Row],[Gestation (days)]])),TRUE,FALSE)</f>
        <v>0</v>
      </c>
      <c r="E8296" s="2" t="str">
        <f>IF(Table1[[#This Row],[Is Data Valid]]=TRUE,IF(Table1[[#This Row],[Fetal Sex (Male, Female or Unknown)]]="Male",Backend!$C$6,IF(Table1[[#This Row],[Fetal Sex (Male, Female or Unknown)]]="Female",Backend!$C$7,IF(Table1[[#This Row],[Fetal Sex (Male, Female or Unknown)]]="Unknown",Backend!$C$8,"Error"))),"")</f>
        <v/>
      </c>
      <c r="F8296" s="8" t="str">
        <f>IF(Table1[[#This Row],[Is Data Valid]]=TRUE,EXP(0.578+0.332*((Table1[[#This Row],[Gestation (days)]]+0.5)/7)-0.00354*((Table1[[#This Row],[Gestation (days)]]+0.5)/7)^2)*Table1[[#This Row],[BW40_3705]],"")</f>
        <v/>
      </c>
      <c r="G8296" s="2" t="str">
        <f>IF(Table1[[#This Row],[Is Data Valid]]=TRUE,((Table1[[#This Row],[Birthweight (grams)]]/Table1[[#This Row],[BW_GA]])-1)/(Backend!$B$4/100*Table1[[#This Row],[BW40_3705]]),"")</f>
        <v/>
      </c>
      <c r="H8296" s="7" t="str">
        <f>IF(Table1[[#This Row],[Is Data Valid]]=TRUE,((Table1[[#This Row],[Birthweight (grams)]]*0.9/Table1[[#This Row],[BW_GA]])-1)/(Backend!$B$4/100*Table1[[#This Row],[BW40_3705]]),"")</f>
        <v/>
      </c>
      <c r="I8296" s="7" t="str">
        <f>IF(Table1[[#This Row],[Is Data Valid]]=TRUE,((Table1[[#This Row],[Birthweight (grams)]]*1.1/Table1[[#This Row],[BW_GA]])-1)/(Backend!$B$4/100*Table1[[#This Row],[BW40_3705]]),"")</f>
        <v/>
      </c>
      <c r="J8296" s="7" t="str">
        <f>IF(Table1[[#This Row],[Is Data Valid]]=TRUE,_xlfn.NORM.S.DIST(Table1[[#This Row],[Birthweight Z-Score]],TRUE)*100,"")</f>
        <v/>
      </c>
      <c r="K8296" s="7" t="str">
        <f>IF(Table1[[#This Row],[Is Data Valid]]=TRUE,_xlfn.NORM.S.DIST(Table1[[#This Row],[Birthweight Z-Score (BW-10%)]],TRUE)*100,"")</f>
        <v/>
      </c>
      <c r="L8296" s="7" t="str">
        <f>IF(Table1[[#This Row],[Is Data Valid]]=TRUE,_xlfn.NORM.S.DIST(Table1[[#This Row],[Birthweight Z-Score (BW+10%)]],TRUE)*100,"")</f>
        <v/>
      </c>
    </row>
    <row r="8297" spans="1:12" x14ac:dyDescent="0.35">
      <c r="A8297" s="3"/>
      <c r="B8297" s="2"/>
      <c r="C8297" s="2"/>
      <c r="D8297" s="2" t="b">
        <f>IF(AND(NOT(ISBLANK(Table1[[#This Row],[Fetal Sex (Male, Female or Unknown)]])),ISNUMBER(Table1[[#This Row],[Birthweight (grams)]]),ISNUMBER(Table1[[#This Row],[Gestation (days)]])),TRUE,FALSE)</f>
        <v>0</v>
      </c>
      <c r="E8297" s="2" t="str">
        <f>IF(Table1[[#This Row],[Is Data Valid]]=TRUE,IF(Table1[[#This Row],[Fetal Sex (Male, Female or Unknown)]]="Male",Backend!$C$6,IF(Table1[[#This Row],[Fetal Sex (Male, Female or Unknown)]]="Female",Backend!$C$7,IF(Table1[[#This Row],[Fetal Sex (Male, Female or Unknown)]]="Unknown",Backend!$C$8,"Error"))),"")</f>
        <v/>
      </c>
      <c r="F8297" s="8" t="str">
        <f>IF(Table1[[#This Row],[Is Data Valid]]=TRUE,EXP(0.578+0.332*((Table1[[#This Row],[Gestation (days)]]+0.5)/7)-0.00354*((Table1[[#This Row],[Gestation (days)]]+0.5)/7)^2)*Table1[[#This Row],[BW40_3705]],"")</f>
        <v/>
      </c>
      <c r="G8297" s="2" t="str">
        <f>IF(Table1[[#This Row],[Is Data Valid]]=TRUE,((Table1[[#This Row],[Birthweight (grams)]]/Table1[[#This Row],[BW_GA]])-1)/(Backend!$B$4/100*Table1[[#This Row],[BW40_3705]]),"")</f>
        <v/>
      </c>
      <c r="H8297" s="7" t="str">
        <f>IF(Table1[[#This Row],[Is Data Valid]]=TRUE,((Table1[[#This Row],[Birthweight (grams)]]*0.9/Table1[[#This Row],[BW_GA]])-1)/(Backend!$B$4/100*Table1[[#This Row],[BW40_3705]]),"")</f>
        <v/>
      </c>
      <c r="I8297" s="7" t="str">
        <f>IF(Table1[[#This Row],[Is Data Valid]]=TRUE,((Table1[[#This Row],[Birthweight (grams)]]*1.1/Table1[[#This Row],[BW_GA]])-1)/(Backend!$B$4/100*Table1[[#This Row],[BW40_3705]]),"")</f>
        <v/>
      </c>
      <c r="J8297" s="7" t="str">
        <f>IF(Table1[[#This Row],[Is Data Valid]]=TRUE,_xlfn.NORM.S.DIST(Table1[[#This Row],[Birthweight Z-Score]],TRUE)*100,"")</f>
        <v/>
      </c>
      <c r="K8297" s="7" t="str">
        <f>IF(Table1[[#This Row],[Is Data Valid]]=TRUE,_xlfn.NORM.S.DIST(Table1[[#This Row],[Birthweight Z-Score (BW-10%)]],TRUE)*100,"")</f>
        <v/>
      </c>
      <c r="L8297" s="7" t="str">
        <f>IF(Table1[[#This Row],[Is Data Valid]]=TRUE,_xlfn.NORM.S.DIST(Table1[[#This Row],[Birthweight Z-Score (BW+10%)]],TRUE)*100,"")</f>
        <v/>
      </c>
    </row>
    <row r="8298" spans="1:12" x14ac:dyDescent="0.35">
      <c r="A8298" s="3"/>
      <c r="B8298" s="2"/>
      <c r="C8298" s="2"/>
      <c r="D8298" s="2" t="b">
        <f>IF(AND(NOT(ISBLANK(Table1[[#This Row],[Fetal Sex (Male, Female or Unknown)]])),ISNUMBER(Table1[[#This Row],[Birthweight (grams)]]),ISNUMBER(Table1[[#This Row],[Gestation (days)]])),TRUE,FALSE)</f>
        <v>0</v>
      </c>
      <c r="E8298" s="2" t="str">
        <f>IF(Table1[[#This Row],[Is Data Valid]]=TRUE,IF(Table1[[#This Row],[Fetal Sex (Male, Female or Unknown)]]="Male",Backend!$C$6,IF(Table1[[#This Row],[Fetal Sex (Male, Female or Unknown)]]="Female",Backend!$C$7,IF(Table1[[#This Row],[Fetal Sex (Male, Female or Unknown)]]="Unknown",Backend!$C$8,"Error"))),"")</f>
        <v/>
      </c>
      <c r="F8298" s="8" t="str">
        <f>IF(Table1[[#This Row],[Is Data Valid]]=TRUE,EXP(0.578+0.332*((Table1[[#This Row],[Gestation (days)]]+0.5)/7)-0.00354*((Table1[[#This Row],[Gestation (days)]]+0.5)/7)^2)*Table1[[#This Row],[BW40_3705]],"")</f>
        <v/>
      </c>
      <c r="G8298" s="2" t="str">
        <f>IF(Table1[[#This Row],[Is Data Valid]]=TRUE,((Table1[[#This Row],[Birthweight (grams)]]/Table1[[#This Row],[BW_GA]])-1)/(Backend!$B$4/100*Table1[[#This Row],[BW40_3705]]),"")</f>
        <v/>
      </c>
      <c r="H8298" s="7" t="str">
        <f>IF(Table1[[#This Row],[Is Data Valid]]=TRUE,((Table1[[#This Row],[Birthweight (grams)]]*0.9/Table1[[#This Row],[BW_GA]])-1)/(Backend!$B$4/100*Table1[[#This Row],[BW40_3705]]),"")</f>
        <v/>
      </c>
      <c r="I8298" s="7" t="str">
        <f>IF(Table1[[#This Row],[Is Data Valid]]=TRUE,((Table1[[#This Row],[Birthweight (grams)]]*1.1/Table1[[#This Row],[BW_GA]])-1)/(Backend!$B$4/100*Table1[[#This Row],[BW40_3705]]),"")</f>
        <v/>
      </c>
      <c r="J8298" s="7" t="str">
        <f>IF(Table1[[#This Row],[Is Data Valid]]=TRUE,_xlfn.NORM.S.DIST(Table1[[#This Row],[Birthweight Z-Score]],TRUE)*100,"")</f>
        <v/>
      </c>
      <c r="K8298" s="7" t="str">
        <f>IF(Table1[[#This Row],[Is Data Valid]]=TRUE,_xlfn.NORM.S.DIST(Table1[[#This Row],[Birthweight Z-Score (BW-10%)]],TRUE)*100,"")</f>
        <v/>
      </c>
      <c r="L8298" s="7" t="str">
        <f>IF(Table1[[#This Row],[Is Data Valid]]=TRUE,_xlfn.NORM.S.DIST(Table1[[#This Row],[Birthweight Z-Score (BW+10%)]],TRUE)*100,"")</f>
        <v/>
      </c>
    </row>
    <row r="8299" spans="1:12" x14ac:dyDescent="0.35">
      <c r="A8299" s="3"/>
      <c r="B8299" s="2"/>
      <c r="C8299" s="2"/>
      <c r="D8299" s="2" t="b">
        <f>IF(AND(NOT(ISBLANK(Table1[[#This Row],[Fetal Sex (Male, Female or Unknown)]])),ISNUMBER(Table1[[#This Row],[Birthweight (grams)]]),ISNUMBER(Table1[[#This Row],[Gestation (days)]])),TRUE,FALSE)</f>
        <v>0</v>
      </c>
      <c r="E8299" s="2" t="str">
        <f>IF(Table1[[#This Row],[Is Data Valid]]=TRUE,IF(Table1[[#This Row],[Fetal Sex (Male, Female or Unknown)]]="Male",Backend!$C$6,IF(Table1[[#This Row],[Fetal Sex (Male, Female or Unknown)]]="Female",Backend!$C$7,IF(Table1[[#This Row],[Fetal Sex (Male, Female or Unknown)]]="Unknown",Backend!$C$8,"Error"))),"")</f>
        <v/>
      </c>
      <c r="F8299" s="8" t="str">
        <f>IF(Table1[[#This Row],[Is Data Valid]]=TRUE,EXP(0.578+0.332*((Table1[[#This Row],[Gestation (days)]]+0.5)/7)-0.00354*((Table1[[#This Row],[Gestation (days)]]+0.5)/7)^2)*Table1[[#This Row],[BW40_3705]],"")</f>
        <v/>
      </c>
      <c r="G8299" s="2" t="str">
        <f>IF(Table1[[#This Row],[Is Data Valid]]=TRUE,((Table1[[#This Row],[Birthweight (grams)]]/Table1[[#This Row],[BW_GA]])-1)/(Backend!$B$4/100*Table1[[#This Row],[BW40_3705]]),"")</f>
        <v/>
      </c>
      <c r="H8299" s="7" t="str">
        <f>IF(Table1[[#This Row],[Is Data Valid]]=TRUE,((Table1[[#This Row],[Birthweight (grams)]]*0.9/Table1[[#This Row],[BW_GA]])-1)/(Backend!$B$4/100*Table1[[#This Row],[BW40_3705]]),"")</f>
        <v/>
      </c>
      <c r="I8299" s="7" t="str">
        <f>IF(Table1[[#This Row],[Is Data Valid]]=TRUE,((Table1[[#This Row],[Birthweight (grams)]]*1.1/Table1[[#This Row],[BW_GA]])-1)/(Backend!$B$4/100*Table1[[#This Row],[BW40_3705]]),"")</f>
        <v/>
      </c>
      <c r="J8299" s="7" t="str">
        <f>IF(Table1[[#This Row],[Is Data Valid]]=TRUE,_xlfn.NORM.S.DIST(Table1[[#This Row],[Birthweight Z-Score]],TRUE)*100,"")</f>
        <v/>
      </c>
      <c r="K8299" s="7" t="str">
        <f>IF(Table1[[#This Row],[Is Data Valid]]=TRUE,_xlfn.NORM.S.DIST(Table1[[#This Row],[Birthweight Z-Score (BW-10%)]],TRUE)*100,"")</f>
        <v/>
      </c>
      <c r="L8299" s="7" t="str">
        <f>IF(Table1[[#This Row],[Is Data Valid]]=TRUE,_xlfn.NORM.S.DIST(Table1[[#This Row],[Birthweight Z-Score (BW+10%)]],TRUE)*100,"")</f>
        <v/>
      </c>
    </row>
    <row r="8300" spans="1:12" x14ac:dyDescent="0.35">
      <c r="A8300" s="3"/>
      <c r="B8300" s="2"/>
      <c r="C8300" s="2"/>
      <c r="D8300" s="2" t="b">
        <f>IF(AND(NOT(ISBLANK(Table1[[#This Row],[Fetal Sex (Male, Female or Unknown)]])),ISNUMBER(Table1[[#This Row],[Birthweight (grams)]]),ISNUMBER(Table1[[#This Row],[Gestation (days)]])),TRUE,FALSE)</f>
        <v>0</v>
      </c>
      <c r="E8300" s="2" t="str">
        <f>IF(Table1[[#This Row],[Is Data Valid]]=TRUE,IF(Table1[[#This Row],[Fetal Sex (Male, Female or Unknown)]]="Male",Backend!$C$6,IF(Table1[[#This Row],[Fetal Sex (Male, Female or Unknown)]]="Female",Backend!$C$7,IF(Table1[[#This Row],[Fetal Sex (Male, Female or Unknown)]]="Unknown",Backend!$C$8,"Error"))),"")</f>
        <v/>
      </c>
      <c r="F8300" s="8" t="str">
        <f>IF(Table1[[#This Row],[Is Data Valid]]=TRUE,EXP(0.578+0.332*((Table1[[#This Row],[Gestation (days)]]+0.5)/7)-0.00354*((Table1[[#This Row],[Gestation (days)]]+0.5)/7)^2)*Table1[[#This Row],[BW40_3705]],"")</f>
        <v/>
      </c>
      <c r="G8300" s="2" t="str">
        <f>IF(Table1[[#This Row],[Is Data Valid]]=TRUE,((Table1[[#This Row],[Birthweight (grams)]]/Table1[[#This Row],[BW_GA]])-1)/(Backend!$B$4/100*Table1[[#This Row],[BW40_3705]]),"")</f>
        <v/>
      </c>
      <c r="H8300" s="7" t="str">
        <f>IF(Table1[[#This Row],[Is Data Valid]]=TRUE,((Table1[[#This Row],[Birthweight (grams)]]*0.9/Table1[[#This Row],[BW_GA]])-1)/(Backend!$B$4/100*Table1[[#This Row],[BW40_3705]]),"")</f>
        <v/>
      </c>
      <c r="I8300" s="7" t="str">
        <f>IF(Table1[[#This Row],[Is Data Valid]]=TRUE,((Table1[[#This Row],[Birthweight (grams)]]*1.1/Table1[[#This Row],[BW_GA]])-1)/(Backend!$B$4/100*Table1[[#This Row],[BW40_3705]]),"")</f>
        <v/>
      </c>
      <c r="J8300" s="7" t="str">
        <f>IF(Table1[[#This Row],[Is Data Valid]]=TRUE,_xlfn.NORM.S.DIST(Table1[[#This Row],[Birthweight Z-Score]],TRUE)*100,"")</f>
        <v/>
      </c>
      <c r="K8300" s="7" t="str">
        <f>IF(Table1[[#This Row],[Is Data Valid]]=TRUE,_xlfn.NORM.S.DIST(Table1[[#This Row],[Birthweight Z-Score (BW-10%)]],TRUE)*100,"")</f>
        <v/>
      </c>
      <c r="L8300" s="7" t="str">
        <f>IF(Table1[[#This Row],[Is Data Valid]]=TRUE,_xlfn.NORM.S.DIST(Table1[[#This Row],[Birthweight Z-Score (BW+10%)]],TRUE)*100,"")</f>
        <v/>
      </c>
    </row>
    <row r="8301" spans="1:12" x14ac:dyDescent="0.35">
      <c r="A8301" s="3"/>
      <c r="B8301" s="2"/>
      <c r="C8301" s="2"/>
      <c r="D8301" s="2" t="b">
        <f>IF(AND(NOT(ISBLANK(Table1[[#This Row],[Fetal Sex (Male, Female or Unknown)]])),ISNUMBER(Table1[[#This Row],[Birthweight (grams)]]),ISNUMBER(Table1[[#This Row],[Gestation (days)]])),TRUE,FALSE)</f>
        <v>0</v>
      </c>
      <c r="E8301" s="2" t="str">
        <f>IF(Table1[[#This Row],[Is Data Valid]]=TRUE,IF(Table1[[#This Row],[Fetal Sex (Male, Female or Unknown)]]="Male",Backend!$C$6,IF(Table1[[#This Row],[Fetal Sex (Male, Female or Unknown)]]="Female",Backend!$C$7,IF(Table1[[#This Row],[Fetal Sex (Male, Female or Unknown)]]="Unknown",Backend!$C$8,"Error"))),"")</f>
        <v/>
      </c>
      <c r="F8301" s="8" t="str">
        <f>IF(Table1[[#This Row],[Is Data Valid]]=TRUE,EXP(0.578+0.332*((Table1[[#This Row],[Gestation (days)]]+0.5)/7)-0.00354*((Table1[[#This Row],[Gestation (days)]]+0.5)/7)^2)*Table1[[#This Row],[BW40_3705]],"")</f>
        <v/>
      </c>
      <c r="G8301" s="2" t="str">
        <f>IF(Table1[[#This Row],[Is Data Valid]]=TRUE,((Table1[[#This Row],[Birthweight (grams)]]/Table1[[#This Row],[BW_GA]])-1)/(Backend!$B$4/100*Table1[[#This Row],[BW40_3705]]),"")</f>
        <v/>
      </c>
      <c r="H8301" s="7" t="str">
        <f>IF(Table1[[#This Row],[Is Data Valid]]=TRUE,((Table1[[#This Row],[Birthweight (grams)]]*0.9/Table1[[#This Row],[BW_GA]])-1)/(Backend!$B$4/100*Table1[[#This Row],[BW40_3705]]),"")</f>
        <v/>
      </c>
      <c r="I8301" s="7" t="str">
        <f>IF(Table1[[#This Row],[Is Data Valid]]=TRUE,((Table1[[#This Row],[Birthweight (grams)]]*1.1/Table1[[#This Row],[BW_GA]])-1)/(Backend!$B$4/100*Table1[[#This Row],[BW40_3705]]),"")</f>
        <v/>
      </c>
      <c r="J8301" s="7" t="str">
        <f>IF(Table1[[#This Row],[Is Data Valid]]=TRUE,_xlfn.NORM.S.DIST(Table1[[#This Row],[Birthweight Z-Score]],TRUE)*100,"")</f>
        <v/>
      </c>
      <c r="K8301" s="7" t="str">
        <f>IF(Table1[[#This Row],[Is Data Valid]]=TRUE,_xlfn.NORM.S.DIST(Table1[[#This Row],[Birthweight Z-Score (BW-10%)]],TRUE)*100,"")</f>
        <v/>
      </c>
      <c r="L8301" s="7" t="str">
        <f>IF(Table1[[#This Row],[Is Data Valid]]=TRUE,_xlfn.NORM.S.DIST(Table1[[#This Row],[Birthweight Z-Score (BW+10%)]],TRUE)*100,"")</f>
        <v/>
      </c>
    </row>
    <row r="8302" spans="1:12" x14ac:dyDescent="0.35">
      <c r="A8302" s="3"/>
      <c r="B8302" s="2"/>
      <c r="C8302" s="2"/>
      <c r="D8302" s="2" t="b">
        <f>IF(AND(NOT(ISBLANK(Table1[[#This Row],[Fetal Sex (Male, Female or Unknown)]])),ISNUMBER(Table1[[#This Row],[Birthweight (grams)]]),ISNUMBER(Table1[[#This Row],[Gestation (days)]])),TRUE,FALSE)</f>
        <v>0</v>
      </c>
      <c r="E8302" s="2" t="str">
        <f>IF(Table1[[#This Row],[Is Data Valid]]=TRUE,IF(Table1[[#This Row],[Fetal Sex (Male, Female or Unknown)]]="Male",Backend!$C$6,IF(Table1[[#This Row],[Fetal Sex (Male, Female or Unknown)]]="Female",Backend!$C$7,IF(Table1[[#This Row],[Fetal Sex (Male, Female or Unknown)]]="Unknown",Backend!$C$8,"Error"))),"")</f>
        <v/>
      </c>
      <c r="F8302" s="8" t="str">
        <f>IF(Table1[[#This Row],[Is Data Valid]]=TRUE,EXP(0.578+0.332*((Table1[[#This Row],[Gestation (days)]]+0.5)/7)-0.00354*((Table1[[#This Row],[Gestation (days)]]+0.5)/7)^2)*Table1[[#This Row],[BW40_3705]],"")</f>
        <v/>
      </c>
      <c r="G8302" s="2" t="str">
        <f>IF(Table1[[#This Row],[Is Data Valid]]=TRUE,((Table1[[#This Row],[Birthweight (grams)]]/Table1[[#This Row],[BW_GA]])-1)/(Backend!$B$4/100*Table1[[#This Row],[BW40_3705]]),"")</f>
        <v/>
      </c>
      <c r="H8302" s="7" t="str">
        <f>IF(Table1[[#This Row],[Is Data Valid]]=TRUE,((Table1[[#This Row],[Birthweight (grams)]]*0.9/Table1[[#This Row],[BW_GA]])-1)/(Backend!$B$4/100*Table1[[#This Row],[BW40_3705]]),"")</f>
        <v/>
      </c>
      <c r="I8302" s="7" t="str">
        <f>IF(Table1[[#This Row],[Is Data Valid]]=TRUE,((Table1[[#This Row],[Birthweight (grams)]]*1.1/Table1[[#This Row],[BW_GA]])-1)/(Backend!$B$4/100*Table1[[#This Row],[BW40_3705]]),"")</f>
        <v/>
      </c>
      <c r="J8302" s="7" t="str">
        <f>IF(Table1[[#This Row],[Is Data Valid]]=TRUE,_xlfn.NORM.S.DIST(Table1[[#This Row],[Birthweight Z-Score]],TRUE)*100,"")</f>
        <v/>
      </c>
      <c r="K8302" s="7" t="str">
        <f>IF(Table1[[#This Row],[Is Data Valid]]=TRUE,_xlfn.NORM.S.DIST(Table1[[#This Row],[Birthweight Z-Score (BW-10%)]],TRUE)*100,"")</f>
        <v/>
      </c>
      <c r="L8302" s="7" t="str">
        <f>IF(Table1[[#This Row],[Is Data Valid]]=TRUE,_xlfn.NORM.S.DIST(Table1[[#This Row],[Birthweight Z-Score (BW+10%)]],TRUE)*100,"")</f>
        <v/>
      </c>
    </row>
    <row r="8303" spans="1:12" x14ac:dyDescent="0.35">
      <c r="A8303" s="3"/>
      <c r="B8303" s="2"/>
      <c r="C8303" s="2"/>
      <c r="D8303" s="2" t="b">
        <f>IF(AND(NOT(ISBLANK(Table1[[#This Row],[Fetal Sex (Male, Female or Unknown)]])),ISNUMBER(Table1[[#This Row],[Birthweight (grams)]]),ISNUMBER(Table1[[#This Row],[Gestation (days)]])),TRUE,FALSE)</f>
        <v>0</v>
      </c>
      <c r="E8303" s="2" t="str">
        <f>IF(Table1[[#This Row],[Is Data Valid]]=TRUE,IF(Table1[[#This Row],[Fetal Sex (Male, Female or Unknown)]]="Male",Backend!$C$6,IF(Table1[[#This Row],[Fetal Sex (Male, Female or Unknown)]]="Female",Backend!$C$7,IF(Table1[[#This Row],[Fetal Sex (Male, Female or Unknown)]]="Unknown",Backend!$C$8,"Error"))),"")</f>
        <v/>
      </c>
      <c r="F8303" s="8" t="str">
        <f>IF(Table1[[#This Row],[Is Data Valid]]=TRUE,EXP(0.578+0.332*((Table1[[#This Row],[Gestation (days)]]+0.5)/7)-0.00354*((Table1[[#This Row],[Gestation (days)]]+0.5)/7)^2)*Table1[[#This Row],[BW40_3705]],"")</f>
        <v/>
      </c>
      <c r="G8303" s="2" t="str">
        <f>IF(Table1[[#This Row],[Is Data Valid]]=TRUE,((Table1[[#This Row],[Birthweight (grams)]]/Table1[[#This Row],[BW_GA]])-1)/(Backend!$B$4/100*Table1[[#This Row],[BW40_3705]]),"")</f>
        <v/>
      </c>
      <c r="H8303" s="7" t="str">
        <f>IF(Table1[[#This Row],[Is Data Valid]]=TRUE,((Table1[[#This Row],[Birthweight (grams)]]*0.9/Table1[[#This Row],[BW_GA]])-1)/(Backend!$B$4/100*Table1[[#This Row],[BW40_3705]]),"")</f>
        <v/>
      </c>
      <c r="I8303" s="7" t="str">
        <f>IF(Table1[[#This Row],[Is Data Valid]]=TRUE,((Table1[[#This Row],[Birthweight (grams)]]*1.1/Table1[[#This Row],[BW_GA]])-1)/(Backend!$B$4/100*Table1[[#This Row],[BW40_3705]]),"")</f>
        <v/>
      </c>
      <c r="J8303" s="7" t="str">
        <f>IF(Table1[[#This Row],[Is Data Valid]]=TRUE,_xlfn.NORM.S.DIST(Table1[[#This Row],[Birthweight Z-Score]],TRUE)*100,"")</f>
        <v/>
      </c>
      <c r="K8303" s="7" t="str">
        <f>IF(Table1[[#This Row],[Is Data Valid]]=TRUE,_xlfn.NORM.S.DIST(Table1[[#This Row],[Birthweight Z-Score (BW-10%)]],TRUE)*100,"")</f>
        <v/>
      </c>
      <c r="L8303" s="7" t="str">
        <f>IF(Table1[[#This Row],[Is Data Valid]]=TRUE,_xlfn.NORM.S.DIST(Table1[[#This Row],[Birthweight Z-Score (BW+10%)]],TRUE)*100,"")</f>
        <v/>
      </c>
    </row>
    <row r="8304" spans="1:12" x14ac:dyDescent="0.35">
      <c r="A8304" s="3"/>
      <c r="B8304" s="2"/>
      <c r="C8304" s="2"/>
      <c r="D8304" s="2" t="b">
        <f>IF(AND(NOT(ISBLANK(Table1[[#This Row],[Fetal Sex (Male, Female or Unknown)]])),ISNUMBER(Table1[[#This Row],[Birthweight (grams)]]),ISNUMBER(Table1[[#This Row],[Gestation (days)]])),TRUE,FALSE)</f>
        <v>0</v>
      </c>
      <c r="E8304" s="2" t="str">
        <f>IF(Table1[[#This Row],[Is Data Valid]]=TRUE,IF(Table1[[#This Row],[Fetal Sex (Male, Female or Unknown)]]="Male",Backend!$C$6,IF(Table1[[#This Row],[Fetal Sex (Male, Female or Unknown)]]="Female",Backend!$C$7,IF(Table1[[#This Row],[Fetal Sex (Male, Female or Unknown)]]="Unknown",Backend!$C$8,"Error"))),"")</f>
        <v/>
      </c>
      <c r="F8304" s="8" t="str">
        <f>IF(Table1[[#This Row],[Is Data Valid]]=TRUE,EXP(0.578+0.332*((Table1[[#This Row],[Gestation (days)]]+0.5)/7)-0.00354*((Table1[[#This Row],[Gestation (days)]]+0.5)/7)^2)*Table1[[#This Row],[BW40_3705]],"")</f>
        <v/>
      </c>
      <c r="G8304" s="2" t="str">
        <f>IF(Table1[[#This Row],[Is Data Valid]]=TRUE,((Table1[[#This Row],[Birthweight (grams)]]/Table1[[#This Row],[BW_GA]])-1)/(Backend!$B$4/100*Table1[[#This Row],[BW40_3705]]),"")</f>
        <v/>
      </c>
      <c r="H8304" s="7" t="str">
        <f>IF(Table1[[#This Row],[Is Data Valid]]=TRUE,((Table1[[#This Row],[Birthweight (grams)]]*0.9/Table1[[#This Row],[BW_GA]])-1)/(Backend!$B$4/100*Table1[[#This Row],[BW40_3705]]),"")</f>
        <v/>
      </c>
      <c r="I8304" s="7" t="str">
        <f>IF(Table1[[#This Row],[Is Data Valid]]=TRUE,((Table1[[#This Row],[Birthweight (grams)]]*1.1/Table1[[#This Row],[BW_GA]])-1)/(Backend!$B$4/100*Table1[[#This Row],[BW40_3705]]),"")</f>
        <v/>
      </c>
      <c r="J8304" s="7" t="str">
        <f>IF(Table1[[#This Row],[Is Data Valid]]=TRUE,_xlfn.NORM.S.DIST(Table1[[#This Row],[Birthweight Z-Score]],TRUE)*100,"")</f>
        <v/>
      </c>
      <c r="K8304" s="7" t="str">
        <f>IF(Table1[[#This Row],[Is Data Valid]]=TRUE,_xlfn.NORM.S.DIST(Table1[[#This Row],[Birthweight Z-Score (BW-10%)]],TRUE)*100,"")</f>
        <v/>
      </c>
      <c r="L8304" s="7" t="str">
        <f>IF(Table1[[#This Row],[Is Data Valid]]=TRUE,_xlfn.NORM.S.DIST(Table1[[#This Row],[Birthweight Z-Score (BW+10%)]],TRUE)*100,"")</f>
        <v/>
      </c>
    </row>
    <row r="8305" spans="1:12" x14ac:dyDescent="0.35">
      <c r="A8305" s="3"/>
      <c r="B8305" s="2"/>
      <c r="C8305" s="2"/>
      <c r="D8305" s="2" t="b">
        <f>IF(AND(NOT(ISBLANK(Table1[[#This Row],[Fetal Sex (Male, Female or Unknown)]])),ISNUMBER(Table1[[#This Row],[Birthweight (grams)]]),ISNUMBER(Table1[[#This Row],[Gestation (days)]])),TRUE,FALSE)</f>
        <v>0</v>
      </c>
      <c r="E8305" s="2" t="str">
        <f>IF(Table1[[#This Row],[Is Data Valid]]=TRUE,IF(Table1[[#This Row],[Fetal Sex (Male, Female or Unknown)]]="Male",Backend!$C$6,IF(Table1[[#This Row],[Fetal Sex (Male, Female or Unknown)]]="Female",Backend!$C$7,IF(Table1[[#This Row],[Fetal Sex (Male, Female or Unknown)]]="Unknown",Backend!$C$8,"Error"))),"")</f>
        <v/>
      </c>
      <c r="F8305" s="8" t="str">
        <f>IF(Table1[[#This Row],[Is Data Valid]]=TRUE,EXP(0.578+0.332*((Table1[[#This Row],[Gestation (days)]]+0.5)/7)-0.00354*((Table1[[#This Row],[Gestation (days)]]+0.5)/7)^2)*Table1[[#This Row],[BW40_3705]],"")</f>
        <v/>
      </c>
      <c r="G8305" s="2" t="str">
        <f>IF(Table1[[#This Row],[Is Data Valid]]=TRUE,((Table1[[#This Row],[Birthweight (grams)]]/Table1[[#This Row],[BW_GA]])-1)/(Backend!$B$4/100*Table1[[#This Row],[BW40_3705]]),"")</f>
        <v/>
      </c>
      <c r="H8305" s="7" t="str">
        <f>IF(Table1[[#This Row],[Is Data Valid]]=TRUE,((Table1[[#This Row],[Birthweight (grams)]]*0.9/Table1[[#This Row],[BW_GA]])-1)/(Backend!$B$4/100*Table1[[#This Row],[BW40_3705]]),"")</f>
        <v/>
      </c>
      <c r="I8305" s="7" t="str">
        <f>IF(Table1[[#This Row],[Is Data Valid]]=TRUE,((Table1[[#This Row],[Birthweight (grams)]]*1.1/Table1[[#This Row],[BW_GA]])-1)/(Backend!$B$4/100*Table1[[#This Row],[BW40_3705]]),"")</f>
        <v/>
      </c>
      <c r="J8305" s="7" t="str">
        <f>IF(Table1[[#This Row],[Is Data Valid]]=TRUE,_xlfn.NORM.S.DIST(Table1[[#This Row],[Birthweight Z-Score]],TRUE)*100,"")</f>
        <v/>
      </c>
      <c r="K8305" s="7" t="str">
        <f>IF(Table1[[#This Row],[Is Data Valid]]=TRUE,_xlfn.NORM.S.DIST(Table1[[#This Row],[Birthweight Z-Score (BW-10%)]],TRUE)*100,"")</f>
        <v/>
      </c>
      <c r="L8305" s="7" t="str">
        <f>IF(Table1[[#This Row],[Is Data Valid]]=TRUE,_xlfn.NORM.S.DIST(Table1[[#This Row],[Birthweight Z-Score (BW+10%)]],TRUE)*100,"")</f>
        <v/>
      </c>
    </row>
    <row r="8306" spans="1:12" x14ac:dyDescent="0.35">
      <c r="A8306" s="3"/>
      <c r="B8306" s="2"/>
      <c r="C8306" s="2"/>
      <c r="D8306" s="2" t="b">
        <f>IF(AND(NOT(ISBLANK(Table1[[#This Row],[Fetal Sex (Male, Female or Unknown)]])),ISNUMBER(Table1[[#This Row],[Birthweight (grams)]]),ISNUMBER(Table1[[#This Row],[Gestation (days)]])),TRUE,FALSE)</f>
        <v>0</v>
      </c>
      <c r="E8306" s="2" t="str">
        <f>IF(Table1[[#This Row],[Is Data Valid]]=TRUE,IF(Table1[[#This Row],[Fetal Sex (Male, Female or Unknown)]]="Male",Backend!$C$6,IF(Table1[[#This Row],[Fetal Sex (Male, Female or Unknown)]]="Female",Backend!$C$7,IF(Table1[[#This Row],[Fetal Sex (Male, Female or Unknown)]]="Unknown",Backend!$C$8,"Error"))),"")</f>
        <v/>
      </c>
      <c r="F8306" s="8" t="str">
        <f>IF(Table1[[#This Row],[Is Data Valid]]=TRUE,EXP(0.578+0.332*((Table1[[#This Row],[Gestation (days)]]+0.5)/7)-0.00354*((Table1[[#This Row],[Gestation (days)]]+0.5)/7)^2)*Table1[[#This Row],[BW40_3705]],"")</f>
        <v/>
      </c>
      <c r="G8306" s="2" t="str">
        <f>IF(Table1[[#This Row],[Is Data Valid]]=TRUE,((Table1[[#This Row],[Birthweight (grams)]]/Table1[[#This Row],[BW_GA]])-1)/(Backend!$B$4/100*Table1[[#This Row],[BW40_3705]]),"")</f>
        <v/>
      </c>
      <c r="H8306" s="7" t="str">
        <f>IF(Table1[[#This Row],[Is Data Valid]]=TRUE,((Table1[[#This Row],[Birthweight (grams)]]*0.9/Table1[[#This Row],[BW_GA]])-1)/(Backend!$B$4/100*Table1[[#This Row],[BW40_3705]]),"")</f>
        <v/>
      </c>
      <c r="I8306" s="7" t="str">
        <f>IF(Table1[[#This Row],[Is Data Valid]]=TRUE,((Table1[[#This Row],[Birthweight (grams)]]*1.1/Table1[[#This Row],[BW_GA]])-1)/(Backend!$B$4/100*Table1[[#This Row],[BW40_3705]]),"")</f>
        <v/>
      </c>
      <c r="J8306" s="7" t="str">
        <f>IF(Table1[[#This Row],[Is Data Valid]]=TRUE,_xlfn.NORM.S.DIST(Table1[[#This Row],[Birthweight Z-Score]],TRUE)*100,"")</f>
        <v/>
      </c>
      <c r="K8306" s="7" t="str">
        <f>IF(Table1[[#This Row],[Is Data Valid]]=TRUE,_xlfn.NORM.S.DIST(Table1[[#This Row],[Birthweight Z-Score (BW-10%)]],TRUE)*100,"")</f>
        <v/>
      </c>
      <c r="L8306" s="7" t="str">
        <f>IF(Table1[[#This Row],[Is Data Valid]]=TRUE,_xlfn.NORM.S.DIST(Table1[[#This Row],[Birthweight Z-Score (BW+10%)]],TRUE)*100,"")</f>
        <v/>
      </c>
    </row>
    <row r="8307" spans="1:12" x14ac:dyDescent="0.35">
      <c r="A8307" s="3"/>
      <c r="B8307" s="2"/>
      <c r="C8307" s="2"/>
      <c r="D8307" s="2" t="b">
        <f>IF(AND(NOT(ISBLANK(Table1[[#This Row],[Fetal Sex (Male, Female or Unknown)]])),ISNUMBER(Table1[[#This Row],[Birthweight (grams)]]),ISNUMBER(Table1[[#This Row],[Gestation (days)]])),TRUE,FALSE)</f>
        <v>0</v>
      </c>
      <c r="E8307" s="2" t="str">
        <f>IF(Table1[[#This Row],[Is Data Valid]]=TRUE,IF(Table1[[#This Row],[Fetal Sex (Male, Female or Unknown)]]="Male",Backend!$C$6,IF(Table1[[#This Row],[Fetal Sex (Male, Female or Unknown)]]="Female",Backend!$C$7,IF(Table1[[#This Row],[Fetal Sex (Male, Female or Unknown)]]="Unknown",Backend!$C$8,"Error"))),"")</f>
        <v/>
      </c>
      <c r="F8307" s="8" t="str">
        <f>IF(Table1[[#This Row],[Is Data Valid]]=TRUE,EXP(0.578+0.332*((Table1[[#This Row],[Gestation (days)]]+0.5)/7)-0.00354*((Table1[[#This Row],[Gestation (days)]]+0.5)/7)^2)*Table1[[#This Row],[BW40_3705]],"")</f>
        <v/>
      </c>
      <c r="G8307" s="2" t="str">
        <f>IF(Table1[[#This Row],[Is Data Valid]]=TRUE,((Table1[[#This Row],[Birthweight (grams)]]/Table1[[#This Row],[BW_GA]])-1)/(Backend!$B$4/100*Table1[[#This Row],[BW40_3705]]),"")</f>
        <v/>
      </c>
      <c r="H8307" s="7" t="str">
        <f>IF(Table1[[#This Row],[Is Data Valid]]=TRUE,((Table1[[#This Row],[Birthweight (grams)]]*0.9/Table1[[#This Row],[BW_GA]])-1)/(Backend!$B$4/100*Table1[[#This Row],[BW40_3705]]),"")</f>
        <v/>
      </c>
      <c r="I8307" s="7" t="str">
        <f>IF(Table1[[#This Row],[Is Data Valid]]=TRUE,((Table1[[#This Row],[Birthweight (grams)]]*1.1/Table1[[#This Row],[BW_GA]])-1)/(Backend!$B$4/100*Table1[[#This Row],[BW40_3705]]),"")</f>
        <v/>
      </c>
      <c r="J8307" s="7" t="str">
        <f>IF(Table1[[#This Row],[Is Data Valid]]=TRUE,_xlfn.NORM.S.DIST(Table1[[#This Row],[Birthweight Z-Score]],TRUE)*100,"")</f>
        <v/>
      </c>
      <c r="K8307" s="7" t="str">
        <f>IF(Table1[[#This Row],[Is Data Valid]]=TRUE,_xlfn.NORM.S.DIST(Table1[[#This Row],[Birthweight Z-Score (BW-10%)]],TRUE)*100,"")</f>
        <v/>
      </c>
      <c r="L8307" s="7" t="str">
        <f>IF(Table1[[#This Row],[Is Data Valid]]=TRUE,_xlfn.NORM.S.DIST(Table1[[#This Row],[Birthweight Z-Score (BW+10%)]],TRUE)*100,"")</f>
        <v/>
      </c>
    </row>
    <row r="8308" spans="1:12" x14ac:dyDescent="0.35">
      <c r="A8308" s="3"/>
      <c r="B8308" s="2"/>
      <c r="C8308" s="2"/>
      <c r="D8308" s="2" t="b">
        <f>IF(AND(NOT(ISBLANK(Table1[[#This Row],[Fetal Sex (Male, Female or Unknown)]])),ISNUMBER(Table1[[#This Row],[Birthweight (grams)]]),ISNUMBER(Table1[[#This Row],[Gestation (days)]])),TRUE,FALSE)</f>
        <v>0</v>
      </c>
      <c r="E8308" s="2" t="str">
        <f>IF(Table1[[#This Row],[Is Data Valid]]=TRUE,IF(Table1[[#This Row],[Fetal Sex (Male, Female or Unknown)]]="Male",Backend!$C$6,IF(Table1[[#This Row],[Fetal Sex (Male, Female or Unknown)]]="Female",Backend!$C$7,IF(Table1[[#This Row],[Fetal Sex (Male, Female or Unknown)]]="Unknown",Backend!$C$8,"Error"))),"")</f>
        <v/>
      </c>
      <c r="F8308" s="8" t="str">
        <f>IF(Table1[[#This Row],[Is Data Valid]]=TRUE,EXP(0.578+0.332*((Table1[[#This Row],[Gestation (days)]]+0.5)/7)-0.00354*((Table1[[#This Row],[Gestation (days)]]+0.5)/7)^2)*Table1[[#This Row],[BW40_3705]],"")</f>
        <v/>
      </c>
      <c r="G8308" s="2" t="str">
        <f>IF(Table1[[#This Row],[Is Data Valid]]=TRUE,((Table1[[#This Row],[Birthweight (grams)]]/Table1[[#This Row],[BW_GA]])-1)/(Backend!$B$4/100*Table1[[#This Row],[BW40_3705]]),"")</f>
        <v/>
      </c>
      <c r="H8308" s="7" t="str">
        <f>IF(Table1[[#This Row],[Is Data Valid]]=TRUE,((Table1[[#This Row],[Birthweight (grams)]]*0.9/Table1[[#This Row],[BW_GA]])-1)/(Backend!$B$4/100*Table1[[#This Row],[BW40_3705]]),"")</f>
        <v/>
      </c>
      <c r="I8308" s="7" t="str">
        <f>IF(Table1[[#This Row],[Is Data Valid]]=TRUE,((Table1[[#This Row],[Birthweight (grams)]]*1.1/Table1[[#This Row],[BW_GA]])-1)/(Backend!$B$4/100*Table1[[#This Row],[BW40_3705]]),"")</f>
        <v/>
      </c>
      <c r="J8308" s="7" t="str">
        <f>IF(Table1[[#This Row],[Is Data Valid]]=TRUE,_xlfn.NORM.S.DIST(Table1[[#This Row],[Birthweight Z-Score]],TRUE)*100,"")</f>
        <v/>
      </c>
      <c r="K8308" s="7" t="str">
        <f>IF(Table1[[#This Row],[Is Data Valid]]=TRUE,_xlfn.NORM.S.DIST(Table1[[#This Row],[Birthweight Z-Score (BW-10%)]],TRUE)*100,"")</f>
        <v/>
      </c>
      <c r="L8308" s="7" t="str">
        <f>IF(Table1[[#This Row],[Is Data Valid]]=TRUE,_xlfn.NORM.S.DIST(Table1[[#This Row],[Birthweight Z-Score (BW+10%)]],TRUE)*100,"")</f>
        <v/>
      </c>
    </row>
    <row r="8309" spans="1:12" x14ac:dyDescent="0.35">
      <c r="A8309" s="3"/>
      <c r="B8309" s="2"/>
      <c r="C8309" s="2"/>
      <c r="D8309" s="2" t="b">
        <f>IF(AND(NOT(ISBLANK(Table1[[#This Row],[Fetal Sex (Male, Female or Unknown)]])),ISNUMBER(Table1[[#This Row],[Birthweight (grams)]]),ISNUMBER(Table1[[#This Row],[Gestation (days)]])),TRUE,FALSE)</f>
        <v>0</v>
      </c>
      <c r="E8309" s="2" t="str">
        <f>IF(Table1[[#This Row],[Is Data Valid]]=TRUE,IF(Table1[[#This Row],[Fetal Sex (Male, Female or Unknown)]]="Male",Backend!$C$6,IF(Table1[[#This Row],[Fetal Sex (Male, Female or Unknown)]]="Female",Backend!$C$7,IF(Table1[[#This Row],[Fetal Sex (Male, Female or Unknown)]]="Unknown",Backend!$C$8,"Error"))),"")</f>
        <v/>
      </c>
      <c r="F8309" s="8" t="str">
        <f>IF(Table1[[#This Row],[Is Data Valid]]=TRUE,EXP(0.578+0.332*((Table1[[#This Row],[Gestation (days)]]+0.5)/7)-0.00354*((Table1[[#This Row],[Gestation (days)]]+0.5)/7)^2)*Table1[[#This Row],[BW40_3705]],"")</f>
        <v/>
      </c>
      <c r="G8309" s="2" t="str">
        <f>IF(Table1[[#This Row],[Is Data Valid]]=TRUE,((Table1[[#This Row],[Birthweight (grams)]]/Table1[[#This Row],[BW_GA]])-1)/(Backend!$B$4/100*Table1[[#This Row],[BW40_3705]]),"")</f>
        <v/>
      </c>
      <c r="H8309" s="7" t="str">
        <f>IF(Table1[[#This Row],[Is Data Valid]]=TRUE,((Table1[[#This Row],[Birthweight (grams)]]*0.9/Table1[[#This Row],[BW_GA]])-1)/(Backend!$B$4/100*Table1[[#This Row],[BW40_3705]]),"")</f>
        <v/>
      </c>
      <c r="I8309" s="7" t="str">
        <f>IF(Table1[[#This Row],[Is Data Valid]]=TRUE,((Table1[[#This Row],[Birthweight (grams)]]*1.1/Table1[[#This Row],[BW_GA]])-1)/(Backend!$B$4/100*Table1[[#This Row],[BW40_3705]]),"")</f>
        <v/>
      </c>
      <c r="J8309" s="7" t="str">
        <f>IF(Table1[[#This Row],[Is Data Valid]]=TRUE,_xlfn.NORM.S.DIST(Table1[[#This Row],[Birthweight Z-Score]],TRUE)*100,"")</f>
        <v/>
      </c>
      <c r="K8309" s="7" t="str">
        <f>IF(Table1[[#This Row],[Is Data Valid]]=TRUE,_xlfn.NORM.S.DIST(Table1[[#This Row],[Birthweight Z-Score (BW-10%)]],TRUE)*100,"")</f>
        <v/>
      </c>
      <c r="L8309" s="7" t="str">
        <f>IF(Table1[[#This Row],[Is Data Valid]]=TRUE,_xlfn.NORM.S.DIST(Table1[[#This Row],[Birthweight Z-Score (BW+10%)]],TRUE)*100,"")</f>
        <v/>
      </c>
    </row>
    <row r="8310" spans="1:12" x14ac:dyDescent="0.35">
      <c r="A8310" s="3"/>
      <c r="B8310" s="2"/>
      <c r="C8310" s="2"/>
      <c r="D8310" s="2" t="b">
        <f>IF(AND(NOT(ISBLANK(Table1[[#This Row],[Fetal Sex (Male, Female or Unknown)]])),ISNUMBER(Table1[[#This Row],[Birthweight (grams)]]),ISNUMBER(Table1[[#This Row],[Gestation (days)]])),TRUE,FALSE)</f>
        <v>0</v>
      </c>
      <c r="E8310" s="2" t="str">
        <f>IF(Table1[[#This Row],[Is Data Valid]]=TRUE,IF(Table1[[#This Row],[Fetal Sex (Male, Female or Unknown)]]="Male",Backend!$C$6,IF(Table1[[#This Row],[Fetal Sex (Male, Female or Unknown)]]="Female",Backend!$C$7,IF(Table1[[#This Row],[Fetal Sex (Male, Female or Unknown)]]="Unknown",Backend!$C$8,"Error"))),"")</f>
        <v/>
      </c>
      <c r="F8310" s="8" t="str">
        <f>IF(Table1[[#This Row],[Is Data Valid]]=TRUE,EXP(0.578+0.332*((Table1[[#This Row],[Gestation (days)]]+0.5)/7)-0.00354*((Table1[[#This Row],[Gestation (days)]]+0.5)/7)^2)*Table1[[#This Row],[BW40_3705]],"")</f>
        <v/>
      </c>
      <c r="G8310" s="2" t="str">
        <f>IF(Table1[[#This Row],[Is Data Valid]]=TRUE,((Table1[[#This Row],[Birthweight (grams)]]/Table1[[#This Row],[BW_GA]])-1)/(Backend!$B$4/100*Table1[[#This Row],[BW40_3705]]),"")</f>
        <v/>
      </c>
      <c r="H8310" s="7" t="str">
        <f>IF(Table1[[#This Row],[Is Data Valid]]=TRUE,((Table1[[#This Row],[Birthweight (grams)]]*0.9/Table1[[#This Row],[BW_GA]])-1)/(Backend!$B$4/100*Table1[[#This Row],[BW40_3705]]),"")</f>
        <v/>
      </c>
      <c r="I8310" s="7" t="str">
        <f>IF(Table1[[#This Row],[Is Data Valid]]=TRUE,((Table1[[#This Row],[Birthweight (grams)]]*1.1/Table1[[#This Row],[BW_GA]])-1)/(Backend!$B$4/100*Table1[[#This Row],[BW40_3705]]),"")</f>
        <v/>
      </c>
      <c r="J8310" s="7" t="str">
        <f>IF(Table1[[#This Row],[Is Data Valid]]=TRUE,_xlfn.NORM.S.DIST(Table1[[#This Row],[Birthweight Z-Score]],TRUE)*100,"")</f>
        <v/>
      </c>
      <c r="K8310" s="7" t="str">
        <f>IF(Table1[[#This Row],[Is Data Valid]]=TRUE,_xlfn.NORM.S.DIST(Table1[[#This Row],[Birthweight Z-Score (BW-10%)]],TRUE)*100,"")</f>
        <v/>
      </c>
      <c r="L8310" s="7" t="str">
        <f>IF(Table1[[#This Row],[Is Data Valid]]=TRUE,_xlfn.NORM.S.DIST(Table1[[#This Row],[Birthweight Z-Score (BW+10%)]],TRUE)*100,"")</f>
        <v/>
      </c>
    </row>
    <row r="8311" spans="1:12" x14ac:dyDescent="0.35">
      <c r="A8311" s="3"/>
      <c r="B8311" s="2"/>
      <c r="C8311" s="2"/>
      <c r="D8311" s="2" t="b">
        <f>IF(AND(NOT(ISBLANK(Table1[[#This Row],[Fetal Sex (Male, Female or Unknown)]])),ISNUMBER(Table1[[#This Row],[Birthweight (grams)]]),ISNUMBER(Table1[[#This Row],[Gestation (days)]])),TRUE,FALSE)</f>
        <v>0</v>
      </c>
      <c r="E8311" s="2" t="str">
        <f>IF(Table1[[#This Row],[Is Data Valid]]=TRUE,IF(Table1[[#This Row],[Fetal Sex (Male, Female or Unknown)]]="Male",Backend!$C$6,IF(Table1[[#This Row],[Fetal Sex (Male, Female or Unknown)]]="Female",Backend!$C$7,IF(Table1[[#This Row],[Fetal Sex (Male, Female or Unknown)]]="Unknown",Backend!$C$8,"Error"))),"")</f>
        <v/>
      </c>
      <c r="F8311" s="8" t="str">
        <f>IF(Table1[[#This Row],[Is Data Valid]]=TRUE,EXP(0.578+0.332*((Table1[[#This Row],[Gestation (days)]]+0.5)/7)-0.00354*((Table1[[#This Row],[Gestation (days)]]+0.5)/7)^2)*Table1[[#This Row],[BW40_3705]],"")</f>
        <v/>
      </c>
      <c r="G8311" s="2" t="str">
        <f>IF(Table1[[#This Row],[Is Data Valid]]=TRUE,((Table1[[#This Row],[Birthweight (grams)]]/Table1[[#This Row],[BW_GA]])-1)/(Backend!$B$4/100*Table1[[#This Row],[BW40_3705]]),"")</f>
        <v/>
      </c>
      <c r="H8311" s="7" t="str">
        <f>IF(Table1[[#This Row],[Is Data Valid]]=TRUE,((Table1[[#This Row],[Birthweight (grams)]]*0.9/Table1[[#This Row],[BW_GA]])-1)/(Backend!$B$4/100*Table1[[#This Row],[BW40_3705]]),"")</f>
        <v/>
      </c>
      <c r="I8311" s="7" t="str">
        <f>IF(Table1[[#This Row],[Is Data Valid]]=TRUE,((Table1[[#This Row],[Birthweight (grams)]]*1.1/Table1[[#This Row],[BW_GA]])-1)/(Backend!$B$4/100*Table1[[#This Row],[BW40_3705]]),"")</f>
        <v/>
      </c>
      <c r="J8311" s="7" t="str">
        <f>IF(Table1[[#This Row],[Is Data Valid]]=TRUE,_xlfn.NORM.S.DIST(Table1[[#This Row],[Birthweight Z-Score]],TRUE)*100,"")</f>
        <v/>
      </c>
      <c r="K8311" s="7" t="str">
        <f>IF(Table1[[#This Row],[Is Data Valid]]=TRUE,_xlfn.NORM.S.DIST(Table1[[#This Row],[Birthweight Z-Score (BW-10%)]],TRUE)*100,"")</f>
        <v/>
      </c>
      <c r="L8311" s="7" t="str">
        <f>IF(Table1[[#This Row],[Is Data Valid]]=TRUE,_xlfn.NORM.S.DIST(Table1[[#This Row],[Birthweight Z-Score (BW+10%)]],TRUE)*100,"")</f>
        <v/>
      </c>
    </row>
    <row r="8312" spans="1:12" x14ac:dyDescent="0.35">
      <c r="A8312" s="3"/>
      <c r="B8312" s="2"/>
      <c r="C8312" s="2"/>
      <c r="D8312" s="2" t="b">
        <f>IF(AND(NOT(ISBLANK(Table1[[#This Row],[Fetal Sex (Male, Female or Unknown)]])),ISNUMBER(Table1[[#This Row],[Birthweight (grams)]]),ISNUMBER(Table1[[#This Row],[Gestation (days)]])),TRUE,FALSE)</f>
        <v>0</v>
      </c>
      <c r="E8312" s="2" t="str">
        <f>IF(Table1[[#This Row],[Is Data Valid]]=TRUE,IF(Table1[[#This Row],[Fetal Sex (Male, Female or Unknown)]]="Male",Backend!$C$6,IF(Table1[[#This Row],[Fetal Sex (Male, Female or Unknown)]]="Female",Backend!$C$7,IF(Table1[[#This Row],[Fetal Sex (Male, Female or Unknown)]]="Unknown",Backend!$C$8,"Error"))),"")</f>
        <v/>
      </c>
      <c r="F8312" s="8" t="str">
        <f>IF(Table1[[#This Row],[Is Data Valid]]=TRUE,EXP(0.578+0.332*((Table1[[#This Row],[Gestation (days)]]+0.5)/7)-0.00354*((Table1[[#This Row],[Gestation (days)]]+0.5)/7)^2)*Table1[[#This Row],[BW40_3705]],"")</f>
        <v/>
      </c>
      <c r="G8312" s="2" t="str">
        <f>IF(Table1[[#This Row],[Is Data Valid]]=TRUE,((Table1[[#This Row],[Birthweight (grams)]]/Table1[[#This Row],[BW_GA]])-1)/(Backend!$B$4/100*Table1[[#This Row],[BW40_3705]]),"")</f>
        <v/>
      </c>
      <c r="H8312" s="7" t="str">
        <f>IF(Table1[[#This Row],[Is Data Valid]]=TRUE,((Table1[[#This Row],[Birthweight (grams)]]*0.9/Table1[[#This Row],[BW_GA]])-1)/(Backend!$B$4/100*Table1[[#This Row],[BW40_3705]]),"")</f>
        <v/>
      </c>
      <c r="I8312" s="7" t="str">
        <f>IF(Table1[[#This Row],[Is Data Valid]]=TRUE,((Table1[[#This Row],[Birthweight (grams)]]*1.1/Table1[[#This Row],[BW_GA]])-1)/(Backend!$B$4/100*Table1[[#This Row],[BW40_3705]]),"")</f>
        <v/>
      </c>
      <c r="J8312" s="7" t="str">
        <f>IF(Table1[[#This Row],[Is Data Valid]]=TRUE,_xlfn.NORM.S.DIST(Table1[[#This Row],[Birthweight Z-Score]],TRUE)*100,"")</f>
        <v/>
      </c>
      <c r="K8312" s="7" t="str">
        <f>IF(Table1[[#This Row],[Is Data Valid]]=TRUE,_xlfn.NORM.S.DIST(Table1[[#This Row],[Birthweight Z-Score (BW-10%)]],TRUE)*100,"")</f>
        <v/>
      </c>
      <c r="L8312" s="7" t="str">
        <f>IF(Table1[[#This Row],[Is Data Valid]]=TRUE,_xlfn.NORM.S.DIST(Table1[[#This Row],[Birthweight Z-Score (BW+10%)]],TRUE)*100,"")</f>
        <v/>
      </c>
    </row>
    <row r="8313" spans="1:12" x14ac:dyDescent="0.35">
      <c r="A8313" s="3"/>
      <c r="B8313" s="2"/>
      <c r="C8313" s="2"/>
      <c r="D8313" s="2" t="b">
        <f>IF(AND(NOT(ISBLANK(Table1[[#This Row],[Fetal Sex (Male, Female or Unknown)]])),ISNUMBER(Table1[[#This Row],[Birthweight (grams)]]),ISNUMBER(Table1[[#This Row],[Gestation (days)]])),TRUE,FALSE)</f>
        <v>0</v>
      </c>
      <c r="E8313" s="2" t="str">
        <f>IF(Table1[[#This Row],[Is Data Valid]]=TRUE,IF(Table1[[#This Row],[Fetal Sex (Male, Female or Unknown)]]="Male",Backend!$C$6,IF(Table1[[#This Row],[Fetal Sex (Male, Female or Unknown)]]="Female",Backend!$C$7,IF(Table1[[#This Row],[Fetal Sex (Male, Female or Unknown)]]="Unknown",Backend!$C$8,"Error"))),"")</f>
        <v/>
      </c>
      <c r="F8313" s="8" t="str">
        <f>IF(Table1[[#This Row],[Is Data Valid]]=TRUE,EXP(0.578+0.332*((Table1[[#This Row],[Gestation (days)]]+0.5)/7)-0.00354*((Table1[[#This Row],[Gestation (days)]]+0.5)/7)^2)*Table1[[#This Row],[BW40_3705]],"")</f>
        <v/>
      </c>
      <c r="G8313" s="2" t="str">
        <f>IF(Table1[[#This Row],[Is Data Valid]]=TRUE,((Table1[[#This Row],[Birthweight (grams)]]/Table1[[#This Row],[BW_GA]])-1)/(Backend!$B$4/100*Table1[[#This Row],[BW40_3705]]),"")</f>
        <v/>
      </c>
      <c r="H8313" s="7" t="str">
        <f>IF(Table1[[#This Row],[Is Data Valid]]=TRUE,((Table1[[#This Row],[Birthweight (grams)]]*0.9/Table1[[#This Row],[BW_GA]])-1)/(Backend!$B$4/100*Table1[[#This Row],[BW40_3705]]),"")</f>
        <v/>
      </c>
      <c r="I8313" s="7" t="str">
        <f>IF(Table1[[#This Row],[Is Data Valid]]=TRUE,((Table1[[#This Row],[Birthweight (grams)]]*1.1/Table1[[#This Row],[BW_GA]])-1)/(Backend!$B$4/100*Table1[[#This Row],[BW40_3705]]),"")</f>
        <v/>
      </c>
      <c r="J8313" s="7" t="str">
        <f>IF(Table1[[#This Row],[Is Data Valid]]=TRUE,_xlfn.NORM.S.DIST(Table1[[#This Row],[Birthweight Z-Score]],TRUE)*100,"")</f>
        <v/>
      </c>
      <c r="K8313" s="7" t="str">
        <f>IF(Table1[[#This Row],[Is Data Valid]]=TRUE,_xlfn.NORM.S.DIST(Table1[[#This Row],[Birthweight Z-Score (BW-10%)]],TRUE)*100,"")</f>
        <v/>
      </c>
      <c r="L8313" s="7" t="str">
        <f>IF(Table1[[#This Row],[Is Data Valid]]=TRUE,_xlfn.NORM.S.DIST(Table1[[#This Row],[Birthweight Z-Score (BW+10%)]],TRUE)*100,"")</f>
        <v/>
      </c>
    </row>
    <row r="8314" spans="1:12" x14ac:dyDescent="0.35">
      <c r="A8314" s="3"/>
      <c r="B8314" s="2"/>
      <c r="C8314" s="2"/>
      <c r="D8314" s="2" t="b">
        <f>IF(AND(NOT(ISBLANK(Table1[[#This Row],[Fetal Sex (Male, Female or Unknown)]])),ISNUMBER(Table1[[#This Row],[Birthweight (grams)]]),ISNUMBER(Table1[[#This Row],[Gestation (days)]])),TRUE,FALSE)</f>
        <v>0</v>
      </c>
      <c r="E8314" s="2" t="str">
        <f>IF(Table1[[#This Row],[Is Data Valid]]=TRUE,IF(Table1[[#This Row],[Fetal Sex (Male, Female or Unknown)]]="Male",Backend!$C$6,IF(Table1[[#This Row],[Fetal Sex (Male, Female or Unknown)]]="Female",Backend!$C$7,IF(Table1[[#This Row],[Fetal Sex (Male, Female or Unknown)]]="Unknown",Backend!$C$8,"Error"))),"")</f>
        <v/>
      </c>
      <c r="F8314" s="8" t="str">
        <f>IF(Table1[[#This Row],[Is Data Valid]]=TRUE,EXP(0.578+0.332*((Table1[[#This Row],[Gestation (days)]]+0.5)/7)-0.00354*((Table1[[#This Row],[Gestation (days)]]+0.5)/7)^2)*Table1[[#This Row],[BW40_3705]],"")</f>
        <v/>
      </c>
      <c r="G8314" s="2" t="str">
        <f>IF(Table1[[#This Row],[Is Data Valid]]=TRUE,((Table1[[#This Row],[Birthweight (grams)]]/Table1[[#This Row],[BW_GA]])-1)/(Backend!$B$4/100*Table1[[#This Row],[BW40_3705]]),"")</f>
        <v/>
      </c>
      <c r="H8314" s="7" t="str">
        <f>IF(Table1[[#This Row],[Is Data Valid]]=TRUE,((Table1[[#This Row],[Birthweight (grams)]]*0.9/Table1[[#This Row],[BW_GA]])-1)/(Backend!$B$4/100*Table1[[#This Row],[BW40_3705]]),"")</f>
        <v/>
      </c>
      <c r="I8314" s="7" t="str">
        <f>IF(Table1[[#This Row],[Is Data Valid]]=TRUE,((Table1[[#This Row],[Birthweight (grams)]]*1.1/Table1[[#This Row],[BW_GA]])-1)/(Backend!$B$4/100*Table1[[#This Row],[BW40_3705]]),"")</f>
        <v/>
      </c>
      <c r="J8314" s="7" t="str">
        <f>IF(Table1[[#This Row],[Is Data Valid]]=TRUE,_xlfn.NORM.S.DIST(Table1[[#This Row],[Birthweight Z-Score]],TRUE)*100,"")</f>
        <v/>
      </c>
      <c r="K8314" s="7" t="str">
        <f>IF(Table1[[#This Row],[Is Data Valid]]=TRUE,_xlfn.NORM.S.DIST(Table1[[#This Row],[Birthweight Z-Score (BW-10%)]],TRUE)*100,"")</f>
        <v/>
      </c>
      <c r="L8314" s="7" t="str">
        <f>IF(Table1[[#This Row],[Is Data Valid]]=TRUE,_xlfn.NORM.S.DIST(Table1[[#This Row],[Birthweight Z-Score (BW+10%)]],TRUE)*100,"")</f>
        <v/>
      </c>
    </row>
    <row r="8315" spans="1:12" x14ac:dyDescent="0.35">
      <c r="A8315" s="3"/>
      <c r="B8315" s="2"/>
      <c r="C8315" s="2"/>
      <c r="D8315" s="2" t="b">
        <f>IF(AND(NOT(ISBLANK(Table1[[#This Row],[Fetal Sex (Male, Female or Unknown)]])),ISNUMBER(Table1[[#This Row],[Birthweight (grams)]]),ISNUMBER(Table1[[#This Row],[Gestation (days)]])),TRUE,FALSE)</f>
        <v>0</v>
      </c>
      <c r="E8315" s="2" t="str">
        <f>IF(Table1[[#This Row],[Is Data Valid]]=TRUE,IF(Table1[[#This Row],[Fetal Sex (Male, Female or Unknown)]]="Male",Backend!$C$6,IF(Table1[[#This Row],[Fetal Sex (Male, Female or Unknown)]]="Female",Backend!$C$7,IF(Table1[[#This Row],[Fetal Sex (Male, Female or Unknown)]]="Unknown",Backend!$C$8,"Error"))),"")</f>
        <v/>
      </c>
      <c r="F8315" s="8" t="str">
        <f>IF(Table1[[#This Row],[Is Data Valid]]=TRUE,EXP(0.578+0.332*((Table1[[#This Row],[Gestation (days)]]+0.5)/7)-0.00354*((Table1[[#This Row],[Gestation (days)]]+0.5)/7)^2)*Table1[[#This Row],[BW40_3705]],"")</f>
        <v/>
      </c>
      <c r="G8315" s="2" t="str">
        <f>IF(Table1[[#This Row],[Is Data Valid]]=TRUE,((Table1[[#This Row],[Birthweight (grams)]]/Table1[[#This Row],[BW_GA]])-1)/(Backend!$B$4/100*Table1[[#This Row],[BW40_3705]]),"")</f>
        <v/>
      </c>
      <c r="H8315" s="7" t="str">
        <f>IF(Table1[[#This Row],[Is Data Valid]]=TRUE,((Table1[[#This Row],[Birthweight (grams)]]*0.9/Table1[[#This Row],[BW_GA]])-1)/(Backend!$B$4/100*Table1[[#This Row],[BW40_3705]]),"")</f>
        <v/>
      </c>
      <c r="I8315" s="7" t="str">
        <f>IF(Table1[[#This Row],[Is Data Valid]]=TRUE,((Table1[[#This Row],[Birthweight (grams)]]*1.1/Table1[[#This Row],[BW_GA]])-1)/(Backend!$B$4/100*Table1[[#This Row],[BW40_3705]]),"")</f>
        <v/>
      </c>
      <c r="J8315" s="7" t="str">
        <f>IF(Table1[[#This Row],[Is Data Valid]]=TRUE,_xlfn.NORM.S.DIST(Table1[[#This Row],[Birthweight Z-Score]],TRUE)*100,"")</f>
        <v/>
      </c>
      <c r="K8315" s="7" t="str">
        <f>IF(Table1[[#This Row],[Is Data Valid]]=TRUE,_xlfn.NORM.S.DIST(Table1[[#This Row],[Birthweight Z-Score (BW-10%)]],TRUE)*100,"")</f>
        <v/>
      </c>
      <c r="L8315" s="7" t="str">
        <f>IF(Table1[[#This Row],[Is Data Valid]]=TRUE,_xlfn.NORM.S.DIST(Table1[[#This Row],[Birthweight Z-Score (BW+10%)]],TRUE)*100,"")</f>
        <v/>
      </c>
    </row>
    <row r="8316" spans="1:12" x14ac:dyDescent="0.35">
      <c r="A8316" s="3"/>
      <c r="B8316" s="2"/>
      <c r="C8316" s="2"/>
      <c r="D8316" s="2" t="b">
        <f>IF(AND(NOT(ISBLANK(Table1[[#This Row],[Fetal Sex (Male, Female or Unknown)]])),ISNUMBER(Table1[[#This Row],[Birthweight (grams)]]),ISNUMBER(Table1[[#This Row],[Gestation (days)]])),TRUE,FALSE)</f>
        <v>0</v>
      </c>
      <c r="E8316" s="2" t="str">
        <f>IF(Table1[[#This Row],[Is Data Valid]]=TRUE,IF(Table1[[#This Row],[Fetal Sex (Male, Female or Unknown)]]="Male",Backend!$C$6,IF(Table1[[#This Row],[Fetal Sex (Male, Female or Unknown)]]="Female",Backend!$C$7,IF(Table1[[#This Row],[Fetal Sex (Male, Female or Unknown)]]="Unknown",Backend!$C$8,"Error"))),"")</f>
        <v/>
      </c>
      <c r="F8316" s="8" t="str">
        <f>IF(Table1[[#This Row],[Is Data Valid]]=TRUE,EXP(0.578+0.332*((Table1[[#This Row],[Gestation (days)]]+0.5)/7)-0.00354*((Table1[[#This Row],[Gestation (days)]]+0.5)/7)^2)*Table1[[#This Row],[BW40_3705]],"")</f>
        <v/>
      </c>
      <c r="G8316" s="2" t="str">
        <f>IF(Table1[[#This Row],[Is Data Valid]]=TRUE,((Table1[[#This Row],[Birthweight (grams)]]/Table1[[#This Row],[BW_GA]])-1)/(Backend!$B$4/100*Table1[[#This Row],[BW40_3705]]),"")</f>
        <v/>
      </c>
      <c r="H8316" s="7" t="str">
        <f>IF(Table1[[#This Row],[Is Data Valid]]=TRUE,((Table1[[#This Row],[Birthweight (grams)]]*0.9/Table1[[#This Row],[BW_GA]])-1)/(Backend!$B$4/100*Table1[[#This Row],[BW40_3705]]),"")</f>
        <v/>
      </c>
      <c r="I8316" s="7" t="str">
        <f>IF(Table1[[#This Row],[Is Data Valid]]=TRUE,((Table1[[#This Row],[Birthweight (grams)]]*1.1/Table1[[#This Row],[BW_GA]])-1)/(Backend!$B$4/100*Table1[[#This Row],[BW40_3705]]),"")</f>
        <v/>
      </c>
      <c r="J8316" s="7" t="str">
        <f>IF(Table1[[#This Row],[Is Data Valid]]=TRUE,_xlfn.NORM.S.DIST(Table1[[#This Row],[Birthweight Z-Score]],TRUE)*100,"")</f>
        <v/>
      </c>
      <c r="K8316" s="7" t="str">
        <f>IF(Table1[[#This Row],[Is Data Valid]]=TRUE,_xlfn.NORM.S.DIST(Table1[[#This Row],[Birthweight Z-Score (BW-10%)]],TRUE)*100,"")</f>
        <v/>
      </c>
      <c r="L8316" s="7" t="str">
        <f>IF(Table1[[#This Row],[Is Data Valid]]=TRUE,_xlfn.NORM.S.DIST(Table1[[#This Row],[Birthweight Z-Score (BW+10%)]],TRUE)*100,"")</f>
        <v/>
      </c>
    </row>
    <row r="8317" spans="1:12" x14ac:dyDescent="0.35">
      <c r="A8317" s="3"/>
      <c r="B8317" s="2"/>
      <c r="C8317" s="2"/>
      <c r="D8317" s="2" t="b">
        <f>IF(AND(NOT(ISBLANK(Table1[[#This Row],[Fetal Sex (Male, Female or Unknown)]])),ISNUMBER(Table1[[#This Row],[Birthweight (grams)]]),ISNUMBER(Table1[[#This Row],[Gestation (days)]])),TRUE,FALSE)</f>
        <v>0</v>
      </c>
      <c r="E8317" s="2" t="str">
        <f>IF(Table1[[#This Row],[Is Data Valid]]=TRUE,IF(Table1[[#This Row],[Fetal Sex (Male, Female or Unknown)]]="Male",Backend!$C$6,IF(Table1[[#This Row],[Fetal Sex (Male, Female or Unknown)]]="Female",Backend!$C$7,IF(Table1[[#This Row],[Fetal Sex (Male, Female or Unknown)]]="Unknown",Backend!$C$8,"Error"))),"")</f>
        <v/>
      </c>
      <c r="F8317" s="8" t="str">
        <f>IF(Table1[[#This Row],[Is Data Valid]]=TRUE,EXP(0.578+0.332*((Table1[[#This Row],[Gestation (days)]]+0.5)/7)-0.00354*((Table1[[#This Row],[Gestation (days)]]+0.5)/7)^2)*Table1[[#This Row],[BW40_3705]],"")</f>
        <v/>
      </c>
      <c r="G8317" s="2" t="str">
        <f>IF(Table1[[#This Row],[Is Data Valid]]=TRUE,((Table1[[#This Row],[Birthweight (grams)]]/Table1[[#This Row],[BW_GA]])-1)/(Backend!$B$4/100*Table1[[#This Row],[BW40_3705]]),"")</f>
        <v/>
      </c>
      <c r="H8317" s="7" t="str">
        <f>IF(Table1[[#This Row],[Is Data Valid]]=TRUE,((Table1[[#This Row],[Birthweight (grams)]]*0.9/Table1[[#This Row],[BW_GA]])-1)/(Backend!$B$4/100*Table1[[#This Row],[BW40_3705]]),"")</f>
        <v/>
      </c>
      <c r="I8317" s="7" t="str">
        <f>IF(Table1[[#This Row],[Is Data Valid]]=TRUE,((Table1[[#This Row],[Birthweight (grams)]]*1.1/Table1[[#This Row],[BW_GA]])-1)/(Backend!$B$4/100*Table1[[#This Row],[BW40_3705]]),"")</f>
        <v/>
      </c>
      <c r="J8317" s="7" t="str">
        <f>IF(Table1[[#This Row],[Is Data Valid]]=TRUE,_xlfn.NORM.S.DIST(Table1[[#This Row],[Birthweight Z-Score]],TRUE)*100,"")</f>
        <v/>
      </c>
      <c r="K8317" s="7" t="str">
        <f>IF(Table1[[#This Row],[Is Data Valid]]=TRUE,_xlfn.NORM.S.DIST(Table1[[#This Row],[Birthweight Z-Score (BW-10%)]],TRUE)*100,"")</f>
        <v/>
      </c>
      <c r="L8317" s="7" t="str">
        <f>IF(Table1[[#This Row],[Is Data Valid]]=TRUE,_xlfn.NORM.S.DIST(Table1[[#This Row],[Birthweight Z-Score (BW+10%)]],TRUE)*100,"")</f>
        <v/>
      </c>
    </row>
    <row r="8318" spans="1:12" x14ac:dyDescent="0.35">
      <c r="A8318" s="3"/>
      <c r="B8318" s="2"/>
      <c r="C8318" s="2"/>
      <c r="D8318" s="2" t="b">
        <f>IF(AND(NOT(ISBLANK(Table1[[#This Row],[Fetal Sex (Male, Female or Unknown)]])),ISNUMBER(Table1[[#This Row],[Birthweight (grams)]]),ISNUMBER(Table1[[#This Row],[Gestation (days)]])),TRUE,FALSE)</f>
        <v>0</v>
      </c>
      <c r="E8318" s="2" t="str">
        <f>IF(Table1[[#This Row],[Is Data Valid]]=TRUE,IF(Table1[[#This Row],[Fetal Sex (Male, Female or Unknown)]]="Male",Backend!$C$6,IF(Table1[[#This Row],[Fetal Sex (Male, Female or Unknown)]]="Female",Backend!$C$7,IF(Table1[[#This Row],[Fetal Sex (Male, Female or Unknown)]]="Unknown",Backend!$C$8,"Error"))),"")</f>
        <v/>
      </c>
      <c r="F8318" s="8" t="str">
        <f>IF(Table1[[#This Row],[Is Data Valid]]=TRUE,EXP(0.578+0.332*((Table1[[#This Row],[Gestation (days)]]+0.5)/7)-0.00354*((Table1[[#This Row],[Gestation (days)]]+0.5)/7)^2)*Table1[[#This Row],[BW40_3705]],"")</f>
        <v/>
      </c>
      <c r="G8318" s="2" t="str">
        <f>IF(Table1[[#This Row],[Is Data Valid]]=TRUE,((Table1[[#This Row],[Birthweight (grams)]]/Table1[[#This Row],[BW_GA]])-1)/(Backend!$B$4/100*Table1[[#This Row],[BW40_3705]]),"")</f>
        <v/>
      </c>
      <c r="H8318" s="7" t="str">
        <f>IF(Table1[[#This Row],[Is Data Valid]]=TRUE,((Table1[[#This Row],[Birthweight (grams)]]*0.9/Table1[[#This Row],[BW_GA]])-1)/(Backend!$B$4/100*Table1[[#This Row],[BW40_3705]]),"")</f>
        <v/>
      </c>
      <c r="I8318" s="7" t="str">
        <f>IF(Table1[[#This Row],[Is Data Valid]]=TRUE,((Table1[[#This Row],[Birthweight (grams)]]*1.1/Table1[[#This Row],[BW_GA]])-1)/(Backend!$B$4/100*Table1[[#This Row],[BW40_3705]]),"")</f>
        <v/>
      </c>
      <c r="J8318" s="7" t="str">
        <f>IF(Table1[[#This Row],[Is Data Valid]]=TRUE,_xlfn.NORM.S.DIST(Table1[[#This Row],[Birthweight Z-Score]],TRUE)*100,"")</f>
        <v/>
      </c>
      <c r="K8318" s="7" t="str">
        <f>IF(Table1[[#This Row],[Is Data Valid]]=TRUE,_xlfn.NORM.S.DIST(Table1[[#This Row],[Birthweight Z-Score (BW-10%)]],TRUE)*100,"")</f>
        <v/>
      </c>
      <c r="L8318" s="7" t="str">
        <f>IF(Table1[[#This Row],[Is Data Valid]]=TRUE,_xlfn.NORM.S.DIST(Table1[[#This Row],[Birthweight Z-Score (BW+10%)]],TRUE)*100,"")</f>
        <v/>
      </c>
    </row>
    <row r="8319" spans="1:12" x14ac:dyDescent="0.35">
      <c r="A8319" s="3"/>
      <c r="B8319" s="2"/>
      <c r="C8319" s="2"/>
      <c r="D8319" s="2" t="b">
        <f>IF(AND(NOT(ISBLANK(Table1[[#This Row],[Fetal Sex (Male, Female or Unknown)]])),ISNUMBER(Table1[[#This Row],[Birthweight (grams)]]),ISNUMBER(Table1[[#This Row],[Gestation (days)]])),TRUE,FALSE)</f>
        <v>0</v>
      </c>
      <c r="E8319" s="2" t="str">
        <f>IF(Table1[[#This Row],[Is Data Valid]]=TRUE,IF(Table1[[#This Row],[Fetal Sex (Male, Female or Unknown)]]="Male",Backend!$C$6,IF(Table1[[#This Row],[Fetal Sex (Male, Female or Unknown)]]="Female",Backend!$C$7,IF(Table1[[#This Row],[Fetal Sex (Male, Female or Unknown)]]="Unknown",Backend!$C$8,"Error"))),"")</f>
        <v/>
      </c>
      <c r="F8319" s="8" t="str">
        <f>IF(Table1[[#This Row],[Is Data Valid]]=TRUE,EXP(0.578+0.332*((Table1[[#This Row],[Gestation (days)]]+0.5)/7)-0.00354*((Table1[[#This Row],[Gestation (days)]]+0.5)/7)^2)*Table1[[#This Row],[BW40_3705]],"")</f>
        <v/>
      </c>
      <c r="G8319" s="2" t="str">
        <f>IF(Table1[[#This Row],[Is Data Valid]]=TRUE,((Table1[[#This Row],[Birthweight (grams)]]/Table1[[#This Row],[BW_GA]])-1)/(Backend!$B$4/100*Table1[[#This Row],[BW40_3705]]),"")</f>
        <v/>
      </c>
      <c r="H8319" s="7" t="str">
        <f>IF(Table1[[#This Row],[Is Data Valid]]=TRUE,((Table1[[#This Row],[Birthweight (grams)]]*0.9/Table1[[#This Row],[BW_GA]])-1)/(Backend!$B$4/100*Table1[[#This Row],[BW40_3705]]),"")</f>
        <v/>
      </c>
      <c r="I8319" s="7" t="str">
        <f>IF(Table1[[#This Row],[Is Data Valid]]=TRUE,((Table1[[#This Row],[Birthweight (grams)]]*1.1/Table1[[#This Row],[BW_GA]])-1)/(Backend!$B$4/100*Table1[[#This Row],[BW40_3705]]),"")</f>
        <v/>
      </c>
      <c r="J8319" s="7" t="str">
        <f>IF(Table1[[#This Row],[Is Data Valid]]=TRUE,_xlfn.NORM.S.DIST(Table1[[#This Row],[Birthweight Z-Score]],TRUE)*100,"")</f>
        <v/>
      </c>
      <c r="K8319" s="7" t="str">
        <f>IF(Table1[[#This Row],[Is Data Valid]]=TRUE,_xlfn.NORM.S.DIST(Table1[[#This Row],[Birthweight Z-Score (BW-10%)]],TRUE)*100,"")</f>
        <v/>
      </c>
      <c r="L8319" s="7" t="str">
        <f>IF(Table1[[#This Row],[Is Data Valid]]=TRUE,_xlfn.NORM.S.DIST(Table1[[#This Row],[Birthweight Z-Score (BW+10%)]],TRUE)*100,"")</f>
        <v/>
      </c>
    </row>
    <row r="8320" spans="1:12" x14ac:dyDescent="0.35">
      <c r="A8320" s="3"/>
      <c r="B8320" s="2"/>
      <c r="C8320" s="2"/>
      <c r="D8320" s="2" t="b">
        <f>IF(AND(NOT(ISBLANK(Table1[[#This Row],[Fetal Sex (Male, Female or Unknown)]])),ISNUMBER(Table1[[#This Row],[Birthweight (grams)]]),ISNUMBER(Table1[[#This Row],[Gestation (days)]])),TRUE,FALSE)</f>
        <v>0</v>
      </c>
      <c r="E8320" s="2" t="str">
        <f>IF(Table1[[#This Row],[Is Data Valid]]=TRUE,IF(Table1[[#This Row],[Fetal Sex (Male, Female or Unknown)]]="Male",Backend!$C$6,IF(Table1[[#This Row],[Fetal Sex (Male, Female or Unknown)]]="Female",Backend!$C$7,IF(Table1[[#This Row],[Fetal Sex (Male, Female or Unknown)]]="Unknown",Backend!$C$8,"Error"))),"")</f>
        <v/>
      </c>
      <c r="F8320" s="8" t="str">
        <f>IF(Table1[[#This Row],[Is Data Valid]]=TRUE,EXP(0.578+0.332*((Table1[[#This Row],[Gestation (days)]]+0.5)/7)-0.00354*((Table1[[#This Row],[Gestation (days)]]+0.5)/7)^2)*Table1[[#This Row],[BW40_3705]],"")</f>
        <v/>
      </c>
      <c r="G8320" s="2" t="str">
        <f>IF(Table1[[#This Row],[Is Data Valid]]=TRUE,((Table1[[#This Row],[Birthweight (grams)]]/Table1[[#This Row],[BW_GA]])-1)/(Backend!$B$4/100*Table1[[#This Row],[BW40_3705]]),"")</f>
        <v/>
      </c>
      <c r="H8320" s="7" t="str">
        <f>IF(Table1[[#This Row],[Is Data Valid]]=TRUE,((Table1[[#This Row],[Birthweight (grams)]]*0.9/Table1[[#This Row],[BW_GA]])-1)/(Backend!$B$4/100*Table1[[#This Row],[BW40_3705]]),"")</f>
        <v/>
      </c>
      <c r="I8320" s="7" t="str">
        <f>IF(Table1[[#This Row],[Is Data Valid]]=TRUE,((Table1[[#This Row],[Birthweight (grams)]]*1.1/Table1[[#This Row],[BW_GA]])-1)/(Backend!$B$4/100*Table1[[#This Row],[BW40_3705]]),"")</f>
        <v/>
      </c>
      <c r="J8320" s="7" t="str">
        <f>IF(Table1[[#This Row],[Is Data Valid]]=TRUE,_xlfn.NORM.S.DIST(Table1[[#This Row],[Birthweight Z-Score]],TRUE)*100,"")</f>
        <v/>
      </c>
      <c r="K8320" s="7" t="str">
        <f>IF(Table1[[#This Row],[Is Data Valid]]=TRUE,_xlfn.NORM.S.DIST(Table1[[#This Row],[Birthweight Z-Score (BW-10%)]],TRUE)*100,"")</f>
        <v/>
      </c>
      <c r="L8320" s="7" t="str">
        <f>IF(Table1[[#This Row],[Is Data Valid]]=TRUE,_xlfn.NORM.S.DIST(Table1[[#This Row],[Birthweight Z-Score (BW+10%)]],TRUE)*100,"")</f>
        <v/>
      </c>
    </row>
    <row r="8321" spans="1:12" x14ac:dyDescent="0.35">
      <c r="A8321" s="3"/>
      <c r="B8321" s="2"/>
      <c r="C8321" s="2"/>
      <c r="D8321" s="2" t="b">
        <f>IF(AND(NOT(ISBLANK(Table1[[#This Row],[Fetal Sex (Male, Female or Unknown)]])),ISNUMBER(Table1[[#This Row],[Birthweight (grams)]]),ISNUMBER(Table1[[#This Row],[Gestation (days)]])),TRUE,FALSE)</f>
        <v>0</v>
      </c>
      <c r="E8321" s="2" t="str">
        <f>IF(Table1[[#This Row],[Is Data Valid]]=TRUE,IF(Table1[[#This Row],[Fetal Sex (Male, Female or Unknown)]]="Male",Backend!$C$6,IF(Table1[[#This Row],[Fetal Sex (Male, Female or Unknown)]]="Female",Backend!$C$7,IF(Table1[[#This Row],[Fetal Sex (Male, Female or Unknown)]]="Unknown",Backend!$C$8,"Error"))),"")</f>
        <v/>
      </c>
      <c r="F8321" s="8" t="str">
        <f>IF(Table1[[#This Row],[Is Data Valid]]=TRUE,EXP(0.578+0.332*((Table1[[#This Row],[Gestation (days)]]+0.5)/7)-0.00354*((Table1[[#This Row],[Gestation (days)]]+0.5)/7)^2)*Table1[[#This Row],[BW40_3705]],"")</f>
        <v/>
      </c>
      <c r="G8321" s="2" t="str">
        <f>IF(Table1[[#This Row],[Is Data Valid]]=TRUE,((Table1[[#This Row],[Birthweight (grams)]]/Table1[[#This Row],[BW_GA]])-1)/(Backend!$B$4/100*Table1[[#This Row],[BW40_3705]]),"")</f>
        <v/>
      </c>
      <c r="H8321" s="7" t="str">
        <f>IF(Table1[[#This Row],[Is Data Valid]]=TRUE,((Table1[[#This Row],[Birthweight (grams)]]*0.9/Table1[[#This Row],[BW_GA]])-1)/(Backend!$B$4/100*Table1[[#This Row],[BW40_3705]]),"")</f>
        <v/>
      </c>
      <c r="I8321" s="7" t="str">
        <f>IF(Table1[[#This Row],[Is Data Valid]]=TRUE,((Table1[[#This Row],[Birthweight (grams)]]*1.1/Table1[[#This Row],[BW_GA]])-1)/(Backend!$B$4/100*Table1[[#This Row],[BW40_3705]]),"")</f>
        <v/>
      </c>
      <c r="J8321" s="7" t="str">
        <f>IF(Table1[[#This Row],[Is Data Valid]]=TRUE,_xlfn.NORM.S.DIST(Table1[[#This Row],[Birthweight Z-Score]],TRUE)*100,"")</f>
        <v/>
      </c>
      <c r="K8321" s="7" t="str">
        <f>IF(Table1[[#This Row],[Is Data Valid]]=TRUE,_xlfn.NORM.S.DIST(Table1[[#This Row],[Birthweight Z-Score (BW-10%)]],TRUE)*100,"")</f>
        <v/>
      </c>
      <c r="L8321" s="7" t="str">
        <f>IF(Table1[[#This Row],[Is Data Valid]]=TRUE,_xlfn.NORM.S.DIST(Table1[[#This Row],[Birthweight Z-Score (BW+10%)]],TRUE)*100,"")</f>
        <v/>
      </c>
    </row>
    <row r="8322" spans="1:12" x14ac:dyDescent="0.35">
      <c r="A8322" s="3"/>
      <c r="B8322" s="2"/>
      <c r="C8322" s="2"/>
      <c r="D8322" s="2" t="b">
        <f>IF(AND(NOT(ISBLANK(Table1[[#This Row],[Fetal Sex (Male, Female or Unknown)]])),ISNUMBER(Table1[[#This Row],[Birthweight (grams)]]),ISNUMBER(Table1[[#This Row],[Gestation (days)]])),TRUE,FALSE)</f>
        <v>0</v>
      </c>
      <c r="E8322" s="2" t="str">
        <f>IF(Table1[[#This Row],[Is Data Valid]]=TRUE,IF(Table1[[#This Row],[Fetal Sex (Male, Female or Unknown)]]="Male",Backend!$C$6,IF(Table1[[#This Row],[Fetal Sex (Male, Female or Unknown)]]="Female",Backend!$C$7,IF(Table1[[#This Row],[Fetal Sex (Male, Female or Unknown)]]="Unknown",Backend!$C$8,"Error"))),"")</f>
        <v/>
      </c>
      <c r="F8322" s="8" t="str">
        <f>IF(Table1[[#This Row],[Is Data Valid]]=TRUE,EXP(0.578+0.332*((Table1[[#This Row],[Gestation (days)]]+0.5)/7)-0.00354*((Table1[[#This Row],[Gestation (days)]]+0.5)/7)^2)*Table1[[#This Row],[BW40_3705]],"")</f>
        <v/>
      </c>
      <c r="G8322" s="2" t="str">
        <f>IF(Table1[[#This Row],[Is Data Valid]]=TRUE,((Table1[[#This Row],[Birthweight (grams)]]/Table1[[#This Row],[BW_GA]])-1)/(Backend!$B$4/100*Table1[[#This Row],[BW40_3705]]),"")</f>
        <v/>
      </c>
      <c r="H8322" s="7" t="str">
        <f>IF(Table1[[#This Row],[Is Data Valid]]=TRUE,((Table1[[#This Row],[Birthweight (grams)]]*0.9/Table1[[#This Row],[BW_GA]])-1)/(Backend!$B$4/100*Table1[[#This Row],[BW40_3705]]),"")</f>
        <v/>
      </c>
      <c r="I8322" s="7" t="str">
        <f>IF(Table1[[#This Row],[Is Data Valid]]=TRUE,((Table1[[#This Row],[Birthweight (grams)]]*1.1/Table1[[#This Row],[BW_GA]])-1)/(Backend!$B$4/100*Table1[[#This Row],[BW40_3705]]),"")</f>
        <v/>
      </c>
      <c r="J8322" s="7" t="str">
        <f>IF(Table1[[#This Row],[Is Data Valid]]=TRUE,_xlfn.NORM.S.DIST(Table1[[#This Row],[Birthweight Z-Score]],TRUE)*100,"")</f>
        <v/>
      </c>
      <c r="K8322" s="7" t="str">
        <f>IF(Table1[[#This Row],[Is Data Valid]]=TRUE,_xlfn.NORM.S.DIST(Table1[[#This Row],[Birthweight Z-Score (BW-10%)]],TRUE)*100,"")</f>
        <v/>
      </c>
      <c r="L8322" s="7" t="str">
        <f>IF(Table1[[#This Row],[Is Data Valid]]=TRUE,_xlfn.NORM.S.DIST(Table1[[#This Row],[Birthweight Z-Score (BW+10%)]],TRUE)*100,"")</f>
        <v/>
      </c>
    </row>
    <row r="8323" spans="1:12" x14ac:dyDescent="0.35">
      <c r="A8323" s="3"/>
      <c r="B8323" s="2"/>
      <c r="C8323" s="2"/>
      <c r="D8323" s="2" t="b">
        <f>IF(AND(NOT(ISBLANK(Table1[[#This Row],[Fetal Sex (Male, Female or Unknown)]])),ISNUMBER(Table1[[#This Row],[Birthweight (grams)]]),ISNUMBER(Table1[[#This Row],[Gestation (days)]])),TRUE,FALSE)</f>
        <v>0</v>
      </c>
      <c r="E8323" s="2" t="str">
        <f>IF(Table1[[#This Row],[Is Data Valid]]=TRUE,IF(Table1[[#This Row],[Fetal Sex (Male, Female or Unknown)]]="Male",Backend!$C$6,IF(Table1[[#This Row],[Fetal Sex (Male, Female or Unknown)]]="Female",Backend!$C$7,IF(Table1[[#This Row],[Fetal Sex (Male, Female or Unknown)]]="Unknown",Backend!$C$8,"Error"))),"")</f>
        <v/>
      </c>
      <c r="F8323" s="8" t="str">
        <f>IF(Table1[[#This Row],[Is Data Valid]]=TRUE,EXP(0.578+0.332*((Table1[[#This Row],[Gestation (days)]]+0.5)/7)-0.00354*((Table1[[#This Row],[Gestation (days)]]+0.5)/7)^2)*Table1[[#This Row],[BW40_3705]],"")</f>
        <v/>
      </c>
      <c r="G8323" s="2" t="str">
        <f>IF(Table1[[#This Row],[Is Data Valid]]=TRUE,((Table1[[#This Row],[Birthweight (grams)]]/Table1[[#This Row],[BW_GA]])-1)/(Backend!$B$4/100*Table1[[#This Row],[BW40_3705]]),"")</f>
        <v/>
      </c>
      <c r="H8323" s="7" t="str">
        <f>IF(Table1[[#This Row],[Is Data Valid]]=TRUE,((Table1[[#This Row],[Birthweight (grams)]]*0.9/Table1[[#This Row],[BW_GA]])-1)/(Backend!$B$4/100*Table1[[#This Row],[BW40_3705]]),"")</f>
        <v/>
      </c>
      <c r="I8323" s="7" t="str">
        <f>IF(Table1[[#This Row],[Is Data Valid]]=TRUE,((Table1[[#This Row],[Birthweight (grams)]]*1.1/Table1[[#This Row],[BW_GA]])-1)/(Backend!$B$4/100*Table1[[#This Row],[BW40_3705]]),"")</f>
        <v/>
      </c>
      <c r="J8323" s="7" t="str">
        <f>IF(Table1[[#This Row],[Is Data Valid]]=TRUE,_xlfn.NORM.S.DIST(Table1[[#This Row],[Birthweight Z-Score]],TRUE)*100,"")</f>
        <v/>
      </c>
      <c r="K8323" s="7" t="str">
        <f>IF(Table1[[#This Row],[Is Data Valid]]=TRUE,_xlfn.NORM.S.DIST(Table1[[#This Row],[Birthweight Z-Score (BW-10%)]],TRUE)*100,"")</f>
        <v/>
      </c>
      <c r="L8323" s="7" t="str">
        <f>IF(Table1[[#This Row],[Is Data Valid]]=TRUE,_xlfn.NORM.S.DIST(Table1[[#This Row],[Birthweight Z-Score (BW+10%)]],TRUE)*100,"")</f>
        <v/>
      </c>
    </row>
    <row r="8324" spans="1:12" x14ac:dyDescent="0.35">
      <c r="A8324" s="3"/>
      <c r="B8324" s="2"/>
      <c r="C8324" s="2"/>
      <c r="D8324" s="2" t="b">
        <f>IF(AND(NOT(ISBLANK(Table1[[#This Row],[Fetal Sex (Male, Female or Unknown)]])),ISNUMBER(Table1[[#This Row],[Birthweight (grams)]]),ISNUMBER(Table1[[#This Row],[Gestation (days)]])),TRUE,FALSE)</f>
        <v>0</v>
      </c>
      <c r="E8324" s="2" t="str">
        <f>IF(Table1[[#This Row],[Is Data Valid]]=TRUE,IF(Table1[[#This Row],[Fetal Sex (Male, Female or Unknown)]]="Male",Backend!$C$6,IF(Table1[[#This Row],[Fetal Sex (Male, Female or Unknown)]]="Female",Backend!$C$7,IF(Table1[[#This Row],[Fetal Sex (Male, Female or Unknown)]]="Unknown",Backend!$C$8,"Error"))),"")</f>
        <v/>
      </c>
      <c r="F8324" s="8" t="str">
        <f>IF(Table1[[#This Row],[Is Data Valid]]=TRUE,EXP(0.578+0.332*((Table1[[#This Row],[Gestation (days)]]+0.5)/7)-0.00354*((Table1[[#This Row],[Gestation (days)]]+0.5)/7)^2)*Table1[[#This Row],[BW40_3705]],"")</f>
        <v/>
      </c>
      <c r="G8324" s="2" t="str">
        <f>IF(Table1[[#This Row],[Is Data Valid]]=TRUE,((Table1[[#This Row],[Birthweight (grams)]]/Table1[[#This Row],[BW_GA]])-1)/(Backend!$B$4/100*Table1[[#This Row],[BW40_3705]]),"")</f>
        <v/>
      </c>
      <c r="H8324" s="7" t="str">
        <f>IF(Table1[[#This Row],[Is Data Valid]]=TRUE,((Table1[[#This Row],[Birthweight (grams)]]*0.9/Table1[[#This Row],[BW_GA]])-1)/(Backend!$B$4/100*Table1[[#This Row],[BW40_3705]]),"")</f>
        <v/>
      </c>
      <c r="I8324" s="7" t="str">
        <f>IF(Table1[[#This Row],[Is Data Valid]]=TRUE,((Table1[[#This Row],[Birthweight (grams)]]*1.1/Table1[[#This Row],[BW_GA]])-1)/(Backend!$B$4/100*Table1[[#This Row],[BW40_3705]]),"")</f>
        <v/>
      </c>
      <c r="J8324" s="7" t="str">
        <f>IF(Table1[[#This Row],[Is Data Valid]]=TRUE,_xlfn.NORM.S.DIST(Table1[[#This Row],[Birthweight Z-Score]],TRUE)*100,"")</f>
        <v/>
      </c>
      <c r="K8324" s="7" t="str">
        <f>IF(Table1[[#This Row],[Is Data Valid]]=TRUE,_xlfn.NORM.S.DIST(Table1[[#This Row],[Birthweight Z-Score (BW-10%)]],TRUE)*100,"")</f>
        <v/>
      </c>
      <c r="L8324" s="7" t="str">
        <f>IF(Table1[[#This Row],[Is Data Valid]]=TRUE,_xlfn.NORM.S.DIST(Table1[[#This Row],[Birthweight Z-Score (BW+10%)]],TRUE)*100,"")</f>
        <v/>
      </c>
    </row>
    <row r="8325" spans="1:12" x14ac:dyDescent="0.35">
      <c r="A8325" s="3"/>
      <c r="B8325" s="2"/>
      <c r="C8325" s="2"/>
      <c r="D8325" s="2" t="b">
        <f>IF(AND(NOT(ISBLANK(Table1[[#This Row],[Fetal Sex (Male, Female or Unknown)]])),ISNUMBER(Table1[[#This Row],[Birthweight (grams)]]),ISNUMBER(Table1[[#This Row],[Gestation (days)]])),TRUE,FALSE)</f>
        <v>0</v>
      </c>
      <c r="E8325" s="2" t="str">
        <f>IF(Table1[[#This Row],[Is Data Valid]]=TRUE,IF(Table1[[#This Row],[Fetal Sex (Male, Female or Unknown)]]="Male",Backend!$C$6,IF(Table1[[#This Row],[Fetal Sex (Male, Female or Unknown)]]="Female",Backend!$C$7,IF(Table1[[#This Row],[Fetal Sex (Male, Female or Unknown)]]="Unknown",Backend!$C$8,"Error"))),"")</f>
        <v/>
      </c>
      <c r="F8325" s="8" t="str">
        <f>IF(Table1[[#This Row],[Is Data Valid]]=TRUE,EXP(0.578+0.332*((Table1[[#This Row],[Gestation (days)]]+0.5)/7)-0.00354*((Table1[[#This Row],[Gestation (days)]]+0.5)/7)^2)*Table1[[#This Row],[BW40_3705]],"")</f>
        <v/>
      </c>
      <c r="G8325" s="2" t="str">
        <f>IF(Table1[[#This Row],[Is Data Valid]]=TRUE,((Table1[[#This Row],[Birthweight (grams)]]/Table1[[#This Row],[BW_GA]])-1)/(Backend!$B$4/100*Table1[[#This Row],[BW40_3705]]),"")</f>
        <v/>
      </c>
      <c r="H8325" s="7" t="str">
        <f>IF(Table1[[#This Row],[Is Data Valid]]=TRUE,((Table1[[#This Row],[Birthweight (grams)]]*0.9/Table1[[#This Row],[BW_GA]])-1)/(Backend!$B$4/100*Table1[[#This Row],[BW40_3705]]),"")</f>
        <v/>
      </c>
      <c r="I8325" s="7" t="str">
        <f>IF(Table1[[#This Row],[Is Data Valid]]=TRUE,((Table1[[#This Row],[Birthweight (grams)]]*1.1/Table1[[#This Row],[BW_GA]])-1)/(Backend!$B$4/100*Table1[[#This Row],[BW40_3705]]),"")</f>
        <v/>
      </c>
      <c r="J8325" s="7" t="str">
        <f>IF(Table1[[#This Row],[Is Data Valid]]=TRUE,_xlfn.NORM.S.DIST(Table1[[#This Row],[Birthweight Z-Score]],TRUE)*100,"")</f>
        <v/>
      </c>
      <c r="K8325" s="7" t="str">
        <f>IF(Table1[[#This Row],[Is Data Valid]]=TRUE,_xlfn.NORM.S.DIST(Table1[[#This Row],[Birthweight Z-Score (BW-10%)]],TRUE)*100,"")</f>
        <v/>
      </c>
      <c r="L8325" s="7" t="str">
        <f>IF(Table1[[#This Row],[Is Data Valid]]=TRUE,_xlfn.NORM.S.DIST(Table1[[#This Row],[Birthweight Z-Score (BW+10%)]],TRUE)*100,"")</f>
        <v/>
      </c>
    </row>
    <row r="8326" spans="1:12" x14ac:dyDescent="0.35">
      <c r="A8326" s="3"/>
      <c r="B8326" s="2"/>
      <c r="C8326" s="2"/>
      <c r="D8326" s="2" t="b">
        <f>IF(AND(NOT(ISBLANK(Table1[[#This Row],[Fetal Sex (Male, Female or Unknown)]])),ISNUMBER(Table1[[#This Row],[Birthweight (grams)]]),ISNUMBER(Table1[[#This Row],[Gestation (days)]])),TRUE,FALSE)</f>
        <v>0</v>
      </c>
      <c r="E8326" s="2" t="str">
        <f>IF(Table1[[#This Row],[Is Data Valid]]=TRUE,IF(Table1[[#This Row],[Fetal Sex (Male, Female or Unknown)]]="Male",Backend!$C$6,IF(Table1[[#This Row],[Fetal Sex (Male, Female or Unknown)]]="Female",Backend!$C$7,IF(Table1[[#This Row],[Fetal Sex (Male, Female or Unknown)]]="Unknown",Backend!$C$8,"Error"))),"")</f>
        <v/>
      </c>
      <c r="F8326" s="8" t="str">
        <f>IF(Table1[[#This Row],[Is Data Valid]]=TRUE,EXP(0.578+0.332*((Table1[[#This Row],[Gestation (days)]]+0.5)/7)-0.00354*((Table1[[#This Row],[Gestation (days)]]+0.5)/7)^2)*Table1[[#This Row],[BW40_3705]],"")</f>
        <v/>
      </c>
      <c r="G8326" s="2" t="str">
        <f>IF(Table1[[#This Row],[Is Data Valid]]=TRUE,((Table1[[#This Row],[Birthweight (grams)]]/Table1[[#This Row],[BW_GA]])-1)/(Backend!$B$4/100*Table1[[#This Row],[BW40_3705]]),"")</f>
        <v/>
      </c>
      <c r="H8326" s="7" t="str">
        <f>IF(Table1[[#This Row],[Is Data Valid]]=TRUE,((Table1[[#This Row],[Birthweight (grams)]]*0.9/Table1[[#This Row],[BW_GA]])-1)/(Backend!$B$4/100*Table1[[#This Row],[BW40_3705]]),"")</f>
        <v/>
      </c>
      <c r="I8326" s="7" t="str">
        <f>IF(Table1[[#This Row],[Is Data Valid]]=TRUE,((Table1[[#This Row],[Birthweight (grams)]]*1.1/Table1[[#This Row],[BW_GA]])-1)/(Backend!$B$4/100*Table1[[#This Row],[BW40_3705]]),"")</f>
        <v/>
      </c>
      <c r="J8326" s="7" t="str">
        <f>IF(Table1[[#This Row],[Is Data Valid]]=TRUE,_xlfn.NORM.S.DIST(Table1[[#This Row],[Birthweight Z-Score]],TRUE)*100,"")</f>
        <v/>
      </c>
      <c r="K8326" s="7" t="str">
        <f>IF(Table1[[#This Row],[Is Data Valid]]=TRUE,_xlfn.NORM.S.DIST(Table1[[#This Row],[Birthweight Z-Score (BW-10%)]],TRUE)*100,"")</f>
        <v/>
      </c>
      <c r="L8326" s="7" t="str">
        <f>IF(Table1[[#This Row],[Is Data Valid]]=TRUE,_xlfn.NORM.S.DIST(Table1[[#This Row],[Birthweight Z-Score (BW+10%)]],TRUE)*100,"")</f>
        <v/>
      </c>
    </row>
    <row r="8327" spans="1:12" x14ac:dyDescent="0.35">
      <c r="A8327" s="3"/>
      <c r="B8327" s="2"/>
      <c r="C8327" s="2"/>
      <c r="D8327" s="2" t="b">
        <f>IF(AND(NOT(ISBLANK(Table1[[#This Row],[Fetal Sex (Male, Female or Unknown)]])),ISNUMBER(Table1[[#This Row],[Birthweight (grams)]]),ISNUMBER(Table1[[#This Row],[Gestation (days)]])),TRUE,FALSE)</f>
        <v>0</v>
      </c>
      <c r="E8327" s="2" t="str">
        <f>IF(Table1[[#This Row],[Is Data Valid]]=TRUE,IF(Table1[[#This Row],[Fetal Sex (Male, Female or Unknown)]]="Male",Backend!$C$6,IF(Table1[[#This Row],[Fetal Sex (Male, Female or Unknown)]]="Female",Backend!$C$7,IF(Table1[[#This Row],[Fetal Sex (Male, Female or Unknown)]]="Unknown",Backend!$C$8,"Error"))),"")</f>
        <v/>
      </c>
      <c r="F8327" s="8" t="str">
        <f>IF(Table1[[#This Row],[Is Data Valid]]=TRUE,EXP(0.578+0.332*((Table1[[#This Row],[Gestation (days)]]+0.5)/7)-0.00354*((Table1[[#This Row],[Gestation (days)]]+0.5)/7)^2)*Table1[[#This Row],[BW40_3705]],"")</f>
        <v/>
      </c>
      <c r="G8327" s="2" t="str">
        <f>IF(Table1[[#This Row],[Is Data Valid]]=TRUE,((Table1[[#This Row],[Birthweight (grams)]]/Table1[[#This Row],[BW_GA]])-1)/(Backend!$B$4/100*Table1[[#This Row],[BW40_3705]]),"")</f>
        <v/>
      </c>
      <c r="H8327" s="7" t="str">
        <f>IF(Table1[[#This Row],[Is Data Valid]]=TRUE,((Table1[[#This Row],[Birthweight (grams)]]*0.9/Table1[[#This Row],[BW_GA]])-1)/(Backend!$B$4/100*Table1[[#This Row],[BW40_3705]]),"")</f>
        <v/>
      </c>
      <c r="I8327" s="7" t="str">
        <f>IF(Table1[[#This Row],[Is Data Valid]]=TRUE,((Table1[[#This Row],[Birthweight (grams)]]*1.1/Table1[[#This Row],[BW_GA]])-1)/(Backend!$B$4/100*Table1[[#This Row],[BW40_3705]]),"")</f>
        <v/>
      </c>
      <c r="J8327" s="7" t="str">
        <f>IF(Table1[[#This Row],[Is Data Valid]]=TRUE,_xlfn.NORM.S.DIST(Table1[[#This Row],[Birthweight Z-Score]],TRUE)*100,"")</f>
        <v/>
      </c>
      <c r="K8327" s="7" t="str">
        <f>IF(Table1[[#This Row],[Is Data Valid]]=TRUE,_xlfn.NORM.S.DIST(Table1[[#This Row],[Birthweight Z-Score (BW-10%)]],TRUE)*100,"")</f>
        <v/>
      </c>
      <c r="L8327" s="7" t="str">
        <f>IF(Table1[[#This Row],[Is Data Valid]]=TRUE,_xlfn.NORM.S.DIST(Table1[[#This Row],[Birthweight Z-Score (BW+10%)]],TRUE)*100,"")</f>
        <v/>
      </c>
    </row>
    <row r="8328" spans="1:12" x14ac:dyDescent="0.35">
      <c r="A8328" s="3"/>
      <c r="B8328" s="2"/>
      <c r="C8328" s="2"/>
      <c r="D8328" s="2" t="b">
        <f>IF(AND(NOT(ISBLANK(Table1[[#This Row],[Fetal Sex (Male, Female or Unknown)]])),ISNUMBER(Table1[[#This Row],[Birthweight (grams)]]),ISNUMBER(Table1[[#This Row],[Gestation (days)]])),TRUE,FALSE)</f>
        <v>0</v>
      </c>
      <c r="E8328" s="2" t="str">
        <f>IF(Table1[[#This Row],[Is Data Valid]]=TRUE,IF(Table1[[#This Row],[Fetal Sex (Male, Female or Unknown)]]="Male",Backend!$C$6,IF(Table1[[#This Row],[Fetal Sex (Male, Female or Unknown)]]="Female",Backend!$C$7,IF(Table1[[#This Row],[Fetal Sex (Male, Female or Unknown)]]="Unknown",Backend!$C$8,"Error"))),"")</f>
        <v/>
      </c>
      <c r="F8328" s="8" t="str">
        <f>IF(Table1[[#This Row],[Is Data Valid]]=TRUE,EXP(0.578+0.332*((Table1[[#This Row],[Gestation (days)]]+0.5)/7)-0.00354*((Table1[[#This Row],[Gestation (days)]]+0.5)/7)^2)*Table1[[#This Row],[BW40_3705]],"")</f>
        <v/>
      </c>
      <c r="G8328" s="2" t="str">
        <f>IF(Table1[[#This Row],[Is Data Valid]]=TRUE,((Table1[[#This Row],[Birthweight (grams)]]/Table1[[#This Row],[BW_GA]])-1)/(Backend!$B$4/100*Table1[[#This Row],[BW40_3705]]),"")</f>
        <v/>
      </c>
      <c r="H8328" s="7" t="str">
        <f>IF(Table1[[#This Row],[Is Data Valid]]=TRUE,((Table1[[#This Row],[Birthweight (grams)]]*0.9/Table1[[#This Row],[BW_GA]])-1)/(Backend!$B$4/100*Table1[[#This Row],[BW40_3705]]),"")</f>
        <v/>
      </c>
      <c r="I8328" s="7" t="str">
        <f>IF(Table1[[#This Row],[Is Data Valid]]=TRUE,((Table1[[#This Row],[Birthweight (grams)]]*1.1/Table1[[#This Row],[BW_GA]])-1)/(Backend!$B$4/100*Table1[[#This Row],[BW40_3705]]),"")</f>
        <v/>
      </c>
      <c r="J8328" s="7" t="str">
        <f>IF(Table1[[#This Row],[Is Data Valid]]=TRUE,_xlfn.NORM.S.DIST(Table1[[#This Row],[Birthweight Z-Score]],TRUE)*100,"")</f>
        <v/>
      </c>
      <c r="K8328" s="7" t="str">
        <f>IF(Table1[[#This Row],[Is Data Valid]]=TRUE,_xlfn.NORM.S.DIST(Table1[[#This Row],[Birthweight Z-Score (BW-10%)]],TRUE)*100,"")</f>
        <v/>
      </c>
      <c r="L8328" s="7" t="str">
        <f>IF(Table1[[#This Row],[Is Data Valid]]=TRUE,_xlfn.NORM.S.DIST(Table1[[#This Row],[Birthweight Z-Score (BW+10%)]],TRUE)*100,"")</f>
        <v/>
      </c>
    </row>
    <row r="8329" spans="1:12" x14ac:dyDescent="0.35">
      <c r="A8329" s="3"/>
      <c r="B8329" s="2"/>
      <c r="C8329" s="2"/>
      <c r="D8329" s="2" t="b">
        <f>IF(AND(NOT(ISBLANK(Table1[[#This Row],[Fetal Sex (Male, Female or Unknown)]])),ISNUMBER(Table1[[#This Row],[Birthweight (grams)]]),ISNUMBER(Table1[[#This Row],[Gestation (days)]])),TRUE,FALSE)</f>
        <v>0</v>
      </c>
      <c r="E8329" s="2" t="str">
        <f>IF(Table1[[#This Row],[Is Data Valid]]=TRUE,IF(Table1[[#This Row],[Fetal Sex (Male, Female or Unknown)]]="Male",Backend!$C$6,IF(Table1[[#This Row],[Fetal Sex (Male, Female or Unknown)]]="Female",Backend!$C$7,IF(Table1[[#This Row],[Fetal Sex (Male, Female or Unknown)]]="Unknown",Backend!$C$8,"Error"))),"")</f>
        <v/>
      </c>
      <c r="F8329" s="8" t="str">
        <f>IF(Table1[[#This Row],[Is Data Valid]]=TRUE,EXP(0.578+0.332*((Table1[[#This Row],[Gestation (days)]]+0.5)/7)-0.00354*((Table1[[#This Row],[Gestation (days)]]+0.5)/7)^2)*Table1[[#This Row],[BW40_3705]],"")</f>
        <v/>
      </c>
      <c r="G8329" s="2" t="str">
        <f>IF(Table1[[#This Row],[Is Data Valid]]=TRUE,((Table1[[#This Row],[Birthweight (grams)]]/Table1[[#This Row],[BW_GA]])-1)/(Backend!$B$4/100*Table1[[#This Row],[BW40_3705]]),"")</f>
        <v/>
      </c>
      <c r="H8329" s="7" t="str">
        <f>IF(Table1[[#This Row],[Is Data Valid]]=TRUE,((Table1[[#This Row],[Birthweight (grams)]]*0.9/Table1[[#This Row],[BW_GA]])-1)/(Backend!$B$4/100*Table1[[#This Row],[BW40_3705]]),"")</f>
        <v/>
      </c>
      <c r="I8329" s="7" t="str">
        <f>IF(Table1[[#This Row],[Is Data Valid]]=TRUE,((Table1[[#This Row],[Birthweight (grams)]]*1.1/Table1[[#This Row],[BW_GA]])-1)/(Backend!$B$4/100*Table1[[#This Row],[BW40_3705]]),"")</f>
        <v/>
      </c>
      <c r="J8329" s="7" t="str">
        <f>IF(Table1[[#This Row],[Is Data Valid]]=TRUE,_xlfn.NORM.S.DIST(Table1[[#This Row],[Birthweight Z-Score]],TRUE)*100,"")</f>
        <v/>
      </c>
      <c r="K8329" s="7" t="str">
        <f>IF(Table1[[#This Row],[Is Data Valid]]=TRUE,_xlfn.NORM.S.DIST(Table1[[#This Row],[Birthweight Z-Score (BW-10%)]],TRUE)*100,"")</f>
        <v/>
      </c>
      <c r="L8329" s="7" t="str">
        <f>IF(Table1[[#This Row],[Is Data Valid]]=TRUE,_xlfn.NORM.S.DIST(Table1[[#This Row],[Birthweight Z-Score (BW+10%)]],TRUE)*100,"")</f>
        <v/>
      </c>
    </row>
    <row r="8330" spans="1:12" x14ac:dyDescent="0.35">
      <c r="A8330" s="3"/>
      <c r="B8330" s="2"/>
      <c r="C8330" s="2"/>
      <c r="D8330" s="2" t="b">
        <f>IF(AND(NOT(ISBLANK(Table1[[#This Row],[Fetal Sex (Male, Female or Unknown)]])),ISNUMBER(Table1[[#This Row],[Birthweight (grams)]]),ISNUMBER(Table1[[#This Row],[Gestation (days)]])),TRUE,FALSE)</f>
        <v>0</v>
      </c>
      <c r="E8330" s="2" t="str">
        <f>IF(Table1[[#This Row],[Is Data Valid]]=TRUE,IF(Table1[[#This Row],[Fetal Sex (Male, Female or Unknown)]]="Male",Backend!$C$6,IF(Table1[[#This Row],[Fetal Sex (Male, Female or Unknown)]]="Female",Backend!$C$7,IF(Table1[[#This Row],[Fetal Sex (Male, Female or Unknown)]]="Unknown",Backend!$C$8,"Error"))),"")</f>
        <v/>
      </c>
      <c r="F8330" s="8" t="str">
        <f>IF(Table1[[#This Row],[Is Data Valid]]=TRUE,EXP(0.578+0.332*((Table1[[#This Row],[Gestation (days)]]+0.5)/7)-0.00354*((Table1[[#This Row],[Gestation (days)]]+0.5)/7)^2)*Table1[[#This Row],[BW40_3705]],"")</f>
        <v/>
      </c>
      <c r="G8330" s="2" t="str">
        <f>IF(Table1[[#This Row],[Is Data Valid]]=TRUE,((Table1[[#This Row],[Birthweight (grams)]]/Table1[[#This Row],[BW_GA]])-1)/(Backend!$B$4/100*Table1[[#This Row],[BW40_3705]]),"")</f>
        <v/>
      </c>
      <c r="H8330" s="7" t="str">
        <f>IF(Table1[[#This Row],[Is Data Valid]]=TRUE,((Table1[[#This Row],[Birthweight (grams)]]*0.9/Table1[[#This Row],[BW_GA]])-1)/(Backend!$B$4/100*Table1[[#This Row],[BW40_3705]]),"")</f>
        <v/>
      </c>
      <c r="I8330" s="7" t="str">
        <f>IF(Table1[[#This Row],[Is Data Valid]]=TRUE,((Table1[[#This Row],[Birthweight (grams)]]*1.1/Table1[[#This Row],[BW_GA]])-1)/(Backend!$B$4/100*Table1[[#This Row],[BW40_3705]]),"")</f>
        <v/>
      </c>
      <c r="J8330" s="7" t="str">
        <f>IF(Table1[[#This Row],[Is Data Valid]]=TRUE,_xlfn.NORM.S.DIST(Table1[[#This Row],[Birthweight Z-Score]],TRUE)*100,"")</f>
        <v/>
      </c>
      <c r="K8330" s="7" t="str">
        <f>IF(Table1[[#This Row],[Is Data Valid]]=TRUE,_xlfn.NORM.S.DIST(Table1[[#This Row],[Birthweight Z-Score (BW-10%)]],TRUE)*100,"")</f>
        <v/>
      </c>
      <c r="L8330" s="7" t="str">
        <f>IF(Table1[[#This Row],[Is Data Valid]]=TRUE,_xlfn.NORM.S.DIST(Table1[[#This Row],[Birthweight Z-Score (BW+10%)]],TRUE)*100,"")</f>
        <v/>
      </c>
    </row>
    <row r="8331" spans="1:12" x14ac:dyDescent="0.35">
      <c r="A8331" s="3"/>
      <c r="B8331" s="2"/>
      <c r="C8331" s="2"/>
      <c r="D8331" s="2" t="b">
        <f>IF(AND(NOT(ISBLANK(Table1[[#This Row],[Fetal Sex (Male, Female or Unknown)]])),ISNUMBER(Table1[[#This Row],[Birthweight (grams)]]),ISNUMBER(Table1[[#This Row],[Gestation (days)]])),TRUE,FALSE)</f>
        <v>0</v>
      </c>
      <c r="E8331" s="2" t="str">
        <f>IF(Table1[[#This Row],[Is Data Valid]]=TRUE,IF(Table1[[#This Row],[Fetal Sex (Male, Female or Unknown)]]="Male",Backend!$C$6,IF(Table1[[#This Row],[Fetal Sex (Male, Female or Unknown)]]="Female",Backend!$C$7,IF(Table1[[#This Row],[Fetal Sex (Male, Female or Unknown)]]="Unknown",Backend!$C$8,"Error"))),"")</f>
        <v/>
      </c>
      <c r="F8331" s="8" t="str">
        <f>IF(Table1[[#This Row],[Is Data Valid]]=TRUE,EXP(0.578+0.332*((Table1[[#This Row],[Gestation (days)]]+0.5)/7)-0.00354*((Table1[[#This Row],[Gestation (days)]]+0.5)/7)^2)*Table1[[#This Row],[BW40_3705]],"")</f>
        <v/>
      </c>
      <c r="G8331" s="2" t="str">
        <f>IF(Table1[[#This Row],[Is Data Valid]]=TRUE,((Table1[[#This Row],[Birthweight (grams)]]/Table1[[#This Row],[BW_GA]])-1)/(Backend!$B$4/100*Table1[[#This Row],[BW40_3705]]),"")</f>
        <v/>
      </c>
      <c r="H8331" s="7" t="str">
        <f>IF(Table1[[#This Row],[Is Data Valid]]=TRUE,((Table1[[#This Row],[Birthweight (grams)]]*0.9/Table1[[#This Row],[BW_GA]])-1)/(Backend!$B$4/100*Table1[[#This Row],[BW40_3705]]),"")</f>
        <v/>
      </c>
      <c r="I8331" s="7" t="str">
        <f>IF(Table1[[#This Row],[Is Data Valid]]=TRUE,((Table1[[#This Row],[Birthweight (grams)]]*1.1/Table1[[#This Row],[BW_GA]])-1)/(Backend!$B$4/100*Table1[[#This Row],[BW40_3705]]),"")</f>
        <v/>
      </c>
      <c r="J8331" s="7" t="str">
        <f>IF(Table1[[#This Row],[Is Data Valid]]=TRUE,_xlfn.NORM.S.DIST(Table1[[#This Row],[Birthweight Z-Score]],TRUE)*100,"")</f>
        <v/>
      </c>
      <c r="K8331" s="7" t="str">
        <f>IF(Table1[[#This Row],[Is Data Valid]]=TRUE,_xlfn.NORM.S.DIST(Table1[[#This Row],[Birthweight Z-Score (BW-10%)]],TRUE)*100,"")</f>
        <v/>
      </c>
      <c r="L8331" s="7" t="str">
        <f>IF(Table1[[#This Row],[Is Data Valid]]=TRUE,_xlfn.NORM.S.DIST(Table1[[#This Row],[Birthweight Z-Score (BW+10%)]],TRUE)*100,"")</f>
        <v/>
      </c>
    </row>
    <row r="8332" spans="1:12" x14ac:dyDescent="0.35">
      <c r="A8332" s="3"/>
      <c r="B8332" s="2"/>
      <c r="C8332" s="2"/>
      <c r="D8332" s="2" t="b">
        <f>IF(AND(NOT(ISBLANK(Table1[[#This Row],[Fetal Sex (Male, Female or Unknown)]])),ISNUMBER(Table1[[#This Row],[Birthweight (grams)]]),ISNUMBER(Table1[[#This Row],[Gestation (days)]])),TRUE,FALSE)</f>
        <v>0</v>
      </c>
      <c r="E8332" s="2" t="str">
        <f>IF(Table1[[#This Row],[Is Data Valid]]=TRUE,IF(Table1[[#This Row],[Fetal Sex (Male, Female or Unknown)]]="Male",Backend!$C$6,IF(Table1[[#This Row],[Fetal Sex (Male, Female or Unknown)]]="Female",Backend!$C$7,IF(Table1[[#This Row],[Fetal Sex (Male, Female or Unknown)]]="Unknown",Backend!$C$8,"Error"))),"")</f>
        <v/>
      </c>
      <c r="F8332" s="8" t="str">
        <f>IF(Table1[[#This Row],[Is Data Valid]]=TRUE,EXP(0.578+0.332*((Table1[[#This Row],[Gestation (days)]]+0.5)/7)-0.00354*((Table1[[#This Row],[Gestation (days)]]+0.5)/7)^2)*Table1[[#This Row],[BW40_3705]],"")</f>
        <v/>
      </c>
      <c r="G8332" s="2" t="str">
        <f>IF(Table1[[#This Row],[Is Data Valid]]=TRUE,((Table1[[#This Row],[Birthweight (grams)]]/Table1[[#This Row],[BW_GA]])-1)/(Backend!$B$4/100*Table1[[#This Row],[BW40_3705]]),"")</f>
        <v/>
      </c>
      <c r="H8332" s="7" t="str">
        <f>IF(Table1[[#This Row],[Is Data Valid]]=TRUE,((Table1[[#This Row],[Birthweight (grams)]]*0.9/Table1[[#This Row],[BW_GA]])-1)/(Backend!$B$4/100*Table1[[#This Row],[BW40_3705]]),"")</f>
        <v/>
      </c>
      <c r="I8332" s="7" t="str">
        <f>IF(Table1[[#This Row],[Is Data Valid]]=TRUE,((Table1[[#This Row],[Birthweight (grams)]]*1.1/Table1[[#This Row],[BW_GA]])-1)/(Backend!$B$4/100*Table1[[#This Row],[BW40_3705]]),"")</f>
        <v/>
      </c>
      <c r="J8332" s="7" t="str">
        <f>IF(Table1[[#This Row],[Is Data Valid]]=TRUE,_xlfn.NORM.S.DIST(Table1[[#This Row],[Birthweight Z-Score]],TRUE)*100,"")</f>
        <v/>
      </c>
      <c r="K8332" s="7" t="str">
        <f>IF(Table1[[#This Row],[Is Data Valid]]=TRUE,_xlfn.NORM.S.DIST(Table1[[#This Row],[Birthweight Z-Score (BW-10%)]],TRUE)*100,"")</f>
        <v/>
      </c>
      <c r="L8332" s="7" t="str">
        <f>IF(Table1[[#This Row],[Is Data Valid]]=TRUE,_xlfn.NORM.S.DIST(Table1[[#This Row],[Birthweight Z-Score (BW+10%)]],TRUE)*100,"")</f>
        <v/>
      </c>
    </row>
    <row r="8333" spans="1:12" x14ac:dyDescent="0.35">
      <c r="A8333" s="3"/>
      <c r="B8333" s="2"/>
      <c r="C8333" s="2"/>
      <c r="D8333" s="2" t="b">
        <f>IF(AND(NOT(ISBLANK(Table1[[#This Row],[Fetal Sex (Male, Female or Unknown)]])),ISNUMBER(Table1[[#This Row],[Birthweight (grams)]]),ISNUMBER(Table1[[#This Row],[Gestation (days)]])),TRUE,FALSE)</f>
        <v>0</v>
      </c>
      <c r="E8333" s="2" t="str">
        <f>IF(Table1[[#This Row],[Is Data Valid]]=TRUE,IF(Table1[[#This Row],[Fetal Sex (Male, Female or Unknown)]]="Male",Backend!$C$6,IF(Table1[[#This Row],[Fetal Sex (Male, Female or Unknown)]]="Female",Backend!$C$7,IF(Table1[[#This Row],[Fetal Sex (Male, Female or Unknown)]]="Unknown",Backend!$C$8,"Error"))),"")</f>
        <v/>
      </c>
      <c r="F8333" s="8" t="str">
        <f>IF(Table1[[#This Row],[Is Data Valid]]=TRUE,EXP(0.578+0.332*((Table1[[#This Row],[Gestation (days)]]+0.5)/7)-0.00354*((Table1[[#This Row],[Gestation (days)]]+0.5)/7)^2)*Table1[[#This Row],[BW40_3705]],"")</f>
        <v/>
      </c>
      <c r="G8333" s="2" t="str">
        <f>IF(Table1[[#This Row],[Is Data Valid]]=TRUE,((Table1[[#This Row],[Birthweight (grams)]]/Table1[[#This Row],[BW_GA]])-1)/(Backend!$B$4/100*Table1[[#This Row],[BW40_3705]]),"")</f>
        <v/>
      </c>
      <c r="H8333" s="7" t="str">
        <f>IF(Table1[[#This Row],[Is Data Valid]]=TRUE,((Table1[[#This Row],[Birthweight (grams)]]*0.9/Table1[[#This Row],[BW_GA]])-1)/(Backend!$B$4/100*Table1[[#This Row],[BW40_3705]]),"")</f>
        <v/>
      </c>
      <c r="I8333" s="7" t="str">
        <f>IF(Table1[[#This Row],[Is Data Valid]]=TRUE,((Table1[[#This Row],[Birthweight (grams)]]*1.1/Table1[[#This Row],[BW_GA]])-1)/(Backend!$B$4/100*Table1[[#This Row],[BW40_3705]]),"")</f>
        <v/>
      </c>
      <c r="J8333" s="7" t="str">
        <f>IF(Table1[[#This Row],[Is Data Valid]]=TRUE,_xlfn.NORM.S.DIST(Table1[[#This Row],[Birthweight Z-Score]],TRUE)*100,"")</f>
        <v/>
      </c>
      <c r="K8333" s="7" t="str">
        <f>IF(Table1[[#This Row],[Is Data Valid]]=TRUE,_xlfn.NORM.S.DIST(Table1[[#This Row],[Birthweight Z-Score (BW-10%)]],TRUE)*100,"")</f>
        <v/>
      </c>
      <c r="L8333" s="7" t="str">
        <f>IF(Table1[[#This Row],[Is Data Valid]]=TRUE,_xlfn.NORM.S.DIST(Table1[[#This Row],[Birthweight Z-Score (BW+10%)]],TRUE)*100,"")</f>
        <v/>
      </c>
    </row>
    <row r="8334" spans="1:12" x14ac:dyDescent="0.35">
      <c r="A8334" s="3"/>
      <c r="B8334" s="2"/>
      <c r="C8334" s="2"/>
      <c r="D8334" s="2" t="b">
        <f>IF(AND(NOT(ISBLANK(Table1[[#This Row],[Fetal Sex (Male, Female or Unknown)]])),ISNUMBER(Table1[[#This Row],[Birthweight (grams)]]),ISNUMBER(Table1[[#This Row],[Gestation (days)]])),TRUE,FALSE)</f>
        <v>0</v>
      </c>
      <c r="E8334" s="2" t="str">
        <f>IF(Table1[[#This Row],[Is Data Valid]]=TRUE,IF(Table1[[#This Row],[Fetal Sex (Male, Female or Unknown)]]="Male",Backend!$C$6,IF(Table1[[#This Row],[Fetal Sex (Male, Female or Unknown)]]="Female",Backend!$C$7,IF(Table1[[#This Row],[Fetal Sex (Male, Female or Unknown)]]="Unknown",Backend!$C$8,"Error"))),"")</f>
        <v/>
      </c>
      <c r="F8334" s="8" t="str">
        <f>IF(Table1[[#This Row],[Is Data Valid]]=TRUE,EXP(0.578+0.332*((Table1[[#This Row],[Gestation (days)]]+0.5)/7)-0.00354*((Table1[[#This Row],[Gestation (days)]]+0.5)/7)^2)*Table1[[#This Row],[BW40_3705]],"")</f>
        <v/>
      </c>
      <c r="G8334" s="2" t="str">
        <f>IF(Table1[[#This Row],[Is Data Valid]]=TRUE,((Table1[[#This Row],[Birthweight (grams)]]/Table1[[#This Row],[BW_GA]])-1)/(Backend!$B$4/100*Table1[[#This Row],[BW40_3705]]),"")</f>
        <v/>
      </c>
      <c r="H8334" s="7" t="str">
        <f>IF(Table1[[#This Row],[Is Data Valid]]=TRUE,((Table1[[#This Row],[Birthweight (grams)]]*0.9/Table1[[#This Row],[BW_GA]])-1)/(Backend!$B$4/100*Table1[[#This Row],[BW40_3705]]),"")</f>
        <v/>
      </c>
      <c r="I8334" s="7" t="str">
        <f>IF(Table1[[#This Row],[Is Data Valid]]=TRUE,((Table1[[#This Row],[Birthweight (grams)]]*1.1/Table1[[#This Row],[BW_GA]])-1)/(Backend!$B$4/100*Table1[[#This Row],[BW40_3705]]),"")</f>
        <v/>
      </c>
      <c r="J8334" s="7" t="str">
        <f>IF(Table1[[#This Row],[Is Data Valid]]=TRUE,_xlfn.NORM.S.DIST(Table1[[#This Row],[Birthweight Z-Score]],TRUE)*100,"")</f>
        <v/>
      </c>
      <c r="K8334" s="7" t="str">
        <f>IF(Table1[[#This Row],[Is Data Valid]]=TRUE,_xlfn.NORM.S.DIST(Table1[[#This Row],[Birthweight Z-Score (BW-10%)]],TRUE)*100,"")</f>
        <v/>
      </c>
      <c r="L8334" s="7" t="str">
        <f>IF(Table1[[#This Row],[Is Data Valid]]=TRUE,_xlfn.NORM.S.DIST(Table1[[#This Row],[Birthweight Z-Score (BW+10%)]],TRUE)*100,"")</f>
        <v/>
      </c>
    </row>
    <row r="8335" spans="1:12" x14ac:dyDescent="0.35">
      <c r="A8335" s="3"/>
      <c r="B8335" s="2"/>
      <c r="C8335" s="2"/>
      <c r="D8335" s="2" t="b">
        <f>IF(AND(NOT(ISBLANK(Table1[[#This Row],[Fetal Sex (Male, Female or Unknown)]])),ISNUMBER(Table1[[#This Row],[Birthweight (grams)]]),ISNUMBER(Table1[[#This Row],[Gestation (days)]])),TRUE,FALSE)</f>
        <v>0</v>
      </c>
      <c r="E8335" s="2" t="str">
        <f>IF(Table1[[#This Row],[Is Data Valid]]=TRUE,IF(Table1[[#This Row],[Fetal Sex (Male, Female or Unknown)]]="Male",Backend!$C$6,IF(Table1[[#This Row],[Fetal Sex (Male, Female or Unknown)]]="Female",Backend!$C$7,IF(Table1[[#This Row],[Fetal Sex (Male, Female or Unknown)]]="Unknown",Backend!$C$8,"Error"))),"")</f>
        <v/>
      </c>
      <c r="F8335" s="8" t="str">
        <f>IF(Table1[[#This Row],[Is Data Valid]]=TRUE,EXP(0.578+0.332*((Table1[[#This Row],[Gestation (days)]]+0.5)/7)-0.00354*((Table1[[#This Row],[Gestation (days)]]+0.5)/7)^2)*Table1[[#This Row],[BW40_3705]],"")</f>
        <v/>
      </c>
      <c r="G8335" s="2" t="str">
        <f>IF(Table1[[#This Row],[Is Data Valid]]=TRUE,((Table1[[#This Row],[Birthweight (grams)]]/Table1[[#This Row],[BW_GA]])-1)/(Backend!$B$4/100*Table1[[#This Row],[BW40_3705]]),"")</f>
        <v/>
      </c>
      <c r="H8335" s="7" t="str">
        <f>IF(Table1[[#This Row],[Is Data Valid]]=TRUE,((Table1[[#This Row],[Birthweight (grams)]]*0.9/Table1[[#This Row],[BW_GA]])-1)/(Backend!$B$4/100*Table1[[#This Row],[BW40_3705]]),"")</f>
        <v/>
      </c>
      <c r="I8335" s="7" t="str">
        <f>IF(Table1[[#This Row],[Is Data Valid]]=TRUE,((Table1[[#This Row],[Birthweight (grams)]]*1.1/Table1[[#This Row],[BW_GA]])-1)/(Backend!$B$4/100*Table1[[#This Row],[BW40_3705]]),"")</f>
        <v/>
      </c>
      <c r="J8335" s="7" t="str">
        <f>IF(Table1[[#This Row],[Is Data Valid]]=TRUE,_xlfn.NORM.S.DIST(Table1[[#This Row],[Birthweight Z-Score]],TRUE)*100,"")</f>
        <v/>
      </c>
      <c r="K8335" s="7" t="str">
        <f>IF(Table1[[#This Row],[Is Data Valid]]=TRUE,_xlfn.NORM.S.DIST(Table1[[#This Row],[Birthweight Z-Score (BW-10%)]],TRUE)*100,"")</f>
        <v/>
      </c>
      <c r="L8335" s="7" t="str">
        <f>IF(Table1[[#This Row],[Is Data Valid]]=TRUE,_xlfn.NORM.S.DIST(Table1[[#This Row],[Birthweight Z-Score (BW+10%)]],TRUE)*100,"")</f>
        <v/>
      </c>
    </row>
    <row r="8336" spans="1:12" x14ac:dyDescent="0.35">
      <c r="A8336" s="3"/>
      <c r="B8336" s="2"/>
      <c r="C8336" s="2"/>
      <c r="D8336" s="2" t="b">
        <f>IF(AND(NOT(ISBLANK(Table1[[#This Row],[Fetal Sex (Male, Female or Unknown)]])),ISNUMBER(Table1[[#This Row],[Birthweight (grams)]]),ISNUMBER(Table1[[#This Row],[Gestation (days)]])),TRUE,FALSE)</f>
        <v>0</v>
      </c>
      <c r="E8336" s="2" t="str">
        <f>IF(Table1[[#This Row],[Is Data Valid]]=TRUE,IF(Table1[[#This Row],[Fetal Sex (Male, Female or Unknown)]]="Male",Backend!$C$6,IF(Table1[[#This Row],[Fetal Sex (Male, Female or Unknown)]]="Female",Backend!$C$7,IF(Table1[[#This Row],[Fetal Sex (Male, Female or Unknown)]]="Unknown",Backend!$C$8,"Error"))),"")</f>
        <v/>
      </c>
      <c r="F8336" s="8" t="str">
        <f>IF(Table1[[#This Row],[Is Data Valid]]=TRUE,EXP(0.578+0.332*((Table1[[#This Row],[Gestation (days)]]+0.5)/7)-0.00354*((Table1[[#This Row],[Gestation (days)]]+0.5)/7)^2)*Table1[[#This Row],[BW40_3705]],"")</f>
        <v/>
      </c>
      <c r="G8336" s="2" t="str">
        <f>IF(Table1[[#This Row],[Is Data Valid]]=TRUE,((Table1[[#This Row],[Birthweight (grams)]]/Table1[[#This Row],[BW_GA]])-1)/(Backend!$B$4/100*Table1[[#This Row],[BW40_3705]]),"")</f>
        <v/>
      </c>
      <c r="H8336" s="7" t="str">
        <f>IF(Table1[[#This Row],[Is Data Valid]]=TRUE,((Table1[[#This Row],[Birthweight (grams)]]*0.9/Table1[[#This Row],[BW_GA]])-1)/(Backend!$B$4/100*Table1[[#This Row],[BW40_3705]]),"")</f>
        <v/>
      </c>
      <c r="I8336" s="7" t="str">
        <f>IF(Table1[[#This Row],[Is Data Valid]]=TRUE,((Table1[[#This Row],[Birthweight (grams)]]*1.1/Table1[[#This Row],[BW_GA]])-1)/(Backend!$B$4/100*Table1[[#This Row],[BW40_3705]]),"")</f>
        <v/>
      </c>
      <c r="J8336" s="7" t="str">
        <f>IF(Table1[[#This Row],[Is Data Valid]]=TRUE,_xlfn.NORM.S.DIST(Table1[[#This Row],[Birthweight Z-Score]],TRUE)*100,"")</f>
        <v/>
      </c>
      <c r="K8336" s="7" t="str">
        <f>IF(Table1[[#This Row],[Is Data Valid]]=TRUE,_xlfn.NORM.S.DIST(Table1[[#This Row],[Birthweight Z-Score (BW-10%)]],TRUE)*100,"")</f>
        <v/>
      </c>
      <c r="L8336" s="7" t="str">
        <f>IF(Table1[[#This Row],[Is Data Valid]]=TRUE,_xlfn.NORM.S.DIST(Table1[[#This Row],[Birthweight Z-Score (BW+10%)]],TRUE)*100,"")</f>
        <v/>
      </c>
    </row>
    <row r="8337" spans="1:12" x14ac:dyDescent="0.35">
      <c r="A8337" s="3"/>
      <c r="B8337" s="2"/>
      <c r="C8337" s="2"/>
      <c r="D8337" s="2" t="b">
        <f>IF(AND(NOT(ISBLANK(Table1[[#This Row],[Fetal Sex (Male, Female or Unknown)]])),ISNUMBER(Table1[[#This Row],[Birthweight (grams)]]),ISNUMBER(Table1[[#This Row],[Gestation (days)]])),TRUE,FALSE)</f>
        <v>0</v>
      </c>
      <c r="E8337" s="2" t="str">
        <f>IF(Table1[[#This Row],[Is Data Valid]]=TRUE,IF(Table1[[#This Row],[Fetal Sex (Male, Female or Unknown)]]="Male",Backend!$C$6,IF(Table1[[#This Row],[Fetal Sex (Male, Female or Unknown)]]="Female",Backend!$C$7,IF(Table1[[#This Row],[Fetal Sex (Male, Female or Unknown)]]="Unknown",Backend!$C$8,"Error"))),"")</f>
        <v/>
      </c>
      <c r="F8337" s="8" t="str">
        <f>IF(Table1[[#This Row],[Is Data Valid]]=TRUE,EXP(0.578+0.332*((Table1[[#This Row],[Gestation (days)]]+0.5)/7)-0.00354*((Table1[[#This Row],[Gestation (days)]]+0.5)/7)^2)*Table1[[#This Row],[BW40_3705]],"")</f>
        <v/>
      </c>
      <c r="G8337" s="2" t="str">
        <f>IF(Table1[[#This Row],[Is Data Valid]]=TRUE,((Table1[[#This Row],[Birthweight (grams)]]/Table1[[#This Row],[BW_GA]])-1)/(Backend!$B$4/100*Table1[[#This Row],[BW40_3705]]),"")</f>
        <v/>
      </c>
      <c r="H8337" s="7" t="str">
        <f>IF(Table1[[#This Row],[Is Data Valid]]=TRUE,((Table1[[#This Row],[Birthweight (grams)]]*0.9/Table1[[#This Row],[BW_GA]])-1)/(Backend!$B$4/100*Table1[[#This Row],[BW40_3705]]),"")</f>
        <v/>
      </c>
      <c r="I8337" s="7" t="str">
        <f>IF(Table1[[#This Row],[Is Data Valid]]=TRUE,((Table1[[#This Row],[Birthweight (grams)]]*1.1/Table1[[#This Row],[BW_GA]])-1)/(Backend!$B$4/100*Table1[[#This Row],[BW40_3705]]),"")</f>
        <v/>
      </c>
      <c r="J8337" s="7" t="str">
        <f>IF(Table1[[#This Row],[Is Data Valid]]=TRUE,_xlfn.NORM.S.DIST(Table1[[#This Row],[Birthweight Z-Score]],TRUE)*100,"")</f>
        <v/>
      </c>
      <c r="K8337" s="7" t="str">
        <f>IF(Table1[[#This Row],[Is Data Valid]]=TRUE,_xlfn.NORM.S.DIST(Table1[[#This Row],[Birthweight Z-Score (BW-10%)]],TRUE)*100,"")</f>
        <v/>
      </c>
      <c r="L8337" s="7" t="str">
        <f>IF(Table1[[#This Row],[Is Data Valid]]=TRUE,_xlfn.NORM.S.DIST(Table1[[#This Row],[Birthweight Z-Score (BW+10%)]],TRUE)*100,"")</f>
        <v/>
      </c>
    </row>
    <row r="8338" spans="1:12" x14ac:dyDescent="0.35">
      <c r="A8338" s="3"/>
      <c r="B8338" s="2"/>
      <c r="C8338" s="2"/>
      <c r="D8338" s="2" t="b">
        <f>IF(AND(NOT(ISBLANK(Table1[[#This Row],[Fetal Sex (Male, Female or Unknown)]])),ISNUMBER(Table1[[#This Row],[Birthweight (grams)]]),ISNUMBER(Table1[[#This Row],[Gestation (days)]])),TRUE,FALSE)</f>
        <v>0</v>
      </c>
      <c r="E8338" s="2" t="str">
        <f>IF(Table1[[#This Row],[Is Data Valid]]=TRUE,IF(Table1[[#This Row],[Fetal Sex (Male, Female or Unknown)]]="Male",Backend!$C$6,IF(Table1[[#This Row],[Fetal Sex (Male, Female or Unknown)]]="Female",Backend!$C$7,IF(Table1[[#This Row],[Fetal Sex (Male, Female or Unknown)]]="Unknown",Backend!$C$8,"Error"))),"")</f>
        <v/>
      </c>
      <c r="F8338" s="8" t="str">
        <f>IF(Table1[[#This Row],[Is Data Valid]]=TRUE,EXP(0.578+0.332*((Table1[[#This Row],[Gestation (days)]]+0.5)/7)-0.00354*((Table1[[#This Row],[Gestation (days)]]+0.5)/7)^2)*Table1[[#This Row],[BW40_3705]],"")</f>
        <v/>
      </c>
      <c r="G8338" s="2" t="str">
        <f>IF(Table1[[#This Row],[Is Data Valid]]=TRUE,((Table1[[#This Row],[Birthweight (grams)]]/Table1[[#This Row],[BW_GA]])-1)/(Backend!$B$4/100*Table1[[#This Row],[BW40_3705]]),"")</f>
        <v/>
      </c>
      <c r="H8338" s="7" t="str">
        <f>IF(Table1[[#This Row],[Is Data Valid]]=TRUE,((Table1[[#This Row],[Birthweight (grams)]]*0.9/Table1[[#This Row],[BW_GA]])-1)/(Backend!$B$4/100*Table1[[#This Row],[BW40_3705]]),"")</f>
        <v/>
      </c>
      <c r="I8338" s="7" t="str">
        <f>IF(Table1[[#This Row],[Is Data Valid]]=TRUE,((Table1[[#This Row],[Birthweight (grams)]]*1.1/Table1[[#This Row],[BW_GA]])-1)/(Backend!$B$4/100*Table1[[#This Row],[BW40_3705]]),"")</f>
        <v/>
      </c>
      <c r="J8338" s="7" t="str">
        <f>IF(Table1[[#This Row],[Is Data Valid]]=TRUE,_xlfn.NORM.S.DIST(Table1[[#This Row],[Birthweight Z-Score]],TRUE)*100,"")</f>
        <v/>
      </c>
      <c r="K8338" s="7" t="str">
        <f>IF(Table1[[#This Row],[Is Data Valid]]=TRUE,_xlfn.NORM.S.DIST(Table1[[#This Row],[Birthweight Z-Score (BW-10%)]],TRUE)*100,"")</f>
        <v/>
      </c>
      <c r="L8338" s="7" t="str">
        <f>IF(Table1[[#This Row],[Is Data Valid]]=TRUE,_xlfn.NORM.S.DIST(Table1[[#This Row],[Birthweight Z-Score (BW+10%)]],TRUE)*100,"")</f>
        <v/>
      </c>
    </row>
    <row r="8339" spans="1:12" x14ac:dyDescent="0.35">
      <c r="A8339" s="3"/>
      <c r="B8339" s="2"/>
      <c r="C8339" s="2"/>
      <c r="D8339" s="2" t="b">
        <f>IF(AND(NOT(ISBLANK(Table1[[#This Row],[Fetal Sex (Male, Female or Unknown)]])),ISNUMBER(Table1[[#This Row],[Birthweight (grams)]]),ISNUMBER(Table1[[#This Row],[Gestation (days)]])),TRUE,FALSE)</f>
        <v>0</v>
      </c>
      <c r="E8339" s="2" t="str">
        <f>IF(Table1[[#This Row],[Is Data Valid]]=TRUE,IF(Table1[[#This Row],[Fetal Sex (Male, Female or Unknown)]]="Male",Backend!$C$6,IF(Table1[[#This Row],[Fetal Sex (Male, Female or Unknown)]]="Female",Backend!$C$7,IF(Table1[[#This Row],[Fetal Sex (Male, Female or Unknown)]]="Unknown",Backend!$C$8,"Error"))),"")</f>
        <v/>
      </c>
      <c r="F8339" s="8" t="str">
        <f>IF(Table1[[#This Row],[Is Data Valid]]=TRUE,EXP(0.578+0.332*((Table1[[#This Row],[Gestation (days)]]+0.5)/7)-0.00354*((Table1[[#This Row],[Gestation (days)]]+0.5)/7)^2)*Table1[[#This Row],[BW40_3705]],"")</f>
        <v/>
      </c>
      <c r="G8339" s="2" t="str">
        <f>IF(Table1[[#This Row],[Is Data Valid]]=TRUE,((Table1[[#This Row],[Birthweight (grams)]]/Table1[[#This Row],[BW_GA]])-1)/(Backend!$B$4/100*Table1[[#This Row],[BW40_3705]]),"")</f>
        <v/>
      </c>
      <c r="H8339" s="7" t="str">
        <f>IF(Table1[[#This Row],[Is Data Valid]]=TRUE,((Table1[[#This Row],[Birthweight (grams)]]*0.9/Table1[[#This Row],[BW_GA]])-1)/(Backend!$B$4/100*Table1[[#This Row],[BW40_3705]]),"")</f>
        <v/>
      </c>
      <c r="I8339" s="7" t="str">
        <f>IF(Table1[[#This Row],[Is Data Valid]]=TRUE,((Table1[[#This Row],[Birthweight (grams)]]*1.1/Table1[[#This Row],[BW_GA]])-1)/(Backend!$B$4/100*Table1[[#This Row],[BW40_3705]]),"")</f>
        <v/>
      </c>
      <c r="J8339" s="7" t="str">
        <f>IF(Table1[[#This Row],[Is Data Valid]]=TRUE,_xlfn.NORM.S.DIST(Table1[[#This Row],[Birthweight Z-Score]],TRUE)*100,"")</f>
        <v/>
      </c>
      <c r="K8339" s="7" t="str">
        <f>IF(Table1[[#This Row],[Is Data Valid]]=TRUE,_xlfn.NORM.S.DIST(Table1[[#This Row],[Birthweight Z-Score (BW-10%)]],TRUE)*100,"")</f>
        <v/>
      </c>
      <c r="L8339" s="7" t="str">
        <f>IF(Table1[[#This Row],[Is Data Valid]]=TRUE,_xlfn.NORM.S.DIST(Table1[[#This Row],[Birthweight Z-Score (BW+10%)]],TRUE)*100,"")</f>
        <v/>
      </c>
    </row>
    <row r="8340" spans="1:12" x14ac:dyDescent="0.35">
      <c r="A8340" s="3"/>
      <c r="B8340" s="2"/>
      <c r="C8340" s="2"/>
      <c r="D8340" s="2" t="b">
        <f>IF(AND(NOT(ISBLANK(Table1[[#This Row],[Fetal Sex (Male, Female or Unknown)]])),ISNUMBER(Table1[[#This Row],[Birthweight (grams)]]),ISNUMBER(Table1[[#This Row],[Gestation (days)]])),TRUE,FALSE)</f>
        <v>0</v>
      </c>
      <c r="E8340" s="2" t="str">
        <f>IF(Table1[[#This Row],[Is Data Valid]]=TRUE,IF(Table1[[#This Row],[Fetal Sex (Male, Female or Unknown)]]="Male",Backend!$C$6,IF(Table1[[#This Row],[Fetal Sex (Male, Female or Unknown)]]="Female",Backend!$C$7,IF(Table1[[#This Row],[Fetal Sex (Male, Female or Unknown)]]="Unknown",Backend!$C$8,"Error"))),"")</f>
        <v/>
      </c>
      <c r="F8340" s="8" t="str">
        <f>IF(Table1[[#This Row],[Is Data Valid]]=TRUE,EXP(0.578+0.332*((Table1[[#This Row],[Gestation (days)]]+0.5)/7)-0.00354*((Table1[[#This Row],[Gestation (days)]]+0.5)/7)^2)*Table1[[#This Row],[BW40_3705]],"")</f>
        <v/>
      </c>
      <c r="G8340" s="2" t="str">
        <f>IF(Table1[[#This Row],[Is Data Valid]]=TRUE,((Table1[[#This Row],[Birthweight (grams)]]/Table1[[#This Row],[BW_GA]])-1)/(Backend!$B$4/100*Table1[[#This Row],[BW40_3705]]),"")</f>
        <v/>
      </c>
      <c r="H8340" s="7" t="str">
        <f>IF(Table1[[#This Row],[Is Data Valid]]=TRUE,((Table1[[#This Row],[Birthweight (grams)]]*0.9/Table1[[#This Row],[BW_GA]])-1)/(Backend!$B$4/100*Table1[[#This Row],[BW40_3705]]),"")</f>
        <v/>
      </c>
      <c r="I8340" s="7" t="str">
        <f>IF(Table1[[#This Row],[Is Data Valid]]=TRUE,((Table1[[#This Row],[Birthweight (grams)]]*1.1/Table1[[#This Row],[BW_GA]])-1)/(Backend!$B$4/100*Table1[[#This Row],[BW40_3705]]),"")</f>
        <v/>
      </c>
      <c r="J8340" s="7" t="str">
        <f>IF(Table1[[#This Row],[Is Data Valid]]=TRUE,_xlfn.NORM.S.DIST(Table1[[#This Row],[Birthweight Z-Score]],TRUE)*100,"")</f>
        <v/>
      </c>
      <c r="K8340" s="7" t="str">
        <f>IF(Table1[[#This Row],[Is Data Valid]]=TRUE,_xlfn.NORM.S.DIST(Table1[[#This Row],[Birthweight Z-Score (BW-10%)]],TRUE)*100,"")</f>
        <v/>
      </c>
      <c r="L8340" s="7" t="str">
        <f>IF(Table1[[#This Row],[Is Data Valid]]=TRUE,_xlfn.NORM.S.DIST(Table1[[#This Row],[Birthweight Z-Score (BW+10%)]],TRUE)*100,"")</f>
        <v/>
      </c>
    </row>
    <row r="8341" spans="1:12" x14ac:dyDescent="0.35">
      <c r="A8341" s="3"/>
      <c r="B8341" s="2"/>
      <c r="C8341" s="2"/>
      <c r="D8341" s="2" t="b">
        <f>IF(AND(NOT(ISBLANK(Table1[[#This Row],[Fetal Sex (Male, Female or Unknown)]])),ISNUMBER(Table1[[#This Row],[Birthweight (grams)]]),ISNUMBER(Table1[[#This Row],[Gestation (days)]])),TRUE,FALSE)</f>
        <v>0</v>
      </c>
      <c r="E8341" s="2" t="str">
        <f>IF(Table1[[#This Row],[Is Data Valid]]=TRUE,IF(Table1[[#This Row],[Fetal Sex (Male, Female or Unknown)]]="Male",Backend!$C$6,IF(Table1[[#This Row],[Fetal Sex (Male, Female or Unknown)]]="Female",Backend!$C$7,IF(Table1[[#This Row],[Fetal Sex (Male, Female or Unknown)]]="Unknown",Backend!$C$8,"Error"))),"")</f>
        <v/>
      </c>
      <c r="F8341" s="8" t="str">
        <f>IF(Table1[[#This Row],[Is Data Valid]]=TRUE,EXP(0.578+0.332*((Table1[[#This Row],[Gestation (days)]]+0.5)/7)-0.00354*((Table1[[#This Row],[Gestation (days)]]+0.5)/7)^2)*Table1[[#This Row],[BW40_3705]],"")</f>
        <v/>
      </c>
      <c r="G8341" s="2" t="str">
        <f>IF(Table1[[#This Row],[Is Data Valid]]=TRUE,((Table1[[#This Row],[Birthweight (grams)]]/Table1[[#This Row],[BW_GA]])-1)/(Backend!$B$4/100*Table1[[#This Row],[BW40_3705]]),"")</f>
        <v/>
      </c>
      <c r="H8341" s="7" t="str">
        <f>IF(Table1[[#This Row],[Is Data Valid]]=TRUE,((Table1[[#This Row],[Birthweight (grams)]]*0.9/Table1[[#This Row],[BW_GA]])-1)/(Backend!$B$4/100*Table1[[#This Row],[BW40_3705]]),"")</f>
        <v/>
      </c>
      <c r="I8341" s="7" t="str">
        <f>IF(Table1[[#This Row],[Is Data Valid]]=TRUE,((Table1[[#This Row],[Birthweight (grams)]]*1.1/Table1[[#This Row],[BW_GA]])-1)/(Backend!$B$4/100*Table1[[#This Row],[BW40_3705]]),"")</f>
        <v/>
      </c>
      <c r="J8341" s="7" t="str">
        <f>IF(Table1[[#This Row],[Is Data Valid]]=TRUE,_xlfn.NORM.S.DIST(Table1[[#This Row],[Birthweight Z-Score]],TRUE)*100,"")</f>
        <v/>
      </c>
      <c r="K8341" s="7" t="str">
        <f>IF(Table1[[#This Row],[Is Data Valid]]=TRUE,_xlfn.NORM.S.DIST(Table1[[#This Row],[Birthweight Z-Score (BW-10%)]],TRUE)*100,"")</f>
        <v/>
      </c>
      <c r="L8341" s="7" t="str">
        <f>IF(Table1[[#This Row],[Is Data Valid]]=TRUE,_xlfn.NORM.S.DIST(Table1[[#This Row],[Birthweight Z-Score (BW+10%)]],TRUE)*100,"")</f>
        <v/>
      </c>
    </row>
    <row r="8342" spans="1:12" x14ac:dyDescent="0.35">
      <c r="A8342" s="3"/>
      <c r="B8342" s="2"/>
      <c r="C8342" s="2"/>
      <c r="D8342" s="2" t="b">
        <f>IF(AND(NOT(ISBLANK(Table1[[#This Row],[Fetal Sex (Male, Female or Unknown)]])),ISNUMBER(Table1[[#This Row],[Birthweight (grams)]]),ISNUMBER(Table1[[#This Row],[Gestation (days)]])),TRUE,FALSE)</f>
        <v>0</v>
      </c>
      <c r="E8342" s="2" t="str">
        <f>IF(Table1[[#This Row],[Is Data Valid]]=TRUE,IF(Table1[[#This Row],[Fetal Sex (Male, Female or Unknown)]]="Male",Backend!$C$6,IF(Table1[[#This Row],[Fetal Sex (Male, Female or Unknown)]]="Female",Backend!$C$7,IF(Table1[[#This Row],[Fetal Sex (Male, Female or Unknown)]]="Unknown",Backend!$C$8,"Error"))),"")</f>
        <v/>
      </c>
      <c r="F8342" s="8" t="str">
        <f>IF(Table1[[#This Row],[Is Data Valid]]=TRUE,EXP(0.578+0.332*((Table1[[#This Row],[Gestation (days)]]+0.5)/7)-0.00354*((Table1[[#This Row],[Gestation (days)]]+0.5)/7)^2)*Table1[[#This Row],[BW40_3705]],"")</f>
        <v/>
      </c>
      <c r="G8342" s="2" t="str">
        <f>IF(Table1[[#This Row],[Is Data Valid]]=TRUE,((Table1[[#This Row],[Birthweight (grams)]]/Table1[[#This Row],[BW_GA]])-1)/(Backend!$B$4/100*Table1[[#This Row],[BW40_3705]]),"")</f>
        <v/>
      </c>
      <c r="H8342" s="7" t="str">
        <f>IF(Table1[[#This Row],[Is Data Valid]]=TRUE,((Table1[[#This Row],[Birthweight (grams)]]*0.9/Table1[[#This Row],[BW_GA]])-1)/(Backend!$B$4/100*Table1[[#This Row],[BW40_3705]]),"")</f>
        <v/>
      </c>
      <c r="I8342" s="7" t="str">
        <f>IF(Table1[[#This Row],[Is Data Valid]]=TRUE,((Table1[[#This Row],[Birthweight (grams)]]*1.1/Table1[[#This Row],[BW_GA]])-1)/(Backend!$B$4/100*Table1[[#This Row],[BW40_3705]]),"")</f>
        <v/>
      </c>
      <c r="J8342" s="7" t="str">
        <f>IF(Table1[[#This Row],[Is Data Valid]]=TRUE,_xlfn.NORM.S.DIST(Table1[[#This Row],[Birthweight Z-Score]],TRUE)*100,"")</f>
        <v/>
      </c>
      <c r="K8342" s="7" t="str">
        <f>IF(Table1[[#This Row],[Is Data Valid]]=TRUE,_xlfn.NORM.S.DIST(Table1[[#This Row],[Birthweight Z-Score (BW-10%)]],TRUE)*100,"")</f>
        <v/>
      </c>
      <c r="L8342" s="7" t="str">
        <f>IF(Table1[[#This Row],[Is Data Valid]]=TRUE,_xlfn.NORM.S.DIST(Table1[[#This Row],[Birthweight Z-Score (BW+10%)]],TRUE)*100,"")</f>
        <v/>
      </c>
    </row>
    <row r="8343" spans="1:12" x14ac:dyDescent="0.35">
      <c r="A8343" s="3"/>
      <c r="B8343" s="2"/>
      <c r="C8343" s="2"/>
      <c r="D8343" s="2" t="b">
        <f>IF(AND(NOT(ISBLANK(Table1[[#This Row],[Fetal Sex (Male, Female or Unknown)]])),ISNUMBER(Table1[[#This Row],[Birthweight (grams)]]),ISNUMBER(Table1[[#This Row],[Gestation (days)]])),TRUE,FALSE)</f>
        <v>0</v>
      </c>
      <c r="E8343" s="2" t="str">
        <f>IF(Table1[[#This Row],[Is Data Valid]]=TRUE,IF(Table1[[#This Row],[Fetal Sex (Male, Female or Unknown)]]="Male",Backend!$C$6,IF(Table1[[#This Row],[Fetal Sex (Male, Female or Unknown)]]="Female",Backend!$C$7,IF(Table1[[#This Row],[Fetal Sex (Male, Female or Unknown)]]="Unknown",Backend!$C$8,"Error"))),"")</f>
        <v/>
      </c>
      <c r="F8343" s="8" t="str">
        <f>IF(Table1[[#This Row],[Is Data Valid]]=TRUE,EXP(0.578+0.332*((Table1[[#This Row],[Gestation (days)]]+0.5)/7)-0.00354*((Table1[[#This Row],[Gestation (days)]]+0.5)/7)^2)*Table1[[#This Row],[BW40_3705]],"")</f>
        <v/>
      </c>
      <c r="G8343" s="2" t="str">
        <f>IF(Table1[[#This Row],[Is Data Valid]]=TRUE,((Table1[[#This Row],[Birthweight (grams)]]/Table1[[#This Row],[BW_GA]])-1)/(Backend!$B$4/100*Table1[[#This Row],[BW40_3705]]),"")</f>
        <v/>
      </c>
      <c r="H8343" s="7" t="str">
        <f>IF(Table1[[#This Row],[Is Data Valid]]=TRUE,((Table1[[#This Row],[Birthweight (grams)]]*0.9/Table1[[#This Row],[BW_GA]])-1)/(Backend!$B$4/100*Table1[[#This Row],[BW40_3705]]),"")</f>
        <v/>
      </c>
      <c r="I8343" s="7" t="str">
        <f>IF(Table1[[#This Row],[Is Data Valid]]=TRUE,((Table1[[#This Row],[Birthweight (grams)]]*1.1/Table1[[#This Row],[BW_GA]])-1)/(Backend!$B$4/100*Table1[[#This Row],[BW40_3705]]),"")</f>
        <v/>
      </c>
      <c r="J8343" s="7" t="str">
        <f>IF(Table1[[#This Row],[Is Data Valid]]=TRUE,_xlfn.NORM.S.DIST(Table1[[#This Row],[Birthweight Z-Score]],TRUE)*100,"")</f>
        <v/>
      </c>
      <c r="K8343" s="7" t="str">
        <f>IF(Table1[[#This Row],[Is Data Valid]]=TRUE,_xlfn.NORM.S.DIST(Table1[[#This Row],[Birthweight Z-Score (BW-10%)]],TRUE)*100,"")</f>
        <v/>
      </c>
      <c r="L8343" s="7" t="str">
        <f>IF(Table1[[#This Row],[Is Data Valid]]=TRUE,_xlfn.NORM.S.DIST(Table1[[#This Row],[Birthweight Z-Score (BW+10%)]],TRUE)*100,"")</f>
        <v/>
      </c>
    </row>
    <row r="8344" spans="1:12" x14ac:dyDescent="0.35">
      <c r="A8344" s="3"/>
      <c r="B8344" s="2"/>
      <c r="C8344" s="2"/>
      <c r="D8344" s="2" t="b">
        <f>IF(AND(NOT(ISBLANK(Table1[[#This Row],[Fetal Sex (Male, Female or Unknown)]])),ISNUMBER(Table1[[#This Row],[Birthweight (grams)]]),ISNUMBER(Table1[[#This Row],[Gestation (days)]])),TRUE,FALSE)</f>
        <v>0</v>
      </c>
      <c r="E8344" s="2" t="str">
        <f>IF(Table1[[#This Row],[Is Data Valid]]=TRUE,IF(Table1[[#This Row],[Fetal Sex (Male, Female or Unknown)]]="Male",Backend!$C$6,IF(Table1[[#This Row],[Fetal Sex (Male, Female or Unknown)]]="Female",Backend!$C$7,IF(Table1[[#This Row],[Fetal Sex (Male, Female or Unknown)]]="Unknown",Backend!$C$8,"Error"))),"")</f>
        <v/>
      </c>
      <c r="F8344" s="8" t="str">
        <f>IF(Table1[[#This Row],[Is Data Valid]]=TRUE,EXP(0.578+0.332*((Table1[[#This Row],[Gestation (days)]]+0.5)/7)-0.00354*((Table1[[#This Row],[Gestation (days)]]+0.5)/7)^2)*Table1[[#This Row],[BW40_3705]],"")</f>
        <v/>
      </c>
      <c r="G8344" s="2" t="str">
        <f>IF(Table1[[#This Row],[Is Data Valid]]=TRUE,((Table1[[#This Row],[Birthweight (grams)]]/Table1[[#This Row],[BW_GA]])-1)/(Backend!$B$4/100*Table1[[#This Row],[BW40_3705]]),"")</f>
        <v/>
      </c>
      <c r="H8344" s="7" t="str">
        <f>IF(Table1[[#This Row],[Is Data Valid]]=TRUE,((Table1[[#This Row],[Birthweight (grams)]]*0.9/Table1[[#This Row],[BW_GA]])-1)/(Backend!$B$4/100*Table1[[#This Row],[BW40_3705]]),"")</f>
        <v/>
      </c>
      <c r="I8344" s="7" t="str">
        <f>IF(Table1[[#This Row],[Is Data Valid]]=TRUE,((Table1[[#This Row],[Birthweight (grams)]]*1.1/Table1[[#This Row],[BW_GA]])-1)/(Backend!$B$4/100*Table1[[#This Row],[BW40_3705]]),"")</f>
        <v/>
      </c>
      <c r="J8344" s="7" t="str">
        <f>IF(Table1[[#This Row],[Is Data Valid]]=TRUE,_xlfn.NORM.S.DIST(Table1[[#This Row],[Birthweight Z-Score]],TRUE)*100,"")</f>
        <v/>
      </c>
      <c r="K8344" s="7" t="str">
        <f>IF(Table1[[#This Row],[Is Data Valid]]=TRUE,_xlfn.NORM.S.DIST(Table1[[#This Row],[Birthweight Z-Score (BW-10%)]],TRUE)*100,"")</f>
        <v/>
      </c>
      <c r="L8344" s="7" t="str">
        <f>IF(Table1[[#This Row],[Is Data Valid]]=TRUE,_xlfn.NORM.S.DIST(Table1[[#This Row],[Birthweight Z-Score (BW+10%)]],TRUE)*100,"")</f>
        <v/>
      </c>
    </row>
    <row r="8345" spans="1:12" x14ac:dyDescent="0.35">
      <c r="A8345" s="3"/>
      <c r="B8345" s="2"/>
      <c r="C8345" s="2"/>
      <c r="D8345" s="2" t="b">
        <f>IF(AND(NOT(ISBLANK(Table1[[#This Row],[Fetal Sex (Male, Female or Unknown)]])),ISNUMBER(Table1[[#This Row],[Birthweight (grams)]]),ISNUMBER(Table1[[#This Row],[Gestation (days)]])),TRUE,FALSE)</f>
        <v>0</v>
      </c>
      <c r="E8345" s="2" t="str">
        <f>IF(Table1[[#This Row],[Is Data Valid]]=TRUE,IF(Table1[[#This Row],[Fetal Sex (Male, Female or Unknown)]]="Male",Backend!$C$6,IF(Table1[[#This Row],[Fetal Sex (Male, Female or Unknown)]]="Female",Backend!$C$7,IF(Table1[[#This Row],[Fetal Sex (Male, Female or Unknown)]]="Unknown",Backend!$C$8,"Error"))),"")</f>
        <v/>
      </c>
      <c r="F8345" s="8" t="str">
        <f>IF(Table1[[#This Row],[Is Data Valid]]=TRUE,EXP(0.578+0.332*((Table1[[#This Row],[Gestation (days)]]+0.5)/7)-0.00354*((Table1[[#This Row],[Gestation (days)]]+0.5)/7)^2)*Table1[[#This Row],[BW40_3705]],"")</f>
        <v/>
      </c>
      <c r="G8345" s="2" t="str">
        <f>IF(Table1[[#This Row],[Is Data Valid]]=TRUE,((Table1[[#This Row],[Birthweight (grams)]]/Table1[[#This Row],[BW_GA]])-1)/(Backend!$B$4/100*Table1[[#This Row],[BW40_3705]]),"")</f>
        <v/>
      </c>
      <c r="H8345" s="7" t="str">
        <f>IF(Table1[[#This Row],[Is Data Valid]]=TRUE,((Table1[[#This Row],[Birthweight (grams)]]*0.9/Table1[[#This Row],[BW_GA]])-1)/(Backend!$B$4/100*Table1[[#This Row],[BW40_3705]]),"")</f>
        <v/>
      </c>
      <c r="I8345" s="7" t="str">
        <f>IF(Table1[[#This Row],[Is Data Valid]]=TRUE,((Table1[[#This Row],[Birthweight (grams)]]*1.1/Table1[[#This Row],[BW_GA]])-1)/(Backend!$B$4/100*Table1[[#This Row],[BW40_3705]]),"")</f>
        <v/>
      </c>
      <c r="J8345" s="7" t="str">
        <f>IF(Table1[[#This Row],[Is Data Valid]]=TRUE,_xlfn.NORM.S.DIST(Table1[[#This Row],[Birthweight Z-Score]],TRUE)*100,"")</f>
        <v/>
      </c>
      <c r="K8345" s="7" t="str">
        <f>IF(Table1[[#This Row],[Is Data Valid]]=TRUE,_xlfn.NORM.S.DIST(Table1[[#This Row],[Birthweight Z-Score (BW-10%)]],TRUE)*100,"")</f>
        <v/>
      </c>
      <c r="L8345" s="7" t="str">
        <f>IF(Table1[[#This Row],[Is Data Valid]]=TRUE,_xlfn.NORM.S.DIST(Table1[[#This Row],[Birthweight Z-Score (BW+10%)]],TRUE)*100,"")</f>
        <v/>
      </c>
    </row>
    <row r="8346" spans="1:12" x14ac:dyDescent="0.35">
      <c r="A8346" s="3"/>
      <c r="B8346" s="2"/>
      <c r="C8346" s="2"/>
      <c r="D8346" s="2" t="b">
        <f>IF(AND(NOT(ISBLANK(Table1[[#This Row],[Fetal Sex (Male, Female or Unknown)]])),ISNUMBER(Table1[[#This Row],[Birthweight (grams)]]),ISNUMBER(Table1[[#This Row],[Gestation (days)]])),TRUE,FALSE)</f>
        <v>0</v>
      </c>
      <c r="E8346" s="2" t="str">
        <f>IF(Table1[[#This Row],[Is Data Valid]]=TRUE,IF(Table1[[#This Row],[Fetal Sex (Male, Female or Unknown)]]="Male",Backend!$C$6,IF(Table1[[#This Row],[Fetal Sex (Male, Female or Unknown)]]="Female",Backend!$C$7,IF(Table1[[#This Row],[Fetal Sex (Male, Female or Unknown)]]="Unknown",Backend!$C$8,"Error"))),"")</f>
        <v/>
      </c>
      <c r="F8346" s="8" t="str">
        <f>IF(Table1[[#This Row],[Is Data Valid]]=TRUE,EXP(0.578+0.332*((Table1[[#This Row],[Gestation (days)]]+0.5)/7)-0.00354*((Table1[[#This Row],[Gestation (days)]]+0.5)/7)^2)*Table1[[#This Row],[BW40_3705]],"")</f>
        <v/>
      </c>
      <c r="G8346" s="2" t="str">
        <f>IF(Table1[[#This Row],[Is Data Valid]]=TRUE,((Table1[[#This Row],[Birthweight (grams)]]/Table1[[#This Row],[BW_GA]])-1)/(Backend!$B$4/100*Table1[[#This Row],[BW40_3705]]),"")</f>
        <v/>
      </c>
      <c r="H8346" s="7" t="str">
        <f>IF(Table1[[#This Row],[Is Data Valid]]=TRUE,((Table1[[#This Row],[Birthweight (grams)]]*0.9/Table1[[#This Row],[BW_GA]])-1)/(Backend!$B$4/100*Table1[[#This Row],[BW40_3705]]),"")</f>
        <v/>
      </c>
      <c r="I8346" s="7" t="str">
        <f>IF(Table1[[#This Row],[Is Data Valid]]=TRUE,((Table1[[#This Row],[Birthweight (grams)]]*1.1/Table1[[#This Row],[BW_GA]])-1)/(Backend!$B$4/100*Table1[[#This Row],[BW40_3705]]),"")</f>
        <v/>
      </c>
      <c r="J8346" s="7" t="str">
        <f>IF(Table1[[#This Row],[Is Data Valid]]=TRUE,_xlfn.NORM.S.DIST(Table1[[#This Row],[Birthweight Z-Score]],TRUE)*100,"")</f>
        <v/>
      </c>
      <c r="K8346" s="7" t="str">
        <f>IF(Table1[[#This Row],[Is Data Valid]]=TRUE,_xlfn.NORM.S.DIST(Table1[[#This Row],[Birthweight Z-Score (BW-10%)]],TRUE)*100,"")</f>
        <v/>
      </c>
      <c r="L8346" s="7" t="str">
        <f>IF(Table1[[#This Row],[Is Data Valid]]=TRUE,_xlfn.NORM.S.DIST(Table1[[#This Row],[Birthweight Z-Score (BW+10%)]],TRUE)*100,"")</f>
        <v/>
      </c>
    </row>
    <row r="8347" spans="1:12" x14ac:dyDescent="0.35">
      <c r="A8347" s="3"/>
      <c r="B8347" s="2"/>
      <c r="C8347" s="2"/>
      <c r="D8347" s="2" t="b">
        <f>IF(AND(NOT(ISBLANK(Table1[[#This Row],[Fetal Sex (Male, Female or Unknown)]])),ISNUMBER(Table1[[#This Row],[Birthweight (grams)]]),ISNUMBER(Table1[[#This Row],[Gestation (days)]])),TRUE,FALSE)</f>
        <v>0</v>
      </c>
      <c r="E8347" s="2" t="str">
        <f>IF(Table1[[#This Row],[Is Data Valid]]=TRUE,IF(Table1[[#This Row],[Fetal Sex (Male, Female or Unknown)]]="Male",Backend!$C$6,IF(Table1[[#This Row],[Fetal Sex (Male, Female or Unknown)]]="Female",Backend!$C$7,IF(Table1[[#This Row],[Fetal Sex (Male, Female or Unknown)]]="Unknown",Backend!$C$8,"Error"))),"")</f>
        <v/>
      </c>
      <c r="F8347" s="8" t="str">
        <f>IF(Table1[[#This Row],[Is Data Valid]]=TRUE,EXP(0.578+0.332*((Table1[[#This Row],[Gestation (days)]]+0.5)/7)-0.00354*((Table1[[#This Row],[Gestation (days)]]+0.5)/7)^2)*Table1[[#This Row],[BW40_3705]],"")</f>
        <v/>
      </c>
      <c r="G8347" s="2" t="str">
        <f>IF(Table1[[#This Row],[Is Data Valid]]=TRUE,((Table1[[#This Row],[Birthweight (grams)]]/Table1[[#This Row],[BW_GA]])-1)/(Backend!$B$4/100*Table1[[#This Row],[BW40_3705]]),"")</f>
        <v/>
      </c>
      <c r="H8347" s="7" t="str">
        <f>IF(Table1[[#This Row],[Is Data Valid]]=TRUE,((Table1[[#This Row],[Birthweight (grams)]]*0.9/Table1[[#This Row],[BW_GA]])-1)/(Backend!$B$4/100*Table1[[#This Row],[BW40_3705]]),"")</f>
        <v/>
      </c>
      <c r="I8347" s="7" t="str">
        <f>IF(Table1[[#This Row],[Is Data Valid]]=TRUE,((Table1[[#This Row],[Birthweight (grams)]]*1.1/Table1[[#This Row],[BW_GA]])-1)/(Backend!$B$4/100*Table1[[#This Row],[BW40_3705]]),"")</f>
        <v/>
      </c>
      <c r="J8347" s="7" t="str">
        <f>IF(Table1[[#This Row],[Is Data Valid]]=TRUE,_xlfn.NORM.S.DIST(Table1[[#This Row],[Birthweight Z-Score]],TRUE)*100,"")</f>
        <v/>
      </c>
      <c r="K8347" s="7" t="str">
        <f>IF(Table1[[#This Row],[Is Data Valid]]=TRUE,_xlfn.NORM.S.DIST(Table1[[#This Row],[Birthweight Z-Score (BW-10%)]],TRUE)*100,"")</f>
        <v/>
      </c>
      <c r="L8347" s="7" t="str">
        <f>IF(Table1[[#This Row],[Is Data Valid]]=TRUE,_xlfn.NORM.S.DIST(Table1[[#This Row],[Birthweight Z-Score (BW+10%)]],TRUE)*100,"")</f>
        <v/>
      </c>
    </row>
    <row r="8348" spans="1:12" x14ac:dyDescent="0.35">
      <c r="A8348" s="3"/>
      <c r="B8348" s="2"/>
      <c r="C8348" s="2"/>
      <c r="D8348" s="2" t="b">
        <f>IF(AND(NOT(ISBLANK(Table1[[#This Row],[Fetal Sex (Male, Female or Unknown)]])),ISNUMBER(Table1[[#This Row],[Birthweight (grams)]]),ISNUMBER(Table1[[#This Row],[Gestation (days)]])),TRUE,FALSE)</f>
        <v>0</v>
      </c>
      <c r="E8348" s="2" t="str">
        <f>IF(Table1[[#This Row],[Is Data Valid]]=TRUE,IF(Table1[[#This Row],[Fetal Sex (Male, Female or Unknown)]]="Male",Backend!$C$6,IF(Table1[[#This Row],[Fetal Sex (Male, Female or Unknown)]]="Female",Backend!$C$7,IF(Table1[[#This Row],[Fetal Sex (Male, Female or Unknown)]]="Unknown",Backend!$C$8,"Error"))),"")</f>
        <v/>
      </c>
      <c r="F8348" s="8" t="str">
        <f>IF(Table1[[#This Row],[Is Data Valid]]=TRUE,EXP(0.578+0.332*((Table1[[#This Row],[Gestation (days)]]+0.5)/7)-0.00354*((Table1[[#This Row],[Gestation (days)]]+0.5)/7)^2)*Table1[[#This Row],[BW40_3705]],"")</f>
        <v/>
      </c>
      <c r="G8348" s="2" t="str">
        <f>IF(Table1[[#This Row],[Is Data Valid]]=TRUE,((Table1[[#This Row],[Birthweight (grams)]]/Table1[[#This Row],[BW_GA]])-1)/(Backend!$B$4/100*Table1[[#This Row],[BW40_3705]]),"")</f>
        <v/>
      </c>
      <c r="H8348" s="7" t="str">
        <f>IF(Table1[[#This Row],[Is Data Valid]]=TRUE,((Table1[[#This Row],[Birthweight (grams)]]*0.9/Table1[[#This Row],[BW_GA]])-1)/(Backend!$B$4/100*Table1[[#This Row],[BW40_3705]]),"")</f>
        <v/>
      </c>
      <c r="I8348" s="7" t="str">
        <f>IF(Table1[[#This Row],[Is Data Valid]]=TRUE,((Table1[[#This Row],[Birthweight (grams)]]*1.1/Table1[[#This Row],[BW_GA]])-1)/(Backend!$B$4/100*Table1[[#This Row],[BW40_3705]]),"")</f>
        <v/>
      </c>
      <c r="J8348" s="7" t="str">
        <f>IF(Table1[[#This Row],[Is Data Valid]]=TRUE,_xlfn.NORM.S.DIST(Table1[[#This Row],[Birthweight Z-Score]],TRUE)*100,"")</f>
        <v/>
      </c>
      <c r="K8348" s="7" t="str">
        <f>IF(Table1[[#This Row],[Is Data Valid]]=TRUE,_xlfn.NORM.S.DIST(Table1[[#This Row],[Birthweight Z-Score (BW-10%)]],TRUE)*100,"")</f>
        <v/>
      </c>
      <c r="L8348" s="7" t="str">
        <f>IF(Table1[[#This Row],[Is Data Valid]]=TRUE,_xlfn.NORM.S.DIST(Table1[[#This Row],[Birthweight Z-Score (BW+10%)]],TRUE)*100,"")</f>
        <v/>
      </c>
    </row>
    <row r="8349" spans="1:12" x14ac:dyDescent="0.35">
      <c r="A8349" s="3"/>
      <c r="B8349" s="2"/>
      <c r="C8349" s="2"/>
      <c r="D8349" s="2" t="b">
        <f>IF(AND(NOT(ISBLANK(Table1[[#This Row],[Fetal Sex (Male, Female or Unknown)]])),ISNUMBER(Table1[[#This Row],[Birthweight (grams)]]),ISNUMBER(Table1[[#This Row],[Gestation (days)]])),TRUE,FALSE)</f>
        <v>0</v>
      </c>
      <c r="E8349" s="2" t="str">
        <f>IF(Table1[[#This Row],[Is Data Valid]]=TRUE,IF(Table1[[#This Row],[Fetal Sex (Male, Female or Unknown)]]="Male",Backend!$C$6,IF(Table1[[#This Row],[Fetal Sex (Male, Female or Unknown)]]="Female",Backend!$C$7,IF(Table1[[#This Row],[Fetal Sex (Male, Female or Unknown)]]="Unknown",Backend!$C$8,"Error"))),"")</f>
        <v/>
      </c>
      <c r="F8349" s="8" t="str">
        <f>IF(Table1[[#This Row],[Is Data Valid]]=TRUE,EXP(0.578+0.332*((Table1[[#This Row],[Gestation (days)]]+0.5)/7)-0.00354*((Table1[[#This Row],[Gestation (days)]]+0.5)/7)^2)*Table1[[#This Row],[BW40_3705]],"")</f>
        <v/>
      </c>
      <c r="G8349" s="2" t="str">
        <f>IF(Table1[[#This Row],[Is Data Valid]]=TRUE,((Table1[[#This Row],[Birthweight (grams)]]/Table1[[#This Row],[BW_GA]])-1)/(Backend!$B$4/100*Table1[[#This Row],[BW40_3705]]),"")</f>
        <v/>
      </c>
      <c r="H8349" s="7" t="str">
        <f>IF(Table1[[#This Row],[Is Data Valid]]=TRUE,((Table1[[#This Row],[Birthweight (grams)]]*0.9/Table1[[#This Row],[BW_GA]])-1)/(Backend!$B$4/100*Table1[[#This Row],[BW40_3705]]),"")</f>
        <v/>
      </c>
      <c r="I8349" s="7" t="str">
        <f>IF(Table1[[#This Row],[Is Data Valid]]=TRUE,((Table1[[#This Row],[Birthweight (grams)]]*1.1/Table1[[#This Row],[BW_GA]])-1)/(Backend!$B$4/100*Table1[[#This Row],[BW40_3705]]),"")</f>
        <v/>
      </c>
      <c r="J8349" s="7" t="str">
        <f>IF(Table1[[#This Row],[Is Data Valid]]=TRUE,_xlfn.NORM.S.DIST(Table1[[#This Row],[Birthweight Z-Score]],TRUE)*100,"")</f>
        <v/>
      </c>
      <c r="K8349" s="7" t="str">
        <f>IF(Table1[[#This Row],[Is Data Valid]]=TRUE,_xlfn.NORM.S.DIST(Table1[[#This Row],[Birthweight Z-Score (BW-10%)]],TRUE)*100,"")</f>
        <v/>
      </c>
      <c r="L8349" s="7" t="str">
        <f>IF(Table1[[#This Row],[Is Data Valid]]=TRUE,_xlfn.NORM.S.DIST(Table1[[#This Row],[Birthweight Z-Score (BW+10%)]],TRUE)*100,"")</f>
        <v/>
      </c>
    </row>
    <row r="8350" spans="1:12" x14ac:dyDescent="0.35">
      <c r="A8350" s="3"/>
      <c r="B8350" s="2"/>
      <c r="C8350" s="2"/>
      <c r="D8350" s="2" t="b">
        <f>IF(AND(NOT(ISBLANK(Table1[[#This Row],[Fetal Sex (Male, Female or Unknown)]])),ISNUMBER(Table1[[#This Row],[Birthweight (grams)]]),ISNUMBER(Table1[[#This Row],[Gestation (days)]])),TRUE,FALSE)</f>
        <v>0</v>
      </c>
      <c r="E8350" s="2" t="str">
        <f>IF(Table1[[#This Row],[Is Data Valid]]=TRUE,IF(Table1[[#This Row],[Fetal Sex (Male, Female or Unknown)]]="Male",Backend!$C$6,IF(Table1[[#This Row],[Fetal Sex (Male, Female or Unknown)]]="Female",Backend!$C$7,IF(Table1[[#This Row],[Fetal Sex (Male, Female or Unknown)]]="Unknown",Backend!$C$8,"Error"))),"")</f>
        <v/>
      </c>
      <c r="F8350" s="8" t="str">
        <f>IF(Table1[[#This Row],[Is Data Valid]]=TRUE,EXP(0.578+0.332*((Table1[[#This Row],[Gestation (days)]]+0.5)/7)-0.00354*((Table1[[#This Row],[Gestation (days)]]+0.5)/7)^2)*Table1[[#This Row],[BW40_3705]],"")</f>
        <v/>
      </c>
      <c r="G8350" s="2" t="str">
        <f>IF(Table1[[#This Row],[Is Data Valid]]=TRUE,((Table1[[#This Row],[Birthweight (grams)]]/Table1[[#This Row],[BW_GA]])-1)/(Backend!$B$4/100*Table1[[#This Row],[BW40_3705]]),"")</f>
        <v/>
      </c>
      <c r="H8350" s="7" t="str">
        <f>IF(Table1[[#This Row],[Is Data Valid]]=TRUE,((Table1[[#This Row],[Birthweight (grams)]]*0.9/Table1[[#This Row],[BW_GA]])-1)/(Backend!$B$4/100*Table1[[#This Row],[BW40_3705]]),"")</f>
        <v/>
      </c>
      <c r="I8350" s="7" t="str">
        <f>IF(Table1[[#This Row],[Is Data Valid]]=TRUE,((Table1[[#This Row],[Birthweight (grams)]]*1.1/Table1[[#This Row],[BW_GA]])-1)/(Backend!$B$4/100*Table1[[#This Row],[BW40_3705]]),"")</f>
        <v/>
      </c>
      <c r="J8350" s="7" t="str">
        <f>IF(Table1[[#This Row],[Is Data Valid]]=TRUE,_xlfn.NORM.S.DIST(Table1[[#This Row],[Birthweight Z-Score]],TRUE)*100,"")</f>
        <v/>
      </c>
      <c r="K8350" s="7" t="str">
        <f>IF(Table1[[#This Row],[Is Data Valid]]=TRUE,_xlfn.NORM.S.DIST(Table1[[#This Row],[Birthweight Z-Score (BW-10%)]],TRUE)*100,"")</f>
        <v/>
      </c>
      <c r="L8350" s="7" t="str">
        <f>IF(Table1[[#This Row],[Is Data Valid]]=TRUE,_xlfn.NORM.S.DIST(Table1[[#This Row],[Birthweight Z-Score (BW+10%)]],TRUE)*100,"")</f>
        <v/>
      </c>
    </row>
    <row r="8351" spans="1:12" x14ac:dyDescent="0.35">
      <c r="A8351" s="3"/>
      <c r="B8351" s="2"/>
      <c r="C8351" s="2"/>
      <c r="D8351" s="2" t="b">
        <f>IF(AND(NOT(ISBLANK(Table1[[#This Row],[Fetal Sex (Male, Female or Unknown)]])),ISNUMBER(Table1[[#This Row],[Birthweight (grams)]]),ISNUMBER(Table1[[#This Row],[Gestation (days)]])),TRUE,FALSE)</f>
        <v>0</v>
      </c>
      <c r="E8351" s="2" t="str">
        <f>IF(Table1[[#This Row],[Is Data Valid]]=TRUE,IF(Table1[[#This Row],[Fetal Sex (Male, Female or Unknown)]]="Male",Backend!$C$6,IF(Table1[[#This Row],[Fetal Sex (Male, Female or Unknown)]]="Female",Backend!$C$7,IF(Table1[[#This Row],[Fetal Sex (Male, Female or Unknown)]]="Unknown",Backend!$C$8,"Error"))),"")</f>
        <v/>
      </c>
      <c r="F8351" s="8" t="str">
        <f>IF(Table1[[#This Row],[Is Data Valid]]=TRUE,EXP(0.578+0.332*((Table1[[#This Row],[Gestation (days)]]+0.5)/7)-0.00354*((Table1[[#This Row],[Gestation (days)]]+0.5)/7)^2)*Table1[[#This Row],[BW40_3705]],"")</f>
        <v/>
      </c>
      <c r="G8351" s="2" t="str">
        <f>IF(Table1[[#This Row],[Is Data Valid]]=TRUE,((Table1[[#This Row],[Birthweight (grams)]]/Table1[[#This Row],[BW_GA]])-1)/(Backend!$B$4/100*Table1[[#This Row],[BW40_3705]]),"")</f>
        <v/>
      </c>
      <c r="H8351" s="7" t="str">
        <f>IF(Table1[[#This Row],[Is Data Valid]]=TRUE,((Table1[[#This Row],[Birthweight (grams)]]*0.9/Table1[[#This Row],[BW_GA]])-1)/(Backend!$B$4/100*Table1[[#This Row],[BW40_3705]]),"")</f>
        <v/>
      </c>
      <c r="I8351" s="7" t="str">
        <f>IF(Table1[[#This Row],[Is Data Valid]]=TRUE,((Table1[[#This Row],[Birthweight (grams)]]*1.1/Table1[[#This Row],[BW_GA]])-1)/(Backend!$B$4/100*Table1[[#This Row],[BW40_3705]]),"")</f>
        <v/>
      </c>
      <c r="J8351" s="7" t="str">
        <f>IF(Table1[[#This Row],[Is Data Valid]]=TRUE,_xlfn.NORM.S.DIST(Table1[[#This Row],[Birthweight Z-Score]],TRUE)*100,"")</f>
        <v/>
      </c>
      <c r="K8351" s="7" t="str">
        <f>IF(Table1[[#This Row],[Is Data Valid]]=TRUE,_xlfn.NORM.S.DIST(Table1[[#This Row],[Birthweight Z-Score (BW-10%)]],TRUE)*100,"")</f>
        <v/>
      </c>
      <c r="L8351" s="7" t="str">
        <f>IF(Table1[[#This Row],[Is Data Valid]]=TRUE,_xlfn.NORM.S.DIST(Table1[[#This Row],[Birthweight Z-Score (BW+10%)]],TRUE)*100,"")</f>
        <v/>
      </c>
    </row>
    <row r="8352" spans="1:12" x14ac:dyDescent="0.35">
      <c r="A8352" s="3"/>
      <c r="B8352" s="2"/>
      <c r="C8352" s="2"/>
      <c r="D8352" s="2" t="b">
        <f>IF(AND(NOT(ISBLANK(Table1[[#This Row],[Fetal Sex (Male, Female or Unknown)]])),ISNUMBER(Table1[[#This Row],[Birthweight (grams)]]),ISNUMBER(Table1[[#This Row],[Gestation (days)]])),TRUE,FALSE)</f>
        <v>0</v>
      </c>
      <c r="E8352" s="2" t="str">
        <f>IF(Table1[[#This Row],[Is Data Valid]]=TRUE,IF(Table1[[#This Row],[Fetal Sex (Male, Female or Unknown)]]="Male",Backend!$C$6,IF(Table1[[#This Row],[Fetal Sex (Male, Female or Unknown)]]="Female",Backend!$C$7,IF(Table1[[#This Row],[Fetal Sex (Male, Female or Unknown)]]="Unknown",Backend!$C$8,"Error"))),"")</f>
        <v/>
      </c>
      <c r="F8352" s="8" t="str">
        <f>IF(Table1[[#This Row],[Is Data Valid]]=TRUE,EXP(0.578+0.332*((Table1[[#This Row],[Gestation (days)]]+0.5)/7)-0.00354*((Table1[[#This Row],[Gestation (days)]]+0.5)/7)^2)*Table1[[#This Row],[BW40_3705]],"")</f>
        <v/>
      </c>
      <c r="G8352" s="2" t="str">
        <f>IF(Table1[[#This Row],[Is Data Valid]]=TRUE,((Table1[[#This Row],[Birthweight (grams)]]/Table1[[#This Row],[BW_GA]])-1)/(Backend!$B$4/100*Table1[[#This Row],[BW40_3705]]),"")</f>
        <v/>
      </c>
      <c r="H8352" s="7" t="str">
        <f>IF(Table1[[#This Row],[Is Data Valid]]=TRUE,((Table1[[#This Row],[Birthweight (grams)]]*0.9/Table1[[#This Row],[BW_GA]])-1)/(Backend!$B$4/100*Table1[[#This Row],[BW40_3705]]),"")</f>
        <v/>
      </c>
      <c r="I8352" s="7" t="str">
        <f>IF(Table1[[#This Row],[Is Data Valid]]=TRUE,((Table1[[#This Row],[Birthweight (grams)]]*1.1/Table1[[#This Row],[BW_GA]])-1)/(Backend!$B$4/100*Table1[[#This Row],[BW40_3705]]),"")</f>
        <v/>
      </c>
      <c r="J8352" s="7" t="str">
        <f>IF(Table1[[#This Row],[Is Data Valid]]=TRUE,_xlfn.NORM.S.DIST(Table1[[#This Row],[Birthweight Z-Score]],TRUE)*100,"")</f>
        <v/>
      </c>
      <c r="K8352" s="7" t="str">
        <f>IF(Table1[[#This Row],[Is Data Valid]]=TRUE,_xlfn.NORM.S.DIST(Table1[[#This Row],[Birthweight Z-Score (BW-10%)]],TRUE)*100,"")</f>
        <v/>
      </c>
      <c r="L8352" s="7" t="str">
        <f>IF(Table1[[#This Row],[Is Data Valid]]=TRUE,_xlfn.NORM.S.DIST(Table1[[#This Row],[Birthweight Z-Score (BW+10%)]],TRUE)*100,"")</f>
        <v/>
      </c>
    </row>
    <row r="8353" spans="1:12" x14ac:dyDescent="0.35">
      <c r="A8353" s="3"/>
      <c r="B8353" s="2"/>
      <c r="C8353" s="2"/>
      <c r="D8353" s="2" t="b">
        <f>IF(AND(NOT(ISBLANK(Table1[[#This Row],[Fetal Sex (Male, Female or Unknown)]])),ISNUMBER(Table1[[#This Row],[Birthweight (grams)]]),ISNUMBER(Table1[[#This Row],[Gestation (days)]])),TRUE,FALSE)</f>
        <v>0</v>
      </c>
      <c r="E8353" s="2" t="str">
        <f>IF(Table1[[#This Row],[Is Data Valid]]=TRUE,IF(Table1[[#This Row],[Fetal Sex (Male, Female or Unknown)]]="Male",Backend!$C$6,IF(Table1[[#This Row],[Fetal Sex (Male, Female or Unknown)]]="Female",Backend!$C$7,IF(Table1[[#This Row],[Fetal Sex (Male, Female or Unknown)]]="Unknown",Backend!$C$8,"Error"))),"")</f>
        <v/>
      </c>
      <c r="F8353" s="8" t="str">
        <f>IF(Table1[[#This Row],[Is Data Valid]]=TRUE,EXP(0.578+0.332*((Table1[[#This Row],[Gestation (days)]]+0.5)/7)-0.00354*((Table1[[#This Row],[Gestation (days)]]+0.5)/7)^2)*Table1[[#This Row],[BW40_3705]],"")</f>
        <v/>
      </c>
      <c r="G8353" s="2" t="str">
        <f>IF(Table1[[#This Row],[Is Data Valid]]=TRUE,((Table1[[#This Row],[Birthweight (grams)]]/Table1[[#This Row],[BW_GA]])-1)/(Backend!$B$4/100*Table1[[#This Row],[BW40_3705]]),"")</f>
        <v/>
      </c>
      <c r="H8353" s="7" t="str">
        <f>IF(Table1[[#This Row],[Is Data Valid]]=TRUE,((Table1[[#This Row],[Birthweight (grams)]]*0.9/Table1[[#This Row],[BW_GA]])-1)/(Backend!$B$4/100*Table1[[#This Row],[BW40_3705]]),"")</f>
        <v/>
      </c>
      <c r="I8353" s="7" t="str">
        <f>IF(Table1[[#This Row],[Is Data Valid]]=TRUE,((Table1[[#This Row],[Birthweight (grams)]]*1.1/Table1[[#This Row],[BW_GA]])-1)/(Backend!$B$4/100*Table1[[#This Row],[BW40_3705]]),"")</f>
        <v/>
      </c>
      <c r="J8353" s="7" t="str">
        <f>IF(Table1[[#This Row],[Is Data Valid]]=TRUE,_xlfn.NORM.S.DIST(Table1[[#This Row],[Birthweight Z-Score]],TRUE)*100,"")</f>
        <v/>
      </c>
      <c r="K8353" s="7" t="str">
        <f>IF(Table1[[#This Row],[Is Data Valid]]=TRUE,_xlfn.NORM.S.DIST(Table1[[#This Row],[Birthweight Z-Score (BW-10%)]],TRUE)*100,"")</f>
        <v/>
      </c>
      <c r="L8353" s="7" t="str">
        <f>IF(Table1[[#This Row],[Is Data Valid]]=TRUE,_xlfn.NORM.S.DIST(Table1[[#This Row],[Birthweight Z-Score (BW+10%)]],TRUE)*100,"")</f>
        <v/>
      </c>
    </row>
    <row r="8354" spans="1:12" x14ac:dyDescent="0.35">
      <c r="A8354" s="3"/>
      <c r="B8354" s="2"/>
      <c r="C8354" s="2"/>
      <c r="D8354" s="2" t="b">
        <f>IF(AND(NOT(ISBLANK(Table1[[#This Row],[Fetal Sex (Male, Female or Unknown)]])),ISNUMBER(Table1[[#This Row],[Birthweight (grams)]]),ISNUMBER(Table1[[#This Row],[Gestation (days)]])),TRUE,FALSE)</f>
        <v>0</v>
      </c>
      <c r="E8354" s="2" t="str">
        <f>IF(Table1[[#This Row],[Is Data Valid]]=TRUE,IF(Table1[[#This Row],[Fetal Sex (Male, Female or Unknown)]]="Male",Backend!$C$6,IF(Table1[[#This Row],[Fetal Sex (Male, Female or Unknown)]]="Female",Backend!$C$7,IF(Table1[[#This Row],[Fetal Sex (Male, Female or Unknown)]]="Unknown",Backend!$C$8,"Error"))),"")</f>
        <v/>
      </c>
      <c r="F8354" s="8" t="str">
        <f>IF(Table1[[#This Row],[Is Data Valid]]=TRUE,EXP(0.578+0.332*((Table1[[#This Row],[Gestation (days)]]+0.5)/7)-0.00354*((Table1[[#This Row],[Gestation (days)]]+0.5)/7)^2)*Table1[[#This Row],[BW40_3705]],"")</f>
        <v/>
      </c>
      <c r="G8354" s="2" t="str">
        <f>IF(Table1[[#This Row],[Is Data Valid]]=TRUE,((Table1[[#This Row],[Birthweight (grams)]]/Table1[[#This Row],[BW_GA]])-1)/(Backend!$B$4/100*Table1[[#This Row],[BW40_3705]]),"")</f>
        <v/>
      </c>
      <c r="H8354" s="7" t="str">
        <f>IF(Table1[[#This Row],[Is Data Valid]]=TRUE,((Table1[[#This Row],[Birthweight (grams)]]*0.9/Table1[[#This Row],[BW_GA]])-1)/(Backend!$B$4/100*Table1[[#This Row],[BW40_3705]]),"")</f>
        <v/>
      </c>
      <c r="I8354" s="7" t="str">
        <f>IF(Table1[[#This Row],[Is Data Valid]]=TRUE,((Table1[[#This Row],[Birthweight (grams)]]*1.1/Table1[[#This Row],[BW_GA]])-1)/(Backend!$B$4/100*Table1[[#This Row],[BW40_3705]]),"")</f>
        <v/>
      </c>
      <c r="J8354" s="7" t="str">
        <f>IF(Table1[[#This Row],[Is Data Valid]]=TRUE,_xlfn.NORM.S.DIST(Table1[[#This Row],[Birthweight Z-Score]],TRUE)*100,"")</f>
        <v/>
      </c>
      <c r="K8354" s="7" t="str">
        <f>IF(Table1[[#This Row],[Is Data Valid]]=TRUE,_xlfn.NORM.S.DIST(Table1[[#This Row],[Birthweight Z-Score (BW-10%)]],TRUE)*100,"")</f>
        <v/>
      </c>
      <c r="L8354" s="7" t="str">
        <f>IF(Table1[[#This Row],[Is Data Valid]]=TRUE,_xlfn.NORM.S.DIST(Table1[[#This Row],[Birthweight Z-Score (BW+10%)]],TRUE)*100,"")</f>
        <v/>
      </c>
    </row>
    <row r="8355" spans="1:12" x14ac:dyDescent="0.35">
      <c r="A8355" s="3"/>
      <c r="B8355" s="2"/>
      <c r="C8355" s="2"/>
      <c r="D8355" s="2" t="b">
        <f>IF(AND(NOT(ISBLANK(Table1[[#This Row],[Fetal Sex (Male, Female or Unknown)]])),ISNUMBER(Table1[[#This Row],[Birthweight (grams)]]),ISNUMBER(Table1[[#This Row],[Gestation (days)]])),TRUE,FALSE)</f>
        <v>0</v>
      </c>
      <c r="E8355" s="2" t="str">
        <f>IF(Table1[[#This Row],[Is Data Valid]]=TRUE,IF(Table1[[#This Row],[Fetal Sex (Male, Female or Unknown)]]="Male",Backend!$C$6,IF(Table1[[#This Row],[Fetal Sex (Male, Female or Unknown)]]="Female",Backend!$C$7,IF(Table1[[#This Row],[Fetal Sex (Male, Female or Unknown)]]="Unknown",Backend!$C$8,"Error"))),"")</f>
        <v/>
      </c>
      <c r="F8355" s="8" t="str">
        <f>IF(Table1[[#This Row],[Is Data Valid]]=TRUE,EXP(0.578+0.332*((Table1[[#This Row],[Gestation (days)]]+0.5)/7)-0.00354*((Table1[[#This Row],[Gestation (days)]]+0.5)/7)^2)*Table1[[#This Row],[BW40_3705]],"")</f>
        <v/>
      </c>
      <c r="G8355" s="2" t="str">
        <f>IF(Table1[[#This Row],[Is Data Valid]]=TRUE,((Table1[[#This Row],[Birthweight (grams)]]/Table1[[#This Row],[BW_GA]])-1)/(Backend!$B$4/100*Table1[[#This Row],[BW40_3705]]),"")</f>
        <v/>
      </c>
      <c r="H8355" s="7" t="str">
        <f>IF(Table1[[#This Row],[Is Data Valid]]=TRUE,((Table1[[#This Row],[Birthweight (grams)]]*0.9/Table1[[#This Row],[BW_GA]])-1)/(Backend!$B$4/100*Table1[[#This Row],[BW40_3705]]),"")</f>
        <v/>
      </c>
      <c r="I8355" s="7" t="str">
        <f>IF(Table1[[#This Row],[Is Data Valid]]=TRUE,((Table1[[#This Row],[Birthweight (grams)]]*1.1/Table1[[#This Row],[BW_GA]])-1)/(Backend!$B$4/100*Table1[[#This Row],[BW40_3705]]),"")</f>
        <v/>
      </c>
      <c r="J8355" s="7" t="str">
        <f>IF(Table1[[#This Row],[Is Data Valid]]=TRUE,_xlfn.NORM.S.DIST(Table1[[#This Row],[Birthweight Z-Score]],TRUE)*100,"")</f>
        <v/>
      </c>
      <c r="K8355" s="7" t="str">
        <f>IF(Table1[[#This Row],[Is Data Valid]]=TRUE,_xlfn.NORM.S.DIST(Table1[[#This Row],[Birthweight Z-Score (BW-10%)]],TRUE)*100,"")</f>
        <v/>
      </c>
      <c r="L8355" s="7" t="str">
        <f>IF(Table1[[#This Row],[Is Data Valid]]=TRUE,_xlfn.NORM.S.DIST(Table1[[#This Row],[Birthweight Z-Score (BW+10%)]],TRUE)*100,"")</f>
        <v/>
      </c>
    </row>
    <row r="8356" spans="1:12" x14ac:dyDescent="0.35">
      <c r="A8356" s="3"/>
      <c r="B8356" s="2"/>
      <c r="C8356" s="2"/>
      <c r="D8356" s="2" t="b">
        <f>IF(AND(NOT(ISBLANK(Table1[[#This Row],[Fetal Sex (Male, Female or Unknown)]])),ISNUMBER(Table1[[#This Row],[Birthweight (grams)]]),ISNUMBER(Table1[[#This Row],[Gestation (days)]])),TRUE,FALSE)</f>
        <v>0</v>
      </c>
      <c r="E8356" s="2" t="str">
        <f>IF(Table1[[#This Row],[Is Data Valid]]=TRUE,IF(Table1[[#This Row],[Fetal Sex (Male, Female or Unknown)]]="Male",Backend!$C$6,IF(Table1[[#This Row],[Fetal Sex (Male, Female or Unknown)]]="Female",Backend!$C$7,IF(Table1[[#This Row],[Fetal Sex (Male, Female or Unknown)]]="Unknown",Backend!$C$8,"Error"))),"")</f>
        <v/>
      </c>
      <c r="F8356" s="8" t="str">
        <f>IF(Table1[[#This Row],[Is Data Valid]]=TRUE,EXP(0.578+0.332*((Table1[[#This Row],[Gestation (days)]]+0.5)/7)-0.00354*((Table1[[#This Row],[Gestation (days)]]+0.5)/7)^2)*Table1[[#This Row],[BW40_3705]],"")</f>
        <v/>
      </c>
      <c r="G8356" s="2" t="str">
        <f>IF(Table1[[#This Row],[Is Data Valid]]=TRUE,((Table1[[#This Row],[Birthweight (grams)]]/Table1[[#This Row],[BW_GA]])-1)/(Backend!$B$4/100*Table1[[#This Row],[BW40_3705]]),"")</f>
        <v/>
      </c>
      <c r="H8356" s="7" t="str">
        <f>IF(Table1[[#This Row],[Is Data Valid]]=TRUE,((Table1[[#This Row],[Birthweight (grams)]]*0.9/Table1[[#This Row],[BW_GA]])-1)/(Backend!$B$4/100*Table1[[#This Row],[BW40_3705]]),"")</f>
        <v/>
      </c>
      <c r="I8356" s="7" t="str">
        <f>IF(Table1[[#This Row],[Is Data Valid]]=TRUE,((Table1[[#This Row],[Birthweight (grams)]]*1.1/Table1[[#This Row],[BW_GA]])-1)/(Backend!$B$4/100*Table1[[#This Row],[BW40_3705]]),"")</f>
        <v/>
      </c>
      <c r="J8356" s="7" t="str">
        <f>IF(Table1[[#This Row],[Is Data Valid]]=TRUE,_xlfn.NORM.S.DIST(Table1[[#This Row],[Birthweight Z-Score]],TRUE)*100,"")</f>
        <v/>
      </c>
      <c r="K8356" s="7" t="str">
        <f>IF(Table1[[#This Row],[Is Data Valid]]=TRUE,_xlfn.NORM.S.DIST(Table1[[#This Row],[Birthweight Z-Score (BW-10%)]],TRUE)*100,"")</f>
        <v/>
      </c>
      <c r="L8356" s="7" t="str">
        <f>IF(Table1[[#This Row],[Is Data Valid]]=TRUE,_xlfn.NORM.S.DIST(Table1[[#This Row],[Birthweight Z-Score (BW+10%)]],TRUE)*100,"")</f>
        <v/>
      </c>
    </row>
    <row r="8357" spans="1:12" x14ac:dyDescent="0.35">
      <c r="A8357" s="3"/>
      <c r="B8357" s="2"/>
      <c r="C8357" s="2"/>
      <c r="D8357" s="2" t="b">
        <f>IF(AND(NOT(ISBLANK(Table1[[#This Row],[Fetal Sex (Male, Female or Unknown)]])),ISNUMBER(Table1[[#This Row],[Birthweight (grams)]]),ISNUMBER(Table1[[#This Row],[Gestation (days)]])),TRUE,FALSE)</f>
        <v>0</v>
      </c>
      <c r="E8357" s="2" t="str">
        <f>IF(Table1[[#This Row],[Is Data Valid]]=TRUE,IF(Table1[[#This Row],[Fetal Sex (Male, Female or Unknown)]]="Male",Backend!$C$6,IF(Table1[[#This Row],[Fetal Sex (Male, Female or Unknown)]]="Female",Backend!$C$7,IF(Table1[[#This Row],[Fetal Sex (Male, Female or Unknown)]]="Unknown",Backend!$C$8,"Error"))),"")</f>
        <v/>
      </c>
      <c r="F8357" s="8" t="str">
        <f>IF(Table1[[#This Row],[Is Data Valid]]=TRUE,EXP(0.578+0.332*((Table1[[#This Row],[Gestation (days)]]+0.5)/7)-0.00354*((Table1[[#This Row],[Gestation (days)]]+0.5)/7)^2)*Table1[[#This Row],[BW40_3705]],"")</f>
        <v/>
      </c>
      <c r="G8357" s="2" t="str">
        <f>IF(Table1[[#This Row],[Is Data Valid]]=TRUE,((Table1[[#This Row],[Birthweight (grams)]]/Table1[[#This Row],[BW_GA]])-1)/(Backend!$B$4/100*Table1[[#This Row],[BW40_3705]]),"")</f>
        <v/>
      </c>
      <c r="H8357" s="7" t="str">
        <f>IF(Table1[[#This Row],[Is Data Valid]]=TRUE,((Table1[[#This Row],[Birthweight (grams)]]*0.9/Table1[[#This Row],[BW_GA]])-1)/(Backend!$B$4/100*Table1[[#This Row],[BW40_3705]]),"")</f>
        <v/>
      </c>
      <c r="I8357" s="7" t="str">
        <f>IF(Table1[[#This Row],[Is Data Valid]]=TRUE,((Table1[[#This Row],[Birthweight (grams)]]*1.1/Table1[[#This Row],[BW_GA]])-1)/(Backend!$B$4/100*Table1[[#This Row],[BW40_3705]]),"")</f>
        <v/>
      </c>
      <c r="J8357" s="7" t="str">
        <f>IF(Table1[[#This Row],[Is Data Valid]]=TRUE,_xlfn.NORM.S.DIST(Table1[[#This Row],[Birthweight Z-Score]],TRUE)*100,"")</f>
        <v/>
      </c>
      <c r="K8357" s="7" t="str">
        <f>IF(Table1[[#This Row],[Is Data Valid]]=TRUE,_xlfn.NORM.S.DIST(Table1[[#This Row],[Birthweight Z-Score (BW-10%)]],TRUE)*100,"")</f>
        <v/>
      </c>
      <c r="L8357" s="7" t="str">
        <f>IF(Table1[[#This Row],[Is Data Valid]]=TRUE,_xlfn.NORM.S.DIST(Table1[[#This Row],[Birthweight Z-Score (BW+10%)]],TRUE)*100,"")</f>
        <v/>
      </c>
    </row>
    <row r="8358" spans="1:12" x14ac:dyDescent="0.35">
      <c r="A8358" s="3"/>
      <c r="B8358" s="2"/>
      <c r="C8358" s="2"/>
      <c r="D8358" s="2" t="b">
        <f>IF(AND(NOT(ISBLANK(Table1[[#This Row],[Fetal Sex (Male, Female or Unknown)]])),ISNUMBER(Table1[[#This Row],[Birthweight (grams)]]),ISNUMBER(Table1[[#This Row],[Gestation (days)]])),TRUE,FALSE)</f>
        <v>0</v>
      </c>
      <c r="E8358" s="2" t="str">
        <f>IF(Table1[[#This Row],[Is Data Valid]]=TRUE,IF(Table1[[#This Row],[Fetal Sex (Male, Female or Unknown)]]="Male",Backend!$C$6,IF(Table1[[#This Row],[Fetal Sex (Male, Female or Unknown)]]="Female",Backend!$C$7,IF(Table1[[#This Row],[Fetal Sex (Male, Female or Unknown)]]="Unknown",Backend!$C$8,"Error"))),"")</f>
        <v/>
      </c>
      <c r="F8358" s="8" t="str">
        <f>IF(Table1[[#This Row],[Is Data Valid]]=TRUE,EXP(0.578+0.332*((Table1[[#This Row],[Gestation (days)]]+0.5)/7)-0.00354*((Table1[[#This Row],[Gestation (days)]]+0.5)/7)^2)*Table1[[#This Row],[BW40_3705]],"")</f>
        <v/>
      </c>
      <c r="G8358" s="2" t="str">
        <f>IF(Table1[[#This Row],[Is Data Valid]]=TRUE,((Table1[[#This Row],[Birthweight (grams)]]/Table1[[#This Row],[BW_GA]])-1)/(Backend!$B$4/100*Table1[[#This Row],[BW40_3705]]),"")</f>
        <v/>
      </c>
      <c r="H8358" s="7" t="str">
        <f>IF(Table1[[#This Row],[Is Data Valid]]=TRUE,((Table1[[#This Row],[Birthweight (grams)]]*0.9/Table1[[#This Row],[BW_GA]])-1)/(Backend!$B$4/100*Table1[[#This Row],[BW40_3705]]),"")</f>
        <v/>
      </c>
      <c r="I8358" s="7" t="str">
        <f>IF(Table1[[#This Row],[Is Data Valid]]=TRUE,((Table1[[#This Row],[Birthweight (grams)]]*1.1/Table1[[#This Row],[BW_GA]])-1)/(Backend!$B$4/100*Table1[[#This Row],[BW40_3705]]),"")</f>
        <v/>
      </c>
      <c r="J8358" s="7" t="str">
        <f>IF(Table1[[#This Row],[Is Data Valid]]=TRUE,_xlfn.NORM.S.DIST(Table1[[#This Row],[Birthweight Z-Score]],TRUE)*100,"")</f>
        <v/>
      </c>
      <c r="K8358" s="7" t="str">
        <f>IF(Table1[[#This Row],[Is Data Valid]]=TRUE,_xlfn.NORM.S.DIST(Table1[[#This Row],[Birthweight Z-Score (BW-10%)]],TRUE)*100,"")</f>
        <v/>
      </c>
      <c r="L8358" s="7" t="str">
        <f>IF(Table1[[#This Row],[Is Data Valid]]=TRUE,_xlfn.NORM.S.DIST(Table1[[#This Row],[Birthweight Z-Score (BW+10%)]],TRUE)*100,"")</f>
        <v/>
      </c>
    </row>
    <row r="8359" spans="1:12" x14ac:dyDescent="0.35">
      <c r="A8359" s="3"/>
      <c r="B8359" s="2"/>
      <c r="C8359" s="2"/>
      <c r="D8359" s="2" t="b">
        <f>IF(AND(NOT(ISBLANK(Table1[[#This Row],[Fetal Sex (Male, Female or Unknown)]])),ISNUMBER(Table1[[#This Row],[Birthweight (grams)]]),ISNUMBER(Table1[[#This Row],[Gestation (days)]])),TRUE,FALSE)</f>
        <v>0</v>
      </c>
      <c r="E8359" s="2" t="str">
        <f>IF(Table1[[#This Row],[Is Data Valid]]=TRUE,IF(Table1[[#This Row],[Fetal Sex (Male, Female or Unknown)]]="Male",Backend!$C$6,IF(Table1[[#This Row],[Fetal Sex (Male, Female or Unknown)]]="Female",Backend!$C$7,IF(Table1[[#This Row],[Fetal Sex (Male, Female or Unknown)]]="Unknown",Backend!$C$8,"Error"))),"")</f>
        <v/>
      </c>
      <c r="F8359" s="8" t="str">
        <f>IF(Table1[[#This Row],[Is Data Valid]]=TRUE,EXP(0.578+0.332*((Table1[[#This Row],[Gestation (days)]]+0.5)/7)-0.00354*((Table1[[#This Row],[Gestation (days)]]+0.5)/7)^2)*Table1[[#This Row],[BW40_3705]],"")</f>
        <v/>
      </c>
      <c r="G8359" s="2" t="str">
        <f>IF(Table1[[#This Row],[Is Data Valid]]=TRUE,((Table1[[#This Row],[Birthweight (grams)]]/Table1[[#This Row],[BW_GA]])-1)/(Backend!$B$4/100*Table1[[#This Row],[BW40_3705]]),"")</f>
        <v/>
      </c>
      <c r="H8359" s="7" t="str">
        <f>IF(Table1[[#This Row],[Is Data Valid]]=TRUE,((Table1[[#This Row],[Birthweight (grams)]]*0.9/Table1[[#This Row],[BW_GA]])-1)/(Backend!$B$4/100*Table1[[#This Row],[BW40_3705]]),"")</f>
        <v/>
      </c>
      <c r="I8359" s="7" t="str">
        <f>IF(Table1[[#This Row],[Is Data Valid]]=TRUE,((Table1[[#This Row],[Birthweight (grams)]]*1.1/Table1[[#This Row],[BW_GA]])-1)/(Backend!$B$4/100*Table1[[#This Row],[BW40_3705]]),"")</f>
        <v/>
      </c>
      <c r="J8359" s="7" t="str">
        <f>IF(Table1[[#This Row],[Is Data Valid]]=TRUE,_xlfn.NORM.S.DIST(Table1[[#This Row],[Birthweight Z-Score]],TRUE)*100,"")</f>
        <v/>
      </c>
      <c r="K8359" s="7" t="str">
        <f>IF(Table1[[#This Row],[Is Data Valid]]=TRUE,_xlfn.NORM.S.DIST(Table1[[#This Row],[Birthweight Z-Score (BW-10%)]],TRUE)*100,"")</f>
        <v/>
      </c>
      <c r="L8359" s="7" t="str">
        <f>IF(Table1[[#This Row],[Is Data Valid]]=TRUE,_xlfn.NORM.S.DIST(Table1[[#This Row],[Birthweight Z-Score (BW+10%)]],TRUE)*100,"")</f>
        <v/>
      </c>
    </row>
    <row r="8360" spans="1:12" x14ac:dyDescent="0.35">
      <c r="A8360" s="3"/>
      <c r="B8360" s="2"/>
      <c r="C8360" s="2"/>
      <c r="D8360" s="2" t="b">
        <f>IF(AND(NOT(ISBLANK(Table1[[#This Row],[Fetal Sex (Male, Female or Unknown)]])),ISNUMBER(Table1[[#This Row],[Birthweight (grams)]]),ISNUMBER(Table1[[#This Row],[Gestation (days)]])),TRUE,FALSE)</f>
        <v>0</v>
      </c>
      <c r="E8360" s="2" t="str">
        <f>IF(Table1[[#This Row],[Is Data Valid]]=TRUE,IF(Table1[[#This Row],[Fetal Sex (Male, Female or Unknown)]]="Male",Backend!$C$6,IF(Table1[[#This Row],[Fetal Sex (Male, Female or Unknown)]]="Female",Backend!$C$7,IF(Table1[[#This Row],[Fetal Sex (Male, Female or Unknown)]]="Unknown",Backend!$C$8,"Error"))),"")</f>
        <v/>
      </c>
      <c r="F8360" s="8" t="str">
        <f>IF(Table1[[#This Row],[Is Data Valid]]=TRUE,EXP(0.578+0.332*((Table1[[#This Row],[Gestation (days)]]+0.5)/7)-0.00354*((Table1[[#This Row],[Gestation (days)]]+0.5)/7)^2)*Table1[[#This Row],[BW40_3705]],"")</f>
        <v/>
      </c>
      <c r="G8360" s="2" t="str">
        <f>IF(Table1[[#This Row],[Is Data Valid]]=TRUE,((Table1[[#This Row],[Birthweight (grams)]]/Table1[[#This Row],[BW_GA]])-1)/(Backend!$B$4/100*Table1[[#This Row],[BW40_3705]]),"")</f>
        <v/>
      </c>
      <c r="H8360" s="7" t="str">
        <f>IF(Table1[[#This Row],[Is Data Valid]]=TRUE,((Table1[[#This Row],[Birthweight (grams)]]*0.9/Table1[[#This Row],[BW_GA]])-1)/(Backend!$B$4/100*Table1[[#This Row],[BW40_3705]]),"")</f>
        <v/>
      </c>
      <c r="I8360" s="7" t="str">
        <f>IF(Table1[[#This Row],[Is Data Valid]]=TRUE,((Table1[[#This Row],[Birthweight (grams)]]*1.1/Table1[[#This Row],[BW_GA]])-1)/(Backend!$B$4/100*Table1[[#This Row],[BW40_3705]]),"")</f>
        <v/>
      </c>
      <c r="J8360" s="7" t="str">
        <f>IF(Table1[[#This Row],[Is Data Valid]]=TRUE,_xlfn.NORM.S.DIST(Table1[[#This Row],[Birthweight Z-Score]],TRUE)*100,"")</f>
        <v/>
      </c>
      <c r="K8360" s="7" t="str">
        <f>IF(Table1[[#This Row],[Is Data Valid]]=TRUE,_xlfn.NORM.S.DIST(Table1[[#This Row],[Birthweight Z-Score (BW-10%)]],TRUE)*100,"")</f>
        <v/>
      </c>
      <c r="L8360" s="7" t="str">
        <f>IF(Table1[[#This Row],[Is Data Valid]]=TRUE,_xlfn.NORM.S.DIST(Table1[[#This Row],[Birthweight Z-Score (BW+10%)]],TRUE)*100,"")</f>
        <v/>
      </c>
    </row>
    <row r="8361" spans="1:12" x14ac:dyDescent="0.35">
      <c r="A8361" s="3"/>
      <c r="B8361" s="2"/>
      <c r="C8361" s="2"/>
      <c r="D8361" s="2" t="b">
        <f>IF(AND(NOT(ISBLANK(Table1[[#This Row],[Fetal Sex (Male, Female or Unknown)]])),ISNUMBER(Table1[[#This Row],[Birthweight (grams)]]),ISNUMBER(Table1[[#This Row],[Gestation (days)]])),TRUE,FALSE)</f>
        <v>0</v>
      </c>
      <c r="E8361" s="2" t="str">
        <f>IF(Table1[[#This Row],[Is Data Valid]]=TRUE,IF(Table1[[#This Row],[Fetal Sex (Male, Female or Unknown)]]="Male",Backend!$C$6,IF(Table1[[#This Row],[Fetal Sex (Male, Female or Unknown)]]="Female",Backend!$C$7,IF(Table1[[#This Row],[Fetal Sex (Male, Female or Unknown)]]="Unknown",Backend!$C$8,"Error"))),"")</f>
        <v/>
      </c>
      <c r="F8361" s="8" t="str">
        <f>IF(Table1[[#This Row],[Is Data Valid]]=TRUE,EXP(0.578+0.332*((Table1[[#This Row],[Gestation (days)]]+0.5)/7)-0.00354*((Table1[[#This Row],[Gestation (days)]]+0.5)/7)^2)*Table1[[#This Row],[BW40_3705]],"")</f>
        <v/>
      </c>
      <c r="G8361" s="2" t="str">
        <f>IF(Table1[[#This Row],[Is Data Valid]]=TRUE,((Table1[[#This Row],[Birthweight (grams)]]/Table1[[#This Row],[BW_GA]])-1)/(Backend!$B$4/100*Table1[[#This Row],[BW40_3705]]),"")</f>
        <v/>
      </c>
      <c r="H8361" s="7" t="str">
        <f>IF(Table1[[#This Row],[Is Data Valid]]=TRUE,((Table1[[#This Row],[Birthweight (grams)]]*0.9/Table1[[#This Row],[BW_GA]])-1)/(Backend!$B$4/100*Table1[[#This Row],[BW40_3705]]),"")</f>
        <v/>
      </c>
      <c r="I8361" s="7" t="str">
        <f>IF(Table1[[#This Row],[Is Data Valid]]=TRUE,((Table1[[#This Row],[Birthweight (grams)]]*1.1/Table1[[#This Row],[BW_GA]])-1)/(Backend!$B$4/100*Table1[[#This Row],[BW40_3705]]),"")</f>
        <v/>
      </c>
      <c r="J8361" s="7" t="str">
        <f>IF(Table1[[#This Row],[Is Data Valid]]=TRUE,_xlfn.NORM.S.DIST(Table1[[#This Row],[Birthweight Z-Score]],TRUE)*100,"")</f>
        <v/>
      </c>
      <c r="K8361" s="7" t="str">
        <f>IF(Table1[[#This Row],[Is Data Valid]]=TRUE,_xlfn.NORM.S.DIST(Table1[[#This Row],[Birthweight Z-Score (BW-10%)]],TRUE)*100,"")</f>
        <v/>
      </c>
      <c r="L8361" s="7" t="str">
        <f>IF(Table1[[#This Row],[Is Data Valid]]=TRUE,_xlfn.NORM.S.DIST(Table1[[#This Row],[Birthweight Z-Score (BW+10%)]],TRUE)*100,"")</f>
        <v/>
      </c>
    </row>
    <row r="8362" spans="1:12" x14ac:dyDescent="0.35">
      <c r="A8362" s="3"/>
      <c r="B8362" s="2"/>
      <c r="C8362" s="2"/>
      <c r="D8362" s="2" t="b">
        <f>IF(AND(NOT(ISBLANK(Table1[[#This Row],[Fetal Sex (Male, Female or Unknown)]])),ISNUMBER(Table1[[#This Row],[Birthweight (grams)]]),ISNUMBER(Table1[[#This Row],[Gestation (days)]])),TRUE,FALSE)</f>
        <v>0</v>
      </c>
      <c r="E8362" s="2" t="str">
        <f>IF(Table1[[#This Row],[Is Data Valid]]=TRUE,IF(Table1[[#This Row],[Fetal Sex (Male, Female or Unknown)]]="Male",Backend!$C$6,IF(Table1[[#This Row],[Fetal Sex (Male, Female or Unknown)]]="Female",Backend!$C$7,IF(Table1[[#This Row],[Fetal Sex (Male, Female or Unknown)]]="Unknown",Backend!$C$8,"Error"))),"")</f>
        <v/>
      </c>
      <c r="F8362" s="8" t="str">
        <f>IF(Table1[[#This Row],[Is Data Valid]]=TRUE,EXP(0.578+0.332*((Table1[[#This Row],[Gestation (days)]]+0.5)/7)-0.00354*((Table1[[#This Row],[Gestation (days)]]+0.5)/7)^2)*Table1[[#This Row],[BW40_3705]],"")</f>
        <v/>
      </c>
      <c r="G8362" s="2" t="str">
        <f>IF(Table1[[#This Row],[Is Data Valid]]=TRUE,((Table1[[#This Row],[Birthweight (grams)]]/Table1[[#This Row],[BW_GA]])-1)/(Backend!$B$4/100*Table1[[#This Row],[BW40_3705]]),"")</f>
        <v/>
      </c>
      <c r="H8362" s="7" t="str">
        <f>IF(Table1[[#This Row],[Is Data Valid]]=TRUE,((Table1[[#This Row],[Birthweight (grams)]]*0.9/Table1[[#This Row],[BW_GA]])-1)/(Backend!$B$4/100*Table1[[#This Row],[BW40_3705]]),"")</f>
        <v/>
      </c>
      <c r="I8362" s="7" t="str">
        <f>IF(Table1[[#This Row],[Is Data Valid]]=TRUE,((Table1[[#This Row],[Birthweight (grams)]]*1.1/Table1[[#This Row],[BW_GA]])-1)/(Backend!$B$4/100*Table1[[#This Row],[BW40_3705]]),"")</f>
        <v/>
      </c>
      <c r="J8362" s="7" t="str">
        <f>IF(Table1[[#This Row],[Is Data Valid]]=TRUE,_xlfn.NORM.S.DIST(Table1[[#This Row],[Birthweight Z-Score]],TRUE)*100,"")</f>
        <v/>
      </c>
      <c r="K8362" s="7" t="str">
        <f>IF(Table1[[#This Row],[Is Data Valid]]=TRUE,_xlfn.NORM.S.DIST(Table1[[#This Row],[Birthweight Z-Score (BW-10%)]],TRUE)*100,"")</f>
        <v/>
      </c>
      <c r="L8362" s="7" t="str">
        <f>IF(Table1[[#This Row],[Is Data Valid]]=TRUE,_xlfn.NORM.S.DIST(Table1[[#This Row],[Birthweight Z-Score (BW+10%)]],TRUE)*100,"")</f>
        <v/>
      </c>
    </row>
    <row r="8363" spans="1:12" x14ac:dyDescent="0.35">
      <c r="A8363" s="3"/>
      <c r="B8363" s="2"/>
      <c r="C8363" s="2"/>
      <c r="D8363" s="2" t="b">
        <f>IF(AND(NOT(ISBLANK(Table1[[#This Row],[Fetal Sex (Male, Female or Unknown)]])),ISNUMBER(Table1[[#This Row],[Birthweight (grams)]]),ISNUMBER(Table1[[#This Row],[Gestation (days)]])),TRUE,FALSE)</f>
        <v>0</v>
      </c>
      <c r="E8363" s="2" t="str">
        <f>IF(Table1[[#This Row],[Is Data Valid]]=TRUE,IF(Table1[[#This Row],[Fetal Sex (Male, Female or Unknown)]]="Male",Backend!$C$6,IF(Table1[[#This Row],[Fetal Sex (Male, Female or Unknown)]]="Female",Backend!$C$7,IF(Table1[[#This Row],[Fetal Sex (Male, Female or Unknown)]]="Unknown",Backend!$C$8,"Error"))),"")</f>
        <v/>
      </c>
      <c r="F8363" s="8" t="str">
        <f>IF(Table1[[#This Row],[Is Data Valid]]=TRUE,EXP(0.578+0.332*((Table1[[#This Row],[Gestation (days)]]+0.5)/7)-0.00354*((Table1[[#This Row],[Gestation (days)]]+0.5)/7)^2)*Table1[[#This Row],[BW40_3705]],"")</f>
        <v/>
      </c>
      <c r="G8363" s="2" t="str">
        <f>IF(Table1[[#This Row],[Is Data Valid]]=TRUE,((Table1[[#This Row],[Birthweight (grams)]]/Table1[[#This Row],[BW_GA]])-1)/(Backend!$B$4/100*Table1[[#This Row],[BW40_3705]]),"")</f>
        <v/>
      </c>
      <c r="H8363" s="7" t="str">
        <f>IF(Table1[[#This Row],[Is Data Valid]]=TRUE,((Table1[[#This Row],[Birthweight (grams)]]*0.9/Table1[[#This Row],[BW_GA]])-1)/(Backend!$B$4/100*Table1[[#This Row],[BW40_3705]]),"")</f>
        <v/>
      </c>
      <c r="I8363" s="7" t="str">
        <f>IF(Table1[[#This Row],[Is Data Valid]]=TRUE,((Table1[[#This Row],[Birthweight (grams)]]*1.1/Table1[[#This Row],[BW_GA]])-1)/(Backend!$B$4/100*Table1[[#This Row],[BW40_3705]]),"")</f>
        <v/>
      </c>
      <c r="J8363" s="7" t="str">
        <f>IF(Table1[[#This Row],[Is Data Valid]]=TRUE,_xlfn.NORM.S.DIST(Table1[[#This Row],[Birthweight Z-Score]],TRUE)*100,"")</f>
        <v/>
      </c>
      <c r="K8363" s="7" t="str">
        <f>IF(Table1[[#This Row],[Is Data Valid]]=TRUE,_xlfn.NORM.S.DIST(Table1[[#This Row],[Birthweight Z-Score (BW-10%)]],TRUE)*100,"")</f>
        <v/>
      </c>
      <c r="L8363" s="7" t="str">
        <f>IF(Table1[[#This Row],[Is Data Valid]]=TRUE,_xlfn.NORM.S.DIST(Table1[[#This Row],[Birthweight Z-Score (BW+10%)]],TRUE)*100,"")</f>
        <v/>
      </c>
    </row>
    <row r="8364" spans="1:12" x14ac:dyDescent="0.35">
      <c r="A8364" s="3"/>
      <c r="B8364" s="2"/>
      <c r="C8364" s="2"/>
      <c r="D8364" s="2" t="b">
        <f>IF(AND(NOT(ISBLANK(Table1[[#This Row],[Fetal Sex (Male, Female or Unknown)]])),ISNUMBER(Table1[[#This Row],[Birthweight (grams)]]),ISNUMBER(Table1[[#This Row],[Gestation (days)]])),TRUE,FALSE)</f>
        <v>0</v>
      </c>
      <c r="E8364" s="2" t="str">
        <f>IF(Table1[[#This Row],[Is Data Valid]]=TRUE,IF(Table1[[#This Row],[Fetal Sex (Male, Female or Unknown)]]="Male",Backend!$C$6,IF(Table1[[#This Row],[Fetal Sex (Male, Female or Unknown)]]="Female",Backend!$C$7,IF(Table1[[#This Row],[Fetal Sex (Male, Female or Unknown)]]="Unknown",Backend!$C$8,"Error"))),"")</f>
        <v/>
      </c>
      <c r="F8364" s="8" t="str">
        <f>IF(Table1[[#This Row],[Is Data Valid]]=TRUE,EXP(0.578+0.332*((Table1[[#This Row],[Gestation (days)]]+0.5)/7)-0.00354*((Table1[[#This Row],[Gestation (days)]]+0.5)/7)^2)*Table1[[#This Row],[BW40_3705]],"")</f>
        <v/>
      </c>
      <c r="G8364" s="2" t="str">
        <f>IF(Table1[[#This Row],[Is Data Valid]]=TRUE,((Table1[[#This Row],[Birthweight (grams)]]/Table1[[#This Row],[BW_GA]])-1)/(Backend!$B$4/100*Table1[[#This Row],[BW40_3705]]),"")</f>
        <v/>
      </c>
      <c r="H8364" s="7" t="str">
        <f>IF(Table1[[#This Row],[Is Data Valid]]=TRUE,((Table1[[#This Row],[Birthweight (grams)]]*0.9/Table1[[#This Row],[BW_GA]])-1)/(Backend!$B$4/100*Table1[[#This Row],[BW40_3705]]),"")</f>
        <v/>
      </c>
      <c r="I8364" s="7" t="str">
        <f>IF(Table1[[#This Row],[Is Data Valid]]=TRUE,((Table1[[#This Row],[Birthweight (grams)]]*1.1/Table1[[#This Row],[BW_GA]])-1)/(Backend!$B$4/100*Table1[[#This Row],[BW40_3705]]),"")</f>
        <v/>
      </c>
      <c r="J8364" s="7" t="str">
        <f>IF(Table1[[#This Row],[Is Data Valid]]=TRUE,_xlfn.NORM.S.DIST(Table1[[#This Row],[Birthweight Z-Score]],TRUE)*100,"")</f>
        <v/>
      </c>
      <c r="K8364" s="7" t="str">
        <f>IF(Table1[[#This Row],[Is Data Valid]]=TRUE,_xlfn.NORM.S.DIST(Table1[[#This Row],[Birthweight Z-Score (BW-10%)]],TRUE)*100,"")</f>
        <v/>
      </c>
      <c r="L8364" s="7" t="str">
        <f>IF(Table1[[#This Row],[Is Data Valid]]=TRUE,_xlfn.NORM.S.DIST(Table1[[#This Row],[Birthweight Z-Score (BW+10%)]],TRUE)*100,"")</f>
        <v/>
      </c>
    </row>
    <row r="8365" spans="1:12" x14ac:dyDescent="0.35">
      <c r="A8365" s="3"/>
      <c r="B8365" s="2"/>
      <c r="C8365" s="2"/>
      <c r="D8365" s="2" t="b">
        <f>IF(AND(NOT(ISBLANK(Table1[[#This Row],[Fetal Sex (Male, Female or Unknown)]])),ISNUMBER(Table1[[#This Row],[Birthweight (grams)]]),ISNUMBER(Table1[[#This Row],[Gestation (days)]])),TRUE,FALSE)</f>
        <v>0</v>
      </c>
      <c r="E8365" s="2" t="str">
        <f>IF(Table1[[#This Row],[Is Data Valid]]=TRUE,IF(Table1[[#This Row],[Fetal Sex (Male, Female or Unknown)]]="Male",Backend!$C$6,IF(Table1[[#This Row],[Fetal Sex (Male, Female or Unknown)]]="Female",Backend!$C$7,IF(Table1[[#This Row],[Fetal Sex (Male, Female or Unknown)]]="Unknown",Backend!$C$8,"Error"))),"")</f>
        <v/>
      </c>
      <c r="F8365" s="8" t="str">
        <f>IF(Table1[[#This Row],[Is Data Valid]]=TRUE,EXP(0.578+0.332*((Table1[[#This Row],[Gestation (days)]]+0.5)/7)-0.00354*((Table1[[#This Row],[Gestation (days)]]+0.5)/7)^2)*Table1[[#This Row],[BW40_3705]],"")</f>
        <v/>
      </c>
      <c r="G8365" s="2" t="str">
        <f>IF(Table1[[#This Row],[Is Data Valid]]=TRUE,((Table1[[#This Row],[Birthweight (grams)]]/Table1[[#This Row],[BW_GA]])-1)/(Backend!$B$4/100*Table1[[#This Row],[BW40_3705]]),"")</f>
        <v/>
      </c>
      <c r="H8365" s="7" t="str">
        <f>IF(Table1[[#This Row],[Is Data Valid]]=TRUE,((Table1[[#This Row],[Birthweight (grams)]]*0.9/Table1[[#This Row],[BW_GA]])-1)/(Backend!$B$4/100*Table1[[#This Row],[BW40_3705]]),"")</f>
        <v/>
      </c>
      <c r="I8365" s="7" t="str">
        <f>IF(Table1[[#This Row],[Is Data Valid]]=TRUE,((Table1[[#This Row],[Birthweight (grams)]]*1.1/Table1[[#This Row],[BW_GA]])-1)/(Backend!$B$4/100*Table1[[#This Row],[BW40_3705]]),"")</f>
        <v/>
      </c>
      <c r="J8365" s="7" t="str">
        <f>IF(Table1[[#This Row],[Is Data Valid]]=TRUE,_xlfn.NORM.S.DIST(Table1[[#This Row],[Birthweight Z-Score]],TRUE)*100,"")</f>
        <v/>
      </c>
      <c r="K8365" s="7" t="str">
        <f>IF(Table1[[#This Row],[Is Data Valid]]=TRUE,_xlfn.NORM.S.DIST(Table1[[#This Row],[Birthweight Z-Score (BW-10%)]],TRUE)*100,"")</f>
        <v/>
      </c>
      <c r="L8365" s="7" t="str">
        <f>IF(Table1[[#This Row],[Is Data Valid]]=TRUE,_xlfn.NORM.S.DIST(Table1[[#This Row],[Birthweight Z-Score (BW+10%)]],TRUE)*100,"")</f>
        <v/>
      </c>
    </row>
    <row r="8366" spans="1:12" x14ac:dyDescent="0.35">
      <c r="A8366" s="3"/>
      <c r="B8366" s="2"/>
      <c r="C8366" s="2"/>
      <c r="D8366" s="2" t="b">
        <f>IF(AND(NOT(ISBLANK(Table1[[#This Row],[Fetal Sex (Male, Female or Unknown)]])),ISNUMBER(Table1[[#This Row],[Birthweight (grams)]]),ISNUMBER(Table1[[#This Row],[Gestation (days)]])),TRUE,FALSE)</f>
        <v>0</v>
      </c>
      <c r="E8366" s="2" t="str">
        <f>IF(Table1[[#This Row],[Is Data Valid]]=TRUE,IF(Table1[[#This Row],[Fetal Sex (Male, Female or Unknown)]]="Male",Backend!$C$6,IF(Table1[[#This Row],[Fetal Sex (Male, Female or Unknown)]]="Female",Backend!$C$7,IF(Table1[[#This Row],[Fetal Sex (Male, Female or Unknown)]]="Unknown",Backend!$C$8,"Error"))),"")</f>
        <v/>
      </c>
      <c r="F8366" s="8" t="str">
        <f>IF(Table1[[#This Row],[Is Data Valid]]=TRUE,EXP(0.578+0.332*((Table1[[#This Row],[Gestation (days)]]+0.5)/7)-0.00354*((Table1[[#This Row],[Gestation (days)]]+0.5)/7)^2)*Table1[[#This Row],[BW40_3705]],"")</f>
        <v/>
      </c>
      <c r="G8366" s="2" t="str">
        <f>IF(Table1[[#This Row],[Is Data Valid]]=TRUE,((Table1[[#This Row],[Birthweight (grams)]]/Table1[[#This Row],[BW_GA]])-1)/(Backend!$B$4/100*Table1[[#This Row],[BW40_3705]]),"")</f>
        <v/>
      </c>
      <c r="H8366" s="7" t="str">
        <f>IF(Table1[[#This Row],[Is Data Valid]]=TRUE,((Table1[[#This Row],[Birthweight (grams)]]*0.9/Table1[[#This Row],[BW_GA]])-1)/(Backend!$B$4/100*Table1[[#This Row],[BW40_3705]]),"")</f>
        <v/>
      </c>
      <c r="I8366" s="7" t="str">
        <f>IF(Table1[[#This Row],[Is Data Valid]]=TRUE,((Table1[[#This Row],[Birthweight (grams)]]*1.1/Table1[[#This Row],[BW_GA]])-1)/(Backend!$B$4/100*Table1[[#This Row],[BW40_3705]]),"")</f>
        <v/>
      </c>
      <c r="J8366" s="7" t="str">
        <f>IF(Table1[[#This Row],[Is Data Valid]]=TRUE,_xlfn.NORM.S.DIST(Table1[[#This Row],[Birthweight Z-Score]],TRUE)*100,"")</f>
        <v/>
      </c>
      <c r="K8366" s="7" t="str">
        <f>IF(Table1[[#This Row],[Is Data Valid]]=TRUE,_xlfn.NORM.S.DIST(Table1[[#This Row],[Birthweight Z-Score (BW-10%)]],TRUE)*100,"")</f>
        <v/>
      </c>
      <c r="L8366" s="7" t="str">
        <f>IF(Table1[[#This Row],[Is Data Valid]]=TRUE,_xlfn.NORM.S.DIST(Table1[[#This Row],[Birthweight Z-Score (BW+10%)]],TRUE)*100,"")</f>
        <v/>
      </c>
    </row>
    <row r="8367" spans="1:12" x14ac:dyDescent="0.35">
      <c r="A8367" s="3"/>
      <c r="B8367" s="2"/>
      <c r="C8367" s="2"/>
      <c r="D8367" s="2" t="b">
        <f>IF(AND(NOT(ISBLANK(Table1[[#This Row],[Fetal Sex (Male, Female or Unknown)]])),ISNUMBER(Table1[[#This Row],[Birthweight (grams)]]),ISNUMBER(Table1[[#This Row],[Gestation (days)]])),TRUE,FALSE)</f>
        <v>0</v>
      </c>
      <c r="E8367" s="2" t="str">
        <f>IF(Table1[[#This Row],[Is Data Valid]]=TRUE,IF(Table1[[#This Row],[Fetal Sex (Male, Female or Unknown)]]="Male",Backend!$C$6,IF(Table1[[#This Row],[Fetal Sex (Male, Female or Unknown)]]="Female",Backend!$C$7,IF(Table1[[#This Row],[Fetal Sex (Male, Female or Unknown)]]="Unknown",Backend!$C$8,"Error"))),"")</f>
        <v/>
      </c>
      <c r="F8367" s="8" t="str">
        <f>IF(Table1[[#This Row],[Is Data Valid]]=TRUE,EXP(0.578+0.332*((Table1[[#This Row],[Gestation (days)]]+0.5)/7)-0.00354*((Table1[[#This Row],[Gestation (days)]]+0.5)/7)^2)*Table1[[#This Row],[BW40_3705]],"")</f>
        <v/>
      </c>
      <c r="G8367" s="2" t="str">
        <f>IF(Table1[[#This Row],[Is Data Valid]]=TRUE,((Table1[[#This Row],[Birthweight (grams)]]/Table1[[#This Row],[BW_GA]])-1)/(Backend!$B$4/100*Table1[[#This Row],[BW40_3705]]),"")</f>
        <v/>
      </c>
      <c r="H8367" s="7" t="str">
        <f>IF(Table1[[#This Row],[Is Data Valid]]=TRUE,((Table1[[#This Row],[Birthweight (grams)]]*0.9/Table1[[#This Row],[BW_GA]])-1)/(Backend!$B$4/100*Table1[[#This Row],[BW40_3705]]),"")</f>
        <v/>
      </c>
      <c r="I8367" s="7" t="str">
        <f>IF(Table1[[#This Row],[Is Data Valid]]=TRUE,((Table1[[#This Row],[Birthweight (grams)]]*1.1/Table1[[#This Row],[BW_GA]])-1)/(Backend!$B$4/100*Table1[[#This Row],[BW40_3705]]),"")</f>
        <v/>
      </c>
      <c r="J8367" s="7" t="str">
        <f>IF(Table1[[#This Row],[Is Data Valid]]=TRUE,_xlfn.NORM.S.DIST(Table1[[#This Row],[Birthweight Z-Score]],TRUE)*100,"")</f>
        <v/>
      </c>
      <c r="K8367" s="7" t="str">
        <f>IF(Table1[[#This Row],[Is Data Valid]]=TRUE,_xlfn.NORM.S.DIST(Table1[[#This Row],[Birthweight Z-Score (BW-10%)]],TRUE)*100,"")</f>
        <v/>
      </c>
      <c r="L8367" s="7" t="str">
        <f>IF(Table1[[#This Row],[Is Data Valid]]=TRUE,_xlfn.NORM.S.DIST(Table1[[#This Row],[Birthweight Z-Score (BW+10%)]],TRUE)*100,"")</f>
        <v/>
      </c>
    </row>
    <row r="8368" spans="1:12" x14ac:dyDescent="0.35">
      <c r="A8368" s="3"/>
      <c r="B8368" s="2"/>
      <c r="C8368" s="2"/>
      <c r="D8368" s="2" t="b">
        <f>IF(AND(NOT(ISBLANK(Table1[[#This Row],[Fetal Sex (Male, Female or Unknown)]])),ISNUMBER(Table1[[#This Row],[Birthweight (grams)]]),ISNUMBER(Table1[[#This Row],[Gestation (days)]])),TRUE,FALSE)</f>
        <v>0</v>
      </c>
      <c r="E8368" s="2" t="str">
        <f>IF(Table1[[#This Row],[Is Data Valid]]=TRUE,IF(Table1[[#This Row],[Fetal Sex (Male, Female or Unknown)]]="Male",Backend!$C$6,IF(Table1[[#This Row],[Fetal Sex (Male, Female or Unknown)]]="Female",Backend!$C$7,IF(Table1[[#This Row],[Fetal Sex (Male, Female or Unknown)]]="Unknown",Backend!$C$8,"Error"))),"")</f>
        <v/>
      </c>
      <c r="F8368" s="8" t="str">
        <f>IF(Table1[[#This Row],[Is Data Valid]]=TRUE,EXP(0.578+0.332*((Table1[[#This Row],[Gestation (days)]]+0.5)/7)-0.00354*((Table1[[#This Row],[Gestation (days)]]+0.5)/7)^2)*Table1[[#This Row],[BW40_3705]],"")</f>
        <v/>
      </c>
      <c r="G8368" s="2" t="str">
        <f>IF(Table1[[#This Row],[Is Data Valid]]=TRUE,((Table1[[#This Row],[Birthweight (grams)]]/Table1[[#This Row],[BW_GA]])-1)/(Backend!$B$4/100*Table1[[#This Row],[BW40_3705]]),"")</f>
        <v/>
      </c>
      <c r="H8368" s="7" t="str">
        <f>IF(Table1[[#This Row],[Is Data Valid]]=TRUE,((Table1[[#This Row],[Birthweight (grams)]]*0.9/Table1[[#This Row],[BW_GA]])-1)/(Backend!$B$4/100*Table1[[#This Row],[BW40_3705]]),"")</f>
        <v/>
      </c>
      <c r="I8368" s="7" t="str">
        <f>IF(Table1[[#This Row],[Is Data Valid]]=TRUE,((Table1[[#This Row],[Birthweight (grams)]]*1.1/Table1[[#This Row],[BW_GA]])-1)/(Backend!$B$4/100*Table1[[#This Row],[BW40_3705]]),"")</f>
        <v/>
      </c>
      <c r="J8368" s="7" t="str">
        <f>IF(Table1[[#This Row],[Is Data Valid]]=TRUE,_xlfn.NORM.S.DIST(Table1[[#This Row],[Birthweight Z-Score]],TRUE)*100,"")</f>
        <v/>
      </c>
      <c r="K8368" s="7" t="str">
        <f>IF(Table1[[#This Row],[Is Data Valid]]=TRUE,_xlfn.NORM.S.DIST(Table1[[#This Row],[Birthweight Z-Score (BW-10%)]],TRUE)*100,"")</f>
        <v/>
      </c>
      <c r="L8368" s="7" t="str">
        <f>IF(Table1[[#This Row],[Is Data Valid]]=TRUE,_xlfn.NORM.S.DIST(Table1[[#This Row],[Birthweight Z-Score (BW+10%)]],TRUE)*100,"")</f>
        <v/>
      </c>
    </row>
    <row r="8369" spans="1:12" x14ac:dyDescent="0.35">
      <c r="A8369" s="3"/>
      <c r="B8369" s="2"/>
      <c r="C8369" s="2"/>
      <c r="D8369" s="2" t="b">
        <f>IF(AND(NOT(ISBLANK(Table1[[#This Row],[Fetal Sex (Male, Female or Unknown)]])),ISNUMBER(Table1[[#This Row],[Birthweight (grams)]]),ISNUMBER(Table1[[#This Row],[Gestation (days)]])),TRUE,FALSE)</f>
        <v>0</v>
      </c>
      <c r="E8369" s="2" t="str">
        <f>IF(Table1[[#This Row],[Is Data Valid]]=TRUE,IF(Table1[[#This Row],[Fetal Sex (Male, Female or Unknown)]]="Male",Backend!$C$6,IF(Table1[[#This Row],[Fetal Sex (Male, Female or Unknown)]]="Female",Backend!$C$7,IF(Table1[[#This Row],[Fetal Sex (Male, Female or Unknown)]]="Unknown",Backend!$C$8,"Error"))),"")</f>
        <v/>
      </c>
      <c r="F8369" s="8" t="str">
        <f>IF(Table1[[#This Row],[Is Data Valid]]=TRUE,EXP(0.578+0.332*((Table1[[#This Row],[Gestation (days)]]+0.5)/7)-0.00354*((Table1[[#This Row],[Gestation (days)]]+0.5)/7)^2)*Table1[[#This Row],[BW40_3705]],"")</f>
        <v/>
      </c>
      <c r="G8369" s="2" t="str">
        <f>IF(Table1[[#This Row],[Is Data Valid]]=TRUE,((Table1[[#This Row],[Birthweight (grams)]]/Table1[[#This Row],[BW_GA]])-1)/(Backend!$B$4/100*Table1[[#This Row],[BW40_3705]]),"")</f>
        <v/>
      </c>
      <c r="H8369" s="7" t="str">
        <f>IF(Table1[[#This Row],[Is Data Valid]]=TRUE,((Table1[[#This Row],[Birthweight (grams)]]*0.9/Table1[[#This Row],[BW_GA]])-1)/(Backend!$B$4/100*Table1[[#This Row],[BW40_3705]]),"")</f>
        <v/>
      </c>
      <c r="I8369" s="7" t="str">
        <f>IF(Table1[[#This Row],[Is Data Valid]]=TRUE,((Table1[[#This Row],[Birthweight (grams)]]*1.1/Table1[[#This Row],[BW_GA]])-1)/(Backend!$B$4/100*Table1[[#This Row],[BW40_3705]]),"")</f>
        <v/>
      </c>
      <c r="J8369" s="7" t="str">
        <f>IF(Table1[[#This Row],[Is Data Valid]]=TRUE,_xlfn.NORM.S.DIST(Table1[[#This Row],[Birthweight Z-Score]],TRUE)*100,"")</f>
        <v/>
      </c>
      <c r="K8369" s="7" t="str">
        <f>IF(Table1[[#This Row],[Is Data Valid]]=TRUE,_xlfn.NORM.S.DIST(Table1[[#This Row],[Birthweight Z-Score (BW-10%)]],TRUE)*100,"")</f>
        <v/>
      </c>
      <c r="L8369" s="7" t="str">
        <f>IF(Table1[[#This Row],[Is Data Valid]]=TRUE,_xlfn.NORM.S.DIST(Table1[[#This Row],[Birthweight Z-Score (BW+10%)]],TRUE)*100,"")</f>
        <v/>
      </c>
    </row>
    <row r="8370" spans="1:12" x14ac:dyDescent="0.35">
      <c r="A8370" s="3"/>
      <c r="B8370" s="2"/>
      <c r="C8370" s="2"/>
      <c r="D8370" s="2" t="b">
        <f>IF(AND(NOT(ISBLANK(Table1[[#This Row],[Fetal Sex (Male, Female or Unknown)]])),ISNUMBER(Table1[[#This Row],[Birthweight (grams)]]),ISNUMBER(Table1[[#This Row],[Gestation (days)]])),TRUE,FALSE)</f>
        <v>0</v>
      </c>
      <c r="E8370" s="2" t="str">
        <f>IF(Table1[[#This Row],[Is Data Valid]]=TRUE,IF(Table1[[#This Row],[Fetal Sex (Male, Female or Unknown)]]="Male",Backend!$C$6,IF(Table1[[#This Row],[Fetal Sex (Male, Female or Unknown)]]="Female",Backend!$C$7,IF(Table1[[#This Row],[Fetal Sex (Male, Female or Unknown)]]="Unknown",Backend!$C$8,"Error"))),"")</f>
        <v/>
      </c>
      <c r="F8370" s="8" t="str">
        <f>IF(Table1[[#This Row],[Is Data Valid]]=TRUE,EXP(0.578+0.332*((Table1[[#This Row],[Gestation (days)]]+0.5)/7)-0.00354*((Table1[[#This Row],[Gestation (days)]]+0.5)/7)^2)*Table1[[#This Row],[BW40_3705]],"")</f>
        <v/>
      </c>
      <c r="G8370" s="2" t="str">
        <f>IF(Table1[[#This Row],[Is Data Valid]]=TRUE,((Table1[[#This Row],[Birthweight (grams)]]/Table1[[#This Row],[BW_GA]])-1)/(Backend!$B$4/100*Table1[[#This Row],[BW40_3705]]),"")</f>
        <v/>
      </c>
      <c r="H8370" s="7" t="str">
        <f>IF(Table1[[#This Row],[Is Data Valid]]=TRUE,((Table1[[#This Row],[Birthweight (grams)]]*0.9/Table1[[#This Row],[BW_GA]])-1)/(Backend!$B$4/100*Table1[[#This Row],[BW40_3705]]),"")</f>
        <v/>
      </c>
      <c r="I8370" s="7" t="str">
        <f>IF(Table1[[#This Row],[Is Data Valid]]=TRUE,((Table1[[#This Row],[Birthweight (grams)]]*1.1/Table1[[#This Row],[BW_GA]])-1)/(Backend!$B$4/100*Table1[[#This Row],[BW40_3705]]),"")</f>
        <v/>
      </c>
      <c r="J8370" s="7" t="str">
        <f>IF(Table1[[#This Row],[Is Data Valid]]=TRUE,_xlfn.NORM.S.DIST(Table1[[#This Row],[Birthweight Z-Score]],TRUE)*100,"")</f>
        <v/>
      </c>
      <c r="K8370" s="7" t="str">
        <f>IF(Table1[[#This Row],[Is Data Valid]]=TRUE,_xlfn.NORM.S.DIST(Table1[[#This Row],[Birthweight Z-Score (BW-10%)]],TRUE)*100,"")</f>
        <v/>
      </c>
      <c r="L8370" s="7" t="str">
        <f>IF(Table1[[#This Row],[Is Data Valid]]=TRUE,_xlfn.NORM.S.DIST(Table1[[#This Row],[Birthweight Z-Score (BW+10%)]],TRUE)*100,"")</f>
        <v/>
      </c>
    </row>
    <row r="8371" spans="1:12" x14ac:dyDescent="0.35">
      <c r="A8371" s="3"/>
      <c r="B8371" s="2"/>
      <c r="C8371" s="2"/>
      <c r="D8371" s="2" t="b">
        <f>IF(AND(NOT(ISBLANK(Table1[[#This Row],[Fetal Sex (Male, Female or Unknown)]])),ISNUMBER(Table1[[#This Row],[Birthweight (grams)]]),ISNUMBER(Table1[[#This Row],[Gestation (days)]])),TRUE,FALSE)</f>
        <v>0</v>
      </c>
      <c r="E8371" s="2" t="str">
        <f>IF(Table1[[#This Row],[Is Data Valid]]=TRUE,IF(Table1[[#This Row],[Fetal Sex (Male, Female or Unknown)]]="Male",Backend!$C$6,IF(Table1[[#This Row],[Fetal Sex (Male, Female or Unknown)]]="Female",Backend!$C$7,IF(Table1[[#This Row],[Fetal Sex (Male, Female or Unknown)]]="Unknown",Backend!$C$8,"Error"))),"")</f>
        <v/>
      </c>
      <c r="F8371" s="8" t="str">
        <f>IF(Table1[[#This Row],[Is Data Valid]]=TRUE,EXP(0.578+0.332*((Table1[[#This Row],[Gestation (days)]]+0.5)/7)-0.00354*((Table1[[#This Row],[Gestation (days)]]+0.5)/7)^2)*Table1[[#This Row],[BW40_3705]],"")</f>
        <v/>
      </c>
      <c r="G8371" s="2" t="str">
        <f>IF(Table1[[#This Row],[Is Data Valid]]=TRUE,((Table1[[#This Row],[Birthweight (grams)]]/Table1[[#This Row],[BW_GA]])-1)/(Backend!$B$4/100*Table1[[#This Row],[BW40_3705]]),"")</f>
        <v/>
      </c>
      <c r="H8371" s="7" t="str">
        <f>IF(Table1[[#This Row],[Is Data Valid]]=TRUE,((Table1[[#This Row],[Birthweight (grams)]]*0.9/Table1[[#This Row],[BW_GA]])-1)/(Backend!$B$4/100*Table1[[#This Row],[BW40_3705]]),"")</f>
        <v/>
      </c>
      <c r="I8371" s="7" t="str">
        <f>IF(Table1[[#This Row],[Is Data Valid]]=TRUE,((Table1[[#This Row],[Birthweight (grams)]]*1.1/Table1[[#This Row],[BW_GA]])-1)/(Backend!$B$4/100*Table1[[#This Row],[BW40_3705]]),"")</f>
        <v/>
      </c>
      <c r="J8371" s="7" t="str">
        <f>IF(Table1[[#This Row],[Is Data Valid]]=TRUE,_xlfn.NORM.S.DIST(Table1[[#This Row],[Birthweight Z-Score]],TRUE)*100,"")</f>
        <v/>
      </c>
      <c r="K8371" s="7" t="str">
        <f>IF(Table1[[#This Row],[Is Data Valid]]=TRUE,_xlfn.NORM.S.DIST(Table1[[#This Row],[Birthweight Z-Score (BW-10%)]],TRUE)*100,"")</f>
        <v/>
      </c>
      <c r="L8371" s="7" t="str">
        <f>IF(Table1[[#This Row],[Is Data Valid]]=TRUE,_xlfn.NORM.S.DIST(Table1[[#This Row],[Birthweight Z-Score (BW+10%)]],TRUE)*100,"")</f>
        <v/>
      </c>
    </row>
    <row r="8372" spans="1:12" x14ac:dyDescent="0.35">
      <c r="A8372" s="3"/>
      <c r="B8372" s="2"/>
      <c r="C8372" s="2"/>
      <c r="D8372" s="2" t="b">
        <f>IF(AND(NOT(ISBLANK(Table1[[#This Row],[Fetal Sex (Male, Female or Unknown)]])),ISNUMBER(Table1[[#This Row],[Birthweight (grams)]]),ISNUMBER(Table1[[#This Row],[Gestation (days)]])),TRUE,FALSE)</f>
        <v>0</v>
      </c>
      <c r="E8372" s="2" t="str">
        <f>IF(Table1[[#This Row],[Is Data Valid]]=TRUE,IF(Table1[[#This Row],[Fetal Sex (Male, Female or Unknown)]]="Male",Backend!$C$6,IF(Table1[[#This Row],[Fetal Sex (Male, Female or Unknown)]]="Female",Backend!$C$7,IF(Table1[[#This Row],[Fetal Sex (Male, Female or Unknown)]]="Unknown",Backend!$C$8,"Error"))),"")</f>
        <v/>
      </c>
      <c r="F8372" s="8" t="str">
        <f>IF(Table1[[#This Row],[Is Data Valid]]=TRUE,EXP(0.578+0.332*((Table1[[#This Row],[Gestation (days)]]+0.5)/7)-0.00354*((Table1[[#This Row],[Gestation (days)]]+0.5)/7)^2)*Table1[[#This Row],[BW40_3705]],"")</f>
        <v/>
      </c>
      <c r="G8372" s="2" t="str">
        <f>IF(Table1[[#This Row],[Is Data Valid]]=TRUE,((Table1[[#This Row],[Birthweight (grams)]]/Table1[[#This Row],[BW_GA]])-1)/(Backend!$B$4/100*Table1[[#This Row],[BW40_3705]]),"")</f>
        <v/>
      </c>
      <c r="H8372" s="7" t="str">
        <f>IF(Table1[[#This Row],[Is Data Valid]]=TRUE,((Table1[[#This Row],[Birthweight (grams)]]*0.9/Table1[[#This Row],[BW_GA]])-1)/(Backend!$B$4/100*Table1[[#This Row],[BW40_3705]]),"")</f>
        <v/>
      </c>
      <c r="I8372" s="7" t="str">
        <f>IF(Table1[[#This Row],[Is Data Valid]]=TRUE,((Table1[[#This Row],[Birthweight (grams)]]*1.1/Table1[[#This Row],[BW_GA]])-1)/(Backend!$B$4/100*Table1[[#This Row],[BW40_3705]]),"")</f>
        <v/>
      </c>
      <c r="J8372" s="7" t="str">
        <f>IF(Table1[[#This Row],[Is Data Valid]]=TRUE,_xlfn.NORM.S.DIST(Table1[[#This Row],[Birthweight Z-Score]],TRUE)*100,"")</f>
        <v/>
      </c>
      <c r="K8372" s="7" t="str">
        <f>IF(Table1[[#This Row],[Is Data Valid]]=TRUE,_xlfn.NORM.S.DIST(Table1[[#This Row],[Birthweight Z-Score (BW-10%)]],TRUE)*100,"")</f>
        <v/>
      </c>
      <c r="L8372" s="7" t="str">
        <f>IF(Table1[[#This Row],[Is Data Valid]]=TRUE,_xlfn.NORM.S.DIST(Table1[[#This Row],[Birthweight Z-Score (BW+10%)]],TRUE)*100,"")</f>
        <v/>
      </c>
    </row>
    <row r="8373" spans="1:12" x14ac:dyDescent="0.35">
      <c r="A8373" s="3"/>
      <c r="B8373" s="2"/>
      <c r="C8373" s="2"/>
      <c r="D8373" s="2" t="b">
        <f>IF(AND(NOT(ISBLANK(Table1[[#This Row],[Fetal Sex (Male, Female or Unknown)]])),ISNUMBER(Table1[[#This Row],[Birthweight (grams)]]),ISNUMBER(Table1[[#This Row],[Gestation (days)]])),TRUE,FALSE)</f>
        <v>0</v>
      </c>
      <c r="E8373" s="2" t="str">
        <f>IF(Table1[[#This Row],[Is Data Valid]]=TRUE,IF(Table1[[#This Row],[Fetal Sex (Male, Female or Unknown)]]="Male",Backend!$C$6,IF(Table1[[#This Row],[Fetal Sex (Male, Female or Unknown)]]="Female",Backend!$C$7,IF(Table1[[#This Row],[Fetal Sex (Male, Female or Unknown)]]="Unknown",Backend!$C$8,"Error"))),"")</f>
        <v/>
      </c>
      <c r="F8373" s="8" t="str">
        <f>IF(Table1[[#This Row],[Is Data Valid]]=TRUE,EXP(0.578+0.332*((Table1[[#This Row],[Gestation (days)]]+0.5)/7)-0.00354*((Table1[[#This Row],[Gestation (days)]]+0.5)/7)^2)*Table1[[#This Row],[BW40_3705]],"")</f>
        <v/>
      </c>
      <c r="G8373" s="2" t="str">
        <f>IF(Table1[[#This Row],[Is Data Valid]]=TRUE,((Table1[[#This Row],[Birthweight (grams)]]/Table1[[#This Row],[BW_GA]])-1)/(Backend!$B$4/100*Table1[[#This Row],[BW40_3705]]),"")</f>
        <v/>
      </c>
      <c r="H8373" s="7" t="str">
        <f>IF(Table1[[#This Row],[Is Data Valid]]=TRUE,((Table1[[#This Row],[Birthweight (grams)]]*0.9/Table1[[#This Row],[BW_GA]])-1)/(Backend!$B$4/100*Table1[[#This Row],[BW40_3705]]),"")</f>
        <v/>
      </c>
      <c r="I8373" s="7" t="str">
        <f>IF(Table1[[#This Row],[Is Data Valid]]=TRUE,((Table1[[#This Row],[Birthweight (grams)]]*1.1/Table1[[#This Row],[BW_GA]])-1)/(Backend!$B$4/100*Table1[[#This Row],[BW40_3705]]),"")</f>
        <v/>
      </c>
      <c r="J8373" s="7" t="str">
        <f>IF(Table1[[#This Row],[Is Data Valid]]=TRUE,_xlfn.NORM.S.DIST(Table1[[#This Row],[Birthweight Z-Score]],TRUE)*100,"")</f>
        <v/>
      </c>
      <c r="K8373" s="7" t="str">
        <f>IF(Table1[[#This Row],[Is Data Valid]]=TRUE,_xlfn.NORM.S.DIST(Table1[[#This Row],[Birthweight Z-Score (BW-10%)]],TRUE)*100,"")</f>
        <v/>
      </c>
      <c r="L8373" s="7" t="str">
        <f>IF(Table1[[#This Row],[Is Data Valid]]=TRUE,_xlfn.NORM.S.DIST(Table1[[#This Row],[Birthweight Z-Score (BW+10%)]],TRUE)*100,"")</f>
        <v/>
      </c>
    </row>
    <row r="8374" spans="1:12" x14ac:dyDescent="0.35">
      <c r="A8374" s="3"/>
      <c r="B8374" s="2"/>
      <c r="C8374" s="2"/>
      <c r="D8374" s="2" t="b">
        <f>IF(AND(NOT(ISBLANK(Table1[[#This Row],[Fetal Sex (Male, Female or Unknown)]])),ISNUMBER(Table1[[#This Row],[Birthweight (grams)]]),ISNUMBER(Table1[[#This Row],[Gestation (days)]])),TRUE,FALSE)</f>
        <v>0</v>
      </c>
      <c r="E8374" s="2" t="str">
        <f>IF(Table1[[#This Row],[Is Data Valid]]=TRUE,IF(Table1[[#This Row],[Fetal Sex (Male, Female or Unknown)]]="Male",Backend!$C$6,IF(Table1[[#This Row],[Fetal Sex (Male, Female or Unknown)]]="Female",Backend!$C$7,IF(Table1[[#This Row],[Fetal Sex (Male, Female or Unknown)]]="Unknown",Backend!$C$8,"Error"))),"")</f>
        <v/>
      </c>
      <c r="F8374" s="8" t="str">
        <f>IF(Table1[[#This Row],[Is Data Valid]]=TRUE,EXP(0.578+0.332*((Table1[[#This Row],[Gestation (days)]]+0.5)/7)-0.00354*((Table1[[#This Row],[Gestation (days)]]+0.5)/7)^2)*Table1[[#This Row],[BW40_3705]],"")</f>
        <v/>
      </c>
      <c r="G8374" s="2" t="str">
        <f>IF(Table1[[#This Row],[Is Data Valid]]=TRUE,((Table1[[#This Row],[Birthweight (grams)]]/Table1[[#This Row],[BW_GA]])-1)/(Backend!$B$4/100*Table1[[#This Row],[BW40_3705]]),"")</f>
        <v/>
      </c>
      <c r="H8374" s="7" t="str">
        <f>IF(Table1[[#This Row],[Is Data Valid]]=TRUE,((Table1[[#This Row],[Birthweight (grams)]]*0.9/Table1[[#This Row],[BW_GA]])-1)/(Backend!$B$4/100*Table1[[#This Row],[BW40_3705]]),"")</f>
        <v/>
      </c>
      <c r="I8374" s="7" t="str">
        <f>IF(Table1[[#This Row],[Is Data Valid]]=TRUE,((Table1[[#This Row],[Birthweight (grams)]]*1.1/Table1[[#This Row],[BW_GA]])-1)/(Backend!$B$4/100*Table1[[#This Row],[BW40_3705]]),"")</f>
        <v/>
      </c>
      <c r="J8374" s="7" t="str">
        <f>IF(Table1[[#This Row],[Is Data Valid]]=TRUE,_xlfn.NORM.S.DIST(Table1[[#This Row],[Birthweight Z-Score]],TRUE)*100,"")</f>
        <v/>
      </c>
      <c r="K8374" s="7" t="str">
        <f>IF(Table1[[#This Row],[Is Data Valid]]=TRUE,_xlfn.NORM.S.DIST(Table1[[#This Row],[Birthweight Z-Score (BW-10%)]],TRUE)*100,"")</f>
        <v/>
      </c>
      <c r="L8374" s="7" t="str">
        <f>IF(Table1[[#This Row],[Is Data Valid]]=TRUE,_xlfn.NORM.S.DIST(Table1[[#This Row],[Birthweight Z-Score (BW+10%)]],TRUE)*100,"")</f>
        <v/>
      </c>
    </row>
    <row r="8375" spans="1:12" x14ac:dyDescent="0.35">
      <c r="A8375" s="3"/>
      <c r="B8375" s="2"/>
      <c r="C8375" s="2"/>
      <c r="D8375" s="2" t="b">
        <f>IF(AND(NOT(ISBLANK(Table1[[#This Row],[Fetal Sex (Male, Female or Unknown)]])),ISNUMBER(Table1[[#This Row],[Birthweight (grams)]]),ISNUMBER(Table1[[#This Row],[Gestation (days)]])),TRUE,FALSE)</f>
        <v>0</v>
      </c>
      <c r="E8375" s="2" t="str">
        <f>IF(Table1[[#This Row],[Is Data Valid]]=TRUE,IF(Table1[[#This Row],[Fetal Sex (Male, Female or Unknown)]]="Male",Backend!$C$6,IF(Table1[[#This Row],[Fetal Sex (Male, Female or Unknown)]]="Female",Backend!$C$7,IF(Table1[[#This Row],[Fetal Sex (Male, Female or Unknown)]]="Unknown",Backend!$C$8,"Error"))),"")</f>
        <v/>
      </c>
      <c r="F8375" s="8" t="str">
        <f>IF(Table1[[#This Row],[Is Data Valid]]=TRUE,EXP(0.578+0.332*((Table1[[#This Row],[Gestation (days)]]+0.5)/7)-0.00354*((Table1[[#This Row],[Gestation (days)]]+0.5)/7)^2)*Table1[[#This Row],[BW40_3705]],"")</f>
        <v/>
      </c>
      <c r="G8375" s="2" t="str">
        <f>IF(Table1[[#This Row],[Is Data Valid]]=TRUE,((Table1[[#This Row],[Birthweight (grams)]]/Table1[[#This Row],[BW_GA]])-1)/(Backend!$B$4/100*Table1[[#This Row],[BW40_3705]]),"")</f>
        <v/>
      </c>
      <c r="H8375" s="7" t="str">
        <f>IF(Table1[[#This Row],[Is Data Valid]]=TRUE,((Table1[[#This Row],[Birthweight (grams)]]*0.9/Table1[[#This Row],[BW_GA]])-1)/(Backend!$B$4/100*Table1[[#This Row],[BW40_3705]]),"")</f>
        <v/>
      </c>
      <c r="I8375" s="7" t="str">
        <f>IF(Table1[[#This Row],[Is Data Valid]]=TRUE,((Table1[[#This Row],[Birthweight (grams)]]*1.1/Table1[[#This Row],[BW_GA]])-1)/(Backend!$B$4/100*Table1[[#This Row],[BW40_3705]]),"")</f>
        <v/>
      </c>
      <c r="J8375" s="7" t="str">
        <f>IF(Table1[[#This Row],[Is Data Valid]]=TRUE,_xlfn.NORM.S.DIST(Table1[[#This Row],[Birthweight Z-Score]],TRUE)*100,"")</f>
        <v/>
      </c>
      <c r="K8375" s="7" t="str">
        <f>IF(Table1[[#This Row],[Is Data Valid]]=TRUE,_xlfn.NORM.S.DIST(Table1[[#This Row],[Birthweight Z-Score (BW-10%)]],TRUE)*100,"")</f>
        <v/>
      </c>
      <c r="L8375" s="7" t="str">
        <f>IF(Table1[[#This Row],[Is Data Valid]]=TRUE,_xlfn.NORM.S.DIST(Table1[[#This Row],[Birthweight Z-Score (BW+10%)]],TRUE)*100,"")</f>
        <v/>
      </c>
    </row>
    <row r="8376" spans="1:12" x14ac:dyDescent="0.35">
      <c r="A8376" s="3"/>
      <c r="B8376" s="2"/>
      <c r="C8376" s="2"/>
      <c r="D8376" s="2" t="b">
        <f>IF(AND(NOT(ISBLANK(Table1[[#This Row],[Fetal Sex (Male, Female or Unknown)]])),ISNUMBER(Table1[[#This Row],[Birthweight (grams)]]),ISNUMBER(Table1[[#This Row],[Gestation (days)]])),TRUE,FALSE)</f>
        <v>0</v>
      </c>
      <c r="E8376" s="2" t="str">
        <f>IF(Table1[[#This Row],[Is Data Valid]]=TRUE,IF(Table1[[#This Row],[Fetal Sex (Male, Female or Unknown)]]="Male",Backend!$C$6,IF(Table1[[#This Row],[Fetal Sex (Male, Female or Unknown)]]="Female",Backend!$C$7,IF(Table1[[#This Row],[Fetal Sex (Male, Female or Unknown)]]="Unknown",Backend!$C$8,"Error"))),"")</f>
        <v/>
      </c>
      <c r="F8376" s="8" t="str">
        <f>IF(Table1[[#This Row],[Is Data Valid]]=TRUE,EXP(0.578+0.332*((Table1[[#This Row],[Gestation (days)]]+0.5)/7)-0.00354*((Table1[[#This Row],[Gestation (days)]]+0.5)/7)^2)*Table1[[#This Row],[BW40_3705]],"")</f>
        <v/>
      </c>
      <c r="G8376" s="2" t="str">
        <f>IF(Table1[[#This Row],[Is Data Valid]]=TRUE,((Table1[[#This Row],[Birthweight (grams)]]/Table1[[#This Row],[BW_GA]])-1)/(Backend!$B$4/100*Table1[[#This Row],[BW40_3705]]),"")</f>
        <v/>
      </c>
      <c r="H8376" s="7" t="str">
        <f>IF(Table1[[#This Row],[Is Data Valid]]=TRUE,((Table1[[#This Row],[Birthweight (grams)]]*0.9/Table1[[#This Row],[BW_GA]])-1)/(Backend!$B$4/100*Table1[[#This Row],[BW40_3705]]),"")</f>
        <v/>
      </c>
      <c r="I8376" s="7" t="str">
        <f>IF(Table1[[#This Row],[Is Data Valid]]=TRUE,((Table1[[#This Row],[Birthweight (grams)]]*1.1/Table1[[#This Row],[BW_GA]])-1)/(Backend!$B$4/100*Table1[[#This Row],[BW40_3705]]),"")</f>
        <v/>
      </c>
      <c r="J8376" s="7" t="str">
        <f>IF(Table1[[#This Row],[Is Data Valid]]=TRUE,_xlfn.NORM.S.DIST(Table1[[#This Row],[Birthweight Z-Score]],TRUE)*100,"")</f>
        <v/>
      </c>
      <c r="K8376" s="7" t="str">
        <f>IF(Table1[[#This Row],[Is Data Valid]]=TRUE,_xlfn.NORM.S.DIST(Table1[[#This Row],[Birthweight Z-Score (BW-10%)]],TRUE)*100,"")</f>
        <v/>
      </c>
      <c r="L8376" s="7" t="str">
        <f>IF(Table1[[#This Row],[Is Data Valid]]=TRUE,_xlfn.NORM.S.DIST(Table1[[#This Row],[Birthweight Z-Score (BW+10%)]],TRUE)*100,"")</f>
        <v/>
      </c>
    </row>
    <row r="8377" spans="1:12" x14ac:dyDescent="0.35">
      <c r="A8377" s="3"/>
      <c r="B8377" s="2"/>
      <c r="C8377" s="2"/>
      <c r="D8377" s="2" t="b">
        <f>IF(AND(NOT(ISBLANK(Table1[[#This Row],[Fetal Sex (Male, Female or Unknown)]])),ISNUMBER(Table1[[#This Row],[Birthweight (grams)]]),ISNUMBER(Table1[[#This Row],[Gestation (days)]])),TRUE,FALSE)</f>
        <v>0</v>
      </c>
      <c r="E8377" s="2" t="str">
        <f>IF(Table1[[#This Row],[Is Data Valid]]=TRUE,IF(Table1[[#This Row],[Fetal Sex (Male, Female or Unknown)]]="Male",Backend!$C$6,IF(Table1[[#This Row],[Fetal Sex (Male, Female or Unknown)]]="Female",Backend!$C$7,IF(Table1[[#This Row],[Fetal Sex (Male, Female or Unknown)]]="Unknown",Backend!$C$8,"Error"))),"")</f>
        <v/>
      </c>
      <c r="F8377" s="8" t="str">
        <f>IF(Table1[[#This Row],[Is Data Valid]]=TRUE,EXP(0.578+0.332*((Table1[[#This Row],[Gestation (days)]]+0.5)/7)-0.00354*((Table1[[#This Row],[Gestation (days)]]+0.5)/7)^2)*Table1[[#This Row],[BW40_3705]],"")</f>
        <v/>
      </c>
      <c r="G8377" s="2" t="str">
        <f>IF(Table1[[#This Row],[Is Data Valid]]=TRUE,((Table1[[#This Row],[Birthweight (grams)]]/Table1[[#This Row],[BW_GA]])-1)/(Backend!$B$4/100*Table1[[#This Row],[BW40_3705]]),"")</f>
        <v/>
      </c>
      <c r="H8377" s="7" t="str">
        <f>IF(Table1[[#This Row],[Is Data Valid]]=TRUE,((Table1[[#This Row],[Birthweight (grams)]]*0.9/Table1[[#This Row],[BW_GA]])-1)/(Backend!$B$4/100*Table1[[#This Row],[BW40_3705]]),"")</f>
        <v/>
      </c>
      <c r="I8377" s="7" t="str">
        <f>IF(Table1[[#This Row],[Is Data Valid]]=TRUE,((Table1[[#This Row],[Birthweight (grams)]]*1.1/Table1[[#This Row],[BW_GA]])-1)/(Backend!$B$4/100*Table1[[#This Row],[BW40_3705]]),"")</f>
        <v/>
      </c>
      <c r="J8377" s="7" t="str">
        <f>IF(Table1[[#This Row],[Is Data Valid]]=TRUE,_xlfn.NORM.S.DIST(Table1[[#This Row],[Birthweight Z-Score]],TRUE)*100,"")</f>
        <v/>
      </c>
      <c r="K8377" s="7" t="str">
        <f>IF(Table1[[#This Row],[Is Data Valid]]=TRUE,_xlfn.NORM.S.DIST(Table1[[#This Row],[Birthweight Z-Score (BW-10%)]],TRUE)*100,"")</f>
        <v/>
      </c>
      <c r="L8377" s="7" t="str">
        <f>IF(Table1[[#This Row],[Is Data Valid]]=TRUE,_xlfn.NORM.S.DIST(Table1[[#This Row],[Birthweight Z-Score (BW+10%)]],TRUE)*100,"")</f>
        <v/>
      </c>
    </row>
    <row r="8378" spans="1:12" x14ac:dyDescent="0.35">
      <c r="A8378" s="3"/>
      <c r="B8378" s="2"/>
      <c r="C8378" s="2"/>
      <c r="D8378" s="2" t="b">
        <f>IF(AND(NOT(ISBLANK(Table1[[#This Row],[Fetal Sex (Male, Female or Unknown)]])),ISNUMBER(Table1[[#This Row],[Birthweight (grams)]]),ISNUMBER(Table1[[#This Row],[Gestation (days)]])),TRUE,FALSE)</f>
        <v>0</v>
      </c>
      <c r="E8378" s="2" t="str">
        <f>IF(Table1[[#This Row],[Is Data Valid]]=TRUE,IF(Table1[[#This Row],[Fetal Sex (Male, Female or Unknown)]]="Male",Backend!$C$6,IF(Table1[[#This Row],[Fetal Sex (Male, Female or Unknown)]]="Female",Backend!$C$7,IF(Table1[[#This Row],[Fetal Sex (Male, Female or Unknown)]]="Unknown",Backend!$C$8,"Error"))),"")</f>
        <v/>
      </c>
      <c r="F8378" s="8" t="str">
        <f>IF(Table1[[#This Row],[Is Data Valid]]=TRUE,EXP(0.578+0.332*((Table1[[#This Row],[Gestation (days)]]+0.5)/7)-0.00354*((Table1[[#This Row],[Gestation (days)]]+0.5)/7)^2)*Table1[[#This Row],[BW40_3705]],"")</f>
        <v/>
      </c>
      <c r="G8378" s="2" t="str">
        <f>IF(Table1[[#This Row],[Is Data Valid]]=TRUE,((Table1[[#This Row],[Birthweight (grams)]]/Table1[[#This Row],[BW_GA]])-1)/(Backend!$B$4/100*Table1[[#This Row],[BW40_3705]]),"")</f>
        <v/>
      </c>
      <c r="H8378" s="7" t="str">
        <f>IF(Table1[[#This Row],[Is Data Valid]]=TRUE,((Table1[[#This Row],[Birthweight (grams)]]*0.9/Table1[[#This Row],[BW_GA]])-1)/(Backend!$B$4/100*Table1[[#This Row],[BW40_3705]]),"")</f>
        <v/>
      </c>
      <c r="I8378" s="7" t="str">
        <f>IF(Table1[[#This Row],[Is Data Valid]]=TRUE,((Table1[[#This Row],[Birthweight (grams)]]*1.1/Table1[[#This Row],[BW_GA]])-1)/(Backend!$B$4/100*Table1[[#This Row],[BW40_3705]]),"")</f>
        <v/>
      </c>
      <c r="J8378" s="7" t="str">
        <f>IF(Table1[[#This Row],[Is Data Valid]]=TRUE,_xlfn.NORM.S.DIST(Table1[[#This Row],[Birthweight Z-Score]],TRUE)*100,"")</f>
        <v/>
      </c>
      <c r="K8378" s="7" t="str">
        <f>IF(Table1[[#This Row],[Is Data Valid]]=TRUE,_xlfn.NORM.S.DIST(Table1[[#This Row],[Birthweight Z-Score (BW-10%)]],TRUE)*100,"")</f>
        <v/>
      </c>
      <c r="L8378" s="7" t="str">
        <f>IF(Table1[[#This Row],[Is Data Valid]]=TRUE,_xlfn.NORM.S.DIST(Table1[[#This Row],[Birthweight Z-Score (BW+10%)]],TRUE)*100,"")</f>
        <v/>
      </c>
    </row>
    <row r="8379" spans="1:12" x14ac:dyDescent="0.35">
      <c r="A8379" s="3"/>
      <c r="B8379" s="2"/>
      <c r="C8379" s="2"/>
      <c r="D8379" s="2" t="b">
        <f>IF(AND(NOT(ISBLANK(Table1[[#This Row],[Fetal Sex (Male, Female or Unknown)]])),ISNUMBER(Table1[[#This Row],[Birthweight (grams)]]),ISNUMBER(Table1[[#This Row],[Gestation (days)]])),TRUE,FALSE)</f>
        <v>0</v>
      </c>
      <c r="E8379" s="2" t="str">
        <f>IF(Table1[[#This Row],[Is Data Valid]]=TRUE,IF(Table1[[#This Row],[Fetal Sex (Male, Female or Unknown)]]="Male",Backend!$C$6,IF(Table1[[#This Row],[Fetal Sex (Male, Female or Unknown)]]="Female",Backend!$C$7,IF(Table1[[#This Row],[Fetal Sex (Male, Female or Unknown)]]="Unknown",Backend!$C$8,"Error"))),"")</f>
        <v/>
      </c>
      <c r="F8379" s="8" t="str">
        <f>IF(Table1[[#This Row],[Is Data Valid]]=TRUE,EXP(0.578+0.332*((Table1[[#This Row],[Gestation (days)]]+0.5)/7)-0.00354*((Table1[[#This Row],[Gestation (days)]]+0.5)/7)^2)*Table1[[#This Row],[BW40_3705]],"")</f>
        <v/>
      </c>
      <c r="G8379" s="2" t="str">
        <f>IF(Table1[[#This Row],[Is Data Valid]]=TRUE,((Table1[[#This Row],[Birthweight (grams)]]/Table1[[#This Row],[BW_GA]])-1)/(Backend!$B$4/100*Table1[[#This Row],[BW40_3705]]),"")</f>
        <v/>
      </c>
      <c r="H8379" s="7" t="str">
        <f>IF(Table1[[#This Row],[Is Data Valid]]=TRUE,((Table1[[#This Row],[Birthweight (grams)]]*0.9/Table1[[#This Row],[BW_GA]])-1)/(Backend!$B$4/100*Table1[[#This Row],[BW40_3705]]),"")</f>
        <v/>
      </c>
      <c r="I8379" s="7" t="str">
        <f>IF(Table1[[#This Row],[Is Data Valid]]=TRUE,((Table1[[#This Row],[Birthweight (grams)]]*1.1/Table1[[#This Row],[BW_GA]])-1)/(Backend!$B$4/100*Table1[[#This Row],[BW40_3705]]),"")</f>
        <v/>
      </c>
      <c r="J8379" s="7" t="str">
        <f>IF(Table1[[#This Row],[Is Data Valid]]=TRUE,_xlfn.NORM.S.DIST(Table1[[#This Row],[Birthweight Z-Score]],TRUE)*100,"")</f>
        <v/>
      </c>
      <c r="K8379" s="7" t="str">
        <f>IF(Table1[[#This Row],[Is Data Valid]]=TRUE,_xlfn.NORM.S.DIST(Table1[[#This Row],[Birthweight Z-Score (BW-10%)]],TRUE)*100,"")</f>
        <v/>
      </c>
      <c r="L8379" s="7" t="str">
        <f>IF(Table1[[#This Row],[Is Data Valid]]=TRUE,_xlfn.NORM.S.DIST(Table1[[#This Row],[Birthweight Z-Score (BW+10%)]],TRUE)*100,"")</f>
        <v/>
      </c>
    </row>
    <row r="8380" spans="1:12" x14ac:dyDescent="0.35">
      <c r="A8380" s="3"/>
      <c r="B8380" s="2"/>
      <c r="C8380" s="2"/>
      <c r="D8380" s="2" t="b">
        <f>IF(AND(NOT(ISBLANK(Table1[[#This Row],[Fetal Sex (Male, Female or Unknown)]])),ISNUMBER(Table1[[#This Row],[Birthweight (grams)]]),ISNUMBER(Table1[[#This Row],[Gestation (days)]])),TRUE,FALSE)</f>
        <v>0</v>
      </c>
      <c r="E8380" s="2" t="str">
        <f>IF(Table1[[#This Row],[Is Data Valid]]=TRUE,IF(Table1[[#This Row],[Fetal Sex (Male, Female or Unknown)]]="Male",Backend!$C$6,IF(Table1[[#This Row],[Fetal Sex (Male, Female or Unknown)]]="Female",Backend!$C$7,IF(Table1[[#This Row],[Fetal Sex (Male, Female or Unknown)]]="Unknown",Backend!$C$8,"Error"))),"")</f>
        <v/>
      </c>
      <c r="F8380" s="8" t="str">
        <f>IF(Table1[[#This Row],[Is Data Valid]]=TRUE,EXP(0.578+0.332*((Table1[[#This Row],[Gestation (days)]]+0.5)/7)-0.00354*((Table1[[#This Row],[Gestation (days)]]+0.5)/7)^2)*Table1[[#This Row],[BW40_3705]],"")</f>
        <v/>
      </c>
      <c r="G8380" s="2" t="str">
        <f>IF(Table1[[#This Row],[Is Data Valid]]=TRUE,((Table1[[#This Row],[Birthweight (grams)]]/Table1[[#This Row],[BW_GA]])-1)/(Backend!$B$4/100*Table1[[#This Row],[BW40_3705]]),"")</f>
        <v/>
      </c>
      <c r="H8380" s="7" t="str">
        <f>IF(Table1[[#This Row],[Is Data Valid]]=TRUE,((Table1[[#This Row],[Birthweight (grams)]]*0.9/Table1[[#This Row],[BW_GA]])-1)/(Backend!$B$4/100*Table1[[#This Row],[BW40_3705]]),"")</f>
        <v/>
      </c>
      <c r="I8380" s="7" t="str">
        <f>IF(Table1[[#This Row],[Is Data Valid]]=TRUE,((Table1[[#This Row],[Birthweight (grams)]]*1.1/Table1[[#This Row],[BW_GA]])-1)/(Backend!$B$4/100*Table1[[#This Row],[BW40_3705]]),"")</f>
        <v/>
      </c>
      <c r="J8380" s="7" t="str">
        <f>IF(Table1[[#This Row],[Is Data Valid]]=TRUE,_xlfn.NORM.S.DIST(Table1[[#This Row],[Birthweight Z-Score]],TRUE)*100,"")</f>
        <v/>
      </c>
      <c r="K8380" s="7" t="str">
        <f>IF(Table1[[#This Row],[Is Data Valid]]=TRUE,_xlfn.NORM.S.DIST(Table1[[#This Row],[Birthweight Z-Score (BW-10%)]],TRUE)*100,"")</f>
        <v/>
      </c>
      <c r="L8380" s="7" t="str">
        <f>IF(Table1[[#This Row],[Is Data Valid]]=TRUE,_xlfn.NORM.S.DIST(Table1[[#This Row],[Birthweight Z-Score (BW+10%)]],TRUE)*100,"")</f>
        <v/>
      </c>
    </row>
    <row r="8381" spans="1:12" x14ac:dyDescent="0.35">
      <c r="A8381" s="3"/>
      <c r="B8381" s="2"/>
      <c r="C8381" s="2"/>
      <c r="D8381" s="2" t="b">
        <f>IF(AND(NOT(ISBLANK(Table1[[#This Row],[Fetal Sex (Male, Female or Unknown)]])),ISNUMBER(Table1[[#This Row],[Birthweight (grams)]]),ISNUMBER(Table1[[#This Row],[Gestation (days)]])),TRUE,FALSE)</f>
        <v>0</v>
      </c>
      <c r="E8381" s="2" t="str">
        <f>IF(Table1[[#This Row],[Is Data Valid]]=TRUE,IF(Table1[[#This Row],[Fetal Sex (Male, Female or Unknown)]]="Male",Backend!$C$6,IF(Table1[[#This Row],[Fetal Sex (Male, Female or Unknown)]]="Female",Backend!$C$7,IF(Table1[[#This Row],[Fetal Sex (Male, Female or Unknown)]]="Unknown",Backend!$C$8,"Error"))),"")</f>
        <v/>
      </c>
      <c r="F8381" s="8" t="str">
        <f>IF(Table1[[#This Row],[Is Data Valid]]=TRUE,EXP(0.578+0.332*((Table1[[#This Row],[Gestation (days)]]+0.5)/7)-0.00354*((Table1[[#This Row],[Gestation (days)]]+0.5)/7)^2)*Table1[[#This Row],[BW40_3705]],"")</f>
        <v/>
      </c>
      <c r="G8381" s="2" t="str">
        <f>IF(Table1[[#This Row],[Is Data Valid]]=TRUE,((Table1[[#This Row],[Birthweight (grams)]]/Table1[[#This Row],[BW_GA]])-1)/(Backend!$B$4/100*Table1[[#This Row],[BW40_3705]]),"")</f>
        <v/>
      </c>
      <c r="H8381" s="7" t="str">
        <f>IF(Table1[[#This Row],[Is Data Valid]]=TRUE,((Table1[[#This Row],[Birthweight (grams)]]*0.9/Table1[[#This Row],[BW_GA]])-1)/(Backend!$B$4/100*Table1[[#This Row],[BW40_3705]]),"")</f>
        <v/>
      </c>
      <c r="I8381" s="7" t="str">
        <f>IF(Table1[[#This Row],[Is Data Valid]]=TRUE,((Table1[[#This Row],[Birthweight (grams)]]*1.1/Table1[[#This Row],[BW_GA]])-1)/(Backend!$B$4/100*Table1[[#This Row],[BW40_3705]]),"")</f>
        <v/>
      </c>
      <c r="J8381" s="7" t="str">
        <f>IF(Table1[[#This Row],[Is Data Valid]]=TRUE,_xlfn.NORM.S.DIST(Table1[[#This Row],[Birthweight Z-Score]],TRUE)*100,"")</f>
        <v/>
      </c>
      <c r="K8381" s="7" t="str">
        <f>IF(Table1[[#This Row],[Is Data Valid]]=TRUE,_xlfn.NORM.S.DIST(Table1[[#This Row],[Birthweight Z-Score (BW-10%)]],TRUE)*100,"")</f>
        <v/>
      </c>
      <c r="L8381" s="7" t="str">
        <f>IF(Table1[[#This Row],[Is Data Valid]]=TRUE,_xlfn.NORM.S.DIST(Table1[[#This Row],[Birthweight Z-Score (BW+10%)]],TRUE)*100,"")</f>
        <v/>
      </c>
    </row>
    <row r="8382" spans="1:12" x14ac:dyDescent="0.35">
      <c r="A8382" s="3"/>
      <c r="B8382" s="2"/>
      <c r="C8382" s="2"/>
      <c r="D8382" s="2" t="b">
        <f>IF(AND(NOT(ISBLANK(Table1[[#This Row],[Fetal Sex (Male, Female or Unknown)]])),ISNUMBER(Table1[[#This Row],[Birthweight (grams)]]),ISNUMBER(Table1[[#This Row],[Gestation (days)]])),TRUE,FALSE)</f>
        <v>0</v>
      </c>
      <c r="E8382" s="2" t="str">
        <f>IF(Table1[[#This Row],[Is Data Valid]]=TRUE,IF(Table1[[#This Row],[Fetal Sex (Male, Female or Unknown)]]="Male",Backend!$C$6,IF(Table1[[#This Row],[Fetal Sex (Male, Female or Unknown)]]="Female",Backend!$C$7,IF(Table1[[#This Row],[Fetal Sex (Male, Female or Unknown)]]="Unknown",Backend!$C$8,"Error"))),"")</f>
        <v/>
      </c>
      <c r="F8382" s="8" t="str">
        <f>IF(Table1[[#This Row],[Is Data Valid]]=TRUE,EXP(0.578+0.332*((Table1[[#This Row],[Gestation (days)]]+0.5)/7)-0.00354*((Table1[[#This Row],[Gestation (days)]]+0.5)/7)^2)*Table1[[#This Row],[BW40_3705]],"")</f>
        <v/>
      </c>
      <c r="G8382" s="2" t="str">
        <f>IF(Table1[[#This Row],[Is Data Valid]]=TRUE,((Table1[[#This Row],[Birthweight (grams)]]/Table1[[#This Row],[BW_GA]])-1)/(Backend!$B$4/100*Table1[[#This Row],[BW40_3705]]),"")</f>
        <v/>
      </c>
      <c r="H8382" s="7" t="str">
        <f>IF(Table1[[#This Row],[Is Data Valid]]=TRUE,((Table1[[#This Row],[Birthweight (grams)]]*0.9/Table1[[#This Row],[BW_GA]])-1)/(Backend!$B$4/100*Table1[[#This Row],[BW40_3705]]),"")</f>
        <v/>
      </c>
      <c r="I8382" s="7" t="str">
        <f>IF(Table1[[#This Row],[Is Data Valid]]=TRUE,((Table1[[#This Row],[Birthweight (grams)]]*1.1/Table1[[#This Row],[BW_GA]])-1)/(Backend!$B$4/100*Table1[[#This Row],[BW40_3705]]),"")</f>
        <v/>
      </c>
      <c r="J8382" s="7" t="str">
        <f>IF(Table1[[#This Row],[Is Data Valid]]=TRUE,_xlfn.NORM.S.DIST(Table1[[#This Row],[Birthweight Z-Score]],TRUE)*100,"")</f>
        <v/>
      </c>
      <c r="K8382" s="7" t="str">
        <f>IF(Table1[[#This Row],[Is Data Valid]]=TRUE,_xlfn.NORM.S.DIST(Table1[[#This Row],[Birthweight Z-Score (BW-10%)]],TRUE)*100,"")</f>
        <v/>
      </c>
      <c r="L8382" s="7" t="str">
        <f>IF(Table1[[#This Row],[Is Data Valid]]=TRUE,_xlfn.NORM.S.DIST(Table1[[#This Row],[Birthweight Z-Score (BW+10%)]],TRUE)*100,"")</f>
        <v/>
      </c>
    </row>
    <row r="8383" spans="1:12" x14ac:dyDescent="0.35">
      <c r="A8383" s="3"/>
      <c r="B8383" s="2"/>
      <c r="C8383" s="2"/>
      <c r="D8383" s="2" t="b">
        <f>IF(AND(NOT(ISBLANK(Table1[[#This Row],[Fetal Sex (Male, Female or Unknown)]])),ISNUMBER(Table1[[#This Row],[Birthweight (grams)]]),ISNUMBER(Table1[[#This Row],[Gestation (days)]])),TRUE,FALSE)</f>
        <v>0</v>
      </c>
      <c r="E8383" s="2" t="str">
        <f>IF(Table1[[#This Row],[Is Data Valid]]=TRUE,IF(Table1[[#This Row],[Fetal Sex (Male, Female or Unknown)]]="Male",Backend!$C$6,IF(Table1[[#This Row],[Fetal Sex (Male, Female or Unknown)]]="Female",Backend!$C$7,IF(Table1[[#This Row],[Fetal Sex (Male, Female or Unknown)]]="Unknown",Backend!$C$8,"Error"))),"")</f>
        <v/>
      </c>
      <c r="F8383" s="8" t="str">
        <f>IF(Table1[[#This Row],[Is Data Valid]]=TRUE,EXP(0.578+0.332*((Table1[[#This Row],[Gestation (days)]]+0.5)/7)-0.00354*((Table1[[#This Row],[Gestation (days)]]+0.5)/7)^2)*Table1[[#This Row],[BW40_3705]],"")</f>
        <v/>
      </c>
      <c r="G8383" s="2" t="str">
        <f>IF(Table1[[#This Row],[Is Data Valid]]=TRUE,((Table1[[#This Row],[Birthweight (grams)]]/Table1[[#This Row],[BW_GA]])-1)/(Backend!$B$4/100*Table1[[#This Row],[BW40_3705]]),"")</f>
        <v/>
      </c>
      <c r="H8383" s="7" t="str">
        <f>IF(Table1[[#This Row],[Is Data Valid]]=TRUE,((Table1[[#This Row],[Birthweight (grams)]]*0.9/Table1[[#This Row],[BW_GA]])-1)/(Backend!$B$4/100*Table1[[#This Row],[BW40_3705]]),"")</f>
        <v/>
      </c>
      <c r="I8383" s="7" t="str">
        <f>IF(Table1[[#This Row],[Is Data Valid]]=TRUE,((Table1[[#This Row],[Birthweight (grams)]]*1.1/Table1[[#This Row],[BW_GA]])-1)/(Backend!$B$4/100*Table1[[#This Row],[BW40_3705]]),"")</f>
        <v/>
      </c>
      <c r="J8383" s="7" t="str">
        <f>IF(Table1[[#This Row],[Is Data Valid]]=TRUE,_xlfn.NORM.S.DIST(Table1[[#This Row],[Birthweight Z-Score]],TRUE)*100,"")</f>
        <v/>
      </c>
      <c r="K8383" s="7" t="str">
        <f>IF(Table1[[#This Row],[Is Data Valid]]=TRUE,_xlfn.NORM.S.DIST(Table1[[#This Row],[Birthweight Z-Score (BW-10%)]],TRUE)*100,"")</f>
        <v/>
      </c>
      <c r="L8383" s="7" t="str">
        <f>IF(Table1[[#This Row],[Is Data Valid]]=TRUE,_xlfn.NORM.S.DIST(Table1[[#This Row],[Birthweight Z-Score (BW+10%)]],TRUE)*100,"")</f>
        <v/>
      </c>
    </row>
    <row r="8384" spans="1:12" x14ac:dyDescent="0.35">
      <c r="A8384" s="3"/>
      <c r="B8384" s="2"/>
      <c r="C8384" s="2"/>
      <c r="D8384" s="2" t="b">
        <f>IF(AND(NOT(ISBLANK(Table1[[#This Row],[Fetal Sex (Male, Female or Unknown)]])),ISNUMBER(Table1[[#This Row],[Birthweight (grams)]]),ISNUMBER(Table1[[#This Row],[Gestation (days)]])),TRUE,FALSE)</f>
        <v>0</v>
      </c>
      <c r="E8384" s="2" t="str">
        <f>IF(Table1[[#This Row],[Is Data Valid]]=TRUE,IF(Table1[[#This Row],[Fetal Sex (Male, Female or Unknown)]]="Male",Backend!$C$6,IF(Table1[[#This Row],[Fetal Sex (Male, Female or Unknown)]]="Female",Backend!$C$7,IF(Table1[[#This Row],[Fetal Sex (Male, Female or Unknown)]]="Unknown",Backend!$C$8,"Error"))),"")</f>
        <v/>
      </c>
      <c r="F8384" s="8" t="str">
        <f>IF(Table1[[#This Row],[Is Data Valid]]=TRUE,EXP(0.578+0.332*((Table1[[#This Row],[Gestation (days)]]+0.5)/7)-0.00354*((Table1[[#This Row],[Gestation (days)]]+0.5)/7)^2)*Table1[[#This Row],[BW40_3705]],"")</f>
        <v/>
      </c>
      <c r="G8384" s="2" t="str">
        <f>IF(Table1[[#This Row],[Is Data Valid]]=TRUE,((Table1[[#This Row],[Birthweight (grams)]]/Table1[[#This Row],[BW_GA]])-1)/(Backend!$B$4/100*Table1[[#This Row],[BW40_3705]]),"")</f>
        <v/>
      </c>
      <c r="H8384" s="7" t="str">
        <f>IF(Table1[[#This Row],[Is Data Valid]]=TRUE,((Table1[[#This Row],[Birthweight (grams)]]*0.9/Table1[[#This Row],[BW_GA]])-1)/(Backend!$B$4/100*Table1[[#This Row],[BW40_3705]]),"")</f>
        <v/>
      </c>
      <c r="I8384" s="7" t="str">
        <f>IF(Table1[[#This Row],[Is Data Valid]]=TRUE,((Table1[[#This Row],[Birthweight (grams)]]*1.1/Table1[[#This Row],[BW_GA]])-1)/(Backend!$B$4/100*Table1[[#This Row],[BW40_3705]]),"")</f>
        <v/>
      </c>
      <c r="J8384" s="7" t="str">
        <f>IF(Table1[[#This Row],[Is Data Valid]]=TRUE,_xlfn.NORM.S.DIST(Table1[[#This Row],[Birthweight Z-Score]],TRUE)*100,"")</f>
        <v/>
      </c>
      <c r="K8384" s="7" t="str">
        <f>IF(Table1[[#This Row],[Is Data Valid]]=TRUE,_xlfn.NORM.S.DIST(Table1[[#This Row],[Birthweight Z-Score (BW-10%)]],TRUE)*100,"")</f>
        <v/>
      </c>
      <c r="L8384" s="7" t="str">
        <f>IF(Table1[[#This Row],[Is Data Valid]]=TRUE,_xlfn.NORM.S.DIST(Table1[[#This Row],[Birthweight Z-Score (BW+10%)]],TRUE)*100,"")</f>
        <v/>
      </c>
    </row>
    <row r="8385" spans="1:12" x14ac:dyDescent="0.35">
      <c r="A8385" s="3"/>
      <c r="B8385" s="2"/>
      <c r="C8385" s="2"/>
      <c r="D8385" s="2" t="b">
        <f>IF(AND(NOT(ISBLANK(Table1[[#This Row],[Fetal Sex (Male, Female or Unknown)]])),ISNUMBER(Table1[[#This Row],[Birthweight (grams)]]),ISNUMBER(Table1[[#This Row],[Gestation (days)]])),TRUE,FALSE)</f>
        <v>0</v>
      </c>
      <c r="E8385" s="2" t="str">
        <f>IF(Table1[[#This Row],[Is Data Valid]]=TRUE,IF(Table1[[#This Row],[Fetal Sex (Male, Female or Unknown)]]="Male",Backend!$C$6,IF(Table1[[#This Row],[Fetal Sex (Male, Female or Unknown)]]="Female",Backend!$C$7,IF(Table1[[#This Row],[Fetal Sex (Male, Female or Unknown)]]="Unknown",Backend!$C$8,"Error"))),"")</f>
        <v/>
      </c>
      <c r="F8385" s="8" t="str">
        <f>IF(Table1[[#This Row],[Is Data Valid]]=TRUE,EXP(0.578+0.332*((Table1[[#This Row],[Gestation (days)]]+0.5)/7)-0.00354*((Table1[[#This Row],[Gestation (days)]]+0.5)/7)^2)*Table1[[#This Row],[BW40_3705]],"")</f>
        <v/>
      </c>
      <c r="G8385" s="2" t="str">
        <f>IF(Table1[[#This Row],[Is Data Valid]]=TRUE,((Table1[[#This Row],[Birthweight (grams)]]/Table1[[#This Row],[BW_GA]])-1)/(Backend!$B$4/100*Table1[[#This Row],[BW40_3705]]),"")</f>
        <v/>
      </c>
      <c r="H8385" s="7" t="str">
        <f>IF(Table1[[#This Row],[Is Data Valid]]=TRUE,((Table1[[#This Row],[Birthweight (grams)]]*0.9/Table1[[#This Row],[BW_GA]])-1)/(Backend!$B$4/100*Table1[[#This Row],[BW40_3705]]),"")</f>
        <v/>
      </c>
      <c r="I8385" s="7" t="str">
        <f>IF(Table1[[#This Row],[Is Data Valid]]=TRUE,((Table1[[#This Row],[Birthweight (grams)]]*1.1/Table1[[#This Row],[BW_GA]])-1)/(Backend!$B$4/100*Table1[[#This Row],[BW40_3705]]),"")</f>
        <v/>
      </c>
      <c r="J8385" s="7" t="str">
        <f>IF(Table1[[#This Row],[Is Data Valid]]=TRUE,_xlfn.NORM.S.DIST(Table1[[#This Row],[Birthweight Z-Score]],TRUE)*100,"")</f>
        <v/>
      </c>
      <c r="K8385" s="7" t="str">
        <f>IF(Table1[[#This Row],[Is Data Valid]]=TRUE,_xlfn.NORM.S.DIST(Table1[[#This Row],[Birthweight Z-Score (BW-10%)]],TRUE)*100,"")</f>
        <v/>
      </c>
      <c r="L8385" s="7" t="str">
        <f>IF(Table1[[#This Row],[Is Data Valid]]=TRUE,_xlfn.NORM.S.DIST(Table1[[#This Row],[Birthweight Z-Score (BW+10%)]],TRUE)*100,"")</f>
        <v/>
      </c>
    </row>
    <row r="8386" spans="1:12" x14ac:dyDescent="0.35">
      <c r="A8386" s="3"/>
      <c r="B8386" s="2"/>
      <c r="C8386" s="2"/>
      <c r="D8386" s="2" t="b">
        <f>IF(AND(NOT(ISBLANK(Table1[[#This Row],[Fetal Sex (Male, Female or Unknown)]])),ISNUMBER(Table1[[#This Row],[Birthweight (grams)]]),ISNUMBER(Table1[[#This Row],[Gestation (days)]])),TRUE,FALSE)</f>
        <v>0</v>
      </c>
      <c r="E8386" s="2" t="str">
        <f>IF(Table1[[#This Row],[Is Data Valid]]=TRUE,IF(Table1[[#This Row],[Fetal Sex (Male, Female or Unknown)]]="Male",Backend!$C$6,IF(Table1[[#This Row],[Fetal Sex (Male, Female or Unknown)]]="Female",Backend!$C$7,IF(Table1[[#This Row],[Fetal Sex (Male, Female or Unknown)]]="Unknown",Backend!$C$8,"Error"))),"")</f>
        <v/>
      </c>
      <c r="F8386" s="8" t="str">
        <f>IF(Table1[[#This Row],[Is Data Valid]]=TRUE,EXP(0.578+0.332*((Table1[[#This Row],[Gestation (days)]]+0.5)/7)-0.00354*((Table1[[#This Row],[Gestation (days)]]+0.5)/7)^2)*Table1[[#This Row],[BW40_3705]],"")</f>
        <v/>
      </c>
      <c r="G8386" s="2" t="str">
        <f>IF(Table1[[#This Row],[Is Data Valid]]=TRUE,((Table1[[#This Row],[Birthweight (grams)]]/Table1[[#This Row],[BW_GA]])-1)/(Backend!$B$4/100*Table1[[#This Row],[BW40_3705]]),"")</f>
        <v/>
      </c>
      <c r="H8386" s="7" t="str">
        <f>IF(Table1[[#This Row],[Is Data Valid]]=TRUE,((Table1[[#This Row],[Birthweight (grams)]]*0.9/Table1[[#This Row],[BW_GA]])-1)/(Backend!$B$4/100*Table1[[#This Row],[BW40_3705]]),"")</f>
        <v/>
      </c>
      <c r="I8386" s="7" t="str">
        <f>IF(Table1[[#This Row],[Is Data Valid]]=TRUE,((Table1[[#This Row],[Birthweight (grams)]]*1.1/Table1[[#This Row],[BW_GA]])-1)/(Backend!$B$4/100*Table1[[#This Row],[BW40_3705]]),"")</f>
        <v/>
      </c>
      <c r="J8386" s="7" t="str">
        <f>IF(Table1[[#This Row],[Is Data Valid]]=TRUE,_xlfn.NORM.S.DIST(Table1[[#This Row],[Birthweight Z-Score]],TRUE)*100,"")</f>
        <v/>
      </c>
      <c r="K8386" s="7" t="str">
        <f>IF(Table1[[#This Row],[Is Data Valid]]=TRUE,_xlfn.NORM.S.DIST(Table1[[#This Row],[Birthweight Z-Score (BW-10%)]],TRUE)*100,"")</f>
        <v/>
      </c>
      <c r="L8386" s="7" t="str">
        <f>IF(Table1[[#This Row],[Is Data Valid]]=TRUE,_xlfn.NORM.S.DIST(Table1[[#This Row],[Birthweight Z-Score (BW+10%)]],TRUE)*100,"")</f>
        <v/>
      </c>
    </row>
    <row r="8387" spans="1:12" x14ac:dyDescent="0.35">
      <c r="A8387" s="3"/>
      <c r="B8387" s="2"/>
      <c r="C8387" s="2"/>
      <c r="D8387" s="2" t="b">
        <f>IF(AND(NOT(ISBLANK(Table1[[#This Row],[Fetal Sex (Male, Female or Unknown)]])),ISNUMBER(Table1[[#This Row],[Birthweight (grams)]]),ISNUMBER(Table1[[#This Row],[Gestation (days)]])),TRUE,FALSE)</f>
        <v>0</v>
      </c>
      <c r="E8387" s="2" t="str">
        <f>IF(Table1[[#This Row],[Is Data Valid]]=TRUE,IF(Table1[[#This Row],[Fetal Sex (Male, Female or Unknown)]]="Male",Backend!$C$6,IF(Table1[[#This Row],[Fetal Sex (Male, Female or Unknown)]]="Female",Backend!$C$7,IF(Table1[[#This Row],[Fetal Sex (Male, Female or Unknown)]]="Unknown",Backend!$C$8,"Error"))),"")</f>
        <v/>
      </c>
      <c r="F8387" s="8" t="str">
        <f>IF(Table1[[#This Row],[Is Data Valid]]=TRUE,EXP(0.578+0.332*((Table1[[#This Row],[Gestation (days)]]+0.5)/7)-0.00354*((Table1[[#This Row],[Gestation (days)]]+0.5)/7)^2)*Table1[[#This Row],[BW40_3705]],"")</f>
        <v/>
      </c>
      <c r="G8387" s="2" t="str">
        <f>IF(Table1[[#This Row],[Is Data Valid]]=TRUE,((Table1[[#This Row],[Birthweight (grams)]]/Table1[[#This Row],[BW_GA]])-1)/(Backend!$B$4/100*Table1[[#This Row],[BW40_3705]]),"")</f>
        <v/>
      </c>
      <c r="H8387" s="7" t="str">
        <f>IF(Table1[[#This Row],[Is Data Valid]]=TRUE,((Table1[[#This Row],[Birthweight (grams)]]*0.9/Table1[[#This Row],[BW_GA]])-1)/(Backend!$B$4/100*Table1[[#This Row],[BW40_3705]]),"")</f>
        <v/>
      </c>
      <c r="I8387" s="7" t="str">
        <f>IF(Table1[[#This Row],[Is Data Valid]]=TRUE,((Table1[[#This Row],[Birthweight (grams)]]*1.1/Table1[[#This Row],[BW_GA]])-1)/(Backend!$B$4/100*Table1[[#This Row],[BW40_3705]]),"")</f>
        <v/>
      </c>
      <c r="J8387" s="7" t="str">
        <f>IF(Table1[[#This Row],[Is Data Valid]]=TRUE,_xlfn.NORM.S.DIST(Table1[[#This Row],[Birthweight Z-Score]],TRUE)*100,"")</f>
        <v/>
      </c>
      <c r="K8387" s="7" t="str">
        <f>IF(Table1[[#This Row],[Is Data Valid]]=TRUE,_xlfn.NORM.S.DIST(Table1[[#This Row],[Birthweight Z-Score (BW-10%)]],TRUE)*100,"")</f>
        <v/>
      </c>
      <c r="L8387" s="7" t="str">
        <f>IF(Table1[[#This Row],[Is Data Valid]]=TRUE,_xlfn.NORM.S.DIST(Table1[[#This Row],[Birthweight Z-Score (BW+10%)]],TRUE)*100,"")</f>
        <v/>
      </c>
    </row>
    <row r="8388" spans="1:12" x14ac:dyDescent="0.35">
      <c r="A8388" s="3"/>
      <c r="B8388" s="2"/>
      <c r="C8388" s="2"/>
      <c r="D8388" s="2" t="b">
        <f>IF(AND(NOT(ISBLANK(Table1[[#This Row],[Fetal Sex (Male, Female or Unknown)]])),ISNUMBER(Table1[[#This Row],[Birthweight (grams)]]),ISNUMBER(Table1[[#This Row],[Gestation (days)]])),TRUE,FALSE)</f>
        <v>0</v>
      </c>
      <c r="E8388" s="2" t="str">
        <f>IF(Table1[[#This Row],[Is Data Valid]]=TRUE,IF(Table1[[#This Row],[Fetal Sex (Male, Female or Unknown)]]="Male",Backend!$C$6,IF(Table1[[#This Row],[Fetal Sex (Male, Female or Unknown)]]="Female",Backend!$C$7,IF(Table1[[#This Row],[Fetal Sex (Male, Female or Unknown)]]="Unknown",Backend!$C$8,"Error"))),"")</f>
        <v/>
      </c>
      <c r="F8388" s="8" t="str">
        <f>IF(Table1[[#This Row],[Is Data Valid]]=TRUE,EXP(0.578+0.332*((Table1[[#This Row],[Gestation (days)]]+0.5)/7)-0.00354*((Table1[[#This Row],[Gestation (days)]]+0.5)/7)^2)*Table1[[#This Row],[BW40_3705]],"")</f>
        <v/>
      </c>
      <c r="G8388" s="2" t="str">
        <f>IF(Table1[[#This Row],[Is Data Valid]]=TRUE,((Table1[[#This Row],[Birthweight (grams)]]/Table1[[#This Row],[BW_GA]])-1)/(Backend!$B$4/100*Table1[[#This Row],[BW40_3705]]),"")</f>
        <v/>
      </c>
      <c r="H8388" s="7" t="str">
        <f>IF(Table1[[#This Row],[Is Data Valid]]=TRUE,((Table1[[#This Row],[Birthweight (grams)]]*0.9/Table1[[#This Row],[BW_GA]])-1)/(Backend!$B$4/100*Table1[[#This Row],[BW40_3705]]),"")</f>
        <v/>
      </c>
      <c r="I8388" s="7" t="str">
        <f>IF(Table1[[#This Row],[Is Data Valid]]=TRUE,((Table1[[#This Row],[Birthweight (grams)]]*1.1/Table1[[#This Row],[BW_GA]])-1)/(Backend!$B$4/100*Table1[[#This Row],[BW40_3705]]),"")</f>
        <v/>
      </c>
      <c r="J8388" s="7" t="str">
        <f>IF(Table1[[#This Row],[Is Data Valid]]=TRUE,_xlfn.NORM.S.DIST(Table1[[#This Row],[Birthweight Z-Score]],TRUE)*100,"")</f>
        <v/>
      </c>
      <c r="K8388" s="7" t="str">
        <f>IF(Table1[[#This Row],[Is Data Valid]]=TRUE,_xlfn.NORM.S.DIST(Table1[[#This Row],[Birthweight Z-Score (BW-10%)]],TRUE)*100,"")</f>
        <v/>
      </c>
      <c r="L8388" s="7" t="str">
        <f>IF(Table1[[#This Row],[Is Data Valid]]=TRUE,_xlfn.NORM.S.DIST(Table1[[#This Row],[Birthweight Z-Score (BW+10%)]],TRUE)*100,"")</f>
        <v/>
      </c>
    </row>
    <row r="8389" spans="1:12" x14ac:dyDescent="0.35">
      <c r="A8389" s="3"/>
      <c r="B8389" s="2"/>
      <c r="C8389" s="2"/>
      <c r="D8389" s="2" t="b">
        <f>IF(AND(NOT(ISBLANK(Table1[[#This Row],[Fetal Sex (Male, Female or Unknown)]])),ISNUMBER(Table1[[#This Row],[Birthweight (grams)]]),ISNUMBER(Table1[[#This Row],[Gestation (days)]])),TRUE,FALSE)</f>
        <v>0</v>
      </c>
      <c r="E8389" s="2" t="str">
        <f>IF(Table1[[#This Row],[Is Data Valid]]=TRUE,IF(Table1[[#This Row],[Fetal Sex (Male, Female or Unknown)]]="Male",Backend!$C$6,IF(Table1[[#This Row],[Fetal Sex (Male, Female or Unknown)]]="Female",Backend!$C$7,IF(Table1[[#This Row],[Fetal Sex (Male, Female or Unknown)]]="Unknown",Backend!$C$8,"Error"))),"")</f>
        <v/>
      </c>
      <c r="F8389" s="8" t="str">
        <f>IF(Table1[[#This Row],[Is Data Valid]]=TRUE,EXP(0.578+0.332*((Table1[[#This Row],[Gestation (days)]]+0.5)/7)-0.00354*((Table1[[#This Row],[Gestation (days)]]+0.5)/7)^2)*Table1[[#This Row],[BW40_3705]],"")</f>
        <v/>
      </c>
      <c r="G8389" s="2" t="str">
        <f>IF(Table1[[#This Row],[Is Data Valid]]=TRUE,((Table1[[#This Row],[Birthweight (grams)]]/Table1[[#This Row],[BW_GA]])-1)/(Backend!$B$4/100*Table1[[#This Row],[BW40_3705]]),"")</f>
        <v/>
      </c>
      <c r="H8389" s="7" t="str">
        <f>IF(Table1[[#This Row],[Is Data Valid]]=TRUE,((Table1[[#This Row],[Birthweight (grams)]]*0.9/Table1[[#This Row],[BW_GA]])-1)/(Backend!$B$4/100*Table1[[#This Row],[BW40_3705]]),"")</f>
        <v/>
      </c>
      <c r="I8389" s="7" t="str">
        <f>IF(Table1[[#This Row],[Is Data Valid]]=TRUE,((Table1[[#This Row],[Birthweight (grams)]]*1.1/Table1[[#This Row],[BW_GA]])-1)/(Backend!$B$4/100*Table1[[#This Row],[BW40_3705]]),"")</f>
        <v/>
      </c>
      <c r="J8389" s="7" t="str">
        <f>IF(Table1[[#This Row],[Is Data Valid]]=TRUE,_xlfn.NORM.S.DIST(Table1[[#This Row],[Birthweight Z-Score]],TRUE)*100,"")</f>
        <v/>
      </c>
      <c r="K8389" s="7" t="str">
        <f>IF(Table1[[#This Row],[Is Data Valid]]=TRUE,_xlfn.NORM.S.DIST(Table1[[#This Row],[Birthweight Z-Score (BW-10%)]],TRUE)*100,"")</f>
        <v/>
      </c>
      <c r="L8389" s="7" t="str">
        <f>IF(Table1[[#This Row],[Is Data Valid]]=TRUE,_xlfn.NORM.S.DIST(Table1[[#This Row],[Birthweight Z-Score (BW+10%)]],TRUE)*100,"")</f>
        <v/>
      </c>
    </row>
    <row r="8390" spans="1:12" x14ac:dyDescent="0.35">
      <c r="A8390" s="3"/>
      <c r="B8390" s="2"/>
      <c r="C8390" s="2"/>
      <c r="D8390" s="2" t="b">
        <f>IF(AND(NOT(ISBLANK(Table1[[#This Row],[Fetal Sex (Male, Female or Unknown)]])),ISNUMBER(Table1[[#This Row],[Birthweight (grams)]]),ISNUMBER(Table1[[#This Row],[Gestation (days)]])),TRUE,FALSE)</f>
        <v>0</v>
      </c>
      <c r="E8390" s="2" t="str">
        <f>IF(Table1[[#This Row],[Is Data Valid]]=TRUE,IF(Table1[[#This Row],[Fetal Sex (Male, Female or Unknown)]]="Male",Backend!$C$6,IF(Table1[[#This Row],[Fetal Sex (Male, Female or Unknown)]]="Female",Backend!$C$7,IF(Table1[[#This Row],[Fetal Sex (Male, Female or Unknown)]]="Unknown",Backend!$C$8,"Error"))),"")</f>
        <v/>
      </c>
      <c r="F8390" s="8" t="str">
        <f>IF(Table1[[#This Row],[Is Data Valid]]=TRUE,EXP(0.578+0.332*((Table1[[#This Row],[Gestation (days)]]+0.5)/7)-0.00354*((Table1[[#This Row],[Gestation (days)]]+0.5)/7)^2)*Table1[[#This Row],[BW40_3705]],"")</f>
        <v/>
      </c>
      <c r="G8390" s="2" t="str">
        <f>IF(Table1[[#This Row],[Is Data Valid]]=TRUE,((Table1[[#This Row],[Birthweight (grams)]]/Table1[[#This Row],[BW_GA]])-1)/(Backend!$B$4/100*Table1[[#This Row],[BW40_3705]]),"")</f>
        <v/>
      </c>
      <c r="H8390" s="7" t="str">
        <f>IF(Table1[[#This Row],[Is Data Valid]]=TRUE,((Table1[[#This Row],[Birthweight (grams)]]*0.9/Table1[[#This Row],[BW_GA]])-1)/(Backend!$B$4/100*Table1[[#This Row],[BW40_3705]]),"")</f>
        <v/>
      </c>
      <c r="I8390" s="7" t="str">
        <f>IF(Table1[[#This Row],[Is Data Valid]]=TRUE,((Table1[[#This Row],[Birthweight (grams)]]*1.1/Table1[[#This Row],[BW_GA]])-1)/(Backend!$B$4/100*Table1[[#This Row],[BW40_3705]]),"")</f>
        <v/>
      </c>
      <c r="J8390" s="7" t="str">
        <f>IF(Table1[[#This Row],[Is Data Valid]]=TRUE,_xlfn.NORM.S.DIST(Table1[[#This Row],[Birthweight Z-Score]],TRUE)*100,"")</f>
        <v/>
      </c>
      <c r="K8390" s="7" t="str">
        <f>IF(Table1[[#This Row],[Is Data Valid]]=TRUE,_xlfn.NORM.S.DIST(Table1[[#This Row],[Birthweight Z-Score (BW-10%)]],TRUE)*100,"")</f>
        <v/>
      </c>
      <c r="L8390" s="7" t="str">
        <f>IF(Table1[[#This Row],[Is Data Valid]]=TRUE,_xlfn.NORM.S.DIST(Table1[[#This Row],[Birthweight Z-Score (BW+10%)]],TRUE)*100,"")</f>
        <v/>
      </c>
    </row>
    <row r="8391" spans="1:12" x14ac:dyDescent="0.35">
      <c r="A8391" s="3"/>
      <c r="B8391" s="2"/>
      <c r="C8391" s="2"/>
      <c r="D8391" s="2" t="b">
        <f>IF(AND(NOT(ISBLANK(Table1[[#This Row],[Fetal Sex (Male, Female or Unknown)]])),ISNUMBER(Table1[[#This Row],[Birthweight (grams)]]),ISNUMBER(Table1[[#This Row],[Gestation (days)]])),TRUE,FALSE)</f>
        <v>0</v>
      </c>
      <c r="E8391" s="2" t="str">
        <f>IF(Table1[[#This Row],[Is Data Valid]]=TRUE,IF(Table1[[#This Row],[Fetal Sex (Male, Female or Unknown)]]="Male",Backend!$C$6,IF(Table1[[#This Row],[Fetal Sex (Male, Female or Unknown)]]="Female",Backend!$C$7,IF(Table1[[#This Row],[Fetal Sex (Male, Female or Unknown)]]="Unknown",Backend!$C$8,"Error"))),"")</f>
        <v/>
      </c>
      <c r="F8391" s="8" t="str">
        <f>IF(Table1[[#This Row],[Is Data Valid]]=TRUE,EXP(0.578+0.332*((Table1[[#This Row],[Gestation (days)]]+0.5)/7)-0.00354*((Table1[[#This Row],[Gestation (days)]]+0.5)/7)^2)*Table1[[#This Row],[BW40_3705]],"")</f>
        <v/>
      </c>
      <c r="G8391" s="2" t="str">
        <f>IF(Table1[[#This Row],[Is Data Valid]]=TRUE,((Table1[[#This Row],[Birthweight (grams)]]/Table1[[#This Row],[BW_GA]])-1)/(Backend!$B$4/100*Table1[[#This Row],[BW40_3705]]),"")</f>
        <v/>
      </c>
      <c r="H8391" s="7" t="str">
        <f>IF(Table1[[#This Row],[Is Data Valid]]=TRUE,((Table1[[#This Row],[Birthweight (grams)]]*0.9/Table1[[#This Row],[BW_GA]])-1)/(Backend!$B$4/100*Table1[[#This Row],[BW40_3705]]),"")</f>
        <v/>
      </c>
      <c r="I8391" s="7" t="str">
        <f>IF(Table1[[#This Row],[Is Data Valid]]=TRUE,((Table1[[#This Row],[Birthweight (grams)]]*1.1/Table1[[#This Row],[BW_GA]])-1)/(Backend!$B$4/100*Table1[[#This Row],[BW40_3705]]),"")</f>
        <v/>
      </c>
      <c r="J8391" s="7" t="str">
        <f>IF(Table1[[#This Row],[Is Data Valid]]=TRUE,_xlfn.NORM.S.DIST(Table1[[#This Row],[Birthweight Z-Score]],TRUE)*100,"")</f>
        <v/>
      </c>
      <c r="K8391" s="7" t="str">
        <f>IF(Table1[[#This Row],[Is Data Valid]]=TRUE,_xlfn.NORM.S.DIST(Table1[[#This Row],[Birthweight Z-Score (BW-10%)]],TRUE)*100,"")</f>
        <v/>
      </c>
      <c r="L8391" s="7" t="str">
        <f>IF(Table1[[#This Row],[Is Data Valid]]=TRUE,_xlfn.NORM.S.DIST(Table1[[#This Row],[Birthweight Z-Score (BW+10%)]],TRUE)*100,"")</f>
        <v/>
      </c>
    </row>
    <row r="8392" spans="1:12" x14ac:dyDescent="0.35">
      <c r="A8392" s="3"/>
      <c r="B8392" s="2"/>
      <c r="C8392" s="2"/>
      <c r="D8392" s="2" t="b">
        <f>IF(AND(NOT(ISBLANK(Table1[[#This Row],[Fetal Sex (Male, Female or Unknown)]])),ISNUMBER(Table1[[#This Row],[Birthweight (grams)]]),ISNUMBER(Table1[[#This Row],[Gestation (days)]])),TRUE,FALSE)</f>
        <v>0</v>
      </c>
      <c r="E8392" s="2" t="str">
        <f>IF(Table1[[#This Row],[Is Data Valid]]=TRUE,IF(Table1[[#This Row],[Fetal Sex (Male, Female or Unknown)]]="Male",Backend!$C$6,IF(Table1[[#This Row],[Fetal Sex (Male, Female or Unknown)]]="Female",Backend!$C$7,IF(Table1[[#This Row],[Fetal Sex (Male, Female or Unknown)]]="Unknown",Backend!$C$8,"Error"))),"")</f>
        <v/>
      </c>
      <c r="F8392" s="8" t="str">
        <f>IF(Table1[[#This Row],[Is Data Valid]]=TRUE,EXP(0.578+0.332*((Table1[[#This Row],[Gestation (days)]]+0.5)/7)-0.00354*((Table1[[#This Row],[Gestation (days)]]+0.5)/7)^2)*Table1[[#This Row],[BW40_3705]],"")</f>
        <v/>
      </c>
      <c r="G8392" s="2" t="str">
        <f>IF(Table1[[#This Row],[Is Data Valid]]=TRUE,((Table1[[#This Row],[Birthweight (grams)]]/Table1[[#This Row],[BW_GA]])-1)/(Backend!$B$4/100*Table1[[#This Row],[BW40_3705]]),"")</f>
        <v/>
      </c>
      <c r="H8392" s="7" t="str">
        <f>IF(Table1[[#This Row],[Is Data Valid]]=TRUE,((Table1[[#This Row],[Birthweight (grams)]]*0.9/Table1[[#This Row],[BW_GA]])-1)/(Backend!$B$4/100*Table1[[#This Row],[BW40_3705]]),"")</f>
        <v/>
      </c>
      <c r="I8392" s="7" t="str">
        <f>IF(Table1[[#This Row],[Is Data Valid]]=TRUE,((Table1[[#This Row],[Birthweight (grams)]]*1.1/Table1[[#This Row],[BW_GA]])-1)/(Backend!$B$4/100*Table1[[#This Row],[BW40_3705]]),"")</f>
        <v/>
      </c>
      <c r="J8392" s="7" t="str">
        <f>IF(Table1[[#This Row],[Is Data Valid]]=TRUE,_xlfn.NORM.S.DIST(Table1[[#This Row],[Birthweight Z-Score]],TRUE)*100,"")</f>
        <v/>
      </c>
      <c r="K8392" s="7" t="str">
        <f>IF(Table1[[#This Row],[Is Data Valid]]=TRUE,_xlfn.NORM.S.DIST(Table1[[#This Row],[Birthweight Z-Score (BW-10%)]],TRUE)*100,"")</f>
        <v/>
      </c>
      <c r="L8392" s="7" t="str">
        <f>IF(Table1[[#This Row],[Is Data Valid]]=TRUE,_xlfn.NORM.S.DIST(Table1[[#This Row],[Birthweight Z-Score (BW+10%)]],TRUE)*100,"")</f>
        <v/>
      </c>
    </row>
    <row r="8393" spans="1:12" x14ac:dyDescent="0.35">
      <c r="A8393" s="3"/>
      <c r="B8393" s="2"/>
      <c r="C8393" s="2"/>
      <c r="D8393" s="2" t="b">
        <f>IF(AND(NOT(ISBLANK(Table1[[#This Row],[Fetal Sex (Male, Female or Unknown)]])),ISNUMBER(Table1[[#This Row],[Birthweight (grams)]]),ISNUMBER(Table1[[#This Row],[Gestation (days)]])),TRUE,FALSE)</f>
        <v>0</v>
      </c>
      <c r="E8393" s="2" t="str">
        <f>IF(Table1[[#This Row],[Is Data Valid]]=TRUE,IF(Table1[[#This Row],[Fetal Sex (Male, Female or Unknown)]]="Male",Backend!$C$6,IF(Table1[[#This Row],[Fetal Sex (Male, Female or Unknown)]]="Female",Backend!$C$7,IF(Table1[[#This Row],[Fetal Sex (Male, Female or Unknown)]]="Unknown",Backend!$C$8,"Error"))),"")</f>
        <v/>
      </c>
      <c r="F8393" s="8" t="str">
        <f>IF(Table1[[#This Row],[Is Data Valid]]=TRUE,EXP(0.578+0.332*((Table1[[#This Row],[Gestation (days)]]+0.5)/7)-0.00354*((Table1[[#This Row],[Gestation (days)]]+0.5)/7)^2)*Table1[[#This Row],[BW40_3705]],"")</f>
        <v/>
      </c>
      <c r="G8393" s="2" t="str">
        <f>IF(Table1[[#This Row],[Is Data Valid]]=TRUE,((Table1[[#This Row],[Birthweight (grams)]]/Table1[[#This Row],[BW_GA]])-1)/(Backend!$B$4/100*Table1[[#This Row],[BW40_3705]]),"")</f>
        <v/>
      </c>
      <c r="H8393" s="7" t="str">
        <f>IF(Table1[[#This Row],[Is Data Valid]]=TRUE,((Table1[[#This Row],[Birthweight (grams)]]*0.9/Table1[[#This Row],[BW_GA]])-1)/(Backend!$B$4/100*Table1[[#This Row],[BW40_3705]]),"")</f>
        <v/>
      </c>
      <c r="I8393" s="7" t="str">
        <f>IF(Table1[[#This Row],[Is Data Valid]]=TRUE,((Table1[[#This Row],[Birthweight (grams)]]*1.1/Table1[[#This Row],[BW_GA]])-1)/(Backend!$B$4/100*Table1[[#This Row],[BW40_3705]]),"")</f>
        <v/>
      </c>
      <c r="J8393" s="7" t="str">
        <f>IF(Table1[[#This Row],[Is Data Valid]]=TRUE,_xlfn.NORM.S.DIST(Table1[[#This Row],[Birthweight Z-Score]],TRUE)*100,"")</f>
        <v/>
      </c>
      <c r="K8393" s="7" t="str">
        <f>IF(Table1[[#This Row],[Is Data Valid]]=TRUE,_xlfn.NORM.S.DIST(Table1[[#This Row],[Birthweight Z-Score (BW-10%)]],TRUE)*100,"")</f>
        <v/>
      </c>
      <c r="L8393" s="7" t="str">
        <f>IF(Table1[[#This Row],[Is Data Valid]]=TRUE,_xlfn.NORM.S.DIST(Table1[[#This Row],[Birthweight Z-Score (BW+10%)]],TRUE)*100,"")</f>
        <v/>
      </c>
    </row>
    <row r="8394" spans="1:12" x14ac:dyDescent="0.35">
      <c r="A8394" s="3"/>
      <c r="B8394" s="2"/>
      <c r="C8394" s="2"/>
      <c r="D8394" s="2" t="b">
        <f>IF(AND(NOT(ISBLANK(Table1[[#This Row],[Fetal Sex (Male, Female or Unknown)]])),ISNUMBER(Table1[[#This Row],[Birthweight (grams)]]),ISNUMBER(Table1[[#This Row],[Gestation (days)]])),TRUE,FALSE)</f>
        <v>0</v>
      </c>
      <c r="E8394" s="2" t="str">
        <f>IF(Table1[[#This Row],[Is Data Valid]]=TRUE,IF(Table1[[#This Row],[Fetal Sex (Male, Female or Unknown)]]="Male",Backend!$C$6,IF(Table1[[#This Row],[Fetal Sex (Male, Female or Unknown)]]="Female",Backend!$C$7,IF(Table1[[#This Row],[Fetal Sex (Male, Female or Unknown)]]="Unknown",Backend!$C$8,"Error"))),"")</f>
        <v/>
      </c>
      <c r="F8394" s="8" t="str">
        <f>IF(Table1[[#This Row],[Is Data Valid]]=TRUE,EXP(0.578+0.332*((Table1[[#This Row],[Gestation (days)]]+0.5)/7)-0.00354*((Table1[[#This Row],[Gestation (days)]]+0.5)/7)^2)*Table1[[#This Row],[BW40_3705]],"")</f>
        <v/>
      </c>
      <c r="G8394" s="2" t="str">
        <f>IF(Table1[[#This Row],[Is Data Valid]]=TRUE,((Table1[[#This Row],[Birthweight (grams)]]/Table1[[#This Row],[BW_GA]])-1)/(Backend!$B$4/100*Table1[[#This Row],[BW40_3705]]),"")</f>
        <v/>
      </c>
      <c r="H8394" s="7" t="str">
        <f>IF(Table1[[#This Row],[Is Data Valid]]=TRUE,((Table1[[#This Row],[Birthweight (grams)]]*0.9/Table1[[#This Row],[BW_GA]])-1)/(Backend!$B$4/100*Table1[[#This Row],[BW40_3705]]),"")</f>
        <v/>
      </c>
      <c r="I8394" s="7" t="str">
        <f>IF(Table1[[#This Row],[Is Data Valid]]=TRUE,((Table1[[#This Row],[Birthweight (grams)]]*1.1/Table1[[#This Row],[BW_GA]])-1)/(Backend!$B$4/100*Table1[[#This Row],[BW40_3705]]),"")</f>
        <v/>
      </c>
      <c r="J8394" s="7" t="str">
        <f>IF(Table1[[#This Row],[Is Data Valid]]=TRUE,_xlfn.NORM.S.DIST(Table1[[#This Row],[Birthweight Z-Score]],TRUE)*100,"")</f>
        <v/>
      </c>
      <c r="K8394" s="7" t="str">
        <f>IF(Table1[[#This Row],[Is Data Valid]]=TRUE,_xlfn.NORM.S.DIST(Table1[[#This Row],[Birthweight Z-Score (BW-10%)]],TRUE)*100,"")</f>
        <v/>
      </c>
      <c r="L8394" s="7" t="str">
        <f>IF(Table1[[#This Row],[Is Data Valid]]=TRUE,_xlfn.NORM.S.DIST(Table1[[#This Row],[Birthweight Z-Score (BW+10%)]],TRUE)*100,"")</f>
        <v/>
      </c>
    </row>
    <row r="8395" spans="1:12" x14ac:dyDescent="0.35">
      <c r="A8395" s="3"/>
      <c r="B8395" s="2"/>
      <c r="C8395" s="2"/>
      <c r="D8395" s="2" t="b">
        <f>IF(AND(NOT(ISBLANK(Table1[[#This Row],[Fetal Sex (Male, Female or Unknown)]])),ISNUMBER(Table1[[#This Row],[Birthweight (grams)]]),ISNUMBER(Table1[[#This Row],[Gestation (days)]])),TRUE,FALSE)</f>
        <v>0</v>
      </c>
      <c r="E8395" s="2" t="str">
        <f>IF(Table1[[#This Row],[Is Data Valid]]=TRUE,IF(Table1[[#This Row],[Fetal Sex (Male, Female or Unknown)]]="Male",Backend!$C$6,IF(Table1[[#This Row],[Fetal Sex (Male, Female or Unknown)]]="Female",Backend!$C$7,IF(Table1[[#This Row],[Fetal Sex (Male, Female or Unknown)]]="Unknown",Backend!$C$8,"Error"))),"")</f>
        <v/>
      </c>
      <c r="F8395" s="8" t="str">
        <f>IF(Table1[[#This Row],[Is Data Valid]]=TRUE,EXP(0.578+0.332*((Table1[[#This Row],[Gestation (days)]]+0.5)/7)-0.00354*((Table1[[#This Row],[Gestation (days)]]+0.5)/7)^2)*Table1[[#This Row],[BW40_3705]],"")</f>
        <v/>
      </c>
      <c r="G8395" s="2" t="str">
        <f>IF(Table1[[#This Row],[Is Data Valid]]=TRUE,((Table1[[#This Row],[Birthweight (grams)]]/Table1[[#This Row],[BW_GA]])-1)/(Backend!$B$4/100*Table1[[#This Row],[BW40_3705]]),"")</f>
        <v/>
      </c>
      <c r="H8395" s="7" t="str">
        <f>IF(Table1[[#This Row],[Is Data Valid]]=TRUE,((Table1[[#This Row],[Birthweight (grams)]]*0.9/Table1[[#This Row],[BW_GA]])-1)/(Backend!$B$4/100*Table1[[#This Row],[BW40_3705]]),"")</f>
        <v/>
      </c>
      <c r="I8395" s="7" t="str">
        <f>IF(Table1[[#This Row],[Is Data Valid]]=TRUE,((Table1[[#This Row],[Birthweight (grams)]]*1.1/Table1[[#This Row],[BW_GA]])-1)/(Backend!$B$4/100*Table1[[#This Row],[BW40_3705]]),"")</f>
        <v/>
      </c>
      <c r="J8395" s="7" t="str">
        <f>IF(Table1[[#This Row],[Is Data Valid]]=TRUE,_xlfn.NORM.S.DIST(Table1[[#This Row],[Birthweight Z-Score]],TRUE)*100,"")</f>
        <v/>
      </c>
      <c r="K8395" s="7" t="str">
        <f>IF(Table1[[#This Row],[Is Data Valid]]=TRUE,_xlfn.NORM.S.DIST(Table1[[#This Row],[Birthweight Z-Score (BW-10%)]],TRUE)*100,"")</f>
        <v/>
      </c>
      <c r="L8395" s="7" t="str">
        <f>IF(Table1[[#This Row],[Is Data Valid]]=TRUE,_xlfn.NORM.S.DIST(Table1[[#This Row],[Birthweight Z-Score (BW+10%)]],TRUE)*100,"")</f>
        <v/>
      </c>
    </row>
    <row r="8396" spans="1:12" x14ac:dyDescent="0.35">
      <c r="A8396" s="3"/>
      <c r="B8396" s="2"/>
      <c r="C8396" s="2"/>
      <c r="D8396" s="2" t="b">
        <f>IF(AND(NOT(ISBLANK(Table1[[#This Row],[Fetal Sex (Male, Female or Unknown)]])),ISNUMBER(Table1[[#This Row],[Birthweight (grams)]]),ISNUMBER(Table1[[#This Row],[Gestation (days)]])),TRUE,FALSE)</f>
        <v>0</v>
      </c>
      <c r="E8396" s="2" t="str">
        <f>IF(Table1[[#This Row],[Is Data Valid]]=TRUE,IF(Table1[[#This Row],[Fetal Sex (Male, Female or Unknown)]]="Male",Backend!$C$6,IF(Table1[[#This Row],[Fetal Sex (Male, Female or Unknown)]]="Female",Backend!$C$7,IF(Table1[[#This Row],[Fetal Sex (Male, Female or Unknown)]]="Unknown",Backend!$C$8,"Error"))),"")</f>
        <v/>
      </c>
      <c r="F8396" s="8" t="str">
        <f>IF(Table1[[#This Row],[Is Data Valid]]=TRUE,EXP(0.578+0.332*((Table1[[#This Row],[Gestation (days)]]+0.5)/7)-0.00354*((Table1[[#This Row],[Gestation (days)]]+0.5)/7)^2)*Table1[[#This Row],[BW40_3705]],"")</f>
        <v/>
      </c>
      <c r="G8396" s="2" t="str">
        <f>IF(Table1[[#This Row],[Is Data Valid]]=TRUE,((Table1[[#This Row],[Birthweight (grams)]]/Table1[[#This Row],[BW_GA]])-1)/(Backend!$B$4/100*Table1[[#This Row],[BW40_3705]]),"")</f>
        <v/>
      </c>
      <c r="H8396" s="7" t="str">
        <f>IF(Table1[[#This Row],[Is Data Valid]]=TRUE,((Table1[[#This Row],[Birthweight (grams)]]*0.9/Table1[[#This Row],[BW_GA]])-1)/(Backend!$B$4/100*Table1[[#This Row],[BW40_3705]]),"")</f>
        <v/>
      </c>
      <c r="I8396" s="7" t="str">
        <f>IF(Table1[[#This Row],[Is Data Valid]]=TRUE,((Table1[[#This Row],[Birthweight (grams)]]*1.1/Table1[[#This Row],[BW_GA]])-1)/(Backend!$B$4/100*Table1[[#This Row],[BW40_3705]]),"")</f>
        <v/>
      </c>
      <c r="J8396" s="7" t="str">
        <f>IF(Table1[[#This Row],[Is Data Valid]]=TRUE,_xlfn.NORM.S.DIST(Table1[[#This Row],[Birthweight Z-Score]],TRUE)*100,"")</f>
        <v/>
      </c>
      <c r="K8396" s="7" t="str">
        <f>IF(Table1[[#This Row],[Is Data Valid]]=TRUE,_xlfn.NORM.S.DIST(Table1[[#This Row],[Birthweight Z-Score (BW-10%)]],TRUE)*100,"")</f>
        <v/>
      </c>
      <c r="L8396" s="7" t="str">
        <f>IF(Table1[[#This Row],[Is Data Valid]]=TRUE,_xlfn.NORM.S.DIST(Table1[[#This Row],[Birthweight Z-Score (BW+10%)]],TRUE)*100,"")</f>
        <v/>
      </c>
    </row>
    <row r="8397" spans="1:12" x14ac:dyDescent="0.35">
      <c r="A8397" s="3"/>
      <c r="B8397" s="2"/>
      <c r="C8397" s="2"/>
      <c r="D8397" s="2" t="b">
        <f>IF(AND(NOT(ISBLANK(Table1[[#This Row],[Fetal Sex (Male, Female or Unknown)]])),ISNUMBER(Table1[[#This Row],[Birthweight (grams)]]),ISNUMBER(Table1[[#This Row],[Gestation (days)]])),TRUE,FALSE)</f>
        <v>0</v>
      </c>
      <c r="E8397" s="2" t="str">
        <f>IF(Table1[[#This Row],[Is Data Valid]]=TRUE,IF(Table1[[#This Row],[Fetal Sex (Male, Female or Unknown)]]="Male",Backend!$C$6,IF(Table1[[#This Row],[Fetal Sex (Male, Female or Unknown)]]="Female",Backend!$C$7,IF(Table1[[#This Row],[Fetal Sex (Male, Female or Unknown)]]="Unknown",Backend!$C$8,"Error"))),"")</f>
        <v/>
      </c>
      <c r="F8397" s="8" t="str">
        <f>IF(Table1[[#This Row],[Is Data Valid]]=TRUE,EXP(0.578+0.332*((Table1[[#This Row],[Gestation (days)]]+0.5)/7)-0.00354*((Table1[[#This Row],[Gestation (days)]]+0.5)/7)^2)*Table1[[#This Row],[BW40_3705]],"")</f>
        <v/>
      </c>
      <c r="G8397" s="2" t="str">
        <f>IF(Table1[[#This Row],[Is Data Valid]]=TRUE,((Table1[[#This Row],[Birthweight (grams)]]/Table1[[#This Row],[BW_GA]])-1)/(Backend!$B$4/100*Table1[[#This Row],[BW40_3705]]),"")</f>
        <v/>
      </c>
      <c r="H8397" s="7" t="str">
        <f>IF(Table1[[#This Row],[Is Data Valid]]=TRUE,((Table1[[#This Row],[Birthweight (grams)]]*0.9/Table1[[#This Row],[BW_GA]])-1)/(Backend!$B$4/100*Table1[[#This Row],[BW40_3705]]),"")</f>
        <v/>
      </c>
      <c r="I8397" s="7" t="str">
        <f>IF(Table1[[#This Row],[Is Data Valid]]=TRUE,((Table1[[#This Row],[Birthweight (grams)]]*1.1/Table1[[#This Row],[BW_GA]])-1)/(Backend!$B$4/100*Table1[[#This Row],[BW40_3705]]),"")</f>
        <v/>
      </c>
      <c r="J8397" s="7" t="str">
        <f>IF(Table1[[#This Row],[Is Data Valid]]=TRUE,_xlfn.NORM.S.DIST(Table1[[#This Row],[Birthweight Z-Score]],TRUE)*100,"")</f>
        <v/>
      </c>
      <c r="K8397" s="7" t="str">
        <f>IF(Table1[[#This Row],[Is Data Valid]]=TRUE,_xlfn.NORM.S.DIST(Table1[[#This Row],[Birthweight Z-Score (BW-10%)]],TRUE)*100,"")</f>
        <v/>
      </c>
      <c r="L8397" s="7" t="str">
        <f>IF(Table1[[#This Row],[Is Data Valid]]=TRUE,_xlfn.NORM.S.DIST(Table1[[#This Row],[Birthweight Z-Score (BW+10%)]],TRUE)*100,"")</f>
        <v/>
      </c>
    </row>
    <row r="8398" spans="1:12" x14ac:dyDescent="0.35">
      <c r="A8398" s="3"/>
      <c r="B8398" s="2"/>
      <c r="C8398" s="2"/>
      <c r="D8398" s="2" t="b">
        <f>IF(AND(NOT(ISBLANK(Table1[[#This Row],[Fetal Sex (Male, Female or Unknown)]])),ISNUMBER(Table1[[#This Row],[Birthweight (grams)]]),ISNUMBER(Table1[[#This Row],[Gestation (days)]])),TRUE,FALSE)</f>
        <v>0</v>
      </c>
      <c r="E8398" s="2" t="str">
        <f>IF(Table1[[#This Row],[Is Data Valid]]=TRUE,IF(Table1[[#This Row],[Fetal Sex (Male, Female or Unknown)]]="Male",Backend!$C$6,IF(Table1[[#This Row],[Fetal Sex (Male, Female or Unknown)]]="Female",Backend!$C$7,IF(Table1[[#This Row],[Fetal Sex (Male, Female or Unknown)]]="Unknown",Backend!$C$8,"Error"))),"")</f>
        <v/>
      </c>
      <c r="F8398" s="8" t="str">
        <f>IF(Table1[[#This Row],[Is Data Valid]]=TRUE,EXP(0.578+0.332*((Table1[[#This Row],[Gestation (days)]]+0.5)/7)-0.00354*((Table1[[#This Row],[Gestation (days)]]+0.5)/7)^2)*Table1[[#This Row],[BW40_3705]],"")</f>
        <v/>
      </c>
      <c r="G8398" s="2" t="str">
        <f>IF(Table1[[#This Row],[Is Data Valid]]=TRUE,((Table1[[#This Row],[Birthweight (grams)]]/Table1[[#This Row],[BW_GA]])-1)/(Backend!$B$4/100*Table1[[#This Row],[BW40_3705]]),"")</f>
        <v/>
      </c>
      <c r="H8398" s="7" t="str">
        <f>IF(Table1[[#This Row],[Is Data Valid]]=TRUE,((Table1[[#This Row],[Birthweight (grams)]]*0.9/Table1[[#This Row],[BW_GA]])-1)/(Backend!$B$4/100*Table1[[#This Row],[BW40_3705]]),"")</f>
        <v/>
      </c>
      <c r="I8398" s="7" t="str">
        <f>IF(Table1[[#This Row],[Is Data Valid]]=TRUE,((Table1[[#This Row],[Birthweight (grams)]]*1.1/Table1[[#This Row],[BW_GA]])-1)/(Backend!$B$4/100*Table1[[#This Row],[BW40_3705]]),"")</f>
        <v/>
      </c>
      <c r="J8398" s="7" t="str">
        <f>IF(Table1[[#This Row],[Is Data Valid]]=TRUE,_xlfn.NORM.S.DIST(Table1[[#This Row],[Birthweight Z-Score]],TRUE)*100,"")</f>
        <v/>
      </c>
      <c r="K8398" s="7" t="str">
        <f>IF(Table1[[#This Row],[Is Data Valid]]=TRUE,_xlfn.NORM.S.DIST(Table1[[#This Row],[Birthweight Z-Score (BW-10%)]],TRUE)*100,"")</f>
        <v/>
      </c>
      <c r="L8398" s="7" t="str">
        <f>IF(Table1[[#This Row],[Is Data Valid]]=TRUE,_xlfn.NORM.S.DIST(Table1[[#This Row],[Birthweight Z-Score (BW+10%)]],TRUE)*100,"")</f>
        <v/>
      </c>
    </row>
    <row r="8399" spans="1:12" x14ac:dyDescent="0.35">
      <c r="A8399" s="3"/>
      <c r="B8399" s="2"/>
      <c r="C8399" s="2"/>
      <c r="D8399" s="2" t="b">
        <f>IF(AND(NOT(ISBLANK(Table1[[#This Row],[Fetal Sex (Male, Female or Unknown)]])),ISNUMBER(Table1[[#This Row],[Birthweight (grams)]]),ISNUMBER(Table1[[#This Row],[Gestation (days)]])),TRUE,FALSE)</f>
        <v>0</v>
      </c>
      <c r="E8399" s="2" t="str">
        <f>IF(Table1[[#This Row],[Is Data Valid]]=TRUE,IF(Table1[[#This Row],[Fetal Sex (Male, Female or Unknown)]]="Male",Backend!$C$6,IF(Table1[[#This Row],[Fetal Sex (Male, Female or Unknown)]]="Female",Backend!$C$7,IF(Table1[[#This Row],[Fetal Sex (Male, Female or Unknown)]]="Unknown",Backend!$C$8,"Error"))),"")</f>
        <v/>
      </c>
      <c r="F8399" s="8" t="str">
        <f>IF(Table1[[#This Row],[Is Data Valid]]=TRUE,EXP(0.578+0.332*((Table1[[#This Row],[Gestation (days)]]+0.5)/7)-0.00354*((Table1[[#This Row],[Gestation (days)]]+0.5)/7)^2)*Table1[[#This Row],[BW40_3705]],"")</f>
        <v/>
      </c>
      <c r="G8399" s="2" t="str">
        <f>IF(Table1[[#This Row],[Is Data Valid]]=TRUE,((Table1[[#This Row],[Birthweight (grams)]]/Table1[[#This Row],[BW_GA]])-1)/(Backend!$B$4/100*Table1[[#This Row],[BW40_3705]]),"")</f>
        <v/>
      </c>
      <c r="H8399" s="7" t="str">
        <f>IF(Table1[[#This Row],[Is Data Valid]]=TRUE,((Table1[[#This Row],[Birthweight (grams)]]*0.9/Table1[[#This Row],[BW_GA]])-1)/(Backend!$B$4/100*Table1[[#This Row],[BW40_3705]]),"")</f>
        <v/>
      </c>
      <c r="I8399" s="7" t="str">
        <f>IF(Table1[[#This Row],[Is Data Valid]]=TRUE,((Table1[[#This Row],[Birthweight (grams)]]*1.1/Table1[[#This Row],[BW_GA]])-1)/(Backend!$B$4/100*Table1[[#This Row],[BW40_3705]]),"")</f>
        <v/>
      </c>
      <c r="J8399" s="7" t="str">
        <f>IF(Table1[[#This Row],[Is Data Valid]]=TRUE,_xlfn.NORM.S.DIST(Table1[[#This Row],[Birthweight Z-Score]],TRUE)*100,"")</f>
        <v/>
      </c>
      <c r="K8399" s="7" t="str">
        <f>IF(Table1[[#This Row],[Is Data Valid]]=TRUE,_xlfn.NORM.S.DIST(Table1[[#This Row],[Birthweight Z-Score (BW-10%)]],TRUE)*100,"")</f>
        <v/>
      </c>
      <c r="L8399" s="7" t="str">
        <f>IF(Table1[[#This Row],[Is Data Valid]]=TRUE,_xlfn.NORM.S.DIST(Table1[[#This Row],[Birthweight Z-Score (BW+10%)]],TRUE)*100,"")</f>
        <v/>
      </c>
    </row>
    <row r="8400" spans="1:12" x14ac:dyDescent="0.35">
      <c r="A8400" s="3"/>
      <c r="B8400" s="2"/>
      <c r="C8400" s="2"/>
      <c r="D8400" s="2" t="b">
        <f>IF(AND(NOT(ISBLANK(Table1[[#This Row],[Fetal Sex (Male, Female or Unknown)]])),ISNUMBER(Table1[[#This Row],[Birthweight (grams)]]),ISNUMBER(Table1[[#This Row],[Gestation (days)]])),TRUE,FALSE)</f>
        <v>0</v>
      </c>
      <c r="E8400" s="2" t="str">
        <f>IF(Table1[[#This Row],[Is Data Valid]]=TRUE,IF(Table1[[#This Row],[Fetal Sex (Male, Female or Unknown)]]="Male",Backend!$C$6,IF(Table1[[#This Row],[Fetal Sex (Male, Female or Unknown)]]="Female",Backend!$C$7,IF(Table1[[#This Row],[Fetal Sex (Male, Female or Unknown)]]="Unknown",Backend!$C$8,"Error"))),"")</f>
        <v/>
      </c>
      <c r="F8400" s="8" t="str">
        <f>IF(Table1[[#This Row],[Is Data Valid]]=TRUE,EXP(0.578+0.332*((Table1[[#This Row],[Gestation (days)]]+0.5)/7)-0.00354*((Table1[[#This Row],[Gestation (days)]]+0.5)/7)^2)*Table1[[#This Row],[BW40_3705]],"")</f>
        <v/>
      </c>
      <c r="G8400" s="2" t="str">
        <f>IF(Table1[[#This Row],[Is Data Valid]]=TRUE,((Table1[[#This Row],[Birthweight (grams)]]/Table1[[#This Row],[BW_GA]])-1)/(Backend!$B$4/100*Table1[[#This Row],[BW40_3705]]),"")</f>
        <v/>
      </c>
      <c r="H8400" s="7" t="str">
        <f>IF(Table1[[#This Row],[Is Data Valid]]=TRUE,((Table1[[#This Row],[Birthweight (grams)]]*0.9/Table1[[#This Row],[BW_GA]])-1)/(Backend!$B$4/100*Table1[[#This Row],[BW40_3705]]),"")</f>
        <v/>
      </c>
      <c r="I8400" s="7" t="str">
        <f>IF(Table1[[#This Row],[Is Data Valid]]=TRUE,((Table1[[#This Row],[Birthweight (grams)]]*1.1/Table1[[#This Row],[BW_GA]])-1)/(Backend!$B$4/100*Table1[[#This Row],[BW40_3705]]),"")</f>
        <v/>
      </c>
      <c r="J8400" s="7" t="str">
        <f>IF(Table1[[#This Row],[Is Data Valid]]=TRUE,_xlfn.NORM.S.DIST(Table1[[#This Row],[Birthweight Z-Score]],TRUE)*100,"")</f>
        <v/>
      </c>
      <c r="K8400" s="7" t="str">
        <f>IF(Table1[[#This Row],[Is Data Valid]]=TRUE,_xlfn.NORM.S.DIST(Table1[[#This Row],[Birthweight Z-Score (BW-10%)]],TRUE)*100,"")</f>
        <v/>
      </c>
      <c r="L8400" s="7" t="str">
        <f>IF(Table1[[#This Row],[Is Data Valid]]=TRUE,_xlfn.NORM.S.DIST(Table1[[#This Row],[Birthweight Z-Score (BW+10%)]],TRUE)*100,"")</f>
        <v/>
      </c>
    </row>
    <row r="8401" spans="1:12" x14ac:dyDescent="0.35">
      <c r="A8401" s="3"/>
      <c r="B8401" s="2"/>
      <c r="C8401" s="2"/>
      <c r="D8401" s="2" t="b">
        <f>IF(AND(NOT(ISBLANK(Table1[[#This Row],[Fetal Sex (Male, Female or Unknown)]])),ISNUMBER(Table1[[#This Row],[Birthweight (grams)]]),ISNUMBER(Table1[[#This Row],[Gestation (days)]])),TRUE,FALSE)</f>
        <v>0</v>
      </c>
      <c r="E8401" s="2" t="str">
        <f>IF(Table1[[#This Row],[Is Data Valid]]=TRUE,IF(Table1[[#This Row],[Fetal Sex (Male, Female or Unknown)]]="Male",Backend!$C$6,IF(Table1[[#This Row],[Fetal Sex (Male, Female or Unknown)]]="Female",Backend!$C$7,IF(Table1[[#This Row],[Fetal Sex (Male, Female or Unknown)]]="Unknown",Backend!$C$8,"Error"))),"")</f>
        <v/>
      </c>
      <c r="F8401" s="8" t="str">
        <f>IF(Table1[[#This Row],[Is Data Valid]]=TRUE,EXP(0.578+0.332*((Table1[[#This Row],[Gestation (days)]]+0.5)/7)-0.00354*((Table1[[#This Row],[Gestation (days)]]+0.5)/7)^2)*Table1[[#This Row],[BW40_3705]],"")</f>
        <v/>
      </c>
      <c r="G8401" s="2" t="str">
        <f>IF(Table1[[#This Row],[Is Data Valid]]=TRUE,((Table1[[#This Row],[Birthweight (grams)]]/Table1[[#This Row],[BW_GA]])-1)/(Backend!$B$4/100*Table1[[#This Row],[BW40_3705]]),"")</f>
        <v/>
      </c>
      <c r="H8401" s="7" t="str">
        <f>IF(Table1[[#This Row],[Is Data Valid]]=TRUE,((Table1[[#This Row],[Birthweight (grams)]]*0.9/Table1[[#This Row],[BW_GA]])-1)/(Backend!$B$4/100*Table1[[#This Row],[BW40_3705]]),"")</f>
        <v/>
      </c>
      <c r="I8401" s="7" t="str">
        <f>IF(Table1[[#This Row],[Is Data Valid]]=TRUE,((Table1[[#This Row],[Birthweight (grams)]]*1.1/Table1[[#This Row],[BW_GA]])-1)/(Backend!$B$4/100*Table1[[#This Row],[BW40_3705]]),"")</f>
        <v/>
      </c>
      <c r="J8401" s="7" t="str">
        <f>IF(Table1[[#This Row],[Is Data Valid]]=TRUE,_xlfn.NORM.S.DIST(Table1[[#This Row],[Birthweight Z-Score]],TRUE)*100,"")</f>
        <v/>
      </c>
      <c r="K8401" s="7" t="str">
        <f>IF(Table1[[#This Row],[Is Data Valid]]=TRUE,_xlfn.NORM.S.DIST(Table1[[#This Row],[Birthweight Z-Score (BW-10%)]],TRUE)*100,"")</f>
        <v/>
      </c>
      <c r="L8401" s="7" t="str">
        <f>IF(Table1[[#This Row],[Is Data Valid]]=TRUE,_xlfn.NORM.S.DIST(Table1[[#This Row],[Birthweight Z-Score (BW+10%)]],TRUE)*100,"")</f>
        <v/>
      </c>
    </row>
    <row r="8402" spans="1:12" x14ac:dyDescent="0.35">
      <c r="A8402" s="3"/>
      <c r="B8402" s="2"/>
      <c r="C8402" s="2"/>
      <c r="D8402" s="2" t="b">
        <f>IF(AND(NOT(ISBLANK(Table1[[#This Row],[Fetal Sex (Male, Female or Unknown)]])),ISNUMBER(Table1[[#This Row],[Birthweight (grams)]]),ISNUMBER(Table1[[#This Row],[Gestation (days)]])),TRUE,FALSE)</f>
        <v>0</v>
      </c>
      <c r="E8402" s="2" t="str">
        <f>IF(Table1[[#This Row],[Is Data Valid]]=TRUE,IF(Table1[[#This Row],[Fetal Sex (Male, Female or Unknown)]]="Male",Backend!$C$6,IF(Table1[[#This Row],[Fetal Sex (Male, Female or Unknown)]]="Female",Backend!$C$7,IF(Table1[[#This Row],[Fetal Sex (Male, Female or Unknown)]]="Unknown",Backend!$C$8,"Error"))),"")</f>
        <v/>
      </c>
      <c r="F8402" s="8" t="str">
        <f>IF(Table1[[#This Row],[Is Data Valid]]=TRUE,EXP(0.578+0.332*((Table1[[#This Row],[Gestation (days)]]+0.5)/7)-0.00354*((Table1[[#This Row],[Gestation (days)]]+0.5)/7)^2)*Table1[[#This Row],[BW40_3705]],"")</f>
        <v/>
      </c>
      <c r="G8402" s="2" t="str">
        <f>IF(Table1[[#This Row],[Is Data Valid]]=TRUE,((Table1[[#This Row],[Birthweight (grams)]]/Table1[[#This Row],[BW_GA]])-1)/(Backend!$B$4/100*Table1[[#This Row],[BW40_3705]]),"")</f>
        <v/>
      </c>
      <c r="H8402" s="7" t="str">
        <f>IF(Table1[[#This Row],[Is Data Valid]]=TRUE,((Table1[[#This Row],[Birthweight (grams)]]*0.9/Table1[[#This Row],[BW_GA]])-1)/(Backend!$B$4/100*Table1[[#This Row],[BW40_3705]]),"")</f>
        <v/>
      </c>
      <c r="I8402" s="7" t="str">
        <f>IF(Table1[[#This Row],[Is Data Valid]]=TRUE,((Table1[[#This Row],[Birthweight (grams)]]*1.1/Table1[[#This Row],[BW_GA]])-1)/(Backend!$B$4/100*Table1[[#This Row],[BW40_3705]]),"")</f>
        <v/>
      </c>
      <c r="J8402" s="7" t="str">
        <f>IF(Table1[[#This Row],[Is Data Valid]]=TRUE,_xlfn.NORM.S.DIST(Table1[[#This Row],[Birthweight Z-Score]],TRUE)*100,"")</f>
        <v/>
      </c>
      <c r="K8402" s="7" t="str">
        <f>IF(Table1[[#This Row],[Is Data Valid]]=TRUE,_xlfn.NORM.S.DIST(Table1[[#This Row],[Birthweight Z-Score (BW-10%)]],TRUE)*100,"")</f>
        <v/>
      </c>
      <c r="L8402" s="7" t="str">
        <f>IF(Table1[[#This Row],[Is Data Valid]]=TRUE,_xlfn.NORM.S.DIST(Table1[[#This Row],[Birthweight Z-Score (BW+10%)]],TRUE)*100,"")</f>
        <v/>
      </c>
    </row>
    <row r="8403" spans="1:12" x14ac:dyDescent="0.35">
      <c r="A8403" s="3"/>
      <c r="B8403" s="2"/>
      <c r="C8403" s="2"/>
      <c r="D8403" s="2" t="b">
        <f>IF(AND(NOT(ISBLANK(Table1[[#This Row],[Fetal Sex (Male, Female or Unknown)]])),ISNUMBER(Table1[[#This Row],[Birthweight (grams)]]),ISNUMBER(Table1[[#This Row],[Gestation (days)]])),TRUE,FALSE)</f>
        <v>0</v>
      </c>
      <c r="E8403" s="2" t="str">
        <f>IF(Table1[[#This Row],[Is Data Valid]]=TRUE,IF(Table1[[#This Row],[Fetal Sex (Male, Female or Unknown)]]="Male",Backend!$C$6,IF(Table1[[#This Row],[Fetal Sex (Male, Female or Unknown)]]="Female",Backend!$C$7,IF(Table1[[#This Row],[Fetal Sex (Male, Female or Unknown)]]="Unknown",Backend!$C$8,"Error"))),"")</f>
        <v/>
      </c>
      <c r="F8403" s="8" t="str">
        <f>IF(Table1[[#This Row],[Is Data Valid]]=TRUE,EXP(0.578+0.332*((Table1[[#This Row],[Gestation (days)]]+0.5)/7)-0.00354*((Table1[[#This Row],[Gestation (days)]]+0.5)/7)^2)*Table1[[#This Row],[BW40_3705]],"")</f>
        <v/>
      </c>
      <c r="G8403" s="2" t="str">
        <f>IF(Table1[[#This Row],[Is Data Valid]]=TRUE,((Table1[[#This Row],[Birthweight (grams)]]/Table1[[#This Row],[BW_GA]])-1)/(Backend!$B$4/100*Table1[[#This Row],[BW40_3705]]),"")</f>
        <v/>
      </c>
      <c r="H8403" s="7" t="str">
        <f>IF(Table1[[#This Row],[Is Data Valid]]=TRUE,((Table1[[#This Row],[Birthweight (grams)]]*0.9/Table1[[#This Row],[BW_GA]])-1)/(Backend!$B$4/100*Table1[[#This Row],[BW40_3705]]),"")</f>
        <v/>
      </c>
      <c r="I8403" s="7" t="str">
        <f>IF(Table1[[#This Row],[Is Data Valid]]=TRUE,((Table1[[#This Row],[Birthweight (grams)]]*1.1/Table1[[#This Row],[BW_GA]])-1)/(Backend!$B$4/100*Table1[[#This Row],[BW40_3705]]),"")</f>
        <v/>
      </c>
      <c r="J8403" s="7" t="str">
        <f>IF(Table1[[#This Row],[Is Data Valid]]=TRUE,_xlfn.NORM.S.DIST(Table1[[#This Row],[Birthweight Z-Score]],TRUE)*100,"")</f>
        <v/>
      </c>
      <c r="K8403" s="7" t="str">
        <f>IF(Table1[[#This Row],[Is Data Valid]]=TRUE,_xlfn.NORM.S.DIST(Table1[[#This Row],[Birthweight Z-Score (BW-10%)]],TRUE)*100,"")</f>
        <v/>
      </c>
      <c r="L8403" s="7" t="str">
        <f>IF(Table1[[#This Row],[Is Data Valid]]=TRUE,_xlfn.NORM.S.DIST(Table1[[#This Row],[Birthweight Z-Score (BW+10%)]],TRUE)*100,"")</f>
        <v/>
      </c>
    </row>
    <row r="8404" spans="1:12" x14ac:dyDescent="0.35">
      <c r="A8404" s="3"/>
      <c r="B8404" s="2"/>
      <c r="C8404" s="2"/>
      <c r="D8404" s="2" t="b">
        <f>IF(AND(NOT(ISBLANK(Table1[[#This Row],[Fetal Sex (Male, Female or Unknown)]])),ISNUMBER(Table1[[#This Row],[Birthweight (grams)]]),ISNUMBER(Table1[[#This Row],[Gestation (days)]])),TRUE,FALSE)</f>
        <v>0</v>
      </c>
      <c r="E8404" s="2" t="str">
        <f>IF(Table1[[#This Row],[Is Data Valid]]=TRUE,IF(Table1[[#This Row],[Fetal Sex (Male, Female or Unknown)]]="Male",Backend!$C$6,IF(Table1[[#This Row],[Fetal Sex (Male, Female or Unknown)]]="Female",Backend!$C$7,IF(Table1[[#This Row],[Fetal Sex (Male, Female or Unknown)]]="Unknown",Backend!$C$8,"Error"))),"")</f>
        <v/>
      </c>
      <c r="F8404" s="8" t="str">
        <f>IF(Table1[[#This Row],[Is Data Valid]]=TRUE,EXP(0.578+0.332*((Table1[[#This Row],[Gestation (days)]]+0.5)/7)-0.00354*((Table1[[#This Row],[Gestation (days)]]+0.5)/7)^2)*Table1[[#This Row],[BW40_3705]],"")</f>
        <v/>
      </c>
      <c r="G8404" s="2" t="str">
        <f>IF(Table1[[#This Row],[Is Data Valid]]=TRUE,((Table1[[#This Row],[Birthweight (grams)]]/Table1[[#This Row],[BW_GA]])-1)/(Backend!$B$4/100*Table1[[#This Row],[BW40_3705]]),"")</f>
        <v/>
      </c>
      <c r="H8404" s="7" t="str">
        <f>IF(Table1[[#This Row],[Is Data Valid]]=TRUE,((Table1[[#This Row],[Birthweight (grams)]]*0.9/Table1[[#This Row],[BW_GA]])-1)/(Backend!$B$4/100*Table1[[#This Row],[BW40_3705]]),"")</f>
        <v/>
      </c>
      <c r="I8404" s="7" t="str">
        <f>IF(Table1[[#This Row],[Is Data Valid]]=TRUE,((Table1[[#This Row],[Birthweight (grams)]]*1.1/Table1[[#This Row],[BW_GA]])-1)/(Backend!$B$4/100*Table1[[#This Row],[BW40_3705]]),"")</f>
        <v/>
      </c>
      <c r="J8404" s="7" t="str">
        <f>IF(Table1[[#This Row],[Is Data Valid]]=TRUE,_xlfn.NORM.S.DIST(Table1[[#This Row],[Birthweight Z-Score]],TRUE)*100,"")</f>
        <v/>
      </c>
      <c r="K8404" s="7" t="str">
        <f>IF(Table1[[#This Row],[Is Data Valid]]=TRUE,_xlfn.NORM.S.DIST(Table1[[#This Row],[Birthweight Z-Score (BW-10%)]],TRUE)*100,"")</f>
        <v/>
      </c>
      <c r="L8404" s="7" t="str">
        <f>IF(Table1[[#This Row],[Is Data Valid]]=TRUE,_xlfn.NORM.S.DIST(Table1[[#This Row],[Birthweight Z-Score (BW+10%)]],TRUE)*100,"")</f>
        <v/>
      </c>
    </row>
    <row r="8405" spans="1:12" x14ac:dyDescent="0.35">
      <c r="A8405" s="3"/>
      <c r="B8405" s="2"/>
      <c r="C8405" s="2"/>
      <c r="D8405" s="2" t="b">
        <f>IF(AND(NOT(ISBLANK(Table1[[#This Row],[Fetal Sex (Male, Female or Unknown)]])),ISNUMBER(Table1[[#This Row],[Birthweight (grams)]]),ISNUMBER(Table1[[#This Row],[Gestation (days)]])),TRUE,FALSE)</f>
        <v>0</v>
      </c>
      <c r="E8405" s="2" t="str">
        <f>IF(Table1[[#This Row],[Is Data Valid]]=TRUE,IF(Table1[[#This Row],[Fetal Sex (Male, Female or Unknown)]]="Male",Backend!$C$6,IF(Table1[[#This Row],[Fetal Sex (Male, Female or Unknown)]]="Female",Backend!$C$7,IF(Table1[[#This Row],[Fetal Sex (Male, Female or Unknown)]]="Unknown",Backend!$C$8,"Error"))),"")</f>
        <v/>
      </c>
      <c r="F8405" s="8" t="str">
        <f>IF(Table1[[#This Row],[Is Data Valid]]=TRUE,EXP(0.578+0.332*((Table1[[#This Row],[Gestation (days)]]+0.5)/7)-0.00354*((Table1[[#This Row],[Gestation (days)]]+0.5)/7)^2)*Table1[[#This Row],[BW40_3705]],"")</f>
        <v/>
      </c>
      <c r="G8405" s="2" t="str">
        <f>IF(Table1[[#This Row],[Is Data Valid]]=TRUE,((Table1[[#This Row],[Birthweight (grams)]]/Table1[[#This Row],[BW_GA]])-1)/(Backend!$B$4/100*Table1[[#This Row],[BW40_3705]]),"")</f>
        <v/>
      </c>
      <c r="H8405" s="7" t="str">
        <f>IF(Table1[[#This Row],[Is Data Valid]]=TRUE,((Table1[[#This Row],[Birthweight (grams)]]*0.9/Table1[[#This Row],[BW_GA]])-1)/(Backend!$B$4/100*Table1[[#This Row],[BW40_3705]]),"")</f>
        <v/>
      </c>
      <c r="I8405" s="7" t="str">
        <f>IF(Table1[[#This Row],[Is Data Valid]]=TRUE,((Table1[[#This Row],[Birthweight (grams)]]*1.1/Table1[[#This Row],[BW_GA]])-1)/(Backend!$B$4/100*Table1[[#This Row],[BW40_3705]]),"")</f>
        <v/>
      </c>
      <c r="J8405" s="7" t="str">
        <f>IF(Table1[[#This Row],[Is Data Valid]]=TRUE,_xlfn.NORM.S.DIST(Table1[[#This Row],[Birthweight Z-Score]],TRUE)*100,"")</f>
        <v/>
      </c>
      <c r="K8405" s="7" t="str">
        <f>IF(Table1[[#This Row],[Is Data Valid]]=TRUE,_xlfn.NORM.S.DIST(Table1[[#This Row],[Birthweight Z-Score (BW-10%)]],TRUE)*100,"")</f>
        <v/>
      </c>
      <c r="L8405" s="7" t="str">
        <f>IF(Table1[[#This Row],[Is Data Valid]]=TRUE,_xlfn.NORM.S.DIST(Table1[[#This Row],[Birthweight Z-Score (BW+10%)]],TRUE)*100,"")</f>
        <v/>
      </c>
    </row>
    <row r="8406" spans="1:12" x14ac:dyDescent="0.35">
      <c r="A8406" s="3"/>
      <c r="B8406" s="2"/>
      <c r="C8406" s="2"/>
      <c r="D8406" s="2" t="b">
        <f>IF(AND(NOT(ISBLANK(Table1[[#This Row],[Fetal Sex (Male, Female or Unknown)]])),ISNUMBER(Table1[[#This Row],[Birthweight (grams)]]),ISNUMBER(Table1[[#This Row],[Gestation (days)]])),TRUE,FALSE)</f>
        <v>0</v>
      </c>
      <c r="E8406" s="2" t="str">
        <f>IF(Table1[[#This Row],[Is Data Valid]]=TRUE,IF(Table1[[#This Row],[Fetal Sex (Male, Female or Unknown)]]="Male",Backend!$C$6,IF(Table1[[#This Row],[Fetal Sex (Male, Female or Unknown)]]="Female",Backend!$C$7,IF(Table1[[#This Row],[Fetal Sex (Male, Female or Unknown)]]="Unknown",Backend!$C$8,"Error"))),"")</f>
        <v/>
      </c>
      <c r="F8406" s="8" t="str">
        <f>IF(Table1[[#This Row],[Is Data Valid]]=TRUE,EXP(0.578+0.332*((Table1[[#This Row],[Gestation (days)]]+0.5)/7)-0.00354*((Table1[[#This Row],[Gestation (days)]]+0.5)/7)^2)*Table1[[#This Row],[BW40_3705]],"")</f>
        <v/>
      </c>
      <c r="G8406" s="2" t="str">
        <f>IF(Table1[[#This Row],[Is Data Valid]]=TRUE,((Table1[[#This Row],[Birthweight (grams)]]/Table1[[#This Row],[BW_GA]])-1)/(Backend!$B$4/100*Table1[[#This Row],[BW40_3705]]),"")</f>
        <v/>
      </c>
      <c r="H8406" s="7" t="str">
        <f>IF(Table1[[#This Row],[Is Data Valid]]=TRUE,((Table1[[#This Row],[Birthweight (grams)]]*0.9/Table1[[#This Row],[BW_GA]])-1)/(Backend!$B$4/100*Table1[[#This Row],[BW40_3705]]),"")</f>
        <v/>
      </c>
      <c r="I8406" s="7" t="str">
        <f>IF(Table1[[#This Row],[Is Data Valid]]=TRUE,((Table1[[#This Row],[Birthweight (grams)]]*1.1/Table1[[#This Row],[BW_GA]])-1)/(Backend!$B$4/100*Table1[[#This Row],[BW40_3705]]),"")</f>
        <v/>
      </c>
      <c r="J8406" s="7" t="str">
        <f>IF(Table1[[#This Row],[Is Data Valid]]=TRUE,_xlfn.NORM.S.DIST(Table1[[#This Row],[Birthweight Z-Score]],TRUE)*100,"")</f>
        <v/>
      </c>
      <c r="K8406" s="7" t="str">
        <f>IF(Table1[[#This Row],[Is Data Valid]]=TRUE,_xlfn.NORM.S.DIST(Table1[[#This Row],[Birthweight Z-Score (BW-10%)]],TRUE)*100,"")</f>
        <v/>
      </c>
      <c r="L8406" s="7" t="str">
        <f>IF(Table1[[#This Row],[Is Data Valid]]=TRUE,_xlfn.NORM.S.DIST(Table1[[#This Row],[Birthweight Z-Score (BW+10%)]],TRUE)*100,"")</f>
        <v/>
      </c>
    </row>
    <row r="8407" spans="1:12" x14ac:dyDescent="0.35">
      <c r="A8407" s="3"/>
      <c r="B8407" s="2"/>
      <c r="C8407" s="2"/>
      <c r="D8407" s="2" t="b">
        <f>IF(AND(NOT(ISBLANK(Table1[[#This Row],[Fetal Sex (Male, Female or Unknown)]])),ISNUMBER(Table1[[#This Row],[Birthweight (grams)]]),ISNUMBER(Table1[[#This Row],[Gestation (days)]])),TRUE,FALSE)</f>
        <v>0</v>
      </c>
      <c r="E8407" s="2" t="str">
        <f>IF(Table1[[#This Row],[Is Data Valid]]=TRUE,IF(Table1[[#This Row],[Fetal Sex (Male, Female or Unknown)]]="Male",Backend!$C$6,IF(Table1[[#This Row],[Fetal Sex (Male, Female or Unknown)]]="Female",Backend!$C$7,IF(Table1[[#This Row],[Fetal Sex (Male, Female or Unknown)]]="Unknown",Backend!$C$8,"Error"))),"")</f>
        <v/>
      </c>
      <c r="F8407" s="8" t="str">
        <f>IF(Table1[[#This Row],[Is Data Valid]]=TRUE,EXP(0.578+0.332*((Table1[[#This Row],[Gestation (days)]]+0.5)/7)-0.00354*((Table1[[#This Row],[Gestation (days)]]+0.5)/7)^2)*Table1[[#This Row],[BW40_3705]],"")</f>
        <v/>
      </c>
      <c r="G8407" s="2" t="str">
        <f>IF(Table1[[#This Row],[Is Data Valid]]=TRUE,((Table1[[#This Row],[Birthweight (grams)]]/Table1[[#This Row],[BW_GA]])-1)/(Backend!$B$4/100*Table1[[#This Row],[BW40_3705]]),"")</f>
        <v/>
      </c>
      <c r="H8407" s="7" t="str">
        <f>IF(Table1[[#This Row],[Is Data Valid]]=TRUE,((Table1[[#This Row],[Birthweight (grams)]]*0.9/Table1[[#This Row],[BW_GA]])-1)/(Backend!$B$4/100*Table1[[#This Row],[BW40_3705]]),"")</f>
        <v/>
      </c>
      <c r="I8407" s="7" t="str">
        <f>IF(Table1[[#This Row],[Is Data Valid]]=TRUE,((Table1[[#This Row],[Birthweight (grams)]]*1.1/Table1[[#This Row],[BW_GA]])-1)/(Backend!$B$4/100*Table1[[#This Row],[BW40_3705]]),"")</f>
        <v/>
      </c>
      <c r="J8407" s="7" t="str">
        <f>IF(Table1[[#This Row],[Is Data Valid]]=TRUE,_xlfn.NORM.S.DIST(Table1[[#This Row],[Birthweight Z-Score]],TRUE)*100,"")</f>
        <v/>
      </c>
      <c r="K8407" s="7" t="str">
        <f>IF(Table1[[#This Row],[Is Data Valid]]=TRUE,_xlfn.NORM.S.DIST(Table1[[#This Row],[Birthweight Z-Score (BW-10%)]],TRUE)*100,"")</f>
        <v/>
      </c>
      <c r="L8407" s="7" t="str">
        <f>IF(Table1[[#This Row],[Is Data Valid]]=TRUE,_xlfn.NORM.S.DIST(Table1[[#This Row],[Birthweight Z-Score (BW+10%)]],TRUE)*100,"")</f>
        <v/>
      </c>
    </row>
    <row r="8408" spans="1:12" x14ac:dyDescent="0.35">
      <c r="A8408" s="3"/>
      <c r="B8408" s="2"/>
      <c r="C8408" s="2"/>
      <c r="D8408" s="2" t="b">
        <f>IF(AND(NOT(ISBLANK(Table1[[#This Row],[Fetal Sex (Male, Female or Unknown)]])),ISNUMBER(Table1[[#This Row],[Birthweight (grams)]]),ISNUMBER(Table1[[#This Row],[Gestation (days)]])),TRUE,FALSE)</f>
        <v>0</v>
      </c>
      <c r="E8408" s="2" t="str">
        <f>IF(Table1[[#This Row],[Is Data Valid]]=TRUE,IF(Table1[[#This Row],[Fetal Sex (Male, Female or Unknown)]]="Male",Backend!$C$6,IF(Table1[[#This Row],[Fetal Sex (Male, Female or Unknown)]]="Female",Backend!$C$7,IF(Table1[[#This Row],[Fetal Sex (Male, Female or Unknown)]]="Unknown",Backend!$C$8,"Error"))),"")</f>
        <v/>
      </c>
      <c r="F8408" s="8" t="str">
        <f>IF(Table1[[#This Row],[Is Data Valid]]=TRUE,EXP(0.578+0.332*((Table1[[#This Row],[Gestation (days)]]+0.5)/7)-0.00354*((Table1[[#This Row],[Gestation (days)]]+0.5)/7)^2)*Table1[[#This Row],[BW40_3705]],"")</f>
        <v/>
      </c>
      <c r="G8408" s="2" t="str">
        <f>IF(Table1[[#This Row],[Is Data Valid]]=TRUE,((Table1[[#This Row],[Birthweight (grams)]]/Table1[[#This Row],[BW_GA]])-1)/(Backend!$B$4/100*Table1[[#This Row],[BW40_3705]]),"")</f>
        <v/>
      </c>
      <c r="H8408" s="7" t="str">
        <f>IF(Table1[[#This Row],[Is Data Valid]]=TRUE,((Table1[[#This Row],[Birthweight (grams)]]*0.9/Table1[[#This Row],[BW_GA]])-1)/(Backend!$B$4/100*Table1[[#This Row],[BW40_3705]]),"")</f>
        <v/>
      </c>
      <c r="I8408" s="7" t="str">
        <f>IF(Table1[[#This Row],[Is Data Valid]]=TRUE,((Table1[[#This Row],[Birthweight (grams)]]*1.1/Table1[[#This Row],[BW_GA]])-1)/(Backend!$B$4/100*Table1[[#This Row],[BW40_3705]]),"")</f>
        <v/>
      </c>
      <c r="J8408" s="7" t="str">
        <f>IF(Table1[[#This Row],[Is Data Valid]]=TRUE,_xlfn.NORM.S.DIST(Table1[[#This Row],[Birthweight Z-Score]],TRUE)*100,"")</f>
        <v/>
      </c>
      <c r="K8408" s="7" t="str">
        <f>IF(Table1[[#This Row],[Is Data Valid]]=TRUE,_xlfn.NORM.S.DIST(Table1[[#This Row],[Birthweight Z-Score (BW-10%)]],TRUE)*100,"")</f>
        <v/>
      </c>
      <c r="L8408" s="7" t="str">
        <f>IF(Table1[[#This Row],[Is Data Valid]]=TRUE,_xlfn.NORM.S.DIST(Table1[[#This Row],[Birthweight Z-Score (BW+10%)]],TRUE)*100,"")</f>
        <v/>
      </c>
    </row>
    <row r="8409" spans="1:12" x14ac:dyDescent="0.35">
      <c r="A8409" s="3"/>
      <c r="B8409" s="2"/>
      <c r="C8409" s="2"/>
      <c r="D8409" s="2" t="b">
        <f>IF(AND(NOT(ISBLANK(Table1[[#This Row],[Fetal Sex (Male, Female or Unknown)]])),ISNUMBER(Table1[[#This Row],[Birthweight (grams)]]),ISNUMBER(Table1[[#This Row],[Gestation (days)]])),TRUE,FALSE)</f>
        <v>0</v>
      </c>
      <c r="E8409" s="2" t="str">
        <f>IF(Table1[[#This Row],[Is Data Valid]]=TRUE,IF(Table1[[#This Row],[Fetal Sex (Male, Female or Unknown)]]="Male",Backend!$C$6,IF(Table1[[#This Row],[Fetal Sex (Male, Female or Unknown)]]="Female",Backend!$C$7,IF(Table1[[#This Row],[Fetal Sex (Male, Female or Unknown)]]="Unknown",Backend!$C$8,"Error"))),"")</f>
        <v/>
      </c>
      <c r="F8409" s="8" t="str">
        <f>IF(Table1[[#This Row],[Is Data Valid]]=TRUE,EXP(0.578+0.332*((Table1[[#This Row],[Gestation (days)]]+0.5)/7)-0.00354*((Table1[[#This Row],[Gestation (days)]]+0.5)/7)^2)*Table1[[#This Row],[BW40_3705]],"")</f>
        <v/>
      </c>
      <c r="G8409" s="2" t="str">
        <f>IF(Table1[[#This Row],[Is Data Valid]]=TRUE,((Table1[[#This Row],[Birthweight (grams)]]/Table1[[#This Row],[BW_GA]])-1)/(Backend!$B$4/100*Table1[[#This Row],[BW40_3705]]),"")</f>
        <v/>
      </c>
      <c r="H8409" s="7" t="str">
        <f>IF(Table1[[#This Row],[Is Data Valid]]=TRUE,((Table1[[#This Row],[Birthweight (grams)]]*0.9/Table1[[#This Row],[BW_GA]])-1)/(Backend!$B$4/100*Table1[[#This Row],[BW40_3705]]),"")</f>
        <v/>
      </c>
      <c r="I8409" s="7" t="str">
        <f>IF(Table1[[#This Row],[Is Data Valid]]=TRUE,((Table1[[#This Row],[Birthweight (grams)]]*1.1/Table1[[#This Row],[BW_GA]])-1)/(Backend!$B$4/100*Table1[[#This Row],[BW40_3705]]),"")</f>
        <v/>
      </c>
      <c r="J8409" s="7" t="str">
        <f>IF(Table1[[#This Row],[Is Data Valid]]=TRUE,_xlfn.NORM.S.DIST(Table1[[#This Row],[Birthweight Z-Score]],TRUE)*100,"")</f>
        <v/>
      </c>
      <c r="K8409" s="7" t="str">
        <f>IF(Table1[[#This Row],[Is Data Valid]]=TRUE,_xlfn.NORM.S.DIST(Table1[[#This Row],[Birthweight Z-Score (BW-10%)]],TRUE)*100,"")</f>
        <v/>
      </c>
      <c r="L8409" s="7" t="str">
        <f>IF(Table1[[#This Row],[Is Data Valid]]=TRUE,_xlfn.NORM.S.DIST(Table1[[#This Row],[Birthweight Z-Score (BW+10%)]],TRUE)*100,"")</f>
        <v/>
      </c>
    </row>
    <row r="8410" spans="1:12" x14ac:dyDescent="0.35">
      <c r="A8410" s="3"/>
      <c r="B8410" s="2"/>
      <c r="C8410" s="2"/>
      <c r="D8410" s="2" t="b">
        <f>IF(AND(NOT(ISBLANK(Table1[[#This Row],[Fetal Sex (Male, Female or Unknown)]])),ISNUMBER(Table1[[#This Row],[Birthweight (grams)]]),ISNUMBER(Table1[[#This Row],[Gestation (days)]])),TRUE,FALSE)</f>
        <v>0</v>
      </c>
      <c r="E8410" s="2" t="str">
        <f>IF(Table1[[#This Row],[Is Data Valid]]=TRUE,IF(Table1[[#This Row],[Fetal Sex (Male, Female or Unknown)]]="Male",Backend!$C$6,IF(Table1[[#This Row],[Fetal Sex (Male, Female or Unknown)]]="Female",Backend!$C$7,IF(Table1[[#This Row],[Fetal Sex (Male, Female or Unknown)]]="Unknown",Backend!$C$8,"Error"))),"")</f>
        <v/>
      </c>
      <c r="F8410" s="8" t="str">
        <f>IF(Table1[[#This Row],[Is Data Valid]]=TRUE,EXP(0.578+0.332*((Table1[[#This Row],[Gestation (days)]]+0.5)/7)-0.00354*((Table1[[#This Row],[Gestation (days)]]+0.5)/7)^2)*Table1[[#This Row],[BW40_3705]],"")</f>
        <v/>
      </c>
      <c r="G8410" s="2" t="str">
        <f>IF(Table1[[#This Row],[Is Data Valid]]=TRUE,((Table1[[#This Row],[Birthweight (grams)]]/Table1[[#This Row],[BW_GA]])-1)/(Backend!$B$4/100*Table1[[#This Row],[BW40_3705]]),"")</f>
        <v/>
      </c>
      <c r="H8410" s="7" t="str">
        <f>IF(Table1[[#This Row],[Is Data Valid]]=TRUE,((Table1[[#This Row],[Birthweight (grams)]]*0.9/Table1[[#This Row],[BW_GA]])-1)/(Backend!$B$4/100*Table1[[#This Row],[BW40_3705]]),"")</f>
        <v/>
      </c>
      <c r="I8410" s="7" t="str">
        <f>IF(Table1[[#This Row],[Is Data Valid]]=TRUE,((Table1[[#This Row],[Birthweight (grams)]]*1.1/Table1[[#This Row],[BW_GA]])-1)/(Backend!$B$4/100*Table1[[#This Row],[BW40_3705]]),"")</f>
        <v/>
      </c>
      <c r="J8410" s="7" t="str">
        <f>IF(Table1[[#This Row],[Is Data Valid]]=TRUE,_xlfn.NORM.S.DIST(Table1[[#This Row],[Birthweight Z-Score]],TRUE)*100,"")</f>
        <v/>
      </c>
      <c r="K8410" s="7" t="str">
        <f>IF(Table1[[#This Row],[Is Data Valid]]=TRUE,_xlfn.NORM.S.DIST(Table1[[#This Row],[Birthweight Z-Score (BW-10%)]],TRUE)*100,"")</f>
        <v/>
      </c>
      <c r="L8410" s="7" t="str">
        <f>IF(Table1[[#This Row],[Is Data Valid]]=TRUE,_xlfn.NORM.S.DIST(Table1[[#This Row],[Birthweight Z-Score (BW+10%)]],TRUE)*100,"")</f>
        <v/>
      </c>
    </row>
    <row r="8411" spans="1:12" x14ac:dyDescent="0.35">
      <c r="A8411" s="3"/>
      <c r="B8411" s="2"/>
      <c r="C8411" s="2"/>
      <c r="D8411" s="2" t="b">
        <f>IF(AND(NOT(ISBLANK(Table1[[#This Row],[Fetal Sex (Male, Female or Unknown)]])),ISNUMBER(Table1[[#This Row],[Birthweight (grams)]]),ISNUMBER(Table1[[#This Row],[Gestation (days)]])),TRUE,FALSE)</f>
        <v>0</v>
      </c>
      <c r="E8411" s="2" t="str">
        <f>IF(Table1[[#This Row],[Is Data Valid]]=TRUE,IF(Table1[[#This Row],[Fetal Sex (Male, Female or Unknown)]]="Male",Backend!$C$6,IF(Table1[[#This Row],[Fetal Sex (Male, Female or Unknown)]]="Female",Backend!$C$7,IF(Table1[[#This Row],[Fetal Sex (Male, Female or Unknown)]]="Unknown",Backend!$C$8,"Error"))),"")</f>
        <v/>
      </c>
      <c r="F8411" s="8" t="str">
        <f>IF(Table1[[#This Row],[Is Data Valid]]=TRUE,EXP(0.578+0.332*((Table1[[#This Row],[Gestation (days)]]+0.5)/7)-0.00354*((Table1[[#This Row],[Gestation (days)]]+0.5)/7)^2)*Table1[[#This Row],[BW40_3705]],"")</f>
        <v/>
      </c>
      <c r="G8411" s="2" t="str">
        <f>IF(Table1[[#This Row],[Is Data Valid]]=TRUE,((Table1[[#This Row],[Birthweight (grams)]]/Table1[[#This Row],[BW_GA]])-1)/(Backend!$B$4/100*Table1[[#This Row],[BW40_3705]]),"")</f>
        <v/>
      </c>
      <c r="H8411" s="7" t="str">
        <f>IF(Table1[[#This Row],[Is Data Valid]]=TRUE,((Table1[[#This Row],[Birthweight (grams)]]*0.9/Table1[[#This Row],[BW_GA]])-1)/(Backend!$B$4/100*Table1[[#This Row],[BW40_3705]]),"")</f>
        <v/>
      </c>
      <c r="I8411" s="7" t="str">
        <f>IF(Table1[[#This Row],[Is Data Valid]]=TRUE,((Table1[[#This Row],[Birthweight (grams)]]*1.1/Table1[[#This Row],[BW_GA]])-1)/(Backend!$B$4/100*Table1[[#This Row],[BW40_3705]]),"")</f>
        <v/>
      </c>
      <c r="J8411" s="7" t="str">
        <f>IF(Table1[[#This Row],[Is Data Valid]]=TRUE,_xlfn.NORM.S.DIST(Table1[[#This Row],[Birthweight Z-Score]],TRUE)*100,"")</f>
        <v/>
      </c>
      <c r="K8411" s="7" t="str">
        <f>IF(Table1[[#This Row],[Is Data Valid]]=TRUE,_xlfn.NORM.S.DIST(Table1[[#This Row],[Birthweight Z-Score (BW-10%)]],TRUE)*100,"")</f>
        <v/>
      </c>
      <c r="L8411" s="7" t="str">
        <f>IF(Table1[[#This Row],[Is Data Valid]]=TRUE,_xlfn.NORM.S.DIST(Table1[[#This Row],[Birthweight Z-Score (BW+10%)]],TRUE)*100,"")</f>
        <v/>
      </c>
    </row>
    <row r="8412" spans="1:12" x14ac:dyDescent="0.35">
      <c r="A8412" s="3"/>
      <c r="B8412" s="2"/>
      <c r="C8412" s="2"/>
      <c r="D8412" s="2" t="b">
        <f>IF(AND(NOT(ISBLANK(Table1[[#This Row],[Fetal Sex (Male, Female or Unknown)]])),ISNUMBER(Table1[[#This Row],[Birthweight (grams)]]),ISNUMBER(Table1[[#This Row],[Gestation (days)]])),TRUE,FALSE)</f>
        <v>0</v>
      </c>
      <c r="E8412" s="2" t="str">
        <f>IF(Table1[[#This Row],[Is Data Valid]]=TRUE,IF(Table1[[#This Row],[Fetal Sex (Male, Female or Unknown)]]="Male",Backend!$C$6,IF(Table1[[#This Row],[Fetal Sex (Male, Female or Unknown)]]="Female",Backend!$C$7,IF(Table1[[#This Row],[Fetal Sex (Male, Female or Unknown)]]="Unknown",Backend!$C$8,"Error"))),"")</f>
        <v/>
      </c>
      <c r="F8412" s="8" t="str">
        <f>IF(Table1[[#This Row],[Is Data Valid]]=TRUE,EXP(0.578+0.332*((Table1[[#This Row],[Gestation (days)]]+0.5)/7)-0.00354*((Table1[[#This Row],[Gestation (days)]]+0.5)/7)^2)*Table1[[#This Row],[BW40_3705]],"")</f>
        <v/>
      </c>
      <c r="G8412" s="2" t="str">
        <f>IF(Table1[[#This Row],[Is Data Valid]]=TRUE,((Table1[[#This Row],[Birthweight (grams)]]/Table1[[#This Row],[BW_GA]])-1)/(Backend!$B$4/100*Table1[[#This Row],[BW40_3705]]),"")</f>
        <v/>
      </c>
      <c r="H8412" s="7" t="str">
        <f>IF(Table1[[#This Row],[Is Data Valid]]=TRUE,((Table1[[#This Row],[Birthweight (grams)]]*0.9/Table1[[#This Row],[BW_GA]])-1)/(Backend!$B$4/100*Table1[[#This Row],[BW40_3705]]),"")</f>
        <v/>
      </c>
      <c r="I8412" s="7" t="str">
        <f>IF(Table1[[#This Row],[Is Data Valid]]=TRUE,((Table1[[#This Row],[Birthweight (grams)]]*1.1/Table1[[#This Row],[BW_GA]])-1)/(Backend!$B$4/100*Table1[[#This Row],[BW40_3705]]),"")</f>
        <v/>
      </c>
      <c r="J8412" s="7" t="str">
        <f>IF(Table1[[#This Row],[Is Data Valid]]=TRUE,_xlfn.NORM.S.DIST(Table1[[#This Row],[Birthweight Z-Score]],TRUE)*100,"")</f>
        <v/>
      </c>
      <c r="K8412" s="7" t="str">
        <f>IF(Table1[[#This Row],[Is Data Valid]]=TRUE,_xlfn.NORM.S.DIST(Table1[[#This Row],[Birthweight Z-Score (BW-10%)]],TRUE)*100,"")</f>
        <v/>
      </c>
      <c r="L8412" s="7" t="str">
        <f>IF(Table1[[#This Row],[Is Data Valid]]=TRUE,_xlfn.NORM.S.DIST(Table1[[#This Row],[Birthweight Z-Score (BW+10%)]],TRUE)*100,"")</f>
        <v/>
      </c>
    </row>
    <row r="8413" spans="1:12" x14ac:dyDescent="0.35">
      <c r="A8413" s="3"/>
      <c r="B8413" s="2"/>
      <c r="C8413" s="2"/>
      <c r="D8413" s="2" t="b">
        <f>IF(AND(NOT(ISBLANK(Table1[[#This Row],[Fetal Sex (Male, Female or Unknown)]])),ISNUMBER(Table1[[#This Row],[Birthweight (grams)]]),ISNUMBER(Table1[[#This Row],[Gestation (days)]])),TRUE,FALSE)</f>
        <v>0</v>
      </c>
      <c r="E8413" s="2" t="str">
        <f>IF(Table1[[#This Row],[Is Data Valid]]=TRUE,IF(Table1[[#This Row],[Fetal Sex (Male, Female or Unknown)]]="Male",Backend!$C$6,IF(Table1[[#This Row],[Fetal Sex (Male, Female or Unknown)]]="Female",Backend!$C$7,IF(Table1[[#This Row],[Fetal Sex (Male, Female or Unknown)]]="Unknown",Backend!$C$8,"Error"))),"")</f>
        <v/>
      </c>
      <c r="F8413" s="8" t="str">
        <f>IF(Table1[[#This Row],[Is Data Valid]]=TRUE,EXP(0.578+0.332*((Table1[[#This Row],[Gestation (days)]]+0.5)/7)-0.00354*((Table1[[#This Row],[Gestation (days)]]+0.5)/7)^2)*Table1[[#This Row],[BW40_3705]],"")</f>
        <v/>
      </c>
      <c r="G8413" s="2" t="str">
        <f>IF(Table1[[#This Row],[Is Data Valid]]=TRUE,((Table1[[#This Row],[Birthweight (grams)]]/Table1[[#This Row],[BW_GA]])-1)/(Backend!$B$4/100*Table1[[#This Row],[BW40_3705]]),"")</f>
        <v/>
      </c>
      <c r="H8413" s="7" t="str">
        <f>IF(Table1[[#This Row],[Is Data Valid]]=TRUE,((Table1[[#This Row],[Birthweight (grams)]]*0.9/Table1[[#This Row],[BW_GA]])-1)/(Backend!$B$4/100*Table1[[#This Row],[BW40_3705]]),"")</f>
        <v/>
      </c>
      <c r="I8413" s="7" t="str">
        <f>IF(Table1[[#This Row],[Is Data Valid]]=TRUE,((Table1[[#This Row],[Birthweight (grams)]]*1.1/Table1[[#This Row],[BW_GA]])-1)/(Backend!$B$4/100*Table1[[#This Row],[BW40_3705]]),"")</f>
        <v/>
      </c>
      <c r="J8413" s="7" t="str">
        <f>IF(Table1[[#This Row],[Is Data Valid]]=TRUE,_xlfn.NORM.S.DIST(Table1[[#This Row],[Birthweight Z-Score]],TRUE)*100,"")</f>
        <v/>
      </c>
      <c r="K8413" s="7" t="str">
        <f>IF(Table1[[#This Row],[Is Data Valid]]=TRUE,_xlfn.NORM.S.DIST(Table1[[#This Row],[Birthweight Z-Score (BW-10%)]],TRUE)*100,"")</f>
        <v/>
      </c>
      <c r="L8413" s="7" t="str">
        <f>IF(Table1[[#This Row],[Is Data Valid]]=TRUE,_xlfn.NORM.S.DIST(Table1[[#This Row],[Birthweight Z-Score (BW+10%)]],TRUE)*100,"")</f>
        <v/>
      </c>
    </row>
    <row r="8414" spans="1:12" x14ac:dyDescent="0.35">
      <c r="A8414" s="3"/>
      <c r="B8414" s="2"/>
      <c r="C8414" s="2"/>
      <c r="D8414" s="2" t="b">
        <f>IF(AND(NOT(ISBLANK(Table1[[#This Row],[Fetal Sex (Male, Female or Unknown)]])),ISNUMBER(Table1[[#This Row],[Birthweight (grams)]]),ISNUMBER(Table1[[#This Row],[Gestation (days)]])),TRUE,FALSE)</f>
        <v>0</v>
      </c>
      <c r="E8414" s="2" t="str">
        <f>IF(Table1[[#This Row],[Is Data Valid]]=TRUE,IF(Table1[[#This Row],[Fetal Sex (Male, Female or Unknown)]]="Male",Backend!$C$6,IF(Table1[[#This Row],[Fetal Sex (Male, Female or Unknown)]]="Female",Backend!$C$7,IF(Table1[[#This Row],[Fetal Sex (Male, Female or Unknown)]]="Unknown",Backend!$C$8,"Error"))),"")</f>
        <v/>
      </c>
      <c r="F8414" s="8" t="str">
        <f>IF(Table1[[#This Row],[Is Data Valid]]=TRUE,EXP(0.578+0.332*((Table1[[#This Row],[Gestation (days)]]+0.5)/7)-0.00354*((Table1[[#This Row],[Gestation (days)]]+0.5)/7)^2)*Table1[[#This Row],[BW40_3705]],"")</f>
        <v/>
      </c>
      <c r="G8414" s="2" t="str">
        <f>IF(Table1[[#This Row],[Is Data Valid]]=TRUE,((Table1[[#This Row],[Birthweight (grams)]]/Table1[[#This Row],[BW_GA]])-1)/(Backend!$B$4/100*Table1[[#This Row],[BW40_3705]]),"")</f>
        <v/>
      </c>
      <c r="H8414" s="7" t="str">
        <f>IF(Table1[[#This Row],[Is Data Valid]]=TRUE,((Table1[[#This Row],[Birthweight (grams)]]*0.9/Table1[[#This Row],[BW_GA]])-1)/(Backend!$B$4/100*Table1[[#This Row],[BW40_3705]]),"")</f>
        <v/>
      </c>
      <c r="I8414" s="7" t="str">
        <f>IF(Table1[[#This Row],[Is Data Valid]]=TRUE,((Table1[[#This Row],[Birthweight (grams)]]*1.1/Table1[[#This Row],[BW_GA]])-1)/(Backend!$B$4/100*Table1[[#This Row],[BW40_3705]]),"")</f>
        <v/>
      </c>
      <c r="J8414" s="7" t="str">
        <f>IF(Table1[[#This Row],[Is Data Valid]]=TRUE,_xlfn.NORM.S.DIST(Table1[[#This Row],[Birthweight Z-Score]],TRUE)*100,"")</f>
        <v/>
      </c>
      <c r="K8414" s="7" t="str">
        <f>IF(Table1[[#This Row],[Is Data Valid]]=TRUE,_xlfn.NORM.S.DIST(Table1[[#This Row],[Birthweight Z-Score (BW-10%)]],TRUE)*100,"")</f>
        <v/>
      </c>
      <c r="L8414" s="7" t="str">
        <f>IF(Table1[[#This Row],[Is Data Valid]]=TRUE,_xlfn.NORM.S.DIST(Table1[[#This Row],[Birthweight Z-Score (BW+10%)]],TRUE)*100,"")</f>
        <v/>
      </c>
    </row>
    <row r="8415" spans="1:12" x14ac:dyDescent="0.35">
      <c r="A8415" s="3"/>
      <c r="B8415" s="2"/>
      <c r="C8415" s="2"/>
      <c r="D8415" s="2" t="b">
        <f>IF(AND(NOT(ISBLANK(Table1[[#This Row],[Fetal Sex (Male, Female or Unknown)]])),ISNUMBER(Table1[[#This Row],[Birthweight (grams)]]),ISNUMBER(Table1[[#This Row],[Gestation (days)]])),TRUE,FALSE)</f>
        <v>0</v>
      </c>
      <c r="E8415" s="2" t="str">
        <f>IF(Table1[[#This Row],[Is Data Valid]]=TRUE,IF(Table1[[#This Row],[Fetal Sex (Male, Female or Unknown)]]="Male",Backend!$C$6,IF(Table1[[#This Row],[Fetal Sex (Male, Female or Unknown)]]="Female",Backend!$C$7,IF(Table1[[#This Row],[Fetal Sex (Male, Female or Unknown)]]="Unknown",Backend!$C$8,"Error"))),"")</f>
        <v/>
      </c>
      <c r="F8415" s="8" t="str">
        <f>IF(Table1[[#This Row],[Is Data Valid]]=TRUE,EXP(0.578+0.332*((Table1[[#This Row],[Gestation (days)]]+0.5)/7)-0.00354*((Table1[[#This Row],[Gestation (days)]]+0.5)/7)^2)*Table1[[#This Row],[BW40_3705]],"")</f>
        <v/>
      </c>
      <c r="G8415" s="2" t="str">
        <f>IF(Table1[[#This Row],[Is Data Valid]]=TRUE,((Table1[[#This Row],[Birthweight (grams)]]/Table1[[#This Row],[BW_GA]])-1)/(Backend!$B$4/100*Table1[[#This Row],[BW40_3705]]),"")</f>
        <v/>
      </c>
      <c r="H8415" s="7" t="str">
        <f>IF(Table1[[#This Row],[Is Data Valid]]=TRUE,((Table1[[#This Row],[Birthweight (grams)]]*0.9/Table1[[#This Row],[BW_GA]])-1)/(Backend!$B$4/100*Table1[[#This Row],[BW40_3705]]),"")</f>
        <v/>
      </c>
      <c r="I8415" s="7" t="str">
        <f>IF(Table1[[#This Row],[Is Data Valid]]=TRUE,((Table1[[#This Row],[Birthweight (grams)]]*1.1/Table1[[#This Row],[BW_GA]])-1)/(Backend!$B$4/100*Table1[[#This Row],[BW40_3705]]),"")</f>
        <v/>
      </c>
      <c r="J8415" s="7" t="str">
        <f>IF(Table1[[#This Row],[Is Data Valid]]=TRUE,_xlfn.NORM.S.DIST(Table1[[#This Row],[Birthweight Z-Score]],TRUE)*100,"")</f>
        <v/>
      </c>
      <c r="K8415" s="7" t="str">
        <f>IF(Table1[[#This Row],[Is Data Valid]]=TRUE,_xlfn.NORM.S.DIST(Table1[[#This Row],[Birthweight Z-Score (BW-10%)]],TRUE)*100,"")</f>
        <v/>
      </c>
      <c r="L8415" s="7" t="str">
        <f>IF(Table1[[#This Row],[Is Data Valid]]=TRUE,_xlfn.NORM.S.DIST(Table1[[#This Row],[Birthweight Z-Score (BW+10%)]],TRUE)*100,"")</f>
        <v/>
      </c>
    </row>
    <row r="8416" spans="1:12" x14ac:dyDescent="0.35">
      <c r="A8416" s="3"/>
      <c r="B8416" s="2"/>
      <c r="C8416" s="2"/>
      <c r="D8416" s="2" t="b">
        <f>IF(AND(NOT(ISBLANK(Table1[[#This Row],[Fetal Sex (Male, Female or Unknown)]])),ISNUMBER(Table1[[#This Row],[Birthweight (grams)]]),ISNUMBER(Table1[[#This Row],[Gestation (days)]])),TRUE,FALSE)</f>
        <v>0</v>
      </c>
      <c r="E8416" s="2" t="str">
        <f>IF(Table1[[#This Row],[Is Data Valid]]=TRUE,IF(Table1[[#This Row],[Fetal Sex (Male, Female or Unknown)]]="Male",Backend!$C$6,IF(Table1[[#This Row],[Fetal Sex (Male, Female or Unknown)]]="Female",Backend!$C$7,IF(Table1[[#This Row],[Fetal Sex (Male, Female or Unknown)]]="Unknown",Backend!$C$8,"Error"))),"")</f>
        <v/>
      </c>
      <c r="F8416" s="8" t="str">
        <f>IF(Table1[[#This Row],[Is Data Valid]]=TRUE,EXP(0.578+0.332*((Table1[[#This Row],[Gestation (days)]]+0.5)/7)-0.00354*((Table1[[#This Row],[Gestation (days)]]+0.5)/7)^2)*Table1[[#This Row],[BW40_3705]],"")</f>
        <v/>
      </c>
      <c r="G8416" s="2" t="str">
        <f>IF(Table1[[#This Row],[Is Data Valid]]=TRUE,((Table1[[#This Row],[Birthweight (grams)]]/Table1[[#This Row],[BW_GA]])-1)/(Backend!$B$4/100*Table1[[#This Row],[BW40_3705]]),"")</f>
        <v/>
      </c>
      <c r="H8416" s="7" t="str">
        <f>IF(Table1[[#This Row],[Is Data Valid]]=TRUE,((Table1[[#This Row],[Birthweight (grams)]]*0.9/Table1[[#This Row],[BW_GA]])-1)/(Backend!$B$4/100*Table1[[#This Row],[BW40_3705]]),"")</f>
        <v/>
      </c>
      <c r="I8416" s="7" t="str">
        <f>IF(Table1[[#This Row],[Is Data Valid]]=TRUE,((Table1[[#This Row],[Birthweight (grams)]]*1.1/Table1[[#This Row],[BW_GA]])-1)/(Backend!$B$4/100*Table1[[#This Row],[BW40_3705]]),"")</f>
        <v/>
      </c>
      <c r="J8416" s="7" t="str">
        <f>IF(Table1[[#This Row],[Is Data Valid]]=TRUE,_xlfn.NORM.S.DIST(Table1[[#This Row],[Birthweight Z-Score]],TRUE)*100,"")</f>
        <v/>
      </c>
      <c r="K8416" s="7" t="str">
        <f>IF(Table1[[#This Row],[Is Data Valid]]=TRUE,_xlfn.NORM.S.DIST(Table1[[#This Row],[Birthweight Z-Score (BW-10%)]],TRUE)*100,"")</f>
        <v/>
      </c>
      <c r="L8416" s="7" t="str">
        <f>IF(Table1[[#This Row],[Is Data Valid]]=TRUE,_xlfn.NORM.S.DIST(Table1[[#This Row],[Birthweight Z-Score (BW+10%)]],TRUE)*100,"")</f>
        <v/>
      </c>
    </row>
    <row r="8417" spans="1:12" x14ac:dyDescent="0.35">
      <c r="A8417" s="3"/>
      <c r="B8417" s="2"/>
      <c r="C8417" s="2"/>
      <c r="D8417" s="2" t="b">
        <f>IF(AND(NOT(ISBLANK(Table1[[#This Row],[Fetal Sex (Male, Female or Unknown)]])),ISNUMBER(Table1[[#This Row],[Birthweight (grams)]]),ISNUMBER(Table1[[#This Row],[Gestation (days)]])),TRUE,FALSE)</f>
        <v>0</v>
      </c>
      <c r="E8417" s="2" t="str">
        <f>IF(Table1[[#This Row],[Is Data Valid]]=TRUE,IF(Table1[[#This Row],[Fetal Sex (Male, Female or Unknown)]]="Male",Backend!$C$6,IF(Table1[[#This Row],[Fetal Sex (Male, Female or Unknown)]]="Female",Backend!$C$7,IF(Table1[[#This Row],[Fetal Sex (Male, Female or Unknown)]]="Unknown",Backend!$C$8,"Error"))),"")</f>
        <v/>
      </c>
      <c r="F8417" s="8" t="str">
        <f>IF(Table1[[#This Row],[Is Data Valid]]=TRUE,EXP(0.578+0.332*((Table1[[#This Row],[Gestation (days)]]+0.5)/7)-0.00354*((Table1[[#This Row],[Gestation (days)]]+0.5)/7)^2)*Table1[[#This Row],[BW40_3705]],"")</f>
        <v/>
      </c>
      <c r="G8417" s="2" t="str">
        <f>IF(Table1[[#This Row],[Is Data Valid]]=TRUE,((Table1[[#This Row],[Birthweight (grams)]]/Table1[[#This Row],[BW_GA]])-1)/(Backend!$B$4/100*Table1[[#This Row],[BW40_3705]]),"")</f>
        <v/>
      </c>
      <c r="H8417" s="7" t="str">
        <f>IF(Table1[[#This Row],[Is Data Valid]]=TRUE,((Table1[[#This Row],[Birthweight (grams)]]*0.9/Table1[[#This Row],[BW_GA]])-1)/(Backend!$B$4/100*Table1[[#This Row],[BW40_3705]]),"")</f>
        <v/>
      </c>
      <c r="I8417" s="7" t="str">
        <f>IF(Table1[[#This Row],[Is Data Valid]]=TRUE,((Table1[[#This Row],[Birthweight (grams)]]*1.1/Table1[[#This Row],[BW_GA]])-1)/(Backend!$B$4/100*Table1[[#This Row],[BW40_3705]]),"")</f>
        <v/>
      </c>
      <c r="J8417" s="7" t="str">
        <f>IF(Table1[[#This Row],[Is Data Valid]]=TRUE,_xlfn.NORM.S.DIST(Table1[[#This Row],[Birthweight Z-Score]],TRUE)*100,"")</f>
        <v/>
      </c>
      <c r="K8417" s="7" t="str">
        <f>IF(Table1[[#This Row],[Is Data Valid]]=TRUE,_xlfn.NORM.S.DIST(Table1[[#This Row],[Birthweight Z-Score (BW-10%)]],TRUE)*100,"")</f>
        <v/>
      </c>
      <c r="L8417" s="7" t="str">
        <f>IF(Table1[[#This Row],[Is Data Valid]]=TRUE,_xlfn.NORM.S.DIST(Table1[[#This Row],[Birthweight Z-Score (BW+10%)]],TRUE)*100,"")</f>
        <v/>
      </c>
    </row>
    <row r="8418" spans="1:12" x14ac:dyDescent="0.35">
      <c r="A8418" s="3"/>
      <c r="B8418" s="2"/>
      <c r="C8418" s="2"/>
      <c r="D8418" s="2" t="b">
        <f>IF(AND(NOT(ISBLANK(Table1[[#This Row],[Fetal Sex (Male, Female or Unknown)]])),ISNUMBER(Table1[[#This Row],[Birthweight (grams)]]),ISNUMBER(Table1[[#This Row],[Gestation (days)]])),TRUE,FALSE)</f>
        <v>0</v>
      </c>
      <c r="E8418" s="2" t="str">
        <f>IF(Table1[[#This Row],[Is Data Valid]]=TRUE,IF(Table1[[#This Row],[Fetal Sex (Male, Female or Unknown)]]="Male",Backend!$C$6,IF(Table1[[#This Row],[Fetal Sex (Male, Female or Unknown)]]="Female",Backend!$C$7,IF(Table1[[#This Row],[Fetal Sex (Male, Female or Unknown)]]="Unknown",Backend!$C$8,"Error"))),"")</f>
        <v/>
      </c>
      <c r="F8418" s="8" t="str">
        <f>IF(Table1[[#This Row],[Is Data Valid]]=TRUE,EXP(0.578+0.332*((Table1[[#This Row],[Gestation (days)]]+0.5)/7)-0.00354*((Table1[[#This Row],[Gestation (days)]]+0.5)/7)^2)*Table1[[#This Row],[BW40_3705]],"")</f>
        <v/>
      </c>
      <c r="G8418" s="2" t="str">
        <f>IF(Table1[[#This Row],[Is Data Valid]]=TRUE,((Table1[[#This Row],[Birthweight (grams)]]/Table1[[#This Row],[BW_GA]])-1)/(Backend!$B$4/100*Table1[[#This Row],[BW40_3705]]),"")</f>
        <v/>
      </c>
      <c r="H8418" s="7" t="str">
        <f>IF(Table1[[#This Row],[Is Data Valid]]=TRUE,((Table1[[#This Row],[Birthweight (grams)]]*0.9/Table1[[#This Row],[BW_GA]])-1)/(Backend!$B$4/100*Table1[[#This Row],[BW40_3705]]),"")</f>
        <v/>
      </c>
      <c r="I8418" s="7" t="str">
        <f>IF(Table1[[#This Row],[Is Data Valid]]=TRUE,((Table1[[#This Row],[Birthweight (grams)]]*1.1/Table1[[#This Row],[BW_GA]])-1)/(Backend!$B$4/100*Table1[[#This Row],[BW40_3705]]),"")</f>
        <v/>
      </c>
      <c r="J8418" s="7" t="str">
        <f>IF(Table1[[#This Row],[Is Data Valid]]=TRUE,_xlfn.NORM.S.DIST(Table1[[#This Row],[Birthweight Z-Score]],TRUE)*100,"")</f>
        <v/>
      </c>
      <c r="K8418" s="7" t="str">
        <f>IF(Table1[[#This Row],[Is Data Valid]]=TRUE,_xlfn.NORM.S.DIST(Table1[[#This Row],[Birthweight Z-Score (BW-10%)]],TRUE)*100,"")</f>
        <v/>
      </c>
      <c r="L8418" s="7" t="str">
        <f>IF(Table1[[#This Row],[Is Data Valid]]=TRUE,_xlfn.NORM.S.DIST(Table1[[#This Row],[Birthweight Z-Score (BW+10%)]],TRUE)*100,"")</f>
        <v/>
      </c>
    </row>
    <row r="8419" spans="1:12" x14ac:dyDescent="0.35">
      <c r="A8419" s="3"/>
      <c r="B8419" s="2"/>
      <c r="C8419" s="2"/>
      <c r="D8419" s="2" t="b">
        <f>IF(AND(NOT(ISBLANK(Table1[[#This Row],[Fetal Sex (Male, Female or Unknown)]])),ISNUMBER(Table1[[#This Row],[Birthweight (grams)]]),ISNUMBER(Table1[[#This Row],[Gestation (days)]])),TRUE,FALSE)</f>
        <v>0</v>
      </c>
      <c r="E8419" s="2" t="str">
        <f>IF(Table1[[#This Row],[Is Data Valid]]=TRUE,IF(Table1[[#This Row],[Fetal Sex (Male, Female or Unknown)]]="Male",Backend!$C$6,IF(Table1[[#This Row],[Fetal Sex (Male, Female or Unknown)]]="Female",Backend!$C$7,IF(Table1[[#This Row],[Fetal Sex (Male, Female or Unknown)]]="Unknown",Backend!$C$8,"Error"))),"")</f>
        <v/>
      </c>
      <c r="F8419" s="8" t="str">
        <f>IF(Table1[[#This Row],[Is Data Valid]]=TRUE,EXP(0.578+0.332*((Table1[[#This Row],[Gestation (days)]]+0.5)/7)-0.00354*((Table1[[#This Row],[Gestation (days)]]+0.5)/7)^2)*Table1[[#This Row],[BW40_3705]],"")</f>
        <v/>
      </c>
      <c r="G8419" s="2" t="str">
        <f>IF(Table1[[#This Row],[Is Data Valid]]=TRUE,((Table1[[#This Row],[Birthweight (grams)]]/Table1[[#This Row],[BW_GA]])-1)/(Backend!$B$4/100*Table1[[#This Row],[BW40_3705]]),"")</f>
        <v/>
      </c>
      <c r="H8419" s="7" t="str">
        <f>IF(Table1[[#This Row],[Is Data Valid]]=TRUE,((Table1[[#This Row],[Birthweight (grams)]]*0.9/Table1[[#This Row],[BW_GA]])-1)/(Backend!$B$4/100*Table1[[#This Row],[BW40_3705]]),"")</f>
        <v/>
      </c>
      <c r="I8419" s="7" t="str">
        <f>IF(Table1[[#This Row],[Is Data Valid]]=TRUE,((Table1[[#This Row],[Birthweight (grams)]]*1.1/Table1[[#This Row],[BW_GA]])-1)/(Backend!$B$4/100*Table1[[#This Row],[BW40_3705]]),"")</f>
        <v/>
      </c>
      <c r="J8419" s="7" t="str">
        <f>IF(Table1[[#This Row],[Is Data Valid]]=TRUE,_xlfn.NORM.S.DIST(Table1[[#This Row],[Birthweight Z-Score]],TRUE)*100,"")</f>
        <v/>
      </c>
      <c r="K8419" s="7" t="str">
        <f>IF(Table1[[#This Row],[Is Data Valid]]=TRUE,_xlfn.NORM.S.DIST(Table1[[#This Row],[Birthweight Z-Score (BW-10%)]],TRUE)*100,"")</f>
        <v/>
      </c>
      <c r="L8419" s="7" t="str">
        <f>IF(Table1[[#This Row],[Is Data Valid]]=TRUE,_xlfn.NORM.S.DIST(Table1[[#This Row],[Birthweight Z-Score (BW+10%)]],TRUE)*100,"")</f>
        <v/>
      </c>
    </row>
    <row r="8420" spans="1:12" x14ac:dyDescent="0.35">
      <c r="A8420" s="3"/>
      <c r="B8420" s="2"/>
      <c r="C8420" s="2"/>
      <c r="D8420" s="2" t="b">
        <f>IF(AND(NOT(ISBLANK(Table1[[#This Row],[Fetal Sex (Male, Female or Unknown)]])),ISNUMBER(Table1[[#This Row],[Birthweight (grams)]]),ISNUMBER(Table1[[#This Row],[Gestation (days)]])),TRUE,FALSE)</f>
        <v>0</v>
      </c>
      <c r="E8420" s="2" t="str">
        <f>IF(Table1[[#This Row],[Is Data Valid]]=TRUE,IF(Table1[[#This Row],[Fetal Sex (Male, Female or Unknown)]]="Male",Backend!$C$6,IF(Table1[[#This Row],[Fetal Sex (Male, Female or Unknown)]]="Female",Backend!$C$7,IF(Table1[[#This Row],[Fetal Sex (Male, Female or Unknown)]]="Unknown",Backend!$C$8,"Error"))),"")</f>
        <v/>
      </c>
      <c r="F8420" s="8" t="str">
        <f>IF(Table1[[#This Row],[Is Data Valid]]=TRUE,EXP(0.578+0.332*((Table1[[#This Row],[Gestation (days)]]+0.5)/7)-0.00354*((Table1[[#This Row],[Gestation (days)]]+0.5)/7)^2)*Table1[[#This Row],[BW40_3705]],"")</f>
        <v/>
      </c>
      <c r="G8420" s="2" t="str">
        <f>IF(Table1[[#This Row],[Is Data Valid]]=TRUE,((Table1[[#This Row],[Birthweight (grams)]]/Table1[[#This Row],[BW_GA]])-1)/(Backend!$B$4/100*Table1[[#This Row],[BW40_3705]]),"")</f>
        <v/>
      </c>
      <c r="H8420" s="7" t="str">
        <f>IF(Table1[[#This Row],[Is Data Valid]]=TRUE,((Table1[[#This Row],[Birthweight (grams)]]*0.9/Table1[[#This Row],[BW_GA]])-1)/(Backend!$B$4/100*Table1[[#This Row],[BW40_3705]]),"")</f>
        <v/>
      </c>
      <c r="I8420" s="7" t="str">
        <f>IF(Table1[[#This Row],[Is Data Valid]]=TRUE,((Table1[[#This Row],[Birthweight (grams)]]*1.1/Table1[[#This Row],[BW_GA]])-1)/(Backend!$B$4/100*Table1[[#This Row],[BW40_3705]]),"")</f>
        <v/>
      </c>
      <c r="J8420" s="7" t="str">
        <f>IF(Table1[[#This Row],[Is Data Valid]]=TRUE,_xlfn.NORM.S.DIST(Table1[[#This Row],[Birthweight Z-Score]],TRUE)*100,"")</f>
        <v/>
      </c>
      <c r="K8420" s="7" t="str">
        <f>IF(Table1[[#This Row],[Is Data Valid]]=TRUE,_xlfn.NORM.S.DIST(Table1[[#This Row],[Birthweight Z-Score (BW-10%)]],TRUE)*100,"")</f>
        <v/>
      </c>
      <c r="L8420" s="7" t="str">
        <f>IF(Table1[[#This Row],[Is Data Valid]]=TRUE,_xlfn.NORM.S.DIST(Table1[[#This Row],[Birthweight Z-Score (BW+10%)]],TRUE)*100,"")</f>
        <v/>
      </c>
    </row>
    <row r="8421" spans="1:12" x14ac:dyDescent="0.35">
      <c r="A8421" s="3"/>
      <c r="B8421" s="2"/>
      <c r="C8421" s="2"/>
      <c r="D8421" s="2" t="b">
        <f>IF(AND(NOT(ISBLANK(Table1[[#This Row],[Fetal Sex (Male, Female or Unknown)]])),ISNUMBER(Table1[[#This Row],[Birthweight (grams)]]),ISNUMBER(Table1[[#This Row],[Gestation (days)]])),TRUE,FALSE)</f>
        <v>0</v>
      </c>
      <c r="E8421" s="2" t="str">
        <f>IF(Table1[[#This Row],[Is Data Valid]]=TRUE,IF(Table1[[#This Row],[Fetal Sex (Male, Female or Unknown)]]="Male",Backend!$C$6,IF(Table1[[#This Row],[Fetal Sex (Male, Female or Unknown)]]="Female",Backend!$C$7,IF(Table1[[#This Row],[Fetal Sex (Male, Female or Unknown)]]="Unknown",Backend!$C$8,"Error"))),"")</f>
        <v/>
      </c>
      <c r="F8421" s="8" t="str">
        <f>IF(Table1[[#This Row],[Is Data Valid]]=TRUE,EXP(0.578+0.332*((Table1[[#This Row],[Gestation (days)]]+0.5)/7)-0.00354*((Table1[[#This Row],[Gestation (days)]]+0.5)/7)^2)*Table1[[#This Row],[BW40_3705]],"")</f>
        <v/>
      </c>
      <c r="G8421" s="2" t="str">
        <f>IF(Table1[[#This Row],[Is Data Valid]]=TRUE,((Table1[[#This Row],[Birthweight (grams)]]/Table1[[#This Row],[BW_GA]])-1)/(Backend!$B$4/100*Table1[[#This Row],[BW40_3705]]),"")</f>
        <v/>
      </c>
      <c r="H8421" s="7" t="str">
        <f>IF(Table1[[#This Row],[Is Data Valid]]=TRUE,((Table1[[#This Row],[Birthweight (grams)]]*0.9/Table1[[#This Row],[BW_GA]])-1)/(Backend!$B$4/100*Table1[[#This Row],[BW40_3705]]),"")</f>
        <v/>
      </c>
      <c r="I8421" s="7" t="str">
        <f>IF(Table1[[#This Row],[Is Data Valid]]=TRUE,((Table1[[#This Row],[Birthweight (grams)]]*1.1/Table1[[#This Row],[BW_GA]])-1)/(Backend!$B$4/100*Table1[[#This Row],[BW40_3705]]),"")</f>
        <v/>
      </c>
      <c r="J8421" s="7" t="str">
        <f>IF(Table1[[#This Row],[Is Data Valid]]=TRUE,_xlfn.NORM.S.DIST(Table1[[#This Row],[Birthweight Z-Score]],TRUE)*100,"")</f>
        <v/>
      </c>
      <c r="K8421" s="7" t="str">
        <f>IF(Table1[[#This Row],[Is Data Valid]]=TRUE,_xlfn.NORM.S.DIST(Table1[[#This Row],[Birthweight Z-Score (BW-10%)]],TRUE)*100,"")</f>
        <v/>
      </c>
      <c r="L8421" s="7" t="str">
        <f>IF(Table1[[#This Row],[Is Data Valid]]=TRUE,_xlfn.NORM.S.DIST(Table1[[#This Row],[Birthweight Z-Score (BW+10%)]],TRUE)*100,"")</f>
        <v/>
      </c>
    </row>
    <row r="8422" spans="1:12" x14ac:dyDescent="0.35">
      <c r="A8422" s="3"/>
      <c r="B8422" s="2"/>
      <c r="C8422" s="2"/>
      <c r="D8422" s="2" t="b">
        <f>IF(AND(NOT(ISBLANK(Table1[[#This Row],[Fetal Sex (Male, Female or Unknown)]])),ISNUMBER(Table1[[#This Row],[Birthweight (grams)]]),ISNUMBER(Table1[[#This Row],[Gestation (days)]])),TRUE,FALSE)</f>
        <v>0</v>
      </c>
      <c r="E8422" s="2" t="str">
        <f>IF(Table1[[#This Row],[Is Data Valid]]=TRUE,IF(Table1[[#This Row],[Fetal Sex (Male, Female or Unknown)]]="Male",Backend!$C$6,IF(Table1[[#This Row],[Fetal Sex (Male, Female or Unknown)]]="Female",Backend!$C$7,IF(Table1[[#This Row],[Fetal Sex (Male, Female or Unknown)]]="Unknown",Backend!$C$8,"Error"))),"")</f>
        <v/>
      </c>
      <c r="F8422" s="8" t="str">
        <f>IF(Table1[[#This Row],[Is Data Valid]]=TRUE,EXP(0.578+0.332*((Table1[[#This Row],[Gestation (days)]]+0.5)/7)-0.00354*((Table1[[#This Row],[Gestation (days)]]+0.5)/7)^2)*Table1[[#This Row],[BW40_3705]],"")</f>
        <v/>
      </c>
      <c r="G8422" s="2" t="str">
        <f>IF(Table1[[#This Row],[Is Data Valid]]=TRUE,((Table1[[#This Row],[Birthweight (grams)]]/Table1[[#This Row],[BW_GA]])-1)/(Backend!$B$4/100*Table1[[#This Row],[BW40_3705]]),"")</f>
        <v/>
      </c>
      <c r="H8422" s="7" t="str">
        <f>IF(Table1[[#This Row],[Is Data Valid]]=TRUE,((Table1[[#This Row],[Birthweight (grams)]]*0.9/Table1[[#This Row],[BW_GA]])-1)/(Backend!$B$4/100*Table1[[#This Row],[BW40_3705]]),"")</f>
        <v/>
      </c>
      <c r="I8422" s="7" t="str">
        <f>IF(Table1[[#This Row],[Is Data Valid]]=TRUE,((Table1[[#This Row],[Birthweight (grams)]]*1.1/Table1[[#This Row],[BW_GA]])-1)/(Backend!$B$4/100*Table1[[#This Row],[BW40_3705]]),"")</f>
        <v/>
      </c>
      <c r="J8422" s="7" t="str">
        <f>IF(Table1[[#This Row],[Is Data Valid]]=TRUE,_xlfn.NORM.S.DIST(Table1[[#This Row],[Birthweight Z-Score]],TRUE)*100,"")</f>
        <v/>
      </c>
      <c r="K8422" s="7" t="str">
        <f>IF(Table1[[#This Row],[Is Data Valid]]=TRUE,_xlfn.NORM.S.DIST(Table1[[#This Row],[Birthweight Z-Score (BW-10%)]],TRUE)*100,"")</f>
        <v/>
      </c>
      <c r="L8422" s="7" t="str">
        <f>IF(Table1[[#This Row],[Is Data Valid]]=TRUE,_xlfn.NORM.S.DIST(Table1[[#This Row],[Birthweight Z-Score (BW+10%)]],TRUE)*100,"")</f>
        <v/>
      </c>
    </row>
    <row r="8423" spans="1:12" x14ac:dyDescent="0.35">
      <c r="A8423" s="3"/>
      <c r="B8423" s="2"/>
      <c r="C8423" s="2"/>
      <c r="D8423" s="2" t="b">
        <f>IF(AND(NOT(ISBLANK(Table1[[#This Row],[Fetal Sex (Male, Female or Unknown)]])),ISNUMBER(Table1[[#This Row],[Birthweight (grams)]]),ISNUMBER(Table1[[#This Row],[Gestation (days)]])),TRUE,FALSE)</f>
        <v>0</v>
      </c>
      <c r="E8423" s="2" t="str">
        <f>IF(Table1[[#This Row],[Is Data Valid]]=TRUE,IF(Table1[[#This Row],[Fetal Sex (Male, Female or Unknown)]]="Male",Backend!$C$6,IF(Table1[[#This Row],[Fetal Sex (Male, Female or Unknown)]]="Female",Backend!$C$7,IF(Table1[[#This Row],[Fetal Sex (Male, Female or Unknown)]]="Unknown",Backend!$C$8,"Error"))),"")</f>
        <v/>
      </c>
      <c r="F8423" s="8" t="str">
        <f>IF(Table1[[#This Row],[Is Data Valid]]=TRUE,EXP(0.578+0.332*((Table1[[#This Row],[Gestation (days)]]+0.5)/7)-0.00354*((Table1[[#This Row],[Gestation (days)]]+0.5)/7)^2)*Table1[[#This Row],[BW40_3705]],"")</f>
        <v/>
      </c>
      <c r="G8423" s="2" t="str">
        <f>IF(Table1[[#This Row],[Is Data Valid]]=TRUE,((Table1[[#This Row],[Birthweight (grams)]]/Table1[[#This Row],[BW_GA]])-1)/(Backend!$B$4/100*Table1[[#This Row],[BW40_3705]]),"")</f>
        <v/>
      </c>
      <c r="H8423" s="7" t="str">
        <f>IF(Table1[[#This Row],[Is Data Valid]]=TRUE,((Table1[[#This Row],[Birthweight (grams)]]*0.9/Table1[[#This Row],[BW_GA]])-1)/(Backend!$B$4/100*Table1[[#This Row],[BW40_3705]]),"")</f>
        <v/>
      </c>
      <c r="I8423" s="7" t="str">
        <f>IF(Table1[[#This Row],[Is Data Valid]]=TRUE,((Table1[[#This Row],[Birthweight (grams)]]*1.1/Table1[[#This Row],[BW_GA]])-1)/(Backend!$B$4/100*Table1[[#This Row],[BW40_3705]]),"")</f>
        <v/>
      </c>
      <c r="J8423" s="7" t="str">
        <f>IF(Table1[[#This Row],[Is Data Valid]]=TRUE,_xlfn.NORM.S.DIST(Table1[[#This Row],[Birthweight Z-Score]],TRUE)*100,"")</f>
        <v/>
      </c>
      <c r="K8423" s="7" t="str">
        <f>IF(Table1[[#This Row],[Is Data Valid]]=TRUE,_xlfn.NORM.S.DIST(Table1[[#This Row],[Birthweight Z-Score (BW-10%)]],TRUE)*100,"")</f>
        <v/>
      </c>
      <c r="L8423" s="7" t="str">
        <f>IF(Table1[[#This Row],[Is Data Valid]]=TRUE,_xlfn.NORM.S.DIST(Table1[[#This Row],[Birthweight Z-Score (BW+10%)]],TRUE)*100,"")</f>
        <v/>
      </c>
    </row>
    <row r="8424" spans="1:12" x14ac:dyDescent="0.35">
      <c r="A8424" s="3"/>
      <c r="B8424" s="2"/>
      <c r="C8424" s="2"/>
      <c r="D8424" s="2" t="b">
        <f>IF(AND(NOT(ISBLANK(Table1[[#This Row],[Fetal Sex (Male, Female or Unknown)]])),ISNUMBER(Table1[[#This Row],[Birthweight (grams)]]),ISNUMBER(Table1[[#This Row],[Gestation (days)]])),TRUE,FALSE)</f>
        <v>0</v>
      </c>
      <c r="E8424" s="2" t="str">
        <f>IF(Table1[[#This Row],[Is Data Valid]]=TRUE,IF(Table1[[#This Row],[Fetal Sex (Male, Female or Unknown)]]="Male",Backend!$C$6,IF(Table1[[#This Row],[Fetal Sex (Male, Female or Unknown)]]="Female",Backend!$C$7,IF(Table1[[#This Row],[Fetal Sex (Male, Female or Unknown)]]="Unknown",Backend!$C$8,"Error"))),"")</f>
        <v/>
      </c>
      <c r="F8424" s="8" t="str">
        <f>IF(Table1[[#This Row],[Is Data Valid]]=TRUE,EXP(0.578+0.332*((Table1[[#This Row],[Gestation (days)]]+0.5)/7)-0.00354*((Table1[[#This Row],[Gestation (days)]]+0.5)/7)^2)*Table1[[#This Row],[BW40_3705]],"")</f>
        <v/>
      </c>
      <c r="G8424" s="2" t="str">
        <f>IF(Table1[[#This Row],[Is Data Valid]]=TRUE,((Table1[[#This Row],[Birthweight (grams)]]/Table1[[#This Row],[BW_GA]])-1)/(Backend!$B$4/100*Table1[[#This Row],[BW40_3705]]),"")</f>
        <v/>
      </c>
      <c r="H8424" s="7" t="str">
        <f>IF(Table1[[#This Row],[Is Data Valid]]=TRUE,((Table1[[#This Row],[Birthweight (grams)]]*0.9/Table1[[#This Row],[BW_GA]])-1)/(Backend!$B$4/100*Table1[[#This Row],[BW40_3705]]),"")</f>
        <v/>
      </c>
      <c r="I8424" s="7" t="str">
        <f>IF(Table1[[#This Row],[Is Data Valid]]=TRUE,((Table1[[#This Row],[Birthweight (grams)]]*1.1/Table1[[#This Row],[BW_GA]])-1)/(Backend!$B$4/100*Table1[[#This Row],[BW40_3705]]),"")</f>
        <v/>
      </c>
      <c r="J8424" s="7" t="str">
        <f>IF(Table1[[#This Row],[Is Data Valid]]=TRUE,_xlfn.NORM.S.DIST(Table1[[#This Row],[Birthweight Z-Score]],TRUE)*100,"")</f>
        <v/>
      </c>
      <c r="K8424" s="7" t="str">
        <f>IF(Table1[[#This Row],[Is Data Valid]]=TRUE,_xlfn.NORM.S.DIST(Table1[[#This Row],[Birthweight Z-Score (BW-10%)]],TRUE)*100,"")</f>
        <v/>
      </c>
      <c r="L8424" s="7" t="str">
        <f>IF(Table1[[#This Row],[Is Data Valid]]=TRUE,_xlfn.NORM.S.DIST(Table1[[#This Row],[Birthweight Z-Score (BW+10%)]],TRUE)*100,"")</f>
        <v/>
      </c>
    </row>
    <row r="8425" spans="1:12" x14ac:dyDescent="0.35">
      <c r="A8425" s="3"/>
      <c r="B8425" s="2"/>
      <c r="C8425" s="2"/>
      <c r="D8425" s="2" t="b">
        <f>IF(AND(NOT(ISBLANK(Table1[[#This Row],[Fetal Sex (Male, Female or Unknown)]])),ISNUMBER(Table1[[#This Row],[Birthweight (grams)]]),ISNUMBER(Table1[[#This Row],[Gestation (days)]])),TRUE,FALSE)</f>
        <v>0</v>
      </c>
      <c r="E8425" s="2" t="str">
        <f>IF(Table1[[#This Row],[Is Data Valid]]=TRUE,IF(Table1[[#This Row],[Fetal Sex (Male, Female or Unknown)]]="Male",Backend!$C$6,IF(Table1[[#This Row],[Fetal Sex (Male, Female or Unknown)]]="Female",Backend!$C$7,IF(Table1[[#This Row],[Fetal Sex (Male, Female or Unknown)]]="Unknown",Backend!$C$8,"Error"))),"")</f>
        <v/>
      </c>
      <c r="F8425" s="8" t="str">
        <f>IF(Table1[[#This Row],[Is Data Valid]]=TRUE,EXP(0.578+0.332*((Table1[[#This Row],[Gestation (days)]]+0.5)/7)-0.00354*((Table1[[#This Row],[Gestation (days)]]+0.5)/7)^2)*Table1[[#This Row],[BW40_3705]],"")</f>
        <v/>
      </c>
      <c r="G8425" s="2" t="str">
        <f>IF(Table1[[#This Row],[Is Data Valid]]=TRUE,((Table1[[#This Row],[Birthweight (grams)]]/Table1[[#This Row],[BW_GA]])-1)/(Backend!$B$4/100*Table1[[#This Row],[BW40_3705]]),"")</f>
        <v/>
      </c>
      <c r="H8425" s="7" t="str">
        <f>IF(Table1[[#This Row],[Is Data Valid]]=TRUE,((Table1[[#This Row],[Birthweight (grams)]]*0.9/Table1[[#This Row],[BW_GA]])-1)/(Backend!$B$4/100*Table1[[#This Row],[BW40_3705]]),"")</f>
        <v/>
      </c>
      <c r="I8425" s="7" t="str">
        <f>IF(Table1[[#This Row],[Is Data Valid]]=TRUE,((Table1[[#This Row],[Birthweight (grams)]]*1.1/Table1[[#This Row],[BW_GA]])-1)/(Backend!$B$4/100*Table1[[#This Row],[BW40_3705]]),"")</f>
        <v/>
      </c>
      <c r="J8425" s="7" t="str">
        <f>IF(Table1[[#This Row],[Is Data Valid]]=TRUE,_xlfn.NORM.S.DIST(Table1[[#This Row],[Birthweight Z-Score]],TRUE)*100,"")</f>
        <v/>
      </c>
      <c r="K8425" s="7" t="str">
        <f>IF(Table1[[#This Row],[Is Data Valid]]=TRUE,_xlfn.NORM.S.DIST(Table1[[#This Row],[Birthweight Z-Score (BW-10%)]],TRUE)*100,"")</f>
        <v/>
      </c>
      <c r="L8425" s="7" t="str">
        <f>IF(Table1[[#This Row],[Is Data Valid]]=TRUE,_xlfn.NORM.S.DIST(Table1[[#This Row],[Birthweight Z-Score (BW+10%)]],TRUE)*100,"")</f>
        <v/>
      </c>
    </row>
    <row r="8426" spans="1:12" x14ac:dyDescent="0.35">
      <c r="A8426" s="3"/>
      <c r="B8426" s="2"/>
      <c r="C8426" s="2"/>
      <c r="D8426" s="2" t="b">
        <f>IF(AND(NOT(ISBLANK(Table1[[#This Row],[Fetal Sex (Male, Female or Unknown)]])),ISNUMBER(Table1[[#This Row],[Birthweight (grams)]]),ISNUMBER(Table1[[#This Row],[Gestation (days)]])),TRUE,FALSE)</f>
        <v>0</v>
      </c>
      <c r="E8426" s="2" t="str">
        <f>IF(Table1[[#This Row],[Is Data Valid]]=TRUE,IF(Table1[[#This Row],[Fetal Sex (Male, Female or Unknown)]]="Male",Backend!$C$6,IF(Table1[[#This Row],[Fetal Sex (Male, Female or Unknown)]]="Female",Backend!$C$7,IF(Table1[[#This Row],[Fetal Sex (Male, Female or Unknown)]]="Unknown",Backend!$C$8,"Error"))),"")</f>
        <v/>
      </c>
      <c r="F8426" s="8" t="str">
        <f>IF(Table1[[#This Row],[Is Data Valid]]=TRUE,EXP(0.578+0.332*((Table1[[#This Row],[Gestation (days)]]+0.5)/7)-0.00354*((Table1[[#This Row],[Gestation (days)]]+0.5)/7)^2)*Table1[[#This Row],[BW40_3705]],"")</f>
        <v/>
      </c>
      <c r="G8426" s="2" t="str">
        <f>IF(Table1[[#This Row],[Is Data Valid]]=TRUE,((Table1[[#This Row],[Birthweight (grams)]]/Table1[[#This Row],[BW_GA]])-1)/(Backend!$B$4/100*Table1[[#This Row],[BW40_3705]]),"")</f>
        <v/>
      </c>
      <c r="H8426" s="7" t="str">
        <f>IF(Table1[[#This Row],[Is Data Valid]]=TRUE,((Table1[[#This Row],[Birthweight (grams)]]*0.9/Table1[[#This Row],[BW_GA]])-1)/(Backend!$B$4/100*Table1[[#This Row],[BW40_3705]]),"")</f>
        <v/>
      </c>
      <c r="I8426" s="7" t="str">
        <f>IF(Table1[[#This Row],[Is Data Valid]]=TRUE,((Table1[[#This Row],[Birthweight (grams)]]*1.1/Table1[[#This Row],[BW_GA]])-1)/(Backend!$B$4/100*Table1[[#This Row],[BW40_3705]]),"")</f>
        <v/>
      </c>
      <c r="J8426" s="7" t="str">
        <f>IF(Table1[[#This Row],[Is Data Valid]]=TRUE,_xlfn.NORM.S.DIST(Table1[[#This Row],[Birthweight Z-Score]],TRUE)*100,"")</f>
        <v/>
      </c>
      <c r="K8426" s="7" t="str">
        <f>IF(Table1[[#This Row],[Is Data Valid]]=TRUE,_xlfn.NORM.S.DIST(Table1[[#This Row],[Birthweight Z-Score (BW-10%)]],TRUE)*100,"")</f>
        <v/>
      </c>
      <c r="L8426" s="7" t="str">
        <f>IF(Table1[[#This Row],[Is Data Valid]]=TRUE,_xlfn.NORM.S.DIST(Table1[[#This Row],[Birthweight Z-Score (BW+10%)]],TRUE)*100,"")</f>
        <v/>
      </c>
    </row>
    <row r="8427" spans="1:12" x14ac:dyDescent="0.35">
      <c r="A8427" s="3"/>
      <c r="B8427" s="2"/>
      <c r="C8427" s="2"/>
      <c r="D8427" s="2" t="b">
        <f>IF(AND(NOT(ISBLANK(Table1[[#This Row],[Fetal Sex (Male, Female or Unknown)]])),ISNUMBER(Table1[[#This Row],[Birthweight (grams)]]),ISNUMBER(Table1[[#This Row],[Gestation (days)]])),TRUE,FALSE)</f>
        <v>0</v>
      </c>
      <c r="E8427" s="2" t="str">
        <f>IF(Table1[[#This Row],[Is Data Valid]]=TRUE,IF(Table1[[#This Row],[Fetal Sex (Male, Female or Unknown)]]="Male",Backend!$C$6,IF(Table1[[#This Row],[Fetal Sex (Male, Female or Unknown)]]="Female",Backend!$C$7,IF(Table1[[#This Row],[Fetal Sex (Male, Female or Unknown)]]="Unknown",Backend!$C$8,"Error"))),"")</f>
        <v/>
      </c>
      <c r="F8427" s="8" t="str">
        <f>IF(Table1[[#This Row],[Is Data Valid]]=TRUE,EXP(0.578+0.332*((Table1[[#This Row],[Gestation (days)]]+0.5)/7)-0.00354*((Table1[[#This Row],[Gestation (days)]]+0.5)/7)^2)*Table1[[#This Row],[BW40_3705]],"")</f>
        <v/>
      </c>
      <c r="G8427" s="2" t="str">
        <f>IF(Table1[[#This Row],[Is Data Valid]]=TRUE,((Table1[[#This Row],[Birthweight (grams)]]/Table1[[#This Row],[BW_GA]])-1)/(Backend!$B$4/100*Table1[[#This Row],[BW40_3705]]),"")</f>
        <v/>
      </c>
      <c r="H8427" s="7" t="str">
        <f>IF(Table1[[#This Row],[Is Data Valid]]=TRUE,((Table1[[#This Row],[Birthweight (grams)]]*0.9/Table1[[#This Row],[BW_GA]])-1)/(Backend!$B$4/100*Table1[[#This Row],[BW40_3705]]),"")</f>
        <v/>
      </c>
      <c r="I8427" s="7" t="str">
        <f>IF(Table1[[#This Row],[Is Data Valid]]=TRUE,((Table1[[#This Row],[Birthweight (grams)]]*1.1/Table1[[#This Row],[BW_GA]])-1)/(Backend!$B$4/100*Table1[[#This Row],[BW40_3705]]),"")</f>
        <v/>
      </c>
      <c r="J8427" s="7" t="str">
        <f>IF(Table1[[#This Row],[Is Data Valid]]=TRUE,_xlfn.NORM.S.DIST(Table1[[#This Row],[Birthweight Z-Score]],TRUE)*100,"")</f>
        <v/>
      </c>
      <c r="K8427" s="7" t="str">
        <f>IF(Table1[[#This Row],[Is Data Valid]]=TRUE,_xlfn.NORM.S.DIST(Table1[[#This Row],[Birthweight Z-Score (BW-10%)]],TRUE)*100,"")</f>
        <v/>
      </c>
      <c r="L8427" s="7" t="str">
        <f>IF(Table1[[#This Row],[Is Data Valid]]=TRUE,_xlfn.NORM.S.DIST(Table1[[#This Row],[Birthweight Z-Score (BW+10%)]],TRUE)*100,"")</f>
        <v/>
      </c>
    </row>
    <row r="8428" spans="1:12" x14ac:dyDescent="0.35">
      <c r="A8428" s="3"/>
      <c r="B8428" s="2"/>
      <c r="C8428" s="2"/>
      <c r="D8428" s="2" t="b">
        <f>IF(AND(NOT(ISBLANK(Table1[[#This Row],[Fetal Sex (Male, Female or Unknown)]])),ISNUMBER(Table1[[#This Row],[Birthweight (grams)]]),ISNUMBER(Table1[[#This Row],[Gestation (days)]])),TRUE,FALSE)</f>
        <v>0</v>
      </c>
      <c r="E8428" s="2" t="str">
        <f>IF(Table1[[#This Row],[Is Data Valid]]=TRUE,IF(Table1[[#This Row],[Fetal Sex (Male, Female or Unknown)]]="Male",Backend!$C$6,IF(Table1[[#This Row],[Fetal Sex (Male, Female or Unknown)]]="Female",Backend!$C$7,IF(Table1[[#This Row],[Fetal Sex (Male, Female or Unknown)]]="Unknown",Backend!$C$8,"Error"))),"")</f>
        <v/>
      </c>
      <c r="F8428" s="8" t="str">
        <f>IF(Table1[[#This Row],[Is Data Valid]]=TRUE,EXP(0.578+0.332*((Table1[[#This Row],[Gestation (days)]]+0.5)/7)-0.00354*((Table1[[#This Row],[Gestation (days)]]+0.5)/7)^2)*Table1[[#This Row],[BW40_3705]],"")</f>
        <v/>
      </c>
      <c r="G8428" s="2" t="str">
        <f>IF(Table1[[#This Row],[Is Data Valid]]=TRUE,((Table1[[#This Row],[Birthweight (grams)]]/Table1[[#This Row],[BW_GA]])-1)/(Backend!$B$4/100*Table1[[#This Row],[BW40_3705]]),"")</f>
        <v/>
      </c>
      <c r="H8428" s="7" t="str">
        <f>IF(Table1[[#This Row],[Is Data Valid]]=TRUE,((Table1[[#This Row],[Birthweight (grams)]]*0.9/Table1[[#This Row],[BW_GA]])-1)/(Backend!$B$4/100*Table1[[#This Row],[BW40_3705]]),"")</f>
        <v/>
      </c>
      <c r="I8428" s="7" t="str">
        <f>IF(Table1[[#This Row],[Is Data Valid]]=TRUE,((Table1[[#This Row],[Birthweight (grams)]]*1.1/Table1[[#This Row],[BW_GA]])-1)/(Backend!$B$4/100*Table1[[#This Row],[BW40_3705]]),"")</f>
        <v/>
      </c>
      <c r="J8428" s="7" t="str">
        <f>IF(Table1[[#This Row],[Is Data Valid]]=TRUE,_xlfn.NORM.S.DIST(Table1[[#This Row],[Birthweight Z-Score]],TRUE)*100,"")</f>
        <v/>
      </c>
      <c r="K8428" s="7" t="str">
        <f>IF(Table1[[#This Row],[Is Data Valid]]=TRUE,_xlfn.NORM.S.DIST(Table1[[#This Row],[Birthweight Z-Score (BW-10%)]],TRUE)*100,"")</f>
        <v/>
      </c>
      <c r="L8428" s="7" t="str">
        <f>IF(Table1[[#This Row],[Is Data Valid]]=TRUE,_xlfn.NORM.S.DIST(Table1[[#This Row],[Birthweight Z-Score (BW+10%)]],TRUE)*100,"")</f>
        <v/>
      </c>
    </row>
    <row r="8429" spans="1:12" x14ac:dyDescent="0.35">
      <c r="A8429" s="3"/>
      <c r="B8429" s="2"/>
      <c r="C8429" s="2"/>
      <c r="D8429" s="2" t="b">
        <f>IF(AND(NOT(ISBLANK(Table1[[#This Row],[Fetal Sex (Male, Female or Unknown)]])),ISNUMBER(Table1[[#This Row],[Birthweight (grams)]]),ISNUMBER(Table1[[#This Row],[Gestation (days)]])),TRUE,FALSE)</f>
        <v>0</v>
      </c>
      <c r="E8429" s="2" t="str">
        <f>IF(Table1[[#This Row],[Is Data Valid]]=TRUE,IF(Table1[[#This Row],[Fetal Sex (Male, Female or Unknown)]]="Male",Backend!$C$6,IF(Table1[[#This Row],[Fetal Sex (Male, Female or Unknown)]]="Female",Backend!$C$7,IF(Table1[[#This Row],[Fetal Sex (Male, Female or Unknown)]]="Unknown",Backend!$C$8,"Error"))),"")</f>
        <v/>
      </c>
      <c r="F8429" s="8" t="str">
        <f>IF(Table1[[#This Row],[Is Data Valid]]=TRUE,EXP(0.578+0.332*((Table1[[#This Row],[Gestation (days)]]+0.5)/7)-0.00354*((Table1[[#This Row],[Gestation (days)]]+0.5)/7)^2)*Table1[[#This Row],[BW40_3705]],"")</f>
        <v/>
      </c>
      <c r="G8429" s="2" t="str">
        <f>IF(Table1[[#This Row],[Is Data Valid]]=TRUE,((Table1[[#This Row],[Birthweight (grams)]]/Table1[[#This Row],[BW_GA]])-1)/(Backend!$B$4/100*Table1[[#This Row],[BW40_3705]]),"")</f>
        <v/>
      </c>
      <c r="H8429" s="7" t="str">
        <f>IF(Table1[[#This Row],[Is Data Valid]]=TRUE,((Table1[[#This Row],[Birthweight (grams)]]*0.9/Table1[[#This Row],[BW_GA]])-1)/(Backend!$B$4/100*Table1[[#This Row],[BW40_3705]]),"")</f>
        <v/>
      </c>
      <c r="I8429" s="7" t="str">
        <f>IF(Table1[[#This Row],[Is Data Valid]]=TRUE,((Table1[[#This Row],[Birthweight (grams)]]*1.1/Table1[[#This Row],[BW_GA]])-1)/(Backend!$B$4/100*Table1[[#This Row],[BW40_3705]]),"")</f>
        <v/>
      </c>
      <c r="J8429" s="7" t="str">
        <f>IF(Table1[[#This Row],[Is Data Valid]]=TRUE,_xlfn.NORM.S.DIST(Table1[[#This Row],[Birthweight Z-Score]],TRUE)*100,"")</f>
        <v/>
      </c>
      <c r="K8429" s="7" t="str">
        <f>IF(Table1[[#This Row],[Is Data Valid]]=TRUE,_xlfn.NORM.S.DIST(Table1[[#This Row],[Birthweight Z-Score (BW-10%)]],TRUE)*100,"")</f>
        <v/>
      </c>
      <c r="L8429" s="7" t="str">
        <f>IF(Table1[[#This Row],[Is Data Valid]]=TRUE,_xlfn.NORM.S.DIST(Table1[[#This Row],[Birthweight Z-Score (BW+10%)]],TRUE)*100,"")</f>
        <v/>
      </c>
    </row>
    <row r="8430" spans="1:12" x14ac:dyDescent="0.35">
      <c r="A8430" s="3"/>
      <c r="B8430" s="2"/>
      <c r="C8430" s="2"/>
      <c r="D8430" s="2" t="b">
        <f>IF(AND(NOT(ISBLANK(Table1[[#This Row],[Fetal Sex (Male, Female or Unknown)]])),ISNUMBER(Table1[[#This Row],[Birthweight (grams)]]),ISNUMBER(Table1[[#This Row],[Gestation (days)]])),TRUE,FALSE)</f>
        <v>0</v>
      </c>
      <c r="E8430" s="2" t="str">
        <f>IF(Table1[[#This Row],[Is Data Valid]]=TRUE,IF(Table1[[#This Row],[Fetal Sex (Male, Female or Unknown)]]="Male",Backend!$C$6,IF(Table1[[#This Row],[Fetal Sex (Male, Female or Unknown)]]="Female",Backend!$C$7,IF(Table1[[#This Row],[Fetal Sex (Male, Female or Unknown)]]="Unknown",Backend!$C$8,"Error"))),"")</f>
        <v/>
      </c>
      <c r="F8430" s="8" t="str">
        <f>IF(Table1[[#This Row],[Is Data Valid]]=TRUE,EXP(0.578+0.332*((Table1[[#This Row],[Gestation (days)]]+0.5)/7)-0.00354*((Table1[[#This Row],[Gestation (days)]]+0.5)/7)^2)*Table1[[#This Row],[BW40_3705]],"")</f>
        <v/>
      </c>
      <c r="G8430" s="2" t="str">
        <f>IF(Table1[[#This Row],[Is Data Valid]]=TRUE,((Table1[[#This Row],[Birthweight (grams)]]/Table1[[#This Row],[BW_GA]])-1)/(Backend!$B$4/100*Table1[[#This Row],[BW40_3705]]),"")</f>
        <v/>
      </c>
      <c r="H8430" s="7" t="str">
        <f>IF(Table1[[#This Row],[Is Data Valid]]=TRUE,((Table1[[#This Row],[Birthweight (grams)]]*0.9/Table1[[#This Row],[BW_GA]])-1)/(Backend!$B$4/100*Table1[[#This Row],[BW40_3705]]),"")</f>
        <v/>
      </c>
      <c r="I8430" s="7" t="str">
        <f>IF(Table1[[#This Row],[Is Data Valid]]=TRUE,((Table1[[#This Row],[Birthweight (grams)]]*1.1/Table1[[#This Row],[BW_GA]])-1)/(Backend!$B$4/100*Table1[[#This Row],[BW40_3705]]),"")</f>
        <v/>
      </c>
      <c r="J8430" s="7" t="str">
        <f>IF(Table1[[#This Row],[Is Data Valid]]=TRUE,_xlfn.NORM.S.DIST(Table1[[#This Row],[Birthweight Z-Score]],TRUE)*100,"")</f>
        <v/>
      </c>
      <c r="K8430" s="7" t="str">
        <f>IF(Table1[[#This Row],[Is Data Valid]]=TRUE,_xlfn.NORM.S.DIST(Table1[[#This Row],[Birthweight Z-Score (BW-10%)]],TRUE)*100,"")</f>
        <v/>
      </c>
      <c r="L8430" s="7" t="str">
        <f>IF(Table1[[#This Row],[Is Data Valid]]=TRUE,_xlfn.NORM.S.DIST(Table1[[#This Row],[Birthweight Z-Score (BW+10%)]],TRUE)*100,"")</f>
        <v/>
      </c>
    </row>
    <row r="8431" spans="1:12" x14ac:dyDescent="0.35">
      <c r="A8431" s="3"/>
      <c r="B8431" s="2"/>
      <c r="C8431" s="2"/>
      <c r="D8431" s="2" t="b">
        <f>IF(AND(NOT(ISBLANK(Table1[[#This Row],[Fetal Sex (Male, Female or Unknown)]])),ISNUMBER(Table1[[#This Row],[Birthweight (grams)]]),ISNUMBER(Table1[[#This Row],[Gestation (days)]])),TRUE,FALSE)</f>
        <v>0</v>
      </c>
      <c r="E8431" s="2" t="str">
        <f>IF(Table1[[#This Row],[Is Data Valid]]=TRUE,IF(Table1[[#This Row],[Fetal Sex (Male, Female or Unknown)]]="Male",Backend!$C$6,IF(Table1[[#This Row],[Fetal Sex (Male, Female or Unknown)]]="Female",Backend!$C$7,IF(Table1[[#This Row],[Fetal Sex (Male, Female or Unknown)]]="Unknown",Backend!$C$8,"Error"))),"")</f>
        <v/>
      </c>
      <c r="F8431" s="8" t="str">
        <f>IF(Table1[[#This Row],[Is Data Valid]]=TRUE,EXP(0.578+0.332*((Table1[[#This Row],[Gestation (days)]]+0.5)/7)-0.00354*((Table1[[#This Row],[Gestation (days)]]+0.5)/7)^2)*Table1[[#This Row],[BW40_3705]],"")</f>
        <v/>
      </c>
      <c r="G8431" s="2" t="str">
        <f>IF(Table1[[#This Row],[Is Data Valid]]=TRUE,((Table1[[#This Row],[Birthweight (grams)]]/Table1[[#This Row],[BW_GA]])-1)/(Backend!$B$4/100*Table1[[#This Row],[BW40_3705]]),"")</f>
        <v/>
      </c>
      <c r="H8431" s="7" t="str">
        <f>IF(Table1[[#This Row],[Is Data Valid]]=TRUE,((Table1[[#This Row],[Birthweight (grams)]]*0.9/Table1[[#This Row],[BW_GA]])-1)/(Backend!$B$4/100*Table1[[#This Row],[BW40_3705]]),"")</f>
        <v/>
      </c>
      <c r="I8431" s="7" t="str">
        <f>IF(Table1[[#This Row],[Is Data Valid]]=TRUE,((Table1[[#This Row],[Birthweight (grams)]]*1.1/Table1[[#This Row],[BW_GA]])-1)/(Backend!$B$4/100*Table1[[#This Row],[BW40_3705]]),"")</f>
        <v/>
      </c>
      <c r="J8431" s="7" t="str">
        <f>IF(Table1[[#This Row],[Is Data Valid]]=TRUE,_xlfn.NORM.S.DIST(Table1[[#This Row],[Birthweight Z-Score]],TRUE)*100,"")</f>
        <v/>
      </c>
      <c r="K8431" s="7" t="str">
        <f>IF(Table1[[#This Row],[Is Data Valid]]=TRUE,_xlfn.NORM.S.DIST(Table1[[#This Row],[Birthweight Z-Score (BW-10%)]],TRUE)*100,"")</f>
        <v/>
      </c>
      <c r="L8431" s="7" t="str">
        <f>IF(Table1[[#This Row],[Is Data Valid]]=TRUE,_xlfn.NORM.S.DIST(Table1[[#This Row],[Birthweight Z-Score (BW+10%)]],TRUE)*100,"")</f>
        <v/>
      </c>
    </row>
    <row r="8432" spans="1:12" x14ac:dyDescent="0.35">
      <c r="A8432" s="3"/>
      <c r="B8432" s="2"/>
      <c r="C8432" s="2"/>
      <c r="D8432" s="2" t="b">
        <f>IF(AND(NOT(ISBLANK(Table1[[#This Row],[Fetal Sex (Male, Female or Unknown)]])),ISNUMBER(Table1[[#This Row],[Birthweight (grams)]]),ISNUMBER(Table1[[#This Row],[Gestation (days)]])),TRUE,FALSE)</f>
        <v>0</v>
      </c>
      <c r="E8432" s="2" t="str">
        <f>IF(Table1[[#This Row],[Is Data Valid]]=TRUE,IF(Table1[[#This Row],[Fetal Sex (Male, Female or Unknown)]]="Male",Backend!$C$6,IF(Table1[[#This Row],[Fetal Sex (Male, Female or Unknown)]]="Female",Backend!$C$7,IF(Table1[[#This Row],[Fetal Sex (Male, Female or Unknown)]]="Unknown",Backend!$C$8,"Error"))),"")</f>
        <v/>
      </c>
      <c r="F8432" s="8" t="str">
        <f>IF(Table1[[#This Row],[Is Data Valid]]=TRUE,EXP(0.578+0.332*((Table1[[#This Row],[Gestation (days)]]+0.5)/7)-0.00354*((Table1[[#This Row],[Gestation (days)]]+0.5)/7)^2)*Table1[[#This Row],[BW40_3705]],"")</f>
        <v/>
      </c>
      <c r="G8432" s="2" t="str">
        <f>IF(Table1[[#This Row],[Is Data Valid]]=TRUE,((Table1[[#This Row],[Birthweight (grams)]]/Table1[[#This Row],[BW_GA]])-1)/(Backend!$B$4/100*Table1[[#This Row],[BW40_3705]]),"")</f>
        <v/>
      </c>
      <c r="H8432" s="7" t="str">
        <f>IF(Table1[[#This Row],[Is Data Valid]]=TRUE,((Table1[[#This Row],[Birthweight (grams)]]*0.9/Table1[[#This Row],[BW_GA]])-1)/(Backend!$B$4/100*Table1[[#This Row],[BW40_3705]]),"")</f>
        <v/>
      </c>
      <c r="I8432" s="7" t="str">
        <f>IF(Table1[[#This Row],[Is Data Valid]]=TRUE,((Table1[[#This Row],[Birthweight (grams)]]*1.1/Table1[[#This Row],[BW_GA]])-1)/(Backend!$B$4/100*Table1[[#This Row],[BW40_3705]]),"")</f>
        <v/>
      </c>
      <c r="J8432" s="7" t="str">
        <f>IF(Table1[[#This Row],[Is Data Valid]]=TRUE,_xlfn.NORM.S.DIST(Table1[[#This Row],[Birthweight Z-Score]],TRUE)*100,"")</f>
        <v/>
      </c>
      <c r="K8432" s="7" t="str">
        <f>IF(Table1[[#This Row],[Is Data Valid]]=TRUE,_xlfn.NORM.S.DIST(Table1[[#This Row],[Birthweight Z-Score (BW-10%)]],TRUE)*100,"")</f>
        <v/>
      </c>
      <c r="L8432" s="7" t="str">
        <f>IF(Table1[[#This Row],[Is Data Valid]]=TRUE,_xlfn.NORM.S.DIST(Table1[[#This Row],[Birthweight Z-Score (BW+10%)]],TRUE)*100,"")</f>
        <v/>
      </c>
    </row>
    <row r="8433" spans="1:12" x14ac:dyDescent="0.35">
      <c r="A8433" s="3"/>
      <c r="B8433" s="2"/>
      <c r="C8433" s="2"/>
      <c r="D8433" s="2" t="b">
        <f>IF(AND(NOT(ISBLANK(Table1[[#This Row],[Fetal Sex (Male, Female or Unknown)]])),ISNUMBER(Table1[[#This Row],[Birthweight (grams)]]),ISNUMBER(Table1[[#This Row],[Gestation (days)]])),TRUE,FALSE)</f>
        <v>0</v>
      </c>
      <c r="E8433" s="2" t="str">
        <f>IF(Table1[[#This Row],[Is Data Valid]]=TRUE,IF(Table1[[#This Row],[Fetal Sex (Male, Female or Unknown)]]="Male",Backend!$C$6,IF(Table1[[#This Row],[Fetal Sex (Male, Female or Unknown)]]="Female",Backend!$C$7,IF(Table1[[#This Row],[Fetal Sex (Male, Female or Unknown)]]="Unknown",Backend!$C$8,"Error"))),"")</f>
        <v/>
      </c>
      <c r="F8433" s="8" t="str">
        <f>IF(Table1[[#This Row],[Is Data Valid]]=TRUE,EXP(0.578+0.332*((Table1[[#This Row],[Gestation (days)]]+0.5)/7)-0.00354*((Table1[[#This Row],[Gestation (days)]]+0.5)/7)^2)*Table1[[#This Row],[BW40_3705]],"")</f>
        <v/>
      </c>
      <c r="G8433" s="2" t="str">
        <f>IF(Table1[[#This Row],[Is Data Valid]]=TRUE,((Table1[[#This Row],[Birthweight (grams)]]/Table1[[#This Row],[BW_GA]])-1)/(Backend!$B$4/100*Table1[[#This Row],[BW40_3705]]),"")</f>
        <v/>
      </c>
      <c r="H8433" s="7" t="str">
        <f>IF(Table1[[#This Row],[Is Data Valid]]=TRUE,((Table1[[#This Row],[Birthweight (grams)]]*0.9/Table1[[#This Row],[BW_GA]])-1)/(Backend!$B$4/100*Table1[[#This Row],[BW40_3705]]),"")</f>
        <v/>
      </c>
      <c r="I8433" s="7" t="str">
        <f>IF(Table1[[#This Row],[Is Data Valid]]=TRUE,((Table1[[#This Row],[Birthweight (grams)]]*1.1/Table1[[#This Row],[BW_GA]])-1)/(Backend!$B$4/100*Table1[[#This Row],[BW40_3705]]),"")</f>
        <v/>
      </c>
      <c r="J8433" s="7" t="str">
        <f>IF(Table1[[#This Row],[Is Data Valid]]=TRUE,_xlfn.NORM.S.DIST(Table1[[#This Row],[Birthweight Z-Score]],TRUE)*100,"")</f>
        <v/>
      </c>
      <c r="K8433" s="7" t="str">
        <f>IF(Table1[[#This Row],[Is Data Valid]]=TRUE,_xlfn.NORM.S.DIST(Table1[[#This Row],[Birthweight Z-Score (BW-10%)]],TRUE)*100,"")</f>
        <v/>
      </c>
      <c r="L8433" s="7" t="str">
        <f>IF(Table1[[#This Row],[Is Data Valid]]=TRUE,_xlfn.NORM.S.DIST(Table1[[#This Row],[Birthweight Z-Score (BW+10%)]],TRUE)*100,"")</f>
        <v/>
      </c>
    </row>
    <row r="8434" spans="1:12" x14ac:dyDescent="0.35">
      <c r="A8434" s="3"/>
      <c r="B8434" s="2"/>
      <c r="C8434" s="2"/>
      <c r="D8434" s="2" t="b">
        <f>IF(AND(NOT(ISBLANK(Table1[[#This Row],[Fetal Sex (Male, Female or Unknown)]])),ISNUMBER(Table1[[#This Row],[Birthweight (grams)]]),ISNUMBER(Table1[[#This Row],[Gestation (days)]])),TRUE,FALSE)</f>
        <v>0</v>
      </c>
      <c r="E8434" s="2" t="str">
        <f>IF(Table1[[#This Row],[Is Data Valid]]=TRUE,IF(Table1[[#This Row],[Fetal Sex (Male, Female or Unknown)]]="Male",Backend!$C$6,IF(Table1[[#This Row],[Fetal Sex (Male, Female or Unknown)]]="Female",Backend!$C$7,IF(Table1[[#This Row],[Fetal Sex (Male, Female or Unknown)]]="Unknown",Backend!$C$8,"Error"))),"")</f>
        <v/>
      </c>
      <c r="F8434" s="8" t="str">
        <f>IF(Table1[[#This Row],[Is Data Valid]]=TRUE,EXP(0.578+0.332*((Table1[[#This Row],[Gestation (days)]]+0.5)/7)-0.00354*((Table1[[#This Row],[Gestation (days)]]+0.5)/7)^2)*Table1[[#This Row],[BW40_3705]],"")</f>
        <v/>
      </c>
      <c r="G8434" s="2" t="str">
        <f>IF(Table1[[#This Row],[Is Data Valid]]=TRUE,((Table1[[#This Row],[Birthweight (grams)]]/Table1[[#This Row],[BW_GA]])-1)/(Backend!$B$4/100*Table1[[#This Row],[BW40_3705]]),"")</f>
        <v/>
      </c>
      <c r="H8434" s="7" t="str">
        <f>IF(Table1[[#This Row],[Is Data Valid]]=TRUE,((Table1[[#This Row],[Birthweight (grams)]]*0.9/Table1[[#This Row],[BW_GA]])-1)/(Backend!$B$4/100*Table1[[#This Row],[BW40_3705]]),"")</f>
        <v/>
      </c>
      <c r="I8434" s="7" t="str">
        <f>IF(Table1[[#This Row],[Is Data Valid]]=TRUE,((Table1[[#This Row],[Birthweight (grams)]]*1.1/Table1[[#This Row],[BW_GA]])-1)/(Backend!$B$4/100*Table1[[#This Row],[BW40_3705]]),"")</f>
        <v/>
      </c>
      <c r="J8434" s="7" t="str">
        <f>IF(Table1[[#This Row],[Is Data Valid]]=TRUE,_xlfn.NORM.S.DIST(Table1[[#This Row],[Birthweight Z-Score]],TRUE)*100,"")</f>
        <v/>
      </c>
      <c r="K8434" s="7" t="str">
        <f>IF(Table1[[#This Row],[Is Data Valid]]=TRUE,_xlfn.NORM.S.DIST(Table1[[#This Row],[Birthweight Z-Score (BW-10%)]],TRUE)*100,"")</f>
        <v/>
      </c>
      <c r="L8434" s="7" t="str">
        <f>IF(Table1[[#This Row],[Is Data Valid]]=TRUE,_xlfn.NORM.S.DIST(Table1[[#This Row],[Birthweight Z-Score (BW+10%)]],TRUE)*100,"")</f>
        <v/>
      </c>
    </row>
    <row r="8435" spans="1:12" x14ac:dyDescent="0.35">
      <c r="A8435" s="3"/>
      <c r="B8435" s="2"/>
      <c r="C8435" s="2"/>
      <c r="D8435" s="2" t="b">
        <f>IF(AND(NOT(ISBLANK(Table1[[#This Row],[Fetal Sex (Male, Female or Unknown)]])),ISNUMBER(Table1[[#This Row],[Birthweight (grams)]]),ISNUMBER(Table1[[#This Row],[Gestation (days)]])),TRUE,FALSE)</f>
        <v>0</v>
      </c>
      <c r="E8435" s="2" t="str">
        <f>IF(Table1[[#This Row],[Is Data Valid]]=TRUE,IF(Table1[[#This Row],[Fetal Sex (Male, Female or Unknown)]]="Male",Backend!$C$6,IF(Table1[[#This Row],[Fetal Sex (Male, Female or Unknown)]]="Female",Backend!$C$7,IF(Table1[[#This Row],[Fetal Sex (Male, Female or Unknown)]]="Unknown",Backend!$C$8,"Error"))),"")</f>
        <v/>
      </c>
      <c r="F8435" s="8" t="str">
        <f>IF(Table1[[#This Row],[Is Data Valid]]=TRUE,EXP(0.578+0.332*((Table1[[#This Row],[Gestation (days)]]+0.5)/7)-0.00354*((Table1[[#This Row],[Gestation (days)]]+0.5)/7)^2)*Table1[[#This Row],[BW40_3705]],"")</f>
        <v/>
      </c>
      <c r="G8435" s="2" t="str">
        <f>IF(Table1[[#This Row],[Is Data Valid]]=TRUE,((Table1[[#This Row],[Birthweight (grams)]]/Table1[[#This Row],[BW_GA]])-1)/(Backend!$B$4/100*Table1[[#This Row],[BW40_3705]]),"")</f>
        <v/>
      </c>
      <c r="H8435" s="7" t="str">
        <f>IF(Table1[[#This Row],[Is Data Valid]]=TRUE,((Table1[[#This Row],[Birthweight (grams)]]*0.9/Table1[[#This Row],[BW_GA]])-1)/(Backend!$B$4/100*Table1[[#This Row],[BW40_3705]]),"")</f>
        <v/>
      </c>
      <c r="I8435" s="7" t="str">
        <f>IF(Table1[[#This Row],[Is Data Valid]]=TRUE,((Table1[[#This Row],[Birthweight (grams)]]*1.1/Table1[[#This Row],[BW_GA]])-1)/(Backend!$B$4/100*Table1[[#This Row],[BW40_3705]]),"")</f>
        <v/>
      </c>
      <c r="J8435" s="7" t="str">
        <f>IF(Table1[[#This Row],[Is Data Valid]]=TRUE,_xlfn.NORM.S.DIST(Table1[[#This Row],[Birthweight Z-Score]],TRUE)*100,"")</f>
        <v/>
      </c>
      <c r="K8435" s="7" t="str">
        <f>IF(Table1[[#This Row],[Is Data Valid]]=TRUE,_xlfn.NORM.S.DIST(Table1[[#This Row],[Birthweight Z-Score (BW-10%)]],TRUE)*100,"")</f>
        <v/>
      </c>
      <c r="L8435" s="7" t="str">
        <f>IF(Table1[[#This Row],[Is Data Valid]]=TRUE,_xlfn.NORM.S.DIST(Table1[[#This Row],[Birthweight Z-Score (BW+10%)]],TRUE)*100,"")</f>
        <v/>
      </c>
    </row>
    <row r="8436" spans="1:12" x14ac:dyDescent="0.35">
      <c r="A8436" s="3"/>
      <c r="B8436" s="2"/>
      <c r="C8436" s="2"/>
      <c r="D8436" s="2" t="b">
        <f>IF(AND(NOT(ISBLANK(Table1[[#This Row],[Fetal Sex (Male, Female or Unknown)]])),ISNUMBER(Table1[[#This Row],[Birthweight (grams)]]),ISNUMBER(Table1[[#This Row],[Gestation (days)]])),TRUE,FALSE)</f>
        <v>0</v>
      </c>
      <c r="E8436" s="2" t="str">
        <f>IF(Table1[[#This Row],[Is Data Valid]]=TRUE,IF(Table1[[#This Row],[Fetal Sex (Male, Female or Unknown)]]="Male",Backend!$C$6,IF(Table1[[#This Row],[Fetal Sex (Male, Female or Unknown)]]="Female",Backend!$C$7,IF(Table1[[#This Row],[Fetal Sex (Male, Female or Unknown)]]="Unknown",Backend!$C$8,"Error"))),"")</f>
        <v/>
      </c>
      <c r="F8436" s="8" t="str">
        <f>IF(Table1[[#This Row],[Is Data Valid]]=TRUE,EXP(0.578+0.332*((Table1[[#This Row],[Gestation (days)]]+0.5)/7)-0.00354*((Table1[[#This Row],[Gestation (days)]]+0.5)/7)^2)*Table1[[#This Row],[BW40_3705]],"")</f>
        <v/>
      </c>
      <c r="G8436" s="2" t="str">
        <f>IF(Table1[[#This Row],[Is Data Valid]]=TRUE,((Table1[[#This Row],[Birthweight (grams)]]/Table1[[#This Row],[BW_GA]])-1)/(Backend!$B$4/100*Table1[[#This Row],[BW40_3705]]),"")</f>
        <v/>
      </c>
      <c r="H8436" s="7" t="str">
        <f>IF(Table1[[#This Row],[Is Data Valid]]=TRUE,((Table1[[#This Row],[Birthweight (grams)]]*0.9/Table1[[#This Row],[BW_GA]])-1)/(Backend!$B$4/100*Table1[[#This Row],[BW40_3705]]),"")</f>
        <v/>
      </c>
      <c r="I8436" s="7" t="str">
        <f>IF(Table1[[#This Row],[Is Data Valid]]=TRUE,((Table1[[#This Row],[Birthweight (grams)]]*1.1/Table1[[#This Row],[BW_GA]])-1)/(Backend!$B$4/100*Table1[[#This Row],[BW40_3705]]),"")</f>
        <v/>
      </c>
      <c r="J8436" s="7" t="str">
        <f>IF(Table1[[#This Row],[Is Data Valid]]=TRUE,_xlfn.NORM.S.DIST(Table1[[#This Row],[Birthweight Z-Score]],TRUE)*100,"")</f>
        <v/>
      </c>
      <c r="K8436" s="7" t="str">
        <f>IF(Table1[[#This Row],[Is Data Valid]]=TRUE,_xlfn.NORM.S.DIST(Table1[[#This Row],[Birthweight Z-Score (BW-10%)]],TRUE)*100,"")</f>
        <v/>
      </c>
      <c r="L8436" s="7" t="str">
        <f>IF(Table1[[#This Row],[Is Data Valid]]=TRUE,_xlfn.NORM.S.DIST(Table1[[#This Row],[Birthweight Z-Score (BW+10%)]],TRUE)*100,"")</f>
        <v/>
      </c>
    </row>
    <row r="8437" spans="1:12" x14ac:dyDescent="0.35">
      <c r="A8437" s="3"/>
      <c r="B8437" s="2"/>
      <c r="C8437" s="2"/>
      <c r="D8437" s="2" t="b">
        <f>IF(AND(NOT(ISBLANK(Table1[[#This Row],[Fetal Sex (Male, Female or Unknown)]])),ISNUMBER(Table1[[#This Row],[Birthweight (grams)]]),ISNUMBER(Table1[[#This Row],[Gestation (days)]])),TRUE,FALSE)</f>
        <v>0</v>
      </c>
      <c r="E8437" s="2" t="str">
        <f>IF(Table1[[#This Row],[Is Data Valid]]=TRUE,IF(Table1[[#This Row],[Fetal Sex (Male, Female or Unknown)]]="Male",Backend!$C$6,IF(Table1[[#This Row],[Fetal Sex (Male, Female or Unknown)]]="Female",Backend!$C$7,IF(Table1[[#This Row],[Fetal Sex (Male, Female or Unknown)]]="Unknown",Backend!$C$8,"Error"))),"")</f>
        <v/>
      </c>
      <c r="F8437" s="8" t="str">
        <f>IF(Table1[[#This Row],[Is Data Valid]]=TRUE,EXP(0.578+0.332*((Table1[[#This Row],[Gestation (days)]]+0.5)/7)-0.00354*((Table1[[#This Row],[Gestation (days)]]+0.5)/7)^2)*Table1[[#This Row],[BW40_3705]],"")</f>
        <v/>
      </c>
      <c r="G8437" s="2" t="str">
        <f>IF(Table1[[#This Row],[Is Data Valid]]=TRUE,((Table1[[#This Row],[Birthweight (grams)]]/Table1[[#This Row],[BW_GA]])-1)/(Backend!$B$4/100*Table1[[#This Row],[BW40_3705]]),"")</f>
        <v/>
      </c>
      <c r="H8437" s="7" t="str">
        <f>IF(Table1[[#This Row],[Is Data Valid]]=TRUE,((Table1[[#This Row],[Birthweight (grams)]]*0.9/Table1[[#This Row],[BW_GA]])-1)/(Backend!$B$4/100*Table1[[#This Row],[BW40_3705]]),"")</f>
        <v/>
      </c>
      <c r="I8437" s="7" t="str">
        <f>IF(Table1[[#This Row],[Is Data Valid]]=TRUE,((Table1[[#This Row],[Birthweight (grams)]]*1.1/Table1[[#This Row],[BW_GA]])-1)/(Backend!$B$4/100*Table1[[#This Row],[BW40_3705]]),"")</f>
        <v/>
      </c>
      <c r="J8437" s="7" t="str">
        <f>IF(Table1[[#This Row],[Is Data Valid]]=TRUE,_xlfn.NORM.S.DIST(Table1[[#This Row],[Birthweight Z-Score]],TRUE)*100,"")</f>
        <v/>
      </c>
      <c r="K8437" s="7" t="str">
        <f>IF(Table1[[#This Row],[Is Data Valid]]=TRUE,_xlfn.NORM.S.DIST(Table1[[#This Row],[Birthweight Z-Score (BW-10%)]],TRUE)*100,"")</f>
        <v/>
      </c>
      <c r="L8437" s="7" t="str">
        <f>IF(Table1[[#This Row],[Is Data Valid]]=TRUE,_xlfn.NORM.S.DIST(Table1[[#This Row],[Birthweight Z-Score (BW+10%)]],TRUE)*100,"")</f>
        <v/>
      </c>
    </row>
    <row r="8438" spans="1:12" x14ac:dyDescent="0.35">
      <c r="A8438" s="3"/>
      <c r="B8438" s="2"/>
      <c r="C8438" s="2"/>
      <c r="D8438" s="2" t="b">
        <f>IF(AND(NOT(ISBLANK(Table1[[#This Row],[Fetal Sex (Male, Female or Unknown)]])),ISNUMBER(Table1[[#This Row],[Birthweight (grams)]]),ISNUMBER(Table1[[#This Row],[Gestation (days)]])),TRUE,FALSE)</f>
        <v>0</v>
      </c>
      <c r="E8438" s="2" t="str">
        <f>IF(Table1[[#This Row],[Is Data Valid]]=TRUE,IF(Table1[[#This Row],[Fetal Sex (Male, Female or Unknown)]]="Male",Backend!$C$6,IF(Table1[[#This Row],[Fetal Sex (Male, Female or Unknown)]]="Female",Backend!$C$7,IF(Table1[[#This Row],[Fetal Sex (Male, Female or Unknown)]]="Unknown",Backend!$C$8,"Error"))),"")</f>
        <v/>
      </c>
      <c r="F8438" s="8" t="str">
        <f>IF(Table1[[#This Row],[Is Data Valid]]=TRUE,EXP(0.578+0.332*((Table1[[#This Row],[Gestation (days)]]+0.5)/7)-0.00354*((Table1[[#This Row],[Gestation (days)]]+0.5)/7)^2)*Table1[[#This Row],[BW40_3705]],"")</f>
        <v/>
      </c>
      <c r="G8438" s="2" t="str">
        <f>IF(Table1[[#This Row],[Is Data Valid]]=TRUE,((Table1[[#This Row],[Birthweight (grams)]]/Table1[[#This Row],[BW_GA]])-1)/(Backend!$B$4/100*Table1[[#This Row],[BW40_3705]]),"")</f>
        <v/>
      </c>
      <c r="H8438" s="7" t="str">
        <f>IF(Table1[[#This Row],[Is Data Valid]]=TRUE,((Table1[[#This Row],[Birthweight (grams)]]*0.9/Table1[[#This Row],[BW_GA]])-1)/(Backend!$B$4/100*Table1[[#This Row],[BW40_3705]]),"")</f>
        <v/>
      </c>
      <c r="I8438" s="7" t="str">
        <f>IF(Table1[[#This Row],[Is Data Valid]]=TRUE,((Table1[[#This Row],[Birthweight (grams)]]*1.1/Table1[[#This Row],[BW_GA]])-1)/(Backend!$B$4/100*Table1[[#This Row],[BW40_3705]]),"")</f>
        <v/>
      </c>
      <c r="J8438" s="7" t="str">
        <f>IF(Table1[[#This Row],[Is Data Valid]]=TRUE,_xlfn.NORM.S.DIST(Table1[[#This Row],[Birthweight Z-Score]],TRUE)*100,"")</f>
        <v/>
      </c>
      <c r="K8438" s="7" t="str">
        <f>IF(Table1[[#This Row],[Is Data Valid]]=TRUE,_xlfn.NORM.S.DIST(Table1[[#This Row],[Birthweight Z-Score (BW-10%)]],TRUE)*100,"")</f>
        <v/>
      </c>
      <c r="L8438" s="7" t="str">
        <f>IF(Table1[[#This Row],[Is Data Valid]]=TRUE,_xlfn.NORM.S.DIST(Table1[[#This Row],[Birthweight Z-Score (BW+10%)]],TRUE)*100,"")</f>
        <v/>
      </c>
    </row>
    <row r="8439" spans="1:12" x14ac:dyDescent="0.35">
      <c r="A8439" s="3"/>
      <c r="B8439" s="2"/>
      <c r="C8439" s="2"/>
      <c r="D8439" s="2" t="b">
        <f>IF(AND(NOT(ISBLANK(Table1[[#This Row],[Fetal Sex (Male, Female or Unknown)]])),ISNUMBER(Table1[[#This Row],[Birthweight (grams)]]),ISNUMBER(Table1[[#This Row],[Gestation (days)]])),TRUE,FALSE)</f>
        <v>0</v>
      </c>
      <c r="E8439" s="2" t="str">
        <f>IF(Table1[[#This Row],[Is Data Valid]]=TRUE,IF(Table1[[#This Row],[Fetal Sex (Male, Female or Unknown)]]="Male",Backend!$C$6,IF(Table1[[#This Row],[Fetal Sex (Male, Female or Unknown)]]="Female",Backend!$C$7,IF(Table1[[#This Row],[Fetal Sex (Male, Female or Unknown)]]="Unknown",Backend!$C$8,"Error"))),"")</f>
        <v/>
      </c>
      <c r="F8439" s="8" t="str">
        <f>IF(Table1[[#This Row],[Is Data Valid]]=TRUE,EXP(0.578+0.332*((Table1[[#This Row],[Gestation (days)]]+0.5)/7)-0.00354*((Table1[[#This Row],[Gestation (days)]]+0.5)/7)^2)*Table1[[#This Row],[BW40_3705]],"")</f>
        <v/>
      </c>
      <c r="G8439" s="2" t="str">
        <f>IF(Table1[[#This Row],[Is Data Valid]]=TRUE,((Table1[[#This Row],[Birthweight (grams)]]/Table1[[#This Row],[BW_GA]])-1)/(Backend!$B$4/100*Table1[[#This Row],[BW40_3705]]),"")</f>
        <v/>
      </c>
      <c r="H8439" s="7" t="str">
        <f>IF(Table1[[#This Row],[Is Data Valid]]=TRUE,((Table1[[#This Row],[Birthweight (grams)]]*0.9/Table1[[#This Row],[BW_GA]])-1)/(Backend!$B$4/100*Table1[[#This Row],[BW40_3705]]),"")</f>
        <v/>
      </c>
      <c r="I8439" s="7" t="str">
        <f>IF(Table1[[#This Row],[Is Data Valid]]=TRUE,((Table1[[#This Row],[Birthweight (grams)]]*1.1/Table1[[#This Row],[BW_GA]])-1)/(Backend!$B$4/100*Table1[[#This Row],[BW40_3705]]),"")</f>
        <v/>
      </c>
      <c r="J8439" s="7" t="str">
        <f>IF(Table1[[#This Row],[Is Data Valid]]=TRUE,_xlfn.NORM.S.DIST(Table1[[#This Row],[Birthweight Z-Score]],TRUE)*100,"")</f>
        <v/>
      </c>
      <c r="K8439" s="7" t="str">
        <f>IF(Table1[[#This Row],[Is Data Valid]]=TRUE,_xlfn.NORM.S.DIST(Table1[[#This Row],[Birthweight Z-Score (BW-10%)]],TRUE)*100,"")</f>
        <v/>
      </c>
      <c r="L8439" s="7" t="str">
        <f>IF(Table1[[#This Row],[Is Data Valid]]=TRUE,_xlfn.NORM.S.DIST(Table1[[#This Row],[Birthweight Z-Score (BW+10%)]],TRUE)*100,"")</f>
        <v/>
      </c>
    </row>
    <row r="8440" spans="1:12" x14ac:dyDescent="0.35">
      <c r="A8440" s="3"/>
      <c r="B8440" s="2"/>
      <c r="C8440" s="2"/>
      <c r="D8440" s="2" t="b">
        <f>IF(AND(NOT(ISBLANK(Table1[[#This Row],[Fetal Sex (Male, Female or Unknown)]])),ISNUMBER(Table1[[#This Row],[Birthweight (grams)]]),ISNUMBER(Table1[[#This Row],[Gestation (days)]])),TRUE,FALSE)</f>
        <v>0</v>
      </c>
      <c r="E8440" s="2" t="str">
        <f>IF(Table1[[#This Row],[Is Data Valid]]=TRUE,IF(Table1[[#This Row],[Fetal Sex (Male, Female or Unknown)]]="Male",Backend!$C$6,IF(Table1[[#This Row],[Fetal Sex (Male, Female or Unknown)]]="Female",Backend!$C$7,IF(Table1[[#This Row],[Fetal Sex (Male, Female or Unknown)]]="Unknown",Backend!$C$8,"Error"))),"")</f>
        <v/>
      </c>
      <c r="F8440" s="8" t="str">
        <f>IF(Table1[[#This Row],[Is Data Valid]]=TRUE,EXP(0.578+0.332*((Table1[[#This Row],[Gestation (days)]]+0.5)/7)-0.00354*((Table1[[#This Row],[Gestation (days)]]+0.5)/7)^2)*Table1[[#This Row],[BW40_3705]],"")</f>
        <v/>
      </c>
      <c r="G8440" s="2" t="str">
        <f>IF(Table1[[#This Row],[Is Data Valid]]=TRUE,((Table1[[#This Row],[Birthweight (grams)]]/Table1[[#This Row],[BW_GA]])-1)/(Backend!$B$4/100*Table1[[#This Row],[BW40_3705]]),"")</f>
        <v/>
      </c>
      <c r="H8440" s="7" t="str">
        <f>IF(Table1[[#This Row],[Is Data Valid]]=TRUE,((Table1[[#This Row],[Birthweight (grams)]]*0.9/Table1[[#This Row],[BW_GA]])-1)/(Backend!$B$4/100*Table1[[#This Row],[BW40_3705]]),"")</f>
        <v/>
      </c>
      <c r="I8440" s="7" t="str">
        <f>IF(Table1[[#This Row],[Is Data Valid]]=TRUE,((Table1[[#This Row],[Birthweight (grams)]]*1.1/Table1[[#This Row],[BW_GA]])-1)/(Backend!$B$4/100*Table1[[#This Row],[BW40_3705]]),"")</f>
        <v/>
      </c>
      <c r="J8440" s="7" t="str">
        <f>IF(Table1[[#This Row],[Is Data Valid]]=TRUE,_xlfn.NORM.S.DIST(Table1[[#This Row],[Birthweight Z-Score]],TRUE)*100,"")</f>
        <v/>
      </c>
      <c r="K8440" s="7" t="str">
        <f>IF(Table1[[#This Row],[Is Data Valid]]=TRUE,_xlfn.NORM.S.DIST(Table1[[#This Row],[Birthweight Z-Score (BW-10%)]],TRUE)*100,"")</f>
        <v/>
      </c>
      <c r="L8440" s="7" t="str">
        <f>IF(Table1[[#This Row],[Is Data Valid]]=TRUE,_xlfn.NORM.S.DIST(Table1[[#This Row],[Birthweight Z-Score (BW+10%)]],TRUE)*100,"")</f>
        <v/>
      </c>
    </row>
    <row r="8441" spans="1:12" x14ac:dyDescent="0.35">
      <c r="A8441" s="3"/>
      <c r="B8441" s="2"/>
      <c r="C8441" s="2"/>
      <c r="D8441" s="2" t="b">
        <f>IF(AND(NOT(ISBLANK(Table1[[#This Row],[Fetal Sex (Male, Female or Unknown)]])),ISNUMBER(Table1[[#This Row],[Birthweight (grams)]]),ISNUMBER(Table1[[#This Row],[Gestation (days)]])),TRUE,FALSE)</f>
        <v>0</v>
      </c>
      <c r="E8441" s="2" t="str">
        <f>IF(Table1[[#This Row],[Is Data Valid]]=TRUE,IF(Table1[[#This Row],[Fetal Sex (Male, Female or Unknown)]]="Male",Backend!$C$6,IF(Table1[[#This Row],[Fetal Sex (Male, Female or Unknown)]]="Female",Backend!$C$7,IF(Table1[[#This Row],[Fetal Sex (Male, Female or Unknown)]]="Unknown",Backend!$C$8,"Error"))),"")</f>
        <v/>
      </c>
      <c r="F8441" s="8" t="str">
        <f>IF(Table1[[#This Row],[Is Data Valid]]=TRUE,EXP(0.578+0.332*((Table1[[#This Row],[Gestation (days)]]+0.5)/7)-0.00354*((Table1[[#This Row],[Gestation (days)]]+0.5)/7)^2)*Table1[[#This Row],[BW40_3705]],"")</f>
        <v/>
      </c>
      <c r="G8441" s="2" t="str">
        <f>IF(Table1[[#This Row],[Is Data Valid]]=TRUE,((Table1[[#This Row],[Birthweight (grams)]]/Table1[[#This Row],[BW_GA]])-1)/(Backend!$B$4/100*Table1[[#This Row],[BW40_3705]]),"")</f>
        <v/>
      </c>
      <c r="H8441" s="7" t="str">
        <f>IF(Table1[[#This Row],[Is Data Valid]]=TRUE,((Table1[[#This Row],[Birthweight (grams)]]*0.9/Table1[[#This Row],[BW_GA]])-1)/(Backend!$B$4/100*Table1[[#This Row],[BW40_3705]]),"")</f>
        <v/>
      </c>
      <c r="I8441" s="7" t="str">
        <f>IF(Table1[[#This Row],[Is Data Valid]]=TRUE,((Table1[[#This Row],[Birthweight (grams)]]*1.1/Table1[[#This Row],[BW_GA]])-1)/(Backend!$B$4/100*Table1[[#This Row],[BW40_3705]]),"")</f>
        <v/>
      </c>
      <c r="J8441" s="7" t="str">
        <f>IF(Table1[[#This Row],[Is Data Valid]]=TRUE,_xlfn.NORM.S.DIST(Table1[[#This Row],[Birthweight Z-Score]],TRUE)*100,"")</f>
        <v/>
      </c>
      <c r="K8441" s="7" t="str">
        <f>IF(Table1[[#This Row],[Is Data Valid]]=TRUE,_xlfn.NORM.S.DIST(Table1[[#This Row],[Birthweight Z-Score (BW-10%)]],TRUE)*100,"")</f>
        <v/>
      </c>
      <c r="L8441" s="7" t="str">
        <f>IF(Table1[[#This Row],[Is Data Valid]]=TRUE,_xlfn.NORM.S.DIST(Table1[[#This Row],[Birthweight Z-Score (BW+10%)]],TRUE)*100,"")</f>
        <v/>
      </c>
    </row>
    <row r="8442" spans="1:12" x14ac:dyDescent="0.35">
      <c r="A8442" s="3"/>
      <c r="B8442" s="2"/>
      <c r="C8442" s="2"/>
      <c r="D8442" s="2" t="b">
        <f>IF(AND(NOT(ISBLANK(Table1[[#This Row],[Fetal Sex (Male, Female or Unknown)]])),ISNUMBER(Table1[[#This Row],[Birthweight (grams)]]),ISNUMBER(Table1[[#This Row],[Gestation (days)]])),TRUE,FALSE)</f>
        <v>0</v>
      </c>
      <c r="E8442" s="2" t="str">
        <f>IF(Table1[[#This Row],[Is Data Valid]]=TRUE,IF(Table1[[#This Row],[Fetal Sex (Male, Female or Unknown)]]="Male",Backend!$C$6,IF(Table1[[#This Row],[Fetal Sex (Male, Female or Unknown)]]="Female",Backend!$C$7,IF(Table1[[#This Row],[Fetal Sex (Male, Female or Unknown)]]="Unknown",Backend!$C$8,"Error"))),"")</f>
        <v/>
      </c>
      <c r="F8442" s="8" t="str">
        <f>IF(Table1[[#This Row],[Is Data Valid]]=TRUE,EXP(0.578+0.332*((Table1[[#This Row],[Gestation (days)]]+0.5)/7)-0.00354*((Table1[[#This Row],[Gestation (days)]]+0.5)/7)^2)*Table1[[#This Row],[BW40_3705]],"")</f>
        <v/>
      </c>
      <c r="G8442" s="2" t="str">
        <f>IF(Table1[[#This Row],[Is Data Valid]]=TRUE,((Table1[[#This Row],[Birthweight (grams)]]/Table1[[#This Row],[BW_GA]])-1)/(Backend!$B$4/100*Table1[[#This Row],[BW40_3705]]),"")</f>
        <v/>
      </c>
      <c r="H8442" s="7" t="str">
        <f>IF(Table1[[#This Row],[Is Data Valid]]=TRUE,((Table1[[#This Row],[Birthweight (grams)]]*0.9/Table1[[#This Row],[BW_GA]])-1)/(Backend!$B$4/100*Table1[[#This Row],[BW40_3705]]),"")</f>
        <v/>
      </c>
      <c r="I8442" s="7" t="str">
        <f>IF(Table1[[#This Row],[Is Data Valid]]=TRUE,((Table1[[#This Row],[Birthweight (grams)]]*1.1/Table1[[#This Row],[BW_GA]])-1)/(Backend!$B$4/100*Table1[[#This Row],[BW40_3705]]),"")</f>
        <v/>
      </c>
      <c r="J8442" s="7" t="str">
        <f>IF(Table1[[#This Row],[Is Data Valid]]=TRUE,_xlfn.NORM.S.DIST(Table1[[#This Row],[Birthweight Z-Score]],TRUE)*100,"")</f>
        <v/>
      </c>
      <c r="K8442" s="7" t="str">
        <f>IF(Table1[[#This Row],[Is Data Valid]]=TRUE,_xlfn.NORM.S.DIST(Table1[[#This Row],[Birthweight Z-Score (BW-10%)]],TRUE)*100,"")</f>
        <v/>
      </c>
      <c r="L8442" s="7" t="str">
        <f>IF(Table1[[#This Row],[Is Data Valid]]=TRUE,_xlfn.NORM.S.DIST(Table1[[#This Row],[Birthweight Z-Score (BW+10%)]],TRUE)*100,"")</f>
        <v/>
      </c>
    </row>
    <row r="8443" spans="1:12" x14ac:dyDescent="0.35">
      <c r="A8443" s="3"/>
      <c r="B8443" s="2"/>
      <c r="C8443" s="2"/>
      <c r="D8443" s="2" t="b">
        <f>IF(AND(NOT(ISBLANK(Table1[[#This Row],[Fetal Sex (Male, Female or Unknown)]])),ISNUMBER(Table1[[#This Row],[Birthweight (grams)]]),ISNUMBER(Table1[[#This Row],[Gestation (days)]])),TRUE,FALSE)</f>
        <v>0</v>
      </c>
      <c r="E8443" s="2" t="str">
        <f>IF(Table1[[#This Row],[Is Data Valid]]=TRUE,IF(Table1[[#This Row],[Fetal Sex (Male, Female or Unknown)]]="Male",Backend!$C$6,IF(Table1[[#This Row],[Fetal Sex (Male, Female or Unknown)]]="Female",Backend!$C$7,IF(Table1[[#This Row],[Fetal Sex (Male, Female or Unknown)]]="Unknown",Backend!$C$8,"Error"))),"")</f>
        <v/>
      </c>
      <c r="F8443" s="8" t="str">
        <f>IF(Table1[[#This Row],[Is Data Valid]]=TRUE,EXP(0.578+0.332*((Table1[[#This Row],[Gestation (days)]]+0.5)/7)-0.00354*((Table1[[#This Row],[Gestation (days)]]+0.5)/7)^2)*Table1[[#This Row],[BW40_3705]],"")</f>
        <v/>
      </c>
      <c r="G8443" s="2" t="str">
        <f>IF(Table1[[#This Row],[Is Data Valid]]=TRUE,((Table1[[#This Row],[Birthweight (grams)]]/Table1[[#This Row],[BW_GA]])-1)/(Backend!$B$4/100*Table1[[#This Row],[BW40_3705]]),"")</f>
        <v/>
      </c>
      <c r="H8443" s="7" t="str">
        <f>IF(Table1[[#This Row],[Is Data Valid]]=TRUE,((Table1[[#This Row],[Birthweight (grams)]]*0.9/Table1[[#This Row],[BW_GA]])-1)/(Backend!$B$4/100*Table1[[#This Row],[BW40_3705]]),"")</f>
        <v/>
      </c>
      <c r="I8443" s="7" t="str">
        <f>IF(Table1[[#This Row],[Is Data Valid]]=TRUE,((Table1[[#This Row],[Birthweight (grams)]]*1.1/Table1[[#This Row],[BW_GA]])-1)/(Backend!$B$4/100*Table1[[#This Row],[BW40_3705]]),"")</f>
        <v/>
      </c>
      <c r="J8443" s="7" t="str">
        <f>IF(Table1[[#This Row],[Is Data Valid]]=TRUE,_xlfn.NORM.S.DIST(Table1[[#This Row],[Birthweight Z-Score]],TRUE)*100,"")</f>
        <v/>
      </c>
      <c r="K8443" s="7" t="str">
        <f>IF(Table1[[#This Row],[Is Data Valid]]=TRUE,_xlfn.NORM.S.DIST(Table1[[#This Row],[Birthweight Z-Score (BW-10%)]],TRUE)*100,"")</f>
        <v/>
      </c>
      <c r="L8443" s="7" t="str">
        <f>IF(Table1[[#This Row],[Is Data Valid]]=TRUE,_xlfn.NORM.S.DIST(Table1[[#This Row],[Birthweight Z-Score (BW+10%)]],TRUE)*100,"")</f>
        <v/>
      </c>
    </row>
    <row r="8444" spans="1:12" x14ac:dyDescent="0.35">
      <c r="A8444" s="3"/>
      <c r="B8444" s="2"/>
      <c r="C8444" s="2"/>
      <c r="D8444" s="2" t="b">
        <f>IF(AND(NOT(ISBLANK(Table1[[#This Row],[Fetal Sex (Male, Female or Unknown)]])),ISNUMBER(Table1[[#This Row],[Birthweight (grams)]]),ISNUMBER(Table1[[#This Row],[Gestation (days)]])),TRUE,FALSE)</f>
        <v>0</v>
      </c>
      <c r="E8444" s="2" t="str">
        <f>IF(Table1[[#This Row],[Is Data Valid]]=TRUE,IF(Table1[[#This Row],[Fetal Sex (Male, Female or Unknown)]]="Male",Backend!$C$6,IF(Table1[[#This Row],[Fetal Sex (Male, Female or Unknown)]]="Female",Backend!$C$7,IF(Table1[[#This Row],[Fetal Sex (Male, Female or Unknown)]]="Unknown",Backend!$C$8,"Error"))),"")</f>
        <v/>
      </c>
      <c r="F8444" s="8" t="str">
        <f>IF(Table1[[#This Row],[Is Data Valid]]=TRUE,EXP(0.578+0.332*((Table1[[#This Row],[Gestation (days)]]+0.5)/7)-0.00354*((Table1[[#This Row],[Gestation (days)]]+0.5)/7)^2)*Table1[[#This Row],[BW40_3705]],"")</f>
        <v/>
      </c>
      <c r="G8444" s="2" t="str">
        <f>IF(Table1[[#This Row],[Is Data Valid]]=TRUE,((Table1[[#This Row],[Birthweight (grams)]]/Table1[[#This Row],[BW_GA]])-1)/(Backend!$B$4/100*Table1[[#This Row],[BW40_3705]]),"")</f>
        <v/>
      </c>
      <c r="H8444" s="7" t="str">
        <f>IF(Table1[[#This Row],[Is Data Valid]]=TRUE,((Table1[[#This Row],[Birthweight (grams)]]*0.9/Table1[[#This Row],[BW_GA]])-1)/(Backend!$B$4/100*Table1[[#This Row],[BW40_3705]]),"")</f>
        <v/>
      </c>
      <c r="I8444" s="7" t="str">
        <f>IF(Table1[[#This Row],[Is Data Valid]]=TRUE,((Table1[[#This Row],[Birthweight (grams)]]*1.1/Table1[[#This Row],[BW_GA]])-1)/(Backend!$B$4/100*Table1[[#This Row],[BW40_3705]]),"")</f>
        <v/>
      </c>
      <c r="J8444" s="7" t="str">
        <f>IF(Table1[[#This Row],[Is Data Valid]]=TRUE,_xlfn.NORM.S.DIST(Table1[[#This Row],[Birthweight Z-Score]],TRUE)*100,"")</f>
        <v/>
      </c>
      <c r="K8444" s="7" t="str">
        <f>IF(Table1[[#This Row],[Is Data Valid]]=TRUE,_xlfn.NORM.S.DIST(Table1[[#This Row],[Birthweight Z-Score (BW-10%)]],TRUE)*100,"")</f>
        <v/>
      </c>
      <c r="L8444" s="7" t="str">
        <f>IF(Table1[[#This Row],[Is Data Valid]]=TRUE,_xlfn.NORM.S.DIST(Table1[[#This Row],[Birthweight Z-Score (BW+10%)]],TRUE)*100,"")</f>
        <v/>
      </c>
    </row>
    <row r="8445" spans="1:12" x14ac:dyDescent="0.35">
      <c r="A8445" s="3"/>
      <c r="B8445" s="2"/>
      <c r="C8445" s="2"/>
      <c r="D8445" s="2" t="b">
        <f>IF(AND(NOT(ISBLANK(Table1[[#This Row],[Fetal Sex (Male, Female or Unknown)]])),ISNUMBER(Table1[[#This Row],[Birthweight (grams)]]),ISNUMBER(Table1[[#This Row],[Gestation (days)]])),TRUE,FALSE)</f>
        <v>0</v>
      </c>
      <c r="E8445" s="2" t="str">
        <f>IF(Table1[[#This Row],[Is Data Valid]]=TRUE,IF(Table1[[#This Row],[Fetal Sex (Male, Female or Unknown)]]="Male",Backend!$C$6,IF(Table1[[#This Row],[Fetal Sex (Male, Female or Unknown)]]="Female",Backend!$C$7,IF(Table1[[#This Row],[Fetal Sex (Male, Female or Unknown)]]="Unknown",Backend!$C$8,"Error"))),"")</f>
        <v/>
      </c>
      <c r="F8445" s="8" t="str">
        <f>IF(Table1[[#This Row],[Is Data Valid]]=TRUE,EXP(0.578+0.332*((Table1[[#This Row],[Gestation (days)]]+0.5)/7)-0.00354*((Table1[[#This Row],[Gestation (days)]]+0.5)/7)^2)*Table1[[#This Row],[BW40_3705]],"")</f>
        <v/>
      </c>
      <c r="G8445" s="2" t="str">
        <f>IF(Table1[[#This Row],[Is Data Valid]]=TRUE,((Table1[[#This Row],[Birthweight (grams)]]/Table1[[#This Row],[BW_GA]])-1)/(Backend!$B$4/100*Table1[[#This Row],[BW40_3705]]),"")</f>
        <v/>
      </c>
      <c r="H8445" s="7" t="str">
        <f>IF(Table1[[#This Row],[Is Data Valid]]=TRUE,((Table1[[#This Row],[Birthweight (grams)]]*0.9/Table1[[#This Row],[BW_GA]])-1)/(Backend!$B$4/100*Table1[[#This Row],[BW40_3705]]),"")</f>
        <v/>
      </c>
      <c r="I8445" s="7" t="str">
        <f>IF(Table1[[#This Row],[Is Data Valid]]=TRUE,((Table1[[#This Row],[Birthweight (grams)]]*1.1/Table1[[#This Row],[BW_GA]])-1)/(Backend!$B$4/100*Table1[[#This Row],[BW40_3705]]),"")</f>
        <v/>
      </c>
      <c r="J8445" s="7" t="str">
        <f>IF(Table1[[#This Row],[Is Data Valid]]=TRUE,_xlfn.NORM.S.DIST(Table1[[#This Row],[Birthweight Z-Score]],TRUE)*100,"")</f>
        <v/>
      </c>
      <c r="K8445" s="7" t="str">
        <f>IF(Table1[[#This Row],[Is Data Valid]]=TRUE,_xlfn.NORM.S.DIST(Table1[[#This Row],[Birthweight Z-Score (BW-10%)]],TRUE)*100,"")</f>
        <v/>
      </c>
      <c r="L8445" s="7" t="str">
        <f>IF(Table1[[#This Row],[Is Data Valid]]=TRUE,_xlfn.NORM.S.DIST(Table1[[#This Row],[Birthweight Z-Score (BW+10%)]],TRUE)*100,"")</f>
        <v/>
      </c>
    </row>
    <row r="8446" spans="1:12" x14ac:dyDescent="0.35">
      <c r="A8446" s="3"/>
      <c r="B8446" s="2"/>
      <c r="C8446" s="2"/>
      <c r="D8446" s="2" t="b">
        <f>IF(AND(NOT(ISBLANK(Table1[[#This Row],[Fetal Sex (Male, Female or Unknown)]])),ISNUMBER(Table1[[#This Row],[Birthweight (grams)]]),ISNUMBER(Table1[[#This Row],[Gestation (days)]])),TRUE,FALSE)</f>
        <v>0</v>
      </c>
      <c r="E8446" s="2" t="str">
        <f>IF(Table1[[#This Row],[Is Data Valid]]=TRUE,IF(Table1[[#This Row],[Fetal Sex (Male, Female or Unknown)]]="Male",Backend!$C$6,IF(Table1[[#This Row],[Fetal Sex (Male, Female or Unknown)]]="Female",Backend!$C$7,IF(Table1[[#This Row],[Fetal Sex (Male, Female or Unknown)]]="Unknown",Backend!$C$8,"Error"))),"")</f>
        <v/>
      </c>
      <c r="F8446" s="8" t="str">
        <f>IF(Table1[[#This Row],[Is Data Valid]]=TRUE,EXP(0.578+0.332*((Table1[[#This Row],[Gestation (days)]]+0.5)/7)-0.00354*((Table1[[#This Row],[Gestation (days)]]+0.5)/7)^2)*Table1[[#This Row],[BW40_3705]],"")</f>
        <v/>
      </c>
      <c r="G8446" s="2" t="str">
        <f>IF(Table1[[#This Row],[Is Data Valid]]=TRUE,((Table1[[#This Row],[Birthweight (grams)]]/Table1[[#This Row],[BW_GA]])-1)/(Backend!$B$4/100*Table1[[#This Row],[BW40_3705]]),"")</f>
        <v/>
      </c>
      <c r="H8446" s="7" t="str">
        <f>IF(Table1[[#This Row],[Is Data Valid]]=TRUE,((Table1[[#This Row],[Birthweight (grams)]]*0.9/Table1[[#This Row],[BW_GA]])-1)/(Backend!$B$4/100*Table1[[#This Row],[BW40_3705]]),"")</f>
        <v/>
      </c>
      <c r="I8446" s="7" t="str">
        <f>IF(Table1[[#This Row],[Is Data Valid]]=TRUE,((Table1[[#This Row],[Birthweight (grams)]]*1.1/Table1[[#This Row],[BW_GA]])-1)/(Backend!$B$4/100*Table1[[#This Row],[BW40_3705]]),"")</f>
        <v/>
      </c>
      <c r="J8446" s="7" t="str">
        <f>IF(Table1[[#This Row],[Is Data Valid]]=TRUE,_xlfn.NORM.S.DIST(Table1[[#This Row],[Birthweight Z-Score]],TRUE)*100,"")</f>
        <v/>
      </c>
      <c r="K8446" s="7" t="str">
        <f>IF(Table1[[#This Row],[Is Data Valid]]=TRUE,_xlfn.NORM.S.DIST(Table1[[#This Row],[Birthweight Z-Score (BW-10%)]],TRUE)*100,"")</f>
        <v/>
      </c>
      <c r="L8446" s="7" t="str">
        <f>IF(Table1[[#This Row],[Is Data Valid]]=TRUE,_xlfn.NORM.S.DIST(Table1[[#This Row],[Birthweight Z-Score (BW+10%)]],TRUE)*100,"")</f>
        <v/>
      </c>
    </row>
    <row r="8447" spans="1:12" x14ac:dyDescent="0.35">
      <c r="A8447" s="3"/>
      <c r="B8447" s="2"/>
      <c r="C8447" s="2"/>
      <c r="D8447" s="2" t="b">
        <f>IF(AND(NOT(ISBLANK(Table1[[#This Row],[Fetal Sex (Male, Female or Unknown)]])),ISNUMBER(Table1[[#This Row],[Birthweight (grams)]]),ISNUMBER(Table1[[#This Row],[Gestation (days)]])),TRUE,FALSE)</f>
        <v>0</v>
      </c>
      <c r="E8447" s="2" t="str">
        <f>IF(Table1[[#This Row],[Is Data Valid]]=TRUE,IF(Table1[[#This Row],[Fetal Sex (Male, Female or Unknown)]]="Male",Backend!$C$6,IF(Table1[[#This Row],[Fetal Sex (Male, Female or Unknown)]]="Female",Backend!$C$7,IF(Table1[[#This Row],[Fetal Sex (Male, Female or Unknown)]]="Unknown",Backend!$C$8,"Error"))),"")</f>
        <v/>
      </c>
      <c r="F8447" s="8" t="str">
        <f>IF(Table1[[#This Row],[Is Data Valid]]=TRUE,EXP(0.578+0.332*((Table1[[#This Row],[Gestation (days)]]+0.5)/7)-0.00354*((Table1[[#This Row],[Gestation (days)]]+0.5)/7)^2)*Table1[[#This Row],[BW40_3705]],"")</f>
        <v/>
      </c>
      <c r="G8447" s="2" t="str">
        <f>IF(Table1[[#This Row],[Is Data Valid]]=TRUE,((Table1[[#This Row],[Birthweight (grams)]]/Table1[[#This Row],[BW_GA]])-1)/(Backend!$B$4/100*Table1[[#This Row],[BW40_3705]]),"")</f>
        <v/>
      </c>
      <c r="H8447" s="7" t="str">
        <f>IF(Table1[[#This Row],[Is Data Valid]]=TRUE,((Table1[[#This Row],[Birthweight (grams)]]*0.9/Table1[[#This Row],[BW_GA]])-1)/(Backend!$B$4/100*Table1[[#This Row],[BW40_3705]]),"")</f>
        <v/>
      </c>
      <c r="I8447" s="7" t="str">
        <f>IF(Table1[[#This Row],[Is Data Valid]]=TRUE,((Table1[[#This Row],[Birthweight (grams)]]*1.1/Table1[[#This Row],[BW_GA]])-1)/(Backend!$B$4/100*Table1[[#This Row],[BW40_3705]]),"")</f>
        <v/>
      </c>
      <c r="J8447" s="7" t="str">
        <f>IF(Table1[[#This Row],[Is Data Valid]]=TRUE,_xlfn.NORM.S.DIST(Table1[[#This Row],[Birthweight Z-Score]],TRUE)*100,"")</f>
        <v/>
      </c>
      <c r="K8447" s="7" t="str">
        <f>IF(Table1[[#This Row],[Is Data Valid]]=TRUE,_xlfn.NORM.S.DIST(Table1[[#This Row],[Birthweight Z-Score (BW-10%)]],TRUE)*100,"")</f>
        <v/>
      </c>
      <c r="L8447" s="7" t="str">
        <f>IF(Table1[[#This Row],[Is Data Valid]]=TRUE,_xlfn.NORM.S.DIST(Table1[[#This Row],[Birthweight Z-Score (BW+10%)]],TRUE)*100,"")</f>
        <v/>
      </c>
    </row>
    <row r="8448" spans="1:12" x14ac:dyDescent="0.35">
      <c r="A8448" s="3"/>
      <c r="B8448" s="2"/>
      <c r="C8448" s="2"/>
      <c r="D8448" s="2" t="b">
        <f>IF(AND(NOT(ISBLANK(Table1[[#This Row],[Fetal Sex (Male, Female or Unknown)]])),ISNUMBER(Table1[[#This Row],[Birthweight (grams)]]),ISNUMBER(Table1[[#This Row],[Gestation (days)]])),TRUE,FALSE)</f>
        <v>0</v>
      </c>
      <c r="E8448" s="2" t="str">
        <f>IF(Table1[[#This Row],[Is Data Valid]]=TRUE,IF(Table1[[#This Row],[Fetal Sex (Male, Female or Unknown)]]="Male",Backend!$C$6,IF(Table1[[#This Row],[Fetal Sex (Male, Female or Unknown)]]="Female",Backend!$C$7,IF(Table1[[#This Row],[Fetal Sex (Male, Female or Unknown)]]="Unknown",Backend!$C$8,"Error"))),"")</f>
        <v/>
      </c>
      <c r="F8448" s="8" t="str">
        <f>IF(Table1[[#This Row],[Is Data Valid]]=TRUE,EXP(0.578+0.332*((Table1[[#This Row],[Gestation (days)]]+0.5)/7)-0.00354*((Table1[[#This Row],[Gestation (days)]]+0.5)/7)^2)*Table1[[#This Row],[BW40_3705]],"")</f>
        <v/>
      </c>
      <c r="G8448" s="2" t="str">
        <f>IF(Table1[[#This Row],[Is Data Valid]]=TRUE,((Table1[[#This Row],[Birthweight (grams)]]/Table1[[#This Row],[BW_GA]])-1)/(Backend!$B$4/100*Table1[[#This Row],[BW40_3705]]),"")</f>
        <v/>
      </c>
      <c r="H8448" s="7" t="str">
        <f>IF(Table1[[#This Row],[Is Data Valid]]=TRUE,((Table1[[#This Row],[Birthweight (grams)]]*0.9/Table1[[#This Row],[BW_GA]])-1)/(Backend!$B$4/100*Table1[[#This Row],[BW40_3705]]),"")</f>
        <v/>
      </c>
      <c r="I8448" s="7" t="str">
        <f>IF(Table1[[#This Row],[Is Data Valid]]=TRUE,((Table1[[#This Row],[Birthweight (grams)]]*1.1/Table1[[#This Row],[BW_GA]])-1)/(Backend!$B$4/100*Table1[[#This Row],[BW40_3705]]),"")</f>
        <v/>
      </c>
      <c r="J8448" s="7" t="str">
        <f>IF(Table1[[#This Row],[Is Data Valid]]=TRUE,_xlfn.NORM.S.DIST(Table1[[#This Row],[Birthweight Z-Score]],TRUE)*100,"")</f>
        <v/>
      </c>
      <c r="K8448" s="7" t="str">
        <f>IF(Table1[[#This Row],[Is Data Valid]]=TRUE,_xlfn.NORM.S.DIST(Table1[[#This Row],[Birthweight Z-Score (BW-10%)]],TRUE)*100,"")</f>
        <v/>
      </c>
      <c r="L8448" s="7" t="str">
        <f>IF(Table1[[#This Row],[Is Data Valid]]=TRUE,_xlfn.NORM.S.DIST(Table1[[#This Row],[Birthweight Z-Score (BW+10%)]],TRUE)*100,"")</f>
        <v/>
      </c>
    </row>
    <row r="8449" spans="1:12" x14ac:dyDescent="0.35">
      <c r="A8449" s="3"/>
      <c r="B8449" s="2"/>
      <c r="C8449" s="2"/>
      <c r="D8449" s="2" t="b">
        <f>IF(AND(NOT(ISBLANK(Table1[[#This Row],[Fetal Sex (Male, Female or Unknown)]])),ISNUMBER(Table1[[#This Row],[Birthweight (grams)]]),ISNUMBER(Table1[[#This Row],[Gestation (days)]])),TRUE,FALSE)</f>
        <v>0</v>
      </c>
      <c r="E8449" s="2" t="str">
        <f>IF(Table1[[#This Row],[Is Data Valid]]=TRUE,IF(Table1[[#This Row],[Fetal Sex (Male, Female or Unknown)]]="Male",Backend!$C$6,IF(Table1[[#This Row],[Fetal Sex (Male, Female or Unknown)]]="Female",Backend!$C$7,IF(Table1[[#This Row],[Fetal Sex (Male, Female or Unknown)]]="Unknown",Backend!$C$8,"Error"))),"")</f>
        <v/>
      </c>
      <c r="F8449" s="8" t="str">
        <f>IF(Table1[[#This Row],[Is Data Valid]]=TRUE,EXP(0.578+0.332*((Table1[[#This Row],[Gestation (days)]]+0.5)/7)-0.00354*((Table1[[#This Row],[Gestation (days)]]+0.5)/7)^2)*Table1[[#This Row],[BW40_3705]],"")</f>
        <v/>
      </c>
      <c r="G8449" s="2" t="str">
        <f>IF(Table1[[#This Row],[Is Data Valid]]=TRUE,((Table1[[#This Row],[Birthweight (grams)]]/Table1[[#This Row],[BW_GA]])-1)/(Backend!$B$4/100*Table1[[#This Row],[BW40_3705]]),"")</f>
        <v/>
      </c>
      <c r="H8449" s="7" t="str">
        <f>IF(Table1[[#This Row],[Is Data Valid]]=TRUE,((Table1[[#This Row],[Birthweight (grams)]]*0.9/Table1[[#This Row],[BW_GA]])-1)/(Backend!$B$4/100*Table1[[#This Row],[BW40_3705]]),"")</f>
        <v/>
      </c>
      <c r="I8449" s="7" t="str">
        <f>IF(Table1[[#This Row],[Is Data Valid]]=TRUE,((Table1[[#This Row],[Birthweight (grams)]]*1.1/Table1[[#This Row],[BW_GA]])-1)/(Backend!$B$4/100*Table1[[#This Row],[BW40_3705]]),"")</f>
        <v/>
      </c>
      <c r="J8449" s="7" t="str">
        <f>IF(Table1[[#This Row],[Is Data Valid]]=TRUE,_xlfn.NORM.S.DIST(Table1[[#This Row],[Birthweight Z-Score]],TRUE)*100,"")</f>
        <v/>
      </c>
      <c r="K8449" s="7" t="str">
        <f>IF(Table1[[#This Row],[Is Data Valid]]=TRUE,_xlfn.NORM.S.DIST(Table1[[#This Row],[Birthweight Z-Score (BW-10%)]],TRUE)*100,"")</f>
        <v/>
      </c>
      <c r="L8449" s="7" t="str">
        <f>IF(Table1[[#This Row],[Is Data Valid]]=TRUE,_xlfn.NORM.S.DIST(Table1[[#This Row],[Birthweight Z-Score (BW+10%)]],TRUE)*100,"")</f>
        <v/>
      </c>
    </row>
    <row r="8450" spans="1:12" x14ac:dyDescent="0.35">
      <c r="A8450" s="3"/>
      <c r="B8450" s="2"/>
      <c r="C8450" s="2"/>
      <c r="D8450" s="2" t="b">
        <f>IF(AND(NOT(ISBLANK(Table1[[#This Row],[Fetal Sex (Male, Female or Unknown)]])),ISNUMBER(Table1[[#This Row],[Birthweight (grams)]]),ISNUMBER(Table1[[#This Row],[Gestation (days)]])),TRUE,FALSE)</f>
        <v>0</v>
      </c>
      <c r="E8450" s="2" t="str">
        <f>IF(Table1[[#This Row],[Is Data Valid]]=TRUE,IF(Table1[[#This Row],[Fetal Sex (Male, Female or Unknown)]]="Male",Backend!$C$6,IF(Table1[[#This Row],[Fetal Sex (Male, Female or Unknown)]]="Female",Backend!$C$7,IF(Table1[[#This Row],[Fetal Sex (Male, Female or Unknown)]]="Unknown",Backend!$C$8,"Error"))),"")</f>
        <v/>
      </c>
      <c r="F8450" s="8" t="str">
        <f>IF(Table1[[#This Row],[Is Data Valid]]=TRUE,EXP(0.578+0.332*((Table1[[#This Row],[Gestation (days)]]+0.5)/7)-0.00354*((Table1[[#This Row],[Gestation (days)]]+0.5)/7)^2)*Table1[[#This Row],[BW40_3705]],"")</f>
        <v/>
      </c>
      <c r="G8450" s="2" t="str">
        <f>IF(Table1[[#This Row],[Is Data Valid]]=TRUE,((Table1[[#This Row],[Birthweight (grams)]]/Table1[[#This Row],[BW_GA]])-1)/(Backend!$B$4/100*Table1[[#This Row],[BW40_3705]]),"")</f>
        <v/>
      </c>
      <c r="H8450" s="7" t="str">
        <f>IF(Table1[[#This Row],[Is Data Valid]]=TRUE,((Table1[[#This Row],[Birthweight (grams)]]*0.9/Table1[[#This Row],[BW_GA]])-1)/(Backend!$B$4/100*Table1[[#This Row],[BW40_3705]]),"")</f>
        <v/>
      </c>
      <c r="I8450" s="7" t="str">
        <f>IF(Table1[[#This Row],[Is Data Valid]]=TRUE,((Table1[[#This Row],[Birthweight (grams)]]*1.1/Table1[[#This Row],[BW_GA]])-1)/(Backend!$B$4/100*Table1[[#This Row],[BW40_3705]]),"")</f>
        <v/>
      </c>
      <c r="J8450" s="7" t="str">
        <f>IF(Table1[[#This Row],[Is Data Valid]]=TRUE,_xlfn.NORM.S.DIST(Table1[[#This Row],[Birthweight Z-Score]],TRUE)*100,"")</f>
        <v/>
      </c>
      <c r="K8450" s="7" t="str">
        <f>IF(Table1[[#This Row],[Is Data Valid]]=TRUE,_xlfn.NORM.S.DIST(Table1[[#This Row],[Birthweight Z-Score (BW-10%)]],TRUE)*100,"")</f>
        <v/>
      </c>
      <c r="L8450" s="7" t="str">
        <f>IF(Table1[[#This Row],[Is Data Valid]]=TRUE,_xlfn.NORM.S.DIST(Table1[[#This Row],[Birthweight Z-Score (BW+10%)]],TRUE)*100,"")</f>
        <v/>
      </c>
    </row>
    <row r="8451" spans="1:12" x14ac:dyDescent="0.35">
      <c r="A8451" s="3"/>
      <c r="B8451" s="2"/>
      <c r="C8451" s="2"/>
      <c r="D8451" s="2" t="b">
        <f>IF(AND(NOT(ISBLANK(Table1[[#This Row],[Fetal Sex (Male, Female or Unknown)]])),ISNUMBER(Table1[[#This Row],[Birthweight (grams)]]),ISNUMBER(Table1[[#This Row],[Gestation (days)]])),TRUE,FALSE)</f>
        <v>0</v>
      </c>
      <c r="E8451" s="2" t="str">
        <f>IF(Table1[[#This Row],[Is Data Valid]]=TRUE,IF(Table1[[#This Row],[Fetal Sex (Male, Female or Unknown)]]="Male",Backend!$C$6,IF(Table1[[#This Row],[Fetal Sex (Male, Female or Unknown)]]="Female",Backend!$C$7,IF(Table1[[#This Row],[Fetal Sex (Male, Female or Unknown)]]="Unknown",Backend!$C$8,"Error"))),"")</f>
        <v/>
      </c>
      <c r="F8451" s="8" t="str">
        <f>IF(Table1[[#This Row],[Is Data Valid]]=TRUE,EXP(0.578+0.332*((Table1[[#This Row],[Gestation (days)]]+0.5)/7)-0.00354*((Table1[[#This Row],[Gestation (days)]]+0.5)/7)^2)*Table1[[#This Row],[BW40_3705]],"")</f>
        <v/>
      </c>
      <c r="G8451" s="2" t="str">
        <f>IF(Table1[[#This Row],[Is Data Valid]]=TRUE,((Table1[[#This Row],[Birthweight (grams)]]/Table1[[#This Row],[BW_GA]])-1)/(Backend!$B$4/100*Table1[[#This Row],[BW40_3705]]),"")</f>
        <v/>
      </c>
      <c r="H8451" s="7" t="str">
        <f>IF(Table1[[#This Row],[Is Data Valid]]=TRUE,((Table1[[#This Row],[Birthweight (grams)]]*0.9/Table1[[#This Row],[BW_GA]])-1)/(Backend!$B$4/100*Table1[[#This Row],[BW40_3705]]),"")</f>
        <v/>
      </c>
      <c r="I8451" s="7" t="str">
        <f>IF(Table1[[#This Row],[Is Data Valid]]=TRUE,((Table1[[#This Row],[Birthweight (grams)]]*1.1/Table1[[#This Row],[BW_GA]])-1)/(Backend!$B$4/100*Table1[[#This Row],[BW40_3705]]),"")</f>
        <v/>
      </c>
      <c r="J8451" s="7" t="str">
        <f>IF(Table1[[#This Row],[Is Data Valid]]=TRUE,_xlfn.NORM.S.DIST(Table1[[#This Row],[Birthweight Z-Score]],TRUE)*100,"")</f>
        <v/>
      </c>
      <c r="K8451" s="7" t="str">
        <f>IF(Table1[[#This Row],[Is Data Valid]]=TRUE,_xlfn.NORM.S.DIST(Table1[[#This Row],[Birthweight Z-Score (BW-10%)]],TRUE)*100,"")</f>
        <v/>
      </c>
      <c r="L8451" s="7" t="str">
        <f>IF(Table1[[#This Row],[Is Data Valid]]=TRUE,_xlfn.NORM.S.DIST(Table1[[#This Row],[Birthweight Z-Score (BW+10%)]],TRUE)*100,"")</f>
        <v/>
      </c>
    </row>
    <row r="8452" spans="1:12" x14ac:dyDescent="0.35">
      <c r="A8452" s="3"/>
      <c r="B8452" s="2"/>
      <c r="C8452" s="2"/>
      <c r="D8452" s="2" t="b">
        <f>IF(AND(NOT(ISBLANK(Table1[[#This Row],[Fetal Sex (Male, Female or Unknown)]])),ISNUMBER(Table1[[#This Row],[Birthweight (grams)]]),ISNUMBER(Table1[[#This Row],[Gestation (days)]])),TRUE,FALSE)</f>
        <v>0</v>
      </c>
      <c r="E8452" s="2" t="str">
        <f>IF(Table1[[#This Row],[Is Data Valid]]=TRUE,IF(Table1[[#This Row],[Fetal Sex (Male, Female or Unknown)]]="Male",Backend!$C$6,IF(Table1[[#This Row],[Fetal Sex (Male, Female or Unknown)]]="Female",Backend!$C$7,IF(Table1[[#This Row],[Fetal Sex (Male, Female or Unknown)]]="Unknown",Backend!$C$8,"Error"))),"")</f>
        <v/>
      </c>
      <c r="F8452" s="8" t="str">
        <f>IF(Table1[[#This Row],[Is Data Valid]]=TRUE,EXP(0.578+0.332*((Table1[[#This Row],[Gestation (days)]]+0.5)/7)-0.00354*((Table1[[#This Row],[Gestation (days)]]+0.5)/7)^2)*Table1[[#This Row],[BW40_3705]],"")</f>
        <v/>
      </c>
      <c r="G8452" s="2" t="str">
        <f>IF(Table1[[#This Row],[Is Data Valid]]=TRUE,((Table1[[#This Row],[Birthweight (grams)]]/Table1[[#This Row],[BW_GA]])-1)/(Backend!$B$4/100*Table1[[#This Row],[BW40_3705]]),"")</f>
        <v/>
      </c>
      <c r="H8452" s="7" t="str">
        <f>IF(Table1[[#This Row],[Is Data Valid]]=TRUE,((Table1[[#This Row],[Birthweight (grams)]]*0.9/Table1[[#This Row],[BW_GA]])-1)/(Backend!$B$4/100*Table1[[#This Row],[BW40_3705]]),"")</f>
        <v/>
      </c>
      <c r="I8452" s="7" t="str">
        <f>IF(Table1[[#This Row],[Is Data Valid]]=TRUE,((Table1[[#This Row],[Birthweight (grams)]]*1.1/Table1[[#This Row],[BW_GA]])-1)/(Backend!$B$4/100*Table1[[#This Row],[BW40_3705]]),"")</f>
        <v/>
      </c>
      <c r="J8452" s="7" t="str">
        <f>IF(Table1[[#This Row],[Is Data Valid]]=TRUE,_xlfn.NORM.S.DIST(Table1[[#This Row],[Birthweight Z-Score]],TRUE)*100,"")</f>
        <v/>
      </c>
      <c r="K8452" s="7" t="str">
        <f>IF(Table1[[#This Row],[Is Data Valid]]=TRUE,_xlfn.NORM.S.DIST(Table1[[#This Row],[Birthweight Z-Score (BW-10%)]],TRUE)*100,"")</f>
        <v/>
      </c>
      <c r="L8452" s="7" t="str">
        <f>IF(Table1[[#This Row],[Is Data Valid]]=TRUE,_xlfn.NORM.S.DIST(Table1[[#This Row],[Birthweight Z-Score (BW+10%)]],TRUE)*100,"")</f>
        <v/>
      </c>
    </row>
    <row r="8453" spans="1:12" x14ac:dyDescent="0.35">
      <c r="A8453" s="3"/>
      <c r="B8453" s="2"/>
      <c r="C8453" s="2"/>
      <c r="D8453" s="2" t="b">
        <f>IF(AND(NOT(ISBLANK(Table1[[#This Row],[Fetal Sex (Male, Female or Unknown)]])),ISNUMBER(Table1[[#This Row],[Birthweight (grams)]]),ISNUMBER(Table1[[#This Row],[Gestation (days)]])),TRUE,FALSE)</f>
        <v>0</v>
      </c>
      <c r="E8453" s="2" t="str">
        <f>IF(Table1[[#This Row],[Is Data Valid]]=TRUE,IF(Table1[[#This Row],[Fetal Sex (Male, Female or Unknown)]]="Male",Backend!$C$6,IF(Table1[[#This Row],[Fetal Sex (Male, Female or Unknown)]]="Female",Backend!$C$7,IF(Table1[[#This Row],[Fetal Sex (Male, Female or Unknown)]]="Unknown",Backend!$C$8,"Error"))),"")</f>
        <v/>
      </c>
      <c r="F8453" s="8" t="str">
        <f>IF(Table1[[#This Row],[Is Data Valid]]=TRUE,EXP(0.578+0.332*((Table1[[#This Row],[Gestation (days)]]+0.5)/7)-0.00354*((Table1[[#This Row],[Gestation (days)]]+0.5)/7)^2)*Table1[[#This Row],[BW40_3705]],"")</f>
        <v/>
      </c>
      <c r="G8453" s="2" t="str">
        <f>IF(Table1[[#This Row],[Is Data Valid]]=TRUE,((Table1[[#This Row],[Birthweight (grams)]]/Table1[[#This Row],[BW_GA]])-1)/(Backend!$B$4/100*Table1[[#This Row],[BW40_3705]]),"")</f>
        <v/>
      </c>
      <c r="H8453" s="7" t="str">
        <f>IF(Table1[[#This Row],[Is Data Valid]]=TRUE,((Table1[[#This Row],[Birthweight (grams)]]*0.9/Table1[[#This Row],[BW_GA]])-1)/(Backend!$B$4/100*Table1[[#This Row],[BW40_3705]]),"")</f>
        <v/>
      </c>
      <c r="I8453" s="7" t="str">
        <f>IF(Table1[[#This Row],[Is Data Valid]]=TRUE,((Table1[[#This Row],[Birthweight (grams)]]*1.1/Table1[[#This Row],[BW_GA]])-1)/(Backend!$B$4/100*Table1[[#This Row],[BW40_3705]]),"")</f>
        <v/>
      </c>
      <c r="J8453" s="7" t="str">
        <f>IF(Table1[[#This Row],[Is Data Valid]]=TRUE,_xlfn.NORM.S.DIST(Table1[[#This Row],[Birthweight Z-Score]],TRUE)*100,"")</f>
        <v/>
      </c>
      <c r="K8453" s="7" t="str">
        <f>IF(Table1[[#This Row],[Is Data Valid]]=TRUE,_xlfn.NORM.S.DIST(Table1[[#This Row],[Birthweight Z-Score (BW-10%)]],TRUE)*100,"")</f>
        <v/>
      </c>
      <c r="L8453" s="7" t="str">
        <f>IF(Table1[[#This Row],[Is Data Valid]]=TRUE,_xlfn.NORM.S.DIST(Table1[[#This Row],[Birthweight Z-Score (BW+10%)]],TRUE)*100,"")</f>
        <v/>
      </c>
    </row>
    <row r="8454" spans="1:12" x14ac:dyDescent="0.35">
      <c r="A8454" s="3"/>
      <c r="B8454" s="2"/>
      <c r="C8454" s="2"/>
      <c r="D8454" s="2" t="b">
        <f>IF(AND(NOT(ISBLANK(Table1[[#This Row],[Fetal Sex (Male, Female or Unknown)]])),ISNUMBER(Table1[[#This Row],[Birthweight (grams)]]),ISNUMBER(Table1[[#This Row],[Gestation (days)]])),TRUE,FALSE)</f>
        <v>0</v>
      </c>
      <c r="E8454" s="2" t="str">
        <f>IF(Table1[[#This Row],[Is Data Valid]]=TRUE,IF(Table1[[#This Row],[Fetal Sex (Male, Female or Unknown)]]="Male",Backend!$C$6,IF(Table1[[#This Row],[Fetal Sex (Male, Female or Unknown)]]="Female",Backend!$C$7,IF(Table1[[#This Row],[Fetal Sex (Male, Female or Unknown)]]="Unknown",Backend!$C$8,"Error"))),"")</f>
        <v/>
      </c>
      <c r="F8454" s="8" t="str">
        <f>IF(Table1[[#This Row],[Is Data Valid]]=TRUE,EXP(0.578+0.332*((Table1[[#This Row],[Gestation (days)]]+0.5)/7)-0.00354*((Table1[[#This Row],[Gestation (days)]]+0.5)/7)^2)*Table1[[#This Row],[BW40_3705]],"")</f>
        <v/>
      </c>
      <c r="G8454" s="2" t="str">
        <f>IF(Table1[[#This Row],[Is Data Valid]]=TRUE,((Table1[[#This Row],[Birthweight (grams)]]/Table1[[#This Row],[BW_GA]])-1)/(Backend!$B$4/100*Table1[[#This Row],[BW40_3705]]),"")</f>
        <v/>
      </c>
      <c r="H8454" s="7" t="str">
        <f>IF(Table1[[#This Row],[Is Data Valid]]=TRUE,((Table1[[#This Row],[Birthweight (grams)]]*0.9/Table1[[#This Row],[BW_GA]])-1)/(Backend!$B$4/100*Table1[[#This Row],[BW40_3705]]),"")</f>
        <v/>
      </c>
      <c r="I8454" s="7" t="str">
        <f>IF(Table1[[#This Row],[Is Data Valid]]=TRUE,((Table1[[#This Row],[Birthweight (grams)]]*1.1/Table1[[#This Row],[BW_GA]])-1)/(Backend!$B$4/100*Table1[[#This Row],[BW40_3705]]),"")</f>
        <v/>
      </c>
      <c r="J8454" s="7" t="str">
        <f>IF(Table1[[#This Row],[Is Data Valid]]=TRUE,_xlfn.NORM.S.DIST(Table1[[#This Row],[Birthweight Z-Score]],TRUE)*100,"")</f>
        <v/>
      </c>
      <c r="K8454" s="7" t="str">
        <f>IF(Table1[[#This Row],[Is Data Valid]]=TRUE,_xlfn.NORM.S.DIST(Table1[[#This Row],[Birthweight Z-Score (BW-10%)]],TRUE)*100,"")</f>
        <v/>
      </c>
      <c r="L8454" s="7" t="str">
        <f>IF(Table1[[#This Row],[Is Data Valid]]=TRUE,_xlfn.NORM.S.DIST(Table1[[#This Row],[Birthweight Z-Score (BW+10%)]],TRUE)*100,"")</f>
        <v/>
      </c>
    </row>
    <row r="8455" spans="1:12" x14ac:dyDescent="0.35">
      <c r="A8455" s="3"/>
      <c r="B8455" s="2"/>
      <c r="C8455" s="2"/>
      <c r="D8455" s="2" t="b">
        <f>IF(AND(NOT(ISBLANK(Table1[[#This Row],[Fetal Sex (Male, Female or Unknown)]])),ISNUMBER(Table1[[#This Row],[Birthweight (grams)]]),ISNUMBER(Table1[[#This Row],[Gestation (days)]])),TRUE,FALSE)</f>
        <v>0</v>
      </c>
      <c r="E8455" s="2" t="str">
        <f>IF(Table1[[#This Row],[Is Data Valid]]=TRUE,IF(Table1[[#This Row],[Fetal Sex (Male, Female or Unknown)]]="Male",Backend!$C$6,IF(Table1[[#This Row],[Fetal Sex (Male, Female or Unknown)]]="Female",Backend!$C$7,IF(Table1[[#This Row],[Fetal Sex (Male, Female or Unknown)]]="Unknown",Backend!$C$8,"Error"))),"")</f>
        <v/>
      </c>
      <c r="F8455" s="8" t="str">
        <f>IF(Table1[[#This Row],[Is Data Valid]]=TRUE,EXP(0.578+0.332*((Table1[[#This Row],[Gestation (days)]]+0.5)/7)-0.00354*((Table1[[#This Row],[Gestation (days)]]+0.5)/7)^2)*Table1[[#This Row],[BW40_3705]],"")</f>
        <v/>
      </c>
      <c r="G8455" s="2" t="str">
        <f>IF(Table1[[#This Row],[Is Data Valid]]=TRUE,((Table1[[#This Row],[Birthweight (grams)]]/Table1[[#This Row],[BW_GA]])-1)/(Backend!$B$4/100*Table1[[#This Row],[BW40_3705]]),"")</f>
        <v/>
      </c>
      <c r="H8455" s="7" t="str">
        <f>IF(Table1[[#This Row],[Is Data Valid]]=TRUE,((Table1[[#This Row],[Birthweight (grams)]]*0.9/Table1[[#This Row],[BW_GA]])-1)/(Backend!$B$4/100*Table1[[#This Row],[BW40_3705]]),"")</f>
        <v/>
      </c>
      <c r="I8455" s="7" t="str">
        <f>IF(Table1[[#This Row],[Is Data Valid]]=TRUE,((Table1[[#This Row],[Birthweight (grams)]]*1.1/Table1[[#This Row],[BW_GA]])-1)/(Backend!$B$4/100*Table1[[#This Row],[BW40_3705]]),"")</f>
        <v/>
      </c>
      <c r="J8455" s="7" t="str">
        <f>IF(Table1[[#This Row],[Is Data Valid]]=TRUE,_xlfn.NORM.S.DIST(Table1[[#This Row],[Birthweight Z-Score]],TRUE)*100,"")</f>
        <v/>
      </c>
      <c r="K8455" s="7" t="str">
        <f>IF(Table1[[#This Row],[Is Data Valid]]=TRUE,_xlfn.NORM.S.DIST(Table1[[#This Row],[Birthweight Z-Score (BW-10%)]],TRUE)*100,"")</f>
        <v/>
      </c>
      <c r="L8455" s="7" t="str">
        <f>IF(Table1[[#This Row],[Is Data Valid]]=TRUE,_xlfn.NORM.S.DIST(Table1[[#This Row],[Birthweight Z-Score (BW+10%)]],TRUE)*100,"")</f>
        <v/>
      </c>
    </row>
    <row r="8456" spans="1:12" x14ac:dyDescent="0.35">
      <c r="A8456" s="3"/>
      <c r="B8456" s="2"/>
      <c r="C8456" s="2"/>
      <c r="D8456" s="2" t="b">
        <f>IF(AND(NOT(ISBLANK(Table1[[#This Row],[Fetal Sex (Male, Female or Unknown)]])),ISNUMBER(Table1[[#This Row],[Birthweight (grams)]]),ISNUMBER(Table1[[#This Row],[Gestation (days)]])),TRUE,FALSE)</f>
        <v>0</v>
      </c>
      <c r="E8456" s="2" t="str">
        <f>IF(Table1[[#This Row],[Is Data Valid]]=TRUE,IF(Table1[[#This Row],[Fetal Sex (Male, Female or Unknown)]]="Male",Backend!$C$6,IF(Table1[[#This Row],[Fetal Sex (Male, Female or Unknown)]]="Female",Backend!$C$7,IF(Table1[[#This Row],[Fetal Sex (Male, Female or Unknown)]]="Unknown",Backend!$C$8,"Error"))),"")</f>
        <v/>
      </c>
      <c r="F8456" s="8" t="str">
        <f>IF(Table1[[#This Row],[Is Data Valid]]=TRUE,EXP(0.578+0.332*((Table1[[#This Row],[Gestation (days)]]+0.5)/7)-0.00354*((Table1[[#This Row],[Gestation (days)]]+0.5)/7)^2)*Table1[[#This Row],[BW40_3705]],"")</f>
        <v/>
      </c>
      <c r="G8456" s="2" t="str">
        <f>IF(Table1[[#This Row],[Is Data Valid]]=TRUE,((Table1[[#This Row],[Birthweight (grams)]]/Table1[[#This Row],[BW_GA]])-1)/(Backend!$B$4/100*Table1[[#This Row],[BW40_3705]]),"")</f>
        <v/>
      </c>
      <c r="H8456" s="7" t="str">
        <f>IF(Table1[[#This Row],[Is Data Valid]]=TRUE,((Table1[[#This Row],[Birthweight (grams)]]*0.9/Table1[[#This Row],[BW_GA]])-1)/(Backend!$B$4/100*Table1[[#This Row],[BW40_3705]]),"")</f>
        <v/>
      </c>
      <c r="I8456" s="7" t="str">
        <f>IF(Table1[[#This Row],[Is Data Valid]]=TRUE,((Table1[[#This Row],[Birthweight (grams)]]*1.1/Table1[[#This Row],[BW_GA]])-1)/(Backend!$B$4/100*Table1[[#This Row],[BW40_3705]]),"")</f>
        <v/>
      </c>
      <c r="J8456" s="7" t="str">
        <f>IF(Table1[[#This Row],[Is Data Valid]]=TRUE,_xlfn.NORM.S.DIST(Table1[[#This Row],[Birthweight Z-Score]],TRUE)*100,"")</f>
        <v/>
      </c>
      <c r="K8456" s="7" t="str">
        <f>IF(Table1[[#This Row],[Is Data Valid]]=TRUE,_xlfn.NORM.S.DIST(Table1[[#This Row],[Birthweight Z-Score (BW-10%)]],TRUE)*100,"")</f>
        <v/>
      </c>
      <c r="L8456" s="7" t="str">
        <f>IF(Table1[[#This Row],[Is Data Valid]]=TRUE,_xlfn.NORM.S.DIST(Table1[[#This Row],[Birthweight Z-Score (BW+10%)]],TRUE)*100,"")</f>
        <v/>
      </c>
    </row>
    <row r="8457" spans="1:12" x14ac:dyDescent="0.35">
      <c r="A8457" s="3"/>
      <c r="B8457" s="2"/>
      <c r="C8457" s="2"/>
      <c r="D8457" s="2" t="b">
        <f>IF(AND(NOT(ISBLANK(Table1[[#This Row],[Fetal Sex (Male, Female or Unknown)]])),ISNUMBER(Table1[[#This Row],[Birthweight (grams)]]),ISNUMBER(Table1[[#This Row],[Gestation (days)]])),TRUE,FALSE)</f>
        <v>0</v>
      </c>
      <c r="E8457" s="2" t="str">
        <f>IF(Table1[[#This Row],[Is Data Valid]]=TRUE,IF(Table1[[#This Row],[Fetal Sex (Male, Female or Unknown)]]="Male",Backend!$C$6,IF(Table1[[#This Row],[Fetal Sex (Male, Female or Unknown)]]="Female",Backend!$C$7,IF(Table1[[#This Row],[Fetal Sex (Male, Female or Unknown)]]="Unknown",Backend!$C$8,"Error"))),"")</f>
        <v/>
      </c>
      <c r="F8457" s="8" t="str">
        <f>IF(Table1[[#This Row],[Is Data Valid]]=TRUE,EXP(0.578+0.332*((Table1[[#This Row],[Gestation (days)]]+0.5)/7)-0.00354*((Table1[[#This Row],[Gestation (days)]]+0.5)/7)^2)*Table1[[#This Row],[BW40_3705]],"")</f>
        <v/>
      </c>
      <c r="G8457" s="2" t="str">
        <f>IF(Table1[[#This Row],[Is Data Valid]]=TRUE,((Table1[[#This Row],[Birthweight (grams)]]/Table1[[#This Row],[BW_GA]])-1)/(Backend!$B$4/100*Table1[[#This Row],[BW40_3705]]),"")</f>
        <v/>
      </c>
      <c r="H8457" s="7" t="str">
        <f>IF(Table1[[#This Row],[Is Data Valid]]=TRUE,((Table1[[#This Row],[Birthweight (grams)]]*0.9/Table1[[#This Row],[BW_GA]])-1)/(Backend!$B$4/100*Table1[[#This Row],[BW40_3705]]),"")</f>
        <v/>
      </c>
      <c r="I8457" s="7" t="str">
        <f>IF(Table1[[#This Row],[Is Data Valid]]=TRUE,((Table1[[#This Row],[Birthweight (grams)]]*1.1/Table1[[#This Row],[BW_GA]])-1)/(Backend!$B$4/100*Table1[[#This Row],[BW40_3705]]),"")</f>
        <v/>
      </c>
      <c r="J8457" s="7" t="str">
        <f>IF(Table1[[#This Row],[Is Data Valid]]=TRUE,_xlfn.NORM.S.DIST(Table1[[#This Row],[Birthweight Z-Score]],TRUE)*100,"")</f>
        <v/>
      </c>
      <c r="K8457" s="7" t="str">
        <f>IF(Table1[[#This Row],[Is Data Valid]]=TRUE,_xlfn.NORM.S.DIST(Table1[[#This Row],[Birthweight Z-Score (BW-10%)]],TRUE)*100,"")</f>
        <v/>
      </c>
      <c r="L8457" s="7" t="str">
        <f>IF(Table1[[#This Row],[Is Data Valid]]=TRUE,_xlfn.NORM.S.DIST(Table1[[#This Row],[Birthweight Z-Score (BW+10%)]],TRUE)*100,"")</f>
        <v/>
      </c>
    </row>
    <row r="8458" spans="1:12" x14ac:dyDescent="0.35">
      <c r="A8458" s="3"/>
      <c r="B8458" s="2"/>
      <c r="C8458" s="2"/>
      <c r="D8458" s="2" t="b">
        <f>IF(AND(NOT(ISBLANK(Table1[[#This Row],[Fetal Sex (Male, Female or Unknown)]])),ISNUMBER(Table1[[#This Row],[Birthweight (grams)]]),ISNUMBER(Table1[[#This Row],[Gestation (days)]])),TRUE,FALSE)</f>
        <v>0</v>
      </c>
      <c r="E8458" s="2" t="str">
        <f>IF(Table1[[#This Row],[Is Data Valid]]=TRUE,IF(Table1[[#This Row],[Fetal Sex (Male, Female or Unknown)]]="Male",Backend!$C$6,IF(Table1[[#This Row],[Fetal Sex (Male, Female or Unknown)]]="Female",Backend!$C$7,IF(Table1[[#This Row],[Fetal Sex (Male, Female or Unknown)]]="Unknown",Backend!$C$8,"Error"))),"")</f>
        <v/>
      </c>
      <c r="F8458" s="8" t="str">
        <f>IF(Table1[[#This Row],[Is Data Valid]]=TRUE,EXP(0.578+0.332*((Table1[[#This Row],[Gestation (days)]]+0.5)/7)-0.00354*((Table1[[#This Row],[Gestation (days)]]+0.5)/7)^2)*Table1[[#This Row],[BW40_3705]],"")</f>
        <v/>
      </c>
      <c r="G8458" s="2" t="str">
        <f>IF(Table1[[#This Row],[Is Data Valid]]=TRUE,((Table1[[#This Row],[Birthweight (grams)]]/Table1[[#This Row],[BW_GA]])-1)/(Backend!$B$4/100*Table1[[#This Row],[BW40_3705]]),"")</f>
        <v/>
      </c>
      <c r="H8458" s="7" t="str">
        <f>IF(Table1[[#This Row],[Is Data Valid]]=TRUE,((Table1[[#This Row],[Birthweight (grams)]]*0.9/Table1[[#This Row],[BW_GA]])-1)/(Backend!$B$4/100*Table1[[#This Row],[BW40_3705]]),"")</f>
        <v/>
      </c>
      <c r="I8458" s="7" t="str">
        <f>IF(Table1[[#This Row],[Is Data Valid]]=TRUE,((Table1[[#This Row],[Birthweight (grams)]]*1.1/Table1[[#This Row],[BW_GA]])-1)/(Backend!$B$4/100*Table1[[#This Row],[BW40_3705]]),"")</f>
        <v/>
      </c>
      <c r="J8458" s="7" t="str">
        <f>IF(Table1[[#This Row],[Is Data Valid]]=TRUE,_xlfn.NORM.S.DIST(Table1[[#This Row],[Birthweight Z-Score]],TRUE)*100,"")</f>
        <v/>
      </c>
      <c r="K8458" s="7" t="str">
        <f>IF(Table1[[#This Row],[Is Data Valid]]=TRUE,_xlfn.NORM.S.DIST(Table1[[#This Row],[Birthweight Z-Score (BW-10%)]],TRUE)*100,"")</f>
        <v/>
      </c>
      <c r="L8458" s="7" t="str">
        <f>IF(Table1[[#This Row],[Is Data Valid]]=TRUE,_xlfn.NORM.S.DIST(Table1[[#This Row],[Birthweight Z-Score (BW+10%)]],TRUE)*100,"")</f>
        <v/>
      </c>
    </row>
    <row r="8459" spans="1:12" x14ac:dyDescent="0.35">
      <c r="A8459" s="3"/>
      <c r="B8459" s="2"/>
      <c r="C8459" s="2"/>
      <c r="D8459" s="2" t="b">
        <f>IF(AND(NOT(ISBLANK(Table1[[#This Row],[Fetal Sex (Male, Female or Unknown)]])),ISNUMBER(Table1[[#This Row],[Birthweight (grams)]]),ISNUMBER(Table1[[#This Row],[Gestation (days)]])),TRUE,FALSE)</f>
        <v>0</v>
      </c>
      <c r="E8459" s="2" t="str">
        <f>IF(Table1[[#This Row],[Is Data Valid]]=TRUE,IF(Table1[[#This Row],[Fetal Sex (Male, Female or Unknown)]]="Male",Backend!$C$6,IF(Table1[[#This Row],[Fetal Sex (Male, Female or Unknown)]]="Female",Backend!$C$7,IF(Table1[[#This Row],[Fetal Sex (Male, Female or Unknown)]]="Unknown",Backend!$C$8,"Error"))),"")</f>
        <v/>
      </c>
      <c r="F8459" s="8" t="str">
        <f>IF(Table1[[#This Row],[Is Data Valid]]=TRUE,EXP(0.578+0.332*((Table1[[#This Row],[Gestation (days)]]+0.5)/7)-0.00354*((Table1[[#This Row],[Gestation (days)]]+0.5)/7)^2)*Table1[[#This Row],[BW40_3705]],"")</f>
        <v/>
      </c>
      <c r="G8459" s="2" t="str">
        <f>IF(Table1[[#This Row],[Is Data Valid]]=TRUE,((Table1[[#This Row],[Birthweight (grams)]]/Table1[[#This Row],[BW_GA]])-1)/(Backend!$B$4/100*Table1[[#This Row],[BW40_3705]]),"")</f>
        <v/>
      </c>
      <c r="H8459" s="7" t="str">
        <f>IF(Table1[[#This Row],[Is Data Valid]]=TRUE,((Table1[[#This Row],[Birthweight (grams)]]*0.9/Table1[[#This Row],[BW_GA]])-1)/(Backend!$B$4/100*Table1[[#This Row],[BW40_3705]]),"")</f>
        <v/>
      </c>
      <c r="I8459" s="7" t="str">
        <f>IF(Table1[[#This Row],[Is Data Valid]]=TRUE,((Table1[[#This Row],[Birthweight (grams)]]*1.1/Table1[[#This Row],[BW_GA]])-1)/(Backend!$B$4/100*Table1[[#This Row],[BW40_3705]]),"")</f>
        <v/>
      </c>
      <c r="J8459" s="7" t="str">
        <f>IF(Table1[[#This Row],[Is Data Valid]]=TRUE,_xlfn.NORM.S.DIST(Table1[[#This Row],[Birthweight Z-Score]],TRUE)*100,"")</f>
        <v/>
      </c>
      <c r="K8459" s="7" t="str">
        <f>IF(Table1[[#This Row],[Is Data Valid]]=TRUE,_xlfn.NORM.S.DIST(Table1[[#This Row],[Birthweight Z-Score (BW-10%)]],TRUE)*100,"")</f>
        <v/>
      </c>
      <c r="L8459" s="7" t="str">
        <f>IF(Table1[[#This Row],[Is Data Valid]]=TRUE,_xlfn.NORM.S.DIST(Table1[[#This Row],[Birthweight Z-Score (BW+10%)]],TRUE)*100,"")</f>
        <v/>
      </c>
    </row>
    <row r="8460" spans="1:12" x14ac:dyDescent="0.35">
      <c r="A8460" s="3"/>
      <c r="B8460" s="2"/>
      <c r="C8460" s="2"/>
      <c r="D8460" s="2" t="b">
        <f>IF(AND(NOT(ISBLANK(Table1[[#This Row],[Fetal Sex (Male, Female or Unknown)]])),ISNUMBER(Table1[[#This Row],[Birthweight (grams)]]),ISNUMBER(Table1[[#This Row],[Gestation (days)]])),TRUE,FALSE)</f>
        <v>0</v>
      </c>
      <c r="E8460" s="2" t="str">
        <f>IF(Table1[[#This Row],[Is Data Valid]]=TRUE,IF(Table1[[#This Row],[Fetal Sex (Male, Female or Unknown)]]="Male",Backend!$C$6,IF(Table1[[#This Row],[Fetal Sex (Male, Female or Unknown)]]="Female",Backend!$C$7,IF(Table1[[#This Row],[Fetal Sex (Male, Female or Unknown)]]="Unknown",Backend!$C$8,"Error"))),"")</f>
        <v/>
      </c>
      <c r="F8460" s="8" t="str">
        <f>IF(Table1[[#This Row],[Is Data Valid]]=TRUE,EXP(0.578+0.332*((Table1[[#This Row],[Gestation (days)]]+0.5)/7)-0.00354*((Table1[[#This Row],[Gestation (days)]]+0.5)/7)^2)*Table1[[#This Row],[BW40_3705]],"")</f>
        <v/>
      </c>
      <c r="G8460" s="2" t="str">
        <f>IF(Table1[[#This Row],[Is Data Valid]]=TRUE,((Table1[[#This Row],[Birthweight (grams)]]/Table1[[#This Row],[BW_GA]])-1)/(Backend!$B$4/100*Table1[[#This Row],[BW40_3705]]),"")</f>
        <v/>
      </c>
      <c r="H8460" s="7" t="str">
        <f>IF(Table1[[#This Row],[Is Data Valid]]=TRUE,((Table1[[#This Row],[Birthweight (grams)]]*0.9/Table1[[#This Row],[BW_GA]])-1)/(Backend!$B$4/100*Table1[[#This Row],[BW40_3705]]),"")</f>
        <v/>
      </c>
      <c r="I8460" s="7" t="str">
        <f>IF(Table1[[#This Row],[Is Data Valid]]=TRUE,((Table1[[#This Row],[Birthweight (grams)]]*1.1/Table1[[#This Row],[BW_GA]])-1)/(Backend!$B$4/100*Table1[[#This Row],[BW40_3705]]),"")</f>
        <v/>
      </c>
      <c r="J8460" s="7" t="str">
        <f>IF(Table1[[#This Row],[Is Data Valid]]=TRUE,_xlfn.NORM.S.DIST(Table1[[#This Row],[Birthweight Z-Score]],TRUE)*100,"")</f>
        <v/>
      </c>
      <c r="K8460" s="7" t="str">
        <f>IF(Table1[[#This Row],[Is Data Valid]]=TRUE,_xlfn.NORM.S.DIST(Table1[[#This Row],[Birthweight Z-Score (BW-10%)]],TRUE)*100,"")</f>
        <v/>
      </c>
      <c r="L8460" s="7" t="str">
        <f>IF(Table1[[#This Row],[Is Data Valid]]=TRUE,_xlfn.NORM.S.DIST(Table1[[#This Row],[Birthweight Z-Score (BW+10%)]],TRUE)*100,"")</f>
        <v/>
      </c>
    </row>
    <row r="8461" spans="1:12" x14ac:dyDescent="0.35">
      <c r="A8461" s="3"/>
      <c r="B8461" s="2"/>
      <c r="C8461" s="2"/>
      <c r="D8461" s="2" t="b">
        <f>IF(AND(NOT(ISBLANK(Table1[[#This Row],[Fetal Sex (Male, Female or Unknown)]])),ISNUMBER(Table1[[#This Row],[Birthweight (grams)]]),ISNUMBER(Table1[[#This Row],[Gestation (days)]])),TRUE,FALSE)</f>
        <v>0</v>
      </c>
      <c r="E8461" s="2" t="str">
        <f>IF(Table1[[#This Row],[Is Data Valid]]=TRUE,IF(Table1[[#This Row],[Fetal Sex (Male, Female or Unknown)]]="Male",Backend!$C$6,IF(Table1[[#This Row],[Fetal Sex (Male, Female or Unknown)]]="Female",Backend!$C$7,IF(Table1[[#This Row],[Fetal Sex (Male, Female or Unknown)]]="Unknown",Backend!$C$8,"Error"))),"")</f>
        <v/>
      </c>
      <c r="F8461" s="8" t="str">
        <f>IF(Table1[[#This Row],[Is Data Valid]]=TRUE,EXP(0.578+0.332*((Table1[[#This Row],[Gestation (days)]]+0.5)/7)-0.00354*((Table1[[#This Row],[Gestation (days)]]+0.5)/7)^2)*Table1[[#This Row],[BW40_3705]],"")</f>
        <v/>
      </c>
      <c r="G8461" s="2" t="str">
        <f>IF(Table1[[#This Row],[Is Data Valid]]=TRUE,((Table1[[#This Row],[Birthweight (grams)]]/Table1[[#This Row],[BW_GA]])-1)/(Backend!$B$4/100*Table1[[#This Row],[BW40_3705]]),"")</f>
        <v/>
      </c>
      <c r="H8461" s="7" t="str">
        <f>IF(Table1[[#This Row],[Is Data Valid]]=TRUE,((Table1[[#This Row],[Birthweight (grams)]]*0.9/Table1[[#This Row],[BW_GA]])-1)/(Backend!$B$4/100*Table1[[#This Row],[BW40_3705]]),"")</f>
        <v/>
      </c>
      <c r="I8461" s="7" t="str">
        <f>IF(Table1[[#This Row],[Is Data Valid]]=TRUE,((Table1[[#This Row],[Birthweight (grams)]]*1.1/Table1[[#This Row],[BW_GA]])-1)/(Backend!$B$4/100*Table1[[#This Row],[BW40_3705]]),"")</f>
        <v/>
      </c>
      <c r="J8461" s="7" t="str">
        <f>IF(Table1[[#This Row],[Is Data Valid]]=TRUE,_xlfn.NORM.S.DIST(Table1[[#This Row],[Birthweight Z-Score]],TRUE)*100,"")</f>
        <v/>
      </c>
      <c r="K8461" s="7" t="str">
        <f>IF(Table1[[#This Row],[Is Data Valid]]=TRUE,_xlfn.NORM.S.DIST(Table1[[#This Row],[Birthweight Z-Score (BW-10%)]],TRUE)*100,"")</f>
        <v/>
      </c>
      <c r="L8461" s="7" t="str">
        <f>IF(Table1[[#This Row],[Is Data Valid]]=TRUE,_xlfn.NORM.S.DIST(Table1[[#This Row],[Birthweight Z-Score (BW+10%)]],TRUE)*100,"")</f>
        <v/>
      </c>
    </row>
    <row r="8462" spans="1:12" x14ac:dyDescent="0.35">
      <c r="A8462" s="3"/>
      <c r="B8462" s="2"/>
      <c r="C8462" s="2"/>
      <c r="D8462" s="2" t="b">
        <f>IF(AND(NOT(ISBLANK(Table1[[#This Row],[Fetal Sex (Male, Female or Unknown)]])),ISNUMBER(Table1[[#This Row],[Birthweight (grams)]]),ISNUMBER(Table1[[#This Row],[Gestation (days)]])),TRUE,FALSE)</f>
        <v>0</v>
      </c>
      <c r="E8462" s="2" t="str">
        <f>IF(Table1[[#This Row],[Is Data Valid]]=TRUE,IF(Table1[[#This Row],[Fetal Sex (Male, Female or Unknown)]]="Male",Backend!$C$6,IF(Table1[[#This Row],[Fetal Sex (Male, Female or Unknown)]]="Female",Backend!$C$7,IF(Table1[[#This Row],[Fetal Sex (Male, Female or Unknown)]]="Unknown",Backend!$C$8,"Error"))),"")</f>
        <v/>
      </c>
      <c r="F8462" s="8" t="str">
        <f>IF(Table1[[#This Row],[Is Data Valid]]=TRUE,EXP(0.578+0.332*((Table1[[#This Row],[Gestation (days)]]+0.5)/7)-0.00354*((Table1[[#This Row],[Gestation (days)]]+0.5)/7)^2)*Table1[[#This Row],[BW40_3705]],"")</f>
        <v/>
      </c>
      <c r="G8462" s="2" t="str">
        <f>IF(Table1[[#This Row],[Is Data Valid]]=TRUE,((Table1[[#This Row],[Birthweight (grams)]]/Table1[[#This Row],[BW_GA]])-1)/(Backend!$B$4/100*Table1[[#This Row],[BW40_3705]]),"")</f>
        <v/>
      </c>
      <c r="H8462" s="7" t="str">
        <f>IF(Table1[[#This Row],[Is Data Valid]]=TRUE,((Table1[[#This Row],[Birthweight (grams)]]*0.9/Table1[[#This Row],[BW_GA]])-1)/(Backend!$B$4/100*Table1[[#This Row],[BW40_3705]]),"")</f>
        <v/>
      </c>
      <c r="I8462" s="7" t="str">
        <f>IF(Table1[[#This Row],[Is Data Valid]]=TRUE,((Table1[[#This Row],[Birthweight (grams)]]*1.1/Table1[[#This Row],[BW_GA]])-1)/(Backend!$B$4/100*Table1[[#This Row],[BW40_3705]]),"")</f>
        <v/>
      </c>
      <c r="J8462" s="7" t="str">
        <f>IF(Table1[[#This Row],[Is Data Valid]]=TRUE,_xlfn.NORM.S.DIST(Table1[[#This Row],[Birthweight Z-Score]],TRUE)*100,"")</f>
        <v/>
      </c>
      <c r="K8462" s="7" t="str">
        <f>IF(Table1[[#This Row],[Is Data Valid]]=TRUE,_xlfn.NORM.S.DIST(Table1[[#This Row],[Birthweight Z-Score (BW-10%)]],TRUE)*100,"")</f>
        <v/>
      </c>
      <c r="L8462" s="7" t="str">
        <f>IF(Table1[[#This Row],[Is Data Valid]]=TRUE,_xlfn.NORM.S.DIST(Table1[[#This Row],[Birthweight Z-Score (BW+10%)]],TRUE)*100,"")</f>
        <v/>
      </c>
    </row>
    <row r="8463" spans="1:12" x14ac:dyDescent="0.35">
      <c r="A8463" s="3"/>
      <c r="B8463" s="2"/>
      <c r="C8463" s="2"/>
      <c r="D8463" s="2" t="b">
        <f>IF(AND(NOT(ISBLANK(Table1[[#This Row],[Fetal Sex (Male, Female or Unknown)]])),ISNUMBER(Table1[[#This Row],[Birthweight (grams)]]),ISNUMBER(Table1[[#This Row],[Gestation (days)]])),TRUE,FALSE)</f>
        <v>0</v>
      </c>
      <c r="E8463" s="2" t="str">
        <f>IF(Table1[[#This Row],[Is Data Valid]]=TRUE,IF(Table1[[#This Row],[Fetal Sex (Male, Female or Unknown)]]="Male",Backend!$C$6,IF(Table1[[#This Row],[Fetal Sex (Male, Female or Unknown)]]="Female",Backend!$C$7,IF(Table1[[#This Row],[Fetal Sex (Male, Female or Unknown)]]="Unknown",Backend!$C$8,"Error"))),"")</f>
        <v/>
      </c>
      <c r="F8463" s="8" t="str">
        <f>IF(Table1[[#This Row],[Is Data Valid]]=TRUE,EXP(0.578+0.332*((Table1[[#This Row],[Gestation (days)]]+0.5)/7)-0.00354*((Table1[[#This Row],[Gestation (days)]]+0.5)/7)^2)*Table1[[#This Row],[BW40_3705]],"")</f>
        <v/>
      </c>
      <c r="G8463" s="2" t="str">
        <f>IF(Table1[[#This Row],[Is Data Valid]]=TRUE,((Table1[[#This Row],[Birthweight (grams)]]/Table1[[#This Row],[BW_GA]])-1)/(Backend!$B$4/100*Table1[[#This Row],[BW40_3705]]),"")</f>
        <v/>
      </c>
      <c r="H8463" s="7" t="str">
        <f>IF(Table1[[#This Row],[Is Data Valid]]=TRUE,((Table1[[#This Row],[Birthweight (grams)]]*0.9/Table1[[#This Row],[BW_GA]])-1)/(Backend!$B$4/100*Table1[[#This Row],[BW40_3705]]),"")</f>
        <v/>
      </c>
      <c r="I8463" s="7" t="str">
        <f>IF(Table1[[#This Row],[Is Data Valid]]=TRUE,((Table1[[#This Row],[Birthweight (grams)]]*1.1/Table1[[#This Row],[BW_GA]])-1)/(Backend!$B$4/100*Table1[[#This Row],[BW40_3705]]),"")</f>
        <v/>
      </c>
      <c r="J8463" s="7" t="str">
        <f>IF(Table1[[#This Row],[Is Data Valid]]=TRUE,_xlfn.NORM.S.DIST(Table1[[#This Row],[Birthweight Z-Score]],TRUE)*100,"")</f>
        <v/>
      </c>
      <c r="K8463" s="7" t="str">
        <f>IF(Table1[[#This Row],[Is Data Valid]]=TRUE,_xlfn.NORM.S.DIST(Table1[[#This Row],[Birthweight Z-Score (BW-10%)]],TRUE)*100,"")</f>
        <v/>
      </c>
      <c r="L8463" s="7" t="str">
        <f>IF(Table1[[#This Row],[Is Data Valid]]=TRUE,_xlfn.NORM.S.DIST(Table1[[#This Row],[Birthweight Z-Score (BW+10%)]],TRUE)*100,"")</f>
        <v/>
      </c>
    </row>
    <row r="8464" spans="1:12" x14ac:dyDescent="0.35">
      <c r="A8464" s="3"/>
      <c r="B8464" s="2"/>
      <c r="C8464" s="2"/>
      <c r="D8464" s="2" t="b">
        <f>IF(AND(NOT(ISBLANK(Table1[[#This Row],[Fetal Sex (Male, Female or Unknown)]])),ISNUMBER(Table1[[#This Row],[Birthweight (grams)]]),ISNUMBER(Table1[[#This Row],[Gestation (days)]])),TRUE,FALSE)</f>
        <v>0</v>
      </c>
      <c r="E8464" s="2" t="str">
        <f>IF(Table1[[#This Row],[Is Data Valid]]=TRUE,IF(Table1[[#This Row],[Fetal Sex (Male, Female or Unknown)]]="Male",Backend!$C$6,IF(Table1[[#This Row],[Fetal Sex (Male, Female or Unknown)]]="Female",Backend!$C$7,IF(Table1[[#This Row],[Fetal Sex (Male, Female or Unknown)]]="Unknown",Backend!$C$8,"Error"))),"")</f>
        <v/>
      </c>
      <c r="F8464" s="8" t="str">
        <f>IF(Table1[[#This Row],[Is Data Valid]]=TRUE,EXP(0.578+0.332*((Table1[[#This Row],[Gestation (days)]]+0.5)/7)-0.00354*((Table1[[#This Row],[Gestation (days)]]+0.5)/7)^2)*Table1[[#This Row],[BW40_3705]],"")</f>
        <v/>
      </c>
      <c r="G8464" s="2" t="str">
        <f>IF(Table1[[#This Row],[Is Data Valid]]=TRUE,((Table1[[#This Row],[Birthweight (grams)]]/Table1[[#This Row],[BW_GA]])-1)/(Backend!$B$4/100*Table1[[#This Row],[BW40_3705]]),"")</f>
        <v/>
      </c>
      <c r="H8464" s="7" t="str">
        <f>IF(Table1[[#This Row],[Is Data Valid]]=TRUE,((Table1[[#This Row],[Birthweight (grams)]]*0.9/Table1[[#This Row],[BW_GA]])-1)/(Backend!$B$4/100*Table1[[#This Row],[BW40_3705]]),"")</f>
        <v/>
      </c>
      <c r="I8464" s="7" t="str">
        <f>IF(Table1[[#This Row],[Is Data Valid]]=TRUE,((Table1[[#This Row],[Birthweight (grams)]]*1.1/Table1[[#This Row],[BW_GA]])-1)/(Backend!$B$4/100*Table1[[#This Row],[BW40_3705]]),"")</f>
        <v/>
      </c>
      <c r="J8464" s="7" t="str">
        <f>IF(Table1[[#This Row],[Is Data Valid]]=TRUE,_xlfn.NORM.S.DIST(Table1[[#This Row],[Birthweight Z-Score]],TRUE)*100,"")</f>
        <v/>
      </c>
      <c r="K8464" s="7" t="str">
        <f>IF(Table1[[#This Row],[Is Data Valid]]=TRUE,_xlfn.NORM.S.DIST(Table1[[#This Row],[Birthweight Z-Score (BW-10%)]],TRUE)*100,"")</f>
        <v/>
      </c>
      <c r="L8464" s="7" t="str">
        <f>IF(Table1[[#This Row],[Is Data Valid]]=TRUE,_xlfn.NORM.S.DIST(Table1[[#This Row],[Birthweight Z-Score (BW+10%)]],TRUE)*100,"")</f>
        <v/>
      </c>
    </row>
    <row r="8465" spans="1:12" x14ac:dyDescent="0.35">
      <c r="A8465" s="3"/>
      <c r="B8465" s="2"/>
      <c r="C8465" s="2"/>
      <c r="D8465" s="2" t="b">
        <f>IF(AND(NOT(ISBLANK(Table1[[#This Row],[Fetal Sex (Male, Female or Unknown)]])),ISNUMBER(Table1[[#This Row],[Birthweight (grams)]]),ISNUMBER(Table1[[#This Row],[Gestation (days)]])),TRUE,FALSE)</f>
        <v>0</v>
      </c>
      <c r="E8465" s="2" t="str">
        <f>IF(Table1[[#This Row],[Is Data Valid]]=TRUE,IF(Table1[[#This Row],[Fetal Sex (Male, Female or Unknown)]]="Male",Backend!$C$6,IF(Table1[[#This Row],[Fetal Sex (Male, Female or Unknown)]]="Female",Backend!$C$7,IF(Table1[[#This Row],[Fetal Sex (Male, Female or Unknown)]]="Unknown",Backend!$C$8,"Error"))),"")</f>
        <v/>
      </c>
      <c r="F8465" s="8" t="str">
        <f>IF(Table1[[#This Row],[Is Data Valid]]=TRUE,EXP(0.578+0.332*((Table1[[#This Row],[Gestation (days)]]+0.5)/7)-0.00354*((Table1[[#This Row],[Gestation (days)]]+0.5)/7)^2)*Table1[[#This Row],[BW40_3705]],"")</f>
        <v/>
      </c>
      <c r="G8465" s="2" t="str">
        <f>IF(Table1[[#This Row],[Is Data Valid]]=TRUE,((Table1[[#This Row],[Birthweight (grams)]]/Table1[[#This Row],[BW_GA]])-1)/(Backend!$B$4/100*Table1[[#This Row],[BW40_3705]]),"")</f>
        <v/>
      </c>
      <c r="H8465" s="7" t="str">
        <f>IF(Table1[[#This Row],[Is Data Valid]]=TRUE,((Table1[[#This Row],[Birthweight (grams)]]*0.9/Table1[[#This Row],[BW_GA]])-1)/(Backend!$B$4/100*Table1[[#This Row],[BW40_3705]]),"")</f>
        <v/>
      </c>
      <c r="I8465" s="7" t="str">
        <f>IF(Table1[[#This Row],[Is Data Valid]]=TRUE,((Table1[[#This Row],[Birthweight (grams)]]*1.1/Table1[[#This Row],[BW_GA]])-1)/(Backend!$B$4/100*Table1[[#This Row],[BW40_3705]]),"")</f>
        <v/>
      </c>
      <c r="J8465" s="7" t="str">
        <f>IF(Table1[[#This Row],[Is Data Valid]]=TRUE,_xlfn.NORM.S.DIST(Table1[[#This Row],[Birthweight Z-Score]],TRUE)*100,"")</f>
        <v/>
      </c>
      <c r="K8465" s="7" t="str">
        <f>IF(Table1[[#This Row],[Is Data Valid]]=TRUE,_xlfn.NORM.S.DIST(Table1[[#This Row],[Birthweight Z-Score (BW-10%)]],TRUE)*100,"")</f>
        <v/>
      </c>
      <c r="L8465" s="7" t="str">
        <f>IF(Table1[[#This Row],[Is Data Valid]]=TRUE,_xlfn.NORM.S.DIST(Table1[[#This Row],[Birthweight Z-Score (BW+10%)]],TRUE)*100,"")</f>
        <v/>
      </c>
    </row>
    <row r="8466" spans="1:12" x14ac:dyDescent="0.35">
      <c r="A8466" s="3"/>
      <c r="B8466" s="2"/>
      <c r="C8466" s="2"/>
      <c r="D8466" s="2" t="b">
        <f>IF(AND(NOT(ISBLANK(Table1[[#This Row],[Fetal Sex (Male, Female or Unknown)]])),ISNUMBER(Table1[[#This Row],[Birthweight (grams)]]),ISNUMBER(Table1[[#This Row],[Gestation (days)]])),TRUE,FALSE)</f>
        <v>0</v>
      </c>
      <c r="E8466" s="2" t="str">
        <f>IF(Table1[[#This Row],[Is Data Valid]]=TRUE,IF(Table1[[#This Row],[Fetal Sex (Male, Female or Unknown)]]="Male",Backend!$C$6,IF(Table1[[#This Row],[Fetal Sex (Male, Female or Unknown)]]="Female",Backend!$C$7,IF(Table1[[#This Row],[Fetal Sex (Male, Female or Unknown)]]="Unknown",Backend!$C$8,"Error"))),"")</f>
        <v/>
      </c>
      <c r="F8466" s="8" t="str">
        <f>IF(Table1[[#This Row],[Is Data Valid]]=TRUE,EXP(0.578+0.332*((Table1[[#This Row],[Gestation (days)]]+0.5)/7)-0.00354*((Table1[[#This Row],[Gestation (days)]]+0.5)/7)^2)*Table1[[#This Row],[BW40_3705]],"")</f>
        <v/>
      </c>
      <c r="G8466" s="2" t="str">
        <f>IF(Table1[[#This Row],[Is Data Valid]]=TRUE,((Table1[[#This Row],[Birthweight (grams)]]/Table1[[#This Row],[BW_GA]])-1)/(Backend!$B$4/100*Table1[[#This Row],[BW40_3705]]),"")</f>
        <v/>
      </c>
      <c r="H8466" s="7" t="str">
        <f>IF(Table1[[#This Row],[Is Data Valid]]=TRUE,((Table1[[#This Row],[Birthweight (grams)]]*0.9/Table1[[#This Row],[BW_GA]])-1)/(Backend!$B$4/100*Table1[[#This Row],[BW40_3705]]),"")</f>
        <v/>
      </c>
      <c r="I8466" s="7" t="str">
        <f>IF(Table1[[#This Row],[Is Data Valid]]=TRUE,((Table1[[#This Row],[Birthweight (grams)]]*1.1/Table1[[#This Row],[BW_GA]])-1)/(Backend!$B$4/100*Table1[[#This Row],[BW40_3705]]),"")</f>
        <v/>
      </c>
      <c r="J8466" s="7" t="str">
        <f>IF(Table1[[#This Row],[Is Data Valid]]=TRUE,_xlfn.NORM.S.DIST(Table1[[#This Row],[Birthweight Z-Score]],TRUE)*100,"")</f>
        <v/>
      </c>
      <c r="K8466" s="7" t="str">
        <f>IF(Table1[[#This Row],[Is Data Valid]]=TRUE,_xlfn.NORM.S.DIST(Table1[[#This Row],[Birthweight Z-Score (BW-10%)]],TRUE)*100,"")</f>
        <v/>
      </c>
      <c r="L8466" s="7" t="str">
        <f>IF(Table1[[#This Row],[Is Data Valid]]=TRUE,_xlfn.NORM.S.DIST(Table1[[#This Row],[Birthweight Z-Score (BW+10%)]],TRUE)*100,"")</f>
        <v/>
      </c>
    </row>
    <row r="8467" spans="1:12" x14ac:dyDescent="0.35">
      <c r="A8467" s="3"/>
      <c r="B8467" s="2"/>
      <c r="C8467" s="2"/>
      <c r="D8467" s="2" t="b">
        <f>IF(AND(NOT(ISBLANK(Table1[[#This Row],[Fetal Sex (Male, Female or Unknown)]])),ISNUMBER(Table1[[#This Row],[Birthweight (grams)]]),ISNUMBER(Table1[[#This Row],[Gestation (days)]])),TRUE,FALSE)</f>
        <v>0</v>
      </c>
      <c r="E8467" s="2" t="str">
        <f>IF(Table1[[#This Row],[Is Data Valid]]=TRUE,IF(Table1[[#This Row],[Fetal Sex (Male, Female or Unknown)]]="Male",Backend!$C$6,IF(Table1[[#This Row],[Fetal Sex (Male, Female or Unknown)]]="Female",Backend!$C$7,IF(Table1[[#This Row],[Fetal Sex (Male, Female or Unknown)]]="Unknown",Backend!$C$8,"Error"))),"")</f>
        <v/>
      </c>
      <c r="F8467" s="8" t="str">
        <f>IF(Table1[[#This Row],[Is Data Valid]]=TRUE,EXP(0.578+0.332*((Table1[[#This Row],[Gestation (days)]]+0.5)/7)-0.00354*((Table1[[#This Row],[Gestation (days)]]+0.5)/7)^2)*Table1[[#This Row],[BW40_3705]],"")</f>
        <v/>
      </c>
      <c r="G8467" s="2" t="str">
        <f>IF(Table1[[#This Row],[Is Data Valid]]=TRUE,((Table1[[#This Row],[Birthweight (grams)]]/Table1[[#This Row],[BW_GA]])-1)/(Backend!$B$4/100*Table1[[#This Row],[BW40_3705]]),"")</f>
        <v/>
      </c>
      <c r="H8467" s="7" t="str">
        <f>IF(Table1[[#This Row],[Is Data Valid]]=TRUE,((Table1[[#This Row],[Birthweight (grams)]]*0.9/Table1[[#This Row],[BW_GA]])-1)/(Backend!$B$4/100*Table1[[#This Row],[BW40_3705]]),"")</f>
        <v/>
      </c>
      <c r="I8467" s="7" t="str">
        <f>IF(Table1[[#This Row],[Is Data Valid]]=TRUE,((Table1[[#This Row],[Birthweight (grams)]]*1.1/Table1[[#This Row],[BW_GA]])-1)/(Backend!$B$4/100*Table1[[#This Row],[BW40_3705]]),"")</f>
        <v/>
      </c>
      <c r="J8467" s="7" t="str">
        <f>IF(Table1[[#This Row],[Is Data Valid]]=TRUE,_xlfn.NORM.S.DIST(Table1[[#This Row],[Birthweight Z-Score]],TRUE)*100,"")</f>
        <v/>
      </c>
      <c r="K8467" s="7" t="str">
        <f>IF(Table1[[#This Row],[Is Data Valid]]=TRUE,_xlfn.NORM.S.DIST(Table1[[#This Row],[Birthweight Z-Score (BW-10%)]],TRUE)*100,"")</f>
        <v/>
      </c>
      <c r="L8467" s="7" t="str">
        <f>IF(Table1[[#This Row],[Is Data Valid]]=TRUE,_xlfn.NORM.S.DIST(Table1[[#This Row],[Birthweight Z-Score (BW+10%)]],TRUE)*100,"")</f>
        <v/>
      </c>
    </row>
    <row r="8468" spans="1:12" x14ac:dyDescent="0.35">
      <c r="A8468" s="3"/>
      <c r="B8468" s="2"/>
      <c r="C8468" s="2"/>
      <c r="D8468" s="2" t="b">
        <f>IF(AND(NOT(ISBLANK(Table1[[#This Row],[Fetal Sex (Male, Female or Unknown)]])),ISNUMBER(Table1[[#This Row],[Birthweight (grams)]]),ISNUMBER(Table1[[#This Row],[Gestation (days)]])),TRUE,FALSE)</f>
        <v>0</v>
      </c>
      <c r="E8468" s="2" t="str">
        <f>IF(Table1[[#This Row],[Is Data Valid]]=TRUE,IF(Table1[[#This Row],[Fetal Sex (Male, Female or Unknown)]]="Male",Backend!$C$6,IF(Table1[[#This Row],[Fetal Sex (Male, Female or Unknown)]]="Female",Backend!$C$7,IF(Table1[[#This Row],[Fetal Sex (Male, Female or Unknown)]]="Unknown",Backend!$C$8,"Error"))),"")</f>
        <v/>
      </c>
      <c r="F8468" s="8" t="str">
        <f>IF(Table1[[#This Row],[Is Data Valid]]=TRUE,EXP(0.578+0.332*((Table1[[#This Row],[Gestation (days)]]+0.5)/7)-0.00354*((Table1[[#This Row],[Gestation (days)]]+0.5)/7)^2)*Table1[[#This Row],[BW40_3705]],"")</f>
        <v/>
      </c>
      <c r="G8468" s="2" t="str">
        <f>IF(Table1[[#This Row],[Is Data Valid]]=TRUE,((Table1[[#This Row],[Birthweight (grams)]]/Table1[[#This Row],[BW_GA]])-1)/(Backend!$B$4/100*Table1[[#This Row],[BW40_3705]]),"")</f>
        <v/>
      </c>
      <c r="H8468" s="7" t="str">
        <f>IF(Table1[[#This Row],[Is Data Valid]]=TRUE,((Table1[[#This Row],[Birthweight (grams)]]*0.9/Table1[[#This Row],[BW_GA]])-1)/(Backend!$B$4/100*Table1[[#This Row],[BW40_3705]]),"")</f>
        <v/>
      </c>
      <c r="I8468" s="7" t="str">
        <f>IF(Table1[[#This Row],[Is Data Valid]]=TRUE,((Table1[[#This Row],[Birthweight (grams)]]*1.1/Table1[[#This Row],[BW_GA]])-1)/(Backend!$B$4/100*Table1[[#This Row],[BW40_3705]]),"")</f>
        <v/>
      </c>
      <c r="J8468" s="7" t="str">
        <f>IF(Table1[[#This Row],[Is Data Valid]]=TRUE,_xlfn.NORM.S.DIST(Table1[[#This Row],[Birthweight Z-Score]],TRUE)*100,"")</f>
        <v/>
      </c>
      <c r="K8468" s="7" t="str">
        <f>IF(Table1[[#This Row],[Is Data Valid]]=TRUE,_xlfn.NORM.S.DIST(Table1[[#This Row],[Birthweight Z-Score (BW-10%)]],TRUE)*100,"")</f>
        <v/>
      </c>
      <c r="L8468" s="7" t="str">
        <f>IF(Table1[[#This Row],[Is Data Valid]]=TRUE,_xlfn.NORM.S.DIST(Table1[[#This Row],[Birthweight Z-Score (BW+10%)]],TRUE)*100,"")</f>
        <v/>
      </c>
    </row>
    <row r="8469" spans="1:12" x14ac:dyDescent="0.35">
      <c r="A8469" s="3"/>
      <c r="B8469" s="2"/>
      <c r="C8469" s="2"/>
      <c r="D8469" s="2" t="b">
        <f>IF(AND(NOT(ISBLANK(Table1[[#This Row],[Fetal Sex (Male, Female or Unknown)]])),ISNUMBER(Table1[[#This Row],[Birthweight (grams)]]),ISNUMBER(Table1[[#This Row],[Gestation (days)]])),TRUE,FALSE)</f>
        <v>0</v>
      </c>
      <c r="E8469" s="2" t="str">
        <f>IF(Table1[[#This Row],[Is Data Valid]]=TRUE,IF(Table1[[#This Row],[Fetal Sex (Male, Female or Unknown)]]="Male",Backend!$C$6,IF(Table1[[#This Row],[Fetal Sex (Male, Female or Unknown)]]="Female",Backend!$C$7,IF(Table1[[#This Row],[Fetal Sex (Male, Female or Unknown)]]="Unknown",Backend!$C$8,"Error"))),"")</f>
        <v/>
      </c>
      <c r="F8469" s="8" t="str">
        <f>IF(Table1[[#This Row],[Is Data Valid]]=TRUE,EXP(0.578+0.332*((Table1[[#This Row],[Gestation (days)]]+0.5)/7)-0.00354*((Table1[[#This Row],[Gestation (days)]]+0.5)/7)^2)*Table1[[#This Row],[BW40_3705]],"")</f>
        <v/>
      </c>
      <c r="G8469" s="2" t="str">
        <f>IF(Table1[[#This Row],[Is Data Valid]]=TRUE,((Table1[[#This Row],[Birthweight (grams)]]/Table1[[#This Row],[BW_GA]])-1)/(Backend!$B$4/100*Table1[[#This Row],[BW40_3705]]),"")</f>
        <v/>
      </c>
      <c r="H8469" s="7" t="str">
        <f>IF(Table1[[#This Row],[Is Data Valid]]=TRUE,((Table1[[#This Row],[Birthweight (grams)]]*0.9/Table1[[#This Row],[BW_GA]])-1)/(Backend!$B$4/100*Table1[[#This Row],[BW40_3705]]),"")</f>
        <v/>
      </c>
      <c r="I8469" s="7" t="str">
        <f>IF(Table1[[#This Row],[Is Data Valid]]=TRUE,((Table1[[#This Row],[Birthweight (grams)]]*1.1/Table1[[#This Row],[BW_GA]])-1)/(Backend!$B$4/100*Table1[[#This Row],[BW40_3705]]),"")</f>
        <v/>
      </c>
      <c r="J8469" s="7" t="str">
        <f>IF(Table1[[#This Row],[Is Data Valid]]=TRUE,_xlfn.NORM.S.DIST(Table1[[#This Row],[Birthweight Z-Score]],TRUE)*100,"")</f>
        <v/>
      </c>
      <c r="K8469" s="7" t="str">
        <f>IF(Table1[[#This Row],[Is Data Valid]]=TRUE,_xlfn.NORM.S.DIST(Table1[[#This Row],[Birthweight Z-Score (BW-10%)]],TRUE)*100,"")</f>
        <v/>
      </c>
      <c r="L8469" s="7" t="str">
        <f>IF(Table1[[#This Row],[Is Data Valid]]=TRUE,_xlfn.NORM.S.DIST(Table1[[#This Row],[Birthweight Z-Score (BW+10%)]],TRUE)*100,"")</f>
        <v/>
      </c>
    </row>
    <row r="8470" spans="1:12" x14ac:dyDescent="0.35">
      <c r="A8470" s="3"/>
      <c r="B8470" s="2"/>
      <c r="C8470" s="2"/>
      <c r="D8470" s="2" t="b">
        <f>IF(AND(NOT(ISBLANK(Table1[[#This Row],[Fetal Sex (Male, Female or Unknown)]])),ISNUMBER(Table1[[#This Row],[Birthweight (grams)]]),ISNUMBER(Table1[[#This Row],[Gestation (days)]])),TRUE,FALSE)</f>
        <v>0</v>
      </c>
      <c r="E8470" s="2" t="str">
        <f>IF(Table1[[#This Row],[Is Data Valid]]=TRUE,IF(Table1[[#This Row],[Fetal Sex (Male, Female or Unknown)]]="Male",Backend!$C$6,IF(Table1[[#This Row],[Fetal Sex (Male, Female or Unknown)]]="Female",Backend!$C$7,IF(Table1[[#This Row],[Fetal Sex (Male, Female or Unknown)]]="Unknown",Backend!$C$8,"Error"))),"")</f>
        <v/>
      </c>
      <c r="F8470" s="8" t="str">
        <f>IF(Table1[[#This Row],[Is Data Valid]]=TRUE,EXP(0.578+0.332*((Table1[[#This Row],[Gestation (days)]]+0.5)/7)-0.00354*((Table1[[#This Row],[Gestation (days)]]+0.5)/7)^2)*Table1[[#This Row],[BW40_3705]],"")</f>
        <v/>
      </c>
      <c r="G8470" s="2" t="str">
        <f>IF(Table1[[#This Row],[Is Data Valid]]=TRUE,((Table1[[#This Row],[Birthweight (grams)]]/Table1[[#This Row],[BW_GA]])-1)/(Backend!$B$4/100*Table1[[#This Row],[BW40_3705]]),"")</f>
        <v/>
      </c>
      <c r="H8470" s="7" t="str">
        <f>IF(Table1[[#This Row],[Is Data Valid]]=TRUE,((Table1[[#This Row],[Birthweight (grams)]]*0.9/Table1[[#This Row],[BW_GA]])-1)/(Backend!$B$4/100*Table1[[#This Row],[BW40_3705]]),"")</f>
        <v/>
      </c>
      <c r="I8470" s="7" t="str">
        <f>IF(Table1[[#This Row],[Is Data Valid]]=TRUE,((Table1[[#This Row],[Birthweight (grams)]]*1.1/Table1[[#This Row],[BW_GA]])-1)/(Backend!$B$4/100*Table1[[#This Row],[BW40_3705]]),"")</f>
        <v/>
      </c>
      <c r="J8470" s="7" t="str">
        <f>IF(Table1[[#This Row],[Is Data Valid]]=TRUE,_xlfn.NORM.S.DIST(Table1[[#This Row],[Birthweight Z-Score]],TRUE)*100,"")</f>
        <v/>
      </c>
      <c r="K8470" s="7" t="str">
        <f>IF(Table1[[#This Row],[Is Data Valid]]=TRUE,_xlfn.NORM.S.DIST(Table1[[#This Row],[Birthweight Z-Score (BW-10%)]],TRUE)*100,"")</f>
        <v/>
      </c>
      <c r="L8470" s="7" t="str">
        <f>IF(Table1[[#This Row],[Is Data Valid]]=TRUE,_xlfn.NORM.S.DIST(Table1[[#This Row],[Birthweight Z-Score (BW+10%)]],TRUE)*100,"")</f>
        <v/>
      </c>
    </row>
    <row r="8471" spans="1:12" x14ac:dyDescent="0.35">
      <c r="A8471" s="3"/>
      <c r="B8471" s="2"/>
      <c r="C8471" s="2"/>
      <c r="D8471" s="2" t="b">
        <f>IF(AND(NOT(ISBLANK(Table1[[#This Row],[Fetal Sex (Male, Female or Unknown)]])),ISNUMBER(Table1[[#This Row],[Birthweight (grams)]]),ISNUMBER(Table1[[#This Row],[Gestation (days)]])),TRUE,FALSE)</f>
        <v>0</v>
      </c>
      <c r="E8471" s="2" t="str">
        <f>IF(Table1[[#This Row],[Is Data Valid]]=TRUE,IF(Table1[[#This Row],[Fetal Sex (Male, Female or Unknown)]]="Male",Backend!$C$6,IF(Table1[[#This Row],[Fetal Sex (Male, Female or Unknown)]]="Female",Backend!$C$7,IF(Table1[[#This Row],[Fetal Sex (Male, Female or Unknown)]]="Unknown",Backend!$C$8,"Error"))),"")</f>
        <v/>
      </c>
      <c r="F8471" s="8" t="str">
        <f>IF(Table1[[#This Row],[Is Data Valid]]=TRUE,EXP(0.578+0.332*((Table1[[#This Row],[Gestation (days)]]+0.5)/7)-0.00354*((Table1[[#This Row],[Gestation (days)]]+0.5)/7)^2)*Table1[[#This Row],[BW40_3705]],"")</f>
        <v/>
      </c>
      <c r="G8471" s="2" t="str">
        <f>IF(Table1[[#This Row],[Is Data Valid]]=TRUE,((Table1[[#This Row],[Birthweight (grams)]]/Table1[[#This Row],[BW_GA]])-1)/(Backend!$B$4/100*Table1[[#This Row],[BW40_3705]]),"")</f>
        <v/>
      </c>
      <c r="H8471" s="7" t="str">
        <f>IF(Table1[[#This Row],[Is Data Valid]]=TRUE,((Table1[[#This Row],[Birthweight (grams)]]*0.9/Table1[[#This Row],[BW_GA]])-1)/(Backend!$B$4/100*Table1[[#This Row],[BW40_3705]]),"")</f>
        <v/>
      </c>
      <c r="I8471" s="7" t="str">
        <f>IF(Table1[[#This Row],[Is Data Valid]]=TRUE,((Table1[[#This Row],[Birthweight (grams)]]*1.1/Table1[[#This Row],[BW_GA]])-1)/(Backend!$B$4/100*Table1[[#This Row],[BW40_3705]]),"")</f>
        <v/>
      </c>
      <c r="J8471" s="7" t="str">
        <f>IF(Table1[[#This Row],[Is Data Valid]]=TRUE,_xlfn.NORM.S.DIST(Table1[[#This Row],[Birthweight Z-Score]],TRUE)*100,"")</f>
        <v/>
      </c>
      <c r="K8471" s="7" t="str">
        <f>IF(Table1[[#This Row],[Is Data Valid]]=TRUE,_xlfn.NORM.S.DIST(Table1[[#This Row],[Birthweight Z-Score (BW-10%)]],TRUE)*100,"")</f>
        <v/>
      </c>
      <c r="L8471" s="7" t="str">
        <f>IF(Table1[[#This Row],[Is Data Valid]]=TRUE,_xlfn.NORM.S.DIST(Table1[[#This Row],[Birthweight Z-Score (BW+10%)]],TRUE)*100,"")</f>
        <v/>
      </c>
    </row>
    <row r="8472" spans="1:12" x14ac:dyDescent="0.35">
      <c r="A8472" s="3"/>
      <c r="B8472" s="2"/>
      <c r="C8472" s="2"/>
      <c r="D8472" s="2" t="b">
        <f>IF(AND(NOT(ISBLANK(Table1[[#This Row],[Fetal Sex (Male, Female or Unknown)]])),ISNUMBER(Table1[[#This Row],[Birthweight (grams)]]),ISNUMBER(Table1[[#This Row],[Gestation (days)]])),TRUE,FALSE)</f>
        <v>0</v>
      </c>
      <c r="E8472" s="2" t="str">
        <f>IF(Table1[[#This Row],[Is Data Valid]]=TRUE,IF(Table1[[#This Row],[Fetal Sex (Male, Female or Unknown)]]="Male",Backend!$C$6,IF(Table1[[#This Row],[Fetal Sex (Male, Female or Unknown)]]="Female",Backend!$C$7,IF(Table1[[#This Row],[Fetal Sex (Male, Female or Unknown)]]="Unknown",Backend!$C$8,"Error"))),"")</f>
        <v/>
      </c>
      <c r="F8472" s="8" t="str">
        <f>IF(Table1[[#This Row],[Is Data Valid]]=TRUE,EXP(0.578+0.332*((Table1[[#This Row],[Gestation (days)]]+0.5)/7)-0.00354*((Table1[[#This Row],[Gestation (days)]]+0.5)/7)^2)*Table1[[#This Row],[BW40_3705]],"")</f>
        <v/>
      </c>
      <c r="G8472" s="2" t="str">
        <f>IF(Table1[[#This Row],[Is Data Valid]]=TRUE,((Table1[[#This Row],[Birthweight (grams)]]/Table1[[#This Row],[BW_GA]])-1)/(Backend!$B$4/100*Table1[[#This Row],[BW40_3705]]),"")</f>
        <v/>
      </c>
      <c r="H8472" s="7" t="str">
        <f>IF(Table1[[#This Row],[Is Data Valid]]=TRUE,((Table1[[#This Row],[Birthweight (grams)]]*0.9/Table1[[#This Row],[BW_GA]])-1)/(Backend!$B$4/100*Table1[[#This Row],[BW40_3705]]),"")</f>
        <v/>
      </c>
      <c r="I8472" s="7" t="str">
        <f>IF(Table1[[#This Row],[Is Data Valid]]=TRUE,((Table1[[#This Row],[Birthweight (grams)]]*1.1/Table1[[#This Row],[BW_GA]])-1)/(Backend!$B$4/100*Table1[[#This Row],[BW40_3705]]),"")</f>
        <v/>
      </c>
      <c r="J8472" s="7" t="str">
        <f>IF(Table1[[#This Row],[Is Data Valid]]=TRUE,_xlfn.NORM.S.DIST(Table1[[#This Row],[Birthweight Z-Score]],TRUE)*100,"")</f>
        <v/>
      </c>
      <c r="K8472" s="7" t="str">
        <f>IF(Table1[[#This Row],[Is Data Valid]]=TRUE,_xlfn.NORM.S.DIST(Table1[[#This Row],[Birthweight Z-Score (BW-10%)]],TRUE)*100,"")</f>
        <v/>
      </c>
      <c r="L8472" s="7" t="str">
        <f>IF(Table1[[#This Row],[Is Data Valid]]=TRUE,_xlfn.NORM.S.DIST(Table1[[#This Row],[Birthweight Z-Score (BW+10%)]],TRUE)*100,"")</f>
        <v/>
      </c>
    </row>
    <row r="8473" spans="1:12" x14ac:dyDescent="0.35">
      <c r="A8473" s="3"/>
      <c r="B8473" s="2"/>
      <c r="C8473" s="2"/>
      <c r="D8473" s="2" t="b">
        <f>IF(AND(NOT(ISBLANK(Table1[[#This Row],[Fetal Sex (Male, Female or Unknown)]])),ISNUMBER(Table1[[#This Row],[Birthweight (grams)]]),ISNUMBER(Table1[[#This Row],[Gestation (days)]])),TRUE,FALSE)</f>
        <v>0</v>
      </c>
      <c r="E8473" s="2" t="str">
        <f>IF(Table1[[#This Row],[Is Data Valid]]=TRUE,IF(Table1[[#This Row],[Fetal Sex (Male, Female or Unknown)]]="Male",Backend!$C$6,IF(Table1[[#This Row],[Fetal Sex (Male, Female or Unknown)]]="Female",Backend!$C$7,IF(Table1[[#This Row],[Fetal Sex (Male, Female or Unknown)]]="Unknown",Backend!$C$8,"Error"))),"")</f>
        <v/>
      </c>
      <c r="F8473" s="8" t="str">
        <f>IF(Table1[[#This Row],[Is Data Valid]]=TRUE,EXP(0.578+0.332*((Table1[[#This Row],[Gestation (days)]]+0.5)/7)-0.00354*((Table1[[#This Row],[Gestation (days)]]+0.5)/7)^2)*Table1[[#This Row],[BW40_3705]],"")</f>
        <v/>
      </c>
      <c r="G8473" s="2" t="str">
        <f>IF(Table1[[#This Row],[Is Data Valid]]=TRUE,((Table1[[#This Row],[Birthweight (grams)]]/Table1[[#This Row],[BW_GA]])-1)/(Backend!$B$4/100*Table1[[#This Row],[BW40_3705]]),"")</f>
        <v/>
      </c>
      <c r="H8473" s="7" t="str">
        <f>IF(Table1[[#This Row],[Is Data Valid]]=TRUE,((Table1[[#This Row],[Birthweight (grams)]]*0.9/Table1[[#This Row],[BW_GA]])-1)/(Backend!$B$4/100*Table1[[#This Row],[BW40_3705]]),"")</f>
        <v/>
      </c>
      <c r="I8473" s="7" t="str">
        <f>IF(Table1[[#This Row],[Is Data Valid]]=TRUE,((Table1[[#This Row],[Birthweight (grams)]]*1.1/Table1[[#This Row],[BW_GA]])-1)/(Backend!$B$4/100*Table1[[#This Row],[BW40_3705]]),"")</f>
        <v/>
      </c>
      <c r="J8473" s="7" t="str">
        <f>IF(Table1[[#This Row],[Is Data Valid]]=TRUE,_xlfn.NORM.S.DIST(Table1[[#This Row],[Birthweight Z-Score]],TRUE)*100,"")</f>
        <v/>
      </c>
      <c r="K8473" s="7" t="str">
        <f>IF(Table1[[#This Row],[Is Data Valid]]=TRUE,_xlfn.NORM.S.DIST(Table1[[#This Row],[Birthweight Z-Score (BW-10%)]],TRUE)*100,"")</f>
        <v/>
      </c>
      <c r="L8473" s="7" t="str">
        <f>IF(Table1[[#This Row],[Is Data Valid]]=TRUE,_xlfn.NORM.S.DIST(Table1[[#This Row],[Birthweight Z-Score (BW+10%)]],TRUE)*100,"")</f>
        <v/>
      </c>
    </row>
    <row r="8474" spans="1:12" x14ac:dyDescent="0.35">
      <c r="A8474" s="3"/>
      <c r="B8474" s="2"/>
      <c r="C8474" s="2"/>
      <c r="D8474" s="2" t="b">
        <f>IF(AND(NOT(ISBLANK(Table1[[#This Row],[Fetal Sex (Male, Female or Unknown)]])),ISNUMBER(Table1[[#This Row],[Birthweight (grams)]]),ISNUMBER(Table1[[#This Row],[Gestation (days)]])),TRUE,FALSE)</f>
        <v>0</v>
      </c>
      <c r="E8474" s="2" t="str">
        <f>IF(Table1[[#This Row],[Is Data Valid]]=TRUE,IF(Table1[[#This Row],[Fetal Sex (Male, Female or Unknown)]]="Male",Backend!$C$6,IF(Table1[[#This Row],[Fetal Sex (Male, Female or Unknown)]]="Female",Backend!$C$7,IF(Table1[[#This Row],[Fetal Sex (Male, Female or Unknown)]]="Unknown",Backend!$C$8,"Error"))),"")</f>
        <v/>
      </c>
      <c r="F8474" s="8" t="str">
        <f>IF(Table1[[#This Row],[Is Data Valid]]=TRUE,EXP(0.578+0.332*((Table1[[#This Row],[Gestation (days)]]+0.5)/7)-0.00354*((Table1[[#This Row],[Gestation (days)]]+0.5)/7)^2)*Table1[[#This Row],[BW40_3705]],"")</f>
        <v/>
      </c>
      <c r="G8474" s="2" t="str">
        <f>IF(Table1[[#This Row],[Is Data Valid]]=TRUE,((Table1[[#This Row],[Birthweight (grams)]]/Table1[[#This Row],[BW_GA]])-1)/(Backend!$B$4/100*Table1[[#This Row],[BW40_3705]]),"")</f>
        <v/>
      </c>
      <c r="H8474" s="7" t="str">
        <f>IF(Table1[[#This Row],[Is Data Valid]]=TRUE,((Table1[[#This Row],[Birthweight (grams)]]*0.9/Table1[[#This Row],[BW_GA]])-1)/(Backend!$B$4/100*Table1[[#This Row],[BW40_3705]]),"")</f>
        <v/>
      </c>
      <c r="I8474" s="7" t="str">
        <f>IF(Table1[[#This Row],[Is Data Valid]]=TRUE,((Table1[[#This Row],[Birthweight (grams)]]*1.1/Table1[[#This Row],[BW_GA]])-1)/(Backend!$B$4/100*Table1[[#This Row],[BW40_3705]]),"")</f>
        <v/>
      </c>
      <c r="J8474" s="7" t="str">
        <f>IF(Table1[[#This Row],[Is Data Valid]]=TRUE,_xlfn.NORM.S.DIST(Table1[[#This Row],[Birthweight Z-Score]],TRUE)*100,"")</f>
        <v/>
      </c>
      <c r="K8474" s="7" t="str">
        <f>IF(Table1[[#This Row],[Is Data Valid]]=TRUE,_xlfn.NORM.S.DIST(Table1[[#This Row],[Birthweight Z-Score (BW-10%)]],TRUE)*100,"")</f>
        <v/>
      </c>
      <c r="L8474" s="7" t="str">
        <f>IF(Table1[[#This Row],[Is Data Valid]]=TRUE,_xlfn.NORM.S.DIST(Table1[[#This Row],[Birthweight Z-Score (BW+10%)]],TRUE)*100,"")</f>
        <v/>
      </c>
    </row>
    <row r="8475" spans="1:12" x14ac:dyDescent="0.35">
      <c r="A8475" s="3"/>
      <c r="B8475" s="2"/>
      <c r="C8475" s="2"/>
      <c r="D8475" s="2" t="b">
        <f>IF(AND(NOT(ISBLANK(Table1[[#This Row],[Fetal Sex (Male, Female or Unknown)]])),ISNUMBER(Table1[[#This Row],[Birthweight (grams)]]),ISNUMBER(Table1[[#This Row],[Gestation (days)]])),TRUE,FALSE)</f>
        <v>0</v>
      </c>
      <c r="E8475" s="2" t="str">
        <f>IF(Table1[[#This Row],[Is Data Valid]]=TRUE,IF(Table1[[#This Row],[Fetal Sex (Male, Female or Unknown)]]="Male",Backend!$C$6,IF(Table1[[#This Row],[Fetal Sex (Male, Female or Unknown)]]="Female",Backend!$C$7,IF(Table1[[#This Row],[Fetal Sex (Male, Female or Unknown)]]="Unknown",Backend!$C$8,"Error"))),"")</f>
        <v/>
      </c>
      <c r="F8475" s="8" t="str">
        <f>IF(Table1[[#This Row],[Is Data Valid]]=TRUE,EXP(0.578+0.332*((Table1[[#This Row],[Gestation (days)]]+0.5)/7)-0.00354*((Table1[[#This Row],[Gestation (days)]]+0.5)/7)^2)*Table1[[#This Row],[BW40_3705]],"")</f>
        <v/>
      </c>
      <c r="G8475" s="2" t="str">
        <f>IF(Table1[[#This Row],[Is Data Valid]]=TRUE,((Table1[[#This Row],[Birthweight (grams)]]/Table1[[#This Row],[BW_GA]])-1)/(Backend!$B$4/100*Table1[[#This Row],[BW40_3705]]),"")</f>
        <v/>
      </c>
      <c r="H8475" s="7" t="str">
        <f>IF(Table1[[#This Row],[Is Data Valid]]=TRUE,((Table1[[#This Row],[Birthweight (grams)]]*0.9/Table1[[#This Row],[BW_GA]])-1)/(Backend!$B$4/100*Table1[[#This Row],[BW40_3705]]),"")</f>
        <v/>
      </c>
      <c r="I8475" s="7" t="str">
        <f>IF(Table1[[#This Row],[Is Data Valid]]=TRUE,((Table1[[#This Row],[Birthweight (grams)]]*1.1/Table1[[#This Row],[BW_GA]])-1)/(Backend!$B$4/100*Table1[[#This Row],[BW40_3705]]),"")</f>
        <v/>
      </c>
      <c r="J8475" s="7" t="str">
        <f>IF(Table1[[#This Row],[Is Data Valid]]=TRUE,_xlfn.NORM.S.DIST(Table1[[#This Row],[Birthweight Z-Score]],TRUE)*100,"")</f>
        <v/>
      </c>
      <c r="K8475" s="7" t="str">
        <f>IF(Table1[[#This Row],[Is Data Valid]]=TRUE,_xlfn.NORM.S.DIST(Table1[[#This Row],[Birthweight Z-Score (BW-10%)]],TRUE)*100,"")</f>
        <v/>
      </c>
      <c r="L8475" s="7" t="str">
        <f>IF(Table1[[#This Row],[Is Data Valid]]=TRUE,_xlfn.NORM.S.DIST(Table1[[#This Row],[Birthweight Z-Score (BW+10%)]],TRUE)*100,"")</f>
        <v/>
      </c>
    </row>
    <row r="8476" spans="1:12" x14ac:dyDescent="0.35">
      <c r="A8476" s="3"/>
      <c r="B8476" s="2"/>
      <c r="C8476" s="2"/>
      <c r="D8476" s="2" t="b">
        <f>IF(AND(NOT(ISBLANK(Table1[[#This Row],[Fetal Sex (Male, Female or Unknown)]])),ISNUMBER(Table1[[#This Row],[Birthweight (grams)]]),ISNUMBER(Table1[[#This Row],[Gestation (days)]])),TRUE,FALSE)</f>
        <v>0</v>
      </c>
      <c r="E8476" s="2" t="str">
        <f>IF(Table1[[#This Row],[Is Data Valid]]=TRUE,IF(Table1[[#This Row],[Fetal Sex (Male, Female or Unknown)]]="Male",Backend!$C$6,IF(Table1[[#This Row],[Fetal Sex (Male, Female or Unknown)]]="Female",Backend!$C$7,IF(Table1[[#This Row],[Fetal Sex (Male, Female or Unknown)]]="Unknown",Backend!$C$8,"Error"))),"")</f>
        <v/>
      </c>
      <c r="F8476" s="8" t="str">
        <f>IF(Table1[[#This Row],[Is Data Valid]]=TRUE,EXP(0.578+0.332*((Table1[[#This Row],[Gestation (days)]]+0.5)/7)-0.00354*((Table1[[#This Row],[Gestation (days)]]+0.5)/7)^2)*Table1[[#This Row],[BW40_3705]],"")</f>
        <v/>
      </c>
      <c r="G8476" s="2" t="str">
        <f>IF(Table1[[#This Row],[Is Data Valid]]=TRUE,((Table1[[#This Row],[Birthweight (grams)]]/Table1[[#This Row],[BW_GA]])-1)/(Backend!$B$4/100*Table1[[#This Row],[BW40_3705]]),"")</f>
        <v/>
      </c>
      <c r="H8476" s="7" t="str">
        <f>IF(Table1[[#This Row],[Is Data Valid]]=TRUE,((Table1[[#This Row],[Birthweight (grams)]]*0.9/Table1[[#This Row],[BW_GA]])-1)/(Backend!$B$4/100*Table1[[#This Row],[BW40_3705]]),"")</f>
        <v/>
      </c>
      <c r="I8476" s="7" t="str">
        <f>IF(Table1[[#This Row],[Is Data Valid]]=TRUE,((Table1[[#This Row],[Birthweight (grams)]]*1.1/Table1[[#This Row],[BW_GA]])-1)/(Backend!$B$4/100*Table1[[#This Row],[BW40_3705]]),"")</f>
        <v/>
      </c>
      <c r="J8476" s="7" t="str">
        <f>IF(Table1[[#This Row],[Is Data Valid]]=TRUE,_xlfn.NORM.S.DIST(Table1[[#This Row],[Birthweight Z-Score]],TRUE)*100,"")</f>
        <v/>
      </c>
      <c r="K8476" s="7" t="str">
        <f>IF(Table1[[#This Row],[Is Data Valid]]=TRUE,_xlfn.NORM.S.DIST(Table1[[#This Row],[Birthweight Z-Score (BW-10%)]],TRUE)*100,"")</f>
        <v/>
      </c>
      <c r="L8476" s="7" t="str">
        <f>IF(Table1[[#This Row],[Is Data Valid]]=TRUE,_xlfn.NORM.S.DIST(Table1[[#This Row],[Birthweight Z-Score (BW+10%)]],TRUE)*100,"")</f>
        <v/>
      </c>
    </row>
    <row r="8477" spans="1:12" x14ac:dyDescent="0.35">
      <c r="A8477" s="3"/>
      <c r="B8477" s="2"/>
      <c r="C8477" s="2"/>
      <c r="D8477" s="2" t="b">
        <f>IF(AND(NOT(ISBLANK(Table1[[#This Row],[Fetal Sex (Male, Female or Unknown)]])),ISNUMBER(Table1[[#This Row],[Birthweight (grams)]]),ISNUMBER(Table1[[#This Row],[Gestation (days)]])),TRUE,FALSE)</f>
        <v>0</v>
      </c>
      <c r="E8477" s="2" t="str">
        <f>IF(Table1[[#This Row],[Is Data Valid]]=TRUE,IF(Table1[[#This Row],[Fetal Sex (Male, Female or Unknown)]]="Male",Backend!$C$6,IF(Table1[[#This Row],[Fetal Sex (Male, Female or Unknown)]]="Female",Backend!$C$7,IF(Table1[[#This Row],[Fetal Sex (Male, Female or Unknown)]]="Unknown",Backend!$C$8,"Error"))),"")</f>
        <v/>
      </c>
      <c r="F8477" s="8" t="str">
        <f>IF(Table1[[#This Row],[Is Data Valid]]=TRUE,EXP(0.578+0.332*((Table1[[#This Row],[Gestation (days)]]+0.5)/7)-0.00354*((Table1[[#This Row],[Gestation (days)]]+0.5)/7)^2)*Table1[[#This Row],[BW40_3705]],"")</f>
        <v/>
      </c>
      <c r="G8477" s="2" t="str">
        <f>IF(Table1[[#This Row],[Is Data Valid]]=TRUE,((Table1[[#This Row],[Birthweight (grams)]]/Table1[[#This Row],[BW_GA]])-1)/(Backend!$B$4/100*Table1[[#This Row],[BW40_3705]]),"")</f>
        <v/>
      </c>
      <c r="H8477" s="7" t="str">
        <f>IF(Table1[[#This Row],[Is Data Valid]]=TRUE,((Table1[[#This Row],[Birthweight (grams)]]*0.9/Table1[[#This Row],[BW_GA]])-1)/(Backend!$B$4/100*Table1[[#This Row],[BW40_3705]]),"")</f>
        <v/>
      </c>
      <c r="I8477" s="7" t="str">
        <f>IF(Table1[[#This Row],[Is Data Valid]]=TRUE,((Table1[[#This Row],[Birthweight (grams)]]*1.1/Table1[[#This Row],[BW_GA]])-1)/(Backend!$B$4/100*Table1[[#This Row],[BW40_3705]]),"")</f>
        <v/>
      </c>
      <c r="J8477" s="7" t="str">
        <f>IF(Table1[[#This Row],[Is Data Valid]]=TRUE,_xlfn.NORM.S.DIST(Table1[[#This Row],[Birthweight Z-Score]],TRUE)*100,"")</f>
        <v/>
      </c>
      <c r="K8477" s="7" t="str">
        <f>IF(Table1[[#This Row],[Is Data Valid]]=TRUE,_xlfn.NORM.S.DIST(Table1[[#This Row],[Birthweight Z-Score (BW-10%)]],TRUE)*100,"")</f>
        <v/>
      </c>
      <c r="L8477" s="7" t="str">
        <f>IF(Table1[[#This Row],[Is Data Valid]]=TRUE,_xlfn.NORM.S.DIST(Table1[[#This Row],[Birthweight Z-Score (BW+10%)]],TRUE)*100,"")</f>
        <v/>
      </c>
    </row>
    <row r="8478" spans="1:12" x14ac:dyDescent="0.35">
      <c r="A8478" s="3"/>
      <c r="B8478" s="2"/>
      <c r="C8478" s="2"/>
      <c r="D8478" s="2" t="b">
        <f>IF(AND(NOT(ISBLANK(Table1[[#This Row],[Fetal Sex (Male, Female or Unknown)]])),ISNUMBER(Table1[[#This Row],[Birthweight (grams)]]),ISNUMBER(Table1[[#This Row],[Gestation (days)]])),TRUE,FALSE)</f>
        <v>0</v>
      </c>
      <c r="E8478" s="2" t="str">
        <f>IF(Table1[[#This Row],[Is Data Valid]]=TRUE,IF(Table1[[#This Row],[Fetal Sex (Male, Female or Unknown)]]="Male",Backend!$C$6,IF(Table1[[#This Row],[Fetal Sex (Male, Female or Unknown)]]="Female",Backend!$C$7,IF(Table1[[#This Row],[Fetal Sex (Male, Female or Unknown)]]="Unknown",Backend!$C$8,"Error"))),"")</f>
        <v/>
      </c>
      <c r="F8478" s="8" t="str">
        <f>IF(Table1[[#This Row],[Is Data Valid]]=TRUE,EXP(0.578+0.332*((Table1[[#This Row],[Gestation (days)]]+0.5)/7)-0.00354*((Table1[[#This Row],[Gestation (days)]]+0.5)/7)^2)*Table1[[#This Row],[BW40_3705]],"")</f>
        <v/>
      </c>
      <c r="G8478" s="2" t="str">
        <f>IF(Table1[[#This Row],[Is Data Valid]]=TRUE,((Table1[[#This Row],[Birthweight (grams)]]/Table1[[#This Row],[BW_GA]])-1)/(Backend!$B$4/100*Table1[[#This Row],[BW40_3705]]),"")</f>
        <v/>
      </c>
      <c r="H8478" s="7" t="str">
        <f>IF(Table1[[#This Row],[Is Data Valid]]=TRUE,((Table1[[#This Row],[Birthweight (grams)]]*0.9/Table1[[#This Row],[BW_GA]])-1)/(Backend!$B$4/100*Table1[[#This Row],[BW40_3705]]),"")</f>
        <v/>
      </c>
      <c r="I8478" s="7" t="str">
        <f>IF(Table1[[#This Row],[Is Data Valid]]=TRUE,((Table1[[#This Row],[Birthweight (grams)]]*1.1/Table1[[#This Row],[BW_GA]])-1)/(Backend!$B$4/100*Table1[[#This Row],[BW40_3705]]),"")</f>
        <v/>
      </c>
      <c r="J8478" s="7" t="str">
        <f>IF(Table1[[#This Row],[Is Data Valid]]=TRUE,_xlfn.NORM.S.DIST(Table1[[#This Row],[Birthweight Z-Score]],TRUE)*100,"")</f>
        <v/>
      </c>
      <c r="K8478" s="7" t="str">
        <f>IF(Table1[[#This Row],[Is Data Valid]]=TRUE,_xlfn.NORM.S.DIST(Table1[[#This Row],[Birthweight Z-Score (BW-10%)]],TRUE)*100,"")</f>
        <v/>
      </c>
      <c r="L8478" s="7" t="str">
        <f>IF(Table1[[#This Row],[Is Data Valid]]=TRUE,_xlfn.NORM.S.DIST(Table1[[#This Row],[Birthweight Z-Score (BW+10%)]],TRUE)*100,"")</f>
        <v/>
      </c>
    </row>
    <row r="8479" spans="1:12" x14ac:dyDescent="0.35">
      <c r="A8479" s="3"/>
      <c r="B8479" s="2"/>
      <c r="C8479" s="2"/>
      <c r="D8479" s="2" t="b">
        <f>IF(AND(NOT(ISBLANK(Table1[[#This Row],[Fetal Sex (Male, Female or Unknown)]])),ISNUMBER(Table1[[#This Row],[Birthweight (grams)]]),ISNUMBER(Table1[[#This Row],[Gestation (days)]])),TRUE,FALSE)</f>
        <v>0</v>
      </c>
      <c r="E8479" s="2" t="str">
        <f>IF(Table1[[#This Row],[Is Data Valid]]=TRUE,IF(Table1[[#This Row],[Fetal Sex (Male, Female or Unknown)]]="Male",Backend!$C$6,IF(Table1[[#This Row],[Fetal Sex (Male, Female or Unknown)]]="Female",Backend!$C$7,IF(Table1[[#This Row],[Fetal Sex (Male, Female or Unknown)]]="Unknown",Backend!$C$8,"Error"))),"")</f>
        <v/>
      </c>
      <c r="F8479" s="8" t="str">
        <f>IF(Table1[[#This Row],[Is Data Valid]]=TRUE,EXP(0.578+0.332*((Table1[[#This Row],[Gestation (days)]]+0.5)/7)-0.00354*((Table1[[#This Row],[Gestation (days)]]+0.5)/7)^2)*Table1[[#This Row],[BW40_3705]],"")</f>
        <v/>
      </c>
      <c r="G8479" s="2" t="str">
        <f>IF(Table1[[#This Row],[Is Data Valid]]=TRUE,((Table1[[#This Row],[Birthweight (grams)]]/Table1[[#This Row],[BW_GA]])-1)/(Backend!$B$4/100*Table1[[#This Row],[BW40_3705]]),"")</f>
        <v/>
      </c>
      <c r="H8479" s="7" t="str">
        <f>IF(Table1[[#This Row],[Is Data Valid]]=TRUE,((Table1[[#This Row],[Birthweight (grams)]]*0.9/Table1[[#This Row],[BW_GA]])-1)/(Backend!$B$4/100*Table1[[#This Row],[BW40_3705]]),"")</f>
        <v/>
      </c>
      <c r="I8479" s="7" t="str">
        <f>IF(Table1[[#This Row],[Is Data Valid]]=TRUE,((Table1[[#This Row],[Birthweight (grams)]]*1.1/Table1[[#This Row],[BW_GA]])-1)/(Backend!$B$4/100*Table1[[#This Row],[BW40_3705]]),"")</f>
        <v/>
      </c>
      <c r="J8479" s="7" t="str">
        <f>IF(Table1[[#This Row],[Is Data Valid]]=TRUE,_xlfn.NORM.S.DIST(Table1[[#This Row],[Birthweight Z-Score]],TRUE)*100,"")</f>
        <v/>
      </c>
      <c r="K8479" s="7" t="str">
        <f>IF(Table1[[#This Row],[Is Data Valid]]=TRUE,_xlfn.NORM.S.DIST(Table1[[#This Row],[Birthweight Z-Score (BW-10%)]],TRUE)*100,"")</f>
        <v/>
      </c>
      <c r="L8479" s="7" t="str">
        <f>IF(Table1[[#This Row],[Is Data Valid]]=TRUE,_xlfn.NORM.S.DIST(Table1[[#This Row],[Birthweight Z-Score (BW+10%)]],TRUE)*100,"")</f>
        <v/>
      </c>
    </row>
    <row r="8480" spans="1:12" x14ac:dyDescent="0.35">
      <c r="A8480" s="3"/>
      <c r="B8480" s="2"/>
      <c r="C8480" s="2"/>
      <c r="D8480" s="2" t="b">
        <f>IF(AND(NOT(ISBLANK(Table1[[#This Row],[Fetal Sex (Male, Female or Unknown)]])),ISNUMBER(Table1[[#This Row],[Birthweight (grams)]]),ISNUMBER(Table1[[#This Row],[Gestation (days)]])),TRUE,FALSE)</f>
        <v>0</v>
      </c>
      <c r="E8480" s="2" t="str">
        <f>IF(Table1[[#This Row],[Is Data Valid]]=TRUE,IF(Table1[[#This Row],[Fetal Sex (Male, Female or Unknown)]]="Male",Backend!$C$6,IF(Table1[[#This Row],[Fetal Sex (Male, Female or Unknown)]]="Female",Backend!$C$7,IF(Table1[[#This Row],[Fetal Sex (Male, Female or Unknown)]]="Unknown",Backend!$C$8,"Error"))),"")</f>
        <v/>
      </c>
      <c r="F8480" s="8" t="str">
        <f>IF(Table1[[#This Row],[Is Data Valid]]=TRUE,EXP(0.578+0.332*((Table1[[#This Row],[Gestation (days)]]+0.5)/7)-0.00354*((Table1[[#This Row],[Gestation (days)]]+0.5)/7)^2)*Table1[[#This Row],[BW40_3705]],"")</f>
        <v/>
      </c>
      <c r="G8480" s="2" t="str">
        <f>IF(Table1[[#This Row],[Is Data Valid]]=TRUE,((Table1[[#This Row],[Birthweight (grams)]]/Table1[[#This Row],[BW_GA]])-1)/(Backend!$B$4/100*Table1[[#This Row],[BW40_3705]]),"")</f>
        <v/>
      </c>
      <c r="H8480" s="7" t="str">
        <f>IF(Table1[[#This Row],[Is Data Valid]]=TRUE,((Table1[[#This Row],[Birthweight (grams)]]*0.9/Table1[[#This Row],[BW_GA]])-1)/(Backend!$B$4/100*Table1[[#This Row],[BW40_3705]]),"")</f>
        <v/>
      </c>
      <c r="I8480" s="7" t="str">
        <f>IF(Table1[[#This Row],[Is Data Valid]]=TRUE,((Table1[[#This Row],[Birthweight (grams)]]*1.1/Table1[[#This Row],[BW_GA]])-1)/(Backend!$B$4/100*Table1[[#This Row],[BW40_3705]]),"")</f>
        <v/>
      </c>
      <c r="J8480" s="7" t="str">
        <f>IF(Table1[[#This Row],[Is Data Valid]]=TRUE,_xlfn.NORM.S.DIST(Table1[[#This Row],[Birthweight Z-Score]],TRUE)*100,"")</f>
        <v/>
      </c>
      <c r="K8480" s="7" t="str">
        <f>IF(Table1[[#This Row],[Is Data Valid]]=TRUE,_xlfn.NORM.S.DIST(Table1[[#This Row],[Birthweight Z-Score (BW-10%)]],TRUE)*100,"")</f>
        <v/>
      </c>
      <c r="L8480" s="7" t="str">
        <f>IF(Table1[[#This Row],[Is Data Valid]]=TRUE,_xlfn.NORM.S.DIST(Table1[[#This Row],[Birthweight Z-Score (BW+10%)]],TRUE)*100,"")</f>
        <v/>
      </c>
    </row>
    <row r="8481" spans="1:12" x14ac:dyDescent="0.35">
      <c r="A8481" s="3"/>
      <c r="B8481" s="2"/>
      <c r="C8481" s="2"/>
      <c r="D8481" s="2" t="b">
        <f>IF(AND(NOT(ISBLANK(Table1[[#This Row],[Fetal Sex (Male, Female or Unknown)]])),ISNUMBER(Table1[[#This Row],[Birthweight (grams)]]),ISNUMBER(Table1[[#This Row],[Gestation (days)]])),TRUE,FALSE)</f>
        <v>0</v>
      </c>
      <c r="E8481" s="2" t="str">
        <f>IF(Table1[[#This Row],[Is Data Valid]]=TRUE,IF(Table1[[#This Row],[Fetal Sex (Male, Female or Unknown)]]="Male",Backend!$C$6,IF(Table1[[#This Row],[Fetal Sex (Male, Female or Unknown)]]="Female",Backend!$C$7,IF(Table1[[#This Row],[Fetal Sex (Male, Female or Unknown)]]="Unknown",Backend!$C$8,"Error"))),"")</f>
        <v/>
      </c>
      <c r="F8481" s="8" t="str">
        <f>IF(Table1[[#This Row],[Is Data Valid]]=TRUE,EXP(0.578+0.332*((Table1[[#This Row],[Gestation (days)]]+0.5)/7)-0.00354*((Table1[[#This Row],[Gestation (days)]]+0.5)/7)^2)*Table1[[#This Row],[BW40_3705]],"")</f>
        <v/>
      </c>
      <c r="G8481" s="2" t="str">
        <f>IF(Table1[[#This Row],[Is Data Valid]]=TRUE,((Table1[[#This Row],[Birthweight (grams)]]/Table1[[#This Row],[BW_GA]])-1)/(Backend!$B$4/100*Table1[[#This Row],[BW40_3705]]),"")</f>
        <v/>
      </c>
      <c r="H8481" s="7" t="str">
        <f>IF(Table1[[#This Row],[Is Data Valid]]=TRUE,((Table1[[#This Row],[Birthweight (grams)]]*0.9/Table1[[#This Row],[BW_GA]])-1)/(Backend!$B$4/100*Table1[[#This Row],[BW40_3705]]),"")</f>
        <v/>
      </c>
      <c r="I8481" s="7" t="str">
        <f>IF(Table1[[#This Row],[Is Data Valid]]=TRUE,((Table1[[#This Row],[Birthweight (grams)]]*1.1/Table1[[#This Row],[BW_GA]])-1)/(Backend!$B$4/100*Table1[[#This Row],[BW40_3705]]),"")</f>
        <v/>
      </c>
      <c r="J8481" s="7" t="str">
        <f>IF(Table1[[#This Row],[Is Data Valid]]=TRUE,_xlfn.NORM.S.DIST(Table1[[#This Row],[Birthweight Z-Score]],TRUE)*100,"")</f>
        <v/>
      </c>
      <c r="K8481" s="7" t="str">
        <f>IF(Table1[[#This Row],[Is Data Valid]]=TRUE,_xlfn.NORM.S.DIST(Table1[[#This Row],[Birthweight Z-Score (BW-10%)]],TRUE)*100,"")</f>
        <v/>
      </c>
      <c r="L8481" s="7" t="str">
        <f>IF(Table1[[#This Row],[Is Data Valid]]=TRUE,_xlfn.NORM.S.DIST(Table1[[#This Row],[Birthweight Z-Score (BW+10%)]],TRUE)*100,"")</f>
        <v/>
      </c>
    </row>
    <row r="8482" spans="1:12" x14ac:dyDescent="0.35">
      <c r="A8482" s="3"/>
      <c r="B8482" s="2"/>
      <c r="C8482" s="2"/>
      <c r="D8482" s="2" t="b">
        <f>IF(AND(NOT(ISBLANK(Table1[[#This Row],[Fetal Sex (Male, Female or Unknown)]])),ISNUMBER(Table1[[#This Row],[Birthweight (grams)]]),ISNUMBER(Table1[[#This Row],[Gestation (days)]])),TRUE,FALSE)</f>
        <v>0</v>
      </c>
      <c r="E8482" s="2" t="str">
        <f>IF(Table1[[#This Row],[Is Data Valid]]=TRUE,IF(Table1[[#This Row],[Fetal Sex (Male, Female or Unknown)]]="Male",Backend!$C$6,IF(Table1[[#This Row],[Fetal Sex (Male, Female or Unknown)]]="Female",Backend!$C$7,IF(Table1[[#This Row],[Fetal Sex (Male, Female or Unknown)]]="Unknown",Backend!$C$8,"Error"))),"")</f>
        <v/>
      </c>
      <c r="F8482" s="8" t="str">
        <f>IF(Table1[[#This Row],[Is Data Valid]]=TRUE,EXP(0.578+0.332*((Table1[[#This Row],[Gestation (days)]]+0.5)/7)-0.00354*((Table1[[#This Row],[Gestation (days)]]+0.5)/7)^2)*Table1[[#This Row],[BW40_3705]],"")</f>
        <v/>
      </c>
      <c r="G8482" s="2" t="str">
        <f>IF(Table1[[#This Row],[Is Data Valid]]=TRUE,((Table1[[#This Row],[Birthweight (grams)]]/Table1[[#This Row],[BW_GA]])-1)/(Backend!$B$4/100*Table1[[#This Row],[BW40_3705]]),"")</f>
        <v/>
      </c>
      <c r="H8482" s="7" t="str">
        <f>IF(Table1[[#This Row],[Is Data Valid]]=TRUE,((Table1[[#This Row],[Birthweight (grams)]]*0.9/Table1[[#This Row],[BW_GA]])-1)/(Backend!$B$4/100*Table1[[#This Row],[BW40_3705]]),"")</f>
        <v/>
      </c>
      <c r="I8482" s="7" t="str">
        <f>IF(Table1[[#This Row],[Is Data Valid]]=TRUE,((Table1[[#This Row],[Birthweight (grams)]]*1.1/Table1[[#This Row],[BW_GA]])-1)/(Backend!$B$4/100*Table1[[#This Row],[BW40_3705]]),"")</f>
        <v/>
      </c>
      <c r="J8482" s="7" t="str">
        <f>IF(Table1[[#This Row],[Is Data Valid]]=TRUE,_xlfn.NORM.S.DIST(Table1[[#This Row],[Birthweight Z-Score]],TRUE)*100,"")</f>
        <v/>
      </c>
      <c r="K8482" s="7" t="str">
        <f>IF(Table1[[#This Row],[Is Data Valid]]=TRUE,_xlfn.NORM.S.DIST(Table1[[#This Row],[Birthweight Z-Score (BW-10%)]],TRUE)*100,"")</f>
        <v/>
      </c>
      <c r="L8482" s="7" t="str">
        <f>IF(Table1[[#This Row],[Is Data Valid]]=TRUE,_xlfn.NORM.S.DIST(Table1[[#This Row],[Birthweight Z-Score (BW+10%)]],TRUE)*100,"")</f>
        <v/>
      </c>
    </row>
    <row r="8483" spans="1:12" x14ac:dyDescent="0.35">
      <c r="A8483" s="3"/>
      <c r="B8483" s="2"/>
      <c r="C8483" s="2"/>
      <c r="D8483" s="2" t="b">
        <f>IF(AND(NOT(ISBLANK(Table1[[#This Row],[Fetal Sex (Male, Female or Unknown)]])),ISNUMBER(Table1[[#This Row],[Birthweight (grams)]]),ISNUMBER(Table1[[#This Row],[Gestation (days)]])),TRUE,FALSE)</f>
        <v>0</v>
      </c>
      <c r="E8483" s="2" t="str">
        <f>IF(Table1[[#This Row],[Is Data Valid]]=TRUE,IF(Table1[[#This Row],[Fetal Sex (Male, Female or Unknown)]]="Male",Backend!$C$6,IF(Table1[[#This Row],[Fetal Sex (Male, Female or Unknown)]]="Female",Backend!$C$7,IF(Table1[[#This Row],[Fetal Sex (Male, Female or Unknown)]]="Unknown",Backend!$C$8,"Error"))),"")</f>
        <v/>
      </c>
      <c r="F8483" s="8" t="str">
        <f>IF(Table1[[#This Row],[Is Data Valid]]=TRUE,EXP(0.578+0.332*((Table1[[#This Row],[Gestation (days)]]+0.5)/7)-0.00354*((Table1[[#This Row],[Gestation (days)]]+0.5)/7)^2)*Table1[[#This Row],[BW40_3705]],"")</f>
        <v/>
      </c>
      <c r="G8483" s="2" t="str">
        <f>IF(Table1[[#This Row],[Is Data Valid]]=TRUE,((Table1[[#This Row],[Birthweight (grams)]]/Table1[[#This Row],[BW_GA]])-1)/(Backend!$B$4/100*Table1[[#This Row],[BW40_3705]]),"")</f>
        <v/>
      </c>
      <c r="H8483" s="7" t="str">
        <f>IF(Table1[[#This Row],[Is Data Valid]]=TRUE,((Table1[[#This Row],[Birthweight (grams)]]*0.9/Table1[[#This Row],[BW_GA]])-1)/(Backend!$B$4/100*Table1[[#This Row],[BW40_3705]]),"")</f>
        <v/>
      </c>
      <c r="I8483" s="7" t="str">
        <f>IF(Table1[[#This Row],[Is Data Valid]]=TRUE,((Table1[[#This Row],[Birthweight (grams)]]*1.1/Table1[[#This Row],[BW_GA]])-1)/(Backend!$B$4/100*Table1[[#This Row],[BW40_3705]]),"")</f>
        <v/>
      </c>
      <c r="J8483" s="7" t="str">
        <f>IF(Table1[[#This Row],[Is Data Valid]]=TRUE,_xlfn.NORM.S.DIST(Table1[[#This Row],[Birthweight Z-Score]],TRUE)*100,"")</f>
        <v/>
      </c>
      <c r="K8483" s="7" t="str">
        <f>IF(Table1[[#This Row],[Is Data Valid]]=TRUE,_xlfn.NORM.S.DIST(Table1[[#This Row],[Birthweight Z-Score (BW-10%)]],TRUE)*100,"")</f>
        <v/>
      </c>
      <c r="L8483" s="7" t="str">
        <f>IF(Table1[[#This Row],[Is Data Valid]]=TRUE,_xlfn.NORM.S.DIST(Table1[[#This Row],[Birthweight Z-Score (BW+10%)]],TRUE)*100,"")</f>
        <v/>
      </c>
    </row>
    <row r="8484" spans="1:12" x14ac:dyDescent="0.35">
      <c r="A8484" s="3"/>
      <c r="B8484" s="2"/>
      <c r="C8484" s="2"/>
      <c r="D8484" s="2" t="b">
        <f>IF(AND(NOT(ISBLANK(Table1[[#This Row],[Fetal Sex (Male, Female or Unknown)]])),ISNUMBER(Table1[[#This Row],[Birthweight (grams)]]),ISNUMBER(Table1[[#This Row],[Gestation (days)]])),TRUE,FALSE)</f>
        <v>0</v>
      </c>
      <c r="E8484" s="2" t="str">
        <f>IF(Table1[[#This Row],[Is Data Valid]]=TRUE,IF(Table1[[#This Row],[Fetal Sex (Male, Female or Unknown)]]="Male",Backend!$C$6,IF(Table1[[#This Row],[Fetal Sex (Male, Female or Unknown)]]="Female",Backend!$C$7,IF(Table1[[#This Row],[Fetal Sex (Male, Female or Unknown)]]="Unknown",Backend!$C$8,"Error"))),"")</f>
        <v/>
      </c>
      <c r="F8484" s="8" t="str">
        <f>IF(Table1[[#This Row],[Is Data Valid]]=TRUE,EXP(0.578+0.332*((Table1[[#This Row],[Gestation (days)]]+0.5)/7)-0.00354*((Table1[[#This Row],[Gestation (days)]]+0.5)/7)^2)*Table1[[#This Row],[BW40_3705]],"")</f>
        <v/>
      </c>
      <c r="G8484" s="2" t="str">
        <f>IF(Table1[[#This Row],[Is Data Valid]]=TRUE,((Table1[[#This Row],[Birthweight (grams)]]/Table1[[#This Row],[BW_GA]])-1)/(Backend!$B$4/100*Table1[[#This Row],[BW40_3705]]),"")</f>
        <v/>
      </c>
      <c r="H8484" s="7" t="str">
        <f>IF(Table1[[#This Row],[Is Data Valid]]=TRUE,((Table1[[#This Row],[Birthweight (grams)]]*0.9/Table1[[#This Row],[BW_GA]])-1)/(Backend!$B$4/100*Table1[[#This Row],[BW40_3705]]),"")</f>
        <v/>
      </c>
      <c r="I8484" s="7" t="str">
        <f>IF(Table1[[#This Row],[Is Data Valid]]=TRUE,((Table1[[#This Row],[Birthweight (grams)]]*1.1/Table1[[#This Row],[BW_GA]])-1)/(Backend!$B$4/100*Table1[[#This Row],[BW40_3705]]),"")</f>
        <v/>
      </c>
      <c r="J8484" s="7" t="str">
        <f>IF(Table1[[#This Row],[Is Data Valid]]=TRUE,_xlfn.NORM.S.DIST(Table1[[#This Row],[Birthweight Z-Score]],TRUE)*100,"")</f>
        <v/>
      </c>
      <c r="K8484" s="7" t="str">
        <f>IF(Table1[[#This Row],[Is Data Valid]]=TRUE,_xlfn.NORM.S.DIST(Table1[[#This Row],[Birthweight Z-Score (BW-10%)]],TRUE)*100,"")</f>
        <v/>
      </c>
      <c r="L8484" s="7" t="str">
        <f>IF(Table1[[#This Row],[Is Data Valid]]=TRUE,_xlfn.NORM.S.DIST(Table1[[#This Row],[Birthweight Z-Score (BW+10%)]],TRUE)*100,"")</f>
        <v/>
      </c>
    </row>
    <row r="8485" spans="1:12" x14ac:dyDescent="0.35">
      <c r="A8485" s="3"/>
      <c r="B8485" s="2"/>
      <c r="C8485" s="2"/>
      <c r="D8485" s="2" t="b">
        <f>IF(AND(NOT(ISBLANK(Table1[[#This Row],[Fetal Sex (Male, Female or Unknown)]])),ISNUMBER(Table1[[#This Row],[Birthweight (grams)]]),ISNUMBER(Table1[[#This Row],[Gestation (days)]])),TRUE,FALSE)</f>
        <v>0</v>
      </c>
      <c r="E8485" s="2" t="str">
        <f>IF(Table1[[#This Row],[Is Data Valid]]=TRUE,IF(Table1[[#This Row],[Fetal Sex (Male, Female or Unknown)]]="Male",Backend!$C$6,IF(Table1[[#This Row],[Fetal Sex (Male, Female or Unknown)]]="Female",Backend!$C$7,IF(Table1[[#This Row],[Fetal Sex (Male, Female or Unknown)]]="Unknown",Backend!$C$8,"Error"))),"")</f>
        <v/>
      </c>
      <c r="F8485" s="8" t="str">
        <f>IF(Table1[[#This Row],[Is Data Valid]]=TRUE,EXP(0.578+0.332*((Table1[[#This Row],[Gestation (days)]]+0.5)/7)-0.00354*((Table1[[#This Row],[Gestation (days)]]+0.5)/7)^2)*Table1[[#This Row],[BW40_3705]],"")</f>
        <v/>
      </c>
      <c r="G8485" s="2" t="str">
        <f>IF(Table1[[#This Row],[Is Data Valid]]=TRUE,((Table1[[#This Row],[Birthweight (grams)]]/Table1[[#This Row],[BW_GA]])-1)/(Backend!$B$4/100*Table1[[#This Row],[BW40_3705]]),"")</f>
        <v/>
      </c>
      <c r="H8485" s="7" t="str">
        <f>IF(Table1[[#This Row],[Is Data Valid]]=TRUE,((Table1[[#This Row],[Birthweight (grams)]]*0.9/Table1[[#This Row],[BW_GA]])-1)/(Backend!$B$4/100*Table1[[#This Row],[BW40_3705]]),"")</f>
        <v/>
      </c>
      <c r="I8485" s="7" t="str">
        <f>IF(Table1[[#This Row],[Is Data Valid]]=TRUE,((Table1[[#This Row],[Birthweight (grams)]]*1.1/Table1[[#This Row],[BW_GA]])-1)/(Backend!$B$4/100*Table1[[#This Row],[BW40_3705]]),"")</f>
        <v/>
      </c>
      <c r="J8485" s="7" t="str">
        <f>IF(Table1[[#This Row],[Is Data Valid]]=TRUE,_xlfn.NORM.S.DIST(Table1[[#This Row],[Birthweight Z-Score]],TRUE)*100,"")</f>
        <v/>
      </c>
      <c r="K8485" s="7" t="str">
        <f>IF(Table1[[#This Row],[Is Data Valid]]=TRUE,_xlfn.NORM.S.DIST(Table1[[#This Row],[Birthweight Z-Score (BW-10%)]],TRUE)*100,"")</f>
        <v/>
      </c>
      <c r="L8485" s="7" t="str">
        <f>IF(Table1[[#This Row],[Is Data Valid]]=TRUE,_xlfn.NORM.S.DIST(Table1[[#This Row],[Birthweight Z-Score (BW+10%)]],TRUE)*100,"")</f>
        <v/>
      </c>
    </row>
    <row r="8486" spans="1:12" x14ac:dyDescent="0.35">
      <c r="A8486" s="3"/>
      <c r="B8486" s="2"/>
      <c r="C8486" s="2"/>
      <c r="D8486" s="2" t="b">
        <f>IF(AND(NOT(ISBLANK(Table1[[#This Row],[Fetal Sex (Male, Female or Unknown)]])),ISNUMBER(Table1[[#This Row],[Birthweight (grams)]]),ISNUMBER(Table1[[#This Row],[Gestation (days)]])),TRUE,FALSE)</f>
        <v>0</v>
      </c>
      <c r="E8486" s="2" t="str">
        <f>IF(Table1[[#This Row],[Is Data Valid]]=TRUE,IF(Table1[[#This Row],[Fetal Sex (Male, Female or Unknown)]]="Male",Backend!$C$6,IF(Table1[[#This Row],[Fetal Sex (Male, Female or Unknown)]]="Female",Backend!$C$7,IF(Table1[[#This Row],[Fetal Sex (Male, Female or Unknown)]]="Unknown",Backend!$C$8,"Error"))),"")</f>
        <v/>
      </c>
      <c r="F8486" s="8" t="str">
        <f>IF(Table1[[#This Row],[Is Data Valid]]=TRUE,EXP(0.578+0.332*((Table1[[#This Row],[Gestation (days)]]+0.5)/7)-0.00354*((Table1[[#This Row],[Gestation (days)]]+0.5)/7)^2)*Table1[[#This Row],[BW40_3705]],"")</f>
        <v/>
      </c>
      <c r="G8486" s="2" t="str">
        <f>IF(Table1[[#This Row],[Is Data Valid]]=TRUE,((Table1[[#This Row],[Birthweight (grams)]]/Table1[[#This Row],[BW_GA]])-1)/(Backend!$B$4/100*Table1[[#This Row],[BW40_3705]]),"")</f>
        <v/>
      </c>
      <c r="H8486" s="7" t="str">
        <f>IF(Table1[[#This Row],[Is Data Valid]]=TRUE,((Table1[[#This Row],[Birthweight (grams)]]*0.9/Table1[[#This Row],[BW_GA]])-1)/(Backend!$B$4/100*Table1[[#This Row],[BW40_3705]]),"")</f>
        <v/>
      </c>
      <c r="I8486" s="7" t="str">
        <f>IF(Table1[[#This Row],[Is Data Valid]]=TRUE,((Table1[[#This Row],[Birthweight (grams)]]*1.1/Table1[[#This Row],[BW_GA]])-1)/(Backend!$B$4/100*Table1[[#This Row],[BW40_3705]]),"")</f>
        <v/>
      </c>
      <c r="J8486" s="7" t="str">
        <f>IF(Table1[[#This Row],[Is Data Valid]]=TRUE,_xlfn.NORM.S.DIST(Table1[[#This Row],[Birthweight Z-Score]],TRUE)*100,"")</f>
        <v/>
      </c>
      <c r="K8486" s="7" t="str">
        <f>IF(Table1[[#This Row],[Is Data Valid]]=TRUE,_xlfn.NORM.S.DIST(Table1[[#This Row],[Birthweight Z-Score (BW-10%)]],TRUE)*100,"")</f>
        <v/>
      </c>
      <c r="L8486" s="7" t="str">
        <f>IF(Table1[[#This Row],[Is Data Valid]]=TRUE,_xlfn.NORM.S.DIST(Table1[[#This Row],[Birthweight Z-Score (BW+10%)]],TRUE)*100,"")</f>
        <v/>
      </c>
    </row>
    <row r="8487" spans="1:12" x14ac:dyDescent="0.35">
      <c r="A8487" s="3"/>
      <c r="B8487" s="2"/>
      <c r="C8487" s="2"/>
      <c r="D8487" s="2" t="b">
        <f>IF(AND(NOT(ISBLANK(Table1[[#This Row],[Fetal Sex (Male, Female or Unknown)]])),ISNUMBER(Table1[[#This Row],[Birthweight (grams)]]),ISNUMBER(Table1[[#This Row],[Gestation (days)]])),TRUE,FALSE)</f>
        <v>0</v>
      </c>
      <c r="E8487" s="2" t="str">
        <f>IF(Table1[[#This Row],[Is Data Valid]]=TRUE,IF(Table1[[#This Row],[Fetal Sex (Male, Female or Unknown)]]="Male",Backend!$C$6,IF(Table1[[#This Row],[Fetal Sex (Male, Female or Unknown)]]="Female",Backend!$C$7,IF(Table1[[#This Row],[Fetal Sex (Male, Female or Unknown)]]="Unknown",Backend!$C$8,"Error"))),"")</f>
        <v/>
      </c>
      <c r="F8487" s="8" t="str">
        <f>IF(Table1[[#This Row],[Is Data Valid]]=TRUE,EXP(0.578+0.332*((Table1[[#This Row],[Gestation (days)]]+0.5)/7)-0.00354*((Table1[[#This Row],[Gestation (days)]]+0.5)/7)^2)*Table1[[#This Row],[BW40_3705]],"")</f>
        <v/>
      </c>
      <c r="G8487" s="2" t="str">
        <f>IF(Table1[[#This Row],[Is Data Valid]]=TRUE,((Table1[[#This Row],[Birthweight (grams)]]/Table1[[#This Row],[BW_GA]])-1)/(Backend!$B$4/100*Table1[[#This Row],[BW40_3705]]),"")</f>
        <v/>
      </c>
      <c r="H8487" s="7" t="str">
        <f>IF(Table1[[#This Row],[Is Data Valid]]=TRUE,((Table1[[#This Row],[Birthweight (grams)]]*0.9/Table1[[#This Row],[BW_GA]])-1)/(Backend!$B$4/100*Table1[[#This Row],[BW40_3705]]),"")</f>
        <v/>
      </c>
      <c r="I8487" s="7" t="str">
        <f>IF(Table1[[#This Row],[Is Data Valid]]=TRUE,((Table1[[#This Row],[Birthweight (grams)]]*1.1/Table1[[#This Row],[BW_GA]])-1)/(Backend!$B$4/100*Table1[[#This Row],[BW40_3705]]),"")</f>
        <v/>
      </c>
      <c r="J8487" s="7" t="str">
        <f>IF(Table1[[#This Row],[Is Data Valid]]=TRUE,_xlfn.NORM.S.DIST(Table1[[#This Row],[Birthweight Z-Score]],TRUE)*100,"")</f>
        <v/>
      </c>
      <c r="K8487" s="7" t="str">
        <f>IF(Table1[[#This Row],[Is Data Valid]]=TRUE,_xlfn.NORM.S.DIST(Table1[[#This Row],[Birthweight Z-Score (BW-10%)]],TRUE)*100,"")</f>
        <v/>
      </c>
      <c r="L8487" s="7" t="str">
        <f>IF(Table1[[#This Row],[Is Data Valid]]=TRUE,_xlfn.NORM.S.DIST(Table1[[#This Row],[Birthweight Z-Score (BW+10%)]],TRUE)*100,"")</f>
        <v/>
      </c>
    </row>
    <row r="8488" spans="1:12" x14ac:dyDescent="0.35">
      <c r="A8488" s="3"/>
      <c r="B8488" s="2"/>
      <c r="C8488" s="2"/>
      <c r="D8488" s="2" t="b">
        <f>IF(AND(NOT(ISBLANK(Table1[[#This Row],[Fetal Sex (Male, Female or Unknown)]])),ISNUMBER(Table1[[#This Row],[Birthweight (grams)]]),ISNUMBER(Table1[[#This Row],[Gestation (days)]])),TRUE,FALSE)</f>
        <v>0</v>
      </c>
      <c r="E8488" s="2" t="str">
        <f>IF(Table1[[#This Row],[Is Data Valid]]=TRUE,IF(Table1[[#This Row],[Fetal Sex (Male, Female or Unknown)]]="Male",Backend!$C$6,IF(Table1[[#This Row],[Fetal Sex (Male, Female or Unknown)]]="Female",Backend!$C$7,IF(Table1[[#This Row],[Fetal Sex (Male, Female or Unknown)]]="Unknown",Backend!$C$8,"Error"))),"")</f>
        <v/>
      </c>
      <c r="F8488" s="8" t="str">
        <f>IF(Table1[[#This Row],[Is Data Valid]]=TRUE,EXP(0.578+0.332*((Table1[[#This Row],[Gestation (days)]]+0.5)/7)-0.00354*((Table1[[#This Row],[Gestation (days)]]+0.5)/7)^2)*Table1[[#This Row],[BW40_3705]],"")</f>
        <v/>
      </c>
      <c r="G8488" s="2" t="str">
        <f>IF(Table1[[#This Row],[Is Data Valid]]=TRUE,((Table1[[#This Row],[Birthweight (grams)]]/Table1[[#This Row],[BW_GA]])-1)/(Backend!$B$4/100*Table1[[#This Row],[BW40_3705]]),"")</f>
        <v/>
      </c>
      <c r="H8488" s="7" t="str">
        <f>IF(Table1[[#This Row],[Is Data Valid]]=TRUE,((Table1[[#This Row],[Birthweight (grams)]]*0.9/Table1[[#This Row],[BW_GA]])-1)/(Backend!$B$4/100*Table1[[#This Row],[BW40_3705]]),"")</f>
        <v/>
      </c>
      <c r="I8488" s="7" t="str">
        <f>IF(Table1[[#This Row],[Is Data Valid]]=TRUE,((Table1[[#This Row],[Birthweight (grams)]]*1.1/Table1[[#This Row],[BW_GA]])-1)/(Backend!$B$4/100*Table1[[#This Row],[BW40_3705]]),"")</f>
        <v/>
      </c>
      <c r="J8488" s="7" t="str">
        <f>IF(Table1[[#This Row],[Is Data Valid]]=TRUE,_xlfn.NORM.S.DIST(Table1[[#This Row],[Birthweight Z-Score]],TRUE)*100,"")</f>
        <v/>
      </c>
      <c r="K8488" s="7" t="str">
        <f>IF(Table1[[#This Row],[Is Data Valid]]=TRUE,_xlfn.NORM.S.DIST(Table1[[#This Row],[Birthweight Z-Score (BW-10%)]],TRUE)*100,"")</f>
        <v/>
      </c>
      <c r="L8488" s="7" t="str">
        <f>IF(Table1[[#This Row],[Is Data Valid]]=TRUE,_xlfn.NORM.S.DIST(Table1[[#This Row],[Birthweight Z-Score (BW+10%)]],TRUE)*100,"")</f>
        <v/>
      </c>
    </row>
    <row r="8489" spans="1:12" x14ac:dyDescent="0.35">
      <c r="A8489" s="3"/>
      <c r="B8489" s="2"/>
      <c r="C8489" s="2"/>
      <c r="D8489" s="2" t="b">
        <f>IF(AND(NOT(ISBLANK(Table1[[#This Row],[Fetal Sex (Male, Female or Unknown)]])),ISNUMBER(Table1[[#This Row],[Birthweight (grams)]]),ISNUMBER(Table1[[#This Row],[Gestation (days)]])),TRUE,FALSE)</f>
        <v>0</v>
      </c>
      <c r="E8489" s="2" t="str">
        <f>IF(Table1[[#This Row],[Is Data Valid]]=TRUE,IF(Table1[[#This Row],[Fetal Sex (Male, Female or Unknown)]]="Male",Backend!$C$6,IF(Table1[[#This Row],[Fetal Sex (Male, Female or Unknown)]]="Female",Backend!$C$7,IF(Table1[[#This Row],[Fetal Sex (Male, Female or Unknown)]]="Unknown",Backend!$C$8,"Error"))),"")</f>
        <v/>
      </c>
      <c r="F8489" s="8" t="str">
        <f>IF(Table1[[#This Row],[Is Data Valid]]=TRUE,EXP(0.578+0.332*((Table1[[#This Row],[Gestation (days)]]+0.5)/7)-0.00354*((Table1[[#This Row],[Gestation (days)]]+0.5)/7)^2)*Table1[[#This Row],[BW40_3705]],"")</f>
        <v/>
      </c>
      <c r="G8489" s="2" t="str">
        <f>IF(Table1[[#This Row],[Is Data Valid]]=TRUE,((Table1[[#This Row],[Birthweight (grams)]]/Table1[[#This Row],[BW_GA]])-1)/(Backend!$B$4/100*Table1[[#This Row],[BW40_3705]]),"")</f>
        <v/>
      </c>
      <c r="H8489" s="7" t="str">
        <f>IF(Table1[[#This Row],[Is Data Valid]]=TRUE,((Table1[[#This Row],[Birthweight (grams)]]*0.9/Table1[[#This Row],[BW_GA]])-1)/(Backend!$B$4/100*Table1[[#This Row],[BW40_3705]]),"")</f>
        <v/>
      </c>
      <c r="I8489" s="7" t="str">
        <f>IF(Table1[[#This Row],[Is Data Valid]]=TRUE,((Table1[[#This Row],[Birthweight (grams)]]*1.1/Table1[[#This Row],[BW_GA]])-1)/(Backend!$B$4/100*Table1[[#This Row],[BW40_3705]]),"")</f>
        <v/>
      </c>
      <c r="J8489" s="7" t="str">
        <f>IF(Table1[[#This Row],[Is Data Valid]]=TRUE,_xlfn.NORM.S.DIST(Table1[[#This Row],[Birthweight Z-Score]],TRUE)*100,"")</f>
        <v/>
      </c>
      <c r="K8489" s="7" t="str">
        <f>IF(Table1[[#This Row],[Is Data Valid]]=TRUE,_xlfn.NORM.S.DIST(Table1[[#This Row],[Birthweight Z-Score (BW-10%)]],TRUE)*100,"")</f>
        <v/>
      </c>
      <c r="L8489" s="7" t="str">
        <f>IF(Table1[[#This Row],[Is Data Valid]]=TRUE,_xlfn.NORM.S.DIST(Table1[[#This Row],[Birthweight Z-Score (BW+10%)]],TRUE)*100,"")</f>
        <v/>
      </c>
    </row>
    <row r="8490" spans="1:12" x14ac:dyDescent="0.35">
      <c r="A8490" s="3"/>
      <c r="B8490" s="2"/>
      <c r="C8490" s="2"/>
      <c r="D8490" s="2" t="b">
        <f>IF(AND(NOT(ISBLANK(Table1[[#This Row],[Fetal Sex (Male, Female or Unknown)]])),ISNUMBER(Table1[[#This Row],[Birthweight (grams)]]),ISNUMBER(Table1[[#This Row],[Gestation (days)]])),TRUE,FALSE)</f>
        <v>0</v>
      </c>
      <c r="E8490" s="2" t="str">
        <f>IF(Table1[[#This Row],[Is Data Valid]]=TRUE,IF(Table1[[#This Row],[Fetal Sex (Male, Female or Unknown)]]="Male",Backend!$C$6,IF(Table1[[#This Row],[Fetal Sex (Male, Female or Unknown)]]="Female",Backend!$C$7,IF(Table1[[#This Row],[Fetal Sex (Male, Female or Unknown)]]="Unknown",Backend!$C$8,"Error"))),"")</f>
        <v/>
      </c>
      <c r="F8490" s="8" t="str">
        <f>IF(Table1[[#This Row],[Is Data Valid]]=TRUE,EXP(0.578+0.332*((Table1[[#This Row],[Gestation (days)]]+0.5)/7)-0.00354*((Table1[[#This Row],[Gestation (days)]]+0.5)/7)^2)*Table1[[#This Row],[BW40_3705]],"")</f>
        <v/>
      </c>
      <c r="G8490" s="2" t="str">
        <f>IF(Table1[[#This Row],[Is Data Valid]]=TRUE,((Table1[[#This Row],[Birthweight (grams)]]/Table1[[#This Row],[BW_GA]])-1)/(Backend!$B$4/100*Table1[[#This Row],[BW40_3705]]),"")</f>
        <v/>
      </c>
      <c r="H8490" s="7" t="str">
        <f>IF(Table1[[#This Row],[Is Data Valid]]=TRUE,((Table1[[#This Row],[Birthweight (grams)]]*0.9/Table1[[#This Row],[BW_GA]])-1)/(Backend!$B$4/100*Table1[[#This Row],[BW40_3705]]),"")</f>
        <v/>
      </c>
      <c r="I8490" s="7" t="str">
        <f>IF(Table1[[#This Row],[Is Data Valid]]=TRUE,((Table1[[#This Row],[Birthweight (grams)]]*1.1/Table1[[#This Row],[BW_GA]])-1)/(Backend!$B$4/100*Table1[[#This Row],[BW40_3705]]),"")</f>
        <v/>
      </c>
      <c r="J8490" s="7" t="str">
        <f>IF(Table1[[#This Row],[Is Data Valid]]=TRUE,_xlfn.NORM.S.DIST(Table1[[#This Row],[Birthweight Z-Score]],TRUE)*100,"")</f>
        <v/>
      </c>
      <c r="K8490" s="7" t="str">
        <f>IF(Table1[[#This Row],[Is Data Valid]]=TRUE,_xlfn.NORM.S.DIST(Table1[[#This Row],[Birthweight Z-Score (BW-10%)]],TRUE)*100,"")</f>
        <v/>
      </c>
      <c r="L8490" s="7" t="str">
        <f>IF(Table1[[#This Row],[Is Data Valid]]=TRUE,_xlfn.NORM.S.DIST(Table1[[#This Row],[Birthweight Z-Score (BW+10%)]],TRUE)*100,"")</f>
        <v/>
      </c>
    </row>
    <row r="8491" spans="1:12" x14ac:dyDescent="0.35">
      <c r="A8491" s="3"/>
      <c r="B8491" s="2"/>
      <c r="C8491" s="2"/>
      <c r="D8491" s="2" t="b">
        <f>IF(AND(NOT(ISBLANK(Table1[[#This Row],[Fetal Sex (Male, Female or Unknown)]])),ISNUMBER(Table1[[#This Row],[Birthweight (grams)]]),ISNUMBER(Table1[[#This Row],[Gestation (days)]])),TRUE,FALSE)</f>
        <v>0</v>
      </c>
      <c r="E8491" s="2" t="str">
        <f>IF(Table1[[#This Row],[Is Data Valid]]=TRUE,IF(Table1[[#This Row],[Fetal Sex (Male, Female or Unknown)]]="Male",Backend!$C$6,IF(Table1[[#This Row],[Fetal Sex (Male, Female or Unknown)]]="Female",Backend!$C$7,IF(Table1[[#This Row],[Fetal Sex (Male, Female or Unknown)]]="Unknown",Backend!$C$8,"Error"))),"")</f>
        <v/>
      </c>
      <c r="F8491" s="8" t="str">
        <f>IF(Table1[[#This Row],[Is Data Valid]]=TRUE,EXP(0.578+0.332*((Table1[[#This Row],[Gestation (days)]]+0.5)/7)-0.00354*((Table1[[#This Row],[Gestation (days)]]+0.5)/7)^2)*Table1[[#This Row],[BW40_3705]],"")</f>
        <v/>
      </c>
      <c r="G8491" s="2" t="str">
        <f>IF(Table1[[#This Row],[Is Data Valid]]=TRUE,((Table1[[#This Row],[Birthweight (grams)]]/Table1[[#This Row],[BW_GA]])-1)/(Backend!$B$4/100*Table1[[#This Row],[BW40_3705]]),"")</f>
        <v/>
      </c>
      <c r="H8491" s="7" t="str">
        <f>IF(Table1[[#This Row],[Is Data Valid]]=TRUE,((Table1[[#This Row],[Birthweight (grams)]]*0.9/Table1[[#This Row],[BW_GA]])-1)/(Backend!$B$4/100*Table1[[#This Row],[BW40_3705]]),"")</f>
        <v/>
      </c>
      <c r="I8491" s="7" t="str">
        <f>IF(Table1[[#This Row],[Is Data Valid]]=TRUE,((Table1[[#This Row],[Birthweight (grams)]]*1.1/Table1[[#This Row],[BW_GA]])-1)/(Backend!$B$4/100*Table1[[#This Row],[BW40_3705]]),"")</f>
        <v/>
      </c>
      <c r="J8491" s="7" t="str">
        <f>IF(Table1[[#This Row],[Is Data Valid]]=TRUE,_xlfn.NORM.S.DIST(Table1[[#This Row],[Birthweight Z-Score]],TRUE)*100,"")</f>
        <v/>
      </c>
      <c r="K8491" s="7" t="str">
        <f>IF(Table1[[#This Row],[Is Data Valid]]=TRUE,_xlfn.NORM.S.DIST(Table1[[#This Row],[Birthweight Z-Score (BW-10%)]],TRUE)*100,"")</f>
        <v/>
      </c>
      <c r="L8491" s="7" t="str">
        <f>IF(Table1[[#This Row],[Is Data Valid]]=TRUE,_xlfn.NORM.S.DIST(Table1[[#This Row],[Birthweight Z-Score (BW+10%)]],TRUE)*100,"")</f>
        <v/>
      </c>
    </row>
    <row r="8492" spans="1:12" x14ac:dyDescent="0.35">
      <c r="A8492" s="3"/>
      <c r="B8492" s="2"/>
      <c r="C8492" s="2"/>
      <c r="D8492" s="2" t="b">
        <f>IF(AND(NOT(ISBLANK(Table1[[#This Row],[Fetal Sex (Male, Female or Unknown)]])),ISNUMBER(Table1[[#This Row],[Birthweight (grams)]]),ISNUMBER(Table1[[#This Row],[Gestation (days)]])),TRUE,FALSE)</f>
        <v>0</v>
      </c>
      <c r="E8492" s="2" t="str">
        <f>IF(Table1[[#This Row],[Is Data Valid]]=TRUE,IF(Table1[[#This Row],[Fetal Sex (Male, Female or Unknown)]]="Male",Backend!$C$6,IF(Table1[[#This Row],[Fetal Sex (Male, Female or Unknown)]]="Female",Backend!$C$7,IF(Table1[[#This Row],[Fetal Sex (Male, Female or Unknown)]]="Unknown",Backend!$C$8,"Error"))),"")</f>
        <v/>
      </c>
      <c r="F8492" s="8" t="str">
        <f>IF(Table1[[#This Row],[Is Data Valid]]=TRUE,EXP(0.578+0.332*((Table1[[#This Row],[Gestation (days)]]+0.5)/7)-0.00354*((Table1[[#This Row],[Gestation (days)]]+0.5)/7)^2)*Table1[[#This Row],[BW40_3705]],"")</f>
        <v/>
      </c>
      <c r="G8492" s="2" t="str">
        <f>IF(Table1[[#This Row],[Is Data Valid]]=TRUE,((Table1[[#This Row],[Birthweight (grams)]]/Table1[[#This Row],[BW_GA]])-1)/(Backend!$B$4/100*Table1[[#This Row],[BW40_3705]]),"")</f>
        <v/>
      </c>
      <c r="H8492" s="7" t="str">
        <f>IF(Table1[[#This Row],[Is Data Valid]]=TRUE,((Table1[[#This Row],[Birthweight (grams)]]*0.9/Table1[[#This Row],[BW_GA]])-1)/(Backend!$B$4/100*Table1[[#This Row],[BW40_3705]]),"")</f>
        <v/>
      </c>
      <c r="I8492" s="7" t="str">
        <f>IF(Table1[[#This Row],[Is Data Valid]]=TRUE,((Table1[[#This Row],[Birthweight (grams)]]*1.1/Table1[[#This Row],[BW_GA]])-1)/(Backend!$B$4/100*Table1[[#This Row],[BW40_3705]]),"")</f>
        <v/>
      </c>
      <c r="J8492" s="7" t="str">
        <f>IF(Table1[[#This Row],[Is Data Valid]]=TRUE,_xlfn.NORM.S.DIST(Table1[[#This Row],[Birthweight Z-Score]],TRUE)*100,"")</f>
        <v/>
      </c>
      <c r="K8492" s="7" t="str">
        <f>IF(Table1[[#This Row],[Is Data Valid]]=TRUE,_xlfn.NORM.S.DIST(Table1[[#This Row],[Birthweight Z-Score (BW-10%)]],TRUE)*100,"")</f>
        <v/>
      </c>
      <c r="L8492" s="7" t="str">
        <f>IF(Table1[[#This Row],[Is Data Valid]]=TRUE,_xlfn.NORM.S.DIST(Table1[[#This Row],[Birthweight Z-Score (BW+10%)]],TRUE)*100,"")</f>
        <v/>
      </c>
    </row>
    <row r="8493" spans="1:12" x14ac:dyDescent="0.35">
      <c r="A8493" s="3"/>
      <c r="B8493" s="2"/>
      <c r="C8493" s="2"/>
      <c r="D8493" s="2" t="b">
        <f>IF(AND(NOT(ISBLANK(Table1[[#This Row],[Fetal Sex (Male, Female or Unknown)]])),ISNUMBER(Table1[[#This Row],[Birthweight (grams)]]),ISNUMBER(Table1[[#This Row],[Gestation (days)]])),TRUE,FALSE)</f>
        <v>0</v>
      </c>
      <c r="E8493" s="2" t="str">
        <f>IF(Table1[[#This Row],[Is Data Valid]]=TRUE,IF(Table1[[#This Row],[Fetal Sex (Male, Female or Unknown)]]="Male",Backend!$C$6,IF(Table1[[#This Row],[Fetal Sex (Male, Female or Unknown)]]="Female",Backend!$C$7,IF(Table1[[#This Row],[Fetal Sex (Male, Female or Unknown)]]="Unknown",Backend!$C$8,"Error"))),"")</f>
        <v/>
      </c>
      <c r="F8493" s="8" t="str">
        <f>IF(Table1[[#This Row],[Is Data Valid]]=TRUE,EXP(0.578+0.332*((Table1[[#This Row],[Gestation (days)]]+0.5)/7)-0.00354*((Table1[[#This Row],[Gestation (days)]]+0.5)/7)^2)*Table1[[#This Row],[BW40_3705]],"")</f>
        <v/>
      </c>
      <c r="G8493" s="2" t="str">
        <f>IF(Table1[[#This Row],[Is Data Valid]]=TRUE,((Table1[[#This Row],[Birthweight (grams)]]/Table1[[#This Row],[BW_GA]])-1)/(Backend!$B$4/100*Table1[[#This Row],[BW40_3705]]),"")</f>
        <v/>
      </c>
      <c r="H8493" s="7" t="str">
        <f>IF(Table1[[#This Row],[Is Data Valid]]=TRUE,((Table1[[#This Row],[Birthweight (grams)]]*0.9/Table1[[#This Row],[BW_GA]])-1)/(Backend!$B$4/100*Table1[[#This Row],[BW40_3705]]),"")</f>
        <v/>
      </c>
      <c r="I8493" s="7" t="str">
        <f>IF(Table1[[#This Row],[Is Data Valid]]=TRUE,((Table1[[#This Row],[Birthweight (grams)]]*1.1/Table1[[#This Row],[BW_GA]])-1)/(Backend!$B$4/100*Table1[[#This Row],[BW40_3705]]),"")</f>
        <v/>
      </c>
      <c r="J8493" s="7" t="str">
        <f>IF(Table1[[#This Row],[Is Data Valid]]=TRUE,_xlfn.NORM.S.DIST(Table1[[#This Row],[Birthweight Z-Score]],TRUE)*100,"")</f>
        <v/>
      </c>
      <c r="K8493" s="7" t="str">
        <f>IF(Table1[[#This Row],[Is Data Valid]]=TRUE,_xlfn.NORM.S.DIST(Table1[[#This Row],[Birthweight Z-Score (BW-10%)]],TRUE)*100,"")</f>
        <v/>
      </c>
      <c r="L8493" s="7" t="str">
        <f>IF(Table1[[#This Row],[Is Data Valid]]=TRUE,_xlfn.NORM.S.DIST(Table1[[#This Row],[Birthweight Z-Score (BW+10%)]],TRUE)*100,"")</f>
        <v/>
      </c>
    </row>
    <row r="8494" spans="1:12" x14ac:dyDescent="0.35">
      <c r="A8494" s="3"/>
      <c r="B8494" s="2"/>
      <c r="C8494" s="2"/>
      <c r="D8494" s="2" t="b">
        <f>IF(AND(NOT(ISBLANK(Table1[[#This Row],[Fetal Sex (Male, Female or Unknown)]])),ISNUMBER(Table1[[#This Row],[Birthweight (grams)]]),ISNUMBER(Table1[[#This Row],[Gestation (days)]])),TRUE,FALSE)</f>
        <v>0</v>
      </c>
      <c r="E8494" s="2" t="str">
        <f>IF(Table1[[#This Row],[Is Data Valid]]=TRUE,IF(Table1[[#This Row],[Fetal Sex (Male, Female or Unknown)]]="Male",Backend!$C$6,IF(Table1[[#This Row],[Fetal Sex (Male, Female or Unknown)]]="Female",Backend!$C$7,IF(Table1[[#This Row],[Fetal Sex (Male, Female or Unknown)]]="Unknown",Backend!$C$8,"Error"))),"")</f>
        <v/>
      </c>
      <c r="F8494" s="8" t="str">
        <f>IF(Table1[[#This Row],[Is Data Valid]]=TRUE,EXP(0.578+0.332*((Table1[[#This Row],[Gestation (days)]]+0.5)/7)-0.00354*((Table1[[#This Row],[Gestation (days)]]+0.5)/7)^2)*Table1[[#This Row],[BW40_3705]],"")</f>
        <v/>
      </c>
      <c r="G8494" s="2" t="str">
        <f>IF(Table1[[#This Row],[Is Data Valid]]=TRUE,((Table1[[#This Row],[Birthweight (grams)]]/Table1[[#This Row],[BW_GA]])-1)/(Backend!$B$4/100*Table1[[#This Row],[BW40_3705]]),"")</f>
        <v/>
      </c>
      <c r="H8494" s="7" t="str">
        <f>IF(Table1[[#This Row],[Is Data Valid]]=TRUE,((Table1[[#This Row],[Birthweight (grams)]]*0.9/Table1[[#This Row],[BW_GA]])-1)/(Backend!$B$4/100*Table1[[#This Row],[BW40_3705]]),"")</f>
        <v/>
      </c>
      <c r="I8494" s="7" t="str">
        <f>IF(Table1[[#This Row],[Is Data Valid]]=TRUE,((Table1[[#This Row],[Birthweight (grams)]]*1.1/Table1[[#This Row],[BW_GA]])-1)/(Backend!$B$4/100*Table1[[#This Row],[BW40_3705]]),"")</f>
        <v/>
      </c>
      <c r="J8494" s="7" t="str">
        <f>IF(Table1[[#This Row],[Is Data Valid]]=TRUE,_xlfn.NORM.S.DIST(Table1[[#This Row],[Birthweight Z-Score]],TRUE)*100,"")</f>
        <v/>
      </c>
      <c r="K8494" s="7" t="str">
        <f>IF(Table1[[#This Row],[Is Data Valid]]=TRUE,_xlfn.NORM.S.DIST(Table1[[#This Row],[Birthweight Z-Score (BW-10%)]],TRUE)*100,"")</f>
        <v/>
      </c>
      <c r="L8494" s="7" t="str">
        <f>IF(Table1[[#This Row],[Is Data Valid]]=TRUE,_xlfn.NORM.S.DIST(Table1[[#This Row],[Birthweight Z-Score (BW+10%)]],TRUE)*100,"")</f>
        <v/>
      </c>
    </row>
    <row r="8495" spans="1:12" x14ac:dyDescent="0.35">
      <c r="A8495" s="3"/>
      <c r="B8495" s="2"/>
      <c r="C8495" s="2"/>
      <c r="D8495" s="2" t="b">
        <f>IF(AND(NOT(ISBLANK(Table1[[#This Row],[Fetal Sex (Male, Female or Unknown)]])),ISNUMBER(Table1[[#This Row],[Birthweight (grams)]]),ISNUMBER(Table1[[#This Row],[Gestation (days)]])),TRUE,FALSE)</f>
        <v>0</v>
      </c>
      <c r="E8495" s="2" t="str">
        <f>IF(Table1[[#This Row],[Is Data Valid]]=TRUE,IF(Table1[[#This Row],[Fetal Sex (Male, Female or Unknown)]]="Male",Backend!$C$6,IF(Table1[[#This Row],[Fetal Sex (Male, Female or Unknown)]]="Female",Backend!$C$7,IF(Table1[[#This Row],[Fetal Sex (Male, Female or Unknown)]]="Unknown",Backend!$C$8,"Error"))),"")</f>
        <v/>
      </c>
      <c r="F8495" s="8" t="str">
        <f>IF(Table1[[#This Row],[Is Data Valid]]=TRUE,EXP(0.578+0.332*((Table1[[#This Row],[Gestation (days)]]+0.5)/7)-0.00354*((Table1[[#This Row],[Gestation (days)]]+0.5)/7)^2)*Table1[[#This Row],[BW40_3705]],"")</f>
        <v/>
      </c>
      <c r="G8495" s="2" t="str">
        <f>IF(Table1[[#This Row],[Is Data Valid]]=TRUE,((Table1[[#This Row],[Birthweight (grams)]]/Table1[[#This Row],[BW_GA]])-1)/(Backend!$B$4/100*Table1[[#This Row],[BW40_3705]]),"")</f>
        <v/>
      </c>
      <c r="H8495" s="7" t="str">
        <f>IF(Table1[[#This Row],[Is Data Valid]]=TRUE,((Table1[[#This Row],[Birthweight (grams)]]*0.9/Table1[[#This Row],[BW_GA]])-1)/(Backend!$B$4/100*Table1[[#This Row],[BW40_3705]]),"")</f>
        <v/>
      </c>
      <c r="I8495" s="7" t="str">
        <f>IF(Table1[[#This Row],[Is Data Valid]]=TRUE,((Table1[[#This Row],[Birthweight (grams)]]*1.1/Table1[[#This Row],[BW_GA]])-1)/(Backend!$B$4/100*Table1[[#This Row],[BW40_3705]]),"")</f>
        <v/>
      </c>
      <c r="J8495" s="7" t="str">
        <f>IF(Table1[[#This Row],[Is Data Valid]]=TRUE,_xlfn.NORM.S.DIST(Table1[[#This Row],[Birthweight Z-Score]],TRUE)*100,"")</f>
        <v/>
      </c>
      <c r="K8495" s="7" t="str">
        <f>IF(Table1[[#This Row],[Is Data Valid]]=TRUE,_xlfn.NORM.S.DIST(Table1[[#This Row],[Birthweight Z-Score (BW-10%)]],TRUE)*100,"")</f>
        <v/>
      </c>
      <c r="L8495" s="7" t="str">
        <f>IF(Table1[[#This Row],[Is Data Valid]]=TRUE,_xlfn.NORM.S.DIST(Table1[[#This Row],[Birthweight Z-Score (BW+10%)]],TRUE)*100,"")</f>
        <v/>
      </c>
    </row>
    <row r="8496" spans="1:12" x14ac:dyDescent="0.35">
      <c r="A8496" s="3"/>
      <c r="B8496" s="2"/>
      <c r="C8496" s="2"/>
      <c r="D8496" s="2" t="b">
        <f>IF(AND(NOT(ISBLANK(Table1[[#This Row],[Fetal Sex (Male, Female or Unknown)]])),ISNUMBER(Table1[[#This Row],[Birthweight (grams)]]),ISNUMBER(Table1[[#This Row],[Gestation (days)]])),TRUE,FALSE)</f>
        <v>0</v>
      </c>
      <c r="E8496" s="2" t="str">
        <f>IF(Table1[[#This Row],[Is Data Valid]]=TRUE,IF(Table1[[#This Row],[Fetal Sex (Male, Female or Unknown)]]="Male",Backend!$C$6,IF(Table1[[#This Row],[Fetal Sex (Male, Female or Unknown)]]="Female",Backend!$C$7,IF(Table1[[#This Row],[Fetal Sex (Male, Female or Unknown)]]="Unknown",Backend!$C$8,"Error"))),"")</f>
        <v/>
      </c>
      <c r="F8496" s="8" t="str">
        <f>IF(Table1[[#This Row],[Is Data Valid]]=TRUE,EXP(0.578+0.332*((Table1[[#This Row],[Gestation (days)]]+0.5)/7)-0.00354*((Table1[[#This Row],[Gestation (days)]]+0.5)/7)^2)*Table1[[#This Row],[BW40_3705]],"")</f>
        <v/>
      </c>
      <c r="G8496" s="2" t="str">
        <f>IF(Table1[[#This Row],[Is Data Valid]]=TRUE,((Table1[[#This Row],[Birthweight (grams)]]/Table1[[#This Row],[BW_GA]])-1)/(Backend!$B$4/100*Table1[[#This Row],[BW40_3705]]),"")</f>
        <v/>
      </c>
      <c r="H8496" s="7" t="str">
        <f>IF(Table1[[#This Row],[Is Data Valid]]=TRUE,((Table1[[#This Row],[Birthweight (grams)]]*0.9/Table1[[#This Row],[BW_GA]])-1)/(Backend!$B$4/100*Table1[[#This Row],[BW40_3705]]),"")</f>
        <v/>
      </c>
      <c r="I8496" s="7" t="str">
        <f>IF(Table1[[#This Row],[Is Data Valid]]=TRUE,((Table1[[#This Row],[Birthweight (grams)]]*1.1/Table1[[#This Row],[BW_GA]])-1)/(Backend!$B$4/100*Table1[[#This Row],[BW40_3705]]),"")</f>
        <v/>
      </c>
      <c r="J8496" s="7" t="str">
        <f>IF(Table1[[#This Row],[Is Data Valid]]=TRUE,_xlfn.NORM.S.DIST(Table1[[#This Row],[Birthweight Z-Score]],TRUE)*100,"")</f>
        <v/>
      </c>
      <c r="K8496" s="7" t="str">
        <f>IF(Table1[[#This Row],[Is Data Valid]]=TRUE,_xlfn.NORM.S.DIST(Table1[[#This Row],[Birthweight Z-Score (BW-10%)]],TRUE)*100,"")</f>
        <v/>
      </c>
      <c r="L8496" s="7" t="str">
        <f>IF(Table1[[#This Row],[Is Data Valid]]=TRUE,_xlfn.NORM.S.DIST(Table1[[#This Row],[Birthweight Z-Score (BW+10%)]],TRUE)*100,"")</f>
        <v/>
      </c>
    </row>
    <row r="8497" spans="1:12" x14ac:dyDescent="0.35">
      <c r="A8497" s="3"/>
      <c r="B8497" s="2"/>
      <c r="C8497" s="2"/>
      <c r="D8497" s="2" t="b">
        <f>IF(AND(NOT(ISBLANK(Table1[[#This Row],[Fetal Sex (Male, Female or Unknown)]])),ISNUMBER(Table1[[#This Row],[Birthweight (grams)]]),ISNUMBER(Table1[[#This Row],[Gestation (days)]])),TRUE,FALSE)</f>
        <v>0</v>
      </c>
      <c r="E8497" s="2" t="str">
        <f>IF(Table1[[#This Row],[Is Data Valid]]=TRUE,IF(Table1[[#This Row],[Fetal Sex (Male, Female or Unknown)]]="Male",Backend!$C$6,IF(Table1[[#This Row],[Fetal Sex (Male, Female or Unknown)]]="Female",Backend!$C$7,IF(Table1[[#This Row],[Fetal Sex (Male, Female or Unknown)]]="Unknown",Backend!$C$8,"Error"))),"")</f>
        <v/>
      </c>
      <c r="F8497" s="8" t="str">
        <f>IF(Table1[[#This Row],[Is Data Valid]]=TRUE,EXP(0.578+0.332*((Table1[[#This Row],[Gestation (days)]]+0.5)/7)-0.00354*((Table1[[#This Row],[Gestation (days)]]+0.5)/7)^2)*Table1[[#This Row],[BW40_3705]],"")</f>
        <v/>
      </c>
      <c r="G8497" s="2" t="str">
        <f>IF(Table1[[#This Row],[Is Data Valid]]=TRUE,((Table1[[#This Row],[Birthweight (grams)]]/Table1[[#This Row],[BW_GA]])-1)/(Backend!$B$4/100*Table1[[#This Row],[BW40_3705]]),"")</f>
        <v/>
      </c>
      <c r="H8497" s="7" t="str">
        <f>IF(Table1[[#This Row],[Is Data Valid]]=TRUE,((Table1[[#This Row],[Birthweight (grams)]]*0.9/Table1[[#This Row],[BW_GA]])-1)/(Backend!$B$4/100*Table1[[#This Row],[BW40_3705]]),"")</f>
        <v/>
      </c>
      <c r="I8497" s="7" t="str">
        <f>IF(Table1[[#This Row],[Is Data Valid]]=TRUE,((Table1[[#This Row],[Birthweight (grams)]]*1.1/Table1[[#This Row],[BW_GA]])-1)/(Backend!$B$4/100*Table1[[#This Row],[BW40_3705]]),"")</f>
        <v/>
      </c>
      <c r="J8497" s="7" t="str">
        <f>IF(Table1[[#This Row],[Is Data Valid]]=TRUE,_xlfn.NORM.S.DIST(Table1[[#This Row],[Birthweight Z-Score]],TRUE)*100,"")</f>
        <v/>
      </c>
      <c r="K8497" s="7" t="str">
        <f>IF(Table1[[#This Row],[Is Data Valid]]=TRUE,_xlfn.NORM.S.DIST(Table1[[#This Row],[Birthweight Z-Score (BW-10%)]],TRUE)*100,"")</f>
        <v/>
      </c>
      <c r="L8497" s="7" t="str">
        <f>IF(Table1[[#This Row],[Is Data Valid]]=TRUE,_xlfn.NORM.S.DIST(Table1[[#This Row],[Birthweight Z-Score (BW+10%)]],TRUE)*100,"")</f>
        <v/>
      </c>
    </row>
    <row r="8498" spans="1:12" x14ac:dyDescent="0.35">
      <c r="A8498" s="3"/>
      <c r="B8498" s="2"/>
      <c r="C8498" s="2"/>
      <c r="D8498" s="2" t="b">
        <f>IF(AND(NOT(ISBLANK(Table1[[#This Row],[Fetal Sex (Male, Female or Unknown)]])),ISNUMBER(Table1[[#This Row],[Birthweight (grams)]]),ISNUMBER(Table1[[#This Row],[Gestation (days)]])),TRUE,FALSE)</f>
        <v>0</v>
      </c>
      <c r="E8498" s="2" t="str">
        <f>IF(Table1[[#This Row],[Is Data Valid]]=TRUE,IF(Table1[[#This Row],[Fetal Sex (Male, Female or Unknown)]]="Male",Backend!$C$6,IF(Table1[[#This Row],[Fetal Sex (Male, Female or Unknown)]]="Female",Backend!$C$7,IF(Table1[[#This Row],[Fetal Sex (Male, Female or Unknown)]]="Unknown",Backend!$C$8,"Error"))),"")</f>
        <v/>
      </c>
      <c r="F8498" s="8" t="str">
        <f>IF(Table1[[#This Row],[Is Data Valid]]=TRUE,EXP(0.578+0.332*((Table1[[#This Row],[Gestation (days)]]+0.5)/7)-0.00354*((Table1[[#This Row],[Gestation (days)]]+0.5)/7)^2)*Table1[[#This Row],[BW40_3705]],"")</f>
        <v/>
      </c>
      <c r="G8498" s="2" t="str">
        <f>IF(Table1[[#This Row],[Is Data Valid]]=TRUE,((Table1[[#This Row],[Birthweight (grams)]]/Table1[[#This Row],[BW_GA]])-1)/(Backend!$B$4/100*Table1[[#This Row],[BW40_3705]]),"")</f>
        <v/>
      </c>
      <c r="H8498" s="7" t="str">
        <f>IF(Table1[[#This Row],[Is Data Valid]]=TRUE,((Table1[[#This Row],[Birthweight (grams)]]*0.9/Table1[[#This Row],[BW_GA]])-1)/(Backend!$B$4/100*Table1[[#This Row],[BW40_3705]]),"")</f>
        <v/>
      </c>
      <c r="I8498" s="7" t="str">
        <f>IF(Table1[[#This Row],[Is Data Valid]]=TRUE,((Table1[[#This Row],[Birthweight (grams)]]*1.1/Table1[[#This Row],[BW_GA]])-1)/(Backend!$B$4/100*Table1[[#This Row],[BW40_3705]]),"")</f>
        <v/>
      </c>
      <c r="J8498" s="7" t="str">
        <f>IF(Table1[[#This Row],[Is Data Valid]]=TRUE,_xlfn.NORM.S.DIST(Table1[[#This Row],[Birthweight Z-Score]],TRUE)*100,"")</f>
        <v/>
      </c>
      <c r="K8498" s="7" t="str">
        <f>IF(Table1[[#This Row],[Is Data Valid]]=TRUE,_xlfn.NORM.S.DIST(Table1[[#This Row],[Birthweight Z-Score (BW-10%)]],TRUE)*100,"")</f>
        <v/>
      </c>
      <c r="L8498" s="7" t="str">
        <f>IF(Table1[[#This Row],[Is Data Valid]]=TRUE,_xlfn.NORM.S.DIST(Table1[[#This Row],[Birthweight Z-Score (BW+10%)]],TRUE)*100,"")</f>
        <v/>
      </c>
    </row>
    <row r="8499" spans="1:12" x14ac:dyDescent="0.35">
      <c r="A8499" s="3"/>
      <c r="B8499" s="2"/>
      <c r="C8499" s="2"/>
      <c r="D8499" s="2" t="b">
        <f>IF(AND(NOT(ISBLANK(Table1[[#This Row],[Fetal Sex (Male, Female or Unknown)]])),ISNUMBER(Table1[[#This Row],[Birthweight (grams)]]),ISNUMBER(Table1[[#This Row],[Gestation (days)]])),TRUE,FALSE)</f>
        <v>0</v>
      </c>
      <c r="E8499" s="2" t="str">
        <f>IF(Table1[[#This Row],[Is Data Valid]]=TRUE,IF(Table1[[#This Row],[Fetal Sex (Male, Female or Unknown)]]="Male",Backend!$C$6,IF(Table1[[#This Row],[Fetal Sex (Male, Female or Unknown)]]="Female",Backend!$C$7,IF(Table1[[#This Row],[Fetal Sex (Male, Female or Unknown)]]="Unknown",Backend!$C$8,"Error"))),"")</f>
        <v/>
      </c>
      <c r="F8499" s="8" t="str">
        <f>IF(Table1[[#This Row],[Is Data Valid]]=TRUE,EXP(0.578+0.332*((Table1[[#This Row],[Gestation (days)]]+0.5)/7)-0.00354*((Table1[[#This Row],[Gestation (days)]]+0.5)/7)^2)*Table1[[#This Row],[BW40_3705]],"")</f>
        <v/>
      </c>
      <c r="G8499" s="2" t="str">
        <f>IF(Table1[[#This Row],[Is Data Valid]]=TRUE,((Table1[[#This Row],[Birthweight (grams)]]/Table1[[#This Row],[BW_GA]])-1)/(Backend!$B$4/100*Table1[[#This Row],[BW40_3705]]),"")</f>
        <v/>
      </c>
      <c r="H8499" s="7" t="str">
        <f>IF(Table1[[#This Row],[Is Data Valid]]=TRUE,((Table1[[#This Row],[Birthweight (grams)]]*0.9/Table1[[#This Row],[BW_GA]])-1)/(Backend!$B$4/100*Table1[[#This Row],[BW40_3705]]),"")</f>
        <v/>
      </c>
      <c r="I8499" s="7" t="str">
        <f>IF(Table1[[#This Row],[Is Data Valid]]=TRUE,((Table1[[#This Row],[Birthweight (grams)]]*1.1/Table1[[#This Row],[BW_GA]])-1)/(Backend!$B$4/100*Table1[[#This Row],[BW40_3705]]),"")</f>
        <v/>
      </c>
      <c r="J8499" s="7" t="str">
        <f>IF(Table1[[#This Row],[Is Data Valid]]=TRUE,_xlfn.NORM.S.DIST(Table1[[#This Row],[Birthweight Z-Score]],TRUE)*100,"")</f>
        <v/>
      </c>
      <c r="K8499" s="7" t="str">
        <f>IF(Table1[[#This Row],[Is Data Valid]]=TRUE,_xlfn.NORM.S.DIST(Table1[[#This Row],[Birthweight Z-Score (BW-10%)]],TRUE)*100,"")</f>
        <v/>
      </c>
      <c r="L8499" s="7" t="str">
        <f>IF(Table1[[#This Row],[Is Data Valid]]=TRUE,_xlfn.NORM.S.DIST(Table1[[#This Row],[Birthweight Z-Score (BW+10%)]],TRUE)*100,"")</f>
        <v/>
      </c>
    </row>
    <row r="8500" spans="1:12" x14ac:dyDescent="0.35">
      <c r="A8500" s="3"/>
      <c r="B8500" s="2"/>
      <c r="C8500" s="2"/>
      <c r="D8500" s="2" t="b">
        <f>IF(AND(NOT(ISBLANK(Table1[[#This Row],[Fetal Sex (Male, Female or Unknown)]])),ISNUMBER(Table1[[#This Row],[Birthweight (grams)]]),ISNUMBER(Table1[[#This Row],[Gestation (days)]])),TRUE,FALSE)</f>
        <v>0</v>
      </c>
      <c r="E8500" s="2" t="str">
        <f>IF(Table1[[#This Row],[Is Data Valid]]=TRUE,IF(Table1[[#This Row],[Fetal Sex (Male, Female or Unknown)]]="Male",Backend!$C$6,IF(Table1[[#This Row],[Fetal Sex (Male, Female or Unknown)]]="Female",Backend!$C$7,IF(Table1[[#This Row],[Fetal Sex (Male, Female or Unknown)]]="Unknown",Backend!$C$8,"Error"))),"")</f>
        <v/>
      </c>
      <c r="F8500" s="8" t="str">
        <f>IF(Table1[[#This Row],[Is Data Valid]]=TRUE,EXP(0.578+0.332*((Table1[[#This Row],[Gestation (days)]]+0.5)/7)-0.00354*((Table1[[#This Row],[Gestation (days)]]+0.5)/7)^2)*Table1[[#This Row],[BW40_3705]],"")</f>
        <v/>
      </c>
      <c r="G8500" s="2" t="str">
        <f>IF(Table1[[#This Row],[Is Data Valid]]=TRUE,((Table1[[#This Row],[Birthweight (grams)]]/Table1[[#This Row],[BW_GA]])-1)/(Backend!$B$4/100*Table1[[#This Row],[BW40_3705]]),"")</f>
        <v/>
      </c>
      <c r="H8500" s="7" t="str">
        <f>IF(Table1[[#This Row],[Is Data Valid]]=TRUE,((Table1[[#This Row],[Birthweight (grams)]]*0.9/Table1[[#This Row],[BW_GA]])-1)/(Backend!$B$4/100*Table1[[#This Row],[BW40_3705]]),"")</f>
        <v/>
      </c>
      <c r="I8500" s="7" t="str">
        <f>IF(Table1[[#This Row],[Is Data Valid]]=TRUE,((Table1[[#This Row],[Birthweight (grams)]]*1.1/Table1[[#This Row],[BW_GA]])-1)/(Backend!$B$4/100*Table1[[#This Row],[BW40_3705]]),"")</f>
        <v/>
      </c>
      <c r="J8500" s="7" t="str">
        <f>IF(Table1[[#This Row],[Is Data Valid]]=TRUE,_xlfn.NORM.S.DIST(Table1[[#This Row],[Birthweight Z-Score]],TRUE)*100,"")</f>
        <v/>
      </c>
      <c r="K8500" s="7" t="str">
        <f>IF(Table1[[#This Row],[Is Data Valid]]=TRUE,_xlfn.NORM.S.DIST(Table1[[#This Row],[Birthweight Z-Score (BW-10%)]],TRUE)*100,"")</f>
        <v/>
      </c>
      <c r="L8500" s="7" t="str">
        <f>IF(Table1[[#This Row],[Is Data Valid]]=TRUE,_xlfn.NORM.S.DIST(Table1[[#This Row],[Birthweight Z-Score (BW+10%)]],TRUE)*100,"")</f>
        <v/>
      </c>
    </row>
    <row r="8501" spans="1:12" x14ac:dyDescent="0.35">
      <c r="A8501" s="3"/>
      <c r="B8501" s="2"/>
      <c r="C8501" s="2"/>
      <c r="D8501" s="2" t="b">
        <f>IF(AND(NOT(ISBLANK(Table1[[#This Row],[Fetal Sex (Male, Female or Unknown)]])),ISNUMBER(Table1[[#This Row],[Birthweight (grams)]]),ISNUMBER(Table1[[#This Row],[Gestation (days)]])),TRUE,FALSE)</f>
        <v>0</v>
      </c>
      <c r="E8501" s="2" t="str">
        <f>IF(Table1[[#This Row],[Is Data Valid]]=TRUE,IF(Table1[[#This Row],[Fetal Sex (Male, Female or Unknown)]]="Male",Backend!$C$6,IF(Table1[[#This Row],[Fetal Sex (Male, Female or Unknown)]]="Female",Backend!$C$7,IF(Table1[[#This Row],[Fetal Sex (Male, Female or Unknown)]]="Unknown",Backend!$C$8,"Error"))),"")</f>
        <v/>
      </c>
      <c r="F8501" s="8" t="str">
        <f>IF(Table1[[#This Row],[Is Data Valid]]=TRUE,EXP(0.578+0.332*((Table1[[#This Row],[Gestation (days)]]+0.5)/7)-0.00354*((Table1[[#This Row],[Gestation (days)]]+0.5)/7)^2)*Table1[[#This Row],[BW40_3705]],"")</f>
        <v/>
      </c>
      <c r="G8501" s="2" t="str">
        <f>IF(Table1[[#This Row],[Is Data Valid]]=TRUE,((Table1[[#This Row],[Birthweight (grams)]]/Table1[[#This Row],[BW_GA]])-1)/(Backend!$B$4/100*Table1[[#This Row],[BW40_3705]]),"")</f>
        <v/>
      </c>
      <c r="H8501" s="7" t="str">
        <f>IF(Table1[[#This Row],[Is Data Valid]]=TRUE,((Table1[[#This Row],[Birthweight (grams)]]*0.9/Table1[[#This Row],[BW_GA]])-1)/(Backend!$B$4/100*Table1[[#This Row],[BW40_3705]]),"")</f>
        <v/>
      </c>
      <c r="I8501" s="7" t="str">
        <f>IF(Table1[[#This Row],[Is Data Valid]]=TRUE,((Table1[[#This Row],[Birthweight (grams)]]*1.1/Table1[[#This Row],[BW_GA]])-1)/(Backend!$B$4/100*Table1[[#This Row],[BW40_3705]]),"")</f>
        <v/>
      </c>
      <c r="J8501" s="7" t="str">
        <f>IF(Table1[[#This Row],[Is Data Valid]]=TRUE,_xlfn.NORM.S.DIST(Table1[[#This Row],[Birthweight Z-Score]],TRUE)*100,"")</f>
        <v/>
      </c>
      <c r="K8501" s="7" t="str">
        <f>IF(Table1[[#This Row],[Is Data Valid]]=TRUE,_xlfn.NORM.S.DIST(Table1[[#This Row],[Birthweight Z-Score (BW-10%)]],TRUE)*100,"")</f>
        <v/>
      </c>
      <c r="L8501" s="7" t="str">
        <f>IF(Table1[[#This Row],[Is Data Valid]]=TRUE,_xlfn.NORM.S.DIST(Table1[[#This Row],[Birthweight Z-Score (BW+10%)]],TRUE)*100,"")</f>
        <v/>
      </c>
    </row>
    <row r="8502" spans="1:12" x14ac:dyDescent="0.35">
      <c r="A8502" s="3"/>
      <c r="B8502" s="2"/>
      <c r="C8502" s="2"/>
      <c r="D8502" s="2" t="b">
        <f>IF(AND(NOT(ISBLANK(Table1[[#This Row],[Fetal Sex (Male, Female or Unknown)]])),ISNUMBER(Table1[[#This Row],[Birthweight (grams)]]),ISNUMBER(Table1[[#This Row],[Gestation (days)]])),TRUE,FALSE)</f>
        <v>0</v>
      </c>
      <c r="E8502" s="2" t="str">
        <f>IF(Table1[[#This Row],[Is Data Valid]]=TRUE,IF(Table1[[#This Row],[Fetal Sex (Male, Female or Unknown)]]="Male",Backend!$C$6,IF(Table1[[#This Row],[Fetal Sex (Male, Female or Unknown)]]="Female",Backend!$C$7,IF(Table1[[#This Row],[Fetal Sex (Male, Female or Unknown)]]="Unknown",Backend!$C$8,"Error"))),"")</f>
        <v/>
      </c>
      <c r="F8502" s="8" t="str">
        <f>IF(Table1[[#This Row],[Is Data Valid]]=TRUE,EXP(0.578+0.332*((Table1[[#This Row],[Gestation (days)]]+0.5)/7)-0.00354*((Table1[[#This Row],[Gestation (days)]]+0.5)/7)^2)*Table1[[#This Row],[BW40_3705]],"")</f>
        <v/>
      </c>
      <c r="G8502" s="2" t="str">
        <f>IF(Table1[[#This Row],[Is Data Valid]]=TRUE,((Table1[[#This Row],[Birthweight (grams)]]/Table1[[#This Row],[BW_GA]])-1)/(Backend!$B$4/100*Table1[[#This Row],[BW40_3705]]),"")</f>
        <v/>
      </c>
      <c r="H8502" s="7" t="str">
        <f>IF(Table1[[#This Row],[Is Data Valid]]=TRUE,((Table1[[#This Row],[Birthweight (grams)]]*0.9/Table1[[#This Row],[BW_GA]])-1)/(Backend!$B$4/100*Table1[[#This Row],[BW40_3705]]),"")</f>
        <v/>
      </c>
      <c r="I8502" s="7" t="str">
        <f>IF(Table1[[#This Row],[Is Data Valid]]=TRUE,((Table1[[#This Row],[Birthweight (grams)]]*1.1/Table1[[#This Row],[BW_GA]])-1)/(Backend!$B$4/100*Table1[[#This Row],[BW40_3705]]),"")</f>
        <v/>
      </c>
      <c r="J8502" s="7" t="str">
        <f>IF(Table1[[#This Row],[Is Data Valid]]=TRUE,_xlfn.NORM.S.DIST(Table1[[#This Row],[Birthweight Z-Score]],TRUE)*100,"")</f>
        <v/>
      </c>
      <c r="K8502" s="7" t="str">
        <f>IF(Table1[[#This Row],[Is Data Valid]]=TRUE,_xlfn.NORM.S.DIST(Table1[[#This Row],[Birthweight Z-Score (BW-10%)]],TRUE)*100,"")</f>
        <v/>
      </c>
      <c r="L8502" s="7" t="str">
        <f>IF(Table1[[#This Row],[Is Data Valid]]=TRUE,_xlfn.NORM.S.DIST(Table1[[#This Row],[Birthweight Z-Score (BW+10%)]],TRUE)*100,"")</f>
        <v/>
      </c>
    </row>
    <row r="8503" spans="1:12" x14ac:dyDescent="0.35">
      <c r="A8503" s="3"/>
      <c r="B8503" s="2"/>
      <c r="C8503" s="2"/>
      <c r="D8503" s="2" t="b">
        <f>IF(AND(NOT(ISBLANK(Table1[[#This Row],[Fetal Sex (Male, Female or Unknown)]])),ISNUMBER(Table1[[#This Row],[Birthweight (grams)]]),ISNUMBER(Table1[[#This Row],[Gestation (days)]])),TRUE,FALSE)</f>
        <v>0</v>
      </c>
      <c r="E8503" s="2" t="str">
        <f>IF(Table1[[#This Row],[Is Data Valid]]=TRUE,IF(Table1[[#This Row],[Fetal Sex (Male, Female or Unknown)]]="Male",Backend!$C$6,IF(Table1[[#This Row],[Fetal Sex (Male, Female or Unknown)]]="Female",Backend!$C$7,IF(Table1[[#This Row],[Fetal Sex (Male, Female or Unknown)]]="Unknown",Backend!$C$8,"Error"))),"")</f>
        <v/>
      </c>
      <c r="F8503" s="8" t="str">
        <f>IF(Table1[[#This Row],[Is Data Valid]]=TRUE,EXP(0.578+0.332*((Table1[[#This Row],[Gestation (days)]]+0.5)/7)-0.00354*((Table1[[#This Row],[Gestation (days)]]+0.5)/7)^2)*Table1[[#This Row],[BW40_3705]],"")</f>
        <v/>
      </c>
      <c r="G8503" s="2" t="str">
        <f>IF(Table1[[#This Row],[Is Data Valid]]=TRUE,((Table1[[#This Row],[Birthweight (grams)]]/Table1[[#This Row],[BW_GA]])-1)/(Backend!$B$4/100*Table1[[#This Row],[BW40_3705]]),"")</f>
        <v/>
      </c>
      <c r="H8503" s="7" t="str">
        <f>IF(Table1[[#This Row],[Is Data Valid]]=TRUE,((Table1[[#This Row],[Birthweight (grams)]]*0.9/Table1[[#This Row],[BW_GA]])-1)/(Backend!$B$4/100*Table1[[#This Row],[BW40_3705]]),"")</f>
        <v/>
      </c>
      <c r="I8503" s="7" t="str">
        <f>IF(Table1[[#This Row],[Is Data Valid]]=TRUE,((Table1[[#This Row],[Birthweight (grams)]]*1.1/Table1[[#This Row],[BW_GA]])-1)/(Backend!$B$4/100*Table1[[#This Row],[BW40_3705]]),"")</f>
        <v/>
      </c>
      <c r="J8503" s="7" t="str">
        <f>IF(Table1[[#This Row],[Is Data Valid]]=TRUE,_xlfn.NORM.S.DIST(Table1[[#This Row],[Birthweight Z-Score]],TRUE)*100,"")</f>
        <v/>
      </c>
      <c r="K8503" s="7" t="str">
        <f>IF(Table1[[#This Row],[Is Data Valid]]=TRUE,_xlfn.NORM.S.DIST(Table1[[#This Row],[Birthweight Z-Score (BW-10%)]],TRUE)*100,"")</f>
        <v/>
      </c>
      <c r="L8503" s="7" t="str">
        <f>IF(Table1[[#This Row],[Is Data Valid]]=TRUE,_xlfn.NORM.S.DIST(Table1[[#This Row],[Birthweight Z-Score (BW+10%)]],TRUE)*100,"")</f>
        <v/>
      </c>
    </row>
    <row r="8504" spans="1:12" x14ac:dyDescent="0.35">
      <c r="A8504" s="3"/>
      <c r="B8504" s="2"/>
      <c r="C8504" s="2"/>
      <c r="D8504" s="2" t="b">
        <f>IF(AND(NOT(ISBLANK(Table1[[#This Row],[Fetal Sex (Male, Female or Unknown)]])),ISNUMBER(Table1[[#This Row],[Birthweight (grams)]]),ISNUMBER(Table1[[#This Row],[Gestation (days)]])),TRUE,FALSE)</f>
        <v>0</v>
      </c>
      <c r="E8504" s="2" t="str">
        <f>IF(Table1[[#This Row],[Is Data Valid]]=TRUE,IF(Table1[[#This Row],[Fetal Sex (Male, Female or Unknown)]]="Male",Backend!$C$6,IF(Table1[[#This Row],[Fetal Sex (Male, Female or Unknown)]]="Female",Backend!$C$7,IF(Table1[[#This Row],[Fetal Sex (Male, Female or Unknown)]]="Unknown",Backend!$C$8,"Error"))),"")</f>
        <v/>
      </c>
      <c r="F8504" s="8" t="str">
        <f>IF(Table1[[#This Row],[Is Data Valid]]=TRUE,EXP(0.578+0.332*((Table1[[#This Row],[Gestation (days)]]+0.5)/7)-0.00354*((Table1[[#This Row],[Gestation (days)]]+0.5)/7)^2)*Table1[[#This Row],[BW40_3705]],"")</f>
        <v/>
      </c>
      <c r="G8504" s="2" t="str">
        <f>IF(Table1[[#This Row],[Is Data Valid]]=TRUE,((Table1[[#This Row],[Birthweight (grams)]]/Table1[[#This Row],[BW_GA]])-1)/(Backend!$B$4/100*Table1[[#This Row],[BW40_3705]]),"")</f>
        <v/>
      </c>
      <c r="H8504" s="7" t="str">
        <f>IF(Table1[[#This Row],[Is Data Valid]]=TRUE,((Table1[[#This Row],[Birthweight (grams)]]*0.9/Table1[[#This Row],[BW_GA]])-1)/(Backend!$B$4/100*Table1[[#This Row],[BW40_3705]]),"")</f>
        <v/>
      </c>
      <c r="I8504" s="7" t="str">
        <f>IF(Table1[[#This Row],[Is Data Valid]]=TRUE,((Table1[[#This Row],[Birthweight (grams)]]*1.1/Table1[[#This Row],[BW_GA]])-1)/(Backend!$B$4/100*Table1[[#This Row],[BW40_3705]]),"")</f>
        <v/>
      </c>
      <c r="J8504" s="7" t="str">
        <f>IF(Table1[[#This Row],[Is Data Valid]]=TRUE,_xlfn.NORM.S.DIST(Table1[[#This Row],[Birthweight Z-Score]],TRUE)*100,"")</f>
        <v/>
      </c>
      <c r="K8504" s="7" t="str">
        <f>IF(Table1[[#This Row],[Is Data Valid]]=TRUE,_xlfn.NORM.S.DIST(Table1[[#This Row],[Birthweight Z-Score (BW-10%)]],TRUE)*100,"")</f>
        <v/>
      </c>
      <c r="L8504" s="7" t="str">
        <f>IF(Table1[[#This Row],[Is Data Valid]]=TRUE,_xlfn.NORM.S.DIST(Table1[[#This Row],[Birthweight Z-Score (BW+10%)]],TRUE)*100,"")</f>
        <v/>
      </c>
    </row>
    <row r="8505" spans="1:12" x14ac:dyDescent="0.35">
      <c r="A8505" s="3"/>
      <c r="B8505" s="2"/>
      <c r="C8505" s="2"/>
      <c r="D8505" s="2" t="b">
        <f>IF(AND(NOT(ISBLANK(Table1[[#This Row],[Fetal Sex (Male, Female or Unknown)]])),ISNUMBER(Table1[[#This Row],[Birthweight (grams)]]),ISNUMBER(Table1[[#This Row],[Gestation (days)]])),TRUE,FALSE)</f>
        <v>0</v>
      </c>
      <c r="E8505" s="2" t="str">
        <f>IF(Table1[[#This Row],[Is Data Valid]]=TRUE,IF(Table1[[#This Row],[Fetal Sex (Male, Female or Unknown)]]="Male",Backend!$C$6,IF(Table1[[#This Row],[Fetal Sex (Male, Female or Unknown)]]="Female",Backend!$C$7,IF(Table1[[#This Row],[Fetal Sex (Male, Female or Unknown)]]="Unknown",Backend!$C$8,"Error"))),"")</f>
        <v/>
      </c>
      <c r="F8505" s="8" t="str">
        <f>IF(Table1[[#This Row],[Is Data Valid]]=TRUE,EXP(0.578+0.332*((Table1[[#This Row],[Gestation (days)]]+0.5)/7)-0.00354*((Table1[[#This Row],[Gestation (days)]]+0.5)/7)^2)*Table1[[#This Row],[BW40_3705]],"")</f>
        <v/>
      </c>
      <c r="G8505" s="2" t="str">
        <f>IF(Table1[[#This Row],[Is Data Valid]]=TRUE,((Table1[[#This Row],[Birthweight (grams)]]/Table1[[#This Row],[BW_GA]])-1)/(Backend!$B$4/100*Table1[[#This Row],[BW40_3705]]),"")</f>
        <v/>
      </c>
      <c r="H8505" s="7" t="str">
        <f>IF(Table1[[#This Row],[Is Data Valid]]=TRUE,((Table1[[#This Row],[Birthweight (grams)]]*0.9/Table1[[#This Row],[BW_GA]])-1)/(Backend!$B$4/100*Table1[[#This Row],[BW40_3705]]),"")</f>
        <v/>
      </c>
      <c r="I8505" s="7" t="str">
        <f>IF(Table1[[#This Row],[Is Data Valid]]=TRUE,((Table1[[#This Row],[Birthweight (grams)]]*1.1/Table1[[#This Row],[BW_GA]])-1)/(Backend!$B$4/100*Table1[[#This Row],[BW40_3705]]),"")</f>
        <v/>
      </c>
      <c r="J8505" s="7" t="str">
        <f>IF(Table1[[#This Row],[Is Data Valid]]=TRUE,_xlfn.NORM.S.DIST(Table1[[#This Row],[Birthweight Z-Score]],TRUE)*100,"")</f>
        <v/>
      </c>
      <c r="K8505" s="7" t="str">
        <f>IF(Table1[[#This Row],[Is Data Valid]]=TRUE,_xlfn.NORM.S.DIST(Table1[[#This Row],[Birthweight Z-Score (BW-10%)]],TRUE)*100,"")</f>
        <v/>
      </c>
      <c r="L8505" s="7" t="str">
        <f>IF(Table1[[#This Row],[Is Data Valid]]=TRUE,_xlfn.NORM.S.DIST(Table1[[#This Row],[Birthweight Z-Score (BW+10%)]],TRUE)*100,"")</f>
        <v/>
      </c>
    </row>
    <row r="8506" spans="1:12" x14ac:dyDescent="0.35">
      <c r="A8506" s="3"/>
      <c r="B8506" s="2"/>
      <c r="C8506" s="2"/>
      <c r="D8506" s="2" t="b">
        <f>IF(AND(NOT(ISBLANK(Table1[[#This Row],[Fetal Sex (Male, Female or Unknown)]])),ISNUMBER(Table1[[#This Row],[Birthweight (grams)]]),ISNUMBER(Table1[[#This Row],[Gestation (days)]])),TRUE,FALSE)</f>
        <v>0</v>
      </c>
      <c r="E8506" s="2" t="str">
        <f>IF(Table1[[#This Row],[Is Data Valid]]=TRUE,IF(Table1[[#This Row],[Fetal Sex (Male, Female or Unknown)]]="Male",Backend!$C$6,IF(Table1[[#This Row],[Fetal Sex (Male, Female or Unknown)]]="Female",Backend!$C$7,IF(Table1[[#This Row],[Fetal Sex (Male, Female or Unknown)]]="Unknown",Backend!$C$8,"Error"))),"")</f>
        <v/>
      </c>
      <c r="F8506" s="8" t="str">
        <f>IF(Table1[[#This Row],[Is Data Valid]]=TRUE,EXP(0.578+0.332*((Table1[[#This Row],[Gestation (days)]]+0.5)/7)-0.00354*((Table1[[#This Row],[Gestation (days)]]+0.5)/7)^2)*Table1[[#This Row],[BW40_3705]],"")</f>
        <v/>
      </c>
      <c r="G8506" s="2" t="str">
        <f>IF(Table1[[#This Row],[Is Data Valid]]=TRUE,((Table1[[#This Row],[Birthweight (grams)]]/Table1[[#This Row],[BW_GA]])-1)/(Backend!$B$4/100*Table1[[#This Row],[BW40_3705]]),"")</f>
        <v/>
      </c>
      <c r="H8506" s="7" t="str">
        <f>IF(Table1[[#This Row],[Is Data Valid]]=TRUE,((Table1[[#This Row],[Birthweight (grams)]]*0.9/Table1[[#This Row],[BW_GA]])-1)/(Backend!$B$4/100*Table1[[#This Row],[BW40_3705]]),"")</f>
        <v/>
      </c>
      <c r="I8506" s="7" t="str">
        <f>IF(Table1[[#This Row],[Is Data Valid]]=TRUE,((Table1[[#This Row],[Birthweight (grams)]]*1.1/Table1[[#This Row],[BW_GA]])-1)/(Backend!$B$4/100*Table1[[#This Row],[BW40_3705]]),"")</f>
        <v/>
      </c>
      <c r="J8506" s="7" t="str">
        <f>IF(Table1[[#This Row],[Is Data Valid]]=TRUE,_xlfn.NORM.S.DIST(Table1[[#This Row],[Birthweight Z-Score]],TRUE)*100,"")</f>
        <v/>
      </c>
      <c r="K8506" s="7" t="str">
        <f>IF(Table1[[#This Row],[Is Data Valid]]=TRUE,_xlfn.NORM.S.DIST(Table1[[#This Row],[Birthweight Z-Score (BW-10%)]],TRUE)*100,"")</f>
        <v/>
      </c>
      <c r="L8506" s="7" t="str">
        <f>IF(Table1[[#This Row],[Is Data Valid]]=TRUE,_xlfn.NORM.S.DIST(Table1[[#This Row],[Birthweight Z-Score (BW+10%)]],TRUE)*100,"")</f>
        <v/>
      </c>
    </row>
    <row r="8507" spans="1:12" x14ac:dyDescent="0.35">
      <c r="A8507" s="3"/>
      <c r="B8507" s="2"/>
      <c r="C8507" s="2"/>
      <c r="D8507" s="2" t="b">
        <f>IF(AND(NOT(ISBLANK(Table1[[#This Row],[Fetal Sex (Male, Female or Unknown)]])),ISNUMBER(Table1[[#This Row],[Birthweight (grams)]]),ISNUMBER(Table1[[#This Row],[Gestation (days)]])),TRUE,FALSE)</f>
        <v>0</v>
      </c>
      <c r="E8507" s="2" t="str">
        <f>IF(Table1[[#This Row],[Is Data Valid]]=TRUE,IF(Table1[[#This Row],[Fetal Sex (Male, Female or Unknown)]]="Male",Backend!$C$6,IF(Table1[[#This Row],[Fetal Sex (Male, Female or Unknown)]]="Female",Backend!$C$7,IF(Table1[[#This Row],[Fetal Sex (Male, Female or Unknown)]]="Unknown",Backend!$C$8,"Error"))),"")</f>
        <v/>
      </c>
      <c r="F8507" s="8" t="str">
        <f>IF(Table1[[#This Row],[Is Data Valid]]=TRUE,EXP(0.578+0.332*((Table1[[#This Row],[Gestation (days)]]+0.5)/7)-0.00354*((Table1[[#This Row],[Gestation (days)]]+0.5)/7)^2)*Table1[[#This Row],[BW40_3705]],"")</f>
        <v/>
      </c>
      <c r="G8507" s="2" t="str">
        <f>IF(Table1[[#This Row],[Is Data Valid]]=TRUE,((Table1[[#This Row],[Birthweight (grams)]]/Table1[[#This Row],[BW_GA]])-1)/(Backend!$B$4/100*Table1[[#This Row],[BW40_3705]]),"")</f>
        <v/>
      </c>
      <c r="H8507" s="7" t="str">
        <f>IF(Table1[[#This Row],[Is Data Valid]]=TRUE,((Table1[[#This Row],[Birthweight (grams)]]*0.9/Table1[[#This Row],[BW_GA]])-1)/(Backend!$B$4/100*Table1[[#This Row],[BW40_3705]]),"")</f>
        <v/>
      </c>
      <c r="I8507" s="7" t="str">
        <f>IF(Table1[[#This Row],[Is Data Valid]]=TRUE,((Table1[[#This Row],[Birthweight (grams)]]*1.1/Table1[[#This Row],[BW_GA]])-1)/(Backend!$B$4/100*Table1[[#This Row],[BW40_3705]]),"")</f>
        <v/>
      </c>
      <c r="J8507" s="7" t="str">
        <f>IF(Table1[[#This Row],[Is Data Valid]]=TRUE,_xlfn.NORM.S.DIST(Table1[[#This Row],[Birthweight Z-Score]],TRUE)*100,"")</f>
        <v/>
      </c>
      <c r="K8507" s="7" t="str">
        <f>IF(Table1[[#This Row],[Is Data Valid]]=TRUE,_xlfn.NORM.S.DIST(Table1[[#This Row],[Birthweight Z-Score (BW-10%)]],TRUE)*100,"")</f>
        <v/>
      </c>
      <c r="L8507" s="7" t="str">
        <f>IF(Table1[[#This Row],[Is Data Valid]]=TRUE,_xlfn.NORM.S.DIST(Table1[[#This Row],[Birthweight Z-Score (BW+10%)]],TRUE)*100,"")</f>
        <v/>
      </c>
    </row>
    <row r="8508" spans="1:12" x14ac:dyDescent="0.35">
      <c r="A8508" s="3"/>
      <c r="B8508" s="2"/>
      <c r="C8508" s="2"/>
      <c r="D8508" s="2" t="b">
        <f>IF(AND(NOT(ISBLANK(Table1[[#This Row],[Fetal Sex (Male, Female or Unknown)]])),ISNUMBER(Table1[[#This Row],[Birthweight (grams)]]),ISNUMBER(Table1[[#This Row],[Gestation (days)]])),TRUE,FALSE)</f>
        <v>0</v>
      </c>
      <c r="E8508" s="2" t="str">
        <f>IF(Table1[[#This Row],[Is Data Valid]]=TRUE,IF(Table1[[#This Row],[Fetal Sex (Male, Female or Unknown)]]="Male",Backend!$C$6,IF(Table1[[#This Row],[Fetal Sex (Male, Female or Unknown)]]="Female",Backend!$C$7,IF(Table1[[#This Row],[Fetal Sex (Male, Female or Unknown)]]="Unknown",Backend!$C$8,"Error"))),"")</f>
        <v/>
      </c>
      <c r="F8508" s="8" t="str">
        <f>IF(Table1[[#This Row],[Is Data Valid]]=TRUE,EXP(0.578+0.332*((Table1[[#This Row],[Gestation (days)]]+0.5)/7)-0.00354*((Table1[[#This Row],[Gestation (days)]]+0.5)/7)^2)*Table1[[#This Row],[BW40_3705]],"")</f>
        <v/>
      </c>
      <c r="G8508" s="2" t="str">
        <f>IF(Table1[[#This Row],[Is Data Valid]]=TRUE,((Table1[[#This Row],[Birthweight (grams)]]/Table1[[#This Row],[BW_GA]])-1)/(Backend!$B$4/100*Table1[[#This Row],[BW40_3705]]),"")</f>
        <v/>
      </c>
      <c r="H8508" s="7" t="str">
        <f>IF(Table1[[#This Row],[Is Data Valid]]=TRUE,((Table1[[#This Row],[Birthweight (grams)]]*0.9/Table1[[#This Row],[BW_GA]])-1)/(Backend!$B$4/100*Table1[[#This Row],[BW40_3705]]),"")</f>
        <v/>
      </c>
      <c r="I8508" s="7" t="str">
        <f>IF(Table1[[#This Row],[Is Data Valid]]=TRUE,((Table1[[#This Row],[Birthweight (grams)]]*1.1/Table1[[#This Row],[BW_GA]])-1)/(Backend!$B$4/100*Table1[[#This Row],[BW40_3705]]),"")</f>
        <v/>
      </c>
      <c r="J8508" s="7" t="str">
        <f>IF(Table1[[#This Row],[Is Data Valid]]=TRUE,_xlfn.NORM.S.DIST(Table1[[#This Row],[Birthweight Z-Score]],TRUE)*100,"")</f>
        <v/>
      </c>
      <c r="K8508" s="7" t="str">
        <f>IF(Table1[[#This Row],[Is Data Valid]]=TRUE,_xlfn.NORM.S.DIST(Table1[[#This Row],[Birthweight Z-Score (BW-10%)]],TRUE)*100,"")</f>
        <v/>
      </c>
      <c r="L8508" s="7" t="str">
        <f>IF(Table1[[#This Row],[Is Data Valid]]=TRUE,_xlfn.NORM.S.DIST(Table1[[#This Row],[Birthweight Z-Score (BW+10%)]],TRUE)*100,"")</f>
        <v/>
      </c>
    </row>
    <row r="8509" spans="1:12" x14ac:dyDescent="0.35">
      <c r="A8509" s="3"/>
      <c r="B8509" s="2"/>
      <c r="C8509" s="2"/>
      <c r="D8509" s="2" t="b">
        <f>IF(AND(NOT(ISBLANK(Table1[[#This Row],[Fetal Sex (Male, Female or Unknown)]])),ISNUMBER(Table1[[#This Row],[Birthweight (grams)]]),ISNUMBER(Table1[[#This Row],[Gestation (days)]])),TRUE,FALSE)</f>
        <v>0</v>
      </c>
      <c r="E8509" s="2" t="str">
        <f>IF(Table1[[#This Row],[Is Data Valid]]=TRUE,IF(Table1[[#This Row],[Fetal Sex (Male, Female or Unknown)]]="Male",Backend!$C$6,IF(Table1[[#This Row],[Fetal Sex (Male, Female or Unknown)]]="Female",Backend!$C$7,IF(Table1[[#This Row],[Fetal Sex (Male, Female or Unknown)]]="Unknown",Backend!$C$8,"Error"))),"")</f>
        <v/>
      </c>
      <c r="F8509" s="8" t="str">
        <f>IF(Table1[[#This Row],[Is Data Valid]]=TRUE,EXP(0.578+0.332*((Table1[[#This Row],[Gestation (days)]]+0.5)/7)-0.00354*((Table1[[#This Row],[Gestation (days)]]+0.5)/7)^2)*Table1[[#This Row],[BW40_3705]],"")</f>
        <v/>
      </c>
      <c r="G8509" s="2" t="str">
        <f>IF(Table1[[#This Row],[Is Data Valid]]=TRUE,((Table1[[#This Row],[Birthweight (grams)]]/Table1[[#This Row],[BW_GA]])-1)/(Backend!$B$4/100*Table1[[#This Row],[BW40_3705]]),"")</f>
        <v/>
      </c>
      <c r="H8509" s="7" t="str">
        <f>IF(Table1[[#This Row],[Is Data Valid]]=TRUE,((Table1[[#This Row],[Birthweight (grams)]]*0.9/Table1[[#This Row],[BW_GA]])-1)/(Backend!$B$4/100*Table1[[#This Row],[BW40_3705]]),"")</f>
        <v/>
      </c>
      <c r="I8509" s="7" t="str">
        <f>IF(Table1[[#This Row],[Is Data Valid]]=TRUE,((Table1[[#This Row],[Birthweight (grams)]]*1.1/Table1[[#This Row],[BW_GA]])-1)/(Backend!$B$4/100*Table1[[#This Row],[BW40_3705]]),"")</f>
        <v/>
      </c>
      <c r="J8509" s="7" t="str">
        <f>IF(Table1[[#This Row],[Is Data Valid]]=TRUE,_xlfn.NORM.S.DIST(Table1[[#This Row],[Birthweight Z-Score]],TRUE)*100,"")</f>
        <v/>
      </c>
      <c r="K8509" s="7" t="str">
        <f>IF(Table1[[#This Row],[Is Data Valid]]=TRUE,_xlfn.NORM.S.DIST(Table1[[#This Row],[Birthweight Z-Score (BW-10%)]],TRUE)*100,"")</f>
        <v/>
      </c>
      <c r="L8509" s="7" t="str">
        <f>IF(Table1[[#This Row],[Is Data Valid]]=TRUE,_xlfn.NORM.S.DIST(Table1[[#This Row],[Birthweight Z-Score (BW+10%)]],TRUE)*100,"")</f>
        <v/>
      </c>
    </row>
    <row r="8510" spans="1:12" x14ac:dyDescent="0.35">
      <c r="A8510" s="3"/>
      <c r="B8510" s="2"/>
      <c r="C8510" s="2"/>
      <c r="D8510" s="2" t="b">
        <f>IF(AND(NOT(ISBLANK(Table1[[#This Row],[Fetal Sex (Male, Female or Unknown)]])),ISNUMBER(Table1[[#This Row],[Birthweight (grams)]]),ISNUMBER(Table1[[#This Row],[Gestation (days)]])),TRUE,FALSE)</f>
        <v>0</v>
      </c>
      <c r="E8510" s="2" t="str">
        <f>IF(Table1[[#This Row],[Is Data Valid]]=TRUE,IF(Table1[[#This Row],[Fetal Sex (Male, Female or Unknown)]]="Male",Backend!$C$6,IF(Table1[[#This Row],[Fetal Sex (Male, Female or Unknown)]]="Female",Backend!$C$7,IF(Table1[[#This Row],[Fetal Sex (Male, Female or Unknown)]]="Unknown",Backend!$C$8,"Error"))),"")</f>
        <v/>
      </c>
      <c r="F8510" s="8" t="str">
        <f>IF(Table1[[#This Row],[Is Data Valid]]=TRUE,EXP(0.578+0.332*((Table1[[#This Row],[Gestation (days)]]+0.5)/7)-0.00354*((Table1[[#This Row],[Gestation (days)]]+0.5)/7)^2)*Table1[[#This Row],[BW40_3705]],"")</f>
        <v/>
      </c>
      <c r="G8510" s="2" t="str">
        <f>IF(Table1[[#This Row],[Is Data Valid]]=TRUE,((Table1[[#This Row],[Birthweight (grams)]]/Table1[[#This Row],[BW_GA]])-1)/(Backend!$B$4/100*Table1[[#This Row],[BW40_3705]]),"")</f>
        <v/>
      </c>
      <c r="H8510" s="7" t="str">
        <f>IF(Table1[[#This Row],[Is Data Valid]]=TRUE,((Table1[[#This Row],[Birthweight (grams)]]*0.9/Table1[[#This Row],[BW_GA]])-1)/(Backend!$B$4/100*Table1[[#This Row],[BW40_3705]]),"")</f>
        <v/>
      </c>
      <c r="I8510" s="7" t="str">
        <f>IF(Table1[[#This Row],[Is Data Valid]]=TRUE,((Table1[[#This Row],[Birthweight (grams)]]*1.1/Table1[[#This Row],[BW_GA]])-1)/(Backend!$B$4/100*Table1[[#This Row],[BW40_3705]]),"")</f>
        <v/>
      </c>
      <c r="J8510" s="7" t="str">
        <f>IF(Table1[[#This Row],[Is Data Valid]]=TRUE,_xlfn.NORM.S.DIST(Table1[[#This Row],[Birthweight Z-Score]],TRUE)*100,"")</f>
        <v/>
      </c>
      <c r="K8510" s="7" t="str">
        <f>IF(Table1[[#This Row],[Is Data Valid]]=TRUE,_xlfn.NORM.S.DIST(Table1[[#This Row],[Birthweight Z-Score (BW-10%)]],TRUE)*100,"")</f>
        <v/>
      </c>
      <c r="L8510" s="7" t="str">
        <f>IF(Table1[[#This Row],[Is Data Valid]]=TRUE,_xlfn.NORM.S.DIST(Table1[[#This Row],[Birthweight Z-Score (BW+10%)]],TRUE)*100,"")</f>
        <v/>
      </c>
    </row>
    <row r="8511" spans="1:12" x14ac:dyDescent="0.35">
      <c r="A8511" s="3"/>
      <c r="B8511" s="2"/>
      <c r="C8511" s="2"/>
      <c r="D8511" s="2" t="b">
        <f>IF(AND(NOT(ISBLANK(Table1[[#This Row],[Fetal Sex (Male, Female or Unknown)]])),ISNUMBER(Table1[[#This Row],[Birthweight (grams)]]),ISNUMBER(Table1[[#This Row],[Gestation (days)]])),TRUE,FALSE)</f>
        <v>0</v>
      </c>
      <c r="E8511" s="2" t="str">
        <f>IF(Table1[[#This Row],[Is Data Valid]]=TRUE,IF(Table1[[#This Row],[Fetal Sex (Male, Female or Unknown)]]="Male",Backend!$C$6,IF(Table1[[#This Row],[Fetal Sex (Male, Female or Unknown)]]="Female",Backend!$C$7,IF(Table1[[#This Row],[Fetal Sex (Male, Female or Unknown)]]="Unknown",Backend!$C$8,"Error"))),"")</f>
        <v/>
      </c>
      <c r="F8511" s="8" t="str">
        <f>IF(Table1[[#This Row],[Is Data Valid]]=TRUE,EXP(0.578+0.332*((Table1[[#This Row],[Gestation (days)]]+0.5)/7)-0.00354*((Table1[[#This Row],[Gestation (days)]]+0.5)/7)^2)*Table1[[#This Row],[BW40_3705]],"")</f>
        <v/>
      </c>
      <c r="G8511" s="2" t="str">
        <f>IF(Table1[[#This Row],[Is Data Valid]]=TRUE,((Table1[[#This Row],[Birthweight (grams)]]/Table1[[#This Row],[BW_GA]])-1)/(Backend!$B$4/100*Table1[[#This Row],[BW40_3705]]),"")</f>
        <v/>
      </c>
      <c r="H8511" s="7" t="str">
        <f>IF(Table1[[#This Row],[Is Data Valid]]=TRUE,((Table1[[#This Row],[Birthweight (grams)]]*0.9/Table1[[#This Row],[BW_GA]])-1)/(Backend!$B$4/100*Table1[[#This Row],[BW40_3705]]),"")</f>
        <v/>
      </c>
      <c r="I8511" s="7" t="str">
        <f>IF(Table1[[#This Row],[Is Data Valid]]=TRUE,((Table1[[#This Row],[Birthweight (grams)]]*1.1/Table1[[#This Row],[BW_GA]])-1)/(Backend!$B$4/100*Table1[[#This Row],[BW40_3705]]),"")</f>
        <v/>
      </c>
      <c r="J8511" s="7" t="str">
        <f>IF(Table1[[#This Row],[Is Data Valid]]=TRUE,_xlfn.NORM.S.DIST(Table1[[#This Row],[Birthweight Z-Score]],TRUE)*100,"")</f>
        <v/>
      </c>
      <c r="K8511" s="7" t="str">
        <f>IF(Table1[[#This Row],[Is Data Valid]]=TRUE,_xlfn.NORM.S.DIST(Table1[[#This Row],[Birthweight Z-Score (BW-10%)]],TRUE)*100,"")</f>
        <v/>
      </c>
      <c r="L8511" s="7" t="str">
        <f>IF(Table1[[#This Row],[Is Data Valid]]=TRUE,_xlfn.NORM.S.DIST(Table1[[#This Row],[Birthweight Z-Score (BW+10%)]],TRUE)*100,"")</f>
        <v/>
      </c>
    </row>
    <row r="8512" spans="1:12" x14ac:dyDescent="0.35">
      <c r="A8512" s="3"/>
      <c r="B8512" s="2"/>
      <c r="C8512" s="2"/>
      <c r="D8512" s="2" t="b">
        <f>IF(AND(NOT(ISBLANK(Table1[[#This Row],[Fetal Sex (Male, Female or Unknown)]])),ISNUMBER(Table1[[#This Row],[Birthweight (grams)]]),ISNUMBER(Table1[[#This Row],[Gestation (days)]])),TRUE,FALSE)</f>
        <v>0</v>
      </c>
      <c r="E8512" s="2" t="str">
        <f>IF(Table1[[#This Row],[Is Data Valid]]=TRUE,IF(Table1[[#This Row],[Fetal Sex (Male, Female or Unknown)]]="Male",Backend!$C$6,IF(Table1[[#This Row],[Fetal Sex (Male, Female or Unknown)]]="Female",Backend!$C$7,IF(Table1[[#This Row],[Fetal Sex (Male, Female or Unknown)]]="Unknown",Backend!$C$8,"Error"))),"")</f>
        <v/>
      </c>
      <c r="F8512" s="8" t="str">
        <f>IF(Table1[[#This Row],[Is Data Valid]]=TRUE,EXP(0.578+0.332*((Table1[[#This Row],[Gestation (days)]]+0.5)/7)-0.00354*((Table1[[#This Row],[Gestation (days)]]+0.5)/7)^2)*Table1[[#This Row],[BW40_3705]],"")</f>
        <v/>
      </c>
      <c r="G8512" s="2" t="str">
        <f>IF(Table1[[#This Row],[Is Data Valid]]=TRUE,((Table1[[#This Row],[Birthweight (grams)]]/Table1[[#This Row],[BW_GA]])-1)/(Backend!$B$4/100*Table1[[#This Row],[BW40_3705]]),"")</f>
        <v/>
      </c>
      <c r="H8512" s="7" t="str">
        <f>IF(Table1[[#This Row],[Is Data Valid]]=TRUE,((Table1[[#This Row],[Birthweight (grams)]]*0.9/Table1[[#This Row],[BW_GA]])-1)/(Backend!$B$4/100*Table1[[#This Row],[BW40_3705]]),"")</f>
        <v/>
      </c>
      <c r="I8512" s="7" t="str">
        <f>IF(Table1[[#This Row],[Is Data Valid]]=TRUE,((Table1[[#This Row],[Birthweight (grams)]]*1.1/Table1[[#This Row],[BW_GA]])-1)/(Backend!$B$4/100*Table1[[#This Row],[BW40_3705]]),"")</f>
        <v/>
      </c>
      <c r="J8512" s="7" t="str">
        <f>IF(Table1[[#This Row],[Is Data Valid]]=TRUE,_xlfn.NORM.S.DIST(Table1[[#This Row],[Birthweight Z-Score]],TRUE)*100,"")</f>
        <v/>
      </c>
      <c r="K8512" s="7" t="str">
        <f>IF(Table1[[#This Row],[Is Data Valid]]=TRUE,_xlfn.NORM.S.DIST(Table1[[#This Row],[Birthweight Z-Score (BW-10%)]],TRUE)*100,"")</f>
        <v/>
      </c>
      <c r="L8512" s="7" t="str">
        <f>IF(Table1[[#This Row],[Is Data Valid]]=TRUE,_xlfn.NORM.S.DIST(Table1[[#This Row],[Birthweight Z-Score (BW+10%)]],TRUE)*100,"")</f>
        <v/>
      </c>
    </row>
    <row r="8513" spans="1:12" x14ac:dyDescent="0.35">
      <c r="A8513" s="3"/>
      <c r="B8513" s="2"/>
      <c r="C8513" s="2"/>
      <c r="D8513" s="2" t="b">
        <f>IF(AND(NOT(ISBLANK(Table1[[#This Row],[Fetal Sex (Male, Female or Unknown)]])),ISNUMBER(Table1[[#This Row],[Birthweight (grams)]]),ISNUMBER(Table1[[#This Row],[Gestation (days)]])),TRUE,FALSE)</f>
        <v>0</v>
      </c>
      <c r="E8513" s="2" t="str">
        <f>IF(Table1[[#This Row],[Is Data Valid]]=TRUE,IF(Table1[[#This Row],[Fetal Sex (Male, Female or Unknown)]]="Male",Backend!$C$6,IF(Table1[[#This Row],[Fetal Sex (Male, Female or Unknown)]]="Female",Backend!$C$7,IF(Table1[[#This Row],[Fetal Sex (Male, Female or Unknown)]]="Unknown",Backend!$C$8,"Error"))),"")</f>
        <v/>
      </c>
      <c r="F8513" s="8" t="str">
        <f>IF(Table1[[#This Row],[Is Data Valid]]=TRUE,EXP(0.578+0.332*((Table1[[#This Row],[Gestation (days)]]+0.5)/7)-0.00354*((Table1[[#This Row],[Gestation (days)]]+0.5)/7)^2)*Table1[[#This Row],[BW40_3705]],"")</f>
        <v/>
      </c>
      <c r="G8513" s="2" t="str">
        <f>IF(Table1[[#This Row],[Is Data Valid]]=TRUE,((Table1[[#This Row],[Birthweight (grams)]]/Table1[[#This Row],[BW_GA]])-1)/(Backend!$B$4/100*Table1[[#This Row],[BW40_3705]]),"")</f>
        <v/>
      </c>
      <c r="H8513" s="7" t="str">
        <f>IF(Table1[[#This Row],[Is Data Valid]]=TRUE,((Table1[[#This Row],[Birthweight (grams)]]*0.9/Table1[[#This Row],[BW_GA]])-1)/(Backend!$B$4/100*Table1[[#This Row],[BW40_3705]]),"")</f>
        <v/>
      </c>
      <c r="I8513" s="7" t="str">
        <f>IF(Table1[[#This Row],[Is Data Valid]]=TRUE,((Table1[[#This Row],[Birthweight (grams)]]*1.1/Table1[[#This Row],[BW_GA]])-1)/(Backend!$B$4/100*Table1[[#This Row],[BW40_3705]]),"")</f>
        <v/>
      </c>
      <c r="J8513" s="7" t="str">
        <f>IF(Table1[[#This Row],[Is Data Valid]]=TRUE,_xlfn.NORM.S.DIST(Table1[[#This Row],[Birthweight Z-Score]],TRUE)*100,"")</f>
        <v/>
      </c>
      <c r="K8513" s="7" t="str">
        <f>IF(Table1[[#This Row],[Is Data Valid]]=TRUE,_xlfn.NORM.S.DIST(Table1[[#This Row],[Birthweight Z-Score (BW-10%)]],TRUE)*100,"")</f>
        <v/>
      </c>
      <c r="L8513" s="7" t="str">
        <f>IF(Table1[[#This Row],[Is Data Valid]]=TRUE,_xlfn.NORM.S.DIST(Table1[[#This Row],[Birthweight Z-Score (BW+10%)]],TRUE)*100,"")</f>
        <v/>
      </c>
    </row>
    <row r="8514" spans="1:12" x14ac:dyDescent="0.35">
      <c r="A8514" s="3"/>
      <c r="B8514" s="2"/>
      <c r="C8514" s="2"/>
      <c r="D8514" s="2" t="b">
        <f>IF(AND(NOT(ISBLANK(Table1[[#This Row],[Fetal Sex (Male, Female or Unknown)]])),ISNUMBER(Table1[[#This Row],[Birthweight (grams)]]),ISNUMBER(Table1[[#This Row],[Gestation (days)]])),TRUE,FALSE)</f>
        <v>0</v>
      </c>
      <c r="E8514" s="2" t="str">
        <f>IF(Table1[[#This Row],[Is Data Valid]]=TRUE,IF(Table1[[#This Row],[Fetal Sex (Male, Female or Unknown)]]="Male",Backend!$C$6,IF(Table1[[#This Row],[Fetal Sex (Male, Female or Unknown)]]="Female",Backend!$C$7,IF(Table1[[#This Row],[Fetal Sex (Male, Female or Unknown)]]="Unknown",Backend!$C$8,"Error"))),"")</f>
        <v/>
      </c>
      <c r="F8514" s="8" t="str">
        <f>IF(Table1[[#This Row],[Is Data Valid]]=TRUE,EXP(0.578+0.332*((Table1[[#This Row],[Gestation (days)]]+0.5)/7)-0.00354*((Table1[[#This Row],[Gestation (days)]]+0.5)/7)^2)*Table1[[#This Row],[BW40_3705]],"")</f>
        <v/>
      </c>
      <c r="G8514" s="2" t="str">
        <f>IF(Table1[[#This Row],[Is Data Valid]]=TRUE,((Table1[[#This Row],[Birthweight (grams)]]/Table1[[#This Row],[BW_GA]])-1)/(Backend!$B$4/100*Table1[[#This Row],[BW40_3705]]),"")</f>
        <v/>
      </c>
      <c r="H8514" s="7" t="str">
        <f>IF(Table1[[#This Row],[Is Data Valid]]=TRUE,((Table1[[#This Row],[Birthweight (grams)]]*0.9/Table1[[#This Row],[BW_GA]])-1)/(Backend!$B$4/100*Table1[[#This Row],[BW40_3705]]),"")</f>
        <v/>
      </c>
      <c r="I8514" s="7" t="str">
        <f>IF(Table1[[#This Row],[Is Data Valid]]=TRUE,((Table1[[#This Row],[Birthweight (grams)]]*1.1/Table1[[#This Row],[BW_GA]])-1)/(Backend!$B$4/100*Table1[[#This Row],[BW40_3705]]),"")</f>
        <v/>
      </c>
      <c r="J8514" s="7" t="str">
        <f>IF(Table1[[#This Row],[Is Data Valid]]=TRUE,_xlfn.NORM.S.DIST(Table1[[#This Row],[Birthweight Z-Score]],TRUE)*100,"")</f>
        <v/>
      </c>
      <c r="K8514" s="7" t="str">
        <f>IF(Table1[[#This Row],[Is Data Valid]]=TRUE,_xlfn.NORM.S.DIST(Table1[[#This Row],[Birthweight Z-Score (BW-10%)]],TRUE)*100,"")</f>
        <v/>
      </c>
      <c r="L8514" s="7" t="str">
        <f>IF(Table1[[#This Row],[Is Data Valid]]=TRUE,_xlfn.NORM.S.DIST(Table1[[#This Row],[Birthweight Z-Score (BW+10%)]],TRUE)*100,"")</f>
        <v/>
      </c>
    </row>
    <row r="8515" spans="1:12" x14ac:dyDescent="0.35">
      <c r="A8515" s="3"/>
      <c r="B8515" s="2"/>
      <c r="C8515" s="2"/>
      <c r="D8515" s="2" t="b">
        <f>IF(AND(NOT(ISBLANK(Table1[[#This Row],[Fetal Sex (Male, Female or Unknown)]])),ISNUMBER(Table1[[#This Row],[Birthweight (grams)]]),ISNUMBER(Table1[[#This Row],[Gestation (days)]])),TRUE,FALSE)</f>
        <v>0</v>
      </c>
      <c r="E8515" s="2" t="str">
        <f>IF(Table1[[#This Row],[Is Data Valid]]=TRUE,IF(Table1[[#This Row],[Fetal Sex (Male, Female or Unknown)]]="Male",Backend!$C$6,IF(Table1[[#This Row],[Fetal Sex (Male, Female or Unknown)]]="Female",Backend!$C$7,IF(Table1[[#This Row],[Fetal Sex (Male, Female or Unknown)]]="Unknown",Backend!$C$8,"Error"))),"")</f>
        <v/>
      </c>
      <c r="F8515" s="8" t="str">
        <f>IF(Table1[[#This Row],[Is Data Valid]]=TRUE,EXP(0.578+0.332*((Table1[[#This Row],[Gestation (days)]]+0.5)/7)-0.00354*((Table1[[#This Row],[Gestation (days)]]+0.5)/7)^2)*Table1[[#This Row],[BW40_3705]],"")</f>
        <v/>
      </c>
      <c r="G8515" s="2" t="str">
        <f>IF(Table1[[#This Row],[Is Data Valid]]=TRUE,((Table1[[#This Row],[Birthweight (grams)]]/Table1[[#This Row],[BW_GA]])-1)/(Backend!$B$4/100*Table1[[#This Row],[BW40_3705]]),"")</f>
        <v/>
      </c>
      <c r="H8515" s="7" t="str">
        <f>IF(Table1[[#This Row],[Is Data Valid]]=TRUE,((Table1[[#This Row],[Birthweight (grams)]]*0.9/Table1[[#This Row],[BW_GA]])-1)/(Backend!$B$4/100*Table1[[#This Row],[BW40_3705]]),"")</f>
        <v/>
      </c>
      <c r="I8515" s="7" t="str">
        <f>IF(Table1[[#This Row],[Is Data Valid]]=TRUE,((Table1[[#This Row],[Birthweight (grams)]]*1.1/Table1[[#This Row],[BW_GA]])-1)/(Backend!$B$4/100*Table1[[#This Row],[BW40_3705]]),"")</f>
        <v/>
      </c>
      <c r="J8515" s="7" t="str">
        <f>IF(Table1[[#This Row],[Is Data Valid]]=TRUE,_xlfn.NORM.S.DIST(Table1[[#This Row],[Birthweight Z-Score]],TRUE)*100,"")</f>
        <v/>
      </c>
      <c r="K8515" s="7" t="str">
        <f>IF(Table1[[#This Row],[Is Data Valid]]=TRUE,_xlfn.NORM.S.DIST(Table1[[#This Row],[Birthweight Z-Score (BW-10%)]],TRUE)*100,"")</f>
        <v/>
      </c>
      <c r="L8515" s="7" t="str">
        <f>IF(Table1[[#This Row],[Is Data Valid]]=TRUE,_xlfn.NORM.S.DIST(Table1[[#This Row],[Birthweight Z-Score (BW+10%)]],TRUE)*100,"")</f>
        <v/>
      </c>
    </row>
    <row r="8516" spans="1:12" x14ac:dyDescent="0.35">
      <c r="A8516" s="3"/>
      <c r="B8516" s="2"/>
      <c r="C8516" s="2"/>
      <c r="D8516" s="2" t="b">
        <f>IF(AND(NOT(ISBLANK(Table1[[#This Row],[Fetal Sex (Male, Female or Unknown)]])),ISNUMBER(Table1[[#This Row],[Birthweight (grams)]]),ISNUMBER(Table1[[#This Row],[Gestation (days)]])),TRUE,FALSE)</f>
        <v>0</v>
      </c>
      <c r="E8516" s="2" t="str">
        <f>IF(Table1[[#This Row],[Is Data Valid]]=TRUE,IF(Table1[[#This Row],[Fetal Sex (Male, Female or Unknown)]]="Male",Backend!$C$6,IF(Table1[[#This Row],[Fetal Sex (Male, Female or Unknown)]]="Female",Backend!$C$7,IF(Table1[[#This Row],[Fetal Sex (Male, Female or Unknown)]]="Unknown",Backend!$C$8,"Error"))),"")</f>
        <v/>
      </c>
      <c r="F8516" s="8" t="str">
        <f>IF(Table1[[#This Row],[Is Data Valid]]=TRUE,EXP(0.578+0.332*((Table1[[#This Row],[Gestation (days)]]+0.5)/7)-0.00354*((Table1[[#This Row],[Gestation (days)]]+0.5)/7)^2)*Table1[[#This Row],[BW40_3705]],"")</f>
        <v/>
      </c>
      <c r="G8516" s="2" t="str">
        <f>IF(Table1[[#This Row],[Is Data Valid]]=TRUE,((Table1[[#This Row],[Birthweight (grams)]]/Table1[[#This Row],[BW_GA]])-1)/(Backend!$B$4/100*Table1[[#This Row],[BW40_3705]]),"")</f>
        <v/>
      </c>
      <c r="H8516" s="7" t="str">
        <f>IF(Table1[[#This Row],[Is Data Valid]]=TRUE,((Table1[[#This Row],[Birthweight (grams)]]*0.9/Table1[[#This Row],[BW_GA]])-1)/(Backend!$B$4/100*Table1[[#This Row],[BW40_3705]]),"")</f>
        <v/>
      </c>
      <c r="I8516" s="7" t="str">
        <f>IF(Table1[[#This Row],[Is Data Valid]]=TRUE,((Table1[[#This Row],[Birthweight (grams)]]*1.1/Table1[[#This Row],[BW_GA]])-1)/(Backend!$B$4/100*Table1[[#This Row],[BW40_3705]]),"")</f>
        <v/>
      </c>
      <c r="J8516" s="7" t="str">
        <f>IF(Table1[[#This Row],[Is Data Valid]]=TRUE,_xlfn.NORM.S.DIST(Table1[[#This Row],[Birthweight Z-Score]],TRUE)*100,"")</f>
        <v/>
      </c>
      <c r="K8516" s="7" t="str">
        <f>IF(Table1[[#This Row],[Is Data Valid]]=TRUE,_xlfn.NORM.S.DIST(Table1[[#This Row],[Birthweight Z-Score (BW-10%)]],TRUE)*100,"")</f>
        <v/>
      </c>
      <c r="L8516" s="7" t="str">
        <f>IF(Table1[[#This Row],[Is Data Valid]]=TRUE,_xlfn.NORM.S.DIST(Table1[[#This Row],[Birthweight Z-Score (BW+10%)]],TRUE)*100,"")</f>
        <v/>
      </c>
    </row>
    <row r="8517" spans="1:12" x14ac:dyDescent="0.35">
      <c r="A8517" s="3"/>
      <c r="B8517" s="2"/>
      <c r="C8517" s="2"/>
      <c r="D8517" s="2" t="b">
        <f>IF(AND(NOT(ISBLANK(Table1[[#This Row],[Fetal Sex (Male, Female or Unknown)]])),ISNUMBER(Table1[[#This Row],[Birthweight (grams)]]),ISNUMBER(Table1[[#This Row],[Gestation (days)]])),TRUE,FALSE)</f>
        <v>0</v>
      </c>
      <c r="E8517" s="2" t="str">
        <f>IF(Table1[[#This Row],[Is Data Valid]]=TRUE,IF(Table1[[#This Row],[Fetal Sex (Male, Female or Unknown)]]="Male",Backend!$C$6,IF(Table1[[#This Row],[Fetal Sex (Male, Female or Unknown)]]="Female",Backend!$C$7,IF(Table1[[#This Row],[Fetal Sex (Male, Female or Unknown)]]="Unknown",Backend!$C$8,"Error"))),"")</f>
        <v/>
      </c>
      <c r="F8517" s="8" t="str">
        <f>IF(Table1[[#This Row],[Is Data Valid]]=TRUE,EXP(0.578+0.332*((Table1[[#This Row],[Gestation (days)]]+0.5)/7)-0.00354*((Table1[[#This Row],[Gestation (days)]]+0.5)/7)^2)*Table1[[#This Row],[BW40_3705]],"")</f>
        <v/>
      </c>
      <c r="G8517" s="2" t="str">
        <f>IF(Table1[[#This Row],[Is Data Valid]]=TRUE,((Table1[[#This Row],[Birthweight (grams)]]/Table1[[#This Row],[BW_GA]])-1)/(Backend!$B$4/100*Table1[[#This Row],[BW40_3705]]),"")</f>
        <v/>
      </c>
      <c r="H8517" s="7" t="str">
        <f>IF(Table1[[#This Row],[Is Data Valid]]=TRUE,((Table1[[#This Row],[Birthweight (grams)]]*0.9/Table1[[#This Row],[BW_GA]])-1)/(Backend!$B$4/100*Table1[[#This Row],[BW40_3705]]),"")</f>
        <v/>
      </c>
      <c r="I8517" s="7" t="str">
        <f>IF(Table1[[#This Row],[Is Data Valid]]=TRUE,((Table1[[#This Row],[Birthweight (grams)]]*1.1/Table1[[#This Row],[BW_GA]])-1)/(Backend!$B$4/100*Table1[[#This Row],[BW40_3705]]),"")</f>
        <v/>
      </c>
      <c r="J8517" s="7" t="str">
        <f>IF(Table1[[#This Row],[Is Data Valid]]=TRUE,_xlfn.NORM.S.DIST(Table1[[#This Row],[Birthweight Z-Score]],TRUE)*100,"")</f>
        <v/>
      </c>
      <c r="K8517" s="7" t="str">
        <f>IF(Table1[[#This Row],[Is Data Valid]]=TRUE,_xlfn.NORM.S.DIST(Table1[[#This Row],[Birthweight Z-Score (BW-10%)]],TRUE)*100,"")</f>
        <v/>
      </c>
      <c r="L8517" s="7" t="str">
        <f>IF(Table1[[#This Row],[Is Data Valid]]=TRUE,_xlfn.NORM.S.DIST(Table1[[#This Row],[Birthweight Z-Score (BW+10%)]],TRUE)*100,"")</f>
        <v/>
      </c>
    </row>
    <row r="8518" spans="1:12" x14ac:dyDescent="0.35">
      <c r="A8518" s="3"/>
      <c r="B8518" s="2"/>
      <c r="C8518" s="2"/>
      <c r="D8518" s="2" t="b">
        <f>IF(AND(NOT(ISBLANK(Table1[[#This Row],[Fetal Sex (Male, Female or Unknown)]])),ISNUMBER(Table1[[#This Row],[Birthweight (grams)]]),ISNUMBER(Table1[[#This Row],[Gestation (days)]])),TRUE,FALSE)</f>
        <v>0</v>
      </c>
      <c r="E8518" s="2" t="str">
        <f>IF(Table1[[#This Row],[Is Data Valid]]=TRUE,IF(Table1[[#This Row],[Fetal Sex (Male, Female or Unknown)]]="Male",Backend!$C$6,IF(Table1[[#This Row],[Fetal Sex (Male, Female or Unknown)]]="Female",Backend!$C$7,IF(Table1[[#This Row],[Fetal Sex (Male, Female or Unknown)]]="Unknown",Backend!$C$8,"Error"))),"")</f>
        <v/>
      </c>
      <c r="F8518" s="8" t="str">
        <f>IF(Table1[[#This Row],[Is Data Valid]]=TRUE,EXP(0.578+0.332*((Table1[[#This Row],[Gestation (days)]]+0.5)/7)-0.00354*((Table1[[#This Row],[Gestation (days)]]+0.5)/7)^2)*Table1[[#This Row],[BW40_3705]],"")</f>
        <v/>
      </c>
      <c r="G8518" s="2" t="str">
        <f>IF(Table1[[#This Row],[Is Data Valid]]=TRUE,((Table1[[#This Row],[Birthweight (grams)]]/Table1[[#This Row],[BW_GA]])-1)/(Backend!$B$4/100*Table1[[#This Row],[BW40_3705]]),"")</f>
        <v/>
      </c>
      <c r="H8518" s="7" t="str">
        <f>IF(Table1[[#This Row],[Is Data Valid]]=TRUE,((Table1[[#This Row],[Birthweight (grams)]]*0.9/Table1[[#This Row],[BW_GA]])-1)/(Backend!$B$4/100*Table1[[#This Row],[BW40_3705]]),"")</f>
        <v/>
      </c>
      <c r="I8518" s="7" t="str">
        <f>IF(Table1[[#This Row],[Is Data Valid]]=TRUE,((Table1[[#This Row],[Birthweight (grams)]]*1.1/Table1[[#This Row],[BW_GA]])-1)/(Backend!$B$4/100*Table1[[#This Row],[BW40_3705]]),"")</f>
        <v/>
      </c>
      <c r="J8518" s="7" t="str">
        <f>IF(Table1[[#This Row],[Is Data Valid]]=TRUE,_xlfn.NORM.S.DIST(Table1[[#This Row],[Birthweight Z-Score]],TRUE)*100,"")</f>
        <v/>
      </c>
      <c r="K8518" s="7" t="str">
        <f>IF(Table1[[#This Row],[Is Data Valid]]=TRUE,_xlfn.NORM.S.DIST(Table1[[#This Row],[Birthweight Z-Score (BW-10%)]],TRUE)*100,"")</f>
        <v/>
      </c>
      <c r="L8518" s="7" t="str">
        <f>IF(Table1[[#This Row],[Is Data Valid]]=TRUE,_xlfn.NORM.S.DIST(Table1[[#This Row],[Birthweight Z-Score (BW+10%)]],TRUE)*100,"")</f>
        <v/>
      </c>
    </row>
    <row r="8519" spans="1:12" x14ac:dyDescent="0.35">
      <c r="A8519" s="3"/>
      <c r="B8519" s="2"/>
      <c r="C8519" s="2"/>
      <c r="D8519" s="2" t="b">
        <f>IF(AND(NOT(ISBLANK(Table1[[#This Row],[Fetal Sex (Male, Female or Unknown)]])),ISNUMBER(Table1[[#This Row],[Birthweight (grams)]]),ISNUMBER(Table1[[#This Row],[Gestation (days)]])),TRUE,FALSE)</f>
        <v>0</v>
      </c>
      <c r="E8519" s="2" t="str">
        <f>IF(Table1[[#This Row],[Is Data Valid]]=TRUE,IF(Table1[[#This Row],[Fetal Sex (Male, Female or Unknown)]]="Male",Backend!$C$6,IF(Table1[[#This Row],[Fetal Sex (Male, Female or Unknown)]]="Female",Backend!$C$7,IF(Table1[[#This Row],[Fetal Sex (Male, Female or Unknown)]]="Unknown",Backend!$C$8,"Error"))),"")</f>
        <v/>
      </c>
      <c r="F8519" s="8" t="str">
        <f>IF(Table1[[#This Row],[Is Data Valid]]=TRUE,EXP(0.578+0.332*((Table1[[#This Row],[Gestation (days)]]+0.5)/7)-0.00354*((Table1[[#This Row],[Gestation (days)]]+0.5)/7)^2)*Table1[[#This Row],[BW40_3705]],"")</f>
        <v/>
      </c>
      <c r="G8519" s="2" t="str">
        <f>IF(Table1[[#This Row],[Is Data Valid]]=TRUE,((Table1[[#This Row],[Birthweight (grams)]]/Table1[[#This Row],[BW_GA]])-1)/(Backend!$B$4/100*Table1[[#This Row],[BW40_3705]]),"")</f>
        <v/>
      </c>
      <c r="H8519" s="7" t="str">
        <f>IF(Table1[[#This Row],[Is Data Valid]]=TRUE,((Table1[[#This Row],[Birthweight (grams)]]*0.9/Table1[[#This Row],[BW_GA]])-1)/(Backend!$B$4/100*Table1[[#This Row],[BW40_3705]]),"")</f>
        <v/>
      </c>
      <c r="I8519" s="7" t="str">
        <f>IF(Table1[[#This Row],[Is Data Valid]]=TRUE,((Table1[[#This Row],[Birthweight (grams)]]*1.1/Table1[[#This Row],[BW_GA]])-1)/(Backend!$B$4/100*Table1[[#This Row],[BW40_3705]]),"")</f>
        <v/>
      </c>
      <c r="J8519" s="7" t="str">
        <f>IF(Table1[[#This Row],[Is Data Valid]]=TRUE,_xlfn.NORM.S.DIST(Table1[[#This Row],[Birthweight Z-Score]],TRUE)*100,"")</f>
        <v/>
      </c>
      <c r="K8519" s="7" t="str">
        <f>IF(Table1[[#This Row],[Is Data Valid]]=TRUE,_xlfn.NORM.S.DIST(Table1[[#This Row],[Birthweight Z-Score (BW-10%)]],TRUE)*100,"")</f>
        <v/>
      </c>
      <c r="L8519" s="7" t="str">
        <f>IF(Table1[[#This Row],[Is Data Valid]]=TRUE,_xlfn.NORM.S.DIST(Table1[[#This Row],[Birthweight Z-Score (BW+10%)]],TRUE)*100,"")</f>
        <v/>
      </c>
    </row>
    <row r="8520" spans="1:12" x14ac:dyDescent="0.35">
      <c r="A8520" s="3"/>
      <c r="B8520" s="2"/>
      <c r="C8520" s="2"/>
      <c r="D8520" s="2" t="b">
        <f>IF(AND(NOT(ISBLANK(Table1[[#This Row],[Fetal Sex (Male, Female or Unknown)]])),ISNUMBER(Table1[[#This Row],[Birthweight (grams)]]),ISNUMBER(Table1[[#This Row],[Gestation (days)]])),TRUE,FALSE)</f>
        <v>0</v>
      </c>
      <c r="E8520" s="2" t="str">
        <f>IF(Table1[[#This Row],[Is Data Valid]]=TRUE,IF(Table1[[#This Row],[Fetal Sex (Male, Female or Unknown)]]="Male",Backend!$C$6,IF(Table1[[#This Row],[Fetal Sex (Male, Female or Unknown)]]="Female",Backend!$C$7,IF(Table1[[#This Row],[Fetal Sex (Male, Female or Unknown)]]="Unknown",Backend!$C$8,"Error"))),"")</f>
        <v/>
      </c>
      <c r="F8520" s="8" t="str">
        <f>IF(Table1[[#This Row],[Is Data Valid]]=TRUE,EXP(0.578+0.332*((Table1[[#This Row],[Gestation (days)]]+0.5)/7)-0.00354*((Table1[[#This Row],[Gestation (days)]]+0.5)/7)^2)*Table1[[#This Row],[BW40_3705]],"")</f>
        <v/>
      </c>
      <c r="G8520" s="2" t="str">
        <f>IF(Table1[[#This Row],[Is Data Valid]]=TRUE,((Table1[[#This Row],[Birthweight (grams)]]/Table1[[#This Row],[BW_GA]])-1)/(Backend!$B$4/100*Table1[[#This Row],[BW40_3705]]),"")</f>
        <v/>
      </c>
      <c r="H8520" s="7" t="str">
        <f>IF(Table1[[#This Row],[Is Data Valid]]=TRUE,((Table1[[#This Row],[Birthweight (grams)]]*0.9/Table1[[#This Row],[BW_GA]])-1)/(Backend!$B$4/100*Table1[[#This Row],[BW40_3705]]),"")</f>
        <v/>
      </c>
      <c r="I8520" s="7" t="str">
        <f>IF(Table1[[#This Row],[Is Data Valid]]=TRUE,((Table1[[#This Row],[Birthweight (grams)]]*1.1/Table1[[#This Row],[BW_GA]])-1)/(Backend!$B$4/100*Table1[[#This Row],[BW40_3705]]),"")</f>
        <v/>
      </c>
      <c r="J8520" s="7" t="str">
        <f>IF(Table1[[#This Row],[Is Data Valid]]=TRUE,_xlfn.NORM.S.DIST(Table1[[#This Row],[Birthweight Z-Score]],TRUE)*100,"")</f>
        <v/>
      </c>
      <c r="K8520" s="7" t="str">
        <f>IF(Table1[[#This Row],[Is Data Valid]]=TRUE,_xlfn.NORM.S.DIST(Table1[[#This Row],[Birthweight Z-Score (BW-10%)]],TRUE)*100,"")</f>
        <v/>
      </c>
      <c r="L8520" s="7" t="str">
        <f>IF(Table1[[#This Row],[Is Data Valid]]=TRUE,_xlfn.NORM.S.DIST(Table1[[#This Row],[Birthweight Z-Score (BW+10%)]],TRUE)*100,"")</f>
        <v/>
      </c>
    </row>
    <row r="8521" spans="1:12" x14ac:dyDescent="0.35">
      <c r="A8521" s="3"/>
      <c r="B8521" s="2"/>
      <c r="C8521" s="2"/>
      <c r="D8521" s="2" t="b">
        <f>IF(AND(NOT(ISBLANK(Table1[[#This Row],[Fetal Sex (Male, Female or Unknown)]])),ISNUMBER(Table1[[#This Row],[Birthweight (grams)]]),ISNUMBER(Table1[[#This Row],[Gestation (days)]])),TRUE,FALSE)</f>
        <v>0</v>
      </c>
      <c r="E8521" s="2" t="str">
        <f>IF(Table1[[#This Row],[Is Data Valid]]=TRUE,IF(Table1[[#This Row],[Fetal Sex (Male, Female or Unknown)]]="Male",Backend!$C$6,IF(Table1[[#This Row],[Fetal Sex (Male, Female or Unknown)]]="Female",Backend!$C$7,IF(Table1[[#This Row],[Fetal Sex (Male, Female or Unknown)]]="Unknown",Backend!$C$8,"Error"))),"")</f>
        <v/>
      </c>
      <c r="F8521" s="8" t="str">
        <f>IF(Table1[[#This Row],[Is Data Valid]]=TRUE,EXP(0.578+0.332*((Table1[[#This Row],[Gestation (days)]]+0.5)/7)-0.00354*((Table1[[#This Row],[Gestation (days)]]+0.5)/7)^2)*Table1[[#This Row],[BW40_3705]],"")</f>
        <v/>
      </c>
      <c r="G8521" s="2" t="str">
        <f>IF(Table1[[#This Row],[Is Data Valid]]=TRUE,((Table1[[#This Row],[Birthweight (grams)]]/Table1[[#This Row],[BW_GA]])-1)/(Backend!$B$4/100*Table1[[#This Row],[BW40_3705]]),"")</f>
        <v/>
      </c>
      <c r="H8521" s="7" t="str">
        <f>IF(Table1[[#This Row],[Is Data Valid]]=TRUE,((Table1[[#This Row],[Birthweight (grams)]]*0.9/Table1[[#This Row],[BW_GA]])-1)/(Backend!$B$4/100*Table1[[#This Row],[BW40_3705]]),"")</f>
        <v/>
      </c>
      <c r="I8521" s="7" t="str">
        <f>IF(Table1[[#This Row],[Is Data Valid]]=TRUE,((Table1[[#This Row],[Birthweight (grams)]]*1.1/Table1[[#This Row],[BW_GA]])-1)/(Backend!$B$4/100*Table1[[#This Row],[BW40_3705]]),"")</f>
        <v/>
      </c>
      <c r="J8521" s="7" t="str">
        <f>IF(Table1[[#This Row],[Is Data Valid]]=TRUE,_xlfn.NORM.S.DIST(Table1[[#This Row],[Birthweight Z-Score]],TRUE)*100,"")</f>
        <v/>
      </c>
      <c r="K8521" s="7" t="str">
        <f>IF(Table1[[#This Row],[Is Data Valid]]=TRUE,_xlfn.NORM.S.DIST(Table1[[#This Row],[Birthweight Z-Score (BW-10%)]],TRUE)*100,"")</f>
        <v/>
      </c>
      <c r="L8521" s="7" t="str">
        <f>IF(Table1[[#This Row],[Is Data Valid]]=TRUE,_xlfn.NORM.S.DIST(Table1[[#This Row],[Birthweight Z-Score (BW+10%)]],TRUE)*100,"")</f>
        <v/>
      </c>
    </row>
    <row r="8522" spans="1:12" x14ac:dyDescent="0.35">
      <c r="A8522" s="3"/>
      <c r="B8522" s="2"/>
      <c r="C8522" s="2"/>
      <c r="D8522" s="2" t="b">
        <f>IF(AND(NOT(ISBLANK(Table1[[#This Row],[Fetal Sex (Male, Female or Unknown)]])),ISNUMBER(Table1[[#This Row],[Birthweight (grams)]]),ISNUMBER(Table1[[#This Row],[Gestation (days)]])),TRUE,FALSE)</f>
        <v>0</v>
      </c>
      <c r="E8522" s="2" t="str">
        <f>IF(Table1[[#This Row],[Is Data Valid]]=TRUE,IF(Table1[[#This Row],[Fetal Sex (Male, Female or Unknown)]]="Male",Backend!$C$6,IF(Table1[[#This Row],[Fetal Sex (Male, Female or Unknown)]]="Female",Backend!$C$7,IF(Table1[[#This Row],[Fetal Sex (Male, Female or Unknown)]]="Unknown",Backend!$C$8,"Error"))),"")</f>
        <v/>
      </c>
      <c r="F8522" s="8" t="str">
        <f>IF(Table1[[#This Row],[Is Data Valid]]=TRUE,EXP(0.578+0.332*((Table1[[#This Row],[Gestation (days)]]+0.5)/7)-0.00354*((Table1[[#This Row],[Gestation (days)]]+0.5)/7)^2)*Table1[[#This Row],[BW40_3705]],"")</f>
        <v/>
      </c>
      <c r="G8522" s="2" t="str">
        <f>IF(Table1[[#This Row],[Is Data Valid]]=TRUE,((Table1[[#This Row],[Birthweight (grams)]]/Table1[[#This Row],[BW_GA]])-1)/(Backend!$B$4/100*Table1[[#This Row],[BW40_3705]]),"")</f>
        <v/>
      </c>
      <c r="H8522" s="7" t="str">
        <f>IF(Table1[[#This Row],[Is Data Valid]]=TRUE,((Table1[[#This Row],[Birthweight (grams)]]*0.9/Table1[[#This Row],[BW_GA]])-1)/(Backend!$B$4/100*Table1[[#This Row],[BW40_3705]]),"")</f>
        <v/>
      </c>
      <c r="I8522" s="7" t="str">
        <f>IF(Table1[[#This Row],[Is Data Valid]]=TRUE,((Table1[[#This Row],[Birthweight (grams)]]*1.1/Table1[[#This Row],[BW_GA]])-1)/(Backend!$B$4/100*Table1[[#This Row],[BW40_3705]]),"")</f>
        <v/>
      </c>
      <c r="J8522" s="7" t="str">
        <f>IF(Table1[[#This Row],[Is Data Valid]]=TRUE,_xlfn.NORM.S.DIST(Table1[[#This Row],[Birthweight Z-Score]],TRUE)*100,"")</f>
        <v/>
      </c>
      <c r="K8522" s="7" t="str">
        <f>IF(Table1[[#This Row],[Is Data Valid]]=TRUE,_xlfn.NORM.S.DIST(Table1[[#This Row],[Birthweight Z-Score (BW-10%)]],TRUE)*100,"")</f>
        <v/>
      </c>
      <c r="L8522" s="7" t="str">
        <f>IF(Table1[[#This Row],[Is Data Valid]]=TRUE,_xlfn.NORM.S.DIST(Table1[[#This Row],[Birthweight Z-Score (BW+10%)]],TRUE)*100,"")</f>
        <v/>
      </c>
    </row>
    <row r="8523" spans="1:12" x14ac:dyDescent="0.35">
      <c r="A8523" s="3"/>
      <c r="B8523" s="2"/>
      <c r="C8523" s="2"/>
      <c r="D8523" s="2" t="b">
        <f>IF(AND(NOT(ISBLANK(Table1[[#This Row],[Fetal Sex (Male, Female or Unknown)]])),ISNUMBER(Table1[[#This Row],[Birthweight (grams)]]),ISNUMBER(Table1[[#This Row],[Gestation (days)]])),TRUE,FALSE)</f>
        <v>0</v>
      </c>
      <c r="E8523" s="2" t="str">
        <f>IF(Table1[[#This Row],[Is Data Valid]]=TRUE,IF(Table1[[#This Row],[Fetal Sex (Male, Female or Unknown)]]="Male",Backend!$C$6,IF(Table1[[#This Row],[Fetal Sex (Male, Female or Unknown)]]="Female",Backend!$C$7,IF(Table1[[#This Row],[Fetal Sex (Male, Female or Unknown)]]="Unknown",Backend!$C$8,"Error"))),"")</f>
        <v/>
      </c>
      <c r="F8523" s="8" t="str">
        <f>IF(Table1[[#This Row],[Is Data Valid]]=TRUE,EXP(0.578+0.332*((Table1[[#This Row],[Gestation (days)]]+0.5)/7)-0.00354*((Table1[[#This Row],[Gestation (days)]]+0.5)/7)^2)*Table1[[#This Row],[BW40_3705]],"")</f>
        <v/>
      </c>
      <c r="G8523" s="2" t="str">
        <f>IF(Table1[[#This Row],[Is Data Valid]]=TRUE,((Table1[[#This Row],[Birthweight (grams)]]/Table1[[#This Row],[BW_GA]])-1)/(Backend!$B$4/100*Table1[[#This Row],[BW40_3705]]),"")</f>
        <v/>
      </c>
      <c r="H8523" s="7" t="str">
        <f>IF(Table1[[#This Row],[Is Data Valid]]=TRUE,((Table1[[#This Row],[Birthweight (grams)]]*0.9/Table1[[#This Row],[BW_GA]])-1)/(Backend!$B$4/100*Table1[[#This Row],[BW40_3705]]),"")</f>
        <v/>
      </c>
      <c r="I8523" s="7" t="str">
        <f>IF(Table1[[#This Row],[Is Data Valid]]=TRUE,((Table1[[#This Row],[Birthweight (grams)]]*1.1/Table1[[#This Row],[BW_GA]])-1)/(Backend!$B$4/100*Table1[[#This Row],[BW40_3705]]),"")</f>
        <v/>
      </c>
      <c r="J8523" s="7" t="str">
        <f>IF(Table1[[#This Row],[Is Data Valid]]=TRUE,_xlfn.NORM.S.DIST(Table1[[#This Row],[Birthweight Z-Score]],TRUE)*100,"")</f>
        <v/>
      </c>
      <c r="K8523" s="7" t="str">
        <f>IF(Table1[[#This Row],[Is Data Valid]]=TRUE,_xlfn.NORM.S.DIST(Table1[[#This Row],[Birthweight Z-Score (BW-10%)]],TRUE)*100,"")</f>
        <v/>
      </c>
      <c r="L8523" s="7" t="str">
        <f>IF(Table1[[#This Row],[Is Data Valid]]=TRUE,_xlfn.NORM.S.DIST(Table1[[#This Row],[Birthweight Z-Score (BW+10%)]],TRUE)*100,"")</f>
        <v/>
      </c>
    </row>
    <row r="8524" spans="1:12" x14ac:dyDescent="0.35">
      <c r="A8524" s="3"/>
      <c r="B8524" s="2"/>
      <c r="C8524" s="2"/>
      <c r="D8524" s="2" t="b">
        <f>IF(AND(NOT(ISBLANK(Table1[[#This Row],[Fetal Sex (Male, Female or Unknown)]])),ISNUMBER(Table1[[#This Row],[Birthweight (grams)]]),ISNUMBER(Table1[[#This Row],[Gestation (days)]])),TRUE,FALSE)</f>
        <v>0</v>
      </c>
      <c r="E8524" s="2" t="str">
        <f>IF(Table1[[#This Row],[Is Data Valid]]=TRUE,IF(Table1[[#This Row],[Fetal Sex (Male, Female or Unknown)]]="Male",Backend!$C$6,IF(Table1[[#This Row],[Fetal Sex (Male, Female or Unknown)]]="Female",Backend!$C$7,IF(Table1[[#This Row],[Fetal Sex (Male, Female or Unknown)]]="Unknown",Backend!$C$8,"Error"))),"")</f>
        <v/>
      </c>
      <c r="F8524" s="8" t="str">
        <f>IF(Table1[[#This Row],[Is Data Valid]]=TRUE,EXP(0.578+0.332*((Table1[[#This Row],[Gestation (days)]]+0.5)/7)-0.00354*((Table1[[#This Row],[Gestation (days)]]+0.5)/7)^2)*Table1[[#This Row],[BW40_3705]],"")</f>
        <v/>
      </c>
      <c r="G8524" s="2" t="str">
        <f>IF(Table1[[#This Row],[Is Data Valid]]=TRUE,((Table1[[#This Row],[Birthweight (grams)]]/Table1[[#This Row],[BW_GA]])-1)/(Backend!$B$4/100*Table1[[#This Row],[BW40_3705]]),"")</f>
        <v/>
      </c>
      <c r="H8524" s="7" t="str">
        <f>IF(Table1[[#This Row],[Is Data Valid]]=TRUE,((Table1[[#This Row],[Birthweight (grams)]]*0.9/Table1[[#This Row],[BW_GA]])-1)/(Backend!$B$4/100*Table1[[#This Row],[BW40_3705]]),"")</f>
        <v/>
      </c>
      <c r="I8524" s="7" t="str">
        <f>IF(Table1[[#This Row],[Is Data Valid]]=TRUE,((Table1[[#This Row],[Birthweight (grams)]]*1.1/Table1[[#This Row],[BW_GA]])-1)/(Backend!$B$4/100*Table1[[#This Row],[BW40_3705]]),"")</f>
        <v/>
      </c>
      <c r="J8524" s="7" t="str">
        <f>IF(Table1[[#This Row],[Is Data Valid]]=TRUE,_xlfn.NORM.S.DIST(Table1[[#This Row],[Birthweight Z-Score]],TRUE)*100,"")</f>
        <v/>
      </c>
      <c r="K8524" s="7" t="str">
        <f>IF(Table1[[#This Row],[Is Data Valid]]=TRUE,_xlfn.NORM.S.DIST(Table1[[#This Row],[Birthweight Z-Score (BW-10%)]],TRUE)*100,"")</f>
        <v/>
      </c>
      <c r="L8524" s="7" t="str">
        <f>IF(Table1[[#This Row],[Is Data Valid]]=TRUE,_xlfn.NORM.S.DIST(Table1[[#This Row],[Birthweight Z-Score (BW+10%)]],TRUE)*100,"")</f>
        <v/>
      </c>
    </row>
    <row r="8525" spans="1:12" x14ac:dyDescent="0.35">
      <c r="A8525" s="3"/>
      <c r="B8525" s="2"/>
      <c r="C8525" s="2"/>
      <c r="D8525" s="2" t="b">
        <f>IF(AND(NOT(ISBLANK(Table1[[#This Row],[Fetal Sex (Male, Female or Unknown)]])),ISNUMBER(Table1[[#This Row],[Birthweight (grams)]]),ISNUMBER(Table1[[#This Row],[Gestation (days)]])),TRUE,FALSE)</f>
        <v>0</v>
      </c>
      <c r="E8525" s="2" t="str">
        <f>IF(Table1[[#This Row],[Is Data Valid]]=TRUE,IF(Table1[[#This Row],[Fetal Sex (Male, Female or Unknown)]]="Male",Backend!$C$6,IF(Table1[[#This Row],[Fetal Sex (Male, Female or Unknown)]]="Female",Backend!$C$7,IF(Table1[[#This Row],[Fetal Sex (Male, Female or Unknown)]]="Unknown",Backend!$C$8,"Error"))),"")</f>
        <v/>
      </c>
      <c r="F8525" s="8" t="str">
        <f>IF(Table1[[#This Row],[Is Data Valid]]=TRUE,EXP(0.578+0.332*((Table1[[#This Row],[Gestation (days)]]+0.5)/7)-0.00354*((Table1[[#This Row],[Gestation (days)]]+0.5)/7)^2)*Table1[[#This Row],[BW40_3705]],"")</f>
        <v/>
      </c>
      <c r="G8525" s="2" t="str">
        <f>IF(Table1[[#This Row],[Is Data Valid]]=TRUE,((Table1[[#This Row],[Birthweight (grams)]]/Table1[[#This Row],[BW_GA]])-1)/(Backend!$B$4/100*Table1[[#This Row],[BW40_3705]]),"")</f>
        <v/>
      </c>
      <c r="H8525" s="7" t="str">
        <f>IF(Table1[[#This Row],[Is Data Valid]]=TRUE,((Table1[[#This Row],[Birthweight (grams)]]*0.9/Table1[[#This Row],[BW_GA]])-1)/(Backend!$B$4/100*Table1[[#This Row],[BW40_3705]]),"")</f>
        <v/>
      </c>
      <c r="I8525" s="7" t="str">
        <f>IF(Table1[[#This Row],[Is Data Valid]]=TRUE,((Table1[[#This Row],[Birthweight (grams)]]*1.1/Table1[[#This Row],[BW_GA]])-1)/(Backend!$B$4/100*Table1[[#This Row],[BW40_3705]]),"")</f>
        <v/>
      </c>
      <c r="J8525" s="7" t="str">
        <f>IF(Table1[[#This Row],[Is Data Valid]]=TRUE,_xlfn.NORM.S.DIST(Table1[[#This Row],[Birthweight Z-Score]],TRUE)*100,"")</f>
        <v/>
      </c>
      <c r="K8525" s="7" t="str">
        <f>IF(Table1[[#This Row],[Is Data Valid]]=TRUE,_xlfn.NORM.S.DIST(Table1[[#This Row],[Birthweight Z-Score (BW-10%)]],TRUE)*100,"")</f>
        <v/>
      </c>
      <c r="L8525" s="7" t="str">
        <f>IF(Table1[[#This Row],[Is Data Valid]]=TRUE,_xlfn.NORM.S.DIST(Table1[[#This Row],[Birthweight Z-Score (BW+10%)]],TRUE)*100,"")</f>
        <v/>
      </c>
    </row>
    <row r="8526" spans="1:12" x14ac:dyDescent="0.35">
      <c r="A8526" s="3"/>
      <c r="B8526" s="2"/>
      <c r="C8526" s="2"/>
      <c r="D8526" s="2" t="b">
        <f>IF(AND(NOT(ISBLANK(Table1[[#This Row],[Fetal Sex (Male, Female or Unknown)]])),ISNUMBER(Table1[[#This Row],[Birthweight (grams)]]),ISNUMBER(Table1[[#This Row],[Gestation (days)]])),TRUE,FALSE)</f>
        <v>0</v>
      </c>
      <c r="E8526" s="2" t="str">
        <f>IF(Table1[[#This Row],[Is Data Valid]]=TRUE,IF(Table1[[#This Row],[Fetal Sex (Male, Female or Unknown)]]="Male",Backend!$C$6,IF(Table1[[#This Row],[Fetal Sex (Male, Female or Unknown)]]="Female",Backend!$C$7,IF(Table1[[#This Row],[Fetal Sex (Male, Female or Unknown)]]="Unknown",Backend!$C$8,"Error"))),"")</f>
        <v/>
      </c>
      <c r="F8526" s="8" t="str">
        <f>IF(Table1[[#This Row],[Is Data Valid]]=TRUE,EXP(0.578+0.332*((Table1[[#This Row],[Gestation (days)]]+0.5)/7)-0.00354*((Table1[[#This Row],[Gestation (days)]]+0.5)/7)^2)*Table1[[#This Row],[BW40_3705]],"")</f>
        <v/>
      </c>
      <c r="G8526" s="2" t="str">
        <f>IF(Table1[[#This Row],[Is Data Valid]]=TRUE,((Table1[[#This Row],[Birthweight (grams)]]/Table1[[#This Row],[BW_GA]])-1)/(Backend!$B$4/100*Table1[[#This Row],[BW40_3705]]),"")</f>
        <v/>
      </c>
      <c r="H8526" s="7" t="str">
        <f>IF(Table1[[#This Row],[Is Data Valid]]=TRUE,((Table1[[#This Row],[Birthweight (grams)]]*0.9/Table1[[#This Row],[BW_GA]])-1)/(Backend!$B$4/100*Table1[[#This Row],[BW40_3705]]),"")</f>
        <v/>
      </c>
      <c r="I8526" s="7" t="str">
        <f>IF(Table1[[#This Row],[Is Data Valid]]=TRUE,((Table1[[#This Row],[Birthweight (grams)]]*1.1/Table1[[#This Row],[BW_GA]])-1)/(Backend!$B$4/100*Table1[[#This Row],[BW40_3705]]),"")</f>
        <v/>
      </c>
      <c r="J8526" s="7" t="str">
        <f>IF(Table1[[#This Row],[Is Data Valid]]=TRUE,_xlfn.NORM.S.DIST(Table1[[#This Row],[Birthweight Z-Score]],TRUE)*100,"")</f>
        <v/>
      </c>
      <c r="K8526" s="7" t="str">
        <f>IF(Table1[[#This Row],[Is Data Valid]]=TRUE,_xlfn.NORM.S.DIST(Table1[[#This Row],[Birthweight Z-Score (BW-10%)]],TRUE)*100,"")</f>
        <v/>
      </c>
      <c r="L8526" s="7" t="str">
        <f>IF(Table1[[#This Row],[Is Data Valid]]=TRUE,_xlfn.NORM.S.DIST(Table1[[#This Row],[Birthweight Z-Score (BW+10%)]],TRUE)*100,"")</f>
        <v/>
      </c>
    </row>
    <row r="8527" spans="1:12" x14ac:dyDescent="0.35">
      <c r="A8527" s="3"/>
      <c r="B8527" s="2"/>
      <c r="C8527" s="2"/>
      <c r="D8527" s="2" t="b">
        <f>IF(AND(NOT(ISBLANK(Table1[[#This Row],[Fetal Sex (Male, Female or Unknown)]])),ISNUMBER(Table1[[#This Row],[Birthweight (grams)]]),ISNUMBER(Table1[[#This Row],[Gestation (days)]])),TRUE,FALSE)</f>
        <v>0</v>
      </c>
      <c r="E8527" s="2" t="str">
        <f>IF(Table1[[#This Row],[Is Data Valid]]=TRUE,IF(Table1[[#This Row],[Fetal Sex (Male, Female or Unknown)]]="Male",Backend!$C$6,IF(Table1[[#This Row],[Fetal Sex (Male, Female or Unknown)]]="Female",Backend!$C$7,IF(Table1[[#This Row],[Fetal Sex (Male, Female or Unknown)]]="Unknown",Backend!$C$8,"Error"))),"")</f>
        <v/>
      </c>
      <c r="F8527" s="8" t="str">
        <f>IF(Table1[[#This Row],[Is Data Valid]]=TRUE,EXP(0.578+0.332*((Table1[[#This Row],[Gestation (days)]]+0.5)/7)-0.00354*((Table1[[#This Row],[Gestation (days)]]+0.5)/7)^2)*Table1[[#This Row],[BW40_3705]],"")</f>
        <v/>
      </c>
      <c r="G8527" s="2" t="str">
        <f>IF(Table1[[#This Row],[Is Data Valid]]=TRUE,((Table1[[#This Row],[Birthweight (grams)]]/Table1[[#This Row],[BW_GA]])-1)/(Backend!$B$4/100*Table1[[#This Row],[BW40_3705]]),"")</f>
        <v/>
      </c>
      <c r="H8527" s="7" t="str">
        <f>IF(Table1[[#This Row],[Is Data Valid]]=TRUE,((Table1[[#This Row],[Birthweight (grams)]]*0.9/Table1[[#This Row],[BW_GA]])-1)/(Backend!$B$4/100*Table1[[#This Row],[BW40_3705]]),"")</f>
        <v/>
      </c>
      <c r="I8527" s="7" t="str">
        <f>IF(Table1[[#This Row],[Is Data Valid]]=TRUE,((Table1[[#This Row],[Birthweight (grams)]]*1.1/Table1[[#This Row],[BW_GA]])-1)/(Backend!$B$4/100*Table1[[#This Row],[BW40_3705]]),"")</f>
        <v/>
      </c>
      <c r="J8527" s="7" t="str">
        <f>IF(Table1[[#This Row],[Is Data Valid]]=TRUE,_xlfn.NORM.S.DIST(Table1[[#This Row],[Birthweight Z-Score]],TRUE)*100,"")</f>
        <v/>
      </c>
      <c r="K8527" s="7" t="str">
        <f>IF(Table1[[#This Row],[Is Data Valid]]=TRUE,_xlfn.NORM.S.DIST(Table1[[#This Row],[Birthweight Z-Score (BW-10%)]],TRUE)*100,"")</f>
        <v/>
      </c>
      <c r="L8527" s="7" t="str">
        <f>IF(Table1[[#This Row],[Is Data Valid]]=TRUE,_xlfn.NORM.S.DIST(Table1[[#This Row],[Birthweight Z-Score (BW+10%)]],TRUE)*100,"")</f>
        <v/>
      </c>
    </row>
    <row r="8528" spans="1:12" x14ac:dyDescent="0.35">
      <c r="A8528" s="3"/>
      <c r="B8528" s="2"/>
      <c r="C8528" s="2"/>
      <c r="D8528" s="2" t="b">
        <f>IF(AND(NOT(ISBLANK(Table1[[#This Row],[Fetal Sex (Male, Female or Unknown)]])),ISNUMBER(Table1[[#This Row],[Birthweight (grams)]]),ISNUMBER(Table1[[#This Row],[Gestation (days)]])),TRUE,FALSE)</f>
        <v>0</v>
      </c>
      <c r="E8528" s="2" t="str">
        <f>IF(Table1[[#This Row],[Is Data Valid]]=TRUE,IF(Table1[[#This Row],[Fetal Sex (Male, Female or Unknown)]]="Male",Backend!$C$6,IF(Table1[[#This Row],[Fetal Sex (Male, Female or Unknown)]]="Female",Backend!$C$7,IF(Table1[[#This Row],[Fetal Sex (Male, Female or Unknown)]]="Unknown",Backend!$C$8,"Error"))),"")</f>
        <v/>
      </c>
      <c r="F8528" s="8" t="str">
        <f>IF(Table1[[#This Row],[Is Data Valid]]=TRUE,EXP(0.578+0.332*((Table1[[#This Row],[Gestation (days)]]+0.5)/7)-0.00354*((Table1[[#This Row],[Gestation (days)]]+0.5)/7)^2)*Table1[[#This Row],[BW40_3705]],"")</f>
        <v/>
      </c>
      <c r="G8528" s="2" t="str">
        <f>IF(Table1[[#This Row],[Is Data Valid]]=TRUE,((Table1[[#This Row],[Birthweight (grams)]]/Table1[[#This Row],[BW_GA]])-1)/(Backend!$B$4/100*Table1[[#This Row],[BW40_3705]]),"")</f>
        <v/>
      </c>
      <c r="H8528" s="7" t="str">
        <f>IF(Table1[[#This Row],[Is Data Valid]]=TRUE,((Table1[[#This Row],[Birthweight (grams)]]*0.9/Table1[[#This Row],[BW_GA]])-1)/(Backend!$B$4/100*Table1[[#This Row],[BW40_3705]]),"")</f>
        <v/>
      </c>
      <c r="I8528" s="7" t="str">
        <f>IF(Table1[[#This Row],[Is Data Valid]]=TRUE,((Table1[[#This Row],[Birthweight (grams)]]*1.1/Table1[[#This Row],[BW_GA]])-1)/(Backend!$B$4/100*Table1[[#This Row],[BW40_3705]]),"")</f>
        <v/>
      </c>
      <c r="J8528" s="7" t="str">
        <f>IF(Table1[[#This Row],[Is Data Valid]]=TRUE,_xlfn.NORM.S.DIST(Table1[[#This Row],[Birthweight Z-Score]],TRUE)*100,"")</f>
        <v/>
      </c>
      <c r="K8528" s="7" t="str">
        <f>IF(Table1[[#This Row],[Is Data Valid]]=TRUE,_xlfn.NORM.S.DIST(Table1[[#This Row],[Birthweight Z-Score (BW-10%)]],TRUE)*100,"")</f>
        <v/>
      </c>
      <c r="L8528" s="7" t="str">
        <f>IF(Table1[[#This Row],[Is Data Valid]]=TRUE,_xlfn.NORM.S.DIST(Table1[[#This Row],[Birthweight Z-Score (BW+10%)]],TRUE)*100,"")</f>
        <v/>
      </c>
    </row>
    <row r="8529" spans="1:12" x14ac:dyDescent="0.35">
      <c r="A8529" s="3"/>
      <c r="B8529" s="2"/>
      <c r="C8529" s="2"/>
      <c r="D8529" s="2" t="b">
        <f>IF(AND(NOT(ISBLANK(Table1[[#This Row],[Fetal Sex (Male, Female or Unknown)]])),ISNUMBER(Table1[[#This Row],[Birthweight (grams)]]),ISNUMBER(Table1[[#This Row],[Gestation (days)]])),TRUE,FALSE)</f>
        <v>0</v>
      </c>
      <c r="E8529" s="2" t="str">
        <f>IF(Table1[[#This Row],[Is Data Valid]]=TRUE,IF(Table1[[#This Row],[Fetal Sex (Male, Female or Unknown)]]="Male",Backend!$C$6,IF(Table1[[#This Row],[Fetal Sex (Male, Female or Unknown)]]="Female",Backend!$C$7,IF(Table1[[#This Row],[Fetal Sex (Male, Female or Unknown)]]="Unknown",Backend!$C$8,"Error"))),"")</f>
        <v/>
      </c>
      <c r="F8529" s="8" t="str">
        <f>IF(Table1[[#This Row],[Is Data Valid]]=TRUE,EXP(0.578+0.332*((Table1[[#This Row],[Gestation (days)]]+0.5)/7)-0.00354*((Table1[[#This Row],[Gestation (days)]]+0.5)/7)^2)*Table1[[#This Row],[BW40_3705]],"")</f>
        <v/>
      </c>
      <c r="G8529" s="2" t="str">
        <f>IF(Table1[[#This Row],[Is Data Valid]]=TRUE,((Table1[[#This Row],[Birthweight (grams)]]/Table1[[#This Row],[BW_GA]])-1)/(Backend!$B$4/100*Table1[[#This Row],[BW40_3705]]),"")</f>
        <v/>
      </c>
      <c r="H8529" s="7" t="str">
        <f>IF(Table1[[#This Row],[Is Data Valid]]=TRUE,((Table1[[#This Row],[Birthweight (grams)]]*0.9/Table1[[#This Row],[BW_GA]])-1)/(Backend!$B$4/100*Table1[[#This Row],[BW40_3705]]),"")</f>
        <v/>
      </c>
      <c r="I8529" s="7" t="str">
        <f>IF(Table1[[#This Row],[Is Data Valid]]=TRUE,((Table1[[#This Row],[Birthweight (grams)]]*1.1/Table1[[#This Row],[BW_GA]])-1)/(Backend!$B$4/100*Table1[[#This Row],[BW40_3705]]),"")</f>
        <v/>
      </c>
      <c r="J8529" s="7" t="str">
        <f>IF(Table1[[#This Row],[Is Data Valid]]=TRUE,_xlfn.NORM.S.DIST(Table1[[#This Row],[Birthweight Z-Score]],TRUE)*100,"")</f>
        <v/>
      </c>
      <c r="K8529" s="7" t="str">
        <f>IF(Table1[[#This Row],[Is Data Valid]]=TRUE,_xlfn.NORM.S.DIST(Table1[[#This Row],[Birthweight Z-Score (BW-10%)]],TRUE)*100,"")</f>
        <v/>
      </c>
      <c r="L8529" s="7" t="str">
        <f>IF(Table1[[#This Row],[Is Data Valid]]=TRUE,_xlfn.NORM.S.DIST(Table1[[#This Row],[Birthweight Z-Score (BW+10%)]],TRUE)*100,"")</f>
        <v/>
      </c>
    </row>
    <row r="8530" spans="1:12" x14ac:dyDescent="0.35">
      <c r="A8530" s="3"/>
      <c r="B8530" s="2"/>
      <c r="C8530" s="2"/>
      <c r="D8530" s="2" t="b">
        <f>IF(AND(NOT(ISBLANK(Table1[[#This Row],[Fetal Sex (Male, Female or Unknown)]])),ISNUMBER(Table1[[#This Row],[Birthweight (grams)]]),ISNUMBER(Table1[[#This Row],[Gestation (days)]])),TRUE,FALSE)</f>
        <v>0</v>
      </c>
      <c r="E8530" s="2" t="str">
        <f>IF(Table1[[#This Row],[Is Data Valid]]=TRUE,IF(Table1[[#This Row],[Fetal Sex (Male, Female or Unknown)]]="Male",Backend!$C$6,IF(Table1[[#This Row],[Fetal Sex (Male, Female or Unknown)]]="Female",Backend!$C$7,IF(Table1[[#This Row],[Fetal Sex (Male, Female or Unknown)]]="Unknown",Backend!$C$8,"Error"))),"")</f>
        <v/>
      </c>
      <c r="F8530" s="8" t="str">
        <f>IF(Table1[[#This Row],[Is Data Valid]]=TRUE,EXP(0.578+0.332*((Table1[[#This Row],[Gestation (days)]]+0.5)/7)-0.00354*((Table1[[#This Row],[Gestation (days)]]+0.5)/7)^2)*Table1[[#This Row],[BW40_3705]],"")</f>
        <v/>
      </c>
      <c r="G8530" s="2" t="str">
        <f>IF(Table1[[#This Row],[Is Data Valid]]=TRUE,((Table1[[#This Row],[Birthweight (grams)]]/Table1[[#This Row],[BW_GA]])-1)/(Backend!$B$4/100*Table1[[#This Row],[BW40_3705]]),"")</f>
        <v/>
      </c>
      <c r="H8530" s="7" t="str">
        <f>IF(Table1[[#This Row],[Is Data Valid]]=TRUE,((Table1[[#This Row],[Birthweight (grams)]]*0.9/Table1[[#This Row],[BW_GA]])-1)/(Backend!$B$4/100*Table1[[#This Row],[BW40_3705]]),"")</f>
        <v/>
      </c>
      <c r="I8530" s="7" t="str">
        <f>IF(Table1[[#This Row],[Is Data Valid]]=TRUE,((Table1[[#This Row],[Birthweight (grams)]]*1.1/Table1[[#This Row],[BW_GA]])-1)/(Backend!$B$4/100*Table1[[#This Row],[BW40_3705]]),"")</f>
        <v/>
      </c>
      <c r="J8530" s="7" t="str">
        <f>IF(Table1[[#This Row],[Is Data Valid]]=TRUE,_xlfn.NORM.S.DIST(Table1[[#This Row],[Birthweight Z-Score]],TRUE)*100,"")</f>
        <v/>
      </c>
      <c r="K8530" s="7" t="str">
        <f>IF(Table1[[#This Row],[Is Data Valid]]=TRUE,_xlfn.NORM.S.DIST(Table1[[#This Row],[Birthweight Z-Score (BW-10%)]],TRUE)*100,"")</f>
        <v/>
      </c>
      <c r="L8530" s="7" t="str">
        <f>IF(Table1[[#This Row],[Is Data Valid]]=TRUE,_xlfn.NORM.S.DIST(Table1[[#This Row],[Birthweight Z-Score (BW+10%)]],TRUE)*100,"")</f>
        <v/>
      </c>
    </row>
    <row r="8531" spans="1:12" x14ac:dyDescent="0.35">
      <c r="A8531" s="3"/>
      <c r="B8531" s="2"/>
      <c r="C8531" s="2"/>
      <c r="D8531" s="2" t="b">
        <f>IF(AND(NOT(ISBLANK(Table1[[#This Row],[Fetal Sex (Male, Female or Unknown)]])),ISNUMBER(Table1[[#This Row],[Birthweight (grams)]]),ISNUMBER(Table1[[#This Row],[Gestation (days)]])),TRUE,FALSE)</f>
        <v>0</v>
      </c>
      <c r="E8531" s="2" t="str">
        <f>IF(Table1[[#This Row],[Is Data Valid]]=TRUE,IF(Table1[[#This Row],[Fetal Sex (Male, Female or Unknown)]]="Male",Backend!$C$6,IF(Table1[[#This Row],[Fetal Sex (Male, Female or Unknown)]]="Female",Backend!$C$7,IF(Table1[[#This Row],[Fetal Sex (Male, Female or Unknown)]]="Unknown",Backend!$C$8,"Error"))),"")</f>
        <v/>
      </c>
      <c r="F8531" s="8" t="str">
        <f>IF(Table1[[#This Row],[Is Data Valid]]=TRUE,EXP(0.578+0.332*((Table1[[#This Row],[Gestation (days)]]+0.5)/7)-0.00354*((Table1[[#This Row],[Gestation (days)]]+0.5)/7)^2)*Table1[[#This Row],[BW40_3705]],"")</f>
        <v/>
      </c>
      <c r="G8531" s="2" t="str">
        <f>IF(Table1[[#This Row],[Is Data Valid]]=TRUE,((Table1[[#This Row],[Birthweight (grams)]]/Table1[[#This Row],[BW_GA]])-1)/(Backend!$B$4/100*Table1[[#This Row],[BW40_3705]]),"")</f>
        <v/>
      </c>
      <c r="H8531" s="7" t="str">
        <f>IF(Table1[[#This Row],[Is Data Valid]]=TRUE,((Table1[[#This Row],[Birthweight (grams)]]*0.9/Table1[[#This Row],[BW_GA]])-1)/(Backend!$B$4/100*Table1[[#This Row],[BW40_3705]]),"")</f>
        <v/>
      </c>
      <c r="I8531" s="7" t="str">
        <f>IF(Table1[[#This Row],[Is Data Valid]]=TRUE,((Table1[[#This Row],[Birthweight (grams)]]*1.1/Table1[[#This Row],[BW_GA]])-1)/(Backend!$B$4/100*Table1[[#This Row],[BW40_3705]]),"")</f>
        <v/>
      </c>
      <c r="J8531" s="7" t="str">
        <f>IF(Table1[[#This Row],[Is Data Valid]]=TRUE,_xlfn.NORM.S.DIST(Table1[[#This Row],[Birthweight Z-Score]],TRUE)*100,"")</f>
        <v/>
      </c>
      <c r="K8531" s="7" t="str">
        <f>IF(Table1[[#This Row],[Is Data Valid]]=TRUE,_xlfn.NORM.S.DIST(Table1[[#This Row],[Birthweight Z-Score (BW-10%)]],TRUE)*100,"")</f>
        <v/>
      </c>
      <c r="L8531" s="7" t="str">
        <f>IF(Table1[[#This Row],[Is Data Valid]]=TRUE,_xlfn.NORM.S.DIST(Table1[[#This Row],[Birthweight Z-Score (BW+10%)]],TRUE)*100,"")</f>
        <v/>
      </c>
    </row>
    <row r="8532" spans="1:12" x14ac:dyDescent="0.35">
      <c r="A8532" s="3"/>
      <c r="B8532" s="2"/>
      <c r="C8532" s="2"/>
      <c r="D8532" s="2" t="b">
        <f>IF(AND(NOT(ISBLANK(Table1[[#This Row],[Fetal Sex (Male, Female or Unknown)]])),ISNUMBER(Table1[[#This Row],[Birthweight (grams)]]),ISNUMBER(Table1[[#This Row],[Gestation (days)]])),TRUE,FALSE)</f>
        <v>0</v>
      </c>
      <c r="E8532" s="2" t="str">
        <f>IF(Table1[[#This Row],[Is Data Valid]]=TRUE,IF(Table1[[#This Row],[Fetal Sex (Male, Female or Unknown)]]="Male",Backend!$C$6,IF(Table1[[#This Row],[Fetal Sex (Male, Female or Unknown)]]="Female",Backend!$C$7,IF(Table1[[#This Row],[Fetal Sex (Male, Female or Unknown)]]="Unknown",Backend!$C$8,"Error"))),"")</f>
        <v/>
      </c>
      <c r="F8532" s="8" t="str">
        <f>IF(Table1[[#This Row],[Is Data Valid]]=TRUE,EXP(0.578+0.332*((Table1[[#This Row],[Gestation (days)]]+0.5)/7)-0.00354*((Table1[[#This Row],[Gestation (days)]]+0.5)/7)^2)*Table1[[#This Row],[BW40_3705]],"")</f>
        <v/>
      </c>
      <c r="G8532" s="2" t="str">
        <f>IF(Table1[[#This Row],[Is Data Valid]]=TRUE,((Table1[[#This Row],[Birthweight (grams)]]/Table1[[#This Row],[BW_GA]])-1)/(Backend!$B$4/100*Table1[[#This Row],[BW40_3705]]),"")</f>
        <v/>
      </c>
      <c r="H8532" s="7" t="str">
        <f>IF(Table1[[#This Row],[Is Data Valid]]=TRUE,((Table1[[#This Row],[Birthweight (grams)]]*0.9/Table1[[#This Row],[BW_GA]])-1)/(Backend!$B$4/100*Table1[[#This Row],[BW40_3705]]),"")</f>
        <v/>
      </c>
      <c r="I8532" s="7" t="str">
        <f>IF(Table1[[#This Row],[Is Data Valid]]=TRUE,((Table1[[#This Row],[Birthweight (grams)]]*1.1/Table1[[#This Row],[BW_GA]])-1)/(Backend!$B$4/100*Table1[[#This Row],[BW40_3705]]),"")</f>
        <v/>
      </c>
      <c r="J8532" s="7" t="str">
        <f>IF(Table1[[#This Row],[Is Data Valid]]=TRUE,_xlfn.NORM.S.DIST(Table1[[#This Row],[Birthweight Z-Score]],TRUE)*100,"")</f>
        <v/>
      </c>
      <c r="K8532" s="7" t="str">
        <f>IF(Table1[[#This Row],[Is Data Valid]]=TRUE,_xlfn.NORM.S.DIST(Table1[[#This Row],[Birthweight Z-Score (BW-10%)]],TRUE)*100,"")</f>
        <v/>
      </c>
      <c r="L8532" s="7" t="str">
        <f>IF(Table1[[#This Row],[Is Data Valid]]=TRUE,_xlfn.NORM.S.DIST(Table1[[#This Row],[Birthweight Z-Score (BW+10%)]],TRUE)*100,"")</f>
        <v/>
      </c>
    </row>
    <row r="8533" spans="1:12" x14ac:dyDescent="0.35">
      <c r="A8533" s="3"/>
      <c r="B8533" s="2"/>
      <c r="C8533" s="2"/>
      <c r="D8533" s="2" t="b">
        <f>IF(AND(NOT(ISBLANK(Table1[[#This Row],[Fetal Sex (Male, Female or Unknown)]])),ISNUMBER(Table1[[#This Row],[Birthweight (grams)]]),ISNUMBER(Table1[[#This Row],[Gestation (days)]])),TRUE,FALSE)</f>
        <v>0</v>
      </c>
      <c r="E8533" s="2" t="str">
        <f>IF(Table1[[#This Row],[Is Data Valid]]=TRUE,IF(Table1[[#This Row],[Fetal Sex (Male, Female or Unknown)]]="Male",Backend!$C$6,IF(Table1[[#This Row],[Fetal Sex (Male, Female or Unknown)]]="Female",Backend!$C$7,IF(Table1[[#This Row],[Fetal Sex (Male, Female or Unknown)]]="Unknown",Backend!$C$8,"Error"))),"")</f>
        <v/>
      </c>
      <c r="F8533" s="8" t="str">
        <f>IF(Table1[[#This Row],[Is Data Valid]]=TRUE,EXP(0.578+0.332*((Table1[[#This Row],[Gestation (days)]]+0.5)/7)-0.00354*((Table1[[#This Row],[Gestation (days)]]+0.5)/7)^2)*Table1[[#This Row],[BW40_3705]],"")</f>
        <v/>
      </c>
      <c r="G8533" s="2" t="str">
        <f>IF(Table1[[#This Row],[Is Data Valid]]=TRUE,((Table1[[#This Row],[Birthweight (grams)]]/Table1[[#This Row],[BW_GA]])-1)/(Backend!$B$4/100*Table1[[#This Row],[BW40_3705]]),"")</f>
        <v/>
      </c>
      <c r="H8533" s="7" t="str">
        <f>IF(Table1[[#This Row],[Is Data Valid]]=TRUE,((Table1[[#This Row],[Birthweight (grams)]]*0.9/Table1[[#This Row],[BW_GA]])-1)/(Backend!$B$4/100*Table1[[#This Row],[BW40_3705]]),"")</f>
        <v/>
      </c>
      <c r="I8533" s="7" t="str">
        <f>IF(Table1[[#This Row],[Is Data Valid]]=TRUE,((Table1[[#This Row],[Birthweight (grams)]]*1.1/Table1[[#This Row],[BW_GA]])-1)/(Backend!$B$4/100*Table1[[#This Row],[BW40_3705]]),"")</f>
        <v/>
      </c>
      <c r="J8533" s="7" t="str">
        <f>IF(Table1[[#This Row],[Is Data Valid]]=TRUE,_xlfn.NORM.S.DIST(Table1[[#This Row],[Birthweight Z-Score]],TRUE)*100,"")</f>
        <v/>
      </c>
      <c r="K8533" s="7" t="str">
        <f>IF(Table1[[#This Row],[Is Data Valid]]=TRUE,_xlfn.NORM.S.DIST(Table1[[#This Row],[Birthweight Z-Score (BW-10%)]],TRUE)*100,"")</f>
        <v/>
      </c>
      <c r="L8533" s="7" t="str">
        <f>IF(Table1[[#This Row],[Is Data Valid]]=TRUE,_xlfn.NORM.S.DIST(Table1[[#This Row],[Birthweight Z-Score (BW+10%)]],TRUE)*100,"")</f>
        <v/>
      </c>
    </row>
    <row r="8534" spans="1:12" x14ac:dyDescent="0.35">
      <c r="A8534" s="3"/>
      <c r="B8534" s="2"/>
      <c r="C8534" s="2"/>
      <c r="D8534" s="2" t="b">
        <f>IF(AND(NOT(ISBLANK(Table1[[#This Row],[Fetal Sex (Male, Female or Unknown)]])),ISNUMBER(Table1[[#This Row],[Birthweight (grams)]]),ISNUMBER(Table1[[#This Row],[Gestation (days)]])),TRUE,FALSE)</f>
        <v>0</v>
      </c>
      <c r="E8534" s="2" t="str">
        <f>IF(Table1[[#This Row],[Is Data Valid]]=TRUE,IF(Table1[[#This Row],[Fetal Sex (Male, Female or Unknown)]]="Male",Backend!$C$6,IF(Table1[[#This Row],[Fetal Sex (Male, Female or Unknown)]]="Female",Backend!$C$7,IF(Table1[[#This Row],[Fetal Sex (Male, Female or Unknown)]]="Unknown",Backend!$C$8,"Error"))),"")</f>
        <v/>
      </c>
      <c r="F8534" s="8" t="str">
        <f>IF(Table1[[#This Row],[Is Data Valid]]=TRUE,EXP(0.578+0.332*((Table1[[#This Row],[Gestation (days)]]+0.5)/7)-0.00354*((Table1[[#This Row],[Gestation (days)]]+0.5)/7)^2)*Table1[[#This Row],[BW40_3705]],"")</f>
        <v/>
      </c>
      <c r="G8534" s="2" t="str">
        <f>IF(Table1[[#This Row],[Is Data Valid]]=TRUE,((Table1[[#This Row],[Birthweight (grams)]]/Table1[[#This Row],[BW_GA]])-1)/(Backend!$B$4/100*Table1[[#This Row],[BW40_3705]]),"")</f>
        <v/>
      </c>
      <c r="H8534" s="7" t="str">
        <f>IF(Table1[[#This Row],[Is Data Valid]]=TRUE,((Table1[[#This Row],[Birthweight (grams)]]*0.9/Table1[[#This Row],[BW_GA]])-1)/(Backend!$B$4/100*Table1[[#This Row],[BW40_3705]]),"")</f>
        <v/>
      </c>
      <c r="I8534" s="7" t="str">
        <f>IF(Table1[[#This Row],[Is Data Valid]]=TRUE,((Table1[[#This Row],[Birthweight (grams)]]*1.1/Table1[[#This Row],[BW_GA]])-1)/(Backend!$B$4/100*Table1[[#This Row],[BW40_3705]]),"")</f>
        <v/>
      </c>
      <c r="J8534" s="7" t="str">
        <f>IF(Table1[[#This Row],[Is Data Valid]]=TRUE,_xlfn.NORM.S.DIST(Table1[[#This Row],[Birthweight Z-Score]],TRUE)*100,"")</f>
        <v/>
      </c>
      <c r="K8534" s="7" t="str">
        <f>IF(Table1[[#This Row],[Is Data Valid]]=TRUE,_xlfn.NORM.S.DIST(Table1[[#This Row],[Birthweight Z-Score (BW-10%)]],TRUE)*100,"")</f>
        <v/>
      </c>
      <c r="L8534" s="7" t="str">
        <f>IF(Table1[[#This Row],[Is Data Valid]]=TRUE,_xlfn.NORM.S.DIST(Table1[[#This Row],[Birthweight Z-Score (BW+10%)]],TRUE)*100,"")</f>
        <v/>
      </c>
    </row>
    <row r="8535" spans="1:12" x14ac:dyDescent="0.35">
      <c r="A8535" s="3"/>
      <c r="B8535" s="2"/>
      <c r="C8535" s="2"/>
      <c r="D8535" s="2" t="b">
        <f>IF(AND(NOT(ISBLANK(Table1[[#This Row],[Fetal Sex (Male, Female or Unknown)]])),ISNUMBER(Table1[[#This Row],[Birthweight (grams)]]),ISNUMBER(Table1[[#This Row],[Gestation (days)]])),TRUE,FALSE)</f>
        <v>0</v>
      </c>
      <c r="E8535" s="2" t="str">
        <f>IF(Table1[[#This Row],[Is Data Valid]]=TRUE,IF(Table1[[#This Row],[Fetal Sex (Male, Female or Unknown)]]="Male",Backend!$C$6,IF(Table1[[#This Row],[Fetal Sex (Male, Female or Unknown)]]="Female",Backend!$C$7,IF(Table1[[#This Row],[Fetal Sex (Male, Female or Unknown)]]="Unknown",Backend!$C$8,"Error"))),"")</f>
        <v/>
      </c>
      <c r="F8535" s="8" t="str">
        <f>IF(Table1[[#This Row],[Is Data Valid]]=TRUE,EXP(0.578+0.332*((Table1[[#This Row],[Gestation (days)]]+0.5)/7)-0.00354*((Table1[[#This Row],[Gestation (days)]]+0.5)/7)^2)*Table1[[#This Row],[BW40_3705]],"")</f>
        <v/>
      </c>
      <c r="G8535" s="2" t="str">
        <f>IF(Table1[[#This Row],[Is Data Valid]]=TRUE,((Table1[[#This Row],[Birthweight (grams)]]/Table1[[#This Row],[BW_GA]])-1)/(Backend!$B$4/100*Table1[[#This Row],[BW40_3705]]),"")</f>
        <v/>
      </c>
      <c r="H8535" s="7" t="str">
        <f>IF(Table1[[#This Row],[Is Data Valid]]=TRUE,((Table1[[#This Row],[Birthweight (grams)]]*0.9/Table1[[#This Row],[BW_GA]])-1)/(Backend!$B$4/100*Table1[[#This Row],[BW40_3705]]),"")</f>
        <v/>
      </c>
      <c r="I8535" s="7" t="str">
        <f>IF(Table1[[#This Row],[Is Data Valid]]=TRUE,((Table1[[#This Row],[Birthweight (grams)]]*1.1/Table1[[#This Row],[BW_GA]])-1)/(Backend!$B$4/100*Table1[[#This Row],[BW40_3705]]),"")</f>
        <v/>
      </c>
      <c r="J8535" s="7" t="str">
        <f>IF(Table1[[#This Row],[Is Data Valid]]=TRUE,_xlfn.NORM.S.DIST(Table1[[#This Row],[Birthweight Z-Score]],TRUE)*100,"")</f>
        <v/>
      </c>
      <c r="K8535" s="7" t="str">
        <f>IF(Table1[[#This Row],[Is Data Valid]]=TRUE,_xlfn.NORM.S.DIST(Table1[[#This Row],[Birthweight Z-Score (BW-10%)]],TRUE)*100,"")</f>
        <v/>
      </c>
      <c r="L8535" s="7" t="str">
        <f>IF(Table1[[#This Row],[Is Data Valid]]=TRUE,_xlfn.NORM.S.DIST(Table1[[#This Row],[Birthweight Z-Score (BW+10%)]],TRUE)*100,"")</f>
        <v/>
      </c>
    </row>
    <row r="8536" spans="1:12" x14ac:dyDescent="0.35">
      <c r="A8536" s="3"/>
      <c r="B8536" s="2"/>
      <c r="C8536" s="2"/>
      <c r="D8536" s="2" t="b">
        <f>IF(AND(NOT(ISBLANK(Table1[[#This Row],[Fetal Sex (Male, Female or Unknown)]])),ISNUMBER(Table1[[#This Row],[Birthweight (grams)]]),ISNUMBER(Table1[[#This Row],[Gestation (days)]])),TRUE,FALSE)</f>
        <v>0</v>
      </c>
      <c r="E8536" s="2" t="str">
        <f>IF(Table1[[#This Row],[Is Data Valid]]=TRUE,IF(Table1[[#This Row],[Fetal Sex (Male, Female or Unknown)]]="Male",Backend!$C$6,IF(Table1[[#This Row],[Fetal Sex (Male, Female or Unknown)]]="Female",Backend!$C$7,IF(Table1[[#This Row],[Fetal Sex (Male, Female or Unknown)]]="Unknown",Backend!$C$8,"Error"))),"")</f>
        <v/>
      </c>
      <c r="F8536" s="8" t="str">
        <f>IF(Table1[[#This Row],[Is Data Valid]]=TRUE,EXP(0.578+0.332*((Table1[[#This Row],[Gestation (days)]]+0.5)/7)-0.00354*((Table1[[#This Row],[Gestation (days)]]+0.5)/7)^2)*Table1[[#This Row],[BW40_3705]],"")</f>
        <v/>
      </c>
      <c r="G8536" s="2" t="str">
        <f>IF(Table1[[#This Row],[Is Data Valid]]=TRUE,((Table1[[#This Row],[Birthweight (grams)]]/Table1[[#This Row],[BW_GA]])-1)/(Backend!$B$4/100*Table1[[#This Row],[BW40_3705]]),"")</f>
        <v/>
      </c>
      <c r="H8536" s="7" t="str">
        <f>IF(Table1[[#This Row],[Is Data Valid]]=TRUE,((Table1[[#This Row],[Birthweight (grams)]]*0.9/Table1[[#This Row],[BW_GA]])-1)/(Backend!$B$4/100*Table1[[#This Row],[BW40_3705]]),"")</f>
        <v/>
      </c>
      <c r="I8536" s="7" t="str">
        <f>IF(Table1[[#This Row],[Is Data Valid]]=TRUE,((Table1[[#This Row],[Birthweight (grams)]]*1.1/Table1[[#This Row],[BW_GA]])-1)/(Backend!$B$4/100*Table1[[#This Row],[BW40_3705]]),"")</f>
        <v/>
      </c>
      <c r="J8536" s="7" t="str">
        <f>IF(Table1[[#This Row],[Is Data Valid]]=TRUE,_xlfn.NORM.S.DIST(Table1[[#This Row],[Birthweight Z-Score]],TRUE)*100,"")</f>
        <v/>
      </c>
      <c r="K8536" s="7" t="str">
        <f>IF(Table1[[#This Row],[Is Data Valid]]=TRUE,_xlfn.NORM.S.DIST(Table1[[#This Row],[Birthweight Z-Score (BW-10%)]],TRUE)*100,"")</f>
        <v/>
      </c>
      <c r="L8536" s="7" t="str">
        <f>IF(Table1[[#This Row],[Is Data Valid]]=TRUE,_xlfn.NORM.S.DIST(Table1[[#This Row],[Birthweight Z-Score (BW+10%)]],TRUE)*100,"")</f>
        <v/>
      </c>
    </row>
    <row r="8537" spans="1:12" x14ac:dyDescent="0.35">
      <c r="A8537" s="3"/>
      <c r="B8537" s="2"/>
      <c r="C8537" s="2"/>
      <c r="D8537" s="2" t="b">
        <f>IF(AND(NOT(ISBLANK(Table1[[#This Row],[Fetal Sex (Male, Female or Unknown)]])),ISNUMBER(Table1[[#This Row],[Birthweight (grams)]]),ISNUMBER(Table1[[#This Row],[Gestation (days)]])),TRUE,FALSE)</f>
        <v>0</v>
      </c>
      <c r="E8537" s="2" t="str">
        <f>IF(Table1[[#This Row],[Is Data Valid]]=TRUE,IF(Table1[[#This Row],[Fetal Sex (Male, Female or Unknown)]]="Male",Backend!$C$6,IF(Table1[[#This Row],[Fetal Sex (Male, Female or Unknown)]]="Female",Backend!$C$7,IF(Table1[[#This Row],[Fetal Sex (Male, Female or Unknown)]]="Unknown",Backend!$C$8,"Error"))),"")</f>
        <v/>
      </c>
      <c r="F8537" s="8" t="str">
        <f>IF(Table1[[#This Row],[Is Data Valid]]=TRUE,EXP(0.578+0.332*((Table1[[#This Row],[Gestation (days)]]+0.5)/7)-0.00354*((Table1[[#This Row],[Gestation (days)]]+0.5)/7)^2)*Table1[[#This Row],[BW40_3705]],"")</f>
        <v/>
      </c>
      <c r="G8537" s="2" t="str">
        <f>IF(Table1[[#This Row],[Is Data Valid]]=TRUE,((Table1[[#This Row],[Birthweight (grams)]]/Table1[[#This Row],[BW_GA]])-1)/(Backend!$B$4/100*Table1[[#This Row],[BW40_3705]]),"")</f>
        <v/>
      </c>
      <c r="H8537" s="7" t="str">
        <f>IF(Table1[[#This Row],[Is Data Valid]]=TRUE,((Table1[[#This Row],[Birthweight (grams)]]*0.9/Table1[[#This Row],[BW_GA]])-1)/(Backend!$B$4/100*Table1[[#This Row],[BW40_3705]]),"")</f>
        <v/>
      </c>
      <c r="I8537" s="7" t="str">
        <f>IF(Table1[[#This Row],[Is Data Valid]]=TRUE,((Table1[[#This Row],[Birthweight (grams)]]*1.1/Table1[[#This Row],[BW_GA]])-1)/(Backend!$B$4/100*Table1[[#This Row],[BW40_3705]]),"")</f>
        <v/>
      </c>
      <c r="J8537" s="7" t="str">
        <f>IF(Table1[[#This Row],[Is Data Valid]]=TRUE,_xlfn.NORM.S.DIST(Table1[[#This Row],[Birthweight Z-Score]],TRUE)*100,"")</f>
        <v/>
      </c>
      <c r="K8537" s="7" t="str">
        <f>IF(Table1[[#This Row],[Is Data Valid]]=TRUE,_xlfn.NORM.S.DIST(Table1[[#This Row],[Birthweight Z-Score (BW-10%)]],TRUE)*100,"")</f>
        <v/>
      </c>
      <c r="L8537" s="7" t="str">
        <f>IF(Table1[[#This Row],[Is Data Valid]]=TRUE,_xlfn.NORM.S.DIST(Table1[[#This Row],[Birthweight Z-Score (BW+10%)]],TRUE)*100,"")</f>
        <v/>
      </c>
    </row>
    <row r="8538" spans="1:12" x14ac:dyDescent="0.35">
      <c r="A8538" s="3"/>
      <c r="B8538" s="2"/>
      <c r="C8538" s="2"/>
      <c r="D8538" s="2" t="b">
        <f>IF(AND(NOT(ISBLANK(Table1[[#This Row],[Fetal Sex (Male, Female or Unknown)]])),ISNUMBER(Table1[[#This Row],[Birthweight (grams)]]),ISNUMBER(Table1[[#This Row],[Gestation (days)]])),TRUE,FALSE)</f>
        <v>0</v>
      </c>
      <c r="E8538" s="2" t="str">
        <f>IF(Table1[[#This Row],[Is Data Valid]]=TRUE,IF(Table1[[#This Row],[Fetal Sex (Male, Female or Unknown)]]="Male",Backend!$C$6,IF(Table1[[#This Row],[Fetal Sex (Male, Female or Unknown)]]="Female",Backend!$C$7,IF(Table1[[#This Row],[Fetal Sex (Male, Female or Unknown)]]="Unknown",Backend!$C$8,"Error"))),"")</f>
        <v/>
      </c>
      <c r="F8538" s="8" t="str">
        <f>IF(Table1[[#This Row],[Is Data Valid]]=TRUE,EXP(0.578+0.332*((Table1[[#This Row],[Gestation (days)]]+0.5)/7)-0.00354*((Table1[[#This Row],[Gestation (days)]]+0.5)/7)^2)*Table1[[#This Row],[BW40_3705]],"")</f>
        <v/>
      </c>
      <c r="G8538" s="2" t="str">
        <f>IF(Table1[[#This Row],[Is Data Valid]]=TRUE,((Table1[[#This Row],[Birthweight (grams)]]/Table1[[#This Row],[BW_GA]])-1)/(Backend!$B$4/100*Table1[[#This Row],[BW40_3705]]),"")</f>
        <v/>
      </c>
      <c r="H8538" s="7" t="str">
        <f>IF(Table1[[#This Row],[Is Data Valid]]=TRUE,((Table1[[#This Row],[Birthweight (grams)]]*0.9/Table1[[#This Row],[BW_GA]])-1)/(Backend!$B$4/100*Table1[[#This Row],[BW40_3705]]),"")</f>
        <v/>
      </c>
      <c r="I8538" s="7" t="str">
        <f>IF(Table1[[#This Row],[Is Data Valid]]=TRUE,((Table1[[#This Row],[Birthweight (grams)]]*1.1/Table1[[#This Row],[BW_GA]])-1)/(Backend!$B$4/100*Table1[[#This Row],[BW40_3705]]),"")</f>
        <v/>
      </c>
      <c r="J8538" s="7" t="str">
        <f>IF(Table1[[#This Row],[Is Data Valid]]=TRUE,_xlfn.NORM.S.DIST(Table1[[#This Row],[Birthweight Z-Score]],TRUE)*100,"")</f>
        <v/>
      </c>
      <c r="K8538" s="7" t="str">
        <f>IF(Table1[[#This Row],[Is Data Valid]]=TRUE,_xlfn.NORM.S.DIST(Table1[[#This Row],[Birthweight Z-Score (BW-10%)]],TRUE)*100,"")</f>
        <v/>
      </c>
      <c r="L8538" s="7" t="str">
        <f>IF(Table1[[#This Row],[Is Data Valid]]=TRUE,_xlfn.NORM.S.DIST(Table1[[#This Row],[Birthweight Z-Score (BW+10%)]],TRUE)*100,"")</f>
        <v/>
      </c>
    </row>
    <row r="8539" spans="1:12" x14ac:dyDescent="0.35">
      <c r="A8539" s="3"/>
      <c r="B8539" s="2"/>
      <c r="C8539" s="2"/>
      <c r="D8539" s="2" t="b">
        <f>IF(AND(NOT(ISBLANK(Table1[[#This Row],[Fetal Sex (Male, Female or Unknown)]])),ISNUMBER(Table1[[#This Row],[Birthweight (grams)]]),ISNUMBER(Table1[[#This Row],[Gestation (days)]])),TRUE,FALSE)</f>
        <v>0</v>
      </c>
      <c r="E8539" s="2" t="str">
        <f>IF(Table1[[#This Row],[Is Data Valid]]=TRUE,IF(Table1[[#This Row],[Fetal Sex (Male, Female or Unknown)]]="Male",Backend!$C$6,IF(Table1[[#This Row],[Fetal Sex (Male, Female or Unknown)]]="Female",Backend!$C$7,IF(Table1[[#This Row],[Fetal Sex (Male, Female or Unknown)]]="Unknown",Backend!$C$8,"Error"))),"")</f>
        <v/>
      </c>
      <c r="F8539" s="8" t="str">
        <f>IF(Table1[[#This Row],[Is Data Valid]]=TRUE,EXP(0.578+0.332*((Table1[[#This Row],[Gestation (days)]]+0.5)/7)-0.00354*((Table1[[#This Row],[Gestation (days)]]+0.5)/7)^2)*Table1[[#This Row],[BW40_3705]],"")</f>
        <v/>
      </c>
      <c r="G8539" s="2" t="str">
        <f>IF(Table1[[#This Row],[Is Data Valid]]=TRUE,((Table1[[#This Row],[Birthweight (grams)]]/Table1[[#This Row],[BW_GA]])-1)/(Backend!$B$4/100*Table1[[#This Row],[BW40_3705]]),"")</f>
        <v/>
      </c>
      <c r="H8539" s="7" t="str">
        <f>IF(Table1[[#This Row],[Is Data Valid]]=TRUE,((Table1[[#This Row],[Birthweight (grams)]]*0.9/Table1[[#This Row],[BW_GA]])-1)/(Backend!$B$4/100*Table1[[#This Row],[BW40_3705]]),"")</f>
        <v/>
      </c>
      <c r="I8539" s="7" t="str">
        <f>IF(Table1[[#This Row],[Is Data Valid]]=TRUE,((Table1[[#This Row],[Birthweight (grams)]]*1.1/Table1[[#This Row],[BW_GA]])-1)/(Backend!$B$4/100*Table1[[#This Row],[BW40_3705]]),"")</f>
        <v/>
      </c>
      <c r="J8539" s="7" t="str">
        <f>IF(Table1[[#This Row],[Is Data Valid]]=TRUE,_xlfn.NORM.S.DIST(Table1[[#This Row],[Birthweight Z-Score]],TRUE)*100,"")</f>
        <v/>
      </c>
      <c r="K8539" s="7" t="str">
        <f>IF(Table1[[#This Row],[Is Data Valid]]=TRUE,_xlfn.NORM.S.DIST(Table1[[#This Row],[Birthweight Z-Score (BW-10%)]],TRUE)*100,"")</f>
        <v/>
      </c>
      <c r="L8539" s="7" t="str">
        <f>IF(Table1[[#This Row],[Is Data Valid]]=TRUE,_xlfn.NORM.S.DIST(Table1[[#This Row],[Birthweight Z-Score (BW+10%)]],TRUE)*100,"")</f>
        <v/>
      </c>
    </row>
    <row r="8540" spans="1:12" x14ac:dyDescent="0.35">
      <c r="A8540" s="3"/>
      <c r="B8540" s="2"/>
      <c r="C8540" s="2"/>
      <c r="D8540" s="2" t="b">
        <f>IF(AND(NOT(ISBLANK(Table1[[#This Row],[Fetal Sex (Male, Female or Unknown)]])),ISNUMBER(Table1[[#This Row],[Birthweight (grams)]]),ISNUMBER(Table1[[#This Row],[Gestation (days)]])),TRUE,FALSE)</f>
        <v>0</v>
      </c>
      <c r="E8540" s="2" t="str">
        <f>IF(Table1[[#This Row],[Is Data Valid]]=TRUE,IF(Table1[[#This Row],[Fetal Sex (Male, Female or Unknown)]]="Male",Backend!$C$6,IF(Table1[[#This Row],[Fetal Sex (Male, Female or Unknown)]]="Female",Backend!$C$7,IF(Table1[[#This Row],[Fetal Sex (Male, Female or Unknown)]]="Unknown",Backend!$C$8,"Error"))),"")</f>
        <v/>
      </c>
      <c r="F8540" s="8" t="str">
        <f>IF(Table1[[#This Row],[Is Data Valid]]=TRUE,EXP(0.578+0.332*((Table1[[#This Row],[Gestation (days)]]+0.5)/7)-0.00354*((Table1[[#This Row],[Gestation (days)]]+0.5)/7)^2)*Table1[[#This Row],[BW40_3705]],"")</f>
        <v/>
      </c>
      <c r="G8540" s="2" t="str">
        <f>IF(Table1[[#This Row],[Is Data Valid]]=TRUE,((Table1[[#This Row],[Birthweight (grams)]]/Table1[[#This Row],[BW_GA]])-1)/(Backend!$B$4/100*Table1[[#This Row],[BW40_3705]]),"")</f>
        <v/>
      </c>
      <c r="H8540" s="7" t="str">
        <f>IF(Table1[[#This Row],[Is Data Valid]]=TRUE,((Table1[[#This Row],[Birthweight (grams)]]*0.9/Table1[[#This Row],[BW_GA]])-1)/(Backend!$B$4/100*Table1[[#This Row],[BW40_3705]]),"")</f>
        <v/>
      </c>
      <c r="I8540" s="7" t="str">
        <f>IF(Table1[[#This Row],[Is Data Valid]]=TRUE,((Table1[[#This Row],[Birthweight (grams)]]*1.1/Table1[[#This Row],[BW_GA]])-1)/(Backend!$B$4/100*Table1[[#This Row],[BW40_3705]]),"")</f>
        <v/>
      </c>
      <c r="J8540" s="7" t="str">
        <f>IF(Table1[[#This Row],[Is Data Valid]]=TRUE,_xlfn.NORM.S.DIST(Table1[[#This Row],[Birthweight Z-Score]],TRUE)*100,"")</f>
        <v/>
      </c>
      <c r="K8540" s="7" t="str">
        <f>IF(Table1[[#This Row],[Is Data Valid]]=TRUE,_xlfn.NORM.S.DIST(Table1[[#This Row],[Birthweight Z-Score (BW-10%)]],TRUE)*100,"")</f>
        <v/>
      </c>
      <c r="L8540" s="7" t="str">
        <f>IF(Table1[[#This Row],[Is Data Valid]]=TRUE,_xlfn.NORM.S.DIST(Table1[[#This Row],[Birthweight Z-Score (BW+10%)]],TRUE)*100,"")</f>
        <v/>
      </c>
    </row>
    <row r="8541" spans="1:12" x14ac:dyDescent="0.35">
      <c r="A8541" s="3"/>
      <c r="B8541" s="2"/>
      <c r="C8541" s="2"/>
      <c r="D8541" s="2" t="b">
        <f>IF(AND(NOT(ISBLANK(Table1[[#This Row],[Fetal Sex (Male, Female or Unknown)]])),ISNUMBER(Table1[[#This Row],[Birthweight (grams)]]),ISNUMBER(Table1[[#This Row],[Gestation (days)]])),TRUE,FALSE)</f>
        <v>0</v>
      </c>
      <c r="E8541" s="2" t="str">
        <f>IF(Table1[[#This Row],[Is Data Valid]]=TRUE,IF(Table1[[#This Row],[Fetal Sex (Male, Female or Unknown)]]="Male",Backend!$C$6,IF(Table1[[#This Row],[Fetal Sex (Male, Female or Unknown)]]="Female",Backend!$C$7,IF(Table1[[#This Row],[Fetal Sex (Male, Female or Unknown)]]="Unknown",Backend!$C$8,"Error"))),"")</f>
        <v/>
      </c>
      <c r="F8541" s="8" t="str">
        <f>IF(Table1[[#This Row],[Is Data Valid]]=TRUE,EXP(0.578+0.332*((Table1[[#This Row],[Gestation (days)]]+0.5)/7)-0.00354*((Table1[[#This Row],[Gestation (days)]]+0.5)/7)^2)*Table1[[#This Row],[BW40_3705]],"")</f>
        <v/>
      </c>
      <c r="G8541" s="2" t="str">
        <f>IF(Table1[[#This Row],[Is Data Valid]]=TRUE,((Table1[[#This Row],[Birthweight (grams)]]/Table1[[#This Row],[BW_GA]])-1)/(Backend!$B$4/100*Table1[[#This Row],[BW40_3705]]),"")</f>
        <v/>
      </c>
      <c r="H8541" s="7" t="str">
        <f>IF(Table1[[#This Row],[Is Data Valid]]=TRUE,((Table1[[#This Row],[Birthweight (grams)]]*0.9/Table1[[#This Row],[BW_GA]])-1)/(Backend!$B$4/100*Table1[[#This Row],[BW40_3705]]),"")</f>
        <v/>
      </c>
      <c r="I8541" s="7" t="str">
        <f>IF(Table1[[#This Row],[Is Data Valid]]=TRUE,((Table1[[#This Row],[Birthweight (grams)]]*1.1/Table1[[#This Row],[BW_GA]])-1)/(Backend!$B$4/100*Table1[[#This Row],[BW40_3705]]),"")</f>
        <v/>
      </c>
      <c r="J8541" s="7" t="str">
        <f>IF(Table1[[#This Row],[Is Data Valid]]=TRUE,_xlfn.NORM.S.DIST(Table1[[#This Row],[Birthweight Z-Score]],TRUE)*100,"")</f>
        <v/>
      </c>
      <c r="K8541" s="7" t="str">
        <f>IF(Table1[[#This Row],[Is Data Valid]]=TRUE,_xlfn.NORM.S.DIST(Table1[[#This Row],[Birthweight Z-Score (BW-10%)]],TRUE)*100,"")</f>
        <v/>
      </c>
      <c r="L8541" s="7" t="str">
        <f>IF(Table1[[#This Row],[Is Data Valid]]=TRUE,_xlfn.NORM.S.DIST(Table1[[#This Row],[Birthweight Z-Score (BW+10%)]],TRUE)*100,"")</f>
        <v/>
      </c>
    </row>
    <row r="8542" spans="1:12" x14ac:dyDescent="0.35">
      <c r="A8542" s="3"/>
      <c r="B8542" s="2"/>
      <c r="C8542" s="2"/>
      <c r="D8542" s="2" t="b">
        <f>IF(AND(NOT(ISBLANK(Table1[[#This Row],[Fetal Sex (Male, Female or Unknown)]])),ISNUMBER(Table1[[#This Row],[Birthweight (grams)]]),ISNUMBER(Table1[[#This Row],[Gestation (days)]])),TRUE,FALSE)</f>
        <v>0</v>
      </c>
      <c r="E8542" s="2" t="str">
        <f>IF(Table1[[#This Row],[Is Data Valid]]=TRUE,IF(Table1[[#This Row],[Fetal Sex (Male, Female or Unknown)]]="Male",Backend!$C$6,IF(Table1[[#This Row],[Fetal Sex (Male, Female or Unknown)]]="Female",Backend!$C$7,IF(Table1[[#This Row],[Fetal Sex (Male, Female or Unknown)]]="Unknown",Backend!$C$8,"Error"))),"")</f>
        <v/>
      </c>
      <c r="F8542" s="8" t="str">
        <f>IF(Table1[[#This Row],[Is Data Valid]]=TRUE,EXP(0.578+0.332*((Table1[[#This Row],[Gestation (days)]]+0.5)/7)-0.00354*((Table1[[#This Row],[Gestation (days)]]+0.5)/7)^2)*Table1[[#This Row],[BW40_3705]],"")</f>
        <v/>
      </c>
      <c r="G8542" s="2" t="str">
        <f>IF(Table1[[#This Row],[Is Data Valid]]=TRUE,((Table1[[#This Row],[Birthweight (grams)]]/Table1[[#This Row],[BW_GA]])-1)/(Backend!$B$4/100*Table1[[#This Row],[BW40_3705]]),"")</f>
        <v/>
      </c>
      <c r="H8542" s="7" t="str">
        <f>IF(Table1[[#This Row],[Is Data Valid]]=TRUE,((Table1[[#This Row],[Birthweight (grams)]]*0.9/Table1[[#This Row],[BW_GA]])-1)/(Backend!$B$4/100*Table1[[#This Row],[BW40_3705]]),"")</f>
        <v/>
      </c>
      <c r="I8542" s="7" t="str">
        <f>IF(Table1[[#This Row],[Is Data Valid]]=TRUE,((Table1[[#This Row],[Birthweight (grams)]]*1.1/Table1[[#This Row],[BW_GA]])-1)/(Backend!$B$4/100*Table1[[#This Row],[BW40_3705]]),"")</f>
        <v/>
      </c>
      <c r="J8542" s="7" t="str">
        <f>IF(Table1[[#This Row],[Is Data Valid]]=TRUE,_xlfn.NORM.S.DIST(Table1[[#This Row],[Birthweight Z-Score]],TRUE)*100,"")</f>
        <v/>
      </c>
      <c r="K8542" s="7" t="str">
        <f>IF(Table1[[#This Row],[Is Data Valid]]=TRUE,_xlfn.NORM.S.DIST(Table1[[#This Row],[Birthweight Z-Score (BW-10%)]],TRUE)*100,"")</f>
        <v/>
      </c>
      <c r="L8542" s="7" t="str">
        <f>IF(Table1[[#This Row],[Is Data Valid]]=TRUE,_xlfn.NORM.S.DIST(Table1[[#This Row],[Birthweight Z-Score (BW+10%)]],TRUE)*100,"")</f>
        <v/>
      </c>
    </row>
    <row r="8543" spans="1:12" x14ac:dyDescent="0.35">
      <c r="A8543" s="3"/>
      <c r="B8543" s="2"/>
      <c r="C8543" s="2"/>
      <c r="D8543" s="2" t="b">
        <f>IF(AND(NOT(ISBLANK(Table1[[#This Row],[Fetal Sex (Male, Female or Unknown)]])),ISNUMBER(Table1[[#This Row],[Birthweight (grams)]]),ISNUMBER(Table1[[#This Row],[Gestation (days)]])),TRUE,FALSE)</f>
        <v>0</v>
      </c>
      <c r="E8543" s="2" t="str">
        <f>IF(Table1[[#This Row],[Is Data Valid]]=TRUE,IF(Table1[[#This Row],[Fetal Sex (Male, Female or Unknown)]]="Male",Backend!$C$6,IF(Table1[[#This Row],[Fetal Sex (Male, Female or Unknown)]]="Female",Backend!$C$7,IF(Table1[[#This Row],[Fetal Sex (Male, Female or Unknown)]]="Unknown",Backend!$C$8,"Error"))),"")</f>
        <v/>
      </c>
      <c r="F8543" s="8" t="str">
        <f>IF(Table1[[#This Row],[Is Data Valid]]=TRUE,EXP(0.578+0.332*((Table1[[#This Row],[Gestation (days)]]+0.5)/7)-0.00354*((Table1[[#This Row],[Gestation (days)]]+0.5)/7)^2)*Table1[[#This Row],[BW40_3705]],"")</f>
        <v/>
      </c>
      <c r="G8543" s="2" t="str">
        <f>IF(Table1[[#This Row],[Is Data Valid]]=TRUE,((Table1[[#This Row],[Birthweight (grams)]]/Table1[[#This Row],[BW_GA]])-1)/(Backend!$B$4/100*Table1[[#This Row],[BW40_3705]]),"")</f>
        <v/>
      </c>
      <c r="H8543" s="7" t="str">
        <f>IF(Table1[[#This Row],[Is Data Valid]]=TRUE,((Table1[[#This Row],[Birthweight (grams)]]*0.9/Table1[[#This Row],[BW_GA]])-1)/(Backend!$B$4/100*Table1[[#This Row],[BW40_3705]]),"")</f>
        <v/>
      </c>
      <c r="I8543" s="7" t="str">
        <f>IF(Table1[[#This Row],[Is Data Valid]]=TRUE,((Table1[[#This Row],[Birthweight (grams)]]*1.1/Table1[[#This Row],[BW_GA]])-1)/(Backend!$B$4/100*Table1[[#This Row],[BW40_3705]]),"")</f>
        <v/>
      </c>
      <c r="J8543" s="7" t="str">
        <f>IF(Table1[[#This Row],[Is Data Valid]]=TRUE,_xlfn.NORM.S.DIST(Table1[[#This Row],[Birthweight Z-Score]],TRUE)*100,"")</f>
        <v/>
      </c>
      <c r="K8543" s="7" t="str">
        <f>IF(Table1[[#This Row],[Is Data Valid]]=TRUE,_xlfn.NORM.S.DIST(Table1[[#This Row],[Birthweight Z-Score (BW-10%)]],TRUE)*100,"")</f>
        <v/>
      </c>
      <c r="L8543" s="7" t="str">
        <f>IF(Table1[[#This Row],[Is Data Valid]]=TRUE,_xlfn.NORM.S.DIST(Table1[[#This Row],[Birthweight Z-Score (BW+10%)]],TRUE)*100,"")</f>
        <v/>
      </c>
    </row>
    <row r="8544" spans="1:12" x14ac:dyDescent="0.35">
      <c r="A8544" s="3"/>
      <c r="B8544" s="2"/>
      <c r="C8544" s="2"/>
      <c r="D8544" s="2" t="b">
        <f>IF(AND(NOT(ISBLANK(Table1[[#This Row],[Fetal Sex (Male, Female or Unknown)]])),ISNUMBER(Table1[[#This Row],[Birthweight (grams)]]),ISNUMBER(Table1[[#This Row],[Gestation (days)]])),TRUE,FALSE)</f>
        <v>0</v>
      </c>
      <c r="E8544" s="2" t="str">
        <f>IF(Table1[[#This Row],[Is Data Valid]]=TRUE,IF(Table1[[#This Row],[Fetal Sex (Male, Female or Unknown)]]="Male",Backend!$C$6,IF(Table1[[#This Row],[Fetal Sex (Male, Female or Unknown)]]="Female",Backend!$C$7,IF(Table1[[#This Row],[Fetal Sex (Male, Female or Unknown)]]="Unknown",Backend!$C$8,"Error"))),"")</f>
        <v/>
      </c>
      <c r="F8544" s="8" t="str">
        <f>IF(Table1[[#This Row],[Is Data Valid]]=TRUE,EXP(0.578+0.332*((Table1[[#This Row],[Gestation (days)]]+0.5)/7)-0.00354*((Table1[[#This Row],[Gestation (days)]]+0.5)/7)^2)*Table1[[#This Row],[BW40_3705]],"")</f>
        <v/>
      </c>
      <c r="G8544" s="2" t="str">
        <f>IF(Table1[[#This Row],[Is Data Valid]]=TRUE,((Table1[[#This Row],[Birthweight (grams)]]/Table1[[#This Row],[BW_GA]])-1)/(Backend!$B$4/100*Table1[[#This Row],[BW40_3705]]),"")</f>
        <v/>
      </c>
      <c r="H8544" s="7" t="str">
        <f>IF(Table1[[#This Row],[Is Data Valid]]=TRUE,((Table1[[#This Row],[Birthweight (grams)]]*0.9/Table1[[#This Row],[BW_GA]])-1)/(Backend!$B$4/100*Table1[[#This Row],[BW40_3705]]),"")</f>
        <v/>
      </c>
      <c r="I8544" s="7" t="str">
        <f>IF(Table1[[#This Row],[Is Data Valid]]=TRUE,((Table1[[#This Row],[Birthweight (grams)]]*1.1/Table1[[#This Row],[BW_GA]])-1)/(Backend!$B$4/100*Table1[[#This Row],[BW40_3705]]),"")</f>
        <v/>
      </c>
      <c r="J8544" s="7" t="str">
        <f>IF(Table1[[#This Row],[Is Data Valid]]=TRUE,_xlfn.NORM.S.DIST(Table1[[#This Row],[Birthweight Z-Score]],TRUE)*100,"")</f>
        <v/>
      </c>
      <c r="K8544" s="7" t="str">
        <f>IF(Table1[[#This Row],[Is Data Valid]]=TRUE,_xlfn.NORM.S.DIST(Table1[[#This Row],[Birthweight Z-Score (BW-10%)]],TRUE)*100,"")</f>
        <v/>
      </c>
      <c r="L8544" s="7" t="str">
        <f>IF(Table1[[#This Row],[Is Data Valid]]=TRUE,_xlfn.NORM.S.DIST(Table1[[#This Row],[Birthweight Z-Score (BW+10%)]],TRUE)*100,"")</f>
        <v/>
      </c>
    </row>
    <row r="8545" spans="1:12" x14ac:dyDescent="0.35">
      <c r="A8545" s="3"/>
      <c r="B8545" s="2"/>
      <c r="C8545" s="2"/>
      <c r="D8545" s="2" t="b">
        <f>IF(AND(NOT(ISBLANK(Table1[[#This Row],[Fetal Sex (Male, Female or Unknown)]])),ISNUMBER(Table1[[#This Row],[Birthweight (grams)]]),ISNUMBER(Table1[[#This Row],[Gestation (days)]])),TRUE,FALSE)</f>
        <v>0</v>
      </c>
      <c r="E8545" s="2" t="str">
        <f>IF(Table1[[#This Row],[Is Data Valid]]=TRUE,IF(Table1[[#This Row],[Fetal Sex (Male, Female or Unknown)]]="Male",Backend!$C$6,IF(Table1[[#This Row],[Fetal Sex (Male, Female or Unknown)]]="Female",Backend!$C$7,IF(Table1[[#This Row],[Fetal Sex (Male, Female or Unknown)]]="Unknown",Backend!$C$8,"Error"))),"")</f>
        <v/>
      </c>
      <c r="F8545" s="8" t="str">
        <f>IF(Table1[[#This Row],[Is Data Valid]]=TRUE,EXP(0.578+0.332*((Table1[[#This Row],[Gestation (days)]]+0.5)/7)-0.00354*((Table1[[#This Row],[Gestation (days)]]+0.5)/7)^2)*Table1[[#This Row],[BW40_3705]],"")</f>
        <v/>
      </c>
      <c r="G8545" s="2" t="str">
        <f>IF(Table1[[#This Row],[Is Data Valid]]=TRUE,((Table1[[#This Row],[Birthweight (grams)]]/Table1[[#This Row],[BW_GA]])-1)/(Backend!$B$4/100*Table1[[#This Row],[BW40_3705]]),"")</f>
        <v/>
      </c>
      <c r="H8545" s="7" t="str">
        <f>IF(Table1[[#This Row],[Is Data Valid]]=TRUE,((Table1[[#This Row],[Birthweight (grams)]]*0.9/Table1[[#This Row],[BW_GA]])-1)/(Backend!$B$4/100*Table1[[#This Row],[BW40_3705]]),"")</f>
        <v/>
      </c>
      <c r="I8545" s="7" t="str">
        <f>IF(Table1[[#This Row],[Is Data Valid]]=TRUE,((Table1[[#This Row],[Birthweight (grams)]]*1.1/Table1[[#This Row],[BW_GA]])-1)/(Backend!$B$4/100*Table1[[#This Row],[BW40_3705]]),"")</f>
        <v/>
      </c>
      <c r="J8545" s="7" t="str">
        <f>IF(Table1[[#This Row],[Is Data Valid]]=TRUE,_xlfn.NORM.S.DIST(Table1[[#This Row],[Birthweight Z-Score]],TRUE)*100,"")</f>
        <v/>
      </c>
      <c r="K8545" s="7" t="str">
        <f>IF(Table1[[#This Row],[Is Data Valid]]=TRUE,_xlfn.NORM.S.DIST(Table1[[#This Row],[Birthweight Z-Score (BW-10%)]],TRUE)*100,"")</f>
        <v/>
      </c>
      <c r="L8545" s="7" t="str">
        <f>IF(Table1[[#This Row],[Is Data Valid]]=TRUE,_xlfn.NORM.S.DIST(Table1[[#This Row],[Birthweight Z-Score (BW+10%)]],TRUE)*100,"")</f>
        <v/>
      </c>
    </row>
    <row r="8546" spans="1:12" x14ac:dyDescent="0.35">
      <c r="A8546" s="3"/>
      <c r="B8546" s="2"/>
      <c r="C8546" s="2"/>
      <c r="D8546" s="2" t="b">
        <f>IF(AND(NOT(ISBLANK(Table1[[#This Row],[Fetal Sex (Male, Female or Unknown)]])),ISNUMBER(Table1[[#This Row],[Birthweight (grams)]]),ISNUMBER(Table1[[#This Row],[Gestation (days)]])),TRUE,FALSE)</f>
        <v>0</v>
      </c>
      <c r="E8546" s="2" t="str">
        <f>IF(Table1[[#This Row],[Is Data Valid]]=TRUE,IF(Table1[[#This Row],[Fetal Sex (Male, Female or Unknown)]]="Male",Backend!$C$6,IF(Table1[[#This Row],[Fetal Sex (Male, Female or Unknown)]]="Female",Backend!$C$7,IF(Table1[[#This Row],[Fetal Sex (Male, Female or Unknown)]]="Unknown",Backend!$C$8,"Error"))),"")</f>
        <v/>
      </c>
      <c r="F8546" s="8" t="str">
        <f>IF(Table1[[#This Row],[Is Data Valid]]=TRUE,EXP(0.578+0.332*((Table1[[#This Row],[Gestation (days)]]+0.5)/7)-0.00354*((Table1[[#This Row],[Gestation (days)]]+0.5)/7)^2)*Table1[[#This Row],[BW40_3705]],"")</f>
        <v/>
      </c>
      <c r="G8546" s="2" t="str">
        <f>IF(Table1[[#This Row],[Is Data Valid]]=TRUE,((Table1[[#This Row],[Birthweight (grams)]]/Table1[[#This Row],[BW_GA]])-1)/(Backend!$B$4/100*Table1[[#This Row],[BW40_3705]]),"")</f>
        <v/>
      </c>
      <c r="H8546" s="7" t="str">
        <f>IF(Table1[[#This Row],[Is Data Valid]]=TRUE,((Table1[[#This Row],[Birthweight (grams)]]*0.9/Table1[[#This Row],[BW_GA]])-1)/(Backend!$B$4/100*Table1[[#This Row],[BW40_3705]]),"")</f>
        <v/>
      </c>
      <c r="I8546" s="7" t="str">
        <f>IF(Table1[[#This Row],[Is Data Valid]]=TRUE,((Table1[[#This Row],[Birthweight (grams)]]*1.1/Table1[[#This Row],[BW_GA]])-1)/(Backend!$B$4/100*Table1[[#This Row],[BW40_3705]]),"")</f>
        <v/>
      </c>
      <c r="J8546" s="7" t="str">
        <f>IF(Table1[[#This Row],[Is Data Valid]]=TRUE,_xlfn.NORM.S.DIST(Table1[[#This Row],[Birthweight Z-Score]],TRUE)*100,"")</f>
        <v/>
      </c>
      <c r="K8546" s="7" t="str">
        <f>IF(Table1[[#This Row],[Is Data Valid]]=TRUE,_xlfn.NORM.S.DIST(Table1[[#This Row],[Birthweight Z-Score (BW-10%)]],TRUE)*100,"")</f>
        <v/>
      </c>
      <c r="L8546" s="7" t="str">
        <f>IF(Table1[[#This Row],[Is Data Valid]]=TRUE,_xlfn.NORM.S.DIST(Table1[[#This Row],[Birthweight Z-Score (BW+10%)]],TRUE)*100,"")</f>
        <v/>
      </c>
    </row>
    <row r="8547" spans="1:12" x14ac:dyDescent="0.35">
      <c r="A8547" s="3"/>
      <c r="B8547" s="2"/>
      <c r="C8547" s="2"/>
      <c r="D8547" s="2" t="b">
        <f>IF(AND(NOT(ISBLANK(Table1[[#This Row],[Fetal Sex (Male, Female or Unknown)]])),ISNUMBER(Table1[[#This Row],[Birthweight (grams)]]),ISNUMBER(Table1[[#This Row],[Gestation (days)]])),TRUE,FALSE)</f>
        <v>0</v>
      </c>
      <c r="E8547" s="2" t="str">
        <f>IF(Table1[[#This Row],[Is Data Valid]]=TRUE,IF(Table1[[#This Row],[Fetal Sex (Male, Female or Unknown)]]="Male",Backend!$C$6,IF(Table1[[#This Row],[Fetal Sex (Male, Female or Unknown)]]="Female",Backend!$C$7,IF(Table1[[#This Row],[Fetal Sex (Male, Female or Unknown)]]="Unknown",Backend!$C$8,"Error"))),"")</f>
        <v/>
      </c>
      <c r="F8547" s="8" t="str">
        <f>IF(Table1[[#This Row],[Is Data Valid]]=TRUE,EXP(0.578+0.332*((Table1[[#This Row],[Gestation (days)]]+0.5)/7)-0.00354*((Table1[[#This Row],[Gestation (days)]]+0.5)/7)^2)*Table1[[#This Row],[BW40_3705]],"")</f>
        <v/>
      </c>
      <c r="G8547" s="2" t="str">
        <f>IF(Table1[[#This Row],[Is Data Valid]]=TRUE,((Table1[[#This Row],[Birthweight (grams)]]/Table1[[#This Row],[BW_GA]])-1)/(Backend!$B$4/100*Table1[[#This Row],[BW40_3705]]),"")</f>
        <v/>
      </c>
      <c r="H8547" s="7" t="str">
        <f>IF(Table1[[#This Row],[Is Data Valid]]=TRUE,((Table1[[#This Row],[Birthweight (grams)]]*0.9/Table1[[#This Row],[BW_GA]])-1)/(Backend!$B$4/100*Table1[[#This Row],[BW40_3705]]),"")</f>
        <v/>
      </c>
      <c r="I8547" s="7" t="str">
        <f>IF(Table1[[#This Row],[Is Data Valid]]=TRUE,((Table1[[#This Row],[Birthweight (grams)]]*1.1/Table1[[#This Row],[BW_GA]])-1)/(Backend!$B$4/100*Table1[[#This Row],[BW40_3705]]),"")</f>
        <v/>
      </c>
      <c r="J8547" s="7" t="str">
        <f>IF(Table1[[#This Row],[Is Data Valid]]=TRUE,_xlfn.NORM.S.DIST(Table1[[#This Row],[Birthweight Z-Score]],TRUE)*100,"")</f>
        <v/>
      </c>
      <c r="K8547" s="7" t="str">
        <f>IF(Table1[[#This Row],[Is Data Valid]]=TRUE,_xlfn.NORM.S.DIST(Table1[[#This Row],[Birthweight Z-Score (BW-10%)]],TRUE)*100,"")</f>
        <v/>
      </c>
      <c r="L8547" s="7" t="str">
        <f>IF(Table1[[#This Row],[Is Data Valid]]=TRUE,_xlfn.NORM.S.DIST(Table1[[#This Row],[Birthweight Z-Score (BW+10%)]],TRUE)*100,"")</f>
        <v/>
      </c>
    </row>
    <row r="8548" spans="1:12" x14ac:dyDescent="0.35">
      <c r="A8548" s="3"/>
      <c r="B8548" s="2"/>
      <c r="C8548" s="2"/>
      <c r="D8548" s="2" t="b">
        <f>IF(AND(NOT(ISBLANK(Table1[[#This Row],[Fetal Sex (Male, Female or Unknown)]])),ISNUMBER(Table1[[#This Row],[Birthweight (grams)]]),ISNUMBER(Table1[[#This Row],[Gestation (days)]])),TRUE,FALSE)</f>
        <v>0</v>
      </c>
      <c r="E8548" s="2" t="str">
        <f>IF(Table1[[#This Row],[Is Data Valid]]=TRUE,IF(Table1[[#This Row],[Fetal Sex (Male, Female or Unknown)]]="Male",Backend!$C$6,IF(Table1[[#This Row],[Fetal Sex (Male, Female or Unknown)]]="Female",Backend!$C$7,IF(Table1[[#This Row],[Fetal Sex (Male, Female or Unknown)]]="Unknown",Backend!$C$8,"Error"))),"")</f>
        <v/>
      </c>
      <c r="F8548" s="8" t="str">
        <f>IF(Table1[[#This Row],[Is Data Valid]]=TRUE,EXP(0.578+0.332*((Table1[[#This Row],[Gestation (days)]]+0.5)/7)-0.00354*((Table1[[#This Row],[Gestation (days)]]+0.5)/7)^2)*Table1[[#This Row],[BW40_3705]],"")</f>
        <v/>
      </c>
      <c r="G8548" s="2" t="str">
        <f>IF(Table1[[#This Row],[Is Data Valid]]=TRUE,((Table1[[#This Row],[Birthweight (grams)]]/Table1[[#This Row],[BW_GA]])-1)/(Backend!$B$4/100*Table1[[#This Row],[BW40_3705]]),"")</f>
        <v/>
      </c>
      <c r="H8548" s="7" t="str">
        <f>IF(Table1[[#This Row],[Is Data Valid]]=TRUE,((Table1[[#This Row],[Birthweight (grams)]]*0.9/Table1[[#This Row],[BW_GA]])-1)/(Backend!$B$4/100*Table1[[#This Row],[BW40_3705]]),"")</f>
        <v/>
      </c>
      <c r="I8548" s="7" t="str">
        <f>IF(Table1[[#This Row],[Is Data Valid]]=TRUE,((Table1[[#This Row],[Birthweight (grams)]]*1.1/Table1[[#This Row],[BW_GA]])-1)/(Backend!$B$4/100*Table1[[#This Row],[BW40_3705]]),"")</f>
        <v/>
      </c>
      <c r="J8548" s="7" t="str">
        <f>IF(Table1[[#This Row],[Is Data Valid]]=TRUE,_xlfn.NORM.S.DIST(Table1[[#This Row],[Birthweight Z-Score]],TRUE)*100,"")</f>
        <v/>
      </c>
      <c r="K8548" s="7" t="str">
        <f>IF(Table1[[#This Row],[Is Data Valid]]=TRUE,_xlfn.NORM.S.DIST(Table1[[#This Row],[Birthweight Z-Score (BW-10%)]],TRUE)*100,"")</f>
        <v/>
      </c>
      <c r="L8548" s="7" t="str">
        <f>IF(Table1[[#This Row],[Is Data Valid]]=TRUE,_xlfn.NORM.S.DIST(Table1[[#This Row],[Birthweight Z-Score (BW+10%)]],TRUE)*100,"")</f>
        <v/>
      </c>
    </row>
    <row r="8549" spans="1:12" x14ac:dyDescent="0.35">
      <c r="A8549" s="3"/>
      <c r="B8549" s="2"/>
      <c r="C8549" s="2"/>
      <c r="D8549" s="2" t="b">
        <f>IF(AND(NOT(ISBLANK(Table1[[#This Row],[Fetal Sex (Male, Female or Unknown)]])),ISNUMBER(Table1[[#This Row],[Birthweight (grams)]]),ISNUMBER(Table1[[#This Row],[Gestation (days)]])),TRUE,FALSE)</f>
        <v>0</v>
      </c>
      <c r="E8549" s="2" t="str">
        <f>IF(Table1[[#This Row],[Is Data Valid]]=TRUE,IF(Table1[[#This Row],[Fetal Sex (Male, Female or Unknown)]]="Male",Backend!$C$6,IF(Table1[[#This Row],[Fetal Sex (Male, Female or Unknown)]]="Female",Backend!$C$7,IF(Table1[[#This Row],[Fetal Sex (Male, Female or Unknown)]]="Unknown",Backend!$C$8,"Error"))),"")</f>
        <v/>
      </c>
      <c r="F8549" s="8" t="str">
        <f>IF(Table1[[#This Row],[Is Data Valid]]=TRUE,EXP(0.578+0.332*((Table1[[#This Row],[Gestation (days)]]+0.5)/7)-0.00354*((Table1[[#This Row],[Gestation (days)]]+0.5)/7)^2)*Table1[[#This Row],[BW40_3705]],"")</f>
        <v/>
      </c>
      <c r="G8549" s="2" t="str">
        <f>IF(Table1[[#This Row],[Is Data Valid]]=TRUE,((Table1[[#This Row],[Birthweight (grams)]]/Table1[[#This Row],[BW_GA]])-1)/(Backend!$B$4/100*Table1[[#This Row],[BW40_3705]]),"")</f>
        <v/>
      </c>
      <c r="H8549" s="7" t="str">
        <f>IF(Table1[[#This Row],[Is Data Valid]]=TRUE,((Table1[[#This Row],[Birthweight (grams)]]*0.9/Table1[[#This Row],[BW_GA]])-1)/(Backend!$B$4/100*Table1[[#This Row],[BW40_3705]]),"")</f>
        <v/>
      </c>
      <c r="I8549" s="7" t="str">
        <f>IF(Table1[[#This Row],[Is Data Valid]]=TRUE,((Table1[[#This Row],[Birthweight (grams)]]*1.1/Table1[[#This Row],[BW_GA]])-1)/(Backend!$B$4/100*Table1[[#This Row],[BW40_3705]]),"")</f>
        <v/>
      </c>
      <c r="J8549" s="7" t="str">
        <f>IF(Table1[[#This Row],[Is Data Valid]]=TRUE,_xlfn.NORM.S.DIST(Table1[[#This Row],[Birthweight Z-Score]],TRUE)*100,"")</f>
        <v/>
      </c>
      <c r="K8549" s="7" t="str">
        <f>IF(Table1[[#This Row],[Is Data Valid]]=TRUE,_xlfn.NORM.S.DIST(Table1[[#This Row],[Birthweight Z-Score (BW-10%)]],TRUE)*100,"")</f>
        <v/>
      </c>
      <c r="L8549" s="7" t="str">
        <f>IF(Table1[[#This Row],[Is Data Valid]]=TRUE,_xlfn.NORM.S.DIST(Table1[[#This Row],[Birthweight Z-Score (BW+10%)]],TRUE)*100,"")</f>
        <v/>
      </c>
    </row>
    <row r="8550" spans="1:12" x14ac:dyDescent="0.35">
      <c r="A8550" s="3"/>
      <c r="B8550" s="2"/>
      <c r="C8550" s="2"/>
      <c r="D8550" s="2" t="b">
        <f>IF(AND(NOT(ISBLANK(Table1[[#This Row],[Fetal Sex (Male, Female or Unknown)]])),ISNUMBER(Table1[[#This Row],[Birthweight (grams)]]),ISNUMBER(Table1[[#This Row],[Gestation (days)]])),TRUE,FALSE)</f>
        <v>0</v>
      </c>
      <c r="E8550" s="2" t="str">
        <f>IF(Table1[[#This Row],[Is Data Valid]]=TRUE,IF(Table1[[#This Row],[Fetal Sex (Male, Female or Unknown)]]="Male",Backend!$C$6,IF(Table1[[#This Row],[Fetal Sex (Male, Female or Unknown)]]="Female",Backend!$C$7,IF(Table1[[#This Row],[Fetal Sex (Male, Female or Unknown)]]="Unknown",Backend!$C$8,"Error"))),"")</f>
        <v/>
      </c>
      <c r="F8550" s="8" t="str">
        <f>IF(Table1[[#This Row],[Is Data Valid]]=TRUE,EXP(0.578+0.332*((Table1[[#This Row],[Gestation (days)]]+0.5)/7)-0.00354*((Table1[[#This Row],[Gestation (days)]]+0.5)/7)^2)*Table1[[#This Row],[BW40_3705]],"")</f>
        <v/>
      </c>
      <c r="G8550" s="2" t="str">
        <f>IF(Table1[[#This Row],[Is Data Valid]]=TRUE,((Table1[[#This Row],[Birthweight (grams)]]/Table1[[#This Row],[BW_GA]])-1)/(Backend!$B$4/100*Table1[[#This Row],[BW40_3705]]),"")</f>
        <v/>
      </c>
      <c r="H8550" s="7" t="str">
        <f>IF(Table1[[#This Row],[Is Data Valid]]=TRUE,((Table1[[#This Row],[Birthweight (grams)]]*0.9/Table1[[#This Row],[BW_GA]])-1)/(Backend!$B$4/100*Table1[[#This Row],[BW40_3705]]),"")</f>
        <v/>
      </c>
      <c r="I8550" s="7" t="str">
        <f>IF(Table1[[#This Row],[Is Data Valid]]=TRUE,((Table1[[#This Row],[Birthweight (grams)]]*1.1/Table1[[#This Row],[BW_GA]])-1)/(Backend!$B$4/100*Table1[[#This Row],[BW40_3705]]),"")</f>
        <v/>
      </c>
      <c r="J8550" s="7" t="str">
        <f>IF(Table1[[#This Row],[Is Data Valid]]=TRUE,_xlfn.NORM.S.DIST(Table1[[#This Row],[Birthweight Z-Score]],TRUE)*100,"")</f>
        <v/>
      </c>
      <c r="K8550" s="7" t="str">
        <f>IF(Table1[[#This Row],[Is Data Valid]]=TRUE,_xlfn.NORM.S.DIST(Table1[[#This Row],[Birthweight Z-Score (BW-10%)]],TRUE)*100,"")</f>
        <v/>
      </c>
      <c r="L8550" s="7" t="str">
        <f>IF(Table1[[#This Row],[Is Data Valid]]=TRUE,_xlfn.NORM.S.DIST(Table1[[#This Row],[Birthweight Z-Score (BW+10%)]],TRUE)*100,"")</f>
        <v/>
      </c>
    </row>
    <row r="8551" spans="1:12" x14ac:dyDescent="0.35">
      <c r="A8551" s="3"/>
      <c r="B8551" s="2"/>
      <c r="C8551" s="2"/>
      <c r="D8551" s="2" t="b">
        <f>IF(AND(NOT(ISBLANK(Table1[[#This Row],[Fetal Sex (Male, Female or Unknown)]])),ISNUMBER(Table1[[#This Row],[Birthweight (grams)]]),ISNUMBER(Table1[[#This Row],[Gestation (days)]])),TRUE,FALSE)</f>
        <v>0</v>
      </c>
      <c r="E8551" s="2" t="str">
        <f>IF(Table1[[#This Row],[Is Data Valid]]=TRUE,IF(Table1[[#This Row],[Fetal Sex (Male, Female or Unknown)]]="Male",Backend!$C$6,IF(Table1[[#This Row],[Fetal Sex (Male, Female or Unknown)]]="Female",Backend!$C$7,IF(Table1[[#This Row],[Fetal Sex (Male, Female or Unknown)]]="Unknown",Backend!$C$8,"Error"))),"")</f>
        <v/>
      </c>
      <c r="F8551" s="8" t="str">
        <f>IF(Table1[[#This Row],[Is Data Valid]]=TRUE,EXP(0.578+0.332*((Table1[[#This Row],[Gestation (days)]]+0.5)/7)-0.00354*((Table1[[#This Row],[Gestation (days)]]+0.5)/7)^2)*Table1[[#This Row],[BW40_3705]],"")</f>
        <v/>
      </c>
      <c r="G8551" s="2" t="str">
        <f>IF(Table1[[#This Row],[Is Data Valid]]=TRUE,((Table1[[#This Row],[Birthweight (grams)]]/Table1[[#This Row],[BW_GA]])-1)/(Backend!$B$4/100*Table1[[#This Row],[BW40_3705]]),"")</f>
        <v/>
      </c>
      <c r="H8551" s="7" t="str">
        <f>IF(Table1[[#This Row],[Is Data Valid]]=TRUE,((Table1[[#This Row],[Birthweight (grams)]]*0.9/Table1[[#This Row],[BW_GA]])-1)/(Backend!$B$4/100*Table1[[#This Row],[BW40_3705]]),"")</f>
        <v/>
      </c>
      <c r="I8551" s="7" t="str">
        <f>IF(Table1[[#This Row],[Is Data Valid]]=TRUE,((Table1[[#This Row],[Birthweight (grams)]]*1.1/Table1[[#This Row],[BW_GA]])-1)/(Backend!$B$4/100*Table1[[#This Row],[BW40_3705]]),"")</f>
        <v/>
      </c>
      <c r="J8551" s="7" t="str">
        <f>IF(Table1[[#This Row],[Is Data Valid]]=TRUE,_xlfn.NORM.S.DIST(Table1[[#This Row],[Birthweight Z-Score]],TRUE)*100,"")</f>
        <v/>
      </c>
      <c r="K8551" s="7" t="str">
        <f>IF(Table1[[#This Row],[Is Data Valid]]=TRUE,_xlfn.NORM.S.DIST(Table1[[#This Row],[Birthweight Z-Score (BW-10%)]],TRUE)*100,"")</f>
        <v/>
      </c>
      <c r="L8551" s="7" t="str">
        <f>IF(Table1[[#This Row],[Is Data Valid]]=TRUE,_xlfn.NORM.S.DIST(Table1[[#This Row],[Birthweight Z-Score (BW+10%)]],TRUE)*100,"")</f>
        <v/>
      </c>
    </row>
    <row r="8552" spans="1:12" x14ac:dyDescent="0.35">
      <c r="A8552" s="3"/>
      <c r="B8552" s="2"/>
      <c r="C8552" s="2"/>
      <c r="D8552" s="2" t="b">
        <f>IF(AND(NOT(ISBLANK(Table1[[#This Row],[Fetal Sex (Male, Female or Unknown)]])),ISNUMBER(Table1[[#This Row],[Birthweight (grams)]]),ISNUMBER(Table1[[#This Row],[Gestation (days)]])),TRUE,FALSE)</f>
        <v>0</v>
      </c>
      <c r="E8552" s="2" t="str">
        <f>IF(Table1[[#This Row],[Is Data Valid]]=TRUE,IF(Table1[[#This Row],[Fetal Sex (Male, Female or Unknown)]]="Male",Backend!$C$6,IF(Table1[[#This Row],[Fetal Sex (Male, Female or Unknown)]]="Female",Backend!$C$7,IF(Table1[[#This Row],[Fetal Sex (Male, Female or Unknown)]]="Unknown",Backend!$C$8,"Error"))),"")</f>
        <v/>
      </c>
      <c r="F8552" s="8" t="str">
        <f>IF(Table1[[#This Row],[Is Data Valid]]=TRUE,EXP(0.578+0.332*((Table1[[#This Row],[Gestation (days)]]+0.5)/7)-0.00354*((Table1[[#This Row],[Gestation (days)]]+0.5)/7)^2)*Table1[[#This Row],[BW40_3705]],"")</f>
        <v/>
      </c>
      <c r="G8552" s="2" t="str">
        <f>IF(Table1[[#This Row],[Is Data Valid]]=TRUE,((Table1[[#This Row],[Birthweight (grams)]]/Table1[[#This Row],[BW_GA]])-1)/(Backend!$B$4/100*Table1[[#This Row],[BW40_3705]]),"")</f>
        <v/>
      </c>
      <c r="H8552" s="7" t="str">
        <f>IF(Table1[[#This Row],[Is Data Valid]]=TRUE,((Table1[[#This Row],[Birthweight (grams)]]*0.9/Table1[[#This Row],[BW_GA]])-1)/(Backend!$B$4/100*Table1[[#This Row],[BW40_3705]]),"")</f>
        <v/>
      </c>
      <c r="I8552" s="7" t="str">
        <f>IF(Table1[[#This Row],[Is Data Valid]]=TRUE,((Table1[[#This Row],[Birthweight (grams)]]*1.1/Table1[[#This Row],[BW_GA]])-1)/(Backend!$B$4/100*Table1[[#This Row],[BW40_3705]]),"")</f>
        <v/>
      </c>
      <c r="J8552" s="7" t="str">
        <f>IF(Table1[[#This Row],[Is Data Valid]]=TRUE,_xlfn.NORM.S.DIST(Table1[[#This Row],[Birthweight Z-Score]],TRUE)*100,"")</f>
        <v/>
      </c>
      <c r="K8552" s="7" t="str">
        <f>IF(Table1[[#This Row],[Is Data Valid]]=TRUE,_xlfn.NORM.S.DIST(Table1[[#This Row],[Birthweight Z-Score (BW-10%)]],TRUE)*100,"")</f>
        <v/>
      </c>
      <c r="L8552" s="7" t="str">
        <f>IF(Table1[[#This Row],[Is Data Valid]]=TRUE,_xlfn.NORM.S.DIST(Table1[[#This Row],[Birthweight Z-Score (BW+10%)]],TRUE)*100,"")</f>
        <v/>
      </c>
    </row>
    <row r="8553" spans="1:12" x14ac:dyDescent="0.35">
      <c r="A8553" s="3"/>
      <c r="B8553" s="2"/>
      <c r="C8553" s="2"/>
      <c r="D8553" s="2" t="b">
        <f>IF(AND(NOT(ISBLANK(Table1[[#This Row],[Fetal Sex (Male, Female or Unknown)]])),ISNUMBER(Table1[[#This Row],[Birthweight (grams)]]),ISNUMBER(Table1[[#This Row],[Gestation (days)]])),TRUE,FALSE)</f>
        <v>0</v>
      </c>
      <c r="E8553" s="2" t="str">
        <f>IF(Table1[[#This Row],[Is Data Valid]]=TRUE,IF(Table1[[#This Row],[Fetal Sex (Male, Female or Unknown)]]="Male",Backend!$C$6,IF(Table1[[#This Row],[Fetal Sex (Male, Female or Unknown)]]="Female",Backend!$C$7,IF(Table1[[#This Row],[Fetal Sex (Male, Female or Unknown)]]="Unknown",Backend!$C$8,"Error"))),"")</f>
        <v/>
      </c>
      <c r="F8553" s="8" t="str">
        <f>IF(Table1[[#This Row],[Is Data Valid]]=TRUE,EXP(0.578+0.332*((Table1[[#This Row],[Gestation (days)]]+0.5)/7)-0.00354*((Table1[[#This Row],[Gestation (days)]]+0.5)/7)^2)*Table1[[#This Row],[BW40_3705]],"")</f>
        <v/>
      </c>
      <c r="G8553" s="2" t="str">
        <f>IF(Table1[[#This Row],[Is Data Valid]]=TRUE,((Table1[[#This Row],[Birthweight (grams)]]/Table1[[#This Row],[BW_GA]])-1)/(Backend!$B$4/100*Table1[[#This Row],[BW40_3705]]),"")</f>
        <v/>
      </c>
      <c r="H8553" s="7" t="str">
        <f>IF(Table1[[#This Row],[Is Data Valid]]=TRUE,((Table1[[#This Row],[Birthweight (grams)]]*0.9/Table1[[#This Row],[BW_GA]])-1)/(Backend!$B$4/100*Table1[[#This Row],[BW40_3705]]),"")</f>
        <v/>
      </c>
      <c r="I8553" s="7" t="str">
        <f>IF(Table1[[#This Row],[Is Data Valid]]=TRUE,((Table1[[#This Row],[Birthweight (grams)]]*1.1/Table1[[#This Row],[BW_GA]])-1)/(Backend!$B$4/100*Table1[[#This Row],[BW40_3705]]),"")</f>
        <v/>
      </c>
      <c r="J8553" s="7" t="str">
        <f>IF(Table1[[#This Row],[Is Data Valid]]=TRUE,_xlfn.NORM.S.DIST(Table1[[#This Row],[Birthweight Z-Score]],TRUE)*100,"")</f>
        <v/>
      </c>
      <c r="K8553" s="7" t="str">
        <f>IF(Table1[[#This Row],[Is Data Valid]]=TRUE,_xlfn.NORM.S.DIST(Table1[[#This Row],[Birthweight Z-Score (BW-10%)]],TRUE)*100,"")</f>
        <v/>
      </c>
      <c r="L8553" s="7" t="str">
        <f>IF(Table1[[#This Row],[Is Data Valid]]=TRUE,_xlfn.NORM.S.DIST(Table1[[#This Row],[Birthweight Z-Score (BW+10%)]],TRUE)*100,"")</f>
        <v/>
      </c>
    </row>
    <row r="8554" spans="1:12" x14ac:dyDescent="0.35">
      <c r="A8554" s="3"/>
      <c r="B8554" s="2"/>
      <c r="C8554" s="2"/>
      <c r="D8554" s="2" t="b">
        <f>IF(AND(NOT(ISBLANK(Table1[[#This Row],[Fetal Sex (Male, Female or Unknown)]])),ISNUMBER(Table1[[#This Row],[Birthweight (grams)]]),ISNUMBER(Table1[[#This Row],[Gestation (days)]])),TRUE,FALSE)</f>
        <v>0</v>
      </c>
      <c r="E8554" s="2" t="str">
        <f>IF(Table1[[#This Row],[Is Data Valid]]=TRUE,IF(Table1[[#This Row],[Fetal Sex (Male, Female or Unknown)]]="Male",Backend!$C$6,IF(Table1[[#This Row],[Fetal Sex (Male, Female or Unknown)]]="Female",Backend!$C$7,IF(Table1[[#This Row],[Fetal Sex (Male, Female or Unknown)]]="Unknown",Backend!$C$8,"Error"))),"")</f>
        <v/>
      </c>
      <c r="F8554" s="8" t="str">
        <f>IF(Table1[[#This Row],[Is Data Valid]]=TRUE,EXP(0.578+0.332*((Table1[[#This Row],[Gestation (days)]]+0.5)/7)-0.00354*((Table1[[#This Row],[Gestation (days)]]+0.5)/7)^2)*Table1[[#This Row],[BW40_3705]],"")</f>
        <v/>
      </c>
      <c r="G8554" s="2" t="str">
        <f>IF(Table1[[#This Row],[Is Data Valid]]=TRUE,((Table1[[#This Row],[Birthweight (grams)]]/Table1[[#This Row],[BW_GA]])-1)/(Backend!$B$4/100*Table1[[#This Row],[BW40_3705]]),"")</f>
        <v/>
      </c>
      <c r="H8554" s="7" t="str">
        <f>IF(Table1[[#This Row],[Is Data Valid]]=TRUE,((Table1[[#This Row],[Birthweight (grams)]]*0.9/Table1[[#This Row],[BW_GA]])-1)/(Backend!$B$4/100*Table1[[#This Row],[BW40_3705]]),"")</f>
        <v/>
      </c>
      <c r="I8554" s="7" t="str">
        <f>IF(Table1[[#This Row],[Is Data Valid]]=TRUE,((Table1[[#This Row],[Birthweight (grams)]]*1.1/Table1[[#This Row],[BW_GA]])-1)/(Backend!$B$4/100*Table1[[#This Row],[BW40_3705]]),"")</f>
        <v/>
      </c>
      <c r="J8554" s="7" t="str">
        <f>IF(Table1[[#This Row],[Is Data Valid]]=TRUE,_xlfn.NORM.S.DIST(Table1[[#This Row],[Birthweight Z-Score]],TRUE)*100,"")</f>
        <v/>
      </c>
      <c r="K8554" s="7" t="str">
        <f>IF(Table1[[#This Row],[Is Data Valid]]=TRUE,_xlfn.NORM.S.DIST(Table1[[#This Row],[Birthweight Z-Score (BW-10%)]],TRUE)*100,"")</f>
        <v/>
      </c>
      <c r="L8554" s="7" t="str">
        <f>IF(Table1[[#This Row],[Is Data Valid]]=TRUE,_xlfn.NORM.S.DIST(Table1[[#This Row],[Birthweight Z-Score (BW+10%)]],TRUE)*100,"")</f>
        <v/>
      </c>
    </row>
    <row r="8555" spans="1:12" x14ac:dyDescent="0.35">
      <c r="A8555" s="3"/>
      <c r="B8555" s="2"/>
      <c r="C8555" s="2"/>
      <c r="D8555" s="2" t="b">
        <f>IF(AND(NOT(ISBLANK(Table1[[#This Row],[Fetal Sex (Male, Female or Unknown)]])),ISNUMBER(Table1[[#This Row],[Birthweight (grams)]]),ISNUMBER(Table1[[#This Row],[Gestation (days)]])),TRUE,FALSE)</f>
        <v>0</v>
      </c>
      <c r="E8555" s="2" t="str">
        <f>IF(Table1[[#This Row],[Is Data Valid]]=TRUE,IF(Table1[[#This Row],[Fetal Sex (Male, Female or Unknown)]]="Male",Backend!$C$6,IF(Table1[[#This Row],[Fetal Sex (Male, Female or Unknown)]]="Female",Backend!$C$7,IF(Table1[[#This Row],[Fetal Sex (Male, Female or Unknown)]]="Unknown",Backend!$C$8,"Error"))),"")</f>
        <v/>
      </c>
      <c r="F8555" s="8" t="str">
        <f>IF(Table1[[#This Row],[Is Data Valid]]=TRUE,EXP(0.578+0.332*((Table1[[#This Row],[Gestation (days)]]+0.5)/7)-0.00354*((Table1[[#This Row],[Gestation (days)]]+0.5)/7)^2)*Table1[[#This Row],[BW40_3705]],"")</f>
        <v/>
      </c>
      <c r="G8555" s="2" t="str">
        <f>IF(Table1[[#This Row],[Is Data Valid]]=TRUE,((Table1[[#This Row],[Birthweight (grams)]]/Table1[[#This Row],[BW_GA]])-1)/(Backend!$B$4/100*Table1[[#This Row],[BW40_3705]]),"")</f>
        <v/>
      </c>
      <c r="H8555" s="7" t="str">
        <f>IF(Table1[[#This Row],[Is Data Valid]]=TRUE,((Table1[[#This Row],[Birthweight (grams)]]*0.9/Table1[[#This Row],[BW_GA]])-1)/(Backend!$B$4/100*Table1[[#This Row],[BW40_3705]]),"")</f>
        <v/>
      </c>
      <c r="I8555" s="7" t="str">
        <f>IF(Table1[[#This Row],[Is Data Valid]]=TRUE,((Table1[[#This Row],[Birthweight (grams)]]*1.1/Table1[[#This Row],[BW_GA]])-1)/(Backend!$B$4/100*Table1[[#This Row],[BW40_3705]]),"")</f>
        <v/>
      </c>
      <c r="J8555" s="7" t="str">
        <f>IF(Table1[[#This Row],[Is Data Valid]]=TRUE,_xlfn.NORM.S.DIST(Table1[[#This Row],[Birthweight Z-Score]],TRUE)*100,"")</f>
        <v/>
      </c>
      <c r="K8555" s="7" t="str">
        <f>IF(Table1[[#This Row],[Is Data Valid]]=TRUE,_xlfn.NORM.S.DIST(Table1[[#This Row],[Birthweight Z-Score (BW-10%)]],TRUE)*100,"")</f>
        <v/>
      </c>
      <c r="L8555" s="7" t="str">
        <f>IF(Table1[[#This Row],[Is Data Valid]]=TRUE,_xlfn.NORM.S.DIST(Table1[[#This Row],[Birthweight Z-Score (BW+10%)]],TRUE)*100,"")</f>
        <v/>
      </c>
    </row>
    <row r="8556" spans="1:12" x14ac:dyDescent="0.35">
      <c r="A8556" s="3"/>
      <c r="B8556" s="2"/>
      <c r="C8556" s="2"/>
      <c r="D8556" s="2" t="b">
        <f>IF(AND(NOT(ISBLANK(Table1[[#This Row],[Fetal Sex (Male, Female or Unknown)]])),ISNUMBER(Table1[[#This Row],[Birthweight (grams)]]),ISNUMBER(Table1[[#This Row],[Gestation (days)]])),TRUE,FALSE)</f>
        <v>0</v>
      </c>
      <c r="E8556" s="2" t="str">
        <f>IF(Table1[[#This Row],[Is Data Valid]]=TRUE,IF(Table1[[#This Row],[Fetal Sex (Male, Female or Unknown)]]="Male",Backend!$C$6,IF(Table1[[#This Row],[Fetal Sex (Male, Female or Unknown)]]="Female",Backend!$C$7,IF(Table1[[#This Row],[Fetal Sex (Male, Female or Unknown)]]="Unknown",Backend!$C$8,"Error"))),"")</f>
        <v/>
      </c>
      <c r="F8556" s="8" t="str">
        <f>IF(Table1[[#This Row],[Is Data Valid]]=TRUE,EXP(0.578+0.332*((Table1[[#This Row],[Gestation (days)]]+0.5)/7)-0.00354*((Table1[[#This Row],[Gestation (days)]]+0.5)/7)^2)*Table1[[#This Row],[BW40_3705]],"")</f>
        <v/>
      </c>
      <c r="G8556" s="2" t="str">
        <f>IF(Table1[[#This Row],[Is Data Valid]]=TRUE,((Table1[[#This Row],[Birthweight (grams)]]/Table1[[#This Row],[BW_GA]])-1)/(Backend!$B$4/100*Table1[[#This Row],[BW40_3705]]),"")</f>
        <v/>
      </c>
      <c r="H8556" s="7" t="str">
        <f>IF(Table1[[#This Row],[Is Data Valid]]=TRUE,((Table1[[#This Row],[Birthweight (grams)]]*0.9/Table1[[#This Row],[BW_GA]])-1)/(Backend!$B$4/100*Table1[[#This Row],[BW40_3705]]),"")</f>
        <v/>
      </c>
      <c r="I8556" s="7" t="str">
        <f>IF(Table1[[#This Row],[Is Data Valid]]=TRUE,((Table1[[#This Row],[Birthweight (grams)]]*1.1/Table1[[#This Row],[BW_GA]])-1)/(Backend!$B$4/100*Table1[[#This Row],[BW40_3705]]),"")</f>
        <v/>
      </c>
      <c r="J8556" s="7" t="str">
        <f>IF(Table1[[#This Row],[Is Data Valid]]=TRUE,_xlfn.NORM.S.DIST(Table1[[#This Row],[Birthweight Z-Score]],TRUE)*100,"")</f>
        <v/>
      </c>
      <c r="K8556" s="7" t="str">
        <f>IF(Table1[[#This Row],[Is Data Valid]]=TRUE,_xlfn.NORM.S.DIST(Table1[[#This Row],[Birthweight Z-Score (BW-10%)]],TRUE)*100,"")</f>
        <v/>
      </c>
      <c r="L8556" s="7" t="str">
        <f>IF(Table1[[#This Row],[Is Data Valid]]=TRUE,_xlfn.NORM.S.DIST(Table1[[#This Row],[Birthweight Z-Score (BW+10%)]],TRUE)*100,"")</f>
        <v/>
      </c>
    </row>
    <row r="8557" spans="1:12" x14ac:dyDescent="0.35">
      <c r="A8557" s="3"/>
      <c r="B8557" s="2"/>
      <c r="C8557" s="2"/>
      <c r="D8557" s="2" t="b">
        <f>IF(AND(NOT(ISBLANK(Table1[[#This Row],[Fetal Sex (Male, Female or Unknown)]])),ISNUMBER(Table1[[#This Row],[Birthweight (grams)]]),ISNUMBER(Table1[[#This Row],[Gestation (days)]])),TRUE,FALSE)</f>
        <v>0</v>
      </c>
      <c r="E8557" s="2" t="str">
        <f>IF(Table1[[#This Row],[Is Data Valid]]=TRUE,IF(Table1[[#This Row],[Fetal Sex (Male, Female or Unknown)]]="Male",Backend!$C$6,IF(Table1[[#This Row],[Fetal Sex (Male, Female or Unknown)]]="Female",Backend!$C$7,IF(Table1[[#This Row],[Fetal Sex (Male, Female or Unknown)]]="Unknown",Backend!$C$8,"Error"))),"")</f>
        <v/>
      </c>
      <c r="F8557" s="8" t="str">
        <f>IF(Table1[[#This Row],[Is Data Valid]]=TRUE,EXP(0.578+0.332*((Table1[[#This Row],[Gestation (days)]]+0.5)/7)-0.00354*((Table1[[#This Row],[Gestation (days)]]+0.5)/7)^2)*Table1[[#This Row],[BW40_3705]],"")</f>
        <v/>
      </c>
      <c r="G8557" s="2" t="str">
        <f>IF(Table1[[#This Row],[Is Data Valid]]=TRUE,((Table1[[#This Row],[Birthweight (grams)]]/Table1[[#This Row],[BW_GA]])-1)/(Backend!$B$4/100*Table1[[#This Row],[BW40_3705]]),"")</f>
        <v/>
      </c>
      <c r="H8557" s="7" t="str">
        <f>IF(Table1[[#This Row],[Is Data Valid]]=TRUE,((Table1[[#This Row],[Birthweight (grams)]]*0.9/Table1[[#This Row],[BW_GA]])-1)/(Backend!$B$4/100*Table1[[#This Row],[BW40_3705]]),"")</f>
        <v/>
      </c>
      <c r="I8557" s="7" t="str">
        <f>IF(Table1[[#This Row],[Is Data Valid]]=TRUE,((Table1[[#This Row],[Birthweight (grams)]]*1.1/Table1[[#This Row],[BW_GA]])-1)/(Backend!$B$4/100*Table1[[#This Row],[BW40_3705]]),"")</f>
        <v/>
      </c>
      <c r="J8557" s="7" t="str">
        <f>IF(Table1[[#This Row],[Is Data Valid]]=TRUE,_xlfn.NORM.S.DIST(Table1[[#This Row],[Birthweight Z-Score]],TRUE)*100,"")</f>
        <v/>
      </c>
      <c r="K8557" s="7" t="str">
        <f>IF(Table1[[#This Row],[Is Data Valid]]=TRUE,_xlfn.NORM.S.DIST(Table1[[#This Row],[Birthweight Z-Score (BW-10%)]],TRUE)*100,"")</f>
        <v/>
      </c>
      <c r="L8557" s="7" t="str">
        <f>IF(Table1[[#This Row],[Is Data Valid]]=TRUE,_xlfn.NORM.S.DIST(Table1[[#This Row],[Birthweight Z-Score (BW+10%)]],TRUE)*100,"")</f>
        <v/>
      </c>
    </row>
    <row r="8558" spans="1:12" x14ac:dyDescent="0.35">
      <c r="A8558" s="3"/>
      <c r="B8558" s="2"/>
      <c r="C8558" s="2"/>
      <c r="D8558" s="2" t="b">
        <f>IF(AND(NOT(ISBLANK(Table1[[#This Row],[Fetal Sex (Male, Female or Unknown)]])),ISNUMBER(Table1[[#This Row],[Birthweight (grams)]]),ISNUMBER(Table1[[#This Row],[Gestation (days)]])),TRUE,FALSE)</f>
        <v>0</v>
      </c>
      <c r="E8558" s="2" t="str">
        <f>IF(Table1[[#This Row],[Is Data Valid]]=TRUE,IF(Table1[[#This Row],[Fetal Sex (Male, Female or Unknown)]]="Male",Backend!$C$6,IF(Table1[[#This Row],[Fetal Sex (Male, Female or Unknown)]]="Female",Backend!$C$7,IF(Table1[[#This Row],[Fetal Sex (Male, Female or Unknown)]]="Unknown",Backend!$C$8,"Error"))),"")</f>
        <v/>
      </c>
      <c r="F8558" s="8" t="str">
        <f>IF(Table1[[#This Row],[Is Data Valid]]=TRUE,EXP(0.578+0.332*((Table1[[#This Row],[Gestation (days)]]+0.5)/7)-0.00354*((Table1[[#This Row],[Gestation (days)]]+0.5)/7)^2)*Table1[[#This Row],[BW40_3705]],"")</f>
        <v/>
      </c>
      <c r="G8558" s="2" t="str">
        <f>IF(Table1[[#This Row],[Is Data Valid]]=TRUE,((Table1[[#This Row],[Birthweight (grams)]]/Table1[[#This Row],[BW_GA]])-1)/(Backend!$B$4/100*Table1[[#This Row],[BW40_3705]]),"")</f>
        <v/>
      </c>
      <c r="H8558" s="7" t="str">
        <f>IF(Table1[[#This Row],[Is Data Valid]]=TRUE,((Table1[[#This Row],[Birthweight (grams)]]*0.9/Table1[[#This Row],[BW_GA]])-1)/(Backend!$B$4/100*Table1[[#This Row],[BW40_3705]]),"")</f>
        <v/>
      </c>
      <c r="I8558" s="7" t="str">
        <f>IF(Table1[[#This Row],[Is Data Valid]]=TRUE,((Table1[[#This Row],[Birthweight (grams)]]*1.1/Table1[[#This Row],[BW_GA]])-1)/(Backend!$B$4/100*Table1[[#This Row],[BW40_3705]]),"")</f>
        <v/>
      </c>
      <c r="J8558" s="7" t="str">
        <f>IF(Table1[[#This Row],[Is Data Valid]]=TRUE,_xlfn.NORM.S.DIST(Table1[[#This Row],[Birthweight Z-Score]],TRUE)*100,"")</f>
        <v/>
      </c>
      <c r="K8558" s="7" t="str">
        <f>IF(Table1[[#This Row],[Is Data Valid]]=TRUE,_xlfn.NORM.S.DIST(Table1[[#This Row],[Birthweight Z-Score (BW-10%)]],TRUE)*100,"")</f>
        <v/>
      </c>
      <c r="L8558" s="7" t="str">
        <f>IF(Table1[[#This Row],[Is Data Valid]]=TRUE,_xlfn.NORM.S.DIST(Table1[[#This Row],[Birthweight Z-Score (BW+10%)]],TRUE)*100,"")</f>
        <v/>
      </c>
    </row>
    <row r="8559" spans="1:12" x14ac:dyDescent="0.35">
      <c r="A8559" s="3"/>
      <c r="B8559" s="2"/>
      <c r="C8559" s="2"/>
      <c r="D8559" s="2" t="b">
        <f>IF(AND(NOT(ISBLANK(Table1[[#This Row],[Fetal Sex (Male, Female or Unknown)]])),ISNUMBER(Table1[[#This Row],[Birthweight (grams)]]),ISNUMBER(Table1[[#This Row],[Gestation (days)]])),TRUE,FALSE)</f>
        <v>0</v>
      </c>
      <c r="E8559" s="2" t="str">
        <f>IF(Table1[[#This Row],[Is Data Valid]]=TRUE,IF(Table1[[#This Row],[Fetal Sex (Male, Female or Unknown)]]="Male",Backend!$C$6,IF(Table1[[#This Row],[Fetal Sex (Male, Female or Unknown)]]="Female",Backend!$C$7,IF(Table1[[#This Row],[Fetal Sex (Male, Female or Unknown)]]="Unknown",Backend!$C$8,"Error"))),"")</f>
        <v/>
      </c>
      <c r="F8559" s="8" t="str">
        <f>IF(Table1[[#This Row],[Is Data Valid]]=TRUE,EXP(0.578+0.332*((Table1[[#This Row],[Gestation (days)]]+0.5)/7)-0.00354*((Table1[[#This Row],[Gestation (days)]]+0.5)/7)^2)*Table1[[#This Row],[BW40_3705]],"")</f>
        <v/>
      </c>
      <c r="G8559" s="2" t="str">
        <f>IF(Table1[[#This Row],[Is Data Valid]]=TRUE,((Table1[[#This Row],[Birthweight (grams)]]/Table1[[#This Row],[BW_GA]])-1)/(Backend!$B$4/100*Table1[[#This Row],[BW40_3705]]),"")</f>
        <v/>
      </c>
      <c r="H8559" s="7" t="str">
        <f>IF(Table1[[#This Row],[Is Data Valid]]=TRUE,((Table1[[#This Row],[Birthweight (grams)]]*0.9/Table1[[#This Row],[BW_GA]])-1)/(Backend!$B$4/100*Table1[[#This Row],[BW40_3705]]),"")</f>
        <v/>
      </c>
      <c r="I8559" s="7" t="str">
        <f>IF(Table1[[#This Row],[Is Data Valid]]=TRUE,((Table1[[#This Row],[Birthweight (grams)]]*1.1/Table1[[#This Row],[BW_GA]])-1)/(Backend!$B$4/100*Table1[[#This Row],[BW40_3705]]),"")</f>
        <v/>
      </c>
      <c r="J8559" s="7" t="str">
        <f>IF(Table1[[#This Row],[Is Data Valid]]=TRUE,_xlfn.NORM.S.DIST(Table1[[#This Row],[Birthweight Z-Score]],TRUE)*100,"")</f>
        <v/>
      </c>
      <c r="K8559" s="7" t="str">
        <f>IF(Table1[[#This Row],[Is Data Valid]]=TRUE,_xlfn.NORM.S.DIST(Table1[[#This Row],[Birthweight Z-Score (BW-10%)]],TRUE)*100,"")</f>
        <v/>
      </c>
      <c r="L8559" s="7" t="str">
        <f>IF(Table1[[#This Row],[Is Data Valid]]=TRUE,_xlfn.NORM.S.DIST(Table1[[#This Row],[Birthweight Z-Score (BW+10%)]],TRUE)*100,"")</f>
        <v/>
      </c>
    </row>
    <row r="8560" spans="1:12" x14ac:dyDescent="0.35">
      <c r="A8560" s="3"/>
      <c r="B8560" s="2"/>
      <c r="C8560" s="2"/>
      <c r="D8560" s="2" t="b">
        <f>IF(AND(NOT(ISBLANK(Table1[[#This Row],[Fetal Sex (Male, Female or Unknown)]])),ISNUMBER(Table1[[#This Row],[Birthweight (grams)]]),ISNUMBER(Table1[[#This Row],[Gestation (days)]])),TRUE,FALSE)</f>
        <v>0</v>
      </c>
      <c r="E8560" s="2" t="str">
        <f>IF(Table1[[#This Row],[Is Data Valid]]=TRUE,IF(Table1[[#This Row],[Fetal Sex (Male, Female or Unknown)]]="Male",Backend!$C$6,IF(Table1[[#This Row],[Fetal Sex (Male, Female or Unknown)]]="Female",Backend!$C$7,IF(Table1[[#This Row],[Fetal Sex (Male, Female or Unknown)]]="Unknown",Backend!$C$8,"Error"))),"")</f>
        <v/>
      </c>
      <c r="F8560" s="8" t="str">
        <f>IF(Table1[[#This Row],[Is Data Valid]]=TRUE,EXP(0.578+0.332*((Table1[[#This Row],[Gestation (days)]]+0.5)/7)-0.00354*((Table1[[#This Row],[Gestation (days)]]+0.5)/7)^2)*Table1[[#This Row],[BW40_3705]],"")</f>
        <v/>
      </c>
      <c r="G8560" s="2" t="str">
        <f>IF(Table1[[#This Row],[Is Data Valid]]=TRUE,((Table1[[#This Row],[Birthweight (grams)]]/Table1[[#This Row],[BW_GA]])-1)/(Backend!$B$4/100*Table1[[#This Row],[BW40_3705]]),"")</f>
        <v/>
      </c>
      <c r="H8560" s="7" t="str">
        <f>IF(Table1[[#This Row],[Is Data Valid]]=TRUE,((Table1[[#This Row],[Birthweight (grams)]]*0.9/Table1[[#This Row],[BW_GA]])-1)/(Backend!$B$4/100*Table1[[#This Row],[BW40_3705]]),"")</f>
        <v/>
      </c>
      <c r="I8560" s="7" t="str">
        <f>IF(Table1[[#This Row],[Is Data Valid]]=TRUE,((Table1[[#This Row],[Birthweight (grams)]]*1.1/Table1[[#This Row],[BW_GA]])-1)/(Backend!$B$4/100*Table1[[#This Row],[BW40_3705]]),"")</f>
        <v/>
      </c>
      <c r="J8560" s="7" t="str">
        <f>IF(Table1[[#This Row],[Is Data Valid]]=TRUE,_xlfn.NORM.S.DIST(Table1[[#This Row],[Birthweight Z-Score]],TRUE)*100,"")</f>
        <v/>
      </c>
      <c r="K8560" s="7" t="str">
        <f>IF(Table1[[#This Row],[Is Data Valid]]=TRUE,_xlfn.NORM.S.DIST(Table1[[#This Row],[Birthweight Z-Score (BW-10%)]],TRUE)*100,"")</f>
        <v/>
      </c>
      <c r="L8560" s="7" t="str">
        <f>IF(Table1[[#This Row],[Is Data Valid]]=TRUE,_xlfn.NORM.S.DIST(Table1[[#This Row],[Birthweight Z-Score (BW+10%)]],TRUE)*100,"")</f>
        <v/>
      </c>
    </row>
    <row r="8561" spans="1:12" x14ac:dyDescent="0.35">
      <c r="A8561" s="3"/>
      <c r="B8561" s="2"/>
      <c r="C8561" s="2"/>
      <c r="D8561" s="2" t="b">
        <f>IF(AND(NOT(ISBLANK(Table1[[#This Row],[Fetal Sex (Male, Female or Unknown)]])),ISNUMBER(Table1[[#This Row],[Birthweight (grams)]]),ISNUMBER(Table1[[#This Row],[Gestation (days)]])),TRUE,FALSE)</f>
        <v>0</v>
      </c>
      <c r="E8561" s="2" t="str">
        <f>IF(Table1[[#This Row],[Is Data Valid]]=TRUE,IF(Table1[[#This Row],[Fetal Sex (Male, Female or Unknown)]]="Male",Backend!$C$6,IF(Table1[[#This Row],[Fetal Sex (Male, Female or Unknown)]]="Female",Backend!$C$7,IF(Table1[[#This Row],[Fetal Sex (Male, Female or Unknown)]]="Unknown",Backend!$C$8,"Error"))),"")</f>
        <v/>
      </c>
      <c r="F8561" s="8" t="str">
        <f>IF(Table1[[#This Row],[Is Data Valid]]=TRUE,EXP(0.578+0.332*((Table1[[#This Row],[Gestation (days)]]+0.5)/7)-0.00354*((Table1[[#This Row],[Gestation (days)]]+0.5)/7)^2)*Table1[[#This Row],[BW40_3705]],"")</f>
        <v/>
      </c>
      <c r="G8561" s="2" t="str">
        <f>IF(Table1[[#This Row],[Is Data Valid]]=TRUE,((Table1[[#This Row],[Birthweight (grams)]]/Table1[[#This Row],[BW_GA]])-1)/(Backend!$B$4/100*Table1[[#This Row],[BW40_3705]]),"")</f>
        <v/>
      </c>
      <c r="H8561" s="7" t="str">
        <f>IF(Table1[[#This Row],[Is Data Valid]]=TRUE,((Table1[[#This Row],[Birthweight (grams)]]*0.9/Table1[[#This Row],[BW_GA]])-1)/(Backend!$B$4/100*Table1[[#This Row],[BW40_3705]]),"")</f>
        <v/>
      </c>
      <c r="I8561" s="7" t="str">
        <f>IF(Table1[[#This Row],[Is Data Valid]]=TRUE,((Table1[[#This Row],[Birthweight (grams)]]*1.1/Table1[[#This Row],[BW_GA]])-1)/(Backend!$B$4/100*Table1[[#This Row],[BW40_3705]]),"")</f>
        <v/>
      </c>
      <c r="J8561" s="7" t="str">
        <f>IF(Table1[[#This Row],[Is Data Valid]]=TRUE,_xlfn.NORM.S.DIST(Table1[[#This Row],[Birthweight Z-Score]],TRUE)*100,"")</f>
        <v/>
      </c>
      <c r="K8561" s="7" t="str">
        <f>IF(Table1[[#This Row],[Is Data Valid]]=TRUE,_xlfn.NORM.S.DIST(Table1[[#This Row],[Birthweight Z-Score (BW-10%)]],TRUE)*100,"")</f>
        <v/>
      </c>
      <c r="L8561" s="7" t="str">
        <f>IF(Table1[[#This Row],[Is Data Valid]]=TRUE,_xlfn.NORM.S.DIST(Table1[[#This Row],[Birthweight Z-Score (BW+10%)]],TRUE)*100,"")</f>
        <v/>
      </c>
    </row>
    <row r="8562" spans="1:12" x14ac:dyDescent="0.35">
      <c r="A8562" s="3"/>
      <c r="B8562" s="2"/>
      <c r="C8562" s="2"/>
      <c r="D8562" s="2" t="b">
        <f>IF(AND(NOT(ISBLANK(Table1[[#This Row],[Fetal Sex (Male, Female or Unknown)]])),ISNUMBER(Table1[[#This Row],[Birthweight (grams)]]),ISNUMBER(Table1[[#This Row],[Gestation (days)]])),TRUE,FALSE)</f>
        <v>0</v>
      </c>
      <c r="E8562" s="2" t="str">
        <f>IF(Table1[[#This Row],[Is Data Valid]]=TRUE,IF(Table1[[#This Row],[Fetal Sex (Male, Female or Unknown)]]="Male",Backend!$C$6,IF(Table1[[#This Row],[Fetal Sex (Male, Female or Unknown)]]="Female",Backend!$C$7,IF(Table1[[#This Row],[Fetal Sex (Male, Female or Unknown)]]="Unknown",Backend!$C$8,"Error"))),"")</f>
        <v/>
      </c>
      <c r="F8562" s="8" t="str">
        <f>IF(Table1[[#This Row],[Is Data Valid]]=TRUE,EXP(0.578+0.332*((Table1[[#This Row],[Gestation (days)]]+0.5)/7)-0.00354*((Table1[[#This Row],[Gestation (days)]]+0.5)/7)^2)*Table1[[#This Row],[BW40_3705]],"")</f>
        <v/>
      </c>
      <c r="G8562" s="2" t="str">
        <f>IF(Table1[[#This Row],[Is Data Valid]]=TRUE,((Table1[[#This Row],[Birthweight (grams)]]/Table1[[#This Row],[BW_GA]])-1)/(Backend!$B$4/100*Table1[[#This Row],[BW40_3705]]),"")</f>
        <v/>
      </c>
      <c r="H8562" s="7" t="str">
        <f>IF(Table1[[#This Row],[Is Data Valid]]=TRUE,((Table1[[#This Row],[Birthweight (grams)]]*0.9/Table1[[#This Row],[BW_GA]])-1)/(Backend!$B$4/100*Table1[[#This Row],[BW40_3705]]),"")</f>
        <v/>
      </c>
      <c r="I8562" s="7" t="str">
        <f>IF(Table1[[#This Row],[Is Data Valid]]=TRUE,((Table1[[#This Row],[Birthweight (grams)]]*1.1/Table1[[#This Row],[BW_GA]])-1)/(Backend!$B$4/100*Table1[[#This Row],[BW40_3705]]),"")</f>
        <v/>
      </c>
      <c r="J8562" s="7" t="str">
        <f>IF(Table1[[#This Row],[Is Data Valid]]=TRUE,_xlfn.NORM.S.DIST(Table1[[#This Row],[Birthweight Z-Score]],TRUE)*100,"")</f>
        <v/>
      </c>
      <c r="K8562" s="7" t="str">
        <f>IF(Table1[[#This Row],[Is Data Valid]]=TRUE,_xlfn.NORM.S.DIST(Table1[[#This Row],[Birthweight Z-Score (BW-10%)]],TRUE)*100,"")</f>
        <v/>
      </c>
      <c r="L8562" s="7" t="str">
        <f>IF(Table1[[#This Row],[Is Data Valid]]=TRUE,_xlfn.NORM.S.DIST(Table1[[#This Row],[Birthweight Z-Score (BW+10%)]],TRUE)*100,"")</f>
        <v/>
      </c>
    </row>
    <row r="8563" spans="1:12" x14ac:dyDescent="0.35">
      <c r="A8563" s="3"/>
      <c r="B8563" s="2"/>
      <c r="C8563" s="2"/>
      <c r="D8563" s="2" t="b">
        <f>IF(AND(NOT(ISBLANK(Table1[[#This Row],[Fetal Sex (Male, Female or Unknown)]])),ISNUMBER(Table1[[#This Row],[Birthweight (grams)]]),ISNUMBER(Table1[[#This Row],[Gestation (days)]])),TRUE,FALSE)</f>
        <v>0</v>
      </c>
      <c r="E8563" s="2" t="str">
        <f>IF(Table1[[#This Row],[Is Data Valid]]=TRUE,IF(Table1[[#This Row],[Fetal Sex (Male, Female or Unknown)]]="Male",Backend!$C$6,IF(Table1[[#This Row],[Fetal Sex (Male, Female or Unknown)]]="Female",Backend!$C$7,IF(Table1[[#This Row],[Fetal Sex (Male, Female or Unknown)]]="Unknown",Backend!$C$8,"Error"))),"")</f>
        <v/>
      </c>
      <c r="F8563" s="8" t="str">
        <f>IF(Table1[[#This Row],[Is Data Valid]]=TRUE,EXP(0.578+0.332*((Table1[[#This Row],[Gestation (days)]]+0.5)/7)-0.00354*((Table1[[#This Row],[Gestation (days)]]+0.5)/7)^2)*Table1[[#This Row],[BW40_3705]],"")</f>
        <v/>
      </c>
      <c r="G8563" s="2" t="str">
        <f>IF(Table1[[#This Row],[Is Data Valid]]=TRUE,((Table1[[#This Row],[Birthweight (grams)]]/Table1[[#This Row],[BW_GA]])-1)/(Backend!$B$4/100*Table1[[#This Row],[BW40_3705]]),"")</f>
        <v/>
      </c>
      <c r="H8563" s="7" t="str">
        <f>IF(Table1[[#This Row],[Is Data Valid]]=TRUE,((Table1[[#This Row],[Birthweight (grams)]]*0.9/Table1[[#This Row],[BW_GA]])-1)/(Backend!$B$4/100*Table1[[#This Row],[BW40_3705]]),"")</f>
        <v/>
      </c>
      <c r="I8563" s="7" t="str">
        <f>IF(Table1[[#This Row],[Is Data Valid]]=TRUE,((Table1[[#This Row],[Birthweight (grams)]]*1.1/Table1[[#This Row],[BW_GA]])-1)/(Backend!$B$4/100*Table1[[#This Row],[BW40_3705]]),"")</f>
        <v/>
      </c>
      <c r="J8563" s="7" t="str">
        <f>IF(Table1[[#This Row],[Is Data Valid]]=TRUE,_xlfn.NORM.S.DIST(Table1[[#This Row],[Birthweight Z-Score]],TRUE)*100,"")</f>
        <v/>
      </c>
      <c r="K8563" s="7" t="str">
        <f>IF(Table1[[#This Row],[Is Data Valid]]=TRUE,_xlfn.NORM.S.DIST(Table1[[#This Row],[Birthweight Z-Score (BW-10%)]],TRUE)*100,"")</f>
        <v/>
      </c>
      <c r="L8563" s="7" t="str">
        <f>IF(Table1[[#This Row],[Is Data Valid]]=TRUE,_xlfn.NORM.S.DIST(Table1[[#This Row],[Birthweight Z-Score (BW+10%)]],TRUE)*100,"")</f>
        <v/>
      </c>
    </row>
    <row r="8564" spans="1:12" x14ac:dyDescent="0.35">
      <c r="A8564" s="3"/>
      <c r="B8564" s="2"/>
      <c r="C8564" s="2"/>
      <c r="D8564" s="2" t="b">
        <f>IF(AND(NOT(ISBLANK(Table1[[#This Row],[Fetal Sex (Male, Female or Unknown)]])),ISNUMBER(Table1[[#This Row],[Birthweight (grams)]]),ISNUMBER(Table1[[#This Row],[Gestation (days)]])),TRUE,FALSE)</f>
        <v>0</v>
      </c>
      <c r="E8564" s="2" t="str">
        <f>IF(Table1[[#This Row],[Is Data Valid]]=TRUE,IF(Table1[[#This Row],[Fetal Sex (Male, Female or Unknown)]]="Male",Backend!$C$6,IF(Table1[[#This Row],[Fetal Sex (Male, Female or Unknown)]]="Female",Backend!$C$7,IF(Table1[[#This Row],[Fetal Sex (Male, Female or Unknown)]]="Unknown",Backend!$C$8,"Error"))),"")</f>
        <v/>
      </c>
      <c r="F8564" s="8" t="str">
        <f>IF(Table1[[#This Row],[Is Data Valid]]=TRUE,EXP(0.578+0.332*((Table1[[#This Row],[Gestation (days)]]+0.5)/7)-0.00354*((Table1[[#This Row],[Gestation (days)]]+0.5)/7)^2)*Table1[[#This Row],[BW40_3705]],"")</f>
        <v/>
      </c>
      <c r="G8564" s="2" t="str">
        <f>IF(Table1[[#This Row],[Is Data Valid]]=TRUE,((Table1[[#This Row],[Birthweight (grams)]]/Table1[[#This Row],[BW_GA]])-1)/(Backend!$B$4/100*Table1[[#This Row],[BW40_3705]]),"")</f>
        <v/>
      </c>
      <c r="H8564" s="7" t="str">
        <f>IF(Table1[[#This Row],[Is Data Valid]]=TRUE,((Table1[[#This Row],[Birthweight (grams)]]*0.9/Table1[[#This Row],[BW_GA]])-1)/(Backend!$B$4/100*Table1[[#This Row],[BW40_3705]]),"")</f>
        <v/>
      </c>
      <c r="I8564" s="7" t="str">
        <f>IF(Table1[[#This Row],[Is Data Valid]]=TRUE,((Table1[[#This Row],[Birthweight (grams)]]*1.1/Table1[[#This Row],[BW_GA]])-1)/(Backend!$B$4/100*Table1[[#This Row],[BW40_3705]]),"")</f>
        <v/>
      </c>
      <c r="J8564" s="7" t="str">
        <f>IF(Table1[[#This Row],[Is Data Valid]]=TRUE,_xlfn.NORM.S.DIST(Table1[[#This Row],[Birthweight Z-Score]],TRUE)*100,"")</f>
        <v/>
      </c>
      <c r="K8564" s="7" t="str">
        <f>IF(Table1[[#This Row],[Is Data Valid]]=TRUE,_xlfn.NORM.S.DIST(Table1[[#This Row],[Birthweight Z-Score (BW-10%)]],TRUE)*100,"")</f>
        <v/>
      </c>
      <c r="L8564" s="7" t="str">
        <f>IF(Table1[[#This Row],[Is Data Valid]]=TRUE,_xlfn.NORM.S.DIST(Table1[[#This Row],[Birthweight Z-Score (BW+10%)]],TRUE)*100,"")</f>
        <v/>
      </c>
    </row>
    <row r="8565" spans="1:12" x14ac:dyDescent="0.35">
      <c r="A8565" s="3"/>
      <c r="B8565" s="2"/>
      <c r="C8565" s="2"/>
      <c r="D8565" s="2" t="b">
        <f>IF(AND(NOT(ISBLANK(Table1[[#This Row],[Fetal Sex (Male, Female or Unknown)]])),ISNUMBER(Table1[[#This Row],[Birthweight (grams)]]),ISNUMBER(Table1[[#This Row],[Gestation (days)]])),TRUE,FALSE)</f>
        <v>0</v>
      </c>
      <c r="E8565" s="2" t="str">
        <f>IF(Table1[[#This Row],[Is Data Valid]]=TRUE,IF(Table1[[#This Row],[Fetal Sex (Male, Female or Unknown)]]="Male",Backend!$C$6,IF(Table1[[#This Row],[Fetal Sex (Male, Female or Unknown)]]="Female",Backend!$C$7,IF(Table1[[#This Row],[Fetal Sex (Male, Female or Unknown)]]="Unknown",Backend!$C$8,"Error"))),"")</f>
        <v/>
      </c>
      <c r="F8565" s="8" t="str">
        <f>IF(Table1[[#This Row],[Is Data Valid]]=TRUE,EXP(0.578+0.332*((Table1[[#This Row],[Gestation (days)]]+0.5)/7)-0.00354*((Table1[[#This Row],[Gestation (days)]]+0.5)/7)^2)*Table1[[#This Row],[BW40_3705]],"")</f>
        <v/>
      </c>
      <c r="G8565" s="2" t="str">
        <f>IF(Table1[[#This Row],[Is Data Valid]]=TRUE,((Table1[[#This Row],[Birthweight (grams)]]/Table1[[#This Row],[BW_GA]])-1)/(Backend!$B$4/100*Table1[[#This Row],[BW40_3705]]),"")</f>
        <v/>
      </c>
      <c r="H8565" s="7" t="str">
        <f>IF(Table1[[#This Row],[Is Data Valid]]=TRUE,((Table1[[#This Row],[Birthweight (grams)]]*0.9/Table1[[#This Row],[BW_GA]])-1)/(Backend!$B$4/100*Table1[[#This Row],[BW40_3705]]),"")</f>
        <v/>
      </c>
      <c r="I8565" s="7" t="str">
        <f>IF(Table1[[#This Row],[Is Data Valid]]=TRUE,((Table1[[#This Row],[Birthweight (grams)]]*1.1/Table1[[#This Row],[BW_GA]])-1)/(Backend!$B$4/100*Table1[[#This Row],[BW40_3705]]),"")</f>
        <v/>
      </c>
      <c r="J8565" s="7" t="str">
        <f>IF(Table1[[#This Row],[Is Data Valid]]=TRUE,_xlfn.NORM.S.DIST(Table1[[#This Row],[Birthweight Z-Score]],TRUE)*100,"")</f>
        <v/>
      </c>
      <c r="K8565" s="7" t="str">
        <f>IF(Table1[[#This Row],[Is Data Valid]]=TRUE,_xlfn.NORM.S.DIST(Table1[[#This Row],[Birthweight Z-Score (BW-10%)]],TRUE)*100,"")</f>
        <v/>
      </c>
      <c r="L8565" s="7" t="str">
        <f>IF(Table1[[#This Row],[Is Data Valid]]=TRUE,_xlfn.NORM.S.DIST(Table1[[#This Row],[Birthweight Z-Score (BW+10%)]],TRUE)*100,"")</f>
        <v/>
      </c>
    </row>
    <row r="8566" spans="1:12" x14ac:dyDescent="0.35">
      <c r="A8566" s="3"/>
      <c r="B8566" s="2"/>
      <c r="C8566" s="2"/>
      <c r="D8566" s="2" t="b">
        <f>IF(AND(NOT(ISBLANK(Table1[[#This Row],[Fetal Sex (Male, Female or Unknown)]])),ISNUMBER(Table1[[#This Row],[Birthweight (grams)]]),ISNUMBER(Table1[[#This Row],[Gestation (days)]])),TRUE,FALSE)</f>
        <v>0</v>
      </c>
      <c r="E8566" s="2" t="str">
        <f>IF(Table1[[#This Row],[Is Data Valid]]=TRUE,IF(Table1[[#This Row],[Fetal Sex (Male, Female or Unknown)]]="Male",Backend!$C$6,IF(Table1[[#This Row],[Fetal Sex (Male, Female or Unknown)]]="Female",Backend!$C$7,IF(Table1[[#This Row],[Fetal Sex (Male, Female or Unknown)]]="Unknown",Backend!$C$8,"Error"))),"")</f>
        <v/>
      </c>
      <c r="F8566" s="8" t="str">
        <f>IF(Table1[[#This Row],[Is Data Valid]]=TRUE,EXP(0.578+0.332*((Table1[[#This Row],[Gestation (days)]]+0.5)/7)-0.00354*((Table1[[#This Row],[Gestation (days)]]+0.5)/7)^2)*Table1[[#This Row],[BW40_3705]],"")</f>
        <v/>
      </c>
      <c r="G8566" s="2" t="str">
        <f>IF(Table1[[#This Row],[Is Data Valid]]=TRUE,((Table1[[#This Row],[Birthweight (grams)]]/Table1[[#This Row],[BW_GA]])-1)/(Backend!$B$4/100*Table1[[#This Row],[BW40_3705]]),"")</f>
        <v/>
      </c>
      <c r="H8566" s="7" t="str">
        <f>IF(Table1[[#This Row],[Is Data Valid]]=TRUE,((Table1[[#This Row],[Birthweight (grams)]]*0.9/Table1[[#This Row],[BW_GA]])-1)/(Backend!$B$4/100*Table1[[#This Row],[BW40_3705]]),"")</f>
        <v/>
      </c>
      <c r="I8566" s="7" t="str">
        <f>IF(Table1[[#This Row],[Is Data Valid]]=TRUE,((Table1[[#This Row],[Birthweight (grams)]]*1.1/Table1[[#This Row],[BW_GA]])-1)/(Backend!$B$4/100*Table1[[#This Row],[BW40_3705]]),"")</f>
        <v/>
      </c>
      <c r="J8566" s="7" t="str">
        <f>IF(Table1[[#This Row],[Is Data Valid]]=TRUE,_xlfn.NORM.S.DIST(Table1[[#This Row],[Birthweight Z-Score]],TRUE)*100,"")</f>
        <v/>
      </c>
      <c r="K8566" s="7" t="str">
        <f>IF(Table1[[#This Row],[Is Data Valid]]=TRUE,_xlfn.NORM.S.DIST(Table1[[#This Row],[Birthweight Z-Score (BW-10%)]],TRUE)*100,"")</f>
        <v/>
      </c>
      <c r="L8566" s="7" t="str">
        <f>IF(Table1[[#This Row],[Is Data Valid]]=TRUE,_xlfn.NORM.S.DIST(Table1[[#This Row],[Birthweight Z-Score (BW+10%)]],TRUE)*100,"")</f>
        <v/>
      </c>
    </row>
    <row r="8567" spans="1:12" x14ac:dyDescent="0.35">
      <c r="A8567" s="3"/>
      <c r="B8567" s="2"/>
      <c r="C8567" s="2"/>
      <c r="D8567" s="2" t="b">
        <f>IF(AND(NOT(ISBLANK(Table1[[#This Row],[Fetal Sex (Male, Female or Unknown)]])),ISNUMBER(Table1[[#This Row],[Birthweight (grams)]]),ISNUMBER(Table1[[#This Row],[Gestation (days)]])),TRUE,FALSE)</f>
        <v>0</v>
      </c>
      <c r="E8567" s="2" t="str">
        <f>IF(Table1[[#This Row],[Is Data Valid]]=TRUE,IF(Table1[[#This Row],[Fetal Sex (Male, Female or Unknown)]]="Male",Backend!$C$6,IF(Table1[[#This Row],[Fetal Sex (Male, Female or Unknown)]]="Female",Backend!$C$7,IF(Table1[[#This Row],[Fetal Sex (Male, Female or Unknown)]]="Unknown",Backend!$C$8,"Error"))),"")</f>
        <v/>
      </c>
      <c r="F8567" s="8" t="str">
        <f>IF(Table1[[#This Row],[Is Data Valid]]=TRUE,EXP(0.578+0.332*((Table1[[#This Row],[Gestation (days)]]+0.5)/7)-0.00354*((Table1[[#This Row],[Gestation (days)]]+0.5)/7)^2)*Table1[[#This Row],[BW40_3705]],"")</f>
        <v/>
      </c>
      <c r="G8567" s="2" t="str">
        <f>IF(Table1[[#This Row],[Is Data Valid]]=TRUE,((Table1[[#This Row],[Birthweight (grams)]]/Table1[[#This Row],[BW_GA]])-1)/(Backend!$B$4/100*Table1[[#This Row],[BW40_3705]]),"")</f>
        <v/>
      </c>
      <c r="H8567" s="7" t="str">
        <f>IF(Table1[[#This Row],[Is Data Valid]]=TRUE,((Table1[[#This Row],[Birthweight (grams)]]*0.9/Table1[[#This Row],[BW_GA]])-1)/(Backend!$B$4/100*Table1[[#This Row],[BW40_3705]]),"")</f>
        <v/>
      </c>
      <c r="I8567" s="7" t="str">
        <f>IF(Table1[[#This Row],[Is Data Valid]]=TRUE,((Table1[[#This Row],[Birthweight (grams)]]*1.1/Table1[[#This Row],[BW_GA]])-1)/(Backend!$B$4/100*Table1[[#This Row],[BW40_3705]]),"")</f>
        <v/>
      </c>
      <c r="J8567" s="7" t="str">
        <f>IF(Table1[[#This Row],[Is Data Valid]]=TRUE,_xlfn.NORM.S.DIST(Table1[[#This Row],[Birthweight Z-Score]],TRUE)*100,"")</f>
        <v/>
      </c>
      <c r="K8567" s="7" t="str">
        <f>IF(Table1[[#This Row],[Is Data Valid]]=TRUE,_xlfn.NORM.S.DIST(Table1[[#This Row],[Birthweight Z-Score (BW-10%)]],TRUE)*100,"")</f>
        <v/>
      </c>
      <c r="L8567" s="7" t="str">
        <f>IF(Table1[[#This Row],[Is Data Valid]]=TRUE,_xlfn.NORM.S.DIST(Table1[[#This Row],[Birthweight Z-Score (BW+10%)]],TRUE)*100,"")</f>
        <v/>
      </c>
    </row>
    <row r="8568" spans="1:12" x14ac:dyDescent="0.35">
      <c r="A8568" s="3"/>
      <c r="B8568" s="2"/>
      <c r="C8568" s="2"/>
      <c r="D8568" s="2" t="b">
        <f>IF(AND(NOT(ISBLANK(Table1[[#This Row],[Fetal Sex (Male, Female or Unknown)]])),ISNUMBER(Table1[[#This Row],[Birthweight (grams)]]),ISNUMBER(Table1[[#This Row],[Gestation (days)]])),TRUE,FALSE)</f>
        <v>0</v>
      </c>
      <c r="E8568" s="2" t="str">
        <f>IF(Table1[[#This Row],[Is Data Valid]]=TRUE,IF(Table1[[#This Row],[Fetal Sex (Male, Female or Unknown)]]="Male",Backend!$C$6,IF(Table1[[#This Row],[Fetal Sex (Male, Female or Unknown)]]="Female",Backend!$C$7,IF(Table1[[#This Row],[Fetal Sex (Male, Female or Unknown)]]="Unknown",Backend!$C$8,"Error"))),"")</f>
        <v/>
      </c>
      <c r="F8568" s="8" t="str">
        <f>IF(Table1[[#This Row],[Is Data Valid]]=TRUE,EXP(0.578+0.332*((Table1[[#This Row],[Gestation (days)]]+0.5)/7)-0.00354*((Table1[[#This Row],[Gestation (days)]]+0.5)/7)^2)*Table1[[#This Row],[BW40_3705]],"")</f>
        <v/>
      </c>
      <c r="G8568" s="2" t="str">
        <f>IF(Table1[[#This Row],[Is Data Valid]]=TRUE,((Table1[[#This Row],[Birthweight (grams)]]/Table1[[#This Row],[BW_GA]])-1)/(Backend!$B$4/100*Table1[[#This Row],[BW40_3705]]),"")</f>
        <v/>
      </c>
      <c r="H8568" s="7" t="str">
        <f>IF(Table1[[#This Row],[Is Data Valid]]=TRUE,((Table1[[#This Row],[Birthweight (grams)]]*0.9/Table1[[#This Row],[BW_GA]])-1)/(Backend!$B$4/100*Table1[[#This Row],[BW40_3705]]),"")</f>
        <v/>
      </c>
      <c r="I8568" s="7" t="str">
        <f>IF(Table1[[#This Row],[Is Data Valid]]=TRUE,((Table1[[#This Row],[Birthweight (grams)]]*1.1/Table1[[#This Row],[BW_GA]])-1)/(Backend!$B$4/100*Table1[[#This Row],[BW40_3705]]),"")</f>
        <v/>
      </c>
      <c r="J8568" s="7" t="str">
        <f>IF(Table1[[#This Row],[Is Data Valid]]=TRUE,_xlfn.NORM.S.DIST(Table1[[#This Row],[Birthweight Z-Score]],TRUE)*100,"")</f>
        <v/>
      </c>
      <c r="K8568" s="7" t="str">
        <f>IF(Table1[[#This Row],[Is Data Valid]]=TRUE,_xlfn.NORM.S.DIST(Table1[[#This Row],[Birthweight Z-Score (BW-10%)]],TRUE)*100,"")</f>
        <v/>
      </c>
      <c r="L8568" s="7" t="str">
        <f>IF(Table1[[#This Row],[Is Data Valid]]=TRUE,_xlfn.NORM.S.DIST(Table1[[#This Row],[Birthweight Z-Score (BW+10%)]],TRUE)*100,"")</f>
        <v/>
      </c>
    </row>
    <row r="8569" spans="1:12" x14ac:dyDescent="0.35">
      <c r="A8569" s="3"/>
      <c r="B8569" s="2"/>
      <c r="C8569" s="2"/>
      <c r="D8569" s="2" t="b">
        <f>IF(AND(NOT(ISBLANK(Table1[[#This Row],[Fetal Sex (Male, Female or Unknown)]])),ISNUMBER(Table1[[#This Row],[Birthweight (grams)]]),ISNUMBER(Table1[[#This Row],[Gestation (days)]])),TRUE,FALSE)</f>
        <v>0</v>
      </c>
      <c r="E8569" s="2" t="str">
        <f>IF(Table1[[#This Row],[Is Data Valid]]=TRUE,IF(Table1[[#This Row],[Fetal Sex (Male, Female or Unknown)]]="Male",Backend!$C$6,IF(Table1[[#This Row],[Fetal Sex (Male, Female or Unknown)]]="Female",Backend!$C$7,IF(Table1[[#This Row],[Fetal Sex (Male, Female or Unknown)]]="Unknown",Backend!$C$8,"Error"))),"")</f>
        <v/>
      </c>
      <c r="F8569" s="8" t="str">
        <f>IF(Table1[[#This Row],[Is Data Valid]]=TRUE,EXP(0.578+0.332*((Table1[[#This Row],[Gestation (days)]]+0.5)/7)-0.00354*((Table1[[#This Row],[Gestation (days)]]+0.5)/7)^2)*Table1[[#This Row],[BW40_3705]],"")</f>
        <v/>
      </c>
      <c r="G8569" s="2" t="str">
        <f>IF(Table1[[#This Row],[Is Data Valid]]=TRUE,((Table1[[#This Row],[Birthweight (grams)]]/Table1[[#This Row],[BW_GA]])-1)/(Backend!$B$4/100*Table1[[#This Row],[BW40_3705]]),"")</f>
        <v/>
      </c>
      <c r="H8569" s="7" t="str">
        <f>IF(Table1[[#This Row],[Is Data Valid]]=TRUE,((Table1[[#This Row],[Birthweight (grams)]]*0.9/Table1[[#This Row],[BW_GA]])-1)/(Backend!$B$4/100*Table1[[#This Row],[BW40_3705]]),"")</f>
        <v/>
      </c>
      <c r="I8569" s="7" t="str">
        <f>IF(Table1[[#This Row],[Is Data Valid]]=TRUE,((Table1[[#This Row],[Birthweight (grams)]]*1.1/Table1[[#This Row],[BW_GA]])-1)/(Backend!$B$4/100*Table1[[#This Row],[BW40_3705]]),"")</f>
        <v/>
      </c>
      <c r="J8569" s="7" t="str">
        <f>IF(Table1[[#This Row],[Is Data Valid]]=TRUE,_xlfn.NORM.S.DIST(Table1[[#This Row],[Birthweight Z-Score]],TRUE)*100,"")</f>
        <v/>
      </c>
      <c r="K8569" s="7" t="str">
        <f>IF(Table1[[#This Row],[Is Data Valid]]=TRUE,_xlfn.NORM.S.DIST(Table1[[#This Row],[Birthweight Z-Score (BW-10%)]],TRUE)*100,"")</f>
        <v/>
      </c>
      <c r="L8569" s="7" t="str">
        <f>IF(Table1[[#This Row],[Is Data Valid]]=TRUE,_xlfn.NORM.S.DIST(Table1[[#This Row],[Birthweight Z-Score (BW+10%)]],TRUE)*100,"")</f>
        <v/>
      </c>
    </row>
    <row r="8570" spans="1:12" x14ac:dyDescent="0.35">
      <c r="A8570" s="3"/>
      <c r="B8570" s="2"/>
      <c r="C8570" s="2"/>
      <c r="D8570" s="2" t="b">
        <f>IF(AND(NOT(ISBLANK(Table1[[#This Row],[Fetal Sex (Male, Female or Unknown)]])),ISNUMBER(Table1[[#This Row],[Birthweight (grams)]]),ISNUMBER(Table1[[#This Row],[Gestation (days)]])),TRUE,FALSE)</f>
        <v>0</v>
      </c>
      <c r="E8570" s="2" t="str">
        <f>IF(Table1[[#This Row],[Is Data Valid]]=TRUE,IF(Table1[[#This Row],[Fetal Sex (Male, Female or Unknown)]]="Male",Backend!$C$6,IF(Table1[[#This Row],[Fetal Sex (Male, Female or Unknown)]]="Female",Backend!$C$7,IF(Table1[[#This Row],[Fetal Sex (Male, Female or Unknown)]]="Unknown",Backend!$C$8,"Error"))),"")</f>
        <v/>
      </c>
      <c r="F8570" s="8" t="str">
        <f>IF(Table1[[#This Row],[Is Data Valid]]=TRUE,EXP(0.578+0.332*((Table1[[#This Row],[Gestation (days)]]+0.5)/7)-0.00354*((Table1[[#This Row],[Gestation (days)]]+0.5)/7)^2)*Table1[[#This Row],[BW40_3705]],"")</f>
        <v/>
      </c>
      <c r="G8570" s="2" t="str">
        <f>IF(Table1[[#This Row],[Is Data Valid]]=TRUE,((Table1[[#This Row],[Birthweight (grams)]]/Table1[[#This Row],[BW_GA]])-1)/(Backend!$B$4/100*Table1[[#This Row],[BW40_3705]]),"")</f>
        <v/>
      </c>
      <c r="H8570" s="7" t="str">
        <f>IF(Table1[[#This Row],[Is Data Valid]]=TRUE,((Table1[[#This Row],[Birthweight (grams)]]*0.9/Table1[[#This Row],[BW_GA]])-1)/(Backend!$B$4/100*Table1[[#This Row],[BW40_3705]]),"")</f>
        <v/>
      </c>
      <c r="I8570" s="7" t="str">
        <f>IF(Table1[[#This Row],[Is Data Valid]]=TRUE,((Table1[[#This Row],[Birthweight (grams)]]*1.1/Table1[[#This Row],[BW_GA]])-1)/(Backend!$B$4/100*Table1[[#This Row],[BW40_3705]]),"")</f>
        <v/>
      </c>
      <c r="J8570" s="7" t="str">
        <f>IF(Table1[[#This Row],[Is Data Valid]]=TRUE,_xlfn.NORM.S.DIST(Table1[[#This Row],[Birthweight Z-Score]],TRUE)*100,"")</f>
        <v/>
      </c>
      <c r="K8570" s="7" t="str">
        <f>IF(Table1[[#This Row],[Is Data Valid]]=TRUE,_xlfn.NORM.S.DIST(Table1[[#This Row],[Birthweight Z-Score (BW-10%)]],TRUE)*100,"")</f>
        <v/>
      </c>
      <c r="L8570" s="7" t="str">
        <f>IF(Table1[[#This Row],[Is Data Valid]]=TRUE,_xlfn.NORM.S.DIST(Table1[[#This Row],[Birthweight Z-Score (BW+10%)]],TRUE)*100,"")</f>
        <v/>
      </c>
    </row>
    <row r="8571" spans="1:12" x14ac:dyDescent="0.35">
      <c r="A8571" s="3"/>
      <c r="B8571" s="2"/>
      <c r="C8571" s="2"/>
      <c r="D8571" s="2" t="b">
        <f>IF(AND(NOT(ISBLANK(Table1[[#This Row],[Fetal Sex (Male, Female or Unknown)]])),ISNUMBER(Table1[[#This Row],[Birthweight (grams)]]),ISNUMBER(Table1[[#This Row],[Gestation (days)]])),TRUE,FALSE)</f>
        <v>0</v>
      </c>
      <c r="E8571" s="2" t="str">
        <f>IF(Table1[[#This Row],[Is Data Valid]]=TRUE,IF(Table1[[#This Row],[Fetal Sex (Male, Female or Unknown)]]="Male",Backend!$C$6,IF(Table1[[#This Row],[Fetal Sex (Male, Female or Unknown)]]="Female",Backend!$C$7,IF(Table1[[#This Row],[Fetal Sex (Male, Female or Unknown)]]="Unknown",Backend!$C$8,"Error"))),"")</f>
        <v/>
      </c>
      <c r="F8571" s="8" t="str">
        <f>IF(Table1[[#This Row],[Is Data Valid]]=TRUE,EXP(0.578+0.332*((Table1[[#This Row],[Gestation (days)]]+0.5)/7)-0.00354*((Table1[[#This Row],[Gestation (days)]]+0.5)/7)^2)*Table1[[#This Row],[BW40_3705]],"")</f>
        <v/>
      </c>
      <c r="G8571" s="2" t="str">
        <f>IF(Table1[[#This Row],[Is Data Valid]]=TRUE,((Table1[[#This Row],[Birthweight (grams)]]/Table1[[#This Row],[BW_GA]])-1)/(Backend!$B$4/100*Table1[[#This Row],[BW40_3705]]),"")</f>
        <v/>
      </c>
      <c r="H8571" s="7" t="str">
        <f>IF(Table1[[#This Row],[Is Data Valid]]=TRUE,((Table1[[#This Row],[Birthweight (grams)]]*0.9/Table1[[#This Row],[BW_GA]])-1)/(Backend!$B$4/100*Table1[[#This Row],[BW40_3705]]),"")</f>
        <v/>
      </c>
      <c r="I8571" s="7" t="str">
        <f>IF(Table1[[#This Row],[Is Data Valid]]=TRUE,((Table1[[#This Row],[Birthweight (grams)]]*1.1/Table1[[#This Row],[BW_GA]])-1)/(Backend!$B$4/100*Table1[[#This Row],[BW40_3705]]),"")</f>
        <v/>
      </c>
      <c r="J8571" s="7" t="str">
        <f>IF(Table1[[#This Row],[Is Data Valid]]=TRUE,_xlfn.NORM.S.DIST(Table1[[#This Row],[Birthweight Z-Score]],TRUE)*100,"")</f>
        <v/>
      </c>
      <c r="K8571" s="7" t="str">
        <f>IF(Table1[[#This Row],[Is Data Valid]]=TRUE,_xlfn.NORM.S.DIST(Table1[[#This Row],[Birthweight Z-Score (BW-10%)]],TRUE)*100,"")</f>
        <v/>
      </c>
      <c r="L8571" s="7" t="str">
        <f>IF(Table1[[#This Row],[Is Data Valid]]=TRUE,_xlfn.NORM.S.DIST(Table1[[#This Row],[Birthweight Z-Score (BW+10%)]],TRUE)*100,"")</f>
        <v/>
      </c>
    </row>
    <row r="8572" spans="1:12" x14ac:dyDescent="0.35">
      <c r="A8572" s="3"/>
      <c r="B8572" s="2"/>
      <c r="C8572" s="2"/>
      <c r="D8572" s="2" t="b">
        <f>IF(AND(NOT(ISBLANK(Table1[[#This Row],[Fetal Sex (Male, Female or Unknown)]])),ISNUMBER(Table1[[#This Row],[Birthweight (grams)]]),ISNUMBER(Table1[[#This Row],[Gestation (days)]])),TRUE,FALSE)</f>
        <v>0</v>
      </c>
      <c r="E8572" s="2" t="str">
        <f>IF(Table1[[#This Row],[Is Data Valid]]=TRUE,IF(Table1[[#This Row],[Fetal Sex (Male, Female or Unknown)]]="Male",Backend!$C$6,IF(Table1[[#This Row],[Fetal Sex (Male, Female or Unknown)]]="Female",Backend!$C$7,IF(Table1[[#This Row],[Fetal Sex (Male, Female or Unknown)]]="Unknown",Backend!$C$8,"Error"))),"")</f>
        <v/>
      </c>
      <c r="F8572" s="8" t="str">
        <f>IF(Table1[[#This Row],[Is Data Valid]]=TRUE,EXP(0.578+0.332*((Table1[[#This Row],[Gestation (days)]]+0.5)/7)-0.00354*((Table1[[#This Row],[Gestation (days)]]+0.5)/7)^2)*Table1[[#This Row],[BW40_3705]],"")</f>
        <v/>
      </c>
      <c r="G8572" s="2" t="str">
        <f>IF(Table1[[#This Row],[Is Data Valid]]=TRUE,((Table1[[#This Row],[Birthweight (grams)]]/Table1[[#This Row],[BW_GA]])-1)/(Backend!$B$4/100*Table1[[#This Row],[BW40_3705]]),"")</f>
        <v/>
      </c>
      <c r="H8572" s="7" t="str">
        <f>IF(Table1[[#This Row],[Is Data Valid]]=TRUE,((Table1[[#This Row],[Birthweight (grams)]]*0.9/Table1[[#This Row],[BW_GA]])-1)/(Backend!$B$4/100*Table1[[#This Row],[BW40_3705]]),"")</f>
        <v/>
      </c>
      <c r="I8572" s="7" t="str">
        <f>IF(Table1[[#This Row],[Is Data Valid]]=TRUE,((Table1[[#This Row],[Birthweight (grams)]]*1.1/Table1[[#This Row],[BW_GA]])-1)/(Backend!$B$4/100*Table1[[#This Row],[BW40_3705]]),"")</f>
        <v/>
      </c>
      <c r="J8572" s="7" t="str">
        <f>IF(Table1[[#This Row],[Is Data Valid]]=TRUE,_xlfn.NORM.S.DIST(Table1[[#This Row],[Birthweight Z-Score]],TRUE)*100,"")</f>
        <v/>
      </c>
      <c r="K8572" s="7" t="str">
        <f>IF(Table1[[#This Row],[Is Data Valid]]=TRUE,_xlfn.NORM.S.DIST(Table1[[#This Row],[Birthweight Z-Score (BW-10%)]],TRUE)*100,"")</f>
        <v/>
      </c>
      <c r="L8572" s="7" t="str">
        <f>IF(Table1[[#This Row],[Is Data Valid]]=TRUE,_xlfn.NORM.S.DIST(Table1[[#This Row],[Birthweight Z-Score (BW+10%)]],TRUE)*100,"")</f>
        <v/>
      </c>
    </row>
    <row r="8573" spans="1:12" x14ac:dyDescent="0.35">
      <c r="A8573" s="3"/>
      <c r="B8573" s="2"/>
      <c r="C8573" s="2"/>
      <c r="D8573" s="2" t="b">
        <f>IF(AND(NOT(ISBLANK(Table1[[#This Row],[Fetal Sex (Male, Female or Unknown)]])),ISNUMBER(Table1[[#This Row],[Birthweight (grams)]]),ISNUMBER(Table1[[#This Row],[Gestation (days)]])),TRUE,FALSE)</f>
        <v>0</v>
      </c>
      <c r="E8573" s="2" t="str">
        <f>IF(Table1[[#This Row],[Is Data Valid]]=TRUE,IF(Table1[[#This Row],[Fetal Sex (Male, Female or Unknown)]]="Male",Backend!$C$6,IF(Table1[[#This Row],[Fetal Sex (Male, Female or Unknown)]]="Female",Backend!$C$7,IF(Table1[[#This Row],[Fetal Sex (Male, Female or Unknown)]]="Unknown",Backend!$C$8,"Error"))),"")</f>
        <v/>
      </c>
      <c r="F8573" s="8" t="str">
        <f>IF(Table1[[#This Row],[Is Data Valid]]=TRUE,EXP(0.578+0.332*((Table1[[#This Row],[Gestation (days)]]+0.5)/7)-0.00354*((Table1[[#This Row],[Gestation (days)]]+0.5)/7)^2)*Table1[[#This Row],[BW40_3705]],"")</f>
        <v/>
      </c>
      <c r="G8573" s="2" t="str">
        <f>IF(Table1[[#This Row],[Is Data Valid]]=TRUE,((Table1[[#This Row],[Birthweight (grams)]]/Table1[[#This Row],[BW_GA]])-1)/(Backend!$B$4/100*Table1[[#This Row],[BW40_3705]]),"")</f>
        <v/>
      </c>
      <c r="H8573" s="7" t="str">
        <f>IF(Table1[[#This Row],[Is Data Valid]]=TRUE,((Table1[[#This Row],[Birthweight (grams)]]*0.9/Table1[[#This Row],[BW_GA]])-1)/(Backend!$B$4/100*Table1[[#This Row],[BW40_3705]]),"")</f>
        <v/>
      </c>
      <c r="I8573" s="7" t="str">
        <f>IF(Table1[[#This Row],[Is Data Valid]]=TRUE,((Table1[[#This Row],[Birthweight (grams)]]*1.1/Table1[[#This Row],[BW_GA]])-1)/(Backend!$B$4/100*Table1[[#This Row],[BW40_3705]]),"")</f>
        <v/>
      </c>
      <c r="J8573" s="7" t="str">
        <f>IF(Table1[[#This Row],[Is Data Valid]]=TRUE,_xlfn.NORM.S.DIST(Table1[[#This Row],[Birthweight Z-Score]],TRUE)*100,"")</f>
        <v/>
      </c>
      <c r="K8573" s="7" t="str">
        <f>IF(Table1[[#This Row],[Is Data Valid]]=TRUE,_xlfn.NORM.S.DIST(Table1[[#This Row],[Birthweight Z-Score (BW-10%)]],TRUE)*100,"")</f>
        <v/>
      </c>
      <c r="L8573" s="7" t="str">
        <f>IF(Table1[[#This Row],[Is Data Valid]]=TRUE,_xlfn.NORM.S.DIST(Table1[[#This Row],[Birthweight Z-Score (BW+10%)]],TRUE)*100,"")</f>
        <v/>
      </c>
    </row>
    <row r="8574" spans="1:12" x14ac:dyDescent="0.35">
      <c r="A8574" s="3"/>
      <c r="B8574" s="2"/>
      <c r="C8574" s="2"/>
      <c r="D8574" s="2" t="b">
        <f>IF(AND(NOT(ISBLANK(Table1[[#This Row],[Fetal Sex (Male, Female or Unknown)]])),ISNUMBER(Table1[[#This Row],[Birthweight (grams)]]),ISNUMBER(Table1[[#This Row],[Gestation (days)]])),TRUE,FALSE)</f>
        <v>0</v>
      </c>
      <c r="E8574" s="2" t="str">
        <f>IF(Table1[[#This Row],[Is Data Valid]]=TRUE,IF(Table1[[#This Row],[Fetal Sex (Male, Female or Unknown)]]="Male",Backend!$C$6,IF(Table1[[#This Row],[Fetal Sex (Male, Female or Unknown)]]="Female",Backend!$C$7,IF(Table1[[#This Row],[Fetal Sex (Male, Female or Unknown)]]="Unknown",Backend!$C$8,"Error"))),"")</f>
        <v/>
      </c>
      <c r="F8574" s="8" t="str">
        <f>IF(Table1[[#This Row],[Is Data Valid]]=TRUE,EXP(0.578+0.332*((Table1[[#This Row],[Gestation (days)]]+0.5)/7)-0.00354*((Table1[[#This Row],[Gestation (days)]]+0.5)/7)^2)*Table1[[#This Row],[BW40_3705]],"")</f>
        <v/>
      </c>
      <c r="G8574" s="2" t="str">
        <f>IF(Table1[[#This Row],[Is Data Valid]]=TRUE,((Table1[[#This Row],[Birthweight (grams)]]/Table1[[#This Row],[BW_GA]])-1)/(Backend!$B$4/100*Table1[[#This Row],[BW40_3705]]),"")</f>
        <v/>
      </c>
      <c r="H8574" s="7" t="str">
        <f>IF(Table1[[#This Row],[Is Data Valid]]=TRUE,((Table1[[#This Row],[Birthweight (grams)]]*0.9/Table1[[#This Row],[BW_GA]])-1)/(Backend!$B$4/100*Table1[[#This Row],[BW40_3705]]),"")</f>
        <v/>
      </c>
      <c r="I8574" s="7" t="str">
        <f>IF(Table1[[#This Row],[Is Data Valid]]=TRUE,((Table1[[#This Row],[Birthweight (grams)]]*1.1/Table1[[#This Row],[BW_GA]])-1)/(Backend!$B$4/100*Table1[[#This Row],[BW40_3705]]),"")</f>
        <v/>
      </c>
      <c r="J8574" s="7" t="str">
        <f>IF(Table1[[#This Row],[Is Data Valid]]=TRUE,_xlfn.NORM.S.DIST(Table1[[#This Row],[Birthweight Z-Score]],TRUE)*100,"")</f>
        <v/>
      </c>
      <c r="K8574" s="7" t="str">
        <f>IF(Table1[[#This Row],[Is Data Valid]]=TRUE,_xlfn.NORM.S.DIST(Table1[[#This Row],[Birthweight Z-Score (BW-10%)]],TRUE)*100,"")</f>
        <v/>
      </c>
      <c r="L8574" s="7" t="str">
        <f>IF(Table1[[#This Row],[Is Data Valid]]=TRUE,_xlfn.NORM.S.DIST(Table1[[#This Row],[Birthweight Z-Score (BW+10%)]],TRUE)*100,"")</f>
        <v/>
      </c>
    </row>
    <row r="8575" spans="1:12" x14ac:dyDescent="0.35">
      <c r="A8575" s="3"/>
      <c r="B8575" s="2"/>
      <c r="C8575" s="2"/>
      <c r="D8575" s="2" t="b">
        <f>IF(AND(NOT(ISBLANK(Table1[[#This Row],[Fetal Sex (Male, Female or Unknown)]])),ISNUMBER(Table1[[#This Row],[Birthweight (grams)]]),ISNUMBER(Table1[[#This Row],[Gestation (days)]])),TRUE,FALSE)</f>
        <v>0</v>
      </c>
      <c r="E8575" s="2" t="str">
        <f>IF(Table1[[#This Row],[Is Data Valid]]=TRUE,IF(Table1[[#This Row],[Fetal Sex (Male, Female or Unknown)]]="Male",Backend!$C$6,IF(Table1[[#This Row],[Fetal Sex (Male, Female or Unknown)]]="Female",Backend!$C$7,IF(Table1[[#This Row],[Fetal Sex (Male, Female or Unknown)]]="Unknown",Backend!$C$8,"Error"))),"")</f>
        <v/>
      </c>
      <c r="F8575" s="8" t="str">
        <f>IF(Table1[[#This Row],[Is Data Valid]]=TRUE,EXP(0.578+0.332*((Table1[[#This Row],[Gestation (days)]]+0.5)/7)-0.00354*((Table1[[#This Row],[Gestation (days)]]+0.5)/7)^2)*Table1[[#This Row],[BW40_3705]],"")</f>
        <v/>
      </c>
      <c r="G8575" s="2" t="str">
        <f>IF(Table1[[#This Row],[Is Data Valid]]=TRUE,((Table1[[#This Row],[Birthweight (grams)]]/Table1[[#This Row],[BW_GA]])-1)/(Backend!$B$4/100*Table1[[#This Row],[BW40_3705]]),"")</f>
        <v/>
      </c>
      <c r="H8575" s="7" t="str">
        <f>IF(Table1[[#This Row],[Is Data Valid]]=TRUE,((Table1[[#This Row],[Birthweight (grams)]]*0.9/Table1[[#This Row],[BW_GA]])-1)/(Backend!$B$4/100*Table1[[#This Row],[BW40_3705]]),"")</f>
        <v/>
      </c>
      <c r="I8575" s="7" t="str">
        <f>IF(Table1[[#This Row],[Is Data Valid]]=TRUE,((Table1[[#This Row],[Birthweight (grams)]]*1.1/Table1[[#This Row],[BW_GA]])-1)/(Backend!$B$4/100*Table1[[#This Row],[BW40_3705]]),"")</f>
        <v/>
      </c>
      <c r="J8575" s="7" t="str">
        <f>IF(Table1[[#This Row],[Is Data Valid]]=TRUE,_xlfn.NORM.S.DIST(Table1[[#This Row],[Birthweight Z-Score]],TRUE)*100,"")</f>
        <v/>
      </c>
      <c r="K8575" s="7" t="str">
        <f>IF(Table1[[#This Row],[Is Data Valid]]=TRUE,_xlfn.NORM.S.DIST(Table1[[#This Row],[Birthweight Z-Score (BW-10%)]],TRUE)*100,"")</f>
        <v/>
      </c>
      <c r="L8575" s="7" t="str">
        <f>IF(Table1[[#This Row],[Is Data Valid]]=TRUE,_xlfn.NORM.S.DIST(Table1[[#This Row],[Birthweight Z-Score (BW+10%)]],TRUE)*100,"")</f>
        <v/>
      </c>
    </row>
    <row r="8576" spans="1:12" x14ac:dyDescent="0.35">
      <c r="A8576" s="3"/>
      <c r="B8576" s="2"/>
      <c r="C8576" s="2"/>
      <c r="D8576" s="2" t="b">
        <f>IF(AND(NOT(ISBLANK(Table1[[#This Row],[Fetal Sex (Male, Female or Unknown)]])),ISNUMBER(Table1[[#This Row],[Birthweight (grams)]]),ISNUMBER(Table1[[#This Row],[Gestation (days)]])),TRUE,FALSE)</f>
        <v>0</v>
      </c>
      <c r="E8576" s="2" t="str">
        <f>IF(Table1[[#This Row],[Is Data Valid]]=TRUE,IF(Table1[[#This Row],[Fetal Sex (Male, Female or Unknown)]]="Male",Backend!$C$6,IF(Table1[[#This Row],[Fetal Sex (Male, Female or Unknown)]]="Female",Backend!$C$7,IF(Table1[[#This Row],[Fetal Sex (Male, Female or Unknown)]]="Unknown",Backend!$C$8,"Error"))),"")</f>
        <v/>
      </c>
      <c r="F8576" s="8" t="str">
        <f>IF(Table1[[#This Row],[Is Data Valid]]=TRUE,EXP(0.578+0.332*((Table1[[#This Row],[Gestation (days)]]+0.5)/7)-0.00354*((Table1[[#This Row],[Gestation (days)]]+0.5)/7)^2)*Table1[[#This Row],[BW40_3705]],"")</f>
        <v/>
      </c>
      <c r="G8576" s="2" t="str">
        <f>IF(Table1[[#This Row],[Is Data Valid]]=TRUE,((Table1[[#This Row],[Birthweight (grams)]]/Table1[[#This Row],[BW_GA]])-1)/(Backend!$B$4/100*Table1[[#This Row],[BW40_3705]]),"")</f>
        <v/>
      </c>
      <c r="H8576" s="7" t="str">
        <f>IF(Table1[[#This Row],[Is Data Valid]]=TRUE,((Table1[[#This Row],[Birthweight (grams)]]*0.9/Table1[[#This Row],[BW_GA]])-1)/(Backend!$B$4/100*Table1[[#This Row],[BW40_3705]]),"")</f>
        <v/>
      </c>
      <c r="I8576" s="7" t="str">
        <f>IF(Table1[[#This Row],[Is Data Valid]]=TRUE,((Table1[[#This Row],[Birthweight (grams)]]*1.1/Table1[[#This Row],[BW_GA]])-1)/(Backend!$B$4/100*Table1[[#This Row],[BW40_3705]]),"")</f>
        <v/>
      </c>
      <c r="J8576" s="7" t="str">
        <f>IF(Table1[[#This Row],[Is Data Valid]]=TRUE,_xlfn.NORM.S.DIST(Table1[[#This Row],[Birthweight Z-Score]],TRUE)*100,"")</f>
        <v/>
      </c>
      <c r="K8576" s="7" t="str">
        <f>IF(Table1[[#This Row],[Is Data Valid]]=TRUE,_xlfn.NORM.S.DIST(Table1[[#This Row],[Birthweight Z-Score (BW-10%)]],TRUE)*100,"")</f>
        <v/>
      </c>
      <c r="L8576" s="7" t="str">
        <f>IF(Table1[[#This Row],[Is Data Valid]]=TRUE,_xlfn.NORM.S.DIST(Table1[[#This Row],[Birthweight Z-Score (BW+10%)]],TRUE)*100,"")</f>
        <v/>
      </c>
    </row>
    <row r="8577" spans="1:12" x14ac:dyDescent="0.35">
      <c r="A8577" s="3"/>
      <c r="B8577" s="2"/>
      <c r="C8577" s="2"/>
      <c r="D8577" s="2" t="b">
        <f>IF(AND(NOT(ISBLANK(Table1[[#This Row],[Fetal Sex (Male, Female or Unknown)]])),ISNUMBER(Table1[[#This Row],[Birthweight (grams)]]),ISNUMBER(Table1[[#This Row],[Gestation (days)]])),TRUE,FALSE)</f>
        <v>0</v>
      </c>
      <c r="E8577" s="2" t="str">
        <f>IF(Table1[[#This Row],[Is Data Valid]]=TRUE,IF(Table1[[#This Row],[Fetal Sex (Male, Female or Unknown)]]="Male",Backend!$C$6,IF(Table1[[#This Row],[Fetal Sex (Male, Female or Unknown)]]="Female",Backend!$C$7,IF(Table1[[#This Row],[Fetal Sex (Male, Female or Unknown)]]="Unknown",Backend!$C$8,"Error"))),"")</f>
        <v/>
      </c>
      <c r="F8577" s="8" t="str">
        <f>IF(Table1[[#This Row],[Is Data Valid]]=TRUE,EXP(0.578+0.332*((Table1[[#This Row],[Gestation (days)]]+0.5)/7)-0.00354*((Table1[[#This Row],[Gestation (days)]]+0.5)/7)^2)*Table1[[#This Row],[BW40_3705]],"")</f>
        <v/>
      </c>
      <c r="G8577" s="2" t="str">
        <f>IF(Table1[[#This Row],[Is Data Valid]]=TRUE,((Table1[[#This Row],[Birthweight (grams)]]/Table1[[#This Row],[BW_GA]])-1)/(Backend!$B$4/100*Table1[[#This Row],[BW40_3705]]),"")</f>
        <v/>
      </c>
      <c r="H8577" s="7" t="str">
        <f>IF(Table1[[#This Row],[Is Data Valid]]=TRUE,((Table1[[#This Row],[Birthweight (grams)]]*0.9/Table1[[#This Row],[BW_GA]])-1)/(Backend!$B$4/100*Table1[[#This Row],[BW40_3705]]),"")</f>
        <v/>
      </c>
      <c r="I8577" s="7" t="str">
        <f>IF(Table1[[#This Row],[Is Data Valid]]=TRUE,((Table1[[#This Row],[Birthweight (grams)]]*1.1/Table1[[#This Row],[BW_GA]])-1)/(Backend!$B$4/100*Table1[[#This Row],[BW40_3705]]),"")</f>
        <v/>
      </c>
      <c r="J8577" s="7" t="str">
        <f>IF(Table1[[#This Row],[Is Data Valid]]=TRUE,_xlfn.NORM.S.DIST(Table1[[#This Row],[Birthweight Z-Score]],TRUE)*100,"")</f>
        <v/>
      </c>
      <c r="K8577" s="7" t="str">
        <f>IF(Table1[[#This Row],[Is Data Valid]]=TRUE,_xlfn.NORM.S.DIST(Table1[[#This Row],[Birthweight Z-Score (BW-10%)]],TRUE)*100,"")</f>
        <v/>
      </c>
      <c r="L8577" s="7" t="str">
        <f>IF(Table1[[#This Row],[Is Data Valid]]=TRUE,_xlfn.NORM.S.DIST(Table1[[#This Row],[Birthweight Z-Score (BW+10%)]],TRUE)*100,"")</f>
        <v/>
      </c>
    </row>
    <row r="8578" spans="1:12" x14ac:dyDescent="0.35">
      <c r="A8578" s="3"/>
      <c r="B8578" s="2"/>
      <c r="C8578" s="2"/>
      <c r="D8578" s="2" t="b">
        <f>IF(AND(NOT(ISBLANK(Table1[[#This Row],[Fetal Sex (Male, Female or Unknown)]])),ISNUMBER(Table1[[#This Row],[Birthweight (grams)]]),ISNUMBER(Table1[[#This Row],[Gestation (days)]])),TRUE,FALSE)</f>
        <v>0</v>
      </c>
      <c r="E8578" s="2" t="str">
        <f>IF(Table1[[#This Row],[Is Data Valid]]=TRUE,IF(Table1[[#This Row],[Fetal Sex (Male, Female or Unknown)]]="Male",Backend!$C$6,IF(Table1[[#This Row],[Fetal Sex (Male, Female or Unknown)]]="Female",Backend!$C$7,IF(Table1[[#This Row],[Fetal Sex (Male, Female or Unknown)]]="Unknown",Backend!$C$8,"Error"))),"")</f>
        <v/>
      </c>
      <c r="F8578" s="8" t="str">
        <f>IF(Table1[[#This Row],[Is Data Valid]]=TRUE,EXP(0.578+0.332*((Table1[[#This Row],[Gestation (days)]]+0.5)/7)-0.00354*((Table1[[#This Row],[Gestation (days)]]+0.5)/7)^2)*Table1[[#This Row],[BW40_3705]],"")</f>
        <v/>
      </c>
      <c r="G8578" s="2" t="str">
        <f>IF(Table1[[#This Row],[Is Data Valid]]=TRUE,((Table1[[#This Row],[Birthweight (grams)]]/Table1[[#This Row],[BW_GA]])-1)/(Backend!$B$4/100*Table1[[#This Row],[BW40_3705]]),"")</f>
        <v/>
      </c>
      <c r="H8578" s="7" t="str">
        <f>IF(Table1[[#This Row],[Is Data Valid]]=TRUE,((Table1[[#This Row],[Birthweight (grams)]]*0.9/Table1[[#This Row],[BW_GA]])-1)/(Backend!$B$4/100*Table1[[#This Row],[BW40_3705]]),"")</f>
        <v/>
      </c>
      <c r="I8578" s="7" t="str">
        <f>IF(Table1[[#This Row],[Is Data Valid]]=TRUE,((Table1[[#This Row],[Birthweight (grams)]]*1.1/Table1[[#This Row],[BW_GA]])-1)/(Backend!$B$4/100*Table1[[#This Row],[BW40_3705]]),"")</f>
        <v/>
      </c>
      <c r="J8578" s="7" t="str">
        <f>IF(Table1[[#This Row],[Is Data Valid]]=TRUE,_xlfn.NORM.S.DIST(Table1[[#This Row],[Birthweight Z-Score]],TRUE)*100,"")</f>
        <v/>
      </c>
      <c r="K8578" s="7" t="str">
        <f>IF(Table1[[#This Row],[Is Data Valid]]=TRUE,_xlfn.NORM.S.DIST(Table1[[#This Row],[Birthweight Z-Score (BW-10%)]],TRUE)*100,"")</f>
        <v/>
      </c>
      <c r="L8578" s="7" t="str">
        <f>IF(Table1[[#This Row],[Is Data Valid]]=TRUE,_xlfn.NORM.S.DIST(Table1[[#This Row],[Birthweight Z-Score (BW+10%)]],TRUE)*100,"")</f>
        <v/>
      </c>
    </row>
    <row r="8579" spans="1:12" x14ac:dyDescent="0.35">
      <c r="A8579" s="3"/>
      <c r="B8579" s="2"/>
      <c r="C8579" s="2"/>
      <c r="D8579" s="2" t="b">
        <f>IF(AND(NOT(ISBLANK(Table1[[#This Row],[Fetal Sex (Male, Female or Unknown)]])),ISNUMBER(Table1[[#This Row],[Birthweight (grams)]]),ISNUMBER(Table1[[#This Row],[Gestation (days)]])),TRUE,FALSE)</f>
        <v>0</v>
      </c>
      <c r="E8579" s="2" t="str">
        <f>IF(Table1[[#This Row],[Is Data Valid]]=TRUE,IF(Table1[[#This Row],[Fetal Sex (Male, Female or Unknown)]]="Male",Backend!$C$6,IF(Table1[[#This Row],[Fetal Sex (Male, Female or Unknown)]]="Female",Backend!$C$7,IF(Table1[[#This Row],[Fetal Sex (Male, Female or Unknown)]]="Unknown",Backend!$C$8,"Error"))),"")</f>
        <v/>
      </c>
      <c r="F8579" s="8" t="str">
        <f>IF(Table1[[#This Row],[Is Data Valid]]=TRUE,EXP(0.578+0.332*((Table1[[#This Row],[Gestation (days)]]+0.5)/7)-0.00354*((Table1[[#This Row],[Gestation (days)]]+0.5)/7)^2)*Table1[[#This Row],[BW40_3705]],"")</f>
        <v/>
      </c>
      <c r="G8579" s="2" t="str">
        <f>IF(Table1[[#This Row],[Is Data Valid]]=TRUE,((Table1[[#This Row],[Birthweight (grams)]]/Table1[[#This Row],[BW_GA]])-1)/(Backend!$B$4/100*Table1[[#This Row],[BW40_3705]]),"")</f>
        <v/>
      </c>
      <c r="H8579" s="7" t="str">
        <f>IF(Table1[[#This Row],[Is Data Valid]]=TRUE,((Table1[[#This Row],[Birthweight (grams)]]*0.9/Table1[[#This Row],[BW_GA]])-1)/(Backend!$B$4/100*Table1[[#This Row],[BW40_3705]]),"")</f>
        <v/>
      </c>
      <c r="I8579" s="7" t="str">
        <f>IF(Table1[[#This Row],[Is Data Valid]]=TRUE,((Table1[[#This Row],[Birthweight (grams)]]*1.1/Table1[[#This Row],[BW_GA]])-1)/(Backend!$B$4/100*Table1[[#This Row],[BW40_3705]]),"")</f>
        <v/>
      </c>
      <c r="J8579" s="7" t="str">
        <f>IF(Table1[[#This Row],[Is Data Valid]]=TRUE,_xlfn.NORM.S.DIST(Table1[[#This Row],[Birthweight Z-Score]],TRUE)*100,"")</f>
        <v/>
      </c>
      <c r="K8579" s="7" t="str">
        <f>IF(Table1[[#This Row],[Is Data Valid]]=TRUE,_xlfn.NORM.S.DIST(Table1[[#This Row],[Birthweight Z-Score (BW-10%)]],TRUE)*100,"")</f>
        <v/>
      </c>
      <c r="L8579" s="7" t="str">
        <f>IF(Table1[[#This Row],[Is Data Valid]]=TRUE,_xlfn.NORM.S.DIST(Table1[[#This Row],[Birthweight Z-Score (BW+10%)]],TRUE)*100,"")</f>
        <v/>
      </c>
    </row>
    <row r="8580" spans="1:12" x14ac:dyDescent="0.35">
      <c r="A8580" s="3"/>
      <c r="B8580" s="2"/>
      <c r="C8580" s="2"/>
      <c r="D8580" s="2" t="b">
        <f>IF(AND(NOT(ISBLANK(Table1[[#This Row],[Fetal Sex (Male, Female or Unknown)]])),ISNUMBER(Table1[[#This Row],[Birthweight (grams)]]),ISNUMBER(Table1[[#This Row],[Gestation (days)]])),TRUE,FALSE)</f>
        <v>0</v>
      </c>
      <c r="E8580" s="2" t="str">
        <f>IF(Table1[[#This Row],[Is Data Valid]]=TRUE,IF(Table1[[#This Row],[Fetal Sex (Male, Female or Unknown)]]="Male",Backend!$C$6,IF(Table1[[#This Row],[Fetal Sex (Male, Female or Unknown)]]="Female",Backend!$C$7,IF(Table1[[#This Row],[Fetal Sex (Male, Female or Unknown)]]="Unknown",Backend!$C$8,"Error"))),"")</f>
        <v/>
      </c>
      <c r="F8580" s="8" t="str">
        <f>IF(Table1[[#This Row],[Is Data Valid]]=TRUE,EXP(0.578+0.332*((Table1[[#This Row],[Gestation (days)]]+0.5)/7)-0.00354*((Table1[[#This Row],[Gestation (days)]]+0.5)/7)^2)*Table1[[#This Row],[BW40_3705]],"")</f>
        <v/>
      </c>
      <c r="G8580" s="2" t="str">
        <f>IF(Table1[[#This Row],[Is Data Valid]]=TRUE,((Table1[[#This Row],[Birthweight (grams)]]/Table1[[#This Row],[BW_GA]])-1)/(Backend!$B$4/100*Table1[[#This Row],[BW40_3705]]),"")</f>
        <v/>
      </c>
      <c r="H8580" s="7" t="str">
        <f>IF(Table1[[#This Row],[Is Data Valid]]=TRUE,((Table1[[#This Row],[Birthweight (grams)]]*0.9/Table1[[#This Row],[BW_GA]])-1)/(Backend!$B$4/100*Table1[[#This Row],[BW40_3705]]),"")</f>
        <v/>
      </c>
      <c r="I8580" s="7" t="str">
        <f>IF(Table1[[#This Row],[Is Data Valid]]=TRUE,((Table1[[#This Row],[Birthweight (grams)]]*1.1/Table1[[#This Row],[BW_GA]])-1)/(Backend!$B$4/100*Table1[[#This Row],[BW40_3705]]),"")</f>
        <v/>
      </c>
      <c r="J8580" s="7" t="str">
        <f>IF(Table1[[#This Row],[Is Data Valid]]=TRUE,_xlfn.NORM.S.DIST(Table1[[#This Row],[Birthweight Z-Score]],TRUE)*100,"")</f>
        <v/>
      </c>
      <c r="K8580" s="7" t="str">
        <f>IF(Table1[[#This Row],[Is Data Valid]]=TRUE,_xlfn.NORM.S.DIST(Table1[[#This Row],[Birthweight Z-Score (BW-10%)]],TRUE)*100,"")</f>
        <v/>
      </c>
      <c r="L8580" s="7" t="str">
        <f>IF(Table1[[#This Row],[Is Data Valid]]=TRUE,_xlfn.NORM.S.DIST(Table1[[#This Row],[Birthweight Z-Score (BW+10%)]],TRUE)*100,"")</f>
        <v/>
      </c>
    </row>
    <row r="8581" spans="1:12" x14ac:dyDescent="0.35">
      <c r="A8581" s="3"/>
      <c r="B8581" s="2"/>
      <c r="C8581" s="2"/>
      <c r="D8581" s="2" t="b">
        <f>IF(AND(NOT(ISBLANK(Table1[[#This Row],[Fetal Sex (Male, Female or Unknown)]])),ISNUMBER(Table1[[#This Row],[Birthweight (grams)]]),ISNUMBER(Table1[[#This Row],[Gestation (days)]])),TRUE,FALSE)</f>
        <v>0</v>
      </c>
      <c r="E8581" s="2" t="str">
        <f>IF(Table1[[#This Row],[Is Data Valid]]=TRUE,IF(Table1[[#This Row],[Fetal Sex (Male, Female or Unknown)]]="Male",Backend!$C$6,IF(Table1[[#This Row],[Fetal Sex (Male, Female or Unknown)]]="Female",Backend!$C$7,IF(Table1[[#This Row],[Fetal Sex (Male, Female or Unknown)]]="Unknown",Backend!$C$8,"Error"))),"")</f>
        <v/>
      </c>
      <c r="F8581" s="8" t="str">
        <f>IF(Table1[[#This Row],[Is Data Valid]]=TRUE,EXP(0.578+0.332*((Table1[[#This Row],[Gestation (days)]]+0.5)/7)-0.00354*((Table1[[#This Row],[Gestation (days)]]+0.5)/7)^2)*Table1[[#This Row],[BW40_3705]],"")</f>
        <v/>
      </c>
      <c r="G8581" s="2" t="str">
        <f>IF(Table1[[#This Row],[Is Data Valid]]=TRUE,((Table1[[#This Row],[Birthweight (grams)]]/Table1[[#This Row],[BW_GA]])-1)/(Backend!$B$4/100*Table1[[#This Row],[BW40_3705]]),"")</f>
        <v/>
      </c>
      <c r="H8581" s="7" t="str">
        <f>IF(Table1[[#This Row],[Is Data Valid]]=TRUE,((Table1[[#This Row],[Birthweight (grams)]]*0.9/Table1[[#This Row],[BW_GA]])-1)/(Backend!$B$4/100*Table1[[#This Row],[BW40_3705]]),"")</f>
        <v/>
      </c>
      <c r="I8581" s="7" t="str">
        <f>IF(Table1[[#This Row],[Is Data Valid]]=TRUE,((Table1[[#This Row],[Birthweight (grams)]]*1.1/Table1[[#This Row],[BW_GA]])-1)/(Backend!$B$4/100*Table1[[#This Row],[BW40_3705]]),"")</f>
        <v/>
      </c>
      <c r="J8581" s="7" t="str">
        <f>IF(Table1[[#This Row],[Is Data Valid]]=TRUE,_xlfn.NORM.S.DIST(Table1[[#This Row],[Birthweight Z-Score]],TRUE)*100,"")</f>
        <v/>
      </c>
      <c r="K8581" s="7" t="str">
        <f>IF(Table1[[#This Row],[Is Data Valid]]=TRUE,_xlfn.NORM.S.DIST(Table1[[#This Row],[Birthweight Z-Score (BW-10%)]],TRUE)*100,"")</f>
        <v/>
      </c>
      <c r="L8581" s="7" t="str">
        <f>IF(Table1[[#This Row],[Is Data Valid]]=TRUE,_xlfn.NORM.S.DIST(Table1[[#This Row],[Birthweight Z-Score (BW+10%)]],TRUE)*100,"")</f>
        <v/>
      </c>
    </row>
    <row r="8582" spans="1:12" x14ac:dyDescent="0.35">
      <c r="A8582" s="3"/>
      <c r="B8582" s="2"/>
      <c r="C8582" s="2"/>
      <c r="D8582" s="2" t="b">
        <f>IF(AND(NOT(ISBLANK(Table1[[#This Row],[Fetal Sex (Male, Female or Unknown)]])),ISNUMBER(Table1[[#This Row],[Birthweight (grams)]]),ISNUMBER(Table1[[#This Row],[Gestation (days)]])),TRUE,FALSE)</f>
        <v>0</v>
      </c>
      <c r="E8582" s="2" t="str">
        <f>IF(Table1[[#This Row],[Is Data Valid]]=TRUE,IF(Table1[[#This Row],[Fetal Sex (Male, Female or Unknown)]]="Male",Backend!$C$6,IF(Table1[[#This Row],[Fetal Sex (Male, Female or Unknown)]]="Female",Backend!$C$7,IF(Table1[[#This Row],[Fetal Sex (Male, Female or Unknown)]]="Unknown",Backend!$C$8,"Error"))),"")</f>
        <v/>
      </c>
      <c r="F8582" s="8" t="str">
        <f>IF(Table1[[#This Row],[Is Data Valid]]=TRUE,EXP(0.578+0.332*((Table1[[#This Row],[Gestation (days)]]+0.5)/7)-0.00354*((Table1[[#This Row],[Gestation (days)]]+0.5)/7)^2)*Table1[[#This Row],[BW40_3705]],"")</f>
        <v/>
      </c>
      <c r="G8582" s="2" t="str">
        <f>IF(Table1[[#This Row],[Is Data Valid]]=TRUE,((Table1[[#This Row],[Birthweight (grams)]]/Table1[[#This Row],[BW_GA]])-1)/(Backend!$B$4/100*Table1[[#This Row],[BW40_3705]]),"")</f>
        <v/>
      </c>
      <c r="H8582" s="7" t="str">
        <f>IF(Table1[[#This Row],[Is Data Valid]]=TRUE,((Table1[[#This Row],[Birthweight (grams)]]*0.9/Table1[[#This Row],[BW_GA]])-1)/(Backend!$B$4/100*Table1[[#This Row],[BW40_3705]]),"")</f>
        <v/>
      </c>
      <c r="I8582" s="7" t="str">
        <f>IF(Table1[[#This Row],[Is Data Valid]]=TRUE,((Table1[[#This Row],[Birthweight (grams)]]*1.1/Table1[[#This Row],[BW_GA]])-1)/(Backend!$B$4/100*Table1[[#This Row],[BW40_3705]]),"")</f>
        <v/>
      </c>
      <c r="J8582" s="7" t="str">
        <f>IF(Table1[[#This Row],[Is Data Valid]]=TRUE,_xlfn.NORM.S.DIST(Table1[[#This Row],[Birthweight Z-Score]],TRUE)*100,"")</f>
        <v/>
      </c>
      <c r="K8582" s="7" t="str">
        <f>IF(Table1[[#This Row],[Is Data Valid]]=TRUE,_xlfn.NORM.S.DIST(Table1[[#This Row],[Birthweight Z-Score (BW-10%)]],TRUE)*100,"")</f>
        <v/>
      </c>
      <c r="L8582" s="7" t="str">
        <f>IF(Table1[[#This Row],[Is Data Valid]]=TRUE,_xlfn.NORM.S.DIST(Table1[[#This Row],[Birthweight Z-Score (BW+10%)]],TRUE)*100,"")</f>
        <v/>
      </c>
    </row>
    <row r="8583" spans="1:12" x14ac:dyDescent="0.35">
      <c r="A8583" s="3"/>
      <c r="B8583" s="2"/>
      <c r="C8583" s="2"/>
      <c r="D8583" s="2" t="b">
        <f>IF(AND(NOT(ISBLANK(Table1[[#This Row],[Fetal Sex (Male, Female or Unknown)]])),ISNUMBER(Table1[[#This Row],[Birthweight (grams)]]),ISNUMBER(Table1[[#This Row],[Gestation (days)]])),TRUE,FALSE)</f>
        <v>0</v>
      </c>
      <c r="E8583" s="2" t="str">
        <f>IF(Table1[[#This Row],[Is Data Valid]]=TRUE,IF(Table1[[#This Row],[Fetal Sex (Male, Female or Unknown)]]="Male",Backend!$C$6,IF(Table1[[#This Row],[Fetal Sex (Male, Female or Unknown)]]="Female",Backend!$C$7,IF(Table1[[#This Row],[Fetal Sex (Male, Female or Unknown)]]="Unknown",Backend!$C$8,"Error"))),"")</f>
        <v/>
      </c>
      <c r="F8583" s="8" t="str">
        <f>IF(Table1[[#This Row],[Is Data Valid]]=TRUE,EXP(0.578+0.332*((Table1[[#This Row],[Gestation (days)]]+0.5)/7)-0.00354*((Table1[[#This Row],[Gestation (days)]]+0.5)/7)^2)*Table1[[#This Row],[BW40_3705]],"")</f>
        <v/>
      </c>
      <c r="G8583" s="2" t="str">
        <f>IF(Table1[[#This Row],[Is Data Valid]]=TRUE,((Table1[[#This Row],[Birthweight (grams)]]/Table1[[#This Row],[BW_GA]])-1)/(Backend!$B$4/100*Table1[[#This Row],[BW40_3705]]),"")</f>
        <v/>
      </c>
      <c r="H8583" s="7" t="str">
        <f>IF(Table1[[#This Row],[Is Data Valid]]=TRUE,((Table1[[#This Row],[Birthweight (grams)]]*0.9/Table1[[#This Row],[BW_GA]])-1)/(Backend!$B$4/100*Table1[[#This Row],[BW40_3705]]),"")</f>
        <v/>
      </c>
      <c r="I8583" s="7" t="str">
        <f>IF(Table1[[#This Row],[Is Data Valid]]=TRUE,((Table1[[#This Row],[Birthweight (grams)]]*1.1/Table1[[#This Row],[BW_GA]])-1)/(Backend!$B$4/100*Table1[[#This Row],[BW40_3705]]),"")</f>
        <v/>
      </c>
      <c r="J8583" s="7" t="str">
        <f>IF(Table1[[#This Row],[Is Data Valid]]=TRUE,_xlfn.NORM.S.DIST(Table1[[#This Row],[Birthweight Z-Score]],TRUE)*100,"")</f>
        <v/>
      </c>
      <c r="K8583" s="7" t="str">
        <f>IF(Table1[[#This Row],[Is Data Valid]]=TRUE,_xlfn.NORM.S.DIST(Table1[[#This Row],[Birthweight Z-Score (BW-10%)]],TRUE)*100,"")</f>
        <v/>
      </c>
      <c r="L8583" s="7" t="str">
        <f>IF(Table1[[#This Row],[Is Data Valid]]=TRUE,_xlfn.NORM.S.DIST(Table1[[#This Row],[Birthweight Z-Score (BW+10%)]],TRUE)*100,"")</f>
        <v/>
      </c>
    </row>
    <row r="8584" spans="1:12" x14ac:dyDescent="0.35">
      <c r="A8584" s="3"/>
      <c r="B8584" s="2"/>
      <c r="C8584" s="2"/>
      <c r="D8584" s="2" t="b">
        <f>IF(AND(NOT(ISBLANK(Table1[[#This Row],[Fetal Sex (Male, Female or Unknown)]])),ISNUMBER(Table1[[#This Row],[Birthweight (grams)]]),ISNUMBER(Table1[[#This Row],[Gestation (days)]])),TRUE,FALSE)</f>
        <v>0</v>
      </c>
      <c r="E8584" s="2" t="str">
        <f>IF(Table1[[#This Row],[Is Data Valid]]=TRUE,IF(Table1[[#This Row],[Fetal Sex (Male, Female or Unknown)]]="Male",Backend!$C$6,IF(Table1[[#This Row],[Fetal Sex (Male, Female or Unknown)]]="Female",Backend!$C$7,IF(Table1[[#This Row],[Fetal Sex (Male, Female or Unknown)]]="Unknown",Backend!$C$8,"Error"))),"")</f>
        <v/>
      </c>
      <c r="F8584" s="8" t="str">
        <f>IF(Table1[[#This Row],[Is Data Valid]]=TRUE,EXP(0.578+0.332*((Table1[[#This Row],[Gestation (days)]]+0.5)/7)-0.00354*((Table1[[#This Row],[Gestation (days)]]+0.5)/7)^2)*Table1[[#This Row],[BW40_3705]],"")</f>
        <v/>
      </c>
      <c r="G8584" s="2" t="str">
        <f>IF(Table1[[#This Row],[Is Data Valid]]=TRUE,((Table1[[#This Row],[Birthweight (grams)]]/Table1[[#This Row],[BW_GA]])-1)/(Backend!$B$4/100*Table1[[#This Row],[BW40_3705]]),"")</f>
        <v/>
      </c>
      <c r="H8584" s="7" t="str">
        <f>IF(Table1[[#This Row],[Is Data Valid]]=TRUE,((Table1[[#This Row],[Birthweight (grams)]]*0.9/Table1[[#This Row],[BW_GA]])-1)/(Backend!$B$4/100*Table1[[#This Row],[BW40_3705]]),"")</f>
        <v/>
      </c>
      <c r="I8584" s="7" t="str">
        <f>IF(Table1[[#This Row],[Is Data Valid]]=TRUE,((Table1[[#This Row],[Birthweight (grams)]]*1.1/Table1[[#This Row],[BW_GA]])-1)/(Backend!$B$4/100*Table1[[#This Row],[BW40_3705]]),"")</f>
        <v/>
      </c>
      <c r="J8584" s="7" t="str">
        <f>IF(Table1[[#This Row],[Is Data Valid]]=TRUE,_xlfn.NORM.S.DIST(Table1[[#This Row],[Birthweight Z-Score]],TRUE)*100,"")</f>
        <v/>
      </c>
      <c r="K8584" s="7" t="str">
        <f>IF(Table1[[#This Row],[Is Data Valid]]=TRUE,_xlfn.NORM.S.DIST(Table1[[#This Row],[Birthweight Z-Score (BW-10%)]],TRUE)*100,"")</f>
        <v/>
      </c>
      <c r="L8584" s="7" t="str">
        <f>IF(Table1[[#This Row],[Is Data Valid]]=TRUE,_xlfn.NORM.S.DIST(Table1[[#This Row],[Birthweight Z-Score (BW+10%)]],TRUE)*100,"")</f>
        <v/>
      </c>
    </row>
    <row r="8585" spans="1:12" x14ac:dyDescent="0.35">
      <c r="A8585" s="3"/>
      <c r="B8585" s="2"/>
      <c r="C8585" s="2"/>
      <c r="D8585" s="2" t="b">
        <f>IF(AND(NOT(ISBLANK(Table1[[#This Row],[Fetal Sex (Male, Female or Unknown)]])),ISNUMBER(Table1[[#This Row],[Birthweight (grams)]]),ISNUMBER(Table1[[#This Row],[Gestation (days)]])),TRUE,FALSE)</f>
        <v>0</v>
      </c>
      <c r="E8585" s="2" t="str">
        <f>IF(Table1[[#This Row],[Is Data Valid]]=TRUE,IF(Table1[[#This Row],[Fetal Sex (Male, Female or Unknown)]]="Male",Backend!$C$6,IF(Table1[[#This Row],[Fetal Sex (Male, Female or Unknown)]]="Female",Backend!$C$7,IF(Table1[[#This Row],[Fetal Sex (Male, Female or Unknown)]]="Unknown",Backend!$C$8,"Error"))),"")</f>
        <v/>
      </c>
      <c r="F8585" s="8" t="str">
        <f>IF(Table1[[#This Row],[Is Data Valid]]=TRUE,EXP(0.578+0.332*((Table1[[#This Row],[Gestation (days)]]+0.5)/7)-0.00354*((Table1[[#This Row],[Gestation (days)]]+0.5)/7)^2)*Table1[[#This Row],[BW40_3705]],"")</f>
        <v/>
      </c>
      <c r="G8585" s="2" t="str">
        <f>IF(Table1[[#This Row],[Is Data Valid]]=TRUE,((Table1[[#This Row],[Birthweight (grams)]]/Table1[[#This Row],[BW_GA]])-1)/(Backend!$B$4/100*Table1[[#This Row],[BW40_3705]]),"")</f>
        <v/>
      </c>
      <c r="H8585" s="7" t="str">
        <f>IF(Table1[[#This Row],[Is Data Valid]]=TRUE,((Table1[[#This Row],[Birthweight (grams)]]*0.9/Table1[[#This Row],[BW_GA]])-1)/(Backend!$B$4/100*Table1[[#This Row],[BW40_3705]]),"")</f>
        <v/>
      </c>
      <c r="I8585" s="7" t="str">
        <f>IF(Table1[[#This Row],[Is Data Valid]]=TRUE,((Table1[[#This Row],[Birthweight (grams)]]*1.1/Table1[[#This Row],[BW_GA]])-1)/(Backend!$B$4/100*Table1[[#This Row],[BW40_3705]]),"")</f>
        <v/>
      </c>
      <c r="J8585" s="7" t="str">
        <f>IF(Table1[[#This Row],[Is Data Valid]]=TRUE,_xlfn.NORM.S.DIST(Table1[[#This Row],[Birthweight Z-Score]],TRUE)*100,"")</f>
        <v/>
      </c>
      <c r="K8585" s="7" t="str">
        <f>IF(Table1[[#This Row],[Is Data Valid]]=TRUE,_xlfn.NORM.S.DIST(Table1[[#This Row],[Birthweight Z-Score (BW-10%)]],TRUE)*100,"")</f>
        <v/>
      </c>
      <c r="L8585" s="7" t="str">
        <f>IF(Table1[[#This Row],[Is Data Valid]]=TRUE,_xlfn.NORM.S.DIST(Table1[[#This Row],[Birthweight Z-Score (BW+10%)]],TRUE)*100,"")</f>
        <v/>
      </c>
    </row>
    <row r="8586" spans="1:12" x14ac:dyDescent="0.35">
      <c r="A8586" s="3"/>
      <c r="B8586" s="2"/>
      <c r="C8586" s="2"/>
      <c r="D8586" s="2" t="b">
        <f>IF(AND(NOT(ISBLANK(Table1[[#This Row],[Fetal Sex (Male, Female or Unknown)]])),ISNUMBER(Table1[[#This Row],[Birthweight (grams)]]),ISNUMBER(Table1[[#This Row],[Gestation (days)]])),TRUE,FALSE)</f>
        <v>0</v>
      </c>
      <c r="E8586" s="2" t="str">
        <f>IF(Table1[[#This Row],[Is Data Valid]]=TRUE,IF(Table1[[#This Row],[Fetal Sex (Male, Female or Unknown)]]="Male",Backend!$C$6,IF(Table1[[#This Row],[Fetal Sex (Male, Female or Unknown)]]="Female",Backend!$C$7,IF(Table1[[#This Row],[Fetal Sex (Male, Female or Unknown)]]="Unknown",Backend!$C$8,"Error"))),"")</f>
        <v/>
      </c>
      <c r="F8586" s="8" t="str">
        <f>IF(Table1[[#This Row],[Is Data Valid]]=TRUE,EXP(0.578+0.332*((Table1[[#This Row],[Gestation (days)]]+0.5)/7)-0.00354*((Table1[[#This Row],[Gestation (days)]]+0.5)/7)^2)*Table1[[#This Row],[BW40_3705]],"")</f>
        <v/>
      </c>
      <c r="G8586" s="2" t="str">
        <f>IF(Table1[[#This Row],[Is Data Valid]]=TRUE,((Table1[[#This Row],[Birthweight (grams)]]/Table1[[#This Row],[BW_GA]])-1)/(Backend!$B$4/100*Table1[[#This Row],[BW40_3705]]),"")</f>
        <v/>
      </c>
      <c r="H8586" s="7" t="str">
        <f>IF(Table1[[#This Row],[Is Data Valid]]=TRUE,((Table1[[#This Row],[Birthweight (grams)]]*0.9/Table1[[#This Row],[BW_GA]])-1)/(Backend!$B$4/100*Table1[[#This Row],[BW40_3705]]),"")</f>
        <v/>
      </c>
      <c r="I8586" s="7" t="str">
        <f>IF(Table1[[#This Row],[Is Data Valid]]=TRUE,((Table1[[#This Row],[Birthweight (grams)]]*1.1/Table1[[#This Row],[BW_GA]])-1)/(Backend!$B$4/100*Table1[[#This Row],[BW40_3705]]),"")</f>
        <v/>
      </c>
      <c r="J8586" s="7" t="str">
        <f>IF(Table1[[#This Row],[Is Data Valid]]=TRUE,_xlfn.NORM.S.DIST(Table1[[#This Row],[Birthweight Z-Score]],TRUE)*100,"")</f>
        <v/>
      </c>
      <c r="K8586" s="7" t="str">
        <f>IF(Table1[[#This Row],[Is Data Valid]]=TRUE,_xlfn.NORM.S.DIST(Table1[[#This Row],[Birthweight Z-Score (BW-10%)]],TRUE)*100,"")</f>
        <v/>
      </c>
      <c r="L8586" s="7" t="str">
        <f>IF(Table1[[#This Row],[Is Data Valid]]=TRUE,_xlfn.NORM.S.DIST(Table1[[#This Row],[Birthweight Z-Score (BW+10%)]],TRUE)*100,"")</f>
        <v/>
      </c>
    </row>
    <row r="8587" spans="1:12" x14ac:dyDescent="0.35">
      <c r="A8587" s="3"/>
      <c r="B8587" s="2"/>
      <c r="C8587" s="2"/>
      <c r="D8587" s="2" t="b">
        <f>IF(AND(NOT(ISBLANK(Table1[[#This Row],[Fetal Sex (Male, Female or Unknown)]])),ISNUMBER(Table1[[#This Row],[Birthweight (grams)]]),ISNUMBER(Table1[[#This Row],[Gestation (days)]])),TRUE,FALSE)</f>
        <v>0</v>
      </c>
      <c r="E8587" s="2" t="str">
        <f>IF(Table1[[#This Row],[Is Data Valid]]=TRUE,IF(Table1[[#This Row],[Fetal Sex (Male, Female or Unknown)]]="Male",Backend!$C$6,IF(Table1[[#This Row],[Fetal Sex (Male, Female or Unknown)]]="Female",Backend!$C$7,IF(Table1[[#This Row],[Fetal Sex (Male, Female or Unknown)]]="Unknown",Backend!$C$8,"Error"))),"")</f>
        <v/>
      </c>
      <c r="F8587" s="8" t="str">
        <f>IF(Table1[[#This Row],[Is Data Valid]]=TRUE,EXP(0.578+0.332*((Table1[[#This Row],[Gestation (days)]]+0.5)/7)-0.00354*((Table1[[#This Row],[Gestation (days)]]+0.5)/7)^2)*Table1[[#This Row],[BW40_3705]],"")</f>
        <v/>
      </c>
      <c r="G8587" s="2" t="str">
        <f>IF(Table1[[#This Row],[Is Data Valid]]=TRUE,((Table1[[#This Row],[Birthweight (grams)]]/Table1[[#This Row],[BW_GA]])-1)/(Backend!$B$4/100*Table1[[#This Row],[BW40_3705]]),"")</f>
        <v/>
      </c>
      <c r="H8587" s="7" t="str">
        <f>IF(Table1[[#This Row],[Is Data Valid]]=TRUE,((Table1[[#This Row],[Birthweight (grams)]]*0.9/Table1[[#This Row],[BW_GA]])-1)/(Backend!$B$4/100*Table1[[#This Row],[BW40_3705]]),"")</f>
        <v/>
      </c>
      <c r="I8587" s="7" t="str">
        <f>IF(Table1[[#This Row],[Is Data Valid]]=TRUE,((Table1[[#This Row],[Birthweight (grams)]]*1.1/Table1[[#This Row],[BW_GA]])-1)/(Backend!$B$4/100*Table1[[#This Row],[BW40_3705]]),"")</f>
        <v/>
      </c>
      <c r="J8587" s="7" t="str">
        <f>IF(Table1[[#This Row],[Is Data Valid]]=TRUE,_xlfn.NORM.S.DIST(Table1[[#This Row],[Birthweight Z-Score]],TRUE)*100,"")</f>
        <v/>
      </c>
      <c r="K8587" s="7" t="str">
        <f>IF(Table1[[#This Row],[Is Data Valid]]=TRUE,_xlfn.NORM.S.DIST(Table1[[#This Row],[Birthweight Z-Score (BW-10%)]],TRUE)*100,"")</f>
        <v/>
      </c>
      <c r="L8587" s="7" t="str">
        <f>IF(Table1[[#This Row],[Is Data Valid]]=TRUE,_xlfn.NORM.S.DIST(Table1[[#This Row],[Birthweight Z-Score (BW+10%)]],TRUE)*100,"")</f>
        <v/>
      </c>
    </row>
    <row r="8588" spans="1:12" x14ac:dyDescent="0.35">
      <c r="A8588" s="3"/>
      <c r="B8588" s="2"/>
      <c r="C8588" s="2"/>
      <c r="D8588" s="2" t="b">
        <f>IF(AND(NOT(ISBLANK(Table1[[#This Row],[Fetal Sex (Male, Female or Unknown)]])),ISNUMBER(Table1[[#This Row],[Birthweight (grams)]]),ISNUMBER(Table1[[#This Row],[Gestation (days)]])),TRUE,FALSE)</f>
        <v>0</v>
      </c>
      <c r="E8588" s="2" t="str">
        <f>IF(Table1[[#This Row],[Is Data Valid]]=TRUE,IF(Table1[[#This Row],[Fetal Sex (Male, Female or Unknown)]]="Male",Backend!$C$6,IF(Table1[[#This Row],[Fetal Sex (Male, Female or Unknown)]]="Female",Backend!$C$7,IF(Table1[[#This Row],[Fetal Sex (Male, Female or Unknown)]]="Unknown",Backend!$C$8,"Error"))),"")</f>
        <v/>
      </c>
      <c r="F8588" s="8" t="str">
        <f>IF(Table1[[#This Row],[Is Data Valid]]=TRUE,EXP(0.578+0.332*((Table1[[#This Row],[Gestation (days)]]+0.5)/7)-0.00354*((Table1[[#This Row],[Gestation (days)]]+0.5)/7)^2)*Table1[[#This Row],[BW40_3705]],"")</f>
        <v/>
      </c>
      <c r="G8588" s="2" t="str">
        <f>IF(Table1[[#This Row],[Is Data Valid]]=TRUE,((Table1[[#This Row],[Birthweight (grams)]]/Table1[[#This Row],[BW_GA]])-1)/(Backend!$B$4/100*Table1[[#This Row],[BW40_3705]]),"")</f>
        <v/>
      </c>
      <c r="H8588" s="7" t="str">
        <f>IF(Table1[[#This Row],[Is Data Valid]]=TRUE,((Table1[[#This Row],[Birthweight (grams)]]*0.9/Table1[[#This Row],[BW_GA]])-1)/(Backend!$B$4/100*Table1[[#This Row],[BW40_3705]]),"")</f>
        <v/>
      </c>
      <c r="I8588" s="7" t="str">
        <f>IF(Table1[[#This Row],[Is Data Valid]]=TRUE,((Table1[[#This Row],[Birthweight (grams)]]*1.1/Table1[[#This Row],[BW_GA]])-1)/(Backend!$B$4/100*Table1[[#This Row],[BW40_3705]]),"")</f>
        <v/>
      </c>
      <c r="J8588" s="7" t="str">
        <f>IF(Table1[[#This Row],[Is Data Valid]]=TRUE,_xlfn.NORM.S.DIST(Table1[[#This Row],[Birthweight Z-Score]],TRUE)*100,"")</f>
        <v/>
      </c>
      <c r="K8588" s="7" t="str">
        <f>IF(Table1[[#This Row],[Is Data Valid]]=TRUE,_xlfn.NORM.S.DIST(Table1[[#This Row],[Birthweight Z-Score (BW-10%)]],TRUE)*100,"")</f>
        <v/>
      </c>
      <c r="L8588" s="7" t="str">
        <f>IF(Table1[[#This Row],[Is Data Valid]]=TRUE,_xlfn.NORM.S.DIST(Table1[[#This Row],[Birthweight Z-Score (BW+10%)]],TRUE)*100,"")</f>
        <v/>
      </c>
    </row>
    <row r="8589" spans="1:12" x14ac:dyDescent="0.35">
      <c r="A8589" s="3"/>
      <c r="B8589" s="2"/>
      <c r="C8589" s="2"/>
      <c r="D8589" s="2" t="b">
        <f>IF(AND(NOT(ISBLANK(Table1[[#This Row],[Fetal Sex (Male, Female or Unknown)]])),ISNUMBER(Table1[[#This Row],[Birthweight (grams)]]),ISNUMBER(Table1[[#This Row],[Gestation (days)]])),TRUE,FALSE)</f>
        <v>0</v>
      </c>
      <c r="E8589" s="2" t="str">
        <f>IF(Table1[[#This Row],[Is Data Valid]]=TRUE,IF(Table1[[#This Row],[Fetal Sex (Male, Female or Unknown)]]="Male",Backend!$C$6,IF(Table1[[#This Row],[Fetal Sex (Male, Female or Unknown)]]="Female",Backend!$C$7,IF(Table1[[#This Row],[Fetal Sex (Male, Female or Unknown)]]="Unknown",Backend!$C$8,"Error"))),"")</f>
        <v/>
      </c>
      <c r="F8589" s="8" t="str">
        <f>IF(Table1[[#This Row],[Is Data Valid]]=TRUE,EXP(0.578+0.332*((Table1[[#This Row],[Gestation (days)]]+0.5)/7)-0.00354*((Table1[[#This Row],[Gestation (days)]]+0.5)/7)^2)*Table1[[#This Row],[BW40_3705]],"")</f>
        <v/>
      </c>
      <c r="G8589" s="2" t="str">
        <f>IF(Table1[[#This Row],[Is Data Valid]]=TRUE,((Table1[[#This Row],[Birthweight (grams)]]/Table1[[#This Row],[BW_GA]])-1)/(Backend!$B$4/100*Table1[[#This Row],[BW40_3705]]),"")</f>
        <v/>
      </c>
      <c r="H8589" s="7" t="str">
        <f>IF(Table1[[#This Row],[Is Data Valid]]=TRUE,((Table1[[#This Row],[Birthweight (grams)]]*0.9/Table1[[#This Row],[BW_GA]])-1)/(Backend!$B$4/100*Table1[[#This Row],[BW40_3705]]),"")</f>
        <v/>
      </c>
      <c r="I8589" s="7" t="str">
        <f>IF(Table1[[#This Row],[Is Data Valid]]=TRUE,((Table1[[#This Row],[Birthweight (grams)]]*1.1/Table1[[#This Row],[BW_GA]])-1)/(Backend!$B$4/100*Table1[[#This Row],[BW40_3705]]),"")</f>
        <v/>
      </c>
      <c r="J8589" s="7" t="str">
        <f>IF(Table1[[#This Row],[Is Data Valid]]=TRUE,_xlfn.NORM.S.DIST(Table1[[#This Row],[Birthweight Z-Score]],TRUE)*100,"")</f>
        <v/>
      </c>
      <c r="K8589" s="7" t="str">
        <f>IF(Table1[[#This Row],[Is Data Valid]]=TRUE,_xlfn.NORM.S.DIST(Table1[[#This Row],[Birthweight Z-Score (BW-10%)]],TRUE)*100,"")</f>
        <v/>
      </c>
      <c r="L8589" s="7" t="str">
        <f>IF(Table1[[#This Row],[Is Data Valid]]=TRUE,_xlfn.NORM.S.DIST(Table1[[#This Row],[Birthweight Z-Score (BW+10%)]],TRUE)*100,"")</f>
        <v/>
      </c>
    </row>
    <row r="8590" spans="1:12" x14ac:dyDescent="0.35">
      <c r="A8590" s="3"/>
      <c r="B8590" s="2"/>
      <c r="C8590" s="2"/>
      <c r="D8590" s="2" t="b">
        <f>IF(AND(NOT(ISBLANK(Table1[[#This Row],[Fetal Sex (Male, Female or Unknown)]])),ISNUMBER(Table1[[#This Row],[Birthweight (grams)]]),ISNUMBER(Table1[[#This Row],[Gestation (days)]])),TRUE,FALSE)</f>
        <v>0</v>
      </c>
      <c r="E8590" s="2" t="str">
        <f>IF(Table1[[#This Row],[Is Data Valid]]=TRUE,IF(Table1[[#This Row],[Fetal Sex (Male, Female or Unknown)]]="Male",Backend!$C$6,IF(Table1[[#This Row],[Fetal Sex (Male, Female or Unknown)]]="Female",Backend!$C$7,IF(Table1[[#This Row],[Fetal Sex (Male, Female or Unknown)]]="Unknown",Backend!$C$8,"Error"))),"")</f>
        <v/>
      </c>
      <c r="F8590" s="8" t="str">
        <f>IF(Table1[[#This Row],[Is Data Valid]]=TRUE,EXP(0.578+0.332*((Table1[[#This Row],[Gestation (days)]]+0.5)/7)-0.00354*((Table1[[#This Row],[Gestation (days)]]+0.5)/7)^2)*Table1[[#This Row],[BW40_3705]],"")</f>
        <v/>
      </c>
      <c r="G8590" s="2" t="str">
        <f>IF(Table1[[#This Row],[Is Data Valid]]=TRUE,((Table1[[#This Row],[Birthweight (grams)]]/Table1[[#This Row],[BW_GA]])-1)/(Backend!$B$4/100*Table1[[#This Row],[BW40_3705]]),"")</f>
        <v/>
      </c>
      <c r="H8590" s="7" t="str">
        <f>IF(Table1[[#This Row],[Is Data Valid]]=TRUE,((Table1[[#This Row],[Birthweight (grams)]]*0.9/Table1[[#This Row],[BW_GA]])-1)/(Backend!$B$4/100*Table1[[#This Row],[BW40_3705]]),"")</f>
        <v/>
      </c>
      <c r="I8590" s="7" t="str">
        <f>IF(Table1[[#This Row],[Is Data Valid]]=TRUE,((Table1[[#This Row],[Birthweight (grams)]]*1.1/Table1[[#This Row],[BW_GA]])-1)/(Backend!$B$4/100*Table1[[#This Row],[BW40_3705]]),"")</f>
        <v/>
      </c>
      <c r="J8590" s="7" t="str">
        <f>IF(Table1[[#This Row],[Is Data Valid]]=TRUE,_xlfn.NORM.S.DIST(Table1[[#This Row],[Birthweight Z-Score]],TRUE)*100,"")</f>
        <v/>
      </c>
      <c r="K8590" s="7" t="str">
        <f>IF(Table1[[#This Row],[Is Data Valid]]=TRUE,_xlfn.NORM.S.DIST(Table1[[#This Row],[Birthweight Z-Score (BW-10%)]],TRUE)*100,"")</f>
        <v/>
      </c>
      <c r="L8590" s="7" t="str">
        <f>IF(Table1[[#This Row],[Is Data Valid]]=TRUE,_xlfn.NORM.S.DIST(Table1[[#This Row],[Birthweight Z-Score (BW+10%)]],TRUE)*100,"")</f>
        <v/>
      </c>
    </row>
    <row r="8591" spans="1:12" x14ac:dyDescent="0.35">
      <c r="A8591" s="3"/>
      <c r="B8591" s="2"/>
      <c r="C8591" s="2"/>
      <c r="D8591" s="2" t="b">
        <f>IF(AND(NOT(ISBLANK(Table1[[#This Row],[Fetal Sex (Male, Female or Unknown)]])),ISNUMBER(Table1[[#This Row],[Birthweight (grams)]]),ISNUMBER(Table1[[#This Row],[Gestation (days)]])),TRUE,FALSE)</f>
        <v>0</v>
      </c>
      <c r="E8591" s="2" t="str">
        <f>IF(Table1[[#This Row],[Is Data Valid]]=TRUE,IF(Table1[[#This Row],[Fetal Sex (Male, Female or Unknown)]]="Male",Backend!$C$6,IF(Table1[[#This Row],[Fetal Sex (Male, Female or Unknown)]]="Female",Backend!$C$7,IF(Table1[[#This Row],[Fetal Sex (Male, Female or Unknown)]]="Unknown",Backend!$C$8,"Error"))),"")</f>
        <v/>
      </c>
      <c r="F8591" s="8" t="str">
        <f>IF(Table1[[#This Row],[Is Data Valid]]=TRUE,EXP(0.578+0.332*((Table1[[#This Row],[Gestation (days)]]+0.5)/7)-0.00354*((Table1[[#This Row],[Gestation (days)]]+0.5)/7)^2)*Table1[[#This Row],[BW40_3705]],"")</f>
        <v/>
      </c>
      <c r="G8591" s="2" t="str">
        <f>IF(Table1[[#This Row],[Is Data Valid]]=TRUE,((Table1[[#This Row],[Birthweight (grams)]]/Table1[[#This Row],[BW_GA]])-1)/(Backend!$B$4/100*Table1[[#This Row],[BW40_3705]]),"")</f>
        <v/>
      </c>
      <c r="H8591" s="7" t="str">
        <f>IF(Table1[[#This Row],[Is Data Valid]]=TRUE,((Table1[[#This Row],[Birthweight (grams)]]*0.9/Table1[[#This Row],[BW_GA]])-1)/(Backend!$B$4/100*Table1[[#This Row],[BW40_3705]]),"")</f>
        <v/>
      </c>
      <c r="I8591" s="7" t="str">
        <f>IF(Table1[[#This Row],[Is Data Valid]]=TRUE,((Table1[[#This Row],[Birthweight (grams)]]*1.1/Table1[[#This Row],[BW_GA]])-1)/(Backend!$B$4/100*Table1[[#This Row],[BW40_3705]]),"")</f>
        <v/>
      </c>
      <c r="J8591" s="7" t="str">
        <f>IF(Table1[[#This Row],[Is Data Valid]]=TRUE,_xlfn.NORM.S.DIST(Table1[[#This Row],[Birthweight Z-Score]],TRUE)*100,"")</f>
        <v/>
      </c>
      <c r="K8591" s="7" t="str">
        <f>IF(Table1[[#This Row],[Is Data Valid]]=TRUE,_xlfn.NORM.S.DIST(Table1[[#This Row],[Birthweight Z-Score (BW-10%)]],TRUE)*100,"")</f>
        <v/>
      </c>
      <c r="L8591" s="7" t="str">
        <f>IF(Table1[[#This Row],[Is Data Valid]]=TRUE,_xlfn.NORM.S.DIST(Table1[[#This Row],[Birthweight Z-Score (BW+10%)]],TRUE)*100,"")</f>
        <v/>
      </c>
    </row>
    <row r="8592" spans="1:12" x14ac:dyDescent="0.35">
      <c r="A8592" s="3"/>
      <c r="B8592" s="2"/>
      <c r="C8592" s="2"/>
      <c r="D8592" s="2" t="b">
        <f>IF(AND(NOT(ISBLANK(Table1[[#This Row],[Fetal Sex (Male, Female or Unknown)]])),ISNUMBER(Table1[[#This Row],[Birthweight (grams)]]),ISNUMBER(Table1[[#This Row],[Gestation (days)]])),TRUE,FALSE)</f>
        <v>0</v>
      </c>
      <c r="E8592" s="2" t="str">
        <f>IF(Table1[[#This Row],[Is Data Valid]]=TRUE,IF(Table1[[#This Row],[Fetal Sex (Male, Female or Unknown)]]="Male",Backend!$C$6,IF(Table1[[#This Row],[Fetal Sex (Male, Female or Unknown)]]="Female",Backend!$C$7,IF(Table1[[#This Row],[Fetal Sex (Male, Female or Unknown)]]="Unknown",Backend!$C$8,"Error"))),"")</f>
        <v/>
      </c>
      <c r="F8592" s="8" t="str">
        <f>IF(Table1[[#This Row],[Is Data Valid]]=TRUE,EXP(0.578+0.332*((Table1[[#This Row],[Gestation (days)]]+0.5)/7)-0.00354*((Table1[[#This Row],[Gestation (days)]]+0.5)/7)^2)*Table1[[#This Row],[BW40_3705]],"")</f>
        <v/>
      </c>
      <c r="G8592" s="2" t="str">
        <f>IF(Table1[[#This Row],[Is Data Valid]]=TRUE,((Table1[[#This Row],[Birthweight (grams)]]/Table1[[#This Row],[BW_GA]])-1)/(Backend!$B$4/100*Table1[[#This Row],[BW40_3705]]),"")</f>
        <v/>
      </c>
      <c r="H8592" s="7" t="str">
        <f>IF(Table1[[#This Row],[Is Data Valid]]=TRUE,((Table1[[#This Row],[Birthweight (grams)]]*0.9/Table1[[#This Row],[BW_GA]])-1)/(Backend!$B$4/100*Table1[[#This Row],[BW40_3705]]),"")</f>
        <v/>
      </c>
      <c r="I8592" s="7" t="str">
        <f>IF(Table1[[#This Row],[Is Data Valid]]=TRUE,((Table1[[#This Row],[Birthweight (grams)]]*1.1/Table1[[#This Row],[BW_GA]])-1)/(Backend!$B$4/100*Table1[[#This Row],[BW40_3705]]),"")</f>
        <v/>
      </c>
      <c r="J8592" s="7" t="str">
        <f>IF(Table1[[#This Row],[Is Data Valid]]=TRUE,_xlfn.NORM.S.DIST(Table1[[#This Row],[Birthweight Z-Score]],TRUE)*100,"")</f>
        <v/>
      </c>
      <c r="K8592" s="7" t="str">
        <f>IF(Table1[[#This Row],[Is Data Valid]]=TRUE,_xlfn.NORM.S.DIST(Table1[[#This Row],[Birthweight Z-Score (BW-10%)]],TRUE)*100,"")</f>
        <v/>
      </c>
      <c r="L8592" s="7" t="str">
        <f>IF(Table1[[#This Row],[Is Data Valid]]=TRUE,_xlfn.NORM.S.DIST(Table1[[#This Row],[Birthweight Z-Score (BW+10%)]],TRUE)*100,"")</f>
        <v/>
      </c>
    </row>
    <row r="8593" spans="1:12" x14ac:dyDescent="0.35">
      <c r="A8593" s="3"/>
      <c r="B8593" s="2"/>
      <c r="C8593" s="2"/>
      <c r="D8593" s="2" t="b">
        <f>IF(AND(NOT(ISBLANK(Table1[[#This Row],[Fetal Sex (Male, Female or Unknown)]])),ISNUMBER(Table1[[#This Row],[Birthweight (grams)]]),ISNUMBER(Table1[[#This Row],[Gestation (days)]])),TRUE,FALSE)</f>
        <v>0</v>
      </c>
      <c r="E8593" s="2" t="str">
        <f>IF(Table1[[#This Row],[Is Data Valid]]=TRUE,IF(Table1[[#This Row],[Fetal Sex (Male, Female or Unknown)]]="Male",Backend!$C$6,IF(Table1[[#This Row],[Fetal Sex (Male, Female or Unknown)]]="Female",Backend!$C$7,IF(Table1[[#This Row],[Fetal Sex (Male, Female or Unknown)]]="Unknown",Backend!$C$8,"Error"))),"")</f>
        <v/>
      </c>
      <c r="F8593" s="8" t="str">
        <f>IF(Table1[[#This Row],[Is Data Valid]]=TRUE,EXP(0.578+0.332*((Table1[[#This Row],[Gestation (days)]]+0.5)/7)-0.00354*((Table1[[#This Row],[Gestation (days)]]+0.5)/7)^2)*Table1[[#This Row],[BW40_3705]],"")</f>
        <v/>
      </c>
      <c r="G8593" s="2" t="str">
        <f>IF(Table1[[#This Row],[Is Data Valid]]=TRUE,((Table1[[#This Row],[Birthweight (grams)]]/Table1[[#This Row],[BW_GA]])-1)/(Backend!$B$4/100*Table1[[#This Row],[BW40_3705]]),"")</f>
        <v/>
      </c>
      <c r="H8593" s="7" t="str">
        <f>IF(Table1[[#This Row],[Is Data Valid]]=TRUE,((Table1[[#This Row],[Birthweight (grams)]]*0.9/Table1[[#This Row],[BW_GA]])-1)/(Backend!$B$4/100*Table1[[#This Row],[BW40_3705]]),"")</f>
        <v/>
      </c>
      <c r="I8593" s="7" t="str">
        <f>IF(Table1[[#This Row],[Is Data Valid]]=TRUE,((Table1[[#This Row],[Birthweight (grams)]]*1.1/Table1[[#This Row],[BW_GA]])-1)/(Backend!$B$4/100*Table1[[#This Row],[BW40_3705]]),"")</f>
        <v/>
      </c>
      <c r="J8593" s="7" t="str">
        <f>IF(Table1[[#This Row],[Is Data Valid]]=TRUE,_xlfn.NORM.S.DIST(Table1[[#This Row],[Birthweight Z-Score]],TRUE)*100,"")</f>
        <v/>
      </c>
      <c r="K8593" s="7" t="str">
        <f>IF(Table1[[#This Row],[Is Data Valid]]=TRUE,_xlfn.NORM.S.DIST(Table1[[#This Row],[Birthweight Z-Score (BW-10%)]],TRUE)*100,"")</f>
        <v/>
      </c>
      <c r="L8593" s="7" t="str">
        <f>IF(Table1[[#This Row],[Is Data Valid]]=TRUE,_xlfn.NORM.S.DIST(Table1[[#This Row],[Birthweight Z-Score (BW+10%)]],TRUE)*100,"")</f>
        <v/>
      </c>
    </row>
    <row r="8594" spans="1:12" x14ac:dyDescent="0.35">
      <c r="A8594" s="3"/>
      <c r="B8594" s="2"/>
      <c r="C8594" s="2"/>
      <c r="D8594" s="2" t="b">
        <f>IF(AND(NOT(ISBLANK(Table1[[#This Row],[Fetal Sex (Male, Female or Unknown)]])),ISNUMBER(Table1[[#This Row],[Birthweight (grams)]]),ISNUMBER(Table1[[#This Row],[Gestation (days)]])),TRUE,FALSE)</f>
        <v>0</v>
      </c>
      <c r="E8594" s="2" t="str">
        <f>IF(Table1[[#This Row],[Is Data Valid]]=TRUE,IF(Table1[[#This Row],[Fetal Sex (Male, Female or Unknown)]]="Male",Backend!$C$6,IF(Table1[[#This Row],[Fetal Sex (Male, Female or Unknown)]]="Female",Backend!$C$7,IF(Table1[[#This Row],[Fetal Sex (Male, Female or Unknown)]]="Unknown",Backend!$C$8,"Error"))),"")</f>
        <v/>
      </c>
      <c r="F8594" s="8" t="str">
        <f>IF(Table1[[#This Row],[Is Data Valid]]=TRUE,EXP(0.578+0.332*((Table1[[#This Row],[Gestation (days)]]+0.5)/7)-0.00354*((Table1[[#This Row],[Gestation (days)]]+0.5)/7)^2)*Table1[[#This Row],[BW40_3705]],"")</f>
        <v/>
      </c>
      <c r="G8594" s="2" t="str">
        <f>IF(Table1[[#This Row],[Is Data Valid]]=TRUE,((Table1[[#This Row],[Birthweight (grams)]]/Table1[[#This Row],[BW_GA]])-1)/(Backend!$B$4/100*Table1[[#This Row],[BW40_3705]]),"")</f>
        <v/>
      </c>
      <c r="H8594" s="7" t="str">
        <f>IF(Table1[[#This Row],[Is Data Valid]]=TRUE,((Table1[[#This Row],[Birthweight (grams)]]*0.9/Table1[[#This Row],[BW_GA]])-1)/(Backend!$B$4/100*Table1[[#This Row],[BW40_3705]]),"")</f>
        <v/>
      </c>
      <c r="I8594" s="7" t="str">
        <f>IF(Table1[[#This Row],[Is Data Valid]]=TRUE,((Table1[[#This Row],[Birthweight (grams)]]*1.1/Table1[[#This Row],[BW_GA]])-1)/(Backend!$B$4/100*Table1[[#This Row],[BW40_3705]]),"")</f>
        <v/>
      </c>
      <c r="J8594" s="7" t="str">
        <f>IF(Table1[[#This Row],[Is Data Valid]]=TRUE,_xlfn.NORM.S.DIST(Table1[[#This Row],[Birthweight Z-Score]],TRUE)*100,"")</f>
        <v/>
      </c>
      <c r="K8594" s="7" t="str">
        <f>IF(Table1[[#This Row],[Is Data Valid]]=TRUE,_xlfn.NORM.S.DIST(Table1[[#This Row],[Birthweight Z-Score (BW-10%)]],TRUE)*100,"")</f>
        <v/>
      </c>
      <c r="L8594" s="7" t="str">
        <f>IF(Table1[[#This Row],[Is Data Valid]]=TRUE,_xlfn.NORM.S.DIST(Table1[[#This Row],[Birthweight Z-Score (BW+10%)]],TRUE)*100,"")</f>
        <v/>
      </c>
    </row>
    <row r="8595" spans="1:12" x14ac:dyDescent="0.35">
      <c r="A8595" s="3"/>
      <c r="B8595" s="2"/>
      <c r="C8595" s="2"/>
      <c r="D8595" s="2" t="b">
        <f>IF(AND(NOT(ISBLANK(Table1[[#This Row],[Fetal Sex (Male, Female or Unknown)]])),ISNUMBER(Table1[[#This Row],[Birthweight (grams)]]),ISNUMBER(Table1[[#This Row],[Gestation (days)]])),TRUE,FALSE)</f>
        <v>0</v>
      </c>
      <c r="E8595" s="2" t="str">
        <f>IF(Table1[[#This Row],[Is Data Valid]]=TRUE,IF(Table1[[#This Row],[Fetal Sex (Male, Female or Unknown)]]="Male",Backend!$C$6,IF(Table1[[#This Row],[Fetal Sex (Male, Female or Unknown)]]="Female",Backend!$C$7,IF(Table1[[#This Row],[Fetal Sex (Male, Female or Unknown)]]="Unknown",Backend!$C$8,"Error"))),"")</f>
        <v/>
      </c>
      <c r="F8595" s="8" t="str">
        <f>IF(Table1[[#This Row],[Is Data Valid]]=TRUE,EXP(0.578+0.332*((Table1[[#This Row],[Gestation (days)]]+0.5)/7)-0.00354*((Table1[[#This Row],[Gestation (days)]]+0.5)/7)^2)*Table1[[#This Row],[BW40_3705]],"")</f>
        <v/>
      </c>
      <c r="G8595" s="2" t="str">
        <f>IF(Table1[[#This Row],[Is Data Valid]]=TRUE,((Table1[[#This Row],[Birthweight (grams)]]/Table1[[#This Row],[BW_GA]])-1)/(Backend!$B$4/100*Table1[[#This Row],[BW40_3705]]),"")</f>
        <v/>
      </c>
      <c r="H8595" s="7" t="str">
        <f>IF(Table1[[#This Row],[Is Data Valid]]=TRUE,((Table1[[#This Row],[Birthweight (grams)]]*0.9/Table1[[#This Row],[BW_GA]])-1)/(Backend!$B$4/100*Table1[[#This Row],[BW40_3705]]),"")</f>
        <v/>
      </c>
      <c r="I8595" s="7" t="str">
        <f>IF(Table1[[#This Row],[Is Data Valid]]=TRUE,((Table1[[#This Row],[Birthweight (grams)]]*1.1/Table1[[#This Row],[BW_GA]])-1)/(Backend!$B$4/100*Table1[[#This Row],[BW40_3705]]),"")</f>
        <v/>
      </c>
      <c r="J8595" s="7" t="str">
        <f>IF(Table1[[#This Row],[Is Data Valid]]=TRUE,_xlfn.NORM.S.DIST(Table1[[#This Row],[Birthweight Z-Score]],TRUE)*100,"")</f>
        <v/>
      </c>
      <c r="K8595" s="7" t="str">
        <f>IF(Table1[[#This Row],[Is Data Valid]]=TRUE,_xlfn.NORM.S.DIST(Table1[[#This Row],[Birthweight Z-Score (BW-10%)]],TRUE)*100,"")</f>
        <v/>
      </c>
      <c r="L8595" s="7" t="str">
        <f>IF(Table1[[#This Row],[Is Data Valid]]=TRUE,_xlfn.NORM.S.DIST(Table1[[#This Row],[Birthweight Z-Score (BW+10%)]],TRUE)*100,"")</f>
        <v/>
      </c>
    </row>
    <row r="8596" spans="1:12" x14ac:dyDescent="0.35">
      <c r="A8596" s="3"/>
      <c r="B8596" s="2"/>
      <c r="C8596" s="2"/>
      <c r="D8596" s="2" t="b">
        <f>IF(AND(NOT(ISBLANK(Table1[[#This Row],[Fetal Sex (Male, Female or Unknown)]])),ISNUMBER(Table1[[#This Row],[Birthweight (grams)]]),ISNUMBER(Table1[[#This Row],[Gestation (days)]])),TRUE,FALSE)</f>
        <v>0</v>
      </c>
      <c r="E8596" s="2" t="str">
        <f>IF(Table1[[#This Row],[Is Data Valid]]=TRUE,IF(Table1[[#This Row],[Fetal Sex (Male, Female or Unknown)]]="Male",Backend!$C$6,IF(Table1[[#This Row],[Fetal Sex (Male, Female or Unknown)]]="Female",Backend!$C$7,IF(Table1[[#This Row],[Fetal Sex (Male, Female or Unknown)]]="Unknown",Backend!$C$8,"Error"))),"")</f>
        <v/>
      </c>
      <c r="F8596" s="8" t="str">
        <f>IF(Table1[[#This Row],[Is Data Valid]]=TRUE,EXP(0.578+0.332*((Table1[[#This Row],[Gestation (days)]]+0.5)/7)-0.00354*((Table1[[#This Row],[Gestation (days)]]+0.5)/7)^2)*Table1[[#This Row],[BW40_3705]],"")</f>
        <v/>
      </c>
      <c r="G8596" s="2" t="str">
        <f>IF(Table1[[#This Row],[Is Data Valid]]=TRUE,((Table1[[#This Row],[Birthweight (grams)]]/Table1[[#This Row],[BW_GA]])-1)/(Backend!$B$4/100*Table1[[#This Row],[BW40_3705]]),"")</f>
        <v/>
      </c>
      <c r="H8596" s="7" t="str">
        <f>IF(Table1[[#This Row],[Is Data Valid]]=TRUE,((Table1[[#This Row],[Birthweight (grams)]]*0.9/Table1[[#This Row],[BW_GA]])-1)/(Backend!$B$4/100*Table1[[#This Row],[BW40_3705]]),"")</f>
        <v/>
      </c>
      <c r="I8596" s="7" t="str">
        <f>IF(Table1[[#This Row],[Is Data Valid]]=TRUE,((Table1[[#This Row],[Birthweight (grams)]]*1.1/Table1[[#This Row],[BW_GA]])-1)/(Backend!$B$4/100*Table1[[#This Row],[BW40_3705]]),"")</f>
        <v/>
      </c>
      <c r="J8596" s="7" t="str">
        <f>IF(Table1[[#This Row],[Is Data Valid]]=TRUE,_xlfn.NORM.S.DIST(Table1[[#This Row],[Birthweight Z-Score]],TRUE)*100,"")</f>
        <v/>
      </c>
      <c r="K8596" s="7" t="str">
        <f>IF(Table1[[#This Row],[Is Data Valid]]=TRUE,_xlfn.NORM.S.DIST(Table1[[#This Row],[Birthweight Z-Score (BW-10%)]],TRUE)*100,"")</f>
        <v/>
      </c>
      <c r="L8596" s="7" t="str">
        <f>IF(Table1[[#This Row],[Is Data Valid]]=TRUE,_xlfn.NORM.S.DIST(Table1[[#This Row],[Birthweight Z-Score (BW+10%)]],TRUE)*100,"")</f>
        <v/>
      </c>
    </row>
    <row r="8597" spans="1:12" x14ac:dyDescent="0.35">
      <c r="A8597" s="3"/>
      <c r="B8597" s="2"/>
      <c r="C8597" s="2"/>
      <c r="D8597" s="2" t="b">
        <f>IF(AND(NOT(ISBLANK(Table1[[#This Row],[Fetal Sex (Male, Female or Unknown)]])),ISNUMBER(Table1[[#This Row],[Birthweight (grams)]]),ISNUMBER(Table1[[#This Row],[Gestation (days)]])),TRUE,FALSE)</f>
        <v>0</v>
      </c>
      <c r="E8597" s="2" t="str">
        <f>IF(Table1[[#This Row],[Is Data Valid]]=TRUE,IF(Table1[[#This Row],[Fetal Sex (Male, Female or Unknown)]]="Male",Backend!$C$6,IF(Table1[[#This Row],[Fetal Sex (Male, Female or Unknown)]]="Female",Backend!$C$7,IF(Table1[[#This Row],[Fetal Sex (Male, Female or Unknown)]]="Unknown",Backend!$C$8,"Error"))),"")</f>
        <v/>
      </c>
      <c r="F8597" s="8" t="str">
        <f>IF(Table1[[#This Row],[Is Data Valid]]=TRUE,EXP(0.578+0.332*((Table1[[#This Row],[Gestation (days)]]+0.5)/7)-0.00354*((Table1[[#This Row],[Gestation (days)]]+0.5)/7)^2)*Table1[[#This Row],[BW40_3705]],"")</f>
        <v/>
      </c>
      <c r="G8597" s="2" t="str">
        <f>IF(Table1[[#This Row],[Is Data Valid]]=TRUE,((Table1[[#This Row],[Birthweight (grams)]]/Table1[[#This Row],[BW_GA]])-1)/(Backend!$B$4/100*Table1[[#This Row],[BW40_3705]]),"")</f>
        <v/>
      </c>
      <c r="H8597" s="7" t="str">
        <f>IF(Table1[[#This Row],[Is Data Valid]]=TRUE,((Table1[[#This Row],[Birthweight (grams)]]*0.9/Table1[[#This Row],[BW_GA]])-1)/(Backend!$B$4/100*Table1[[#This Row],[BW40_3705]]),"")</f>
        <v/>
      </c>
      <c r="I8597" s="7" t="str">
        <f>IF(Table1[[#This Row],[Is Data Valid]]=TRUE,((Table1[[#This Row],[Birthweight (grams)]]*1.1/Table1[[#This Row],[BW_GA]])-1)/(Backend!$B$4/100*Table1[[#This Row],[BW40_3705]]),"")</f>
        <v/>
      </c>
      <c r="J8597" s="7" t="str">
        <f>IF(Table1[[#This Row],[Is Data Valid]]=TRUE,_xlfn.NORM.S.DIST(Table1[[#This Row],[Birthweight Z-Score]],TRUE)*100,"")</f>
        <v/>
      </c>
      <c r="K8597" s="7" t="str">
        <f>IF(Table1[[#This Row],[Is Data Valid]]=TRUE,_xlfn.NORM.S.DIST(Table1[[#This Row],[Birthweight Z-Score (BW-10%)]],TRUE)*100,"")</f>
        <v/>
      </c>
      <c r="L8597" s="7" t="str">
        <f>IF(Table1[[#This Row],[Is Data Valid]]=TRUE,_xlfn.NORM.S.DIST(Table1[[#This Row],[Birthweight Z-Score (BW+10%)]],TRUE)*100,"")</f>
        <v/>
      </c>
    </row>
    <row r="8598" spans="1:12" x14ac:dyDescent="0.35">
      <c r="A8598" s="3"/>
      <c r="B8598" s="2"/>
      <c r="C8598" s="2"/>
      <c r="D8598" s="2" t="b">
        <f>IF(AND(NOT(ISBLANK(Table1[[#This Row],[Fetal Sex (Male, Female or Unknown)]])),ISNUMBER(Table1[[#This Row],[Birthweight (grams)]]),ISNUMBER(Table1[[#This Row],[Gestation (days)]])),TRUE,FALSE)</f>
        <v>0</v>
      </c>
      <c r="E8598" s="2" t="str">
        <f>IF(Table1[[#This Row],[Is Data Valid]]=TRUE,IF(Table1[[#This Row],[Fetal Sex (Male, Female or Unknown)]]="Male",Backend!$C$6,IF(Table1[[#This Row],[Fetal Sex (Male, Female or Unknown)]]="Female",Backend!$C$7,IF(Table1[[#This Row],[Fetal Sex (Male, Female or Unknown)]]="Unknown",Backend!$C$8,"Error"))),"")</f>
        <v/>
      </c>
      <c r="F8598" s="8" t="str">
        <f>IF(Table1[[#This Row],[Is Data Valid]]=TRUE,EXP(0.578+0.332*((Table1[[#This Row],[Gestation (days)]]+0.5)/7)-0.00354*((Table1[[#This Row],[Gestation (days)]]+0.5)/7)^2)*Table1[[#This Row],[BW40_3705]],"")</f>
        <v/>
      </c>
      <c r="G8598" s="2" t="str">
        <f>IF(Table1[[#This Row],[Is Data Valid]]=TRUE,((Table1[[#This Row],[Birthweight (grams)]]/Table1[[#This Row],[BW_GA]])-1)/(Backend!$B$4/100*Table1[[#This Row],[BW40_3705]]),"")</f>
        <v/>
      </c>
      <c r="H8598" s="7" t="str">
        <f>IF(Table1[[#This Row],[Is Data Valid]]=TRUE,((Table1[[#This Row],[Birthweight (grams)]]*0.9/Table1[[#This Row],[BW_GA]])-1)/(Backend!$B$4/100*Table1[[#This Row],[BW40_3705]]),"")</f>
        <v/>
      </c>
      <c r="I8598" s="7" t="str">
        <f>IF(Table1[[#This Row],[Is Data Valid]]=TRUE,((Table1[[#This Row],[Birthweight (grams)]]*1.1/Table1[[#This Row],[BW_GA]])-1)/(Backend!$B$4/100*Table1[[#This Row],[BW40_3705]]),"")</f>
        <v/>
      </c>
      <c r="J8598" s="7" t="str">
        <f>IF(Table1[[#This Row],[Is Data Valid]]=TRUE,_xlfn.NORM.S.DIST(Table1[[#This Row],[Birthweight Z-Score]],TRUE)*100,"")</f>
        <v/>
      </c>
      <c r="K8598" s="7" t="str">
        <f>IF(Table1[[#This Row],[Is Data Valid]]=TRUE,_xlfn.NORM.S.DIST(Table1[[#This Row],[Birthweight Z-Score (BW-10%)]],TRUE)*100,"")</f>
        <v/>
      </c>
      <c r="L8598" s="7" t="str">
        <f>IF(Table1[[#This Row],[Is Data Valid]]=TRUE,_xlfn.NORM.S.DIST(Table1[[#This Row],[Birthweight Z-Score (BW+10%)]],TRUE)*100,"")</f>
        <v/>
      </c>
    </row>
    <row r="8599" spans="1:12" x14ac:dyDescent="0.35">
      <c r="A8599" s="3"/>
      <c r="B8599" s="2"/>
      <c r="C8599" s="2"/>
      <c r="D8599" s="2" t="b">
        <f>IF(AND(NOT(ISBLANK(Table1[[#This Row],[Fetal Sex (Male, Female or Unknown)]])),ISNUMBER(Table1[[#This Row],[Birthweight (grams)]]),ISNUMBER(Table1[[#This Row],[Gestation (days)]])),TRUE,FALSE)</f>
        <v>0</v>
      </c>
      <c r="E8599" s="2" t="str">
        <f>IF(Table1[[#This Row],[Is Data Valid]]=TRUE,IF(Table1[[#This Row],[Fetal Sex (Male, Female or Unknown)]]="Male",Backend!$C$6,IF(Table1[[#This Row],[Fetal Sex (Male, Female or Unknown)]]="Female",Backend!$C$7,IF(Table1[[#This Row],[Fetal Sex (Male, Female or Unknown)]]="Unknown",Backend!$C$8,"Error"))),"")</f>
        <v/>
      </c>
      <c r="F8599" s="8" t="str">
        <f>IF(Table1[[#This Row],[Is Data Valid]]=TRUE,EXP(0.578+0.332*((Table1[[#This Row],[Gestation (days)]]+0.5)/7)-0.00354*((Table1[[#This Row],[Gestation (days)]]+0.5)/7)^2)*Table1[[#This Row],[BW40_3705]],"")</f>
        <v/>
      </c>
      <c r="G8599" s="2" t="str">
        <f>IF(Table1[[#This Row],[Is Data Valid]]=TRUE,((Table1[[#This Row],[Birthweight (grams)]]/Table1[[#This Row],[BW_GA]])-1)/(Backend!$B$4/100*Table1[[#This Row],[BW40_3705]]),"")</f>
        <v/>
      </c>
      <c r="H8599" s="7" t="str">
        <f>IF(Table1[[#This Row],[Is Data Valid]]=TRUE,((Table1[[#This Row],[Birthweight (grams)]]*0.9/Table1[[#This Row],[BW_GA]])-1)/(Backend!$B$4/100*Table1[[#This Row],[BW40_3705]]),"")</f>
        <v/>
      </c>
      <c r="I8599" s="7" t="str">
        <f>IF(Table1[[#This Row],[Is Data Valid]]=TRUE,((Table1[[#This Row],[Birthweight (grams)]]*1.1/Table1[[#This Row],[BW_GA]])-1)/(Backend!$B$4/100*Table1[[#This Row],[BW40_3705]]),"")</f>
        <v/>
      </c>
      <c r="J8599" s="7" t="str">
        <f>IF(Table1[[#This Row],[Is Data Valid]]=TRUE,_xlfn.NORM.S.DIST(Table1[[#This Row],[Birthweight Z-Score]],TRUE)*100,"")</f>
        <v/>
      </c>
      <c r="K8599" s="7" t="str">
        <f>IF(Table1[[#This Row],[Is Data Valid]]=TRUE,_xlfn.NORM.S.DIST(Table1[[#This Row],[Birthweight Z-Score (BW-10%)]],TRUE)*100,"")</f>
        <v/>
      </c>
      <c r="L8599" s="7" t="str">
        <f>IF(Table1[[#This Row],[Is Data Valid]]=TRUE,_xlfn.NORM.S.DIST(Table1[[#This Row],[Birthweight Z-Score (BW+10%)]],TRUE)*100,"")</f>
        <v/>
      </c>
    </row>
    <row r="8600" spans="1:12" x14ac:dyDescent="0.35">
      <c r="A8600" s="3"/>
      <c r="B8600" s="2"/>
      <c r="C8600" s="2"/>
      <c r="D8600" s="2" t="b">
        <f>IF(AND(NOT(ISBLANK(Table1[[#This Row],[Fetal Sex (Male, Female or Unknown)]])),ISNUMBER(Table1[[#This Row],[Birthweight (grams)]]),ISNUMBER(Table1[[#This Row],[Gestation (days)]])),TRUE,FALSE)</f>
        <v>0</v>
      </c>
      <c r="E8600" s="2" t="str">
        <f>IF(Table1[[#This Row],[Is Data Valid]]=TRUE,IF(Table1[[#This Row],[Fetal Sex (Male, Female or Unknown)]]="Male",Backend!$C$6,IF(Table1[[#This Row],[Fetal Sex (Male, Female or Unknown)]]="Female",Backend!$C$7,IF(Table1[[#This Row],[Fetal Sex (Male, Female or Unknown)]]="Unknown",Backend!$C$8,"Error"))),"")</f>
        <v/>
      </c>
      <c r="F8600" s="8" t="str">
        <f>IF(Table1[[#This Row],[Is Data Valid]]=TRUE,EXP(0.578+0.332*((Table1[[#This Row],[Gestation (days)]]+0.5)/7)-0.00354*((Table1[[#This Row],[Gestation (days)]]+0.5)/7)^2)*Table1[[#This Row],[BW40_3705]],"")</f>
        <v/>
      </c>
      <c r="G8600" s="2" t="str">
        <f>IF(Table1[[#This Row],[Is Data Valid]]=TRUE,((Table1[[#This Row],[Birthweight (grams)]]/Table1[[#This Row],[BW_GA]])-1)/(Backend!$B$4/100*Table1[[#This Row],[BW40_3705]]),"")</f>
        <v/>
      </c>
      <c r="H8600" s="7" t="str">
        <f>IF(Table1[[#This Row],[Is Data Valid]]=TRUE,((Table1[[#This Row],[Birthweight (grams)]]*0.9/Table1[[#This Row],[BW_GA]])-1)/(Backend!$B$4/100*Table1[[#This Row],[BW40_3705]]),"")</f>
        <v/>
      </c>
      <c r="I8600" s="7" t="str">
        <f>IF(Table1[[#This Row],[Is Data Valid]]=TRUE,((Table1[[#This Row],[Birthweight (grams)]]*1.1/Table1[[#This Row],[BW_GA]])-1)/(Backend!$B$4/100*Table1[[#This Row],[BW40_3705]]),"")</f>
        <v/>
      </c>
      <c r="J8600" s="7" t="str">
        <f>IF(Table1[[#This Row],[Is Data Valid]]=TRUE,_xlfn.NORM.S.DIST(Table1[[#This Row],[Birthweight Z-Score]],TRUE)*100,"")</f>
        <v/>
      </c>
      <c r="K8600" s="7" t="str">
        <f>IF(Table1[[#This Row],[Is Data Valid]]=TRUE,_xlfn.NORM.S.DIST(Table1[[#This Row],[Birthweight Z-Score (BW-10%)]],TRUE)*100,"")</f>
        <v/>
      </c>
      <c r="L8600" s="7" t="str">
        <f>IF(Table1[[#This Row],[Is Data Valid]]=TRUE,_xlfn.NORM.S.DIST(Table1[[#This Row],[Birthweight Z-Score (BW+10%)]],TRUE)*100,"")</f>
        <v/>
      </c>
    </row>
    <row r="8601" spans="1:12" x14ac:dyDescent="0.35">
      <c r="A8601" s="3"/>
      <c r="B8601" s="2"/>
      <c r="C8601" s="2"/>
      <c r="D8601" s="2" t="b">
        <f>IF(AND(NOT(ISBLANK(Table1[[#This Row],[Fetal Sex (Male, Female or Unknown)]])),ISNUMBER(Table1[[#This Row],[Birthweight (grams)]]),ISNUMBER(Table1[[#This Row],[Gestation (days)]])),TRUE,FALSE)</f>
        <v>0</v>
      </c>
      <c r="E8601" s="2" t="str">
        <f>IF(Table1[[#This Row],[Is Data Valid]]=TRUE,IF(Table1[[#This Row],[Fetal Sex (Male, Female or Unknown)]]="Male",Backend!$C$6,IF(Table1[[#This Row],[Fetal Sex (Male, Female or Unknown)]]="Female",Backend!$C$7,IF(Table1[[#This Row],[Fetal Sex (Male, Female or Unknown)]]="Unknown",Backend!$C$8,"Error"))),"")</f>
        <v/>
      </c>
      <c r="F8601" s="8" t="str">
        <f>IF(Table1[[#This Row],[Is Data Valid]]=TRUE,EXP(0.578+0.332*((Table1[[#This Row],[Gestation (days)]]+0.5)/7)-0.00354*((Table1[[#This Row],[Gestation (days)]]+0.5)/7)^2)*Table1[[#This Row],[BW40_3705]],"")</f>
        <v/>
      </c>
      <c r="G8601" s="2" t="str">
        <f>IF(Table1[[#This Row],[Is Data Valid]]=TRUE,((Table1[[#This Row],[Birthweight (grams)]]/Table1[[#This Row],[BW_GA]])-1)/(Backend!$B$4/100*Table1[[#This Row],[BW40_3705]]),"")</f>
        <v/>
      </c>
      <c r="H8601" s="7" t="str">
        <f>IF(Table1[[#This Row],[Is Data Valid]]=TRUE,((Table1[[#This Row],[Birthweight (grams)]]*0.9/Table1[[#This Row],[BW_GA]])-1)/(Backend!$B$4/100*Table1[[#This Row],[BW40_3705]]),"")</f>
        <v/>
      </c>
      <c r="I8601" s="7" t="str">
        <f>IF(Table1[[#This Row],[Is Data Valid]]=TRUE,((Table1[[#This Row],[Birthweight (grams)]]*1.1/Table1[[#This Row],[BW_GA]])-1)/(Backend!$B$4/100*Table1[[#This Row],[BW40_3705]]),"")</f>
        <v/>
      </c>
      <c r="J8601" s="7" t="str">
        <f>IF(Table1[[#This Row],[Is Data Valid]]=TRUE,_xlfn.NORM.S.DIST(Table1[[#This Row],[Birthweight Z-Score]],TRUE)*100,"")</f>
        <v/>
      </c>
      <c r="K8601" s="7" t="str">
        <f>IF(Table1[[#This Row],[Is Data Valid]]=TRUE,_xlfn.NORM.S.DIST(Table1[[#This Row],[Birthweight Z-Score (BW-10%)]],TRUE)*100,"")</f>
        <v/>
      </c>
      <c r="L8601" s="7" t="str">
        <f>IF(Table1[[#This Row],[Is Data Valid]]=TRUE,_xlfn.NORM.S.DIST(Table1[[#This Row],[Birthweight Z-Score (BW+10%)]],TRUE)*100,"")</f>
        <v/>
      </c>
    </row>
    <row r="8602" spans="1:12" x14ac:dyDescent="0.35">
      <c r="A8602" s="3"/>
      <c r="B8602" s="2"/>
      <c r="C8602" s="2"/>
      <c r="D8602" s="2" t="b">
        <f>IF(AND(NOT(ISBLANK(Table1[[#This Row],[Fetal Sex (Male, Female or Unknown)]])),ISNUMBER(Table1[[#This Row],[Birthweight (grams)]]),ISNUMBER(Table1[[#This Row],[Gestation (days)]])),TRUE,FALSE)</f>
        <v>0</v>
      </c>
      <c r="E8602" s="2" t="str">
        <f>IF(Table1[[#This Row],[Is Data Valid]]=TRUE,IF(Table1[[#This Row],[Fetal Sex (Male, Female or Unknown)]]="Male",Backend!$C$6,IF(Table1[[#This Row],[Fetal Sex (Male, Female or Unknown)]]="Female",Backend!$C$7,IF(Table1[[#This Row],[Fetal Sex (Male, Female or Unknown)]]="Unknown",Backend!$C$8,"Error"))),"")</f>
        <v/>
      </c>
      <c r="F8602" s="8" t="str">
        <f>IF(Table1[[#This Row],[Is Data Valid]]=TRUE,EXP(0.578+0.332*((Table1[[#This Row],[Gestation (days)]]+0.5)/7)-0.00354*((Table1[[#This Row],[Gestation (days)]]+0.5)/7)^2)*Table1[[#This Row],[BW40_3705]],"")</f>
        <v/>
      </c>
      <c r="G8602" s="2" t="str">
        <f>IF(Table1[[#This Row],[Is Data Valid]]=TRUE,((Table1[[#This Row],[Birthweight (grams)]]/Table1[[#This Row],[BW_GA]])-1)/(Backend!$B$4/100*Table1[[#This Row],[BW40_3705]]),"")</f>
        <v/>
      </c>
      <c r="H8602" s="7" t="str">
        <f>IF(Table1[[#This Row],[Is Data Valid]]=TRUE,((Table1[[#This Row],[Birthweight (grams)]]*0.9/Table1[[#This Row],[BW_GA]])-1)/(Backend!$B$4/100*Table1[[#This Row],[BW40_3705]]),"")</f>
        <v/>
      </c>
      <c r="I8602" s="7" t="str">
        <f>IF(Table1[[#This Row],[Is Data Valid]]=TRUE,((Table1[[#This Row],[Birthweight (grams)]]*1.1/Table1[[#This Row],[BW_GA]])-1)/(Backend!$B$4/100*Table1[[#This Row],[BW40_3705]]),"")</f>
        <v/>
      </c>
      <c r="J8602" s="7" t="str">
        <f>IF(Table1[[#This Row],[Is Data Valid]]=TRUE,_xlfn.NORM.S.DIST(Table1[[#This Row],[Birthweight Z-Score]],TRUE)*100,"")</f>
        <v/>
      </c>
      <c r="K8602" s="7" t="str">
        <f>IF(Table1[[#This Row],[Is Data Valid]]=TRUE,_xlfn.NORM.S.DIST(Table1[[#This Row],[Birthweight Z-Score (BW-10%)]],TRUE)*100,"")</f>
        <v/>
      </c>
      <c r="L8602" s="7" t="str">
        <f>IF(Table1[[#This Row],[Is Data Valid]]=TRUE,_xlfn.NORM.S.DIST(Table1[[#This Row],[Birthweight Z-Score (BW+10%)]],TRUE)*100,"")</f>
        <v/>
      </c>
    </row>
    <row r="8603" spans="1:12" x14ac:dyDescent="0.35">
      <c r="A8603" s="3"/>
      <c r="B8603" s="2"/>
      <c r="C8603" s="2"/>
      <c r="D8603" s="2" t="b">
        <f>IF(AND(NOT(ISBLANK(Table1[[#This Row],[Fetal Sex (Male, Female or Unknown)]])),ISNUMBER(Table1[[#This Row],[Birthweight (grams)]]),ISNUMBER(Table1[[#This Row],[Gestation (days)]])),TRUE,FALSE)</f>
        <v>0</v>
      </c>
      <c r="E8603" s="2" t="str">
        <f>IF(Table1[[#This Row],[Is Data Valid]]=TRUE,IF(Table1[[#This Row],[Fetal Sex (Male, Female or Unknown)]]="Male",Backend!$C$6,IF(Table1[[#This Row],[Fetal Sex (Male, Female or Unknown)]]="Female",Backend!$C$7,IF(Table1[[#This Row],[Fetal Sex (Male, Female or Unknown)]]="Unknown",Backend!$C$8,"Error"))),"")</f>
        <v/>
      </c>
      <c r="F8603" s="8" t="str">
        <f>IF(Table1[[#This Row],[Is Data Valid]]=TRUE,EXP(0.578+0.332*((Table1[[#This Row],[Gestation (days)]]+0.5)/7)-0.00354*((Table1[[#This Row],[Gestation (days)]]+0.5)/7)^2)*Table1[[#This Row],[BW40_3705]],"")</f>
        <v/>
      </c>
      <c r="G8603" s="2" t="str">
        <f>IF(Table1[[#This Row],[Is Data Valid]]=TRUE,((Table1[[#This Row],[Birthweight (grams)]]/Table1[[#This Row],[BW_GA]])-1)/(Backend!$B$4/100*Table1[[#This Row],[BW40_3705]]),"")</f>
        <v/>
      </c>
      <c r="H8603" s="7" t="str">
        <f>IF(Table1[[#This Row],[Is Data Valid]]=TRUE,((Table1[[#This Row],[Birthweight (grams)]]*0.9/Table1[[#This Row],[BW_GA]])-1)/(Backend!$B$4/100*Table1[[#This Row],[BW40_3705]]),"")</f>
        <v/>
      </c>
      <c r="I8603" s="7" t="str">
        <f>IF(Table1[[#This Row],[Is Data Valid]]=TRUE,((Table1[[#This Row],[Birthweight (grams)]]*1.1/Table1[[#This Row],[BW_GA]])-1)/(Backend!$B$4/100*Table1[[#This Row],[BW40_3705]]),"")</f>
        <v/>
      </c>
      <c r="J8603" s="7" t="str">
        <f>IF(Table1[[#This Row],[Is Data Valid]]=TRUE,_xlfn.NORM.S.DIST(Table1[[#This Row],[Birthweight Z-Score]],TRUE)*100,"")</f>
        <v/>
      </c>
      <c r="K8603" s="7" t="str">
        <f>IF(Table1[[#This Row],[Is Data Valid]]=TRUE,_xlfn.NORM.S.DIST(Table1[[#This Row],[Birthweight Z-Score (BW-10%)]],TRUE)*100,"")</f>
        <v/>
      </c>
      <c r="L8603" s="7" t="str">
        <f>IF(Table1[[#This Row],[Is Data Valid]]=TRUE,_xlfn.NORM.S.DIST(Table1[[#This Row],[Birthweight Z-Score (BW+10%)]],TRUE)*100,"")</f>
        <v/>
      </c>
    </row>
    <row r="8604" spans="1:12" x14ac:dyDescent="0.35">
      <c r="A8604" s="3"/>
      <c r="B8604" s="2"/>
      <c r="C8604" s="2"/>
      <c r="D8604" s="2" t="b">
        <f>IF(AND(NOT(ISBLANK(Table1[[#This Row],[Fetal Sex (Male, Female or Unknown)]])),ISNUMBER(Table1[[#This Row],[Birthweight (grams)]]),ISNUMBER(Table1[[#This Row],[Gestation (days)]])),TRUE,FALSE)</f>
        <v>0</v>
      </c>
      <c r="E8604" s="2" t="str">
        <f>IF(Table1[[#This Row],[Is Data Valid]]=TRUE,IF(Table1[[#This Row],[Fetal Sex (Male, Female or Unknown)]]="Male",Backend!$C$6,IF(Table1[[#This Row],[Fetal Sex (Male, Female or Unknown)]]="Female",Backend!$C$7,IF(Table1[[#This Row],[Fetal Sex (Male, Female or Unknown)]]="Unknown",Backend!$C$8,"Error"))),"")</f>
        <v/>
      </c>
      <c r="F8604" s="8" t="str">
        <f>IF(Table1[[#This Row],[Is Data Valid]]=TRUE,EXP(0.578+0.332*((Table1[[#This Row],[Gestation (days)]]+0.5)/7)-0.00354*((Table1[[#This Row],[Gestation (days)]]+0.5)/7)^2)*Table1[[#This Row],[BW40_3705]],"")</f>
        <v/>
      </c>
      <c r="G8604" s="2" t="str">
        <f>IF(Table1[[#This Row],[Is Data Valid]]=TRUE,((Table1[[#This Row],[Birthweight (grams)]]/Table1[[#This Row],[BW_GA]])-1)/(Backend!$B$4/100*Table1[[#This Row],[BW40_3705]]),"")</f>
        <v/>
      </c>
      <c r="H8604" s="7" t="str">
        <f>IF(Table1[[#This Row],[Is Data Valid]]=TRUE,((Table1[[#This Row],[Birthweight (grams)]]*0.9/Table1[[#This Row],[BW_GA]])-1)/(Backend!$B$4/100*Table1[[#This Row],[BW40_3705]]),"")</f>
        <v/>
      </c>
      <c r="I8604" s="7" t="str">
        <f>IF(Table1[[#This Row],[Is Data Valid]]=TRUE,((Table1[[#This Row],[Birthweight (grams)]]*1.1/Table1[[#This Row],[BW_GA]])-1)/(Backend!$B$4/100*Table1[[#This Row],[BW40_3705]]),"")</f>
        <v/>
      </c>
      <c r="J8604" s="7" t="str">
        <f>IF(Table1[[#This Row],[Is Data Valid]]=TRUE,_xlfn.NORM.S.DIST(Table1[[#This Row],[Birthweight Z-Score]],TRUE)*100,"")</f>
        <v/>
      </c>
      <c r="K8604" s="7" t="str">
        <f>IF(Table1[[#This Row],[Is Data Valid]]=TRUE,_xlfn.NORM.S.DIST(Table1[[#This Row],[Birthweight Z-Score (BW-10%)]],TRUE)*100,"")</f>
        <v/>
      </c>
      <c r="L8604" s="7" t="str">
        <f>IF(Table1[[#This Row],[Is Data Valid]]=TRUE,_xlfn.NORM.S.DIST(Table1[[#This Row],[Birthweight Z-Score (BW+10%)]],TRUE)*100,"")</f>
        <v/>
      </c>
    </row>
    <row r="8605" spans="1:12" x14ac:dyDescent="0.35">
      <c r="A8605" s="3"/>
      <c r="B8605" s="2"/>
      <c r="C8605" s="2"/>
      <c r="D8605" s="2" t="b">
        <f>IF(AND(NOT(ISBLANK(Table1[[#This Row],[Fetal Sex (Male, Female or Unknown)]])),ISNUMBER(Table1[[#This Row],[Birthweight (grams)]]),ISNUMBER(Table1[[#This Row],[Gestation (days)]])),TRUE,FALSE)</f>
        <v>0</v>
      </c>
      <c r="E8605" s="2" t="str">
        <f>IF(Table1[[#This Row],[Is Data Valid]]=TRUE,IF(Table1[[#This Row],[Fetal Sex (Male, Female or Unknown)]]="Male",Backend!$C$6,IF(Table1[[#This Row],[Fetal Sex (Male, Female or Unknown)]]="Female",Backend!$C$7,IF(Table1[[#This Row],[Fetal Sex (Male, Female or Unknown)]]="Unknown",Backend!$C$8,"Error"))),"")</f>
        <v/>
      </c>
      <c r="F8605" s="8" t="str">
        <f>IF(Table1[[#This Row],[Is Data Valid]]=TRUE,EXP(0.578+0.332*((Table1[[#This Row],[Gestation (days)]]+0.5)/7)-0.00354*((Table1[[#This Row],[Gestation (days)]]+0.5)/7)^2)*Table1[[#This Row],[BW40_3705]],"")</f>
        <v/>
      </c>
      <c r="G8605" s="2" t="str">
        <f>IF(Table1[[#This Row],[Is Data Valid]]=TRUE,((Table1[[#This Row],[Birthweight (grams)]]/Table1[[#This Row],[BW_GA]])-1)/(Backend!$B$4/100*Table1[[#This Row],[BW40_3705]]),"")</f>
        <v/>
      </c>
      <c r="H8605" s="7" t="str">
        <f>IF(Table1[[#This Row],[Is Data Valid]]=TRUE,((Table1[[#This Row],[Birthweight (grams)]]*0.9/Table1[[#This Row],[BW_GA]])-1)/(Backend!$B$4/100*Table1[[#This Row],[BW40_3705]]),"")</f>
        <v/>
      </c>
      <c r="I8605" s="7" t="str">
        <f>IF(Table1[[#This Row],[Is Data Valid]]=TRUE,((Table1[[#This Row],[Birthweight (grams)]]*1.1/Table1[[#This Row],[BW_GA]])-1)/(Backend!$B$4/100*Table1[[#This Row],[BW40_3705]]),"")</f>
        <v/>
      </c>
      <c r="J8605" s="7" t="str">
        <f>IF(Table1[[#This Row],[Is Data Valid]]=TRUE,_xlfn.NORM.S.DIST(Table1[[#This Row],[Birthweight Z-Score]],TRUE)*100,"")</f>
        <v/>
      </c>
      <c r="K8605" s="7" t="str">
        <f>IF(Table1[[#This Row],[Is Data Valid]]=TRUE,_xlfn.NORM.S.DIST(Table1[[#This Row],[Birthweight Z-Score (BW-10%)]],TRUE)*100,"")</f>
        <v/>
      </c>
      <c r="L8605" s="7" t="str">
        <f>IF(Table1[[#This Row],[Is Data Valid]]=TRUE,_xlfn.NORM.S.DIST(Table1[[#This Row],[Birthweight Z-Score (BW+10%)]],TRUE)*100,"")</f>
        <v/>
      </c>
    </row>
    <row r="8606" spans="1:12" x14ac:dyDescent="0.35">
      <c r="A8606" s="3"/>
      <c r="B8606" s="2"/>
      <c r="C8606" s="2"/>
      <c r="D8606" s="2" t="b">
        <f>IF(AND(NOT(ISBLANK(Table1[[#This Row],[Fetal Sex (Male, Female or Unknown)]])),ISNUMBER(Table1[[#This Row],[Birthweight (grams)]]),ISNUMBER(Table1[[#This Row],[Gestation (days)]])),TRUE,FALSE)</f>
        <v>0</v>
      </c>
      <c r="E8606" s="2" t="str">
        <f>IF(Table1[[#This Row],[Is Data Valid]]=TRUE,IF(Table1[[#This Row],[Fetal Sex (Male, Female or Unknown)]]="Male",Backend!$C$6,IF(Table1[[#This Row],[Fetal Sex (Male, Female or Unknown)]]="Female",Backend!$C$7,IF(Table1[[#This Row],[Fetal Sex (Male, Female or Unknown)]]="Unknown",Backend!$C$8,"Error"))),"")</f>
        <v/>
      </c>
      <c r="F8606" s="8" t="str">
        <f>IF(Table1[[#This Row],[Is Data Valid]]=TRUE,EXP(0.578+0.332*((Table1[[#This Row],[Gestation (days)]]+0.5)/7)-0.00354*((Table1[[#This Row],[Gestation (days)]]+0.5)/7)^2)*Table1[[#This Row],[BW40_3705]],"")</f>
        <v/>
      </c>
      <c r="G8606" s="2" t="str">
        <f>IF(Table1[[#This Row],[Is Data Valid]]=TRUE,((Table1[[#This Row],[Birthweight (grams)]]/Table1[[#This Row],[BW_GA]])-1)/(Backend!$B$4/100*Table1[[#This Row],[BW40_3705]]),"")</f>
        <v/>
      </c>
      <c r="H8606" s="7" t="str">
        <f>IF(Table1[[#This Row],[Is Data Valid]]=TRUE,((Table1[[#This Row],[Birthweight (grams)]]*0.9/Table1[[#This Row],[BW_GA]])-1)/(Backend!$B$4/100*Table1[[#This Row],[BW40_3705]]),"")</f>
        <v/>
      </c>
      <c r="I8606" s="7" t="str">
        <f>IF(Table1[[#This Row],[Is Data Valid]]=TRUE,((Table1[[#This Row],[Birthweight (grams)]]*1.1/Table1[[#This Row],[BW_GA]])-1)/(Backend!$B$4/100*Table1[[#This Row],[BW40_3705]]),"")</f>
        <v/>
      </c>
      <c r="J8606" s="7" t="str">
        <f>IF(Table1[[#This Row],[Is Data Valid]]=TRUE,_xlfn.NORM.S.DIST(Table1[[#This Row],[Birthweight Z-Score]],TRUE)*100,"")</f>
        <v/>
      </c>
      <c r="K8606" s="7" t="str">
        <f>IF(Table1[[#This Row],[Is Data Valid]]=TRUE,_xlfn.NORM.S.DIST(Table1[[#This Row],[Birthweight Z-Score (BW-10%)]],TRUE)*100,"")</f>
        <v/>
      </c>
      <c r="L8606" s="7" t="str">
        <f>IF(Table1[[#This Row],[Is Data Valid]]=TRUE,_xlfn.NORM.S.DIST(Table1[[#This Row],[Birthweight Z-Score (BW+10%)]],TRUE)*100,"")</f>
        <v/>
      </c>
    </row>
    <row r="8607" spans="1:12" x14ac:dyDescent="0.35">
      <c r="A8607" s="3"/>
      <c r="B8607" s="2"/>
      <c r="C8607" s="2"/>
      <c r="D8607" s="2" t="b">
        <f>IF(AND(NOT(ISBLANK(Table1[[#This Row],[Fetal Sex (Male, Female or Unknown)]])),ISNUMBER(Table1[[#This Row],[Birthweight (grams)]]),ISNUMBER(Table1[[#This Row],[Gestation (days)]])),TRUE,FALSE)</f>
        <v>0</v>
      </c>
      <c r="E8607" s="2" t="str">
        <f>IF(Table1[[#This Row],[Is Data Valid]]=TRUE,IF(Table1[[#This Row],[Fetal Sex (Male, Female or Unknown)]]="Male",Backend!$C$6,IF(Table1[[#This Row],[Fetal Sex (Male, Female or Unknown)]]="Female",Backend!$C$7,IF(Table1[[#This Row],[Fetal Sex (Male, Female or Unknown)]]="Unknown",Backend!$C$8,"Error"))),"")</f>
        <v/>
      </c>
      <c r="F8607" s="8" t="str">
        <f>IF(Table1[[#This Row],[Is Data Valid]]=TRUE,EXP(0.578+0.332*((Table1[[#This Row],[Gestation (days)]]+0.5)/7)-0.00354*((Table1[[#This Row],[Gestation (days)]]+0.5)/7)^2)*Table1[[#This Row],[BW40_3705]],"")</f>
        <v/>
      </c>
      <c r="G8607" s="2" t="str">
        <f>IF(Table1[[#This Row],[Is Data Valid]]=TRUE,((Table1[[#This Row],[Birthweight (grams)]]/Table1[[#This Row],[BW_GA]])-1)/(Backend!$B$4/100*Table1[[#This Row],[BW40_3705]]),"")</f>
        <v/>
      </c>
      <c r="H8607" s="7" t="str">
        <f>IF(Table1[[#This Row],[Is Data Valid]]=TRUE,((Table1[[#This Row],[Birthweight (grams)]]*0.9/Table1[[#This Row],[BW_GA]])-1)/(Backend!$B$4/100*Table1[[#This Row],[BW40_3705]]),"")</f>
        <v/>
      </c>
      <c r="I8607" s="7" t="str">
        <f>IF(Table1[[#This Row],[Is Data Valid]]=TRUE,((Table1[[#This Row],[Birthweight (grams)]]*1.1/Table1[[#This Row],[BW_GA]])-1)/(Backend!$B$4/100*Table1[[#This Row],[BW40_3705]]),"")</f>
        <v/>
      </c>
      <c r="J8607" s="7" t="str">
        <f>IF(Table1[[#This Row],[Is Data Valid]]=TRUE,_xlfn.NORM.S.DIST(Table1[[#This Row],[Birthweight Z-Score]],TRUE)*100,"")</f>
        <v/>
      </c>
      <c r="K8607" s="7" t="str">
        <f>IF(Table1[[#This Row],[Is Data Valid]]=TRUE,_xlfn.NORM.S.DIST(Table1[[#This Row],[Birthweight Z-Score (BW-10%)]],TRUE)*100,"")</f>
        <v/>
      </c>
      <c r="L8607" s="7" t="str">
        <f>IF(Table1[[#This Row],[Is Data Valid]]=TRUE,_xlfn.NORM.S.DIST(Table1[[#This Row],[Birthweight Z-Score (BW+10%)]],TRUE)*100,"")</f>
        <v/>
      </c>
    </row>
    <row r="8608" spans="1:12" x14ac:dyDescent="0.35">
      <c r="A8608" s="3"/>
      <c r="B8608" s="2"/>
      <c r="C8608" s="2"/>
      <c r="D8608" s="2" t="b">
        <f>IF(AND(NOT(ISBLANK(Table1[[#This Row],[Fetal Sex (Male, Female or Unknown)]])),ISNUMBER(Table1[[#This Row],[Birthweight (grams)]]),ISNUMBER(Table1[[#This Row],[Gestation (days)]])),TRUE,FALSE)</f>
        <v>0</v>
      </c>
      <c r="E8608" s="2" t="str">
        <f>IF(Table1[[#This Row],[Is Data Valid]]=TRUE,IF(Table1[[#This Row],[Fetal Sex (Male, Female or Unknown)]]="Male",Backend!$C$6,IF(Table1[[#This Row],[Fetal Sex (Male, Female or Unknown)]]="Female",Backend!$C$7,IF(Table1[[#This Row],[Fetal Sex (Male, Female or Unknown)]]="Unknown",Backend!$C$8,"Error"))),"")</f>
        <v/>
      </c>
      <c r="F8608" s="8" t="str">
        <f>IF(Table1[[#This Row],[Is Data Valid]]=TRUE,EXP(0.578+0.332*((Table1[[#This Row],[Gestation (days)]]+0.5)/7)-0.00354*((Table1[[#This Row],[Gestation (days)]]+0.5)/7)^2)*Table1[[#This Row],[BW40_3705]],"")</f>
        <v/>
      </c>
      <c r="G8608" s="2" t="str">
        <f>IF(Table1[[#This Row],[Is Data Valid]]=TRUE,((Table1[[#This Row],[Birthweight (grams)]]/Table1[[#This Row],[BW_GA]])-1)/(Backend!$B$4/100*Table1[[#This Row],[BW40_3705]]),"")</f>
        <v/>
      </c>
      <c r="H8608" s="7" t="str">
        <f>IF(Table1[[#This Row],[Is Data Valid]]=TRUE,((Table1[[#This Row],[Birthweight (grams)]]*0.9/Table1[[#This Row],[BW_GA]])-1)/(Backend!$B$4/100*Table1[[#This Row],[BW40_3705]]),"")</f>
        <v/>
      </c>
      <c r="I8608" s="7" t="str">
        <f>IF(Table1[[#This Row],[Is Data Valid]]=TRUE,((Table1[[#This Row],[Birthweight (grams)]]*1.1/Table1[[#This Row],[BW_GA]])-1)/(Backend!$B$4/100*Table1[[#This Row],[BW40_3705]]),"")</f>
        <v/>
      </c>
      <c r="J8608" s="7" t="str">
        <f>IF(Table1[[#This Row],[Is Data Valid]]=TRUE,_xlfn.NORM.S.DIST(Table1[[#This Row],[Birthweight Z-Score]],TRUE)*100,"")</f>
        <v/>
      </c>
      <c r="K8608" s="7" t="str">
        <f>IF(Table1[[#This Row],[Is Data Valid]]=TRUE,_xlfn.NORM.S.DIST(Table1[[#This Row],[Birthweight Z-Score (BW-10%)]],TRUE)*100,"")</f>
        <v/>
      </c>
      <c r="L8608" s="7" t="str">
        <f>IF(Table1[[#This Row],[Is Data Valid]]=TRUE,_xlfn.NORM.S.DIST(Table1[[#This Row],[Birthweight Z-Score (BW+10%)]],TRUE)*100,"")</f>
        <v/>
      </c>
    </row>
    <row r="8609" spans="1:12" x14ac:dyDescent="0.35">
      <c r="A8609" s="3"/>
      <c r="B8609" s="2"/>
      <c r="C8609" s="2"/>
      <c r="D8609" s="2" t="b">
        <f>IF(AND(NOT(ISBLANK(Table1[[#This Row],[Fetal Sex (Male, Female or Unknown)]])),ISNUMBER(Table1[[#This Row],[Birthweight (grams)]]),ISNUMBER(Table1[[#This Row],[Gestation (days)]])),TRUE,FALSE)</f>
        <v>0</v>
      </c>
      <c r="E8609" s="2" t="str">
        <f>IF(Table1[[#This Row],[Is Data Valid]]=TRUE,IF(Table1[[#This Row],[Fetal Sex (Male, Female or Unknown)]]="Male",Backend!$C$6,IF(Table1[[#This Row],[Fetal Sex (Male, Female or Unknown)]]="Female",Backend!$C$7,IF(Table1[[#This Row],[Fetal Sex (Male, Female or Unknown)]]="Unknown",Backend!$C$8,"Error"))),"")</f>
        <v/>
      </c>
      <c r="F8609" s="8" t="str">
        <f>IF(Table1[[#This Row],[Is Data Valid]]=TRUE,EXP(0.578+0.332*((Table1[[#This Row],[Gestation (days)]]+0.5)/7)-0.00354*((Table1[[#This Row],[Gestation (days)]]+0.5)/7)^2)*Table1[[#This Row],[BW40_3705]],"")</f>
        <v/>
      </c>
      <c r="G8609" s="2" t="str">
        <f>IF(Table1[[#This Row],[Is Data Valid]]=TRUE,((Table1[[#This Row],[Birthweight (grams)]]/Table1[[#This Row],[BW_GA]])-1)/(Backend!$B$4/100*Table1[[#This Row],[BW40_3705]]),"")</f>
        <v/>
      </c>
      <c r="H8609" s="7" t="str">
        <f>IF(Table1[[#This Row],[Is Data Valid]]=TRUE,((Table1[[#This Row],[Birthweight (grams)]]*0.9/Table1[[#This Row],[BW_GA]])-1)/(Backend!$B$4/100*Table1[[#This Row],[BW40_3705]]),"")</f>
        <v/>
      </c>
      <c r="I8609" s="7" t="str">
        <f>IF(Table1[[#This Row],[Is Data Valid]]=TRUE,((Table1[[#This Row],[Birthweight (grams)]]*1.1/Table1[[#This Row],[BW_GA]])-1)/(Backend!$B$4/100*Table1[[#This Row],[BW40_3705]]),"")</f>
        <v/>
      </c>
      <c r="J8609" s="7" t="str">
        <f>IF(Table1[[#This Row],[Is Data Valid]]=TRUE,_xlfn.NORM.S.DIST(Table1[[#This Row],[Birthweight Z-Score]],TRUE)*100,"")</f>
        <v/>
      </c>
      <c r="K8609" s="7" t="str">
        <f>IF(Table1[[#This Row],[Is Data Valid]]=TRUE,_xlfn.NORM.S.DIST(Table1[[#This Row],[Birthweight Z-Score (BW-10%)]],TRUE)*100,"")</f>
        <v/>
      </c>
      <c r="L8609" s="7" t="str">
        <f>IF(Table1[[#This Row],[Is Data Valid]]=TRUE,_xlfn.NORM.S.DIST(Table1[[#This Row],[Birthweight Z-Score (BW+10%)]],TRUE)*100,"")</f>
        <v/>
      </c>
    </row>
    <row r="8610" spans="1:12" x14ac:dyDescent="0.35">
      <c r="A8610" s="3"/>
      <c r="B8610" s="2"/>
      <c r="C8610" s="2"/>
      <c r="D8610" s="2" t="b">
        <f>IF(AND(NOT(ISBLANK(Table1[[#This Row],[Fetal Sex (Male, Female or Unknown)]])),ISNUMBER(Table1[[#This Row],[Birthweight (grams)]]),ISNUMBER(Table1[[#This Row],[Gestation (days)]])),TRUE,FALSE)</f>
        <v>0</v>
      </c>
      <c r="E8610" s="2" t="str">
        <f>IF(Table1[[#This Row],[Is Data Valid]]=TRUE,IF(Table1[[#This Row],[Fetal Sex (Male, Female or Unknown)]]="Male",Backend!$C$6,IF(Table1[[#This Row],[Fetal Sex (Male, Female or Unknown)]]="Female",Backend!$C$7,IF(Table1[[#This Row],[Fetal Sex (Male, Female or Unknown)]]="Unknown",Backend!$C$8,"Error"))),"")</f>
        <v/>
      </c>
      <c r="F8610" s="8" t="str">
        <f>IF(Table1[[#This Row],[Is Data Valid]]=TRUE,EXP(0.578+0.332*((Table1[[#This Row],[Gestation (days)]]+0.5)/7)-0.00354*((Table1[[#This Row],[Gestation (days)]]+0.5)/7)^2)*Table1[[#This Row],[BW40_3705]],"")</f>
        <v/>
      </c>
      <c r="G8610" s="2" t="str">
        <f>IF(Table1[[#This Row],[Is Data Valid]]=TRUE,((Table1[[#This Row],[Birthweight (grams)]]/Table1[[#This Row],[BW_GA]])-1)/(Backend!$B$4/100*Table1[[#This Row],[BW40_3705]]),"")</f>
        <v/>
      </c>
      <c r="H8610" s="7" t="str">
        <f>IF(Table1[[#This Row],[Is Data Valid]]=TRUE,((Table1[[#This Row],[Birthweight (grams)]]*0.9/Table1[[#This Row],[BW_GA]])-1)/(Backend!$B$4/100*Table1[[#This Row],[BW40_3705]]),"")</f>
        <v/>
      </c>
      <c r="I8610" s="7" t="str">
        <f>IF(Table1[[#This Row],[Is Data Valid]]=TRUE,((Table1[[#This Row],[Birthweight (grams)]]*1.1/Table1[[#This Row],[BW_GA]])-1)/(Backend!$B$4/100*Table1[[#This Row],[BW40_3705]]),"")</f>
        <v/>
      </c>
      <c r="J8610" s="7" t="str">
        <f>IF(Table1[[#This Row],[Is Data Valid]]=TRUE,_xlfn.NORM.S.DIST(Table1[[#This Row],[Birthweight Z-Score]],TRUE)*100,"")</f>
        <v/>
      </c>
      <c r="K8610" s="7" t="str">
        <f>IF(Table1[[#This Row],[Is Data Valid]]=TRUE,_xlfn.NORM.S.DIST(Table1[[#This Row],[Birthweight Z-Score (BW-10%)]],TRUE)*100,"")</f>
        <v/>
      </c>
      <c r="L8610" s="7" t="str">
        <f>IF(Table1[[#This Row],[Is Data Valid]]=TRUE,_xlfn.NORM.S.DIST(Table1[[#This Row],[Birthweight Z-Score (BW+10%)]],TRUE)*100,"")</f>
        <v/>
      </c>
    </row>
    <row r="8611" spans="1:12" x14ac:dyDescent="0.35">
      <c r="A8611" s="3"/>
      <c r="B8611" s="2"/>
      <c r="C8611" s="2"/>
      <c r="D8611" s="2" t="b">
        <f>IF(AND(NOT(ISBLANK(Table1[[#This Row],[Fetal Sex (Male, Female or Unknown)]])),ISNUMBER(Table1[[#This Row],[Birthweight (grams)]]),ISNUMBER(Table1[[#This Row],[Gestation (days)]])),TRUE,FALSE)</f>
        <v>0</v>
      </c>
      <c r="E8611" s="2" t="str">
        <f>IF(Table1[[#This Row],[Is Data Valid]]=TRUE,IF(Table1[[#This Row],[Fetal Sex (Male, Female or Unknown)]]="Male",Backend!$C$6,IF(Table1[[#This Row],[Fetal Sex (Male, Female or Unknown)]]="Female",Backend!$C$7,IF(Table1[[#This Row],[Fetal Sex (Male, Female or Unknown)]]="Unknown",Backend!$C$8,"Error"))),"")</f>
        <v/>
      </c>
      <c r="F8611" s="8" t="str">
        <f>IF(Table1[[#This Row],[Is Data Valid]]=TRUE,EXP(0.578+0.332*((Table1[[#This Row],[Gestation (days)]]+0.5)/7)-0.00354*((Table1[[#This Row],[Gestation (days)]]+0.5)/7)^2)*Table1[[#This Row],[BW40_3705]],"")</f>
        <v/>
      </c>
      <c r="G8611" s="2" t="str">
        <f>IF(Table1[[#This Row],[Is Data Valid]]=TRUE,((Table1[[#This Row],[Birthweight (grams)]]/Table1[[#This Row],[BW_GA]])-1)/(Backend!$B$4/100*Table1[[#This Row],[BW40_3705]]),"")</f>
        <v/>
      </c>
      <c r="H8611" s="7" t="str">
        <f>IF(Table1[[#This Row],[Is Data Valid]]=TRUE,((Table1[[#This Row],[Birthweight (grams)]]*0.9/Table1[[#This Row],[BW_GA]])-1)/(Backend!$B$4/100*Table1[[#This Row],[BW40_3705]]),"")</f>
        <v/>
      </c>
      <c r="I8611" s="7" t="str">
        <f>IF(Table1[[#This Row],[Is Data Valid]]=TRUE,((Table1[[#This Row],[Birthweight (grams)]]*1.1/Table1[[#This Row],[BW_GA]])-1)/(Backend!$B$4/100*Table1[[#This Row],[BW40_3705]]),"")</f>
        <v/>
      </c>
      <c r="J8611" s="7" t="str">
        <f>IF(Table1[[#This Row],[Is Data Valid]]=TRUE,_xlfn.NORM.S.DIST(Table1[[#This Row],[Birthweight Z-Score]],TRUE)*100,"")</f>
        <v/>
      </c>
      <c r="K8611" s="7" t="str">
        <f>IF(Table1[[#This Row],[Is Data Valid]]=TRUE,_xlfn.NORM.S.DIST(Table1[[#This Row],[Birthweight Z-Score (BW-10%)]],TRUE)*100,"")</f>
        <v/>
      </c>
      <c r="L8611" s="7" t="str">
        <f>IF(Table1[[#This Row],[Is Data Valid]]=TRUE,_xlfn.NORM.S.DIST(Table1[[#This Row],[Birthweight Z-Score (BW+10%)]],TRUE)*100,"")</f>
        <v/>
      </c>
    </row>
    <row r="8612" spans="1:12" x14ac:dyDescent="0.35">
      <c r="A8612" s="3"/>
      <c r="B8612" s="2"/>
      <c r="C8612" s="2"/>
      <c r="D8612" s="2" t="b">
        <f>IF(AND(NOT(ISBLANK(Table1[[#This Row],[Fetal Sex (Male, Female or Unknown)]])),ISNUMBER(Table1[[#This Row],[Birthweight (grams)]]),ISNUMBER(Table1[[#This Row],[Gestation (days)]])),TRUE,FALSE)</f>
        <v>0</v>
      </c>
      <c r="E8612" s="2" t="str">
        <f>IF(Table1[[#This Row],[Is Data Valid]]=TRUE,IF(Table1[[#This Row],[Fetal Sex (Male, Female or Unknown)]]="Male",Backend!$C$6,IF(Table1[[#This Row],[Fetal Sex (Male, Female or Unknown)]]="Female",Backend!$C$7,IF(Table1[[#This Row],[Fetal Sex (Male, Female or Unknown)]]="Unknown",Backend!$C$8,"Error"))),"")</f>
        <v/>
      </c>
      <c r="F8612" s="8" t="str">
        <f>IF(Table1[[#This Row],[Is Data Valid]]=TRUE,EXP(0.578+0.332*((Table1[[#This Row],[Gestation (days)]]+0.5)/7)-0.00354*((Table1[[#This Row],[Gestation (days)]]+0.5)/7)^2)*Table1[[#This Row],[BW40_3705]],"")</f>
        <v/>
      </c>
      <c r="G8612" s="2" t="str">
        <f>IF(Table1[[#This Row],[Is Data Valid]]=TRUE,((Table1[[#This Row],[Birthweight (grams)]]/Table1[[#This Row],[BW_GA]])-1)/(Backend!$B$4/100*Table1[[#This Row],[BW40_3705]]),"")</f>
        <v/>
      </c>
      <c r="H8612" s="7" t="str">
        <f>IF(Table1[[#This Row],[Is Data Valid]]=TRUE,((Table1[[#This Row],[Birthweight (grams)]]*0.9/Table1[[#This Row],[BW_GA]])-1)/(Backend!$B$4/100*Table1[[#This Row],[BW40_3705]]),"")</f>
        <v/>
      </c>
      <c r="I8612" s="7" t="str">
        <f>IF(Table1[[#This Row],[Is Data Valid]]=TRUE,((Table1[[#This Row],[Birthweight (grams)]]*1.1/Table1[[#This Row],[BW_GA]])-1)/(Backend!$B$4/100*Table1[[#This Row],[BW40_3705]]),"")</f>
        <v/>
      </c>
      <c r="J8612" s="7" t="str">
        <f>IF(Table1[[#This Row],[Is Data Valid]]=TRUE,_xlfn.NORM.S.DIST(Table1[[#This Row],[Birthweight Z-Score]],TRUE)*100,"")</f>
        <v/>
      </c>
      <c r="K8612" s="7" t="str">
        <f>IF(Table1[[#This Row],[Is Data Valid]]=TRUE,_xlfn.NORM.S.DIST(Table1[[#This Row],[Birthweight Z-Score (BW-10%)]],TRUE)*100,"")</f>
        <v/>
      </c>
      <c r="L8612" s="7" t="str">
        <f>IF(Table1[[#This Row],[Is Data Valid]]=TRUE,_xlfn.NORM.S.DIST(Table1[[#This Row],[Birthweight Z-Score (BW+10%)]],TRUE)*100,"")</f>
        <v/>
      </c>
    </row>
    <row r="8613" spans="1:12" x14ac:dyDescent="0.35">
      <c r="A8613" s="3"/>
      <c r="B8613" s="2"/>
      <c r="C8613" s="2"/>
      <c r="D8613" s="2" t="b">
        <f>IF(AND(NOT(ISBLANK(Table1[[#This Row],[Fetal Sex (Male, Female or Unknown)]])),ISNUMBER(Table1[[#This Row],[Birthweight (grams)]]),ISNUMBER(Table1[[#This Row],[Gestation (days)]])),TRUE,FALSE)</f>
        <v>0</v>
      </c>
      <c r="E8613" s="2" t="str">
        <f>IF(Table1[[#This Row],[Is Data Valid]]=TRUE,IF(Table1[[#This Row],[Fetal Sex (Male, Female or Unknown)]]="Male",Backend!$C$6,IF(Table1[[#This Row],[Fetal Sex (Male, Female or Unknown)]]="Female",Backend!$C$7,IF(Table1[[#This Row],[Fetal Sex (Male, Female or Unknown)]]="Unknown",Backend!$C$8,"Error"))),"")</f>
        <v/>
      </c>
      <c r="F8613" s="8" t="str">
        <f>IF(Table1[[#This Row],[Is Data Valid]]=TRUE,EXP(0.578+0.332*((Table1[[#This Row],[Gestation (days)]]+0.5)/7)-0.00354*((Table1[[#This Row],[Gestation (days)]]+0.5)/7)^2)*Table1[[#This Row],[BW40_3705]],"")</f>
        <v/>
      </c>
      <c r="G8613" s="2" t="str">
        <f>IF(Table1[[#This Row],[Is Data Valid]]=TRUE,((Table1[[#This Row],[Birthweight (grams)]]/Table1[[#This Row],[BW_GA]])-1)/(Backend!$B$4/100*Table1[[#This Row],[BW40_3705]]),"")</f>
        <v/>
      </c>
      <c r="H8613" s="7" t="str">
        <f>IF(Table1[[#This Row],[Is Data Valid]]=TRUE,((Table1[[#This Row],[Birthweight (grams)]]*0.9/Table1[[#This Row],[BW_GA]])-1)/(Backend!$B$4/100*Table1[[#This Row],[BW40_3705]]),"")</f>
        <v/>
      </c>
      <c r="I8613" s="7" t="str">
        <f>IF(Table1[[#This Row],[Is Data Valid]]=TRUE,((Table1[[#This Row],[Birthweight (grams)]]*1.1/Table1[[#This Row],[BW_GA]])-1)/(Backend!$B$4/100*Table1[[#This Row],[BW40_3705]]),"")</f>
        <v/>
      </c>
      <c r="J8613" s="7" t="str">
        <f>IF(Table1[[#This Row],[Is Data Valid]]=TRUE,_xlfn.NORM.S.DIST(Table1[[#This Row],[Birthweight Z-Score]],TRUE)*100,"")</f>
        <v/>
      </c>
      <c r="K8613" s="7" t="str">
        <f>IF(Table1[[#This Row],[Is Data Valid]]=TRUE,_xlfn.NORM.S.DIST(Table1[[#This Row],[Birthweight Z-Score (BW-10%)]],TRUE)*100,"")</f>
        <v/>
      </c>
      <c r="L8613" s="7" t="str">
        <f>IF(Table1[[#This Row],[Is Data Valid]]=TRUE,_xlfn.NORM.S.DIST(Table1[[#This Row],[Birthweight Z-Score (BW+10%)]],TRUE)*100,"")</f>
        <v/>
      </c>
    </row>
    <row r="8614" spans="1:12" x14ac:dyDescent="0.35">
      <c r="A8614" s="3"/>
      <c r="B8614" s="2"/>
      <c r="C8614" s="2"/>
      <c r="D8614" s="2" t="b">
        <f>IF(AND(NOT(ISBLANK(Table1[[#This Row],[Fetal Sex (Male, Female or Unknown)]])),ISNUMBER(Table1[[#This Row],[Birthweight (grams)]]),ISNUMBER(Table1[[#This Row],[Gestation (days)]])),TRUE,FALSE)</f>
        <v>0</v>
      </c>
      <c r="E8614" s="2" t="str">
        <f>IF(Table1[[#This Row],[Is Data Valid]]=TRUE,IF(Table1[[#This Row],[Fetal Sex (Male, Female or Unknown)]]="Male",Backend!$C$6,IF(Table1[[#This Row],[Fetal Sex (Male, Female or Unknown)]]="Female",Backend!$C$7,IF(Table1[[#This Row],[Fetal Sex (Male, Female or Unknown)]]="Unknown",Backend!$C$8,"Error"))),"")</f>
        <v/>
      </c>
      <c r="F8614" s="8" t="str">
        <f>IF(Table1[[#This Row],[Is Data Valid]]=TRUE,EXP(0.578+0.332*((Table1[[#This Row],[Gestation (days)]]+0.5)/7)-0.00354*((Table1[[#This Row],[Gestation (days)]]+0.5)/7)^2)*Table1[[#This Row],[BW40_3705]],"")</f>
        <v/>
      </c>
      <c r="G8614" s="2" t="str">
        <f>IF(Table1[[#This Row],[Is Data Valid]]=TRUE,((Table1[[#This Row],[Birthweight (grams)]]/Table1[[#This Row],[BW_GA]])-1)/(Backend!$B$4/100*Table1[[#This Row],[BW40_3705]]),"")</f>
        <v/>
      </c>
      <c r="H8614" s="7" t="str">
        <f>IF(Table1[[#This Row],[Is Data Valid]]=TRUE,((Table1[[#This Row],[Birthweight (grams)]]*0.9/Table1[[#This Row],[BW_GA]])-1)/(Backend!$B$4/100*Table1[[#This Row],[BW40_3705]]),"")</f>
        <v/>
      </c>
      <c r="I8614" s="7" t="str">
        <f>IF(Table1[[#This Row],[Is Data Valid]]=TRUE,((Table1[[#This Row],[Birthweight (grams)]]*1.1/Table1[[#This Row],[BW_GA]])-1)/(Backend!$B$4/100*Table1[[#This Row],[BW40_3705]]),"")</f>
        <v/>
      </c>
      <c r="J8614" s="7" t="str">
        <f>IF(Table1[[#This Row],[Is Data Valid]]=TRUE,_xlfn.NORM.S.DIST(Table1[[#This Row],[Birthweight Z-Score]],TRUE)*100,"")</f>
        <v/>
      </c>
      <c r="K8614" s="7" t="str">
        <f>IF(Table1[[#This Row],[Is Data Valid]]=TRUE,_xlfn.NORM.S.DIST(Table1[[#This Row],[Birthweight Z-Score (BW-10%)]],TRUE)*100,"")</f>
        <v/>
      </c>
      <c r="L8614" s="7" t="str">
        <f>IF(Table1[[#This Row],[Is Data Valid]]=TRUE,_xlfn.NORM.S.DIST(Table1[[#This Row],[Birthweight Z-Score (BW+10%)]],TRUE)*100,"")</f>
        <v/>
      </c>
    </row>
    <row r="8615" spans="1:12" x14ac:dyDescent="0.35">
      <c r="A8615" s="3"/>
      <c r="B8615" s="2"/>
      <c r="C8615" s="2"/>
      <c r="D8615" s="2" t="b">
        <f>IF(AND(NOT(ISBLANK(Table1[[#This Row],[Fetal Sex (Male, Female or Unknown)]])),ISNUMBER(Table1[[#This Row],[Birthweight (grams)]]),ISNUMBER(Table1[[#This Row],[Gestation (days)]])),TRUE,FALSE)</f>
        <v>0</v>
      </c>
      <c r="E8615" s="2" t="str">
        <f>IF(Table1[[#This Row],[Is Data Valid]]=TRUE,IF(Table1[[#This Row],[Fetal Sex (Male, Female or Unknown)]]="Male",Backend!$C$6,IF(Table1[[#This Row],[Fetal Sex (Male, Female or Unknown)]]="Female",Backend!$C$7,IF(Table1[[#This Row],[Fetal Sex (Male, Female or Unknown)]]="Unknown",Backend!$C$8,"Error"))),"")</f>
        <v/>
      </c>
      <c r="F8615" s="8" t="str">
        <f>IF(Table1[[#This Row],[Is Data Valid]]=TRUE,EXP(0.578+0.332*((Table1[[#This Row],[Gestation (days)]]+0.5)/7)-0.00354*((Table1[[#This Row],[Gestation (days)]]+0.5)/7)^2)*Table1[[#This Row],[BW40_3705]],"")</f>
        <v/>
      </c>
      <c r="G8615" s="2" t="str">
        <f>IF(Table1[[#This Row],[Is Data Valid]]=TRUE,((Table1[[#This Row],[Birthweight (grams)]]/Table1[[#This Row],[BW_GA]])-1)/(Backend!$B$4/100*Table1[[#This Row],[BW40_3705]]),"")</f>
        <v/>
      </c>
      <c r="H8615" s="7" t="str">
        <f>IF(Table1[[#This Row],[Is Data Valid]]=TRUE,((Table1[[#This Row],[Birthweight (grams)]]*0.9/Table1[[#This Row],[BW_GA]])-1)/(Backend!$B$4/100*Table1[[#This Row],[BW40_3705]]),"")</f>
        <v/>
      </c>
      <c r="I8615" s="7" t="str">
        <f>IF(Table1[[#This Row],[Is Data Valid]]=TRUE,((Table1[[#This Row],[Birthweight (grams)]]*1.1/Table1[[#This Row],[BW_GA]])-1)/(Backend!$B$4/100*Table1[[#This Row],[BW40_3705]]),"")</f>
        <v/>
      </c>
      <c r="J8615" s="7" t="str">
        <f>IF(Table1[[#This Row],[Is Data Valid]]=TRUE,_xlfn.NORM.S.DIST(Table1[[#This Row],[Birthweight Z-Score]],TRUE)*100,"")</f>
        <v/>
      </c>
      <c r="K8615" s="7" t="str">
        <f>IF(Table1[[#This Row],[Is Data Valid]]=TRUE,_xlfn.NORM.S.DIST(Table1[[#This Row],[Birthweight Z-Score (BW-10%)]],TRUE)*100,"")</f>
        <v/>
      </c>
      <c r="L8615" s="7" t="str">
        <f>IF(Table1[[#This Row],[Is Data Valid]]=TRUE,_xlfn.NORM.S.DIST(Table1[[#This Row],[Birthweight Z-Score (BW+10%)]],TRUE)*100,"")</f>
        <v/>
      </c>
    </row>
    <row r="8616" spans="1:12" x14ac:dyDescent="0.35">
      <c r="A8616" s="3"/>
      <c r="B8616" s="2"/>
      <c r="C8616" s="2"/>
      <c r="D8616" s="2" t="b">
        <f>IF(AND(NOT(ISBLANK(Table1[[#This Row],[Fetal Sex (Male, Female or Unknown)]])),ISNUMBER(Table1[[#This Row],[Birthweight (grams)]]),ISNUMBER(Table1[[#This Row],[Gestation (days)]])),TRUE,FALSE)</f>
        <v>0</v>
      </c>
      <c r="E8616" s="2" t="str">
        <f>IF(Table1[[#This Row],[Is Data Valid]]=TRUE,IF(Table1[[#This Row],[Fetal Sex (Male, Female or Unknown)]]="Male",Backend!$C$6,IF(Table1[[#This Row],[Fetal Sex (Male, Female or Unknown)]]="Female",Backend!$C$7,IF(Table1[[#This Row],[Fetal Sex (Male, Female or Unknown)]]="Unknown",Backend!$C$8,"Error"))),"")</f>
        <v/>
      </c>
      <c r="F8616" s="8" t="str">
        <f>IF(Table1[[#This Row],[Is Data Valid]]=TRUE,EXP(0.578+0.332*((Table1[[#This Row],[Gestation (days)]]+0.5)/7)-0.00354*((Table1[[#This Row],[Gestation (days)]]+0.5)/7)^2)*Table1[[#This Row],[BW40_3705]],"")</f>
        <v/>
      </c>
      <c r="G8616" s="2" t="str">
        <f>IF(Table1[[#This Row],[Is Data Valid]]=TRUE,((Table1[[#This Row],[Birthweight (grams)]]/Table1[[#This Row],[BW_GA]])-1)/(Backend!$B$4/100*Table1[[#This Row],[BW40_3705]]),"")</f>
        <v/>
      </c>
      <c r="H8616" s="7" t="str">
        <f>IF(Table1[[#This Row],[Is Data Valid]]=TRUE,((Table1[[#This Row],[Birthweight (grams)]]*0.9/Table1[[#This Row],[BW_GA]])-1)/(Backend!$B$4/100*Table1[[#This Row],[BW40_3705]]),"")</f>
        <v/>
      </c>
      <c r="I8616" s="7" t="str">
        <f>IF(Table1[[#This Row],[Is Data Valid]]=TRUE,((Table1[[#This Row],[Birthweight (grams)]]*1.1/Table1[[#This Row],[BW_GA]])-1)/(Backend!$B$4/100*Table1[[#This Row],[BW40_3705]]),"")</f>
        <v/>
      </c>
      <c r="J8616" s="7" t="str">
        <f>IF(Table1[[#This Row],[Is Data Valid]]=TRUE,_xlfn.NORM.S.DIST(Table1[[#This Row],[Birthweight Z-Score]],TRUE)*100,"")</f>
        <v/>
      </c>
      <c r="K8616" s="7" t="str">
        <f>IF(Table1[[#This Row],[Is Data Valid]]=TRUE,_xlfn.NORM.S.DIST(Table1[[#This Row],[Birthweight Z-Score (BW-10%)]],TRUE)*100,"")</f>
        <v/>
      </c>
      <c r="L8616" s="7" t="str">
        <f>IF(Table1[[#This Row],[Is Data Valid]]=TRUE,_xlfn.NORM.S.DIST(Table1[[#This Row],[Birthweight Z-Score (BW+10%)]],TRUE)*100,"")</f>
        <v/>
      </c>
    </row>
    <row r="8617" spans="1:12" x14ac:dyDescent="0.35">
      <c r="A8617" s="3"/>
      <c r="B8617" s="2"/>
      <c r="C8617" s="2"/>
      <c r="D8617" s="2" t="b">
        <f>IF(AND(NOT(ISBLANK(Table1[[#This Row],[Fetal Sex (Male, Female or Unknown)]])),ISNUMBER(Table1[[#This Row],[Birthweight (grams)]]),ISNUMBER(Table1[[#This Row],[Gestation (days)]])),TRUE,FALSE)</f>
        <v>0</v>
      </c>
      <c r="E8617" s="2" t="str">
        <f>IF(Table1[[#This Row],[Is Data Valid]]=TRUE,IF(Table1[[#This Row],[Fetal Sex (Male, Female or Unknown)]]="Male",Backend!$C$6,IF(Table1[[#This Row],[Fetal Sex (Male, Female or Unknown)]]="Female",Backend!$C$7,IF(Table1[[#This Row],[Fetal Sex (Male, Female or Unknown)]]="Unknown",Backend!$C$8,"Error"))),"")</f>
        <v/>
      </c>
      <c r="F8617" s="8" t="str">
        <f>IF(Table1[[#This Row],[Is Data Valid]]=TRUE,EXP(0.578+0.332*((Table1[[#This Row],[Gestation (days)]]+0.5)/7)-0.00354*((Table1[[#This Row],[Gestation (days)]]+0.5)/7)^2)*Table1[[#This Row],[BW40_3705]],"")</f>
        <v/>
      </c>
      <c r="G8617" s="2" t="str">
        <f>IF(Table1[[#This Row],[Is Data Valid]]=TRUE,((Table1[[#This Row],[Birthweight (grams)]]/Table1[[#This Row],[BW_GA]])-1)/(Backend!$B$4/100*Table1[[#This Row],[BW40_3705]]),"")</f>
        <v/>
      </c>
      <c r="H8617" s="7" t="str">
        <f>IF(Table1[[#This Row],[Is Data Valid]]=TRUE,((Table1[[#This Row],[Birthweight (grams)]]*0.9/Table1[[#This Row],[BW_GA]])-1)/(Backend!$B$4/100*Table1[[#This Row],[BW40_3705]]),"")</f>
        <v/>
      </c>
      <c r="I8617" s="7" t="str">
        <f>IF(Table1[[#This Row],[Is Data Valid]]=TRUE,((Table1[[#This Row],[Birthweight (grams)]]*1.1/Table1[[#This Row],[BW_GA]])-1)/(Backend!$B$4/100*Table1[[#This Row],[BW40_3705]]),"")</f>
        <v/>
      </c>
      <c r="J8617" s="7" t="str">
        <f>IF(Table1[[#This Row],[Is Data Valid]]=TRUE,_xlfn.NORM.S.DIST(Table1[[#This Row],[Birthweight Z-Score]],TRUE)*100,"")</f>
        <v/>
      </c>
      <c r="K8617" s="7" t="str">
        <f>IF(Table1[[#This Row],[Is Data Valid]]=TRUE,_xlfn.NORM.S.DIST(Table1[[#This Row],[Birthweight Z-Score (BW-10%)]],TRUE)*100,"")</f>
        <v/>
      </c>
      <c r="L8617" s="7" t="str">
        <f>IF(Table1[[#This Row],[Is Data Valid]]=TRUE,_xlfn.NORM.S.DIST(Table1[[#This Row],[Birthweight Z-Score (BW+10%)]],TRUE)*100,"")</f>
        <v/>
      </c>
    </row>
    <row r="8618" spans="1:12" x14ac:dyDescent="0.35">
      <c r="A8618" s="3"/>
      <c r="B8618" s="2"/>
      <c r="C8618" s="2"/>
      <c r="D8618" s="2" t="b">
        <f>IF(AND(NOT(ISBLANK(Table1[[#This Row],[Fetal Sex (Male, Female or Unknown)]])),ISNUMBER(Table1[[#This Row],[Birthweight (grams)]]),ISNUMBER(Table1[[#This Row],[Gestation (days)]])),TRUE,FALSE)</f>
        <v>0</v>
      </c>
      <c r="E8618" s="2" t="str">
        <f>IF(Table1[[#This Row],[Is Data Valid]]=TRUE,IF(Table1[[#This Row],[Fetal Sex (Male, Female or Unknown)]]="Male",Backend!$C$6,IF(Table1[[#This Row],[Fetal Sex (Male, Female or Unknown)]]="Female",Backend!$C$7,IF(Table1[[#This Row],[Fetal Sex (Male, Female or Unknown)]]="Unknown",Backend!$C$8,"Error"))),"")</f>
        <v/>
      </c>
      <c r="F8618" s="8" t="str">
        <f>IF(Table1[[#This Row],[Is Data Valid]]=TRUE,EXP(0.578+0.332*((Table1[[#This Row],[Gestation (days)]]+0.5)/7)-0.00354*((Table1[[#This Row],[Gestation (days)]]+0.5)/7)^2)*Table1[[#This Row],[BW40_3705]],"")</f>
        <v/>
      </c>
      <c r="G8618" s="2" t="str">
        <f>IF(Table1[[#This Row],[Is Data Valid]]=TRUE,((Table1[[#This Row],[Birthweight (grams)]]/Table1[[#This Row],[BW_GA]])-1)/(Backend!$B$4/100*Table1[[#This Row],[BW40_3705]]),"")</f>
        <v/>
      </c>
      <c r="H8618" s="7" t="str">
        <f>IF(Table1[[#This Row],[Is Data Valid]]=TRUE,((Table1[[#This Row],[Birthweight (grams)]]*0.9/Table1[[#This Row],[BW_GA]])-1)/(Backend!$B$4/100*Table1[[#This Row],[BW40_3705]]),"")</f>
        <v/>
      </c>
      <c r="I8618" s="7" t="str">
        <f>IF(Table1[[#This Row],[Is Data Valid]]=TRUE,((Table1[[#This Row],[Birthweight (grams)]]*1.1/Table1[[#This Row],[BW_GA]])-1)/(Backend!$B$4/100*Table1[[#This Row],[BW40_3705]]),"")</f>
        <v/>
      </c>
      <c r="J8618" s="7" t="str">
        <f>IF(Table1[[#This Row],[Is Data Valid]]=TRUE,_xlfn.NORM.S.DIST(Table1[[#This Row],[Birthweight Z-Score]],TRUE)*100,"")</f>
        <v/>
      </c>
      <c r="K8618" s="7" t="str">
        <f>IF(Table1[[#This Row],[Is Data Valid]]=TRUE,_xlfn.NORM.S.DIST(Table1[[#This Row],[Birthweight Z-Score (BW-10%)]],TRUE)*100,"")</f>
        <v/>
      </c>
      <c r="L8618" s="7" t="str">
        <f>IF(Table1[[#This Row],[Is Data Valid]]=TRUE,_xlfn.NORM.S.DIST(Table1[[#This Row],[Birthweight Z-Score (BW+10%)]],TRUE)*100,"")</f>
        <v/>
      </c>
    </row>
    <row r="8619" spans="1:12" x14ac:dyDescent="0.35">
      <c r="A8619" s="3"/>
      <c r="B8619" s="2"/>
      <c r="C8619" s="2"/>
      <c r="D8619" s="2" t="b">
        <f>IF(AND(NOT(ISBLANK(Table1[[#This Row],[Fetal Sex (Male, Female or Unknown)]])),ISNUMBER(Table1[[#This Row],[Birthweight (grams)]]),ISNUMBER(Table1[[#This Row],[Gestation (days)]])),TRUE,FALSE)</f>
        <v>0</v>
      </c>
      <c r="E8619" s="2" t="str">
        <f>IF(Table1[[#This Row],[Is Data Valid]]=TRUE,IF(Table1[[#This Row],[Fetal Sex (Male, Female or Unknown)]]="Male",Backend!$C$6,IF(Table1[[#This Row],[Fetal Sex (Male, Female or Unknown)]]="Female",Backend!$C$7,IF(Table1[[#This Row],[Fetal Sex (Male, Female or Unknown)]]="Unknown",Backend!$C$8,"Error"))),"")</f>
        <v/>
      </c>
      <c r="F8619" s="8" t="str">
        <f>IF(Table1[[#This Row],[Is Data Valid]]=TRUE,EXP(0.578+0.332*((Table1[[#This Row],[Gestation (days)]]+0.5)/7)-0.00354*((Table1[[#This Row],[Gestation (days)]]+0.5)/7)^2)*Table1[[#This Row],[BW40_3705]],"")</f>
        <v/>
      </c>
      <c r="G8619" s="2" t="str">
        <f>IF(Table1[[#This Row],[Is Data Valid]]=TRUE,((Table1[[#This Row],[Birthweight (grams)]]/Table1[[#This Row],[BW_GA]])-1)/(Backend!$B$4/100*Table1[[#This Row],[BW40_3705]]),"")</f>
        <v/>
      </c>
      <c r="H8619" s="7" t="str">
        <f>IF(Table1[[#This Row],[Is Data Valid]]=TRUE,((Table1[[#This Row],[Birthweight (grams)]]*0.9/Table1[[#This Row],[BW_GA]])-1)/(Backend!$B$4/100*Table1[[#This Row],[BW40_3705]]),"")</f>
        <v/>
      </c>
      <c r="I8619" s="7" t="str">
        <f>IF(Table1[[#This Row],[Is Data Valid]]=TRUE,((Table1[[#This Row],[Birthweight (grams)]]*1.1/Table1[[#This Row],[BW_GA]])-1)/(Backend!$B$4/100*Table1[[#This Row],[BW40_3705]]),"")</f>
        <v/>
      </c>
      <c r="J8619" s="7" t="str">
        <f>IF(Table1[[#This Row],[Is Data Valid]]=TRUE,_xlfn.NORM.S.DIST(Table1[[#This Row],[Birthweight Z-Score]],TRUE)*100,"")</f>
        <v/>
      </c>
      <c r="K8619" s="7" t="str">
        <f>IF(Table1[[#This Row],[Is Data Valid]]=TRUE,_xlfn.NORM.S.DIST(Table1[[#This Row],[Birthweight Z-Score (BW-10%)]],TRUE)*100,"")</f>
        <v/>
      </c>
      <c r="L8619" s="7" t="str">
        <f>IF(Table1[[#This Row],[Is Data Valid]]=TRUE,_xlfn.NORM.S.DIST(Table1[[#This Row],[Birthweight Z-Score (BW+10%)]],TRUE)*100,"")</f>
        <v/>
      </c>
    </row>
    <row r="8620" spans="1:12" x14ac:dyDescent="0.35">
      <c r="A8620" s="3"/>
      <c r="B8620" s="2"/>
      <c r="C8620" s="2"/>
      <c r="D8620" s="2" t="b">
        <f>IF(AND(NOT(ISBLANK(Table1[[#This Row],[Fetal Sex (Male, Female or Unknown)]])),ISNUMBER(Table1[[#This Row],[Birthweight (grams)]]),ISNUMBER(Table1[[#This Row],[Gestation (days)]])),TRUE,FALSE)</f>
        <v>0</v>
      </c>
      <c r="E8620" s="2" t="str">
        <f>IF(Table1[[#This Row],[Is Data Valid]]=TRUE,IF(Table1[[#This Row],[Fetal Sex (Male, Female or Unknown)]]="Male",Backend!$C$6,IF(Table1[[#This Row],[Fetal Sex (Male, Female or Unknown)]]="Female",Backend!$C$7,IF(Table1[[#This Row],[Fetal Sex (Male, Female or Unknown)]]="Unknown",Backend!$C$8,"Error"))),"")</f>
        <v/>
      </c>
      <c r="F8620" s="8" t="str">
        <f>IF(Table1[[#This Row],[Is Data Valid]]=TRUE,EXP(0.578+0.332*((Table1[[#This Row],[Gestation (days)]]+0.5)/7)-0.00354*((Table1[[#This Row],[Gestation (days)]]+0.5)/7)^2)*Table1[[#This Row],[BW40_3705]],"")</f>
        <v/>
      </c>
      <c r="G8620" s="2" t="str">
        <f>IF(Table1[[#This Row],[Is Data Valid]]=TRUE,((Table1[[#This Row],[Birthweight (grams)]]/Table1[[#This Row],[BW_GA]])-1)/(Backend!$B$4/100*Table1[[#This Row],[BW40_3705]]),"")</f>
        <v/>
      </c>
      <c r="H8620" s="7" t="str">
        <f>IF(Table1[[#This Row],[Is Data Valid]]=TRUE,((Table1[[#This Row],[Birthweight (grams)]]*0.9/Table1[[#This Row],[BW_GA]])-1)/(Backend!$B$4/100*Table1[[#This Row],[BW40_3705]]),"")</f>
        <v/>
      </c>
      <c r="I8620" s="7" t="str">
        <f>IF(Table1[[#This Row],[Is Data Valid]]=TRUE,((Table1[[#This Row],[Birthweight (grams)]]*1.1/Table1[[#This Row],[BW_GA]])-1)/(Backend!$B$4/100*Table1[[#This Row],[BW40_3705]]),"")</f>
        <v/>
      </c>
      <c r="J8620" s="7" t="str">
        <f>IF(Table1[[#This Row],[Is Data Valid]]=TRUE,_xlfn.NORM.S.DIST(Table1[[#This Row],[Birthweight Z-Score]],TRUE)*100,"")</f>
        <v/>
      </c>
      <c r="K8620" s="7" t="str">
        <f>IF(Table1[[#This Row],[Is Data Valid]]=TRUE,_xlfn.NORM.S.DIST(Table1[[#This Row],[Birthweight Z-Score (BW-10%)]],TRUE)*100,"")</f>
        <v/>
      </c>
      <c r="L8620" s="7" t="str">
        <f>IF(Table1[[#This Row],[Is Data Valid]]=TRUE,_xlfn.NORM.S.DIST(Table1[[#This Row],[Birthweight Z-Score (BW+10%)]],TRUE)*100,"")</f>
        <v/>
      </c>
    </row>
    <row r="8621" spans="1:12" x14ac:dyDescent="0.35">
      <c r="A8621" s="3"/>
      <c r="B8621" s="2"/>
      <c r="C8621" s="2"/>
      <c r="D8621" s="2" t="b">
        <f>IF(AND(NOT(ISBLANK(Table1[[#This Row],[Fetal Sex (Male, Female or Unknown)]])),ISNUMBER(Table1[[#This Row],[Birthweight (grams)]]),ISNUMBER(Table1[[#This Row],[Gestation (days)]])),TRUE,FALSE)</f>
        <v>0</v>
      </c>
      <c r="E8621" s="2" t="str">
        <f>IF(Table1[[#This Row],[Is Data Valid]]=TRUE,IF(Table1[[#This Row],[Fetal Sex (Male, Female or Unknown)]]="Male",Backend!$C$6,IF(Table1[[#This Row],[Fetal Sex (Male, Female or Unknown)]]="Female",Backend!$C$7,IF(Table1[[#This Row],[Fetal Sex (Male, Female or Unknown)]]="Unknown",Backend!$C$8,"Error"))),"")</f>
        <v/>
      </c>
      <c r="F8621" s="8" t="str">
        <f>IF(Table1[[#This Row],[Is Data Valid]]=TRUE,EXP(0.578+0.332*((Table1[[#This Row],[Gestation (days)]]+0.5)/7)-0.00354*((Table1[[#This Row],[Gestation (days)]]+0.5)/7)^2)*Table1[[#This Row],[BW40_3705]],"")</f>
        <v/>
      </c>
      <c r="G8621" s="2" t="str">
        <f>IF(Table1[[#This Row],[Is Data Valid]]=TRUE,((Table1[[#This Row],[Birthweight (grams)]]/Table1[[#This Row],[BW_GA]])-1)/(Backend!$B$4/100*Table1[[#This Row],[BW40_3705]]),"")</f>
        <v/>
      </c>
      <c r="H8621" s="7" t="str">
        <f>IF(Table1[[#This Row],[Is Data Valid]]=TRUE,((Table1[[#This Row],[Birthweight (grams)]]*0.9/Table1[[#This Row],[BW_GA]])-1)/(Backend!$B$4/100*Table1[[#This Row],[BW40_3705]]),"")</f>
        <v/>
      </c>
      <c r="I8621" s="7" t="str">
        <f>IF(Table1[[#This Row],[Is Data Valid]]=TRUE,((Table1[[#This Row],[Birthweight (grams)]]*1.1/Table1[[#This Row],[BW_GA]])-1)/(Backend!$B$4/100*Table1[[#This Row],[BW40_3705]]),"")</f>
        <v/>
      </c>
      <c r="J8621" s="7" t="str">
        <f>IF(Table1[[#This Row],[Is Data Valid]]=TRUE,_xlfn.NORM.S.DIST(Table1[[#This Row],[Birthweight Z-Score]],TRUE)*100,"")</f>
        <v/>
      </c>
      <c r="K8621" s="7" t="str">
        <f>IF(Table1[[#This Row],[Is Data Valid]]=TRUE,_xlfn.NORM.S.DIST(Table1[[#This Row],[Birthweight Z-Score (BW-10%)]],TRUE)*100,"")</f>
        <v/>
      </c>
      <c r="L8621" s="7" t="str">
        <f>IF(Table1[[#This Row],[Is Data Valid]]=TRUE,_xlfn.NORM.S.DIST(Table1[[#This Row],[Birthweight Z-Score (BW+10%)]],TRUE)*100,"")</f>
        <v/>
      </c>
    </row>
    <row r="8622" spans="1:12" x14ac:dyDescent="0.35">
      <c r="A8622" s="3"/>
      <c r="B8622" s="2"/>
      <c r="C8622" s="2"/>
      <c r="D8622" s="2" t="b">
        <f>IF(AND(NOT(ISBLANK(Table1[[#This Row],[Fetal Sex (Male, Female or Unknown)]])),ISNUMBER(Table1[[#This Row],[Birthweight (grams)]]),ISNUMBER(Table1[[#This Row],[Gestation (days)]])),TRUE,FALSE)</f>
        <v>0</v>
      </c>
      <c r="E8622" s="2" t="str">
        <f>IF(Table1[[#This Row],[Is Data Valid]]=TRUE,IF(Table1[[#This Row],[Fetal Sex (Male, Female or Unknown)]]="Male",Backend!$C$6,IF(Table1[[#This Row],[Fetal Sex (Male, Female or Unknown)]]="Female",Backend!$C$7,IF(Table1[[#This Row],[Fetal Sex (Male, Female or Unknown)]]="Unknown",Backend!$C$8,"Error"))),"")</f>
        <v/>
      </c>
      <c r="F8622" s="8" t="str">
        <f>IF(Table1[[#This Row],[Is Data Valid]]=TRUE,EXP(0.578+0.332*((Table1[[#This Row],[Gestation (days)]]+0.5)/7)-0.00354*((Table1[[#This Row],[Gestation (days)]]+0.5)/7)^2)*Table1[[#This Row],[BW40_3705]],"")</f>
        <v/>
      </c>
      <c r="G8622" s="2" t="str">
        <f>IF(Table1[[#This Row],[Is Data Valid]]=TRUE,((Table1[[#This Row],[Birthweight (grams)]]/Table1[[#This Row],[BW_GA]])-1)/(Backend!$B$4/100*Table1[[#This Row],[BW40_3705]]),"")</f>
        <v/>
      </c>
      <c r="H8622" s="7" t="str">
        <f>IF(Table1[[#This Row],[Is Data Valid]]=TRUE,((Table1[[#This Row],[Birthweight (grams)]]*0.9/Table1[[#This Row],[BW_GA]])-1)/(Backend!$B$4/100*Table1[[#This Row],[BW40_3705]]),"")</f>
        <v/>
      </c>
      <c r="I8622" s="7" t="str">
        <f>IF(Table1[[#This Row],[Is Data Valid]]=TRUE,((Table1[[#This Row],[Birthweight (grams)]]*1.1/Table1[[#This Row],[BW_GA]])-1)/(Backend!$B$4/100*Table1[[#This Row],[BW40_3705]]),"")</f>
        <v/>
      </c>
      <c r="J8622" s="7" t="str">
        <f>IF(Table1[[#This Row],[Is Data Valid]]=TRUE,_xlfn.NORM.S.DIST(Table1[[#This Row],[Birthweight Z-Score]],TRUE)*100,"")</f>
        <v/>
      </c>
      <c r="K8622" s="7" t="str">
        <f>IF(Table1[[#This Row],[Is Data Valid]]=TRUE,_xlfn.NORM.S.DIST(Table1[[#This Row],[Birthweight Z-Score (BW-10%)]],TRUE)*100,"")</f>
        <v/>
      </c>
      <c r="L8622" s="7" t="str">
        <f>IF(Table1[[#This Row],[Is Data Valid]]=TRUE,_xlfn.NORM.S.DIST(Table1[[#This Row],[Birthweight Z-Score (BW+10%)]],TRUE)*100,"")</f>
        <v/>
      </c>
    </row>
    <row r="8623" spans="1:12" x14ac:dyDescent="0.35">
      <c r="A8623" s="3"/>
      <c r="B8623" s="2"/>
      <c r="C8623" s="2"/>
      <c r="D8623" s="2" t="b">
        <f>IF(AND(NOT(ISBLANK(Table1[[#This Row],[Fetal Sex (Male, Female or Unknown)]])),ISNUMBER(Table1[[#This Row],[Birthweight (grams)]]),ISNUMBER(Table1[[#This Row],[Gestation (days)]])),TRUE,FALSE)</f>
        <v>0</v>
      </c>
      <c r="E8623" s="2" t="str">
        <f>IF(Table1[[#This Row],[Is Data Valid]]=TRUE,IF(Table1[[#This Row],[Fetal Sex (Male, Female or Unknown)]]="Male",Backend!$C$6,IF(Table1[[#This Row],[Fetal Sex (Male, Female or Unknown)]]="Female",Backend!$C$7,IF(Table1[[#This Row],[Fetal Sex (Male, Female or Unknown)]]="Unknown",Backend!$C$8,"Error"))),"")</f>
        <v/>
      </c>
      <c r="F8623" s="8" t="str">
        <f>IF(Table1[[#This Row],[Is Data Valid]]=TRUE,EXP(0.578+0.332*((Table1[[#This Row],[Gestation (days)]]+0.5)/7)-0.00354*((Table1[[#This Row],[Gestation (days)]]+0.5)/7)^2)*Table1[[#This Row],[BW40_3705]],"")</f>
        <v/>
      </c>
      <c r="G8623" s="2" t="str">
        <f>IF(Table1[[#This Row],[Is Data Valid]]=TRUE,((Table1[[#This Row],[Birthweight (grams)]]/Table1[[#This Row],[BW_GA]])-1)/(Backend!$B$4/100*Table1[[#This Row],[BW40_3705]]),"")</f>
        <v/>
      </c>
      <c r="H8623" s="7" t="str">
        <f>IF(Table1[[#This Row],[Is Data Valid]]=TRUE,((Table1[[#This Row],[Birthweight (grams)]]*0.9/Table1[[#This Row],[BW_GA]])-1)/(Backend!$B$4/100*Table1[[#This Row],[BW40_3705]]),"")</f>
        <v/>
      </c>
      <c r="I8623" s="7" t="str">
        <f>IF(Table1[[#This Row],[Is Data Valid]]=TRUE,((Table1[[#This Row],[Birthweight (grams)]]*1.1/Table1[[#This Row],[BW_GA]])-1)/(Backend!$B$4/100*Table1[[#This Row],[BW40_3705]]),"")</f>
        <v/>
      </c>
      <c r="J8623" s="7" t="str">
        <f>IF(Table1[[#This Row],[Is Data Valid]]=TRUE,_xlfn.NORM.S.DIST(Table1[[#This Row],[Birthweight Z-Score]],TRUE)*100,"")</f>
        <v/>
      </c>
      <c r="K8623" s="7" t="str">
        <f>IF(Table1[[#This Row],[Is Data Valid]]=TRUE,_xlfn.NORM.S.DIST(Table1[[#This Row],[Birthweight Z-Score (BW-10%)]],TRUE)*100,"")</f>
        <v/>
      </c>
      <c r="L8623" s="7" t="str">
        <f>IF(Table1[[#This Row],[Is Data Valid]]=TRUE,_xlfn.NORM.S.DIST(Table1[[#This Row],[Birthweight Z-Score (BW+10%)]],TRUE)*100,"")</f>
        <v/>
      </c>
    </row>
    <row r="8624" spans="1:12" x14ac:dyDescent="0.35">
      <c r="A8624" s="3"/>
      <c r="B8624" s="2"/>
      <c r="C8624" s="2"/>
      <c r="D8624" s="2" t="b">
        <f>IF(AND(NOT(ISBLANK(Table1[[#This Row],[Fetal Sex (Male, Female or Unknown)]])),ISNUMBER(Table1[[#This Row],[Birthweight (grams)]]),ISNUMBER(Table1[[#This Row],[Gestation (days)]])),TRUE,FALSE)</f>
        <v>0</v>
      </c>
      <c r="E8624" s="2" t="str">
        <f>IF(Table1[[#This Row],[Is Data Valid]]=TRUE,IF(Table1[[#This Row],[Fetal Sex (Male, Female or Unknown)]]="Male",Backend!$C$6,IF(Table1[[#This Row],[Fetal Sex (Male, Female or Unknown)]]="Female",Backend!$C$7,IF(Table1[[#This Row],[Fetal Sex (Male, Female or Unknown)]]="Unknown",Backend!$C$8,"Error"))),"")</f>
        <v/>
      </c>
      <c r="F8624" s="8" t="str">
        <f>IF(Table1[[#This Row],[Is Data Valid]]=TRUE,EXP(0.578+0.332*((Table1[[#This Row],[Gestation (days)]]+0.5)/7)-0.00354*((Table1[[#This Row],[Gestation (days)]]+0.5)/7)^2)*Table1[[#This Row],[BW40_3705]],"")</f>
        <v/>
      </c>
      <c r="G8624" s="2" t="str">
        <f>IF(Table1[[#This Row],[Is Data Valid]]=TRUE,((Table1[[#This Row],[Birthweight (grams)]]/Table1[[#This Row],[BW_GA]])-1)/(Backend!$B$4/100*Table1[[#This Row],[BW40_3705]]),"")</f>
        <v/>
      </c>
      <c r="H8624" s="7" t="str">
        <f>IF(Table1[[#This Row],[Is Data Valid]]=TRUE,((Table1[[#This Row],[Birthweight (grams)]]*0.9/Table1[[#This Row],[BW_GA]])-1)/(Backend!$B$4/100*Table1[[#This Row],[BW40_3705]]),"")</f>
        <v/>
      </c>
      <c r="I8624" s="7" t="str">
        <f>IF(Table1[[#This Row],[Is Data Valid]]=TRUE,((Table1[[#This Row],[Birthweight (grams)]]*1.1/Table1[[#This Row],[BW_GA]])-1)/(Backend!$B$4/100*Table1[[#This Row],[BW40_3705]]),"")</f>
        <v/>
      </c>
      <c r="J8624" s="7" t="str">
        <f>IF(Table1[[#This Row],[Is Data Valid]]=TRUE,_xlfn.NORM.S.DIST(Table1[[#This Row],[Birthweight Z-Score]],TRUE)*100,"")</f>
        <v/>
      </c>
      <c r="K8624" s="7" t="str">
        <f>IF(Table1[[#This Row],[Is Data Valid]]=TRUE,_xlfn.NORM.S.DIST(Table1[[#This Row],[Birthweight Z-Score (BW-10%)]],TRUE)*100,"")</f>
        <v/>
      </c>
      <c r="L8624" s="7" t="str">
        <f>IF(Table1[[#This Row],[Is Data Valid]]=TRUE,_xlfn.NORM.S.DIST(Table1[[#This Row],[Birthweight Z-Score (BW+10%)]],TRUE)*100,"")</f>
        <v/>
      </c>
    </row>
    <row r="8625" spans="1:12" x14ac:dyDescent="0.35">
      <c r="A8625" s="3"/>
      <c r="B8625" s="2"/>
      <c r="C8625" s="2"/>
      <c r="D8625" s="2" t="b">
        <f>IF(AND(NOT(ISBLANK(Table1[[#This Row],[Fetal Sex (Male, Female or Unknown)]])),ISNUMBER(Table1[[#This Row],[Birthweight (grams)]]),ISNUMBER(Table1[[#This Row],[Gestation (days)]])),TRUE,FALSE)</f>
        <v>0</v>
      </c>
      <c r="E8625" s="2" t="str">
        <f>IF(Table1[[#This Row],[Is Data Valid]]=TRUE,IF(Table1[[#This Row],[Fetal Sex (Male, Female or Unknown)]]="Male",Backend!$C$6,IF(Table1[[#This Row],[Fetal Sex (Male, Female or Unknown)]]="Female",Backend!$C$7,IF(Table1[[#This Row],[Fetal Sex (Male, Female or Unknown)]]="Unknown",Backend!$C$8,"Error"))),"")</f>
        <v/>
      </c>
      <c r="F8625" s="8" t="str">
        <f>IF(Table1[[#This Row],[Is Data Valid]]=TRUE,EXP(0.578+0.332*((Table1[[#This Row],[Gestation (days)]]+0.5)/7)-0.00354*((Table1[[#This Row],[Gestation (days)]]+0.5)/7)^2)*Table1[[#This Row],[BW40_3705]],"")</f>
        <v/>
      </c>
      <c r="G8625" s="2" t="str">
        <f>IF(Table1[[#This Row],[Is Data Valid]]=TRUE,((Table1[[#This Row],[Birthweight (grams)]]/Table1[[#This Row],[BW_GA]])-1)/(Backend!$B$4/100*Table1[[#This Row],[BW40_3705]]),"")</f>
        <v/>
      </c>
      <c r="H8625" s="7" t="str">
        <f>IF(Table1[[#This Row],[Is Data Valid]]=TRUE,((Table1[[#This Row],[Birthweight (grams)]]*0.9/Table1[[#This Row],[BW_GA]])-1)/(Backend!$B$4/100*Table1[[#This Row],[BW40_3705]]),"")</f>
        <v/>
      </c>
      <c r="I8625" s="7" t="str">
        <f>IF(Table1[[#This Row],[Is Data Valid]]=TRUE,((Table1[[#This Row],[Birthweight (grams)]]*1.1/Table1[[#This Row],[BW_GA]])-1)/(Backend!$B$4/100*Table1[[#This Row],[BW40_3705]]),"")</f>
        <v/>
      </c>
      <c r="J8625" s="7" t="str">
        <f>IF(Table1[[#This Row],[Is Data Valid]]=TRUE,_xlfn.NORM.S.DIST(Table1[[#This Row],[Birthweight Z-Score]],TRUE)*100,"")</f>
        <v/>
      </c>
      <c r="K8625" s="7" t="str">
        <f>IF(Table1[[#This Row],[Is Data Valid]]=TRUE,_xlfn.NORM.S.DIST(Table1[[#This Row],[Birthweight Z-Score (BW-10%)]],TRUE)*100,"")</f>
        <v/>
      </c>
      <c r="L8625" s="7" t="str">
        <f>IF(Table1[[#This Row],[Is Data Valid]]=TRUE,_xlfn.NORM.S.DIST(Table1[[#This Row],[Birthweight Z-Score (BW+10%)]],TRUE)*100,"")</f>
        <v/>
      </c>
    </row>
    <row r="8626" spans="1:12" x14ac:dyDescent="0.35">
      <c r="A8626" s="3"/>
      <c r="B8626" s="2"/>
      <c r="C8626" s="2"/>
      <c r="D8626" s="2" t="b">
        <f>IF(AND(NOT(ISBLANK(Table1[[#This Row],[Fetal Sex (Male, Female or Unknown)]])),ISNUMBER(Table1[[#This Row],[Birthweight (grams)]]),ISNUMBER(Table1[[#This Row],[Gestation (days)]])),TRUE,FALSE)</f>
        <v>0</v>
      </c>
      <c r="E8626" s="2" t="str">
        <f>IF(Table1[[#This Row],[Is Data Valid]]=TRUE,IF(Table1[[#This Row],[Fetal Sex (Male, Female or Unknown)]]="Male",Backend!$C$6,IF(Table1[[#This Row],[Fetal Sex (Male, Female or Unknown)]]="Female",Backend!$C$7,IF(Table1[[#This Row],[Fetal Sex (Male, Female or Unknown)]]="Unknown",Backend!$C$8,"Error"))),"")</f>
        <v/>
      </c>
      <c r="F8626" s="8" t="str">
        <f>IF(Table1[[#This Row],[Is Data Valid]]=TRUE,EXP(0.578+0.332*((Table1[[#This Row],[Gestation (days)]]+0.5)/7)-0.00354*((Table1[[#This Row],[Gestation (days)]]+0.5)/7)^2)*Table1[[#This Row],[BW40_3705]],"")</f>
        <v/>
      </c>
      <c r="G8626" s="2" t="str">
        <f>IF(Table1[[#This Row],[Is Data Valid]]=TRUE,((Table1[[#This Row],[Birthweight (grams)]]/Table1[[#This Row],[BW_GA]])-1)/(Backend!$B$4/100*Table1[[#This Row],[BW40_3705]]),"")</f>
        <v/>
      </c>
      <c r="H8626" s="7" t="str">
        <f>IF(Table1[[#This Row],[Is Data Valid]]=TRUE,((Table1[[#This Row],[Birthweight (grams)]]*0.9/Table1[[#This Row],[BW_GA]])-1)/(Backend!$B$4/100*Table1[[#This Row],[BW40_3705]]),"")</f>
        <v/>
      </c>
      <c r="I8626" s="7" t="str">
        <f>IF(Table1[[#This Row],[Is Data Valid]]=TRUE,((Table1[[#This Row],[Birthweight (grams)]]*1.1/Table1[[#This Row],[BW_GA]])-1)/(Backend!$B$4/100*Table1[[#This Row],[BW40_3705]]),"")</f>
        <v/>
      </c>
      <c r="J8626" s="7" t="str">
        <f>IF(Table1[[#This Row],[Is Data Valid]]=TRUE,_xlfn.NORM.S.DIST(Table1[[#This Row],[Birthweight Z-Score]],TRUE)*100,"")</f>
        <v/>
      </c>
      <c r="K8626" s="7" t="str">
        <f>IF(Table1[[#This Row],[Is Data Valid]]=TRUE,_xlfn.NORM.S.DIST(Table1[[#This Row],[Birthweight Z-Score (BW-10%)]],TRUE)*100,"")</f>
        <v/>
      </c>
      <c r="L8626" s="7" t="str">
        <f>IF(Table1[[#This Row],[Is Data Valid]]=TRUE,_xlfn.NORM.S.DIST(Table1[[#This Row],[Birthweight Z-Score (BW+10%)]],TRUE)*100,"")</f>
        <v/>
      </c>
    </row>
    <row r="8627" spans="1:12" x14ac:dyDescent="0.35">
      <c r="A8627" s="3"/>
      <c r="B8627" s="2"/>
      <c r="C8627" s="2"/>
      <c r="D8627" s="2" t="b">
        <f>IF(AND(NOT(ISBLANK(Table1[[#This Row],[Fetal Sex (Male, Female or Unknown)]])),ISNUMBER(Table1[[#This Row],[Birthweight (grams)]]),ISNUMBER(Table1[[#This Row],[Gestation (days)]])),TRUE,FALSE)</f>
        <v>0</v>
      </c>
      <c r="E8627" s="2" t="str">
        <f>IF(Table1[[#This Row],[Is Data Valid]]=TRUE,IF(Table1[[#This Row],[Fetal Sex (Male, Female or Unknown)]]="Male",Backend!$C$6,IF(Table1[[#This Row],[Fetal Sex (Male, Female or Unknown)]]="Female",Backend!$C$7,IF(Table1[[#This Row],[Fetal Sex (Male, Female or Unknown)]]="Unknown",Backend!$C$8,"Error"))),"")</f>
        <v/>
      </c>
      <c r="F8627" s="8" t="str">
        <f>IF(Table1[[#This Row],[Is Data Valid]]=TRUE,EXP(0.578+0.332*((Table1[[#This Row],[Gestation (days)]]+0.5)/7)-0.00354*((Table1[[#This Row],[Gestation (days)]]+0.5)/7)^2)*Table1[[#This Row],[BW40_3705]],"")</f>
        <v/>
      </c>
      <c r="G8627" s="2" t="str">
        <f>IF(Table1[[#This Row],[Is Data Valid]]=TRUE,((Table1[[#This Row],[Birthweight (grams)]]/Table1[[#This Row],[BW_GA]])-1)/(Backend!$B$4/100*Table1[[#This Row],[BW40_3705]]),"")</f>
        <v/>
      </c>
      <c r="H8627" s="7" t="str">
        <f>IF(Table1[[#This Row],[Is Data Valid]]=TRUE,((Table1[[#This Row],[Birthweight (grams)]]*0.9/Table1[[#This Row],[BW_GA]])-1)/(Backend!$B$4/100*Table1[[#This Row],[BW40_3705]]),"")</f>
        <v/>
      </c>
      <c r="I8627" s="7" t="str">
        <f>IF(Table1[[#This Row],[Is Data Valid]]=TRUE,((Table1[[#This Row],[Birthweight (grams)]]*1.1/Table1[[#This Row],[BW_GA]])-1)/(Backend!$B$4/100*Table1[[#This Row],[BW40_3705]]),"")</f>
        <v/>
      </c>
      <c r="J8627" s="7" t="str">
        <f>IF(Table1[[#This Row],[Is Data Valid]]=TRUE,_xlfn.NORM.S.DIST(Table1[[#This Row],[Birthweight Z-Score]],TRUE)*100,"")</f>
        <v/>
      </c>
      <c r="K8627" s="7" t="str">
        <f>IF(Table1[[#This Row],[Is Data Valid]]=TRUE,_xlfn.NORM.S.DIST(Table1[[#This Row],[Birthweight Z-Score (BW-10%)]],TRUE)*100,"")</f>
        <v/>
      </c>
      <c r="L8627" s="7" t="str">
        <f>IF(Table1[[#This Row],[Is Data Valid]]=TRUE,_xlfn.NORM.S.DIST(Table1[[#This Row],[Birthweight Z-Score (BW+10%)]],TRUE)*100,"")</f>
        <v/>
      </c>
    </row>
    <row r="8628" spans="1:12" x14ac:dyDescent="0.35">
      <c r="A8628" s="3"/>
      <c r="B8628" s="2"/>
      <c r="C8628" s="2"/>
      <c r="D8628" s="2" t="b">
        <f>IF(AND(NOT(ISBLANK(Table1[[#This Row],[Fetal Sex (Male, Female or Unknown)]])),ISNUMBER(Table1[[#This Row],[Birthweight (grams)]]),ISNUMBER(Table1[[#This Row],[Gestation (days)]])),TRUE,FALSE)</f>
        <v>0</v>
      </c>
      <c r="E8628" s="2" t="str">
        <f>IF(Table1[[#This Row],[Is Data Valid]]=TRUE,IF(Table1[[#This Row],[Fetal Sex (Male, Female or Unknown)]]="Male",Backend!$C$6,IF(Table1[[#This Row],[Fetal Sex (Male, Female or Unknown)]]="Female",Backend!$C$7,IF(Table1[[#This Row],[Fetal Sex (Male, Female or Unknown)]]="Unknown",Backend!$C$8,"Error"))),"")</f>
        <v/>
      </c>
      <c r="F8628" s="8" t="str">
        <f>IF(Table1[[#This Row],[Is Data Valid]]=TRUE,EXP(0.578+0.332*((Table1[[#This Row],[Gestation (days)]]+0.5)/7)-0.00354*((Table1[[#This Row],[Gestation (days)]]+0.5)/7)^2)*Table1[[#This Row],[BW40_3705]],"")</f>
        <v/>
      </c>
      <c r="G8628" s="2" t="str">
        <f>IF(Table1[[#This Row],[Is Data Valid]]=TRUE,((Table1[[#This Row],[Birthweight (grams)]]/Table1[[#This Row],[BW_GA]])-1)/(Backend!$B$4/100*Table1[[#This Row],[BW40_3705]]),"")</f>
        <v/>
      </c>
      <c r="H8628" s="7" t="str">
        <f>IF(Table1[[#This Row],[Is Data Valid]]=TRUE,((Table1[[#This Row],[Birthweight (grams)]]*0.9/Table1[[#This Row],[BW_GA]])-1)/(Backend!$B$4/100*Table1[[#This Row],[BW40_3705]]),"")</f>
        <v/>
      </c>
      <c r="I8628" s="7" t="str">
        <f>IF(Table1[[#This Row],[Is Data Valid]]=TRUE,((Table1[[#This Row],[Birthweight (grams)]]*1.1/Table1[[#This Row],[BW_GA]])-1)/(Backend!$B$4/100*Table1[[#This Row],[BW40_3705]]),"")</f>
        <v/>
      </c>
      <c r="J8628" s="7" t="str">
        <f>IF(Table1[[#This Row],[Is Data Valid]]=TRUE,_xlfn.NORM.S.DIST(Table1[[#This Row],[Birthweight Z-Score]],TRUE)*100,"")</f>
        <v/>
      </c>
      <c r="K8628" s="7" t="str">
        <f>IF(Table1[[#This Row],[Is Data Valid]]=TRUE,_xlfn.NORM.S.DIST(Table1[[#This Row],[Birthweight Z-Score (BW-10%)]],TRUE)*100,"")</f>
        <v/>
      </c>
      <c r="L8628" s="7" t="str">
        <f>IF(Table1[[#This Row],[Is Data Valid]]=TRUE,_xlfn.NORM.S.DIST(Table1[[#This Row],[Birthweight Z-Score (BW+10%)]],TRUE)*100,"")</f>
        <v/>
      </c>
    </row>
    <row r="8629" spans="1:12" x14ac:dyDescent="0.35">
      <c r="A8629" s="3"/>
      <c r="B8629" s="2"/>
      <c r="C8629" s="2"/>
      <c r="D8629" s="2" t="b">
        <f>IF(AND(NOT(ISBLANK(Table1[[#This Row],[Fetal Sex (Male, Female or Unknown)]])),ISNUMBER(Table1[[#This Row],[Birthweight (grams)]]),ISNUMBER(Table1[[#This Row],[Gestation (days)]])),TRUE,FALSE)</f>
        <v>0</v>
      </c>
      <c r="E8629" s="2" t="str">
        <f>IF(Table1[[#This Row],[Is Data Valid]]=TRUE,IF(Table1[[#This Row],[Fetal Sex (Male, Female or Unknown)]]="Male",Backend!$C$6,IF(Table1[[#This Row],[Fetal Sex (Male, Female or Unknown)]]="Female",Backend!$C$7,IF(Table1[[#This Row],[Fetal Sex (Male, Female or Unknown)]]="Unknown",Backend!$C$8,"Error"))),"")</f>
        <v/>
      </c>
      <c r="F8629" s="8" t="str">
        <f>IF(Table1[[#This Row],[Is Data Valid]]=TRUE,EXP(0.578+0.332*((Table1[[#This Row],[Gestation (days)]]+0.5)/7)-0.00354*((Table1[[#This Row],[Gestation (days)]]+0.5)/7)^2)*Table1[[#This Row],[BW40_3705]],"")</f>
        <v/>
      </c>
      <c r="G8629" s="2" t="str">
        <f>IF(Table1[[#This Row],[Is Data Valid]]=TRUE,((Table1[[#This Row],[Birthweight (grams)]]/Table1[[#This Row],[BW_GA]])-1)/(Backend!$B$4/100*Table1[[#This Row],[BW40_3705]]),"")</f>
        <v/>
      </c>
      <c r="H8629" s="7" t="str">
        <f>IF(Table1[[#This Row],[Is Data Valid]]=TRUE,((Table1[[#This Row],[Birthweight (grams)]]*0.9/Table1[[#This Row],[BW_GA]])-1)/(Backend!$B$4/100*Table1[[#This Row],[BW40_3705]]),"")</f>
        <v/>
      </c>
      <c r="I8629" s="7" t="str">
        <f>IF(Table1[[#This Row],[Is Data Valid]]=TRUE,((Table1[[#This Row],[Birthweight (grams)]]*1.1/Table1[[#This Row],[BW_GA]])-1)/(Backend!$B$4/100*Table1[[#This Row],[BW40_3705]]),"")</f>
        <v/>
      </c>
      <c r="J8629" s="7" t="str">
        <f>IF(Table1[[#This Row],[Is Data Valid]]=TRUE,_xlfn.NORM.S.DIST(Table1[[#This Row],[Birthweight Z-Score]],TRUE)*100,"")</f>
        <v/>
      </c>
      <c r="K8629" s="7" t="str">
        <f>IF(Table1[[#This Row],[Is Data Valid]]=TRUE,_xlfn.NORM.S.DIST(Table1[[#This Row],[Birthweight Z-Score (BW-10%)]],TRUE)*100,"")</f>
        <v/>
      </c>
      <c r="L8629" s="7" t="str">
        <f>IF(Table1[[#This Row],[Is Data Valid]]=TRUE,_xlfn.NORM.S.DIST(Table1[[#This Row],[Birthweight Z-Score (BW+10%)]],TRUE)*100,"")</f>
        <v/>
      </c>
    </row>
    <row r="8630" spans="1:12" x14ac:dyDescent="0.35">
      <c r="A8630" s="3"/>
      <c r="B8630" s="2"/>
      <c r="C8630" s="2"/>
      <c r="D8630" s="2" t="b">
        <f>IF(AND(NOT(ISBLANK(Table1[[#This Row],[Fetal Sex (Male, Female or Unknown)]])),ISNUMBER(Table1[[#This Row],[Birthweight (grams)]]),ISNUMBER(Table1[[#This Row],[Gestation (days)]])),TRUE,FALSE)</f>
        <v>0</v>
      </c>
      <c r="E8630" s="2" t="str">
        <f>IF(Table1[[#This Row],[Is Data Valid]]=TRUE,IF(Table1[[#This Row],[Fetal Sex (Male, Female or Unknown)]]="Male",Backend!$C$6,IF(Table1[[#This Row],[Fetal Sex (Male, Female or Unknown)]]="Female",Backend!$C$7,IF(Table1[[#This Row],[Fetal Sex (Male, Female or Unknown)]]="Unknown",Backend!$C$8,"Error"))),"")</f>
        <v/>
      </c>
      <c r="F8630" s="8" t="str">
        <f>IF(Table1[[#This Row],[Is Data Valid]]=TRUE,EXP(0.578+0.332*((Table1[[#This Row],[Gestation (days)]]+0.5)/7)-0.00354*((Table1[[#This Row],[Gestation (days)]]+0.5)/7)^2)*Table1[[#This Row],[BW40_3705]],"")</f>
        <v/>
      </c>
      <c r="G8630" s="2" t="str">
        <f>IF(Table1[[#This Row],[Is Data Valid]]=TRUE,((Table1[[#This Row],[Birthweight (grams)]]/Table1[[#This Row],[BW_GA]])-1)/(Backend!$B$4/100*Table1[[#This Row],[BW40_3705]]),"")</f>
        <v/>
      </c>
      <c r="H8630" s="7" t="str">
        <f>IF(Table1[[#This Row],[Is Data Valid]]=TRUE,((Table1[[#This Row],[Birthweight (grams)]]*0.9/Table1[[#This Row],[BW_GA]])-1)/(Backend!$B$4/100*Table1[[#This Row],[BW40_3705]]),"")</f>
        <v/>
      </c>
      <c r="I8630" s="7" t="str">
        <f>IF(Table1[[#This Row],[Is Data Valid]]=TRUE,((Table1[[#This Row],[Birthweight (grams)]]*1.1/Table1[[#This Row],[BW_GA]])-1)/(Backend!$B$4/100*Table1[[#This Row],[BW40_3705]]),"")</f>
        <v/>
      </c>
      <c r="J8630" s="7" t="str">
        <f>IF(Table1[[#This Row],[Is Data Valid]]=TRUE,_xlfn.NORM.S.DIST(Table1[[#This Row],[Birthweight Z-Score]],TRUE)*100,"")</f>
        <v/>
      </c>
      <c r="K8630" s="7" t="str">
        <f>IF(Table1[[#This Row],[Is Data Valid]]=TRUE,_xlfn.NORM.S.DIST(Table1[[#This Row],[Birthweight Z-Score (BW-10%)]],TRUE)*100,"")</f>
        <v/>
      </c>
      <c r="L8630" s="7" t="str">
        <f>IF(Table1[[#This Row],[Is Data Valid]]=TRUE,_xlfn.NORM.S.DIST(Table1[[#This Row],[Birthweight Z-Score (BW+10%)]],TRUE)*100,"")</f>
        <v/>
      </c>
    </row>
    <row r="8631" spans="1:12" x14ac:dyDescent="0.35">
      <c r="A8631" s="3"/>
      <c r="B8631" s="2"/>
      <c r="C8631" s="2"/>
      <c r="D8631" s="2" t="b">
        <f>IF(AND(NOT(ISBLANK(Table1[[#This Row],[Fetal Sex (Male, Female or Unknown)]])),ISNUMBER(Table1[[#This Row],[Birthweight (grams)]]),ISNUMBER(Table1[[#This Row],[Gestation (days)]])),TRUE,FALSE)</f>
        <v>0</v>
      </c>
      <c r="E8631" s="2" t="str">
        <f>IF(Table1[[#This Row],[Is Data Valid]]=TRUE,IF(Table1[[#This Row],[Fetal Sex (Male, Female or Unknown)]]="Male",Backend!$C$6,IF(Table1[[#This Row],[Fetal Sex (Male, Female or Unknown)]]="Female",Backend!$C$7,IF(Table1[[#This Row],[Fetal Sex (Male, Female or Unknown)]]="Unknown",Backend!$C$8,"Error"))),"")</f>
        <v/>
      </c>
      <c r="F8631" s="8" t="str">
        <f>IF(Table1[[#This Row],[Is Data Valid]]=TRUE,EXP(0.578+0.332*((Table1[[#This Row],[Gestation (days)]]+0.5)/7)-0.00354*((Table1[[#This Row],[Gestation (days)]]+0.5)/7)^2)*Table1[[#This Row],[BW40_3705]],"")</f>
        <v/>
      </c>
      <c r="G8631" s="2" t="str">
        <f>IF(Table1[[#This Row],[Is Data Valid]]=TRUE,((Table1[[#This Row],[Birthweight (grams)]]/Table1[[#This Row],[BW_GA]])-1)/(Backend!$B$4/100*Table1[[#This Row],[BW40_3705]]),"")</f>
        <v/>
      </c>
      <c r="H8631" s="7" t="str">
        <f>IF(Table1[[#This Row],[Is Data Valid]]=TRUE,((Table1[[#This Row],[Birthweight (grams)]]*0.9/Table1[[#This Row],[BW_GA]])-1)/(Backend!$B$4/100*Table1[[#This Row],[BW40_3705]]),"")</f>
        <v/>
      </c>
      <c r="I8631" s="7" t="str">
        <f>IF(Table1[[#This Row],[Is Data Valid]]=TRUE,((Table1[[#This Row],[Birthweight (grams)]]*1.1/Table1[[#This Row],[BW_GA]])-1)/(Backend!$B$4/100*Table1[[#This Row],[BW40_3705]]),"")</f>
        <v/>
      </c>
      <c r="J8631" s="7" t="str">
        <f>IF(Table1[[#This Row],[Is Data Valid]]=TRUE,_xlfn.NORM.S.DIST(Table1[[#This Row],[Birthweight Z-Score]],TRUE)*100,"")</f>
        <v/>
      </c>
      <c r="K8631" s="7" t="str">
        <f>IF(Table1[[#This Row],[Is Data Valid]]=TRUE,_xlfn.NORM.S.DIST(Table1[[#This Row],[Birthweight Z-Score (BW-10%)]],TRUE)*100,"")</f>
        <v/>
      </c>
      <c r="L8631" s="7" t="str">
        <f>IF(Table1[[#This Row],[Is Data Valid]]=TRUE,_xlfn.NORM.S.DIST(Table1[[#This Row],[Birthweight Z-Score (BW+10%)]],TRUE)*100,"")</f>
        <v/>
      </c>
    </row>
    <row r="8632" spans="1:12" x14ac:dyDescent="0.35">
      <c r="A8632" s="3"/>
      <c r="B8632" s="2"/>
      <c r="C8632" s="2"/>
      <c r="D8632" s="2" t="b">
        <f>IF(AND(NOT(ISBLANK(Table1[[#This Row],[Fetal Sex (Male, Female or Unknown)]])),ISNUMBER(Table1[[#This Row],[Birthweight (grams)]]),ISNUMBER(Table1[[#This Row],[Gestation (days)]])),TRUE,FALSE)</f>
        <v>0</v>
      </c>
      <c r="E8632" s="2" t="str">
        <f>IF(Table1[[#This Row],[Is Data Valid]]=TRUE,IF(Table1[[#This Row],[Fetal Sex (Male, Female or Unknown)]]="Male",Backend!$C$6,IF(Table1[[#This Row],[Fetal Sex (Male, Female or Unknown)]]="Female",Backend!$C$7,IF(Table1[[#This Row],[Fetal Sex (Male, Female or Unknown)]]="Unknown",Backend!$C$8,"Error"))),"")</f>
        <v/>
      </c>
      <c r="F8632" s="8" t="str">
        <f>IF(Table1[[#This Row],[Is Data Valid]]=TRUE,EXP(0.578+0.332*((Table1[[#This Row],[Gestation (days)]]+0.5)/7)-0.00354*((Table1[[#This Row],[Gestation (days)]]+0.5)/7)^2)*Table1[[#This Row],[BW40_3705]],"")</f>
        <v/>
      </c>
      <c r="G8632" s="2" t="str">
        <f>IF(Table1[[#This Row],[Is Data Valid]]=TRUE,((Table1[[#This Row],[Birthweight (grams)]]/Table1[[#This Row],[BW_GA]])-1)/(Backend!$B$4/100*Table1[[#This Row],[BW40_3705]]),"")</f>
        <v/>
      </c>
      <c r="H8632" s="7" t="str">
        <f>IF(Table1[[#This Row],[Is Data Valid]]=TRUE,((Table1[[#This Row],[Birthweight (grams)]]*0.9/Table1[[#This Row],[BW_GA]])-1)/(Backend!$B$4/100*Table1[[#This Row],[BW40_3705]]),"")</f>
        <v/>
      </c>
      <c r="I8632" s="7" t="str">
        <f>IF(Table1[[#This Row],[Is Data Valid]]=TRUE,((Table1[[#This Row],[Birthweight (grams)]]*1.1/Table1[[#This Row],[BW_GA]])-1)/(Backend!$B$4/100*Table1[[#This Row],[BW40_3705]]),"")</f>
        <v/>
      </c>
      <c r="J8632" s="7" t="str">
        <f>IF(Table1[[#This Row],[Is Data Valid]]=TRUE,_xlfn.NORM.S.DIST(Table1[[#This Row],[Birthweight Z-Score]],TRUE)*100,"")</f>
        <v/>
      </c>
      <c r="K8632" s="7" t="str">
        <f>IF(Table1[[#This Row],[Is Data Valid]]=TRUE,_xlfn.NORM.S.DIST(Table1[[#This Row],[Birthweight Z-Score (BW-10%)]],TRUE)*100,"")</f>
        <v/>
      </c>
      <c r="L8632" s="7" t="str">
        <f>IF(Table1[[#This Row],[Is Data Valid]]=TRUE,_xlfn.NORM.S.DIST(Table1[[#This Row],[Birthweight Z-Score (BW+10%)]],TRUE)*100,"")</f>
        <v/>
      </c>
    </row>
    <row r="8633" spans="1:12" x14ac:dyDescent="0.35">
      <c r="A8633" s="3"/>
      <c r="B8633" s="2"/>
      <c r="C8633" s="2"/>
      <c r="D8633" s="2" t="b">
        <f>IF(AND(NOT(ISBLANK(Table1[[#This Row],[Fetal Sex (Male, Female or Unknown)]])),ISNUMBER(Table1[[#This Row],[Birthweight (grams)]]),ISNUMBER(Table1[[#This Row],[Gestation (days)]])),TRUE,FALSE)</f>
        <v>0</v>
      </c>
      <c r="E8633" s="2" t="str">
        <f>IF(Table1[[#This Row],[Is Data Valid]]=TRUE,IF(Table1[[#This Row],[Fetal Sex (Male, Female or Unknown)]]="Male",Backend!$C$6,IF(Table1[[#This Row],[Fetal Sex (Male, Female or Unknown)]]="Female",Backend!$C$7,IF(Table1[[#This Row],[Fetal Sex (Male, Female or Unknown)]]="Unknown",Backend!$C$8,"Error"))),"")</f>
        <v/>
      </c>
      <c r="F8633" s="8" t="str">
        <f>IF(Table1[[#This Row],[Is Data Valid]]=TRUE,EXP(0.578+0.332*((Table1[[#This Row],[Gestation (days)]]+0.5)/7)-0.00354*((Table1[[#This Row],[Gestation (days)]]+0.5)/7)^2)*Table1[[#This Row],[BW40_3705]],"")</f>
        <v/>
      </c>
      <c r="G8633" s="2" t="str">
        <f>IF(Table1[[#This Row],[Is Data Valid]]=TRUE,((Table1[[#This Row],[Birthweight (grams)]]/Table1[[#This Row],[BW_GA]])-1)/(Backend!$B$4/100*Table1[[#This Row],[BW40_3705]]),"")</f>
        <v/>
      </c>
      <c r="H8633" s="7" t="str">
        <f>IF(Table1[[#This Row],[Is Data Valid]]=TRUE,((Table1[[#This Row],[Birthweight (grams)]]*0.9/Table1[[#This Row],[BW_GA]])-1)/(Backend!$B$4/100*Table1[[#This Row],[BW40_3705]]),"")</f>
        <v/>
      </c>
      <c r="I8633" s="7" t="str">
        <f>IF(Table1[[#This Row],[Is Data Valid]]=TRUE,((Table1[[#This Row],[Birthweight (grams)]]*1.1/Table1[[#This Row],[BW_GA]])-1)/(Backend!$B$4/100*Table1[[#This Row],[BW40_3705]]),"")</f>
        <v/>
      </c>
      <c r="J8633" s="7" t="str">
        <f>IF(Table1[[#This Row],[Is Data Valid]]=TRUE,_xlfn.NORM.S.DIST(Table1[[#This Row],[Birthweight Z-Score]],TRUE)*100,"")</f>
        <v/>
      </c>
      <c r="K8633" s="7" t="str">
        <f>IF(Table1[[#This Row],[Is Data Valid]]=TRUE,_xlfn.NORM.S.DIST(Table1[[#This Row],[Birthweight Z-Score (BW-10%)]],TRUE)*100,"")</f>
        <v/>
      </c>
      <c r="L8633" s="7" t="str">
        <f>IF(Table1[[#This Row],[Is Data Valid]]=TRUE,_xlfn.NORM.S.DIST(Table1[[#This Row],[Birthweight Z-Score (BW+10%)]],TRUE)*100,"")</f>
        <v/>
      </c>
    </row>
    <row r="8634" spans="1:12" x14ac:dyDescent="0.35">
      <c r="A8634" s="3"/>
      <c r="B8634" s="2"/>
      <c r="C8634" s="2"/>
      <c r="D8634" s="2" t="b">
        <f>IF(AND(NOT(ISBLANK(Table1[[#This Row],[Fetal Sex (Male, Female or Unknown)]])),ISNUMBER(Table1[[#This Row],[Birthweight (grams)]]),ISNUMBER(Table1[[#This Row],[Gestation (days)]])),TRUE,FALSE)</f>
        <v>0</v>
      </c>
      <c r="E8634" s="2" t="str">
        <f>IF(Table1[[#This Row],[Is Data Valid]]=TRUE,IF(Table1[[#This Row],[Fetal Sex (Male, Female or Unknown)]]="Male",Backend!$C$6,IF(Table1[[#This Row],[Fetal Sex (Male, Female or Unknown)]]="Female",Backend!$C$7,IF(Table1[[#This Row],[Fetal Sex (Male, Female or Unknown)]]="Unknown",Backend!$C$8,"Error"))),"")</f>
        <v/>
      </c>
      <c r="F8634" s="8" t="str">
        <f>IF(Table1[[#This Row],[Is Data Valid]]=TRUE,EXP(0.578+0.332*((Table1[[#This Row],[Gestation (days)]]+0.5)/7)-0.00354*((Table1[[#This Row],[Gestation (days)]]+0.5)/7)^2)*Table1[[#This Row],[BW40_3705]],"")</f>
        <v/>
      </c>
      <c r="G8634" s="2" t="str">
        <f>IF(Table1[[#This Row],[Is Data Valid]]=TRUE,((Table1[[#This Row],[Birthweight (grams)]]/Table1[[#This Row],[BW_GA]])-1)/(Backend!$B$4/100*Table1[[#This Row],[BW40_3705]]),"")</f>
        <v/>
      </c>
      <c r="H8634" s="7" t="str">
        <f>IF(Table1[[#This Row],[Is Data Valid]]=TRUE,((Table1[[#This Row],[Birthweight (grams)]]*0.9/Table1[[#This Row],[BW_GA]])-1)/(Backend!$B$4/100*Table1[[#This Row],[BW40_3705]]),"")</f>
        <v/>
      </c>
      <c r="I8634" s="7" t="str">
        <f>IF(Table1[[#This Row],[Is Data Valid]]=TRUE,((Table1[[#This Row],[Birthweight (grams)]]*1.1/Table1[[#This Row],[BW_GA]])-1)/(Backend!$B$4/100*Table1[[#This Row],[BW40_3705]]),"")</f>
        <v/>
      </c>
      <c r="J8634" s="7" t="str">
        <f>IF(Table1[[#This Row],[Is Data Valid]]=TRUE,_xlfn.NORM.S.DIST(Table1[[#This Row],[Birthweight Z-Score]],TRUE)*100,"")</f>
        <v/>
      </c>
      <c r="K8634" s="7" t="str">
        <f>IF(Table1[[#This Row],[Is Data Valid]]=TRUE,_xlfn.NORM.S.DIST(Table1[[#This Row],[Birthweight Z-Score (BW-10%)]],TRUE)*100,"")</f>
        <v/>
      </c>
      <c r="L8634" s="7" t="str">
        <f>IF(Table1[[#This Row],[Is Data Valid]]=TRUE,_xlfn.NORM.S.DIST(Table1[[#This Row],[Birthweight Z-Score (BW+10%)]],TRUE)*100,"")</f>
        <v/>
      </c>
    </row>
    <row r="8635" spans="1:12" x14ac:dyDescent="0.35">
      <c r="A8635" s="3"/>
      <c r="B8635" s="2"/>
      <c r="C8635" s="2"/>
      <c r="D8635" s="2" t="b">
        <f>IF(AND(NOT(ISBLANK(Table1[[#This Row],[Fetal Sex (Male, Female or Unknown)]])),ISNUMBER(Table1[[#This Row],[Birthweight (grams)]]),ISNUMBER(Table1[[#This Row],[Gestation (days)]])),TRUE,FALSE)</f>
        <v>0</v>
      </c>
      <c r="E8635" s="2" t="str">
        <f>IF(Table1[[#This Row],[Is Data Valid]]=TRUE,IF(Table1[[#This Row],[Fetal Sex (Male, Female or Unknown)]]="Male",Backend!$C$6,IF(Table1[[#This Row],[Fetal Sex (Male, Female or Unknown)]]="Female",Backend!$C$7,IF(Table1[[#This Row],[Fetal Sex (Male, Female or Unknown)]]="Unknown",Backend!$C$8,"Error"))),"")</f>
        <v/>
      </c>
      <c r="F8635" s="8" t="str">
        <f>IF(Table1[[#This Row],[Is Data Valid]]=TRUE,EXP(0.578+0.332*((Table1[[#This Row],[Gestation (days)]]+0.5)/7)-0.00354*((Table1[[#This Row],[Gestation (days)]]+0.5)/7)^2)*Table1[[#This Row],[BW40_3705]],"")</f>
        <v/>
      </c>
      <c r="G8635" s="2" t="str">
        <f>IF(Table1[[#This Row],[Is Data Valid]]=TRUE,((Table1[[#This Row],[Birthweight (grams)]]/Table1[[#This Row],[BW_GA]])-1)/(Backend!$B$4/100*Table1[[#This Row],[BW40_3705]]),"")</f>
        <v/>
      </c>
      <c r="H8635" s="7" t="str">
        <f>IF(Table1[[#This Row],[Is Data Valid]]=TRUE,((Table1[[#This Row],[Birthweight (grams)]]*0.9/Table1[[#This Row],[BW_GA]])-1)/(Backend!$B$4/100*Table1[[#This Row],[BW40_3705]]),"")</f>
        <v/>
      </c>
      <c r="I8635" s="7" t="str">
        <f>IF(Table1[[#This Row],[Is Data Valid]]=TRUE,((Table1[[#This Row],[Birthweight (grams)]]*1.1/Table1[[#This Row],[BW_GA]])-1)/(Backend!$B$4/100*Table1[[#This Row],[BW40_3705]]),"")</f>
        <v/>
      </c>
      <c r="J8635" s="7" t="str">
        <f>IF(Table1[[#This Row],[Is Data Valid]]=TRUE,_xlfn.NORM.S.DIST(Table1[[#This Row],[Birthweight Z-Score]],TRUE)*100,"")</f>
        <v/>
      </c>
      <c r="K8635" s="7" t="str">
        <f>IF(Table1[[#This Row],[Is Data Valid]]=TRUE,_xlfn.NORM.S.DIST(Table1[[#This Row],[Birthweight Z-Score (BW-10%)]],TRUE)*100,"")</f>
        <v/>
      </c>
      <c r="L8635" s="7" t="str">
        <f>IF(Table1[[#This Row],[Is Data Valid]]=TRUE,_xlfn.NORM.S.DIST(Table1[[#This Row],[Birthweight Z-Score (BW+10%)]],TRUE)*100,"")</f>
        <v/>
      </c>
    </row>
    <row r="8636" spans="1:12" x14ac:dyDescent="0.35">
      <c r="A8636" s="3"/>
      <c r="B8636" s="2"/>
      <c r="C8636" s="2"/>
      <c r="D8636" s="2" t="b">
        <f>IF(AND(NOT(ISBLANK(Table1[[#This Row],[Fetal Sex (Male, Female or Unknown)]])),ISNUMBER(Table1[[#This Row],[Birthweight (grams)]]),ISNUMBER(Table1[[#This Row],[Gestation (days)]])),TRUE,FALSE)</f>
        <v>0</v>
      </c>
      <c r="E8636" s="2" t="str">
        <f>IF(Table1[[#This Row],[Is Data Valid]]=TRUE,IF(Table1[[#This Row],[Fetal Sex (Male, Female or Unknown)]]="Male",Backend!$C$6,IF(Table1[[#This Row],[Fetal Sex (Male, Female or Unknown)]]="Female",Backend!$C$7,IF(Table1[[#This Row],[Fetal Sex (Male, Female or Unknown)]]="Unknown",Backend!$C$8,"Error"))),"")</f>
        <v/>
      </c>
      <c r="F8636" s="8" t="str">
        <f>IF(Table1[[#This Row],[Is Data Valid]]=TRUE,EXP(0.578+0.332*((Table1[[#This Row],[Gestation (days)]]+0.5)/7)-0.00354*((Table1[[#This Row],[Gestation (days)]]+0.5)/7)^2)*Table1[[#This Row],[BW40_3705]],"")</f>
        <v/>
      </c>
      <c r="G8636" s="2" t="str">
        <f>IF(Table1[[#This Row],[Is Data Valid]]=TRUE,((Table1[[#This Row],[Birthweight (grams)]]/Table1[[#This Row],[BW_GA]])-1)/(Backend!$B$4/100*Table1[[#This Row],[BW40_3705]]),"")</f>
        <v/>
      </c>
      <c r="H8636" s="7" t="str">
        <f>IF(Table1[[#This Row],[Is Data Valid]]=TRUE,((Table1[[#This Row],[Birthweight (grams)]]*0.9/Table1[[#This Row],[BW_GA]])-1)/(Backend!$B$4/100*Table1[[#This Row],[BW40_3705]]),"")</f>
        <v/>
      </c>
      <c r="I8636" s="7" t="str">
        <f>IF(Table1[[#This Row],[Is Data Valid]]=TRUE,((Table1[[#This Row],[Birthweight (grams)]]*1.1/Table1[[#This Row],[BW_GA]])-1)/(Backend!$B$4/100*Table1[[#This Row],[BW40_3705]]),"")</f>
        <v/>
      </c>
      <c r="J8636" s="7" t="str">
        <f>IF(Table1[[#This Row],[Is Data Valid]]=TRUE,_xlfn.NORM.S.DIST(Table1[[#This Row],[Birthweight Z-Score]],TRUE)*100,"")</f>
        <v/>
      </c>
      <c r="K8636" s="7" t="str">
        <f>IF(Table1[[#This Row],[Is Data Valid]]=TRUE,_xlfn.NORM.S.DIST(Table1[[#This Row],[Birthweight Z-Score (BW-10%)]],TRUE)*100,"")</f>
        <v/>
      </c>
      <c r="L8636" s="7" t="str">
        <f>IF(Table1[[#This Row],[Is Data Valid]]=TRUE,_xlfn.NORM.S.DIST(Table1[[#This Row],[Birthweight Z-Score (BW+10%)]],TRUE)*100,"")</f>
        <v/>
      </c>
    </row>
    <row r="8637" spans="1:12" x14ac:dyDescent="0.35">
      <c r="A8637" s="3"/>
      <c r="B8637" s="2"/>
      <c r="C8637" s="2"/>
      <c r="D8637" s="2" t="b">
        <f>IF(AND(NOT(ISBLANK(Table1[[#This Row],[Fetal Sex (Male, Female or Unknown)]])),ISNUMBER(Table1[[#This Row],[Birthweight (grams)]]),ISNUMBER(Table1[[#This Row],[Gestation (days)]])),TRUE,FALSE)</f>
        <v>0</v>
      </c>
      <c r="E8637" s="2" t="str">
        <f>IF(Table1[[#This Row],[Is Data Valid]]=TRUE,IF(Table1[[#This Row],[Fetal Sex (Male, Female or Unknown)]]="Male",Backend!$C$6,IF(Table1[[#This Row],[Fetal Sex (Male, Female or Unknown)]]="Female",Backend!$C$7,IF(Table1[[#This Row],[Fetal Sex (Male, Female or Unknown)]]="Unknown",Backend!$C$8,"Error"))),"")</f>
        <v/>
      </c>
      <c r="F8637" s="8" t="str">
        <f>IF(Table1[[#This Row],[Is Data Valid]]=TRUE,EXP(0.578+0.332*((Table1[[#This Row],[Gestation (days)]]+0.5)/7)-0.00354*((Table1[[#This Row],[Gestation (days)]]+0.5)/7)^2)*Table1[[#This Row],[BW40_3705]],"")</f>
        <v/>
      </c>
      <c r="G8637" s="2" t="str">
        <f>IF(Table1[[#This Row],[Is Data Valid]]=TRUE,((Table1[[#This Row],[Birthweight (grams)]]/Table1[[#This Row],[BW_GA]])-1)/(Backend!$B$4/100*Table1[[#This Row],[BW40_3705]]),"")</f>
        <v/>
      </c>
      <c r="H8637" s="7" t="str">
        <f>IF(Table1[[#This Row],[Is Data Valid]]=TRUE,((Table1[[#This Row],[Birthweight (grams)]]*0.9/Table1[[#This Row],[BW_GA]])-1)/(Backend!$B$4/100*Table1[[#This Row],[BW40_3705]]),"")</f>
        <v/>
      </c>
      <c r="I8637" s="7" t="str">
        <f>IF(Table1[[#This Row],[Is Data Valid]]=TRUE,((Table1[[#This Row],[Birthweight (grams)]]*1.1/Table1[[#This Row],[BW_GA]])-1)/(Backend!$B$4/100*Table1[[#This Row],[BW40_3705]]),"")</f>
        <v/>
      </c>
      <c r="J8637" s="7" t="str">
        <f>IF(Table1[[#This Row],[Is Data Valid]]=TRUE,_xlfn.NORM.S.DIST(Table1[[#This Row],[Birthweight Z-Score]],TRUE)*100,"")</f>
        <v/>
      </c>
      <c r="K8637" s="7" t="str">
        <f>IF(Table1[[#This Row],[Is Data Valid]]=TRUE,_xlfn.NORM.S.DIST(Table1[[#This Row],[Birthweight Z-Score (BW-10%)]],TRUE)*100,"")</f>
        <v/>
      </c>
      <c r="L8637" s="7" t="str">
        <f>IF(Table1[[#This Row],[Is Data Valid]]=TRUE,_xlfn.NORM.S.DIST(Table1[[#This Row],[Birthweight Z-Score (BW+10%)]],TRUE)*100,"")</f>
        <v/>
      </c>
    </row>
    <row r="8638" spans="1:12" x14ac:dyDescent="0.35">
      <c r="A8638" s="3"/>
      <c r="B8638" s="2"/>
      <c r="C8638" s="2"/>
      <c r="D8638" s="2" t="b">
        <f>IF(AND(NOT(ISBLANK(Table1[[#This Row],[Fetal Sex (Male, Female or Unknown)]])),ISNUMBER(Table1[[#This Row],[Birthweight (grams)]]),ISNUMBER(Table1[[#This Row],[Gestation (days)]])),TRUE,FALSE)</f>
        <v>0</v>
      </c>
      <c r="E8638" s="2" t="str">
        <f>IF(Table1[[#This Row],[Is Data Valid]]=TRUE,IF(Table1[[#This Row],[Fetal Sex (Male, Female or Unknown)]]="Male",Backend!$C$6,IF(Table1[[#This Row],[Fetal Sex (Male, Female or Unknown)]]="Female",Backend!$C$7,IF(Table1[[#This Row],[Fetal Sex (Male, Female or Unknown)]]="Unknown",Backend!$C$8,"Error"))),"")</f>
        <v/>
      </c>
      <c r="F8638" s="8" t="str">
        <f>IF(Table1[[#This Row],[Is Data Valid]]=TRUE,EXP(0.578+0.332*((Table1[[#This Row],[Gestation (days)]]+0.5)/7)-0.00354*((Table1[[#This Row],[Gestation (days)]]+0.5)/7)^2)*Table1[[#This Row],[BW40_3705]],"")</f>
        <v/>
      </c>
      <c r="G8638" s="2" t="str">
        <f>IF(Table1[[#This Row],[Is Data Valid]]=TRUE,((Table1[[#This Row],[Birthweight (grams)]]/Table1[[#This Row],[BW_GA]])-1)/(Backend!$B$4/100*Table1[[#This Row],[BW40_3705]]),"")</f>
        <v/>
      </c>
      <c r="H8638" s="7" t="str">
        <f>IF(Table1[[#This Row],[Is Data Valid]]=TRUE,((Table1[[#This Row],[Birthweight (grams)]]*0.9/Table1[[#This Row],[BW_GA]])-1)/(Backend!$B$4/100*Table1[[#This Row],[BW40_3705]]),"")</f>
        <v/>
      </c>
      <c r="I8638" s="7" t="str">
        <f>IF(Table1[[#This Row],[Is Data Valid]]=TRUE,((Table1[[#This Row],[Birthweight (grams)]]*1.1/Table1[[#This Row],[BW_GA]])-1)/(Backend!$B$4/100*Table1[[#This Row],[BW40_3705]]),"")</f>
        <v/>
      </c>
      <c r="J8638" s="7" t="str">
        <f>IF(Table1[[#This Row],[Is Data Valid]]=TRUE,_xlfn.NORM.S.DIST(Table1[[#This Row],[Birthweight Z-Score]],TRUE)*100,"")</f>
        <v/>
      </c>
      <c r="K8638" s="7" t="str">
        <f>IF(Table1[[#This Row],[Is Data Valid]]=TRUE,_xlfn.NORM.S.DIST(Table1[[#This Row],[Birthweight Z-Score (BW-10%)]],TRUE)*100,"")</f>
        <v/>
      </c>
      <c r="L8638" s="7" t="str">
        <f>IF(Table1[[#This Row],[Is Data Valid]]=TRUE,_xlfn.NORM.S.DIST(Table1[[#This Row],[Birthweight Z-Score (BW+10%)]],TRUE)*100,"")</f>
        <v/>
      </c>
    </row>
    <row r="8639" spans="1:12" x14ac:dyDescent="0.35">
      <c r="A8639" s="3"/>
      <c r="B8639" s="2"/>
      <c r="C8639" s="2"/>
      <c r="D8639" s="2" t="b">
        <f>IF(AND(NOT(ISBLANK(Table1[[#This Row],[Fetal Sex (Male, Female or Unknown)]])),ISNUMBER(Table1[[#This Row],[Birthweight (grams)]]),ISNUMBER(Table1[[#This Row],[Gestation (days)]])),TRUE,FALSE)</f>
        <v>0</v>
      </c>
      <c r="E8639" s="2" t="str">
        <f>IF(Table1[[#This Row],[Is Data Valid]]=TRUE,IF(Table1[[#This Row],[Fetal Sex (Male, Female or Unknown)]]="Male",Backend!$C$6,IF(Table1[[#This Row],[Fetal Sex (Male, Female or Unknown)]]="Female",Backend!$C$7,IF(Table1[[#This Row],[Fetal Sex (Male, Female or Unknown)]]="Unknown",Backend!$C$8,"Error"))),"")</f>
        <v/>
      </c>
      <c r="F8639" s="8" t="str">
        <f>IF(Table1[[#This Row],[Is Data Valid]]=TRUE,EXP(0.578+0.332*((Table1[[#This Row],[Gestation (days)]]+0.5)/7)-0.00354*((Table1[[#This Row],[Gestation (days)]]+0.5)/7)^2)*Table1[[#This Row],[BW40_3705]],"")</f>
        <v/>
      </c>
      <c r="G8639" s="2" t="str">
        <f>IF(Table1[[#This Row],[Is Data Valid]]=TRUE,((Table1[[#This Row],[Birthweight (grams)]]/Table1[[#This Row],[BW_GA]])-1)/(Backend!$B$4/100*Table1[[#This Row],[BW40_3705]]),"")</f>
        <v/>
      </c>
      <c r="H8639" s="7" t="str">
        <f>IF(Table1[[#This Row],[Is Data Valid]]=TRUE,((Table1[[#This Row],[Birthweight (grams)]]*0.9/Table1[[#This Row],[BW_GA]])-1)/(Backend!$B$4/100*Table1[[#This Row],[BW40_3705]]),"")</f>
        <v/>
      </c>
      <c r="I8639" s="7" t="str">
        <f>IF(Table1[[#This Row],[Is Data Valid]]=TRUE,((Table1[[#This Row],[Birthweight (grams)]]*1.1/Table1[[#This Row],[BW_GA]])-1)/(Backend!$B$4/100*Table1[[#This Row],[BW40_3705]]),"")</f>
        <v/>
      </c>
      <c r="J8639" s="7" t="str">
        <f>IF(Table1[[#This Row],[Is Data Valid]]=TRUE,_xlfn.NORM.S.DIST(Table1[[#This Row],[Birthweight Z-Score]],TRUE)*100,"")</f>
        <v/>
      </c>
      <c r="K8639" s="7" t="str">
        <f>IF(Table1[[#This Row],[Is Data Valid]]=TRUE,_xlfn.NORM.S.DIST(Table1[[#This Row],[Birthweight Z-Score (BW-10%)]],TRUE)*100,"")</f>
        <v/>
      </c>
      <c r="L8639" s="7" t="str">
        <f>IF(Table1[[#This Row],[Is Data Valid]]=TRUE,_xlfn.NORM.S.DIST(Table1[[#This Row],[Birthweight Z-Score (BW+10%)]],TRUE)*100,"")</f>
        <v/>
      </c>
    </row>
    <row r="8640" spans="1:12" x14ac:dyDescent="0.35">
      <c r="A8640" s="3"/>
      <c r="B8640" s="2"/>
      <c r="C8640" s="2"/>
      <c r="D8640" s="2" t="b">
        <f>IF(AND(NOT(ISBLANK(Table1[[#This Row],[Fetal Sex (Male, Female or Unknown)]])),ISNUMBER(Table1[[#This Row],[Birthweight (grams)]]),ISNUMBER(Table1[[#This Row],[Gestation (days)]])),TRUE,FALSE)</f>
        <v>0</v>
      </c>
      <c r="E8640" s="2" t="str">
        <f>IF(Table1[[#This Row],[Is Data Valid]]=TRUE,IF(Table1[[#This Row],[Fetal Sex (Male, Female or Unknown)]]="Male",Backend!$C$6,IF(Table1[[#This Row],[Fetal Sex (Male, Female or Unknown)]]="Female",Backend!$C$7,IF(Table1[[#This Row],[Fetal Sex (Male, Female or Unknown)]]="Unknown",Backend!$C$8,"Error"))),"")</f>
        <v/>
      </c>
      <c r="F8640" s="8" t="str">
        <f>IF(Table1[[#This Row],[Is Data Valid]]=TRUE,EXP(0.578+0.332*((Table1[[#This Row],[Gestation (days)]]+0.5)/7)-0.00354*((Table1[[#This Row],[Gestation (days)]]+0.5)/7)^2)*Table1[[#This Row],[BW40_3705]],"")</f>
        <v/>
      </c>
      <c r="G8640" s="2" t="str">
        <f>IF(Table1[[#This Row],[Is Data Valid]]=TRUE,((Table1[[#This Row],[Birthweight (grams)]]/Table1[[#This Row],[BW_GA]])-1)/(Backend!$B$4/100*Table1[[#This Row],[BW40_3705]]),"")</f>
        <v/>
      </c>
      <c r="H8640" s="7" t="str">
        <f>IF(Table1[[#This Row],[Is Data Valid]]=TRUE,((Table1[[#This Row],[Birthweight (grams)]]*0.9/Table1[[#This Row],[BW_GA]])-1)/(Backend!$B$4/100*Table1[[#This Row],[BW40_3705]]),"")</f>
        <v/>
      </c>
      <c r="I8640" s="7" t="str">
        <f>IF(Table1[[#This Row],[Is Data Valid]]=TRUE,((Table1[[#This Row],[Birthweight (grams)]]*1.1/Table1[[#This Row],[BW_GA]])-1)/(Backend!$B$4/100*Table1[[#This Row],[BW40_3705]]),"")</f>
        <v/>
      </c>
      <c r="J8640" s="7" t="str">
        <f>IF(Table1[[#This Row],[Is Data Valid]]=TRUE,_xlfn.NORM.S.DIST(Table1[[#This Row],[Birthweight Z-Score]],TRUE)*100,"")</f>
        <v/>
      </c>
      <c r="K8640" s="7" t="str">
        <f>IF(Table1[[#This Row],[Is Data Valid]]=TRUE,_xlfn.NORM.S.DIST(Table1[[#This Row],[Birthweight Z-Score (BW-10%)]],TRUE)*100,"")</f>
        <v/>
      </c>
      <c r="L8640" s="7" t="str">
        <f>IF(Table1[[#This Row],[Is Data Valid]]=TRUE,_xlfn.NORM.S.DIST(Table1[[#This Row],[Birthweight Z-Score (BW+10%)]],TRUE)*100,"")</f>
        <v/>
      </c>
    </row>
    <row r="8641" spans="1:12" x14ac:dyDescent="0.35">
      <c r="A8641" s="3"/>
      <c r="B8641" s="2"/>
      <c r="C8641" s="2"/>
      <c r="D8641" s="2" t="b">
        <f>IF(AND(NOT(ISBLANK(Table1[[#This Row],[Fetal Sex (Male, Female or Unknown)]])),ISNUMBER(Table1[[#This Row],[Birthweight (grams)]]),ISNUMBER(Table1[[#This Row],[Gestation (days)]])),TRUE,FALSE)</f>
        <v>0</v>
      </c>
      <c r="E8641" s="2" t="str">
        <f>IF(Table1[[#This Row],[Is Data Valid]]=TRUE,IF(Table1[[#This Row],[Fetal Sex (Male, Female or Unknown)]]="Male",Backend!$C$6,IF(Table1[[#This Row],[Fetal Sex (Male, Female or Unknown)]]="Female",Backend!$C$7,IF(Table1[[#This Row],[Fetal Sex (Male, Female or Unknown)]]="Unknown",Backend!$C$8,"Error"))),"")</f>
        <v/>
      </c>
      <c r="F8641" s="8" t="str">
        <f>IF(Table1[[#This Row],[Is Data Valid]]=TRUE,EXP(0.578+0.332*((Table1[[#This Row],[Gestation (days)]]+0.5)/7)-0.00354*((Table1[[#This Row],[Gestation (days)]]+0.5)/7)^2)*Table1[[#This Row],[BW40_3705]],"")</f>
        <v/>
      </c>
      <c r="G8641" s="2" t="str">
        <f>IF(Table1[[#This Row],[Is Data Valid]]=TRUE,((Table1[[#This Row],[Birthweight (grams)]]/Table1[[#This Row],[BW_GA]])-1)/(Backend!$B$4/100*Table1[[#This Row],[BW40_3705]]),"")</f>
        <v/>
      </c>
      <c r="H8641" s="7" t="str">
        <f>IF(Table1[[#This Row],[Is Data Valid]]=TRUE,((Table1[[#This Row],[Birthweight (grams)]]*0.9/Table1[[#This Row],[BW_GA]])-1)/(Backend!$B$4/100*Table1[[#This Row],[BW40_3705]]),"")</f>
        <v/>
      </c>
      <c r="I8641" s="7" t="str">
        <f>IF(Table1[[#This Row],[Is Data Valid]]=TRUE,((Table1[[#This Row],[Birthweight (grams)]]*1.1/Table1[[#This Row],[BW_GA]])-1)/(Backend!$B$4/100*Table1[[#This Row],[BW40_3705]]),"")</f>
        <v/>
      </c>
      <c r="J8641" s="7" t="str">
        <f>IF(Table1[[#This Row],[Is Data Valid]]=TRUE,_xlfn.NORM.S.DIST(Table1[[#This Row],[Birthweight Z-Score]],TRUE)*100,"")</f>
        <v/>
      </c>
      <c r="K8641" s="7" t="str">
        <f>IF(Table1[[#This Row],[Is Data Valid]]=TRUE,_xlfn.NORM.S.DIST(Table1[[#This Row],[Birthweight Z-Score (BW-10%)]],TRUE)*100,"")</f>
        <v/>
      </c>
      <c r="L8641" s="7" t="str">
        <f>IF(Table1[[#This Row],[Is Data Valid]]=TRUE,_xlfn.NORM.S.DIST(Table1[[#This Row],[Birthweight Z-Score (BW+10%)]],TRUE)*100,"")</f>
        <v/>
      </c>
    </row>
    <row r="8642" spans="1:12" x14ac:dyDescent="0.35">
      <c r="A8642" s="3"/>
      <c r="B8642" s="2"/>
      <c r="C8642" s="2"/>
      <c r="D8642" s="2" t="b">
        <f>IF(AND(NOT(ISBLANK(Table1[[#This Row],[Fetal Sex (Male, Female or Unknown)]])),ISNUMBER(Table1[[#This Row],[Birthweight (grams)]]),ISNUMBER(Table1[[#This Row],[Gestation (days)]])),TRUE,FALSE)</f>
        <v>0</v>
      </c>
      <c r="E8642" s="2" t="str">
        <f>IF(Table1[[#This Row],[Is Data Valid]]=TRUE,IF(Table1[[#This Row],[Fetal Sex (Male, Female or Unknown)]]="Male",Backend!$C$6,IF(Table1[[#This Row],[Fetal Sex (Male, Female or Unknown)]]="Female",Backend!$C$7,IF(Table1[[#This Row],[Fetal Sex (Male, Female or Unknown)]]="Unknown",Backend!$C$8,"Error"))),"")</f>
        <v/>
      </c>
      <c r="F8642" s="8" t="str">
        <f>IF(Table1[[#This Row],[Is Data Valid]]=TRUE,EXP(0.578+0.332*((Table1[[#This Row],[Gestation (days)]]+0.5)/7)-0.00354*((Table1[[#This Row],[Gestation (days)]]+0.5)/7)^2)*Table1[[#This Row],[BW40_3705]],"")</f>
        <v/>
      </c>
      <c r="G8642" s="2" t="str">
        <f>IF(Table1[[#This Row],[Is Data Valid]]=TRUE,((Table1[[#This Row],[Birthweight (grams)]]/Table1[[#This Row],[BW_GA]])-1)/(Backend!$B$4/100*Table1[[#This Row],[BW40_3705]]),"")</f>
        <v/>
      </c>
      <c r="H8642" s="7" t="str">
        <f>IF(Table1[[#This Row],[Is Data Valid]]=TRUE,((Table1[[#This Row],[Birthweight (grams)]]*0.9/Table1[[#This Row],[BW_GA]])-1)/(Backend!$B$4/100*Table1[[#This Row],[BW40_3705]]),"")</f>
        <v/>
      </c>
      <c r="I8642" s="7" t="str">
        <f>IF(Table1[[#This Row],[Is Data Valid]]=TRUE,((Table1[[#This Row],[Birthweight (grams)]]*1.1/Table1[[#This Row],[BW_GA]])-1)/(Backend!$B$4/100*Table1[[#This Row],[BW40_3705]]),"")</f>
        <v/>
      </c>
      <c r="J8642" s="7" t="str">
        <f>IF(Table1[[#This Row],[Is Data Valid]]=TRUE,_xlfn.NORM.S.DIST(Table1[[#This Row],[Birthweight Z-Score]],TRUE)*100,"")</f>
        <v/>
      </c>
      <c r="K8642" s="7" t="str">
        <f>IF(Table1[[#This Row],[Is Data Valid]]=TRUE,_xlfn.NORM.S.DIST(Table1[[#This Row],[Birthweight Z-Score (BW-10%)]],TRUE)*100,"")</f>
        <v/>
      </c>
      <c r="L8642" s="7" t="str">
        <f>IF(Table1[[#This Row],[Is Data Valid]]=TRUE,_xlfn.NORM.S.DIST(Table1[[#This Row],[Birthweight Z-Score (BW+10%)]],TRUE)*100,"")</f>
        <v/>
      </c>
    </row>
    <row r="8643" spans="1:12" x14ac:dyDescent="0.35">
      <c r="A8643" s="3"/>
      <c r="B8643" s="2"/>
      <c r="C8643" s="2"/>
      <c r="D8643" s="2" t="b">
        <f>IF(AND(NOT(ISBLANK(Table1[[#This Row],[Fetal Sex (Male, Female or Unknown)]])),ISNUMBER(Table1[[#This Row],[Birthweight (grams)]]),ISNUMBER(Table1[[#This Row],[Gestation (days)]])),TRUE,FALSE)</f>
        <v>0</v>
      </c>
      <c r="E8643" s="2" t="str">
        <f>IF(Table1[[#This Row],[Is Data Valid]]=TRUE,IF(Table1[[#This Row],[Fetal Sex (Male, Female or Unknown)]]="Male",Backend!$C$6,IF(Table1[[#This Row],[Fetal Sex (Male, Female or Unknown)]]="Female",Backend!$C$7,IF(Table1[[#This Row],[Fetal Sex (Male, Female or Unknown)]]="Unknown",Backend!$C$8,"Error"))),"")</f>
        <v/>
      </c>
      <c r="F8643" s="8" t="str">
        <f>IF(Table1[[#This Row],[Is Data Valid]]=TRUE,EXP(0.578+0.332*((Table1[[#This Row],[Gestation (days)]]+0.5)/7)-0.00354*((Table1[[#This Row],[Gestation (days)]]+0.5)/7)^2)*Table1[[#This Row],[BW40_3705]],"")</f>
        <v/>
      </c>
      <c r="G8643" s="2" t="str">
        <f>IF(Table1[[#This Row],[Is Data Valid]]=TRUE,((Table1[[#This Row],[Birthweight (grams)]]/Table1[[#This Row],[BW_GA]])-1)/(Backend!$B$4/100*Table1[[#This Row],[BW40_3705]]),"")</f>
        <v/>
      </c>
      <c r="H8643" s="7" t="str">
        <f>IF(Table1[[#This Row],[Is Data Valid]]=TRUE,((Table1[[#This Row],[Birthweight (grams)]]*0.9/Table1[[#This Row],[BW_GA]])-1)/(Backend!$B$4/100*Table1[[#This Row],[BW40_3705]]),"")</f>
        <v/>
      </c>
      <c r="I8643" s="7" t="str">
        <f>IF(Table1[[#This Row],[Is Data Valid]]=TRUE,((Table1[[#This Row],[Birthweight (grams)]]*1.1/Table1[[#This Row],[BW_GA]])-1)/(Backend!$B$4/100*Table1[[#This Row],[BW40_3705]]),"")</f>
        <v/>
      </c>
      <c r="J8643" s="7" t="str">
        <f>IF(Table1[[#This Row],[Is Data Valid]]=TRUE,_xlfn.NORM.S.DIST(Table1[[#This Row],[Birthweight Z-Score]],TRUE)*100,"")</f>
        <v/>
      </c>
      <c r="K8643" s="7" t="str">
        <f>IF(Table1[[#This Row],[Is Data Valid]]=TRUE,_xlfn.NORM.S.DIST(Table1[[#This Row],[Birthweight Z-Score (BW-10%)]],TRUE)*100,"")</f>
        <v/>
      </c>
      <c r="L8643" s="7" t="str">
        <f>IF(Table1[[#This Row],[Is Data Valid]]=TRUE,_xlfn.NORM.S.DIST(Table1[[#This Row],[Birthweight Z-Score (BW+10%)]],TRUE)*100,"")</f>
        <v/>
      </c>
    </row>
    <row r="8644" spans="1:12" x14ac:dyDescent="0.35">
      <c r="A8644" s="3"/>
      <c r="B8644" s="2"/>
      <c r="C8644" s="2"/>
      <c r="D8644" s="2" t="b">
        <f>IF(AND(NOT(ISBLANK(Table1[[#This Row],[Fetal Sex (Male, Female or Unknown)]])),ISNUMBER(Table1[[#This Row],[Birthweight (grams)]]),ISNUMBER(Table1[[#This Row],[Gestation (days)]])),TRUE,FALSE)</f>
        <v>0</v>
      </c>
      <c r="E8644" s="2" t="str">
        <f>IF(Table1[[#This Row],[Is Data Valid]]=TRUE,IF(Table1[[#This Row],[Fetal Sex (Male, Female or Unknown)]]="Male",Backend!$C$6,IF(Table1[[#This Row],[Fetal Sex (Male, Female or Unknown)]]="Female",Backend!$C$7,IF(Table1[[#This Row],[Fetal Sex (Male, Female or Unknown)]]="Unknown",Backend!$C$8,"Error"))),"")</f>
        <v/>
      </c>
      <c r="F8644" s="8" t="str">
        <f>IF(Table1[[#This Row],[Is Data Valid]]=TRUE,EXP(0.578+0.332*((Table1[[#This Row],[Gestation (days)]]+0.5)/7)-0.00354*((Table1[[#This Row],[Gestation (days)]]+0.5)/7)^2)*Table1[[#This Row],[BW40_3705]],"")</f>
        <v/>
      </c>
      <c r="G8644" s="2" t="str">
        <f>IF(Table1[[#This Row],[Is Data Valid]]=TRUE,((Table1[[#This Row],[Birthweight (grams)]]/Table1[[#This Row],[BW_GA]])-1)/(Backend!$B$4/100*Table1[[#This Row],[BW40_3705]]),"")</f>
        <v/>
      </c>
      <c r="H8644" s="7" t="str">
        <f>IF(Table1[[#This Row],[Is Data Valid]]=TRUE,((Table1[[#This Row],[Birthweight (grams)]]*0.9/Table1[[#This Row],[BW_GA]])-1)/(Backend!$B$4/100*Table1[[#This Row],[BW40_3705]]),"")</f>
        <v/>
      </c>
      <c r="I8644" s="7" t="str">
        <f>IF(Table1[[#This Row],[Is Data Valid]]=TRUE,((Table1[[#This Row],[Birthweight (grams)]]*1.1/Table1[[#This Row],[BW_GA]])-1)/(Backend!$B$4/100*Table1[[#This Row],[BW40_3705]]),"")</f>
        <v/>
      </c>
      <c r="J8644" s="7" t="str">
        <f>IF(Table1[[#This Row],[Is Data Valid]]=TRUE,_xlfn.NORM.S.DIST(Table1[[#This Row],[Birthweight Z-Score]],TRUE)*100,"")</f>
        <v/>
      </c>
      <c r="K8644" s="7" t="str">
        <f>IF(Table1[[#This Row],[Is Data Valid]]=TRUE,_xlfn.NORM.S.DIST(Table1[[#This Row],[Birthweight Z-Score (BW-10%)]],TRUE)*100,"")</f>
        <v/>
      </c>
      <c r="L8644" s="7" t="str">
        <f>IF(Table1[[#This Row],[Is Data Valid]]=TRUE,_xlfn.NORM.S.DIST(Table1[[#This Row],[Birthweight Z-Score (BW+10%)]],TRUE)*100,"")</f>
        <v/>
      </c>
    </row>
    <row r="8645" spans="1:12" x14ac:dyDescent="0.35">
      <c r="A8645" s="3"/>
      <c r="B8645" s="2"/>
      <c r="C8645" s="2"/>
      <c r="D8645" s="2" t="b">
        <f>IF(AND(NOT(ISBLANK(Table1[[#This Row],[Fetal Sex (Male, Female or Unknown)]])),ISNUMBER(Table1[[#This Row],[Birthweight (grams)]]),ISNUMBER(Table1[[#This Row],[Gestation (days)]])),TRUE,FALSE)</f>
        <v>0</v>
      </c>
      <c r="E8645" s="2" t="str">
        <f>IF(Table1[[#This Row],[Is Data Valid]]=TRUE,IF(Table1[[#This Row],[Fetal Sex (Male, Female or Unknown)]]="Male",Backend!$C$6,IF(Table1[[#This Row],[Fetal Sex (Male, Female or Unknown)]]="Female",Backend!$C$7,IF(Table1[[#This Row],[Fetal Sex (Male, Female or Unknown)]]="Unknown",Backend!$C$8,"Error"))),"")</f>
        <v/>
      </c>
      <c r="F8645" s="8" t="str">
        <f>IF(Table1[[#This Row],[Is Data Valid]]=TRUE,EXP(0.578+0.332*((Table1[[#This Row],[Gestation (days)]]+0.5)/7)-0.00354*((Table1[[#This Row],[Gestation (days)]]+0.5)/7)^2)*Table1[[#This Row],[BW40_3705]],"")</f>
        <v/>
      </c>
      <c r="G8645" s="2" t="str">
        <f>IF(Table1[[#This Row],[Is Data Valid]]=TRUE,((Table1[[#This Row],[Birthweight (grams)]]/Table1[[#This Row],[BW_GA]])-1)/(Backend!$B$4/100*Table1[[#This Row],[BW40_3705]]),"")</f>
        <v/>
      </c>
      <c r="H8645" s="7" t="str">
        <f>IF(Table1[[#This Row],[Is Data Valid]]=TRUE,((Table1[[#This Row],[Birthweight (grams)]]*0.9/Table1[[#This Row],[BW_GA]])-1)/(Backend!$B$4/100*Table1[[#This Row],[BW40_3705]]),"")</f>
        <v/>
      </c>
      <c r="I8645" s="7" t="str">
        <f>IF(Table1[[#This Row],[Is Data Valid]]=TRUE,((Table1[[#This Row],[Birthweight (grams)]]*1.1/Table1[[#This Row],[BW_GA]])-1)/(Backend!$B$4/100*Table1[[#This Row],[BW40_3705]]),"")</f>
        <v/>
      </c>
      <c r="J8645" s="7" t="str">
        <f>IF(Table1[[#This Row],[Is Data Valid]]=TRUE,_xlfn.NORM.S.DIST(Table1[[#This Row],[Birthweight Z-Score]],TRUE)*100,"")</f>
        <v/>
      </c>
      <c r="K8645" s="7" t="str">
        <f>IF(Table1[[#This Row],[Is Data Valid]]=TRUE,_xlfn.NORM.S.DIST(Table1[[#This Row],[Birthweight Z-Score (BW-10%)]],TRUE)*100,"")</f>
        <v/>
      </c>
      <c r="L8645" s="7" t="str">
        <f>IF(Table1[[#This Row],[Is Data Valid]]=TRUE,_xlfn.NORM.S.DIST(Table1[[#This Row],[Birthweight Z-Score (BW+10%)]],TRUE)*100,"")</f>
        <v/>
      </c>
    </row>
    <row r="8646" spans="1:12" x14ac:dyDescent="0.35">
      <c r="A8646" s="3"/>
      <c r="B8646" s="2"/>
      <c r="C8646" s="2"/>
      <c r="D8646" s="2" t="b">
        <f>IF(AND(NOT(ISBLANK(Table1[[#This Row],[Fetal Sex (Male, Female or Unknown)]])),ISNUMBER(Table1[[#This Row],[Birthweight (grams)]]),ISNUMBER(Table1[[#This Row],[Gestation (days)]])),TRUE,FALSE)</f>
        <v>0</v>
      </c>
      <c r="E8646" s="2" t="str">
        <f>IF(Table1[[#This Row],[Is Data Valid]]=TRUE,IF(Table1[[#This Row],[Fetal Sex (Male, Female or Unknown)]]="Male",Backend!$C$6,IF(Table1[[#This Row],[Fetal Sex (Male, Female or Unknown)]]="Female",Backend!$C$7,IF(Table1[[#This Row],[Fetal Sex (Male, Female or Unknown)]]="Unknown",Backend!$C$8,"Error"))),"")</f>
        <v/>
      </c>
      <c r="F8646" s="8" t="str">
        <f>IF(Table1[[#This Row],[Is Data Valid]]=TRUE,EXP(0.578+0.332*((Table1[[#This Row],[Gestation (days)]]+0.5)/7)-0.00354*((Table1[[#This Row],[Gestation (days)]]+0.5)/7)^2)*Table1[[#This Row],[BW40_3705]],"")</f>
        <v/>
      </c>
      <c r="G8646" s="2" t="str">
        <f>IF(Table1[[#This Row],[Is Data Valid]]=TRUE,((Table1[[#This Row],[Birthweight (grams)]]/Table1[[#This Row],[BW_GA]])-1)/(Backend!$B$4/100*Table1[[#This Row],[BW40_3705]]),"")</f>
        <v/>
      </c>
      <c r="H8646" s="7" t="str">
        <f>IF(Table1[[#This Row],[Is Data Valid]]=TRUE,((Table1[[#This Row],[Birthweight (grams)]]*0.9/Table1[[#This Row],[BW_GA]])-1)/(Backend!$B$4/100*Table1[[#This Row],[BW40_3705]]),"")</f>
        <v/>
      </c>
      <c r="I8646" s="7" t="str">
        <f>IF(Table1[[#This Row],[Is Data Valid]]=TRUE,((Table1[[#This Row],[Birthweight (grams)]]*1.1/Table1[[#This Row],[BW_GA]])-1)/(Backend!$B$4/100*Table1[[#This Row],[BW40_3705]]),"")</f>
        <v/>
      </c>
      <c r="J8646" s="7" t="str">
        <f>IF(Table1[[#This Row],[Is Data Valid]]=TRUE,_xlfn.NORM.S.DIST(Table1[[#This Row],[Birthweight Z-Score]],TRUE)*100,"")</f>
        <v/>
      </c>
      <c r="K8646" s="7" t="str">
        <f>IF(Table1[[#This Row],[Is Data Valid]]=TRUE,_xlfn.NORM.S.DIST(Table1[[#This Row],[Birthweight Z-Score (BW-10%)]],TRUE)*100,"")</f>
        <v/>
      </c>
      <c r="L8646" s="7" t="str">
        <f>IF(Table1[[#This Row],[Is Data Valid]]=TRUE,_xlfn.NORM.S.DIST(Table1[[#This Row],[Birthweight Z-Score (BW+10%)]],TRUE)*100,"")</f>
        <v/>
      </c>
    </row>
    <row r="8647" spans="1:12" x14ac:dyDescent="0.35">
      <c r="A8647" s="3"/>
      <c r="B8647" s="2"/>
      <c r="C8647" s="2"/>
      <c r="D8647" s="2" t="b">
        <f>IF(AND(NOT(ISBLANK(Table1[[#This Row],[Fetal Sex (Male, Female or Unknown)]])),ISNUMBER(Table1[[#This Row],[Birthweight (grams)]]),ISNUMBER(Table1[[#This Row],[Gestation (days)]])),TRUE,FALSE)</f>
        <v>0</v>
      </c>
      <c r="E8647" s="2" t="str">
        <f>IF(Table1[[#This Row],[Is Data Valid]]=TRUE,IF(Table1[[#This Row],[Fetal Sex (Male, Female or Unknown)]]="Male",Backend!$C$6,IF(Table1[[#This Row],[Fetal Sex (Male, Female or Unknown)]]="Female",Backend!$C$7,IF(Table1[[#This Row],[Fetal Sex (Male, Female or Unknown)]]="Unknown",Backend!$C$8,"Error"))),"")</f>
        <v/>
      </c>
      <c r="F8647" s="8" t="str">
        <f>IF(Table1[[#This Row],[Is Data Valid]]=TRUE,EXP(0.578+0.332*((Table1[[#This Row],[Gestation (days)]]+0.5)/7)-0.00354*((Table1[[#This Row],[Gestation (days)]]+0.5)/7)^2)*Table1[[#This Row],[BW40_3705]],"")</f>
        <v/>
      </c>
      <c r="G8647" s="2" t="str">
        <f>IF(Table1[[#This Row],[Is Data Valid]]=TRUE,((Table1[[#This Row],[Birthweight (grams)]]/Table1[[#This Row],[BW_GA]])-1)/(Backend!$B$4/100*Table1[[#This Row],[BW40_3705]]),"")</f>
        <v/>
      </c>
      <c r="H8647" s="7" t="str">
        <f>IF(Table1[[#This Row],[Is Data Valid]]=TRUE,((Table1[[#This Row],[Birthweight (grams)]]*0.9/Table1[[#This Row],[BW_GA]])-1)/(Backend!$B$4/100*Table1[[#This Row],[BW40_3705]]),"")</f>
        <v/>
      </c>
      <c r="I8647" s="7" t="str">
        <f>IF(Table1[[#This Row],[Is Data Valid]]=TRUE,((Table1[[#This Row],[Birthweight (grams)]]*1.1/Table1[[#This Row],[BW_GA]])-1)/(Backend!$B$4/100*Table1[[#This Row],[BW40_3705]]),"")</f>
        <v/>
      </c>
      <c r="J8647" s="7" t="str">
        <f>IF(Table1[[#This Row],[Is Data Valid]]=TRUE,_xlfn.NORM.S.DIST(Table1[[#This Row],[Birthweight Z-Score]],TRUE)*100,"")</f>
        <v/>
      </c>
      <c r="K8647" s="7" t="str">
        <f>IF(Table1[[#This Row],[Is Data Valid]]=TRUE,_xlfn.NORM.S.DIST(Table1[[#This Row],[Birthweight Z-Score (BW-10%)]],TRUE)*100,"")</f>
        <v/>
      </c>
      <c r="L8647" s="7" t="str">
        <f>IF(Table1[[#This Row],[Is Data Valid]]=TRUE,_xlfn.NORM.S.DIST(Table1[[#This Row],[Birthweight Z-Score (BW+10%)]],TRUE)*100,"")</f>
        <v/>
      </c>
    </row>
    <row r="8648" spans="1:12" x14ac:dyDescent="0.35">
      <c r="A8648" s="3"/>
      <c r="B8648" s="2"/>
      <c r="C8648" s="2"/>
      <c r="D8648" s="2" t="b">
        <f>IF(AND(NOT(ISBLANK(Table1[[#This Row],[Fetal Sex (Male, Female or Unknown)]])),ISNUMBER(Table1[[#This Row],[Birthweight (grams)]]),ISNUMBER(Table1[[#This Row],[Gestation (days)]])),TRUE,FALSE)</f>
        <v>0</v>
      </c>
      <c r="E8648" s="2" t="str">
        <f>IF(Table1[[#This Row],[Is Data Valid]]=TRUE,IF(Table1[[#This Row],[Fetal Sex (Male, Female or Unknown)]]="Male",Backend!$C$6,IF(Table1[[#This Row],[Fetal Sex (Male, Female or Unknown)]]="Female",Backend!$C$7,IF(Table1[[#This Row],[Fetal Sex (Male, Female or Unknown)]]="Unknown",Backend!$C$8,"Error"))),"")</f>
        <v/>
      </c>
      <c r="F8648" s="8" t="str">
        <f>IF(Table1[[#This Row],[Is Data Valid]]=TRUE,EXP(0.578+0.332*((Table1[[#This Row],[Gestation (days)]]+0.5)/7)-0.00354*((Table1[[#This Row],[Gestation (days)]]+0.5)/7)^2)*Table1[[#This Row],[BW40_3705]],"")</f>
        <v/>
      </c>
      <c r="G8648" s="2" t="str">
        <f>IF(Table1[[#This Row],[Is Data Valid]]=TRUE,((Table1[[#This Row],[Birthweight (grams)]]/Table1[[#This Row],[BW_GA]])-1)/(Backend!$B$4/100*Table1[[#This Row],[BW40_3705]]),"")</f>
        <v/>
      </c>
      <c r="H8648" s="7" t="str">
        <f>IF(Table1[[#This Row],[Is Data Valid]]=TRUE,((Table1[[#This Row],[Birthweight (grams)]]*0.9/Table1[[#This Row],[BW_GA]])-1)/(Backend!$B$4/100*Table1[[#This Row],[BW40_3705]]),"")</f>
        <v/>
      </c>
      <c r="I8648" s="7" t="str">
        <f>IF(Table1[[#This Row],[Is Data Valid]]=TRUE,((Table1[[#This Row],[Birthweight (grams)]]*1.1/Table1[[#This Row],[BW_GA]])-1)/(Backend!$B$4/100*Table1[[#This Row],[BW40_3705]]),"")</f>
        <v/>
      </c>
      <c r="J8648" s="7" t="str">
        <f>IF(Table1[[#This Row],[Is Data Valid]]=TRUE,_xlfn.NORM.S.DIST(Table1[[#This Row],[Birthweight Z-Score]],TRUE)*100,"")</f>
        <v/>
      </c>
      <c r="K8648" s="7" t="str">
        <f>IF(Table1[[#This Row],[Is Data Valid]]=TRUE,_xlfn.NORM.S.DIST(Table1[[#This Row],[Birthweight Z-Score (BW-10%)]],TRUE)*100,"")</f>
        <v/>
      </c>
      <c r="L8648" s="7" t="str">
        <f>IF(Table1[[#This Row],[Is Data Valid]]=TRUE,_xlfn.NORM.S.DIST(Table1[[#This Row],[Birthweight Z-Score (BW+10%)]],TRUE)*100,"")</f>
        <v/>
      </c>
    </row>
    <row r="8649" spans="1:12" x14ac:dyDescent="0.35">
      <c r="A8649" s="3"/>
      <c r="B8649" s="2"/>
      <c r="C8649" s="2"/>
      <c r="D8649" s="2" t="b">
        <f>IF(AND(NOT(ISBLANK(Table1[[#This Row],[Fetal Sex (Male, Female or Unknown)]])),ISNUMBER(Table1[[#This Row],[Birthweight (grams)]]),ISNUMBER(Table1[[#This Row],[Gestation (days)]])),TRUE,FALSE)</f>
        <v>0</v>
      </c>
      <c r="E8649" s="2" t="str">
        <f>IF(Table1[[#This Row],[Is Data Valid]]=TRUE,IF(Table1[[#This Row],[Fetal Sex (Male, Female or Unknown)]]="Male",Backend!$C$6,IF(Table1[[#This Row],[Fetal Sex (Male, Female or Unknown)]]="Female",Backend!$C$7,IF(Table1[[#This Row],[Fetal Sex (Male, Female or Unknown)]]="Unknown",Backend!$C$8,"Error"))),"")</f>
        <v/>
      </c>
      <c r="F8649" s="8" t="str">
        <f>IF(Table1[[#This Row],[Is Data Valid]]=TRUE,EXP(0.578+0.332*((Table1[[#This Row],[Gestation (days)]]+0.5)/7)-0.00354*((Table1[[#This Row],[Gestation (days)]]+0.5)/7)^2)*Table1[[#This Row],[BW40_3705]],"")</f>
        <v/>
      </c>
      <c r="G8649" s="2" t="str">
        <f>IF(Table1[[#This Row],[Is Data Valid]]=TRUE,((Table1[[#This Row],[Birthweight (grams)]]/Table1[[#This Row],[BW_GA]])-1)/(Backend!$B$4/100*Table1[[#This Row],[BW40_3705]]),"")</f>
        <v/>
      </c>
      <c r="H8649" s="7" t="str">
        <f>IF(Table1[[#This Row],[Is Data Valid]]=TRUE,((Table1[[#This Row],[Birthweight (grams)]]*0.9/Table1[[#This Row],[BW_GA]])-1)/(Backend!$B$4/100*Table1[[#This Row],[BW40_3705]]),"")</f>
        <v/>
      </c>
      <c r="I8649" s="7" t="str">
        <f>IF(Table1[[#This Row],[Is Data Valid]]=TRUE,((Table1[[#This Row],[Birthweight (grams)]]*1.1/Table1[[#This Row],[BW_GA]])-1)/(Backend!$B$4/100*Table1[[#This Row],[BW40_3705]]),"")</f>
        <v/>
      </c>
      <c r="J8649" s="7" t="str">
        <f>IF(Table1[[#This Row],[Is Data Valid]]=TRUE,_xlfn.NORM.S.DIST(Table1[[#This Row],[Birthweight Z-Score]],TRUE)*100,"")</f>
        <v/>
      </c>
      <c r="K8649" s="7" t="str">
        <f>IF(Table1[[#This Row],[Is Data Valid]]=TRUE,_xlfn.NORM.S.DIST(Table1[[#This Row],[Birthweight Z-Score (BW-10%)]],TRUE)*100,"")</f>
        <v/>
      </c>
      <c r="L8649" s="7" t="str">
        <f>IF(Table1[[#This Row],[Is Data Valid]]=TRUE,_xlfn.NORM.S.DIST(Table1[[#This Row],[Birthweight Z-Score (BW+10%)]],TRUE)*100,"")</f>
        <v/>
      </c>
    </row>
    <row r="8650" spans="1:12" x14ac:dyDescent="0.35">
      <c r="A8650" s="3"/>
      <c r="B8650" s="2"/>
      <c r="C8650" s="2"/>
      <c r="D8650" s="2" t="b">
        <f>IF(AND(NOT(ISBLANK(Table1[[#This Row],[Fetal Sex (Male, Female or Unknown)]])),ISNUMBER(Table1[[#This Row],[Birthweight (grams)]]),ISNUMBER(Table1[[#This Row],[Gestation (days)]])),TRUE,FALSE)</f>
        <v>0</v>
      </c>
      <c r="E8650" s="2" t="str">
        <f>IF(Table1[[#This Row],[Is Data Valid]]=TRUE,IF(Table1[[#This Row],[Fetal Sex (Male, Female or Unknown)]]="Male",Backend!$C$6,IF(Table1[[#This Row],[Fetal Sex (Male, Female or Unknown)]]="Female",Backend!$C$7,IF(Table1[[#This Row],[Fetal Sex (Male, Female or Unknown)]]="Unknown",Backend!$C$8,"Error"))),"")</f>
        <v/>
      </c>
      <c r="F8650" s="8" t="str">
        <f>IF(Table1[[#This Row],[Is Data Valid]]=TRUE,EXP(0.578+0.332*((Table1[[#This Row],[Gestation (days)]]+0.5)/7)-0.00354*((Table1[[#This Row],[Gestation (days)]]+0.5)/7)^2)*Table1[[#This Row],[BW40_3705]],"")</f>
        <v/>
      </c>
      <c r="G8650" s="2" t="str">
        <f>IF(Table1[[#This Row],[Is Data Valid]]=TRUE,((Table1[[#This Row],[Birthweight (grams)]]/Table1[[#This Row],[BW_GA]])-1)/(Backend!$B$4/100*Table1[[#This Row],[BW40_3705]]),"")</f>
        <v/>
      </c>
      <c r="H8650" s="7" t="str">
        <f>IF(Table1[[#This Row],[Is Data Valid]]=TRUE,((Table1[[#This Row],[Birthweight (grams)]]*0.9/Table1[[#This Row],[BW_GA]])-1)/(Backend!$B$4/100*Table1[[#This Row],[BW40_3705]]),"")</f>
        <v/>
      </c>
      <c r="I8650" s="7" t="str">
        <f>IF(Table1[[#This Row],[Is Data Valid]]=TRUE,((Table1[[#This Row],[Birthweight (grams)]]*1.1/Table1[[#This Row],[BW_GA]])-1)/(Backend!$B$4/100*Table1[[#This Row],[BW40_3705]]),"")</f>
        <v/>
      </c>
      <c r="J8650" s="7" t="str">
        <f>IF(Table1[[#This Row],[Is Data Valid]]=TRUE,_xlfn.NORM.S.DIST(Table1[[#This Row],[Birthweight Z-Score]],TRUE)*100,"")</f>
        <v/>
      </c>
      <c r="K8650" s="7" t="str">
        <f>IF(Table1[[#This Row],[Is Data Valid]]=TRUE,_xlfn.NORM.S.DIST(Table1[[#This Row],[Birthweight Z-Score (BW-10%)]],TRUE)*100,"")</f>
        <v/>
      </c>
      <c r="L8650" s="7" t="str">
        <f>IF(Table1[[#This Row],[Is Data Valid]]=TRUE,_xlfn.NORM.S.DIST(Table1[[#This Row],[Birthweight Z-Score (BW+10%)]],TRUE)*100,"")</f>
        <v/>
      </c>
    </row>
    <row r="8651" spans="1:12" x14ac:dyDescent="0.35">
      <c r="A8651" s="3"/>
      <c r="B8651" s="2"/>
      <c r="C8651" s="2"/>
      <c r="D8651" s="2" t="b">
        <f>IF(AND(NOT(ISBLANK(Table1[[#This Row],[Fetal Sex (Male, Female or Unknown)]])),ISNUMBER(Table1[[#This Row],[Birthweight (grams)]]),ISNUMBER(Table1[[#This Row],[Gestation (days)]])),TRUE,FALSE)</f>
        <v>0</v>
      </c>
      <c r="E8651" s="2" t="str">
        <f>IF(Table1[[#This Row],[Is Data Valid]]=TRUE,IF(Table1[[#This Row],[Fetal Sex (Male, Female or Unknown)]]="Male",Backend!$C$6,IF(Table1[[#This Row],[Fetal Sex (Male, Female or Unknown)]]="Female",Backend!$C$7,IF(Table1[[#This Row],[Fetal Sex (Male, Female or Unknown)]]="Unknown",Backend!$C$8,"Error"))),"")</f>
        <v/>
      </c>
      <c r="F8651" s="8" t="str">
        <f>IF(Table1[[#This Row],[Is Data Valid]]=TRUE,EXP(0.578+0.332*((Table1[[#This Row],[Gestation (days)]]+0.5)/7)-0.00354*((Table1[[#This Row],[Gestation (days)]]+0.5)/7)^2)*Table1[[#This Row],[BW40_3705]],"")</f>
        <v/>
      </c>
      <c r="G8651" s="2" t="str">
        <f>IF(Table1[[#This Row],[Is Data Valid]]=TRUE,((Table1[[#This Row],[Birthweight (grams)]]/Table1[[#This Row],[BW_GA]])-1)/(Backend!$B$4/100*Table1[[#This Row],[BW40_3705]]),"")</f>
        <v/>
      </c>
      <c r="H8651" s="7" t="str">
        <f>IF(Table1[[#This Row],[Is Data Valid]]=TRUE,((Table1[[#This Row],[Birthweight (grams)]]*0.9/Table1[[#This Row],[BW_GA]])-1)/(Backend!$B$4/100*Table1[[#This Row],[BW40_3705]]),"")</f>
        <v/>
      </c>
      <c r="I8651" s="7" t="str">
        <f>IF(Table1[[#This Row],[Is Data Valid]]=TRUE,((Table1[[#This Row],[Birthweight (grams)]]*1.1/Table1[[#This Row],[BW_GA]])-1)/(Backend!$B$4/100*Table1[[#This Row],[BW40_3705]]),"")</f>
        <v/>
      </c>
      <c r="J8651" s="7" t="str">
        <f>IF(Table1[[#This Row],[Is Data Valid]]=TRUE,_xlfn.NORM.S.DIST(Table1[[#This Row],[Birthweight Z-Score]],TRUE)*100,"")</f>
        <v/>
      </c>
      <c r="K8651" s="7" t="str">
        <f>IF(Table1[[#This Row],[Is Data Valid]]=TRUE,_xlfn.NORM.S.DIST(Table1[[#This Row],[Birthweight Z-Score (BW-10%)]],TRUE)*100,"")</f>
        <v/>
      </c>
      <c r="L8651" s="7" t="str">
        <f>IF(Table1[[#This Row],[Is Data Valid]]=TRUE,_xlfn.NORM.S.DIST(Table1[[#This Row],[Birthweight Z-Score (BW+10%)]],TRUE)*100,"")</f>
        <v/>
      </c>
    </row>
    <row r="8652" spans="1:12" x14ac:dyDescent="0.35">
      <c r="A8652" s="3"/>
      <c r="B8652" s="2"/>
      <c r="C8652" s="2"/>
      <c r="D8652" s="2" t="b">
        <f>IF(AND(NOT(ISBLANK(Table1[[#This Row],[Fetal Sex (Male, Female or Unknown)]])),ISNUMBER(Table1[[#This Row],[Birthweight (grams)]]),ISNUMBER(Table1[[#This Row],[Gestation (days)]])),TRUE,FALSE)</f>
        <v>0</v>
      </c>
      <c r="E8652" s="2" t="str">
        <f>IF(Table1[[#This Row],[Is Data Valid]]=TRUE,IF(Table1[[#This Row],[Fetal Sex (Male, Female or Unknown)]]="Male",Backend!$C$6,IF(Table1[[#This Row],[Fetal Sex (Male, Female or Unknown)]]="Female",Backend!$C$7,IF(Table1[[#This Row],[Fetal Sex (Male, Female or Unknown)]]="Unknown",Backend!$C$8,"Error"))),"")</f>
        <v/>
      </c>
      <c r="F8652" s="8" t="str">
        <f>IF(Table1[[#This Row],[Is Data Valid]]=TRUE,EXP(0.578+0.332*((Table1[[#This Row],[Gestation (days)]]+0.5)/7)-0.00354*((Table1[[#This Row],[Gestation (days)]]+0.5)/7)^2)*Table1[[#This Row],[BW40_3705]],"")</f>
        <v/>
      </c>
      <c r="G8652" s="2" t="str">
        <f>IF(Table1[[#This Row],[Is Data Valid]]=TRUE,((Table1[[#This Row],[Birthweight (grams)]]/Table1[[#This Row],[BW_GA]])-1)/(Backend!$B$4/100*Table1[[#This Row],[BW40_3705]]),"")</f>
        <v/>
      </c>
      <c r="H8652" s="7" t="str">
        <f>IF(Table1[[#This Row],[Is Data Valid]]=TRUE,((Table1[[#This Row],[Birthweight (grams)]]*0.9/Table1[[#This Row],[BW_GA]])-1)/(Backend!$B$4/100*Table1[[#This Row],[BW40_3705]]),"")</f>
        <v/>
      </c>
      <c r="I8652" s="7" t="str">
        <f>IF(Table1[[#This Row],[Is Data Valid]]=TRUE,((Table1[[#This Row],[Birthweight (grams)]]*1.1/Table1[[#This Row],[BW_GA]])-1)/(Backend!$B$4/100*Table1[[#This Row],[BW40_3705]]),"")</f>
        <v/>
      </c>
      <c r="J8652" s="7" t="str">
        <f>IF(Table1[[#This Row],[Is Data Valid]]=TRUE,_xlfn.NORM.S.DIST(Table1[[#This Row],[Birthweight Z-Score]],TRUE)*100,"")</f>
        <v/>
      </c>
      <c r="K8652" s="7" t="str">
        <f>IF(Table1[[#This Row],[Is Data Valid]]=TRUE,_xlfn.NORM.S.DIST(Table1[[#This Row],[Birthweight Z-Score (BW-10%)]],TRUE)*100,"")</f>
        <v/>
      </c>
      <c r="L8652" s="7" t="str">
        <f>IF(Table1[[#This Row],[Is Data Valid]]=TRUE,_xlfn.NORM.S.DIST(Table1[[#This Row],[Birthweight Z-Score (BW+10%)]],TRUE)*100,"")</f>
        <v/>
      </c>
    </row>
    <row r="8653" spans="1:12" x14ac:dyDescent="0.35">
      <c r="A8653" s="3"/>
      <c r="B8653" s="2"/>
      <c r="C8653" s="2"/>
      <c r="D8653" s="2" t="b">
        <f>IF(AND(NOT(ISBLANK(Table1[[#This Row],[Fetal Sex (Male, Female or Unknown)]])),ISNUMBER(Table1[[#This Row],[Birthweight (grams)]]),ISNUMBER(Table1[[#This Row],[Gestation (days)]])),TRUE,FALSE)</f>
        <v>0</v>
      </c>
      <c r="E8653" s="2" t="str">
        <f>IF(Table1[[#This Row],[Is Data Valid]]=TRUE,IF(Table1[[#This Row],[Fetal Sex (Male, Female or Unknown)]]="Male",Backend!$C$6,IF(Table1[[#This Row],[Fetal Sex (Male, Female or Unknown)]]="Female",Backend!$C$7,IF(Table1[[#This Row],[Fetal Sex (Male, Female or Unknown)]]="Unknown",Backend!$C$8,"Error"))),"")</f>
        <v/>
      </c>
      <c r="F8653" s="8" t="str">
        <f>IF(Table1[[#This Row],[Is Data Valid]]=TRUE,EXP(0.578+0.332*((Table1[[#This Row],[Gestation (days)]]+0.5)/7)-0.00354*((Table1[[#This Row],[Gestation (days)]]+0.5)/7)^2)*Table1[[#This Row],[BW40_3705]],"")</f>
        <v/>
      </c>
      <c r="G8653" s="2" t="str">
        <f>IF(Table1[[#This Row],[Is Data Valid]]=TRUE,((Table1[[#This Row],[Birthweight (grams)]]/Table1[[#This Row],[BW_GA]])-1)/(Backend!$B$4/100*Table1[[#This Row],[BW40_3705]]),"")</f>
        <v/>
      </c>
      <c r="H8653" s="7" t="str">
        <f>IF(Table1[[#This Row],[Is Data Valid]]=TRUE,((Table1[[#This Row],[Birthweight (grams)]]*0.9/Table1[[#This Row],[BW_GA]])-1)/(Backend!$B$4/100*Table1[[#This Row],[BW40_3705]]),"")</f>
        <v/>
      </c>
      <c r="I8653" s="7" t="str">
        <f>IF(Table1[[#This Row],[Is Data Valid]]=TRUE,((Table1[[#This Row],[Birthweight (grams)]]*1.1/Table1[[#This Row],[BW_GA]])-1)/(Backend!$B$4/100*Table1[[#This Row],[BW40_3705]]),"")</f>
        <v/>
      </c>
      <c r="J8653" s="7" t="str">
        <f>IF(Table1[[#This Row],[Is Data Valid]]=TRUE,_xlfn.NORM.S.DIST(Table1[[#This Row],[Birthweight Z-Score]],TRUE)*100,"")</f>
        <v/>
      </c>
      <c r="K8653" s="7" t="str">
        <f>IF(Table1[[#This Row],[Is Data Valid]]=TRUE,_xlfn.NORM.S.DIST(Table1[[#This Row],[Birthweight Z-Score (BW-10%)]],TRUE)*100,"")</f>
        <v/>
      </c>
      <c r="L8653" s="7" t="str">
        <f>IF(Table1[[#This Row],[Is Data Valid]]=TRUE,_xlfn.NORM.S.DIST(Table1[[#This Row],[Birthweight Z-Score (BW+10%)]],TRUE)*100,"")</f>
        <v/>
      </c>
    </row>
    <row r="8654" spans="1:12" x14ac:dyDescent="0.35">
      <c r="A8654" s="3"/>
      <c r="B8654" s="2"/>
      <c r="C8654" s="2"/>
      <c r="D8654" s="2" t="b">
        <f>IF(AND(NOT(ISBLANK(Table1[[#This Row],[Fetal Sex (Male, Female or Unknown)]])),ISNUMBER(Table1[[#This Row],[Birthweight (grams)]]),ISNUMBER(Table1[[#This Row],[Gestation (days)]])),TRUE,FALSE)</f>
        <v>0</v>
      </c>
      <c r="E8654" s="2" t="str">
        <f>IF(Table1[[#This Row],[Is Data Valid]]=TRUE,IF(Table1[[#This Row],[Fetal Sex (Male, Female or Unknown)]]="Male",Backend!$C$6,IF(Table1[[#This Row],[Fetal Sex (Male, Female or Unknown)]]="Female",Backend!$C$7,IF(Table1[[#This Row],[Fetal Sex (Male, Female or Unknown)]]="Unknown",Backend!$C$8,"Error"))),"")</f>
        <v/>
      </c>
      <c r="F8654" s="8" t="str">
        <f>IF(Table1[[#This Row],[Is Data Valid]]=TRUE,EXP(0.578+0.332*((Table1[[#This Row],[Gestation (days)]]+0.5)/7)-0.00354*((Table1[[#This Row],[Gestation (days)]]+0.5)/7)^2)*Table1[[#This Row],[BW40_3705]],"")</f>
        <v/>
      </c>
      <c r="G8654" s="2" t="str">
        <f>IF(Table1[[#This Row],[Is Data Valid]]=TRUE,((Table1[[#This Row],[Birthweight (grams)]]/Table1[[#This Row],[BW_GA]])-1)/(Backend!$B$4/100*Table1[[#This Row],[BW40_3705]]),"")</f>
        <v/>
      </c>
      <c r="H8654" s="7" t="str">
        <f>IF(Table1[[#This Row],[Is Data Valid]]=TRUE,((Table1[[#This Row],[Birthweight (grams)]]*0.9/Table1[[#This Row],[BW_GA]])-1)/(Backend!$B$4/100*Table1[[#This Row],[BW40_3705]]),"")</f>
        <v/>
      </c>
      <c r="I8654" s="7" t="str">
        <f>IF(Table1[[#This Row],[Is Data Valid]]=TRUE,((Table1[[#This Row],[Birthweight (grams)]]*1.1/Table1[[#This Row],[BW_GA]])-1)/(Backend!$B$4/100*Table1[[#This Row],[BW40_3705]]),"")</f>
        <v/>
      </c>
      <c r="J8654" s="7" t="str">
        <f>IF(Table1[[#This Row],[Is Data Valid]]=TRUE,_xlfn.NORM.S.DIST(Table1[[#This Row],[Birthweight Z-Score]],TRUE)*100,"")</f>
        <v/>
      </c>
      <c r="K8654" s="7" t="str">
        <f>IF(Table1[[#This Row],[Is Data Valid]]=TRUE,_xlfn.NORM.S.DIST(Table1[[#This Row],[Birthweight Z-Score (BW-10%)]],TRUE)*100,"")</f>
        <v/>
      </c>
      <c r="L8654" s="7" t="str">
        <f>IF(Table1[[#This Row],[Is Data Valid]]=TRUE,_xlfn.NORM.S.DIST(Table1[[#This Row],[Birthweight Z-Score (BW+10%)]],TRUE)*100,"")</f>
        <v/>
      </c>
    </row>
    <row r="8655" spans="1:12" x14ac:dyDescent="0.35">
      <c r="A8655" s="3"/>
      <c r="B8655" s="2"/>
      <c r="C8655" s="2"/>
      <c r="D8655" s="2" t="b">
        <f>IF(AND(NOT(ISBLANK(Table1[[#This Row],[Fetal Sex (Male, Female or Unknown)]])),ISNUMBER(Table1[[#This Row],[Birthweight (grams)]]),ISNUMBER(Table1[[#This Row],[Gestation (days)]])),TRUE,FALSE)</f>
        <v>0</v>
      </c>
      <c r="E8655" s="2" t="str">
        <f>IF(Table1[[#This Row],[Is Data Valid]]=TRUE,IF(Table1[[#This Row],[Fetal Sex (Male, Female or Unknown)]]="Male",Backend!$C$6,IF(Table1[[#This Row],[Fetal Sex (Male, Female or Unknown)]]="Female",Backend!$C$7,IF(Table1[[#This Row],[Fetal Sex (Male, Female or Unknown)]]="Unknown",Backend!$C$8,"Error"))),"")</f>
        <v/>
      </c>
      <c r="F8655" s="8" t="str">
        <f>IF(Table1[[#This Row],[Is Data Valid]]=TRUE,EXP(0.578+0.332*((Table1[[#This Row],[Gestation (days)]]+0.5)/7)-0.00354*((Table1[[#This Row],[Gestation (days)]]+0.5)/7)^2)*Table1[[#This Row],[BW40_3705]],"")</f>
        <v/>
      </c>
      <c r="G8655" s="2" t="str">
        <f>IF(Table1[[#This Row],[Is Data Valid]]=TRUE,((Table1[[#This Row],[Birthweight (grams)]]/Table1[[#This Row],[BW_GA]])-1)/(Backend!$B$4/100*Table1[[#This Row],[BW40_3705]]),"")</f>
        <v/>
      </c>
      <c r="H8655" s="7" t="str">
        <f>IF(Table1[[#This Row],[Is Data Valid]]=TRUE,((Table1[[#This Row],[Birthweight (grams)]]*0.9/Table1[[#This Row],[BW_GA]])-1)/(Backend!$B$4/100*Table1[[#This Row],[BW40_3705]]),"")</f>
        <v/>
      </c>
      <c r="I8655" s="7" t="str">
        <f>IF(Table1[[#This Row],[Is Data Valid]]=TRUE,((Table1[[#This Row],[Birthweight (grams)]]*1.1/Table1[[#This Row],[BW_GA]])-1)/(Backend!$B$4/100*Table1[[#This Row],[BW40_3705]]),"")</f>
        <v/>
      </c>
      <c r="J8655" s="7" t="str">
        <f>IF(Table1[[#This Row],[Is Data Valid]]=TRUE,_xlfn.NORM.S.DIST(Table1[[#This Row],[Birthweight Z-Score]],TRUE)*100,"")</f>
        <v/>
      </c>
      <c r="K8655" s="7" t="str">
        <f>IF(Table1[[#This Row],[Is Data Valid]]=TRUE,_xlfn.NORM.S.DIST(Table1[[#This Row],[Birthweight Z-Score (BW-10%)]],TRUE)*100,"")</f>
        <v/>
      </c>
      <c r="L8655" s="7" t="str">
        <f>IF(Table1[[#This Row],[Is Data Valid]]=TRUE,_xlfn.NORM.S.DIST(Table1[[#This Row],[Birthweight Z-Score (BW+10%)]],TRUE)*100,"")</f>
        <v/>
      </c>
    </row>
    <row r="8656" spans="1:12" x14ac:dyDescent="0.35">
      <c r="A8656" s="3"/>
      <c r="B8656" s="2"/>
      <c r="C8656" s="2"/>
      <c r="D8656" s="2" t="b">
        <f>IF(AND(NOT(ISBLANK(Table1[[#This Row],[Fetal Sex (Male, Female or Unknown)]])),ISNUMBER(Table1[[#This Row],[Birthweight (grams)]]),ISNUMBER(Table1[[#This Row],[Gestation (days)]])),TRUE,FALSE)</f>
        <v>0</v>
      </c>
      <c r="E8656" s="2" t="str">
        <f>IF(Table1[[#This Row],[Is Data Valid]]=TRUE,IF(Table1[[#This Row],[Fetal Sex (Male, Female or Unknown)]]="Male",Backend!$C$6,IF(Table1[[#This Row],[Fetal Sex (Male, Female or Unknown)]]="Female",Backend!$C$7,IF(Table1[[#This Row],[Fetal Sex (Male, Female or Unknown)]]="Unknown",Backend!$C$8,"Error"))),"")</f>
        <v/>
      </c>
      <c r="F8656" s="8" t="str">
        <f>IF(Table1[[#This Row],[Is Data Valid]]=TRUE,EXP(0.578+0.332*((Table1[[#This Row],[Gestation (days)]]+0.5)/7)-0.00354*((Table1[[#This Row],[Gestation (days)]]+0.5)/7)^2)*Table1[[#This Row],[BW40_3705]],"")</f>
        <v/>
      </c>
      <c r="G8656" s="2" t="str">
        <f>IF(Table1[[#This Row],[Is Data Valid]]=TRUE,((Table1[[#This Row],[Birthweight (grams)]]/Table1[[#This Row],[BW_GA]])-1)/(Backend!$B$4/100*Table1[[#This Row],[BW40_3705]]),"")</f>
        <v/>
      </c>
      <c r="H8656" s="7" t="str">
        <f>IF(Table1[[#This Row],[Is Data Valid]]=TRUE,((Table1[[#This Row],[Birthweight (grams)]]*0.9/Table1[[#This Row],[BW_GA]])-1)/(Backend!$B$4/100*Table1[[#This Row],[BW40_3705]]),"")</f>
        <v/>
      </c>
      <c r="I8656" s="7" t="str">
        <f>IF(Table1[[#This Row],[Is Data Valid]]=TRUE,((Table1[[#This Row],[Birthweight (grams)]]*1.1/Table1[[#This Row],[BW_GA]])-1)/(Backend!$B$4/100*Table1[[#This Row],[BW40_3705]]),"")</f>
        <v/>
      </c>
      <c r="J8656" s="7" t="str">
        <f>IF(Table1[[#This Row],[Is Data Valid]]=TRUE,_xlfn.NORM.S.DIST(Table1[[#This Row],[Birthweight Z-Score]],TRUE)*100,"")</f>
        <v/>
      </c>
      <c r="K8656" s="7" t="str">
        <f>IF(Table1[[#This Row],[Is Data Valid]]=TRUE,_xlfn.NORM.S.DIST(Table1[[#This Row],[Birthweight Z-Score (BW-10%)]],TRUE)*100,"")</f>
        <v/>
      </c>
      <c r="L8656" s="7" t="str">
        <f>IF(Table1[[#This Row],[Is Data Valid]]=TRUE,_xlfn.NORM.S.DIST(Table1[[#This Row],[Birthweight Z-Score (BW+10%)]],TRUE)*100,"")</f>
        <v/>
      </c>
    </row>
    <row r="8657" spans="1:12" x14ac:dyDescent="0.35">
      <c r="A8657" s="3"/>
      <c r="B8657" s="2"/>
      <c r="C8657" s="2"/>
      <c r="D8657" s="2" t="b">
        <f>IF(AND(NOT(ISBLANK(Table1[[#This Row],[Fetal Sex (Male, Female or Unknown)]])),ISNUMBER(Table1[[#This Row],[Birthweight (grams)]]),ISNUMBER(Table1[[#This Row],[Gestation (days)]])),TRUE,FALSE)</f>
        <v>0</v>
      </c>
      <c r="E8657" s="2" t="str">
        <f>IF(Table1[[#This Row],[Is Data Valid]]=TRUE,IF(Table1[[#This Row],[Fetal Sex (Male, Female or Unknown)]]="Male",Backend!$C$6,IF(Table1[[#This Row],[Fetal Sex (Male, Female or Unknown)]]="Female",Backend!$C$7,IF(Table1[[#This Row],[Fetal Sex (Male, Female or Unknown)]]="Unknown",Backend!$C$8,"Error"))),"")</f>
        <v/>
      </c>
      <c r="F8657" s="8" t="str">
        <f>IF(Table1[[#This Row],[Is Data Valid]]=TRUE,EXP(0.578+0.332*((Table1[[#This Row],[Gestation (days)]]+0.5)/7)-0.00354*((Table1[[#This Row],[Gestation (days)]]+0.5)/7)^2)*Table1[[#This Row],[BW40_3705]],"")</f>
        <v/>
      </c>
      <c r="G8657" s="2" t="str">
        <f>IF(Table1[[#This Row],[Is Data Valid]]=TRUE,((Table1[[#This Row],[Birthweight (grams)]]/Table1[[#This Row],[BW_GA]])-1)/(Backend!$B$4/100*Table1[[#This Row],[BW40_3705]]),"")</f>
        <v/>
      </c>
      <c r="H8657" s="7" t="str">
        <f>IF(Table1[[#This Row],[Is Data Valid]]=TRUE,((Table1[[#This Row],[Birthweight (grams)]]*0.9/Table1[[#This Row],[BW_GA]])-1)/(Backend!$B$4/100*Table1[[#This Row],[BW40_3705]]),"")</f>
        <v/>
      </c>
      <c r="I8657" s="7" t="str">
        <f>IF(Table1[[#This Row],[Is Data Valid]]=TRUE,((Table1[[#This Row],[Birthweight (grams)]]*1.1/Table1[[#This Row],[BW_GA]])-1)/(Backend!$B$4/100*Table1[[#This Row],[BW40_3705]]),"")</f>
        <v/>
      </c>
      <c r="J8657" s="7" t="str">
        <f>IF(Table1[[#This Row],[Is Data Valid]]=TRUE,_xlfn.NORM.S.DIST(Table1[[#This Row],[Birthweight Z-Score]],TRUE)*100,"")</f>
        <v/>
      </c>
      <c r="K8657" s="7" t="str">
        <f>IF(Table1[[#This Row],[Is Data Valid]]=TRUE,_xlfn.NORM.S.DIST(Table1[[#This Row],[Birthweight Z-Score (BW-10%)]],TRUE)*100,"")</f>
        <v/>
      </c>
      <c r="L8657" s="7" t="str">
        <f>IF(Table1[[#This Row],[Is Data Valid]]=TRUE,_xlfn.NORM.S.DIST(Table1[[#This Row],[Birthweight Z-Score (BW+10%)]],TRUE)*100,"")</f>
        <v/>
      </c>
    </row>
    <row r="8658" spans="1:12" x14ac:dyDescent="0.35">
      <c r="A8658" s="3"/>
      <c r="B8658" s="2"/>
      <c r="C8658" s="2"/>
      <c r="D8658" s="2" t="b">
        <f>IF(AND(NOT(ISBLANK(Table1[[#This Row],[Fetal Sex (Male, Female or Unknown)]])),ISNUMBER(Table1[[#This Row],[Birthweight (grams)]]),ISNUMBER(Table1[[#This Row],[Gestation (days)]])),TRUE,FALSE)</f>
        <v>0</v>
      </c>
      <c r="E8658" s="2" t="str">
        <f>IF(Table1[[#This Row],[Is Data Valid]]=TRUE,IF(Table1[[#This Row],[Fetal Sex (Male, Female or Unknown)]]="Male",Backend!$C$6,IF(Table1[[#This Row],[Fetal Sex (Male, Female or Unknown)]]="Female",Backend!$C$7,IF(Table1[[#This Row],[Fetal Sex (Male, Female or Unknown)]]="Unknown",Backend!$C$8,"Error"))),"")</f>
        <v/>
      </c>
      <c r="F8658" s="8" t="str">
        <f>IF(Table1[[#This Row],[Is Data Valid]]=TRUE,EXP(0.578+0.332*((Table1[[#This Row],[Gestation (days)]]+0.5)/7)-0.00354*((Table1[[#This Row],[Gestation (days)]]+0.5)/7)^2)*Table1[[#This Row],[BW40_3705]],"")</f>
        <v/>
      </c>
      <c r="G8658" s="2" t="str">
        <f>IF(Table1[[#This Row],[Is Data Valid]]=TRUE,((Table1[[#This Row],[Birthweight (grams)]]/Table1[[#This Row],[BW_GA]])-1)/(Backend!$B$4/100*Table1[[#This Row],[BW40_3705]]),"")</f>
        <v/>
      </c>
      <c r="H8658" s="7" t="str">
        <f>IF(Table1[[#This Row],[Is Data Valid]]=TRUE,((Table1[[#This Row],[Birthweight (grams)]]*0.9/Table1[[#This Row],[BW_GA]])-1)/(Backend!$B$4/100*Table1[[#This Row],[BW40_3705]]),"")</f>
        <v/>
      </c>
      <c r="I8658" s="7" t="str">
        <f>IF(Table1[[#This Row],[Is Data Valid]]=TRUE,((Table1[[#This Row],[Birthweight (grams)]]*1.1/Table1[[#This Row],[BW_GA]])-1)/(Backend!$B$4/100*Table1[[#This Row],[BW40_3705]]),"")</f>
        <v/>
      </c>
      <c r="J8658" s="7" t="str">
        <f>IF(Table1[[#This Row],[Is Data Valid]]=TRUE,_xlfn.NORM.S.DIST(Table1[[#This Row],[Birthweight Z-Score]],TRUE)*100,"")</f>
        <v/>
      </c>
      <c r="K8658" s="7" t="str">
        <f>IF(Table1[[#This Row],[Is Data Valid]]=TRUE,_xlfn.NORM.S.DIST(Table1[[#This Row],[Birthweight Z-Score (BW-10%)]],TRUE)*100,"")</f>
        <v/>
      </c>
      <c r="L8658" s="7" t="str">
        <f>IF(Table1[[#This Row],[Is Data Valid]]=TRUE,_xlfn.NORM.S.DIST(Table1[[#This Row],[Birthweight Z-Score (BW+10%)]],TRUE)*100,"")</f>
        <v/>
      </c>
    </row>
    <row r="8659" spans="1:12" x14ac:dyDescent="0.35">
      <c r="A8659" s="3"/>
      <c r="B8659" s="2"/>
      <c r="C8659" s="2"/>
      <c r="D8659" s="2" t="b">
        <f>IF(AND(NOT(ISBLANK(Table1[[#This Row],[Fetal Sex (Male, Female or Unknown)]])),ISNUMBER(Table1[[#This Row],[Birthweight (grams)]]),ISNUMBER(Table1[[#This Row],[Gestation (days)]])),TRUE,FALSE)</f>
        <v>0</v>
      </c>
      <c r="E8659" s="2" t="str">
        <f>IF(Table1[[#This Row],[Is Data Valid]]=TRUE,IF(Table1[[#This Row],[Fetal Sex (Male, Female or Unknown)]]="Male",Backend!$C$6,IF(Table1[[#This Row],[Fetal Sex (Male, Female or Unknown)]]="Female",Backend!$C$7,IF(Table1[[#This Row],[Fetal Sex (Male, Female or Unknown)]]="Unknown",Backend!$C$8,"Error"))),"")</f>
        <v/>
      </c>
      <c r="F8659" s="8" t="str">
        <f>IF(Table1[[#This Row],[Is Data Valid]]=TRUE,EXP(0.578+0.332*((Table1[[#This Row],[Gestation (days)]]+0.5)/7)-0.00354*((Table1[[#This Row],[Gestation (days)]]+0.5)/7)^2)*Table1[[#This Row],[BW40_3705]],"")</f>
        <v/>
      </c>
      <c r="G8659" s="2" t="str">
        <f>IF(Table1[[#This Row],[Is Data Valid]]=TRUE,((Table1[[#This Row],[Birthweight (grams)]]/Table1[[#This Row],[BW_GA]])-1)/(Backend!$B$4/100*Table1[[#This Row],[BW40_3705]]),"")</f>
        <v/>
      </c>
      <c r="H8659" s="7" t="str">
        <f>IF(Table1[[#This Row],[Is Data Valid]]=TRUE,((Table1[[#This Row],[Birthweight (grams)]]*0.9/Table1[[#This Row],[BW_GA]])-1)/(Backend!$B$4/100*Table1[[#This Row],[BW40_3705]]),"")</f>
        <v/>
      </c>
      <c r="I8659" s="7" t="str">
        <f>IF(Table1[[#This Row],[Is Data Valid]]=TRUE,((Table1[[#This Row],[Birthweight (grams)]]*1.1/Table1[[#This Row],[BW_GA]])-1)/(Backend!$B$4/100*Table1[[#This Row],[BW40_3705]]),"")</f>
        <v/>
      </c>
      <c r="J8659" s="7" t="str">
        <f>IF(Table1[[#This Row],[Is Data Valid]]=TRUE,_xlfn.NORM.S.DIST(Table1[[#This Row],[Birthweight Z-Score]],TRUE)*100,"")</f>
        <v/>
      </c>
      <c r="K8659" s="7" t="str">
        <f>IF(Table1[[#This Row],[Is Data Valid]]=TRUE,_xlfn.NORM.S.DIST(Table1[[#This Row],[Birthweight Z-Score (BW-10%)]],TRUE)*100,"")</f>
        <v/>
      </c>
      <c r="L8659" s="7" t="str">
        <f>IF(Table1[[#This Row],[Is Data Valid]]=TRUE,_xlfn.NORM.S.DIST(Table1[[#This Row],[Birthweight Z-Score (BW+10%)]],TRUE)*100,"")</f>
        <v/>
      </c>
    </row>
    <row r="8660" spans="1:12" x14ac:dyDescent="0.35">
      <c r="A8660" s="3"/>
      <c r="B8660" s="2"/>
      <c r="C8660" s="2"/>
      <c r="D8660" s="2" t="b">
        <f>IF(AND(NOT(ISBLANK(Table1[[#This Row],[Fetal Sex (Male, Female or Unknown)]])),ISNUMBER(Table1[[#This Row],[Birthweight (grams)]]),ISNUMBER(Table1[[#This Row],[Gestation (days)]])),TRUE,FALSE)</f>
        <v>0</v>
      </c>
      <c r="E8660" s="2" t="str">
        <f>IF(Table1[[#This Row],[Is Data Valid]]=TRUE,IF(Table1[[#This Row],[Fetal Sex (Male, Female or Unknown)]]="Male",Backend!$C$6,IF(Table1[[#This Row],[Fetal Sex (Male, Female or Unknown)]]="Female",Backend!$C$7,IF(Table1[[#This Row],[Fetal Sex (Male, Female or Unknown)]]="Unknown",Backend!$C$8,"Error"))),"")</f>
        <v/>
      </c>
      <c r="F8660" s="8" t="str">
        <f>IF(Table1[[#This Row],[Is Data Valid]]=TRUE,EXP(0.578+0.332*((Table1[[#This Row],[Gestation (days)]]+0.5)/7)-0.00354*((Table1[[#This Row],[Gestation (days)]]+0.5)/7)^2)*Table1[[#This Row],[BW40_3705]],"")</f>
        <v/>
      </c>
      <c r="G8660" s="2" t="str">
        <f>IF(Table1[[#This Row],[Is Data Valid]]=TRUE,((Table1[[#This Row],[Birthweight (grams)]]/Table1[[#This Row],[BW_GA]])-1)/(Backend!$B$4/100*Table1[[#This Row],[BW40_3705]]),"")</f>
        <v/>
      </c>
      <c r="H8660" s="7" t="str">
        <f>IF(Table1[[#This Row],[Is Data Valid]]=TRUE,((Table1[[#This Row],[Birthweight (grams)]]*0.9/Table1[[#This Row],[BW_GA]])-1)/(Backend!$B$4/100*Table1[[#This Row],[BW40_3705]]),"")</f>
        <v/>
      </c>
      <c r="I8660" s="7" t="str">
        <f>IF(Table1[[#This Row],[Is Data Valid]]=TRUE,((Table1[[#This Row],[Birthweight (grams)]]*1.1/Table1[[#This Row],[BW_GA]])-1)/(Backend!$B$4/100*Table1[[#This Row],[BW40_3705]]),"")</f>
        <v/>
      </c>
      <c r="J8660" s="7" t="str">
        <f>IF(Table1[[#This Row],[Is Data Valid]]=TRUE,_xlfn.NORM.S.DIST(Table1[[#This Row],[Birthweight Z-Score]],TRUE)*100,"")</f>
        <v/>
      </c>
      <c r="K8660" s="7" t="str">
        <f>IF(Table1[[#This Row],[Is Data Valid]]=TRUE,_xlfn.NORM.S.DIST(Table1[[#This Row],[Birthweight Z-Score (BW-10%)]],TRUE)*100,"")</f>
        <v/>
      </c>
      <c r="L8660" s="7" t="str">
        <f>IF(Table1[[#This Row],[Is Data Valid]]=TRUE,_xlfn.NORM.S.DIST(Table1[[#This Row],[Birthweight Z-Score (BW+10%)]],TRUE)*100,"")</f>
        <v/>
      </c>
    </row>
    <row r="8661" spans="1:12" x14ac:dyDescent="0.35">
      <c r="A8661" s="3"/>
      <c r="B8661" s="2"/>
      <c r="C8661" s="2"/>
      <c r="D8661" s="2" t="b">
        <f>IF(AND(NOT(ISBLANK(Table1[[#This Row],[Fetal Sex (Male, Female or Unknown)]])),ISNUMBER(Table1[[#This Row],[Birthweight (grams)]]),ISNUMBER(Table1[[#This Row],[Gestation (days)]])),TRUE,FALSE)</f>
        <v>0</v>
      </c>
      <c r="E8661" s="2" t="str">
        <f>IF(Table1[[#This Row],[Is Data Valid]]=TRUE,IF(Table1[[#This Row],[Fetal Sex (Male, Female or Unknown)]]="Male",Backend!$C$6,IF(Table1[[#This Row],[Fetal Sex (Male, Female or Unknown)]]="Female",Backend!$C$7,IF(Table1[[#This Row],[Fetal Sex (Male, Female or Unknown)]]="Unknown",Backend!$C$8,"Error"))),"")</f>
        <v/>
      </c>
      <c r="F8661" s="8" t="str">
        <f>IF(Table1[[#This Row],[Is Data Valid]]=TRUE,EXP(0.578+0.332*((Table1[[#This Row],[Gestation (days)]]+0.5)/7)-0.00354*((Table1[[#This Row],[Gestation (days)]]+0.5)/7)^2)*Table1[[#This Row],[BW40_3705]],"")</f>
        <v/>
      </c>
      <c r="G8661" s="2" t="str">
        <f>IF(Table1[[#This Row],[Is Data Valid]]=TRUE,((Table1[[#This Row],[Birthweight (grams)]]/Table1[[#This Row],[BW_GA]])-1)/(Backend!$B$4/100*Table1[[#This Row],[BW40_3705]]),"")</f>
        <v/>
      </c>
      <c r="H8661" s="7" t="str">
        <f>IF(Table1[[#This Row],[Is Data Valid]]=TRUE,((Table1[[#This Row],[Birthweight (grams)]]*0.9/Table1[[#This Row],[BW_GA]])-1)/(Backend!$B$4/100*Table1[[#This Row],[BW40_3705]]),"")</f>
        <v/>
      </c>
      <c r="I8661" s="7" t="str">
        <f>IF(Table1[[#This Row],[Is Data Valid]]=TRUE,((Table1[[#This Row],[Birthweight (grams)]]*1.1/Table1[[#This Row],[BW_GA]])-1)/(Backend!$B$4/100*Table1[[#This Row],[BW40_3705]]),"")</f>
        <v/>
      </c>
      <c r="J8661" s="7" t="str">
        <f>IF(Table1[[#This Row],[Is Data Valid]]=TRUE,_xlfn.NORM.S.DIST(Table1[[#This Row],[Birthweight Z-Score]],TRUE)*100,"")</f>
        <v/>
      </c>
      <c r="K8661" s="7" t="str">
        <f>IF(Table1[[#This Row],[Is Data Valid]]=TRUE,_xlfn.NORM.S.DIST(Table1[[#This Row],[Birthweight Z-Score (BW-10%)]],TRUE)*100,"")</f>
        <v/>
      </c>
      <c r="L8661" s="7" t="str">
        <f>IF(Table1[[#This Row],[Is Data Valid]]=TRUE,_xlfn.NORM.S.DIST(Table1[[#This Row],[Birthweight Z-Score (BW+10%)]],TRUE)*100,"")</f>
        <v/>
      </c>
    </row>
    <row r="8662" spans="1:12" x14ac:dyDescent="0.35">
      <c r="A8662" s="3"/>
      <c r="B8662" s="2"/>
      <c r="C8662" s="2"/>
      <c r="D8662" s="2" t="b">
        <f>IF(AND(NOT(ISBLANK(Table1[[#This Row],[Fetal Sex (Male, Female or Unknown)]])),ISNUMBER(Table1[[#This Row],[Birthweight (grams)]]),ISNUMBER(Table1[[#This Row],[Gestation (days)]])),TRUE,FALSE)</f>
        <v>0</v>
      </c>
      <c r="E8662" s="2" t="str">
        <f>IF(Table1[[#This Row],[Is Data Valid]]=TRUE,IF(Table1[[#This Row],[Fetal Sex (Male, Female or Unknown)]]="Male",Backend!$C$6,IF(Table1[[#This Row],[Fetal Sex (Male, Female or Unknown)]]="Female",Backend!$C$7,IF(Table1[[#This Row],[Fetal Sex (Male, Female or Unknown)]]="Unknown",Backend!$C$8,"Error"))),"")</f>
        <v/>
      </c>
      <c r="F8662" s="8" t="str">
        <f>IF(Table1[[#This Row],[Is Data Valid]]=TRUE,EXP(0.578+0.332*((Table1[[#This Row],[Gestation (days)]]+0.5)/7)-0.00354*((Table1[[#This Row],[Gestation (days)]]+0.5)/7)^2)*Table1[[#This Row],[BW40_3705]],"")</f>
        <v/>
      </c>
      <c r="G8662" s="2" t="str">
        <f>IF(Table1[[#This Row],[Is Data Valid]]=TRUE,((Table1[[#This Row],[Birthweight (grams)]]/Table1[[#This Row],[BW_GA]])-1)/(Backend!$B$4/100*Table1[[#This Row],[BW40_3705]]),"")</f>
        <v/>
      </c>
      <c r="H8662" s="7" t="str">
        <f>IF(Table1[[#This Row],[Is Data Valid]]=TRUE,((Table1[[#This Row],[Birthweight (grams)]]*0.9/Table1[[#This Row],[BW_GA]])-1)/(Backend!$B$4/100*Table1[[#This Row],[BW40_3705]]),"")</f>
        <v/>
      </c>
      <c r="I8662" s="7" t="str">
        <f>IF(Table1[[#This Row],[Is Data Valid]]=TRUE,((Table1[[#This Row],[Birthweight (grams)]]*1.1/Table1[[#This Row],[BW_GA]])-1)/(Backend!$B$4/100*Table1[[#This Row],[BW40_3705]]),"")</f>
        <v/>
      </c>
      <c r="J8662" s="7" t="str">
        <f>IF(Table1[[#This Row],[Is Data Valid]]=TRUE,_xlfn.NORM.S.DIST(Table1[[#This Row],[Birthweight Z-Score]],TRUE)*100,"")</f>
        <v/>
      </c>
      <c r="K8662" s="7" t="str">
        <f>IF(Table1[[#This Row],[Is Data Valid]]=TRUE,_xlfn.NORM.S.DIST(Table1[[#This Row],[Birthweight Z-Score (BW-10%)]],TRUE)*100,"")</f>
        <v/>
      </c>
      <c r="L8662" s="7" t="str">
        <f>IF(Table1[[#This Row],[Is Data Valid]]=TRUE,_xlfn.NORM.S.DIST(Table1[[#This Row],[Birthweight Z-Score (BW+10%)]],TRUE)*100,"")</f>
        <v/>
      </c>
    </row>
    <row r="8663" spans="1:12" x14ac:dyDescent="0.35">
      <c r="A8663" s="3"/>
      <c r="B8663" s="2"/>
      <c r="C8663" s="2"/>
      <c r="D8663" s="2" t="b">
        <f>IF(AND(NOT(ISBLANK(Table1[[#This Row],[Fetal Sex (Male, Female or Unknown)]])),ISNUMBER(Table1[[#This Row],[Birthweight (grams)]]),ISNUMBER(Table1[[#This Row],[Gestation (days)]])),TRUE,FALSE)</f>
        <v>0</v>
      </c>
      <c r="E8663" s="2" t="str">
        <f>IF(Table1[[#This Row],[Is Data Valid]]=TRUE,IF(Table1[[#This Row],[Fetal Sex (Male, Female or Unknown)]]="Male",Backend!$C$6,IF(Table1[[#This Row],[Fetal Sex (Male, Female or Unknown)]]="Female",Backend!$C$7,IF(Table1[[#This Row],[Fetal Sex (Male, Female or Unknown)]]="Unknown",Backend!$C$8,"Error"))),"")</f>
        <v/>
      </c>
      <c r="F8663" s="8" t="str">
        <f>IF(Table1[[#This Row],[Is Data Valid]]=TRUE,EXP(0.578+0.332*((Table1[[#This Row],[Gestation (days)]]+0.5)/7)-0.00354*((Table1[[#This Row],[Gestation (days)]]+0.5)/7)^2)*Table1[[#This Row],[BW40_3705]],"")</f>
        <v/>
      </c>
      <c r="G8663" s="2" t="str">
        <f>IF(Table1[[#This Row],[Is Data Valid]]=TRUE,((Table1[[#This Row],[Birthweight (grams)]]/Table1[[#This Row],[BW_GA]])-1)/(Backend!$B$4/100*Table1[[#This Row],[BW40_3705]]),"")</f>
        <v/>
      </c>
      <c r="H8663" s="7" t="str">
        <f>IF(Table1[[#This Row],[Is Data Valid]]=TRUE,((Table1[[#This Row],[Birthweight (grams)]]*0.9/Table1[[#This Row],[BW_GA]])-1)/(Backend!$B$4/100*Table1[[#This Row],[BW40_3705]]),"")</f>
        <v/>
      </c>
      <c r="I8663" s="7" t="str">
        <f>IF(Table1[[#This Row],[Is Data Valid]]=TRUE,((Table1[[#This Row],[Birthweight (grams)]]*1.1/Table1[[#This Row],[BW_GA]])-1)/(Backend!$B$4/100*Table1[[#This Row],[BW40_3705]]),"")</f>
        <v/>
      </c>
      <c r="J8663" s="7" t="str">
        <f>IF(Table1[[#This Row],[Is Data Valid]]=TRUE,_xlfn.NORM.S.DIST(Table1[[#This Row],[Birthweight Z-Score]],TRUE)*100,"")</f>
        <v/>
      </c>
      <c r="K8663" s="7" t="str">
        <f>IF(Table1[[#This Row],[Is Data Valid]]=TRUE,_xlfn.NORM.S.DIST(Table1[[#This Row],[Birthweight Z-Score (BW-10%)]],TRUE)*100,"")</f>
        <v/>
      </c>
      <c r="L8663" s="7" t="str">
        <f>IF(Table1[[#This Row],[Is Data Valid]]=TRUE,_xlfn.NORM.S.DIST(Table1[[#This Row],[Birthweight Z-Score (BW+10%)]],TRUE)*100,"")</f>
        <v/>
      </c>
    </row>
    <row r="8664" spans="1:12" x14ac:dyDescent="0.35">
      <c r="A8664" s="3"/>
      <c r="B8664" s="2"/>
      <c r="C8664" s="2"/>
      <c r="D8664" s="2" t="b">
        <f>IF(AND(NOT(ISBLANK(Table1[[#This Row],[Fetal Sex (Male, Female or Unknown)]])),ISNUMBER(Table1[[#This Row],[Birthweight (grams)]]),ISNUMBER(Table1[[#This Row],[Gestation (days)]])),TRUE,FALSE)</f>
        <v>0</v>
      </c>
      <c r="E8664" s="2" t="str">
        <f>IF(Table1[[#This Row],[Is Data Valid]]=TRUE,IF(Table1[[#This Row],[Fetal Sex (Male, Female or Unknown)]]="Male",Backend!$C$6,IF(Table1[[#This Row],[Fetal Sex (Male, Female or Unknown)]]="Female",Backend!$C$7,IF(Table1[[#This Row],[Fetal Sex (Male, Female or Unknown)]]="Unknown",Backend!$C$8,"Error"))),"")</f>
        <v/>
      </c>
      <c r="F8664" s="8" t="str">
        <f>IF(Table1[[#This Row],[Is Data Valid]]=TRUE,EXP(0.578+0.332*((Table1[[#This Row],[Gestation (days)]]+0.5)/7)-0.00354*((Table1[[#This Row],[Gestation (days)]]+0.5)/7)^2)*Table1[[#This Row],[BW40_3705]],"")</f>
        <v/>
      </c>
      <c r="G8664" s="2" t="str">
        <f>IF(Table1[[#This Row],[Is Data Valid]]=TRUE,((Table1[[#This Row],[Birthweight (grams)]]/Table1[[#This Row],[BW_GA]])-1)/(Backend!$B$4/100*Table1[[#This Row],[BW40_3705]]),"")</f>
        <v/>
      </c>
      <c r="H8664" s="7" t="str">
        <f>IF(Table1[[#This Row],[Is Data Valid]]=TRUE,((Table1[[#This Row],[Birthweight (grams)]]*0.9/Table1[[#This Row],[BW_GA]])-1)/(Backend!$B$4/100*Table1[[#This Row],[BW40_3705]]),"")</f>
        <v/>
      </c>
      <c r="I8664" s="7" t="str">
        <f>IF(Table1[[#This Row],[Is Data Valid]]=TRUE,((Table1[[#This Row],[Birthweight (grams)]]*1.1/Table1[[#This Row],[BW_GA]])-1)/(Backend!$B$4/100*Table1[[#This Row],[BW40_3705]]),"")</f>
        <v/>
      </c>
      <c r="J8664" s="7" t="str">
        <f>IF(Table1[[#This Row],[Is Data Valid]]=TRUE,_xlfn.NORM.S.DIST(Table1[[#This Row],[Birthweight Z-Score]],TRUE)*100,"")</f>
        <v/>
      </c>
      <c r="K8664" s="7" t="str">
        <f>IF(Table1[[#This Row],[Is Data Valid]]=TRUE,_xlfn.NORM.S.DIST(Table1[[#This Row],[Birthweight Z-Score (BW-10%)]],TRUE)*100,"")</f>
        <v/>
      </c>
      <c r="L8664" s="7" t="str">
        <f>IF(Table1[[#This Row],[Is Data Valid]]=TRUE,_xlfn.NORM.S.DIST(Table1[[#This Row],[Birthweight Z-Score (BW+10%)]],TRUE)*100,"")</f>
        <v/>
      </c>
    </row>
    <row r="8665" spans="1:12" x14ac:dyDescent="0.35">
      <c r="A8665" s="3"/>
      <c r="B8665" s="2"/>
      <c r="C8665" s="2"/>
      <c r="D8665" s="2" t="b">
        <f>IF(AND(NOT(ISBLANK(Table1[[#This Row],[Fetal Sex (Male, Female or Unknown)]])),ISNUMBER(Table1[[#This Row],[Birthweight (grams)]]),ISNUMBER(Table1[[#This Row],[Gestation (days)]])),TRUE,FALSE)</f>
        <v>0</v>
      </c>
      <c r="E8665" s="2" t="str">
        <f>IF(Table1[[#This Row],[Is Data Valid]]=TRUE,IF(Table1[[#This Row],[Fetal Sex (Male, Female or Unknown)]]="Male",Backend!$C$6,IF(Table1[[#This Row],[Fetal Sex (Male, Female or Unknown)]]="Female",Backend!$C$7,IF(Table1[[#This Row],[Fetal Sex (Male, Female or Unknown)]]="Unknown",Backend!$C$8,"Error"))),"")</f>
        <v/>
      </c>
      <c r="F8665" s="8" t="str">
        <f>IF(Table1[[#This Row],[Is Data Valid]]=TRUE,EXP(0.578+0.332*((Table1[[#This Row],[Gestation (days)]]+0.5)/7)-0.00354*((Table1[[#This Row],[Gestation (days)]]+0.5)/7)^2)*Table1[[#This Row],[BW40_3705]],"")</f>
        <v/>
      </c>
      <c r="G8665" s="2" t="str">
        <f>IF(Table1[[#This Row],[Is Data Valid]]=TRUE,((Table1[[#This Row],[Birthweight (grams)]]/Table1[[#This Row],[BW_GA]])-1)/(Backend!$B$4/100*Table1[[#This Row],[BW40_3705]]),"")</f>
        <v/>
      </c>
      <c r="H8665" s="7" t="str">
        <f>IF(Table1[[#This Row],[Is Data Valid]]=TRUE,((Table1[[#This Row],[Birthweight (grams)]]*0.9/Table1[[#This Row],[BW_GA]])-1)/(Backend!$B$4/100*Table1[[#This Row],[BW40_3705]]),"")</f>
        <v/>
      </c>
      <c r="I8665" s="7" t="str">
        <f>IF(Table1[[#This Row],[Is Data Valid]]=TRUE,((Table1[[#This Row],[Birthweight (grams)]]*1.1/Table1[[#This Row],[BW_GA]])-1)/(Backend!$B$4/100*Table1[[#This Row],[BW40_3705]]),"")</f>
        <v/>
      </c>
      <c r="J8665" s="7" t="str">
        <f>IF(Table1[[#This Row],[Is Data Valid]]=TRUE,_xlfn.NORM.S.DIST(Table1[[#This Row],[Birthweight Z-Score]],TRUE)*100,"")</f>
        <v/>
      </c>
      <c r="K8665" s="7" t="str">
        <f>IF(Table1[[#This Row],[Is Data Valid]]=TRUE,_xlfn.NORM.S.DIST(Table1[[#This Row],[Birthweight Z-Score (BW-10%)]],TRUE)*100,"")</f>
        <v/>
      </c>
      <c r="L8665" s="7" t="str">
        <f>IF(Table1[[#This Row],[Is Data Valid]]=TRUE,_xlfn.NORM.S.DIST(Table1[[#This Row],[Birthweight Z-Score (BW+10%)]],TRUE)*100,"")</f>
        <v/>
      </c>
    </row>
    <row r="8666" spans="1:12" x14ac:dyDescent="0.35">
      <c r="A8666" s="3"/>
      <c r="B8666" s="2"/>
      <c r="C8666" s="2"/>
      <c r="D8666" s="2" t="b">
        <f>IF(AND(NOT(ISBLANK(Table1[[#This Row],[Fetal Sex (Male, Female or Unknown)]])),ISNUMBER(Table1[[#This Row],[Birthweight (grams)]]),ISNUMBER(Table1[[#This Row],[Gestation (days)]])),TRUE,FALSE)</f>
        <v>0</v>
      </c>
      <c r="E8666" s="2" t="str">
        <f>IF(Table1[[#This Row],[Is Data Valid]]=TRUE,IF(Table1[[#This Row],[Fetal Sex (Male, Female or Unknown)]]="Male",Backend!$C$6,IF(Table1[[#This Row],[Fetal Sex (Male, Female or Unknown)]]="Female",Backend!$C$7,IF(Table1[[#This Row],[Fetal Sex (Male, Female or Unknown)]]="Unknown",Backend!$C$8,"Error"))),"")</f>
        <v/>
      </c>
      <c r="F8666" s="8" t="str">
        <f>IF(Table1[[#This Row],[Is Data Valid]]=TRUE,EXP(0.578+0.332*((Table1[[#This Row],[Gestation (days)]]+0.5)/7)-0.00354*((Table1[[#This Row],[Gestation (days)]]+0.5)/7)^2)*Table1[[#This Row],[BW40_3705]],"")</f>
        <v/>
      </c>
      <c r="G8666" s="2" t="str">
        <f>IF(Table1[[#This Row],[Is Data Valid]]=TRUE,((Table1[[#This Row],[Birthweight (grams)]]/Table1[[#This Row],[BW_GA]])-1)/(Backend!$B$4/100*Table1[[#This Row],[BW40_3705]]),"")</f>
        <v/>
      </c>
      <c r="H8666" s="7" t="str">
        <f>IF(Table1[[#This Row],[Is Data Valid]]=TRUE,((Table1[[#This Row],[Birthweight (grams)]]*0.9/Table1[[#This Row],[BW_GA]])-1)/(Backend!$B$4/100*Table1[[#This Row],[BW40_3705]]),"")</f>
        <v/>
      </c>
      <c r="I8666" s="7" t="str">
        <f>IF(Table1[[#This Row],[Is Data Valid]]=TRUE,((Table1[[#This Row],[Birthweight (grams)]]*1.1/Table1[[#This Row],[BW_GA]])-1)/(Backend!$B$4/100*Table1[[#This Row],[BW40_3705]]),"")</f>
        <v/>
      </c>
      <c r="J8666" s="7" t="str">
        <f>IF(Table1[[#This Row],[Is Data Valid]]=TRUE,_xlfn.NORM.S.DIST(Table1[[#This Row],[Birthweight Z-Score]],TRUE)*100,"")</f>
        <v/>
      </c>
      <c r="K8666" s="7" t="str">
        <f>IF(Table1[[#This Row],[Is Data Valid]]=TRUE,_xlfn.NORM.S.DIST(Table1[[#This Row],[Birthweight Z-Score (BW-10%)]],TRUE)*100,"")</f>
        <v/>
      </c>
      <c r="L8666" s="7" t="str">
        <f>IF(Table1[[#This Row],[Is Data Valid]]=TRUE,_xlfn.NORM.S.DIST(Table1[[#This Row],[Birthweight Z-Score (BW+10%)]],TRUE)*100,"")</f>
        <v/>
      </c>
    </row>
    <row r="8667" spans="1:12" x14ac:dyDescent="0.35">
      <c r="A8667" s="3"/>
      <c r="B8667" s="2"/>
      <c r="C8667" s="2"/>
      <c r="D8667" s="2" t="b">
        <f>IF(AND(NOT(ISBLANK(Table1[[#This Row],[Fetal Sex (Male, Female or Unknown)]])),ISNUMBER(Table1[[#This Row],[Birthweight (grams)]]),ISNUMBER(Table1[[#This Row],[Gestation (days)]])),TRUE,FALSE)</f>
        <v>0</v>
      </c>
      <c r="E8667" s="2" t="str">
        <f>IF(Table1[[#This Row],[Is Data Valid]]=TRUE,IF(Table1[[#This Row],[Fetal Sex (Male, Female or Unknown)]]="Male",Backend!$C$6,IF(Table1[[#This Row],[Fetal Sex (Male, Female or Unknown)]]="Female",Backend!$C$7,IF(Table1[[#This Row],[Fetal Sex (Male, Female or Unknown)]]="Unknown",Backend!$C$8,"Error"))),"")</f>
        <v/>
      </c>
      <c r="F8667" s="8" t="str">
        <f>IF(Table1[[#This Row],[Is Data Valid]]=TRUE,EXP(0.578+0.332*((Table1[[#This Row],[Gestation (days)]]+0.5)/7)-0.00354*((Table1[[#This Row],[Gestation (days)]]+0.5)/7)^2)*Table1[[#This Row],[BW40_3705]],"")</f>
        <v/>
      </c>
      <c r="G8667" s="2" t="str">
        <f>IF(Table1[[#This Row],[Is Data Valid]]=TRUE,((Table1[[#This Row],[Birthweight (grams)]]/Table1[[#This Row],[BW_GA]])-1)/(Backend!$B$4/100*Table1[[#This Row],[BW40_3705]]),"")</f>
        <v/>
      </c>
      <c r="H8667" s="7" t="str">
        <f>IF(Table1[[#This Row],[Is Data Valid]]=TRUE,((Table1[[#This Row],[Birthweight (grams)]]*0.9/Table1[[#This Row],[BW_GA]])-1)/(Backend!$B$4/100*Table1[[#This Row],[BW40_3705]]),"")</f>
        <v/>
      </c>
      <c r="I8667" s="7" t="str">
        <f>IF(Table1[[#This Row],[Is Data Valid]]=TRUE,((Table1[[#This Row],[Birthweight (grams)]]*1.1/Table1[[#This Row],[BW_GA]])-1)/(Backend!$B$4/100*Table1[[#This Row],[BW40_3705]]),"")</f>
        <v/>
      </c>
      <c r="J8667" s="7" t="str">
        <f>IF(Table1[[#This Row],[Is Data Valid]]=TRUE,_xlfn.NORM.S.DIST(Table1[[#This Row],[Birthweight Z-Score]],TRUE)*100,"")</f>
        <v/>
      </c>
      <c r="K8667" s="7" t="str">
        <f>IF(Table1[[#This Row],[Is Data Valid]]=TRUE,_xlfn.NORM.S.DIST(Table1[[#This Row],[Birthweight Z-Score (BW-10%)]],TRUE)*100,"")</f>
        <v/>
      </c>
      <c r="L8667" s="7" t="str">
        <f>IF(Table1[[#This Row],[Is Data Valid]]=TRUE,_xlfn.NORM.S.DIST(Table1[[#This Row],[Birthweight Z-Score (BW+10%)]],TRUE)*100,"")</f>
        <v/>
      </c>
    </row>
    <row r="8668" spans="1:12" x14ac:dyDescent="0.35">
      <c r="A8668" s="3"/>
      <c r="B8668" s="2"/>
      <c r="C8668" s="2"/>
      <c r="D8668" s="2" t="b">
        <f>IF(AND(NOT(ISBLANK(Table1[[#This Row],[Fetal Sex (Male, Female or Unknown)]])),ISNUMBER(Table1[[#This Row],[Birthweight (grams)]]),ISNUMBER(Table1[[#This Row],[Gestation (days)]])),TRUE,FALSE)</f>
        <v>0</v>
      </c>
      <c r="E8668" s="2" t="str">
        <f>IF(Table1[[#This Row],[Is Data Valid]]=TRUE,IF(Table1[[#This Row],[Fetal Sex (Male, Female or Unknown)]]="Male",Backend!$C$6,IF(Table1[[#This Row],[Fetal Sex (Male, Female or Unknown)]]="Female",Backend!$C$7,IF(Table1[[#This Row],[Fetal Sex (Male, Female or Unknown)]]="Unknown",Backend!$C$8,"Error"))),"")</f>
        <v/>
      </c>
      <c r="F8668" s="8" t="str">
        <f>IF(Table1[[#This Row],[Is Data Valid]]=TRUE,EXP(0.578+0.332*((Table1[[#This Row],[Gestation (days)]]+0.5)/7)-0.00354*((Table1[[#This Row],[Gestation (days)]]+0.5)/7)^2)*Table1[[#This Row],[BW40_3705]],"")</f>
        <v/>
      </c>
      <c r="G8668" s="2" t="str">
        <f>IF(Table1[[#This Row],[Is Data Valid]]=TRUE,((Table1[[#This Row],[Birthweight (grams)]]/Table1[[#This Row],[BW_GA]])-1)/(Backend!$B$4/100*Table1[[#This Row],[BW40_3705]]),"")</f>
        <v/>
      </c>
      <c r="H8668" s="7" t="str">
        <f>IF(Table1[[#This Row],[Is Data Valid]]=TRUE,((Table1[[#This Row],[Birthweight (grams)]]*0.9/Table1[[#This Row],[BW_GA]])-1)/(Backend!$B$4/100*Table1[[#This Row],[BW40_3705]]),"")</f>
        <v/>
      </c>
      <c r="I8668" s="7" t="str">
        <f>IF(Table1[[#This Row],[Is Data Valid]]=TRUE,((Table1[[#This Row],[Birthweight (grams)]]*1.1/Table1[[#This Row],[BW_GA]])-1)/(Backend!$B$4/100*Table1[[#This Row],[BW40_3705]]),"")</f>
        <v/>
      </c>
      <c r="J8668" s="7" t="str">
        <f>IF(Table1[[#This Row],[Is Data Valid]]=TRUE,_xlfn.NORM.S.DIST(Table1[[#This Row],[Birthweight Z-Score]],TRUE)*100,"")</f>
        <v/>
      </c>
      <c r="K8668" s="7" t="str">
        <f>IF(Table1[[#This Row],[Is Data Valid]]=TRUE,_xlfn.NORM.S.DIST(Table1[[#This Row],[Birthweight Z-Score (BW-10%)]],TRUE)*100,"")</f>
        <v/>
      </c>
      <c r="L8668" s="7" t="str">
        <f>IF(Table1[[#This Row],[Is Data Valid]]=TRUE,_xlfn.NORM.S.DIST(Table1[[#This Row],[Birthweight Z-Score (BW+10%)]],TRUE)*100,"")</f>
        <v/>
      </c>
    </row>
    <row r="8669" spans="1:12" x14ac:dyDescent="0.35">
      <c r="A8669" s="3"/>
      <c r="B8669" s="2"/>
      <c r="C8669" s="2"/>
      <c r="D8669" s="2" t="b">
        <f>IF(AND(NOT(ISBLANK(Table1[[#This Row],[Fetal Sex (Male, Female or Unknown)]])),ISNUMBER(Table1[[#This Row],[Birthweight (grams)]]),ISNUMBER(Table1[[#This Row],[Gestation (days)]])),TRUE,FALSE)</f>
        <v>0</v>
      </c>
      <c r="E8669" s="2" t="str">
        <f>IF(Table1[[#This Row],[Is Data Valid]]=TRUE,IF(Table1[[#This Row],[Fetal Sex (Male, Female or Unknown)]]="Male",Backend!$C$6,IF(Table1[[#This Row],[Fetal Sex (Male, Female or Unknown)]]="Female",Backend!$C$7,IF(Table1[[#This Row],[Fetal Sex (Male, Female or Unknown)]]="Unknown",Backend!$C$8,"Error"))),"")</f>
        <v/>
      </c>
      <c r="F8669" s="8" t="str">
        <f>IF(Table1[[#This Row],[Is Data Valid]]=TRUE,EXP(0.578+0.332*((Table1[[#This Row],[Gestation (days)]]+0.5)/7)-0.00354*((Table1[[#This Row],[Gestation (days)]]+0.5)/7)^2)*Table1[[#This Row],[BW40_3705]],"")</f>
        <v/>
      </c>
      <c r="G8669" s="2" t="str">
        <f>IF(Table1[[#This Row],[Is Data Valid]]=TRUE,((Table1[[#This Row],[Birthweight (grams)]]/Table1[[#This Row],[BW_GA]])-1)/(Backend!$B$4/100*Table1[[#This Row],[BW40_3705]]),"")</f>
        <v/>
      </c>
      <c r="H8669" s="7" t="str">
        <f>IF(Table1[[#This Row],[Is Data Valid]]=TRUE,((Table1[[#This Row],[Birthweight (grams)]]*0.9/Table1[[#This Row],[BW_GA]])-1)/(Backend!$B$4/100*Table1[[#This Row],[BW40_3705]]),"")</f>
        <v/>
      </c>
      <c r="I8669" s="7" t="str">
        <f>IF(Table1[[#This Row],[Is Data Valid]]=TRUE,((Table1[[#This Row],[Birthweight (grams)]]*1.1/Table1[[#This Row],[BW_GA]])-1)/(Backend!$B$4/100*Table1[[#This Row],[BW40_3705]]),"")</f>
        <v/>
      </c>
      <c r="J8669" s="7" t="str">
        <f>IF(Table1[[#This Row],[Is Data Valid]]=TRUE,_xlfn.NORM.S.DIST(Table1[[#This Row],[Birthweight Z-Score]],TRUE)*100,"")</f>
        <v/>
      </c>
      <c r="K8669" s="7" t="str">
        <f>IF(Table1[[#This Row],[Is Data Valid]]=TRUE,_xlfn.NORM.S.DIST(Table1[[#This Row],[Birthweight Z-Score (BW-10%)]],TRUE)*100,"")</f>
        <v/>
      </c>
      <c r="L8669" s="7" t="str">
        <f>IF(Table1[[#This Row],[Is Data Valid]]=TRUE,_xlfn.NORM.S.DIST(Table1[[#This Row],[Birthweight Z-Score (BW+10%)]],TRUE)*100,"")</f>
        <v/>
      </c>
    </row>
    <row r="8670" spans="1:12" x14ac:dyDescent="0.35">
      <c r="A8670" s="3"/>
      <c r="B8670" s="2"/>
      <c r="C8670" s="2"/>
      <c r="D8670" s="2" t="b">
        <f>IF(AND(NOT(ISBLANK(Table1[[#This Row],[Fetal Sex (Male, Female or Unknown)]])),ISNUMBER(Table1[[#This Row],[Birthweight (grams)]]),ISNUMBER(Table1[[#This Row],[Gestation (days)]])),TRUE,FALSE)</f>
        <v>0</v>
      </c>
      <c r="E8670" s="2" t="str">
        <f>IF(Table1[[#This Row],[Is Data Valid]]=TRUE,IF(Table1[[#This Row],[Fetal Sex (Male, Female or Unknown)]]="Male",Backend!$C$6,IF(Table1[[#This Row],[Fetal Sex (Male, Female or Unknown)]]="Female",Backend!$C$7,IF(Table1[[#This Row],[Fetal Sex (Male, Female or Unknown)]]="Unknown",Backend!$C$8,"Error"))),"")</f>
        <v/>
      </c>
      <c r="F8670" s="8" t="str">
        <f>IF(Table1[[#This Row],[Is Data Valid]]=TRUE,EXP(0.578+0.332*((Table1[[#This Row],[Gestation (days)]]+0.5)/7)-0.00354*((Table1[[#This Row],[Gestation (days)]]+0.5)/7)^2)*Table1[[#This Row],[BW40_3705]],"")</f>
        <v/>
      </c>
      <c r="G8670" s="2" t="str">
        <f>IF(Table1[[#This Row],[Is Data Valid]]=TRUE,((Table1[[#This Row],[Birthweight (grams)]]/Table1[[#This Row],[BW_GA]])-1)/(Backend!$B$4/100*Table1[[#This Row],[BW40_3705]]),"")</f>
        <v/>
      </c>
      <c r="H8670" s="7" t="str">
        <f>IF(Table1[[#This Row],[Is Data Valid]]=TRUE,((Table1[[#This Row],[Birthweight (grams)]]*0.9/Table1[[#This Row],[BW_GA]])-1)/(Backend!$B$4/100*Table1[[#This Row],[BW40_3705]]),"")</f>
        <v/>
      </c>
      <c r="I8670" s="7" t="str">
        <f>IF(Table1[[#This Row],[Is Data Valid]]=TRUE,((Table1[[#This Row],[Birthweight (grams)]]*1.1/Table1[[#This Row],[BW_GA]])-1)/(Backend!$B$4/100*Table1[[#This Row],[BW40_3705]]),"")</f>
        <v/>
      </c>
      <c r="J8670" s="7" t="str">
        <f>IF(Table1[[#This Row],[Is Data Valid]]=TRUE,_xlfn.NORM.S.DIST(Table1[[#This Row],[Birthweight Z-Score]],TRUE)*100,"")</f>
        <v/>
      </c>
      <c r="K8670" s="7" t="str">
        <f>IF(Table1[[#This Row],[Is Data Valid]]=TRUE,_xlfn.NORM.S.DIST(Table1[[#This Row],[Birthweight Z-Score (BW-10%)]],TRUE)*100,"")</f>
        <v/>
      </c>
      <c r="L8670" s="7" t="str">
        <f>IF(Table1[[#This Row],[Is Data Valid]]=TRUE,_xlfn.NORM.S.DIST(Table1[[#This Row],[Birthweight Z-Score (BW+10%)]],TRUE)*100,"")</f>
        <v/>
      </c>
    </row>
    <row r="8671" spans="1:12" x14ac:dyDescent="0.35">
      <c r="A8671" s="3"/>
      <c r="B8671" s="2"/>
      <c r="C8671" s="2"/>
      <c r="D8671" s="2" t="b">
        <f>IF(AND(NOT(ISBLANK(Table1[[#This Row],[Fetal Sex (Male, Female or Unknown)]])),ISNUMBER(Table1[[#This Row],[Birthweight (grams)]]),ISNUMBER(Table1[[#This Row],[Gestation (days)]])),TRUE,FALSE)</f>
        <v>0</v>
      </c>
      <c r="E8671" s="2" t="str">
        <f>IF(Table1[[#This Row],[Is Data Valid]]=TRUE,IF(Table1[[#This Row],[Fetal Sex (Male, Female or Unknown)]]="Male",Backend!$C$6,IF(Table1[[#This Row],[Fetal Sex (Male, Female or Unknown)]]="Female",Backend!$C$7,IF(Table1[[#This Row],[Fetal Sex (Male, Female or Unknown)]]="Unknown",Backend!$C$8,"Error"))),"")</f>
        <v/>
      </c>
      <c r="F8671" s="8" t="str">
        <f>IF(Table1[[#This Row],[Is Data Valid]]=TRUE,EXP(0.578+0.332*((Table1[[#This Row],[Gestation (days)]]+0.5)/7)-0.00354*((Table1[[#This Row],[Gestation (days)]]+0.5)/7)^2)*Table1[[#This Row],[BW40_3705]],"")</f>
        <v/>
      </c>
      <c r="G8671" s="2" t="str">
        <f>IF(Table1[[#This Row],[Is Data Valid]]=TRUE,((Table1[[#This Row],[Birthweight (grams)]]/Table1[[#This Row],[BW_GA]])-1)/(Backend!$B$4/100*Table1[[#This Row],[BW40_3705]]),"")</f>
        <v/>
      </c>
      <c r="H8671" s="7" t="str">
        <f>IF(Table1[[#This Row],[Is Data Valid]]=TRUE,((Table1[[#This Row],[Birthweight (grams)]]*0.9/Table1[[#This Row],[BW_GA]])-1)/(Backend!$B$4/100*Table1[[#This Row],[BW40_3705]]),"")</f>
        <v/>
      </c>
      <c r="I8671" s="7" t="str">
        <f>IF(Table1[[#This Row],[Is Data Valid]]=TRUE,((Table1[[#This Row],[Birthweight (grams)]]*1.1/Table1[[#This Row],[BW_GA]])-1)/(Backend!$B$4/100*Table1[[#This Row],[BW40_3705]]),"")</f>
        <v/>
      </c>
      <c r="J8671" s="7" t="str">
        <f>IF(Table1[[#This Row],[Is Data Valid]]=TRUE,_xlfn.NORM.S.DIST(Table1[[#This Row],[Birthweight Z-Score]],TRUE)*100,"")</f>
        <v/>
      </c>
      <c r="K8671" s="7" t="str">
        <f>IF(Table1[[#This Row],[Is Data Valid]]=TRUE,_xlfn.NORM.S.DIST(Table1[[#This Row],[Birthweight Z-Score (BW-10%)]],TRUE)*100,"")</f>
        <v/>
      </c>
      <c r="L8671" s="7" t="str">
        <f>IF(Table1[[#This Row],[Is Data Valid]]=TRUE,_xlfn.NORM.S.DIST(Table1[[#This Row],[Birthweight Z-Score (BW+10%)]],TRUE)*100,"")</f>
        <v/>
      </c>
    </row>
    <row r="8672" spans="1:12" x14ac:dyDescent="0.35">
      <c r="A8672" s="3"/>
      <c r="B8672" s="2"/>
      <c r="C8672" s="2"/>
      <c r="D8672" s="2" t="b">
        <f>IF(AND(NOT(ISBLANK(Table1[[#This Row],[Fetal Sex (Male, Female or Unknown)]])),ISNUMBER(Table1[[#This Row],[Birthweight (grams)]]),ISNUMBER(Table1[[#This Row],[Gestation (days)]])),TRUE,FALSE)</f>
        <v>0</v>
      </c>
      <c r="E8672" s="2" t="str">
        <f>IF(Table1[[#This Row],[Is Data Valid]]=TRUE,IF(Table1[[#This Row],[Fetal Sex (Male, Female or Unknown)]]="Male",Backend!$C$6,IF(Table1[[#This Row],[Fetal Sex (Male, Female or Unknown)]]="Female",Backend!$C$7,IF(Table1[[#This Row],[Fetal Sex (Male, Female or Unknown)]]="Unknown",Backend!$C$8,"Error"))),"")</f>
        <v/>
      </c>
      <c r="F8672" s="8" t="str">
        <f>IF(Table1[[#This Row],[Is Data Valid]]=TRUE,EXP(0.578+0.332*((Table1[[#This Row],[Gestation (days)]]+0.5)/7)-0.00354*((Table1[[#This Row],[Gestation (days)]]+0.5)/7)^2)*Table1[[#This Row],[BW40_3705]],"")</f>
        <v/>
      </c>
      <c r="G8672" s="2" t="str">
        <f>IF(Table1[[#This Row],[Is Data Valid]]=TRUE,((Table1[[#This Row],[Birthweight (grams)]]/Table1[[#This Row],[BW_GA]])-1)/(Backend!$B$4/100*Table1[[#This Row],[BW40_3705]]),"")</f>
        <v/>
      </c>
      <c r="H8672" s="7" t="str">
        <f>IF(Table1[[#This Row],[Is Data Valid]]=TRUE,((Table1[[#This Row],[Birthweight (grams)]]*0.9/Table1[[#This Row],[BW_GA]])-1)/(Backend!$B$4/100*Table1[[#This Row],[BW40_3705]]),"")</f>
        <v/>
      </c>
      <c r="I8672" s="7" t="str">
        <f>IF(Table1[[#This Row],[Is Data Valid]]=TRUE,((Table1[[#This Row],[Birthweight (grams)]]*1.1/Table1[[#This Row],[BW_GA]])-1)/(Backend!$B$4/100*Table1[[#This Row],[BW40_3705]]),"")</f>
        <v/>
      </c>
      <c r="J8672" s="7" t="str">
        <f>IF(Table1[[#This Row],[Is Data Valid]]=TRUE,_xlfn.NORM.S.DIST(Table1[[#This Row],[Birthweight Z-Score]],TRUE)*100,"")</f>
        <v/>
      </c>
      <c r="K8672" s="7" t="str">
        <f>IF(Table1[[#This Row],[Is Data Valid]]=TRUE,_xlfn.NORM.S.DIST(Table1[[#This Row],[Birthweight Z-Score (BW-10%)]],TRUE)*100,"")</f>
        <v/>
      </c>
      <c r="L8672" s="7" t="str">
        <f>IF(Table1[[#This Row],[Is Data Valid]]=TRUE,_xlfn.NORM.S.DIST(Table1[[#This Row],[Birthweight Z-Score (BW+10%)]],TRUE)*100,"")</f>
        <v/>
      </c>
    </row>
    <row r="8673" spans="1:12" x14ac:dyDescent="0.35">
      <c r="A8673" s="3"/>
      <c r="B8673" s="2"/>
      <c r="C8673" s="2"/>
      <c r="D8673" s="2" t="b">
        <f>IF(AND(NOT(ISBLANK(Table1[[#This Row],[Fetal Sex (Male, Female or Unknown)]])),ISNUMBER(Table1[[#This Row],[Birthweight (grams)]]),ISNUMBER(Table1[[#This Row],[Gestation (days)]])),TRUE,FALSE)</f>
        <v>0</v>
      </c>
      <c r="E8673" s="2" t="str">
        <f>IF(Table1[[#This Row],[Is Data Valid]]=TRUE,IF(Table1[[#This Row],[Fetal Sex (Male, Female or Unknown)]]="Male",Backend!$C$6,IF(Table1[[#This Row],[Fetal Sex (Male, Female or Unknown)]]="Female",Backend!$C$7,IF(Table1[[#This Row],[Fetal Sex (Male, Female or Unknown)]]="Unknown",Backend!$C$8,"Error"))),"")</f>
        <v/>
      </c>
      <c r="F8673" s="8" t="str">
        <f>IF(Table1[[#This Row],[Is Data Valid]]=TRUE,EXP(0.578+0.332*((Table1[[#This Row],[Gestation (days)]]+0.5)/7)-0.00354*((Table1[[#This Row],[Gestation (days)]]+0.5)/7)^2)*Table1[[#This Row],[BW40_3705]],"")</f>
        <v/>
      </c>
      <c r="G8673" s="2" t="str">
        <f>IF(Table1[[#This Row],[Is Data Valid]]=TRUE,((Table1[[#This Row],[Birthweight (grams)]]/Table1[[#This Row],[BW_GA]])-1)/(Backend!$B$4/100*Table1[[#This Row],[BW40_3705]]),"")</f>
        <v/>
      </c>
      <c r="H8673" s="7" t="str">
        <f>IF(Table1[[#This Row],[Is Data Valid]]=TRUE,((Table1[[#This Row],[Birthweight (grams)]]*0.9/Table1[[#This Row],[BW_GA]])-1)/(Backend!$B$4/100*Table1[[#This Row],[BW40_3705]]),"")</f>
        <v/>
      </c>
      <c r="I8673" s="7" t="str">
        <f>IF(Table1[[#This Row],[Is Data Valid]]=TRUE,((Table1[[#This Row],[Birthweight (grams)]]*1.1/Table1[[#This Row],[BW_GA]])-1)/(Backend!$B$4/100*Table1[[#This Row],[BW40_3705]]),"")</f>
        <v/>
      </c>
      <c r="J8673" s="7" t="str">
        <f>IF(Table1[[#This Row],[Is Data Valid]]=TRUE,_xlfn.NORM.S.DIST(Table1[[#This Row],[Birthweight Z-Score]],TRUE)*100,"")</f>
        <v/>
      </c>
      <c r="K8673" s="7" t="str">
        <f>IF(Table1[[#This Row],[Is Data Valid]]=TRUE,_xlfn.NORM.S.DIST(Table1[[#This Row],[Birthweight Z-Score (BW-10%)]],TRUE)*100,"")</f>
        <v/>
      </c>
      <c r="L8673" s="7" t="str">
        <f>IF(Table1[[#This Row],[Is Data Valid]]=TRUE,_xlfn.NORM.S.DIST(Table1[[#This Row],[Birthweight Z-Score (BW+10%)]],TRUE)*100,"")</f>
        <v/>
      </c>
    </row>
    <row r="8674" spans="1:12" x14ac:dyDescent="0.35">
      <c r="A8674" s="3"/>
      <c r="B8674" s="2"/>
      <c r="C8674" s="2"/>
      <c r="D8674" s="2" t="b">
        <f>IF(AND(NOT(ISBLANK(Table1[[#This Row],[Fetal Sex (Male, Female or Unknown)]])),ISNUMBER(Table1[[#This Row],[Birthweight (grams)]]),ISNUMBER(Table1[[#This Row],[Gestation (days)]])),TRUE,FALSE)</f>
        <v>0</v>
      </c>
      <c r="E8674" s="2" t="str">
        <f>IF(Table1[[#This Row],[Is Data Valid]]=TRUE,IF(Table1[[#This Row],[Fetal Sex (Male, Female or Unknown)]]="Male",Backend!$C$6,IF(Table1[[#This Row],[Fetal Sex (Male, Female or Unknown)]]="Female",Backend!$C$7,IF(Table1[[#This Row],[Fetal Sex (Male, Female or Unknown)]]="Unknown",Backend!$C$8,"Error"))),"")</f>
        <v/>
      </c>
      <c r="F8674" s="8" t="str">
        <f>IF(Table1[[#This Row],[Is Data Valid]]=TRUE,EXP(0.578+0.332*((Table1[[#This Row],[Gestation (days)]]+0.5)/7)-0.00354*((Table1[[#This Row],[Gestation (days)]]+0.5)/7)^2)*Table1[[#This Row],[BW40_3705]],"")</f>
        <v/>
      </c>
      <c r="G8674" s="2" t="str">
        <f>IF(Table1[[#This Row],[Is Data Valid]]=TRUE,((Table1[[#This Row],[Birthweight (grams)]]/Table1[[#This Row],[BW_GA]])-1)/(Backend!$B$4/100*Table1[[#This Row],[BW40_3705]]),"")</f>
        <v/>
      </c>
      <c r="H8674" s="7" t="str">
        <f>IF(Table1[[#This Row],[Is Data Valid]]=TRUE,((Table1[[#This Row],[Birthweight (grams)]]*0.9/Table1[[#This Row],[BW_GA]])-1)/(Backend!$B$4/100*Table1[[#This Row],[BW40_3705]]),"")</f>
        <v/>
      </c>
      <c r="I8674" s="7" t="str">
        <f>IF(Table1[[#This Row],[Is Data Valid]]=TRUE,((Table1[[#This Row],[Birthweight (grams)]]*1.1/Table1[[#This Row],[BW_GA]])-1)/(Backend!$B$4/100*Table1[[#This Row],[BW40_3705]]),"")</f>
        <v/>
      </c>
      <c r="J8674" s="7" t="str">
        <f>IF(Table1[[#This Row],[Is Data Valid]]=TRUE,_xlfn.NORM.S.DIST(Table1[[#This Row],[Birthweight Z-Score]],TRUE)*100,"")</f>
        <v/>
      </c>
      <c r="K8674" s="7" t="str">
        <f>IF(Table1[[#This Row],[Is Data Valid]]=TRUE,_xlfn.NORM.S.DIST(Table1[[#This Row],[Birthweight Z-Score (BW-10%)]],TRUE)*100,"")</f>
        <v/>
      </c>
      <c r="L8674" s="7" t="str">
        <f>IF(Table1[[#This Row],[Is Data Valid]]=TRUE,_xlfn.NORM.S.DIST(Table1[[#This Row],[Birthweight Z-Score (BW+10%)]],TRUE)*100,"")</f>
        <v/>
      </c>
    </row>
    <row r="8675" spans="1:12" x14ac:dyDescent="0.35">
      <c r="A8675" s="3"/>
      <c r="B8675" s="2"/>
      <c r="C8675" s="2"/>
      <c r="D8675" s="2" t="b">
        <f>IF(AND(NOT(ISBLANK(Table1[[#This Row],[Fetal Sex (Male, Female or Unknown)]])),ISNUMBER(Table1[[#This Row],[Birthweight (grams)]]),ISNUMBER(Table1[[#This Row],[Gestation (days)]])),TRUE,FALSE)</f>
        <v>0</v>
      </c>
      <c r="E8675" s="2" t="str">
        <f>IF(Table1[[#This Row],[Is Data Valid]]=TRUE,IF(Table1[[#This Row],[Fetal Sex (Male, Female or Unknown)]]="Male",Backend!$C$6,IF(Table1[[#This Row],[Fetal Sex (Male, Female or Unknown)]]="Female",Backend!$C$7,IF(Table1[[#This Row],[Fetal Sex (Male, Female or Unknown)]]="Unknown",Backend!$C$8,"Error"))),"")</f>
        <v/>
      </c>
      <c r="F8675" s="8" t="str">
        <f>IF(Table1[[#This Row],[Is Data Valid]]=TRUE,EXP(0.578+0.332*((Table1[[#This Row],[Gestation (days)]]+0.5)/7)-0.00354*((Table1[[#This Row],[Gestation (days)]]+0.5)/7)^2)*Table1[[#This Row],[BW40_3705]],"")</f>
        <v/>
      </c>
      <c r="G8675" s="2" t="str">
        <f>IF(Table1[[#This Row],[Is Data Valid]]=TRUE,((Table1[[#This Row],[Birthweight (grams)]]/Table1[[#This Row],[BW_GA]])-1)/(Backend!$B$4/100*Table1[[#This Row],[BW40_3705]]),"")</f>
        <v/>
      </c>
      <c r="H8675" s="7" t="str">
        <f>IF(Table1[[#This Row],[Is Data Valid]]=TRUE,((Table1[[#This Row],[Birthweight (grams)]]*0.9/Table1[[#This Row],[BW_GA]])-1)/(Backend!$B$4/100*Table1[[#This Row],[BW40_3705]]),"")</f>
        <v/>
      </c>
      <c r="I8675" s="7" t="str">
        <f>IF(Table1[[#This Row],[Is Data Valid]]=TRUE,((Table1[[#This Row],[Birthweight (grams)]]*1.1/Table1[[#This Row],[BW_GA]])-1)/(Backend!$B$4/100*Table1[[#This Row],[BW40_3705]]),"")</f>
        <v/>
      </c>
      <c r="J8675" s="7" t="str">
        <f>IF(Table1[[#This Row],[Is Data Valid]]=TRUE,_xlfn.NORM.S.DIST(Table1[[#This Row],[Birthweight Z-Score]],TRUE)*100,"")</f>
        <v/>
      </c>
      <c r="K8675" s="7" t="str">
        <f>IF(Table1[[#This Row],[Is Data Valid]]=TRUE,_xlfn.NORM.S.DIST(Table1[[#This Row],[Birthweight Z-Score (BW-10%)]],TRUE)*100,"")</f>
        <v/>
      </c>
      <c r="L8675" s="7" t="str">
        <f>IF(Table1[[#This Row],[Is Data Valid]]=TRUE,_xlfn.NORM.S.DIST(Table1[[#This Row],[Birthweight Z-Score (BW+10%)]],TRUE)*100,"")</f>
        <v/>
      </c>
    </row>
    <row r="8676" spans="1:12" x14ac:dyDescent="0.35">
      <c r="A8676" s="3"/>
      <c r="B8676" s="2"/>
      <c r="C8676" s="2"/>
      <c r="D8676" s="2" t="b">
        <f>IF(AND(NOT(ISBLANK(Table1[[#This Row],[Fetal Sex (Male, Female or Unknown)]])),ISNUMBER(Table1[[#This Row],[Birthweight (grams)]]),ISNUMBER(Table1[[#This Row],[Gestation (days)]])),TRUE,FALSE)</f>
        <v>0</v>
      </c>
      <c r="E8676" s="2" t="str">
        <f>IF(Table1[[#This Row],[Is Data Valid]]=TRUE,IF(Table1[[#This Row],[Fetal Sex (Male, Female or Unknown)]]="Male",Backend!$C$6,IF(Table1[[#This Row],[Fetal Sex (Male, Female or Unknown)]]="Female",Backend!$C$7,IF(Table1[[#This Row],[Fetal Sex (Male, Female or Unknown)]]="Unknown",Backend!$C$8,"Error"))),"")</f>
        <v/>
      </c>
      <c r="F8676" s="8" t="str">
        <f>IF(Table1[[#This Row],[Is Data Valid]]=TRUE,EXP(0.578+0.332*((Table1[[#This Row],[Gestation (days)]]+0.5)/7)-0.00354*((Table1[[#This Row],[Gestation (days)]]+0.5)/7)^2)*Table1[[#This Row],[BW40_3705]],"")</f>
        <v/>
      </c>
      <c r="G8676" s="2" t="str">
        <f>IF(Table1[[#This Row],[Is Data Valid]]=TRUE,((Table1[[#This Row],[Birthweight (grams)]]/Table1[[#This Row],[BW_GA]])-1)/(Backend!$B$4/100*Table1[[#This Row],[BW40_3705]]),"")</f>
        <v/>
      </c>
      <c r="H8676" s="7" t="str">
        <f>IF(Table1[[#This Row],[Is Data Valid]]=TRUE,((Table1[[#This Row],[Birthweight (grams)]]*0.9/Table1[[#This Row],[BW_GA]])-1)/(Backend!$B$4/100*Table1[[#This Row],[BW40_3705]]),"")</f>
        <v/>
      </c>
      <c r="I8676" s="7" t="str">
        <f>IF(Table1[[#This Row],[Is Data Valid]]=TRUE,((Table1[[#This Row],[Birthweight (grams)]]*1.1/Table1[[#This Row],[BW_GA]])-1)/(Backend!$B$4/100*Table1[[#This Row],[BW40_3705]]),"")</f>
        <v/>
      </c>
      <c r="J8676" s="7" t="str">
        <f>IF(Table1[[#This Row],[Is Data Valid]]=TRUE,_xlfn.NORM.S.DIST(Table1[[#This Row],[Birthweight Z-Score]],TRUE)*100,"")</f>
        <v/>
      </c>
      <c r="K8676" s="7" t="str">
        <f>IF(Table1[[#This Row],[Is Data Valid]]=TRUE,_xlfn.NORM.S.DIST(Table1[[#This Row],[Birthweight Z-Score (BW-10%)]],TRUE)*100,"")</f>
        <v/>
      </c>
      <c r="L8676" s="7" t="str">
        <f>IF(Table1[[#This Row],[Is Data Valid]]=TRUE,_xlfn.NORM.S.DIST(Table1[[#This Row],[Birthweight Z-Score (BW+10%)]],TRUE)*100,"")</f>
        <v/>
      </c>
    </row>
    <row r="8677" spans="1:12" x14ac:dyDescent="0.35">
      <c r="A8677" s="3"/>
      <c r="B8677" s="2"/>
      <c r="C8677" s="2"/>
      <c r="D8677" s="2" t="b">
        <f>IF(AND(NOT(ISBLANK(Table1[[#This Row],[Fetal Sex (Male, Female or Unknown)]])),ISNUMBER(Table1[[#This Row],[Birthweight (grams)]]),ISNUMBER(Table1[[#This Row],[Gestation (days)]])),TRUE,FALSE)</f>
        <v>0</v>
      </c>
      <c r="E8677" s="2" t="str">
        <f>IF(Table1[[#This Row],[Is Data Valid]]=TRUE,IF(Table1[[#This Row],[Fetal Sex (Male, Female or Unknown)]]="Male",Backend!$C$6,IF(Table1[[#This Row],[Fetal Sex (Male, Female or Unknown)]]="Female",Backend!$C$7,IF(Table1[[#This Row],[Fetal Sex (Male, Female or Unknown)]]="Unknown",Backend!$C$8,"Error"))),"")</f>
        <v/>
      </c>
      <c r="F8677" s="8" t="str">
        <f>IF(Table1[[#This Row],[Is Data Valid]]=TRUE,EXP(0.578+0.332*((Table1[[#This Row],[Gestation (days)]]+0.5)/7)-0.00354*((Table1[[#This Row],[Gestation (days)]]+0.5)/7)^2)*Table1[[#This Row],[BW40_3705]],"")</f>
        <v/>
      </c>
      <c r="G8677" s="2" t="str">
        <f>IF(Table1[[#This Row],[Is Data Valid]]=TRUE,((Table1[[#This Row],[Birthweight (grams)]]/Table1[[#This Row],[BW_GA]])-1)/(Backend!$B$4/100*Table1[[#This Row],[BW40_3705]]),"")</f>
        <v/>
      </c>
      <c r="H8677" s="7" t="str">
        <f>IF(Table1[[#This Row],[Is Data Valid]]=TRUE,((Table1[[#This Row],[Birthweight (grams)]]*0.9/Table1[[#This Row],[BW_GA]])-1)/(Backend!$B$4/100*Table1[[#This Row],[BW40_3705]]),"")</f>
        <v/>
      </c>
      <c r="I8677" s="7" t="str">
        <f>IF(Table1[[#This Row],[Is Data Valid]]=TRUE,((Table1[[#This Row],[Birthweight (grams)]]*1.1/Table1[[#This Row],[BW_GA]])-1)/(Backend!$B$4/100*Table1[[#This Row],[BW40_3705]]),"")</f>
        <v/>
      </c>
      <c r="J8677" s="7" t="str">
        <f>IF(Table1[[#This Row],[Is Data Valid]]=TRUE,_xlfn.NORM.S.DIST(Table1[[#This Row],[Birthweight Z-Score]],TRUE)*100,"")</f>
        <v/>
      </c>
      <c r="K8677" s="7" t="str">
        <f>IF(Table1[[#This Row],[Is Data Valid]]=TRUE,_xlfn.NORM.S.DIST(Table1[[#This Row],[Birthweight Z-Score (BW-10%)]],TRUE)*100,"")</f>
        <v/>
      </c>
      <c r="L8677" s="7" t="str">
        <f>IF(Table1[[#This Row],[Is Data Valid]]=TRUE,_xlfn.NORM.S.DIST(Table1[[#This Row],[Birthweight Z-Score (BW+10%)]],TRUE)*100,"")</f>
        <v/>
      </c>
    </row>
    <row r="8678" spans="1:12" x14ac:dyDescent="0.35">
      <c r="A8678" s="3"/>
      <c r="B8678" s="2"/>
      <c r="C8678" s="2"/>
      <c r="D8678" s="2" t="b">
        <f>IF(AND(NOT(ISBLANK(Table1[[#This Row],[Fetal Sex (Male, Female or Unknown)]])),ISNUMBER(Table1[[#This Row],[Birthweight (grams)]]),ISNUMBER(Table1[[#This Row],[Gestation (days)]])),TRUE,FALSE)</f>
        <v>0</v>
      </c>
      <c r="E8678" s="2" t="str">
        <f>IF(Table1[[#This Row],[Is Data Valid]]=TRUE,IF(Table1[[#This Row],[Fetal Sex (Male, Female or Unknown)]]="Male",Backend!$C$6,IF(Table1[[#This Row],[Fetal Sex (Male, Female or Unknown)]]="Female",Backend!$C$7,IF(Table1[[#This Row],[Fetal Sex (Male, Female or Unknown)]]="Unknown",Backend!$C$8,"Error"))),"")</f>
        <v/>
      </c>
      <c r="F8678" s="8" t="str">
        <f>IF(Table1[[#This Row],[Is Data Valid]]=TRUE,EXP(0.578+0.332*((Table1[[#This Row],[Gestation (days)]]+0.5)/7)-0.00354*((Table1[[#This Row],[Gestation (days)]]+0.5)/7)^2)*Table1[[#This Row],[BW40_3705]],"")</f>
        <v/>
      </c>
      <c r="G8678" s="2" t="str">
        <f>IF(Table1[[#This Row],[Is Data Valid]]=TRUE,((Table1[[#This Row],[Birthweight (grams)]]/Table1[[#This Row],[BW_GA]])-1)/(Backend!$B$4/100*Table1[[#This Row],[BW40_3705]]),"")</f>
        <v/>
      </c>
      <c r="H8678" s="7" t="str">
        <f>IF(Table1[[#This Row],[Is Data Valid]]=TRUE,((Table1[[#This Row],[Birthweight (grams)]]*0.9/Table1[[#This Row],[BW_GA]])-1)/(Backend!$B$4/100*Table1[[#This Row],[BW40_3705]]),"")</f>
        <v/>
      </c>
      <c r="I8678" s="7" t="str">
        <f>IF(Table1[[#This Row],[Is Data Valid]]=TRUE,((Table1[[#This Row],[Birthweight (grams)]]*1.1/Table1[[#This Row],[BW_GA]])-1)/(Backend!$B$4/100*Table1[[#This Row],[BW40_3705]]),"")</f>
        <v/>
      </c>
      <c r="J8678" s="7" t="str">
        <f>IF(Table1[[#This Row],[Is Data Valid]]=TRUE,_xlfn.NORM.S.DIST(Table1[[#This Row],[Birthweight Z-Score]],TRUE)*100,"")</f>
        <v/>
      </c>
      <c r="K8678" s="7" t="str">
        <f>IF(Table1[[#This Row],[Is Data Valid]]=TRUE,_xlfn.NORM.S.DIST(Table1[[#This Row],[Birthweight Z-Score (BW-10%)]],TRUE)*100,"")</f>
        <v/>
      </c>
      <c r="L8678" s="7" t="str">
        <f>IF(Table1[[#This Row],[Is Data Valid]]=TRUE,_xlfn.NORM.S.DIST(Table1[[#This Row],[Birthweight Z-Score (BW+10%)]],TRUE)*100,"")</f>
        <v/>
      </c>
    </row>
    <row r="8679" spans="1:12" x14ac:dyDescent="0.35">
      <c r="A8679" s="3"/>
      <c r="B8679" s="2"/>
      <c r="C8679" s="2"/>
      <c r="D8679" s="2" t="b">
        <f>IF(AND(NOT(ISBLANK(Table1[[#This Row],[Fetal Sex (Male, Female or Unknown)]])),ISNUMBER(Table1[[#This Row],[Birthweight (grams)]]),ISNUMBER(Table1[[#This Row],[Gestation (days)]])),TRUE,FALSE)</f>
        <v>0</v>
      </c>
      <c r="E8679" s="2" t="str">
        <f>IF(Table1[[#This Row],[Is Data Valid]]=TRUE,IF(Table1[[#This Row],[Fetal Sex (Male, Female or Unknown)]]="Male",Backend!$C$6,IF(Table1[[#This Row],[Fetal Sex (Male, Female or Unknown)]]="Female",Backend!$C$7,IF(Table1[[#This Row],[Fetal Sex (Male, Female or Unknown)]]="Unknown",Backend!$C$8,"Error"))),"")</f>
        <v/>
      </c>
      <c r="F8679" s="8" t="str">
        <f>IF(Table1[[#This Row],[Is Data Valid]]=TRUE,EXP(0.578+0.332*((Table1[[#This Row],[Gestation (days)]]+0.5)/7)-0.00354*((Table1[[#This Row],[Gestation (days)]]+0.5)/7)^2)*Table1[[#This Row],[BW40_3705]],"")</f>
        <v/>
      </c>
      <c r="G8679" s="2" t="str">
        <f>IF(Table1[[#This Row],[Is Data Valid]]=TRUE,((Table1[[#This Row],[Birthweight (grams)]]/Table1[[#This Row],[BW_GA]])-1)/(Backend!$B$4/100*Table1[[#This Row],[BW40_3705]]),"")</f>
        <v/>
      </c>
      <c r="H8679" s="7" t="str">
        <f>IF(Table1[[#This Row],[Is Data Valid]]=TRUE,((Table1[[#This Row],[Birthweight (grams)]]*0.9/Table1[[#This Row],[BW_GA]])-1)/(Backend!$B$4/100*Table1[[#This Row],[BW40_3705]]),"")</f>
        <v/>
      </c>
      <c r="I8679" s="7" t="str">
        <f>IF(Table1[[#This Row],[Is Data Valid]]=TRUE,((Table1[[#This Row],[Birthweight (grams)]]*1.1/Table1[[#This Row],[BW_GA]])-1)/(Backend!$B$4/100*Table1[[#This Row],[BW40_3705]]),"")</f>
        <v/>
      </c>
      <c r="J8679" s="7" t="str">
        <f>IF(Table1[[#This Row],[Is Data Valid]]=TRUE,_xlfn.NORM.S.DIST(Table1[[#This Row],[Birthweight Z-Score]],TRUE)*100,"")</f>
        <v/>
      </c>
      <c r="K8679" s="7" t="str">
        <f>IF(Table1[[#This Row],[Is Data Valid]]=TRUE,_xlfn.NORM.S.DIST(Table1[[#This Row],[Birthweight Z-Score (BW-10%)]],TRUE)*100,"")</f>
        <v/>
      </c>
      <c r="L8679" s="7" t="str">
        <f>IF(Table1[[#This Row],[Is Data Valid]]=TRUE,_xlfn.NORM.S.DIST(Table1[[#This Row],[Birthweight Z-Score (BW+10%)]],TRUE)*100,"")</f>
        <v/>
      </c>
    </row>
    <row r="8680" spans="1:12" x14ac:dyDescent="0.35">
      <c r="A8680" s="3"/>
      <c r="B8680" s="2"/>
      <c r="C8680" s="2"/>
      <c r="D8680" s="2" t="b">
        <f>IF(AND(NOT(ISBLANK(Table1[[#This Row],[Fetal Sex (Male, Female or Unknown)]])),ISNUMBER(Table1[[#This Row],[Birthweight (grams)]]),ISNUMBER(Table1[[#This Row],[Gestation (days)]])),TRUE,FALSE)</f>
        <v>0</v>
      </c>
      <c r="E8680" s="2" t="str">
        <f>IF(Table1[[#This Row],[Is Data Valid]]=TRUE,IF(Table1[[#This Row],[Fetal Sex (Male, Female or Unknown)]]="Male",Backend!$C$6,IF(Table1[[#This Row],[Fetal Sex (Male, Female or Unknown)]]="Female",Backend!$C$7,IF(Table1[[#This Row],[Fetal Sex (Male, Female or Unknown)]]="Unknown",Backend!$C$8,"Error"))),"")</f>
        <v/>
      </c>
      <c r="F8680" s="8" t="str">
        <f>IF(Table1[[#This Row],[Is Data Valid]]=TRUE,EXP(0.578+0.332*((Table1[[#This Row],[Gestation (days)]]+0.5)/7)-0.00354*((Table1[[#This Row],[Gestation (days)]]+0.5)/7)^2)*Table1[[#This Row],[BW40_3705]],"")</f>
        <v/>
      </c>
      <c r="G8680" s="2" t="str">
        <f>IF(Table1[[#This Row],[Is Data Valid]]=TRUE,((Table1[[#This Row],[Birthweight (grams)]]/Table1[[#This Row],[BW_GA]])-1)/(Backend!$B$4/100*Table1[[#This Row],[BW40_3705]]),"")</f>
        <v/>
      </c>
      <c r="H8680" s="7" t="str">
        <f>IF(Table1[[#This Row],[Is Data Valid]]=TRUE,((Table1[[#This Row],[Birthweight (grams)]]*0.9/Table1[[#This Row],[BW_GA]])-1)/(Backend!$B$4/100*Table1[[#This Row],[BW40_3705]]),"")</f>
        <v/>
      </c>
      <c r="I8680" s="7" t="str">
        <f>IF(Table1[[#This Row],[Is Data Valid]]=TRUE,((Table1[[#This Row],[Birthweight (grams)]]*1.1/Table1[[#This Row],[BW_GA]])-1)/(Backend!$B$4/100*Table1[[#This Row],[BW40_3705]]),"")</f>
        <v/>
      </c>
      <c r="J8680" s="7" t="str">
        <f>IF(Table1[[#This Row],[Is Data Valid]]=TRUE,_xlfn.NORM.S.DIST(Table1[[#This Row],[Birthweight Z-Score]],TRUE)*100,"")</f>
        <v/>
      </c>
      <c r="K8680" s="7" t="str">
        <f>IF(Table1[[#This Row],[Is Data Valid]]=TRUE,_xlfn.NORM.S.DIST(Table1[[#This Row],[Birthweight Z-Score (BW-10%)]],TRUE)*100,"")</f>
        <v/>
      </c>
      <c r="L8680" s="7" t="str">
        <f>IF(Table1[[#This Row],[Is Data Valid]]=TRUE,_xlfn.NORM.S.DIST(Table1[[#This Row],[Birthweight Z-Score (BW+10%)]],TRUE)*100,"")</f>
        <v/>
      </c>
    </row>
    <row r="8681" spans="1:12" x14ac:dyDescent="0.35">
      <c r="A8681" s="3"/>
      <c r="B8681" s="2"/>
      <c r="C8681" s="2"/>
      <c r="D8681" s="2" t="b">
        <f>IF(AND(NOT(ISBLANK(Table1[[#This Row],[Fetal Sex (Male, Female or Unknown)]])),ISNUMBER(Table1[[#This Row],[Birthweight (grams)]]),ISNUMBER(Table1[[#This Row],[Gestation (days)]])),TRUE,FALSE)</f>
        <v>0</v>
      </c>
      <c r="E8681" s="2" t="str">
        <f>IF(Table1[[#This Row],[Is Data Valid]]=TRUE,IF(Table1[[#This Row],[Fetal Sex (Male, Female or Unknown)]]="Male",Backend!$C$6,IF(Table1[[#This Row],[Fetal Sex (Male, Female or Unknown)]]="Female",Backend!$C$7,IF(Table1[[#This Row],[Fetal Sex (Male, Female or Unknown)]]="Unknown",Backend!$C$8,"Error"))),"")</f>
        <v/>
      </c>
      <c r="F8681" s="8" t="str">
        <f>IF(Table1[[#This Row],[Is Data Valid]]=TRUE,EXP(0.578+0.332*((Table1[[#This Row],[Gestation (days)]]+0.5)/7)-0.00354*((Table1[[#This Row],[Gestation (days)]]+0.5)/7)^2)*Table1[[#This Row],[BW40_3705]],"")</f>
        <v/>
      </c>
      <c r="G8681" s="2" t="str">
        <f>IF(Table1[[#This Row],[Is Data Valid]]=TRUE,((Table1[[#This Row],[Birthweight (grams)]]/Table1[[#This Row],[BW_GA]])-1)/(Backend!$B$4/100*Table1[[#This Row],[BW40_3705]]),"")</f>
        <v/>
      </c>
      <c r="H8681" s="7" t="str">
        <f>IF(Table1[[#This Row],[Is Data Valid]]=TRUE,((Table1[[#This Row],[Birthweight (grams)]]*0.9/Table1[[#This Row],[BW_GA]])-1)/(Backend!$B$4/100*Table1[[#This Row],[BW40_3705]]),"")</f>
        <v/>
      </c>
      <c r="I8681" s="7" t="str">
        <f>IF(Table1[[#This Row],[Is Data Valid]]=TRUE,((Table1[[#This Row],[Birthweight (grams)]]*1.1/Table1[[#This Row],[BW_GA]])-1)/(Backend!$B$4/100*Table1[[#This Row],[BW40_3705]]),"")</f>
        <v/>
      </c>
      <c r="J8681" s="7" t="str">
        <f>IF(Table1[[#This Row],[Is Data Valid]]=TRUE,_xlfn.NORM.S.DIST(Table1[[#This Row],[Birthweight Z-Score]],TRUE)*100,"")</f>
        <v/>
      </c>
      <c r="K8681" s="7" t="str">
        <f>IF(Table1[[#This Row],[Is Data Valid]]=TRUE,_xlfn.NORM.S.DIST(Table1[[#This Row],[Birthweight Z-Score (BW-10%)]],TRUE)*100,"")</f>
        <v/>
      </c>
      <c r="L8681" s="7" t="str">
        <f>IF(Table1[[#This Row],[Is Data Valid]]=TRUE,_xlfn.NORM.S.DIST(Table1[[#This Row],[Birthweight Z-Score (BW+10%)]],TRUE)*100,"")</f>
        <v/>
      </c>
    </row>
    <row r="8682" spans="1:12" x14ac:dyDescent="0.35">
      <c r="A8682" s="3"/>
      <c r="B8682" s="2"/>
      <c r="C8682" s="2"/>
      <c r="D8682" s="2" t="b">
        <f>IF(AND(NOT(ISBLANK(Table1[[#This Row],[Fetal Sex (Male, Female or Unknown)]])),ISNUMBER(Table1[[#This Row],[Birthweight (grams)]]),ISNUMBER(Table1[[#This Row],[Gestation (days)]])),TRUE,FALSE)</f>
        <v>0</v>
      </c>
      <c r="E8682" s="2" t="str">
        <f>IF(Table1[[#This Row],[Is Data Valid]]=TRUE,IF(Table1[[#This Row],[Fetal Sex (Male, Female or Unknown)]]="Male",Backend!$C$6,IF(Table1[[#This Row],[Fetal Sex (Male, Female or Unknown)]]="Female",Backend!$C$7,IF(Table1[[#This Row],[Fetal Sex (Male, Female or Unknown)]]="Unknown",Backend!$C$8,"Error"))),"")</f>
        <v/>
      </c>
      <c r="F8682" s="8" t="str">
        <f>IF(Table1[[#This Row],[Is Data Valid]]=TRUE,EXP(0.578+0.332*((Table1[[#This Row],[Gestation (days)]]+0.5)/7)-0.00354*((Table1[[#This Row],[Gestation (days)]]+0.5)/7)^2)*Table1[[#This Row],[BW40_3705]],"")</f>
        <v/>
      </c>
      <c r="G8682" s="2" t="str">
        <f>IF(Table1[[#This Row],[Is Data Valid]]=TRUE,((Table1[[#This Row],[Birthweight (grams)]]/Table1[[#This Row],[BW_GA]])-1)/(Backend!$B$4/100*Table1[[#This Row],[BW40_3705]]),"")</f>
        <v/>
      </c>
      <c r="H8682" s="7" t="str">
        <f>IF(Table1[[#This Row],[Is Data Valid]]=TRUE,((Table1[[#This Row],[Birthweight (grams)]]*0.9/Table1[[#This Row],[BW_GA]])-1)/(Backend!$B$4/100*Table1[[#This Row],[BW40_3705]]),"")</f>
        <v/>
      </c>
      <c r="I8682" s="7" t="str">
        <f>IF(Table1[[#This Row],[Is Data Valid]]=TRUE,((Table1[[#This Row],[Birthweight (grams)]]*1.1/Table1[[#This Row],[BW_GA]])-1)/(Backend!$B$4/100*Table1[[#This Row],[BW40_3705]]),"")</f>
        <v/>
      </c>
      <c r="J8682" s="7" t="str">
        <f>IF(Table1[[#This Row],[Is Data Valid]]=TRUE,_xlfn.NORM.S.DIST(Table1[[#This Row],[Birthweight Z-Score]],TRUE)*100,"")</f>
        <v/>
      </c>
      <c r="K8682" s="7" t="str">
        <f>IF(Table1[[#This Row],[Is Data Valid]]=TRUE,_xlfn.NORM.S.DIST(Table1[[#This Row],[Birthweight Z-Score (BW-10%)]],TRUE)*100,"")</f>
        <v/>
      </c>
      <c r="L8682" s="7" t="str">
        <f>IF(Table1[[#This Row],[Is Data Valid]]=TRUE,_xlfn.NORM.S.DIST(Table1[[#This Row],[Birthweight Z-Score (BW+10%)]],TRUE)*100,"")</f>
        <v/>
      </c>
    </row>
    <row r="8683" spans="1:12" x14ac:dyDescent="0.35">
      <c r="A8683" s="3"/>
      <c r="B8683" s="2"/>
      <c r="C8683" s="2"/>
      <c r="D8683" s="2" t="b">
        <f>IF(AND(NOT(ISBLANK(Table1[[#This Row],[Fetal Sex (Male, Female or Unknown)]])),ISNUMBER(Table1[[#This Row],[Birthweight (grams)]]),ISNUMBER(Table1[[#This Row],[Gestation (days)]])),TRUE,FALSE)</f>
        <v>0</v>
      </c>
      <c r="E8683" s="2" t="str">
        <f>IF(Table1[[#This Row],[Is Data Valid]]=TRUE,IF(Table1[[#This Row],[Fetal Sex (Male, Female or Unknown)]]="Male",Backend!$C$6,IF(Table1[[#This Row],[Fetal Sex (Male, Female or Unknown)]]="Female",Backend!$C$7,IF(Table1[[#This Row],[Fetal Sex (Male, Female or Unknown)]]="Unknown",Backend!$C$8,"Error"))),"")</f>
        <v/>
      </c>
      <c r="F8683" s="8" t="str">
        <f>IF(Table1[[#This Row],[Is Data Valid]]=TRUE,EXP(0.578+0.332*((Table1[[#This Row],[Gestation (days)]]+0.5)/7)-0.00354*((Table1[[#This Row],[Gestation (days)]]+0.5)/7)^2)*Table1[[#This Row],[BW40_3705]],"")</f>
        <v/>
      </c>
      <c r="G8683" s="2" t="str">
        <f>IF(Table1[[#This Row],[Is Data Valid]]=TRUE,((Table1[[#This Row],[Birthweight (grams)]]/Table1[[#This Row],[BW_GA]])-1)/(Backend!$B$4/100*Table1[[#This Row],[BW40_3705]]),"")</f>
        <v/>
      </c>
      <c r="H8683" s="7" t="str">
        <f>IF(Table1[[#This Row],[Is Data Valid]]=TRUE,((Table1[[#This Row],[Birthweight (grams)]]*0.9/Table1[[#This Row],[BW_GA]])-1)/(Backend!$B$4/100*Table1[[#This Row],[BW40_3705]]),"")</f>
        <v/>
      </c>
      <c r="I8683" s="7" t="str">
        <f>IF(Table1[[#This Row],[Is Data Valid]]=TRUE,((Table1[[#This Row],[Birthweight (grams)]]*1.1/Table1[[#This Row],[BW_GA]])-1)/(Backend!$B$4/100*Table1[[#This Row],[BW40_3705]]),"")</f>
        <v/>
      </c>
      <c r="J8683" s="7" t="str">
        <f>IF(Table1[[#This Row],[Is Data Valid]]=TRUE,_xlfn.NORM.S.DIST(Table1[[#This Row],[Birthweight Z-Score]],TRUE)*100,"")</f>
        <v/>
      </c>
      <c r="K8683" s="7" t="str">
        <f>IF(Table1[[#This Row],[Is Data Valid]]=TRUE,_xlfn.NORM.S.DIST(Table1[[#This Row],[Birthweight Z-Score (BW-10%)]],TRUE)*100,"")</f>
        <v/>
      </c>
      <c r="L8683" s="7" t="str">
        <f>IF(Table1[[#This Row],[Is Data Valid]]=TRUE,_xlfn.NORM.S.DIST(Table1[[#This Row],[Birthweight Z-Score (BW+10%)]],TRUE)*100,"")</f>
        <v/>
      </c>
    </row>
    <row r="8684" spans="1:12" x14ac:dyDescent="0.35">
      <c r="A8684" s="3"/>
      <c r="B8684" s="2"/>
      <c r="C8684" s="2"/>
      <c r="D8684" s="2" t="b">
        <f>IF(AND(NOT(ISBLANK(Table1[[#This Row],[Fetal Sex (Male, Female or Unknown)]])),ISNUMBER(Table1[[#This Row],[Birthweight (grams)]]),ISNUMBER(Table1[[#This Row],[Gestation (days)]])),TRUE,FALSE)</f>
        <v>0</v>
      </c>
      <c r="E8684" s="2" t="str">
        <f>IF(Table1[[#This Row],[Is Data Valid]]=TRUE,IF(Table1[[#This Row],[Fetal Sex (Male, Female or Unknown)]]="Male",Backend!$C$6,IF(Table1[[#This Row],[Fetal Sex (Male, Female or Unknown)]]="Female",Backend!$C$7,IF(Table1[[#This Row],[Fetal Sex (Male, Female or Unknown)]]="Unknown",Backend!$C$8,"Error"))),"")</f>
        <v/>
      </c>
      <c r="F8684" s="8" t="str">
        <f>IF(Table1[[#This Row],[Is Data Valid]]=TRUE,EXP(0.578+0.332*((Table1[[#This Row],[Gestation (days)]]+0.5)/7)-0.00354*((Table1[[#This Row],[Gestation (days)]]+0.5)/7)^2)*Table1[[#This Row],[BW40_3705]],"")</f>
        <v/>
      </c>
      <c r="G8684" s="2" t="str">
        <f>IF(Table1[[#This Row],[Is Data Valid]]=TRUE,((Table1[[#This Row],[Birthweight (grams)]]/Table1[[#This Row],[BW_GA]])-1)/(Backend!$B$4/100*Table1[[#This Row],[BW40_3705]]),"")</f>
        <v/>
      </c>
      <c r="H8684" s="7" t="str">
        <f>IF(Table1[[#This Row],[Is Data Valid]]=TRUE,((Table1[[#This Row],[Birthweight (grams)]]*0.9/Table1[[#This Row],[BW_GA]])-1)/(Backend!$B$4/100*Table1[[#This Row],[BW40_3705]]),"")</f>
        <v/>
      </c>
      <c r="I8684" s="7" t="str">
        <f>IF(Table1[[#This Row],[Is Data Valid]]=TRUE,((Table1[[#This Row],[Birthweight (grams)]]*1.1/Table1[[#This Row],[BW_GA]])-1)/(Backend!$B$4/100*Table1[[#This Row],[BW40_3705]]),"")</f>
        <v/>
      </c>
      <c r="J8684" s="7" t="str">
        <f>IF(Table1[[#This Row],[Is Data Valid]]=TRUE,_xlfn.NORM.S.DIST(Table1[[#This Row],[Birthweight Z-Score]],TRUE)*100,"")</f>
        <v/>
      </c>
      <c r="K8684" s="7" t="str">
        <f>IF(Table1[[#This Row],[Is Data Valid]]=TRUE,_xlfn.NORM.S.DIST(Table1[[#This Row],[Birthweight Z-Score (BW-10%)]],TRUE)*100,"")</f>
        <v/>
      </c>
      <c r="L8684" s="7" t="str">
        <f>IF(Table1[[#This Row],[Is Data Valid]]=TRUE,_xlfn.NORM.S.DIST(Table1[[#This Row],[Birthweight Z-Score (BW+10%)]],TRUE)*100,"")</f>
        <v/>
      </c>
    </row>
    <row r="8685" spans="1:12" x14ac:dyDescent="0.35">
      <c r="A8685" s="3"/>
      <c r="B8685" s="2"/>
      <c r="C8685" s="2"/>
      <c r="D8685" s="2" t="b">
        <f>IF(AND(NOT(ISBLANK(Table1[[#This Row],[Fetal Sex (Male, Female or Unknown)]])),ISNUMBER(Table1[[#This Row],[Birthweight (grams)]]),ISNUMBER(Table1[[#This Row],[Gestation (days)]])),TRUE,FALSE)</f>
        <v>0</v>
      </c>
      <c r="E8685" s="2" t="str">
        <f>IF(Table1[[#This Row],[Is Data Valid]]=TRUE,IF(Table1[[#This Row],[Fetal Sex (Male, Female or Unknown)]]="Male",Backend!$C$6,IF(Table1[[#This Row],[Fetal Sex (Male, Female or Unknown)]]="Female",Backend!$C$7,IF(Table1[[#This Row],[Fetal Sex (Male, Female or Unknown)]]="Unknown",Backend!$C$8,"Error"))),"")</f>
        <v/>
      </c>
      <c r="F8685" s="8" t="str">
        <f>IF(Table1[[#This Row],[Is Data Valid]]=TRUE,EXP(0.578+0.332*((Table1[[#This Row],[Gestation (days)]]+0.5)/7)-0.00354*((Table1[[#This Row],[Gestation (days)]]+0.5)/7)^2)*Table1[[#This Row],[BW40_3705]],"")</f>
        <v/>
      </c>
      <c r="G8685" s="2" t="str">
        <f>IF(Table1[[#This Row],[Is Data Valid]]=TRUE,((Table1[[#This Row],[Birthweight (grams)]]/Table1[[#This Row],[BW_GA]])-1)/(Backend!$B$4/100*Table1[[#This Row],[BW40_3705]]),"")</f>
        <v/>
      </c>
      <c r="H8685" s="7" t="str">
        <f>IF(Table1[[#This Row],[Is Data Valid]]=TRUE,((Table1[[#This Row],[Birthweight (grams)]]*0.9/Table1[[#This Row],[BW_GA]])-1)/(Backend!$B$4/100*Table1[[#This Row],[BW40_3705]]),"")</f>
        <v/>
      </c>
      <c r="I8685" s="7" t="str">
        <f>IF(Table1[[#This Row],[Is Data Valid]]=TRUE,((Table1[[#This Row],[Birthweight (grams)]]*1.1/Table1[[#This Row],[BW_GA]])-1)/(Backend!$B$4/100*Table1[[#This Row],[BW40_3705]]),"")</f>
        <v/>
      </c>
      <c r="J8685" s="7" t="str">
        <f>IF(Table1[[#This Row],[Is Data Valid]]=TRUE,_xlfn.NORM.S.DIST(Table1[[#This Row],[Birthweight Z-Score]],TRUE)*100,"")</f>
        <v/>
      </c>
      <c r="K8685" s="7" t="str">
        <f>IF(Table1[[#This Row],[Is Data Valid]]=TRUE,_xlfn.NORM.S.DIST(Table1[[#This Row],[Birthweight Z-Score (BW-10%)]],TRUE)*100,"")</f>
        <v/>
      </c>
      <c r="L8685" s="7" t="str">
        <f>IF(Table1[[#This Row],[Is Data Valid]]=TRUE,_xlfn.NORM.S.DIST(Table1[[#This Row],[Birthweight Z-Score (BW+10%)]],TRUE)*100,"")</f>
        <v/>
      </c>
    </row>
    <row r="8686" spans="1:12" x14ac:dyDescent="0.35">
      <c r="A8686" s="3"/>
      <c r="B8686" s="2"/>
      <c r="C8686" s="2"/>
      <c r="D8686" s="2" t="b">
        <f>IF(AND(NOT(ISBLANK(Table1[[#This Row],[Fetal Sex (Male, Female or Unknown)]])),ISNUMBER(Table1[[#This Row],[Birthweight (grams)]]),ISNUMBER(Table1[[#This Row],[Gestation (days)]])),TRUE,FALSE)</f>
        <v>0</v>
      </c>
      <c r="E8686" s="2" t="str">
        <f>IF(Table1[[#This Row],[Is Data Valid]]=TRUE,IF(Table1[[#This Row],[Fetal Sex (Male, Female or Unknown)]]="Male",Backend!$C$6,IF(Table1[[#This Row],[Fetal Sex (Male, Female or Unknown)]]="Female",Backend!$C$7,IF(Table1[[#This Row],[Fetal Sex (Male, Female or Unknown)]]="Unknown",Backend!$C$8,"Error"))),"")</f>
        <v/>
      </c>
      <c r="F8686" s="8" t="str">
        <f>IF(Table1[[#This Row],[Is Data Valid]]=TRUE,EXP(0.578+0.332*((Table1[[#This Row],[Gestation (days)]]+0.5)/7)-0.00354*((Table1[[#This Row],[Gestation (days)]]+0.5)/7)^2)*Table1[[#This Row],[BW40_3705]],"")</f>
        <v/>
      </c>
      <c r="G8686" s="2" t="str">
        <f>IF(Table1[[#This Row],[Is Data Valid]]=TRUE,((Table1[[#This Row],[Birthweight (grams)]]/Table1[[#This Row],[BW_GA]])-1)/(Backend!$B$4/100*Table1[[#This Row],[BW40_3705]]),"")</f>
        <v/>
      </c>
      <c r="H8686" s="7" t="str">
        <f>IF(Table1[[#This Row],[Is Data Valid]]=TRUE,((Table1[[#This Row],[Birthweight (grams)]]*0.9/Table1[[#This Row],[BW_GA]])-1)/(Backend!$B$4/100*Table1[[#This Row],[BW40_3705]]),"")</f>
        <v/>
      </c>
      <c r="I8686" s="7" t="str">
        <f>IF(Table1[[#This Row],[Is Data Valid]]=TRUE,((Table1[[#This Row],[Birthweight (grams)]]*1.1/Table1[[#This Row],[BW_GA]])-1)/(Backend!$B$4/100*Table1[[#This Row],[BW40_3705]]),"")</f>
        <v/>
      </c>
      <c r="J8686" s="7" t="str">
        <f>IF(Table1[[#This Row],[Is Data Valid]]=TRUE,_xlfn.NORM.S.DIST(Table1[[#This Row],[Birthweight Z-Score]],TRUE)*100,"")</f>
        <v/>
      </c>
      <c r="K8686" s="7" t="str">
        <f>IF(Table1[[#This Row],[Is Data Valid]]=TRUE,_xlfn.NORM.S.DIST(Table1[[#This Row],[Birthweight Z-Score (BW-10%)]],TRUE)*100,"")</f>
        <v/>
      </c>
      <c r="L8686" s="7" t="str">
        <f>IF(Table1[[#This Row],[Is Data Valid]]=TRUE,_xlfn.NORM.S.DIST(Table1[[#This Row],[Birthweight Z-Score (BW+10%)]],TRUE)*100,"")</f>
        <v/>
      </c>
    </row>
    <row r="8687" spans="1:12" x14ac:dyDescent="0.35">
      <c r="A8687" s="3"/>
      <c r="B8687" s="2"/>
      <c r="C8687" s="2"/>
      <c r="D8687" s="2" t="b">
        <f>IF(AND(NOT(ISBLANK(Table1[[#This Row],[Fetal Sex (Male, Female or Unknown)]])),ISNUMBER(Table1[[#This Row],[Birthweight (grams)]]),ISNUMBER(Table1[[#This Row],[Gestation (days)]])),TRUE,FALSE)</f>
        <v>0</v>
      </c>
      <c r="E8687" s="2" t="str">
        <f>IF(Table1[[#This Row],[Is Data Valid]]=TRUE,IF(Table1[[#This Row],[Fetal Sex (Male, Female or Unknown)]]="Male",Backend!$C$6,IF(Table1[[#This Row],[Fetal Sex (Male, Female or Unknown)]]="Female",Backend!$C$7,IF(Table1[[#This Row],[Fetal Sex (Male, Female or Unknown)]]="Unknown",Backend!$C$8,"Error"))),"")</f>
        <v/>
      </c>
      <c r="F8687" s="8" t="str">
        <f>IF(Table1[[#This Row],[Is Data Valid]]=TRUE,EXP(0.578+0.332*((Table1[[#This Row],[Gestation (days)]]+0.5)/7)-0.00354*((Table1[[#This Row],[Gestation (days)]]+0.5)/7)^2)*Table1[[#This Row],[BW40_3705]],"")</f>
        <v/>
      </c>
      <c r="G8687" s="2" t="str">
        <f>IF(Table1[[#This Row],[Is Data Valid]]=TRUE,((Table1[[#This Row],[Birthweight (grams)]]/Table1[[#This Row],[BW_GA]])-1)/(Backend!$B$4/100*Table1[[#This Row],[BW40_3705]]),"")</f>
        <v/>
      </c>
      <c r="H8687" s="7" t="str">
        <f>IF(Table1[[#This Row],[Is Data Valid]]=TRUE,((Table1[[#This Row],[Birthweight (grams)]]*0.9/Table1[[#This Row],[BW_GA]])-1)/(Backend!$B$4/100*Table1[[#This Row],[BW40_3705]]),"")</f>
        <v/>
      </c>
      <c r="I8687" s="7" t="str">
        <f>IF(Table1[[#This Row],[Is Data Valid]]=TRUE,((Table1[[#This Row],[Birthweight (grams)]]*1.1/Table1[[#This Row],[BW_GA]])-1)/(Backend!$B$4/100*Table1[[#This Row],[BW40_3705]]),"")</f>
        <v/>
      </c>
      <c r="J8687" s="7" t="str">
        <f>IF(Table1[[#This Row],[Is Data Valid]]=TRUE,_xlfn.NORM.S.DIST(Table1[[#This Row],[Birthweight Z-Score]],TRUE)*100,"")</f>
        <v/>
      </c>
      <c r="K8687" s="7" t="str">
        <f>IF(Table1[[#This Row],[Is Data Valid]]=TRUE,_xlfn.NORM.S.DIST(Table1[[#This Row],[Birthweight Z-Score (BW-10%)]],TRUE)*100,"")</f>
        <v/>
      </c>
      <c r="L8687" s="7" t="str">
        <f>IF(Table1[[#This Row],[Is Data Valid]]=TRUE,_xlfn.NORM.S.DIST(Table1[[#This Row],[Birthweight Z-Score (BW+10%)]],TRUE)*100,"")</f>
        <v/>
      </c>
    </row>
    <row r="8688" spans="1:12" x14ac:dyDescent="0.35">
      <c r="A8688" s="3"/>
      <c r="B8688" s="2"/>
      <c r="C8688" s="2"/>
      <c r="D8688" s="2" t="b">
        <f>IF(AND(NOT(ISBLANK(Table1[[#This Row],[Fetal Sex (Male, Female or Unknown)]])),ISNUMBER(Table1[[#This Row],[Birthweight (grams)]]),ISNUMBER(Table1[[#This Row],[Gestation (days)]])),TRUE,FALSE)</f>
        <v>0</v>
      </c>
      <c r="E8688" s="2" t="str">
        <f>IF(Table1[[#This Row],[Is Data Valid]]=TRUE,IF(Table1[[#This Row],[Fetal Sex (Male, Female or Unknown)]]="Male",Backend!$C$6,IF(Table1[[#This Row],[Fetal Sex (Male, Female or Unknown)]]="Female",Backend!$C$7,IF(Table1[[#This Row],[Fetal Sex (Male, Female or Unknown)]]="Unknown",Backend!$C$8,"Error"))),"")</f>
        <v/>
      </c>
      <c r="F8688" s="8" t="str">
        <f>IF(Table1[[#This Row],[Is Data Valid]]=TRUE,EXP(0.578+0.332*((Table1[[#This Row],[Gestation (days)]]+0.5)/7)-0.00354*((Table1[[#This Row],[Gestation (days)]]+0.5)/7)^2)*Table1[[#This Row],[BW40_3705]],"")</f>
        <v/>
      </c>
      <c r="G8688" s="2" t="str">
        <f>IF(Table1[[#This Row],[Is Data Valid]]=TRUE,((Table1[[#This Row],[Birthweight (grams)]]/Table1[[#This Row],[BW_GA]])-1)/(Backend!$B$4/100*Table1[[#This Row],[BW40_3705]]),"")</f>
        <v/>
      </c>
      <c r="H8688" s="7" t="str">
        <f>IF(Table1[[#This Row],[Is Data Valid]]=TRUE,((Table1[[#This Row],[Birthweight (grams)]]*0.9/Table1[[#This Row],[BW_GA]])-1)/(Backend!$B$4/100*Table1[[#This Row],[BW40_3705]]),"")</f>
        <v/>
      </c>
      <c r="I8688" s="7" t="str">
        <f>IF(Table1[[#This Row],[Is Data Valid]]=TRUE,((Table1[[#This Row],[Birthweight (grams)]]*1.1/Table1[[#This Row],[BW_GA]])-1)/(Backend!$B$4/100*Table1[[#This Row],[BW40_3705]]),"")</f>
        <v/>
      </c>
      <c r="J8688" s="7" t="str">
        <f>IF(Table1[[#This Row],[Is Data Valid]]=TRUE,_xlfn.NORM.S.DIST(Table1[[#This Row],[Birthweight Z-Score]],TRUE)*100,"")</f>
        <v/>
      </c>
      <c r="K8688" s="7" t="str">
        <f>IF(Table1[[#This Row],[Is Data Valid]]=TRUE,_xlfn.NORM.S.DIST(Table1[[#This Row],[Birthweight Z-Score (BW-10%)]],TRUE)*100,"")</f>
        <v/>
      </c>
      <c r="L8688" s="7" t="str">
        <f>IF(Table1[[#This Row],[Is Data Valid]]=TRUE,_xlfn.NORM.S.DIST(Table1[[#This Row],[Birthweight Z-Score (BW+10%)]],TRUE)*100,"")</f>
        <v/>
      </c>
    </row>
    <row r="8689" spans="1:12" x14ac:dyDescent="0.35">
      <c r="A8689" s="3"/>
      <c r="B8689" s="2"/>
      <c r="C8689" s="2"/>
      <c r="D8689" s="2" t="b">
        <f>IF(AND(NOT(ISBLANK(Table1[[#This Row],[Fetal Sex (Male, Female or Unknown)]])),ISNUMBER(Table1[[#This Row],[Birthweight (grams)]]),ISNUMBER(Table1[[#This Row],[Gestation (days)]])),TRUE,FALSE)</f>
        <v>0</v>
      </c>
      <c r="E8689" s="2" t="str">
        <f>IF(Table1[[#This Row],[Is Data Valid]]=TRUE,IF(Table1[[#This Row],[Fetal Sex (Male, Female or Unknown)]]="Male",Backend!$C$6,IF(Table1[[#This Row],[Fetal Sex (Male, Female or Unknown)]]="Female",Backend!$C$7,IF(Table1[[#This Row],[Fetal Sex (Male, Female or Unknown)]]="Unknown",Backend!$C$8,"Error"))),"")</f>
        <v/>
      </c>
      <c r="F8689" s="8" t="str">
        <f>IF(Table1[[#This Row],[Is Data Valid]]=TRUE,EXP(0.578+0.332*((Table1[[#This Row],[Gestation (days)]]+0.5)/7)-0.00354*((Table1[[#This Row],[Gestation (days)]]+0.5)/7)^2)*Table1[[#This Row],[BW40_3705]],"")</f>
        <v/>
      </c>
      <c r="G8689" s="2" t="str">
        <f>IF(Table1[[#This Row],[Is Data Valid]]=TRUE,((Table1[[#This Row],[Birthweight (grams)]]/Table1[[#This Row],[BW_GA]])-1)/(Backend!$B$4/100*Table1[[#This Row],[BW40_3705]]),"")</f>
        <v/>
      </c>
      <c r="H8689" s="7" t="str">
        <f>IF(Table1[[#This Row],[Is Data Valid]]=TRUE,((Table1[[#This Row],[Birthweight (grams)]]*0.9/Table1[[#This Row],[BW_GA]])-1)/(Backend!$B$4/100*Table1[[#This Row],[BW40_3705]]),"")</f>
        <v/>
      </c>
      <c r="I8689" s="7" t="str">
        <f>IF(Table1[[#This Row],[Is Data Valid]]=TRUE,((Table1[[#This Row],[Birthweight (grams)]]*1.1/Table1[[#This Row],[BW_GA]])-1)/(Backend!$B$4/100*Table1[[#This Row],[BW40_3705]]),"")</f>
        <v/>
      </c>
      <c r="J8689" s="7" t="str">
        <f>IF(Table1[[#This Row],[Is Data Valid]]=TRUE,_xlfn.NORM.S.DIST(Table1[[#This Row],[Birthweight Z-Score]],TRUE)*100,"")</f>
        <v/>
      </c>
      <c r="K8689" s="7" t="str">
        <f>IF(Table1[[#This Row],[Is Data Valid]]=TRUE,_xlfn.NORM.S.DIST(Table1[[#This Row],[Birthweight Z-Score (BW-10%)]],TRUE)*100,"")</f>
        <v/>
      </c>
      <c r="L8689" s="7" t="str">
        <f>IF(Table1[[#This Row],[Is Data Valid]]=TRUE,_xlfn.NORM.S.DIST(Table1[[#This Row],[Birthweight Z-Score (BW+10%)]],TRUE)*100,"")</f>
        <v/>
      </c>
    </row>
    <row r="8690" spans="1:12" x14ac:dyDescent="0.35">
      <c r="A8690" s="3"/>
      <c r="B8690" s="2"/>
      <c r="C8690" s="2"/>
      <c r="D8690" s="2" t="b">
        <f>IF(AND(NOT(ISBLANK(Table1[[#This Row],[Fetal Sex (Male, Female or Unknown)]])),ISNUMBER(Table1[[#This Row],[Birthweight (grams)]]),ISNUMBER(Table1[[#This Row],[Gestation (days)]])),TRUE,FALSE)</f>
        <v>0</v>
      </c>
      <c r="E8690" s="2" t="str">
        <f>IF(Table1[[#This Row],[Is Data Valid]]=TRUE,IF(Table1[[#This Row],[Fetal Sex (Male, Female or Unknown)]]="Male",Backend!$C$6,IF(Table1[[#This Row],[Fetal Sex (Male, Female or Unknown)]]="Female",Backend!$C$7,IF(Table1[[#This Row],[Fetal Sex (Male, Female or Unknown)]]="Unknown",Backend!$C$8,"Error"))),"")</f>
        <v/>
      </c>
      <c r="F8690" s="8" t="str">
        <f>IF(Table1[[#This Row],[Is Data Valid]]=TRUE,EXP(0.578+0.332*((Table1[[#This Row],[Gestation (days)]]+0.5)/7)-0.00354*((Table1[[#This Row],[Gestation (days)]]+0.5)/7)^2)*Table1[[#This Row],[BW40_3705]],"")</f>
        <v/>
      </c>
      <c r="G8690" s="2" t="str">
        <f>IF(Table1[[#This Row],[Is Data Valid]]=TRUE,((Table1[[#This Row],[Birthweight (grams)]]/Table1[[#This Row],[BW_GA]])-1)/(Backend!$B$4/100*Table1[[#This Row],[BW40_3705]]),"")</f>
        <v/>
      </c>
      <c r="H8690" s="7" t="str">
        <f>IF(Table1[[#This Row],[Is Data Valid]]=TRUE,((Table1[[#This Row],[Birthweight (grams)]]*0.9/Table1[[#This Row],[BW_GA]])-1)/(Backend!$B$4/100*Table1[[#This Row],[BW40_3705]]),"")</f>
        <v/>
      </c>
      <c r="I8690" s="7" t="str">
        <f>IF(Table1[[#This Row],[Is Data Valid]]=TRUE,((Table1[[#This Row],[Birthweight (grams)]]*1.1/Table1[[#This Row],[BW_GA]])-1)/(Backend!$B$4/100*Table1[[#This Row],[BW40_3705]]),"")</f>
        <v/>
      </c>
      <c r="J8690" s="7" t="str">
        <f>IF(Table1[[#This Row],[Is Data Valid]]=TRUE,_xlfn.NORM.S.DIST(Table1[[#This Row],[Birthweight Z-Score]],TRUE)*100,"")</f>
        <v/>
      </c>
      <c r="K8690" s="7" t="str">
        <f>IF(Table1[[#This Row],[Is Data Valid]]=TRUE,_xlfn.NORM.S.DIST(Table1[[#This Row],[Birthweight Z-Score (BW-10%)]],TRUE)*100,"")</f>
        <v/>
      </c>
      <c r="L8690" s="7" t="str">
        <f>IF(Table1[[#This Row],[Is Data Valid]]=TRUE,_xlfn.NORM.S.DIST(Table1[[#This Row],[Birthweight Z-Score (BW+10%)]],TRUE)*100,"")</f>
        <v/>
      </c>
    </row>
    <row r="8691" spans="1:12" x14ac:dyDescent="0.35">
      <c r="A8691" s="3"/>
      <c r="B8691" s="2"/>
      <c r="C8691" s="2"/>
      <c r="D8691" s="2" t="b">
        <f>IF(AND(NOT(ISBLANK(Table1[[#This Row],[Fetal Sex (Male, Female or Unknown)]])),ISNUMBER(Table1[[#This Row],[Birthweight (grams)]]),ISNUMBER(Table1[[#This Row],[Gestation (days)]])),TRUE,FALSE)</f>
        <v>0</v>
      </c>
      <c r="E8691" s="2" t="str">
        <f>IF(Table1[[#This Row],[Is Data Valid]]=TRUE,IF(Table1[[#This Row],[Fetal Sex (Male, Female or Unknown)]]="Male",Backend!$C$6,IF(Table1[[#This Row],[Fetal Sex (Male, Female or Unknown)]]="Female",Backend!$C$7,IF(Table1[[#This Row],[Fetal Sex (Male, Female or Unknown)]]="Unknown",Backend!$C$8,"Error"))),"")</f>
        <v/>
      </c>
      <c r="F8691" s="8" t="str">
        <f>IF(Table1[[#This Row],[Is Data Valid]]=TRUE,EXP(0.578+0.332*((Table1[[#This Row],[Gestation (days)]]+0.5)/7)-0.00354*((Table1[[#This Row],[Gestation (days)]]+0.5)/7)^2)*Table1[[#This Row],[BW40_3705]],"")</f>
        <v/>
      </c>
      <c r="G8691" s="2" t="str">
        <f>IF(Table1[[#This Row],[Is Data Valid]]=TRUE,((Table1[[#This Row],[Birthweight (grams)]]/Table1[[#This Row],[BW_GA]])-1)/(Backend!$B$4/100*Table1[[#This Row],[BW40_3705]]),"")</f>
        <v/>
      </c>
      <c r="H8691" s="7" t="str">
        <f>IF(Table1[[#This Row],[Is Data Valid]]=TRUE,((Table1[[#This Row],[Birthweight (grams)]]*0.9/Table1[[#This Row],[BW_GA]])-1)/(Backend!$B$4/100*Table1[[#This Row],[BW40_3705]]),"")</f>
        <v/>
      </c>
      <c r="I8691" s="7" t="str">
        <f>IF(Table1[[#This Row],[Is Data Valid]]=TRUE,((Table1[[#This Row],[Birthweight (grams)]]*1.1/Table1[[#This Row],[BW_GA]])-1)/(Backend!$B$4/100*Table1[[#This Row],[BW40_3705]]),"")</f>
        <v/>
      </c>
      <c r="J8691" s="7" t="str">
        <f>IF(Table1[[#This Row],[Is Data Valid]]=TRUE,_xlfn.NORM.S.DIST(Table1[[#This Row],[Birthweight Z-Score]],TRUE)*100,"")</f>
        <v/>
      </c>
      <c r="K8691" s="7" t="str">
        <f>IF(Table1[[#This Row],[Is Data Valid]]=TRUE,_xlfn.NORM.S.DIST(Table1[[#This Row],[Birthweight Z-Score (BW-10%)]],TRUE)*100,"")</f>
        <v/>
      </c>
      <c r="L8691" s="7" t="str">
        <f>IF(Table1[[#This Row],[Is Data Valid]]=TRUE,_xlfn.NORM.S.DIST(Table1[[#This Row],[Birthweight Z-Score (BW+10%)]],TRUE)*100,"")</f>
        <v/>
      </c>
    </row>
    <row r="8692" spans="1:12" x14ac:dyDescent="0.35">
      <c r="A8692" s="3"/>
      <c r="B8692" s="2"/>
      <c r="C8692" s="2"/>
      <c r="D8692" s="2" t="b">
        <f>IF(AND(NOT(ISBLANK(Table1[[#This Row],[Fetal Sex (Male, Female or Unknown)]])),ISNUMBER(Table1[[#This Row],[Birthweight (grams)]]),ISNUMBER(Table1[[#This Row],[Gestation (days)]])),TRUE,FALSE)</f>
        <v>0</v>
      </c>
      <c r="E8692" s="2" t="str">
        <f>IF(Table1[[#This Row],[Is Data Valid]]=TRUE,IF(Table1[[#This Row],[Fetal Sex (Male, Female or Unknown)]]="Male",Backend!$C$6,IF(Table1[[#This Row],[Fetal Sex (Male, Female or Unknown)]]="Female",Backend!$C$7,IF(Table1[[#This Row],[Fetal Sex (Male, Female or Unknown)]]="Unknown",Backend!$C$8,"Error"))),"")</f>
        <v/>
      </c>
      <c r="F8692" s="8" t="str">
        <f>IF(Table1[[#This Row],[Is Data Valid]]=TRUE,EXP(0.578+0.332*((Table1[[#This Row],[Gestation (days)]]+0.5)/7)-0.00354*((Table1[[#This Row],[Gestation (days)]]+0.5)/7)^2)*Table1[[#This Row],[BW40_3705]],"")</f>
        <v/>
      </c>
      <c r="G8692" s="2" t="str">
        <f>IF(Table1[[#This Row],[Is Data Valid]]=TRUE,((Table1[[#This Row],[Birthweight (grams)]]/Table1[[#This Row],[BW_GA]])-1)/(Backend!$B$4/100*Table1[[#This Row],[BW40_3705]]),"")</f>
        <v/>
      </c>
      <c r="H8692" s="7" t="str">
        <f>IF(Table1[[#This Row],[Is Data Valid]]=TRUE,((Table1[[#This Row],[Birthweight (grams)]]*0.9/Table1[[#This Row],[BW_GA]])-1)/(Backend!$B$4/100*Table1[[#This Row],[BW40_3705]]),"")</f>
        <v/>
      </c>
      <c r="I8692" s="7" t="str">
        <f>IF(Table1[[#This Row],[Is Data Valid]]=TRUE,((Table1[[#This Row],[Birthweight (grams)]]*1.1/Table1[[#This Row],[BW_GA]])-1)/(Backend!$B$4/100*Table1[[#This Row],[BW40_3705]]),"")</f>
        <v/>
      </c>
      <c r="J8692" s="7" t="str">
        <f>IF(Table1[[#This Row],[Is Data Valid]]=TRUE,_xlfn.NORM.S.DIST(Table1[[#This Row],[Birthweight Z-Score]],TRUE)*100,"")</f>
        <v/>
      </c>
      <c r="K8692" s="7" t="str">
        <f>IF(Table1[[#This Row],[Is Data Valid]]=TRUE,_xlfn.NORM.S.DIST(Table1[[#This Row],[Birthweight Z-Score (BW-10%)]],TRUE)*100,"")</f>
        <v/>
      </c>
      <c r="L8692" s="7" t="str">
        <f>IF(Table1[[#This Row],[Is Data Valid]]=TRUE,_xlfn.NORM.S.DIST(Table1[[#This Row],[Birthweight Z-Score (BW+10%)]],TRUE)*100,"")</f>
        <v/>
      </c>
    </row>
    <row r="8693" spans="1:12" x14ac:dyDescent="0.35">
      <c r="A8693" s="3"/>
      <c r="B8693" s="2"/>
      <c r="C8693" s="2"/>
      <c r="D8693" s="2" t="b">
        <f>IF(AND(NOT(ISBLANK(Table1[[#This Row],[Fetal Sex (Male, Female or Unknown)]])),ISNUMBER(Table1[[#This Row],[Birthweight (grams)]]),ISNUMBER(Table1[[#This Row],[Gestation (days)]])),TRUE,FALSE)</f>
        <v>0</v>
      </c>
      <c r="E8693" s="2" t="str">
        <f>IF(Table1[[#This Row],[Is Data Valid]]=TRUE,IF(Table1[[#This Row],[Fetal Sex (Male, Female or Unknown)]]="Male",Backend!$C$6,IF(Table1[[#This Row],[Fetal Sex (Male, Female or Unknown)]]="Female",Backend!$C$7,IF(Table1[[#This Row],[Fetal Sex (Male, Female or Unknown)]]="Unknown",Backend!$C$8,"Error"))),"")</f>
        <v/>
      </c>
      <c r="F8693" s="8" t="str">
        <f>IF(Table1[[#This Row],[Is Data Valid]]=TRUE,EXP(0.578+0.332*((Table1[[#This Row],[Gestation (days)]]+0.5)/7)-0.00354*((Table1[[#This Row],[Gestation (days)]]+0.5)/7)^2)*Table1[[#This Row],[BW40_3705]],"")</f>
        <v/>
      </c>
      <c r="G8693" s="2" t="str">
        <f>IF(Table1[[#This Row],[Is Data Valid]]=TRUE,((Table1[[#This Row],[Birthweight (grams)]]/Table1[[#This Row],[BW_GA]])-1)/(Backend!$B$4/100*Table1[[#This Row],[BW40_3705]]),"")</f>
        <v/>
      </c>
      <c r="H8693" s="7" t="str">
        <f>IF(Table1[[#This Row],[Is Data Valid]]=TRUE,((Table1[[#This Row],[Birthweight (grams)]]*0.9/Table1[[#This Row],[BW_GA]])-1)/(Backend!$B$4/100*Table1[[#This Row],[BW40_3705]]),"")</f>
        <v/>
      </c>
      <c r="I8693" s="7" t="str">
        <f>IF(Table1[[#This Row],[Is Data Valid]]=TRUE,((Table1[[#This Row],[Birthweight (grams)]]*1.1/Table1[[#This Row],[BW_GA]])-1)/(Backend!$B$4/100*Table1[[#This Row],[BW40_3705]]),"")</f>
        <v/>
      </c>
      <c r="J8693" s="7" t="str">
        <f>IF(Table1[[#This Row],[Is Data Valid]]=TRUE,_xlfn.NORM.S.DIST(Table1[[#This Row],[Birthweight Z-Score]],TRUE)*100,"")</f>
        <v/>
      </c>
      <c r="K8693" s="7" t="str">
        <f>IF(Table1[[#This Row],[Is Data Valid]]=TRUE,_xlfn.NORM.S.DIST(Table1[[#This Row],[Birthweight Z-Score (BW-10%)]],TRUE)*100,"")</f>
        <v/>
      </c>
      <c r="L8693" s="7" t="str">
        <f>IF(Table1[[#This Row],[Is Data Valid]]=TRUE,_xlfn.NORM.S.DIST(Table1[[#This Row],[Birthweight Z-Score (BW+10%)]],TRUE)*100,"")</f>
        <v/>
      </c>
    </row>
    <row r="8694" spans="1:12" x14ac:dyDescent="0.35">
      <c r="A8694" s="3"/>
      <c r="B8694" s="2"/>
      <c r="C8694" s="2"/>
      <c r="D8694" s="2" t="b">
        <f>IF(AND(NOT(ISBLANK(Table1[[#This Row],[Fetal Sex (Male, Female or Unknown)]])),ISNUMBER(Table1[[#This Row],[Birthweight (grams)]]),ISNUMBER(Table1[[#This Row],[Gestation (days)]])),TRUE,FALSE)</f>
        <v>0</v>
      </c>
      <c r="E8694" s="2" t="str">
        <f>IF(Table1[[#This Row],[Is Data Valid]]=TRUE,IF(Table1[[#This Row],[Fetal Sex (Male, Female or Unknown)]]="Male",Backend!$C$6,IF(Table1[[#This Row],[Fetal Sex (Male, Female or Unknown)]]="Female",Backend!$C$7,IF(Table1[[#This Row],[Fetal Sex (Male, Female or Unknown)]]="Unknown",Backend!$C$8,"Error"))),"")</f>
        <v/>
      </c>
      <c r="F8694" s="8" t="str">
        <f>IF(Table1[[#This Row],[Is Data Valid]]=TRUE,EXP(0.578+0.332*((Table1[[#This Row],[Gestation (days)]]+0.5)/7)-0.00354*((Table1[[#This Row],[Gestation (days)]]+0.5)/7)^2)*Table1[[#This Row],[BW40_3705]],"")</f>
        <v/>
      </c>
      <c r="G8694" s="2" t="str">
        <f>IF(Table1[[#This Row],[Is Data Valid]]=TRUE,((Table1[[#This Row],[Birthweight (grams)]]/Table1[[#This Row],[BW_GA]])-1)/(Backend!$B$4/100*Table1[[#This Row],[BW40_3705]]),"")</f>
        <v/>
      </c>
      <c r="H8694" s="7" t="str">
        <f>IF(Table1[[#This Row],[Is Data Valid]]=TRUE,((Table1[[#This Row],[Birthweight (grams)]]*0.9/Table1[[#This Row],[BW_GA]])-1)/(Backend!$B$4/100*Table1[[#This Row],[BW40_3705]]),"")</f>
        <v/>
      </c>
      <c r="I8694" s="7" t="str">
        <f>IF(Table1[[#This Row],[Is Data Valid]]=TRUE,((Table1[[#This Row],[Birthweight (grams)]]*1.1/Table1[[#This Row],[BW_GA]])-1)/(Backend!$B$4/100*Table1[[#This Row],[BW40_3705]]),"")</f>
        <v/>
      </c>
      <c r="J8694" s="7" t="str">
        <f>IF(Table1[[#This Row],[Is Data Valid]]=TRUE,_xlfn.NORM.S.DIST(Table1[[#This Row],[Birthweight Z-Score]],TRUE)*100,"")</f>
        <v/>
      </c>
      <c r="K8694" s="7" t="str">
        <f>IF(Table1[[#This Row],[Is Data Valid]]=TRUE,_xlfn.NORM.S.DIST(Table1[[#This Row],[Birthweight Z-Score (BW-10%)]],TRUE)*100,"")</f>
        <v/>
      </c>
      <c r="L8694" s="7" t="str">
        <f>IF(Table1[[#This Row],[Is Data Valid]]=TRUE,_xlfn.NORM.S.DIST(Table1[[#This Row],[Birthweight Z-Score (BW+10%)]],TRUE)*100,"")</f>
        <v/>
      </c>
    </row>
    <row r="8695" spans="1:12" x14ac:dyDescent="0.35">
      <c r="A8695" s="3"/>
      <c r="B8695" s="2"/>
      <c r="C8695" s="2"/>
      <c r="D8695" s="2" t="b">
        <f>IF(AND(NOT(ISBLANK(Table1[[#This Row],[Fetal Sex (Male, Female or Unknown)]])),ISNUMBER(Table1[[#This Row],[Birthweight (grams)]]),ISNUMBER(Table1[[#This Row],[Gestation (days)]])),TRUE,FALSE)</f>
        <v>0</v>
      </c>
      <c r="E8695" s="2" t="str">
        <f>IF(Table1[[#This Row],[Is Data Valid]]=TRUE,IF(Table1[[#This Row],[Fetal Sex (Male, Female or Unknown)]]="Male",Backend!$C$6,IF(Table1[[#This Row],[Fetal Sex (Male, Female or Unknown)]]="Female",Backend!$C$7,IF(Table1[[#This Row],[Fetal Sex (Male, Female or Unknown)]]="Unknown",Backend!$C$8,"Error"))),"")</f>
        <v/>
      </c>
      <c r="F8695" s="8" t="str">
        <f>IF(Table1[[#This Row],[Is Data Valid]]=TRUE,EXP(0.578+0.332*((Table1[[#This Row],[Gestation (days)]]+0.5)/7)-0.00354*((Table1[[#This Row],[Gestation (days)]]+0.5)/7)^2)*Table1[[#This Row],[BW40_3705]],"")</f>
        <v/>
      </c>
      <c r="G8695" s="2" t="str">
        <f>IF(Table1[[#This Row],[Is Data Valid]]=TRUE,((Table1[[#This Row],[Birthweight (grams)]]/Table1[[#This Row],[BW_GA]])-1)/(Backend!$B$4/100*Table1[[#This Row],[BW40_3705]]),"")</f>
        <v/>
      </c>
      <c r="H8695" s="7" t="str">
        <f>IF(Table1[[#This Row],[Is Data Valid]]=TRUE,((Table1[[#This Row],[Birthweight (grams)]]*0.9/Table1[[#This Row],[BW_GA]])-1)/(Backend!$B$4/100*Table1[[#This Row],[BW40_3705]]),"")</f>
        <v/>
      </c>
      <c r="I8695" s="7" t="str">
        <f>IF(Table1[[#This Row],[Is Data Valid]]=TRUE,((Table1[[#This Row],[Birthweight (grams)]]*1.1/Table1[[#This Row],[BW_GA]])-1)/(Backend!$B$4/100*Table1[[#This Row],[BW40_3705]]),"")</f>
        <v/>
      </c>
      <c r="J8695" s="7" t="str">
        <f>IF(Table1[[#This Row],[Is Data Valid]]=TRUE,_xlfn.NORM.S.DIST(Table1[[#This Row],[Birthweight Z-Score]],TRUE)*100,"")</f>
        <v/>
      </c>
      <c r="K8695" s="7" t="str">
        <f>IF(Table1[[#This Row],[Is Data Valid]]=TRUE,_xlfn.NORM.S.DIST(Table1[[#This Row],[Birthweight Z-Score (BW-10%)]],TRUE)*100,"")</f>
        <v/>
      </c>
      <c r="L8695" s="7" t="str">
        <f>IF(Table1[[#This Row],[Is Data Valid]]=TRUE,_xlfn.NORM.S.DIST(Table1[[#This Row],[Birthweight Z-Score (BW+10%)]],TRUE)*100,"")</f>
        <v/>
      </c>
    </row>
    <row r="8696" spans="1:12" x14ac:dyDescent="0.35">
      <c r="A8696" s="3"/>
      <c r="B8696" s="2"/>
      <c r="C8696" s="2"/>
      <c r="D8696" s="2" t="b">
        <f>IF(AND(NOT(ISBLANK(Table1[[#This Row],[Fetal Sex (Male, Female or Unknown)]])),ISNUMBER(Table1[[#This Row],[Birthweight (grams)]]),ISNUMBER(Table1[[#This Row],[Gestation (days)]])),TRUE,FALSE)</f>
        <v>0</v>
      </c>
      <c r="E8696" s="2" t="str">
        <f>IF(Table1[[#This Row],[Is Data Valid]]=TRUE,IF(Table1[[#This Row],[Fetal Sex (Male, Female or Unknown)]]="Male",Backend!$C$6,IF(Table1[[#This Row],[Fetal Sex (Male, Female or Unknown)]]="Female",Backend!$C$7,IF(Table1[[#This Row],[Fetal Sex (Male, Female or Unknown)]]="Unknown",Backend!$C$8,"Error"))),"")</f>
        <v/>
      </c>
      <c r="F8696" s="8" t="str">
        <f>IF(Table1[[#This Row],[Is Data Valid]]=TRUE,EXP(0.578+0.332*((Table1[[#This Row],[Gestation (days)]]+0.5)/7)-0.00354*((Table1[[#This Row],[Gestation (days)]]+0.5)/7)^2)*Table1[[#This Row],[BW40_3705]],"")</f>
        <v/>
      </c>
      <c r="G8696" s="2" t="str">
        <f>IF(Table1[[#This Row],[Is Data Valid]]=TRUE,((Table1[[#This Row],[Birthweight (grams)]]/Table1[[#This Row],[BW_GA]])-1)/(Backend!$B$4/100*Table1[[#This Row],[BW40_3705]]),"")</f>
        <v/>
      </c>
      <c r="H8696" s="7" t="str">
        <f>IF(Table1[[#This Row],[Is Data Valid]]=TRUE,((Table1[[#This Row],[Birthweight (grams)]]*0.9/Table1[[#This Row],[BW_GA]])-1)/(Backend!$B$4/100*Table1[[#This Row],[BW40_3705]]),"")</f>
        <v/>
      </c>
      <c r="I8696" s="7" t="str">
        <f>IF(Table1[[#This Row],[Is Data Valid]]=TRUE,((Table1[[#This Row],[Birthweight (grams)]]*1.1/Table1[[#This Row],[BW_GA]])-1)/(Backend!$B$4/100*Table1[[#This Row],[BW40_3705]]),"")</f>
        <v/>
      </c>
      <c r="J8696" s="7" t="str">
        <f>IF(Table1[[#This Row],[Is Data Valid]]=TRUE,_xlfn.NORM.S.DIST(Table1[[#This Row],[Birthweight Z-Score]],TRUE)*100,"")</f>
        <v/>
      </c>
      <c r="K8696" s="7" t="str">
        <f>IF(Table1[[#This Row],[Is Data Valid]]=TRUE,_xlfn.NORM.S.DIST(Table1[[#This Row],[Birthweight Z-Score (BW-10%)]],TRUE)*100,"")</f>
        <v/>
      </c>
      <c r="L8696" s="7" t="str">
        <f>IF(Table1[[#This Row],[Is Data Valid]]=TRUE,_xlfn.NORM.S.DIST(Table1[[#This Row],[Birthweight Z-Score (BW+10%)]],TRUE)*100,"")</f>
        <v/>
      </c>
    </row>
    <row r="8697" spans="1:12" x14ac:dyDescent="0.35">
      <c r="A8697" s="3"/>
      <c r="B8697" s="2"/>
      <c r="C8697" s="2"/>
      <c r="D8697" s="2" t="b">
        <f>IF(AND(NOT(ISBLANK(Table1[[#This Row],[Fetal Sex (Male, Female or Unknown)]])),ISNUMBER(Table1[[#This Row],[Birthweight (grams)]]),ISNUMBER(Table1[[#This Row],[Gestation (days)]])),TRUE,FALSE)</f>
        <v>0</v>
      </c>
      <c r="E8697" s="2" t="str">
        <f>IF(Table1[[#This Row],[Is Data Valid]]=TRUE,IF(Table1[[#This Row],[Fetal Sex (Male, Female or Unknown)]]="Male",Backend!$C$6,IF(Table1[[#This Row],[Fetal Sex (Male, Female or Unknown)]]="Female",Backend!$C$7,IF(Table1[[#This Row],[Fetal Sex (Male, Female or Unknown)]]="Unknown",Backend!$C$8,"Error"))),"")</f>
        <v/>
      </c>
      <c r="F8697" s="8" t="str">
        <f>IF(Table1[[#This Row],[Is Data Valid]]=TRUE,EXP(0.578+0.332*((Table1[[#This Row],[Gestation (days)]]+0.5)/7)-0.00354*((Table1[[#This Row],[Gestation (days)]]+0.5)/7)^2)*Table1[[#This Row],[BW40_3705]],"")</f>
        <v/>
      </c>
      <c r="G8697" s="2" t="str">
        <f>IF(Table1[[#This Row],[Is Data Valid]]=TRUE,((Table1[[#This Row],[Birthweight (grams)]]/Table1[[#This Row],[BW_GA]])-1)/(Backend!$B$4/100*Table1[[#This Row],[BW40_3705]]),"")</f>
        <v/>
      </c>
      <c r="H8697" s="7" t="str">
        <f>IF(Table1[[#This Row],[Is Data Valid]]=TRUE,((Table1[[#This Row],[Birthweight (grams)]]*0.9/Table1[[#This Row],[BW_GA]])-1)/(Backend!$B$4/100*Table1[[#This Row],[BW40_3705]]),"")</f>
        <v/>
      </c>
      <c r="I8697" s="7" t="str">
        <f>IF(Table1[[#This Row],[Is Data Valid]]=TRUE,((Table1[[#This Row],[Birthweight (grams)]]*1.1/Table1[[#This Row],[BW_GA]])-1)/(Backend!$B$4/100*Table1[[#This Row],[BW40_3705]]),"")</f>
        <v/>
      </c>
      <c r="J8697" s="7" t="str">
        <f>IF(Table1[[#This Row],[Is Data Valid]]=TRUE,_xlfn.NORM.S.DIST(Table1[[#This Row],[Birthweight Z-Score]],TRUE)*100,"")</f>
        <v/>
      </c>
      <c r="K8697" s="7" t="str">
        <f>IF(Table1[[#This Row],[Is Data Valid]]=TRUE,_xlfn.NORM.S.DIST(Table1[[#This Row],[Birthweight Z-Score (BW-10%)]],TRUE)*100,"")</f>
        <v/>
      </c>
      <c r="L8697" s="7" t="str">
        <f>IF(Table1[[#This Row],[Is Data Valid]]=TRUE,_xlfn.NORM.S.DIST(Table1[[#This Row],[Birthweight Z-Score (BW+10%)]],TRUE)*100,"")</f>
        <v/>
      </c>
    </row>
    <row r="8698" spans="1:12" x14ac:dyDescent="0.35">
      <c r="A8698" s="3"/>
      <c r="B8698" s="2"/>
      <c r="C8698" s="2"/>
      <c r="D8698" s="2" t="b">
        <f>IF(AND(NOT(ISBLANK(Table1[[#This Row],[Fetal Sex (Male, Female or Unknown)]])),ISNUMBER(Table1[[#This Row],[Birthweight (grams)]]),ISNUMBER(Table1[[#This Row],[Gestation (days)]])),TRUE,FALSE)</f>
        <v>0</v>
      </c>
      <c r="E8698" s="2" t="str">
        <f>IF(Table1[[#This Row],[Is Data Valid]]=TRUE,IF(Table1[[#This Row],[Fetal Sex (Male, Female or Unknown)]]="Male",Backend!$C$6,IF(Table1[[#This Row],[Fetal Sex (Male, Female or Unknown)]]="Female",Backend!$C$7,IF(Table1[[#This Row],[Fetal Sex (Male, Female or Unknown)]]="Unknown",Backend!$C$8,"Error"))),"")</f>
        <v/>
      </c>
      <c r="F8698" s="8" t="str">
        <f>IF(Table1[[#This Row],[Is Data Valid]]=TRUE,EXP(0.578+0.332*((Table1[[#This Row],[Gestation (days)]]+0.5)/7)-0.00354*((Table1[[#This Row],[Gestation (days)]]+0.5)/7)^2)*Table1[[#This Row],[BW40_3705]],"")</f>
        <v/>
      </c>
      <c r="G8698" s="2" t="str">
        <f>IF(Table1[[#This Row],[Is Data Valid]]=TRUE,((Table1[[#This Row],[Birthweight (grams)]]/Table1[[#This Row],[BW_GA]])-1)/(Backend!$B$4/100*Table1[[#This Row],[BW40_3705]]),"")</f>
        <v/>
      </c>
      <c r="H8698" s="7" t="str">
        <f>IF(Table1[[#This Row],[Is Data Valid]]=TRUE,((Table1[[#This Row],[Birthweight (grams)]]*0.9/Table1[[#This Row],[BW_GA]])-1)/(Backend!$B$4/100*Table1[[#This Row],[BW40_3705]]),"")</f>
        <v/>
      </c>
      <c r="I8698" s="7" t="str">
        <f>IF(Table1[[#This Row],[Is Data Valid]]=TRUE,((Table1[[#This Row],[Birthweight (grams)]]*1.1/Table1[[#This Row],[BW_GA]])-1)/(Backend!$B$4/100*Table1[[#This Row],[BW40_3705]]),"")</f>
        <v/>
      </c>
      <c r="J8698" s="7" t="str">
        <f>IF(Table1[[#This Row],[Is Data Valid]]=TRUE,_xlfn.NORM.S.DIST(Table1[[#This Row],[Birthweight Z-Score]],TRUE)*100,"")</f>
        <v/>
      </c>
      <c r="K8698" s="7" t="str">
        <f>IF(Table1[[#This Row],[Is Data Valid]]=TRUE,_xlfn.NORM.S.DIST(Table1[[#This Row],[Birthweight Z-Score (BW-10%)]],TRUE)*100,"")</f>
        <v/>
      </c>
      <c r="L8698" s="7" t="str">
        <f>IF(Table1[[#This Row],[Is Data Valid]]=TRUE,_xlfn.NORM.S.DIST(Table1[[#This Row],[Birthweight Z-Score (BW+10%)]],TRUE)*100,"")</f>
        <v/>
      </c>
    </row>
    <row r="8699" spans="1:12" x14ac:dyDescent="0.35">
      <c r="A8699" s="3"/>
      <c r="B8699" s="2"/>
      <c r="C8699" s="2"/>
      <c r="D8699" s="2" t="b">
        <f>IF(AND(NOT(ISBLANK(Table1[[#This Row],[Fetal Sex (Male, Female or Unknown)]])),ISNUMBER(Table1[[#This Row],[Birthweight (grams)]]),ISNUMBER(Table1[[#This Row],[Gestation (days)]])),TRUE,FALSE)</f>
        <v>0</v>
      </c>
      <c r="E8699" s="2" t="str">
        <f>IF(Table1[[#This Row],[Is Data Valid]]=TRUE,IF(Table1[[#This Row],[Fetal Sex (Male, Female or Unknown)]]="Male",Backend!$C$6,IF(Table1[[#This Row],[Fetal Sex (Male, Female or Unknown)]]="Female",Backend!$C$7,IF(Table1[[#This Row],[Fetal Sex (Male, Female or Unknown)]]="Unknown",Backend!$C$8,"Error"))),"")</f>
        <v/>
      </c>
      <c r="F8699" s="8" t="str">
        <f>IF(Table1[[#This Row],[Is Data Valid]]=TRUE,EXP(0.578+0.332*((Table1[[#This Row],[Gestation (days)]]+0.5)/7)-0.00354*((Table1[[#This Row],[Gestation (days)]]+0.5)/7)^2)*Table1[[#This Row],[BW40_3705]],"")</f>
        <v/>
      </c>
      <c r="G8699" s="2" t="str">
        <f>IF(Table1[[#This Row],[Is Data Valid]]=TRUE,((Table1[[#This Row],[Birthweight (grams)]]/Table1[[#This Row],[BW_GA]])-1)/(Backend!$B$4/100*Table1[[#This Row],[BW40_3705]]),"")</f>
        <v/>
      </c>
      <c r="H8699" s="7" t="str">
        <f>IF(Table1[[#This Row],[Is Data Valid]]=TRUE,((Table1[[#This Row],[Birthweight (grams)]]*0.9/Table1[[#This Row],[BW_GA]])-1)/(Backend!$B$4/100*Table1[[#This Row],[BW40_3705]]),"")</f>
        <v/>
      </c>
      <c r="I8699" s="7" t="str">
        <f>IF(Table1[[#This Row],[Is Data Valid]]=TRUE,((Table1[[#This Row],[Birthweight (grams)]]*1.1/Table1[[#This Row],[BW_GA]])-1)/(Backend!$B$4/100*Table1[[#This Row],[BW40_3705]]),"")</f>
        <v/>
      </c>
      <c r="J8699" s="7" t="str">
        <f>IF(Table1[[#This Row],[Is Data Valid]]=TRUE,_xlfn.NORM.S.DIST(Table1[[#This Row],[Birthweight Z-Score]],TRUE)*100,"")</f>
        <v/>
      </c>
      <c r="K8699" s="7" t="str">
        <f>IF(Table1[[#This Row],[Is Data Valid]]=TRUE,_xlfn.NORM.S.DIST(Table1[[#This Row],[Birthweight Z-Score (BW-10%)]],TRUE)*100,"")</f>
        <v/>
      </c>
      <c r="L8699" s="7" t="str">
        <f>IF(Table1[[#This Row],[Is Data Valid]]=TRUE,_xlfn.NORM.S.DIST(Table1[[#This Row],[Birthweight Z-Score (BW+10%)]],TRUE)*100,"")</f>
        <v/>
      </c>
    </row>
    <row r="8700" spans="1:12" x14ac:dyDescent="0.35">
      <c r="A8700" s="3"/>
      <c r="B8700" s="2"/>
      <c r="C8700" s="2"/>
      <c r="D8700" s="2" t="b">
        <f>IF(AND(NOT(ISBLANK(Table1[[#This Row],[Fetal Sex (Male, Female or Unknown)]])),ISNUMBER(Table1[[#This Row],[Birthweight (grams)]]),ISNUMBER(Table1[[#This Row],[Gestation (days)]])),TRUE,FALSE)</f>
        <v>0</v>
      </c>
      <c r="E8700" s="2" t="str">
        <f>IF(Table1[[#This Row],[Is Data Valid]]=TRUE,IF(Table1[[#This Row],[Fetal Sex (Male, Female or Unknown)]]="Male",Backend!$C$6,IF(Table1[[#This Row],[Fetal Sex (Male, Female or Unknown)]]="Female",Backend!$C$7,IF(Table1[[#This Row],[Fetal Sex (Male, Female or Unknown)]]="Unknown",Backend!$C$8,"Error"))),"")</f>
        <v/>
      </c>
      <c r="F8700" s="8" t="str">
        <f>IF(Table1[[#This Row],[Is Data Valid]]=TRUE,EXP(0.578+0.332*((Table1[[#This Row],[Gestation (days)]]+0.5)/7)-0.00354*((Table1[[#This Row],[Gestation (days)]]+0.5)/7)^2)*Table1[[#This Row],[BW40_3705]],"")</f>
        <v/>
      </c>
      <c r="G8700" s="2" t="str">
        <f>IF(Table1[[#This Row],[Is Data Valid]]=TRUE,((Table1[[#This Row],[Birthweight (grams)]]/Table1[[#This Row],[BW_GA]])-1)/(Backend!$B$4/100*Table1[[#This Row],[BW40_3705]]),"")</f>
        <v/>
      </c>
      <c r="H8700" s="7" t="str">
        <f>IF(Table1[[#This Row],[Is Data Valid]]=TRUE,((Table1[[#This Row],[Birthweight (grams)]]*0.9/Table1[[#This Row],[BW_GA]])-1)/(Backend!$B$4/100*Table1[[#This Row],[BW40_3705]]),"")</f>
        <v/>
      </c>
      <c r="I8700" s="7" t="str">
        <f>IF(Table1[[#This Row],[Is Data Valid]]=TRUE,((Table1[[#This Row],[Birthweight (grams)]]*1.1/Table1[[#This Row],[BW_GA]])-1)/(Backend!$B$4/100*Table1[[#This Row],[BW40_3705]]),"")</f>
        <v/>
      </c>
      <c r="J8700" s="7" t="str">
        <f>IF(Table1[[#This Row],[Is Data Valid]]=TRUE,_xlfn.NORM.S.DIST(Table1[[#This Row],[Birthweight Z-Score]],TRUE)*100,"")</f>
        <v/>
      </c>
      <c r="K8700" s="7" t="str">
        <f>IF(Table1[[#This Row],[Is Data Valid]]=TRUE,_xlfn.NORM.S.DIST(Table1[[#This Row],[Birthweight Z-Score (BW-10%)]],TRUE)*100,"")</f>
        <v/>
      </c>
      <c r="L8700" s="7" t="str">
        <f>IF(Table1[[#This Row],[Is Data Valid]]=TRUE,_xlfn.NORM.S.DIST(Table1[[#This Row],[Birthweight Z-Score (BW+10%)]],TRUE)*100,"")</f>
        <v/>
      </c>
    </row>
    <row r="8701" spans="1:12" x14ac:dyDescent="0.35">
      <c r="A8701" s="3"/>
      <c r="B8701" s="2"/>
      <c r="C8701" s="2"/>
      <c r="D8701" s="2" t="b">
        <f>IF(AND(NOT(ISBLANK(Table1[[#This Row],[Fetal Sex (Male, Female or Unknown)]])),ISNUMBER(Table1[[#This Row],[Birthweight (grams)]]),ISNUMBER(Table1[[#This Row],[Gestation (days)]])),TRUE,FALSE)</f>
        <v>0</v>
      </c>
      <c r="E8701" s="2" t="str">
        <f>IF(Table1[[#This Row],[Is Data Valid]]=TRUE,IF(Table1[[#This Row],[Fetal Sex (Male, Female or Unknown)]]="Male",Backend!$C$6,IF(Table1[[#This Row],[Fetal Sex (Male, Female or Unknown)]]="Female",Backend!$C$7,IF(Table1[[#This Row],[Fetal Sex (Male, Female or Unknown)]]="Unknown",Backend!$C$8,"Error"))),"")</f>
        <v/>
      </c>
      <c r="F8701" s="8" t="str">
        <f>IF(Table1[[#This Row],[Is Data Valid]]=TRUE,EXP(0.578+0.332*((Table1[[#This Row],[Gestation (days)]]+0.5)/7)-0.00354*((Table1[[#This Row],[Gestation (days)]]+0.5)/7)^2)*Table1[[#This Row],[BW40_3705]],"")</f>
        <v/>
      </c>
      <c r="G8701" s="2" t="str">
        <f>IF(Table1[[#This Row],[Is Data Valid]]=TRUE,((Table1[[#This Row],[Birthweight (grams)]]/Table1[[#This Row],[BW_GA]])-1)/(Backend!$B$4/100*Table1[[#This Row],[BW40_3705]]),"")</f>
        <v/>
      </c>
      <c r="H8701" s="7" t="str">
        <f>IF(Table1[[#This Row],[Is Data Valid]]=TRUE,((Table1[[#This Row],[Birthweight (grams)]]*0.9/Table1[[#This Row],[BW_GA]])-1)/(Backend!$B$4/100*Table1[[#This Row],[BW40_3705]]),"")</f>
        <v/>
      </c>
      <c r="I8701" s="7" t="str">
        <f>IF(Table1[[#This Row],[Is Data Valid]]=TRUE,((Table1[[#This Row],[Birthweight (grams)]]*1.1/Table1[[#This Row],[BW_GA]])-1)/(Backend!$B$4/100*Table1[[#This Row],[BW40_3705]]),"")</f>
        <v/>
      </c>
      <c r="J8701" s="7" t="str">
        <f>IF(Table1[[#This Row],[Is Data Valid]]=TRUE,_xlfn.NORM.S.DIST(Table1[[#This Row],[Birthweight Z-Score]],TRUE)*100,"")</f>
        <v/>
      </c>
      <c r="K8701" s="7" t="str">
        <f>IF(Table1[[#This Row],[Is Data Valid]]=TRUE,_xlfn.NORM.S.DIST(Table1[[#This Row],[Birthweight Z-Score (BW-10%)]],TRUE)*100,"")</f>
        <v/>
      </c>
      <c r="L8701" s="7" t="str">
        <f>IF(Table1[[#This Row],[Is Data Valid]]=TRUE,_xlfn.NORM.S.DIST(Table1[[#This Row],[Birthweight Z-Score (BW+10%)]],TRUE)*100,"")</f>
        <v/>
      </c>
    </row>
    <row r="8702" spans="1:12" x14ac:dyDescent="0.35">
      <c r="A8702" s="3"/>
      <c r="B8702" s="2"/>
      <c r="C8702" s="2"/>
      <c r="D8702" s="2" t="b">
        <f>IF(AND(NOT(ISBLANK(Table1[[#This Row],[Fetal Sex (Male, Female or Unknown)]])),ISNUMBER(Table1[[#This Row],[Birthweight (grams)]]),ISNUMBER(Table1[[#This Row],[Gestation (days)]])),TRUE,FALSE)</f>
        <v>0</v>
      </c>
      <c r="E8702" s="2" t="str">
        <f>IF(Table1[[#This Row],[Is Data Valid]]=TRUE,IF(Table1[[#This Row],[Fetal Sex (Male, Female or Unknown)]]="Male",Backend!$C$6,IF(Table1[[#This Row],[Fetal Sex (Male, Female or Unknown)]]="Female",Backend!$C$7,IF(Table1[[#This Row],[Fetal Sex (Male, Female or Unknown)]]="Unknown",Backend!$C$8,"Error"))),"")</f>
        <v/>
      </c>
      <c r="F8702" s="8" t="str">
        <f>IF(Table1[[#This Row],[Is Data Valid]]=TRUE,EXP(0.578+0.332*((Table1[[#This Row],[Gestation (days)]]+0.5)/7)-0.00354*((Table1[[#This Row],[Gestation (days)]]+0.5)/7)^2)*Table1[[#This Row],[BW40_3705]],"")</f>
        <v/>
      </c>
      <c r="G8702" s="2" t="str">
        <f>IF(Table1[[#This Row],[Is Data Valid]]=TRUE,((Table1[[#This Row],[Birthweight (grams)]]/Table1[[#This Row],[BW_GA]])-1)/(Backend!$B$4/100*Table1[[#This Row],[BW40_3705]]),"")</f>
        <v/>
      </c>
      <c r="H8702" s="7" t="str">
        <f>IF(Table1[[#This Row],[Is Data Valid]]=TRUE,((Table1[[#This Row],[Birthweight (grams)]]*0.9/Table1[[#This Row],[BW_GA]])-1)/(Backend!$B$4/100*Table1[[#This Row],[BW40_3705]]),"")</f>
        <v/>
      </c>
      <c r="I8702" s="7" t="str">
        <f>IF(Table1[[#This Row],[Is Data Valid]]=TRUE,((Table1[[#This Row],[Birthweight (grams)]]*1.1/Table1[[#This Row],[BW_GA]])-1)/(Backend!$B$4/100*Table1[[#This Row],[BW40_3705]]),"")</f>
        <v/>
      </c>
      <c r="J8702" s="7" t="str">
        <f>IF(Table1[[#This Row],[Is Data Valid]]=TRUE,_xlfn.NORM.S.DIST(Table1[[#This Row],[Birthweight Z-Score]],TRUE)*100,"")</f>
        <v/>
      </c>
      <c r="K8702" s="7" t="str">
        <f>IF(Table1[[#This Row],[Is Data Valid]]=TRUE,_xlfn.NORM.S.DIST(Table1[[#This Row],[Birthweight Z-Score (BW-10%)]],TRUE)*100,"")</f>
        <v/>
      </c>
      <c r="L8702" s="7" t="str">
        <f>IF(Table1[[#This Row],[Is Data Valid]]=TRUE,_xlfn.NORM.S.DIST(Table1[[#This Row],[Birthweight Z-Score (BW+10%)]],TRUE)*100,"")</f>
        <v/>
      </c>
    </row>
    <row r="8703" spans="1:12" x14ac:dyDescent="0.35">
      <c r="A8703" s="3"/>
      <c r="B8703" s="2"/>
      <c r="C8703" s="2"/>
      <c r="D8703" s="2" t="b">
        <f>IF(AND(NOT(ISBLANK(Table1[[#This Row],[Fetal Sex (Male, Female or Unknown)]])),ISNUMBER(Table1[[#This Row],[Birthweight (grams)]]),ISNUMBER(Table1[[#This Row],[Gestation (days)]])),TRUE,FALSE)</f>
        <v>0</v>
      </c>
      <c r="E8703" s="2" t="str">
        <f>IF(Table1[[#This Row],[Is Data Valid]]=TRUE,IF(Table1[[#This Row],[Fetal Sex (Male, Female or Unknown)]]="Male",Backend!$C$6,IF(Table1[[#This Row],[Fetal Sex (Male, Female or Unknown)]]="Female",Backend!$C$7,IF(Table1[[#This Row],[Fetal Sex (Male, Female or Unknown)]]="Unknown",Backend!$C$8,"Error"))),"")</f>
        <v/>
      </c>
      <c r="F8703" s="8" t="str">
        <f>IF(Table1[[#This Row],[Is Data Valid]]=TRUE,EXP(0.578+0.332*((Table1[[#This Row],[Gestation (days)]]+0.5)/7)-0.00354*((Table1[[#This Row],[Gestation (days)]]+0.5)/7)^2)*Table1[[#This Row],[BW40_3705]],"")</f>
        <v/>
      </c>
      <c r="G8703" s="2" t="str">
        <f>IF(Table1[[#This Row],[Is Data Valid]]=TRUE,((Table1[[#This Row],[Birthweight (grams)]]/Table1[[#This Row],[BW_GA]])-1)/(Backend!$B$4/100*Table1[[#This Row],[BW40_3705]]),"")</f>
        <v/>
      </c>
      <c r="H8703" s="7" t="str">
        <f>IF(Table1[[#This Row],[Is Data Valid]]=TRUE,((Table1[[#This Row],[Birthweight (grams)]]*0.9/Table1[[#This Row],[BW_GA]])-1)/(Backend!$B$4/100*Table1[[#This Row],[BW40_3705]]),"")</f>
        <v/>
      </c>
      <c r="I8703" s="7" t="str">
        <f>IF(Table1[[#This Row],[Is Data Valid]]=TRUE,((Table1[[#This Row],[Birthweight (grams)]]*1.1/Table1[[#This Row],[BW_GA]])-1)/(Backend!$B$4/100*Table1[[#This Row],[BW40_3705]]),"")</f>
        <v/>
      </c>
      <c r="J8703" s="7" t="str">
        <f>IF(Table1[[#This Row],[Is Data Valid]]=TRUE,_xlfn.NORM.S.DIST(Table1[[#This Row],[Birthweight Z-Score]],TRUE)*100,"")</f>
        <v/>
      </c>
      <c r="K8703" s="7" t="str">
        <f>IF(Table1[[#This Row],[Is Data Valid]]=TRUE,_xlfn.NORM.S.DIST(Table1[[#This Row],[Birthweight Z-Score (BW-10%)]],TRUE)*100,"")</f>
        <v/>
      </c>
      <c r="L8703" s="7" t="str">
        <f>IF(Table1[[#This Row],[Is Data Valid]]=TRUE,_xlfn.NORM.S.DIST(Table1[[#This Row],[Birthweight Z-Score (BW+10%)]],TRUE)*100,"")</f>
        <v/>
      </c>
    </row>
    <row r="8704" spans="1:12" x14ac:dyDescent="0.35">
      <c r="A8704" s="3"/>
      <c r="B8704" s="2"/>
      <c r="C8704" s="2"/>
      <c r="D8704" s="2" t="b">
        <f>IF(AND(NOT(ISBLANK(Table1[[#This Row],[Fetal Sex (Male, Female or Unknown)]])),ISNUMBER(Table1[[#This Row],[Birthweight (grams)]]),ISNUMBER(Table1[[#This Row],[Gestation (days)]])),TRUE,FALSE)</f>
        <v>0</v>
      </c>
      <c r="E8704" s="2" t="str">
        <f>IF(Table1[[#This Row],[Is Data Valid]]=TRUE,IF(Table1[[#This Row],[Fetal Sex (Male, Female or Unknown)]]="Male",Backend!$C$6,IF(Table1[[#This Row],[Fetal Sex (Male, Female or Unknown)]]="Female",Backend!$C$7,IF(Table1[[#This Row],[Fetal Sex (Male, Female or Unknown)]]="Unknown",Backend!$C$8,"Error"))),"")</f>
        <v/>
      </c>
      <c r="F8704" s="8" t="str">
        <f>IF(Table1[[#This Row],[Is Data Valid]]=TRUE,EXP(0.578+0.332*((Table1[[#This Row],[Gestation (days)]]+0.5)/7)-0.00354*((Table1[[#This Row],[Gestation (days)]]+0.5)/7)^2)*Table1[[#This Row],[BW40_3705]],"")</f>
        <v/>
      </c>
      <c r="G8704" s="2" t="str">
        <f>IF(Table1[[#This Row],[Is Data Valid]]=TRUE,((Table1[[#This Row],[Birthweight (grams)]]/Table1[[#This Row],[BW_GA]])-1)/(Backend!$B$4/100*Table1[[#This Row],[BW40_3705]]),"")</f>
        <v/>
      </c>
      <c r="H8704" s="7" t="str">
        <f>IF(Table1[[#This Row],[Is Data Valid]]=TRUE,((Table1[[#This Row],[Birthweight (grams)]]*0.9/Table1[[#This Row],[BW_GA]])-1)/(Backend!$B$4/100*Table1[[#This Row],[BW40_3705]]),"")</f>
        <v/>
      </c>
      <c r="I8704" s="7" t="str">
        <f>IF(Table1[[#This Row],[Is Data Valid]]=TRUE,((Table1[[#This Row],[Birthweight (grams)]]*1.1/Table1[[#This Row],[BW_GA]])-1)/(Backend!$B$4/100*Table1[[#This Row],[BW40_3705]]),"")</f>
        <v/>
      </c>
      <c r="J8704" s="7" t="str">
        <f>IF(Table1[[#This Row],[Is Data Valid]]=TRUE,_xlfn.NORM.S.DIST(Table1[[#This Row],[Birthweight Z-Score]],TRUE)*100,"")</f>
        <v/>
      </c>
      <c r="K8704" s="7" t="str">
        <f>IF(Table1[[#This Row],[Is Data Valid]]=TRUE,_xlfn.NORM.S.DIST(Table1[[#This Row],[Birthweight Z-Score (BW-10%)]],TRUE)*100,"")</f>
        <v/>
      </c>
      <c r="L8704" s="7" t="str">
        <f>IF(Table1[[#This Row],[Is Data Valid]]=TRUE,_xlfn.NORM.S.DIST(Table1[[#This Row],[Birthweight Z-Score (BW+10%)]],TRUE)*100,"")</f>
        <v/>
      </c>
    </row>
    <row r="8705" spans="1:12" x14ac:dyDescent="0.35">
      <c r="A8705" s="3"/>
      <c r="B8705" s="2"/>
      <c r="C8705" s="2"/>
      <c r="D8705" s="2" t="b">
        <f>IF(AND(NOT(ISBLANK(Table1[[#This Row],[Fetal Sex (Male, Female or Unknown)]])),ISNUMBER(Table1[[#This Row],[Birthweight (grams)]]),ISNUMBER(Table1[[#This Row],[Gestation (days)]])),TRUE,FALSE)</f>
        <v>0</v>
      </c>
      <c r="E8705" s="2" t="str">
        <f>IF(Table1[[#This Row],[Is Data Valid]]=TRUE,IF(Table1[[#This Row],[Fetal Sex (Male, Female or Unknown)]]="Male",Backend!$C$6,IF(Table1[[#This Row],[Fetal Sex (Male, Female or Unknown)]]="Female",Backend!$C$7,IF(Table1[[#This Row],[Fetal Sex (Male, Female or Unknown)]]="Unknown",Backend!$C$8,"Error"))),"")</f>
        <v/>
      </c>
      <c r="F8705" s="8" t="str">
        <f>IF(Table1[[#This Row],[Is Data Valid]]=TRUE,EXP(0.578+0.332*((Table1[[#This Row],[Gestation (days)]]+0.5)/7)-0.00354*((Table1[[#This Row],[Gestation (days)]]+0.5)/7)^2)*Table1[[#This Row],[BW40_3705]],"")</f>
        <v/>
      </c>
      <c r="G8705" s="2" t="str">
        <f>IF(Table1[[#This Row],[Is Data Valid]]=TRUE,((Table1[[#This Row],[Birthweight (grams)]]/Table1[[#This Row],[BW_GA]])-1)/(Backend!$B$4/100*Table1[[#This Row],[BW40_3705]]),"")</f>
        <v/>
      </c>
      <c r="H8705" s="7" t="str">
        <f>IF(Table1[[#This Row],[Is Data Valid]]=TRUE,((Table1[[#This Row],[Birthweight (grams)]]*0.9/Table1[[#This Row],[BW_GA]])-1)/(Backend!$B$4/100*Table1[[#This Row],[BW40_3705]]),"")</f>
        <v/>
      </c>
      <c r="I8705" s="7" t="str">
        <f>IF(Table1[[#This Row],[Is Data Valid]]=TRUE,((Table1[[#This Row],[Birthweight (grams)]]*1.1/Table1[[#This Row],[BW_GA]])-1)/(Backend!$B$4/100*Table1[[#This Row],[BW40_3705]]),"")</f>
        <v/>
      </c>
      <c r="J8705" s="7" t="str">
        <f>IF(Table1[[#This Row],[Is Data Valid]]=TRUE,_xlfn.NORM.S.DIST(Table1[[#This Row],[Birthweight Z-Score]],TRUE)*100,"")</f>
        <v/>
      </c>
      <c r="K8705" s="7" t="str">
        <f>IF(Table1[[#This Row],[Is Data Valid]]=TRUE,_xlfn.NORM.S.DIST(Table1[[#This Row],[Birthweight Z-Score (BW-10%)]],TRUE)*100,"")</f>
        <v/>
      </c>
      <c r="L8705" s="7" t="str">
        <f>IF(Table1[[#This Row],[Is Data Valid]]=TRUE,_xlfn.NORM.S.DIST(Table1[[#This Row],[Birthweight Z-Score (BW+10%)]],TRUE)*100,"")</f>
        <v/>
      </c>
    </row>
    <row r="8706" spans="1:12" x14ac:dyDescent="0.35">
      <c r="A8706" s="3"/>
      <c r="B8706" s="2"/>
      <c r="C8706" s="2"/>
      <c r="D8706" s="2" t="b">
        <f>IF(AND(NOT(ISBLANK(Table1[[#This Row],[Fetal Sex (Male, Female or Unknown)]])),ISNUMBER(Table1[[#This Row],[Birthweight (grams)]]),ISNUMBER(Table1[[#This Row],[Gestation (days)]])),TRUE,FALSE)</f>
        <v>0</v>
      </c>
      <c r="E8706" s="2" t="str">
        <f>IF(Table1[[#This Row],[Is Data Valid]]=TRUE,IF(Table1[[#This Row],[Fetal Sex (Male, Female or Unknown)]]="Male",Backend!$C$6,IF(Table1[[#This Row],[Fetal Sex (Male, Female or Unknown)]]="Female",Backend!$C$7,IF(Table1[[#This Row],[Fetal Sex (Male, Female or Unknown)]]="Unknown",Backend!$C$8,"Error"))),"")</f>
        <v/>
      </c>
      <c r="F8706" s="8" t="str">
        <f>IF(Table1[[#This Row],[Is Data Valid]]=TRUE,EXP(0.578+0.332*((Table1[[#This Row],[Gestation (days)]]+0.5)/7)-0.00354*((Table1[[#This Row],[Gestation (days)]]+0.5)/7)^2)*Table1[[#This Row],[BW40_3705]],"")</f>
        <v/>
      </c>
      <c r="G8706" s="2" t="str">
        <f>IF(Table1[[#This Row],[Is Data Valid]]=TRUE,((Table1[[#This Row],[Birthweight (grams)]]/Table1[[#This Row],[BW_GA]])-1)/(Backend!$B$4/100*Table1[[#This Row],[BW40_3705]]),"")</f>
        <v/>
      </c>
      <c r="H8706" s="7" t="str">
        <f>IF(Table1[[#This Row],[Is Data Valid]]=TRUE,((Table1[[#This Row],[Birthweight (grams)]]*0.9/Table1[[#This Row],[BW_GA]])-1)/(Backend!$B$4/100*Table1[[#This Row],[BW40_3705]]),"")</f>
        <v/>
      </c>
      <c r="I8706" s="7" t="str">
        <f>IF(Table1[[#This Row],[Is Data Valid]]=TRUE,((Table1[[#This Row],[Birthweight (grams)]]*1.1/Table1[[#This Row],[BW_GA]])-1)/(Backend!$B$4/100*Table1[[#This Row],[BW40_3705]]),"")</f>
        <v/>
      </c>
      <c r="J8706" s="7" t="str">
        <f>IF(Table1[[#This Row],[Is Data Valid]]=TRUE,_xlfn.NORM.S.DIST(Table1[[#This Row],[Birthweight Z-Score]],TRUE)*100,"")</f>
        <v/>
      </c>
      <c r="K8706" s="7" t="str">
        <f>IF(Table1[[#This Row],[Is Data Valid]]=TRUE,_xlfn.NORM.S.DIST(Table1[[#This Row],[Birthweight Z-Score (BW-10%)]],TRUE)*100,"")</f>
        <v/>
      </c>
      <c r="L8706" s="7" t="str">
        <f>IF(Table1[[#This Row],[Is Data Valid]]=TRUE,_xlfn.NORM.S.DIST(Table1[[#This Row],[Birthweight Z-Score (BW+10%)]],TRUE)*100,"")</f>
        <v/>
      </c>
    </row>
    <row r="8707" spans="1:12" x14ac:dyDescent="0.35">
      <c r="A8707" s="3"/>
      <c r="B8707" s="2"/>
      <c r="C8707" s="2"/>
      <c r="D8707" s="2" t="b">
        <f>IF(AND(NOT(ISBLANK(Table1[[#This Row],[Fetal Sex (Male, Female or Unknown)]])),ISNUMBER(Table1[[#This Row],[Birthweight (grams)]]),ISNUMBER(Table1[[#This Row],[Gestation (days)]])),TRUE,FALSE)</f>
        <v>0</v>
      </c>
      <c r="E8707" s="2" t="str">
        <f>IF(Table1[[#This Row],[Is Data Valid]]=TRUE,IF(Table1[[#This Row],[Fetal Sex (Male, Female or Unknown)]]="Male",Backend!$C$6,IF(Table1[[#This Row],[Fetal Sex (Male, Female or Unknown)]]="Female",Backend!$C$7,IF(Table1[[#This Row],[Fetal Sex (Male, Female or Unknown)]]="Unknown",Backend!$C$8,"Error"))),"")</f>
        <v/>
      </c>
      <c r="F8707" s="8" t="str">
        <f>IF(Table1[[#This Row],[Is Data Valid]]=TRUE,EXP(0.578+0.332*((Table1[[#This Row],[Gestation (days)]]+0.5)/7)-0.00354*((Table1[[#This Row],[Gestation (days)]]+0.5)/7)^2)*Table1[[#This Row],[BW40_3705]],"")</f>
        <v/>
      </c>
      <c r="G8707" s="2" t="str">
        <f>IF(Table1[[#This Row],[Is Data Valid]]=TRUE,((Table1[[#This Row],[Birthweight (grams)]]/Table1[[#This Row],[BW_GA]])-1)/(Backend!$B$4/100*Table1[[#This Row],[BW40_3705]]),"")</f>
        <v/>
      </c>
      <c r="H8707" s="7" t="str">
        <f>IF(Table1[[#This Row],[Is Data Valid]]=TRUE,((Table1[[#This Row],[Birthweight (grams)]]*0.9/Table1[[#This Row],[BW_GA]])-1)/(Backend!$B$4/100*Table1[[#This Row],[BW40_3705]]),"")</f>
        <v/>
      </c>
      <c r="I8707" s="7" t="str">
        <f>IF(Table1[[#This Row],[Is Data Valid]]=TRUE,((Table1[[#This Row],[Birthweight (grams)]]*1.1/Table1[[#This Row],[BW_GA]])-1)/(Backend!$B$4/100*Table1[[#This Row],[BW40_3705]]),"")</f>
        <v/>
      </c>
      <c r="J8707" s="7" t="str">
        <f>IF(Table1[[#This Row],[Is Data Valid]]=TRUE,_xlfn.NORM.S.DIST(Table1[[#This Row],[Birthweight Z-Score]],TRUE)*100,"")</f>
        <v/>
      </c>
      <c r="K8707" s="7" t="str">
        <f>IF(Table1[[#This Row],[Is Data Valid]]=TRUE,_xlfn.NORM.S.DIST(Table1[[#This Row],[Birthweight Z-Score (BW-10%)]],TRUE)*100,"")</f>
        <v/>
      </c>
      <c r="L8707" s="7" t="str">
        <f>IF(Table1[[#This Row],[Is Data Valid]]=TRUE,_xlfn.NORM.S.DIST(Table1[[#This Row],[Birthweight Z-Score (BW+10%)]],TRUE)*100,"")</f>
        <v/>
      </c>
    </row>
    <row r="8708" spans="1:12" x14ac:dyDescent="0.35">
      <c r="A8708" s="3"/>
      <c r="B8708" s="2"/>
      <c r="C8708" s="2"/>
      <c r="D8708" s="2" t="b">
        <f>IF(AND(NOT(ISBLANK(Table1[[#This Row],[Fetal Sex (Male, Female or Unknown)]])),ISNUMBER(Table1[[#This Row],[Birthweight (grams)]]),ISNUMBER(Table1[[#This Row],[Gestation (days)]])),TRUE,FALSE)</f>
        <v>0</v>
      </c>
      <c r="E8708" s="2" t="str">
        <f>IF(Table1[[#This Row],[Is Data Valid]]=TRUE,IF(Table1[[#This Row],[Fetal Sex (Male, Female or Unknown)]]="Male",Backend!$C$6,IF(Table1[[#This Row],[Fetal Sex (Male, Female or Unknown)]]="Female",Backend!$C$7,IF(Table1[[#This Row],[Fetal Sex (Male, Female or Unknown)]]="Unknown",Backend!$C$8,"Error"))),"")</f>
        <v/>
      </c>
      <c r="F8708" s="8" t="str">
        <f>IF(Table1[[#This Row],[Is Data Valid]]=TRUE,EXP(0.578+0.332*((Table1[[#This Row],[Gestation (days)]]+0.5)/7)-0.00354*((Table1[[#This Row],[Gestation (days)]]+0.5)/7)^2)*Table1[[#This Row],[BW40_3705]],"")</f>
        <v/>
      </c>
      <c r="G8708" s="2" t="str">
        <f>IF(Table1[[#This Row],[Is Data Valid]]=TRUE,((Table1[[#This Row],[Birthweight (grams)]]/Table1[[#This Row],[BW_GA]])-1)/(Backend!$B$4/100*Table1[[#This Row],[BW40_3705]]),"")</f>
        <v/>
      </c>
      <c r="H8708" s="7" t="str">
        <f>IF(Table1[[#This Row],[Is Data Valid]]=TRUE,((Table1[[#This Row],[Birthweight (grams)]]*0.9/Table1[[#This Row],[BW_GA]])-1)/(Backend!$B$4/100*Table1[[#This Row],[BW40_3705]]),"")</f>
        <v/>
      </c>
      <c r="I8708" s="7" t="str">
        <f>IF(Table1[[#This Row],[Is Data Valid]]=TRUE,((Table1[[#This Row],[Birthweight (grams)]]*1.1/Table1[[#This Row],[BW_GA]])-1)/(Backend!$B$4/100*Table1[[#This Row],[BW40_3705]]),"")</f>
        <v/>
      </c>
      <c r="J8708" s="7" t="str">
        <f>IF(Table1[[#This Row],[Is Data Valid]]=TRUE,_xlfn.NORM.S.DIST(Table1[[#This Row],[Birthweight Z-Score]],TRUE)*100,"")</f>
        <v/>
      </c>
      <c r="K8708" s="7" t="str">
        <f>IF(Table1[[#This Row],[Is Data Valid]]=TRUE,_xlfn.NORM.S.DIST(Table1[[#This Row],[Birthweight Z-Score (BW-10%)]],TRUE)*100,"")</f>
        <v/>
      </c>
      <c r="L8708" s="7" t="str">
        <f>IF(Table1[[#This Row],[Is Data Valid]]=TRUE,_xlfn.NORM.S.DIST(Table1[[#This Row],[Birthweight Z-Score (BW+10%)]],TRUE)*100,"")</f>
        <v/>
      </c>
    </row>
    <row r="8709" spans="1:12" x14ac:dyDescent="0.35">
      <c r="A8709" s="3"/>
      <c r="B8709" s="2"/>
      <c r="C8709" s="2"/>
      <c r="D8709" s="2" t="b">
        <f>IF(AND(NOT(ISBLANK(Table1[[#This Row],[Fetal Sex (Male, Female or Unknown)]])),ISNUMBER(Table1[[#This Row],[Birthweight (grams)]]),ISNUMBER(Table1[[#This Row],[Gestation (days)]])),TRUE,FALSE)</f>
        <v>0</v>
      </c>
      <c r="E8709" s="2" t="str">
        <f>IF(Table1[[#This Row],[Is Data Valid]]=TRUE,IF(Table1[[#This Row],[Fetal Sex (Male, Female or Unknown)]]="Male",Backend!$C$6,IF(Table1[[#This Row],[Fetal Sex (Male, Female or Unknown)]]="Female",Backend!$C$7,IF(Table1[[#This Row],[Fetal Sex (Male, Female or Unknown)]]="Unknown",Backend!$C$8,"Error"))),"")</f>
        <v/>
      </c>
      <c r="F8709" s="8" t="str">
        <f>IF(Table1[[#This Row],[Is Data Valid]]=TRUE,EXP(0.578+0.332*((Table1[[#This Row],[Gestation (days)]]+0.5)/7)-0.00354*((Table1[[#This Row],[Gestation (days)]]+0.5)/7)^2)*Table1[[#This Row],[BW40_3705]],"")</f>
        <v/>
      </c>
      <c r="G8709" s="2" t="str">
        <f>IF(Table1[[#This Row],[Is Data Valid]]=TRUE,((Table1[[#This Row],[Birthweight (grams)]]/Table1[[#This Row],[BW_GA]])-1)/(Backend!$B$4/100*Table1[[#This Row],[BW40_3705]]),"")</f>
        <v/>
      </c>
      <c r="H8709" s="7" t="str">
        <f>IF(Table1[[#This Row],[Is Data Valid]]=TRUE,((Table1[[#This Row],[Birthweight (grams)]]*0.9/Table1[[#This Row],[BW_GA]])-1)/(Backend!$B$4/100*Table1[[#This Row],[BW40_3705]]),"")</f>
        <v/>
      </c>
      <c r="I8709" s="7" t="str">
        <f>IF(Table1[[#This Row],[Is Data Valid]]=TRUE,((Table1[[#This Row],[Birthweight (grams)]]*1.1/Table1[[#This Row],[BW_GA]])-1)/(Backend!$B$4/100*Table1[[#This Row],[BW40_3705]]),"")</f>
        <v/>
      </c>
      <c r="J8709" s="7" t="str">
        <f>IF(Table1[[#This Row],[Is Data Valid]]=TRUE,_xlfn.NORM.S.DIST(Table1[[#This Row],[Birthweight Z-Score]],TRUE)*100,"")</f>
        <v/>
      </c>
      <c r="K8709" s="7" t="str">
        <f>IF(Table1[[#This Row],[Is Data Valid]]=TRUE,_xlfn.NORM.S.DIST(Table1[[#This Row],[Birthweight Z-Score (BW-10%)]],TRUE)*100,"")</f>
        <v/>
      </c>
      <c r="L8709" s="7" t="str">
        <f>IF(Table1[[#This Row],[Is Data Valid]]=TRUE,_xlfn.NORM.S.DIST(Table1[[#This Row],[Birthweight Z-Score (BW+10%)]],TRUE)*100,"")</f>
        <v/>
      </c>
    </row>
    <row r="8710" spans="1:12" x14ac:dyDescent="0.35">
      <c r="A8710" s="3"/>
      <c r="B8710" s="2"/>
      <c r="C8710" s="2"/>
      <c r="D8710" s="2" t="b">
        <f>IF(AND(NOT(ISBLANK(Table1[[#This Row],[Fetal Sex (Male, Female or Unknown)]])),ISNUMBER(Table1[[#This Row],[Birthweight (grams)]]),ISNUMBER(Table1[[#This Row],[Gestation (days)]])),TRUE,FALSE)</f>
        <v>0</v>
      </c>
      <c r="E8710" s="2" t="str">
        <f>IF(Table1[[#This Row],[Is Data Valid]]=TRUE,IF(Table1[[#This Row],[Fetal Sex (Male, Female or Unknown)]]="Male",Backend!$C$6,IF(Table1[[#This Row],[Fetal Sex (Male, Female or Unknown)]]="Female",Backend!$C$7,IF(Table1[[#This Row],[Fetal Sex (Male, Female or Unknown)]]="Unknown",Backend!$C$8,"Error"))),"")</f>
        <v/>
      </c>
      <c r="F8710" s="8" t="str">
        <f>IF(Table1[[#This Row],[Is Data Valid]]=TRUE,EXP(0.578+0.332*((Table1[[#This Row],[Gestation (days)]]+0.5)/7)-0.00354*((Table1[[#This Row],[Gestation (days)]]+0.5)/7)^2)*Table1[[#This Row],[BW40_3705]],"")</f>
        <v/>
      </c>
      <c r="G8710" s="2" t="str">
        <f>IF(Table1[[#This Row],[Is Data Valid]]=TRUE,((Table1[[#This Row],[Birthweight (grams)]]/Table1[[#This Row],[BW_GA]])-1)/(Backend!$B$4/100*Table1[[#This Row],[BW40_3705]]),"")</f>
        <v/>
      </c>
      <c r="H8710" s="7" t="str">
        <f>IF(Table1[[#This Row],[Is Data Valid]]=TRUE,((Table1[[#This Row],[Birthweight (grams)]]*0.9/Table1[[#This Row],[BW_GA]])-1)/(Backend!$B$4/100*Table1[[#This Row],[BW40_3705]]),"")</f>
        <v/>
      </c>
      <c r="I8710" s="7" t="str">
        <f>IF(Table1[[#This Row],[Is Data Valid]]=TRUE,((Table1[[#This Row],[Birthweight (grams)]]*1.1/Table1[[#This Row],[BW_GA]])-1)/(Backend!$B$4/100*Table1[[#This Row],[BW40_3705]]),"")</f>
        <v/>
      </c>
      <c r="J8710" s="7" t="str">
        <f>IF(Table1[[#This Row],[Is Data Valid]]=TRUE,_xlfn.NORM.S.DIST(Table1[[#This Row],[Birthweight Z-Score]],TRUE)*100,"")</f>
        <v/>
      </c>
      <c r="K8710" s="7" t="str">
        <f>IF(Table1[[#This Row],[Is Data Valid]]=TRUE,_xlfn.NORM.S.DIST(Table1[[#This Row],[Birthweight Z-Score (BW-10%)]],TRUE)*100,"")</f>
        <v/>
      </c>
      <c r="L8710" s="7" t="str">
        <f>IF(Table1[[#This Row],[Is Data Valid]]=TRUE,_xlfn.NORM.S.DIST(Table1[[#This Row],[Birthweight Z-Score (BW+10%)]],TRUE)*100,"")</f>
        <v/>
      </c>
    </row>
    <row r="8711" spans="1:12" x14ac:dyDescent="0.35">
      <c r="A8711" s="3"/>
      <c r="B8711" s="2"/>
      <c r="C8711" s="2"/>
      <c r="D8711" s="2" t="b">
        <f>IF(AND(NOT(ISBLANK(Table1[[#This Row],[Fetal Sex (Male, Female or Unknown)]])),ISNUMBER(Table1[[#This Row],[Birthweight (grams)]]),ISNUMBER(Table1[[#This Row],[Gestation (days)]])),TRUE,FALSE)</f>
        <v>0</v>
      </c>
      <c r="E8711" s="2" t="str">
        <f>IF(Table1[[#This Row],[Is Data Valid]]=TRUE,IF(Table1[[#This Row],[Fetal Sex (Male, Female or Unknown)]]="Male",Backend!$C$6,IF(Table1[[#This Row],[Fetal Sex (Male, Female or Unknown)]]="Female",Backend!$C$7,IF(Table1[[#This Row],[Fetal Sex (Male, Female or Unknown)]]="Unknown",Backend!$C$8,"Error"))),"")</f>
        <v/>
      </c>
      <c r="F8711" s="8" t="str">
        <f>IF(Table1[[#This Row],[Is Data Valid]]=TRUE,EXP(0.578+0.332*((Table1[[#This Row],[Gestation (days)]]+0.5)/7)-0.00354*((Table1[[#This Row],[Gestation (days)]]+0.5)/7)^2)*Table1[[#This Row],[BW40_3705]],"")</f>
        <v/>
      </c>
      <c r="G8711" s="2" t="str">
        <f>IF(Table1[[#This Row],[Is Data Valid]]=TRUE,((Table1[[#This Row],[Birthweight (grams)]]/Table1[[#This Row],[BW_GA]])-1)/(Backend!$B$4/100*Table1[[#This Row],[BW40_3705]]),"")</f>
        <v/>
      </c>
      <c r="H8711" s="7" t="str">
        <f>IF(Table1[[#This Row],[Is Data Valid]]=TRUE,((Table1[[#This Row],[Birthweight (grams)]]*0.9/Table1[[#This Row],[BW_GA]])-1)/(Backend!$B$4/100*Table1[[#This Row],[BW40_3705]]),"")</f>
        <v/>
      </c>
      <c r="I8711" s="7" t="str">
        <f>IF(Table1[[#This Row],[Is Data Valid]]=TRUE,((Table1[[#This Row],[Birthweight (grams)]]*1.1/Table1[[#This Row],[BW_GA]])-1)/(Backend!$B$4/100*Table1[[#This Row],[BW40_3705]]),"")</f>
        <v/>
      </c>
      <c r="J8711" s="7" t="str">
        <f>IF(Table1[[#This Row],[Is Data Valid]]=TRUE,_xlfn.NORM.S.DIST(Table1[[#This Row],[Birthweight Z-Score]],TRUE)*100,"")</f>
        <v/>
      </c>
      <c r="K8711" s="7" t="str">
        <f>IF(Table1[[#This Row],[Is Data Valid]]=TRUE,_xlfn.NORM.S.DIST(Table1[[#This Row],[Birthweight Z-Score (BW-10%)]],TRUE)*100,"")</f>
        <v/>
      </c>
      <c r="L8711" s="7" t="str">
        <f>IF(Table1[[#This Row],[Is Data Valid]]=TRUE,_xlfn.NORM.S.DIST(Table1[[#This Row],[Birthweight Z-Score (BW+10%)]],TRUE)*100,"")</f>
        <v/>
      </c>
    </row>
    <row r="8712" spans="1:12" x14ac:dyDescent="0.35">
      <c r="A8712" s="3"/>
      <c r="B8712" s="2"/>
      <c r="C8712" s="2"/>
      <c r="D8712" s="2" t="b">
        <f>IF(AND(NOT(ISBLANK(Table1[[#This Row],[Fetal Sex (Male, Female or Unknown)]])),ISNUMBER(Table1[[#This Row],[Birthweight (grams)]]),ISNUMBER(Table1[[#This Row],[Gestation (days)]])),TRUE,FALSE)</f>
        <v>0</v>
      </c>
      <c r="E8712" s="2" t="str">
        <f>IF(Table1[[#This Row],[Is Data Valid]]=TRUE,IF(Table1[[#This Row],[Fetal Sex (Male, Female or Unknown)]]="Male",Backend!$C$6,IF(Table1[[#This Row],[Fetal Sex (Male, Female or Unknown)]]="Female",Backend!$C$7,IF(Table1[[#This Row],[Fetal Sex (Male, Female or Unknown)]]="Unknown",Backend!$C$8,"Error"))),"")</f>
        <v/>
      </c>
      <c r="F8712" s="8" t="str">
        <f>IF(Table1[[#This Row],[Is Data Valid]]=TRUE,EXP(0.578+0.332*((Table1[[#This Row],[Gestation (days)]]+0.5)/7)-0.00354*((Table1[[#This Row],[Gestation (days)]]+0.5)/7)^2)*Table1[[#This Row],[BW40_3705]],"")</f>
        <v/>
      </c>
      <c r="G8712" s="2" t="str">
        <f>IF(Table1[[#This Row],[Is Data Valid]]=TRUE,((Table1[[#This Row],[Birthweight (grams)]]/Table1[[#This Row],[BW_GA]])-1)/(Backend!$B$4/100*Table1[[#This Row],[BW40_3705]]),"")</f>
        <v/>
      </c>
      <c r="H8712" s="7" t="str">
        <f>IF(Table1[[#This Row],[Is Data Valid]]=TRUE,((Table1[[#This Row],[Birthweight (grams)]]*0.9/Table1[[#This Row],[BW_GA]])-1)/(Backend!$B$4/100*Table1[[#This Row],[BW40_3705]]),"")</f>
        <v/>
      </c>
      <c r="I8712" s="7" t="str">
        <f>IF(Table1[[#This Row],[Is Data Valid]]=TRUE,((Table1[[#This Row],[Birthweight (grams)]]*1.1/Table1[[#This Row],[BW_GA]])-1)/(Backend!$B$4/100*Table1[[#This Row],[BW40_3705]]),"")</f>
        <v/>
      </c>
      <c r="J8712" s="7" t="str">
        <f>IF(Table1[[#This Row],[Is Data Valid]]=TRUE,_xlfn.NORM.S.DIST(Table1[[#This Row],[Birthweight Z-Score]],TRUE)*100,"")</f>
        <v/>
      </c>
      <c r="K8712" s="7" t="str">
        <f>IF(Table1[[#This Row],[Is Data Valid]]=TRUE,_xlfn.NORM.S.DIST(Table1[[#This Row],[Birthweight Z-Score (BW-10%)]],TRUE)*100,"")</f>
        <v/>
      </c>
      <c r="L8712" s="7" t="str">
        <f>IF(Table1[[#This Row],[Is Data Valid]]=TRUE,_xlfn.NORM.S.DIST(Table1[[#This Row],[Birthweight Z-Score (BW+10%)]],TRUE)*100,"")</f>
        <v/>
      </c>
    </row>
    <row r="8713" spans="1:12" x14ac:dyDescent="0.35">
      <c r="A8713" s="3"/>
      <c r="B8713" s="2"/>
      <c r="C8713" s="2"/>
      <c r="D8713" s="2" t="b">
        <f>IF(AND(NOT(ISBLANK(Table1[[#This Row],[Fetal Sex (Male, Female or Unknown)]])),ISNUMBER(Table1[[#This Row],[Birthweight (grams)]]),ISNUMBER(Table1[[#This Row],[Gestation (days)]])),TRUE,FALSE)</f>
        <v>0</v>
      </c>
      <c r="E8713" s="2" t="str">
        <f>IF(Table1[[#This Row],[Is Data Valid]]=TRUE,IF(Table1[[#This Row],[Fetal Sex (Male, Female or Unknown)]]="Male",Backend!$C$6,IF(Table1[[#This Row],[Fetal Sex (Male, Female or Unknown)]]="Female",Backend!$C$7,IF(Table1[[#This Row],[Fetal Sex (Male, Female or Unknown)]]="Unknown",Backend!$C$8,"Error"))),"")</f>
        <v/>
      </c>
      <c r="F8713" s="8" t="str">
        <f>IF(Table1[[#This Row],[Is Data Valid]]=TRUE,EXP(0.578+0.332*((Table1[[#This Row],[Gestation (days)]]+0.5)/7)-0.00354*((Table1[[#This Row],[Gestation (days)]]+0.5)/7)^2)*Table1[[#This Row],[BW40_3705]],"")</f>
        <v/>
      </c>
      <c r="G8713" s="2" t="str">
        <f>IF(Table1[[#This Row],[Is Data Valid]]=TRUE,((Table1[[#This Row],[Birthweight (grams)]]/Table1[[#This Row],[BW_GA]])-1)/(Backend!$B$4/100*Table1[[#This Row],[BW40_3705]]),"")</f>
        <v/>
      </c>
      <c r="H8713" s="7" t="str">
        <f>IF(Table1[[#This Row],[Is Data Valid]]=TRUE,((Table1[[#This Row],[Birthweight (grams)]]*0.9/Table1[[#This Row],[BW_GA]])-1)/(Backend!$B$4/100*Table1[[#This Row],[BW40_3705]]),"")</f>
        <v/>
      </c>
      <c r="I8713" s="7" t="str">
        <f>IF(Table1[[#This Row],[Is Data Valid]]=TRUE,((Table1[[#This Row],[Birthweight (grams)]]*1.1/Table1[[#This Row],[BW_GA]])-1)/(Backend!$B$4/100*Table1[[#This Row],[BW40_3705]]),"")</f>
        <v/>
      </c>
      <c r="J8713" s="7" t="str">
        <f>IF(Table1[[#This Row],[Is Data Valid]]=TRUE,_xlfn.NORM.S.DIST(Table1[[#This Row],[Birthweight Z-Score]],TRUE)*100,"")</f>
        <v/>
      </c>
      <c r="K8713" s="7" t="str">
        <f>IF(Table1[[#This Row],[Is Data Valid]]=TRUE,_xlfn.NORM.S.DIST(Table1[[#This Row],[Birthweight Z-Score (BW-10%)]],TRUE)*100,"")</f>
        <v/>
      </c>
      <c r="L8713" s="7" t="str">
        <f>IF(Table1[[#This Row],[Is Data Valid]]=TRUE,_xlfn.NORM.S.DIST(Table1[[#This Row],[Birthweight Z-Score (BW+10%)]],TRUE)*100,"")</f>
        <v/>
      </c>
    </row>
    <row r="8714" spans="1:12" x14ac:dyDescent="0.35">
      <c r="A8714" s="3"/>
      <c r="B8714" s="2"/>
      <c r="C8714" s="2"/>
      <c r="D8714" s="2" t="b">
        <f>IF(AND(NOT(ISBLANK(Table1[[#This Row],[Fetal Sex (Male, Female or Unknown)]])),ISNUMBER(Table1[[#This Row],[Birthweight (grams)]]),ISNUMBER(Table1[[#This Row],[Gestation (days)]])),TRUE,FALSE)</f>
        <v>0</v>
      </c>
      <c r="E8714" s="2" t="str">
        <f>IF(Table1[[#This Row],[Is Data Valid]]=TRUE,IF(Table1[[#This Row],[Fetal Sex (Male, Female or Unknown)]]="Male",Backend!$C$6,IF(Table1[[#This Row],[Fetal Sex (Male, Female or Unknown)]]="Female",Backend!$C$7,IF(Table1[[#This Row],[Fetal Sex (Male, Female or Unknown)]]="Unknown",Backend!$C$8,"Error"))),"")</f>
        <v/>
      </c>
      <c r="F8714" s="8" t="str">
        <f>IF(Table1[[#This Row],[Is Data Valid]]=TRUE,EXP(0.578+0.332*((Table1[[#This Row],[Gestation (days)]]+0.5)/7)-0.00354*((Table1[[#This Row],[Gestation (days)]]+0.5)/7)^2)*Table1[[#This Row],[BW40_3705]],"")</f>
        <v/>
      </c>
      <c r="G8714" s="2" t="str">
        <f>IF(Table1[[#This Row],[Is Data Valid]]=TRUE,((Table1[[#This Row],[Birthweight (grams)]]/Table1[[#This Row],[BW_GA]])-1)/(Backend!$B$4/100*Table1[[#This Row],[BW40_3705]]),"")</f>
        <v/>
      </c>
      <c r="H8714" s="7" t="str">
        <f>IF(Table1[[#This Row],[Is Data Valid]]=TRUE,((Table1[[#This Row],[Birthweight (grams)]]*0.9/Table1[[#This Row],[BW_GA]])-1)/(Backend!$B$4/100*Table1[[#This Row],[BW40_3705]]),"")</f>
        <v/>
      </c>
      <c r="I8714" s="7" t="str">
        <f>IF(Table1[[#This Row],[Is Data Valid]]=TRUE,((Table1[[#This Row],[Birthweight (grams)]]*1.1/Table1[[#This Row],[BW_GA]])-1)/(Backend!$B$4/100*Table1[[#This Row],[BW40_3705]]),"")</f>
        <v/>
      </c>
      <c r="J8714" s="7" t="str">
        <f>IF(Table1[[#This Row],[Is Data Valid]]=TRUE,_xlfn.NORM.S.DIST(Table1[[#This Row],[Birthweight Z-Score]],TRUE)*100,"")</f>
        <v/>
      </c>
      <c r="K8714" s="7" t="str">
        <f>IF(Table1[[#This Row],[Is Data Valid]]=TRUE,_xlfn.NORM.S.DIST(Table1[[#This Row],[Birthweight Z-Score (BW-10%)]],TRUE)*100,"")</f>
        <v/>
      </c>
      <c r="L8714" s="7" t="str">
        <f>IF(Table1[[#This Row],[Is Data Valid]]=TRUE,_xlfn.NORM.S.DIST(Table1[[#This Row],[Birthweight Z-Score (BW+10%)]],TRUE)*100,"")</f>
        <v/>
      </c>
    </row>
    <row r="8715" spans="1:12" x14ac:dyDescent="0.35">
      <c r="A8715" s="3"/>
      <c r="B8715" s="2"/>
      <c r="C8715" s="2"/>
      <c r="D8715" s="2" t="b">
        <f>IF(AND(NOT(ISBLANK(Table1[[#This Row],[Fetal Sex (Male, Female or Unknown)]])),ISNUMBER(Table1[[#This Row],[Birthweight (grams)]]),ISNUMBER(Table1[[#This Row],[Gestation (days)]])),TRUE,FALSE)</f>
        <v>0</v>
      </c>
      <c r="E8715" s="2" t="str">
        <f>IF(Table1[[#This Row],[Is Data Valid]]=TRUE,IF(Table1[[#This Row],[Fetal Sex (Male, Female or Unknown)]]="Male",Backend!$C$6,IF(Table1[[#This Row],[Fetal Sex (Male, Female or Unknown)]]="Female",Backend!$C$7,IF(Table1[[#This Row],[Fetal Sex (Male, Female or Unknown)]]="Unknown",Backend!$C$8,"Error"))),"")</f>
        <v/>
      </c>
      <c r="F8715" s="8" t="str">
        <f>IF(Table1[[#This Row],[Is Data Valid]]=TRUE,EXP(0.578+0.332*((Table1[[#This Row],[Gestation (days)]]+0.5)/7)-0.00354*((Table1[[#This Row],[Gestation (days)]]+0.5)/7)^2)*Table1[[#This Row],[BW40_3705]],"")</f>
        <v/>
      </c>
      <c r="G8715" s="2" t="str">
        <f>IF(Table1[[#This Row],[Is Data Valid]]=TRUE,((Table1[[#This Row],[Birthweight (grams)]]/Table1[[#This Row],[BW_GA]])-1)/(Backend!$B$4/100*Table1[[#This Row],[BW40_3705]]),"")</f>
        <v/>
      </c>
      <c r="H8715" s="7" t="str">
        <f>IF(Table1[[#This Row],[Is Data Valid]]=TRUE,((Table1[[#This Row],[Birthweight (grams)]]*0.9/Table1[[#This Row],[BW_GA]])-1)/(Backend!$B$4/100*Table1[[#This Row],[BW40_3705]]),"")</f>
        <v/>
      </c>
      <c r="I8715" s="7" t="str">
        <f>IF(Table1[[#This Row],[Is Data Valid]]=TRUE,((Table1[[#This Row],[Birthweight (grams)]]*1.1/Table1[[#This Row],[BW_GA]])-1)/(Backend!$B$4/100*Table1[[#This Row],[BW40_3705]]),"")</f>
        <v/>
      </c>
      <c r="J8715" s="7" t="str">
        <f>IF(Table1[[#This Row],[Is Data Valid]]=TRUE,_xlfn.NORM.S.DIST(Table1[[#This Row],[Birthweight Z-Score]],TRUE)*100,"")</f>
        <v/>
      </c>
      <c r="K8715" s="7" t="str">
        <f>IF(Table1[[#This Row],[Is Data Valid]]=TRUE,_xlfn.NORM.S.DIST(Table1[[#This Row],[Birthweight Z-Score (BW-10%)]],TRUE)*100,"")</f>
        <v/>
      </c>
      <c r="L8715" s="7" t="str">
        <f>IF(Table1[[#This Row],[Is Data Valid]]=TRUE,_xlfn.NORM.S.DIST(Table1[[#This Row],[Birthweight Z-Score (BW+10%)]],TRUE)*100,"")</f>
        <v/>
      </c>
    </row>
    <row r="8716" spans="1:12" x14ac:dyDescent="0.35">
      <c r="A8716" s="3"/>
      <c r="B8716" s="2"/>
      <c r="C8716" s="2"/>
      <c r="D8716" s="2" t="b">
        <f>IF(AND(NOT(ISBLANK(Table1[[#This Row],[Fetal Sex (Male, Female or Unknown)]])),ISNUMBER(Table1[[#This Row],[Birthweight (grams)]]),ISNUMBER(Table1[[#This Row],[Gestation (days)]])),TRUE,FALSE)</f>
        <v>0</v>
      </c>
      <c r="E8716" s="2" t="str">
        <f>IF(Table1[[#This Row],[Is Data Valid]]=TRUE,IF(Table1[[#This Row],[Fetal Sex (Male, Female or Unknown)]]="Male",Backend!$C$6,IF(Table1[[#This Row],[Fetal Sex (Male, Female or Unknown)]]="Female",Backend!$C$7,IF(Table1[[#This Row],[Fetal Sex (Male, Female or Unknown)]]="Unknown",Backend!$C$8,"Error"))),"")</f>
        <v/>
      </c>
      <c r="F8716" s="8" t="str">
        <f>IF(Table1[[#This Row],[Is Data Valid]]=TRUE,EXP(0.578+0.332*((Table1[[#This Row],[Gestation (days)]]+0.5)/7)-0.00354*((Table1[[#This Row],[Gestation (days)]]+0.5)/7)^2)*Table1[[#This Row],[BW40_3705]],"")</f>
        <v/>
      </c>
      <c r="G8716" s="2" t="str">
        <f>IF(Table1[[#This Row],[Is Data Valid]]=TRUE,((Table1[[#This Row],[Birthweight (grams)]]/Table1[[#This Row],[BW_GA]])-1)/(Backend!$B$4/100*Table1[[#This Row],[BW40_3705]]),"")</f>
        <v/>
      </c>
      <c r="H8716" s="7" t="str">
        <f>IF(Table1[[#This Row],[Is Data Valid]]=TRUE,((Table1[[#This Row],[Birthweight (grams)]]*0.9/Table1[[#This Row],[BW_GA]])-1)/(Backend!$B$4/100*Table1[[#This Row],[BW40_3705]]),"")</f>
        <v/>
      </c>
      <c r="I8716" s="7" t="str">
        <f>IF(Table1[[#This Row],[Is Data Valid]]=TRUE,((Table1[[#This Row],[Birthweight (grams)]]*1.1/Table1[[#This Row],[BW_GA]])-1)/(Backend!$B$4/100*Table1[[#This Row],[BW40_3705]]),"")</f>
        <v/>
      </c>
      <c r="J8716" s="7" t="str">
        <f>IF(Table1[[#This Row],[Is Data Valid]]=TRUE,_xlfn.NORM.S.DIST(Table1[[#This Row],[Birthweight Z-Score]],TRUE)*100,"")</f>
        <v/>
      </c>
      <c r="K8716" s="7" t="str">
        <f>IF(Table1[[#This Row],[Is Data Valid]]=TRUE,_xlfn.NORM.S.DIST(Table1[[#This Row],[Birthweight Z-Score (BW-10%)]],TRUE)*100,"")</f>
        <v/>
      </c>
      <c r="L8716" s="7" t="str">
        <f>IF(Table1[[#This Row],[Is Data Valid]]=TRUE,_xlfn.NORM.S.DIST(Table1[[#This Row],[Birthweight Z-Score (BW+10%)]],TRUE)*100,"")</f>
        <v/>
      </c>
    </row>
    <row r="8717" spans="1:12" x14ac:dyDescent="0.35">
      <c r="A8717" s="3"/>
      <c r="B8717" s="2"/>
      <c r="C8717" s="2"/>
      <c r="D8717" s="2" t="b">
        <f>IF(AND(NOT(ISBLANK(Table1[[#This Row],[Fetal Sex (Male, Female or Unknown)]])),ISNUMBER(Table1[[#This Row],[Birthweight (grams)]]),ISNUMBER(Table1[[#This Row],[Gestation (days)]])),TRUE,FALSE)</f>
        <v>0</v>
      </c>
      <c r="E8717" s="2" t="str">
        <f>IF(Table1[[#This Row],[Is Data Valid]]=TRUE,IF(Table1[[#This Row],[Fetal Sex (Male, Female or Unknown)]]="Male",Backend!$C$6,IF(Table1[[#This Row],[Fetal Sex (Male, Female or Unknown)]]="Female",Backend!$C$7,IF(Table1[[#This Row],[Fetal Sex (Male, Female or Unknown)]]="Unknown",Backend!$C$8,"Error"))),"")</f>
        <v/>
      </c>
      <c r="F8717" s="8" t="str">
        <f>IF(Table1[[#This Row],[Is Data Valid]]=TRUE,EXP(0.578+0.332*((Table1[[#This Row],[Gestation (days)]]+0.5)/7)-0.00354*((Table1[[#This Row],[Gestation (days)]]+0.5)/7)^2)*Table1[[#This Row],[BW40_3705]],"")</f>
        <v/>
      </c>
      <c r="G8717" s="2" t="str">
        <f>IF(Table1[[#This Row],[Is Data Valid]]=TRUE,((Table1[[#This Row],[Birthweight (grams)]]/Table1[[#This Row],[BW_GA]])-1)/(Backend!$B$4/100*Table1[[#This Row],[BW40_3705]]),"")</f>
        <v/>
      </c>
      <c r="H8717" s="7" t="str">
        <f>IF(Table1[[#This Row],[Is Data Valid]]=TRUE,((Table1[[#This Row],[Birthweight (grams)]]*0.9/Table1[[#This Row],[BW_GA]])-1)/(Backend!$B$4/100*Table1[[#This Row],[BW40_3705]]),"")</f>
        <v/>
      </c>
      <c r="I8717" s="7" t="str">
        <f>IF(Table1[[#This Row],[Is Data Valid]]=TRUE,((Table1[[#This Row],[Birthweight (grams)]]*1.1/Table1[[#This Row],[BW_GA]])-1)/(Backend!$B$4/100*Table1[[#This Row],[BW40_3705]]),"")</f>
        <v/>
      </c>
      <c r="J8717" s="7" t="str">
        <f>IF(Table1[[#This Row],[Is Data Valid]]=TRUE,_xlfn.NORM.S.DIST(Table1[[#This Row],[Birthweight Z-Score]],TRUE)*100,"")</f>
        <v/>
      </c>
      <c r="K8717" s="7" t="str">
        <f>IF(Table1[[#This Row],[Is Data Valid]]=TRUE,_xlfn.NORM.S.DIST(Table1[[#This Row],[Birthweight Z-Score (BW-10%)]],TRUE)*100,"")</f>
        <v/>
      </c>
      <c r="L8717" s="7" t="str">
        <f>IF(Table1[[#This Row],[Is Data Valid]]=TRUE,_xlfn.NORM.S.DIST(Table1[[#This Row],[Birthweight Z-Score (BW+10%)]],TRUE)*100,"")</f>
        <v/>
      </c>
    </row>
    <row r="8718" spans="1:12" x14ac:dyDescent="0.35">
      <c r="A8718" s="3"/>
      <c r="B8718" s="2"/>
      <c r="C8718" s="2"/>
      <c r="D8718" s="2" t="b">
        <f>IF(AND(NOT(ISBLANK(Table1[[#This Row],[Fetal Sex (Male, Female or Unknown)]])),ISNUMBER(Table1[[#This Row],[Birthweight (grams)]]),ISNUMBER(Table1[[#This Row],[Gestation (days)]])),TRUE,FALSE)</f>
        <v>0</v>
      </c>
      <c r="E8718" s="2" t="str">
        <f>IF(Table1[[#This Row],[Is Data Valid]]=TRUE,IF(Table1[[#This Row],[Fetal Sex (Male, Female or Unknown)]]="Male",Backend!$C$6,IF(Table1[[#This Row],[Fetal Sex (Male, Female or Unknown)]]="Female",Backend!$C$7,IF(Table1[[#This Row],[Fetal Sex (Male, Female or Unknown)]]="Unknown",Backend!$C$8,"Error"))),"")</f>
        <v/>
      </c>
      <c r="F8718" s="8" t="str">
        <f>IF(Table1[[#This Row],[Is Data Valid]]=TRUE,EXP(0.578+0.332*((Table1[[#This Row],[Gestation (days)]]+0.5)/7)-0.00354*((Table1[[#This Row],[Gestation (days)]]+0.5)/7)^2)*Table1[[#This Row],[BW40_3705]],"")</f>
        <v/>
      </c>
      <c r="G8718" s="2" t="str">
        <f>IF(Table1[[#This Row],[Is Data Valid]]=TRUE,((Table1[[#This Row],[Birthweight (grams)]]/Table1[[#This Row],[BW_GA]])-1)/(Backend!$B$4/100*Table1[[#This Row],[BW40_3705]]),"")</f>
        <v/>
      </c>
      <c r="H8718" s="7" t="str">
        <f>IF(Table1[[#This Row],[Is Data Valid]]=TRUE,((Table1[[#This Row],[Birthweight (grams)]]*0.9/Table1[[#This Row],[BW_GA]])-1)/(Backend!$B$4/100*Table1[[#This Row],[BW40_3705]]),"")</f>
        <v/>
      </c>
      <c r="I8718" s="7" t="str">
        <f>IF(Table1[[#This Row],[Is Data Valid]]=TRUE,((Table1[[#This Row],[Birthweight (grams)]]*1.1/Table1[[#This Row],[BW_GA]])-1)/(Backend!$B$4/100*Table1[[#This Row],[BW40_3705]]),"")</f>
        <v/>
      </c>
      <c r="J8718" s="7" t="str">
        <f>IF(Table1[[#This Row],[Is Data Valid]]=TRUE,_xlfn.NORM.S.DIST(Table1[[#This Row],[Birthweight Z-Score]],TRUE)*100,"")</f>
        <v/>
      </c>
      <c r="K8718" s="7" t="str">
        <f>IF(Table1[[#This Row],[Is Data Valid]]=TRUE,_xlfn.NORM.S.DIST(Table1[[#This Row],[Birthweight Z-Score (BW-10%)]],TRUE)*100,"")</f>
        <v/>
      </c>
      <c r="L8718" s="7" t="str">
        <f>IF(Table1[[#This Row],[Is Data Valid]]=TRUE,_xlfn.NORM.S.DIST(Table1[[#This Row],[Birthweight Z-Score (BW+10%)]],TRUE)*100,"")</f>
        <v/>
      </c>
    </row>
    <row r="8719" spans="1:12" x14ac:dyDescent="0.35">
      <c r="A8719" s="3"/>
      <c r="B8719" s="2"/>
      <c r="C8719" s="2"/>
      <c r="D8719" s="2" t="b">
        <f>IF(AND(NOT(ISBLANK(Table1[[#This Row],[Fetal Sex (Male, Female or Unknown)]])),ISNUMBER(Table1[[#This Row],[Birthweight (grams)]]),ISNUMBER(Table1[[#This Row],[Gestation (days)]])),TRUE,FALSE)</f>
        <v>0</v>
      </c>
      <c r="E8719" s="2" t="str">
        <f>IF(Table1[[#This Row],[Is Data Valid]]=TRUE,IF(Table1[[#This Row],[Fetal Sex (Male, Female or Unknown)]]="Male",Backend!$C$6,IF(Table1[[#This Row],[Fetal Sex (Male, Female or Unknown)]]="Female",Backend!$C$7,IF(Table1[[#This Row],[Fetal Sex (Male, Female or Unknown)]]="Unknown",Backend!$C$8,"Error"))),"")</f>
        <v/>
      </c>
      <c r="F8719" s="8" t="str">
        <f>IF(Table1[[#This Row],[Is Data Valid]]=TRUE,EXP(0.578+0.332*((Table1[[#This Row],[Gestation (days)]]+0.5)/7)-0.00354*((Table1[[#This Row],[Gestation (days)]]+0.5)/7)^2)*Table1[[#This Row],[BW40_3705]],"")</f>
        <v/>
      </c>
      <c r="G8719" s="2" t="str">
        <f>IF(Table1[[#This Row],[Is Data Valid]]=TRUE,((Table1[[#This Row],[Birthweight (grams)]]/Table1[[#This Row],[BW_GA]])-1)/(Backend!$B$4/100*Table1[[#This Row],[BW40_3705]]),"")</f>
        <v/>
      </c>
      <c r="H8719" s="7" t="str">
        <f>IF(Table1[[#This Row],[Is Data Valid]]=TRUE,((Table1[[#This Row],[Birthweight (grams)]]*0.9/Table1[[#This Row],[BW_GA]])-1)/(Backend!$B$4/100*Table1[[#This Row],[BW40_3705]]),"")</f>
        <v/>
      </c>
      <c r="I8719" s="7" t="str">
        <f>IF(Table1[[#This Row],[Is Data Valid]]=TRUE,((Table1[[#This Row],[Birthweight (grams)]]*1.1/Table1[[#This Row],[BW_GA]])-1)/(Backend!$B$4/100*Table1[[#This Row],[BW40_3705]]),"")</f>
        <v/>
      </c>
      <c r="J8719" s="7" t="str">
        <f>IF(Table1[[#This Row],[Is Data Valid]]=TRUE,_xlfn.NORM.S.DIST(Table1[[#This Row],[Birthweight Z-Score]],TRUE)*100,"")</f>
        <v/>
      </c>
      <c r="K8719" s="7" t="str">
        <f>IF(Table1[[#This Row],[Is Data Valid]]=TRUE,_xlfn.NORM.S.DIST(Table1[[#This Row],[Birthweight Z-Score (BW-10%)]],TRUE)*100,"")</f>
        <v/>
      </c>
      <c r="L8719" s="7" t="str">
        <f>IF(Table1[[#This Row],[Is Data Valid]]=TRUE,_xlfn.NORM.S.DIST(Table1[[#This Row],[Birthweight Z-Score (BW+10%)]],TRUE)*100,"")</f>
        <v/>
      </c>
    </row>
    <row r="8720" spans="1:12" x14ac:dyDescent="0.35">
      <c r="A8720" s="3"/>
      <c r="B8720" s="2"/>
      <c r="C8720" s="2"/>
      <c r="D8720" s="2" t="b">
        <f>IF(AND(NOT(ISBLANK(Table1[[#This Row],[Fetal Sex (Male, Female or Unknown)]])),ISNUMBER(Table1[[#This Row],[Birthweight (grams)]]),ISNUMBER(Table1[[#This Row],[Gestation (days)]])),TRUE,FALSE)</f>
        <v>0</v>
      </c>
      <c r="E8720" s="2" t="str">
        <f>IF(Table1[[#This Row],[Is Data Valid]]=TRUE,IF(Table1[[#This Row],[Fetal Sex (Male, Female or Unknown)]]="Male",Backend!$C$6,IF(Table1[[#This Row],[Fetal Sex (Male, Female or Unknown)]]="Female",Backend!$C$7,IF(Table1[[#This Row],[Fetal Sex (Male, Female or Unknown)]]="Unknown",Backend!$C$8,"Error"))),"")</f>
        <v/>
      </c>
      <c r="F8720" s="8" t="str">
        <f>IF(Table1[[#This Row],[Is Data Valid]]=TRUE,EXP(0.578+0.332*((Table1[[#This Row],[Gestation (days)]]+0.5)/7)-0.00354*((Table1[[#This Row],[Gestation (days)]]+0.5)/7)^2)*Table1[[#This Row],[BW40_3705]],"")</f>
        <v/>
      </c>
      <c r="G8720" s="2" t="str">
        <f>IF(Table1[[#This Row],[Is Data Valid]]=TRUE,((Table1[[#This Row],[Birthweight (grams)]]/Table1[[#This Row],[BW_GA]])-1)/(Backend!$B$4/100*Table1[[#This Row],[BW40_3705]]),"")</f>
        <v/>
      </c>
      <c r="H8720" s="7" t="str">
        <f>IF(Table1[[#This Row],[Is Data Valid]]=TRUE,((Table1[[#This Row],[Birthweight (grams)]]*0.9/Table1[[#This Row],[BW_GA]])-1)/(Backend!$B$4/100*Table1[[#This Row],[BW40_3705]]),"")</f>
        <v/>
      </c>
      <c r="I8720" s="7" t="str">
        <f>IF(Table1[[#This Row],[Is Data Valid]]=TRUE,((Table1[[#This Row],[Birthweight (grams)]]*1.1/Table1[[#This Row],[BW_GA]])-1)/(Backend!$B$4/100*Table1[[#This Row],[BW40_3705]]),"")</f>
        <v/>
      </c>
      <c r="J8720" s="7" t="str">
        <f>IF(Table1[[#This Row],[Is Data Valid]]=TRUE,_xlfn.NORM.S.DIST(Table1[[#This Row],[Birthweight Z-Score]],TRUE)*100,"")</f>
        <v/>
      </c>
      <c r="K8720" s="7" t="str">
        <f>IF(Table1[[#This Row],[Is Data Valid]]=TRUE,_xlfn.NORM.S.DIST(Table1[[#This Row],[Birthweight Z-Score (BW-10%)]],TRUE)*100,"")</f>
        <v/>
      </c>
      <c r="L8720" s="7" t="str">
        <f>IF(Table1[[#This Row],[Is Data Valid]]=TRUE,_xlfn.NORM.S.DIST(Table1[[#This Row],[Birthweight Z-Score (BW+10%)]],TRUE)*100,"")</f>
        <v/>
      </c>
    </row>
    <row r="8721" spans="1:12" x14ac:dyDescent="0.35">
      <c r="A8721" s="3"/>
      <c r="B8721" s="2"/>
      <c r="C8721" s="2"/>
      <c r="D8721" s="2" t="b">
        <f>IF(AND(NOT(ISBLANK(Table1[[#This Row],[Fetal Sex (Male, Female or Unknown)]])),ISNUMBER(Table1[[#This Row],[Birthweight (grams)]]),ISNUMBER(Table1[[#This Row],[Gestation (days)]])),TRUE,FALSE)</f>
        <v>0</v>
      </c>
      <c r="E8721" s="2" t="str">
        <f>IF(Table1[[#This Row],[Is Data Valid]]=TRUE,IF(Table1[[#This Row],[Fetal Sex (Male, Female or Unknown)]]="Male",Backend!$C$6,IF(Table1[[#This Row],[Fetal Sex (Male, Female or Unknown)]]="Female",Backend!$C$7,IF(Table1[[#This Row],[Fetal Sex (Male, Female or Unknown)]]="Unknown",Backend!$C$8,"Error"))),"")</f>
        <v/>
      </c>
      <c r="F8721" s="8" t="str">
        <f>IF(Table1[[#This Row],[Is Data Valid]]=TRUE,EXP(0.578+0.332*((Table1[[#This Row],[Gestation (days)]]+0.5)/7)-0.00354*((Table1[[#This Row],[Gestation (days)]]+0.5)/7)^2)*Table1[[#This Row],[BW40_3705]],"")</f>
        <v/>
      </c>
      <c r="G8721" s="2" t="str">
        <f>IF(Table1[[#This Row],[Is Data Valid]]=TRUE,((Table1[[#This Row],[Birthweight (grams)]]/Table1[[#This Row],[BW_GA]])-1)/(Backend!$B$4/100*Table1[[#This Row],[BW40_3705]]),"")</f>
        <v/>
      </c>
      <c r="H8721" s="7" t="str">
        <f>IF(Table1[[#This Row],[Is Data Valid]]=TRUE,((Table1[[#This Row],[Birthweight (grams)]]*0.9/Table1[[#This Row],[BW_GA]])-1)/(Backend!$B$4/100*Table1[[#This Row],[BW40_3705]]),"")</f>
        <v/>
      </c>
      <c r="I8721" s="7" t="str">
        <f>IF(Table1[[#This Row],[Is Data Valid]]=TRUE,((Table1[[#This Row],[Birthweight (grams)]]*1.1/Table1[[#This Row],[BW_GA]])-1)/(Backend!$B$4/100*Table1[[#This Row],[BW40_3705]]),"")</f>
        <v/>
      </c>
      <c r="J8721" s="7" t="str">
        <f>IF(Table1[[#This Row],[Is Data Valid]]=TRUE,_xlfn.NORM.S.DIST(Table1[[#This Row],[Birthweight Z-Score]],TRUE)*100,"")</f>
        <v/>
      </c>
      <c r="K8721" s="7" t="str">
        <f>IF(Table1[[#This Row],[Is Data Valid]]=TRUE,_xlfn.NORM.S.DIST(Table1[[#This Row],[Birthweight Z-Score (BW-10%)]],TRUE)*100,"")</f>
        <v/>
      </c>
      <c r="L8721" s="7" t="str">
        <f>IF(Table1[[#This Row],[Is Data Valid]]=TRUE,_xlfn.NORM.S.DIST(Table1[[#This Row],[Birthweight Z-Score (BW+10%)]],TRUE)*100,"")</f>
        <v/>
      </c>
    </row>
    <row r="8722" spans="1:12" x14ac:dyDescent="0.35">
      <c r="A8722" s="3"/>
      <c r="B8722" s="2"/>
      <c r="C8722" s="2"/>
      <c r="D8722" s="2" t="b">
        <f>IF(AND(NOT(ISBLANK(Table1[[#This Row],[Fetal Sex (Male, Female or Unknown)]])),ISNUMBER(Table1[[#This Row],[Birthweight (grams)]]),ISNUMBER(Table1[[#This Row],[Gestation (days)]])),TRUE,FALSE)</f>
        <v>0</v>
      </c>
      <c r="E8722" s="2" t="str">
        <f>IF(Table1[[#This Row],[Is Data Valid]]=TRUE,IF(Table1[[#This Row],[Fetal Sex (Male, Female or Unknown)]]="Male",Backend!$C$6,IF(Table1[[#This Row],[Fetal Sex (Male, Female or Unknown)]]="Female",Backend!$C$7,IF(Table1[[#This Row],[Fetal Sex (Male, Female or Unknown)]]="Unknown",Backend!$C$8,"Error"))),"")</f>
        <v/>
      </c>
      <c r="F8722" s="8" t="str">
        <f>IF(Table1[[#This Row],[Is Data Valid]]=TRUE,EXP(0.578+0.332*((Table1[[#This Row],[Gestation (days)]]+0.5)/7)-0.00354*((Table1[[#This Row],[Gestation (days)]]+0.5)/7)^2)*Table1[[#This Row],[BW40_3705]],"")</f>
        <v/>
      </c>
      <c r="G8722" s="2" t="str">
        <f>IF(Table1[[#This Row],[Is Data Valid]]=TRUE,((Table1[[#This Row],[Birthweight (grams)]]/Table1[[#This Row],[BW_GA]])-1)/(Backend!$B$4/100*Table1[[#This Row],[BW40_3705]]),"")</f>
        <v/>
      </c>
      <c r="H8722" s="7" t="str">
        <f>IF(Table1[[#This Row],[Is Data Valid]]=TRUE,((Table1[[#This Row],[Birthweight (grams)]]*0.9/Table1[[#This Row],[BW_GA]])-1)/(Backend!$B$4/100*Table1[[#This Row],[BW40_3705]]),"")</f>
        <v/>
      </c>
      <c r="I8722" s="7" t="str">
        <f>IF(Table1[[#This Row],[Is Data Valid]]=TRUE,((Table1[[#This Row],[Birthweight (grams)]]*1.1/Table1[[#This Row],[BW_GA]])-1)/(Backend!$B$4/100*Table1[[#This Row],[BW40_3705]]),"")</f>
        <v/>
      </c>
      <c r="J8722" s="7" t="str">
        <f>IF(Table1[[#This Row],[Is Data Valid]]=TRUE,_xlfn.NORM.S.DIST(Table1[[#This Row],[Birthweight Z-Score]],TRUE)*100,"")</f>
        <v/>
      </c>
      <c r="K8722" s="7" t="str">
        <f>IF(Table1[[#This Row],[Is Data Valid]]=TRUE,_xlfn.NORM.S.DIST(Table1[[#This Row],[Birthweight Z-Score (BW-10%)]],TRUE)*100,"")</f>
        <v/>
      </c>
      <c r="L8722" s="7" t="str">
        <f>IF(Table1[[#This Row],[Is Data Valid]]=TRUE,_xlfn.NORM.S.DIST(Table1[[#This Row],[Birthweight Z-Score (BW+10%)]],TRUE)*100,"")</f>
        <v/>
      </c>
    </row>
    <row r="8723" spans="1:12" x14ac:dyDescent="0.35">
      <c r="A8723" s="3"/>
      <c r="B8723" s="2"/>
      <c r="C8723" s="2"/>
      <c r="D8723" s="2" t="b">
        <f>IF(AND(NOT(ISBLANK(Table1[[#This Row],[Fetal Sex (Male, Female or Unknown)]])),ISNUMBER(Table1[[#This Row],[Birthweight (grams)]]),ISNUMBER(Table1[[#This Row],[Gestation (days)]])),TRUE,FALSE)</f>
        <v>0</v>
      </c>
      <c r="E8723" s="2" t="str">
        <f>IF(Table1[[#This Row],[Is Data Valid]]=TRUE,IF(Table1[[#This Row],[Fetal Sex (Male, Female or Unknown)]]="Male",Backend!$C$6,IF(Table1[[#This Row],[Fetal Sex (Male, Female or Unknown)]]="Female",Backend!$C$7,IF(Table1[[#This Row],[Fetal Sex (Male, Female or Unknown)]]="Unknown",Backend!$C$8,"Error"))),"")</f>
        <v/>
      </c>
      <c r="F8723" s="8" t="str">
        <f>IF(Table1[[#This Row],[Is Data Valid]]=TRUE,EXP(0.578+0.332*((Table1[[#This Row],[Gestation (days)]]+0.5)/7)-0.00354*((Table1[[#This Row],[Gestation (days)]]+0.5)/7)^2)*Table1[[#This Row],[BW40_3705]],"")</f>
        <v/>
      </c>
      <c r="G8723" s="2" t="str">
        <f>IF(Table1[[#This Row],[Is Data Valid]]=TRUE,((Table1[[#This Row],[Birthweight (grams)]]/Table1[[#This Row],[BW_GA]])-1)/(Backend!$B$4/100*Table1[[#This Row],[BW40_3705]]),"")</f>
        <v/>
      </c>
      <c r="H8723" s="7" t="str">
        <f>IF(Table1[[#This Row],[Is Data Valid]]=TRUE,((Table1[[#This Row],[Birthweight (grams)]]*0.9/Table1[[#This Row],[BW_GA]])-1)/(Backend!$B$4/100*Table1[[#This Row],[BW40_3705]]),"")</f>
        <v/>
      </c>
      <c r="I8723" s="7" t="str">
        <f>IF(Table1[[#This Row],[Is Data Valid]]=TRUE,((Table1[[#This Row],[Birthweight (grams)]]*1.1/Table1[[#This Row],[BW_GA]])-1)/(Backend!$B$4/100*Table1[[#This Row],[BW40_3705]]),"")</f>
        <v/>
      </c>
      <c r="J8723" s="7" t="str">
        <f>IF(Table1[[#This Row],[Is Data Valid]]=TRUE,_xlfn.NORM.S.DIST(Table1[[#This Row],[Birthweight Z-Score]],TRUE)*100,"")</f>
        <v/>
      </c>
      <c r="K8723" s="7" t="str">
        <f>IF(Table1[[#This Row],[Is Data Valid]]=TRUE,_xlfn.NORM.S.DIST(Table1[[#This Row],[Birthweight Z-Score (BW-10%)]],TRUE)*100,"")</f>
        <v/>
      </c>
      <c r="L8723" s="7" t="str">
        <f>IF(Table1[[#This Row],[Is Data Valid]]=TRUE,_xlfn.NORM.S.DIST(Table1[[#This Row],[Birthweight Z-Score (BW+10%)]],TRUE)*100,"")</f>
        <v/>
      </c>
    </row>
    <row r="8724" spans="1:12" x14ac:dyDescent="0.35">
      <c r="A8724" s="3"/>
      <c r="B8724" s="2"/>
      <c r="C8724" s="2"/>
      <c r="D8724" s="2" t="b">
        <f>IF(AND(NOT(ISBLANK(Table1[[#This Row],[Fetal Sex (Male, Female or Unknown)]])),ISNUMBER(Table1[[#This Row],[Birthweight (grams)]]),ISNUMBER(Table1[[#This Row],[Gestation (days)]])),TRUE,FALSE)</f>
        <v>0</v>
      </c>
      <c r="E8724" s="2" t="str">
        <f>IF(Table1[[#This Row],[Is Data Valid]]=TRUE,IF(Table1[[#This Row],[Fetal Sex (Male, Female or Unknown)]]="Male",Backend!$C$6,IF(Table1[[#This Row],[Fetal Sex (Male, Female or Unknown)]]="Female",Backend!$C$7,IF(Table1[[#This Row],[Fetal Sex (Male, Female or Unknown)]]="Unknown",Backend!$C$8,"Error"))),"")</f>
        <v/>
      </c>
      <c r="F8724" s="8" t="str">
        <f>IF(Table1[[#This Row],[Is Data Valid]]=TRUE,EXP(0.578+0.332*((Table1[[#This Row],[Gestation (days)]]+0.5)/7)-0.00354*((Table1[[#This Row],[Gestation (days)]]+0.5)/7)^2)*Table1[[#This Row],[BW40_3705]],"")</f>
        <v/>
      </c>
      <c r="G8724" s="2" t="str">
        <f>IF(Table1[[#This Row],[Is Data Valid]]=TRUE,((Table1[[#This Row],[Birthweight (grams)]]/Table1[[#This Row],[BW_GA]])-1)/(Backend!$B$4/100*Table1[[#This Row],[BW40_3705]]),"")</f>
        <v/>
      </c>
      <c r="H8724" s="7" t="str">
        <f>IF(Table1[[#This Row],[Is Data Valid]]=TRUE,((Table1[[#This Row],[Birthweight (grams)]]*0.9/Table1[[#This Row],[BW_GA]])-1)/(Backend!$B$4/100*Table1[[#This Row],[BW40_3705]]),"")</f>
        <v/>
      </c>
      <c r="I8724" s="7" t="str">
        <f>IF(Table1[[#This Row],[Is Data Valid]]=TRUE,((Table1[[#This Row],[Birthweight (grams)]]*1.1/Table1[[#This Row],[BW_GA]])-1)/(Backend!$B$4/100*Table1[[#This Row],[BW40_3705]]),"")</f>
        <v/>
      </c>
      <c r="J8724" s="7" t="str">
        <f>IF(Table1[[#This Row],[Is Data Valid]]=TRUE,_xlfn.NORM.S.DIST(Table1[[#This Row],[Birthweight Z-Score]],TRUE)*100,"")</f>
        <v/>
      </c>
      <c r="K8724" s="7" t="str">
        <f>IF(Table1[[#This Row],[Is Data Valid]]=TRUE,_xlfn.NORM.S.DIST(Table1[[#This Row],[Birthweight Z-Score (BW-10%)]],TRUE)*100,"")</f>
        <v/>
      </c>
      <c r="L8724" s="7" t="str">
        <f>IF(Table1[[#This Row],[Is Data Valid]]=TRUE,_xlfn.NORM.S.DIST(Table1[[#This Row],[Birthweight Z-Score (BW+10%)]],TRUE)*100,"")</f>
        <v/>
      </c>
    </row>
    <row r="8725" spans="1:12" x14ac:dyDescent="0.35">
      <c r="A8725" s="3"/>
      <c r="B8725" s="2"/>
      <c r="C8725" s="2"/>
      <c r="D8725" s="2" t="b">
        <f>IF(AND(NOT(ISBLANK(Table1[[#This Row],[Fetal Sex (Male, Female or Unknown)]])),ISNUMBER(Table1[[#This Row],[Birthweight (grams)]]),ISNUMBER(Table1[[#This Row],[Gestation (days)]])),TRUE,FALSE)</f>
        <v>0</v>
      </c>
      <c r="E8725" s="2" t="str">
        <f>IF(Table1[[#This Row],[Is Data Valid]]=TRUE,IF(Table1[[#This Row],[Fetal Sex (Male, Female or Unknown)]]="Male",Backend!$C$6,IF(Table1[[#This Row],[Fetal Sex (Male, Female or Unknown)]]="Female",Backend!$C$7,IF(Table1[[#This Row],[Fetal Sex (Male, Female or Unknown)]]="Unknown",Backend!$C$8,"Error"))),"")</f>
        <v/>
      </c>
      <c r="F8725" s="8" t="str">
        <f>IF(Table1[[#This Row],[Is Data Valid]]=TRUE,EXP(0.578+0.332*((Table1[[#This Row],[Gestation (days)]]+0.5)/7)-0.00354*((Table1[[#This Row],[Gestation (days)]]+0.5)/7)^2)*Table1[[#This Row],[BW40_3705]],"")</f>
        <v/>
      </c>
      <c r="G8725" s="2" t="str">
        <f>IF(Table1[[#This Row],[Is Data Valid]]=TRUE,((Table1[[#This Row],[Birthweight (grams)]]/Table1[[#This Row],[BW_GA]])-1)/(Backend!$B$4/100*Table1[[#This Row],[BW40_3705]]),"")</f>
        <v/>
      </c>
      <c r="H8725" s="7" t="str">
        <f>IF(Table1[[#This Row],[Is Data Valid]]=TRUE,((Table1[[#This Row],[Birthweight (grams)]]*0.9/Table1[[#This Row],[BW_GA]])-1)/(Backend!$B$4/100*Table1[[#This Row],[BW40_3705]]),"")</f>
        <v/>
      </c>
      <c r="I8725" s="7" t="str">
        <f>IF(Table1[[#This Row],[Is Data Valid]]=TRUE,((Table1[[#This Row],[Birthweight (grams)]]*1.1/Table1[[#This Row],[BW_GA]])-1)/(Backend!$B$4/100*Table1[[#This Row],[BW40_3705]]),"")</f>
        <v/>
      </c>
      <c r="J8725" s="7" t="str">
        <f>IF(Table1[[#This Row],[Is Data Valid]]=TRUE,_xlfn.NORM.S.DIST(Table1[[#This Row],[Birthweight Z-Score]],TRUE)*100,"")</f>
        <v/>
      </c>
      <c r="K8725" s="7" t="str">
        <f>IF(Table1[[#This Row],[Is Data Valid]]=TRUE,_xlfn.NORM.S.DIST(Table1[[#This Row],[Birthweight Z-Score (BW-10%)]],TRUE)*100,"")</f>
        <v/>
      </c>
      <c r="L8725" s="7" t="str">
        <f>IF(Table1[[#This Row],[Is Data Valid]]=TRUE,_xlfn.NORM.S.DIST(Table1[[#This Row],[Birthweight Z-Score (BW+10%)]],TRUE)*100,"")</f>
        <v/>
      </c>
    </row>
    <row r="8726" spans="1:12" x14ac:dyDescent="0.35">
      <c r="A8726" s="3"/>
      <c r="B8726" s="2"/>
      <c r="C8726" s="2"/>
      <c r="D8726" s="2" t="b">
        <f>IF(AND(NOT(ISBLANK(Table1[[#This Row],[Fetal Sex (Male, Female or Unknown)]])),ISNUMBER(Table1[[#This Row],[Birthweight (grams)]]),ISNUMBER(Table1[[#This Row],[Gestation (days)]])),TRUE,FALSE)</f>
        <v>0</v>
      </c>
      <c r="E8726" s="2" t="str">
        <f>IF(Table1[[#This Row],[Is Data Valid]]=TRUE,IF(Table1[[#This Row],[Fetal Sex (Male, Female or Unknown)]]="Male",Backend!$C$6,IF(Table1[[#This Row],[Fetal Sex (Male, Female or Unknown)]]="Female",Backend!$C$7,IF(Table1[[#This Row],[Fetal Sex (Male, Female or Unknown)]]="Unknown",Backend!$C$8,"Error"))),"")</f>
        <v/>
      </c>
      <c r="F8726" s="8" t="str">
        <f>IF(Table1[[#This Row],[Is Data Valid]]=TRUE,EXP(0.578+0.332*((Table1[[#This Row],[Gestation (days)]]+0.5)/7)-0.00354*((Table1[[#This Row],[Gestation (days)]]+0.5)/7)^2)*Table1[[#This Row],[BW40_3705]],"")</f>
        <v/>
      </c>
      <c r="G8726" s="2" t="str">
        <f>IF(Table1[[#This Row],[Is Data Valid]]=TRUE,((Table1[[#This Row],[Birthweight (grams)]]/Table1[[#This Row],[BW_GA]])-1)/(Backend!$B$4/100*Table1[[#This Row],[BW40_3705]]),"")</f>
        <v/>
      </c>
      <c r="H8726" s="7" t="str">
        <f>IF(Table1[[#This Row],[Is Data Valid]]=TRUE,((Table1[[#This Row],[Birthweight (grams)]]*0.9/Table1[[#This Row],[BW_GA]])-1)/(Backend!$B$4/100*Table1[[#This Row],[BW40_3705]]),"")</f>
        <v/>
      </c>
      <c r="I8726" s="7" t="str">
        <f>IF(Table1[[#This Row],[Is Data Valid]]=TRUE,((Table1[[#This Row],[Birthweight (grams)]]*1.1/Table1[[#This Row],[BW_GA]])-1)/(Backend!$B$4/100*Table1[[#This Row],[BW40_3705]]),"")</f>
        <v/>
      </c>
      <c r="J8726" s="7" t="str">
        <f>IF(Table1[[#This Row],[Is Data Valid]]=TRUE,_xlfn.NORM.S.DIST(Table1[[#This Row],[Birthweight Z-Score]],TRUE)*100,"")</f>
        <v/>
      </c>
      <c r="K8726" s="7" t="str">
        <f>IF(Table1[[#This Row],[Is Data Valid]]=TRUE,_xlfn.NORM.S.DIST(Table1[[#This Row],[Birthweight Z-Score (BW-10%)]],TRUE)*100,"")</f>
        <v/>
      </c>
      <c r="L8726" s="7" t="str">
        <f>IF(Table1[[#This Row],[Is Data Valid]]=TRUE,_xlfn.NORM.S.DIST(Table1[[#This Row],[Birthweight Z-Score (BW+10%)]],TRUE)*100,"")</f>
        <v/>
      </c>
    </row>
    <row r="8727" spans="1:12" x14ac:dyDescent="0.35">
      <c r="A8727" s="3"/>
      <c r="B8727" s="2"/>
      <c r="C8727" s="2"/>
      <c r="D8727" s="2" t="b">
        <f>IF(AND(NOT(ISBLANK(Table1[[#This Row],[Fetal Sex (Male, Female or Unknown)]])),ISNUMBER(Table1[[#This Row],[Birthweight (grams)]]),ISNUMBER(Table1[[#This Row],[Gestation (days)]])),TRUE,FALSE)</f>
        <v>0</v>
      </c>
      <c r="E8727" s="2" t="str">
        <f>IF(Table1[[#This Row],[Is Data Valid]]=TRUE,IF(Table1[[#This Row],[Fetal Sex (Male, Female or Unknown)]]="Male",Backend!$C$6,IF(Table1[[#This Row],[Fetal Sex (Male, Female or Unknown)]]="Female",Backend!$C$7,IF(Table1[[#This Row],[Fetal Sex (Male, Female or Unknown)]]="Unknown",Backend!$C$8,"Error"))),"")</f>
        <v/>
      </c>
      <c r="F8727" s="8" t="str">
        <f>IF(Table1[[#This Row],[Is Data Valid]]=TRUE,EXP(0.578+0.332*((Table1[[#This Row],[Gestation (days)]]+0.5)/7)-0.00354*((Table1[[#This Row],[Gestation (days)]]+0.5)/7)^2)*Table1[[#This Row],[BW40_3705]],"")</f>
        <v/>
      </c>
      <c r="G8727" s="2" t="str">
        <f>IF(Table1[[#This Row],[Is Data Valid]]=TRUE,((Table1[[#This Row],[Birthweight (grams)]]/Table1[[#This Row],[BW_GA]])-1)/(Backend!$B$4/100*Table1[[#This Row],[BW40_3705]]),"")</f>
        <v/>
      </c>
      <c r="H8727" s="7" t="str">
        <f>IF(Table1[[#This Row],[Is Data Valid]]=TRUE,((Table1[[#This Row],[Birthweight (grams)]]*0.9/Table1[[#This Row],[BW_GA]])-1)/(Backend!$B$4/100*Table1[[#This Row],[BW40_3705]]),"")</f>
        <v/>
      </c>
      <c r="I8727" s="7" t="str">
        <f>IF(Table1[[#This Row],[Is Data Valid]]=TRUE,((Table1[[#This Row],[Birthweight (grams)]]*1.1/Table1[[#This Row],[BW_GA]])-1)/(Backend!$B$4/100*Table1[[#This Row],[BW40_3705]]),"")</f>
        <v/>
      </c>
      <c r="J8727" s="7" t="str">
        <f>IF(Table1[[#This Row],[Is Data Valid]]=TRUE,_xlfn.NORM.S.DIST(Table1[[#This Row],[Birthweight Z-Score]],TRUE)*100,"")</f>
        <v/>
      </c>
      <c r="K8727" s="7" t="str">
        <f>IF(Table1[[#This Row],[Is Data Valid]]=TRUE,_xlfn.NORM.S.DIST(Table1[[#This Row],[Birthweight Z-Score (BW-10%)]],TRUE)*100,"")</f>
        <v/>
      </c>
      <c r="L8727" s="7" t="str">
        <f>IF(Table1[[#This Row],[Is Data Valid]]=TRUE,_xlfn.NORM.S.DIST(Table1[[#This Row],[Birthweight Z-Score (BW+10%)]],TRUE)*100,"")</f>
        <v/>
      </c>
    </row>
    <row r="8728" spans="1:12" x14ac:dyDescent="0.35">
      <c r="A8728" s="3"/>
      <c r="B8728" s="2"/>
      <c r="C8728" s="2"/>
      <c r="D8728" s="2" t="b">
        <f>IF(AND(NOT(ISBLANK(Table1[[#This Row],[Fetal Sex (Male, Female or Unknown)]])),ISNUMBER(Table1[[#This Row],[Birthweight (grams)]]),ISNUMBER(Table1[[#This Row],[Gestation (days)]])),TRUE,FALSE)</f>
        <v>0</v>
      </c>
      <c r="E8728" s="2" t="str">
        <f>IF(Table1[[#This Row],[Is Data Valid]]=TRUE,IF(Table1[[#This Row],[Fetal Sex (Male, Female or Unknown)]]="Male",Backend!$C$6,IF(Table1[[#This Row],[Fetal Sex (Male, Female or Unknown)]]="Female",Backend!$C$7,IF(Table1[[#This Row],[Fetal Sex (Male, Female or Unknown)]]="Unknown",Backend!$C$8,"Error"))),"")</f>
        <v/>
      </c>
      <c r="F8728" s="8" t="str">
        <f>IF(Table1[[#This Row],[Is Data Valid]]=TRUE,EXP(0.578+0.332*((Table1[[#This Row],[Gestation (days)]]+0.5)/7)-0.00354*((Table1[[#This Row],[Gestation (days)]]+0.5)/7)^2)*Table1[[#This Row],[BW40_3705]],"")</f>
        <v/>
      </c>
      <c r="G8728" s="2" t="str">
        <f>IF(Table1[[#This Row],[Is Data Valid]]=TRUE,((Table1[[#This Row],[Birthweight (grams)]]/Table1[[#This Row],[BW_GA]])-1)/(Backend!$B$4/100*Table1[[#This Row],[BW40_3705]]),"")</f>
        <v/>
      </c>
      <c r="H8728" s="7" t="str">
        <f>IF(Table1[[#This Row],[Is Data Valid]]=TRUE,((Table1[[#This Row],[Birthweight (grams)]]*0.9/Table1[[#This Row],[BW_GA]])-1)/(Backend!$B$4/100*Table1[[#This Row],[BW40_3705]]),"")</f>
        <v/>
      </c>
      <c r="I8728" s="7" t="str">
        <f>IF(Table1[[#This Row],[Is Data Valid]]=TRUE,((Table1[[#This Row],[Birthweight (grams)]]*1.1/Table1[[#This Row],[BW_GA]])-1)/(Backend!$B$4/100*Table1[[#This Row],[BW40_3705]]),"")</f>
        <v/>
      </c>
      <c r="J8728" s="7" t="str">
        <f>IF(Table1[[#This Row],[Is Data Valid]]=TRUE,_xlfn.NORM.S.DIST(Table1[[#This Row],[Birthweight Z-Score]],TRUE)*100,"")</f>
        <v/>
      </c>
      <c r="K8728" s="7" t="str">
        <f>IF(Table1[[#This Row],[Is Data Valid]]=TRUE,_xlfn.NORM.S.DIST(Table1[[#This Row],[Birthweight Z-Score (BW-10%)]],TRUE)*100,"")</f>
        <v/>
      </c>
      <c r="L8728" s="7" t="str">
        <f>IF(Table1[[#This Row],[Is Data Valid]]=TRUE,_xlfn.NORM.S.DIST(Table1[[#This Row],[Birthweight Z-Score (BW+10%)]],TRUE)*100,"")</f>
        <v/>
      </c>
    </row>
    <row r="8729" spans="1:12" x14ac:dyDescent="0.35">
      <c r="A8729" s="3"/>
      <c r="B8729" s="2"/>
      <c r="C8729" s="2"/>
      <c r="D8729" s="2" t="b">
        <f>IF(AND(NOT(ISBLANK(Table1[[#This Row],[Fetal Sex (Male, Female or Unknown)]])),ISNUMBER(Table1[[#This Row],[Birthweight (grams)]]),ISNUMBER(Table1[[#This Row],[Gestation (days)]])),TRUE,FALSE)</f>
        <v>0</v>
      </c>
      <c r="E8729" s="2" t="str">
        <f>IF(Table1[[#This Row],[Is Data Valid]]=TRUE,IF(Table1[[#This Row],[Fetal Sex (Male, Female or Unknown)]]="Male",Backend!$C$6,IF(Table1[[#This Row],[Fetal Sex (Male, Female or Unknown)]]="Female",Backend!$C$7,IF(Table1[[#This Row],[Fetal Sex (Male, Female or Unknown)]]="Unknown",Backend!$C$8,"Error"))),"")</f>
        <v/>
      </c>
      <c r="F8729" s="8" t="str">
        <f>IF(Table1[[#This Row],[Is Data Valid]]=TRUE,EXP(0.578+0.332*((Table1[[#This Row],[Gestation (days)]]+0.5)/7)-0.00354*((Table1[[#This Row],[Gestation (days)]]+0.5)/7)^2)*Table1[[#This Row],[BW40_3705]],"")</f>
        <v/>
      </c>
      <c r="G8729" s="2" t="str">
        <f>IF(Table1[[#This Row],[Is Data Valid]]=TRUE,((Table1[[#This Row],[Birthweight (grams)]]/Table1[[#This Row],[BW_GA]])-1)/(Backend!$B$4/100*Table1[[#This Row],[BW40_3705]]),"")</f>
        <v/>
      </c>
      <c r="H8729" s="7" t="str">
        <f>IF(Table1[[#This Row],[Is Data Valid]]=TRUE,((Table1[[#This Row],[Birthweight (grams)]]*0.9/Table1[[#This Row],[BW_GA]])-1)/(Backend!$B$4/100*Table1[[#This Row],[BW40_3705]]),"")</f>
        <v/>
      </c>
      <c r="I8729" s="7" t="str">
        <f>IF(Table1[[#This Row],[Is Data Valid]]=TRUE,((Table1[[#This Row],[Birthweight (grams)]]*1.1/Table1[[#This Row],[BW_GA]])-1)/(Backend!$B$4/100*Table1[[#This Row],[BW40_3705]]),"")</f>
        <v/>
      </c>
      <c r="J8729" s="7" t="str">
        <f>IF(Table1[[#This Row],[Is Data Valid]]=TRUE,_xlfn.NORM.S.DIST(Table1[[#This Row],[Birthweight Z-Score]],TRUE)*100,"")</f>
        <v/>
      </c>
      <c r="K8729" s="7" t="str">
        <f>IF(Table1[[#This Row],[Is Data Valid]]=TRUE,_xlfn.NORM.S.DIST(Table1[[#This Row],[Birthweight Z-Score (BW-10%)]],TRUE)*100,"")</f>
        <v/>
      </c>
      <c r="L8729" s="7" t="str">
        <f>IF(Table1[[#This Row],[Is Data Valid]]=TRUE,_xlfn.NORM.S.DIST(Table1[[#This Row],[Birthweight Z-Score (BW+10%)]],TRUE)*100,"")</f>
        <v/>
      </c>
    </row>
    <row r="8730" spans="1:12" x14ac:dyDescent="0.35">
      <c r="A8730" s="3"/>
      <c r="B8730" s="2"/>
      <c r="C8730" s="2"/>
      <c r="D8730" s="2" t="b">
        <f>IF(AND(NOT(ISBLANK(Table1[[#This Row],[Fetal Sex (Male, Female or Unknown)]])),ISNUMBER(Table1[[#This Row],[Birthweight (grams)]]),ISNUMBER(Table1[[#This Row],[Gestation (days)]])),TRUE,FALSE)</f>
        <v>0</v>
      </c>
      <c r="E8730" s="2" t="str">
        <f>IF(Table1[[#This Row],[Is Data Valid]]=TRUE,IF(Table1[[#This Row],[Fetal Sex (Male, Female or Unknown)]]="Male",Backend!$C$6,IF(Table1[[#This Row],[Fetal Sex (Male, Female or Unknown)]]="Female",Backend!$C$7,IF(Table1[[#This Row],[Fetal Sex (Male, Female or Unknown)]]="Unknown",Backend!$C$8,"Error"))),"")</f>
        <v/>
      </c>
      <c r="F8730" s="8" t="str">
        <f>IF(Table1[[#This Row],[Is Data Valid]]=TRUE,EXP(0.578+0.332*((Table1[[#This Row],[Gestation (days)]]+0.5)/7)-0.00354*((Table1[[#This Row],[Gestation (days)]]+0.5)/7)^2)*Table1[[#This Row],[BW40_3705]],"")</f>
        <v/>
      </c>
      <c r="G8730" s="2" t="str">
        <f>IF(Table1[[#This Row],[Is Data Valid]]=TRUE,((Table1[[#This Row],[Birthweight (grams)]]/Table1[[#This Row],[BW_GA]])-1)/(Backend!$B$4/100*Table1[[#This Row],[BW40_3705]]),"")</f>
        <v/>
      </c>
      <c r="H8730" s="7" t="str">
        <f>IF(Table1[[#This Row],[Is Data Valid]]=TRUE,((Table1[[#This Row],[Birthweight (grams)]]*0.9/Table1[[#This Row],[BW_GA]])-1)/(Backend!$B$4/100*Table1[[#This Row],[BW40_3705]]),"")</f>
        <v/>
      </c>
      <c r="I8730" s="7" t="str">
        <f>IF(Table1[[#This Row],[Is Data Valid]]=TRUE,((Table1[[#This Row],[Birthweight (grams)]]*1.1/Table1[[#This Row],[BW_GA]])-1)/(Backend!$B$4/100*Table1[[#This Row],[BW40_3705]]),"")</f>
        <v/>
      </c>
      <c r="J8730" s="7" t="str">
        <f>IF(Table1[[#This Row],[Is Data Valid]]=TRUE,_xlfn.NORM.S.DIST(Table1[[#This Row],[Birthweight Z-Score]],TRUE)*100,"")</f>
        <v/>
      </c>
      <c r="K8730" s="7" t="str">
        <f>IF(Table1[[#This Row],[Is Data Valid]]=TRUE,_xlfn.NORM.S.DIST(Table1[[#This Row],[Birthweight Z-Score (BW-10%)]],TRUE)*100,"")</f>
        <v/>
      </c>
      <c r="L8730" s="7" t="str">
        <f>IF(Table1[[#This Row],[Is Data Valid]]=TRUE,_xlfn.NORM.S.DIST(Table1[[#This Row],[Birthweight Z-Score (BW+10%)]],TRUE)*100,"")</f>
        <v/>
      </c>
    </row>
    <row r="8731" spans="1:12" x14ac:dyDescent="0.35">
      <c r="A8731" s="3"/>
      <c r="B8731" s="2"/>
      <c r="C8731" s="2"/>
      <c r="D8731" s="2" t="b">
        <f>IF(AND(NOT(ISBLANK(Table1[[#This Row],[Fetal Sex (Male, Female or Unknown)]])),ISNUMBER(Table1[[#This Row],[Birthweight (grams)]]),ISNUMBER(Table1[[#This Row],[Gestation (days)]])),TRUE,FALSE)</f>
        <v>0</v>
      </c>
      <c r="E8731" s="2" t="str">
        <f>IF(Table1[[#This Row],[Is Data Valid]]=TRUE,IF(Table1[[#This Row],[Fetal Sex (Male, Female or Unknown)]]="Male",Backend!$C$6,IF(Table1[[#This Row],[Fetal Sex (Male, Female or Unknown)]]="Female",Backend!$C$7,IF(Table1[[#This Row],[Fetal Sex (Male, Female or Unknown)]]="Unknown",Backend!$C$8,"Error"))),"")</f>
        <v/>
      </c>
      <c r="F8731" s="8" t="str">
        <f>IF(Table1[[#This Row],[Is Data Valid]]=TRUE,EXP(0.578+0.332*((Table1[[#This Row],[Gestation (days)]]+0.5)/7)-0.00354*((Table1[[#This Row],[Gestation (days)]]+0.5)/7)^2)*Table1[[#This Row],[BW40_3705]],"")</f>
        <v/>
      </c>
      <c r="G8731" s="2" t="str">
        <f>IF(Table1[[#This Row],[Is Data Valid]]=TRUE,((Table1[[#This Row],[Birthweight (grams)]]/Table1[[#This Row],[BW_GA]])-1)/(Backend!$B$4/100*Table1[[#This Row],[BW40_3705]]),"")</f>
        <v/>
      </c>
      <c r="H8731" s="7" t="str">
        <f>IF(Table1[[#This Row],[Is Data Valid]]=TRUE,((Table1[[#This Row],[Birthweight (grams)]]*0.9/Table1[[#This Row],[BW_GA]])-1)/(Backend!$B$4/100*Table1[[#This Row],[BW40_3705]]),"")</f>
        <v/>
      </c>
      <c r="I8731" s="7" t="str">
        <f>IF(Table1[[#This Row],[Is Data Valid]]=TRUE,((Table1[[#This Row],[Birthweight (grams)]]*1.1/Table1[[#This Row],[BW_GA]])-1)/(Backend!$B$4/100*Table1[[#This Row],[BW40_3705]]),"")</f>
        <v/>
      </c>
      <c r="J8731" s="7" t="str">
        <f>IF(Table1[[#This Row],[Is Data Valid]]=TRUE,_xlfn.NORM.S.DIST(Table1[[#This Row],[Birthweight Z-Score]],TRUE)*100,"")</f>
        <v/>
      </c>
      <c r="K8731" s="7" t="str">
        <f>IF(Table1[[#This Row],[Is Data Valid]]=TRUE,_xlfn.NORM.S.DIST(Table1[[#This Row],[Birthweight Z-Score (BW-10%)]],TRUE)*100,"")</f>
        <v/>
      </c>
      <c r="L8731" s="7" t="str">
        <f>IF(Table1[[#This Row],[Is Data Valid]]=TRUE,_xlfn.NORM.S.DIST(Table1[[#This Row],[Birthweight Z-Score (BW+10%)]],TRUE)*100,"")</f>
        <v/>
      </c>
    </row>
    <row r="8732" spans="1:12" x14ac:dyDescent="0.35">
      <c r="A8732" s="3"/>
      <c r="B8732" s="2"/>
      <c r="C8732" s="2"/>
      <c r="D8732" s="2" t="b">
        <f>IF(AND(NOT(ISBLANK(Table1[[#This Row],[Fetal Sex (Male, Female or Unknown)]])),ISNUMBER(Table1[[#This Row],[Birthweight (grams)]]),ISNUMBER(Table1[[#This Row],[Gestation (days)]])),TRUE,FALSE)</f>
        <v>0</v>
      </c>
      <c r="E8732" s="2" t="str">
        <f>IF(Table1[[#This Row],[Is Data Valid]]=TRUE,IF(Table1[[#This Row],[Fetal Sex (Male, Female or Unknown)]]="Male",Backend!$C$6,IF(Table1[[#This Row],[Fetal Sex (Male, Female or Unknown)]]="Female",Backend!$C$7,IF(Table1[[#This Row],[Fetal Sex (Male, Female or Unknown)]]="Unknown",Backend!$C$8,"Error"))),"")</f>
        <v/>
      </c>
      <c r="F8732" s="8" t="str">
        <f>IF(Table1[[#This Row],[Is Data Valid]]=TRUE,EXP(0.578+0.332*((Table1[[#This Row],[Gestation (days)]]+0.5)/7)-0.00354*((Table1[[#This Row],[Gestation (days)]]+0.5)/7)^2)*Table1[[#This Row],[BW40_3705]],"")</f>
        <v/>
      </c>
      <c r="G8732" s="2" t="str">
        <f>IF(Table1[[#This Row],[Is Data Valid]]=TRUE,((Table1[[#This Row],[Birthweight (grams)]]/Table1[[#This Row],[BW_GA]])-1)/(Backend!$B$4/100*Table1[[#This Row],[BW40_3705]]),"")</f>
        <v/>
      </c>
      <c r="H8732" s="7" t="str">
        <f>IF(Table1[[#This Row],[Is Data Valid]]=TRUE,((Table1[[#This Row],[Birthweight (grams)]]*0.9/Table1[[#This Row],[BW_GA]])-1)/(Backend!$B$4/100*Table1[[#This Row],[BW40_3705]]),"")</f>
        <v/>
      </c>
      <c r="I8732" s="7" t="str">
        <f>IF(Table1[[#This Row],[Is Data Valid]]=TRUE,((Table1[[#This Row],[Birthweight (grams)]]*1.1/Table1[[#This Row],[BW_GA]])-1)/(Backend!$B$4/100*Table1[[#This Row],[BW40_3705]]),"")</f>
        <v/>
      </c>
      <c r="J8732" s="7" t="str">
        <f>IF(Table1[[#This Row],[Is Data Valid]]=TRUE,_xlfn.NORM.S.DIST(Table1[[#This Row],[Birthweight Z-Score]],TRUE)*100,"")</f>
        <v/>
      </c>
      <c r="K8732" s="7" t="str">
        <f>IF(Table1[[#This Row],[Is Data Valid]]=TRUE,_xlfn.NORM.S.DIST(Table1[[#This Row],[Birthweight Z-Score (BW-10%)]],TRUE)*100,"")</f>
        <v/>
      </c>
      <c r="L8732" s="7" t="str">
        <f>IF(Table1[[#This Row],[Is Data Valid]]=TRUE,_xlfn.NORM.S.DIST(Table1[[#This Row],[Birthweight Z-Score (BW+10%)]],TRUE)*100,"")</f>
        <v/>
      </c>
    </row>
    <row r="8733" spans="1:12" x14ac:dyDescent="0.35">
      <c r="A8733" s="3"/>
      <c r="B8733" s="2"/>
      <c r="C8733" s="2"/>
      <c r="D8733" s="2" t="b">
        <f>IF(AND(NOT(ISBLANK(Table1[[#This Row],[Fetal Sex (Male, Female or Unknown)]])),ISNUMBER(Table1[[#This Row],[Birthweight (grams)]]),ISNUMBER(Table1[[#This Row],[Gestation (days)]])),TRUE,FALSE)</f>
        <v>0</v>
      </c>
      <c r="E8733" s="2" t="str">
        <f>IF(Table1[[#This Row],[Is Data Valid]]=TRUE,IF(Table1[[#This Row],[Fetal Sex (Male, Female or Unknown)]]="Male",Backend!$C$6,IF(Table1[[#This Row],[Fetal Sex (Male, Female or Unknown)]]="Female",Backend!$C$7,IF(Table1[[#This Row],[Fetal Sex (Male, Female or Unknown)]]="Unknown",Backend!$C$8,"Error"))),"")</f>
        <v/>
      </c>
      <c r="F8733" s="8" t="str">
        <f>IF(Table1[[#This Row],[Is Data Valid]]=TRUE,EXP(0.578+0.332*((Table1[[#This Row],[Gestation (days)]]+0.5)/7)-0.00354*((Table1[[#This Row],[Gestation (days)]]+0.5)/7)^2)*Table1[[#This Row],[BW40_3705]],"")</f>
        <v/>
      </c>
      <c r="G8733" s="2" t="str">
        <f>IF(Table1[[#This Row],[Is Data Valid]]=TRUE,((Table1[[#This Row],[Birthweight (grams)]]/Table1[[#This Row],[BW_GA]])-1)/(Backend!$B$4/100*Table1[[#This Row],[BW40_3705]]),"")</f>
        <v/>
      </c>
      <c r="H8733" s="7" t="str">
        <f>IF(Table1[[#This Row],[Is Data Valid]]=TRUE,((Table1[[#This Row],[Birthweight (grams)]]*0.9/Table1[[#This Row],[BW_GA]])-1)/(Backend!$B$4/100*Table1[[#This Row],[BW40_3705]]),"")</f>
        <v/>
      </c>
      <c r="I8733" s="7" t="str">
        <f>IF(Table1[[#This Row],[Is Data Valid]]=TRUE,((Table1[[#This Row],[Birthweight (grams)]]*1.1/Table1[[#This Row],[BW_GA]])-1)/(Backend!$B$4/100*Table1[[#This Row],[BW40_3705]]),"")</f>
        <v/>
      </c>
      <c r="J8733" s="7" t="str">
        <f>IF(Table1[[#This Row],[Is Data Valid]]=TRUE,_xlfn.NORM.S.DIST(Table1[[#This Row],[Birthweight Z-Score]],TRUE)*100,"")</f>
        <v/>
      </c>
      <c r="K8733" s="7" t="str">
        <f>IF(Table1[[#This Row],[Is Data Valid]]=TRUE,_xlfn.NORM.S.DIST(Table1[[#This Row],[Birthweight Z-Score (BW-10%)]],TRUE)*100,"")</f>
        <v/>
      </c>
      <c r="L8733" s="7" t="str">
        <f>IF(Table1[[#This Row],[Is Data Valid]]=TRUE,_xlfn.NORM.S.DIST(Table1[[#This Row],[Birthweight Z-Score (BW+10%)]],TRUE)*100,"")</f>
        <v/>
      </c>
    </row>
    <row r="8734" spans="1:12" x14ac:dyDescent="0.35">
      <c r="A8734" s="3"/>
      <c r="B8734" s="2"/>
      <c r="C8734" s="2"/>
      <c r="D8734" s="2" t="b">
        <f>IF(AND(NOT(ISBLANK(Table1[[#This Row],[Fetal Sex (Male, Female or Unknown)]])),ISNUMBER(Table1[[#This Row],[Birthweight (grams)]]),ISNUMBER(Table1[[#This Row],[Gestation (days)]])),TRUE,FALSE)</f>
        <v>0</v>
      </c>
      <c r="E8734" s="2" t="str">
        <f>IF(Table1[[#This Row],[Is Data Valid]]=TRUE,IF(Table1[[#This Row],[Fetal Sex (Male, Female or Unknown)]]="Male",Backend!$C$6,IF(Table1[[#This Row],[Fetal Sex (Male, Female or Unknown)]]="Female",Backend!$C$7,IF(Table1[[#This Row],[Fetal Sex (Male, Female or Unknown)]]="Unknown",Backend!$C$8,"Error"))),"")</f>
        <v/>
      </c>
      <c r="F8734" s="8" t="str">
        <f>IF(Table1[[#This Row],[Is Data Valid]]=TRUE,EXP(0.578+0.332*((Table1[[#This Row],[Gestation (days)]]+0.5)/7)-0.00354*((Table1[[#This Row],[Gestation (days)]]+0.5)/7)^2)*Table1[[#This Row],[BW40_3705]],"")</f>
        <v/>
      </c>
      <c r="G8734" s="2" t="str">
        <f>IF(Table1[[#This Row],[Is Data Valid]]=TRUE,((Table1[[#This Row],[Birthweight (grams)]]/Table1[[#This Row],[BW_GA]])-1)/(Backend!$B$4/100*Table1[[#This Row],[BW40_3705]]),"")</f>
        <v/>
      </c>
      <c r="H8734" s="7" t="str">
        <f>IF(Table1[[#This Row],[Is Data Valid]]=TRUE,((Table1[[#This Row],[Birthweight (grams)]]*0.9/Table1[[#This Row],[BW_GA]])-1)/(Backend!$B$4/100*Table1[[#This Row],[BW40_3705]]),"")</f>
        <v/>
      </c>
      <c r="I8734" s="7" t="str">
        <f>IF(Table1[[#This Row],[Is Data Valid]]=TRUE,((Table1[[#This Row],[Birthweight (grams)]]*1.1/Table1[[#This Row],[BW_GA]])-1)/(Backend!$B$4/100*Table1[[#This Row],[BW40_3705]]),"")</f>
        <v/>
      </c>
      <c r="J8734" s="7" t="str">
        <f>IF(Table1[[#This Row],[Is Data Valid]]=TRUE,_xlfn.NORM.S.DIST(Table1[[#This Row],[Birthweight Z-Score]],TRUE)*100,"")</f>
        <v/>
      </c>
      <c r="K8734" s="7" t="str">
        <f>IF(Table1[[#This Row],[Is Data Valid]]=TRUE,_xlfn.NORM.S.DIST(Table1[[#This Row],[Birthweight Z-Score (BW-10%)]],TRUE)*100,"")</f>
        <v/>
      </c>
      <c r="L8734" s="7" t="str">
        <f>IF(Table1[[#This Row],[Is Data Valid]]=TRUE,_xlfn.NORM.S.DIST(Table1[[#This Row],[Birthweight Z-Score (BW+10%)]],TRUE)*100,"")</f>
        <v/>
      </c>
    </row>
    <row r="8735" spans="1:12" x14ac:dyDescent="0.35">
      <c r="A8735" s="3"/>
      <c r="B8735" s="2"/>
      <c r="C8735" s="2"/>
      <c r="D8735" s="2" t="b">
        <f>IF(AND(NOT(ISBLANK(Table1[[#This Row],[Fetal Sex (Male, Female or Unknown)]])),ISNUMBER(Table1[[#This Row],[Birthweight (grams)]]),ISNUMBER(Table1[[#This Row],[Gestation (days)]])),TRUE,FALSE)</f>
        <v>0</v>
      </c>
      <c r="E8735" s="2" t="str">
        <f>IF(Table1[[#This Row],[Is Data Valid]]=TRUE,IF(Table1[[#This Row],[Fetal Sex (Male, Female or Unknown)]]="Male",Backend!$C$6,IF(Table1[[#This Row],[Fetal Sex (Male, Female or Unknown)]]="Female",Backend!$C$7,IF(Table1[[#This Row],[Fetal Sex (Male, Female or Unknown)]]="Unknown",Backend!$C$8,"Error"))),"")</f>
        <v/>
      </c>
      <c r="F8735" s="8" t="str">
        <f>IF(Table1[[#This Row],[Is Data Valid]]=TRUE,EXP(0.578+0.332*((Table1[[#This Row],[Gestation (days)]]+0.5)/7)-0.00354*((Table1[[#This Row],[Gestation (days)]]+0.5)/7)^2)*Table1[[#This Row],[BW40_3705]],"")</f>
        <v/>
      </c>
      <c r="G8735" s="2" t="str">
        <f>IF(Table1[[#This Row],[Is Data Valid]]=TRUE,((Table1[[#This Row],[Birthweight (grams)]]/Table1[[#This Row],[BW_GA]])-1)/(Backend!$B$4/100*Table1[[#This Row],[BW40_3705]]),"")</f>
        <v/>
      </c>
      <c r="H8735" s="7" t="str">
        <f>IF(Table1[[#This Row],[Is Data Valid]]=TRUE,((Table1[[#This Row],[Birthweight (grams)]]*0.9/Table1[[#This Row],[BW_GA]])-1)/(Backend!$B$4/100*Table1[[#This Row],[BW40_3705]]),"")</f>
        <v/>
      </c>
      <c r="I8735" s="7" t="str">
        <f>IF(Table1[[#This Row],[Is Data Valid]]=TRUE,((Table1[[#This Row],[Birthweight (grams)]]*1.1/Table1[[#This Row],[BW_GA]])-1)/(Backend!$B$4/100*Table1[[#This Row],[BW40_3705]]),"")</f>
        <v/>
      </c>
      <c r="J8735" s="7" t="str">
        <f>IF(Table1[[#This Row],[Is Data Valid]]=TRUE,_xlfn.NORM.S.DIST(Table1[[#This Row],[Birthweight Z-Score]],TRUE)*100,"")</f>
        <v/>
      </c>
      <c r="K8735" s="7" t="str">
        <f>IF(Table1[[#This Row],[Is Data Valid]]=TRUE,_xlfn.NORM.S.DIST(Table1[[#This Row],[Birthweight Z-Score (BW-10%)]],TRUE)*100,"")</f>
        <v/>
      </c>
      <c r="L8735" s="7" t="str">
        <f>IF(Table1[[#This Row],[Is Data Valid]]=TRUE,_xlfn.NORM.S.DIST(Table1[[#This Row],[Birthweight Z-Score (BW+10%)]],TRUE)*100,"")</f>
        <v/>
      </c>
    </row>
    <row r="8736" spans="1:12" x14ac:dyDescent="0.35">
      <c r="A8736" s="3"/>
      <c r="B8736" s="2"/>
      <c r="C8736" s="2"/>
      <c r="D8736" s="2" t="b">
        <f>IF(AND(NOT(ISBLANK(Table1[[#This Row],[Fetal Sex (Male, Female or Unknown)]])),ISNUMBER(Table1[[#This Row],[Birthweight (grams)]]),ISNUMBER(Table1[[#This Row],[Gestation (days)]])),TRUE,FALSE)</f>
        <v>0</v>
      </c>
      <c r="E8736" s="2" t="str">
        <f>IF(Table1[[#This Row],[Is Data Valid]]=TRUE,IF(Table1[[#This Row],[Fetal Sex (Male, Female or Unknown)]]="Male",Backend!$C$6,IF(Table1[[#This Row],[Fetal Sex (Male, Female or Unknown)]]="Female",Backend!$C$7,IF(Table1[[#This Row],[Fetal Sex (Male, Female or Unknown)]]="Unknown",Backend!$C$8,"Error"))),"")</f>
        <v/>
      </c>
      <c r="F8736" s="8" t="str">
        <f>IF(Table1[[#This Row],[Is Data Valid]]=TRUE,EXP(0.578+0.332*((Table1[[#This Row],[Gestation (days)]]+0.5)/7)-0.00354*((Table1[[#This Row],[Gestation (days)]]+0.5)/7)^2)*Table1[[#This Row],[BW40_3705]],"")</f>
        <v/>
      </c>
      <c r="G8736" s="2" t="str">
        <f>IF(Table1[[#This Row],[Is Data Valid]]=TRUE,((Table1[[#This Row],[Birthweight (grams)]]/Table1[[#This Row],[BW_GA]])-1)/(Backend!$B$4/100*Table1[[#This Row],[BW40_3705]]),"")</f>
        <v/>
      </c>
      <c r="H8736" s="7" t="str">
        <f>IF(Table1[[#This Row],[Is Data Valid]]=TRUE,((Table1[[#This Row],[Birthweight (grams)]]*0.9/Table1[[#This Row],[BW_GA]])-1)/(Backend!$B$4/100*Table1[[#This Row],[BW40_3705]]),"")</f>
        <v/>
      </c>
      <c r="I8736" s="7" t="str">
        <f>IF(Table1[[#This Row],[Is Data Valid]]=TRUE,((Table1[[#This Row],[Birthweight (grams)]]*1.1/Table1[[#This Row],[BW_GA]])-1)/(Backend!$B$4/100*Table1[[#This Row],[BW40_3705]]),"")</f>
        <v/>
      </c>
      <c r="J8736" s="7" t="str">
        <f>IF(Table1[[#This Row],[Is Data Valid]]=TRUE,_xlfn.NORM.S.DIST(Table1[[#This Row],[Birthweight Z-Score]],TRUE)*100,"")</f>
        <v/>
      </c>
      <c r="K8736" s="7" t="str">
        <f>IF(Table1[[#This Row],[Is Data Valid]]=TRUE,_xlfn.NORM.S.DIST(Table1[[#This Row],[Birthweight Z-Score (BW-10%)]],TRUE)*100,"")</f>
        <v/>
      </c>
      <c r="L8736" s="7" t="str">
        <f>IF(Table1[[#This Row],[Is Data Valid]]=TRUE,_xlfn.NORM.S.DIST(Table1[[#This Row],[Birthweight Z-Score (BW+10%)]],TRUE)*100,"")</f>
        <v/>
      </c>
    </row>
    <row r="8737" spans="1:12" x14ac:dyDescent="0.35">
      <c r="A8737" s="3"/>
      <c r="B8737" s="2"/>
      <c r="C8737" s="2"/>
      <c r="D8737" s="2" t="b">
        <f>IF(AND(NOT(ISBLANK(Table1[[#This Row],[Fetal Sex (Male, Female or Unknown)]])),ISNUMBER(Table1[[#This Row],[Birthweight (grams)]]),ISNUMBER(Table1[[#This Row],[Gestation (days)]])),TRUE,FALSE)</f>
        <v>0</v>
      </c>
      <c r="E8737" s="2" t="str">
        <f>IF(Table1[[#This Row],[Is Data Valid]]=TRUE,IF(Table1[[#This Row],[Fetal Sex (Male, Female or Unknown)]]="Male",Backend!$C$6,IF(Table1[[#This Row],[Fetal Sex (Male, Female or Unknown)]]="Female",Backend!$C$7,IF(Table1[[#This Row],[Fetal Sex (Male, Female or Unknown)]]="Unknown",Backend!$C$8,"Error"))),"")</f>
        <v/>
      </c>
      <c r="F8737" s="8" t="str">
        <f>IF(Table1[[#This Row],[Is Data Valid]]=TRUE,EXP(0.578+0.332*((Table1[[#This Row],[Gestation (days)]]+0.5)/7)-0.00354*((Table1[[#This Row],[Gestation (days)]]+0.5)/7)^2)*Table1[[#This Row],[BW40_3705]],"")</f>
        <v/>
      </c>
      <c r="G8737" s="2" t="str">
        <f>IF(Table1[[#This Row],[Is Data Valid]]=TRUE,((Table1[[#This Row],[Birthweight (grams)]]/Table1[[#This Row],[BW_GA]])-1)/(Backend!$B$4/100*Table1[[#This Row],[BW40_3705]]),"")</f>
        <v/>
      </c>
      <c r="H8737" s="7" t="str">
        <f>IF(Table1[[#This Row],[Is Data Valid]]=TRUE,((Table1[[#This Row],[Birthweight (grams)]]*0.9/Table1[[#This Row],[BW_GA]])-1)/(Backend!$B$4/100*Table1[[#This Row],[BW40_3705]]),"")</f>
        <v/>
      </c>
      <c r="I8737" s="7" t="str">
        <f>IF(Table1[[#This Row],[Is Data Valid]]=TRUE,((Table1[[#This Row],[Birthweight (grams)]]*1.1/Table1[[#This Row],[BW_GA]])-1)/(Backend!$B$4/100*Table1[[#This Row],[BW40_3705]]),"")</f>
        <v/>
      </c>
      <c r="J8737" s="7" t="str">
        <f>IF(Table1[[#This Row],[Is Data Valid]]=TRUE,_xlfn.NORM.S.DIST(Table1[[#This Row],[Birthweight Z-Score]],TRUE)*100,"")</f>
        <v/>
      </c>
      <c r="K8737" s="7" t="str">
        <f>IF(Table1[[#This Row],[Is Data Valid]]=TRUE,_xlfn.NORM.S.DIST(Table1[[#This Row],[Birthweight Z-Score (BW-10%)]],TRUE)*100,"")</f>
        <v/>
      </c>
      <c r="L8737" s="7" t="str">
        <f>IF(Table1[[#This Row],[Is Data Valid]]=TRUE,_xlfn.NORM.S.DIST(Table1[[#This Row],[Birthweight Z-Score (BW+10%)]],TRUE)*100,"")</f>
        <v/>
      </c>
    </row>
    <row r="8738" spans="1:12" x14ac:dyDescent="0.35">
      <c r="A8738" s="3"/>
      <c r="B8738" s="2"/>
      <c r="C8738" s="2"/>
      <c r="D8738" s="2" t="b">
        <f>IF(AND(NOT(ISBLANK(Table1[[#This Row],[Fetal Sex (Male, Female or Unknown)]])),ISNUMBER(Table1[[#This Row],[Birthweight (grams)]]),ISNUMBER(Table1[[#This Row],[Gestation (days)]])),TRUE,FALSE)</f>
        <v>0</v>
      </c>
      <c r="E8738" s="2" t="str">
        <f>IF(Table1[[#This Row],[Is Data Valid]]=TRUE,IF(Table1[[#This Row],[Fetal Sex (Male, Female or Unknown)]]="Male",Backend!$C$6,IF(Table1[[#This Row],[Fetal Sex (Male, Female or Unknown)]]="Female",Backend!$C$7,IF(Table1[[#This Row],[Fetal Sex (Male, Female or Unknown)]]="Unknown",Backend!$C$8,"Error"))),"")</f>
        <v/>
      </c>
      <c r="F8738" s="8" t="str">
        <f>IF(Table1[[#This Row],[Is Data Valid]]=TRUE,EXP(0.578+0.332*((Table1[[#This Row],[Gestation (days)]]+0.5)/7)-0.00354*((Table1[[#This Row],[Gestation (days)]]+0.5)/7)^2)*Table1[[#This Row],[BW40_3705]],"")</f>
        <v/>
      </c>
      <c r="G8738" s="2" t="str">
        <f>IF(Table1[[#This Row],[Is Data Valid]]=TRUE,((Table1[[#This Row],[Birthweight (grams)]]/Table1[[#This Row],[BW_GA]])-1)/(Backend!$B$4/100*Table1[[#This Row],[BW40_3705]]),"")</f>
        <v/>
      </c>
      <c r="H8738" s="7" t="str">
        <f>IF(Table1[[#This Row],[Is Data Valid]]=TRUE,((Table1[[#This Row],[Birthweight (grams)]]*0.9/Table1[[#This Row],[BW_GA]])-1)/(Backend!$B$4/100*Table1[[#This Row],[BW40_3705]]),"")</f>
        <v/>
      </c>
      <c r="I8738" s="7" t="str">
        <f>IF(Table1[[#This Row],[Is Data Valid]]=TRUE,((Table1[[#This Row],[Birthweight (grams)]]*1.1/Table1[[#This Row],[BW_GA]])-1)/(Backend!$B$4/100*Table1[[#This Row],[BW40_3705]]),"")</f>
        <v/>
      </c>
      <c r="J8738" s="7" t="str">
        <f>IF(Table1[[#This Row],[Is Data Valid]]=TRUE,_xlfn.NORM.S.DIST(Table1[[#This Row],[Birthweight Z-Score]],TRUE)*100,"")</f>
        <v/>
      </c>
      <c r="K8738" s="7" t="str">
        <f>IF(Table1[[#This Row],[Is Data Valid]]=TRUE,_xlfn.NORM.S.DIST(Table1[[#This Row],[Birthweight Z-Score (BW-10%)]],TRUE)*100,"")</f>
        <v/>
      </c>
      <c r="L8738" s="7" t="str">
        <f>IF(Table1[[#This Row],[Is Data Valid]]=TRUE,_xlfn.NORM.S.DIST(Table1[[#This Row],[Birthweight Z-Score (BW+10%)]],TRUE)*100,"")</f>
        <v/>
      </c>
    </row>
    <row r="8739" spans="1:12" x14ac:dyDescent="0.35">
      <c r="A8739" s="3"/>
      <c r="B8739" s="2"/>
      <c r="C8739" s="2"/>
      <c r="D8739" s="2" t="b">
        <f>IF(AND(NOT(ISBLANK(Table1[[#This Row],[Fetal Sex (Male, Female or Unknown)]])),ISNUMBER(Table1[[#This Row],[Birthweight (grams)]]),ISNUMBER(Table1[[#This Row],[Gestation (days)]])),TRUE,FALSE)</f>
        <v>0</v>
      </c>
      <c r="E8739" s="2" t="str">
        <f>IF(Table1[[#This Row],[Is Data Valid]]=TRUE,IF(Table1[[#This Row],[Fetal Sex (Male, Female or Unknown)]]="Male",Backend!$C$6,IF(Table1[[#This Row],[Fetal Sex (Male, Female or Unknown)]]="Female",Backend!$C$7,IF(Table1[[#This Row],[Fetal Sex (Male, Female or Unknown)]]="Unknown",Backend!$C$8,"Error"))),"")</f>
        <v/>
      </c>
      <c r="F8739" s="8" t="str">
        <f>IF(Table1[[#This Row],[Is Data Valid]]=TRUE,EXP(0.578+0.332*((Table1[[#This Row],[Gestation (days)]]+0.5)/7)-0.00354*((Table1[[#This Row],[Gestation (days)]]+0.5)/7)^2)*Table1[[#This Row],[BW40_3705]],"")</f>
        <v/>
      </c>
      <c r="G8739" s="2" t="str">
        <f>IF(Table1[[#This Row],[Is Data Valid]]=TRUE,((Table1[[#This Row],[Birthweight (grams)]]/Table1[[#This Row],[BW_GA]])-1)/(Backend!$B$4/100*Table1[[#This Row],[BW40_3705]]),"")</f>
        <v/>
      </c>
      <c r="H8739" s="7" t="str">
        <f>IF(Table1[[#This Row],[Is Data Valid]]=TRUE,((Table1[[#This Row],[Birthweight (grams)]]*0.9/Table1[[#This Row],[BW_GA]])-1)/(Backend!$B$4/100*Table1[[#This Row],[BW40_3705]]),"")</f>
        <v/>
      </c>
      <c r="I8739" s="7" t="str">
        <f>IF(Table1[[#This Row],[Is Data Valid]]=TRUE,((Table1[[#This Row],[Birthweight (grams)]]*1.1/Table1[[#This Row],[BW_GA]])-1)/(Backend!$B$4/100*Table1[[#This Row],[BW40_3705]]),"")</f>
        <v/>
      </c>
      <c r="J8739" s="7" t="str">
        <f>IF(Table1[[#This Row],[Is Data Valid]]=TRUE,_xlfn.NORM.S.DIST(Table1[[#This Row],[Birthweight Z-Score]],TRUE)*100,"")</f>
        <v/>
      </c>
      <c r="K8739" s="7" t="str">
        <f>IF(Table1[[#This Row],[Is Data Valid]]=TRUE,_xlfn.NORM.S.DIST(Table1[[#This Row],[Birthweight Z-Score (BW-10%)]],TRUE)*100,"")</f>
        <v/>
      </c>
      <c r="L8739" s="7" t="str">
        <f>IF(Table1[[#This Row],[Is Data Valid]]=TRUE,_xlfn.NORM.S.DIST(Table1[[#This Row],[Birthweight Z-Score (BW+10%)]],TRUE)*100,"")</f>
        <v/>
      </c>
    </row>
    <row r="8740" spans="1:12" x14ac:dyDescent="0.35">
      <c r="A8740" s="3"/>
      <c r="B8740" s="2"/>
      <c r="C8740" s="2"/>
      <c r="D8740" s="2" t="b">
        <f>IF(AND(NOT(ISBLANK(Table1[[#This Row],[Fetal Sex (Male, Female or Unknown)]])),ISNUMBER(Table1[[#This Row],[Birthweight (grams)]]),ISNUMBER(Table1[[#This Row],[Gestation (days)]])),TRUE,FALSE)</f>
        <v>0</v>
      </c>
      <c r="E8740" s="2" t="str">
        <f>IF(Table1[[#This Row],[Is Data Valid]]=TRUE,IF(Table1[[#This Row],[Fetal Sex (Male, Female or Unknown)]]="Male",Backend!$C$6,IF(Table1[[#This Row],[Fetal Sex (Male, Female or Unknown)]]="Female",Backend!$C$7,IF(Table1[[#This Row],[Fetal Sex (Male, Female or Unknown)]]="Unknown",Backend!$C$8,"Error"))),"")</f>
        <v/>
      </c>
      <c r="F8740" s="8" t="str">
        <f>IF(Table1[[#This Row],[Is Data Valid]]=TRUE,EXP(0.578+0.332*((Table1[[#This Row],[Gestation (days)]]+0.5)/7)-0.00354*((Table1[[#This Row],[Gestation (days)]]+0.5)/7)^2)*Table1[[#This Row],[BW40_3705]],"")</f>
        <v/>
      </c>
      <c r="G8740" s="2" t="str">
        <f>IF(Table1[[#This Row],[Is Data Valid]]=TRUE,((Table1[[#This Row],[Birthweight (grams)]]/Table1[[#This Row],[BW_GA]])-1)/(Backend!$B$4/100*Table1[[#This Row],[BW40_3705]]),"")</f>
        <v/>
      </c>
      <c r="H8740" s="7" t="str">
        <f>IF(Table1[[#This Row],[Is Data Valid]]=TRUE,((Table1[[#This Row],[Birthweight (grams)]]*0.9/Table1[[#This Row],[BW_GA]])-1)/(Backend!$B$4/100*Table1[[#This Row],[BW40_3705]]),"")</f>
        <v/>
      </c>
      <c r="I8740" s="7" t="str">
        <f>IF(Table1[[#This Row],[Is Data Valid]]=TRUE,((Table1[[#This Row],[Birthweight (grams)]]*1.1/Table1[[#This Row],[BW_GA]])-1)/(Backend!$B$4/100*Table1[[#This Row],[BW40_3705]]),"")</f>
        <v/>
      </c>
      <c r="J8740" s="7" t="str">
        <f>IF(Table1[[#This Row],[Is Data Valid]]=TRUE,_xlfn.NORM.S.DIST(Table1[[#This Row],[Birthweight Z-Score]],TRUE)*100,"")</f>
        <v/>
      </c>
      <c r="K8740" s="7" t="str">
        <f>IF(Table1[[#This Row],[Is Data Valid]]=TRUE,_xlfn.NORM.S.DIST(Table1[[#This Row],[Birthweight Z-Score (BW-10%)]],TRUE)*100,"")</f>
        <v/>
      </c>
      <c r="L8740" s="7" t="str">
        <f>IF(Table1[[#This Row],[Is Data Valid]]=TRUE,_xlfn.NORM.S.DIST(Table1[[#This Row],[Birthweight Z-Score (BW+10%)]],TRUE)*100,"")</f>
        <v/>
      </c>
    </row>
    <row r="8741" spans="1:12" x14ac:dyDescent="0.35">
      <c r="A8741" s="3"/>
      <c r="B8741" s="2"/>
      <c r="C8741" s="2"/>
      <c r="D8741" s="2" t="b">
        <f>IF(AND(NOT(ISBLANK(Table1[[#This Row],[Fetal Sex (Male, Female or Unknown)]])),ISNUMBER(Table1[[#This Row],[Birthweight (grams)]]),ISNUMBER(Table1[[#This Row],[Gestation (days)]])),TRUE,FALSE)</f>
        <v>0</v>
      </c>
      <c r="E8741" s="2" t="str">
        <f>IF(Table1[[#This Row],[Is Data Valid]]=TRUE,IF(Table1[[#This Row],[Fetal Sex (Male, Female or Unknown)]]="Male",Backend!$C$6,IF(Table1[[#This Row],[Fetal Sex (Male, Female or Unknown)]]="Female",Backend!$C$7,IF(Table1[[#This Row],[Fetal Sex (Male, Female or Unknown)]]="Unknown",Backend!$C$8,"Error"))),"")</f>
        <v/>
      </c>
      <c r="F8741" s="8" t="str">
        <f>IF(Table1[[#This Row],[Is Data Valid]]=TRUE,EXP(0.578+0.332*((Table1[[#This Row],[Gestation (days)]]+0.5)/7)-0.00354*((Table1[[#This Row],[Gestation (days)]]+0.5)/7)^2)*Table1[[#This Row],[BW40_3705]],"")</f>
        <v/>
      </c>
      <c r="G8741" s="2" t="str">
        <f>IF(Table1[[#This Row],[Is Data Valid]]=TRUE,((Table1[[#This Row],[Birthweight (grams)]]/Table1[[#This Row],[BW_GA]])-1)/(Backend!$B$4/100*Table1[[#This Row],[BW40_3705]]),"")</f>
        <v/>
      </c>
      <c r="H8741" s="7" t="str">
        <f>IF(Table1[[#This Row],[Is Data Valid]]=TRUE,((Table1[[#This Row],[Birthweight (grams)]]*0.9/Table1[[#This Row],[BW_GA]])-1)/(Backend!$B$4/100*Table1[[#This Row],[BW40_3705]]),"")</f>
        <v/>
      </c>
      <c r="I8741" s="7" t="str">
        <f>IF(Table1[[#This Row],[Is Data Valid]]=TRUE,((Table1[[#This Row],[Birthweight (grams)]]*1.1/Table1[[#This Row],[BW_GA]])-1)/(Backend!$B$4/100*Table1[[#This Row],[BW40_3705]]),"")</f>
        <v/>
      </c>
      <c r="J8741" s="7" t="str">
        <f>IF(Table1[[#This Row],[Is Data Valid]]=TRUE,_xlfn.NORM.S.DIST(Table1[[#This Row],[Birthweight Z-Score]],TRUE)*100,"")</f>
        <v/>
      </c>
      <c r="K8741" s="7" t="str">
        <f>IF(Table1[[#This Row],[Is Data Valid]]=TRUE,_xlfn.NORM.S.DIST(Table1[[#This Row],[Birthweight Z-Score (BW-10%)]],TRUE)*100,"")</f>
        <v/>
      </c>
      <c r="L8741" s="7" t="str">
        <f>IF(Table1[[#This Row],[Is Data Valid]]=TRUE,_xlfn.NORM.S.DIST(Table1[[#This Row],[Birthweight Z-Score (BW+10%)]],TRUE)*100,"")</f>
        <v/>
      </c>
    </row>
    <row r="8742" spans="1:12" x14ac:dyDescent="0.35">
      <c r="A8742" s="3"/>
      <c r="B8742" s="2"/>
      <c r="C8742" s="2"/>
      <c r="D8742" s="2" t="b">
        <f>IF(AND(NOT(ISBLANK(Table1[[#This Row],[Fetal Sex (Male, Female or Unknown)]])),ISNUMBER(Table1[[#This Row],[Birthweight (grams)]]),ISNUMBER(Table1[[#This Row],[Gestation (days)]])),TRUE,FALSE)</f>
        <v>0</v>
      </c>
      <c r="E8742" s="2" t="str">
        <f>IF(Table1[[#This Row],[Is Data Valid]]=TRUE,IF(Table1[[#This Row],[Fetal Sex (Male, Female or Unknown)]]="Male",Backend!$C$6,IF(Table1[[#This Row],[Fetal Sex (Male, Female or Unknown)]]="Female",Backend!$C$7,IF(Table1[[#This Row],[Fetal Sex (Male, Female or Unknown)]]="Unknown",Backend!$C$8,"Error"))),"")</f>
        <v/>
      </c>
      <c r="F8742" s="8" t="str">
        <f>IF(Table1[[#This Row],[Is Data Valid]]=TRUE,EXP(0.578+0.332*((Table1[[#This Row],[Gestation (days)]]+0.5)/7)-0.00354*((Table1[[#This Row],[Gestation (days)]]+0.5)/7)^2)*Table1[[#This Row],[BW40_3705]],"")</f>
        <v/>
      </c>
      <c r="G8742" s="2" t="str">
        <f>IF(Table1[[#This Row],[Is Data Valid]]=TRUE,((Table1[[#This Row],[Birthweight (grams)]]/Table1[[#This Row],[BW_GA]])-1)/(Backend!$B$4/100*Table1[[#This Row],[BW40_3705]]),"")</f>
        <v/>
      </c>
      <c r="H8742" s="7" t="str">
        <f>IF(Table1[[#This Row],[Is Data Valid]]=TRUE,((Table1[[#This Row],[Birthweight (grams)]]*0.9/Table1[[#This Row],[BW_GA]])-1)/(Backend!$B$4/100*Table1[[#This Row],[BW40_3705]]),"")</f>
        <v/>
      </c>
      <c r="I8742" s="7" t="str">
        <f>IF(Table1[[#This Row],[Is Data Valid]]=TRUE,((Table1[[#This Row],[Birthweight (grams)]]*1.1/Table1[[#This Row],[BW_GA]])-1)/(Backend!$B$4/100*Table1[[#This Row],[BW40_3705]]),"")</f>
        <v/>
      </c>
      <c r="J8742" s="7" t="str">
        <f>IF(Table1[[#This Row],[Is Data Valid]]=TRUE,_xlfn.NORM.S.DIST(Table1[[#This Row],[Birthweight Z-Score]],TRUE)*100,"")</f>
        <v/>
      </c>
      <c r="K8742" s="7" t="str">
        <f>IF(Table1[[#This Row],[Is Data Valid]]=TRUE,_xlfn.NORM.S.DIST(Table1[[#This Row],[Birthweight Z-Score (BW-10%)]],TRUE)*100,"")</f>
        <v/>
      </c>
      <c r="L8742" s="7" t="str">
        <f>IF(Table1[[#This Row],[Is Data Valid]]=TRUE,_xlfn.NORM.S.DIST(Table1[[#This Row],[Birthweight Z-Score (BW+10%)]],TRUE)*100,"")</f>
        <v/>
      </c>
    </row>
    <row r="8743" spans="1:12" x14ac:dyDescent="0.35">
      <c r="A8743" s="3"/>
      <c r="B8743" s="2"/>
      <c r="C8743" s="2"/>
      <c r="D8743" s="2" t="b">
        <f>IF(AND(NOT(ISBLANK(Table1[[#This Row],[Fetal Sex (Male, Female or Unknown)]])),ISNUMBER(Table1[[#This Row],[Birthweight (grams)]]),ISNUMBER(Table1[[#This Row],[Gestation (days)]])),TRUE,FALSE)</f>
        <v>0</v>
      </c>
      <c r="E8743" s="2" t="str">
        <f>IF(Table1[[#This Row],[Is Data Valid]]=TRUE,IF(Table1[[#This Row],[Fetal Sex (Male, Female or Unknown)]]="Male",Backend!$C$6,IF(Table1[[#This Row],[Fetal Sex (Male, Female or Unknown)]]="Female",Backend!$C$7,IF(Table1[[#This Row],[Fetal Sex (Male, Female or Unknown)]]="Unknown",Backend!$C$8,"Error"))),"")</f>
        <v/>
      </c>
      <c r="F8743" s="8" t="str">
        <f>IF(Table1[[#This Row],[Is Data Valid]]=TRUE,EXP(0.578+0.332*((Table1[[#This Row],[Gestation (days)]]+0.5)/7)-0.00354*((Table1[[#This Row],[Gestation (days)]]+0.5)/7)^2)*Table1[[#This Row],[BW40_3705]],"")</f>
        <v/>
      </c>
      <c r="G8743" s="2" t="str">
        <f>IF(Table1[[#This Row],[Is Data Valid]]=TRUE,((Table1[[#This Row],[Birthweight (grams)]]/Table1[[#This Row],[BW_GA]])-1)/(Backend!$B$4/100*Table1[[#This Row],[BW40_3705]]),"")</f>
        <v/>
      </c>
      <c r="H8743" s="7" t="str">
        <f>IF(Table1[[#This Row],[Is Data Valid]]=TRUE,((Table1[[#This Row],[Birthweight (grams)]]*0.9/Table1[[#This Row],[BW_GA]])-1)/(Backend!$B$4/100*Table1[[#This Row],[BW40_3705]]),"")</f>
        <v/>
      </c>
      <c r="I8743" s="7" t="str">
        <f>IF(Table1[[#This Row],[Is Data Valid]]=TRUE,((Table1[[#This Row],[Birthweight (grams)]]*1.1/Table1[[#This Row],[BW_GA]])-1)/(Backend!$B$4/100*Table1[[#This Row],[BW40_3705]]),"")</f>
        <v/>
      </c>
      <c r="J8743" s="7" t="str">
        <f>IF(Table1[[#This Row],[Is Data Valid]]=TRUE,_xlfn.NORM.S.DIST(Table1[[#This Row],[Birthweight Z-Score]],TRUE)*100,"")</f>
        <v/>
      </c>
      <c r="K8743" s="7" t="str">
        <f>IF(Table1[[#This Row],[Is Data Valid]]=TRUE,_xlfn.NORM.S.DIST(Table1[[#This Row],[Birthweight Z-Score (BW-10%)]],TRUE)*100,"")</f>
        <v/>
      </c>
      <c r="L8743" s="7" t="str">
        <f>IF(Table1[[#This Row],[Is Data Valid]]=TRUE,_xlfn.NORM.S.DIST(Table1[[#This Row],[Birthweight Z-Score (BW+10%)]],TRUE)*100,"")</f>
        <v/>
      </c>
    </row>
    <row r="8744" spans="1:12" x14ac:dyDescent="0.35">
      <c r="A8744" s="3"/>
      <c r="B8744" s="2"/>
      <c r="C8744" s="2"/>
      <c r="D8744" s="2" t="b">
        <f>IF(AND(NOT(ISBLANK(Table1[[#This Row],[Fetal Sex (Male, Female or Unknown)]])),ISNUMBER(Table1[[#This Row],[Birthweight (grams)]]),ISNUMBER(Table1[[#This Row],[Gestation (days)]])),TRUE,FALSE)</f>
        <v>0</v>
      </c>
      <c r="E8744" s="2" t="str">
        <f>IF(Table1[[#This Row],[Is Data Valid]]=TRUE,IF(Table1[[#This Row],[Fetal Sex (Male, Female or Unknown)]]="Male",Backend!$C$6,IF(Table1[[#This Row],[Fetal Sex (Male, Female or Unknown)]]="Female",Backend!$C$7,IF(Table1[[#This Row],[Fetal Sex (Male, Female or Unknown)]]="Unknown",Backend!$C$8,"Error"))),"")</f>
        <v/>
      </c>
      <c r="F8744" s="8" t="str">
        <f>IF(Table1[[#This Row],[Is Data Valid]]=TRUE,EXP(0.578+0.332*((Table1[[#This Row],[Gestation (days)]]+0.5)/7)-0.00354*((Table1[[#This Row],[Gestation (days)]]+0.5)/7)^2)*Table1[[#This Row],[BW40_3705]],"")</f>
        <v/>
      </c>
      <c r="G8744" s="2" t="str">
        <f>IF(Table1[[#This Row],[Is Data Valid]]=TRUE,((Table1[[#This Row],[Birthweight (grams)]]/Table1[[#This Row],[BW_GA]])-1)/(Backend!$B$4/100*Table1[[#This Row],[BW40_3705]]),"")</f>
        <v/>
      </c>
      <c r="H8744" s="7" t="str">
        <f>IF(Table1[[#This Row],[Is Data Valid]]=TRUE,((Table1[[#This Row],[Birthweight (grams)]]*0.9/Table1[[#This Row],[BW_GA]])-1)/(Backend!$B$4/100*Table1[[#This Row],[BW40_3705]]),"")</f>
        <v/>
      </c>
      <c r="I8744" s="7" t="str">
        <f>IF(Table1[[#This Row],[Is Data Valid]]=TRUE,((Table1[[#This Row],[Birthweight (grams)]]*1.1/Table1[[#This Row],[BW_GA]])-1)/(Backend!$B$4/100*Table1[[#This Row],[BW40_3705]]),"")</f>
        <v/>
      </c>
      <c r="J8744" s="7" t="str">
        <f>IF(Table1[[#This Row],[Is Data Valid]]=TRUE,_xlfn.NORM.S.DIST(Table1[[#This Row],[Birthweight Z-Score]],TRUE)*100,"")</f>
        <v/>
      </c>
      <c r="K8744" s="7" t="str">
        <f>IF(Table1[[#This Row],[Is Data Valid]]=TRUE,_xlfn.NORM.S.DIST(Table1[[#This Row],[Birthweight Z-Score (BW-10%)]],TRUE)*100,"")</f>
        <v/>
      </c>
      <c r="L8744" s="7" t="str">
        <f>IF(Table1[[#This Row],[Is Data Valid]]=TRUE,_xlfn.NORM.S.DIST(Table1[[#This Row],[Birthweight Z-Score (BW+10%)]],TRUE)*100,"")</f>
        <v/>
      </c>
    </row>
    <row r="8745" spans="1:12" x14ac:dyDescent="0.35">
      <c r="A8745" s="3"/>
      <c r="B8745" s="2"/>
      <c r="C8745" s="2"/>
      <c r="D8745" s="2" t="b">
        <f>IF(AND(NOT(ISBLANK(Table1[[#This Row],[Fetal Sex (Male, Female or Unknown)]])),ISNUMBER(Table1[[#This Row],[Birthweight (grams)]]),ISNUMBER(Table1[[#This Row],[Gestation (days)]])),TRUE,FALSE)</f>
        <v>0</v>
      </c>
      <c r="E8745" s="2" t="str">
        <f>IF(Table1[[#This Row],[Is Data Valid]]=TRUE,IF(Table1[[#This Row],[Fetal Sex (Male, Female or Unknown)]]="Male",Backend!$C$6,IF(Table1[[#This Row],[Fetal Sex (Male, Female or Unknown)]]="Female",Backend!$C$7,IF(Table1[[#This Row],[Fetal Sex (Male, Female or Unknown)]]="Unknown",Backend!$C$8,"Error"))),"")</f>
        <v/>
      </c>
      <c r="F8745" s="8" t="str">
        <f>IF(Table1[[#This Row],[Is Data Valid]]=TRUE,EXP(0.578+0.332*((Table1[[#This Row],[Gestation (days)]]+0.5)/7)-0.00354*((Table1[[#This Row],[Gestation (days)]]+0.5)/7)^2)*Table1[[#This Row],[BW40_3705]],"")</f>
        <v/>
      </c>
      <c r="G8745" s="2" t="str">
        <f>IF(Table1[[#This Row],[Is Data Valid]]=TRUE,((Table1[[#This Row],[Birthweight (grams)]]/Table1[[#This Row],[BW_GA]])-1)/(Backend!$B$4/100*Table1[[#This Row],[BW40_3705]]),"")</f>
        <v/>
      </c>
      <c r="H8745" s="7" t="str">
        <f>IF(Table1[[#This Row],[Is Data Valid]]=TRUE,((Table1[[#This Row],[Birthweight (grams)]]*0.9/Table1[[#This Row],[BW_GA]])-1)/(Backend!$B$4/100*Table1[[#This Row],[BW40_3705]]),"")</f>
        <v/>
      </c>
      <c r="I8745" s="7" t="str">
        <f>IF(Table1[[#This Row],[Is Data Valid]]=TRUE,((Table1[[#This Row],[Birthweight (grams)]]*1.1/Table1[[#This Row],[BW_GA]])-1)/(Backend!$B$4/100*Table1[[#This Row],[BW40_3705]]),"")</f>
        <v/>
      </c>
      <c r="J8745" s="7" t="str">
        <f>IF(Table1[[#This Row],[Is Data Valid]]=TRUE,_xlfn.NORM.S.DIST(Table1[[#This Row],[Birthweight Z-Score]],TRUE)*100,"")</f>
        <v/>
      </c>
      <c r="K8745" s="7" t="str">
        <f>IF(Table1[[#This Row],[Is Data Valid]]=TRUE,_xlfn.NORM.S.DIST(Table1[[#This Row],[Birthweight Z-Score (BW-10%)]],TRUE)*100,"")</f>
        <v/>
      </c>
      <c r="L8745" s="7" t="str">
        <f>IF(Table1[[#This Row],[Is Data Valid]]=TRUE,_xlfn.NORM.S.DIST(Table1[[#This Row],[Birthweight Z-Score (BW+10%)]],TRUE)*100,"")</f>
        <v/>
      </c>
    </row>
    <row r="8746" spans="1:12" x14ac:dyDescent="0.35">
      <c r="A8746" s="3"/>
      <c r="B8746" s="2"/>
      <c r="C8746" s="2"/>
      <c r="D8746" s="2" t="b">
        <f>IF(AND(NOT(ISBLANK(Table1[[#This Row],[Fetal Sex (Male, Female or Unknown)]])),ISNUMBER(Table1[[#This Row],[Birthweight (grams)]]),ISNUMBER(Table1[[#This Row],[Gestation (days)]])),TRUE,FALSE)</f>
        <v>0</v>
      </c>
      <c r="E8746" s="2" t="str">
        <f>IF(Table1[[#This Row],[Is Data Valid]]=TRUE,IF(Table1[[#This Row],[Fetal Sex (Male, Female or Unknown)]]="Male",Backend!$C$6,IF(Table1[[#This Row],[Fetal Sex (Male, Female or Unknown)]]="Female",Backend!$C$7,IF(Table1[[#This Row],[Fetal Sex (Male, Female or Unknown)]]="Unknown",Backend!$C$8,"Error"))),"")</f>
        <v/>
      </c>
      <c r="F8746" s="8" t="str">
        <f>IF(Table1[[#This Row],[Is Data Valid]]=TRUE,EXP(0.578+0.332*((Table1[[#This Row],[Gestation (days)]]+0.5)/7)-0.00354*((Table1[[#This Row],[Gestation (days)]]+0.5)/7)^2)*Table1[[#This Row],[BW40_3705]],"")</f>
        <v/>
      </c>
      <c r="G8746" s="2" t="str">
        <f>IF(Table1[[#This Row],[Is Data Valid]]=TRUE,((Table1[[#This Row],[Birthweight (grams)]]/Table1[[#This Row],[BW_GA]])-1)/(Backend!$B$4/100*Table1[[#This Row],[BW40_3705]]),"")</f>
        <v/>
      </c>
      <c r="H8746" s="7" t="str">
        <f>IF(Table1[[#This Row],[Is Data Valid]]=TRUE,((Table1[[#This Row],[Birthweight (grams)]]*0.9/Table1[[#This Row],[BW_GA]])-1)/(Backend!$B$4/100*Table1[[#This Row],[BW40_3705]]),"")</f>
        <v/>
      </c>
      <c r="I8746" s="7" t="str">
        <f>IF(Table1[[#This Row],[Is Data Valid]]=TRUE,((Table1[[#This Row],[Birthweight (grams)]]*1.1/Table1[[#This Row],[BW_GA]])-1)/(Backend!$B$4/100*Table1[[#This Row],[BW40_3705]]),"")</f>
        <v/>
      </c>
      <c r="J8746" s="7" t="str">
        <f>IF(Table1[[#This Row],[Is Data Valid]]=TRUE,_xlfn.NORM.S.DIST(Table1[[#This Row],[Birthweight Z-Score]],TRUE)*100,"")</f>
        <v/>
      </c>
      <c r="K8746" s="7" t="str">
        <f>IF(Table1[[#This Row],[Is Data Valid]]=TRUE,_xlfn.NORM.S.DIST(Table1[[#This Row],[Birthweight Z-Score (BW-10%)]],TRUE)*100,"")</f>
        <v/>
      </c>
      <c r="L8746" s="7" t="str">
        <f>IF(Table1[[#This Row],[Is Data Valid]]=TRUE,_xlfn.NORM.S.DIST(Table1[[#This Row],[Birthweight Z-Score (BW+10%)]],TRUE)*100,"")</f>
        <v/>
      </c>
    </row>
    <row r="8747" spans="1:12" x14ac:dyDescent="0.35">
      <c r="A8747" s="3"/>
      <c r="B8747" s="2"/>
      <c r="C8747" s="2"/>
      <c r="D8747" s="2" t="b">
        <f>IF(AND(NOT(ISBLANK(Table1[[#This Row],[Fetal Sex (Male, Female or Unknown)]])),ISNUMBER(Table1[[#This Row],[Birthweight (grams)]]),ISNUMBER(Table1[[#This Row],[Gestation (days)]])),TRUE,FALSE)</f>
        <v>0</v>
      </c>
      <c r="E8747" s="2" t="str">
        <f>IF(Table1[[#This Row],[Is Data Valid]]=TRUE,IF(Table1[[#This Row],[Fetal Sex (Male, Female or Unknown)]]="Male",Backend!$C$6,IF(Table1[[#This Row],[Fetal Sex (Male, Female or Unknown)]]="Female",Backend!$C$7,IF(Table1[[#This Row],[Fetal Sex (Male, Female or Unknown)]]="Unknown",Backend!$C$8,"Error"))),"")</f>
        <v/>
      </c>
      <c r="F8747" s="8" t="str">
        <f>IF(Table1[[#This Row],[Is Data Valid]]=TRUE,EXP(0.578+0.332*((Table1[[#This Row],[Gestation (days)]]+0.5)/7)-0.00354*((Table1[[#This Row],[Gestation (days)]]+0.5)/7)^2)*Table1[[#This Row],[BW40_3705]],"")</f>
        <v/>
      </c>
      <c r="G8747" s="2" t="str">
        <f>IF(Table1[[#This Row],[Is Data Valid]]=TRUE,((Table1[[#This Row],[Birthweight (grams)]]/Table1[[#This Row],[BW_GA]])-1)/(Backend!$B$4/100*Table1[[#This Row],[BW40_3705]]),"")</f>
        <v/>
      </c>
      <c r="H8747" s="7" t="str">
        <f>IF(Table1[[#This Row],[Is Data Valid]]=TRUE,((Table1[[#This Row],[Birthweight (grams)]]*0.9/Table1[[#This Row],[BW_GA]])-1)/(Backend!$B$4/100*Table1[[#This Row],[BW40_3705]]),"")</f>
        <v/>
      </c>
      <c r="I8747" s="7" t="str">
        <f>IF(Table1[[#This Row],[Is Data Valid]]=TRUE,((Table1[[#This Row],[Birthweight (grams)]]*1.1/Table1[[#This Row],[BW_GA]])-1)/(Backend!$B$4/100*Table1[[#This Row],[BW40_3705]]),"")</f>
        <v/>
      </c>
      <c r="J8747" s="7" t="str">
        <f>IF(Table1[[#This Row],[Is Data Valid]]=TRUE,_xlfn.NORM.S.DIST(Table1[[#This Row],[Birthweight Z-Score]],TRUE)*100,"")</f>
        <v/>
      </c>
      <c r="K8747" s="7" t="str">
        <f>IF(Table1[[#This Row],[Is Data Valid]]=TRUE,_xlfn.NORM.S.DIST(Table1[[#This Row],[Birthweight Z-Score (BW-10%)]],TRUE)*100,"")</f>
        <v/>
      </c>
      <c r="L8747" s="7" t="str">
        <f>IF(Table1[[#This Row],[Is Data Valid]]=TRUE,_xlfn.NORM.S.DIST(Table1[[#This Row],[Birthweight Z-Score (BW+10%)]],TRUE)*100,"")</f>
        <v/>
      </c>
    </row>
    <row r="8748" spans="1:12" x14ac:dyDescent="0.35">
      <c r="A8748" s="3"/>
      <c r="B8748" s="2"/>
      <c r="C8748" s="2"/>
      <c r="D8748" s="2" t="b">
        <f>IF(AND(NOT(ISBLANK(Table1[[#This Row],[Fetal Sex (Male, Female or Unknown)]])),ISNUMBER(Table1[[#This Row],[Birthweight (grams)]]),ISNUMBER(Table1[[#This Row],[Gestation (days)]])),TRUE,FALSE)</f>
        <v>0</v>
      </c>
      <c r="E8748" s="2" t="str">
        <f>IF(Table1[[#This Row],[Is Data Valid]]=TRUE,IF(Table1[[#This Row],[Fetal Sex (Male, Female or Unknown)]]="Male",Backend!$C$6,IF(Table1[[#This Row],[Fetal Sex (Male, Female or Unknown)]]="Female",Backend!$C$7,IF(Table1[[#This Row],[Fetal Sex (Male, Female or Unknown)]]="Unknown",Backend!$C$8,"Error"))),"")</f>
        <v/>
      </c>
      <c r="F8748" s="8" t="str">
        <f>IF(Table1[[#This Row],[Is Data Valid]]=TRUE,EXP(0.578+0.332*((Table1[[#This Row],[Gestation (days)]]+0.5)/7)-0.00354*((Table1[[#This Row],[Gestation (days)]]+0.5)/7)^2)*Table1[[#This Row],[BW40_3705]],"")</f>
        <v/>
      </c>
      <c r="G8748" s="2" t="str">
        <f>IF(Table1[[#This Row],[Is Data Valid]]=TRUE,((Table1[[#This Row],[Birthweight (grams)]]/Table1[[#This Row],[BW_GA]])-1)/(Backend!$B$4/100*Table1[[#This Row],[BW40_3705]]),"")</f>
        <v/>
      </c>
      <c r="H8748" s="7" t="str">
        <f>IF(Table1[[#This Row],[Is Data Valid]]=TRUE,((Table1[[#This Row],[Birthweight (grams)]]*0.9/Table1[[#This Row],[BW_GA]])-1)/(Backend!$B$4/100*Table1[[#This Row],[BW40_3705]]),"")</f>
        <v/>
      </c>
      <c r="I8748" s="7" t="str">
        <f>IF(Table1[[#This Row],[Is Data Valid]]=TRUE,((Table1[[#This Row],[Birthweight (grams)]]*1.1/Table1[[#This Row],[BW_GA]])-1)/(Backend!$B$4/100*Table1[[#This Row],[BW40_3705]]),"")</f>
        <v/>
      </c>
      <c r="J8748" s="7" t="str">
        <f>IF(Table1[[#This Row],[Is Data Valid]]=TRUE,_xlfn.NORM.S.DIST(Table1[[#This Row],[Birthweight Z-Score]],TRUE)*100,"")</f>
        <v/>
      </c>
      <c r="K8748" s="7" t="str">
        <f>IF(Table1[[#This Row],[Is Data Valid]]=TRUE,_xlfn.NORM.S.DIST(Table1[[#This Row],[Birthweight Z-Score (BW-10%)]],TRUE)*100,"")</f>
        <v/>
      </c>
      <c r="L8748" s="7" t="str">
        <f>IF(Table1[[#This Row],[Is Data Valid]]=TRUE,_xlfn.NORM.S.DIST(Table1[[#This Row],[Birthweight Z-Score (BW+10%)]],TRUE)*100,"")</f>
        <v/>
      </c>
    </row>
    <row r="8749" spans="1:12" x14ac:dyDescent="0.35">
      <c r="A8749" s="3"/>
      <c r="B8749" s="2"/>
      <c r="C8749" s="2"/>
      <c r="D8749" s="2" t="b">
        <f>IF(AND(NOT(ISBLANK(Table1[[#This Row],[Fetal Sex (Male, Female or Unknown)]])),ISNUMBER(Table1[[#This Row],[Birthweight (grams)]]),ISNUMBER(Table1[[#This Row],[Gestation (days)]])),TRUE,FALSE)</f>
        <v>0</v>
      </c>
      <c r="E8749" s="2" t="str">
        <f>IF(Table1[[#This Row],[Is Data Valid]]=TRUE,IF(Table1[[#This Row],[Fetal Sex (Male, Female or Unknown)]]="Male",Backend!$C$6,IF(Table1[[#This Row],[Fetal Sex (Male, Female or Unknown)]]="Female",Backend!$C$7,IF(Table1[[#This Row],[Fetal Sex (Male, Female or Unknown)]]="Unknown",Backend!$C$8,"Error"))),"")</f>
        <v/>
      </c>
      <c r="F8749" s="8" t="str">
        <f>IF(Table1[[#This Row],[Is Data Valid]]=TRUE,EXP(0.578+0.332*((Table1[[#This Row],[Gestation (days)]]+0.5)/7)-0.00354*((Table1[[#This Row],[Gestation (days)]]+0.5)/7)^2)*Table1[[#This Row],[BW40_3705]],"")</f>
        <v/>
      </c>
      <c r="G8749" s="2" t="str">
        <f>IF(Table1[[#This Row],[Is Data Valid]]=TRUE,((Table1[[#This Row],[Birthweight (grams)]]/Table1[[#This Row],[BW_GA]])-1)/(Backend!$B$4/100*Table1[[#This Row],[BW40_3705]]),"")</f>
        <v/>
      </c>
      <c r="H8749" s="7" t="str">
        <f>IF(Table1[[#This Row],[Is Data Valid]]=TRUE,((Table1[[#This Row],[Birthweight (grams)]]*0.9/Table1[[#This Row],[BW_GA]])-1)/(Backend!$B$4/100*Table1[[#This Row],[BW40_3705]]),"")</f>
        <v/>
      </c>
      <c r="I8749" s="7" t="str">
        <f>IF(Table1[[#This Row],[Is Data Valid]]=TRUE,((Table1[[#This Row],[Birthweight (grams)]]*1.1/Table1[[#This Row],[BW_GA]])-1)/(Backend!$B$4/100*Table1[[#This Row],[BW40_3705]]),"")</f>
        <v/>
      </c>
      <c r="J8749" s="7" t="str">
        <f>IF(Table1[[#This Row],[Is Data Valid]]=TRUE,_xlfn.NORM.S.DIST(Table1[[#This Row],[Birthweight Z-Score]],TRUE)*100,"")</f>
        <v/>
      </c>
      <c r="K8749" s="7" t="str">
        <f>IF(Table1[[#This Row],[Is Data Valid]]=TRUE,_xlfn.NORM.S.DIST(Table1[[#This Row],[Birthweight Z-Score (BW-10%)]],TRUE)*100,"")</f>
        <v/>
      </c>
      <c r="L8749" s="7" t="str">
        <f>IF(Table1[[#This Row],[Is Data Valid]]=TRUE,_xlfn.NORM.S.DIST(Table1[[#This Row],[Birthweight Z-Score (BW+10%)]],TRUE)*100,"")</f>
        <v/>
      </c>
    </row>
    <row r="8750" spans="1:12" x14ac:dyDescent="0.35">
      <c r="A8750" s="3"/>
      <c r="B8750" s="2"/>
      <c r="C8750" s="2"/>
      <c r="D8750" s="2" t="b">
        <f>IF(AND(NOT(ISBLANK(Table1[[#This Row],[Fetal Sex (Male, Female or Unknown)]])),ISNUMBER(Table1[[#This Row],[Birthweight (grams)]]),ISNUMBER(Table1[[#This Row],[Gestation (days)]])),TRUE,FALSE)</f>
        <v>0</v>
      </c>
      <c r="E8750" s="2" t="str">
        <f>IF(Table1[[#This Row],[Is Data Valid]]=TRUE,IF(Table1[[#This Row],[Fetal Sex (Male, Female or Unknown)]]="Male",Backend!$C$6,IF(Table1[[#This Row],[Fetal Sex (Male, Female or Unknown)]]="Female",Backend!$C$7,IF(Table1[[#This Row],[Fetal Sex (Male, Female or Unknown)]]="Unknown",Backend!$C$8,"Error"))),"")</f>
        <v/>
      </c>
      <c r="F8750" s="8" t="str">
        <f>IF(Table1[[#This Row],[Is Data Valid]]=TRUE,EXP(0.578+0.332*((Table1[[#This Row],[Gestation (days)]]+0.5)/7)-0.00354*((Table1[[#This Row],[Gestation (days)]]+0.5)/7)^2)*Table1[[#This Row],[BW40_3705]],"")</f>
        <v/>
      </c>
      <c r="G8750" s="2" t="str">
        <f>IF(Table1[[#This Row],[Is Data Valid]]=TRUE,((Table1[[#This Row],[Birthweight (grams)]]/Table1[[#This Row],[BW_GA]])-1)/(Backend!$B$4/100*Table1[[#This Row],[BW40_3705]]),"")</f>
        <v/>
      </c>
      <c r="H8750" s="7" t="str">
        <f>IF(Table1[[#This Row],[Is Data Valid]]=TRUE,((Table1[[#This Row],[Birthweight (grams)]]*0.9/Table1[[#This Row],[BW_GA]])-1)/(Backend!$B$4/100*Table1[[#This Row],[BW40_3705]]),"")</f>
        <v/>
      </c>
      <c r="I8750" s="7" t="str">
        <f>IF(Table1[[#This Row],[Is Data Valid]]=TRUE,((Table1[[#This Row],[Birthweight (grams)]]*1.1/Table1[[#This Row],[BW_GA]])-1)/(Backend!$B$4/100*Table1[[#This Row],[BW40_3705]]),"")</f>
        <v/>
      </c>
      <c r="J8750" s="7" t="str">
        <f>IF(Table1[[#This Row],[Is Data Valid]]=TRUE,_xlfn.NORM.S.DIST(Table1[[#This Row],[Birthweight Z-Score]],TRUE)*100,"")</f>
        <v/>
      </c>
      <c r="K8750" s="7" t="str">
        <f>IF(Table1[[#This Row],[Is Data Valid]]=TRUE,_xlfn.NORM.S.DIST(Table1[[#This Row],[Birthweight Z-Score (BW-10%)]],TRUE)*100,"")</f>
        <v/>
      </c>
      <c r="L8750" s="7" t="str">
        <f>IF(Table1[[#This Row],[Is Data Valid]]=TRUE,_xlfn.NORM.S.DIST(Table1[[#This Row],[Birthweight Z-Score (BW+10%)]],TRUE)*100,"")</f>
        <v/>
      </c>
    </row>
    <row r="8751" spans="1:12" x14ac:dyDescent="0.35">
      <c r="A8751" s="3"/>
      <c r="B8751" s="2"/>
      <c r="C8751" s="2"/>
      <c r="D8751" s="2" t="b">
        <f>IF(AND(NOT(ISBLANK(Table1[[#This Row],[Fetal Sex (Male, Female or Unknown)]])),ISNUMBER(Table1[[#This Row],[Birthweight (grams)]]),ISNUMBER(Table1[[#This Row],[Gestation (days)]])),TRUE,FALSE)</f>
        <v>0</v>
      </c>
      <c r="E8751" s="2" t="str">
        <f>IF(Table1[[#This Row],[Is Data Valid]]=TRUE,IF(Table1[[#This Row],[Fetal Sex (Male, Female or Unknown)]]="Male",Backend!$C$6,IF(Table1[[#This Row],[Fetal Sex (Male, Female or Unknown)]]="Female",Backend!$C$7,IF(Table1[[#This Row],[Fetal Sex (Male, Female or Unknown)]]="Unknown",Backend!$C$8,"Error"))),"")</f>
        <v/>
      </c>
      <c r="F8751" s="8" t="str">
        <f>IF(Table1[[#This Row],[Is Data Valid]]=TRUE,EXP(0.578+0.332*((Table1[[#This Row],[Gestation (days)]]+0.5)/7)-0.00354*((Table1[[#This Row],[Gestation (days)]]+0.5)/7)^2)*Table1[[#This Row],[BW40_3705]],"")</f>
        <v/>
      </c>
      <c r="G8751" s="2" t="str">
        <f>IF(Table1[[#This Row],[Is Data Valid]]=TRUE,((Table1[[#This Row],[Birthweight (grams)]]/Table1[[#This Row],[BW_GA]])-1)/(Backend!$B$4/100*Table1[[#This Row],[BW40_3705]]),"")</f>
        <v/>
      </c>
      <c r="H8751" s="7" t="str">
        <f>IF(Table1[[#This Row],[Is Data Valid]]=TRUE,((Table1[[#This Row],[Birthweight (grams)]]*0.9/Table1[[#This Row],[BW_GA]])-1)/(Backend!$B$4/100*Table1[[#This Row],[BW40_3705]]),"")</f>
        <v/>
      </c>
      <c r="I8751" s="7" t="str">
        <f>IF(Table1[[#This Row],[Is Data Valid]]=TRUE,((Table1[[#This Row],[Birthweight (grams)]]*1.1/Table1[[#This Row],[BW_GA]])-1)/(Backend!$B$4/100*Table1[[#This Row],[BW40_3705]]),"")</f>
        <v/>
      </c>
      <c r="J8751" s="7" t="str">
        <f>IF(Table1[[#This Row],[Is Data Valid]]=TRUE,_xlfn.NORM.S.DIST(Table1[[#This Row],[Birthweight Z-Score]],TRUE)*100,"")</f>
        <v/>
      </c>
      <c r="K8751" s="7" t="str">
        <f>IF(Table1[[#This Row],[Is Data Valid]]=TRUE,_xlfn.NORM.S.DIST(Table1[[#This Row],[Birthweight Z-Score (BW-10%)]],TRUE)*100,"")</f>
        <v/>
      </c>
      <c r="L8751" s="7" t="str">
        <f>IF(Table1[[#This Row],[Is Data Valid]]=TRUE,_xlfn.NORM.S.DIST(Table1[[#This Row],[Birthweight Z-Score (BW+10%)]],TRUE)*100,"")</f>
        <v/>
      </c>
    </row>
    <row r="8752" spans="1:12" x14ac:dyDescent="0.35">
      <c r="A8752" s="3"/>
      <c r="B8752" s="2"/>
      <c r="C8752" s="2"/>
      <c r="D8752" s="2" t="b">
        <f>IF(AND(NOT(ISBLANK(Table1[[#This Row],[Fetal Sex (Male, Female or Unknown)]])),ISNUMBER(Table1[[#This Row],[Birthweight (grams)]]),ISNUMBER(Table1[[#This Row],[Gestation (days)]])),TRUE,FALSE)</f>
        <v>0</v>
      </c>
      <c r="E8752" s="2" t="str">
        <f>IF(Table1[[#This Row],[Is Data Valid]]=TRUE,IF(Table1[[#This Row],[Fetal Sex (Male, Female or Unknown)]]="Male",Backend!$C$6,IF(Table1[[#This Row],[Fetal Sex (Male, Female or Unknown)]]="Female",Backend!$C$7,IF(Table1[[#This Row],[Fetal Sex (Male, Female or Unknown)]]="Unknown",Backend!$C$8,"Error"))),"")</f>
        <v/>
      </c>
      <c r="F8752" s="8" t="str">
        <f>IF(Table1[[#This Row],[Is Data Valid]]=TRUE,EXP(0.578+0.332*((Table1[[#This Row],[Gestation (days)]]+0.5)/7)-0.00354*((Table1[[#This Row],[Gestation (days)]]+0.5)/7)^2)*Table1[[#This Row],[BW40_3705]],"")</f>
        <v/>
      </c>
      <c r="G8752" s="2" t="str">
        <f>IF(Table1[[#This Row],[Is Data Valid]]=TRUE,((Table1[[#This Row],[Birthweight (grams)]]/Table1[[#This Row],[BW_GA]])-1)/(Backend!$B$4/100*Table1[[#This Row],[BW40_3705]]),"")</f>
        <v/>
      </c>
      <c r="H8752" s="7" t="str">
        <f>IF(Table1[[#This Row],[Is Data Valid]]=TRUE,((Table1[[#This Row],[Birthweight (grams)]]*0.9/Table1[[#This Row],[BW_GA]])-1)/(Backend!$B$4/100*Table1[[#This Row],[BW40_3705]]),"")</f>
        <v/>
      </c>
      <c r="I8752" s="7" t="str">
        <f>IF(Table1[[#This Row],[Is Data Valid]]=TRUE,((Table1[[#This Row],[Birthweight (grams)]]*1.1/Table1[[#This Row],[BW_GA]])-1)/(Backend!$B$4/100*Table1[[#This Row],[BW40_3705]]),"")</f>
        <v/>
      </c>
      <c r="J8752" s="7" t="str">
        <f>IF(Table1[[#This Row],[Is Data Valid]]=TRUE,_xlfn.NORM.S.DIST(Table1[[#This Row],[Birthweight Z-Score]],TRUE)*100,"")</f>
        <v/>
      </c>
      <c r="K8752" s="7" t="str">
        <f>IF(Table1[[#This Row],[Is Data Valid]]=TRUE,_xlfn.NORM.S.DIST(Table1[[#This Row],[Birthweight Z-Score (BW-10%)]],TRUE)*100,"")</f>
        <v/>
      </c>
      <c r="L8752" s="7" t="str">
        <f>IF(Table1[[#This Row],[Is Data Valid]]=TRUE,_xlfn.NORM.S.DIST(Table1[[#This Row],[Birthweight Z-Score (BW+10%)]],TRUE)*100,"")</f>
        <v/>
      </c>
    </row>
    <row r="8753" spans="1:12" x14ac:dyDescent="0.35">
      <c r="A8753" s="3"/>
      <c r="B8753" s="2"/>
      <c r="C8753" s="2"/>
      <c r="D8753" s="2" t="b">
        <f>IF(AND(NOT(ISBLANK(Table1[[#This Row],[Fetal Sex (Male, Female or Unknown)]])),ISNUMBER(Table1[[#This Row],[Birthweight (grams)]]),ISNUMBER(Table1[[#This Row],[Gestation (days)]])),TRUE,FALSE)</f>
        <v>0</v>
      </c>
      <c r="E8753" s="2" t="str">
        <f>IF(Table1[[#This Row],[Is Data Valid]]=TRUE,IF(Table1[[#This Row],[Fetal Sex (Male, Female or Unknown)]]="Male",Backend!$C$6,IF(Table1[[#This Row],[Fetal Sex (Male, Female or Unknown)]]="Female",Backend!$C$7,IF(Table1[[#This Row],[Fetal Sex (Male, Female or Unknown)]]="Unknown",Backend!$C$8,"Error"))),"")</f>
        <v/>
      </c>
      <c r="F8753" s="8" t="str">
        <f>IF(Table1[[#This Row],[Is Data Valid]]=TRUE,EXP(0.578+0.332*((Table1[[#This Row],[Gestation (days)]]+0.5)/7)-0.00354*((Table1[[#This Row],[Gestation (days)]]+0.5)/7)^2)*Table1[[#This Row],[BW40_3705]],"")</f>
        <v/>
      </c>
      <c r="G8753" s="2" t="str">
        <f>IF(Table1[[#This Row],[Is Data Valid]]=TRUE,((Table1[[#This Row],[Birthweight (grams)]]/Table1[[#This Row],[BW_GA]])-1)/(Backend!$B$4/100*Table1[[#This Row],[BW40_3705]]),"")</f>
        <v/>
      </c>
      <c r="H8753" s="7" t="str">
        <f>IF(Table1[[#This Row],[Is Data Valid]]=TRUE,((Table1[[#This Row],[Birthweight (grams)]]*0.9/Table1[[#This Row],[BW_GA]])-1)/(Backend!$B$4/100*Table1[[#This Row],[BW40_3705]]),"")</f>
        <v/>
      </c>
      <c r="I8753" s="7" t="str">
        <f>IF(Table1[[#This Row],[Is Data Valid]]=TRUE,((Table1[[#This Row],[Birthweight (grams)]]*1.1/Table1[[#This Row],[BW_GA]])-1)/(Backend!$B$4/100*Table1[[#This Row],[BW40_3705]]),"")</f>
        <v/>
      </c>
      <c r="J8753" s="7" t="str">
        <f>IF(Table1[[#This Row],[Is Data Valid]]=TRUE,_xlfn.NORM.S.DIST(Table1[[#This Row],[Birthweight Z-Score]],TRUE)*100,"")</f>
        <v/>
      </c>
      <c r="K8753" s="7" t="str">
        <f>IF(Table1[[#This Row],[Is Data Valid]]=TRUE,_xlfn.NORM.S.DIST(Table1[[#This Row],[Birthweight Z-Score (BW-10%)]],TRUE)*100,"")</f>
        <v/>
      </c>
      <c r="L8753" s="7" t="str">
        <f>IF(Table1[[#This Row],[Is Data Valid]]=TRUE,_xlfn.NORM.S.DIST(Table1[[#This Row],[Birthweight Z-Score (BW+10%)]],TRUE)*100,"")</f>
        <v/>
      </c>
    </row>
    <row r="8754" spans="1:12" x14ac:dyDescent="0.35">
      <c r="A8754" s="3"/>
      <c r="B8754" s="2"/>
      <c r="C8754" s="2"/>
      <c r="D8754" s="2" t="b">
        <f>IF(AND(NOT(ISBLANK(Table1[[#This Row],[Fetal Sex (Male, Female or Unknown)]])),ISNUMBER(Table1[[#This Row],[Birthweight (grams)]]),ISNUMBER(Table1[[#This Row],[Gestation (days)]])),TRUE,FALSE)</f>
        <v>0</v>
      </c>
      <c r="E8754" s="2" t="str">
        <f>IF(Table1[[#This Row],[Is Data Valid]]=TRUE,IF(Table1[[#This Row],[Fetal Sex (Male, Female or Unknown)]]="Male",Backend!$C$6,IF(Table1[[#This Row],[Fetal Sex (Male, Female or Unknown)]]="Female",Backend!$C$7,IF(Table1[[#This Row],[Fetal Sex (Male, Female or Unknown)]]="Unknown",Backend!$C$8,"Error"))),"")</f>
        <v/>
      </c>
      <c r="F8754" s="8" t="str">
        <f>IF(Table1[[#This Row],[Is Data Valid]]=TRUE,EXP(0.578+0.332*((Table1[[#This Row],[Gestation (days)]]+0.5)/7)-0.00354*((Table1[[#This Row],[Gestation (days)]]+0.5)/7)^2)*Table1[[#This Row],[BW40_3705]],"")</f>
        <v/>
      </c>
      <c r="G8754" s="2" t="str">
        <f>IF(Table1[[#This Row],[Is Data Valid]]=TRUE,((Table1[[#This Row],[Birthweight (grams)]]/Table1[[#This Row],[BW_GA]])-1)/(Backend!$B$4/100*Table1[[#This Row],[BW40_3705]]),"")</f>
        <v/>
      </c>
      <c r="H8754" s="7" t="str">
        <f>IF(Table1[[#This Row],[Is Data Valid]]=TRUE,((Table1[[#This Row],[Birthweight (grams)]]*0.9/Table1[[#This Row],[BW_GA]])-1)/(Backend!$B$4/100*Table1[[#This Row],[BW40_3705]]),"")</f>
        <v/>
      </c>
      <c r="I8754" s="7" t="str">
        <f>IF(Table1[[#This Row],[Is Data Valid]]=TRUE,((Table1[[#This Row],[Birthweight (grams)]]*1.1/Table1[[#This Row],[BW_GA]])-1)/(Backend!$B$4/100*Table1[[#This Row],[BW40_3705]]),"")</f>
        <v/>
      </c>
      <c r="J8754" s="7" t="str">
        <f>IF(Table1[[#This Row],[Is Data Valid]]=TRUE,_xlfn.NORM.S.DIST(Table1[[#This Row],[Birthweight Z-Score]],TRUE)*100,"")</f>
        <v/>
      </c>
      <c r="K8754" s="7" t="str">
        <f>IF(Table1[[#This Row],[Is Data Valid]]=TRUE,_xlfn.NORM.S.DIST(Table1[[#This Row],[Birthweight Z-Score (BW-10%)]],TRUE)*100,"")</f>
        <v/>
      </c>
      <c r="L8754" s="7" t="str">
        <f>IF(Table1[[#This Row],[Is Data Valid]]=TRUE,_xlfn.NORM.S.DIST(Table1[[#This Row],[Birthweight Z-Score (BW+10%)]],TRUE)*100,"")</f>
        <v/>
      </c>
    </row>
    <row r="8755" spans="1:12" x14ac:dyDescent="0.35">
      <c r="A8755" s="3"/>
      <c r="B8755" s="2"/>
      <c r="C8755" s="2"/>
      <c r="D8755" s="2" t="b">
        <f>IF(AND(NOT(ISBLANK(Table1[[#This Row],[Fetal Sex (Male, Female or Unknown)]])),ISNUMBER(Table1[[#This Row],[Birthweight (grams)]]),ISNUMBER(Table1[[#This Row],[Gestation (days)]])),TRUE,FALSE)</f>
        <v>0</v>
      </c>
      <c r="E8755" s="2" t="str">
        <f>IF(Table1[[#This Row],[Is Data Valid]]=TRUE,IF(Table1[[#This Row],[Fetal Sex (Male, Female or Unknown)]]="Male",Backend!$C$6,IF(Table1[[#This Row],[Fetal Sex (Male, Female or Unknown)]]="Female",Backend!$C$7,IF(Table1[[#This Row],[Fetal Sex (Male, Female or Unknown)]]="Unknown",Backend!$C$8,"Error"))),"")</f>
        <v/>
      </c>
      <c r="F8755" s="8" t="str">
        <f>IF(Table1[[#This Row],[Is Data Valid]]=TRUE,EXP(0.578+0.332*((Table1[[#This Row],[Gestation (days)]]+0.5)/7)-0.00354*((Table1[[#This Row],[Gestation (days)]]+0.5)/7)^2)*Table1[[#This Row],[BW40_3705]],"")</f>
        <v/>
      </c>
      <c r="G8755" s="2" t="str">
        <f>IF(Table1[[#This Row],[Is Data Valid]]=TRUE,((Table1[[#This Row],[Birthweight (grams)]]/Table1[[#This Row],[BW_GA]])-1)/(Backend!$B$4/100*Table1[[#This Row],[BW40_3705]]),"")</f>
        <v/>
      </c>
      <c r="H8755" s="7" t="str">
        <f>IF(Table1[[#This Row],[Is Data Valid]]=TRUE,((Table1[[#This Row],[Birthweight (grams)]]*0.9/Table1[[#This Row],[BW_GA]])-1)/(Backend!$B$4/100*Table1[[#This Row],[BW40_3705]]),"")</f>
        <v/>
      </c>
      <c r="I8755" s="7" t="str">
        <f>IF(Table1[[#This Row],[Is Data Valid]]=TRUE,((Table1[[#This Row],[Birthweight (grams)]]*1.1/Table1[[#This Row],[BW_GA]])-1)/(Backend!$B$4/100*Table1[[#This Row],[BW40_3705]]),"")</f>
        <v/>
      </c>
      <c r="J8755" s="7" t="str">
        <f>IF(Table1[[#This Row],[Is Data Valid]]=TRUE,_xlfn.NORM.S.DIST(Table1[[#This Row],[Birthweight Z-Score]],TRUE)*100,"")</f>
        <v/>
      </c>
      <c r="K8755" s="7" t="str">
        <f>IF(Table1[[#This Row],[Is Data Valid]]=TRUE,_xlfn.NORM.S.DIST(Table1[[#This Row],[Birthweight Z-Score (BW-10%)]],TRUE)*100,"")</f>
        <v/>
      </c>
      <c r="L8755" s="7" t="str">
        <f>IF(Table1[[#This Row],[Is Data Valid]]=TRUE,_xlfn.NORM.S.DIST(Table1[[#This Row],[Birthweight Z-Score (BW+10%)]],TRUE)*100,"")</f>
        <v/>
      </c>
    </row>
    <row r="8756" spans="1:12" x14ac:dyDescent="0.35">
      <c r="A8756" s="3"/>
      <c r="B8756" s="2"/>
      <c r="C8756" s="2"/>
      <c r="D8756" s="2" t="b">
        <f>IF(AND(NOT(ISBLANK(Table1[[#This Row],[Fetal Sex (Male, Female or Unknown)]])),ISNUMBER(Table1[[#This Row],[Birthweight (grams)]]),ISNUMBER(Table1[[#This Row],[Gestation (days)]])),TRUE,FALSE)</f>
        <v>0</v>
      </c>
      <c r="E8756" s="2" t="str">
        <f>IF(Table1[[#This Row],[Is Data Valid]]=TRUE,IF(Table1[[#This Row],[Fetal Sex (Male, Female or Unknown)]]="Male",Backend!$C$6,IF(Table1[[#This Row],[Fetal Sex (Male, Female or Unknown)]]="Female",Backend!$C$7,IF(Table1[[#This Row],[Fetal Sex (Male, Female or Unknown)]]="Unknown",Backend!$C$8,"Error"))),"")</f>
        <v/>
      </c>
      <c r="F8756" s="8" t="str">
        <f>IF(Table1[[#This Row],[Is Data Valid]]=TRUE,EXP(0.578+0.332*((Table1[[#This Row],[Gestation (days)]]+0.5)/7)-0.00354*((Table1[[#This Row],[Gestation (days)]]+0.5)/7)^2)*Table1[[#This Row],[BW40_3705]],"")</f>
        <v/>
      </c>
      <c r="G8756" s="2" t="str">
        <f>IF(Table1[[#This Row],[Is Data Valid]]=TRUE,((Table1[[#This Row],[Birthweight (grams)]]/Table1[[#This Row],[BW_GA]])-1)/(Backend!$B$4/100*Table1[[#This Row],[BW40_3705]]),"")</f>
        <v/>
      </c>
      <c r="H8756" s="7" t="str">
        <f>IF(Table1[[#This Row],[Is Data Valid]]=TRUE,((Table1[[#This Row],[Birthweight (grams)]]*0.9/Table1[[#This Row],[BW_GA]])-1)/(Backend!$B$4/100*Table1[[#This Row],[BW40_3705]]),"")</f>
        <v/>
      </c>
      <c r="I8756" s="7" t="str">
        <f>IF(Table1[[#This Row],[Is Data Valid]]=TRUE,((Table1[[#This Row],[Birthweight (grams)]]*1.1/Table1[[#This Row],[BW_GA]])-1)/(Backend!$B$4/100*Table1[[#This Row],[BW40_3705]]),"")</f>
        <v/>
      </c>
      <c r="J8756" s="7" t="str">
        <f>IF(Table1[[#This Row],[Is Data Valid]]=TRUE,_xlfn.NORM.S.DIST(Table1[[#This Row],[Birthweight Z-Score]],TRUE)*100,"")</f>
        <v/>
      </c>
      <c r="K8756" s="7" t="str">
        <f>IF(Table1[[#This Row],[Is Data Valid]]=TRUE,_xlfn.NORM.S.DIST(Table1[[#This Row],[Birthweight Z-Score (BW-10%)]],TRUE)*100,"")</f>
        <v/>
      </c>
      <c r="L8756" s="7" t="str">
        <f>IF(Table1[[#This Row],[Is Data Valid]]=TRUE,_xlfn.NORM.S.DIST(Table1[[#This Row],[Birthweight Z-Score (BW+10%)]],TRUE)*100,"")</f>
        <v/>
      </c>
    </row>
    <row r="8757" spans="1:12" x14ac:dyDescent="0.35">
      <c r="A8757" s="3"/>
      <c r="B8757" s="2"/>
      <c r="C8757" s="2"/>
      <c r="D8757" s="2" t="b">
        <f>IF(AND(NOT(ISBLANK(Table1[[#This Row],[Fetal Sex (Male, Female or Unknown)]])),ISNUMBER(Table1[[#This Row],[Birthweight (grams)]]),ISNUMBER(Table1[[#This Row],[Gestation (days)]])),TRUE,FALSE)</f>
        <v>0</v>
      </c>
      <c r="E8757" s="2" t="str">
        <f>IF(Table1[[#This Row],[Is Data Valid]]=TRUE,IF(Table1[[#This Row],[Fetal Sex (Male, Female or Unknown)]]="Male",Backend!$C$6,IF(Table1[[#This Row],[Fetal Sex (Male, Female or Unknown)]]="Female",Backend!$C$7,IF(Table1[[#This Row],[Fetal Sex (Male, Female or Unknown)]]="Unknown",Backend!$C$8,"Error"))),"")</f>
        <v/>
      </c>
      <c r="F8757" s="8" t="str">
        <f>IF(Table1[[#This Row],[Is Data Valid]]=TRUE,EXP(0.578+0.332*((Table1[[#This Row],[Gestation (days)]]+0.5)/7)-0.00354*((Table1[[#This Row],[Gestation (days)]]+0.5)/7)^2)*Table1[[#This Row],[BW40_3705]],"")</f>
        <v/>
      </c>
      <c r="G8757" s="2" t="str">
        <f>IF(Table1[[#This Row],[Is Data Valid]]=TRUE,((Table1[[#This Row],[Birthweight (grams)]]/Table1[[#This Row],[BW_GA]])-1)/(Backend!$B$4/100*Table1[[#This Row],[BW40_3705]]),"")</f>
        <v/>
      </c>
      <c r="H8757" s="7" t="str">
        <f>IF(Table1[[#This Row],[Is Data Valid]]=TRUE,((Table1[[#This Row],[Birthweight (grams)]]*0.9/Table1[[#This Row],[BW_GA]])-1)/(Backend!$B$4/100*Table1[[#This Row],[BW40_3705]]),"")</f>
        <v/>
      </c>
      <c r="I8757" s="7" t="str">
        <f>IF(Table1[[#This Row],[Is Data Valid]]=TRUE,((Table1[[#This Row],[Birthweight (grams)]]*1.1/Table1[[#This Row],[BW_GA]])-1)/(Backend!$B$4/100*Table1[[#This Row],[BW40_3705]]),"")</f>
        <v/>
      </c>
      <c r="J8757" s="7" t="str">
        <f>IF(Table1[[#This Row],[Is Data Valid]]=TRUE,_xlfn.NORM.S.DIST(Table1[[#This Row],[Birthweight Z-Score]],TRUE)*100,"")</f>
        <v/>
      </c>
      <c r="K8757" s="7" t="str">
        <f>IF(Table1[[#This Row],[Is Data Valid]]=TRUE,_xlfn.NORM.S.DIST(Table1[[#This Row],[Birthweight Z-Score (BW-10%)]],TRUE)*100,"")</f>
        <v/>
      </c>
      <c r="L8757" s="7" t="str">
        <f>IF(Table1[[#This Row],[Is Data Valid]]=TRUE,_xlfn.NORM.S.DIST(Table1[[#This Row],[Birthweight Z-Score (BW+10%)]],TRUE)*100,"")</f>
        <v/>
      </c>
    </row>
    <row r="8758" spans="1:12" x14ac:dyDescent="0.35">
      <c r="A8758" s="3"/>
      <c r="B8758" s="2"/>
      <c r="C8758" s="2"/>
      <c r="D8758" s="2" t="b">
        <f>IF(AND(NOT(ISBLANK(Table1[[#This Row],[Fetal Sex (Male, Female or Unknown)]])),ISNUMBER(Table1[[#This Row],[Birthweight (grams)]]),ISNUMBER(Table1[[#This Row],[Gestation (days)]])),TRUE,FALSE)</f>
        <v>0</v>
      </c>
      <c r="E8758" s="2" t="str">
        <f>IF(Table1[[#This Row],[Is Data Valid]]=TRUE,IF(Table1[[#This Row],[Fetal Sex (Male, Female or Unknown)]]="Male",Backend!$C$6,IF(Table1[[#This Row],[Fetal Sex (Male, Female or Unknown)]]="Female",Backend!$C$7,IF(Table1[[#This Row],[Fetal Sex (Male, Female or Unknown)]]="Unknown",Backend!$C$8,"Error"))),"")</f>
        <v/>
      </c>
      <c r="F8758" s="8" t="str">
        <f>IF(Table1[[#This Row],[Is Data Valid]]=TRUE,EXP(0.578+0.332*((Table1[[#This Row],[Gestation (days)]]+0.5)/7)-0.00354*((Table1[[#This Row],[Gestation (days)]]+0.5)/7)^2)*Table1[[#This Row],[BW40_3705]],"")</f>
        <v/>
      </c>
      <c r="G8758" s="2" t="str">
        <f>IF(Table1[[#This Row],[Is Data Valid]]=TRUE,((Table1[[#This Row],[Birthweight (grams)]]/Table1[[#This Row],[BW_GA]])-1)/(Backend!$B$4/100*Table1[[#This Row],[BW40_3705]]),"")</f>
        <v/>
      </c>
      <c r="H8758" s="7" t="str">
        <f>IF(Table1[[#This Row],[Is Data Valid]]=TRUE,((Table1[[#This Row],[Birthweight (grams)]]*0.9/Table1[[#This Row],[BW_GA]])-1)/(Backend!$B$4/100*Table1[[#This Row],[BW40_3705]]),"")</f>
        <v/>
      </c>
      <c r="I8758" s="7" t="str">
        <f>IF(Table1[[#This Row],[Is Data Valid]]=TRUE,((Table1[[#This Row],[Birthweight (grams)]]*1.1/Table1[[#This Row],[BW_GA]])-1)/(Backend!$B$4/100*Table1[[#This Row],[BW40_3705]]),"")</f>
        <v/>
      </c>
      <c r="J8758" s="7" t="str">
        <f>IF(Table1[[#This Row],[Is Data Valid]]=TRUE,_xlfn.NORM.S.DIST(Table1[[#This Row],[Birthweight Z-Score]],TRUE)*100,"")</f>
        <v/>
      </c>
      <c r="K8758" s="7" t="str">
        <f>IF(Table1[[#This Row],[Is Data Valid]]=TRUE,_xlfn.NORM.S.DIST(Table1[[#This Row],[Birthweight Z-Score (BW-10%)]],TRUE)*100,"")</f>
        <v/>
      </c>
      <c r="L8758" s="7" t="str">
        <f>IF(Table1[[#This Row],[Is Data Valid]]=TRUE,_xlfn.NORM.S.DIST(Table1[[#This Row],[Birthweight Z-Score (BW+10%)]],TRUE)*100,"")</f>
        <v/>
      </c>
    </row>
    <row r="8759" spans="1:12" x14ac:dyDescent="0.35">
      <c r="A8759" s="3"/>
      <c r="B8759" s="2"/>
      <c r="C8759" s="2"/>
      <c r="D8759" s="2" t="b">
        <f>IF(AND(NOT(ISBLANK(Table1[[#This Row],[Fetal Sex (Male, Female or Unknown)]])),ISNUMBER(Table1[[#This Row],[Birthweight (grams)]]),ISNUMBER(Table1[[#This Row],[Gestation (days)]])),TRUE,FALSE)</f>
        <v>0</v>
      </c>
      <c r="E8759" s="2" t="str">
        <f>IF(Table1[[#This Row],[Is Data Valid]]=TRUE,IF(Table1[[#This Row],[Fetal Sex (Male, Female or Unknown)]]="Male",Backend!$C$6,IF(Table1[[#This Row],[Fetal Sex (Male, Female or Unknown)]]="Female",Backend!$C$7,IF(Table1[[#This Row],[Fetal Sex (Male, Female or Unknown)]]="Unknown",Backend!$C$8,"Error"))),"")</f>
        <v/>
      </c>
      <c r="F8759" s="8" t="str">
        <f>IF(Table1[[#This Row],[Is Data Valid]]=TRUE,EXP(0.578+0.332*((Table1[[#This Row],[Gestation (days)]]+0.5)/7)-0.00354*((Table1[[#This Row],[Gestation (days)]]+0.5)/7)^2)*Table1[[#This Row],[BW40_3705]],"")</f>
        <v/>
      </c>
      <c r="G8759" s="2" t="str">
        <f>IF(Table1[[#This Row],[Is Data Valid]]=TRUE,((Table1[[#This Row],[Birthweight (grams)]]/Table1[[#This Row],[BW_GA]])-1)/(Backend!$B$4/100*Table1[[#This Row],[BW40_3705]]),"")</f>
        <v/>
      </c>
      <c r="H8759" s="7" t="str">
        <f>IF(Table1[[#This Row],[Is Data Valid]]=TRUE,((Table1[[#This Row],[Birthweight (grams)]]*0.9/Table1[[#This Row],[BW_GA]])-1)/(Backend!$B$4/100*Table1[[#This Row],[BW40_3705]]),"")</f>
        <v/>
      </c>
      <c r="I8759" s="7" t="str">
        <f>IF(Table1[[#This Row],[Is Data Valid]]=TRUE,((Table1[[#This Row],[Birthweight (grams)]]*1.1/Table1[[#This Row],[BW_GA]])-1)/(Backend!$B$4/100*Table1[[#This Row],[BW40_3705]]),"")</f>
        <v/>
      </c>
      <c r="J8759" s="7" t="str">
        <f>IF(Table1[[#This Row],[Is Data Valid]]=TRUE,_xlfn.NORM.S.DIST(Table1[[#This Row],[Birthweight Z-Score]],TRUE)*100,"")</f>
        <v/>
      </c>
      <c r="K8759" s="7" t="str">
        <f>IF(Table1[[#This Row],[Is Data Valid]]=TRUE,_xlfn.NORM.S.DIST(Table1[[#This Row],[Birthweight Z-Score (BW-10%)]],TRUE)*100,"")</f>
        <v/>
      </c>
      <c r="L8759" s="7" t="str">
        <f>IF(Table1[[#This Row],[Is Data Valid]]=TRUE,_xlfn.NORM.S.DIST(Table1[[#This Row],[Birthweight Z-Score (BW+10%)]],TRUE)*100,"")</f>
        <v/>
      </c>
    </row>
    <row r="8760" spans="1:12" x14ac:dyDescent="0.35">
      <c r="A8760" s="3"/>
      <c r="B8760" s="2"/>
      <c r="C8760" s="2"/>
      <c r="D8760" s="2" t="b">
        <f>IF(AND(NOT(ISBLANK(Table1[[#This Row],[Fetal Sex (Male, Female or Unknown)]])),ISNUMBER(Table1[[#This Row],[Birthweight (grams)]]),ISNUMBER(Table1[[#This Row],[Gestation (days)]])),TRUE,FALSE)</f>
        <v>0</v>
      </c>
      <c r="E8760" s="2" t="str">
        <f>IF(Table1[[#This Row],[Is Data Valid]]=TRUE,IF(Table1[[#This Row],[Fetal Sex (Male, Female or Unknown)]]="Male",Backend!$C$6,IF(Table1[[#This Row],[Fetal Sex (Male, Female or Unknown)]]="Female",Backend!$C$7,IF(Table1[[#This Row],[Fetal Sex (Male, Female or Unknown)]]="Unknown",Backend!$C$8,"Error"))),"")</f>
        <v/>
      </c>
      <c r="F8760" s="8" t="str">
        <f>IF(Table1[[#This Row],[Is Data Valid]]=TRUE,EXP(0.578+0.332*((Table1[[#This Row],[Gestation (days)]]+0.5)/7)-0.00354*((Table1[[#This Row],[Gestation (days)]]+0.5)/7)^2)*Table1[[#This Row],[BW40_3705]],"")</f>
        <v/>
      </c>
      <c r="G8760" s="2" t="str">
        <f>IF(Table1[[#This Row],[Is Data Valid]]=TRUE,((Table1[[#This Row],[Birthweight (grams)]]/Table1[[#This Row],[BW_GA]])-1)/(Backend!$B$4/100*Table1[[#This Row],[BW40_3705]]),"")</f>
        <v/>
      </c>
      <c r="H8760" s="7" t="str">
        <f>IF(Table1[[#This Row],[Is Data Valid]]=TRUE,((Table1[[#This Row],[Birthweight (grams)]]*0.9/Table1[[#This Row],[BW_GA]])-1)/(Backend!$B$4/100*Table1[[#This Row],[BW40_3705]]),"")</f>
        <v/>
      </c>
      <c r="I8760" s="7" t="str">
        <f>IF(Table1[[#This Row],[Is Data Valid]]=TRUE,((Table1[[#This Row],[Birthweight (grams)]]*1.1/Table1[[#This Row],[BW_GA]])-1)/(Backend!$B$4/100*Table1[[#This Row],[BW40_3705]]),"")</f>
        <v/>
      </c>
      <c r="J8760" s="7" t="str">
        <f>IF(Table1[[#This Row],[Is Data Valid]]=TRUE,_xlfn.NORM.S.DIST(Table1[[#This Row],[Birthweight Z-Score]],TRUE)*100,"")</f>
        <v/>
      </c>
      <c r="K8760" s="7" t="str">
        <f>IF(Table1[[#This Row],[Is Data Valid]]=TRUE,_xlfn.NORM.S.DIST(Table1[[#This Row],[Birthweight Z-Score (BW-10%)]],TRUE)*100,"")</f>
        <v/>
      </c>
      <c r="L8760" s="7" t="str">
        <f>IF(Table1[[#This Row],[Is Data Valid]]=TRUE,_xlfn.NORM.S.DIST(Table1[[#This Row],[Birthweight Z-Score (BW+10%)]],TRUE)*100,"")</f>
        <v/>
      </c>
    </row>
    <row r="8761" spans="1:12" x14ac:dyDescent="0.35">
      <c r="A8761" s="3"/>
      <c r="B8761" s="2"/>
      <c r="C8761" s="2"/>
      <c r="D8761" s="2" t="b">
        <f>IF(AND(NOT(ISBLANK(Table1[[#This Row],[Fetal Sex (Male, Female or Unknown)]])),ISNUMBER(Table1[[#This Row],[Birthweight (grams)]]),ISNUMBER(Table1[[#This Row],[Gestation (days)]])),TRUE,FALSE)</f>
        <v>0</v>
      </c>
      <c r="E8761" s="2" t="str">
        <f>IF(Table1[[#This Row],[Is Data Valid]]=TRUE,IF(Table1[[#This Row],[Fetal Sex (Male, Female or Unknown)]]="Male",Backend!$C$6,IF(Table1[[#This Row],[Fetal Sex (Male, Female or Unknown)]]="Female",Backend!$C$7,IF(Table1[[#This Row],[Fetal Sex (Male, Female or Unknown)]]="Unknown",Backend!$C$8,"Error"))),"")</f>
        <v/>
      </c>
      <c r="F8761" s="8" t="str">
        <f>IF(Table1[[#This Row],[Is Data Valid]]=TRUE,EXP(0.578+0.332*((Table1[[#This Row],[Gestation (days)]]+0.5)/7)-0.00354*((Table1[[#This Row],[Gestation (days)]]+0.5)/7)^2)*Table1[[#This Row],[BW40_3705]],"")</f>
        <v/>
      </c>
      <c r="G8761" s="2" t="str">
        <f>IF(Table1[[#This Row],[Is Data Valid]]=TRUE,((Table1[[#This Row],[Birthweight (grams)]]/Table1[[#This Row],[BW_GA]])-1)/(Backend!$B$4/100*Table1[[#This Row],[BW40_3705]]),"")</f>
        <v/>
      </c>
      <c r="H8761" s="7" t="str">
        <f>IF(Table1[[#This Row],[Is Data Valid]]=TRUE,((Table1[[#This Row],[Birthweight (grams)]]*0.9/Table1[[#This Row],[BW_GA]])-1)/(Backend!$B$4/100*Table1[[#This Row],[BW40_3705]]),"")</f>
        <v/>
      </c>
      <c r="I8761" s="7" t="str">
        <f>IF(Table1[[#This Row],[Is Data Valid]]=TRUE,((Table1[[#This Row],[Birthweight (grams)]]*1.1/Table1[[#This Row],[BW_GA]])-1)/(Backend!$B$4/100*Table1[[#This Row],[BW40_3705]]),"")</f>
        <v/>
      </c>
      <c r="J8761" s="7" t="str">
        <f>IF(Table1[[#This Row],[Is Data Valid]]=TRUE,_xlfn.NORM.S.DIST(Table1[[#This Row],[Birthweight Z-Score]],TRUE)*100,"")</f>
        <v/>
      </c>
      <c r="K8761" s="7" t="str">
        <f>IF(Table1[[#This Row],[Is Data Valid]]=TRUE,_xlfn.NORM.S.DIST(Table1[[#This Row],[Birthweight Z-Score (BW-10%)]],TRUE)*100,"")</f>
        <v/>
      </c>
      <c r="L8761" s="7" t="str">
        <f>IF(Table1[[#This Row],[Is Data Valid]]=TRUE,_xlfn.NORM.S.DIST(Table1[[#This Row],[Birthweight Z-Score (BW+10%)]],TRUE)*100,"")</f>
        <v/>
      </c>
    </row>
    <row r="8762" spans="1:12" x14ac:dyDescent="0.35">
      <c r="A8762" s="3"/>
      <c r="B8762" s="2"/>
      <c r="C8762" s="2"/>
      <c r="D8762" s="2" t="b">
        <f>IF(AND(NOT(ISBLANK(Table1[[#This Row],[Fetal Sex (Male, Female or Unknown)]])),ISNUMBER(Table1[[#This Row],[Birthweight (grams)]]),ISNUMBER(Table1[[#This Row],[Gestation (days)]])),TRUE,FALSE)</f>
        <v>0</v>
      </c>
      <c r="E8762" s="2" t="str">
        <f>IF(Table1[[#This Row],[Is Data Valid]]=TRUE,IF(Table1[[#This Row],[Fetal Sex (Male, Female or Unknown)]]="Male",Backend!$C$6,IF(Table1[[#This Row],[Fetal Sex (Male, Female or Unknown)]]="Female",Backend!$C$7,IF(Table1[[#This Row],[Fetal Sex (Male, Female or Unknown)]]="Unknown",Backend!$C$8,"Error"))),"")</f>
        <v/>
      </c>
      <c r="F8762" s="8" t="str">
        <f>IF(Table1[[#This Row],[Is Data Valid]]=TRUE,EXP(0.578+0.332*((Table1[[#This Row],[Gestation (days)]]+0.5)/7)-0.00354*((Table1[[#This Row],[Gestation (days)]]+0.5)/7)^2)*Table1[[#This Row],[BW40_3705]],"")</f>
        <v/>
      </c>
      <c r="G8762" s="2" t="str">
        <f>IF(Table1[[#This Row],[Is Data Valid]]=TRUE,((Table1[[#This Row],[Birthweight (grams)]]/Table1[[#This Row],[BW_GA]])-1)/(Backend!$B$4/100*Table1[[#This Row],[BW40_3705]]),"")</f>
        <v/>
      </c>
      <c r="H8762" s="7" t="str">
        <f>IF(Table1[[#This Row],[Is Data Valid]]=TRUE,((Table1[[#This Row],[Birthweight (grams)]]*0.9/Table1[[#This Row],[BW_GA]])-1)/(Backend!$B$4/100*Table1[[#This Row],[BW40_3705]]),"")</f>
        <v/>
      </c>
      <c r="I8762" s="7" t="str">
        <f>IF(Table1[[#This Row],[Is Data Valid]]=TRUE,((Table1[[#This Row],[Birthweight (grams)]]*1.1/Table1[[#This Row],[BW_GA]])-1)/(Backend!$B$4/100*Table1[[#This Row],[BW40_3705]]),"")</f>
        <v/>
      </c>
      <c r="J8762" s="7" t="str">
        <f>IF(Table1[[#This Row],[Is Data Valid]]=TRUE,_xlfn.NORM.S.DIST(Table1[[#This Row],[Birthweight Z-Score]],TRUE)*100,"")</f>
        <v/>
      </c>
      <c r="K8762" s="7" t="str">
        <f>IF(Table1[[#This Row],[Is Data Valid]]=TRUE,_xlfn.NORM.S.DIST(Table1[[#This Row],[Birthweight Z-Score (BW-10%)]],TRUE)*100,"")</f>
        <v/>
      </c>
      <c r="L8762" s="7" t="str">
        <f>IF(Table1[[#This Row],[Is Data Valid]]=TRUE,_xlfn.NORM.S.DIST(Table1[[#This Row],[Birthweight Z-Score (BW+10%)]],TRUE)*100,"")</f>
        <v/>
      </c>
    </row>
    <row r="8763" spans="1:12" x14ac:dyDescent="0.35">
      <c r="A8763" s="3"/>
      <c r="B8763" s="2"/>
      <c r="C8763" s="2"/>
      <c r="D8763" s="2" t="b">
        <f>IF(AND(NOT(ISBLANK(Table1[[#This Row],[Fetal Sex (Male, Female or Unknown)]])),ISNUMBER(Table1[[#This Row],[Birthweight (grams)]]),ISNUMBER(Table1[[#This Row],[Gestation (days)]])),TRUE,FALSE)</f>
        <v>0</v>
      </c>
      <c r="E8763" s="2" t="str">
        <f>IF(Table1[[#This Row],[Is Data Valid]]=TRUE,IF(Table1[[#This Row],[Fetal Sex (Male, Female or Unknown)]]="Male",Backend!$C$6,IF(Table1[[#This Row],[Fetal Sex (Male, Female or Unknown)]]="Female",Backend!$C$7,IF(Table1[[#This Row],[Fetal Sex (Male, Female or Unknown)]]="Unknown",Backend!$C$8,"Error"))),"")</f>
        <v/>
      </c>
      <c r="F8763" s="8" t="str">
        <f>IF(Table1[[#This Row],[Is Data Valid]]=TRUE,EXP(0.578+0.332*((Table1[[#This Row],[Gestation (days)]]+0.5)/7)-0.00354*((Table1[[#This Row],[Gestation (days)]]+0.5)/7)^2)*Table1[[#This Row],[BW40_3705]],"")</f>
        <v/>
      </c>
      <c r="G8763" s="2" t="str">
        <f>IF(Table1[[#This Row],[Is Data Valid]]=TRUE,((Table1[[#This Row],[Birthweight (grams)]]/Table1[[#This Row],[BW_GA]])-1)/(Backend!$B$4/100*Table1[[#This Row],[BW40_3705]]),"")</f>
        <v/>
      </c>
      <c r="H8763" s="7" t="str">
        <f>IF(Table1[[#This Row],[Is Data Valid]]=TRUE,((Table1[[#This Row],[Birthweight (grams)]]*0.9/Table1[[#This Row],[BW_GA]])-1)/(Backend!$B$4/100*Table1[[#This Row],[BW40_3705]]),"")</f>
        <v/>
      </c>
      <c r="I8763" s="7" t="str">
        <f>IF(Table1[[#This Row],[Is Data Valid]]=TRUE,((Table1[[#This Row],[Birthweight (grams)]]*1.1/Table1[[#This Row],[BW_GA]])-1)/(Backend!$B$4/100*Table1[[#This Row],[BW40_3705]]),"")</f>
        <v/>
      </c>
      <c r="J8763" s="7" t="str">
        <f>IF(Table1[[#This Row],[Is Data Valid]]=TRUE,_xlfn.NORM.S.DIST(Table1[[#This Row],[Birthweight Z-Score]],TRUE)*100,"")</f>
        <v/>
      </c>
      <c r="K8763" s="7" t="str">
        <f>IF(Table1[[#This Row],[Is Data Valid]]=TRUE,_xlfn.NORM.S.DIST(Table1[[#This Row],[Birthweight Z-Score (BW-10%)]],TRUE)*100,"")</f>
        <v/>
      </c>
      <c r="L8763" s="7" t="str">
        <f>IF(Table1[[#This Row],[Is Data Valid]]=TRUE,_xlfn.NORM.S.DIST(Table1[[#This Row],[Birthweight Z-Score (BW+10%)]],TRUE)*100,"")</f>
        <v/>
      </c>
    </row>
    <row r="8764" spans="1:12" x14ac:dyDescent="0.35">
      <c r="A8764" s="3"/>
      <c r="B8764" s="2"/>
      <c r="C8764" s="2"/>
      <c r="D8764" s="2" t="b">
        <f>IF(AND(NOT(ISBLANK(Table1[[#This Row],[Fetal Sex (Male, Female or Unknown)]])),ISNUMBER(Table1[[#This Row],[Birthweight (grams)]]),ISNUMBER(Table1[[#This Row],[Gestation (days)]])),TRUE,FALSE)</f>
        <v>0</v>
      </c>
      <c r="E8764" s="2" t="str">
        <f>IF(Table1[[#This Row],[Is Data Valid]]=TRUE,IF(Table1[[#This Row],[Fetal Sex (Male, Female or Unknown)]]="Male",Backend!$C$6,IF(Table1[[#This Row],[Fetal Sex (Male, Female or Unknown)]]="Female",Backend!$C$7,IF(Table1[[#This Row],[Fetal Sex (Male, Female or Unknown)]]="Unknown",Backend!$C$8,"Error"))),"")</f>
        <v/>
      </c>
      <c r="F8764" s="8" t="str">
        <f>IF(Table1[[#This Row],[Is Data Valid]]=TRUE,EXP(0.578+0.332*((Table1[[#This Row],[Gestation (days)]]+0.5)/7)-0.00354*((Table1[[#This Row],[Gestation (days)]]+0.5)/7)^2)*Table1[[#This Row],[BW40_3705]],"")</f>
        <v/>
      </c>
      <c r="G8764" s="2" t="str">
        <f>IF(Table1[[#This Row],[Is Data Valid]]=TRUE,((Table1[[#This Row],[Birthweight (grams)]]/Table1[[#This Row],[BW_GA]])-1)/(Backend!$B$4/100*Table1[[#This Row],[BW40_3705]]),"")</f>
        <v/>
      </c>
      <c r="H8764" s="7" t="str">
        <f>IF(Table1[[#This Row],[Is Data Valid]]=TRUE,((Table1[[#This Row],[Birthweight (grams)]]*0.9/Table1[[#This Row],[BW_GA]])-1)/(Backend!$B$4/100*Table1[[#This Row],[BW40_3705]]),"")</f>
        <v/>
      </c>
      <c r="I8764" s="7" t="str">
        <f>IF(Table1[[#This Row],[Is Data Valid]]=TRUE,((Table1[[#This Row],[Birthweight (grams)]]*1.1/Table1[[#This Row],[BW_GA]])-1)/(Backend!$B$4/100*Table1[[#This Row],[BW40_3705]]),"")</f>
        <v/>
      </c>
      <c r="J8764" s="7" t="str">
        <f>IF(Table1[[#This Row],[Is Data Valid]]=TRUE,_xlfn.NORM.S.DIST(Table1[[#This Row],[Birthweight Z-Score]],TRUE)*100,"")</f>
        <v/>
      </c>
      <c r="K8764" s="7" t="str">
        <f>IF(Table1[[#This Row],[Is Data Valid]]=TRUE,_xlfn.NORM.S.DIST(Table1[[#This Row],[Birthweight Z-Score (BW-10%)]],TRUE)*100,"")</f>
        <v/>
      </c>
      <c r="L8764" s="7" t="str">
        <f>IF(Table1[[#This Row],[Is Data Valid]]=TRUE,_xlfn.NORM.S.DIST(Table1[[#This Row],[Birthweight Z-Score (BW+10%)]],TRUE)*100,"")</f>
        <v/>
      </c>
    </row>
    <row r="8765" spans="1:12" x14ac:dyDescent="0.35">
      <c r="A8765" s="3"/>
      <c r="B8765" s="2"/>
      <c r="C8765" s="2"/>
      <c r="D8765" s="2" t="b">
        <f>IF(AND(NOT(ISBLANK(Table1[[#This Row],[Fetal Sex (Male, Female or Unknown)]])),ISNUMBER(Table1[[#This Row],[Birthweight (grams)]]),ISNUMBER(Table1[[#This Row],[Gestation (days)]])),TRUE,FALSE)</f>
        <v>0</v>
      </c>
      <c r="E8765" s="2" t="str">
        <f>IF(Table1[[#This Row],[Is Data Valid]]=TRUE,IF(Table1[[#This Row],[Fetal Sex (Male, Female or Unknown)]]="Male",Backend!$C$6,IF(Table1[[#This Row],[Fetal Sex (Male, Female or Unknown)]]="Female",Backend!$C$7,IF(Table1[[#This Row],[Fetal Sex (Male, Female or Unknown)]]="Unknown",Backend!$C$8,"Error"))),"")</f>
        <v/>
      </c>
      <c r="F8765" s="8" t="str">
        <f>IF(Table1[[#This Row],[Is Data Valid]]=TRUE,EXP(0.578+0.332*((Table1[[#This Row],[Gestation (days)]]+0.5)/7)-0.00354*((Table1[[#This Row],[Gestation (days)]]+0.5)/7)^2)*Table1[[#This Row],[BW40_3705]],"")</f>
        <v/>
      </c>
      <c r="G8765" s="2" t="str">
        <f>IF(Table1[[#This Row],[Is Data Valid]]=TRUE,((Table1[[#This Row],[Birthweight (grams)]]/Table1[[#This Row],[BW_GA]])-1)/(Backend!$B$4/100*Table1[[#This Row],[BW40_3705]]),"")</f>
        <v/>
      </c>
      <c r="H8765" s="7" t="str">
        <f>IF(Table1[[#This Row],[Is Data Valid]]=TRUE,((Table1[[#This Row],[Birthweight (grams)]]*0.9/Table1[[#This Row],[BW_GA]])-1)/(Backend!$B$4/100*Table1[[#This Row],[BW40_3705]]),"")</f>
        <v/>
      </c>
      <c r="I8765" s="7" t="str">
        <f>IF(Table1[[#This Row],[Is Data Valid]]=TRUE,((Table1[[#This Row],[Birthweight (grams)]]*1.1/Table1[[#This Row],[BW_GA]])-1)/(Backend!$B$4/100*Table1[[#This Row],[BW40_3705]]),"")</f>
        <v/>
      </c>
      <c r="J8765" s="7" t="str">
        <f>IF(Table1[[#This Row],[Is Data Valid]]=TRUE,_xlfn.NORM.S.DIST(Table1[[#This Row],[Birthweight Z-Score]],TRUE)*100,"")</f>
        <v/>
      </c>
      <c r="K8765" s="7" t="str">
        <f>IF(Table1[[#This Row],[Is Data Valid]]=TRUE,_xlfn.NORM.S.DIST(Table1[[#This Row],[Birthweight Z-Score (BW-10%)]],TRUE)*100,"")</f>
        <v/>
      </c>
      <c r="L8765" s="7" t="str">
        <f>IF(Table1[[#This Row],[Is Data Valid]]=TRUE,_xlfn.NORM.S.DIST(Table1[[#This Row],[Birthweight Z-Score (BW+10%)]],TRUE)*100,"")</f>
        <v/>
      </c>
    </row>
    <row r="8766" spans="1:12" x14ac:dyDescent="0.35">
      <c r="A8766" s="3"/>
      <c r="B8766" s="2"/>
      <c r="C8766" s="2"/>
      <c r="D8766" s="2" t="b">
        <f>IF(AND(NOT(ISBLANK(Table1[[#This Row],[Fetal Sex (Male, Female or Unknown)]])),ISNUMBER(Table1[[#This Row],[Birthweight (grams)]]),ISNUMBER(Table1[[#This Row],[Gestation (days)]])),TRUE,FALSE)</f>
        <v>0</v>
      </c>
      <c r="E8766" s="2" t="str">
        <f>IF(Table1[[#This Row],[Is Data Valid]]=TRUE,IF(Table1[[#This Row],[Fetal Sex (Male, Female or Unknown)]]="Male",Backend!$C$6,IF(Table1[[#This Row],[Fetal Sex (Male, Female or Unknown)]]="Female",Backend!$C$7,IF(Table1[[#This Row],[Fetal Sex (Male, Female or Unknown)]]="Unknown",Backend!$C$8,"Error"))),"")</f>
        <v/>
      </c>
      <c r="F8766" s="8" t="str">
        <f>IF(Table1[[#This Row],[Is Data Valid]]=TRUE,EXP(0.578+0.332*((Table1[[#This Row],[Gestation (days)]]+0.5)/7)-0.00354*((Table1[[#This Row],[Gestation (days)]]+0.5)/7)^2)*Table1[[#This Row],[BW40_3705]],"")</f>
        <v/>
      </c>
      <c r="G8766" s="2" t="str">
        <f>IF(Table1[[#This Row],[Is Data Valid]]=TRUE,((Table1[[#This Row],[Birthweight (grams)]]/Table1[[#This Row],[BW_GA]])-1)/(Backend!$B$4/100*Table1[[#This Row],[BW40_3705]]),"")</f>
        <v/>
      </c>
      <c r="H8766" s="7" t="str">
        <f>IF(Table1[[#This Row],[Is Data Valid]]=TRUE,((Table1[[#This Row],[Birthweight (grams)]]*0.9/Table1[[#This Row],[BW_GA]])-1)/(Backend!$B$4/100*Table1[[#This Row],[BW40_3705]]),"")</f>
        <v/>
      </c>
      <c r="I8766" s="7" t="str">
        <f>IF(Table1[[#This Row],[Is Data Valid]]=TRUE,((Table1[[#This Row],[Birthweight (grams)]]*1.1/Table1[[#This Row],[BW_GA]])-1)/(Backend!$B$4/100*Table1[[#This Row],[BW40_3705]]),"")</f>
        <v/>
      </c>
      <c r="J8766" s="7" t="str">
        <f>IF(Table1[[#This Row],[Is Data Valid]]=TRUE,_xlfn.NORM.S.DIST(Table1[[#This Row],[Birthweight Z-Score]],TRUE)*100,"")</f>
        <v/>
      </c>
      <c r="K8766" s="7" t="str">
        <f>IF(Table1[[#This Row],[Is Data Valid]]=TRUE,_xlfn.NORM.S.DIST(Table1[[#This Row],[Birthweight Z-Score (BW-10%)]],TRUE)*100,"")</f>
        <v/>
      </c>
      <c r="L8766" s="7" t="str">
        <f>IF(Table1[[#This Row],[Is Data Valid]]=TRUE,_xlfn.NORM.S.DIST(Table1[[#This Row],[Birthweight Z-Score (BW+10%)]],TRUE)*100,"")</f>
        <v/>
      </c>
    </row>
    <row r="8767" spans="1:12" x14ac:dyDescent="0.35">
      <c r="A8767" s="3"/>
      <c r="B8767" s="2"/>
      <c r="C8767" s="2"/>
      <c r="D8767" s="2" t="b">
        <f>IF(AND(NOT(ISBLANK(Table1[[#This Row],[Fetal Sex (Male, Female or Unknown)]])),ISNUMBER(Table1[[#This Row],[Birthweight (grams)]]),ISNUMBER(Table1[[#This Row],[Gestation (days)]])),TRUE,FALSE)</f>
        <v>0</v>
      </c>
      <c r="E8767" s="2" t="str">
        <f>IF(Table1[[#This Row],[Is Data Valid]]=TRUE,IF(Table1[[#This Row],[Fetal Sex (Male, Female or Unknown)]]="Male",Backend!$C$6,IF(Table1[[#This Row],[Fetal Sex (Male, Female or Unknown)]]="Female",Backend!$C$7,IF(Table1[[#This Row],[Fetal Sex (Male, Female or Unknown)]]="Unknown",Backend!$C$8,"Error"))),"")</f>
        <v/>
      </c>
      <c r="F8767" s="8" t="str">
        <f>IF(Table1[[#This Row],[Is Data Valid]]=TRUE,EXP(0.578+0.332*((Table1[[#This Row],[Gestation (days)]]+0.5)/7)-0.00354*((Table1[[#This Row],[Gestation (days)]]+0.5)/7)^2)*Table1[[#This Row],[BW40_3705]],"")</f>
        <v/>
      </c>
      <c r="G8767" s="2" t="str">
        <f>IF(Table1[[#This Row],[Is Data Valid]]=TRUE,((Table1[[#This Row],[Birthweight (grams)]]/Table1[[#This Row],[BW_GA]])-1)/(Backend!$B$4/100*Table1[[#This Row],[BW40_3705]]),"")</f>
        <v/>
      </c>
      <c r="H8767" s="7" t="str">
        <f>IF(Table1[[#This Row],[Is Data Valid]]=TRUE,((Table1[[#This Row],[Birthweight (grams)]]*0.9/Table1[[#This Row],[BW_GA]])-1)/(Backend!$B$4/100*Table1[[#This Row],[BW40_3705]]),"")</f>
        <v/>
      </c>
      <c r="I8767" s="7" t="str">
        <f>IF(Table1[[#This Row],[Is Data Valid]]=TRUE,((Table1[[#This Row],[Birthweight (grams)]]*1.1/Table1[[#This Row],[BW_GA]])-1)/(Backend!$B$4/100*Table1[[#This Row],[BW40_3705]]),"")</f>
        <v/>
      </c>
      <c r="J8767" s="7" t="str">
        <f>IF(Table1[[#This Row],[Is Data Valid]]=TRUE,_xlfn.NORM.S.DIST(Table1[[#This Row],[Birthweight Z-Score]],TRUE)*100,"")</f>
        <v/>
      </c>
      <c r="K8767" s="7" t="str">
        <f>IF(Table1[[#This Row],[Is Data Valid]]=TRUE,_xlfn.NORM.S.DIST(Table1[[#This Row],[Birthweight Z-Score (BW-10%)]],TRUE)*100,"")</f>
        <v/>
      </c>
      <c r="L8767" s="7" t="str">
        <f>IF(Table1[[#This Row],[Is Data Valid]]=TRUE,_xlfn.NORM.S.DIST(Table1[[#This Row],[Birthweight Z-Score (BW+10%)]],TRUE)*100,"")</f>
        <v/>
      </c>
    </row>
    <row r="8768" spans="1:12" x14ac:dyDescent="0.35">
      <c r="A8768" s="3"/>
      <c r="B8768" s="2"/>
      <c r="C8768" s="2"/>
      <c r="D8768" s="2" t="b">
        <f>IF(AND(NOT(ISBLANK(Table1[[#This Row],[Fetal Sex (Male, Female or Unknown)]])),ISNUMBER(Table1[[#This Row],[Birthweight (grams)]]),ISNUMBER(Table1[[#This Row],[Gestation (days)]])),TRUE,FALSE)</f>
        <v>0</v>
      </c>
      <c r="E8768" s="2" t="str">
        <f>IF(Table1[[#This Row],[Is Data Valid]]=TRUE,IF(Table1[[#This Row],[Fetal Sex (Male, Female or Unknown)]]="Male",Backend!$C$6,IF(Table1[[#This Row],[Fetal Sex (Male, Female or Unknown)]]="Female",Backend!$C$7,IF(Table1[[#This Row],[Fetal Sex (Male, Female or Unknown)]]="Unknown",Backend!$C$8,"Error"))),"")</f>
        <v/>
      </c>
      <c r="F8768" s="8" t="str">
        <f>IF(Table1[[#This Row],[Is Data Valid]]=TRUE,EXP(0.578+0.332*((Table1[[#This Row],[Gestation (days)]]+0.5)/7)-0.00354*((Table1[[#This Row],[Gestation (days)]]+0.5)/7)^2)*Table1[[#This Row],[BW40_3705]],"")</f>
        <v/>
      </c>
      <c r="G8768" s="2" t="str">
        <f>IF(Table1[[#This Row],[Is Data Valid]]=TRUE,((Table1[[#This Row],[Birthweight (grams)]]/Table1[[#This Row],[BW_GA]])-1)/(Backend!$B$4/100*Table1[[#This Row],[BW40_3705]]),"")</f>
        <v/>
      </c>
      <c r="H8768" s="7" t="str">
        <f>IF(Table1[[#This Row],[Is Data Valid]]=TRUE,((Table1[[#This Row],[Birthweight (grams)]]*0.9/Table1[[#This Row],[BW_GA]])-1)/(Backend!$B$4/100*Table1[[#This Row],[BW40_3705]]),"")</f>
        <v/>
      </c>
      <c r="I8768" s="7" t="str">
        <f>IF(Table1[[#This Row],[Is Data Valid]]=TRUE,((Table1[[#This Row],[Birthweight (grams)]]*1.1/Table1[[#This Row],[BW_GA]])-1)/(Backend!$B$4/100*Table1[[#This Row],[BW40_3705]]),"")</f>
        <v/>
      </c>
      <c r="J8768" s="7" t="str">
        <f>IF(Table1[[#This Row],[Is Data Valid]]=TRUE,_xlfn.NORM.S.DIST(Table1[[#This Row],[Birthweight Z-Score]],TRUE)*100,"")</f>
        <v/>
      </c>
      <c r="K8768" s="7" t="str">
        <f>IF(Table1[[#This Row],[Is Data Valid]]=TRUE,_xlfn.NORM.S.DIST(Table1[[#This Row],[Birthweight Z-Score (BW-10%)]],TRUE)*100,"")</f>
        <v/>
      </c>
      <c r="L8768" s="7" t="str">
        <f>IF(Table1[[#This Row],[Is Data Valid]]=TRUE,_xlfn.NORM.S.DIST(Table1[[#This Row],[Birthweight Z-Score (BW+10%)]],TRUE)*100,"")</f>
        <v/>
      </c>
    </row>
    <row r="8769" spans="1:12" x14ac:dyDescent="0.35">
      <c r="A8769" s="3"/>
      <c r="B8769" s="2"/>
      <c r="C8769" s="2"/>
      <c r="D8769" s="2" t="b">
        <f>IF(AND(NOT(ISBLANK(Table1[[#This Row],[Fetal Sex (Male, Female or Unknown)]])),ISNUMBER(Table1[[#This Row],[Birthweight (grams)]]),ISNUMBER(Table1[[#This Row],[Gestation (days)]])),TRUE,FALSE)</f>
        <v>0</v>
      </c>
      <c r="E8769" s="2" t="str">
        <f>IF(Table1[[#This Row],[Is Data Valid]]=TRUE,IF(Table1[[#This Row],[Fetal Sex (Male, Female or Unknown)]]="Male",Backend!$C$6,IF(Table1[[#This Row],[Fetal Sex (Male, Female or Unknown)]]="Female",Backend!$C$7,IF(Table1[[#This Row],[Fetal Sex (Male, Female or Unknown)]]="Unknown",Backend!$C$8,"Error"))),"")</f>
        <v/>
      </c>
      <c r="F8769" s="8" t="str">
        <f>IF(Table1[[#This Row],[Is Data Valid]]=TRUE,EXP(0.578+0.332*((Table1[[#This Row],[Gestation (days)]]+0.5)/7)-0.00354*((Table1[[#This Row],[Gestation (days)]]+0.5)/7)^2)*Table1[[#This Row],[BW40_3705]],"")</f>
        <v/>
      </c>
      <c r="G8769" s="2" t="str">
        <f>IF(Table1[[#This Row],[Is Data Valid]]=TRUE,((Table1[[#This Row],[Birthweight (grams)]]/Table1[[#This Row],[BW_GA]])-1)/(Backend!$B$4/100*Table1[[#This Row],[BW40_3705]]),"")</f>
        <v/>
      </c>
      <c r="H8769" s="7" t="str">
        <f>IF(Table1[[#This Row],[Is Data Valid]]=TRUE,((Table1[[#This Row],[Birthweight (grams)]]*0.9/Table1[[#This Row],[BW_GA]])-1)/(Backend!$B$4/100*Table1[[#This Row],[BW40_3705]]),"")</f>
        <v/>
      </c>
      <c r="I8769" s="7" t="str">
        <f>IF(Table1[[#This Row],[Is Data Valid]]=TRUE,((Table1[[#This Row],[Birthweight (grams)]]*1.1/Table1[[#This Row],[BW_GA]])-1)/(Backend!$B$4/100*Table1[[#This Row],[BW40_3705]]),"")</f>
        <v/>
      </c>
      <c r="J8769" s="7" t="str">
        <f>IF(Table1[[#This Row],[Is Data Valid]]=TRUE,_xlfn.NORM.S.DIST(Table1[[#This Row],[Birthweight Z-Score]],TRUE)*100,"")</f>
        <v/>
      </c>
      <c r="K8769" s="7" t="str">
        <f>IF(Table1[[#This Row],[Is Data Valid]]=TRUE,_xlfn.NORM.S.DIST(Table1[[#This Row],[Birthweight Z-Score (BW-10%)]],TRUE)*100,"")</f>
        <v/>
      </c>
      <c r="L8769" s="7" t="str">
        <f>IF(Table1[[#This Row],[Is Data Valid]]=TRUE,_xlfn.NORM.S.DIST(Table1[[#This Row],[Birthweight Z-Score (BW+10%)]],TRUE)*100,"")</f>
        <v/>
      </c>
    </row>
    <row r="8770" spans="1:12" x14ac:dyDescent="0.35">
      <c r="A8770" s="3"/>
      <c r="B8770" s="2"/>
      <c r="C8770" s="2"/>
      <c r="D8770" s="2" t="b">
        <f>IF(AND(NOT(ISBLANK(Table1[[#This Row],[Fetal Sex (Male, Female or Unknown)]])),ISNUMBER(Table1[[#This Row],[Birthweight (grams)]]),ISNUMBER(Table1[[#This Row],[Gestation (days)]])),TRUE,FALSE)</f>
        <v>0</v>
      </c>
      <c r="E8770" s="2" t="str">
        <f>IF(Table1[[#This Row],[Is Data Valid]]=TRUE,IF(Table1[[#This Row],[Fetal Sex (Male, Female or Unknown)]]="Male",Backend!$C$6,IF(Table1[[#This Row],[Fetal Sex (Male, Female or Unknown)]]="Female",Backend!$C$7,IF(Table1[[#This Row],[Fetal Sex (Male, Female or Unknown)]]="Unknown",Backend!$C$8,"Error"))),"")</f>
        <v/>
      </c>
      <c r="F8770" s="8" t="str">
        <f>IF(Table1[[#This Row],[Is Data Valid]]=TRUE,EXP(0.578+0.332*((Table1[[#This Row],[Gestation (days)]]+0.5)/7)-0.00354*((Table1[[#This Row],[Gestation (days)]]+0.5)/7)^2)*Table1[[#This Row],[BW40_3705]],"")</f>
        <v/>
      </c>
      <c r="G8770" s="2" t="str">
        <f>IF(Table1[[#This Row],[Is Data Valid]]=TRUE,((Table1[[#This Row],[Birthweight (grams)]]/Table1[[#This Row],[BW_GA]])-1)/(Backend!$B$4/100*Table1[[#This Row],[BW40_3705]]),"")</f>
        <v/>
      </c>
      <c r="H8770" s="7" t="str">
        <f>IF(Table1[[#This Row],[Is Data Valid]]=TRUE,((Table1[[#This Row],[Birthweight (grams)]]*0.9/Table1[[#This Row],[BW_GA]])-1)/(Backend!$B$4/100*Table1[[#This Row],[BW40_3705]]),"")</f>
        <v/>
      </c>
      <c r="I8770" s="7" t="str">
        <f>IF(Table1[[#This Row],[Is Data Valid]]=TRUE,((Table1[[#This Row],[Birthweight (grams)]]*1.1/Table1[[#This Row],[BW_GA]])-1)/(Backend!$B$4/100*Table1[[#This Row],[BW40_3705]]),"")</f>
        <v/>
      </c>
      <c r="J8770" s="7" t="str">
        <f>IF(Table1[[#This Row],[Is Data Valid]]=TRUE,_xlfn.NORM.S.DIST(Table1[[#This Row],[Birthweight Z-Score]],TRUE)*100,"")</f>
        <v/>
      </c>
      <c r="K8770" s="7" t="str">
        <f>IF(Table1[[#This Row],[Is Data Valid]]=TRUE,_xlfn.NORM.S.DIST(Table1[[#This Row],[Birthweight Z-Score (BW-10%)]],TRUE)*100,"")</f>
        <v/>
      </c>
      <c r="L8770" s="7" t="str">
        <f>IF(Table1[[#This Row],[Is Data Valid]]=TRUE,_xlfn.NORM.S.DIST(Table1[[#This Row],[Birthweight Z-Score (BW+10%)]],TRUE)*100,"")</f>
        <v/>
      </c>
    </row>
    <row r="8771" spans="1:12" x14ac:dyDescent="0.35">
      <c r="A8771" s="3"/>
      <c r="B8771" s="2"/>
      <c r="C8771" s="2"/>
      <c r="D8771" s="2" t="b">
        <f>IF(AND(NOT(ISBLANK(Table1[[#This Row],[Fetal Sex (Male, Female or Unknown)]])),ISNUMBER(Table1[[#This Row],[Birthweight (grams)]]),ISNUMBER(Table1[[#This Row],[Gestation (days)]])),TRUE,FALSE)</f>
        <v>0</v>
      </c>
      <c r="E8771" s="2" t="str">
        <f>IF(Table1[[#This Row],[Is Data Valid]]=TRUE,IF(Table1[[#This Row],[Fetal Sex (Male, Female or Unknown)]]="Male",Backend!$C$6,IF(Table1[[#This Row],[Fetal Sex (Male, Female or Unknown)]]="Female",Backend!$C$7,IF(Table1[[#This Row],[Fetal Sex (Male, Female or Unknown)]]="Unknown",Backend!$C$8,"Error"))),"")</f>
        <v/>
      </c>
      <c r="F8771" s="8" t="str">
        <f>IF(Table1[[#This Row],[Is Data Valid]]=TRUE,EXP(0.578+0.332*((Table1[[#This Row],[Gestation (days)]]+0.5)/7)-0.00354*((Table1[[#This Row],[Gestation (days)]]+0.5)/7)^2)*Table1[[#This Row],[BW40_3705]],"")</f>
        <v/>
      </c>
      <c r="G8771" s="2" t="str">
        <f>IF(Table1[[#This Row],[Is Data Valid]]=TRUE,((Table1[[#This Row],[Birthweight (grams)]]/Table1[[#This Row],[BW_GA]])-1)/(Backend!$B$4/100*Table1[[#This Row],[BW40_3705]]),"")</f>
        <v/>
      </c>
      <c r="H8771" s="7" t="str">
        <f>IF(Table1[[#This Row],[Is Data Valid]]=TRUE,((Table1[[#This Row],[Birthweight (grams)]]*0.9/Table1[[#This Row],[BW_GA]])-1)/(Backend!$B$4/100*Table1[[#This Row],[BW40_3705]]),"")</f>
        <v/>
      </c>
      <c r="I8771" s="7" t="str">
        <f>IF(Table1[[#This Row],[Is Data Valid]]=TRUE,((Table1[[#This Row],[Birthweight (grams)]]*1.1/Table1[[#This Row],[BW_GA]])-1)/(Backend!$B$4/100*Table1[[#This Row],[BW40_3705]]),"")</f>
        <v/>
      </c>
      <c r="J8771" s="7" t="str">
        <f>IF(Table1[[#This Row],[Is Data Valid]]=TRUE,_xlfn.NORM.S.DIST(Table1[[#This Row],[Birthweight Z-Score]],TRUE)*100,"")</f>
        <v/>
      </c>
      <c r="K8771" s="7" t="str">
        <f>IF(Table1[[#This Row],[Is Data Valid]]=TRUE,_xlfn.NORM.S.DIST(Table1[[#This Row],[Birthweight Z-Score (BW-10%)]],TRUE)*100,"")</f>
        <v/>
      </c>
      <c r="L8771" s="7" t="str">
        <f>IF(Table1[[#This Row],[Is Data Valid]]=TRUE,_xlfn.NORM.S.DIST(Table1[[#This Row],[Birthweight Z-Score (BW+10%)]],TRUE)*100,"")</f>
        <v/>
      </c>
    </row>
    <row r="8772" spans="1:12" x14ac:dyDescent="0.35">
      <c r="A8772" s="3"/>
      <c r="B8772" s="2"/>
      <c r="C8772" s="2"/>
      <c r="D8772" s="2" t="b">
        <f>IF(AND(NOT(ISBLANK(Table1[[#This Row],[Fetal Sex (Male, Female or Unknown)]])),ISNUMBER(Table1[[#This Row],[Birthweight (grams)]]),ISNUMBER(Table1[[#This Row],[Gestation (days)]])),TRUE,FALSE)</f>
        <v>0</v>
      </c>
      <c r="E8772" s="2" t="str">
        <f>IF(Table1[[#This Row],[Is Data Valid]]=TRUE,IF(Table1[[#This Row],[Fetal Sex (Male, Female or Unknown)]]="Male",Backend!$C$6,IF(Table1[[#This Row],[Fetal Sex (Male, Female or Unknown)]]="Female",Backend!$C$7,IF(Table1[[#This Row],[Fetal Sex (Male, Female or Unknown)]]="Unknown",Backend!$C$8,"Error"))),"")</f>
        <v/>
      </c>
      <c r="F8772" s="8" t="str">
        <f>IF(Table1[[#This Row],[Is Data Valid]]=TRUE,EXP(0.578+0.332*((Table1[[#This Row],[Gestation (days)]]+0.5)/7)-0.00354*((Table1[[#This Row],[Gestation (days)]]+0.5)/7)^2)*Table1[[#This Row],[BW40_3705]],"")</f>
        <v/>
      </c>
      <c r="G8772" s="2" t="str">
        <f>IF(Table1[[#This Row],[Is Data Valid]]=TRUE,((Table1[[#This Row],[Birthweight (grams)]]/Table1[[#This Row],[BW_GA]])-1)/(Backend!$B$4/100*Table1[[#This Row],[BW40_3705]]),"")</f>
        <v/>
      </c>
      <c r="H8772" s="7" t="str">
        <f>IF(Table1[[#This Row],[Is Data Valid]]=TRUE,((Table1[[#This Row],[Birthweight (grams)]]*0.9/Table1[[#This Row],[BW_GA]])-1)/(Backend!$B$4/100*Table1[[#This Row],[BW40_3705]]),"")</f>
        <v/>
      </c>
      <c r="I8772" s="7" t="str">
        <f>IF(Table1[[#This Row],[Is Data Valid]]=TRUE,((Table1[[#This Row],[Birthweight (grams)]]*1.1/Table1[[#This Row],[BW_GA]])-1)/(Backend!$B$4/100*Table1[[#This Row],[BW40_3705]]),"")</f>
        <v/>
      </c>
      <c r="J8772" s="7" t="str">
        <f>IF(Table1[[#This Row],[Is Data Valid]]=TRUE,_xlfn.NORM.S.DIST(Table1[[#This Row],[Birthweight Z-Score]],TRUE)*100,"")</f>
        <v/>
      </c>
      <c r="K8772" s="7" t="str">
        <f>IF(Table1[[#This Row],[Is Data Valid]]=TRUE,_xlfn.NORM.S.DIST(Table1[[#This Row],[Birthweight Z-Score (BW-10%)]],TRUE)*100,"")</f>
        <v/>
      </c>
      <c r="L8772" s="7" t="str">
        <f>IF(Table1[[#This Row],[Is Data Valid]]=TRUE,_xlfn.NORM.S.DIST(Table1[[#This Row],[Birthweight Z-Score (BW+10%)]],TRUE)*100,"")</f>
        <v/>
      </c>
    </row>
    <row r="8773" spans="1:12" x14ac:dyDescent="0.35">
      <c r="A8773" s="3"/>
      <c r="B8773" s="2"/>
      <c r="C8773" s="2"/>
      <c r="D8773" s="2" t="b">
        <f>IF(AND(NOT(ISBLANK(Table1[[#This Row],[Fetal Sex (Male, Female or Unknown)]])),ISNUMBER(Table1[[#This Row],[Birthweight (grams)]]),ISNUMBER(Table1[[#This Row],[Gestation (days)]])),TRUE,FALSE)</f>
        <v>0</v>
      </c>
      <c r="E8773" s="2" t="str">
        <f>IF(Table1[[#This Row],[Is Data Valid]]=TRUE,IF(Table1[[#This Row],[Fetal Sex (Male, Female or Unknown)]]="Male",Backend!$C$6,IF(Table1[[#This Row],[Fetal Sex (Male, Female or Unknown)]]="Female",Backend!$C$7,IF(Table1[[#This Row],[Fetal Sex (Male, Female or Unknown)]]="Unknown",Backend!$C$8,"Error"))),"")</f>
        <v/>
      </c>
      <c r="F8773" s="8" t="str">
        <f>IF(Table1[[#This Row],[Is Data Valid]]=TRUE,EXP(0.578+0.332*((Table1[[#This Row],[Gestation (days)]]+0.5)/7)-0.00354*((Table1[[#This Row],[Gestation (days)]]+0.5)/7)^2)*Table1[[#This Row],[BW40_3705]],"")</f>
        <v/>
      </c>
      <c r="G8773" s="2" t="str">
        <f>IF(Table1[[#This Row],[Is Data Valid]]=TRUE,((Table1[[#This Row],[Birthweight (grams)]]/Table1[[#This Row],[BW_GA]])-1)/(Backend!$B$4/100*Table1[[#This Row],[BW40_3705]]),"")</f>
        <v/>
      </c>
      <c r="H8773" s="7" t="str">
        <f>IF(Table1[[#This Row],[Is Data Valid]]=TRUE,((Table1[[#This Row],[Birthweight (grams)]]*0.9/Table1[[#This Row],[BW_GA]])-1)/(Backend!$B$4/100*Table1[[#This Row],[BW40_3705]]),"")</f>
        <v/>
      </c>
      <c r="I8773" s="7" t="str">
        <f>IF(Table1[[#This Row],[Is Data Valid]]=TRUE,((Table1[[#This Row],[Birthweight (grams)]]*1.1/Table1[[#This Row],[BW_GA]])-1)/(Backend!$B$4/100*Table1[[#This Row],[BW40_3705]]),"")</f>
        <v/>
      </c>
      <c r="J8773" s="7" t="str">
        <f>IF(Table1[[#This Row],[Is Data Valid]]=TRUE,_xlfn.NORM.S.DIST(Table1[[#This Row],[Birthweight Z-Score]],TRUE)*100,"")</f>
        <v/>
      </c>
      <c r="K8773" s="7" t="str">
        <f>IF(Table1[[#This Row],[Is Data Valid]]=TRUE,_xlfn.NORM.S.DIST(Table1[[#This Row],[Birthweight Z-Score (BW-10%)]],TRUE)*100,"")</f>
        <v/>
      </c>
      <c r="L8773" s="7" t="str">
        <f>IF(Table1[[#This Row],[Is Data Valid]]=TRUE,_xlfn.NORM.S.DIST(Table1[[#This Row],[Birthweight Z-Score (BW+10%)]],TRUE)*100,"")</f>
        <v/>
      </c>
    </row>
    <row r="8774" spans="1:12" x14ac:dyDescent="0.35">
      <c r="A8774" s="3"/>
      <c r="B8774" s="2"/>
      <c r="C8774" s="2"/>
      <c r="D8774" s="2" t="b">
        <f>IF(AND(NOT(ISBLANK(Table1[[#This Row],[Fetal Sex (Male, Female or Unknown)]])),ISNUMBER(Table1[[#This Row],[Birthweight (grams)]]),ISNUMBER(Table1[[#This Row],[Gestation (days)]])),TRUE,FALSE)</f>
        <v>0</v>
      </c>
      <c r="E8774" s="2" t="str">
        <f>IF(Table1[[#This Row],[Is Data Valid]]=TRUE,IF(Table1[[#This Row],[Fetal Sex (Male, Female or Unknown)]]="Male",Backend!$C$6,IF(Table1[[#This Row],[Fetal Sex (Male, Female or Unknown)]]="Female",Backend!$C$7,IF(Table1[[#This Row],[Fetal Sex (Male, Female or Unknown)]]="Unknown",Backend!$C$8,"Error"))),"")</f>
        <v/>
      </c>
      <c r="F8774" s="8" t="str">
        <f>IF(Table1[[#This Row],[Is Data Valid]]=TRUE,EXP(0.578+0.332*((Table1[[#This Row],[Gestation (days)]]+0.5)/7)-0.00354*((Table1[[#This Row],[Gestation (days)]]+0.5)/7)^2)*Table1[[#This Row],[BW40_3705]],"")</f>
        <v/>
      </c>
      <c r="G8774" s="2" t="str">
        <f>IF(Table1[[#This Row],[Is Data Valid]]=TRUE,((Table1[[#This Row],[Birthweight (grams)]]/Table1[[#This Row],[BW_GA]])-1)/(Backend!$B$4/100*Table1[[#This Row],[BW40_3705]]),"")</f>
        <v/>
      </c>
      <c r="H8774" s="7" t="str">
        <f>IF(Table1[[#This Row],[Is Data Valid]]=TRUE,((Table1[[#This Row],[Birthweight (grams)]]*0.9/Table1[[#This Row],[BW_GA]])-1)/(Backend!$B$4/100*Table1[[#This Row],[BW40_3705]]),"")</f>
        <v/>
      </c>
      <c r="I8774" s="7" t="str">
        <f>IF(Table1[[#This Row],[Is Data Valid]]=TRUE,((Table1[[#This Row],[Birthweight (grams)]]*1.1/Table1[[#This Row],[BW_GA]])-1)/(Backend!$B$4/100*Table1[[#This Row],[BW40_3705]]),"")</f>
        <v/>
      </c>
      <c r="J8774" s="7" t="str">
        <f>IF(Table1[[#This Row],[Is Data Valid]]=TRUE,_xlfn.NORM.S.DIST(Table1[[#This Row],[Birthweight Z-Score]],TRUE)*100,"")</f>
        <v/>
      </c>
      <c r="K8774" s="7" t="str">
        <f>IF(Table1[[#This Row],[Is Data Valid]]=TRUE,_xlfn.NORM.S.DIST(Table1[[#This Row],[Birthweight Z-Score (BW-10%)]],TRUE)*100,"")</f>
        <v/>
      </c>
      <c r="L8774" s="7" t="str">
        <f>IF(Table1[[#This Row],[Is Data Valid]]=TRUE,_xlfn.NORM.S.DIST(Table1[[#This Row],[Birthweight Z-Score (BW+10%)]],TRUE)*100,"")</f>
        <v/>
      </c>
    </row>
    <row r="8775" spans="1:12" x14ac:dyDescent="0.35">
      <c r="A8775" s="3"/>
      <c r="B8775" s="2"/>
      <c r="C8775" s="2"/>
      <c r="D8775" s="2" t="b">
        <f>IF(AND(NOT(ISBLANK(Table1[[#This Row],[Fetal Sex (Male, Female or Unknown)]])),ISNUMBER(Table1[[#This Row],[Birthweight (grams)]]),ISNUMBER(Table1[[#This Row],[Gestation (days)]])),TRUE,FALSE)</f>
        <v>0</v>
      </c>
      <c r="E8775" s="2" t="str">
        <f>IF(Table1[[#This Row],[Is Data Valid]]=TRUE,IF(Table1[[#This Row],[Fetal Sex (Male, Female or Unknown)]]="Male",Backend!$C$6,IF(Table1[[#This Row],[Fetal Sex (Male, Female or Unknown)]]="Female",Backend!$C$7,IF(Table1[[#This Row],[Fetal Sex (Male, Female or Unknown)]]="Unknown",Backend!$C$8,"Error"))),"")</f>
        <v/>
      </c>
      <c r="F8775" s="8" t="str">
        <f>IF(Table1[[#This Row],[Is Data Valid]]=TRUE,EXP(0.578+0.332*((Table1[[#This Row],[Gestation (days)]]+0.5)/7)-0.00354*((Table1[[#This Row],[Gestation (days)]]+0.5)/7)^2)*Table1[[#This Row],[BW40_3705]],"")</f>
        <v/>
      </c>
      <c r="G8775" s="2" t="str">
        <f>IF(Table1[[#This Row],[Is Data Valid]]=TRUE,((Table1[[#This Row],[Birthweight (grams)]]/Table1[[#This Row],[BW_GA]])-1)/(Backend!$B$4/100*Table1[[#This Row],[BW40_3705]]),"")</f>
        <v/>
      </c>
      <c r="H8775" s="7" t="str">
        <f>IF(Table1[[#This Row],[Is Data Valid]]=TRUE,((Table1[[#This Row],[Birthweight (grams)]]*0.9/Table1[[#This Row],[BW_GA]])-1)/(Backend!$B$4/100*Table1[[#This Row],[BW40_3705]]),"")</f>
        <v/>
      </c>
      <c r="I8775" s="7" t="str">
        <f>IF(Table1[[#This Row],[Is Data Valid]]=TRUE,((Table1[[#This Row],[Birthweight (grams)]]*1.1/Table1[[#This Row],[BW_GA]])-1)/(Backend!$B$4/100*Table1[[#This Row],[BW40_3705]]),"")</f>
        <v/>
      </c>
      <c r="J8775" s="7" t="str">
        <f>IF(Table1[[#This Row],[Is Data Valid]]=TRUE,_xlfn.NORM.S.DIST(Table1[[#This Row],[Birthweight Z-Score]],TRUE)*100,"")</f>
        <v/>
      </c>
      <c r="K8775" s="7" t="str">
        <f>IF(Table1[[#This Row],[Is Data Valid]]=TRUE,_xlfn.NORM.S.DIST(Table1[[#This Row],[Birthweight Z-Score (BW-10%)]],TRUE)*100,"")</f>
        <v/>
      </c>
      <c r="L8775" s="7" t="str">
        <f>IF(Table1[[#This Row],[Is Data Valid]]=TRUE,_xlfn.NORM.S.DIST(Table1[[#This Row],[Birthweight Z-Score (BW+10%)]],TRUE)*100,"")</f>
        <v/>
      </c>
    </row>
    <row r="8776" spans="1:12" x14ac:dyDescent="0.35">
      <c r="A8776" s="3"/>
      <c r="B8776" s="2"/>
      <c r="C8776" s="2"/>
      <c r="D8776" s="2" t="b">
        <f>IF(AND(NOT(ISBLANK(Table1[[#This Row],[Fetal Sex (Male, Female or Unknown)]])),ISNUMBER(Table1[[#This Row],[Birthweight (grams)]]),ISNUMBER(Table1[[#This Row],[Gestation (days)]])),TRUE,FALSE)</f>
        <v>0</v>
      </c>
      <c r="E8776" s="2" t="str">
        <f>IF(Table1[[#This Row],[Is Data Valid]]=TRUE,IF(Table1[[#This Row],[Fetal Sex (Male, Female or Unknown)]]="Male",Backend!$C$6,IF(Table1[[#This Row],[Fetal Sex (Male, Female or Unknown)]]="Female",Backend!$C$7,IF(Table1[[#This Row],[Fetal Sex (Male, Female or Unknown)]]="Unknown",Backend!$C$8,"Error"))),"")</f>
        <v/>
      </c>
      <c r="F8776" s="8" t="str">
        <f>IF(Table1[[#This Row],[Is Data Valid]]=TRUE,EXP(0.578+0.332*((Table1[[#This Row],[Gestation (days)]]+0.5)/7)-0.00354*((Table1[[#This Row],[Gestation (days)]]+0.5)/7)^2)*Table1[[#This Row],[BW40_3705]],"")</f>
        <v/>
      </c>
      <c r="G8776" s="2" t="str">
        <f>IF(Table1[[#This Row],[Is Data Valid]]=TRUE,((Table1[[#This Row],[Birthweight (grams)]]/Table1[[#This Row],[BW_GA]])-1)/(Backend!$B$4/100*Table1[[#This Row],[BW40_3705]]),"")</f>
        <v/>
      </c>
      <c r="H8776" s="7" t="str">
        <f>IF(Table1[[#This Row],[Is Data Valid]]=TRUE,((Table1[[#This Row],[Birthweight (grams)]]*0.9/Table1[[#This Row],[BW_GA]])-1)/(Backend!$B$4/100*Table1[[#This Row],[BW40_3705]]),"")</f>
        <v/>
      </c>
      <c r="I8776" s="7" t="str">
        <f>IF(Table1[[#This Row],[Is Data Valid]]=TRUE,((Table1[[#This Row],[Birthweight (grams)]]*1.1/Table1[[#This Row],[BW_GA]])-1)/(Backend!$B$4/100*Table1[[#This Row],[BW40_3705]]),"")</f>
        <v/>
      </c>
      <c r="J8776" s="7" t="str">
        <f>IF(Table1[[#This Row],[Is Data Valid]]=TRUE,_xlfn.NORM.S.DIST(Table1[[#This Row],[Birthweight Z-Score]],TRUE)*100,"")</f>
        <v/>
      </c>
      <c r="K8776" s="7" t="str">
        <f>IF(Table1[[#This Row],[Is Data Valid]]=TRUE,_xlfn.NORM.S.DIST(Table1[[#This Row],[Birthweight Z-Score (BW-10%)]],TRUE)*100,"")</f>
        <v/>
      </c>
      <c r="L8776" s="7" t="str">
        <f>IF(Table1[[#This Row],[Is Data Valid]]=TRUE,_xlfn.NORM.S.DIST(Table1[[#This Row],[Birthweight Z-Score (BW+10%)]],TRUE)*100,"")</f>
        <v/>
      </c>
    </row>
    <row r="8777" spans="1:12" x14ac:dyDescent="0.35">
      <c r="A8777" s="3"/>
      <c r="B8777" s="2"/>
      <c r="C8777" s="2"/>
      <c r="D8777" s="2" t="b">
        <f>IF(AND(NOT(ISBLANK(Table1[[#This Row],[Fetal Sex (Male, Female or Unknown)]])),ISNUMBER(Table1[[#This Row],[Birthweight (grams)]]),ISNUMBER(Table1[[#This Row],[Gestation (days)]])),TRUE,FALSE)</f>
        <v>0</v>
      </c>
      <c r="E8777" s="2" t="str">
        <f>IF(Table1[[#This Row],[Is Data Valid]]=TRUE,IF(Table1[[#This Row],[Fetal Sex (Male, Female or Unknown)]]="Male",Backend!$C$6,IF(Table1[[#This Row],[Fetal Sex (Male, Female or Unknown)]]="Female",Backend!$C$7,IF(Table1[[#This Row],[Fetal Sex (Male, Female or Unknown)]]="Unknown",Backend!$C$8,"Error"))),"")</f>
        <v/>
      </c>
      <c r="F8777" s="8" t="str">
        <f>IF(Table1[[#This Row],[Is Data Valid]]=TRUE,EXP(0.578+0.332*((Table1[[#This Row],[Gestation (days)]]+0.5)/7)-0.00354*((Table1[[#This Row],[Gestation (days)]]+0.5)/7)^2)*Table1[[#This Row],[BW40_3705]],"")</f>
        <v/>
      </c>
      <c r="G8777" s="2" t="str">
        <f>IF(Table1[[#This Row],[Is Data Valid]]=TRUE,((Table1[[#This Row],[Birthweight (grams)]]/Table1[[#This Row],[BW_GA]])-1)/(Backend!$B$4/100*Table1[[#This Row],[BW40_3705]]),"")</f>
        <v/>
      </c>
      <c r="H8777" s="7" t="str">
        <f>IF(Table1[[#This Row],[Is Data Valid]]=TRUE,((Table1[[#This Row],[Birthweight (grams)]]*0.9/Table1[[#This Row],[BW_GA]])-1)/(Backend!$B$4/100*Table1[[#This Row],[BW40_3705]]),"")</f>
        <v/>
      </c>
      <c r="I8777" s="7" t="str">
        <f>IF(Table1[[#This Row],[Is Data Valid]]=TRUE,((Table1[[#This Row],[Birthweight (grams)]]*1.1/Table1[[#This Row],[BW_GA]])-1)/(Backend!$B$4/100*Table1[[#This Row],[BW40_3705]]),"")</f>
        <v/>
      </c>
      <c r="J8777" s="7" t="str">
        <f>IF(Table1[[#This Row],[Is Data Valid]]=TRUE,_xlfn.NORM.S.DIST(Table1[[#This Row],[Birthweight Z-Score]],TRUE)*100,"")</f>
        <v/>
      </c>
      <c r="K8777" s="7" t="str">
        <f>IF(Table1[[#This Row],[Is Data Valid]]=TRUE,_xlfn.NORM.S.DIST(Table1[[#This Row],[Birthweight Z-Score (BW-10%)]],TRUE)*100,"")</f>
        <v/>
      </c>
      <c r="L8777" s="7" t="str">
        <f>IF(Table1[[#This Row],[Is Data Valid]]=TRUE,_xlfn.NORM.S.DIST(Table1[[#This Row],[Birthweight Z-Score (BW+10%)]],TRUE)*100,"")</f>
        <v/>
      </c>
    </row>
    <row r="8778" spans="1:12" x14ac:dyDescent="0.35">
      <c r="A8778" s="3"/>
      <c r="B8778" s="2"/>
      <c r="C8778" s="2"/>
      <c r="D8778" s="2" t="b">
        <f>IF(AND(NOT(ISBLANK(Table1[[#This Row],[Fetal Sex (Male, Female or Unknown)]])),ISNUMBER(Table1[[#This Row],[Birthweight (grams)]]),ISNUMBER(Table1[[#This Row],[Gestation (days)]])),TRUE,FALSE)</f>
        <v>0</v>
      </c>
      <c r="E8778" s="2" t="str">
        <f>IF(Table1[[#This Row],[Is Data Valid]]=TRUE,IF(Table1[[#This Row],[Fetal Sex (Male, Female or Unknown)]]="Male",Backend!$C$6,IF(Table1[[#This Row],[Fetal Sex (Male, Female or Unknown)]]="Female",Backend!$C$7,IF(Table1[[#This Row],[Fetal Sex (Male, Female or Unknown)]]="Unknown",Backend!$C$8,"Error"))),"")</f>
        <v/>
      </c>
      <c r="F8778" s="8" t="str">
        <f>IF(Table1[[#This Row],[Is Data Valid]]=TRUE,EXP(0.578+0.332*((Table1[[#This Row],[Gestation (days)]]+0.5)/7)-0.00354*((Table1[[#This Row],[Gestation (days)]]+0.5)/7)^2)*Table1[[#This Row],[BW40_3705]],"")</f>
        <v/>
      </c>
      <c r="G8778" s="2" t="str">
        <f>IF(Table1[[#This Row],[Is Data Valid]]=TRUE,((Table1[[#This Row],[Birthweight (grams)]]/Table1[[#This Row],[BW_GA]])-1)/(Backend!$B$4/100*Table1[[#This Row],[BW40_3705]]),"")</f>
        <v/>
      </c>
      <c r="H8778" s="7" t="str">
        <f>IF(Table1[[#This Row],[Is Data Valid]]=TRUE,((Table1[[#This Row],[Birthweight (grams)]]*0.9/Table1[[#This Row],[BW_GA]])-1)/(Backend!$B$4/100*Table1[[#This Row],[BW40_3705]]),"")</f>
        <v/>
      </c>
      <c r="I8778" s="7" t="str">
        <f>IF(Table1[[#This Row],[Is Data Valid]]=TRUE,((Table1[[#This Row],[Birthweight (grams)]]*1.1/Table1[[#This Row],[BW_GA]])-1)/(Backend!$B$4/100*Table1[[#This Row],[BW40_3705]]),"")</f>
        <v/>
      </c>
      <c r="J8778" s="7" t="str">
        <f>IF(Table1[[#This Row],[Is Data Valid]]=TRUE,_xlfn.NORM.S.DIST(Table1[[#This Row],[Birthweight Z-Score]],TRUE)*100,"")</f>
        <v/>
      </c>
      <c r="K8778" s="7" t="str">
        <f>IF(Table1[[#This Row],[Is Data Valid]]=TRUE,_xlfn.NORM.S.DIST(Table1[[#This Row],[Birthweight Z-Score (BW-10%)]],TRUE)*100,"")</f>
        <v/>
      </c>
      <c r="L8778" s="7" t="str">
        <f>IF(Table1[[#This Row],[Is Data Valid]]=TRUE,_xlfn.NORM.S.DIST(Table1[[#This Row],[Birthweight Z-Score (BW+10%)]],TRUE)*100,"")</f>
        <v/>
      </c>
    </row>
    <row r="8779" spans="1:12" x14ac:dyDescent="0.35">
      <c r="A8779" s="3"/>
      <c r="B8779" s="2"/>
      <c r="C8779" s="2"/>
      <c r="D8779" s="2" t="b">
        <f>IF(AND(NOT(ISBLANK(Table1[[#This Row],[Fetal Sex (Male, Female or Unknown)]])),ISNUMBER(Table1[[#This Row],[Birthweight (grams)]]),ISNUMBER(Table1[[#This Row],[Gestation (days)]])),TRUE,FALSE)</f>
        <v>0</v>
      </c>
      <c r="E8779" s="2" t="str">
        <f>IF(Table1[[#This Row],[Is Data Valid]]=TRUE,IF(Table1[[#This Row],[Fetal Sex (Male, Female or Unknown)]]="Male",Backend!$C$6,IF(Table1[[#This Row],[Fetal Sex (Male, Female or Unknown)]]="Female",Backend!$C$7,IF(Table1[[#This Row],[Fetal Sex (Male, Female or Unknown)]]="Unknown",Backend!$C$8,"Error"))),"")</f>
        <v/>
      </c>
      <c r="F8779" s="8" t="str">
        <f>IF(Table1[[#This Row],[Is Data Valid]]=TRUE,EXP(0.578+0.332*((Table1[[#This Row],[Gestation (days)]]+0.5)/7)-0.00354*((Table1[[#This Row],[Gestation (days)]]+0.5)/7)^2)*Table1[[#This Row],[BW40_3705]],"")</f>
        <v/>
      </c>
      <c r="G8779" s="2" t="str">
        <f>IF(Table1[[#This Row],[Is Data Valid]]=TRUE,((Table1[[#This Row],[Birthweight (grams)]]/Table1[[#This Row],[BW_GA]])-1)/(Backend!$B$4/100*Table1[[#This Row],[BW40_3705]]),"")</f>
        <v/>
      </c>
      <c r="H8779" s="7" t="str">
        <f>IF(Table1[[#This Row],[Is Data Valid]]=TRUE,((Table1[[#This Row],[Birthweight (grams)]]*0.9/Table1[[#This Row],[BW_GA]])-1)/(Backend!$B$4/100*Table1[[#This Row],[BW40_3705]]),"")</f>
        <v/>
      </c>
      <c r="I8779" s="7" t="str">
        <f>IF(Table1[[#This Row],[Is Data Valid]]=TRUE,((Table1[[#This Row],[Birthweight (grams)]]*1.1/Table1[[#This Row],[BW_GA]])-1)/(Backend!$B$4/100*Table1[[#This Row],[BW40_3705]]),"")</f>
        <v/>
      </c>
      <c r="J8779" s="7" t="str">
        <f>IF(Table1[[#This Row],[Is Data Valid]]=TRUE,_xlfn.NORM.S.DIST(Table1[[#This Row],[Birthweight Z-Score]],TRUE)*100,"")</f>
        <v/>
      </c>
      <c r="K8779" s="7" t="str">
        <f>IF(Table1[[#This Row],[Is Data Valid]]=TRUE,_xlfn.NORM.S.DIST(Table1[[#This Row],[Birthweight Z-Score (BW-10%)]],TRUE)*100,"")</f>
        <v/>
      </c>
      <c r="L8779" s="7" t="str">
        <f>IF(Table1[[#This Row],[Is Data Valid]]=TRUE,_xlfn.NORM.S.DIST(Table1[[#This Row],[Birthweight Z-Score (BW+10%)]],TRUE)*100,"")</f>
        <v/>
      </c>
    </row>
    <row r="8780" spans="1:12" x14ac:dyDescent="0.35">
      <c r="A8780" s="3"/>
      <c r="B8780" s="2"/>
      <c r="C8780" s="2"/>
      <c r="D8780" s="2" t="b">
        <f>IF(AND(NOT(ISBLANK(Table1[[#This Row],[Fetal Sex (Male, Female or Unknown)]])),ISNUMBER(Table1[[#This Row],[Birthweight (grams)]]),ISNUMBER(Table1[[#This Row],[Gestation (days)]])),TRUE,FALSE)</f>
        <v>0</v>
      </c>
      <c r="E8780" s="2" t="str">
        <f>IF(Table1[[#This Row],[Is Data Valid]]=TRUE,IF(Table1[[#This Row],[Fetal Sex (Male, Female or Unknown)]]="Male",Backend!$C$6,IF(Table1[[#This Row],[Fetal Sex (Male, Female or Unknown)]]="Female",Backend!$C$7,IF(Table1[[#This Row],[Fetal Sex (Male, Female or Unknown)]]="Unknown",Backend!$C$8,"Error"))),"")</f>
        <v/>
      </c>
      <c r="F8780" s="8" t="str">
        <f>IF(Table1[[#This Row],[Is Data Valid]]=TRUE,EXP(0.578+0.332*((Table1[[#This Row],[Gestation (days)]]+0.5)/7)-0.00354*((Table1[[#This Row],[Gestation (days)]]+0.5)/7)^2)*Table1[[#This Row],[BW40_3705]],"")</f>
        <v/>
      </c>
      <c r="G8780" s="2" t="str">
        <f>IF(Table1[[#This Row],[Is Data Valid]]=TRUE,((Table1[[#This Row],[Birthweight (grams)]]/Table1[[#This Row],[BW_GA]])-1)/(Backend!$B$4/100*Table1[[#This Row],[BW40_3705]]),"")</f>
        <v/>
      </c>
      <c r="H8780" s="7" t="str">
        <f>IF(Table1[[#This Row],[Is Data Valid]]=TRUE,((Table1[[#This Row],[Birthweight (grams)]]*0.9/Table1[[#This Row],[BW_GA]])-1)/(Backend!$B$4/100*Table1[[#This Row],[BW40_3705]]),"")</f>
        <v/>
      </c>
      <c r="I8780" s="7" t="str">
        <f>IF(Table1[[#This Row],[Is Data Valid]]=TRUE,((Table1[[#This Row],[Birthweight (grams)]]*1.1/Table1[[#This Row],[BW_GA]])-1)/(Backend!$B$4/100*Table1[[#This Row],[BW40_3705]]),"")</f>
        <v/>
      </c>
      <c r="J8780" s="7" t="str">
        <f>IF(Table1[[#This Row],[Is Data Valid]]=TRUE,_xlfn.NORM.S.DIST(Table1[[#This Row],[Birthweight Z-Score]],TRUE)*100,"")</f>
        <v/>
      </c>
      <c r="K8780" s="7" t="str">
        <f>IF(Table1[[#This Row],[Is Data Valid]]=TRUE,_xlfn.NORM.S.DIST(Table1[[#This Row],[Birthweight Z-Score (BW-10%)]],TRUE)*100,"")</f>
        <v/>
      </c>
      <c r="L8780" s="7" t="str">
        <f>IF(Table1[[#This Row],[Is Data Valid]]=TRUE,_xlfn.NORM.S.DIST(Table1[[#This Row],[Birthweight Z-Score (BW+10%)]],TRUE)*100,"")</f>
        <v/>
      </c>
    </row>
    <row r="8781" spans="1:12" x14ac:dyDescent="0.35">
      <c r="A8781" s="3"/>
      <c r="B8781" s="2"/>
      <c r="C8781" s="2"/>
      <c r="D8781" s="2" t="b">
        <f>IF(AND(NOT(ISBLANK(Table1[[#This Row],[Fetal Sex (Male, Female or Unknown)]])),ISNUMBER(Table1[[#This Row],[Birthweight (grams)]]),ISNUMBER(Table1[[#This Row],[Gestation (days)]])),TRUE,FALSE)</f>
        <v>0</v>
      </c>
      <c r="E8781" s="2" t="str">
        <f>IF(Table1[[#This Row],[Is Data Valid]]=TRUE,IF(Table1[[#This Row],[Fetal Sex (Male, Female or Unknown)]]="Male",Backend!$C$6,IF(Table1[[#This Row],[Fetal Sex (Male, Female or Unknown)]]="Female",Backend!$C$7,IF(Table1[[#This Row],[Fetal Sex (Male, Female or Unknown)]]="Unknown",Backend!$C$8,"Error"))),"")</f>
        <v/>
      </c>
      <c r="F8781" s="8" t="str">
        <f>IF(Table1[[#This Row],[Is Data Valid]]=TRUE,EXP(0.578+0.332*((Table1[[#This Row],[Gestation (days)]]+0.5)/7)-0.00354*((Table1[[#This Row],[Gestation (days)]]+0.5)/7)^2)*Table1[[#This Row],[BW40_3705]],"")</f>
        <v/>
      </c>
      <c r="G8781" s="2" t="str">
        <f>IF(Table1[[#This Row],[Is Data Valid]]=TRUE,((Table1[[#This Row],[Birthweight (grams)]]/Table1[[#This Row],[BW_GA]])-1)/(Backend!$B$4/100*Table1[[#This Row],[BW40_3705]]),"")</f>
        <v/>
      </c>
      <c r="H8781" s="7" t="str">
        <f>IF(Table1[[#This Row],[Is Data Valid]]=TRUE,((Table1[[#This Row],[Birthweight (grams)]]*0.9/Table1[[#This Row],[BW_GA]])-1)/(Backend!$B$4/100*Table1[[#This Row],[BW40_3705]]),"")</f>
        <v/>
      </c>
      <c r="I8781" s="7" t="str">
        <f>IF(Table1[[#This Row],[Is Data Valid]]=TRUE,((Table1[[#This Row],[Birthweight (grams)]]*1.1/Table1[[#This Row],[BW_GA]])-1)/(Backend!$B$4/100*Table1[[#This Row],[BW40_3705]]),"")</f>
        <v/>
      </c>
      <c r="J8781" s="7" t="str">
        <f>IF(Table1[[#This Row],[Is Data Valid]]=TRUE,_xlfn.NORM.S.DIST(Table1[[#This Row],[Birthweight Z-Score]],TRUE)*100,"")</f>
        <v/>
      </c>
      <c r="K8781" s="7" t="str">
        <f>IF(Table1[[#This Row],[Is Data Valid]]=TRUE,_xlfn.NORM.S.DIST(Table1[[#This Row],[Birthweight Z-Score (BW-10%)]],TRUE)*100,"")</f>
        <v/>
      </c>
      <c r="L8781" s="7" t="str">
        <f>IF(Table1[[#This Row],[Is Data Valid]]=TRUE,_xlfn.NORM.S.DIST(Table1[[#This Row],[Birthweight Z-Score (BW+10%)]],TRUE)*100,"")</f>
        <v/>
      </c>
    </row>
    <row r="8782" spans="1:12" x14ac:dyDescent="0.35">
      <c r="A8782" s="3"/>
      <c r="B8782" s="2"/>
      <c r="C8782" s="2"/>
      <c r="D8782" s="2" t="b">
        <f>IF(AND(NOT(ISBLANK(Table1[[#This Row],[Fetal Sex (Male, Female or Unknown)]])),ISNUMBER(Table1[[#This Row],[Birthweight (grams)]]),ISNUMBER(Table1[[#This Row],[Gestation (days)]])),TRUE,FALSE)</f>
        <v>0</v>
      </c>
      <c r="E8782" s="2" t="str">
        <f>IF(Table1[[#This Row],[Is Data Valid]]=TRUE,IF(Table1[[#This Row],[Fetal Sex (Male, Female or Unknown)]]="Male",Backend!$C$6,IF(Table1[[#This Row],[Fetal Sex (Male, Female or Unknown)]]="Female",Backend!$C$7,IF(Table1[[#This Row],[Fetal Sex (Male, Female or Unknown)]]="Unknown",Backend!$C$8,"Error"))),"")</f>
        <v/>
      </c>
      <c r="F8782" s="8" t="str">
        <f>IF(Table1[[#This Row],[Is Data Valid]]=TRUE,EXP(0.578+0.332*((Table1[[#This Row],[Gestation (days)]]+0.5)/7)-0.00354*((Table1[[#This Row],[Gestation (days)]]+0.5)/7)^2)*Table1[[#This Row],[BW40_3705]],"")</f>
        <v/>
      </c>
      <c r="G8782" s="2" t="str">
        <f>IF(Table1[[#This Row],[Is Data Valid]]=TRUE,((Table1[[#This Row],[Birthweight (grams)]]/Table1[[#This Row],[BW_GA]])-1)/(Backend!$B$4/100*Table1[[#This Row],[BW40_3705]]),"")</f>
        <v/>
      </c>
      <c r="H8782" s="7" t="str">
        <f>IF(Table1[[#This Row],[Is Data Valid]]=TRUE,((Table1[[#This Row],[Birthweight (grams)]]*0.9/Table1[[#This Row],[BW_GA]])-1)/(Backend!$B$4/100*Table1[[#This Row],[BW40_3705]]),"")</f>
        <v/>
      </c>
      <c r="I8782" s="7" t="str">
        <f>IF(Table1[[#This Row],[Is Data Valid]]=TRUE,((Table1[[#This Row],[Birthweight (grams)]]*1.1/Table1[[#This Row],[BW_GA]])-1)/(Backend!$B$4/100*Table1[[#This Row],[BW40_3705]]),"")</f>
        <v/>
      </c>
      <c r="J8782" s="7" t="str">
        <f>IF(Table1[[#This Row],[Is Data Valid]]=TRUE,_xlfn.NORM.S.DIST(Table1[[#This Row],[Birthweight Z-Score]],TRUE)*100,"")</f>
        <v/>
      </c>
      <c r="K8782" s="7" t="str">
        <f>IF(Table1[[#This Row],[Is Data Valid]]=TRUE,_xlfn.NORM.S.DIST(Table1[[#This Row],[Birthweight Z-Score (BW-10%)]],TRUE)*100,"")</f>
        <v/>
      </c>
      <c r="L8782" s="7" t="str">
        <f>IF(Table1[[#This Row],[Is Data Valid]]=TRUE,_xlfn.NORM.S.DIST(Table1[[#This Row],[Birthweight Z-Score (BW+10%)]],TRUE)*100,"")</f>
        <v/>
      </c>
    </row>
    <row r="8783" spans="1:12" x14ac:dyDescent="0.35">
      <c r="A8783" s="3"/>
      <c r="B8783" s="2"/>
      <c r="C8783" s="2"/>
      <c r="D8783" s="2" t="b">
        <f>IF(AND(NOT(ISBLANK(Table1[[#This Row],[Fetal Sex (Male, Female or Unknown)]])),ISNUMBER(Table1[[#This Row],[Birthweight (grams)]]),ISNUMBER(Table1[[#This Row],[Gestation (days)]])),TRUE,FALSE)</f>
        <v>0</v>
      </c>
      <c r="E8783" s="2" t="str">
        <f>IF(Table1[[#This Row],[Is Data Valid]]=TRUE,IF(Table1[[#This Row],[Fetal Sex (Male, Female or Unknown)]]="Male",Backend!$C$6,IF(Table1[[#This Row],[Fetal Sex (Male, Female or Unknown)]]="Female",Backend!$C$7,IF(Table1[[#This Row],[Fetal Sex (Male, Female or Unknown)]]="Unknown",Backend!$C$8,"Error"))),"")</f>
        <v/>
      </c>
      <c r="F8783" s="8" t="str">
        <f>IF(Table1[[#This Row],[Is Data Valid]]=TRUE,EXP(0.578+0.332*((Table1[[#This Row],[Gestation (days)]]+0.5)/7)-0.00354*((Table1[[#This Row],[Gestation (days)]]+0.5)/7)^2)*Table1[[#This Row],[BW40_3705]],"")</f>
        <v/>
      </c>
      <c r="G8783" s="2" t="str">
        <f>IF(Table1[[#This Row],[Is Data Valid]]=TRUE,((Table1[[#This Row],[Birthweight (grams)]]/Table1[[#This Row],[BW_GA]])-1)/(Backend!$B$4/100*Table1[[#This Row],[BW40_3705]]),"")</f>
        <v/>
      </c>
      <c r="H8783" s="7" t="str">
        <f>IF(Table1[[#This Row],[Is Data Valid]]=TRUE,((Table1[[#This Row],[Birthweight (grams)]]*0.9/Table1[[#This Row],[BW_GA]])-1)/(Backend!$B$4/100*Table1[[#This Row],[BW40_3705]]),"")</f>
        <v/>
      </c>
      <c r="I8783" s="7" t="str">
        <f>IF(Table1[[#This Row],[Is Data Valid]]=TRUE,((Table1[[#This Row],[Birthweight (grams)]]*1.1/Table1[[#This Row],[BW_GA]])-1)/(Backend!$B$4/100*Table1[[#This Row],[BW40_3705]]),"")</f>
        <v/>
      </c>
      <c r="J8783" s="7" t="str">
        <f>IF(Table1[[#This Row],[Is Data Valid]]=TRUE,_xlfn.NORM.S.DIST(Table1[[#This Row],[Birthweight Z-Score]],TRUE)*100,"")</f>
        <v/>
      </c>
      <c r="K8783" s="7" t="str">
        <f>IF(Table1[[#This Row],[Is Data Valid]]=TRUE,_xlfn.NORM.S.DIST(Table1[[#This Row],[Birthweight Z-Score (BW-10%)]],TRUE)*100,"")</f>
        <v/>
      </c>
      <c r="L8783" s="7" t="str">
        <f>IF(Table1[[#This Row],[Is Data Valid]]=TRUE,_xlfn.NORM.S.DIST(Table1[[#This Row],[Birthweight Z-Score (BW+10%)]],TRUE)*100,"")</f>
        <v/>
      </c>
    </row>
    <row r="8784" spans="1:12" x14ac:dyDescent="0.35">
      <c r="A8784" s="3"/>
      <c r="B8784" s="2"/>
      <c r="C8784" s="2"/>
      <c r="D8784" s="2" t="b">
        <f>IF(AND(NOT(ISBLANK(Table1[[#This Row],[Fetal Sex (Male, Female or Unknown)]])),ISNUMBER(Table1[[#This Row],[Birthweight (grams)]]),ISNUMBER(Table1[[#This Row],[Gestation (days)]])),TRUE,FALSE)</f>
        <v>0</v>
      </c>
      <c r="E8784" s="2" t="str">
        <f>IF(Table1[[#This Row],[Is Data Valid]]=TRUE,IF(Table1[[#This Row],[Fetal Sex (Male, Female or Unknown)]]="Male",Backend!$C$6,IF(Table1[[#This Row],[Fetal Sex (Male, Female or Unknown)]]="Female",Backend!$C$7,IF(Table1[[#This Row],[Fetal Sex (Male, Female or Unknown)]]="Unknown",Backend!$C$8,"Error"))),"")</f>
        <v/>
      </c>
      <c r="F8784" s="8" t="str">
        <f>IF(Table1[[#This Row],[Is Data Valid]]=TRUE,EXP(0.578+0.332*((Table1[[#This Row],[Gestation (days)]]+0.5)/7)-0.00354*((Table1[[#This Row],[Gestation (days)]]+0.5)/7)^2)*Table1[[#This Row],[BW40_3705]],"")</f>
        <v/>
      </c>
      <c r="G8784" s="2" t="str">
        <f>IF(Table1[[#This Row],[Is Data Valid]]=TRUE,((Table1[[#This Row],[Birthweight (grams)]]/Table1[[#This Row],[BW_GA]])-1)/(Backend!$B$4/100*Table1[[#This Row],[BW40_3705]]),"")</f>
        <v/>
      </c>
      <c r="H8784" s="7" t="str">
        <f>IF(Table1[[#This Row],[Is Data Valid]]=TRUE,((Table1[[#This Row],[Birthweight (grams)]]*0.9/Table1[[#This Row],[BW_GA]])-1)/(Backend!$B$4/100*Table1[[#This Row],[BW40_3705]]),"")</f>
        <v/>
      </c>
      <c r="I8784" s="7" t="str">
        <f>IF(Table1[[#This Row],[Is Data Valid]]=TRUE,((Table1[[#This Row],[Birthweight (grams)]]*1.1/Table1[[#This Row],[BW_GA]])-1)/(Backend!$B$4/100*Table1[[#This Row],[BW40_3705]]),"")</f>
        <v/>
      </c>
      <c r="J8784" s="7" t="str">
        <f>IF(Table1[[#This Row],[Is Data Valid]]=TRUE,_xlfn.NORM.S.DIST(Table1[[#This Row],[Birthweight Z-Score]],TRUE)*100,"")</f>
        <v/>
      </c>
      <c r="K8784" s="7" t="str">
        <f>IF(Table1[[#This Row],[Is Data Valid]]=TRUE,_xlfn.NORM.S.DIST(Table1[[#This Row],[Birthweight Z-Score (BW-10%)]],TRUE)*100,"")</f>
        <v/>
      </c>
      <c r="L8784" s="7" t="str">
        <f>IF(Table1[[#This Row],[Is Data Valid]]=TRUE,_xlfn.NORM.S.DIST(Table1[[#This Row],[Birthweight Z-Score (BW+10%)]],TRUE)*100,"")</f>
        <v/>
      </c>
    </row>
    <row r="8785" spans="1:12" x14ac:dyDescent="0.35">
      <c r="A8785" s="3"/>
      <c r="B8785" s="2"/>
      <c r="C8785" s="2"/>
      <c r="D8785" s="2" t="b">
        <f>IF(AND(NOT(ISBLANK(Table1[[#This Row],[Fetal Sex (Male, Female or Unknown)]])),ISNUMBER(Table1[[#This Row],[Birthweight (grams)]]),ISNUMBER(Table1[[#This Row],[Gestation (days)]])),TRUE,FALSE)</f>
        <v>0</v>
      </c>
      <c r="E8785" s="2" t="str">
        <f>IF(Table1[[#This Row],[Is Data Valid]]=TRUE,IF(Table1[[#This Row],[Fetal Sex (Male, Female or Unknown)]]="Male",Backend!$C$6,IF(Table1[[#This Row],[Fetal Sex (Male, Female or Unknown)]]="Female",Backend!$C$7,IF(Table1[[#This Row],[Fetal Sex (Male, Female or Unknown)]]="Unknown",Backend!$C$8,"Error"))),"")</f>
        <v/>
      </c>
      <c r="F8785" s="8" t="str">
        <f>IF(Table1[[#This Row],[Is Data Valid]]=TRUE,EXP(0.578+0.332*((Table1[[#This Row],[Gestation (days)]]+0.5)/7)-0.00354*((Table1[[#This Row],[Gestation (days)]]+0.5)/7)^2)*Table1[[#This Row],[BW40_3705]],"")</f>
        <v/>
      </c>
      <c r="G8785" s="2" t="str">
        <f>IF(Table1[[#This Row],[Is Data Valid]]=TRUE,((Table1[[#This Row],[Birthweight (grams)]]/Table1[[#This Row],[BW_GA]])-1)/(Backend!$B$4/100*Table1[[#This Row],[BW40_3705]]),"")</f>
        <v/>
      </c>
      <c r="H8785" s="7" t="str">
        <f>IF(Table1[[#This Row],[Is Data Valid]]=TRUE,((Table1[[#This Row],[Birthweight (grams)]]*0.9/Table1[[#This Row],[BW_GA]])-1)/(Backend!$B$4/100*Table1[[#This Row],[BW40_3705]]),"")</f>
        <v/>
      </c>
      <c r="I8785" s="7" t="str">
        <f>IF(Table1[[#This Row],[Is Data Valid]]=TRUE,((Table1[[#This Row],[Birthweight (grams)]]*1.1/Table1[[#This Row],[BW_GA]])-1)/(Backend!$B$4/100*Table1[[#This Row],[BW40_3705]]),"")</f>
        <v/>
      </c>
      <c r="J8785" s="7" t="str">
        <f>IF(Table1[[#This Row],[Is Data Valid]]=TRUE,_xlfn.NORM.S.DIST(Table1[[#This Row],[Birthweight Z-Score]],TRUE)*100,"")</f>
        <v/>
      </c>
      <c r="K8785" s="7" t="str">
        <f>IF(Table1[[#This Row],[Is Data Valid]]=TRUE,_xlfn.NORM.S.DIST(Table1[[#This Row],[Birthweight Z-Score (BW-10%)]],TRUE)*100,"")</f>
        <v/>
      </c>
      <c r="L8785" s="7" t="str">
        <f>IF(Table1[[#This Row],[Is Data Valid]]=TRUE,_xlfn.NORM.S.DIST(Table1[[#This Row],[Birthweight Z-Score (BW+10%)]],TRUE)*100,"")</f>
        <v/>
      </c>
    </row>
    <row r="8786" spans="1:12" x14ac:dyDescent="0.35">
      <c r="A8786" s="3"/>
      <c r="B8786" s="2"/>
      <c r="C8786" s="2"/>
      <c r="D8786" s="2" t="b">
        <f>IF(AND(NOT(ISBLANK(Table1[[#This Row],[Fetal Sex (Male, Female or Unknown)]])),ISNUMBER(Table1[[#This Row],[Birthweight (grams)]]),ISNUMBER(Table1[[#This Row],[Gestation (days)]])),TRUE,FALSE)</f>
        <v>0</v>
      </c>
      <c r="E8786" s="2" t="str">
        <f>IF(Table1[[#This Row],[Is Data Valid]]=TRUE,IF(Table1[[#This Row],[Fetal Sex (Male, Female or Unknown)]]="Male",Backend!$C$6,IF(Table1[[#This Row],[Fetal Sex (Male, Female or Unknown)]]="Female",Backend!$C$7,IF(Table1[[#This Row],[Fetal Sex (Male, Female or Unknown)]]="Unknown",Backend!$C$8,"Error"))),"")</f>
        <v/>
      </c>
      <c r="F8786" s="8" t="str">
        <f>IF(Table1[[#This Row],[Is Data Valid]]=TRUE,EXP(0.578+0.332*((Table1[[#This Row],[Gestation (days)]]+0.5)/7)-0.00354*((Table1[[#This Row],[Gestation (days)]]+0.5)/7)^2)*Table1[[#This Row],[BW40_3705]],"")</f>
        <v/>
      </c>
      <c r="G8786" s="2" t="str">
        <f>IF(Table1[[#This Row],[Is Data Valid]]=TRUE,((Table1[[#This Row],[Birthweight (grams)]]/Table1[[#This Row],[BW_GA]])-1)/(Backend!$B$4/100*Table1[[#This Row],[BW40_3705]]),"")</f>
        <v/>
      </c>
      <c r="H8786" s="7" t="str">
        <f>IF(Table1[[#This Row],[Is Data Valid]]=TRUE,((Table1[[#This Row],[Birthweight (grams)]]*0.9/Table1[[#This Row],[BW_GA]])-1)/(Backend!$B$4/100*Table1[[#This Row],[BW40_3705]]),"")</f>
        <v/>
      </c>
      <c r="I8786" s="7" t="str">
        <f>IF(Table1[[#This Row],[Is Data Valid]]=TRUE,((Table1[[#This Row],[Birthweight (grams)]]*1.1/Table1[[#This Row],[BW_GA]])-1)/(Backend!$B$4/100*Table1[[#This Row],[BW40_3705]]),"")</f>
        <v/>
      </c>
      <c r="J8786" s="7" t="str">
        <f>IF(Table1[[#This Row],[Is Data Valid]]=TRUE,_xlfn.NORM.S.DIST(Table1[[#This Row],[Birthweight Z-Score]],TRUE)*100,"")</f>
        <v/>
      </c>
      <c r="K8786" s="7" t="str">
        <f>IF(Table1[[#This Row],[Is Data Valid]]=TRUE,_xlfn.NORM.S.DIST(Table1[[#This Row],[Birthweight Z-Score (BW-10%)]],TRUE)*100,"")</f>
        <v/>
      </c>
      <c r="L8786" s="7" t="str">
        <f>IF(Table1[[#This Row],[Is Data Valid]]=TRUE,_xlfn.NORM.S.DIST(Table1[[#This Row],[Birthweight Z-Score (BW+10%)]],TRUE)*100,"")</f>
        <v/>
      </c>
    </row>
    <row r="8787" spans="1:12" x14ac:dyDescent="0.35">
      <c r="A8787" s="3"/>
      <c r="B8787" s="2"/>
      <c r="C8787" s="2"/>
      <c r="D8787" s="2" t="b">
        <f>IF(AND(NOT(ISBLANK(Table1[[#This Row],[Fetal Sex (Male, Female or Unknown)]])),ISNUMBER(Table1[[#This Row],[Birthweight (grams)]]),ISNUMBER(Table1[[#This Row],[Gestation (days)]])),TRUE,FALSE)</f>
        <v>0</v>
      </c>
      <c r="E8787" s="2" t="str">
        <f>IF(Table1[[#This Row],[Is Data Valid]]=TRUE,IF(Table1[[#This Row],[Fetal Sex (Male, Female or Unknown)]]="Male",Backend!$C$6,IF(Table1[[#This Row],[Fetal Sex (Male, Female or Unknown)]]="Female",Backend!$C$7,IF(Table1[[#This Row],[Fetal Sex (Male, Female or Unknown)]]="Unknown",Backend!$C$8,"Error"))),"")</f>
        <v/>
      </c>
      <c r="F8787" s="8" t="str">
        <f>IF(Table1[[#This Row],[Is Data Valid]]=TRUE,EXP(0.578+0.332*((Table1[[#This Row],[Gestation (days)]]+0.5)/7)-0.00354*((Table1[[#This Row],[Gestation (days)]]+0.5)/7)^2)*Table1[[#This Row],[BW40_3705]],"")</f>
        <v/>
      </c>
      <c r="G8787" s="2" t="str">
        <f>IF(Table1[[#This Row],[Is Data Valid]]=TRUE,((Table1[[#This Row],[Birthweight (grams)]]/Table1[[#This Row],[BW_GA]])-1)/(Backend!$B$4/100*Table1[[#This Row],[BW40_3705]]),"")</f>
        <v/>
      </c>
      <c r="H8787" s="7" t="str">
        <f>IF(Table1[[#This Row],[Is Data Valid]]=TRUE,((Table1[[#This Row],[Birthweight (grams)]]*0.9/Table1[[#This Row],[BW_GA]])-1)/(Backend!$B$4/100*Table1[[#This Row],[BW40_3705]]),"")</f>
        <v/>
      </c>
      <c r="I8787" s="7" t="str">
        <f>IF(Table1[[#This Row],[Is Data Valid]]=TRUE,((Table1[[#This Row],[Birthweight (grams)]]*1.1/Table1[[#This Row],[BW_GA]])-1)/(Backend!$B$4/100*Table1[[#This Row],[BW40_3705]]),"")</f>
        <v/>
      </c>
      <c r="J8787" s="7" t="str">
        <f>IF(Table1[[#This Row],[Is Data Valid]]=TRUE,_xlfn.NORM.S.DIST(Table1[[#This Row],[Birthweight Z-Score]],TRUE)*100,"")</f>
        <v/>
      </c>
      <c r="K8787" s="7" t="str">
        <f>IF(Table1[[#This Row],[Is Data Valid]]=TRUE,_xlfn.NORM.S.DIST(Table1[[#This Row],[Birthweight Z-Score (BW-10%)]],TRUE)*100,"")</f>
        <v/>
      </c>
      <c r="L8787" s="7" t="str">
        <f>IF(Table1[[#This Row],[Is Data Valid]]=TRUE,_xlfn.NORM.S.DIST(Table1[[#This Row],[Birthweight Z-Score (BW+10%)]],TRUE)*100,"")</f>
        <v/>
      </c>
    </row>
    <row r="8788" spans="1:12" x14ac:dyDescent="0.35">
      <c r="A8788" s="3"/>
      <c r="B8788" s="2"/>
      <c r="C8788" s="2"/>
      <c r="D8788" s="2" t="b">
        <f>IF(AND(NOT(ISBLANK(Table1[[#This Row],[Fetal Sex (Male, Female or Unknown)]])),ISNUMBER(Table1[[#This Row],[Birthweight (grams)]]),ISNUMBER(Table1[[#This Row],[Gestation (days)]])),TRUE,FALSE)</f>
        <v>0</v>
      </c>
      <c r="E8788" s="2" t="str">
        <f>IF(Table1[[#This Row],[Is Data Valid]]=TRUE,IF(Table1[[#This Row],[Fetal Sex (Male, Female or Unknown)]]="Male",Backend!$C$6,IF(Table1[[#This Row],[Fetal Sex (Male, Female or Unknown)]]="Female",Backend!$C$7,IF(Table1[[#This Row],[Fetal Sex (Male, Female or Unknown)]]="Unknown",Backend!$C$8,"Error"))),"")</f>
        <v/>
      </c>
      <c r="F8788" s="8" t="str">
        <f>IF(Table1[[#This Row],[Is Data Valid]]=TRUE,EXP(0.578+0.332*((Table1[[#This Row],[Gestation (days)]]+0.5)/7)-0.00354*((Table1[[#This Row],[Gestation (days)]]+0.5)/7)^2)*Table1[[#This Row],[BW40_3705]],"")</f>
        <v/>
      </c>
      <c r="G8788" s="2" t="str">
        <f>IF(Table1[[#This Row],[Is Data Valid]]=TRUE,((Table1[[#This Row],[Birthweight (grams)]]/Table1[[#This Row],[BW_GA]])-1)/(Backend!$B$4/100*Table1[[#This Row],[BW40_3705]]),"")</f>
        <v/>
      </c>
      <c r="H8788" s="7" t="str">
        <f>IF(Table1[[#This Row],[Is Data Valid]]=TRUE,((Table1[[#This Row],[Birthweight (grams)]]*0.9/Table1[[#This Row],[BW_GA]])-1)/(Backend!$B$4/100*Table1[[#This Row],[BW40_3705]]),"")</f>
        <v/>
      </c>
      <c r="I8788" s="7" t="str">
        <f>IF(Table1[[#This Row],[Is Data Valid]]=TRUE,((Table1[[#This Row],[Birthweight (grams)]]*1.1/Table1[[#This Row],[BW_GA]])-1)/(Backend!$B$4/100*Table1[[#This Row],[BW40_3705]]),"")</f>
        <v/>
      </c>
      <c r="J8788" s="7" t="str">
        <f>IF(Table1[[#This Row],[Is Data Valid]]=TRUE,_xlfn.NORM.S.DIST(Table1[[#This Row],[Birthweight Z-Score]],TRUE)*100,"")</f>
        <v/>
      </c>
      <c r="K8788" s="7" t="str">
        <f>IF(Table1[[#This Row],[Is Data Valid]]=TRUE,_xlfn.NORM.S.DIST(Table1[[#This Row],[Birthweight Z-Score (BW-10%)]],TRUE)*100,"")</f>
        <v/>
      </c>
      <c r="L8788" s="7" t="str">
        <f>IF(Table1[[#This Row],[Is Data Valid]]=TRUE,_xlfn.NORM.S.DIST(Table1[[#This Row],[Birthweight Z-Score (BW+10%)]],TRUE)*100,"")</f>
        <v/>
      </c>
    </row>
    <row r="8789" spans="1:12" x14ac:dyDescent="0.35">
      <c r="A8789" s="3"/>
      <c r="B8789" s="2"/>
      <c r="C8789" s="2"/>
      <c r="D8789" s="2" t="b">
        <f>IF(AND(NOT(ISBLANK(Table1[[#This Row],[Fetal Sex (Male, Female or Unknown)]])),ISNUMBER(Table1[[#This Row],[Birthweight (grams)]]),ISNUMBER(Table1[[#This Row],[Gestation (days)]])),TRUE,FALSE)</f>
        <v>0</v>
      </c>
      <c r="E8789" s="2" t="str">
        <f>IF(Table1[[#This Row],[Is Data Valid]]=TRUE,IF(Table1[[#This Row],[Fetal Sex (Male, Female or Unknown)]]="Male",Backend!$C$6,IF(Table1[[#This Row],[Fetal Sex (Male, Female or Unknown)]]="Female",Backend!$C$7,IF(Table1[[#This Row],[Fetal Sex (Male, Female or Unknown)]]="Unknown",Backend!$C$8,"Error"))),"")</f>
        <v/>
      </c>
      <c r="F8789" s="8" t="str">
        <f>IF(Table1[[#This Row],[Is Data Valid]]=TRUE,EXP(0.578+0.332*((Table1[[#This Row],[Gestation (days)]]+0.5)/7)-0.00354*((Table1[[#This Row],[Gestation (days)]]+0.5)/7)^2)*Table1[[#This Row],[BW40_3705]],"")</f>
        <v/>
      </c>
      <c r="G8789" s="2" t="str">
        <f>IF(Table1[[#This Row],[Is Data Valid]]=TRUE,((Table1[[#This Row],[Birthweight (grams)]]/Table1[[#This Row],[BW_GA]])-1)/(Backend!$B$4/100*Table1[[#This Row],[BW40_3705]]),"")</f>
        <v/>
      </c>
      <c r="H8789" s="7" t="str">
        <f>IF(Table1[[#This Row],[Is Data Valid]]=TRUE,((Table1[[#This Row],[Birthweight (grams)]]*0.9/Table1[[#This Row],[BW_GA]])-1)/(Backend!$B$4/100*Table1[[#This Row],[BW40_3705]]),"")</f>
        <v/>
      </c>
      <c r="I8789" s="7" t="str">
        <f>IF(Table1[[#This Row],[Is Data Valid]]=TRUE,((Table1[[#This Row],[Birthweight (grams)]]*1.1/Table1[[#This Row],[BW_GA]])-1)/(Backend!$B$4/100*Table1[[#This Row],[BW40_3705]]),"")</f>
        <v/>
      </c>
      <c r="J8789" s="7" t="str">
        <f>IF(Table1[[#This Row],[Is Data Valid]]=TRUE,_xlfn.NORM.S.DIST(Table1[[#This Row],[Birthweight Z-Score]],TRUE)*100,"")</f>
        <v/>
      </c>
      <c r="K8789" s="7" t="str">
        <f>IF(Table1[[#This Row],[Is Data Valid]]=TRUE,_xlfn.NORM.S.DIST(Table1[[#This Row],[Birthweight Z-Score (BW-10%)]],TRUE)*100,"")</f>
        <v/>
      </c>
      <c r="L8789" s="7" t="str">
        <f>IF(Table1[[#This Row],[Is Data Valid]]=TRUE,_xlfn.NORM.S.DIST(Table1[[#This Row],[Birthweight Z-Score (BW+10%)]],TRUE)*100,"")</f>
        <v/>
      </c>
    </row>
    <row r="8790" spans="1:12" x14ac:dyDescent="0.35">
      <c r="A8790" s="3"/>
      <c r="B8790" s="2"/>
      <c r="C8790" s="2"/>
      <c r="D8790" s="2" t="b">
        <f>IF(AND(NOT(ISBLANK(Table1[[#This Row],[Fetal Sex (Male, Female or Unknown)]])),ISNUMBER(Table1[[#This Row],[Birthweight (grams)]]),ISNUMBER(Table1[[#This Row],[Gestation (days)]])),TRUE,FALSE)</f>
        <v>0</v>
      </c>
      <c r="E8790" s="2" t="str">
        <f>IF(Table1[[#This Row],[Is Data Valid]]=TRUE,IF(Table1[[#This Row],[Fetal Sex (Male, Female or Unknown)]]="Male",Backend!$C$6,IF(Table1[[#This Row],[Fetal Sex (Male, Female or Unknown)]]="Female",Backend!$C$7,IF(Table1[[#This Row],[Fetal Sex (Male, Female or Unknown)]]="Unknown",Backend!$C$8,"Error"))),"")</f>
        <v/>
      </c>
      <c r="F8790" s="8" t="str">
        <f>IF(Table1[[#This Row],[Is Data Valid]]=TRUE,EXP(0.578+0.332*((Table1[[#This Row],[Gestation (days)]]+0.5)/7)-0.00354*((Table1[[#This Row],[Gestation (days)]]+0.5)/7)^2)*Table1[[#This Row],[BW40_3705]],"")</f>
        <v/>
      </c>
      <c r="G8790" s="2" t="str">
        <f>IF(Table1[[#This Row],[Is Data Valid]]=TRUE,((Table1[[#This Row],[Birthweight (grams)]]/Table1[[#This Row],[BW_GA]])-1)/(Backend!$B$4/100*Table1[[#This Row],[BW40_3705]]),"")</f>
        <v/>
      </c>
      <c r="H8790" s="7" t="str">
        <f>IF(Table1[[#This Row],[Is Data Valid]]=TRUE,((Table1[[#This Row],[Birthweight (grams)]]*0.9/Table1[[#This Row],[BW_GA]])-1)/(Backend!$B$4/100*Table1[[#This Row],[BW40_3705]]),"")</f>
        <v/>
      </c>
      <c r="I8790" s="7" t="str">
        <f>IF(Table1[[#This Row],[Is Data Valid]]=TRUE,((Table1[[#This Row],[Birthweight (grams)]]*1.1/Table1[[#This Row],[BW_GA]])-1)/(Backend!$B$4/100*Table1[[#This Row],[BW40_3705]]),"")</f>
        <v/>
      </c>
      <c r="J8790" s="7" t="str">
        <f>IF(Table1[[#This Row],[Is Data Valid]]=TRUE,_xlfn.NORM.S.DIST(Table1[[#This Row],[Birthweight Z-Score]],TRUE)*100,"")</f>
        <v/>
      </c>
      <c r="K8790" s="7" t="str">
        <f>IF(Table1[[#This Row],[Is Data Valid]]=TRUE,_xlfn.NORM.S.DIST(Table1[[#This Row],[Birthweight Z-Score (BW-10%)]],TRUE)*100,"")</f>
        <v/>
      </c>
      <c r="L8790" s="7" t="str">
        <f>IF(Table1[[#This Row],[Is Data Valid]]=TRUE,_xlfn.NORM.S.DIST(Table1[[#This Row],[Birthweight Z-Score (BW+10%)]],TRUE)*100,"")</f>
        <v/>
      </c>
    </row>
    <row r="8791" spans="1:12" x14ac:dyDescent="0.35">
      <c r="A8791" s="3"/>
      <c r="B8791" s="2"/>
      <c r="C8791" s="2"/>
      <c r="D8791" s="2" t="b">
        <f>IF(AND(NOT(ISBLANK(Table1[[#This Row],[Fetal Sex (Male, Female or Unknown)]])),ISNUMBER(Table1[[#This Row],[Birthweight (grams)]]),ISNUMBER(Table1[[#This Row],[Gestation (days)]])),TRUE,FALSE)</f>
        <v>0</v>
      </c>
      <c r="E8791" s="2" t="str">
        <f>IF(Table1[[#This Row],[Is Data Valid]]=TRUE,IF(Table1[[#This Row],[Fetal Sex (Male, Female or Unknown)]]="Male",Backend!$C$6,IF(Table1[[#This Row],[Fetal Sex (Male, Female or Unknown)]]="Female",Backend!$C$7,IF(Table1[[#This Row],[Fetal Sex (Male, Female or Unknown)]]="Unknown",Backend!$C$8,"Error"))),"")</f>
        <v/>
      </c>
      <c r="F8791" s="8" t="str">
        <f>IF(Table1[[#This Row],[Is Data Valid]]=TRUE,EXP(0.578+0.332*((Table1[[#This Row],[Gestation (days)]]+0.5)/7)-0.00354*((Table1[[#This Row],[Gestation (days)]]+0.5)/7)^2)*Table1[[#This Row],[BW40_3705]],"")</f>
        <v/>
      </c>
      <c r="G8791" s="2" t="str">
        <f>IF(Table1[[#This Row],[Is Data Valid]]=TRUE,((Table1[[#This Row],[Birthweight (grams)]]/Table1[[#This Row],[BW_GA]])-1)/(Backend!$B$4/100*Table1[[#This Row],[BW40_3705]]),"")</f>
        <v/>
      </c>
      <c r="H8791" s="7" t="str">
        <f>IF(Table1[[#This Row],[Is Data Valid]]=TRUE,((Table1[[#This Row],[Birthweight (grams)]]*0.9/Table1[[#This Row],[BW_GA]])-1)/(Backend!$B$4/100*Table1[[#This Row],[BW40_3705]]),"")</f>
        <v/>
      </c>
      <c r="I8791" s="7" t="str">
        <f>IF(Table1[[#This Row],[Is Data Valid]]=TRUE,((Table1[[#This Row],[Birthweight (grams)]]*1.1/Table1[[#This Row],[BW_GA]])-1)/(Backend!$B$4/100*Table1[[#This Row],[BW40_3705]]),"")</f>
        <v/>
      </c>
      <c r="J8791" s="7" t="str">
        <f>IF(Table1[[#This Row],[Is Data Valid]]=TRUE,_xlfn.NORM.S.DIST(Table1[[#This Row],[Birthweight Z-Score]],TRUE)*100,"")</f>
        <v/>
      </c>
      <c r="K8791" s="7" t="str">
        <f>IF(Table1[[#This Row],[Is Data Valid]]=TRUE,_xlfn.NORM.S.DIST(Table1[[#This Row],[Birthweight Z-Score (BW-10%)]],TRUE)*100,"")</f>
        <v/>
      </c>
      <c r="L8791" s="7" t="str">
        <f>IF(Table1[[#This Row],[Is Data Valid]]=TRUE,_xlfn.NORM.S.DIST(Table1[[#This Row],[Birthweight Z-Score (BW+10%)]],TRUE)*100,"")</f>
        <v/>
      </c>
    </row>
    <row r="8792" spans="1:12" x14ac:dyDescent="0.35">
      <c r="A8792" s="3"/>
      <c r="B8792" s="2"/>
      <c r="C8792" s="2"/>
      <c r="D8792" s="2" t="b">
        <f>IF(AND(NOT(ISBLANK(Table1[[#This Row],[Fetal Sex (Male, Female or Unknown)]])),ISNUMBER(Table1[[#This Row],[Birthweight (grams)]]),ISNUMBER(Table1[[#This Row],[Gestation (days)]])),TRUE,FALSE)</f>
        <v>0</v>
      </c>
      <c r="E8792" s="2" t="str">
        <f>IF(Table1[[#This Row],[Is Data Valid]]=TRUE,IF(Table1[[#This Row],[Fetal Sex (Male, Female or Unknown)]]="Male",Backend!$C$6,IF(Table1[[#This Row],[Fetal Sex (Male, Female or Unknown)]]="Female",Backend!$C$7,IF(Table1[[#This Row],[Fetal Sex (Male, Female or Unknown)]]="Unknown",Backend!$C$8,"Error"))),"")</f>
        <v/>
      </c>
      <c r="F8792" s="8" t="str">
        <f>IF(Table1[[#This Row],[Is Data Valid]]=TRUE,EXP(0.578+0.332*((Table1[[#This Row],[Gestation (days)]]+0.5)/7)-0.00354*((Table1[[#This Row],[Gestation (days)]]+0.5)/7)^2)*Table1[[#This Row],[BW40_3705]],"")</f>
        <v/>
      </c>
      <c r="G8792" s="2" t="str">
        <f>IF(Table1[[#This Row],[Is Data Valid]]=TRUE,((Table1[[#This Row],[Birthweight (grams)]]/Table1[[#This Row],[BW_GA]])-1)/(Backend!$B$4/100*Table1[[#This Row],[BW40_3705]]),"")</f>
        <v/>
      </c>
      <c r="H8792" s="7" t="str">
        <f>IF(Table1[[#This Row],[Is Data Valid]]=TRUE,((Table1[[#This Row],[Birthweight (grams)]]*0.9/Table1[[#This Row],[BW_GA]])-1)/(Backend!$B$4/100*Table1[[#This Row],[BW40_3705]]),"")</f>
        <v/>
      </c>
      <c r="I8792" s="7" t="str">
        <f>IF(Table1[[#This Row],[Is Data Valid]]=TRUE,((Table1[[#This Row],[Birthweight (grams)]]*1.1/Table1[[#This Row],[BW_GA]])-1)/(Backend!$B$4/100*Table1[[#This Row],[BW40_3705]]),"")</f>
        <v/>
      </c>
      <c r="J8792" s="7" t="str">
        <f>IF(Table1[[#This Row],[Is Data Valid]]=TRUE,_xlfn.NORM.S.DIST(Table1[[#This Row],[Birthweight Z-Score]],TRUE)*100,"")</f>
        <v/>
      </c>
      <c r="K8792" s="7" t="str">
        <f>IF(Table1[[#This Row],[Is Data Valid]]=TRUE,_xlfn.NORM.S.DIST(Table1[[#This Row],[Birthweight Z-Score (BW-10%)]],TRUE)*100,"")</f>
        <v/>
      </c>
      <c r="L8792" s="7" t="str">
        <f>IF(Table1[[#This Row],[Is Data Valid]]=TRUE,_xlfn.NORM.S.DIST(Table1[[#This Row],[Birthweight Z-Score (BW+10%)]],TRUE)*100,"")</f>
        <v/>
      </c>
    </row>
    <row r="8793" spans="1:12" x14ac:dyDescent="0.35">
      <c r="A8793" s="3"/>
      <c r="B8793" s="2"/>
      <c r="C8793" s="2"/>
      <c r="D8793" s="2" t="b">
        <f>IF(AND(NOT(ISBLANK(Table1[[#This Row],[Fetal Sex (Male, Female or Unknown)]])),ISNUMBER(Table1[[#This Row],[Birthweight (grams)]]),ISNUMBER(Table1[[#This Row],[Gestation (days)]])),TRUE,FALSE)</f>
        <v>0</v>
      </c>
      <c r="E8793" s="2" t="str">
        <f>IF(Table1[[#This Row],[Is Data Valid]]=TRUE,IF(Table1[[#This Row],[Fetal Sex (Male, Female or Unknown)]]="Male",Backend!$C$6,IF(Table1[[#This Row],[Fetal Sex (Male, Female or Unknown)]]="Female",Backend!$C$7,IF(Table1[[#This Row],[Fetal Sex (Male, Female or Unknown)]]="Unknown",Backend!$C$8,"Error"))),"")</f>
        <v/>
      </c>
      <c r="F8793" s="8" t="str">
        <f>IF(Table1[[#This Row],[Is Data Valid]]=TRUE,EXP(0.578+0.332*((Table1[[#This Row],[Gestation (days)]]+0.5)/7)-0.00354*((Table1[[#This Row],[Gestation (days)]]+0.5)/7)^2)*Table1[[#This Row],[BW40_3705]],"")</f>
        <v/>
      </c>
      <c r="G8793" s="2" t="str">
        <f>IF(Table1[[#This Row],[Is Data Valid]]=TRUE,((Table1[[#This Row],[Birthweight (grams)]]/Table1[[#This Row],[BW_GA]])-1)/(Backend!$B$4/100*Table1[[#This Row],[BW40_3705]]),"")</f>
        <v/>
      </c>
      <c r="H8793" s="7" t="str">
        <f>IF(Table1[[#This Row],[Is Data Valid]]=TRUE,((Table1[[#This Row],[Birthweight (grams)]]*0.9/Table1[[#This Row],[BW_GA]])-1)/(Backend!$B$4/100*Table1[[#This Row],[BW40_3705]]),"")</f>
        <v/>
      </c>
      <c r="I8793" s="7" t="str">
        <f>IF(Table1[[#This Row],[Is Data Valid]]=TRUE,((Table1[[#This Row],[Birthweight (grams)]]*1.1/Table1[[#This Row],[BW_GA]])-1)/(Backend!$B$4/100*Table1[[#This Row],[BW40_3705]]),"")</f>
        <v/>
      </c>
      <c r="J8793" s="7" t="str">
        <f>IF(Table1[[#This Row],[Is Data Valid]]=TRUE,_xlfn.NORM.S.DIST(Table1[[#This Row],[Birthweight Z-Score]],TRUE)*100,"")</f>
        <v/>
      </c>
      <c r="K8793" s="7" t="str">
        <f>IF(Table1[[#This Row],[Is Data Valid]]=TRUE,_xlfn.NORM.S.DIST(Table1[[#This Row],[Birthweight Z-Score (BW-10%)]],TRUE)*100,"")</f>
        <v/>
      </c>
      <c r="L8793" s="7" t="str">
        <f>IF(Table1[[#This Row],[Is Data Valid]]=TRUE,_xlfn.NORM.S.DIST(Table1[[#This Row],[Birthweight Z-Score (BW+10%)]],TRUE)*100,"")</f>
        <v/>
      </c>
    </row>
    <row r="8794" spans="1:12" x14ac:dyDescent="0.35">
      <c r="A8794" s="3"/>
      <c r="B8794" s="2"/>
      <c r="C8794" s="2"/>
      <c r="D8794" s="2" t="b">
        <f>IF(AND(NOT(ISBLANK(Table1[[#This Row],[Fetal Sex (Male, Female or Unknown)]])),ISNUMBER(Table1[[#This Row],[Birthweight (grams)]]),ISNUMBER(Table1[[#This Row],[Gestation (days)]])),TRUE,FALSE)</f>
        <v>0</v>
      </c>
      <c r="E8794" s="2" t="str">
        <f>IF(Table1[[#This Row],[Is Data Valid]]=TRUE,IF(Table1[[#This Row],[Fetal Sex (Male, Female or Unknown)]]="Male",Backend!$C$6,IF(Table1[[#This Row],[Fetal Sex (Male, Female or Unknown)]]="Female",Backend!$C$7,IF(Table1[[#This Row],[Fetal Sex (Male, Female or Unknown)]]="Unknown",Backend!$C$8,"Error"))),"")</f>
        <v/>
      </c>
      <c r="F8794" s="8" t="str">
        <f>IF(Table1[[#This Row],[Is Data Valid]]=TRUE,EXP(0.578+0.332*((Table1[[#This Row],[Gestation (days)]]+0.5)/7)-0.00354*((Table1[[#This Row],[Gestation (days)]]+0.5)/7)^2)*Table1[[#This Row],[BW40_3705]],"")</f>
        <v/>
      </c>
      <c r="G8794" s="2" t="str">
        <f>IF(Table1[[#This Row],[Is Data Valid]]=TRUE,((Table1[[#This Row],[Birthweight (grams)]]/Table1[[#This Row],[BW_GA]])-1)/(Backend!$B$4/100*Table1[[#This Row],[BW40_3705]]),"")</f>
        <v/>
      </c>
      <c r="H8794" s="7" t="str">
        <f>IF(Table1[[#This Row],[Is Data Valid]]=TRUE,((Table1[[#This Row],[Birthweight (grams)]]*0.9/Table1[[#This Row],[BW_GA]])-1)/(Backend!$B$4/100*Table1[[#This Row],[BW40_3705]]),"")</f>
        <v/>
      </c>
      <c r="I8794" s="7" t="str">
        <f>IF(Table1[[#This Row],[Is Data Valid]]=TRUE,((Table1[[#This Row],[Birthweight (grams)]]*1.1/Table1[[#This Row],[BW_GA]])-1)/(Backend!$B$4/100*Table1[[#This Row],[BW40_3705]]),"")</f>
        <v/>
      </c>
      <c r="J8794" s="7" t="str">
        <f>IF(Table1[[#This Row],[Is Data Valid]]=TRUE,_xlfn.NORM.S.DIST(Table1[[#This Row],[Birthweight Z-Score]],TRUE)*100,"")</f>
        <v/>
      </c>
      <c r="K8794" s="7" t="str">
        <f>IF(Table1[[#This Row],[Is Data Valid]]=TRUE,_xlfn.NORM.S.DIST(Table1[[#This Row],[Birthweight Z-Score (BW-10%)]],TRUE)*100,"")</f>
        <v/>
      </c>
      <c r="L8794" s="7" t="str">
        <f>IF(Table1[[#This Row],[Is Data Valid]]=TRUE,_xlfn.NORM.S.DIST(Table1[[#This Row],[Birthweight Z-Score (BW+10%)]],TRUE)*100,"")</f>
        <v/>
      </c>
    </row>
    <row r="8795" spans="1:12" x14ac:dyDescent="0.35">
      <c r="A8795" s="3"/>
      <c r="B8795" s="2"/>
      <c r="C8795" s="2"/>
      <c r="D8795" s="2" t="b">
        <f>IF(AND(NOT(ISBLANK(Table1[[#This Row],[Fetal Sex (Male, Female or Unknown)]])),ISNUMBER(Table1[[#This Row],[Birthweight (grams)]]),ISNUMBER(Table1[[#This Row],[Gestation (days)]])),TRUE,FALSE)</f>
        <v>0</v>
      </c>
      <c r="E8795" s="2" t="str">
        <f>IF(Table1[[#This Row],[Is Data Valid]]=TRUE,IF(Table1[[#This Row],[Fetal Sex (Male, Female or Unknown)]]="Male",Backend!$C$6,IF(Table1[[#This Row],[Fetal Sex (Male, Female or Unknown)]]="Female",Backend!$C$7,IF(Table1[[#This Row],[Fetal Sex (Male, Female or Unknown)]]="Unknown",Backend!$C$8,"Error"))),"")</f>
        <v/>
      </c>
      <c r="F8795" s="8" t="str">
        <f>IF(Table1[[#This Row],[Is Data Valid]]=TRUE,EXP(0.578+0.332*((Table1[[#This Row],[Gestation (days)]]+0.5)/7)-0.00354*((Table1[[#This Row],[Gestation (days)]]+0.5)/7)^2)*Table1[[#This Row],[BW40_3705]],"")</f>
        <v/>
      </c>
      <c r="G8795" s="2" t="str">
        <f>IF(Table1[[#This Row],[Is Data Valid]]=TRUE,((Table1[[#This Row],[Birthweight (grams)]]/Table1[[#This Row],[BW_GA]])-1)/(Backend!$B$4/100*Table1[[#This Row],[BW40_3705]]),"")</f>
        <v/>
      </c>
      <c r="H8795" s="7" t="str">
        <f>IF(Table1[[#This Row],[Is Data Valid]]=TRUE,((Table1[[#This Row],[Birthweight (grams)]]*0.9/Table1[[#This Row],[BW_GA]])-1)/(Backend!$B$4/100*Table1[[#This Row],[BW40_3705]]),"")</f>
        <v/>
      </c>
      <c r="I8795" s="7" t="str">
        <f>IF(Table1[[#This Row],[Is Data Valid]]=TRUE,((Table1[[#This Row],[Birthweight (grams)]]*1.1/Table1[[#This Row],[BW_GA]])-1)/(Backend!$B$4/100*Table1[[#This Row],[BW40_3705]]),"")</f>
        <v/>
      </c>
      <c r="J8795" s="7" t="str">
        <f>IF(Table1[[#This Row],[Is Data Valid]]=TRUE,_xlfn.NORM.S.DIST(Table1[[#This Row],[Birthweight Z-Score]],TRUE)*100,"")</f>
        <v/>
      </c>
      <c r="K8795" s="7" t="str">
        <f>IF(Table1[[#This Row],[Is Data Valid]]=TRUE,_xlfn.NORM.S.DIST(Table1[[#This Row],[Birthweight Z-Score (BW-10%)]],TRUE)*100,"")</f>
        <v/>
      </c>
      <c r="L8795" s="7" t="str">
        <f>IF(Table1[[#This Row],[Is Data Valid]]=TRUE,_xlfn.NORM.S.DIST(Table1[[#This Row],[Birthweight Z-Score (BW+10%)]],TRUE)*100,"")</f>
        <v/>
      </c>
    </row>
    <row r="8796" spans="1:12" x14ac:dyDescent="0.35">
      <c r="A8796" s="3"/>
      <c r="B8796" s="2"/>
      <c r="C8796" s="2"/>
      <c r="D8796" s="2" t="b">
        <f>IF(AND(NOT(ISBLANK(Table1[[#This Row],[Fetal Sex (Male, Female or Unknown)]])),ISNUMBER(Table1[[#This Row],[Birthweight (grams)]]),ISNUMBER(Table1[[#This Row],[Gestation (days)]])),TRUE,FALSE)</f>
        <v>0</v>
      </c>
      <c r="E8796" s="2" t="str">
        <f>IF(Table1[[#This Row],[Is Data Valid]]=TRUE,IF(Table1[[#This Row],[Fetal Sex (Male, Female or Unknown)]]="Male",Backend!$C$6,IF(Table1[[#This Row],[Fetal Sex (Male, Female or Unknown)]]="Female",Backend!$C$7,IF(Table1[[#This Row],[Fetal Sex (Male, Female or Unknown)]]="Unknown",Backend!$C$8,"Error"))),"")</f>
        <v/>
      </c>
      <c r="F8796" s="8" t="str">
        <f>IF(Table1[[#This Row],[Is Data Valid]]=TRUE,EXP(0.578+0.332*((Table1[[#This Row],[Gestation (days)]]+0.5)/7)-0.00354*((Table1[[#This Row],[Gestation (days)]]+0.5)/7)^2)*Table1[[#This Row],[BW40_3705]],"")</f>
        <v/>
      </c>
      <c r="G8796" s="2" t="str">
        <f>IF(Table1[[#This Row],[Is Data Valid]]=TRUE,((Table1[[#This Row],[Birthweight (grams)]]/Table1[[#This Row],[BW_GA]])-1)/(Backend!$B$4/100*Table1[[#This Row],[BW40_3705]]),"")</f>
        <v/>
      </c>
      <c r="H8796" s="7" t="str">
        <f>IF(Table1[[#This Row],[Is Data Valid]]=TRUE,((Table1[[#This Row],[Birthweight (grams)]]*0.9/Table1[[#This Row],[BW_GA]])-1)/(Backend!$B$4/100*Table1[[#This Row],[BW40_3705]]),"")</f>
        <v/>
      </c>
      <c r="I8796" s="7" t="str">
        <f>IF(Table1[[#This Row],[Is Data Valid]]=TRUE,((Table1[[#This Row],[Birthweight (grams)]]*1.1/Table1[[#This Row],[BW_GA]])-1)/(Backend!$B$4/100*Table1[[#This Row],[BW40_3705]]),"")</f>
        <v/>
      </c>
      <c r="J8796" s="7" t="str">
        <f>IF(Table1[[#This Row],[Is Data Valid]]=TRUE,_xlfn.NORM.S.DIST(Table1[[#This Row],[Birthweight Z-Score]],TRUE)*100,"")</f>
        <v/>
      </c>
      <c r="K8796" s="7" t="str">
        <f>IF(Table1[[#This Row],[Is Data Valid]]=TRUE,_xlfn.NORM.S.DIST(Table1[[#This Row],[Birthweight Z-Score (BW-10%)]],TRUE)*100,"")</f>
        <v/>
      </c>
      <c r="L8796" s="7" t="str">
        <f>IF(Table1[[#This Row],[Is Data Valid]]=TRUE,_xlfn.NORM.S.DIST(Table1[[#This Row],[Birthweight Z-Score (BW+10%)]],TRUE)*100,"")</f>
        <v/>
      </c>
    </row>
    <row r="8797" spans="1:12" x14ac:dyDescent="0.35">
      <c r="A8797" s="3"/>
      <c r="B8797" s="2"/>
      <c r="C8797" s="2"/>
      <c r="D8797" s="2" t="b">
        <f>IF(AND(NOT(ISBLANK(Table1[[#This Row],[Fetal Sex (Male, Female or Unknown)]])),ISNUMBER(Table1[[#This Row],[Birthweight (grams)]]),ISNUMBER(Table1[[#This Row],[Gestation (days)]])),TRUE,FALSE)</f>
        <v>0</v>
      </c>
      <c r="E8797" s="2" t="str">
        <f>IF(Table1[[#This Row],[Is Data Valid]]=TRUE,IF(Table1[[#This Row],[Fetal Sex (Male, Female or Unknown)]]="Male",Backend!$C$6,IF(Table1[[#This Row],[Fetal Sex (Male, Female or Unknown)]]="Female",Backend!$C$7,IF(Table1[[#This Row],[Fetal Sex (Male, Female or Unknown)]]="Unknown",Backend!$C$8,"Error"))),"")</f>
        <v/>
      </c>
      <c r="F8797" s="8" t="str">
        <f>IF(Table1[[#This Row],[Is Data Valid]]=TRUE,EXP(0.578+0.332*((Table1[[#This Row],[Gestation (days)]]+0.5)/7)-0.00354*((Table1[[#This Row],[Gestation (days)]]+0.5)/7)^2)*Table1[[#This Row],[BW40_3705]],"")</f>
        <v/>
      </c>
      <c r="G8797" s="2" t="str">
        <f>IF(Table1[[#This Row],[Is Data Valid]]=TRUE,((Table1[[#This Row],[Birthweight (grams)]]/Table1[[#This Row],[BW_GA]])-1)/(Backend!$B$4/100*Table1[[#This Row],[BW40_3705]]),"")</f>
        <v/>
      </c>
      <c r="H8797" s="7" t="str">
        <f>IF(Table1[[#This Row],[Is Data Valid]]=TRUE,((Table1[[#This Row],[Birthweight (grams)]]*0.9/Table1[[#This Row],[BW_GA]])-1)/(Backend!$B$4/100*Table1[[#This Row],[BW40_3705]]),"")</f>
        <v/>
      </c>
      <c r="I8797" s="7" t="str">
        <f>IF(Table1[[#This Row],[Is Data Valid]]=TRUE,((Table1[[#This Row],[Birthweight (grams)]]*1.1/Table1[[#This Row],[BW_GA]])-1)/(Backend!$B$4/100*Table1[[#This Row],[BW40_3705]]),"")</f>
        <v/>
      </c>
      <c r="J8797" s="7" t="str">
        <f>IF(Table1[[#This Row],[Is Data Valid]]=TRUE,_xlfn.NORM.S.DIST(Table1[[#This Row],[Birthweight Z-Score]],TRUE)*100,"")</f>
        <v/>
      </c>
      <c r="K8797" s="7" t="str">
        <f>IF(Table1[[#This Row],[Is Data Valid]]=TRUE,_xlfn.NORM.S.DIST(Table1[[#This Row],[Birthweight Z-Score (BW-10%)]],TRUE)*100,"")</f>
        <v/>
      </c>
      <c r="L8797" s="7" t="str">
        <f>IF(Table1[[#This Row],[Is Data Valid]]=TRUE,_xlfn.NORM.S.DIST(Table1[[#This Row],[Birthweight Z-Score (BW+10%)]],TRUE)*100,"")</f>
        <v/>
      </c>
    </row>
    <row r="8798" spans="1:12" x14ac:dyDescent="0.35">
      <c r="A8798" s="3"/>
      <c r="B8798" s="2"/>
      <c r="C8798" s="2"/>
      <c r="D8798" s="2" t="b">
        <f>IF(AND(NOT(ISBLANK(Table1[[#This Row],[Fetal Sex (Male, Female or Unknown)]])),ISNUMBER(Table1[[#This Row],[Birthweight (grams)]]),ISNUMBER(Table1[[#This Row],[Gestation (days)]])),TRUE,FALSE)</f>
        <v>0</v>
      </c>
      <c r="E8798" s="2" t="str">
        <f>IF(Table1[[#This Row],[Is Data Valid]]=TRUE,IF(Table1[[#This Row],[Fetal Sex (Male, Female or Unknown)]]="Male",Backend!$C$6,IF(Table1[[#This Row],[Fetal Sex (Male, Female or Unknown)]]="Female",Backend!$C$7,IF(Table1[[#This Row],[Fetal Sex (Male, Female or Unknown)]]="Unknown",Backend!$C$8,"Error"))),"")</f>
        <v/>
      </c>
      <c r="F8798" s="8" t="str">
        <f>IF(Table1[[#This Row],[Is Data Valid]]=TRUE,EXP(0.578+0.332*((Table1[[#This Row],[Gestation (days)]]+0.5)/7)-0.00354*((Table1[[#This Row],[Gestation (days)]]+0.5)/7)^2)*Table1[[#This Row],[BW40_3705]],"")</f>
        <v/>
      </c>
      <c r="G8798" s="2" t="str">
        <f>IF(Table1[[#This Row],[Is Data Valid]]=TRUE,((Table1[[#This Row],[Birthweight (grams)]]/Table1[[#This Row],[BW_GA]])-1)/(Backend!$B$4/100*Table1[[#This Row],[BW40_3705]]),"")</f>
        <v/>
      </c>
      <c r="H8798" s="7" t="str">
        <f>IF(Table1[[#This Row],[Is Data Valid]]=TRUE,((Table1[[#This Row],[Birthweight (grams)]]*0.9/Table1[[#This Row],[BW_GA]])-1)/(Backend!$B$4/100*Table1[[#This Row],[BW40_3705]]),"")</f>
        <v/>
      </c>
      <c r="I8798" s="7" t="str">
        <f>IF(Table1[[#This Row],[Is Data Valid]]=TRUE,((Table1[[#This Row],[Birthweight (grams)]]*1.1/Table1[[#This Row],[BW_GA]])-1)/(Backend!$B$4/100*Table1[[#This Row],[BW40_3705]]),"")</f>
        <v/>
      </c>
      <c r="J8798" s="7" t="str">
        <f>IF(Table1[[#This Row],[Is Data Valid]]=TRUE,_xlfn.NORM.S.DIST(Table1[[#This Row],[Birthweight Z-Score]],TRUE)*100,"")</f>
        <v/>
      </c>
      <c r="K8798" s="7" t="str">
        <f>IF(Table1[[#This Row],[Is Data Valid]]=TRUE,_xlfn.NORM.S.DIST(Table1[[#This Row],[Birthweight Z-Score (BW-10%)]],TRUE)*100,"")</f>
        <v/>
      </c>
      <c r="L8798" s="7" t="str">
        <f>IF(Table1[[#This Row],[Is Data Valid]]=TRUE,_xlfn.NORM.S.DIST(Table1[[#This Row],[Birthweight Z-Score (BW+10%)]],TRUE)*100,"")</f>
        <v/>
      </c>
    </row>
    <row r="8799" spans="1:12" x14ac:dyDescent="0.35">
      <c r="A8799" s="3"/>
      <c r="B8799" s="2"/>
      <c r="C8799" s="2"/>
      <c r="D8799" s="2" t="b">
        <f>IF(AND(NOT(ISBLANK(Table1[[#This Row],[Fetal Sex (Male, Female or Unknown)]])),ISNUMBER(Table1[[#This Row],[Birthweight (grams)]]),ISNUMBER(Table1[[#This Row],[Gestation (days)]])),TRUE,FALSE)</f>
        <v>0</v>
      </c>
      <c r="E8799" s="2" t="str">
        <f>IF(Table1[[#This Row],[Is Data Valid]]=TRUE,IF(Table1[[#This Row],[Fetal Sex (Male, Female or Unknown)]]="Male",Backend!$C$6,IF(Table1[[#This Row],[Fetal Sex (Male, Female or Unknown)]]="Female",Backend!$C$7,IF(Table1[[#This Row],[Fetal Sex (Male, Female or Unknown)]]="Unknown",Backend!$C$8,"Error"))),"")</f>
        <v/>
      </c>
      <c r="F8799" s="8" t="str">
        <f>IF(Table1[[#This Row],[Is Data Valid]]=TRUE,EXP(0.578+0.332*((Table1[[#This Row],[Gestation (days)]]+0.5)/7)-0.00354*((Table1[[#This Row],[Gestation (days)]]+0.5)/7)^2)*Table1[[#This Row],[BW40_3705]],"")</f>
        <v/>
      </c>
      <c r="G8799" s="2" t="str">
        <f>IF(Table1[[#This Row],[Is Data Valid]]=TRUE,((Table1[[#This Row],[Birthweight (grams)]]/Table1[[#This Row],[BW_GA]])-1)/(Backend!$B$4/100*Table1[[#This Row],[BW40_3705]]),"")</f>
        <v/>
      </c>
      <c r="H8799" s="7" t="str">
        <f>IF(Table1[[#This Row],[Is Data Valid]]=TRUE,((Table1[[#This Row],[Birthweight (grams)]]*0.9/Table1[[#This Row],[BW_GA]])-1)/(Backend!$B$4/100*Table1[[#This Row],[BW40_3705]]),"")</f>
        <v/>
      </c>
      <c r="I8799" s="7" t="str">
        <f>IF(Table1[[#This Row],[Is Data Valid]]=TRUE,((Table1[[#This Row],[Birthweight (grams)]]*1.1/Table1[[#This Row],[BW_GA]])-1)/(Backend!$B$4/100*Table1[[#This Row],[BW40_3705]]),"")</f>
        <v/>
      </c>
      <c r="J8799" s="7" t="str">
        <f>IF(Table1[[#This Row],[Is Data Valid]]=TRUE,_xlfn.NORM.S.DIST(Table1[[#This Row],[Birthweight Z-Score]],TRUE)*100,"")</f>
        <v/>
      </c>
      <c r="K8799" s="7" t="str">
        <f>IF(Table1[[#This Row],[Is Data Valid]]=TRUE,_xlfn.NORM.S.DIST(Table1[[#This Row],[Birthweight Z-Score (BW-10%)]],TRUE)*100,"")</f>
        <v/>
      </c>
      <c r="L8799" s="7" t="str">
        <f>IF(Table1[[#This Row],[Is Data Valid]]=TRUE,_xlfn.NORM.S.DIST(Table1[[#This Row],[Birthweight Z-Score (BW+10%)]],TRUE)*100,"")</f>
        <v/>
      </c>
    </row>
    <row r="8800" spans="1:12" x14ac:dyDescent="0.35">
      <c r="A8800" s="3"/>
      <c r="B8800" s="2"/>
      <c r="C8800" s="2"/>
      <c r="D8800" s="2" t="b">
        <f>IF(AND(NOT(ISBLANK(Table1[[#This Row],[Fetal Sex (Male, Female or Unknown)]])),ISNUMBER(Table1[[#This Row],[Birthweight (grams)]]),ISNUMBER(Table1[[#This Row],[Gestation (days)]])),TRUE,FALSE)</f>
        <v>0</v>
      </c>
      <c r="E8800" s="2" t="str">
        <f>IF(Table1[[#This Row],[Is Data Valid]]=TRUE,IF(Table1[[#This Row],[Fetal Sex (Male, Female or Unknown)]]="Male",Backend!$C$6,IF(Table1[[#This Row],[Fetal Sex (Male, Female or Unknown)]]="Female",Backend!$C$7,IF(Table1[[#This Row],[Fetal Sex (Male, Female or Unknown)]]="Unknown",Backend!$C$8,"Error"))),"")</f>
        <v/>
      </c>
      <c r="F8800" s="8" t="str">
        <f>IF(Table1[[#This Row],[Is Data Valid]]=TRUE,EXP(0.578+0.332*((Table1[[#This Row],[Gestation (days)]]+0.5)/7)-0.00354*((Table1[[#This Row],[Gestation (days)]]+0.5)/7)^2)*Table1[[#This Row],[BW40_3705]],"")</f>
        <v/>
      </c>
      <c r="G8800" s="2" t="str">
        <f>IF(Table1[[#This Row],[Is Data Valid]]=TRUE,((Table1[[#This Row],[Birthweight (grams)]]/Table1[[#This Row],[BW_GA]])-1)/(Backend!$B$4/100*Table1[[#This Row],[BW40_3705]]),"")</f>
        <v/>
      </c>
      <c r="H8800" s="7" t="str">
        <f>IF(Table1[[#This Row],[Is Data Valid]]=TRUE,((Table1[[#This Row],[Birthweight (grams)]]*0.9/Table1[[#This Row],[BW_GA]])-1)/(Backend!$B$4/100*Table1[[#This Row],[BW40_3705]]),"")</f>
        <v/>
      </c>
      <c r="I8800" s="7" t="str">
        <f>IF(Table1[[#This Row],[Is Data Valid]]=TRUE,((Table1[[#This Row],[Birthweight (grams)]]*1.1/Table1[[#This Row],[BW_GA]])-1)/(Backend!$B$4/100*Table1[[#This Row],[BW40_3705]]),"")</f>
        <v/>
      </c>
      <c r="J8800" s="7" t="str">
        <f>IF(Table1[[#This Row],[Is Data Valid]]=TRUE,_xlfn.NORM.S.DIST(Table1[[#This Row],[Birthweight Z-Score]],TRUE)*100,"")</f>
        <v/>
      </c>
      <c r="K8800" s="7" t="str">
        <f>IF(Table1[[#This Row],[Is Data Valid]]=TRUE,_xlfn.NORM.S.DIST(Table1[[#This Row],[Birthweight Z-Score (BW-10%)]],TRUE)*100,"")</f>
        <v/>
      </c>
      <c r="L8800" s="7" t="str">
        <f>IF(Table1[[#This Row],[Is Data Valid]]=TRUE,_xlfn.NORM.S.DIST(Table1[[#This Row],[Birthweight Z-Score (BW+10%)]],TRUE)*100,"")</f>
        <v/>
      </c>
    </row>
    <row r="8801" spans="1:12" x14ac:dyDescent="0.35">
      <c r="A8801" s="3"/>
      <c r="B8801" s="2"/>
      <c r="C8801" s="2"/>
      <c r="D8801" s="2" t="b">
        <f>IF(AND(NOT(ISBLANK(Table1[[#This Row],[Fetal Sex (Male, Female or Unknown)]])),ISNUMBER(Table1[[#This Row],[Birthweight (grams)]]),ISNUMBER(Table1[[#This Row],[Gestation (days)]])),TRUE,FALSE)</f>
        <v>0</v>
      </c>
      <c r="E8801" s="2" t="str">
        <f>IF(Table1[[#This Row],[Is Data Valid]]=TRUE,IF(Table1[[#This Row],[Fetal Sex (Male, Female or Unknown)]]="Male",Backend!$C$6,IF(Table1[[#This Row],[Fetal Sex (Male, Female or Unknown)]]="Female",Backend!$C$7,IF(Table1[[#This Row],[Fetal Sex (Male, Female or Unknown)]]="Unknown",Backend!$C$8,"Error"))),"")</f>
        <v/>
      </c>
      <c r="F8801" s="8" t="str">
        <f>IF(Table1[[#This Row],[Is Data Valid]]=TRUE,EXP(0.578+0.332*((Table1[[#This Row],[Gestation (days)]]+0.5)/7)-0.00354*((Table1[[#This Row],[Gestation (days)]]+0.5)/7)^2)*Table1[[#This Row],[BW40_3705]],"")</f>
        <v/>
      </c>
      <c r="G8801" s="2" t="str">
        <f>IF(Table1[[#This Row],[Is Data Valid]]=TRUE,((Table1[[#This Row],[Birthweight (grams)]]/Table1[[#This Row],[BW_GA]])-1)/(Backend!$B$4/100*Table1[[#This Row],[BW40_3705]]),"")</f>
        <v/>
      </c>
      <c r="H8801" s="7" t="str">
        <f>IF(Table1[[#This Row],[Is Data Valid]]=TRUE,((Table1[[#This Row],[Birthweight (grams)]]*0.9/Table1[[#This Row],[BW_GA]])-1)/(Backend!$B$4/100*Table1[[#This Row],[BW40_3705]]),"")</f>
        <v/>
      </c>
      <c r="I8801" s="7" t="str">
        <f>IF(Table1[[#This Row],[Is Data Valid]]=TRUE,((Table1[[#This Row],[Birthweight (grams)]]*1.1/Table1[[#This Row],[BW_GA]])-1)/(Backend!$B$4/100*Table1[[#This Row],[BW40_3705]]),"")</f>
        <v/>
      </c>
      <c r="J8801" s="7" t="str">
        <f>IF(Table1[[#This Row],[Is Data Valid]]=TRUE,_xlfn.NORM.S.DIST(Table1[[#This Row],[Birthweight Z-Score]],TRUE)*100,"")</f>
        <v/>
      </c>
      <c r="K8801" s="7" t="str">
        <f>IF(Table1[[#This Row],[Is Data Valid]]=TRUE,_xlfn.NORM.S.DIST(Table1[[#This Row],[Birthweight Z-Score (BW-10%)]],TRUE)*100,"")</f>
        <v/>
      </c>
      <c r="L8801" s="7" t="str">
        <f>IF(Table1[[#This Row],[Is Data Valid]]=TRUE,_xlfn.NORM.S.DIST(Table1[[#This Row],[Birthweight Z-Score (BW+10%)]],TRUE)*100,"")</f>
        <v/>
      </c>
    </row>
    <row r="8802" spans="1:12" x14ac:dyDescent="0.35">
      <c r="A8802" s="3"/>
      <c r="B8802" s="2"/>
      <c r="C8802" s="2"/>
      <c r="D8802" s="2" t="b">
        <f>IF(AND(NOT(ISBLANK(Table1[[#This Row],[Fetal Sex (Male, Female or Unknown)]])),ISNUMBER(Table1[[#This Row],[Birthweight (grams)]]),ISNUMBER(Table1[[#This Row],[Gestation (days)]])),TRUE,FALSE)</f>
        <v>0</v>
      </c>
      <c r="E8802" s="2" t="str">
        <f>IF(Table1[[#This Row],[Is Data Valid]]=TRUE,IF(Table1[[#This Row],[Fetal Sex (Male, Female or Unknown)]]="Male",Backend!$C$6,IF(Table1[[#This Row],[Fetal Sex (Male, Female or Unknown)]]="Female",Backend!$C$7,IF(Table1[[#This Row],[Fetal Sex (Male, Female or Unknown)]]="Unknown",Backend!$C$8,"Error"))),"")</f>
        <v/>
      </c>
      <c r="F8802" s="8" t="str">
        <f>IF(Table1[[#This Row],[Is Data Valid]]=TRUE,EXP(0.578+0.332*((Table1[[#This Row],[Gestation (days)]]+0.5)/7)-0.00354*((Table1[[#This Row],[Gestation (days)]]+0.5)/7)^2)*Table1[[#This Row],[BW40_3705]],"")</f>
        <v/>
      </c>
      <c r="G8802" s="2" t="str">
        <f>IF(Table1[[#This Row],[Is Data Valid]]=TRUE,((Table1[[#This Row],[Birthweight (grams)]]/Table1[[#This Row],[BW_GA]])-1)/(Backend!$B$4/100*Table1[[#This Row],[BW40_3705]]),"")</f>
        <v/>
      </c>
      <c r="H8802" s="7" t="str">
        <f>IF(Table1[[#This Row],[Is Data Valid]]=TRUE,((Table1[[#This Row],[Birthweight (grams)]]*0.9/Table1[[#This Row],[BW_GA]])-1)/(Backend!$B$4/100*Table1[[#This Row],[BW40_3705]]),"")</f>
        <v/>
      </c>
      <c r="I8802" s="7" t="str">
        <f>IF(Table1[[#This Row],[Is Data Valid]]=TRUE,((Table1[[#This Row],[Birthweight (grams)]]*1.1/Table1[[#This Row],[BW_GA]])-1)/(Backend!$B$4/100*Table1[[#This Row],[BW40_3705]]),"")</f>
        <v/>
      </c>
      <c r="J8802" s="7" t="str">
        <f>IF(Table1[[#This Row],[Is Data Valid]]=TRUE,_xlfn.NORM.S.DIST(Table1[[#This Row],[Birthweight Z-Score]],TRUE)*100,"")</f>
        <v/>
      </c>
      <c r="K8802" s="7" t="str">
        <f>IF(Table1[[#This Row],[Is Data Valid]]=TRUE,_xlfn.NORM.S.DIST(Table1[[#This Row],[Birthweight Z-Score (BW-10%)]],TRUE)*100,"")</f>
        <v/>
      </c>
      <c r="L8802" s="7" t="str">
        <f>IF(Table1[[#This Row],[Is Data Valid]]=TRUE,_xlfn.NORM.S.DIST(Table1[[#This Row],[Birthweight Z-Score (BW+10%)]],TRUE)*100,"")</f>
        <v/>
      </c>
    </row>
    <row r="8803" spans="1:12" x14ac:dyDescent="0.35">
      <c r="A8803" s="3"/>
      <c r="B8803" s="2"/>
      <c r="C8803" s="2"/>
      <c r="D8803" s="2" t="b">
        <f>IF(AND(NOT(ISBLANK(Table1[[#This Row],[Fetal Sex (Male, Female or Unknown)]])),ISNUMBER(Table1[[#This Row],[Birthweight (grams)]]),ISNUMBER(Table1[[#This Row],[Gestation (days)]])),TRUE,FALSE)</f>
        <v>0</v>
      </c>
      <c r="E8803" s="2" t="str">
        <f>IF(Table1[[#This Row],[Is Data Valid]]=TRUE,IF(Table1[[#This Row],[Fetal Sex (Male, Female or Unknown)]]="Male",Backend!$C$6,IF(Table1[[#This Row],[Fetal Sex (Male, Female or Unknown)]]="Female",Backend!$C$7,IF(Table1[[#This Row],[Fetal Sex (Male, Female or Unknown)]]="Unknown",Backend!$C$8,"Error"))),"")</f>
        <v/>
      </c>
      <c r="F8803" s="8" t="str">
        <f>IF(Table1[[#This Row],[Is Data Valid]]=TRUE,EXP(0.578+0.332*((Table1[[#This Row],[Gestation (days)]]+0.5)/7)-0.00354*((Table1[[#This Row],[Gestation (days)]]+0.5)/7)^2)*Table1[[#This Row],[BW40_3705]],"")</f>
        <v/>
      </c>
      <c r="G8803" s="2" t="str">
        <f>IF(Table1[[#This Row],[Is Data Valid]]=TRUE,((Table1[[#This Row],[Birthweight (grams)]]/Table1[[#This Row],[BW_GA]])-1)/(Backend!$B$4/100*Table1[[#This Row],[BW40_3705]]),"")</f>
        <v/>
      </c>
      <c r="H8803" s="7" t="str">
        <f>IF(Table1[[#This Row],[Is Data Valid]]=TRUE,((Table1[[#This Row],[Birthweight (grams)]]*0.9/Table1[[#This Row],[BW_GA]])-1)/(Backend!$B$4/100*Table1[[#This Row],[BW40_3705]]),"")</f>
        <v/>
      </c>
      <c r="I8803" s="7" t="str">
        <f>IF(Table1[[#This Row],[Is Data Valid]]=TRUE,((Table1[[#This Row],[Birthweight (grams)]]*1.1/Table1[[#This Row],[BW_GA]])-1)/(Backend!$B$4/100*Table1[[#This Row],[BW40_3705]]),"")</f>
        <v/>
      </c>
      <c r="J8803" s="7" t="str">
        <f>IF(Table1[[#This Row],[Is Data Valid]]=TRUE,_xlfn.NORM.S.DIST(Table1[[#This Row],[Birthweight Z-Score]],TRUE)*100,"")</f>
        <v/>
      </c>
      <c r="K8803" s="7" t="str">
        <f>IF(Table1[[#This Row],[Is Data Valid]]=TRUE,_xlfn.NORM.S.DIST(Table1[[#This Row],[Birthweight Z-Score (BW-10%)]],TRUE)*100,"")</f>
        <v/>
      </c>
      <c r="L8803" s="7" t="str">
        <f>IF(Table1[[#This Row],[Is Data Valid]]=TRUE,_xlfn.NORM.S.DIST(Table1[[#This Row],[Birthweight Z-Score (BW+10%)]],TRUE)*100,"")</f>
        <v/>
      </c>
    </row>
    <row r="8804" spans="1:12" x14ac:dyDescent="0.35">
      <c r="A8804" s="3"/>
      <c r="B8804" s="2"/>
      <c r="C8804" s="2"/>
      <c r="D8804" s="2" t="b">
        <f>IF(AND(NOT(ISBLANK(Table1[[#This Row],[Fetal Sex (Male, Female or Unknown)]])),ISNUMBER(Table1[[#This Row],[Birthweight (grams)]]),ISNUMBER(Table1[[#This Row],[Gestation (days)]])),TRUE,FALSE)</f>
        <v>0</v>
      </c>
      <c r="E8804" s="2" t="str">
        <f>IF(Table1[[#This Row],[Is Data Valid]]=TRUE,IF(Table1[[#This Row],[Fetal Sex (Male, Female or Unknown)]]="Male",Backend!$C$6,IF(Table1[[#This Row],[Fetal Sex (Male, Female or Unknown)]]="Female",Backend!$C$7,IF(Table1[[#This Row],[Fetal Sex (Male, Female or Unknown)]]="Unknown",Backend!$C$8,"Error"))),"")</f>
        <v/>
      </c>
      <c r="F8804" s="8" t="str">
        <f>IF(Table1[[#This Row],[Is Data Valid]]=TRUE,EXP(0.578+0.332*((Table1[[#This Row],[Gestation (days)]]+0.5)/7)-0.00354*((Table1[[#This Row],[Gestation (days)]]+0.5)/7)^2)*Table1[[#This Row],[BW40_3705]],"")</f>
        <v/>
      </c>
      <c r="G8804" s="2" t="str">
        <f>IF(Table1[[#This Row],[Is Data Valid]]=TRUE,((Table1[[#This Row],[Birthweight (grams)]]/Table1[[#This Row],[BW_GA]])-1)/(Backend!$B$4/100*Table1[[#This Row],[BW40_3705]]),"")</f>
        <v/>
      </c>
      <c r="H8804" s="7" t="str">
        <f>IF(Table1[[#This Row],[Is Data Valid]]=TRUE,((Table1[[#This Row],[Birthweight (grams)]]*0.9/Table1[[#This Row],[BW_GA]])-1)/(Backend!$B$4/100*Table1[[#This Row],[BW40_3705]]),"")</f>
        <v/>
      </c>
      <c r="I8804" s="7" t="str">
        <f>IF(Table1[[#This Row],[Is Data Valid]]=TRUE,((Table1[[#This Row],[Birthweight (grams)]]*1.1/Table1[[#This Row],[BW_GA]])-1)/(Backend!$B$4/100*Table1[[#This Row],[BW40_3705]]),"")</f>
        <v/>
      </c>
      <c r="J8804" s="7" t="str">
        <f>IF(Table1[[#This Row],[Is Data Valid]]=TRUE,_xlfn.NORM.S.DIST(Table1[[#This Row],[Birthweight Z-Score]],TRUE)*100,"")</f>
        <v/>
      </c>
      <c r="K8804" s="7" t="str">
        <f>IF(Table1[[#This Row],[Is Data Valid]]=TRUE,_xlfn.NORM.S.DIST(Table1[[#This Row],[Birthweight Z-Score (BW-10%)]],TRUE)*100,"")</f>
        <v/>
      </c>
      <c r="L8804" s="7" t="str">
        <f>IF(Table1[[#This Row],[Is Data Valid]]=TRUE,_xlfn.NORM.S.DIST(Table1[[#This Row],[Birthweight Z-Score (BW+10%)]],TRUE)*100,"")</f>
        <v/>
      </c>
    </row>
    <row r="8805" spans="1:12" x14ac:dyDescent="0.35">
      <c r="A8805" s="3"/>
      <c r="B8805" s="2"/>
      <c r="C8805" s="2"/>
      <c r="D8805" s="2" t="b">
        <f>IF(AND(NOT(ISBLANK(Table1[[#This Row],[Fetal Sex (Male, Female or Unknown)]])),ISNUMBER(Table1[[#This Row],[Birthweight (grams)]]),ISNUMBER(Table1[[#This Row],[Gestation (days)]])),TRUE,FALSE)</f>
        <v>0</v>
      </c>
      <c r="E8805" s="2" t="str">
        <f>IF(Table1[[#This Row],[Is Data Valid]]=TRUE,IF(Table1[[#This Row],[Fetal Sex (Male, Female or Unknown)]]="Male",Backend!$C$6,IF(Table1[[#This Row],[Fetal Sex (Male, Female or Unknown)]]="Female",Backend!$C$7,IF(Table1[[#This Row],[Fetal Sex (Male, Female or Unknown)]]="Unknown",Backend!$C$8,"Error"))),"")</f>
        <v/>
      </c>
      <c r="F8805" s="8" t="str">
        <f>IF(Table1[[#This Row],[Is Data Valid]]=TRUE,EXP(0.578+0.332*((Table1[[#This Row],[Gestation (days)]]+0.5)/7)-0.00354*((Table1[[#This Row],[Gestation (days)]]+0.5)/7)^2)*Table1[[#This Row],[BW40_3705]],"")</f>
        <v/>
      </c>
      <c r="G8805" s="2" t="str">
        <f>IF(Table1[[#This Row],[Is Data Valid]]=TRUE,((Table1[[#This Row],[Birthweight (grams)]]/Table1[[#This Row],[BW_GA]])-1)/(Backend!$B$4/100*Table1[[#This Row],[BW40_3705]]),"")</f>
        <v/>
      </c>
      <c r="H8805" s="7" t="str">
        <f>IF(Table1[[#This Row],[Is Data Valid]]=TRUE,((Table1[[#This Row],[Birthweight (grams)]]*0.9/Table1[[#This Row],[BW_GA]])-1)/(Backend!$B$4/100*Table1[[#This Row],[BW40_3705]]),"")</f>
        <v/>
      </c>
      <c r="I8805" s="7" t="str">
        <f>IF(Table1[[#This Row],[Is Data Valid]]=TRUE,((Table1[[#This Row],[Birthweight (grams)]]*1.1/Table1[[#This Row],[BW_GA]])-1)/(Backend!$B$4/100*Table1[[#This Row],[BW40_3705]]),"")</f>
        <v/>
      </c>
      <c r="J8805" s="7" t="str">
        <f>IF(Table1[[#This Row],[Is Data Valid]]=TRUE,_xlfn.NORM.S.DIST(Table1[[#This Row],[Birthweight Z-Score]],TRUE)*100,"")</f>
        <v/>
      </c>
      <c r="K8805" s="7" t="str">
        <f>IF(Table1[[#This Row],[Is Data Valid]]=TRUE,_xlfn.NORM.S.DIST(Table1[[#This Row],[Birthweight Z-Score (BW-10%)]],TRUE)*100,"")</f>
        <v/>
      </c>
      <c r="L8805" s="7" t="str">
        <f>IF(Table1[[#This Row],[Is Data Valid]]=TRUE,_xlfn.NORM.S.DIST(Table1[[#This Row],[Birthweight Z-Score (BW+10%)]],TRUE)*100,"")</f>
        <v/>
      </c>
    </row>
    <row r="8806" spans="1:12" x14ac:dyDescent="0.35">
      <c r="A8806" s="3"/>
      <c r="B8806" s="2"/>
      <c r="C8806" s="2"/>
      <c r="D8806" s="2" t="b">
        <f>IF(AND(NOT(ISBLANK(Table1[[#This Row],[Fetal Sex (Male, Female or Unknown)]])),ISNUMBER(Table1[[#This Row],[Birthweight (grams)]]),ISNUMBER(Table1[[#This Row],[Gestation (days)]])),TRUE,FALSE)</f>
        <v>0</v>
      </c>
      <c r="E8806" s="2" t="str">
        <f>IF(Table1[[#This Row],[Is Data Valid]]=TRUE,IF(Table1[[#This Row],[Fetal Sex (Male, Female or Unknown)]]="Male",Backend!$C$6,IF(Table1[[#This Row],[Fetal Sex (Male, Female or Unknown)]]="Female",Backend!$C$7,IF(Table1[[#This Row],[Fetal Sex (Male, Female or Unknown)]]="Unknown",Backend!$C$8,"Error"))),"")</f>
        <v/>
      </c>
      <c r="F8806" s="8" t="str">
        <f>IF(Table1[[#This Row],[Is Data Valid]]=TRUE,EXP(0.578+0.332*((Table1[[#This Row],[Gestation (days)]]+0.5)/7)-0.00354*((Table1[[#This Row],[Gestation (days)]]+0.5)/7)^2)*Table1[[#This Row],[BW40_3705]],"")</f>
        <v/>
      </c>
      <c r="G8806" s="2" t="str">
        <f>IF(Table1[[#This Row],[Is Data Valid]]=TRUE,((Table1[[#This Row],[Birthweight (grams)]]/Table1[[#This Row],[BW_GA]])-1)/(Backend!$B$4/100*Table1[[#This Row],[BW40_3705]]),"")</f>
        <v/>
      </c>
      <c r="H8806" s="7" t="str">
        <f>IF(Table1[[#This Row],[Is Data Valid]]=TRUE,((Table1[[#This Row],[Birthweight (grams)]]*0.9/Table1[[#This Row],[BW_GA]])-1)/(Backend!$B$4/100*Table1[[#This Row],[BW40_3705]]),"")</f>
        <v/>
      </c>
      <c r="I8806" s="7" t="str">
        <f>IF(Table1[[#This Row],[Is Data Valid]]=TRUE,((Table1[[#This Row],[Birthweight (grams)]]*1.1/Table1[[#This Row],[BW_GA]])-1)/(Backend!$B$4/100*Table1[[#This Row],[BW40_3705]]),"")</f>
        <v/>
      </c>
      <c r="J8806" s="7" t="str">
        <f>IF(Table1[[#This Row],[Is Data Valid]]=TRUE,_xlfn.NORM.S.DIST(Table1[[#This Row],[Birthweight Z-Score]],TRUE)*100,"")</f>
        <v/>
      </c>
      <c r="K8806" s="7" t="str">
        <f>IF(Table1[[#This Row],[Is Data Valid]]=TRUE,_xlfn.NORM.S.DIST(Table1[[#This Row],[Birthweight Z-Score (BW-10%)]],TRUE)*100,"")</f>
        <v/>
      </c>
      <c r="L8806" s="7" t="str">
        <f>IF(Table1[[#This Row],[Is Data Valid]]=TRUE,_xlfn.NORM.S.DIST(Table1[[#This Row],[Birthweight Z-Score (BW+10%)]],TRUE)*100,"")</f>
        <v/>
      </c>
    </row>
    <row r="8807" spans="1:12" x14ac:dyDescent="0.35">
      <c r="A8807" s="3"/>
      <c r="B8807" s="2"/>
      <c r="C8807" s="2"/>
      <c r="D8807" s="2" t="b">
        <f>IF(AND(NOT(ISBLANK(Table1[[#This Row],[Fetal Sex (Male, Female or Unknown)]])),ISNUMBER(Table1[[#This Row],[Birthweight (grams)]]),ISNUMBER(Table1[[#This Row],[Gestation (days)]])),TRUE,FALSE)</f>
        <v>0</v>
      </c>
      <c r="E8807" s="2" t="str">
        <f>IF(Table1[[#This Row],[Is Data Valid]]=TRUE,IF(Table1[[#This Row],[Fetal Sex (Male, Female or Unknown)]]="Male",Backend!$C$6,IF(Table1[[#This Row],[Fetal Sex (Male, Female or Unknown)]]="Female",Backend!$C$7,IF(Table1[[#This Row],[Fetal Sex (Male, Female or Unknown)]]="Unknown",Backend!$C$8,"Error"))),"")</f>
        <v/>
      </c>
      <c r="F8807" s="8" t="str">
        <f>IF(Table1[[#This Row],[Is Data Valid]]=TRUE,EXP(0.578+0.332*((Table1[[#This Row],[Gestation (days)]]+0.5)/7)-0.00354*((Table1[[#This Row],[Gestation (days)]]+0.5)/7)^2)*Table1[[#This Row],[BW40_3705]],"")</f>
        <v/>
      </c>
      <c r="G8807" s="2" t="str">
        <f>IF(Table1[[#This Row],[Is Data Valid]]=TRUE,((Table1[[#This Row],[Birthweight (grams)]]/Table1[[#This Row],[BW_GA]])-1)/(Backend!$B$4/100*Table1[[#This Row],[BW40_3705]]),"")</f>
        <v/>
      </c>
      <c r="H8807" s="7" t="str">
        <f>IF(Table1[[#This Row],[Is Data Valid]]=TRUE,((Table1[[#This Row],[Birthweight (grams)]]*0.9/Table1[[#This Row],[BW_GA]])-1)/(Backend!$B$4/100*Table1[[#This Row],[BW40_3705]]),"")</f>
        <v/>
      </c>
      <c r="I8807" s="7" t="str">
        <f>IF(Table1[[#This Row],[Is Data Valid]]=TRUE,((Table1[[#This Row],[Birthweight (grams)]]*1.1/Table1[[#This Row],[BW_GA]])-1)/(Backend!$B$4/100*Table1[[#This Row],[BW40_3705]]),"")</f>
        <v/>
      </c>
      <c r="J8807" s="7" t="str">
        <f>IF(Table1[[#This Row],[Is Data Valid]]=TRUE,_xlfn.NORM.S.DIST(Table1[[#This Row],[Birthweight Z-Score]],TRUE)*100,"")</f>
        <v/>
      </c>
      <c r="K8807" s="7" t="str">
        <f>IF(Table1[[#This Row],[Is Data Valid]]=TRUE,_xlfn.NORM.S.DIST(Table1[[#This Row],[Birthweight Z-Score (BW-10%)]],TRUE)*100,"")</f>
        <v/>
      </c>
      <c r="L8807" s="7" t="str">
        <f>IF(Table1[[#This Row],[Is Data Valid]]=TRUE,_xlfn.NORM.S.DIST(Table1[[#This Row],[Birthweight Z-Score (BW+10%)]],TRUE)*100,"")</f>
        <v/>
      </c>
    </row>
    <row r="8808" spans="1:12" x14ac:dyDescent="0.35">
      <c r="A8808" s="3"/>
      <c r="B8808" s="2"/>
      <c r="C8808" s="2"/>
      <c r="D8808" s="2" t="b">
        <f>IF(AND(NOT(ISBLANK(Table1[[#This Row],[Fetal Sex (Male, Female or Unknown)]])),ISNUMBER(Table1[[#This Row],[Birthweight (grams)]]),ISNUMBER(Table1[[#This Row],[Gestation (days)]])),TRUE,FALSE)</f>
        <v>0</v>
      </c>
      <c r="E8808" s="2" t="str">
        <f>IF(Table1[[#This Row],[Is Data Valid]]=TRUE,IF(Table1[[#This Row],[Fetal Sex (Male, Female or Unknown)]]="Male",Backend!$C$6,IF(Table1[[#This Row],[Fetal Sex (Male, Female or Unknown)]]="Female",Backend!$C$7,IF(Table1[[#This Row],[Fetal Sex (Male, Female or Unknown)]]="Unknown",Backend!$C$8,"Error"))),"")</f>
        <v/>
      </c>
      <c r="F8808" s="8" t="str">
        <f>IF(Table1[[#This Row],[Is Data Valid]]=TRUE,EXP(0.578+0.332*((Table1[[#This Row],[Gestation (days)]]+0.5)/7)-0.00354*((Table1[[#This Row],[Gestation (days)]]+0.5)/7)^2)*Table1[[#This Row],[BW40_3705]],"")</f>
        <v/>
      </c>
      <c r="G8808" s="2" t="str">
        <f>IF(Table1[[#This Row],[Is Data Valid]]=TRUE,((Table1[[#This Row],[Birthweight (grams)]]/Table1[[#This Row],[BW_GA]])-1)/(Backend!$B$4/100*Table1[[#This Row],[BW40_3705]]),"")</f>
        <v/>
      </c>
      <c r="H8808" s="7" t="str">
        <f>IF(Table1[[#This Row],[Is Data Valid]]=TRUE,((Table1[[#This Row],[Birthweight (grams)]]*0.9/Table1[[#This Row],[BW_GA]])-1)/(Backend!$B$4/100*Table1[[#This Row],[BW40_3705]]),"")</f>
        <v/>
      </c>
      <c r="I8808" s="7" t="str">
        <f>IF(Table1[[#This Row],[Is Data Valid]]=TRUE,((Table1[[#This Row],[Birthweight (grams)]]*1.1/Table1[[#This Row],[BW_GA]])-1)/(Backend!$B$4/100*Table1[[#This Row],[BW40_3705]]),"")</f>
        <v/>
      </c>
      <c r="J8808" s="7" t="str">
        <f>IF(Table1[[#This Row],[Is Data Valid]]=TRUE,_xlfn.NORM.S.DIST(Table1[[#This Row],[Birthweight Z-Score]],TRUE)*100,"")</f>
        <v/>
      </c>
      <c r="K8808" s="7" t="str">
        <f>IF(Table1[[#This Row],[Is Data Valid]]=TRUE,_xlfn.NORM.S.DIST(Table1[[#This Row],[Birthweight Z-Score (BW-10%)]],TRUE)*100,"")</f>
        <v/>
      </c>
      <c r="L8808" s="7" t="str">
        <f>IF(Table1[[#This Row],[Is Data Valid]]=TRUE,_xlfn.NORM.S.DIST(Table1[[#This Row],[Birthweight Z-Score (BW+10%)]],TRUE)*100,"")</f>
        <v/>
      </c>
    </row>
    <row r="8809" spans="1:12" x14ac:dyDescent="0.35">
      <c r="A8809" s="3"/>
      <c r="B8809" s="2"/>
      <c r="C8809" s="2"/>
      <c r="D8809" s="2" t="b">
        <f>IF(AND(NOT(ISBLANK(Table1[[#This Row],[Fetal Sex (Male, Female or Unknown)]])),ISNUMBER(Table1[[#This Row],[Birthweight (grams)]]),ISNUMBER(Table1[[#This Row],[Gestation (days)]])),TRUE,FALSE)</f>
        <v>0</v>
      </c>
      <c r="E8809" s="2" t="str">
        <f>IF(Table1[[#This Row],[Is Data Valid]]=TRUE,IF(Table1[[#This Row],[Fetal Sex (Male, Female or Unknown)]]="Male",Backend!$C$6,IF(Table1[[#This Row],[Fetal Sex (Male, Female or Unknown)]]="Female",Backend!$C$7,IF(Table1[[#This Row],[Fetal Sex (Male, Female or Unknown)]]="Unknown",Backend!$C$8,"Error"))),"")</f>
        <v/>
      </c>
      <c r="F8809" s="8" t="str">
        <f>IF(Table1[[#This Row],[Is Data Valid]]=TRUE,EXP(0.578+0.332*((Table1[[#This Row],[Gestation (days)]]+0.5)/7)-0.00354*((Table1[[#This Row],[Gestation (days)]]+0.5)/7)^2)*Table1[[#This Row],[BW40_3705]],"")</f>
        <v/>
      </c>
      <c r="G8809" s="2" t="str">
        <f>IF(Table1[[#This Row],[Is Data Valid]]=TRUE,((Table1[[#This Row],[Birthweight (grams)]]/Table1[[#This Row],[BW_GA]])-1)/(Backend!$B$4/100*Table1[[#This Row],[BW40_3705]]),"")</f>
        <v/>
      </c>
      <c r="H8809" s="7" t="str">
        <f>IF(Table1[[#This Row],[Is Data Valid]]=TRUE,((Table1[[#This Row],[Birthweight (grams)]]*0.9/Table1[[#This Row],[BW_GA]])-1)/(Backend!$B$4/100*Table1[[#This Row],[BW40_3705]]),"")</f>
        <v/>
      </c>
      <c r="I8809" s="7" t="str">
        <f>IF(Table1[[#This Row],[Is Data Valid]]=TRUE,((Table1[[#This Row],[Birthweight (grams)]]*1.1/Table1[[#This Row],[BW_GA]])-1)/(Backend!$B$4/100*Table1[[#This Row],[BW40_3705]]),"")</f>
        <v/>
      </c>
      <c r="J8809" s="7" t="str">
        <f>IF(Table1[[#This Row],[Is Data Valid]]=TRUE,_xlfn.NORM.S.DIST(Table1[[#This Row],[Birthweight Z-Score]],TRUE)*100,"")</f>
        <v/>
      </c>
      <c r="K8809" s="7" t="str">
        <f>IF(Table1[[#This Row],[Is Data Valid]]=TRUE,_xlfn.NORM.S.DIST(Table1[[#This Row],[Birthweight Z-Score (BW-10%)]],TRUE)*100,"")</f>
        <v/>
      </c>
      <c r="L8809" s="7" t="str">
        <f>IF(Table1[[#This Row],[Is Data Valid]]=TRUE,_xlfn.NORM.S.DIST(Table1[[#This Row],[Birthweight Z-Score (BW+10%)]],TRUE)*100,"")</f>
        <v/>
      </c>
    </row>
    <row r="8810" spans="1:12" x14ac:dyDescent="0.35">
      <c r="A8810" s="3"/>
      <c r="B8810" s="2"/>
      <c r="C8810" s="2"/>
      <c r="D8810" s="2" t="b">
        <f>IF(AND(NOT(ISBLANK(Table1[[#This Row],[Fetal Sex (Male, Female or Unknown)]])),ISNUMBER(Table1[[#This Row],[Birthweight (grams)]]),ISNUMBER(Table1[[#This Row],[Gestation (days)]])),TRUE,FALSE)</f>
        <v>0</v>
      </c>
      <c r="E8810" s="2" t="str">
        <f>IF(Table1[[#This Row],[Is Data Valid]]=TRUE,IF(Table1[[#This Row],[Fetal Sex (Male, Female or Unknown)]]="Male",Backend!$C$6,IF(Table1[[#This Row],[Fetal Sex (Male, Female or Unknown)]]="Female",Backend!$C$7,IF(Table1[[#This Row],[Fetal Sex (Male, Female or Unknown)]]="Unknown",Backend!$C$8,"Error"))),"")</f>
        <v/>
      </c>
      <c r="F8810" s="8" t="str">
        <f>IF(Table1[[#This Row],[Is Data Valid]]=TRUE,EXP(0.578+0.332*((Table1[[#This Row],[Gestation (days)]]+0.5)/7)-0.00354*((Table1[[#This Row],[Gestation (days)]]+0.5)/7)^2)*Table1[[#This Row],[BW40_3705]],"")</f>
        <v/>
      </c>
      <c r="G8810" s="2" t="str">
        <f>IF(Table1[[#This Row],[Is Data Valid]]=TRUE,((Table1[[#This Row],[Birthweight (grams)]]/Table1[[#This Row],[BW_GA]])-1)/(Backend!$B$4/100*Table1[[#This Row],[BW40_3705]]),"")</f>
        <v/>
      </c>
      <c r="H8810" s="7" t="str">
        <f>IF(Table1[[#This Row],[Is Data Valid]]=TRUE,((Table1[[#This Row],[Birthweight (grams)]]*0.9/Table1[[#This Row],[BW_GA]])-1)/(Backend!$B$4/100*Table1[[#This Row],[BW40_3705]]),"")</f>
        <v/>
      </c>
      <c r="I8810" s="7" t="str">
        <f>IF(Table1[[#This Row],[Is Data Valid]]=TRUE,((Table1[[#This Row],[Birthweight (grams)]]*1.1/Table1[[#This Row],[BW_GA]])-1)/(Backend!$B$4/100*Table1[[#This Row],[BW40_3705]]),"")</f>
        <v/>
      </c>
      <c r="J8810" s="7" t="str">
        <f>IF(Table1[[#This Row],[Is Data Valid]]=TRUE,_xlfn.NORM.S.DIST(Table1[[#This Row],[Birthweight Z-Score]],TRUE)*100,"")</f>
        <v/>
      </c>
      <c r="K8810" s="7" t="str">
        <f>IF(Table1[[#This Row],[Is Data Valid]]=TRUE,_xlfn.NORM.S.DIST(Table1[[#This Row],[Birthweight Z-Score (BW-10%)]],TRUE)*100,"")</f>
        <v/>
      </c>
      <c r="L8810" s="7" t="str">
        <f>IF(Table1[[#This Row],[Is Data Valid]]=TRUE,_xlfn.NORM.S.DIST(Table1[[#This Row],[Birthweight Z-Score (BW+10%)]],TRUE)*100,"")</f>
        <v/>
      </c>
    </row>
    <row r="8811" spans="1:12" x14ac:dyDescent="0.35">
      <c r="A8811" s="3"/>
      <c r="B8811" s="2"/>
      <c r="C8811" s="2"/>
      <c r="D8811" s="2" t="b">
        <f>IF(AND(NOT(ISBLANK(Table1[[#This Row],[Fetal Sex (Male, Female or Unknown)]])),ISNUMBER(Table1[[#This Row],[Birthweight (grams)]]),ISNUMBER(Table1[[#This Row],[Gestation (days)]])),TRUE,FALSE)</f>
        <v>0</v>
      </c>
      <c r="E8811" s="2" t="str">
        <f>IF(Table1[[#This Row],[Is Data Valid]]=TRUE,IF(Table1[[#This Row],[Fetal Sex (Male, Female or Unknown)]]="Male",Backend!$C$6,IF(Table1[[#This Row],[Fetal Sex (Male, Female or Unknown)]]="Female",Backend!$C$7,IF(Table1[[#This Row],[Fetal Sex (Male, Female or Unknown)]]="Unknown",Backend!$C$8,"Error"))),"")</f>
        <v/>
      </c>
      <c r="F8811" s="8" t="str">
        <f>IF(Table1[[#This Row],[Is Data Valid]]=TRUE,EXP(0.578+0.332*((Table1[[#This Row],[Gestation (days)]]+0.5)/7)-0.00354*((Table1[[#This Row],[Gestation (days)]]+0.5)/7)^2)*Table1[[#This Row],[BW40_3705]],"")</f>
        <v/>
      </c>
      <c r="G8811" s="2" t="str">
        <f>IF(Table1[[#This Row],[Is Data Valid]]=TRUE,((Table1[[#This Row],[Birthweight (grams)]]/Table1[[#This Row],[BW_GA]])-1)/(Backend!$B$4/100*Table1[[#This Row],[BW40_3705]]),"")</f>
        <v/>
      </c>
      <c r="H8811" s="7" t="str">
        <f>IF(Table1[[#This Row],[Is Data Valid]]=TRUE,((Table1[[#This Row],[Birthweight (grams)]]*0.9/Table1[[#This Row],[BW_GA]])-1)/(Backend!$B$4/100*Table1[[#This Row],[BW40_3705]]),"")</f>
        <v/>
      </c>
      <c r="I8811" s="7" t="str">
        <f>IF(Table1[[#This Row],[Is Data Valid]]=TRUE,((Table1[[#This Row],[Birthweight (grams)]]*1.1/Table1[[#This Row],[BW_GA]])-1)/(Backend!$B$4/100*Table1[[#This Row],[BW40_3705]]),"")</f>
        <v/>
      </c>
      <c r="J8811" s="7" t="str">
        <f>IF(Table1[[#This Row],[Is Data Valid]]=TRUE,_xlfn.NORM.S.DIST(Table1[[#This Row],[Birthweight Z-Score]],TRUE)*100,"")</f>
        <v/>
      </c>
      <c r="K8811" s="7" t="str">
        <f>IF(Table1[[#This Row],[Is Data Valid]]=TRUE,_xlfn.NORM.S.DIST(Table1[[#This Row],[Birthweight Z-Score (BW-10%)]],TRUE)*100,"")</f>
        <v/>
      </c>
      <c r="L8811" s="7" t="str">
        <f>IF(Table1[[#This Row],[Is Data Valid]]=TRUE,_xlfn.NORM.S.DIST(Table1[[#This Row],[Birthweight Z-Score (BW+10%)]],TRUE)*100,"")</f>
        <v/>
      </c>
    </row>
    <row r="8812" spans="1:12" x14ac:dyDescent="0.35">
      <c r="A8812" s="3"/>
      <c r="B8812" s="2"/>
      <c r="C8812" s="2"/>
      <c r="D8812" s="2" t="b">
        <f>IF(AND(NOT(ISBLANK(Table1[[#This Row],[Fetal Sex (Male, Female or Unknown)]])),ISNUMBER(Table1[[#This Row],[Birthweight (grams)]]),ISNUMBER(Table1[[#This Row],[Gestation (days)]])),TRUE,FALSE)</f>
        <v>0</v>
      </c>
      <c r="E8812" s="2" t="str">
        <f>IF(Table1[[#This Row],[Is Data Valid]]=TRUE,IF(Table1[[#This Row],[Fetal Sex (Male, Female or Unknown)]]="Male",Backend!$C$6,IF(Table1[[#This Row],[Fetal Sex (Male, Female or Unknown)]]="Female",Backend!$C$7,IF(Table1[[#This Row],[Fetal Sex (Male, Female or Unknown)]]="Unknown",Backend!$C$8,"Error"))),"")</f>
        <v/>
      </c>
      <c r="F8812" s="8" t="str">
        <f>IF(Table1[[#This Row],[Is Data Valid]]=TRUE,EXP(0.578+0.332*((Table1[[#This Row],[Gestation (days)]]+0.5)/7)-0.00354*((Table1[[#This Row],[Gestation (days)]]+0.5)/7)^2)*Table1[[#This Row],[BW40_3705]],"")</f>
        <v/>
      </c>
      <c r="G8812" s="2" t="str">
        <f>IF(Table1[[#This Row],[Is Data Valid]]=TRUE,((Table1[[#This Row],[Birthweight (grams)]]/Table1[[#This Row],[BW_GA]])-1)/(Backend!$B$4/100*Table1[[#This Row],[BW40_3705]]),"")</f>
        <v/>
      </c>
      <c r="H8812" s="7" t="str">
        <f>IF(Table1[[#This Row],[Is Data Valid]]=TRUE,((Table1[[#This Row],[Birthweight (grams)]]*0.9/Table1[[#This Row],[BW_GA]])-1)/(Backend!$B$4/100*Table1[[#This Row],[BW40_3705]]),"")</f>
        <v/>
      </c>
      <c r="I8812" s="7" t="str">
        <f>IF(Table1[[#This Row],[Is Data Valid]]=TRUE,((Table1[[#This Row],[Birthweight (grams)]]*1.1/Table1[[#This Row],[BW_GA]])-1)/(Backend!$B$4/100*Table1[[#This Row],[BW40_3705]]),"")</f>
        <v/>
      </c>
      <c r="J8812" s="7" t="str">
        <f>IF(Table1[[#This Row],[Is Data Valid]]=TRUE,_xlfn.NORM.S.DIST(Table1[[#This Row],[Birthweight Z-Score]],TRUE)*100,"")</f>
        <v/>
      </c>
      <c r="K8812" s="7" t="str">
        <f>IF(Table1[[#This Row],[Is Data Valid]]=TRUE,_xlfn.NORM.S.DIST(Table1[[#This Row],[Birthweight Z-Score (BW-10%)]],TRUE)*100,"")</f>
        <v/>
      </c>
      <c r="L8812" s="7" t="str">
        <f>IF(Table1[[#This Row],[Is Data Valid]]=TRUE,_xlfn.NORM.S.DIST(Table1[[#This Row],[Birthweight Z-Score (BW+10%)]],TRUE)*100,"")</f>
        <v/>
      </c>
    </row>
    <row r="8813" spans="1:12" x14ac:dyDescent="0.35">
      <c r="A8813" s="3"/>
      <c r="B8813" s="2"/>
      <c r="C8813" s="2"/>
      <c r="D8813" s="2" t="b">
        <f>IF(AND(NOT(ISBLANK(Table1[[#This Row],[Fetal Sex (Male, Female or Unknown)]])),ISNUMBER(Table1[[#This Row],[Birthweight (grams)]]),ISNUMBER(Table1[[#This Row],[Gestation (days)]])),TRUE,FALSE)</f>
        <v>0</v>
      </c>
      <c r="E8813" s="2" t="str">
        <f>IF(Table1[[#This Row],[Is Data Valid]]=TRUE,IF(Table1[[#This Row],[Fetal Sex (Male, Female or Unknown)]]="Male",Backend!$C$6,IF(Table1[[#This Row],[Fetal Sex (Male, Female or Unknown)]]="Female",Backend!$C$7,IF(Table1[[#This Row],[Fetal Sex (Male, Female or Unknown)]]="Unknown",Backend!$C$8,"Error"))),"")</f>
        <v/>
      </c>
      <c r="F8813" s="8" t="str">
        <f>IF(Table1[[#This Row],[Is Data Valid]]=TRUE,EXP(0.578+0.332*((Table1[[#This Row],[Gestation (days)]]+0.5)/7)-0.00354*((Table1[[#This Row],[Gestation (days)]]+0.5)/7)^2)*Table1[[#This Row],[BW40_3705]],"")</f>
        <v/>
      </c>
      <c r="G8813" s="2" t="str">
        <f>IF(Table1[[#This Row],[Is Data Valid]]=TRUE,((Table1[[#This Row],[Birthweight (grams)]]/Table1[[#This Row],[BW_GA]])-1)/(Backend!$B$4/100*Table1[[#This Row],[BW40_3705]]),"")</f>
        <v/>
      </c>
      <c r="H8813" s="7" t="str">
        <f>IF(Table1[[#This Row],[Is Data Valid]]=TRUE,((Table1[[#This Row],[Birthweight (grams)]]*0.9/Table1[[#This Row],[BW_GA]])-1)/(Backend!$B$4/100*Table1[[#This Row],[BW40_3705]]),"")</f>
        <v/>
      </c>
      <c r="I8813" s="7" t="str">
        <f>IF(Table1[[#This Row],[Is Data Valid]]=TRUE,((Table1[[#This Row],[Birthweight (grams)]]*1.1/Table1[[#This Row],[BW_GA]])-1)/(Backend!$B$4/100*Table1[[#This Row],[BW40_3705]]),"")</f>
        <v/>
      </c>
      <c r="J8813" s="7" t="str">
        <f>IF(Table1[[#This Row],[Is Data Valid]]=TRUE,_xlfn.NORM.S.DIST(Table1[[#This Row],[Birthweight Z-Score]],TRUE)*100,"")</f>
        <v/>
      </c>
      <c r="K8813" s="7" t="str">
        <f>IF(Table1[[#This Row],[Is Data Valid]]=TRUE,_xlfn.NORM.S.DIST(Table1[[#This Row],[Birthweight Z-Score (BW-10%)]],TRUE)*100,"")</f>
        <v/>
      </c>
      <c r="L8813" s="7" t="str">
        <f>IF(Table1[[#This Row],[Is Data Valid]]=TRUE,_xlfn.NORM.S.DIST(Table1[[#This Row],[Birthweight Z-Score (BW+10%)]],TRUE)*100,"")</f>
        <v/>
      </c>
    </row>
    <row r="8814" spans="1:12" x14ac:dyDescent="0.35">
      <c r="A8814" s="3"/>
      <c r="B8814" s="2"/>
      <c r="C8814" s="2"/>
      <c r="D8814" s="2" t="b">
        <f>IF(AND(NOT(ISBLANK(Table1[[#This Row],[Fetal Sex (Male, Female or Unknown)]])),ISNUMBER(Table1[[#This Row],[Birthweight (grams)]]),ISNUMBER(Table1[[#This Row],[Gestation (days)]])),TRUE,FALSE)</f>
        <v>0</v>
      </c>
      <c r="E8814" s="2" t="str">
        <f>IF(Table1[[#This Row],[Is Data Valid]]=TRUE,IF(Table1[[#This Row],[Fetal Sex (Male, Female or Unknown)]]="Male",Backend!$C$6,IF(Table1[[#This Row],[Fetal Sex (Male, Female or Unknown)]]="Female",Backend!$C$7,IF(Table1[[#This Row],[Fetal Sex (Male, Female or Unknown)]]="Unknown",Backend!$C$8,"Error"))),"")</f>
        <v/>
      </c>
      <c r="F8814" s="8" t="str">
        <f>IF(Table1[[#This Row],[Is Data Valid]]=TRUE,EXP(0.578+0.332*((Table1[[#This Row],[Gestation (days)]]+0.5)/7)-0.00354*((Table1[[#This Row],[Gestation (days)]]+0.5)/7)^2)*Table1[[#This Row],[BW40_3705]],"")</f>
        <v/>
      </c>
      <c r="G8814" s="2" t="str">
        <f>IF(Table1[[#This Row],[Is Data Valid]]=TRUE,((Table1[[#This Row],[Birthweight (grams)]]/Table1[[#This Row],[BW_GA]])-1)/(Backend!$B$4/100*Table1[[#This Row],[BW40_3705]]),"")</f>
        <v/>
      </c>
      <c r="H8814" s="7" t="str">
        <f>IF(Table1[[#This Row],[Is Data Valid]]=TRUE,((Table1[[#This Row],[Birthweight (grams)]]*0.9/Table1[[#This Row],[BW_GA]])-1)/(Backend!$B$4/100*Table1[[#This Row],[BW40_3705]]),"")</f>
        <v/>
      </c>
      <c r="I8814" s="7" t="str">
        <f>IF(Table1[[#This Row],[Is Data Valid]]=TRUE,((Table1[[#This Row],[Birthweight (grams)]]*1.1/Table1[[#This Row],[BW_GA]])-1)/(Backend!$B$4/100*Table1[[#This Row],[BW40_3705]]),"")</f>
        <v/>
      </c>
      <c r="J8814" s="7" t="str">
        <f>IF(Table1[[#This Row],[Is Data Valid]]=TRUE,_xlfn.NORM.S.DIST(Table1[[#This Row],[Birthweight Z-Score]],TRUE)*100,"")</f>
        <v/>
      </c>
      <c r="K8814" s="7" t="str">
        <f>IF(Table1[[#This Row],[Is Data Valid]]=TRUE,_xlfn.NORM.S.DIST(Table1[[#This Row],[Birthweight Z-Score (BW-10%)]],TRUE)*100,"")</f>
        <v/>
      </c>
      <c r="L8814" s="7" t="str">
        <f>IF(Table1[[#This Row],[Is Data Valid]]=TRUE,_xlfn.NORM.S.DIST(Table1[[#This Row],[Birthweight Z-Score (BW+10%)]],TRUE)*100,"")</f>
        <v/>
      </c>
    </row>
    <row r="8815" spans="1:12" x14ac:dyDescent="0.35">
      <c r="A8815" s="3"/>
      <c r="B8815" s="2"/>
      <c r="C8815" s="2"/>
      <c r="D8815" s="2" t="b">
        <f>IF(AND(NOT(ISBLANK(Table1[[#This Row],[Fetal Sex (Male, Female or Unknown)]])),ISNUMBER(Table1[[#This Row],[Birthweight (grams)]]),ISNUMBER(Table1[[#This Row],[Gestation (days)]])),TRUE,FALSE)</f>
        <v>0</v>
      </c>
      <c r="E8815" s="2" t="str">
        <f>IF(Table1[[#This Row],[Is Data Valid]]=TRUE,IF(Table1[[#This Row],[Fetal Sex (Male, Female or Unknown)]]="Male",Backend!$C$6,IF(Table1[[#This Row],[Fetal Sex (Male, Female or Unknown)]]="Female",Backend!$C$7,IF(Table1[[#This Row],[Fetal Sex (Male, Female or Unknown)]]="Unknown",Backend!$C$8,"Error"))),"")</f>
        <v/>
      </c>
      <c r="F8815" s="8" t="str">
        <f>IF(Table1[[#This Row],[Is Data Valid]]=TRUE,EXP(0.578+0.332*((Table1[[#This Row],[Gestation (days)]]+0.5)/7)-0.00354*((Table1[[#This Row],[Gestation (days)]]+0.5)/7)^2)*Table1[[#This Row],[BW40_3705]],"")</f>
        <v/>
      </c>
      <c r="G8815" s="2" t="str">
        <f>IF(Table1[[#This Row],[Is Data Valid]]=TRUE,((Table1[[#This Row],[Birthweight (grams)]]/Table1[[#This Row],[BW_GA]])-1)/(Backend!$B$4/100*Table1[[#This Row],[BW40_3705]]),"")</f>
        <v/>
      </c>
      <c r="H8815" s="7" t="str">
        <f>IF(Table1[[#This Row],[Is Data Valid]]=TRUE,((Table1[[#This Row],[Birthweight (grams)]]*0.9/Table1[[#This Row],[BW_GA]])-1)/(Backend!$B$4/100*Table1[[#This Row],[BW40_3705]]),"")</f>
        <v/>
      </c>
      <c r="I8815" s="7" t="str">
        <f>IF(Table1[[#This Row],[Is Data Valid]]=TRUE,((Table1[[#This Row],[Birthweight (grams)]]*1.1/Table1[[#This Row],[BW_GA]])-1)/(Backend!$B$4/100*Table1[[#This Row],[BW40_3705]]),"")</f>
        <v/>
      </c>
      <c r="J8815" s="7" t="str">
        <f>IF(Table1[[#This Row],[Is Data Valid]]=TRUE,_xlfn.NORM.S.DIST(Table1[[#This Row],[Birthweight Z-Score]],TRUE)*100,"")</f>
        <v/>
      </c>
      <c r="K8815" s="7" t="str">
        <f>IF(Table1[[#This Row],[Is Data Valid]]=TRUE,_xlfn.NORM.S.DIST(Table1[[#This Row],[Birthweight Z-Score (BW-10%)]],TRUE)*100,"")</f>
        <v/>
      </c>
      <c r="L8815" s="7" t="str">
        <f>IF(Table1[[#This Row],[Is Data Valid]]=TRUE,_xlfn.NORM.S.DIST(Table1[[#This Row],[Birthweight Z-Score (BW+10%)]],TRUE)*100,"")</f>
        <v/>
      </c>
    </row>
    <row r="8816" spans="1:12" x14ac:dyDescent="0.35">
      <c r="A8816" s="3"/>
      <c r="B8816" s="2"/>
      <c r="C8816" s="2"/>
      <c r="D8816" s="2" t="b">
        <f>IF(AND(NOT(ISBLANK(Table1[[#This Row],[Fetal Sex (Male, Female or Unknown)]])),ISNUMBER(Table1[[#This Row],[Birthweight (grams)]]),ISNUMBER(Table1[[#This Row],[Gestation (days)]])),TRUE,FALSE)</f>
        <v>0</v>
      </c>
      <c r="E8816" s="2" t="str">
        <f>IF(Table1[[#This Row],[Is Data Valid]]=TRUE,IF(Table1[[#This Row],[Fetal Sex (Male, Female or Unknown)]]="Male",Backend!$C$6,IF(Table1[[#This Row],[Fetal Sex (Male, Female or Unknown)]]="Female",Backend!$C$7,IF(Table1[[#This Row],[Fetal Sex (Male, Female or Unknown)]]="Unknown",Backend!$C$8,"Error"))),"")</f>
        <v/>
      </c>
      <c r="F8816" s="8" t="str">
        <f>IF(Table1[[#This Row],[Is Data Valid]]=TRUE,EXP(0.578+0.332*((Table1[[#This Row],[Gestation (days)]]+0.5)/7)-0.00354*((Table1[[#This Row],[Gestation (days)]]+0.5)/7)^2)*Table1[[#This Row],[BW40_3705]],"")</f>
        <v/>
      </c>
      <c r="G8816" s="2" t="str">
        <f>IF(Table1[[#This Row],[Is Data Valid]]=TRUE,((Table1[[#This Row],[Birthweight (grams)]]/Table1[[#This Row],[BW_GA]])-1)/(Backend!$B$4/100*Table1[[#This Row],[BW40_3705]]),"")</f>
        <v/>
      </c>
      <c r="H8816" s="7" t="str">
        <f>IF(Table1[[#This Row],[Is Data Valid]]=TRUE,((Table1[[#This Row],[Birthweight (grams)]]*0.9/Table1[[#This Row],[BW_GA]])-1)/(Backend!$B$4/100*Table1[[#This Row],[BW40_3705]]),"")</f>
        <v/>
      </c>
      <c r="I8816" s="7" t="str">
        <f>IF(Table1[[#This Row],[Is Data Valid]]=TRUE,((Table1[[#This Row],[Birthweight (grams)]]*1.1/Table1[[#This Row],[BW_GA]])-1)/(Backend!$B$4/100*Table1[[#This Row],[BW40_3705]]),"")</f>
        <v/>
      </c>
      <c r="J8816" s="7" t="str">
        <f>IF(Table1[[#This Row],[Is Data Valid]]=TRUE,_xlfn.NORM.S.DIST(Table1[[#This Row],[Birthweight Z-Score]],TRUE)*100,"")</f>
        <v/>
      </c>
      <c r="K8816" s="7" t="str">
        <f>IF(Table1[[#This Row],[Is Data Valid]]=TRUE,_xlfn.NORM.S.DIST(Table1[[#This Row],[Birthweight Z-Score (BW-10%)]],TRUE)*100,"")</f>
        <v/>
      </c>
      <c r="L8816" s="7" t="str">
        <f>IF(Table1[[#This Row],[Is Data Valid]]=TRUE,_xlfn.NORM.S.DIST(Table1[[#This Row],[Birthweight Z-Score (BW+10%)]],TRUE)*100,"")</f>
        <v/>
      </c>
    </row>
    <row r="8817" spans="1:12" x14ac:dyDescent="0.35">
      <c r="A8817" s="3"/>
      <c r="B8817" s="2"/>
      <c r="C8817" s="2"/>
      <c r="D8817" s="2" t="b">
        <f>IF(AND(NOT(ISBLANK(Table1[[#This Row],[Fetal Sex (Male, Female or Unknown)]])),ISNUMBER(Table1[[#This Row],[Birthweight (grams)]]),ISNUMBER(Table1[[#This Row],[Gestation (days)]])),TRUE,FALSE)</f>
        <v>0</v>
      </c>
      <c r="E8817" s="2" t="str">
        <f>IF(Table1[[#This Row],[Is Data Valid]]=TRUE,IF(Table1[[#This Row],[Fetal Sex (Male, Female or Unknown)]]="Male",Backend!$C$6,IF(Table1[[#This Row],[Fetal Sex (Male, Female or Unknown)]]="Female",Backend!$C$7,IF(Table1[[#This Row],[Fetal Sex (Male, Female or Unknown)]]="Unknown",Backend!$C$8,"Error"))),"")</f>
        <v/>
      </c>
      <c r="F8817" s="8" t="str">
        <f>IF(Table1[[#This Row],[Is Data Valid]]=TRUE,EXP(0.578+0.332*((Table1[[#This Row],[Gestation (days)]]+0.5)/7)-0.00354*((Table1[[#This Row],[Gestation (days)]]+0.5)/7)^2)*Table1[[#This Row],[BW40_3705]],"")</f>
        <v/>
      </c>
      <c r="G8817" s="2" t="str">
        <f>IF(Table1[[#This Row],[Is Data Valid]]=TRUE,((Table1[[#This Row],[Birthweight (grams)]]/Table1[[#This Row],[BW_GA]])-1)/(Backend!$B$4/100*Table1[[#This Row],[BW40_3705]]),"")</f>
        <v/>
      </c>
      <c r="H8817" s="7" t="str">
        <f>IF(Table1[[#This Row],[Is Data Valid]]=TRUE,((Table1[[#This Row],[Birthweight (grams)]]*0.9/Table1[[#This Row],[BW_GA]])-1)/(Backend!$B$4/100*Table1[[#This Row],[BW40_3705]]),"")</f>
        <v/>
      </c>
      <c r="I8817" s="7" t="str">
        <f>IF(Table1[[#This Row],[Is Data Valid]]=TRUE,((Table1[[#This Row],[Birthweight (grams)]]*1.1/Table1[[#This Row],[BW_GA]])-1)/(Backend!$B$4/100*Table1[[#This Row],[BW40_3705]]),"")</f>
        <v/>
      </c>
      <c r="J8817" s="7" t="str">
        <f>IF(Table1[[#This Row],[Is Data Valid]]=TRUE,_xlfn.NORM.S.DIST(Table1[[#This Row],[Birthweight Z-Score]],TRUE)*100,"")</f>
        <v/>
      </c>
      <c r="K8817" s="7" t="str">
        <f>IF(Table1[[#This Row],[Is Data Valid]]=TRUE,_xlfn.NORM.S.DIST(Table1[[#This Row],[Birthweight Z-Score (BW-10%)]],TRUE)*100,"")</f>
        <v/>
      </c>
      <c r="L8817" s="7" t="str">
        <f>IF(Table1[[#This Row],[Is Data Valid]]=TRUE,_xlfn.NORM.S.DIST(Table1[[#This Row],[Birthweight Z-Score (BW+10%)]],TRUE)*100,"")</f>
        <v/>
      </c>
    </row>
    <row r="8818" spans="1:12" x14ac:dyDescent="0.35">
      <c r="A8818" s="3"/>
      <c r="B8818" s="2"/>
      <c r="C8818" s="2"/>
      <c r="D8818" s="2" t="b">
        <f>IF(AND(NOT(ISBLANK(Table1[[#This Row],[Fetal Sex (Male, Female or Unknown)]])),ISNUMBER(Table1[[#This Row],[Birthweight (grams)]]),ISNUMBER(Table1[[#This Row],[Gestation (days)]])),TRUE,FALSE)</f>
        <v>0</v>
      </c>
      <c r="E8818" s="2" t="str">
        <f>IF(Table1[[#This Row],[Is Data Valid]]=TRUE,IF(Table1[[#This Row],[Fetal Sex (Male, Female or Unknown)]]="Male",Backend!$C$6,IF(Table1[[#This Row],[Fetal Sex (Male, Female or Unknown)]]="Female",Backend!$C$7,IF(Table1[[#This Row],[Fetal Sex (Male, Female or Unknown)]]="Unknown",Backend!$C$8,"Error"))),"")</f>
        <v/>
      </c>
      <c r="F8818" s="8" t="str">
        <f>IF(Table1[[#This Row],[Is Data Valid]]=TRUE,EXP(0.578+0.332*((Table1[[#This Row],[Gestation (days)]]+0.5)/7)-0.00354*((Table1[[#This Row],[Gestation (days)]]+0.5)/7)^2)*Table1[[#This Row],[BW40_3705]],"")</f>
        <v/>
      </c>
      <c r="G8818" s="2" t="str">
        <f>IF(Table1[[#This Row],[Is Data Valid]]=TRUE,((Table1[[#This Row],[Birthweight (grams)]]/Table1[[#This Row],[BW_GA]])-1)/(Backend!$B$4/100*Table1[[#This Row],[BW40_3705]]),"")</f>
        <v/>
      </c>
      <c r="H8818" s="7" t="str">
        <f>IF(Table1[[#This Row],[Is Data Valid]]=TRUE,((Table1[[#This Row],[Birthweight (grams)]]*0.9/Table1[[#This Row],[BW_GA]])-1)/(Backend!$B$4/100*Table1[[#This Row],[BW40_3705]]),"")</f>
        <v/>
      </c>
      <c r="I8818" s="7" t="str">
        <f>IF(Table1[[#This Row],[Is Data Valid]]=TRUE,((Table1[[#This Row],[Birthweight (grams)]]*1.1/Table1[[#This Row],[BW_GA]])-1)/(Backend!$B$4/100*Table1[[#This Row],[BW40_3705]]),"")</f>
        <v/>
      </c>
      <c r="J8818" s="7" t="str">
        <f>IF(Table1[[#This Row],[Is Data Valid]]=TRUE,_xlfn.NORM.S.DIST(Table1[[#This Row],[Birthweight Z-Score]],TRUE)*100,"")</f>
        <v/>
      </c>
      <c r="K8818" s="7" t="str">
        <f>IF(Table1[[#This Row],[Is Data Valid]]=TRUE,_xlfn.NORM.S.DIST(Table1[[#This Row],[Birthweight Z-Score (BW-10%)]],TRUE)*100,"")</f>
        <v/>
      </c>
      <c r="L8818" s="7" t="str">
        <f>IF(Table1[[#This Row],[Is Data Valid]]=TRUE,_xlfn.NORM.S.DIST(Table1[[#This Row],[Birthweight Z-Score (BW+10%)]],TRUE)*100,"")</f>
        <v/>
      </c>
    </row>
    <row r="8819" spans="1:12" x14ac:dyDescent="0.35">
      <c r="A8819" s="3"/>
      <c r="B8819" s="2"/>
      <c r="C8819" s="2"/>
      <c r="D8819" s="2" t="b">
        <f>IF(AND(NOT(ISBLANK(Table1[[#This Row],[Fetal Sex (Male, Female or Unknown)]])),ISNUMBER(Table1[[#This Row],[Birthweight (grams)]]),ISNUMBER(Table1[[#This Row],[Gestation (days)]])),TRUE,FALSE)</f>
        <v>0</v>
      </c>
      <c r="E8819" s="2" t="str">
        <f>IF(Table1[[#This Row],[Is Data Valid]]=TRUE,IF(Table1[[#This Row],[Fetal Sex (Male, Female or Unknown)]]="Male",Backend!$C$6,IF(Table1[[#This Row],[Fetal Sex (Male, Female or Unknown)]]="Female",Backend!$C$7,IF(Table1[[#This Row],[Fetal Sex (Male, Female or Unknown)]]="Unknown",Backend!$C$8,"Error"))),"")</f>
        <v/>
      </c>
      <c r="F8819" s="8" t="str">
        <f>IF(Table1[[#This Row],[Is Data Valid]]=TRUE,EXP(0.578+0.332*((Table1[[#This Row],[Gestation (days)]]+0.5)/7)-0.00354*((Table1[[#This Row],[Gestation (days)]]+0.5)/7)^2)*Table1[[#This Row],[BW40_3705]],"")</f>
        <v/>
      </c>
      <c r="G8819" s="2" t="str">
        <f>IF(Table1[[#This Row],[Is Data Valid]]=TRUE,((Table1[[#This Row],[Birthweight (grams)]]/Table1[[#This Row],[BW_GA]])-1)/(Backend!$B$4/100*Table1[[#This Row],[BW40_3705]]),"")</f>
        <v/>
      </c>
      <c r="H8819" s="7" t="str">
        <f>IF(Table1[[#This Row],[Is Data Valid]]=TRUE,((Table1[[#This Row],[Birthweight (grams)]]*0.9/Table1[[#This Row],[BW_GA]])-1)/(Backend!$B$4/100*Table1[[#This Row],[BW40_3705]]),"")</f>
        <v/>
      </c>
      <c r="I8819" s="7" t="str">
        <f>IF(Table1[[#This Row],[Is Data Valid]]=TRUE,((Table1[[#This Row],[Birthweight (grams)]]*1.1/Table1[[#This Row],[BW_GA]])-1)/(Backend!$B$4/100*Table1[[#This Row],[BW40_3705]]),"")</f>
        <v/>
      </c>
      <c r="J8819" s="7" t="str">
        <f>IF(Table1[[#This Row],[Is Data Valid]]=TRUE,_xlfn.NORM.S.DIST(Table1[[#This Row],[Birthweight Z-Score]],TRUE)*100,"")</f>
        <v/>
      </c>
      <c r="K8819" s="7" t="str">
        <f>IF(Table1[[#This Row],[Is Data Valid]]=TRUE,_xlfn.NORM.S.DIST(Table1[[#This Row],[Birthweight Z-Score (BW-10%)]],TRUE)*100,"")</f>
        <v/>
      </c>
      <c r="L8819" s="7" t="str">
        <f>IF(Table1[[#This Row],[Is Data Valid]]=TRUE,_xlfn.NORM.S.DIST(Table1[[#This Row],[Birthweight Z-Score (BW+10%)]],TRUE)*100,"")</f>
        <v/>
      </c>
    </row>
    <row r="8820" spans="1:12" x14ac:dyDescent="0.35">
      <c r="A8820" s="3"/>
      <c r="B8820" s="2"/>
      <c r="C8820" s="2"/>
      <c r="D8820" s="2" t="b">
        <f>IF(AND(NOT(ISBLANK(Table1[[#This Row],[Fetal Sex (Male, Female or Unknown)]])),ISNUMBER(Table1[[#This Row],[Birthweight (grams)]]),ISNUMBER(Table1[[#This Row],[Gestation (days)]])),TRUE,FALSE)</f>
        <v>0</v>
      </c>
      <c r="E8820" s="2" t="str">
        <f>IF(Table1[[#This Row],[Is Data Valid]]=TRUE,IF(Table1[[#This Row],[Fetal Sex (Male, Female or Unknown)]]="Male",Backend!$C$6,IF(Table1[[#This Row],[Fetal Sex (Male, Female or Unknown)]]="Female",Backend!$C$7,IF(Table1[[#This Row],[Fetal Sex (Male, Female or Unknown)]]="Unknown",Backend!$C$8,"Error"))),"")</f>
        <v/>
      </c>
      <c r="F8820" s="8" t="str">
        <f>IF(Table1[[#This Row],[Is Data Valid]]=TRUE,EXP(0.578+0.332*((Table1[[#This Row],[Gestation (days)]]+0.5)/7)-0.00354*((Table1[[#This Row],[Gestation (days)]]+0.5)/7)^2)*Table1[[#This Row],[BW40_3705]],"")</f>
        <v/>
      </c>
      <c r="G8820" s="2" t="str">
        <f>IF(Table1[[#This Row],[Is Data Valid]]=TRUE,((Table1[[#This Row],[Birthweight (grams)]]/Table1[[#This Row],[BW_GA]])-1)/(Backend!$B$4/100*Table1[[#This Row],[BW40_3705]]),"")</f>
        <v/>
      </c>
      <c r="H8820" s="7" t="str">
        <f>IF(Table1[[#This Row],[Is Data Valid]]=TRUE,((Table1[[#This Row],[Birthweight (grams)]]*0.9/Table1[[#This Row],[BW_GA]])-1)/(Backend!$B$4/100*Table1[[#This Row],[BW40_3705]]),"")</f>
        <v/>
      </c>
      <c r="I8820" s="7" t="str">
        <f>IF(Table1[[#This Row],[Is Data Valid]]=TRUE,((Table1[[#This Row],[Birthweight (grams)]]*1.1/Table1[[#This Row],[BW_GA]])-1)/(Backend!$B$4/100*Table1[[#This Row],[BW40_3705]]),"")</f>
        <v/>
      </c>
      <c r="J8820" s="7" t="str">
        <f>IF(Table1[[#This Row],[Is Data Valid]]=TRUE,_xlfn.NORM.S.DIST(Table1[[#This Row],[Birthweight Z-Score]],TRUE)*100,"")</f>
        <v/>
      </c>
      <c r="K8820" s="7" t="str">
        <f>IF(Table1[[#This Row],[Is Data Valid]]=TRUE,_xlfn.NORM.S.DIST(Table1[[#This Row],[Birthweight Z-Score (BW-10%)]],TRUE)*100,"")</f>
        <v/>
      </c>
      <c r="L8820" s="7" t="str">
        <f>IF(Table1[[#This Row],[Is Data Valid]]=TRUE,_xlfn.NORM.S.DIST(Table1[[#This Row],[Birthweight Z-Score (BW+10%)]],TRUE)*100,"")</f>
        <v/>
      </c>
    </row>
    <row r="8821" spans="1:12" x14ac:dyDescent="0.35">
      <c r="A8821" s="3"/>
      <c r="B8821" s="2"/>
      <c r="C8821" s="2"/>
      <c r="D8821" s="2" t="b">
        <f>IF(AND(NOT(ISBLANK(Table1[[#This Row],[Fetal Sex (Male, Female or Unknown)]])),ISNUMBER(Table1[[#This Row],[Birthweight (grams)]]),ISNUMBER(Table1[[#This Row],[Gestation (days)]])),TRUE,FALSE)</f>
        <v>0</v>
      </c>
      <c r="E8821" s="2" t="str">
        <f>IF(Table1[[#This Row],[Is Data Valid]]=TRUE,IF(Table1[[#This Row],[Fetal Sex (Male, Female or Unknown)]]="Male",Backend!$C$6,IF(Table1[[#This Row],[Fetal Sex (Male, Female or Unknown)]]="Female",Backend!$C$7,IF(Table1[[#This Row],[Fetal Sex (Male, Female or Unknown)]]="Unknown",Backend!$C$8,"Error"))),"")</f>
        <v/>
      </c>
      <c r="F8821" s="8" t="str">
        <f>IF(Table1[[#This Row],[Is Data Valid]]=TRUE,EXP(0.578+0.332*((Table1[[#This Row],[Gestation (days)]]+0.5)/7)-0.00354*((Table1[[#This Row],[Gestation (days)]]+0.5)/7)^2)*Table1[[#This Row],[BW40_3705]],"")</f>
        <v/>
      </c>
      <c r="G8821" s="2" t="str">
        <f>IF(Table1[[#This Row],[Is Data Valid]]=TRUE,((Table1[[#This Row],[Birthweight (grams)]]/Table1[[#This Row],[BW_GA]])-1)/(Backend!$B$4/100*Table1[[#This Row],[BW40_3705]]),"")</f>
        <v/>
      </c>
      <c r="H8821" s="7" t="str">
        <f>IF(Table1[[#This Row],[Is Data Valid]]=TRUE,((Table1[[#This Row],[Birthweight (grams)]]*0.9/Table1[[#This Row],[BW_GA]])-1)/(Backend!$B$4/100*Table1[[#This Row],[BW40_3705]]),"")</f>
        <v/>
      </c>
      <c r="I8821" s="7" t="str">
        <f>IF(Table1[[#This Row],[Is Data Valid]]=TRUE,((Table1[[#This Row],[Birthweight (grams)]]*1.1/Table1[[#This Row],[BW_GA]])-1)/(Backend!$B$4/100*Table1[[#This Row],[BW40_3705]]),"")</f>
        <v/>
      </c>
      <c r="J8821" s="7" t="str">
        <f>IF(Table1[[#This Row],[Is Data Valid]]=TRUE,_xlfn.NORM.S.DIST(Table1[[#This Row],[Birthweight Z-Score]],TRUE)*100,"")</f>
        <v/>
      </c>
      <c r="K8821" s="7" t="str">
        <f>IF(Table1[[#This Row],[Is Data Valid]]=TRUE,_xlfn.NORM.S.DIST(Table1[[#This Row],[Birthweight Z-Score (BW-10%)]],TRUE)*100,"")</f>
        <v/>
      </c>
      <c r="L8821" s="7" t="str">
        <f>IF(Table1[[#This Row],[Is Data Valid]]=TRUE,_xlfn.NORM.S.DIST(Table1[[#This Row],[Birthweight Z-Score (BW+10%)]],TRUE)*100,"")</f>
        <v/>
      </c>
    </row>
    <row r="8822" spans="1:12" x14ac:dyDescent="0.35">
      <c r="A8822" s="3"/>
      <c r="B8822" s="2"/>
      <c r="C8822" s="2"/>
      <c r="D8822" s="2" t="b">
        <f>IF(AND(NOT(ISBLANK(Table1[[#This Row],[Fetal Sex (Male, Female or Unknown)]])),ISNUMBER(Table1[[#This Row],[Birthweight (grams)]]),ISNUMBER(Table1[[#This Row],[Gestation (days)]])),TRUE,FALSE)</f>
        <v>0</v>
      </c>
      <c r="E8822" s="2" t="str">
        <f>IF(Table1[[#This Row],[Is Data Valid]]=TRUE,IF(Table1[[#This Row],[Fetal Sex (Male, Female or Unknown)]]="Male",Backend!$C$6,IF(Table1[[#This Row],[Fetal Sex (Male, Female or Unknown)]]="Female",Backend!$C$7,IF(Table1[[#This Row],[Fetal Sex (Male, Female or Unknown)]]="Unknown",Backend!$C$8,"Error"))),"")</f>
        <v/>
      </c>
      <c r="F8822" s="8" t="str">
        <f>IF(Table1[[#This Row],[Is Data Valid]]=TRUE,EXP(0.578+0.332*((Table1[[#This Row],[Gestation (days)]]+0.5)/7)-0.00354*((Table1[[#This Row],[Gestation (days)]]+0.5)/7)^2)*Table1[[#This Row],[BW40_3705]],"")</f>
        <v/>
      </c>
      <c r="G8822" s="2" t="str">
        <f>IF(Table1[[#This Row],[Is Data Valid]]=TRUE,((Table1[[#This Row],[Birthweight (grams)]]/Table1[[#This Row],[BW_GA]])-1)/(Backend!$B$4/100*Table1[[#This Row],[BW40_3705]]),"")</f>
        <v/>
      </c>
      <c r="H8822" s="7" t="str">
        <f>IF(Table1[[#This Row],[Is Data Valid]]=TRUE,((Table1[[#This Row],[Birthweight (grams)]]*0.9/Table1[[#This Row],[BW_GA]])-1)/(Backend!$B$4/100*Table1[[#This Row],[BW40_3705]]),"")</f>
        <v/>
      </c>
      <c r="I8822" s="7" t="str">
        <f>IF(Table1[[#This Row],[Is Data Valid]]=TRUE,((Table1[[#This Row],[Birthweight (grams)]]*1.1/Table1[[#This Row],[BW_GA]])-1)/(Backend!$B$4/100*Table1[[#This Row],[BW40_3705]]),"")</f>
        <v/>
      </c>
      <c r="J8822" s="7" t="str">
        <f>IF(Table1[[#This Row],[Is Data Valid]]=TRUE,_xlfn.NORM.S.DIST(Table1[[#This Row],[Birthweight Z-Score]],TRUE)*100,"")</f>
        <v/>
      </c>
      <c r="K8822" s="7" t="str">
        <f>IF(Table1[[#This Row],[Is Data Valid]]=TRUE,_xlfn.NORM.S.DIST(Table1[[#This Row],[Birthweight Z-Score (BW-10%)]],TRUE)*100,"")</f>
        <v/>
      </c>
      <c r="L8822" s="7" t="str">
        <f>IF(Table1[[#This Row],[Is Data Valid]]=TRUE,_xlfn.NORM.S.DIST(Table1[[#This Row],[Birthweight Z-Score (BW+10%)]],TRUE)*100,"")</f>
        <v/>
      </c>
    </row>
    <row r="8823" spans="1:12" x14ac:dyDescent="0.35">
      <c r="A8823" s="3"/>
      <c r="B8823" s="2"/>
      <c r="C8823" s="2"/>
      <c r="D8823" s="2" t="b">
        <f>IF(AND(NOT(ISBLANK(Table1[[#This Row],[Fetal Sex (Male, Female or Unknown)]])),ISNUMBER(Table1[[#This Row],[Birthweight (grams)]]),ISNUMBER(Table1[[#This Row],[Gestation (days)]])),TRUE,FALSE)</f>
        <v>0</v>
      </c>
      <c r="E8823" s="2" t="str">
        <f>IF(Table1[[#This Row],[Is Data Valid]]=TRUE,IF(Table1[[#This Row],[Fetal Sex (Male, Female or Unknown)]]="Male",Backend!$C$6,IF(Table1[[#This Row],[Fetal Sex (Male, Female or Unknown)]]="Female",Backend!$C$7,IF(Table1[[#This Row],[Fetal Sex (Male, Female or Unknown)]]="Unknown",Backend!$C$8,"Error"))),"")</f>
        <v/>
      </c>
      <c r="F8823" s="8" t="str">
        <f>IF(Table1[[#This Row],[Is Data Valid]]=TRUE,EXP(0.578+0.332*((Table1[[#This Row],[Gestation (days)]]+0.5)/7)-0.00354*((Table1[[#This Row],[Gestation (days)]]+0.5)/7)^2)*Table1[[#This Row],[BW40_3705]],"")</f>
        <v/>
      </c>
      <c r="G8823" s="2" t="str">
        <f>IF(Table1[[#This Row],[Is Data Valid]]=TRUE,((Table1[[#This Row],[Birthweight (grams)]]/Table1[[#This Row],[BW_GA]])-1)/(Backend!$B$4/100*Table1[[#This Row],[BW40_3705]]),"")</f>
        <v/>
      </c>
      <c r="H8823" s="7" t="str">
        <f>IF(Table1[[#This Row],[Is Data Valid]]=TRUE,((Table1[[#This Row],[Birthweight (grams)]]*0.9/Table1[[#This Row],[BW_GA]])-1)/(Backend!$B$4/100*Table1[[#This Row],[BW40_3705]]),"")</f>
        <v/>
      </c>
      <c r="I8823" s="7" t="str">
        <f>IF(Table1[[#This Row],[Is Data Valid]]=TRUE,((Table1[[#This Row],[Birthweight (grams)]]*1.1/Table1[[#This Row],[BW_GA]])-1)/(Backend!$B$4/100*Table1[[#This Row],[BW40_3705]]),"")</f>
        <v/>
      </c>
      <c r="J8823" s="7" t="str">
        <f>IF(Table1[[#This Row],[Is Data Valid]]=TRUE,_xlfn.NORM.S.DIST(Table1[[#This Row],[Birthweight Z-Score]],TRUE)*100,"")</f>
        <v/>
      </c>
      <c r="K8823" s="7" t="str">
        <f>IF(Table1[[#This Row],[Is Data Valid]]=TRUE,_xlfn.NORM.S.DIST(Table1[[#This Row],[Birthweight Z-Score (BW-10%)]],TRUE)*100,"")</f>
        <v/>
      </c>
      <c r="L8823" s="7" t="str">
        <f>IF(Table1[[#This Row],[Is Data Valid]]=TRUE,_xlfn.NORM.S.DIST(Table1[[#This Row],[Birthweight Z-Score (BW+10%)]],TRUE)*100,"")</f>
        <v/>
      </c>
    </row>
    <row r="8824" spans="1:12" x14ac:dyDescent="0.35">
      <c r="A8824" s="3"/>
      <c r="B8824" s="2"/>
      <c r="C8824" s="2"/>
      <c r="D8824" s="2" t="b">
        <f>IF(AND(NOT(ISBLANK(Table1[[#This Row],[Fetal Sex (Male, Female or Unknown)]])),ISNUMBER(Table1[[#This Row],[Birthweight (grams)]]),ISNUMBER(Table1[[#This Row],[Gestation (days)]])),TRUE,FALSE)</f>
        <v>0</v>
      </c>
      <c r="E8824" s="2" t="str">
        <f>IF(Table1[[#This Row],[Is Data Valid]]=TRUE,IF(Table1[[#This Row],[Fetal Sex (Male, Female or Unknown)]]="Male",Backend!$C$6,IF(Table1[[#This Row],[Fetal Sex (Male, Female or Unknown)]]="Female",Backend!$C$7,IF(Table1[[#This Row],[Fetal Sex (Male, Female or Unknown)]]="Unknown",Backend!$C$8,"Error"))),"")</f>
        <v/>
      </c>
      <c r="F8824" s="8" t="str">
        <f>IF(Table1[[#This Row],[Is Data Valid]]=TRUE,EXP(0.578+0.332*((Table1[[#This Row],[Gestation (days)]]+0.5)/7)-0.00354*((Table1[[#This Row],[Gestation (days)]]+0.5)/7)^2)*Table1[[#This Row],[BW40_3705]],"")</f>
        <v/>
      </c>
      <c r="G8824" s="2" t="str">
        <f>IF(Table1[[#This Row],[Is Data Valid]]=TRUE,((Table1[[#This Row],[Birthweight (grams)]]/Table1[[#This Row],[BW_GA]])-1)/(Backend!$B$4/100*Table1[[#This Row],[BW40_3705]]),"")</f>
        <v/>
      </c>
      <c r="H8824" s="7" t="str">
        <f>IF(Table1[[#This Row],[Is Data Valid]]=TRUE,((Table1[[#This Row],[Birthweight (grams)]]*0.9/Table1[[#This Row],[BW_GA]])-1)/(Backend!$B$4/100*Table1[[#This Row],[BW40_3705]]),"")</f>
        <v/>
      </c>
      <c r="I8824" s="7" t="str">
        <f>IF(Table1[[#This Row],[Is Data Valid]]=TRUE,((Table1[[#This Row],[Birthweight (grams)]]*1.1/Table1[[#This Row],[BW_GA]])-1)/(Backend!$B$4/100*Table1[[#This Row],[BW40_3705]]),"")</f>
        <v/>
      </c>
      <c r="J8824" s="7" t="str">
        <f>IF(Table1[[#This Row],[Is Data Valid]]=TRUE,_xlfn.NORM.S.DIST(Table1[[#This Row],[Birthweight Z-Score]],TRUE)*100,"")</f>
        <v/>
      </c>
      <c r="K8824" s="7" t="str">
        <f>IF(Table1[[#This Row],[Is Data Valid]]=TRUE,_xlfn.NORM.S.DIST(Table1[[#This Row],[Birthweight Z-Score (BW-10%)]],TRUE)*100,"")</f>
        <v/>
      </c>
      <c r="L8824" s="7" t="str">
        <f>IF(Table1[[#This Row],[Is Data Valid]]=TRUE,_xlfn.NORM.S.DIST(Table1[[#This Row],[Birthweight Z-Score (BW+10%)]],TRUE)*100,"")</f>
        <v/>
      </c>
    </row>
    <row r="8825" spans="1:12" x14ac:dyDescent="0.35">
      <c r="A8825" s="3"/>
      <c r="B8825" s="2"/>
      <c r="C8825" s="2"/>
      <c r="D8825" s="2" t="b">
        <f>IF(AND(NOT(ISBLANK(Table1[[#This Row],[Fetal Sex (Male, Female or Unknown)]])),ISNUMBER(Table1[[#This Row],[Birthweight (grams)]]),ISNUMBER(Table1[[#This Row],[Gestation (days)]])),TRUE,FALSE)</f>
        <v>0</v>
      </c>
      <c r="E8825" s="2" t="str">
        <f>IF(Table1[[#This Row],[Is Data Valid]]=TRUE,IF(Table1[[#This Row],[Fetal Sex (Male, Female or Unknown)]]="Male",Backend!$C$6,IF(Table1[[#This Row],[Fetal Sex (Male, Female or Unknown)]]="Female",Backend!$C$7,IF(Table1[[#This Row],[Fetal Sex (Male, Female or Unknown)]]="Unknown",Backend!$C$8,"Error"))),"")</f>
        <v/>
      </c>
      <c r="F8825" s="8" t="str">
        <f>IF(Table1[[#This Row],[Is Data Valid]]=TRUE,EXP(0.578+0.332*((Table1[[#This Row],[Gestation (days)]]+0.5)/7)-0.00354*((Table1[[#This Row],[Gestation (days)]]+0.5)/7)^2)*Table1[[#This Row],[BW40_3705]],"")</f>
        <v/>
      </c>
      <c r="G8825" s="2" t="str">
        <f>IF(Table1[[#This Row],[Is Data Valid]]=TRUE,((Table1[[#This Row],[Birthweight (grams)]]/Table1[[#This Row],[BW_GA]])-1)/(Backend!$B$4/100*Table1[[#This Row],[BW40_3705]]),"")</f>
        <v/>
      </c>
      <c r="H8825" s="7" t="str">
        <f>IF(Table1[[#This Row],[Is Data Valid]]=TRUE,((Table1[[#This Row],[Birthweight (grams)]]*0.9/Table1[[#This Row],[BW_GA]])-1)/(Backend!$B$4/100*Table1[[#This Row],[BW40_3705]]),"")</f>
        <v/>
      </c>
      <c r="I8825" s="7" t="str">
        <f>IF(Table1[[#This Row],[Is Data Valid]]=TRUE,((Table1[[#This Row],[Birthweight (grams)]]*1.1/Table1[[#This Row],[BW_GA]])-1)/(Backend!$B$4/100*Table1[[#This Row],[BW40_3705]]),"")</f>
        <v/>
      </c>
      <c r="J8825" s="7" t="str">
        <f>IF(Table1[[#This Row],[Is Data Valid]]=TRUE,_xlfn.NORM.S.DIST(Table1[[#This Row],[Birthweight Z-Score]],TRUE)*100,"")</f>
        <v/>
      </c>
      <c r="K8825" s="7" t="str">
        <f>IF(Table1[[#This Row],[Is Data Valid]]=TRUE,_xlfn.NORM.S.DIST(Table1[[#This Row],[Birthweight Z-Score (BW-10%)]],TRUE)*100,"")</f>
        <v/>
      </c>
      <c r="L8825" s="7" t="str">
        <f>IF(Table1[[#This Row],[Is Data Valid]]=TRUE,_xlfn.NORM.S.DIST(Table1[[#This Row],[Birthweight Z-Score (BW+10%)]],TRUE)*100,"")</f>
        <v/>
      </c>
    </row>
    <row r="8826" spans="1:12" x14ac:dyDescent="0.35">
      <c r="A8826" s="3"/>
      <c r="B8826" s="2"/>
      <c r="C8826" s="2"/>
      <c r="D8826" s="2" t="b">
        <f>IF(AND(NOT(ISBLANK(Table1[[#This Row],[Fetal Sex (Male, Female or Unknown)]])),ISNUMBER(Table1[[#This Row],[Birthweight (grams)]]),ISNUMBER(Table1[[#This Row],[Gestation (days)]])),TRUE,FALSE)</f>
        <v>0</v>
      </c>
      <c r="E8826" s="2" t="str">
        <f>IF(Table1[[#This Row],[Is Data Valid]]=TRUE,IF(Table1[[#This Row],[Fetal Sex (Male, Female or Unknown)]]="Male",Backend!$C$6,IF(Table1[[#This Row],[Fetal Sex (Male, Female or Unknown)]]="Female",Backend!$C$7,IF(Table1[[#This Row],[Fetal Sex (Male, Female or Unknown)]]="Unknown",Backend!$C$8,"Error"))),"")</f>
        <v/>
      </c>
      <c r="F8826" s="8" t="str">
        <f>IF(Table1[[#This Row],[Is Data Valid]]=TRUE,EXP(0.578+0.332*((Table1[[#This Row],[Gestation (days)]]+0.5)/7)-0.00354*((Table1[[#This Row],[Gestation (days)]]+0.5)/7)^2)*Table1[[#This Row],[BW40_3705]],"")</f>
        <v/>
      </c>
      <c r="G8826" s="2" t="str">
        <f>IF(Table1[[#This Row],[Is Data Valid]]=TRUE,((Table1[[#This Row],[Birthweight (grams)]]/Table1[[#This Row],[BW_GA]])-1)/(Backend!$B$4/100*Table1[[#This Row],[BW40_3705]]),"")</f>
        <v/>
      </c>
      <c r="H8826" s="7" t="str">
        <f>IF(Table1[[#This Row],[Is Data Valid]]=TRUE,((Table1[[#This Row],[Birthweight (grams)]]*0.9/Table1[[#This Row],[BW_GA]])-1)/(Backend!$B$4/100*Table1[[#This Row],[BW40_3705]]),"")</f>
        <v/>
      </c>
      <c r="I8826" s="7" t="str">
        <f>IF(Table1[[#This Row],[Is Data Valid]]=TRUE,((Table1[[#This Row],[Birthweight (grams)]]*1.1/Table1[[#This Row],[BW_GA]])-1)/(Backend!$B$4/100*Table1[[#This Row],[BW40_3705]]),"")</f>
        <v/>
      </c>
      <c r="J8826" s="7" t="str">
        <f>IF(Table1[[#This Row],[Is Data Valid]]=TRUE,_xlfn.NORM.S.DIST(Table1[[#This Row],[Birthweight Z-Score]],TRUE)*100,"")</f>
        <v/>
      </c>
      <c r="K8826" s="7" t="str">
        <f>IF(Table1[[#This Row],[Is Data Valid]]=TRUE,_xlfn.NORM.S.DIST(Table1[[#This Row],[Birthweight Z-Score (BW-10%)]],TRUE)*100,"")</f>
        <v/>
      </c>
      <c r="L8826" s="7" t="str">
        <f>IF(Table1[[#This Row],[Is Data Valid]]=TRUE,_xlfn.NORM.S.DIST(Table1[[#This Row],[Birthweight Z-Score (BW+10%)]],TRUE)*100,"")</f>
        <v/>
      </c>
    </row>
    <row r="8827" spans="1:12" x14ac:dyDescent="0.35">
      <c r="A8827" s="3"/>
      <c r="B8827" s="2"/>
      <c r="C8827" s="2"/>
      <c r="D8827" s="2" t="b">
        <f>IF(AND(NOT(ISBLANK(Table1[[#This Row],[Fetal Sex (Male, Female or Unknown)]])),ISNUMBER(Table1[[#This Row],[Birthweight (grams)]]),ISNUMBER(Table1[[#This Row],[Gestation (days)]])),TRUE,FALSE)</f>
        <v>0</v>
      </c>
      <c r="E8827" s="2" t="str">
        <f>IF(Table1[[#This Row],[Is Data Valid]]=TRUE,IF(Table1[[#This Row],[Fetal Sex (Male, Female or Unknown)]]="Male",Backend!$C$6,IF(Table1[[#This Row],[Fetal Sex (Male, Female or Unknown)]]="Female",Backend!$C$7,IF(Table1[[#This Row],[Fetal Sex (Male, Female or Unknown)]]="Unknown",Backend!$C$8,"Error"))),"")</f>
        <v/>
      </c>
      <c r="F8827" s="8" t="str">
        <f>IF(Table1[[#This Row],[Is Data Valid]]=TRUE,EXP(0.578+0.332*((Table1[[#This Row],[Gestation (days)]]+0.5)/7)-0.00354*((Table1[[#This Row],[Gestation (days)]]+0.5)/7)^2)*Table1[[#This Row],[BW40_3705]],"")</f>
        <v/>
      </c>
      <c r="G8827" s="2" t="str">
        <f>IF(Table1[[#This Row],[Is Data Valid]]=TRUE,((Table1[[#This Row],[Birthweight (grams)]]/Table1[[#This Row],[BW_GA]])-1)/(Backend!$B$4/100*Table1[[#This Row],[BW40_3705]]),"")</f>
        <v/>
      </c>
      <c r="H8827" s="7" t="str">
        <f>IF(Table1[[#This Row],[Is Data Valid]]=TRUE,((Table1[[#This Row],[Birthweight (grams)]]*0.9/Table1[[#This Row],[BW_GA]])-1)/(Backend!$B$4/100*Table1[[#This Row],[BW40_3705]]),"")</f>
        <v/>
      </c>
      <c r="I8827" s="7" t="str">
        <f>IF(Table1[[#This Row],[Is Data Valid]]=TRUE,((Table1[[#This Row],[Birthweight (grams)]]*1.1/Table1[[#This Row],[BW_GA]])-1)/(Backend!$B$4/100*Table1[[#This Row],[BW40_3705]]),"")</f>
        <v/>
      </c>
      <c r="J8827" s="7" t="str">
        <f>IF(Table1[[#This Row],[Is Data Valid]]=TRUE,_xlfn.NORM.S.DIST(Table1[[#This Row],[Birthweight Z-Score]],TRUE)*100,"")</f>
        <v/>
      </c>
      <c r="K8827" s="7" t="str">
        <f>IF(Table1[[#This Row],[Is Data Valid]]=TRUE,_xlfn.NORM.S.DIST(Table1[[#This Row],[Birthweight Z-Score (BW-10%)]],TRUE)*100,"")</f>
        <v/>
      </c>
      <c r="L8827" s="7" t="str">
        <f>IF(Table1[[#This Row],[Is Data Valid]]=TRUE,_xlfn.NORM.S.DIST(Table1[[#This Row],[Birthweight Z-Score (BW+10%)]],TRUE)*100,"")</f>
        <v/>
      </c>
    </row>
    <row r="8828" spans="1:12" x14ac:dyDescent="0.35">
      <c r="A8828" s="3"/>
      <c r="B8828" s="2"/>
      <c r="C8828" s="2"/>
      <c r="D8828" s="2" t="b">
        <f>IF(AND(NOT(ISBLANK(Table1[[#This Row],[Fetal Sex (Male, Female or Unknown)]])),ISNUMBER(Table1[[#This Row],[Birthweight (grams)]]),ISNUMBER(Table1[[#This Row],[Gestation (days)]])),TRUE,FALSE)</f>
        <v>0</v>
      </c>
      <c r="E8828" s="2" t="str">
        <f>IF(Table1[[#This Row],[Is Data Valid]]=TRUE,IF(Table1[[#This Row],[Fetal Sex (Male, Female or Unknown)]]="Male",Backend!$C$6,IF(Table1[[#This Row],[Fetal Sex (Male, Female or Unknown)]]="Female",Backend!$C$7,IF(Table1[[#This Row],[Fetal Sex (Male, Female or Unknown)]]="Unknown",Backend!$C$8,"Error"))),"")</f>
        <v/>
      </c>
      <c r="F8828" s="8" t="str">
        <f>IF(Table1[[#This Row],[Is Data Valid]]=TRUE,EXP(0.578+0.332*((Table1[[#This Row],[Gestation (days)]]+0.5)/7)-0.00354*((Table1[[#This Row],[Gestation (days)]]+0.5)/7)^2)*Table1[[#This Row],[BW40_3705]],"")</f>
        <v/>
      </c>
      <c r="G8828" s="2" t="str">
        <f>IF(Table1[[#This Row],[Is Data Valid]]=TRUE,((Table1[[#This Row],[Birthweight (grams)]]/Table1[[#This Row],[BW_GA]])-1)/(Backend!$B$4/100*Table1[[#This Row],[BW40_3705]]),"")</f>
        <v/>
      </c>
      <c r="H8828" s="7" t="str">
        <f>IF(Table1[[#This Row],[Is Data Valid]]=TRUE,((Table1[[#This Row],[Birthweight (grams)]]*0.9/Table1[[#This Row],[BW_GA]])-1)/(Backend!$B$4/100*Table1[[#This Row],[BW40_3705]]),"")</f>
        <v/>
      </c>
      <c r="I8828" s="7" t="str">
        <f>IF(Table1[[#This Row],[Is Data Valid]]=TRUE,((Table1[[#This Row],[Birthweight (grams)]]*1.1/Table1[[#This Row],[BW_GA]])-1)/(Backend!$B$4/100*Table1[[#This Row],[BW40_3705]]),"")</f>
        <v/>
      </c>
      <c r="J8828" s="7" t="str">
        <f>IF(Table1[[#This Row],[Is Data Valid]]=TRUE,_xlfn.NORM.S.DIST(Table1[[#This Row],[Birthweight Z-Score]],TRUE)*100,"")</f>
        <v/>
      </c>
      <c r="K8828" s="7" t="str">
        <f>IF(Table1[[#This Row],[Is Data Valid]]=TRUE,_xlfn.NORM.S.DIST(Table1[[#This Row],[Birthweight Z-Score (BW-10%)]],TRUE)*100,"")</f>
        <v/>
      </c>
      <c r="L8828" s="7" t="str">
        <f>IF(Table1[[#This Row],[Is Data Valid]]=TRUE,_xlfn.NORM.S.DIST(Table1[[#This Row],[Birthweight Z-Score (BW+10%)]],TRUE)*100,"")</f>
        <v/>
      </c>
    </row>
    <row r="8829" spans="1:12" x14ac:dyDescent="0.35">
      <c r="A8829" s="3"/>
      <c r="B8829" s="2"/>
      <c r="C8829" s="2"/>
      <c r="D8829" s="2" t="b">
        <f>IF(AND(NOT(ISBLANK(Table1[[#This Row],[Fetal Sex (Male, Female or Unknown)]])),ISNUMBER(Table1[[#This Row],[Birthweight (grams)]]),ISNUMBER(Table1[[#This Row],[Gestation (days)]])),TRUE,FALSE)</f>
        <v>0</v>
      </c>
      <c r="E8829" s="2" t="str">
        <f>IF(Table1[[#This Row],[Is Data Valid]]=TRUE,IF(Table1[[#This Row],[Fetal Sex (Male, Female or Unknown)]]="Male",Backend!$C$6,IF(Table1[[#This Row],[Fetal Sex (Male, Female or Unknown)]]="Female",Backend!$C$7,IF(Table1[[#This Row],[Fetal Sex (Male, Female or Unknown)]]="Unknown",Backend!$C$8,"Error"))),"")</f>
        <v/>
      </c>
      <c r="F8829" s="8" t="str">
        <f>IF(Table1[[#This Row],[Is Data Valid]]=TRUE,EXP(0.578+0.332*((Table1[[#This Row],[Gestation (days)]]+0.5)/7)-0.00354*((Table1[[#This Row],[Gestation (days)]]+0.5)/7)^2)*Table1[[#This Row],[BW40_3705]],"")</f>
        <v/>
      </c>
      <c r="G8829" s="2" t="str">
        <f>IF(Table1[[#This Row],[Is Data Valid]]=TRUE,((Table1[[#This Row],[Birthweight (grams)]]/Table1[[#This Row],[BW_GA]])-1)/(Backend!$B$4/100*Table1[[#This Row],[BW40_3705]]),"")</f>
        <v/>
      </c>
      <c r="H8829" s="7" t="str">
        <f>IF(Table1[[#This Row],[Is Data Valid]]=TRUE,((Table1[[#This Row],[Birthweight (grams)]]*0.9/Table1[[#This Row],[BW_GA]])-1)/(Backend!$B$4/100*Table1[[#This Row],[BW40_3705]]),"")</f>
        <v/>
      </c>
      <c r="I8829" s="7" t="str">
        <f>IF(Table1[[#This Row],[Is Data Valid]]=TRUE,((Table1[[#This Row],[Birthweight (grams)]]*1.1/Table1[[#This Row],[BW_GA]])-1)/(Backend!$B$4/100*Table1[[#This Row],[BW40_3705]]),"")</f>
        <v/>
      </c>
      <c r="J8829" s="7" t="str">
        <f>IF(Table1[[#This Row],[Is Data Valid]]=TRUE,_xlfn.NORM.S.DIST(Table1[[#This Row],[Birthweight Z-Score]],TRUE)*100,"")</f>
        <v/>
      </c>
      <c r="K8829" s="7" t="str">
        <f>IF(Table1[[#This Row],[Is Data Valid]]=TRUE,_xlfn.NORM.S.DIST(Table1[[#This Row],[Birthweight Z-Score (BW-10%)]],TRUE)*100,"")</f>
        <v/>
      </c>
      <c r="L8829" s="7" t="str">
        <f>IF(Table1[[#This Row],[Is Data Valid]]=TRUE,_xlfn.NORM.S.DIST(Table1[[#This Row],[Birthweight Z-Score (BW+10%)]],TRUE)*100,"")</f>
        <v/>
      </c>
    </row>
    <row r="8830" spans="1:12" x14ac:dyDescent="0.35">
      <c r="A8830" s="3"/>
      <c r="B8830" s="2"/>
      <c r="C8830" s="2"/>
      <c r="D8830" s="2" t="b">
        <f>IF(AND(NOT(ISBLANK(Table1[[#This Row],[Fetal Sex (Male, Female or Unknown)]])),ISNUMBER(Table1[[#This Row],[Birthweight (grams)]]),ISNUMBER(Table1[[#This Row],[Gestation (days)]])),TRUE,FALSE)</f>
        <v>0</v>
      </c>
      <c r="E8830" s="2" t="str">
        <f>IF(Table1[[#This Row],[Is Data Valid]]=TRUE,IF(Table1[[#This Row],[Fetal Sex (Male, Female or Unknown)]]="Male",Backend!$C$6,IF(Table1[[#This Row],[Fetal Sex (Male, Female or Unknown)]]="Female",Backend!$C$7,IF(Table1[[#This Row],[Fetal Sex (Male, Female or Unknown)]]="Unknown",Backend!$C$8,"Error"))),"")</f>
        <v/>
      </c>
      <c r="F8830" s="8" t="str">
        <f>IF(Table1[[#This Row],[Is Data Valid]]=TRUE,EXP(0.578+0.332*((Table1[[#This Row],[Gestation (days)]]+0.5)/7)-0.00354*((Table1[[#This Row],[Gestation (days)]]+0.5)/7)^2)*Table1[[#This Row],[BW40_3705]],"")</f>
        <v/>
      </c>
      <c r="G8830" s="2" t="str">
        <f>IF(Table1[[#This Row],[Is Data Valid]]=TRUE,((Table1[[#This Row],[Birthweight (grams)]]/Table1[[#This Row],[BW_GA]])-1)/(Backend!$B$4/100*Table1[[#This Row],[BW40_3705]]),"")</f>
        <v/>
      </c>
      <c r="H8830" s="7" t="str">
        <f>IF(Table1[[#This Row],[Is Data Valid]]=TRUE,((Table1[[#This Row],[Birthweight (grams)]]*0.9/Table1[[#This Row],[BW_GA]])-1)/(Backend!$B$4/100*Table1[[#This Row],[BW40_3705]]),"")</f>
        <v/>
      </c>
      <c r="I8830" s="7" t="str">
        <f>IF(Table1[[#This Row],[Is Data Valid]]=TRUE,((Table1[[#This Row],[Birthweight (grams)]]*1.1/Table1[[#This Row],[BW_GA]])-1)/(Backend!$B$4/100*Table1[[#This Row],[BW40_3705]]),"")</f>
        <v/>
      </c>
      <c r="J8830" s="7" t="str">
        <f>IF(Table1[[#This Row],[Is Data Valid]]=TRUE,_xlfn.NORM.S.DIST(Table1[[#This Row],[Birthweight Z-Score]],TRUE)*100,"")</f>
        <v/>
      </c>
      <c r="K8830" s="7" t="str">
        <f>IF(Table1[[#This Row],[Is Data Valid]]=TRUE,_xlfn.NORM.S.DIST(Table1[[#This Row],[Birthweight Z-Score (BW-10%)]],TRUE)*100,"")</f>
        <v/>
      </c>
      <c r="L8830" s="7" t="str">
        <f>IF(Table1[[#This Row],[Is Data Valid]]=TRUE,_xlfn.NORM.S.DIST(Table1[[#This Row],[Birthweight Z-Score (BW+10%)]],TRUE)*100,"")</f>
        <v/>
      </c>
    </row>
    <row r="8831" spans="1:12" x14ac:dyDescent="0.35">
      <c r="A8831" s="3"/>
      <c r="B8831" s="2"/>
      <c r="C8831" s="2"/>
      <c r="D8831" s="2" t="b">
        <f>IF(AND(NOT(ISBLANK(Table1[[#This Row],[Fetal Sex (Male, Female or Unknown)]])),ISNUMBER(Table1[[#This Row],[Birthweight (grams)]]),ISNUMBER(Table1[[#This Row],[Gestation (days)]])),TRUE,FALSE)</f>
        <v>0</v>
      </c>
      <c r="E8831" s="2" t="str">
        <f>IF(Table1[[#This Row],[Is Data Valid]]=TRUE,IF(Table1[[#This Row],[Fetal Sex (Male, Female or Unknown)]]="Male",Backend!$C$6,IF(Table1[[#This Row],[Fetal Sex (Male, Female or Unknown)]]="Female",Backend!$C$7,IF(Table1[[#This Row],[Fetal Sex (Male, Female or Unknown)]]="Unknown",Backend!$C$8,"Error"))),"")</f>
        <v/>
      </c>
      <c r="F8831" s="8" t="str">
        <f>IF(Table1[[#This Row],[Is Data Valid]]=TRUE,EXP(0.578+0.332*((Table1[[#This Row],[Gestation (days)]]+0.5)/7)-0.00354*((Table1[[#This Row],[Gestation (days)]]+0.5)/7)^2)*Table1[[#This Row],[BW40_3705]],"")</f>
        <v/>
      </c>
      <c r="G8831" s="2" t="str">
        <f>IF(Table1[[#This Row],[Is Data Valid]]=TRUE,((Table1[[#This Row],[Birthweight (grams)]]/Table1[[#This Row],[BW_GA]])-1)/(Backend!$B$4/100*Table1[[#This Row],[BW40_3705]]),"")</f>
        <v/>
      </c>
      <c r="H8831" s="7" t="str">
        <f>IF(Table1[[#This Row],[Is Data Valid]]=TRUE,((Table1[[#This Row],[Birthweight (grams)]]*0.9/Table1[[#This Row],[BW_GA]])-1)/(Backend!$B$4/100*Table1[[#This Row],[BW40_3705]]),"")</f>
        <v/>
      </c>
      <c r="I8831" s="7" t="str">
        <f>IF(Table1[[#This Row],[Is Data Valid]]=TRUE,((Table1[[#This Row],[Birthweight (grams)]]*1.1/Table1[[#This Row],[BW_GA]])-1)/(Backend!$B$4/100*Table1[[#This Row],[BW40_3705]]),"")</f>
        <v/>
      </c>
      <c r="J8831" s="7" t="str">
        <f>IF(Table1[[#This Row],[Is Data Valid]]=TRUE,_xlfn.NORM.S.DIST(Table1[[#This Row],[Birthweight Z-Score]],TRUE)*100,"")</f>
        <v/>
      </c>
      <c r="K8831" s="7" t="str">
        <f>IF(Table1[[#This Row],[Is Data Valid]]=TRUE,_xlfn.NORM.S.DIST(Table1[[#This Row],[Birthweight Z-Score (BW-10%)]],TRUE)*100,"")</f>
        <v/>
      </c>
      <c r="L8831" s="7" t="str">
        <f>IF(Table1[[#This Row],[Is Data Valid]]=TRUE,_xlfn.NORM.S.DIST(Table1[[#This Row],[Birthweight Z-Score (BW+10%)]],TRUE)*100,"")</f>
        <v/>
      </c>
    </row>
    <row r="8832" spans="1:12" x14ac:dyDescent="0.35">
      <c r="A8832" s="3"/>
      <c r="B8832" s="2"/>
      <c r="C8832" s="2"/>
      <c r="D8832" s="2" t="b">
        <f>IF(AND(NOT(ISBLANK(Table1[[#This Row],[Fetal Sex (Male, Female or Unknown)]])),ISNUMBER(Table1[[#This Row],[Birthweight (grams)]]),ISNUMBER(Table1[[#This Row],[Gestation (days)]])),TRUE,FALSE)</f>
        <v>0</v>
      </c>
      <c r="E8832" s="2" t="str">
        <f>IF(Table1[[#This Row],[Is Data Valid]]=TRUE,IF(Table1[[#This Row],[Fetal Sex (Male, Female or Unknown)]]="Male",Backend!$C$6,IF(Table1[[#This Row],[Fetal Sex (Male, Female or Unknown)]]="Female",Backend!$C$7,IF(Table1[[#This Row],[Fetal Sex (Male, Female or Unknown)]]="Unknown",Backend!$C$8,"Error"))),"")</f>
        <v/>
      </c>
      <c r="F8832" s="8" t="str">
        <f>IF(Table1[[#This Row],[Is Data Valid]]=TRUE,EXP(0.578+0.332*((Table1[[#This Row],[Gestation (days)]]+0.5)/7)-0.00354*((Table1[[#This Row],[Gestation (days)]]+0.5)/7)^2)*Table1[[#This Row],[BW40_3705]],"")</f>
        <v/>
      </c>
      <c r="G8832" s="2" t="str">
        <f>IF(Table1[[#This Row],[Is Data Valid]]=TRUE,((Table1[[#This Row],[Birthweight (grams)]]/Table1[[#This Row],[BW_GA]])-1)/(Backend!$B$4/100*Table1[[#This Row],[BW40_3705]]),"")</f>
        <v/>
      </c>
      <c r="H8832" s="7" t="str">
        <f>IF(Table1[[#This Row],[Is Data Valid]]=TRUE,((Table1[[#This Row],[Birthweight (grams)]]*0.9/Table1[[#This Row],[BW_GA]])-1)/(Backend!$B$4/100*Table1[[#This Row],[BW40_3705]]),"")</f>
        <v/>
      </c>
      <c r="I8832" s="7" t="str">
        <f>IF(Table1[[#This Row],[Is Data Valid]]=TRUE,((Table1[[#This Row],[Birthweight (grams)]]*1.1/Table1[[#This Row],[BW_GA]])-1)/(Backend!$B$4/100*Table1[[#This Row],[BW40_3705]]),"")</f>
        <v/>
      </c>
      <c r="J8832" s="7" t="str">
        <f>IF(Table1[[#This Row],[Is Data Valid]]=TRUE,_xlfn.NORM.S.DIST(Table1[[#This Row],[Birthweight Z-Score]],TRUE)*100,"")</f>
        <v/>
      </c>
      <c r="K8832" s="7" t="str">
        <f>IF(Table1[[#This Row],[Is Data Valid]]=TRUE,_xlfn.NORM.S.DIST(Table1[[#This Row],[Birthweight Z-Score (BW-10%)]],TRUE)*100,"")</f>
        <v/>
      </c>
      <c r="L8832" s="7" t="str">
        <f>IF(Table1[[#This Row],[Is Data Valid]]=TRUE,_xlfn.NORM.S.DIST(Table1[[#This Row],[Birthweight Z-Score (BW+10%)]],TRUE)*100,"")</f>
        <v/>
      </c>
    </row>
    <row r="8833" spans="1:12" x14ac:dyDescent="0.35">
      <c r="A8833" s="3"/>
      <c r="B8833" s="2"/>
      <c r="C8833" s="2"/>
      <c r="D8833" s="2" t="b">
        <f>IF(AND(NOT(ISBLANK(Table1[[#This Row],[Fetal Sex (Male, Female or Unknown)]])),ISNUMBER(Table1[[#This Row],[Birthweight (grams)]]),ISNUMBER(Table1[[#This Row],[Gestation (days)]])),TRUE,FALSE)</f>
        <v>0</v>
      </c>
      <c r="E8833" s="2" t="str">
        <f>IF(Table1[[#This Row],[Is Data Valid]]=TRUE,IF(Table1[[#This Row],[Fetal Sex (Male, Female or Unknown)]]="Male",Backend!$C$6,IF(Table1[[#This Row],[Fetal Sex (Male, Female or Unknown)]]="Female",Backend!$C$7,IF(Table1[[#This Row],[Fetal Sex (Male, Female or Unknown)]]="Unknown",Backend!$C$8,"Error"))),"")</f>
        <v/>
      </c>
      <c r="F8833" s="8" t="str">
        <f>IF(Table1[[#This Row],[Is Data Valid]]=TRUE,EXP(0.578+0.332*((Table1[[#This Row],[Gestation (days)]]+0.5)/7)-0.00354*((Table1[[#This Row],[Gestation (days)]]+0.5)/7)^2)*Table1[[#This Row],[BW40_3705]],"")</f>
        <v/>
      </c>
      <c r="G8833" s="2" t="str">
        <f>IF(Table1[[#This Row],[Is Data Valid]]=TRUE,((Table1[[#This Row],[Birthweight (grams)]]/Table1[[#This Row],[BW_GA]])-1)/(Backend!$B$4/100*Table1[[#This Row],[BW40_3705]]),"")</f>
        <v/>
      </c>
      <c r="H8833" s="7" t="str">
        <f>IF(Table1[[#This Row],[Is Data Valid]]=TRUE,((Table1[[#This Row],[Birthweight (grams)]]*0.9/Table1[[#This Row],[BW_GA]])-1)/(Backend!$B$4/100*Table1[[#This Row],[BW40_3705]]),"")</f>
        <v/>
      </c>
      <c r="I8833" s="7" t="str">
        <f>IF(Table1[[#This Row],[Is Data Valid]]=TRUE,((Table1[[#This Row],[Birthweight (grams)]]*1.1/Table1[[#This Row],[BW_GA]])-1)/(Backend!$B$4/100*Table1[[#This Row],[BW40_3705]]),"")</f>
        <v/>
      </c>
      <c r="J8833" s="7" t="str">
        <f>IF(Table1[[#This Row],[Is Data Valid]]=TRUE,_xlfn.NORM.S.DIST(Table1[[#This Row],[Birthweight Z-Score]],TRUE)*100,"")</f>
        <v/>
      </c>
      <c r="K8833" s="7" t="str">
        <f>IF(Table1[[#This Row],[Is Data Valid]]=TRUE,_xlfn.NORM.S.DIST(Table1[[#This Row],[Birthweight Z-Score (BW-10%)]],TRUE)*100,"")</f>
        <v/>
      </c>
      <c r="L8833" s="7" t="str">
        <f>IF(Table1[[#This Row],[Is Data Valid]]=TRUE,_xlfn.NORM.S.DIST(Table1[[#This Row],[Birthweight Z-Score (BW+10%)]],TRUE)*100,"")</f>
        <v/>
      </c>
    </row>
    <row r="8834" spans="1:12" x14ac:dyDescent="0.35">
      <c r="A8834" s="3"/>
      <c r="B8834" s="2"/>
      <c r="C8834" s="2"/>
      <c r="D8834" s="2" t="b">
        <f>IF(AND(NOT(ISBLANK(Table1[[#This Row],[Fetal Sex (Male, Female or Unknown)]])),ISNUMBER(Table1[[#This Row],[Birthweight (grams)]]),ISNUMBER(Table1[[#This Row],[Gestation (days)]])),TRUE,FALSE)</f>
        <v>0</v>
      </c>
      <c r="E8834" s="2" t="str">
        <f>IF(Table1[[#This Row],[Is Data Valid]]=TRUE,IF(Table1[[#This Row],[Fetal Sex (Male, Female or Unknown)]]="Male",Backend!$C$6,IF(Table1[[#This Row],[Fetal Sex (Male, Female or Unknown)]]="Female",Backend!$C$7,IF(Table1[[#This Row],[Fetal Sex (Male, Female or Unknown)]]="Unknown",Backend!$C$8,"Error"))),"")</f>
        <v/>
      </c>
      <c r="F8834" s="8" t="str">
        <f>IF(Table1[[#This Row],[Is Data Valid]]=TRUE,EXP(0.578+0.332*((Table1[[#This Row],[Gestation (days)]]+0.5)/7)-0.00354*((Table1[[#This Row],[Gestation (days)]]+0.5)/7)^2)*Table1[[#This Row],[BW40_3705]],"")</f>
        <v/>
      </c>
      <c r="G8834" s="2" t="str">
        <f>IF(Table1[[#This Row],[Is Data Valid]]=TRUE,((Table1[[#This Row],[Birthweight (grams)]]/Table1[[#This Row],[BW_GA]])-1)/(Backend!$B$4/100*Table1[[#This Row],[BW40_3705]]),"")</f>
        <v/>
      </c>
      <c r="H8834" s="7" t="str">
        <f>IF(Table1[[#This Row],[Is Data Valid]]=TRUE,((Table1[[#This Row],[Birthweight (grams)]]*0.9/Table1[[#This Row],[BW_GA]])-1)/(Backend!$B$4/100*Table1[[#This Row],[BW40_3705]]),"")</f>
        <v/>
      </c>
      <c r="I8834" s="7" t="str">
        <f>IF(Table1[[#This Row],[Is Data Valid]]=TRUE,((Table1[[#This Row],[Birthweight (grams)]]*1.1/Table1[[#This Row],[BW_GA]])-1)/(Backend!$B$4/100*Table1[[#This Row],[BW40_3705]]),"")</f>
        <v/>
      </c>
      <c r="J8834" s="7" t="str">
        <f>IF(Table1[[#This Row],[Is Data Valid]]=TRUE,_xlfn.NORM.S.DIST(Table1[[#This Row],[Birthweight Z-Score]],TRUE)*100,"")</f>
        <v/>
      </c>
      <c r="K8834" s="7" t="str">
        <f>IF(Table1[[#This Row],[Is Data Valid]]=TRUE,_xlfn.NORM.S.DIST(Table1[[#This Row],[Birthweight Z-Score (BW-10%)]],TRUE)*100,"")</f>
        <v/>
      </c>
      <c r="L8834" s="7" t="str">
        <f>IF(Table1[[#This Row],[Is Data Valid]]=TRUE,_xlfn.NORM.S.DIST(Table1[[#This Row],[Birthweight Z-Score (BW+10%)]],TRUE)*100,"")</f>
        <v/>
      </c>
    </row>
    <row r="8835" spans="1:12" x14ac:dyDescent="0.35">
      <c r="A8835" s="3"/>
      <c r="B8835" s="2"/>
      <c r="C8835" s="2"/>
      <c r="D8835" s="2" t="b">
        <f>IF(AND(NOT(ISBLANK(Table1[[#This Row],[Fetal Sex (Male, Female or Unknown)]])),ISNUMBER(Table1[[#This Row],[Birthweight (grams)]]),ISNUMBER(Table1[[#This Row],[Gestation (days)]])),TRUE,FALSE)</f>
        <v>0</v>
      </c>
      <c r="E8835" s="2" t="str">
        <f>IF(Table1[[#This Row],[Is Data Valid]]=TRUE,IF(Table1[[#This Row],[Fetal Sex (Male, Female or Unknown)]]="Male",Backend!$C$6,IF(Table1[[#This Row],[Fetal Sex (Male, Female or Unknown)]]="Female",Backend!$C$7,IF(Table1[[#This Row],[Fetal Sex (Male, Female or Unknown)]]="Unknown",Backend!$C$8,"Error"))),"")</f>
        <v/>
      </c>
      <c r="F8835" s="8" t="str">
        <f>IF(Table1[[#This Row],[Is Data Valid]]=TRUE,EXP(0.578+0.332*((Table1[[#This Row],[Gestation (days)]]+0.5)/7)-0.00354*((Table1[[#This Row],[Gestation (days)]]+0.5)/7)^2)*Table1[[#This Row],[BW40_3705]],"")</f>
        <v/>
      </c>
      <c r="G8835" s="2" t="str">
        <f>IF(Table1[[#This Row],[Is Data Valid]]=TRUE,((Table1[[#This Row],[Birthweight (grams)]]/Table1[[#This Row],[BW_GA]])-1)/(Backend!$B$4/100*Table1[[#This Row],[BW40_3705]]),"")</f>
        <v/>
      </c>
      <c r="H8835" s="7" t="str">
        <f>IF(Table1[[#This Row],[Is Data Valid]]=TRUE,((Table1[[#This Row],[Birthweight (grams)]]*0.9/Table1[[#This Row],[BW_GA]])-1)/(Backend!$B$4/100*Table1[[#This Row],[BW40_3705]]),"")</f>
        <v/>
      </c>
      <c r="I8835" s="7" t="str">
        <f>IF(Table1[[#This Row],[Is Data Valid]]=TRUE,((Table1[[#This Row],[Birthweight (grams)]]*1.1/Table1[[#This Row],[BW_GA]])-1)/(Backend!$B$4/100*Table1[[#This Row],[BW40_3705]]),"")</f>
        <v/>
      </c>
      <c r="J8835" s="7" t="str">
        <f>IF(Table1[[#This Row],[Is Data Valid]]=TRUE,_xlfn.NORM.S.DIST(Table1[[#This Row],[Birthweight Z-Score]],TRUE)*100,"")</f>
        <v/>
      </c>
      <c r="K8835" s="7" t="str">
        <f>IF(Table1[[#This Row],[Is Data Valid]]=TRUE,_xlfn.NORM.S.DIST(Table1[[#This Row],[Birthweight Z-Score (BW-10%)]],TRUE)*100,"")</f>
        <v/>
      </c>
      <c r="L8835" s="7" t="str">
        <f>IF(Table1[[#This Row],[Is Data Valid]]=TRUE,_xlfn.NORM.S.DIST(Table1[[#This Row],[Birthweight Z-Score (BW+10%)]],TRUE)*100,"")</f>
        <v/>
      </c>
    </row>
    <row r="8836" spans="1:12" x14ac:dyDescent="0.35">
      <c r="A8836" s="3"/>
      <c r="B8836" s="2"/>
      <c r="C8836" s="2"/>
      <c r="D8836" s="2" t="b">
        <f>IF(AND(NOT(ISBLANK(Table1[[#This Row],[Fetal Sex (Male, Female or Unknown)]])),ISNUMBER(Table1[[#This Row],[Birthweight (grams)]]),ISNUMBER(Table1[[#This Row],[Gestation (days)]])),TRUE,FALSE)</f>
        <v>0</v>
      </c>
      <c r="E8836" s="2" t="str">
        <f>IF(Table1[[#This Row],[Is Data Valid]]=TRUE,IF(Table1[[#This Row],[Fetal Sex (Male, Female or Unknown)]]="Male",Backend!$C$6,IF(Table1[[#This Row],[Fetal Sex (Male, Female or Unknown)]]="Female",Backend!$C$7,IF(Table1[[#This Row],[Fetal Sex (Male, Female or Unknown)]]="Unknown",Backend!$C$8,"Error"))),"")</f>
        <v/>
      </c>
      <c r="F8836" s="8" t="str">
        <f>IF(Table1[[#This Row],[Is Data Valid]]=TRUE,EXP(0.578+0.332*((Table1[[#This Row],[Gestation (days)]]+0.5)/7)-0.00354*((Table1[[#This Row],[Gestation (days)]]+0.5)/7)^2)*Table1[[#This Row],[BW40_3705]],"")</f>
        <v/>
      </c>
      <c r="G8836" s="2" t="str">
        <f>IF(Table1[[#This Row],[Is Data Valid]]=TRUE,((Table1[[#This Row],[Birthweight (grams)]]/Table1[[#This Row],[BW_GA]])-1)/(Backend!$B$4/100*Table1[[#This Row],[BW40_3705]]),"")</f>
        <v/>
      </c>
      <c r="H8836" s="7" t="str">
        <f>IF(Table1[[#This Row],[Is Data Valid]]=TRUE,((Table1[[#This Row],[Birthweight (grams)]]*0.9/Table1[[#This Row],[BW_GA]])-1)/(Backend!$B$4/100*Table1[[#This Row],[BW40_3705]]),"")</f>
        <v/>
      </c>
      <c r="I8836" s="7" t="str">
        <f>IF(Table1[[#This Row],[Is Data Valid]]=TRUE,((Table1[[#This Row],[Birthweight (grams)]]*1.1/Table1[[#This Row],[BW_GA]])-1)/(Backend!$B$4/100*Table1[[#This Row],[BW40_3705]]),"")</f>
        <v/>
      </c>
      <c r="J8836" s="7" t="str">
        <f>IF(Table1[[#This Row],[Is Data Valid]]=TRUE,_xlfn.NORM.S.DIST(Table1[[#This Row],[Birthweight Z-Score]],TRUE)*100,"")</f>
        <v/>
      </c>
      <c r="K8836" s="7" t="str">
        <f>IF(Table1[[#This Row],[Is Data Valid]]=TRUE,_xlfn.NORM.S.DIST(Table1[[#This Row],[Birthweight Z-Score (BW-10%)]],TRUE)*100,"")</f>
        <v/>
      </c>
      <c r="L8836" s="7" t="str">
        <f>IF(Table1[[#This Row],[Is Data Valid]]=TRUE,_xlfn.NORM.S.DIST(Table1[[#This Row],[Birthweight Z-Score (BW+10%)]],TRUE)*100,"")</f>
        <v/>
      </c>
    </row>
    <row r="8837" spans="1:12" x14ac:dyDescent="0.35">
      <c r="A8837" s="3"/>
      <c r="B8837" s="2"/>
      <c r="C8837" s="2"/>
      <c r="D8837" s="2" t="b">
        <f>IF(AND(NOT(ISBLANK(Table1[[#This Row],[Fetal Sex (Male, Female or Unknown)]])),ISNUMBER(Table1[[#This Row],[Birthweight (grams)]]),ISNUMBER(Table1[[#This Row],[Gestation (days)]])),TRUE,FALSE)</f>
        <v>0</v>
      </c>
      <c r="E8837" s="2" t="str">
        <f>IF(Table1[[#This Row],[Is Data Valid]]=TRUE,IF(Table1[[#This Row],[Fetal Sex (Male, Female or Unknown)]]="Male",Backend!$C$6,IF(Table1[[#This Row],[Fetal Sex (Male, Female or Unknown)]]="Female",Backend!$C$7,IF(Table1[[#This Row],[Fetal Sex (Male, Female or Unknown)]]="Unknown",Backend!$C$8,"Error"))),"")</f>
        <v/>
      </c>
      <c r="F8837" s="8" t="str">
        <f>IF(Table1[[#This Row],[Is Data Valid]]=TRUE,EXP(0.578+0.332*((Table1[[#This Row],[Gestation (days)]]+0.5)/7)-0.00354*((Table1[[#This Row],[Gestation (days)]]+0.5)/7)^2)*Table1[[#This Row],[BW40_3705]],"")</f>
        <v/>
      </c>
      <c r="G8837" s="2" t="str">
        <f>IF(Table1[[#This Row],[Is Data Valid]]=TRUE,((Table1[[#This Row],[Birthweight (grams)]]/Table1[[#This Row],[BW_GA]])-1)/(Backend!$B$4/100*Table1[[#This Row],[BW40_3705]]),"")</f>
        <v/>
      </c>
      <c r="H8837" s="7" t="str">
        <f>IF(Table1[[#This Row],[Is Data Valid]]=TRUE,((Table1[[#This Row],[Birthweight (grams)]]*0.9/Table1[[#This Row],[BW_GA]])-1)/(Backend!$B$4/100*Table1[[#This Row],[BW40_3705]]),"")</f>
        <v/>
      </c>
      <c r="I8837" s="7" t="str">
        <f>IF(Table1[[#This Row],[Is Data Valid]]=TRUE,((Table1[[#This Row],[Birthweight (grams)]]*1.1/Table1[[#This Row],[BW_GA]])-1)/(Backend!$B$4/100*Table1[[#This Row],[BW40_3705]]),"")</f>
        <v/>
      </c>
      <c r="J8837" s="7" t="str">
        <f>IF(Table1[[#This Row],[Is Data Valid]]=TRUE,_xlfn.NORM.S.DIST(Table1[[#This Row],[Birthweight Z-Score]],TRUE)*100,"")</f>
        <v/>
      </c>
      <c r="K8837" s="7" t="str">
        <f>IF(Table1[[#This Row],[Is Data Valid]]=TRUE,_xlfn.NORM.S.DIST(Table1[[#This Row],[Birthweight Z-Score (BW-10%)]],TRUE)*100,"")</f>
        <v/>
      </c>
      <c r="L8837" s="7" t="str">
        <f>IF(Table1[[#This Row],[Is Data Valid]]=TRUE,_xlfn.NORM.S.DIST(Table1[[#This Row],[Birthweight Z-Score (BW+10%)]],TRUE)*100,"")</f>
        <v/>
      </c>
    </row>
    <row r="8838" spans="1:12" x14ac:dyDescent="0.35">
      <c r="A8838" s="3"/>
      <c r="B8838" s="2"/>
      <c r="C8838" s="2"/>
      <c r="D8838" s="2" t="b">
        <f>IF(AND(NOT(ISBLANK(Table1[[#This Row],[Fetal Sex (Male, Female or Unknown)]])),ISNUMBER(Table1[[#This Row],[Birthweight (grams)]]),ISNUMBER(Table1[[#This Row],[Gestation (days)]])),TRUE,FALSE)</f>
        <v>0</v>
      </c>
      <c r="E8838" s="2" t="str">
        <f>IF(Table1[[#This Row],[Is Data Valid]]=TRUE,IF(Table1[[#This Row],[Fetal Sex (Male, Female or Unknown)]]="Male",Backend!$C$6,IF(Table1[[#This Row],[Fetal Sex (Male, Female or Unknown)]]="Female",Backend!$C$7,IF(Table1[[#This Row],[Fetal Sex (Male, Female or Unknown)]]="Unknown",Backend!$C$8,"Error"))),"")</f>
        <v/>
      </c>
      <c r="F8838" s="8" t="str">
        <f>IF(Table1[[#This Row],[Is Data Valid]]=TRUE,EXP(0.578+0.332*((Table1[[#This Row],[Gestation (days)]]+0.5)/7)-0.00354*((Table1[[#This Row],[Gestation (days)]]+0.5)/7)^2)*Table1[[#This Row],[BW40_3705]],"")</f>
        <v/>
      </c>
      <c r="G8838" s="2" t="str">
        <f>IF(Table1[[#This Row],[Is Data Valid]]=TRUE,((Table1[[#This Row],[Birthweight (grams)]]/Table1[[#This Row],[BW_GA]])-1)/(Backend!$B$4/100*Table1[[#This Row],[BW40_3705]]),"")</f>
        <v/>
      </c>
      <c r="H8838" s="7" t="str">
        <f>IF(Table1[[#This Row],[Is Data Valid]]=TRUE,((Table1[[#This Row],[Birthweight (grams)]]*0.9/Table1[[#This Row],[BW_GA]])-1)/(Backend!$B$4/100*Table1[[#This Row],[BW40_3705]]),"")</f>
        <v/>
      </c>
      <c r="I8838" s="7" t="str">
        <f>IF(Table1[[#This Row],[Is Data Valid]]=TRUE,((Table1[[#This Row],[Birthweight (grams)]]*1.1/Table1[[#This Row],[BW_GA]])-1)/(Backend!$B$4/100*Table1[[#This Row],[BW40_3705]]),"")</f>
        <v/>
      </c>
      <c r="J8838" s="7" t="str">
        <f>IF(Table1[[#This Row],[Is Data Valid]]=TRUE,_xlfn.NORM.S.DIST(Table1[[#This Row],[Birthweight Z-Score]],TRUE)*100,"")</f>
        <v/>
      </c>
      <c r="K8838" s="7" t="str">
        <f>IF(Table1[[#This Row],[Is Data Valid]]=TRUE,_xlfn.NORM.S.DIST(Table1[[#This Row],[Birthweight Z-Score (BW-10%)]],TRUE)*100,"")</f>
        <v/>
      </c>
      <c r="L8838" s="7" t="str">
        <f>IF(Table1[[#This Row],[Is Data Valid]]=TRUE,_xlfn.NORM.S.DIST(Table1[[#This Row],[Birthweight Z-Score (BW+10%)]],TRUE)*100,"")</f>
        <v/>
      </c>
    </row>
    <row r="8839" spans="1:12" x14ac:dyDescent="0.35">
      <c r="A8839" s="3"/>
      <c r="B8839" s="2"/>
      <c r="C8839" s="2"/>
      <c r="D8839" s="2" t="b">
        <f>IF(AND(NOT(ISBLANK(Table1[[#This Row],[Fetal Sex (Male, Female or Unknown)]])),ISNUMBER(Table1[[#This Row],[Birthweight (grams)]]),ISNUMBER(Table1[[#This Row],[Gestation (days)]])),TRUE,FALSE)</f>
        <v>0</v>
      </c>
      <c r="E8839" s="2" t="str">
        <f>IF(Table1[[#This Row],[Is Data Valid]]=TRUE,IF(Table1[[#This Row],[Fetal Sex (Male, Female or Unknown)]]="Male",Backend!$C$6,IF(Table1[[#This Row],[Fetal Sex (Male, Female or Unknown)]]="Female",Backend!$C$7,IF(Table1[[#This Row],[Fetal Sex (Male, Female or Unknown)]]="Unknown",Backend!$C$8,"Error"))),"")</f>
        <v/>
      </c>
      <c r="F8839" s="8" t="str">
        <f>IF(Table1[[#This Row],[Is Data Valid]]=TRUE,EXP(0.578+0.332*((Table1[[#This Row],[Gestation (days)]]+0.5)/7)-0.00354*((Table1[[#This Row],[Gestation (days)]]+0.5)/7)^2)*Table1[[#This Row],[BW40_3705]],"")</f>
        <v/>
      </c>
      <c r="G8839" s="2" t="str">
        <f>IF(Table1[[#This Row],[Is Data Valid]]=TRUE,((Table1[[#This Row],[Birthweight (grams)]]/Table1[[#This Row],[BW_GA]])-1)/(Backend!$B$4/100*Table1[[#This Row],[BW40_3705]]),"")</f>
        <v/>
      </c>
      <c r="H8839" s="7" t="str">
        <f>IF(Table1[[#This Row],[Is Data Valid]]=TRUE,((Table1[[#This Row],[Birthweight (grams)]]*0.9/Table1[[#This Row],[BW_GA]])-1)/(Backend!$B$4/100*Table1[[#This Row],[BW40_3705]]),"")</f>
        <v/>
      </c>
      <c r="I8839" s="7" t="str">
        <f>IF(Table1[[#This Row],[Is Data Valid]]=TRUE,((Table1[[#This Row],[Birthweight (grams)]]*1.1/Table1[[#This Row],[BW_GA]])-1)/(Backend!$B$4/100*Table1[[#This Row],[BW40_3705]]),"")</f>
        <v/>
      </c>
      <c r="J8839" s="7" t="str">
        <f>IF(Table1[[#This Row],[Is Data Valid]]=TRUE,_xlfn.NORM.S.DIST(Table1[[#This Row],[Birthweight Z-Score]],TRUE)*100,"")</f>
        <v/>
      </c>
      <c r="K8839" s="7" t="str">
        <f>IF(Table1[[#This Row],[Is Data Valid]]=TRUE,_xlfn.NORM.S.DIST(Table1[[#This Row],[Birthweight Z-Score (BW-10%)]],TRUE)*100,"")</f>
        <v/>
      </c>
      <c r="L8839" s="7" t="str">
        <f>IF(Table1[[#This Row],[Is Data Valid]]=TRUE,_xlfn.NORM.S.DIST(Table1[[#This Row],[Birthweight Z-Score (BW+10%)]],TRUE)*100,"")</f>
        <v/>
      </c>
    </row>
    <row r="8840" spans="1:12" x14ac:dyDescent="0.35">
      <c r="A8840" s="3"/>
      <c r="B8840" s="2"/>
      <c r="C8840" s="2"/>
      <c r="D8840" s="2" t="b">
        <f>IF(AND(NOT(ISBLANK(Table1[[#This Row],[Fetal Sex (Male, Female or Unknown)]])),ISNUMBER(Table1[[#This Row],[Birthweight (grams)]]),ISNUMBER(Table1[[#This Row],[Gestation (days)]])),TRUE,FALSE)</f>
        <v>0</v>
      </c>
      <c r="E8840" s="2" t="str">
        <f>IF(Table1[[#This Row],[Is Data Valid]]=TRUE,IF(Table1[[#This Row],[Fetal Sex (Male, Female or Unknown)]]="Male",Backend!$C$6,IF(Table1[[#This Row],[Fetal Sex (Male, Female or Unknown)]]="Female",Backend!$C$7,IF(Table1[[#This Row],[Fetal Sex (Male, Female or Unknown)]]="Unknown",Backend!$C$8,"Error"))),"")</f>
        <v/>
      </c>
      <c r="F8840" s="8" t="str">
        <f>IF(Table1[[#This Row],[Is Data Valid]]=TRUE,EXP(0.578+0.332*((Table1[[#This Row],[Gestation (days)]]+0.5)/7)-0.00354*((Table1[[#This Row],[Gestation (days)]]+0.5)/7)^2)*Table1[[#This Row],[BW40_3705]],"")</f>
        <v/>
      </c>
      <c r="G8840" s="2" t="str">
        <f>IF(Table1[[#This Row],[Is Data Valid]]=TRUE,((Table1[[#This Row],[Birthweight (grams)]]/Table1[[#This Row],[BW_GA]])-1)/(Backend!$B$4/100*Table1[[#This Row],[BW40_3705]]),"")</f>
        <v/>
      </c>
      <c r="H8840" s="7" t="str">
        <f>IF(Table1[[#This Row],[Is Data Valid]]=TRUE,((Table1[[#This Row],[Birthweight (grams)]]*0.9/Table1[[#This Row],[BW_GA]])-1)/(Backend!$B$4/100*Table1[[#This Row],[BW40_3705]]),"")</f>
        <v/>
      </c>
      <c r="I8840" s="7" t="str">
        <f>IF(Table1[[#This Row],[Is Data Valid]]=TRUE,((Table1[[#This Row],[Birthweight (grams)]]*1.1/Table1[[#This Row],[BW_GA]])-1)/(Backend!$B$4/100*Table1[[#This Row],[BW40_3705]]),"")</f>
        <v/>
      </c>
      <c r="J8840" s="7" t="str">
        <f>IF(Table1[[#This Row],[Is Data Valid]]=TRUE,_xlfn.NORM.S.DIST(Table1[[#This Row],[Birthweight Z-Score]],TRUE)*100,"")</f>
        <v/>
      </c>
      <c r="K8840" s="7" t="str">
        <f>IF(Table1[[#This Row],[Is Data Valid]]=TRUE,_xlfn.NORM.S.DIST(Table1[[#This Row],[Birthweight Z-Score (BW-10%)]],TRUE)*100,"")</f>
        <v/>
      </c>
      <c r="L8840" s="7" t="str">
        <f>IF(Table1[[#This Row],[Is Data Valid]]=TRUE,_xlfn.NORM.S.DIST(Table1[[#This Row],[Birthweight Z-Score (BW+10%)]],TRUE)*100,"")</f>
        <v/>
      </c>
    </row>
    <row r="8841" spans="1:12" x14ac:dyDescent="0.35">
      <c r="A8841" s="3"/>
      <c r="B8841" s="2"/>
      <c r="C8841" s="2"/>
      <c r="D8841" s="2" t="b">
        <f>IF(AND(NOT(ISBLANK(Table1[[#This Row],[Fetal Sex (Male, Female or Unknown)]])),ISNUMBER(Table1[[#This Row],[Birthweight (grams)]]),ISNUMBER(Table1[[#This Row],[Gestation (days)]])),TRUE,FALSE)</f>
        <v>0</v>
      </c>
      <c r="E8841" s="2" t="str">
        <f>IF(Table1[[#This Row],[Is Data Valid]]=TRUE,IF(Table1[[#This Row],[Fetal Sex (Male, Female or Unknown)]]="Male",Backend!$C$6,IF(Table1[[#This Row],[Fetal Sex (Male, Female or Unknown)]]="Female",Backend!$C$7,IF(Table1[[#This Row],[Fetal Sex (Male, Female or Unknown)]]="Unknown",Backend!$C$8,"Error"))),"")</f>
        <v/>
      </c>
      <c r="F8841" s="8" t="str">
        <f>IF(Table1[[#This Row],[Is Data Valid]]=TRUE,EXP(0.578+0.332*((Table1[[#This Row],[Gestation (days)]]+0.5)/7)-0.00354*((Table1[[#This Row],[Gestation (days)]]+0.5)/7)^2)*Table1[[#This Row],[BW40_3705]],"")</f>
        <v/>
      </c>
      <c r="G8841" s="2" t="str">
        <f>IF(Table1[[#This Row],[Is Data Valid]]=TRUE,((Table1[[#This Row],[Birthweight (grams)]]/Table1[[#This Row],[BW_GA]])-1)/(Backend!$B$4/100*Table1[[#This Row],[BW40_3705]]),"")</f>
        <v/>
      </c>
      <c r="H8841" s="7" t="str">
        <f>IF(Table1[[#This Row],[Is Data Valid]]=TRUE,((Table1[[#This Row],[Birthweight (grams)]]*0.9/Table1[[#This Row],[BW_GA]])-1)/(Backend!$B$4/100*Table1[[#This Row],[BW40_3705]]),"")</f>
        <v/>
      </c>
      <c r="I8841" s="7" t="str">
        <f>IF(Table1[[#This Row],[Is Data Valid]]=TRUE,((Table1[[#This Row],[Birthweight (grams)]]*1.1/Table1[[#This Row],[BW_GA]])-1)/(Backend!$B$4/100*Table1[[#This Row],[BW40_3705]]),"")</f>
        <v/>
      </c>
      <c r="J8841" s="7" t="str">
        <f>IF(Table1[[#This Row],[Is Data Valid]]=TRUE,_xlfn.NORM.S.DIST(Table1[[#This Row],[Birthweight Z-Score]],TRUE)*100,"")</f>
        <v/>
      </c>
      <c r="K8841" s="7" t="str">
        <f>IF(Table1[[#This Row],[Is Data Valid]]=TRUE,_xlfn.NORM.S.DIST(Table1[[#This Row],[Birthweight Z-Score (BW-10%)]],TRUE)*100,"")</f>
        <v/>
      </c>
      <c r="L8841" s="7" t="str">
        <f>IF(Table1[[#This Row],[Is Data Valid]]=TRUE,_xlfn.NORM.S.DIST(Table1[[#This Row],[Birthweight Z-Score (BW+10%)]],TRUE)*100,"")</f>
        <v/>
      </c>
    </row>
    <row r="8842" spans="1:12" x14ac:dyDescent="0.35">
      <c r="A8842" s="3"/>
      <c r="B8842" s="2"/>
      <c r="C8842" s="2"/>
      <c r="D8842" s="2" t="b">
        <f>IF(AND(NOT(ISBLANK(Table1[[#This Row],[Fetal Sex (Male, Female or Unknown)]])),ISNUMBER(Table1[[#This Row],[Birthweight (grams)]]),ISNUMBER(Table1[[#This Row],[Gestation (days)]])),TRUE,FALSE)</f>
        <v>0</v>
      </c>
      <c r="E8842" s="2" t="str">
        <f>IF(Table1[[#This Row],[Is Data Valid]]=TRUE,IF(Table1[[#This Row],[Fetal Sex (Male, Female or Unknown)]]="Male",Backend!$C$6,IF(Table1[[#This Row],[Fetal Sex (Male, Female or Unknown)]]="Female",Backend!$C$7,IF(Table1[[#This Row],[Fetal Sex (Male, Female or Unknown)]]="Unknown",Backend!$C$8,"Error"))),"")</f>
        <v/>
      </c>
      <c r="F8842" s="8" t="str">
        <f>IF(Table1[[#This Row],[Is Data Valid]]=TRUE,EXP(0.578+0.332*((Table1[[#This Row],[Gestation (days)]]+0.5)/7)-0.00354*((Table1[[#This Row],[Gestation (days)]]+0.5)/7)^2)*Table1[[#This Row],[BW40_3705]],"")</f>
        <v/>
      </c>
      <c r="G8842" s="2" t="str">
        <f>IF(Table1[[#This Row],[Is Data Valid]]=TRUE,((Table1[[#This Row],[Birthweight (grams)]]/Table1[[#This Row],[BW_GA]])-1)/(Backend!$B$4/100*Table1[[#This Row],[BW40_3705]]),"")</f>
        <v/>
      </c>
      <c r="H8842" s="7" t="str">
        <f>IF(Table1[[#This Row],[Is Data Valid]]=TRUE,((Table1[[#This Row],[Birthweight (grams)]]*0.9/Table1[[#This Row],[BW_GA]])-1)/(Backend!$B$4/100*Table1[[#This Row],[BW40_3705]]),"")</f>
        <v/>
      </c>
      <c r="I8842" s="7" t="str">
        <f>IF(Table1[[#This Row],[Is Data Valid]]=TRUE,((Table1[[#This Row],[Birthweight (grams)]]*1.1/Table1[[#This Row],[BW_GA]])-1)/(Backend!$B$4/100*Table1[[#This Row],[BW40_3705]]),"")</f>
        <v/>
      </c>
      <c r="J8842" s="7" t="str">
        <f>IF(Table1[[#This Row],[Is Data Valid]]=TRUE,_xlfn.NORM.S.DIST(Table1[[#This Row],[Birthweight Z-Score]],TRUE)*100,"")</f>
        <v/>
      </c>
      <c r="K8842" s="7" t="str">
        <f>IF(Table1[[#This Row],[Is Data Valid]]=TRUE,_xlfn.NORM.S.DIST(Table1[[#This Row],[Birthweight Z-Score (BW-10%)]],TRUE)*100,"")</f>
        <v/>
      </c>
      <c r="L8842" s="7" t="str">
        <f>IF(Table1[[#This Row],[Is Data Valid]]=TRUE,_xlfn.NORM.S.DIST(Table1[[#This Row],[Birthweight Z-Score (BW+10%)]],TRUE)*100,"")</f>
        <v/>
      </c>
    </row>
    <row r="8843" spans="1:12" x14ac:dyDescent="0.35">
      <c r="A8843" s="3"/>
      <c r="B8843" s="2"/>
      <c r="C8843" s="2"/>
      <c r="D8843" s="2" t="b">
        <f>IF(AND(NOT(ISBLANK(Table1[[#This Row],[Fetal Sex (Male, Female or Unknown)]])),ISNUMBER(Table1[[#This Row],[Birthweight (grams)]]),ISNUMBER(Table1[[#This Row],[Gestation (days)]])),TRUE,FALSE)</f>
        <v>0</v>
      </c>
      <c r="E8843" s="2" t="str">
        <f>IF(Table1[[#This Row],[Is Data Valid]]=TRUE,IF(Table1[[#This Row],[Fetal Sex (Male, Female or Unknown)]]="Male",Backend!$C$6,IF(Table1[[#This Row],[Fetal Sex (Male, Female or Unknown)]]="Female",Backend!$C$7,IF(Table1[[#This Row],[Fetal Sex (Male, Female or Unknown)]]="Unknown",Backend!$C$8,"Error"))),"")</f>
        <v/>
      </c>
      <c r="F8843" s="8" t="str">
        <f>IF(Table1[[#This Row],[Is Data Valid]]=TRUE,EXP(0.578+0.332*((Table1[[#This Row],[Gestation (days)]]+0.5)/7)-0.00354*((Table1[[#This Row],[Gestation (days)]]+0.5)/7)^2)*Table1[[#This Row],[BW40_3705]],"")</f>
        <v/>
      </c>
      <c r="G8843" s="2" t="str">
        <f>IF(Table1[[#This Row],[Is Data Valid]]=TRUE,((Table1[[#This Row],[Birthweight (grams)]]/Table1[[#This Row],[BW_GA]])-1)/(Backend!$B$4/100*Table1[[#This Row],[BW40_3705]]),"")</f>
        <v/>
      </c>
      <c r="H8843" s="7" t="str">
        <f>IF(Table1[[#This Row],[Is Data Valid]]=TRUE,((Table1[[#This Row],[Birthweight (grams)]]*0.9/Table1[[#This Row],[BW_GA]])-1)/(Backend!$B$4/100*Table1[[#This Row],[BW40_3705]]),"")</f>
        <v/>
      </c>
      <c r="I8843" s="7" t="str">
        <f>IF(Table1[[#This Row],[Is Data Valid]]=TRUE,((Table1[[#This Row],[Birthweight (grams)]]*1.1/Table1[[#This Row],[BW_GA]])-1)/(Backend!$B$4/100*Table1[[#This Row],[BW40_3705]]),"")</f>
        <v/>
      </c>
      <c r="J8843" s="7" t="str">
        <f>IF(Table1[[#This Row],[Is Data Valid]]=TRUE,_xlfn.NORM.S.DIST(Table1[[#This Row],[Birthweight Z-Score]],TRUE)*100,"")</f>
        <v/>
      </c>
      <c r="K8843" s="7" t="str">
        <f>IF(Table1[[#This Row],[Is Data Valid]]=TRUE,_xlfn.NORM.S.DIST(Table1[[#This Row],[Birthweight Z-Score (BW-10%)]],TRUE)*100,"")</f>
        <v/>
      </c>
      <c r="L8843" s="7" t="str">
        <f>IF(Table1[[#This Row],[Is Data Valid]]=TRUE,_xlfn.NORM.S.DIST(Table1[[#This Row],[Birthweight Z-Score (BW+10%)]],TRUE)*100,"")</f>
        <v/>
      </c>
    </row>
    <row r="8844" spans="1:12" x14ac:dyDescent="0.35">
      <c r="A8844" s="3"/>
      <c r="B8844" s="2"/>
      <c r="C8844" s="2"/>
      <c r="D8844" s="2" t="b">
        <f>IF(AND(NOT(ISBLANK(Table1[[#This Row],[Fetal Sex (Male, Female or Unknown)]])),ISNUMBER(Table1[[#This Row],[Birthweight (grams)]]),ISNUMBER(Table1[[#This Row],[Gestation (days)]])),TRUE,FALSE)</f>
        <v>0</v>
      </c>
      <c r="E8844" s="2" t="str">
        <f>IF(Table1[[#This Row],[Is Data Valid]]=TRUE,IF(Table1[[#This Row],[Fetal Sex (Male, Female or Unknown)]]="Male",Backend!$C$6,IF(Table1[[#This Row],[Fetal Sex (Male, Female or Unknown)]]="Female",Backend!$C$7,IF(Table1[[#This Row],[Fetal Sex (Male, Female or Unknown)]]="Unknown",Backend!$C$8,"Error"))),"")</f>
        <v/>
      </c>
      <c r="F8844" s="8" t="str">
        <f>IF(Table1[[#This Row],[Is Data Valid]]=TRUE,EXP(0.578+0.332*((Table1[[#This Row],[Gestation (days)]]+0.5)/7)-0.00354*((Table1[[#This Row],[Gestation (days)]]+0.5)/7)^2)*Table1[[#This Row],[BW40_3705]],"")</f>
        <v/>
      </c>
      <c r="G8844" s="2" t="str">
        <f>IF(Table1[[#This Row],[Is Data Valid]]=TRUE,((Table1[[#This Row],[Birthweight (grams)]]/Table1[[#This Row],[BW_GA]])-1)/(Backend!$B$4/100*Table1[[#This Row],[BW40_3705]]),"")</f>
        <v/>
      </c>
      <c r="H8844" s="7" t="str">
        <f>IF(Table1[[#This Row],[Is Data Valid]]=TRUE,((Table1[[#This Row],[Birthweight (grams)]]*0.9/Table1[[#This Row],[BW_GA]])-1)/(Backend!$B$4/100*Table1[[#This Row],[BW40_3705]]),"")</f>
        <v/>
      </c>
      <c r="I8844" s="7" t="str">
        <f>IF(Table1[[#This Row],[Is Data Valid]]=TRUE,((Table1[[#This Row],[Birthweight (grams)]]*1.1/Table1[[#This Row],[BW_GA]])-1)/(Backend!$B$4/100*Table1[[#This Row],[BW40_3705]]),"")</f>
        <v/>
      </c>
      <c r="J8844" s="7" t="str">
        <f>IF(Table1[[#This Row],[Is Data Valid]]=TRUE,_xlfn.NORM.S.DIST(Table1[[#This Row],[Birthweight Z-Score]],TRUE)*100,"")</f>
        <v/>
      </c>
      <c r="K8844" s="7" t="str">
        <f>IF(Table1[[#This Row],[Is Data Valid]]=TRUE,_xlfn.NORM.S.DIST(Table1[[#This Row],[Birthweight Z-Score (BW-10%)]],TRUE)*100,"")</f>
        <v/>
      </c>
      <c r="L8844" s="7" t="str">
        <f>IF(Table1[[#This Row],[Is Data Valid]]=TRUE,_xlfn.NORM.S.DIST(Table1[[#This Row],[Birthweight Z-Score (BW+10%)]],TRUE)*100,"")</f>
        <v/>
      </c>
    </row>
    <row r="8845" spans="1:12" x14ac:dyDescent="0.35">
      <c r="A8845" s="3"/>
      <c r="B8845" s="2"/>
      <c r="C8845" s="2"/>
      <c r="D8845" s="2" t="b">
        <f>IF(AND(NOT(ISBLANK(Table1[[#This Row],[Fetal Sex (Male, Female or Unknown)]])),ISNUMBER(Table1[[#This Row],[Birthweight (grams)]]),ISNUMBER(Table1[[#This Row],[Gestation (days)]])),TRUE,FALSE)</f>
        <v>0</v>
      </c>
      <c r="E8845" s="2" t="str">
        <f>IF(Table1[[#This Row],[Is Data Valid]]=TRUE,IF(Table1[[#This Row],[Fetal Sex (Male, Female or Unknown)]]="Male",Backend!$C$6,IF(Table1[[#This Row],[Fetal Sex (Male, Female or Unknown)]]="Female",Backend!$C$7,IF(Table1[[#This Row],[Fetal Sex (Male, Female or Unknown)]]="Unknown",Backend!$C$8,"Error"))),"")</f>
        <v/>
      </c>
      <c r="F8845" s="8" t="str">
        <f>IF(Table1[[#This Row],[Is Data Valid]]=TRUE,EXP(0.578+0.332*((Table1[[#This Row],[Gestation (days)]]+0.5)/7)-0.00354*((Table1[[#This Row],[Gestation (days)]]+0.5)/7)^2)*Table1[[#This Row],[BW40_3705]],"")</f>
        <v/>
      </c>
      <c r="G8845" s="2" t="str">
        <f>IF(Table1[[#This Row],[Is Data Valid]]=TRUE,((Table1[[#This Row],[Birthweight (grams)]]/Table1[[#This Row],[BW_GA]])-1)/(Backend!$B$4/100*Table1[[#This Row],[BW40_3705]]),"")</f>
        <v/>
      </c>
      <c r="H8845" s="7" t="str">
        <f>IF(Table1[[#This Row],[Is Data Valid]]=TRUE,((Table1[[#This Row],[Birthweight (grams)]]*0.9/Table1[[#This Row],[BW_GA]])-1)/(Backend!$B$4/100*Table1[[#This Row],[BW40_3705]]),"")</f>
        <v/>
      </c>
      <c r="I8845" s="7" t="str">
        <f>IF(Table1[[#This Row],[Is Data Valid]]=TRUE,((Table1[[#This Row],[Birthweight (grams)]]*1.1/Table1[[#This Row],[BW_GA]])-1)/(Backend!$B$4/100*Table1[[#This Row],[BW40_3705]]),"")</f>
        <v/>
      </c>
      <c r="J8845" s="7" t="str">
        <f>IF(Table1[[#This Row],[Is Data Valid]]=TRUE,_xlfn.NORM.S.DIST(Table1[[#This Row],[Birthweight Z-Score]],TRUE)*100,"")</f>
        <v/>
      </c>
      <c r="K8845" s="7" t="str">
        <f>IF(Table1[[#This Row],[Is Data Valid]]=TRUE,_xlfn.NORM.S.DIST(Table1[[#This Row],[Birthweight Z-Score (BW-10%)]],TRUE)*100,"")</f>
        <v/>
      </c>
      <c r="L8845" s="7" t="str">
        <f>IF(Table1[[#This Row],[Is Data Valid]]=TRUE,_xlfn.NORM.S.DIST(Table1[[#This Row],[Birthweight Z-Score (BW+10%)]],TRUE)*100,"")</f>
        <v/>
      </c>
    </row>
    <row r="8846" spans="1:12" x14ac:dyDescent="0.35">
      <c r="A8846" s="3"/>
      <c r="B8846" s="2"/>
      <c r="C8846" s="2"/>
      <c r="D8846" s="2" t="b">
        <f>IF(AND(NOT(ISBLANK(Table1[[#This Row],[Fetal Sex (Male, Female or Unknown)]])),ISNUMBER(Table1[[#This Row],[Birthweight (grams)]]),ISNUMBER(Table1[[#This Row],[Gestation (days)]])),TRUE,FALSE)</f>
        <v>0</v>
      </c>
      <c r="E8846" s="2" t="str">
        <f>IF(Table1[[#This Row],[Is Data Valid]]=TRUE,IF(Table1[[#This Row],[Fetal Sex (Male, Female or Unknown)]]="Male",Backend!$C$6,IF(Table1[[#This Row],[Fetal Sex (Male, Female or Unknown)]]="Female",Backend!$C$7,IF(Table1[[#This Row],[Fetal Sex (Male, Female or Unknown)]]="Unknown",Backend!$C$8,"Error"))),"")</f>
        <v/>
      </c>
      <c r="F8846" s="8" t="str">
        <f>IF(Table1[[#This Row],[Is Data Valid]]=TRUE,EXP(0.578+0.332*((Table1[[#This Row],[Gestation (days)]]+0.5)/7)-0.00354*((Table1[[#This Row],[Gestation (days)]]+0.5)/7)^2)*Table1[[#This Row],[BW40_3705]],"")</f>
        <v/>
      </c>
      <c r="G8846" s="2" t="str">
        <f>IF(Table1[[#This Row],[Is Data Valid]]=TRUE,((Table1[[#This Row],[Birthweight (grams)]]/Table1[[#This Row],[BW_GA]])-1)/(Backend!$B$4/100*Table1[[#This Row],[BW40_3705]]),"")</f>
        <v/>
      </c>
      <c r="H8846" s="7" t="str">
        <f>IF(Table1[[#This Row],[Is Data Valid]]=TRUE,((Table1[[#This Row],[Birthweight (grams)]]*0.9/Table1[[#This Row],[BW_GA]])-1)/(Backend!$B$4/100*Table1[[#This Row],[BW40_3705]]),"")</f>
        <v/>
      </c>
      <c r="I8846" s="7" t="str">
        <f>IF(Table1[[#This Row],[Is Data Valid]]=TRUE,((Table1[[#This Row],[Birthweight (grams)]]*1.1/Table1[[#This Row],[BW_GA]])-1)/(Backend!$B$4/100*Table1[[#This Row],[BW40_3705]]),"")</f>
        <v/>
      </c>
      <c r="J8846" s="7" t="str">
        <f>IF(Table1[[#This Row],[Is Data Valid]]=TRUE,_xlfn.NORM.S.DIST(Table1[[#This Row],[Birthweight Z-Score]],TRUE)*100,"")</f>
        <v/>
      </c>
      <c r="K8846" s="7" t="str">
        <f>IF(Table1[[#This Row],[Is Data Valid]]=TRUE,_xlfn.NORM.S.DIST(Table1[[#This Row],[Birthweight Z-Score (BW-10%)]],TRUE)*100,"")</f>
        <v/>
      </c>
      <c r="L8846" s="7" t="str">
        <f>IF(Table1[[#This Row],[Is Data Valid]]=TRUE,_xlfn.NORM.S.DIST(Table1[[#This Row],[Birthweight Z-Score (BW+10%)]],TRUE)*100,"")</f>
        <v/>
      </c>
    </row>
    <row r="8847" spans="1:12" x14ac:dyDescent="0.35">
      <c r="A8847" s="3"/>
      <c r="B8847" s="2"/>
      <c r="C8847" s="2"/>
      <c r="D8847" s="2" t="b">
        <f>IF(AND(NOT(ISBLANK(Table1[[#This Row],[Fetal Sex (Male, Female or Unknown)]])),ISNUMBER(Table1[[#This Row],[Birthweight (grams)]]),ISNUMBER(Table1[[#This Row],[Gestation (days)]])),TRUE,FALSE)</f>
        <v>0</v>
      </c>
      <c r="E8847" s="2" t="str">
        <f>IF(Table1[[#This Row],[Is Data Valid]]=TRUE,IF(Table1[[#This Row],[Fetal Sex (Male, Female or Unknown)]]="Male",Backend!$C$6,IF(Table1[[#This Row],[Fetal Sex (Male, Female or Unknown)]]="Female",Backend!$C$7,IF(Table1[[#This Row],[Fetal Sex (Male, Female or Unknown)]]="Unknown",Backend!$C$8,"Error"))),"")</f>
        <v/>
      </c>
      <c r="F8847" s="8" t="str">
        <f>IF(Table1[[#This Row],[Is Data Valid]]=TRUE,EXP(0.578+0.332*((Table1[[#This Row],[Gestation (days)]]+0.5)/7)-0.00354*((Table1[[#This Row],[Gestation (days)]]+0.5)/7)^2)*Table1[[#This Row],[BW40_3705]],"")</f>
        <v/>
      </c>
      <c r="G8847" s="2" t="str">
        <f>IF(Table1[[#This Row],[Is Data Valid]]=TRUE,((Table1[[#This Row],[Birthweight (grams)]]/Table1[[#This Row],[BW_GA]])-1)/(Backend!$B$4/100*Table1[[#This Row],[BW40_3705]]),"")</f>
        <v/>
      </c>
      <c r="H8847" s="7" t="str">
        <f>IF(Table1[[#This Row],[Is Data Valid]]=TRUE,((Table1[[#This Row],[Birthweight (grams)]]*0.9/Table1[[#This Row],[BW_GA]])-1)/(Backend!$B$4/100*Table1[[#This Row],[BW40_3705]]),"")</f>
        <v/>
      </c>
      <c r="I8847" s="7" t="str">
        <f>IF(Table1[[#This Row],[Is Data Valid]]=TRUE,((Table1[[#This Row],[Birthweight (grams)]]*1.1/Table1[[#This Row],[BW_GA]])-1)/(Backend!$B$4/100*Table1[[#This Row],[BW40_3705]]),"")</f>
        <v/>
      </c>
      <c r="J8847" s="7" t="str">
        <f>IF(Table1[[#This Row],[Is Data Valid]]=TRUE,_xlfn.NORM.S.DIST(Table1[[#This Row],[Birthweight Z-Score]],TRUE)*100,"")</f>
        <v/>
      </c>
      <c r="K8847" s="7" t="str">
        <f>IF(Table1[[#This Row],[Is Data Valid]]=TRUE,_xlfn.NORM.S.DIST(Table1[[#This Row],[Birthweight Z-Score (BW-10%)]],TRUE)*100,"")</f>
        <v/>
      </c>
      <c r="L8847" s="7" t="str">
        <f>IF(Table1[[#This Row],[Is Data Valid]]=TRUE,_xlfn.NORM.S.DIST(Table1[[#This Row],[Birthweight Z-Score (BW+10%)]],TRUE)*100,"")</f>
        <v/>
      </c>
    </row>
    <row r="8848" spans="1:12" x14ac:dyDescent="0.35">
      <c r="A8848" s="3"/>
      <c r="B8848" s="2"/>
      <c r="C8848" s="2"/>
      <c r="D8848" s="2" t="b">
        <f>IF(AND(NOT(ISBLANK(Table1[[#This Row],[Fetal Sex (Male, Female or Unknown)]])),ISNUMBER(Table1[[#This Row],[Birthweight (grams)]]),ISNUMBER(Table1[[#This Row],[Gestation (days)]])),TRUE,FALSE)</f>
        <v>0</v>
      </c>
      <c r="E8848" s="2" t="str">
        <f>IF(Table1[[#This Row],[Is Data Valid]]=TRUE,IF(Table1[[#This Row],[Fetal Sex (Male, Female or Unknown)]]="Male",Backend!$C$6,IF(Table1[[#This Row],[Fetal Sex (Male, Female or Unknown)]]="Female",Backend!$C$7,IF(Table1[[#This Row],[Fetal Sex (Male, Female or Unknown)]]="Unknown",Backend!$C$8,"Error"))),"")</f>
        <v/>
      </c>
      <c r="F8848" s="8" t="str">
        <f>IF(Table1[[#This Row],[Is Data Valid]]=TRUE,EXP(0.578+0.332*((Table1[[#This Row],[Gestation (days)]]+0.5)/7)-0.00354*((Table1[[#This Row],[Gestation (days)]]+0.5)/7)^2)*Table1[[#This Row],[BW40_3705]],"")</f>
        <v/>
      </c>
      <c r="G8848" s="2" t="str">
        <f>IF(Table1[[#This Row],[Is Data Valid]]=TRUE,((Table1[[#This Row],[Birthweight (grams)]]/Table1[[#This Row],[BW_GA]])-1)/(Backend!$B$4/100*Table1[[#This Row],[BW40_3705]]),"")</f>
        <v/>
      </c>
      <c r="H8848" s="7" t="str">
        <f>IF(Table1[[#This Row],[Is Data Valid]]=TRUE,((Table1[[#This Row],[Birthweight (grams)]]*0.9/Table1[[#This Row],[BW_GA]])-1)/(Backend!$B$4/100*Table1[[#This Row],[BW40_3705]]),"")</f>
        <v/>
      </c>
      <c r="I8848" s="7" t="str">
        <f>IF(Table1[[#This Row],[Is Data Valid]]=TRUE,((Table1[[#This Row],[Birthweight (grams)]]*1.1/Table1[[#This Row],[BW_GA]])-1)/(Backend!$B$4/100*Table1[[#This Row],[BW40_3705]]),"")</f>
        <v/>
      </c>
      <c r="J8848" s="7" t="str">
        <f>IF(Table1[[#This Row],[Is Data Valid]]=TRUE,_xlfn.NORM.S.DIST(Table1[[#This Row],[Birthweight Z-Score]],TRUE)*100,"")</f>
        <v/>
      </c>
      <c r="K8848" s="7" t="str">
        <f>IF(Table1[[#This Row],[Is Data Valid]]=TRUE,_xlfn.NORM.S.DIST(Table1[[#This Row],[Birthweight Z-Score (BW-10%)]],TRUE)*100,"")</f>
        <v/>
      </c>
      <c r="L8848" s="7" t="str">
        <f>IF(Table1[[#This Row],[Is Data Valid]]=TRUE,_xlfn.NORM.S.DIST(Table1[[#This Row],[Birthweight Z-Score (BW+10%)]],TRUE)*100,"")</f>
        <v/>
      </c>
    </row>
    <row r="8849" spans="1:12" x14ac:dyDescent="0.35">
      <c r="A8849" s="3"/>
      <c r="B8849" s="2"/>
      <c r="C8849" s="2"/>
      <c r="D8849" s="2" t="b">
        <f>IF(AND(NOT(ISBLANK(Table1[[#This Row],[Fetal Sex (Male, Female or Unknown)]])),ISNUMBER(Table1[[#This Row],[Birthweight (grams)]]),ISNUMBER(Table1[[#This Row],[Gestation (days)]])),TRUE,FALSE)</f>
        <v>0</v>
      </c>
      <c r="E8849" s="2" t="str">
        <f>IF(Table1[[#This Row],[Is Data Valid]]=TRUE,IF(Table1[[#This Row],[Fetal Sex (Male, Female or Unknown)]]="Male",Backend!$C$6,IF(Table1[[#This Row],[Fetal Sex (Male, Female or Unknown)]]="Female",Backend!$C$7,IF(Table1[[#This Row],[Fetal Sex (Male, Female or Unknown)]]="Unknown",Backend!$C$8,"Error"))),"")</f>
        <v/>
      </c>
      <c r="F8849" s="8" t="str">
        <f>IF(Table1[[#This Row],[Is Data Valid]]=TRUE,EXP(0.578+0.332*((Table1[[#This Row],[Gestation (days)]]+0.5)/7)-0.00354*((Table1[[#This Row],[Gestation (days)]]+0.5)/7)^2)*Table1[[#This Row],[BW40_3705]],"")</f>
        <v/>
      </c>
      <c r="G8849" s="2" t="str">
        <f>IF(Table1[[#This Row],[Is Data Valid]]=TRUE,((Table1[[#This Row],[Birthweight (grams)]]/Table1[[#This Row],[BW_GA]])-1)/(Backend!$B$4/100*Table1[[#This Row],[BW40_3705]]),"")</f>
        <v/>
      </c>
      <c r="H8849" s="7" t="str">
        <f>IF(Table1[[#This Row],[Is Data Valid]]=TRUE,((Table1[[#This Row],[Birthweight (grams)]]*0.9/Table1[[#This Row],[BW_GA]])-1)/(Backend!$B$4/100*Table1[[#This Row],[BW40_3705]]),"")</f>
        <v/>
      </c>
      <c r="I8849" s="7" t="str">
        <f>IF(Table1[[#This Row],[Is Data Valid]]=TRUE,((Table1[[#This Row],[Birthweight (grams)]]*1.1/Table1[[#This Row],[BW_GA]])-1)/(Backend!$B$4/100*Table1[[#This Row],[BW40_3705]]),"")</f>
        <v/>
      </c>
      <c r="J8849" s="7" t="str">
        <f>IF(Table1[[#This Row],[Is Data Valid]]=TRUE,_xlfn.NORM.S.DIST(Table1[[#This Row],[Birthweight Z-Score]],TRUE)*100,"")</f>
        <v/>
      </c>
      <c r="K8849" s="7" t="str">
        <f>IF(Table1[[#This Row],[Is Data Valid]]=TRUE,_xlfn.NORM.S.DIST(Table1[[#This Row],[Birthweight Z-Score (BW-10%)]],TRUE)*100,"")</f>
        <v/>
      </c>
      <c r="L8849" s="7" t="str">
        <f>IF(Table1[[#This Row],[Is Data Valid]]=TRUE,_xlfn.NORM.S.DIST(Table1[[#This Row],[Birthweight Z-Score (BW+10%)]],TRUE)*100,"")</f>
        <v/>
      </c>
    </row>
    <row r="8850" spans="1:12" x14ac:dyDescent="0.35">
      <c r="A8850" s="3"/>
      <c r="B8850" s="2"/>
      <c r="C8850" s="2"/>
      <c r="D8850" s="2" t="b">
        <f>IF(AND(NOT(ISBLANK(Table1[[#This Row],[Fetal Sex (Male, Female or Unknown)]])),ISNUMBER(Table1[[#This Row],[Birthweight (grams)]]),ISNUMBER(Table1[[#This Row],[Gestation (days)]])),TRUE,FALSE)</f>
        <v>0</v>
      </c>
      <c r="E8850" s="2" t="str">
        <f>IF(Table1[[#This Row],[Is Data Valid]]=TRUE,IF(Table1[[#This Row],[Fetal Sex (Male, Female or Unknown)]]="Male",Backend!$C$6,IF(Table1[[#This Row],[Fetal Sex (Male, Female or Unknown)]]="Female",Backend!$C$7,IF(Table1[[#This Row],[Fetal Sex (Male, Female or Unknown)]]="Unknown",Backend!$C$8,"Error"))),"")</f>
        <v/>
      </c>
      <c r="F8850" s="8" t="str">
        <f>IF(Table1[[#This Row],[Is Data Valid]]=TRUE,EXP(0.578+0.332*((Table1[[#This Row],[Gestation (days)]]+0.5)/7)-0.00354*((Table1[[#This Row],[Gestation (days)]]+0.5)/7)^2)*Table1[[#This Row],[BW40_3705]],"")</f>
        <v/>
      </c>
      <c r="G8850" s="2" t="str">
        <f>IF(Table1[[#This Row],[Is Data Valid]]=TRUE,((Table1[[#This Row],[Birthweight (grams)]]/Table1[[#This Row],[BW_GA]])-1)/(Backend!$B$4/100*Table1[[#This Row],[BW40_3705]]),"")</f>
        <v/>
      </c>
      <c r="H8850" s="7" t="str">
        <f>IF(Table1[[#This Row],[Is Data Valid]]=TRUE,((Table1[[#This Row],[Birthweight (grams)]]*0.9/Table1[[#This Row],[BW_GA]])-1)/(Backend!$B$4/100*Table1[[#This Row],[BW40_3705]]),"")</f>
        <v/>
      </c>
      <c r="I8850" s="7" t="str">
        <f>IF(Table1[[#This Row],[Is Data Valid]]=TRUE,((Table1[[#This Row],[Birthweight (grams)]]*1.1/Table1[[#This Row],[BW_GA]])-1)/(Backend!$B$4/100*Table1[[#This Row],[BW40_3705]]),"")</f>
        <v/>
      </c>
      <c r="J8850" s="7" t="str">
        <f>IF(Table1[[#This Row],[Is Data Valid]]=TRUE,_xlfn.NORM.S.DIST(Table1[[#This Row],[Birthweight Z-Score]],TRUE)*100,"")</f>
        <v/>
      </c>
      <c r="K8850" s="7" t="str">
        <f>IF(Table1[[#This Row],[Is Data Valid]]=TRUE,_xlfn.NORM.S.DIST(Table1[[#This Row],[Birthweight Z-Score (BW-10%)]],TRUE)*100,"")</f>
        <v/>
      </c>
      <c r="L8850" s="7" t="str">
        <f>IF(Table1[[#This Row],[Is Data Valid]]=TRUE,_xlfn.NORM.S.DIST(Table1[[#This Row],[Birthweight Z-Score (BW+10%)]],TRUE)*100,"")</f>
        <v/>
      </c>
    </row>
    <row r="8851" spans="1:12" x14ac:dyDescent="0.35">
      <c r="A8851" s="3"/>
      <c r="B8851" s="2"/>
      <c r="C8851" s="2"/>
      <c r="D8851" s="2" t="b">
        <f>IF(AND(NOT(ISBLANK(Table1[[#This Row],[Fetal Sex (Male, Female or Unknown)]])),ISNUMBER(Table1[[#This Row],[Birthweight (grams)]]),ISNUMBER(Table1[[#This Row],[Gestation (days)]])),TRUE,FALSE)</f>
        <v>0</v>
      </c>
      <c r="E8851" s="2" t="str">
        <f>IF(Table1[[#This Row],[Is Data Valid]]=TRUE,IF(Table1[[#This Row],[Fetal Sex (Male, Female or Unknown)]]="Male",Backend!$C$6,IF(Table1[[#This Row],[Fetal Sex (Male, Female or Unknown)]]="Female",Backend!$C$7,IF(Table1[[#This Row],[Fetal Sex (Male, Female or Unknown)]]="Unknown",Backend!$C$8,"Error"))),"")</f>
        <v/>
      </c>
      <c r="F8851" s="8" t="str">
        <f>IF(Table1[[#This Row],[Is Data Valid]]=TRUE,EXP(0.578+0.332*((Table1[[#This Row],[Gestation (days)]]+0.5)/7)-0.00354*((Table1[[#This Row],[Gestation (days)]]+0.5)/7)^2)*Table1[[#This Row],[BW40_3705]],"")</f>
        <v/>
      </c>
      <c r="G8851" s="2" t="str">
        <f>IF(Table1[[#This Row],[Is Data Valid]]=TRUE,((Table1[[#This Row],[Birthweight (grams)]]/Table1[[#This Row],[BW_GA]])-1)/(Backend!$B$4/100*Table1[[#This Row],[BW40_3705]]),"")</f>
        <v/>
      </c>
      <c r="H8851" s="7" t="str">
        <f>IF(Table1[[#This Row],[Is Data Valid]]=TRUE,((Table1[[#This Row],[Birthweight (grams)]]*0.9/Table1[[#This Row],[BW_GA]])-1)/(Backend!$B$4/100*Table1[[#This Row],[BW40_3705]]),"")</f>
        <v/>
      </c>
      <c r="I8851" s="7" t="str">
        <f>IF(Table1[[#This Row],[Is Data Valid]]=TRUE,((Table1[[#This Row],[Birthweight (grams)]]*1.1/Table1[[#This Row],[BW_GA]])-1)/(Backend!$B$4/100*Table1[[#This Row],[BW40_3705]]),"")</f>
        <v/>
      </c>
      <c r="J8851" s="7" t="str">
        <f>IF(Table1[[#This Row],[Is Data Valid]]=TRUE,_xlfn.NORM.S.DIST(Table1[[#This Row],[Birthweight Z-Score]],TRUE)*100,"")</f>
        <v/>
      </c>
      <c r="K8851" s="7" t="str">
        <f>IF(Table1[[#This Row],[Is Data Valid]]=TRUE,_xlfn.NORM.S.DIST(Table1[[#This Row],[Birthweight Z-Score (BW-10%)]],TRUE)*100,"")</f>
        <v/>
      </c>
      <c r="L8851" s="7" t="str">
        <f>IF(Table1[[#This Row],[Is Data Valid]]=TRUE,_xlfn.NORM.S.DIST(Table1[[#This Row],[Birthweight Z-Score (BW+10%)]],TRUE)*100,"")</f>
        <v/>
      </c>
    </row>
    <row r="8852" spans="1:12" x14ac:dyDescent="0.35">
      <c r="A8852" s="3"/>
      <c r="B8852" s="2"/>
      <c r="C8852" s="2"/>
      <c r="D8852" s="2" t="b">
        <f>IF(AND(NOT(ISBLANK(Table1[[#This Row],[Fetal Sex (Male, Female or Unknown)]])),ISNUMBER(Table1[[#This Row],[Birthweight (grams)]]),ISNUMBER(Table1[[#This Row],[Gestation (days)]])),TRUE,FALSE)</f>
        <v>0</v>
      </c>
      <c r="E8852" s="2" t="str">
        <f>IF(Table1[[#This Row],[Is Data Valid]]=TRUE,IF(Table1[[#This Row],[Fetal Sex (Male, Female or Unknown)]]="Male",Backend!$C$6,IF(Table1[[#This Row],[Fetal Sex (Male, Female or Unknown)]]="Female",Backend!$C$7,IF(Table1[[#This Row],[Fetal Sex (Male, Female or Unknown)]]="Unknown",Backend!$C$8,"Error"))),"")</f>
        <v/>
      </c>
      <c r="F8852" s="8" t="str">
        <f>IF(Table1[[#This Row],[Is Data Valid]]=TRUE,EXP(0.578+0.332*((Table1[[#This Row],[Gestation (days)]]+0.5)/7)-0.00354*((Table1[[#This Row],[Gestation (days)]]+0.5)/7)^2)*Table1[[#This Row],[BW40_3705]],"")</f>
        <v/>
      </c>
      <c r="G8852" s="2" t="str">
        <f>IF(Table1[[#This Row],[Is Data Valid]]=TRUE,((Table1[[#This Row],[Birthweight (grams)]]/Table1[[#This Row],[BW_GA]])-1)/(Backend!$B$4/100*Table1[[#This Row],[BW40_3705]]),"")</f>
        <v/>
      </c>
      <c r="H8852" s="7" t="str">
        <f>IF(Table1[[#This Row],[Is Data Valid]]=TRUE,((Table1[[#This Row],[Birthweight (grams)]]*0.9/Table1[[#This Row],[BW_GA]])-1)/(Backend!$B$4/100*Table1[[#This Row],[BW40_3705]]),"")</f>
        <v/>
      </c>
      <c r="I8852" s="7" t="str">
        <f>IF(Table1[[#This Row],[Is Data Valid]]=TRUE,((Table1[[#This Row],[Birthweight (grams)]]*1.1/Table1[[#This Row],[BW_GA]])-1)/(Backend!$B$4/100*Table1[[#This Row],[BW40_3705]]),"")</f>
        <v/>
      </c>
      <c r="J8852" s="7" t="str">
        <f>IF(Table1[[#This Row],[Is Data Valid]]=TRUE,_xlfn.NORM.S.DIST(Table1[[#This Row],[Birthweight Z-Score]],TRUE)*100,"")</f>
        <v/>
      </c>
      <c r="K8852" s="7" t="str">
        <f>IF(Table1[[#This Row],[Is Data Valid]]=TRUE,_xlfn.NORM.S.DIST(Table1[[#This Row],[Birthweight Z-Score (BW-10%)]],TRUE)*100,"")</f>
        <v/>
      </c>
      <c r="L8852" s="7" t="str">
        <f>IF(Table1[[#This Row],[Is Data Valid]]=TRUE,_xlfn.NORM.S.DIST(Table1[[#This Row],[Birthweight Z-Score (BW+10%)]],TRUE)*100,"")</f>
        <v/>
      </c>
    </row>
    <row r="8853" spans="1:12" x14ac:dyDescent="0.35">
      <c r="A8853" s="3"/>
      <c r="B8853" s="2"/>
      <c r="C8853" s="2"/>
      <c r="D8853" s="2" t="b">
        <f>IF(AND(NOT(ISBLANK(Table1[[#This Row],[Fetal Sex (Male, Female or Unknown)]])),ISNUMBER(Table1[[#This Row],[Birthweight (grams)]]),ISNUMBER(Table1[[#This Row],[Gestation (days)]])),TRUE,FALSE)</f>
        <v>0</v>
      </c>
      <c r="E8853" s="2" t="str">
        <f>IF(Table1[[#This Row],[Is Data Valid]]=TRUE,IF(Table1[[#This Row],[Fetal Sex (Male, Female or Unknown)]]="Male",Backend!$C$6,IF(Table1[[#This Row],[Fetal Sex (Male, Female or Unknown)]]="Female",Backend!$C$7,IF(Table1[[#This Row],[Fetal Sex (Male, Female or Unknown)]]="Unknown",Backend!$C$8,"Error"))),"")</f>
        <v/>
      </c>
      <c r="F8853" s="8" t="str">
        <f>IF(Table1[[#This Row],[Is Data Valid]]=TRUE,EXP(0.578+0.332*((Table1[[#This Row],[Gestation (days)]]+0.5)/7)-0.00354*((Table1[[#This Row],[Gestation (days)]]+0.5)/7)^2)*Table1[[#This Row],[BW40_3705]],"")</f>
        <v/>
      </c>
      <c r="G8853" s="2" t="str">
        <f>IF(Table1[[#This Row],[Is Data Valid]]=TRUE,((Table1[[#This Row],[Birthweight (grams)]]/Table1[[#This Row],[BW_GA]])-1)/(Backend!$B$4/100*Table1[[#This Row],[BW40_3705]]),"")</f>
        <v/>
      </c>
      <c r="H8853" s="7" t="str">
        <f>IF(Table1[[#This Row],[Is Data Valid]]=TRUE,((Table1[[#This Row],[Birthweight (grams)]]*0.9/Table1[[#This Row],[BW_GA]])-1)/(Backend!$B$4/100*Table1[[#This Row],[BW40_3705]]),"")</f>
        <v/>
      </c>
      <c r="I8853" s="7" t="str">
        <f>IF(Table1[[#This Row],[Is Data Valid]]=TRUE,((Table1[[#This Row],[Birthweight (grams)]]*1.1/Table1[[#This Row],[BW_GA]])-1)/(Backend!$B$4/100*Table1[[#This Row],[BW40_3705]]),"")</f>
        <v/>
      </c>
      <c r="J8853" s="7" t="str">
        <f>IF(Table1[[#This Row],[Is Data Valid]]=TRUE,_xlfn.NORM.S.DIST(Table1[[#This Row],[Birthweight Z-Score]],TRUE)*100,"")</f>
        <v/>
      </c>
      <c r="K8853" s="7" t="str">
        <f>IF(Table1[[#This Row],[Is Data Valid]]=TRUE,_xlfn.NORM.S.DIST(Table1[[#This Row],[Birthweight Z-Score (BW-10%)]],TRUE)*100,"")</f>
        <v/>
      </c>
      <c r="L8853" s="7" t="str">
        <f>IF(Table1[[#This Row],[Is Data Valid]]=TRUE,_xlfn.NORM.S.DIST(Table1[[#This Row],[Birthweight Z-Score (BW+10%)]],TRUE)*100,"")</f>
        <v/>
      </c>
    </row>
    <row r="8854" spans="1:12" x14ac:dyDescent="0.35">
      <c r="A8854" s="3"/>
      <c r="B8854" s="2"/>
      <c r="C8854" s="2"/>
      <c r="D8854" s="2" t="b">
        <f>IF(AND(NOT(ISBLANK(Table1[[#This Row],[Fetal Sex (Male, Female or Unknown)]])),ISNUMBER(Table1[[#This Row],[Birthweight (grams)]]),ISNUMBER(Table1[[#This Row],[Gestation (days)]])),TRUE,FALSE)</f>
        <v>0</v>
      </c>
      <c r="E8854" s="2" t="str">
        <f>IF(Table1[[#This Row],[Is Data Valid]]=TRUE,IF(Table1[[#This Row],[Fetal Sex (Male, Female or Unknown)]]="Male",Backend!$C$6,IF(Table1[[#This Row],[Fetal Sex (Male, Female or Unknown)]]="Female",Backend!$C$7,IF(Table1[[#This Row],[Fetal Sex (Male, Female or Unknown)]]="Unknown",Backend!$C$8,"Error"))),"")</f>
        <v/>
      </c>
      <c r="F8854" s="8" t="str">
        <f>IF(Table1[[#This Row],[Is Data Valid]]=TRUE,EXP(0.578+0.332*((Table1[[#This Row],[Gestation (days)]]+0.5)/7)-0.00354*((Table1[[#This Row],[Gestation (days)]]+0.5)/7)^2)*Table1[[#This Row],[BW40_3705]],"")</f>
        <v/>
      </c>
      <c r="G8854" s="2" t="str">
        <f>IF(Table1[[#This Row],[Is Data Valid]]=TRUE,((Table1[[#This Row],[Birthweight (grams)]]/Table1[[#This Row],[BW_GA]])-1)/(Backend!$B$4/100*Table1[[#This Row],[BW40_3705]]),"")</f>
        <v/>
      </c>
      <c r="H8854" s="7" t="str">
        <f>IF(Table1[[#This Row],[Is Data Valid]]=TRUE,((Table1[[#This Row],[Birthweight (grams)]]*0.9/Table1[[#This Row],[BW_GA]])-1)/(Backend!$B$4/100*Table1[[#This Row],[BW40_3705]]),"")</f>
        <v/>
      </c>
      <c r="I8854" s="7" t="str">
        <f>IF(Table1[[#This Row],[Is Data Valid]]=TRUE,((Table1[[#This Row],[Birthweight (grams)]]*1.1/Table1[[#This Row],[BW_GA]])-1)/(Backend!$B$4/100*Table1[[#This Row],[BW40_3705]]),"")</f>
        <v/>
      </c>
      <c r="J8854" s="7" t="str">
        <f>IF(Table1[[#This Row],[Is Data Valid]]=TRUE,_xlfn.NORM.S.DIST(Table1[[#This Row],[Birthweight Z-Score]],TRUE)*100,"")</f>
        <v/>
      </c>
      <c r="K8854" s="7" t="str">
        <f>IF(Table1[[#This Row],[Is Data Valid]]=TRUE,_xlfn.NORM.S.DIST(Table1[[#This Row],[Birthweight Z-Score (BW-10%)]],TRUE)*100,"")</f>
        <v/>
      </c>
      <c r="L8854" s="7" t="str">
        <f>IF(Table1[[#This Row],[Is Data Valid]]=TRUE,_xlfn.NORM.S.DIST(Table1[[#This Row],[Birthweight Z-Score (BW+10%)]],TRUE)*100,"")</f>
        <v/>
      </c>
    </row>
    <row r="8855" spans="1:12" x14ac:dyDescent="0.35">
      <c r="A8855" s="3"/>
      <c r="B8855" s="2"/>
      <c r="C8855" s="2"/>
      <c r="D8855" s="2" t="b">
        <f>IF(AND(NOT(ISBLANK(Table1[[#This Row],[Fetal Sex (Male, Female or Unknown)]])),ISNUMBER(Table1[[#This Row],[Birthweight (grams)]]),ISNUMBER(Table1[[#This Row],[Gestation (days)]])),TRUE,FALSE)</f>
        <v>0</v>
      </c>
      <c r="E8855" s="2" t="str">
        <f>IF(Table1[[#This Row],[Is Data Valid]]=TRUE,IF(Table1[[#This Row],[Fetal Sex (Male, Female or Unknown)]]="Male",Backend!$C$6,IF(Table1[[#This Row],[Fetal Sex (Male, Female or Unknown)]]="Female",Backend!$C$7,IF(Table1[[#This Row],[Fetal Sex (Male, Female or Unknown)]]="Unknown",Backend!$C$8,"Error"))),"")</f>
        <v/>
      </c>
      <c r="F8855" s="8" t="str">
        <f>IF(Table1[[#This Row],[Is Data Valid]]=TRUE,EXP(0.578+0.332*((Table1[[#This Row],[Gestation (days)]]+0.5)/7)-0.00354*((Table1[[#This Row],[Gestation (days)]]+0.5)/7)^2)*Table1[[#This Row],[BW40_3705]],"")</f>
        <v/>
      </c>
      <c r="G8855" s="2" t="str">
        <f>IF(Table1[[#This Row],[Is Data Valid]]=TRUE,((Table1[[#This Row],[Birthweight (grams)]]/Table1[[#This Row],[BW_GA]])-1)/(Backend!$B$4/100*Table1[[#This Row],[BW40_3705]]),"")</f>
        <v/>
      </c>
      <c r="H8855" s="7" t="str">
        <f>IF(Table1[[#This Row],[Is Data Valid]]=TRUE,((Table1[[#This Row],[Birthweight (grams)]]*0.9/Table1[[#This Row],[BW_GA]])-1)/(Backend!$B$4/100*Table1[[#This Row],[BW40_3705]]),"")</f>
        <v/>
      </c>
      <c r="I8855" s="7" t="str">
        <f>IF(Table1[[#This Row],[Is Data Valid]]=TRUE,((Table1[[#This Row],[Birthweight (grams)]]*1.1/Table1[[#This Row],[BW_GA]])-1)/(Backend!$B$4/100*Table1[[#This Row],[BW40_3705]]),"")</f>
        <v/>
      </c>
      <c r="J8855" s="7" t="str">
        <f>IF(Table1[[#This Row],[Is Data Valid]]=TRUE,_xlfn.NORM.S.DIST(Table1[[#This Row],[Birthweight Z-Score]],TRUE)*100,"")</f>
        <v/>
      </c>
      <c r="K8855" s="7" t="str">
        <f>IF(Table1[[#This Row],[Is Data Valid]]=TRUE,_xlfn.NORM.S.DIST(Table1[[#This Row],[Birthweight Z-Score (BW-10%)]],TRUE)*100,"")</f>
        <v/>
      </c>
      <c r="L8855" s="7" t="str">
        <f>IF(Table1[[#This Row],[Is Data Valid]]=TRUE,_xlfn.NORM.S.DIST(Table1[[#This Row],[Birthweight Z-Score (BW+10%)]],TRUE)*100,"")</f>
        <v/>
      </c>
    </row>
    <row r="8856" spans="1:12" x14ac:dyDescent="0.35">
      <c r="A8856" s="3"/>
      <c r="B8856" s="2"/>
      <c r="C8856" s="2"/>
      <c r="D8856" s="2" t="b">
        <f>IF(AND(NOT(ISBLANK(Table1[[#This Row],[Fetal Sex (Male, Female or Unknown)]])),ISNUMBER(Table1[[#This Row],[Birthweight (grams)]]),ISNUMBER(Table1[[#This Row],[Gestation (days)]])),TRUE,FALSE)</f>
        <v>0</v>
      </c>
      <c r="E8856" s="2" t="str">
        <f>IF(Table1[[#This Row],[Is Data Valid]]=TRUE,IF(Table1[[#This Row],[Fetal Sex (Male, Female or Unknown)]]="Male",Backend!$C$6,IF(Table1[[#This Row],[Fetal Sex (Male, Female or Unknown)]]="Female",Backend!$C$7,IF(Table1[[#This Row],[Fetal Sex (Male, Female or Unknown)]]="Unknown",Backend!$C$8,"Error"))),"")</f>
        <v/>
      </c>
      <c r="F8856" s="8" t="str">
        <f>IF(Table1[[#This Row],[Is Data Valid]]=TRUE,EXP(0.578+0.332*((Table1[[#This Row],[Gestation (days)]]+0.5)/7)-0.00354*((Table1[[#This Row],[Gestation (days)]]+0.5)/7)^2)*Table1[[#This Row],[BW40_3705]],"")</f>
        <v/>
      </c>
      <c r="G8856" s="2" t="str">
        <f>IF(Table1[[#This Row],[Is Data Valid]]=TRUE,((Table1[[#This Row],[Birthweight (grams)]]/Table1[[#This Row],[BW_GA]])-1)/(Backend!$B$4/100*Table1[[#This Row],[BW40_3705]]),"")</f>
        <v/>
      </c>
      <c r="H8856" s="7" t="str">
        <f>IF(Table1[[#This Row],[Is Data Valid]]=TRUE,((Table1[[#This Row],[Birthweight (grams)]]*0.9/Table1[[#This Row],[BW_GA]])-1)/(Backend!$B$4/100*Table1[[#This Row],[BW40_3705]]),"")</f>
        <v/>
      </c>
      <c r="I8856" s="7" t="str">
        <f>IF(Table1[[#This Row],[Is Data Valid]]=TRUE,((Table1[[#This Row],[Birthweight (grams)]]*1.1/Table1[[#This Row],[BW_GA]])-1)/(Backend!$B$4/100*Table1[[#This Row],[BW40_3705]]),"")</f>
        <v/>
      </c>
      <c r="J8856" s="7" t="str">
        <f>IF(Table1[[#This Row],[Is Data Valid]]=TRUE,_xlfn.NORM.S.DIST(Table1[[#This Row],[Birthweight Z-Score]],TRUE)*100,"")</f>
        <v/>
      </c>
      <c r="K8856" s="7" t="str">
        <f>IF(Table1[[#This Row],[Is Data Valid]]=TRUE,_xlfn.NORM.S.DIST(Table1[[#This Row],[Birthweight Z-Score (BW-10%)]],TRUE)*100,"")</f>
        <v/>
      </c>
      <c r="L8856" s="7" t="str">
        <f>IF(Table1[[#This Row],[Is Data Valid]]=TRUE,_xlfn.NORM.S.DIST(Table1[[#This Row],[Birthweight Z-Score (BW+10%)]],TRUE)*100,"")</f>
        <v/>
      </c>
    </row>
    <row r="8857" spans="1:12" x14ac:dyDescent="0.35">
      <c r="A8857" s="3"/>
      <c r="B8857" s="2"/>
      <c r="C8857" s="2"/>
      <c r="D8857" s="2" t="b">
        <f>IF(AND(NOT(ISBLANK(Table1[[#This Row],[Fetal Sex (Male, Female or Unknown)]])),ISNUMBER(Table1[[#This Row],[Birthweight (grams)]]),ISNUMBER(Table1[[#This Row],[Gestation (days)]])),TRUE,FALSE)</f>
        <v>0</v>
      </c>
      <c r="E8857" s="2" t="str">
        <f>IF(Table1[[#This Row],[Is Data Valid]]=TRUE,IF(Table1[[#This Row],[Fetal Sex (Male, Female or Unknown)]]="Male",Backend!$C$6,IF(Table1[[#This Row],[Fetal Sex (Male, Female or Unknown)]]="Female",Backend!$C$7,IF(Table1[[#This Row],[Fetal Sex (Male, Female or Unknown)]]="Unknown",Backend!$C$8,"Error"))),"")</f>
        <v/>
      </c>
      <c r="F8857" s="8" t="str">
        <f>IF(Table1[[#This Row],[Is Data Valid]]=TRUE,EXP(0.578+0.332*((Table1[[#This Row],[Gestation (days)]]+0.5)/7)-0.00354*((Table1[[#This Row],[Gestation (days)]]+0.5)/7)^2)*Table1[[#This Row],[BW40_3705]],"")</f>
        <v/>
      </c>
      <c r="G8857" s="2" t="str">
        <f>IF(Table1[[#This Row],[Is Data Valid]]=TRUE,((Table1[[#This Row],[Birthweight (grams)]]/Table1[[#This Row],[BW_GA]])-1)/(Backend!$B$4/100*Table1[[#This Row],[BW40_3705]]),"")</f>
        <v/>
      </c>
      <c r="H8857" s="7" t="str">
        <f>IF(Table1[[#This Row],[Is Data Valid]]=TRUE,((Table1[[#This Row],[Birthweight (grams)]]*0.9/Table1[[#This Row],[BW_GA]])-1)/(Backend!$B$4/100*Table1[[#This Row],[BW40_3705]]),"")</f>
        <v/>
      </c>
      <c r="I8857" s="7" t="str">
        <f>IF(Table1[[#This Row],[Is Data Valid]]=TRUE,((Table1[[#This Row],[Birthweight (grams)]]*1.1/Table1[[#This Row],[BW_GA]])-1)/(Backend!$B$4/100*Table1[[#This Row],[BW40_3705]]),"")</f>
        <v/>
      </c>
      <c r="J8857" s="7" t="str">
        <f>IF(Table1[[#This Row],[Is Data Valid]]=TRUE,_xlfn.NORM.S.DIST(Table1[[#This Row],[Birthweight Z-Score]],TRUE)*100,"")</f>
        <v/>
      </c>
      <c r="K8857" s="7" t="str">
        <f>IF(Table1[[#This Row],[Is Data Valid]]=TRUE,_xlfn.NORM.S.DIST(Table1[[#This Row],[Birthweight Z-Score (BW-10%)]],TRUE)*100,"")</f>
        <v/>
      </c>
      <c r="L8857" s="7" t="str">
        <f>IF(Table1[[#This Row],[Is Data Valid]]=TRUE,_xlfn.NORM.S.DIST(Table1[[#This Row],[Birthweight Z-Score (BW+10%)]],TRUE)*100,"")</f>
        <v/>
      </c>
    </row>
    <row r="8858" spans="1:12" x14ac:dyDescent="0.35">
      <c r="A8858" s="3"/>
      <c r="B8858" s="2"/>
      <c r="C8858" s="2"/>
      <c r="D8858" s="2" t="b">
        <f>IF(AND(NOT(ISBLANK(Table1[[#This Row],[Fetal Sex (Male, Female or Unknown)]])),ISNUMBER(Table1[[#This Row],[Birthweight (grams)]]),ISNUMBER(Table1[[#This Row],[Gestation (days)]])),TRUE,FALSE)</f>
        <v>0</v>
      </c>
      <c r="E8858" s="2" t="str">
        <f>IF(Table1[[#This Row],[Is Data Valid]]=TRUE,IF(Table1[[#This Row],[Fetal Sex (Male, Female or Unknown)]]="Male",Backend!$C$6,IF(Table1[[#This Row],[Fetal Sex (Male, Female or Unknown)]]="Female",Backend!$C$7,IF(Table1[[#This Row],[Fetal Sex (Male, Female or Unknown)]]="Unknown",Backend!$C$8,"Error"))),"")</f>
        <v/>
      </c>
      <c r="F8858" s="8" t="str">
        <f>IF(Table1[[#This Row],[Is Data Valid]]=TRUE,EXP(0.578+0.332*((Table1[[#This Row],[Gestation (days)]]+0.5)/7)-0.00354*((Table1[[#This Row],[Gestation (days)]]+0.5)/7)^2)*Table1[[#This Row],[BW40_3705]],"")</f>
        <v/>
      </c>
      <c r="G8858" s="2" t="str">
        <f>IF(Table1[[#This Row],[Is Data Valid]]=TRUE,((Table1[[#This Row],[Birthweight (grams)]]/Table1[[#This Row],[BW_GA]])-1)/(Backend!$B$4/100*Table1[[#This Row],[BW40_3705]]),"")</f>
        <v/>
      </c>
      <c r="H8858" s="7" t="str">
        <f>IF(Table1[[#This Row],[Is Data Valid]]=TRUE,((Table1[[#This Row],[Birthweight (grams)]]*0.9/Table1[[#This Row],[BW_GA]])-1)/(Backend!$B$4/100*Table1[[#This Row],[BW40_3705]]),"")</f>
        <v/>
      </c>
      <c r="I8858" s="7" t="str">
        <f>IF(Table1[[#This Row],[Is Data Valid]]=TRUE,((Table1[[#This Row],[Birthweight (grams)]]*1.1/Table1[[#This Row],[BW_GA]])-1)/(Backend!$B$4/100*Table1[[#This Row],[BW40_3705]]),"")</f>
        <v/>
      </c>
      <c r="J8858" s="7" t="str">
        <f>IF(Table1[[#This Row],[Is Data Valid]]=TRUE,_xlfn.NORM.S.DIST(Table1[[#This Row],[Birthweight Z-Score]],TRUE)*100,"")</f>
        <v/>
      </c>
      <c r="K8858" s="7" t="str">
        <f>IF(Table1[[#This Row],[Is Data Valid]]=TRUE,_xlfn.NORM.S.DIST(Table1[[#This Row],[Birthweight Z-Score (BW-10%)]],TRUE)*100,"")</f>
        <v/>
      </c>
      <c r="L8858" s="7" t="str">
        <f>IF(Table1[[#This Row],[Is Data Valid]]=TRUE,_xlfn.NORM.S.DIST(Table1[[#This Row],[Birthweight Z-Score (BW+10%)]],TRUE)*100,"")</f>
        <v/>
      </c>
    </row>
    <row r="8859" spans="1:12" x14ac:dyDescent="0.35">
      <c r="A8859" s="3"/>
      <c r="B8859" s="2"/>
      <c r="C8859" s="2"/>
      <c r="D8859" s="2" t="b">
        <f>IF(AND(NOT(ISBLANK(Table1[[#This Row],[Fetal Sex (Male, Female or Unknown)]])),ISNUMBER(Table1[[#This Row],[Birthweight (grams)]]),ISNUMBER(Table1[[#This Row],[Gestation (days)]])),TRUE,FALSE)</f>
        <v>0</v>
      </c>
      <c r="E8859" s="2" t="str">
        <f>IF(Table1[[#This Row],[Is Data Valid]]=TRUE,IF(Table1[[#This Row],[Fetal Sex (Male, Female or Unknown)]]="Male",Backend!$C$6,IF(Table1[[#This Row],[Fetal Sex (Male, Female or Unknown)]]="Female",Backend!$C$7,IF(Table1[[#This Row],[Fetal Sex (Male, Female or Unknown)]]="Unknown",Backend!$C$8,"Error"))),"")</f>
        <v/>
      </c>
      <c r="F8859" s="8" t="str">
        <f>IF(Table1[[#This Row],[Is Data Valid]]=TRUE,EXP(0.578+0.332*((Table1[[#This Row],[Gestation (days)]]+0.5)/7)-0.00354*((Table1[[#This Row],[Gestation (days)]]+0.5)/7)^2)*Table1[[#This Row],[BW40_3705]],"")</f>
        <v/>
      </c>
      <c r="G8859" s="2" t="str">
        <f>IF(Table1[[#This Row],[Is Data Valid]]=TRUE,((Table1[[#This Row],[Birthweight (grams)]]/Table1[[#This Row],[BW_GA]])-1)/(Backend!$B$4/100*Table1[[#This Row],[BW40_3705]]),"")</f>
        <v/>
      </c>
      <c r="H8859" s="7" t="str">
        <f>IF(Table1[[#This Row],[Is Data Valid]]=TRUE,((Table1[[#This Row],[Birthweight (grams)]]*0.9/Table1[[#This Row],[BW_GA]])-1)/(Backend!$B$4/100*Table1[[#This Row],[BW40_3705]]),"")</f>
        <v/>
      </c>
      <c r="I8859" s="7" t="str">
        <f>IF(Table1[[#This Row],[Is Data Valid]]=TRUE,((Table1[[#This Row],[Birthweight (grams)]]*1.1/Table1[[#This Row],[BW_GA]])-1)/(Backend!$B$4/100*Table1[[#This Row],[BW40_3705]]),"")</f>
        <v/>
      </c>
      <c r="J8859" s="7" t="str">
        <f>IF(Table1[[#This Row],[Is Data Valid]]=TRUE,_xlfn.NORM.S.DIST(Table1[[#This Row],[Birthweight Z-Score]],TRUE)*100,"")</f>
        <v/>
      </c>
      <c r="K8859" s="7" t="str">
        <f>IF(Table1[[#This Row],[Is Data Valid]]=TRUE,_xlfn.NORM.S.DIST(Table1[[#This Row],[Birthweight Z-Score (BW-10%)]],TRUE)*100,"")</f>
        <v/>
      </c>
      <c r="L8859" s="7" t="str">
        <f>IF(Table1[[#This Row],[Is Data Valid]]=TRUE,_xlfn.NORM.S.DIST(Table1[[#This Row],[Birthweight Z-Score (BW+10%)]],TRUE)*100,"")</f>
        <v/>
      </c>
    </row>
    <row r="8860" spans="1:12" x14ac:dyDescent="0.35">
      <c r="A8860" s="3"/>
      <c r="B8860" s="2"/>
      <c r="C8860" s="2"/>
      <c r="D8860" s="2" t="b">
        <f>IF(AND(NOT(ISBLANK(Table1[[#This Row],[Fetal Sex (Male, Female or Unknown)]])),ISNUMBER(Table1[[#This Row],[Birthweight (grams)]]),ISNUMBER(Table1[[#This Row],[Gestation (days)]])),TRUE,FALSE)</f>
        <v>0</v>
      </c>
      <c r="E8860" s="2" t="str">
        <f>IF(Table1[[#This Row],[Is Data Valid]]=TRUE,IF(Table1[[#This Row],[Fetal Sex (Male, Female or Unknown)]]="Male",Backend!$C$6,IF(Table1[[#This Row],[Fetal Sex (Male, Female or Unknown)]]="Female",Backend!$C$7,IF(Table1[[#This Row],[Fetal Sex (Male, Female or Unknown)]]="Unknown",Backend!$C$8,"Error"))),"")</f>
        <v/>
      </c>
      <c r="F8860" s="8" t="str">
        <f>IF(Table1[[#This Row],[Is Data Valid]]=TRUE,EXP(0.578+0.332*((Table1[[#This Row],[Gestation (days)]]+0.5)/7)-0.00354*((Table1[[#This Row],[Gestation (days)]]+0.5)/7)^2)*Table1[[#This Row],[BW40_3705]],"")</f>
        <v/>
      </c>
      <c r="G8860" s="2" t="str">
        <f>IF(Table1[[#This Row],[Is Data Valid]]=TRUE,((Table1[[#This Row],[Birthweight (grams)]]/Table1[[#This Row],[BW_GA]])-1)/(Backend!$B$4/100*Table1[[#This Row],[BW40_3705]]),"")</f>
        <v/>
      </c>
      <c r="H8860" s="7" t="str">
        <f>IF(Table1[[#This Row],[Is Data Valid]]=TRUE,((Table1[[#This Row],[Birthweight (grams)]]*0.9/Table1[[#This Row],[BW_GA]])-1)/(Backend!$B$4/100*Table1[[#This Row],[BW40_3705]]),"")</f>
        <v/>
      </c>
      <c r="I8860" s="7" t="str">
        <f>IF(Table1[[#This Row],[Is Data Valid]]=TRUE,((Table1[[#This Row],[Birthweight (grams)]]*1.1/Table1[[#This Row],[BW_GA]])-1)/(Backend!$B$4/100*Table1[[#This Row],[BW40_3705]]),"")</f>
        <v/>
      </c>
      <c r="J8860" s="7" t="str">
        <f>IF(Table1[[#This Row],[Is Data Valid]]=TRUE,_xlfn.NORM.S.DIST(Table1[[#This Row],[Birthweight Z-Score]],TRUE)*100,"")</f>
        <v/>
      </c>
      <c r="K8860" s="7" t="str">
        <f>IF(Table1[[#This Row],[Is Data Valid]]=TRUE,_xlfn.NORM.S.DIST(Table1[[#This Row],[Birthweight Z-Score (BW-10%)]],TRUE)*100,"")</f>
        <v/>
      </c>
      <c r="L8860" s="7" t="str">
        <f>IF(Table1[[#This Row],[Is Data Valid]]=TRUE,_xlfn.NORM.S.DIST(Table1[[#This Row],[Birthweight Z-Score (BW+10%)]],TRUE)*100,"")</f>
        <v/>
      </c>
    </row>
    <row r="8861" spans="1:12" x14ac:dyDescent="0.35">
      <c r="A8861" s="3"/>
      <c r="B8861" s="2"/>
      <c r="C8861" s="2"/>
      <c r="D8861" s="2" t="b">
        <f>IF(AND(NOT(ISBLANK(Table1[[#This Row],[Fetal Sex (Male, Female or Unknown)]])),ISNUMBER(Table1[[#This Row],[Birthweight (grams)]]),ISNUMBER(Table1[[#This Row],[Gestation (days)]])),TRUE,FALSE)</f>
        <v>0</v>
      </c>
      <c r="E8861" s="2" t="str">
        <f>IF(Table1[[#This Row],[Is Data Valid]]=TRUE,IF(Table1[[#This Row],[Fetal Sex (Male, Female or Unknown)]]="Male",Backend!$C$6,IF(Table1[[#This Row],[Fetal Sex (Male, Female or Unknown)]]="Female",Backend!$C$7,IF(Table1[[#This Row],[Fetal Sex (Male, Female or Unknown)]]="Unknown",Backend!$C$8,"Error"))),"")</f>
        <v/>
      </c>
      <c r="F8861" s="8" t="str">
        <f>IF(Table1[[#This Row],[Is Data Valid]]=TRUE,EXP(0.578+0.332*((Table1[[#This Row],[Gestation (days)]]+0.5)/7)-0.00354*((Table1[[#This Row],[Gestation (days)]]+0.5)/7)^2)*Table1[[#This Row],[BW40_3705]],"")</f>
        <v/>
      </c>
      <c r="G8861" s="2" t="str">
        <f>IF(Table1[[#This Row],[Is Data Valid]]=TRUE,((Table1[[#This Row],[Birthweight (grams)]]/Table1[[#This Row],[BW_GA]])-1)/(Backend!$B$4/100*Table1[[#This Row],[BW40_3705]]),"")</f>
        <v/>
      </c>
      <c r="H8861" s="7" t="str">
        <f>IF(Table1[[#This Row],[Is Data Valid]]=TRUE,((Table1[[#This Row],[Birthweight (grams)]]*0.9/Table1[[#This Row],[BW_GA]])-1)/(Backend!$B$4/100*Table1[[#This Row],[BW40_3705]]),"")</f>
        <v/>
      </c>
      <c r="I8861" s="7" t="str">
        <f>IF(Table1[[#This Row],[Is Data Valid]]=TRUE,((Table1[[#This Row],[Birthweight (grams)]]*1.1/Table1[[#This Row],[BW_GA]])-1)/(Backend!$B$4/100*Table1[[#This Row],[BW40_3705]]),"")</f>
        <v/>
      </c>
      <c r="J8861" s="7" t="str">
        <f>IF(Table1[[#This Row],[Is Data Valid]]=TRUE,_xlfn.NORM.S.DIST(Table1[[#This Row],[Birthweight Z-Score]],TRUE)*100,"")</f>
        <v/>
      </c>
      <c r="K8861" s="7" t="str">
        <f>IF(Table1[[#This Row],[Is Data Valid]]=TRUE,_xlfn.NORM.S.DIST(Table1[[#This Row],[Birthweight Z-Score (BW-10%)]],TRUE)*100,"")</f>
        <v/>
      </c>
      <c r="L8861" s="7" t="str">
        <f>IF(Table1[[#This Row],[Is Data Valid]]=TRUE,_xlfn.NORM.S.DIST(Table1[[#This Row],[Birthweight Z-Score (BW+10%)]],TRUE)*100,"")</f>
        <v/>
      </c>
    </row>
    <row r="8862" spans="1:12" x14ac:dyDescent="0.35">
      <c r="A8862" s="3"/>
      <c r="B8862" s="2"/>
      <c r="C8862" s="2"/>
      <c r="D8862" s="2" t="b">
        <f>IF(AND(NOT(ISBLANK(Table1[[#This Row],[Fetal Sex (Male, Female or Unknown)]])),ISNUMBER(Table1[[#This Row],[Birthweight (grams)]]),ISNUMBER(Table1[[#This Row],[Gestation (days)]])),TRUE,FALSE)</f>
        <v>0</v>
      </c>
      <c r="E8862" s="2" t="str">
        <f>IF(Table1[[#This Row],[Is Data Valid]]=TRUE,IF(Table1[[#This Row],[Fetal Sex (Male, Female or Unknown)]]="Male",Backend!$C$6,IF(Table1[[#This Row],[Fetal Sex (Male, Female or Unknown)]]="Female",Backend!$C$7,IF(Table1[[#This Row],[Fetal Sex (Male, Female or Unknown)]]="Unknown",Backend!$C$8,"Error"))),"")</f>
        <v/>
      </c>
      <c r="F8862" s="8" t="str">
        <f>IF(Table1[[#This Row],[Is Data Valid]]=TRUE,EXP(0.578+0.332*((Table1[[#This Row],[Gestation (days)]]+0.5)/7)-0.00354*((Table1[[#This Row],[Gestation (days)]]+0.5)/7)^2)*Table1[[#This Row],[BW40_3705]],"")</f>
        <v/>
      </c>
      <c r="G8862" s="2" t="str">
        <f>IF(Table1[[#This Row],[Is Data Valid]]=TRUE,((Table1[[#This Row],[Birthweight (grams)]]/Table1[[#This Row],[BW_GA]])-1)/(Backend!$B$4/100*Table1[[#This Row],[BW40_3705]]),"")</f>
        <v/>
      </c>
      <c r="H8862" s="7" t="str">
        <f>IF(Table1[[#This Row],[Is Data Valid]]=TRUE,((Table1[[#This Row],[Birthweight (grams)]]*0.9/Table1[[#This Row],[BW_GA]])-1)/(Backend!$B$4/100*Table1[[#This Row],[BW40_3705]]),"")</f>
        <v/>
      </c>
      <c r="I8862" s="7" t="str">
        <f>IF(Table1[[#This Row],[Is Data Valid]]=TRUE,((Table1[[#This Row],[Birthweight (grams)]]*1.1/Table1[[#This Row],[BW_GA]])-1)/(Backend!$B$4/100*Table1[[#This Row],[BW40_3705]]),"")</f>
        <v/>
      </c>
      <c r="J8862" s="7" t="str">
        <f>IF(Table1[[#This Row],[Is Data Valid]]=TRUE,_xlfn.NORM.S.DIST(Table1[[#This Row],[Birthweight Z-Score]],TRUE)*100,"")</f>
        <v/>
      </c>
      <c r="K8862" s="7" t="str">
        <f>IF(Table1[[#This Row],[Is Data Valid]]=TRUE,_xlfn.NORM.S.DIST(Table1[[#This Row],[Birthweight Z-Score (BW-10%)]],TRUE)*100,"")</f>
        <v/>
      </c>
      <c r="L8862" s="7" t="str">
        <f>IF(Table1[[#This Row],[Is Data Valid]]=TRUE,_xlfn.NORM.S.DIST(Table1[[#This Row],[Birthweight Z-Score (BW+10%)]],TRUE)*100,"")</f>
        <v/>
      </c>
    </row>
    <row r="8863" spans="1:12" x14ac:dyDescent="0.35">
      <c r="A8863" s="3"/>
      <c r="B8863" s="2"/>
      <c r="C8863" s="2"/>
      <c r="D8863" s="2" t="b">
        <f>IF(AND(NOT(ISBLANK(Table1[[#This Row],[Fetal Sex (Male, Female or Unknown)]])),ISNUMBER(Table1[[#This Row],[Birthweight (grams)]]),ISNUMBER(Table1[[#This Row],[Gestation (days)]])),TRUE,FALSE)</f>
        <v>0</v>
      </c>
      <c r="E8863" s="2" t="str">
        <f>IF(Table1[[#This Row],[Is Data Valid]]=TRUE,IF(Table1[[#This Row],[Fetal Sex (Male, Female or Unknown)]]="Male",Backend!$C$6,IF(Table1[[#This Row],[Fetal Sex (Male, Female or Unknown)]]="Female",Backend!$C$7,IF(Table1[[#This Row],[Fetal Sex (Male, Female or Unknown)]]="Unknown",Backend!$C$8,"Error"))),"")</f>
        <v/>
      </c>
      <c r="F8863" s="8" t="str">
        <f>IF(Table1[[#This Row],[Is Data Valid]]=TRUE,EXP(0.578+0.332*((Table1[[#This Row],[Gestation (days)]]+0.5)/7)-0.00354*((Table1[[#This Row],[Gestation (days)]]+0.5)/7)^2)*Table1[[#This Row],[BW40_3705]],"")</f>
        <v/>
      </c>
      <c r="G8863" s="2" t="str">
        <f>IF(Table1[[#This Row],[Is Data Valid]]=TRUE,((Table1[[#This Row],[Birthweight (grams)]]/Table1[[#This Row],[BW_GA]])-1)/(Backend!$B$4/100*Table1[[#This Row],[BW40_3705]]),"")</f>
        <v/>
      </c>
      <c r="H8863" s="7" t="str">
        <f>IF(Table1[[#This Row],[Is Data Valid]]=TRUE,((Table1[[#This Row],[Birthweight (grams)]]*0.9/Table1[[#This Row],[BW_GA]])-1)/(Backend!$B$4/100*Table1[[#This Row],[BW40_3705]]),"")</f>
        <v/>
      </c>
      <c r="I8863" s="7" t="str">
        <f>IF(Table1[[#This Row],[Is Data Valid]]=TRUE,((Table1[[#This Row],[Birthweight (grams)]]*1.1/Table1[[#This Row],[BW_GA]])-1)/(Backend!$B$4/100*Table1[[#This Row],[BW40_3705]]),"")</f>
        <v/>
      </c>
      <c r="J8863" s="7" t="str">
        <f>IF(Table1[[#This Row],[Is Data Valid]]=TRUE,_xlfn.NORM.S.DIST(Table1[[#This Row],[Birthweight Z-Score]],TRUE)*100,"")</f>
        <v/>
      </c>
      <c r="K8863" s="7" t="str">
        <f>IF(Table1[[#This Row],[Is Data Valid]]=TRUE,_xlfn.NORM.S.DIST(Table1[[#This Row],[Birthweight Z-Score (BW-10%)]],TRUE)*100,"")</f>
        <v/>
      </c>
      <c r="L8863" s="7" t="str">
        <f>IF(Table1[[#This Row],[Is Data Valid]]=TRUE,_xlfn.NORM.S.DIST(Table1[[#This Row],[Birthweight Z-Score (BW+10%)]],TRUE)*100,"")</f>
        <v/>
      </c>
    </row>
    <row r="8864" spans="1:12" x14ac:dyDescent="0.35">
      <c r="A8864" s="3"/>
      <c r="B8864" s="2"/>
      <c r="C8864" s="2"/>
      <c r="D8864" s="2" t="b">
        <f>IF(AND(NOT(ISBLANK(Table1[[#This Row],[Fetal Sex (Male, Female or Unknown)]])),ISNUMBER(Table1[[#This Row],[Birthweight (grams)]]),ISNUMBER(Table1[[#This Row],[Gestation (days)]])),TRUE,FALSE)</f>
        <v>0</v>
      </c>
      <c r="E8864" s="2" t="str">
        <f>IF(Table1[[#This Row],[Is Data Valid]]=TRUE,IF(Table1[[#This Row],[Fetal Sex (Male, Female or Unknown)]]="Male",Backend!$C$6,IF(Table1[[#This Row],[Fetal Sex (Male, Female or Unknown)]]="Female",Backend!$C$7,IF(Table1[[#This Row],[Fetal Sex (Male, Female or Unknown)]]="Unknown",Backend!$C$8,"Error"))),"")</f>
        <v/>
      </c>
      <c r="F8864" s="8" t="str">
        <f>IF(Table1[[#This Row],[Is Data Valid]]=TRUE,EXP(0.578+0.332*((Table1[[#This Row],[Gestation (days)]]+0.5)/7)-0.00354*((Table1[[#This Row],[Gestation (days)]]+0.5)/7)^2)*Table1[[#This Row],[BW40_3705]],"")</f>
        <v/>
      </c>
      <c r="G8864" s="2" t="str">
        <f>IF(Table1[[#This Row],[Is Data Valid]]=TRUE,((Table1[[#This Row],[Birthweight (grams)]]/Table1[[#This Row],[BW_GA]])-1)/(Backend!$B$4/100*Table1[[#This Row],[BW40_3705]]),"")</f>
        <v/>
      </c>
      <c r="H8864" s="7" t="str">
        <f>IF(Table1[[#This Row],[Is Data Valid]]=TRUE,((Table1[[#This Row],[Birthweight (grams)]]*0.9/Table1[[#This Row],[BW_GA]])-1)/(Backend!$B$4/100*Table1[[#This Row],[BW40_3705]]),"")</f>
        <v/>
      </c>
      <c r="I8864" s="7" t="str">
        <f>IF(Table1[[#This Row],[Is Data Valid]]=TRUE,((Table1[[#This Row],[Birthweight (grams)]]*1.1/Table1[[#This Row],[BW_GA]])-1)/(Backend!$B$4/100*Table1[[#This Row],[BW40_3705]]),"")</f>
        <v/>
      </c>
      <c r="J8864" s="7" t="str">
        <f>IF(Table1[[#This Row],[Is Data Valid]]=TRUE,_xlfn.NORM.S.DIST(Table1[[#This Row],[Birthweight Z-Score]],TRUE)*100,"")</f>
        <v/>
      </c>
      <c r="K8864" s="7" t="str">
        <f>IF(Table1[[#This Row],[Is Data Valid]]=TRUE,_xlfn.NORM.S.DIST(Table1[[#This Row],[Birthweight Z-Score (BW-10%)]],TRUE)*100,"")</f>
        <v/>
      </c>
      <c r="L8864" s="7" t="str">
        <f>IF(Table1[[#This Row],[Is Data Valid]]=TRUE,_xlfn.NORM.S.DIST(Table1[[#This Row],[Birthweight Z-Score (BW+10%)]],TRUE)*100,"")</f>
        <v/>
      </c>
    </row>
    <row r="8865" spans="1:12" x14ac:dyDescent="0.35">
      <c r="A8865" s="3"/>
      <c r="B8865" s="2"/>
      <c r="C8865" s="2"/>
      <c r="D8865" s="2" t="b">
        <f>IF(AND(NOT(ISBLANK(Table1[[#This Row],[Fetal Sex (Male, Female or Unknown)]])),ISNUMBER(Table1[[#This Row],[Birthweight (grams)]]),ISNUMBER(Table1[[#This Row],[Gestation (days)]])),TRUE,FALSE)</f>
        <v>0</v>
      </c>
      <c r="E8865" s="2" t="str">
        <f>IF(Table1[[#This Row],[Is Data Valid]]=TRUE,IF(Table1[[#This Row],[Fetal Sex (Male, Female or Unknown)]]="Male",Backend!$C$6,IF(Table1[[#This Row],[Fetal Sex (Male, Female or Unknown)]]="Female",Backend!$C$7,IF(Table1[[#This Row],[Fetal Sex (Male, Female or Unknown)]]="Unknown",Backend!$C$8,"Error"))),"")</f>
        <v/>
      </c>
      <c r="F8865" s="8" t="str">
        <f>IF(Table1[[#This Row],[Is Data Valid]]=TRUE,EXP(0.578+0.332*((Table1[[#This Row],[Gestation (days)]]+0.5)/7)-0.00354*((Table1[[#This Row],[Gestation (days)]]+0.5)/7)^2)*Table1[[#This Row],[BW40_3705]],"")</f>
        <v/>
      </c>
      <c r="G8865" s="2" t="str">
        <f>IF(Table1[[#This Row],[Is Data Valid]]=TRUE,((Table1[[#This Row],[Birthweight (grams)]]/Table1[[#This Row],[BW_GA]])-1)/(Backend!$B$4/100*Table1[[#This Row],[BW40_3705]]),"")</f>
        <v/>
      </c>
      <c r="H8865" s="7" t="str">
        <f>IF(Table1[[#This Row],[Is Data Valid]]=TRUE,((Table1[[#This Row],[Birthweight (grams)]]*0.9/Table1[[#This Row],[BW_GA]])-1)/(Backend!$B$4/100*Table1[[#This Row],[BW40_3705]]),"")</f>
        <v/>
      </c>
      <c r="I8865" s="7" t="str">
        <f>IF(Table1[[#This Row],[Is Data Valid]]=TRUE,((Table1[[#This Row],[Birthweight (grams)]]*1.1/Table1[[#This Row],[BW_GA]])-1)/(Backend!$B$4/100*Table1[[#This Row],[BW40_3705]]),"")</f>
        <v/>
      </c>
      <c r="J8865" s="7" t="str">
        <f>IF(Table1[[#This Row],[Is Data Valid]]=TRUE,_xlfn.NORM.S.DIST(Table1[[#This Row],[Birthweight Z-Score]],TRUE)*100,"")</f>
        <v/>
      </c>
      <c r="K8865" s="7" t="str">
        <f>IF(Table1[[#This Row],[Is Data Valid]]=TRUE,_xlfn.NORM.S.DIST(Table1[[#This Row],[Birthweight Z-Score (BW-10%)]],TRUE)*100,"")</f>
        <v/>
      </c>
      <c r="L8865" s="7" t="str">
        <f>IF(Table1[[#This Row],[Is Data Valid]]=TRUE,_xlfn.NORM.S.DIST(Table1[[#This Row],[Birthweight Z-Score (BW+10%)]],TRUE)*100,"")</f>
        <v/>
      </c>
    </row>
    <row r="8866" spans="1:12" x14ac:dyDescent="0.35">
      <c r="A8866" s="3"/>
      <c r="B8866" s="2"/>
      <c r="C8866" s="2"/>
      <c r="D8866" s="2" t="b">
        <f>IF(AND(NOT(ISBLANK(Table1[[#This Row],[Fetal Sex (Male, Female or Unknown)]])),ISNUMBER(Table1[[#This Row],[Birthweight (grams)]]),ISNUMBER(Table1[[#This Row],[Gestation (days)]])),TRUE,FALSE)</f>
        <v>0</v>
      </c>
      <c r="E8866" s="2" t="str">
        <f>IF(Table1[[#This Row],[Is Data Valid]]=TRUE,IF(Table1[[#This Row],[Fetal Sex (Male, Female or Unknown)]]="Male",Backend!$C$6,IF(Table1[[#This Row],[Fetal Sex (Male, Female or Unknown)]]="Female",Backend!$C$7,IF(Table1[[#This Row],[Fetal Sex (Male, Female or Unknown)]]="Unknown",Backend!$C$8,"Error"))),"")</f>
        <v/>
      </c>
      <c r="F8866" s="8" t="str">
        <f>IF(Table1[[#This Row],[Is Data Valid]]=TRUE,EXP(0.578+0.332*((Table1[[#This Row],[Gestation (days)]]+0.5)/7)-0.00354*((Table1[[#This Row],[Gestation (days)]]+0.5)/7)^2)*Table1[[#This Row],[BW40_3705]],"")</f>
        <v/>
      </c>
      <c r="G8866" s="2" t="str">
        <f>IF(Table1[[#This Row],[Is Data Valid]]=TRUE,((Table1[[#This Row],[Birthweight (grams)]]/Table1[[#This Row],[BW_GA]])-1)/(Backend!$B$4/100*Table1[[#This Row],[BW40_3705]]),"")</f>
        <v/>
      </c>
      <c r="H8866" s="7" t="str">
        <f>IF(Table1[[#This Row],[Is Data Valid]]=TRUE,((Table1[[#This Row],[Birthweight (grams)]]*0.9/Table1[[#This Row],[BW_GA]])-1)/(Backend!$B$4/100*Table1[[#This Row],[BW40_3705]]),"")</f>
        <v/>
      </c>
      <c r="I8866" s="7" t="str">
        <f>IF(Table1[[#This Row],[Is Data Valid]]=TRUE,((Table1[[#This Row],[Birthweight (grams)]]*1.1/Table1[[#This Row],[BW_GA]])-1)/(Backend!$B$4/100*Table1[[#This Row],[BW40_3705]]),"")</f>
        <v/>
      </c>
      <c r="J8866" s="7" t="str">
        <f>IF(Table1[[#This Row],[Is Data Valid]]=TRUE,_xlfn.NORM.S.DIST(Table1[[#This Row],[Birthweight Z-Score]],TRUE)*100,"")</f>
        <v/>
      </c>
      <c r="K8866" s="7" t="str">
        <f>IF(Table1[[#This Row],[Is Data Valid]]=TRUE,_xlfn.NORM.S.DIST(Table1[[#This Row],[Birthweight Z-Score (BW-10%)]],TRUE)*100,"")</f>
        <v/>
      </c>
      <c r="L8866" s="7" t="str">
        <f>IF(Table1[[#This Row],[Is Data Valid]]=TRUE,_xlfn.NORM.S.DIST(Table1[[#This Row],[Birthweight Z-Score (BW+10%)]],TRUE)*100,"")</f>
        <v/>
      </c>
    </row>
    <row r="8867" spans="1:12" x14ac:dyDescent="0.35">
      <c r="A8867" s="3"/>
      <c r="B8867" s="2"/>
      <c r="C8867" s="2"/>
      <c r="D8867" s="2" t="b">
        <f>IF(AND(NOT(ISBLANK(Table1[[#This Row],[Fetal Sex (Male, Female or Unknown)]])),ISNUMBER(Table1[[#This Row],[Birthweight (grams)]]),ISNUMBER(Table1[[#This Row],[Gestation (days)]])),TRUE,FALSE)</f>
        <v>0</v>
      </c>
      <c r="E8867" s="2" t="str">
        <f>IF(Table1[[#This Row],[Is Data Valid]]=TRUE,IF(Table1[[#This Row],[Fetal Sex (Male, Female or Unknown)]]="Male",Backend!$C$6,IF(Table1[[#This Row],[Fetal Sex (Male, Female or Unknown)]]="Female",Backend!$C$7,IF(Table1[[#This Row],[Fetal Sex (Male, Female or Unknown)]]="Unknown",Backend!$C$8,"Error"))),"")</f>
        <v/>
      </c>
      <c r="F8867" s="8" t="str">
        <f>IF(Table1[[#This Row],[Is Data Valid]]=TRUE,EXP(0.578+0.332*((Table1[[#This Row],[Gestation (days)]]+0.5)/7)-0.00354*((Table1[[#This Row],[Gestation (days)]]+0.5)/7)^2)*Table1[[#This Row],[BW40_3705]],"")</f>
        <v/>
      </c>
      <c r="G8867" s="2" t="str">
        <f>IF(Table1[[#This Row],[Is Data Valid]]=TRUE,((Table1[[#This Row],[Birthweight (grams)]]/Table1[[#This Row],[BW_GA]])-1)/(Backend!$B$4/100*Table1[[#This Row],[BW40_3705]]),"")</f>
        <v/>
      </c>
      <c r="H8867" s="7" t="str">
        <f>IF(Table1[[#This Row],[Is Data Valid]]=TRUE,((Table1[[#This Row],[Birthweight (grams)]]*0.9/Table1[[#This Row],[BW_GA]])-1)/(Backend!$B$4/100*Table1[[#This Row],[BW40_3705]]),"")</f>
        <v/>
      </c>
      <c r="I8867" s="7" t="str">
        <f>IF(Table1[[#This Row],[Is Data Valid]]=TRUE,((Table1[[#This Row],[Birthweight (grams)]]*1.1/Table1[[#This Row],[BW_GA]])-1)/(Backend!$B$4/100*Table1[[#This Row],[BW40_3705]]),"")</f>
        <v/>
      </c>
      <c r="J8867" s="7" t="str">
        <f>IF(Table1[[#This Row],[Is Data Valid]]=TRUE,_xlfn.NORM.S.DIST(Table1[[#This Row],[Birthweight Z-Score]],TRUE)*100,"")</f>
        <v/>
      </c>
      <c r="K8867" s="7" t="str">
        <f>IF(Table1[[#This Row],[Is Data Valid]]=TRUE,_xlfn.NORM.S.DIST(Table1[[#This Row],[Birthweight Z-Score (BW-10%)]],TRUE)*100,"")</f>
        <v/>
      </c>
      <c r="L8867" s="7" t="str">
        <f>IF(Table1[[#This Row],[Is Data Valid]]=TRUE,_xlfn.NORM.S.DIST(Table1[[#This Row],[Birthweight Z-Score (BW+10%)]],TRUE)*100,"")</f>
        <v/>
      </c>
    </row>
    <row r="8868" spans="1:12" x14ac:dyDescent="0.35">
      <c r="A8868" s="3"/>
      <c r="B8868" s="2"/>
      <c r="C8868" s="2"/>
      <c r="D8868" s="2" t="b">
        <f>IF(AND(NOT(ISBLANK(Table1[[#This Row],[Fetal Sex (Male, Female or Unknown)]])),ISNUMBER(Table1[[#This Row],[Birthweight (grams)]]),ISNUMBER(Table1[[#This Row],[Gestation (days)]])),TRUE,FALSE)</f>
        <v>0</v>
      </c>
      <c r="E8868" s="2" t="str">
        <f>IF(Table1[[#This Row],[Is Data Valid]]=TRUE,IF(Table1[[#This Row],[Fetal Sex (Male, Female or Unknown)]]="Male",Backend!$C$6,IF(Table1[[#This Row],[Fetal Sex (Male, Female or Unknown)]]="Female",Backend!$C$7,IF(Table1[[#This Row],[Fetal Sex (Male, Female or Unknown)]]="Unknown",Backend!$C$8,"Error"))),"")</f>
        <v/>
      </c>
      <c r="F8868" s="8" t="str">
        <f>IF(Table1[[#This Row],[Is Data Valid]]=TRUE,EXP(0.578+0.332*((Table1[[#This Row],[Gestation (days)]]+0.5)/7)-0.00354*((Table1[[#This Row],[Gestation (days)]]+0.5)/7)^2)*Table1[[#This Row],[BW40_3705]],"")</f>
        <v/>
      </c>
      <c r="G8868" s="2" t="str">
        <f>IF(Table1[[#This Row],[Is Data Valid]]=TRUE,((Table1[[#This Row],[Birthweight (grams)]]/Table1[[#This Row],[BW_GA]])-1)/(Backend!$B$4/100*Table1[[#This Row],[BW40_3705]]),"")</f>
        <v/>
      </c>
      <c r="H8868" s="7" t="str">
        <f>IF(Table1[[#This Row],[Is Data Valid]]=TRUE,((Table1[[#This Row],[Birthweight (grams)]]*0.9/Table1[[#This Row],[BW_GA]])-1)/(Backend!$B$4/100*Table1[[#This Row],[BW40_3705]]),"")</f>
        <v/>
      </c>
      <c r="I8868" s="7" t="str">
        <f>IF(Table1[[#This Row],[Is Data Valid]]=TRUE,((Table1[[#This Row],[Birthweight (grams)]]*1.1/Table1[[#This Row],[BW_GA]])-1)/(Backend!$B$4/100*Table1[[#This Row],[BW40_3705]]),"")</f>
        <v/>
      </c>
      <c r="J8868" s="7" t="str">
        <f>IF(Table1[[#This Row],[Is Data Valid]]=TRUE,_xlfn.NORM.S.DIST(Table1[[#This Row],[Birthweight Z-Score]],TRUE)*100,"")</f>
        <v/>
      </c>
      <c r="K8868" s="7" t="str">
        <f>IF(Table1[[#This Row],[Is Data Valid]]=TRUE,_xlfn.NORM.S.DIST(Table1[[#This Row],[Birthweight Z-Score (BW-10%)]],TRUE)*100,"")</f>
        <v/>
      </c>
      <c r="L8868" s="7" t="str">
        <f>IF(Table1[[#This Row],[Is Data Valid]]=TRUE,_xlfn.NORM.S.DIST(Table1[[#This Row],[Birthweight Z-Score (BW+10%)]],TRUE)*100,"")</f>
        <v/>
      </c>
    </row>
    <row r="8869" spans="1:12" x14ac:dyDescent="0.35">
      <c r="A8869" s="3"/>
      <c r="B8869" s="2"/>
      <c r="C8869" s="2"/>
      <c r="D8869" s="2" t="b">
        <f>IF(AND(NOT(ISBLANK(Table1[[#This Row],[Fetal Sex (Male, Female or Unknown)]])),ISNUMBER(Table1[[#This Row],[Birthweight (grams)]]),ISNUMBER(Table1[[#This Row],[Gestation (days)]])),TRUE,FALSE)</f>
        <v>0</v>
      </c>
      <c r="E8869" s="2" t="str">
        <f>IF(Table1[[#This Row],[Is Data Valid]]=TRUE,IF(Table1[[#This Row],[Fetal Sex (Male, Female or Unknown)]]="Male",Backend!$C$6,IF(Table1[[#This Row],[Fetal Sex (Male, Female or Unknown)]]="Female",Backend!$C$7,IF(Table1[[#This Row],[Fetal Sex (Male, Female or Unknown)]]="Unknown",Backend!$C$8,"Error"))),"")</f>
        <v/>
      </c>
      <c r="F8869" s="8" t="str">
        <f>IF(Table1[[#This Row],[Is Data Valid]]=TRUE,EXP(0.578+0.332*((Table1[[#This Row],[Gestation (days)]]+0.5)/7)-0.00354*((Table1[[#This Row],[Gestation (days)]]+0.5)/7)^2)*Table1[[#This Row],[BW40_3705]],"")</f>
        <v/>
      </c>
      <c r="G8869" s="2" t="str">
        <f>IF(Table1[[#This Row],[Is Data Valid]]=TRUE,((Table1[[#This Row],[Birthweight (grams)]]/Table1[[#This Row],[BW_GA]])-1)/(Backend!$B$4/100*Table1[[#This Row],[BW40_3705]]),"")</f>
        <v/>
      </c>
      <c r="H8869" s="7" t="str">
        <f>IF(Table1[[#This Row],[Is Data Valid]]=TRUE,((Table1[[#This Row],[Birthweight (grams)]]*0.9/Table1[[#This Row],[BW_GA]])-1)/(Backend!$B$4/100*Table1[[#This Row],[BW40_3705]]),"")</f>
        <v/>
      </c>
      <c r="I8869" s="7" t="str">
        <f>IF(Table1[[#This Row],[Is Data Valid]]=TRUE,((Table1[[#This Row],[Birthweight (grams)]]*1.1/Table1[[#This Row],[BW_GA]])-1)/(Backend!$B$4/100*Table1[[#This Row],[BW40_3705]]),"")</f>
        <v/>
      </c>
      <c r="J8869" s="7" t="str">
        <f>IF(Table1[[#This Row],[Is Data Valid]]=TRUE,_xlfn.NORM.S.DIST(Table1[[#This Row],[Birthweight Z-Score]],TRUE)*100,"")</f>
        <v/>
      </c>
      <c r="K8869" s="7" t="str">
        <f>IF(Table1[[#This Row],[Is Data Valid]]=TRUE,_xlfn.NORM.S.DIST(Table1[[#This Row],[Birthweight Z-Score (BW-10%)]],TRUE)*100,"")</f>
        <v/>
      </c>
      <c r="L8869" s="7" t="str">
        <f>IF(Table1[[#This Row],[Is Data Valid]]=TRUE,_xlfn.NORM.S.DIST(Table1[[#This Row],[Birthweight Z-Score (BW+10%)]],TRUE)*100,"")</f>
        <v/>
      </c>
    </row>
    <row r="8870" spans="1:12" x14ac:dyDescent="0.35">
      <c r="A8870" s="3"/>
      <c r="B8870" s="2"/>
      <c r="C8870" s="2"/>
      <c r="D8870" s="2" t="b">
        <f>IF(AND(NOT(ISBLANK(Table1[[#This Row],[Fetal Sex (Male, Female or Unknown)]])),ISNUMBER(Table1[[#This Row],[Birthweight (grams)]]),ISNUMBER(Table1[[#This Row],[Gestation (days)]])),TRUE,FALSE)</f>
        <v>0</v>
      </c>
      <c r="E8870" s="2" t="str">
        <f>IF(Table1[[#This Row],[Is Data Valid]]=TRUE,IF(Table1[[#This Row],[Fetal Sex (Male, Female or Unknown)]]="Male",Backend!$C$6,IF(Table1[[#This Row],[Fetal Sex (Male, Female or Unknown)]]="Female",Backend!$C$7,IF(Table1[[#This Row],[Fetal Sex (Male, Female or Unknown)]]="Unknown",Backend!$C$8,"Error"))),"")</f>
        <v/>
      </c>
      <c r="F8870" s="8" t="str">
        <f>IF(Table1[[#This Row],[Is Data Valid]]=TRUE,EXP(0.578+0.332*((Table1[[#This Row],[Gestation (days)]]+0.5)/7)-0.00354*((Table1[[#This Row],[Gestation (days)]]+0.5)/7)^2)*Table1[[#This Row],[BW40_3705]],"")</f>
        <v/>
      </c>
      <c r="G8870" s="2" t="str">
        <f>IF(Table1[[#This Row],[Is Data Valid]]=TRUE,((Table1[[#This Row],[Birthweight (grams)]]/Table1[[#This Row],[BW_GA]])-1)/(Backend!$B$4/100*Table1[[#This Row],[BW40_3705]]),"")</f>
        <v/>
      </c>
      <c r="H8870" s="7" t="str">
        <f>IF(Table1[[#This Row],[Is Data Valid]]=TRUE,((Table1[[#This Row],[Birthweight (grams)]]*0.9/Table1[[#This Row],[BW_GA]])-1)/(Backend!$B$4/100*Table1[[#This Row],[BW40_3705]]),"")</f>
        <v/>
      </c>
      <c r="I8870" s="7" t="str">
        <f>IF(Table1[[#This Row],[Is Data Valid]]=TRUE,((Table1[[#This Row],[Birthweight (grams)]]*1.1/Table1[[#This Row],[BW_GA]])-1)/(Backend!$B$4/100*Table1[[#This Row],[BW40_3705]]),"")</f>
        <v/>
      </c>
      <c r="J8870" s="7" t="str">
        <f>IF(Table1[[#This Row],[Is Data Valid]]=TRUE,_xlfn.NORM.S.DIST(Table1[[#This Row],[Birthweight Z-Score]],TRUE)*100,"")</f>
        <v/>
      </c>
      <c r="K8870" s="7" t="str">
        <f>IF(Table1[[#This Row],[Is Data Valid]]=TRUE,_xlfn.NORM.S.DIST(Table1[[#This Row],[Birthweight Z-Score (BW-10%)]],TRUE)*100,"")</f>
        <v/>
      </c>
      <c r="L8870" s="7" t="str">
        <f>IF(Table1[[#This Row],[Is Data Valid]]=TRUE,_xlfn.NORM.S.DIST(Table1[[#This Row],[Birthweight Z-Score (BW+10%)]],TRUE)*100,"")</f>
        <v/>
      </c>
    </row>
    <row r="8871" spans="1:12" x14ac:dyDescent="0.35">
      <c r="A8871" s="3"/>
      <c r="B8871" s="2"/>
      <c r="C8871" s="2"/>
      <c r="D8871" s="2" t="b">
        <f>IF(AND(NOT(ISBLANK(Table1[[#This Row],[Fetal Sex (Male, Female or Unknown)]])),ISNUMBER(Table1[[#This Row],[Birthweight (grams)]]),ISNUMBER(Table1[[#This Row],[Gestation (days)]])),TRUE,FALSE)</f>
        <v>0</v>
      </c>
      <c r="E8871" s="2" t="str">
        <f>IF(Table1[[#This Row],[Is Data Valid]]=TRUE,IF(Table1[[#This Row],[Fetal Sex (Male, Female or Unknown)]]="Male",Backend!$C$6,IF(Table1[[#This Row],[Fetal Sex (Male, Female or Unknown)]]="Female",Backend!$C$7,IF(Table1[[#This Row],[Fetal Sex (Male, Female or Unknown)]]="Unknown",Backend!$C$8,"Error"))),"")</f>
        <v/>
      </c>
      <c r="F8871" s="8" t="str">
        <f>IF(Table1[[#This Row],[Is Data Valid]]=TRUE,EXP(0.578+0.332*((Table1[[#This Row],[Gestation (days)]]+0.5)/7)-0.00354*((Table1[[#This Row],[Gestation (days)]]+0.5)/7)^2)*Table1[[#This Row],[BW40_3705]],"")</f>
        <v/>
      </c>
      <c r="G8871" s="2" t="str">
        <f>IF(Table1[[#This Row],[Is Data Valid]]=TRUE,((Table1[[#This Row],[Birthweight (grams)]]/Table1[[#This Row],[BW_GA]])-1)/(Backend!$B$4/100*Table1[[#This Row],[BW40_3705]]),"")</f>
        <v/>
      </c>
      <c r="H8871" s="7" t="str">
        <f>IF(Table1[[#This Row],[Is Data Valid]]=TRUE,((Table1[[#This Row],[Birthweight (grams)]]*0.9/Table1[[#This Row],[BW_GA]])-1)/(Backend!$B$4/100*Table1[[#This Row],[BW40_3705]]),"")</f>
        <v/>
      </c>
      <c r="I8871" s="7" t="str">
        <f>IF(Table1[[#This Row],[Is Data Valid]]=TRUE,((Table1[[#This Row],[Birthweight (grams)]]*1.1/Table1[[#This Row],[BW_GA]])-1)/(Backend!$B$4/100*Table1[[#This Row],[BW40_3705]]),"")</f>
        <v/>
      </c>
      <c r="J8871" s="7" t="str">
        <f>IF(Table1[[#This Row],[Is Data Valid]]=TRUE,_xlfn.NORM.S.DIST(Table1[[#This Row],[Birthweight Z-Score]],TRUE)*100,"")</f>
        <v/>
      </c>
      <c r="K8871" s="7" t="str">
        <f>IF(Table1[[#This Row],[Is Data Valid]]=TRUE,_xlfn.NORM.S.DIST(Table1[[#This Row],[Birthweight Z-Score (BW-10%)]],TRUE)*100,"")</f>
        <v/>
      </c>
      <c r="L8871" s="7" t="str">
        <f>IF(Table1[[#This Row],[Is Data Valid]]=TRUE,_xlfn.NORM.S.DIST(Table1[[#This Row],[Birthweight Z-Score (BW+10%)]],TRUE)*100,"")</f>
        <v/>
      </c>
    </row>
    <row r="8872" spans="1:12" x14ac:dyDescent="0.35">
      <c r="A8872" s="3"/>
      <c r="B8872" s="2"/>
      <c r="C8872" s="2"/>
      <c r="D8872" s="2" t="b">
        <f>IF(AND(NOT(ISBLANK(Table1[[#This Row],[Fetal Sex (Male, Female or Unknown)]])),ISNUMBER(Table1[[#This Row],[Birthweight (grams)]]),ISNUMBER(Table1[[#This Row],[Gestation (days)]])),TRUE,FALSE)</f>
        <v>0</v>
      </c>
      <c r="E8872" s="2" t="str">
        <f>IF(Table1[[#This Row],[Is Data Valid]]=TRUE,IF(Table1[[#This Row],[Fetal Sex (Male, Female or Unknown)]]="Male",Backend!$C$6,IF(Table1[[#This Row],[Fetal Sex (Male, Female or Unknown)]]="Female",Backend!$C$7,IF(Table1[[#This Row],[Fetal Sex (Male, Female or Unknown)]]="Unknown",Backend!$C$8,"Error"))),"")</f>
        <v/>
      </c>
      <c r="F8872" s="8" t="str">
        <f>IF(Table1[[#This Row],[Is Data Valid]]=TRUE,EXP(0.578+0.332*((Table1[[#This Row],[Gestation (days)]]+0.5)/7)-0.00354*((Table1[[#This Row],[Gestation (days)]]+0.5)/7)^2)*Table1[[#This Row],[BW40_3705]],"")</f>
        <v/>
      </c>
      <c r="G8872" s="2" t="str">
        <f>IF(Table1[[#This Row],[Is Data Valid]]=TRUE,((Table1[[#This Row],[Birthweight (grams)]]/Table1[[#This Row],[BW_GA]])-1)/(Backend!$B$4/100*Table1[[#This Row],[BW40_3705]]),"")</f>
        <v/>
      </c>
      <c r="H8872" s="7" t="str">
        <f>IF(Table1[[#This Row],[Is Data Valid]]=TRUE,((Table1[[#This Row],[Birthweight (grams)]]*0.9/Table1[[#This Row],[BW_GA]])-1)/(Backend!$B$4/100*Table1[[#This Row],[BW40_3705]]),"")</f>
        <v/>
      </c>
      <c r="I8872" s="7" t="str">
        <f>IF(Table1[[#This Row],[Is Data Valid]]=TRUE,((Table1[[#This Row],[Birthweight (grams)]]*1.1/Table1[[#This Row],[BW_GA]])-1)/(Backend!$B$4/100*Table1[[#This Row],[BW40_3705]]),"")</f>
        <v/>
      </c>
      <c r="J8872" s="7" t="str">
        <f>IF(Table1[[#This Row],[Is Data Valid]]=TRUE,_xlfn.NORM.S.DIST(Table1[[#This Row],[Birthweight Z-Score]],TRUE)*100,"")</f>
        <v/>
      </c>
      <c r="K8872" s="7" t="str">
        <f>IF(Table1[[#This Row],[Is Data Valid]]=TRUE,_xlfn.NORM.S.DIST(Table1[[#This Row],[Birthweight Z-Score (BW-10%)]],TRUE)*100,"")</f>
        <v/>
      </c>
      <c r="L8872" s="7" t="str">
        <f>IF(Table1[[#This Row],[Is Data Valid]]=TRUE,_xlfn.NORM.S.DIST(Table1[[#This Row],[Birthweight Z-Score (BW+10%)]],TRUE)*100,"")</f>
        <v/>
      </c>
    </row>
    <row r="8873" spans="1:12" x14ac:dyDescent="0.35">
      <c r="A8873" s="3"/>
      <c r="B8873" s="2"/>
      <c r="C8873" s="2"/>
      <c r="D8873" s="2" t="b">
        <f>IF(AND(NOT(ISBLANK(Table1[[#This Row],[Fetal Sex (Male, Female or Unknown)]])),ISNUMBER(Table1[[#This Row],[Birthweight (grams)]]),ISNUMBER(Table1[[#This Row],[Gestation (days)]])),TRUE,FALSE)</f>
        <v>0</v>
      </c>
      <c r="E8873" s="2" t="str">
        <f>IF(Table1[[#This Row],[Is Data Valid]]=TRUE,IF(Table1[[#This Row],[Fetal Sex (Male, Female or Unknown)]]="Male",Backend!$C$6,IF(Table1[[#This Row],[Fetal Sex (Male, Female or Unknown)]]="Female",Backend!$C$7,IF(Table1[[#This Row],[Fetal Sex (Male, Female or Unknown)]]="Unknown",Backend!$C$8,"Error"))),"")</f>
        <v/>
      </c>
      <c r="F8873" s="8" t="str">
        <f>IF(Table1[[#This Row],[Is Data Valid]]=TRUE,EXP(0.578+0.332*((Table1[[#This Row],[Gestation (days)]]+0.5)/7)-0.00354*((Table1[[#This Row],[Gestation (days)]]+0.5)/7)^2)*Table1[[#This Row],[BW40_3705]],"")</f>
        <v/>
      </c>
      <c r="G8873" s="2" t="str">
        <f>IF(Table1[[#This Row],[Is Data Valid]]=TRUE,((Table1[[#This Row],[Birthweight (grams)]]/Table1[[#This Row],[BW_GA]])-1)/(Backend!$B$4/100*Table1[[#This Row],[BW40_3705]]),"")</f>
        <v/>
      </c>
      <c r="H8873" s="7" t="str">
        <f>IF(Table1[[#This Row],[Is Data Valid]]=TRUE,((Table1[[#This Row],[Birthweight (grams)]]*0.9/Table1[[#This Row],[BW_GA]])-1)/(Backend!$B$4/100*Table1[[#This Row],[BW40_3705]]),"")</f>
        <v/>
      </c>
      <c r="I8873" s="7" t="str">
        <f>IF(Table1[[#This Row],[Is Data Valid]]=TRUE,((Table1[[#This Row],[Birthweight (grams)]]*1.1/Table1[[#This Row],[BW_GA]])-1)/(Backend!$B$4/100*Table1[[#This Row],[BW40_3705]]),"")</f>
        <v/>
      </c>
      <c r="J8873" s="7" t="str">
        <f>IF(Table1[[#This Row],[Is Data Valid]]=TRUE,_xlfn.NORM.S.DIST(Table1[[#This Row],[Birthweight Z-Score]],TRUE)*100,"")</f>
        <v/>
      </c>
      <c r="K8873" s="7" t="str">
        <f>IF(Table1[[#This Row],[Is Data Valid]]=TRUE,_xlfn.NORM.S.DIST(Table1[[#This Row],[Birthweight Z-Score (BW-10%)]],TRUE)*100,"")</f>
        <v/>
      </c>
      <c r="L8873" s="7" t="str">
        <f>IF(Table1[[#This Row],[Is Data Valid]]=TRUE,_xlfn.NORM.S.DIST(Table1[[#This Row],[Birthweight Z-Score (BW+10%)]],TRUE)*100,"")</f>
        <v/>
      </c>
    </row>
    <row r="8874" spans="1:12" x14ac:dyDescent="0.35">
      <c r="A8874" s="3"/>
      <c r="B8874" s="2"/>
      <c r="C8874" s="2"/>
      <c r="D8874" s="2" t="b">
        <f>IF(AND(NOT(ISBLANK(Table1[[#This Row],[Fetal Sex (Male, Female or Unknown)]])),ISNUMBER(Table1[[#This Row],[Birthweight (grams)]]),ISNUMBER(Table1[[#This Row],[Gestation (days)]])),TRUE,FALSE)</f>
        <v>0</v>
      </c>
      <c r="E8874" s="2" t="str">
        <f>IF(Table1[[#This Row],[Is Data Valid]]=TRUE,IF(Table1[[#This Row],[Fetal Sex (Male, Female or Unknown)]]="Male",Backend!$C$6,IF(Table1[[#This Row],[Fetal Sex (Male, Female or Unknown)]]="Female",Backend!$C$7,IF(Table1[[#This Row],[Fetal Sex (Male, Female or Unknown)]]="Unknown",Backend!$C$8,"Error"))),"")</f>
        <v/>
      </c>
      <c r="F8874" s="8" t="str">
        <f>IF(Table1[[#This Row],[Is Data Valid]]=TRUE,EXP(0.578+0.332*((Table1[[#This Row],[Gestation (days)]]+0.5)/7)-0.00354*((Table1[[#This Row],[Gestation (days)]]+0.5)/7)^2)*Table1[[#This Row],[BW40_3705]],"")</f>
        <v/>
      </c>
      <c r="G8874" s="2" t="str">
        <f>IF(Table1[[#This Row],[Is Data Valid]]=TRUE,((Table1[[#This Row],[Birthweight (grams)]]/Table1[[#This Row],[BW_GA]])-1)/(Backend!$B$4/100*Table1[[#This Row],[BW40_3705]]),"")</f>
        <v/>
      </c>
      <c r="H8874" s="7" t="str">
        <f>IF(Table1[[#This Row],[Is Data Valid]]=TRUE,((Table1[[#This Row],[Birthweight (grams)]]*0.9/Table1[[#This Row],[BW_GA]])-1)/(Backend!$B$4/100*Table1[[#This Row],[BW40_3705]]),"")</f>
        <v/>
      </c>
      <c r="I8874" s="7" t="str">
        <f>IF(Table1[[#This Row],[Is Data Valid]]=TRUE,((Table1[[#This Row],[Birthweight (grams)]]*1.1/Table1[[#This Row],[BW_GA]])-1)/(Backend!$B$4/100*Table1[[#This Row],[BW40_3705]]),"")</f>
        <v/>
      </c>
      <c r="J8874" s="7" t="str">
        <f>IF(Table1[[#This Row],[Is Data Valid]]=TRUE,_xlfn.NORM.S.DIST(Table1[[#This Row],[Birthweight Z-Score]],TRUE)*100,"")</f>
        <v/>
      </c>
      <c r="K8874" s="7" t="str">
        <f>IF(Table1[[#This Row],[Is Data Valid]]=TRUE,_xlfn.NORM.S.DIST(Table1[[#This Row],[Birthweight Z-Score (BW-10%)]],TRUE)*100,"")</f>
        <v/>
      </c>
      <c r="L8874" s="7" t="str">
        <f>IF(Table1[[#This Row],[Is Data Valid]]=TRUE,_xlfn.NORM.S.DIST(Table1[[#This Row],[Birthweight Z-Score (BW+10%)]],TRUE)*100,"")</f>
        <v/>
      </c>
    </row>
    <row r="8875" spans="1:12" x14ac:dyDescent="0.35">
      <c r="A8875" s="3"/>
      <c r="B8875" s="2"/>
      <c r="C8875" s="2"/>
      <c r="D8875" s="2" t="b">
        <f>IF(AND(NOT(ISBLANK(Table1[[#This Row],[Fetal Sex (Male, Female or Unknown)]])),ISNUMBER(Table1[[#This Row],[Birthweight (grams)]]),ISNUMBER(Table1[[#This Row],[Gestation (days)]])),TRUE,FALSE)</f>
        <v>0</v>
      </c>
      <c r="E8875" s="2" t="str">
        <f>IF(Table1[[#This Row],[Is Data Valid]]=TRUE,IF(Table1[[#This Row],[Fetal Sex (Male, Female or Unknown)]]="Male",Backend!$C$6,IF(Table1[[#This Row],[Fetal Sex (Male, Female or Unknown)]]="Female",Backend!$C$7,IF(Table1[[#This Row],[Fetal Sex (Male, Female or Unknown)]]="Unknown",Backend!$C$8,"Error"))),"")</f>
        <v/>
      </c>
      <c r="F8875" s="8" t="str">
        <f>IF(Table1[[#This Row],[Is Data Valid]]=TRUE,EXP(0.578+0.332*((Table1[[#This Row],[Gestation (days)]]+0.5)/7)-0.00354*((Table1[[#This Row],[Gestation (days)]]+0.5)/7)^2)*Table1[[#This Row],[BW40_3705]],"")</f>
        <v/>
      </c>
      <c r="G8875" s="2" t="str">
        <f>IF(Table1[[#This Row],[Is Data Valid]]=TRUE,((Table1[[#This Row],[Birthweight (grams)]]/Table1[[#This Row],[BW_GA]])-1)/(Backend!$B$4/100*Table1[[#This Row],[BW40_3705]]),"")</f>
        <v/>
      </c>
      <c r="H8875" s="7" t="str">
        <f>IF(Table1[[#This Row],[Is Data Valid]]=TRUE,((Table1[[#This Row],[Birthweight (grams)]]*0.9/Table1[[#This Row],[BW_GA]])-1)/(Backend!$B$4/100*Table1[[#This Row],[BW40_3705]]),"")</f>
        <v/>
      </c>
      <c r="I8875" s="7" t="str">
        <f>IF(Table1[[#This Row],[Is Data Valid]]=TRUE,((Table1[[#This Row],[Birthweight (grams)]]*1.1/Table1[[#This Row],[BW_GA]])-1)/(Backend!$B$4/100*Table1[[#This Row],[BW40_3705]]),"")</f>
        <v/>
      </c>
      <c r="J8875" s="7" t="str">
        <f>IF(Table1[[#This Row],[Is Data Valid]]=TRUE,_xlfn.NORM.S.DIST(Table1[[#This Row],[Birthweight Z-Score]],TRUE)*100,"")</f>
        <v/>
      </c>
      <c r="K8875" s="7" t="str">
        <f>IF(Table1[[#This Row],[Is Data Valid]]=TRUE,_xlfn.NORM.S.DIST(Table1[[#This Row],[Birthweight Z-Score (BW-10%)]],TRUE)*100,"")</f>
        <v/>
      </c>
      <c r="L8875" s="7" t="str">
        <f>IF(Table1[[#This Row],[Is Data Valid]]=TRUE,_xlfn.NORM.S.DIST(Table1[[#This Row],[Birthweight Z-Score (BW+10%)]],TRUE)*100,"")</f>
        <v/>
      </c>
    </row>
    <row r="8876" spans="1:12" x14ac:dyDescent="0.35">
      <c r="A8876" s="3"/>
      <c r="B8876" s="2"/>
      <c r="C8876" s="2"/>
      <c r="D8876" s="2" t="b">
        <f>IF(AND(NOT(ISBLANK(Table1[[#This Row],[Fetal Sex (Male, Female or Unknown)]])),ISNUMBER(Table1[[#This Row],[Birthweight (grams)]]),ISNUMBER(Table1[[#This Row],[Gestation (days)]])),TRUE,FALSE)</f>
        <v>0</v>
      </c>
      <c r="E8876" s="2" t="str">
        <f>IF(Table1[[#This Row],[Is Data Valid]]=TRUE,IF(Table1[[#This Row],[Fetal Sex (Male, Female or Unknown)]]="Male",Backend!$C$6,IF(Table1[[#This Row],[Fetal Sex (Male, Female or Unknown)]]="Female",Backend!$C$7,IF(Table1[[#This Row],[Fetal Sex (Male, Female or Unknown)]]="Unknown",Backend!$C$8,"Error"))),"")</f>
        <v/>
      </c>
      <c r="F8876" s="8" t="str">
        <f>IF(Table1[[#This Row],[Is Data Valid]]=TRUE,EXP(0.578+0.332*((Table1[[#This Row],[Gestation (days)]]+0.5)/7)-0.00354*((Table1[[#This Row],[Gestation (days)]]+0.5)/7)^2)*Table1[[#This Row],[BW40_3705]],"")</f>
        <v/>
      </c>
      <c r="G8876" s="2" t="str">
        <f>IF(Table1[[#This Row],[Is Data Valid]]=TRUE,((Table1[[#This Row],[Birthweight (grams)]]/Table1[[#This Row],[BW_GA]])-1)/(Backend!$B$4/100*Table1[[#This Row],[BW40_3705]]),"")</f>
        <v/>
      </c>
      <c r="H8876" s="7" t="str">
        <f>IF(Table1[[#This Row],[Is Data Valid]]=TRUE,((Table1[[#This Row],[Birthweight (grams)]]*0.9/Table1[[#This Row],[BW_GA]])-1)/(Backend!$B$4/100*Table1[[#This Row],[BW40_3705]]),"")</f>
        <v/>
      </c>
      <c r="I8876" s="7" t="str">
        <f>IF(Table1[[#This Row],[Is Data Valid]]=TRUE,((Table1[[#This Row],[Birthweight (grams)]]*1.1/Table1[[#This Row],[BW_GA]])-1)/(Backend!$B$4/100*Table1[[#This Row],[BW40_3705]]),"")</f>
        <v/>
      </c>
      <c r="J8876" s="7" t="str">
        <f>IF(Table1[[#This Row],[Is Data Valid]]=TRUE,_xlfn.NORM.S.DIST(Table1[[#This Row],[Birthweight Z-Score]],TRUE)*100,"")</f>
        <v/>
      </c>
      <c r="K8876" s="7" t="str">
        <f>IF(Table1[[#This Row],[Is Data Valid]]=TRUE,_xlfn.NORM.S.DIST(Table1[[#This Row],[Birthweight Z-Score (BW-10%)]],TRUE)*100,"")</f>
        <v/>
      </c>
      <c r="L8876" s="7" t="str">
        <f>IF(Table1[[#This Row],[Is Data Valid]]=TRUE,_xlfn.NORM.S.DIST(Table1[[#This Row],[Birthweight Z-Score (BW+10%)]],TRUE)*100,"")</f>
        <v/>
      </c>
    </row>
    <row r="8877" spans="1:12" x14ac:dyDescent="0.35">
      <c r="A8877" s="3"/>
      <c r="B8877" s="2"/>
      <c r="C8877" s="2"/>
      <c r="D8877" s="2" t="b">
        <f>IF(AND(NOT(ISBLANK(Table1[[#This Row],[Fetal Sex (Male, Female or Unknown)]])),ISNUMBER(Table1[[#This Row],[Birthweight (grams)]]),ISNUMBER(Table1[[#This Row],[Gestation (days)]])),TRUE,FALSE)</f>
        <v>0</v>
      </c>
      <c r="E8877" s="2" t="str">
        <f>IF(Table1[[#This Row],[Is Data Valid]]=TRUE,IF(Table1[[#This Row],[Fetal Sex (Male, Female or Unknown)]]="Male",Backend!$C$6,IF(Table1[[#This Row],[Fetal Sex (Male, Female or Unknown)]]="Female",Backend!$C$7,IF(Table1[[#This Row],[Fetal Sex (Male, Female or Unknown)]]="Unknown",Backend!$C$8,"Error"))),"")</f>
        <v/>
      </c>
      <c r="F8877" s="8" t="str">
        <f>IF(Table1[[#This Row],[Is Data Valid]]=TRUE,EXP(0.578+0.332*((Table1[[#This Row],[Gestation (days)]]+0.5)/7)-0.00354*((Table1[[#This Row],[Gestation (days)]]+0.5)/7)^2)*Table1[[#This Row],[BW40_3705]],"")</f>
        <v/>
      </c>
      <c r="G8877" s="2" t="str">
        <f>IF(Table1[[#This Row],[Is Data Valid]]=TRUE,((Table1[[#This Row],[Birthweight (grams)]]/Table1[[#This Row],[BW_GA]])-1)/(Backend!$B$4/100*Table1[[#This Row],[BW40_3705]]),"")</f>
        <v/>
      </c>
      <c r="H8877" s="7" t="str">
        <f>IF(Table1[[#This Row],[Is Data Valid]]=TRUE,((Table1[[#This Row],[Birthweight (grams)]]*0.9/Table1[[#This Row],[BW_GA]])-1)/(Backend!$B$4/100*Table1[[#This Row],[BW40_3705]]),"")</f>
        <v/>
      </c>
      <c r="I8877" s="7" t="str">
        <f>IF(Table1[[#This Row],[Is Data Valid]]=TRUE,((Table1[[#This Row],[Birthweight (grams)]]*1.1/Table1[[#This Row],[BW_GA]])-1)/(Backend!$B$4/100*Table1[[#This Row],[BW40_3705]]),"")</f>
        <v/>
      </c>
      <c r="J8877" s="7" t="str">
        <f>IF(Table1[[#This Row],[Is Data Valid]]=TRUE,_xlfn.NORM.S.DIST(Table1[[#This Row],[Birthweight Z-Score]],TRUE)*100,"")</f>
        <v/>
      </c>
      <c r="K8877" s="7" t="str">
        <f>IF(Table1[[#This Row],[Is Data Valid]]=TRUE,_xlfn.NORM.S.DIST(Table1[[#This Row],[Birthweight Z-Score (BW-10%)]],TRUE)*100,"")</f>
        <v/>
      </c>
      <c r="L8877" s="7" t="str">
        <f>IF(Table1[[#This Row],[Is Data Valid]]=TRUE,_xlfn.NORM.S.DIST(Table1[[#This Row],[Birthweight Z-Score (BW+10%)]],TRUE)*100,"")</f>
        <v/>
      </c>
    </row>
    <row r="8878" spans="1:12" x14ac:dyDescent="0.35">
      <c r="A8878" s="3"/>
      <c r="B8878" s="2"/>
      <c r="C8878" s="2"/>
      <c r="D8878" s="2" t="b">
        <f>IF(AND(NOT(ISBLANK(Table1[[#This Row],[Fetal Sex (Male, Female or Unknown)]])),ISNUMBER(Table1[[#This Row],[Birthweight (grams)]]),ISNUMBER(Table1[[#This Row],[Gestation (days)]])),TRUE,FALSE)</f>
        <v>0</v>
      </c>
      <c r="E8878" s="2" t="str">
        <f>IF(Table1[[#This Row],[Is Data Valid]]=TRUE,IF(Table1[[#This Row],[Fetal Sex (Male, Female or Unknown)]]="Male",Backend!$C$6,IF(Table1[[#This Row],[Fetal Sex (Male, Female or Unknown)]]="Female",Backend!$C$7,IF(Table1[[#This Row],[Fetal Sex (Male, Female or Unknown)]]="Unknown",Backend!$C$8,"Error"))),"")</f>
        <v/>
      </c>
      <c r="F8878" s="8" t="str">
        <f>IF(Table1[[#This Row],[Is Data Valid]]=TRUE,EXP(0.578+0.332*((Table1[[#This Row],[Gestation (days)]]+0.5)/7)-0.00354*((Table1[[#This Row],[Gestation (days)]]+0.5)/7)^2)*Table1[[#This Row],[BW40_3705]],"")</f>
        <v/>
      </c>
      <c r="G8878" s="2" t="str">
        <f>IF(Table1[[#This Row],[Is Data Valid]]=TRUE,((Table1[[#This Row],[Birthweight (grams)]]/Table1[[#This Row],[BW_GA]])-1)/(Backend!$B$4/100*Table1[[#This Row],[BW40_3705]]),"")</f>
        <v/>
      </c>
      <c r="H8878" s="7" t="str">
        <f>IF(Table1[[#This Row],[Is Data Valid]]=TRUE,((Table1[[#This Row],[Birthweight (grams)]]*0.9/Table1[[#This Row],[BW_GA]])-1)/(Backend!$B$4/100*Table1[[#This Row],[BW40_3705]]),"")</f>
        <v/>
      </c>
      <c r="I8878" s="7" t="str">
        <f>IF(Table1[[#This Row],[Is Data Valid]]=TRUE,((Table1[[#This Row],[Birthweight (grams)]]*1.1/Table1[[#This Row],[BW_GA]])-1)/(Backend!$B$4/100*Table1[[#This Row],[BW40_3705]]),"")</f>
        <v/>
      </c>
      <c r="J8878" s="7" t="str">
        <f>IF(Table1[[#This Row],[Is Data Valid]]=TRUE,_xlfn.NORM.S.DIST(Table1[[#This Row],[Birthweight Z-Score]],TRUE)*100,"")</f>
        <v/>
      </c>
      <c r="K8878" s="7" t="str">
        <f>IF(Table1[[#This Row],[Is Data Valid]]=TRUE,_xlfn.NORM.S.DIST(Table1[[#This Row],[Birthweight Z-Score (BW-10%)]],TRUE)*100,"")</f>
        <v/>
      </c>
      <c r="L8878" s="7" t="str">
        <f>IF(Table1[[#This Row],[Is Data Valid]]=TRUE,_xlfn.NORM.S.DIST(Table1[[#This Row],[Birthweight Z-Score (BW+10%)]],TRUE)*100,"")</f>
        <v/>
      </c>
    </row>
    <row r="8879" spans="1:12" x14ac:dyDescent="0.35">
      <c r="A8879" s="3"/>
      <c r="B8879" s="2"/>
      <c r="C8879" s="2"/>
      <c r="D8879" s="2" t="b">
        <f>IF(AND(NOT(ISBLANK(Table1[[#This Row],[Fetal Sex (Male, Female or Unknown)]])),ISNUMBER(Table1[[#This Row],[Birthweight (grams)]]),ISNUMBER(Table1[[#This Row],[Gestation (days)]])),TRUE,FALSE)</f>
        <v>0</v>
      </c>
      <c r="E8879" s="2" t="str">
        <f>IF(Table1[[#This Row],[Is Data Valid]]=TRUE,IF(Table1[[#This Row],[Fetal Sex (Male, Female or Unknown)]]="Male",Backend!$C$6,IF(Table1[[#This Row],[Fetal Sex (Male, Female or Unknown)]]="Female",Backend!$C$7,IF(Table1[[#This Row],[Fetal Sex (Male, Female or Unknown)]]="Unknown",Backend!$C$8,"Error"))),"")</f>
        <v/>
      </c>
      <c r="F8879" s="8" t="str">
        <f>IF(Table1[[#This Row],[Is Data Valid]]=TRUE,EXP(0.578+0.332*((Table1[[#This Row],[Gestation (days)]]+0.5)/7)-0.00354*((Table1[[#This Row],[Gestation (days)]]+0.5)/7)^2)*Table1[[#This Row],[BW40_3705]],"")</f>
        <v/>
      </c>
      <c r="G8879" s="2" t="str">
        <f>IF(Table1[[#This Row],[Is Data Valid]]=TRUE,((Table1[[#This Row],[Birthweight (grams)]]/Table1[[#This Row],[BW_GA]])-1)/(Backend!$B$4/100*Table1[[#This Row],[BW40_3705]]),"")</f>
        <v/>
      </c>
      <c r="H8879" s="7" t="str">
        <f>IF(Table1[[#This Row],[Is Data Valid]]=TRUE,((Table1[[#This Row],[Birthweight (grams)]]*0.9/Table1[[#This Row],[BW_GA]])-1)/(Backend!$B$4/100*Table1[[#This Row],[BW40_3705]]),"")</f>
        <v/>
      </c>
      <c r="I8879" s="7" t="str">
        <f>IF(Table1[[#This Row],[Is Data Valid]]=TRUE,((Table1[[#This Row],[Birthweight (grams)]]*1.1/Table1[[#This Row],[BW_GA]])-1)/(Backend!$B$4/100*Table1[[#This Row],[BW40_3705]]),"")</f>
        <v/>
      </c>
      <c r="J8879" s="7" t="str">
        <f>IF(Table1[[#This Row],[Is Data Valid]]=TRUE,_xlfn.NORM.S.DIST(Table1[[#This Row],[Birthweight Z-Score]],TRUE)*100,"")</f>
        <v/>
      </c>
      <c r="K8879" s="7" t="str">
        <f>IF(Table1[[#This Row],[Is Data Valid]]=TRUE,_xlfn.NORM.S.DIST(Table1[[#This Row],[Birthweight Z-Score (BW-10%)]],TRUE)*100,"")</f>
        <v/>
      </c>
      <c r="L8879" s="7" t="str">
        <f>IF(Table1[[#This Row],[Is Data Valid]]=TRUE,_xlfn.NORM.S.DIST(Table1[[#This Row],[Birthweight Z-Score (BW+10%)]],TRUE)*100,"")</f>
        <v/>
      </c>
    </row>
    <row r="8880" spans="1:12" x14ac:dyDescent="0.35">
      <c r="A8880" s="3"/>
      <c r="B8880" s="2"/>
      <c r="C8880" s="2"/>
      <c r="D8880" s="2" t="b">
        <f>IF(AND(NOT(ISBLANK(Table1[[#This Row],[Fetal Sex (Male, Female or Unknown)]])),ISNUMBER(Table1[[#This Row],[Birthweight (grams)]]),ISNUMBER(Table1[[#This Row],[Gestation (days)]])),TRUE,FALSE)</f>
        <v>0</v>
      </c>
      <c r="E8880" s="2" t="str">
        <f>IF(Table1[[#This Row],[Is Data Valid]]=TRUE,IF(Table1[[#This Row],[Fetal Sex (Male, Female or Unknown)]]="Male",Backend!$C$6,IF(Table1[[#This Row],[Fetal Sex (Male, Female or Unknown)]]="Female",Backend!$C$7,IF(Table1[[#This Row],[Fetal Sex (Male, Female or Unknown)]]="Unknown",Backend!$C$8,"Error"))),"")</f>
        <v/>
      </c>
      <c r="F8880" s="8" t="str">
        <f>IF(Table1[[#This Row],[Is Data Valid]]=TRUE,EXP(0.578+0.332*((Table1[[#This Row],[Gestation (days)]]+0.5)/7)-0.00354*((Table1[[#This Row],[Gestation (days)]]+0.5)/7)^2)*Table1[[#This Row],[BW40_3705]],"")</f>
        <v/>
      </c>
      <c r="G8880" s="2" t="str">
        <f>IF(Table1[[#This Row],[Is Data Valid]]=TRUE,((Table1[[#This Row],[Birthweight (grams)]]/Table1[[#This Row],[BW_GA]])-1)/(Backend!$B$4/100*Table1[[#This Row],[BW40_3705]]),"")</f>
        <v/>
      </c>
      <c r="H8880" s="7" t="str">
        <f>IF(Table1[[#This Row],[Is Data Valid]]=TRUE,((Table1[[#This Row],[Birthweight (grams)]]*0.9/Table1[[#This Row],[BW_GA]])-1)/(Backend!$B$4/100*Table1[[#This Row],[BW40_3705]]),"")</f>
        <v/>
      </c>
      <c r="I8880" s="7" t="str">
        <f>IF(Table1[[#This Row],[Is Data Valid]]=TRUE,((Table1[[#This Row],[Birthweight (grams)]]*1.1/Table1[[#This Row],[BW_GA]])-1)/(Backend!$B$4/100*Table1[[#This Row],[BW40_3705]]),"")</f>
        <v/>
      </c>
      <c r="J8880" s="7" t="str">
        <f>IF(Table1[[#This Row],[Is Data Valid]]=TRUE,_xlfn.NORM.S.DIST(Table1[[#This Row],[Birthweight Z-Score]],TRUE)*100,"")</f>
        <v/>
      </c>
      <c r="K8880" s="7" t="str">
        <f>IF(Table1[[#This Row],[Is Data Valid]]=TRUE,_xlfn.NORM.S.DIST(Table1[[#This Row],[Birthweight Z-Score (BW-10%)]],TRUE)*100,"")</f>
        <v/>
      </c>
      <c r="L8880" s="7" t="str">
        <f>IF(Table1[[#This Row],[Is Data Valid]]=TRUE,_xlfn.NORM.S.DIST(Table1[[#This Row],[Birthweight Z-Score (BW+10%)]],TRUE)*100,"")</f>
        <v/>
      </c>
    </row>
    <row r="8881" spans="1:12" x14ac:dyDescent="0.35">
      <c r="A8881" s="3"/>
      <c r="B8881" s="2"/>
      <c r="C8881" s="2"/>
      <c r="D8881" s="2" t="b">
        <f>IF(AND(NOT(ISBLANK(Table1[[#This Row],[Fetal Sex (Male, Female or Unknown)]])),ISNUMBER(Table1[[#This Row],[Birthweight (grams)]]),ISNUMBER(Table1[[#This Row],[Gestation (days)]])),TRUE,FALSE)</f>
        <v>0</v>
      </c>
      <c r="E8881" s="2" t="str">
        <f>IF(Table1[[#This Row],[Is Data Valid]]=TRUE,IF(Table1[[#This Row],[Fetal Sex (Male, Female or Unknown)]]="Male",Backend!$C$6,IF(Table1[[#This Row],[Fetal Sex (Male, Female or Unknown)]]="Female",Backend!$C$7,IF(Table1[[#This Row],[Fetal Sex (Male, Female or Unknown)]]="Unknown",Backend!$C$8,"Error"))),"")</f>
        <v/>
      </c>
      <c r="F8881" s="8" t="str">
        <f>IF(Table1[[#This Row],[Is Data Valid]]=TRUE,EXP(0.578+0.332*((Table1[[#This Row],[Gestation (days)]]+0.5)/7)-0.00354*((Table1[[#This Row],[Gestation (days)]]+0.5)/7)^2)*Table1[[#This Row],[BW40_3705]],"")</f>
        <v/>
      </c>
      <c r="G8881" s="2" t="str">
        <f>IF(Table1[[#This Row],[Is Data Valid]]=TRUE,((Table1[[#This Row],[Birthweight (grams)]]/Table1[[#This Row],[BW_GA]])-1)/(Backend!$B$4/100*Table1[[#This Row],[BW40_3705]]),"")</f>
        <v/>
      </c>
      <c r="H8881" s="7" t="str">
        <f>IF(Table1[[#This Row],[Is Data Valid]]=TRUE,((Table1[[#This Row],[Birthweight (grams)]]*0.9/Table1[[#This Row],[BW_GA]])-1)/(Backend!$B$4/100*Table1[[#This Row],[BW40_3705]]),"")</f>
        <v/>
      </c>
      <c r="I8881" s="7" t="str">
        <f>IF(Table1[[#This Row],[Is Data Valid]]=TRUE,((Table1[[#This Row],[Birthweight (grams)]]*1.1/Table1[[#This Row],[BW_GA]])-1)/(Backend!$B$4/100*Table1[[#This Row],[BW40_3705]]),"")</f>
        <v/>
      </c>
      <c r="J8881" s="7" t="str">
        <f>IF(Table1[[#This Row],[Is Data Valid]]=TRUE,_xlfn.NORM.S.DIST(Table1[[#This Row],[Birthweight Z-Score]],TRUE)*100,"")</f>
        <v/>
      </c>
      <c r="K8881" s="7" t="str">
        <f>IF(Table1[[#This Row],[Is Data Valid]]=TRUE,_xlfn.NORM.S.DIST(Table1[[#This Row],[Birthweight Z-Score (BW-10%)]],TRUE)*100,"")</f>
        <v/>
      </c>
      <c r="L8881" s="7" t="str">
        <f>IF(Table1[[#This Row],[Is Data Valid]]=TRUE,_xlfn.NORM.S.DIST(Table1[[#This Row],[Birthweight Z-Score (BW+10%)]],TRUE)*100,"")</f>
        <v/>
      </c>
    </row>
    <row r="8882" spans="1:12" x14ac:dyDescent="0.35">
      <c r="A8882" s="3"/>
      <c r="B8882" s="2"/>
      <c r="C8882" s="2"/>
      <c r="D8882" s="2" t="b">
        <f>IF(AND(NOT(ISBLANK(Table1[[#This Row],[Fetal Sex (Male, Female or Unknown)]])),ISNUMBER(Table1[[#This Row],[Birthweight (grams)]]),ISNUMBER(Table1[[#This Row],[Gestation (days)]])),TRUE,FALSE)</f>
        <v>0</v>
      </c>
      <c r="E8882" s="2" t="str">
        <f>IF(Table1[[#This Row],[Is Data Valid]]=TRUE,IF(Table1[[#This Row],[Fetal Sex (Male, Female or Unknown)]]="Male",Backend!$C$6,IF(Table1[[#This Row],[Fetal Sex (Male, Female or Unknown)]]="Female",Backend!$C$7,IF(Table1[[#This Row],[Fetal Sex (Male, Female or Unknown)]]="Unknown",Backend!$C$8,"Error"))),"")</f>
        <v/>
      </c>
      <c r="F8882" s="8" t="str">
        <f>IF(Table1[[#This Row],[Is Data Valid]]=TRUE,EXP(0.578+0.332*((Table1[[#This Row],[Gestation (days)]]+0.5)/7)-0.00354*((Table1[[#This Row],[Gestation (days)]]+0.5)/7)^2)*Table1[[#This Row],[BW40_3705]],"")</f>
        <v/>
      </c>
      <c r="G8882" s="2" t="str">
        <f>IF(Table1[[#This Row],[Is Data Valid]]=TRUE,((Table1[[#This Row],[Birthweight (grams)]]/Table1[[#This Row],[BW_GA]])-1)/(Backend!$B$4/100*Table1[[#This Row],[BW40_3705]]),"")</f>
        <v/>
      </c>
      <c r="H8882" s="7" t="str">
        <f>IF(Table1[[#This Row],[Is Data Valid]]=TRUE,((Table1[[#This Row],[Birthweight (grams)]]*0.9/Table1[[#This Row],[BW_GA]])-1)/(Backend!$B$4/100*Table1[[#This Row],[BW40_3705]]),"")</f>
        <v/>
      </c>
      <c r="I8882" s="7" t="str">
        <f>IF(Table1[[#This Row],[Is Data Valid]]=TRUE,((Table1[[#This Row],[Birthweight (grams)]]*1.1/Table1[[#This Row],[BW_GA]])-1)/(Backend!$B$4/100*Table1[[#This Row],[BW40_3705]]),"")</f>
        <v/>
      </c>
      <c r="J8882" s="7" t="str">
        <f>IF(Table1[[#This Row],[Is Data Valid]]=TRUE,_xlfn.NORM.S.DIST(Table1[[#This Row],[Birthweight Z-Score]],TRUE)*100,"")</f>
        <v/>
      </c>
      <c r="K8882" s="7" t="str">
        <f>IF(Table1[[#This Row],[Is Data Valid]]=TRUE,_xlfn.NORM.S.DIST(Table1[[#This Row],[Birthweight Z-Score (BW-10%)]],TRUE)*100,"")</f>
        <v/>
      </c>
      <c r="L8882" s="7" t="str">
        <f>IF(Table1[[#This Row],[Is Data Valid]]=TRUE,_xlfn.NORM.S.DIST(Table1[[#This Row],[Birthweight Z-Score (BW+10%)]],TRUE)*100,"")</f>
        <v/>
      </c>
    </row>
    <row r="8883" spans="1:12" x14ac:dyDescent="0.35">
      <c r="A8883" s="3"/>
      <c r="B8883" s="2"/>
      <c r="C8883" s="2"/>
      <c r="D8883" s="2" t="b">
        <f>IF(AND(NOT(ISBLANK(Table1[[#This Row],[Fetal Sex (Male, Female or Unknown)]])),ISNUMBER(Table1[[#This Row],[Birthweight (grams)]]),ISNUMBER(Table1[[#This Row],[Gestation (days)]])),TRUE,FALSE)</f>
        <v>0</v>
      </c>
      <c r="E8883" s="2" t="str">
        <f>IF(Table1[[#This Row],[Is Data Valid]]=TRUE,IF(Table1[[#This Row],[Fetal Sex (Male, Female or Unknown)]]="Male",Backend!$C$6,IF(Table1[[#This Row],[Fetal Sex (Male, Female or Unknown)]]="Female",Backend!$C$7,IF(Table1[[#This Row],[Fetal Sex (Male, Female or Unknown)]]="Unknown",Backend!$C$8,"Error"))),"")</f>
        <v/>
      </c>
      <c r="F8883" s="8" t="str">
        <f>IF(Table1[[#This Row],[Is Data Valid]]=TRUE,EXP(0.578+0.332*((Table1[[#This Row],[Gestation (days)]]+0.5)/7)-0.00354*((Table1[[#This Row],[Gestation (days)]]+0.5)/7)^2)*Table1[[#This Row],[BW40_3705]],"")</f>
        <v/>
      </c>
      <c r="G8883" s="2" t="str">
        <f>IF(Table1[[#This Row],[Is Data Valid]]=TRUE,((Table1[[#This Row],[Birthweight (grams)]]/Table1[[#This Row],[BW_GA]])-1)/(Backend!$B$4/100*Table1[[#This Row],[BW40_3705]]),"")</f>
        <v/>
      </c>
      <c r="H8883" s="7" t="str">
        <f>IF(Table1[[#This Row],[Is Data Valid]]=TRUE,((Table1[[#This Row],[Birthweight (grams)]]*0.9/Table1[[#This Row],[BW_GA]])-1)/(Backend!$B$4/100*Table1[[#This Row],[BW40_3705]]),"")</f>
        <v/>
      </c>
      <c r="I8883" s="7" t="str">
        <f>IF(Table1[[#This Row],[Is Data Valid]]=TRUE,((Table1[[#This Row],[Birthweight (grams)]]*1.1/Table1[[#This Row],[BW_GA]])-1)/(Backend!$B$4/100*Table1[[#This Row],[BW40_3705]]),"")</f>
        <v/>
      </c>
      <c r="J8883" s="7" t="str">
        <f>IF(Table1[[#This Row],[Is Data Valid]]=TRUE,_xlfn.NORM.S.DIST(Table1[[#This Row],[Birthweight Z-Score]],TRUE)*100,"")</f>
        <v/>
      </c>
      <c r="K8883" s="7" t="str">
        <f>IF(Table1[[#This Row],[Is Data Valid]]=TRUE,_xlfn.NORM.S.DIST(Table1[[#This Row],[Birthweight Z-Score (BW-10%)]],TRUE)*100,"")</f>
        <v/>
      </c>
      <c r="L8883" s="7" t="str">
        <f>IF(Table1[[#This Row],[Is Data Valid]]=TRUE,_xlfn.NORM.S.DIST(Table1[[#This Row],[Birthweight Z-Score (BW+10%)]],TRUE)*100,"")</f>
        <v/>
      </c>
    </row>
    <row r="8884" spans="1:12" x14ac:dyDescent="0.35">
      <c r="A8884" s="3"/>
      <c r="B8884" s="2"/>
      <c r="C8884" s="2"/>
      <c r="D8884" s="2" t="b">
        <f>IF(AND(NOT(ISBLANK(Table1[[#This Row],[Fetal Sex (Male, Female or Unknown)]])),ISNUMBER(Table1[[#This Row],[Birthweight (grams)]]),ISNUMBER(Table1[[#This Row],[Gestation (days)]])),TRUE,FALSE)</f>
        <v>0</v>
      </c>
      <c r="E8884" s="2" t="str">
        <f>IF(Table1[[#This Row],[Is Data Valid]]=TRUE,IF(Table1[[#This Row],[Fetal Sex (Male, Female or Unknown)]]="Male",Backend!$C$6,IF(Table1[[#This Row],[Fetal Sex (Male, Female or Unknown)]]="Female",Backend!$C$7,IF(Table1[[#This Row],[Fetal Sex (Male, Female or Unknown)]]="Unknown",Backend!$C$8,"Error"))),"")</f>
        <v/>
      </c>
      <c r="F8884" s="8" t="str">
        <f>IF(Table1[[#This Row],[Is Data Valid]]=TRUE,EXP(0.578+0.332*((Table1[[#This Row],[Gestation (days)]]+0.5)/7)-0.00354*((Table1[[#This Row],[Gestation (days)]]+0.5)/7)^2)*Table1[[#This Row],[BW40_3705]],"")</f>
        <v/>
      </c>
      <c r="G8884" s="2" t="str">
        <f>IF(Table1[[#This Row],[Is Data Valid]]=TRUE,((Table1[[#This Row],[Birthweight (grams)]]/Table1[[#This Row],[BW_GA]])-1)/(Backend!$B$4/100*Table1[[#This Row],[BW40_3705]]),"")</f>
        <v/>
      </c>
      <c r="H8884" s="7" t="str">
        <f>IF(Table1[[#This Row],[Is Data Valid]]=TRUE,((Table1[[#This Row],[Birthweight (grams)]]*0.9/Table1[[#This Row],[BW_GA]])-1)/(Backend!$B$4/100*Table1[[#This Row],[BW40_3705]]),"")</f>
        <v/>
      </c>
      <c r="I8884" s="7" t="str">
        <f>IF(Table1[[#This Row],[Is Data Valid]]=TRUE,((Table1[[#This Row],[Birthweight (grams)]]*1.1/Table1[[#This Row],[BW_GA]])-1)/(Backend!$B$4/100*Table1[[#This Row],[BW40_3705]]),"")</f>
        <v/>
      </c>
      <c r="J8884" s="7" t="str">
        <f>IF(Table1[[#This Row],[Is Data Valid]]=TRUE,_xlfn.NORM.S.DIST(Table1[[#This Row],[Birthweight Z-Score]],TRUE)*100,"")</f>
        <v/>
      </c>
      <c r="K8884" s="7" t="str">
        <f>IF(Table1[[#This Row],[Is Data Valid]]=TRUE,_xlfn.NORM.S.DIST(Table1[[#This Row],[Birthweight Z-Score (BW-10%)]],TRUE)*100,"")</f>
        <v/>
      </c>
      <c r="L8884" s="7" t="str">
        <f>IF(Table1[[#This Row],[Is Data Valid]]=TRUE,_xlfn.NORM.S.DIST(Table1[[#This Row],[Birthweight Z-Score (BW+10%)]],TRUE)*100,"")</f>
        <v/>
      </c>
    </row>
    <row r="8885" spans="1:12" x14ac:dyDescent="0.35">
      <c r="A8885" s="3"/>
      <c r="B8885" s="2"/>
      <c r="C8885" s="2"/>
      <c r="D8885" s="2" t="b">
        <f>IF(AND(NOT(ISBLANK(Table1[[#This Row],[Fetal Sex (Male, Female or Unknown)]])),ISNUMBER(Table1[[#This Row],[Birthweight (grams)]]),ISNUMBER(Table1[[#This Row],[Gestation (days)]])),TRUE,FALSE)</f>
        <v>0</v>
      </c>
      <c r="E8885" s="2" t="str">
        <f>IF(Table1[[#This Row],[Is Data Valid]]=TRUE,IF(Table1[[#This Row],[Fetal Sex (Male, Female or Unknown)]]="Male",Backend!$C$6,IF(Table1[[#This Row],[Fetal Sex (Male, Female or Unknown)]]="Female",Backend!$C$7,IF(Table1[[#This Row],[Fetal Sex (Male, Female or Unknown)]]="Unknown",Backend!$C$8,"Error"))),"")</f>
        <v/>
      </c>
      <c r="F8885" s="8" t="str">
        <f>IF(Table1[[#This Row],[Is Data Valid]]=TRUE,EXP(0.578+0.332*((Table1[[#This Row],[Gestation (days)]]+0.5)/7)-0.00354*((Table1[[#This Row],[Gestation (days)]]+0.5)/7)^2)*Table1[[#This Row],[BW40_3705]],"")</f>
        <v/>
      </c>
      <c r="G8885" s="2" t="str">
        <f>IF(Table1[[#This Row],[Is Data Valid]]=TRUE,((Table1[[#This Row],[Birthweight (grams)]]/Table1[[#This Row],[BW_GA]])-1)/(Backend!$B$4/100*Table1[[#This Row],[BW40_3705]]),"")</f>
        <v/>
      </c>
      <c r="H8885" s="7" t="str">
        <f>IF(Table1[[#This Row],[Is Data Valid]]=TRUE,((Table1[[#This Row],[Birthweight (grams)]]*0.9/Table1[[#This Row],[BW_GA]])-1)/(Backend!$B$4/100*Table1[[#This Row],[BW40_3705]]),"")</f>
        <v/>
      </c>
      <c r="I8885" s="7" t="str">
        <f>IF(Table1[[#This Row],[Is Data Valid]]=TRUE,((Table1[[#This Row],[Birthweight (grams)]]*1.1/Table1[[#This Row],[BW_GA]])-1)/(Backend!$B$4/100*Table1[[#This Row],[BW40_3705]]),"")</f>
        <v/>
      </c>
      <c r="J8885" s="7" t="str">
        <f>IF(Table1[[#This Row],[Is Data Valid]]=TRUE,_xlfn.NORM.S.DIST(Table1[[#This Row],[Birthweight Z-Score]],TRUE)*100,"")</f>
        <v/>
      </c>
      <c r="K8885" s="7" t="str">
        <f>IF(Table1[[#This Row],[Is Data Valid]]=TRUE,_xlfn.NORM.S.DIST(Table1[[#This Row],[Birthweight Z-Score (BW-10%)]],TRUE)*100,"")</f>
        <v/>
      </c>
      <c r="L8885" s="7" t="str">
        <f>IF(Table1[[#This Row],[Is Data Valid]]=TRUE,_xlfn.NORM.S.DIST(Table1[[#This Row],[Birthweight Z-Score (BW+10%)]],TRUE)*100,"")</f>
        <v/>
      </c>
    </row>
    <row r="8886" spans="1:12" x14ac:dyDescent="0.35">
      <c r="A8886" s="3"/>
      <c r="B8886" s="2"/>
      <c r="C8886" s="2"/>
      <c r="D8886" s="2" t="b">
        <f>IF(AND(NOT(ISBLANK(Table1[[#This Row],[Fetal Sex (Male, Female or Unknown)]])),ISNUMBER(Table1[[#This Row],[Birthweight (grams)]]),ISNUMBER(Table1[[#This Row],[Gestation (days)]])),TRUE,FALSE)</f>
        <v>0</v>
      </c>
      <c r="E8886" s="2" t="str">
        <f>IF(Table1[[#This Row],[Is Data Valid]]=TRUE,IF(Table1[[#This Row],[Fetal Sex (Male, Female or Unknown)]]="Male",Backend!$C$6,IF(Table1[[#This Row],[Fetal Sex (Male, Female or Unknown)]]="Female",Backend!$C$7,IF(Table1[[#This Row],[Fetal Sex (Male, Female or Unknown)]]="Unknown",Backend!$C$8,"Error"))),"")</f>
        <v/>
      </c>
      <c r="F8886" s="8" t="str">
        <f>IF(Table1[[#This Row],[Is Data Valid]]=TRUE,EXP(0.578+0.332*((Table1[[#This Row],[Gestation (days)]]+0.5)/7)-0.00354*((Table1[[#This Row],[Gestation (days)]]+0.5)/7)^2)*Table1[[#This Row],[BW40_3705]],"")</f>
        <v/>
      </c>
      <c r="G8886" s="2" t="str">
        <f>IF(Table1[[#This Row],[Is Data Valid]]=TRUE,((Table1[[#This Row],[Birthweight (grams)]]/Table1[[#This Row],[BW_GA]])-1)/(Backend!$B$4/100*Table1[[#This Row],[BW40_3705]]),"")</f>
        <v/>
      </c>
      <c r="H8886" s="7" t="str">
        <f>IF(Table1[[#This Row],[Is Data Valid]]=TRUE,((Table1[[#This Row],[Birthweight (grams)]]*0.9/Table1[[#This Row],[BW_GA]])-1)/(Backend!$B$4/100*Table1[[#This Row],[BW40_3705]]),"")</f>
        <v/>
      </c>
      <c r="I8886" s="7" t="str">
        <f>IF(Table1[[#This Row],[Is Data Valid]]=TRUE,((Table1[[#This Row],[Birthweight (grams)]]*1.1/Table1[[#This Row],[BW_GA]])-1)/(Backend!$B$4/100*Table1[[#This Row],[BW40_3705]]),"")</f>
        <v/>
      </c>
      <c r="J8886" s="7" t="str">
        <f>IF(Table1[[#This Row],[Is Data Valid]]=TRUE,_xlfn.NORM.S.DIST(Table1[[#This Row],[Birthweight Z-Score]],TRUE)*100,"")</f>
        <v/>
      </c>
      <c r="K8886" s="7" t="str">
        <f>IF(Table1[[#This Row],[Is Data Valid]]=TRUE,_xlfn.NORM.S.DIST(Table1[[#This Row],[Birthweight Z-Score (BW-10%)]],TRUE)*100,"")</f>
        <v/>
      </c>
      <c r="L8886" s="7" t="str">
        <f>IF(Table1[[#This Row],[Is Data Valid]]=TRUE,_xlfn.NORM.S.DIST(Table1[[#This Row],[Birthweight Z-Score (BW+10%)]],TRUE)*100,"")</f>
        <v/>
      </c>
    </row>
    <row r="8887" spans="1:12" x14ac:dyDescent="0.35">
      <c r="A8887" s="3"/>
      <c r="B8887" s="2"/>
      <c r="C8887" s="2"/>
      <c r="D8887" s="2" t="b">
        <f>IF(AND(NOT(ISBLANK(Table1[[#This Row],[Fetal Sex (Male, Female or Unknown)]])),ISNUMBER(Table1[[#This Row],[Birthweight (grams)]]),ISNUMBER(Table1[[#This Row],[Gestation (days)]])),TRUE,FALSE)</f>
        <v>0</v>
      </c>
      <c r="E8887" s="2" t="str">
        <f>IF(Table1[[#This Row],[Is Data Valid]]=TRUE,IF(Table1[[#This Row],[Fetal Sex (Male, Female or Unknown)]]="Male",Backend!$C$6,IF(Table1[[#This Row],[Fetal Sex (Male, Female or Unknown)]]="Female",Backend!$C$7,IF(Table1[[#This Row],[Fetal Sex (Male, Female or Unknown)]]="Unknown",Backend!$C$8,"Error"))),"")</f>
        <v/>
      </c>
      <c r="F8887" s="8" t="str">
        <f>IF(Table1[[#This Row],[Is Data Valid]]=TRUE,EXP(0.578+0.332*((Table1[[#This Row],[Gestation (days)]]+0.5)/7)-0.00354*((Table1[[#This Row],[Gestation (days)]]+0.5)/7)^2)*Table1[[#This Row],[BW40_3705]],"")</f>
        <v/>
      </c>
      <c r="G8887" s="2" t="str">
        <f>IF(Table1[[#This Row],[Is Data Valid]]=TRUE,((Table1[[#This Row],[Birthweight (grams)]]/Table1[[#This Row],[BW_GA]])-1)/(Backend!$B$4/100*Table1[[#This Row],[BW40_3705]]),"")</f>
        <v/>
      </c>
      <c r="H8887" s="7" t="str">
        <f>IF(Table1[[#This Row],[Is Data Valid]]=TRUE,((Table1[[#This Row],[Birthweight (grams)]]*0.9/Table1[[#This Row],[BW_GA]])-1)/(Backend!$B$4/100*Table1[[#This Row],[BW40_3705]]),"")</f>
        <v/>
      </c>
      <c r="I8887" s="7" t="str">
        <f>IF(Table1[[#This Row],[Is Data Valid]]=TRUE,((Table1[[#This Row],[Birthweight (grams)]]*1.1/Table1[[#This Row],[BW_GA]])-1)/(Backend!$B$4/100*Table1[[#This Row],[BW40_3705]]),"")</f>
        <v/>
      </c>
      <c r="J8887" s="7" t="str">
        <f>IF(Table1[[#This Row],[Is Data Valid]]=TRUE,_xlfn.NORM.S.DIST(Table1[[#This Row],[Birthweight Z-Score]],TRUE)*100,"")</f>
        <v/>
      </c>
      <c r="K8887" s="7" t="str">
        <f>IF(Table1[[#This Row],[Is Data Valid]]=TRUE,_xlfn.NORM.S.DIST(Table1[[#This Row],[Birthweight Z-Score (BW-10%)]],TRUE)*100,"")</f>
        <v/>
      </c>
      <c r="L8887" s="7" t="str">
        <f>IF(Table1[[#This Row],[Is Data Valid]]=TRUE,_xlfn.NORM.S.DIST(Table1[[#This Row],[Birthweight Z-Score (BW+10%)]],TRUE)*100,"")</f>
        <v/>
      </c>
    </row>
    <row r="8888" spans="1:12" x14ac:dyDescent="0.35">
      <c r="A8888" s="3"/>
      <c r="B8888" s="2"/>
      <c r="C8888" s="2"/>
      <c r="D8888" s="2" t="b">
        <f>IF(AND(NOT(ISBLANK(Table1[[#This Row],[Fetal Sex (Male, Female or Unknown)]])),ISNUMBER(Table1[[#This Row],[Birthweight (grams)]]),ISNUMBER(Table1[[#This Row],[Gestation (days)]])),TRUE,FALSE)</f>
        <v>0</v>
      </c>
      <c r="E8888" s="2" t="str">
        <f>IF(Table1[[#This Row],[Is Data Valid]]=TRUE,IF(Table1[[#This Row],[Fetal Sex (Male, Female or Unknown)]]="Male",Backend!$C$6,IF(Table1[[#This Row],[Fetal Sex (Male, Female or Unknown)]]="Female",Backend!$C$7,IF(Table1[[#This Row],[Fetal Sex (Male, Female or Unknown)]]="Unknown",Backend!$C$8,"Error"))),"")</f>
        <v/>
      </c>
      <c r="F8888" s="8" t="str">
        <f>IF(Table1[[#This Row],[Is Data Valid]]=TRUE,EXP(0.578+0.332*((Table1[[#This Row],[Gestation (days)]]+0.5)/7)-0.00354*((Table1[[#This Row],[Gestation (days)]]+0.5)/7)^2)*Table1[[#This Row],[BW40_3705]],"")</f>
        <v/>
      </c>
      <c r="G8888" s="2" t="str">
        <f>IF(Table1[[#This Row],[Is Data Valid]]=TRUE,((Table1[[#This Row],[Birthweight (grams)]]/Table1[[#This Row],[BW_GA]])-1)/(Backend!$B$4/100*Table1[[#This Row],[BW40_3705]]),"")</f>
        <v/>
      </c>
      <c r="H8888" s="7" t="str">
        <f>IF(Table1[[#This Row],[Is Data Valid]]=TRUE,((Table1[[#This Row],[Birthweight (grams)]]*0.9/Table1[[#This Row],[BW_GA]])-1)/(Backend!$B$4/100*Table1[[#This Row],[BW40_3705]]),"")</f>
        <v/>
      </c>
      <c r="I8888" s="7" t="str">
        <f>IF(Table1[[#This Row],[Is Data Valid]]=TRUE,((Table1[[#This Row],[Birthweight (grams)]]*1.1/Table1[[#This Row],[BW_GA]])-1)/(Backend!$B$4/100*Table1[[#This Row],[BW40_3705]]),"")</f>
        <v/>
      </c>
      <c r="J8888" s="7" t="str">
        <f>IF(Table1[[#This Row],[Is Data Valid]]=TRUE,_xlfn.NORM.S.DIST(Table1[[#This Row],[Birthweight Z-Score]],TRUE)*100,"")</f>
        <v/>
      </c>
      <c r="K8888" s="7" t="str">
        <f>IF(Table1[[#This Row],[Is Data Valid]]=TRUE,_xlfn.NORM.S.DIST(Table1[[#This Row],[Birthweight Z-Score (BW-10%)]],TRUE)*100,"")</f>
        <v/>
      </c>
      <c r="L8888" s="7" t="str">
        <f>IF(Table1[[#This Row],[Is Data Valid]]=TRUE,_xlfn.NORM.S.DIST(Table1[[#This Row],[Birthweight Z-Score (BW+10%)]],TRUE)*100,"")</f>
        <v/>
      </c>
    </row>
    <row r="8889" spans="1:12" x14ac:dyDescent="0.35">
      <c r="A8889" s="3"/>
      <c r="B8889" s="2"/>
      <c r="C8889" s="2"/>
      <c r="D8889" s="2" t="b">
        <f>IF(AND(NOT(ISBLANK(Table1[[#This Row],[Fetal Sex (Male, Female or Unknown)]])),ISNUMBER(Table1[[#This Row],[Birthweight (grams)]]),ISNUMBER(Table1[[#This Row],[Gestation (days)]])),TRUE,FALSE)</f>
        <v>0</v>
      </c>
      <c r="E8889" s="2" t="str">
        <f>IF(Table1[[#This Row],[Is Data Valid]]=TRUE,IF(Table1[[#This Row],[Fetal Sex (Male, Female or Unknown)]]="Male",Backend!$C$6,IF(Table1[[#This Row],[Fetal Sex (Male, Female or Unknown)]]="Female",Backend!$C$7,IF(Table1[[#This Row],[Fetal Sex (Male, Female or Unknown)]]="Unknown",Backend!$C$8,"Error"))),"")</f>
        <v/>
      </c>
      <c r="F8889" s="8" t="str">
        <f>IF(Table1[[#This Row],[Is Data Valid]]=TRUE,EXP(0.578+0.332*((Table1[[#This Row],[Gestation (days)]]+0.5)/7)-0.00354*((Table1[[#This Row],[Gestation (days)]]+0.5)/7)^2)*Table1[[#This Row],[BW40_3705]],"")</f>
        <v/>
      </c>
      <c r="G8889" s="2" t="str">
        <f>IF(Table1[[#This Row],[Is Data Valid]]=TRUE,((Table1[[#This Row],[Birthweight (grams)]]/Table1[[#This Row],[BW_GA]])-1)/(Backend!$B$4/100*Table1[[#This Row],[BW40_3705]]),"")</f>
        <v/>
      </c>
      <c r="H8889" s="7" t="str">
        <f>IF(Table1[[#This Row],[Is Data Valid]]=TRUE,((Table1[[#This Row],[Birthweight (grams)]]*0.9/Table1[[#This Row],[BW_GA]])-1)/(Backend!$B$4/100*Table1[[#This Row],[BW40_3705]]),"")</f>
        <v/>
      </c>
      <c r="I8889" s="7" t="str">
        <f>IF(Table1[[#This Row],[Is Data Valid]]=TRUE,((Table1[[#This Row],[Birthweight (grams)]]*1.1/Table1[[#This Row],[BW_GA]])-1)/(Backend!$B$4/100*Table1[[#This Row],[BW40_3705]]),"")</f>
        <v/>
      </c>
      <c r="J8889" s="7" t="str">
        <f>IF(Table1[[#This Row],[Is Data Valid]]=TRUE,_xlfn.NORM.S.DIST(Table1[[#This Row],[Birthweight Z-Score]],TRUE)*100,"")</f>
        <v/>
      </c>
      <c r="K8889" s="7" t="str">
        <f>IF(Table1[[#This Row],[Is Data Valid]]=TRUE,_xlfn.NORM.S.DIST(Table1[[#This Row],[Birthweight Z-Score (BW-10%)]],TRUE)*100,"")</f>
        <v/>
      </c>
      <c r="L8889" s="7" t="str">
        <f>IF(Table1[[#This Row],[Is Data Valid]]=TRUE,_xlfn.NORM.S.DIST(Table1[[#This Row],[Birthweight Z-Score (BW+10%)]],TRUE)*100,"")</f>
        <v/>
      </c>
    </row>
    <row r="8890" spans="1:12" x14ac:dyDescent="0.35">
      <c r="A8890" s="3"/>
      <c r="B8890" s="2"/>
      <c r="C8890" s="2"/>
      <c r="D8890" s="2" t="b">
        <f>IF(AND(NOT(ISBLANK(Table1[[#This Row],[Fetal Sex (Male, Female or Unknown)]])),ISNUMBER(Table1[[#This Row],[Birthweight (grams)]]),ISNUMBER(Table1[[#This Row],[Gestation (days)]])),TRUE,FALSE)</f>
        <v>0</v>
      </c>
      <c r="E8890" s="2" t="str">
        <f>IF(Table1[[#This Row],[Is Data Valid]]=TRUE,IF(Table1[[#This Row],[Fetal Sex (Male, Female or Unknown)]]="Male",Backend!$C$6,IF(Table1[[#This Row],[Fetal Sex (Male, Female or Unknown)]]="Female",Backend!$C$7,IF(Table1[[#This Row],[Fetal Sex (Male, Female or Unknown)]]="Unknown",Backend!$C$8,"Error"))),"")</f>
        <v/>
      </c>
      <c r="F8890" s="8" t="str">
        <f>IF(Table1[[#This Row],[Is Data Valid]]=TRUE,EXP(0.578+0.332*((Table1[[#This Row],[Gestation (days)]]+0.5)/7)-0.00354*((Table1[[#This Row],[Gestation (days)]]+0.5)/7)^2)*Table1[[#This Row],[BW40_3705]],"")</f>
        <v/>
      </c>
      <c r="G8890" s="2" t="str">
        <f>IF(Table1[[#This Row],[Is Data Valid]]=TRUE,((Table1[[#This Row],[Birthweight (grams)]]/Table1[[#This Row],[BW_GA]])-1)/(Backend!$B$4/100*Table1[[#This Row],[BW40_3705]]),"")</f>
        <v/>
      </c>
      <c r="H8890" s="7" t="str">
        <f>IF(Table1[[#This Row],[Is Data Valid]]=TRUE,((Table1[[#This Row],[Birthweight (grams)]]*0.9/Table1[[#This Row],[BW_GA]])-1)/(Backend!$B$4/100*Table1[[#This Row],[BW40_3705]]),"")</f>
        <v/>
      </c>
      <c r="I8890" s="7" t="str">
        <f>IF(Table1[[#This Row],[Is Data Valid]]=TRUE,((Table1[[#This Row],[Birthweight (grams)]]*1.1/Table1[[#This Row],[BW_GA]])-1)/(Backend!$B$4/100*Table1[[#This Row],[BW40_3705]]),"")</f>
        <v/>
      </c>
      <c r="J8890" s="7" t="str">
        <f>IF(Table1[[#This Row],[Is Data Valid]]=TRUE,_xlfn.NORM.S.DIST(Table1[[#This Row],[Birthweight Z-Score]],TRUE)*100,"")</f>
        <v/>
      </c>
      <c r="K8890" s="7" t="str">
        <f>IF(Table1[[#This Row],[Is Data Valid]]=TRUE,_xlfn.NORM.S.DIST(Table1[[#This Row],[Birthweight Z-Score (BW-10%)]],TRUE)*100,"")</f>
        <v/>
      </c>
      <c r="L8890" s="7" t="str">
        <f>IF(Table1[[#This Row],[Is Data Valid]]=TRUE,_xlfn.NORM.S.DIST(Table1[[#This Row],[Birthweight Z-Score (BW+10%)]],TRUE)*100,"")</f>
        <v/>
      </c>
    </row>
    <row r="8891" spans="1:12" x14ac:dyDescent="0.35">
      <c r="A8891" s="3"/>
      <c r="B8891" s="2"/>
      <c r="C8891" s="2"/>
      <c r="D8891" s="2" t="b">
        <f>IF(AND(NOT(ISBLANK(Table1[[#This Row],[Fetal Sex (Male, Female or Unknown)]])),ISNUMBER(Table1[[#This Row],[Birthweight (grams)]]),ISNUMBER(Table1[[#This Row],[Gestation (days)]])),TRUE,FALSE)</f>
        <v>0</v>
      </c>
      <c r="E8891" s="2" t="str">
        <f>IF(Table1[[#This Row],[Is Data Valid]]=TRUE,IF(Table1[[#This Row],[Fetal Sex (Male, Female or Unknown)]]="Male",Backend!$C$6,IF(Table1[[#This Row],[Fetal Sex (Male, Female or Unknown)]]="Female",Backend!$C$7,IF(Table1[[#This Row],[Fetal Sex (Male, Female or Unknown)]]="Unknown",Backend!$C$8,"Error"))),"")</f>
        <v/>
      </c>
      <c r="F8891" s="8" t="str">
        <f>IF(Table1[[#This Row],[Is Data Valid]]=TRUE,EXP(0.578+0.332*((Table1[[#This Row],[Gestation (days)]]+0.5)/7)-0.00354*((Table1[[#This Row],[Gestation (days)]]+0.5)/7)^2)*Table1[[#This Row],[BW40_3705]],"")</f>
        <v/>
      </c>
      <c r="G8891" s="2" t="str">
        <f>IF(Table1[[#This Row],[Is Data Valid]]=TRUE,((Table1[[#This Row],[Birthweight (grams)]]/Table1[[#This Row],[BW_GA]])-1)/(Backend!$B$4/100*Table1[[#This Row],[BW40_3705]]),"")</f>
        <v/>
      </c>
      <c r="H8891" s="7" t="str">
        <f>IF(Table1[[#This Row],[Is Data Valid]]=TRUE,((Table1[[#This Row],[Birthweight (grams)]]*0.9/Table1[[#This Row],[BW_GA]])-1)/(Backend!$B$4/100*Table1[[#This Row],[BW40_3705]]),"")</f>
        <v/>
      </c>
      <c r="I8891" s="7" t="str">
        <f>IF(Table1[[#This Row],[Is Data Valid]]=TRUE,((Table1[[#This Row],[Birthweight (grams)]]*1.1/Table1[[#This Row],[BW_GA]])-1)/(Backend!$B$4/100*Table1[[#This Row],[BW40_3705]]),"")</f>
        <v/>
      </c>
      <c r="J8891" s="7" t="str">
        <f>IF(Table1[[#This Row],[Is Data Valid]]=TRUE,_xlfn.NORM.S.DIST(Table1[[#This Row],[Birthweight Z-Score]],TRUE)*100,"")</f>
        <v/>
      </c>
      <c r="K8891" s="7" t="str">
        <f>IF(Table1[[#This Row],[Is Data Valid]]=TRUE,_xlfn.NORM.S.DIST(Table1[[#This Row],[Birthweight Z-Score (BW-10%)]],TRUE)*100,"")</f>
        <v/>
      </c>
      <c r="L8891" s="7" t="str">
        <f>IF(Table1[[#This Row],[Is Data Valid]]=TRUE,_xlfn.NORM.S.DIST(Table1[[#This Row],[Birthweight Z-Score (BW+10%)]],TRUE)*100,"")</f>
        <v/>
      </c>
    </row>
    <row r="8892" spans="1:12" x14ac:dyDescent="0.35">
      <c r="A8892" s="3"/>
      <c r="B8892" s="2"/>
      <c r="C8892" s="2"/>
      <c r="D8892" s="2" t="b">
        <f>IF(AND(NOT(ISBLANK(Table1[[#This Row],[Fetal Sex (Male, Female or Unknown)]])),ISNUMBER(Table1[[#This Row],[Birthweight (grams)]]),ISNUMBER(Table1[[#This Row],[Gestation (days)]])),TRUE,FALSE)</f>
        <v>0</v>
      </c>
      <c r="E8892" s="2" t="str">
        <f>IF(Table1[[#This Row],[Is Data Valid]]=TRUE,IF(Table1[[#This Row],[Fetal Sex (Male, Female or Unknown)]]="Male",Backend!$C$6,IF(Table1[[#This Row],[Fetal Sex (Male, Female or Unknown)]]="Female",Backend!$C$7,IF(Table1[[#This Row],[Fetal Sex (Male, Female or Unknown)]]="Unknown",Backend!$C$8,"Error"))),"")</f>
        <v/>
      </c>
      <c r="F8892" s="8" t="str">
        <f>IF(Table1[[#This Row],[Is Data Valid]]=TRUE,EXP(0.578+0.332*((Table1[[#This Row],[Gestation (days)]]+0.5)/7)-0.00354*((Table1[[#This Row],[Gestation (days)]]+0.5)/7)^2)*Table1[[#This Row],[BW40_3705]],"")</f>
        <v/>
      </c>
      <c r="G8892" s="2" t="str">
        <f>IF(Table1[[#This Row],[Is Data Valid]]=TRUE,((Table1[[#This Row],[Birthweight (grams)]]/Table1[[#This Row],[BW_GA]])-1)/(Backend!$B$4/100*Table1[[#This Row],[BW40_3705]]),"")</f>
        <v/>
      </c>
      <c r="H8892" s="7" t="str">
        <f>IF(Table1[[#This Row],[Is Data Valid]]=TRUE,((Table1[[#This Row],[Birthweight (grams)]]*0.9/Table1[[#This Row],[BW_GA]])-1)/(Backend!$B$4/100*Table1[[#This Row],[BW40_3705]]),"")</f>
        <v/>
      </c>
      <c r="I8892" s="7" t="str">
        <f>IF(Table1[[#This Row],[Is Data Valid]]=TRUE,((Table1[[#This Row],[Birthweight (grams)]]*1.1/Table1[[#This Row],[BW_GA]])-1)/(Backend!$B$4/100*Table1[[#This Row],[BW40_3705]]),"")</f>
        <v/>
      </c>
      <c r="J8892" s="7" t="str">
        <f>IF(Table1[[#This Row],[Is Data Valid]]=TRUE,_xlfn.NORM.S.DIST(Table1[[#This Row],[Birthweight Z-Score]],TRUE)*100,"")</f>
        <v/>
      </c>
      <c r="K8892" s="7" t="str">
        <f>IF(Table1[[#This Row],[Is Data Valid]]=TRUE,_xlfn.NORM.S.DIST(Table1[[#This Row],[Birthweight Z-Score (BW-10%)]],TRUE)*100,"")</f>
        <v/>
      </c>
      <c r="L8892" s="7" t="str">
        <f>IF(Table1[[#This Row],[Is Data Valid]]=TRUE,_xlfn.NORM.S.DIST(Table1[[#This Row],[Birthweight Z-Score (BW+10%)]],TRUE)*100,"")</f>
        <v/>
      </c>
    </row>
    <row r="8893" spans="1:12" x14ac:dyDescent="0.35">
      <c r="A8893" s="3"/>
      <c r="B8893" s="2"/>
      <c r="C8893" s="2"/>
      <c r="D8893" s="2" t="b">
        <f>IF(AND(NOT(ISBLANK(Table1[[#This Row],[Fetal Sex (Male, Female or Unknown)]])),ISNUMBER(Table1[[#This Row],[Birthweight (grams)]]),ISNUMBER(Table1[[#This Row],[Gestation (days)]])),TRUE,FALSE)</f>
        <v>0</v>
      </c>
      <c r="E8893" s="2" t="str">
        <f>IF(Table1[[#This Row],[Is Data Valid]]=TRUE,IF(Table1[[#This Row],[Fetal Sex (Male, Female or Unknown)]]="Male",Backend!$C$6,IF(Table1[[#This Row],[Fetal Sex (Male, Female or Unknown)]]="Female",Backend!$C$7,IF(Table1[[#This Row],[Fetal Sex (Male, Female or Unknown)]]="Unknown",Backend!$C$8,"Error"))),"")</f>
        <v/>
      </c>
      <c r="F8893" s="8" t="str">
        <f>IF(Table1[[#This Row],[Is Data Valid]]=TRUE,EXP(0.578+0.332*((Table1[[#This Row],[Gestation (days)]]+0.5)/7)-0.00354*((Table1[[#This Row],[Gestation (days)]]+0.5)/7)^2)*Table1[[#This Row],[BW40_3705]],"")</f>
        <v/>
      </c>
      <c r="G8893" s="2" t="str">
        <f>IF(Table1[[#This Row],[Is Data Valid]]=TRUE,((Table1[[#This Row],[Birthweight (grams)]]/Table1[[#This Row],[BW_GA]])-1)/(Backend!$B$4/100*Table1[[#This Row],[BW40_3705]]),"")</f>
        <v/>
      </c>
      <c r="H8893" s="7" t="str">
        <f>IF(Table1[[#This Row],[Is Data Valid]]=TRUE,((Table1[[#This Row],[Birthweight (grams)]]*0.9/Table1[[#This Row],[BW_GA]])-1)/(Backend!$B$4/100*Table1[[#This Row],[BW40_3705]]),"")</f>
        <v/>
      </c>
      <c r="I8893" s="7" t="str">
        <f>IF(Table1[[#This Row],[Is Data Valid]]=TRUE,((Table1[[#This Row],[Birthweight (grams)]]*1.1/Table1[[#This Row],[BW_GA]])-1)/(Backend!$B$4/100*Table1[[#This Row],[BW40_3705]]),"")</f>
        <v/>
      </c>
      <c r="J8893" s="7" t="str">
        <f>IF(Table1[[#This Row],[Is Data Valid]]=TRUE,_xlfn.NORM.S.DIST(Table1[[#This Row],[Birthweight Z-Score]],TRUE)*100,"")</f>
        <v/>
      </c>
      <c r="K8893" s="7" t="str">
        <f>IF(Table1[[#This Row],[Is Data Valid]]=TRUE,_xlfn.NORM.S.DIST(Table1[[#This Row],[Birthweight Z-Score (BW-10%)]],TRUE)*100,"")</f>
        <v/>
      </c>
      <c r="L8893" s="7" t="str">
        <f>IF(Table1[[#This Row],[Is Data Valid]]=TRUE,_xlfn.NORM.S.DIST(Table1[[#This Row],[Birthweight Z-Score (BW+10%)]],TRUE)*100,"")</f>
        <v/>
      </c>
    </row>
    <row r="8894" spans="1:12" x14ac:dyDescent="0.35">
      <c r="A8894" s="3"/>
      <c r="B8894" s="2"/>
      <c r="C8894" s="2"/>
      <c r="D8894" s="2" t="b">
        <f>IF(AND(NOT(ISBLANK(Table1[[#This Row],[Fetal Sex (Male, Female or Unknown)]])),ISNUMBER(Table1[[#This Row],[Birthweight (grams)]]),ISNUMBER(Table1[[#This Row],[Gestation (days)]])),TRUE,FALSE)</f>
        <v>0</v>
      </c>
      <c r="E8894" s="2" t="str">
        <f>IF(Table1[[#This Row],[Is Data Valid]]=TRUE,IF(Table1[[#This Row],[Fetal Sex (Male, Female or Unknown)]]="Male",Backend!$C$6,IF(Table1[[#This Row],[Fetal Sex (Male, Female or Unknown)]]="Female",Backend!$C$7,IF(Table1[[#This Row],[Fetal Sex (Male, Female or Unknown)]]="Unknown",Backend!$C$8,"Error"))),"")</f>
        <v/>
      </c>
      <c r="F8894" s="8" t="str">
        <f>IF(Table1[[#This Row],[Is Data Valid]]=TRUE,EXP(0.578+0.332*((Table1[[#This Row],[Gestation (days)]]+0.5)/7)-0.00354*((Table1[[#This Row],[Gestation (days)]]+0.5)/7)^2)*Table1[[#This Row],[BW40_3705]],"")</f>
        <v/>
      </c>
      <c r="G8894" s="2" t="str">
        <f>IF(Table1[[#This Row],[Is Data Valid]]=TRUE,((Table1[[#This Row],[Birthweight (grams)]]/Table1[[#This Row],[BW_GA]])-1)/(Backend!$B$4/100*Table1[[#This Row],[BW40_3705]]),"")</f>
        <v/>
      </c>
      <c r="H8894" s="7" t="str">
        <f>IF(Table1[[#This Row],[Is Data Valid]]=TRUE,((Table1[[#This Row],[Birthweight (grams)]]*0.9/Table1[[#This Row],[BW_GA]])-1)/(Backend!$B$4/100*Table1[[#This Row],[BW40_3705]]),"")</f>
        <v/>
      </c>
      <c r="I8894" s="7" t="str">
        <f>IF(Table1[[#This Row],[Is Data Valid]]=TRUE,((Table1[[#This Row],[Birthweight (grams)]]*1.1/Table1[[#This Row],[BW_GA]])-1)/(Backend!$B$4/100*Table1[[#This Row],[BW40_3705]]),"")</f>
        <v/>
      </c>
      <c r="J8894" s="7" t="str">
        <f>IF(Table1[[#This Row],[Is Data Valid]]=TRUE,_xlfn.NORM.S.DIST(Table1[[#This Row],[Birthweight Z-Score]],TRUE)*100,"")</f>
        <v/>
      </c>
      <c r="K8894" s="7" t="str">
        <f>IF(Table1[[#This Row],[Is Data Valid]]=TRUE,_xlfn.NORM.S.DIST(Table1[[#This Row],[Birthweight Z-Score (BW-10%)]],TRUE)*100,"")</f>
        <v/>
      </c>
      <c r="L8894" s="7" t="str">
        <f>IF(Table1[[#This Row],[Is Data Valid]]=TRUE,_xlfn.NORM.S.DIST(Table1[[#This Row],[Birthweight Z-Score (BW+10%)]],TRUE)*100,"")</f>
        <v/>
      </c>
    </row>
    <row r="8895" spans="1:12" x14ac:dyDescent="0.35">
      <c r="A8895" s="3"/>
      <c r="B8895" s="2"/>
      <c r="C8895" s="2"/>
      <c r="D8895" s="2" t="b">
        <f>IF(AND(NOT(ISBLANK(Table1[[#This Row],[Fetal Sex (Male, Female or Unknown)]])),ISNUMBER(Table1[[#This Row],[Birthweight (grams)]]),ISNUMBER(Table1[[#This Row],[Gestation (days)]])),TRUE,FALSE)</f>
        <v>0</v>
      </c>
      <c r="E8895" s="2" t="str">
        <f>IF(Table1[[#This Row],[Is Data Valid]]=TRUE,IF(Table1[[#This Row],[Fetal Sex (Male, Female or Unknown)]]="Male",Backend!$C$6,IF(Table1[[#This Row],[Fetal Sex (Male, Female or Unknown)]]="Female",Backend!$C$7,IF(Table1[[#This Row],[Fetal Sex (Male, Female or Unknown)]]="Unknown",Backend!$C$8,"Error"))),"")</f>
        <v/>
      </c>
      <c r="F8895" s="8" t="str">
        <f>IF(Table1[[#This Row],[Is Data Valid]]=TRUE,EXP(0.578+0.332*((Table1[[#This Row],[Gestation (days)]]+0.5)/7)-0.00354*((Table1[[#This Row],[Gestation (days)]]+0.5)/7)^2)*Table1[[#This Row],[BW40_3705]],"")</f>
        <v/>
      </c>
      <c r="G8895" s="2" t="str">
        <f>IF(Table1[[#This Row],[Is Data Valid]]=TRUE,((Table1[[#This Row],[Birthweight (grams)]]/Table1[[#This Row],[BW_GA]])-1)/(Backend!$B$4/100*Table1[[#This Row],[BW40_3705]]),"")</f>
        <v/>
      </c>
      <c r="H8895" s="7" t="str">
        <f>IF(Table1[[#This Row],[Is Data Valid]]=TRUE,((Table1[[#This Row],[Birthweight (grams)]]*0.9/Table1[[#This Row],[BW_GA]])-1)/(Backend!$B$4/100*Table1[[#This Row],[BW40_3705]]),"")</f>
        <v/>
      </c>
      <c r="I8895" s="7" t="str">
        <f>IF(Table1[[#This Row],[Is Data Valid]]=TRUE,((Table1[[#This Row],[Birthweight (grams)]]*1.1/Table1[[#This Row],[BW_GA]])-1)/(Backend!$B$4/100*Table1[[#This Row],[BW40_3705]]),"")</f>
        <v/>
      </c>
      <c r="J8895" s="7" t="str">
        <f>IF(Table1[[#This Row],[Is Data Valid]]=TRUE,_xlfn.NORM.S.DIST(Table1[[#This Row],[Birthweight Z-Score]],TRUE)*100,"")</f>
        <v/>
      </c>
      <c r="K8895" s="7" t="str">
        <f>IF(Table1[[#This Row],[Is Data Valid]]=TRUE,_xlfn.NORM.S.DIST(Table1[[#This Row],[Birthweight Z-Score (BW-10%)]],TRUE)*100,"")</f>
        <v/>
      </c>
      <c r="L8895" s="7" t="str">
        <f>IF(Table1[[#This Row],[Is Data Valid]]=TRUE,_xlfn.NORM.S.DIST(Table1[[#This Row],[Birthweight Z-Score (BW+10%)]],TRUE)*100,"")</f>
        <v/>
      </c>
    </row>
    <row r="8896" spans="1:12" x14ac:dyDescent="0.35">
      <c r="A8896" s="3"/>
      <c r="B8896" s="2"/>
      <c r="C8896" s="2"/>
      <c r="D8896" s="2" t="b">
        <f>IF(AND(NOT(ISBLANK(Table1[[#This Row],[Fetal Sex (Male, Female or Unknown)]])),ISNUMBER(Table1[[#This Row],[Birthweight (grams)]]),ISNUMBER(Table1[[#This Row],[Gestation (days)]])),TRUE,FALSE)</f>
        <v>0</v>
      </c>
      <c r="E8896" s="2" t="str">
        <f>IF(Table1[[#This Row],[Is Data Valid]]=TRUE,IF(Table1[[#This Row],[Fetal Sex (Male, Female or Unknown)]]="Male",Backend!$C$6,IF(Table1[[#This Row],[Fetal Sex (Male, Female or Unknown)]]="Female",Backend!$C$7,IF(Table1[[#This Row],[Fetal Sex (Male, Female or Unknown)]]="Unknown",Backend!$C$8,"Error"))),"")</f>
        <v/>
      </c>
      <c r="F8896" s="8" t="str">
        <f>IF(Table1[[#This Row],[Is Data Valid]]=TRUE,EXP(0.578+0.332*((Table1[[#This Row],[Gestation (days)]]+0.5)/7)-0.00354*((Table1[[#This Row],[Gestation (days)]]+0.5)/7)^2)*Table1[[#This Row],[BW40_3705]],"")</f>
        <v/>
      </c>
      <c r="G8896" s="2" t="str">
        <f>IF(Table1[[#This Row],[Is Data Valid]]=TRUE,((Table1[[#This Row],[Birthweight (grams)]]/Table1[[#This Row],[BW_GA]])-1)/(Backend!$B$4/100*Table1[[#This Row],[BW40_3705]]),"")</f>
        <v/>
      </c>
      <c r="H8896" s="7" t="str">
        <f>IF(Table1[[#This Row],[Is Data Valid]]=TRUE,((Table1[[#This Row],[Birthweight (grams)]]*0.9/Table1[[#This Row],[BW_GA]])-1)/(Backend!$B$4/100*Table1[[#This Row],[BW40_3705]]),"")</f>
        <v/>
      </c>
      <c r="I8896" s="7" t="str">
        <f>IF(Table1[[#This Row],[Is Data Valid]]=TRUE,((Table1[[#This Row],[Birthweight (grams)]]*1.1/Table1[[#This Row],[BW_GA]])-1)/(Backend!$B$4/100*Table1[[#This Row],[BW40_3705]]),"")</f>
        <v/>
      </c>
      <c r="J8896" s="7" t="str">
        <f>IF(Table1[[#This Row],[Is Data Valid]]=TRUE,_xlfn.NORM.S.DIST(Table1[[#This Row],[Birthweight Z-Score]],TRUE)*100,"")</f>
        <v/>
      </c>
      <c r="K8896" s="7" t="str">
        <f>IF(Table1[[#This Row],[Is Data Valid]]=TRUE,_xlfn.NORM.S.DIST(Table1[[#This Row],[Birthweight Z-Score (BW-10%)]],TRUE)*100,"")</f>
        <v/>
      </c>
      <c r="L8896" s="7" t="str">
        <f>IF(Table1[[#This Row],[Is Data Valid]]=TRUE,_xlfn.NORM.S.DIST(Table1[[#This Row],[Birthweight Z-Score (BW+10%)]],TRUE)*100,"")</f>
        <v/>
      </c>
    </row>
    <row r="8897" spans="1:12" x14ac:dyDescent="0.35">
      <c r="A8897" s="3"/>
      <c r="B8897" s="2"/>
      <c r="C8897" s="2"/>
      <c r="D8897" s="2" t="b">
        <f>IF(AND(NOT(ISBLANK(Table1[[#This Row],[Fetal Sex (Male, Female or Unknown)]])),ISNUMBER(Table1[[#This Row],[Birthweight (grams)]]),ISNUMBER(Table1[[#This Row],[Gestation (days)]])),TRUE,FALSE)</f>
        <v>0</v>
      </c>
      <c r="E8897" s="2" t="str">
        <f>IF(Table1[[#This Row],[Is Data Valid]]=TRUE,IF(Table1[[#This Row],[Fetal Sex (Male, Female or Unknown)]]="Male",Backend!$C$6,IF(Table1[[#This Row],[Fetal Sex (Male, Female or Unknown)]]="Female",Backend!$C$7,IF(Table1[[#This Row],[Fetal Sex (Male, Female or Unknown)]]="Unknown",Backend!$C$8,"Error"))),"")</f>
        <v/>
      </c>
      <c r="F8897" s="8" t="str">
        <f>IF(Table1[[#This Row],[Is Data Valid]]=TRUE,EXP(0.578+0.332*((Table1[[#This Row],[Gestation (days)]]+0.5)/7)-0.00354*((Table1[[#This Row],[Gestation (days)]]+0.5)/7)^2)*Table1[[#This Row],[BW40_3705]],"")</f>
        <v/>
      </c>
      <c r="G8897" s="2" t="str">
        <f>IF(Table1[[#This Row],[Is Data Valid]]=TRUE,((Table1[[#This Row],[Birthweight (grams)]]/Table1[[#This Row],[BW_GA]])-1)/(Backend!$B$4/100*Table1[[#This Row],[BW40_3705]]),"")</f>
        <v/>
      </c>
      <c r="H8897" s="7" t="str">
        <f>IF(Table1[[#This Row],[Is Data Valid]]=TRUE,((Table1[[#This Row],[Birthweight (grams)]]*0.9/Table1[[#This Row],[BW_GA]])-1)/(Backend!$B$4/100*Table1[[#This Row],[BW40_3705]]),"")</f>
        <v/>
      </c>
      <c r="I8897" s="7" t="str">
        <f>IF(Table1[[#This Row],[Is Data Valid]]=TRUE,((Table1[[#This Row],[Birthweight (grams)]]*1.1/Table1[[#This Row],[BW_GA]])-1)/(Backend!$B$4/100*Table1[[#This Row],[BW40_3705]]),"")</f>
        <v/>
      </c>
      <c r="J8897" s="7" t="str">
        <f>IF(Table1[[#This Row],[Is Data Valid]]=TRUE,_xlfn.NORM.S.DIST(Table1[[#This Row],[Birthweight Z-Score]],TRUE)*100,"")</f>
        <v/>
      </c>
      <c r="K8897" s="7" t="str">
        <f>IF(Table1[[#This Row],[Is Data Valid]]=TRUE,_xlfn.NORM.S.DIST(Table1[[#This Row],[Birthweight Z-Score (BW-10%)]],TRUE)*100,"")</f>
        <v/>
      </c>
      <c r="L8897" s="7" t="str">
        <f>IF(Table1[[#This Row],[Is Data Valid]]=TRUE,_xlfn.NORM.S.DIST(Table1[[#This Row],[Birthweight Z-Score (BW+10%)]],TRUE)*100,"")</f>
        <v/>
      </c>
    </row>
    <row r="8898" spans="1:12" x14ac:dyDescent="0.35">
      <c r="A8898" s="3"/>
      <c r="B8898" s="2"/>
      <c r="C8898" s="2"/>
      <c r="D8898" s="2" t="b">
        <f>IF(AND(NOT(ISBLANK(Table1[[#This Row],[Fetal Sex (Male, Female or Unknown)]])),ISNUMBER(Table1[[#This Row],[Birthweight (grams)]]),ISNUMBER(Table1[[#This Row],[Gestation (days)]])),TRUE,FALSE)</f>
        <v>0</v>
      </c>
      <c r="E8898" s="2" t="str">
        <f>IF(Table1[[#This Row],[Is Data Valid]]=TRUE,IF(Table1[[#This Row],[Fetal Sex (Male, Female or Unknown)]]="Male",Backend!$C$6,IF(Table1[[#This Row],[Fetal Sex (Male, Female or Unknown)]]="Female",Backend!$C$7,IF(Table1[[#This Row],[Fetal Sex (Male, Female or Unknown)]]="Unknown",Backend!$C$8,"Error"))),"")</f>
        <v/>
      </c>
      <c r="F8898" s="8" t="str">
        <f>IF(Table1[[#This Row],[Is Data Valid]]=TRUE,EXP(0.578+0.332*((Table1[[#This Row],[Gestation (days)]]+0.5)/7)-0.00354*((Table1[[#This Row],[Gestation (days)]]+0.5)/7)^2)*Table1[[#This Row],[BW40_3705]],"")</f>
        <v/>
      </c>
      <c r="G8898" s="2" t="str">
        <f>IF(Table1[[#This Row],[Is Data Valid]]=TRUE,((Table1[[#This Row],[Birthweight (grams)]]/Table1[[#This Row],[BW_GA]])-1)/(Backend!$B$4/100*Table1[[#This Row],[BW40_3705]]),"")</f>
        <v/>
      </c>
      <c r="H8898" s="7" t="str">
        <f>IF(Table1[[#This Row],[Is Data Valid]]=TRUE,((Table1[[#This Row],[Birthweight (grams)]]*0.9/Table1[[#This Row],[BW_GA]])-1)/(Backend!$B$4/100*Table1[[#This Row],[BW40_3705]]),"")</f>
        <v/>
      </c>
      <c r="I8898" s="7" t="str">
        <f>IF(Table1[[#This Row],[Is Data Valid]]=TRUE,((Table1[[#This Row],[Birthweight (grams)]]*1.1/Table1[[#This Row],[BW_GA]])-1)/(Backend!$B$4/100*Table1[[#This Row],[BW40_3705]]),"")</f>
        <v/>
      </c>
      <c r="J8898" s="7" t="str">
        <f>IF(Table1[[#This Row],[Is Data Valid]]=TRUE,_xlfn.NORM.S.DIST(Table1[[#This Row],[Birthweight Z-Score]],TRUE)*100,"")</f>
        <v/>
      </c>
      <c r="K8898" s="7" t="str">
        <f>IF(Table1[[#This Row],[Is Data Valid]]=TRUE,_xlfn.NORM.S.DIST(Table1[[#This Row],[Birthweight Z-Score (BW-10%)]],TRUE)*100,"")</f>
        <v/>
      </c>
      <c r="L8898" s="7" t="str">
        <f>IF(Table1[[#This Row],[Is Data Valid]]=TRUE,_xlfn.NORM.S.DIST(Table1[[#This Row],[Birthweight Z-Score (BW+10%)]],TRUE)*100,"")</f>
        <v/>
      </c>
    </row>
    <row r="8899" spans="1:12" x14ac:dyDescent="0.35">
      <c r="A8899" s="3"/>
      <c r="B8899" s="2"/>
      <c r="C8899" s="2"/>
      <c r="D8899" s="2" t="b">
        <f>IF(AND(NOT(ISBLANK(Table1[[#This Row],[Fetal Sex (Male, Female or Unknown)]])),ISNUMBER(Table1[[#This Row],[Birthweight (grams)]]),ISNUMBER(Table1[[#This Row],[Gestation (days)]])),TRUE,FALSE)</f>
        <v>0</v>
      </c>
      <c r="E8899" s="2" t="str">
        <f>IF(Table1[[#This Row],[Is Data Valid]]=TRUE,IF(Table1[[#This Row],[Fetal Sex (Male, Female or Unknown)]]="Male",Backend!$C$6,IF(Table1[[#This Row],[Fetal Sex (Male, Female or Unknown)]]="Female",Backend!$C$7,IF(Table1[[#This Row],[Fetal Sex (Male, Female or Unknown)]]="Unknown",Backend!$C$8,"Error"))),"")</f>
        <v/>
      </c>
      <c r="F8899" s="8" t="str">
        <f>IF(Table1[[#This Row],[Is Data Valid]]=TRUE,EXP(0.578+0.332*((Table1[[#This Row],[Gestation (days)]]+0.5)/7)-0.00354*((Table1[[#This Row],[Gestation (days)]]+0.5)/7)^2)*Table1[[#This Row],[BW40_3705]],"")</f>
        <v/>
      </c>
      <c r="G8899" s="2" t="str">
        <f>IF(Table1[[#This Row],[Is Data Valid]]=TRUE,((Table1[[#This Row],[Birthweight (grams)]]/Table1[[#This Row],[BW_GA]])-1)/(Backend!$B$4/100*Table1[[#This Row],[BW40_3705]]),"")</f>
        <v/>
      </c>
      <c r="H8899" s="7" t="str">
        <f>IF(Table1[[#This Row],[Is Data Valid]]=TRUE,((Table1[[#This Row],[Birthweight (grams)]]*0.9/Table1[[#This Row],[BW_GA]])-1)/(Backend!$B$4/100*Table1[[#This Row],[BW40_3705]]),"")</f>
        <v/>
      </c>
      <c r="I8899" s="7" t="str">
        <f>IF(Table1[[#This Row],[Is Data Valid]]=TRUE,((Table1[[#This Row],[Birthweight (grams)]]*1.1/Table1[[#This Row],[BW_GA]])-1)/(Backend!$B$4/100*Table1[[#This Row],[BW40_3705]]),"")</f>
        <v/>
      </c>
      <c r="J8899" s="7" t="str">
        <f>IF(Table1[[#This Row],[Is Data Valid]]=TRUE,_xlfn.NORM.S.DIST(Table1[[#This Row],[Birthweight Z-Score]],TRUE)*100,"")</f>
        <v/>
      </c>
      <c r="K8899" s="7" t="str">
        <f>IF(Table1[[#This Row],[Is Data Valid]]=TRUE,_xlfn.NORM.S.DIST(Table1[[#This Row],[Birthweight Z-Score (BW-10%)]],TRUE)*100,"")</f>
        <v/>
      </c>
      <c r="L8899" s="7" t="str">
        <f>IF(Table1[[#This Row],[Is Data Valid]]=TRUE,_xlfn.NORM.S.DIST(Table1[[#This Row],[Birthweight Z-Score (BW+10%)]],TRUE)*100,"")</f>
        <v/>
      </c>
    </row>
    <row r="8900" spans="1:12" x14ac:dyDescent="0.35">
      <c r="A8900" s="3"/>
      <c r="B8900" s="2"/>
      <c r="C8900" s="2"/>
      <c r="D8900" s="2" t="b">
        <f>IF(AND(NOT(ISBLANK(Table1[[#This Row],[Fetal Sex (Male, Female or Unknown)]])),ISNUMBER(Table1[[#This Row],[Birthweight (grams)]]),ISNUMBER(Table1[[#This Row],[Gestation (days)]])),TRUE,FALSE)</f>
        <v>0</v>
      </c>
      <c r="E8900" s="2" t="str">
        <f>IF(Table1[[#This Row],[Is Data Valid]]=TRUE,IF(Table1[[#This Row],[Fetal Sex (Male, Female or Unknown)]]="Male",Backend!$C$6,IF(Table1[[#This Row],[Fetal Sex (Male, Female or Unknown)]]="Female",Backend!$C$7,IF(Table1[[#This Row],[Fetal Sex (Male, Female or Unknown)]]="Unknown",Backend!$C$8,"Error"))),"")</f>
        <v/>
      </c>
      <c r="F8900" s="8" t="str">
        <f>IF(Table1[[#This Row],[Is Data Valid]]=TRUE,EXP(0.578+0.332*((Table1[[#This Row],[Gestation (days)]]+0.5)/7)-0.00354*((Table1[[#This Row],[Gestation (days)]]+0.5)/7)^2)*Table1[[#This Row],[BW40_3705]],"")</f>
        <v/>
      </c>
      <c r="G8900" s="2" t="str">
        <f>IF(Table1[[#This Row],[Is Data Valid]]=TRUE,((Table1[[#This Row],[Birthweight (grams)]]/Table1[[#This Row],[BW_GA]])-1)/(Backend!$B$4/100*Table1[[#This Row],[BW40_3705]]),"")</f>
        <v/>
      </c>
      <c r="H8900" s="7" t="str">
        <f>IF(Table1[[#This Row],[Is Data Valid]]=TRUE,((Table1[[#This Row],[Birthweight (grams)]]*0.9/Table1[[#This Row],[BW_GA]])-1)/(Backend!$B$4/100*Table1[[#This Row],[BW40_3705]]),"")</f>
        <v/>
      </c>
      <c r="I8900" s="7" t="str">
        <f>IF(Table1[[#This Row],[Is Data Valid]]=TRUE,((Table1[[#This Row],[Birthweight (grams)]]*1.1/Table1[[#This Row],[BW_GA]])-1)/(Backend!$B$4/100*Table1[[#This Row],[BW40_3705]]),"")</f>
        <v/>
      </c>
      <c r="J8900" s="7" t="str">
        <f>IF(Table1[[#This Row],[Is Data Valid]]=TRUE,_xlfn.NORM.S.DIST(Table1[[#This Row],[Birthweight Z-Score]],TRUE)*100,"")</f>
        <v/>
      </c>
      <c r="K8900" s="7" t="str">
        <f>IF(Table1[[#This Row],[Is Data Valid]]=TRUE,_xlfn.NORM.S.DIST(Table1[[#This Row],[Birthweight Z-Score (BW-10%)]],TRUE)*100,"")</f>
        <v/>
      </c>
      <c r="L8900" s="7" t="str">
        <f>IF(Table1[[#This Row],[Is Data Valid]]=TRUE,_xlfn.NORM.S.DIST(Table1[[#This Row],[Birthweight Z-Score (BW+10%)]],TRUE)*100,"")</f>
        <v/>
      </c>
    </row>
    <row r="8901" spans="1:12" x14ac:dyDescent="0.35">
      <c r="A8901" s="3"/>
      <c r="B8901" s="2"/>
      <c r="C8901" s="2"/>
      <c r="D8901" s="2" t="b">
        <f>IF(AND(NOT(ISBLANK(Table1[[#This Row],[Fetal Sex (Male, Female or Unknown)]])),ISNUMBER(Table1[[#This Row],[Birthweight (grams)]]),ISNUMBER(Table1[[#This Row],[Gestation (days)]])),TRUE,FALSE)</f>
        <v>0</v>
      </c>
      <c r="E8901" s="2" t="str">
        <f>IF(Table1[[#This Row],[Is Data Valid]]=TRUE,IF(Table1[[#This Row],[Fetal Sex (Male, Female or Unknown)]]="Male",Backend!$C$6,IF(Table1[[#This Row],[Fetal Sex (Male, Female or Unknown)]]="Female",Backend!$C$7,IF(Table1[[#This Row],[Fetal Sex (Male, Female or Unknown)]]="Unknown",Backend!$C$8,"Error"))),"")</f>
        <v/>
      </c>
      <c r="F8901" s="8" t="str">
        <f>IF(Table1[[#This Row],[Is Data Valid]]=TRUE,EXP(0.578+0.332*((Table1[[#This Row],[Gestation (days)]]+0.5)/7)-0.00354*((Table1[[#This Row],[Gestation (days)]]+0.5)/7)^2)*Table1[[#This Row],[BW40_3705]],"")</f>
        <v/>
      </c>
      <c r="G8901" s="2" t="str">
        <f>IF(Table1[[#This Row],[Is Data Valid]]=TRUE,((Table1[[#This Row],[Birthweight (grams)]]/Table1[[#This Row],[BW_GA]])-1)/(Backend!$B$4/100*Table1[[#This Row],[BW40_3705]]),"")</f>
        <v/>
      </c>
      <c r="H8901" s="7" t="str">
        <f>IF(Table1[[#This Row],[Is Data Valid]]=TRUE,((Table1[[#This Row],[Birthweight (grams)]]*0.9/Table1[[#This Row],[BW_GA]])-1)/(Backend!$B$4/100*Table1[[#This Row],[BW40_3705]]),"")</f>
        <v/>
      </c>
      <c r="I8901" s="7" t="str">
        <f>IF(Table1[[#This Row],[Is Data Valid]]=TRUE,((Table1[[#This Row],[Birthweight (grams)]]*1.1/Table1[[#This Row],[BW_GA]])-1)/(Backend!$B$4/100*Table1[[#This Row],[BW40_3705]]),"")</f>
        <v/>
      </c>
      <c r="J8901" s="7" t="str">
        <f>IF(Table1[[#This Row],[Is Data Valid]]=TRUE,_xlfn.NORM.S.DIST(Table1[[#This Row],[Birthweight Z-Score]],TRUE)*100,"")</f>
        <v/>
      </c>
      <c r="K8901" s="7" t="str">
        <f>IF(Table1[[#This Row],[Is Data Valid]]=TRUE,_xlfn.NORM.S.DIST(Table1[[#This Row],[Birthweight Z-Score (BW-10%)]],TRUE)*100,"")</f>
        <v/>
      </c>
      <c r="L8901" s="7" t="str">
        <f>IF(Table1[[#This Row],[Is Data Valid]]=TRUE,_xlfn.NORM.S.DIST(Table1[[#This Row],[Birthweight Z-Score (BW+10%)]],TRUE)*100,"")</f>
        <v/>
      </c>
    </row>
    <row r="8902" spans="1:12" x14ac:dyDescent="0.35">
      <c r="A8902" s="3"/>
      <c r="B8902" s="2"/>
      <c r="C8902" s="2"/>
      <c r="D8902" s="2" t="b">
        <f>IF(AND(NOT(ISBLANK(Table1[[#This Row],[Fetal Sex (Male, Female or Unknown)]])),ISNUMBER(Table1[[#This Row],[Birthweight (grams)]]),ISNUMBER(Table1[[#This Row],[Gestation (days)]])),TRUE,FALSE)</f>
        <v>0</v>
      </c>
      <c r="E8902" s="2" t="str">
        <f>IF(Table1[[#This Row],[Is Data Valid]]=TRUE,IF(Table1[[#This Row],[Fetal Sex (Male, Female or Unknown)]]="Male",Backend!$C$6,IF(Table1[[#This Row],[Fetal Sex (Male, Female or Unknown)]]="Female",Backend!$C$7,IF(Table1[[#This Row],[Fetal Sex (Male, Female or Unknown)]]="Unknown",Backend!$C$8,"Error"))),"")</f>
        <v/>
      </c>
      <c r="F8902" s="8" t="str">
        <f>IF(Table1[[#This Row],[Is Data Valid]]=TRUE,EXP(0.578+0.332*((Table1[[#This Row],[Gestation (days)]]+0.5)/7)-0.00354*((Table1[[#This Row],[Gestation (days)]]+0.5)/7)^2)*Table1[[#This Row],[BW40_3705]],"")</f>
        <v/>
      </c>
      <c r="G8902" s="2" t="str">
        <f>IF(Table1[[#This Row],[Is Data Valid]]=TRUE,((Table1[[#This Row],[Birthweight (grams)]]/Table1[[#This Row],[BW_GA]])-1)/(Backend!$B$4/100*Table1[[#This Row],[BW40_3705]]),"")</f>
        <v/>
      </c>
      <c r="H8902" s="7" t="str">
        <f>IF(Table1[[#This Row],[Is Data Valid]]=TRUE,((Table1[[#This Row],[Birthweight (grams)]]*0.9/Table1[[#This Row],[BW_GA]])-1)/(Backend!$B$4/100*Table1[[#This Row],[BW40_3705]]),"")</f>
        <v/>
      </c>
      <c r="I8902" s="7" t="str">
        <f>IF(Table1[[#This Row],[Is Data Valid]]=TRUE,((Table1[[#This Row],[Birthweight (grams)]]*1.1/Table1[[#This Row],[BW_GA]])-1)/(Backend!$B$4/100*Table1[[#This Row],[BW40_3705]]),"")</f>
        <v/>
      </c>
      <c r="J8902" s="7" t="str">
        <f>IF(Table1[[#This Row],[Is Data Valid]]=TRUE,_xlfn.NORM.S.DIST(Table1[[#This Row],[Birthweight Z-Score]],TRUE)*100,"")</f>
        <v/>
      </c>
      <c r="K8902" s="7" t="str">
        <f>IF(Table1[[#This Row],[Is Data Valid]]=TRUE,_xlfn.NORM.S.DIST(Table1[[#This Row],[Birthweight Z-Score (BW-10%)]],TRUE)*100,"")</f>
        <v/>
      </c>
      <c r="L8902" s="7" t="str">
        <f>IF(Table1[[#This Row],[Is Data Valid]]=TRUE,_xlfn.NORM.S.DIST(Table1[[#This Row],[Birthweight Z-Score (BW+10%)]],TRUE)*100,"")</f>
        <v/>
      </c>
    </row>
    <row r="8903" spans="1:12" x14ac:dyDescent="0.35">
      <c r="A8903" s="3"/>
      <c r="B8903" s="2"/>
      <c r="C8903" s="2"/>
      <c r="D8903" s="2" t="b">
        <f>IF(AND(NOT(ISBLANK(Table1[[#This Row],[Fetal Sex (Male, Female or Unknown)]])),ISNUMBER(Table1[[#This Row],[Birthweight (grams)]]),ISNUMBER(Table1[[#This Row],[Gestation (days)]])),TRUE,FALSE)</f>
        <v>0</v>
      </c>
      <c r="E8903" s="2" t="str">
        <f>IF(Table1[[#This Row],[Is Data Valid]]=TRUE,IF(Table1[[#This Row],[Fetal Sex (Male, Female or Unknown)]]="Male",Backend!$C$6,IF(Table1[[#This Row],[Fetal Sex (Male, Female or Unknown)]]="Female",Backend!$C$7,IF(Table1[[#This Row],[Fetal Sex (Male, Female or Unknown)]]="Unknown",Backend!$C$8,"Error"))),"")</f>
        <v/>
      </c>
      <c r="F8903" s="8" t="str">
        <f>IF(Table1[[#This Row],[Is Data Valid]]=TRUE,EXP(0.578+0.332*((Table1[[#This Row],[Gestation (days)]]+0.5)/7)-0.00354*((Table1[[#This Row],[Gestation (days)]]+0.5)/7)^2)*Table1[[#This Row],[BW40_3705]],"")</f>
        <v/>
      </c>
      <c r="G8903" s="2" t="str">
        <f>IF(Table1[[#This Row],[Is Data Valid]]=TRUE,((Table1[[#This Row],[Birthweight (grams)]]/Table1[[#This Row],[BW_GA]])-1)/(Backend!$B$4/100*Table1[[#This Row],[BW40_3705]]),"")</f>
        <v/>
      </c>
      <c r="H8903" s="7" t="str">
        <f>IF(Table1[[#This Row],[Is Data Valid]]=TRUE,((Table1[[#This Row],[Birthweight (grams)]]*0.9/Table1[[#This Row],[BW_GA]])-1)/(Backend!$B$4/100*Table1[[#This Row],[BW40_3705]]),"")</f>
        <v/>
      </c>
      <c r="I8903" s="7" t="str">
        <f>IF(Table1[[#This Row],[Is Data Valid]]=TRUE,((Table1[[#This Row],[Birthweight (grams)]]*1.1/Table1[[#This Row],[BW_GA]])-1)/(Backend!$B$4/100*Table1[[#This Row],[BW40_3705]]),"")</f>
        <v/>
      </c>
      <c r="J8903" s="7" t="str">
        <f>IF(Table1[[#This Row],[Is Data Valid]]=TRUE,_xlfn.NORM.S.DIST(Table1[[#This Row],[Birthweight Z-Score]],TRUE)*100,"")</f>
        <v/>
      </c>
      <c r="K8903" s="7" t="str">
        <f>IF(Table1[[#This Row],[Is Data Valid]]=TRUE,_xlfn.NORM.S.DIST(Table1[[#This Row],[Birthweight Z-Score (BW-10%)]],TRUE)*100,"")</f>
        <v/>
      </c>
      <c r="L8903" s="7" t="str">
        <f>IF(Table1[[#This Row],[Is Data Valid]]=TRUE,_xlfn.NORM.S.DIST(Table1[[#This Row],[Birthweight Z-Score (BW+10%)]],TRUE)*100,"")</f>
        <v/>
      </c>
    </row>
    <row r="8904" spans="1:12" x14ac:dyDescent="0.35">
      <c r="A8904" s="3"/>
      <c r="B8904" s="2"/>
      <c r="C8904" s="2"/>
      <c r="D8904" s="2" t="b">
        <f>IF(AND(NOT(ISBLANK(Table1[[#This Row],[Fetal Sex (Male, Female or Unknown)]])),ISNUMBER(Table1[[#This Row],[Birthweight (grams)]]),ISNUMBER(Table1[[#This Row],[Gestation (days)]])),TRUE,FALSE)</f>
        <v>0</v>
      </c>
      <c r="E8904" s="2" t="str">
        <f>IF(Table1[[#This Row],[Is Data Valid]]=TRUE,IF(Table1[[#This Row],[Fetal Sex (Male, Female or Unknown)]]="Male",Backend!$C$6,IF(Table1[[#This Row],[Fetal Sex (Male, Female or Unknown)]]="Female",Backend!$C$7,IF(Table1[[#This Row],[Fetal Sex (Male, Female or Unknown)]]="Unknown",Backend!$C$8,"Error"))),"")</f>
        <v/>
      </c>
      <c r="F8904" s="8" t="str">
        <f>IF(Table1[[#This Row],[Is Data Valid]]=TRUE,EXP(0.578+0.332*((Table1[[#This Row],[Gestation (days)]]+0.5)/7)-0.00354*((Table1[[#This Row],[Gestation (days)]]+0.5)/7)^2)*Table1[[#This Row],[BW40_3705]],"")</f>
        <v/>
      </c>
      <c r="G8904" s="2" t="str">
        <f>IF(Table1[[#This Row],[Is Data Valid]]=TRUE,((Table1[[#This Row],[Birthweight (grams)]]/Table1[[#This Row],[BW_GA]])-1)/(Backend!$B$4/100*Table1[[#This Row],[BW40_3705]]),"")</f>
        <v/>
      </c>
      <c r="H8904" s="7" t="str">
        <f>IF(Table1[[#This Row],[Is Data Valid]]=TRUE,((Table1[[#This Row],[Birthweight (grams)]]*0.9/Table1[[#This Row],[BW_GA]])-1)/(Backend!$B$4/100*Table1[[#This Row],[BW40_3705]]),"")</f>
        <v/>
      </c>
      <c r="I8904" s="7" t="str">
        <f>IF(Table1[[#This Row],[Is Data Valid]]=TRUE,((Table1[[#This Row],[Birthweight (grams)]]*1.1/Table1[[#This Row],[BW_GA]])-1)/(Backend!$B$4/100*Table1[[#This Row],[BW40_3705]]),"")</f>
        <v/>
      </c>
      <c r="J8904" s="7" t="str">
        <f>IF(Table1[[#This Row],[Is Data Valid]]=TRUE,_xlfn.NORM.S.DIST(Table1[[#This Row],[Birthweight Z-Score]],TRUE)*100,"")</f>
        <v/>
      </c>
      <c r="K8904" s="7" t="str">
        <f>IF(Table1[[#This Row],[Is Data Valid]]=TRUE,_xlfn.NORM.S.DIST(Table1[[#This Row],[Birthweight Z-Score (BW-10%)]],TRUE)*100,"")</f>
        <v/>
      </c>
      <c r="L8904" s="7" t="str">
        <f>IF(Table1[[#This Row],[Is Data Valid]]=TRUE,_xlfn.NORM.S.DIST(Table1[[#This Row],[Birthweight Z-Score (BW+10%)]],TRUE)*100,"")</f>
        <v/>
      </c>
    </row>
    <row r="8905" spans="1:12" x14ac:dyDescent="0.35">
      <c r="A8905" s="3"/>
      <c r="B8905" s="2"/>
      <c r="C8905" s="2"/>
      <c r="D8905" s="2" t="b">
        <f>IF(AND(NOT(ISBLANK(Table1[[#This Row],[Fetal Sex (Male, Female or Unknown)]])),ISNUMBER(Table1[[#This Row],[Birthweight (grams)]]),ISNUMBER(Table1[[#This Row],[Gestation (days)]])),TRUE,FALSE)</f>
        <v>0</v>
      </c>
      <c r="E8905" s="2" t="str">
        <f>IF(Table1[[#This Row],[Is Data Valid]]=TRUE,IF(Table1[[#This Row],[Fetal Sex (Male, Female or Unknown)]]="Male",Backend!$C$6,IF(Table1[[#This Row],[Fetal Sex (Male, Female or Unknown)]]="Female",Backend!$C$7,IF(Table1[[#This Row],[Fetal Sex (Male, Female or Unknown)]]="Unknown",Backend!$C$8,"Error"))),"")</f>
        <v/>
      </c>
      <c r="F8905" s="8" t="str">
        <f>IF(Table1[[#This Row],[Is Data Valid]]=TRUE,EXP(0.578+0.332*((Table1[[#This Row],[Gestation (days)]]+0.5)/7)-0.00354*((Table1[[#This Row],[Gestation (days)]]+0.5)/7)^2)*Table1[[#This Row],[BW40_3705]],"")</f>
        <v/>
      </c>
      <c r="G8905" s="2" t="str">
        <f>IF(Table1[[#This Row],[Is Data Valid]]=TRUE,((Table1[[#This Row],[Birthweight (grams)]]/Table1[[#This Row],[BW_GA]])-1)/(Backend!$B$4/100*Table1[[#This Row],[BW40_3705]]),"")</f>
        <v/>
      </c>
      <c r="H8905" s="7" t="str">
        <f>IF(Table1[[#This Row],[Is Data Valid]]=TRUE,((Table1[[#This Row],[Birthweight (grams)]]*0.9/Table1[[#This Row],[BW_GA]])-1)/(Backend!$B$4/100*Table1[[#This Row],[BW40_3705]]),"")</f>
        <v/>
      </c>
      <c r="I8905" s="7" t="str">
        <f>IF(Table1[[#This Row],[Is Data Valid]]=TRUE,((Table1[[#This Row],[Birthweight (grams)]]*1.1/Table1[[#This Row],[BW_GA]])-1)/(Backend!$B$4/100*Table1[[#This Row],[BW40_3705]]),"")</f>
        <v/>
      </c>
      <c r="J8905" s="7" t="str">
        <f>IF(Table1[[#This Row],[Is Data Valid]]=TRUE,_xlfn.NORM.S.DIST(Table1[[#This Row],[Birthweight Z-Score]],TRUE)*100,"")</f>
        <v/>
      </c>
      <c r="K8905" s="7" t="str">
        <f>IF(Table1[[#This Row],[Is Data Valid]]=TRUE,_xlfn.NORM.S.DIST(Table1[[#This Row],[Birthweight Z-Score (BW-10%)]],TRUE)*100,"")</f>
        <v/>
      </c>
      <c r="L8905" s="7" t="str">
        <f>IF(Table1[[#This Row],[Is Data Valid]]=TRUE,_xlfn.NORM.S.DIST(Table1[[#This Row],[Birthweight Z-Score (BW+10%)]],TRUE)*100,"")</f>
        <v/>
      </c>
    </row>
    <row r="8906" spans="1:12" x14ac:dyDescent="0.35">
      <c r="A8906" s="3"/>
      <c r="B8906" s="2"/>
      <c r="C8906" s="2"/>
      <c r="D8906" s="2" t="b">
        <f>IF(AND(NOT(ISBLANK(Table1[[#This Row],[Fetal Sex (Male, Female or Unknown)]])),ISNUMBER(Table1[[#This Row],[Birthweight (grams)]]),ISNUMBER(Table1[[#This Row],[Gestation (days)]])),TRUE,FALSE)</f>
        <v>0</v>
      </c>
      <c r="E8906" s="2" t="str">
        <f>IF(Table1[[#This Row],[Is Data Valid]]=TRUE,IF(Table1[[#This Row],[Fetal Sex (Male, Female or Unknown)]]="Male",Backend!$C$6,IF(Table1[[#This Row],[Fetal Sex (Male, Female or Unknown)]]="Female",Backend!$C$7,IF(Table1[[#This Row],[Fetal Sex (Male, Female or Unknown)]]="Unknown",Backend!$C$8,"Error"))),"")</f>
        <v/>
      </c>
      <c r="F8906" s="8" t="str">
        <f>IF(Table1[[#This Row],[Is Data Valid]]=TRUE,EXP(0.578+0.332*((Table1[[#This Row],[Gestation (days)]]+0.5)/7)-0.00354*((Table1[[#This Row],[Gestation (days)]]+0.5)/7)^2)*Table1[[#This Row],[BW40_3705]],"")</f>
        <v/>
      </c>
      <c r="G8906" s="2" t="str">
        <f>IF(Table1[[#This Row],[Is Data Valid]]=TRUE,((Table1[[#This Row],[Birthweight (grams)]]/Table1[[#This Row],[BW_GA]])-1)/(Backend!$B$4/100*Table1[[#This Row],[BW40_3705]]),"")</f>
        <v/>
      </c>
      <c r="H8906" s="7" t="str">
        <f>IF(Table1[[#This Row],[Is Data Valid]]=TRUE,((Table1[[#This Row],[Birthweight (grams)]]*0.9/Table1[[#This Row],[BW_GA]])-1)/(Backend!$B$4/100*Table1[[#This Row],[BW40_3705]]),"")</f>
        <v/>
      </c>
      <c r="I8906" s="7" t="str">
        <f>IF(Table1[[#This Row],[Is Data Valid]]=TRUE,((Table1[[#This Row],[Birthweight (grams)]]*1.1/Table1[[#This Row],[BW_GA]])-1)/(Backend!$B$4/100*Table1[[#This Row],[BW40_3705]]),"")</f>
        <v/>
      </c>
      <c r="J8906" s="7" t="str">
        <f>IF(Table1[[#This Row],[Is Data Valid]]=TRUE,_xlfn.NORM.S.DIST(Table1[[#This Row],[Birthweight Z-Score]],TRUE)*100,"")</f>
        <v/>
      </c>
      <c r="K8906" s="7" t="str">
        <f>IF(Table1[[#This Row],[Is Data Valid]]=TRUE,_xlfn.NORM.S.DIST(Table1[[#This Row],[Birthweight Z-Score (BW-10%)]],TRUE)*100,"")</f>
        <v/>
      </c>
      <c r="L8906" s="7" t="str">
        <f>IF(Table1[[#This Row],[Is Data Valid]]=TRUE,_xlfn.NORM.S.DIST(Table1[[#This Row],[Birthweight Z-Score (BW+10%)]],TRUE)*100,"")</f>
        <v/>
      </c>
    </row>
    <row r="8907" spans="1:12" x14ac:dyDescent="0.35">
      <c r="A8907" s="3"/>
      <c r="B8907" s="2"/>
      <c r="C8907" s="2"/>
      <c r="D8907" s="2" t="b">
        <f>IF(AND(NOT(ISBLANK(Table1[[#This Row],[Fetal Sex (Male, Female or Unknown)]])),ISNUMBER(Table1[[#This Row],[Birthweight (grams)]]),ISNUMBER(Table1[[#This Row],[Gestation (days)]])),TRUE,FALSE)</f>
        <v>0</v>
      </c>
      <c r="E8907" s="2" t="str">
        <f>IF(Table1[[#This Row],[Is Data Valid]]=TRUE,IF(Table1[[#This Row],[Fetal Sex (Male, Female or Unknown)]]="Male",Backend!$C$6,IF(Table1[[#This Row],[Fetal Sex (Male, Female or Unknown)]]="Female",Backend!$C$7,IF(Table1[[#This Row],[Fetal Sex (Male, Female or Unknown)]]="Unknown",Backend!$C$8,"Error"))),"")</f>
        <v/>
      </c>
      <c r="F8907" s="8" t="str">
        <f>IF(Table1[[#This Row],[Is Data Valid]]=TRUE,EXP(0.578+0.332*((Table1[[#This Row],[Gestation (days)]]+0.5)/7)-0.00354*((Table1[[#This Row],[Gestation (days)]]+0.5)/7)^2)*Table1[[#This Row],[BW40_3705]],"")</f>
        <v/>
      </c>
      <c r="G8907" s="2" t="str">
        <f>IF(Table1[[#This Row],[Is Data Valid]]=TRUE,((Table1[[#This Row],[Birthweight (grams)]]/Table1[[#This Row],[BW_GA]])-1)/(Backend!$B$4/100*Table1[[#This Row],[BW40_3705]]),"")</f>
        <v/>
      </c>
      <c r="H8907" s="7" t="str">
        <f>IF(Table1[[#This Row],[Is Data Valid]]=TRUE,((Table1[[#This Row],[Birthweight (grams)]]*0.9/Table1[[#This Row],[BW_GA]])-1)/(Backend!$B$4/100*Table1[[#This Row],[BW40_3705]]),"")</f>
        <v/>
      </c>
      <c r="I8907" s="7" t="str">
        <f>IF(Table1[[#This Row],[Is Data Valid]]=TRUE,((Table1[[#This Row],[Birthweight (grams)]]*1.1/Table1[[#This Row],[BW_GA]])-1)/(Backend!$B$4/100*Table1[[#This Row],[BW40_3705]]),"")</f>
        <v/>
      </c>
      <c r="J8907" s="7" t="str">
        <f>IF(Table1[[#This Row],[Is Data Valid]]=TRUE,_xlfn.NORM.S.DIST(Table1[[#This Row],[Birthweight Z-Score]],TRUE)*100,"")</f>
        <v/>
      </c>
      <c r="K8907" s="7" t="str">
        <f>IF(Table1[[#This Row],[Is Data Valid]]=TRUE,_xlfn.NORM.S.DIST(Table1[[#This Row],[Birthweight Z-Score (BW-10%)]],TRUE)*100,"")</f>
        <v/>
      </c>
      <c r="L8907" s="7" t="str">
        <f>IF(Table1[[#This Row],[Is Data Valid]]=TRUE,_xlfn.NORM.S.DIST(Table1[[#This Row],[Birthweight Z-Score (BW+10%)]],TRUE)*100,"")</f>
        <v/>
      </c>
    </row>
    <row r="8908" spans="1:12" x14ac:dyDescent="0.35">
      <c r="A8908" s="3"/>
      <c r="B8908" s="2"/>
      <c r="C8908" s="2"/>
      <c r="D8908" s="2" t="b">
        <f>IF(AND(NOT(ISBLANK(Table1[[#This Row],[Fetal Sex (Male, Female or Unknown)]])),ISNUMBER(Table1[[#This Row],[Birthweight (grams)]]),ISNUMBER(Table1[[#This Row],[Gestation (days)]])),TRUE,FALSE)</f>
        <v>0</v>
      </c>
      <c r="E8908" s="2" t="str">
        <f>IF(Table1[[#This Row],[Is Data Valid]]=TRUE,IF(Table1[[#This Row],[Fetal Sex (Male, Female or Unknown)]]="Male",Backend!$C$6,IF(Table1[[#This Row],[Fetal Sex (Male, Female or Unknown)]]="Female",Backend!$C$7,IF(Table1[[#This Row],[Fetal Sex (Male, Female or Unknown)]]="Unknown",Backend!$C$8,"Error"))),"")</f>
        <v/>
      </c>
      <c r="F8908" s="8" t="str">
        <f>IF(Table1[[#This Row],[Is Data Valid]]=TRUE,EXP(0.578+0.332*((Table1[[#This Row],[Gestation (days)]]+0.5)/7)-0.00354*((Table1[[#This Row],[Gestation (days)]]+0.5)/7)^2)*Table1[[#This Row],[BW40_3705]],"")</f>
        <v/>
      </c>
      <c r="G8908" s="2" t="str">
        <f>IF(Table1[[#This Row],[Is Data Valid]]=TRUE,((Table1[[#This Row],[Birthweight (grams)]]/Table1[[#This Row],[BW_GA]])-1)/(Backend!$B$4/100*Table1[[#This Row],[BW40_3705]]),"")</f>
        <v/>
      </c>
      <c r="H8908" s="7" t="str">
        <f>IF(Table1[[#This Row],[Is Data Valid]]=TRUE,((Table1[[#This Row],[Birthweight (grams)]]*0.9/Table1[[#This Row],[BW_GA]])-1)/(Backend!$B$4/100*Table1[[#This Row],[BW40_3705]]),"")</f>
        <v/>
      </c>
      <c r="I8908" s="7" t="str">
        <f>IF(Table1[[#This Row],[Is Data Valid]]=TRUE,((Table1[[#This Row],[Birthweight (grams)]]*1.1/Table1[[#This Row],[BW_GA]])-1)/(Backend!$B$4/100*Table1[[#This Row],[BW40_3705]]),"")</f>
        <v/>
      </c>
      <c r="J8908" s="7" t="str">
        <f>IF(Table1[[#This Row],[Is Data Valid]]=TRUE,_xlfn.NORM.S.DIST(Table1[[#This Row],[Birthweight Z-Score]],TRUE)*100,"")</f>
        <v/>
      </c>
      <c r="K8908" s="7" t="str">
        <f>IF(Table1[[#This Row],[Is Data Valid]]=TRUE,_xlfn.NORM.S.DIST(Table1[[#This Row],[Birthweight Z-Score (BW-10%)]],TRUE)*100,"")</f>
        <v/>
      </c>
      <c r="L8908" s="7" t="str">
        <f>IF(Table1[[#This Row],[Is Data Valid]]=TRUE,_xlfn.NORM.S.DIST(Table1[[#This Row],[Birthweight Z-Score (BW+10%)]],TRUE)*100,"")</f>
        <v/>
      </c>
    </row>
    <row r="8909" spans="1:12" x14ac:dyDescent="0.35">
      <c r="A8909" s="3"/>
      <c r="B8909" s="2"/>
      <c r="C8909" s="2"/>
      <c r="D8909" s="2" t="b">
        <f>IF(AND(NOT(ISBLANK(Table1[[#This Row],[Fetal Sex (Male, Female or Unknown)]])),ISNUMBER(Table1[[#This Row],[Birthweight (grams)]]),ISNUMBER(Table1[[#This Row],[Gestation (days)]])),TRUE,FALSE)</f>
        <v>0</v>
      </c>
      <c r="E8909" s="2" t="str">
        <f>IF(Table1[[#This Row],[Is Data Valid]]=TRUE,IF(Table1[[#This Row],[Fetal Sex (Male, Female or Unknown)]]="Male",Backend!$C$6,IF(Table1[[#This Row],[Fetal Sex (Male, Female or Unknown)]]="Female",Backend!$C$7,IF(Table1[[#This Row],[Fetal Sex (Male, Female or Unknown)]]="Unknown",Backend!$C$8,"Error"))),"")</f>
        <v/>
      </c>
      <c r="F8909" s="8" t="str">
        <f>IF(Table1[[#This Row],[Is Data Valid]]=TRUE,EXP(0.578+0.332*((Table1[[#This Row],[Gestation (days)]]+0.5)/7)-0.00354*((Table1[[#This Row],[Gestation (days)]]+0.5)/7)^2)*Table1[[#This Row],[BW40_3705]],"")</f>
        <v/>
      </c>
      <c r="G8909" s="2" t="str">
        <f>IF(Table1[[#This Row],[Is Data Valid]]=TRUE,((Table1[[#This Row],[Birthweight (grams)]]/Table1[[#This Row],[BW_GA]])-1)/(Backend!$B$4/100*Table1[[#This Row],[BW40_3705]]),"")</f>
        <v/>
      </c>
      <c r="H8909" s="7" t="str">
        <f>IF(Table1[[#This Row],[Is Data Valid]]=TRUE,((Table1[[#This Row],[Birthweight (grams)]]*0.9/Table1[[#This Row],[BW_GA]])-1)/(Backend!$B$4/100*Table1[[#This Row],[BW40_3705]]),"")</f>
        <v/>
      </c>
      <c r="I8909" s="7" t="str">
        <f>IF(Table1[[#This Row],[Is Data Valid]]=TRUE,((Table1[[#This Row],[Birthweight (grams)]]*1.1/Table1[[#This Row],[BW_GA]])-1)/(Backend!$B$4/100*Table1[[#This Row],[BW40_3705]]),"")</f>
        <v/>
      </c>
      <c r="J8909" s="7" t="str">
        <f>IF(Table1[[#This Row],[Is Data Valid]]=TRUE,_xlfn.NORM.S.DIST(Table1[[#This Row],[Birthweight Z-Score]],TRUE)*100,"")</f>
        <v/>
      </c>
      <c r="K8909" s="7" t="str">
        <f>IF(Table1[[#This Row],[Is Data Valid]]=TRUE,_xlfn.NORM.S.DIST(Table1[[#This Row],[Birthweight Z-Score (BW-10%)]],TRUE)*100,"")</f>
        <v/>
      </c>
      <c r="L8909" s="7" t="str">
        <f>IF(Table1[[#This Row],[Is Data Valid]]=TRUE,_xlfn.NORM.S.DIST(Table1[[#This Row],[Birthweight Z-Score (BW+10%)]],TRUE)*100,"")</f>
        <v/>
      </c>
    </row>
    <row r="8910" spans="1:12" x14ac:dyDescent="0.35">
      <c r="A8910" s="3"/>
      <c r="B8910" s="2"/>
      <c r="C8910" s="2"/>
      <c r="D8910" s="2" t="b">
        <f>IF(AND(NOT(ISBLANK(Table1[[#This Row],[Fetal Sex (Male, Female or Unknown)]])),ISNUMBER(Table1[[#This Row],[Birthweight (grams)]]),ISNUMBER(Table1[[#This Row],[Gestation (days)]])),TRUE,FALSE)</f>
        <v>0</v>
      </c>
      <c r="E8910" s="2" t="str">
        <f>IF(Table1[[#This Row],[Is Data Valid]]=TRUE,IF(Table1[[#This Row],[Fetal Sex (Male, Female or Unknown)]]="Male",Backend!$C$6,IF(Table1[[#This Row],[Fetal Sex (Male, Female or Unknown)]]="Female",Backend!$C$7,IF(Table1[[#This Row],[Fetal Sex (Male, Female or Unknown)]]="Unknown",Backend!$C$8,"Error"))),"")</f>
        <v/>
      </c>
      <c r="F8910" s="8" t="str">
        <f>IF(Table1[[#This Row],[Is Data Valid]]=TRUE,EXP(0.578+0.332*((Table1[[#This Row],[Gestation (days)]]+0.5)/7)-0.00354*((Table1[[#This Row],[Gestation (days)]]+0.5)/7)^2)*Table1[[#This Row],[BW40_3705]],"")</f>
        <v/>
      </c>
      <c r="G8910" s="2" t="str">
        <f>IF(Table1[[#This Row],[Is Data Valid]]=TRUE,((Table1[[#This Row],[Birthweight (grams)]]/Table1[[#This Row],[BW_GA]])-1)/(Backend!$B$4/100*Table1[[#This Row],[BW40_3705]]),"")</f>
        <v/>
      </c>
      <c r="H8910" s="7" t="str">
        <f>IF(Table1[[#This Row],[Is Data Valid]]=TRUE,((Table1[[#This Row],[Birthweight (grams)]]*0.9/Table1[[#This Row],[BW_GA]])-1)/(Backend!$B$4/100*Table1[[#This Row],[BW40_3705]]),"")</f>
        <v/>
      </c>
      <c r="I8910" s="7" t="str">
        <f>IF(Table1[[#This Row],[Is Data Valid]]=TRUE,((Table1[[#This Row],[Birthweight (grams)]]*1.1/Table1[[#This Row],[BW_GA]])-1)/(Backend!$B$4/100*Table1[[#This Row],[BW40_3705]]),"")</f>
        <v/>
      </c>
      <c r="J8910" s="7" t="str">
        <f>IF(Table1[[#This Row],[Is Data Valid]]=TRUE,_xlfn.NORM.S.DIST(Table1[[#This Row],[Birthweight Z-Score]],TRUE)*100,"")</f>
        <v/>
      </c>
      <c r="K8910" s="7" t="str">
        <f>IF(Table1[[#This Row],[Is Data Valid]]=TRUE,_xlfn.NORM.S.DIST(Table1[[#This Row],[Birthweight Z-Score (BW-10%)]],TRUE)*100,"")</f>
        <v/>
      </c>
      <c r="L8910" s="7" t="str">
        <f>IF(Table1[[#This Row],[Is Data Valid]]=TRUE,_xlfn.NORM.S.DIST(Table1[[#This Row],[Birthweight Z-Score (BW+10%)]],TRUE)*100,"")</f>
        <v/>
      </c>
    </row>
    <row r="8911" spans="1:12" x14ac:dyDescent="0.35">
      <c r="A8911" s="3"/>
      <c r="B8911" s="2"/>
      <c r="C8911" s="2"/>
      <c r="D8911" s="2" t="b">
        <f>IF(AND(NOT(ISBLANK(Table1[[#This Row],[Fetal Sex (Male, Female or Unknown)]])),ISNUMBER(Table1[[#This Row],[Birthweight (grams)]]),ISNUMBER(Table1[[#This Row],[Gestation (days)]])),TRUE,FALSE)</f>
        <v>0</v>
      </c>
      <c r="E8911" s="2" t="str">
        <f>IF(Table1[[#This Row],[Is Data Valid]]=TRUE,IF(Table1[[#This Row],[Fetal Sex (Male, Female or Unknown)]]="Male",Backend!$C$6,IF(Table1[[#This Row],[Fetal Sex (Male, Female or Unknown)]]="Female",Backend!$C$7,IF(Table1[[#This Row],[Fetal Sex (Male, Female or Unknown)]]="Unknown",Backend!$C$8,"Error"))),"")</f>
        <v/>
      </c>
      <c r="F8911" s="8" t="str">
        <f>IF(Table1[[#This Row],[Is Data Valid]]=TRUE,EXP(0.578+0.332*((Table1[[#This Row],[Gestation (days)]]+0.5)/7)-0.00354*((Table1[[#This Row],[Gestation (days)]]+0.5)/7)^2)*Table1[[#This Row],[BW40_3705]],"")</f>
        <v/>
      </c>
      <c r="G8911" s="2" t="str">
        <f>IF(Table1[[#This Row],[Is Data Valid]]=TRUE,((Table1[[#This Row],[Birthweight (grams)]]/Table1[[#This Row],[BW_GA]])-1)/(Backend!$B$4/100*Table1[[#This Row],[BW40_3705]]),"")</f>
        <v/>
      </c>
      <c r="H8911" s="7" t="str">
        <f>IF(Table1[[#This Row],[Is Data Valid]]=TRUE,((Table1[[#This Row],[Birthweight (grams)]]*0.9/Table1[[#This Row],[BW_GA]])-1)/(Backend!$B$4/100*Table1[[#This Row],[BW40_3705]]),"")</f>
        <v/>
      </c>
      <c r="I8911" s="7" t="str">
        <f>IF(Table1[[#This Row],[Is Data Valid]]=TRUE,((Table1[[#This Row],[Birthweight (grams)]]*1.1/Table1[[#This Row],[BW_GA]])-1)/(Backend!$B$4/100*Table1[[#This Row],[BW40_3705]]),"")</f>
        <v/>
      </c>
      <c r="J8911" s="7" t="str">
        <f>IF(Table1[[#This Row],[Is Data Valid]]=TRUE,_xlfn.NORM.S.DIST(Table1[[#This Row],[Birthweight Z-Score]],TRUE)*100,"")</f>
        <v/>
      </c>
      <c r="K8911" s="7" t="str">
        <f>IF(Table1[[#This Row],[Is Data Valid]]=TRUE,_xlfn.NORM.S.DIST(Table1[[#This Row],[Birthweight Z-Score (BW-10%)]],TRUE)*100,"")</f>
        <v/>
      </c>
      <c r="L8911" s="7" t="str">
        <f>IF(Table1[[#This Row],[Is Data Valid]]=TRUE,_xlfn.NORM.S.DIST(Table1[[#This Row],[Birthweight Z-Score (BW+10%)]],TRUE)*100,"")</f>
        <v/>
      </c>
    </row>
    <row r="8912" spans="1:12" x14ac:dyDescent="0.35">
      <c r="A8912" s="3"/>
      <c r="B8912" s="2"/>
      <c r="C8912" s="2"/>
      <c r="D8912" s="2" t="b">
        <f>IF(AND(NOT(ISBLANK(Table1[[#This Row],[Fetal Sex (Male, Female or Unknown)]])),ISNUMBER(Table1[[#This Row],[Birthweight (grams)]]),ISNUMBER(Table1[[#This Row],[Gestation (days)]])),TRUE,FALSE)</f>
        <v>0</v>
      </c>
      <c r="E8912" s="2" t="str">
        <f>IF(Table1[[#This Row],[Is Data Valid]]=TRUE,IF(Table1[[#This Row],[Fetal Sex (Male, Female or Unknown)]]="Male",Backend!$C$6,IF(Table1[[#This Row],[Fetal Sex (Male, Female or Unknown)]]="Female",Backend!$C$7,IF(Table1[[#This Row],[Fetal Sex (Male, Female or Unknown)]]="Unknown",Backend!$C$8,"Error"))),"")</f>
        <v/>
      </c>
      <c r="F8912" s="8" t="str">
        <f>IF(Table1[[#This Row],[Is Data Valid]]=TRUE,EXP(0.578+0.332*((Table1[[#This Row],[Gestation (days)]]+0.5)/7)-0.00354*((Table1[[#This Row],[Gestation (days)]]+0.5)/7)^2)*Table1[[#This Row],[BW40_3705]],"")</f>
        <v/>
      </c>
      <c r="G8912" s="2" t="str">
        <f>IF(Table1[[#This Row],[Is Data Valid]]=TRUE,((Table1[[#This Row],[Birthweight (grams)]]/Table1[[#This Row],[BW_GA]])-1)/(Backend!$B$4/100*Table1[[#This Row],[BW40_3705]]),"")</f>
        <v/>
      </c>
      <c r="H8912" s="7" t="str">
        <f>IF(Table1[[#This Row],[Is Data Valid]]=TRUE,((Table1[[#This Row],[Birthweight (grams)]]*0.9/Table1[[#This Row],[BW_GA]])-1)/(Backend!$B$4/100*Table1[[#This Row],[BW40_3705]]),"")</f>
        <v/>
      </c>
      <c r="I8912" s="7" t="str">
        <f>IF(Table1[[#This Row],[Is Data Valid]]=TRUE,((Table1[[#This Row],[Birthweight (grams)]]*1.1/Table1[[#This Row],[BW_GA]])-1)/(Backend!$B$4/100*Table1[[#This Row],[BW40_3705]]),"")</f>
        <v/>
      </c>
      <c r="J8912" s="7" t="str">
        <f>IF(Table1[[#This Row],[Is Data Valid]]=TRUE,_xlfn.NORM.S.DIST(Table1[[#This Row],[Birthweight Z-Score]],TRUE)*100,"")</f>
        <v/>
      </c>
      <c r="K8912" s="7" t="str">
        <f>IF(Table1[[#This Row],[Is Data Valid]]=TRUE,_xlfn.NORM.S.DIST(Table1[[#This Row],[Birthweight Z-Score (BW-10%)]],TRUE)*100,"")</f>
        <v/>
      </c>
      <c r="L8912" s="7" t="str">
        <f>IF(Table1[[#This Row],[Is Data Valid]]=TRUE,_xlfn.NORM.S.DIST(Table1[[#This Row],[Birthweight Z-Score (BW+10%)]],TRUE)*100,"")</f>
        <v/>
      </c>
    </row>
    <row r="8913" spans="1:12" x14ac:dyDescent="0.35">
      <c r="A8913" s="3"/>
      <c r="B8913" s="2"/>
      <c r="C8913" s="2"/>
      <c r="D8913" s="2" t="b">
        <f>IF(AND(NOT(ISBLANK(Table1[[#This Row],[Fetal Sex (Male, Female or Unknown)]])),ISNUMBER(Table1[[#This Row],[Birthweight (grams)]]),ISNUMBER(Table1[[#This Row],[Gestation (days)]])),TRUE,FALSE)</f>
        <v>0</v>
      </c>
      <c r="E8913" s="2" t="str">
        <f>IF(Table1[[#This Row],[Is Data Valid]]=TRUE,IF(Table1[[#This Row],[Fetal Sex (Male, Female or Unknown)]]="Male",Backend!$C$6,IF(Table1[[#This Row],[Fetal Sex (Male, Female or Unknown)]]="Female",Backend!$C$7,IF(Table1[[#This Row],[Fetal Sex (Male, Female or Unknown)]]="Unknown",Backend!$C$8,"Error"))),"")</f>
        <v/>
      </c>
      <c r="F8913" s="8" t="str">
        <f>IF(Table1[[#This Row],[Is Data Valid]]=TRUE,EXP(0.578+0.332*((Table1[[#This Row],[Gestation (days)]]+0.5)/7)-0.00354*((Table1[[#This Row],[Gestation (days)]]+0.5)/7)^2)*Table1[[#This Row],[BW40_3705]],"")</f>
        <v/>
      </c>
      <c r="G8913" s="2" t="str">
        <f>IF(Table1[[#This Row],[Is Data Valid]]=TRUE,((Table1[[#This Row],[Birthweight (grams)]]/Table1[[#This Row],[BW_GA]])-1)/(Backend!$B$4/100*Table1[[#This Row],[BW40_3705]]),"")</f>
        <v/>
      </c>
      <c r="H8913" s="7" t="str">
        <f>IF(Table1[[#This Row],[Is Data Valid]]=TRUE,((Table1[[#This Row],[Birthweight (grams)]]*0.9/Table1[[#This Row],[BW_GA]])-1)/(Backend!$B$4/100*Table1[[#This Row],[BW40_3705]]),"")</f>
        <v/>
      </c>
      <c r="I8913" s="7" t="str">
        <f>IF(Table1[[#This Row],[Is Data Valid]]=TRUE,((Table1[[#This Row],[Birthweight (grams)]]*1.1/Table1[[#This Row],[BW_GA]])-1)/(Backend!$B$4/100*Table1[[#This Row],[BW40_3705]]),"")</f>
        <v/>
      </c>
      <c r="J8913" s="7" t="str">
        <f>IF(Table1[[#This Row],[Is Data Valid]]=TRUE,_xlfn.NORM.S.DIST(Table1[[#This Row],[Birthweight Z-Score]],TRUE)*100,"")</f>
        <v/>
      </c>
      <c r="K8913" s="7" t="str">
        <f>IF(Table1[[#This Row],[Is Data Valid]]=TRUE,_xlfn.NORM.S.DIST(Table1[[#This Row],[Birthweight Z-Score (BW-10%)]],TRUE)*100,"")</f>
        <v/>
      </c>
      <c r="L8913" s="7" t="str">
        <f>IF(Table1[[#This Row],[Is Data Valid]]=TRUE,_xlfn.NORM.S.DIST(Table1[[#This Row],[Birthweight Z-Score (BW+10%)]],TRUE)*100,"")</f>
        <v/>
      </c>
    </row>
    <row r="8914" spans="1:12" x14ac:dyDescent="0.35">
      <c r="A8914" s="3"/>
      <c r="B8914" s="2"/>
      <c r="C8914" s="2"/>
      <c r="D8914" s="2" t="b">
        <f>IF(AND(NOT(ISBLANK(Table1[[#This Row],[Fetal Sex (Male, Female or Unknown)]])),ISNUMBER(Table1[[#This Row],[Birthweight (grams)]]),ISNUMBER(Table1[[#This Row],[Gestation (days)]])),TRUE,FALSE)</f>
        <v>0</v>
      </c>
      <c r="E8914" s="2" t="str">
        <f>IF(Table1[[#This Row],[Is Data Valid]]=TRUE,IF(Table1[[#This Row],[Fetal Sex (Male, Female or Unknown)]]="Male",Backend!$C$6,IF(Table1[[#This Row],[Fetal Sex (Male, Female or Unknown)]]="Female",Backend!$C$7,IF(Table1[[#This Row],[Fetal Sex (Male, Female or Unknown)]]="Unknown",Backend!$C$8,"Error"))),"")</f>
        <v/>
      </c>
      <c r="F8914" s="8" t="str">
        <f>IF(Table1[[#This Row],[Is Data Valid]]=TRUE,EXP(0.578+0.332*((Table1[[#This Row],[Gestation (days)]]+0.5)/7)-0.00354*((Table1[[#This Row],[Gestation (days)]]+0.5)/7)^2)*Table1[[#This Row],[BW40_3705]],"")</f>
        <v/>
      </c>
      <c r="G8914" s="2" t="str">
        <f>IF(Table1[[#This Row],[Is Data Valid]]=TRUE,((Table1[[#This Row],[Birthweight (grams)]]/Table1[[#This Row],[BW_GA]])-1)/(Backend!$B$4/100*Table1[[#This Row],[BW40_3705]]),"")</f>
        <v/>
      </c>
      <c r="H8914" s="7" t="str">
        <f>IF(Table1[[#This Row],[Is Data Valid]]=TRUE,((Table1[[#This Row],[Birthweight (grams)]]*0.9/Table1[[#This Row],[BW_GA]])-1)/(Backend!$B$4/100*Table1[[#This Row],[BW40_3705]]),"")</f>
        <v/>
      </c>
      <c r="I8914" s="7" t="str">
        <f>IF(Table1[[#This Row],[Is Data Valid]]=TRUE,((Table1[[#This Row],[Birthweight (grams)]]*1.1/Table1[[#This Row],[BW_GA]])-1)/(Backend!$B$4/100*Table1[[#This Row],[BW40_3705]]),"")</f>
        <v/>
      </c>
      <c r="J8914" s="7" t="str">
        <f>IF(Table1[[#This Row],[Is Data Valid]]=TRUE,_xlfn.NORM.S.DIST(Table1[[#This Row],[Birthweight Z-Score]],TRUE)*100,"")</f>
        <v/>
      </c>
      <c r="K8914" s="7" t="str">
        <f>IF(Table1[[#This Row],[Is Data Valid]]=TRUE,_xlfn.NORM.S.DIST(Table1[[#This Row],[Birthweight Z-Score (BW-10%)]],TRUE)*100,"")</f>
        <v/>
      </c>
      <c r="L8914" s="7" t="str">
        <f>IF(Table1[[#This Row],[Is Data Valid]]=TRUE,_xlfn.NORM.S.DIST(Table1[[#This Row],[Birthweight Z-Score (BW+10%)]],TRUE)*100,"")</f>
        <v/>
      </c>
    </row>
    <row r="8915" spans="1:12" x14ac:dyDescent="0.35">
      <c r="A8915" s="3"/>
      <c r="B8915" s="2"/>
      <c r="C8915" s="2"/>
      <c r="D8915" s="2" t="b">
        <f>IF(AND(NOT(ISBLANK(Table1[[#This Row],[Fetal Sex (Male, Female or Unknown)]])),ISNUMBER(Table1[[#This Row],[Birthweight (grams)]]),ISNUMBER(Table1[[#This Row],[Gestation (days)]])),TRUE,FALSE)</f>
        <v>0</v>
      </c>
      <c r="E8915" s="2" t="str">
        <f>IF(Table1[[#This Row],[Is Data Valid]]=TRUE,IF(Table1[[#This Row],[Fetal Sex (Male, Female or Unknown)]]="Male",Backend!$C$6,IF(Table1[[#This Row],[Fetal Sex (Male, Female or Unknown)]]="Female",Backend!$C$7,IF(Table1[[#This Row],[Fetal Sex (Male, Female or Unknown)]]="Unknown",Backend!$C$8,"Error"))),"")</f>
        <v/>
      </c>
      <c r="F8915" s="8" t="str">
        <f>IF(Table1[[#This Row],[Is Data Valid]]=TRUE,EXP(0.578+0.332*((Table1[[#This Row],[Gestation (days)]]+0.5)/7)-0.00354*((Table1[[#This Row],[Gestation (days)]]+0.5)/7)^2)*Table1[[#This Row],[BW40_3705]],"")</f>
        <v/>
      </c>
      <c r="G8915" s="2" t="str">
        <f>IF(Table1[[#This Row],[Is Data Valid]]=TRUE,((Table1[[#This Row],[Birthweight (grams)]]/Table1[[#This Row],[BW_GA]])-1)/(Backend!$B$4/100*Table1[[#This Row],[BW40_3705]]),"")</f>
        <v/>
      </c>
      <c r="H8915" s="7" t="str">
        <f>IF(Table1[[#This Row],[Is Data Valid]]=TRUE,((Table1[[#This Row],[Birthweight (grams)]]*0.9/Table1[[#This Row],[BW_GA]])-1)/(Backend!$B$4/100*Table1[[#This Row],[BW40_3705]]),"")</f>
        <v/>
      </c>
      <c r="I8915" s="7" t="str">
        <f>IF(Table1[[#This Row],[Is Data Valid]]=TRUE,((Table1[[#This Row],[Birthweight (grams)]]*1.1/Table1[[#This Row],[BW_GA]])-1)/(Backend!$B$4/100*Table1[[#This Row],[BW40_3705]]),"")</f>
        <v/>
      </c>
      <c r="J8915" s="7" t="str">
        <f>IF(Table1[[#This Row],[Is Data Valid]]=TRUE,_xlfn.NORM.S.DIST(Table1[[#This Row],[Birthweight Z-Score]],TRUE)*100,"")</f>
        <v/>
      </c>
      <c r="K8915" s="7" t="str">
        <f>IF(Table1[[#This Row],[Is Data Valid]]=TRUE,_xlfn.NORM.S.DIST(Table1[[#This Row],[Birthweight Z-Score (BW-10%)]],TRUE)*100,"")</f>
        <v/>
      </c>
      <c r="L8915" s="7" t="str">
        <f>IF(Table1[[#This Row],[Is Data Valid]]=TRUE,_xlfn.NORM.S.DIST(Table1[[#This Row],[Birthweight Z-Score (BW+10%)]],TRUE)*100,"")</f>
        <v/>
      </c>
    </row>
    <row r="8916" spans="1:12" x14ac:dyDescent="0.35">
      <c r="A8916" s="3"/>
      <c r="B8916" s="2"/>
      <c r="C8916" s="2"/>
      <c r="D8916" s="2" t="b">
        <f>IF(AND(NOT(ISBLANK(Table1[[#This Row],[Fetal Sex (Male, Female or Unknown)]])),ISNUMBER(Table1[[#This Row],[Birthweight (grams)]]),ISNUMBER(Table1[[#This Row],[Gestation (days)]])),TRUE,FALSE)</f>
        <v>0</v>
      </c>
      <c r="E8916" s="2" t="str">
        <f>IF(Table1[[#This Row],[Is Data Valid]]=TRUE,IF(Table1[[#This Row],[Fetal Sex (Male, Female or Unknown)]]="Male",Backend!$C$6,IF(Table1[[#This Row],[Fetal Sex (Male, Female or Unknown)]]="Female",Backend!$C$7,IF(Table1[[#This Row],[Fetal Sex (Male, Female or Unknown)]]="Unknown",Backend!$C$8,"Error"))),"")</f>
        <v/>
      </c>
      <c r="F8916" s="8" t="str">
        <f>IF(Table1[[#This Row],[Is Data Valid]]=TRUE,EXP(0.578+0.332*((Table1[[#This Row],[Gestation (days)]]+0.5)/7)-0.00354*((Table1[[#This Row],[Gestation (days)]]+0.5)/7)^2)*Table1[[#This Row],[BW40_3705]],"")</f>
        <v/>
      </c>
      <c r="G8916" s="2" t="str">
        <f>IF(Table1[[#This Row],[Is Data Valid]]=TRUE,((Table1[[#This Row],[Birthweight (grams)]]/Table1[[#This Row],[BW_GA]])-1)/(Backend!$B$4/100*Table1[[#This Row],[BW40_3705]]),"")</f>
        <v/>
      </c>
      <c r="H8916" s="7" t="str">
        <f>IF(Table1[[#This Row],[Is Data Valid]]=TRUE,((Table1[[#This Row],[Birthweight (grams)]]*0.9/Table1[[#This Row],[BW_GA]])-1)/(Backend!$B$4/100*Table1[[#This Row],[BW40_3705]]),"")</f>
        <v/>
      </c>
      <c r="I8916" s="7" t="str">
        <f>IF(Table1[[#This Row],[Is Data Valid]]=TRUE,((Table1[[#This Row],[Birthweight (grams)]]*1.1/Table1[[#This Row],[BW_GA]])-1)/(Backend!$B$4/100*Table1[[#This Row],[BW40_3705]]),"")</f>
        <v/>
      </c>
      <c r="J8916" s="7" t="str">
        <f>IF(Table1[[#This Row],[Is Data Valid]]=TRUE,_xlfn.NORM.S.DIST(Table1[[#This Row],[Birthweight Z-Score]],TRUE)*100,"")</f>
        <v/>
      </c>
      <c r="K8916" s="7" t="str">
        <f>IF(Table1[[#This Row],[Is Data Valid]]=TRUE,_xlfn.NORM.S.DIST(Table1[[#This Row],[Birthweight Z-Score (BW-10%)]],TRUE)*100,"")</f>
        <v/>
      </c>
      <c r="L8916" s="7" t="str">
        <f>IF(Table1[[#This Row],[Is Data Valid]]=TRUE,_xlfn.NORM.S.DIST(Table1[[#This Row],[Birthweight Z-Score (BW+10%)]],TRUE)*100,"")</f>
        <v/>
      </c>
    </row>
    <row r="8917" spans="1:12" x14ac:dyDescent="0.35">
      <c r="A8917" s="3"/>
      <c r="B8917" s="2"/>
      <c r="C8917" s="2"/>
      <c r="D8917" s="2" t="b">
        <f>IF(AND(NOT(ISBLANK(Table1[[#This Row],[Fetal Sex (Male, Female or Unknown)]])),ISNUMBER(Table1[[#This Row],[Birthweight (grams)]]),ISNUMBER(Table1[[#This Row],[Gestation (days)]])),TRUE,FALSE)</f>
        <v>0</v>
      </c>
      <c r="E8917" s="2" t="str">
        <f>IF(Table1[[#This Row],[Is Data Valid]]=TRUE,IF(Table1[[#This Row],[Fetal Sex (Male, Female or Unknown)]]="Male",Backend!$C$6,IF(Table1[[#This Row],[Fetal Sex (Male, Female or Unknown)]]="Female",Backend!$C$7,IF(Table1[[#This Row],[Fetal Sex (Male, Female or Unknown)]]="Unknown",Backend!$C$8,"Error"))),"")</f>
        <v/>
      </c>
      <c r="F8917" s="8" t="str">
        <f>IF(Table1[[#This Row],[Is Data Valid]]=TRUE,EXP(0.578+0.332*((Table1[[#This Row],[Gestation (days)]]+0.5)/7)-0.00354*((Table1[[#This Row],[Gestation (days)]]+0.5)/7)^2)*Table1[[#This Row],[BW40_3705]],"")</f>
        <v/>
      </c>
      <c r="G8917" s="2" t="str">
        <f>IF(Table1[[#This Row],[Is Data Valid]]=TRUE,((Table1[[#This Row],[Birthweight (grams)]]/Table1[[#This Row],[BW_GA]])-1)/(Backend!$B$4/100*Table1[[#This Row],[BW40_3705]]),"")</f>
        <v/>
      </c>
      <c r="H8917" s="7" t="str">
        <f>IF(Table1[[#This Row],[Is Data Valid]]=TRUE,((Table1[[#This Row],[Birthweight (grams)]]*0.9/Table1[[#This Row],[BW_GA]])-1)/(Backend!$B$4/100*Table1[[#This Row],[BW40_3705]]),"")</f>
        <v/>
      </c>
      <c r="I8917" s="7" t="str">
        <f>IF(Table1[[#This Row],[Is Data Valid]]=TRUE,((Table1[[#This Row],[Birthweight (grams)]]*1.1/Table1[[#This Row],[BW_GA]])-1)/(Backend!$B$4/100*Table1[[#This Row],[BW40_3705]]),"")</f>
        <v/>
      </c>
      <c r="J8917" s="7" t="str">
        <f>IF(Table1[[#This Row],[Is Data Valid]]=TRUE,_xlfn.NORM.S.DIST(Table1[[#This Row],[Birthweight Z-Score]],TRUE)*100,"")</f>
        <v/>
      </c>
      <c r="K8917" s="7" t="str">
        <f>IF(Table1[[#This Row],[Is Data Valid]]=TRUE,_xlfn.NORM.S.DIST(Table1[[#This Row],[Birthweight Z-Score (BW-10%)]],TRUE)*100,"")</f>
        <v/>
      </c>
      <c r="L8917" s="7" t="str">
        <f>IF(Table1[[#This Row],[Is Data Valid]]=TRUE,_xlfn.NORM.S.DIST(Table1[[#This Row],[Birthweight Z-Score (BW+10%)]],TRUE)*100,"")</f>
        <v/>
      </c>
    </row>
    <row r="8918" spans="1:12" x14ac:dyDescent="0.35">
      <c r="A8918" s="3"/>
      <c r="B8918" s="2"/>
      <c r="C8918" s="2"/>
      <c r="D8918" s="2" t="b">
        <f>IF(AND(NOT(ISBLANK(Table1[[#This Row],[Fetal Sex (Male, Female or Unknown)]])),ISNUMBER(Table1[[#This Row],[Birthweight (grams)]]),ISNUMBER(Table1[[#This Row],[Gestation (days)]])),TRUE,FALSE)</f>
        <v>0</v>
      </c>
      <c r="E8918" s="2" t="str">
        <f>IF(Table1[[#This Row],[Is Data Valid]]=TRUE,IF(Table1[[#This Row],[Fetal Sex (Male, Female or Unknown)]]="Male",Backend!$C$6,IF(Table1[[#This Row],[Fetal Sex (Male, Female or Unknown)]]="Female",Backend!$C$7,IF(Table1[[#This Row],[Fetal Sex (Male, Female or Unknown)]]="Unknown",Backend!$C$8,"Error"))),"")</f>
        <v/>
      </c>
      <c r="F8918" s="8" t="str">
        <f>IF(Table1[[#This Row],[Is Data Valid]]=TRUE,EXP(0.578+0.332*((Table1[[#This Row],[Gestation (days)]]+0.5)/7)-0.00354*((Table1[[#This Row],[Gestation (days)]]+0.5)/7)^2)*Table1[[#This Row],[BW40_3705]],"")</f>
        <v/>
      </c>
      <c r="G8918" s="2" t="str">
        <f>IF(Table1[[#This Row],[Is Data Valid]]=TRUE,((Table1[[#This Row],[Birthweight (grams)]]/Table1[[#This Row],[BW_GA]])-1)/(Backend!$B$4/100*Table1[[#This Row],[BW40_3705]]),"")</f>
        <v/>
      </c>
      <c r="H8918" s="7" t="str">
        <f>IF(Table1[[#This Row],[Is Data Valid]]=TRUE,((Table1[[#This Row],[Birthweight (grams)]]*0.9/Table1[[#This Row],[BW_GA]])-1)/(Backend!$B$4/100*Table1[[#This Row],[BW40_3705]]),"")</f>
        <v/>
      </c>
      <c r="I8918" s="7" t="str">
        <f>IF(Table1[[#This Row],[Is Data Valid]]=TRUE,((Table1[[#This Row],[Birthweight (grams)]]*1.1/Table1[[#This Row],[BW_GA]])-1)/(Backend!$B$4/100*Table1[[#This Row],[BW40_3705]]),"")</f>
        <v/>
      </c>
      <c r="J8918" s="7" t="str">
        <f>IF(Table1[[#This Row],[Is Data Valid]]=TRUE,_xlfn.NORM.S.DIST(Table1[[#This Row],[Birthweight Z-Score]],TRUE)*100,"")</f>
        <v/>
      </c>
      <c r="K8918" s="7" t="str">
        <f>IF(Table1[[#This Row],[Is Data Valid]]=TRUE,_xlfn.NORM.S.DIST(Table1[[#This Row],[Birthweight Z-Score (BW-10%)]],TRUE)*100,"")</f>
        <v/>
      </c>
      <c r="L8918" s="7" t="str">
        <f>IF(Table1[[#This Row],[Is Data Valid]]=TRUE,_xlfn.NORM.S.DIST(Table1[[#This Row],[Birthweight Z-Score (BW+10%)]],TRUE)*100,"")</f>
        <v/>
      </c>
    </row>
    <row r="8919" spans="1:12" x14ac:dyDescent="0.35">
      <c r="A8919" s="3"/>
      <c r="B8919" s="2"/>
      <c r="C8919" s="2"/>
      <c r="D8919" s="2" t="b">
        <f>IF(AND(NOT(ISBLANK(Table1[[#This Row],[Fetal Sex (Male, Female or Unknown)]])),ISNUMBER(Table1[[#This Row],[Birthweight (grams)]]),ISNUMBER(Table1[[#This Row],[Gestation (days)]])),TRUE,FALSE)</f>
        <v>0</v>
      </c>
      <c r="E8919" s="2" t="str">
        <f>IF(Table1[[#This Row],[Is Data Valid]]=TRUE,IF(Table1[[#This Row],[Fetal Sex (Male, Female or Unknown)]]="Male",Backend!$C$6,IF(Table1[[#This Row],[Fetal Sex (Male, Female or Unknown)]]="Female",Backend!$C$7,IF(Table1[[#This Row],[Fetal Sex (Male, Female or Unknown)]]="Unknown",Backend!$C$8,"Error"))),"")</f>
        <v/>
      </c>
      <c r="F8919" s="8" t="str">
        <f>IF(Table1[[#This Row],[Is Data Valid]]=TRUE,EXP(0.578+0.332*((Table1[[#This Row],[Gestation (days)]]+0.5)/7)-0.00354*((Table1[[#This Row],[Gestation (days)]]+0.5)/7)^2)*Table1[[#This Row],[BW40_3705]],"")</f>
        <v/>
      </c>
      <c r="G8919" s="2" t="str">
        <f>IF(Table1[[#This Row],[Is Data Valid]]=TRUE,((Table1[[#This Row],[Birthweight (grams)]]/Table1[[#This Row],[BW_GA]])-1)/(Backend!$B$4/100*Table1[[#This Row],[BW40_3705]]),"")</f>
        <v/>
      </c>
      <c r="H8919" s="7" t="str">
        <f>IF(Table1[[#This Row],[Is Data Valid]]=TRUE,((Table1[[#This Row],[Birthweight (grams)]]*0.9/Table1[[#This Row],[BW_GA]])-1)/(Backend!$B$4/100*Table1[[#This Row],[BW40_3705]]),"")</f>
        <v/>
      </c>
      <c r="I8919" s="7" t="str">
        <f>IF(Table1[[#This Row],[Is Data Valid]]=TRUE,((Table1[[#This Row],[Birthweight (grams)]]*1.1/Table1[[#This Row],[BW_GA]])-1)/(Backend!$B$4/100*Table1[[#This Row],[BW40_3705]]),"")</f>
        <v/>
      </c>
      <c r="J8919" s="7" t="str">
        <f>IF(Table1[[#This Row],[Is Data Valid]]=TRUE,_xlfn.NORM.S.DIST(Table1[[#This Row],[Birthweight Z-Score]],TRUE)*100,"")</f>
        <v/>
      </c>
      <c r="K8919" s="7" t="str">
        <f>IF(Table1[[#This Row],[Is Data Valid]]=TRUE,_xlfn.NORM.S.DIST(Table1[[#This Row],[Birthweight Z-Score (BW-10%)]],TRUE)*100,"")</f>
        <v/>
      </c>
      <c r="L8919" s="7" t="str">
        <f>IF(Table1[[#This Row],[Is Data Valid]]=TRUE,_xlfn.NORM.S.DIST(Table1[[#This Row],[Birthweight Z-Score (BW+10%)]],TRUE)*100,"")</f>
        <v/>
      </c>
    </row>
    <row r="8920" spans="1:12" x14ac:dyDescent="0.35">
      <c r="A8920" s="3"/>
      <c r="B8920" s="2"/>
      <c r="C8920" s="2"/>
      <c r="D8920" s="2" t="b">
        <f>IF(AND(NOT(ISBLANK(Table1[[#This Row],[Fetal Sex (Male, Female or Unknown)]])),ISNUMBER(Table1[[#This Row],[Birthweight (grams)]]),ISNUMBER(Table1[[#This Row],[Gestation (days)]])),TRUE,FALSE)</f>
        <v>0</v>
      </c>
      <c r="E8920" s="2" t="str">
        <f>IF(Table1[[#This Row],[Is Data Valid]]=TRUE,IF(Table1[[#This Row],[Fetal Sex (Male, Female or Unknown)]]="Male",Backend!$C$6,IF(Table1[[#This Row],[Fetal Sex (Male, Female or Unknown)]]="Female",Backend!$C$7,IF(Table1[[#This Row],[Fetal Sex (Male, Female or Unknown)]]="Unknown",Backend!$C$8,"Error"))),"")</f>
        <v/>
      </c>
      <c r="F8920" s="8" t="str">
        <f>IF(Table1[[#This Row],[Is Data Valid]]=TRUE,EXP(0.578+0.332*((Table1[[#This Row],[Gestation (days)]]+0.5)/7)-0.00354*((Table1[[#This Row],[Gestation (days)]]+0.5)/7)^2)*Table1[[#This Row],[BW40_3705]],"")</f>
        <v/>
      </c>
      <c r="G8920" s="2" t="str">
        <f>IF(Table1[[#This Row],[Is Data Valid]]=TRUE,((Table1[[#This Row],[Birthweight (grams)]]/Table1[[#This Row],[BW_GA]])-1)/(Backend!$B$4/100*Table1[[#This Row],[BW40_3705]]),"")</f>
        <v/>
      </c>
      <c r="H8920" s="7" t="str">
        <f>IF(Table1[[#This Row],[Is Data Valid]]=TRUE,((Table1[[#This Row],[Birthweight (grams)]]*0.9/Table1[[#This Row],[BW_GA]])-1)/(Backend!$B$4/100*Table1[[#This Row],[BW40_3705]]),"")</f>
        <v/>
      </c>
      <c r="I8920" s="7" t="str">
        <f>IF(Table1[[#This Row],[Is Data Valid]]=TRUE,((Table1[[#This Row],[Birthweight (grams)]]*1.1/Table1[[#This Row],[BW_GA]])-1)/(Backend!$B$4/100*Table1[[#This Row],[BW40_3705]]),"")</f>
        <v/>
      </c>
      <c r="J8920" s="7" t="str">
        <f>IF(Table1[[#This Row],[Is Data Valid]]=TRUE,_xlfn.NORM.S.DIST(Table1[[#This Row],[Birthweight Z-Score]],TRUE)*100,"")</f>
        <v/>
      </c>
      <c r="K8920" s="7" t="str">
        <f>IF(Table1[[#This Row],[Is Data Valid]]=TRUE,_xlfn.NORM.S.DIST(Table1[[#This Row],[Birthweight Z-Score (BW-10%)]],TRUE)*100,"")</f>
        <v/>
      </c>
      <c r="L8920" s="7" t="str">
        <f>IF(Table1[[#This Row],[Is Data Valid]]=TRUE,_xlfn.NORM.S.DIST(Table1[[#This Row],[Birthweight Z-Score (BW+10%)]],TRUE)*100,"")</f>
        <v/>
      </c>
    </row>
    <row r="8921" spans="1:12" x14ac:dyDescent="0.35">
      <c r="A8921" s="3"/>
      <c r="B8921" s="2"/>
      <c r="C8921" s="2"/>
      <c r="D8921" s="2" t="b">
        <f>IF(AND(NOT(ISBLANK(Table1[[#This Row],[Fetal Sex (Male, Female or Unknown)]])),ISNUMBER(Table1[[#This Row],[Birthweight (grams)]]),ISNUMBER(Table1[[#This Row],[Gestation (days)]])),TRUE,FALSE)</f>
        <v>0</v>
      </c>
      <c r="E8921" s="2" t="str">
        <f>IF(Table1[[#This Row],[Is Data Valid]]=TRUE,IF(Table1[[#This Row],[Fetal Sex (Male, Female or Unknown)]]="Male",Backend!$C$6,IF(Table1[[#This Row],[Fetal Sex (Male, Female or Unknown)]]="Female",Backend!$C$7,IF(Table1[[#This Row],[Fetal Sex (Male, Female or Unknown)]]="Unknown",Backend!$C$8,"Error"))),"")</f>
        <v/>
      </c>
      <c r="F8921" s="8" t="str">
        <f>IF(Table1[[#This Row],[Is Data Valid]]=TRUE,EXP(0.578+0.332*((Table1[[#This Row],[Gestation (days)]]+0.5)/7)-0.00354*((Table1[[#This Row],[Gestation (days)]]+0.5)/7)^2)*Table1[[#This Row],[BW40_3705]],"")</f>
        <v/>
      </c>
      <c r="G8921" s="2" t="str">
        <f>IF(Table1[[#This Row],[Is Data Valid]]=TRUE,((Table1[[#This Row],[Birthweight (grams)]]/Table1[[#This Row],[BW_GA]])-1)/(Backend!$B$4/100*Table1[[#This Row],[BW40_3705]]),"")</f>
        <v/>
      </c>
      <c r="H8921" s="7" t="str">
        <f>IF(Table1[[#This Row],[Is Data Valid]]=TRUE,((Table1[[#This Row],[Birthweight (grams)]]*0.9/Table1[[#This Row],[BW_GA]])-1)/(Backend!$B$4/100*Table1[[#This Row],[BW40_3705]]),"")</f>
        <v/>
      </c>
      <c r="I8921" s="7" t="str">
        <f>IF(Table1[[#This Row],[Is Data Valid]]=TRUE,((Table1[[#This Row],[Birthweight (grams)]]*1.1/Table1[[#This Row],[BW_GA]])-1)/(Backend!$B$4/100*Table1[[#This Row],[BW40_3705]]),"")</f>
        <v/>
      </c>
      <c r="J8921" s="7" t="str">
        <f>IF(Table1[[#This Row],[Is Data Valid]]=TRUE,_xlfn.NORM.S.DIST(Table1[[#This Row],[Birthweight Z-Score]],TRUE)*100,"")</f>
        <v/>
      </c>
      <c r="K8921" s="7" t="str">
        <f>IF(Table1[[#This Row],[Is Data Valid]]=TRUE,_xlfn.NORM.S.DIST(Table1[[#This Row],[Birthweight Z-Score (BW-10%)]],TRUE)*100,"")</f>
        <v/>
      </c>
      <c r="L8921" s="7" t="str">
        <f>IF(Table1[[#This Row],[Is Data Valid]]=TRUE,_xlfn.NORM.S.DIST(Table1[[#This Row],[Birthweight Z-Score (BW+10%)]],TRUE)*100,"")</f>
        <v/>
      </c>
    </row>
    <row r="8922" spans="1:12" x14ac:dyDescent="0.35">
      <c r="A8922" s="3"/>
      <c r="B8922" s="2"/>
      <c r="C8922" s="2"/>
      <c r="D8922" s="2" t="b">
        <f>IF(AND(NOT(ISBLANK(Table1[[#This Row],[Fetal Sex (Male, Female or Unknown)]])),ISNUMBER(Table1[[#This Row],[Birthweight (grams)]]),ISNUMBER(Table1[[#This Row],[Gestation (days)]])),TRUE,FALSE)</f>
        <v>0</v>
      </c>
      <c r="E8922" s="2" t="str">
        <f>IF(Table1[[#This Row],[Is Data Valid]]=TRUE,IF(Table1[[#This Row],[Fetal Sex (Male, Female or Unknown)]]="Male",Backend!$C$6,IF(Table1[[#This Row],[Fetal Sex (Male, Female or Unknown)]]="Female",Backend!$C$7,IF(Table1[[#This Row],[Fetal Sex (Male, Female or Unknown)]]="Unknown",Backend!$C$8,"Error"))),"")</f>
        <v/>
      </c>
      <c r="F8922" s="8" t="str">
        <f>IF(Table1[[#This Row],[Is Data Valid]]=TRUE,EXP(0.578+0.332*((Table1[[#This Row],[Gestation (days)]]+0.5)/7)-0.00354*((Table1[[#This Row],[Gestation (days)]]+0.5)/7)^2)*Table1[[#This Row],[BW40_3705]],"")</f>
        <v/>
      </c>
      <c r="G8922" s="2" t="str">
        <f>IF(Table1[[#This Row],[Is Data Valid]]=TRUE,((Table1[[#This Row],[Birthweight (grams)]]/Table1[[#This Row],[BW_GA]])-1)/(Backend!$B$4/100*Table1[[#This Row],[BW40_3705]]),"")</f>
        <v/>
      </c>
      <c r="H8922" s="7" t="str">
        <f>IF(Table1[[#This Row],[Is Data Valid]]=TRUE,((Table1[[#This Row],[Birthweight (grams)]]*0.9/Table1[[#This Row],[BW_GA]])-1)/(Backend!$B$4/100*Table1[[#This Row],[BW40_3705]]),"")</f>
        <v/>
      </c>
      <c r="I8922" s="7" t="str">
        <f>IF(Table1[[#This Row],[Is Data Valid]]=TRUE,((Table1[[#This Row],[Birthweight (grams)]]*1.1/Table1[[#This Row],[BW_GA]])-1)/(Backend!$B$4/100*Table1[[#This Row],[BW40_3705]]),"")</f>
        <v/>
      </c>
      <c r="J8922" s="7" t="str">
        <f>IF(Table1[[#This Row],[Is Data Valid]]=TRUE,_xlfn.NORM.S.DIST(Table1[[#This Row],[Birthweight Z-Score]],TRUE)*100,"")</f>
        <v/>
      </c>
      <c r="K8922" s="7" t="str">
        <f>IF(Table1[[#This Row],[Is Data Valid]]=TRUE,_xlfn.NORM.S.DIST(Table1[[#This Row],[Birthweight Z-Score (BW-10%)]],TRUE)*100,"")</f>
        <v/>
      </c>
      <c r="L8922" s="7" t="str">
        <f>IF(Table1[[#This Row],[Is Data Valid]]=TRUE,_xlfn.NORM.S.DIST(Table1[[#This Row],[Birthweight Z-Score (BW+10%)]],TRUE)*100,"")</f>
        <v/>
      </c>
    </row>
    <row r="8923" spans="1:12" x14ac:dyDescent="0.35">
      <c r="A8923" s="3"/>
      <c r="B8923" s="2"/>
      <c r="C8923" s="2"/>
      <c r="D8923" s="2" t="b">
        <f>IF(AND(NOT(ISBLANK(Table1[[#This Row],[Fetal Sex (Male, Female or Unknown)]])),ISNUMBER(Table1[[#This Row],[Birthweight (grams)]]),ISNUMBER(Table1[[#This Row],[Gestation (days)]])),TRUE,FALSE)</f>
        <v>0</v>
      </c>
      <c r="E8923" s="2" t="str">
        <f>IF(Table1[[#This Row],[Is Data Valid]]=TRUE,IF(Table1[[#This Row],[Fetal Sex (Male, Female or Unknown)]]="Male",Backend!$C$6,IF(Table1[[#This Row],[Fetal Sex (Male, Female or Unknown)]]="Female",Backend!$C$7,IF(Table1[[#This Row],[Fetal Sex (Male, Female or Unknown)]]="Unknown",Backend!$C$8,"Error"))),"")</f>
        <v/>
      </c>
      <c r="F8923" s="8" t="str">
        <f>IF(Table1[[#This Row],[Is Data Valid]]=TRUE,EXP(0.578+0.332*((Table1[[#This Row],[Gestation (days)]]+0.5)/7)-0.00354*((Table1[[#This Row],[Gestation (days)]]+0.5)/7)^2)*Table1[[#This Row],[BW40_3705]],"")</f>
        <v/>
      </c>
      <c r="G8923" s="2" t="str">
        <f>IF(Table1[[#This Row],[Is Data Valid]]=TRUE,((Table1[[#This Row],[Birthweight (grams)]]/Table1[[#This Row],[BW_GA]])-1)/(Backend!$B$4/100*Table1[[#This Row],[BW40_3705]]),"")</f>
        <v/>
      </c>
      <c r="H8923" s="7" t="str">
        <f>IF(Table1[[#This Row],[Is Data Valid]]=TRUE,((Table1[[#This Row],[Birthweight (grams)]]*0.9/Table1[[#This Row],[BW_GA]])-1)/(Backend!$B$4/100*Table1[[#This Row],[BW40_3705]]),"")</f>
        <v/>
      </c>
      <c r="I8923" s="7" t="str">
        <f>IF(Table1[[#This Row],[Is Data Valid]]=TRUE,((Table1[[#This Row],[Birthweight (grams)]]*1.1/Table1[[#This Row],[BW_GA]])-1)/(Backend!$B$4/100*Table1[[#This Row],[BW40_3705]]),"")</f>
        <v/>
      </c>
      <c r="J8923" s="7" t="str">
        <f>IF(Table1[[#This Row],[Is Data Valid]]=TRUE,_xlfn.NORM.S.DIST(Table1[[#This Row],[Birthweight Z-Score]],TRUE)*100,"")</f>
        <v/>
      </c>
      <c r="K8923" s="7" t="str">
        <f>IF(Table1[[#This Row],[Is Data Valid]]=TRUE,_xlfn.NORM.S.DIST(Table1[[#This Row],[Birthweight Z-Score (BW-10%)]],TRUE)*100,"")</f>
        <v/>
      </c>
      <c r="L8923" s="7" t="str">
        <f>IF(Table1[[#This Row],[Is Data Valid]]=TRUE,_xlfn.NORM.S.DIST(Table1[[#This Row],[Birthweight Z-Score (BW+10%)]],TRUE)*100,"")</f>
        <v/>
      </c>
    </row>
    <row r="8924" spans="1:12" x14ac:dyDescent="0.35">
      <c r="A8924" s="3"/>
      <c r="B8924" s="2"/>
      <c r="C8924" s="2"/>
      <c r="D8924" s="2" t="b">
        <f>IF(AND(NOT(ISBLANK(Table1[[#This Row],[Fetal Sex (Male, Female or Unknown)]])),ISNUMBER(Table1[[#This Row],[Birthweight (grams)]]),ISNUMBER(Table1[[#This Row],[Gestation (days)]])),TRUE,FALSE)</f>
        <v>0</v>
      </c>
      <c r="E8924" s="2" t="str">
        <f>IF(Table1[[#This Row],[Is Data Valid]]=TRUE,IF(Table1[[#This Row],[Fetal Sex (Male, Female or Unknown)]]="Male",Backend!$C$6,IF(Table1[[#This Row],[Fetal Sex (Male, Female or Unknown)]]="Female",Backend!$C$7,IF(Table1[[#This Row],[Fetal Sex (Male, Female or Unknown)]]="Unknown",Backend!$C$8,"Error"))),"")</f>
        <v/>
      </c>
      <c r="F8924" s="8" t="str">
        <f>IF(Table1[[#This Row],[Is Data Valid]]=TRUE,EXP(0.578+0.332*((Table1[[#This Row],[Gestation (days)]]+0.5)/7)-0.00354*((Table1[[#This Row],[Gestation (days)]]+0.5)/7)^2)*Table1[[#This Row],[BW40_3705]],"")</f>
        <v/>
      </c>
      <c r="G8924" s="2" t="str">
        <f>IF(Table1[[#This Row],[Is Data Valid]]=TRUE,((Table1[[#This Row],[Birthweight (grams)]]/Table1[[#This Row],[BW_GA]])-1)/(Backend!$B$4/100*Table1[[#This Row],[BW40_3705]]),"")</f>
        <v/>
      </c>
      <c r="H8924" s="7" t="str">
        <f>IF(Table1[[#This Row],[Is Data Valid]]=TRUE,((Table1[[#This Row],[Birthweight (grams)]]*0.9/Table1[[#This Row],[BW_GA]])-1)/(Backend!$B$4/100*Table1[[#This Row],[BW40_3705]]),"")</f>
        <v/>
      </c>
      <c r="I8924" s="7" t="str">
        <f>IF(Table1[[#This Row],[Is Data Valid]]=TRUE,((Table1[[#This Row],[Birthweight (grams)]]*1.1/Table1[[#This Row],[BW_GA]])-1)/(Backend!$B$4/100*Table1[[#This Row],[BW40_3705]]),"")</f>
        <v/>
      </c>
      <c r="J8924" s="7" t="str">
        <f>IF(Table1[[#This Row],[Is Data Valid]]=TRUE,_xlfn.NORM.S.DIST(Table1[[#This Row],[Birthweight Z-Score]],TRUE)*100,"")</f>
        <v/>
      </c>
      <c r="K8924" s="7" t="str">
        <f>IF(Table1[[#This Row],[Is Data Valid]]=TRUE,_xlfn.NORM.S.DIST(Table1[[#This Row],[Birthweight Z-Score (BW-10%)]],TRUE)*100,"")</f>
        <v/>
      </c>
      <c r="L8924" s="7" t="str">
        <f>IF(Table1[[#This Row],[Is Data Valid]]=TRUE,_xlfn.NORM.S.DIST(Table1[[#This Row],[Birthweight Z-Score (BW+10%)]],TRUE)*100,"")</f>
        <v/>
      </c>
    </row>
    <row r="8925" spans="1:12" x14ac:dyDescent="0.35">
      <c r="A8925" s="3"/>
      <c r="B8925" s="2"/>
      <c r="C8925" s="2"/>
      <c r="D8925" s="2" t="b">
        <f>IF(AND(NOT(ISBLANK(Table1[[#This Row],[Fetal Sex (Male, Female or Unknown)]])),ISNUMBER(Table1[[#This Row],[Birthweight (grams)]]),ISNUMBER(Table1[[#This Row],[Gestation (days)]])),TRUE,FALSE)</f>
        <v>0</v>
      </c>
      <c r="E8925" s="2" t="str">
        <f>IF(Table1[[#This Row],[Is Data Valid]]=TRUE,IF(Table1[[#This Row],[Fetal Sex (Male, Female or Unknown)]]="Male",Backend!$C$6,IF(Table1[[#This Row],[Fetal Sex (Male, Female or Unknown)]]="Female",Backend!$C$7,IF(Table1[[#This Row],[Fetal Sex (Male, Female or Unknown)]]="Unknown",Backend!$C$8,"Error"))),"")</f>
        <v/>
      </c>
      <c r="F8925" s="8" t="str">
        <f>IF(Table1[[#This Row],[Is Data Valid]]=TRUE,EXP(0.578+0.332*((Table1[[#This Row],[Gestation (days)]]+0.5)/7)-0.00354*((Table1[[#This Row],[Gestation (days)]]+0.5)/7)^2)*Table1[[#This Row],[BW40_3705]],"")</f>
        <v/>
      </c>
      <c r="G8925" s="2" t="str">
        <f>IF(Table1[[#This Row],[Is Data Valid]]=TRUE,((Table1[[#This Row],[Birthweight (grams)]]/Table1[[#This Row],[BW_GA]])-1)/(Backend!$B$4/100*Table1[[#This Row],[BW40_3705]]),"")</f>
        <v/>
      </c>
      <c r="H8925" s="7" t="str">
        <f>IF(Table1[[#This Row],[Is Data Valid]]=TRUE,((Table1[[#This Row],[Birthweight (grams)]]*0.9/Table1[[#This Row],[BW_GA]])-1)/(Backend!$B$4/100*Table1[[#This Row],[BW40_3705]]),"")</f>
        <v/>
      </c>
      <c r="I8925" s="7" t="str">
        <f>IF(Table1[[#This Row],[Is Data Valid]]=TRUE,((Table1[[#This Row],[Birthweight (grams)]]*1.1/Table1[[#This Row],[BW_GA]])-1)/(Backend!$B$4/100*Table1[[#This Row],[BW40_3705]]),"")</f>
        <v/>
      </c>
      <c r="J8925" s="7" t="str">
        <f>IF(Table1[[#This Row],[Is Data Valid]]=TRUE,_xlfn.NORM.S.DIST(Table1[[#This Row],[Birthweight Z-Score]],TRUE)*100,"")</f>
        <v/>
      </c>
      <c r="K8925" s="7" t="str">
        <f>IF(Table1[[#This Row],[Is Data Valid]]=TRUE,_xlfn.NORM.S.DIST(Table1[[#This Row],[Birthweight Z-Score (BW-10%)]],TRUE)*100,"")</f>
        <v/>
      </c>
      <c r="L8925" s="7" t="str">
        <f>IF(Table1[[#This Row],[Is Data Valid]]=TRUE,_xlfn.NORM.S.DIST(Table1[[#This Row],[Birthweight Z-Score (BW+10%)]],TRUE)*100,"")</f>
        <v/>
      </c>
    </row>
    <row r="8926" spans="1:12" x14ac:dyDescent="0.35">
      <c r="A8926" s="3"/>
      <c r="B8926" s="2"/>
      <c r="C8926" s="2"/>
      <c r="D8926" s="2" t="b">
        <f>IF(AND(NOT(ISBLANK(Table1[[#This Row],[Fetal Sex (Male, Female or Unknown)]])),ISNUMBER(Table1[[#This Row],[Birthweight (grams)]]),ISNUMBER(Table1[[#This Row],[Gestation (days)]])),TRUE,FALSE)</f>
        <v>0</v>
      </c>
      <c r="E8926" s="2" t="str">
        <f>IF(Table1[[#This Row],[Is Data Valid]]=TRUE,IF(Table1[[#This Row],[Fetal Sex (Male, Female or Unknown)]]="Male",Backend!$C$6,IF(Table1[[#This Row],[Fetal Sex (Male, Female or Unknown)]]="Female",Backend!$C$7,IF(Table1[[#This Row],[Fetal Sex (Male, Female or Unknown)]]="Unknown",Backend!$C$8,"Error"))),"")</f>
        <v/>
      </c>
      <c r="F8926" s="8" t="str">
        <f>IF(Table1[[#This Row],[Is Data Valid]]=TRUE,EXP(0.578+0.332*((Table1[[#This Row],[Gestation (days)]]+0.5)/7)-0.00354*((Table1[[#This Row],[Gestation (days)]]+0.5)/7)^2)*Table1[[#This Row],[BW40_3705]],"")</f>
        <v/>
      </c>
      <c r="G8926" s="2" t="str">
        <f>IF(Table1[[#This Row],[Is Data Valid]]=TRUE,((Table1[[#This Row],[Birthweight (grams)]]/Table1[[#This Row],[BW_GA]])-1)/(Backend!$B$4/100*Table1[[#This Row],[BW40_3705]]),"")</f>
        <v/>
      </c>
      <c r="H8926" s="7" t="str">
        <f>IF(Table1[[#This Row],[Is Data Valid]]=TRUE,((Table1[[#This Row],[Birthweight (grams)]]*0.9/Table1[[#This Row],[BW_GA]])-1)/(Backend!$B$4/100*Table1[[#This Row],[BW40_3705]]),"")</f>
        <v/>
      </c>
      <c r="I8926" s="7" t="str">
        <f>IF(Table1[[#This Row],[Is Data Valid]]=TRUE,((Table1[[#This Row],[Birthweight (grams)]]*1.1/Table1[[#This Row],[BW_GA]])-1)/(Backend!$B$4/100*Table1[[#This Row],[BW40_3705]]),"")</f>
        <v/>
      </c>
      <c r="J8926" s="7" t="str">
        <f>IF(Table1[[#This Row],[Is Data Valid]]=TRUE,_xlfn.NORM.S.DIST(Table1[[#This Row],[Birthweight Z-Score]],TRUE)*100,"")</f>
        <v/>
      </c>
      <c r="K8926" s="7" t="str">
        <f>IF(Table1[[#This Row],[Is Data Valid]]=TRUE,_xlfn.NORM.S.DIST(Table1[[#This Row],[Birthweight Z-Score (BW-10%)]],TRUE)*100,"")</f>
        <v/>
      </c>
      <c r="L8926" s="7" t="str">
        <f>IF(Table1[[#This Row],[Is Data Valid]]=TRUE,_xlfn.NORM.S.DIST(Table1[[#This Row],[Birthweight Z-Score (BW+10%)]],TRUE)*100,"")</f>
        <v/>
      </c>
    </row>
    <row r="8927" spans="1:12" x14ac:dyDescent="0.35">
      <c r="A8927" s="3"/>
      <c r="B8927" s="2"/>
      <c r="C8927" s="2"/>
      <c r="D8927" s="2" t="b">
        <f>IF(AND(NOT(ISBLANK(Table1[[#This Row],[Fetal Sex (Male, Female or Unknown)]])),ISNUMBER(Table1[[#This Row],[Birthweight (grams)]]),ISNUMBER(Table1[[#This Row],[Gestation (days)]])),TRUE,FALSE)</f>
        <v>0</v>
      </c>
      <c r="E8927" s="2" t="str">
        <f>IF(Table1[[#This Row],[Is Data Valid]]=TRUE,IF(Table1[[#This Row],[Fetal Sex (Male, Female or Unknown)]]="Male",Backend!$C$6,IF(Table1[[#This Row],[Fetal Sex (Male, Female or Unknown)]]="Female",Backend!$C$7,IF(Table1[[#This Row],[Fetal Sex (Male, Female or Unknown)]]="Unknown",Backend!$C$8,"Error"))),"")</f>
        <v/>
      </c>
      <c r="F8927" s="8" t="str">
        <f>IF(Table1[[#This Row],[Is Data Valid]]=TRUE,EXP(0.578+0.332*((Table1[[#This Row],[Gestation (days)]]+0.5)/7)-0.00354*((Table1[[#This Row],[Gestation (days)]]+0.5)/7)^2)*Table1[[#This Row],[BW40_3705]],"")</f>
        <v/>
      </c>
      <c r="G8927" s="2" t="str">
        <f>IF(Table1[[#This Row],[Is Data Valid]]=TRUE,((Table1[[#This Row],[Birthweight (grams)]]/Table1[[#This Row],[BW_GA]])-1)/(Backend!$B$4/100*Table1[[#This Row],[BW40_3705]]),"")</f>
        <v/>
      </c>
      <c r="H8927" s="7" t="str">
        <f>IF(Table1[[#This Row],[Is Data Valid]]=TRUE,((Table1[[#This Row],[Birthweight (grams)]]*0.9/Table1[[#This Row],[BW_GA]])-1)/(Backend!$B$4/100*Table1[[#This Row],[BW40_3705]]),"")</f>
        <v/>
      </c>
      <c r="I8927" s="7" t="str">
        <f>IF(Table1[[#This Row],[Is Data Valid]]=TRUE,((Table1[[#This Row],[Birthweight (grams)]]*1.1/Table1[[#This Row],[BW_GA]])-1)/(Backend!$B$4/100*Table1[[#This Row],[BW40_3705]]),"")</f>
        <v/>
      </c>
      <c r="J8927" s="7" t="str">
        <f>IF(Table1[[#This Row],[Is Data Valid]]=TRUE,_xlfn.NORM.S.DIST(Table1[[#This Row],[Birthweight Z-Score]],TRUE)*100,"")</f>
        <v/>
      </c>
      <c r="K8927" s="7" t="str">
        <f>IF(Table1[[#This Row],[Is Data Valid]]=TRUE,_xlfn.NORM.S.DIST(Table1[[#This Row],[Birthweight Z-Score (BW-10%)]],TRUE)*100,"")</f>
        <v/>
      </c>
      <c r="L8927" s="7" t="str">
        <f>IF(Table1[[#This Row],[Is Data Valid]]=TRUE,_xlfn.NORM.S.DIST(Table1[[#This Row],[Birthweight Z-Score (BW+10%)]],TRUE)*100,"")</f>
        <v/>
      </c>
    </row>
    <row r="8928" spans="1:12" x14ac:dyDescent="0.35">
      <c r="A8928" s="3"/>
      <c r="B8928" s="2"/>
      <c r="C8928" s="2"/>
      <c r="D8928" s="2" t="b">
        <f>IF(AND(NOT(ISBLANK(Table1[[#This Row],[Fetal Sex (Male, Female or Unknown)]])),ISNUMBER(Table1[[#This Row],[Birthweight (grams)]]),ISNUMBER(Table1[[#This Row],[Gestation (days)]])),TRUE,FALSE)</f>
        <v>0</v>
      </c>
      <c r="E8928" s="2" t="str">
        <f>IF(Table1[[#This Row],[Is Data Valid]]=TRUE,IF(Table1[[#This Row],[Fetal Sex (Male, Female or Unknown)]]="Male",Backend!$C$6,IF(Table1[[#This Row],[Fetal Sex (Male, Female or Unknown)]]="Female",Backend!$C$7,IF(Table1[[#This Row],[Fetal Sex (Male, Female or Unknown)]]="Unknown",Backend!$C$8,"Error"))),"")</f>
        <v/>
      </c>
      <c r="F8928" s="8" t="str">
        <f>IF(Table1[[#This Row],[Is Data Valid]]=TRUE,EXP(0.578+0.332*((Table1[[#This Row],[Gestation (days)]]+0.5)/7)-0.00354*((Table1[[#This Row],[Gestation (days)]]+0.5)/7)^2)*Table1[[#This Row],[BW40_3705]],"")</f>
        <v/>
      </c>
      <c r="G8928" s="2" t="str">
        <f>IF(Table1[[#This Row],[Is Data Valid]]=TRUE,((Table1[[#This Row],[Birthweight (grams)]]/Table1[[#This Row],[BW_GA]])-1)/(Backend!$B$4/100*Table1[[#This Row],[BW40_3705]]),"")</f>
        <v/>
      </c>
      <c r="H8928" s="7" t="str">
        <f>IF(Table1[[#This Row],[Is Data Valid]]=TRUE,((Table1[[#This Row],[Birthweight (grams)]]*0.9/Table1[[#This Row],[BW_GA]])-1)/(Backend!$B$4/100*Table1[[#This Row],[BW40_3705]]),"")</f>
        <v/>
      </c>
      <c r="I8928" s="7" t="str">
        <f>IF(Table1[[#This Row],[Is Data Valid]]=TRUE,((Table1[[#This Row],[Birthweight (grams)]]*1.1/Table1[[#This Row],[BW_GA]])-1)/(Backend!$B$4/100*Table1[[#This Row],[BW40_3705]]),"")</f>
        <v/>
      </c>
      <c r="J8928" s="7" t="str">
        <f>IF(Table1[[#This Row],[Is Data Valid]]=TRUE,_xlfn.NORM.S.DIST(Table1[[#This Row],[Birthweight Z-Score]],TRUE)*100,"")</f>
        <v/>
      </c>
      <c r="K8928" s="7" t="str">
        <f>IF(Table1[[#This Row],[Is Data Valid]]=TRUE,_xlfn.NORM.S.DIST(Table1[[#This Row],[Birthweight Z-Score (BW-10%)]],TRUE)*100,"")</f>
        <v/>
      </c>
      <c r="L8928" s="7" t="str">
        <f>IF(Table1[[#This Row],[Is Data Valid]]=TRUE,_xlfn.NORM.S.DIST(Table1[[#This Row],[Birthweight Z-Score (BW+10%)]],TRUE)*100,"")</f>
        <v/>
      </c>
    </row>
    <row r="8929" spans="1:12" x14ac:dyDescent="0.35">
      <c r="A8929" s="3"/>
      <c r="B8929" s="2"/>
      <c r="C8929" s="2"/>
      <c r="D8929" s="2" t="b">
        <f>IF(AND(NOT(ISBLANK(Table1[[#This Row],[Fetal Sex (Male, Female or Unknown)]])),ISNUMBER(Table1[[#This Row],[Birthweight (grams)]]),ISNUMBER(Table1[[#This Row],[Gestation (days)]])),TRUE,FALSE)</f>
        <v>0</v>
      </c>
      <c r="E8929" s="2" t="str">
        <f>IF(Table1[[#This Row],[Is Data Valid]]=TRUE,IF(Table1[[#This Row],[Fetal Sex (Male, Female or Unknown)]]="Male",Backend!$C$6,IF(Table1[[#This Row],[Fetal Sex (Male, Female or Unknown)]]="Female",Backend!$C$7,IF(Table1[[#This Row],[Fetal Sex (Male, Female or Unknown)]]="Unknown",Backend!$C$8,"Error"))),"")</f>
        <v/>
      </c>
      <c r="F8929" s="8" t="str">
        <f>IF(Table1[[#This Row],[Is Data Valid]]=TRUE,EXP(0.578+0.332*((Table1[[#This Row],[Gestation (days)]]+0.5)/7)-0.00354*((Table1[[#This Row],[Gestation (days)]]+0.5)/7)^2)*Table1[[#This Row],[BW40_3705]],"")</f>
        <v/>
      </c>
      <c r="G8929" s="2" t="str">
        <f>IF(Table1[[#This Row],[Is Data Valid]]=TRUE,((Table1[[#This Row],[Birthweight (grams)]]/Table1[[#This Row],[BW_GA]])-1)/(Backend!$B$4/100*Table1[[#This Row],[BW40_3705]]),"")</f>
        <v/>
      </c>
      <c r="H8929" s="7" t="str">
        <f>IF(Table1[[#This Row],[Is Data Valid]]=TRUE,((Table1[[#This Row],[Birthweight (grams)]]*0.9/Table1[[#This Row],[BW_GA]])-1)/(Backend!$B$4/100*Table1[[#This Row],[BW40_3705]]),"")</f>
        <v/>
      </c>
      <c r="I8929" s="7" t="str">
        <f>IF(Table1[[#This Row],[Is Data Valid]]=TRUE,((Table1[[#This Row],[Birthweight (grams)]]*1.1/Table1[[#This Row],[BW_GA]])-1)/(Backend!$B$4/100*Table1[[#This Row],[BW40_3705]]),"")</f>
        <v/>
      </c>
      <c r="J8929" s="7" t="str">
        <f>IF(Table1[[#This Row],[Is Data Valid]]=TRUE,_xlfn.NORM.S.DIST(Table1[[#This Row],[Birthweight Z-Score]],TRUE)*100,"")</f>
        <v/>
      </c>
      <c r="K8929" s="7" t="str">
        <f>IF(Table1[[#This Row],[Is Data Valid]]=TRUE,_xlfn.NORM.S.DIST(Table1[[#This Row],[Birthweight Z-Score (BW-10%)]],TRUE)*100,"")</f>
        <v/>
      </c>
      <c r="L8929" s="7" t="str">
        <f>IF(Table1[[#This Row],[Is Data Valid]]=TRUE,_xlfn.NORM.S.DIST(Table1[[#This Row],[Birthweight Z-Score (BW+10%)]],TRUE)*100,"")</f>
        <v/>
      </c>
    </row>
    <row r="8930" spans="1:12" x14ac:dyDescent="0.35">
      <c r="A8930" s="3"/>
      <c r="B8930" s="2"/>
      <c r="C8930" s="2"/>
      <c r="D8930" s="2" t="b">
        <f>IF(AND(NOT(ISBLANK(Table1[[#This Row],[Fetal Sex (Male, Female or Unknown)]])),ISNUMBER(Table1[[#This Row],[Birthweight (grams)]]),ISNUMBER(Table1[[#This Row],[Gestation (days)]])),TRUE,FALSE)</f>
        <v>0</v>
      </c>
      <c r="E8930" s="2" t="str">
        <f>IF(Table1[[#This Row],[Is Data Valid]]=TRUE,IF(Table1[[#This Row],[Fetal Sex (Male, Female or Unknown)]]="Male",Backend!$C$6,IF(Table1[[#This Row],[Fetal Sex (Male, Female or Unknown)]]="Female",Backend!$C$7,IF(Table1[[#This Row],[Fetal Sex (Male, Female or Unknown)]]="Unknown",Backend!$C$8,"Error"))),"")</f>
        <v/>
      </c>
      <c r="F8930" s="8" t="str">
        <f>IF(Table1[[#This Row],[Is Data Valid]]=TRUE,EXP(0.578+0.332*((Table1[[#This Row],[Gestation (days)]]+0.5)/7)-0.00354*((Table1[[#This Row],[Gestation (days)]]+0.5)/7)^2)*Table1[[#This Row],[BW40_3705]],"")</f>
        <v/>
      </c>
      <c r="G8930" s="2" t="str">
        <f>IF(Table1[[#This Row],[Is Data Valid]]=TRUE,((Table1[[#This Row],[Birthweight (grams)]]/Table1[[#This Row],[BW_GA]])-1)/(Backend!$B$4/100*Table1[[#This Row],[BW40_3705]]),"")</f>
        <v/>
      </c>
      <c r="H8930" s="7" t="str">
        <f>IF(Table1[[#This Row],[Is Data Valid]]=TRUE,((Table1[[#This Row],[Birthweight (grams)]]*0.9/Table1[[#This Row],[BW_GA]])-1)/(Backend!$B$4/100*Table1[[#This Row],[BW40_3705]]),"")</f>
        <v/>
      </c>
      <c r="I8930" s="7" t="str">
        <f>IF(Table1[[#This Row],[Is Data Valid]]=TRUE,((Table1[[#This Row],[Birthweight (grams)]]*1.1/Table1[[#This Row],[BW_GA]])-1)/(Backend!$B$4/100*Table1[[#This Row],[BW40_3705]]),"")</f>
        <v/>
      </c>
      <c r="J8930" s="7" t="str">
        <f>IF(Table1[[#This Row],[Is Data Valid]]=TRUE,_xlfn.NORM.S.DIST(Table1[[#This Row],[Birthweight Z-Score]],TRUE)*100,"")</f>
        <v/>
      </c>
      <c r="K8930" s="7" t="str">
        <f>IF(Table1[[#This Row],[Is Data Valid]]=TRUE,_xlfn.NORM.S.DIST(Table1[[#This Row],[Birthweight Z-Score (BW-10%)]],TRUE)*100,"")</f>
        <v/>
      </c>
      <c r="L8930" s="7" t="str">
        <f>IF(Table1[[#This Row],[Is Data Valid]]=TRUE,_xlfn.NORM.S.DIST(Table1[[#This Row],[Birthweight Z-Score (BW+10%)]],TRUE)*100,"")</f>
        <v/>
      </c>
    </row>
    <row r="8931" spans="1:12" x14ac:dyDescent="0.35">
      <c r="A8931" s="3"/>
      <c r="B8931" s="2"/>
      <c r="C8931" s="2"/>
      <c r="D8931" s="2" t="b">
        <f>IF(AND(NOT(ISBLANK(Table1[[#This Row],[Fetal Sex (Male, Female or Unknown)]])),ISNUMBER(Table1[[#This Row],[Birthweight (grams)]]),ISNUMBER(Table1[[#This Row],[Gestation (days)]])),TRUE,FALSE)</f>
        <v>0</v>
      </c>
      <c r="E8931" s="2" t="str">
        <f>IF(Table1[[#This Row],[Is Data Valid]]=TRUE,IF(Table1[[#This Row],[Fetal Sex (Male, Female or Unknown)]]="Male",Backend!$C$6,IF(Table1[[#This Row],[Fetal Sex (Male, Female or Unknown)]]="Female",Backend!$C$7,IF(Table1[[#This Row],[Fetal Sex (Male, Female or Unknown)]]="Unknown",Backend!$C$8,"Error"))),"")</f>
        <v/>
      </c>
      <c r="F8931" s="8" t="str">
        <f>IF(Table1[[#This Row],[Is Data Valid]]=TRUE,EXP(0.578+0.332*((Table1[[#This Row],[Gestation (days)]]+0.5)/7)-0.00354*((Table1[[#This Row],[Gestation (days)]]+0.5)/7)^2)*Table1[[#This Row],[BW40_3705]],"")</f>
        <v/>
      </c>
      <c r="G8931" s="2" t="str">
        <f>IF(Table1[[#This Row],[Is Data Valid]]=TRUE,((Table1[[#This Row],[Birthweight (grams)]]/Table1[[#This Row],[BW_GA]])-1)/(Backend!$B$4/100*Table1[[#This Row],[BW40_3705]]),"")</f>
        <v/>
      </c>
      <c r="H8931" s="7" t="str">
        <f>IF(Table1[[#This Row],[Is Data Valid]]=TRUE,((Table1[[#This Row],[Birthweight (grams)]]*0.9/Table1[[#This Row],[BW_GA]])-1)/(Backend!$B$4/100*Table1[[#This Row],[BW40_3705]]),"")</f>
        <v/>
      </c>
      <c r="I8931" s="7" t="str">
        <f>IF(Table1[[#This Row],[Is Data Valid]]=TRUE,((Table1[[#This Row],[Birthweight (grams)]]*1.1/Table1[[#This Row],[BW_GA]])-1)/(Backend!$B$4/100*Table1[[#This Row],[BW40_3705]]),"")</f>
        <v/>
      </c>
      <c r="J8931" s="7" t="str">
        <f>IF(Table1[[#This Row],[Is Data Valid]]=TRUE,_xlfn.NORM.S.DIST(Table1[[#This Row],[Birthweight Z-Score]],TRUE)*100,"")</f>
        <v/>
      </c>
      <c r="K8931" s="7" t="str">
        <f>IF(Table1[[#This Row],[Is Data Valid]]=TRUE,_xlfn.NORM.S.DIST(Table1[[#This Row],[Birthweight Z-Score (BW-10%)]],TRUE)*100,"")</f>
        <v/>
      </c>
      <c r="L8931" s="7" t="str">
        <f>IF(Table1[[#This Row],[Is Data Valid]]=TRUE,_xlfn.NORM.S.DIST(Table1[[#This Row],[Birthweight Z-Score (BW+10%)]],TRUE)*100,"")</f>
        <v/>
      </c>
    </row>
    <row r="8932" spans="1:12" x14ac:dyDescent="0.35">
      <c r="A8932" s="3"/>
      <c r="B8932" s="2"/>
      <c r="C8932" s="2"/>
      <c r="D8932" s="2" t="b">
        <f>IF(AND(NOT(ISBLANK(Table1[[#This Row],[Fetal Sex (Male, Female or Unknown)]])),ISNUMBER(Table1[[#This Row],[Birthweight (grams)]]),ISNUMBER(Table1[[#This Row],[Gestation (days)]])),TRUE,FALSE)</f>
        <v>0</v>
      </c>
      <c r="E8932" s="2" t="str">
        <f>IF(Table1[[#This Row],[Is Data Valid]]=TRUE,IF(Table1[[#This Row],[Fetal Sex (Male, Female or Unknown)]]="Male",Backend!$C$6,IF(Table1[[#This Row],[Fetal Sex (Male, Female or Unknown)]]="Female",Backend!$C$7,IF(Table1[[#This Row],[Fetal Sex (Male, Female or Unknown)]]="Unknown",Backend!$C$8,"Error"))),"")</f>
        <v/>
      </c>
      <c r="F8932" s="8" t="str">
        <f>IF(Table1[[#This Row],[Is Data Valid]]=TRUE,EXP(0.578+0.332*((Table1[[#This Row],[Gestation (days)]]+0.5)/7)-0.00354*((Table1[[#This Row],[Gestation (days)]]+0.5)/7)^2)*Table1[[#This Row],[BW40_3705]],"")</f>
        <v/>
      </c>
      <c r="G8932" s="2" t="str">
        <f>IF(Table1[[#This Row],[Is Data Valid]]=TRUE,((Table1[[#This Row],[Birthweight (grams)]]/Table1[[#This Row],[BW_GA]])-1)/(Backend!$B$4/100*Table1[[#This Row],[BW40_3705]]),"")</f>
        <v/>
      </c>
      <c r="H8932" s="7" t="str">
        <f>IF(Table1[[#This Row],[Is Data Valid]]=TRUE,((Table1[[#This Row],[Birthweight (grams)]]*0.9/Table1[[#This Row],[BW_GA]])-1)/(Backend!$B$4/100*Table1[[#This Row],[BW40_3705]]),"")</f>
        <v/>
      </c>
      <c r="I8932" s="7" t="str">
        <f>IF(Table1[[#This Row],[Is Data Valid]]=TRUE,((Table1[[#This Row],[Birthweight (grams)]]*1.1/Table1[[#This Row],[BW_GA]])-1)/(Backend!$B$4/100*Table1[[#This Row],[BW40_3705]]),"")</f>
        <v/>
      </c>
      <c r="J8932" s="7" t="str">
        <f>IF(Table1[[#This Row],[Is Data Valid]]=TRUE,_xlfn.NORM.S.DIST(Table1[[#This Row],[Birthweight Z-Score]],TRUE)*100,"")</f>
        <v/>
      </c>
      <c r="K8932" s="7" t="str">
        <f>IF(Table1[[#This Row],[Is Data Valid]]=TRUE,_xlfn.NORM.S.DIST(Table1[[#This Row],[Birthweight Z-Score (BW-10%)]],TRUE)*100,"")</f>
        <v/>
      </c>
      <c r="L8932" s="7" t="str">
        <f>IF(Table1[[#This Row],[Is Data Valid]]=TRUE,_xlfn.NORM.S.DIST(Table1[[#This Row],[Birthweight Z-Score (BW+10%)]],TRUE)*100,"")</f>
        <v/>
      </c>
    </row>
    <row r="8933" spans="1:12" x14ac:dyDescent="0.35">
      <c r="A8933" s="3"/>
      <c r="B8933" s="2"/>
      <c r="C8933" s="2"/>
      <c r="D8933" s="2" t="b">
        <f>IF(AND(NOT(ISBLANK(Table1[[#This Row],[Fetal Sex (Male, Female or Unknown)]])),ISNUMBER(Table1[[#This Row],[Birthweight (grams)]]),ISNUMBER(Table1[[#This Row],[Gestation (days)]])),TRUE,FALSE)</f>
        <v>0</v>
      </c>
      <c r="E8933" s="2" t="str">
        <f>IF(Table1[[#This Row],[Is Data Valid]]=TRUE,IF(Table1[[#This Row],[Fetal Sex (Male, Female or Unknown)]]="Male",Backend!$C$6,IF(Table1[[#This Row],[Fetal Sex (Male, Female or Unknown)]]="Female",Backend!$C$7,IF(Table1[[#This Row],[Fetal Sex (Male, Female or Unknown)]]="Unknown",Backend!$C$8,"Error"))),"")</f>
        <v/>
      </c>
      <c r="F8933" s="8" t="str">
        <f>IF(Table1[[#This Row],[Is Data Valid]]=TRUE,EXP(0.578+0.332*((Table1[[#This Row],[Gestation (days)]]+0.5)/7)-0.00354*((Table1[[#This Row],[Gestation (days)]]+0.5)/7)^2)*Table1[[#This Row],[BW40_3705]],"")</f>
        <v/>
      </c>
      <c r="G8933" s="2" t="str">
        <f>IF(Table1[[#This Row],[Is Data Valid]]=TRUE,((Table1[[#This Row],[Birthweight (grams)]]/Table1[[#This Row],[BW_GA]])-1)/(Backend!$B$4/100*Table1[[#This Row],[BW40_3705]]),"")</f>
        <v/>
      </c>
      <c r="H8933" s="7" t="str">
        <f>IF(Table1[[#This Row],[Is Data Valid]]=TRUE,((Table1[[#This Row],[Birthweight (grams)]]*0.9/Table1[[#This Row],[BW_GA]])-1)/(Backend!$B$4/100*Table1[[#This Row],[BW40_3705]]),"")</f>
        <v/>
      </c>
      <c r="I8933" s="7" t="str">
        <f>IF(Table1[[#This Row],[Is Data Valid]]=TRUE,((Table1[[#This Row],[Birthweight (grams)]]*1.1/Table1[[#This Row],[BW_GA]])-1)/(Backend!$B$4/100*Table1[[#This Row],[BW40_3705]]),"")</f>
        <v/>
      </c>
      <c r="J8933" s="7" t="str">
        <f>IF(Table1[[#This Row],[Is Data Valid]]=TRUE,_xlfn.NORM.S.DIST(Table1[[#This Row],[Birthweight Z-Score]],TRUE)*100,"")</f>
        <v/>
      </c>
      <c r="K8933" s="7" t="str">
        <f>IF(Table1[[#This Row],[Is Data Valid]]=TRUE,_xlfn.NORM.S.DIST(Table1[[#This Row],[Birthweight Z-Score (BW-10%)]],TRUE)*100,"")</f>
        <v/>
      </c>
      <c r="L8933" s="7" t="str">
        <f>IF(Table1[[#This Row],[Is Data Valid]]=TRUE,_xlfn.NORM.S.DIST(Table1[[#This Row],[Birthweight Z-Score (BW+10%)]],TRUE)*100,"")</f>
        <v/>
      </c>
    </row>
    <row r="8934" spans="1:12" x14ac:dyDescent="0.35">
      <c r="A8934" s="3"/>
      <c r="B8934" s="2"/>
      <c r="C8934" s="2"/>
      <c r="D8934" s="2" t="b">
        <f>IF(AND(NOT(ISBLANK(Table1[[#This Row],[Fetal Sex (Male, Female or Unknown)]])),ISNUMBER(Table1[[#This Row],[Birthweight (grams)]]),ISNUMBER(Table1[[#This Row],[Gestation (days)]])),TRUE,FALSE)</f>
        <v>0</v>
      </c>
      <c r="E8934" s="2" t="str">
        <f>IF(Table1[[#This Row],[Is Data Valid]]=TRUE,IF(Table1[[#This Row],[Fetal Sex (Male, Female or Unknown)]]="Male",Backend!$C$6,IF(Table1[[#This Row],[Fetal Sex (Male, Female or Unknown)]]="Female",Backend!$C$7,IF(Table1[[#This Row],[Fetal Sex (Male, Female or Unknown)]]="Unknown",Backend!$C$8,"Error"))),"")</f>
        <v/>
      </c>
      <c r="F8934" s="8" t="str">
        <f>IF(Table1[[#This Row],[Is Data Valid]]=TRUE,EXP(0.578+0.332*((Table1[[#This Row],[Gestation (days)]]+0.5)/7)-0.00354*((Table1[[#This Row],[Gestation (days)]]+0.5)/7)^2)*Table1[[#This Row],[BW40_3705]],"")</f>
        <v/>
      </c>
      <c r="G8934" s="2" t="str">
        <f>IF(Table1[[#This Row],[Is Data Valid]]=TRUE,((Table1[[#This Row],[Birthweight (grams)]]/Table1[[#This Row],[BW_GA]])-1)/(Backend!$B$4/100*Table1[[#This Row],[BW40_3705]]),"")</f>
        <v/>
      </c>
      <c r="H8934" s="7" t="str">
        <f>IF(Table1[[#This Row],[Is Data Valid]]=TRUE,((Table1[[#This Row],[Birthweight (grams)]]*0.9/Table1[[#This Row],[BW_GA]])-1)/(Backend!$B$4/100*Table1[[#This Row],[BW40_3705]]),"")</f>
        <v/>
      </c>
      <c r="I8934" s="7" t="str">
        <f>IF(Table1[[#This Row],[Is Data Valid]]=TRUE,((Table1[[#This Row],[Birthweight (grams)]]*1.1/Table1[[#This Row],[BW_GA]])-1)/(Backend!$B$4/100*Table1[[#This Row],[BW40_3705]]),"")</f>
        <v/>
      </c>
      <c r="J8934" s="7" t="str">
        <f>IF(Table1[[#This Row],[Is Data Valid]]=TRUE,_xlfn.NORM.S.DIST(Table1[[#This Row],[Birthweight Z-Score]],TRUE)*100,"")</f>
        <v/>
      </c>
      <c r="K8934" s="7" t="str">
        <f>IF(Table1[[#This Row],[Is Data Valid]]=TRUE,_xlfn.NORM.S.DIST(Table1[[#This Row],[Birthweight Z-Score (BW-10%)]],TRUE)*100,"")</f>
        <v/>
      </c>
      <c r="L8934" s="7" t="str">
        <f>IF(Table1[[#This Row],[Is Data Valid]]=TRUE,_xlfn.NORM.S.DIST(Table1[[#This Row],[Birthweight Z-Score (BW+10%)]],TRUE)*100,"")</f>
        <v/>
      </c>
    </row>
    <row r="8935" spans="1:12" x14ac:dyDescent="0.35">
      <c r="A8935" s="3"/>
      <c r="B8935" s="2"/>
      <c r="C8935" s="2"/>
      <c r="D8935" s="2" t="b">
        <f>IF(AND(NOT(ISBLANK(Table1[[#This Row],[Fetal Sex (Male, Female or Unknown)]])),ISNUMBER(Table1[[#This Row],[Birthweight (grams)]]),ISNUMBER(Table1[[#This Row],[Gestation (days)]])),TRUE,FALSE)</f>
        <v>0</v>
      </c>
      <c r="E8935" s="2" t="str">
        <f>IF(Table1[[#This Row],[Is Data Valid]]=TRUE,IF(Table1[[#This Row],[Fetal Sex (Male, Female or Unknown)]]="Male",Backend!$C$6,IF(Table1[[#This Row],[Fetal Sex (Male, Female or Unknown)]]="Female",Backend!$C$7,IF(Table1[[#This Row],[Fetal Sex (Male, Female or Unknown)]]="Unknown",Backend!$C$8,"Error"))),"")</f>
        <v/>
      </c>
      <c r="F8935" s="8" t="str">
        <f>IF(Table1[[#This Row],[Is Data Valid]]=TRUE,EXP(0.578+0.332*((Table1[[#This Row],[Gestation (days)]]+0.5)/7)-0.00354*((Table1[[#This Row],[Gestation (days)]]+0.5)/7)^2)*Table1[[#This Row],[BW40_3705]],"")</f>
        <v/>
      </c>
      <c r="G8935" s="2" t="str">
        <f>IF(Table1[[#This Row],[Is Data Valid]]=TRUE,((Table1[[#This Row],[Birthweight (grams)]]/Table1[[#This Row],[BW_GA]])-1)/(Backend!$B$4/100*Table1[[#This Row],[BW40_3705]]),"")</f>
        <v/>
      </c>
      <c r="H8935" s="7" t="str">
        <f>IF(Table1[[#This Row],[Is Data Valid]]=TRUE,((Table1[[#This Row],[Birthweight (grams)]]*0.9/Table1[[#This Row],[BW_GA]])-1)/(Backend!$B$4/100*Table1[[#This Row],[BW40_3705]]),"")</f>
        <v/>
      </c>
      <c r="I8935" s="7" t="str">
        <f>IF(Table1[[#This Row],[Is Data Valid]]=TRUE,((Table1[[#This Row],[Birthweight (grams)]]*1.1/Table1[[#This Row],[BW_GA]])-1)/(Backend!$B$4/100*Table1[[#This Row],[BW40_3705]]),"")</f>
        <v/>
      </c>
      <c r="J8935" s="7" t="str">
        <f>IF(Table1[[#This Row],[Is Data Valid]]=TRUE,_xlfn.NORM.S.DIST(Table1[[#This Row],[Birthweight Z-Score]],TRUE)*100,"")</f>
        <v/>
      </c>
      <c r="K8935" s="7" t="str">
        <f>IF(Table1[[#This Row],[Is Data Valid]]=TRUE,_xlfn.NORM.S.DIST(Table1[[#This Row],[Birthweight Z-Score (BW-10%)]],TRUE)*100,"")</f>
        <v/>
      </c>
      <c r="L8935" s="7" t="str">
        <f>IF(Table1[[#This Row],[Is Data Valid]]=TRUE,_xlfn.NORM.S.DIST(Table1[[#This Row],[Birthweight Z-Score (BW+10%)]],TRUE)*100,"")</f>
        <v/>
      </c>
    </row>
    <row r="8936" spans="1:12" x14ac:dyDescent="0.35">
      <c r="A8936" s="3"/>
      <c r="B8936" s="2"/>
      <c r="C8936" s="2"/>
      <c r="D8936" s="2" t="b">
        <f>IF(AND(NOT(ISBLANK(Table1[[#This Row],[Fetal Sex (Male, Female or Unknown)]])),ISNUMBER(Table1[[#This Row],[Birthweight (grams)]]),ISNUMBER(Table1[[#This Row],[Gestation (days)]])),TRUE,FALSE)</f>
        <v>0</v>
      </c>
      <c r="E8936" s="2" t="str">
        <f>IF(Table1[[#This Row],[Is Data Valid]]=TRUE,IF(Table1[[#This Row],[Fetal Sex (Male, Female or Unknown)]]="Male",Backend!$C$6,IF(Table1[[#This Row],[Fetal Sex (Male, Female or Unknown)]]="Female",Backend!$C$7,IF(Table1[[#This Row],[Fetal Sex (Male, Female or Unknown)]]="Unknown",Backend!$C$8,"Error"))),"")</f>
        <v/>
      </c>
      <c r="F8936" s="8" t="str">
        <f>IF(Table1[[#This Row],[Is Data Valid]]=TRUE,EXP(0.578+0.332*((Table1[[#This Row],[Gestation (days)]]+0.5)/7)-0.00354*((Table1[[#This Row],[Gestation (days)]]+0.5)/7)^2)*Table1[[#This Row],[BW40_3705]],"")</f>
        <v/>
      </c>
      <c r="G8936" s="2" t="str">
        <f>IF(Table1[[#This Row],[Is Data Valid]]=TRUE,((Table1[[#This Row],[Birthweight (grams)]]/Table1[[#This Row],[BW_GA]])-1)/(Backend!$B$4/100*Table1[[#This Row],[BW40_3705]]),"")</f>
        <v/>
      </c>
      <c r="H8936" s="7" t="str">
        <f>IF(Table1[[#This Row],[Is Data Valid]]=TRUE,((Table1[[#This Row],[Birthweight (grams)]]*0.9/Table1[[#This Row],[BW_GA]])-1)/(Backend!$B$4/100*Table1[[#This Row],[BW40_3705]]),"")</f>
        <v/>
      </c>
      <c r="I8936" s="7" t="str">
        <f>IF(Table1[[#This Row],[Is Data Valid]]=TRUE,((Table1[[#This Row],[Birthweight (grams)]]*1.1/Table1[[#This Row],[BW_GA]])-1)/(Backend!$B$4/100*Table1[[#This Row],[BW40_3705]]),"")</f>
        <v/>
      </c>
      <c r="J8936" s="7" t="str">
        <f>IF(Table1[[#This Row],[Is Data Valid]]=TRUE,_xlfn.NORM.S.DIST(Table1[[#This Row],[Birthweight Z-Score]],TRUE)*100,"")</f>
        <v/>
      </c>
      <c r="K8936" s="7" t="str">
        <f>IF(Table1[[#This Row],[Is Data Valid]]=TRUE,_xlfn.NORM.S.DIST(Table1[[#This Row],[Birthweight Z-Score (BW-10%)]],TRUE)*100,"")</f>
        <v/>
      </c>
      <c r="L8936" s="7" t="str">
        <f>IF(Table1[[#This Row],[Is Data Valid]]=TRUE,_xlfn.NORM.S.DIST(Table1[[#This Row],[Birthweight Z-Score (BW+10%)]],TRUE)*100,"")</f>
        <v/>
      </c>
    </row>
    <row r="8937" spans="1:12" x14ac:dyDescent="0.35">
      <c r="A8937" s="3"/>
      <c r="B8937" s="2"/>
      <c r="C8937" s="2"/>
      <c r="D8937" s="2" t="b">
        <f>IF(AND(NOT(ISBLANK(Table1[[#This Row],[Fetal Sex (Male, Female or Unknown)]])),ISNUMBER(Table1[[#This Row],[Birthweight (grams)]]),ISNUMBER(Table1[[#This Row],[Gestation (days)]])),TRUE,FALSE)</f>
        <v>0</v>
      </c>
      <c r="E8937" s="2" t="str">
        <f>IF(Table1[[#This Row],[Is Data Valid]]=TRUE,IF(Table1[[#This Row],[Fetal Sex (Male, Female or Unknown)]]="Male",Backend!$C$6,IF(Table1[[#This Row],[Fetal Sex (Male, Female or Unknown)]]="Female",Backend!$C$7,IF(Table1[[#This Row],[Fetal Sex (Male, Female or Unknown)]]="Unknown",Backend!$C$8,"Error"))),"")</f>
        <v/>
      </c>
      <c r="F8937" s="8" t="str">
        <f>IF(Table1[[#This Row],[Is Data Valid]]=TRUE,EXP(0.578+0.332*((Table1[[#This Row],[Gestation (days)]]+0.5)/7)-0.00354*((Table1[[#This Row],[Gestation (days)]]+0.5)/7)^2)*Table1[[#This Row],[BW40_3705]],"")</f>
        <v/>
      </c>
      <c r="G8937" s="2" t="str">
        <f>IF(Table1[[#This Row],[Is Data Valid]]=TRUE,((Table1[[#This Row],[Birthweight (grams)]]/Table1[[#This Row],[BW_GA]])-1)/(Backend!$B$4/100*Table1[[#This Row],[BW40_3705]]),"")</f>
        <v/>
      </c>
      <c r="H8937" s="7" t="str">
        <f>IF(Table1[[#This Row],[Is Data Valid]]=TRUE,((Table1[[#This Row],[Birthweight (grams)]]*0.9/Table1[[#This Row],[BW_GA]])-1)/(Backend!$B$4/100*Table1[[#This Row],[BW40_3705]]),"")</f>
        <v/>
      </c>
      <c r="I8937" s="7" t="str">
        <f>IF(Table1[[#This Row],[Is Data Valid]]=TRUE,((Table1[[#This Row],[Birthweight (grams)]]*1.1/Table1[[#This Row],[BW_GA]])-1)/(Backend!$B$4/100*Table1[[#This Row],[BW40_3705]]),"")</f>
        <v/>
      </c>
      <c r="J8937" s="7" t="str">
        <f>IF(Table1[[#This Row],[Is Data Valid]]=TRUE,_xlfn.NORM.S.DIST(Table1[[#This Row],[Birthweight Z-Score]],TRUE)*100,"")</f>
        <v/>
      </c>
      <c r="K8937" s="7" t="str">
        <f>IF(Table1[[#This Row],[Is Data Valid]]=TRUE,_xlfn.NORM.S.DIST(Table1[[#This Row],[Birthweight Z-Score (BW-10%)]],TRUE)*100,"")</f>
        <v/>
      </c>
      <c r="L8937" s="7" t="str">
        <f>IF(Table1[[#This Row],[Is Data Valid]]=TRUE,_xlfn.NORM.S.DIST(Table1[[#This Row],[Birthweight Z-Score (BW+10%)]],TRUE)*100,"")</f>
        <v/>
      </c>
    </row>
    <row r="8938" spans="1:12" x14ac:dyDescent="0.35">
      <c r="A8938" s="3"/>
      <c r="B8938" s="2"/>
      <c r="C8938" s="2"/>
      <c r="D8938" s="2" t="b">
        <f>IF(AND(NOT(ISBLANK(Table1[[#This Row],[Fetal Sex (Male, Female or Unknown)]])),ISNUMBER(Table1[[#This Row],[Birthweight (grams)]]),ISNUMBER(Table1[[#This Row],[Gestation (days)]])),TRUE,FALSE)</f>
        <v>0</v>
      </c>
      <c r="E8938" s="2" t="str">
        <f>IF(Table1[[#This Row],[Is Data Valid]]=TRUE,IF(Table1[[#This Row],[Fetal Sex (Male, Female or Unknown)]]="Male",Backend!$C$6,IF(Table1[[#This Row],[Fetal Sex (Male, Female or Unknown)]]="Female",Backend!$C$7,IF(Table1[[#This Row],[Fetal Sex (Male, Female or Unknown)]]="Unknown",Backend!$C$8,"Error"))),"")</f>
        <v/>
      </c>
      <c r="F8938" s="8" t="str">
        <f>IF(Table1[[#This Row],[Is Data Valid]]=TRUE,EXP(0.578+0.332*((Table1[[#This Row],[Gestation (days)]]+0.5)/7)-0.00354*((Table1[[#This Row],[Gestation (days)]]+0.5)/7)^2)*Table1[[#This Row],[BW40_3705]],"")</f>
        <v/>
      </c>
      <c r="G8938" s="2" t="str">
        <f>IF(Table1[[#This Row],[Is Data Valid]]=TRUE,((Table1[[#This Row],[Birthweight (grams)]]/Table1[[#This Row],[BW_GA]])-1)/(Backend!$B$4/100*Table1[[#This Row],[BW40_3705]]),"")</f>
        <v/>
      </c>
      <c r="H8938" s="7" t="str">
        <f>IF(Table1[[#This Row],[Is Data Valid]]=TRUE,((Table1[[#This Row],[Birthweight (grams)]]*0.9/Table1[[#This Row],[BW_GA]])-1)/(Backend!$B$4/100*Table1[[#This Row],[BW40_3705]]),"")</f>
        <v/>
      </c>
      <c r="I8938" s="7" t="str">
        <f>IF(Table1[[#This Row],[Is Data Valid]]=TRUE,((Table1[[#This Row],[Birthweight (grams)]]*1.1/Table1[[#This Row],[BW_GA]])-1)/(Backend!$B$4/100*Table1[[#This Row],[BW40_3705]]),"")</f>
        <v/>
      </c>
      <c r="J8938" s="7" t="str">
        <f>IF(Table1[[#This Row],[Is Data Valid]]=TRUE,_xlfn.NORM.S.DIST(Table1[[#This Row],[Birthweight Z-Score]],TRUE)*100,"")</f>
        <v/>
      </c>
      <c r="K8938" s="7" t="str">
        <f>IF(Table1[[#This Row],[Is Data Valid]]=TRUE,_xlfn.NORM.S.DIST(Table1[[#This Row],[Birthweight Z-Score (BW-10%)]],TRUE)*100,"")</f>
        <v/>
      </c>
      <c r="L8938" s="7" t="str">
        <f>IF(Table1[[#This Row],[Is Data Valid]]=TRUE,_xlfn.NORM.S.DIST(Table1[[#This Row],[Birthweight Z-Score (BW+10%)]],TRUE)*100,"")</f>
        <v/>
      </c>
    </row>
    <row r="8939" spans="1:12" x14ac:dyDescent="0.35">
      <c r="A8939" s="3"/>
      <c r="B8939" s="2"/>
      <c r="C8939" s="2"/>
      <c r="D8939" s="2" t="b">
        <f>IF(AND(NOT(ISBLANK(Table1[[#This Row],[Fetal Sex (Male, Female or Unknown)]])),ISNUMBER(Table1[[#This Row],[Birthweight (grams)]]),ISNUMBER(Table1[[#This Row],[Gestation (days)]])),TRUE,FALSE)</f>
        <v>0</v>
      </c>
      <c r="E8939" s="2" t="str">
        <f>IF(Table1[[#This Row],[Is Data Valid]]=TRUE,IF(Table1[[#This Row],[Fetal Sex (Male, Female or Unknown)]]="Male",Backend!$C$6,IF(Table1[[#This Row],[Fetal Sex (Male, Female or Unknown)]]="Female",Backend!$C$7,IF(Table1[[#This Row],[Fetal Sex (Male, Female or Unknown)]]="Unknown",Backend!$C$8,"Error"))),"")</f>
        <v/>
      </c>
      <c r="F8939" s="8" t="str">
        <f>IF(Table1[[#This Row],[Is Data Valid]]=TRUE,EXP(0.578+0.332*((Table1[[#This Row],[Gestation (days)]]+0.5)/7)-0.00354*((Table1[[#This Row],[Gestation (days)]]+0.5)/7)^2)*Table1[[#This Row],[BW40_3705]],"")</f>
        <v/>
      </c>
      <c r="G8939" s="2" t="str">
        <f>IF(Table1[[#This Row],[Is Data Valid]]=TRUE,((Table1[[#This Row],[Birthweight (grams)]]/Table1[[#This Row],[BW_GA]])-1)/(Backend!$B$4/100*Table1[[#This Row],[BW40_3705]]),"")</f>
        <v/>
      </c>
      <c r="H8939" s="7" t="str">
        <f>IF(Table1[[#This Row],[Is Data Valid]]=TRUE,((Table1[[#This Row],[Birthweight (grams)]]*0.9/Table1[[#This Row],[BW_GA]])-1)/(Backend!$B$4/100*Table1[[#This Row],[BW40_3705]]),"")</f>
        <v/>
      </c>
      <c r="I8939" s="7" t="str">
        <f>IF(Table1[[#This Row],[Is Data Valid]]=TRUE,((Table1[[#This Row],[Birthweight (grams)]]*1.1/Table1[[#This Row],[BW_GA]])-1)/(Backend!$B$4/100*Table1[[#This Row],[BW40_3705]]),"")</f>
        <v/>
      </c>
      <c r="J8939" s="7" t="str">
        <f>IF(Table1[[#This Row],[Is Data Valid]]=TRUE,_xlfn.NORM.S.DIST(Table1[[#This Row],[Birthweight Z-Score]],TRUE)*100,"")</f>
        <v/>
      </c>
      <c r="K8939" s="7" t="str">
        <f>IF(Table1[[#This Row],[Is Data Valid]]=TRUE,_xlfn.NORM.S.DIST(Table1[[#This Row],[Birthweight Z-Score (BW-10%)]],TRUE)*100,"")</f>
        <v/>
      </c>
      <c r="L8939" s="7" t="str">
        <f>IF(Table1[[#This Row],[Is Data Valid]]=TRUE,_xlfn.NORM.S.DIST(Table1[[#This Row],[Birthweight Z-Score (BW+10%)]],TRUE)*100,"")</f>
        <v/>
      </c>
    </row>
    <row r="8940" spans="1:12" x14ac:dyDescent="0.35">
      <c r="A8940" s="3"/>
      <c r="B8940" s="2"/>
      <c r="C8940" s="2"/>
      <c r="D8940" s="2" t="b">
        <f>IF(AND(NOT(ISBLANK(Table1[[#This Row],[Fetal Sex (Male, Female or Unknown)]])),ISNUMBER(Table1[[#This Row],[Birthweight (grams)]]),ISNUMBER(Table1[[#This Row],[Gestation (days)]])),TRUE,FALSE)</f>
        <v>0</v>
      </c>
      <c r="E8940" s="2" t="str">
        <f>IF(Table1[[#This Row],[Is Data Valid]]=TRUE,IF(Table1[[#This Row],[Fetal Sex (Male, Female or Unknown)]]="Male",Backend!$C$6,IF(Table1[[#This Row],[Fetal Sex (Male, Female or Unknown)]]="Female",Backend!$C$7,IF(Table1[[#This Row],[Fetal Sex (Male, Female or Unknown)]]="Unknown",Backend!$C$8,"Error"))),"")</f>
        <v/>
      </c>
      <c r="F8940" s="8" t="str">
        <f>IF(Table1[[#This Row],[Is Data Valid]]=TRUE,EXP(0.578+0.332*((Table1[[#This Row],[Gestation (days)]]+0.5)/7)-0.00354*((Table1[[#This Row],[Gestation (days)]]+0.5)/7)^2)*Table1[[#This Row],[BW40_3705]],"")</f>
        <v/>
      </c>
      <c r="G8940" s="2" t="str">
        <f>IF(Table1[[#This Row],[Is Data Valid]]=TRUE,((Table1[[#This Row],[Birthweight (grams)]]/Table1[[#This Row],[BW_GA]])-1)/(Backend!$B$4/100*Table1[[#This Row],[BW40_3705]]),"")</f>
        <v/>
      </c>
      <c r="H8940" s="7" t="str">
        <f>IF(Table1[[#This Row],[Is Data Valid]]=TRUE,((Table1[[#This Row],[Birthweight (grams)]]*0.9/Table1[[#This Row],[BW_GA]])-1)/(Backend!$B$4/100*Table1[[#This Row],[BW40_3705]]),"")</f>
        <v/>
      </c>
      <c r="I8940" s="7" t="str">
        <f>IF(Table1[[#This Row],[Is Data Valid]]=TRUE,((Table1[[#This Row],[Birthweight (grams)]]*1.1/Table1[[#This Row],[BW_GA]])-1)/(Backend!$B$4/100*Table1[[#This Row],[BW40_3705]]),"")</f>
        <v/>
      </c>
      <c r="J8940" s="7" t="str">
        <f>IF(Table1[[#This Row],[Is Data Valid]]=TRUE,_xlfn.NORM.S.DIST(Table1[[#This Row],[Birthweight Z-Score]],TRUE)*100,"")</f>
        <v/>
      </c>
      <c r="K8940" s="7" t="str">
        <f>IF(Table1[[#This Row],[Is Data Valid]]=TRUE,_xlfn.NORM.S.DIST(Table1[[#This Row],[Birthweight Z-Score (BW-10%)]],TRUE)*100,"")</f>
        <v/>
      </c>
      <c r="L8940" s="7" t="str">
        <f>IF(Table1[[#This Row],[Is Data Valid]]=TRUE,_xlfn.NORM.S.DIST(Table1[[#This Row],[Birthweight Z-Score (BW+10%)]],TRUE)*100,"")</f>
        <v/>
      </c>
    </row>
    <row r="8941" spans="1:12" x14ac:dyDescent="0.35">
      <c r="A8941" s="3"/>
      <c r="B8941" s="2"/>
      <c r="C8941" s="2"/>
      <c r="D8941" s="2" t="b">
        <f>IF(AND(NOT(ISBLANK(Table1[[#This Row],[Fetal Sex (Male, Female or Unknown)]])),ISNUMBER(Table1[[#This Row],[Birthweight (grams)]]),ISNUMBER(Table1[[#This Row],[Gestation (days)]])),TRUE,FALSE)</f>
        <v>0</v>
      </c>
      <c r="E8941" s="2" t="str">
        <f>IF(Table1[[#This Row],[Is Data Valid]]=TRUE,IF(Table1[[#This Row],[Fetal Sex (Male, Female or Unknown)]]="Male",Backend!$C$6,IF(Table1[[#This Row],[Fetal Sex (Male, Female or Unknown)]]="Female",Backend!$C$7,IF(Table1[[#This Row],[Fetal Sex (Male, Female or Unknown)]]="Unknown",Backend!$C$8,"Error"))),"")</f>
        <v/>
      </c>
      <c r="F8941" s="8" t="str">
        <f>IF(Table1[[#This Row],[Is Data Valid]]=TRUE,EXP(0.578+0.332*((Table1[[#This Row],[Gestation (days)]]+0.5)/7)-0.00354*((Table1[[#This Row],[Gestation (days)]]+0.5)/7)^2)*Table1[[#This Row],[BW40_3705]],"")</f>
        <v/>
      </c>
      <c r="G8941" s="2" t="str">
        <f>IF(Table1[[#This Row],[Is Data Valid]]=TRUE,((Table1[[#This Row],[Birthweight (grams)]]/Table1[[#This Row],[BW_GA]])-1)/(Backend!$B$4/100*Table1[[#This Row],[BW40_3705]]),"")</f>
        <v/>
      </c>
      <c r="H8941" s="7" t="str">
        <f>IF(Table1[[#This Row],[Is Data Valid]]=TRUE,((Table1[[#This Row],[Birthweight (grams)]]*0.9/Table1[[#This Row],[BW_GA]])-1)/(Backend!$B$4/100*Table1[[#This Row],[BW40_3705]]),"")</f>
        <v/>
      </c>
      <c r="I8941" s="7" t="str">
        <f>IF(Table1[[#This Row],[Is Data Valid]]=TRUE,((Table1[[#This Row],[Birthweight (grams)]]*1.1/Table1[[#This Row],[BW_GA]])-1)/(Backend!$B$4/100*Table1[[#This Row],[BW40_3705]]),"")</f>
        <v/>
      </c>
      <c r="J8941" s="7" t="str">
        <f>IF(Table1[[#This Row],[Is Data Valid]]=TRUE,_xlfn.NORM.S.DIST(Table1[[#This Row],[Birthweight Z-Score]],TRUE)*100,"")</f>
        <v/>
      </c>
      <c r="K8941" s="7" t="str">
        <f>IF(Table1[[#This Row],[Is Data Valid]]=TRUE,_xlfn.NORM.S.DIST(Table1[[#This Row],[Birthweight Z-Score (BW-10%)]],TRUE)*100,"")</f>
        <v/>
      </c>
      <c r="L8941" s="7" t="str">
        <f>IF(Table1[[#This Row],[Is Data Valid]]=TRUE,_xlfn.NORM.S.DIST(Table1[[#This Row],[Birthweight Z-Score (BW+10%)]],TRUE)*100,"")</f>
        <v/>
      </c>
    </row>
    <row r="8942" spans="1:12" x14ac:dyDescent="0.35">
      <c r="A8942" s="3"/>
      <c r="B8942" s="2"/>
      <c r="C8942" s="2"/>
      <c r="D8942" s="2" t="b">
        <f>IF(AND(NOT(ISBLANK(Table1[[#This Row],[Fetal Sex (Male, Female or Unknown)]])),ISNUMBER(Table1[[#This Row],[Birthweight (grams)]]),ISNUMBER(Table1[[#This Row],[Gestation (days)]])),TRUE,FALSE)</f>
        <v>0</v>
      </c>
      <c r="E8942" s="2" t="str">
        <f>IF(Table1[[#This Row],[Is Data Valid]]=TRUE,IF(Table1[[#This Row],[Fetal Sex (Male, Female or Unknown)]]="Male",Backend!$C$6,IF(Table1[[#This Row],[Fetal Sex (Male, Female or Unknown)]]="Female",Backend!$C$7,IF(Table1[[#This Row],[Fetal Sex (Male, Female or Unknown)]]="Unknown",Backend!$C$8,"Error"))),"")</f>
        <v/>
      </c>
      <c r="F8942" s="8" t="str">
        <f>IF(Table1[[#This Row],[Is Data Valid]]=TRUE,EXP(0.578+0.332*((Table1[[#This Row],[Gestation (days)]]+0.5)/7)-0.00354*((Table1[[#This Row],[Gestation (days)]]+0.5)/7)^2)*Table1[[#This Row],[BW40_3705]],"")</f>
        <v/>
      </c>
      <c r="G8942" s="2" t="str">
        <f>IF(Table1[[#This Row],[Is Data Valid]]=TRUE,((Table1[[#This Row],[Birthweight (grams)]]/Table1[[#This Row],[BW_GA]])-1)/(Backend!$B$4/100*Table1[[#This Row],[BW40_3705]]),"")</f>
        <v/>
      </c>
      <c r="H8942" s="7" t="str">
        <f>IF(Table1[[#This Row],[Is Data Valid]]=TRUE,((Table1[[#This Row],[Birthweight (grams)]]*0.9/Table1[[#This Row],[BW_GA]])-1)/(Backend!$B$4/100*Table1[[#This Row],[BW40_3705]]),"")</f>
        <v/>
      </c>
      <c r="I8942" s="7" t="str">
        <f>IF(Table1[[#This Row],[Is Data Valid]]=TRUE,((Table1[[#This Row],[Birthweight (grams)]]*1.1/Table1[[#This Row],[BW_GA]])-1)/(Backend!$B$4/100*Table1[[#This Row],[BW40_3705]]),"")</f>
        <v/>
      </c>
      <c r="J8942" s="7" t="str">
        <f>IF(Table1[[#This Row],[Is Data Valid]]=TRUE,_xlfn.NORM.S.DIST(Table1[[#This Row],[Birthweight Z-Score]],TRUE)*100,"")</f>
        <v/>
      </c>
      <c r="K8942" s="7" t="str">
        <f>IF(Table1[[#This Row],[Is Data Valid]]=TRUE,_xlfn.NORM.S.DIST(Table1[[#This Row],[Birthweight Z-Score (BW-10%)]],TRUE)*100,"")</f>
        <v/>
      </c>
      <c r="L8942" s="7" t="str">
        <f>IF(Table1[[#This Row],[Is Data Valid]]=TRUE,_xlfn.NORM.S.DIST(Table1[[#This Row],[Birthweight Z-Score (BW+10%)]],TRUE)*100,"")</f>
        <v/>
      </c>
    </row>
    <row r="8943" spans="1:12" x14ac:dyDescent="0.35">
      <c r="A8943" s="3"/>
      <c r="B8943" s="2"/>
      <c r="C8943" s="2"/>
      <c r="D8943" s="2" t="b">
        <f>IF(AND(NOT(ISBLANK(Table1[[#This Row],[Fetal Sex (Male, Female or Unknown)]])),ISNUMBER(Table1[[#This Row],[Birthweight (grams)]]),ISNUMBER(Table1[[#This Row],[Gestation (days)]])),TRUE,FALSE)</f>
        <v>0</v>
      </c>
      <c r="E8943" s="2" t="str">
        <f>IF(Table1[[#This Row],[Is Data Valid]]=TRUE,IF(Table1[[#This Row],[Fetal Sex (Male, Female or Unknown)]]="Male",Backend!$C$6,IF(Table1[[#This Row],[Fetal Sex (Male, Female or Unknown)]]="Female",Backend!$C$7,IF(Table1[[#This Row],[Fetal Sex (Male, Female or Unknown)]]="Unknown",Backend!$C$8,"Error"))),"")</f>
        <v/>
      </c>
      <c r="F8943" s="8" t="str">
        <f>IF(Table1[[#This Row],[Is Data Valid]]=TRUE,EXP(0.578+0.332*((Table1[[#This Row],[Gestation (days)]]+0.5)/7)-0.00354*((Table1[[#This Row],[Gestation (days)]]+0.5)/7)^2)*Table1[[#This Row],[BW40_3705]],"")</f>
        <v/>
      </c>
      <c r="G8943" s="2" t="str">
        <f>IF(Table1[[#This Row],[Is Data Valid]]=TRUE,((Table1[[#This Row],[Birthweight (grams)]]/Table1[[#This Row],[BW_GA]])-1)/(Backend!$B$4/100*Table1[[#This Row],[BW40_3705]]),"")</f>
        <v/>
      </c>
      <c r="H8943" s="7" t="str">
        <f>IF(Table1[[#This Row],[Is Data Valid]]=TRUE,((Table1[[#This Row],[Birthweight (grams)]]*0.9/Table1[[#This Row],[BW_GA]])-1)/(Backend!$B$4/100*Table1[[#This Row],[BW40_3705]]),"")</f>
        <v/>
      </c>
      <c r="I8943" s="7" t="str">
        <f>IF(Table1[[#This Row],[Is Data Valid]]=TRUE,((Table1[[#This Row],[Birthweight (grams)]]*1.1/Table1[[#This Row],[BW_GA]])-1)/(Backend!$B$4/100*Table1[[#This Row],[BW40_3705]]),"")</f>
        <v/>
      </c>
      <c r="J8943" s="7" t="str">
        <f>IF(Table1[[#This Row],[Is Data Valid]]=TRUE,_xlfn.NORM.S.DIST(Table1[[#This Row],[Birthweight Z-Score]],TRUE)*100,"")</f>
        <v/>
      </c>
      <c r="K8943" s="7" t="str">
        <f>IF(Table1[[#This Row],[Is Data Valid]]=TRUE,_xlfn.NORM.S.DIST(Table1[[#This Row],[Birthweight Z-Score (BW-10%)]],TRUE)*100,"")</f>
        <v/>
      </c>
      <c r="L8943" s="7" t="str">
        <f>IF(Table1[[#This Row],[Is Data Valid]]=TRUE,_xlfn.NORM.S.DIST(Table1[[#This Row],[Birthweight Z-Score (BW+10%)]],TRUE)*100,"")</f>
        <v/>
      </c>
    </row>
    <row r="8944" spans="1:12" x14ac:dyDescent="0.35">
      <c r="A8944" s="3"/>
      <c r="B8944" s="2"/>
      <c r="C8944" s="2"/>
      <c r="D8944" s="2" t="b">
        <f>IF(AND(NOT(ISBLANK(Table1[[#This Row],[Fetal Sex (Male, Female or Unknown)]])),ISNUMBER(Table1[[#This Row],[Birthweight (grams)]]),ISNUMBER(Table1[[#This Row],[Gestation (days)]])),TRUE,FALSE)</f>
        <v>0</v>
      </c>
      <c r="E8944" s="2" t="str">
        <f>IF(Table1[[#This Row],[Is Data Valid]]=TRUE,IF(Table1[[#This Row],[Fetal Sex (Male, Female or Unknown)]]="Male",Backend!$C$6,IF(Table1[[#This Row],[Fetal Sex (Male, Female or Unknown)]]="Female",Backend!$C$7,IF(Table1[[#This Row],[Fetal Sex (Male, Female or Unknown)]]="Unknown",Backend!$C$8,"Error"))),"")</f>
        <v/>
      </c>
      <c r="F8944" s="8" t="str">
        <f>IF(Table1[[#This Row],[Is Data Valid]]=TRUE,EXP(0.578+0.332*((Table1[[#This Row],[Gestation (days)]]+0.5)/7)-0.00354*((Table1[[#This Row],[Gestation (days)]]+0.5)/7)^2)*Table1[[#This Row],[BW40_3705]],"")</f>
        <v/>
      </c>
      <c r="G8944" s="2" t="str">
        <f>IF(Table1[[#This Row],[Is Data Valid]]=TRUE,((Table1[[#This Row],[Birthweight (grams)]]/Table1[[#This Row],[BW_GA]])-1)/(Backend!$B$4/100*Table1[[#This Row],[BW40_3705]]),"")</f>
        <v/>
      </c>
      <c r="H8944" s="7" t="str">
        <f>IF(Table1[[#This Row],[Is Data Valid]]=TRUE,((Table1[[#This Row],[Birthweight (grams)]]*0.9/Table1[[#This Row],[BW_GA]])-1)/(Backend!$B$4/100*Table1[[#This Row],[BW40_3705]]),"")</f>
        <v/>
      </c>
      <c r="I8944" s="7" t="str">
        <f>IF(Table1[[#This Row],[Is Data Valid]]=TRUE,((Table1[[#This Row],[Birthweight (grams)]]*1.1/Table1[[#This Row],[BW_GA]])-1)/(Backend!$B$4/100*Table1[[#This Row],[BW40_3705]]),"")</f>
        <v/>
      </c>
      <c r="J8944" s="7" t="str">
        <f>IF(Table1[[#This Row],[Is Data Valid]]=TRUE,_xlfn.NORM.S.DIST(Table1[[#This Row],[Birthweight Z-Score]],TRUE)*100,"")</f>
        <v/>
      </c>
      <c r="K8944" s="7" t="str">
        <f>IF(Table1[[#This Row],[Is Data Valid]]=TRUE,_xlfn.NORM.S.DIST(Table1[[#This Row],[Birthweight Z-Score (BW-10%)]],TRUE)*100,"")</f>
        <v/>
      </c>
      <c r="L8944" s="7" t="str">
        <f>IF(Table1[[#This Row],[Is Data Valid]]=TRUE,_xlfn.NORM.S.DIST(Table1[[#This Row],[Birthweight Z-Score (BW+10%)]],TRUE)*100,"")</f>
        <v/>
      </c>
    </row>
    <row r="8945" spans="1:12" x14ac:dyDescent="0.35">
      <c r="A8945" s="3"/>
      <c r="B8945" s="2"/>
      <c r="C8945" s="2"/>
      <c r="D8945" s="2" t="b">
        <f>IF(AND(NOT(ISBLANK(Table1[[#This Row],[Fetal Sex (Male, Female or Unknown)]])),ISNUMBER(Table1[[#This Row],[Birthweight (grams)]]),ISNUMBER(Table1[[#This Row],[Gestation (days)]])),TRUE,FALSE)</f>
        <v>0</v>
      </c>
      <c r="E8945" s="2" t="str">
        <f>IF(Table1[[#This Row],[Is Data Valid]]=TRUE,IF(Table1[[#This Row],[Fetal Sex (Male, Female or Unknown)]]="Male",Backend!$C$6,IF(Table1[[#This Row],[Fetal Sex (Male, Female or Unknown)]]="Female",Backend!$C$7,IF(Table1[[#This Row],[Fetal Sex (Male, Female or Unknown)]]="Unknown",Backend!$C$8,"Error"))),"")</f>
        <v/>
      </c>
      <c r="F8945" s="8" t="str">
        <f>IF(Table1[[#This Row],[Is Data Valid]]=TRUE,EXP(0.578+0.332*((Table1[[#This Row],[Gestation (days)]]+0.5)/7)-0.00354*((Table1[[#This Row],[Gestation (days)]]+0.5)/7)^2)*Table1[[#This Row],[BW40_3705]],"")</f>
        <v/>
      </c>
      <c r="G8945" s="2" t="str">
        <f>IF(Table1[[#This Row],[Is Data Valid]]=TRUE,((Table1[[#This Row],[Birthweight (grams)]]/Table1[[#This Row],[BW_GA]])-1)/(Backend!$B$4/100*Table1[[#This Row],[BW40_3705]]),"")</f>
        <v/>
      </c>
      <c r="H8945" s="7" t="str">
        <f>IF(Table1[[#This Row],[Is Data Valid]]=TRUE,((Table1[[#This Row],[Birthweight (grams)]]*0.9/Table1[[#This Row],[BW_GA]])-1)/(Backend!$B$4/100*Table1[[#This Row],[BW40_3705]]),"")</f>
        <v/>
      </c>
      <c r="I8945" s="7" t="str">
        <f>IF(Table1[[#This Row],[Is Data Valid]]=TRUE,((Table1[[#This Row],[Birthweight (grams)]]*1.1/Table1[[#This Row],[BW_GA]])-1)/(Backend!$B$4/100*Table1[[#This Row],[BW40_3705]]),"")</f>
        <v/>
      </c>
      <c r="J8945" s="7" t="str">
        <f>IF(Table1[[#This Row],[Is Data Valid]]=TRUE,_xlfn.NORM.S.DIST(Table1[[#This Row],[Birthweight Z-Score]],TRUE)*100,"")</f>
        <v/>
      </c>
      <c r="K8945" s="7" t="str">
        <f>IF(Table1[[#This Row],[Is Data Valid]]=TRUE,_xlfn.NORM.S.DIST(Table1[[#This Row],[Birthweight Z-Score (BW-10%)]],TRUE)*100,"")</f>
        <v/>
      </c>
      <c r="L8945" s="7" t="str">
        <f>IF(Table1[[#This Row],[Is Data Valid]]=TRUE,_xlfn.NORM.S.DIST(Table1[[#This Row],[Birthweight Z-Score (BW+10%)]],TRUE)*100,"")</f>
        <v/>
      </c>
    </row>
    <row r="8946" spans="1:12" x14ac:dyDescent="0.35">
      <c r="A8946" s="3"/>
      <c r="B8946" s="2"/>
      <c r="C8946" s="2"/>
      <c r="D8946" s="2" t="b">
        <f>IF(AND(NOT(ISBLANK(Table1[[#This Row],[Fetal Sex (Male, Female or Unknown)]])),ISNUMBER(Table1[[#This Row],[Birthweight (grams)]]),ISNUMBER(Table1[[#This Row],[Gestation (days)]])),TRUE,FALSE)</f>
        <v>0</v>
      </c>
      <c r="E8946" s="2" t="str">
        <f>IF(Table1[[#This Row],[Is Data Valid]]=TRUE,IF(Table1[[#This Row],[Fetal Sex (Male, Female or Unknown)]]="Male",Backend!$C$6,IF(Table1[[#This Row],[Fetal Sex (Male, Female or Unknown)]]="Female",Backend!$C$7,IF(Table1[[#This Row],[Fetal Sex (Male, Female or Unknown)]]="Unknown",Backend!$C$8,"Error"))),"")</f>
        <v/>
      </c>
      <c r="F8946" s="8" t="str">
        <f>IF(Table1[[#This Row],[Is Data Valid]]=TRUE,EXP(0.578+0.332*((Table1[[#This Row],[Gestation (days)]]+0.5)/7)-0.00354*((Table1[[#This Row],[Gestation (days)]]+0.5)/7)^2)*Table1[[#This Row],[BW40_3705]],"")</f>
        <v/>
      </c>
      <c r="G8946" s="2" t="str">
        <f>IF(Table1[[#This Row],[Is Data Valid]]=TRUE,((Table1[[#This Row],[Birthweight (grams)]]/Table1[[#This Row],[BW_GA]])-1)/(Backend!$B$4/100*Table1[[#This Row],[BW40_3705]]),"")</f>
        <v/>
      </c>
      <c r="H8946" s="7" t="str">
        <f>IF(Table1[[#This Row],[Is Data Valid]]=TRUE,((Table1[[#This Row],[Birthweight (grams)]]*0.9/Table1[[#This Row],[BW_GA]])-1)/(Backend!$B$4/100*Table1[[#This Row],[BW40_3705]]),"")</f>
        <v/>
      </c>
      <c r="I8946" s="7" t="str">
        <f>IF(Table1[[#This Row],[Is Data Valid]]=TRUE,((Table1[[#This Row],[Birthweight (grams)]]*1.1/Table1[[#This Row],[BW_GA]])-1)/(Backend!$B$4/100*Table1[[#This Row],[BW40_3705]]),"")</f>
        <v/>
      </c>
      <c r="J8946" s="7" t="str">
        <f>IF(Table1[[#This Row],[Is Data Valid]]=TRUE,_xlfn.NORM.S.DIST(Table1[[#This Row],[Birthweight Z-Score]],TRUE)*100,"")</f>
        <v/>
      </c>
      <c r="K8946" s="7" t="str">
        <f>IF(Table1[[#This Row],[Is Data Valid]]=TRUE,_xlfn.NORM.S.DIST(Table1[[#This Row],[Birthweight Z-Score (BW-10%)]],TRUE)*100,"")</f>
        <v/>
      </c>
      <c r="L8946" s="7" t="str">
        <f>IF(Table1[[#This Row],[Is Data Valid]]=TRUE,_xlfn.NORM.S.DIST(Table1[[#This Row],[Birthweight Z-Score (BW+10%)]],TRUE)*100,"")</f>
        <v/>
      </c>
    </row>
    <row r="8947" spans="1:12" x14ac:dyDescent="0.35">
      <c r="A8947" s="3"/>
      <c r="B8947" s="2"/>
      <c r="C8947" s="2"/>
      <c r="D8947" s="2" t="b">
        <f>IF(AND(NOT(ISBLANK(Table1[[#This Row],[Fetal Sex (Male, Female or Unknown)]])),ISNUMBER(Table1[[#This Row],[Birthweight (grams)]]),ISNUMBER(Table1[[#This Row],[Gestation (days)]])),TRUE,FALSE)</f>
        <v>0</v>
      </c>
      <c r="E8947" s="2" t="str">
        <f>IF(Table1[[#This Row],[Is Data Valid]]=TRUE,IF(Table1[[#This Row],[Fetal Sex (Male, Female or Unknown)]]="Male",Backend!$C$6,IF(Table1[[#This Row],[Fetal Sex (Male, Female or Unknown)]]="Female",Backend!$C$7,IF(Table1[[#This Row],[Fetal Sex (Male, Female or Unknown)]]="Unknown",Backend!$C$8,"Error"))),"")</f>
        <v/>
      </c>
      <c r="F8947" s="8" t="str">
        <f>IF(Table1[[#This Row],[Is Data Valid]]=TRUE,EXP(0.578+0.332*((Table1[[#This Row],[Gestation (days)]]+0.5)/7)-0.00354*((Table1[[#This Row],[Gestation (days)]]+0.5)/7)^2)*Table1[[#This Row],[BW40_3705]],"")</f>
        <v/>
      </c>
      <c r="G8947" s="2" t="str">
        <f>IF(Table1[[#This Row],[Is Data Valid]]=TRUE,((Table1[[#This Row],[Birthweight (grams)]]/Table1[[#This Row],[BW_GA]])-1)/(Backend!$B$4/100*Table1[[#This Row],[BW40_3705]]),"")</f>
        <v/>
      </c>
      <c r="H8947" s="7" t="str">
        <f>IF(Table1[[#This Row],[Is Data Valid]]=TRUE,((Table1[[#This Row],[Birthweight (grams)]]*0.9/Table1[[#This Row],[BW_GA]])-1)/(Backend!$B$4/100*Table1[[#This Row],[BW40_3705]]),"")</f>
        <v/>
      </c>
      <c r="I8947" s="7" t="str">
        <f>IF(Table1[[#This Row],[Is Data Valid]]=TRUE,((Table1[[#This Row],[Birthweight (grams)]]*1.1/Table1[[#This Row],[BW_GA]])-1)/(Backend!$B$4/100*Table1[[#This Row],[BW40_3705]]),"")</f>
        <v/>
      </c>
      <c r="J8947" s="7" t="str">
        <f>IF(Table1[[#This Row],[Is Data Valid]]=TRUE,_xlfn.NORM.S.DIST(Table1[[#This Row],[Birthweight Z-Score]],TRUE)*100,"")</f>
        <v/>
      </c>
      <c r="K8947" s="7" t="str">
        <f>IF(Table1[[#This Row],[Is Data Valid]]=TRUE,_xlfn.NORM.S.DIST(Table1[[#This Row],[Birthweight Z-Score (BW-10%)]],TRUE)*100,"")</f>
        <v/>
      </c>
      <c r="L8947" s="7" t="str">
        <f>IF(Table1[[#This Row],[Is Data Valid]]=TRUE,_xlfn.NORM.S.DIST(Table1[[#This Row],[Birthweight Z-Score (BW+10%)]],TRUE)*100,"")</f>
        <v/>
      </c>
    </row>
    <row r="8948" spans="1:12" x14ac:dyDescent="0.35">
      <c r="A8948" s="3"/>
      <c r="B8948" s="2"/>
      <c r="C8948" s="2"/>
      <c r="D8948" s="2" t="b">
        <f>IF(AND(NOT(ISBLANK(Table1[[#This Row],[Fetal Sex (Male, Female or Unknown)]])),ISNUMBER(Table1[[#This Row],[Birthweight (grams)]]),ISNUMBER(Table1[[#This Row],[Gestation (days)]])),TRUE,FALSE)</f>
        <v>0</v>
      </c>
      <c r="E8948" s="2" t="str">
        <f>IF(Table1[[#This Row],[Is Data Valid]]=TRUE,IF(Table1[[#This Row],[Fetal Sex (Male, Female or Unknown)]]="Male",Backend!$C$6,IF(Table1[[#This Row],[Fetal Sex (Male, Female or Unknown)]]="Female",Backend!$C$7,IF(Table1[[#This Row],[Fetal Sex (Male, Female or Unknown)]]="Unknown",Backend!$C$8,"Error"))),"")</f>
        <v/>
      </c>
      <c r="F8948" s="8" t="str">
        <f>IF(Table1[[#This Row],[Is Data Valid]]=TRUE,EXP(0.578+0.332*((Table1[[#This Row],[Gestation (days)]]+0.5)/7)-0.00354*((Table1[[#This Row],[Gestation (days)]]+0.5)/7)^2)*Table1[[#This Row],[BW40_3705]],"")</f>
        <v/>
      </c>
      <c r="G8948" s="2" t="str">
        <f>IF(Table1[[#This Row],[Is Data Valid]]=TRUE,((Table1[[#This Row],[Birthweight (grams)]]/Table1[[#This Row],[BW_GA]])-1)/(Backend!$B$4/100*Table1[[#This Row],[BW40_3705]]),"")</f>
        <v/>
      </c>
      <c r="H8948" s="7" t="str">
        <f>IF(Table1[[#This Row],[Is Data Valid]]=TRUE,((Table1[[#This Row],[Birthweight (grams)]]*0.9/Table1[[#This Row],[BW_GA]])-1)/(Backend!$B$4/100*Table1[[#This Row],[BW40_3705]]),"")</f>
        <v/>
      </c>
      <c r="I8948" s="7" t="str">
        <f>IF(Table1[[#This Row],[Is Data Valid]]=TRUE,((Table1[[#This Row],[Birthweight (grams)]]*1.1/Table1[[#This Row],[BW_GA]])-1)/(Backend!$B$4/100*Table1[[#This Row],[BW40_3705]]),"")</f>
        <v/>
      </c>
      <c r="J8948" s="7" t="str">
        <f>IF(Table1[[#This Row],[Is Data Valid]]=TRUE,_xlfn.NORM.S.DIST(Table1[[#This Row],[Birthweight Z-Score]],TRUE)*100,"")</f>
        <v/>
      </c>
      <c r="K8948" s="7" t="str">
        <f>IF(Table1[[#This Row],[Is Data Valid]]=TRUE,_xlfn.NORM.S.DIST(Table1[[#This Row],[Birthweight Z-Score (BW-10%)]],TRUE)*100,"")</f>
        <v/>
      </c>
      <c r="L8948" s="7" t="str">
        <f>IF(Table1[[#This Row],[Is Data Valid]]=TRUE,_xlfn.NORM.S.DIST(Table1[[#This Row],[Birthweight Z-Score (BW+10%)]],TRUE)*100,"")</f>
        <v/>
      </c>
    </row>
    <row r="8949" spans="1:12" x14ac:dyDescent="0.35">
      <c r="A8949" s="3"/>
      <c r="B8949" s="2"/>
      <c r="C8949" s="2"/>
      <c r="D8949" s="2" t="b">
        <f>IF(AND(NOT(ISBLANK(Table1[[#This Row],[Fetal Sex (Male, Female or Unknown)]])),ISNUMBER(Table1[[#This Row],[Birthweight (grams)]]),ISNUMBER(Table1[[#This Row],[Gestation (days)]])),TRUE,FALSE)</f>
        <v>0</v>
      </c>
      <c r="E8949" s="2" t="str">
        <f>IF(Table1[[#This Row],[Is Data Valid]]=TRUE,IF(Table1[[#This Row],[Fetal Sex (Male, Female or Unknown)]]="Male",Backend!$C$6,IF(Table1[[#This Row],[Fetal Sex (Male, Female or Unknown)]]="Female",Backend!$C$7,IF(Table1[[#This Row],[Fetal Sex (Male, Female or Unknown)]]="Unknown",Backend!$C$8,"Error"))),"")</f>
        <v/>
      </c>
      <c r="F8949" s="8" t="str">
        <f>IF(Table1[[#This Row],[Is Data Valid]]=TRUE,EXP(0.578+0.332*((Table1[[#This Row],[Gestation (days)]]+0.5)/7)-0.00354*((Table1[[#This Row],[Gestation (days)]]+0.5)/7)^2)*Table1[[#This Row],[BW40_3705]],"")</f>
        <v/>
      </c>
      <c r="G8949" s="2" t="str">
        <f>IF(Table1[[#This Row],[Is Data Valid]]=TRUE,((Table1[[#This Row],[Birthweight (grams)]]/Table1[[#This Row],[BW_GA]])-1)/(Backend!$B$4/100*Table1[[#This Row],[BW40_3705]]),"")</f>
        <v/>
      </c>
      <c r="H8949" s="7" t="str">
        <f>IF(Table1[[#This Row],[Is Data Valid]]=TRUE,((Table1[[#This Row],[Birthweight (grams)]]*0.9/Table1[[#This Row],[BW_GA]])-1)/(Backend!$B$4/100*Table1[[#This Row],[BW40_3705]]),"")</f>
        <v/>
      </c>
      <c r="I8949" s="7" t="str">
        <f>IF(Table1[[#This Row],[Is Data Valid]]=TRUE,((Table1[[#This Row],[Birthweight (grams)]]*1.1/Table1[[#This Row],[BW_GA]])-1)/(Backend!$B$4/100*Table1[[#This Row],[BW40_3705]]),"")</f>
        <v/>
      </c>
      <c r="J8949" s="7" t="str">
        <f>IF(Table1[[#This Row],[Is Data Valid]]=TRUE,_xlfn.NORM.S.DIST(Table1[[#This Row],[Birthweight Z-Score]],TRUE)*100,"")</f>
        <v/>
      </c>
      <c r="K8949" s="7" t="str">
        <f>IF(Table1[[#This Row],[Is Data Valid]]=TRUE,_xlfn.NORM.S.DIST(Table1[[#This Row],[Birthweight Z-Score (BW-10%)]],TRUE)*100,"")</f>
        <v/>
      </c>
      <c r="L8949" s="7" t="str">
        <f>IF(Table1[[#This Row],[Is Data Valid]]=TRUE,_xlfn.NORM.S.DIST(Table1[[#This Row],[Birthweight Z-Score (BW+10%)]],TRUE)*100,"")</f>
        <v/>
      </c>
    </row>
    <row r="8950" spans="1:12" x14ac:dyDescent="0.35">
      <c r="A8950" s="3"/>
      <c r="B8950" s="2"/>
      <c r="C8950" s="2"/>
      <c r="D8950" s="2" t="b">
        <f>IF(AND(NOT(ISBLANK(Table1[[#This Row],[Fetal Sex (Male, Female or Unknown)]])),ISNUMBER(Table1[[#This Row],[Birthweight (grams)]]),ISNUMBER(Table1[[#This Row],[Gestation (days)]])),TRUE,FALSE)</f>
        <v>0</v>
      </c>
      <c r="E8950" s="2" t="str">
        <f>IF(Table1[[#This Row],[Is Data Valid]]=TRUE,IF(Table1[[#This Row],[Fetal Sex (Male, Female or Unknown)]]="Male",Backend!$C$6,IF(Table1[[#This Row],[Fetal Sex (Male, Female or Unknown)]]="Female",Backend!$C$7,IF(Table1[[#This Row],[Fetal Sex (Male, Female or Unknown)]]="Unknown",Backend!$C$8,"Error"))),"")</f>
        <v/>
      </c>
      <c r="F8950" s="8" t="str">
        <f>IF(Table1[[#This Row],[Is Data Valid]]=TRUE,EXP(0.578+0.332*((Table1[[#This Row],[Gestation (days)]]+0.5)/7)-0.00354*((Table1[[#This Row],[Gestation (days)]]+0.5)/7)^2)*Table1[[#This Row],[BW40_3705]],"")</f>
        <v/>
      </c>
      <c r="G8950" s="2" t="str">
        <f>IF(Table1[[#This Row],[Is Data Valid]]=TRUE,((Table1[[#This Row],[Birthweight (grams)]]/Table1[[#This Row],[BW_GA]])-1)/(Backend!$B$4/100*Table1[[#This Row],[BW40_3705]]),"")</f>
        <v/>
      </c>
      <c r="H8950" s="7" t="str">
        <f>IF(Table1[[#This Row],[Is Data Valid]]=TRUE,((Table1[[#This Row],[Birthweight (grams)]]*0.9/Table1[[#This Row],[BW_GA]])-1)/(Backend!$B$4/100*Table1[[#This Row],[BW40_3705]]),"")</f>
        <v/>
      </c>
      <c r="I8950" s="7" t="str">
        <f>IF(Table1[[#This Row],[Is Data Valid]]=TRUE,((Table1[[#This Row],[Birthweight (grams)]]*1.1/Table1[[#This Row],[BW_GA]])-1)/(Backend!$B$4/100*Table1[[#This Row],[BW40_3705]]),"")</f>
        <v/>
      </c>
      <c r="J8950" s="7" t="str">
        <f>IF(Table1[[#This Row],[Is Data Valid]]=TRUE,_xlfn.NORM.S.DIST(Table1[[#This Row],[Birthweight Z-Score]],TRUE)*100,"")</f>
        <v/>
      </c>
      <c r="K8950" s="7" t="str">
        <f>IF(Table1[[#This Row],[Is Data Valid]]=TRUE,_xlfn.NORM.S.DIST(Table1[[#This Row],[Birthweight Z-Score (BW-10%)]],TRUE)*100,"")</f>
        <v/>
      </c>
      <c r="L8950" s="7" t="str">
        <f>IF(Table1[[#This Row],[Is Data Valid]]=TRUE,_xlfn.NORM.S.DIST(Table1[[#This Row],[Birthweight Z-Score (BW+10%)]],TRUE)*100,"")</f>
        <v/>
      </c>
    </row>
    <row r="8951" spans="1:12" x14ac:dyDescent="0.35">
      <c r="A8951" s="3"/>
      <c r="B8951" s="2"/>
      <c r="C8951" s="2"/>
      <c r="D8951" s="2" t="b">
        <f>IF(AND(NOT(ISBLANK(Table1[[#This Row],[Fetal Sex (Male, Female or Unknown)]])),ISNUMBER(Table1[[#This Row],[Birthweight (grams)]]),ISNUMBER(Table1[[#This Row],[Gestation (days)]])),TRUE,FALSE)</f>
        <v>0</v>
      </c>
      <c r="E8951" s="2" t="str">
        <f>IF(Table1[[#This Row],[Is Data Valid]]=TRUE,IF(Table1[[#This Row],[Fetal Sex (Male, Female or Unknown)]]="Male",Backend!$C$6,IF(Table1[[#This Row],[Fetal Sex (Male, Female or Unknown)]]="Female",Backend!$C$7,IF(Table1[[#This Row],[Fetal Sex (Male, Female or Unknown)]]="Unknown",Backend!$C$8,"Error"))),"")</f>
        <v/>
      </c>
      <c r="F8951" s="8" t="str">
        <f>IF(Table1[[#This Row],[Is Data Valid]]=TRUE,EXP(0.578+0.332*((Table1[[#This Row],[Gestation (days)]]+0.5)/7)-0.00354*((Table1[[#This Row],[Gestation (days)]]+0.5)/7)^2)*Table1[[#This Row],[BW40_3705]],"")</f>
        <v/>
      </c>
      <c r="G8951" s="2" t="str">
        <f>IF(Table1[[#This Row],[Is Data Valid]]=TRUE,((Table1[[#This Row],[Birthweight (grams)]]/Table1[[#This Row],[BW_GA]])-1)/(Backend!$B$4/100*Table1[[#This Row],[BW40_3705]]),"")</f>
        <v/>
      </c>
      <c r="H8951" s="7" t="str">
        <f>IF(Table1[[#This Row],[Is Data Valid]]=TRUE,((Table1[[#This Row],[Birthweight (grams)]]*0.9/Table1[[#This Row],[BW_GA]])-1)/(Backend!$B$4/100*Table1[[#This Row],[BW40_3705]]),"")</f>
        <v/>
      </c>
      <c r="I8951" s="7" t="str">
        <f>IF(Table1[[#This Row],[Is Data Valid]]=TRUE,((Table1[[#This Row],[Birthweight (grams)]]*1.1/Table1[[#This Row],[BW_GA]])-1)/(Backend!$B$4/100*Table1[[#This Row],[BW40_3705]]),"")</f>
        <v/>
      </c>
      <c r="J8951" s="7" t="str">
        <f>IF(Table1[[#This Row],[Is Data Valid]]=TRUE,_xlfn.NORM.S.DIST(Table1[[#This Row],[Birthweight Z-Score]],TRUE)*100,"")</f>
        <v/>
      </c>
      <c r="K8951" s="7" t="str">
        <f>IF(Table1[[#This Row],[Is Data Valid]]=TRUE,_xlfn.NORM.S.DIST(Table1[[#This Row],[Birthweight Z-Score (BW-10%)]],TRUE)*100,"")</f>
        <v/>
      </c>
      <c r="L8951" s="7" t="str">
        <f>IF(Table1[[#This Row],[Is Data Valid]]=TRUE,_xlfn.NORM.S.DIST(Table1[[#This Row],[Birthweight Z-Score (BW+10%)]],TRUE)*100,"")</f>
        <v/>
      </c>
    </row>
    <row r="8952" spans="1:12" x14ac:dyDescent="0.35">
      <c r="A8952" s="3"/>
      <c r="B8952" s="2"/>
      <c r="C8952" s="2"/>
      <c r="D8952" s="2" t="b">
        <f>IF(AND(NOT(ISBLANK(Table1[[#This Row],[Fetal Sex (Male, Female or Unknown)]])),ISNUMBER(Table1[[#This Row],[Birthweight (grams)]]),ISNUMBER(Table1[[#This Row],[Gestation (days)]])),TRUE,FALSE)</f>
        <v>0</v>
      </c>
      <c r="E8952" s="2" t="str">
        <f>IF(Table1[[#This Row],[Is Data Valid]]=TRUE,IF(Table1[[#This Row],[Fetal Sex (Male, Female or Unknown)]]="Male",Backend!$C$6,IF(Table1[[#This Row],[Fetal Sex (Male, Female or Unknown)]]="Female",Backend!$C$7,IF(Table1[[#This Row],[Fetal Sex (Male, Female or Unknown)]]="Unknown",Backend!$C$8,"Error"))),"")</f>
        <v/>
      </c>
      <c r="F8952" s="8" t="str">
        <f>IF(Table1[[#This Row],[Is Data Valid]]=TRUE,EXP(0.578+0.332*((Table1[[#This Row],[Gestation (days)]]+0.5)/7)-0.00354*((Table1[[#This Row],[Gestation (days)]]+0.5)/7)^2)*Table1[[#This Row],[BW40_3705]],"")</f>
        <v/>
      </c>
      <c r="G8952" s="2" t="str">
        <f>IF(Table1[[#This Row],[Is Data Valid]]=TRUE,((Table1[[#This Row],[Birthweight (grams)]]/Table1[[#This Row],[BW_GA]])-1)/(Backend!$B$4/100*Table1[[#This Row],[BW40_3705]]),"")</f>
        <v/>
      </c>
      <c r="H8952" s="7" t="str">
        <f>IF(Table1[[#This Row],[Is Data Valid]]=TRUE,((Table1[[#This Row],[Birthweight (grams)]]*0.9/Table1[[#This Row],[BW_GA]])-1)/(Backend!$B$4/100*Table1[[#This Row],[BW40_3705]]),"")</f>
        <v/>
      </c>
      <c r="I8952" s="7" t="str">
        <f>IF(Table1[[#This Row],[Is Data Valid]]=TRUE,((Table1[[#This Row],[Birthweight (grams)]]*1.1/Table1[[#This Row],[BW_GA]])-1)/(Backend!$B$4/100*Table1[[#This Row],[BW40_3705]]),"")</f>
        <v/>
      </c>
      <c r="J8952" s="7" t="str">
        <f>IF(Table1[[#This Row],[Is Data Valid]]=TRUE,_xlfn.NORM.S.DIST(Table1[[#This Row],[Birthweight Z-Score]],TRUE)*100,"")</f>
        <v/>
      </c>
      <c r="K8952" s="7" t="str">
        <f>IF(Table1[[#This Row],[Is Data Valid]]=TRUE,_xlfn.NORM.S.DIST(Table1[[#This Row],[Birthweight Z-Score (BW-10%)]],TRUE)*100,"")</f>
        <v/>
      </c>
      <c r="L8952" s="7" t="str">
        <f>IF(Table1[[#This Row],[Is Data Valid]]=TRUE,_xlfn.NORM.S.DIST(Table1[[#This Row],[Birthweight Z-Score (BW+10%)]],TRUE)*100,"")</f>
        <v/>
      </c>
    </row>
    <row r="8953" spans="1:12" x14ac:dyDescent="0.35">
      <c r="A8953" s="3"/>
      <c r="B8953" s="2"/>
      <c r="C8953" s="2"/>
      <c r="D8953" s="2" t="b">
        <f>IF(AND(NOT(ISBLANK(Table1[[#This Row],[Fetal Sex (Male, Female or Unknown)]])),ISNUMBER(Table1[[#This Row],[Birthweight (grams)]]),ISNUMBER(Table1[[#This Row],[Gestation (days)]])),TRUE,FALSE)</f>
        <v>0</v>
      </c>
      <c r="E8953" s="2" t="str">
        <f>IF(Table1[[#This Row],[Is Data Valid]]=TRUE,IF(Table1[[#This Row],[Fetal Sex (Male, Female or Unknown)]]="Male",Backend!$C$6,IF(Table1[[#This Row],[Fetal Sex (Male, Female or Unknown)]]="Female",Backend!$C$7,IF(Table1[[#This Row],[Fetal Sex (Male, Female or Unknown)]]="Unknown",Backend!$C$8,"Error"))),"")</f>
        <v/>
      </c>
      <c r="F8953" s="8" t="str">
        <f>IF(Table1[[#This Row],[Is Data Valid]]=TRUE,EXP(0.578+0.332*((Table1[[#This Row],[Gestation (days)]]+0.5)/7)-0.00354*((Table1[[#This Row],[Gestation (days)]]+0.5)/7)^2)*Table1[[#This Row],[BW40_3705]],"")</f>
        <v/>
      </c>
      <c r="G8953" s="2" t="str">
        <f>IF(Table1[[#This Row],[Is Data Valid]]=TRUE,((Table1[[#This Row],[Birthweight (grams)]]/Table1[[#This Row],[BW_GA]])-1)/(Backend!$B$4/100*Table1[[#This Row],[BW40_3705]]),"")</f>
        <v/>
      </c>
      <c r="H8953" s="7" t="str">
        <f>IF(Table1[[#This Row],[Is Data Valid]]=TRUE,((Table1[[#This Row],[Birthweight (grams)]]*0.9/Table1[[#This Row],[BW_GA]])-1)/(Backend!$B$4/100*Table1[[#This Row],[BW40_3705]]),"")</f>
        <v/>
      </c>
      <c r="I8953" s="7" t="str">
        <f>IF(Table1[[#This Row],[Is Data Valid]]=TRUE,((Table1[[#This Row],[Birthweight (grams)]]*1.1/Table1[[#This Row],[BW_GA]])-1)/(Backend!$B$4/100*Table1[[#This Row],[BW40_3705]]),"")</f>
        <v/>
      </c>
      <c r="J8953" s="7" t="str">
        <f>IF(Table1[[#This Row],[Is Data Valid]]=TRUE,_xlfn.NORM.S.DIST(Table1[[#This Row],[Birthweight Z-Score]],TRUE)*100,"")</f>
        <v/>
      </c>
      <c r="K8953" s="7" t="str">
        <f>IF(Table1[[#This Row],[Is Data Valid]]=TRUE,_xlfn.NORM.S.DIST(Table1[[#This Row],[Birthweight Z-Score (BW-10%)]],TRUE)*100,"")</f>
        <v/>
      </c>
      <c r="L8953" s="7" t="str">
        <f>IF(Table1[[#This Row],[Is Data Valid]]=TRUE,_xlfn.NORM.S.DIST(Table1[[#This Row],[Birthweight Z-Score (BW+10%)]],TRUE)*100,"")</f>
        <v/>
      </c>
    </row>
    <row r="8954" spans="1:12" x14ac:dyDescent="0.35">
      <c r="A8954" s="3"/>
      <c r="B8954" s="2"/>
      <c r="C8954" s="2"/>
      <c r="D8954" s="2" t="b">
        <f>IF(AND(NOT(ISBLANK(Table1[[#This Row],[Fetal Sex (Male, Female or Unknown)]])),ISNUMBER(Table1[[#This Row],[Birthweight (grams)]]),ISNUMBER(Table1[[#This Row],[Gestation (days)]])),TRUE,FALSE)</f>
        <v>0</v>
      </c>
      <c r="E8954" s="2" t="str">
        <f>IF(Table1[[#This Row],[Is Data Valid]]=TRUE,IF(Table1[[#This Row],[Fetal Sex (Male, Female or Unknown)]]="Male",Backend!$C$6,IF(Table1[[#This Row],[Fetal Sex (Male, Female or Unknown)]]="Female",Backend!$C$7,IF(Table1[[#This Row],[Fetal Sex (Male, Female or Unknown)]]="Unknown",Backend!$C$8,"Error"))),"")</f>
        <v/>
      </c>
      <c r="F8954" s="8" t="str">
        <f>IF(Table1[[#This Row],[Is Data Valid]]=TRUE,EXP(0.578+0.332*((Table1[[#This Row],[Gestation (days)]]+0.5)/7)-0.00354*((Table1[[#This Row],[Gestation (days)]]+0.5)/7)^2)*Table1[[#This Row],[BW40_3705]],"")</f>
        <v/>
      </c>
      <c r="G8954" s="2" t="str">
        <f>IF(Table1[[#This Row],[Is Data Valid]]=TRUE,((Table1[[#This Row],[Birthweight (grams)]]/Table1[[#This Row],[BW_GA]])-1)/(Backend!$B$4/100*Table1[[#This Row],[BW40_3705]]),"")</f>
        <v/>
      </c>
      <c r="H8954" s="7" t="str">
        <f>IF(Table1[[#This Row],[Is Data Valid]]=TRUE,((Table1[[#This Row],[Birthweight (grams)]]*0.9/Table1[[#This Row],[BW_GA]])-1)/(Backend!$B$4/100*Table1[[#This Row],[BW40_3705]]),"")</f>
        <v/>
      </c>
      <c r="I8954" s="7" t="str">
        <f>IF(Table1[[#This Row],[Is Data Valid]]=TRUE,((Table1[[#This Row],[Birthweight (grams)]]*1.1/Table1[[#This Row],[BW_GA]])-1)/(Backend!$B$4/100*Table1[[#This Row],[BW40_3705]]),"")</f>
        <v/>
      </c>
      <c r="J8954" s="7" t="str">
        <f>IF(Table1[[#This Row],[Is Data Valid]]=TRUE,_xlfn.NORM.S.DIST(Table1[[#This Row],[Birthweight Z-Score]],TRUE)*100,"")</f>
        <v/>
      </c>
      <c r="K8954" s="7" t="str">
        <f>IF(Table1[[#This Row],[Is Data Valid]]=TRUE,_xlfn.NORM.S.DIST(Table1[[#This Row],[Birthweight Z-Score (BW-10%)]],TRUE)*100,"")</f>
        <v/>
      </c>
      <c r="L8954" s="7" t="str">
        <f>IF(Table1[[#This Row],[Is Data Valid]]=TRUE,_xlfn.NORM.S.DIST(Table1[[#This Row],[Birthweight Z-Score (BW+10%)]],TRUE)*100,"")</f>
        <v/>
      </c>
    </row>
    <row r="8955" spans="1:12" x14ac:dyDescent="0.35">
      <c r="A8955" s="3"/>
      <c r="B8955" s="2"/>
      <c r="C8955" s="2"/>
      <c r="D8955" s="2" t="b">
        <f>IF(AND(NOT(ISBLANK(Table1[[#This Row],[Fetal Sex (Male, Female or Unknown)]])),ISNUMBER(Table1[[#This Row],[Birthweight (grams)]]),ISNUMBER(Table1[[#This Row],[Gestation (days)]])),TRUE,FALSE)</f>
        <v>0</v>
      </c>
      <c r="E8955" s="2" t="str">
        <f>IF(Table1[[#This Row],[Is Data Valid]]=TRUE,IF(Table1[[#This Row],[Fetal Sex (Male, Female or Unknown)]]="Male",Backend!$C$6,IF(Table1[[#This Row],[Fetal Sex (Male, Female or Unknown)]]="Female",Backend!$C$7,IF(Table1[[#This Row],[Fetal Sex (Male, Female or Unknown)]]="Unknown",Backend!$C$8,"Error"))),"")</f>
        <v/>
      </c>
      <c r="F8955" s="8" t="str">
        <f>IF(Table1[[#This Row],[Is Data Valid]]=TRUE,EXP(0.578+0.332*((Table1[[#This Row],[Gestation (days)]]+0.5)/7)-0.00354*((Table1[[#This Row],[Gestation (days)]]+0.5)/7)^2)*Table1[[#This Row],[BW40_3705]],"")</f>
        <v/>
      </c>
      <c r="G8955" s="2" t="str">
        <f>IF(Table1[[#This Row],[Is Data Valid]]=TRUE,((Table1[[#This Row],[Birthweight (grams)]]/Table1[[#This Row],[BW_GA]])-1)/(Backend!$B$4/100*Table1[[#This Row],[BW40_3705]]),"")</f>
        <v/>
      </c>
      <c r="H8955" s="7" t="str">
        <f>IF(Table1[[#This Row],[Is Data Valid]]=TRUE,((Table1[[#This Row],[Birthweight (grams)]]*0.9/Table1[[#This Row],[BW_GA]])-1)/(Backend!$B$4/100*Table1[[#This Row],[BW40_3705]]),"")</f>
        <v/>
      </c>
      <c r="I8955" s="7" t="str">
        <f>IF(Table1[[#This Row],[Is Data Valid]]=TRUE,((Table1[[#This Row],[Birthweight (grams)]]*1.1/Table1[[#This Row],[BW_GA]])-1)/(Backend!$B$4/100*Table1[[#This Row],[BW40_3705]]),"")</f>
        <v/>
      </c>
      <c r="J8955" s="7" t="str">
        <f>IF(Table1[[#This Row],[Is Data Valid]]=TRUE,_xlfn.NORM.S.DIST(Table1[[#This Row],[Birthweight Z-Score]],TRUE)*100,"")</f>
        <v/>
      </c>
      <c r="K8955" s="7" t="str">
        <f>IF(Table1[[#This Row],[Is Data Valid]]=TRUE,_xlfn.NORM.S.DIST(Table1[[#This Row],[Birthweight Z-Score (BW-10%)]],TRUE)*100,"")</f>
        <v/>
      </c>
      <c r="L8955" s="7" t="str">
        <f>IF(Table1[[#This Row],[Is Data Valid]]=TRUE,_xlfn.NORM.S.DIST(Table1[[#This Row],[Birthweight Z-Score (BW+10%)]],TRUE)*100,"")</f>
        <v/>
      </c>
    </row>
    <row r="8956" spans="1:12" x14ac:dyDescent="0.35">
      <c r="A8956" s="3"/>
      <c r="B8956" s="2"/>
      <c r="C8956" s="2"/>
      <c r="D8956" s="2" t="b">
        <f>IF(AND(NOT(ISBLANK(Table1[[#This Row],[Fetal Sex (Male, Female or Unknown)]])),ISNUMBER(Table1[[#This Row],[Birthweight (grams)]]),ISNUMBER(Table1[[#This Row],[Gestation (days)]])),TRUE,FALSE)</f>
        <v>0</v>
      </c>
      <c r="E8956" s="2" t="str">
        <f>IF(Table1[[#This Row],[Is Data Valid]]=TRUE,IF(Table1[[#This Row],[Fetal Sex (Male, Female or Unknown)]]="Male",Backend!$C$6,IF(Table1[[#This Row],[Fetal Sex (Male, Female or Unknown)]]="Female",Backend!$C$7,IF(Table1[[#This Row],[Fetal Sex (Male, Female or Unknown)]]="Unknown",Backend!$C$8,"Error"))),"")</f>
        <v/>
      </c>
      <c r="F8956" s="8" t="str">
        <f>IF(Table1[[#This Row],[Is Data Valid]]=TRUE,EXP(0.578+0.332*((Table1[[#This Row],[Gestation (days)]]+0.5)/7)-0.00354*((Table1[[#This Row],[Gestation (days)]]+0.5)/7)^2)*Table1[[#This Row],[BW40_3705]],"")</f>
        <v/>
      </c>
      <c r="G8956" s="2" t="str">
        <f>IF(Table1[[#This Row],[Is Data Valid]]=TRUE,((Table1[[#This Row],[Birthweight (grams)]]/Table1[[#This Row],[BW_GA]])-1)/(Backend!$B$4/100*Table1[[#This Row],[BW40_3705]]),"")</f>
        <v/>
      </c>
      <c r="H8956" s="7" t="str">
        <f>IF(Table1[[#This Row],[Is Data Valid]]=TRUE,((Table1[[#This Row],[Birthweight (grams)]]*0.9/Table1[[#This Row],[BW_GA]])-1)/(Backend!$B$4/100*Table1[[#This Row],[BW40_3705]]),"")</f>
        <v/>
      </c>
      <c r="I8956" s="7" t="str">
        <f>IF(Table1[[#This Row],[Is Data Valid]]=TRUE,((Table1[[#This Row],[Birthweight (grams)]]*1.1/Table1[[#This Row],[BW_GA]])-1)/(Backend!$B$4/100*Table1[[#This Row],[BW40_3705]]),"")</f>
        <v/>
      </c>
      <c r="J8956" s="7" t="str">
        <f>IF(Table1[[#This Row],[Is Data Valid]]=TRUE,_xlfn.NORM.S.DIST(Table1[[#This Row],[Birthweight Z-Score]],TRUE)*100,"")</f>
        <v/>
      </c>
      <c r="K8956" s="7" t="str">
        <f>IF(Table1[[#This Row],[Is Data Valid]]=TRUE,_xlfn.NORM.S.DIST(Table1[[#This Row],[Birthweight Z-Score (BW-10%)]],TRUE)*100,"")</f>
        <v/>
      </c>
      <c r="L8956" s="7" t="str">
        <f>IF(Table1[[#This Row],[Is Data Valid]]=TRUE,_xlfn.NORM.S.DIST(Table1[[#This Row],[Birthweight Z-Score (BW+10%)]],TRUE)*100,"")</f>
        <v/>
      </c>
    </row>
    <row r="8957" spans="1:12" x14ac:dyDescent="0.35">
      <c r="A8957" s="3"/>
      <c r="B8957" s="2"/>
      <c r="C8957" s="2"/>
      <c r="D8957" s="2" t="b">
        <f>IF(AND(NOT(ISBLANK(Table1[[#This Row],[Fetal Sex (Male, Female or Unknown)]])),ISNUMBER(Table1[[#This Row],[Birthweight (grams)]]),ISNUMBER(Table1[[#This Row],[Gestation (days)]])),TRUE,FALSE)</f>
        <v>0</v>
      </c>
      <c r="E8957" s="2" t="str">
        <f>IF(Table1[[#This Row],[Is Data Valid]]=TRUE,IF(Table1[[#This Row],[Fetal Sex (Male, Female or Unknown)]]="Male",Backend!$C$6,IF(Table1[[#This Row],[Fetal Sex (Male, Female or Unknown)]]="Female",Backend!$C$7,IF(Table1[[#This Row],[Fetal Sex (Male, Female or Unknown)]]="Unknown",Backend!$C$8,"Error"))),"")</f>
        <v/>
      </c>
      <c r="F8957" s="8" t="str">
        <f>IF(Table1[[#This Row],[Is Data Valid]]=TRUE,EXP(0.578+0.332*((Table1[[#This Row],[Gestation (days)]]+0.5)/7)-0.00354*((Table1[[#This Row],[Gestation (days)]]+0.5)/7)^2)*Table1[[#This Row],[BW40_3705]],"")</f>
        <v/>
      </c>
      <c r="G8957" s="2" t="str">
        <f>IF(Table1[[#This Row],[Is Data Valid]]=TRUE,((Table1[[#This Row],[Birthweight (grams)]]/Table1[[#This Row],[BW_GA]])-1)/(Backend!$B$4/100*Table1[[#This Row],[BW40_3705]]),"")</f>
        <v/>
      </c>
      <c r="H8957" s="7" t="str">
        <f>IF(Table1[[#This Row],[Is Data Valid]]=TRUE,((Table1[[#This Row],[Birthweight (grams)]]*0.9/Table1[[#This Row],[BW_GA]])-1)/(Backend!$B$4/100*Table1[[#This Row],[BW40_3705]]),"")</f>
        <v/>
      </c>
      <c r="I8957" s="7" t="str">
        <f>IF(Table1[[#This Row],[Is Data Valid]]=TRUE,((Table1[[#This Row],[Birthweight (grams)]]*1.1/Table1[[#This Row],[BW_GA]])-1)/(Backend!$B$4/100*Table1[[#This Row],[BW40_3705]]),"")</f>
        <v/>
      </c>
      <c r="J8957" s="7" t="str">
        <f>IF(Table1[[#This Row],[Is Data Valid]]=TRUE,_xlfn.NORM.S.DIST(Table1[[#This Row],[Birthweight Z-Score]],TRUE)*100,"")</f>
        <v/>
      </c>
      <c r="K8957" s="7" t="str">
        <f>IF(Table1[[#This Row],[Is Data Valid]]=TRUE,_xlfn.NORM.S.DIST(Table1[[#This Row],[Birthweight Z-Score (BW-10%)]],TRUE)*100,"")</f>
        <v/>
      </c>
      <c r="L8957" s="7" t="str">
        <f>IF(Table1[[#This Row],[Is Data Valid]]=TRUE,_xlfn.NORM.S.DIST(Table1[[#This Row],[Birthweight Z-Score (BW+10%)]],TRUE)*100,"")</f>
        <v/>
      </c>
    </row>
    <row r="8958" spans="1:12" x14ac:dyDescent="0.35">
      <c r="A8958" s="3"/>
      <c r="B8958" s="2"/>
      <c r="C8958" s="2"/>
      <c r="D8958" s="2" t="b">
        <f>IF(AND(NOT(ISBLANK(Table1[[#This Row],[Fetal Sex (Male, Female or Unknown)]])),ISNUMBER(Table1[[#This Row],[Birthweight (grams)]]),ISNUMBER(Table1[[#This Row],[Gestation (days)]])),TRUE,FALSE)</f>
        <v>0</v>
      </c>
      <c r="E8958" s="2" t="str">
        <f>IF(Table1[[#This Row],[Is Data Valid]]=TRUE,IF(Table1[[#This Row],[Fetal Sex (Male, Female or Unknown)]]="Male",Backend!$C$6,IF(Table1[[#This Row],[Fetal Sex (Male, Female or Unknown)]]="Female",Backend!$C$7,IF(Table1[[#This Row],[Fetal Sex (Male, Female or Unknown)]]="Unknown",Backend!$C$8,"Error"))),"")</f>
        <v/>
      </c>
      <c r="F8958" s="8" t="str">
        <f>IF(Table1[[#This Row],[Is Data Valid]]=TRUE,EXP(0.578+0.332*((Table1[[#This Row],[Gestation (days)]]+0.5)/7)-0.00354*((Table1[[#This Row],[Gestation (days)]]+0.5)/7)^2)*Table1[[#This Row],[BW40_3705]],"")</f>
        <v/>
      </c>
      <c r="G8958" s="2" t="str">
        <f>IF(Table1[[#This Row],[Is Data Valid]]=TRUE,((Table1[[#This Row],[Birthweight (grams)]]/Table1[[#This Row],[BW_GA]])-1)/(Backend!$B$4/100*Table1[[#This Row],[BW40_3705]]),"")</f>
        <v/>
      </c>
      <c r="H8958" s="7" t="str">
        <f>IF(Table1[[#This Row],[Is Data Valid]]=TRUE,((Table1[[#This Row],[Birthweight (grams)]]*0.9/Table1[[#This Row],[BW_GA]])-1)/(Backend!$B$4/100*Table1[[#This Row],[BW40_3705]]),"")</f>
        <v/>
      </c>
      <c r="I8958" s="7" t="str">
        <f>IF(Table1[[#This Row],[Is Data Valid]]=TRUE,((Table1[[#This Row],[Birthweight (grams)]]*1.1/Table1[[#This Row],[BW_GA]])-1)/(Backend!$B$4/100*Table1[[#This Row],[BW40_3705]]),"")</f>
        <v/>
      </c>
      <c r="J8958" s="7" t="str">
        <f>IF(Table1[[#This Row],[Is Data Valid]]=TRUE,_xlfn.NORM.S.DIST(Table1[[#This Row],[Birthweight Z-Score]],TRUE)*100,"")</f>
        <v/>
      </c>
      <c r="K8958" s="7" t="str">
        <f>IF(Table1[[#This Row],[Is Data Valid]]=TRUE,_xlfn.NORM.S.DIST(Table1[[#This Row],[Birthweight Z-Score (BW-10%)]],TRUE)*100,"")</f>
        <v/>
      </c>
      <c r="L8958" s="7" t="str">
        <f>IF(Table1[[#This Row],[Is Data Valid]]=TRUE,_xlfn.NORM.S.DIST(Table1[[#This Row],[Birthweight Z-Score (BW+10%)]],TRUE)*100,"")</f>
        <v/>
      </c>
    </row>
    <row r="8959" spans="1:12" x14ac:dyDescent="0.35">
      <c r="A8959" s="3"/>
      <c r="B8959" s="2"/>
      <c r="C8959" s="2"/>
      <c r="D8959" s="2" t="b">
        <f>IF(AND(NOT(ISBLANK(Table1[[#This Row],[Fetal Sex (Male, Female or Unknown)]])),ISNUMBER(Table1[[#This Row],[Birthweight (grams)]]),ISNUMBER(Table1[[#This Row],[Gestation (days)]])),TRUE,FALSE)</f>
        <v>0</v>
      </c>
      <c r="E8959" s="2" t="str">
        <f>IF(Table1[[#This Row],[Is Data Valid]]=TRUE,IF(Table1[[#This Row],[Fetal Sex (Male, Female or Unknown)]]="Male",Backend!$C$6,IF(Table1[[#This Row],[Fetal Sex (Male, Female or Unknown)]]="Female",Backend!$C$7,IF(Table1[[#This Row],[Fetal Sex (Male, Female or Unknown)]]="Unknown",Backend!$C$8,"Error"))),"")</f>
        <v/>
      </c>
      <c r="F8959" s="8" t="str">
        <f>IF(Table1[[#This Row],[Is Data Valid]]=TRUE,EXP(0.578+0.332*((Table1[[#This Row],[Gestation (days)]]+0.5)/7)-0.00354*((Table1[[#This Row],[Gestation (days)]]+0.5)/7)^2)*Table1[[#This Row],[BW40_3705]],"")</f>
        <v/>
      </c>
      <c r="G8959" s="2" t="str">
        <f>IF(Table1[[#This Row],[Is Data Valid]]=TRUE,((Table1[[#This Row],[Birthweight (grams)]]/Table1[[#This Row],[BW_GA]])-1)/(Backend!$B$4/100*Table1[[#This Row],[BW40_3705]]),"")</f>
        <v/>
      </c>
      <c r="H8959" s="7" t="str">
        <f>IF(Table1[[#This Row],[Is Data Valid]]=TRUE,((Table1[[#This Row],[Birthweight (grams)]]*0.9/Table1[[#This Row],[BW_GA]])-1)/(Backend!$B$4/100*Table1[[#This Row],[BW40_3705]]),"")</f>
        <v/>
      </c>
      <c r="I8959" s="7" t="str">
        <f>IF(Table1[[#This Row],[Is Data Valid]]=TRUE,((Table1[[#This Row],[Birthweight (grams)]]*1.1/Table1[[#This Row],[BW_GA]])-1)/(Backend!$B$4/100*Table1[[#This Row],[BW40_3705]]),"")</f>
        <v/>
      </c>
      <c r="J8959" s="7" t="str">
        <f>IF(Table1[[#This Row],[Is Data Valid]]=TRUE,_xlfn.NORM.S.DIST(Table1[[#This Row],[Birthweight Z-Score]],TRUE)*100,"")</f>
        <v/>
      </c>
      <c r="K8959" s="7" t="str">
        <f>IF(Table1[[#This Row],[Is Data Valid]]=TRUE,_xlfn.NORM.S.DIST(Table1[[#This Row],[Birthweight Z-Score (BW-10%)]],TRUE)*100,"")</f>
        <v/>
      </c>
      <c r="L8959" s="7" t="str">
        <f>IF(Table1[[#This Row],[Is Data Valid]]=TRUE,_xlfn.NORM.S.DIST(Table1[[#This Row],[Birthweight Z-Score (BW+10%)]],TRUE)*100,"")</f>
        <v/>
      </c>
    </row>
    <row r="8960" spans="1:12" x14ac:dyDescent="0.35">
      <c r="A8960" s="3"/>
      <c r="B8960" s="2"/>
      <c r="C8960" s="2"/>
      <c r="D8960" s="2" t="b">
        <f>IF(AND(NOT(ISBLANK(Table1[[#This Row],[Fetal Sex (Male, Female or Unknown)]])),ISNUMBER(Table1[[#This Row],[Birthweight (grams)]]),ISNUMBER(Table1[[#This Row],[Gestation (days)]])),TRUE,FALSE)</f>
        <v>0</v>
      </c>
      <c r="E8960" s="2" t="str">
        <f>IF(Table1[[#This Row],[Is Data Valid]]=TRUE,IF(Table1[[#This Row],[Fetal Sex (Male, Female or Unknown)]]="Male",Backend!$C$6,IF(Table1[[#This Row],[Fetal Sex (Male, Female or Unknown)]]="Female",Backend!$C$7,IF(Table1[[#This Row],[Fetal Sex (Male, Female or Unknown)]]="Unknown",Backend!$C$8,"Error"))),"")</f>
        <v/>
      </c>
      <c r="F8960" s="8" t="str">
        <f>IF(Table1[[#This Row],[Is Data Valid]]=TRUE,EXP(0.578+0.332*((Table1[[#This Row],[Gestation (days)]]+0.5)/7)-0.00354*((Table1[[#This Row],[Gestation (days)]]+0.5)/7)^2)*Table1[[#This Row],[BW40_3705]],"")</f>
        <v/>
      </c>
      <c r="G8960" s="2" t="str">
        <f>IF(Table1[[#This Row],[Is Data Valid]]=TRUE,((Table1[[#This Row],[Birthweight (grams)]]/Table1[[#This Row],[BW_GA]])-1)/(Backend!$B$4/100*Table1[[#This Row],[BW40_3705]]),"")</f>
        <v/>
      </c>
      <c r="H8960" s="7" t="str">
        <f>IF(Table1[[#This Row],[Is Data Valid]]=TRUE,((Table1[[#This Row],[Birthweight (grams)]]*0.9/Table1[[#This Row],[BW_GA]])-1)/(Backend!$B$4/100*Table1[[#This Row],[BW40_3705]]),"")</f>
        <v/>
      </c>
      <c r="I8960" s="7" t="str">
        <f>IF(Table1[[#This Row],[Is Data Valid]]=TRUE,((Table1[[#This Row],[Birthweight (grams)]]*1.1/Table1[[#This Row],[BW_GA]])-1)/(Backend!$B$4/100*Table1[[#This Row],[BW40_3705]]),"")</f>
        <v/>
      </c>
      <c r="J8960" s="7" t="str">
        <f>IF(Table1[[#This Row],[Is Data Valid]]=TRUE,_xlfn.NORM.S.DIST(Table1[[#This Row],[Birthweight Z-Score]],TRUE)*100,"")</f>
        <v/>
      </c>
      <c r="K8960" s="7" t="str">
        <f>IF(Table1[[#This Row],[Is Data Valid]]=TRUE,_xlfn.NORM.S.DIST(Table1[[#This Row],[Birthweight Z-Score (BW-10%)]],TRUE)*100,"")</f>
        <v/>
      </c>
      <c r="L8960" s="7" t="str">
        <f>IF(Table1[[#This Row],[Is Data Valid]]=TRUE,_xlfn.NORM.S.DIST(Table1[[#This Row],[Birthweight Z-Score (BW+10%)]],TRUE)*100,"")</f>
        <v/>
      </c>
    </row>
    <row r="8961" spans="1:12" x14ac:dyDescent="0.35">
      <c r="A8961" s="3"/>
      <c r="B8961" s="2"/>
      <c r="C8961" s="2"/>
      <c r="D8961" s="2" t="b">
        <f>IF(AND(NOT(ISBLANK(Table1[[#This Row],[Fetal Sex (Male, Female or Unknown)]])),ISNUMBER(Table1[[#This Row],[Birthweight (grams)]]),ISNUMBER(Table1[[#This Row],[Gestation (days)]])),TRUE,FALSE)</f>
        <v>0</v>
      </c>
      <c r="E8961" s="2" t="str">
        <f>IF(Table1[[#This Row],[Is Data Valid]]=TRUE,IF(Table1[[#This Row],[Fetal Sex (Male, Female or Unknown)]]="Male",Backend!$C$6,IF(Table1[[#This Row],[Fetal Sex (Male, Female or Unknown)]]="Female",Backend!$C$7,IF(Table1[[#This Row],[Fetal Sex (Male, Female or Unknown)]]="Unknown",Backend!$C$8,"Error"))),"")</f>
        <v/>
      </c>
      <c r="F8961" s="8" t="str">
        <f>IF(Table1[[#This Row],[Is Data Valid]]=TRUE,EXP(0.578+0.332*((Table1[[#This Row],[Gestation (days)]]+0.5)/7)-0.00354*((Table1[[#This Row],[Gestation (days)]]+0.5)/7)^2)*Table1[[#This Row],[BW40_3705]],"")</f>
        <v/>
      </c>
      <c r="G8961" s="2" t="str">
        <f>IF(Table1[[#This Row],[Is Data Valid]]=TRUE,((Table1[[#This Row],[Birthweight (grams)]]/Table1[[#This Row],[BW_GA]])-1)/(Backend!$B$4/100*Table1[[#This Row],[BW40_3705]]),"")</f>
        <v/>
      </c>
      <c r="H8961" s="7" t="str">
        <f>IF(Table1[[#This Row],[Is Data Valid]]=TRUE,((Table1[[#This Row],[Birthweight (grams)]]*0.9/Table1[[#This Row],[BW_GA]])-1)/(Backend!$B$4/100*Table1[[#This Row],[BW40_3705]]),"")</f>
        <v/>
      </c>
      <c r="I8961" s="7" t="str">
        <f>IF(Table1[[#This Row],[Is Data Valid]]=TRUE,((Table1[[#This Row],[Birthweight (grams)]]*1.1/Table1[[#This Row],[BW_GA]])-1)/(Backend!$B$4/100*Table1[[#This Row],[BW40_3705]]),"")</f>
        <v/>
      </c>
      <c r="J8961" s="7" t="str">
        <f>IF(Table1[[#This Row],[Is Data Valid]]=TRUE,_xlfn.NORM.S.DIST(Table1[[#This Row],[Birthweight Z-Score]],TRUE)*100,"")</f>
        <v/>
      </c>
      <c r="K8961" s="7" t="str">
        <f>IF(Table1[[#This Row],[Is Data Valid]]=TRUE,_xlfn.NORM.S.DIST(Table1[[#This Row],[Birthweight Z-Score (BW-10%)]],TRUE)*100,"")</f>
        <v/>
      </c>
      <c r="L8961" s="7" t="str">
        <f>IF(Table1[[#This Row],[Is Data Valid]]=TRUE,_xlfn.NORM.S.DIST(Table1[[#This Row],[Birthweight Z-Score (BW+10%)]],TRUE)*100,"")</f>
        <v/>
      </c>
    </row>
    <row r="8962" spans="1:12" x14ac:dyDescent="0.35">
      <c r="A8962" s="3"/>
      <c r="B8962" s="2"/>
      <c r="C8962" s="2"/>
      <c r="D8962" s="2" t="b">
        <f>IF(AND(NOT(ISBLANK(Table1[[#This Row],[Fetal Sex (Male, Female or Unknown)]])),ISNUMBER(Table1[[#This Row],[Birthweight (grams)]]),ISNUMBER(Table1[[#This Row],[Gestation (days)]])),TRUE,FALSE)</f>
        <v>0</v>
      </c>
      <c r="E8962" s="2" t="str">
        <f>IF(Table1[[#This Row],[Is Data Valid]]=TRUE,IF(Table1[[#This Row],[Fetal Sex (Male, Female or Unknown)]]="Male",Backend!$C$6,IF(Table1[[#This Row],[Fetal Sex (Male, Female or Unknown)]]="Female",Backend!$C$7,IF(Table1[[#This Row],[Fetal Sex (Male, Female or Unknown)]]="Unknown",Backend!$C$8,"Error"))),"")</f>
        <v/>
      </c>
      <c r="F8962" s="8" t="str">
        <f>IF(Table1[[#This Row],[Is Data Valid]]=TRUE,EXP(0.578+0.332*((Table1[[#This Row],[Gestation (days)]]+0.5)/7)-0.00354*((Table1[[#This Row],[Gestation (days)]]+0.5)/7)^2)*Table1[[#This Row],[BW40_3705]],"")</f>
        <v/>
      </c>
      <c r="G8962" s="2" t="str">
        <f>IF(Table1[[#This Row],[Is Data Valid]]=TRUE,((Table1[[#This Row],[Birthweight (grams)]]/Table1[[#This Row],[BW_GA]])-1)/(Backend!$B$4/100*Table1[[#This Row],[BW40_3705]]),"")</f>
        <v/>
      </c>
      <c r="H8962" s="7" t="str">
        <f>IF(Table1[[#This Row],[Is Data Valid]]=TRUE,((Table1[[#This Row],[Birthweight (grams)]]*0.9/Table1[[#This Row],[BW_GA]])-1)/(Backend!$B$4/100*Table1[[#This Row],[BW40_3705]]),"")</f>
        <v/>
      </c>
      <c r="I8962" s="7" t="str">
        <f>IF(Table1[[#This Row],[Is Data Valid]]=TRUE,((Table1[[#This Row],[Birthweight (grams)]]*1.1/Table1[[#This Row],[BW_GA]])-1)/(Backend!$B$4/100*Table1[[#This Row],[BW40_3705]]),"")</f>
        <v/>
      </c>
      <c r="J8962" s="7" t="str">
        <f>IF(Table1[[#This Row],[Is Data Valid]]=TRUE,_xlfn.NORM.S.DIST(Table1[[#This Row],[Birthweight Z-Score]],TRUE)*100,"")</f>
        <v/>
      </c>
      <c r="K8962" s="7" t="str">
        <f>IF(Table1[[#This Row],[Is Data Valid]]=TRUE,_xlfn.NORM.S.DIST(Table1[[#This Row],[Birthweight Z-Score (BW-10%)]],TRUE)*100,"")</f>
        <v/>
      </c>
      <c r="L8962" s="7" t="str">
        <f>IF(Table1[[#This Row],[Is Data Valid]]=TRUE,_xlfn.NORM.S.DIST(Table1[[#This Row],[Birthweight Z-Score (BW+10%)]],TRUE)*100,"")</f>
        <v/>
      </c>
    </row>
    <row r="8963" spans="1:12" x14ac:dyDescent="0.35">
      <c r="A8963" s="3"/>
      <c r="B8963" s="2"/>
      <c r="C8963" s="2"/>
      <c r="D8963" s="2" t="b">
        <f>IF(AND(NOT(ISBLANK(Table1[[#This Row],[Fetal Sex (Male, Female or Unknown)]])),ISNUMBER(Table1[[#This Row],[Birthweight (grams)]]),ISNUMBER(Table1[[#This Row],[Gestation (days)]])),TRUE,FALSE)</f>
        <v>0</v>
      </c>
      <c r="E8963" s="2" t="str">
        <f>IF(Table1[[#This Row],[Is Data Valid]]=TRUE,IF(Table1[[#This Row],[Fetal Sex (Male, Female or Unknown)]]="Male",Backend!$C$6,IF(Table1[[#This Row],[Fetal Sex (Male, Female or Unknown)]]="Female",Backend!$C$7,IF(Table1[[#This Row],[Fetal Sex (Male, Female or Unknown)]]="Unknown",Backend!$C$8,"Error"))),"")</f>
        <v/>
      </c>
      <c r="F8963" s="8" t="str">
        <f>IF(Table1[[#This Row],[Is Data Valid]]=TRUE,EXP(0.578+0.332*((Table1[[#This Row],[Gestation (days)]]+0.5)/7)-0.00354*((Table1[[#This Row],[Gestation (days)]]+0.5)/7)^2)*Table1[[#This Row],[BW40_3705]],"")</f>
        <v/>
      </c>
      <c r="G8963" s="2" t="str">
        <f>IF(Table1[[#This Row],[Is Data Valid]]=TRUE,((Table1[[#This Row],[Birthweight (grams)]]/Table1[[#This Row],[BW_GA]])-1)/(Backend!$B$4/100*Table1[[#This Row],[BW40_3705]]),"")</f>
        <v/>
      </c>
      <c r="H8963" s="7" t="str">
        <f>IF(Table1[[#This Row],[Is Data Valid]]=TRUE,((Table1[[#This Row],[Birthweight (grams)]]*0.9/Table1[[#This Row],[BW_GA]])-1)/(Backend!$B$4/100*Table1[[#This Row],[BW40_3705]]),"")</f>
        <v/>
      </c>
      <c r="I8963" s="7" t="str">
        <f>IF(Table1[[#This Row],[Is Data Valid]]=TRUE,((Table1[[#This Row],[Birthweight (grams)]]*1.1/Table1[[#This Row],[BW_GA]])-1)/(Backend!$B$4/100*Table1[[#This Row],[BW40_3705]]),"")</f>
        <v/>
      </c>
      <c r="J8963" s="7" t="str">
        <f>IF(Table1[[#This Row],[Is Data Valid]]=TRUE,_xlfn.NORM.S.DIST(Table1[[#This Row],[Birthweight Z-Score]],TRUE)*100,"")</f>
        <v/>
      </c>
      <c r="K8963" s="7" t="str">
        <f>IF(Table1[[#This Row],[Is Data Valid]]=TRUE,_xlfn.NORM.S.DIST(Table1[[#This Row],[Birthweight Z-Score (BW-10%)]],TRUE)*100,"")</f>
        <v/>
      </c>
      <c r="L8963" s="7" t="str">
        <f>IF(Table1[[#This Row],[Is Data Valid]]=TRUE,_xlfn.NORM.S.DIST(Table1[[#This Row],[Birthweight Z-Score (BW+10%)]],TRUE)*100,"")</f>
        <v/>
      </c>
    </row>
    <row r="8964" spans="1:12" x14ac:dyDescent="0.35">
      <c r="A8964" s="3"/>
      <c r="B8964" s="2"/>
      <c r="C8964" s="2"/>
      <c r="D8964" s="2" t="b">
        <f>IF(AND(NOT(ISBLANK(Table1[[#This Row],[Fetal Sex (Male, Female or Unknown)]])),ISNUMBER(Table1[[#This Row],[Birthweight (grams)]]),ISNUMBER(Table1[[#This Row],[Gestation (days)]])),TRUE,FALSE)</f>
        <v>0</v>
      </c>
      <c r="E8964" s="2" t="str">
        <f>IF(Table1[[#This Row],[Is Data Valid]]=TRUE,IF(Table1[[#This Row],[Fetal Sex (Male, Female or Unknown)]]="Male",Backend!$C$6,IF(Table1[[#This Row],[Fetal Sex (Male, Female or Unknown)]]="Female",Backend!$C$7,IF(Table1[[#This Row],[Fetal Sex (Male, Female or Unknown)]]="Unknown",Backend!$C$8,"Error"))),"")</f>
        <v/>
      </c>
      <c r="F8964" s="8" t="str">
        <f>IF(Table1[[#This Row],[Is Data Valid]]=TRUE,EXP(0.578+0.332*((Table1[[#This Row],[Gestation (days)]]+0.5)/7)-0.00354*((Table1[[#This Row],[Gestation (days)]]+0.5)/7)^2)*Table1[[#This Row],[BW40_3705]],"")</f>
        <v/>
      </c>
      <c r="G8964" s="2" t="str">
        <f>IF(Table1[[#This Row],[Is Data Valid]]=TRUE,((Table1[[#This Row],[Birthweight (grams)]]/Table1[[#This Row],[BW_GA]])-1)/(Backend!$B$4/100*Table1[[#This Row],[BW40_3705]]),"")</f>
        <v/>
      </c>
      <c r="H8964" s="7" t="str">
        <f>IF(Table1[[#This Row],[Is Data Valid]]=TRUE,((Table1[[#This Row],[Birthweight (grams)]]*0.9/Table1[[#This Row],[BW_GA]])-1)/(Backend!$B$4/100*Table1[[#This Row],[BW40_3705]]),"")</f>
        <v/>
      </c>
      <c r="I8964" s="7" t="str">
        <f>IF(Table1[[#This Row],[Is Data Valid]]=TRUE,((Table1[[#This Row],[Birthweight (grams)]]*1.1/Table1[[#This Row],[BW_GA]])-1)/(Backend!$B$4/100*Table1[[#This Row],[BW40_3705]]),"")</f>
        <v/>
      </c>
      <c r="J8964" s="7" t="str">
        <f>IF(Table1[[#This Row],[Is Data Valid]]=TRUE,_xlfn.NORM.S.DIST(Table1[[#This Row],[Birthweight Z-Score]],TRUE)*100,"")</f>
        <v/>
      </c>
      <c r="K8964" s="7" t="str">
        <f>IF(Table1[[#This Row],[Is Data Valid]]=TRUE,_xlfn.NORM.S.DIST(Table1[[#This Row],[Birthweight Z-Score (BW-10%)]],TRUE)*100,"")</f>
        <v/>
      </c>
      <c r="L8964" s="7" t="str">
        <f>IF(Table1[[#This Row],[Is Data Valid]]=TRUE,_xlfn.NORM.S.DIST(Table1[[#This Row],[Birthweight Z-Score (BW+10%)]],TRUE)*100,"")</f>
        <v/>
      </c>
    </row>
    <row r="8965" spans="1:12" x14ac:dyDescent="0.35">
      <c r="A8965" s="3"/>
      <c r="B8965" s="2"/>
      <c r="C8965" s="2"/>
      <c r="D8965" s="2" t="b">
        <f>IF(AND(NOT(ISBLANK(Table1[[#This Row],[Fetal Sex (Male, Female or Unknown)]])),ISNUMBER(Table1[[#This Row],[Birthweight (grams)]]),ISNUMBER(Table1[[#This Row],[Gestation (days)]])),TRUE,FALSE)</f>
        <v>0</v>
      </c>
      <c r="E8965" s="2" t="str">
        <f>IF(Table1[[#This Row],[Is Data Valid]]=TRUE,IF(Table1[[#This Row],[Fetal Sex (Male, Female or Unknown)]]="Male",Backend!$C$6,IF(Table1[[#This Row],[Fetal Sex (Male, Female or Unknown)]]="Female",Backend!$C$7,IF(Table1[[#This Row],[Fetal Sex (Male, Female or Unknown)]]="Unknown",Backend!$C$8,"Error"))),"")</f>
        <v/>
      </c>
      <c r="F8965" s="8" t="str">
        <f>IF(Table1[[#This Row],[Is Data Valid]]=TRUE,EXP(0.578+0.332*((Table1[[#This Row],[Gestation (days)]]+0.5)/7)-0.00354*((Table1[[#This Row],[Gestation (days)]]+0.5)/7)^2)*Table1[[#This Row],[BW40_3705]],"")</f>
        <v/>
      </c>
      <c r="G8965" s="2" t="str">
        <f>IF(Table1[[#This Row],[Is Data Valid]]=TRUE,((Table1[[#This Row],[Birthweight (grams)]]/Table1[[#This Row],[BW_GA]])-1)/(Backend!$B$4/100*Table1[[#This Row],[BW40_3705]]),"")</f>
        <v/>
      </c>
      <c r="H8965" s="7" t="str">
        <f>IF(Table1[[#This Row],[Is Data Valid]]=TRUE,((Table1[[#This Row],[Birthweight (grams)]]*0.9/Table1[[#This Row],[BW_GA]])-1)/(Backend!$B$4/100*Table1[[#This Row],[BW40_3705]]),"")</f>
        <v/>
      </c>
      <c r="I8965" s="7" t="str">
        <f>IF(Table1[[#This Row],[Is Data Valid]]=TRUE,((Table1[[#This Row],[Birthweight (grams)]]*1.1/Table1[[#This Row],[BW_GA]])-1)/(Backend!$B$4/100*Table1[[#This Row],[BW40_3705]]),"")</f>
        <v/>
      </c>
      <c r="J8965" s="7" t="str">
        <f>IF(Table1[[#This Row],[Is Data Valid]]=TRUE,_xlfn.NORM.S.DIST(Table1[[#This Row],[Birthweight Z-Score]],TRUE)*100,"")</f>
        <v/>
      </c>
      <c r="K8965" s="7" t="str">
        <f>IF(Table1[[#This Row],[Is Data Valid]]=TRUE,_xlfn.NORM.S.DIST(Table1[[#This Row],[Birthweight Z-Score (BW-10%)]],TRUE)*100,"")</f>
        <v/>
      </c>
      <c r="L8965" s="7" t="str">
        <f>IF(Table1[[#This Row],[Is Data Valid]]=TRUE,_xlfn.NORM.S.DIST(Table1[[#This Row],[Birthweight Z-Score (BW+10%)]],TRUE)*100,"")</f>
        <v/>
      </c>
    </row>
    <row r="8966" spans="1:12" x14ac:dyDescent="0.35">
      <c r="A8966" s="3"/>
      <c r="B8966" s="2"/>
      <c r="C8966" s="2"/>
      <c r="D8966" s="2" t="b">
        <f>IF(AND(NOT(ISBLANK(Table1[[#This Row],[Fetal Sex (Male, Female or Unknown)]])),ISNUMBER(Table1[[#This Row],[Birthweight (grams)]]),ISNUMBER(Table1[[#This Row],[Gestation (days)]])),TRUE,FALSE)</f>
        <v>0</v>
      </c>
      <c r="E8966" s="2" t="str">
        <f>IF(Table1[[#This Row],[Is Data Valid]]=TRUE,IF(Table1[[#This Row],[Fetal Sex (Male, Female or Unknown)]]="Male",Backend!$C$6,IF(Table1[[#This Row],[Fetal Sex (Male, Female or Unknown)]]="Female",Backend!$C$7,IF(Table1[[#This Row],[Fetal Sex (Male, Female or Unknown)]]="Unknown",Backend!$C$8,"Error"))),"")</f>
        <v/>
      </c>
      <c r="F8966" s="8" t="str">
        <f>IF(Table1[[#This Row],[Is Data Valid]]=TRUE,EXP(0.578+0.332*((Table1[[#This Row],[Gestation (days)]]+0.5)/7)-0.00354*((Table1[[#This Row],[Gestation (days)]]+0.5)/7)^2)*Table1[[#This Row],[BW40_3705]],"")</f>
        <v/>
      </c>
      <c r="G8966" s="2" t="str">
        <f>IF(Table1[[#This Row],[Is Data Valid]]=TRUE,((Table1[[#This Row],[Birthweight (grams)]]/Table1[[#This Row],[BW_GA]])-1)/(Backend!$B$4/100*Table1[[#This Row],[BW40_3705]]),"")</f>
        <v/>
      </c>
      <c r="H8966" s="7" t="str">
        <f>IF(Table1[[#This Row],[Is Data Valid]]=TRUE,((Table1[[#This Row],[Birthweight (grams)]]*0.9/Table1[[#This Row],[BW_GA]])-1)/(Backend!$B$4/100*Table1[[#This Row],[BW40_3705]]),"")</f>
        <v/>
      </c>
      <c r="I8966" s="7" t="str">
        <f>IF(Table1[[#This Row],[Is Data Valid]]=TRUE,((Table1[[#This Row],[Birthweight (grams)]]*1.1/Table1[[#This Row],[BW_GA]])-1)/(Backend!$B$4/100*Table1[[#This Row],[BW40_3705]]),"")</f>
        <v/>
      </c>
      <c r="J8966" s="7" t="str">
        <f>IF(Table1[[#This Row],[Is Data Valid]]=TRUE,_xlfn.NORM.S.DIST(Table1[[#This Row],[Birthweight Z-Score]],TRUE)*100,"")</f>
        <v/>
      </c>
      <c r="K8966" s="7" t="str">
        <f>IF(Table1[[#This Row],[Is Data Valid]]=TRUE,_xlfn.NORM.S.DIST(Table1[[#This Row],[Birthweight Z-Score (BW-10%)]],TRUE)*100,"")</f>
        <v/>
      </c>
      <c r="L8966" s="7" t="str">
        <f>IF(Table1[[#This Row],[Is Data Valid]]=TRUE,_xlfn.NORM.S.DIST(Table1[[#This Row],[Birthweight Z-Score (BW+10%)]],TRUE)*100,"")</f>
        <v/>
      </c>
    </row>
    <row r="8967" spans="1:12" x14ac:dyDescent="0.35">
      <c r="A8967" s="3"/>
      <c r="B8967" s="2"/>
      <c r="C8967" s="2"/>
      <c r="D8967" s="2" t="b">
        <f>IF(AND(NOT(ISBLANK(Table1[[#This Row],[Fetal Sex (Male, Female or Unknown)]])),ISNUMBER(Table1[[#This Row],[Birthweight (grams)]]),ISNUMBER(Table1[[#This Row],[Gestation (days)]])),TRUE,FALSE)</f>
        <v>0</v>
      </c>
      <c r="E8967" s="2" t="str">
        <f>IF(Table1[[#This Row],[Is Data Valid]]=TRUE,IF(Table1[[#This Row],[Fetal Sex (Male, Female or Unknown)]]="Male",Backend!$C$6,IF(Table1[[#This Row],[Fetal Sex (Male, Female or Unknown)]]="Female",Backend!$C$7,IF(Table1[[#This Row],[Fetal Sex (Male, Female or Unknown)]]="Unknown",Backend!$C$8,"Error"))),"")</f>
        <v/>
      </c>
      <c r="F8967" s="8" t="str">
        <f>IF(Table1[[#This Row],[Is Data Valid]]=TRUE,EXP(0.578+0.332*((Table1[[#This Row],[Gestation (days)]]+0.5)/7)-0.00354*((Table1[[#This Row],[Gestation (days)]]+0.5)/7)^2)*Table1[[#This Row],[BW40_3705]],"")</f>
        <v/>
      </c>
      <c r="G8967" s="2" t="str">
        <f>IF(Table1[[#This Row],[Is Data Valid]]=TRUE,((Table1[[#This Row],[Birthweight (grams)]]/Table1[[#This Row],[BW_GA]])-1)/(Backend!$B$4/100*Table1[[#This Row],[BW40_3705]]),"")</f>
        <v/>
      </c>
      <c r="H8967" s="7" t="str">
        <f>IF(Table1[[#This Row],[Is Data Valid]]=TRUE,((Table1[[#This Row],[Birthweight (grams)]]*0.9/Table1[[#This Row],[BW_GA]])-1)/(Backend!$B$4/100*Table1[[#This Row],[BW40_3705]]),"")</f>
        <v/>
      </c>
      <c r="I8967" s="7" t="str">
        <f>IF(Table1[[#This Row],[Is Data Valid]]=TRUE,((Table1[[#This Row],[Birthweight (grams)]]*1.1/Table1[[#This Row],[BW_GA]])-1)/(Backend!$B$4/100*Table1[[#This Row],[BW40_3705]]),"")</f>
        <v/>
      </c>
      <c r="J8967" s="7" t="str">
        <f>IF(Table1[[#This Row],[Is Data Valid]]=TRUE,_xlfn.NORM.S.DIST(Table1[[#This Row],[Birthweight Z-Score]],TRUE)*100,"")</f>
        <v/>
      </c>
      <c r="K8967" s="7" t="str">
        <f>IF(Table1[[#This Row],[Is Data Valid]]=TRUE,_xlfn.NORM.S.DIST(Table1[[#This Row],[Birthweight Z-Score (BW-10%)]],TRUE)*100,"")</f>
        <v/>
      </c>
      <c r="L8967" s="7" t="str">
        <f>IF(Table1[[#This Row],[Is Data Valid]]=TRUE,_xlfn.NORM.S.DIST(Table1[[#This Row],[Birthweight Z-Score (BW+10%)]],TRUE)*100,"")</f>
        <v/>
      </c>
    </row>
    <row r="8968" spans="1:12" x14ac:dyDescent="0.35">
      <c r="A8968" s="3"/>
      <c r="B8968" s="2"/>
      <c r="C8968" s="2"/>
      <c r="D8968" s="2" t="b">
        <f>IF(AND(NOT(ISBLANK(Table1[[#This Row],[Fetal Sex (Male, Female or Unknown)]])),ISNUMBER(Table1[[#This Row],[Birthweight (grams)]]),ISNUMBER(Table1[[#This Row],[Gestation (days)]])),TRUE,FALSE)</f>
        <v>0</v>
      </c>
      <c r="E8968" s="2" t="str">
        <f>IF(Table1[[#This Row],[Is Data Valid]]=TRUE,IF(Table1[[#This Row],[Fetal Sex (Male, Female or Unknown)]]="Male",Backend!$C$6,IF(Table1[[#This Row],[Fetal Sex (Male, Female or Unknown)]]="Female",Backend!$C$7,IF(Table1[[#This Row],[Fetal Sex (Male, Female or Unknown)]]="Unknown",Backend!$C$8,"Error"))),"")</f>
        <v/>
      </c>
      <c r="F8968" s="8" t="str">
        <f>IF(Table1[[#This Row],[Is Data Valid]]=TRUE,EXP(0.578+0.332*((Table1[[#This Row],[Gestation (days)]]+0.5)/7)-0.00354*((Table1[[#This Row],[Gestation (days)]]+0.5)/7)^2)*Table1[[#This Row],[BW40_3705]],"")</f>
        <v/>
      </c>
      <c r="G8968" s="2" t="str">
        <f>IF(Table1[[#This Row],[Is Data Valid]]=TRUE,((Table1[[#This Row],[Birthweight (grams)]]/Table1[[#This Row],[BW_GA]])-1)/(Backend!$B$4/100*Table1[[#This Row],[BW40_3705]]),"")</f>
        <v/>
      </c>
      <c r="H8968" s="7" t="str">
        <f>IF(Table1[[#This Row],[Is Data Valid]]=TRUE,((Table1[[#This Row],[Birthweight (grams)]]*0.9/Table1[[#This Row],[BW_GA]])-1)/(Backend!$B$4/100*Table1[[#This Row],[BW40_3705]]),"")</f>
        <v/>
      </c>
      <c r="I8968" s="7" t="str">
        <f>IF(Table1[[#This Row],[Is Data Valid]]=TRUE,((Table1[[#This Row],[Birthweight (grams)]]*1.1/Table1[[#This Row],[BW_GA]])-1)/(Backend!$B$4/100*Table1[[#This Row],[BW40_3705]]),"")</f>
        <v/>
      </c>
      <c r="J8968" s="7" t="str">
        <f>IF(Table1[[#This Row],[Is Data Valid]]=TRUE,_xlfn.NORM.S.DIST(Table1[[#This Row],[Birthweight Z-Score]],TRUE)*100,"")</f>
        <v/>
      </c>
      <c r="K8968" s="7" t="str">
        <f>IF(Table1[[#This Row],[Is Data Valid]]=TRUE,_xlfn.NORM.S.DIST(Table1[[#This Row],[Birthweight Z-Score (BW-10%)]],TRUE)*100,"")</f>
        <v/>
      </c>
      <c r="L8968" s="7" t="str">
        <f>IF(Table1[[#This Row],[Is Data Valid]]=TRUE,_xlfn.NORM.S.DIST(Table1[[#This Row],[Birthweight Z-Score (BW+10%)]],TRUE)*100,"")</f>
        <v/>
      </c>
    </row>
    <row r="8969" spans="1:12" x14ac:dyDescent="0.35">
      <c r="A8969" s="3"/>
      <c r="B8969" s="2"/>
      <c r="C8969" s="2"/>
      <c r="D8969" s="2" t="b">
        <f>IF(AND(NOT(ISBLANK(Table1[[#This Row],[Fetal Sex (Male, Female or Unknown)]])),ISNUMBER(Table1[[#This Row],[Birthweight (grams)]]),ISNUMBER(Table1[[#This Row],[Gestation (days)]])),TRUE,FALSE)</f>
        <v>0</v>
      </c>
      <c r="E8969" s="2" t="str">
        <f>IF(Table1[[#This Row],[Is Data Valid]]=TRUE,IF(Table1[[#This Row],[Fetal Sex (Male, Female or Unknown)]]="Male",Backend!$C$6,IF(Table1[[#This Row],[Fetal Sex (Male, Female or Unknown)]]="Female",Backend!$C$7,IF(Table1[[#This Row],[Fetal Sex (Male, Female or Unknown)]]="Unknown",Backend!$C$8,"Error"))),"")</f>
        <v/>
      </c>
      <c r="F8969" s="8" t="str">
        <f>IF(Table1[[#This Row],[Is Data Valid]]=TRUE,EXP(0.578+0.332*((Table1[[#This Row],[Gestation (days)]]+0.5)/7)-0.00354*((Table1[[#This Row],[Gestation (days)]]+0.5)/7)^2)*Table1[[#This Row],[BW40_3705]],"")</f>
        <v/>
      </c>
      <c r="G8969" s="2" t="str">
        <f>IF(Table1[[#This Row],[Is Data Valid]]=TRUE,((Table1[[#This Row],[Birthweight (grams)]]/Table1[[#This Row],[BW_GA]])-1)/(Backend!$B$4/100*Table1[[#This Row],[BW40_3705]]),"")</f>
        <v/>
      </c>
      <c r="H8969" s="7" t="str">
        <f>IF(Table1[[#This Row],[Is Data Valid]]=TRUE,((Table1[[#This Row],[Birthweight (grams)]]*0.9/Table1[[#This Row],[BW_GA]])-1)/(Backend!$B$4/100*Table1[[#This Row],[BW40_3705]]),"")</f>
        <v/>
      </c>
      <c r="I8969" s="7" t="str">
        <f>IF(Table1[[#This Row],[Is Data Valid]]=TRUE,((Table1[[#This Row],[Birthweight (grams)]]*1.1/Table1[[#This Row],[BW_GA]])-1)/(Backend!$B$4/100*Table1[[#This Row],[BW40_3705]]),"")</f>
        <v/>
      </c>
      <c r="J8969" s="7" t="str">
        <f>IF(Table1[[#This Row],[Is Data Valid]]=TRUE,_xlfn.NORM.S.DIST(Table1[[#This Row],[Birthweight Z-Score]],TRUE)*100,"")</f>
        <v/>
      </c>
      <c r="K8969" s="7" t="str">
        <f>IF(Table1[[#This Row],[Is Data Valid]]=TRUE,_xlfn.NORM.S.DIST(Table1[[#This Row],[Birthweight Z-Score (BW-10%)]],TRUE)*100,"")</f>
        <v/>
      </c>
      <c r="L8969" s="7" t="str">
        <f>IF(Table1[[#This Row],[Is Data Valid]]=TRUE,_xlfn.NORM.S.DIST(Table1[[#This Row],[Birthweight Z-Score (BW+10%)]],TRUE)*100,"")</f>
        <v/>
      </c>
    </row>
    <row r="8970" spans="1:12" x14ac:dyDescent="0.35">
      <c r="A8970" s="3"/>
      <c r="B8970" s="2"/>
      <c r="C8970" s="2"/>
      <c r="D8970" s="2" t="b">
        <f>IF(AND(NOT(ISBLANK(Table1[[#This Row],[Fetal Sex (Male, Female or Unknown)]])),ISNUMBER(Table1[[#This Row],[Birthweight (grams)]]),ISNUMBER(Table1[[#This Row],[Gestation (days)]])),TRUE,FALSE)</f>
        <v>0</v>
      </c>
      <c r="E8970" s="2" t="str">
        <f>IF(Table1[[#This Row],[Is Data Valid]]=TRUE,IF(Table1[[#This Row],[Fetal Sex (Male, Female or Unknown)]]="Male",Backend!$C$6,IF(Table1[[#This Row],[Fetal Sex (Male, Female or Unknown)]]="Female",Backend!$C$7,IF(Table1[[#This Row],[Fetal Sex (Male, Female or Unknown)]]="Unknown",Backend!$C$8,"Error"))),"")</f>
        <v/>
      </c>
      <c r="F8970" s="8" t="str">
        <f>IF(Table1[[#This Row],[Is Data Valid]]=TRUE,EXP(0.578+0.332*((Table1[[#This Row],[Gestation (days)]]+0.5)/7)-0.00354*((Table1[[#This Row],[Gestation (days)]]+0.5)/7)^2)*Table1[[#This Row],[BW40_3705]],"")</f>
        <v/>
      </c>
      <c r="G8970" s="2" t="str">
        <f>IF(Table1[[#This Row],[Is Data Valid]]=TRUE,((Table1[[#This Row],[Birthweight (grams)]]/Table1[[#This Row],[BW_GA]])-1)/(Backend!$B$4/100*Table1[[#This Row],[BW40_3705]]),"")</f>
        <v/>
      </c>
      <c r="H8970" s="7" t="str">
        <f>IF(Table1[[#This Row],[Is Data Valid]]=TRUE,((Table1[[#This Row],[Birthweight (grams)]]*0.9/Table1[[#This Row],[BW_GA]])-1)/(Backend!$B$4/100*Table1[[#This Row],[BW40_3705]]),"")</f>
        <v/>
      </c>
      <c r="I8970" s="7" t="str">
        <f>IF(Table1[[#This Row],[Is Data Valid]]=TRUE,((Table1[[#This Row],[Birthweight (grams)]]*1.1/Table1[[#This Row],[BW_GA]])-1)/(Backend!$B$4/100*Table1[[#This Row],[BW40_3705]]),"")</f>
        <v/>
      </c>
      <c r="J8970" s="7" t="str">
        <f>IF(Table1[[#This Row],[Is Data Valid]]=TRUE,_xlfn.NORM.S.DIST(Table1[[#This Row],[Birthweight Z-Score]],TRUE)*100,"")</f>
        <v/>
      </c>
      <c r="K8970" s="7" t="str">
        <f>IF(Table1[[#This Row],[Is Data Valid]]=TRUE,_xlfn.NORM.S.DIST(Table1[[#This Row],[Birthweight Z-Score (BW-10%)]],TRUE)*100,"")</f>
        <v/>
      </c>
      <c r="L8970" s="7" t="str">
        <f>IF(Table1[[#This Row],[Is Data Valid]]=TRUE,_xlfn.NORM.S.DIST(Table1[[#This Row],[Birthweight Z-Score (BW+10%)]],TRUE)*100,"")</f>
        <v/>
      </c>
    </row>
    <row r="8971" spans="1:12" x14ac:dyDescent="0.35">
      <c r="A8971" s="3"/>
      <c r="B8971" s="2"/>
      <c r="C8971" s="2"/>
      <c r="D8971" s="2" t="b">
        <f>IF(AND(NOT(ISBLANK(Table1[[#This Row],[Fetal Sex (Male, Female or Unknown)]])),ISNUMBER(Table1[[#This Row],[Birthweight (grams)]]),ISNUMBER(Table1[[#This Row],[Gestation (days)]])),TRUE,FALSE)</f>
        <v>0</v>
      </c>
      <c r="E8971" s="2" t="str">
        <f>IF(Table1[[#This Row],[Is Data Valid]]=TRUE,IF(Table1[[#This Row],[Fetal Sex (Male, Female or Unknown)]]="Male",Backend!$C$6,IF(Table1[[#This Row],[Fetal Sex (Male, Female or Unknown)]]="Female",Backend!$C$7,IF(Table1[[#This Row],[Fetal Sex (Male, Female or Unknown)]]="Unknown",Backend!$C$8,"Error"))),"")</f>
        <v/>
      </c>
      <c r="F8971" s="8" t="str">
        <f>IF(Table1[[#This Row],[Is Data Valid]]=TRUE,EXP(0.578+0.332*((Table1[[#This Row],[Gestation (days)]]+0.5)/7)-0.00354*((Table1[[#This Row],[Gestation (days)]]+0.5)/7)^2)*Table1[[#This Row],[BW40_3705]],"")</f>
        <v/>
      </c>
      <c r="G8971" s="2" t="str">
        <f>IF(Table1[[#This Row],[Is Data Valid]]=TRUE,((Table1[[#This Row],[Birthweight (grams)]]/Table1[[#This Row],[BW_GA]])-1)/(Backend!$B$4/100*Table1[[#This Row],[BW40_3705]]),"")</f>
        <v/>
      </c>
      <c r="H8971" s="7" t="str">
        <f>IF(Table1[[#This Row],[Is Data Valid]]=TRUE,((Table1[[#This Row],[Birthweight (grams)]]*0.9/Table1[[#This Row],[BW_GA]])-1)/(Backend!$B$4/100*Table1[[#This Row],[BW40_3705]]),"")</f>
        <v/>
      </c>
      <c r="I8971" s="7" t="str">
        <f>IF(Table1[[#This Row],[Is Data Valid]]=TRUE,((Table1[[#This Row],[Birthweight (grams)]]*1.1/Table1[[#This Row],[BW_GA]])-1)/(Backend!$B$4/100*Table1[[#This Row],[BW40_3705]]),"")</f>
        <v/>
      </c>
      <c r="J8971" s="7" t="str">
        <f>IF(Table1[[#This Row],[Is Data Valid]]=TRUE,_xlfn.NORM.S.DIST(Table1[[#This Row],[Birthweight Z-Score]],TRUE)*100,"")</f>
        <v/>
      </c>
      <c r="K8971" s="7" t="str">
        <f>IF(Table1[[#This Row],[Is Data Valid]]=TRUE,_xlfn.NORM.S.DIST(Table1[[#This Row],[Birthweight Z-Score (BW-10%)]],TRUE)*100,"")</f>
        <v/>
      </c>
      <c r="L8971" s="7" t="str">
        <f>IF(Table1[[#This Row],[Is Data Valid]]=TRUE,_xlfn.NORM.S.DIST(Table1[[#This Row],[Birthweight Z-Score (BW+10%)]],TRUE)*100,"")</f>
        <v/>
      </c>
    </row>
    <row r="8972" spans="1:12" x14ac:dyDescent="0.35">
      <c r="A8972" s="3"/>
      <c r="B8972" s="2"/>
      <c r="C8972" s="2"/>
      <c r="D8972" s="2" t="b">
        <f>IF(AND(NOT(ISBLANK(Table1[[#This Row],[Fetal Sex (Male, Female or Unknown)]])),ISNUMBER(Table1[[#This Row],[Birthweight (grams)]]),ISNUMBER(Table1[[#This Row],[Gestation (days)]])),TRUE,FALSE)</f>
        <v>0</v>
      </c>
      <c r="E8972" s="2" t="str">
        <f>IF(Table1[[#This Row],[Is Data Valid]]=TRUE,IF(Table1[[#This Row],[Fetal Sex (Male, Female or Unknown)]]="Male",Backend!$C$6,IF(Table1[[#This Row],[Fetal Sex (Male, Female or Unknown)]]="Female",Backend!$C$7,IF(Table1[[#This Row],[Fetal Sex (Male, Female or Unknown)]]="Unknown",Backend!$C$8,"Error"))),"")</f>
        <v/>
      </c>
      <c r="F8972" s="8" t="str">
        <f>IF(Table1[[#This Row],[Is Data Valid]]=TRUE,EXP(0.578+0.332*((Table1[[#This Row],[Gestation (days)]]+0.5)/7)-0.00354*((Table1[[#This Row],[Gestation (days)]]+0.5)/7)^2)*Table1[[#This Row],[BW40_3705]],"")</f>
        <v/>
      </c>
      <c r="G8972" s="2" t="str">
        <f>IF(Table1[[#This Row],[Is Data Valid]]=TRUE,((Table1[[#This Row],[Birthweight (grams)]]/Table1[[#This Row],[BW_GA]])-1)/(Backend!$B$4/100*Table1[[#This Row],[BW40_3705]]),"")</f>
        <v/>
      </c>
      <c r="H8972" s="7" t="str">
        <f>IF(Table1[[#This Row],[Is Data Valid]]=TRUE,((Table1[[#This Row],[Birthweight (grams)]]*0.9/Table1[[#This Row],[BW_GA]])-1)/(Backend!$B$4/100*Table1[[#This Row],[BW40_3705]]),"")</f>
        <v/>
      </c>
      <c r="I8972" s="7" t="str">
        <f>IF(Table1[[#This Row],[Is Data Valid]]=TRUE,((Table1[[#This Row],[Birthweight (grams)]]*1.1/Table1[[#This Row],[BW_GA]])-1)/(Backend!$B$4/100*Table1[[#This Row],[BW40_3705]]),"")</f>
        <v/>
      </c>
      <c r="J8972" s="7" t="str">
        <f>IF(Table1[[#This Row],[Is Data Valid]]=TRUE,_xlfn.NORM.S.DIST(Table1[[#This Row],[Birthweight Z-Score]],TRUE)*100,"")</f>
        <v/>
      </c>
      <c r="K8972" s="7" t="str">
        <f>IF(Table1[[#This Row],[Is Data Valid]]=TRUE,_xlfn.NORM.S.DIST(Table1[[#This Row],[Birthweight Z-Score (BW-10%)]],TRUE)*100,"")</f>
        <v/>
      </c>
      <c r="L8972" s="7" t="str">
        <f>IF(Table1[[#This Row],[Is Data Valid]]=TRUE,_xlfn.NORM.S.DIST(Table1[[#This Row],[Birthweight Z-Score (BW+10%)]],TRUE)*100,"")</f>
        <v/>
      </c>
    </row>
    <row r="8973" spans="1:12" x14ac:dyDescent="0.35">
      <c r="A8973" s="3"/>
      <c r="B8973" s="2"/>
      <c r="C8973" s="2"/>
      <c r="D8973" s="2" t="b">
        <f>IF(AND(NOT(ISBLANK(Table1[[#This Row],[Fetal Sex (Male, Female or Unknown)]])),ISNUMBER(Table1[[#This Row],[Birthweight (grams)]]),ISNUMBER(Table1[[#This Row],[Gestation (days)]])),TRUE,FALSE)</f>
        <v>0</v>
      </c>
      <c r="E8973" s="2" t="str">
        <f>IF(Table1[[#This Row],[Is Data Valid]]=TRUE,IF(Table1[[#This Row],[Fetal Sex (Male, Female or Unknown)]]="Male",Backend!$C$6,IF(Table1[[#This Row],[Fetal Sex (Male, Female or Unknown)]]="Female",Backend!$C$7,IF(Table1[[#This Row],[Fetal Sex (Male, Female or Unknown)]]="Unknown",Backend!$C$8,"Error"))),"")</f>
        <v/>
      </c>
      <c r="F8973" s="8" t="str">
        <f>IF(Table1[[#This Row],[Is Data Valid]]=TRUE,EXP(0.578+0.332*((Table1[[#This Row],[Gestation (days)]]+0.5)/7)-0.00354*((Table1[[#This Row],[Gestation (days)]]+0.5)/7)^2)*Table1[[#This Row],[BW40_3705]],"")</f>
        <v/>
      </c>
      <c r="G8973" s="2" t="str">
        <f>IF(Table1[[#This Row],[Is Data Valid]]=TRUE,((Table1[[#This Row],[Birthweight (grams)]]/Table1[[#This Row],[BW_GA]])-1)/(Backend!$B$4/100*Table1[[#This Row],[BW40_3705]]),"")</f>
        <v/>
      </c>
      <c r="H8973" s="7" t="str">
        <f>IF(Table1[[#This Row],[Is Data Valid]]=TRUE,((Table1[[#This Row],[Birthweight (grams)]]*0.9/Table1[[#This Row],[BW_GA]])-1)/(Backend!$B$4/100*Table1[[#This Row],[BW40_3705]]),"")</f>
        <v/>
      </c>
      <c r="I8973" s="7" t="str">
        <f>IF(Table1[[#This Row],[Is Data Valid]]=TRUE,((Table1[[#This Row],[Birthweight (grams)]]*1.1/Table1[[#This Row],[BW_GA]])-1)/(Backend!$B$4/100*Table1[[#This Row],[BW40_3705]]),"")</f>
        <v/>
      </c>
      <c r="J8973" s="7" t="str">
        <f>IF(Table1[[#This Row],[Is Data Valid]]=TRUE,_xlfn.NORM.S.DIST(Table1[[#This Row],[Birthweight Z-Score]],TRUE)*100,"")</f>
        <v/>
      </c>
      <c r="K8973" s="7" t="str">
        <f>IF(Table1[[#This Row],[Is Data Valid]]=TRUE,_xlfn.NORM.S.DIST(Table1[[#This Row],[Birthweight Z-Score (BW-10%)]],TRUE)*100,"")</f>
        <v/>
      </c>
      <c r="L8973" s="7" t="str">
        <f>IF(Table1[[#This Row],[Is Data Valid]]=TRUE,_xlfn.NORM.S.DIST(Table1[[#This Row],[Birthweight Z-Score (BW+10%)]],TRUE)*100,"")</f>
        <v/>
      </c>
    </row>
    <row r="8974" spans="1:12" x14ac:dyDescent="0.35">
      <c r="A8974" s="3"/>
      <c r="B8974" s="2"/>
      <c r="C8974" s="2"/>
      <c r="D8974" s="2" t="b">
        <f>IF(AND(NOT(ISBLANK(Table1[[#This Row],[Fetal Sex (Male, Female or Unknown)]])),ISNUMBER(Table1[[#This Row],[Birthweight (grams)]]),ISNUMBER(Table1[[#This Row],[Gestation (days)]])),TRUE,FALSE)</f>
        <v>0</v>
      </c>
      <c r="E8974" s="2" t="str">
        <f>IF(Table1[[#This Row],[Is Data Valid]]=TRUE,IF(Table1[[#This Row],[Fetal Sex (Male, Female or Unknown)]]="Male",Backend!$C$6,IF(Table1[[#This Row],[Fetal Sex (Male, Female or Unknown)]]="Female",Backend!$C$7,IF(Table1[[#This Row],[Fetal Sex (Male, Female or Unknown)]]="Unknown",Backend!$C$8,"Error"))),"")</f>
        <v/>
      </c>
      <c r="F8974" s="8" t="str">
        <f>IF(Table1[[#This Row],[Is Data Valid]]=TRUE,EXP(0.578+0.332*((Table1[[#This Row],[Gestation (days)]]+0.5)/7)-0.00354*((Table1[[#This Row],[Gestation (days)]]+0.5)/7)^2)*Table1[[#This Row],[BW40_3705]],"")</f>
        <v/>
      </c>
      <c r="G8974" s="2" t="str">
        <f>IF(Table1[[#This Row],[Is Data Valid]]=TRUE,((Table1[[#This Row],[Birthweight (grams)]]/Table1[[#This Row],[BW_GA]])-1)/(Backend!$B$4/100*Table1[[#This Row],[BW40_3705]]),"")</f>
        <v/>
      </c>
      <c r="H8974" s="7" t="str">
        <f>IF(Table1[[#This Row],[Is Data Valid]]=TRUE,((Table1[[#This Row],[Birthweight (grams)]]*0.9/Table1[[#This Row],[BW_GA]])-1)/(Backend!$B$4/100*Table1[[#This Row],[BW40_3705]]),"")</f>
        <v/>
      </c>
      <c r="I8974" s="7" t="str">
        <f>IF(Table1[[#This Row],[Is Data Valid]]=TRUE,((Table1[[#This Row],[Birthweight (grams)]]*1.1/Table1[[#This Row],[BW_GA]])-1)/(Backend!$B$4/100*Table1[[#This Row],[BW40_3705]]),"")</f>
        <v/>
      </c>
      <c r="J8974" s="7" t="str">
        <f>IF(Table1[[#This Row],[Is Data Valid]]=TRUE,_xlfn.NORM.S.DIST(Table1[[#This Row],[Birthweight Z-Score]],TRUE)*100,"")</f>
        <v/>
      </c>
      <c r="K8974" s="7" t="str">
        <f>IF(Table1[[#This Row],[Is Data Valid]]=TRUE,_xlfn.NORM.S.DIST(Table1[[#This Row],[Birthweight Z-Score (BW-10%)]],TRUE)*100,"")</f>
        <v/>
      </c>
      <c r="L8974" s="7" t="str">
        <f>IF(Table1[[#This Row],[Is Data Valid]]=TRUE,_xlfn.NORM.S.DIST(Table1[[#This Row],[Birthweight Z-Score (BW+10%)]],TRUE)*100,"")</f>
        <v/>
      </c>
    </row>
    <row r="8975" spans="1:12" x14ac:dyDescent="0.35">
      <c r="A8975" s="3"/>
      <c r="B8975" s="2"/>
      <c r="C8975" s="2"/>
      <c r="D8975" s="2" t="b">
        <f>IF(AND(NOT(ISBLANK(Table1[[#This Row],[Fetal Sex (Male, Female or Unknown)]])),ISNUMBER(Table1[[#This Row],[Birthweight (grams)]]),ISNUMBER(Table1[[#This Row],[Gestation (days)]])),TRUE,FALSE)</f>
        <v>0</v>
      </c>
      <c r="E8975" s="2" t="str">
        <f>IF(Table1[[#This Row],[Is Data Valid]]=TRUE,IF(Table1[[#This Row],[Fetal Sex (Male, Female or Unknown)]]="Male",Backend!$C$6,IF(Table1[[#This Row],[Fetal Sex (Male, Female or Unknown)]]="Female",Backend!$C$7,IF(Table1[[#This Row],[Fetal Sex (Male, Female or Unknown)]]="Unknown",Backend!$C$8,"Error"))),"")</f>
        <v/>
      </c>
      <c r="F8975" s="8" t="str">
        <f>IF(Table1[[#This Row],[Is Data Valid]]=TRUE,EXP(0.578+0.332*((Table1[[#This Row],[Gestation (days)]]+0.5)/7)-0.00354*((Table1[[#This Row],[Gestation (days)]]+0.5)/7)^2)*Table1[[#This Row],[BW40_3705]],"")</f>
        <v/>
      </c>
      <c r="G8975" s="2" t="str">
        <f>IF(Table1[[#This Row],[Is Data Valid]]=TRUE,((Table1[[#This Row],[Birthweight (grams)]]/Table1[[#This Row],[BW_GA]])-1)/(Backend!$B$4/100*Table1[[#This Row],[BW40_3705]]),"")</f>
        <v/>
      </c>
      <c r="H8975" s="7" t="str">
        <f>IF(Table1[[#This Row],[Is Data Valid]]=TRUE,((Table1[[#This Row],[Birthweight (grams)]]*0.9/Table1[[#This Row],[BW_GA]])-1)/(Backend!$B$4/100*Table1[[#This Row],[BW40_3705]]),"")</f>
        <v/>
      </c>
      <c r="I8975" s="7" t="str">
        <f>IF(Table1[[#This Row],[Is Data Valid]]=TRUE,((Table1[[#This Row],[Birthweight (grams)]]*1.1/Table1[[#This Row],[BW_GA]])-1)/(Backend!$B$4/100*Table1[[#This Row],[BW40_3705]]),"")</f>
        <v/>
      </c>
      <c r="J8975" s="7" t="str">
        <f>IF(Table1[[#This Row],[Is Data Valid]]=TRUE,_xlfn.NORM.S.DIST(Table1[[#This Row],[Birthweight Z-Score]],TRUE)*100,"")</f>
        <v/>
      </c>
      <c r="K8975" s="7" t="str">
        <f>IF(Table1[[#This Row],[Is Data Valid]]=TRUE,_xlfn.NORM.S.DIST(Table1[[#This Row],[Birthweight Z-Score (BW-10%)]],TRUE)*100,"")</f>
        <v/>
      </c>
      <c r="L8975" s="7" t="str">
        <f>IF(Table1[[#This Row],[Is Data Valid]]=TRUE,_xlfn.NORM.S.DIST(Table1[[#This Row],[Birthweight Z-Score (BW+10%)]],TRUE)*100,"")</f>
        <v/>
      </c>
    </row>
    <row r="8976" spans="1:12" x14ac:dyDescent="0.35">
      <c r="A8976" s="3"/>
      <c r="B8976" s="2"/>
      <c r="C8976" s="2"/>
      <c r="D8976" s="2" t="b">
        <f>IF(AND(NOT(ISBLANK(Table1[[#This Row],[Fetal Sex (Male, Female or Unknown)]])),ISNUMBER(Table1[[#This Row],[Birthweight (grams)]]),ISNUMBER(Table1[[#This Row],[Gestation (days)]])),TRUE,FALSE)</f>
        <v>0</v>
      </c>
      <c r="E8976" s="2" t="str">
        <f>IF(Table1[[#This Row],[Is Data Valid]]=TRUE,IF(Table1[[#This Row],[Fetal Sex (Male, Female or Unknown)]]="Male",Backend!$C$6,IF(Table1[[#This Row],[Fetal Sex (Male, Female or Unknown)]]="Female",Backend!$C$7,IF(Table1[[#This Row],[Fetal Sex (Male, Female or Unknown)]]="Unknown",Backend!$C$8,"Error"))),"")</f>
        <v/>
      </c>
      <c r="F8976" s="8" t="str">
        <f>IF(Table1[[#This Row],[Is Data Valid]]=TRUE,EXP(0.578+0.332*((Table1[[#This Row],[Gestation (days)]]+0.5)/7)-0.00354*((Table1[[#This Row],[Gestation (days)]]+0.5)/7)^2)*Table1[[#This Row],[BW40_3705]],"")</f>
        <v/>
      </c>
      <c r="G8976" s="2" t="str">
        <f>IF(Table1[[#This Row],[Is Data Valid]]=TRUE,((Table1[[#This Row],[Birthweight (grams)]]/Table1[[#This Row],[BW_GA]])-1)/(Backend!$B$4/100*Table1[[#This Row],[BW40_3705]]),"")</f>
        <v/>
      </c>
      <c r="H8976" s="7" t="str">
        <f>IF(Table1[[#This Row],[Is Data Valid]]=TRUE,((Table1[[#This Row],[Birthweight (grams)]]*0.9/Table1[[#This Row],[BW_GA]])-1)/(Backend!$B$4/100*Table1[[#This Row],[BW40_3705]]),"")</f>
        <v/>
      </c>
      <c r="I8976" s="7" t="str">
        <f>IF(Table1[[#This Row],[Is Data Valid]]=TRUE,((Table1[[#This Row],[Birthweight (grams)]]*1.1/Table1[[#This Row],[BW_GA]])-1)/(Backend!$B$4/100*Table1[[#This Row],[BW40_3705]]),"")</f>
        <v/>
      </c>
      <c r="J8976" s="7" t="str">
        <f>IF(Table1[[#This Row],[Is Data Valid]]=TRUE,_xlfn.NORM.S.DIST(Table1[[#This Row],[Birthweight Z-Score]],TRUE)*100,"")</f>
        <v/>
      </c>
      <c r="K8976" s="7" t="str">
        <f>IF(Table1[[#This Row],[Is Data Valid]]=TRUE,_xlfn.NORM.S.DIST(Table1[[#This Row],[Birthweight Z-Score (BW-10%)]],TRUE)*100,"")</f>
        <v/>
      </c>
      <c r="L8976" s="7" t="str">
        <f>IF(Table1[[#This Row],[Is Data Valid]]=TRUE,_xlfn.NORM.S.DIST(Table1[[#This Row],[Birthweight Z-Score (BW+10%)]],TRUE)*100,"")</f>
        <v/>
      </c>
    </row>
    <row r="8977" spans="1:12" x14ac:dyDescent="0.35">
      <c r="A8977" s="3"/>
      <c r="B8977" s="2"/>
      <c r="C8977" s="2"/>
      <c r="D8977" s="2" t="b">
        <f>IF(AND(NOT(ISBLANK(Table1[[#This Row],[Fetal Sex (Male, Female or Unknown)]])),ISNUMBER(Table1[[#This Row],[Birthweight (grams)]]),ISNUMBER(Table1[[#This Row],[Gestation (days)]])),TRUE,FALSE)</f>
        <v>0</v>
      </c>
      <c r="E8977" s="2" t="str">
        <f>IF(Table1[[#This Row],[Is Data Valid]]=TRUE,IF(Table1[[#This Row],[Fetal Sex (Male, Female or Unknown)]]="Male",Backend!$C$6,IF(Table1[[#This Row],[Fetal Sex (Male, Female or Unknown)]]="Female",Backend!$C$7,IF(Table1[[#This Row],[Fetal Sex (Male, Female or Unknown)]]="Unknown",Backend!$C$8,"Error"))),"")</f>
        <v/>
      </c>
      <c r="F8977" s="8" t="str">
        <f>IF(Table1[[#This Row],[Is Data Valid]]=TRUE,EXP(0.578+0.332*((Table1[[#This Row],[Gestation (days)]]+0.5)/7)-0.00354*((Table1[[#This Row],[Gestation (days)]]+0.5)/7)^2)*Table1[[#This Row],[BW40_3705]],"")</f>
        <v/>
      </c>
      <c r="G8977" s="2" t="str">
        <f>IF(Table1[[#This Row],[Is Data Valid]]=TRUE,((Table1[[#This Row],[Birthweight (grams)]]/Table1[[#This Row],[BW_GA]])-1)/(Backend!$B$4/100*Table1[[#This Row],[BW40_3705]]),"")</f>
        <v/>
      </c>
      <c r="H8977" s="7" t="str">
        <f>IF(Table1[[#This Row],[Is Data Valid]]=TRUE,((Table1[[#This Row],[Birthweight (grams)]]*0.9/Table1[[#This Row],[BW_GA]])-1)/(Backend!$B$4/100*Table1[[#This Row],[BW40_3705]]),"")</f>
        <v/>
      </c>
      <c r="I8977" s="7" t="str">
        <f>IF(Table1[[#This Row],[Is Data Valid]]=TRUE,((Table1[[#This Row],[Birthweight (grams)]]*1.1/Table1[[#This Row],[BW_GA]])-1)/(Backend!$B$4/100*Table1[[#This Row],[BW40_3705]]),"")</f>
        <v/>
      </c>
      <c r="J8977" s="7" t="str">
        <f>IF(Table1[[#This Row],[Is Data Valid]]=TRUE,_xlfn.NORM.S.DIST(Table1[[#This Row],[Birthweight Z-Score]],TRUE)*100,"")</f>
        <v/>
      </c>
      <c r="K8977" s="7" t="str">
        <f>IF(Table1[[#This Row],[Is Data Valid]]=TRUE,_xlfn.NORM.S.DIST(Table1[[#This Row],[Birthweight Z-Score (BW-10%)]],TRUE)*100,"")</f>
        <v/>
      </c>
      <c r="L8977" s="7" t="str">
        <f>IF(Table1[[#This Row],[Is Data Valid]]=TRUE,_xlfn.NORM.S.DIST(Table1[[#This Row],[Birthweight Z-Score (BW+10%)]],TRUE)*100,"")</f>
        <v/>
      </c>
    </row>
    <row r="8978" spans="1:12" x14ac:dyDescent="0.35">
      <c r="A8978" s="3"/>
      <c r="B8978" s="2"/>
      <c r="C8978" s="2"/>
      <c r="D8978" s="2" t="b">
        <f>IF(AND(NOT(ISBLANK(Table1[[#This Row],[Fetal Sex (Male, Female or Unknown)]])),ISNUMBER(Table1[[#This Row],[Birthweight (grams)]]),ISNUMBER(Table1[[#This Row],[Gestation (days)]])),TRUE,FALSE)</f>
        <v>0</v>
      </c>
      <c r="E8978" s="2" t="str">
        <f>IF(Table1[[#This Row],[Is Data Valid]]=TRUE,IF(Table1[[#This Row],[Fetal Sex (Male, Female or Unknown)]]="Male",Backend!$C$6,IF(Table1[[#This Row],[Fetal Sex (Male, Female or Unknown)]]="Female",Backend!$C$7,IF(Table1[[#This Row],[Fetal Sex (Male, Female or Unknown)]]="Unknown",Backend!$C$8,"Error"))),"")</f>
        <v/>
      </c>
      <c r="F8978" s="8" t="str">
        <f>IF(Table1[[#This Row],[Is Data Valid]]=TRUE,EXP(0.578+0.332*((Table1[[#This Row],[Gestation (days)]]+0.5)/7)-0.00354*((Table1[[#This Row],[Gestation (days)]]+0.5)/7)^2)*Table1[[#This Row],[BW40_3705]],"")</f>
        <v/>
      </c>
      <c r="G8978" s="2" t="str">
        <f>IF(Table1[[#This Row],[Is Data Valid]]=TRUE,((Table1[[#This Row],[Birthweight (grams)]]/Table1[[#This Row],[BW_GA]])-1)/(Backend!$B$4/100*Table1[[#This Row],[BW40_3705]]),"")</f>
        <v/>
      </c>
      <c r="H8978" s="7" t="str">
        <f>IF(Table1[[#This Row],[Is Data Valid]]=TRUE,((Table1[[#This Row],[Birthweight (grams)]]*0.9/Table1[[#This Row],[BW_GA]])-1)/(Backend!$B$4/100*Table1[[#This Row],[BW40_3705]]),"")</f>
        <v/>
      </c>
      <c r="I8978" s="7" t="str">
        <f>IF(Table1[[#This Row],[Is Data Valid]]=TRUE,((Table1[[#This Row],[Birthweight (grams)]]*1.1/Table1[[#This Row],[BW_GA]])-1)/(Backend!$B$4/100*Table1[[#This Row],[BW40_3705]]),"")</f>
        <v/>
      </c>
      <c r="J8978" s="7" t="str">
        <f>IF(Table1[[#This Row],[Is Data Valid]]=TRUE,_xlfn.NORM.S.DIST(Table1[[#This Row],[Birthweight Z-Score]],TRUE)*100,"")</f>
        <v/>
      </c>
      <c r="K8978" s="7" t="str">
        <f>IF(Table1[[#This Row],[Is Data Valid]]=TRUE,_xlfn.NORM.S.DIST(Table1[[#This Row],[Birthweight Z-Score (BW-10%)]],TRUE)*100,"")</f>
        <v/>
      </c>
      <c r="L8978" s="7" t="str">
        <f>IF(Table1[[#This Row],[Is Data Valid]]=TRUE,_xlfn.NORM.S.DIST(Table1[[#This Row],[Birthweight Z-Score (BW+10%)]],TRUE)*100,"")</f>
        <v/>
      </c>
    </row>
    <row r="8979" spans="1:12" x14ac:dyDescent="0.35">
      <c r="A8979" s="3"/>
      <c r="B8979" s="2"/>
      <c r="C8979" s="2"/>
      <c r="D8979" s="2" t="b">
        <f>IF(AND(NOT(ISBLANK(Table1[[#This Row],[Fetal Sex (Male, Female or Unknown)]])),ISNUMBER(Table1[[#This Row],[Birthweight (grams)]]),ISNUMBER(Table1[[#This Row],[Gestation (days)]])),TRUE,FALSE)</f>
        <v>0</v>
      </c>
      <c r="E8979" s="2" t="str">
        <f>IF(Table1[[#This Row],[Is Data Valid]]=TRUE,IF(Table1[[#This Row],[Fetal Sex (Male, Female or Unknown)]]="Male",Backend!$C$6,IF(Table1[[#This Row],[Fetal Sex (Male, Female or Unknown)]]="Female",Backend!$C$7,IF(Table1[[#This Row],[Fetal Sex (Male, Female or Unknown)]]="Unknown",Backend!$C$8,"Error"))),"")</f>
        <v/>
      </c>
      <c r="F8979" s="8" t="str">
        <f>IF(Table1[[#This Row],[Is Data Valid]]=TRUE,EXP(0.578+0.332*((Table1[[#This Row],[Gestation (days)]]+0.5)/7)-0.00354*((Table1[[#This Row],[Gestation (days)]]+0.5)/7)^2)*Table1[[#This Row],[BW40_3705]],"")</f>
        <v/>
      </c>
      <c r="G8979" s="2" t="str">
        <f>IF(Table1[[#This Row],[Is Data Valid]]=TRUE,((Table1[[#This Row],[Birthweight (grams)]]/Table1[[#This Row],[BW_GA]])-1)/(Backend!$B$4/100*Table1[[#This Row],[BW40_3705]]),"")</f>
        <v/>
      </c>
      <c r="H8979" s="7" t="str">
        <f>IF(Table1[[#This Row],[Is Data Valid]]=TRUE,((Table1[[#This Row],[Birthweight (grams)]]*0.9/Table1[[#This Row],[BW_GA]])-1)/(Backend!$B$4/100*Table1[[#This Row],[BW40_3705]]),"")</f>
        <v/>
      </c>
      <c r="I8979" s="7" t="str">
        <f>IF(Table1[[#This Row],[Is Data Valid]]=TRUE,((Table1[[#This Row],[Birthweight (grams)]]*1.1/Table1[[#This Row],[BW_GA]])-1)/(Backend!$B$4/100*Table1[[#This Row],[BW40_3705]]),"")</f>
        <v/>
      </c>
      <c r="J8979" s="7" t="str">
        <f>IF(Table1[[#This Row],[Is Data Valid]]=TRUE,_xlfn.NORM.S.DIST(Table1[[#This Row],[Birthweight Z-Score]],TRUE)*100,"")</f>
        <v/>
      </c>
      <c r="K8979" s="7" t="str">
        <f>IF(Table1[[#This Row],[Is Data Valid]]=TRUE,_xlfn.NORM.S.DIST(Table1[[#This Row],[Birthweight Z-Score (BW-10%)]],TRUE)*100,"")</f>
        <v/>
      </c>
      <c r="L8979" s="7" t="str">
        <f>IF(Table1[[#This Row],[Is Data Valid]]=TRUE,_xlfn.NORM.S.DIST(Table1[[#This Row],[Birthweight Z-Score (BW+10%)]],TRUE)*100,"")</f>
        <v/>
      </c>
    </row>
    <row r="8980" spans="1:12" x14ac:dyDescent="0.35">
      <c r="A8980" s="3"/>
      <c r="B8980" s="2"/>
      <c r="C8980" s="2"/>
      <c r="D8980" s="2" t="b">
        <f>IF(AND(NOT(ISBLANK(Table1[[#This Row],[Fetal Sex (Male, Female or Unknown)]])),ISNUMBER(Table1[[#This Row],[Birthweight (grams)]]),ISNUMBER(Table1[[#This Row],[Gestation (days)]])),TRUE,FALSE)</f>
        <v>0</v>
      </c>
      <c r="E8980" s="2" t="str">
        <f>IF(Table1[[#This Row],[Is Data Valid]]=TRUE,IF(Table1[[#This Row],[Fetal Sex (Male, Female or Unknown)]]="Male",Backend!$C$6,IF(Table1[[#This Row],[Fetal Sex (Male, Female or Unknown)]]="Female",Backend!$C$7,IF(Table1[[#This Row],[Fetal Sex (Male, Female or Unknown)]]="Unknown",Backend!$C$8,"Error"))),"")</f>
        <v/>
      </c>
      <c r="F8980" s="8" t="str">
        <f>IF(Table1[[#This Row],[Is Data Valid]]=TRUE,EXP(0.578+0.332*((Table1[[#This Row],[Gestation (days)]]+0.5)/7)-0.00354*((Table1[[#This Row],[Gestation (days)]]+0.5)/7)^2)*Table1[[#This Row],[BW40_3705]],"")</f>
        <v/>
      </c>
      <c r="G8980" s="2" t="str">
        <f>IF(Table1[[#This Row],[Is Data Valid]]=TRUE,((Table1[[#This Row],[Birthweight (grams)]]/Table1[[#This Row],[BW_GA]])-1)/(Backend!$B$4/100*Table1[[#This Row],[BW40_3705]]),"")</f>
        <v/>
      </c>
      <c r="H8980" s="7" t="str">
        <f>IF(Table1[[#This Row],[Is Data Valid]]=TRUE,((Table1[[#This Row],[Birthweight (grams)]]*0.9/Table1[[#This Row],[BW_GA]])-1)/(Backend!$B$4/100*Table1[[#This Row],[BW40_3705]]),"")</f>
        <v/>
      </c>
      <c r="I8980" s="7" t="str">
        <f>IF(Table1[[#This Row],[Is Data Valid]]=TRUE,((Table1[[#This Row],[Birthweight (grams)]]*1.1/Table1[[#This Row],[BW_GA]])-1)/(Backend!$B$4/100*Table1[[#This Row],[BW40_3705]]),"")</f>
        <v/>
      </c>
      <c r="J8980" s="7" t="str">
        <f>IF(Table1[[#This Row],[Is Data Valid]]=TRUE,_xlfn.NORM.S.DIST(Table1[[#This Row],[Birthweight Z-Score]],TRUE)*100,"")</f>
        <v/>
      </c>
      <c r="K8980" s="7" t="str">
        <f>IF(Table1[[#This Row],[Is Data Valid]]=TRUE,_xlfn.NORM.S.DIST(Table1[[#This Row],[Birthweight Z-Score (BW-10%)]],TRUE)*100,"")</f>
        <v/>
      </c>
      <c r="L8980" s="7" t="str">
        <f>IF(Table1[[#This Row],[Is Data Valid]]=TRUE,_xlfn.NORM.S.DIST(Table1[[#This Row],[Birthweight Z-Score (BW+10%)]],TRUE)*100,"")</f>
        <v/>
      </c>
    </row>
    <row r="8981" spans="1:12" x14ac:dyDescent="0.35">
      <c r="A8981" s="3"/>
      <c r="B8981" s="2"/>
      <c r="C8981" s="2"/>
      <c r="D8981" s="2" t="b">
        <f>IF(AND(NOT(ISBLANK(Table1[[#This Row],[Fetal Sex (Male, Female or Unknown)]])),ISNUMBER(Table1[[#This Row],[Birthweight (grams)]]),ISNUMBER(Table1[[#This Row],[Gestation (days)]])),TRUE,FALSE)</f>
        <v>0</v>
      </c>
      <c r="E8981" s="2" t="str">
        <f>IF(Table1[[#This Row],[Is Data Valid]]=TRUE,IF(Table1[[#This Row],[Fetal Sex (Male, Female or Unknown)]]="Male",Backend!$C$6,IF(Table1[[#This Row],[Fetal Sex (Male, Female or Unknown)]]="Female",Backend!$C$7,IF(Table1[[#This Row],[Fetal Sex (Male, Female or Unknown)]]="Unknown",Backend!$C$8,"Error"))),"")</f>
        <v/>
      </c>
      <c r="F8981" s="8" t="str">
        <f>IF(Table1[[#This Row],[Is Data Valid]]=TRUE,EXP(0.578+0.332*((Table1[[#This Row],[Gestation (days)]]+0.5)/7)-0.00354*((Table1[[#This Row],[Gestation (days)]]+0.5)/7)^2)*Table1[[#This Row],[BW40_3705]],"")</f>
        <v/>
      </c>
      <c r="G8981" s="2" t="str">
        <f>IF(Table1[[#This Row],[Is Data Valid]]=TRUE,((Table1[[#This Row],[Birthweight (grams)]]/Table1[[#This Row],[BW_GA]])-1)/(Backend!$B$4/100*Table1[[#This Row],[BW40_3705]]),"")</f>
        <v/>
      </c>
      <c r="H8981" s="7" t="str">
        <f>IF(Table1[[#This Row],[Is Data Valid]]=TRUE,((Table1[[#This Row],[Birthweight (grams)]]*0.9/Table1[[#This Row],[BW_GA]])-1)/(Backend!$B$4/100*Table1[[#This Row],[BW40_3705]]),"")</f>
        <v/>
      </c>
      <c r="I8981" s="7" t="str">
        <f>IF(Table1[[#This Row],[Is Data Valid]]=TRUE,((Table1[[#This Row],[Birthweight (grams)]]*1.1/Table1[[#This Row],[BW_GA]])-1)/(Backend!$B$4/100*Table1[[#This Row],[BW40_3705]]),"")</f>
        <v/>
      </c>
      <c r="J8981" s="7" t="str">
        <f>IF(Table1[[#This Row],[Is Data Valid]]=TRUE,_xlfn.NORM.S.DIST(Table1[[#This Row],[Birthweight Z-Score]],TRUE)*100,"")</f>
        <v/>
      </c>
      <c r="K8981" s="7" t="str">
        <f>IF(Table1[[#This Row],[Is Data Valid]]=TRUE,_xlfn.NORM.S.DIST(Table1[[#This Row],[Birthweight Z-Score (BW-10%)]],TRUE)*100,"")</f>
        <v/>
      </c>
      <c r="L8981" s="7" t="str">
        <f>IF(Table1[[#This Row],[Is Data Valid]]=TRUE,_xlfn.NORM.S.DIST(Table1[[#This Row],[Birthweight Z-Score (BW+10%)]],TRUE)*100,"")</f>
        <v/>
      </c>
    </row>
    <row r="8982" spans="1:12" x14ac:dyDescent="0.35">
      <c r="A8982" s="3"/>
      <c r="B8982" s="2"/>
      <c r="C8982" s="2"/>
      <c r="D8982" s="2" t="b">
        <f>IF(AND(NOT(ISBLANK(Table1[[#This Row],[Fetal Sex (Male, Female or Unknown)]])),ISNUMBER(Table1[[#This Row],[Birthweight (grams)]]),ISNUMBER(Table1[[#This Row],[Gestation (days)]])),TRUE,FALSE)</f>
        <v>0</v>
      </c>
      <c r="E8982" s="2" t="str">
        <f>IF(Table1[[#This Row],[Is Data Valid]]=TRUE,IF(Table1[[#This Row],[Fetal Sex (Male, Female or Unknown)]]="Male",Backend!$C$6,IF(Table1[[#This Row],[Fetal Sex (Male, Female or Unknown)]]="Female",Backend!$C$7,IF(Table1[[#This Row],[Fetal Sex (Male, Female or Unknown)]]="Unknown",Backend!$C$8,"Error"))),"")</f>
        <v/>
      </c>
      <c r="F8982" s="8" t="str">
        <f>IF(Table1[[#This Row],[Is Data Valid]]=TRUE,EXP(0.578+0.332*((Table1[[#This Row],[Gestation (days)]]+0.5)/7)-0.00354*((Table1[[#This Row],[Gestation (days)]]+0.5)/7)^2)*Table1[[#This Row],[BW40_3705]],"")</f>
        <v/>
      </c>
      <c r="G8982" s="2" t="str">
        <f>IF(Table1[[#This Row],[Is Data Valid]]=TRUE,((Table1[[#This Row],[Birthweight (grams)]]/Table1[[#This Row],[BW_GA]])-1)/(Backend!$B$4/100*Table1[[#This Row],[BW40_3705]]),"")</f>
        <v/>
      </c>
      <c r="H8982" s="7" t="str">
        <f>IF(Table1[[#This Row],[Is Data Valid]]=TRUE,((Table1[[#This Row],[Birthweight (grams)]]*0.9/Table1[[#This Row],[BW_GA]])-1)/(Backend!$B$4/100*Table1[[#This Row],[BW40_3705]]),"")</f>
        <v/>
      </c>
      <c r="I8982" s="7" t="str">
        <f>IF(Table1[[#This Row],[Is Data Valid]]=TRUE,((Table1[[#This Row],[Birthweight (grams)]]*1.1/Table1[[#This Row],[BW_GA]])-1)/(Backend!$B$4/100*Table1[[#This Row],[BW40_3705]]),"")</f>
        <v/>
      </c>
      <c r="J8982" s="7" t="str">
        <f>IF(Table1[[#This Row],[Is Data Valid]]=TRUE,_xlfn.NORM.S.DIST(Table1[[#This Row],[Birthweight Z-Score]],TRUE)*100,"")</f>
        <v/>
      </c>
      <c r="K8982" s="7" t="str">
        <f>IF(Table1[[#This Row],[Is Data Valid]]=TRUE,_xlfn.NORM.S.DIST(Table1[[#This Row],[Birthweight Z-Score (BW-10%)]],TRUE)*100,"")</f>
        <v/>
      </c>
      <c r="L8982" s="7" t="str">
        <f>IF(Table1[[#This Row],[Is Data Valid]]=TRUE,_xlfn.NORM.S.DIST(Table1[[#This Row],[Birthweight Z-Score (BW+10%)]],TRUE)*100,"")</f>
        <v/>
      </c>
    </row>
    <row r="8983" spans="1:12" x14ac:dyDescent="0.35">
      <c r="A8983" s="3"/>
      <c r="B8983" s="2"/>
      <c r="C8983" s="2"/>
      <c r="D8983" s="2" t="b">
        <f>IF(AND(NOT(ISBLANK(Table1[[#This Row],[Fetal Sex (Male, Female or Unknown)]])),ISNUMBER(Table1[[#This Row],[Birthweight (grams)]]),ISNUMBER(Table1[[#This Row],[Gestation (days)]])),TRUE,FALSE)</f>
        <v>0</v>
      </c>
      <c r="E8983" s="2" t="str">
        <f>IF(Table1[[#This Row],[Is Data Valid]]=TRUE,IF(Table1[[#This Row],[Fetal Sex (Male, Female or Unknown)]]="Male",Backend!$C$6,IF(Table1[[#This Row],[Fetal Sex (Male, Female or Unknown)]]="Female",Backend!$C$7,IF(Table1[[#This Row],[Fetal Sex (Male, Female or Unknown)]]="Unknown",Backend!$C$8,"Error"))),"")</f>
        <v/>
      </c>
      <c r="F8983" s="8" t="str">
        <f>IF(Table1[[#This Row],[Is Data Valid]]=TRUE,EXP(0.578+0.332*((Table1[[#This Row],[Gestation (days)]]+0.5)/7)-0.00354*((Table1[[#This Row],[Gestation (days)]]+0.5)/7)^2)*Table1[[#This Row],[BW40_3705]],"")</f>
        <v/>
      </c>
      <c r="G8983" s="2" t="str">
        <f>IF(Table1[[#This Row],[Is Data Valid]]=TRUE,((Table1[[#This Row],[Birthweight (grams)]]/Table1[[#This Row],[BW_GA]])-1)/(Backend!$B$4/100*Table1[[#This Row],[BW40_3705]]),"")</f>
        <v/>
      </c>
      <c r="H8983" s="7" t="str">
        <f>IF(Table1[[#This Row],[Is Data Valid]]=TRUE,((Table1[[#This Row],[Birthweight (grams)]]*0.9/Table1[[#This Row],[BW_GA]])-1)/(Backend!$B$4/100*Table1[[#This Row],[BW40_3705]]),"")</f>
        <v/>
      </c>
      <c r="I8983" s="7" t="str">
        <f>IF(Table1[[#This Row],[Is Data Valid]]=TRUE,((Table1[[#This Row],[Birthweight (grams)]]*1.1/Table1[[#This Row],[BW_GA]])-1)/(Backend!$B$4/100*Table1[[#This Row],[BW40_3705]]),"")</f>
        <v/>
      </c>
      <c r="J8983" s="7" t="str">
        <f>IF(Table1[[#This Row],[Is Data Valid]]=TRUE,_xlfn.NORM.S.DIST(Table1[[#This Row],[Birthweight Z-Score]],TRUE)*100,"")</f>
        <v/>
      </c>
      <c r="K8983" s="7" t="str">
        <f>IF(Table1[[#This Row],[Is Data Valid]]=TRUE,_xlfn.NORM.S.DIST(Table1[[#This Row],[Birthweight Z-Score (BW-10%)]],TRUE)*100,"")</f>
        <v/>
      </c>
      <c r="L8983" s="7" t="str">
        <f>IF(Table1[[#This Row],[Is Data Valid]]=TRUE,_xlfn.NORM.S.DIST(Table1[[#This Row],[Birthweight Z-Score (BW+10%)]],TRUE)*100,"")</f>
        <v/>
      </c>
    </row>
    <row r="8984" spans="1:12" x14ac:dyDescent="0.35">
      <c r="A8984" s="3"/>
      <c r="B8984" s="2"/>
      <c r="C8984" s="2"/>
      <c r="D8984" s="2" t="b">
        <f>IF(AND(NOT(ISBLANK(Table1[[#This Row],[Fetal Sex (Male, Female or Unknown)]])),ISNUMBER(Table1[[#This Row],[Birthweight (grams)]]),ISNUMBER(Table1[[#This Row],[Gestation (days)]])),TRUE,FALSE)</f>
        <v>0</v>
      </c>
      <c r="E8984" s="2" t="str">
        <f>IF(Table1[[#This Row],[Is Data Valid]]=TRUE,IF(Table1[[#This Row],[Fetal Sex (Male, Female or Unknown)]]="Male",Backend!$C$6,IF(Table1[[#This Row],[Fetal Sex (Male, Female or Unknown)]]="Female",Backend!$C$7,IF(Table1[[#This Row],[Fetal Sex (Male, Female or Unknown)]]="Unknown",Backend!$C$8,"Error"))),"")</f>
        <v/>
      </c>
      <c r="F8984" s="8" t="str">
        <f>IF(Table1[[#This Row],[Is Data Valid]]=TRUE,EXP(0.578+0.332*((Table1[[#This Row],[Gestation (days)]]+0.5)/7)-0.00354*((Table1[[#This Row],[Gestation (days)]]+0.5)/7)^2)*Table1[[#This Row],[BW40_3705]],"")</f>
        <v/>
      </c>
      <c r="G8984" s="2" t="str">
        <f>IF(Table1[[#This Row],[Is Data Valid]]=TRUE,((Table1[[#This Row],[Birthweight (grams)]]/Table1[[#This Row],[BW_GA]])-1)/(Backend!$B$4/100*Table1[[#This Row],[BW40_3705]]),"")</f>
        <v/>
      </c>
      <c r="H8984" s="7" t="str">
        <f>IF(Table1[[#This Row],[Is Data Valid]]=TRUE,((Table1[[#This Row],[Birthweight (grams)]]*0.9/Table1[[#This Row],[BW_GA]])-1)/(Backend!$B$4/100*Table1[[#This Row],[BW40_3705]]),"")</f>
        <v/>
      </c>
      <c r="I8984" s="7" t="str">
        <f>IF(Table1[[#This Row],[Is Data Valid]]=TRUE,((Table1[[#This Row],[Birthweight (grams)]]*1.1/Table1[[#This Row],[BW_GA]])-1)/(Backend!$B$4/100*Table1[[#This Row],[BW40_3705]]),"")</f>
        <v/>
      </c>
      <c r="J8984" s="7" t="str">
        <f>IF(Table1[[#This Row],[Is Data Valid]]=TRUE,_xlfn.NORM.S.DIST(Table1[[#This Row],[Birthweight Z-Score]],TRUE)*100,"")</f>
        <v/>
      </c>
      <c r="K8984" s="7" t="str">
        <f>IF(Table1[[#This Row],[Is Data Valid]]=TRUE,_xlfn.NORM.S.DIST(Table1[[#This Row],[Birthweight Z-Score (BW-10%)]],TRUE)*100,"")</f>
        <v/>
      </c>
      <c r="L8984" s="7" t="str">
        <f>IF(Table1[[#This Row],[Is Data Valid]]=TRUE,_xlfn.NORM.S.DIST(Table1[[#This Row],[Birthweight Z-Score (BW+10%)]],TRUE)*100,"")</f>
        <v/>
      </c>
    </row>
    <row r="8985" spans="1:12" x14ac:dyDescent="0.35">
      <c r="A8985" s="3"/>
      <c r="B8985" s="2"/>
      <c r="C8985" s="2"/>
      <c r="D8985" s="2" t="b">
        <f>IF(AND(NOT(ISBLANK(Table1[[#This Row],[Fetal Sex (Male, Female or Unknown)]])),ISNUMBER(Table1[[#This Row],[Birthweight (grams)]]),ISNUMBER(Table1[[#This Row],[Gestation (days)]])),TRUE,FALSE)</f>
        <v>0</v>
      </c>
      <c r="E8985" s="2" t="str">
        <f>IF(Table1[[#This Row],[Is Data Valid]]=TRUE,IF(Table1[[#This Row],[Fetal Sex (Male, Female or Unknown)]]="Male",Backend!$C$6,IF(Table1[[#This Row],[Fetal Sex (Male, Female or Unknown)]]="Female",Backend!$C$7,IF(Table1[[#This Row],[Fetal Sex (Male, Female or Unknown)]]="Unknown",Backend!$C$8,"Error"))),"")</f>
        <v/>
      </c>
      <c r="F8985" s="8" t="str">
        <f>IF(Table1[[#This Row],[Is Data Valid]]=TRUE,EXP(0.578+0.332*((Table1[[#This Row],[Gestation (days)]]+0.5)/7)-0.00354*((Table1[[#This Row],[Gestation (days)]]+0.5)/7)^2)*Table1[[#This Row],[BW40_3705]],"")</f>
        <v/>
      </c>
      <c r="G8985" s="2" t="str">
        <f>IF(Table1[[#This Row],[Is Data Valid]]=TRUE,((Table1[[#This Row],[Birthweight (grams)]]/Table1[[#This Row],[BW_GA]])-1)/(Backend!$B$4/100*Table1[[#This Row],[BW40_3705]]),"")</f>
        <v/>
      </c>
      <c r="H8985" s="7" t="str">
        <f>IF(Table1[[#This Row],[Is Data Valid]]=TRUE,((Table1[[#This Row],[Birthweight (grams)]]*0.9/Table1[[#This Row],[BW_GA]])-1)/(Backend!$B$4/100*Table1[[#This Row],[BW40_3705]]),"")</f>
        <v/>
      </c>
      <c r="I8985" s="7" t="str">
        <f>IF(Table1[[#This Row],[Is Data Valid]]=TRUE,((Table1[[#This Row],[Birthweight (grams)]]*1.1/Table1[[#This Row],[BW_GA]])-1)/(Backend!$B$4/100*Table1[[#This Row],[BW40_3705]]),"")</f>
        <v/>
      </c>
      <c r="J8985" s="7" t="str">
        <f>IF(Table1[[#This Row],[Is Data Valid]]=TRUE,_xlfn.NORM.S.DIST(Table1[[#This Row],[Birthweight Z-Score]],TRUE)*100,"")</f>
        <v/>
      </c>
      <c r="K8985" s="7" t="str">
        <f>IF(Table1[[#This Row],[Is Data Valid]]=TRUE,_xlfn.NORM.S.DIST(Table1[[#This Row],[Birthweight Z-Score (BW-10%)]],TRUE)*100,"")</f>
        <v/>
      </c>
      <c r="L8985" s="7" t="str">
        <f>IF(Table1[[#This Row],[Is Data Valid]]=TRUE,_xlfn.NORM.S.DIST(Table1[[#This Row],[Birthweight Z-Score (BW+10%)]],TRUE)*100,"")</f>
        <v/>
      </c>
    </row>
    <row r="8986" spans="1:12" x14ac:dyDescent="0.35">
      <c r="A8986" s="3"/>
      <c r="B8986" s="2"/>
      <c r="C8986" s="2"/>
      <c r="D8986" s="2" t="b">
        <f>IF(AND(NOT(ISBLANK(Table1[[#This Row],[Fetal Sex (Male, Female or Unknown)]])),ISNUMBER(Table1[[#This Row],[Birthweight (grams)]]),ISNUMBER(Table1[[#This Row],[Gestation (days)]])),TRUE,FALSE)</f>
        <v>0</v>
      </c>
      <c r="E8986" s="2" t="str">
        <f>IF(Table1[[#This Row],[Is Data Valid]]=TRUE,IF(Table1[[#This Row],[Fetal Sex (Male, Female or Unknown)]]="Male",Backend!$C$6,IF(Table1[[#This Row],[Fetal Sex (Male, Female or Unknown)]]="Female",Backend!$C$7,IF(Table1[[#This Row],[Fetal Sex (Male, Female or Unknown)]]="Unknown",Backend!$C$8,"Error"))),"")</f>
        <v/>
      </c>
      <c r="F8986" s="8" t="str">
        <f>IF(Table1[[#This Row],[Is Data Valid]]=TRUE,EXP(0.578+0.332*((Table1[[#This Row],[Gestation (days)]]+0.5)/7)-0.00354*((Table1[[#This Row],[Gestation (days)]]+0.5)/7)^2)*Table1[[#This Row],[BW40_3705]],"")</f>
        <v/>
      </c>
      <c r="G8986" s="2" t="str">
        <f>IF(Table1[[#This Row],[Is Data Valid]]=TRUE,((Table1[[#This Row],[Birthweight (grams)]]/Table1[[#This Row],[BW_GA]])-1)/(Backend!$B$4/100*Table1[[#This Row],[BW40_3705]]),"")</f>
        <v/>
      </c>
      <c r="H8986" s="7" t="str">
        <f>IF(Table1[[#This Row],[Is Data Valid]]=TRUE,((Table1[[#This Row],[Birthweight (grams)]]*0.9/Table1[[#This Row],[BW_GA]])-1)/(Backend!$B$4/100*Table1[[#This Row],[BW40_3705]]),"")</f>
        <v/>
      </c>
      <c r="I8986" s="7" t="str">
        <f>IF(Table1[[#This Row],[Is Data Valid]]=TRUE,((Table1[[#This Row],[Birthweight (grams)]]*1.1/Table1[[#This Row],[BW_GA]])-1)/(Backend!$B$4/100*Table1[[#This Row],[BW40_3705]]),"")</f>
        <v/>
      </c>
      <c r="J8986" s="7" t="str">
        <f>IF(Table1[[#This Row],[Is Data Valid]]=TRUE,_xlfn.NORM.S.DIST(Table1[[#This Row],[Birthweight Z-Score]],TRUE)*100,"")</f>
        <v/>
      </c>
      <c r="K8986" s="7" t="str">
        <f>IF(Table1[[#This Row],[Is Data Valid]]=TRUE,_xlfn.NORM.S.DIST(Table1[[#This Row],[Birthweight Z-Score (BW-10%)]],TRUE)*100,"")</f>
        <v/>
      </c>
      <c r="L8986" s="7" t="str">
        <f>IF(Table1[[#This Row],[Is Data Valid]]=TRUE,_xlfn.NORM.S.DIST(Table1[[#This Row],[Birthweight Z-Score (BW+10%)]],TRUE)*100,"")</f>
        <v/>
      </c>
    </row>
    <row r="8987" spans="1:12" x14ac:dyDescent="0.35">
      <c r="A8987" s="3"/>
      <c r="B8987" s="2"/>
      <c r="C8987" s="2"/>
      <c r="D8987" s="2" t="b">
        <f>IF(AND(NOT(ISBLANK(Table1[[#This Row],[Fetal Sex (Male, Female or Unknown)]])),ISNUMBER(Table1[[#This Row],[Birthweight (grams)]]),ISNUMBER(Table1[[#This Row],[Gestation (days)]])),TRUE,FALSE)</f>
        <v>0</v>
      </c>
      <c r="E8987" s="2" t="str">
        <f>IF(Table1[[#This Row],[Is Data Valid]]=TRUE,IF(Table1[[#This Row],[Fetal Sex (Male, Female or Unknown)]]="Male",Backend!$C$6,IF(Table1[[#This Row],[Fetal Sex (Male, Female or Unknown)]]="Female",Backend!$C$7,IF(Table1[[#This Row],[Fetal Sex (Male, Female or Unknown)]]="Unknown",Backend!$C$8,"Error"))),"")</f>
        <v/>
      </c>
      <c r="F8987" s="8" t="str">
        <f>IF(Table1[[#This Row],[Is Data Valid]]=TRUE,EXP(0.578+0.332*((Table1[[#This Row],[Gestation (days)]]+0.5)/7)-0.00354*((Table1[[#This Row],[Gestation (days)]]+0.5)/7)^2)*Table1[[#This Row],[BW40_3705]],"")</f>
        <v/>
      </c>
      <c r="G8987" s="2" t="str">
        <f>IF(Table1[[#This Row],[Is Data Valid]]=TRUE,((Table1[[#This Row],[Birthweight (grams)]]/Table1[[#This Row],[BW_GA]])-1)/(Backend!$B$4/100*Table1[[#This Row],[BW40_3705]]),"")</f>
        <v/>
      </c>
      <c r="H8987" s="7" t="str">
        <f>IF(Table1[[#This Row],[Is Data Valid]]=TRUE,((Table1[[#This Row],[Birthweight (grams)]]*0.9/Table1[[#This Row],[BW_GA]])-1)/(Backend!$B$4/100*Table1[[#This Row],[BW40_3705]]),"")</f>
        <v/>
      </c>
      <c r="I8987" s="7" t="str">
        <f>IF(Table1[[#This Row],[Is Data Valid]]=TRUE,((Table1[[#This Row],[Birthweight (grams)]]*1.1/Table1[[#This Row],[BW_GA]])-1)/(Backend!$B$4/100*Table1[[#This Row],[BW40_3705]]),"")</f>
        <v/>
      </c>
      <c r="J8987" s="7" t="str">
        <f>IF(Table1[[#This Row],[Is Data Valid]]=TRUE,_xlfn.NORM.S.DIST(Table1[[#This Row],[Birthweight Z-Score]],TRUE)*100,"")</f>
        <v/>
      </c>
      <c r="K8987" s="7" t="str">
        <f>IF(Table1[[#This Row],[Is Data Valid]]=TRUE,_xlfn.NORM.S.DIST(Table1[[#This Row],[Birthweight Z-Score (BW-10%)]],TRUE)*100,"")</f>
        <v/>
      </c>
      <c r="L8987" s="7" t="str">
        <f>IF(Table1[[#This Row],[Is Data Valid]]=TRUE,_xlfn.NORM.S.DIST(Table1[[#This Row],[Birthweight Z-Score (BW+10%)]],TRUE)*100,"")</f>
        <v/>
      </c>
    </row>
    <row r="8988" spans="1:12" x14ac:dyDescent="0.35">
      <c r="A8988" s="3"/>
      <c r="B8988" s="2"/>
      <c r="C8988" s="2"/>
      <c r="D8988" s="2" t="b">
        <f>IF(AND(NOT(ISBLANK(Table1[[#This Row],[Fetal Sex (Male, Female or Unknown)]])),ISNUMBER(Table1[[#This Row],[Birthweight (grams)]]),ISNUMBER(Table1[[#This Row],[Gestation (days)]])),TRUE,FALSE)</f>
        <v>0</v>
      </c>
      <c r="E8988" s="2" t="str">
        <f>IF(Table1[[#This Row],[Is Data Valid]]=TRUE,IF(Table1[[#This Row],[Fetal Sex (Male, Female or Unknown)]]="Male",Backend!$C$6,IF(Table1[[#This Row],[Fetal Sex (Male, Female or Unknown)]]="Female",Backend!$C$7,IF(Table1[[#This Row],[Fetal Sex (Male, Female or Unknown)]]="Unknown",Backend!$C$8,"Error"))),"")</f>
        <v/>
      </c>
      <c r="F8988" s="8" t="str">
        <f>IF(Table1[[#This Row],[Is Data Valid]]=TRUE,EXP(0.578+0.332*((Table1[[#This Row],[Gestation (days)]]+0.5)/7)-0.00354*((Table1[[#This Row],[Gestation (days)]]+0.5)/7)^2)*Table1[[#This Row],[BW40_3705]],"")</f>
        <v/>
      </c>
      <c r="G8988" s="2" t="str">
        <f>IF(Table1[[#This Row],[Is Data Valid]]=TRUE,((Table1[[#This Row],[Birthweight (grams)]]/Table1[[#This Row],[BW_GA]])-1)/(Backend!$B$4/100*Table1[[#This Row],[BW40_3705]]),"")</f>
        <v/>
      </c>
      <c r="H8988" s="7" t="str">
        <f>IF(Table1[[#This Row],[Is Data Valid]]=TRUE,((Table1[[#This Row],[Birthweight (grams)]]*0.9/Table1[[#This Row],[BW_GA]])-1)/(Backend!$B$4/100*Table1[[#This Row],[BW40_3705]]),"")</f>
        <v/>
      </c>
      <c r="I8988" s="7" t="str">
        <f>IF(Table1[[#This Row],[Is Data Valid]]=TRUE,((Table1[[#This Row],[Birthweight (grams)]]*1.1/Table1[[#This Row],[BW_GA]])-1)/(Backend!$B$4/100*Table1[[#This Row],[BW40_3705]]),"")</f>
        <v/>
      </c>
      <c r="J8988" s="7" t="str">
        <f>IF(Table1[[#This Row],[Is Data Valid]]=TRUE,_xlfn.NORM.S.DIST(Table1[[#This Row],[Birthweight Z-Score]],TRUE)*100,"")</f>
        <v/>
      </c>
      <c r="K8988" s="7" t="str">
        <f>IF(Table1[[#This Row],[Is Data Valid]]=TRUE,_xlfn.NORM.S.DIST(Table1[[#This Row],[Birthweight Z-Score (BW-10%)]],TRUE)*100,"")</f>
        <v/>
      </c>
      <c r="L8988" s="7" t="str">
        <f>IF(Table1[[#This Row],[Is Data Valid]]=TRUE,_xlfn.NORM.S.DIST(Table1[[#This Row],[Birthweight Z-Score (BW+10%)]],TRUE)*100,"")</f>
        <v/>
      </c>
    </row>
    <row r="8989" spans="1:12" x14ac:dyDescent="0.35">
      <c r="A8989" s="3"/>
      <c r="B8989" s="2"/>
      <c r="C8989" s="2"/>
      <c r="D8989" s="2" t="b">
        <f>IF(AND(NOT(ISBLANK(Table1[[#This Row],[Fetal Sex (Male, Female or Unknown)]])),ISNUMBER(Table1[[#This Row],[Birthweight (grams)]]),ISNUMBER(Table1[[#This Row],[Gestation (days)]])),TRUE,FALSE)</f>
        <v>0</v>
      </c>
      <c r="E8989" s="2" t="str">
        <f>IF(Table1[[#This Row],[Is Data Valid]]=TRUE,IF(Table1[[#This Row],[Fetal Sex (Male, Female or Unknown)]]="Male",Backend!$C$6,IF(Table1[[#This Row],[Fetal Sex (Male, Female or Unknown)]]="Female",Backend!$C$7,IF(Table1[[#This Row],[Fetal Sex (Male, Female or Unknown)]]="Unknown",Backend!$C$8,"Error"))),"")</f>
        <v/>
      </c>
      <c r="F8989" s="8" t="str">
        <f>IF(Table1[[#This Row],[Is Data Valid]]=TRUE,EXP(0.578+0.332*((Table1[[#This Row],[Gestation (days)]]+0.5)/7)-0.00354*((Table1[[#This Row],[Gestation (days)]]+0.5)/7)^2)*Table1[[#This Row],[BW40_3705]],"")</f>
        <v/>
      </c>
      <c r="G8989" s="2" t="str">
        <f>IF(Table1[[#This Row],[Is Data Valid]]=TRUE,((Table1[[#This Row],[Birthweight (grams)]]/Table1[[#This Row],[BW_GA]])-1)/(Backend!$B$4/100*Table1[[#This Row],[BW40_3705]]),"")</f>
        <v/>
      </c>
      <c r="H8989" s="7" t="str">
        <f>IF(Table1[[#This Row],[Is Data Valid]]=TRUE,((Table1[[#This Row],[Birthweight (grams)]]*0.9/Table1[[#This Row],[BW_GA]])-1)/(Backend!$B$4/100*Table1[[#This Row],[BW40_3705]]),"")</f>
        <v/>
      </c>
      <c r="I8989" s="7" t="str">
        <f>IF(Table1[[#This Row],[Is Data Valid]]=TRUE,((Table1[[#This Row],[Birthweight (grams)]]*1.1/Table1[[#This Row],[BW_GA]])-1)/(Backend!$B$4/100*Table1[[#This Row],[BW40_3705]]),"")</f>
        <v/>
      </c>
      <c r="J8989" s="7" t="str">
        <f>IF(Table1[[#This Row],[Is Data Valid]]=TRUE,_xlfn.NORM.S.DIST(Table1[[#This Row],[Birthweight Z-Score]],TRUE)*100,"")</f>
        <v/>
      </c>
      <c r="K8989" s="7" t="str">
        <f>IF(Table1[[#This Row],[Is Data Valid]]=TRUE,_xlfn.NORM.S.DIST(Table1[[#This Row],[Birthweight Z-Score (BW-10%)]],TRUE)*100,"")</f>
        <v/>
      </c>
      <c r="L8989" s="7" t="str">
        <f>IF(Table1[[#This Row],[Is Data Valid]]=TRUE,_xlfn.NORM.S.DIST(Table1[[#This Row],[Birthweight Z-Score (BW+10%)]],TRUE)*100,"")</f>
        <v/>
      </c>
    </row>
    <row r="8990" spans="1:12" x14ac:dyDescent="0.35">
      <c r="A8990" s="3"/>
      <c r="B8990" s="2"/>
      <c r="C8990" s="2"/>
      <c r="D8990" s="2" t="b">
        <f>IF(AND(NOT(ISBLANK(Table1[[#This Row],[Fetal Sex (Male, Female or Unknown)]])),ISNUMBER(Table1[[#This Row],[Birthweight (grams)]]),ISNUMBER(Table1[[#This Row],[Gestation (days)]])),TRUE,FALSE)</f>
        <v>0</v>
      </c>
      <c r="E8990" s="2" t="str">
        <f>IF(Table1[[#This Row],[Is Data Valid]]=TRUE,IF(Table1[[#This Row],[Fetal Sex (Male, Female or Unknown)]]="Male",Backend!$C$6,IF(Table1[[#This Row],[Fetal Sex (Male, Female or Unknown)]]="Female",Backend!$C$7,IF(Table1[[#This Row],[Fetal Sex (Male, Female or Unknown)]]="Unknown",Backend!$C$8,"Error"))),"")</f>
        <v/>
      </c>
      <c r="F8990" s="8" t="str">
        <f>IF(Table1[[#This Row],[Is Data Valid]]=TRUE,EXP(0.578+0.332*((Table1[[#This Row],[Gestation (days)]]+0.5)/7)-0.00354*((Table1[[#This Row],[Gestation (days)]]+0.5)/7)^2)*Table1[[#This Row],[BW40_3705]],"")</f>
        <v/>
      </c>
      <c r="G8990" s="2" t="str">
        <f>IF(Table1[[#This Row],[Is Data Valid]]=TRUE,((Table1[[#This Row],[Birthweight (grams)]]/Table1[[#This Row],[BW_GA]])-1)/(Backend!$B$4/100*Table1[[#This Row],[BW40_3705]]),"")</f>
        <v/>
      </c>
      <c r="H8990" s="7" t="str">
        <f>IF(Table1[[#This Row],[Is Data Valid]]=TRUE,((Table1[[#This Row],[Birthweight (grams)]]*0.9/Table1[[#This Row],[BW_GA]])-1)/(Backend!$B$4/100*Table1[[#This Row],[BW40_3705]]),"")</f>
        <v/>
      </c>
      <c r="I8990" s="7" t="str">
        <f>IF(Table1[[#This Row],[Is Data Valid]]=TRUE,((Table1[[#This Row],[Birthweight (grams)]]*1.1/Table1[[#This Row],[BW_GA]])-1)/(Backend!$B$4/100*Table1[[#This Row],[BW40_3705]]),"")</f>
        <v/>
      </c>
      <c r="J8990" s="7" t="str">
        <f>IF(Table1[[#This Row],[Is Data Valid]]=TRUE,_xlfn.NORM.S.DIST(Table1[[#This Row],[Birthweight Z-Score]],TRUE)*100,"")</f>
        <v/>
      </c>
      <c r="K8990" s="7" t="str">
        <f>IF(Table1[[#This Row],[Is Data Valid]]=TRUE,_xlfn.NORM.S.DIST(Table1[[#This Row],[Birthweight Z-Score (BW-10%)]],TRUE)*100,"")</f>
        <v/>
      </c>
      <c r="L8990" s="7" t="str">
        <f>IF(Table1[[#This Row],[Is Data Valid]]=TRUE,_xlfn.NORM.S.DIST(Table1[[#This Row],[Birthweight Z-Score (BW+10%)]],TRUE)*100,"")</f>
        <v/>
      </c>
    </row>
    <row r="8991" spans="1:12" x14ac:dyDescent="0.35">
      <c r="A8991" s="3"/>
      <c r="B8991" s="2"/>
      <c r="C8991" s="2"/>
      <c r="D8991" s="2" t="b">
        <f>IF(AND(NOT(ISBLANK(Table1[[#This Row],[Fetal Sex (Male, Female or Unknown)]])),ISNUMBER(Table1[[#This Row],[Birthweight (grams)]]),ISNUMBER(Table1[[#This Row],[Gestation (days)]])),TRUE,FALSE)</f>
        <v>0</v>
      </c>
      <c r="E8991" s="2" t="str">
        <f>IF(Table1[[#This Row],[Is Data Valid]]=TRUE,IF(Table1[[#This Row],[Fetal Sex (Male, Female or Unknown)]]="Male",Backend!$C$6,IF(Table1[[#This Row],[Fetal Sex (Male, Female or Unknown)]]="Female",Backend!$C$7,IF(Table1[[#This Row],[Fetal Sex (Male, Female or Unknown)]]="Unknown",Backend!$C$8,"Error"))),"")</f>
        <v/>
      </c>
      <c r="F8991" s="8" t="str">
        <f>IF(Table1[[#This Row],[Is Data Valid]]=TRUE,EXP(0.578+0.332*((Table1[[#This Row],[Gestation (days)]]+0.5)/7)-0.00354*((Table1[[#This Row],[Gestation (days)]]+0.5)/7)^2)*Table1[[#This Row],[BW40_3705]],"")</f>
        <v/>
      </c>
      <c r="G8991" s="2" t="str">
        <f>IF(Table1[[#This Row],[Is Data Valid]]=TRUE,((Table1[[#This Row],[Birthweight (grams)]]/Table1[[#This Row],[BW_GA]])-1)/(Backend!$B$4/100*Table1[[#This Row],[BW40_3705]]),"")</f>
        <v/>
      </c>
      <c r="H8991" s="7" t="str">
        <f>IF(Table1[[#This Row],[Is Data Valid]]=TRUE,((Table1[[#This Row],[Birthweight (grams)]]*0.9/Table1[[#This Row],[BW_GA]])-1)/(Backend!$B$4/100*Table1[[#This Row],[BW40_3705]]),"")</f>
        <v/>
      </c>
      <c r="I8991" s="7" t="str">
        <f>IF(Table1[[#This Row],[Is Data Valid]]=TRUE,((Table1[[#This Row],[Birthweight (grams)]]*1.1/Table1[[#This Row],[BW_GA]])-1)/(Backend!$B$4/100*Table1[[#This Row],[BW40_3705]]),"")</f>
        <v/>
      </c>
      <c r="J8991" s="7" t="str">
        <f>IF(Table1[[#This Row],[Is Data Valid]]=TRUE,_xlfn.NORM.S.DIST(Table1[[#This Row],[Birthweight Z-Score]],TRUE)*100,"")</f>
        <v/>
      </c>
      <c r="K8991" s="7" t="str">
        <f>IF(Table1[[#This Row],[Is Data Valid]]=TRUE,_xlfn.NORM.S.DIST(Table1[[#This Row],[Birthweight Z-Score (BW-10%)]],TRUE)*100,"")</f>
        <v/>
      </c>
      <c r="L8991" s="7" t="str">
        <f>IF(Table1[[#This Row],[Is Data Valid]]=TRUE,_xlfn.NORM.S.DIST(Table1[[#This Row],[Birthweight Z-Score (BW+10%)]],TRUE)*100,"")</f>
        <v/>
      </c>
    </row>
    <row r="8992" spans="1:12" x14ac:dyDescent="0.35">
      <c r="A8992" s="3"/>
      <c r="B8992" s="2"/>
      <c r="C8992" s="2"/>
      <c r="D8992" s="2" t="b">
        <f>IF(AND(NOT(ISBLANK(Table1[[#This Row],[Fetal Sex (Male, Female or Unknown)]])),ISNUMBER(Table1[[#This Row],[Birthweight (grams)]]),ISNUMBER(Table1[[#This Row],[Gestation (days)]])),TRUE,FALSE)</f>
        <v>0</v>
      </c>
      <c r="E8992" s="2" t="str">
        <f>IF(Table1[[#This Row],[Is Data Valid]]=TRUE,IF(Table1[[#This Row],[Fetal Sex (Male, Female or Unknown)]]="Male",Backend!$C$6,IF(Table1[[#This Row],[Fetal Sex (Male, Female or Unknown)]]="Female",Backend!$C$7,IF(Table1[[#This Row],[Fetal Sex (Male, Female or Unknown)]]="Unknown",Backend!$C$8,"Error"))),"")</f>
        <v/>
      </c>
      <c r="F8992" s="8" t="str">
        <f>IF(Table1[[#This Row],[Is Data Valid]]=TRUE,EXP(0.578+0.332*((Table1[[#This Row],[Gestation (days)]]+0.5)/7)-0.00354*((Table1[[#This Row],[Gestation (days)]]+0.5)/7)^2)*Table1[[#This Row],[BW40_3705]],"")</f>
        <v/>
      </c>
      <c r="G8992" s="2" t="str">
        <f>IF(Table1[[#This Row],[Is Data Valid]]=TRUE,((Table1[[#This Row],[Birthweight (grams)]]/Table1[[#This Row],[BW_GA]])-1)/(Backend!$B$4/100*Table1[[#This Row],[BW40_3705]]),"")</f>
        <v/>
      </c>
      <c r="H8992" s="7" t="str">
        <f>IF(Table1[[#This Row],[Is Data Valid]]=TRUE,((Table1[[#This Row],[Birthweight (grams)]]*0.9/Table1[[#This Row],[BW_GA]])-1)/(Backend!$B$4/100*Table1[[#This Row],[BW40_3705]]),"")</f>
        <v/>
      </c>
      <c r="I8992" s="7" t="str">
        <f>IF(Table1[[#This Row],[Is Data Valid]]=TRUE,((Table1[[#This Row],[Birthweight (grams)]]*1.1/Table1[[#This Row],[BW_GA]])-1)/(Backend!$B$4/100*Table1[[#This Row],[BW40_3705]]),"")</f>
        <v/>
      </c>
      <c r="J8992" s="7" t="str">
        <f>IF(Table1[[#This Row],[Is Data Valid]]=TRUE,_xlfn.NORM.S.DIST(Table1[[#This Row],[Birthweight Z-Score]],TRUE)*100,"")</f>
        <v/>
      </c>
      <c r="K8992" s="7" t="str">
        <f>IF(Table1[[#This Row],[Is Data Valid]]=TRUE,_xlfn.NORM.S.DIST(Table1[[#This Row],[Birthweight Z-Score (BW-10%)]],TRUE)*100,"")</f>
        <v/>
      </c>
      <c r="L8992" s="7" t="str">
        <f>IF(Table1[[#This Row],[Is Data Valid]]=TRUE,_xlfn.NORM.S.DIST(Table1[[#This Row],[Birthweight Z-Score (BW+10%)]],TRUE)*100,"")</f>
        <v/>
      </c>
    </row>
    <row r="8993" spans="1:12" x14ac:dyDescent="0.35">
      <c r="A8993" s="3"/>
      <c r="B8993" s="2"/>
      <c r="C8993" s="2"/>
      <c r="D8993" s="2" t="b">
        <f>IF(AND(NOT(ISBLANK(Table1[[#This Row],[Fetal Sex (Male, Female or Unknown)]])),ISNUMBER(Table1[[#This Row],[Birthweight (grams)]]),ISNUMBER(Table1[[#This Row],[Gestation (days)]])),TRUE,FALSE)</f>
        <v>0</v>
      </c>
      <c r="E8993" s="2" t="str">
        <f>IF(Table1[[#This Row],[Is Data Valid]]=TRUE,IF(Table1[[#This Row],[Fetal Sex (Male, Female or Unknown)]]="Male",Backend!$C$6,IF(Table1[[#This Row],[Fetal Sex (Male, Female or Unknown)]]="Female",Backend!$C$7,IF(Table1[[#This Row],[Fetal Sex (Male, Female or Unknown)]]="Unknown",Backend!$C$8,"Error"))),"")</f>
        <v/>
      </c>
      <c r="F8993" s="8" t="str">
        <f>IF(Table1[[#This Row],[Is Data Valid]]=TRUE,EXP(0.578+0.332*((Table1[[#This Row],[Gestation (days)]]+0.5)/7)-0.00354*((Table1[[#This Row],[Gestation (days)]]+0.5)/7)^2)*Table1[[#This Row],[BW40_3705]],"")</f>
        <v/>
      </c>
      <c r="G8993" s="2" t="str">
        <f>IF(Table1[[#This Row],[Is Data Valid]]=TRUE,((Table1[[#This Row],[Birthweight (grams)]]/Table1[[#This Row],[BW_GA]])-1)/(Backend!$B$4/100*Table1[[#This Row],[BW40_3705]]),"")</f>
        <v/>
      </c>
      <c r="H8993" s="7" t="str">
        <f>IF(Table1[[#This Row],[Is Data Valid]]=TRUE,((Table1[[#This Row],[Birthweight (grams)]]*0.9/Table1[[#This Row],[BW_GA]])-1)/(Backend!$B$4/100*Table1[[#This Row],[BW40_3705]]),"")</f>
        <v/>
      </c>
      <c r="I8993" s="7" t="str">
        <f>IF(Table1[[#This Row],[Is Data Valid]]=TRUE,((Table1[[#This Row],[Birthweight (grams)]]*1.1/Table1[[#This Row],[BW_GA]])-1)/(Backend!$B$4/100*Table1[[#This Row],[BW40_3705]]),"")</f>
        <v/>
      </c>
      <c r="J8993" s="7" t="str">
        <f>IF(Table1[[#This Row],[Is Data Valid]]=TRUE,_xlfn.NORM.S.DIST(Table1[[#This Row],[Birthweight Z-Score]],TRUE)*100,"")</f>
        <v/>
      </c>
      <c r="K8993" s="7" t="str">
        <f>IF(Table1[[#This Row],[Is Data Valid]]=TRUE,_xlfn.NORM.S.DIST(Table1[[#This Row],[Birthweight Z-Score (BW-10%)]],TRUE)*100,"")</f>
        <v/>
      </c>
      <c r="L8993" s="7" t="str">
        <f>IF(Table1[[#This Row],[Is Data Valid]]=TRUE,_xlfn.NORM.S.DIST(Table1[[#This Row],[Birthweight Z-Score (BW+10%)]],TRUE)*100,"")</f>
        <v/>
      </c>
    </row>
    <row r="8994" spans="1:12" x14ac:dyDescent="0.35">
      <c r="A8994" s="3"/>
      <c r="B8994" s="2"/>
      <c r="C8994" s="2"/>
      <c r="D8994" s="2" t="b">
        <f>IF(AND(NOT(ISBLANK(Table1[[#This Row],[Fetal Sex (Male, Female or Unknown)]])),ISNUMBER(Table1[[#This Row],[Birthweight (grams)]]),ISNUMBER(Table1[[#This Row],[Gestation (days)]])),TRUE,FALSE)</f>
        <v>0</v>
      </c>
      <c r="E8994" s="2" t="str">
        <f>IF(Table1[[#This Row],[Is Data Valid]]=TRUE,IF(Table1[[#This Row],[Fetal Sex (Male, Female or Unknown)]]="Male",Backend!$C$6,IF(Table1[[#This Row],[Fetal Sex (Male, Female or Unknown)]]="Female",Backend!$C$7,IF(Table1[[#This Row],[Fetal Sex (Male, Female or Unknown)]]="Unknown",Backend!$C$8,"Error"))),"")</f>
        <v/>
      </c>
      <c r="F8994" s="8" t="str">
        <f>IF(Table1[[#This Row],[Is Data Valid]]=TRUE,EXP(0.578+0.332*((Table1[[#This Row],[Gestation (days)]]+0.5)/7)-0.00354*((Table1[[#This Row],[Gestation (days)]]+0.5)/7)^2)*Table1[[#This Row],[BW40_3705]],"")</f>
        <v/>
      </c>
      <c r="G8994" s="2" t="str">
        <f>IF(Table1[[#This Row],[Is Data Valid]]=TRUE,((Table1[[#This Row],[Birthweight (grams)]]/Table1[[#This Row],[BW_GA]])-1)/(Backend!$B$4/100*Table1[[#This Row],[BW40_3705]]),"")</f>
        <v/>
      </c>
      <c r="H8994" s="7" t="str">
        <f>IF(Table1[[#This Row],[Is Data Valid]]=TRUE,((Table1[[#This Row],[Birthweight (grams)]]*0.9/Table1[[#This Row],[BW_GA]])-1)/(Backend!$B$4/100*Table1[[#This Row],[BW40_3705]]),"")</f>
        <v/>
      </c>
      <c r="I8994" s="7" t="str">
        <f>IF(Table1[[#This Row],[Is Data Valid]]=TRUE,((Table1[[#This Row],[Birthweight (grams)]]*1.1/Table1[[#This Row],[BW_GA]])-1)/(Backend!$B$4/100*Table1[[#This Row],[BW40_3705]]),"")</f>
        <v/>
      </c>
      <c r="J8994" s="7" t="str">
        <f>IF(Table1[[#This Row],[Is Data Valid]]=TRUE,_xlfn.NORM.S.DIST(Table1[[#This Row],[Birthweight Z-Score]],TRUE)*100,"")</f>
        <v/>
      </c>
      <c r="K8994" s="7" t="str">
        <f>IF(Table1[[#This Row],[Is Data Valid]]=TRUE,_xlfn.NORM.S.DIST(Table1[[#This Row],[Birthweight Z-Score (BW-10%)]],TRUE)*100,"")</f>
        <v/>
      </c>
      <c r="L8994" s="7" t="str">
        <f>IF(Table1[[#This Row],[Is Data Valid]]=TRUE,_xlfn.NORM.S.DIST(Table1[[#This Row],[Birthweight Z-Score (BW+10%)]],TRUE)*100,"")</f>
        <v/>
      </c>
    </row>
    <row r="8995" spans="1:12" x14ac:dyDescent="0.35">
      <c r="A8995" s="3"/>
      <c r="B8995" s="2"/>
      <c r="C8995" s="2"/>
      <c r="D8995" s="2" t="b">
        <f>IF(AND(NOT(ISBLANK(Table1[[#This Row],[Fetal Sex (Male, Female or Unknown)]])),ISNUMBER(Table1[[#This Row],[Birthweight (grams)]]),ISNUMBER(Table1[[#This Row],[Gestation (days)]])),TRUE,FALSE)</f>
        <v>0</v>
      </c>
      <c r="E8995" s="2" t="str">
        <f>IF(Table1[[#This Row],[Is Data Valid]]=TRUE,IF(Table1[[#This Row],[Fetal Sex (Male, Female or Unknown)]]="Male",Backend!$C$6,IF(Table1[[#This Row],[Fetal Sex (Male, Female or Unknown)]]="Female",Backend!$C$7,IF(Table1[[#This Row],[Fetal Sex (Male, Female or Unknown)]]="Unknown",Backend!$C$8,"Error"))),"")</f>
        <v/>
      </c>
      <c r="F8995" s="8" t="str">
        <f>IF(Table1[[#This Row],[Is Data Valid]]=TRUE,EXP(0.578+0.332*((Table1[[#This Row],[Gestation (days)]]+0.5)/7)-0.00354*((Table1[[#This Row],[Gestation (days)]]+0.5)/7)^2)*Table1[[#This Row],[BW40_3705]],"")</f>
        <v/>
      </c>
      <c r="G8995" s="2" t="str">
        <f>IF(Table1[[#This Row],[Is Data Valid]]=TRUE,((Table1[[#This Row],[Birthweight (grams)]]/Table1[[#This Row],[BW_GA]])-1)/(Backend!$B$4/100*Table1[[#This Row],[BW40_3705]]),"")</f>
        <v/>
      </c>
      <c r="H8995" s="7" t="str">
        <f>IF(Table1[[#This Row],[Is Data Valid]]=TRUE,((Table1[[#This Row],[Birthweight (grams)]]*0.9/Table1[[#This Row],[BW_GA]])-1)/(Backend!$B$4/100*Table1[[#This Row],[BW40_3705]]),"")</f>
        <v/>
      </c>
      <c r="I8995" s="7" t="str">
        <f>IF(Table1[[#This Row],[Is Data Valid]]=TRUE,((Table1[[#This Row],[Birthweight (grams)]]*1.1/Table1[[#This Row],[BW_GA]])-1)/(Backend!$B$4/100*Table1[[#This Row],[BW40_3705]]),"")</f>
        <v/>
      </c>
      <c r="J8995" s="7" t="str">
        <f>IF(Table1[[#This Row],[Is Data Valid]]=TRUE,_xlfn.NORM.S.DIST(Table1[[#This Row],[Birthweight Z-Score]],TRUE)*100,"")</f>
        <v/>
      </c>
      <c r="K8995" s="7" t="str">
        <f>IF(Table1[[#This Row],[Is Data Valid]]=TRUE,_xlfn.NORM.S.DIST(Table1[[#This Row],[Birthweight Z-Score (BW-10%)]],TRUE)*100,"")</f>
        <v/>
      </c>
      <c r="L8995" s="7" t="str">
        <f>IF(Table1[[#This Row],[Is Data Valid]]=TRUE,_xlfn.NORM.S.DIST(Table1[[#This Row],[Birthweight Z-Score (BW+10%)]],TRUE)*100,"")</f>
        <v/>
      </c>
    </row>
    <row r="8996" spans="1:12" x14ac:dyDescent="0.35">
      <c r="A8996" s="3"/>
      <c r="B8996" s="2"/>
      <c r="C8996" s="2"/>
      <c r="D8996" s="2" t="b">
        <f>IF(AND(NOT(ISBLANK(Table1[[#This Row],[Fetal Sex (Male, Female or Unknown)]])),ISNUMBER(Table1[[#This Row],[Birthweight (grams)]]),ISNUMBER(Table1[[#This Row],[Gestation (days)]])),TRUE,FALSE)</f>
        <v>0</v>
      </c>
      <c r="E8996" s="2" t="str">
        <f>IF(Table1[[#This Row],[Is Data Valid]]=TRUE,IF(Table1[[#This Row],[Fetal Sex (Male, Female or Unknown)]]="Male",Backend!$C$6,IF(Table1[[#This Row],[Fetal Sex (Male, Female or Unknown)]]="Female",Backend!$C$7,IF(Table1[[#This Row],[Fetal Sex (Male, Female or Unknown)]]="Unknown",Backend!$C$8,"Error"))),"")</f>
        <v/>
      </c>
      <c r="F8996" s="8" t="str">
        <f>IF(Table1[[#This Row],[Is Data Valid]]=TRUE,EXP(0.578+0.332*((Table1[[#This Row],[Gestation (days)]]+0.5)/7)-0.00354*((Table1[[#This Row],[Gestation (days)]]+0.5)/7)^2)*Table1[[#This Row],[BW40_3705]],"")</f>
        <v/>
      </c>
      <c r="G8996" s="2" t="str">
        <f>IF(Table1[[#This Row],[Is Data Valid]]=TRUE,((Table1[[#This Row],[Birthweight (grams)]]/Table1[[#This Row],[BW_GA]])-1)/(Backend!$B$4/100*Table1[[#This Row],[BW40_3705]]),"")</f>
        <v/>
      </c>
      <c r="H8996" s="7" t="str">
        <f>IF(Table1[[#This Row],[Is Data Valid]]=TRUE,((Table1[[#This Row],[Birthweight (grams)]]*0.9/Table1[[#This Row],[BW_GA]])-1)/(Backend!$B$4/100*Table1[[#This Row],[BW40_3705]]),"")</f>
        <v/>
      </c>
      <c r="I8996" s="7" t="str">
        <f>IF(Table1[[#This Row],[Is Data Valid]]=TRUE,((Table1[[#This Row],[Birthweight (grams)]]*1.1/Table1[[#This Row],[BW_GA]])-1)/(Backend!$B$4/100*Table1[[#This Row],[BW40_3705]]),"")</f>
        <v/>
      </c>
      <c r="J8996" s="7" t="str">
        <f>IF(Table1[[#This Row],[Is Data Valid]]=TRUE,_xlfn.NORM.S.DIST(Table1[[#This Row],[Birthweight Z-Score]],TRUE)*100,"")</f>
        <v/>
      </c>
      <c r="K8996" s="7" t="str">
        <f>IF(Table1[[#This Row],[Is Data Valid]]=TRUE,_xlfn.NORM.S.DIST(Table1[[#This Row],[Birthweight Z-Score (BW-10%)]],TRUE)*100,"")</f>
        <v/>
      </c>
      <c r="L8996" s="7" t="str">
        <f>IF(Table1[[#This Row],[Is Data Valid]]=TRUE,_xlfn.NORM.S.DIST(Table1[[#This Row],[Birthweight Z-Score (BW+10%)]],TRUE)*100,"")</f>
        <v/>
      </c>
    </row>
    <row r="8997" spans="1:12" x14ac:dyDescent="0.35">
      <c r="A8997" s="3"/>
      <c r="B8997" s="2"/>
      <c r="C8997" s="2"/>
      <c r="D8997" s="2" t="b">
        <f>IF(AND(NOT(ISBLANK(Table1[[#This Row],[Fetal Sex (Male, Female or Unknown)]])),ISNUMBER(Table1[[#This Row],[Birthweight (grams)]]),ISNUMBER(Table1[[#This Row],[Gestation (days)]])),TRUE,FALSE)</f>
        <v>0</v>
      </c>
      <c r="E8997" s="2" t="str">
        <f>IF(Table1[[#This Row],[Is Data Valid]]=TRUE,IF(Table1[[#This Row],[Fetal Sex (Male, Female or Unknown)]]="Male",Backend!$C$6,IF(Table1[[#This Row],[Fetal Sex (Male, Female or Unknown)]]="Female",Backend!$C$7,IF(Table1[[#This Row],[Fetal Sex (Male, Female or Unknown)]]="Unknown",Backend!$C$8,"Error"))),"")</f>
        <v/>
      </c>
      <c r="F8997" s="8" t="str">
        <f>IF(Table1[[#This Row],[Is Data Valid]]=TRUE,EXP(0.578+0.332*((Table1[[#This Row],[Gestation (days)]]+0.5)/7)-0.00354*((Table1[[#This Row],[Gestation (days)]]+0.5)/7)^2)*Table1[[#This Row],[BW40_3705]],"")</f>
        <v/>
      </c>
      <c r="G8997" s="2" t="str">
        <f>IF(Table1[[#This Row],[Is Data Valid]]=TRUE,((Table1[[#This Row],[Birthweight (grams)]]/Table1[[#This Row],[BW_GA]])-1)/(Backend!$B$4/100*Table1[[#This Row],[BW40_3705]]),"")</f>
        <v/>
      </c>
      <c r="H8997" s="7" t="str">
        <f>IF(Table1[[#This Row],[Is Data Valid]]=TRUE,((Table1[[#This Row],[Birthweight (grams)]]*0.9/Table1[[#This Row],[BW_GA]])-1)/(Backend!$B$4/100*Table1[[#This Row],[BW40_3705]]),"")</f>
        <v/>
      </c>
      <c r="I8997" s="7" t="str">
        <f>IF(Table1[[#This Row],[Is Data Valid]]=TRUE,((Table1[[#This Row],[Birthweight (grams)]]*1.1/Table1[[#This Row],[BW_GA]])-1)/(Backend!$B$4/100*Table1[[#This Row],[BW40_3705]]),"")</f>
        <v/>
      </c>
      <c r="J8997" s="7" t="str">
        <f>IF(Table1[[#This Row],[Is Data Valid]]=TRUE,_xlfn.NORM.S.DIST(Table1[[#This Row],[Birthweight Z-Score]],TRUE)*100,"")</f>
        <v/>
      </c>
      <c r="K8997" s="7" t="str">
        <f>IF(Table1[[#This Row],[Is Data Valid]]=TRUE,_xlfn.NORM.S.DIST(Table1[[#This Row],[Birthweight Z-Score (BW-10%)]],TRUE)*100,"")</f>
        <v/>
      </c>
      <c r="L8997" s="7" t="str">
        <f>IF(Table1[[#This Row],[Is Data Valid]]=TRUE,_xlfn.NORM.S.DIST(Table1[[#This Row],[Birthweight Z-Score (BW+10%)]],TRUE)*100,"")</f>
        <v/>
      </c>
    </row>
    <row r="8998" spans="1:12" x14ac:dyDescent="0.35">
      <c r="A8998" s="3"/>
      <c r="B8998" s="2"/>
      <c r="C8998" s="2"/>
      <c r="D8998" s="2" t="b">
        <f>IF(AND(NOT(ISBLANK(Table1[[#This Row],[Fetal Sex (Male, Female or Unknown)]])),ISNUMBER(Table1[[#This Row],[Birthweight (grams)]]),ISNUMBER(Table1[[#This Row],[Gestation (days)]])),TRUE,FALSE)</f>
        <v>0</v>
      </c>
      <c r="E8998" s="2" t="str">
        <f>IF(Table1[[#This Row],[Is Data Valid]]=TRUE,IF(Table1[[#This Row],[Fetal Sex (Male, Female or Unknown)]]="Male",Backend!$C$6,IF(Table1[[#This Row],[Fetal Sex (Male, Female or Unknown)]]="Female",Backend!$C$7,IF(Table1[[#This Row],[Fetal Sex (Male, Female or Unknown)]]="Unknown",Backend!$C$8,"Error"))),"")</f>
        <v/>
      </c>
      <c r="F8998" s="8" t="str">
        <f>IF(Table1[[#This Row],[Is Data Valid]]=TRUE,EXP(0.578+0.332*((Table1[[#This Row],[Gestation (days)]]+0.5)/7)-0.00354*((Table1[[#This Row],[Gestation (days)]]+0.5)/7)^2)*Table1[[#This Row],[BW40_3705]],"")</f>
        <v/>
      </c>
      <c r="G8998" s="2" t="str">
        <f>IF(Table1[[#This Row],[Is Data Valid]]=TRUE,((Table1[[#This Row],[Birthweight (grams)]]/Table1[[#This Row],[BW_GA]])-1)/(Backend!$B$4/100*Table1[[#This Row],[BW40_3705]]),"")</f>
        <v/>
      </c>
      <c r="H8998" s="7" t="str">
        <f>IF(Table1[[#This Row],[Is Data Valid]]=TRUE,((Table1[[#This Row],[Birthweight (grams)]]*0.9/Table1[[#This Row],[BW_GA]])-1)/(Backend!$B$4/100*Table1[[#This Row],[BW40_3705]]),"")</f>
        <v/>
      </c>
      <c r="I8998" s="7" t="str">
        <f>IF(Table1[[#This Row],[Is Data Valid]]=TRUE,((Table1[[#This Row],[Birthweight (grams)]]*1.1/Table1[[#This Row],[BW_GA]])-1)/(Backend!$B$4/100*Table1[[#This Row],[BW40_3705]]),"")</f>
        <v/>
      </c>
      <c r="J8998" s="7" t="str">
        <f>IF(Table1[[#This Row],[Is Data Valid]]=TRUE,_xlfn.NORM.S.DIST(Table1[[#This Row],[Birthweight Z-Score]],TRUE)*100,"")</f>
        <v/>
      </c>
      <c r="K8998" s="7" t="str">
        <f>IF(Table1[[#This Row],[Is Data Valid]]=TRUE,_xlfn.NORM.S.DIST(Table1[[#This Row],[Birthweight Z-Score (BW-10%)]],TRUE)*100,"")</f>
        <v/>
      </c>
      <c r="L8998" s="7" t="str">
        <f>IF(Table1[[#This Row],[Is Data Valid]]=TRUE,_xlfn.NORM.S.DIST(Table1[[#This Row],[Birthweight Z-Score (BW+10%)]],TRUE)*100,"")</f>
        <v/>
      </c>
    </row>
    <row r="8999" spans="1:12" x14ac:dyDescent="0.35">
      <c r="A8999" s="3"/>
      <c r="B8999" s="2"/>
      <c r="C8999" s="2"/>
      <c r="D8999" s="2" t="b">
        <f>IF(AND(NOT(ISBLANK(Table1[[#This Row],[Fetal Sex (Male, Female or Unknown)]])),ISNUMBER(Table1[[#This Row],[Birthweight (grams)]]),ISNUMBER(Table1[[#This Row],[Gestation (days)]])),TRUE,FALSE)</f>
        <v>0</v>
      </c>
      <c r="E8999" s="2" t="str">
        <f>IF(Table1[[#This Row],[Is Data Valid]]=TRUE,IF(Table1[[#This Row],[Fetal Sex (Male, Female or Unknown)]]="Male",Backend!$C$6,IF(Table1[[#This Row],[Fetal Sex (Male, Female or Unknown)]]="Female",Backend!$C$7,IF(Table1[[#This Row],[Fetal Sex (Male, Female or Unknown)]]="Unknown",Backend!$C$8,"Error"))),"")</f>
        <v/>
      </c>
      <c r="F8999" s="8" t="str">
        <f>IF(Table1[[#This Row],[Is Data Valid]]=TRUE,EXP(0.578+0.332*((Table1[[#This Row],[Gestation (days)]]+0.5)/7)-0.00354*((Table1[[#This Row],[Gestation (days)]]+0.5)/7)^2)*Table1[[#This Row],[BW40_3705]],"")</f>
        <v/>
      </c>
      <c r="G8999" s="2" t="str">
        <f>IF(Table1[[#This Row],[Is Data Valid]]=TRUE,((Table1[[#This Row],[Birthweight (grams)]]/Table1[[#This Row],[BW_GA]])-1)/(Backend!$B$4/100*Table1[[#This Row],[BW40_3705]]),"")</f>
        <v/>
      </c>
      <c r="H8999" s="7" t="str">
        <f>IF(Table1[[#This Row],[Is Data Valid]]=TRUE,((Table1[[#This Row],[Birthweight (grams)]]*0.9/Table1[[#This Row],[BW_GA]])-1)/(Backend!$B$4/100*Table1[[#This Row],[BW40_3705]]),"")</f>
        <v/>
      </c>
      <c r="I8999" s="7" t="str">
        <f>IF(Table1[[#This Row],[Is Data Valid]]=TRUE,((Table1[[#This Row],[Birthweight (grams)]]*1.1/Table1[[#This Row],[BW_GA]])-1)/(Backend!$B$4/100*Table1[[#This Row],[BW40_3705]]),"")</f>
        <v/>
      </c>
      <c r="J8999" s="7" t="str">
        <f>IF(Table1[[#This Row],[Is Data Valid]]=TRUE,_xlfn.NORM.S.DIST(Table1[[#This Row],[Birthweight Z-Score]],TRUE)*100,"")</f>
        <v/>
      </c>
      <c r="K8999" s="7" t="str">
        <f>IF(Table1[[#This Row],[Is Data Valid]]=TRUE,_xlfn.NORM.S.DIST(Table1[[#This Row],[Birthweight Z-Score (BW-10%)]],TRUE)*100,"")</f>
        <v/>
      </c>
      <c r="L8999" s="7" t="str">
        <f>IF(Table1[[#This Row],[Is Data Valid]]=TRUE,_xlfn.NORM.S.DIST(Table1[[#This Row],[Birthweight Z-Score (BW+10%)]],TRUE)*100,"")</f>
        <v/>
      </c>
    </row>
    <row r="9000" spans="1:12" x14ac:dyDescent="0.35">
      <c r="A9000" s="3"/>
      <c r="B9000" s="2"/>
      <c r="C9000" s="2"/>
      <c r="D9000" s="2" t="b">
        <f>IF(AND(NOT(ISBLANK(Table1[[#This Row],[Fetal Sex (Male, Female or Unknown)]])),ISNUMBER(Table1[[#This Row],[Birthweight (grams)]]),ISNUMBER(Table1[[#This Row],[Gestation (days)]])),TRUE,FALSE)</f>
        <v>0</v>
      </c>
      <c r="E9000" s="2" t="str">
        <f>IF(Table1[[#This Row],[Is Data Valid]]=TRUE,IF(Table1[[#This Row],[Fetal Sex (Male, Female or Unknown)]]="Male",Backend!$C$6,IF(Table1[[#This Row],[Fetal Sex (Male, Female or Unknown)]]="Female",Backend!$C$7,IF(Table1[[#This Row],[Fetal Sex (Male, Female or Unknown)]]="Unknown",Backend!$C$8,"Error"))),"")</f>
        <v/>
      </c>
      <c r="F9000" s="8" t="str">
        <f>IF(Table1[[#This Row],[Is Data Valid]]=TRUE,EXP(0.578+0.332*((Table1[[#This Row],[Gestation (days)]]+0.5)/7)-0.00354*((Table1[[#This Row],[Gestation (days)]]+0.5)/7)^2)*Table1[[#This Row],[BW40_3705]],"")</f>
        <v/>
      </c>
      <c r="G9000" s="2" t="str">
        <f>IF(Table1[[#This Row],[Is Data Valid]]=TRUE,((Table1[[#This Row],[Birthweight (grams)]]/Table1[[#This Row],[BW_GA]])-1)/(Backend!$B$4/100*Table1[[#This Row],[BW40_3705]]),"")</f>
        <v/>
      </c>
      <c r="H9000" s="7" t="str">
        <f>IF(Table1[[#This Row],[Is Data Valid]]=TRUE,((Table1[[#This Row],[Birthweight (grams)]]*0.9/Table1[[#This Row],[BW_GA]])-1)/(Backend!$B$4/100*Table1[[#This Row],[BW40_3705]]),"")</f>
        <v/>
      </c>
      <c r="I9000" s="7" t="str">
        <f>IF(Table1[[#This Row],[Is Data Valid]]=TRUE,((Table1[[#This Row],[Birthweight (grams)]]*1.1/Table1[[#This Row],[BW_GA]])-1)/(Backend!$B$4/100*Table1[[#This Row],[BW40_3705]]),"")</f>
        <v/>
      </c>
      <c r="J9000" s="7" t="str">
        <f>IF(Table1[[#This Row],[Is Data Valid]]=TRUE,_xlfn.NORM.S.DIST(Table1[[#This Row],[Birthweight Z-Score]],TRUE)*100,"")</f>
        <v/>
      </c>
      <c r="K9000" s="7" t="str">
        <f>IF(Table1[[#This Row],[Is Data Valid]]=TRUE,_xlfn.NORM.S.DIST(Table1[[#This Row],[Birthweight Z-Score (BW-10%)]],TRUE)*100,"")</f>
        <v/>
      </c>
      <c r="L9000" s="7" t="str">
        <f>IF(Table1[[#This Row],[Is Data Valid]]=TRUE,_xlfn.NORM.S.DIST(Table1[[#This Row],[Birthweight Z-Score (BW+10%)]],TRUE)*100,"")</f>
        <v/>
      </c>
    </row>
    <row r="9001" spans="1:12" x14ac:dyDescent="0.35">
      <c r="A9001" s="3"/>
      <c r="B9001" s="2"/>
      <c r="C9001" s="2"/>
      <c r="D9001" s="2" t="b">
        <f>IF(AND(NOT(ISBLANK(Table1[[#This Row],[Fetal Sex (Male, Female or Unknown)]])),ISNUMBER(Table1[[#This Row],[Birthweight (grams)]]),ISNUMBER(Table1[[#This Row],[Gestation (days)]])),TRUE,FALSE)</f>
        <v>0</v>
      </c>
      <c r="E9001" s="2" t="str">
        <f>IF(Table1[[#This Row],[Is Data Valid]]=TRUE,IF(Table1[[#This Row],[Fetal Sex (Male, Female or Unknown)]]="Male",Backend!$C$6,IF(Table1[[#This Row],[Fetal Sex (Male, Female or Unknown)]]="Female",Backend!$C$7,IF(Table1[[#This Row],[Fetal Sex (Male, Female or Unknown)]]="Unknown",Backend!$C$8,"Error"))),"")</f>
        <v/>
      </c>
      <c r="F9001" s="8" t="str">
        <f>IF(Table1[[#This Row],[Is Data Valid]]=TRUE,EXP(0.578+0.332*((Table1[[#This Row],[Gestation (days)]]+0.5)/7)-0.00354*((Table1[[#This Row],[Gestation (days)]]+0.5)/7)^2)*Table1[[#This Row],[BW40_3705]],"")</f>
        <v/>
      </c>
      <c r="G9001" s="2" t="str">
        <f>IF(Table1[[#This Row],[Is Data Valid]]=TRUE,((Table1[[#This Row],[Birthweight (grams)]]/Table1[[#This Row],[BW_GA]])-1)/(Backend!$B$4/100*Table1[[#This Row],[BW40_3705]]),"")</f>
        <v/>
      </c>
      <c r="H9001" s="7" t="str">
        <f>IF(Table1[[#This Row],[Is Data Valid]]=TRUE,((Table1[[#This Row],[Birthweight (grams)]]*0.9/Table1[[#This Row],[BW_GA]])-1)/(Backend!$B$4/100*Table1[[#This Row],[BW40_3705]]),"")</f>
        <v/>
      </c>
      <c r="I9001" s="7" t="str">
        <f>IF(Table1[[#This Row],[Is Data Valid]]=TRUE,((Table1[[#This Row],[Birthweight (grams)]]*1.1/Table1[[#This Row],[BW_GA]])-1)/(Backend!$B$4/100*Table1[[#This Row],[BW40_3705]]),"")</f>
        <v/>
      </c>
      <c r="J9001" s="7" t="str">
        <f>IF(Table1[[#This Row],[Is Data Valid]]=TRUE,_xlfn.NORM.S.DIST(Table1[[#This Row],[Birthweight Z-Score]],TRUE)*100,"")</f>
        <v/>
      </c>
      <c r="K9001" s="7" t="str">
        <f>IF(Table1[[#This Row],[Is Data Valid]]=TRUE,_xlfn.NORM.S.DIST(Table1[[#This Row],[Birthweight Z-Score (BW-10%)]],TRUE)*100,"")</f>
        <v/>
      </c>
      <c r="L9001" s="7" t="str">
        <f>IF(Table1[[#This Row],[Is Data Valid]]=TRUE,_xlfn.NORM.S.DIST(Table1[[#This Row],[Birthweight Z-Score (BW+10%)]],TRUE)*100,"")</f>
        <v/>
      </c>
    </row>
    <row r="9002" spans="1:12" x14ac:dyDescent="0.35">
      <c r="A9002" s="3"/>
      <c r="B9002" s="2"/>
      <c r="C9002" s="2"/>
      <c r="D9002" s="2" t="b">
        <f>IF(AND(NOT(ISBLANK(Table1[[#This Row],[Fetal Sex (Male, Female or Unknown)]])),ISNUMBER(Table1[[#This Row],[Birthweight (grams)]]),ISNUMBER(Table1[[#This Row],[Gestation (days)]])),TRUE,FALSE)</f>
        <v>0</v>
      </c>
      <c r="E9002" s="2" t="str">
        <f>IF(Table1[[#This Row],[Is Data Valid]]=TRUE,IF(Table1[[#This Row],[Fetal Sex (Male, Female or Unknown)]]="Male",Backend!$C$6,IF(Table1[[#This Row],[Fetal Sex (Male, Female or Unknown)]]="Female",Backend!$C$7,IF(Table1[[#This Row],[Fetal Sex (Male, Female or Unknown)]]="Unknown",Backend!$C$8,"Error"))),"")</f>
        <v/>
      </c>
      <c r="F9002" s="8" t="str">
        <f>IF(Table1[[#This Row],[Is Data Valid]]=TRUE,EXP(0.578+0.332*((Table1[[#This Row],[Gestation (days)]]+0.5)/7)-0.00354*((Table1[[#This Row],[Gestation (days)]]+0.5)/7)^2)*Table1[[#This Row],[BW40_3705]],"")</f>
        <v/>
      </c>
      <c r="G9002" s="2" t="str">
        <f>IF(Table1[[#This Row],[Is Data Valid]]=TRUE,((Table1[[#This Row],[Birthweight (grams)]]/Table1[[#This Row],[BW_GA]])-1)/(Backend!$B$4/100*Table1[[#This Row],[BW40_3705]]),"")</f>
        <v/>
      </c>
      <c r="H9002" s="7" t="str">
        <f>IF(Table1[[#This Row],[Is Data Valid]]=TRUE,((Table1[[#This Row],[Birthweight (grams)]]*0.9/Table1[[#This Row],[BW_GA]])-1)/(Backend!$B$4/100*Table1[[#This Row],[BW40_3705]]),"")</f>
        <v/>
      </c>
      <c r="I9002" s="7" t="str">
        <f>IF(Table1[[#This Row],[Is Data Valid]]=TRUE,((Table1[[#This Row],[Birthweight (grams)]]*1.1/Table1[[#This Row],[BW_GA]])-1)/(Backend!$B$4/100*Table1[[#This Row],[BW40_3705]]),"")</f>
        <v/>
      </c>
      <c r="J9002" s="7" t="str">
        <f>IF(Table1[[#This Row],[Is Data Valid]]=TRUE,_xlfn.NORM.S.DIST(Table1[[#This Row],[Birthweight Z-Score]],TRUE)*100,"")</f>
        <v/>
      </c>
      <c r="K9002" s="7" t="str">
        <f>IF(Table1[[#This Row],[Is Data Valid]]=TRUE,_xlfn.NORM.S.DIST(Table1[[#This Row],[Birthweight Z-Score (BW-10%)]],TRUE)*100,"")</f>
        <v/>
      </c>
      <c r="L9002" s="7" t="str">
        <f>IF(Table1[[#This Row],[Is Data Valid]]=TRUE,_xlfn.NORM.S.DIST(Table1[[#This Row],[Birthweight Z-Score (BW+10%)]],TRUE)*100,"")</f>
        <v/>
      </c>
    </row>
    <row r="9003" spans="1:12" x14ac:dyDescent="0.35">
      <c r="A9003" s="3"/>
      <c r="B9003" s="2"/>
      <c r="C9003" s="2"/>
      <c r="D9003" s="2" t="b">
        <f>IF(AND(NOT(ISBLANK(Table1[[#This Row],[Fetal Sex (Male, Female or Unknown)]])),ISNUMBER(Table1[[#This Row],[Birthweight (grams)]]),ISNUMBER(Table1[[#This Row],[Gestation (days)]])),TRUE,FALSE)</f>
        <v>0</v>
      </c>
      <c r="E9003" s="2" t="str">
        <f>IF(Table1[[#This Row],[Is Data Valid]]=TRUE,IF(Table1[[#This Row],[Fetal Sex (Male, Female or Unknown)]]="Male",Backend!$C$6,IF(Table1[[#This Row],[Fetal Sex (Male, Female or Unknown)]]="Female",Backend!$C$7,IF(Table1[[#This Row],[Fetal Sex (Male, Female or Unknown)]]="Unknown",Backend!$C$8,"Error"))),"")</f>
        <v/>
      </c>
      <c r="F9003" s="8" t="str">
        <f>IF(Table1[[#This Row],[Is Data Valid]]=TRUE,EXP(0.578+0.332*((Table1[[#This Row],[Gestation (days)]]+0.5)/7)-0.00354*((Table1[[#This Row],[Gestation (days)]]+0.5)/7)^2)*Table1[[#This Row],[BW40_3705]],"")</f>
        <v/>
      </c>
      <c r="G9003" s="2" t="str">
        <f>IF(Table1[[#This Row],[Is Data Valid]]=TRUE,((Table1[[#This Row],[Birthweight (grams)]]/Table1[[#This Row],[BW_GA]])-1)/(Backend!$B$4/100*Table1[[#This Row],[BW40_3705]]),"")</f>
        <v/>
      </c>
      <c r="H9003" s="7" t="str">
        <f>IF(Table1[[#This Row],[Is Data Valid]]=TRUE,((Table1[[#This Row],[Birthweight (grams)]]*0.9/Table1[[#This Row],[BW_GA]])-1)/(Backend!$B$4/100*Table1[[#This Row],[BW40_3705]]),"")</f>
        <v/>
      </c>
      <c r="I9003" s="7" t="str">
        <f>IF(Table1[[#This Row],[Is Data Valid]]=TRUE,((Table1[[#This Row],[Birthweight (grams)]]*1.1/Table1[[#This Row],[BW_GA]])-1)/(Backend!$B$4/100*Table1[[#This Row],[BW40_3705]]),"")</f>
        <v/>
      </c>
      <c r="J9003" s="7" t="str">
        <f>IF(Table1[[#This Row],[Is Data Valid]]=TRUE,_xlfn.NORM.S.DIST(Table1[[#This Row],[Birthweight Z-Score]],TRUE)*100,"")</f>
        <v/>
      </c>
      <c r="K9003" s="7" t="str">
        <f>IF(Table1[[#This Row],[Is Data Valid]]=TRUE,_xlfn.NORM.S.DIST(Table1[[#This Row],[Birthweight Z-Score (BW-10%)]],TRUE)*100,"")</f>
        <v/>
      </c>
      <c r="L9003" s="7" t="str">
        <f>IF(Table1[[#This Row],[Is Data Valid]]=TRUE,_xlfn.NORM.S.DIST(Table1[[#This Row],[Birthweight Z-Score (BW+10%)]],TRUE)*100,"")</f>
        <v/>
      </c>
    </row>
    <row r="9004" spans="1:12" x14ac:dyDescent="0.35">
      <c r="A9004" s="3"/>
      <c r="B9004" s="2"/>
      <c r="C9004" s="2"/>
      <c r="D9004" s="2" t="b">
        <f>IF(AND(NOT(ISBLANK(Table1[[#This Row],[Fetal Sex (Male, Female or Unknown)]])),ISNUMBER(Table1[[#This Row],[Birthweight (grams)]]),ISNUMBER(Table1[[#This Row],[Gestation (days)]])),TRUE,FALSE)</f>
        <v>0</v>
      </c>
      <c r="E9004" s="2" t="str">
        <f>IF(Table1[[#This Row],[Is Data Valid]]=TRUE,IF(Table1[[#This Row],[Fetal Sex (Male, Female or Unknown)]]="Male",Backend!$C$6,IF(Table1[[#This Row],[Fetal Sex (Male, Female or Unknown)]]="Female",Backend!$C$7,IF(Table1[[#This Row],[Fetal Sex (Male, Female or Unknown)]]="Unknown",Backend!$C$8,"Error"))),"")</f>
        <v/>
      </c>
      <c r="F9004" s="8" t="str">
        <f>IF(Table1[[#This Row],[Is Data Valid]]=TRUE,EXP(0.578+0.332*((Table1[[#This Row],[Gestation (days)]]+0.5)/7)-0.00354*((Table1[[#This Row],[Gestation (days)]]+0.5)/7)^2)*Table1[[#This Row],[BW40_3705]],"")</f>
        <v/>
      </c>
      <c r="G9004" s="2" t="str">
        <f>IF(Table1[[#This Row],[Is Data Valid]]=TRUE,((Table1[[#This Row],[Birthweight (grams)]]/Table1[[#This Row],[BW_GA]])-1)/(Backend!$B$4/100*Table1[[#This Row],[BW40_3705]]),"")</f>
        <v/>
      </c>
      <c r="H9004" s="7" t="str">
        <f>IF(Table1[[#This Row],[Is Data Valid]]=TRUE,((Table1[[#This Row],[Birthweight (grams)]]*0.9/Table1[[#This Row],[BW_GA]])-1)/(Backend!$B$4/100*Table1[[#This Row],[BW40_3705]]),"")</f>
        <v/>
      </c>
      <c r="I9004" s="7" t="str">
        <f>IF(Table1[[#This Row],[Is Data Valid]]=TRUE,((Table1[[#This Row],[Birthweight (grams)]]*1.1/Table1[[#This Row],[BW_GA]])-1)/(Backend!$B$4/100*Table1[[#This Row],[BW40_3705]]),"")</f>
        <v/>
      </c>
      <c r="J9004" s="7" t="str">
        <f>IF(Table1[[#This Row],[Is Data Valid]]=TRUE,_xlfn.NORM.S.DIST(Table1[[#This Row],[Birthweight Z-Score]],TRUE)*100,"")</f>
        <v/>
      </c>
      <c r="K9004" s="7" t="str">
        <f>IF(Table1[[#This Row],[Is Data Valid]]=TRUE,_xlfn.NORM.S.DIST(Table1[[#This Row],[Birthweight Z-Score (BW-10%)]],TRUE)*100,"")</f>
        <v/>
      </c>
      <c r="L9004" s="7" t="str">
        <f>IF(Table1[[#This Row],[Is Data Valid]]=TRUE,_xlfn.NORM.S.DIST(Table1[[#This Row],[Birthweight Z-Score (BW+10%)]],TRUE)*100,"")</f>
        <v/>
      </c>
    </row>
    <row r="9005" spans="1:12" x14ac:dyDescent="0.35">
      <c r="A9005" s="3"/>
      <c r="B9005" s="2"/>
      <c r="C9005" s="2"/>
      <c r="D9005" s="2" t="b">
        <f>IF(AND(NOT(ISBLANK(Table1[[#This Row],[Fetal Sex (Male, Female or Unknown)]])),ISNUMBER(Table1[[#This Row],[Birthweight (grams)]]),ISNUMBER(Table1[[#This Row],[Gestation (days)]])),TRUE,FALSE)</f>
        <v>0</v>
      </c>
      <c r="E9005" s="2" t="str">
        <f>IF(Table1[[#This Row],[Is Data Valid]]=TRUE,IF(Table1[[#This Row],[Fetal Sex (Male, Female or Unknown)]]="Male",Backend!$C$6,IF(Table1[[#This Row],[Fetal Sex (Male, Female or Unknown)]]="Female",Backend!$C$7,IF(Table1[[#This Row],[Fetal Sex (Male, Female or Unknown)]]="Unknown",Backend!$C$8,"Error"))),"")</f>
        <v/>
      </c>
      <c r="F9005" s="8" t="str">
        <f>IF(Table1[[#This Row],[Is Data Valid]]=TRUE,EXP(0.578+0.332*((Table1[[#This Row],[Gestation (days)]]+0.5)/7)-0.00354*((Table1[[#This Row],[Gestation (days)]]+0.5)/7)^2)*Table1[[#This Row],[BW40_3705]],"")</f>
        <v/>
      </c>
      <c r="G9005" s="2" t="str">
        <f>IF(Table1[[#This Row],[Is Data Valid]]=TRUE,((Table1[[#This Row],[Birthweight (grams)]]/Table1[[#This Row],[BW_GA]])-1)/(Backend!$B$4/100*Table1[[#This Row],[BW40_3705]]),"")</f>
        <v/>
      </c>
      <c r="H9005" s="7" t="str">
        <f>IF(Table1[[#This Row],[Is Data Valid]]=TRUE,((Table1[[#This Row],[Birthweight (grams)]]*0.9/Table1[[#This Row],[BW_GA]])-1)/(Backend!$B$4/100*Table1[[#This Row],[BW40_3705]]),"")</f>
        <v/>
      </c>
      <c r="I9005" s="7" t="str">
        <f>IF(Table1[[#This Row],[Is Data Valid]]=TRUE,((Table1[[#This Row],[Birthweight (grams)]]*1.1/Table1[[#This Row],[BW_GA]])-1)/(Backend!$B$4/100*Table1[[#This Row],[BW40_3705]]),"")</f>
        <v/>
      </c>
      <c r="J9005" s="7" t="str">
        <f>IF(Table1[[#This Row],[Is Data Valid]]=TRUE,_xlfn.NORM.S.DIST(Table1[[#This Row],[Birthweight Z-Score]],TRUE)*100,"")</f>
        <v/>
      </c>
      <c r="K9005" s="7" t="str">
        <f>IF(Table1[[#This Row],[Is Data Valid]]=TRUE,_xlfn.NORM.S.DIST(Table1[[#This Row],[Birthweight Z-Score (BW-10%)]],TRUE)*100,"")</f>
        <v/>
      </c>
      <c r="L9005" s="7" t="str">
        <f>IF(Table1[[#This Row],[Is Data Valid]]=TRUE,_xlfn.NORM.S.DIST(Table1[[#This Row],[Birthweight Z-Score (BW+10%)]],TRUE)*100,"")</f>
        <v/>
      </c>
    </row>
    <row r="9006" spans="1:12" x14ac:dyDescent="0.35">
      <c r="A9006" s="3"/>
      <c r="B9006" s="2"/>
      <c r="C9006" s="2"/>
      <c r="D9006" s="2" t="b">
        <f>IF(AND(NOT(ISBLANK(Table1[[#This Row],[Fetal Sex (Male, Female or Unknown)]])),ISNUMBER(Table1[[#This Row],[Birthweight (grams)]]),ISNUMBER(Table1[[#This Row],[Gestation (days)]])),TRUE,FALSE)</f>
        <v>0</v>
      </c>
      <c r="E9006" s="2" t="str">
        <f>IF(Table1[[#This Row],[Is Data Valid]]=TRUE,IF(Table1[[#This Row],[Fetal Sex (Male, Female or Unknown)]]="Male",Backend!$C$6,IF(Table1[[#This Row],[Fetal Sex (Male, Female or Unknown)]]="Female",Backend!$C$7,IF(Table1[[#This Row],[Fetal Sex (Male, Female or Unknown)]]="Unknown",Backend!$C$8,"Error"))),"")</f>
        <v/>
      </c>
      <c r="F9006" s="8" t="str">
        <f>IF(Table1[[#This Row],[Is Data Valid]]=TRUE,EXP(0.578+0.332*((Table1[[#This Row],[Gestation (days)]]+0.5)/7)-0.00354*((Table1[[#This Row],[Gestation (days)]]+0.5)/7)^2)*Table1[[#This Row],[BW40_3705]],"")</f>
        <v/>
      </c>
      <c r="G9006" s="2" t="str">
        <f>IF(Table1[[#This Row],[Is Data Valid]]=TRUE,((Table1[[#This Row],[Birthweight (grams)]]/Table1[[#This Row],[BW_GA]])-1)/(Backend!$B$4/100*Table1[[#This Row],[BW40_3705]]),"")</f>
        <v/>
      </c>
      <c r="H9006" s="7" t="str">
        <f>IF(Table1[[#This Row],[Is Data Valid]]=TRUE,((Table1[[#This Row],[Birthweight (grams)]]*0.9/Table1[[#This Row],[BW_GA]])-1)/(Backend!$B$4/100*Table1[[#This Row],[BW40_3705]]),"")</f>
        <v/>
      </c>
      <c r="I9006" s="7" t="str">
        <f>IF(Table1[[#This Row],[Is Data Valid]]=TRUE,((Table1[[#This Row],[Birthweight (grams)]]*1.1/Table1[[#This Row],[BW_GA]])-1)/(Backend!$B$4/100*Table1[[#This Row],[BW40_3705]]),"")</f>
        <v/>
      </c>
      <c r="J9006" s="7" t="str">
        <f>IF(Table1[[#This Row],[Is Data Valid]]=TRUE,_xlfn.NORM.S.DIST(Table1[[#This Row],[Birthweight Z-Score]],TRUE)*100,"")</f>
        <v/>
      </c>
      <c r="K9006" s="7" t="str">
        <f>IF(Table1[[#This Row],[Is Data Valid]]=TRUE,_xlfn.NORM.S.DIST(Table1[[#This Row],[Birthweight Z-Score (BW-10%)]],TRUE)*100,"")</f>
        <v/>
      </c>
      <c r="L9006" s="7" t="str">
        <f>IF(Table1[[#This Row],[Is Data Valid]]=TRUE,_xlfn.NORM.S.DIST(Table1[[#This Row],[Birthweight Z-Score (BW+10%)]],TRUE)*100,"")</f>
        <v/>
      </c>
    </row>
    <row r="9007" spans="1:12" x14ac:dyDescent="0.35">
      <c r="A9007" s="3"/>
      <c r="B9007" s="2"/>
      <c r="C9007" s="2"/>
      <c r="D9007" s="2" t="b">
        <f>IF(AND(NOT(ISBLANK(Table1[[#This Row],[Fetal Sex (Male, Female or Unknown)]])),ISNUMBER(Table1[[#This Row],[Birthweight (grams)]]),ISNUMBER(Table1[[#This Row],[Gestation (days)]])),TRUE,FALSE)</f>
        <v>0</v>
      </c>
      <c r="E9007" s="2" t="str">
        <f>IF(Table1[[#This Row],[Is Data Valid]]=TRUE,IF(Table1[[#This Row],[Fetal Sex (Male, Female or Unknown)]]="Male",Backend!$C$6,IF(Table1[[#This Row],[Fetal Sex (Male, Female or Unknown)]]="Female",Backend!$C$7,IF(Table1[[#This Row],[Fetal Sex (Male, Female or Unknown)]]="Unknown",Backend!$C$8,"Error"))),"")</f>
        <v/>
      </c>
      <c r="F9007" s="8" t="str">
        <f>IF(Table1[[#This Row],[Is Data Valid]]=TRUE,EXP(0.578+0.332*((Table1[[#This Row],[Gestation (days)]]+0.5)/7)-0.00354*((Table1[[#This Row],[Gestation (days)]]+0.5)/7)^2)*Table1[[#This Row],[BW40_3705]],"")</f>
        <v/>
      </c>
      <c r="G9007" s="2" t="str">
        <f>IF(Table1[[#This Row],[Is Data Valid]]=TRUE,((Table1[[#This Row],[Birthweight (grams)]]/Table1[[#This Row],[BW_GA]])-1)/(Backend!$B$4/100*Table1[[#This Row],[BW40_3705]]),"")</f>
        <v/>
      </c>
      <c r="H9007" s="7" t="str">
        <f>IF(Table1[[#This Row],[Is Data Valid]]=TRUE,((Table1[[#This Row],[Birthweight (grams)]]*0.9/Table1[[#This Row],[BW_GA]])-1)/(Backend!$B$4/100*Table1[[#This Row],[BW40_3705]]),"")</f>
        <v/>
      </c>
      <c r="I9007" s="7" t="str">
        <f>IF(Table1[[#This Row],[Is Data Valid]]=TRUE,((Table1[[#This Row],[Birthweight (grams)]]*1.1/Table1[[#This Row],[BW_GA]])-1)/(Backend!$B$4/100*Table1[[#This Row],[BW40_3705]]),"")</f>
        <v/>
      </c>
      <c r="J9007" s="7" t="str">
        <f>IF(Table1[[#This Row],[Is Data Valid]]=TRUE,_xlfn.NORM.S.DIST(Table1[[#This Row],[Birthweight Z-Score]],TRUE)*100,"")</f>
        <v/>
      </c>
      <c r="K9007" s="7" t="str">
        <f>IF(Table1[[#This Row],[Is Data Valid]]=TRUE,_xlfn.NORM.S.DIST(Table1[[#This Row],[Birthweight Z-Score (BW-10%)]],TRUE)*100,"")</f>
        <v/>
      </c>
      <c r="L9007" s="7" t="str">
        <f>IF(Table1[[#This Row],[Is Data Valid]]=TRUE,_xlfn.NORM.S.DIST(Table1[[#This Row],[Birthweight Z-Score (BW+10%)]],TRUE)*100,"")</f>
        <v/>
      </c>
    </row>
    <row r="9008" spans="1:12" x14ac:dyDescent="0.35">
      <c r="A9008" s="3"/>
      <c r="B9008" s="2"/>
      <c r="C9008" s="2"/>
      <c r="D9008" s="2" t="b">
        <f>IF(AND(NOT(ISBLANK(Table1[[#This Row],[Fetal Sex (Male, Female or Unknown)]])),ISNUMBER(Table1[[#This Row],[Birthweight (grams)]]),ISNUMBER(Table1[[#This Row],[Gestation (days)]])),TRUE,FALSE)</f>
        <v>0</v>
      </c>
      <c r="E9008" s="2" t="str">
        <f>IF(Table1[[#This Row],[Is Data Valid]]=TRUE,IF(Table1[[#This Row],[Fetal Sex (Male, Female or Unknown)]]="Male",Backend!$C$6,IF(Table1[[#This Row],[Fetal Sex (Male, Female or Unknown)]]="Female",Backend!$C$7,IF(Table1[[#This Row],[Fetal Sex (Male, Female or Unknown)]]="Unknown",Backend!$C$8,"Error"))),"")</f>
        <v/>
      </c>
      <c r="F9008" s="8" t="str">
        <f>IF(Table1[[#This Row],[Is Data Valid]]=TRUE,EXP(0.578+0.332*((Table1[[#This Row],[Gestation (days)]]+0.5)/7)-0.00354*((Table1[[#This Row],[Gestation (days)]]+0.5)/7)^2)*Table1[[#This Row],[BW40_3705]],"")</f>
        <v/>
      </c>
      <c r="G9008" s="2" t="str">
        <f>IF(Table1[[#This Row],[Is Data Valid]]=TRUE,((Table1[[#This Row],[Birthweight (grams)]]/Table1[[#This Row],[BW_GA]])-1)/(Backend!$B$4/100*Table1[[#This Row],[BW40_3705]]),"")</f>
        <v/>
      </c>
      <c r="H9008" s="7" t="str">
        <f>IF(Table1[[#This Row],[Is Data Valid]]=TRUE,((Table1[[#This Row],[Birthweight (grams)]]*0.9/Table1[[#This Row],[BW_GA]])-1)/(Backend!$B$4/100*Table1[[#This Row],[BW40_3705]]),"")</f>
        <v/>
      </c>
      <c r="I9008" s="7" t="str">
        <f>IF(Table1[[#This Row],[Is Data Valid]]=TRUE,((Table1[[#This Row],[Birthweight (grams)]]*1.1/Table1[[#This Row],[BW_GA]])-1)/(Backend!$B$4/100*Table1[[#This Row],[BW40_3705]]),"")</f>
        <v/>
      </c>
      <c r="J9008" s="7" t="str">
        <f>IF(Table1[[#This Row],[Is Data Valid]]=TRUE,_xlfn.NORM.S.DIST(Table1[[#This Row],[Birthweight Z-Score]],TRUE)*100,"")</f>
        <v/>
      </c>
      <c r="K9008" s="7" t="str">
        <f>IF(Table1[[#This Row],[Is Data Valid]]=TRUE,_xlfn.NORM.S.DIST(Table1[[#This Row],[Birthweight Z-Score (BW-10%)]],TRUE)*100,"")</f>
        <v/>
      </c>
      <c r="L9008" s="7" t="str">
        <f>IF(Table1[[#This Row],[Is Data Valid]]=TRUE,_xlfn.NORM.S.DIST(Table1[[#This Row],[Birthweight Z-Score (BW+10%)]],TRUE)*100,"")</f>
        <v/>
      </c>
    </row>
    <row r="9009" spans="1:12" x14ac:dyDescent="0.35">
      <c r="A9009" s="3"/>
      <c r="B9009" s="2"/>
      <c r="C9009" s="2"/>
      <c r="D9009" s="2" t="b">
        <f>IF(AND(NOT(ISBLANK(Table1[[#This Row],[Fetal Sex (Male, Female or Unknown)]])),ISNUMBER(Table1[[#This Row],[Birthweight (grams)]]),ISNUMBER(Table1[[#This Row],[Gestation (days)]])),TRUE,FALSE)</f>
        <v>0</v>
      </c>
      <c r="E9009" s="2" t="str">
        <f>IF(Table1[[#This Row],[Is Data Valid]]=TRUE,IF(Table1[[#This Row],[Fetal Sex (Male, Female or Unknown)]]="Male",Backend!$C$6,IF(Table1[[#This Row],[Fetal Sex (Male, Female or Unknown)]]="Female",Backend!$C$7,IF(Table1[[#This Row],[Fetal Sex (Male, Female or Unknown)]]="Unknown",Backend!$C$8,"Error"))),"")</f>
        <v/>
      </c>
      <c r="F9009" s="8" t="str">
        <f>IF(Table1[[#This Row],[Is Data Valid]]=TRUE,EXP(0.578+0.332*((Table1[[#This Row],[Gestation (days)]]+0.5)/7)-0.00354*((Table1[[#This Row],[Gestation (days)]]+0.5)/7)^2)*Table1[[#This Row],[BW40_3705]],"")</f>
        <v/>
      </c>
      <c r="G9009" s="2" t="str">
        <f>IF(Table1[[#This Row],[Is Data Valid]]=TRUE,((Table1[[#This Row],[Birthweight (grams)]]/Table1[[#This Row],[BW_GA]])-1)/(Backend!$B$4/100*Table1[[#This Row],[BW40_3705]]),"")</f>
        <v/>
      </c>
      <c r="H9009" s="7" t="str">
        <f>IF(Table1[[#This Row],[Is Data Valid]]=TRUE,((Table1[[#This Row],[Birthweight (grams)]]*0.9/Table1[[#This Row],[BW_GA]])-1)/(Backend!$B$4/100*Table1[[#This Row],[BW40_3705]]),"")</f>
        <v/>
      </c>
      <c r="I9009" s="7" t="str">
        <f>IF(Table1[[#This Row],[Is Data Valid]]=TRUE,((Table1[[#This Row],[Birthweight (grams)]]*1.1/Table1[[#This Row],[BW_GA]])-1)/(Backend!$B$4/100*Table1[[#This Row],[BW40_3705]]),"")</f>
        <v/>
      </c>
      <c r="J9009" s="7" t="str">
        <f>IF(Table1[[#This Row],[Is Data Valid]]=TRUE,_xlfn.NORM.S.DIST(Table1[[#This Row],[Birthweight Z-Score]],TRUE)*100,"")</f>
        <v/>
      </c>
      <c r="K9009" s="7" t="str">
        <f>IF(Table1[[#This Row],[Is Data Valid]]=TRUE,_xlfn.NORM.S.DIST(Table1[[#This Row],[Birthweight Z-Score (BW-10%)]],TRUE)*100,"")</f>
        <v/>
      </c>
      <c r="L9009" s="7" t="str">
        <f>IF(Table1[[#This Row],[Is Data Valid]]=TRUE,_xlfn.NORM.S.DIST(Table1[[#This Row],[Birthweight Z-Score (BW+10%)]],TRUE)*100,"")</f>
        <v/>
      </c>
    </row>
    <row r="9010" spans="1:12" x14ac:dyDescent="0.35">
      <c r="A9010" s="3"/>
      <c r="B9010" s="2"/>
      <c r="C9010" s="2"/>
      <c r="D9010" s="2" t="b">
        <f>IF(AND(NOT(ISBLANK(Table1[[#This Row],[Fetal Sex (Male, Female or Unknown)]])),ISNUMBER(Table1[[#This Row],[Birthweight (grams)]]),ISNUMBER(Table1[[#This Row],[Gestation (days)]])),TRUE,FALSE)</f>
        <v>0</v>
      </c>
      <c r="E9010" s="2" t="str">
        <f>IF(Table1[[#This Row],[Is Data Valid]]=TRUE,IF(Table1[[#This Row],[Fetal Sex (Male, Female or Unknown)]]="Male",Backend!$C$6,IF(Table1[[#This Row],[Fetal Sex (Male, Female or Unknown)]]="Female",Backend!$C$7,IF(Table1[[#This Row],[Fetal Sex (Male, Female or Unknown)]]="Unknown",Backend!$C$8,"Error"))),"")</f>
        <v/>
      </c>
      <c r="F9010" s="8" t="str">
        <f>IF(Table1[[#This Row],[Is Data Valid]]=TRUE,EXP(0.578+0.332*((Table1[[#This Row],[Gestation (days)]]+0.5)/7)-0.00354*((Table1[[#This Row],[Gestation (days)]]+0.5)/7)^2)*Table1[[#This Row],[BW40_3705]],"")</f>
        <v/>
      </c>
      <c r="G9010" s="2" t="str">
        <f>IF(Table1[[#This Row],[Is Data Valid]]=TRUE,((Table1[[#This Row],[Birthweight (grams)]]/Table1[[#This Row],[BW_GA]])-1)/(Backend!$B$4/100*Table1[[#This Row],[BW40_3705]]),"")</f>
        <v/>
      </c>
      <c r="H9010" s="7" t="str">
        <f>IF(Table1[[#This Row],[Is Data Valid]]=TRUE,((Table1[[#This Row],[Birthweight (grams)]]*0.9/Table1[[#This Row],[BW_GA]])-1)/(Backend!$B$4/100*Table1[[#This Row],[BW40_3705]]),"")</f>
        <v/>
      </c>
      <c r="I9010" s="7" t="str">
        <f>IF(Table1[[#This Row],[Is Data Valid]]=TRUE,((Table1[[#This Row],[Birthweight (grams)]]*1.1/Table1[[#This Row],[BW_GA]])-1)/(Backend!$B$4/100*Table1[[#This Row],[BW40_3705]]),"")</f>
        <v/>
      </c>
      <c r="J9010" s="7" t="str">
        <f>IF(Table1[[#This Row],[Is Data Valid]]=TRUE,_xlfn.NORM.S.DIST(Table1[[#This Row],[Birthweight Z-Score]],TRUE)*100,"")</f>
        <v/>
      </c>
      <c r="K9010" s="7" t="str">
        <f>IF(Table1[[#This Row],[Is Data Valid]]=TRUE,_xlfn.NORM.S.DIST(Table1[[#This Row],[Birthweight Z-Score (BW-10%)]],TRUE)*100,"")</f>
        <v/>
      </c>
      <c r="L9010" s="7" t="str">
        <f>IF(Table1[[#This Row],[Is Data Valid]]=TRUE,_xlfn.NORM.S.DIST(Table1[[#This Row],[Birthweight Z-Score (BW+10%)]],TRUE)*100,"")</f>
        <v/>
      </c>
    </row>
    <row r="9011" spans="1:12" x14ac:dyDescent="0.35">
      <c r="A9011" s="3"/>
      <c r="B9011" s="2"/>
      <c r="C9011" s="2"/>
      <c r="D9011" s="2" t="b">
        <f>IF(AND(NOT(ISBLANK(Table1[[#This Row],[Fetal Sex (Male, Female or Unknown)]])),ISNUMBER(Table1[[#This Row],[Birthweight (grams)]]),ISNUMBER(Table1[[#This Row],[Gestation (days)]])),TRUE,FALSE)</f>
        <v>0</v>
      </c>
      <c r="E9011" s="2" t="str">
        <f>IF(Table1[[#This Row],[Is Data Valid]]=TRUE,IF(Table1[[#This Row],[Fetal Sex (Male, Female or Unknown)]]="Male",Backend!$C$6,IF(Table1[[#This Row],[Fetal Sex (Male, Female or Unknown)]]="Female",Backend!$C$7,IF(Table1[[#This Row],[Fetal Sex (Male, Female or Unknown)]]="Unknown",Backend!$C$8,"Error"))),"")</f>
        <v/>
      </c>
      <c r="F9011" s="8" t="str">
        <f>IF(Table1[[#This Row],[Is Data Valid]]=TRUE,EXP(0.578+0.332*((Table1[[#This Row],[Gestation (days)]]+0.5)/7)-0.00354*((Table1[[#This Row],[Gestation (days)]]+0.5)/7)^2)*Table1[[#This Row],[BW40_3705]],"")</f>
        <v/>
      </c>
      <c r="G9011" s="2" t="str">
        <f>IF(Table1[[#This Row],[Is Data Valid]]=TRUE,((Table1[[#This Row],[Birthweight (grams)]]/Table1[[#This Row],[BW_GA]])-1)/(Backend!$B$4/100*Table1[[#This Row],[BW40_3705]]),"")</f>
        <v/>
      </c>
      <c r="H9011" s="7" t="str">
        <f>IF(Table1[[#This Row],[Is Data Valid]]=TRUE,((Table1[[#This Row],[Birthweight (grams)]]*0.9/Table1[[#This Row],[BW_GA]])-1)/(Backend!$B$4/100*Table1[[#This Row],[BW40_3705]]),"")</f>
        <v/>
      </c>
      <c r="I9011" s="7" t="str">
        <f>IF(Table1[[#This Row],[Is Data Valid]]=TRUE,((Table1[[#This Row],[Birthweight (grams)]]*1.1/Table1[[#This Row],[BW_GA]])-1)/(Backend!$B$4/100*Table1[[#This Row],[BW40_3705]]),"")</f>
        <v/>
      </c>
      <c r="J9011" s="7" t="str">
        <f>IF(Table1[[#This Row],[Is Data Valid]]=TRUE,_xlfn.NORM.S.DIST(Table1[[#This Row],[Birthweight Z-Score]],TRUE)*100,"")</f>
        <v/>
      </c>
      <c r="K9011" s="7" t="str">
        <f>IF(Table1[[#This Row],[Is Data Valid]]=TRUE,_xlfn.NORM.S.DIST(Table1[[#This Row],[Birthweight Z-Score (BW-10%)]],TRUE)*100,"")</f>
        <v/>
      </c>
      <c r="L9011" s="7" t="str">
        <f>IF(Table1[[#This Row],[Is Data Valid]]=TRUE,_xlfn.NORM.S.DIST(Table1[[#This Row],[Birthweight Z-Score (BW+10%)]],TRUE)*100,"")</f>
        <v/>
      </c>
    </row>
    <row r="9012" spans="1:12" x14ac:dyDescent="0.35">
      <c r="A9012" s="3"/>
      <c r="B9012" s="2"/>
      <c r="C9012" s="2"/>
      <c r="D9012" s="2" t="b">
        <f>IF(AND(NOT(ISBLANK(Table1[[#This Row],[Fetal Sex (Male, Female or Unknown)]])),ISNUMBER(Table1[[#This Row],[Birthweight (grams)]]),ISNUMBER(Table1[[#This Row],[Gestation (days)]])),TRUE,FALSE)</f>
        <v>0</v>
      </c>
      <c r="E9012" s="2" t="str">
        <f>IF(Table1[[#This Row],[Is Data Valid]]=TRUE,IF(Table1[[#This Row],[Fetal Sex (Male, Female or Unknown)]]="Male",Backend!$C$6,IF(Table1[[#This Row],[Fetal Sex (Male, Female or Unknown)]]="Female",Backend!$C$7,IF(Table1[[#This Row],[Fetal Sex (Male, Female or Unknown)]]="Unknown",Backend!$C$8,"Error"))),"")</f>
        <v/>
      </c>
      <c r="F9012" s="8" t="str">
        <f>IF(Table1[[#This Row],[Is Data Valid]]=TRUE,EXP(0.578+0.332*((Table1[[#This Row],[Gestation (days)]]+0.5)/7)-0.00354*((Table1[[#This Row],[Gestation (days)]]+0.5)/7)^2)*Table1[[#This Row],[BW40_3705]],"")</f>
        <v/>
      </c>
      <c r="G9012" s="2" t="str">
        <f>IF(Table1[[#This Row],[Is Data Valid]]=TRUE,((Table1[[#This Row],[Birthweight (grams)]]/Table1[[#This Row],[BW_GA]])-1)/(Backend!$B$4/100*Table1[[#This Row],[BW40_3705]]),"")</f>
        <v/>
      </c>
      <c r="H9012" s="7" t="str">
        <f>IF(Table1[[#This Row],[Is Data Valid]]=TRUE,((Table1[[#This Row],[Birthweight (grams)]]*0.9/Table1[[#This Row],[BW_GA]])-1)/(Backend!$B$4/100*Table1[[#This Row],[BW40_3705]]),"")</f>
        <v/>
      </c>
      <c r="I9012" s="7" t="str">
        <f>IF(Table1[[#This Row],[Is Data Valid]]=TRUE,((Table1[[#This Row],[Birthweight (grams)]]*1.1/Table1[[#This Row],[BW_GA]])-1)/(Backend!$B$4/100*Table1[[#This Row],[BW40_3705]]),"")</f>
        <v/>
      </c>
      <c r="J9012" s="7" t="str">
        <f>IF(Table1[[#This Row],[Is Data Valid]]=TRUE,_xlfn.NORM.S.DIST(Table1[[#This Row],[Birthweight Z-Score]],TRUE)*100,"")</f>
        <v/>
      </c>
      <c r="K9012" s="7" t="str">
        <f>IF(Table1[[#This Row],[Is Data Valid]]=TRUE,_xlfn.NORM.S.DIST(Table1[[#This Row],[Birthweight Z-Score (BW-10%)]],TRUE)*100,"")</f>
        <v/>
      </c>
      <c r="L9012" s="7" t="str">
        <f>IF(Table1[[#This Row],[Is Data Valid]]=TRUE,_xlfn.NORM.S.DIST(Table1[[#This Row],[Birthweight Z-Score (BW+10%)]],TRUE)*100,"")</f>
        <v/>
      </c>
    </row>
    <row r="9013" spans="1:12" x14ac:dyDescent="0.35">
      <c r="A9013" s="3"/>
      <c r="B9013" s="2"/>
      <c r="C9013" s="2"/>
      <c r="D9013" s="2" t="b">
        <f>IF(AND(NOT(ISBLANK(Table1[[#This Row],[Fetal Sex (Male, Female or Unknown)]])),ISNUMBER(Table1[[#This Row],[Birthweight (grams)]]),ISNUMBER(Table1[[#This Row],[Gestation (days)]])),TRUE,FALSE)</f>
        <v>0</v>
      </c>
      <c r="E9013" s="2" t="str">
        <f>IF(Table1[[#This Row],[Is Data Valid]]=TRUE,IF(Table1[[#This Row],[Fetal Sex (Male, Female or Unknown)]]="Male",Backend!$C$6,IF(Table1[[#This Row],[Fetal Sex (Male, Female or Unknown)]]="Female",Backend!$C$7,IF(Table1[[#This Row],[Fetal Sex (Male, Female or Unknown)]]="Unknown",Backend!$C$8,"Error"))),"")</f>
        <v/>
      </c>
      <c r="F9013" s="8" t="str">
        <f>IF(Table1[[#This Row],[Is Data Valid]]=TRUE,EXP(0.578+0.332*((Table1[[#This Row],[Gestation (days)]]+0.5)/7)-0.00354*((Table1[[#This Row],[Gestation (days)]]+0.5)/7)^2)*Table1[[#This Row],[BW40_3705]],"")</f>
        <v/>
      </c>
      <c r="G9013" s="2" t="str">
        <f>IF(Table1[[#This Row],[Is Data Valid]]=TRUE,((Table1[[#This Row],[Birthweight (grams)]]/Table1[[#This Row],[BW_GA]])-1)/(Backend!$B$4/100*Table1[[#This Row],[BW40_3705]]),"")</f>
        <v/>
      </c>
      <c r="H9013" s="7" t="str">
        <f>IF(Table1[[#This Row],[Is Data Valid]]=TRUE,((Table1[[#This Row],[Birthweight (grams)]]*0.9/Table1[[#This Row],[BW_GA]])-1)/(Backend!$B$4/100*Table1[[#This Row],[BW40_3705]]),"")</f>
        <v/>
      </c>
      <c r="I9013" s="7" t="str">
        <f>IF(Table1[[#This Row],[Is Data Valid]]=TRUE,((Table1[[#This Row],[Birthweight (grams)]]*1.1/Table1[[#This Row],[BW_GA]])-1)/(Backend!$B$4/100*Table1[[#This Row],[BW40_3705]]),"")</f>
        <v/>
      </c>
      <c r="J9013" s="7" t="str">
        <f>IF(Table1[[#This Row],[Is Data Valid]]=TRUE,_xlfn.NORM.S.DIST(Table1[[#This Row],[Birthweight Z-Score]],TRUE)*100,"")</f>
        <v/>
      </c>
      <c r="K9013" s="7" t="str">
        <f>IF(Table1[[#This Row],[Is Data Valid]]=TRUE,_xlfn.NORM.S.DIST(Table1[[#This Row],[Birthweight Z-Score (BW-10%)]],TRUE)*100,"")</f>
        <v/>
      </c>
      <c r="L9013" s="7" t="str">
        <f>IF(Table1[[#This Row],[Is Data Valid]]=TRUE,_xlfn.NORM.S.DIST(Table1[[#This Row],[Birthweight Z-Score (BW+10%)]],TRUE)*100,"")</f>
        <v/>
      </c>
    </row>
    <row r="9014" spans="1:12" x14ac:dyDescent="0.35">
      <c r="A9014" s="3"/>
      <c r="B9014" s="2"/>
      <c r="C9014" s="2"/>
      <c r="D9014" s="2" t="b">
        <f>IF(AND(NOT(ISBLANK(Table1[[#This Row],[Fetal Sex (Male, Female or Unknown)]])),ISNUMBER(Table1[[#This Row],[Birthweight (grams)]]),ISNUMBER(Table1[[#This Row],[Gestation (days)]])),TRUE,FALSE)</f>
        <v>0</v>
      </c>
      <c r="E9014" s="2" t="str">
        <f>IF(Table1[[#This Row],[Is Data Valid]]=TRUE,IF(Table1[[#This Row],[Fetal Sex (Male, Female or Unknown)]]="Male",Backend!$C$6,IF(Table1[[#This Row],[Fetal Sex (Male, Female or Unknown)]]="Female",Backend!$C$7,IF(Table1[[#This Row],[Fetal Sex (Male, Female or Unknown)]]="Unknown",Backend!$C$8,"Error"))),"")</f>
        <v/>
      </c>
      <c r="F9014" s="8" t="str">
        <f>IF(Table1[[#This Row],[Is Data Valid]]=TRUE,EXP(0.578+0.332*((Table1[[#This Row],[Gestation (days)]]+0.5)/7)-0.00354*((Table1[[#This Row],[Gestation (days)]]+0.5)/7)^2)*Table1[[#This Row],[BW40_3705]],"")</f>
        <v/>
      </c>
      <c r="G9014" s="2" t="str">
        <f>IF(Table1[[#This Row],[Is Data Valid]]=TRUE,((Table1[[#This Row],[Birthweight (grams)]]/Table1[[#This Row],[BW_GA]])-1)/(Backend!$B$4/100*Table1[[#This Row],[BW40_3705]]),"")</f>
        <v/>
      </c>
      <c r="H9014" s="7" t="str">
        <f>IF(Table1[[#This Row],[Is Data Valid]]=TRUE,((Table1[[#This Row],[Birthweight (grams)]]*0.9/Table1[[#This Row],[BW_GA]])-1)/(Backend!$B$4/100*Table1[[#This Row],[BW40_3705]]),"")</f>
        <v/>
      </c>
      <c r="I9014" s="7" t="str">
        <f>IF(Table1[[#This Row],[Is Data Valid]]=TRUE,((Table1[[#This Row],[Birthweight (grams)]]*1.1/Table1[[#This Row],[BW_GA]])-1)/(Backend!$B$4/100*Table1[[#This Row],[BW40_3705]]),"")</f>
        <v/>
      </c>
      <c r="J9014" s="7" t="str">
        <f>IF(Table1[[#This Row],[Is Data Valid]]=TRUE,_xlfn.NORM.S.DIST(Table1[[#This Row],[Birthweight Z-Score]],TRUE)*100,"")</f>
        <v/>
      </c>
      <c r="K9014" s="7" t="str">
        <f>IF(Table1[[#This Row],[Is Data Valid]]=TRUE,_xlfn.NORM.S.DIST(Table1[[#This Row],[Birthweight Z-Score (BW-10%)]],TRUE)*100,"")</f>
        <v/>
      </c>
      <c r="L9014" s="7" t="str">
        <f>IF(Table1[[#This Row],[Is Data Valid]]=TRUE,_xlfn.NORM.S.DIST(Table1[[#This Row],[Birthweight Z-Score (BW+10%)]],TRUE)*100,"")</f>
        <v/>
      </c>
    </row>
    <row r="9015" spans="1:12" x14ac:dyDescent="0.35">
      <c r="A9015" s="3"/>
      <c r="B9015" s="2"/>
      <c r="C9015" s="2"/>
      <c r="D9015" s="2" t="b">
        <f>IF(AND(NOT(ISBLANK(Table1[[#This Row],[Fetal Sex (Male, Female or Unknown)]])),ISNUMBER(Table1[[#This Row],[Birthweight (grams)]]),ISNUMBER(Table1[[#This Row],[Gestation (days)]])),TRUE,FALSE)</f>
        <v>0</v>
      </c>
      <c r="E9015" s="2" t="str">
        <f>IF(Table1[[#This Row],[Is Data Valid]]=TRUE,IF(Table1[[#This Row],[Fetal Sex (Male, Female or Unknown)]]="Male",Backend!$C$6,IF(Table1[[#This Row],[Fetal Sex (Male, Female or Unknown)]]="Female",Backend!$C$7,IF(Table1[[#This Row],[Fetal Sex (Male, Female or Unknown)]]="Unknown",Backend!$C$8,"Error"))),"")</f>
        <v/>
      </c>
      <c r="F9015" s="8" t="str">
        <f>IF(Table1[[#This Row],[Is Data Valid]]=TRUE,EXP(0.578+0.332*((Table1[[#This Row],[Gestation (days)]]+0.5)/7)-0.00354*((Table1[[#This Row],[Gestation (days)]]+0.5)/7)^2)*Table1[[#This Row],[BW40_3705]],"")</f>
        <v/>
      </c>
      <c r="G9015" s="2" t="str">
        <f>IF(Table1[[#This Row],[Is Data Valid]]=TRUE,((Table1[[#This Row],[Birthweight (grams)]]/Table1[[#This Row],[BW_GA]])-1)/(Backend!$B$4/100*Table1[[#This Row],[BW40_3705]]),"")</f>
        <v/>
      </c>
      <c r="H9015" s="7" t="str">
        <f>IF(Table1[[#This Row],[Is Data Valid]]=TRUE,((Table1[[#This Row],[Birthweight (grams)]]*0.9/Table1[[#This Row],[BW_GA]])-1)/(Backend!$B$4/100*Table1[[#This Row],[BW40_3705]]),"")</f>
        <v/>
      </c>
      <c r="I9015" s="7" t="str">
        <f>IF(Table1[[#This Row],[Is Data Valid]]=TRUE,((Table1[[#This Row],[Birthweight (grams)]]*1.1/Table1[[#This Row],[BW_GA]])-1)/(Backend!$B$4/100*Table1[[#This Row],[BW40_3705]]),"")</f>
        <v/>
      </c>
      <c r="J9015" s="7" t="str">
        <f>IF(Table1[[#This Row],[Is Data Valid]]=TRUE,_xlfn.NORM.S.DIST(Table1[[#This Row],[Birthweight Z-Score]],TRUE)*100,"")</f>
        <v/>
      </c>
      <c r="K9015" s="7" t="str">
        <f>IF(Table1[[#This Row],[Is Data Valid]]=TRUE,_xlfn.NORM.S.DIST(Table1[[#This Row],[Birthweight Z-Score (BW-10%)]],TRUE)*100,"")</f>
        <v/>
      </c>
      <c r="L9015" s="7" t="str">
        <f>IF(Table1[[#This Row],[Is Data Valid]]=TRUE,_xlfn.NORM.S.DIST(Table1[[#This Row],[Birthweight Z-Score (BW+10%)]],TRUE)*100,"")</f>
        <v/>
      </c>
    </row>
    <row r="9016" spans="1:12" x14ac:dyDescent="0.35">
      <c r="A9016" s="3"/>
      <c r="B9016" s="2"/>
      <c r="C9016" s="2"/>
      <c r="D9016" s="2" t="b">
        <f>IF(AND(NOT(ISBLANK(Table1[[#This Row],[Fetal Sex (Male, Female or Unknown)]])),ISNUMBER(Table1[[#This Row],[Birthweight (grams)]]),ISNUMBER(Table1[[#This Row],[Gestation (days)]])),TRUE,FALSE)</f>
        <v>0</v>
      </c>
      <c r="E9016" s="2" t="str">
        <f>IF(Table1[[#This Row],[Is Data Valid]]=TRUE,IF(Table1[[#This Row],[Fetal Sex (Male, Female or Unknown)]]="Male",Backend!$C$6,IF(Table1[[#This Row],[Fetal Sex (Male, Female or Unknown)]]="Female",Backend!$C$7,IF(Table1[[#This Row],[Fetal Sex (Male, Female or Unknown)]]="Unknown",Backend!$C$8,"Error"))),"")</f>
        <v/>
      </c>
      <c r="F9016" s="8" t="str">
        <f>IF(Table1[[#This Row],[Is Data Valid]]=TRUE,EXP(0.578+0.332*((Table1[[#This Row],[Gestation (days)]]+0.5)/7)-0.00354*((Table1[[#This Row],[Gestation (days)]]+0.5)/7)^2)*Table1[[#This Row],[BW40_3705]],"")</f>
        <v/>
      </c>
      <c r="G9016" s="2" t="str">
        <f>IF(Table1[[#This Row],[Is Data Valid]]=TRUE,((Table1[[#This Row],[Birthweight (grams)]]/Table1[[#This Row],[BW_GA]])-1)/(Backend!$B$4/100*Table1[[#This Row],[BW40_3705]]),"")</f>
        <v/>
      </c>
      <c r="H9016" s="7" t="str">
        <f>IF(Table1[[#This Row],[Is Data Valid]]=TRUE,((Table1[[#This Row],[Birthweight (grams)]]*0.9/Table1[[#This Row],[BW_GA]])-1)/(Backend!$B$4/100*Table1[[#This Row],[BW40_3705]]),"")</f>
        <v/>
      </c>
      <c r="I9016" s="7" t="str">
        <f>IF(Table1[[#This Row],[Is Data Valid]]=TRUE,((Table1[[#This Row],[Birthweight (grams)]]*1.1/Table1[[#This Row],[BW_GA]])-1)/(Backend!$B$4/100*Table1[[#This Row],[BW40_3705]]),"")</f>
        <v/>
      </c>
      <c r="J9016" s="7" t="str">
        <f>IF(Table1[[#This Row],[Is Data Valid]]=TRUE,_xlfn.NORM.S.DIST(Table1[[#This Row],[Birthweight Z-Score]],TRUE)*100,"")</f>
        <v/>
      </c>
      <c r="K9016" s="7" t="str">
        <f>IF(Table1[[#This Row],[Is Data Valid]]=TRUE,_xlfn.NORM.S.DIST(Table1[[#This Row],[Birthweight Z-Score (BW-10%)]],TRUE)*100,"")</f>
        <v/>
      </c>
      <c r="L9016" s="7" t="str">
        <f>IF(Table1[[#This Row],[Is Data Valid]]=TRUE,_xlfn.NORM.S.DIST(Table1[[#This Row],[Birthweight Z-Score (BW+10%)]],TRUE)*100,"")</f>
        <v/>
      </c>
    </row>
    <row r="9017" spans="1:12" x14ac:dyDescent="0.35">
      <c r="A9017" s="3"/>
      <c r="B9017" s="2"/>
      <c r="C9017" s="2"/>
      <c r="D9017" s="2" t="b">
        <f>IF(AND(NOT(ISBLANK(Table1[[#This Row],[Fetal Sex (Male, Female or Unknown)]])),ISNUMBER(Table1[[#This Row],[Birthweight (grams)]]),ISNUMBER(Table1[[#This Row],[Gestation (days)]])),TRUE,FALSE)</f>
        <v>0</v>
      </c>
      <c r="E9017" s="2" t="str">
        <f>IF(Table1[[#This Row],[Is Data Valid]]=TRUE,IF(Table1[[#This Row],[Fetal Sex (Male, Female or Unknown)]]="Male",Backend!$C$6,IF(Table1[[#This Row],[Fetal Sex (Male, Female or Unknown)]]="Female",Backend!$C$7,IF(Table1[[#This Row],[Fetal Sex (Male, Female or Unknown)]]="Unknown",Backend!$C$8,"Error"))),"")</f>
        <v/>
      </c>
      <c r="F9017" s="8" t="str">
        <f>IF(Table1[[#This Row],[Is Data Valid]]=TRUE,EXP(0.578+0.332*((Table1[[#This Row],[Gestation (days)]]+0.5)/7)-0.00354*((Table1[[#This Row],[Gestation (days)]]+0.5)/7)^2)*Table1[[#This Row],[BW40_3705]],"")</f>
        <v/>
      </c>
      <c r="G9017" s="2" t="str">
        <f>IF(Table1[[#This Row],[Is Data Valid]]=TRUE,((Table1[[#This Row],[Birthweight (grams)]]/Table1[[#This Row],[BW_GA]])-1)/(Backend!$B$4/100*Table1[[#This Row],[BW40_3705]]),"")</f>
        <v/>
      </c>
      <c r="H9017" s="7" t="str">
        <f>IF(Table1[[#This Row],[Is Data Valid]]=TRUE,((Table1[[#This Row],[Birthweight (grams)]]*0.9/Table1[[#This Row],[BW_GA]])-1)/(Backend!$B$4/100*Table1[[#This Row],[BW40_3705]]),"")</f>
        <v/>
      </c>
      <c r="I9017" s="7" t="str">
        <f>IF(Table1[[#This Row],[Is Data Valid]]=TRUE,((Table1[[#This Row],[Birthweight (grams)]]*1.1/Table1[[#This Row],[BW_GA]])-1)/(Backend!$B$4/100*Table1[[#This Row],[BW40_3705]]),"")</f>
        <v/>
      </c>
      <c r="J9017" s="7" t="str">
        <f>IF(Table1[[#This Row],[Is Data Valid]]=TRUE,_xlfn.NORM.S.DIST(Table1[[#This Row],[Birthweight Z-Score]],TRUE)*100,"")</f>
        <v/>
      </c>
      <c r="K9017" s="7" t="str">
        <f>IF(Table1[[#This Row],[Is Data Valid]]=TRUE,_xlfn.NORM.S.DIST(Table1[[#This Row],[Birthweight Z-Score (BW-10%)]],TRUE)*100,"")</f>
        <v/>
      </c>
      <c r="L9017" s="7" t="str">
        <f>IF(Table1[[#This Row],[Is Data Valid]]=TRUE,_xlfn.NORM.S.DIST(Table1[[#This Row],[Birthweight Z-Score (BW+10%)]],TRUE)*100,"")</f>
        <v/>
      </c>
    </row>
    <row r="9018" spans="1:12" x14ac:dyDescent="0.35">
      <c r="A9018" s="3"/>
      <c r="B9018" s="2"/>
      <c r="C9018" s="2"/>
      <c r="D9018" s="2" t="b">
        <f>IF(AND(NOT(ISBLANK(Table1[[#This Row],[Fetal Sex (Male, Female or Unknown)]])),ISNUMBER(Table1[[#This Row],[Birthweight (grams)]]),ISNUMBER(Table1[[#This Row],[Gestation (days)]])),TRUE,FALSE)</f>
        <v>0</v>
      </c>
      <c r="E9018" s="2" t="str">
        <f>IF(Table1[[#This Row],[Is Data Valid]]=TRUE,IF(Table1[[#This Row],[Fetal Sex (Male, Female or Unknown)]]="Male",Backend!$C$6,IF(Table1[[#This Row],[Fetal Sex (Male, Female or Unknown)]]="Female",Backend!$C$7,IF(Table1[[#This Row],[Fetal Sex (Male, Female or Unknown)]]="Unknown",Backend!$C$8,"Error"))),"")</f>
        <v/>
      </c>
      <c r="F9018" s="8" t="str">
        <f>IF(Table1[[#This Row],[Is Data Valid]]=TRUE,EXP(0.578+0.332*((Table1[[#This Row],[Gestation (days)]]+0.5)/7)-0.00354*((Table1[[#This Row],[Gestation (days)]]+0.5)/7)^2)*Table1[[#This Row],[BW40_3705]],"")</f>
        <v/>
      </c>
      <c r="G9018" s="2" t="str">
        <f>IF(Table1[[#This Row],[Is Data Valid]]=TRUE,((Table1[[#This Row],[Birthweight (grams)]]/Table1[[#This Row],[BW_GA]])-1)/(Backend!$B$4/100*Table1[[#This Row],[BW40_3705]]),"")</f>
        <v/>
      </c>
      <c r="H9018" s="7" t="str">
        <f>IF(Table1[[#This Row],[Is Data Valid]]=TRUE,((Table1[[#This Row],[Birthweight (grams)]]*0.9/Table1[[#This Row],[BW_GA]])-1)/(Backend!$B$4/100*Table1[[#This Row],[BW40_3705]]),"")</f>
        <v/>
      </c>
      <c r="I9018" s="7" t="str">
        <f>IF(Table1[[#This Row],[Is Data Valid]]=TRUE,((Table1[[#This Row],[Birthweight (grams)]]*1.1/Table1[[#This Row],[BW_GA]])-1)/(Backend!$B$4/100*Table1[[#This Row],[BW40_3705]]),"")</f>
        <v/>
      </c>
      <c r="J9018" s="7" t="str">
        <f>IF(Table1[[#This Row],[Is Data Valid]]=TRUE,_xlfn.NORM.S.DIST(Table1[[#This Row],[Birthweight Z-Score]],TRUE)*100,"")</f>
        <v/>
      </c>
      <c r="K9018" s="7" t="str">
        <f>IF(Table1[[#This Row],[Is Data Valid]]=TRUE,_xlfn.NORM.S.DIST(Table1[[#This Row],[Birthweight Z-Score (BW-10%)]],TRUE)*100,"")</f>
        <v/>
      </c>
      <c r="L9018" s="7" t="str">
        <f>IF(Table1[[#This Row],[Is Data Valid]]=TRUE,_xlfn.NORM.S.DIST(Table1[[#This Row],[Birthweight Z-Score (BW+10%)]],TRUE)*100,"")</f>
        <v/>
      </c>
    </row>
    <row r="9019" spans="1:12" x14ac:dyDescent="0.35">
      <c r="A9019" s="3"/>
      <c r="B9019" s="2"/>
      <c r="C9019" s="2"/>
      <c r="D9019" s="2" t="b">
        <f>IF(AND(NOT(ISBLANK(Table1[[#This Row],[Fetal Sex (Male, Female or Unknown)]])),ISNUMBER(Table1[[#This Row],[Birthweight (grams)]]),ISNUMBER(Table1[[#This Row],[Gestation (days)]])),TRUE,FALSE)</f>
        <v>0</v>
      </c>
      <c r="E9019" s="2" t="str">
        <f>IF(Table1[[#This Row],[Is Data Valid]]=TRUE,IF(Table1[[#This Row],[Fetal Sex (Male, Female or Unknown)]]="Male",Backend!$C$6,IF(Table1[[#This Row],[Fetal Sex (Male, Female or Unknown)]]="Female",Backend!$C$7,IF(Table1[[#This Row],[Fetal Sex (Male, Female or Unknown)]]="Unknown",Backend!$C$8,"Error"))),"")</f>
        <v/>
      </c>
      <c r="F9019" s="8" t="str">
        <f>IF(Table1[[#This Row],[Is Data Valid]]=TRUE,EXP(0.578+0.332*((Table1[[#This Row],[Gestation (days)]]+0.5)/7)-0.00354*((Table1[[#This Row],[Gestation (days)]]+0.5)/7)^2)*Table1[[#This Row],[BW40_3705]],"")</f>
        <v/>
      </c>
      <c r="G9019" s="2" t="str">
        <f>IF(Table1[[#This Row],[Is Data Valid]]=TRUE,((Table1[[#This Row],[Birthweight (grams)]]/Table1[[#This Row],[BW_GA]])-1)/(Backend!$B$4/100*Table1[[#This Row],[BW40_3705]]),"")</f>
        <v/>
      </c>
      <c r="H9019" s="7" t="str">
        <f>IF(Table1[[#This Row],[Is Data Valid]]=TRUE,((Table1[[#This Row],[Birthweight (grams)]]*0.9/Table1[[#This Row],[BW_GA]])-1)/(Backend!$B$4/100*Table1[[#This Row],[BW40_3705]]),"")</f>
        <v/>
      </c>
      <c r="I9019" s="7" t="str">
        <f>IF(Table1[[#This Row],[Is Data Valid]]=TRUE,((Table1[[#This Row],[Birthweight (grams)]]*1.1/Table1[[#This Row],[BW_GA]])-1)/(Backend!$B$4/100*Table1[[#This Row],[BW40_3705]]),"")</f>
        <v/>
      </c>
      <c r="J9019" s="7" t="str">
        <f>IF(Table1[[#This Row],[Is Data Valid]]=TRUE,_xlfn.NORM.S.DIST(Table1[[#This Row],[Birthweight Z-Score]],TRUE)*100,"")</f>
        <v/>
      </c>
      <c r="K9019" s="7" t="str">
        <f>IF(Table1[[#This Row],[Is Data Valid]]=TRUE,_xlfn.NORM.S.DIST(Table1[[#This Row],[Birthweight Z-Score (BW-10%)]],TRUE)*100,"")</f>
        <v/>
      </c>
      <c r="L9019" s="7" t="str">
        <f>IF(Table1[[#This Row],[Is Data Valid]]=TRUE,_xlfn.NORM.S.DIST(Table1[[#This Row],[Birthweight Z-Score (BW+10%)]],TRUE)*100,"")</f>
        <v/>
      </c>
    </row>
    <row r="9020" spans="1:12" x14ac:dyDescent="0.35">
      <c r="A9020" s="3"/>
      <c r="B9020" s="2"/>
      <c r="C9020" s="2"/>
      <c r="D9020" s="2" t="b">
        <f>IF(AND(NOT(ISBLANK(Table1[[#This Row],[Fetal Sex (Male, Female or Unknown)]])),ISNUMBER(Table1[[#This Row],[Birthweight (grams)]]),ISNUMBER(Table1[[#This Row],[Gestation (days)]])),TRUE,FALSE)</f>
        <v>0</v>
      </c>
      <c r="E9020" s="2" t="str">
        <f>IF(Table1[[#This Row],[Is Data Valid]]=TRUE,IF(Table1[[#This Row],[Fetal Sex (Male, Female or Unknown)]]="Male",Backend!$C$6,IF(Table1[[#This Row],[Fetal Sex (Male, Female or Unknown)]]="Female",Backend!$C$7,IF(Table1[[#This Row],[Fetal Sex (Male, Female or Unknown)]]="Unknown",Backend!$C$8,"Error"))),"")</f>
        <v/>
      </c>
      <c r="F9020" s="8" t="str">
        <f>IF(Table1[[#This Row],[Is Data Valid]]=TRUE,EXP(0.578+0.332*((Table1[[#This Row],[Gestation (days)]]+0.5)/7)-0.00354*((Table1[[#This Row],[Gestation (days)]]+0.5)/7)^2)*Table1[[#This Row],[BW40_3705]],"")</f>
        <v/>
      </c>
      <c r="G9020" s="2" t="str">
        <f>IF(Table1[[#This Row],[Is Data Valid]]=TRUE,((Table1[[#This Row],[Birthweight (grams)]]/Table1[[#This Row],[BW_GA]])-1)/(Backend!$B$4/100*Table1[[#This Row],[BW40_3705]]),"")</f>
        <v/>
      </c>
      <c r="H9020" s="7" t="str">
        <f>IF(Table1[[#This Row],[Is Data Valid]]=TRUE,((Table1[[#This Row],[Birthweight (grams)]]*0.9/Table1[[#This Row],[BW_GA]])-1)/(Backend!$B$4/100*Table1[[#This Row],[BW40_3705]]),"")</f>
        <v/>
      </c>
      <c r="I9020" s="7" t="str">
        <f>IF(Table1[[#This Row],[Is Data Valid]]=TRUE,((Table1[[#This Row],[Birthweight (grams)]]*1.1/Table1[[#This Row],[BW_GA]])-1)/(Backend!$B$4/100*Table1[[#This Row],[BW40_3705]]),"")</f>
        <v/>
      </c>
      <c r="J9020" s="7" t="str">
        <f>IF(Table1[[#This Row],[Is Data Valid]]=TRUE,_xlfn.NORM.S.DIST(Table1[[#This Row],[Birthweight Z-Score]],TRUE)*100,"")</f>
        <v/>
      </c>
      <c r="K9020" s="7" t="str">
        <f>IF(Table1[[#This Row],[Is Data Valid]]=TRUE,_xlfn.NORM.S.DIST(Table1[[#This Row],[Birthweight Z-Score (BW-10%)]],TRUE)*100,"")</f>
        <v/>
      </c>
      <c r="L9020" s="7" t="str">
        <f>IF(Table1[[#This Row],[Is Data Valid]]=TRUE,_xlfn.NORM.S.DIST(Table1[[#This Row],[Birthweight Z-Score (BW+10%)]],TRUE)*100,"")</f>
        <v/>
      </c>
    </row>
    <row r="9021" spans="1:12" x14ac:dyDescent="0.35">
      <c r="A9021" s="3"/>
      <c r="B9021" s="2"/>
      <c r="C9021" s="2"/>
      <c r="D9021" s="2" t="b">
        <f>IF(AND(NOT(ISBLANK(Table1[[#This Row],[Fetal Sex (Male, Female or Unknown)]])),ISNUMBER(Table1[[#This Row],[Birthweight (grams)]]),ISNUMBER(Table1[[#This Row],[Gestation (days)]])),TRUE,FALSE)</f>
        <v>0</v>
      </c>
      <c r="E9021" s="2" t="str">
        <f>IF(Table1[[#This Row],[Is Data Valid]]=TRUE,IF(Table1[[#This Row],[Fetal Sex (Male, Female or Unknown)]]="Male",Backend!$C$6,IF(Table1[[#This Row],[Fetal Sex (Male, Female or Unknown)]]="Female",Backend!$C$7,IF(Table1[[#This Row],[Fetal Sex (Male, Female or Unknown)]]="Unknown",Backend!$C$8,"Error"))),"")</f>
        <v/>
      </c>
      <c r="F9021" s="8" t="str">
        <f>IF(Table1[[#This Row],[Is Data Valid]]=TRUE,EXP(0.578+0.332*((Table1[[#This Row],[Gestation (days)]]+0.5)/7)-0.00354*((Table1[[#This Row],[Gestation (days)]]+0.5)/7)^2)*Table1[[#This Row],[BW40_3705]],"")</f>
        <v/>
      </c>
      <c r="G9021" s="2" t="str">
        <f>IF(Table1[[#This Row],[Is Data Valid]]=TRUE,((Table1[[#This Row],[Birthweight (grams)]]/Table1[[#This Row],[BW_GA]])-1)/(Backend!$B$4/100*Table1[[#This Row],[BW40_3705]]),"")</f>
        <v/>
      </c>
      <c r="H9021" s="7" t="str">
        <f>IF(Table1[[#This Row],[Is Data Valid]]=TRUE,((Table1[[#This Row],[Birthweight (grams)]]*0.9/Table1[[#This Row],[BW_GA]])-1)/(Backend!$B$4/100*Table1[[#This Row],[BW40_3705]]),"")</f>
        <v/>
      </c>
      <c r="I9021" s="7" t="str">
        <f>IF(Table1[[#This Row],[Is Data Valid]]=TRUE,((Table1[[#This Row],[Birthweight (grams)]]*1.1/Table1[[#This Row],[BW_GA]])-1)/(Backend!$B$4/100*Table1[[#This Row],[BW40_3705]]),"")</f>
        <v/>
      </c>
      <c r="J9021" s="7" t="str">
        <f>IF(Table1[[#This Row],[Is Data Valid]]=TRUE,_xlfn.NORM.S.DIST(Table1[[#This Row],[Birthweight Z-Score]],TRUE)*100,"")</f>
        <v/>
      </c>
      <c r="K9021" s="7" t="str">
        <f>IF(Table1[[#This Row],[Is Data Valid]]=TRUE,_xlfn.NORM.S.DIST(Table1[[#This Row],[Birthweight Z-Score (BW-10%)]],TRUE)*100,"")</f>
        <v/>
      </c>
      <c r="L9021" s="7" t="str">
        <f>IF(Table1[[#This Row],[Is Data Valid]]=TRUE,_xlfn.NORM.S.DIST(Table1[[#This Row],[Birthweight Z-Score (BW+10%)]],TRUE)*100,"")</f>
        <v/>
      </c>
    </row>
    <row r="9022" spans="1:12" x14ac:dyDescent="0.35">
      <c r="A9022" s="3"/>
      <c r="B9022" s="2"/>
      <c r="C9022" s="2"/>
      <c r="D9022" s="2" t="b">
        <f>IF(AND(NOT(ISBLANK(Table1[[#This Row],[Fetal Sex (Male, Female or Unknown)]])),ISNUMBER(Table1[[#This Row],[Birthweight (grams)]]),ISNUMBER(Table1[[#This Row],[Gestation (days)]])),TRUE,FALSE)</f>
        <v>0</v>
      </c>
      <c r="E9022" s="2" t="str">
        <f>IF(Table1[[#This Row],[Is Data Valid]]=TRUE,IF(Table1[[#This Row],[Fetal Sex (Male, Female or Unknown)]]="Male",Backend!$C$6,IF(Table1[[#This Row],[Fetal Sex (Male, Female or Unknown)]]="Female",Backend!$C$7,IF(Table1[[#This Row],[Fetal Sex (Male, Female or Unknown)]]="Unknown",Backend!$C$8,"Error"))),"")</f>
        <v/>
      </c>
      <c r="F9022" s="8" t="str">
        <f>IF(Table1[[#This Row],[Is Data Valid]]=TRUE,EXP(0.578+0.332*((Table1[[#This Row],[Gestation (days)]]+0.5)/7)-0.00354*((Table1[[#This Row],[Gestation (days)]]+0.5)/7)^2)*Table1[[#This Row],[BW40_3705]],"")</f>
        <v/>
      </c>
      <c r="G9022" s="2" t="str">
        <f>IF(Table1[[#This Row],[Is Data Valid]]=TRUE,((Table1[[#This Row],[Birthweight (grams)]]/Table1[[#This Row],[BW_GA]])-1)/(Backend!$B$4/100*Table1[[#This Row],[BW40_3705]]),"")</f>
        <v/>
      </c>
      <c r="H9022" s="7" t="str">
        <f>IF(Table1[[#This Row],[Is Data Valid]]=TRUE,((Table1[[#This Row],[Birthweight (grams)]]*0.9/Table1[[#This Row],[BW_GA]])-1)/(Backend!$B$4/100*Table1[[#This Row],[BW40_3705]]),"")</f>
        <v/>
      </c>
      <c r="I9022" s="7" t="str">
        <f>IF(Table1[[#This Row],[Is Data Valid]]=TRUE,((Table1[[#This Row],[Birthweight (grams)]]*1.1/Table1[[#This Row],[BW_GA]])-1)/(Backend!$B$4/100*Table1[[#This Row],[BW40_3705]]),"")</f>
        <v/>
      </c>
      <c r="J9022" s="7" t="str">
        <f>IF(Table1[[#This Row],[Is Data Valid]]=TRUE,_xlfn.NORM.S.DIST(Table1[[#This Row],[Birthweight Z-Score]],TRUE)*100,"")</f>
        <v/>
      </c>
      <c r="K9022" s="7" t="str">
        <f>IF(Table1[[#This Row],[Is Data Valid]]=TRUE,_xlfn.NORM.S.DIST(Table1[[#This Row],[Birthweight Z-Score (BW-10%)]],TRUE)*100,"")</f>
        <v/>
      </c>
      <c r="L9022" s="7" t="str">
        <f>IF(Table1[[#This Row],[Is Data Valid]]=TRUE,_xlfn.NORM.S.DIST(Table1[[#This Row],[Birthweight Z-Score (BW+10%)]],TRUE)*100,"")</f>
        <v/>
      </c>
    </row>
    <row r="9023" spans="1:12" x14ac:dyDescent="0.35">
      <c r="A9023" s="3"/>
      <c r="B9023" s="2"/>
      <c r="C9023" s="2"/>
      <c r="D9023" s="2" t="b">
        <f>IF(AND(NOT(ISBLANK(Table1[[#This Row],[Fetal Sex (Male, Female or Unknown)]])),ISNUMBER(Table1[[#This Row],[Birthweight (grams)]]),ISNUMBER(Table1[[#This Row],[Gestation (days)]])),TRUE,FALSE)</f>
        <v>0</v>
      </c>
      <c r="E9023" s="2" t="str">
        <f>IF(Table1[[#This Row],[Is Data Valid]]=TRUE,IF(Table1[[#This Row],[Fetal Sex (Male, Female or Unknown)]]="Male",Backend!$C$6,IF(Table1[[#This Row],[Fetal Sex (Male, Female or Unknown)]]="Female",Backend!$C$7,IF(Table1[[#This Row],[Fetal Sex (Male, Female or Unknown)]]="Unknown",Backend!$C$8,"Error"))),"")</f>
        <v/>
      </c>
      <c r="F9023" s="8" t="str">
        <f>IF(Table1[[#This Row],[Is Data Valid]]=TRUE,EXP(0.578+0.332*((Table1[[#This Row],[Gestation (days)]]+0.5)/7)-0.00354*((Table1[[#This Row],[Gestation (days)]]+0.5)/7)^2)*Table1[[#This Row],[BW40_3705]],"")</f>
        <v/>
      </c>
      <c r="G9023" s="2" t="str">
        <f>IF(Table1[[#This Row],[Is Data Valid]]=TRUE,((Table1[[#This Row],[Birthweight (grams)]]/Table1[[#This Row],[BW_GA]])-1)/(Backend!$B$4/100*Table1[[#This Row],[BW40_3705]]),"")</f>
        <v/>
      </c>
      <c r="H9023" s="7" t="str">
        <f>IF(Table1[[#This Row],[Is Data Valid]]=TRUE,((Table1[[#This Row],[Birthweight (grams)]]*0.9/Table1[[#This Row],[BW_GA]])-1)/(Backend!$B$4/100*Table1[[#This Row],[BW40_3705]]),"")</f>
        <v/>
      </c>
      <c r="I9023" s="7" t="str">
        <f>IF(Table1[[#This Row],[Is Data Valid]]=TRUE,((Table1[[#This Row],[Birthweight (grams)]]*1.1/Table1[[#This Row],[BW_GA]])-1)/(Backend!$B$4/100*Table1[[#This Row],[BW40_3705]]),"")</f>
        <v/>
      </c>
      <c r="J9023" s="7" t="str">
        <f>IF(Table1[[#This Row],[Is Data Valid]]=TRUE,_xlfn.NORM.S.DIST(Table1[[#This Row],[Birthweight Z-Score]],TRUE)*100,"")</f>
        <v/>
      </c>
      <c r="K9023" s="7" t="str">
        <f>IF(Table1[[#This Row],[Is Data Valid]]=TRUE,_xlfn.NORM.S.DIST(Table1[[#This Row],[Birthweight Z-Score (BW-10%)]],TRUE)*100,"")</f>
        <v/>
      </c>
      <c r="L9023" s="7" t="str">
        <f>IF(Table1[[#This Row],[Is Data Valid]]=TRUE,_xlfn.NORM.S.DIST(Table1[[#This Row],[Birthweight Z-Score (BW+10%)]],TRUE)*100,"")</f>
        <v/>
      </c>
    </row>
    <row r="9024" spans="1:12" x14ac:dyDescent="0.35">
      <c r="A9024" s="3"/>
      <c r="B9024" s="2"/>
      <c r="C9024" s="2"/>
      <c r="D9024" s="2" t="b">
        <f>IF(AND(NOT(ISBLANK(Table1[[#This Row],[Fetal Sex (Male, Female or Unknown)]])),ISNUMBER(Table1[[#This Row],[Birthweight (grams)]]),ISNUMBER(Table1[[#This Row],[Gestation (days)]])),TRUE,FALSE)</f>
        <v>0</v>
      </c>
      <c r="E9024" s="2" t="str">
        <f>IF(Table1[[#This Row],[Is Data Valid]]=TRUE,IF(Table1[[#This Row],[Fetal Sex (Male, Female or Unknown)]]="Male",Backend!$C$6,IF(Table1[[#This Row],[Fetal Sex (Male, Female or Unknown)]]="Female",Backend!$C$7,IF(Table1[[#This Row],[Fetal Sex (Male, Female or Unknown)]]="Unknown",Backend!$C$8,"Error"))),"")</f>
        <v/>
      </c>
      <c r="F9024" s="8" t="str">
        <f>IF(Table1[[#This Row],[Is Data Valid]]=TRUE,EXP(0.578+0.332*((Table1[[#This Row],[Gestation (days)]]+0.5)/7)-0.00354*((Table1[[#This Row],[Gestation (days)]]+0.5)/7)^2)*Table1[[#This Row],[BW40_3705]],"")</f>
        <v/>
      </c>
      <c r="G9024" s="2" t="str">
        <f>IF(Table1[[#This Row],[Is Data Valid]]=TRUE,((Table1[[#This Row],[Birthweight (grams)]]/Table1[[#This Row],[BW_GA]])-1)/(Backend!$B$4/100*Table1[[#This Row],[BW40_3705]]),"")</f>
        <v/>
      </c>
      <c r="H9024" s="7" t="str">
        <f>IF(Table1[[#This Row],[Is Data Valid]]=TRUE,((Table1[[#This Row],[Birthweight (grams)]]*0.9/Table1[[#This Row],[BW_GA]])-1)/(Backend!$B$4/100*Table1[[#This Row],[BW40_3705]]),"")</f>
        <v/>
      </c>
      <c r="I9024" s="7" t="str">
        <f>IF(Table1[[#This Row],[Is Data Valid]]=TRUE,((Table1[[#This Row],[Birthweight (grams)]]*1.1/Table1[[#This Row],[BW_GA]])-1)/(Backend!$B$4/100*Table1[[#This Row],[BW40_3705]]),"")</f>
        <v/>
      </c>
      <c r="J9024" s="7" t="str">
        <f>IF(Table1[[#This Row],[Is Data Valid]]=TRUE,_xlfn.NORM.S.DIST(Table1[[#This Row],[Birthweight Z-Score]],TRUE)*100,"")</f>
        <v/>
      </c>
      <c r="K9024" s="7" t="str">
        <f>IF(Table1[[#This Row],[Is Data Valid]]=TRUE,_xlfn.NORM.S.DIST(Table1[[#This Row],[Birthweight Z-Score (BW-10%)]],TRUE)*100,"")</f>
        <v/>
      </c>
      <c r="L9024" s="7" t="str">
        <f>IF(Table1[[#This Row],[Is Data Valid]]=TRUE,_xlfn.NORM.S.DIST(Table1[[#This Row],[Birthweight Z-Score (BW+10%)]],TRUE)*100,"")</f>
        <v/>
      </c>
    </row>
    <row r="9025" spans="1:12" x14ac:dyDescent="0.35">
      <c r="A9025" s="3"/>
      <c r="B9025" s="2"/>
      <c r="C9025" s="2"/>
      <c r="D9025" s="2" t="b">
        <f>IF(AND(NOT(ISBLANK(Table1[[#This Row],[Fetal Sex (Male, Female or Unknown)]])),ISNUMBER(Table1[[#This Row],[Birthweight (grams)]]),ISNUMBER(Table1[[#This Row],[Gestation (days)]])),TRUE,FALSE)</f>
        <v>0</v>
      </c>
      <c r="E9025" s="2" t="str">
        <f>IF(Table1[[#This Row],[Is Data Valid]]=TRUE,IF(Table1[[#This Row],[Fetal Sex (Male, Female or Unknown)]]="Male",Backend!$C$6,IF(Table1[[#This Row],[Fetal Sex (Male, Female or Unknown)]]="Female",Backend!$C$7,IF(Table1[[#This Row],[Fetal Sex (Male, Female or Unknown)]]="Unknown",Backend!$C$8,"Error"))),"")</f>
        <v/>
      </c>
      <c r="F9025" s="8" t="str">
        <f>IF(Table1[[#This Row],[Is Data Valid]]=TRUE,EXP(0.578+0.332*((Table1[[#This Row],[Gestation (days)]]+0.5)/7)-0.00354*((Table1[[#This Row],[Gestation (days)]]+0.5)/7)^2)*Table1[[#This Row],[BW40_3705]],"")</f>
        <v/>
      </c>
      <c r="G9025" s="2" t="str">
        <f>IF(Table1[[#This Row],[Is Data Valid]]=TRUE,((Table1[[#This Row],[Birthweight (grams)]]/Table1[[#This Row],[BW_GA]])-1)/(Backend!$B$4/100*Table1[[#This Row],[BW40_3705]]),"")</f>
        <v/>
      </c>
      <c r="H9025" s="7" t="str">
        <f>IF(Table1[[#This Row],[Is Data Valid]]=TRUE,((Table1[[#This Row],[Birthweight (grams)]]*0.9/Table1[[#This Row],[BW_GA]])-1)/(Backend!$B$4/100*Table1[[#This Row],[BW40_3705]]),"")</f>
        <v/>
      </c>
      <c r="I9025" s="7" t="str">
        <f>IF(Table1[[#This Row],[Is Data Valid]]=TRUE,((Table1[[#This Row],[Birthweight (grams)]]*1.1/Table1[[#This Row],[BW_GA]])-1)/(Backend!$B$4/100*Table1[[#This Row],[BW40_3705]]),"")</f>
        <v/>
      </c>
      <c r="J9025" s="7" t="str">
        <f>IF(Table1[[#This Row],[Is Data Valid]]=TRUE,_xlfn.NORM.S.DIST(Table1[[#This Row],[Birthweight Z-Score]],TRUE)*100,"")</f>
        <v/>
      </c>
      <c r="K9025" s="7" t="str">
        <f>IF(Table1[[#This Row],[Is Data Valid]]=TRUE,_xlfn.NORM.S.DIST(Table1[[#This Row],[Birthweight Z-Score (BW-10%)]],TRUE)*100,"")</f>
        <v/>
      </c>
      <c r="L9025" s="7" t="str">
        <f>IF(Table1[[#This Row],[Is Data Valid]]=TRUE,_xlfn.NORM.S.DIST(Table1[[#This Row],[Birthweight Z-Score (BW+10%)]],TRUE)*100,"")</f>
        <v/>
      </c>
    </row>
    <row r="9026" spans="1:12" x14ac:dyDescent="0.35">
      <c r="A9026" s="3"/>
      <c r="B9026" s="2"/>
      <c r="C9026" s="2"/>
      <c r="D9026" s="2" t="b">
        <f>IF(AND(NOT(ISBLANK(Table1[[#This Row],[Fetal Sex (Male, Female or Unknown)]])),ISNUMBER(Table1[[#This Row],[Birthweight (grams)]]),ISNUMBER(Table1[[#This Row],[Gestation (days)]])),TRUE,FALSE)</f>
        <v>0</v>
      </c>
      <c r="E9026" s="2" t="str">
        <f>IF(Table1[[#This Row],[Is Data Valid]]=TRUE,IF(Table1[[#This Row],[Fetal Sex (Male, Female or Unknown)]]="Male",Backend!$C$6,IF(Table1[[#This Row],[Fetal Sex (Male, Female or Unknown)]]="Female",Backend!$C$7,IF(Table1[[#This Row],[Fetal Sex (Male, Female or Unknown)]]="Unknown",Backend!$C$8,"Error"))),"")</f>
        <v/>
      </c>
      <c r="F9026" s="8" t="str">
        <f>IF(Table1[[#This Row],[Is Data Valid]]=TRUE,EXP(0.578+0.332*((Table1[[#This Row],[Gestation (days)]]+0.5)/7)-0.00354*((Table1[[#This Row],[Gestation (days)]]+0.5)/7)^2)*Table1[[#This Row],[BW40_3705]],"")</f>
        <v/>
      </c>
      <c r="G9026" s="2" t="str">
        <f>IF(Table1[[#This Row],[Is Data Valid]]=TRUE,((Table1[[#This Row],[Birthweight (grams)]]/Table1[[#This Row],[BW_GA]])-1)/(Backend!$B$4/100*Table1[[#This Row],[BW40_3705]]),"")</f>
        <v/>
      </c>
      <c r="H9026" s="7" t="str">
        <f>IF(Table1[[#This Row],[Is Data Valid]]=TRUE,((Table1[[#This Row],[Birthweight (grams)]]*0.9/Table1[[#This Row],[BW_GA]])-1)/(Backend!$B$4/100*Table1[[#This Row],[BW40_3705]]),"")</f>
        <v/>
      </c>
      <c r="I9026" s="7" t="str">
        <f>IF(Table1[[#This Row],[Is Data Valid]]=TRUE,((Table1[[#This Row],[Birthweight (grams)]]*1.1/Table1[[#This Row],[BW_GA]])-1)/(Backend!$B$4/100*Table1[[#This Row],[BW40_3705]]),"")</f>
        <v/>
      </c>
      <c r="J9026" s="7" t="str">
        <f>IF(Table1[[#This Row],[Is Data Valid]]=TRUE,_xlfn.NORM.S.DIST(Table1[[#This Row],[Birthweight Z-Score]],TRUE)*100,"")</f>
        <v/>
      </c>
      <c r="K9026" s="7" t="str">
        <f>IF(Table1[[#This Row],[Is Data Valid]]=TRUE,_xlfn.NORM.S.DIST(Table1[[#This Row],[Birthweight Z-Score (BW-10%)]],TRUE)*100,"")</f>
        <v/>
      </c>
      <c r="L9026" s="7" t="str">
        <f>IF(Table1[[#This Row],[Is Data Valid]]=TRUE,_xlfn.NORM.S.DIST(Table1[[#This Row],[Birthweight Z-Score (BW+10%)]],TRUE)*100,"")</f>
        <v/>
      </c>
    </row>
    <row r="9027" spans="1:12" x14ac:dyDescent="0.35">
      <c r="A9027" s="3"/>
      <c r="B9027" s="2"/>
      <c r="C9027" s="2"/>
      <c r="D9027" s="2" t="b">
        <f>IF(AND(NOT(ISBLANK(Table1[[#This Row],[Fetal Sex (Male, Female or Unknown)]])),ISNUMBER(Table1[[#This Row],[Birthweight (grams)]]),ISNUMBER(Table1[[#This Row],[Gestation (days)]])),TRUE,FALSE)</f>
        <v>0</v>
      </c>
      <c r="E9027" s="2" t="str">
        <f>IF(Table1[[#This Row],[Is Data Valid]]=TRUE,IF(Table1[[#This Row],[Fetal Sex (Male, Female or Unknown)]]="Male",Backend!$C$6,IF(Table1[[#This Row],[Fetal Sex (Male, Female or Unknown)]]="Female",Backend!$C$7,IF(Table1[[#This Row],[Fetal Sex (Male, Female or Unknown)]]="Unknown",Backend!$C$8,"Error"))),"")</f>
        <v/>
      </c>
      <c r="F9027" s="8" t="str">
        <f>IF(Table1[[#This Row],[Is Data Valid]]=TRUE,EXP(0.578+0.332*((Table1[[#This Row],[Gestation (days)]]+0.5)/7)-0.00354*((Table1[[#This Row],[Gestation (days)]]+0.5)/7)^2)*Table1[[#This Row],[BW40_3705]],"")</f>
        <v/>
      </c>
      <c r="G9027" s="2" t="str">
        <f>IF(Table1[[#This Row],[Is Data Valid]]=TRUE,((Table1[[#This Row],[Birthweight (grams)]]/Table1[[#This Row],[BW_GA]])-1)/(Backend!$B$4/100*Table1[[#This Row],[BW40_3705]]),"")</f>
        <v/>
      </c>
      <c r="H9027" s="7" t="str">
        <f>IF(Table1[[#This Row],[Is Data Valid]]=TRUE,((Table1[[#This Row],[Birthweight (grams)]]*0.9/Table1[[#This Row],[BW_GA]])-1)/(Backend!$B$4/100*Table1[[#This Row],[BW40_3705]]),"")</f>
        <v/>
      </c>
      <c r="I9027" s="7" t="str">
        <f>IF(Table1[[#This Row],[Is Data Valid]]=TRUE,((Table1[[#This Row],[Birthweight (grams)]]*1.1/Table1[[#This Row],[BW_GA]])-1)/(Backend!$B$4/100*Table1[[#This Row],[BW40_3705]]),"")</f>
        <v/>
      </c>
      <c r="J9027" s="7" t="str">
        <f>IF(Table1[[#This Row],[Is Data Valid]]=TRUE,_xlfn.NORM.S.DIST(Table1[[#This Row],[Birthweight Z-Score]],TRUE)*100,"")</f>
        <v/>
      </c>
      <c r="K9027" s="7" t="str">
        <f>IF(Table1[[#This Row],[Is Data Valid]]=TRUE,_xlfn.NORM.S.DIST(Table1[[#This Row],[Birthweight Z-Score (BW-10%)]],TRUE)*100,"")</f>
        <v/>
      </c>
      <c r="L9027" s="7" t="str">
        <f>IF(Table1[[#This Row],[Is Data Valid]]=TRUE,_xlfn.NORM.S.DIST(Table1[[#This Row],[Birthweight Z-Score (BW+10%)]],TRUE)*100,"")</f>
        <v/>
      </c>
    </row>
    <row r="9028" spans="1:12" x14ac:dyDescent="0.35">
      <c r="A9028" s="3"/>
      <c r="B9028" s="2"/>
      <c r="C9028" s="2"/>
      <c r="D9028" s="2" t="b">
        <f>IF(AND(NOT(ISBLANK(Table1[[#This Row],[Fetal Sex (Male, Female or Unknown)]])),ISNUMBER(Table1[[#This Row],[Birthweight (grams)]]),ISNUMBER(Table1[[#This Row],[Gestation (days)]])),TRUE,FALSE)</f>
        <v>0</v>
      </c>
      <c r="E9028" s="2" t="str">
        <f>IF(Table1[[#This Row],[Is Data Valid]]=TRUE,IF(Table1[[#This Row],[Fetal Sex (Male, Female or Unknown)]]="Male",Backend!$C$6,IF(Table1[[#This Row],[Fetal Sex (Male, Female or Unknown)]]="Female",Backend!$C$7,IF(Table1[[#This Row],[Fetal Sex (Male, Female or Unknown)]]="Unknown",Backend!$C$8,"Error"))),"")</f>
        <v/>
      </c>
      <c r="F9028" s="8" t="str">
        <f>IF(Table1[[#This Row],[Is Data Valid]]=TRUE,EXP(0.578+0.332*((Table1[[#This Row],[Gestation (days)]]+0.5)/7)-0.00354*((Table1[[#This Row],[Gestation (days)]]+0.5)/7)^2)*Table1[[#This Row],[BW40_3705]],"")</f>
        <v/>
      </c>
      <c r="G9028" s="2" t="str">
        <f>IF(Table1[[#This Row],[Is Data Valid]]=TRUE,((Table1[[#This Row],[Birthweight (grams)]]/Table1[[#This Row],[BW_GA]])-1)/(Backend!$B$4/100*Table1[[#This Row],[BW40_3705]]),"")</f>
        <v/>
      </c>
      <c r="H9028" s="7" t="str">
        <f>IF(Table1[[#This Row],[Is Data Valid]]=TRUE,((Table1[[#This Row],[Birthweight (grams)]]*0.9/Table1[[#This Row],[BW_GA]])-1)/(Backend!$B$4/100*Table1[[#This Row],[BW40_3705]]),"")</f>
        <v/>
      </c>
      <c r="I9028" s="7" t="str">
        <f>IF(Table1[[#This Row],[Is Data Valid]]=TRUE,((Table1[[#This Row],[Birthweight (grams)]]*1.1/Table1[[#This Row],[BW_GA]])-1)/(Backend!$B$4/100*Table1[[#This Row],[BW40_3705]]),"")</f>
        <v/>
      </c>
      <c r="J9028" s="7" t="str">
        <f>IF(Table1[[#This Row],[Is Data Valid]]=TRUE,_xlfn.NORM.S.DIST(Table1[[#This Row],[Birthweight Z-Score]],TRUE)*100,"")</f>
        <v/>
      </c>
      <c r="K9028" s="7" t="str">
        <f>IF(Table1[[#This Row],[Is Data Valid]]=TRUE,_xlfn.NORM.S.DIST(Table1[[#This Row],[Birthweight Z-Score (BW-10%)]],TRUE)*100,"")</f>
        <v/>
      </c>
      <c r="L9028" s="7" t="str">
        <f>IF(Table1[[#This Row],[Is Data Valid]]=TRUE,_xlfn.NORM.S.DIST(Table1[[#This Row],[Birthweight Z-Score (BW+10%)]],TRUE)*100,"")</f>
        <v/>
      </c>
    </row>
    <row r="9029" spans="1:12" x14ac:dyDescent="0.35">
      <c r="A9029" s="3"/>
      <c r="B9029" s="2"/>
      <c r="C9029" s="2"/>
      <c r="D9029" s="2" t="b">
        <f>IF(AND(NOT(ISBLANK(Table1[[#This Row],[Fetal Sex (Male, Female or Unknown)]])),ISNUMBER(Table1[[#This Row],[Birthweight (grams)]]),ISNUMBER(Table1[[#This Row],[Gestation (days)]])),TRUE,FALSE)</f>
        <v>0</v>
      </c>
      <c r="E9029" s="2" t="str">
        <f>IF(Table1[[#This Row],[Is Data Valid]]=TRUE,IF(Table1[[#This Row],[Fetal Sex (Male, Female or Unknown)]]="Male",Backend!$C$6,IF(Table1[[#This Row],[Fetal Sex (Male, Female or Unknown)]]="Female",Backend!$C$7,IF(Table1[[#This Row],[Fetal Sex (Male, Female or Unknown)]]="Unknown",Backend!$C$8,"Error"))),"")</f>
        <v/>
      </c>
      <c r="F9029" s="8" t="str">
        <f>IF(Table1[[#This Row],[Is Data Valid]]=TRUE,EXP(0.578+0.332*((Table1[[#This Row],[Gestation (days)]]+0.5)/7)-0.00354*((Table1[[#This Row],[Gestation (days)]]+0.5)/7)^2)*Table1[[#This Row],[BW40_3705]],"")</f>
        <v/>
      </c>
      <c r="G9029" s="2" t="str">
        <f>IF(Table1[[#This Row],[Is Data Valid]]=TRUE,((Table1[[#This Row],[Birthweight (grams)]]/Table1[[#This Row],[BW_GA]])-1)/(Backend!$B$4/100*Table1[[#This Row],[BW40_3705]]),"")</f>
        <v/>
      </c>
      <c r="H9029" s="7" t="str">
        <f>IF(Table1[[#This Row],[Is Data Valid]]=TRUE,((Table1[[#This Row],[Birthweight (grams)]]*0.9/Table1[[#This Row],[BW_GA]])-1)/(Backend!$B$4/100*Table1[[#This Row],[BW40_3705]]),"")</f>
        <v/>
      </c>
      <c r="I9029" s="7" t="str">
        <f>IF(Table1[[#This Row],[Is Data Valid]]=TRUE,((Table1[[#This Row],[Birthweight (grams)]]*1.1/Table1[[#This Row],[BW_GA]])-1)/(Backend!$B$4/100*Table1[[#This Row],[BW40_3705]]),"")</f>
        <v/>
      </c>
      <c r="J9029" s="7" t="str">
        <f>IF(Table1[[#This Row],[Is Data Valid]]=TRUE,_xlfn.NORM.S.DIST(Table1[[#This Row],[Birthweight Z-Score]],TRUE)*100,"")</f>
        <v/>
      </c>
      <c r="K9029" s="7" t="str">
        <f>IF(Table1[[#This Row],[Is Data Valid]]=TRUE,_xlfn.NORM.S.DIST(Table1[[#This Row],[Birthweight Z-Score (BW-10%)]],TRUE)*100,"")</f>
        <v/>
      </c>
      <c r="L9029" s="7" t="str">
        <f>IF(Table1[[#This Row],[Is Data Valid]]=TRUE,_xlfn.NORM.S.DIST(Table1[[#This Row],[Birthweight Z-Score (BW+10%)]],TRUE)*100,"")</f>
        <v/>
      </c>
    </row>
    <row r="9030" spans="1:12" x14ac:dyDescent="0.35">
      <c r="A9030" s="3"/>
      <c r="B9030" s="2"/>
      <c r="C9030" s="2"/>
      <c r="D9030" s="2" t="b">
        <f>IF(AND(NOT(ISBLANK(Table1[[#This Row],[Fetal Sex (Male, Female or Unknown)]])),ISNUMBER(Table1[[#This Row],[Birthweight (grams)]]),ISNUMBER(Table1[[#This Row],[Gestation (days)]])),TRUE,FALSE)</f>
        <v>0</v>
      </c>
      <c r="E9030" s="2" t="str">
        <f>IF(Table1[[#This Row],[Is Data Valid]]=TRUE,IF(Table1[[#This Row],[Fetal Sex (Male, Female or Unknown)]]="Male",Backend!$C$6,IF(Table1[[#This Row],[Fetal Sex (Male, Female or Unknown)]]="Female",Backend!$C$7,IF(Table1[[#This Row],[Fetal Sex (Male, Female or Unknown)]]="Unknown",Backend!$C$8,"Error"))),"")</f>
        <v/>
      </c>
      <c r="F9030" s="8" t="str">
        <f>IF(Table1[[#This Row],[Is Data Valid]]=TRUE,EXP(0.578+0.332*((Table1[[#This Row],[Gestation (days)]]+0.5)/7)-0.00354*((Table1[[#This Row],[Gestation (days)]]+0.5)/7)^2)*Table1[[#This Row],[BW40_3705]],"")</f>
        <v/>
      </c>
      <c r="G9030" s="2" t="str">
        <f>IF(Table1[[#This Row],[Is Data Valid]]=TRUE,((Table1[[#This Row],[Birthweight (grams)]]/Table1[[#This Row],[BW_GA]])-1)/(Backend!$B$4/100*Table1[[#This Row],[BW40_3705]]),"")</f>
        <v/>
      </c>
      <c r="H9030" s="7" t="str">
        <f>IF(Table1[[#This Row],[Is Data Valid]]=TRUE,((Table1[[#This Row],[Birthweight (grams)]]*0.9/Table1[[#This Row],[BW_GA]])-1)/(Backend!$B$4/100*Table1[[#This Row],[BW40_3705]]),"")</f>
        <v/>
      </c>
      <c r="I9030" s="7" t="str">
        <f>IF(Table1[[#This Row],[Is Data Valid]]=TRUE,((Table1[[#This Row],[Birthweight (grams)]]*1.1/Table1[[#This Row],[BW_GA]])-1)/(Backend!$B$4/100*Table1[[#This Row],[BW40_3705]]),"")</f>
        <v/>
      </c>
      <c r="J9030" s="7" t="str">
        <f>IF(Table1[[#This Row],[Is Data Valid]]=TRUE,_xlfn.NORM.S.DIST(Table1[[#This Row],[Birthweight Z-Score]],TRUE)*100,"")</f>
        <v/>
      </c>
      <c r="K9030" s="7" t="str">
        <f>IF(Table1[[#This Row],[Is Data Valid]]=TRUE,_xlfn.NORM.S.DIST(Table1[[#This Row],[Birthweight Z-Score (BW-10%)]],TRUE)*100,"")</f>
        <v/>
      </c>
      <c r="L9030" s="7" t="str">
        <f>IF(Table1[[#This Row],[Is Data Valid]]=TRUE,_xlfn.NORM.S.DIST(Table1[[#This Row],[Birthweight Z-Score (BW+10%)]],TRUE)*100,"")</f>
        <v/>
      </c>
    </row>
    <row r="9031" spans="1:12" x14ac:dyDescent="0.35">
      <c r="A9031" s="3"/>
      <c r="B9031" s="2"/>
      <c r="C9031" s="2"/>
      <c r="D9031" s="2" t="b">
        <f>IF(AND(NOT(ISBLANK(Table1[[#This Row],[Fetal Sex (Male, Female or Unknown)]])),ISNUMBER(Table1[[#This Row],[Birthweight (grams)]]),ISNUMBER(Table1[[#This Row],[Gestation (days)]])),TRUE,FALSE)</f>
        <v>0</v>
      </c>
      <c r="E9031" s="2" t="str">
        <f>IF(Table1[[#This Row],[Is Data Valid]]=TRUE,IF(Table1[[#This Row],[Fetal Sex (Male, Female or Unknown)]]="Male",Backend!$C$6,IF(Table1[[#This Row],[Fetal Sex (Male, Female or Unknown)]]="Female",Backend!$C$7,IF(Table1[[#This Row],[Fetal Sex (Male, Female or Unknown)]]="Unknown",Backend!$C$8,"Error"))),"")</f>
        <v/>
      </c>
      <c r="F9031" s="8" t="str">
        <f>IF(Table1[[#This Row],[Is Data Valid]]=TRUE,EXP(0.578+0.332*((Table1[[#This Row],[Gestation (days)]]+0.5)/7)-0.00354*((Table1[[#This Row],[Gestation (days)]]+0.5)/7)^2)*Table1[[#This Row],[BW40_3705]],"")</f>
        <v/>
      </c>
      <c r="G9031" s="2" t="str">
        <f>IF(Table1[[#This Row],[Is Data Valid]]=TRUE,((Table1[[#This Row],[Birthweight (grams)]]/Table1[[#This Row],[BW_GA]])-1)/(Backend!$B$4/100*Table1[[#This Row],[BW40_3705]]),"")</f>
        <v/>
      </c>
      <c r="H9031" s="7" t="str">
        <f>IF(Table1[[#This Row],[Is Data Valid]]=TRUE,((Table1[[#This Row],[Birthweight (grams)]]*0.9/Table1[[#This Row],[BW_GA]])-1)/(Backend!$B$4/100*Table1[[#This Row],[BW40_3705]]),"")</f>
        <v/>
      </c>
      <c r="I9031" s="7" t="str">
        <f>IF(Table1[[#This Row],[Is Data Valid]]=TRUE,((Table1[[#This Row],[Birthweight (grams)]]*1.1/Table1[[#This Row],[BW_GA]])-1)/(Backend!$B$4/100*Table1[[#This Row],[BW40_3705]]),"")</f>
        <v/>
      </c>
      <c r="J9031" s="7" t="str">
        <f>IF(Table1[[#This Row],[Is Data Valid]]=TRUE,_xlfn.NORM.S.DIST(Table1[[#This Row],[Birthweight Z-Score]],TRUE)*100,"")</f>
        <v/>
      </c>
      <c r="K9031" s="7" t="str">
        <f>IF(Table1[[#This Row],[Is Data Valid]]=TRUE,_xlfn.NORM.S.DIST(Table1[[#This Row],[Birthweight Z-Score (BW-10%)]],TRUE)*100,"")</f>
        <v/>
      </c>
      <c r="L9031" s="7" t="str">
        <f>IF(Table1[[#This Row],[Is Data Valid]]=TRUE,_xlfn.NORM.S.DIST(Table1[[#This Row],[Birthweight Z-Score (BW+10%)]],TRUE)*100,"")</f>
        <v/>
      </c>
    </row>
    <row r="9032" spans="1:12" x14ac:dyDescent="0.35">
      <c r="A9032" s="3"/>
      <c r="B9032" s="2"/>
      <c r="C9032" s="2"/>
      <c r="D9032" s="2" t="b">
        <f>IF(AND(NOT(ISBLANK(Table1[[#This Row],[Fetal Sex (Male, Female or Unknown)]])),ISNUMBER(Table1[[#This Row],[Birthweight (grams)]]),ISNUMBER(Table1[[#This Row],[Gestation (days)]])),TRUE,FALSE)</f>
        <v>0</v>
      </c>
      <c r="E9032" s="2" t="str">
        <f>IF(Table1[[#This Row],[Is Data Valid]]=TRUE,IF(Table1[[#This Row],[Fetal Sex (Male, Female or Unknown)]]="Male",Backend!$C$6,IF(Table1[[#This Row],[Fetal Sex (Male, Female or Unknown)]]="Female",Backend!$C$7,IF(Table1[[#This Row],[Fetal Sex (Male, Female or Unknown)]]="Unknown",Backend!$C$8,"Error"))),"")</f>
        <v/>
      </c>
      <c r="F9032" s="8" t="str">
        <f>IF(Table1[[#This Row],[Is Data Valid]]=TRUE,EXP(0.578+0.332*((Table1[[#This Row],[Gestation (days)]]+0.5)/7)-0.00354*((Table1[[#This Row],[Gestation (days)]]+0.5)/7)^2)*Table1[[#This Row],[BW40_3705]],"")</f>
        <v/>
      </c>
      <c r="G9032" s="2" t="str">
        <f>IF(Table1[[#This Row],[Is Data Valid]]=TRUE,((Table1[[#This Row],[Birthweight (grams)]]/Table1[[#This Row],[BW_GA]])-1)/(Backend!$B$4/100*Table1[[#This Row],[BW40_3705]]),"")</f>
        <v/>
      </c>
      <c r="H9032" s="7" t="str">
        <f>IF(Table1[[#This Row],[Is Data Valid]]=TRUE,((Table1[[#This Row],[Birthweight (grams)]]*0.9/Table1[[#This Row],[BW_GA]])-1)/(Backend!$B$4/100*Table1[[#This Row],[BW40_3705]]),"")</f>
        <v/>
      </c>
      <c r="I9032" s="7" t="str">
        <f>IF(Table1[[#This Row],[Is Data Valid]]=TRUE,((Table1[[#This Row],[Birthweight (grams)]]*1.1/Table1[[#This Row],[BW_GA]])-1)/(Backend!$B$4/100*Table1[[#This Row],[BW40_3705]]),"")</f>
        <v/>
      </c>
      <c r="J9032" s="7" t="str">
        <f>IF(Table1[[#This Row],[Is Data Valid]]=TRUE,_xlfn.NORM.S.DIST(Table1[[#This Row],[Birthweight Z-Score]],TRUE)*100,"")</f>
        <v/>
      </c>
      <c r="K9032" s="7" t="str">
        <f>IF(Table1[[#This Row],[Is Data Valid]]=TRUE,_xlfn.NORM.S.DIST(Table1[[#This Row],[Birthweight Z-Score (BW-10%)]],TRUE)*100,"")</f>
        <v/>
      </c>
      <c r="L9032" s="7" t="str">
        <f>IF(Table1[[#This Row],[Is Data Valid]]=TRUE,_xlfn.NORM.S.DIST(Table1[[#This Row],[Birthweight Z-Score (BW+10%)]],TRUE)*100,"")</f>
        <v/>
      </c>
    </row>
    <row r="9033" spans="1:12" x14ac:dyDescent="0.35">
      <c r="A9033" s="3"/>
      <c r="B9033" s="2"/>
      <c r="C9033" s="2"/>
      <c r="D9033" s="2" t="b">
        <f>IF(AND(NOT(ISBLANK(Table1[[#This Row],[Fetal Sex (Male, Female or Unknown)]])),ISNUMBER(Table1[[#This Row],[Birthweight (grams)]]),ISNUMBER(Table1[[#This Row],[Gestation (days)]])),TRUE,FALSE)</f>
        <v>0</v>
      </c>
      <c r="E9033" s="2" t="str">
        <f>IF(Table1[[#This Row],[Is Data Valid]]=TRUE,IF(Table1[[#This Row],[Fetal Sex (Male, Female or Unknown)]]="Male",Backend!$C$6,IF(Table1[[#This Row],[Fetal Sex (Male, Female or Unknown)]]="Female",Backend!$C$7,IF(Table1[[#This Row],[Fetal Sex (Male, Female or Unknown)]]="Unknown",Backend!$C$8,"Error"))),"")</f>
        <v/>
      </c>
      <c r="F9033" s="8" t="str">
        <f>IF(Table1[[#This Row],[Is Data Valid]]=TRUE,EXP(0.578+0.332*((Table1[[#This Row],[Gestation (days)]]+0.5)/7)-0.00354*((Table1[[#This Row],[Gestation (days)]]+0.5)/7)^2)*Table1[[#This Row],[BW40_3705]],"")</f>
        <v/>
      </c>
      <c r="G9033" s="2" t="str">
        <f>IF(Table1[[#This Row],[Is Data Valid]]=TRUE,((Table1[[#This Row],[Birthweight (grams)]]/Table1[[#This Row],[BW_GA]])-1)/(Backend!$B$4/100*Table1[[#This Row],[BW40_3705]]),"")</f>
        <v/>
      </c>
      <c r="H9033" s="7" t="str">
        <f>IF(Table1[[#This Row],[Is Data Valid]]=TRUE,((Table1[[#This Row],[Birthweight (grams)]]*0.9/Table1[[#This Row],[BW_GA]])-1)/(Backend!$B$4/100*Table1[[#This Row],[BW40_3705]]),"")</f>
        <v/>
      </c>
      <c r="I9033" s="7" t="str">
        <f>IF(Table1[[#This Row],[Is Data Valid]]=TRUE,((Table1[[#This Row],[Birthweight (grams)]]*1.1/Table1[[#This Row],[BW_GA]])-1)/(Backend!$B$4/100*Table1[[#This Row],[BW40_3705]]),"")</f>
        <v/>
      </c>
      <c r="J9033" s="7" t="str">
        <f>IF(Table1[[#This Row],[Is Data Valid]]=TRUE,_xlfn.NORM.S.DIST(Table1[[#This Row],[Birthweight Z-Score]],TRUE)*100,"")</f>
        <v/>
      </c>
      <c r="K9033" s="7" t="str">
        <f>IF(Table1[[#This Row],[Is Data Valid]]=TRUE,_xlfn.NORM.S.DIST(Table1[[#This Row],[Birthweight Z-Score (BW-10%)]],TRUE)*100,"")</f>
        <v/>
      </c>
      <c r="L9033" s="7" t="str">
        <f>IF(Table1[[#This Row],[Is Data Valid]]=TRUE,_xlfn.NORM.S.DIST(Table1[[#This Row],[Birthweight Z-Score (BW+10%)]],TRUE)*100,"")</f>
        <v/>
      </c>
    </row>
    <row r="9034" spans="1:12" x14ac:dyDescent="0.35">
      <c r="A9034" s="3"/>
      <c r="B9034" s="2"/>
      <c r="C9034" s="2"/>
      <c r="D9034" s="2" t="b">
        <f>IF(AND(NOT(ISBLANK(Table1[[#This Row],[Fetal Sex (Male, Female or Unknown)]])),ISNUMBER(Table1[[#This Row],[Birthweight (grams)]]),ISNUMBER(Table1[[#This Row],[Gestation (days)]])),TRUE,FALSE)</f>
        <v>0</v>
      </c>
      <c r="E9034" s="2" t="str">
        <f>IF(Table1[[#This Row],[Is Data Valid]]=TRUE,IF(Table1[[#This Row],[Fetal Sex (Male, Female or Unknown)]]="Male",Backend!$C$6,IF(Table1[[#This Row],[Fetal Sex (Male, Female or Unknown)]]="Female",Backend!$C$7,IF(Table1[[#This Row],[Fetal Sex (Male, Female or Unknown)]]="Unknown",Backend!$C$8,"Error"))),"")</f>
        <v/>
      </c>
      <c r="F9034" s="8" t="str">
        <f>IF(Table1[[#This Row],[Is Data Valid]]=TRUE,EXP(0.578+0.332*((Table1[[#This Row],[Gestation (days)]]+0.5)/7)-0.00354*((Table1[[#This Row],[Gestation (days)]]+0.5)/7)^2)*Table1[[#This Row],[BW40_3705]],"")</f>
        <v/>
      </c>
      <c r="G9034" s="2" t="str">
        <f>IF(Table1[[#This Row],[Is Data Valid]]=TRUE,((Table1[[#This Row],[Birthweight (grams)]]/Table1[[#This Row],[BW_GA]])-1)/(Backend!$B$4/100*Table1[[#This Row],[BW40_3705]]),"")</f>
        <v/>
      </c>
      <c r="H9034" s="7" t="str">
        <f>IF(Table1[[#This Row],[Is Data Valid]]=TRUE,((Table1[[#This Row],[Birthweight (grams)]]*0.9/Table1[[#This Row],[BW_GA]])-1)/(Backend!$B$4/100*Table1[[#This Row],[BW40_3705]]),"")</f>
        <v/>
      </c>
      <c r="I9034" s="7" t="str">
        <f>IF(Table1[[#This Row],[Is Data Valid]]=TRUE,((Table1[[#This Row],[Birthweight (grams)]]*1.1/Table1[[#This Row],[BW_GA]])-1)/(Backend!$B$4/100*Table1[[#This Row],[BW40_3705]]),"")</f>
        <v/>
      </c>
      <c r="J9034" s="7" t="str">
        <f>IF(Table1[[#This Row],[Is Data Valid]]=TRUE,_xlfn.NORM.S.DIST(Table1[[#This Row],[Birthweight Z-Score]],TRUE)*100,"")</f>
        <v/>
      </c>
      <c r="K9034" s="7" t="str">
        <f>IF(Table1[[#This Row],[Is Data Valid]]=TRUE,_xlfn.NORM.S.DIST(Table1[[#This Row],[Birthweight Z-Score (BW-10%)]],TRUE)*100,"")</f>
        <v/>
      </c>
      <c r="L9034" s="7" t="str">
        <f>IF(Table1[[#This Row],[Is Data Valid]]=TRUE,_xlfn.NORM.S.DIST(Table1[[#This Row],[Birthweight Z-Score (BW+10%)]],TRUE)*100,"")</f>
        <v/>
      </c>
    </row>
    <row r="9035" spans="1:12" x14ac:dyDescent="0.35">
      <c r="A9035" s="3"/>
      <c r="B9035" s="2"/>
      <c r="C9035" s="2"/>
      <c r="D9035" s="2" t="b">
        <f>IF(AND(NOT(ISBLANK(Table1[[#This Row],[Fetal Sex (Male, Female or Unknown)]])),ISNUMBER(Table1[[#This Row],[Birthweight (grams)]]),ISNUMBER(Table1[[#This Row],[Gestation (days)]])),TRUE,FALSE)</f>
        <v>0</v>
      </c>
      <c r="E9035" s="2" t="str">
        <f>IF(Table1[[#This Row],[Is Data Valid]]=TRUE,IF(Table1[[#This Row],[Fetal Sex (Male, Female or Unknown)]]="Male",Backend!$C$6,IF(Table1[[#This Row],[Fetal Sex (Male, Female or Unknown)]]="Female",Backend!$C$7,IF(Table1[[#This Row],[Fetal Sex (Male, Female or Unknown)]]="Unknown",Backend!$C$8,"Error"))),"")</f>
        <v/>
      </c>
      <c r="F9035" s="8" t="str">
        <f>IF(Table1[[#This Row],[Is Data Valid]]=TRUE,EXP(0.578+0.332*((Table1[[#This Row],[Gestation (days)]]+0.5)/7)-0.00354*((Table1[[#This Row],[Gestation (days)]]+0.5)/7)^2)*Table1[[#This Row],[BW40_3705]],"")</f>
        <v/>
      </c>
      <c r="G9035" s="2" t="str">
        <f>IF(Table1[[#This Row],[Is Data Valid]]=TRUE,((Table1[[#This Row],[Birthweight (grams)]]/Table1[[#This Row],[BW_GA]])-1)/(Backend!$B$4/100*Table1[[#This Row],[BW40_3705]]),"")</f>
        <v/>
      </c>
      <c r="H9035" s="7" t="str">
        <f>IF(Table1[[#This Row],[Is Data Valid]]=TRUE,((Table1[[#This Row],[Birthweight (grams)]]*0.9/Table1[[#This Row],[BW_GA]])-1)/(Backend!$B$4/100*Table1[[#This Row],[BW40_3705]]),"")</f>
        <v/>
      </c>
      <c r="I9035" s="7" t="str">
        <f>IF(Table1[[#This Row],[Is Data Valid]]=TRUE,((Table1[[#This Row],[Birthweight (grams)]]*1.1/Table1[[#This Row],[BW_GA]])-1)/(Backend!$B$4/100*Table1[[#This Row],[BW40_3705]]),"")</f>
        <v/>
      </c>
      <c r="J9035" s="7" t="str">
        <f>IF(Table1[[#This Row],[Is Data Valid]]=TRUE,_xlfn.NORM.S.DIST(Table1[[#This Row],[Birthweight Z-Score]],TRUE)*100,"")</f>
        <v/>
      </c>
      <c r="K9035" s="7" t="str">
        <f>IF(Table1[[#This Row],[Is Data Valid]]=TRUE,_xlfn.NORM.S.DIST(Table1[[#This Row],[Birthweight Z-Score (BW-10%)]],TRUE)*100,"")</f>
        <v/>
      </c>
      <c r="L9035" s="7" t="str">
        <f>IF(Table1[[#This Row],[Is Data Valid]]=TRUE,_xlfn.NORM.S.DIST(Table1[[#This Row],[Birthweight Z-Score (BW+10%)]],TRUE)*100,"")</f>
        <v/>
      </c>
    </row>
    <row r="9036" spans="1:12" x14ac:dyDescent="0.35">
      <c r="A9036" s="3"/>
      <c r="B9036" s="2"/>
      <c r="C9036" s="2"/>
      <c r="D9036" s="2" t="b">
        <f>IF(AND(NOT(ISBLANK(Table1[[#This Row],[Fetal Sex (Male, Female or Unknown)]])),ISNUMBER(Table1[[#This Row],[Birthweight (grams)]]),ISNUMBER(Table1[[#This Row],[Gestation (days)]])),TRUE,FALSE)</f>
        <v>0</v>
      </c>
      <c r="E9036" s="2" t="str">
        <f>IF(Table1[[#This Row],[Is Data Valid]]=TRUE,IF(Table1[[#This Row],[Fetal Sex (Male, Female or Unknown)]]="Male",Backend!$C$6,IF(Table1[[#This Row],[Fetal Sex (Male, Female or Unknown)]]="Female",Backend!$C$7,IF(Table1[[#This Row],[Fetal Sex (Male, Female or Unknown)]]="Unknown",Backend!$C$8,"Error"))),"")</f>
        <v/>
      </c>
      <c r="F9036" s="8" t="str">
        <f>IF(Table1[[#This Row],[Is Data Valid]]=TRUE,EXP(0.578+0.332*((Table1[[#This Row],[Gestation (days)]]+0.5)/7)-0.00354*((Table1[[#This Row],[Gestation (days)]]+0.5)/7)^2)*Table1[[#This Row],[BW40_3705]],"")</f>
        <v/>
      </c>
      <c r="G9036" s="2" t="str">
        <f>IF(Table1[[#This Row],[Is Data Valid]]=TRUE,((Table1[[#This Row],[Birthweight (grams)]]/Table1[[#This Row],[BW_GA]])-1)/(Backend!$B$4/100*Table1[[#This Row],[BW40_3705]]),"")</f>
        <v/>
      </c>
      <c r="H9036" s="7" t="str">
        <f>IF(Table1[[#This Row],[Is Data Valid]]=TRUE,((Table1[[#This Row],[Birthweight (grams)]]*0.9/Table1[[#This Row],[BW_GA]])-1)/(Backend!$B$4/100*Table1[[#This Row],[BW40_3705]]),"")</f>
        <v/>
      </c>
      <c r="I9036" s="7" t="str">
        <f>IF(Table1[[#This Row],[Is Data Valid]]=TRUE,((Table1[[#This Row],[Birthweight (grams)]]*1.1/Table1[[#This Row],[BW_GA]])-1)/(Backend!$B$4/100*Table1[[#This Row],[BW40_3705]]),"")</f>
        <v/>
      </c>
      <c r="J9036" s="7" t="str">
        <f>IF(Table1[[#This Row],[Is Data Valid]]=TRUE,_xlfn.NORM.S.DIST(Table1[[#This Row],[Birthweight Z-Score]],TRUE)*100,"")</f>
        <v/>
      </c>
      <c r="K9036" s="7" t="str">
        <f>IF(Table1[[#This Row],[Is Data Valid]]=TRUE,_xlfn.NORM.S.DIST(Table1[[#This Row],[Birthweight Z-Score (BW-10%)]],TRUE)*100,"")</f>
        <v/>
      </c>
      <c r="L9036" s="7" t="str">
        <f>IF(Table1[[#This Row],[Is Data Valid]]=TRUE,_xlfn.NORM.S.DIST(Table1[[#This Row],[Birthweight Z-Score (BW+10%)]],TRUE)*100,"")</f>
        <v/>
      </c>
    </row>
    <row r="9037" spans="1:12" x14ac:dyDescent="0.35">
      <c r="A9037" s="3"/>
      <c r="B9037" s="2"/>
      <c r="C9037" s="2"/>
      <c r="D9037" s="2" t="b">
        <f>IF(AND(NOT(ISBLANK(Table1[[#This Row],[Fetal Sex (Male, Female or Unknown)]])),ISNUMBER(Table1[[#This Row],[Birthweight (grams)]]),ISNUMBER(Table1[[#This Row],[Gestation (days)]])),TRUE,FALSE)</f>
        <v>0</v>
      </c>
      <c r="E9037" s="2" t="str">
        <f>IF(Table1[[#This Row],[Is Data Valid]]=TRUE,IF(Table1[[#This Row],[Fetal Sex (Male, Female or Unknown)]]="Male",Backend!$C$6,IF(Table1[[#This Row],[Fetal Sex (Male, Female or Unknown)]]="Female",Backend!$C$7,IF(Table1[[#This Row],[Fetal Sex (Male, Female or Unknown)]]="Unknown",Backend!$C$8,"Error"))),"")</f>
        <v/>
      </c>
      <c r="F9037" s="8" t="str">
        <f>IF(Table1[[#This Row],[Is Data Valid]]=TRUE,EXP(0.578+0.332*((Table1[[#This Row],[Gestation (days)]]+0.5)/7)-0.00354*((Table1[[#This Row],[Gestation (days)]]+0.5)/7)^2)*Table1[[#This Row],[BW40_3705]],"")</f>
        <v/>
      </c>
      <c r="G9037" s="2" t="str">
        <f>IF(Table1[[#This Row],[Is Data Valid]]=TRUE,((Table1[[#This Row],[Birthweight (grams)]]/Table1[[#This Row],[BW_GA]])-1)/(Backend!$B$4/100*Table1[[#This Row],[BW40_3705]]),"")</f>
        <v/>
      </c>
      <c r="H9037" s="7" t="str">
        <f>IF(Table1[[#This Row],[Is Data Valid]]=TRUE,((Table1[[#This Row],[Birthweight (grams)]]*0.9/Table1[[#This Row],[BW_GA]])-1)/(Backend!$B$4/100*Table1[[#This Row],[BW40_3705]]),"")</f>
        <v/>
      </c>
      <c r="I9037" s="7" t="str">
        <f>IF(Table1[[#This Row],[Is Data Valid]]=TRUE,((Table1[[#This Row],[Birthweight (grams)]]*1.1/Table1[[#This Row],[BW_GA]])-1)/(Backend!$B$4/100*Table1[[#This Row],[BW40_3705]]),"")</f>
        <v/>
      </c>
      <c r="J9037" s="7" t="str">
        <f>IF(Table1[[#This Row],[Is Data Valid]]=TRUE,_xlfn.NORM.S.DIST(Table1[[#This Row],[Birthweight Z-Score]],TRUE)*100,"")</f>
        <v/>
      </c>
      <c r="K9037" s="7" t="str">
        <f>IF(Table1[[#This Row],[Is Data Valid]]=TRUE,_xlfn.NORM.S.DIST(Table1[[#This Row],[Birthweight Z-Score (BW-10%)]],TRUE)*100,"")</f>
        <v/>
      </c>
      <c r="L9037" s="7" t="str">
        <f>IF(Table1[[#This Row],[Is Data Valid]]=TRUE,_xlfn.NORM.S.DIST(Table1[[#This Row],[Birthweight Z-Score (BW+10%)]],TRUE)*100,"")</f>
        <v/>
      </c>
    </row>
    <row r="9038" spans="1:12" x14ac:dyDescent="0.35">
      <c r="A9038" s="3"/>
      <c r="B9038" s="2"/>
      <c r="C9038" s="2"/>
      <c r="D9038" s="2" t="b">
        <f>IF(AND(NOT(ISBLANK(Table1[[#This Row],[Fetal Sex (Male, Female or Unknown)]])),ISNUMBER(Table1[[#This Row],[Birthweight (grams)]]),ISNUMBER(Table1[[#This Row],[Gestation (days)]])),TRUE,FALSE)</f>
        <v>0</v>
      </c>
      <c r="E9038" s="2" t="str">
        <f>IF(Table1[[#This Row],[Is Data Valid]]=TRUE,IF(Table1[[#This Row],[Fetal Sex (Male, Female or Unknown)]]="Male",Backend!$C$6,IF(Table1[[#This Row],[Fetal Sex (Male, Female or Unknown)]]="Female",Backend!$C$7,IF(Table1[[#This Row],[Fetal Sex (Male, Female or Unknown)]]="Unknown",Backend!$C$8,"Error"))),"")</f>
        <v/>
      </c>
      <c r="F9038" s="8" t="str">
        <f>IF(Table1[[#This Row],[Is Data Valid]]=TRUE,EXP(0.578+0.332*((Table1[[#This Row],[Gestation (days)]]+0.5)/7)-0.00354*((Table1[[#This Row],[Gestation (days)]]+0.5)/7)^2)*Table1[[#This Row],[BW40_3705]],"")</f>
        <v/>
      </c>
      <c r="G9038" s="2" t="str">
        <f>IF(Table1[[#This Row],[Is Data Valid]]=TRUE,((Table1[[#This Row],[Birthweight (grams)]]/Table1[[#This Row],[BW_GA]])-1)/(Backend!$B$4/100*Table1[[#This Row],[BW40_3705]]),"")</f>
        <v/>
      </c>
      <c r="H9038" s="7" t="str">
        <f>IF(Table1[[#This Row],[Is Data Valid]]=TRUE,((Table1[[#This Row],[Birthweight (grams)]]*0.9/Table1[[#This Row],[BW_GA]])-1)/(Backend!$B$4/100*Table1[[#This Row],[BW40_3705]]),"")</f>
        <v/>
      </c>
      <c r="I9038" s="7" t="str">
        <f>IF(Table1[[#This Row],[Is Data Valid]]=TRUE,((Table1[[#This Row],[Birthweight (grams)]]*1.1/Table1[[#This Row],[BW_GA]])-1)/(Backend!$B$4/100*Table1[[#This Row],[BW40_3705]]),"")</f>
        <v/>
      </c>
      <c r="J9038" s="7" t="str">
        <f>IF(Table1[[#This Row],[Is Data Valid]]=TRUE,_xlfn.NORM.S.DIST(Table1[[#This Row],[Birthweight Z-Score]],TRUE)*100,"")</f>
        <v/>
      </c>
      <c r="K9038" s="7" t="str">
        <f>IF(Table1[[#This Row],[Is Data Valid]]=TRUE,_xlfn.NORM.S.DIST(Table1[[#This Row],[Birthweight Z-Score (BW-10%)]],TRUE)*100,"")</f>
        <v/>
      </c>
      <c r="L9038" s="7" t="str">
        <f>IF(Table1[[#This Row],[Is Data Valid]]=TRUE,_xlfn.NORM.S.DIST(Table1[[#This Row],[Birthweight Z-Score (BW+10%)]],TRUE)*100,"")</f>
        <v/>
      </c>
    </row>
    <row r="9039" spans="1:12" x14ac:dyDescent="0.35">
      <c r="A9039" s="3"/>
      <c r="B9039" s="2"/>
      <c r="C9039" s="2"/>
      <c r="D9039" s="2" t="b">
        <f>IF(AND(NOT(ISBLANK(Table1[[#This Row],[Fetal Sex (Male, Female or Unknown)]])),ISNUMBER(Table1[[#This Row],[Birthweight (grams)]]),ISNUMBER(Table1[[#This Row],[Gestation (days)]])),TRUE,FALSE)</f>
        <v>0</v>
      </c>
      <c r="E9039" s="2" t="str">
        <f>IF(Table1[[#This Row],[Is Data Valid]]=TRUE,IF(Table1[[#This Row],[Fetal Sex (Male, Female or Unknown)]]="Male",Backend!$C$6,IF(Table1[[#This Row],[Fetal Sex (Male, Female or Unknown)]]="Female",Backend!$C$7,IF(Table1[[#This Row],[Fetal Sex (Male, Female or Unknown)]]="Unknown",Backend!$C$8,"Error"))),"")</f>
        <v/>
      </c>
      <c r="F9039" s="8" t="str">
        <f>IF(Table1[[#This Row],[Is Data Valid]]=TRUE,EXP(0.578+0.332*((Table1[[#This Row],[Gestation (days)]]+0.5)/7)-0.00354*((Table1[[#This Row],[Gestation (days)]]+0.5)/7)^2)*Table1[[#This Row],[BW40_3705]],"")</f>
        <v/>
      </c>
      <c r="G9039" s="2" t="str">
        <f>IF(Table1[[#This Row],[Is Data Valid]]=TRUE,((Table1[[#This Row],[Birthweight (grams)]]/Table1[[#This Row],[BW_GA]])-1)/(Backend!$B$4/100*Table1[[#This Row],[BW40_3705]]),"")</f>
        <v/>
      </c>
      <c r="H9039" s="7" t="str">
        <f>IF(Table1[[#This Row],[Is Data Valid]]=TRUE,((Table1[[#This Row],[Birthweight (grams)]]*0.9/Table1[[#This Row],[BW_GA]])-1)/(Backend!$B$4/100*Table1[[#This Row],[BW40_3705]]),"")</f>
        <v/>
      </c>
      <c r="I9039" s="7" t="str">
        <f>IF(Table1[[#This Row],[Is Data Valid]]=TRUE,((Table1[[#This Row],[Birthweight (grams)]]*1.1/Table1[[#This Row],[BW_GA]])-1)/(Backend!$B$4/100*Table1[[#This Row],[BW40_3705]]),"")</f>
        <v/>
      </c>
      <c r="J9039" s="7" t="str">
        <f>IF(Table1[[#This Row],[Is Data Valid]]=TRUE,_xlfn.NORM.S.DIST(Table1[[#This Row],[Birthweight Z-Score]],TRUE)*100,"")</f>
        <v/>
      </c>
      <c r="K9039" s="7" t="str">
        <f>IF(Table1[[#This Row],[Is Data Valid]]=TRUE,_xlfn.NORM.S.DIST(Table1[[#This Row],[Birthweight Z-Score (BW-10%)]],TRUE)*100,"")</f>
        <v/>
      </c>
      <c r="L9039" s="7" t="str">
        <f>IF(Table1[[#This Row],[Is Data Valid]]=TRUE,_xlfn.NORM.S.DIST(Table1[[#This Row],[Birthweight Z-Score (BW+10%)]],TRUE)*100,"")</f>
        <v/>
      </c>
    </row>
    <row r="9040" spans="1:12" x14ac:dyDescent="0.35">
      <c r="A9040" s="3"/>
      <c r="B9040" s="2"/>
      <c r="C9040" s="2"/>
      <c r="D9040" s="2" t="b">
        <f>IF(AND(NOT(ISBLANK(Table1[[#This Row],[Fetal Sex (Male, Female or Unknown)]])),ISNUMBER(Table1[[#This Row],[Birthweight (grams)]]),ISNUMBER(Table1[[#This Row],[Gestation (days)]])),TRUE,FALSE)</f>
        <v>0</v>
      </c>
      <c r="E9040" s="2" t="str">
        <f>IF(Table1[[#This Row],[Is Data Valid]]=TRUE,IF(Table1[[#This Row],[Fetal Sex (Male, Female or Unknown)]]="Male",Backend!$C$6,IF(Table1[[#This Row],[Fetal Sex (Male, Female or Unknown)]]="Female",Backend!$C$7,IF(Table1[[#This Row],[Fetal Sex (Male, Female or Unknown)]]="Unknown",Backend!$C$8,"Error"))),"")</f>
        <v/>
      </c>
      <c r="F9040" s="8" t="str">
        <f>IF(Table1[[#This Row],[Is Data Valid]]=TRUE,EXP(0.578+0.332*((Table1[[#This Row],[Gestation (days)]]+0.5)/7)-0.00354*((Table1[[#This Row],[Gestation (days)]]+0.5)/7)^2)*Table1[[#This Row],[BW40_3705]],"")</f>
        <v/>
      </c>
      <c r="G9040" s="2" t="str">
        <f>IF(Table1[[#This Row],[Is Data Valid]]=TRUE,((Table1[[#This Row],[Birthweight (grams)]]/Table1[[#This Row],[BW_GA]])-1)/(Backend!$B$4/100*Table1[[#This Row],[BW40_3705]]),"")</f>
        <v/>
      </c>
      <c r="H9040" s="7" t="str">
        <f>IF(Table1[[#This Row],[Is Data Valid]]=TRUE,((Table1[[#This Row],[Birthweight (grams)]]*0.9/Table1[[#This Row],[BW_GA]])-1)/(Backend!$B$4/100*Table1[[#This Row],[BW40_3705]]),"")</f>
        <v/>
      </c>
      <c r="I9040" s="7" t="str">
        <f>IF(Table1[[#This Row],[Is Data Valid]]=TRUE,((Table1[[#This Row],[Birthweight (grams)]]*1.1/Table1[[#This Row],[BW_GA]])-1)/(Backend!$B$4/100*Table1[[#This Row],[BW40_3705]]),"")</f>
        <v/>
      </c>
      <c r="J9040" s="7" t="str">
        <f>IF(Table1[[#This Row],[Is Data Valid]]=TRUE,_xlfn.NORM.S.DIST(Table1[[#This Row],[Birthweight Z-Score]],TRUE)*100,"")</f>
        <v/>
      </c>
      <c r="K9040" s="7" t="str">
        <f>IF(Table1[[#This Row],[Is Data Valid]]=TRUE,_xlfn.NORM.S.DIST(Table1[[#This Row],[Birthweight Z-Score (BW-10%)]],TRUE)*100,"")</f>
        <v/>
      </c>
      <c r="L9040" s="7" t="str">
        <f>IF(Table1[[#This Row],[Is Data Valid]]=TRUE,_xlfn.NORM.S.DIST(Table1[[#This Row],[Birthweight Z-Score (BW+10%)]],TRUE)*100,"")</f>
        <v/>
      </c>
    </row>
    <row r="9041" spans="1:12" x14ac:dyDescent="0.35">
      <c r="A9041" s="3"/>
      <c r="B9041" s="2"/>
      <c r="C9041" s="2"/>
      <c r="D9041" s="2" t="b">
        <f>IF(AND(NOT(ISBLANK(Table1[[#This Row],[Fetal Sex (Male, Female or Unknown)]])),ISNUMBER(Table1[[#This Row],[Birthweight (grams)]]),ISNUMBER(Table1[[#This Row],[Gestation (days)]])),TRUE,FALSE)</f>
        <v>0</v>
      </c>
      <c r="E9041" s="2" t="str">
        <f>IF(Table1[[#This Row],[Is Data Valid]]=TRUE,IF(Table1[[#This Row],[Fetal Sex (Male, Female or Unknown)]]="Male",Backend!$C$6,IF(Table1[[#This Row],[Fetal Sex (Male, Female or Unknown)]]="Female",Backend!$C$7,IF(Table1[[#This Row],[Fetal Sex (Male, Female or Unknown)]]="Unknown",Backend!$C$8,"Error"))),"")</f>
        <v/>
      </c>
      <c r="F9041" s="8" t="str">
        <f>IF(Table1[[#This Row],[Is Data Valid]]=TRUE,EXP(0.578+0.332*((Table1[[#This Row],[Gestation (days)]]+0.5)/7)-0.00354*((Table1[[#This Row],[Gestation (days)]]+0.5)/7)^2)*Table1[[#This Row],[BW40_3705]],"")</f>
        <v/>
      </c>
      <c r="G9041" s="2" t="str">
        <f>IF(Table1[[#This Row],[Is Data Valid]]=TRUE,((Table1[[#This Row],[Birthweight (grams)]]/Table1[[#This Row],[BW_GA]])-1)/(Backend!$B$4/100*Table1[[#This Row],[BW40_3705]]),"")</f>
        <v/>
      </c>
      <c r="H9041" s="7" t="str">
        <f>IF(Table1[[#This Row],[Is Data Valid]]=TRUE,((Table1[[#This Row],[Birthweight (grams)]]*0.9/Table1[[#This Row],[BW_GA]])-1)/(Backend!$B$4/100*Table1[[#This Row],[BW40_3705]]),"")</f>
        <v/>
      </c>
      <c r="I9041" s="7" t="str">
        <f>IF(Table1[[#This Row],[Is Data Valid]]=TRUE,((Table1[[#This Row],[Birthweight (grams)]]*1.1/Table1[[#This Row],[BW_GA]])-1)/(Backend!$B$4/100*Table1[[#This Row],[BW40_3705]]),"")</f>
        <v/>
      </c>
      <c r="J9041" s="7" t="str">
        <f>IF(Table1[[#This Row],[Is Data Valid]]=TRUE,_xlfn.NORM.S.DIST(Table1[[#This Row],[Birthweight Z-Score]],TRUE)*100,"")</f>
        <v/>
      </c>
      <c r="K9041" s="7" t="str">
        <f>IF(Table1[[#This Row],[Is Data Valid]]=TRUE,_xlfn.NORM.S.DIST(Table1[[#This Row],[Birthweight Z-Score (BW-10%)]],TRUE)*100,"")</f>
        <v/>
      </c>
      <c r="L9041" s="7" t="str">
        <f>IF(Table1[[#This Row],[Is Data Valid]]=TRUE,_xlfn.NORM.S.DIST(Table1[[#This Row],[Birthweight Z-Score (BW+10%)]],TRUE)*100,"")</f>
        <v/>
      </c>
    </row>
    <row r="9042" spans="1:12" x14ac:dyDescent="0.35">
      <c r="A9042" s="3"/>
      <c r="B9042" s="2"/>
      <c r="C9042" s="2"/>
      <c r="D9042" s="2" t="b">
        <f>IF(AND(NOT(ISBLANK(Table1[[#This Row],[Fetal Sex (Male, Female or Unknown)]])),ISNUMBER(Table1[[#This Row],[Birthweight (grams)]]),ISNUMBER(Table1[[#This Row],[Gestation (days)]])),TRUE,FALSE)</f>
        <v>0</v>
      </c>
      <c r="E9042" s="2" t="str">
        <f>IF(Table1[[#This Row],[Is Data Valid]]=TRUE,IF(Table1[[#This Row],[Fetal Sex (Male, Female or Unknown)]]="Male",Backend!$C$6,IF(Table1[[#This Row],[Fetal Sex (Male, Female or Unknown)]]="Female",Backend!$C$7,IF(Table1[[#This Row],[Fetal Sex (Male, Female or Unknown)]]="Unknown",Backend!$C$8,"Error"))),"")</f>
        <v/>
      </c>
      <c r="F9042" s="8" t="str">
        <f>IF(Table1[[#This Row],[Is Data Valid]]=TRUE,EXP(0.578+0.332*((Table1[[#This Row],[Gestation (days)]]+0.5)/7)-0.00354*((Table1[[#This Row],[Gestation (days)]]+0.5)/7)^2)*Table1[[#This Row],[BW40_3705]],"")</f>
        <v/>
      </c>
      <c r="G9042" s="2" t="str">
        <f>IF(Table1[[#This Row],[Is Data Valid]]=TRUE,((Table1[[#This Row],[Birthweight (grams)]]/Table1[[#This Row],[BW_GA]])-1)/(Backend!$B$4/100*Table1[[#This Row],[BW40_3705]]),"")</f>
        <v/>
      </c>
      <c r="H9042" s="7" t="str">
        <f>IF(Table1[[#This Row],[Is Data Valid]]=TRUE,((Table1[[#This Row],[Birthweight (grams)]]*0.9/Table1[[#This Row],[BW_GA]])-1)/(Backend!$B$4/100*Table1[[#This Row],[BW40_3705]]),"")</f>
        <v/>
      </c>
      <c r="I9042" s="7" t="str">
        <f>IF(Table1[[#This Row],[Is Data Valid]]=TRUE,((Table1[[#This Row],[Birthweight (grams)]]*1.1/Table1[[#This Row],[BW_GA]])-1)/(Backend!$B$4/100*Table1[[#This Row],[BW40_3705]]),"")</f>
        <v/>
      </c>
      <c r="J9042" s="7" t="str">
        <f>IF(Table1[[#This Row],[Is Data Valid]]=TRUE,_xlfn.NORM.S.DIST(Table1[[#This Row],[Birthweight Z-Score]],TRUE)*100,"")</f>
        <v/>
      </c>
      <c r="K9042" s="7" t="str">
        <f>IF(Table1[[#This Row],[Is Data Valid]]=TRUE,_xlfn.NORM.S.DIST(Table1[[#This Row],[Birthweight Z-Score (BW-10%)]],TRUE)*100,"")</f>
        <v/>
      </c>
      <c r="L9042" s="7" t="str">
        <f>IF(Table1[[#This Row],[Is Data Valid]]=TRUE,_xlfn.NORM.S.DIST(Table1[[#This Row],[Birthweight Z-Score (BW+10%)]],TRUE)*100,"")</f>
        <v/>
      </c>
    </row>
    <row r="9043" spans="1:12" x14ac:dyDescent="0.35">
      <c r="A9043" s="3"/>
      <c r="B9043" s="2"/>
      <c r="C9043" s="2"/>
      <c r="D9043" s="2" t="b">
        <f>IF(AND(NOT(ISBLANK(Table1[[#This Row],[Fetal Sex (Male, Female or Unknown)]])),ISNUMBER(Table1[[#This Row],[Birthweight (grams)]]),ISNUMBER(Table1[[#This Row],[Gestation (days)]])),TRUE,FALSE)</f>
        <v>0</v>
      </c>
      <c r="E9043" s="2" t="str">
        <f>IF(Table1[[#This Row],[Is Data Valid]]=TRUE,IF(Table1[[#This Row],[Fetal Sex (Male, Female or Unknown)]]="Male",Backend!$C$6,IF(Table1[[#This Row],[Fetal Sex (Male, Female or Unknown)]]="Female",Backend!$C$7,IF(Table1[[#This Row],[Fetal Sex (Male, Female or Unknown)]]="Unknown",Backend!$C$8,"Error"))),"")</f>
        <v/>
      </c>
      <c r="F9043" s="8" t="str">
        <f>IF(Table1[[#This Row],[Is Data Valid]]=TRUE,EXP(0.578+0.332*((Table1[[#This Row],[Gestation (days)]]+0.5)/7)-0.00354*((Table1[[#This Row],[Gestation (days)]]+0.5)/7)^2)*Table1[[#This Row],[BW40_3705]],"")</f>
        <v/>
      </c>
      <c r="G9043" s="2" t="str">
        <f>IF(Table1[[#This Row],[Is Data Valid]]=TRUE,((Table1[[#This Row],[Birthweight (grams)]]/Table1[[#This Row],[BW_GA]])-1)/(Backend!$B$4/100*Table1[[#This Row],[BW40_3705]]),"")</f>
        <v/>
      </c>
      <c r="H9043" s="7" t="str">
        <f>IF(Table1[[#This Row],[Is Data Valid]]=TRUE,((Table1[[#This Row],[Birthweight (grams)]]*0.9/Table1[[#This Row],[BW_GA]])-1)/(Backend!$B$4/100*Table1[[#This Row],[BW40_3705]]),"")</f>
        <v/>
      </c>
      <c r="I9043" s="7" t="str">
        <f>IF(Table1[[#This Row],[Is Data Valid]]=TRUE,((Table1[[#This Row],[Birthweight (grams)]]*1.1/Table1[[#This Row],[BW_GA]])-1)/(Backend!$B$4/100*Table1[[#This Row],[BW40_3705]]),"")</f>
        <v/>
      </c>
      <c r="J9043" s="7" t="str">
        <f>IF(Table1[[#This Row],[Is Data Valid]]=TRUE,_xlfn.NORM.S.DIST(Table1[[#This Row],[Birthweight Z-Score]],TRUE)*100,"")</f>
        <v/>
      </c>
      <c r="K9043" s="7" t="str">
        <f>IF(Table1[[#This Row],[Is Data Valid]]=TRUE,_xlfn.NORM.S.DIST(Table1[[#This Row],[Birthweight Z-Score (BW-10%)]],TRUE)*100,"")</f>
        <v/>
      </c>
      <c r="L9043" s="7" t="str">
        <f>IF(Table1[[#This Row],[Is Data Valid]]=TRUE,_xlfn.NORM.S.DIST(Table1[[#This Row],[Birthweight Z-Score (BW+10%)]],TRUE)*100,"")</f>
        <v/>
      </c>
    </row>
    <row r="9044" spans="1:12" x14ac:dyDescent="0.35">
      <c r="A9044" s="3"/>
      <c r="B9044" s="2"/>
      <c r="C9044" s="2"/>
      <c r="D9044" s="2" t="b">
        <f>IF(AND(NOT(ISBLANK(Table1[[#This Row],[Fetal Sex (Male, Female or Unknown)]])),ISNUMBER(Table1[[#This Row],[Birthweight (grams)]]),ISNUMBER(Table1[[#This Row],[Gestation (days)]])),TRUE,FALSE)</f>
        <v>0</v>
      </c>
      <c r="E9044" s="2" t="str">
        <f>IF(Table1[[#This Row],[Is Data Valid]]=TRUE,IF(Table1[[#This Row],[Fetal Sex (Male, Female or Unknown)]]="Male",Backend!$C$6,IF(Table1[[#This Row],[Fetal Sex (Male, Female or Unknown)]]="Female",Backend!$C$7,IF(Table1[[#This Row],[Fetal Sex (Male, Female or Unknown)]]="Unknown",Backend!$C$8,"Error"))),"")</f>
        <v/>
      </c>
      <c r="F9044" s="8" t="str">
        <f>IF(Table1[[#This Row],[Is Data Valid]]=TRUE,EXP(0.578+0.332*((Table1[[#This Row],[Gestation (days)]]+0.5)/7)-0.00354*((Table1[[#This Row],[Gestation (days)]]+0.5)/7)^2)*Table1[[#This Row],[BW40_3705]],"")</f>
        <v/>
      </c>
      <c r="G9044" s="2" t="str">
        <f>IF(Table1[[#This Row],[Is Data Valid]]=TRUE,((Table1[[#This Row],[Birthweight (grams)]]/Table1[[#This Row],[BW_GA]])-1)/(Backend!$B$4/100*Table1[[#This Row],[BW40_3705]]),"")</f>
        <v/>
      </c>
      <c r="H9044" s="7" t="str">
        <f>IF(Table1[[#This Row],[Is Data Valid]]=TRUE,((Table1[[#This Row],[Birthweight (grams)]]*0.9/Table1[[#This Row],[BW_GA]])-1)/(Backend!$B$4/100*Table1[[#This Row],[BW40_3705]]),"")</f>
        <v/>
      </c>
      <c r="I9044" s="7" t="str">
        <f>IF(Table1[[#This Row],[Is Data Valid]]=TRUE,((Table1[[#This Row],[Birthweight (grams)]]*1.1/Table1[[#This Row],[BW_GA]])-1)/(Backend!$B$4/100*Table1[[#This Row],[BW40_3705]]),"")</f>
        <v/>
      </c>
      <c r="J9044" s="7" t="str">
        <f>IF(Table1[[#This Row],[Is Data Valid]]=TRUE,_xlfn.NORM.S.DIST(Table1[[#This Row],[Birthweight Z-Score]],TRUE)*100,"")</f>
        <v/>
      </c>
      <c r="K9044" s="7" t="str">
        <f>IF(Table1[[#This Row],[Is Data Valid]]=TRUE,_xlfn.NORM.S.DIST(Table1[[#This Row],[Birthweight Z-Score (BW-10%)]],TRUE)*100,"")</f>
        <v/>
      </c>
      <c r="L9044" s="7" t="str">
        <f>IF(Table1[[#This Row],[Is Data Valid]]=TRUE,_xlfn.NORM.S.DIST(Table1[[#This Row],[Birthweight Z-Score (BW+10%)]],TRUE)*100,"")</f>
        <v/>
      </c>
    </row>
    <row r="9045" spans="1:12" x14ac:dyDescent="0.35">
      <c r="A9045" s="3"/>
      <c r="B9045" s="2"/>
      <c r="C9045" s="2"/>
      <c r="D9045" s="2" t="b">
        <f>IF(AND(NOT(ISBLANK(Table1[[#This Row],[Fetal Sex (Male, Female or Unknown)]])),ISNUMBER(Table1[[#This Row],[Birthweight (grams)]]),ISNUMBER(Table1[[#This Row],[Gestation (days)]])),TRUE,FALSE)</f>
        <v>0</v>
      </c>
      <c r="E9045" s="2" t="str">
        <f>IF(Table1[[#This Row],[Is Data Valid]]=TRUE,IF(Table1[[#This Row],[Fetal Sex (Male, Female or Unknown)]]="Male",Backend!$C$6,IF(Table1[[#This Row],[Fetal Sex (Male, Female or Unknown)]]="Female",Backend!$C$7,IF(Table1[[#This Row],[Fetal Sex (Male, Female or Unknown)]]="Unknown",Backend!$C$8,"Error"))),"")</f>
        <v/>
      </c>
      <c r="F9045" s="8" t="str">
        <f>IF(Table1[[#This Row],[Is Data Valid]]=TRUE,EXP(0.578+0.332*((Table1[[#This Row],[Gestation (days)]]+0.5)/7)-0.00354*((Table1[[#This Row],[Gestation (days)]]+0.5)/7)^2)*Table1[[#This Row],[BW40_3705]],"")</f>
        <v/>
      </c>
      <c r="G9045" s="2" t="str">
        <f>IF(Table1[[#This Row],[Is Data Valid]]=TRUE,((Table1[[#This Row],[Birthweight (grams)]]/Table1[[#This Row],[BW_GA]])-1)/(Backend!$B$4/100*Table1[[#This Row],[BW40_3705]]),"")</f>
        <v/>
      </c>
      <c r="H9045" s="7" t="str">
        <f>IF(Table1[[#This Row],[Is Data Valid]]=TRUE,((Table1[[#This Row],[Birthweight (grams)]]*0.9/Table1[[#This Row],[BW_GA]])-1)/(Backend!$B$4/100*Table1[[#This Row],[BW40_3705]]),"")</f>
        <v/>
      </c>
      <c r="I9045" s="7" t="str">
        <f>IF(Table1[[#This Row],[Is Data Valid]]=TRUE,((Table1[[#This Row],[Birthweight (grams)]]*1.1/Table1[[#This Row],[BW_GA]])-1)/(Backend!$B$4/100*Table1[[#This Row],[BW40_3705]]),"")</f>
        <v/>
      </c>
      <c r="J9045" s="7" t="str">
        <f>IF(Table1[[#This Row],[Is Data Valid]]=TRUE,_xlfn.NORM.S.DIST(Table1[[#This Row],[Birthweight Z-Score]],TRUE)*100,"")</f>
        <v/>
      </c>
      <c r="K9045" s="7" t="str">
        <f>IF(Table1[[#This Row],[Is Data Valid]]=TRUE,_xlfn.NORM.S.DIST(Table1[[#This Row],[Birthweight Z-Score (BW-10%)]],TRUE)*100,"")</f>
        <v/>
      </c>
      <c r="L9045" s="7" t="str">
        <f>IF(Table1[[#This Row],[Is Data Valid]]=TRUE,_xlfn.NORM.S.DIST(Table1[[#This Row],[Birthweight Z-Score (BW+10%)]],TRUE)*100,"")</f>
        <v/>
      </c>
    </row>
    <row r="9046" spans="1:12" x14ac:dyDescent="0.35">
      <c r="A9046" s="3"/>
      <c r="B9046" s="2"/>
      <c r="C9046" s="2"/>
      <c r="D9046" s="2" t="b">
        <f>IF(AND(NOT(ISBLANK(Table1[[#This Row],[Fetal Sex (Male, Female or Unknown)]])),ISNUMBER(Table1[[#This Row],[Birthweight (grams)]]),ISNUMBER(Table1[[#This Row],[Gestation (days)]])),TRUE,FALSE)</f>
        <v>0</v>
      </c>
      <c r="E9046" s="2" t="str">
        <f>IF(Table1[[#This Row],[Is Data Valid]]=TRUE,IF(Table1[[#This Row],[Fetal Sex (Male, Female or Unknown)]]="Male",Backend!$C$6,IF(Table1[[#This Row],[Fetal Sex (Male, Female or Unknown)]]="Female",Backend!$C$7,IF(Table1[[#This Row],[Fetal Sex (Male, Female or Unknown)]]="Unknown",Backend!$C$8,"Error"))),"")</f>
        <v/>
      </c>
      <c r="F9046" s="8" t="str">
        <f>IF(Table1[[#This Row],[Is Data Valid]]=TRUE,EXP(0.578+0.332*((Table1[[#This Row],[Gestation (days)]]+0.5)/7)-0.00354*((Table1[[#This Row],[Gestation (days)]]+0.5)/7)^2)*Table1[[#This Row],[BW40_3705]],"")</f>
        <v/>
      </c>
      <c r="G9046" s="2" t="str">
        <f>IF(Table1[[#This Row],[Is Data Valid]]=TRUE,((Table1[[#This Row],[Birthweight (grams)]]/Table1[[#This Row],[BW_GA]])-1)/(Backend!$B$4/100*Table1[[#This Row],[BW40_3705]]),"")</f>
        <v/>
      </c>
      <c r="H9046" s="7" t="str">
        <f>IF(Table1[[#This Row],[Is Data Valid]]=TRUE,((Table1[[#This Row],[Birthweight (grams)]]*0.9/Table1[[#This Row],[BW_GA]])-1)/(Backend!$B$4/100*Table1[[#This Row],[BW40_3705]]),"")</f>
        <v/>
      </c>
      <c r="I9046" s="7" t="str">
        <f>IF(Table1[[#This Row],[Is Data Valid]]=TRUE,((Table1[[#This Row],[Birthweight (grams)]]*1.1/Table1[[#This Row],[BW_GA]])-1)/(Backend!$B$4/100*Table1[[#This Row],[BW40_3705]]),"")</f>
        <v/>
      </c>
      <c r="J9046" s="7" t="str">
        <f>IF(Table1[[#This Row],[Is Data Valid]]=TRUE,_xlfn.NORM.S.DIST(Table1[[#This Row],[Birthweight Z-Score]],TRUE)*100,"")</f>
        <v/>
      </c>
      <c r="K9046" s="7" t="str">
        <f>IF(Table1[[#This Row],[Is Data Valid]]=TRUE,_xlfn.NORM.S.DIST(Table1[[#This Row],[Birthweight Z-Score (BW-10%)]],TRUE)*100,"")</f>
        <v/>
      </c>
      <c r="L9046" s="7" t="str">
        <f>IF(Table1[[#This Row],[Is Data Valid]]=TRUE,_xlfn.NORM.S.DIST(Table1[[#This Row],[Birthweight Z-Score (BW+10%)]],TRUE)*100,"")</f>
        <v/>
      </c>
    </row>
    <row r="9047" spans="1:12" x14ac:dyDescent="0.35">
      <c r="A9047" s="3"/>
      <c r="B9047" s="2"/>
      <c r="C9047" s="2"/>
      <c r="D9047" s="2" t="b">
        <f>IF(AND(NOT(ISBLANK(Table1[[#This Row],[Fetal Sex (Male, Female or Unknown)]])),ISNUMBER(Table1[[#This Row],[Birthweight (grams)]]),ISNUMBER(Table1[[#This Row],[Gestation (days)]])),TRUE,FALSE)</f>
        <v>0</v>
      </c>
      <c r="E9047" s="2" t="str">
        <f>IF(Table1[[#This Row],[Is Data Valid]]=TRUE,IF(Table1[[#This Row],[Fetal Sex (Male, Female or Unknown)]]="Male",Backend!$C$6,IF(Table1[[#This Row],[Fetal Sex (Male, Female or Unknown)]]="Female",Backend!$C$7,IF(Table1[[#This Row],[Fetal Sex (Male, Female or Unknown)]]="Unknown",Backend!$C$8,"Error"))),"")</f>
        <v/>
      </c>
      <c r="F9047" s="8" t="str">
        <f>IF(Table1[[#This Row],[Is Data Valid]]=TRUE,EXP(0.578+0.332*((Table1[[#This Row],[Gestation (days)]]+0.5)/7)-0.00354*((Table1[[#This Row],[Gestation (days)]]+0.5)/7)^2)*Table1[[#This Row],[BW40_3705]],"")</f>
        <v/>
      </c>
      <c r="G9047" s="2" t="str">
        <f>IF(Table1[[#This Row],[Is Data Valid]]=TRUE,((Table1[[#This Row],[Birthweight (grams)]]/Table1[[#This Row],[BW_GA]])-1)/(Backend!$B$4/100*Table1[[#This Row],[BW40_3705]]),"")</f>
        <v/>
      </c>
      <c r="H9047" s="7" t="str">
        <f>IF(Table1[[#This Row],[Is Data Valid]]=TRUE,((Table1[[#This Row],[Birthweight (grams)]]*0.9/Table1[[#This Row],[BW_GA]])-1)/(Backend!$B$4/100*Table1[[#This Row],[BW40_3705]]),"")</f>
        <v/>
      </c>
      <c r="I9047" s="7" t="str">
        <f>IF(Table1[[#This Row],[Is Data Valid]]=TRUE,((Table1[[#This Row],[Birthweight (grams)]]*1.1/Table1[[#This Row],[BW_GA]])-1)/(Backend!$B$4/100*Table1[[#This Row],[BW40_3705]]),"")</f>
        <v/>
      </c>
      <c r="J9047" s="7" t="str">
        <f>IF(Table1[[#This Row],[Is Data Valid]]=TRUE,_xlfn.NORM.S.DIST(Table1[[#This Row],[Birthweight Z-Score]],TRUE)*100,"")</f>
        <v/>
      </c>
      <c r="K9047" s="7" t="str">
        <f>IF(Table1[[#This Row],[Is Data Valid]]=TRUE,_xlfn.NORM.S.DIST(Table1[[#This Row],[Birthweight Z-Score (BW-10%)]],TRUE)*100,"")</f>
        <v/>
      </c>
      <c r="L9047" s="7" t="str">
        <f>IF(Table1[[#This Row],[Is Data Valid]]=TRUE,_xlfn.NORM.S.DIST(Table1[[#This Row],[Birthweight Z-Score (BW+10%)]],TRUE)*100,"")</f>
        <v/>
      </c>
    </row>
    <row r="9048" spans="1:12" x14ac:dyDescent="0.35">
      <c r="A9048" s="3"/>
      <c r="B9048" s="2"/>
      <c r="C9048" s="2"/>
      <c r="D9048" s="2" t="b">
        <f>IF(AND(NOT(ISBLANK(Table1[[#This Row],[Fetal Sex (Male, Female or Unknown)]])),ISNUMBER(Table1[[#This Row],[Birthweight (grams)]]),ISNUMBER(Table1[[#This Row],[Gestation (days)]])),TRUE,FALSE)</f>
        <v>0</v>
      </c>
      <c r="E9048" s="2" t="str">
        <f>IF(Table1[[#This Row],[Is Data Valid]]=TRUE,IF(Table1[[#This Row],[Fetal Sex (Male, Female or Unknown)]]="Male",Backend!$C$6,IF(Table1[[#This Row],[Fetal Sex (Male, Female or Unknown)]]="Female",Backend!$C$7,IF(Table1[[#This Row],[Fetal Sex (Male, Female or Unknown)]]="Unknown",Backend!$C$8,"Error"))),"")</f>
        <v/>
      </c>
      <c r="F9048" s="8" t="str">
        <f>IF(Table1[[#This Row],[Is Data Valid]]=TRUE,EXP(0.578+0.332*((Table1[[#This Row],[Gestation (days)]]+0.5)/7)-0.00354*((Table1[[#This Row],[Gestation (days)]]+0.5)/7)^2)*Table1[[#This Row],[BW40_3705]],"")</f>
        <v/>
      </c>
      <c r="G9048" s="2" t="str">
        <f>IF(Table1[[#This Row],[Is Data Valid]]=TRUE,((Table1[[#This Row],[Birthweight (grams)]]/Table1[[#This Row],[BW_GA]])-1)/(Backend!$B$4/100*Table1[[#This Row],[BW40_3705]]),"")</f>
        <v/>
      </c>
      <c r="H9048" s="7" t="str">
        <f>IF(Table1[[#This Row],[Is Data Valid]]=TRUE,((Table1[[#This Row],[Birthweight (grams)]]*0.9/Table1[[#This Row],[BW_GA]])-1)/(Backend!$B$4/100*Table1[[#This Row],[BW40_3705]]),"")</f>
        <v/>
      </c>
      <c r="I9048" s="7" t="str">
        <f>IF(Table1[[#This Row],[Is Data Valid]]=TRUE,((Table1[[#This Row],[Birthweight (grams)]]*1.1/Table1[[#This Row],[BW_GA]])-1)/(Backend!$B$4/100*Table1[[#This Row],[BW40_3705]]),"")</f>
        <v/>
      </c>
      <c r="J9048" s="7" t="str">
        <f>IF(Table1[[#This Row],[Is Data Valid]]=TRUE,_xlfn.NORM.S.DIST(Table1[[#This Row],[Birthweight Z-Score]],TRUE)*100,"")</f>
        <v/>
      </c>
      <c r="K9048" s="7" t="str">
        <f>IF(Table1[[#This Row],[Is Data Valid]]=TRUE,_xlfn.NORM.S.DIST(Table1[[#This Row],[Birthweight Z-Score (BW-10%)]],TRUE)*100,"")</f>
        <v/>
      </c>
      <c r="L9048" s="7" t="str">
        <f>IF(Table1[[#This Row],[Is Data Valid]]=TRUE,_xlfn.NORM.S.DIST(Table1[[#This Row],[Birthweight Z-Score (BW+10%)]],TRUE)*100,"")</f>
        <v/>
      </c>
    </row>
    <row r="9049" spans="1:12" x14ac:dyDescent="0.35">
      <c r="A9049" s="3"/>
      <c r="B9049" s="2"/>
      <c r="C9049" s="2"/>
      <c r="D9049" s="2" t="b">
        <f>IF(AND(NOT(ISBLANK(Table1[[#This Row],[Fetal Sex (Male, Female or Unknown)]])),ISNUMBER(Table1[[#This Row],[Birthweight (grams)]]),ISNUMBER(Table1[[#This Row],[Gestation (days)]])),TRUE,FALSE)</f>
        <v>0</v>
      </c>
      <c r="E9049" s="2" t="str">
        <f>IF(Table1[[#This Row],[Is Data Valid]]=TRUE,IF(Table1[[#This Row],[Fetal Sex (Male, Female or Unknown)]]="Male",Backend!$C$6,IF(Table1[[#This Row],[Fetal Sex (Male, Female or Unknown)]]="Female",Backend!$C$7,IF(Table1[[#This Row],[Fetal Sex (Male, Female or Unknown)]]="Unknown",Backend!$C$8,"Error"))),"")</f>
        <v/>
      </c>
      <c r="F9049" s="8" t="str">
        <f>IF(Table1[[#This Row],[Is Data Valid]]=TRUE,EXP(0.578+0.332*((Table1[[#This Row],[Gestation (days)]]+0.5)/7)-0.00354*((Table1[[#This Row],[Gestation (days)]]+0.5)/7)^2)*Table1[[#This Row],[BW40_3705]],"")</f>
        <v/>
      </c>
      <c r="G9049" s="2" t="str">
        <f>IF(Table1[[#This Row],[Is Data Valid]]=TRUE,((Table1[[#This Row],[Birthweight (grams)]]/Table1[[#This Row],[BW_GA]])-1)/(Backend!$B$4/100*Table1[[#This Row],[BW40_3705]]),"")</f>
        <v/>
      </c>
      <c r="H9049" s="7" t="str">
        <f>IF(Table1[[#This Row],[Is Data Valid]]=TRUE,((Table1[[#This Row],[Birthweight (grams)]]*0.9/Table1[[#This Row],[BW_GA]])-1)/(Backend!$B$4/100*Table1[[#This Row],[BW40_3705]]),"")</f>
        <v/>
      </c>
      <c r="I9049" s="7" t="str">
        <f>IF(Table1[[#This Row],[Is Data Valid]]=TRUE,((Table1[[#This Row],[Birthweight (grams)]]*1.1/Table1[[#This Row],[BW_GA]])-1)/(Backend!$B$4/100*Table1[[#This Row],[BW40_3705]]),"")</f>
        <v/>
      </c>
      <c r="J9049" s="7" t="str">
        <f>IF(Table1[[#This Row],[Is Data Valid]]=TRUE,_xlfn.NORM.S.DIST(Table1[[#This Row],[Birthweight Z-Score]],TRUE)*100,"")</f>
        <v/>
      </c>
      <c r="K9049" s="7" t="str">
        <f>IF(Table1[[#This Row],[Is Data Valid]]=TRUE,_xlfn.NORM.S.DIST(Table1[[#This Row],[Birthweight Z-Score (BW-10%)]],TRUE)*100,"")</f>
        <v/>
      </c>
      <c r="L9049" s="7" t="str">
        <f>IF(Table1[[#This Row],[Is Data Valid]]=TRUE,_xlfn.NORM.S.DIST(Table1[[#This Row],[Birthweight Z-Score (BW+10%)]],TRUE)*100,"")</f>
        <v/>
      </c>
    </row>
    <row r="9050" spans="1:12" x14ac:dyDescent="0.35">
      <c r="A9050" s="3"/>
      <c r="B9050" s="2"/>
      <c r="C9050" s="2"/>
      <c r="D9050" s="2" t="b">
        <f>IF(AND(NOT(ISBLANK(Table1[[#This Row],[Fetal Sex (Male, Female or Unknown)]])),ISNUMBER(Table1[[#This Row],[Birthweight (grams)]]),ISNUMBER(Table1[[#This Row],[Gestation (days)]])),TRUE,FALSE)</f>
        <v>0</v>
      </c>
      <c r="E9050" s="2" t="str">
        <f>IF(Table1[[#This Row],[Is Data Valid]]=TRUE,IF(Table1[[#This Row],[Fetal Sex (Male, Female or Unknown)]]="Male",Backend!$C$6,IF(Table1[[#This Row],[Fetal Sex (Male, Female or Unknown)]]="Female",Backend!$C$7,IF(Table1[[#This Row],[Fetal Sex (Male, Female or Unknown)]]="Unknown",Backend!$C$8,"Error"))),"")</f>
        <v/>
      </c>
      <c r="F9050" s="8" t="str">
        <f>IF(Table1[[#This Row],[Is Data Valid]]=TRUE,EXP(0.578+0.332*((Table1[[#This Row],[Gestation (days)]]+0.5)/7)-0.00354*((Table1[[#This Row],[Gestation (days)]]+0.5)/7)^2)*Table1[[#This Row],[BW40_3705]],"")</f>
        <v/>
      </c>
      <c r="G9050" s="2" t="str">
        <f>IF(Table1[[#This Row],[Is Data Valid]]=TRUE,((Table1[[#This Row],[Birthweight (grams)]]/Table1[[#This Row],[BW_GA]])-1)/(Backend!$B$4/100*Table1[[#This Row],[BW40_3705]]),"")</f>
        <v/>
      </c>
      <c r="H9050" s="7" t="str">
        <f>IF(Table1[[#This Row],[Is Data Valid]]=TRUE,((Table1[[#This Row],[Birthweight (grams)]]*0.9/Table1[[#This Row],[BW_GA]])-1)/(Backend!$B$4/100*Table1[[#This Row],[BW40_3705]]),"")</f>
        <v/>
      </c>
      <c r="I9050" s="7" t="str">
        <f>IF(Table1[[#This Row],[Is Data Valid]]=TRUE,((Table1[[#This Row],[Birthweight (grams)]]*1.1/Table1[[#This Row],[BW_GA]])-1)/(Backend!$B$4/100*Table1[[#This Row],[BW40_3705]]),"")</f>
        <v/>
      </c>
      <c r="J9050" s="7" t="str">
        <f>IF(Table1[[#This Row],[Is Data Valid]]=TRUE,_xlfn.NORM.S.DIST(Table1[[#This Row],[Birthweight Z-Score]],TRUE)*100,"")</f>
        <v/>
      </c>
      <c r="K9050" s="7" t="str">
        <f>IF(Table1[[#This Row],[Is Data Valid]]=TRUE,_xlfn.NORM.S.DIST(Table1[[#This Row],[Birthweight Z-Score (BW-10%)]],TRUE)*100,"")</f>
        <v/>
      </c>
      <c r="L9050" s="7" t="str">
        <f>IF(Table1[[#This Row],[Is Data Valid]]=TRUE,_xlfn.NORM.S.DIST(Table1[[#This Row],[Birthweight Z-Score (BW+10%)]],TRUE)*100,"")</f>
        <v/>
      </c>
    </row>
    <row r="9051" spans="1:12" x14ac:dyDescent="0.35">
      <c r="A9051" s="3"/>
      <c r="B9051" s="2"/>
      <c r="C9051" s="2"/>
      <c r="D9051" s="2" t="b">
        <f>IF(AND(NOT(ISBLANK(Table1[[#This Row],[Fetal Sex (Male, Female or Unknown)]])),ISNUMBER(Table1[[#This Row],[Birthweight (grams)]]),ISNUMBER(Table1[[#This Row],[Gestation (days)]])),TRUE,FALSE)</f>
        <v>0</v>
      </c>
      <c r="E9051" s="2" t="str">
        <f>IF(Table1[[#This Row],[Is Data Valid]]=TRUE,IF(Table1[[#This Row],[Fetal Sex (Male, Female or Unknown)]]="Male",Backend!$C$6,IF(Table1[[#This Row],[Fetal Sex (Male, Female or Unknown)]]="Female",Backend!$C$7,IF(Table1[[#This Row],[Fetal Sex (Male, Female or Unknown)]]="Unknown",Backend!$C$8,"Error"))),"")</f>
        <v/>
      </c>
      <c r="F9051" s="8" t="str">
        <f>IF(Table1[[#This Row],[Is Data Valid]]=TRUE,EXP(0.578+0.332*((Table1[[#This Row],[Gestation (days)]]+0.5)/7)-0.00354*((Table1[[#This Row],[Gestation (days)]]+0.5)/7)^2)*Table1[[#This Row],[BW40_3705]],"")</f>
        <v/>
      </c>
      <c r="G9051" s="2" t="str">
        <f>IF(Table1[[#This Row],[Is Data Valid]]=TRUE,((Table1[[#This Row],[Birthweight (grams)]]/Table1[[#This Row],[BW_GA]])-1)/(Backend!$B$4/100*Table1[[#This Row],[BW40_3705]]),"")</f>
        <v/>
      </c>
      <c r="H9051" s="7" t="str">
        <f>IF(Table1[[#This Row],[Is Data Valid]]=TRUE,((Table1[[#This Row],[Birthweight (grams)]]*0.9/Table1[[#This Row],[BW_GA]])-1)/(Backend!$B$4/100*Table1[[#This Row],[BW40_3705]]),"")</f>
        <v/>
      </c>
      <c r="I9051" s="7" t="str">
        <f>IF(Table1[[#This Row],[Is Data Valid]]=TRUE,((Table1[[#This Row],[Birthweight (grams)]]*1.1/Table1[[#This Row],[BW_GA]])-1)/(Backend!$B$4/100*Table1[[#This Row],[BW40_3705]]),"")</f>
        <v/>
      </c>
      <c r="J9051" s="7" t="str">
        <f>IF(Table1[[#This Row],[Is Data Valid]]=TRUE,_xlfn.NORM.S.DIST(Table1[[#This Row],[Birthweight Z-Score]],TRUE)*100,"")</f>
        <v/>
      </c>
      <c r="K9051" s="7" t="str">
        <f>IF(Table1[[#This Row],[Is Data Valid]]=TRUE,_xlfn.NORM.S.DIST(Table1[[#This Row],[Birthweight Z-Score (BW-10%)]],TRUE)*100,"")</f>
        <v/>
      </c>
      <c r="L9051" s="7" t="str">
        <f>IF(Table1[[#This Row],[Is Data Valid]]=TRUE,_xlfn.NORM.S.DIST(Table1[[#This Row],[Birthweight Z-Score (BW+10%)]],TRUE)*100,"")</f>
        <v/>
      </c>
    </row>
    <row r="9052" spans="1:12" x14ac:dyDescent="0.35">
      <c r="A9052" s="3"/>
      <c r="B9052" s="2"/>
      <c r="C9052" s="2"/>
      <c r="D9052" s="2" t="b">
        <f>IF(AND(NOT(ISBLANK(Table1[[#This Row],[Fetal Sex (Male, Female or Unknown)]])),ISNUMBER(Table1[[#This Row],[Birthweight (grams)]]),ISNUMBER(Table1[[#This Row],[Gestation (days)]])),TRUE,FALSE)</f>
        <v>0</v>
      </c>
      <c r="E9052" s="2" t="str">
        <f>IF(Table1[[#This Row],[Is Data Valid]]=TRUE,IF(Table1[[#This Row],[Fetal Sex (Male, Female or Unknown)]]="Male",Backend!$C$6,IF(Table1[[#This Row],[Fetal Sex (Male, Female or Unknown)]]="Female",Backend!$C$7,IF(Table1[[#This Row],[Fetal Sex (Male, Female or Unknown)]]="Unknown",Backend!$C$8,"Error"))),"")</f>
        <v/>
      </c>
      <c r="F9052" s="8" t="str">
        <f>IF(Table1[[#This Row],[Is Data Valid]]=TRUE,EXP(0.578+0.332*((Table1[[#This Row],[Gestation (days)]]+0.5)/7)-0.00354*((Table1[[#This Row],[Gestation (days)]]+0.5)/7)^2)*Table1[[#This Row],[BW40_3705]],"")</f>
        <v/>
      </c>
      <c r="G9052" s="2" t="str">
        <f>IF(Table1[[#This Row],[Is Data Valid]]=TRUE,((Table1[[#This Row],[Birthweight (grams)]]/Table1[[#This Row],[BW_GA]])-1)/(Backend!$B$4/100*Table1[[#This Row],[BW40_3705]]),"")</f>
        <v/>
      </c>
      <c r="H9052" s="7" t="str">
        <f>IF(Table1[[#This Row],[Is Data Valid]]=TRUE,((Table1[[#This Row],[Birthweight (grams)]]*0.9/Table1[[#This Row],[BW_GA]])-1)/(Backend!$B$4/100*Table1[[#This Row],[BW40_3705]]),"")</f>
        <v/>
      </c>
      <c r="I9052" s="7" t="str">
        <f>IF(Table1[[#This Row],[Is Data Valid]]=TRUE,((Table1[[#This Row],[Birthweight (grams)]]*1.1/Table1[[#This Row],[BW_GA]])-1)/(Backend!$B$4/100*Table1[[#This Row],[BW40_3705]]),"")</f>
        <v/>
      </c>
      <c r="J9052" s="7" t="str">
        <f>IF(Table1[[#This Row],[Is Data Valid]]=TRUE,_xlfn.NORM.S.DIST(Table1[[#This Row],[Birthweight Z-Score]],TRUE)*100,"")</f>
        <v/>
      </c>
      <c r="K9052" s="7" t="str">
        <f>IF(Table1[[#This Row],[Is Data Valid]]=TRUE,_xlfn.NORM.S.DIST(Table1[[#This Row],[Birthweight Z-Score (BW-10%)]],TRUE)*100,"")</f>
        <v/>
      </c>
      <c r="L9052" s="7" t="str">
        <f>IF(Table1[[#This Row],[Is Data Valid]]=TRUE,_xlfn.NORM.S.DIST(Table1[[#This Row],[Birthweight Z-Score (BW+10%)]],TRUE)*100,"")</f>
        <v/>
      </c>
    </row>
    <row r="9053" spans="1:12" x14ac:dyDescent="0.35">
      <c r="A9053" s="3"/>
      <c r="B9053" s="2"/>
      <c r="C9053" s="2"/>
      <c r="D9053" s="2" t="b">
        <f>IF(AND(NOT(ISBLANK(Table1[[#This Row],[Fetal Sex (Male, Female or Unknown)]])),ISNUMBER(Table1[[#This Row],[Birthweight (grams)]]),ISNUMBER(Table1[[#This Row],[Gestation (days)]])),TRUE,FALSE)</f>
        <v>0</v>
      </c>
      <c r="E9053" s="2" t="str">
        <f>IF(Table1[[#This Row],[Is Data Valid]]=TRUE,IF(Table1[[#This Row],[Fetal Sex (Male, Female or Unknown)]]="Male",Backend!$C$6,IF(Table1[[#This Row],[Fetal Sex (Male, Female or Unknown)]]="Female",Backend!$C$7,IF(Table1[[#This Row],[Fetal Sex (Male, Female or Unknown)]]="Unknown",Backend!$C$8,"Error"))),"")</f>
        <v/>
      </c>
      <c r="F9053" s="8" t="str">
        <f>IF(Table1[[#This Row],[Is Data Valid]]=TRUE,EXP(0.578+0.332*((Table1[[#This Row],[Gestation (days)]]+0.5)/7)-0.00354*((Table1[[#This Row],[Gestation (days)]]+0.5)/7)^2)*Table1[[#This Row],[BW40_3705]],"")</f>
        <v/>
      </c>
      <c r="G9053" s="2" t="str">
        <f>IF(Table1[[#This Row],[Is Data Valid]]=TRUE,((Table1[[#This Row],[Birthweight (grams)]]/Table1[[#This Row],[BW_GA]])-1)/(Backend!$B$4/100*Table1[[#This Row],[BW40_3705]]),"")</f>
        <v/>
      </c>
      <c r="H9053" s="7" t="str">
        <f>IF(Table1[[#This Row],[Is Data Valid]]=TRUE,((Table1[[#This Row],[Birthweight (grams)]]*0.9/Table1[[#This Row],[BW_GA]])-1)/(Backend!$B$4/100*Table1[[#This Row],[BW40_3705]]),"")</f>
        <v/>
      </c>
      <c r="I9053" s="7" t="str">
        <f>IF(Table1[[#This Row],[Is Data Valid]]=TRUE,((Table1[[#This Row],[Birthweight (grams)]]*1.1/Table1[[#This Row],[BW_GA]])-1)/(Backend!$B$4/100*Table1[[#This Row],[BW40_3705]]),"")</f>
        <v/>
      </c>
      <c r="J9053" s="7" t="str">
        <f>IF(Table1[[#This Row],[Is Data Valid]]=TRUE,_xlfn.NORM.S.DIST(Table1[[#This Row],[Birthweight Z-Score]],TRUE)*100,"")</f>
        <v/>
      </c>
      <c r="K9053" s="7" t="str">
        <f>IF(Table1[[#This Row],[Is Data Valid]]=TRUE,_xlfn.NORM.S.DIST(Table1[[#This Row],[Birthweight Z-Score (BW-10%)]],TRUE)*100,"")</f>
        <v/>
      </c>
      <c r="L9053" s="7" t="str">
        <f>IF(Table1[[#This Row],[Is Data Valid]]=TRUE,_xlfn.NORM.S.DIST(Table1[[#This Row],[Birthweight Z-Score (BW+10%)]],TRUE)*100,"")</f>
        <v/>
      </c>
    </row>
    <row r="9054" spans="1:12" x14ac:dyDescent="0.35">
      <c r="A9054" s="3"/>
      <c r="B9054" s="2"/>
      <c r="C9054" s="2"/>
      <c r="D9054" s="2" t="b">
        <f>IF(AND(NOT(ISBLANK(Table1[[#This Row],[Fetal Sex (Male, Female or Unknown)]])),ISNUMBER(Table1[[#This Row],[Birthweight (grams)]]),ISNUMBER(Table1[[#This Row],[Gestation (days)]])),TRUE,FALSE)</f>
        <v>0</v>
      </c>
      <c r="E9054" s="2" t="str">
        <f>IF(Table1[[#This Row],[Is Data Valid]]=TRUE,IF(Table1[[#This Row],[Fetal Sex (Male, Female or Unknown)]]="Male",Backend!$C$6,IF(Table1[[#This Row],[Fetal Sex (Male, Female or Unknown)]]="Female",Backend!$C$7,IF(Table1[[#This Row],[Fetal Sex (Male, Female or Unknown)]]="Unknown",Backend!$C$8,"Error"))),"")</f>
        <v/>
      </c>
      <c r="F9054" s="8" t="str">
        <f>IF(Table1[[#This Row],[Is Data Valid]]=TRUE,EXP(0.578+0.332*((Table1[[#This Row],[Gestation (days)]]+0.5)/7)-0.00354*((Table1[[#This Row],[Gestation (days)]]+0.5)/7)^2)*Table1[[#This Row],[BW40_3705]],"")</f>
        <v/>
      </c>
      <c r="G9054" s="2" t="str">
        <f>IF(Table1[[#This Row],[Is Data Valid]]=TRUE,((Table1[[#This Row],[Birthweight (grams)]]/Table1[[#This Row],[BW_GA]])-1)/(Backend!$B$4/100*Table1[[#This Row],[BW40_3705]]),"")</f>
        <v/>
      </c>
      <c r="H9054" s="7" t="str">
        <f>IF(Table1[[#This Row],[Is Data Valid]]=TRUE,((Table1[[#This Row],[Birthweight (grams)]]*0.9/Table1[[#This Row],[BW_GA]])-1)/(Backend!$B$4/100*Table1[[#This Row],[BW40_3705]]),"")</f>
        <v/>
      </c>
      <c r="I9054" s="7" t="str">
        <f>IF(Table1[[#This Row],[Is Data Valid]]=TRUE,((Table1[[#This Row],[Birthweight (grams)]]*1.1/Table1[[#This Row],[BW_GA]])-1)/(Backend!$B$4/100*Table1[[#This Row],[BW40_3705]]),"")</f>
        <v/>
      </c>
      <c r="J9054" s="7" t="str">
        <f>IF(Table1[[#This Row],[Is Data Valid]]=TRUE,_xlfn.NORM.S.DIST(Table1[[#This Row],[Birthweight Z-Score]],TRUE)*100,"")</f>
        <v/>
      </c>
      <c r="K9054" s="7" t="str">
        <f>IF(Table1[[#This Row],[Is Data Valid]]=TRUE,_xlfn.NORM.S.DIST(Table1[[#This Row],[Birthweight Z-Score (BW-10%)]],TRUE)*100,"")</f>
        <v/>
      </c>
      <c r="L9054" s="7" t="str">
        <f>IF(Table1[[#This Row],[Is Data Valid]]=TRUE,_xlfn.NORM.S.DIST(Table1[[#This Row],[Birthweight Z-Score (BW+10%)]],TRUE)*100,"")</f>
        <v/>
      </c>
    </row>
    <row r="9055" spans="1:12" x14ac:dyDescent="0.35">
      <c r="A9055" s="3"/>
      <c r="B9055" s="2"/>
      <c r="C9055" s="2"/>
      <c r="D9055" s="2" t="b">
        <f>IF(AND(NOT(ISBLANK(Table1[[#This Row],[Fetal Sex (Male, Female or Unknown)]])),ISNUMBER(Table1[[#This Row],[Birthweight (grams)]]),ISNUMBER(Table1[[#This Row],[Gestation (days)]])),TRUE,FALSE)</f>
        <v>0</v>
      </c>
      <c r="E9055" s="2" t="str">
        <f>IF(Table1[[#This Row],[Is Data Valid]]=TRUE,IF(Table1[[#This Row],[Fetal Sex (Male, Female or Unknown)]]="Male",Backend!$C$6,IF(Table1[[#This Row],[Fetal Sex (Male, Female or Unknown)]]="Female",Backend!$C$7,IF(Table1[[#This Row],[Fetal Sex (Male, Female or Unknown)]]="Unknown",Backend!$C$8,"Error"))),"")</f>
        <v/>
      </c>
      <c r="F9055" s="8" t="str">
        <f>IF(Table1[[#This Row],[Is Data Valid]]=TRUE,EXP(0.578+0.332*((Table1[[#This Row],[Gestation (days)]]+0.5)/7)-0.00354*((Table1[[#This Row],[Gestation (days)]]+0.5)/7)^2)*Table1[[#This Row],[BW40_3705]],"")</f>
        <v/>
      </c>
      <c r="G9055" s="2" t="str">
        <f>IF(Table1[[#This Row],[Is Data Valid]]=TRUE,((Table1[[#This Row],[Birthweight (grams)]]/Table1[[#This Row],[BW_GA]])-1)/(Backend!$B$4/100*Table1[[#This Row],[BW40_3705]]),"")</f>
        <v/>
      </c>
      <c r="H9055" s="7" t="str">
        <f>IF(Table1[[#This Row],[Is Data Valid]]=TRUE,((Table1[[#This Row],[Birthweight (grams)]]*0.9/Table1[[#This Row],[BW_GA]])-1)/(Backend!$B$4/100*Table1[[#This Row],[BW40_3705]]),"")</f>
        <v/>
      </c>
      <c r="I9055" s="7" t="str">
        <f>IF(Table1[[#This Row],[Is Data Valid]]=TRUE,((Table1[[#This Row],[Birthweight (grams)]]*1.1/Table1[[#This Row],[BW_GA]])-1)/(Backend!$B$4/100*Table1[[#This Row],[BW40_3705]]),"")</f>
        <v/>
      </c>
      <c r="J9055" s="7" t="str">
        <f>IF(Table1[[#This Row],[Is Data Valid]]=TRUE,_xlfn.NORM.S.DIST(Table1[[#This Row],[Birthweight Z-Score]],TRUE)*100,"")</f>
        <v/>
      </c>
      <c r="K9055" s="7" t="str">
        <f>IF(Table1[[#This Row],[Is Data Valid]]=TRUE,_xlfn.NORM.S.DIST(Table1[[#This Row],[Birthweight Z-Score (BW-10%)]],TRUE)*100,"")</f>
        <v/>
      </c>
      <c r="L9055" s="7" t="str">
        <f>IF(Table1[[#This Row],[Is Data Valid]]=TRUE,_xlfn.NORM.S.DIST(Table1[[#This Row],[Birthweight Z-Score (BW+10%)]],TRUE)*100,"")</f>
        <v/>
      </c>
    </row>
    <row r="9056" spans="1:12" x14ac:dyDescent="0.35">
      <c r="A9056" s="3"/>
      <c r="B9056" s="2"/>
      <c r="C9056" s="2"/>
      <c r="D9056" s="2" t="b">
        <f>IF(AND(NOT(ISBLANK(Table1[[#This Row],[Fetal Sex (Male, Female or Unknown)]])),ISNUMBER(Table1[[#This Row],[Birthweight (grams)]]),ISNUMBER(Table1[[#This Row],[Gestation (days)]])),TRUE,FALSE)</f>
        <v>0</v>
      </c>
      <c r="E9056" s="2" t="str">
        <f>IF(Table1[[#This Row],[Is Data Valid]]=TRUE,IF(Table1[[#This Row],[Fetal Sex (Male, Female or Unknown)]]="Male",Backend!$C$6,IF(Table1[[#This Row],[Fetal Sex (Male, Female or Unknown)]]="Female",Backend!$C$7,IF(Table1[[#This Row],[Fetal Sex (Male, Female or Unknown)]]="Unknown",Backend!$C$8,"Error"))),"")</f>
        <v/>
      </c>
      <c r="F9056" s="8" t="str">
        <f>IF(Table1[[#This Row],[Is Data Valid]]=TRUE,EXP(0.578+0.332*((Table1[[#This Row],[Gestation (days)]]+0.5)/7)-0.00354*((Table1[[#This Row],[Gestation (days)]]+0.5)/7)^2)*Table1[[#This Row],[BW40_3705]],"")</f>
        <v/>
      </c>
      <c r="G9056" s="2" t="str">
        <f>IF(Table1[[#This Row],[Is Data Valid]]=TRUE,((Table1[[#This Row],[Birthweight (grams)]]/Table1[[#This Row],[BW_GA]])-1)/(Backend!$B$4/100*Table1[[#This Row],[BW40_3705]]),"")</f>
        <v/>
      </c>
      <c r="H9056" s="7" t="str">
        <f>IF(Table1[[#This Row],[Is Data Valid]]=TRUE,((Table1[[#This Row],[Birthweight (grams)]]*0.9/Table1[[#This Row],[BW_GA]])-1)/(Backend!$B$4/100*Table1[[#This Row],[BW40_3705]]),"")</f>
        <v/>
      </c>
      <c r="I9056" s="7" t="str">
        <f>IF(Table1[[#This Row],[Is Data Valid]]=TRUE,((Table1[[#This Row],[Birthweight (grams)]]*1.1/Table1[[#This Row],[BW_GA]])-1)/(Backend!$B$4/100*Table1[[#This Row],[BW40_3705]]),"")</f>
        <v/>
      </c>
      <c r="J9056" s="7" t="str">
        <f>IF(Table1[[#This Row],[Is Data Valid]]=TRUE,_xlfn.NORM.S.DIST(Table1[[#This Row],[Birthweight Z-Score]],TRUE)*100,"")</f>
        <v/>
      </c>
      <c r="K9056" s="7" t="str">
        <f>IF(Table1[[#This Row],[Is Data Valid]]=TRUE,_xlfn.NORM.S.DIST(Table1[[#This Row],[Birthweight Z-Score (BW-10%)]],TRUE)*100,"")</f>
        <v/>
      </c>
      <c r="L9056" s="7" t="str">
        <f>IF(Table1[[#This Row],[Is Data Valid]]=TRUE,_xlfn.NORM.S.DIST(Table1[[#This Row],[Birthweight Z-Score (BW+10%)]],TRUE)*100,"")</f>
        <v/>
      </c>
    </row>
    <row r="9057" spans="1:12" x14ac:dyDescent="0.35">
      <c r="A9057" s="3"/>
      <c r="B9057" s="2"/>
      <c r="C9057" s="2"/>
      <c r="D9057" s="2" t="b">
        <f>IF(AND(NOT(ISBLANK(Table1[[#This Row],[Fetal Sex (Male, Female or Unknown)]])),ISNUMBER(Table1[[#This Row],[Birthweight (grams)]]),ISNUMBER(Table1[[#This Row],[Gestation (days)]])),TRUE,FALSE)</f>
        <v>0</v>
      </c>
      <c r="E9057" s="2" t="str">
        <f>IF(Table1[[#This Row],[Is Data Valid]]=TRUE,IF(Table1[[#This Row],[Fetal Sex (Male, Female or Unknown)]]="Male",Backend!$C$6,IF(Table1[[#This Row],[Fetal Sex (Male, Female or Unknown)]]="Female",Backend!$C$7,IF(Table1[[#This Row],[Fetal Sex (Male, Female or Unknown)]]="Unknown",Backend!$C$8,"Error"))),"")</f>
        <v/>
      </c>
      <c r="F9057" s="8" t="str">
        <f>IF(Table1[[#This Row],[Is Data Valid]]=TRUE,EXP(0.578+0.332*((Table1[[#This Row],[Gestation (days)]]+0.5)/7)-0.00354*((Table1[[#This Row],[Gestation (days)]]+0.5)/7)^2)*Table1[[#This Row],[BW40_3705]],"")</f>
        <v/>
      </c>
      <c r="G9057" s="2" t="str">
        <f>IF(Table1[[#This Row],[Is Data Valid]]=TRUE,((Table1[[#This Row],[Birthweight (grams)]]/Table1[[#This Row],[BW_GA]])-1)/(Backend!$B$4/100*Table1[[#This Row],[BW40_3705]]),"")</f>
        <v/>
      </c>
      <c r="H9057" s="7" t="str">
        <f>IF(Table1[[#This Row],[Is Data Valid]]=TRUE,((Table1[[#This Row],[Birthweight (grams)]]*0.9/Table1[[#This Row],[BW_GA]])-1)/(Backend!$B$4/100*Table1[[#This Row],[BW40_3705]]),"")</f>
        <v/>
      </c>
      <c r="I9057" s="7" t="str">
        <f>IF(Table1[[#This Row],[Is Data Valid]]=TRUE,((Table1[[#This Row],[Birthweight (grams)]]*1.1/Table1[[#This Row],[BW_GA]])-1)/(Backend!$B$4/100*Table1[[#This Row],[BW40_3705]]),"")</f>
        <v/>
      </c>
      <c r="J9057" s="7" t="str">
        <f>IF(Table1[[#This Row],[Is Data Valid]]=TRUE,_xlfn.NORM.S.DIST(Table1[[#This Row],[Birthweight Z-Score]],TRUE)*100,"")</f>
        <v/>
      </c>
      <c r="K9057" s="7" t="str">
        <f>IF(Table1[[#This Row],[Is Data Valid]]=TRUE,_xlfn.NORM.S.DIST(Table1[[#This Row],[Birthweight Z-Score (BW-10%)]],TRUE)*100,"")</f>
        <v/>
      </c>
      <c r="L9057" s="7" t="str">
        <f>IF(Table1[[#This Row],[Is Data Valid]]=TRUE,_xlfn.NORM.S.DIST(Table1[[#This Row],[Birthweight Z-Score (BW+10%)]],TRUE)*100,"")</f>
        <v/>
      </c>
    </row>
    <row r="9058" spans="1:12" x14ac:dyDescent="0.35">
      <c r="A9058" s="3"/>
      <c r="B9058" s="2"/>
      <c r="C9058" s="2"/>
      <c r="D9058" s="2" t="b">
        <f>IF(AND(NOT(ISBLANK(Table1[[#This Row],[Fetal Sex (Male, Female or Unknown)]])),ISNUMBER(Table1[[#This Row],[Birthweight (grams)]]),ISNUMBER(Table1[[#This Row],[Gestation (days)]])),TRUE,FALSE)</f>
        <v>0</v>
      </c>
      <c r="E9058" s="2" t="str">
        <f>IF(Table1[[#This Row],[Is Data Valid]]=TRUE,IF(Table1[[#This Row],[Fetal Sex (Male, Female or Unknown)]]="Male",Backend!$C$6,IF(Table1[[#This Row],[Fetal Sex (Male, Female or Unknown)]]="Female",Backend!$C$7,IF(Table1[[#This Row],[Fetal Sex (Male, Female or Unknown)]]="Unknown",Backend!$C$8,"Error"))),"")</f>
        <v/>
      </c>
      <c r="F9058" s="8" t="str">
        <f>IF(Table1[[#This Row],[Is Data Valid]]=TRUE,EXP(0.578+0.332*((Table1[[#This Row],[Gestation (days)]]+0.5)/7)-0.00354*((Table1[[#This Row],[Gestation (days)]]+0.5)/7)^2)*Table1[[#This Row],[BW40_3705]],"")</f>
        <v/>
      </c>
      <c r="G9058" s="2" t="str">
        <f>IF(Table1[[#This Row],[Is Data Valid]]=TRUE,((Table1[[#This Row],[Birthweight (grams)]]/Table1[[#This Row],[BW_GA]])-1)/(Backend!$B$4/100*Table1[[#This Row],[BW40_3705]]),"")</f>
        <v/>
      </c>
      <c r="H9058" s="7" t="str">
        <f>IF(Table1[[#This Row],[Is Data Valid]]=TRUE,((Table1[[#This Row],[Birthweight (grams)]]*0.9/Table1[[#This Row],[BW_GA]])-1)/(Backend!$B$4/100*Table1[[#This Row],[BW40_3705]]),"")</f>
        <v/>
      </c>
      <c r="I9058" s="7" t="str">
        <f>IF(Table1[[#This Row],[Is Data Valid]]=TRUE,((Table1[[#This Row],[Birthweight (grams)]]*1.1/Table1[[#This Row],[BW_GA]])-1)/(Backend!$B$4/100*Table1[[#This Row],[BW40_3705]]),"")</f>
        <v/>
      </c>
      <c r="J9058" s="7" t="str">
        <f>IF(Table1[[#This Row],[Is Data Valid]]=TRUE,_xlfn.NORM.S.DIST(Table1[[#This Row],[Birthweight Z-Score]],TRUE)*100,"")</f>
        <v/>
      </c>
      <c r="K9058" s="7" t="str">
        <f>IF(Table1[[#This Row],[Is Data Valid]]=TRUE,_xlfn.NORM.S.DIST(Table1[[#This Row],[Birthweight Z-Score (BW-10%)]],TRUE)*100,"")</f>
        <v/>
      </c>
      <c r="L9058" s="7" t="str">
        <f>IF(Table1[[#This Row],[Is Data Valid]]=TRUE,_xlfn.NORM.S.DIST(Table1[[#This Row],[Birthweight Z-Score (BW+10%)]],TRUE)*100,"")</f>
        <v/>
      </c>
    </row>
    <row r="9059" spans="1:12" x14ac:dyDescent="0.35">
      <c r="A9059" s="3"/>
      <c r="B9059" s="2"/>
      <c r="C9059" s="2"/>
      <c r="D9059" s="2" t="b">
        <f>IF(AND(NOT(ISBLANK(Table1[[#This Row],[Fetal Sex (Male, Female or Unknown)]])),ISNUMBER(Table1[[#This Row],[Birthweight (grams)]]),ISNUMBER(Table1[[#This Row],[Gestation (days)]])),TRUE,FALSE)</f>
        <v>0</v>
      </c>
      <c r="E9059" s="2" t="str">
        <f>IF(Table1[[#This Row],[Is Data Valid]]=TRUE,IF(Table1[[#This Row],[Fetal Sex (Male, Female or Unknown)]]="Male",Backend!$C$6,IF(Table1[[#This Row],[Fetal Sex (Male, Female or Unknown)]]="Female",Backend!$C$7,IF(Table1[[#This Row],[Fetal Sex (Male, Female or Unknown)]]="Unknown",Backend!$C$8,"Error"))),"")</f>
        <v/>
      </c>
      <c r="F9059" s="8" t="str">
        <f>IF(Table1[[#This Row],[Is Data Valid]]=TRUE,EXP(0.578+0.332*((Table1[[#This Row],[Gestation (days)]]+0.5)/7)-0.00354*((Table1[[#This Row],[Gestation (days)]]+0.5)/7)^2)*Table1[[#This Row],[BW40_3705]],"")</f>
        <v/>
      </c>
      <c r="G9059" s="2" t="str">
        <f>IF(Table1[[#This Row],[Is Data Valid]]=TRUE,((Table1[[#This Row],[Birthweight (grams)]]/Table1[[#This Row],[BW_GA]])-1)/(Backend!$B$4/100*Table1[[#This Row],[BW40_3705]]),"")</f>
        <v/>
      </c>
      <c r="H9059" s="7" t="str">
        <f>IF(Table1[[#This Row],[Is Data Valid]]=TRUE,((Table1[[#This Row],[Birthweight (grams)]]*0.9/Table1[[#This Row],[BW_GA]])-1)/(Backend!$B$4/100*Table1[[#This Row],[BW40_3705]]),"")</f>
        <v/>
      </c>
      <c r="I9059" s="7" t="str">
        <f>IF(Table1[[#This Row],[Is Data Valid]]=TRUE,((Table1[[#This Row],[Birthweight (grams)]]*1.1/Table1[[#This Row],[BW_GA]])-1)/(Backend!$B$4/100*Table1[[#This Row],[BW40_3705]]),"")</f>
        <v/>
      </c>
      <c r="J9059" s="7" t="str">
        <f>IF(Table1[[#This Row],[Is Data Valid]]=TRUE,_xlfn.NORM.S.DIST(Table1[[#This Row],[Birthweight Z-Score]],TRUE)*100,"")</f>
        <v/>
      </c>
      <c r="K9059" s="7" t="str">
        <f>IF(Table1[[#This Row],[Is Data Valid]]=TRUE,_xlfn.NORM.S.DIST(Table1[[#This Row],[Birthweight Z-Score (BW-10%)]],TRUE)*100,"")</f>
        <v/>
      </c>
      <c r="L9059" s="7" t="str">
        <f>IF(Table1[[#This Row],[Is Data Valid]]=TRUE,_xlfn.NORM.S.DIST(Table1[[#This Row],[Birthweight Z-Score (BW+10%)]],TRUE)*100,"")</f>
        <v/>
      </c>
    </row>
    <row r="9060" spans="1:12" x14ac:dyDescent="0.35">
      <c r="A9060" s="3"/>
      <c r="B9060" s="2"/>
      <c r="C9060" s="2"/>
      <c r="D9060" s="2" t="b">
        <f>IF(AND(NOT(ISBLANK(Table1[[#This Row],[Fetal Sex (Male, Female or Unknown)]])),ISNUMBER(Table1[[#This Row],[Birthweight (grams)]]),ISNUMBER(Table1[[#This Row],[Gestation (days)]])),TRUE,FALSE)</f>
        <v>0</v>
      </c>
      <c r="E9060" s="2" t="str">
        <f>IF(Table1[[#This Row],[Is Data Valid]]=TRUE,IF(Table1[[#This Row],[Fetal Sex (Male, Female or Unknown)]]="Male",Backend!$C$6,IF(Table1[[#This Row],[Fetal Sex (Male, Female or Unknown)]]="Female",Backend!$C$7,IF(Table1[[#This Row],[Fetal Sex (Male, Female or Unknown)]]="Unknown",Backend!$C$8,"Error"))),"")</f>
        <v/>
      </c>
      <c r="F9060" s="8" t="str">
        <f>IF(Table1[[#This Row],[Is Data Valid]]=TRUE,EXP(0.578+0.332*((Table1[[#This Row],[Gestation (days)]]+0.5)/7)-0.00354*((Table1[[#This Row],[Gestation (days)]]+0.5)/7)^2)*Table1[[#This Row],[BW40_3705]],"")</f>
        <v/>
      </c>
      <c r="G9060" s="2" t="str">
        <f>IF(Table1[[#This Row],[Is Data Valid]]=TRUE,((Table1[[#This Row],[Birthweight (grams)]]/Table1[[#This Row],[BW_GA]])-1)/(Backend!$B$4/100*Table1[[#This Row],[BW40_3705]]),"")</f>
        <v/>
      </c>
      <c r="H9060" s="7" t="str">
        <f>IF(Table1[[#This Row],[Is Data Valid]]=TRUE,((Table1[[#This Row],[Birthweight (grams)]]*0.9/Table1[[#This Row],[BW_GA]])-1)/(Backend!$B$4/100*Table1[[#This Row],[BW40_3705]]),"")</f>
        <v/>
      </c>
      <c r="I9060" s="7" t="str">
        <f>IF(Table1[[#This Row],[Is Data Valid]]=TRUE,((Table1[[#This Row],[Birthweight (grams)]]*1.1/Table1[[#This Row],[BW_GA]])-1)/(Backend!$B$4/100*Table1[[#This Row],[BW40_3705]]),"")</f>
        <v/>
      </c>
      <c r="J9060" s="7" t="str">
        <f>IF(Table1[[#This Row],[Is Data Valid]]=TRUE,_xlfn.NORM.S.DIST(Table1[[#This Row],[Birthweight Z-Score]],TRUE)*100,"")</f>
        <v/>
      </c>
      <c r="K9060" s="7" t="str">
        <f>IF(Table1[[#This Row],[Is Data Valid]]=TRUE,_xlfn.NORM.S.DIST(Table1[[#This Row],[Birthweight Z-Score (BW-10%)]],TRUE)*100,"")</f>
        <v/>
      </c>
      <c r="L9060" s="7" t="str">
        <f>IF(Table1[[#This Row],[Is Data Valid]]=TRUE,_xlfn.NORM.S.DIST(Table1[[#This Row],[Birthweight Z-Score (BW+10%)]],TRUE)*100,"")</f>
        <v/>
      </c>
    </row>
    <row r="9061" spans="1:12" x14ac:dyDescent="0.35">
      <c r="A9061" s="3"/>
      <c r="B9061" s="2"/>
      <c r="C9061" s="2"/>
      <c r="D9061" s="2" t="b">
        <f>IF(AND(NOT(ISBLANK(Table1[[#This Row],[Fetal Sex (Male, Female or Unknown)]])),ISNUMBER(Table1[[#This Row],[Birthweight (grams)]]),ISNUMBER(Table1[[#This Row],[Gestation (days)]])),TRUE,FALSE)</f>
        <v>0</v>
      </c>
      <c r="E9061" s="2" t="str">
        <f>IF(Table1[[#This Row],[Is Data Valid]]=TRUE,IF(Table1[[#This Row],[Fetal Sex (Male, Female or Unknown)]]="Male",Backend!$C$6,IF(Table1[[#This Row],[Fetal Sex (Male, Female or Unknown)]]="Female",Backend!$C$7,IF(Table1[[#This Row],[Fetal Sex (Male, Female or Unknown)]]="Unknown",Backend!$C$8,"Error"))),"")</f>
        <v/>
      </c>
      <c r="F9061" s="8" t="str">
        <f>IF(Table1[[#This Row],[Is Data Valid]]=TRUE,EXP(0.578+0.332*((Table1[[#This Row],[Gestation (days)]]+0.5)/7)-0.00354*((Table1[[#This Row],[Gestation (days)]]+0.5)/7)^2)*Table1[[#This Row],[BW40_3705]],"")</f>
        <v/>
      </c>
      <c r="G9061" s="2" t="str">
        <f>IF(Table1[[#This Row],[Is Data Valid]]=TRUE,((Table1[[#This Row],[Birthweight (grams)]]/Table1[[#This Row],[BW_GA]])-1)/(Backend!$B$4/100*Table1[[#This Row],[BW40_3705]]),"")</f>
        <v/>
      </c>
      <c r="H9061" s="7" t="str">
        <f>IF(Table1[[#This Row],[Is Data Valid]]=TRUE,((Table1[[#This Row],[Birthweight (grams)]]*0.9/Table1[[#This Row],[BW_GA]])-1)/(Backend!$B$4/100*Table1[[#This Row],[BW40_3705]]),"")</f>
        <v/>
      </c>
      <c r="I9061" s="7" t="str">
        <f>IF(Table1[[#This Row],[Is Data Valid]]=TRUE,((Table1[[#This Row],[Birthweight (grams)]]*1.1/Table1[[#This Row],[BW_GA]])-1)/(Backend!$B$4/100*Table1[[#This Row],[BW40_3705]]),"")</f>
        <v/>
      </c>
      <c r="J9061" s="7" t="str">
        <f>IF(Table1[[#This Row],[Is Data Valid]]=TRUE,_xlfn.NORM.S.DIST(Table1[[#This Row],[Birthweight Z-Score]],TRUE)*100,"")</f>
        <v/>
      </c>
      <c r="K9061" s="7" t="str">
        <f>IF(Table1[[#This Row],[Is Data Valid]]=TRUE,_xlfn.NORM.S.DIST(Table1[[#This Row],[Birthweight Z-Score (BW-10%)]],TRUE)*100,"")</f>
        <v/>
      </c>
      <c r="L9061" s="7" t="str">
        <f>IF(Table1[[#This Row],[Is Data Valid]]=TRUE,_xlfn.NORM.S.DIST(Table1[[#This Row],[Birthweight Z-Score (BW+10%)]],TRUE)*100,"")</f>
        <v/>
      </c>
    </row>
    <row r="9062" spans="1:12" x14ac:dyDescent="0.35">
      <c r="A9062" s="3"/>
      <c r="B9062" s="2"/>
      <c r="C9062" s="2"/>
      <c r="D9062" s="2" t="b">
        <f>IF(AND(NOT(ISBLANK(Table1[[#This Row],[Fetal Sex (Male, Female or Unknown)]])),ISNUMBER(Table1[[#This Row],[Birthweight (grams)]]),ISNUMBER(Table1[[#This Row],[Gestation (days)]])),TRUE,FALSE)</f>
        <v>0</v>
      </c>
      <c r="E9062" s="2" t="str">
        <f>IF(Table1[[#This Row],[Is Data Valid]]=TRUE,IF(Table1[[#This Row],[Fetal Sex (Male, Female or Unknown)]]="Male",Backend!$C$6,IF(Table1[[#This Row],[Fetal Sex (Male, Female or Unknown)]]="Female",Backend!$C$7,IF(Table1[[#This Row],[Fetal Sex (Male, Female or Unknown)]]="Unknown",Backend!$C$8,"Error"))),"")</f>
        <v/>
      </c>
      <c r="F9062" s="8" t="str">
        <f>IF(Table1[[#This Row],[Is Data Valid]]=TRUE,EXP(0.578+0.332*((Table1[[#This Row],[Gestation (days)]]+0.5)/7)-0.00354*((Table1[[#This Row],[Gestation (days)]]+0.5)/7)^2)*Table1[[#This Row],[BW40_3705]],"")</f>
        <v/>
      </c>
      <c r="G9062" s="2" t="str">
        <f>IF(Table1[[#This Row],[Is Data Valid]]=TRUE,((Table1[[#This Row],[Birthweight (grams)]]/Table1[[#This Row],[BW_GA]])-1)/(Backend!$B$4/100*Table1[[#This Row],[BW40_3705]]),"")</f>
        <v/>
      </c>
      <c r="H9062" s="7" t="str">
        <f>IF(Table1[[#This Row],[Is Data Valid]]=TRUE,((Table1[[#This Row],[Birthweight (grams)]]*0.9/Table1[[#This Row],[BW_GA]])-1)/(Backend!$B$4/100*Table1[[#This Row],[BW40_3705]]),"")</f>
        <v/>
      </c>
      <c r="I9062" s="7" t="str">
        <f>IF(Table1[[#This Row],[Is Data Valid]]=TRUE,((Table1[[#This Row],[Birthweight (grams)]]*1.1/Table1[[#This Row],[BW_GA]])-1)/(Backend!$B$4/100*Table1[[#This Row],[BW40_3705]]),"")</f>
        <v/>
      </c>
      <c r="J9062" s="7" t="str">
        <f>IF(Table1[[#This Row],[Is Data Valid]]=TRUE,_xlfn.NORM.S.DIST(Table1[[#This Row],[Birthweight Z-Score]],TRUE)*100,"")</f>
        <v/>
      </c>
      <c r="K9062" s="7" t="str">
        <f>IF(Table1[[#This Row],[Is Data Valid]]=TRUE,_xlfn.NORM.S.DIST(Table1[[#This Row],[Birthweight Z-Score (BW-10%)]],TRUE)*100,"")</f>
        <v/>
      </c>
      <c r="L9062" s="7" t="str">
        <f>IF(Table1[[#This Row],[Is Data Valid]]=TRUE,_xlfn.NORM.S.DIST(Table1[[#This Row],[Birthweight Z-Score (BW+10%)]],TRUE)*100,"")</f>
        <v/>
      </c>
    </row>
    <row r="9063" spans="1:12" x14ac:dyDescent="0.35">
      <c r="A9063" s="3"/>
      <c r="B9063" s="2"/>
      <c r="C9063" s="2"/>
      <c r="D9063" s="2" t="b">
        <f>IF(AND(NOT(ISBLANK(Table1[[#This Row],[Fetal Sex (Male, Female or Unknown)]])),ISNUMBER(Table1[[#This Row],[Birthweight (grams)]]),ISNUMBER(Table1[[#This Row],[Gestation (days)]])),TRUE,FALSE)</f>
        <v>0</v>
      </c>
      <c r="E9063" s="2" t="str">
        <f>IF(Table1[[#This Row],[Is Data Valid]]=TRUE,IF(Table1[[#This Row],[Fetal Sex (Male, Female or Unknown)]]="Male",Backend!$C$6,IF(Table1[[#This Row],[Fetal Sex (Male, Female or Unknown)]]="Female",Backend!$C$7,IF(Table1[[#This Row],[Fetal Sex (Male, Female or Unknown)]]="Unknown",Backend!$C$8,"Error"))),"")</f>
        <v/>
      </c>
      <c r="F9063" s="8" t="str">
        <f>IF(Table1[[#This Row],[Is Data Valid]]=TRUE,EXP(0.578+0.332*((Table1[[#This Row],[Gestation (days)]]+0.5)/7)-0.00354*((Table1[[#This Row],[Gestation (days)]]+0.5)/7)^2)*Table1[[#This Row],[BW40_3705]],"")</f>
        <v/>
      </c>
      <c r="G9063" s="2" t="str">
        <f>IF(Table1[[#This Row],[Is Data Valid]]=TRUE,((Table1[[#This Row],[Birthweight (grams)]]/Table1[[#This Row],[BW_GA]])-1)/(Backend!$B$4/100*Table1[[#This Row],[BW40_3705]]),"")</f>
        <v/>
      </c>
      <c r="H9063" s="7" t="str">
        <f>IF(Table1[[#This Row],[Is Data Valid]]=TRUE,((Table1[[#This Row],[Birthweight (grams)]]*0.9/Table1[[#This Row],[BW_GA]])-1)/(Backend!$B$4/100*Table1[[#This Row],[BW40_3705]]),"")</f>
        <v/>
      </c>
      <c r="I9063" s="7" t="str">
        <f>IF(Table1[[#This Row],[Is Data Valid]]=TRUE,((Table1[[#This Row],[Birthweight (grams)]]*1.1/Table1[[#This Row],[BW_GA]])-1)/(Backend!$B$4/100*Table1[[#This Row],[BW40_3705]]),"")</f>
        <v/>
      </c>
      <c r="J9063" s="7" t="str">
        <f>IF(Table1[[#This Row],[Is Data Valid]]=TRUE,_xlfn.NORM.S.DIST(Table1[[#This Row],[Birthweight Z-Score]],TRUE)*100,"")</f>
        <v/>
      </c>
      <c r="K9063" s="7" t="str">
        <f>IF(Table1[[#This Row],[Is Data Valid]]=TRUE,_xlfn.NORM.S.DIST(Table1[[#This Row],[Birthweight Z-Score (BW-10%)]],TRUE)*100,"")</f>
        <v/>
      </c>
      <c r="L9063" s="7" t="str">
        <f>IF(Table1[[#This Row],[Is Data Valid]]=TRUE,_xlfn.NORM.S.DIST(Table1[[#This Row],[Birthweight Z-Score (BW+10%)]],TRUE)*100,"")</f>
        <v/>
      </c>
    </row>
    <row r="9064" spans="1:12" x14ac:dyDescent="0.35">
      <c r="A9064" s="3"/>
      <c r="B9064" s="2"/>
      <c r="C9064" s="2"/>
      <c r="D9064" s="2" t="b">
        <f>IF(AND(NOT(ISBLANK(Table1[[#This Row],[Fetal Sex (Male, Female or Unknown)]])),ISNUMBER(Table1[[#This Row],[Birthweight (grams)]]),ISNUMBER(Table1[[#This Row],[Gestation (days)]])),TRUE,FALSE)</f>
        <v>0</v>
      </c>
      <c r="E9064" s="2" t="str">
        <f>IF(Table1[[#This Row],[Is Data Valid]]=TRUE,IF(Table1[[#This Row],[Fetal Sex (Male, Female or Unknown)]]="Male",Backend!$C$6,IF(Table1[[#This Row],[Fetal Sex (Male, Female or Unknown)]]="Female",Backend!$C$7,IF(Table1[[#This Row],[Fetal Sex (Male, Female or Unknown)]]="Unknown",Backend!$C$8,"Error"))),"")</f>
        <v/>
      </c>
      <c r="F9064" s="8" t="str">
        <f>IF(Table1[[#This Row],[Is Data Valid]]=TRUE,EXP(0.578+0.332*((Table1[[#This Row],[Gestation (days)]]+0.5)/7)-0.00354*((Table1[[#This Row],[Gestation (days)]]+0.5)/7)^2)*Table1[[#This Row],[BW40_3705]],"")</f>
        <v/>
      </c>
      <c r="G9064" s="2" t="str">
        <f>IF(Table1[[#This Row],[Is Data Valid]]=TRUE,((Table1[[#This Row],[Birthweight (grams)]]/Table1[[#This Row],[BW_GA]])-1)/(Backend!$B$4/100*Table1[[#This Row],[BW40_3705]]),"")</f>
        <v/>
      </c>
      <c r="H9064" s="7" t="str">
        <f>IF(Table1[[#This Row],[Is Data Valid]]=TRUE,((Table1[[#This Row],[Birthweight (grams)]]*0.9/Table1[[#This Row],[BW_GA]])-1)/(Backend!$B$4/100*Table1[[#This Row],[BW40_3705]]),"")</f>
        <v/>
      </c>
      <c r="I9064" s="7" t="str">
        <f>IF(Table1[[#This Row],[Is Data Valid]]=TRUE,((Table1[[#This Row],[Birthweight (grams)]]*1.1/Table1[[#This Row],[BW_GA]])-1)/(Backend!$B$4/100*Table1[[#This Row],[BW40_3705]]),"")</f>
        <v/>
      </c>
      <c r="J9064" s="7" t="str">
        <f>IF(Table1[[#This Row],[Is Data Valid]]=TRUE,_xlfn.NORM.S.DIST(Table1[[#This Row],[Birthweight Z-Score]],TRUE)*100,"")</f>
        <v/>
      </c>
      <c r="K9064" s="7" t="str">
        <f>IF(Table1[[#This Row],[Is Data Valid]]=TRUE,_xlfn.NORM.S.DIST(Table1[[#This Row],[Birthweight Z-Score (BW-10%)]],TRUE)*100,"")</f>
        <v/>
      </c>
      <c r="L9064" s="7" t="str">
        <f>IF(Table1[[#This Row],[Is Data Valid]]=TRUE,_xlfn.NORM.S.DIST(Table1[[#This Row],[Birthweight Z-Score (BW+10%)]],TRUE)*100,"")</f>
        <v/>
      </c>
    </row>
    <row r="9065" spans="1:12" x14ac:dyDescent="0.35">
      <c r="A9065" s="3"/>
      <c r="B9065" s="2"/>
      <c r="C9065" s="2"/>
      <c r="D9065" s="2" t="b">
        <f>IF(AND(NOT(ISBLANK(Table1[[#This Row],[Fetal Sex (Male, Female or Unknown)]])),ISNUMBER(Table1[[#This Row],[Birthweight (grams)]]),ISNUMBER(Table1[[#This Row],[Gestation (days)]])),TRUE,FALSE)</f>
        <v>0</v>
      </c>
      <c r="E9065" s="2" t="str">
        <f>IF(Table1[[#This Row],[Is Data Valid]]=TRUE,IF(Table1[[#This Row],[Fetal Sex (Male, Female or Unknown)]]="Male",Backend!$C$6,IF(Table1[[#This Row],[Fetal Sex (Male, Female or Unknown)]]="Female",Backend!$C$7,IF(Table1[[#This Row],[Fetal Sex (Male, Female or Unknown)]]="Unknown",Backend!$C$8,"Error"))),"")</f>
        <v/>
      </c>
      <c r="F9065" s="8" t="str">
        <f>IF(Table1[[#This Row],[Is Data Valid]]=TRUE,EXP(0.578+0.332*((Table1[[#This Row],[Gestation (days)]]+0.5)/7)-0.00354*((Table1[[#This Row],[Gestation (days)]]+0.5)/7)^2)*Table1[[#This Row],[BW40_3705]],"")</f>
        <v/>
      </c>
      <c r="G9065" s="2" t="str">
        <f>IF(Table1[[#This Row],[Is Data Valid]]=TRUE,((Table1[[#This Row],[Birthweight (grams)]]/Table1[[#This Row],[BW_GA]])-1)/(Backend!$B$4/100*Table1[[#This Row],[BW40_3705]]),"")</f>
        <v/>
      </c>
      <c r="H9065" s="7" t="str">
        <f>IF(Table1[[#This Row],[Is Data Valid]]=TRUE,((Table1[[#This Row],[Birthweight (grams)]]*0.9/Table1[[#This Row],[BW_GA]])-1)/(Backend!$B$4/100*Table1[[#This Row],[BW40_3705]]),"")</f>
        <v/>
      </c>
      <c r="I9065" s="7" t="str">
        <f>IF(Table1[[#This Row],[Is Data Valid]]=TRUE,((Table1[[#This Row],[Birthweight (grams)]]*1.1/Table1[[#This Row],[BW_GA]])-1)/(Backend!$B$4/100*Table1[[#This Row],[BW40_3705]]),"")</f>
        <v/>
      </c>
      <c r="J9065" s="7" t="str">
        <f>IF(Table1[[#This Row],[Is Data Valid]]=TRUE,_xlfn.NORM.S.DIST(Table1[[#This Row],[Birthweight Z-Score]],TRUE)*100,"")</f>
        <v/>
      </c>
      <c r="K9065" s="7" t="str">
        <f>IF(Table1[[#This Row],[Is Data Valid]]=TRUE,_xlfn.NORM.S.DIST(Table1[[#This Row],[Birthweight Z-Score (BW-10%)]],TRUE)*100,"")</f>
        <v/>
      </c>
      <c r="L9065" s="7" t="str">
        <f>IF(Table1[[#This Row],[Is Data Valid]]=TRUE,_xlfn.NORM.S.DIST(Table1[[#This Row],[Birthweight Z-Score (BW+10%)]],TRUE)*100,"")</f>
        <v/>
      </c>
    </row>
    <row r="9066" spans="1:12" x14ac:dyDescent="0.35">
      <c r="A9066" s="3"/>
      <c r="B9066" s="2"/>
      <c r="C9066" s="2"/>
      <c r="D9066" s="2" t="b">
        <f>IF(AND(NOT(ISBLANK(Table1[[#This Row],[Fetal Sex (Male, Female or Unknown)]])),ISNUMBER(Table1[[#This Row],[Birthweight (grams)]]),ISNUMBER(Table1[[#This Row],[Gestation (days)]])),TRUE,FALSE)</f>
        <v>0</v>
      </c>
      <c r="E9066" s="2" t="str">
        <f>IF(Table1[[#This Row],[Is Data Valid]]=TRUE,IF(Table1[[#This Row],[Fetal Sex (Male, Female or Unknown)]]="Male",Backend!$C$6,IF(Table1[[#This Row],[Fetal Sex (Male, Female or Unknown)]]="Female",Backend!$C$7,IF(Table1[[#This Row],[Fetal Sex (Male, Female or Unknown)]]="Unknown",Backend!$C$8,"Error"))),"")</f>
        <v/>
      </c>
      <c r="F9066" s="8" t="str">
        <f>IF(Table1[[#This Row],[Is Data Valid]]=TRUE,EXP(0.578+0.332*((Table1[[#This Row],[Gestation (days)]]+0.5)/7)-0.00354*((Table1[[#This Row],[Gestation (days)]]+0.5)/7)^2)*Table1[[#This Row],[BW40_3705]],"")</f>
        <v/>
      </c>
      <c r="G9066" s="2" t="str">
        <f>IF(Table1[[#This Row],[Is Data Valid]]=TRUE,((Table1[[#This Row],[Birthweight (grams)]]/Table1[[#This Row],[BW_GA]])-1)/(Backend!$B$4/100*Table1[[#This Row],[BW40_3705]]),"")</f>
        <v/>
      </c>
      <c r="H9066" s="7" t="str">
        <f>IF(Table1[[#This Row],[Is Data Valid]]=TRUE,((Table1[[#This Row],[Birthweight (grams)]]*0.9/Table1[[#This Row],[BW_GA]])-1)/(Backend!$B$4/100*Table1[[#This Row],[BW40_3705]]),"")</f>
        <v/>
      </c>
      <c r="I9066" s="7" t="str">
        <f>IF(Table1[[#This Row],[Is Data Valid]]=TRUE,((Table1[[#This Row],[Birthweight (grams)]]*1.1/Table1[[#This Row],[BW_GA]])-1)/(Backend!$B$4/100*Table1[[#This Row],[BW40_3705]]),"")</f>
        <v/>
      </c>
      <c r="J9066" s="7" t="str">
        <f>IF(Table1[[#This Row],[Is Data Valid]]=TRUE,_xlfn.NORM.S.DIST(Table1[[#This Row],[Birthweight Z-Score]],TRUE)*100,"")</f>
        <v/>
      </c>
      <c r="K9066" s="7" t="str">
        <f>IF(Table1[[#This Row],[Is Data Valid]]=TRUE,_xlfn.NORM.S.DIST(Table1[[#This Row],[Birthweight Z-Score (BW-10%)]],TRUE)*100,"")</f>
        <v/>
      </c>
      <c r="L9066" s="7" t="str">
        <f>IF(Table1[[#This Row],[Is Data Valid]]=TRUE,_xlfn.NORM.S.DIST(Table1[[#This Row],[Birthweight Z-Score (BW+10%)]],TRUE)*100,"")</f>
        <v/>
      </c>
    </row>
    <row r="9067" spans="1:12" x14ac:dyDescent="0.35">
      <c r="A9067" s="3"/>
      <c r="B9067" s="2"/>
      <c r="C9067" s="2"/>
      <c r="D9067" s="2" t="b">
        <f>IF(AND(NOT(ISBLANK(Table1[[#This Row],[Fetal Sex (Male, Female or Unknown)]])),ISNUMBER(Table1[[#This Row],[Birthweight (grams)]]),ISNUMBER(Table1[[#This Row],[Gestation (days)]])),TRUE,FALSE)</f>
        <v>0</v>
      </c>
      <c r="E9067" s="2" t="str">
        <f>IF(Table1[[#This Row],[Is Data Valid]]=TRUE,IF(Table1[[#This Row],[Fetal Sex (Male, Female or Unknown)]]="Male",Backend!$C$6,IF(Table1[[#This Row],[Fetal Sex (Male, Female or Unknown)]]="Female",Backend!$C$7,IF(Table1[[#This Row],[Fetal Sex (Male, Female or Unknown)]]="Unknown",Backend!$C$8,"Error"))),"")</f>
        <v/>
      </c>
      <c r="F9067" s="8" t="str">
        <f>IF(Table1[[#This Row],[Is Data Valid]]=TRUE,EXP(0.578+0.332*((Table1[[#This Row],[Gestation (days)]]+0.5)/7)-0.00354*((Table1[[#This Row],[Gestation (days)]]+0.5)/7)^2)*Table1[[#This Row],[BW40_3705]],"")</f>
        <v/>
      </c>
      <c r="G9067" s="2" t="str">
        <f>IF(Table1[[#This Row],[Is Data Valid]]=TRUE,((Table1[[#This Row],[Birthweight (grams)]]/Table1[[#This Row],[BW_GA]])-1)/(Backend!$B$4/100*Table1[[#This Row],[BW40_3705]]),"")</f>
        <v/>
      </c>
      <c r="H9067" s="7" t="str">
        <f>IF(Table1[[#This Row],[Is Data Valid]]=TRUE,((Table1[[#This Row],[Birthweight (grams)]]*0.9/Table1[[#This Row],[BW_GA]])-1)/(Backend!$B$4/100*Table1[[#This Row],[BW40_3705]]),"")</f>
        <v/>
      </c>
      <c r="I9067" s="7" t="str">
        <f>IF(Table1[[#This Row],[Is Data Valid]]=TRUE,((Table1[[#This Row],[Birthweight (grams)]]*1.1/Table1[[#This Row],[BW_GA]])-1)/(Backend!$B$4/100*Table1[[#This Row],[BW40_3705]]),"")</f>
        <v/>
      </c>
      <c r="J9067" s="7" t="str">
        <f>IF(Table1[[#This Row],[Is Data Valid]]=TRUE,_xlfn.NORM.S.DIST(Table1[[#This Row],[Birthweight Z-Score]],TRUE)*100,"")</f>
        <v/>
      </c>
      <c r="K9067" s="7" t="str">
        <f>IF(Table1[[#This Row],[Is Data Valid]]=TRUE,_xlfn.NORM.S.DIST(Table1[[#This Row],[Birthweight Z-Score (BW-10%)]],TRUE)*100,"")</f>
        <v/>
      </c>
      <c r="L9067" s="7" t="str">
        <f>IF(Table1[[#This Row],[Is Data Valid]]=TRUE,_xlfn.NORM.S.DIST(Table1[[#This Row],[Birthweight Z-Score (BW+10%)]],TRUE)*100,"")</f>
        <v/>
      </c>
    </row>
    <row r="9068" spans="1:12" x14ac:dyDescent="0.35">
      <c r="A9068" s="3"/>
      <c r="B9068" s="2"/>
      <c r="C9068" s="2"/>
      <c r="D9068" s="2" t="b">
        <f>IF(AND(NOT(ISBLANK(Table1[[#This Row],[Fetal Sex (Male, Female or Unknown)]])),ISNUMBER(Table1[[#This Row],[Birthweight (grams)]]),ISNUMBER(Table1[[#This Row],[Gestation (days)]])),TRUE,FALSE)</f>
        <v>0</v>
      </c>
      <c r="E9068" s="2" t="str">
        <f>IF(Table1[[#This Row],[Is Data Valid]]=TRUE,IF(Table1[[#This Row],[Fetal Sex (Male, Female or Unknown)]]="Male",Backend!$C$6,IF(Table1[[#This Row],[Fetal Sex (Male, Female or Unknown)]]="Female",Backend!$C$7,IF(Table1[[#This Row],[Fetal Sex (Male, Female or Unknown)]]="Unknown",Backend!$C$8,"Error"))),"")</f>
        <v/>
      </c>
      <c r="F9068" s="8" t="str">
        <f>IF(Table1[[#This Row],[Is Data Valid]]=TRUE,EXP(0.578+0.332*((Table1[[#This Row],[Gestation (days)]]+0.5)/7)-0.00354*((Table1[[#This Row],[Gestation (days)]]+0.5)/7)^2)*Table1[[#This Row],[BW40_3705]],"")</f>
        <v/>
      </c>
      <c r="G9068" s="2" t="str">
        <f>IF(Table1[[#This Row],[Is Data Valid]]=TRUE,((Table1[[#This Row],[Birthweight (grams)]]/Table1[[#This Row],[BW_GA]])-1)/(Backend!$B$4/100*Table1[[#This Row],[BW40_3705]]),"")</f>
        <v/>
      </c>
      <c r="H9068" s="7" t="str">
        <f>IF(Table1[[#This Row],[Is Data Valid]]=TRUE,((Table1[[#This Row],[Birthweight (grams)]]*0.9/Table1[[#This Row],[BW_GA]])-1)/(Backend!$B$4/100*Table1[[#This Row],[BW40_3705]]),"")</f>
        <v/>
      </c>
      <c r="I9068" s="7" t="str">
        <f>IF(Table1[[#This Row],[Is Data Valid]]=TRUE,((Table1[[#This Row],[Birthweight (grams)]]*1.1/Table1[[#This Row],[BW_GA]])-1)/(Backend!$B$4/100*Table1[[#This Row],[BW40_3705]]),"")</f>
        <v/>
      </c>
      <c r="J9068" s="7" t="str">
        <f>IF(Table1[[#This Row],[Is Data Valid]]=TRUE,_xlfn.NORM.S.DIST(Table1[[#This Row],[Birthweight Z-Score]],TRUE)*100,"")</f>
        <v/>
      </c>
      <c r="K9068" s="7" t="str">
        <f>IF(Table1[[#This Row],[Is Data Valid]]=TRUE,_xlfn.NORM.S.DIST(Table1[[#This Row],[Birthweight Z-Score (BW-10%)]],TRUE)*100,"")</f>
        <v/>
      </c>
      <c r="L9068" s="7" t="str">
        <f>IF(Table1[[#This Row],[Is Data Valid]]=TRUE,_xlfn.NORM.S.DIST(Table1[[#This Row],[Birthweight Z-Score (BW+10%)]],TRUE)*100,"")</f>
        <v/>
      </c>
    </row>
    <row r="9069" spans="1:12" x14ac:dyDescent="0.35">
      <c r="A9069" s="3"/>
      <c r="B9069" s="2"/>
      <c r="C9069" s="2"/>
      <c r="D9069" s="2" t="b">
        <f>IF(AND(NOT(ISBLANK(Table1[[#This Row],[Fetal Sex (Male, Female or Unknown)]])),ISNUMBER(Table1[[#This Row],[Birthweight (grams)]]),ISNUMBER(Table1[[#This Row],[Gestation (days)]])),TRUE,FALSE)</f>
        <v>0</v>
      </c>
      <c r="E9069" s="2" t="str">
        <f>IF(Table1[[#This Row],[Is Data Valid]]=TRUE,IF(Table1[[#This Row],[Fetal Sex (Male, Female or Unknown)]]="Male",Backend!$C$6,IF(Table1[[#This Row],[Fetal Sex (Male, Female or Unknown)]]="Female",Backend!$C$7,IF(Table1[[#This Row],[Fetal Sex (Male, Female or Unknown)]]="Unknown",Backend!$C$8,"Error"))),"")</f>
        <v/>
      </c>
      <c r="F9069" s="8" t="str">
        <f>IF(Table1[[#This Row],[Is Data Valid]]=TRUE,EXP(0.578+0.332*((Table1[[#This Row],[Gestation (days)]]+0.5)/7)-0.00354*((Table1[[#This Row],[Gestation (days)]]+0.5)/7)^2)*Table1[[#This Row],[BW40_3705]],"")</f>
        <v/>
      </c>
      <c r="G9069" s="2" t="str">
        <f>IF(Table1[[#This Row],[Is Data Valid]]=TRUE,((Table1[[#This Row],[Birthweight (grams)]]/Table1[[#This Row],[BW_GA]])-1)/(Backend!$B$4/100*Table1[[#This Row],[BW40_3705]]),"")</f>
        <v/>
      </c>
      <c r="H9069" s="7" t="str">
        <f>IF(Table1[[#This Row],[Is Data Valid]]=TRUE,((Table1[[#This Row],[Birthweight (grams)]]*0.9/Table1[[#This Row],[BW_GA]])-1)/(Backend!$B$4/100*Table1[[#This Row],[BW40_3705]]),"")</f>
        <v/>
      </c>
      <c r="I9069" s="7" t="str">
        <f>IF(Table1[[#This Row],[Is Data Valid]]=TRUE,((Table1[[#This Row],[Birthweight (grams)]]*1.1/Table1[[#This Row],[BW_GA]])-1)/(Backend!$B$4/100*Table1[[#This Row],[BW40_3705]]),"")</f>
        <v/>
      </c>
      <c r="J9069" s="7" t="str">
        <f>IF(Table1[[#This Row],[Is Data Valid]]=TRUE,_xlfn.NORM.S.DIST(Table1[[#This Row],[Birthweight Z-Score]],TRUE)*100,"")</f>
        <v/>
      </c>
      <c r="K9069" s="7" t="str">
        <f>IF(Table1[[#This Row],[Is Data Valid]]=TRUE,_xlfn.NORM.S.DIST(Table1[[#This Row],[Birthweight Z-Score (BW-10%)]],TRUE)*100,"")</f>
        <v/>
      </c>
      <c r="L9069" s="7" t="str">
        <f>IF(Table1[[#This Row],[Is Data Valid]]=TRUE,_xlfn.NORM.S.DIST(Table1[[#This Row],[Birthweight Z-Score (BW+10%)]],TRUE)*100,"")</f>
        <v/>
      </c>
    </row>
    <row r="9070" spans="1:12" x14ac:dyDescent="0.35">
      <c r="A9070" s="3"/>
      <c r="B9070" s="2"/>
      <c r="C9070" s="2"/>
      <c r="D9070" s="2" t="b">
        <f>IF(AND(NOT(ISBLANK(Table1[[#This Row],[Fetal Sex (Male, Female or Unknown)]])),ISNUMBER(Table1[[#This Row],[Birthweight (grams)]]),ISNUMBER(Table1[[#This Row],[Gestation (days)]])),TRUE,FALSE)</f>
        <v>0</v>
      </c>
      <c r="E9070" s="2" t="str">
        <f>IF(Table1[[#This Row],[Is Data Valid]]=TRUE,IF(Table1[[#This Row],[Fetal Sex (Male, Female or Unknown)]]="Male",Backend!$C$6,IF(Table1[[#This Row],[Fetal Sex (Male, Female or Unknown)]]="Female",Backend!$C$7,IF(Table1[[#This Row],[Fetal Sex (Male, Female or Unknown)]]="Unknown",Backend!$C$8,"Error"))),"")</f>
        <v/>
      </c>
      <c r="F9070" s="8" t="str">
        <f>IF(Table1[[#This Row],[Is Data Valid]]=TRUE,EXP(0.578+0.332*((Table1[[#This Row],[Gestation (days)]]+0.5)/7)-0.00354*((Table1[[#This Row],[Gestation (days)]]+0.5)/7)^2)*Table1[[#This Row],[BW40_3705]],"")</f>
        <v/>
      </c>
      <c r="G9070" s="2" t="str">
        <f>IF(Table1[[#This Row],[Is Data Valid]]=TRUE,((Table1[[#This Row],[Birthweight (grams)]]/Table1[[#This Row],[BW_GA]])-1)/(Backend!$B$4/100*Table1[[#This Row],[BW40_3705]]),"")</f>
        <v/>
      </c>
      <c r="H9070" s="7" t="str">
        <f>IF(Table1[[#This Row],[Is Data Valid]]=TRUE,((Table1[[#This Row],[Birthweight (grams)]]*0.9/Table1[[#This Row],[BW_GA]])-1)/(Backend!$B$4/100*Table1[[#This Row],[BW40_3705]]),"")</f>
        <v/>
      </c>
      <c r="I9070" s="7" t="str">
        <f>IF(Table1[[#This Row],[Is Data Valid]]=TRUE,((Table1[[#This Row],[Birthweight (grams)]]*1.1/Table1[[#This Row],[BW_GA]])-1)/(Backend!$B$4/100*Table1[[#This Row],[BW40_3705]]),"")</f>
        <v/>
      </c>
      <c r="J9070" s="7" t="str">
        <f>IF(Table1[[#This Row],[Is Data Valid]]=TRUE,_xlfn.NORM.S.DIST(Table1[[#This Row],[Birthweight Z-Score]],TRUE)*100,"")</f>
        <v/>
      </c>
      <c r="K9070" s="7" t="str">
        <f>IF(Table1[[#This Row],[Is Data Valid]]=TRUE,_xlfn.NORM.S.DIST(Table1[[#This Row],[Birthweight Z-Score (BW-10%)]],TRUE)*100,"")</f>
        <v/>
      </c>
      <c r="L9070" s="7" t="str">
        <f>IF(Table1[[#This Row],[Is Data Valid]]=TRUE,_xlfn.NORM.S.DIST(Table1[[#This Row],[Birthweight Z-Score (BW+10%)]],TRUE)*100,"")</f>
        <v/>
      </c>
    </row>
    <row r="9071" spans="1:12" x14ac:dyDescent="0.35">
      <c r="A9071" s="3"/>
      <c r="B9071" s="2"/>
      <c r="C9071" s="2"/>
      <c r="D9071" s="2" t="b">
        <f>IF(AND(NOT(ISBLANK(Table1[[#This Row],[Fetal Sex (Male, Female or Unknown)]])),ISNUMBER(Table1[[#This Row],[Birthweight (grams)]]),ISNUMBER(Table1[[#This Row],[Gestation (days)]])),TRUE,FALSE)</f>
        <v>0</v>
      </c>
      <c r="E9071" s="2" t="str">
        <f>IF(Table1[[#This Row],[Is Data Valid]]=TRUE,IF(Table1[[#This Row],[Fetal Sex (Male, Female or Unknown)]]="Male",Backend!$C$6,IF(Table1[[#This Row],[Fetal Sex (Male, Female or Unknown)]]="Female",Backend!$C$7,IF(Table1[[#This Row],[Fetal Sex (Male, Female or Unknown)]]="Unknown",Backend!$C$8,"Error"))),"")</f>
        <v/>
      </c>
      <c r="F9071" s="8" t="str">
        <f>IF(Table1[[#This Row],[Is Data Valid]]=TRUE,EXP(0.578+0.332*((Table1[[#This Row],[Gestation (days)]]+0.5)/7)-0.00354*((Table1[[#This Row],[Gestation (days)]]+0.5)/7)^2)*Table1[[#This Row],[BW40_3705]],"")</f>
        <v/>
      </c>
      <c r="G9071" s="2" t="str">
        <f>IF(Table1[[#This Row],[Is Data Valid]]=TRUE,((Table1[[#This Row],[Birthweight (grams)]]/Table1[[#This Row],[BW_GA]])-1)/(Backend!$B$4/100*Table1[[#This Row],[BW40_3705]]),"")</f>
        <v/>
      </c>
      <c r="H9071" s="7" t="str">
        <f>IF(Table1[[#This Row],[Is Data Valid]]=TRUE,((Table1[[#This Row],[Birthweight (grams)]]*0.9/Table1[[#This Row],[BW_GA]])-1)/(Backend!$B$4/100*Table1[[#This Row],[BW40_3705]]),"")</f>
        <v/>
      </c>
      <c r="I9071" s="7" t="str">
        <f>IF(Table1[[#This Row],[Is Data Valid]]=TRUE,((Table1[[#This Row],[Birthweight (grams)]]*1.1/Table1[[#This Row],[BW_GA]])-1)/(Backend!$B$4/100*Table1[[#This Row],[BW40_3705]]),"")</f>
        <v/>
      </c>
      <c r="J9071" s="7" t="str">
        <f>IF(Table1[[#This Row],[Is Data Valid]]=TRUE,_xlfn.NORM.S.DIST(Table1[[#This Row],[Birthweight Z-Score]],TRUE)*100,"")</f>
        <v/>
      </c>
      <c r="K9071" s="7" t="str">
        <f>IF(Table1[[#This Row],[Is Data Valid]]=TRUE,_xlfn.NORM.S.DIST(Table1[[#This Row],[Birthweight Z-Score (BW-10%)]],TRUE)*100,"")</f>
        <v/>
      </c>
      <c r="L9071" s="7" t="str">
        <f>IF(Table1[[#This Row],[Is Data Valid]]=TRUE,_xlfn.NORM.S.DIST(Table1[[#This Row],[Birthweight Z-Score (BW+10%)]],TRUE)*100,"")</f>
        <v/>
      </c>
    </row>
    <row r="9072" spans="1:12" x14ac:dyDescent="0.35">
      <c r="A9072" s="3"/>
      <c r="B9072" s="2"/>
      <c r="C9072" s="2"/>
      <c r="D9072" s="2" t="b">
        <f>IF(AND(NOT(ISBLANK(Table1[[#This Row],[Fetal Sex (Male, Female or Unknown)]])),ISNUMBER(Table1[[#This Row],[Birthweight (grams)]]),ISNUMBER(Table1[[#This Row],[Gestation (days)]])),TRUE,FALSE)</f>
        <v>0</v>
      </c>
      <c r="E9072" s="2" t="str">
        <f>IF(Table1[[#This Row],[Is Data Valid]]=TRUE,IF(Table1[[#This Row],[Fetal Sex (Male, Female or Unknown)]]="Male",Backend!$C$6,IF(Table1[[#This Row],[Fetal Sex (Male, Female or Unknown)]]="Female",Backend!$C$7,IF(Table1[[#This Row],[Fetal Sex (Male, Female or Unknown)]]="Unknown",Backend!$C$8,"Error"))),"")</f>
        <v/>
      </c>
      <c r="F9072" s="8" t="str">
        <f>IF(Table1[[#This Row],[Is Data Valid]]=TRUE,EXP(0.578+0.332*((Table1[[#This Row],[Gestation (days)]]+0.5)/7)-0.00354*((Table1[[#This Row],[Gestation (days)]]+0.5)/7)^2)*Table1[[#This Row],[BW40_3705]],"")</f>
        <v/>
      </c>
      <c r="G9072" s="2" t="str">
        <f>IF(Table1[[#This Row],[Is Data Valid]]=TRUE,((Table1[[#This Row],[Birthweight (grams)]]/Table1[[#This Row],[BW_GA]])-1)/(Backend!$B$4/100*Table1[[#This Row],[BW40_3705]]),"")</f>
        <v/>
      </c>
      <c r="H9072" s="7" t="str">
        <f>IF(Table1[[#This Row],[Is Data Valid]]=TRUE,((Table1[[#This Row],[Birthweight (grams)]]*0.9/Table1[[#This Row],[BW_GA]])-1)/(Backend!$B$4/100*Table1[[#This Row],[BW40_3705]]),"")</f>
        <v/>
      </c>
      <c r="I9072" s="7" t="str">
        <f>IF(Table1[[#This Row],[Is Data Valid]]=TRUE,((Table1[[#This Row],[Birthweight (grams)]]*1.1/Table1[[#This Row],[BW_GA]])-1)/(Backend!$B$4/100*Table1[[#This Row],[BW40_3705]]),"")</f>
        <v/>
      </c>
      <c r="J9072" s="7" t="str">
        <f>IF(Table1[[#This Row],[Is Data Valid]]=TRUE,_xlfn.NORM.S.DIST(Table1[[#This Row],[Birthweight Z-Score]],TRUE)*100,"")</f>
        <v/>
      </c>
      <c r="K9072" s="7" t="str">
        <f>IF(Table1[[#This Row],[Is Data Valid]]=TRUE,_xlfn.NORM.S.DIST(Table1[[#This Row],[Birthweight Z-Score (BW-10%)]],TRUE)*100,"")</f>
        <v/>
      </c>
      <c r="L9072" s="7" t="str">
        <f>IF(Table1[[#This Row],[Is Data Valid]]=TRUE,_xlfn.NORM.S.DIST(Table1[[#This Row],[Birthweight Z-Score (BW+10%)]],TRUE)*100,"")</f>
        <v/>
      </c>
    </row>
    <row r="9073" spans="1:12" x14ac:dyDescent="0.35">
      <c r="A9073" s="3"/>
      <c r="B9073" s="2"/>
      <c r="C9073" s="2"/>
      <c r="D9073" s="2" t="b">
        <f>IF(AND(NOT(ISBLANK(Table1[[#This Row],[Fetal Sex (Male, Female or Unknown)]])),ISNUMBER(Table1[[#This Row],[Birthweight (grams)]]),ISNUMBER(Table1[[#This Row],[Gestation (days)]])),TRUE,FALSE)</f>
        <v>0</v>
      </c>
      <c r="E9073" s="2" t="str">
        <f>IF(Table1[[#This Row],[Is Data Valid]]=TRUE,IF(Table1[[#This Row],[Fetal Sex (Male, Female or Unknown)]]="Male",Backend!$C$6,IF(Table1[[#This Row],[Fetal Sex (Male, Female or Unknown)]]="Female",Backend!$C$7,IF(Table1[[#This Row],[Fetal Sex (Male, Female or Unknown)]]="Unknown",Backend!$C$8,"Error"))),"")</f>
        <v/>
      </c>
      <c r="F9073" s="8" t="str">
        <f>IF(Table1[[#This Row],[Is Data Valid]]=TRUE,EXP(0.578+0.332*((Table1[[#This Row],[Gestation (days)]]+0.5)/7)-0.00354*((Table1[[#This Row],[Gestation (days)]]+0.5)/7)^2)*Table1[[#This Row],[BW40_3705]],"")</f>
        <v/>
      </c>
      <c r="G9073" s="2" t="str">
        <f>IF(Table1[[#This Row],[Is Data Valid]]=TRUE,((Table1[[#This Row],[Birthweight (grams)]]/Table1[[#This Row],[BW_GA]])-1)/(Backend!$B$4/100*Table1[[#This Row],[BW40_3705]]),"")</f>
        <v/>
      </c>
      <c r="H9073" s="7" t="str">
        <f>IF(Table1[[#This Row],[Is Data Valid]]=TRUE,((Table1[[#This Row],[Birthweight (grams)]]*0.9/Table1[[#This Row],[BW_GA]])-1)/(Backend!$B$4/100*Table1[[#This Row],[BW40_3705]]),"")</f>
        <v/>
      </c>
      <c r="I9073" s="7" t="str">
        <f>IF(Table1[[#This Row],[Is Data Valid]]=TRUE,((Table1[[#This Row],[Birthweight (grams)]]*1.1/Table1[[#This Row],[BW_GA]])-1)/(Backend!$B$4/100*Table1[[#This Row],[BW40_3705]]),"")</f>
        <v/>
      </c>
      <c r="J9073" s="7" t="str">
        <f>IF(Table1[[#This Row],[Is Data Valid]]=TRUE,_xlfn.NORM.S.DIST(Table1[[#This Row],[Birthweight Z-Score]],TRUE)*100,"")</f>
        <v/>
      </c>
      <c r="K9073" s="7" t="str">
        <f>IF(Table1[[#This Row],[Is Data Valid]]=TRUE,_xlfn.NORM.S.DIST(Table1[[#This Row],[Birthweight Z-Score (BW-10%)]],TRUE)*100,"")</f>
        <v/>
      </c>
      <c r="L9073" s="7" t="str">
        <f>IF(Table1[[#This Row],[Is Data Valid]]=TRUE,_xlfn.NORM.S.DIST(Table1[[#This Row],[Birthweight Z-Score (BW+10%)]],TRUE)*100,"")</f>
        <v/>
      </c>
    </row>
    <row r="9074" spans="1:12" x14ac:dyDescent="0.35">
      <c r="A9074" s="3"/>
      <c r="B9074" s="2"/>
      <c r="C9074" s="2"/>
      <c r="D9074" s="2" t="b">
        <f>IF(AND(NOT(ISBLANK(Table1[[#This Row],[Fetal Sex (Male, Female or Unknown)]])),ISNUMBER(Table1[[#This Row],[Birthweight (grams)]]),ISNUMBER(Table1[[#This Row],[Gestation (days)]])),TRUE,FALSE)</f>
        <v>0</v>
      </c>
      <c r="E9074" s="2" t="str">
        <f>IF(Table1[[#This Row],[Is Data Valid]]=TRUE,IF(Table1[[#This Row],[Fetal Sex (Male, Female or Unknown)]]="Male",Backend!$C$6,IF(Table1[[#This Row],[Fetal Sex (Male, Female or Unknown)]]="Female",Backend!$C$7,IF(Table1[[#This Row],[Fetal Sex (Male, Female or Unknown)]]="Unknown",Backend!$C$8,"Error"))),"")</f>
        <v/>
      </c>
      <c r="F9074" s="8" t="str">
        <f>IF(Table1[[#This Row],[Is Data Valid]]=TRUE,EXP(0.578+0.332*((Table1[[#This Row],[Gestation (days)]]+0.5)/7)-0.00354*((Table1[[#This Row],[Gestation (days)]]+0.5)/7)^2)*Table1[[#This Row],[BW40_3705]],"")</f>
        <v/>
      </c>
      <c r="G9074" s="2" t="str">
        <f>IF(Table1[[#This Row],[Is Data Valid]]=TRUE,((Table1[[#This Row],[Birthweight (grams)]]/Table1[[#This Row],[BW_GA]])-1)/(Backend!$B$4/100*Table1[[#This Row],[BW40_3705]]),"")</f>
        <v/>
      </c>
      <c r="H9074" s="7" t="str">
        <f>IF(Table1[[#This Row],[Is Data Valid]]=TRUE,((Table1[[#This Row],[Birthweight (grams)]]*0.9/Table1[[#This Row],[BW_GA]])-1)/(Backend!$B$4/100*Table1[[#This Row],[BW40_3705]]),"")</f>
        <v/>
      </c>
      <c r="I9074" s="7" t="str">
        <f>IF(Table1[[#This Row],[Is Data Valid]]=TRUE,((Table1[[#This Row],[Birthweight (grams)]]*1.1/Table1[[#This Row],[BW_GA]])-1)/(Backend!$B$4/100*Table1[[#This Row],[BW40_3705]]),"")</f>
        <v/>
      </c>
      <c r="J9074" s="7" t="str">
        <f>IF(Table1[[#This Row],[Is Data Valid]]=TRUE,_xlfn.NORM.S.DIST(Table1[[#This Row],[Birthweight Z-Score]],TRUE)*100,"")</f>
        <v/>
      </c>
      <c r="K9074" s="7" t="str">
        <f>IF(Table1[[#This Row],[Is Data Valid]]=TRUE,_xlfn.NORM.S.DIST(Table1[[#This Row],[Birthweight Z-Score (BW-10%)]],TRUE)*100,"")</f>
        <v/>
      </c>
      <c r="L9074" s="7" t="str">
        <f>IF(Table1[[#This Row],[Is Data Valid]]=TRUE,_xlfn.NORM.S.DIST(Table1[[#This Row],[Birthweight Z-Score (BW+10%)]],TRUE)*100,"")</f>
        <v/>
      </c>
    </row>
    <row r="9075" spans="1:12" x14ac:dyDescent="0.35">
      <c r="A9075" s="3"/>
      <c r="B9075" s="2"/>
      <c r="C9075" s="2"/>
      <c r="D9075" s="2" t="b">
        <f>IF(AND(NOT(ISBLANK(Table1[[#This Row],[Fetal Sex (Male, Female or Unknown)]])),ISNUMBER(Table1[[#This Row],[Birthweight (grams)]]),ISNUMBER(Table1[[#This Row],[Gestation (days)]])),TRUE,FALSE)</f>
        <v>0</v>
      </c>
      <c r="E9075" s="2" t="str">
        <f>IF(Table1[[#This Row],[Is Data Valid]]=TRUE,IF(Table1[[#This Row],[Fetal Sex (Male, Female or Unknown)]]="Male",Backend!$C$6,IF(Table1[[#This Row],[Fetal Sex (Male, Female or Unknown)]]="Female",Backend!$C$7,IF(Table1[[#This Row],[Fetal Sex (Male, Female or Unknown)]]="Unknown",Backend!$C$8,"Error"))),"")</f>
        <v/>
      </c>
      <c r="F9075" s="8" t="str">
        <f>IF(Table1[[#This Row],[Is Data Valid]]=TRUE,EXP(0.578+0.332*((Table1[[#This Row],[Gestation (days)]]+0.5)/7)-0.00354*((Table1[[#This Row],[Gestation (days)]]+0.5)/7)^2)*Table1[[#This Row],[BW40_3705]],"")</f>
        <v/>
      </c>
      <c r="G9075" s="2" t="str">
        <f>IF(Table1[[#This Row],[Is Data Valid]]=TRUE,((Table1[[#This Row],[Birthweight (grams)]]/Table1[[#This Row],[BW_GA]])-1)/(Backend!$B$4/100*Table1[[#This Row],[BW40_3705]]),"")</f>
        <v/>
      </c>
      <c r="H9075" s="7" t="str">
        <f>IF(Table1[[#This Row],[Is Data Valid]]=TRUE,((Table1[[#This Row],[Birthweight (grams)]]*0.9/Table1[[#This Row],[BW_GA]])-1)/(Backend!$B$4/100*Table1[[#This Row],[BW40_3705]]),"")</f>
        <v/>
      </c>
      <c r="I9075" s="7" t="str">
        <f>IF(Table1[[#This Row],[Is Data Valid]]=TRUE,((Table1[[#This Row],[Birthweight (grams)]]*1.1/Table1[[#This Row],[BW_GA]])-1)/(Backend!$B$4/100*Table1[[#This Row],[BW40_3705]]),"")</f>
        <v/>
      </c>
      <c r="J9075" s="7" t="str">
        <f>IF(Table1[[#This Row],[Is Data Valid]]=TRUE,_xlfn.NORM.S.DIST(Table1[[#This Row],[Birthweight Z-Score]],TRUE)*100,"")</f>
        <v/>
      </c>
      <c r="K9075" s="7" t="str">
        <f>IF(Table1[[#This Row],[Is Data Valid]]=TRUE,_xlfn.NORM.S.DIST(Table1[[#This Row],[Birthweight Z-Score (BW-10%)]],TRUE)*100,"")</f>
        <v/>
      </c>
      <c r="L9075" s="7" t="str">
        <f>IF(Table1[[#This Row],[Is Data Valid]]=TRUE,_xlfn.NORM.S.DIST(Table1[[#This Row],[Birthweight Z-Score (BW+10%)]],TRUE)*100,"")</f>
        <v/>
      </c>
    </row>
    <row r="9076" spans="1:12" x14ac:dyDescent="0.35">
      <c r="A9076" s="3"/>
      <c r="B9076" s="2"/>
      <c r="C9076" s="2"/>
      <c r="D9076" s="2" t="b">
        <f>IF(AND(NOT(ISBLANK(Table1[[#This Row],[Fetal Sex (Male, Female or Unknown)]])),ISNUMBER(Table1[[#This Row],[Birthweight (grams)]]),ISNUMBER(Table1[[#This Row],[Gestation (days)]])),TRUE,FALSE)</f>
        <v>0</v>
      </c>
      <c r="E9076" s="2" t="str">
        <f>IF(Table1[[#This Row],[Is Data Valid]]=TRUE,IF(Table1[[#This Row],[Fetal Sex (Male, Female or Unknown)]]="Male",Backend!$C$6,IF(Table1[[#This Row],[Fetal Sex (Male, Female or Unknown)]]="Female",Backend!$C$7,IF(Table1[[#This Row],[Fetal Sex (Male, Female or Unknown)]]="Unknown",Backend!$C$8,"Error"))),"")</f>
        <v/>
      </c>
      <c r="F9076" s="8" t="str">
        <f>IF(Table1[[#This Row],[Is Data Valid]]=TRUE,EXP(0.578+0.332*((Table1[[#This Row],[Gestation (days)]]+0.5)/7)-0.00354*((Table1[[#This Row],[Gestation (days)]]+0.5)/7)^2)*Table1[[#This Row],[BW40_3705]],"")</f>
        <v/>
      </c>
      <c r="G9076" s="2" t="str">
        <f>IF(Table1[[#This Row],[Is Data Valid]]=TRUE,((Table1[[#This Row],[Birthweight (grams)]]/Table1[[#This Row],[BW_GA]])-1)/(Backend!$B$4/100*Table1[[#This Row],[BW40_3705]]),"")</f>
        <v/>
      </c>
      <c r="H9076" s="7" t="str">
        <f>IF(Table1[[#This Row],[Is Data Valid]]=TRUE,((Table1[[#This Row],[Birthweight (grams)]]*0.9/Table1[[#This Row],[BW_GA]])-1)/(Backend!$B$4/100*Table1[[#This Row],[BW40_3705]]),"")</f>
        <v/>
      </c>
      <c r="I9076" s="7" t="str">
        <f>IF(Table1[[#This Row],[Is Data Valid]]=TRUE,((Table1[[#This Row],[Birthweight (grams)]]*1.1/Table1[[#This Row],[BW_GA]])-1)/(Backend!$B$4/100*Table1[[#This Row],[BW40_3705]]),"")</f>
        <v/>
      </c>
      <c r="J9076" s="7" t="str">
        <f>IF(Table1[[#This Row],[Is Data Valid]]=TRUE,_xlfn.NORM.S.DIST(Table1[[#This Row],[Birthweight Z-Score]],TRUE)*100,"")</f>
        <v/>
      </c>
      <c r="K9076" s="7" t="str">
        <f>IF(Table1[[#This Row],[Is Data Valid]]=TRUE,_xlfn.NORM.S.DIST(Table1[[#This Row],[Birthweight Z-Score (BW-10%)]],TRUE)*100,"")</f>
        <v/>
      </c>
      <c r="L9076" s="7" t="str">
        <f>IF(Table1[[#This Row],[Is Data Valid]]=TRUE,_xlfn.NORM.S.DIST(Table1[[#This Row],[Birthweight Z-Score (BW+10%)]],TRUE)*100,"")</f>
        <v/>
      </c>
    </row>
    <row r="9077" spans="1:12" x14ac:dyDescent="0.35">
      <c r="A9077" s="3"/>
      <c r="B9077" s="2"/>
      <c r="C9077" s="2"/>
      <c r="D9077" s="2" t="b">
        <f>IF(AND(NOT(ISBLANK(Table1[[#This Row],[Fetal Sex (Male, Female or Unknown)]])),ISNUMBER(Table1[[#This Row],[Birthweight (grams)]]),ISNUMBER(Table1[[#This Row],[Gestation (days)]])),TRUE,FALSE)</f>
        <v>0</v>
      </c>
      <c r="E9077" s="2" t="str">
        <f>IF(Table1[[#This Row],[Is Data Valid]]=TRUE,IF(Table1[[#This Row],[Fetal Sex (Male, Female or Unknown)]]="Male",Backend!$C$6,IF(Table1[[#This Row],[Fetal Sex (Male, Female or Unknown)]]="Female",Backend!$C$7,IF(Table1[[#This Row],[Fetal Sex (Male, Female or Unknown)]]="Unknown",Backend!$C$8,"Error"))),"")</f>
        <v/>
      </c>
      <c r="F9077" s="8" t="str">
        <f>IF(Table1[[#This Row],[Is Data Valid]]=TRUE,EXP(0.578+0.332*((Table1[[#This Row],[Gestation (days)]]+0.5)/7)-0.00354*((Table1[[#This Row],[Gestation (days)]]+0.5)/7)^2)*Table1[[#This Row],[BW40_3705]],"")</f>
        <v/>
      </c>
      <c r="G9077" s="2" t="str">
        <f>IF(Table1[[#This Row],[Is Data Valid]]=TRUE,((Table1[[#This Row],[Birthweight (grams)]]/Table1[[#This Row],[BW_GA]])-1)/(Backend!$B$4/100*Table1[[#This Row],[BW40_3705]]),"")</f>
        <v/>
      </c>
      <c r="H9077" s="7" t="str">
        <f>IF(Table1[[#This Row],[Is Data Valid]]=TRUE,((Table1[[#This Row],[Birthweight (grams)]]*0.9/Table1[[#This Row],[BW_GA]])-1)/(Backend!$B$4/100*Table1[[#This Row],[BW40_3705]]),"")</f>
        <v/>
      </c>
      <c r="I9077" s="7" t="str">
        <f>IF(Table1[[#This Row],[Is Data Valid]]=TRUE,((Table1[[#This Row],[Birthweight (grams)]]*1.1/Table1[[#This Row],[BW_GA]])-1)/(Backend!$B$4/100*Table1[[#This Row],[BW40_3705]]),"")</f>
        <v/>
      </c>
      <c r="J9077" s="7" t="str">
        <f>IF(Table1[[#This Row],[Is Data Valid]]=TRUE,_xlfn.NORM.S.DIST(Table1[[#This Row],[Birthweight Z-Score]],TRUE)*100,"")</f>
        <v/>
      </c>
      <c r="K9077" s="7" t="str">
        <f>IF(Table1[[#This Row],[Is Data Valid]]=TRUE,_xlfn.NORM.S.DIST(Table1[[#This Row],[Birthweight Z-Score (BW-10%)]],TRUE)*100,"")</f>
        <v/>
      </c>
      <c r="L9077" s="7" t="str">
        <f>IF(Table1[[#This Row],[Is Data Valid]]=TRUE,_xlfn.NORM.S.DIST(Table1[[#This Row],[Birthweight Z-Score (BW+10%)]],TRUE)*100,"")</f>
        <v/>
      </c>
    </row>
    <row r="9078" spans="1:12" x14ac:dyDescent="0.35">
      <c r="A9078" s="3"/>
      <c r="B9078" s="2"/>
      <c r="C9078" s="2"/>
      <c r="D9078" s="2" t="b">
        <f>IF(AND(NOT(ISBLANK(Table1[[#This Row],[Fetal Sex (Male, Female or Unknown)]])),ISNUMBER(Table1[[#This Row],[Birthweight (grams)]]),ISNUMBER(Table1[[#This Row],[Gestation (days)]])),TRUE,FALSE)</f>
        <v>0</v>
      </c>
      <c r="E9078" s="2" t="str">
        <f>IF(Table1[[#This Row],[Is Data Valid]]=TRUE,IF(Table1[[#This Row],[Fetal Sex (Male, Female or Unknown)]]="Male",Backend!$C$6,IF(Table1[[#This Row],[Fetal Sex (Male, Female or Unknown)]]="Female",Backend!$C$7,IF(Table1[[#This Row],[Fetal Sex (Male, Female or Unknown)]]="Unknown",Backend!$C$8,"Error"))),"")</f>
        <v/>
      </c>
      <c r="F9078" s="8" t="str">
        <f>IF(Table1[[#This Row],[Is Data Valid]]=TRUE,EXP(0.578+0.332*((Table1[[#This Row],[Gestation (days)]]+0.5)/7)-0.00354*((Table1[[#This Row],[Gestation (days)]]+0.5)/7)^2)*Table1[[#This Row],[BW40_3705]],"")</f>
        <v/>
      </c>
      <c r="G9078" s="2" t="str">
        <f>IF(Table1[[#This Row],[Is Data Valid]]=TRUE,((Table1[[#This Row],[Birthweight (grams)]]/Table1[[#This Row],[BW_GA]])-1)/(Backend!$B$4/100*Table1[[#This Row],[BW40_3705]]),"")</f>
        <v/>
      </c>
      <c r="H9078" s="7" t="str">
        <f>IF(Table1[[#This Row],[Is Data Valid]]=TRUE,((Table1[[#This Row],[Birthweight (grams)]]*0.9/Table1[[#This Row],[BW_GA]])-1)/(Backend!$B$4/100*Table1[[#This Row],[BW40_3705]]),"")</f>
        <v/>
      </c>
      <c r="I9078" s="7" t="str">
        <f>IF(Table1[[#This Row],[Is Data Valid]]=TRUE,((Table1[[#This Row],[Birthweight (grams)]]*1.1/Table1[[#This Row],[BW_GA]])-1)/(Backend!$B$4/100*Table1[[#This Row],[BW40_3705]]),"")</f>
        <v/>
      </c>
      <c r="J9078" s="7" t="str">
        <f>IF(Table1[[#This Row],[Is Data Valid]]=TRUE,_xlfn.NORM.S.DIST(Table1[[#This Row],[Birthweight Z-Score]],TRUE)*100,"")</f>
        <v/>
      </c>
      <c r="K9078" s="7" t="str">
        <f>IF(Table1[[#This Row],[Is Data Valid]]=TRUE,_xlfn.NORM.S.DIST(Table1[[#This Row],[Birthweight Z-Score (BW-10%)]],TRUE)*100,"")</f>
        <v/>
      </c>
      <c r="L9078" s="7" t="str">
        <f>IF(Table1[[#This Row],[Is Data Valid]]=TRUE,_xlfn.NORM.S.DIST(Table1[[#This Row],[Birthweight Z-Score (BW+10%)]],TRUE)*100,"")</f>
        <v/>
      </c>
    </row>
    <row r="9079" spans="1:12" x14ac:dyDescent="0.35">
      <c r="A9079" s="3"/>
      <c r="B9079" s="2"/>
      <c r="C9079" s="2"/>
      <c r="D9079" s="2" t="b">
        <f>IF(AND(NOT(ISBLANK(Table1[[#This Row],[Fetal Sex (Male, Female or Unknown)]])),ISNUMBER(Table1[[#This Row],[Birthweight (grams)]]),ISNUMBER(Table1[[#This Row],[Gestation (days)]])),TRUE,FALSE)</f>
        <v>0</v>
      </c>
      <c r="E9079" s="2" t="str">
        <f>IF(Table1[[#This Row],[Is Data Valid]]=TRUE,IF(Table1[[#This Row],[Fetal Sex (Male, Female or Unknown)]]="Male",Backend!$C$6,IF(Table1[[#This Row],[Fetal Sex (Male, Female or Unknown)]]="Female",Backend!$C$7,IF(Table1[[#This Row],[Fetal Sex (Male, Female or Unknown)]]="Unknown",Backend!$C$8,"Error"))),"")</f>
        <v/>
      </c>
      <c r="F9079" s="8" t="str">
        <f>IF(Table1[[#This Row],[Is Data Valid]]=TRUE,EXP(0.578+0.332*((Table1[[#This Row],[Gestation (days)]]+0.5)/7)-0.00354*((Table1[[#This Row],[Gestation (days)]]+0.5)/7)^2)*Table1[[#This Row],[BW40_3705]],"")</f>
        <v/>
      </c>
      <c r="G9079" s="2" t="str">
        <f>IF(Table1[[#This Row],[Is Data Valid]]=TRUE,((Table1[[#This Row],[Birthweight (grams)]]/Table1[[#This Row],[BW_GA]])-1)/(Backend!$B$4/100*Table1[[#This Row],[BW40_3705]]),"")</f>
        <v/>
      </c>
      <c r="H9079" s="7" t="str">
        <f>IF(Table1[[#This Row],[Is Data Valid]]=TRUE,((Table1[[#This Row],[Birthweight (grams)]]*0.9/Table1[[#This Row],[BW_GA]])-1)/(Backend!$B$4/100*Table1[[#This Row],[BW40_3705]]),"")</f>
        <v/>
      </c>
      <c r="I9079" s="7" t="str">
        <f>IF(Table1[[#This Row],[Is Data Valid]]=TRUE,((Table1[[#This Row],[Birthweight (grams)]]*1.1/Table1[[#This Row],[BW_GA]])-1)/(Backend!$B$4/100*Table1[[#This Row],[BW40_3705]]),"")</f>
        <v/>
      </c>
      <c r="J9079" s="7" t="str">
        <f>IF(Table1[[#This Row],[Is Data Valid]]=TRUE,_xlfn.NORM.S.DIST(Table1[[#This Row],[Birthweight Z-Score]],TRUE)*100,"")</f>
        <v/>
      </c>
      <c r="K9079" s="7" t="str">
        <f>IF(Table1[[#This Row],[Is Data Valid]]=TRUE,_xlfn.NORM.S.DIST(Table1[[#This Row],[Birthweight Z-Score (BW-10%)]],TRUE)*100,"")</f>
        <v/>
      </c>
      <c r="L9079" s="7" t="str">
        <f>IF(Table1[[#This Row],[Is Data Valid]]=TRUE,_xlfn.NORM.S.DIST(Table1[[#This Row],[Birthweight Z-Score (BW+10%)]],TRUE)*100,"")</f>
        <v/>
      </c>
    </row>
    <row r="9080" spans="1:12" x14ac:dyDescent="0.35">
      <c r="A9080" s="3"/>
      <c r="B9080" s="2"/>
      <c r="C9080" s="2"/>
      <c r="D9080" s="2" t="b">
        <f>IF(AND(NOT(ISBLANK(Table1[[#This Row],[Fetal Sex (Male, Female or Unknown)]])),ISNUMBER(Table1[[#This Row],[Birthweight (grams)]]),ISNUMBER(Table1[[#This Row],[Gestation (days)]])),TRUE,FALSE)</f>
        <v>0</v>
      </c>
      <c r="E9080" s="2" t="str">
        <f>IF(Table1[[#This Row],[Is Data Valid]]=TRUE,IF(Table1[[#This Row],[Fetal Sex (Male, Female or Unknown)]]="Male",Backend!$C$6,IF(Table1[[#This Row],[Fetal Sex (Male, Female or Unknown)]]="Female",Backend!$C$7,IF(Table1[[#This Row],[Fetal Sex (Male, Female or Unknown)]]="Unknown",Backend!$C$8,"Error"))),"")</f>
        <v/>
      </c>
      <c r="F9080" s="8" t="str">
        <f>IF(Table1[[#This Row],[Is Data Valid]]=TRUE,EXP(0.578+0.332*((Table1[[#This Row],[Gestation (days)]]+0.5)/7)-0.00354*((Table1[[#This Row],[Gestation (days)]]+0.5)/7)^2)*Table1[[#This Row],[BW40_3705]],"")</f>
        <v/>
      </c>
      <c r="G9080" s="2" t="str">
        <f>IF(Table1[[#This Row],[Is Data Valid]]=TRUE,((Table1[[#This Row],[Birthweight (grams)]]/Table1[[#This Row],[BW_GA]])-1)/(Backend!$B$4/100*Table1[[#This Row],[BW40_3705]]),"")</f>
        <v/>
      </c>
      <c r="H9080" s="7" t="str">
        <f>IF(Table1[[#This Row],[Is Data Valid]]=TRUE,((Table1[[#This Row],[Birthweight (grams)]]*0.9/Table1[[#This Row],[BW_GA]])-1)/(Backend!$B$4/100*Table1[[#This Row],[BW40_3705]]),"")</f>
        <v/>
      </c>
      <c r="I9080" s="7" t="str">
        <f>IF(Table1[[#This Row],[Is Data Valid]]=TRUE,((Table1[[#This Row],[Birthweight (grams)]]*1.1/Table1[[#This Row],[BW_GA]])-1)/(Backend!$B$4/100*Table1[[#This Row],[BW40_3705]]),"")</f>
        <v/>
      </c>
      <c r="J9080" s="7" t="str">
        <f>IF(Table1[[#This Row],[Is Data Valid]]=TRUE,_xlfn.NORM.S.DIST(Table1[[#This Row],[Birthweight Z-Score]],TRUE)*100,"")</f>
        <v/>
      </c>
      <c r="K9080" s="7" t="str">
        <f>IF(Table1[[#This Row],[Is Data Valid]]=TRUE,_xlfn.NORM.S.DIST(Table1[[#This Row],[Birthweight Z-Score (BW-10%)]],TRUE)*100,"")</f>
        <v/>
      </c>
      <c r="L9080" s="7" t="str">
        <f>IF(Table1[[#This Row],[Is Data Valid]]=TRUE,_xlfn.NORM.S.DIST(Table1[[#This Row],[Birthweight Z-Score (BW+10%)]],TRUE)*100,"")</f>
        <v/>
      </c>
    </row>
    <row r="9081" spans="1:12" x14ac:dyDescent="0.35">
      <c r="A9081" s="3"/>
      <c r="B9081" s="2"/>
      <c r="C9081" s="2"/>
      <c r="D9081" s="2" t="b">
        <f>IF(AND(NOT(ISBLANK(Table1[[#This Row],[Fetal Sex (Male, Female or Unknown)]])),ISNUMBER(Table1[[#This Row],[Birthweight (grams)]]),ISNUMBER(Table1[[#This Row],[Gestation (days)]])),TRUE,FALSE)</f>
        <v>0</v>
      </c>
      <c r="E9081" s="2" t="str">
        <f>IF(Table1[[#This Row],[Is Data Valid]]=TRUE,IF(Table1[[#This Row],[Fetal Sex (Male, Female or Unknown)]]="Male",Backend!$C$6,IF(Table1[[#This Row],[Fetal Sex (Male, Female or Unknown)]]="Female",Backend!$C$7,IF(Table1[[#This Row],[Fetal Sex (Male, Female or Unknown)]]="Unknown",Backend!$C$8,"Error"))),"")</f>
        <v/>
      </c>
      <c r="F9081" s="8" t="str">
        <f>IF(Table1[[#This Row],[Is Data Valid]]=TRUE,EXP(0.578+0.332*((Table1[[#This Row],[Gestation (days)]]+0.5)/7)-0.00354*((Table1[[#This Row],[Gestation (days)]]+0.5)/7)^2)*Table1[[#This Row],[BW40_3705]],"")</f>
        <v/>
      </c>
      <c r="G9081" s="2" t="str">
        <f>IF(Table1[[#This Row],[Is Data Valid]]=TRUE,((Table1[[#This Row],[Birthweight (grams)]]/Table1[[#This Row],[BW_GA]])-1)/(Backend!$B$4/100*Table1[[#This Row],[BW40_3705]]),"")</f>
        <v/>
      </c>
      <c r="H9081" s="7" t="str">
        <f>IF(Table1[[#This Row],[Is Data Valid]]=TRUE,((Table1[[#This Row],[Birthweight (grams)]]*0.9/Table1[[#This Row],[BW_GA]])-1)/(Backend!$B$4/100*Table1[[#This Row],[BW40_3705]]),"")</f>
        <v/>
      </c>
      <c r="I9081" s="7" t="str">
        <f>IF(Table1[[#This Row],[Is Data Valid]]=TRUE,((Table1[[#This Row],[Birthweight (grams)]]*1.1/Table1[[#This Row],[BW_GA]])-1)/(Backend!$B$4/100*Table1[[#This Row],[BW40_3705]]),"")</f>
        <v/>
      </c>
      <c r="J9081" s="7" t="str">
        <f>IF(Table1[[#This Row],[Is Data Valid]]=TRUE,_xlfn.NORM.S.DIST(Table1[[#This Row],[Birthweight Z-Score]],TRUE)*100,"")</f>
        <v/>
      </c>
      <c r="K9081" s="7" t="str">
        <f>IF(Table1[[#This Row],[Is Data Valid]]=TRUE,_xlfn.NORM.S.DIST(Table1[[#This Row],[Birthweight Z-Score (BW-10%)]],TRUE)*100,"")</f>
        <v/>
      </c>
      <c r="L9081" s="7" t="str">
        <f>IF(Table1[[#This Row],[Is Data Valid]]=TRUE,_xlfn.NORM.S.DIST(Table1[[#This Row],[Birthweight Z-Score (BW+10%)]],TRUE)*100,"")</f>
        <v/>
      </c>
    </row>
    <row r="9082" spans="1:12" x14ac:dyDescent="0.35">
      <c r="A9082" s="3"/>
      <c r="B9082" s="2"/>
      <c r="C9082" s="2"/>
      <c r="D9082" s="2" t="b">
        <f>IF(AND(NOT(ISBLANK(Table1[[#This Row],[Fetal Sex (Male, Female or Unknown)]])),ISNUMBER(Table1[[#This Row],[Birthweight (grams)]]),ISNUMBER(Table1[[#This Row],[Gestation (days)]])),TRUE,FALSE)</f>
        <v>0</v>
      </c>
      <c r="E9082" s="2" t="str">
        <f>IF(Table1[[#This Row],[Is Data Valid]]=TRUE,IF(Table1[[#This Row],[Fetal Sex (Male, Female or Unknown)]]="Male",Backend!$C$6,IF(Table1[[#This Row],[Fetal Sex (Male, Female or Unknown)]]="Female",Backend!$C$7,IF(Table1[[#This Row],[Fetal Sex (Male, Female or Unknown)]]="Unknown",Backend!$C$8,"Error"))),"")</f>
        <v/>
      </c>
      <c r="F9082" s="8" t="str">
        <f>IF(Table1[[#This Row],[Is Data Valid]]=TRUE,EXP(0.578+0.332*((Table1[[#This Row],[Gestation (days)]]+0.5)/7)-0.00354*((Table1[[#This Row],[Gestation (days)]]+0.5)/7)^2)*Table1[[#This Row],[BW40_3705]],"")</f>
        <v/>
      </c>
      <c r="G9082" s="2" t="str">
        <f>IF(Table1[[#This Row],[Is Data Valid]]=TRUE,((Table1[[#This Row],[Birthweight (grams)]]/Table1[[#This Row],[BW_GA]])-1)/(Backend!$B$4/100*Table1[[#This Row],[BW40_3705]]),"")</f>
        <v/>
      </c>
      <c r="H9082" s="7" t="str">
        <f>IF(Table1[[#This Row],[Is Data Valid]]=TRUE,((Table1[[#This Row],[Birthweight (grams)]]*0.9/Table1[[#This Row],[BW_GA]])-1)/(Backend!$B$4/100*Table1[[#This Row],[BW40_3705]]),"")</f>
        <v/>
      </c>
      <c r="I9082" s="7" t="str">
        <f>IF(Table1[[#This Row],[Is Data Valid]]=TRUE,((Table1[[#This Row],[Birthweight (grams)]]*1.1/Table1[[#This Row],[BW_GA]])-1)/(Backend!$B$4/100*Table1[[#This Row],[BW40_3705]]),"")</f>
        <v/>
      </c>
      <c r="J9082" s="7" t="str">
        <f>IF(Table1[[#This Row],[Is Data Valid]]=TRUE,_xlfn.NORM.S.DIST(Table1[[#This Row],[Birthweight Z-Score]],TRUE)*100,"")</f>
        <v/>
      </c>
      <c r="K9082" s="7" t="str">
        <f>IF(Table1[[#This Row],[Is Data Valid]]=TRUE,_xlfn.NORM.S.DIST(Table1[[#This Row],[Birthweight Z-Score (BW-10%)]],TRUE)*100,"")</f>
        <v/>
      </c>
      <c r="L9082" s="7" t="str">
        <f>IF(Table1[[#This Row],[Is Data Valid]]=TRUE,_xlfn.NORM.S.DIST(Table1[[#This Row],[Birthweight Z-Score (BW+10%)]],TRUE)*100,"")</f>
        <v/>
      </c>
    </row>
    <row r="9083" spans="1:12" x14ac:dyDescent="0.35">
      <c r="A9083" s="3"/>
      <c r="B9083" s="2"/>
      <c r="C9083" s="2"/>
      <c r="D9083" s="2" t="b">
        <f>IF(AND(NOT(ISBLANK(Table1[[#This Row],[Fetal Sex (Male, Female or Unknown)]])),ISNUMBER(Table1[[#This Row],[Birthweight (grams)]]),ISNUMBER(Table1[[#This Row],[Gestation (days)]])),TRUE,FALSE)</f>
        <v>0</v>
      </c>
      <c r="E9083" s="2" t="str">
        <f>IF(Table1[[#This Row],[Is Data Valid]]=TRUE,IF(Table1[[#This Row],[Fetal Sex (Male, Female or Unknown)]]="Male",Backend!$C$6,IF(Table1[[#This Row],[Fetal Sex (Male, Female or Unknown)]]="Female",Backend!$C$7,IF(Table1[[#This Row],[Fetal Sex (Male, Female or Unknown)]]="Unknown",Backend!$C$8,"Error"))),"")</f>
        <v/>
      </c>
      <c r="F9083" s="8" t="str">
        <f>IF(Table1[[#This Row],[Is Data Valid]]=TRUE,EXP(0.578+0.332*((Table1[[#This Row],[Gestation (days)]]+0.5)/7)-0.00354*((Table1[[#This Row],[Gestation (days)]]+0.5)/7)^2)*Table1[[#This Row],[BW40_3705]],"")</f>
        <v/>
      </c>
      <c r="G9083" s="2" t="str">
        <f>IF(Table1[[#This Row],[Is Data Valid]]=TRUE,((Table1[[#This Row],[Birthweight (grams)]]/Table1[[#This Row],[BW_GA]])-1)/(Backend!$B$4/100*Table1[[#This Row],[BW40_3705]]),"")</f>
        <v/>
      </c>
      <c r="H9083" s="7" t="str">
        <f>IF(Table1[[#This Row],[Is Data Valid]]=TRUE,((Table1[[#This Row],[Birthweight (grams)]]*0.9/Table1[[#This Row],[BW_GA]])-1)/(Backend!$B$4/100*Table1[[#This Row],[BW40_3705]]),"")</f>
        <v/>
      </c>
      <c r="I9083" s="7" t="str">
        <f>IF(Table1[[#This Row],[Is Data Valid]]=TRUE,((Table1[[#This Row],[Birthweight (grams)]]*1.1/Table1[[#This Row],[BW_GA]])-1)/(Backend!$B$4/100*Table1[[#This Row],[BW40_3705]]),"")</f>
        <v/>
      </c>
      <c r="J9083" s="7" t="str">
        <f>IF(Table1[[#This Row],[Is Data Valid]]=TRUE,_xlfn.NORM.S.DIST(Table1[[#This Row],[Birthweight Z-Score]],TRUE)*100,"")</f>
        <v/>
      </c>
      <c r="K9083" s="7" t="str">
        <f>IF(Table1[[#This Row],[Is Data Valid]]=TRUE,_xlfn.NORM.S.DIST(Table1[[#This Row],[Birthweight Z-Score (BW-10%)]],TRUE)*100,"")</f>
        <v/>
      </c>
      <c r="L9083" s="7" t="str">
        <f>IF(Table1[[#This Row],[Is Data Valid]]=TRUE,_xlfn.NORM.S.DIST(Table1[[#This Row],[Birthweight Z-Score (BW+10%)]],TRUE)*100,"")</f>
        <v/>
      </c>
    </row>
    <row r="9084" spans="1:12" x14ac:dyDescent="0.35">
      <c r="A9084" s="3"/>
      <c r="B9084" s="2"/>
      <c r="C9084" s="2"/>
      <c r="D9084" s="2" t="b">
        <f>IF(AND(NOT(ISBLANK(Table1[[#This Row],[Fetal Sex (Male, Female or Unknown)]])),ISNUMBER(Table1[[#This Row],[Birthweight (grams)]]),ISNUMBER(Table1[[#This Row],[Gestation (days)]])),TRUE,FALSE)</f>
        <v>0</v>
      </c>
      <c r="E9084" s="2" t="str">
        <f>IF(Table1[[#This Row],[Is Data Valid]]=TRUE,IF(Table1[[#This Row],[Fetal Sex (Male, Female or Unknown)]]="Male",Backend!$C$6,IF(Table1[[#This Row],[Fetal Sex (Male, Female or Unknown)]]="Female",Backend!$C$7,IF(Table1[[#This Row],[Fetal Sex (Male, Female or Unknown)]]="Unknown",Backend!$C$8,"Error"))),"")</f>
        <v/>
      </c>
      <c r="F9084" s="8" t="str">
        <f>IF(Table1[[#This Row],[Is Data Valid]]=TRUE,EXP(0.578+0.332*((Table1[[#This Row],[Gestation (days)]]+0.5)/7)-0.00354*((Table1[[#This Row],[Gestation (days)]]+0.5)/7)^2)*Table1[[#This Row],[BW40_3705]],"")</f>
        <v/>
      </c>
      <c r="G9084" s="2" t="str">
        <f>IF(Table1[[#This Row],[Is Data Valid]]=TRUE,((Table1[[#This Row],[Birthweight (grams)]]/Table1[[#This Row],[BW_GA]])-1)/(Backend!$B$4/100*Table1[[#This Row],[BW40_3705]]),"")</f>
        <v/>
      </c>
      <c r="H9084" s="7" t="str">
        <f>IF(Table1[[#This Row],[Is Data Valid]]=TRUE,((Table1[[#This Row],[Birthweight (grams)]]*0.9/Table1[[#This Row],[BW_GA]])-1)/(Backend!$B$4/100*Table1[[#This Row],[BW40_3705]]),"")</f>
        <v/>
      </c>
      <c r="I9084" s="7" t="str">
        <f>IF(Table1[[#This Row],[Is Data Valid]]=TRUE,((Table1[[#This Row],[Birthweight (grams)]]*1.1/Table1[[#This Row],[BW_GA]])-1)/(Backend!$B$4/100*Table1[[#This Row],[BW40_3705]]),"")</f>
        <v/>
      </c>
      <c r="J9084" s="7" t="str">
        <f>IF(Table1[[#This Row],[Is Data Valid]]=TRUE,_xlfn.NORM.S.DIST(Table1[[#This Row],[Birthweight Z-Score]],TRUE)*100,"")</f>
        <v/>
      </c>
      <c r="K9084" s="7" t="str">
        <f>IF(Table1[[#This Row],[Is Data Valid]]=TRUE,_xlfn.NORM.S.DIST(Table1[[#This Row],[Birthweight Z-Score (BW-10%)]],TRUE)*100,"")</f>
        <v/>
      </c>
      <c r="L9084" s="7" t="str">
        <f>IF(Table1[[#This Row],[Is Data Valid]]=TRUE,_xlfn.NORM.S.DIST(Table1[[#This Row],[Birthweight Z-Score (BW+10%)]],TRUE)*100,"")</f>
        <v/>
      </c>
    </row>
    <row r="9085" spans="1:12" x14ac:dyDescent="0.35">
      <c r="A9085" s="3"/>
      <c r="B9085" s="2"/>
      <c r="C9085" s="2"/>
      <c r="D9085" s="2" t="b">
        <f>IF(AND(NOT(ISBLANK(Table1[[#This Row],[Fetal Sex (Male, Female or Unknown)]])),ISNUMBER(Table1[[#This Row],[Birthweight (grams)]]),ISNUMBER(Table1[[#This Row],[Gestation (days)]])),TRUE,FALSE)</f>
        <v>0</v>
      </c>
      <c r="E9085" s="2" t="str">
        <f>IF(Table1[[#This Row],[Is Data Valid]]=TRUE,IF(Table1[[#This Row],[Fetal Sex (Male, Female or Unknown)]]="Male",Backend!$C$6,IF(Table1[[#This Row],[Fetal Sex (Male, Female or Unknown)]]="Female",Backend!$C$7,IF(Table1[[#This Row],[Fetal Sex (Male, Female or Unknown)]]="Unknown",Backend!$C$8,"Error"))),"")</f>
        <v/>
      </c>
      <c r="F9085" s="8" t="str">
        <f>IF(Table1[[#This Row],[Is Data Valid]]=TRUE,EXP(0.578+0.332*((Table1[[#This Row],[Gestation (days)]]+0.5)/7)-0.00354*((Table1[[#This Row],[Gestation (days)]]+0.5)/7)^2)*Table1[[#This Row],[BW40_3705]],"")</f>
        <v/>
      </c>
      <c r="G9085" s="2" t="str">
        <f>IF(Table1[[#This Row],[Is Data Valid]]=TRUE,((Table1[[#This Row],[Birthweight (grams)]]/Table1[[#This Row],[BW_GA]])-1)/(Backend!$B$4/100*Table1[[#This Row],[BW40_3705]]),"")</f>
        <v/>
      </c>
      <c r="H9085" s="7" t="str">
        <f>IF(Table1[[#This Row],[Is Data Valid]]=TRUE,((Table1[[#This Row],[Birthweight (grams)]]*0.9/Table1[[#This Row],[BW_GA]])-1)/(Backend!$B$4/100*Table1[[#This Row],[BW40_3705]]),"")</f>
        <v/>
      </c>
      <c r="I9085" s="7" t="str">
        <f>IF(Table1[[#This Row],[Is Data Valid]]=TRUE,((Table1[[#This Row],[Birthweight (grams)]]*1.1/Table1[[#This Row],[BW_GA]])-1)/(Backend!$B$4/100*Table1[[#This Row],[BW40_3705]]),"")</f>
        <v/>
      </c>
      <c r="J9085" s="7" t="str">
        <f>IF(Table1[[#This Row],[Is Data Valid]]=TRUE,_xlfn.NORM.S.DIST(Table1[[#This Row],[Birthweight Z-Score]],TRUE)*100,"")</f>
        <v/>
      </c>
      <c r="K9085" s="7" t="str">
        <f>IF(Table1[[#This Row],[Is Data Valid]]=TRUE,_xlfn.NORM.S.DIST(Table1[[#This Row],[Birthweight Z-Score (BW-10%)]],TRUE)*100,"")</f>
        <v/>
      </c>
      <c r="L9085" s="7" t="str">
        <f>IF(Table1[[#This Row],[Is Data Valid]]=TRUE,_xlfn.NORM.S.DIST(Table1[[#This Row],[Birthweight Z-Score (BW+10%)]],TRUE)*100,"")</f>
        <v/>
      </c>
    </row>
    <row r="9086" spans="1:12" x14ac:dyDescent="0.35">
      <c r="A9086" s="3"/>
      <c r="B9086" s="2"/>
      <c r="C9086" s="2"/>
      <c r="D9086" s="2" t="b">
        <f>IF(AND(NOT(ISBLANK(Table1[[#This Row],[Fetal Sex (Male, Female or Unknown)]])),ISNUMBER(Table1[[#This Row],[Birthweight (grams)]]),ISNUMBER(Table1[[#This Row],[Gestation (days)]])),TRUE,FALSE)</f>
        <v>0</v>
      </c>
      <c r="E9086" s="2" t="str">
        <f>IF(Table1[[#This Row],[Is Data Valid]]=TRUE,IF(Table1[[#This Row],[Fetal Sex (Male, Female or Unknown)]]="Male",Backend!$C$6,IF(Table1[[#This Row],[Fetal Sex (Male, Female or Unknown)]]="Female",Backend!$C$7,IF(Table1[[#This Row],[Fetal Sex (Male, Female or Unknown)]]="Unknown",Backend!$C$8,"Error"))),"")</f>
        <v/>
      </c>
      <c r="F9086" s="8" t="str">
        <f>IF(Table1[[#This Row],[Is Data Valid]]=TRUE,EXP(0.578+0.332*((Table1[[#This Row],[Gestation (days)]]+0.5)/7)-0.00354*((Table1[[#This Row],[Gestation (days)]]+0.5)/7)^2)*Table1[[#This Row],[BW40_3705]],"")</f>
        <v/>
      </c>
      <c r="G9086" s="2" t="str">
        <f>IF(Table1[[#This Row],[Is Data Valid]]=TRUE,((Table1[[#This Row],[Birthweight (grams)]]/Table1[[#This Row],[BW_GA]])-1)/(Backend!$B$4/100*Table1[[#This Row],[BW40_3705]]),"")</f>
        <v/>
      </c>
      <c r="H9086" s="7" t="str">
        <f>IF(Table1[[#This Row],[Is Data Valid]]=TRUE,((Table1[[#This Row],[Birthweight (grams)]]*0.9/Table1[[#This Row],[BW_GA]])-1)/(Backend!$B$4/100*Table1[[#This Row],[BW40_3705]]),"")</f>
        <v/>
      </c>
      <c r="I9086" s="7" t="str">
        <f>IF(Table1[[#This Row],[Is Data Valid]]=TRUE,((Table1[[#This Row],[Birthweight (grams)]]*1.1/Table1[[#This Row],[BW_GA]])-1)/(Backend!$B$4/100*Table1[[#This Row],[BW40_3705]]),"")</f>
        <v/>
      </c>
      <c r="J9086" s="7" t="str">
        <f>IF(Table1[[#This Row],[Is Data Valid]]=TRUE,_xlfn.NORM.S.DIST(Table1[[#This Row],[Birthweight Z-Score]],TRUE)*100,"")</f>
        <v/>
      </c>
      <c r="K9086" s="7" t="str">
        <f>IF(Table1[[#This Row],[Is Data Valid]]=TRUE,_xlfn.NORM.S.DIST(Table1[[#This Row],[Birthweight Z-Score (BW-10%)]],TRUE)*100,"")</f>
        <v/>
      </c>
      <c r="L9086" s="7" t="str">
        <f>IF(Table1[[#This Row],[Is Data Valid]]=TRUE,_xlfn.NORM.S.DIST(Table1[[#This Row],[Birthweight Z-Score (BW+10%)]],TRUE)*100,"")</f>
        <v/>
      </c>
    </row>
    <row r="9087" spans="1:12" x14ac:dyDescent="0.35">
      <c r="A9087" s="3"/>
      <c r="B9087" s="2"/>
      <c r="C9087" s="2"/>
      <c r="D9087" s="2" t="b">
        <f>IF(AND(NOT(ISBLANK(Table1[[#This Row],[Fetal Sex (Male, Female or Unknown)]])),ISNUMBER(Table1[[#This Row],[Birthweight (grams)]]),ISNUMBER(Table1[[#This Row],[Gestation (days)]])),TRUE,FALSE)</f>
        <v>0</v>
      </c>
      <c r="E9087" s="2" t="str">
        <f>IF(Table1[[#This Row],[Is Data Valid]]=TRUE,IF(Table1[[#This Row],[Fetal Sex (Male, Female or Unknown)]]="Male",Backend!$C$6,IF(Table1[[#This Row],[Fetal Sex (Male, Female or Unknown)]]="Female",Backend!$C$7,IF(Table1[[#This Row],[Fetal Sex (Male, Female or Unknown)]]="Unknown",Backend!$C$8,"Error"))),"")</f>
        <v/>
      </c>
      <c r="F9087" s="8" t="str">
        <f>IF(Table1[[#This Row],[Is Data Valid]]=TRUE,EXP(0.578+0.332*((Table1[[#This Row],[Gestation (days)]]+0.5)/7)-0.00354*((Table1[[#This Row],[Gestation (days)]]+0.5)/7)^2)*Table1[[#This Row],[BW40_3705]],"")</f>
        <v/>
      </c>
      <c r="G9087" s="2" t="str">
        <f>IF(Table1[[#This Row],[Is Data Valid]]=TRUE,((Table1[[#This Row],[Birthweight (grams)]]/Table1[[#This Row],[BW_GA]])-1)/(Backend!$B$4/100*Table1[[#This Row],[BW40_3705]]),"")</f>
        <v/>
      </c>
      <c r="H9087" s="7" t="str">
        <f>IF(Table1[[#This Row],[Is Data Valid]]=TRUE,((Table1[[#This Row],[Birthweight (grams)]]*0.9/Table1[[#This Row],[BW_GA]])-1)/(Backend!$B$4/100*Table1[[#This Row],[BW40_3705]]),"")</f>
        <v/>
      </c>
      <c r="I9087" s="7" t="str">
        <f>IF(Table1[[#This Row],[Is Data Valid]]=TRUE,((Table1[[#This Row],[Birthweight (grams)]]*1.1/Table1[[#This Row],[BW_GA]])-1)/(Backend!$B$4/100*Table1[[#This Row],[BW40_3705]]),"")</f>
        <v/>
      </c>
      <c r="J9087" s="7" t="str">
        <f>IF(Table1[[#This Row],[Is Data Valid]]=TRUE,_xlfn.NORM.S.DIST(Table1[[#This Row],[Birthweight Z-Score]],TRUE)*100,"")</f>
        <v/>
      </c>
      <c r="K9087" s="7" t="str">
        <f>IF(Table1[[#This Row],[Is Data Valid]]=TRUE,_xlfn.NORM.S.DIST(Table1[[#This Row],[Birthweight Z-Score (BW-10%)]],TRUE)*100,"")</f>
        <v/>
      </c>
      <c r="L9087" s="7" t="str">
        <f>IF(Table1[[#This Row],[Is Data Valid]]=TRUE,_xlfn.NORM.S.DIST(Table1[[#This Row],[Birthweight Z-Score (BW+10%)]],TRUE)*100,"")</f>
        <v/>
      </c>
    </row>
    <row r="9088" spans="1:12" x14ac:dyDescent="0.35">
      <c r="A9088" s="3"/>
      <c r="B9088" s="2"/>
      <c r="C9088" s="2"/>
      <c r="D9088" s="2" t="b">
        <f>IF(AND(NOT(ISBLANK(Table1[[#This Row],[Fetal Sex (Male, Female or Unknown)]])),ISNUMBER(Table1[[#This Row],[Birthweight (grams)]]),ISNUMBER(Table1[[#This Row],[Gestation (days)]])),TRUE,FALSE)</f>
        <v>0</v>
      </c>
      <c r="E9088" s="2" t="str">
        <f>IF(Table1[[#This Row],[Is Data Valid]]=TRUE,IF(Table1[[#This Row],[Fetal Sex (Male, Female or Unknown)]]="Male",Backend!$C$6,IF(Table1[[#This Row],[Fetal Sex (Male, Female or Unknown)]]="Female",Backend!$C$7,IF(Table1[[#This Row],[Fetal Sex (Male, Female or Unknown)]]="Unknown",Backend!$C$8,"Error"))),"")</f>
        <v/>
      </c>
      <c r="F9088" s="8" t="str">
        <f>IF(Table1[[#This Row],[Is Data Valid]]=TRUE,EXP(0.578+0.332*((Table1[[#This Row],[Gestation (days)]]+0.5)/7)-0.00354*((Table1[[#This Row],[Gestation (days)]]+0.5)/7)^2)*Table1[[#This Row],[BW40_3705]],"")</f>
        <v/>
      </c>
      <c r="G9088" s="2" t="str">
        <f>IF(Table1[[#This Row],[Is Data Valid]]=TRUE,((Table1[[#This Row],[Birthweight (grams)]]/Table1[[#This Row],[BW_GA]])-1)/(Backend!$B$4/100*Table1[[#This Row],[BW40_3705]]),"")</f>
        <v/>
      </c>
      <c r="H9088" s="7" t="str">
        <f>IF(Table1[[#This Row],[Is Data Valid]]=TRUE,((Table1[[#This Row],[Birthweight (grams)]]*0.9/Table1[[#This Row],[BW_GA]])-1)/(Backend!$B$4/100*Table1[[#This Row],[BW40_3705]]),"")</f>
        <v/>
      </c>
      <c r="I9088" s="7" t="str">
        <f>IF(Table1[[#This Row],[Is Data Valid]]=TRUE,((Table1[[#This Row],[Birthweight (grams)]]*1.1/Table1[[#This Row],[BW_GA]])-1)/(Backend!$B$4/100*Table1[[#This Row],[BW40_3705]]),"")</f>
        <v/>
      </c>
      <c r="J9088" s="7" t="str">
        <f>IF(Table1[[#This Row],[Is Data Valid]]=TRUE,_xlfn.NORM.S.DIST(Table1[[#This Row],[Birthweight Z-Score]],TRUE)*100,"")</f>
        <v/>
      </c>
      <c r="K9088" s="7" t="str">
        <f>IF(Table1[[#This Row],[Is Data Valid]]=TRUE,_xlfn.NORM.S.DIST(Table1[[#This Row],[Birthweight Z-Score (BW-10%)]],TRUE)*100,"")</f>
        <v/>
      </c>
      <c r="L9088" s="7" t="str">
        <f>IF(Table1[[#This Row],[Is Data Valid]]=TRUE,_xlfn.NORM.S.DIST(Table1[[#This Row],[Birthweight Z-Score (BW+10%)]],TRUE)*100,"")</f>
        <v/>
      </c>
    </row>
    <row r="9089" spans="1:12" x14ac:dyDescent="0.35">
      <c r="A9089" s="3"/>
      <c r="B9089" s="2"/>
      <c r="C9089" s="2"/>
      <c r="D9089" s="2" t="b">
        <f>IF(AND(NOT(ISBLANK(Table1[[#This Row],[Fetal Sex (Male, Female or Unknown)]])),ISNUMBER(Table1[[#This Row],[Birthweight (grams)]]),ISNUMBER(Table1[[#This Row],[Gestation (days)]])),TRUE,FALSE)</f>
        <v>0</v>
      </c>
      <c r="E9089" s="2" t="str">
        <f>IF(Table1[[#This Row],[Is Data Valid]]=TRUE,IF(Table1[[#This Row],[Fetal Sex (Male, Female or Unknown)]]="Male",Backend!$C$6,IF(Table1[[#This Row],[Fetal Sex (Male, Female or Unknown)]]="Female",Backend!$C$7,IF(Table1[[#This Row],[Fetal Sex (Male, Female or Unknown)]]="Unknown",Backend!$C$8,"Error"))),"")</f>
        <v/>
      </c>
      <c r="F9089" s="8" t="str">
        <f>IF(Table1[[#This Row],[Is Data Valid]]=TRUE,EXP(0.578+0.332*((Table1[[#This Row],[Gestation (days)]]+0.5)/7)-0.00354*((Table1[[#This Row],[Gestation (days)]]+0.5)/7)^2)*Table1[[#This Row],[BW40_3705]],"")</f>
        <v/>
      </c>
      <c r="G9089" s="2" t="str">
        <f>IF(Table1[[#This Row],[Is Data Valid]]=TRUE,((Table1[[#This Row],[Birthweight (grams)]]/Table1[[#This Row],[BW_GA]])-1)/(Backend!$B$4/100*Table1[[#This Row],[BW40_3705]]),"")</f>
        <v/>
      </c>
      <c r="H9089" s="7" t="str">
        <f>IF(Table1[[#This Row],[Is Data Valid]]=TRUE,((Table1[[#This Row],[Birthweight (grams)]]*0.9/Table1[[#This Row],[BW_GA]])-1)/(Backend!$B$4/100*Table1[[#This Row],[BW40_3705]]),"")</f>
        <v/>
      </c>
      <c r="I9089" s="7" t="str">
        <f>IF(Table1[[#This Row],[Is Data Valid]]=TRUE,((Table1[[#This Row],[Birthweight (grams)]]*1.1/Table1[[#This Row],[BW_GA]])-1)/(Backend!$B$4/100*Table1[[#This Row],[BW40_3705]]),"")</f>
        <v/>
      </c>
      <c r="J9089" s="7" t="str">
        <f>IF(Table1[[#This Row],[Is Data Valid]]=TRUE,_xlfn.NORM.S.DIST(Table1[[#This Row],[Birthweight Z-Score]],TRUE)*100,"")</f>
        <v/>
      </c>
      <c r="K9089" s="7" t="str">
        <f>IF(Table1[[#This Row],[Is Data Valid]]=TRUE,_xlfn.NORM.S.DIST(Table1[[#This Row],[Birthweight Z-Score (BW-10%)]],TRUE)*100,"")</f>
        <v/>
      </c>
      <c r="L9089" s="7" t="str">
        <f>IF(Table1[[#This Row],[Is Data Valid]]=TRUE,_xlfn.NORM.S.DIST(Table1[[#This Row],[Birthweight Z-Score (BW+10%)]],TRUE)*100,"")</f>
        <v/>
      </c>
    </row>
    <row r="9090" spans="1:12" x14ac:dyDescent="0.35">
      <c r="A9090" s="3"/>
      <c r="B9090" s="2"/>
      <c r="C9090" s="2"/>
      <c r="D9090" s="2" t="b">
        <f>IF(AND(NOT(ISBLANK(Table1[[#This Row],[Fetal Sex (Male, Female or Unknown)]])),ISNUMBER(Table1[[#This Row],[Birthweight (grams)]]),ISNUMBER(Table1[[#This Row],[Gestation (days)]])),TRUE,FALSE)</f>
        <v>0</v>
      </c>
      <c r="E9090" s="2" t="str">
        <f>IF(Table1[[#This Row],[Is Data Valid]]=TRUE,IF(Table1[[#This Row],[Fetal Sex (Male, Female or Unknown)]]="Male",Backend!$C$6,IF(Table1[[#This Row],[Fetal Sex (Male, Female or Unknown)]]="Female",Backend!$C$7,IF(Table1[[#This Row],[Fetal Sex (Male, Female or Unknown)]]="Unknown",Backend!$C$8,"Error"))),"")</f>
        <v/>
      </c>
      <c r="F9090" s="8" t="str">
        <f>IF(Table1[[#This Row],[Is Data Valid]]=TRUE,EXP(0.578+0.332*((Table1[[#This Row],[Gestation (days)]]+0.5)/7)-0.00354*((Table1[[#This Row],[Gestation (days)]]+0.5)/7)^2)*Table1[[#This Row],[BW40_3705]],"")</f>
        <v/>
      </c>
      <c r="G9090" s="2" t="str">
        <f>IF(Table1[[#This Row],[Is Data Valid]]=TRUE,((Table1[[#This Row],[Birthweight (grams)]]/Table1[[#This Row],[BW_GA]])-1)/(Backend!$B$4/100*Table1[[#This Row],[BW40_3705]]),"")</f>
        <v/>
      </c>
      <c r="H9090" s="7" t="str">
        <f>IF(Table1[[#This Row],[Is Data Valid]]=TRUE,((Table1[[#This Row],[Birthweight (grams)]]*0.9/Table1[[#This Row],[BW_GA]])-1)/(Backend!$B$4/100*Table1[[#This Row],[BW40_3705]]),"")</f>
        <v/>
      </c>
      <c r="I9090" s="7" t="str">
        <f>IF(Table1[[#This Row],[Is Data Valid]]=TRUE,((Table1[[#This Row],[Birthweight (grams)]]*1.1/Table1[[#This Row],[BW_GA]])-1)/(Backend!$B$4/100*Table1[[#This Row],[BW40_3705]]),"")</f>
        <v/>
      </c>
      <c r="J9090" s="7" t="str">
        <f>IF(Table1[[#This Row],[Is Data Valid]]=TRUE,_xlfn.NORM.S.DIST(Table1[[#This Row],[Birthweight Z-Score]],TRUE)*100,"")</f>
        <v/>
      </c>
      <c r="K9090" s="7" t="str">
        <f>IF(Table1[[#This Row],[Is Data Valid]]=TRUE,_xlfn.NORM.S.DIST(Table1[[#This Row],[Birthweight Z-Score (BW-10%)]],TRUE)*100,"")</f>
        <v/>
      </c>
      <c r="L9090" s="7" t="str">
        <f>IF(Table1[[#This Row],[Is Data Valid]]=TRUE,_xlfn.NORM.S.DIST(Table1[[#This Row],[Birthweight Z-Score (BW+10%)]],TRUE)*100,"")</f>
        <v/>
      </c>
    </row>
    <row r="9091" spans="1:12" x14ac:dyDescent="0.35">
      <c r="A9091" s="3"/>
      <c r="B9091" s="2"/>
      <c r="C9091" s="2"/>
      <c r="D9091" s="2" t="b">
        <f>IF(AND(NOT(ISBLANK(Table1[[#This Row],[Fetal Sex (Male, Female or Unknown)]])),ISNUMBER(Table1[[#This Row],[Birthweight (grams)]]),ISNUMBER(Table1[[#This Row],[Gestation (days)]])),TRUE,FALSE)</f>
        <v>0</v>
      </c>
      <c r="E9091" s="2" t="str">
        <f>IF(Table1[[#This Row],[Is Data Valid]]=TRUE,IF(Table1[[#This Row],[Fetal Sex (Male, Female or Unknown)]]="Male",Backend!$C$6,IF(Table1[[#This Row],[Fetal Sex (Male, Female or Unknown)]]="Female",Backend!$C$7,IF(Table1[[#This Row],[Fetal Sex (Male, Female or Unknown)]]="Unknown",Backend!$C$8,"Error"))),"")</f>
        <v/>
      </c>
      <c r="F9091" s="8" t="str">
        <f>IF(Table1[[#This Row],[Is Data Valid]]=TRUE,EXP(0.578+0.332*((Table1[[#This Row],[Gestation (days)]]+0.5)/7)-0.00354*((Table1[[#This Row],[Gestation (days)]]+0.5)/7)^2)*Table1[[#This Row],[BW40_3705]],"")</f>
        <v/>
      </c>
      <c r="G9091" s="2" t="str">
        <f>IF(Table1[[#This Row],[Is Data Valid]]=TRUE,((Table1[[#This Row],[Birthweight (grams)]]/Table1[[#This Row],[BW_GA]])-1)/(Backend!$B$4/100*Table1[[#This Row],[BW40_3705]]),"")</f>
        <v/>
      </c>
      <c r="H9091" s="7" t="str">
        <f>IF(Table1[[#This Row],[Is Data Valid]]=TRUE,((Table1[[#This Row],[Birthweight (grams)]]*0.9/Table1[[#This Row],[BW_GA]])-1)/(Backend!$B$4/100*Table1[[#This Row],[BW40_3705]]),"")</f>
        <v/>
      </c>
      <c r="I9091" s="7" t="str">
        <f>IF(Table1[[#This Row],[Is Data Valid]]=TRUE,((Table1[[#This Row],[Birthweight (grams)]]*1.1/Table1[[#This Row],[BW_GA]])-1)/(Backend!$B$4/100*Table1[[#This Row],[BW40_3705]]),"")</f>
        <v/>
      </c>
      <c r="J9091" s="7" t="str">
        <f>IF(Table1[[#This Row],[Is Data Valid]]=TRUE,_xlfn.NORM.S.DIST(Table1[[#This Row],[Birthweight Z-Score]],TRUE)*100,"")</f>
        <v/>
      </c>
      <c r="K9091" s="7" t="str">
        <f>IF(Table1[[#This Row],[Is Data Valid]]=TRUE,_xlfn.NORM.S.DIST(Table1[[#This Row],[Birthweight Z-Score (BW-10%)]],TRUE)*100,"")</f>
        <v/>
      </c>
      <c r="L9091" s="7" t="str">
        <f>IF(Table1[[#This Row],[Is Data Valid]]=TRUE,_xlfn.NORM.S.DIST(Table1[[#This Row],[Birthweight Z-Score (BW+10%)]],TRUE)*100,"")</f>
        <v/>
      </c>
    </row>
    <row r="9092" spans="1:12" x14ac:dyDescent="0.35">
      <c r="A9092" s="3"/>
      <c r="B9092" s="2"/>
      <c r="C9092" s="2"/>
      <c r="D9092" s="2" t="b">
        <f>IF(AND(NOT(ISBLANK(Table1[[#This Row],[Fetal Sex (Male, Female or Unknown)]])),ISNUMBER(Table1[[#This Row],[Birthweight (grams)]]),ISNUMBER(Table1[[#This Row],[Gestation (days)]])),TRUE,FALSE)</f>
        <v>0</v>
      </c>
      <c r="E9092" s="2" t="str">
        <f>IF(Table1[[#This Row],[Is Data Valid]]=TRUE,IF(Table1[[#This Row],[Fetal Sex (Male, Female or Unknown)]]="Male",Backend!$C$6,IF(Table1[[#This Row],[Fetal Sex (Male, Female or Unknown)]]="Female",Backend!$C$7,IF(Table1[[#This Row],[Fetal Sex (Male, Female or Unknown)]]="Unknown",Backend!$C$8,"Error"))),"")</f>
        <v/>
      </c>
      <c r="F9092" s="8" t="str">
        <f>IF(Table1[[#This Row],[Is Data Valid]]=TRUE,EXP(0.578+0.332*((Table1[[#This Row],[Gestation (days)]]+0.5)/7)-0.00354*((Table1[[#This Row],[Gestation (days)]]+0.5)/7)^2)*Table1[[#This Row],[BW40_3705]],"")</f>
        <v/>
      </c>
      <c r="G9092" s="2" t="str">
        <f>IF(Table1[[#This Row],[Is Data Valid]]=TRUE,((Table1[[#This Row],[Birthweight (grams)]]/Table1[[#This Row],[BW_GA]])-1)/(Backend!$B$4/100*Table1[[#This Row],[BW40_3705]]),"")</f>
        <v/>
      </c>
      <c r="H9092" s="7" t="str">
        <f>IF(Table1[[#This Row],[Is Data Valid]]=TRUE,((Table1[[#This Row],[Birthweight (grams)]]*0.9/Table1[[#This Row],[BW_GA]])-1)/(Backend!$B$4/100*Table1[[#This Row],[BW40_3705]]),"")</f>
        <v/>
      </c>
      <c r="I9092" s="7" t="str">
        <f>IF(Table1[[#This Row],[Is Data Valid]]=TRUE,((Table1[[#This Row],[Birthweight (grams)]]*1.1/Table1[[#This Row],[BW_GA]])-1)/(Backend!$B$4/100*Table1[[#This Row],[BW40_3705]]),"")</f>
        <v/>
      </c>
      <c r="J9092" s="7" t="str">
        <f>IF(Table1[[#This Row],[Is Data Valid]]=TRUE,_xlfn.NORM.S.DIST(Table1[[#This Row],[Birthweight Z-Score]],TRUE)*100,"")</f>
        <v/>
      </c>
      <c r="K9092" s="7" t="str">
        <f>IF(Table1[[#This Row],[Is Data Valid]]=TRUE,_xlfn.NORM.S.DIST(Table1[[#This Row],[Birthweight Z-Score (BW-10%)]],TRUE)*100,"")</f>
        <v/>
      </c>
      <c r="L9092" s="7" t="str">
        <f>IF(Table1[[#This Row],[Is Data Valid]]=TRUE,_xlfn.NORM.S.DIST(Table1[[#This Row],[Birthweight Z-Score (BW+10%)]],TRUE)*100,"")</f>
        <v/>
      </c>
    </row>
    <row r="9093" spans="1:12" x14ac:dyDescent="0.35">
      <c r="A9093" s="3"/>
      <c r="B9093" s="2"/>
      <c r="C9093" s="2"/>
      <c r="D9093" s="2" t="b">
        <f>IF(AND(NOT(ISBLANK(Table1[[#This Row],[Fetal Sex (Male, Female or Unknown)]])),ISNUMBER(Table1[[#This Row],[Birthweight (grams)]]),ISNUMBER(Table1[[#This Row],[Gestation (days)]])),TRUE,FALSE)</f>
        <v>0</v>
      </c>
      <c r="E9093" s="2" t="str">
        <f>IF(Table1[[#This Row],[Is Data Valid]]=TRUE,IF(Table1[[#This Row],[Fetal Sex (Male, Female or Unknown)]]="Male",Backend!$C$6,IF(Table1[[#This Row],[Fetal Sex (Male, Female or Unknown)]]="Female",Backend!$C$7,IF(Table1[[#This Row],[Fetal Sex (Male, Female or Unknown)]]="Unknown",Backend!$C$8,"Error"))),"")</f>
        <v/>
      </c>
      <c r="F9093" s="8" t="str">
        <f>IF(Table1[[#This Row],[Is Data Valid]]=TRUE,EXP(0.578+0.332*((Table1[[#This Row],[Gestation (days)]]+0.5)/7)-0.00354*((Table1[[#This Row],[Gestation (days)]]+0.5)/7)^2)*Table1[[#This Row],[BW40_3705]],"")</f>
        <v/>
      </c>
      <c r="G9093" s="2" t="str">
        <f>IF(Table1[[#This Row],[Is Data Valid]]=TRUE,((Table1[[#This Row],[Birthweight (grams)]]/Table1[[#This Row],[BW_GA]])-1)/(Backend!$B$4/100*Table1[[#This Row],[BW40_3705]]),"")</f>
        <v/>
      </c>
      <c r="H9093" s="7" t="str">
        <f>IF(Table1[[#This Row],[Is Data Valid]]=TRUE,((Table1[[#This Row],[Birthweight (grams)]]*0.9/Table1[[#This Row],[BW_GA]])-1)/(Backend!$B$4/100*Table1[[#This Row],[BW40_3705]]),"")</f>
        <v/>
      </c>
      <c r="I9093" s="7" t="str">
        <f>IF(Table1[[#This Row],[Is Data Valid]]=TRUE,((Table1[[#This Row],[Birthweight (grams)]]*1.1/Table1[[#This Row],[BW_GA]])-1)/(Backend!$B$4/100*Table1[[#This Row],[BW40_3705]]),"")</f>
        <v/>
      </c>
      <c r="J9093" s="7" t="str">
        <f>IF(Table1[[#This Row],[Is Data Valid]]=TRUE,_xlfn.NORM.S.DIST(Table1[[#This Row],[Birthweight Z-Score]],TRUE)*100,"")</f>
        <v/>
      </c>
      <c r="K9093" s="7" t="str">
        <f>IF(Table1[[#This Row],[Is Data Valid]]=TRUE,_xlfn.NORM.S.DIST(Table1[[#This Row],[Birthweight Z-Score (BW-10%)]],TRUE)*100,"")</f>
        <v/>
      </c>
      <c r="L9093" s="7" t="str">
        <f>IF(Table1[[#This Row],[Is Data Valid]]=TRUE,_xlfn.NORM.S.DIST(Table1[[#This Row],[Birthweight Z-Score (BW+10%)]],TRUE)*100,"")</f>
        <v/>
      </c>
    </row>
    <row r="9094" spans="1:12" x14ac:dyDescent="0.35">
      <c r="A9094" s="3"/>
      <c r="B9094" s="2"/>
      <c r="C9094" s="2"/>
      <c r="D9094" s="2" t="b">
        <f>IF(AND(NOT(ISBLANK(Table1[[#This Row],[Fetal Sex (Male, Female or Unknown)]])),ISNUMBER(Table1[[#This Row],[Birthweight (grams)]]),ISNUMBER(Table1[[#This Row],[Gestation (days)]])),TRUE,FALSE)</f>
        <v>0</v>
      </c>
      <c r="E9094" s="2" t="str">
        <f>IF(Table1[[#This Row],[Is Data Valid]]=TRUE,IF(Table1[[#This Row],[Fetal Sex (Male, Female or Unknown)]]="Male",Backend!$C$6,IF(Table1[[#This Row],[Fetal Sex (Male, Female or Unknown)]]="Female",Backend!$C$7,IF(Table1[[#This Row],[Fetal Sex (Male, Female or Unknown)]]="Unknown",Backend!$C$8,"Error"))),"")</f>
        <v/>
      </c>
      <c r="F9094" s="8" t="str">
        <f>IF(Table1[[#This Row],[Is Data Valid]]=TRUE,EXP(0.578+0.332*((Table1[[#This Row],[Gestation (days)]]+0.5)/7)-0.00354*((Table1[[#This Row],[Gestation (days)]]+0.5)/7)^2)*Table1[[#This Row],[BW40_3705]],"")</f>
        <v/>
      </c>
      <c r="G9094" s="2" t="str">
        <f>IF(Table1[[#This Row],[Is Data Valid]]=TRUE,((Table1[[#This Row],[Birthweight (grams)]]/Table1[[#This Row],[BW_GA]])-1)/(Backend!$B$4/100*Table1[[#This Row],[BW40_3705]]),"")</f>
        <v/>
      </c>
      <c r="H9094" s="7" t="str">
        <f>IF(Table1[[#This Row],[Is Data Valid]]=TRUE,((Table1[[#This Row],[Birthweight (grams)]]*0.9/Table1[[#This Row],[BW_GA]])-1)/(Backend!$B$4/100*Table1[[#This Row],[BW40_3705]]),"")</f>
        <v/>
      </c>
      <c r="I9094" s="7" t="str">
        <f>IF(Table1[[#This Row],[Is Data Valid]]=TRUE,((Table1[[#This Row],[Birthweight (grams)]]*1.1/Table1[[#This Row],[BW_GA]])-1)/(Backend!$B$4/100*Table1[[#This Row],[BW40_3705]]),"")</f>
        <v/>
      </c>
      <c r="J9094" s="7" t="str">
        <f>IF(Table1[[#This Row],[Is Data Valid]]=TRUE,_xlfn.NORM.S.DIST(Table1[[#This Row],[Birthweight Z-Score]],TRUE)*100,"")</f>
        <v/>
      </c>
      <c r="K9094" s="7" t="str">
        <f>IF(Table1[[#This Row],[Is Data Valid]]=TRUE,_xlfn.NORM.S.DIST(Table1[[#This Row],[Birthweight Z-Score (BW-10%)]],TRUE)*100,"")</f>
        <v/>
      </c>
      <c r="L9094" s="7" t="str">
        <f>IF(Table1[[#This Row],[Is Data Valid]]=TRUE,_xlfn.NORM.S.DIST(Table1[[#This Row],[Birthweight Z-Score (BW+10%)]],TRUE)*100,"")</f>
        <v/>
      </c>
    </row>
    <row r="9095" spans="1:12" x14ac:dyDescent="0.35">
      <c r="A9095" s="3"/>
      <c r="B9095" s="2"/>
      <c r="C9095" s="2"/>
      <c r="D9095" s="2" t="b">
        <f>IF(AND(NOT(ISBLANK(Table1[[#This Row],[Fetal Sex (Male, Female or Unknown)]])),ISNUMBER(Table1[[#This Row],[Birthweight (grams)]]),ISNUMBER(Table1[[#This Row],[Gestation (days)]])),TRUE,FALSE)</f>
        <v>0</v>
      </c>
      <c r="E9095" s="2" t="str">
        <f>IF(Table1[[#This Row],[Is Data Valid]]=TRUE,IF(Table1[[#This Row],[Fetal Sex (Male, Female or Unknown)]]="Male",Backend!$C$6,IF(Table1[[#This Row],[Fetal Sex (Male, Female or Unknown)]]="Female",Backend!$C$7,IF(Table1[[#This Row],[Fetal Sex (Male, Female or Unknown)]]="Unknown",Backend!$C$8,"Error"))),"")</f>
        <v/>
      </c>
      <c r="F9095" s="8" t="str">
        <f>IF(Table1[[#This Row],[Is Data Valid]]=TRUE,EXP(0.578+0.332*((Table1[[#This Row],[Gestation (days)]]+0.5)/7)-0.00354*((Table1[[#This Row],[Gestation (days)]]+0.5)/7)^2)*Table1[[#This Row],[BW40_3705]],"")</f>
        <v/>
      </c>
      <c r="G9095" s="2" t="str">
        <f>IF(Table1[[#This Row],[Is Data Valid]]=TRUE,((Table1[[#This Row],[Birthweight (grams)]]/Table1[[#This Row],[BW_GA]])-1)/(Backend!$B$4/100*Table1[[#This Row],[BW40_3705]]),"")</f>
        <v/>
      </c>
      <c r="H9095" s="7" t="str">
        <f>IF(Table1[[#This Row],[Is Data Valid]]=TRUE,((Table1[[#This Row],[Birthweight (grams)]]*0.9/Table1[[#This Row],[BW_GA]])-1)/(Backend!$B$4/100*Table1[[#This Row],[BW40_3705]]),"")</f>
        <v/>
      </c>
      <c r="I9095" s="7" t="str">
        <f>IF(Table1[[#This Row],[Is Data Valid]]=TRUE,((Table1[[#This Row],[Birthweight (grams)]]*1.1/Table1[[#This Row],[BW_GA]])-1)/(Backend!$B$4/100*Table1[[#This Row],[BW40_3705]]),"")</f>
        <v/>
      </c>
      <c r="J9095" s="7" t="str">
        <f>IF(Table1[[#This Row],[Is Data Valid]]=TRUE,_xlfn.NORM.S.DIST(Table1[[#This Row],[Birthweight Z-Score]],TRUE)*100,"")</f>
        <v/>
      </c>
      <c r="K9095" s="7" t="str">
        <f>IF(Table1[[#This Row],[Is Data Valid]]=TRUE,_xlfn.NORM.S.DIST(Table1[[#This Row],[Birthweight Z-Score (BW-10%)]],TRUE)*100,"")</f>
        <v/>
      </c>
      <c r="L9095" s="7" t="str">
        <f>IF(Table1[[#This Row],[Is Data Valid]]=TRUE,_xlfn.NORM.S.DIST(Table1[[#This Row],[Birthweight Z-Score (BW+10%)]],TRUE)*100,"")</f>
        <v/>
      </c>
    </row>
    <row r="9096" spans="1:12" x14ac:dyDescent="0.35">
      <c r="A9096" s="3"/>
      <c r="B9096" s="2"/>
      <c r="C9096" s="2"/>
      <c r="D9096" s="2" t="b">
        <f>IF(AND(NOT(ISBLANK(Table1[[#This Row],[Fetal Sex (Male, Female or Unknown)]])),ISNUMBER(Table1[[#This Row],[Birthweight (grams)]]),ISNUMBER(Table1[[#This Row],[Gestation (days)]])),TRUE,FALSE)</f>
        <v>0</v>
      </c>
      <c r="E9096" s="2" t="str">
        <f>IF(Table1[[#This Row],[Is Data Valid]]=TRUE,IF(Table1[[#This Row],[Fetal Sex (Male, Female or Unknown)]]="Male",Backend!$C$6,IF(Table1[[#This Row],[Fetal Sex (Male, Female or Unknown)]]="Female",Backend!$C$7,IF(Table1[[#This Row],[Fetal Sex (Male, Female or Unknown)]]="Unknown",Backend!$C$8,"Error"))),"")</f>
        <v/>
      </c>
      <c r="F9096" s="8" t="str">
        <f>IF(Table1[[#This Row],[Is Data Valid]]=TRUE,EXP(0.578+0.332*((Table1[[#This Row],[Gestation (days)]]+0.5)/7)-0.00354*((Table1[[#This Row],[Gestation (days)]]+0.5)/7)^2)*Table1[[#This Row],[BW40_3705]],"")</f>
        <v/>
      </c>
      <c r="G9096" s="2" t="str">
        <f>IF(Table1[[#This Row],[Is Data Valid]]=TRUE,((Table1[[#This Row],[Birthweight (grams)]]/Table1[[#This Row],[BW_GA]])-1)/(Backend!$B$4/100*Table1[[#This Row],[BW40_3705]]),"")</f>
        <v/>
      </c>
      <c r="H9096" s="7" t="str">
        <f>IF(Table1[[#This Row],[Is Data Valid]]=TRUE,((Table1[[#This Row],[Birthweight (grams)]]*0.9/Table1[[#This Row],[BW_GA]])-1)/(Backend!$B$4/100*Table1[[#This Row],[BW40_3705]]),"")</f>
        <v/>
      </c>
      <c r="I9096" s="7" t="str">
        <f>IF(Table1[[#This Row],[Is Data Valid]]=TRUE,((Table1[[#This Row],[Birthweight (grams)]]*1.1/Table1[[#This Row],[BW_GA]])-1)/(Backend!$B$4/100*Table1[[#This Row],[BW40_3705]]),"")</f>
        <v/>
      </c>
      <c r="J9096" s="7" t="str">
        <f>IF(Table1[[#This Row],[Is Data Valid]]=TRUE,_xlfn.NORM.S.DIST(Table1[[#This Row],[Birthweight Z-Score]],TRUE)*100,"")</f>
        <v/>
      </c>
      <c r="K9096" s="7" t="str">
        <f>IF(Table1[[#This Row],[Is Data Valid]]=TRUE,_xlfn.NORM.S.DIST(Table1[[#This Row],[Birthweight Z-Score (BW-10%)]],TRUE)*100,"")</f>
        <v/>
      </c>
      <c r="L9096" s="7" t="str">
        <f>IF(Table1[[#This Row],[Is Data Valid]]=TRUE,_xlfn.NORM.S.DIST(Table1[[#This Row],[Birthweight Z-Score (BW+10%)]],TRUE)*100,"")</f>
        <v/>
      </c>
    </row>
    <row r="9097" spans="1:12" x14ac:dyDescent="0.35">
      <c r="A9097" s="3"/>
      <c r="B9097" s="2"/>
      <c r="C9097" s="2"/>
      <c r="D9097" s="2" t="b">
        <f>IF(AND(NOT(ISBLANK(Table1[[#This Row],[Fetal Sex (Male, Female or Unknown)]])),ISNUMBER(Table1[[#This Row],[Birthweight (grams)]]),ISNUMBER(Table1[[#This Row],[Gestation (days)]])),TRUE,FALSE)</f>
        <v>0</v>
      </c>
      <c r="E9097" s="2" t="str">
        <f>IF(Table1[[#This Row],[Is Data Valid]]=TRUE,IF(Table1[[#This Row],[Fetal Sex (Male, Female or Unknown)]]="Male",Backend!$C$6,IF(Table1[[#This Row],[Fetal Sex (Male, Female or Unknown)]]="Female",Backend!$C$7,IF(Table1[[#This Row],[Fetal Sex (Male, Female or Unknown)]]="Unknown",Backend!$C$8,"Error"))),"")</f>
        <v/>
      </c>
      <c r="F9097" s="8" t="str">
        <f>IF(Table1[[#This Row],[Is Data Valid]]=TRUE,EXP(0.578+0.332*((Table1[[#This Row],[Gestation (days)]]+0.5)/7)-0.00354*((Table1[[#This Row],[Gestation (days)]]+0.5)/7)^2)*Table1[[#This Row],[BW40_3705]],"")</f>
        <v/>
      </c>
      <c r="G9097" s="2" t="str">
        <f>IF(Table1[[#This Row],[Is Data Valid]]=TRUE,((Table1[[#This Row],[Birthweight (grams)]]/Table1[[#This Row],[BW_GA]])-1)/(Backend!$B$4/100*Table1[[#This Row],[BW40_3705]]),"")</f>
        <v/>
      </c>
      <c r="H9097" s="7" t="str">
        <f>IF(Table1[[#This Row],[Is Data Valid]]=TRUE,((Table1[[#This Row],[Birthweight (grams)]]*0.9/Table1[[#This Row],[BW_GA]])-1)/(Backend!$B$4/100*Table1[[#This Row],[BW40_3705]]),"")</f>
        <v/>
      </c>
      <c r="I9097" s="7" t="str">
        <f>IF(Table1[[#This Row],[Is Data Valid]]=TRUE,((Table1[[#This Row],[Birthweight (grams)]]*1.1/Table1[[#This Row],[BW_GA]])-1)/(Backend!$B$4/100*Table1[[#This Row],[BW40_3705]]),"")</f>
        <v/>
      </c>
      <c r="J9097" s="7" t="str">
        <f>IF(Table1[[#This Row],[Is Data Valid]]=TRUE,_xlfn.NORM.S.DIST(Table1[[#This Row],[Birthweight Z-Score]],TRUE)*100,"")</f>
        <v/>
      </c>
      <c r="K9097" s="7" t="str">
        <f>IF(Table1[[#This Row],[Is Data Valid]]=TRUE,_xlfn.NORM.S.DIST(Table1[[#This Row],[Birthweight Z-Score (BW-10%)]],TRUE)*100,"")</f>
        <v/>
      </c>
      <c r="L9097" s="7" t="str">
        <f>IF(Table1[[#This Row],[Is Data Valid]]=TRUE,_xlfn.NORM.S.DIST(Table1[[#This Row],[Birthweight Z-Score (BW+10%)]],TRUE)*100,"")</f>
        <v/>
      </c>
    </row>
    <row r="9098" spans="1:12" x14ac:dyDescent="0.35">
      <c r="A9098" s="3"/>
      <c r="B9098" s="2"/>
      <c r="C9098" s="2"/>
      <c r="D9098" s="2" t="b">
        <f>IF(AND(NOT(ISBLANK(Table1[[#This Row],[Fetal Sex (Male, Female or Unknown)]])),ISNUMBER(Table1[[#This Row],[Birthweight (grams)]]),ISNUMBER(Table1[[#This Row],[Gestation (days)]])),TRUE,FALSE)</f>
        <v>0</v>
      </c>
      <c r="E9098" s="2" t="str">
        <f>IF(Table1[[#This Row],[Is Data Valid]]=TRUE,IF(Table1[[#This Row],[Fetal Sex (Male, Female or Unknown)]]="Male",Backend!$C$6,IF(Table1[[#This Row],[Fetal Sex (Male, Female or Unknown)]]="Female",Backend!$C$7,IF(Table1[[#This Row],[Fetal Sex (Male, Female or Unknown)]]="Unknown",Backend!$C$8,"Error"))),"")</f>
        <v/>
      </c>
      <c r="F9098" s="8" t="str">
        <f>IF(Table1[[#This Row],[Is Data Valid]]=TRUE,EXP(0.578+0.332*((Table1[[#This Row],[Gestation (days)]]+0.5)/7)-0.00354*((Table1[[#This Row],[Gestation (days)]]+0.5)/7)^2)*Table1[[#This Row],[BW40_3705]],"")</f>
        <v/>
      </c>
      <c r="G9098" s="2" t="str">
        <f>IF(Table1[[#This Row],[Is Data Valid]]=TRUE,((Table1[[#This Row],[Birthweight (grams)]]/Table1[[#This Row],[BW_GA]])-1)/(Backend!$B$4/100*Table1[[#This Row],[BW40_3705]]),"")</f>
        <v/>
      </c>
      <c r="H9098" s="7" t="str">
        <f>IF(Table1[[#This Row],[Is Data Valid]]=TRUE,((Table1[[#This Row],[Birthweight (grams)]]*0.9/Table1[[#This Row],[BW_GA]])-1)/(Backend!$B$4/100*Table1[[#This Row],[BW40_3705]]),"")</f>
        <v/>
      </c>
      <c r="I9098" s="7" t="str">
        <f>IF(Table1[[#This Row],[Is Data Valid]]=TRUE,((Table1[[#This Row],[Birthweight (grams)]]*1.1/Table1[[#This Row],[BW_GA]])-1)/(Backend!$B$4/100*Table1[[#This Row],[BW40_3705]]),"")</f>
        <v/>
      </c>
      <c r="J9098" s="7" t="str">
        <f>IF(Table1[[#This Row],[Is Data Valid]]=TRUE,_xlfn.NORM.S.DIST(Table1[[#This Row],[Birthweight Z-Score]],TRUE)*100,"")</f>
        <v/>
      </c>
      <c r="K9098" s="7" t="str">
        <f>IF(Table1[[#This Row],[Is Data Valid]]=TRUE,_xlfn.NORM.S.DIST(Table1[[#This Row],[Birthweight Z-Score (BW-10%)]],TRUE)*100,"")</f>
        <v/>
      </c>
      <c r="L9098" s="7" t="str">
        <f>IF(Table1[[#This Row],[Is Data Valid]]=TRUE,_xlfn.NORM.S.DIST(Table1[[#This Row],[Birthweight Z-Score (BW+10%)]],TRUE)*100,"")</f>
        <v/>
      </c>
    </row>
    <row r="9099" spans="1:12" x14ac:dyDescent="0.35">
      <c r="A9099" s="3"/>
      <c r="B9099" s="2"/>
      <c r="C9099" s="2"/>
      <c r="D9099" s="2" t="b">
        <f>IF(AND(NOT(ISBLANK(Table1[[#This Row],[Fetal Sex (Male, Female or Unknown)]])),ISNUMBER(Table1[[#This Row],[Birthweight (grams)]]),ISNUMBER(Table1[[#This Row],[Gestation (days)]])),TRUE,FALSE)</f>
        <v>0</v>
      </c>
      <c r="E9099" s="2" t="str">
        <f>IF(Table1[[#This Row],[Is Data Valid]]=TRUE,IF(Table1[[#This Row],[Fetal Sex (Male, Female or Unknown)]]="Male",Backend!$C$6,IF(Table1[[#This Row],[Fetal Sex (Male, Female or Unknown)]]="Female",Backend!$C$7,IF(Table1[[#This Row],[Fetal Sex (Male, Female or Unknown)]]="Unknown",Backend!$C$8,"Error"))),"")</f>
        <v/>
      </c>
      <c r="F9099" s="8" t="str">
        <f>IF(Table1[[#This Row],[Is Data Valid]]=TRUE,EXP(0.578+0.332*((Table1[[#This Row],[Gestation (days)]]+0.5)/7)-0.00354*((Table1[[#This Row],[Gestation (days)]]+0.5)/7)^2)*Table1[[#This Row],[BW40_3705]],"")</f>
        <v/>
      </c>
      <c r="G9099" s="2" t="str">
        <f>IF(Table1[[#This Row],[Is Data Valid]]=TRUE,((Table1[[#This Row],[Birthweight (grams)]]/Table1[[#This Row],[BW_GA]])-1)/(Backend!$B$4/100*Table1[[#This Row],[BW40_3705]]),"")</f>
        <v/>
      </c>
      <c r="H9099" s="7" t="str">
        <f>IF(Table1[[#This Row],[Is Data Valid]]=TRUE,((Table1[[#This Row],[Birthweight (grams)]]*0.9/Table1[[#This Row],[BW_GA]])-1)/(Backend!$B$4/100*Table1[[#This Row],[BW40_3705]]),"")</f>
        <v/>
      </c>
      <c r="I9099" s="7" t="str">
        <f>IF(Table1[[#This Row],[Is Data Valid]]=TRUE,((Table1[[#This Row],[Birthweight (grams)]]*1.1/Table1[[#This Row],[BW_GA]])-1)/(Backend!$B$4/100*Table1[[#This Row],[BW40_3705]]),"")</f>
        <v/>
      </c>
      <c r="J9099" s="7" t="str">
        <f>IF(Table1[[#This Row],[Is Data Valid]]=TRUE,_xlfn.NORM.S.DIST(Table1[[#This Row],[Birthweight Z-Score]],TRUE)*100,"")</f>
        <v/>
      </c>
      <c r="K9099" s="7" t="str">
        <f>IF(Table1[[#This Row],[Is Data Valid]]=TRUE,_xlfn.NORM.S.DIST(Table1[[#This Row],[Birthweight Z-Score (BW-10%)]],TRUE)*100,"")</f>
        <v/>
      </c>
      <c r="L9099" s="7" t="str">
        <f>IF(Table1[[#This Row],[Is Data Valid]]=TRUE,_xlfn.NORM.S.DIST(Table1[[#This Row],[Birthweight Z-Score (BW+10%)]],TRUE)*100,"")</f>
        <v/>
      </c>
    </row>
    <row r="9100" spans="1:12" x14ac:dyDescent="0.35">
      <c r="A9100" s="3"/>
      <c r="B9100" s="2"/>
      <c r="C9100" s="2"/>
      <c r="D9100" s="2" t="b">
        <f>IF(AND(NOT(ISBLANK(Table1[[#This Row],[Fetal Sex (Male, Female or Unknown)]])),ISNUMBER(Table1[[#This Row],[Birthweight (grams)]]),ISNUMBER(Table1[[#This Row],[Gestation (days)]])),TRUE,FALSE)</f>
        <v>0</v>
      </c>
      <c r="E9100" s="2" t="str">
        <f>IF(Table1[[#This Row],[Is Data Valid]]=TRUE,IF(Table1[[#This Row],[Fetal Sex (Male, Female or Unknown)]]="Male",Backend!$C$6,IF(Table1[[#This Row],[Fetal Sex (Male, Female or Unknown)]]="Female",Backend!$C$7,IF(Table1[[#This Row],[Fetal Sex (Male, Female or Unknown)]]="Unknown",Backend!$C$8,"Error"))),"")</f>
        <v/>
      </c>
      <c r="F9100" s="8" t="str">
        <f>IF(Table1[[#This Row],[Is Data Valid]]=TRUE,EXP(0.578+0.332*((Table1[[#This Row],[Gestation (days)]]+0.5)/7)-0.00354*((Table1[[#This Row],[Gestation (days)]]+0.5)/7)^2)*Table1[[#This Row],[BW40_3705]],"")</f>
        <v/>
      </c>
      <c r="G9100" s="2" t="str">
        <f>IF(Table1[[#This Row],[Is Data Valid]]=TRUE,((Table1[[#This Row],[Birthweight (grams)]]/Table1[[#This Row],[BW_GA]])-1)/(Backend!$B$4/100*Table1[[#This Row],[BW40_3705]]),"")</f>
        <v/>
      </c>
      <c r="H9100" s="7" t="str">
        <f>IF(Table1[[#This Row],[Is Data Valid]]=TRUE,((Table1[[#This Row],[Birthweight (grams)]]*0.9/Table1[[#This Row],[BW_GA]])-1)/(Backend!$B$4/100*Table1[[#This Row],[BW40_3705]]),"")</f>
        <v/>
      </c>
      <c r="I9100" s="7" t="str">
        <f>IF(Table1[[#This Row],[Is Data Valid]]=TRUE,((Table1[[#This Row],[Birthweight (grams)]]*1.1/Table1[[#This Row],[BW_GA]])-1)/(Backend!$B$4/100*Table1[[#This Row],[BW40_3705]]),"")</f>
        <v/>
      </c>
      <c r="J9100" s="7" t="str">
        <f>IF(Table1[[#This Row],[Is Data Valid]]=TRUE,_xlfn.NORM.S.DIST(Table1[[#This Row],[Birthweight Z-Score]],TRUE)*100,"")</f>
        <v/>
      </c>
      <c r="K9100" s="7" t="str">
        <f>IF(Table1[[#This Row],[Is Data Valid]]=TRUE,_xlfn.NORM.S.DIST(Table1[[#This Row],[Birthweight Z-Score (BW-10%)]],TRUE)*100,"")</f>
        <v/>
      </c>
      <c r="L9100" s="7" t="str">
        <f>IF(Table1[[#This Row],[Is Data Valid]]=TRUE,_xlfn.NORM.S.DIST(Table1[[#This Row],[Birthweight Z-Score (BW+10%)]],TRUE)*100,"")</f>
        <v/>
      </c>
    </row>
    <row r="9101" spans="1:12" x14ac:dyDescent="0.35">
      <c r="A9101" s="3"/>
      <c r="B9101" s="2"/>
      <c r="C9101" s="2"/>
      <c r="D9101" s="2" t="b">
        <f>IF(AND(NOT(ISBLANK(Table1[[#This Row],[Fetal Sex (Male, Female or Unknown)]])),ISNUMBER(Table1[[#This Row],[Birthweight (grams)]]),ISNUMBER(Table1[[#This Row],[Gestation (days)]])),TRUE,FALSE)</f>
        <v>0</v>
      </c>
      <c r="E9101" s="2" t="str">
        <f>IF(Table1[[#This Row],[Is Data Valid]]=TRUE,IF(Table1[[#This Row],[Fetal Sex (Male, Female or Unknown)]]="Male",Backend!$C$6,IF(Table1[[#This Row],[Fetal Sex (Male, Female or Unknown)]]="Female",Backend!$C$7,IF(Table1[[#This Row],[Fetal Sex (Male, Female or Unknown)]]="Unknown",Backend!$C$8,"Error"))),"")</f>
        <v/>
      </c>
      <c r="F9101" s="8" t="str">
        <f>IF(Table1[[#This Row],[Is Data Valid]]=TRUE,EXP(0.578+0.332*((Table1[[#This Row],[Gestation (days)]]+0.5)/7)-0.00354*((Table1[[#This Row],[Gestation (days)]]+0.5)/7)^2)*Table1[[#This Row],[BW40_3705]],"")</f>
        <v/>
      </c>
      <c r="G9101" s="2" t="str">
        <f>IF(Table1[[#This Row],[Is Data Valid]]=TRUE,((Table1[[#This Row],[Birthweight (grams)]]/Table1[[#This Row],[BW_GA]])-1)/(Backend!$B$4/100*Table1[[#This Row],[BW40_3705]]),"")</f>
        <v/>
      </c>
      <c r="H9101" s="7" t="str">
        <f>IF(Table1[[#This Row],[Is Data Valid]]=TRUE,((Table1[[#This Row],[Birthweight (grams)]]*0.9/Table1[[#This Row],[BW_GA]])-1)/(Backend!$B$4/100*Table1[[#This Row],[BW40_3705]]),"")</f>
        <v/>
      </c>
      <c r="I9101" s="7" t="str">
        <f>IF(Table1[[#This Row],[Is Data Valid]]=TRUE,((Table1[[#This Row],[Birthweight (grams)]]*1.1/Table1[[#This Row],[BW_GA]])-1)/(Backend!$B$4/100*Table1[[#This Row],[BW40_3705]]),"")</f>
        <v/>
      </c>
      <c r="J9101" s="7" t="str">
        <f>IF(Table1[[#This Row],[Is Data Valid]]=TRUE,_xlfn.NORM.S.DIST(Table1[[#This Row],[Birthweight Z-Score]],TRUE)*100,"")</f>
        <v/>
      </c>
      <c r="K9101" s="7" t="str">
        <f>IF(Table1[[#This Row],[Is Data Valid]]=TRUE,_xlfn.NORM.S.DIST(Table1[[#This Row],[Birthweight Z-Score (BW-10%)]],TRUE)*100,"")</f>
        <v/>
      </c>
      <c r="L9101" s="7" t="str">
        <f>IF(Table1[[#This Row],[Is Data Valid]]=TRUE,_xlfn.NORM.S.DIST(Table1[[#This Row],[Birthweight Z-Score (BW+10%)]],TRUE)*100,"")</f>
        <v/>
      </c>
    </row>
    <row r="9102" spans="1:12" x14ac:dyDescent="0.35">
      <c r="A9102" s="3"/>
      <c r="B9102" s="2"/>
      <c r="C9102" s="2"/>
      <c r="D9102" s="2" t="b">
        <f>IF(AND(NOT(ISBLANK(Table1[[#This Row],[Fetal Sex (Male, Female or Unknown)]])),ISNUMBER(Table1[[#This Row],[Birthweight (grams)]]),ISNUMBER(Table1[[#This Row],[Gestation (days)]])),TRUE,FALSE)</f>
        <v>0</v>
      </c>
      <c r="E9102" s="2" t="str">
        <f>IF(Table1[[#This Row],[Is Data Valid]]=TRUE,IF(Table1[[#This Row],[Fetal Sex (Male, Female or Unknown)]]="Male",Backend!$C$6,IF(Table1[[#This Row],[Fetal Sex (Male, Female or Unknown)]]="Female",Backend!$C$7,IF(Table1[[#This Row],[Fetal Sex (Male, Female or Unknown)]]="Unknown",Backend!$C$8,"Error"))),"")</f>
        <v/>
      </c>
      <c r="F9102" s="8" t="str">
        <f>IF(Table1[[#This Row],[Is Data Valid]]=TRUE,EXP(0.578+0.332*((Table1[[#This Row],[Gestation (days)]]+0.5)/7)-0.00354*((Table1[[#This Row],[Gestation (days)]]+0.5)/7)^2)*Table1[[#This Row],[BW40_3705]],"")</f>
        <v/>
      </c>
      <c r="G9102" s="2" t="str">
        <f>IF(Table1[[#This Row],[Is Data Valid]]=TRUE,((Table1[[#This Row],[Birthweight (grams)]]/Table1[[#This Row],[BW_GA]])-1)/(Backend!$B$4/100*Table1[[#This Row],[BW40_3705]]),"")</f>
        <v/>
      </c>
      <c r="H9102" s="7" t="str">
        <f>IF(Table1[[#This Row],[Is Data Valid]]=TRUE,((Table1[[#This Row],[Birthweight (grams)]]*0.9/Table1[[#This Row],[BW_GA]])-1)/(Backend!$B$4/100*Table1[[#This Row],[BW40_3705]]),"")</f>
        <v/>
      </c>
      <c r="I9102" s="7" t="str">
        <f>IF(Table1[[#This Row],[Is Data Valid]]=TRUE,((Table1[[#This Row],[Birthweight (grams)]]*1.1/Table1[[#This Row],[BW_GA]])-1)/(Backend!$B$4/100*Table1[[#This Row],[BW40_3705]]),"")</f>
        <v/>
      </c>
      <c r="J9102" s="7" t="str">
        <f>IF(Table1[[#This Row],[Is Data Valid]]=TRUE,_xlfn.NORM.S.DIST(Table1[[#This Row],[Birthweight Z-Score]],TRUE)*100,"")</f>
        <v/>
      </c>
      <c r="K9102" s="7" t="str">
        <f>IF(Table1[[#This Row],[Is Data Valid]]=TRUE,_xlfn.NORM.S.DIST(Table1[[#This Row],[Birthweight Z-Score (BW-10%)]],TRUE)*100,"")</f>
        <v/>
      </c>
      <c r="L9102" s="7" t="str">
        <f>IF(Table1[[#This Row],[Is Data Valid]]=TRUE,_xlfn.NORM.S.DIST(Table1[[#This Row],[Birthweight Z-Score (BW+10%)]],TRUE)*100,"")</f>
        <v/>
      </c>
    </row>
    <row r="9103" spans="1:12" x14ac:dyDescent="0.35">
      <c r="A9103" s="3"/>
      <c r="B9103" s="2"/>
      <c r="C9103" s="2"/>
      <c r="D9103" s="2" t="b">
        <f>IF(AND(NOT(ISBLANK(Table1[[#This Row],[Fetal Sex (Male, Female or Unknown)]])),ISNUMBER(Table1[[#This Row],[Birthweight (grams)]]),ISNUMBER(Table1[[#This Row],[Gestation (days)]])),TRUE,FALSE)</f>
        <v>0</v>
      </c>
      <c r="E9103" s="2" t="str">
        <f>IF(Table1[[#This Row],[Is Data Valid]]=TRUE,IF(Table1[[#This Row],[Fetal Sex (Male, Female or Unknown)]]="Male",Backend!$C$6,IF(Table1[[#This Row],[Fetal Sex (Male, Female or Unknown)]]="Female",Backend!$C$7,IF(Table1[[#This Row],[Fetal Sex (Male, Female or Unknown)]]="Unknown",Backend!$C$8,"Error"))),"")</f>
        <v/>
      </c>
      <c r="F9103" s="8" t="str">
        <f>IF(Table1[[#This Row],[Is Data Valid]]=TRUE,EXP(0.578+0.332*((Table1[[#This Row],[Gestation (days)]]+0.5)/7)-0.00354*((Table1[[#This Row],[Gestation (days)]]+0.5)/7)^2)*Table1[[#This Row],[BW40_3705]],"")</f>
        <v/>
      </c>
      <c r="G9103" s="2" t="str">
        <f>IF(Table1[[#This Row],[Is Data Valid]]=TRUE,((Table1[[#This Row],[Birthweight (grams)]]/Table1[[#This Row],[BW_GA]])-1)/(Backend!$B$4/100*Table1[[#This Row],[BW40_3705]]),"")</f>
        <v/>
      </c>
      <c r="H9103" s="7" t="str">
        <f>IF(Table1[[#This Row],[Is Data Valid]]=TRUE,((Table1[[#This Row],[Birthweight (grams)]]*0.9/Table1[[#This Row],[BW_GA]])-1)/(Backend!$B$4/100*Table1[[#This Row],[BW40_3705]]),"")</f>
        <v/>
      </c>
      <c r="I9103" s="7" t="str">
        <f>IF(Table1[[#This Row],[Is Data Valid]]=TRUE,((Table1[[#This Row],[Birthweight (grams)]]*1.1/Table1[[#This Row],[BW_GA]])-1)/(Backend!$B$4/100*Table1[[#This Row],[BW40_3705]]),"")</f>
        <v/>
      </c>
      <c r="J9103" s="7" t="str">
        <f>IF(Table1[[#This Row],[Is Data Valid]]=TRUE,_xlfn.NORM.S.DIST(Table1[[#This Row],[Birthweight Z-Score]],TRUE)*100,"")</f>
        <v/>
      </c>
      <c r="K9103" s="7" t="str">
        <f>IF(Table1[[#This Row],[Is Data Valid]]=TRUE,_xlfn.NORM.S.DIST(Table1[[#This Row],[Birthweight Z-Score (BW-10%)]],TRUE)*100,"")</f>
        <v/>
      </c>
      <c r="L9103" s="7" t="str">
        <f>IF(Table1[[#This Row],[Is Data Valid]]=TRUE,_xlfn.NORM.S.DIST(Table1[[#This Row],[Birthweight Z-Score (BW+10%)]],TRUE)*100,"")</f>
        <v/>
      </c>
    </row>
    <row r="9104" spans="1:12" x14ac:dyDescent="0.35">
      <c r="A9104" s="3"/>
      <c r="B9104" s="2"/>
      <c r="C9104" s="2"/>
      <c r="D9104" s="2" t="b">
        <f>IF(AND(NOT(ISBLANK(Table1[[#This Row],[Fetal Sex (Male, Female or Unknown)]])),ISNUMBER(Table1[[#This Row],[Birthweight (grams)]]),ISNUMBER(Table1[[#This Row],[Gestation (days)]])),TRUE,FALSE)</f>
        <v>0</v>
      </c>
      <c r="E9104" s="2" t="str">
        <f>IF(Table1[[#This Row],[Is Data Valid]]=TRUE,IF(Table1[[#This Row],[Fetal Sex (Male, Female or Unknown)]]="Male",Backend!$C$6,IF(Table1[[#This Row],[Fetal Sex (Male, Female or Unknown)]]="Female",Backend!$C$7,IF(Table1[[#This Row],[Fetal Sex (Male, Female or Unknown)]]="Unknown",Backend!$C$8,"Error"))),"")</f>
        <v/>
      </c>
      <c r="F9104" s="8" t="str">
        <f>IF(Table1[[#This Row],[Is Data Valid]]=TRUE,EXP(0.578+0.332*((Table1[[#This Row],[Gestation (days)]]+0.5)/7)-0.00354*((Table1[[#This Row],[Gestation (days)]]+0.5)/7)^2)*Table1[[#This Row],[BW40_3705]],"")</f>
        <v/>
      </c>
      <c r="G9104" s="2" t="str">
        <f>IF(Table1[[#This Row],[Is Data Valid]]=TRUE,((Table1[[#This Row],[Birthweight (grams)]]/Table1[[#This Row],[BW_GA]])-1)/(Backend!$B$4/100*Table1[[#This Row],[BW40_3705]]),"")</f>
        <v/>
      </c>
      <c r="H9104" s="7" t="str">
        <f>IF(Table1[[#This Row],[Is Data Valid]]=TRUE,((Table1[[#This Row],[Birthweight (grams)]]*0.9/Table1[[#This Row],[BW_GA]])-1)/(Backend!$B$4/100*Table1[[#This Row],[BW40_3705]]),"")</f>
        <v/>
      </c>
      <c r="I9104" s="7" t="str">
        <f>IF(Table1[[#This Row],[Is Data Valid]]=TRUE,((Table1[[#This Row],[Birthweight (grams)]]*1.1/Table1[[#This Row],[BW_GA]])-1)/(Backend!$B$4/100*Table1[[#This Row],[BW40_3705]]),"")</f>
        <v/>
      </c>
      <c r="J9104" s="7" t="str">
        <f>IF(Table1[[#This Row],[Is Data Valid]]=TRUE,_xlfn.NORM.S.DIST(Table1[[#This Row],[Birthweight Z-Score]],TRUE)*100,"")</f>
        <v/>
      </c>
      <c r="K9104" s="7" t="str">
        <f>IF(Table1[[#This Row],[Is Data Valid]]=TRUE,_xlfn.NORM.S.DIST(Table1[[#This Row],[Birthweight Z-Score (BW-10%)]],TRUE)*100,"")</f>
        <v/>
      </c>
      <c r="L9104" s="7" t="str">
        <f>IF(Table1[[#This Row],[Is Data Valid]]=TRUE,_xlfn.NORM.S.DIST(Table1[[#This Row],[Birthweight Z-Score (BW+10%)]],TRUE)*100,"")</f>
        <v/>
      </c>
    </row>
    <row r="9105" spans="1:12" x14ac:dyDescent="0.35">
      <c r="A9105" s="3"/>
      <c r="B9105" s="2"/>
      <c r="C9105" s="2"/>
      <c r="D9105" s="2" t="b">
        <f>IF(AND(NOT(ISBLANK(Table1[[#This Row],[Fetal Sex (Male, Female or Unknown)]])),ISNUMBER(Table1[[#This Row],[Birthweight (grams)]]),ISNUMBER(Table1[[#This Row],[Gestation (days)]])),TRUE,FALSE)</f>
        <v>0</v>
      </c>
      <c r="E9105" s="2" t="str">
        <f>IF(Table1[[#This Row],[Is Data Valid]]=TRUE,IF(Table1[[#This Row],[Fetal Sex (Male, Female or Unknown)]]="Male",Backend!$C$6,IF(Table1[[#This Row],[Fetal Sex (Male, Female or Unknown)]]="Female",Backend!$C$7,IF(Table1[[#This Row],[Fetal Sex (Male, Female or Unknown)]]="Unknown",Backend!$C$8,"Error"))),"")</f>
        <v/>
      </c>
      <c r="F9105" s="8" t="str">
        <f>IF(Table1[[#This Row],[Is Data Valid]]=TRUE,EXP(0.578+0.332*((Table1[[#This Row],[Gestation (days)]]+0.5)/7)-0.00354*((Table1[[#This Row],[Gestation (days)]]+0.5)/7)^2)*Table1[[#This Row],[BW40_3705]],"")</f>
        <v/>
      </c>
      <c r="G9105" s="2" t="str">
        <f>IF(Table1[[#This Row],[Is Data Valid]]=TRUE,((Table1[[#This Row],[Birthweight (grams)]]/Table1[[#This Row],[BW_GA]])-1)/(Backend!$B$4/100*Table1[[#This Row],[BW40_3705]]),"")</f>
        <v/>
      </c>
      <c r="H9105" s="7" t="str">
        <f>IF(Table1[[#This Row],[Is Data Valid]]=TRUE,((Table1[[#This Row],[Birthweight (grams)]]*0.9/Table1[[#This Row],[BW_GA]])-1)/(Backend!$B$4/100*Table1[[#This Row],[BW40_3705]]),"")</f>
        <v/>
      </c>
      <c r="I9105" s="7" t="str">
        <f>IF(Table1[[#This Row],[Is Data Valid]]=TRUE,((Table1[[#This Row],[Birthweight (grams)]]*1.1/Table1[[#This Row],[BW_GA]])-1)/(Backend!$B$4/100*Table1[[#This Row],[BW40_3705]]),"")</f>
        <v/>
      </c>
      <c r="J9105" s="7" t="str">
        <f>IF(Table1[[#This Row],[Is Data Valid]]=TRUE,_xlfn.NORM.S.DIST(Table1[[#This Row],[Birthweight Z-Score]],TRUE)*100,"")</f>
        <v/>
      </c>
      <c r="K9105" s="7" t="str">
        <f>IF(Table1[[#This Row],[Is Data Valid]]=TRUE,_xlfn.NORM.S.DIST(Table1[[#This Row],[Birthweight Z-Score (BW-10%)]],TRUE)*100,"")</f>
        <v/>
      </c>
      <c r="L9105" s="7" t="str">
        <f>IF(Table1[[#This Row],[Is Data Valid]]=TRUE,_xlfn.NORM.S.DIST(Table1[[#This Row],[Birthweight Z-Score (BW+10%)]],TRUE)*100,"")</f>
        <v/>
      </c>
    </row>
    <row r="9106" spans="1:12" x14ac:dyDescent="0.35">
      <c r="A9106" s="3"/>
      <c r="B9106" s="2"/>
      <c r="C9106" s="2"/>
      <c r="D9106" s="2" t="b">
        <f>IF(AND(NOT(ISBLANK(Table1[[#This Row],[Fetal Sex (Male, Female or Unknown)]])),ISNUMBER(Table1[[#This Row],[Birthweight (grams)]]),ISNUMBER(Table1[[#This Row],[Gestation (days)]])),TRUE,FALSE)</f>
        <v>0</v>
      </c>
      <c r="E9106" s="2" t="str">
        <f>IF(Table1[[#This Row],[Is Data Valid]]=TRUE,IF(Table1[[#This Row],[Fetal Sex (Male, Female or Unknown)]]="Male",Backend!$C$6,IF(Table1[[#This Row],[Fetal Sex (Male, Female or Unknown)]]="Female",Backend!$C$7,IF(Table1[[#This Row],[Fetal Sex (Male, Female or Unknown)]]="Unknown",Backend!$C$8,"Error"))),"")</f>
        <v/>
      </c>
      <c r="F9106" s="8" t="str">
        <f>IF(Table1[[#This Row],[Is Data Valid]]=TRUE,EXP(0.578+0.332*((Table1[[#This Row],[Gestation (days)]]+0.5)/7)-0.00354*((Table1[[#This Row],[Gestation (days)]]+0.5)/7)^2)*Table1[[#This Row],[BW40_3705]],"")</f>
        <v/>
      </c>
      <c r="G9106" s="2" t="str">
        <f>IF(Table1[[#This Row],[Is Data Valid]]=TRUE,((Table1[[#This Row],[Birthweight (grams)]]/Table1[[#This Row],[BW_GA]])-1)/(Backend!$B$4/100*Table1[[#This Row],[BW40_3705]]),"")</f>
        <v/>
      </c>
      <c r="H9106" s="7" t="str">
        <f>IF(Table1[[#This Row],[Is Data Valid]]=TRUE,((Table1[[#This Row],[Birthweight (grams)]]*0.9/Table1[[#This Row],[BW_GA]])-1)/(Backend!$B$4/100*Table1[[#This Row],[BW40_3705]]),"")</f>
        <v/>
      </c>
      <c r="I9106" s="7" t="str">
        <f>IF(Table1[[#This Row],[Is Data Valid]]=TRUE,((Table1[[#This Row],[Birthweight (grams)]]*1.1/Table1[[#This Row],[BW_GA]])-1)/(Backend!$B$4/100*Table1[[#This Row],[BW40_3705]]),"")</f>
        <v/>
      </c>
      <c r="J9106" s="7" t="str">
        <f>IF(Table1[[#This Row],[Is Data Valid]]=TRUE,_xlfn.NORM.S.DIST(Table1[[#This Row],[Birthweight Z-Score]],TRUE)*100,"")</f>
        <v/>
      </c>
      <c r="K9106" s="7" t="str">
        <f>IF(Table1[[#This Row],[Is Data Valid]]=TRUE,_xlfn.NORM.S.DIST(Table1[[#This Row],[Birthweight Z-Score (BW-10%)]],TRUE)*100,"")</f>
        <v/>
      </c>
      <c r="L9106" s="7" t="str">
        <f>IF(Table1[[#This Row],[Is Data Valid]]=TRUE,_xlfn.NORM.S.DIST(Table1[[#This Row],[Birthweight Z-Score (BW+10%)]],TRUE)*100,"")</f>
        <v/>
      </c>
    </row>
    <row r="9107" spans="1:12" x14ac:dyDescent="0.35">
      <c r="A9107" s="3"/>
      <c r="B9107" s="2"/>
      <c r="C9107" s="2"/>
      <c r="D9107" s="2" t="b">
        <f>IF(AND(NOT(ISBLANK(Table1[[#This Row],[Fetal Sex (Male, Female or Unknown)]])),ISNUMBER(Table1[[#This Row],[Birthweight (grams)]]),ISNUMBER(Table1[[#This Row],[Gestation (days)]])),TRUE,FALSE)</f>
        <v>0</v>
      </c>
      <c r="E9107" s="2" t="str">
        <f>IF(Table1[[#This Row],[Is Data Valid]]=TRUE,IF(Table1[[#This Row],[Fetal Sex (Male, Female or Unknown)]]="Male",Backend!$C$6,IF(Table1[[#This Row],[Fetal Sex (Male, Female or Unknown)]]="Female",Backend!$C$7,IF(Table1[[#This Row],[Fetal Sex (Male, Female or Unknown)]]="Unknown",Backend!$C$8,"Error"))),"")</f>
        <v/>
      </c>
      <c r="F9107" s="8" t="str">
        <f>IF(Table1[[#This Row],[Is Data Valid]]=TRUE,EXP(0.578+0.332*((Table1[[#This Row],[Gestation (days)]]+0.5)/7)-0.00354*((Table1[[#This Row],[Gestation (days)]]+0.5)/7)^2)*Table1[[#This Row],[BW40_3705]],"")</f>
        <v/>
      </c>
      <c r="G9107" s="2" t="str">
        <f>IF(Table1[[#This Row],[Is Data Valid]]=TRUE,((Table1[[#This Row],[Birthweight (grams)]]/Table1[[#This Row],[BW_GA]])-1)/(Backend!$B$4/100*Table1[[#This Row],[BW40_3705]]),"")</f>
        <v/>
      </c>
      <c r="H9107" s="7" t="str">
        <f>IF(Table1[[#This Row],[Is Data Valid]]=TRUE,((Table1[[#This Row],[Birthweight (grams)]]*0.9/Table1[[#This Row],[BW_GA]])-1)/(Backend!$B$4/100*Table1[[#This Row],[BW40_3705]]),"")</f>
        <v/>
      </c>
      <c r="I9107" s="7" t="str">
        <f>IF(Table1[[#This Row],[Is Data Valid]]=TRUE,((Table1[[#This Row],[Birthweight (grams)]]*1.1/Table1[[#This Row],[BW_GA]])-1)/(Backend!$B$4/100*Table1[[#This Row],[BW40_3705]]),"")</f>
        <v/>
      </c>
      <c r="J9107" s="7" t="str">
        <f>IF(Table1[[#This Row],[Is Data Valid]]=TRUE,_xlfn.NORM.S.DIST(Table1[[#This Row],[Birthweight Z-Score]],TRUE)*100,"")</f>
        <v/>
      </c>
      <c r="K9107" s="7" t="str">
        <f>IF(Table1[[#This Row],[Is Data Valid]]=TRUE,_xlfn.NORM.S.DIST(Table1[[#This Row],[Birthweight Z-Score (BW-10%)]],TRUE)*100,"")</f>
        <v/>
      </c>
      <c r="L9107" s="7" t="str">
        <f>IF(Table1[[#This Row],[Is Data Valid]]=TRUE,_xlfn.NORM.S.DIST(Table1[[#This Row],[Birthweight Z-Score (BW+10%)]],TRUE)*100,"")</f>
        <v/>
      </c>
    </row>
    <row r="9108" spans="1:12" x14ac:dyDescent="0.35">
      <c r="A9108" s="3"/>
      <c r="B9108" s="2"/>
      <c r="C9108" s="2"/>
      <c r="D9108" s="2" t="b">
        <f>IF(AND(NOT(ISBLANK(Table1[[#This Row],[Fetal Sex (Male, Female or Unknown)]])),ISNUMBER(Table1[[#This Row],[Birthweight (grams)]]),ISNUMBER(Table1[[#This Row],[Gestation (days)]])),TRUE,FALSE)</f>
        <v>0</v>
      </c>
      <c r="E9108" s="2" t="str">
        <f>IF(Table1[[#This Row],[Is Data Valid]]=TRUE,IF(Table1[[#This Row],[Fetal Sex (Male, Female or Unknown)]]="Male",Backend!$C$6,IF(Table1[[#This Row],[Fetal Sex (Male, Female or Unknown)]]="Female",Backend!$C$7,IF(Table1[[#This Row],[Fetal Sex (Male, Female or Unknown)]]="Unknown",Backend!$C$8,"Error"))),"")</f>
        <v/>
      </c>
      <c r="F9108" s="8" t="str">
        <f>IF(Table1[[#This Row],[Is Data Valid]]=TRUE,EXP(0.578+0.332*((Table1[[#This Row],[Gestation (days)]]+0.5)/7)-0.00354*((Table1[[#This Row],[Gestation (days)]]+0.5)/7)^2)*Table1[[#This Row],[BW40_3705]],"")</f>
        <v/>
      </c>
      <c r="G9108" s="2" t="str">
        <f>IF(Table1[[#This Row],[Is Data Valid]]=TRUE,((Table1[[#This Row],[Birthweight (grams)]]/Table1[[#This Row],[BW_GA]])-1)/(Backend!$B$4/100*Table1[[#This Row],[BW40_3705]]),"")</f>
        <v/>
      </c>
      <c r="H9108" s="7" t="str">
        <f>IF(Table1[[#This Row],[Is Data Valid]]=TRUE,((Table1[[#This Row],[Birthweight (grams)]]*0.9/Table1[[#This Row],[BW_GA]])-1)/(Backend!$B$4/100*Table1[[#This Row],[BW40_3705]]),"")</f>
        <v/>
      </c>
      <c r="I9108" s="7" t="str">
        <f>IF(Table1[[#This Row],[Is Data Valid]]=TRUE,((Table1[[#This Row],[Birthweight (grams)]]*1.1/Table1[[#This Row],[BW_GA]])-1)/(Backend!$B$4/100*Table1[[#This Row],[BW40_3705]]),"")</f>
        <v/>
      </c>
      <c r="J9108" s="7" t="str">
        <f>IF(Table1[[#This Row],[Is Data Valid]]=TRUE,_xlfn.NORM.S.DIST(Table1[[#This Row],[Birthweight Z-Score]],TRUE)*100,"")</f>
        <v/>
      </c>
      <c r="K9108" s="7" t="str">
        <f>IF(Table1[[#This Row],[Is Data Valid]]=TRUE,_xlfn.NORM.S.DIST(Table1[[#This Row],[Birthweight Z-Score (BW-10%)]],TRUE)*100,"")</f>
        <v/>
      </c>
      <c r="L9108" s="7" t="str">
        <f>IF(Table1[[#This Row],[Is Data Valid]]=TRUE,_xlfn.NORM.S.DIST(Table1[[#This Row],[Birthweight Z-Score (BW+10%)]],TRUE)*100,"")</f>
        <v/>
      </c>
    </row>
    <row r="9109" spans="1:12" x14ac:dyDescent="0.35">
      <c r="A9109" s="3"/>
      <c r="B9109" s="2"/>
      <c r="C9109" s="2"/>
      <c r="D9109" s="2" t="b">
        <f>IF(AND(NOT(ISBLANK(Table1[[#This Row],[Fetal Sex (Male, Female or Unknown)]])),ISNUMBER(Table1[[#This Row],[Birthweight (grams)]]),ISNUMBER(Table1[[#This Row],[Gestation (days)]])),TRUE,FALSE)</f>
        <v>0</v>
      </c>
      <c r="E9109" s="2" t="str">
        <f>IF(Table1[[#This Row],[Is Data Valid]]=TRUE,IF(Table1[[#This Row],[Fetal Sex (Male, Female or Unknown)]]="Male",Backend!$C$6,IF(Table1[[#This Row],[Fetal Sex (Male, Female or Unknown)]]="Female",Backend!$C$7,IF(Table1[[#This Row],[Fetal Sex (Male, Female or Unknown)]]="Unknown",Backend!$C$8,"Error"))),"")</f>
        <v/>
      </c>
      <c r="F9109" s="8" t="str">
        <f>IF(Table1[[#This Row],[Is Data Valid]]=TRUE,EXP(0.578+0.332*((Table1[[#This Row],[Gestation (days)]]+0.5)/7)-0.00354*((Table1[[#This Row],[Gestation (days)]]+0.5)/7)^2)*Table1[[#This Row],[BW40_3705]],"")</f>
        <v/>
      </c>
      <c r="G9109" s="2" t="str">
        <f>IF(Table1[[#This Row],[Is Data Valid]]=TRUE,((Table1[[#This Row],[Birthweight (grams)]]/Table1[[#This Row],[BW_GA]])-1)/(Backend!$B$4/100*Table1[[#This Row],[BW40_3705]]),"")</f>
        <v/>
      </c>
      <c r="H9109" s="7" t="str">
        <f>IF(Table1[[#This Row],[Is Data Valid]]=TRUE,((Table1[[#This Row],[Birthweight (grams)]]*0.9/Table1[[#This Row],[BW_GA]])-1)/(Backend!$B$4/100*Table1[[#This Row],[BW40_3705]]),"")</f>
        <v/>
      </c>
      <c r="I9109" s="7" t="str">
        <f>IF(Table1[[#This Row],[Is Data Valid]]=TRUE,((Table1[[#This Row],[Birthweight (grams)]]*1.1/Table1[[#This Row],[BW_GA]])-1)/(Backend!$B$4/100*Table1[[#This Row],[BW40_3705]]),"")</f>
        <v/>
      </c>
      <c r="J9109" s="7" t="str">
        <f>IF(Table1[[#This Row],[Is Data Valid]]=TRUE,_xlfn.NORM.S.DIST(Table1[[#This Row],[Birthweight Z-Score]],TRUE)*100,"")</f>
        <v/>
      </c>
      <c r="K9109" s="7" t="str">
        <f>IF(Table1[[#This Row],[Is Data Valid]]=TRUE,_xlfn.NORM.S.DIST(Table1[[#This Row],[Birthweight Z-Score (BW-10%)]],TRUE)*100,"")</f>
        <v/>
      </c>
      <c r="L9109" s="7" t="str">
        <f>IF(Table1[[#This Row],[Is Data Valid]]=TRUE,_xlfn.NORM.S.DIST(Table1[[#This Row],[Birthweight Z-Score (BW+10%)]],TRUE)*100,"")</f>
        <v/>
      </c>
    </row>
    <row r="9110" spans="1:12" x14ac:dyDescent="0.35">
      <c r="A9110" s="3"/>
      <c r="B9110" s="2"/>
      <c r="C9110" s="2"/>
      <c r="D9110" s="2" t="b">
        <f>IF(AND(NOT(ISBLANK(Table1[[#This Row],[Fetal Sex (Male, Female or Unknown)]])),ISNUMBER(Table1[[#This Row],[Birthweight (grams)]]),ISNUMBER(Table1[[#This Row],[Gestation (days)]])),TRUE,FALSE)</f>
        <v>0</v>
      </c>
      <c r="E9110" s="2" t="str">
        <f>IF(Table1[[#This Row],[Is Data Valid]]=TRUE,IF(Table1[[#This Row],[Fetal Sex (Male, Female or Unknown)]]="Male",Backend!$C$6,IF(Table1[[#This Row],[Fetal Sex (Male, Female or Unknown)]]="Female",Backend!$C$7,IF(Table1[[#This Row],[Fetal Sex (Male, Female or Unknown)]]="Unknown",Backend!$C$8,"Error"))),"")</f>
        <v/>
      </c>
      <c r="F9110" s="8" t="str">
        <f>IF(Table1[[#This Row],[Is Data Valid]]=TRUE,EXP(0.578+0.332*((Table1[[#This Row],[Gestation (days)]]+0.5)/7)-0.00354*((Table1[[#This Row],[Gestation (days)]]+0.5)/7)^2)*Table1[[#This Row],[BW40_3705]],"")</f>
        <v/>
      </c>
      <c r="G9110" s="2" t="str">
        <f>IF(Table1[[#This Row],[Is Data Valid]]=TRUE,((Table1[[#This Row],[Birthweight (grams)]]/Table1[[#This Row],[BW_GA]])-1)/(Backend!$B$4/100*Table1[[#This Row],[BW40_3705]]),"")</f>
        <v/>
      </c>
      <c r="H9110" s="7" t="str">
        <f>IF(Table1[[#This Row],[Is Data Valid]]=TRUE,((Table1[[#This Row],[Birthweight (grams)]]*0.9/Table1[[#This Row],[BW_GA]])-1)/(Backend!$B$4/100*Table1[[#This Row],[BW40_3705]]),"")</f>
        <v/>
      </c>
      <c r="I9110" s="7" t="str">
        <f>IF(Table1[[#This Row],[Is Data Valid]]=TRUE,((Table1[[#This Row],[Birthweight (grams)]]*1.1/Table1[[#This Row],[BW_GA]])-1)/(Backend!$B$4/100*Table1[[#This Row],[BW40_3705]]),"")</f>
        <v/>
      </c>
      <c r="J9110" s="7" t="str">
        <f>IF(Table1[[#This Row],[Is Data Valid]]=TRUE,_xlfn.NORM.S.DIST(Table1[[#This Row],[Birthweight Z-Score]],TRUE)*100,"")</f>
        <v/>
      </c>
      <c r="K9110" s="7" t="str">
        <f>IF(Table1[[#This Row],[Is Data Valid]]=TRUE,_xlfn.NORM.S.DIST(Table1[[#This Row],[Birthweight Z-Score (BW-10%)]],TRUE)*100,"")</f>
        <v/>
      </c>
      <c r="L9110" s="7" t="str">
        <f>IF(Table1[[#This Row],[Is Data Valid]]=TRUE,_xlfn.NORM.S.DIST(Table1[[#This Row],[Birthweight Z-Score (BW+10%)]],TRUE)*100,"")</f>
        <v/>
      </c>
    </row>
    <row r="9111" spans="1:12" x14ac:dyDescent="0.35">
      <c r="A9111" s="3"/>
      <c r="B9111" s="2"/>
      <c r="C9111" s="2"/>
      <c r="D9111" s="2" t="b">
        <f>IF(AND(NOT(ISBLANK(Table1[[#This Row],[Fetal Sex (Male, Female or Unknown)]])),ISNUMBER(Table1[[#This Row],[Birthweight (grams)]]),ISNUMBER(Table1[[#This Row],[Gestation (days)]])),TRUE,FALSE)</f>
        <v>0</v>
      </c>
      <c r="E9111" s="2" t="str">
        <f>IF(Table1[[#This Row],[Is Data Valid]]=TRUE,IF(Table1[[#This Row],[Fetal Sex (Male, Female or Unknown)]]="Male",Backend!$C$6,IF(Table1[[#This Row],[Fetal Sex (Male, Female or Unknown)]]="Female",Backend!$C$7,IF(Table1[[#This Row],[Fetal Sex (Male, Female or Unknown)]]="Unknown",Backend!$C$8,"Error"))),"")</f>
        <v/>
      </c>
      <c r="F9111" s="8" t="str">
        <f>IF(Table1[[#This Row],[Is Data Valid]]=TRUE,EXP(0.578+0.332*((Table1[[#This Row],[Gestation (days)]]+0.5)/7)-0.00354*((Table1[[#This Row],[Gestation (days)]]+0.5)/7)^2)*Table1[[#This Row],[BW40_3705]],"")</f>
        <v/>
      </c>
      <c r="G9111" s="2" t="str">
        <f>IF(Table1[[#This Row],[Is Data Valid]]=TRUE,((Table1[[#This Row],[Birthweight (grams)]]/Table1[[#This Row],[BW_GA]])-1)/(Backend!$B$4/100*Table1[[#This Row],[BW40_3705]]),"")</f>
        <v/>
      </c>
      <c r="H9111" s="7" t="str">
        <f>IF(Table1[[#This Row],[Is Data Valid]]=TRUE,((Table1[[#This Row],[Birthweight (grams)]]*0.9/Table1[[#This Row],[BW_GA]])-1)/(Backend!$B$4/100*Table1[[#This Row],[BW40_3705]]),"")</f>
        <v/>
      </c>
      <c r="I9111" s="7" t="str">
        <f>IF(Table1[[#This Row],[Is Data Valid]]=TRUE,((Table1[[#This Row],[Birthweight (grams)]]*1.1/Table1[[#This Row],[BW_GA]])-1)/(Backend!$B$4/100*Table1[[#This Row],[BW40_3705]]),"")</f>
        <v/>
      </c>
      <c r="J9111" s="7" t="str">
        <f>IF(Table1[[#This Row],[Is Data Valid]]=TRUE,_xlfn.NORM.S.DIST(Table1[[#This Row],[Birthweight Z-Score]],TRUE)*100,"")</f>
        <v/>
      </c>
      <c r="K9111" s="7" t="str">
        <f>IF(Table1[[#This Row],[Is Data Valid]]=TRUE,_xlfn.NORM.S.DIST(Table1[[#This Row],[Birthweight Z-Score (BW-10%)]],TRUE)*100,"")</f>
        <v/>
      </c>
      <c r="L9111" s="7" t="str">
        <f>IF(Table1[[#This Row],[Is Data Valid]]=TRUE,_xlfn.NORM.S.DIST(Table1[[#This Row],[Birthweight Z-Score (BW+10%)]],TRUE)*100,"")</f>
        <v/>
      </c>
    </row>
    <row r="9112" spans="1:12" x14ac:dyDescent="0.35">
      <c r="A9112" s="3"/>
      <c r="B9112" s="2"/>
      <c r="C9112" s="2"/>
      <c r="D9112" s="2" t="b">
        <f>IF(AND(NOT(ISBLANK(Table1[[#This Row],[Fetal Sex (Male, Female or Unknown)]])),ISNUMBER(Table1[[#This Row],[Birthweight (grams)]]),ISNUMBER(Table1[[#This Row],[Gestation (days)]])),TRUE,FALSE)</f>
        <v>0</v>
      </c>
      <c r="E9112" s="2" t="str">
        <f>IF(Table1[[#This Row],[Is Data Valid]]=TRUE,IF(Table1[[#This Row],[Fetal Sex (Male, Female or Unknown)]]="Male",Backend!$C$6,IF(Table1[[#This Row],[Fetal Sex (Male, Female or Unknown)]]="Female",Backend!$C$7,IF(Table1[[#This Row],[Fetal Sex (Male, Female or Unknown)]]="Unknown",Backend!$C$8,"Error"))),"")</f>
        <v/>
      </c>
      <c r="F9112" s="8" t="str">
        <f>IF(Table1[[#This Row],[Is Data Valid]]=TRUE,EXP(0.578+0.332*((Table1[[#This Row],[Gestation (days)]]+0.5)/7)-0.00354*((Table1[[#This Row],[Gestation (days)]]+0.5)/7)^2)*Table1[[#This Row],[BW40_3705]],"")</f>
        <v/>
      </c>
      <c r="G9112" s="2" t="str">
        <f>IF(Table1[[#This Row],[Is Data Valid]]=TRUE,((Table1[[#This Row],[Birthweight (grams)]]/Table1[[#This Row],[BW_GA]])-1)/(Backend!$B$4/100*Table1[[#This Row],[BW40_3705]]),"")</f>
        <v/>
      </c>
      <c r="H9112" s="7" t="str">
        <f>IF(Table1[[#This Row],[Is Data Valid]]=TRUE,((Table1[[#This Row],[Birthweight (grams)]]*0.9/Table1[[#This Row],[BW_GA]])-1)/(Backend!$B$4/100*Table1[[#This Row],[BW40_3705]]),"")</f>
        <v/>
      </c>
      <c r="I9112" s="7" t="str">
        <f>IF(Table1[[#This Row],[Is Data Valid]]=TRUE,((Table1[[#This Row],[Birthweight (grams)]]*1.1/Table1[[#This Row],[BW_GA]])-1)/(Backend!$B$4/100*Table1[[#This Row],[BW40_3705]]),"")</f>
        <v/>
      </c>
      <c r="J9112" s="7" t="str">
        <f>IF(Table1[[#This Row],[Is Data Valid]]=TRUE,_xlfn.NORM.S.DIST(Table1[[#This Row],[Birthweight Z-Score]],TRUE)*100,"")</f>
        <v/>
      </c>
      <c r="K9112" s="7" t="str">
        <f>IF(Table1[[#This Row],[Is Data Valid]]=TRUE,_xlfn.NORM.S.DIST(Table1[[#This Row],[Birthweight Z-Score (BW-10%)]],TRUE)*100,"")</f>
        <v/>
      </c>
      <c r="L9112" s="7" t="str">
        <f>IF(Table1[[#This Row],[Is Data Valid]]=TRUE,_xlfn.NORM.S.DIST(Table1[[#This Row],[Birthweight Z-Score (BW+10%)]],TRUE)*100,"")</f>
        <v/>
      </c>
    </row>
    <row r="9113" spans="1:12" x14ac:dyDescent="0.35">
      <c r="A9113" s="3"/>
      <c r="B9113" s="2"/>
      <c r="C9113" s="2"/>
      <c r="D9113" s="2" t="b">
        <f>IF(AND(NOT(ISBLANK(Table1[[#This Row],[Fetal Sex (Male, Female or Unknown)]])),ISNUMBER(Table1[[#This Row],[Birthweight (grams)]]),ISNUMBER(Table1[[#This Row],[Gestation (days)]])),TRUE,FALSE)</f>
        <v>0</v>
      </c>
      <c r="E9113" s="2" t="str">
        <f>IF(Table1[[#This Row],[Is Data Valid]]=TRUE,IF(Table1[[#This Row],[Fetal Sex (Male, Female or Unknown)]]="Male",Backend!$C$6,IF(Table1[[#This Row],[Fetal Sex (Male, Female or Unknown)]]="Female",Backend!$C$7,IF(Table1[[#This Row],[Fetal Sex (Male, Female or Unknown)]]="Unknown",Backend!$C$8,"Error"))),"")</f>
        <v/>
      </c>
      <c r="F9113" s="8" t="str">
        <f>IF(Table1[[#This Row],[Is Data Valid]]=TRUE,EXP(0.578+0.332*((Table1[[#This Row],[Gestation (days)]]+0.5)/7)-0.00354*((Table1[[#This Row],[Gestation (days)]]+0.5)/7)^2)*Table1[[#This Row],[BW40_3705]],"")</f>
        <v/>
      </c>
      <c r="G9113" s="2" t="str">
        <f>IF(Table1[[#This Row],[Is Data Valid]]=TRUE,((Table1[[#This Row],[Birthweight (grams)]]/Table1[[#This Row],[BW_GA]])-1)/(Backend!$B$4/100*Table1[[#This Row],[BW40_3705]]),"")</f>
        <v/>
      </c>
      <c r="H9113" s="7" t="str">
        <f>IF(Table1[[#This Row],[Is Data Valid]]=TRUE,((Table1[[#This Row],[Birthweight (grams)]]*0.9/Table1[[#This Row],[BW_GA]])-1)/(Backend!$B$4/100*Table1[[#This Row],[BW40_3705]]),"")</f>
        <v/>
      </c>
      <c r="I9113" s="7" t="str">
        <f>IF(Table1[[#This Row],[Is Data Valid]]=TRUE,((Table1[[#This Row],[Birthweight (grams)]]*1.1/Table1[[#This Row],[BW_GA]])-1)/(Backend!$B$4/100*Table1[[#This Row],[BW40_3705]]),"")</f>
        <v/>
      </c>
      <c r="J9113" s="7" t="str">
        <f>IF(Table1[[#This Row],[Is Data Valid]]=TRUE,_xlfn.NORM.S.DIST(Table1[[#This Row],[Birthweight Z-Score]],TRUE)*100,"")</f>
        <v/>
      </c>
      <c r="K9113" s="7" t="str">
        <f>IF(Table1[[#This Row],[Is Data Valid]]=TRUE,_xlfn.NORM.S.DIST(Table1[[#This Row],[Birthweight Z-Score (BW-10%)]],TRUE)*100,"")</f>
        <v/>
      </c>
      <c r="L9113" s="7" t="str">
        <f>IF(Table1[[#This Row],[Is Data Valid]]=TRUE,_xlfn.NORM.S.DIST(Table1[[#This Row],[Birthweight Z-Score (BW+10%)]],TRUE)*100,"")</f>
        <v/>
      </c>
    </row>
    <row r="9114" spans="1:12" x14ac:dyDescent="0.35">
      <c r="A9114" s="3"/>
      <c r="B9114" s="2"/>
      <c r="C9114" s="2"/>
      <c r="D9114" s="2" t="b">
        <f>IF(AND(NOT(ISBLANK(Table1[[#This Row],[Fetal Sex (Male, Female or Unknown)]])),ISNUMBER(Table1[[#This Row],[Birthweight (grams)]]),ISNUMBER(Table1[[#This Row],[Gestation (days)]])),TRUE,FALSE)</f>
        <v>0</v>
      </c>
      <c r="E9114" s="2" t="str">
        <f>IF(Table1[[#This Row],[Is Data Valid]]=TRUE,IF(Table1[[#This Row],[Fetal Sex (Male, Female or Unknown)]]="Male",Backend!$C$6,IF(Table1[[#This Row],[Fetal Sex (Male, Female or Unknown)]]="Female",Backend!$C$7,IF(Table1[[#This Row],[Fetal Sex (Male, Female or Unknown)]]="Unknown",Backend!$C$8,"Error"))),"")</f>
        <v/>
      </c>
      <c r="F9114" s="8" t="str">
        <f>IF(Table1[[#This Row],[Is Data Valid]]=TRUE,EXP(0.578+0.332*((Table1[[#This Row],[Gestation (days)]]+0.5)/7)-0.00354*((Table1[[#This Row],[Gestation (days)]]+0.5)/7)^2)*Table1[[#This Row],[BW40_3705]],"")</f>
        <v/>
      </c>
      <c r="G9114" s="2" t="str">
        <f>IF(Table1[[#This Row],[Is Data Valid]]=TRUE,((Table1[[#This Row],[Birthweight (grams)]]/Table1[[#This Row],[BW_GA]])-1)/(Backend!$B$4/100*Table1[[#This Row],[BW40_3705]]),"")</f>
        <v/>
      </c>
      <c r="H9114" s="7" t="str">
        <f>IF(Table1[[#This Row],[Is Data Valid]]=TRUE,((Table1[[#This Row],[Birthweight (grams)]]*0.9/Table1[[#This Row],[BW_GA]])-1)/(Backend!$B$4/100*Table1[[#This Row],[BW40_3705]]),"")</f>
        <v/>
      </c>
      <c r="I9114" s="7" t="str">
        <f>IF(Table1[[#This Row],[Is Data Valid]]=TRUE,((Table1[[#This Row],[Birthweight (grams)]]*1.1/Table1[[#This Row],[BW_GA]])-1)/(Backend!$B$4/100*Table1[[#This Row],[BW40_3705]]),"")</f>
        <v/>
      </c>
      <c r="J9114" s="7" t="str">
        <f>IF(Table1[[#This Row],[Is Data Valid]]=TRUE,_xlfn.NORM.S.DIST(Table1[[#This Row],[Birthweight Z-Score]],TRUE)*100,"")</f>
        <v/>
      </c>
      <c r="K9114" s="7" t="str">
        <f>IF(Table1[[#This Row],[Is Data Valid]]=TRUE,_xlfn.NORM.S.DIST(Table1[[#This Row],[Birthweight Z-Score (BW-10%)]],TRUE)*100,"")</f>
        <v/>
      </c>
      <c r="L9114" s="7" t="str">
        <f>IF(Table1[[#This Row],[Is Data Valid]]=TRUE,_xlfn.NORM.S.DIST(Table1[[#This Row],[Birthweight Z-Score (BW+10%)]],TRUE)*100,"")</f>
        <v/>
      </c>
    </row>
    <row r="9115" spans="1:12" x14ac:dyDescent="0.35">
      <c r="A9115" s="3"/>
      <c r="B9115" s="2"/>
      <c r="C9115" s="2"/>
      <c r="D9115" s="2" t="b">
        <f>IF(AND(NOT(ISBLANK(Table1[[#This Row],[Fetal Sex (Male, Female or Unknown)]])),ISNUMBER(Table1[[#This Row],[Birthweight (grams)]]),ISNUMBER(Table1[[#This Row],[Gestation (days)]])),TRUE,FALSE)</f>
        <v>0</v>
      </c>
      <c r="E9115" s="2" t="str">
        <f>IF(Table1[[#This Row],[Is Data Valid]]=TRUE,IF(Table1[[#This Row],[Fetal Sex (Male, Female or Unknown)]]="Male",Backend!$C$6,IF(Table1[[#This Row],[Fetal Sex (Male, Female or Unknown)]]="Female",Backend!$C$7,IF(Table1[[#This Row],[Fetal Sex (Male, Female or Unknown)]]="Unknown",Backend!$C$8,"Error"))),"")</f>
        <v/>
      </c>
      <c r="F9115" s="8" t="str">
        <f>IF(Table1[[#This Row],[Is Data Valid]]=TRUE,EXP(0.578+0.332*((Table1[[#This Row],[Gestation (days)]]+0.5)/7)-0.00354*((Table1[[#This Row],[Gestation (days)]]+0.5)/7)^2)*Table1[[#This Row],[BW40_3705]],"")</f>
        <v/>
      </c>
      <c r="G9115" s="2" t="str">
        <f>IF(Table1[[#This Row],[Is Data Valid]]=TRUE,((Table1[[#This Row],[Birthweight (grams)]]/Table1[[#This Row],[BW_GA]])-1)/(Backend!$B$4/100*Table1[[#This Row],[BW40_3705]]),"")</f>
        <v/>
      </c>
      <c r="H9115" s="7" t="str">
        <f>IF(Table1[[#This Row],[Is Data Valid]]=TRUE,((Table1[[#This Row],[Birthweight (grams)]]*0.9/Table1[[#This Row],[BW_GA]])-1)/(Backend!$B$4/100*Table1[[#This Row],[BW40_3705]]),"")</f>
        <v/>
      </c>
      <c r="I9115" s="7" t="str">
        <f>IF(Table1[[#This Row],[Is Data Valid]]=TRUE,((Table1[[#This Row],[Birthweight (grams)]]*1.1/Table1[[#This Row],[BW_GA]])-1)/(Backend!$B$4/100*Table1[[#This Row],[BW40_3705]]),"")</f>
        <v/>
      </c>
      <c r="J9115" s="7" t="str">
        <f>IF(Table1[[#This Row],[Is Data Valid]]=TRUE,_xlfn.NORM.S.DIST(Table1[[#This Row],[Birthweight Z-Score]],TRUE)*100,"")</f>
        <v/>
      </c>
      <c r="K9115" s="7" t="str">
        <f>IF(Table1[[#This Row],[Is Data Valid]]=TRUE,_xlfn.NORM.S.DIST(Table1[[#This Row],[Birthweight Z-Score (BW-10%)]],TRUE)*100,"")</f>
        <v/>
      </c>
      <c r="L9115" s="7" t="str">
        <f>IF(Table1[[#This Row],[Is Data Valid]]=TRUE,_xlfn.NORM.S.DIST(Table1[[#This Row],[Birthweight Z-Score (BW+10%)]],TRUE)*100,"")</f>
        <v/>
      </c>
    </row>
    <row r="9116" spans="1:12" x14ac:dyDescent="0.35">
      <c r="A9116" s="3"/>
      <c r="B9116" s="2"/>
      <c r="C9116" s="2"/>
      <c r="D9116" s="2" t="b">
        <f>IF(AND(NOT(ISBLANK(Table1[[#This Row],[Fetal Sex (Male, Female or Unknown)]])),ISNUMBER(Table1[[#This Row],[Birthweight (grams)]]),ISNUMBER(Table1[[#This Row],[Gestation (days)]])),TRUE,FALSE)</f>
        <v>0</v>
      </c>
      <c r="E9116" s="2" t="str">
        <f>IF(Table1[[#This Row],[Is Data Valid]]=TRUE,IF(Table1[[#This Row],[Fetal Sex (Male, Female or Unknown)]]="Male",Backend!$C$6,IF(Table1[[#This Row],[Fetal Sex (Male, Female or Unknown)]]="Female",Backend!$C$7,IF(Table1[[#This Row],[Fetal Sex (Male, Female or Unknown)]]="Unknown",Backend!$C$8,"Error"))),"")</f>
        <v/>
      </c>
      <c r="F9116" s="8" t="str">
        <f>IF(Table1[[#This Row],[Is Data Valid]]=TRUE,EXP(0.578+0.332*((Table1[[#This Row],[Gestation (days)]]+0.5)/7)-0.00354*((Table1[[#This Row],[Gestation (days)]]+0.5)/7)^2)*Table1[[#This Row],[BW40_3705]],"")</f>
        <v/>
      </c>
      <c r="G9116" s="2" t="str">
        <f>IF(Table1[[#This Row],[Is Data Valid]]=TRUE,((Table1[[#This Row],[Birthweight (grams)]]/Table1[[#This Row],[BW_GA]])-1)/(Backend!$B$4/100*Table1[[#This Row],[BW40_3705]]),"")</f>
        <v/>
      </c>
      <c r="H9116" s="7" t="str">
        <f>IF(Table1[[#This Row],[Is Data Valid]]=TRUE,((Table1[[#This Row],[Birthweight (grams)]]*0.9/Table1[[#This Row],[BW_GA]])-1)/(Backend!$B$4/100*Table1[[#This Row],[BW40_3705]]),"")</f>
        <v/>
      </c>
      <c r="I9116" s="7" t="str">
        <f>IF(Table1[[#This Row],[Is Data Valid]]=TRUE,((Table1[[#This Row],[Birthweight (grams)]]*1.1/Table1[[#This Row],[BW_GA]])-1)/(Backend!$B$4/100*Table1[[#This Row],[BW40_3705]]),"")</f>
        <v/>
      </c>
      <c r="J9116" s="7" t="str">
        <f>IF(Table1[[#This Row],[Is Data Valid]]=TRUE,_xlfn.NORM.S.DIST(Table1[[#This Row],[Birthweight Z-Score]],TRUE)*100,"")</f>
        <v/>
      </c>
      <c r="K9116" s="7" t="str">
        <f>IF(Table1[[#This Row],[Is Data Valid]]=TRUE,_xlfn.NORM.S.DIST(Table1[[#This Row],[Birthweight Z-Score (BW-10%)]],TRUE)*100,"")</f>
        <v/>
      </c>
      <c r="L9116" s="7" t="str">
        <f>IF(Table1[[#This Row],[Is Data Valid]]=TRUE,_xlfn.NORM.S.DIST(Table1[[#This Row],[Birthweight Z-Score (BW+10%)]],TRUE)*100,"")</f>
        <v/>
      </c>
    </row>
    <row r="9117" spans="1:12" x14ac:dyDescent="0.35">
      <c r="A9117" s="3"/>
      <c r="B9117" s="2"/>
      <c r="C9117" s="2"/>
      <c r="D9117" s="2" t="b">
        <f>IF(AND(NOT(ISBLANK(Table1[[#This Row],[Fetal Sex (Male, Female or Unknown)]])),ISNUMBER(Table1[[#This Row],[Birthweight (grams)]]),ISNUMBER(Table1[[#This Row],[Gestation (days)]])),TRUE,FALSE)</f>
        <v>0</v>
      </c>
      <c r="E9117" s="2" t="str">
        <f>IF(Table1[[#This Row],[Is Data Valid]]=TRUE,IF(Table1[[#This Row],[Fetal Sex (Male, Female or Unknown)]]="Male",Backend!$C$6,IF(Table1[[#This Row],[Fetal Sex (Male, Female or Unknown)]]="Female",Backend!$C$7,IF(Table1[[#This Row],[Fetal Sex (Male, Female or Unknown)]]="Unknown",Backend!$C$8,"Error"))),"")</f>
        <v/>
      </c>
      <c r="F9117" s="8" t="str">
        <f>IF(Table1[[#This Row],[Is Data Valid]]=TRUE,EXP(0.578+0.332*((Table1[[#This Row],[Gestation (days)]]+0.5)/7)-0.00354*((Table1[[#This Row],[Gestation (days)]]+0.5)/7)^2)*Table1[[#This Row],[BW40_3705]],"")</f>
        <v/>
      </c>
      <c r="G9117" s="2" t="str">
        <f>IF(Table1[[#This Row],[Is Data Valid]]=TRUE,((Table1[[#This Row],[Birthweight (grams)]]/Table1[[#This Row],[BW_GA]])-1)/(Backend!$B$4/100*Table1[[#This Row],[BW40_3705]]),"")</f>
        <v/>
      </c>
      <c r="H9117" s="7" t="str">
        <f>IF(Table1[[#This Row],[Is Data Valid]]=TRUE,((Table1[[#This Row],[Birthweight (grams)]]*0.9/Table1[[#This Row],[BW_GA]])-1)/(Backend!$B$4/100*Table1[[#This Row],[BW40_3705]]),"")</f>
        <v/>
      </c>
      <c r="I9117" s="7" t="str">
        <f>IF(Table1[[#This Row],[Is Data Valid]]=TRUE,((Table1[[#This Row],[Birthweight (grams)]]*1.1/Table1[[#This Row],[BW_GA]])-1)/(Backend!$B$4/100*Table1[[#This Row],[BW40_3705]]),"")</f>
        <v/>
      </c>
      <c r="J9117" s="7" t="str">
        <f>IF(Table1[[#This Row],[Is Data Valid]]=TRUE,_xlfn.NORM.S.DIST(Table1[[#This Row],[Birthweight Z-Score]],TRUE)*100,"")</f>
        <v/>
      </c>
      <c r="K9117" s="7" t="str">
        <f>IF(Table1[[#This Row],[Is Data Valid]]=TRUE,_xlfn.NORM.S.DIST(Table1[[#This Row],[Birthweight Z-Score (BW-10%)]],TRUE)*100,"")</f>
        <v/>
      </c>
      <c r="L9117" s="7" t="str">
        <f>IF(Table1[[#This Row],[Is Data Valid]]=TRUE,_xlfn.NORM.S.DIST(Table1[[#This Row],[Birthweight Z-Score (BW+10%)]],TRUE)*100,"")</f>
        <v/>
      </c>
    </row>
    <row r="9118" spans="1:12" x14ac:dyDescent="0.35">
      <c r="A9118" s="3"/>
      <c r="B9118" s="2"/>
      <c r="C9118" s="2"/>
      <c r="D9118" s="2" t="b">
        <f>IF(AND(NOT(ISBLANK(Table1[[#This Row],[Fetal Sex (Male, Female or Unknown)]])),ISNUMBER(Table1[[#This Row],[Birthweight (grams)]]),ISNUMBER(Table1[[#This Row],[Gestation (days)]])),TRUE,FALSE)</f>
        <v>0</v>
      </c>
      <c r="E9118" s="2" t="str">
        <f>IF(Table1[[#This Row],[Is Data Valid]]=TRUE,IF(Table1[[#This Row],[Fetal Sex (Male, Female or Unknown)]]="Male",Backend!$C$6,IF(Table1[[#This Row],[Fetal Sex (Male, Female or Unknown)]]="Female",Backend!$C$7,IF(Table1[[#This Row],[Fetal Sex (Male, Female or Unknown)]]="Unknown",Backend!$C$8,"Error"))),"")</f>
        <v/>
      </c>
      <c r="F9118" s="8" t="str">
        <f>IF(Table1[[#This Row],[Is Data Valid]]=TRUE,EXP(0.578+0.332*((Table1[[#This Row],[Gestation (days)]]+0.5)/7)-0.00354*((Table1[[#This Row],[Gestation (days)]]+0.5)/7)^2)*Table1[[#This Row],[BW40_3705]],"")</f>
        <v/>
      </c>
      <c r="G9118" s="2" t="str">
        <f>IF(Table1[[#This Row],[Is Data Valid]]=TRUE,((Table1[[#This Row],[Birthweight (grams)]]/Table1[[#This Row],[BW_GA]])-1)/(Backend!$B$4/100*Table1[[#This Row],[BW40_3705]]),"")</f>
        <v/>
      </c>
      <c r="H9118" s="7" t="str">
        <f>IF(Table1[[#This Row],[Is Data Valid]]=TRUE,((Table1[[#This Row],[Birthweight (grams)]]*0.9/Table1[[#This Row],[BW_GA]])-1)/(Backend!$B$4/100*Table1[[#This Row],[BW40_3705]]),"")</f>
        <v/>
      </c>
      <c r="I9118" s="7" t="str">
        <f>IF(Table1[[#This Row],[Is Data Valid]]=TRUE,((Table1[[#This Row],[Birthweight (grams)]]*1.1/Table1[[#This Row],[BW_GA]])-1)/(Backend!$B$4/100*Table1[[#This Row],[BW40_3705]]),"")</f>
        <v/>
      </c>
      <c r="J9118" s="7" t="str">
        <f>IF(Table1[[#This Row],[Is Data Valid]]=TRUE,_xlfn.NORM.S.DIST(Table1[[#This Row],[Birthweight Z-Score]],TRUE)*100,"")</f>
        <v/>
      </c>
      <c r="K9118" s="7" t="str">
        <f>IF(Table1[[#This Row],[Is Data Valid]]=TRUE,_xlfn.NORM.S.DIST(Table1[[#This Row],[Birthweight Z-Score (BW-10%)]],TRUE)*100,"")</f>
        <v/>
      </c>
      <c r="L9118" s="7" t="str">
        <f>IF(Table1[[#This Row],[Is Data Valid]]=TRUE,_xlfn.NORM.S.DIST(Table1[[#This Row],[Birthweight Z-Score (BW+10%)]],TRUE)*100,"")</f>
        <v/>
      </c>
    </row>
    <row r="9119" spans="1:12" x14ac:dyDescent="0.35">
      <c r="A9119" s="3"/>
      <c r="B9119" s="2"/>
      <c r="C9119" s="2"/>
      <c r="D9119" s="2" t="b">
        <f>IF(AND(NOT(ISBLANK(Table1[[#This Row],[Fetal Sex (Male, Female or Unknown)]])),ISNUMBER(Table1[[#This Row],[Birthweight (grams)]]),ISNUMBER(Table1[[#This Row],[Gestation (days)]])),TRUE,FALSE)</f>
        <v>0</v>
      </c>
      <c r="E9119" s="2" t="str">
        <f>IF(Table1[[#This Row],[Is Data Valid]]=TRUE,IF(Table1[[#This Row],[Fetal Sex (Male, Female or Unknown)]]="Male",Backend!$C$6,IF(Table1[[#This Row],[Fetal Sex (Male, Female or Unknown)]]="Female",Backend!$C$7,IF(Table1[[#This Row],[Fetal Sex (Male, Female or Unknown)]]="Unknown",Backend!$C$8,"Error"))),"")</f>
        <v/>
      </c>
      <c r="F9119" s="8" t="str">
        <f>IF(Table1[[#This Row],[Is Data Valid]]=TRUE,EXP(0.578+0.332*((Table1[[#This Row],[Gestation (days)]]+0.5)/7)-0.00354*((Table1[[#This Row],[Gestation (days)]]+0.5)/7)^2)*Table1[[#This Row],[BW40_3705]],"")</f>
        <v/>
      </c>
      <c r="G9119" s="2" t="str">
        <f>IF(Table1[[#This Row],[Is Data Valid]]=TRUE,((Table1[[#This Row],[Birthweight (grams)]]/Table1[[#This Row],[BW_GA]])-1)/(Backend!$B$4/100*Table1[[#This Row],[BW40_3705]]),"")</f>
        <v/>
      </c>
      <c r="H9119" s="7" t="str">
        <f>IF(Table1[[#This Row],[Is Data Valid]]=TRUE,((Table1[[#This Row],[Birthweight (grams)]]*0.9/Table1[[#This Row],[BW_GA]])-1)/(Backend!$B$4/100*Table1[[#This Row],[BW40_3705]]),"")</f>
        <v/>
      </c>
      <c r="I9119" s="7" t="str">
        <f>IF(Table1[[#This Row],[Is Data Valid]]=TRUE,((Table1[[#This Row],[Birthweight (grams)]]*1.1/Table1[[#This Row],[BW_GA]])-1)/(Backend!$B$4/100*Table1[[#This Row],[BW40_3705]]),"")</f>
        <v/>
      </c>
      <c r="J9119" s="7" t="str">
        <f>IF(Table1[[#This Row],[Is Data Valid]]=TRUE,_xlfn.NORM.S.DIST(Table1[[#This Row],[Birthweight Z-Score]],TRUE)*100,"")</f>
        <v/>
      </c>
      <c r="K9119" s="7" t="str">
        <f>IF(Table1[[#This Row],[Is Data Valid]]=TRUE,_xlfn.NORM.S.DIST(Table1[[#This Row],[Birthweight Z-Score (BW-10%)]],TRUE)*100,"")</f>
        <v/>
      </c>
      <c r="L9119" s="7" t="str">
        <f>IF(Table1[[#This Row],[Is Data Valid]]=TRUE,_xlfn.NORM.S.DIST(Table1[[#This Row],[Birthweight Z-Score (BW+10%)]],TRUE)*100,"")</f>
        <v/>
      </c>
    </row>
    <row r="9120" spans="1:12" x14ac:dyDescent="0.35">
      <c r="A9120" s="3"/>
      <c r="B9120" s="2"/>
      <c r="C9120" s="2"/>
      <c r="D9120" s="2" t="b">
        <f>IF(AND(NOT(ISBLANK(Table1[[#This Row],[Fetal Sex (Male, Female or Unknown)]])),ISNUMBER(Table1[[#This Row],[Birthweight (grams)]]),ISNUMBER(Table1[[#This Row],[Gestation (days)]])),TRUE,FALSE)</f>
        <v>0</v>
      </c>
      <c r="E9120" s="2" t="str">
        <f>IF(Table1[[#This Row],[Is Data Valid]]=TRUE,IF(Table1[[#This Row],[Fetal Sex (Male, Female or Unknown)]]="Male",Backend!$C$6,IF(Table1[[#This Row],[Fetal Sex (Male, Female or Unknown)]]="Female",Backend!$C$7,IF(Table1[[#This Row],[Fetal Sex (Male, Female or Unknown)]]="Unknown",Backend!$C$8,"Error"))),"")</f>
        <v/>
      </c>
      <c r="F9120" s="8" t="str">
        <f>IF(Table1[[#This Row],[Is Data Valid]]=TRUE,EXP(0.578+0.332*((Table1[[#This Row],[Gestation (days)]]+0.5)/7)-0.00354*((Table1[[#This Row],[Gestation (days)]]+0.5)/7)^2)*Table1[[#This Row],[BW40_3705]],"")</f>
        <v/>
      </c>
      <c r="G9120" s="2" t="str">
        <f>IF(Table1[[#This Row],[Is Data Valid]]=TRUE,((Table1[[#This Row],[Birthweight (grams)]]/Table1[[#This Row],[BW_GA]])-1)/(Backend!$B$4/100*Table1[[#This Row],[BW40_3705]]),"")</f>
        <v/>
      </c>
      <c r="H9120" s="7" t="str">
        <f>IF(Table1[[#This Row],[Is Data Valid]]=TRUE,((Table1[[#This Row],[Birthweight (grams)]]*0.9/Table1[[#This Row],[BW_GA]])-1)/(Backend!$B$4/100*Table1[[#This Row],[BW40_3705]]),"")</f>
        <v/>
      </c>
      <c r="I9120" s="7" t="str">
        <f>IF(Table1[[#This Row],[Is Data Valid]]=TRUE,((Table1[[#This Row],[Birthweight (grams)]]*1.1/Table1[[#This Row],[BW_GA]])-1)/(Backend!$B$4/100*Table1[[#This Row],[BW40_3705]]),"")</f>
        <v/>
      </c>
      <c r="J9120" s="7" t="str">
        <f>IF(Table1[[#This Row],[Is Data Valid]]=TRUE,_xlfn.NORM.S.DIST(Table1[[#This Row],[Birthweight Z-Score]],TRUE)*100,"")</f>
        <v/>
      </c>
      <c r="K9120" s="7" t="str">
        <f>IF(Table1[[#This Row],[Is Data Valid]]=TRUE,_xlfn.NORM.S.DIST(Table1[[#This Row],[Birthweight Z-Score (BW-10%)]],TRUE)*100,"")</f>
        <v/>
      </c>
      <c r="L9120" s="7" t="str">
        <f>IF(Table1[[#This Row],[Is Data Valid]]=TRUE,_xlfn.NORM.S.DIST(Table1[[#This Row],[Birthweight Z-Score (BW+10%)]],TRUE)*100,"")</f>
        <v/>
      </c>
    </row>
    <row r="9121" spans="1:12" x14ac:dyDescent="0.35">
      <c r="A9121" s="3"/>
      <c r="B9121" s="2"/>
      <c r="C9121" s="2"/>
      <c r="D9121" s="2" t="b">
        <f>IF(AND(NOT(ISBLANK(Table1[[#This Row],[Fetal Sex (Male, Female or Unknown)]])),ISNUMBER(Table1[[#This Row],[Birthweight (grams)]]),ISNUMBER(Table1[[#This Row],[Gestation (days)]])),TRUE,FALSE)</f>
        <v>0</v>
      </c>
      <c r="E9121" s="2" t="str">
        <f>IF(Table1[[#This Row],[Is Data Valid]]=TRUE,IF(Table1[[#This Row],[Fetal Sex (Male, Female or Unknown)]]="Male",Backend!$C$6,IF(Table1[[#This Row],[Fetal Sex (Male, Female or Unknown)]]="Female",Backend!$C$7,IF(Table1[[#This Row],[Fetal Sex (Male, Female or Unknown)]]="Unknown",Backend!$C$8,"Error"))),"")</f>
        <v/>
      </c>
      <c r="F9121" s="8" t="str">
        <f>IF(Table1[[#This Row],[Is Data Valid]]=TRUE,EXP(0.578+0.332*((Table1[[#This Row],[Gestation (days)]]+0.5)/7)-0.00354*((Table1[[#This Row],[Gestation (days)]]+0.5)/7)^2)*Table1[[#This Row],[BW40_3705]],"")</f>
        <v/>
      </c>
      <c r="G9121" s="2" t="str">
        <f>IF(Table1[[#This Row],[Is Data Valid]]=TRUE,((Table1[[#This Row],[Birthweight (grams)]]/Table1[[#This Row],[BW_GA]])-1)/(Backend!$B$4/100*Table1[[#This Row],[BW40_3705]]),"")</f>
        <v/>
      </c>
      <c r="H9121" s="7" t="str">
        <f>IF(Table1[[#This Row],[Is Data Valid]]=TRUE,((Table1[[#This Row],[Birthweight (grams)]]*0.9/Table1[[#This Row],[BW_GA]])-1)/(Backend!$B$4/100*Table1[[#This Row],[BW40_3705]]),"")</f>
        <v/>
      </c>
      <c r="I9121" s="7" t="str">
        <f>IF(Table1[[#This Row],[Is Data Valid]]=TRUE,((Table1[[#This Row],[Birthweight (grams)]]*1.1/Table1[[#This Row],[BW_GA]])-1)/(Backend!$B$4/100*Table1[[#This Row],[BW40_3705]]),"")</f>
        <v/>
      </c>
      <c r="J9121" s="7" t="str">
        <f>IF(Table1[[#This Row],[Is Data Valid]]=TRUE,_xlfn.NORM.S.DIST(Table1[[#This Row],[Birthweight Z-Score]],TRUE)*100,"")</f>
        <v/>
      </c>
      <c r="K9121" s="7" t="str">
        <f>IF(Table1[[#This Row],[Is Data Valid]]=TRUE,_xlfn.NORM.S.DIST(Table1[[#This Row],[Birthweight Z-Score (BW-10%)]],TRUE)*100,"")</f>
        <v/>
      </c>
      <c r="L9121" s="7" t="str">
        <f>IF(Table1[[#This Row],[Is Data Valid]]=TRUE,_xlfn.NORM.S.DIST(Table1[[#This Row],[Birthweight Z-Score (BW+10%)]],TRUE)*100,"")</f>
        <v/>
      </c>
    </row>
    <row r="9122" spans="1:12" x14ac:dyDescent="0.35">
      <c r="A9122" s="3"/>
      <c r="B9122" s="2"/>
      <c r="C9122" s="2"/>
      <c r="D9122" s="2" t="b">
        <f>IF(AND(NOT(ISBLANK(Table1[[#This Row],[Fetal Sex (Male, Female or Unknown)]])),ISNUMBER(Table1[[#This Row],[Birthweight (grams)]]),ISNUMBER(Table1[[#This Row],[Gestation (days)]])),TRUE,FALSE)</f>
        <v>0</v>
      </c>
      <c r="E9122" s="2" t="str">
        <f>IF(Table1[[#This Row],[Is Data Valid]]=TRUE,IF(Table1[[#This Row],[Fetal Sex (Male, Female or Unknown)]]="Male",Backend!$C$6,IF(Table1[[#This Row],[Fetal Sex (Male, Female or Unknown)]]="Female",Backend!$C$7,IF(Table1[[#This Row],[Fetal Sex (Male, Female or Unknown)]]="Unknown",Backend!$C$8,"Error"))),"")</f>
        <v/>
      </c>
      <c r="F9122" s="8" t="str">
        <f>IF(Table1[[#This Row],[Is Data Valid]]=TRUE,EXP(0.578+0.332*((Table1[[#This Row],[Gestation (days)]]+0.5)/7)-0.00354*((Table1[[#This Row],[Gestation (days)]]+0.5)/7)^2)*Table1[[#This Row],[BW40_3705]],"")</f>
        <v/>
      </c>
      <c r="G9122" s="2" t="str">
        <f>IF(Table1[[#This Row],[Is Data Valid]]=TRUE,((Table1[[#This Row],[Birthweight (grams)]]/Table1[[#This Row],[BW_GA]])-1)/(Backend!$B$4/100*Table1[[#This Row],[BW40_3705]]),"")</f>
        <v/>
      </c>
      <c r="H9122" s="7" t="str">
        <f>IF(Table1[[#This Row],[Is Data Valid]]=TRUE,((Table1[[#This Row],[Birthweight (grams)]]*0.9/Table1[[#This Row],[BW_GA]])-1)/(Backend!$B$4/100*Table1[[#This Row],[BW40_3705]]),"")</f>
        <v/>
      </c>
      <c r="I9122" s="7" t="str">
        <f>IF(Table1[[#This Row],[Is Data Valid]]=TRUE,((Table1[[#This Row],[Birthweight (grams)]]*1.1/Table1[[#This Row],[BW_GA]])-1)/(Backend!$B$4/100*Table1[[#This Row],[BW40_3705]]),"")</f>
        <v/>
      </c>
      <c r="J9122" s="7" t="str">
        <f>IF(Table1[[#This Row],[Is Data Valid]]=TRUE,_xlfn.NORM.S.DIST(Table1[[#This Row],[Birthweight Z-Score]],TRUE)*100,"")</f>
        <v/>
      </c>
      <c r="K9122" s="7" t="str">
        <f>IF(Table1[[#This Row],[Is Data Valid]]=TRUE,_xlfn.NORM.S.DIST(Table1[[#This Row],[Birthweight Z-Score (BW-10%)]],TRUE)*100,"")</f>
        <v/>
      </c>
      <c r="L9122" s="7" t="str">
        <f>IF(Table1[[#This Row],[Is Data Valid]]=TRUE,_xlfn.NORM.S.DIST(Table1[[#This Row],[Birthweight Z-Score (BW+10%)]],TRUE)*100,"")</f>
        <v/>
      </c>
    </row>
    <row r="9123" spans="1:12" x14ac:dyDescent="0.35">
      <c r="A9123" s="3"/>
      <c r="B9123" s="2"/>
      <c r="C9123" s="2"/>
      <c r="D9123" s="2" t="b">
        <f>IF(AND(NOT(ISBLANK(Table1[[#This Row],[Fetal Sex (Male, Female or Unknown)]])),ISNUMBER(Table1[[#This Row],[Birthweight (grams)]]),ISNUMBER(Table1[[#This Row],[Gestation (days)]])),TRUE,FALSE)</f>
        <v>0</v>
      </c>
      <c r="E9123" s="2" t="str">
        <f>IF(Table1[[#This Row],[Is Data Valid]]=TRUE,IF(Table1[[#This Row],[Fetal Sex (Male, Female or Unknown)]]="Male",Backend!$C$6,IF(Table1[[#This Row],[Fetal Sex (Male, Female or Unknown)]]="Female",Backend!$C$7,IF(Table1[[#This Row],[Fetal Sex (Male, Female or Unknown)]]="Unknown",Backend!$C$8,"Error"))),"")</f>
        <v/>
      </c>
      <c r="F9123" s="8" t="str">
        <f>IF(Table1[[#This Row],[Is Data Valid]]=TRUE,EXP(0.578+0.332*((Table1[[#This Row],[Gestation (days)]]+0.5)/7)-0.00354*((Table1[[#This Row],[Gestation (days)]]+0.5)/7)^2)*Table1[[#This Row],[BW40_3705]],"")</f>
        <v/>
      </c>
      <c r="G9123" s="2" t="str">
        <f>IF(Table1[[#This Row],[Is Data Valid]]=TRUE,((Table1[[#This Row],[Birthweight (grams)]]/Table1[[#This Row],[BW_GA]])-1)/(Backend!$B$4/100*Table1[[#This Row],[BW40_3705]]),"")</f>
        <v/>
      </c>
      <c r="H9123" s="7" t="str">
        <f>IF(Table1[[#This Row],[Is Data Valid]]=TRUE,((Table1[[#This Row],[Birthweight (grams)]]*0.9/Table1[[#This Row],[BW_GA]])-1)/(Backend!$B$4/100*Table1[[#This Row],[BW40_3705]]),"")</f>
        <v/>
      </c>
      <c r="I9123" s="7" t="str">
        <f>IF(Table1[[#This Row],[Is Data Valid]]=TRUE,((Table1[[#This Row],[Birthweight (grams)]]*1.1/Table1[[#This Row],[BW_GA]])-1)/(Backend!$B$4/100*Table1[[#This Row],[BW40_3705]]),"")</f>
        <v/>
      </c>
      <c r="J9123" s="7" t="str">
        <f>IF(Table1[[#This Row],[Is Data Valid]]=TRUE,_xlfn.NORM.S.DIST(Table1[[#This Row],[Birthweight Z-Score]],TRUE)*100,"")</f>
        <v/>
      </c>
      <c r="K9123" s="7" t="str">
        <f>IF(Table1[[#This Row],[Is Data Valid]]=TRUE,_xlfn.NORM.S.DIST(Table1[[#This Row],[Birthweight Z-Score (BW-10%)]],TRUE)*100,"")</f>
        <v/>
      </c>
      <c r="L9123" s="7" t="str">
        <f>IF(Table1[[#This Row],[Is Data Valid]]=TRUE,_xlfn.NORM.S.DIST(Table1[[#This Row],[Birthweight Z-Score (BW+10%)]],TRUE)*100,"")</f>
        <v/>
      </c>
    </row>
    <row r="9124" spans="1:12" x14ac:dyDescent="0.35">
      <c r="A9124" s="3"/>
      <c r="B9124" s="2"/>
      <c r="C9124" s="2"/>
      <c r="D9124" s="2" t="b">
        <f>IF(AND(NOT(ISBLANK(Table1[[#This Row],[Fetal Sex (Male, Female or Unknown)]])),ISNUMBER(Table1[[#This Row],[Birthweight (grams)]]),ISNUMBER(Table1[[#This Row],[Gestation (days)]])),TRUE,FALSE)</f>
        <v>0</v>
      </c>
      <c r="E9124" s="2" t="str">
        <f>IF(Table1[[#This Row],[Is Data Valid]]=TRUE,IF(Table1[[#This Row],[Fetal Sex (Male, Female or Unknown)]]="Male",Backend!$C$6,IF(Table1[[#This Row],[Fetal Sex (Male, Female or Unknown)]]="Female",Backend!$C$7,IF(Table1[[#This Row],[Fetal Sex (Male, Female or Unknown)]]="Unknown",Backend!$C$8,"Error"))),"")</f>
        <v/>
      </c>
      <c r="F9124" s="8" t="str">
        <f>IF(Table1[[#This Row],[Is Data Valid]]=TRUE,EXP(0.578+0.332*((Table1[[#This Row],[Gestation (days)]]+0.5)/7)-0.00354*((Table1[[#This Row],[Gestation (days)]]+0.5)/7)^2)*Table1[[#This Row],[BW40_3705]],"")</f>
        <v/>
      </c>
      <c r="G9124" s="2" t="str">
        <f>IF(Table1[[#This Row],[Is Data Valid]]=TRUE,((Table1[[#This Row],[Birthweight (grams)]]/Table1[[#This Row],[BW_GA]])-1)/(Backend!$B$4/100*Table1[[#This Row],[BW40_3705]]),"")</f>
        <v/>
      </c>
      <c r="H9124" s="7" t="str">
        <f>IF(Table1[[#This Row],[Is Data Valid]]=TRUE,((Table1[[#This Row],[Birthweight (grams)]]*0.9/Table1[[#This Row],[BW_GA]])-1)/(Backend!$B$4/100*Table1[[#This Row],[BW40_3705]]),"")</f>
        <v/>
      </c>
      <c r="I9124" s="7" t="str">
        <f>IF(Table1[[#This Row],[Is Data Valid]]=TRUE,((Table1[[#This Row],[Birthweight (grams)]]*1.1/Table1[[#This Row],[BW_GA]])-1)/(Backend!$B$4/100*Table1[[#This Row],[BW40_3705]]),"")</f>
        <v/>
      </c>
      <c r="J9124" s="7" t="str">
        <f>IF(Table1[[#This Row],[Is Data Valid]]=TRUE,_xlfn.NORM.S.DIST(Table1[[#This Row],[Birthweight Z-Score]],TRUE)*100,"")</f>
        <v/>
      </c>
      <c r="K9124" s="7" t="str">
        <f>IF(Table1[[#This Row],[Is Data Valid]]=TRUE,_xlfn.NORM.S.DIST(Table1[[#This Row],[Birthweight Z-Score (BW-10%)]],TRUE)*100,"")</f>
        <v/>
      </c>
      <c r="L9124" s="7" t="str">
        <f>IF(Table1[[#This Row],[Is Data Valid]]=TRUE,_xlfn.NORM.S.DIST(Table1[[#This Row],[Birthweight Z-Score (BW+10%)]],TRUE)*100,"")</f>
        <v/>
      </c>
    </row>
    <row r="9125" spans="1:12" x14ac:dyDescent="0.35">
      <c r="A9125" s="3"/>
      <c r="B9125" s="2"/>
      <c r="C9125" s="2"/>
      <c r="D9125" s="2" t="b">
        <f>IF(AND(NOT(ISBLANK(Table1[[#This Row],[Fetal Sex (Male, Female or Unknown)]])),ISNUMBER(Table1[[#This Row],[Birthweight (grams)]]),ISNUMBER(Table1[[#This Row],[Gestation (days)]])),TRUE,FALSE)</f>
        <v>0</v>
      </c>
      <c r="E9125" s="2" t="str">
        <f>IF(Table1[[#This Row],[Is Data Valid]]=TRUE,IF(Table1[[#This Row],[Fetal Sex (Male, Female or Unknown)]]="Male",Backend!$C$6,IF(Table1[[#This Row],[Fetal Sex (Male, Female or Unknown)]]="Female",Backend!$C$7,IF(Table1[[#This Row],[Fetal Sex (Male, Female or Unknown)]]="Unknown",Backend!$C$8,"Error"))),"")</f>
        <v/>
      </c>
      <c r="F9125" s="8" t="str">
        <f>IF(Table1[[#This Row],[Is Data Valid]]=TRUE,EXP(0.578+0.332*((Table1[[#This Row],[Gestation (days)]]+0.5)/7)-0.00354*((Table1[[#This Row],[Gestation (days)]]+0.5)/7)^2)*Table1[[#This Row],[BW40_3705]],"")</f>
        <v/>
      </c>
      <c r="G9125" s="2" t="str">
        <f>IF(Table1[[#This Row],[Is Data Valid]]=TRUE,((Table1[[#This Row],[Birthweight (grams)]]/Table1[[#This Row],[BW_GA]])-1)/(Backend!$B$4/100*Table1[[#This Row],[BW40_3705]]),"")</f>
        <v/>
      </c>
      <c r="H9125" s="7" t="str">
        <f>IF(Table1[[#This Row],[Is Data Valid]]=TRUE,((Table1[[#This Row],[Birthweight (grams)]]*0.9/Table1[[#This Row],[BW_GA]])-1)/(Backend!$B$4/100*Table1[[#This Row],[BW40_3705]]),"")</f>
        <v/>
      </c>
      <c r="I9125" s="7" t="str">
        <f>IF(Table1[[#This Row],[Is Data Valid]]=TRUE,((Table1[[#This Row],[Birthweight (grams)]]*1.1/Table1[[#This Row],[BW_GA]])-1)/(Backend!$B$4/100*Table1[[#This Row],[BW40_3705]]),"")</f>
        <v/>
      </c>
      <c r="J9125" s="7" t="str">
        <f>IF(Table1[[#This Row],[Is Data Valid]]=TRUE,_xlfn.NORM.S.DIST(Table1[[#This Row],[Birthweight Z-Score]],TRUE)*100,"")</f>
        <v/>
      </c>
      <c r="K9125" s="7" t="str">
        <f>IF(Table1[[#This Row],[Is Data Valid]]=TRUE,_xlfn.NORM.S.DIST(Table1[[#This Row],[Birthweight Z-Score (BW-10%)]],TRUE)*100,"")</f>
        <v/>
      </c>
      <c r="L9125" s="7" t="str">
        <f>IF(Table1[[#This Row],[Is Data Valid]]=TRUE,_xlfn.NORM.S.DIST(Table1[[#This Row],[Birthweight Z-Score (BW+10%)]],TRUE)*100,"")</f>
        <v/>
      </c>
    </row>
    <row r="9126" spans="1:12" x14ac:dyDescent="0.35">
      <c r="A9126" s="3"/>
      <c r="B9126" s="2"/>
      <c r="C9126" s="2"/>
      <c r="D9126" s="2" t="b">
        <f>IF(AND(NOT(ISBLANK(Table1[[#This Row],[Fetal Sex (Male, Female or Unknown)]])),ISNUMBER(Table1[[#This Row],[Birthweight (grams)]]),ISNUMBER(Table1[[#This Row],[Gestation (days)]])),TRUE,FALSE)</f>
        <v>0</v>
      </c>
      <c r="E9126" s="2" t="str">
        <f>IF(Table1[[#This Row],[Is Data Valid]]=TRUE,IF(Table1[[#This Row],[Fetal Sex (Male, Female or Unknown)]]="Male",Backend!$C$6,IF(Table1[[#This Row],[Fetal Sex (Male, Female or Unknown)]]="Female",Backend!$C$7,IF(Table1[[#This Row],[Fetal Sex (Male, Female or Unknown)]]="Unknown",Backend!$C$8,"Error"))),"")</f>
        <v/>
      </c>
      <c r="F9126" s="8" t="str">
        <f>IF(Table1[[#This Row],[Is Data Valid]]=TRUE,EXP(0.578+0.332*((Table1[[#This Row],[Gestation (days)]]+0.5)/7)-0.00354*((Table1[[#This Row],[Gestation (days)]]+0.5)/7)^2)*Table1[[#This Row],[BW40_3705]],"")</f>
        <v/>
      </c>
      <c r="G9126" s="2" t="str">
        <f>IF(Table1[[#This Row],[Is Data Valid]]=TRUE,((Table1[[#This Row],[Birthweight (grams)]]/Table1[[#This Row],[BW_GA]])-1)/(Backend!$B$4/100*Table1[[#This Row],[BW40_3705]]),"")</f>
        <v/>
      </c>
      <c r="H9126" s="7" t="str">
        <f>IF(Table1[[#This Row],[Is Data Valid]]=TRUE,((Table1[[#This Row],[Birthweight (grams)]]*0.9/Table1[[#This Row],[BW_GA]])-1)/(Backend!$B$4/100*Table1[[#This Row],[BW40_3705]]),"")</f>
        <v/>
      </c>
      <c r="I9126" s="7" t="str">
        <f>IF(Table1[[#This Row],[Is Data Valid]]=TRUE,((Table1[[#This Row],[Birthweight (grams)]]*1.1/Table1[[#This Row],[BW_GA]])-1)/(Backend!$B$4/100*Table1[[#This Row],[BW40_3705]]),"")</f>
        <v/>
      </c>
      <c r="J9126" s="7" t="str">
        <f>IF(Table1[[#This Row],[Is Data Valid]]=TRUE,_xlfn.NORM.S.DIST(Table1[[#This Row],[Birthweight Z-Score]],TRUE)*100,"")</f>
        <v/>
      </c>
      <c r="K9126" s="7" t="str">
        <f>IF(Table1[[#This Row],[Is Data Valid]]=TRUE,_xlfn.NORM.S.DIST(Table1[[#This Row],[Birthweight Z-Score (BW-10%)]],TRUE)*100,"")</f>
        <v/>
      </c>
      <c r="L9126" s="7" t="str">
        <f>IF(Table1[[#This Row],[Is Data Valid]]=TRUE,_xlfn.NORM.S.DIST(Table1[[#This Row],[Birthweight Z-Score (BW+10%)]],TRUE)*100,"")</f>
        <v/>
      </c>
    </row>
    <row r="9127" spans="1:12" x14ac:dyDescent="0.35">
      <c r="A9127" s="3"/>
      <c r="B9127" s="2"/>
      <c r="C9127" s="2"/>
      <c r="D9127" s="2" t="b">
        <f>IF(AND(NOT(ISBLANK(Table1[[#This Row],[Fetal Sex (Male, Female or Unknown)]])),ISNUMBER(Table1[[#This Row],[Birthweight (grams)]]),ISNUMBER(Table1[[#This Row],[Gestation (days)]])),TRUE,FALSE)</f>
        <v>0</v>
      </c>
      <c r="E9127" s="2" t="str">
        <f>IF(Table1[[#This Row],[Is Data Valid]]=TRUE,IF(Table1[[#This Row],[Fetal Sex (Male, Female or Unknown)]]="Male",Backend!$C$6,IF(Table1[[#This Row],[Fetal Sex (Male, Female or Unknown)]]="Female",Backend!$C$7,IF(Table1[[#This Row],[Fetal Sex (Male, Female or Unknown)]]="Unknown",Backend!$C$8,"Error"))),"")</f>
        <v/>
      </c>
      <c r="F9127" s="8" t="str">
        <f>IF(Table1[[#This Row],[Is Data Valid]]=TRUE,EXP(0.578+0.332*((Table1[[#This Row],[Gestation (days)]]+0.5)/7)-0.00354*((Table1[[#This Row],[Gestation (days)]]+0.5)/7)^2)*Table1[[#This Row],[BW40_3705]],"")</f>
        <v/>
      </c>
      <c r="G9127" s="2" t="str">
        <f>IF(Table1[[#This Row],[Is Data Valid]]=TRUE,((Table1[[#This Row],[Birthweight (grams)]]/Table1[[#This Row],[BW_GA]])-1)/(Backend!$B$4/100*Table1[[#This Row],[BW40_3705]]),"")</f>
        <v/>
      </c>
      <c r="H9127" s="7" t="str">
        <f>IF(Table1[[#This Row],[Is Data Valid]]=TRUE,((Table1[[#This Row],[Birthweight (grams)]]*0.9/Table1[[#This Row],[BW_GA]])-1)/(Backend!$B$4/100*Table1[[#This Row],[BW40_3705]]),"")</f>
        <v/>
      </c>
      <c r="I9127" s="7" t="str">
        <f>IF(Table1[[#This Row],[Is Data Valid]]=TRUE,((Table1[[#This Row],[Birthweight (grams)]]*1.1/Table1[[#This Row],[BW_GA]])-1)/(Backend!$B$4/100*Table1[[#This Row],[BW40_3705]]),"")</f>
        <v/>
      </c>
      <c r="J9127" s="7" t="str">
        <f>IF(Table1[[#This Row],[Is Data Valid]]=TRUE,_xlfn.NORM.S.DIST(Table1[[#This Row],[Birthweight Z-Score]],TRUE)*100,"")</f>
        <v/>
      </c>
      <c r="K9127" s="7" t="str">
        <f>IF(Table1[[#This Row],[Is Data Valid]]=TRUE,_xlfn.NORM.S.DIST(Table1[[#This Row],[Birthweight Z-Score (BW-10%)]],TRUE)*100,"")</f>
        <v/>
      </c>
      <c r="L9127" s="7" t="str">
        <f>IF(Table1[[#This Row],[Is Data Valid]]=TRUE,_xlfn.NORM.S.DIST(Table1[[#This Row],[Birthweight Z-Score (BW+10%)]],TRUE)*100,"")</f>
        <v/>
      </c>
    </row>
    <row r="9128" spans="1:12" x14ac:dyDescent="0.35">
      <c r="A9128" s="3"/>
      <c r="B9128" s="2"/>
      <c r="C9128" s="2"/>
      <c r="D9128" s="2" t="b">
        <f>IF(AND(NOT(ISBLANK(Table1[[#This Row],[Fetal Sex (Male, Female or Unknown)]])),ISNUMBER(Table1[[#This Row],[Birthweight (grams)]]),ISNUMBER(Table1[[#This Row],[Gestation (days)]])),TRUE,FALSE)</f>
        <v>0</v>
      </c>
      <c r="E9128" s="2" t="str">
        <f>IF(Table1[[#This Row],[Is Data Valid]]=TRUE,IF(Table1[[#This Row],[Fetal Sex (Male, Female or Unknown)]]="Male",Backend!$C$6,IF(Table1[[#This Row],[Fetal Sex (Male, Female or Unknown)]]="Female",Backend!$C$7,IF(Table1[[#This Row],[Fetal Sex (Male, Female or Unknown)]]="Unknown",Backend!$C$8,"Error"))),"")</f>
        <v/>
      </c>
      <c r="F9128" s="8" t="str">
        <f>IF(Table1[[#This Row],[Is Data Valid]]=TRUE,EXP(0.578+0.332*((Table1[[#This Row],[Gestation (days)]]+0.5)/7)-0.00354*((Table1[[#This Row],[Gestation (days)]]+0.5)/7)^2)*Table1[[#This Row],[BW40_3705]],"")</f>
        <v/>
      </c>
      <c r="G9128" s="2" t="str">
        <f>IF(Table1[[#This Row],[Is Data Valid]]=TRUE,((Table1[[#This Row],[Birthweight (grams)]]/Table1[[#This Row],[BW_GA]])-1)/(Backend!$B$4/100*Table1[[#This Row],[BW40_3705]]),"")</f>
        <v/>
      </c>
      <c r="H9128" s="7" t="str">
        <f>IF(Table1[[#This Row],[Is Data Valid]]=TRUE,((Table1[[#This Row],[Birthweight (grams)]]*0.9/Table1[[#This Row],[BW_GA]])-1)/(Backend!$B$4/100*Table1[[#This Row],[BW40_3705]]),"")</f>
        <v/>
      </c>
      <c r="I9128" s="7" t="str">
        <f>IF(Table1[[#This Row],[Is Data Valid]]=TRUE,((Table1[[#This Row],[Birthweight (grams)]]*1.1/Table1[[#This Row],[BW_GA]])-1)/(Backend!$B$4/100*Table1[[#This Row],[BW40_3705]]),"")</f>
        <v/>
      </c>
      <c r="J9128" s="7" t="str">
        <f>IF(Table1[[#This Row],[Is Data Valid]]=TRUE,_xlfn.NORM.S.DIST(Table1[[#This Row],[Birthweight Z-Score]],TRUE)*100,"")</f>
        <v/>
      </c>
      <c r="K9128" s="7" t="str">
        <f>IF(Table1[[#This Row],[Is Data Valid]]=TRUE,_xlfn.NORM.S.DIST(Table1[[#This Row],[Birthweight Z-Score (BW-10%)]],TRUE)*100,"")</f>
        <v/>
      </c>
      <c r="L9128" s="7" t="str">
        <f>IF(Table1[[#This Row],[Is Data Valid]]=TRUE,_xlfn.NORM.S.DIST(Table1[[#This Row],[Birthweight Z-Score (BW+10%)]],TRUE)*100,"")</f>
        <v/>
      </c>
    </row>
    <row r="9129" spans="1:12" x14ac:dyDescent="0.35">
      <c r="A9129" s="3"/>
      <c r="B9129" s="2"/>
      <c r="C9129" s="2"/>
      <c r="D9129" s="2" t="b">
        <f>IF(AND(NOT(ISBLANK(Table1[[#This Row],[Fetal Sex (Male, Female or Unknown)]])),ISNUMBER(Table1[[#This Row],[Birthweight (grams)]]),ISNUMBER(Table1[[#This Row],[Gestation (days)]])),TRUE,FALSE)</f>
        <v>0</v>
      </c>
      <c r="E9129" s="2" t="str">
        <f>IF(Table1[[#This Row],[Is Data Valid]]=TRUE,IF(Table1[[#This Row],[Fetal Sex (Male, Female or Unknown)]]="Male",Backend!$C$6,IF(Table1[[#This Row],[Fetal Sex (Male, Female or Unknown)]]="Female",Backend!$C$7,IF(Table1[[#This Row],[Fetal Sex (Male, Female or Unknown)]]="Unknown",Backend!$C$8,"Error"))),"")</f>
        <v/>
      </c>
      <c r="F9129" s="8" t="str">
        <f>IF(Table1[[#This Row],[Is Data Valid]]=TRUE,EXP(0.578+0.332*((Table1[[#This Row],[Gestation (days)]]+0.5)/7)-0.00354*((Table1[[#This Row],[Gestation (days)]]+0.5)/7)^2)*Table1[[#This Row],[BW40_3705]],"")</f>
        <v/>
      </c>
      <c r="G9129" s="2" t="str">
        <f>IF(Table1[[#This Row],[Is Data Valid]]=TRUE,((Table1[[#This Row],[Birthweight (grams)]]/Table1[[#This Row],[BW_GA]])-1)/(Backend!$B$4/100*Table1[[#This Row],[BW40_3705]]),"")</f>
        <v/>
      </c>
      <c r="H9129" s="7" t="str">
        <f>IF(Table1[[#This Row],[Is Data Valid]]=TRUE,((Table1[[#This Row],[Birthweight (grams)]]*0.9/Table1[[#This Row],[BW_GA]])-1)/(Backend!$B$4/100*Table1[[#This Row],[BW40_3705]]),"")</f>
        <v/>
      </c>
      <c r="I9129" s="7" t="str">
        <f>IF(Table1[[#This Row],[Is Data Valid]]=TRUE,((Table1[[#This Row],[Birthweight (grams)]]*1.1/Table1[[#This Row],[BW_GA]])-1)/(Backend!$B$4/100*Table1[[#This Row],[BW40_3705]]),"")</f>
        <v/>
      </c>
      <c r="J9129" s="7" t="str">
        <f>IF(Table1[[#This Row],[Is Data Valid]]=TRUE,_xlfn.NORM.S.DIST(Table1[[#This Row],[Birthweight Z-Score]],TRUE)*100,"")</f>
        <v/>
      </c>
      <c r="K9129" s="7" t="str">
        <f>IF(Table1[[#This Row],[Is Data Valid]]=TRUE,_xlfn.NORM.S.DIST(Table1[[#This Row],[Birthweight Z-Score (BW-10%)]],TRUE)*100,"")</f>
        <v/>
      </c>
      <c r="L9129" s="7" t="str">
        <f>IF(Table1[[#This Row],[Is Data Valid]]=TRUE,_xlfn.NORM.S.DIST(Table1[[#This Row],[Birthweight Z-Score (BW+10%)]],TRUE)*100,"")</f>
        <v/>
      </c>
    </row>
    <row r="9130" spans="1:12" x14ac:dyDescent="0.35">
      <c r="A9130" s="3"/>
      <c r="B9130" s="2"/>
      <c r="C9130" s="2"/>
      <c r="D9130" s="2" t="b">
        <f>IF(AND(NOT(ISBLANK(Table1[[#This Row],[Fetal Sex (Male, Female or Unknown)]])),ISNUMBER(Table1[[#This Row],[Birthweight (grams)]]),ISNUMBER(Table1[[#This Row],[Gestation (days)]])),TRUE,FALSE)</f>
        <v>0</v>
      </c>
      <c r="E9130" s="2" t="str">
        <f>IF(Table1[[#This Row],[Is Data Valid]]=TRUE,IF(Table1[[#This Row],[Fetal Sex (Male, Female or Unknown)]]="Male",Backend!$C$6,IF(Table1[[#This Row],[Fetal Sex (Male, Female or Unknown)]]="Female",Backend!$C$7,IF(Table1[[#This Row],[Fetal Sex (Male, Female or Unknown)]]="Unknown",Backend!$C$8,"Error"))),"")</f>
        <v/>
      </c>
      <c r="F9130" s="8" t="str">
        <f>IF(Table1[[#This Row],[Is Data Valid]]=TRUE,EXP(0.578+0.332*((Table1[[#This Row],[Gestation (days)]]+0.5)/7)-0.00354*((Table1[[#This Row],[Gestation (days)]]+0.5)/7)^2)*Table1[[#This Row],[BW40_3705]],"")</f>
        <v/>
      </c>
      <c r="G9130" s="2" t="str">
        <f>IF(Table1[[#This Row],[Is Data Valid]]=TRUE,((Table1[[#This Row],[Birthweight (grams)]]/Table1[[#This Row],[BW_GA]])-1)/(Backend!$B$4/100*Table1[[#This Row],[BW40_3705]]),"")</f>
        <v/>
      </c>
      <c r="H9130" s="7" t="str">
        <f>IF(Table1[[#This Row],[Is Data Valid]]=TRUE,((Table1[[#This Row],[Birthweight (grams)]]*0.9/Table1[[#This Row],[BW_GA]])-1)/(Backend!$B$4/100*Table1[[#This Row],[BW40_3705]]),"")</f>
        <v/>
      </c>
      <c r="I9130" s="7" t="str">
        <f>IF(Table1[[#This Row],[Is Data Valid]]=TRUE,((Table1[[#This Row],[Birthweight (grams)]]*1.1/Table1[[#This Row],[BW_GA]])-1)/(Backend!$B$4/100*Table1[[#This Row],[BW40_3705]]),"")</f>
        <v/>
      </c>
      <c r="J9130" s="7" t="str">
        <f>IF(Table1[[#This Row],[Is Data Valid]]=TRUE,_xlfn.NORM.S.DIST(Table1[[#This Row],[Birthweight Z-Score]],TRUE)*100,"")</f>
        <v/>
      </c>
      <c r="K9130" s="7" t="str">
        <f>IF(Table1[[#This Row],[Is Data Valid]]=TRUE,_xlfn.NORM.S.DIST(Table1[[#This Row],[Birthweight Z-Score (BW-10%)]],TRUE)*100,"")</f>
        <v/>
      </c>
      <c r="L9130" s="7" t="str">
        <f>IF(Table1[[#This Row],[Is Data Valid]]=TRUE,_xlfn.NORM.S.DIST(Table1[[#This Row],[Birthweight Z-Score (BW+10%)]],TRUE)*100,"")</f>
        <v/>
      </c>
    </row>
    <row r="9131" spans="1:12" x14ac:dyDescent="0.35">
      <c r="A9131" s="3"/>
      <c r="B9131" s="2"/>
      <c r="C9131" s="2"/>
      <c r="D9131" s="2" t="b">
        <f>IF(AND(NOT(ISBLANK(Table1[[#This Row],[Fetal Sex (Male, Female or Unknown)]])),ISNUMBER(Table1[[#This Row],[Birthweight (grams)]]),ISNUMBER(Table1[[#This Row],[Gestation (days)]])),TRUE,FALSE)</f>
        <v>0</v>
      </c>
      <c r="E9131" s="2" t="str">
        <f>IF(Table1[[#This Row],[Is Data Valid]]=TRUE,IF(Table1[[#This Row],[Fetal Sex (Male, Female or Unknown)]]="Male",Backend!$C$6,IF(Table1[[#This Row],[Fetal Sex (Male, Female or Unknown)]]="Female",Backend!$C$7,IF(Table1[[#This Row],[Fetal Sex (Male, Female or Unknown)]]="Unknown",Backend!$C$8,"Error"))),"")</f>
        <v/>
      </c>
      <c r="F9131" s="8" t="str">
        <f>IF(Table1[[#This Row],[Is Data Valid]]=TRUE,EXP(0.578+0.332*((Table1[[#This Row],[Gestation (days)]]+0.5)/7)-0.00354*((Table1[[#This Row],[Gestation (days)]]+0.5)/7)^2)*Table1[[#This Row],[BW40_3705]],"")</f>
        <v/>
      </c>
      <c r="G9131" s="2" t="str">
        <f>IF(Table1[[#This Row],[Is Data Valid]]=TRUE,((Table1[[#This Row],[Birthweight (grams)]]/Table1[[#This Row],[BW_GA]])-1)/(Backend!$B$4/100*Table1[[#This Row],[BW40_3705]]),"")</f>
        <v/>
      </c>
      <c r="H9131" s="7" t="str">
        <f>IF(Table1[[#This Row],[Is Data Valid]]=TRUE,((Table1[[#This Row],[Birthweight (grams)]]*0.9/Table1[[#This Row],[BW_GA]])-1)/(Backend!$B$4/100*Table1[[#This Row],[BW40_3705]]),"")</f>
        <v/>
      </c>
      <c r="I9131" s="7" t="str">
        <f>IF(Table1[[#This Row],[Is Data Valid]]=TRUE,((Table1[[#This Row],[Birthweight (grams)]]*1.1/Table1[[#This Row],[BW_GA]])-1)/(Backend!$B$4/100*Table1[[#This Row],[BW40_3705]]),"")</f>
        <v/>
      </c>
      <c r="J9131" s="7" t="str">
        <f>IF(Table1[[#This Row],[Is Data Valid]]=TRUE,_xlfn.NORM.S.DIST(Table1[[#This Row],[Birthweight Z-Score]],TRUE)*100,"")</f>
        <v/>
      </c>
      <c r="K9131" s="7" t="str">
        <f>IF(Table1[[#This Row],[Is Data Valid]]=TRUE,_xlfn.NORM.S.DIST(Table1[[#This Row],[Birthweight Z-Score (BW-10%)]],TRUE)*100,"")</f>
        <v/>
      </c>
      <c r="L9131" s="7" t="str">
        <f>IF(Table1[[#This Row],[Is Data Valid]]=TRUE,_xlfn.NORM.S.DIST(Table1[[#This Row],[Birthweight Z-Score (BW+10%)]],TRUE)*100,"")</f>
        <v/>
      </c>
    </row>
    <row r="9132" spans="1:12" x14ac:dyDescent="0.35">
      <c r="A9132" s="3"/>
      <c r="B9132" s="2"/>
      <c r="C9132" s="2"/>
      <c r="D9132" s="2" t="b">
        <f>IF(AND(NOT(ISBLANK(Table1[[#This Row],[Fetal Sex (Male, Female or Unknown)]])),ISNUMBER(Table1[[#This Row],[Birthweight (grams)]]),ISNUMBER(Table1[[#This Row],[Gestation (days)]])),TRUE,FALSE)</f>
        <v>0</v>
      </c>
      <c r="E9132" s="2" t="str">
        <f>IF(Table1[[#This Row],[Is Data Valid]]=TRUE,IF(Table1[[#This Row],[Fetal Sex (Male, Female or Unknown)]]="Male",Backend!$C$6,IF(Table1[[#This Row],[Fetal Sex (Male, Female or Unknown)]]="Female",Backend!$C$7,IF(Table1[[#This Row],[Fetal Sex (Male, Female or Unknown)]]="Unknown",Backend!$C$8,"Error"))),"")</f>
        <v/>
      </c>
      <c r="F9132" s="8" t="str">
        <f>IF(Table1[[#This Row],[Is Data Valid]]=TRUE,EXP(0.578+0.332*((Table1[[#This Row],[Gestation (days)]]+0.5)/7)-0.00354*((Table1[[#This Row],[Gestation (days)]]+0.5)/7)^2)*Table1[[#This Row],[BW40_3705]],"")</f>
        <v/>
      </c>
      <c r="G9132" s="2" t="str">
        <f>IF(Table1[[#This Row],[Is Data Valid]]=TRUE,((Table1[[#This Row],[Birthweight (grams)]]/Table1[[#This Row],[BW_GA]])-1)/(Backend!$B$4/100*Table1[[#This Row],[BW40_3705]]),"")</f>
        <v/>
      </c>
      <c r="H9132" s="7" t="str">
        <f>IF(Table1[[#This Row],[Is Data Valid]]=TRUE,((Table1[[#This Row],[Birthweight (grams)]]*0.9/Table1[[#This Row],[BW_GA]])-1)/(Backend!$B$4/100*Table1[[#This Row],[BW40_3705]]),"")</f>
        <v/>
      </c>
      <c r="I9132" s="7" t="str">
        <f>IF(Table1[[#This Row],[Is Data Valid]]=TRUE,((Table1[[#This Row],[Birthweight (grams)]]*1.1/Table1[[#This Row],[BW_GA]])-1)/(Backend!$B$4/100*Table1[[#This Row],[BW40_3705]]),"")</f>
        <v/>
      </c>
      <c r="J9132" s="7" t="str">
        <f>IF(Table1[[#This Row],[Is Data Valid]]=TRUE,_xlfn.NORM.S.DIST(Table1[[#This Row],[Birthweight Z-Score]],TRUE)*100,"")</f>
        <v/>
      </c>
      <c r="K9132" s="7" t="str">
        <f>IF(Table1[[#This Row],[Is Data Valid]]=TRUE,_xlfn.NORM.S.DIST(Table1[[#This Row],[Birthweight Z-Score (BW-10%)]],TRUE)*100,"")</f>
        <v/>
      </c>
      <c r="L9132" s="7" t="str">
        <f>IF(Table1[[#This Row],[Is Data Valid]]=TRUE,_xlfn.NORM.S.DIST(Table1[[#This Row],[Birthweight Z-Score (BW+10%)]],TRUE)*100,"")</f>
        <v/>
      </c>
    </row>
    <row r="9133" spans="1:12" x14ac:dyDescent="0.35">
      <c r="A9133" s="3"/>
      <c r="B9133" s="2"/>
      <c r="C9133" s="2"/>
      <c r="D9133" s="2" t="b">
        <f>IF(AND(NOT(ISBLANK(Table1[[#This Row],[Fetal Sex (Male, Female or Unknown)]])),ISNUMBER(Table1[[#This Row],[Birthweight (grams)]]),ISNUMBER(Table1[[#This Row],[Gestation (days)]])),TRUE,FALSE)</f>
        <v>0</v>
      </c>
      <c r="E9133" s="2" t="str">
        <f>IF(Table1[[#This Row],[Is Data Valid]]=TRUE,IF(Table1[[#This Row],[Fetal Sex (Male, Female or Unknown)]]="Male",Backend!$C$6,IF(Table1[[#This Row],[Fetal Sex (Male, Female or Unknown)]]="Female",Backend!$C$7,IF(Table1[[#This Row],[Fetal Sex (Male, Female or Unknown)]]="Unknown",Backend!$C$8,"Error"))),"")</f>
        <v/>
      </c>
      <c r="F9133" s="8" t="str">
        <f>IF(Table1[[#This Row],[Is Data Valid]]=TRUE,EXP(0.578+0.332*((Table1[[#This Row],[Gestation (days)]]+0.5)/7)-0.00354*((Table1[[#This Row],[Gestation (days)]]+0.5)/7)^2)*Table1[[#This Row],[BW40_3705]],"")</f>
        <v/>
      </c>
      <c r="G9133" s="2" t="str">
        <f>IF(Table1[[#This Row],[Is Data Valid]]=TRUE,((Table1[[#This Row],[Birthweight (grams)]]/Table1[[#This Row],[BW_GA]])-1)/(Backend!$B$4/100*Table1[[#This Row],[BW40_3705]]),"")</f>
        <v/>
      </c>
      <c r="H9133" s="7" t="str">
        <f>IF(Table1[[#This Row],[Is Data Valid]]=TRUE,((Table1[[#This Row],[Birthweight (grams)]]*0.9/Table1[[#This Row],[BW_GA]])-1)/(Backend!$B$4/100*Table1[[#This Row],[BW40_3705]]),"")</f>
        <v/>
      </c>
      <c r="I9133" s="7" t="str">
        <f>IF(Table1[[#This Row],[Is Data Valid]]=TRUE,((Table1[[#This Row],[Birthweight (grams)]]*1.1/Table1[[#This Row],[BW_GA]])-1)/(Backend!$B$4/100*Table1[[#This Row],[BW40_3705]]),"")</f>
        <v/>
      </c>
      <c r="J9133" s="7" t="str">
        <f>IF(Table1[[#This Row],[Is Data Valid]]=TRUE,_xlfn.NORM.S.DIST(Table1[[#This Row],[Birthweight Z-Score]],TRUE)*100,"")</f>
        <v/>
      </c>
      <c r="K9133" s="7" t="str">
        <f>IF(Table1[[#This Row],[Is Data Valid]]=TRUE,_xlfn.NORM.S.DIST(Table1[[#This Row],[Birthweight Z-Score (BW-10%)]],TRUE)*100,"")</f>
        <v/>
      </c>
      <c r="L9133" s="7" t="str">
        <f>IF(Table1[[#This Row],[Is Data Valid]]=TRUE,_xlfn.NORM.S.DIST(Table1[[#This Row],[Birthweight Z-Score (BW+10%)]],TRUE)*100,"")</f>
        <v/>
      </c>
    </row>
    <row r="9134" spans="1:12" x14ac:dyDescent="0.35">
      <c r="A9134" s="3"/>
      <c r="B9134" s="2"/>
      <c r="C9134" s="2"/>
      <c r="D9134" s="2" t="b">
        <f>IF(AND(NOT(ISBLANK(Table1[[#This Row],[Fetal Sex (Male, Female or Unknown)]])),ISNUMBER(Table1[[#This Row],[Birthweight (grams)]]),ISNUMBER(Table1[[#This Row],[Gestation (days)]])),TRUE,FALSE)</f>
        <v>0</v>
      </c>
      <c r="E9134" s="2" t="str">
        <f>IF(Table1[[#This Row],[Is Data Valid]]=TRUE,IF(Table1[[#This Row],[Fetal Sex (Male, Female or Unknown)]]="Male",Backend!$C$6,IF(Table1[[#This Row],[Fetal Sex (Male, Female or Unknown)]]="Female",Backend!$C$7,IF(Table1[[#This Row],[Fetal Sex (Male, Female or Unknown)]]="Unknown",Backend!$C$8,"Error"))),"")</f>
        <v/>
      </c>
      <c r="F9134" s="8" t="str">
        <f>IF(Table1[[#This Row],[Is Data Valid]]=TRUE,EXP(0.578+0.332*((Table1[[#This Row],[Gestation (days)]]+0.5)/7)-0.00354*((Table1[[#This Row],[Gestation (days)]]+0.5)/7)^2)*Table1[[#This Row],[BW40_3705]],"")</f>
        <v/>
      </c>
      <c r="G9134" s="2" t="str">
        <f>IF(Table1[[#This Row],[Is Data Valid]]=TRUE,((Table1[[#This Row],[Birthweight (grams)]]/Table1[[#This Row],[BW_GA]])-1)/(Backend!$B$4/100*Table1[[#This Row],[BW40_3705]]),"")</f>
        <v/>
      </c>
      <c r="H9134" s="7" t="str">
        <f>IF(Table1[[#This Row],[Is Data Valid]]=TRUE,((Table1[[#This Row],[Birthweight (grams)]]*0.9/Table1[[#This Row],[BW_GA]])-1)/(Backend!$B$4/100*Table1[[#This Row],[BW40_3705]]),"")</f>
        <v/>
      </c>
      <c r="I9134" s="7" t="str">
        <f>IF(Table1[[#This Row],[Is Data Valid]]=TRUE,((Table1[[#This Row],[Birthweight (grams)]]*1.1/Table1[[#This Row],[BW_GA]])-1)/(Backend!$B$4/100*Table1[[#This Row],[BW40_3705]]),"")</f>
        <v/>
      </c>
      <c r="J9134" s="7" t="str">
        <f>IF(Table1[[#This Row],[Is Data Valid]]=TRUE,_xlfn.NORM.S.DIST(Table1[[#This Row],[Birthweight Z-Score]],TRUE)*100,"")</f>
        <v/>
      </c>
      <c r="K9134" s="7" t="str">
        <f>IF(Table1[[#This Row],[Is Data Valid]]=TRUE,_xlfn.NORM.S.DIST(Table1[[#This Row],[Birthweight Z-Score (BW-10%)]],TRUE)*100,"")</f>
        <v/>
      </c>
      <c r="L9134" s="7" t="str">
        <f>IF(Table1[[#This Row],[Is Data Valid]]=TRUE,_xlfn.NORM.S.DIST(Table1[[#This Row],[Birthweight Z-Score (BW+10%)]],TRUE)*100,"")</f>
        <v/>
      </c>
    </row>
    <row r="9135" spans="1:12" x14ac:dyDescent="0.35">
      <c r="A9135" s="3"/>
      <c r="B9135" s="2"/>
      <c r="C9135" s="2"/>
      <c r="D9135" s="2" t="b">
        <f>IF(AND(NOT(ISBLANK(Table1[[#This Row],[Fetal Sex (Male, Female or Unknown)]])),ISNUMBER(Table1[[#This Row],[Birthweight (grams)]]),ISNUMBER(Table1[[#This Row],[Gestation (days)]])),TRUE,FALSE)</f>
        <v>0</v>
      </c>
      <c r="E9135" s="2" t="str">
        <f>IF(Table1[[#This Row],[Is Data Valid]]=TRUE,IF(Table1[[#This Row],[Fetal Sex (Male, Female or Unknown)]]="Male",Backend!$C$6,IF(Table1[[#This Row],[Fetal Sex (Male, Female or Unknown)]]="Female",Backend!$C$7,IF(Table1[[#This Row],[Fetal Sex (Male, Female or Unknown)]]="Unknown",Backend!$C$8,"Error"))),"")</f>
        <v/>
      </c>
      <c r="F9135" s="8" t="str">
        <f>IF(Table1[[#This Row],[Is Data Valid]]=TRUE,EXP(0.578+0.332*((Table1[[#This Row],[Gestation (days)]]+0.5)/7)-0.00354*((Table1[[#This Row],[Gestation (days)]]+0.5)/7)^2)*Table1[[#This Row],[BW40_3705]],"")</f>
        <v/>
      </c>
      <c r="G9135" s="2" t="str">
        <f>IF(Table1[[#This Row],[Is Data Valid]]=TRUE,((Table1[[#This Row],[Birthweight (grams)]]/Table1[[#This Row],[BW_GA]])-1)/(Backend!$B$4/100*Table1[[#This Row],[BW40_3705]]),"")</f>
        <v/>
      </c>
      <c r="H9135" s="7" t="str">
        <f>IF(Table1[[#This Row],[Is Data Valid]]=TRUE,((Table1[[#This Row],[Birthweight (grams)]]*0.9/Table1[[#This Row],[BW_GA]])-1)/(Backend!$B$4/100*Table1[[#This Row],[BW40_3705]]),"")</f>
        <v/>
      </c>
      <c r="I9135" s="7" t="str">
        <f>IF(Table1[[#This Row],[Is Data Valid]]=TRUE,((Table1[[#This Row],[Birthweight (grams)]]*1.1/Table1[[#This Row],[BW_GA]])-1)/(Backend!$B$4/100*Table1[[#This Row],[BW40_3705]]),"")</f>
        <v/>
      </c>
      <c r="J9135" s="7" t="str">
        <f>IF(Table1[[#This Row],[Is Data Valid]]=TRUE,_xlfn.NORM.S.DIST(Table1[[#This Row],[Birthweight Z-Score]],TRUE)*100,"")</f>
        <v/>
      </c>
      <c r="K9135" s="7" t="str">
        <f>IF(Table1[[#This Row],[Is Data Valid]]=TRUE,_xlfn.NORM.S.DIST(Table1[[#This Row],[Birthweight Z-Score (BW-10%)]],TRUE)*100,"")</f>
        <v/>
      </c>
      <c r="L9135" s="7" t="str">
        <f>IF(Table1[[#This Row],[Is Data Valid]]=TRUE,_xlfn.NORM.S.DIST(Table1[[#This Row],[Birthweight Z-Score (BW+10%)]],TRUE)*100,"")</f>
        <v/>
      </c>
    </row>
    <row r="9136" spans="1:12" x14ac:dyDescent="0.35">
      <c r="A9136" s="3"/>
      <c r="B9136" s="2"/>
      <c r="C9136" s="2"/>
      <c r="D9136" s="2" t="b">
        <f>IF(AND(NOT(ISBLANK(Table1[[#This Row],[Fetal Sex (Male, Female or Unknown)]])),ISNUMBER(Table1[[#This Row],[Birthweight (grams)]]),ISNUMBER(Table1[[#This Row],[Gestation (days)]])),TRUE,FALSE)</f>
        <v>0</v>
      </c>
      <c r="E9136" s="2" t="str">
        <f>IF(Table1[[#This Row],[Is Data Valid]]=TRUE,IF(Table1[[#This Row],[Fetal Sex (Male, Female or Unknown)]]="Male",Backend!$C$6,IF(Table1[[#This Row],[Fetal Sex (Male, Female or Unknown)]]="Female",Backend!$C$7,IF(Table1[[#This Row],[Fetal Sex (Male, Female or Unknown)]]="Unknown",Backend!$C$8,"Error"))),"")</f>
        <v/>
      </c>
      <c r="F9136" s="8" t="str">
        <f>IF(Table1[[#This Row],[Is Data Valid]]=TRUE,EXP(0.578+0.332*((Table1[[#This Row],[Gestation (days)]]+0.5)/7)-0.00354*((Table1[[#This Row],[Gestation (days)]]+0.5)/7)^2)*Table1[[#This Row],[BW40_3705]],"")</f>
        <v/>
      </c>
      <c r="G9136" s="2" t="str">
        <f>IF(Table1[[#This Row],[Is Data Valid]]=TRUE,((Table1[[#This Row],[Birthweight (grams)]]/Table1[[#This Row],[BW_GA]])-1)/(Backend!$B$4/100*Table1[[#This Row],[BW40_3705]]),"")</f>
        <v/>
      </c>
      <c r="H9136" s="7" t="str">
        <f>IF(Table1[[#This Row],[Is Data Valid]]=TRUE,((Table1[[#This Row],[Birthweight (grams)]]*0.9/Table1[[#This Row],[BW_GA]])-1)/(Backend!$B$4/100*Table1[[#This Row],[BW40_3705]]),"")</f>
        <v/>
      </c>
      <c r="I9136" s="7" t="str">
        <f>IF(Table1[[#This Row],[Is Data Valid]]=TRUE,((Table1[[#This Row],[Birthweight (grams)]]*1.1/Table1[[#This Row],[BW_GA]])-1)/(Backend!$B$4/100*Table1[[#This Row],[BW40_3705]]),"")</f>
        <v/>
      </c>
      <c r="J9136" s="7" t="str">
        <f>IF(Table1[[#This Row],[Is Data Valid]]=TRUE,_xlfn.NORM.S.DIST(Table1[[#This Row],[Birthweight Z-Score]],TRUE)*100,"")</f>
        <v/>
      </c>
      <c r="K9136" s="7" t="str">
        <f>IF(Table1[[#This Row],[Is Data Valid]]=TRUE,_xlfn.NORM.S.DIST(Table1[[#This Row],[Birthweight Z-Score (BW-10%)]],TRUE)*100,"")</f>
        <v/>
      </c>
      <c r="L9136" s="7" t="str">
        <f>IF(Table1[[#This Row],[Is Data Valid]]=TRUE,_xlfn.NORM.S.DIST(Table1[[#This Row],[Birthweight Z-Score (BW+10%)]],TRUE)*100,"")</f>
        <v/>
      </c>
    </row>
    <row r="9137" spans="1:12" x14ac:dyDescent="0.35">
      <c r="A9137" s="3"/>
      <c r="B9137" s="2"/>
      <c r="C9137" s="2"/>
      <c r="D9137" s="2" t="b">
        <f>IF(AND(NOT(ISBLANK(Table1[[#This Row],[Fetal Sex (Male, Female or Unknown)]])),ISNUMBER(Table1[[#This Row],[Birthweight (grams)]]),ISNUMBER(Table1[[#This Row],[Gestation (days)]])),TRUE,FALSE)</f>
        <v>0</v>
      </c>
      <c r="E9137" s="2" t="str">
        <f>IF(Table1[[#This Row],[Is Data Valid]]=TRUE,IF(Table1[[#This Row],[Fetal Sex (Male, Female or Unknown)]]="Male",Backend!$C$6,IF(Table1[[#This Row],[Fetal Sex (Male, Female or Unknown)]]="Female",Backend!$C$7,IF(Table1[[#This Row],[Fetal Sex (Male, Female or Unknown)]]="Unknown",Backend!$C$8,"Error"))),"")</f>
        <v/>
      </c>
      <c r="F9137" s="8" t="str">
        <f>IF(Table1[[#This Row],[Is Data Valid]]=TRUE,EXP(0.578+0.332*((Table1[[#This Row],[Gestation (days)]]+0.5)/7)-0.00354*((Table1[[#This Row],[Gestation (days)]]+0.5)/7)^2)*Table1[[#This Row],[BW40_3705]],"")</f>
        <v/>
      </c>
      <c r="G9137" s="2" t="str">
        <f>IF(Table1[[#This Row],[Is Data Valid]]=TRUE,((Table1[[#This Row],[Birthweight (grams)]]/Table1[[#This Row],[BW_GA]])-1)/(Backend!$B$4/100*Table1[[#This Row],[BW40_3705]]),"")</f>
        <v/>
      </c>
      <c r="H9137" s="7" t="str">
        <f>IF(Table1[[#This Row],[Is Data Valid]]=TRUE,((Table1[[#This Row],[Birthweight (grams)]]*0.9/Table1[[#This Row],[BW_GA]])-1)/(Backend!$B$4/100*Table1[[#This Row],[BW40_3705]]),"")</f>
        <v/>
      </c>
      <c r="I9137" s="7" t="str">
        <f>IF(Table1[[#This Row],[Is Data Valid]]=TRUE,((Table1[[#This Row],[Birthweight (grams)]]*1.1/Table1[[#This Row],[BW_GA]])-1)/(Backend!$B$4/100*Table1[[#This Row],[BW40_3705]]),"")</f>
        <v/>
      </c>
      <c r="J9137" s="7" t="str">
        <f>IF(Table1[[#This Row],[Is Data Valid]]=TRUE,_xlfn.NORM.S.DIST(Table1[[#This Row],[Birthweight Z-Score]],TRUE)*100,"")</f>
        <v/>
      </c>
      <c r="K9137" s="7" t="str">
        <f>IF(Table1[[#This Row],[Is Data Valid]]=TRUE,_xlfn.NORM.S.DIST(Table1[[#This Row],[Birthweight Z-Score (BW-10%)]],TRUE)*100,"")</f>
        <v/>
      </c>
      <c r="L9137" s="7" t="str">
        <f>IF(Table1[[#This Row],[Is Data Valid]]=TRUE,_xlfn.NORM.S.DIST(Table1[[#This Row],[Birthweight Z-Score (BW+10%)]],TRUE)*100,"")</f>
        <v/>
      </c>
    </row>
    <row r="9138" spans="1:12" x14ac:dyDescent="0.35">
      <c r="A9138" s="3"/>
      <c r="B9138" s="2"/>
      <c r="C9138" s="2"/>
      <c r="D9138" s="2" t="b">
        <f>IF(AND(NOT(ISBLANK(Table1[[#This Row],[Fetal Sex (Male, Female or Unknown)]])),ISNUMBER(Table1[[#This Row],[Birthweight (grams)]]),ISNUMBER(Table1[[#This Row],[Gestation (days)]])),TRUE,FALSE)</f>
        <v>0</v>
      </c>
      <c r="E9138" s="2" t="str">
        <f>IF(Table1[[#This Row],[Is Data Valid]]=TRUE,IF(Table1[[#This Row],[Fetal Sex (Male, Female or Unknown)]]="Male",Backend!$C$6,IF(Table1[[#This Row],[Fetal Sex (Male, Female or Unknown)]]="Female",Backend!$C$7,IF(Table1[[#This Row],[Fetal Sex (Male, Female or Unknown)]]="Unknown",Backend!$C$8,"Error"))),"")</f>
        <v/>
      </c>
      <c r="F9138" s="8" t="str">
        <f>IF(Table1[[#This Row],[Is Data Valid]]=TRUE,EXP(0.578+0.332*((Table1[[#This Row],[Gestation (days)]]+0.5)/7)-0.00354*((Table1[[#This Row],[Gestation (days)]]+0.5)/7)^2)*Table1[[#This Row],[BW40_3705]],"")</f>
        <v/>
      </c>
      <c r="G9138" s="2" t="str">
        <f>IF(Table1[[#This Row],[Is Data Valid]]=TRUE,((Table1[[#This Row],[Birthweight (grams)]]/Table1[[#This Row],[BW_GA]])-1)/(Backend!$B$4/100*Table1[[#This Row],[BW40_3705]]),"")</f>
        <v/>
      </c>
      <c r="H9138" s="7" t="str">
        <f>IF(Table1[[#This Row],[Is Data Valid]]=TRUE,((Table1[[#This Row],[Birthweight (grams)]]*0.9/Table1[[#This Row],[BW_GA]])-1)/(Backend!$B$4/100*Table1[[#This Row],[BW40_3705]]),"")</f>
        <v/>
      </c>
      <c r="I9138" s="7" t="str">
        <f>IF(Table1[[#This Row],[Is Data Valid]]=TRUE,((Table1[[#This Row],[Birthweight (grams)]]*1.1/Table1[[#This Row],[BW_GA]])-1)/(Backend!$B$4/100*Table1[[#This Row],[BW40_3705]]),"")</f>
        <v/>
      </c>
      <c r="J9138" s="7" t="str">
        <f>IF(Table1[[#This Row],[Is Data Valid]]=TRUE,_xlfn.NORM.S.DIST(Table1[[#This Row],[Birthweight Z-Score]],TRUE)*100,"")</f>
        <v/>
      </c>
      <c r="K9138" s="7" t="str">
        <f>IF(Table1[[#This Row],[Is Data Valid]]=TRUE,_xlfn.NORM.S.DIST(Table1[[#This Row],[Birthweight Z-Score (BW-10%)]],TRUE)*100,"")</f>
        <v/>
      </c>
      <c r="L9138" s="7" t="str">
        <f>IF(Table1[[#This Row],[Is Data Valid]]=TRUE,_xlfn.NORM.S.DIST(Table1[[#This Row],[Birthweight Z-Score (BW+10%)]],TRUE)*100,"")</f>
        <v/>
      </c>
    </row>
    <row r="9139" spans="1:12" x14ac:dyDescent="0.35">
      <c r="A9139" s="3"/>
      <c r="B9139" s="2"/>
      <c r="C9139" s="2"/>
      <c r="D9139" s="2" t="b">
        <f>IF(AND(NOT(ISBLANK(Table1[[#This Row],[Fetal Sex (Male, Female or Unknown)]])),ISNUMBER(Table1[[#This Row],[Birthweight (grams)]]),ISNUMBER(Table1[[#This Row],[Gestation (days)]])),TRUE,FALSE)</f>
        <v>0</v>
      </c>
      <c r="E9139" s="2" t="str">
        <f>IF(Table1[[#This Row],[Is Data Valid]]=TRUE,IF(Table1[[#This Row],[Fetal Sex (Male, Female or Unknown)]]="Male",Backend!$C$6,IF(Table1[[#This Row],[Fetal Sex (Male, Female or Unknown)]]="Female",Backend!$C$7,IF(Table1[[#This Row],[Fetal Sex (Male, Female or Unknown)]]="Unknown",Backend!$C$8,"Error"))),"")</f>
        <v/>
      </c>
      <c r="F9139" s="8" t="str">
        <f>IF(Table1[[#This Row],[Is Data Valid]]=TRUE,EXP(0.578+0.332*((Table1[[#This Row],[Gestation (days)]]+0.5)/7)-0.00354*((Table1[[#This Row],[Gestation (days)]]+0.5)/7)^2)*Table1[[#This Row],[BW40_3705]],"")</f>
        <v/>
      </c>
      <c r="G9139" s="2" t="str">
        <f>IF(Table1[[#This Row],[Is Data Valid]]=TRUE,((Table1[[#This Row],[Birthweight (grams)]]/Table1[[#This Row],[BW_GA]])-1)/(Backend!$B$4/100*Table1[[#This Row],[BW40_3705]]),"")</f>
        <v/>
      </c>
      <c r="H9139" s="7" t="str">
        <f>IF(Table1[[#This Row],[Is Data Valid]]=TRUE,((Table1[[#This Row],[Birthweight (grams)]]*0.9/Table1[[#This Row],[BW_GA]])-1)/(Backend!$B$4/100*Table1[[#This Row],[BW40_3705]]),"")</f>
        <v/>
      </c>
      <c r="I9139" s="7" t="str">
        <f>IF(Table1[[#This Row],[Is Data Valid]]=TRUE,((Table1[[#This Row],[Birthweight (grams)]]*1.1/Table1[[#This Row],[BW_GA]])-1)/(Backend!$B$4/100*Table1[[#This Row],[BW40_3705]]),"")</f>
        <v/>
      </c>
      <c r="J9139" s="7" t="str">
        <f>IF(Table1[[#This Row],[Is Data Valid]]=TRUE,_xlfn.NORM.S.DIST(Table1[[#This Row],[Birthweight Z-Score]],TRUE)*100,"")</f>
        <v/>
      </c>
      <c r="K9139" s="7" t="str">
        <f>IF(Table1[[#This Row],[Is Data Valid]]=TRUE,_xlfn.NORM.S.DIST(Table1[[#This Row],[Birthweight Z-Score (BW-10%)]],TRUE)*100,"")</f>
        <v/>
      </c>
      <c r="L9139" s="7" t="str">
        <f>IF(Table1[[#This Row],[Is Data Valid]]=TRUE,_xlfn.NORM.S.DIST(Table1[[#This Row],[Birthweight Z-Score (BW+10%)]],TRUE)*100,"")</f>
        <v/>
      </c>
    </row>
    <row r="9140" spans="1:12" x14ac:dyDescent="0.35">
      <c r="A9140" s="3"/>
      <c r="B9140" s="2"/>
      <c r="C9140" s="2"/>
      <c r="D9140" s="2" t="b">
        <f>IF(AND(NOT(ISBLANK(Table1[[#This Row],[Fetal Sex (Male, Female or Unknown)]])),ISNUMBER(Table1[[#This Row],[Birthweight (grams)]]),ISNUMBER(Table1[[#This Row],[Gestation (days)]])),TRUE,FALSE)</f>
        <v>0</v>
      </c>
      <c r="E9140" s="2" t="str">
        <f>IF(Table1[[#This Row],[Is Data Valid]]=TRUE,IF(Table1[[#This Row],[Fetal Sex (Male, Female or Unknown)]]="Male",Backend!$C$6,IF(Table1[[#This Row],[Fetal Sex (Male, Female or Unknown)]]="Female",Backend!$C$7,IF(Table1[[#This Row],[Fetal Sex (Male, Female or Unknown)]]="Unknown",Backend!$C$8,"Error"))),"")</f>
        <v/>
      </c>
      <c r="F9140" s="8" t="str">
        <f>IF(Table1[[#This Row],[Is Data Valid]]=TRUE,EXP(0.578+0.332*((Table1[[#This Row],[Gestation (days)]]+0.5)/7)-0.00354*((Table1[[#This Row],[Gestation (days)]]+0.5)/7)^2)*Table1[[#This Row],[BW40_3705]],"")</f>
        <v/>
      </c>
      <c r="G9140" s="2" t="str">
        <f>IF(Table1[[#This Row],[Is Data Valid]]=TRUE,((Table1[[#This Row],[Birthweight (grams)]]/Table1[[#This Row],[BW_GA]])-1)/(Backend!$B$4/100*Table1[[#This Row],[BW40_3705]]),"")</f>
        <v/>
      </c>
      <c r="H9140" s="7" t="str">
        <f>IF(Table1[[#This Row],[Is Data Valid]]=TRUE,((Table1[[#This Row],[Birthweight (grams)]]*0.9/Table1[[#This Row],[BW_GA]])-1)/(Backend!$B$4/100*Table1[[#This Row],[BW40_3705]]),"")</f>
        <v/>
      </c>
      <c r="I9140" s="7" t="str">
        <f>IF(Table1[[#This Row],[Is Data Valid]]=TRUE,((Table1[[#This Row],[Birthweight (grams)]]*1.1/Table1[[#This Row],[BW_GA]])-1)/(Backend!$B$4/100*Table1[[#This Row],[BW40_3705]]),"")</f>
        <v/>
      </c>
      <c r="J9140" s="7" t="str">
        <f>IF(Table1[[#This Row],[Is Data Valid]]=TRUE,_xlfn.NORM.S.DIST(Table1[[#This Row],[Birthweight Z-Score]],TRUE)*100,"")</f>
        <v/>
      </c>
      <c r="K9140" s="7" t="str">
        <f>IF(Table1[[#This Row],[Is Data Valid]]=TRUE,_xlfn.NORM.S.DIST(Table1[[#This Row],[Birthweight Z-Score (BW-10%)]],TRUE)*100,"")</f>
        <v/>
      </c>
      <c r="L9140" s="7" t="str">
        <f>IF(Table1[[#This Row],[Is Data Valid]]=TRUE,_xlfn.NORM.S.DIST(Table1[[#This Row],[Birthweight Z-Score (BW+10%)]],TRUE)*100,"")</f>
        <v/>
      </c>
    </row>
    <row r="9141" spans="1:12" x14ac:dyDescent="0.35">
      <c r="A9141" s="3"/>
      <c r="B9141" s="2"/>
      <c r="C9141" s="2"/>
      <c r="D9141" s="2" t="b">
        <f>IF(AND(NOT(ISBLANK(Table1[[#This Row],[Fetal Sex (Male, Female or Unknown)]])),ISNUMBER(Table1[[#This Row],[Birthweight (grams)]]),ISNUMBER(Table1[[#This Row],[Gestation (days)]])),TRUE,FALSE)</f>
        <v>0</v>
      </c>
      <c r="E9141" s="2" t="str">
        <f>IF(Table1[[#This Row],[Is Data Valid]]=TRUE,IF(Table1[[#This Row],[Fetal Sex (Male, Female or Unknown)]]="Male",Backend!$C$6,IF(Table1[[#This Row],[Fetal Sex (Male, Female or Unknown)]]="Female",Backend!$C$7,IF(Table1[[#This Row],[Fetal Sex (Male, Female or Unknown)]]="Unknown",Backend!$C$8,"Error"))),"")</f>
        <v/>
      </c>
      <c r="F9141" s="8" t="str">
        <f>IF(Table1[[#This Row],[Is Data Valid]]=TRUE,EXP(0.578+0.332*((Table1[[#This Row],[Gestation (days)]]+0.5)/7)-0.00354*((Table1[[#This Row],[Gestation (days)]]+0.5)/7)^2)*Table1[[#This Row],[BW40_3705]],"")</f>
        <v/>
      </c>
      <c r="G9141" s="2" t="str">
        <f>IF(Table1[[#This Row],[Is Data Valid]]=TRUE,((Table1[[#This Row],[Birthweight (grams)]]/Table1[[#This Row],[BW_GA]])-1)/(Backend!$B$4/100*Table1[[#This Row],[BW40_3705]]),"")</f>
        <v/>
      </c>
      <c r="H9141" s="7" t="str">
        <f>IF(Table1[[#This Row],[Is Data Valid]]=TRUE,((Table1[[#This Row],[Birthweight (grams)]]*0.9/Table1[[#This Row],[BW_GA]])-1)/(Backend!$B$4/100*Table1[[#This Row],[BW40_3705]]),"")</f>
        <v/>
      </c>
      <c r="I9141" s="7" t="str">
        <f>IF(Table1[[#This Row],[Is Data Valid]]=TRUE,((Table1[[#This Row],[Birthweight (grams)]]*1.1/Table1[[#This Row],[BW_GA]])-1)/(Backend!$B$4/100*Table1[[#This Row],[BW40_3705]]),"")</f>
        <v/>
      </c>
      <c r="J9141" s="7" t="str">
        <f>IF(Table1[[#This Row],[Is Data Valid]]=TRUE,_xlfn.NORM.S.DIST(Table1[[#This Row],[Birthweight Z-Score]],TRUE)*100,"")</f>
        <v/>
      </c>
      <c r="K9141" s="7" t="str">
        <f>IF(Table1[[#This Row],[Is Data Valid]]=TRUE,_xlfn.NORM.S.DIST(Table1[[#This Row],[Birthweight Z-Score (BW-10%)]],TRUE)*100,"")</f>
        <v/>
      </c>
      <c r="L9141" s="7" t="str">
        <f>IF(Table1[[#This Row],[Is Data Valid]]=TRUE,_xlfn.NORM.S.DIST(Table1[[#This Row],[Birthweight Z-Score (BW+10%)]],TRUE)*100,"")</f>
        <v/>
      </c>
    </row>
    <row r="9142" spans="1:12" x14ac:dyDescent="0.35">
      <c r="A9142" s="3"/>
      <c r="B9142" s="2"/>
      <c r="C9142" s="2"/>
      <c r="D9142" s="2" t="b">
        <f>IF(AND(NOT(ISBLANK(Table1[[#This Row],[Fetal Sex (Male, Female or Unknown)]])),ISNUMBER(Table1[[#This Row],[Birthweight (grams)]]),ISNUMBER(Table1[[#This Row],[Gestation (days)]])),TRUE,FALSE)</f>
        <v>0</v>
      </c>
      <c r="E9142" s="2" t="str">
        <f>IF(Table1[[#This Row],[Is Data Valid]]=TRUE,IF(Table1[[#This Row],[Fetal Sex (Male, Female or Unknown)]]="Male",Backend!$C$6,IF(Table1[[#This Row],[Fetal Sex (Male, Female or Unknown)]]="Female",Backend!$C$7,IF(Table1[[#This Row],[Fetal Sex (Male, Female or Unknown)]]="Unknown",Backend!$C$8,"Error"))),"")</f>
        <v/>
      </c>
      <c r="F9142" s="8" t="str">
        <f>IF(Table1[[#This Row],[Is Data Valid]]=TRUE,EXP(0.578+0.332*((Table1[[#This Row],[Gestation (days)]]+0.5)/7)-0.00354*((Table1[[#This Row],[Gestation (days)]]+0.5)/7)^2)*Table1[[#This Row],[BW40_3705]],"")</f>
        <v/>
      </c>
      <c r="G9142" s="2" t="str">
        <f>IF(Table1[[#This Row],[Is Data Valid]]=TRUE,((Table1[[#This Row],[Birthweight (grams)]]/Table1[[#This Row],[BW_GA]])-1)/(Backend!$B$4/100*Table1[[#This Row],[BW40_3705]]),"")</f>
        <v/>
      </c>
      <c r="H9142" s="7" t="str">
        <f>IF(Table1[[#This Row],[Is Data Valid]]=TRUE,((Table1[[#This Row],[Birthweight (grams)]]*0.9/Table1[[#This Row],[BW_GA]])-1)/(Backend!$B$4/100*Table1[[#This Row],[BW40_3705]]),"")</f>
        <v/>
      </c>
      <c r="I9142" s="7" t="str">
        <f>IF(Table1[[#This Row],[Is Data Valid]]=TRUE,((Table1[[#This Row],[Birthweight (grams)]]*1.1/Table1[[#This Row],[BW_GA]])-1)/(Backend!$B$4/100*Table1[[#This Row],[BW40_3705]]),"")</f>
        <v/>
      </c>
      <c r="J9142" s="7" t="str">
        <f>IF(Table1[[#This Row],[Is Data Valid]]=TRUE,_xlfn.NORM.S.DIST(Table1[[#This Row],[Birthweight Z-Score]],TRUE)*100,"")</f>
        <v/>
      </c>
      <c r="K9142" s="7" t="str">
        <f>IF(Table1[[#This Row],[Is Data Valid]]=TRUE,_xlfn.NORM.S.DIST(Table1[[#This Row],[Birthweight Z-Score (BW-10%)]],TRUE)*100,"")</f>
        <v/>
      </c>
      <c r="L9142" s="7" t="str">
        <f>IF(Table1[[#This Row],[Is Data Valid]]=TRUE,_xlfn.NORM.S.DIST(Table1[[#This Row],[Birthweight Z-Score (BW+10%)]],TRUE)*100,"")</f>
        <v/>
      </c>
    </row>
    <row r="9143" spans="1:12" x14ac:dyDescent="0.35">
      <c r="A9143" s="3"/>
      <c r="B9143" s="2"/>
      <c r="C9143" s="2"/>
      <c r="D9143" s="2" t="b">
        <f>IF(AND(NOT(ISBLANK(Table1[[#This Row],[Fetal Sex (Male, Female or Unknown)]])),ISNUMBER(Table1[[#This Row],[Birthweight (grams)]]),ISNUMBER(Table1[[#This Row],[Gestation (days)]])),TRUE,FALSE)</f>
        <v>0</v>
      </c>
      <c r="E9143" s="2" t="str">
        <f>IF(Table1[[#This Row],[Is Data Valid]]=TRUE,IF(Table1[[#This Row],[Fetal Sex (Male, Female or Unknown)]]="Male",Backend!$C$6,IF(Table1[[#This Row],[Fetal Sex (Male, Female or Unknown)]]="Female",Backend!$C$7,IF(Table1[[#This Row],[Fetal Sex (Male, Female or Unknown)]]="Unknown",Backend!$C$8,"Error"))),"")</f>
        <v/>
      </c>
      <c r="F9143" s="8" t="str">
        <f>IF(Table1[[#This Row],[Is Data Valid]]=TRUE,EXP(0.578+0.332*((Table1[[#This Row],[Gestation (days)]]+0.5)/7)-0.00354*((Table1[[#This Row],[Gestation (days)]]+0.5)/7)^2)*Table1[[#This Row],[BW40_3705]],"")</f>
        <v/>
      </c>
      <c r="G9143" s="2" t="str">
        <f>IF(Table1[[#This Row],[Is Data Valid]]=TRUE,((Table1[[#This Row],[Birthweight (grams)]]/Table1[[#This Row],[BW_GA]])-1)/(Backend!$B$4/100*Table1[[#This Row],[BW40_3705]]),"")</f>
        <v/>
      </c>
      <c r="H9143" s="7" t="str">
        <f>IF(Table1[[#This Row],[Is Data Valid]]=TRUE,((Table1[[#This Row],[Birthweight (grams)]]*0.9/Table1[[#This Row],[BW_GA]])-1)/(Backend!$B$4/100*Table1[[#This Row],[BW40_3705]]),"")</f>
        <v/>
      </c>
      <c r="I9143" s="7" t="str">
        <f>IF(Table1[[#This Row],[Is Data Valid]]=TRUE,((Table1[[#This Row],[Birthweight (grams)]]*1.1/Table1[[#This Row],[BW_GA]])-1)/(Backend!$B$4/100*Table1[[#This Row],[BW40_3705]]),"")</f>
        <v/>
      </c>
      <c r="J9143" s="7" t="str">
        <f>IF(Table1[[#This Row],[Is Data Valid]]=TRUE,_xlfn.NORM.S.DIST(Table1[[#This Row],[Birthweight Z-Score]],TRUE)*100,"")</f>
        <v/>
      </c>
      <c r="K9143" s="7" t="str">
        <f>IF(Table1[[#This Row],[Is Data Valid]]=TRUE,_xlfn.NORM.S.DIST(Table1[[#This Row],[Birthweight Z-Score (BW-10%)]],TRUE)*100,"")</f>
        <v/>
      </c>
      <c r="L9143" s="7" t="str">
        <f>IF(Table1[[#This Row],[Is Data Valid]]=TRUE,_xlfn.NORM.S.DIST(Table1[[#This Row],[Birthweight Z-Score (BW+10%)]],TRUE)*100,"")</f>
        <v/>
      </c>
    </row>
    <row r="9144" spans="1:12" x14ac:dyDescent="0.35">
      <c r="A9144" s="3"/>
      <c r="B9144" s="2"/>
      <c r="C9144" s="2"/>
      <c r="D9144" s="2" t="b">
        <f>IF(AND(NOT(ISBLANK(Table1[[#This Row],[Fetal Sex (Male, Female or Unknown)]])),ISNUMBER(Table1[[#This Row],[Birthweight (grams)]]),ISNUMBER(Table1[[#This Row],[Gestation (days)]])),TRUE,FALSE)</f>
        <v>0</v>
      </c>
      <c r="E9144" s="2" t="str">
        <f>IF(Table1[[#This Row],[Is Data Valid]]=TRUE,IF(Table1[[#This Row],[Fetal Sex (Male, Female or Unknown)]]="Male",Backend!$C$6,IF(Table1[[#This Row],[Fetal Sex (Male, Female or Unknown)]]="Female",Backend!$C$7,IF(Table1[[#This Row],[Fetal Sex (Male, Female or Unknown)]]="Unknown",Backend!$C$8,"Error"))),"")</f>
        <v/>
      </c>
      <c r="F9144" s="8" t="str">
        <f>IF(Table1[[#This Row],[Is Data Valid]]=TRUE,EXP(0.578+0.332*((Table1[[#This Row],[Gestation (days)]]+0.5)/7)-0.00354*((Table1[[#This Row],[Gestation (days)]]+0.5)/7)^2)*Table1[[#This Row],[BW40_3705]],"")</f>
        <v/>
      </c>
      <c r="G9144" s="2" t="str">
        <f>IF(Table1[[#This Row],[Is Data Valid]]=TRUE,((Table1[[#This Row],[Birthweight (grams)]]/Table1[[#This Row],[BW_GA]])-1)/(Backend!$B$4/100*Table1[[#This Row],[BW40_3705]]),"")</f>
        <v/>
      </c>
      <c r="H9144" s="7" t="str">
        <f>IF(Table1[[#This Row],[Is Data Valid]]=TRUE,((Table1[[#This Row],[Birthweight (grams)]]*0.9/Table1[[#This Row],[BW_GA]])-1)/(Backend!$B$4/100*Table1[[#This Row],[BW40_3705]]),"")</f>
        <v/>
      </c>
      <c r="I9144" s="7" t="str">
        <f>IF(Table1[[#This Row],[Is Data Valid]]=TRUE,((Table1[[#This Row],[Birthweight (grams)]]*1.1/Table1[[#This Row],[BW_GA]])-1)/(Backend!$B$4/100*Table1[[#This Row],[BW40_3705]]),"")</f>
        <v/>
      </c>
      <c r="J9144" s="7" t="str">
        <f>IF(Table1[[#This Row],[Is Data Valid]]=TRUE,_xlfn.NORM.S.DIST(Table1[[#This Row],[Birthweight Z-Score]],TRUE)*100,"")</f>
        <v/>
      </c>
      <c r="K9144" s="7" t="str">
        <f>IF(Table1[[#This Row],[Is Data Valid]]=TRUE,_xlfn.NORM.S.DIST(Table1[[#This Row],[Birthweight Z-Score (BW-10%)]],TRUE)*100,"")</f>
        <v/>
      </c>
      <c r="L9144" s="7" t="str">
        <f>IF(Table1[[#This Row],[Is Data Valid]]=TRUE,_xlfn.NORM.S.DIST(Table1[[#This Row],[Birthweight Z-Score (BW+10%)]],TRUE)*100,"")</f>
        <v/>
      </c>
    </row>
    <row r="9145" spans="1:12" x14ac:dyDescent="0.35">
      <c r="A9145" s="3"/>
      <c r="B9145" s="2"/>
      <c r="C9145" s="2"/>
      <c r="D9145" s="2" t="b">
        <f>IF(AND(NOT(ISBLANK(Table1[[#This Row],[Fetal Sex (Male, Female or Unknown)]])),ISNUMBER(Table1[[#This Row],[Birthweight (grams)]]),ISNUMBER(Table1[[#This Row],[Gestation (days)]])),TRUE,FALSE)</f>
        <v>0</v>
      </c>
      <c r="E9145" s="2" t="str">
        <f>IF(Table1[[#This Row],[Is Data Valid]]=TRUE,IF(Table1[[#This Row],[Fetal Sex (Male, Female or Unknown)]]="Male",Backend!$C$6,IF(Table1[[#This Row],[Fetal Sex (Male, Female or Unknown)]]="Female",Backend!$C$7,IF(Table1[[#This Row],[Fetal Sex (Male, Female or Unknown)]]="Unknown",Backend!$C$8,"Error"))),"")</f>
        <v/>
      </c>
      <c r="F9145" s="8" t="str">
        <f>IF(Table1[[#This Row],[Is Data Valid]]=TRUE,EXP(0.578+0.332*((Table1[[#This Row],[Gestation (days)]]+0.5)/7)-0.00354*((Table1[[#This Row],[Gestation (days)]]+0.5)/7)^2)*Table1[[#This Row],[BW40_3705]],"")</f>
        <v/>
      </c>
      <c r="G9145" s="2" t="str">
        <f>IF(Table1[[#This Row],[Is Data Valid]]=TRUE,((Table1[[#This Row],[Birthweight (grams)]]/Table1[[#This Row],[BW_GA]])-1)/(Backend!$B$4/100*Table1[[#This Row],[BW40_3705]]),"")</f>
        <v/>
      </c>
      <c r="H9145" s="7" t="str">
        <f>IF(Table1[[#This Row],[Is Data Valid]]=TRUE,((Table1[[#This Row],[Birthweight (grams)]]*0.9/Table1[[#This Row],[BW_GA]])-1)/(Backend!$B$4/100*Table1[[#This Row],[BW40_3705]]),"")</f>
        <v/>
      </c>
      <c r="I9145" s="7" t="str">
        <f>IF(Table1[[#This Row],[Is Data Valid]]=TRUE,((Table1[[#This Row],[Birthweight (grams)]]*1.1/Table1[[#This Row],[BW_GA]])-1)/(Backend!$B$4/100*Table1[[#This Row],[BW40_3705]]),"")</f>
        <v/>
      </c>
      <c r="J9145" s="7" t="str">
        <f>IF(Table1[[#This Row],[Is Data Valid]]=TRUE,_xlfn.NORM.S.DIST(Table1[[#This Row],[Birthweight Z-Score]],TRUE)*100,"")</f>
        <v/>
      </c>
      <c r="K9145" s="7" t="str">
        <f>IF(Table1[[#This Row],[Is Data Valid]]=TRUE,_xlfn.NORM.S.DIST(Table1[[#This Row],[Birthweight Z-Score (BW-10%)]],TRUE)*100,"")</f>
        <v/>
      </c>
      <c r="L9145" s="7" t="str">
        <f>IF(Table1[[#This Row],[Is Data Valid]]=TRUE,_xlfn.NORM.S.DIST(Table1[[#This Row],[Birthweight Z-Score (BW+10%)]],TRUE)*100,"")</f>
        <v/>
      </c>
    </row>
    <row r="9146" spans="1:12" x14ac:dyDescent="0.35">
      <c r="A9146" s="3"/>
      <c r="B9146" s="2"/>
      <c r="C9146" s="2"/>
      <c r="D9146" s="2" t="b">
        <f>IF(AND(NOT(ISBLANK(Table1[[#This Row],[Fetal Sex (Male, Female or Unknown)]])),ISNUMBER(Table1[[#This Row],[Birthweight (grams)]]),ISNUMBER(Table1[[#This Row],[Gestation (days)]])),TRUE,FALSE)</f>
        <v>0</v>
      </c>
      <c r="E9146" s="2" t="str">
        <f>IF(Table1[[#This Row],[Is Data Valid]]=TRUE,IF(Table1[[#This Row],[Fetal Sex (Male, Female or Unknown)]]="Male",Backend!$C$6,IF(Table1[[#This Row],[Fetal Sex (Male, Female or Unknown)]]="Female",Backend!$C$7,IF(Table1[[#This Row],[Fetal Sex (Male, Female or Unknown)]]="Unknown",Backend!$C$8,"Error"))),"")</f>
        <v/>
      </c>
      <c r="F9146" s="8" t="str">
        <f>IF(Table1[[#This Row],[Is Data Valid]]=TRUE,EXP(0.578+0.332*((Table1[[#This Row],[Gestation (days)]]+0.5)/7)-0.00354*((Table1[[#This Row],[Gestation (days)]]+0.5)/7)^2)*Table1[[#This Row],[BW40_3705]],"")</f>
        <v/>
      </c>
      <c r="G9146" s="2" t="str">
        <f>IF(Table1[[#This Row],[Is Data Valid]]=TRUE,((Table1[[#This Row],[Birthweight (grams)]]/Table1[[#This Row],[BW_GA]])-1)/(Backend!$B$4/100*Table1[[#This Row],[BW40_3705]]),"")</f>
        <v/>
      </c>
      <c r="H9146" s="7" t="str">
        <f>IF(Table1[[#This Row],[Is Data Valid]]=TRUE,((Table1[[#This Row],[Birthweight (grams)]]*0.9/Table1[[#This Row],[BW_GA]])-1)/(Backend!$B$4/100*Table1[[#This Row],[BW40_3705]]),"")</f>
        <v/>
      </c>
      <c r="I9146" s="7" t="str">
        <f>IF(Table1[[#This Row],[Is Data Valid]]=TRUE,((Table1[[#This Row],[Birthweight (grams)]]*1.1/Table1[[#This Row],[BW_GA]])-1)/(Backend!$B$4/100*Table1[[#This Row],[BW40_3705]]),"")</f>
        <v/>
      </c>
      <c r="J9146" s="7" t="str">
        <f>IF(Table1[[#This Row],[Is Data Valid]]=TRUE,_xlfn.NORM.S.DIST(Table1[[#This Row],[Birthweight Z-Score]],TRUE)*100,"")</f>
        <v/>
      </c>
      <c r="K9146" s="7" t="str">
        <f>IF(Table1[[#This Row],[Is Data Valid]]=TRUE,_xlfn.NORM.S.DIST(Table1[[#This Row],[Birthweight Z-Score (BW-10%)]],TRUE)*100,"")</f>
        <v/>
      </c>
      <c r="L9146" s="7" t="str">
        <f>IF(Table1[[#This Row],[Is Data Valid]]=TRUE,_xlfn.NORM.S.DIST(Table1[[#This Row],[Birthweight Z-Score (BW+10%)]],TRUE)*100,"")</f>
        <v/>
      </c>
    </row>
    <row r="9147" spans="1:12" x14ac:dyDescent="0.35">
      <c r="A9147" s="3"/>
      <c r="B9147" s="2"/>
      <c r="C9147" s="2"/>
      <c r="D9147" s="2" t="b">
        <f>IF(AND(NOT(ISBLANK(Table1[[#This Row],[Fetal Sex (Male, Female or Unknown)]])),ISNUMBER(Table1[[#This Row],[Birthweight (grams)]]),ISNUMBER(Table1[[#This Row],[Gestation (days)]])),TRUE,FALSE)</f>
        <v>0</v>
      </c>
      <c r="E9147" s="2" t="str">
        <f>IF(Table1[[#This Row],[Is Data Valid]]=TRUE,IF(Table1[[#This Row],[Fetal Sex (Male, Female or Unknown)]]="Male",Backend!$C$6,IF(Table1[[#This Row],[Fetal Sex (Male, Female or Unknown)]]="Female",Backend!$C$7,IF(Table1[[#This Row],[Fetal Sex (Male, Female or Unknown)]]="Unknown",Backend!$C$8,"Error"))),"")</f>
        <v/>
      </c>
      <c r="F9147" s="8" t="str">
        <f>IF(Table1[[#This Row],[Is Data Valid]]=TRUE,EXP(0.578+0.332*((Table1[[#This Row],[Gestation (days)]]+0.5)/7)-0.00354*((Table1[[#This Row],[Gestation (days)]]+0.5)/7)^2)*Table1[[#This Row],[BW40_3705]],"")</f>
        <v/>
      </c>
      <c r="G9147" s="2" t="str">
        <f>IF(Table1[[#This Row],[Is Data Valid]]=TRUE,((Table1[[#This Row],[Birthweight (grams)]]/Table1[[#This Row],[BW_GA]])-1)/(Backend!$B$4/100*Table1[[#This Row],[BW40_3705]]),"")</f>
        <v/>
      </c>
      <c r="H9147" s="7" t="str">
        <f>IF(Table1[[#This Row],[Is Data Valid]]=TRUE,((Table1[[#This Row],[Birthweight (grams)]]*0.9/Table1[[#This Row],[BW_GA]])-1)/(Backend!$B$4/100*Table1[[#This Row],[BW40_3705]]),"")</f>
        <v/>
      </c>
      <c r="I9147" s="7" t="str">
        <f>IF(Table1[[#This Row],[Is Data Valid]]=TRUE,((Table1[[#This Row],[Birthweight (grams)]]*1.1/Table1[[#This Row],[BW_GA]])-1)/(Backend!$B$4/100*Table1[[#This Row],[BW40_3705]]),"")</f>
        <v/>
      </c>
      <c r="J9147" s="7" t="str">
        <f>IF(Table1[[#This Row],[Is Data Valid]]=TRUE,_xlfn.NORM.S.DIST(Table1[[#This Row],[Birthweight Z-Score]],TRUE)*100,"")</f>
        <v/>
      </c>
      <c r="K9147" s="7" t="str">
        <f>IF(Table1[[#This Row],[Is Data Valid]]=TRUE,_xlfn.NORM.S.DIST(Table1[[#This Row],[Birthweight Z-Score (BW-10%)]],TRUE)*100,"")</f>
        <v/>
      </c>
      <c r="L9147" s="7" t="str">
        <f>IF(Table1[[#This Row],[Is Data Valid]]=TRUE,_xlfn.NORM.S.DIST(Table1[[#This Row],[Birthweight Z-Score (BW+10%)]],TRUE)*100,"")</f>
        <v/>
      </c>
    </row>
    <row r="9148" spans="1:12" x14ac:dyDescent="0.35">
      <c r="A9148" s="3"/>
      <c r="B9148" s="2"/>
      <c r="C9148" s="2"/>
      <c r="D9148" s="2" t="b">
        <f>IF(AND(NOT(ISBLANK(Table1[[#This Row],[Fetal Sex (Male, Female or Unknown)]])),ISNUMBER(Table1[[#This Row],[Birthweight (grams)]]),ISNUMBER(Table1[[#This Row],[Gestation (days)]])),TRUE,FALSE)</f>
        <v>0</v>
      </c>
      <c r="E9148" s="2" t="str">
        <f>IF(Table1[[#This Row],[Is Data Valid]]=TRUE,IF(Table1[[#This Row],[Fetal Sex (Male, Female or Unknown)]]="Male",Backend!$C$6,IF(Table1[[#This Row],[Fetal Sex (Male, Female or Unknown)]]="Female",Backend!$C$7,IF(Table1[[#This Row],[Fetal Sex (Male, Female or Unknown)]]="Unknown",Backend!$C$8,"Error"))),"")</f>
        <v/>
      </c>
      <c r="F9148" s="8" t="str">
        <f>IF(Table1[[#This Row],[Is Data Valid]]=TRUE,EXP(0.578+0.332*((Table1[[#This Row],[Gestation (days)]]+0.5)/7)-0.00354*((Table1[[#This Row],[Gestation (days)]]+0.5)/7)^2)*Table1[[#This Row],[BW40_3705]],"")</f>
        <v/>
      </c>
      <c r="G9148" s="2" t="str">
        <f>IF(Table1[[#This Row],[Is Data Valid]]=TRUE,((Table1[[#This Row],[Birthweight (grams)]]/Table1[[#This Row],[BW_GA]])-1)/(Backend!$B$4/100*Table1[[#This Row],[BW40_3705]]),"")</f>
        <v/>
      </c>
      <c r="H9148" s="7" t="str">
        <f>IF(Table1[[#This Row],[Is Data Valid]]=TRUE,((Table1[[#This Row],[Birthweight (grams)]]*0.9/Table1[[#This Row],[BW_GA]])-1)/(Backend!$B$4/100*Table1[[#This Row],[BW40_3705]]),"")</f>
        <v/>
      </c>
      <c r="I9148" s="7" t="str">
        <f>IF(Table1[[#This Row],[Is Data Valid]]=TRUE,((Table1[[#This Row],[Birthweight (grams)]]*1.1/Table1[[#This Row],[BW_GA]])-1)/(Backend!$B$4/100*Table1[[#This Row],[BW40_3705]]),"")</f>
        <v/>
      </c>
      <c r="J9148" s="7" t="str">
        <f>IF(Table1[[#This Row],[Is Data Valid]]=TRUE,_xlfn.NORM.S.DIST(Table1[[#This Row],[Birthweight Z-Score]],TRUE)*100,"")</f>
        <v/>
      </c>
      <c r="K9148" s="7" t="str">
        <f>IF(Table1[[#This Row],[Is Data Valid]]=TRUE,_xlfn.NORM.S.DIST(Table1[[#This Row],[Birthweight Z-Score (BW-10%)]],TRUE)*100,"")</f>
        <v/>
      </c>
      <c r="L9148" s="7" t="str">
        <f>IF(Table1[[#This Row],[Is Data Valid]]=TRUE,_xlfn.NORM.S.DIST(Table1[[#This Row],[Birthweight Z-Score (BW+10%)]],TRUE)*100,"")</f>
        <v/>
      </c>
    </row>
    <row r="9149" spans="1:12" x14ac:dyDescent="0.35">
      <c r="A9149" s="3"/>
      <c r="B9149" s="2"/>
      <c r="C9149" s="2"/>
      <c r="D9149" s="2" t="b">
        <f>IF(AND(NOT(ISBLANK(Table1[[#This Row],[Fetal Sex (Male, Female or Unknown)]])),ISNUMBER(Table1[[#This Row],[Birthweight (grams)]]),ISNUMBER(Table1[[#This Row],[Gestation (days)]])),TRUE,FALSE)</f>
        <v>0</v>
      </c>
      <c r="E9149" s="2" t="str">
        <f>IF(Table1[[#This Row],[Is Data Valid]]=TRUE,IF(Table1[[#This Row],[Fetal Sex (Male, Female or Unknown)]]="Male",Backend!$C$6,IF(Table1[[#This Row],[Fetal Sex (Male, Female or Unknown)]]="Female",Backend!$C$7,IF(Table1[[#This Row],[Fetal Sex (Male, Female or Unknown)]]="Unknown",Backend!$C$8,"Error"))),"")</f>
        <v/>
      </c>
      <c r="F9149" s="8" t="str">
        <f>IF(Table1[[#This Row],[Is Data Valid]]=TRUE,EXP(0.578+0.332*((Table1[[#This Row],[Gestation (days)]]+0.5)/7)-0.00354*((Table1[[#This Row],[Gestation (days)]]+0.5)/7)^2)*Table1[[#This Row],[BW40_3705]],"")</f>
        <v/>
      </c>
      <c r="G9149" s="2" t="str">
        <f>IF(Table1[[#This Row],[Is Data Valid]]=TRUE,((Table1[[#This Row],[Birthweight (grams)]]/Table1[[#This Row],[BW_GA]])-1)/(Backend!$B$4/100*Table1[[#This Row],[BW40_3705]]),"")</f>
        <v/>
      </c>
      <c r="H9149" s="7" t="str">
        <f>IF(Table1[[#This Row],[Is Data Valid]]=TRUE,((Table1[[#This Row],[Birthweight (grams)]]*0.9/Table1[[#This Row],[BW_GA]])-1)/(Backend!$B$4/100*Table1[[#This Row],[BW40_3705]]),"")</f>
        <v/>
      </c>
      <c r="I9149" s="7" t="str">
        <f>IF(Table1[[#This Row],[Is Data Valid]]=TRUE,((Table1[[#This Row],[Birthweight (grams)]]*1.1/Table1[[#This Row],[BW_GA]])-1)/(Backend!$B$4/100*Table1[[#This Row],[BW40_3705]]),"")</f>
        <v/>
      </c>
      <c r="J9149" s="7" t="str">
        <f>IF(Table1[[#This Row],[Is Data Valid]]=TRUE,_xlfn.NORM.S.DIST(Table1[[#This Row],[Birthweight Z-Score]],TRUE)*100,"")</f>
        <v/>
      </c>
      <c r="K9149" s="7" t="str">
        <f>IF(Table1[[#This Row],[Is Data Valid]]=TRUE,_xlfn.NORM.S.DIST(Table1[[#This Row],[Birthweight Z-Score (BW-10%)]],TRUE)*100,"")</f>
        <v/>
      </c>
      <c r="L9149" s="7" t="str">
        <f>IF(Table1[[#This Row],[Is Data Valid]]=TRUE,_xlfn.NORM.S.DIST(Table1[[#This Row],[Birthweight Z-Score (BW+10%)]],TRUE)*100,"")</f>
        <v/>
      </c>
    </row>
    <row r="9150" spans="1:12" x14ac:dyDescent="0.35">
      <c r="A9150" s="3"/>
      <c r="B9150" s="2"/>
      <c r="C9150" s="2"/>
      <c r="D9150" s="2" t="b">
        <f>IF(AND(NOT(ISBLANK(Table1[[#This Row],[Fetal Sex (Male, Female or Unknown)]])),ISNUMBER(Table1[[#This Row],[Birthweight (grams)]]),ISNUMBER(Table1[[#This Row],[Gestation (days)]])),TRUE,FALSE)</f>
        <v>0</v>
      </c>
      <c r="E9150" s="2" t="str">
        <f>IF(Table1[[#This Row],[Is Data Valid]]=TRUE,IF(Table1[[#This Row],[Fetal Sex (Male, Female or Unknown)]]="Male",Backend!$C$6,IF(Table1[[#This Row],[Fetal Sex (Male, Female or Unknown)]]="Female",Backend!$C$7,IF(Table1[[#This Row],[Fetal Sex (Male, Female or Unknown)]]="Unknown",Backend!$C$8,"Error"))),"")</f>
        <v/>
      </c>
      <c r="F9150" s="8" t="str">
        <f>IF(Table1[[#This Row],[Is Data Valid]]=TRUE,EXP(0.578+0.332*((Table1[[#This Row],[Gestation (days)]]+0.5)/7)-0.00354*((Table1[[#This Row],[Gestation (days)]]+0.5)/7)^2)*Table1[[#This Row],[BW40_3705]],"")</f>
        <v/>
      </c>
      <c r="G9150" s="2" t="str">
        <f>IF(Table1[[#This Row],[Is Data Valid]]=TRUE,((Table1[[#This Row],[Birthweight (grams)]]/Table1[[#This Row],[BW_GA]])-1)/(Backend!$B$4/100*Table1[[#This Row],[BW40_3705]]),"")</f>
        <v/>
      </c>
      <c r="H9150" s="7" t="str">
        <f>IF(Table1[[#This Row],[Is Data Valid]]=TRUE,((Table1[[#This Row],[Birthweight (grams)]]*0.9/Table1[[#This Row],[BW_GA]])-1)/(Backend!$B$4/100*Table1[[#This Row],[BW40_3705]]),"")</f>
        <v/>
      </c>
      <c r="I9150" s="7" t="str">
        <f>IF(Table1[[#This Row],[Is Data Valid]]=TRUE,((Table1[[#This Row],[Birthweight (grams)]]*1.1/Table1[[#This Row],[BW_GA]])-1)/(Backend!$B$4/100*Table1[[#This Row],[BW40_3705]]),"")</f>
        <v/>
      </c>
      <c r="J9150" s="7" t="str">
        <f>IF(Table1[[#This Row],[Is Data Valid]]=TRUE,_xlfn.NORM.S.DIST(Table1[[#This Row],[Birthweight Z-Score]],TRUE)*100,"")</f>
        <v/>
      </c>
      <c r="K9150" s="7" t="str">
        <f>IF(Table1[[#This Row],[Is Data Valid]]=TRUE,_xlfn.NORM.S.DIST(Table1[[#This Row],[Birthweight Z-Score (BW-10%)]],TRUE)*100,"")</f>
        <v/>
      </c>
      <c r="L9150" s="7" t="str">
        <f>IF(Table1[[#This Row],[Is Data Valid]]=TRUE,_xlfn.NORM.S.DIST(Table1[[#This Row],[Birthweight Z-Score (BW+10%)]],TRUE)*100,"")</f>
        <v/>
      </c>
    </row>
    <row r="9151" spans="1:12" x14ac:dyDescent="0.35">
      <c r="A9151" s="3"/>
      <c r="B9151" s="2"/>
      <c r="C9151" s="2"/>
      <c r="D9151" s="2" t="b">
        <f>IF(AND(NOT(ISBLANK(Table1[[#This Row],[Fetal Sex (Male, Female or Unknown)]])),ISNUMBER(Table1[[#This Row],[Birthweight (grams)]]),ISNUMBER(Table1[[#This Row],[Gestation (days)]])),TRUE,FALSE)</f>
        <v>0</v>
      </c>
      <c r="E9151" s="2" t="str">
        <f>IF(Table1[[#This Row],[Is Data Valid]]=TRUE,IF(Table1[[#This Row],[Fetal Sex (Male, Female or Unknown)]]="Male",Backend!$C$6,IF(Table1[[#This Row],[Fetal Sex (Male, Female or Unknown)]]="Female",Backend!$C$7,IF(Table1[[#This Row],[Fetal Sex (Male, Female or Unknown)]]="Unknown",Backend!$C$8,"Error"))),"")</f>
        <v/>
      </c>
      <c r="F9151" s="8" t="str">
        <f>IF(Table1[[#This Row],[Is Data Valid]]=TRUE,EXP(0.578+0.332*((Table1[[#This Row],[Gestation (days)]]+0.5)/7)-0.00354*((Table1[[#This Row],[Gestation (days)]]+0.5)/7)^2)*Table1[[#This Row],[BW40_3705]],"")</f>
        <v/>
      </c>
      <c r="G9151" s="2" t="str">
        <f>IF(Table1[[#This Row],[Is Data Valid]]=TRUE,((Table1[[#This Row],[Birthweight (grams)]]/Table1[[#This Row],[BW_GA]])-1)/(Backend!$B$4/100*Table1[[#This Row],[BW40_3705]]),"")</f>
        <v/>
      </c>
      <c r="H9151" s="7" t="str">
        <f>IF(Table1[[#This Row],[Is Data Valid]]=TRUE,((Table1[[#This Row],[Birthweight (grams)]]*0.9/Table1[[#This Row],[BW_GA]])-1)/(Backend!$B$4/100*Table1[[#This Row],[BW40_3705]]),"")</f>
        <v/>
      </c>
      <c r="I9151" s="7" t="str">
        <f>IF(Table1[[#This Row],[Is Data Valid]]=TRUE,((Table1[[#This Row],[Birthweight (grams)]]*1.1/Table1[[#This Row],[BW_GA]])-1)/(Backend!$B$4/100*Table1[[#This Row],[BW40_3705]]),"")</f>
        <v/>
      </c>
      <c r="J9151" s="7" t="str">
        <f>IF(Table1[[#This Row],[Is Data Valid]]=TRUE,_xlfn.NORM.S.DIST(Table1[[#This Row],[Birthweight Z-Score]],TRUE)*100,"")</f>
        <v/>
      </c>
      <c r="K9151" s="7" t="str">
        <f>IF(Table1[[#This Row],[Is Data Valid]]=TRUE,_xlfn.NORM.S.DIST(Table1[[#This Row],[Birthweight Z-Score (BW-10%)]],TRUE)*100,"")</f>
        <v/>
      </c>
      <c r="L9151" s="7" t="str">
        <f>IF(Table1[[#This Row],[Is Data Valid]]=TRUE,_xlfn.NORM.S.DIST(Table1[[#This Row],[Birthweight Z-Score (BW+10%)]],TRUE)*100,"")</f>
        <v/>
      </c>
    </row>
    <row r="9152" spans="1:12" x14ac:dyDescent="0.35">
      <c r="A9152" s="3"/>
      <c r="B9152" s="2"/>
      <c r="C9152" s="2"/>
      <c r="D9152" s="2" t="b">
        <f>IF(AND(NOT(ISBLANK(Table1[[#This Row],[Fetal Sex (Male, Female or Unknown)]])),ISNUMBER(Table1[[#This Row],[Birthweight (grams)]]),ISNUMBER(Table1[[#This Row],[Gestation (days)]])),TRUE,FALSE)</f>
        <v>0</v>
      </c>
      <c r="E9152" s="2" t="str">
        <f>IF(Table1[[#This Row],[Is Data Valid]]=TRUE,IF(Table1[[#This Row],[Fetal Sex (Male, Female or Unknown)]]="Male",Backend!$C$6,IF(Table1[[#This Row],[Fetal Sex (Male, Female or Unknown)]]="Female",Backend!$C$7,IF(Table1[[#This Row],[Fetal Sex (Male, Female or Unknown)]]="Unknown",Backend!$C$8,"Error"))),"")</f>
        <v/>
      </c>
      <c r="F9152" s="8" t="str">
        <f>IF(Table1[[#This Row],[Is Data Valid]]=TRUE,EXP(0.578+0.332*((Table1[[#This Row],[Gestation (days)]]+0.5)/7)-0.00354*((Table1[[#This Row],[Gestation (days)]]+0.5)/7)^2)*Table1[[#This Row],[BW40_3705]],"")</f>
        <v/>
      </c>
      <c r="G9152" s="2" t="str">
        <f>IF(Table1[[#This Row],[Is Data Valid]]=TRUE,((Table1[[#This Row],[Birthweight (grams)]]/Table1[[#This Row],[BW_GA]])-1)/(Backend!$B$4/100*Table1[[#This Row],[BW40_3705]]),"")</f>
        <v/>
      </c>
      <c r="H9152" s="7" t="str">
        <f>IF(Table1[[#This Row],[Is Data Valid]]=TRUE,((Table1[[#This Row],[Birthweight (grams)]]*0.9/Table1[[#This Row],[BW_GA]])-1)/(Backend!$B$4/100*Table1[[#This Row],[BW40_3705]]),"")</f>
        <v/>
      </c>
      <c r="I9152" s="7" t="str">
        <f>IF(Table1[[#This Row],[Is Data Valid]]=TRUE,((Table1[[#This Row],[Birthweight (grams)]]*1.1/Table1[[#This Row],[BW_GA]])-1)/(Backend!$B$4/100*Table1[[#This Row],[BW40_3705]]),"")</f>
        <v/>
      </c>
      <c r="J9152" s="7" t="str">
        <f>IF(Table1[[#This Row],[Is Data Valid]]=TRUE,_xlfn.NORM.S.DIST(Table1[[#This Row],[Birthweight Z-Score]],TRUE)*100,"")</f>
        <v/>
      </c>
      <c r="K9152" s="7" t="str">
        <f>IF(Table1[[#This Row],[Is Data Valid]]=TRUE,_xlfn.NORM.S.DIST(Table1[[#This Row],[Birthweight Z-Score (BW-10%)]],TRUE)*100,"")</f>
        <v/>
      </c>
      <c r="L9152" s="7" t="str">
        <f>IF(Table1[[#This Row],[Is Data Valid]]=TRUE,_xlfn.NORM.S.DIST(Table1[[#This Row],[Birthweight Z-Score (BW+10%)]],TRUE)*100,"")</f>
        <v/>
      </c>
    </row>
    <row r="9153" spans="1:12" x14ac:dyDescent="0.35">
      <c r="A9153" s="3"/>
      <c r="B9153" s="2"/>
      <c r="C9153" s="2"/>
      <c r="D9153" s="2" t="b">
        <f>IF(AND(NOT(ISBLANK(Table1[[#This Row],[Fetal Sex (Male, Female or Unknown)]])),ISNUMBER(Table1[[#This Row],[Birthweight (grams)]]),ISNUMBER(Table1[[#This Row],[Gestation (days)]])),TRUE,FALSE)</f>
        <v>0</v>
      </c>
      <c r="E9153" s="2" t="str">
        <f>IF(Table1[[#This Row],[Is Data Valid]]=TRUE,IF(Table1[[#This Row],[Fetal Sex (Male, Female or Unknown)]]="Male",Backend!$C$6,IF(Table1[[#This Row],[Fetal Sex (Male, Female or Unknown)]]="Female",Backend!$C$7,IF(Table1[[#This Row],[Fetal Sex (Male, Female or Unknown)]]="Unknown",Backend!$C$8,"Error"))),"")</f>
        <v/>
      </c>
      <c r="F9153" s="8" t="str">
        <f>IF(Table1[[#This Row],[Is Data Valid]]=TRUE,EXP(0.578+0.332*((Table1[[#This Row],[Gestation (days)]]+0.5)/7)-0.00354*((Table1[[#This Row],[Gestation (days)]]+0.5)/7)^2)*Table1[[#This Row],[BW40_3705]],"")</f>
        <v/>
      </c>
      <c r="G9153" s="2" t="str">
        <f>IF(Table1[[#This Row],[Is Data Valid]]=TRUE,((Table1[[#This Row],[Birthweight (grams)]]/Table1[[#This Row],[BW_GA]])-1)/(Backend!$B$4/100*Table1[[#This Row],[BW40_3705]]),"")</f>
        <v/>
      </c>
      <c r="H9153" s="7" t="str">
        <f>IF(Table1[[#This Row],[Is Data Valid]]=TRUE,((Table1[[#This Row],[Birthweight (grams)]]*0.9/Table1[[#This Row],[BW_GA]])-1)/(Backend!$B$4/100*Table1[[#This Row],[BW40_3705]]),"")</f>
        <v/>
      </c>
      <c r="I9153" s="7" t="str">
        <f>IF(Table1[[#This Row],[Is Data Valid]]=TRUE,((Table1[[#This Row],[Birthweight (grams)]]*1.1/Table1[[#This Row],[BW_GA]])-1)/(Backend!$B$4/100*Table1[[#This Row],[BW40_3705]]),"")</f>
        <v/>
      </c>
      <c r="J9153" s="7" t="str">
        <f>IF(Table1[[#This Row],[Is Data Valid]]=TRUE,_xlfn.NORM.S.DIST(Table1[[#This Row],[Birthweight Z-Score]],TRUE)*100,"")</f>
        <v/>
      </c>
      <c r="K9153" s="7" t="str">
        <f>IF(Table1[[#This Row],[Is Data Valid]]=TRUE,_xlfn.NORM.S.DIST(Table1[[#This Row],[Birthweight Z-Score (BW-10%)]],TRUE)*100,"")</f>
        <v/>
      </c>
      <c r="L9153" s="7" t="str">
        <f>IF(Table1[[#This Row],[Is Data Valid]]=TRUE,_xlfn.NORM.S.DIST(Table1[[#This Row],[Birthweight Z-Score (BW+10%)]],TRUE)*100,"")</f>
        <v/>
      </c>
    </row>
    <row r="9154" spans="1:12" x14ac:dyDescent="0.35">
      <c r="A9154" s="3"/>
      <c r="B9154" s="2"/>
      <c r="C9154" s="2"/>
      <c r="D9154" s="2" t="b">
        <f>IF(AND(NOT(ISBLANK(Table1[[#This Row],[Fetal Sex (Male, Female or Unknown)]])),ISNUMBER(Table1[[#This Row],[Birthweight (grams)]]),ISNUMBER(Table1[[#This Row],[Gestation (days)]])),TRUE,FALSE)</f>
        <v>0</v>
      </c>
      <c r="E9154" s="2" t="str">
        <f>IF(Table1[[#This Row],[Is Data Valid]]=TRUE,IF(Table1[[#This Row],[Fetal Sex (Male, Female or Unknown)]]="Male",Backend!$C$6,IF(Table1[[#This Row],[Fetal Sex (Male, Female or Unknown)]]="Female",Backend!$C$7,IF(Table1[[#This Row],[Fetal Sex (Male, Female or Unknown)]]="Unknown",Backend!$C$8,"Error"))),"")</f>
        <v/>
      </c>
      <c r="F9154" s="8" t="str">
        <f>IF(Table1[[#This Row],[Is Data Valid]]=TRUE,EXP(0.578+0.332*((Table1[[#This Row],[Gestation (days)]]+0.5)/7)-0.00354*((Table1[[#This Row],[Gestation (days)]]+0.5)/7)^2)*Table1[[#This Row],[BW40_3705]],"")</f>
        <v/>
      </c>
      <c r="G9154" s="2" t="str">
        <f>IF(Table1[[#This Row],[Is Data Valid]]=TRUE,((Table1[[#This Row],[Birthweight (grams)]]/Table1[[#This Row],[BW_GA]])-1)/(Backend!$B$4/100*Table1[[#This Row],[BW40_3705]]),"")</f>
        <v/>
      </c>
      <c r="H9154" s="7" t="str">
        <f>IF(Table1[[#This Row],[Is Data Valid]]=TRUE,((Table1[[#This Row],[Birthweight (grams)]]*0.9/Table1[[#This Row],[BW_GA]])-1)/(Backend!$B$4/100*Table1[[#This Row],[BW40_3705]]),"")</f>
        <v/>
      </c>
      <c r="I9154" s="7" t="str">
        <f>IF(Table1[[#This Row],[Is Data Valid]]=TRUE,((Table1[[#This Row],[Birthweight (grams)]]*1.1/Table1[[#This Row],[BW_GA]])-1)/(Backend!$B$4/100*Table1[[#This Row],[BW40_3705]]),"")</f>
        <v/>
      </c>
      <c r="J9154" s="7" t="str">
        <f>IF(Table1[[#This Row],[Is Data Valid]]=TRUE,_xlfn.NORM.S.DIST(Table1[[#This Row],[Birthweight Z-Score]],TRUE)*100,"")</f>
        <v/>
      </c>
      <c r="K9154" s="7" t="str">
        <f>IF(Table1[[#This Row],[Is Data Valid]]=TRUE,_xlfn.NORM.S.DIST(Table1[[#This Row],[Birthweight Z-Score (BW-10%)]],TRUE)*100,"")</f>
        <v/>
      </c>
      <c r="L9154" s="7" t="str">
        <f>IF(Table1[[#This Row],[Is Data Valid]]=TRUE,_xlfn.NORM.S.DIST(Table1[[#This Row],[Birthweight Z-Score (BW+10%)]],TRUE)*100,"")</f>
        <v/>
      </c>
    </row>
    <row r="9155" spans="1:12" x14ac:dyDescent="0.35">
      <c r="A9155" s="3"/>
      <c r="B9155" s="2"/>
      <c r="C9155" s="2"/>
      <c r="D9155" s="2" t="b">
        <f>IF(AND(NOT(ISBLANK(Table1[[#This Row],[Fetal Sex (Male, Female or Unknown)]])),ISNUMBER(Table1[[#This Row],[Birthweight (grams)]]),ISNUMBER(Table1[[#This Row],[Gestation (days)]])),TRUE,FALSE)</f>
        <v>0</v>
      </c>
      <c r="E9155" s="2" t="str">
        <f>IF(Table1[[#This Row],[Is Data Valid]]=TRUE,IF(Table1[[#This Row],[Fetal Sex (Male, Female or Unknown)]]="Male",Backend!$C$6,IF(Table1[[#This Row],[Fetal Sex (Male, Female or Unknown)]]="Female",Backend!$C$7,IF(Table1[[#This Row],[Fetal Sex (Male, Female or Unknown)]]="Unknown",Backend!$C$8,"Error"))),"")</f>
        <v/>
      </c>
      <c r="F9155" s="8" t="str">
        <f>IF(Table1[[#This Row],[Is Data Valid]]=TRUE,EXP(0.578+0.332*((Table1[[#This Row],[Gestation (days)]]+0.5)/7)-0.00354*((Table1[[#This Row],[Gestation (days)]]+0.5)/7)^2)*Table1[[#This Row],[BW40_3705]],"")</f>
        <v/>
      </c>
      <c r="G9155" s="2" t="str">
        <f>IF(Table1[[#This Row],[Is Data Valid]]=TRUE,((Table1[[#This Row],[Birthweight (grams)]]/Table1[[#This Row],[BW_GA]])-1)/(Backend!$B$4/100*Table1[[#This Row],[BW40_3705]]),"")</f>
        <v/>
      </c>
      <c r="H9155" s="7" t="str">
        <f>IF(Table1[[#This Row],[Is Data Valid]]=TRUE,((Table1[[#This Row],[Birthweight (grams)]]*0.9/Table1[[#This Row],[BW_GA]])-1)/(Backend!$B$4/100*Table1[[#This Row],[BW40_3705]]),"")</f>
        <v/>
      </c>
      <c r="I9155" s="7" t="str">
        <f>IF(Table1[[#This Row],[Is Data Valid]]=TRUE,((Table1[[#This Row],[Birthweight (grams)]]*1.1/Table1[[#This Row],[BW_GA]])-1)/(Backend!$B$4/100*Table1[[#This Row],[BW40_3705]]),"")</f>
        <v/>
      </c>
      <c r="J9155" s="7" t="str">
        <f>IF(Table1[[#This Row],[Is Data Valid]]=TRUE,_xlfn.NORM.S.DIST(Table1[[#This Row],[Birthweight Z-Score]],TRUE)*100,"")</f>
        <v/>
      </c>
      <c r="K9155" s="7" t="str">
        <f>IF(Table1[[#This Row],[Is Data Valid]]=TRUE,_xlfn.NORM.S.DIST(Table1[[#This Row],[Birthweight Z-Score (BW-10%)]],TRUE)*100,"")</f>
        <v/>
      </c>
      <c r="L9155" s="7" t="str">
        <f>IF(Table1[[#This Row],[Is Data Valid]]=TRUE,_xlfn.NORM.S.DIST(Table1[[#This Row],[Birthweight Z-Score (BW+10%)]],TRUE)*100,"")</f>
        <v/>
      </c>
    </row>
    <row r="9156" spans="1:12" x14ac:dyDescent="0.35">
      <c r="A9156" s="3"/>
      <c r="B9156" s="2"/>
      <c r="C9156" s="2"/>
      <c r="D9156" s="2" t="b">
        <f>IF(AND(NOT(ISBLANK(Table1[[#This Row],[Fetal Sex (Male, Female or Unknown)]])),ISNUMBER(Table1[[#This Row],[Birthweight (grams)]]),ISNUMBER(Table1[[#This Row],[Gestation (days)]])),TRUE,FALSE)</f>
        <v>0</v>
      </c>
      <c r="E9156" s="2" t="str">
        <f>IF(Table1[[#This Row],[Is Data Valid]]=TRUE,IF(Table1[[#This Row],[Fetal Sex (Male, Female or Unknown)]]="Male",Backend!$C$6,IF(Table1[[#This Row],[Fetal Sex (Male, Female or Unknown)]]="Female",Backend!$C$7,IF(Table1[[#This Row],[Fetal Sex (Male, Female or Unknown)]]="Unknown",Backend!$C$8,"Error"))),"")</f>
        <v/>
      </c>
      <c r="F9156" s="8" t="str">
        <f>IF(Table1[[#This Row],[Is Data Valid]]=TRUE,EXP(0.578+0.332*((Table1[[#This Row],[Gestation (days)]]+0.5)/7)-0.00354*((Table1[[#This Row],[Gestation (days)]]+0.5)/7)^2)*Table1[[#This Row],[BW40_3705]],"")</f>
        <v/>
      </c>
      <c r="G9156" s="2" t="str">
        <f>IF(Table1[[#This Row],[Is Data Valid]]=TRUE,((Table1[[#This Row],[Birthweight (grams)]]/Table1[[#This Row],[BW_GA]])-1)/(Backend!$B$4/100*Table1[[#This Row],[BW40_3705]]),"")</f>
        <v/>
      </c>
      <c r="H9156" s="7" t="str">
        <f>IF(Table1[[#This Row],[Is Data Valid]]=TRUE,((Table1[[#This Row],[Birthweight (grams)]]*0.9/Table1[[#This Row],[BW_GA]])-1)/(Backend!$B$4/100*Table1[[#This Row],[BW40_3705]]),"")</f>
        <v/>
      </c>
      <c r="I9156" s="7" t="str">
        <f>IF(Table1[[#This Row],[Is Data Valid]]=TRUE,((Table1[[#This Row],[Birthweight (grams)]]*1.1/Table1[[#This Row],[BW_GA]])-1)/(Backend!$B$4/100*Table1[[#This Row],[BW40_3705]]),"")</f>
        <v/>
      </c>
      <c r="J9156" s="7" t="str">
        <f>IF(Table1[[#This Row],[Is Data Valid]]=TRUE,_xlfn.NORM.S.DIST(Table1[[#This Row],[Birthweight Z-Score]],TRUE)*100,"")</f>
        <v/>
      </c>
      <c r="K9156" s="7" t="str">
        <f>IF(Table1[[#This Row],[Is Data Valid]]=TRUE,_xlfn.NORM.S.DIST(Table1[[#This Row],[Birthweight Z-Score (BW-10%)]],TRUE)*100,"")</f>
        <v/>
      </c>
      <c r="L9156" s="7" t="str">
        <f>IF(Table1[[#This Row],[Is Data Valid]]=TRUE,_xlfn.NORM.S.DIST(Table1[[#This Row],[Birthweight Z-Score (BW+10%)]],TRUE)*100,"")</f>
        <v/>
      </c>
    </row>
    <row r="9157" spans="1:12" x14ac:dyDescent="0.35">
      <c r="A9157" s="3"/>
      <c r="B9157" s="2"/>
      <c r="C9157" s="2"/>
      <c r="D9157" s="2" t="b">
        <f>IF(AND(NOT(ISBLANK(Table1[[#This Row],[Fetal Sex (Male, Female or Unknown)]])),ISNUMBER(Table1[[#This Row],[Birthweight (grams)]]),ISNUMBER(Table1[[#This Row],[Gestation (days)]])),TRUE,FALSE)</f>
        <v>0</v>
      </c>
      <c r="E9157" s="2" t="str">
        <f>IF(Table1[[#This Row],[Is Data Valid]]=TRUE,IF(Table1[[#This Row],[Fetal Sex (Male, Female or Unknown)]]="Male",Backend!$C$6,IF(Table1[[#This Row],[Fetal Sex (Male, Female or Unknown)]]="Female",Backend!$C$7,IF(Table1[[#This Row],[Fetal Sex (Male, Female or Unknown)]]="Unknown",Backend!$C$8,"Error"))),"")</f>
        <v/>
      </c>
      <c r="F9157" s="8" t="str">
        <f>IF(Table1[[#This Row],[Is Data Valid]]=TRUE,EXP(0.578+0.332*((Table1[[#This Row],[Gestation (days)]]+0.5)/7)-0.00354*((Table1[[#This Row],[Gestation (days)]]+0.5)/7)^2)*Table1[[#This Row],[BW40_3705]],"")</f>
        <v/>
      </c>
      <c r="G9157" s="2" t="str">
        <f>IF(Table1[[#This Row],[Is Data Valid]]=TRUE,((Table1[[#This Row],[Birthweight (grams)]]/Table1[[#This Row],[BW_GA]])-1)/(Backend!$B$4/100*Table1[[#This Row],[BW40_3705]]),"")</f>
        <v/>
      </c>
      <c r="H9157" s="7" t="str">
        <f>IF(Table1[[#This Row],[Is Data Valid]]=TRUE,((Table1[[#This Row],[Birthweight (grams)]]*0.9/Table1[[#This Row],[BW_GA]])-1)/(Backend!$B$4/100*Table1[[#This Row],[BW40_3705]]),"")</f>
        <v/>
      </c>
      <c r="I9157" s="7" t="str">
        <f>IF(Table1[[#This Row],[Is Data Valid]]=TRUE,((Table1[[#This Row],[Birthweight (grams)]]*1.1/Table1[[#This Row],[BW_GA]])-1)/(Backend!$B$4/100*Table1[[#This Row],[BW40_3705]]),"")</f>
        <v/>
      </c>
      <c r="J9157" s="7" t="str">
        <f>IF(Table1[[#This Row],[Is Data Valid]]=TRUE,_xlfn.NORM.S.DIST(Table1[[#This Row],[Birthweight Z-Score]],TRUE)*100,"")</f>
        <v/>
      </c>
      <c r="K9157" s="7" t="str">
        <f>IF(Table1[[#This Row],[Is Data Valid]]=TRUE,_xlfn.NORM.S.DIST(Table1[[#This Row],[Birthweight Z-Score (BW-10%)]],TRUE)*100,"")</f>
        <v/>
      </c>
      <c r="L9157" s="7" t="str">
        <f>IF(Table1[[#This Row],[Is Data Valid]]=TRUE,_xlfn.NORM.S.DIST(Table1[[#This Row],[Birthweight Z-Score (BW+10%)]],TRUE)*100,"")</f>
        <v/>
      </c>
    </row>
    <row r="9158" spans="1:12" x14ac:dyDescent="0.35">
      <c r="A9158" s="3"/>
      <c r="B9158" s="2"/>
      <c r="C9158" s="2"/>
      <c r="D9158" s="2" t="b">
        <f>IF(AND(NOT(ISBLANK(Table1[[#This Row],[Fetal Sex (Male, Female or Unknown)]])),ISNUMBER(Table1[[#This Row],[Birthweight (grams)]]),ISNUMBER(Table1[[#This Row],[Gestation (days)]])),TRUE,FALSE)</f>
        <v>0</v>
      </c>
      <c r="E9158" s="2" t="str">
        <f>IF(Table1[[#This Row],[Is Data Valid]]=TRUE,IF(Table1[[#This Row],[Fetal Sex (Male, Female or Unknown)]]="Male",Backend!$C$6,IF(Table1[[#This Row],[Fetal Sex (Male, Female or Unknown)]]="Female",Backend!$C$7,IF(Table1[[#This Row],[Fetal Sex (Male, Female or Unknown)]]="Unknown",Backend!$C$8,"Error"))),"")</f>
        <v/>
      </c>
      <c r="F9158" s="8" t="str">
        <f>IF(Table1[[#This Row],[Is Data Valid]]=TRUE,EXP(0.578+0.332*((Table1[[#This Row],[Gestation (days)]]+0.5)/7)-0.00354*((Table1[[#This Row],[Gestation (days)]]+0.5)/7)^2)*Table1[[#This Row],[BW40_3705]],"")</f>
        <v/>
      </c>
      <c r="G9158" s="2" t="str">
        <f>IF(Table1[[#This Row],[Is Data Valid]]=TRUE,((Table1[[#This Row],[Birthweight (grams)]]/Table1[[#This Row],[BW_GA]])-1)/(Backend!$B$4/100*Table1[[#This Row],[BW40_3705]]),"")</f>
        <v/>
      </c>
      <c r="H9158" s="7" t="str">
        <f>IF(Table1[[#This Row],[Is Data Valid]]=TRUE,((Table1[[#This Row],[Birthweight (grams)]]*0.9/Table1[[#This Row],[BW_GA]])-1)/(Backend!$B$4/100*Table1[[#This Row],[BW40_3705]]),"")</f>
        <v/>
      </c>
      <c r="I9158" s="7" t="str">
        <f>IF(Table1[[#This Row],[Is Data Valid]]=TRUE,((Table1[[#This Row],[Birthweight (grams)]]*1.1/Table1[[#This Row],[BW_GA]])-1)/(Backend!$B$4/100*Table1[[#This Row],[BW40_3705]]),"")</f>
        <v/>
      </c>
      <c r="J9158" s="7" t="str">
        <f>IF(Table1[[#This Row],[Is Data Valid]]=TRUE,_xlfn.NORM.S.DIST(Table1[[#This Row],[Birthweight Z-Score]],TRUE)*100,"")</f>
        <v/>
      </c>
      <c r="K9158" s="7" t="str">
        <f>IF(Table1[[#This Row],[Is Data Valid]]=TRUE,_xlfn.NORM.S.DIST(Table1[[#This Row],[Birthweight Z-Score (BW-10%)]],TRUE)*100,"")</f>
        <v/>
      </c>
      <c r="L9158" s="7" t="str">
        <f>IF(Table1[[#This Row],[Is Data Valid]]=TRUE,_xlfn.NORM.S.DIST(Table1[[#This Row],[Birthweight Z-Score (BW+10%)]],TRUE)*100,"")</f>
        <v/>
      </c>
    </row>
    <row r="9159" spans="1:12" x14ac:dyDescent="0.35">
      <c r="A9159" s="3"/>
      <c r="B9159" s="2"/>
      <c r="C9159" s="2"/>
      <c r="D9159" s="2" t="b">
        <f>IF(AND(NOT(ISBLANK(Table1[[#This Row],[Fetal Sex (Male, Female or Unknown)]])),ISNUMBER(Table1[[#This Row],[Birthweight (grams)]]),ISNUMBER(Table1[[#This Row],[Gestation (days)]])),TRUE,FALSE)</f>
        <v>0</v>
      </c>
      <c r="E9159" s="2" t="str">
        <f>IF(Table1[[#This Row],[Is Data Valid]]=TRUE,IF(Table1[[#This Row],[Fetal Sex (Male, Female or Unknown)]]="Male",Backend!$C$6,IF(Table1[[#This Row],[Fetal Sex (Male, Female or Unknown)]]="Female",Backend!$C$7,IF(Table1[[#This Row],[Fetal Sex (Male, Female or Unknown)]]="Unknown",Backend!$C$8,"Error"))),"")</f>
        <v/>
      </c>
      <c r="F9159" s="8" t="str">
        <f>IF(Table1[[#This Row],[Is Data Valid]]=TRUE,EXP(0.578+0.332*((Table1[[#This Row],[Gestation (days)]]+0.5)/7)-0.00354*((Table1[[#This Row],[Gestation (days)]]+0.5)/7)^2)*Table1[[#This Row],[BW40_3705]],"")</f>
        <v/>
      </c>
      <c r="G9159" s="2" t="str">
        <f>IF(Table1[[#This Row],[Is Data Valid]]=TRUE,((Table1[[#This Row],[Birthweight (grams)]]/Table1[[#This Row],[BW_GA]])-1)/(Backend!$B$4/100*Table1[[#This Row],[BW40_3705]]),"")</f>
        <v/>
      </c>
      <c r="H9159" s="7" t="str">
        <f>IF(Table1[[#This Row],[Is Data Valid]]=TRUE,((Table1[[#This Row],[Birthweight (grams)]]*0.9/Table1[[#This Row],[BW_GA]])-1)/(Backend!$B$4/100*Table1[[#This Row],[BW40_3705]]),"")</f>
        <v/>
      </c>
      <c r="I9159" s="7" t="str">
        <f>IF(Table1[[#This Row],[Is Data Valid]]=TRUE,((Table1[[#This Row],[Birthweight (grams)]]*1.1/Table1[[#This Row],[BW_GA]])-1)/(Backend!$B$4/100*Table1[[#This Row],[BW40_3705]]),"")</f>
        <v/>
      </c>
      <c r="J9159" s="7" t="str">
        <f>IF(Table1[[#This Row],[Is Data Valid]]=TRUE,_xlfn.NORM.S.DIST(Table1[[#This Row],[Birthweight Z-Score]],TRUE)*100,"")</f>
        <v/>
      </c>
      <c r="K9159" s="7" t="str">
        <f>IF(Table1[[#This Row],[Is Data Valid]]=TRUE,_xlfn.NORM.S.DIST(Table1[[#This Row],[Birthweight Z-Score (BW-10%)]],TRUE)*100,"")</f>
        <v/>
      </c>
      <c r="L9159" s="7" t="str">
        <f>IF(Table1[[#This Row],[Is Data Valid]]=TRUE,_xlfn.NORM.S.DIST(Table1[[#This Row],[Birthweight Z-Score (BW+10%)]],TRUE)*100,"")</f>
        <v/>
      </c>
    </row>
    <row r="9160" spans="1:12" x14ac:dyDescent="0.35">
      <c r="A9160" s="3"/>
      <c r="B9160" s="2"/>
      <c r="C9160" s="2"/>
      <c r="D9160" s="2" t="b">
        <f>IF(AND(NOT(ISBLANK(Table1[[#This Row],[Fetal Sex (Male, Female or Unknown)]])),ISNUMBER(Table1[[#This Row],[Birthweight (grams)]]),ISNUMBER(Table1[[#This Row],[Gestation (days)]])),TRUE,FALSE)</f>
        <v>0</v>
      </c>
      <c r="E9160" s="2" t="str">
        <f>IF(Table1[[#This Row],[Is Data Valid]]=TRUE,IF(Table1[[#This Row],[Fetal Sex (Male, Female or Unknown)]]="Male",Backend!$C$6,IF(Table1[[#This Row],[Fetal Sex (Male, Female or Unknown)]]="Female",Backend!$C$7,IF(Table1[[#This Row],[Fetal Sex (Male, Female or Unknown)]]="Unknown",Backend!$C$8,"Error"))),"")</f>
        <v/>
      </c>
      <c r="F9160" s="8" t="str">
        <f>IF(Table1[[#This Row],[Is Data Valid]]=TRUE,EXP(0.578+0.332*((Table1[[#This Row],[Gestation (days)]]+0.5)/7)-0.00354*((Table1[[#This Row],[Gestation (days)]]+0.5)/7)^2)*Table1[[#This Row],[BW40_3705]],"")</f>
        <v/>
      </c>
      <c r="G9160" s="2" t="str">
        <f>IF(Table1[[#This Row],[Is Data Valid]]=TRUE,((Table1[[#This Row],[Birthweight (grams)]]/Table1[[#This Row],[BW_GA]])-1)/(Backend!$B$4/100*Table1[[#This Row],[BW40_3705]]),"")</f>
        <v/>
      </c>
      <c r="H9160" s="7" t="str">
        <f>IF(Table1[[#This Row],[Is Data Valid]]=TRUE,((Table1[[#This Row],[Birthweight (grams)]]*0.9/Table1[[#This Row],[BW_GA]])-1)/(Backend!$B$4/100*Table1[[#This Row],[BW40_3705]]),"")</f>
        <v/>
      </c>
      <c r="I9160" s="7" t="str">
        <f>IF(Table1[[#This Row],[Is Data Valid]]=TRUE,((Table1[[#This Row],[Birthweight (grams)]]*1.1/Table1[[#This Row],[BW_GA]])-1)/(Backend!$B$4/100*Table1[[#This Row],[BW40_3705]]),"")</f>
        <v/>
      </c>
      <c r="J9160" s="7" t="str">
        <f>IF(Table1[[#This Row],[Is Data Valid]]=TRUE,_xlfn.NORM.S.DIST(Table1[[#This Row],[Birthweight Z-Score]],TRUE)*100,"")</f>
        <v/>
      </c>
      <c r="K9160" s="7" t="str">
        <f>IF(Table1[[#This Row],[Is Data Valid]]=TRUE,_xlfn.NORM.S.DIST(Table1[[#This Row],[Birthweight Z-Score (BW-10%)]],TRUE)*100,"")</f>
        <v/>
      </c>
      <c r="L9160" s="7" t="str">
        <f>IF(Table1[[#This Row],[Is Data Valid]]=TRUE,_xlfn.NORM.S.DIST(Table1[[#This Row],[Birthweight Z-Score (BW+10%)]],TRUE)*100,"")</f>
        <v/>
      </c>
    </row>
    <row r="9161" spans="1:12" x14ac:dyDescent="0.35">
      <c r="A9161" s="3"/>
      <c r="B9161" s="2"/>
      <c r="C9161" s="2"/>
      <c r="D9161" s="2" t="b">
        <f>IF(AND(NOT(ISBLANK(Table1[[#This Row],[Fetal Sex (Male, Female or Unknown)]])),ISNUMBER(Table1[[#This Row],[Birthweight (grams)]]),ISNUMBER(Table1[[#This Row],[Gestation (days)]])),TRUE,FALSE)</f>
        <v>0</v>
      </c>
      <c r="E9161" s="2" t="str">
        <f>IF(Table1[[#This Row],[Is Data Valid]]=TRUE,IF(Table1[[#This Row],[Fetal Sex (Male, Female or Unknown)]]="Male",Backend!$C$6,IF(Table1[[#This Row],[Fetal Sex (Male, Female or Unknown)]]="Female",Backend!$C$7,IF(Table1[[#This Row],[Fetal Sex (Male, Female or Unknown)]]="Unknown",Backend!$C$8,"Error"))),"")</f>
        <v/>
      </c>
      <c r="F9161" s="8" t="str">
        <f>IF(Table1[[#This Row],[Is Data Valid]]=TRUE,EXP(0.578+0.332*((Table1[[#This Row],[Gestation (days)]]+0.5)/7)-0.00354*((Table1[[#This Row],[Gestation (days)]]+0.5)/7)^2)*Table1[[#This Row],[BW40_3705]],"")</f>
        <v/>
      </c>
      <c r="G9161" s="2" t="str">
        <f>IF(Table1[[#This Row],[Is Data Valid]]=TRUE,((Table1[[#This Row],[Birthweight (grams)]]/Table1[[#This Row],[BW_GA]])-1)/(Backend!$B$4/100*Table1[[#This Row],[BW40_3705]]),"")</f>
        <v/>
      </c>
      <c r="H9161" s="7" t="str">
        <f>IF(Table1[[#This Row],[Is Data Valid]]=TRUE,((Table1[[#This Row],[Birthweight (grams)]]*0.9/Table1[[#This Row],[BW_GA]])-1)/(Backend!$B$4/100*Table1[[#This Row],[BW40_3705]]),"")</f>
        <v/>
      </c>
      <c r="I9161" s="7" t="str">
        <f>IF(Table1[[#This Row],[Is Data Valid]]=TRUE,((Table1[[#This Row],[Birthweight (grams)]]*1.1/Table1[[#This Row],[BW_GA]])-1)/(Backend!$B$4/100*Table1[[#This Row],[BW40_3705]]),"")</f>
        <v/>
      </c>
      <c r="J9161" s="7" t="str">
        <f>IF(Table1[[#This Row],[Is Data Valid]]=TRUE,_xlfn.NORM.S.DIST(Table1[[#This Row],[Birthweight Z-Score]],TRUE)*100,"")</f>
        <v/>
      </c>
      <c r="K9161" s="7" t="str">
        <f>IF(Table1[[#This Row],[Is Data Valid]]=TRUE,_xlfn.NORM.S.DIST(Table1[[#This Row],[Birthweight Z-Score (BW-10%)]],TRUE)*100,"")</f>
        <v/>
      </c>
      <c r="L9161" s="7" t="str">
        <f>IF(Table1[[#This Row],[Is Data Valid]]=TRUE,_xlfn.NORM.S.DIST(Table1[[#This Row],[Birthweight Z-Score (BW+10%)]],TRUE)*100,"")</f>
        <v/>
      </c>
    </row>
    <row r="9162" spans="1:12" x14ac:dyDescent="0.35">
      <c r="A9162" s="3"/>
      <c r="B9162" s="2"/>
      <c r="C9162" s="2"/>
      <c r="D9162" s="2" t="b">
        <f>IF(AND(NOT(ISBLANK(Table1[[#This Row],[Fetal Sex (Male, Female or Unknown)]])),ISNUMBER(Table1[[#This Row],[Birthweight (grams)]]),ISNUMBER(Table1[[#This Row],[Gestation (days)]])),TRUE,FALSE)</f>
        <v>0</v>
      </c>
      <c r="E9162" s="2" t="str">
        <f>IF(Table1[[#This Row],[Is Data Valid]]=TRUE,IF(Table1[[#This Row],[Fetal Sex (Male, Female or Unknown)]]="Male",Backend!$C$6,IF(Table1[[#This Row],[Fetal Sex (Male, Female or Unknown)]]="Female",Backend!$C$7,IF(Table1[[#This Row],[Fetal Sex (Male, Female or Unknown)]]="Unknown",Backend!$C$8,"Error"))),"")</f>
        <v/>
      </c>
      <c r="F9162" s="8" t="str">
        <f>IF(Table1[[#This Row],[Is Data Valid]]=TRUE,EXP(0.578+0.332*((Table1[[#This Row],[Gestation (days)]]+0.5)/7)-0.00354*((Table1[[#This Row],[Gestation (days)]]+0.5)/7)^2)*Table1[[#This Row],[BW40_3705]],"")</f>
        <v/>
      </c>
      <c r="G9162" s="2" t="str">
        <f>IF(Table1[[#This Row],[Is Data Valid]]=TRUE,((Table1[[#This Row],[Birthweight (grams)]]/Table1[[#This Row],[BW_GA]])-1)/(Backend!$B$4/100*Table1[[#This Row],[BW40_3705]]),"")</f>
        <v/>
      </c>
      <c r="H9162" s="7" t="str">
        <f>IF(Table1[[#This Row],[Is Data Valid]]=TRUE,((Table1[[#This Row],[Birthweight (grams)]]*0.9/Table1[[#This Row],[BW_GA]])-1)/(Backend!$B$4/100*Table1[[#This Row],[BW40_3705]]),"")</f>
        <v/>
      </c>
      <c r="I9162" s="7" t="str">
        <f>IF(Table1[[#This Row],[Is Data Valid]]=TRUE,((Table1[[#This Row],[Birthweight (grams)]]*1.1/Table1[[#This Row],[BW_GA]])-1)/(Backend!$B$4/100*Table1[[#This Row],[BW40_3705]]),"")</f>
        <v/>
      </c>
      <c r="J9162" s="7" t="str">
        <f>IF(Table1[[#This Row],[Is Data Valid]]=TRUE,_xlfn.NORM.S.DIST(Table1[[#This Row],[Birthweight Z-Score]],TRUE)*100,"")</f>
        <v/>
      </c>
      <c r="K9162" s="7" t="str">
        <f>IF(Table1[[#This Row],[Is Data Valid]]=TRUE,_xlfn.NORM.S.DIST(Table1[[#This Row],[Birthweight Z-Score (BW-10%)]],TRUE)*100,"")</f>
        <v/>
      </c>
      <c r="L9162" s="7" t="str">
        <f>IF(Table1[[#This Row],[Is Data Valid]]=TRUE,_xlfn.NORM.S.DIST(Table1[[#This Row],[Birthweight Z-Score (BW+10%)]],TRUE)*100,"")</f>
        <v/>
      </c>
    </row>
    <row r="9163" spans="1:12" x14ac:dyDescent="0.35">
      <c r="A9163" s="3"/>
      <c r="B9163" s="2"/>
      <c r="C9163" s="2"/>
      <c r="D9163" s="2" t="b">
        <f>IF(AND(NOT(ISBLANK(Table1[[#This Row],[Fetal Sex (Male, Female or Unknown)]])),ISNUMBER(Table1[[#This Row],[Birthweight (grams)]]),ISNUMBER(Table1[[#This Row],[Gestation (days)]])),TRUE,FALSE)</f>
        <v>0</v>
      </c>
      <c r="E9163" s="2" t="str">
        <f>IF(Table1[[#This Row],[Is Data Valid]]=TRUE,IF(Table1[[#This Row],[Fetal Sex (Male, Female or Unknown)]]="Male",Backend!$C$6,IF(Table1[[#This Row],[Fetal Sex (Male, Female or Unknown)]]="Female",Backend!$C$7,IF(Table1[[#This Row],[Fetal Sex (Male, Female or Unknown)]]="Unknown",Backend!$C$8,"Error"))),"")</f>
        <v/>
      </c>
      <c r="F9163" s="8" t="str">
        <f>IF(Table1[[#This Row],[Is Data Valid]]=TRUE,EXP(0.578+0.332*((Table1[[#This Row],[Gestation (days)]]+0.5)/7)-0.00354*((Table1[[#This Row],[Gestation (days)]]+0.5)/7)^2)*Table1[[#This Row],[BW40_3705]],"")</f>
        <v/>
      </c>
      <c r="G9163" s="2" t="str">
        <f>IF(Table1[[#This Row],[Is Data Valid]]=TRUE,((Table1[[#This Row],[Birthweight (grams)]]/Table1[[#This Row],[BW_GA]])-1)/(Backend!$B$4/100*Table1[[#This Row],[BW40_3705]]),"")</f>
        <v/>
      </c>
      <c r="H9163" s="7" t="str">
        <f>IF(Table1[[#This Row],[Is Data Valid]]=TRUE,((Table1[[#This Row],[Birthweight (grams)]]*0.9/Table1[[#This Row],[BW_GA]])-1)/(Backend!$B$4/100*Table1[[#This Row],[BW40_3705]]),"")</f>
        <v/>
      </c>
      <c r="I9163" s="7" t="str">
        <f>IF(Table1[[#This Row],[Is Data Valid]]=TRUE,((Table1[[#This Row],[Birthweight (grams)]]*1.1/Table1[[#This Row],[BW_GA]])-1)/(Backend!$B$4/100*Table1[[#This Row],[BW40_3705]]),"")</f>
        <v/>
      </c>
      <c r="J9163" s="7" t="str">
        <f>IF(Table1[[#This Row],[Is Data Valid]]=TRUE,_xlfn.NORM.S.DIST(Table1[[#This Row],[Birthweight Z-Score]],TRUE)*100,"")</f>
        <v/>
      </c>
      <c r="K9163" s="7" t="str">
        <f>IF(Table1[[#This Row],[Is Data Valid]]=TRUE,_xlfn.NORM.S.DIST(Table1[[#This Row],[Birthweight Z-Score (BW-10%)]],TRUE)*100,"")</f>
        <v/>
      </c>
      <c r="L9163" s="7" t="str">
        <f>IF(Table1[[#This Row],[Is Data Valid]]=TRUE,_xlfn.NORM.S.DIST(Table1[[#This Row],[Birthweight Z-Score (BW+10%)]],TRUE)*100,"")</f>
        <v/>
      </c>
    </row>
    <row r="9164" spans="1:12" x14ac:dyDescent="0.35">
      <c r="A9164" s="3"/>
      <c r="B9164" s="2"/>
      <c r="C9164" s="2"/>
      <c r="D9164" s="2" t="b">
        <f>IF(AND(NOT(ISBLANK(Table1[[#This Row],[Fetal Sex (Male, Female or Unknown)]])),ISNUMBER(Table1[[#This Row],[Birthweight (grams)]]),ISNUMBER(Table1[[#This Row],[Gestation (days)]])),TRUE,FALSE)</f>
        <v>0</v>
      </c>
      <c r="E9164" s="2" t="str">
        <f>IF(Table1[[#This Row],[Is Data Valid]]=TRUE,IF(Table1[[#This Row],[Fetal Sex (Male, Female or Unknown)]]="Male",Backend!$C$6,IF(Table1[[#This Row],[Fetal Sex (Male, Female or Unknown)]]="Female",Backend!$C$7,IF(Table1[[#This Row],[Fetal Sex (Male, Female or Unknown)]]="Unknown",Backend!$C$8,"Error"))),"")</f>
        <v/>
      </c>
      <c r="F9164" s="8" t="str">
        <f>IF(Table1[[#This Row],[Is Data Valid]]=TRUE,EXP(0.578+0.332*((Table1[[#This Row],[Gestation (days)]]+0.5)/7)-0.00354*((Table1[[#This Row],[Gestation (days)]]+0.5)/7)^2)*Table1[[#This Row],[BW40_3705]],"")</f>
        <v/>
      </c>
      <c r="G9164" s="2" t="str">
        <f>IF(Table1[[#This Row],[Is Data Valid]]=TRUE,((Table1[[#This Row],[Birthweight (grams)]]/Table1[[#This Row],[BW_GA]])-1)/(Backend!$B$4/100*Table1[[#This Row],[BW40_3705]]),"")</f>
        <v/>
      </c>
      <c r="H9164" s="7" t="str">
        <f>IF(Table1[[#This Row],[Is Data Valid]]=TRUE,((Table1[[#This Row],[Birthweight (grams)]]*0.9/Table1[[#This Row],[BW_GA]])-1)/(Backend!$B$4/100*Table1[[#This Row],[BW40_3705]]),"")</f>
        <v/>
      </c>
      <c r="I9164" s="7" t="str">
        <f>IF(Table1[[#This Row],[Is Data Valid]]=TRUE,((Table1[[#This Row],[Birthweight (grams)]]*1.1/Table1[[#This Row],[BW_GA]])-1)/(Backend!$B$4/100*Table1[[#This Row],[BW40_3705]]),"")</f>
        <v/>
      </c>
      <c r="J9164" s="7" t="str">
        <f>IF(Table1[[#This Row],[Is Data Valid]]=TRUE,_xlfn.NORM.S.DIST(Table1[[#This Row],[Birthweight Z-Score]],TRUE)*100,"")</f>
        <v/>
      </c>
      <c r="K9164" s="7" t="str">
        <f>IF(Table1[[#This Row],[Is Data Valid]]=TRUE,_xlfn.NORM.S.DIST(Table1[[#This Row],[Birthweight Z-Score (BW-10%)]],TRUE)*100,"")</f>
        <v/>
      </c>
      <c r="L9164" s="7" t="str">
        <f>IF(Table1[[#This Row],[Is Data Valid]]=TRUE,_xlfn.NORM.S.DIST(Table1[[#This Row],[Birthweight Z-Score (BW+10%)]],TRUE)*100,"")</f>
        <v/>
      </c>
    </row>
    <row r="9165" spans="1:12" x14ac:dyDescent="0.35">
      <c r="A9165" s="3"/>
      <c r="B9165" s="2"/>
      <c r="C9165" s="2"/>
      <c r="D9165" s="2" t="b">
        <f>IF(AND(NOT(ISBLANK(Table1[[#This Row],[Fetal Sex (Male, Female or Unknown)]])),ISNUMBER(Table1[[#This Row],[Birthweight (grams)]]),ISNUMBER(Table1[[#This Row],[Gestation (days)]])),TRUE,FALSE)</f>
        <v>0</v>
      </c>
      <c r="E9165" s="2" t="str">
        <f>IF(Table1[[#This Row],[Is Data Valid]]=TRUE,IF(Table1[[#This Row],[Fetal Sex (Male, Female or Unknown)]]="Male",Backend!$C$6,IF(Table1[[#This Row],[Fetal Sex (Male, Female or Unknown)]]="Female",Backend!$C$7,IF(Table1[[#This Row],[Fetal Sex (Male, Female or Unknown)]]="Unknown",Backend!$C$8,"Error"))),"")</f>
        <v/>
      </c>
      <c r="F9165" s="8" t="str">
        <f>IF(Table1[[#This Row],[Is Data Valid]]=TRUE,EXP(0.578+0.332*((Table1[[#This Row],[Gestation (days)]]+0.5)/7)-0.00354*((Table1[[#This Row],[Gestation (days)]]+0.5)/7)^2)*Table1[[#This Row],[BW40_3705]],"")</f>
        <v/>
      </c>
      <c r="G9165" s="2" t="str">
        <f>IF(Table1[[#This Row],[Is Data Valid]]=TRUE,((Table1[[#This Row],[Birthweight (grams)]]/Table1[[#This Row],[BW_GA]])-1)/(Backend!$B$4/100*Table1[[#This Row],[BW40_3705]]),"")</f>
        <v/>
      </c>
      <c r="H9165" s="7" t="str">
        <f>IF(Table1[[#This Row],[Is Data Valid]]=TRUE,((Table1[[#This Row],[Birthweight (grams)]]*0.9/Table1[[#This Row],[BW_GA]])-1)/(Backend!$B$4/100*Table1[[#This Row],[BW40_3705]]),"")</f>
        <v/>
      </c>
      <c r="I9165" s="7" t="str">
        <f>IF(Table1[[#This Row],[Is Data Valid]]=TRUE,((Table1[[#This Row],[Birthweight (grams)]]*1.1/Table1[[#This Row],[BW_GA]])-1)/(Backend!$B$4/100*Table1[[#This Row],[BW40_3705]]),"")</f>
        <v/>
      </c>
      <c r="J9165" s="7" t="str">
        <f>IF(Table1[[#This Row],[Is Data Valid]]=TRUE,_xlfn.NORM.S.DIST(Table1[[#This Row],[Birthweight Z-Score]],TRUE)*100,"")</f>
        <v/>
      </c>
      <c r="K9165" s="7" t="str">
        <f>IF(Table1[[#This Row],[Is Data Valid]]=TRUE,_xlfn.NORM.S.DIST(Table1[[#This Row],[Birthweight Z-Score (BW-10%)]],TRUE)*100,"")</f>
        <v/>
      </c>
      <c r="L9165" s="7" t="str">
        <f>IF(Table1[[#This Row],[Is Data Valid]]=TRUE,_xlfn.NORM.S.DIST(Table1[[#This Row],[Birthweight Z-Score (BW+10%)]],TRUE)*100,"")</f>
        <v/>
      </c>
    </row>
    <row r="9166" spans="1:12" x14ac:dyDescent="0.35">
      <c r="A9166" s="3"/>
      <c r="B9166" s="2"/>
      <c r="C9166" s="2"/>
      <c r="D9166" s="2" t="b">
        <f>IF(AND(NOT(ISBLANK(Table1[[#This Row],[Fetal Sex (Male, Female or Unknown)]])),ISNUMBER(Table1[[#This Row],[Birthweight (grams)]]),ISNUMBER(Table1[[#This Row],[Gestation (days)]])),TRUE,FALSE)</f>
        <v>0</v>
      </c>
      <c r="E9166" s="2" t="str">
        <f>IF(Table1[[#This Row],[Is Data Valid]]=TRUE,IF(Table1[[#This Row],[Fetal Sex (Male, Female or Unknown)]]="Male",Backend!$C$6,IF(Table1[[#This Row],[Fetal Sex (Male, Female or Unknown)]]="Female",Backend!$C$7,IF(Table1[[#This Row],[Fetal Sex (Male, Female or Unknown)]]="Unknown",Backend!$C$8,"Error"))),"")</f>
        <v/>
      </c>
      <c r="F9166" s="8" t="str">
        <f>IF(Table1[[#This Row],[Is Data Valid]]=TRUE,EXP(0.578+0.332*((Table1[[#This Row],[Gestation (days)]]+0.5)/7)-0.00354*((Table1[[#This Row],[Gestation (days)]]+0.5)/7)^2)*Table1[[#This Row],[BW40_3705]],"")</f>
        <v/>
      </c>
      <c r="G9166" s="2" t="str">
        <f>IF(Table1[[#This Row],[Is Data Valid]]=TRUE,((Table1[[#This Row],[Birthweight (grams)]]/Table1[[#This Row],[BW_GA]])-1)/(Backend!$B$4/100*Table1[[#This Row],[BW40_3705]]),"")</f>
        <v/>
      </c>
      <c r="H9166" s="7" t="str">
        <f>IF(Table1[[#This Row],[Is Data Valid]]=TRUE,((Table1[[#This Row],[Birthweight (grams)]]*0.9/Table1[[#This Row],[BW_GA]])-1)/(Backend!$B$4/100*Table1[[#This Row],[BW40_3705]]),"")</f>
        <v/>
      </c>
      <c r="I9166" s="7" t="str">
        <f>IF(Table1[[#This Row],[Is Data Valid]]=TRUE,((Table1[[#This Row],[Birthweight (grams)]]*1.1/Table1[[#This Row],[BW_GA]])-1)/(Backend!$B$4/100*Table1[[#This Row],[BW40_3705]]),"")</f>
        <v/>
      </c>
      <c r="J9166" s="7" t="str">
        <f>IF(Table1[[#This Row],[Is Data Valid]]=TRUE,_xlfn.NORM.S.DIST(Table1[[#This Row],[Birthweight Z-Score]],TRUE)*100,"")</f>
        <v/>
      </c>
      <c r="K9166" s="7" t="str">
        <f>IF(Table1[[#This Row],[Is Data Valid]]=TRUE,_xlfn.NORM.S.DIST(Table1[[#This Row],[Birthweight Z-Score (BW-10%)]],TRUE)*100,"")</f>
        <v/>
      </c>
      <c r="L9166" s="7" t="str">
        <f>IF(Table1[[#This Row],[Is Data Valid]]=TRUE,_xlfn.NORM.S.DIST(Table1[[#This Row],[Birthweight Z-Score (BW+10%)]],TRUE)*100,"")</f>
        <v/>
      </c>
    </row>
    <row r="9167" spans="1:12" x14ac:dyDescent="0.35">
      <c r="A9167" s="3"/>
      <c r="B9167" s="2"/>
      <c r="C9167" s="2"/>
      <c r="D9167" s="2" t="b">
        <f>IF(AND(NOT(ISBLANK(Table1[[#This Row],[Fetal Sex (Male, Female or Unknown)]])),ISNUMBER(Table1[[#This Row],[Birthweight (grams)]]),ISNUMBER(Table1[[#This Row],[Gestation (days)]])),TRUE,FALSE)</f>
        <v>0</v>
      </c>
      <c r="E9167" s="2" t="str">
        <f>IF(Table1[[#This Row],[Is Data Valid]]=TRUE,IF(Table1[[#This Row],[Fetal Sex (Male, Female or Unknown)]]="Male",Backend!$C$6,IF(Table1[[#This Row],[Fetal Sex (Male, Female or Unknown)]]="Female",Backend!$C$7,IF(Table1[[#This Row],[Fetal Sex (Male, Female or Unknown)]]="Unknown",Backend!$C$8,"Error"))),"")</f>
        <v/>
      </c>
      <c r="F9167" s="8" t="str">
        <f>IF(Table1[[#This Row],[Is Data Valid]]=TRUE,EXP(0.578+0.332*((Table1[[#This Row],[Gestation (days)]]+0.5)/7)-0.00354*((Table1[[#This Row],[Gestation (days)]]+0.5)/7)^2)*Table1[[#This Row],[BW40_3705]],"")</f>
        <v/>
      </c>
      <c r="G9167" s="2" t="str">
        <f>IF(Table1[[#This Row],[Is Data Valid]]=TRUE,((Table1[[#This Row],[Birthweight (grams)]]/Table1[[#This Row],[BW_GA]])-1)/(Backend!$B$4/100*Table1[[#This Row],[BW40_3705]]),"")</f>
        <v/>
      </c>
      <c r="H9167" s="7" t="str">
        <f>IF(Table1[[#This Row],[Is Data Valid]]=TRUE,((Table1[[#This Row],[Birthweight (grams)]]*0.9/Table1[[#This Row],[BW_GA]])-1)/(Backend!$B$4/100*Table1[[#This Row],[BW40_3705]]),"")</f>
        <v/>
      </c>
      <c r="I9167" s="7" t="str">
        <f>IF(Table1[[#This Row],[Is Data Valid]]=TRUE,((Table1[[#This Row],[Birthweight (grams)]]*1.1/Table1[[#This Row],[BW_GA]])-1)/(Backend!$B$4/100*Table1[[#This Row],[BW40_3705]]),"")</f>
        <v/>
      </c>
      <c r="J9167" s="7" t="str">
        <f>IF(Table1[[#This Row],[Is Data Valid]]=TRUE,_xlfn.NORM.S.DIST(Table1[[#This Row],[Birthweight Z-Score]],TRUE)*100,"")</f>
        <v/>
      </c>
      <c r="K9167" s="7" t="str">
        <f>IF(Table1[[#This Row],[Is Data Valid]]=TRUE,_xlfn.NORM.S.DIST(Table1[[#This Row],[Birthweight Z-Score (BW-10%)]],TRUE)*100,"")</f>
        <v/>
      </c>
      <c r="L9167" s="7" t="str">
        <f>IF(Table1[[#This Row],[Is Data Valid]]=TRUE,_xlfn.NORM.S.DIST(Table1[[#This Row],[Birthweight Z-Score (BW+10%)]],TRUE)*100,"")</f>
        <v/>
      </c>
    </row>
    <row r="9168" spans="1:12" x14ac:dyDescent="0.35">
      <c r="A9168" s="3"/>
      <c r="B9168" s="2"/>
      <c r="C9168" s="2"/>
      <c r="D9168" s="2" t="b">
        <f>IF(AND(NOT(ISBLANK(Table1[[#This Row],[Fetal Sex (Male, Female or Unknown)]])),ISNUMBER(Table1[[#This Row],[Birthweight (grams)]]),ISNUMBER(Table1[[#This Row],[Gestation (days)]])),TRUE,FALSE)</f>
        <v>0</v>
      </c>
      <c r="E9168" s="2" t="str">
        <f>IF(Table1[[#This Row],[Is Data Valid]]=TRUE,IF(Table1[[#This Row],[Fetal Sex (Male, Female or Unknown)]]="Male",Backend!$C$6,IF(Table1[[#This Row],[Fetal Sex (Male, Female or Unknown)]]="Female",Backend!$C$7,IF(Table1[[#This Row],[Fetal Sex (Male, Female or Unknown)]]="Unknown",Backend!$C$8,"Error"))),"")</f>
        <v/>
      </c>
      <c r="F9168" s="8" t="str">
        <f>IF(Table1[[#This Row],[Is Data Valid]]=TRUE,EXP(0.578+0.332*((Table1[[#This Row],[Gestation (days)]]+0.5)/7)-0.00354*((Table1[[#This Row],[Gestation (days)]]+0.5)/7)^2)*Table1[[#This Row],[BW40_3705]],"")</f>
        <v/>
      </c>
      <c r="G9168" s="2" t="str">
        <f>IF(Table1[[#This Row],[Is Data Valid]]=TRUE,((Table1[[#This Row],[Birthweight (grams)]]/Table1[[#This Row],[BW_GA]])-1)/(Backend!$B$4/100*Table1[[#This Row],[BW40_3705]]),"")</f>
        <v/>
      </c>
      <c r="H9168" s="7" t="str">
        <f>IF(Table1[[#This Row],[Is Data Valid]]=TRUE,((Table1[[#This Row],[Birthweight (grams)]]*0.9/Table1[[#This Row],[BW_GA]])-1)/(Backend!$B$4/100*Table1[[#This Row],[BW40_3705]]),"")</f>
        <v/>
      </c>
      <c r="I9168" s="7" t="str">
        <f>IF(Table1[[#This Row],[Is Data Valid]]=TRUE,((Table1[[#This Row],[Birthweight (grams)]]*1.1/Table1[[#This Row],[BW_GA]])-1)/(Backend!$B$4/100*Table1[[#This Row],[BW40_3705]]),"")</f>
        <v/>
      </c>
      <c r="J9168" s="7" t="str">
        <f>IF(Table1[[#This Row],[Is Data Valid]]=TRUE,_xlfn.NORM.S.DIST(Table1[[#This Row],[Birthweight Z-Score]],TRUE)*100,"")</f>
        <v/>
      </c>
      <c r="K9168" s="7" t="str">
        <f>IF(Table1[[#This Row],[Is Data Valid]]=TRUE,_xlfn.NORM.S.DIST(Table1[[#This Row],[Birthweight Z-Score (BW-10%)]],TRUE)*100,"")</f>
        <v/>
      </c>
      <c r="L9168" s="7" t="str">
        <f>IF(Table1[[#This Row],[Is Data Valid]]=TRUE,_xlfn.NORM.S.DIST(Table1[[#This Row],[Birthweight Z-Score (BW+10%)]],TRUE)*100,"")</f>
        <v/>
      </c>
    </row>
    <row r="9169" spans="1:12" x14ac:dyDescent="0.35">
      <c r="A9169" s="3"/>
      <c r="B9169" s="2"/>
      <c r="C9169" s="2"/>
      <c r="D9169" s="2" t="b">
        <f>IF(AND(NOT(ISBLANK(Table1[[#This Row],[Fetal Sex (Male, Female or Unknown)]])),ISNUMBER(Table1[[#This Row],[Birthweight (grams)]]),ISNUMBER(Table1[[#This Row],[Gestation (days)]])),TRUE,FALSE)</f>
        <v>0</v>
      </c>
      <c r="E9169" s="2" t="str">
        <f>IF(Table1[[#This Row],[Is Data Valid]]=TRUE,IF(Table1[[#This Row],[Fetal Sex (Male, Female or Unknown)]]="Male",Backend!$C$6,IF(Table1[[#This Row],[Fetal Sex (Male, Female or Unknown)]]="Female",Backend!$C$7,IF(Table1[[#This Row],[Fetal Sex (Male, Female or Unknown)]]="Unknown",Backend!$C$8,"Error"))),"")</f>
        <v/>
      </c>
      <c r="F9169" s="8" t="str">
        <f>IF(Table1[[#This Row],[Is Data Valid]]=TRUE,EXP(0.578+0.332*((Table1[[#This Row],[Gestation (days)]]+0.5)/7)-0.00354*((Table1[[#This Row],[Gestation (days)]]+0.5)/7)^2)*Table1[[#This Row],[BW40_3705]],"")</f>
        <v/>
      </c>
      <c r="G9169" s="2" t="str">
        <f>IF(Table1[[#This Row],[Is Data Valid]]=TRUE,((Table1[[#This Row],[Birthweight (grams)]]/Table1[[#This Row],[BW_GA]])-1)/(Backend!$B$4/100*Table1[[#This Row],[BW40_3705]]),"")</f>
        <v/>
      </c>
      <c r="H9169" s="7" t="str">
        <f>IF(Table1[[#This Row],[Is Data Valid]]=TRUE,((Table1[[#This Row],[Birthweight (grams)]]*0.9/Table1[[#This Row],[BW_GA]])-1)/(Backend!$B$4/100*Table1[[#This Row],[BW40_3705]]),"")</f>
        <v/>
      </c>
      <c r="I9169" s="7" t="str">
        <f>IF(Table1[[#This Row],[Is Data Valid]]=TRUE,((Table1[[#This Row],[Birthweight (grams)]]*1.1/Table1[[#This Row],[BW_GA]])-1)/(Backend!$B$4/100*Table1[[#This Row],[BW40_3705]]),"")</f>
        <v/>
      </c>
      <c r="J9169" s="7" t="str">
        <f>IF(Table1[[#This Row],[Is Data Valid]]=TRUE,_xlfn.NORM.S.DIST(Table1[[#This Row],[Birthweight Z-Score]],TRUE)*100,"")</f>
        <v/>
      </c>
      <c r="K9169" s="7" t="str">
        <f>IF(Table1[[#This Row],[Is Data Valid]]=TRUE,_xlfn.NORM.S.DIST(Table1[[#This Row],[Birthweight Z-Score (BW-10%)]],TRUE)*100,"")</f>
        <v/>
      </c>
      <c r="L9169" s="7" t="str">
        <f>IF(Table1[[#This Row],[Is Data Valid]]=TRUE,_xlfn.NORM.S.DIST(Table1[[#This Row],[Birthweight Z-Score (BW+10%)]],TRUE)*100,"")</f>
        <v/>
      </c>
    </row>
    <row r="9170" spans="1:12" x14ac:dyDescent="0.35">
      <c r="A9170" s="3"/>
      <c r="B9170" s="2"/>
      <c r="C9170" s="2"/>
      <c r="D9170" s="2" t="b">
        <f>IF(AND(NOT(ISBLANK(Table1[[#This Row],[Fetal Sex (Male, Female or Unknown)]])),ISNUMBER(Table1[[#This Row],[Birthweight (grams)]]),ISNUMBER(Table1[[#This Row],[Gestation (days)]])),TRUE,FALSE)</f>
        <v>0</v>
      </c>
      <c r="E9170" s="2" t="str">
        <f>IF(Table1[[#This Row],[Is Data Valid]]=TRUE,IF(Table1[[#This Row],[Fetal Sex (Male, Female or Unknown)]]="Male",Backend!$C$6,IF(Table1[[#This Row],[Fetal Sex (Male, Female or Unknown)]]="Female",Backend!$C$7,IF(Table1[[#This Row],[Fetal Sex (Male, Female or Unknown)]]="Unknown",Backend!$C$8,"Error"))),"")</f>
        <v/>
      </c>
      <c r="F9170" s="8" t="str">
        <f>IF(Table1[[#This Row],[Is Data Valid]]=TRUE,EXP(0.578+0.332*((Table1[[#This Row],[Gestation (days)]]+0.5)/7)-0.00354*((Table1[[#This Row],[Gestation (days)]]+0.5)/7)^2)*Table1[[#This Row],[BW40_3705]],"")</f>
        <v/>
      </c>
      <c r="G9170" s="2" t="str">
        <f>IF(Table1[[#This Row],[Is Data Valid]]=TRUE,((Table1[[#This Row],[Birthweight (grams)]]/Table1[[#This Row],[BW_GA]])-1)/(Backend!$B$4/100*Table1[[#This Row],[BW40_3705]]),"")</f>
        <v/>
      </c>
      <c r="H9170" s="7" t="str">
        <f>IF(Table1[[#This Row],[Is Data Valid]]=TRUE,((Table1[[#This Row],[Birthweight (grams)]]*0.9/Table1[[#This Row],[BW_GA]])-1)/(Backend!$B$4/100*Table1[[#This Row],[BW40_3705]]),"")</f>
        <v/>
      </c>
      <c r="I9170" s="7" t="str">
        <f>IF(Table1[[#This Row],[Is Data Valid]]=TRUE,((Table1[[#This Row],[Birthweight (grams)]]*1.1/Table1[[#This Row],[BW_GA]])-1)/(Backend!$B$4/100*Table1[[#This Row],[BW40_3705]]),"")</f>
        <v/>
      </c>
      <c r="J9170" s="7" t="str">
        <f>IF(Table1[[#This Row],[Is Data Valid]]=TRUE,_xlfn.NORM.S.DIST(Table1[[#This Row],[Birthweight Z-Score]],TRUE)*100,"")</f>
        <v/>
      </c>
      <c r="K9170" s="7" t="str">
        <f>IF(Table1[[#This Row],[Is Data Valid]]=TRUE,_xlfn.NORM.S.DIST(Table1[[#This Row],[Birthweight Z-Score (BW-10%)]],TRUE)*100,"")</f>
        <v/>
      </c>
      <c r="L9170" s="7" t="str">
        <f>IF(Table1[[#This Row],[Is Data Valid]]=TRUE,_xlfn.NORM.S.DIST(Table1[[#This Row],[Birthweight Z-Score (BW+10%)]],TRUE)*100,"")</f>
        <v/>
      </c>
    </row>
    <row r="9171" spans="1:12" x14ac:dyDescent="0.35">
      <c r="A9171" s="3"/>
      <c r="B9171" s="2"/>
      <c r="C9171" s="2"/>
      <c r="D9171" s="2" t="b">
        <f>IF(AND(NOT(ISBLANK(Table1[[#This Row],[Fetal Sex (Male, Female or Unknown)]])),ISNUMBER(Table1[[#This Row],[Birthweight (grams)]]),ISNUMBER(Table1[[#This Row],[Gestation (days)]])),TRUE,FALSE)</f>
        <v>0</v>
      </c>
      <c r="E9171" s="2" t="str">
        <f>IF(Table1[[#This Row],[Is Data Valid]]=TRUE,IF(Table1[[#This Row],[Fetal Sex (Male, Female or Unknown)]]="Male",Backend!$C$6,IF(Table1[[#This Row],[Fetal Sex (Male, Female or Unknown)]]="Female",Backend!$C$7,IF(Table1[[#This Row],[Fetal Sex (Male, Female or Unknown)]]="Unknown",Backend!$C$8,"Error"))),"")</f>
        <v/>
      </c>
      <c r="F9171" s="8" t="str">
        <f>IF(Table1[[#This Row],[Is Data Valid]]=TRUE,EXP(0.578+0.332*((Table1[[#This Row],[Gestation (days)]]+0.5)/7)-0.00354*((Table1[[#This Row],[Gestation (days)]]+0.5)/7)^2)*Table1[[#This Row],[BW40_3705]],"")</f>
        <v/>
      </c>
      <c r="G9171" s="2" t="str">
        <f>IF(Table1[[#This Row],[Is Data Valid]]=TRUE,((Table1[[#This Row],[Birthweight (grams)]]/Table1[[#This Row],[BW_GA]])-1)/(Backend!$B$4/100*Table1[[#This Row],[BW40_3705]]),"")</f>
        <v/>
      </c>
      <c r="H9171" s="7" t="str">
        <f>IF(Table1[[#This Row],[Is Data Valid]]=TRUE,((Table1[[#This Row],[Birthweight (grams)]]*0.9/Table1[[#This Row],[BW_GA]])-1)/(Backend!$B$4/100*Table1[[#This Row],[BW40_3705]]),"")</f>
        <v/>
      </c>
      <c r="I9171" s="7" t="str">
        <f>IF(Table1[[#This Row],[Is Data Valid]]=TRUE,((Table1[[#This Row],[Birthweight (grams)]]*1.1/Table1[[#This Row],[BW_GA]])-1)/(Backend!$B$4/100*Table1[[#This Row],[BW40_3705]]),"")</f>
        <v/>
      </c>
      <c r="J9171" s="7" t="str">
        <f>IF(Table1[[#This Row],[Is Data Valid]]=TRUE,_xlfn.NORM.S.DIST(Table1[[#This Row],[Birthweight Z-Score]],TRUE)*100,"")</f>
        <v/>
      </c>
      <c r="K9171" s="7" t="str">
        <f>IF(Table1[[#This Row],[Is Data Valid]]=TRUE,_xlfn.NORM.S.DIST(Table1[[#This Row],[Birthweight Z-Score (BW-10%)]],TRUE)*100,"")</f>
        <v/>
      </c>
      <c r="L9171" s="7" t="str">
        <f>IF(Table1[[#This Row],[Is Data Valid]]=TRUE,_xlfn.NORM.S.DIST(Table1[[#This Row],[Birthweight Z-Score (BW+10%)]],TRUE)*100,"")</f>
        <v/>
      </c>
    </row>
    <row r="9172" spans="1:12" x14ac:dyDescent="0.35">
      <c r="A9172" s="3"/>
      <c r="B9172" s="2"/>
      <c r="C9172" s="2"/>
      <c r="D9172" s="2" t="b">
        <f>IF(AND(NOT(ISBLANK(Table1[[#This Row],[Fetal Sex (Male, Female or Unknown)]])),ISNUMBER(Table1[[#This Row],[Birthweight (grams)]]),ISNUMBER(Table1[[#This Row],[Gestation (days)]])),TRUE,FALSE)</f>
        <v>0</v>
      </c>
      <c r="E9172" s="2" t="str">
        <f>IF(Table1[[#This Row],[Is Data Valid]]=TRUE,IF(Table1[[#This Row],[Fetal Sex (Male, Female or Unknown)]]="Male",Backend!$C$6,IF(Table1[[#This Row],[Fetal Sex (Male, Female or Unknown)]]="Female",Backend!$C$7,IF(Table1[[#This Row],[Fetal Sex (Male, Female or Unknown)]]="Unknown",Backend!$C$8,"Error"))),"")</f>
        <v/>
      </c>
      <c r="F9172" s="8" t="str">
        <f>IF(Table1[[#This Row],[Is Data Valid]]=TRUE,EXP(0.578+0.332*((Table1[[#This Row],[Gestation (days)]]+0.5)/7)-0.00354*((Table1[[#This Row],[Gestation (days)]]+0.5)/7)^2)*Table1[[#This Row],[BW40_3705]],"")</f>
        <v/>
      </c>
      <c r="G9172" s="2" t="str">
        <f>IF(Table1[[#This Row],[Is Data Valid]]=TRUE,((Table1[[#This Row],[Birthweight (grams)]]/Table1[[#This Row],[BW_GA]])-1)/(Backend!$B$4/100*Table1[[#This Row],[BW40_3705]]),"")</f>
        <v/>
      </c>
      <c r="H9172" s="7" t="str">
        <f>IF(Table1[[#This Row],[Is Data Valid]]=TRUE,((Table1[[#This Row],[Birthweight (grams)]]*0.9/Table1[[#This Row],[BW_GA]])-1)/(Backend!$B$4/100*Table1[[#This Row],[BW40_3705]]),"")</f>
        <v/>
      </c>
      <c r="I9172" s="7" t="str">
        <f>IF(Table1[[#This Row],[Is Data Valid]]=TRUE,((Table1[[#This Row],[Birthweight (grams)]]*1.1/Table1[[#This Row],[BW_GA]])-1)/(Backend!$B$4/100*Table1[[#This Row],[BW40_3705]]),"")</f>
        <v/>
      </c>
      <c r="J9172" s="7" t="str">
        <f>IF(Table1[[#This Row],[Is Data Valid]]=TRUE,_xlfn.NORM.S.DIST(Table1[[#This Row],[Birthweight Z-Score]],TRUE)*100,"")</f>
        <v/>
      </c>
      <c r="K9172" s="7" t="str">
        <f>IF(Table1[[#This Row],[Is Data Valid]]=TRUE,_xlfn.NORM.S.DIST(Table1[[#This Row],[Birthweight Z-Score (BW-10%)]],TRUE)*100,"")</f>
        <v/>
      </c>
      <c r="L9172" s="7" t="str">
        <f>IF(Table1[[#This Row],[Is Data Valid]]=TRUE,_xlfn.NORM.S.DIST(Table1[[#This Row],[Birthweight Z-Score (BW+10%)]],TRUE)*100,"")</f>
        <v/>
      </c>
    </row>
    <row r="9173" spans="1:12" x14ac:dyDescent="0.35">
      <c r="A9173" s="3"/>
      <c r="B9173" s="2"/>
      <c r="C9173" s="2"/>
      <c r="D9173" s="2" t="b">
        <f>IF(AND(NOT(ISBLANK(Table1[[#This Row],[Fetal Sex (Male, Female or Unknown)]])),ISNUMBER(Table1[[#This Row],[Birthweight (grams)]]),ISNUMBER(Table1[[#This Row],[Gestation (days)]])),TRUE,FALSE)</f>
        <v>0</v>
      </c>
      <c r="E9173" s="2" t="str">
        <f>IF(Table1[[#This Row],[Is Data Valid]]=TRUE,IF(Table1[[#This Row],[Fetal Sex (Male, Female or Unknown)]]="Male",Backend!$C$6,IF(Table1[[#This Row],[Fetal Sex (Male, Female or Unknown)]]="Female",Backend!$C$7,IF(Table1[[#This Row],[Fetal Sex (Male, Female or Unknown)]]="Unknown",Backend!$C$8,"Error"))),"")</f>
        <v/>
      </c>
      <c r="F9173" s="8" t="str">
        <f>IF(Table1[[#This Row],[Is Data Valid]]=TRUE,EXP(0.578+0.332*((Table1[[#This Row],[Gestation (days)]]+0.5)/7)-0.00354*((Table1[[#This Row],[Gestation (days)]]+0.5)/7)^2)*Table1[[#This Row],[BW40_3705]],"")</f>
        <v/>
      </c>
      <c r="G9173" s="2" t="str">
        <f>IF(Table1[[#This Row],[Is Data Valid]]=TRUE,((Table1[[#This Row],[Birthweight (grams)]]/Table1[[#This Row],[BW_GA]])-1)/(Backend!$B$4/100*Table1[[#This Row],[BW40_3705]]),"")</f>
        <v/>
      </c>
      <c r="H9173" s="7" t="str">
        <f>IF(Table1[[#This Row],[Is Data Valid]]=TRUE,((Table1[[#This Row],[Birthweight (grams)]]*0.9/Table1[[#This Row],[BW_GA]])-1)/(Backend!$B$4/100*Table1[[#This Row],[BW40_3705]]),"")</f>
        <v/>
      </c>
      <c r="I9173" s="7" t="str">
        <f>IF(Table1[[#This Row],[Is Data Valid]]=TRUE,((Table1[[#This Row],[Birthweight (grams)]]*1.1/Table1[[#This Row],[BW_GA]])-1)/(Backend!$B$4/100*Table1[[#This Row],[BW40_3705]]),"")</f>
        <v/>
      </c>
      <c r="J9173" s="7" t="str">
        <f>IF(Table1[[#This Row],[Is Data Valid]]=TRUE,_xlfn.NORM.S.DIST(Table1[[#This Row],[Birthweight Z-Score]],TRUE)*100,"")</f>
        <v/>
      </c>
      <c r="K9173" s="7" t="str">
        <f>IF(Table1[[#This Row],[Is Data Valid]]=TRUE,_xlfn.NORM.S.DIST(Table1[[#This Row],[Birthweight Z-Score (BW-10%)]],TRUE)*100,"")</f>
        <v/>
      </c>
      <c r="L9173" s="7" t="str">
        <f>IF(Table1[[#This Row],[Is Data Valid]]=TRUE,_xlfn.NORM.S.DIST(Table1[[#This Row],[Birthweight Z-Score (BW+10%)]],TRUE)*100,"")</f>
        <v/>
      </c>
    </row>
    <row r="9174" spans="1:12" x14ac:dyDescent="0.35">
      <c r="A9174" s="3"/>
      <c r="B9174" s="2"/>
      <c r="C9174" s="2"/>
      <c r="D9174" s="2" t="b">
        <f>IF(AND(NOT(ISBLANK(Table1[[#This Row],[Fetal Sex (Male, Female or Unknown)]])),ISNUMBER(Table1[[#This Row],[Birthweight (grams)]]),ISNUMBER(Table1[[#This Row],[Gestation (days)]])),TRUE,FALSE)</f>
        <v>0</v>
      </c>
      <c r="E9174" s="2" t="str">
        <f>IF(Table1[[#This Row],[Is Data Valid]]=TRUE,IF(Table1[[#This Row],[Fetal Sex (Male, Female or Unknown)]]="Male",Backend!$C$6,IF(Table1[[#This Row],[Fetal Sex (Male, Female or Unknown)]]="Female",Backend!$C$7,IF(Table1[[#This Row],[Fetal Sex (Male, Female or Unknown)]]="Unknown",Backend!$C$8,"Error"))),"")</f>
        <v/>
      </c>
      <c r="F9174" s="8" t="str">
        <f>IF(Table1[[#This Row],[Is Data Valid]]=TRUE,EXP(0.578+0.332*((Table1[[#This Row],[Gestation (days)]]+0.5)/7)-0.00354*((Table1[[#This Row],[Gestation (days)]]+0.5)/7)^2)*Table1[[#This Row],[BW40_3705]],"")</f>
        <v/>
      </c>
      <c r="G9174" s="2" t="str">
        <f>IF(Table1[[#This Row],[Is Data Valid]]=TRUE,((Table1[[#This Row],[Birthweight (grams)]]/Table1[[#This Row],[BW_GA]])-1)/(Backend!$B$4/100*Table1[[#This Row],[BW40_3705]]),"")</f>
        <v/>
      </c>
      <c r="H9174" s="7" t="str">
        <f>IF(Table1[[#This Row],[Is Data Valid]]=TRUE,((Table1[[#This Row],[Birthweight (grams)]]*0.9/Table1[[#This Row],[BW_GA]])-1)/(Backend!$B$4/100*Table1[[#This Row],[BW40_3705]]),"")</f>
        <v/>
      </c>
      <c r="I9174" s="7" t="str">
        <f>IF(Table1[[#This Row],[Is Data Valid]]=TRUE,((Table1[[#This Row],[Birthweight (grams)]]*1.1/Table1[[#This Row],[BW_GA]])-1)/(Backend!$B$4/100*Table1[[#This Row],[BW40_3705]]),"")</f>
        <v/>
      </c>
      <c r="J9174" s="7" t="str">
        <f>IF(Table1[[#This Row],[Is Data Valid]]=TRUE,_xlfn.NORM.S.DIST(Table1[[#This Row],[Birthweight Z-Score]],TRUE)*100,"")</f>
        <v/>
      </c>
      <c r="K9174" s="7" t="str">
        <f>IF(Table1[[#This Row],[Is Data Valid]]=TRUE,_xlfn.NORM.S.DIST(Table1[[#This Row],[Birthweight Z-Score (BW-10%)]],TRUE)*100,"")</f>
        <v/>
      </c>
      <c r="L9174" s="7" t="str">
        <f>IF(Table1[[#This Row],[Is Data Valid]]=TRUE,_xlfn.NORM.S.DIST(Table1[[#This Row],[Birthweight Z-Score (BW+10%)]],TRUE)*100,"")</f>
        <v/>
      </c>
    </row>
    <row r="9175" spans="1:12" x14ac:dyDescent="0.35">
      <c r="A9175" s="3"/>
      <c r="B9175" s="2"/>
      <c r="C9175" s="2"/>
      <c r="D9175" s="2" t="b">
        <f>IF(AND(NOT(ISBLANK(Table1[[#This Row],[Fetal Sex (Male, Female or Unknown)]])),ISNUMBER(Table1[[#This Row],[Birthweight (grams)]]),ISNUMBER(Table1[[#This Row],[Gestation (days)]])),TRUE,FALSE)</f>
        <v>0</v>
      </c>
      <c r="E9175" s="2" t="str">
        <f>IF(Table1[[#This Row],[Is Data Valid]]=TRUE,IF(Table1[[#This Row],[Fetal Sex (Male, Female or Unknown)]]="Male",Backend!$C$6,IF(Table1[[#This Row],[Fetal Sex (Male, Female or Unknown)]]="Female",Backend!$C$7,IF(Table1[[#This Row],[Fetal Sex (Male, Female or Unknown)]]="Unknown",Backend!$C$8,"Error"))),"")</f>
        <v/>
      </c>
      <c r="F9175" s="8" t="str">
        <f>IF(Table1[[#This Row],[Is Data Valid]]=TRUE,EXP(0.578+0.332*((Table1[[#This Row],[Gestation (days)]]+0.5)/7)-0.00354*((Table1[[#This Row],[Gestation (days)]]+0.5)/7)^2)*Table1[[#This Row],[BW40_3705]],"")</f>
        <v/>
      </c>
      <c r="G9175" s="2" t="str">
        <f>IF(Table1[[#This Row],[Is Data Valid]]=TRUE,((Table1[[#This Row],[Birthweight (grams)]]/Table1[[#This Row],[BW_GA]])-1)/(Backend!$B$4/100*Table1[[#This Row],[BW40_3705]]),"")</f>
        <v/>
      </c>
      <c r="H9175" s="7" t="str">
        <f>IF(Table1[[#This Row],[Is Data Valid]]=TRUE,((Table1[[#This Row],[Birthweight (grams)]]*0.9/Table1[[#This Row],[BW_GA]])-1)/(Backend!$B$4/100*Table1[[#This Row],[BW40_3705]]),"")</f>
        <v/>
      </c>
      <c r="I9175" s="7" t="str">
        <f>IF(Table1[[#This Row],[Is Data Valid]]=TRUE,((Table1[[#This Row],[Birthweight (grams)]]*1.1/Table1[[#This Row],[BW_GA]])-1)/(Backend!$B$4/100*Table1[[#This Row],[BW40_3705]]),"")</f>
        <v/>
      </c>
      <c r="J9175" s="7" t="str">
        <f>IF(Table1[[#This Row],[Is Data Valid]]=TRUE,_xlfn.NORM.S.DIST(Table1[[#This Row],[Birthweight Z-Score]],TRUE)*100,"")</f>
        <v/>
      </c>
      <c r="K9175" s="7" t="str">
        <f>IF(Table1[[#This Row],[Is Data Valid]]=TRUE,_xlfn.NORM.S.DIST(Table1[[#This Row],[Birthweight Z-Score (BW-10%)]],TRUE)*100,"")</f>
        <v/>
      </c>
      <c r="L9175" s="7" t="str">
        <f>IF(Table1[[#This Row],[Is Data Valid]]=TRUE,_xlfn.NORM.S.DIST(Table1[[#This Row],[Birthweight Z-Score (BW+10%)]],TRUE)*100,"")</f>
        <v/>
      </c>
    </row>
    <row r="9176" spans="1:12" x14ac:dyDescent="0.35">
      <c r="A9176" s="3"/>
      <c r="B9176" s="2"/>
      <c r="C9176" s="2"/>
      <c r="D9176" s="2" t="b">
        <f>IF(AND(NOT(ISBLANK(Table1[[#This Row],[Fetal Sex (Male, Female or Unknown)]])),ISNUMBER(Table1[[#This Row],[Birthweight (grams)]]),ISNUMBER(Table1[[#This Row],[Gestation (days)]])),TRUE,FALSE)</f>
        <v>0</v>
      </c>
      <c r="E9176" s="2" t="str">
        <f>IF(Table1[[#This Row],[Is Data Valid]]=TRUE,IF(Table1[[#This Row],[Fetal Sex (Male, Female or Unknown)]]="Male",Backend!$C$6,IF(Table1[[#This Row],[Fetal Sex (Male, Female or Unknown)]]="Female",Backend!$C$7,IF(Table1[[#This Row],[Fetal Sex (Male, Female or Unknown)]]="Unknown",Backend!$C$8,"Error"))),"")</f>
        <v/>
      </c>
      <c r="F9176" s="8" t="str">
        <f>IF(Table1[[#This Row],[Is Data Valid]]=TRUE,EXP(0.578+0.332*((Table1[[#This Row],[Gestation (days)]]+0.5)/7)-0.00354*((Table1[[#This Row],[Gestation (days)]]+0.5)/7)^2)*Table1[[#This Row],[BW40_3705]],"")</f>
        <v/>
      </c>
      <c r="G9176" s="2" t="str">
        <f>IF(Table1[[#This Row],[Is Data Valid]]=TRUE,((Table1[[#This Row],[Birthweight (grams)]]/Table1[[#This Row],[BW_GA]])-1)/(Backend!$B$4/100*Table1[[#This Row],[BW40_3705]]),"")</f>
        <v/>
      </c>
      <c r="H9176" s="7" t="str">
        <f>IF(Table1[[#This Row],[Is Data Valid]]=TRUE,((Table1[[#This Row],[Birthweight (grams)]]*0.9/Table1[[#This Row],[BW_GA]])-1)/(Backend!$B$4/100*Table1[[#This Row],[BW40_3705]]),"")</f>
        <v/>
      </c>
      <c r="I9176" s="7" t="str">
        <f>IF(Table1[[#This Row],[Is Data Valid]]=TRUE,((Table1[[#This Row],[Birthweight (grams)]]*1.1/Table1[[#This Row],[BW_GA]])-1)/(Backend!$B$4/100*Table1[[#This Row],[BW40_3705]]),"")</f>
        <v/>
      </c>
      <c r="J9176" s="7" t="str">
        <f>IF(Table1[[#This Row],[Is Data Valid]]=TRUE,_xlfn.NORM.S.DIST(Table1[[#This Row],[Birthweight Z-Score]],TRUE)*100,"")</f>
        <v/>
      </c>
      <c r="K9176" s="7" t="str">
        <f>IF(Table1[[#This Row],[Is Data Valid]]=TRUE,_xlfn.NORM.S.DIST(Table1[[#This Row],[Birthweight Z-Score (BW-10%)]],TRUE)*100,"")</f>
        <v/>
      </c>
      <c r="L9176" s="7" t="str">
        <f>IF(Table1[[#This Row],[Is Data Valid]]=TRUE,_xlfn.NORM.S.DIST(Table1[[#This Row],[Birthweight Z-Score (BW+10%)]],TRUE)*100,"")</f>
        <v/>
      </c>
    </row>
    <row r="9177" spans="1:12" x14ac:dyDescent="0.35">
      <c r="A9177" s="3"/>
      <c r="B9177" s="2"/>
      <c r="C9177" s="2"/>
      <c r="D9177" s="2" t="b">
        <f>IF(AND(NOT(ISBLANK(Table1[[#This Row],[Fetal Sex (Male, Female or Unknown)]])),ISNUMBER(Table1[[#This Row],[Birthweight (grams)]]),ISNUMBER(Table1[[#This Row],[Gestation (days)]])),TRUE,FALSE)</f>
        <v>0</v>
      </c>
      <c r="E9177" s="2" t="str">
        <f>IF(Table1[[#This Row],[Is Data Valid]]=TRUE,IF(Table1[[#This Row],[Fetal Sex (Male, Female or Unknown)]]="Male",Backend!$C$6,IF(Table1[[#This Row],[Fetal Sex (Male, Female or Unknown)]]="Female",Backend!$C$7,IF(Table1[[#This Row],[Fetal Sex (Male, Female or Unknown)]]="Unknown",Backend!$C$8,"Error"))),"")</f>
        <v/>
      </c>
      <c r="F9177" s="8" t="str">
        <f>IF(Table1[[#This Row],[Is Data Valid]]=TRUE,EXP(0.578+0.332*((Table1[[#This Row],[Gestation (days)]]+0.5)/7)-0.00354*((Table1[[#This Row],[Gestation (days)]]+0.5)/7)^2)*Table1[[#This Row],[BW40_3705]],"")</f>
        <v/>
      </c>
      <c r="G9177" s="2" t="str">
        <f>IF(Table1[[#This Row],[Is Data Valid]]=TRUE,((Table1[[#This Row],[Birthweight (grams)]]/Table1[[#This Row],[BW_GA]])-1)/(Backend!$B$4/100*Table1[[#This Row],[BW40_3705]]),"")</f>
        <v/>
      </c>
      <c r="H9177" s="7" t="str">
        <f>IF(Table1[[#This Row],[Is Data Valid]]=TRUE,((Table1[[#This Row],[Birthweight (grams)]]*0.9/Table1[[#This Row],[BW_GA]])-1)/(Backend!$B$4/100*Table1[[#This Row],[BW40_3705]]),"")</f>
        <v/>
      </c>
      <c r="I9177" s="7" t="str">
        <f>IF(Table1[[#This Row],[Is Data Valid]]=TRUE,((Table1[[#This Row],[Birthweight (grams)]]*1.1/Table1[[#This Row],[BW_GA]])-1)/(Backend!$B$4/100*Table1[[#This Row],[BW40_3705]]),"")</f>
        <v/>
      </c>
      <c r="J9177" s="7" t="str">
        <f>IF(Table1[[#This Row],[Is Data Valid]]=TRUE,_xlfn.NORM.S.DIST(Table1[[#This Row],[Birthweight Z-Score]],TRUE)*100,"")</f>
        <v/>
      </c>
      <c r="K9177" s="7" t="str">
        <f>IF(Table1[[#This Row],[Is Data Valid]]=TRUE,_xlfn.NORM.S.DIST(Table1[[#This Row],[Birthweight Z-Score (BW-10%)]],TRUE)*100,"")</f>
        <v/>
      </c>
      <c r="L9177" s="7" t="str">
        <f>IF(Table1[[#This Row],[Is Data Valid]]=TRUE,_xlfn.NORM.S.DIST(Table1[[#This Row],[Birthweight Z-Score (BW+10%)]],TRUE)*100,"")</f>
        <v/>
      </c>
    </row>
    <row r="9178" spans="1:12" x14ac:dyDescent="0.35">
      <c r="A9178" s="3"/>
      <c r="B9178" s="2"/>
      <c r="C9178" s="2"/>
      <c r="D9178" s="2" t="b">
        <f>IF(AND(NOT(ISBLANK(Table1[[#This Row],[Fetal Sex (Male, Female or Unknown)]])),ISNUMBER(Table1[[#This Row],[Birthweight (grams)]]),ISNUMBER(Table1[[#This Row],[Gestation (days)]])),TRUE,FALSE)</f>
        <v>0</v>
      </c>
      <c r="E9178" s="2" t="str">
        <f>IF(Table1[[#This Row],[Is Data Valid]]=TRUE,IF(Table1[[#This Row],[Fetal Sex (Male, Female or Unknown)]]="Male",Backend!$C$6,IF(Table1[[#This Row],[Fetal Sex (Male, Female or Unknown)]]="Female",Backend!$C$7,IF(Table1[[#This Row],[Fetal Sex (Male, Female or Unknown)]]="Unknown",Backend!$C$8,"Error"))),"")</f>
        <v/>
      </c>
      <c r="F9178" s="8" t="str">
        <f>IF(Table1[[#This Row],[Is Data Valid]]=TRUE,EXP(0.578+0.332*((Table1[[#This Row],[Gestation (days)]]+0.5)/7)-0.00354*((Table1[[#This Row],[Gestation (days)]]+0.5)/7)^2)*Table1[[#This Row],[BW40_3705]],"")</f>
        <v/>
      </c>
      <c r="G9178" s="2" t="str">
        <f>IF(Table1[[#This Row],[Is Data Valid]]=TRUE,((Table1[[#This Row],[Birthweight (grams)]]/Table1[[#This Row],[BW_GA]])-1)/(Backend!$B$4/100*Table1[[#This Row],[BW40_3705]]),"")</f>
        <v/>
      </c>
      <c r="H9178" s="7" t="str">
        <f>IF(Table1[[#This Row],[Is Data Valid]]=TRUE,((Table1[[#This Row],[Birthweight (grams)]]*0.9/Table1[[#This Row],[BW_GA]])-1)/(Backend!$B$4/100*Table1[[#This Row],[BW40_3705]]),"")</f>
        <v/>
      </c>
      <c r="I9178" s="7" t="str">
        <f>IF(Table1[[#This Row],[Is Data Valid]]=TRUE,((Table1[[#This Row],[Birthweight (grams)]]*1.1/Table1[[#This Row],[BW_GA]])-1)/(Backend!$B$4/100*Table1[[#This Row],[BW40_3705]]),"")</f>
        <v/>
      </c>
      <c r="J9178" s="7" t="str">
        <f>IF(Table1[[#This Row],[Is Data Valid]]=TRUE,_xlfn.NORM.S.DIST(Table1[[#This Row],[Birthweight Z-Score]],TRUE)*100,"")</f>
        <v/>
      </c>
      <c r="K9178" s="7" t="str">
        <f>IF(Table1[[#This Row],[Is Data Valid]]=TRUE,_xlfn.NORM.S.DIST(Table1[[#This Row],[Birthweight Z-Score (BW-10%)]],TRUE)*100,"")</f>
        <v/>
      </c>
      <c r="L9178" s="7" t="str">
        <f>IF(Table1[[#This Row],[Is Data Valid]]=TRUE,_xlfn.NORM.S.DIST(Table1[[#This Row],[Birthweight Z-Score (BW+10%)]],TRUE)*100,"")</f>
        <v/>
      </c>
    </row>
    <row r="9179" spans="1:12" x14ac:dyDescent="0.35">
      <c r="A9179" s="3"/>
      <c r="B9179" s="2"/>
      <c r="C9179" s="2"/>
      <c r="D9179" s="2" t="b">
        <f>IF(AND(NOT(ISBLANK(Table1[[#This Row],[Fetal Sex (Male, Female or Unknown)]])),ISNUMBER(Table1[[#This Row],[Birthweight (grams)]]),ISNUMBER(Table1[[#This Row],[Gestation (days)]])),TRUE,FALSE)</f>
        <v>0</v>
      </c>
      <c r="E9179" s="2" t="str">
        <f>IF(Table1[[#This Row],[Is Data Valid]]=TRUE,IF(Table1[[#This Row],[Fetal Sex (Male, Female or Unknown)]]="Male",Backend!$C$6,IF(Table1[[#This Row],[Fetal Sex (Male, Female or Unknown)]]="Female",Backend!$C$7,IF(Table1[[#This Row],[Fetal Sex (Male, Female or Unknown)]]="Unknown",Backend!$C$8,"Error"))),"")</f>
        <v/>
      </c>
      <c r="F9179" s="8" t="str">
        <f>IF(Table1[[#This Row],[Is Data Valid]]=TRUE,EXP(0.578+0.332*((Table1[[#This Row],[Gestation (days)]]+0.5)/7)-0.00354*((Table1[[#This Row],[Gestation (days)]]+0.5)/7)^2)*Table1[[#This Row],[BW40_3705]],"")</f>
        <v/>
      </c>
      <c r="G9179" s="2" t="str">
        <f>IF(Table1[[#This Row],[Is Data Valid]]=TRUE,((Table1[[#This Row],[Birthweight (grams)]]/Table1[[#This Row],[BW_GA]])-1)/(Backend!$B$4/100*Table1[[#This Row],[BW40_3705]]),"")</f>
        <v/>
      </c>
      <c r="H9179" s="7" t="str">
        <f>IF(Table1[[#This Row],[Is Data Valid]]=TRUE,((Table1[[#This Row],[Birthweight (grams)]]*0.9/Table1[[#This Row],[BW_GA]])-1)/(Backend!$B$4/100*Table1[[#This Row],[BW40_3705]]),"")</f>
        <v/>
      </c>
      <c r="I9179" s="7" t="str">
        <f>IF(Table1[[#This Row],[Is Data Valid]]=TRUE,((Table1[[#This Row],[Birthweight (grams)]]*1.1/Table1[[#This Row],[BW_GA]])-1)/(Backend!$B$4/100*Table1[[#This Row],[BW40_3705]]),"")</f>
        <v/>
      </c>
      <c r="J9179" s="7" t="str">
        <f>IF(Table1[[#This Row],[Is Data Valid]]=TRUE,_xlfn.NORM.S.DIST(Table1[[#This Row],[Birthweight Z-Score]],TRUE)*100,"")</f>
        <v/>
      </c>
      <c r="K9179" s="7" t="str">
        <f>IF(Table1[[#This Row],[Is Data Valid]]=TRUE,_xlfn.NORM.S.DIST(Table1[[#This Row],[Birthweight Z-Score (BW-10%)]],TRUE)*100,"")</f>
        <v/>
      </c>
      <c r="L9179" s="7" t="str">
        <f>IF(Table1[[#This Row],[Is Data Valid]]=TRUE,_xlfn.NORM.S.DIST(Table1[[#This Row],[Birthweight Z-Score (BW+10%)]],TRUE)*100,"")</f>
        <v/>
      </c>
    </row>
    <row r="9180" spans="1:12" x14ac:dyDescent="0.35">
      <c r="A9180" s="3"/>
      <c r="B9180" s="2"/>
      <c r="C9180" s="2"/>
      <c r="D9180" s="2" t="b">
        <f>IF(AND(NOT(ISBLANK(Table1[[#This Row],[Fetal Sex (Male, Female or Unknown)]])),ISNUMBER(Table1[[#This Row],[Birthweight (grams)]]),ISNUMBER(Table1[[#This Row],[Gestation (days)]])),TRUE,FALSE)</f>
        <v>0</v>
      </c>
      <c r="E9180" s="2" t="str">
        <f>IF(Table1[[#This Row],[Is Data Valid]]=TRUE,IF(Table1[[#This Row],[Fetal Sex (Male, Female or Unknown)]]="Male",Backend!$C$6,IF(Table1[[#This Row],[Fetal Sex (Male, Female or Unknown)]]="Female",Backend!$C$7,IF(Table1[[#This Row],[Fetal Sex (Male, Female or Unknown)]]="Unknown",Backend!$C$8,"Error"))),"")</f>
        <v/>
      </c>
      <c r="F9180" s="8" t="str">
        <f>IF(Table1[[#This Row],[Is Data Valid]]=TRUE,EXP(0.578+0.332*((Table1[[#This Row],[Gestation (days)]]+0.5)/7)-0.00354*((Table1[[#This Row],[Gestation (days)]]+0.5)/7)^2)*Table1[[#This Row],[BW40_3705]],"")</f>
        <v/>
      </c>
      <c r="G9180" s="2" t="str">
        <f>IF(Table1[[#This Row],[Is Data Valid]]=TRUE,((Table1[[#This Row],[Birthweight (grams)]]/Table1[[#This Row],[BW_GA]])-1)/(Backend!$B$4/100*Table1[[#This Row],[BW40_3705]]),"")</f>
        <v/>
      </c>
      <c r="H9180" s="7" t="str">
        <f>IF(Table1[[#This Row],[Is Data Valid]]=TRUE,((Table1[[#This Row],[Birthweight (grams)]]*0.9/Table1[[#This Row],[BW_GA]])-1)/(Backend!$B$4/100*Table1[[#This Row],[BW40_3705]]),"")</f>
        <v/>
      </c>
      <c r="I9180" s="7" t="str">
        <f>IF(Table1[[#This Row],[Is Data Valid]]=TRUE,((Table1[[#This Row],[Birthweight (grams)]]*1.1/Table1[[#This Row],[BW_GA]])-1)/(Backend!$B$4/100*Table1[[#This Row],[BW40_3705]]),"")</f>
        <v/>
      </c>
      <c r="J9180" s="7" t="str">
        <f>IF(Table1[[#This Row],[Is Data Valid]]=TRUE,_xlfn.NORM.S.DIST(Table1[[#This Row],[Birthweight Z-Score]],TRUE)*100,"")</f>
        <v/>
      </c>
      <c r="K9180" s="7" t="str">
        <f>IF(Table1[[#This Row],[Is Data Valid]]=TRUE,_xlfn.NORM.S.DIST(Table1[[#This Row],[Birthweight Z-Score (BW-10%)]],TRUE)*100,"")</f>
        <v/>
      </c>
      <c r="L9180" s="7" t="str">
        <f>IF(Table1[[#This Row],[Is Data Valid]]=TRUE,_xlfn.NORM.S.DIST(Table1[[#This Row],[Birthweight Z-Score (BW+10%)]],TRUE)*100,"")</f>
        <v/>
      </c>
    </row>
    <row r="9181" spans="1:12" x14ac:dyDescent="0.35">
      <c r="A9181" s="3"/>
      <c r="B9181" s="2"/>
      <c r="C9181" s="2"/>
      <c r="D9181" s="2" t="b">
        <f>IF(AND(NOT(ISBLANK(Table1[[#This Row],[Fetal Sex (Male, Female or Unknown)]])),ISNUMBER(Table1[[#This Row],[Birthweight (grams)]]),ISNUMBER(Table1[[#This Row],[Gestation (days)]])),TRUE,FALSE)</f>
        <v>0</v>
      </c>
      <c r="E9181" s="2" t="str">
        <f>IF(Table1[[#This Row],[Is Data Valid]]=TRUE,IF(Table1[[#This Row],[Fetal Sex (Male, Female or Unknown)]]="Male",Backend!$C$6,IF(Table1[[#This Row],[Fetal Sex (Male, Female or Unknown)]]="Female",Backend!$C$7,IF(Table1[[#This Row],[Fetal Sex (Male, Female or Unknown)]]="Unknown",Backend!$C$8,"Error"))),"")</f>
        <v/>
      </c>
      <c r="F9181" s="8" t="str">
        <f>IF(Table1[[#This Row],[Is Data Valid]]=TRUE,EXP(0.578+0.332*((Table1[[#This Row],[Gestation (days)]]+0.5)/7)-0.00354*((Table1[[#This Row],[Gestation (days)]]+0.5)/7)^2)*Table1[[#This Row],[BW40_3705]],"")</f>
        <v/>
      </c>
      <c r="G9181" s="2" t="str">
        <f>IF(Table1[[#This Row],[Is Data Valid]]=TRUE,((Table1[[#This Row],[Birthweight (grams)]]/Table1[[#This Row],[BW_GA]])-1)/(Backend!$B$4/100*Table1[[#This Row],[BW40_3705]]),"")</f>
        <v/>
      </c>
      <c r="H9181" s="7" t="str">
        <f>IF(Table1[[#This Row],[Is Data Valid]]=TRUE,((Table1[[#This Row],[Birthweight (grams)]]*0.9/Table1[[#This Row],[BW_GA]])-1)/(Backend!$B$4/100*Table1[[#This Row],[BW40_3705]]),"")</f>
        <v/>
      </c>
      <c r="I9181" s="7" t="str">
        <f>IF(Table1[[#This Row],[Is Data Valid]]=TRUE,((Table1[[#This Row],[Birthweight (grams)]]*1.1/Table1[[#This Row],[BW_GA]])-1)/(Backend!$B$4/100*Table1[[#This Row],[BW40_3705]]),"")</f>
        <v/>
      </c>
      <c r="J9181" s="7" t="str">
        <f>IF(Table1[[#This Row],[Is Data Valid]]=TRUE,_xlfn.NORM.S.DIST(Table1[[#This Row],[Birthweight Z-Score]],TRUE)*100,"")</f>
        <v/>
      </c>
      <c r="K9181" s="7" t="str">
        <f>IF(Table1[[#This Row],[Is Data Valid]]=TRUE,_xlfn.NORM.S.DIST(Table1[[#This Row],[Birthweight Z-Score (BW-10%)]],TRUE)*100,"")</f>
        <v/>
      </c>
      <c r="L9181" s="7" t="str">
        <f>IF(Table1[[#This Row],[Is Data Valid]]=TRUE,_xlfn.NORM.S.DIST(Table1[[#This Row],[Birthweight Z-Score (BW+10%)]],TRUE)*100,"")</f>
        <v/>
      </c>
    </row>
    <row r="9182" spans="1:12" x14ac:dyDescent="0.35">
      <c r="A9182" s="3"/>
      <c r="B9182" s="2"/>
      <c r="C9182" s="2"/>
      <c r="D9182" s="2" t="b">
        <f>IF(AND(NOT(ISBLANK(Table1[[#This Row],[Fetal Sex (Male, Female or Unknown)]])),ISNUMBER(Table1[[#This Row],[Birthweight (grams)]]),ISNUMBER(Table1[[#This Row],[Gestation (days)]])),TRUE,FALSE)</f>
        <v>0</v>
      </c>
      <c r="E9182" s="2" t="str">
        <f>IF(Table1[[#This Row],[Is Data Valid]]=TRUE,IF(Table1[[#This Row],[Fetal Sex (Male, Female or Unknown)]]="Male",Backend!$C$6,IF(Table1[[#This Row],[Fetal Sex (Male, Female or Unknown)]]="Female",Backend!$C$7,IF(Table1[[#This Row],[Fetal Sex (Male, Female or Unknown)]]="Unknown",Backend!$C$8,"Error"))),"")</f>
        <v/>
      </c>
      <c r="F9182" s="8" t="str">
        <f>IF(Table1[[#This Row],[Is Data Valid]]=TRUE,EXP(0.578+0.332*((Table1[[#This Row],[Gestation (days)]]+0.5)/7)-0.00354*((Table1[[#This Row],[Gestation (days)]]+0.5)/7)^2)*Table1[[#This Row],[BW40_3705]],"")</f>
        <v/>
      </c>
      <c r="G9182" s="2" t="str">
        <f>IF(Table1[[#This Row],[Is Data Valid]]=TRUE,((Table1[[#This Row],[Birthweight (grams)]]/Table1[[#This Row],[BW_GA]])-1)/(Backend!$B$4/100*Table1[[#This Row],[BW40_3705]]),"")</f>
        <v/>
      </c>
      <c r="H9182" s="7" t="str">
        <f>IF(Table1[[#This Row],[Is Data Valid]]=TRUE,((Table1[[#This Row],[Birthweight (grams)]]*0.9/Table1[[#This Row],[BW_GA]])-1)/(Backend!$B$4/100*Table1[[#This Row],[BW40_3705]]),"")</f>
        <v/>
      </c>
      <c r="I9182" s="7" t="str">
        <f>IF(Table1[[#This Row],[Is Data Valid]]=TRUE,((Table1[[#This Row],[Birthweight (grams)]]*1.1/Table1[[#This Row],[BW_GA]])-1)/(Backend!$B$4/100*Table1[[#This Row],[BW40_3705]]),"")</f>
        <v/>
      </c>
      <c r="J9182" s="7" t="str">
        <f>IF(Table1[[#This Row],[Is Data Valid]]=TRUE,_xlfn.NORM.S.DIST(Table1[[#This Row],[Birthweight Z-Score]],TRUE)*100,"")</f>
        <v/>
      </c>
      <c r="K9182" s="7" t="str">
        <f>IF(Table1[[#This Row],[Is Data Valid]]=TRUE,_xlfn.NORM.S.DIST(Table1[[#This Row],[Birthweight Z-Score (BW-10%)]],TRUE)*100,"")</f>
        <v/>
      </c>
      <c r="L9182" s="7" t="str">
        <f>IF(Table1[[#This Row],[Is Data Valid]]=TRUE,_xlfn.NORM.S.DIST(Table1[[#This Row],[Birthweight Z-Score (BW+10%)]],TRUE)*100,"")</f>
        <v/>
      </c>
    </row>
    <row r="9183" spans="1:12" x14ac:dyDescent="0.35">
      <c r="A9183" s="3"/>
      <c r="B9183" s="2"/>
      <c r="C9183" s="2"/>
      <c r="D9183" s="2" t="b">
        <f>IF(AND(NOT(ISBLANK(Table1[[#This Row],[Fetal Sex (Male, Female or Unknown)]])),ISNUMBER(Table1[[#This Row],[Birthweight (grams)]]),ISNUMBER(Table1[[#This Row],[Gestation (days)]])),TRUE,FALSE)</f>
        <v>0</v>
      </c>
      <c r="E9183" s="2" t="str">
        <f>IF(Table1[[#This Row],[Is Data Valid]]=TRUE,IF(Table1[[#This Row],[Fetal Sex (Male, Female or Unknown)]]="Male",Backend!$C$6,IF(Table1[[#This Row],[Fetal Sex (Male, Female or Unknown)]]="Female",Backend!$C$7,IF(Table1[[#This Row],[Fetal Sex (Male, Female or Unknown)]]="Unknown",Backend!$C$8,"Error"))),"")</f>
        <v/>
      </c>
      <c r="F9183" s="8" t="str">
        <f>IF(Table1[[#This Row],[Is Data Valid]]=TRUE,EXP(0.578+0.332*((Table1[[#This Row],[Gestation (days)]]+0.5)/7)-0.00354*((Table1[[#This Row],[Gestation (days)]]+0.5)/7)^2)*Table1[[#This Row],[BW40_3705]],"")</f>
        <v/>
      </c>
      <c r="G9183" s="2" t="str">
        <f>IF(Table1[[#This Row],[Is Data Valid]]=TRUE,((Table1[[#This Row],[Birthweight (grams)]]/Table1[[#This Row],[BW_GA]])-1)/(Backend!$B$4/100*Table1[[#This Row],[BW40_3705]]),"")</f>
        <v/>
      </c>
      <c r="H9183" s="7" t="str">
        <f>IF(Table1[[#This Row],[Is Data Valid]]=TRUE,((Table1[[#This Row],[Birthweight (grams)]]*0.9/Table1[[#This Row],[BW_GA]])-1)/(Backend!$B$4/100*Table1[[#This Row],[BW40_3705]]),"")</f>
        <v/>
      </c>
      <c r="I9183" s="7" t="str">
        <f>IF(Table1[[#This Row],[Is Data Valid]]=TRUE,((Table1[[#This Row],[Birthweight (grams)]]*1.1/Table1[[#This Row],[BW_GA]])-1)/(Backend!$B$4/100*Table1[[#This Row],[BW40_3705]]),"")</f>
        <v/>
      </c>
      <c r="J9183" s="7" t="str">
        <f>IF(Table1[[#This Row],[Is Data Valid]]=TRUE,_xlfn.NORM.S.DIST(Table1[[#This Row],[Birthweight Z-Score]],TRUE)*100,"")</f>
        <v/>
      </c>
      <c r="K9183" s="7" t="str">
        <f>IF(Table1[[#This Row],[Is Data Valid]]=TRUE,_xlfn.NORM.S.DIST(Table1[[#This Row],[Birthweight Z-Score (BW-10%)]],TRUE)*100,"")</f>
        <v/>
      </c>
      <c r="L9183" s="7" t="str">
        <f>IF(Table1[[#This Row],[Is Data Valid]]=TRUE,_xlfn.NORM.S.DIST(Table1[[#This Row],[Birthweight Z-Score (BW+10%)]],TRUE)*100,"")</f>
        <v/>
      </c>
    </row>
    <row r="9184" spans="1:12" x14ac:dyDescent="0.35">
      <c r="A9184" s="3"/>
      <c r="B9184" s="2"/>
      <c r="C9184" s="2"/>
      <c r="D9184" s="2" t="b">
        <f>IF(AND(NOT(ISBLANK(Table1[[#This Row],[Fetal Sex (Male, Female or Unknown)]])),ISNUMBER(Table1[[#This Row],[Birthweight (grams)]]),ISNUMBER(Table1[[#This Row],[Gestation (days)]])),TRUE,FALSE)</f>
        <v>0</v>
      </c>
      <c r="E9184" s="2" t="str">
        <f>IF(Table1[[#This Row],[Is Data Valid]]=TRUE,IF(Table1[[#This Row],[Fetal Sex (Male, Female or Unknown)]]="Male",Backend!$C$6,IF(Table1[[#This Row],[Fetal Sex (Male, Female or Unknown)]]="Female",Backend!$C$7,IF(Table1[[#This Row],[Fetal Sex (Male, Female or Unknown)]]="Unknown",Backend!$C$8,"Error"))),"")</f>
        <v/>
      </c>
      <c r="F9184" s="8" t="str">
        <f>IF(Table1[[#This Row],[Is Data Valid]]=TRUE,EXP(0.578+0.332*((Table1[[#This Row],[Gestation (days)]]+0.5)/7)-0.00354*((Table1[[#This Row],[Gestation (days)]]+0.5)/7)^2)*Table1[[#This Row],[BW40_3705]],"")</f>
        <v/>
      </c>
      <c r="G9184" s="2" t="str">
        <f>IF(Table1[[#This Row],[Is Data Valid]]=TRUE,((Table1[[#This Row],[Birthweight (grams)]]/Table1[[#This Row],[BW_GA]])-1)/(Backend!$B$4/100*Table1[[#This Row],[BW40_3705]]),"")</f>
        <v/>
      </c>
      <c r="H9184" s="7" t="str">
        <f>IF(Table1[[#This Row],[Is Data Valid]]=TRUE,((Table1[[#This Row],[Birthweight (grams)]]*0.9/Table1[[#This Row],[BW_GA]])-1)/(Backend!$B$4/100*Table1[[#This Row],[BW40_3705]]),"")</f>
        <v/>
      </c>
      <c r="I9184" s="7" t="str">
        <f>IF(Table1[[#This Row],[Is Data Valid]]=TRUE,((Table1[[#This Row],[Birthweight (grams)]]*1.1/Table1[[#This Row],[BW_GA]])-1)/(Backend!$B$4/100*Table1[[#This Row],[BW40_3705]]),"")</f>
        <v/>
      </c>
      <c r="J9184" s="7" t="str">
        <f>IF(Table1[[#This Row],[Is Data Valid]]=TRUE,_xlfn.NORM.S.DIST(Table1[[#This Row],[Birthweight Z-Score]],TRUE)*100,"")</f>
        <v/>
      </c>
      <c r="K9184" s="7" t="str">
        <f>IF(Table1[[#This Row],[Is Data Valid]]=TRUE,_xlfn.NORM.S.DIST(Table1[[#This Row],[Birthweight Z-Score (BW-10%)]],TRUE)*100,"")</f>
        <v/>
      </c>
      <c r="L9184" s="7" t="str">
        <f>IF(Table1[[#This Row],[Is Data Valid]]=TRUE,_xlfn.NORM.S.DIST(Table1[[#This Row],[Birthweight Z-Score (BW+10%)]],TRUE)*100,"")</f>
        <v/>
      </c>
    </row>
    <row r="9185" spans="1:12" x14ac:dyDescent="0.35">
      <c r="A9185" s="3"/>
      <c r="B9185" s="2"/>
      <c r="C9185" s="2"/>
      <c r="D9185" s="2" t="b">
        <f>IF(AND(NOT(ISBLANK(Table1[[#This Row],[Fetal Sex (Male, Female or Unknown)]])),ISNUMBER(Table1[[#This Row],[Birthweight (grams)]]),ISNUMBER(Table1[[#This Row],[Gestation (days)]])),TRUE,FALSE)</f>
        <v>0</v>
      </c>
      <c r="E9185" s="2" t="str">
        <f>IF(Table1[[#This Row],[Is Data Valid]]=TRUE,IF(Table1[[#This Row],[Fetal Sex (Male, Female or Unknown)]]="Male",Backend!$C$6,IF(Table1[[#This Row],[Fetal Sex (Male, Female or Unknown)]]="Female",Backend!$C$7,IF(Table1[[#This Row],[Fetal Sex (Male, Female or Unknown)]]="Unknown",Backend!$C$8,"Error"))),"")</f>
        <v/>
      </c>
      <c r="F9185" s="8" t="str">
        <f>IF(Table1[[#This Row],[Is Data Valid]]=TRUE,EXP(0.578+0.332*((Table1[[#This Row],[Gestation (days)]]+0.5)/7)-0.00354*((Table1[[#This Row],[Gestation (days)]]+0.5)/7)^2)*Table1[[#This Row],[BW40_3705]],"")</f>
        <v/>
      </c>
      <c r="G9185" s="2" t="str">
        <f>IF(Table1[[#This Row],[Is Data Valid]]=TRUE,((Table1[[#This Row],[Birthweight (grams)]]/Table1[[#This Row],[BW_GA]])-1)/(Backend!$B$4/100*Table1[[#This Row],[BW40_3705]]),"")</f>
        <v/>
      </c>
      <c r="H9185" s="7" t="str">
        <f>IF(Table1[[#This Row],[Is Data Valid]]=TRUE,((Table1[[#This Row],[Birthweight (grams)]]*0.9/Table1[[#This Row],[BW_GA]])-1)/(Backend!$B$4/100*Table1[[#This Row],[BW40_3705]]),"")</f>
        <v/>
      </c>
      <c r="I9185" s="7" t="str">
        <f>IF(Table1[[#This Row],[Is Data Valid]]=TRUE,((Table1[[#This Row],[Birthweight (grams)]]*1.1/Table1[[#This Row],[BW_GA]])-1)/(Backend!$B$4/100*Table1[[#This Row],[BW40_3705]]),"")</f>
        <v/>
      </c>
      <c r="J9185" s="7" t="str">
        <f>IF(Table1[[#This Row],[Is Data Valid]]=TRUE,_xlfn.NORM.S.DIST(Table1[[#This Row],[Birthweight Z-Score]],TRUE)*100,"")</f>
        <v/>
      </c>
      <c r="K9185" s="7" t="str">
        <f>IF(Table1[[#This Row],[Is Data Valid]]=TRUE,_xlfn.NORM.S.DIST(Table1[[#This Row],[Birthweight Z-Score (BW-10%)]],TRUE)*100,"")</f>
        <v/>
      </c>
      <c r="L9185" s="7" t="str">
        <f>IF(Table1[[#This Row],[Is Data Valid]]=TRUE,_xlfn.NORM.S.DIST(Table1[[#This Row],[Birthweight Z-Score (BW+10%)]],TRUE)*100,"")</f>
        <v/>
      </c>
    </row>
    <row r="9186" spans="1:12" x14ac:dyDescent="0.35">
      <c r="A9186" s="3"/>
      <c r="B9186" s="2"/>
      <c r="C9186" s="2"/>
      <c r="D9186" s="2" t="b">
        <f>IF(AND(NOT(ISBLANK(Table1[[#This Row],[Fetal Sex (Male, Female or Unknown)]])),ISNUMBER(Table1[[#This Row],[Birthweight (grams)]]),ISNUMBER(Table1[[#This Row],[Gestation (days)]])),TRUE,FALSE)</f>
        <v>0</v>
      </c>
      <c r="E9186" s="2" t="str">
        <f>IF(Table1[[#This Row],[Is Data Valid]]=TRUE,IF(Table1[[#This Row],[Fetal Sex (Male, Female or Unknown)]]="Male",Backend!$C$6,IF(Table1[[#This Row],[Fetal Sex (Male, Female or Unknown)]]="Female",Backend!$C$7,IF(Table1[[#This Row],[Fetal Sex (Male, Female or Unknown)]]="Unknown",Backend!$C$8,"Error"))),"")</f>
        <v/>
      </c>
      <c r="F9186" s="8" t="str">
        <f>IF(Table1[[#This Row],[Is Data Valid]]=TRUE,EXP(0.578+0.332*((Table1[[#This Row],[Gestation (days)]]+0.5)/7)-0.00354*((Table1[[#This Row],[Gestation (days)]]+0.5)/7)^2)*Table1[[#This Row],[BW40_3705]],"")</f>
        <v/>
      </c>
      <c r="G9186" s="2" t="str">
        <f>IF(Table1[[#This Row],[Is Data Valid]]=TRUE,((Table1[[#This Row],[Birthweight (grams)]]/Table1[[#This Row],[BW_GA]])-1)/(Backend!$B$4/100*Table1[[#This Row],[BW40_3705]]),"")</f>
        <v/>
      </c>
      <c r="H9186" s="7" t="str">
        <f>IF(Table1[[#This Row],[Is Data Valid]]=TRUE,((Table1[[#This Row],[Birthweight (grams)]]*0.9/Table1[[#This Row],[BW_GA]])-1)/(Backend!$B$4/100*Table1[[#This Row],[BW40_3705]]),"")</f>
        <v/>
      </c>
      <c r="I9186" s="7" t="str">
        <f>IF(Table1[[#This Row],[Is Data Valid]]=TRUE,((Table1[[#This Row],[Birthweight (grams)]]*1.1/Table1[[#This Row],[BW_GA]])-1)/(Backend!$B$4/100*Table1[[#This Row],[BW40_3705]]),"")</f>
        <v/>
      </c>
      <c r="J9186" s="7" t="str">
        <f>IF(Table1[[#This Row],[Is Data Valid]]=TRUE,_xlfn.NORM.S.DIST(Table1[[#This Row],[Birthweight Z-Score]],TRUE)*100,"")</f>
        <v/>
      </c>
      <c r="K9186" s="7" t="str">
        <f>IF(Table1[[#This Row],[Is Data Valid]]=TRUE,_xlfn.NORM.S.DIST(Table1[[#This Row],[Birthweight Z-Score (BW-10%)]],TRUE)*100,"")</f>
        <v/>
      </c>
      <c r="L9186" s="7" t="str">
        <f>IF(Table1[[#This Row],[Is Data Valid]]=TRUE,_xlfn.NORM.S.DIST(Table1[[#This Row],[Birthweight Z-Score (BW+10%)]],TRUE)*100,"")</f>
        <v/>
      </c>
    </row>
    <row r="9187" spans="1:12" x14ac:dyDescent="0.35">
      <c r="A9187" s="3"/>
      <c r="B9187" s="2"/>
      <c r="C9187" s="2"/>
      <c r="D9187" s="2" t="b">
        <f>IF(AND(NOT(ISBLANK(Table1[[#This Row],[Fetal Sex (Male, Female or Unknown)]])),ISNUMBER(Table1[[#This Row],[Birthweight (grams)]]),ISNUMBER(Table1[[#This Row],[Gestation (days)]])),TRUE,FALSE)</f>
        <v>0</v>
      </c>
      <c r="E9187" s="2" t="str">
        <f>IF(Table1[[#This Row],[Is Data Valid]]=TRUE,IF(Table1[[#This Row],[Fetal Sex (Male, Female or Unknown)]]="Male",Backend!$C$6,IF(Table1[[#This Row],[Fetal Sex (Male, Female or Unknown)]]="Female",Backend!$C$7,IF(Table1[[#This Row],[Fetal Sex (Male, Female or Unknown)]]="Unknown",Backend!$C$8,"Error"))),"")</f>
        <v/>
      </c>
      <c r="F9187" s="8" t="str">
        <f>IF(Table1[[#This Row],[Is Data Valid]]=TRUE,EXP(0.578+0.332*((Table1[[#This Row],[Gestation (days)]]+0.5)/7)-0.00354*((Table1[[#This Row],[Gestation (days)]]+0.5)/7)^2)*Table1[[#This Row],[BW40_3705]],"")</f>
        <v/>
      </c>
      <c r="G9187" s="2" t="str">
        <f>IF(Table1[[#This Row],[Is Data Valid]]=TRUE,((Table1[[#This Row],[Birthweight (grams)]]/Table1[[#This Row],[BW_GA]])-1)/(Backend!$B$4/100*Table1[[#This Row],[BW40_3705]]),"")</f>
        <v/>
      </c>
      <c r="H9187" s="7" t="str">
        <f>IF(Table1[[#This Row],[Is Data Valid]]=TRUE,((Table1[[#This Row],[Birthweight (grams)]]*0.9/Table1[[#This Row],[BW_GA]])-1)/(Backend!$B$4/100*Table1[[#This Row],[BW40_3705]]),"")</f>
        <v/>
      </c>
      <c r="I9187" s="7" t="str">
        <f>IF(Table1[[#This Row],[Is Data Valid]]=TRUE,((Table1[[#This Row],[Birthweight (grams)]]*1.1/Table1[[#This Row],[BW_GA]])-1)/(Backend!$B$4/100*Table1[[#This Row],[BW40_3705]]),"")</f>
        <v/>
      </c>
      <c r="J9187" s="7" t="str">
        <f>IF(Table1[[#This Row],[Is Data Valid]]=TRUE,_xlfn.NORM.S.DIST(Table1[[#This Row],[Birthweight Z-Score]],TRUE)*100,"")</f>
        <v/>
      </c>
      <c r="K9187" s="7" t="str">
        <f>IF(Table1[[#This Row],[Is Data Valid]]=TRUE,_xlfn.NORM.S.DIST(Table1[[#This Row],[Birthweight Z-Score (BW-10%)]],TRUE)*100,"")</f>
        <v/>
      </c>
      <c r="L9187" s="7" t="str">
        <f>IF(Table1[[#This Row],[Is Data Valid]]=TRUE,_xlfn.NORM.S.DIST(Table1[[#This Row],[Birthweight Z-Score (BW+10%)]],TRUE)*100,"")</f>
        <v/>
      </c>
    </row>
    <row r="9188" spans="1:12" x14ac:dyDescent="0.35">
      <c r="A9188" s="3"/>
      <c r="B9188" s="2"/>
      <c r="C9188" s="2"/>
      <c r="D9188" s="2" t="b">
        <f>IF(AND(NOT(ISBLANK(Table1[[#This Row],[Fetal Sex (Male, Female or Unknown)]])),ISNUMBER(Table1[[#This Row],[Birthweight (grams)]]),ISNUMBER(Table1[[#This Row],[Gestation (days)]])),TRUE,FALSE)</f>
        <v>0</v>
      </c>
      <c r="E9188" s="2" t="str">
        <f>IF(Table1[[#This Row],[Is Data Valid]]=TRUE,IF(Table1[[#This Row],[Fetal Sex (Male, Female or Unknown)]]="Male",Backend!$C$6,IF(Table1[[#This Row],[Fetal Sex (Male, Female or Unknown)]]="Female",Backend!$C$7,IF(Table1[[#This Row],[Fetal Sex (Male, Female or Unknown)]]="Unknown",Backend!$C$8,"Error"))),"")</f>
        <v/>
      </c>
      <c r="F9188" s="8" t="str">
        <f>IF(Table1[[#This Row],[Is Data Valid]]=TRUE,EXP(0.578+0.332*((Table1[[#This Row],[Gestation (days)]]+0.5)/7)-0.00354*((Table1[[#This Row],[Gestation (days)]]+0.5)/7)^2)*Table1[[#This Row],[BW40_3705]],"")</f>
        <v/>
      </c>
      <c r="G9188" s="2" t="str">
        <f>IF(Table1[[#This Row],[Is Data Valid]]=TRUE,((Table1[[#This Row],[Birthweight (grams)]]/Table1[[#This Row],[BW_GA]])-1)/(Backend!$B$4/100*Table1[[#This Row],[BW40_3705]]),"")</f>
        <v/>
      </c>
      <c r="H9188" s="7" t="str">
        <f>IF(Table1[[#This Row],[Is Data Valid]]=TRUE,((Table1[[#This Row],[Birthweight (grams)]]*0.9/Table1[[#This Row],[BW_GA]])-1)/(Backend!$B$4/100*Table1[[#This Row],[BW40_3705]]),"")</f>
        <v/>
      </c>
      <c r="I9188" s="7" t="str">
        <f>IF(Table1[[#This Row],[Is Data Valid]]=TRUE,((Table1[[#This Row],[Birthweight (grams)]]*1.1/Table1[[#This Row],[BW_GA]])-1)/(Backend!$B$4/100*Table1[[#This Row],[BW40_3705]]),"")</f>
        <v/>
      </c>
      <c r="J9188" s="7" t="str">
        <f>IF(Table1[[#This Row],[Is Data Valid]]=TRUE,_xlfn.NORM.S.DIST(Table1[[#This Row],[Birthweight Z-Score]],TRUE)*100,"")</f>
        <v/>
      </c>
      <c r="K9188" s="7" t="str">
        <f>IF(Table1[[#This Row],[Is Data Valid]]=TRUE,_xlfn.NORM.S.DIST(Table1[[#This Row],[Birthweight Z-Score (BW-10%)]],TRUE)*100,"")</f>
        <v/>
      </c>
      <c r="L9188" s="7" t="str">
        <f>IF(Table1[[#This Row],[Is Data Valid]]=TRUE,_xlfn.NORM.S.DIST(Table1[[#This Row],[Birthweight Z-Score (BW+10%)]],TRUE)*100,"")</f>
        <v/>
      </c>
    </row>
    <row r="9189" spans="1:12" x14ac:dyDescent="0.35">
      <c r="A9189" s="3"/>
      <c r="B9189" s="2"/>
      <c r="C9189" s="2"/>
      <c r="D9189" s="2" t="b">
        <f>IF(AND(NOT(ISBLANK(Table1[[#This Row],[Fetal Sex (Male, Female or Unknown)]])),ISNUMBER(Table1[[#This Row],[Birthweight (grams)]]),ISNUMBER(Table1[[#This Row],[Gestation (days)]])),TRUE,FALSE)</f>
        <v>0</v>
      </c>
      <c r="E9189" s="2" t="str">
        <f>IF(Table1[[#This Row],[Is Data Valid]]=TRUE,IF(Table1[[#This Row],[Fetal Sex (Male, Female or Unknown)]]="Male",Backend!$C$6,IF(Table1[[#This Row],[Fetal Sex (Male, Female or Unknown)]]="Female",Backend!$C$7,IF(Table1[[#This Row],[Fetal Sex (Male, Female or Unknown)]]="Unknown",Backend!$C$8,"Error"))),"")</f>
        <v/>
      </c>
      <c r="F9189" s="8" t="str">
        <f>IF(Table1[[#This Row],[Is Data Valid]]=TRUE,EXP(0.578+0.332*((Table1[[#This Row],[Gestation (days)]]+0.5)/7)-0.00354*((Table1[[#This Row],[Gestation (days)]]+0.5)/7)^2)*Table1[[#This Row],[BW40_3705]],"")</f>
        <v/>
      </c>
      <c r="G9189" s="2" t="str">
        <f>IF(Table1[[#This Row],[Is Data Valid]]=TRUE,((Table1[[#This Row],[Birthweight (grams)]]/Table1[[#This Row],[BW_GA]])-1)/(Backend!$B$4/100*Table1[[#This Row],[BW40_3705]]),"")</f>
        <v/>
      </c>
      <c r="H9189" s="7" t="str">
        <f>IF(Table1[[#This Row],[Is Data Valid]]=TRUE,((Table1[[#This Row],[Birthweight (grams)]]*0.9/Table1[[#This Row],[BW_GA]])-1)/(Backend!$B$4/100*Table1[[#This Row],[BW40_3705]]),"")</f>
        <v/>
      </c>
      <c r="I9189" s="7" t="str">
        <f>IF(Table1[[#This Row],[Is Data Valid]]=TRUE,((Table1[[#This Row],[Birthweight (grams)]]*1.1/Table1[[#This Row],[BW_GA]])-1)/(Backend!$B$4/100*Table1[[#This Row],[BW40_3705]]),"")</f>
        <v/>
      </c>
      <c r="J9189" s="7" t="str">
        <f>IF(Table1[[#This Row],[Is Data Valid]]=TRUE,_xlfn.NORM.S.DIST(Table1[[#This Row],[Birthweight Z-Score]],TRUE)*100,"")</f>
        <v/>
      </c>
      <c r="K9189" s="7" t="str">
        <f>IF(Table1[[#This Row],[Is Data Valid]]=TRUE,_xlfn.NORM.S.DIST(Table1[[#This Row],[Birthweight Z-Score (BW-10%)]],TRUE)*100,"")</f>
        <v/>
      </c>
      <c r="L9189" s="7" t="str">
        <f>IF(Table1[[#This Row],[Is Data Valid]]=TRUE,_xlfn.NORM.S.DIST(Table1[[#This Row],[Birthweight Z-Score (BW+10%)]],TRUE)*100,"")</f>
        <v/>
      </c>
    </row>
    <row r="9190" spans="1:12" x14ac:dyDescent="0.35">
      <c r="A9190" s="3"/>
      <c r="B9190" s="2"/>
      <c r="C9190" s="2"/>
      <c r="D9190" s="2" t="b">
        <f>IF(AND(NOT(ISBLANK(Table1[[#This Row],[Fetal Sex (Male, Female or Unknown)]])),ISNUMBER(Table1[[#This Row],[Birthweight (grams)]]),ISNUMBER(Table1[[#This Row],[Gestation (days)]])),TRUE,FALSE)</f>
        <v>0</v>
      </c>
      <c r="E9190" s="2" t="str">
        <f>IF(Table1[[#This Row],[Is Data Valid]]=TRUE,IF(Table1[[#This Row],[Fetal Sex (Male, Female or Unknown)]]="Male",Backend!$C$6,IF(Table1[[#This Row],[Fetal Sex (Male, Female or Unknown)]]="Female",Backend!$C$7,IF(Table1[[#This Row],[Fetal Sex (Male, Female or Unknown)]]="Unknown",Backend!$C$8,"Error"))),"")</f>
        <v/>
      </c>
      <c r="F9190" s="8" t="str">
        <f>IF(Table1[[#This Row],[Is Data Valid]]=TRUE,EXP(0.578+0.332*((Table1[[#This Row],[Gestation (days)]]+0.5)/7)-0.00354*((Table1[[#This Row],[Gestation (days)]]+0.5)/7)^2)*Table1[[#This Row],[BW40_3705]],"")</f>
        <v/>
      </c>
      <c r="G9190" s="2" t="str">
        <f>IF(Table1[[#This Row],[Is Data Valid]]=TRUE,((Table1[[#This Row],[Birthweight (grams)]]/Table1[[#This Row],[BW_GA]])-1)/(Backend!$B$4/100*Table1[[#This Row],[BW40_3705]]),"")</f>
        <v/>
      </c>
      <c r="H9190" s="7" t="str">
        <f>IF(Table1[[#This Row],[Is Data Valid]]=TRUE,((Table1[[#This Row],[Birthweight (grams)]]*0.9/Table1[[#This Row],[BW_GA]])-1)/(Backend!$B$4/100*Table1[[#This Row],[BW40_3705]]),"")</f>
        <v/>
      </c>
      <c r="I9190" s="7" t="str">
        <f>IF(Table1[[#This Row],[Is Data Valid]]=TRUE,((Table1[[#This Row],[Birthweight (grams)]]*1.1/Table1[[#This Row],[BW_GA]])-1)/(Backend!$B$4/100*Table1[[#This Row],[BW40_3705]]),"")</f>
        <v/>
      </c>
      <c r="J9190" s="7" t="str">
        <f>IF(Table1[[#This Row],[Is Data Valid]]=TRUE,_xlfn.NORM.S.DIST(Table1[[#This Row],[Birthweight Z-Score]],TRUE)*100,"")</f>
        <v/>
      </c>
      <c r="K9190" s="7" t="str">
        <f>IF(Table1[[#This Row],[Is Data Valid]]=TRUE,_xlfn.NORM.S.DIST(Table1[[#This Row],[Birthweight Z-Score (BW-10%)]],TRUE)*100,"")</f>
        <v/>
      </c>
      <c r="L9190" s="7" t="str">
        <f>IF(Table1[[#This Row],[Is Data Valid]]=TRUE,_xlfn.NORM.S.DIST(Table1[[#This Row],[Birthweight Z-Score (BW+10%)]],TRUE)*100,"")</f>
        <v/>
      </c>
    </row>
    <row r="9191" spans="1:12" x14ac:dyDescent="0.35">
      <c r="A9191" s="3"/>
      <c r="B9191" s="2"/>
      <c r="C9191" s="2"/>
      <c r="D9191" s="2" t="b">
        <f>IF(AND(NOT(ISBLANK(Table1[[#This Row],[Fetal Sex (Male, Female or Unknown)]])),ISNUMBER(Table1[[#This Row],[Birthweight (grams)]]),ISNUMBER(Table1[[#This Row],[Gestation (days)]])),TRUE,FALSE)</f>
        <v>0</v>
      </c>
      <c r="E9191" s="2" t="str">
        <f>IF(Table1[[#This Row],[Is Data Valid]]=TRUE,IF(Table1[[#This Row],[Fetal Sex (Male, Female or Unknown)]]="Male",Backend!$C$6,IF(Table1[[#This Row],[Fetal Sex (Male, Female or Unknown)]]="Female",Backend!$C$7,IF(Table1[[#This Row],[Fetal Sex (Male, Female or Unknown)]]="Unknown",Backend!$C$8,"Error"))),"")</f>
        <v/>
      </c>
      <c r="F9191" s="8" t="str">
        <f>IF(Table1[[#This Row],[Is Data Valid]]=TRUE,EXP(0.578+0.332*((Table1[[#This Row],[Gestation (days)]]+0.5)/7)-0.00354*((Table1[[#This Row],[Gestation (days)]]+0.5)/7)^2)*Table1[[#This Row],[BW40_3705]],"")</f>
        <v/>
      </c>
      <c r="G9191" s="2" t="str">
        <f>IF(Table1[[#This Row],[Is Data Valid]]=TRUE,((Table1[[#This Row],[Birthweight (grams)]]/Table1[[#This Row],[BW_GA]])-1)/(Backend!$B$4/100*Table1[[#This Row],[BW40_3705]]),"")</f>
        <v/>
      </c>
      <c r="H9191" s="7" t="str">
        <f>IF(Table1[[#This Row],[Is Data Valid]]=TRUE,((Table1[[#This Row],[Birthweight (grams)]]*0.9/Table1[[#This Row],[BW_GA]])-1)/(Backend!$B$4/100*Table1[[#This Row],[BW40_3705]]),"")</f>
        <v/>
      </c>
      <c r="I9191" s="7" t="str">
        <f>IF(Table1[[#This Row],[Is Data Valid]]=TRUE,((Table1[[#This Row],[Birthweight (grams)]]*1.1/Table1[[#This Row],[BW_GA]])-1)/(Backend!$B$4/100*Table1[[#This Row],[BW40_3705]]),"")</f>
        <v/>
      </c>
      <c r="J9191" s="7" t="str">
        <f>IF(Table1[[#This Row],[Is Data Valid]]=TRUE,_xlfn.NORM.S.DIST(Table1[[#This Row],[Birthweight Z-Score]],TRUE)*100,"")</f>
        <v/>
      </c>
      <c r="K9191" s="7" t="str">
        <f>IF(Table1[[#This Row],[Is Data Valid]]=TRUE,_xlfn.NORM.S.DIST(Table1[[#This Row],[Birthweight Z-Score (BW-10%)]],TRUE)*100,"")</f>
        <v/>
      </c>
      <c r="L9191" s="7" t="str">
        <f>IF(Table1[[#This Row],[Is Data Valid]]=TRUE,_xlfn.NORM.S.DIST(Table1[[#This Row],[Birthweight Z-Score (BW+10%)]],TRUE)*100,"")</f>
        <v/>
      </c>
    </row>
    <row r="9192" spans="1:12" x14ac:dyDescent="0.35">
      <c r="A9192" s="3"/>
      <c r="B9192" s="2"/>
      <c r="C9192" s="2"/>
      <c r="D9192" s="2" t="b">
        <f>IF(AND(NOT(ISBLANK(Table1[[#This Row],[Fetal Sex (Male, Female or Unknown)]])),ISNUMBER(Table1[[#This Row],[Birthweight (grams)]]),ISNUMBER(Table1[[#This Row],[Gestation (days)]])),TRUE,FALSE)</f>
        <v>0</v>
      </c>
      <c r="E9192" s="2" t="str">
        <f>IF(Table1[[#This Row],[Is Data Valid]]=TRUE,IF(Table1[[#This Row],[Fetal Sex (Male, Female or Unknown)]]="Male",Backend!$C$6,IF(Table1[[#This Row],[Fetal Sex (Male, Female or Unknown)]]="Female",Backend!$C$7,IF(Table1[[#This Row],[Fetal Sex (Male, Female or Unknown)]]="Unknown",Backend!$C$8,"Error"))),"")</f>
        <v/>
      </c>
      <c r="F9192" s="8" t="str">
        <f>IF(Table1[[#This Row],[Is Data Valid]]=TRUE,EXP(0.578+0.332*((Table1[[#This Row],[Gestation (days)]]+0.5)/7)-0.00354*((Table1[[#This Row],[Gestation (days)]]+0.5)/7)^2)*Table1[[#This Row],[BW40_3705]],"")</f>
        <v/>
      </c>
      <c r="G9192" s="2" t="str">
        <f>IF(Table1[[#This Row],[Is Data Valid]]=TRUE,((Table1[[#This Row],[Birthweight (grams)]]/Table1[[#This Row],[BW_GA]])-1)/(Backend!$B$4/100*Table1[[#This Row],[BW40_3705]]),"")</f>
        <v/>
      </c>
      <c r="H9192" s="7" t="str">
        <f>IF(Table1[[#This Row],[Is Data Valid]]=TRUE,((Table1[[#This Row],[Birthweight (grams)]]*0.9/Table1[[#This Row],[BW_GA]])-1)/(Backend!$B$4/100*Table1[[#This Row],[BW40_3705]]),"")</f>
        <v/>
      </c>
      <c r="I9192" s="7" t="str">
        <f>IF(Table1[[#This Row],[Is Data Valid]]=TRUE,((Table1[[#This Row],[Birthweight (grams)]]*1.1/Table1[[#This Row],[BW_GA]])-1)/(Backend!$B$4/100*Table1[[#This Row],[BW40_3705]]),"")</f>
        <v/>
      </c>
      <c r="J9192" s="7" t="str">
        <f>IF(Table1[[#This Row],[Is Data Valid]]=TRUE,_xlfn.NORM.S.DIST(Table1[[#This Row],[Birthweight Z-Score]],TRUE)*100,"")</f>
        <v/>
      </c>
      <c r="K9192" s="7" t="str">
        <f>IF(Table1[[#This Row],[Is Data Valid]]=TRUE,_xlfn.NORM.S.DIST(Table1[[#This Row],[Birthweight Z-Score (BW-10%)]],TRUE)*100,"")</f>
        <v/>
      </c>
      <c r="L9192" s="7" t="str">
        <f>IF(Table1[[#This Row],[Is Data Valid]]=TRUE,_xlfn.NORM.S.DIST(Table1[[#This Row],[Birthweight Z-Score (BW+10%)]],TRUE)*100,"")</f>
        <v/>
      </c>
    </row>
    <row r="9193" spans="1:12" x14ac:dyDescent="0.35">
      <c r="A9193" s="3"/>
      <c r="B9193" s="2"/>
      <c r="C9193" s="2"/>
      <c r="D9193" s="2" t="b">
        <f>IF(AND(NOT(ISBLANK(Table1[[#This Row],[Fetal Sex (Male, Female or Unknown)]])),ISNUMBER(Table1[[#This Row],[Birthweight (grams)]]),ISNUMBER(Table1[[#This Row],[Gestation (days)]])),TRUE,FALSE)</f>
        <v>0</v>
      </c>
      <c r="E9193" s="2" t="str">
        <f>IF(Table1[[#This Row],[Is Data Valid]]=TRUE,IF(Table1[[#This Row],[Fetal Sex (Male, Female or Unknown)]]="Male",Backend!$C$6,IF(Table1[[#This Row],[Fetal Sex (Male, Female or Unknown)]]="Female",Backend!$C$7,IF(Table1[[#This Row],[Fetal Sex (Male, Female or Unknown)]]="Unknown",Backend!$C$8,"Error"))),"")</f>
        <v/>
      </c>
      <c r="F9193" s="8" t="str">
        <f>IF(Table1[[#This Row],[Is Data Valid]]=TRUE,EXP(0.578+0.332*((Table1[[#This Row],[Gestation (days)]]+0.5)/7)-0.00354*((Table1[[#This Row],[Gestation (days)]]+0.5)/7)^2)*Table1[[#This Row],[BW40_3705]],"")</f>
        <v/>
      </c>
      <c r="G9193" s="2" t="str">
        <f>IF(Table1[[#This Row],[Is Data Valid]]=TRUE,((Table1[[#This Row],[Birthweight (grams)]]/Table1[[#This Row],[BW_GA]])-1)/(Backend!$B$4/100*Table1[[#This Row],[BW40_3705]]),"")</f>
        <v/>
      </c>
      <c r="H9193" s="7" t="str">
        <f>IF(Table1[[#This Row],[Is Data Valid]]=TRUE,((Table1[[#This Row],[Birthweight (grams)]]*0.9/Table1[[#This Row],[BW_GA]])-1)/(Backend!$B$4/100*Table1[[#This Row],[BW40_3705]]),"")</f>
        <v/>
      </c>
      <c r="I9193" s="7" t="str">
        <f>IF(Table1[[#This Row],[Is Data Valid]]=TRUE,((Table1[[#This Row],[Birthweight (grams)]]*1.1/Table1[[#This Row],[BW_GA]])-1)/(Backend!$B$4/100*Table1[[#This Row],[BW40_3705]]),"")</f>
        <v/>
      </c>
      <c r="J9193" s="7" t="str">
        <f>IF(Table1[[#This Row],[Is Data Valid]]=TRUE,_xlfn.NORM.S.DIST(Table1[[#This Row],[Birthweight Z-Score]],TRUE)*100,"")</f>
        <v/>
      </c>
      <c r="K9193" s="7" t="str">
        <f>IF(Table1[[#This Row],[Is Data Valid]]=TRUE,_xlfn.NORM.S.DIST(Table1[[#This Row],[Birthweight Z-Score (BW-10%)]],TRUE)*100,"")</f>
        <v/>
      </c>
      <c r="L9193" s="7" t="str">
        <f>IF(Table1[[#This Row],[Is Data Valid]]=TRUE,_xlfn.NORM.S.DIST(Table1[[#This Row],[Birthweight Z-Score (BW+10%)]],TRUE)*100,"")</f>
        <v/>
      </c>
    </row>
    <row r="9194" spans="1:12" x14ac:dyDescent="0.35">
      <c r="A9194" s="3"/>
      <c r="B9194" s="2"/>
      <c r="C9194" s="2"/>
      <c r="D9194" s="2" t="b">
        <f>IF(AND(NOT(ISBLANK(Table1[[#This Row],[Fetal Sex (Male, Female or Unknown)]])),ISNUMBER(Table1[[#This Row],[Birthweight (grams)]]),ISNUMBER(Table1[[#This Row],[Gestation (days)]])),TRUE,FALSE)</f>
        <v>0</v>
      </c>
      <c r="E9194" s="2" t="str">
        <f>IF(Table1[[#This Row],[Is Data Valid]]=TRUE,IF(Table1[[#This Row],[Fetal Sex (Male, Female or Unknown)]]="Male",Backend!$C$6,IF(Table1[[#This Row],[Fetal Sex (Male, Female or Unknown)]]="Female",Backend!$C$7,IF(Table1[[#This Row],[Fetal Sex (Male, Female or Unknown)]]="Unknown",Backend!$C$8,"Error"))),"")</f>
        <v/>
      </c>
      <c r="F9194" s="8" t="str">
        <f>IF(Table1[[#This Row],[Is Data Valid]]=TRUE,EXP(0.578+0.332*((Table1[[#This Row],[Gestation (days)]]+0.5)/7)-0.00354*((Table1[[#This Row],[Gestation (days)]]+0.5)/7)^2)*Table1[[#This Row],[BW40_3705]],"")</f>
        <v/>
      </c>
      <c r="G9194" s="2" t="str">
        <f>IF(Table1[[#This Row],[Is Data Valid]]=TRUE,((Table1[[#This Row],[Birthweight (grams)]]/Table1[[#This Row],[BW_GA]])-1)/(Backend!$B$4/100*Table1[[#This Row],[BW40_3705]]),"")</f>
        <v/>
      </c>
      <c r="H9194" s="7" t="str">
        <f>IF(Table1[[#This Row],[Is Data Valid]]=TRUE,((Table1[[#This Row],[Birthweight (grams)]]*0.9/Table1[[#This Row],[BW_GA]])-1)/(Backend!$B$4/100*Table1[[#This Row],[BW40_3705]]),"")</f>
        <v/>
      </c>
      <c r="I9194" s="7" t="str">
        <f>IF(Table1[[#This Row],[Is Data Valid]]=TRUE,((Table1[[#This Row],[Birthweight (grams)]]*1.1/Table1[[#This Row],[BW_GA]])-1)/(Backend!$B$4/100*Table1[[#This Row],[BW40_3705]]),"")</f>
        <v/>
      </c>
      <c r="J9194" s="7" t="str">
        <f>IF(Table1[[#This Row],[Is Data Valid]]=TRUE,_xlfn.NORM.S.DIST(Table1[[#This Row],[Birthweight Z-Score]],TRUE)*100,"")</f>
        <v/>
      </c>
      <c r="K9194" s="7" t="str">
        <f>IF(Table1[[#This Row],[Is Data Valid]]=TRUE,_xlfn.NORM.S.DIST(Table1[[#This Row],[Birthweight Z-Score (BW-10%)]],TRUE)*100,"")</f>
        <v/>
      </c>
      <c r="L9194" s="7" t="str">
        <f>IF(Table1[[#This Row],[Is Data Valid]]=TRUE,_xlfn.NORM.S.DIST(Table1[[#This Row],[Birthweight Z-Score (BW+10%)]],TRUE)*100,"")</f>
        <v/>
      </c>
    </row>
    <row r="9195" spans="1:12" x14ac:dyDescent="0.35">
      <c r="A9195" s="3"/>
      <c r="B9195" s="2"/>
      <c r="C9195" s="2"/>
      <c r="D9195" s="2" t="b">
        <f>IF(AND(NOT(ISBLANK(Table1[[#This Row],[Fetal Sex (Male, Female or Unknown)]])),ISNUMBER(Table1[[#This Row],[Birthweight (grams)]]),ISNUMBER(Table1[[#This Row],[Gestation (days)]])),TRUE,FALSE)</f>
        <v>0</v>
      </c>
      <c r="E9195" s="2" t="str">
        <f>IF(Table1[[#This Row],[Is Data Valid]]=TRUE,IF(Table1[[#This Row],[Fetal Sex (Male, Female or Unknown)]]="Male",Backend!$C$6,IF(Table1[[#This Row],[Fetal Sex (Male, Female or Unknown)]]="Female",Backend!$C$7,IF(Table1[[#This Row],[Fetal Sex (Male, Female or Unknown)]]="Unknown",Backend!$C$8,"Error"))),"")</f>
        <v/>
      </c>
      <c r="F9195" s="8" t="str">
        <f>IF(Table1[[#This Row],[Is Data Valid]]=TRUE,EXP(0.578+0.332*((Table1[[#This Row],[Gestation (days)]]+0.5)/7)-0.00354*((Table1[[#This Row],[Gestation (days)]]+0.5)/7)^2)*Table1[[#This Row],[BW40_3705]],"")</f>
        <v/>
      </c>
      <c r="G9195" s="2" t="str">
        <f>IF(Table1[[#This Row],[Is Data Valid]]=TRUE,((Table1[[#This Row],[Birthweight (grams)]]/Table1[[#This Row],[BW_GA]])-1)/(Backend!$B$4/100*Table1[[#This Row],[BW40_3705]]),"")</f>
        <v/>
      </c>
      <c r="H9195" s="7" t="str">
        <f>IF(Table1[[#This Row],[Is Data Valid]]=TRUE,((Table1[[#This Row],[Birthweight (grams)]]*0.9/Table1[[#This Row],[BW_GA]])-1)/(Backend!$B$4/100*Table1[[#This Row],[BW40_3705]]),"")</f>
        <v/>
      </c>
      <c r="I9195" s="7" t="str">
        <f>IF(Table1[[#This Row],[Is Data Valid]]=TRUE,((Table1[[#This Row],[Birthweight (grams)]]*1.1/Table1[[#This Row],[BW_GA]])-1)/(Backend!$B$4/100*Table1[[#This Row],[BW40_3705]]),"")</f>
        <v/>
      </c>
      <c r="J9195" s="7" t="str">
        <f>IF(Table1[[#This Row],[Is Data Valid]]=TRUE,_xlfn.NORM.S.DIST(Table1[[#This Row],[Birthweight Z-Score]],TRUE)*100,"")</f>
        <v/>
      </c>
      <c r="K9195" s="7" t="str">
        <f>IF(Table1[[#This Row],[Is Data Valid]]=TRUE,_xlfn.NORM.S.DIST(Table1[[#This Row],[Birthweight Z-Score (BW-10%)]],TRUE)*100,"")</f>
        <v/>
      </c>
      <c r="L9195" s="7" t="str">
        <f>IF(Table1[[#This Row],[Is Data Valid]]=TRUE,_xlfn.NORM.S.DIST(Table1[[#This Row],[Birthweight Z-Score (BW+10%)]],TRUE)*100,"")</f>
        <v/>
      </c>
    </row>
    <row r="9196" spans="1:12" x14ac:dyDescent="0.35">
      <c r="A9196" s="3"/>
      <c r="B9196" s="2"/>
      <c r="C9196" s="2"/>
      <c r="D9196" s="2" t="b">
        <f>IF(AND(NOT(ISBLANK(Table1[[#This Row],[Fetal Sex (Male, Female or Unknown)]])),ISNUMBER(Table1[[#This Row],[Birthweight (grams)]]),ISNUMBER(Table1[[#This Row],[Gestation (days)]])),TRUE,FALSE)</f>
        <v>0</v>
      </c>
      <c r="E9196" s="2" t="str">
        <f>IF(Table1[[#This Row],[Is Data Valid]]=TRUE,IF(Table1[[#This Row],[Fetal Sex (Male, Female or Unknown)]]="Male",Backend!$C$6,IF(Table1[[#This Row],[Fetal Sex (Male, Female or Unknown)]]="Female",Backend!$C$7,IF(Table1[[#This Row],[Fetal Sex (Male, Female or Unknown)]]="Unknown",Backend!$C$8,"Error"))),"")</f>
        <v/>
      </c>
      <c r="F9196" s="8" t="str">
        <f>IF(Table1[[#This Row],[Is Data Valid]]=TRUE,EXP(0.578+0.332*((Table1[[#This Row],[Gestation (days)]]+0.5)/7)-0.00354*((Table1[[#This Row],[Gestation (days)]]+0.5)/7)^2)*Table1[[#This Row],[BW40_3705]],"")</f>
        <v/>
      </c>
      <c r="G9196" s="2" t="str">
        <f>IF(Table1[[#This Row],[Is Data Valid]]=TRUE,((Table1[[#This Row],[Birthweight (grams)]]/Table1[[#This Row],[BW_GA]])-1)/(Backend!$B$4/100*Table1[[#This Row],[BW40_3705]]),"")</f>
        <v/>
      </c>
      <c r="H9196" s="7" t="str">
        <f>IF(Table1[[#This Row],[Is Data Valid]]=TRUE,((Table1[[#This Row],[Birthweight (grams)]]*0.9/Table1[[#This Row],[BW_GA]])-1)/(Backend!$B$4/100*Table1[[#This Row],[BW40_3705]]),"")</f>
        <v/>
      </c>
      <c r="I9196" s="7" t="str">
        <f>IF(Table1[[#This Row],[Is Data Valid]]=TRUE,((Table1[[#This Row],[Birthweight (grams)]]*1.1/Table1[[#This Row],[BW_GA]])-1)/(Backend!$B$4/100*Table1[[#This Row],[BW40_3705]]),"")</f>
        <v/>
      </c>
      <c r="J9196" s="7" t="str">
        <f>IF(Table1[[#This Row],[Is Data Valid]]=TRUE,_xlfn.NORM.S.DIST(Table1[[#This Row],[Birthweight Z-Score]],TRUE)*100,"")</f>
        <v/>
      </c>
      <c r="K9196" s="7" t="str">
        <f>IF(Table1[[#This Row],[Is Data Valid]]=TRUE,_xlfn.NORM.S.DIST(Table1[[#This Row],[Birthweight Z-Score (BW-10%)]],TRUE)*100,"")</f>
        <v/>
      </c>
      <c r="L9196" s="7" t="str">
        <f>IF(Table1[[#This Row],[Is Data Valid]]=TRUE,_xlfn.NORM.S.DIST(Table1[[#This Row],[Birthweight Z-Score (BW+10%)]],TRUE)*100,"")</f>
        <v/>
      </c>
    </row>
    <row r="9197" spans="1:12" x14ac:dyDescent="0.35">
      <c r="A9197" s="3"/>
      <c r="B9197" s="2"/>
      <c r="C9197" s="2"/>
      <c r="D9197" s="2" t="b">
        <f>IF(AND(NOT(ISBLANK(Table1[[#This Row],[Fetal Sex (Male, Female or Unknown)]])),ISNUMBER(Table1[[#This Row],[Birthweight (grams)]]),ISNUMBER(Table1[[#This Row],[Gestation (days)]])),TRUE,FALSE)</f>
        <v>0</v>
      </c>
      <c r="E9197" s="2" t="str">
        <f>IF(Table1[[#This Row],[Is Data Valid]]=TRUE,IF(Table1[[#This Row],[Fetal Sex (Male, Female or Unknown)]]="Male",Backend!$C$6,IF(Table1[[#This Row],[Fetal Sex (Male, Female or Unknown)]]="Female",Backend!$C$7,IF(Table1[[#This Row],[Fetal Sex (Male, Female or Unknown)]]="Unknown",Backend!$C$8,"Error"))),"")</f>
        <v/>
      </c>
      <c r="F9197" s="8" t="str">
        <f>IF(Table1[[#This Row],[Is Data Valid]]=TRUE,EXP(0.578+0.332*((Table1[[#This Row],[Gestation (days)]]+0.5)/7)-0.00354*((Table1[[#This Row],[Gestation (days)]]+0.5)/7)^2)*Table1[[#This Row],[BW40_3705]],"")</f>
        <v/>
      </c>
      <c r="G9197" s="2" t="str">
        <f>IF(Table1[[#This Row],[Is Data Valid]]=TRUE,((Table1[[#This Row],[Birthweight (grams)]]/Table1[[#This Row],[BW_GA]])-1)/(Backend!$B$4/100*Table1[[#This Row],[BW40_3705]]),"")</f>
        <v/>
      </c>
      <c r="H9197" s="7" t="str">
        <f>IF(Table1[[#This Row],[Is Data Valid]]=TRUE,((Table1[[#This Row],[Birthweight (grams)]]*0.9/Table1[[#This Row],[BW_GA]])-1)/(Backend!$B$4/100*Table1[[#This Row],[BW40_3705]]),"")</f>
        <v/>
      </c>
      <c r="I9197" s="7" t="str">
        <f>IF(Table1[[#This Row],[Is Data Valid]]=TRUE,((Table1[[#This Row],[Birthweight (grams)]]*1.1/Table1[[#This Row],[BW_GA]])-1)/(Backend!$B$4/100*Table1[[#This Row],[BW40_3705]]),"")</f>
        <v/>
      </c>
      <c r="J9197" s="7" t="str">
        <f>IF(Table1[[#This Row],[Is Data Valid]]=TRUE,_xlfn.NORM.S.DIST(Table1[[#This Row],[Birthweight Z-Score]],TRUE)*100,"")</f>
        <v/>
      </c>
      <c r="K9197" s="7" t="str">
        <f>IF(Table1[[#This Row],[Is Data Valid]]=TRUE,_xlfn.NORM.S.DIST(Table1[[#This Row],[Birthweight Z-Score (BW-10%)]],TRUE)*100,"")</f>
        <v/>
      </c>
      <c r="L9197" s="7" t="str">
        <f>IF(Table1[[#This Row],[Is Data Valid]]=TRUE,_xlfn.NORM.S.DIST(Table1[[#This Row],[Birthweight Z-Score (BW+10%)]],TRUE)*100,"")</f>
        <v/>
      </c>
    </row>
    <row r="9198" spans="1:12" x14ac:dyDescent="0.35">
      <c r="A9198" s="3"/>
      <c r="B9198" s="2"/>
      <c r="C9198" s="2"/>
      <c r="D9198" s="2" t="b">
        <f>IF(AND(NOT(ISBLANK(Table1[[#This Row],[Fetal Sex (Male, Female or Unknown)]])),ISNUMBER(Table1[[#This Row],[Birthweight (grams)]]),ISNUMBER(Table1[[#This Row],[Gestation (days)]])),TRUE,FALSE)</f>
        <v>0</v>
      </c>
      <c r="E9198" s="2" t="str">
        <f>IF(Table1[[#This Row],[Is Data Valid]]=TRUE,IF(Table1[[#This Row],[Fetal Sex (Male, Female or Unknown)]]="Male",Backend!$C$6,IF(Table1[[#This Row],[Fetal Sex (Male, Female or Unknown)]]="Female",Backend!$C$7,IF(Table1[[#This Row],[Fetal Sex (Male, Female or Unknown)]]="Unknown",Backend!$C$8,"Error"))),"")</f>
        <v/>
      </c>
      <c r="F9198" s="8" t="str">
        <f>IF(Table1[[#This Row],[Is Data Valid]]=TRUE,EXP(0.578+0.332*((Table1[[#This Row],[Gestation (days)]]+0.5)/7)-0.00354*((Table1[[#This Row],[Gestation (days)]]+0.5)/7)^2)*Table1[[#This Row],[BW40_3705]],"")</f>
        <v/>
      </c>
      <c r="G9198" s="2" t="str">
        <f>IF(Table1[[#This Row],[Is Data Valid]]=TRUE,((Table1[[#This Row],[Birthweight (grams)]]/Table1[[#This Row],[BW_GA]])-1)/(Backend!$B$4/100*Table1[[#This Row],[BW40_3705]]),"")</f>
        <v/>
      </c>
      <c r="H9198" s="7" t="str">
        <f>IF(Table1[[#This Row],[Is Data Valid]]=TRUE,((Table1[[#This Row],[Birthweight (grams)]]*0.9/Table1[[#This Row],[BW_GA]])-1)/(Backend!$B$4/100*Table1[[#This Row],[BW40_3705]]),"")</f>
        <v/>
      </c>
      <c r="I9198" s="7" t="str">
        <f>IF(Table1[[#This Row],[Is Data Valid]]=TRUE,((Table1[[#This Row],[Birthweight (grams)]]*1.1/Table1[[#This Row],[BW_GA]])-1)/(Backend!$B$4/100*Table1[[#This Row],[BW40_3705]]),"")</f>
        <v/>
      </c>
      <c r="J9198" s="7" t="str">
        <f>IF(Table1[[#This Row],[Is Data Valid]]=TRUE,_xlfn.NORM.S.DIST(Table1[[#This Row],[Birthweight Z-Score]],TRUE)*100,"")</f>
        <v/>
      </c>
      <c r="K9198" s="7" t="str">
        <f>IF(Table1[[#This Row],[Is Data Valid]]=TRUE,_xlfn.NORM.S.DIST(Table1[[#This Row],[Birthweight Z-Score (BW-10%)]],TRUE)*100,"")</f>
        <v/>
      </c>
      <c r="L9198" s="7" t="str">
        <f>IF(Table1[[#This Row],[Is Data Valid]]=TRUE,_xlfn.NORM.S.DIST(Table1[[#This Row],[Birthweight Z-Score (BW+10%)]],TRUE)*100,"")</f>
        <v/>
      </c>
    </row>
    <row r="9199" spans="1:12" x14ac:dyDescent="0.35">
      <c r="A9199" s="3"/>
      <c r="B9199" s="2"/>
      <c r="C9199" s="2"/>
      <c r="D9199" s="2" t="b">
        <f>IF(AND(NOT(ISBLANK(Table1[[#This Row],[Fetal Sex (Male, Female or Unknown)]])),ISNUMBER(Table1[[#This Row],[Birthweight (grams)]]),ISNUMBER(Table1[[#This Row],[Gestation (days)]])),TRUE,FALSE)</f>
        <v>0</v>
      </c>
      <c r="E9199" s="2" t="str">
        <f>IF(Table1[[#This Row],[Is Data Valid]]=TRUE,IF(Table1[[#This Row],[Fetal Sex (Male, Female or Unknown)]]="Male",Backend!$C$6,IF(Table1[[#This Row],[Fetal Sex (Male, Female or Unknown)]]="Female",Backend!$C$7,IF(Table1[[#This Row],[Fetal Sex (Male, Female or Unknown)]]="Unknown",Backend!$C$8,"Error"))),"")</f>
        <v/>
      </c>
      <c r="F9199" s="8" t="str">
        <f>IF(Table1[[#This Row],[Is Data Valid]]=TRUE,EXP(0.578+0.332*((Table1[[#This Row],[Gestation (days)]]+0.5)/7)-0.00354*((Table1[[#This Row],[Gestation (days)]]+0.5)/7)^2)*Table1[[#This Row],[BW40_3705]],"")</f>
        <v/>
      </c>
      <c r="G9199" s="2" t="str">
        <f>IF(Table1[[#This Row],[Is Data Valid]]=TRUE,((Table1[[#This Row],[Birthweight (grams)]]/Table1[[#This Row],[BW_GA]])-1)/(Backend!$B$4/100*Table1[[#This Row],[BW40_3705]]),"")</f>
        <v/>
      </c>
      <c r="H9199" s="7" t="str">
        <f>IF(Table1[[#This Row],[Is Data Valid]]=TRUE,((Table1[[#This Row],[Birthweight (grams)]]*0.9/Table1[[#This Row],[BW_GA]])-1)/(Backend!$B$4/100*Table1[[#This Row],[BW40_3705]]),"")</f>
        <v/>
      </c>
      <c r="I9199" s="7" t="str">
        <f>IF(Table1[[#This Row],[Is Data Valid]]=TRUE,((Table1[[#This Row],[Birthweight (grams)]]*1.1/Table1[[#This Row],[BW_GA]])-1)/(Backend!$B$4/100*Table1[[#This Row],[BW40_3705]]),"")</f>
        <v/>
      </c>
      <c r="J9199" s="7" t="str">
        <f>IF(Table1[[#This Row],[Is Data Valid]]=TRUE,_xlfn.NORM.S.DIST(Table1[[#This Row],[Birthweight Z-Score]],TRUE)*100,"")</f>
        <v/>
      </c>
      <c r="K9199" s="7" t="str">
        <f>IF(Table1[[#This Row],[Is Data Valid]]=TRUE,_xlfn.NORM.S.DIST(Table1[[#This Row],[Birthweight Z-Score (BW-10%)]],TRUE)*100,"")</f>
        <v/>
      </c>
      <c r="L9199" s="7" t="str">
        <f>IF(Table1[[#This Row],[Is Data Valid]]=TRUE,_xlfn.NORM.S.DIST(Table1[[#This Row],[Birthweight Z-Score (BW+10%)]],TRUE)*100,"")</f>
        <v/>
      </c>
    </row>
    <row r="9200" spans="1:12" x14ac:dyDescent="0.35">
      <c r="A9200" s="3"/>
      <c r="B9200" s="2"/>
      <c r="C9200" s="2"/>
      <c r="D9200" s="2" t="b">
        <f>IF(AND(NOT(ISBLANK(Table1[[#This Row],[Fetal Sex (Male, Female or Unknown)]])),ISNUMBER(Table1[[#This Row],[Birthweight (grams)]]),ISNUMBER(Table1[[#This Row],[Gestation (days)]])),TRUE,FALSE)</f>
        <v>0</v>
      </c>
      <c r="E9200" s="2" t="str">
        <f>IF(Table1[[#This Row],[Is Data Valid]]=TRUE,IF(Table1[[#This Row],[Fetal Sex (Male, Female or Unknown)]]="Male",Backend!$C$6,IF(Table1[[#This Row],[Fetal Sex (Male, Female or Unknown)]]="Female",Backend!$C$7,IF(Table1[[#This Row],[Fetal Sex (Male, Female or Unknown)]]="Unknown",Backend!$C$8,"Error"))),"")</f>
        <v/>
      </c>
      <c r="F9200" s="8" t="str">
        <f>IF(Table1[[#This Row],[Is Data Valid]]=TRUE,EXP(0.578+0.332*((Table1[[#This Row],[Gestation (days)]]+0.5)/7)-0.00354*((Table1[[#This Row],[Gestation (days)]]+0.5)/7)^2)*Table1[[#This Row],[BW40_3705]],"")</f>
        <v/>
      </c>
      <c r="G9200" s="2" t="str">
        <f>IF(Table1[[#This Row],[Is Data Valid]]=TRUE,((Table1[[#This Row],[Birthweight (grams)]]/Table1[[#This Row],[BW_GA]])-1)/(Backend!$B$4/100*Table1[[#This Row],[BW40_3705]]),"")</f>
        <v/>
      </c>
      <c r="H9200" s="7" t="str">
        <f>IF(Table1[[#This Row],[Is Data Valid]]=TRUE,((Table1[[#This Row],[Birthweight (grams)]]*0.9/Table1[[#This Row],[BW_GA]])-1)/(Backend!$B$4/100*Table1[[#This Row],[BW40_3705]]),"")</f>
        <v/>
      </c>
      <c r="I9200" s="7" t="str">
        <f>IF(Table1[[#This Row],[Is Data Valid]]=TRUE,((Table1[[#This Row],[Birthweight (grams)]]*1.1/Table1[[#This Row],[BW_GA]])-1)/(Backend!$B$4/100*Table1[[#This Row],[BW40_3705]]),"")</f>
        <v/>
      </c>
      <c r="J9200" s="7" t="str">
        <f>IF(Table1[[#This Row],[Is Data Valid]]=TRUE,_xlfn.NORM.S.DIST(Table1[[#This Row],[Birthweight Z-Score]],TRUE)*100,"")</f>
        <v/>
      </c>
      <c r="K9200" s="7" t="str">
        <f>IF(Table1[[#This Row],[Is Data Valid]]=TRUE,_xlfn.NORM.S.DIST(Table1[[#This Row],[Birthweight Z-Score (BW-10%)]],TRUE)*100,"")</f>
        <v/>
      </c>
      <c r="L9200" s="7" t="str">
        <f>IF(Table1[[#This Row],[Is Data Valid]]=TRUE,_xlfn.NORM.S.DIST(Table1[[#This Row],[Birthweight Z-Score (BW+10%)]],TRUE)*100,"")</f>
        <v/>
      </c>
    </row>
    <row r="9201" spans="1:12" x14ac:dyDescent="0.35">
      <c r="A9201" s="3"/>
      <c r="B9201" s="2"/>
      <c r="C9201" s="2"/>
      <c r="D9201" s="2" t="b">
        <f>IF(AND(NOT(ISBLANK(Table1[[#This Row],[Fetal Sex (Male, Female or Unknown)]])),ISNUMBER(Table1[[#This Row],[Birthweight (grams)]]),ISNUMBER(Table1[[#This Row],[Gestation (days)]])),TRUE,FALSE)</f>
        <v>0</v>
      </c>
      <c r="E9201" s="2" t="str">
        <f>IF(Table1[[#This Row],[Is Data Valid]]=TRUE,IF(Table1[[#This Row],[Fetal Sex (Male, Female or Unknown)]]="Male",Backend!$C$6,IF(Table1[[#This Row],[Fetal Sex (Male, Female or Unknown)]]="Female",Backend!$C$7,IF(Table1[[#This Row],[Fetal Sex (Male, Female or Unknown)]]="Unknown",Backend!$C$8,"Error"))),"")</f>
        <v/>
      </c>
      <c r="F9201" s="8" t="str">
        <f>IF(Table1[[#This Row],[Is Data Valid]]=TRUE,EXP(0.578+0.332*((Table1[[#This Row],[Gestation (days)]]+0.5)/7)-0.00354*((Table1[[#This Row],[Gestation (days)]]+0.5)/7)^2)*Table1[[#This Row],[BW40_3705]],"")</f>
        <v/>
      </c>
      <c r="G9201" s="2" t="str">
        <f>IF(Table1[[#This Row],[Is Data Valid]]=TRUE,((Table1[[#This Row],[Birthweight (grams)]]/Table1[[#This Row],[BW_GA]])-1)/(Backend!$B$4/100*Table1[[#This Row],[BW40_3705]]),"")</f>
        <v/>
      </c>
      <c r="H9201" s="7" t="str">
        <f>IF(Table1[[#This Row],[Is Data Valid]]=TRUE,((Table1[[#This Row],[Birthweight (grams)]]*0.9/Table1[[#This Row],[BW_GA]])-1)/(Backend!$B$4/100*Table1[[#This Row],[BW40_3705]]),"")</f>
        <v/>
      </c>
      <c r="I9201" s="7" t="str">
        <f>IF(Table1[[#This Row],[Is Data Valid]]=TRUE,((Table1[[#This Row],[Birthweight (grams)]]*1.1/Table1[[#This Row],[BW_GA]])-1)/(Backend!$B$4/100*Table1[[#This Row],[BW40_3705]]),"")</f>
        <v/>
      </c>
      <c r="J9201" s="7" t="str">
        <f>IF(Table1[[#This Row],[Is Data Valid]]=TRUE,_xlfn.NORM.S.DIST(Table1[[#This Row],[Birthweight Z-Score]],TRUE)*100,"")</f>
        <v/>
      </c>
      <c r="K9201" s="7" t="str">
        <f>IF(Table1[[#This Row],[Is Data Valid]]=TRUE,_xlfn.NORM.S.DIST(Table1[[#This Row],[Birthweight Z-Score (BW-10%)]],TRUE)*100,"")</f>
        <v/>
      </c>
      <c r="L9201" s="7" t="str">
        <f>IF(Table1[[#This Row],[Is Data Valid]]=TRUE,_xlfn.NORM.S.DIST(Table1[[#This Row],[Birthweight Z-Score (BW+10%)]],TRUE)*100,"")</f>
        <v/>
      </c>
    </row>
    <row r="9202" spans="1:12" x14ac:dyDescent="0.35">
      <c r="A9202" s="3"/>
      <c r="B9202" s="2"/>
      <c r="C9202" s="2"/>
      <c r="D9202" s="2" t="b">
        <f>IF(AND(NOT(ISBLANK(Table1[[#This Row],[Fetal Sex (Male, Female or Unknown)]])),ISNUMBER(Table1[[#This Row],[Birthweight (grams)]]),ISNUMBER(Table1[[#This Row],[Gestation (days)]])),TRUE,FALSE)</f>
        <v>0</v>
      </c>
      <c r="E9202" s="2" t="str">
        <f>IF(Table1[[#This Row],[Is Data Valid]]=TRUE,IF(Table1[[#This Row],[Fetal Sex (Male, Female or Unknown)]]="Male",Backend!$C$6,IF(Table1[[#This Row],[Fetal Sex (Male, Female or Unknown)]]="Female",Backend!$C$7,IF(Table1[[#This Row],[Fetal Sex (Male, Female or Unknown)]]="Unknown",Backend!$C$8,"Error"))),"")</f>
        <v/>
      </c>
      <c r="F9202" s="8" t="str">
        <f>IF(Table1[[#This Row],[Is Data Valid]]=TRUE,EXP(0.578+0.332*((Table1[[#This Row],[Gestation (days)]]+0.5)/7)-0.00354*((Table1[[#This Row],[Gestation (days)]]+0.5)/7)^2)*Table1[[#This Row],[BW40_3705]],"")</f>
        <v/>
      </c>
      <c r="G9202" s="2" t="str">
        <f>IF(Table1[[#This Row],[Is Data Valid]]=TRUE,((Table1[[#This Row],[Birthweight (grams)]]/Table1[[#This Row],[BW_GA]])-1)/(Backend!$B$4/100*Table1[[#This Row],[BW40_3705]]),"")</f>
        <v/>
      </c>
      <c r="H9202" s="7" t="str">
        <f>IF(Table1[[#This Row],[Is Data Valid]]=TRUE,((Table1[[#This Row],[Birthweight (grams)]]*0.9/Table1[[#This Row],[BW_GA]])-1)/(Backend!$B$4/100*Table1[[#This Row],[BW40_3705]]),"")</f>
        <v/>
      </c>
      <c r="I9202" s="7" t="str">
        <f>IF(Table1[[#This Row],[Is Data Valid]]=TRUE,((Table1[[#This Row],[Birthweight (grams)]]*1.1/Table1[[#This Row],[BW_GA]])-1)/(Backend!$B$4/100*Table1[[#This Row],[BW40_3705]]),"")</f>
        <v/>
      </c>
      <c r="J9202" s="7" t="str">
        <f>IF(Table1[[#This Row],[Is Data Valid]]=TRUE,_xlfn.NORM.S.DIST(Table1[[#This Row],[Birthweight Z-Score]],TRUE)*100,"")</f>
        <v/>
      </c>
      <c r="K9202" s="7" t="str">
        <f>IF(Table1[[#This Row],[Is Data Valid]]=TRUE,_xlfn.NORM.S.DIST(Table1[[#This Row],[Birthweight Z-Score (BW-10%)]],TRUE)*100,"")</f>
        <v/>
      </c>
      <c r="L9202" s="7" t="str">
        <f>IF(Table1[[#This Row],[Is Data Valid]]=TRUE,_xlfn.NORM.S.DIST(Table1[[#This Row],[Birthweight Z-Score (BW+10%)]],TRUE)*100,"")</f>
        <v/>
      </c>
    </row>
    <row r="9203" spans="1:12" x14ac:dyDescent="0.35">
      <c r="A9203" s="3"/>
      <c r="B9203" s="2"/>
      <c r="C9203" s="2"/>
      <c r="D9203" s="2" t="b">
        <f>IF(AND(NOT(ISBLANK(Table1[[#This Row],[Fetal Sex (Male, Female or Unknown)]])),ISNUMBER(Table1[[#This Row],[Birthweight (grams)]]),ISNUMBER(Table1[[#This Row],[Gestation (days)]])),TRUE,FALSE)</f>
        <v>0</v>
      </c>
      <c r="E9203" s="2" t="str">
        <f>IF(Table1[[#This Row],[Is Data Valid]]=TRUE,IF(Table1[[#This Row],[Fetal Sex (Male, Female or Unknown)]]="Male",Backend!$C$6,IF(Table1[[#This Row],[Fetal Sex (Male, Female or Unknown)]]="Female",Backend!$C$7,IF(Table1[[#This Row],[Fetal Sex (Male, Female or Unknown)]]="Unknown",Backend!$C$8,"Error"))),"")</f>
        <v/>
      </c>
      <c r="F9203" s="8" t="str">
        <f>IF(Table1[[#This Row],[Is Data Valid]]=TRUE,EXP(0.578+0.332*((Table1[[#This Row],[Gestation (days)]]+0.5)/7)-0.00354*((Table1[[#This Row],[Gestation (days)]]+0.5)/7)^2)*Table1[[#This Row],[BW40_3705]],"")</f>
        <v/>
      </c>
      <c r="G9203" s="2" t="str">
        <f>IF(Table1[[#This Row],[Is Data Valid]]=TRUE,((Table1[[#This Row],[Birthweight (grams)]]/Table1[[#This Row],[BW_GA]])-1)/(Backend!$B$4/100*Table1[[#This Row],[BW40_3705]]),"")</f>
        <v/>
      </c>
      <c r="H9203" s="7" t="str">
        <f>IF(Table1[[#This Row],[Is Data Valid]]=TRUE,((Table1[[#This Row],[Birthweight (grams)]]*0.9/Table1[[#This Row],[BW_GA]])-1)/(Backend!$B$4/100*Table1[[#This Row],[BW40_3705]]),"")</f>
        <v/>
      </c>
      <c r="I9203" s="7" t="str">
        <f>IF(Table1[[#This Row],[Is Data Valid]]=TRUE,((Table1[[#This Row],[Birthweight (grams)]]*1.1/Table1[[#This Row],[BW_GA]])-1)/(Backend!$B$4/100*Table1[[#This Row],[BW40_3705]]),"")</f>
        <v/>
      </c>
      <c r="J9203" s="7" t="str">
        <f>IF(Table1[[#This Row],[Is Data Valid]]=TRUE,_xlfn.NORM.S.DIST(Table1[[#This Row],[Birthweight Z-Score]],TRUE)*100,"")</f>
        <v/>
      </c>
      <c r="K9203" s="7" t="str">
        <f>IF(Table1[[#This Row],[Is Data Valid]]=TRUE,_xlfn.NORM.S.DIST(Table1[[#This Row],[Birthweight Z-Score (BW-10%)]],TRUE)*100,"")</f>
        <v/>
      </c>
      <c r="L9203" s="7" t="str">
        <f>IF(Table1[[#This Row],[Is Data Valid]]=TRUE,_xlfn.NORM.S.DIST(Table1[[#This Row],[Birthweight Z-Score (BW+10%)]],TRUE)*100,"")</f>
        <v/>
      </c>
    </row>
    <row r="9204" spans="1:12" x14ac:dyDescent="0.35">
      <c r="A9204" s="3"/>
      <c r="B9204" s="2"/>
      <c r="C9204" s="2"/>
      <c r="D9204" s="2" t="b">
        <f>IF(AND(NOT(ISBLANK(Table1[[#This Row],[Fetal Sex (Male, Female or Unknown)]])),ISNUMBER(Table1[[#This Row],[Birthweight (grams)]]),ISNUMBER(Table1[[#This Row],[Gestation (days)]])),TRUE,FALSE)</f>
        <v>0</v>
      </c>
      <c r="E9204" s="2" t="str">
        <f>IF(Table1[[#This Row],[Is Data Valid]]=TRUE,IF(Table1[[#This Row],[Fetal Sex (Male, Female or Unknown)]]="Male",Backend!$C$6,IF(Table1[[#This Row],[Fetal Sex (Male, Female or Unknown)]]="Female",Backend!$C$7,IF(Table1[[#This Row],[Fetal Sex (Male, Female or Unknown)]]="Unknown",Backend!$C$8,"Error"))),"")</f>
        <v/>
      </c>
      <c r="F9204" s="8" t="str">
        <f>IF(Table1[[#This Row],[Is Data Valid]]=TRUE,EXP(0.578+0.332*((Table1[[#This Row],[Gestation (days)]]+0.5)/7)-0.00354*((Table1[[#This Row],[Gestation (days)]]+0.5)/7)^2)*Table1[[#This Row],[BW40_3705]],"")</f>
        <v/>
      </c>
      <c r="G9204" s="2" t="str">
        <f>IF(Table1[[#This Row],[Is Data Valid]]=TRUE,((Table1[[#This Row],[Birthweight (grams)]]/Table1[[#This Row],[BW_GA]])-1)/(Backend!$B$4/100*Table1[[#This Row],[BW40_3705]]),"")</f>
        <v/>
      </c>
      <c r="H9204" s="7" t="str">
        <f>IF(Table1[[#This Row],[Is Data Valid]]=TRUE,((Table1[[#This Row],[Birthweight (grams)]]*0.9/Table1[[#This Row],[BW_GA]])-1)/(Backend!$B$4/100*Table1[[#This Row],[BW40_3705]]),"")</f>
        <v/>
      </c>
      <c r="I9204" s="7" t="str">
        <f>IF(Table1[[#This Row],[Is Data Valid]]=TRUE,((Table1[[#This Row],[Birthweight (grams)]]*1.1/Table1[[#This Row],[BW_GA]])-1)/(Backend!$B$4/100*Table1[[#This Row],[BW40_3705]]),"")</f>
        <v/>
      </c>
      <c r="J9204" s="7" t="str">
        <f>IF(Table1[[#This Row],[Is Data Valid]]=TRUE,_xlfn.NORM.S.DIST(Table1[[#This Row],[Birthweight Z-Score]],TRUE)*100,"")</f>
        <v/>
      </c>
      <c r="K9204" s="7" t="str">
        <f>IF(Table1[[#This Row],[Is Data Valid]]=TRUE,_xlfn.NORM.S.DIST(Table1[[#This Row],[Birthweight Z-Score (BW-10%)]],TRUE)*100,"")</f>
        <v/>
      </c>
      <c r="L9204" s="7" t="str">
        <f>IF(Table1[[#This Row],[Is Data Valid]]=TRUE,_xlfn.NORM.S.DIST(Table1[[#This Row],[Birthweight Z-Score (BW+10%)]],TRUE)*100,"")</f>
        <v/>
      </c>
    </row>
    <row r="9205" spans="1:12" x14ac:dyDescent="0.35">
      <c r="A9205" s="3"/>
      <c r="B9205" s="2"/>
      <c r="C9205" s="2"/>
      <c r="D9205" s="2" t="b">
        <f>IF(AND(NOT(ISBLANK(Table1[[#This Row],[Fetal Sex (Male, Female or Unknown)]])),ISNUMBER(Table1[[#This Row],[Birthweight (grams)]]),ISNUMBER(Table1[[#This Row],[Gestation (days)]])),TRUE,FALSE)</f>
        <v>0</v>
      </c>
      <c r="E9205" s="2" t="str">
        <f>IF(Table1[[#This Row],[Is Data Valid]]=TRUE,IF(Table1[[#This Row],[Fetal Sex (Male, Female or Unknown)]]="Male",Backend!$C$6,IF(Table1[[#This Row],[Fetal Sex (Male, Female or Unknown)]]="Female",Backend!$C$7,IF(Table1[[#This Row],[Fetal Sex (Male, Female or Unknown)]]="Unknown",Backend!$C$8,"Error"))),"")</f>
        <v/>
      </c>
      <c r="F9205" s="8" t="str">
        <f>IF(Table1[[#This Row],[Is Data Valid]]=TRUE,EXP(0.578+0.332*((Table1[[#This Row],[Gestation (days)]]+0.5)/7)-0.00354*((Table1[[#This Row],[Gestation (days)]]+0.5)/7)^2)*Table1[[#This Row],[BW40_3705]],"")</f>
        <v/>
      </c>
      <c r="G9205" s="2" t="str">
        <f>IF(Table1[[#This Row],[Is Data Valid]]=TRUE,((Table1[[#This Row],[Birthweight (grams)]]/Table1[[#This Row],[BW_GA]])-1)/(Backend!$B$4/100*Table1[[#This Row],[BW40_3705]]),"")</f>
        <v/>
      </c>
      <c r="H9205" s="7" t="str">
        <f>IF(Table1[[#This Row],[Is Data Valid]]=TRUE,((Table1[[#This Row],[Birthweight (grams)]]*0.9/Table1[[#This Row],[BW_GA]])-1)/(Backend!$B$4/100*Table1[[#This Row],[BW40_3705]]),"")</f>
        <v/>
      </c>
      <c r="I9205" s="7" t="str">
        <f>IF(Table1[[#This Row],[Is Data Valid]]=TRUE,((Table1[[#This Row],[Birthweight (grams)]]*1.1/Table1[[#This Row],[BW_GA]])-1)/(Backend!$B$4/100*Table1[[#This Row],[BW40_3705]]),"")</f>
        <v/>
      </c>
      <c r="J9205" s="7" t="str">
        <f>IF(Table1[[#This Row],[Is Data Valid]]=TRUE,_xlfn.NORM.S.DIST(Table1[[#This Row],[Birthweight Z-Score]],TRUE)*100,"")</f>
        <v/>
      </c>
      <c r="K9205" s="7" t="str">
        <f>IF(Table1[[#This Row],[Is Data Valid]]=TRUE,_xlfn.NORM.S.DIST(Table1[[#This Row],[Birthweight Z-Score (BW-10%)]],TRUE)*100,"")</f>
        <v/>
      </c>
      <c r="L9205" s="7" t="str">
        <f>IF(Table1[[#This Row],[Is Data Valid]]=TRUE,_xlfn.NORM.S.DIST(Table1[[#This Row],[Birthweight Z-Score (BW+10%)]],TRUE)*100,"")</f>
        <v/>
      </c>
    </row>
    <row r="9206" spans="1:12" x14ac:dyDescent="0.35">
      <c r="A9206" s="3"/>
      <c r="B9206" s="2"/>
      <c r="C9206" s="2"/>
      <c r="D9206" s="2" t="b">
        <f>IF(AND(NOT(ISBLANK(Table1[[#This Row],[Fetal Sex (Male, Female or Unknown)]])),ISNUMBER(Table1[[#This Row],[Birthweight (grams)]]),ISNUMBER(Table1[[#This Row],[Gestation (days)]])),TRUE,FALSE)</f>
        <v>0</v>
      </c>
      <c r="E9206" s="2" t="str">
        <f>IF(Table1[[#This Row],[Is Data Valid]]=TRUE,IF(Table1[[#This Row],[Fetal Sex (Male, Female or Unknown)]]="Male",Backend!$C$6,IF(Table1[[#This Row],[Fetal Sex (Male, Female or Unknown)]]="Female",Backend!$C$7,IF(Table1[[#This Row],[Fetal Sex (Male, Female or Unknown)]]="Unknown",Backend!$C$8,"Error"))),"")</f>
        <v/>
      </c>
      <c r="F9206" s="8" t="str">
        <f>IF(Table1[[#This Row],[Is Data Valid]]=TRUE,EXP(0.578+0.332*((Table1[[#This Row],[Gestation (days)]]+0.5)/7)-0.00354*((Table1[[#This Row],[Gestation (days)]]+0.5)/7)^2)*Table1[[#This Row],[BW40_3705]],"")</f>
        <v/>
      </c>
      <c r="G9206" s="2" t="str">
        <f>IF(Table1[[#This Row],[Is Data Valid]]=TRUE,((Table1[[#This Row],[Birthweight (grams)]]/Table1[[#This Row],[BW_GA]])-1)/(Backend!$B$4/100*Table1[[#This Row],[BW40_3705]]),"")</f>
        <v/>
      </c>
      <c r="H9206" s="7" t="str">
        <f>IF(Table1[[#This Row],[Is Data Valid]]=TRUE,((Table1[[#This Row],[Birthweight (grams)]]*0.9/Table1[[#This Row],[BW_GA]])-1)/(Backend!$B$4/100*Table1[[#This Row],[BW40_3705]]),"")</f>
        <v/>
      </c>
      <c r="I9206" s="7" t="str">
        <f>IF(Table1[[#This Row],[Is Data Valid]]=TRUE,((Table1[[#This Row],[Birthweight (grams)]]*1.1/Table1[[#This Row],[BW_GA]])-1)/(Backend!$B$4/100*Table1[[#This Row],[BW40_3705]]),"")</f>
        <v/>
      </c>
      <c r="J9206" s="7" t="str">
        <f>IF(Table1[[#This Row],[Is Data Valid]]=TRUE,_xlfn.NORM.S.DIST(Table1[[#This Row],[Birthweight Z-Score]],TRUE)*100,"")</f>
        <v/>
      </c>
      <c r="K9206" s="7" t="str">
        <f>IF(Table1[[#This Row],[Is Data Valid]]=TRUE,_xlfn.NORM.S.DIST(Table1[[#This Row],[Birthweight Z-Score (BW-10%)]],TRUE)*100,"")</f>
        <v/>
      </c>
      <c r="L9206" s="7" t="str">
        <f>IF(Table1[[#This Row],[Is Data Valid]]=TRUE,_xlfn.NORM.S.DIST(Table1[[#This Row],[Birthweight Z-Score (BW+10%)]],TRUE)*100,"")</f>
        <v/>
      </c>
    </row>
    <row r="9207" spans="1:12" x14ac:dyDescent="0.35">
      <c r="A9207" s="3"/>
      <c r="B9207" s="2"/>
      <c r="C9207" s="2"/>
      <c r="D9207" s="2" t="b">
        <f>IF(AND(NOT(ISBLANK(Table1[[#This Row],[Fetal Sex (Male, Female or Unknown)]])),ISNUMBER(Table1[[#This Row],[Birthweight (grams)]]),ISNUMBER(Table1[[#This Row],[Gestation (days)]])),TRUE,FALSE)</f>
        <v>0</v>
      </c>
      <c r="E9207" s="2" t="str">
        <f>IF(Table1[[#This Row],[Is Data Valid]]=TRUE,IF(Table1[[#This Row],[Fetal Sex (Male, Female or Unknown)]]="Male",Backend!$C$6,IF(Table1[[#This Row],[Fetal Sex (Male, Female or Unknown)]]="Female",Backend!$C$7,IF(Table1[[#This Row],[Fetal Sex (Male, Female or Unknown)]]="Unknown",Backend!$C$8,"Error"))),"")</f>
        <v/>
      </c>
      <c r="F9207" s="8" t="str">
        <f>IF(Table1[[#This Row],[Is Data Valid]]=TRUE,EXP(0.578+0.332*((Table1[[#This Row],[Gestation (days)]]+0.5)/7)-0.00354*((Table1[[#This Row],[Gestation (days)]]+0.5)/7)^2)*Table1[[#This Row],[BW40_3705]],"")</f>
        <v/>
      </c>
      <c r="G9207" s="2" t="str">
        <f>IF(Table1[[#This Row],[Is Data Valid]]=TRUE,((Table1[[#This Row],[Birthweight (grams)]]/Table1[[#This Row],[BW_GA]])-1)/(Backend!$B$4/100*Table1[[#This Row],[BW40_3705]]),"")</f>
        <v/>
      </c>
      <c r="H9207" s="7" t="str">
        <f>IF(Table1[[#This Row],[Is Data Valid]]=TRUE,((Table1[[#This Row],[Birthweight (grams)]]*0.9/Table1[[#This Row],[BW_GA]])-1)/(Backend!$B$4/100*Table1[[#This Row],[BW40_3705]]),"")</f>
        <v/>
      </c>
      <c r="I9207" s="7" t="str">
        <f>IF(Table1[[#This Row],[Is Data Valid]]=TRUE,((Table1[[#This Row],[Birthweight (grams)]]*1.1/Table1[[#This Row],[BW_GA]])-1)/(Backend!$B$4/100*Table1[[#This Row],[BW40_3705]]),"")</f>
        <v/>
      </c>
      <c r="J9207" s="7" t="str">
        <f>IF(Table1[[#This Row],[Is Data Valid]]=TRUE,_xlfn.NORM.S.DIST(Table1[[#This Row],[Birthweight Z-Score]],TRUE)*100,"")</f>
        <v/>
      </c>
      <c r="K9207" s="7" t="str">
        <f>IF(Table1[[#This Row],[Is Data Valid]]=TRUE,_xlfn.NORM.S.DIST(Table1[[#This Row],[Birthweight Z-Score (BW-10%)]],TRUE)*100,"")</f>
        <v/>
      </c>
      <c r="L9207" s="7" t="str">
        <f>IF(Table1[[#This Row],[Is Data Valid]]=TRUE,_xlfn.NORM.S.DIST(Table1[[#This Row],[Birthweight Z-Score (BW+10%)]],TRUE)*100,"")</f>
        <v/>
      </c>
    </row>
    <row r="9208" spans="1:12" x14ac:dyDescent="0.35">
      <c r="A9208" s="3"/>
      <c r="B9208" s="2"/>
      <c r="C9208" s="2"/>
      <c r="D9208" s="2" t="b">
        <f>IF(AND(NOT(ISBLANK(Table1[[#This Row],[Fetal Sex (Male, Female or Unknown)]])),ISNUMBER(Table1[[#This Row],[Birthweight (grams)]]),ISNUMBER(Table1[[#This Row],[Gestation (days)]])),TRUE,FALSE)</f>
        <v>0</v>
      </c>
      <c r="E9208" s="2" t="str">
        <f>IF(Table1[[#This Row],[Is Data Valid]]=TRUE,IF(Table1[[#This Row],[Fetal Sex (Male, Female or Unknown)]]="Male",Backend!$C$6,IF(Table1[[#This Row],[Fetal Sex (Male, Female or Unknown)]]="Female",Backend!$C$7,IF(Table1[[#This Row],[Fetal Sex (Male, Female or Unknown)]]="Unknown",Backend!$C$8,"Error"))),"")</f>
        <v/>
      </c>
      <c r="F9208" s="8" t="str">
        <f>IF(Table1[[#This Row],[Is Data Valid]]=TRUE,EXP(0.578+0.332*((Table1[[#This Row],[Gestation (days)]]+0.5)/7)-0.00354*((Table1[[#This Row],[Gestation (days)]]+0.5)/7)^2)*Table1[[#This Row],[BW40_3705]],"")</f>
        <v/>
      </c>
      <c r="G9208" s="2" t="str">
        <f>IF(Table1[[#This Row],[Is Data Valid]]=TRUE,((Table1[[#This Row],[Birthweight (grams)]]/Table1[[#This Row],[BW_GA]])-1)/(Backend!$B$4/100*Table1[[#This Row],[BW40_3705]]),"")</f>
        <v/>
      </c>
      <c r="H9208" s="7" t="str">
        <f>IF(Table1[[#This Row],[Is Data Valid]]=TRUE,((Table1[[#This Row],[Birthweight (grams)]]*0.9/Table1[[#This Row],[BW_GA]])-1)/(Backend!$B$4/100*Table1[[#This Row],[BW40_3705]]),"")</f>
        <v/>
      </c>
      <c r="I9208" s="7" t="str">
        <f>IF(Table1[[#This Row],[Is Data Valid]]=TRUE,((Table1[[#This Row],[Birthweight (grams)]]*1.1/Table1[[#This Row],[BW_GA]])-1)/(Backend!$B$4/100*Table1[[#This Row],[BW40_3705]]),"")</f>
        <v/>
      </c>
      <c r="J9208" s="7" t="str">
        <f>IF(Table1[[#This Row],[Is Data Valid]]=TRUE,_xlfn.NORM.S.DIST(Table1[[#This Row],[Birthweight Z-Score]],TRUE)*100,"")</f>
        <v/>
      </c>
      <c r="K9208" s="7" t="str">
        <f>IF(Table1[[#This Row],[Is Data Valid]]=TRUE,_xlfn.NORM.S.DIST(Table1[[#This Row],[Birthweight Z-Score (BW-10%)]],TRUE)*100,"")</f>
        <v/>
      </c>
      <c r="L9208" s="7" t="str">
        <f>IF(Table1[[#This Row],[Is Data Valid]]=TRUE,_xlfn.NORM.S.DIST(Table1[[#This Row],[Birthweight Z-Score (BW+10%)]],TRUE)*100,"")</f>
        <v/>
      </c>
    </row>
    <row r="9209" spans="1:12" x14ac:dyDescent="0.35">
      <c r="A9209" s="3"/>
      <c r="B9209" s="2"/>
      <c r="C9209" s="2"/>
      <c r="D9209" s="2" t="b">
        <f>IF(AND(NOT(ISBLANK(Table1[[#This Row],[Fetal Sex (Male, Female or Unknown)]])),ISNUMBER(Table1[[#This Row],[Birthweight (grams)]]),ISNUMBER(Table1[[#This Row],[Gestation (days)]])),TRUE,FALSE)</f>
        <v>0</v>
      </c>
      <c r="E9209" s="2" t="str">
        <f>IF(Table1[[#This Row],[Is Data Valid]]=TRUE,IF(Table1[[#This Row],[Fetal Sex (Male, Female or Unknown)]]="Male",Backend!$C$6,IF(Table1[[#This Row],[Fetal Sex (Male, Female or Unknown)]]="Female",Backend!$C$7,IF(Table1[[#This Row],[Fetal Sex (Male, Female or Unknown)]]="Unknown",Backend!$C$8,"Error"))),"")</f>
        <v/>
      </c>
      <c r="F9209" s="8" t="str">
        <f>IF(Table1[[#This Row],[Is Data Valid]]=TRUE,EXP(0.578+0.332*((Table1[[#This Row],[Gestation (days)]]+0.5)/7)-0.00354*((Table1[[#This Row],[Gestation (days)]]+0.5)/7)^2)*Table1[[#This Row],[BW40_3705]],"")</f>
        <v/>
      </c>
      <c r="G9209" s="2" t="str">
        <f>IF(Table1[[#This Row],[Is Data Valid]]=TRUE,((Table1[[#This Row],[Birthweight (grams)]]/Table1[[#This Row],[BW_GA]])-1)/(Backend!$B$4/100*Table1[[#This Row],[BW40_3705]]),"")</f>
        <v/>
      </c>
      <c r="H9209" s="7" t="str">
        <f>IF(Table1[[#This Row],[Is Data Valid]]=TRUE,((Table1[[#This Row],[Birthweight (grams)]]*0.9/Table1[[#This Row],[BW_GA]])-1)/(Backend!$B$4/100*Table1[[#This Row],[BW40_3705]]),"")</f>
        <v/>
      </c>
      <c r="I9209" s="7" t="str">
        <f>IF(Table1[[#This Row],[Is Data Valid]]=TRUE,((Table1[[#This Row],[Birthweight (grams)]]*1.1/Table1[[#This Row],[BW_GA]])-1)/(Backend!$B$4/100*Table1[[#This Row],[BW40_3705]]),"")</f>
        <v/>
      </c>
      <c r="J9209" s="7" t="str">
        <f>IF(Table1[[#This Row],[Is Data Valid]]=TRUE,_xlfn.NORM.S.DIST(Table1[[#This Row],[Birthweight Z-Score]],TRUE)*100,"")</f>
        <v/>
      </c>
      <c r="K9209" s="7" t="str">
        <f>IF(Table1[[#This Row],[Is Data Valid]]=TRUE,_xlfn.NORM.S.DIST(Table1[[#This Row],[Birthweight Z-Score (BW-10%)]],TRUE)*100,"")</f>
        <v/>
      </c>
      <c r="L9209" s="7" t="str">
        <f>IF(Table1[[#This Row],[Is Data Valid]]=TRUE,_xlfn.NORM.S.DIST(Table1[[#This Row],[Birthweight Z-Score (BW+10%)]],TRUE)*100,"")</f>
        <v/>
      </c>
    </row>
    <row r="9210" spans="1:12" x14ac:dyDescent="0.35">
      <c r="A9210" s="3"/>
      <c r="B9210" s="2"/>
      <c r="C9210" s="2"/>
      <c r="D9210" s="2" t="b">
        <f>IF(AND(NOT(ISBLANK(Table1[[#This Row],[Fetal Sex (Male, Female or Unknown)]])),ISNUMBER(Table1[[#This Row],[Birthweight (grams)]]),ISNUMBER(Table1[[#This Row],[Gestation (days)]])),TRUE,FALSE)</f>
        <v>0</v>
      </c>
      <c r="E9210" s="2" t="str">
        <f>IF(Table1[[#This Row],[Is Data Valid]]=TRUE,IF(Table1[[#This Row],[Fetal Sex (Male, Female or Unknown)]]="Male",Backend!$C$6,IF(Table1[[#This Row],[Fetal Sex (Male, Female or Unknown)]]="Female",Backend!$C$7,IF(Table1[[#This Row],[Fetal Sex (Male, Female or Unknown)]]="Unknown",Backend!$C$8,"Error"))),"")</f>
        <v/>
      </c>
      <c r="F9210" s="8" t="str">
        <f>IF(Table1[[#This Row],[Is Data Valid]]=TRUE,EXP(0.578+0.332*((Table1[[#This Row],[Gestation (days)]]+0.5)/7)-0.00354*((Table1[[#This Row],[Gestation (days)]]+0.5)/7)^2)*Table1[[#This Row],[BW40_3705]],"")</f>
        <v/>
      </c>
      <c r="G9210" s="2" t="str">
        <f>IF(Table1[[#This Row],[Is Data Valid]]=TRUE,((Table1[[#This Row],[Birthweight (grams)]]/Table1[[#This Row],[BW_GA]])-1)/(Backend!$B$4/100*Table1[[#This Row],[BW40_3705]]),"")</f>
        <v/>
      </c>
      <c r="H9210" s="7" t="str">
        <f>IF(Table1[[#This Row],[Is Data Valid]]=TRUE,((Table1[[#This Row],[Birthweight (grams)]]*0.9/Table1[[#This Row],[BW_GA]])-1)/(Backend!$B$4/100*Table1[[#This Row],[BW40_3705]]),"")</f>
        <v/>
      </c>
      <c r="I9210" s="7" t="str">
        <f>IF(Table1[[#This Row],[Is Data Valid]]=TRUE,((Table1[[#This Row],[Birthweight (grams)]]*1.1/Table1[[#This Row],[BW_GA]])-1)/(Backend!$B$4/100*Table1[[#This Row],[BW40_3705]]),"")</f>
        <v/>
      </c>
      <c r="J9210" s="7" t="str">
        <f>IF(Table1[[#This Row],[Is Data Valid]]=TRUE,_xlfn.NORM.S.DIST(Table1[[#This Row],[Birthweight Z-Score]],TRUE)*100,"")</f>
        <v/>
      </c>
      <c r="K9210" s="7" t="str">
        <f>IF(Table1[[#This Row],[Is Data Valid]]=TRUE,_xlfn.NORM.S.DIST(Table1[[#This Row],[Birthweight Z-Score (BW-10%)]],TRUE)*100,"")</f>
        <v/>
      </c>
      <c r="L9210" s="7" t="str">
        <f>IF(Table1[[#This Row],[Is Data Valid]]=TRUE,_xlfn.NORM.S.DIST(Table1[[#This Row],[Birthweight Z-Score (BW+10%)]],TRUE)*100,"")</f>
        <v/>
      </c>
    </row>
    <row r="9211" spans="1:12" x14ac:dyDescent="0.35">
      <c r="A9211" s="3"/>
      <c r="B9211" s="2"/>
      <c r="C9211" s="2"/>
      <c r="D9211" s="2" t="b">
        <f>IF(AND(NOT(ISBLANK(Table1[[#This Row],[Fetal Sex (Male, Female or Unknown)]])),ISNUMBER(Table1[[#This Row],[Birthweight (grams)]]),ISNUMBER(Table1[[#This Row],[Gestation (days)]])),TRUE,FALSE)</f>
        <v>0</v>
      </c>
      <c r="E9211" s="2" t="str">
        <f>IF(Table1[[#This Row],[Is Data Valid]]=TRUE,IF(Table1[[#This Row],[Fetal Sex (Male, Female or Unknown)]]="Male",Backend!$C$6,IF(Table1[[#This Row],[Fetal Sex (Male, Female or Unknown)]]="Female",Backend!$C$7,IF(Table1[[#This Row],[Fetal Sex (Male, Female or Unknown)]]="Unknown",Backend!$C$8,"Error"))),"")</f>
        <v/>
      </c>
      <c r="F9211" s="8" t="str">
        <f>IF(Table1[[#This Row],[Is Data Valid]]=TRUE,EXP(0.578+0.332*((Table1[[#This Row],[Gestation (days)]]+0.5)/7)-0.00354*((Table1[[#This Row],[Gestation (days)]]+0.5)/7)^2)*Table1[[#This Row],[BW40_3705]],"")</f>
        <v/>
      </c>
      <c r="G9211" s="2" t="str">
        <f>IF(Table1[[#This Row],[Is Data Valid]]=TRUE,((Table1[[#This Row],[Birthweight (grams)]]/Table1[[#This Row],[BW_GA]])-1)/(Backend!$B$4/100*Table1[[#This Row],[BW40_3705]]),"")</f>
        <v/>
      </c>
      <c r="H9211" s="7" t="str">
        <f>IF(Table1[[#This Row],[Is Data Valid]]=TRUE,((Table1[[#This Row],[Birthweight (grams)]]*0.9/Table1[[#This Row],[BW_GA]])-1)/(Backend!$B$4/100*Table1[[#This Row],[BW40_3705]]),"")</f>
        <v/>
      </c>
      <c r="I9211" s="7" t="str">
        <f>IF(Table1[[#This Row],[Is Data Valid]]=TRUE,((Table1[[#This Row],[Birthweight (grams)]]*1.1/Table1[[#This Row],[BW_GA]])-1)/(Backend!$B$4/100*Table1[[#This Row],[BW40_3705]]),"")</f>
        <v/>
      </c>
      <c r="J9211" s="7" t="str">
        <f>IF(Table1[[#This Row],[Is Data Valid]]=TRUE,_xlfn.NORM.S.DIST(Table1[[#This Row],[Birthweight Z-Score]],TRUE)*100,"")</f>
        <v/>
      </c>
      <c r="K9211" s="7" t="str">
        <f>IF(Table1[[#This Row],[Is Data Valid]]=TRUE,_xlfn.NORM.S.DIST(Table1[[#This Row],[Birthweight Z-Score (BW-10%)]],TRUE)*100,"")</f>
        <v/>
      </c>
      <c r="L9211" s="7" t="str">
        <f>IF(Table1[[#This Row],[Is Data Valid]]=TRUE,_xlfn.NORM.S.DIST(Table1[[#This Row],[Birthweight Z-Score (BW+10%)]],TRUE)*100,"")</f>
        <v/>
      </c>
    </row>
    <row r="9212" spans="1:12" x14ac:dyDescent="0.35">
      <c r="A9212" s="3"/>
      <c r="B9212" s="2"/>
      <c r="C9212" s="2"/>
      <c r="D9212" s="2" t="b">
        <f>IF(AND(NOT(ISBLANK(Table1[[#This Row],[Fetal Sex (Male, Female or Unknown)]])),ISNUMBER(Table1[[#This Row],[Birthweight (grams)]]),ISNUMBER(Table1[[#This Row],[Gestation (days)]])),TRUE,FALSE)</f>
        <v>0</v>
      </c>
      <c r="E9212" s="2" t="str">
        <f>IF(Table1[[#This Row],[Is Data Valid]]=TRUE,IF(Table1[[#This Row],[Fetal Sex (Male, Female or Unknown)]]="Male",Backend!$C$6,IF(Table1[[#This Row],[Fetal Sex (Male, Female or Unknown)]]="Female",Backend!$C$7,IF(Table1[[#This Row],[Fetal Sex (Male, Female or Unknown)]]="Unknown",Backend!$C$8,"Error"))),"")</f>
        <v/>
      </c>
      <c r="F9212" s="8" t="str">
        <f>IF(Table1[[#This Row],[Is Data Valid]]=TRUE,EXP(0.578+0.332*((Table1[[#This Row],[Gestation (days)]]+0.5)/7)-0.00354*((Table1[[#This Row],[Gestation (days)]]+0.5)/7)^2)*Table1[[#This Row],[BW40_3705]],"")</f>
        <v/>
      </c>
      <c r="G9212" s="2" t="str">
        <f>IF(Table1[[#This Row],[Is Data Valid]]=TRUE,((Table1[[#This Row],[Birthweight (grams)]]/Table1[[#This Row],[BW_GA]])-1)/(Backend!$B$4/100*Table1[[#This Row],[BW40_3705]]),"")</f>
        <v/>
      </c>
      <c r="H9212" s="7" t="str">
        <f>IF(Table1[[#This Row],[Is Data Valid]]=TRUE,((Table1[[#This Row],[Birthweight (grams)]]*0.9/Table1[[#This Row],[BW_GA]])-1)/(Backend!$B$4/100*Table1[[#This Row],[BW40_3705]]),"")</f>
        <v/>
      </c>
      <c r="I9212" s="7" t="str">
        <f>IF(Table1[[#This Row],[Is Data Valid]]=TRUE,((Table1[[#This Row],[Birthweight (grams)]]*1.1/Table1[[#This Row],[BW_GA]])-1)/(Backend!$B$4/100*Table1[[#This Row],[BW40_3705]]),"")</f>
        <v/>
      </c>
      <c r="J9212" s="7" t="str">
        <f>IF(Table1[[#This Row],[Is Data Valid]]=TRUE,_xlfn.NORM.S.DIST(Table1[[#This Row],[Birthweight Z-Score]],TRUE)*100,"")</f>
        <v/>
      </c>
      <c r="K9212" s="7" t="str">
        <f>IF(Table1[[#This Row],[Is Data Valid]]=TRUE,_xlfn.NORM.S.DIST(Table1[[#This Row],[Birthweight Z-Score (BW-10%)]],TRUE)*100,"")</f>
        <v/>
      </c>
      <c r="L9212" s="7" t="str">
        <f>IF(Table1[[#This Row],[Is Data Valid]]=TRUE,_xlfn.NORM.S.DIST(Table1[[#This Row],[Birthweight Z-Score (BW+10%)]],TRUE)*100,"")</f>
        <v/>
      </c>
    </row>
    <row r="9213" spans="1:12" x14ac:dyDescent="0.35">
      <c r="A9213" s="3"/>
      <c r="B9213" s="2"/>
      <c r="C9213" s="2"/>
      <c r="D9213" s="2" t="b">
        <f>IF(AND(NOT(ISBLANK(Table1[[#This Row],[Fetal Sex (Male, Female or Unknown)]])),ISNUMBER(Table1[[#This Row],[Birthweight (grams)]]),ISNUMBER(Table1[[#This Row],[Gestation (days)]])),TRUE,FALSE)</f>
        <v>0</v>
      </c>
      <c r="E9213" s="2" t="str">
        <f>IF(Table1[[#This Row],[Is Data Valid]]=TRUE,IF(Table1[[#This Row],[Fetal Sex (Male, Female or Unknown)]]="Male",Backend!$C$6,IF(Table1[[#This Row],[Fetal Sex (Male, Female or Unknown)]]="Female",Backend!$C$7,IF(Table1[[#This Row],[Fetal Sex (Male, Female or Unknown)]]="Unknown",Backend!$C$8,"Error"))),"")</f>
        <v/>
      </c>
      <c r="F9213" s="8" t="str">
        <f>IF(Table1[[#This Row],[Is Data Valid]]=TRUE,EXP(0.578+0.332*((Table1[[#This Row],[Gestation (days)]]+0.5)/7)-0.00354*((Table1[[#This Row],[Gestation (days)]]+0.5)/7)^2)*Table1[[#This Row],[BW40_3705]],"")</f>
        <v/>
      </c>
      <c r="G9213" s="2" t="str">
        <f>IF(Table1[[#This Row],[Is Data Valid]]=TRUE,((Table1[[#This Row],[Birthweight (grams)]]/Table1[[#This Row],[BW_GA]])-1)/(Backend!$B$4/100*Table1[[#This Row],[BW40_3705]]),"")</f>
        <v/>
      </c>
      <c r="H9213" s="7" t="str">
        <f>IF(Table1[[#This Row],[Is Data Valid]]=TRUE,((Table1[[#This Row],[Birthweight (grams)]]*0.9/Table1[[#This Row],[BW_GA]])-1)/(Backend!$B$4/100*Table1[[#This Row],[BW40_3705]]),"")</f>
        <v/>
      </c>
      <c r="I9213" s="7" t="str">
        <f>IF(Table1[[#This Row],[Is Data Valid]]=TRUE,((Table1[[#This Row],[Birthweight (grams)]]*1.1/Table1[[#This Row],[BW_GA]])-1)/(Backend!$B$4/100*Table1[[#This Row],[BW40_3705]]),"")</f>
        <v/>
      </c>
      <c r="J9213" s="7" t="str">
        <f>IF(Table1[[#This Row],[Is Data Valid]]=TRUE,_xlfn.NORM.S.DIST(Table1[[#This Row],[Birthweight Z-Score]],TRUE)*100,"")</f>
        <v/>
      </c>
      <c r="K9213" s="7" t="str">
        <f>IF(Table1[[#This Row],[Is Data Valid]]=TRUE,_xlfn.NORM.S.DIST(Table1[[#This Row],[Birthweight Z-Score (BW-10%)]],TRUE)*100,"")</f>
        <v/>
      </c>
      <c r="L9213" s="7" t="str">
        <f>IF(Table1[[#This Row],[Is Data Valid]]=TRUE,_xlfn.NORM.S.DIST(Table1[[#This Row],[Birthweight Z-Score (BW+10%)]],TRUE)*100,"")</f>
        <v/>
      </c>
    </row>
    <row r="9214" spans="1:12" x14ac:dyDescent="0.35">
      <c r="A9214" s="3"/>
      <c r="B9214" s="2"/>
      <c r="C9214" s="2"/>
      <c r="D9214" s="2" t="b">
        <f>IF(AND(NOT(ISBLANK(Table1[[#This Row],[Fetal Sex (Male, Female or Unknown)]])),ISNUMBER(Table1[[#This Row],[Birthweight (grams)]]),ISNUMBER(Table1[[#This Row],[Gestation (days)]])),TRUE,FALSE)</f>
        <v>0</v>
      </c>
      <c r="E9214" s="2" t="str">
        <f>IF(Table1[[#This Row],[Is Data Valid]]=TRUE,IF(Table1[[#This Row],[Fetal Sex (Male, Female or Unknown)]]="Male",Backend!$C$6,IF(Table1[[#This Row],[Fetal Sex (Male, Female or Unknown)]]="Female",Backend!$C$7,IF(Table1[[#This Row],[Fetal Sex (Male, Female or Unknown)]]="Unknown",Backend!$C$8,"Error"))),"")</f>
        <v/>
      </c>
      <c r="F9214" s="8" t="str">
        <f>IF(Table1[[#This Row],[Is Data Valid]]=TRUE,EXP(0.578+0.332*((Table1[[#This Row],[Gestation (days)]]+0.5)/7)-0.00354*((Table1[[#This Row],[Gestation (days)]]+0.5)/7)^2)*Table1[[#This Row],[BW40_3705]],"")</f>
        <v/>
      </c>
      <c r="G9214" s="2" t="str">
        <f>IF(Table1[[#This Row],[Is Data Valid]]=TRUE,((Table1[[#This Row],[Birthweight (grams)]]/Table1[[#This Row],[BW_GA]])-1)/(Backend!$B$4/100*Table1[[#This Row],[BW40_3705]]),"")</f>
        <v/>
      </c>
      <c r="H9214" s="7" t="str">
        <f>IF(Table1[[#This Row],[Is Data Valid]]=TRUE,((Table1[[#This Row],[Birthweight (grams)]]*0.9/Table1[[#This Row],[BW_GA]])-1)/(Backend!$B$4/100*Table1[[#This Row],[BW40_3705]]),"")</f>
        <v/>
      </c>
      <c r="I9214" s="7" t="str">
        <f>IF(Table1[[#This Row],[Is Data Valid]]=TRUE,((Table1[[#This Row],[Birthweight (grams)]]*1.1/Table1[[#This Row],[BW_GA]])-1)/(Backend!$B$4/100*Table1[[#This Row],[BW40_3705]]),"")</f>
        <v/>
      </c>
      <c r="J9214" s="7" t="str">
        <f>IF(Table1[[#This Row],[Is Data Valid]]=TRUE,_xlfn.NORM.S.DIST(Table1[[#This Row],[Birthweight Z-Score]],TRUE)*100,"")</f>
        <v/>
      </c>
      <c r="K9214" s="7" t="str">
        <f>IF(Table1[[#This Row],[Is Data Valid]]=TRUE,_xlfn.NORM.S.DIST(Table1[[#This Row],[Birthweight Z-Score (BW-10%)]],TRUE)*100,"")</f>
        <v/>
      </c>
      <c r="L9214" s="7" t="str">
        <f>IF(Table1[[#This Row],[Is Data Valid]]=TRUE,_xlfn.NORM.S.DIST(Table1[[#This Row],[Birthweight Z-Score (BW+10%)]],TRUE)*100,"")</f>
        <v/>
      </c>
    </row>
    <row r="9215" spans="1:12" x14ac:dyDescent="0.35">
      <c r="A9215" s="3"/>
      <c r="B9215" s="2"/>
      <c r="C9215" s="2"/>
      <c r="D9215" s="2" t="b">
        <f>IF(AND(NOT(ISBLANK(Table1[[#This Row],[Fetal Sex (Male, Female or Unknown)]])),ISNUMBER(Table1[[#This Row],[Birthweight (grams)]]),ISNUMBER(Table1[[#This Row],[Gestation (days)]])),TRUE,FALSE)</f>
        <v>0</v>
      </c>
      <c r="E9215" s="2" t="str">
        <f>IF(Table1[[#This Row],[Is Data Valid]]=TRUE,IF(Table1[[#This Row],[Fetal Sex (Male, Female or Unknown)]]="Male",Backend!$C$6,IF(Table1[[#This Row],[Fetal Sex (Male, Female or Unknown)]]="Female",Backend!$C$7,IF(Table1[[#This Row],[Fetal Sex (Male, Female or Unknown)]]="Unknown",Backend!$C$8,"Error"))),"")</f>
        <v/>
      </c>
      <c r="F9215" s="8" t="str">
        <f>IF(Table1[[#This Row],[Is Data Valid]]=TRUE,EXP(0.578+0.332*((Table1[[#This Row],[Gestation (days)]]+0.5)/7)-0.00354*((Table1[[#This Row],[Gestation (days)]]+0.5)/7)^2)*Table1[[#This Row],[BW40_3705]],"")</f>
        <v/>
      </c>
      <c r="G9215" s="2" t="str">
        <f>IF(Table1[[#This Row],[Is Data Valid]]=TRUE,((Table1[[#This Row],[Birthweight (grams)]]/Table1[[#This Row],[BW_GA]])-1)/(Backend!$B$4/100*Table1[[#This Row],[BW40_3705]]),"")</f>
        <v/>
      </c>
      <c r="H9215" s="7" t="str">
        <f>IF(Table1[[#This Row],[Is Data Valid]]=TRUE,((Table1[[#This Row],[Birthweight (grams)]]*0.9/Table1[[#This Row],[BW_GA]])-1)/(Backend!$B$4/100*Table1[[#This Row],[BW40_3705]]),"")</f>
        <v/>
      </c>
      <c r="I9215" s="7" t="str">
        <f>IF(Table1[[#This Row],[Is Data Valid]]=TRUE,((Table1[[#This Row],[Birthweight (grams)]]*1.1/Table1[[#This Row],[BW_GA]])-1)/(Backend!$B$4/100*Table1[[#This Row],[BW40_3705]]),"")</f>
        <v/>
      </c>
      <c r="J9215" s="7" t="str">
        <f>IF(Table1[[#This Row],[Is Data Valid]]=TRUE,_xlfn.NORM.S.DIST(Table1[[#This Row],[Birthweight Z-Score]],TRUE)*100,"")</f>
        <v/>
      </c>
      <c r="K9215" s="7" t="str">
        <f>IF(Table1[[#This Row],[Is Data Valid]]=TRUE,_xlfn.NORM.S.DIST(Table1[[#This Row],[Birthweight Z-Score (BW-10%)]],TRUE)*100,"")</f>
        <v/>
      </c>
      <c r="L9215" s="7" t="str">
        <f>IF(Table1[[#This Row],[Is Data Valid]]=TRUE,_xlfn.NORM.S.DIST(Table1[[#This Row],[Birthweight Z-Score (BW+10%)]],TRUE)*100,"")</f>
        <v/>
      </c>
    </row>
    <row r="9216" spans="1:12" x14ac:dyDescent="0.35">
      <c r="A9216" s="3"/>
      <c r="B9216" s="2"/>
      <c r="C9216" s="2"/>
      <c r="D9216" s="2" t="b">
        <f>IF(AND(NOT(ISBLANK(Table1[[#This Row],[Fetal Sex (Male, Female or Unknown)]])),ISNUMBER(Table1[[#This Row],[Birthweight (grams)]]),ISNUMBER(Table1[[#This Row],[Gestation (days)]])),TRUE,FALSE)</f>
        <v>0</v>
      </c>
      <c r="E9216" s="2" t="str">
        <f>IF(Table1[[#This Row],[Is Data Valid]]=TRUE,IF(Table1[[#This Row],[Fetal Sex (Male, Female or Unknown)]]="Male",Backend!$C$6,IF(Table1[[#This Row],[Fetal Sex (Male, Female or Unknown)]]="Female",Backend!$C$7,IF(Table1[[#This Row],[Fetal Sex (Male, Female or Unknown)]]="Unknown",Backend!$C$8,"Error"))),"")</f>
        <v/>
      </c>
      <c r="F9216" s="8" t="str">
        <f>IF(Table1[[#This Row],[Is Data Valid]]=TRUE,EXP(0.578+0.332*((Table1[[#This Row],[Gestation (days)]]+0.5)/7)-0.00354*((Table1[[#This Row],[Gestation (days)]]+0.5)/7)^2)*Table1[[#This Row],[BW40_3705]],"")</f>
        <v/>
      </c>
      <c r="G9216" s="2" t="str">
        <f>IF(Table1[[#This Row],[Is Data Valid]]=TRUE,((Table1[[#This Row],[Birthweight (grams)]]/Table1[[#This Row],[BW_GA]])-1)/(Backend!$B$4/100*Table1[[#This Row],[BW40_3705]]),"")</f>
        <v/>
      </c>
      <c r="H9216" s="7" t="str">
        <f>IF(Table1[[#This Row],[Is Data Valid]]=TRUE,((Table1[[#This Row],[Birthweight (grams)]]*0.9/Table1[[#This Row],[BW_GA]])-1)/(Backend!$B$4/100*Table1[[#This Row],[BW40_3705]]),"")</f>
        <v/>
      </c>
      <c r="I9216" s="7" t="str">
        <f>IF(Table1[[#This Row],[Is Data Valid]]=TRUE,((Table1[[#This Row],[Birthweight (grams)]]*1.1/Table1[[#This Row],[BW_GA]])-1)/(Backend!$B$4/100*Table1[[#This Row],[BW40_3705]]),"")</f>
        <v/>
      </c>
      <c r="J9216" s="7" t="str">
        <f>IF(Table1[[#This Row],[Is Data Valid]]=TRUE,_xlfn.NORM.S.DIST(Table1[[#This Row],[Birthweight Z-Score]],TRUE)*100,"")</f>
        <v/>
      </c>
      <c r="K9216" s="7" t="str">
        <f>IF(Table1[[#This Row],[Is Data Valid]]=TRUE,_xlfn.NORM.S.DIST(Table1[[#This Row],[Birthweight Z-Score (BW-10%)]],TRUE)*100,"")</f>
        <v/>
      </c>
      <c r="L9216" s="7" t="str">
        <f>IF(Table1[[#This Row],[Is Data Valid]]=TRUE,_xlfn.NORM.S.DIST(Table1[[#This Row],[Birthweight Z-Score (BW+10%)]],TRUE)*100,"")</f>
        <v/>
      </c>
    </row>
    <row r="9217" spans="1:12" x14ac:dyDescent="0.35">
      <c r="A9217" s="3"/>
      <c r="B9217" s="2"/>
      <c r="C9217" s="2"/>
      <c r="D9217" s="2" t="b">
        <f>IF(AND(NOT(ISBLANK(Table1[[#This Row],[Fetal Sex (Male, Female or Unknown)]])),ISNUMBER(Table1[[#This Row],[Birthweight (grams)]]),ISNUMBER(Table1[[#This Row],[Gestation (days)]])),TRUE,FALSE)</f>
        <v>0</v>
      </c>
      <c r="E9217" s="2" t="str">
        <f>IF(Table1[[#This Row],[Is Data Valid]]=TRUE,IF(Table1[[#This Row],[Fetal Sex (Male, Female or Unknown)]]="Male",Backend!$C$6,IF(Table1[[#This Row],[Fetal Sex (Male, Female or Unknown)]]="Female",Backend!$C$7,IF(Table1[[#This Row],[Fetal Sex (Male, Female or Unknown)]]="Unknown",Backend!$C$8,"Error"))),"")</f>
        <v/>
      </c>
      <c r="F9217" s="8" t="str">
        <f>IF(Table1[[#This Row],[Is Data Valid]]=TRUE,EXP(0.578+0.332*((Table1[[#This Row],[Gestation (days)]]+0.5)/7)-0.00354*((Table1[[#This Row],[Gestation (days)]]+0.5)/7)^2)*Table1[[#This Row],[BW40_3705]],"")</f>
        <v/>
      </c>
      <c r="G9217" s="2" t="str">
        <f>IF(Table1[[#This Row],[Is Data Valid]]=TRUE,((Table1[[#This Row],[Birthweight (grams)]]/Table1[[#This Row],[BW_GA]])-1)/(Backend!$B$4/100*Table1[[#This Row],[BW40_3705]]),"")</f>
        <v/>
      </c>
      <c r="H9217" s="7" t="str">
        <f>IF(Table1[[#This Row],[Is Data Valid]]=TRUE,((Table1[[#This Row],[Birthweight (grams)]]*0.9/Table1[[#This Row],[BW_GA]])-1)/(Backend!$B$4/100*Table1[[#This Row],[BW40_3705]]),"")</f>
        <v/>
      </c>
      <c r="I9217" s="7" t="str">
        <f>IF(Table1[[#This Row],[Is Data Valid]]=TRUE,((Table1[[#This Row],[Birthweight (grams)]]*1.1/Table1[[#This Row],[BW_GA]])-1)/(Backend!$B$4/100*Table1[[#This Row],[BW40_3705]]),"")</f>
        <v/>
      </c>
      <c r="J9217" s="7" t="str">
        <f>IF(Table1[[#This Row],[Is Data Valid]]=TRUE,_xlfn.NORM.S.DIST(Table1[[#This Row],[Birthweight Z-Score]],TRUE)*100,"")</f>
        <v/>
      </c>
      <c r="K9217" s="7" t="str">
        <f>IF(Table1[[#This Row],[Is Data Valid]]=TRUE,_xlfn.NORM.S.DIST(Table1[[#This Row],[Birthweight Z-Score (BW-10%)]],TRUE)*100,"")</f>
        <v/>
      </c>
      <c r="L9217" s="7" t="str">
        <f>IF(Table1[[#This Row],[Is Data Valid]]=TRUE,_xlfn.NORM.S.DIST(Table1[[#This Row],[Birthweight Z-Score (BW+10%)]],TRUE)*100,"")</f>
        <v/>
      </c>
    </row>
    <row r="9218" spans="1:12" x14ac:dyDescent="0.35">
      <c r="A9218" s="3"/>
      <c r="B9218" s="2"/>
      <c r="C9218" s="2"/>
      <c r="D9218" s="2" t="b">
        <f>IF(AND(NOT(ISBLANK(Table1[[#This Row],[Fetal Sex (Male, Female or Unknown)]])),ISNUMBER(Table1[[#This Row],[Birthweight (grams)]]),ISNUMBER(Table1[[#This Row],[Gestation (days)]])),TRUE,FALSE)</f>
        <v>0</v>
      </c>
      <c r="E9218" s="2" t="str">
        <f>IF(Table1[[#This Row],[Is Data Valid]]=TRUE,IF(Table1[[#This Row],[Fetal Sex (Male, Female or Unknown)]]="Male",Backend!$C$6,IF(Table1[[#This Row],[Fetal Sex (Male, Female or Unknown)]]="Female",Backend!$C$7,IF(Table1[[#This Row],[Fetal Sex (Male, Female or Unknown)]]="Unknown",Backend!$C$8,"Error"))),"")</f>
        <v/>
      </c>
      <c r="F9218" s="8" t="str">
        <f>IF(Table1[[#This Row],[Is Data Valid]]=TRUE,EXP(0.578+0.332*((Table1[[#This Row],[Gestation (days)]]+0.5)/7)-0.00354*((Table1[[#This Row],[Gestation (days)]]+0.5)/7)^2)*Table1[[#This Row],[BW40_3705]],"")</f>
        <v/>
      </c>
      <c r="G9218" s="2" t="str">
        <f>IF(Table1[[#This Row],[Is Data Valid]]=TRUE,((Table1[[#This Row],[Birthweight (grams)]]/Table1[[#This Row],[BW_GA]])-1)/(Backend!$B$4/100*Table1[[#This Row],[BW40_3705]]),"")</f>
        <v/>
      </c>
      <c r="H9218" s="7" t="str">
        <f>IF(Table1[[#This Row],[Is Data Valid]]=TRUE,((Table1[[#This Row],[Birthweight (grams)]]*0.9/Table1[[#This Row],[BW_GA]])-1)/(Backend!$B$4/100*Table1[[#This Row],[BW40_3705]]),"")</f>
        <v/>
      </c>
      <c r="I9218" s="7" t="str">
        <f>IF(Table1[[#This Row],[Is Data Valid]]=TRUE,((Table1[[#This Row],[Birthweight (grams)]]*1.1/Table1[[#This Row],[BW_GA]])-1)/(Backend!$B$4/100*Table1[[#This Row],[BW40_3705]]),"")</f>
        <v/>
      </c>
      <c r="J9218" s="7" t="str">
        <f>IF(Table1[[#This Row],[Is Data Valid]]=TRUE,_xlfn.NORM.S.DIST(Table1[[#This Row],[Birthweight Z-Score]],TRUE)*100,"")</f>
        <v/>
      </c>
      <c r="K9218" s="7" t="str">
        <f>IF(Table1[[#This Row],[Is Data Valid]]=TRUE,_xlfn.NORM.S.DIST(Table1[[#This Row],[Birthweight Z-Score (BW-10%)]],TRUE)*100,"")</f>
        <v/>
      </c>
      <c r="L9218" s="7" t="str">
        <f>IF(Table1[[#This Row],[Is Data Valid]]=TRUE,_xlfn.NORM.S.DIST(Table1[[#This Row],[Birthweight Z-Score (BW+10%)]],TRUE)*100,"")</f>
        <v/>
      </c>
    </row>
    <row r="9219" spans="1:12" x14ac:dyDescent="0.35">
      <c r="A9219" s="3"/>
      <c r="B9219" s="2"/>
      <c r="C9219" s="2"/>
      <c r="D9219" s="2" t="b">
        <f>IF(AND(NOT(ISBLANK(Table1[[#This Row],[Fetal Sex (Male, Female or Unknown)]])),ISNUMBER(Table1[[#This Row],[Birthweight (grams)]]),ISNUMBER(Table1[[#This Row],[Gestation (days)]])),TRUE,FALSE)</f>
        <v>0</v>
      </c>
      <c r="E9219" s="2" t="str">
        <f>IF(Table1[[#This Row],[Is Data Valid]]=TRUE,IF(Table1[[#This Row],[Fetal Sex (Male, Female or Unknown)]]="Male",Backend!$C$6,IF(Table1[[#This Row],[Fetal Sex (Male, Female or Unknown)]]="Female",Backend!$C$7,IF(Table1[[#This Row],[Fetal Sex (Male, Female or Unknown)]]="Unknown",Backend!$C$8,"Error"))),"")</f>
        <v/>
      </c>
      <c r="F9219" s="8" t="str">
        <f>IF(Table1[[#This Row],[Is Data Valid]]=TRUE,EXP(0.578+0.332*((Table1[[#This Row],[Gestation (days)]]+0.5)/7)-0.00354*((Table1[[#This Row],[Gestation (days)]]+0.5)/7)^2)*Table1[[#This Row],[BW40_3705]],"")</f>
        <v/>
      </c>
      <c r="G9219" s="2" t="str">
        <f>IF(Table1[[#This Row],[Is Data Valid]]=TRUE,((Table1[[#This Row],[Birthweight (grams)]]/Table1[[#This Row],[BW_GA]])-1)/(Backend!$B$4/100*Table1[[#This Row],[BW40_3705]]),"")</f>
        <v/>
      </c>
      <c r="H9219" s="7" t="str">
        <f>IF(Table1[[#This Row],[Is Data Valid]]=TRUE,((Table1[[#This Row],[Birthweight (grams)]]*0.9/Table1[[#This Row],[BW_GA]])-1)/(Backend!$B$4/100*Table1[[#This Row],[BW40_3705]]),"")</f>
        <v/>
      </c>
      <c r="I9219" s="7" t="str">
        <f>IF(Table1[[#This Row],[Is Data Valid]]=TRUE,((Table1[[#This Row],[Birthweight (grams)]]*1.1/Table1[[#This Row],[BW_GA]])-1)/(Backend!$B$4/100*Table1[[#This Row],[BW40_3705]]),"")</f>
        <v/>
      </c>
      <c r="J9219" s="7" t="str">
        <f>IF(Table1[[#This Row],[Is Data Valid]]=TRUE,_xlfn.NORM.S.DIST(Table1[[#This Row],[Birthweight Z-Score]],TRUE)*100,"")</f>
        <v/>
      </c>
      <c r="K9219" s="7" t="str">
        <f>IF(Table1[[#This Row],[Is Data Valid]]=TRUE,_xlfn.NORM.S.DIST(Table1[[#This Row],[Birthweight Z-Score (BW-10%)]],TRUE)*100,"")</f>
        <v/>
      </c>
      <c r="L9219" s="7" t="str">
        <f>IF(Table1[[#This Row],[Is Data Valid]]=TRUE,_xlfn.NORM.S.DIST(Table1[[#This Row],[Birthweight Z-Score (BW+10%)]],TRUE)*100,"")</f>
        <v/>
      </c>
    </row>
    <row r="9220" spans="1:12" x14ac:dyDescent="0.35">
      <c r="A9220" s="3"/>
      <c r="B9220" s="2"/>
      <c r="C9220" s="2"/>
      <c r="D9220" s="2" t="b">
        <f>IF(AND(NOT(ISBLANK(Table1[[#This Row],[Fetal Sex (Male, Female or Unknown)]])),ISNUMBER(Table1[[#This Row],[Birthweight (grams)]]),ISNUMBER(Table1[[#This Row],[Gestation (days)]])),TRUE,FALSE)</f>
        <v>0</v>
      </c>
      <c r="E9220" s="2" t="str">
        <f>IF(Table1[[#This Row],[Is Data Valid]]=TRUE,IF(Table1[[#This Row],[Fetal Sex (Male, Female or Unknown)]]="Male",Backend!$C$6,IF(Table1[[#This Row],[Fetal Sex (Male, Female or Unknown)]]="Female",Backend!$C$7,IF(Table1[[#This Row],[Fetal Sex (Male, Female or Unknown)]]="Unknown",Backend!$C$8,"Error"))),"")</f>
        <v/>
      </c>
      <c r="F9220" s="8" t="str">
        <f>IF(Table1[[#This Row],[Is Data Valid]]=TRUE,EXP(0.578+0.332*((Table1[[#This Row],[Gestation (days)]]+0.5)/7)-0.00354*((Table1[[#This Row],[Gestation (days)]]+0.5)/7)^2)*Table1[[#This Row],[BW40_3705]],"")</f>
        <v/>
      </c>
      <c r="G9220" s="2" t="str">
        <f>IF(Table1[[#This Row],[Is Data Valid]]=TRUE,((Table1[[#This Row],[Birthweight (grams)]]/Table1[[#This Row],[BW_GA]])-1)/(Backend!$B$4/100*Table1[[#This Row],[BW40_3705]]),"")</f>
        <v/>
      </c>
      <c r="H9220" s="7" t="str">
        <f>IF(Table1[[#This Row],[Is Data Valid]]=TRUE,((Table1[[#This Row],[Birthweight (grams)]]*0.9/Table1[[#This Row],[BW_GA]])-1)/(Backend!$B$4/100*Table1[[#This Row],[BW40_3705]]),"")</f>
        <v/>
      </c>
      <c r="I9220" s="7" t="str">
        <f>IF(Table1[[#This Row],[Is Data Valid]]=TRUE,((Table1[[#This Row],[Birthweight (grams)]]*1.1/Table1[[#This Row],[BW_GA]])-1)/(Backend!$B$4/100*Table1[[#This Row],[BW40_3705]]),"")</f>
        <v/>
      </c>
      <c r="J9220" s="7" t="str">
        <f>IF(Table1[[#This Row],[Is Data Valid]]=TRUE,_xlfn.NORM.S.DIST(Table1[[#This Row],[Birthweight Z-Score]],TRUE)*100,"")</f>
        <v/>
      </c>
      <c r="K9220" s="7" t="str">
        <f>IF(Table1[[#This Row],[Is Data Valid]]=TRUE,_xlfn.NORM.S.DIST(Table1[[#This Row],[Birthweight Z-Score (BW-10%)]],TRUE)*100,"")</f>
        <v/>
      </c>
      <c r="L9220" s="7" t="str">
        <f>IF(Table1[[#This Row],[Is Data Valid]]=TRUE,_xlfn.NORM.S.DIST(Table1[[#This Row],[Birthweight Z-Score (BW+10%)]],TRUE)*100,"")</f>
        <v/>
      </c>
    </row>
    <row r="9221" spans="1:12" x14ac:dyDescent="0.35">
      <c r="A9221" s="3"/>
      <c r="B9221" s="2"/>
      <c r="C9221" s="2"/>
      <c r="D9221" s="2" t="b">
        <f>IF(AND(NOT(ISBLANK(Table1[[#This Row],[Fetal Sex (Male, Female or Unknown)]])),ISNUMBER(Table1[[#This Row],[Birthweight (grams)]]),ISNUMBER(Table1[[#This Row],[Gestation (days)]])),TRUE,FALSE)</f>
        <v>0</v>
      </c>
      <c r="E9221" s="2" t="str">
        <f>IF(Table1[[#This Row],[Is Data Valid]]=TRUE,IF(Table1[[#This Row],[Fetal Sex (Male, Female or Unknown)]]="Male",Backend!$C$6,IF(Table1[[#This Row],[Fetal Sex (Male, Female or Unknown)]]="Female",Backend!$C$7,IF(Table1[[#This Row],[Fetal Sex (Male, Female or Unknown)]]="Unknown",Backend!$C$8,"Error"))),"")</f>
        <v/>
      </c>
      <c r="F9221" s="8" t="str">
        <f>IF(Table1[[#This Row],[Is Data Valid]]=TRUE,EXP(0.578+0.332*((Table1[[#This Row],[Gestation (days)]]+0.5)/7)-0.00354*((Table1[[#This Row],[Gestation (days)]]+0.5)/7)^2)*Table1[[#This Row],[BW40_3705]],"")</f>
        <v/>
      </c>
      <c r="G9221" s="2" t="str">
        <f>IF(Table1[[#This Row],[Is Data Valid]]=TRUE,((Table1[[#This Row],[Birthweight (grams)]]/Table1[[#This Row],[BW_GA]])-1)/(Backend!$B$4/100*Table1[[#This Row],[BW40_3705]]),"")</f>
        <v/>
      </c>
      <c r="H9221" s="7" t="str">
        <f>IF(Table1[[#This Row],[Is Data Valid]]=TRUE,((Table1[[#This Row],[Birthweight (grams)]]*0.9/Table1[[#This Row],[BW_GA]])-1)/(Backend!$B$4/100*Table1[[#This Row],[BW40_3705]]),"")</f>
        <v/>
      </c>
      <c r="I9221" s="7" t="str">
        <f>IF(Table1[[#This Row],[Is Data Valid]]=TRUE,((Table1[[#This Row],[Birthweight (grams)]]*1.1/Table1[[#This Row],[BW_GA]])-1)/(Backend!$B$4/100*Table1[[#This Row],[BW40_3705]]),"")</f>
        <v/>
      </c>
      <c r="J9221" s="7" t="str">
        <f>IF(Table1[[#This Row],[Is Data Valid]]=TRUE,_xlfn.NORM.S.DIST(Table1[[#This Row],[Birthweight Z-Score]],TRUE)*100,"")</f>
        <v/>
      </c>
      <c r="K9221" s="7" t="str">
        <f>IF(Table1[[#This Row],[Is Data Valid]]=TRUE,_xlfn.NORM.S.DIST(Table1[[#This Row],[Birthweight Z-Score (BW-10%)]],TRUE)*100,"")</f>
        <v/>
      </c>
      <c r="L9221" s="7" t="str">
        <f>IF(Table1[[#This Row],[Is Data Valid]]=TRUE,_xlfn.NORM.S.DIST(Table1[[#This Row],[Birthweight Z-Score (BW+10%)]],TRUE)*100,"")</f>
        <v/>
      </c>
    </row>
    <row r="9222" spans="1:12" x14ac:dyDescent="0.35">
      <c r="A9222" s="3"/>
      <c r="B9222" s="2"/>
      <c r="C9222" s="2"/>
      <c r="D9222" s="2" t="b">
        <f>IF(AND(NOT(ISBLANK(Table1[[#This Row],[Fetal Sex (Male, Female or Unknown)]])),ISNUMBER(Table1[[#This Row],[Birthweight (grams)]]),ISNUMBER(Table1[[#This Row],[Gestation (days)]])),TRUE,FALSE)</f>
        <v>0</v>
      </c>
      <c r="E9222" s="2" t="str">
        <f>IF(Table1[[#This Row],[Is Data Valid]]=TRUE,IF(Table1[[#This Row],[Fetal Sex (Male, Female or Unknown)]]="Male",Backend!$C$6,IF(Table1[[#This Row],[Fetal Sex (Male, Female or Unknown)]]="Female",Backend!$C$7,IF(Table1[[#This Row],[Fetal Sex (Male, Female or Unknown)]]="Unknown",Backend!$C$8,"Error"))),"")</f>
        <v/>
      </c>
      <c r="F9222" s="8" t="str">
        <f>IF(Table1[[#This Row],[Is Data Valid]]=TRUE,EXP(0.578+0.332*((Table1[[#This Row],[Gestation (days)]]+0.5)/7)-0.00354*((Table1[[#This Row],[Gestation (days)]]+0.5)/7)^2)*Table1[[#This Row],[BW40_3705]],"")</f>
        <v/>
      </c>
      <c r="G9222" s="2" t="str">
        <f>IF(Table1[[#This Row],[Is Data Valid]]=TRUE,((Table1[[#This Row],[Birthweight (grams)]]/Table1[[#This Row],[BW_GA]])-1)/(Backend!$B$4/100*Table1[[#This Row],[BW40_3705]]),"")</f>
        <v/>
      </c>
      <c r="H9222" s="7" t="str">
        <f>IF(Table1[[#This Row],[Is Data Valid]]=TRUE,((Table1[[#This Row],[Birthweight (grams)]]*0.9/Table1[[#This Row],[BW_GA]])-1)/(Backend!$B$4/100*Table1[[#This Row],[BW40_3705]]),"")</f>
        <v/>
      </c>
      <c r="I9222" s="7" t="str">
        <f>IF(Table1[[#This Row],[Is Data Valid]]=TRUE,((Table1[[#This Row],[Birthweight (grams)]]*1.1/Table1[[#This Row],[BW_GA]])-1)/(Backend!$B$4/100*Table1[[#This Row],[BW40_3705]]),"")</f>
        <v/>
      </c>
      <c r="J9222" s="7" t="str">
        <f>IF(Table1[[#This Row],[Is Data Valid]]=TRUE,_xlfn.NORM.S.DIST(Table1[[#This Row],[Birthweight Z-Score]],TRUE)*100,"")</f>
        <v/>
      </c>
      <c r="K9222" s="7" t="str">
        <f>IF(Table1[[#This Row],[Is Data Valid]]=TRUE,_xlfn.NORM.S.DIST(Table1[[#This Row],[Birthweight Z-Score (BW-10%)]],TRUE)*100,"")</f>
        <v/>
      </c>
      <c r="L9222" s="7" t="str">
        <f>IF(Table1[[#This Row],[Is Data Valid]]=TRUE,_xlfn.NORM.S.DIST(Table1[[#This Row],[Birthweight Z-Score (BW+10%)]],TRUE)*100,"")</f>
        <v/>
      </c>
    </row>
    <row r="9223" spans="1:12" x14ac:dyDescent="0.35">
      <c r="A9223" s="3"/>
      <c r="B9223" s="2"/>
      <c r="C9223" s="2"/>
      <c r="D9223" s="2" t="b">
        <f>IF(AND(NOT(ISBLANK(Table1[[#This Row],[Fetal Sex (Male, Female or Unknown)]])),ISNUMBER(Table1[[#This Row],[Birthweight (grams)]]),ISNUMBER(Table1[[#This Row],[Gestation (days)]])),TRUE,FALSE)</f>
        <v>0</v>
      </c>
      <c r="E9223" s="2" t="str">
        <f>IF(Table1[[#This Row],[Is Data Valid]]=TRUE,IF(Table1[[#This Row],[Fetal Sex (Male, Female or Unknown)]]="Male",Backend!$C$6,IF(Table1[[#This Row],[Fetal Sex (Male, Female or Unknown)]]="Female",Backend!$C$7,IF(Table1[[#This Row],[Fetal Sex (Male, Female or Unknown)]]="Unknown",Backend!$C$8,"Error"))),"")</f>
        <v/>
      </c>
      <c r="F9223" s="8" t="str">
        <f>IF(Table1[[#This Row],[Is Data Valid]]=TRUE,EXP(0.578+0.332*((Table1[[#This Row],[Gestation (days)]]+0.5)/7)-0.00354*((Table1[[#This Row],[Gestation (days)]]+0.5)/7)^2)*Table1[[#This Row],[BW40_3705]],"")</f>
        <v/>
      </c>
      <c r="G9223" s="2" t="str">
        <f>IF(Table1[[#This Row],[Is Data Valid]]=TRUE,((Table1[[#This Row],[Birthweight (grams)]]/Table1[[#This Row],[BW_GA]])-1)/(Backend!$B$4/100*Table1[[#This Row],[BW40_3705]]),"")</f>
        <v/>
      </c>
      <c r="H9223" s="7" t="str">
        <f>IF(Table1[[#This Row],[Is Data Valid]]=TRUE,((Table1[[#This Row],[Birthweight (grams)]]*0.9/Table1[[#This Row],[BW_GA]])-1)/(Backend!$B$4/100*Table1[[#This Row],[BW40_3705]]),"")</f>
        <v/>
      </c>
      <c r="I9223" s="7" t="str">
        <f>IF(Table1[[#This Row],[Is Data Valid]]=TRUE,((Table1[[#This Row],[Birthweight (grams)]]*1.1/Table1[[#This Row],[BW_GA]])-1)/(Backend!$B$4/100*Table1[[#This Row],[BW40_3705]]),"")</f>
        <v/>
      </c>
      <c r="J9223" s="7" t="str">
        <f>IF(Table1[[#This Row],[Is Data Valid]]=TRUE,_xlfn.NORM.S.DIST(Table1[[#This Row],[Birthweight Z-Score]],TRUE)*100,"")</f>
        <v/>
      </c>
      <c r="K9223" s="7" t="str">
        <f>IF(Table1[[#This Row],[Is Data Valid]]=TRUE,_xlfn.NORM.S.DIST(Table1[[#This Row],[Birthweight Z-Score (BW-10%)]],TRUE)*100,"")</f>
        <v/>
      </c>
      <c r="L9223" s="7" t="str">
        <f>IF(Table1[[#This Row],[Is Data Valid]]=TRUE,_xlfn.NORM.S.DIST(Table1[[#This Row],[Birthweight Z-Score (BW+10%)]],TRUE)*100,"")</f>
        <v/>
      </c>
    </row>
    <row r="9224" spans="1:12" x14ac:dyDescent="0.35">
      <c r="A9224" s="3"/>
      <c r="B9224" s="2"/>
      <c r="C9224" s="2"/>
      <c r="D9224" s="2" t="b">
        <f>IF(AND(NOT(ISBLANK(Table1[[#This Row],[Fetal Sex (Male, Female or Unknown)]])),ISNUMBER(Table1[[#This Row],[Birthweight (grams)]]),ISNUMBER(Table1[[#This Row],[Gestation (days)]])),TRUE,FALSE)</f>
        <v>0</v>
      </c>
      <c r="E9224" s="2" t="str">
        <f>IF(Table1[[#This Row],[Is Data Valid]]=TRUE,IF(Table1[[#This Row],[Fetal Sex (Male, Female or Unknown)]]="Male",Backend!$C$6,IF(Table1[[#This Row],[Fetal Sex (Male, Female or Unknown)]]="Female",Backend!$C$7,IF(Table1[[#This Row],[Fetal Sex (Male, Female or Unknown)]]="Unknown",Backend!$C$8,"Error"))),"")</f>
        <v/>
      </c>
      <c r="F9224" s="8" t="str">
        <f>IF(Table1[[#This Row],[Is Data Valid]]=TRUE,EXP(0.578+0.332*((Table1[[#This Row],[Gestation (days)]]+0.5)/7)-0.00354*((Table1[[#This Row],[Gestation (days)]]+0.5)/7)^2)*Table1[[#This Row],[BW40_3705]],"")</f>
        <v/>
      </c>
      <c r="G9224" s="2" t="str">
        <f>IF(Table1[[#This Row],[Is Data Valid]]=TRUE,((Table1[[#This Row],[Birthweight (grams)]]/Table1[[#This Row],[BW_GA]])-1)/(Backend!$B$4/100*Table1[[#This Row],[BW40_3705]]),"")</f>
        <v/>
      </c>
      <c r="H9224" s="7" t="str">
        <f>IF(Table1[[#This Row],[Is Data Valid]]=TRUE,((Table1[[#This Row],[Birthweight (grams)]]*0.9/Table1[[#This Row],[BW_GA]])-1)/(Backend!$B$4/100*Table1[[#This Row],[BW40_3705]]),"")</f>
        <v/>
      </c>
      <c r="I9224" s="7" t="str">
        <f>IF(Table1[[#This Row],[Is Data Valid]]=TRUE,((Table1[[#This Row],[Birthweight (grams)]]*1.1/Table1[[#This Row],[BW_GA]])-1)/(Backend!$B$4/100*Table1[[#This Row],[BW40_3705]]),"")</f>
        <v/>
      </c>
      <c r="J9224" s="7" t="str">
        <f>IF(Table1[[#This Row],[Is Data Valid]]=TRUE,_xlfn.NORM.S.DIST(Table1[[#This Row],[Birthweight Z-Score]],TRUE)*100,"")</f>
        <v/>
      </c>
      <c r="K9224" s="7" t="str">
        <f>IF(Table1[[#This Row],[Is Data Valid]]=TRUE,_xlfn.NORM.S.DIST(Table1[[#This Row],[Birthweight Z-Score (BW-10%)]],TRUE)*100,"")</f>
        <v/>
      </c>
      <c r="L9224" s="7" t="str">
        <f>IF(Table1[[#This Row],[Is Data Valid]]=TRUE,_xlfn.NORM.S.DIST(Table1[[#This Row],[Birthweight Z-Score (BW+10%)]],TRUE)*100,"")</f>
        <v/>
      </c>
    </row>
    <row r="9225" spans="1:12" x14ac:dyDescent="0.35">
      <c r="A9225" s="3"/>
      <c r="B9225" s="2"/>
      <c r="C9225" s="2"/>
      <c r="D9225" s="2" t="b">
        <f>IF(AND(NOT(ISBLANK(Table1[[#This Row],[Fetal Sex (Male, Female or Unknown)]])),ISNUMBER(Table1[[#This Row],[Birthweight (grams)]]),ISNUMBER(Table1[[#This Row],[Gestation (days)]])),TRUE,FALSE)</f>
        <v>0</v>
      </c>
      <c r="E9225" s="2" t="str">
        <f>IF(Table1[[#This Row],[Is Data Valid]]=TRUE,IF(Table1[[#This Row],[Fetal Sex (Male, Female or Unknown)]]="Male",Backend!$C$6,IF(Table1[[#This Row],[Fetal Sex (Male, Female or Unknown)]]="Female",Backend!$C$7,IF(Table1[[#This Row],[Fetal Sex (Male, Female or Unknown)]]="Unknown",Backend!$C$8,"Error"))),"")</f>
        <v/>
      </c>
      <c r="F9225" s="8" t="str">
        <f>IF(Table1[[#This Row],[Is Data Valid]]=TRUE,EXP(0.578+0.332*((Table1[[#This Row],[Gestation (days)]]+0.5)/7)-0.00354*((Table1[[#This Row],[Gestation (days)]]+0.5)/7)^2)*Table1[[#This Row],[BW40_3705]],"")</f>
        <v/>
      </c>
      <c r="G9225" s="2" t="str">
        <f>IF(Table1[[#This Row],[Is Data Valid]]=TRUE,((Table1[[#This Row],[Birthweight (grams)]]/Table1[[#This Row],[BW_GA]])-1)/(Backend!$B$4/100*Table1[[#This Row],[BW40_3705]]),"")</f>
        <v/>
      </c>
      <c r="H9225" s="7" t="str">
        <f>IF(Table1[[#This Row],[Is Data Valid]]=TRUE,((Table1[[#This Row],[Birthweight (grams)]]*0.9/Table1[[#This Row],[BW_GA]])-1)/(Backend!$B$4/100*Table1[[#This Row],[BW40_3705]]),"")</f>
        <v/>
      </c>
      <c r="I9225" s="7" t="str">
        <f>IF(Table1[[#This Row],[Is Data Valid]]=TRUE,((Table1[[#This Row],[Birthweight (grams)]]*1.1/Table1[[#This Row],[BW_GA]])-1)/(Backend!$B$4/100*Table1[[#This Row],[BW40_3705]]),"")</f>
        <v/>
      </c>
      <c r="J9225" s="7" t="str">
        <f>IF(Table1[[#This Row],[Is Data Valid]]=TRUE,_xlfn.NORM.S.DIST(Table1[[#This Row],[Birthweight Z-Score]],TRUE)*100,"")</f>
        <v/>
      </c>
      <c r="K9225" s="7" t="str">
        <f>IF(Table1[[#This Row],[Is Data Valid]]=TRUE,_xlfn.NORM.S.DIST(Table1[[#This Row],[Birthweight Z-Score (BW-10%)]],TRUE)*100,"")</f>
        <v/>
      </c>
      <c r="L9225" s="7" t="str">
        <f>IF(Table1[[#This Row],[Is Data Valid]]=TRUE,_xlfn.NORM.S.DIST(Table1[[#This Row],[Birthweight Z-Score (BW+10%)]],TRUE)*100,"")</f>
        <v/>
      </c>
    </row>
    <row r="9226" spans="1:12" x14ac:dyDescent="0.35">
      <c r="A9226" s="3"/>
      <c r="B9226" s="2"/>
      <c r="C9226" s="2"/>
      <c r="D9226" s="2" t="b">
        <f>IF(AND(NOT(ISBLANK(Table1[[#This Row],[Fetal Sex (Male, Female or Unknown)]])),ISNUMBER(Table1[[#This Row],[Birthweight (grams)]]),ISNUMBER(Table1[[#This Row],[Gestation (days)]])),TRUE,FALSE)</f>
        <v>0</v>
      </c>
      <c r="E9226" s="2" t="str">
        <f>IF(Table1[[#This Row],[Is Data Valid]]=TRUE,IF(Table1[[#This Row],[Fetal Sex (Male, Female or Unknown)]]="Male",Backend!$C$6,IF(Table1[[#This Row],[Fetal Sex (Male, Female or Unknown)]]="Female",Backend!$C$7,IF(Table1[[#This Row],[Fetal Sex (Male, Female or Unknown)]]="Unknown",Backend!$C$8,"Error"))),"")</f>
        <v/>
      </c>
      <c r="F9226" s="8" t="str">
        <f>IF(Table1[[#This Row],[Is Data Valid]]=TRUE,EXP(0.578+0.332*((Table1[[#This Row],[Gestation (days)]]+0.5)/7)-0.00354*((Table1[[#This Row],[Gestation (days)]]+0.5)/7)^2)*Table1[[#This Row],[BW40_3705]],"")</f>
        <v/>
      </c>
      <c r="G9226" s="2" t="str">
        <f>IF(Table1[[#This Row],[Is Data Valid]]=TRUE,((Table1[[#This Row],[Birthweight (grams)]]/Table1[[#This Row],[BW_GA]])-1)/(Backend!$B$4/100*Table1[[#This Row],[BW40_3705]]),"")</f>
        <v/>
      </c>
      <c r="H9226" s="7" t="str">
        <f>IF(Table1[[#This Row],[Is Data Valid]]=TRUE,((Table1[[#This Row],[Birthweight (grams)]]*0.9/Table1[[#This Row],[BW_GA]])-1)/(Backend!$B$4/100*Table1[[#This Row],[BW40_3705]]),"")</f>
        <v/>
      </c>
      <c r="I9226" s="7" t="str">
        <f>IF(Table1[[#This Row],[Is Data Valid]]=TRUE,((Table1[[#This Row],[Birthweight (grams)]]*1.1/Table1[[#This Row],[BW_GA]])-1)/(Backend!$B$4/100*Table1[[#This Row],[BW40_3705]]),"")</f>
        <v/>
      </c>
      <c r="J9226" s="7" t="str">
        <f>IF(Table1[[#This Row],[Is Data Valid]]=TRUE,_xlfn.NORM.S.DIST(Table1[[#This Row],[Birthweight Z-Score]],TRUE)*100,"")</f>
        <v/>
      </c>
      <c r="K9226" s="7" t="str">
        <f>IF(Table1[[#This Row],[Is Data Valid]]=TRUE,_xlfn.NORM.S.DIST(Table1[[#This Row],[Birthweight Z-Score (BW-10%)]],TRUE)*100,"")</f>
        <v/>
      </c>
      <c r="L9226" s="7" t="str">
        <f>IF(Table1[[#This Row],[Is Data Valid]]=TRUE,_xlfn.NORM.S.DIST(Table1[[#This Row],[Birthweight Z-Score (BW+10%)]],TRUE)*100,"")</f>
        <v/>
      </c>
    </row>
    <row r="9227" spans="1:12" x14ac:dyDescent="0.35">
      <c r="A9227" s="3"/>
      <c r="B9227" s="2"/>
      <c r="C9227" s="2"/>
      <c r="D9227" s="2" t="b">
        <f>IF(AND(NOT(ISBLANK(Table1[[#This Row],[Fetal Sex (Male, Female or Unknown)]])),ISNUMBER(Table1[[#This Row],[Birthweight (grams)]]),ISNUMBER(Table1[[#This Row],[Gestation (days)]])),TRUE,FALSE)</f>
        <v>0</v>
      </c>
      <c r="E9227" s="2" t="str">
        <f>IF(Table1[[#This Row],[Is Data Valid]]=TRUE,IF(Table1[[#This Row],[Fetal Sex (Male, Female or Unknown)]]="Male",Backend!$C$6,IF(Table1[[#This Row],[Fetal Sex (Male, Female or Unknown)]]="Female",Backend!$C$7,IF(Table1[[#This Row],[Fetal Sex (Male, Female or Unknown)]]="Unknown",Backend!$C$8,"Error"))),"")</f>
        <v/>
      </c>
      <c r="F9227" s="8" t="str">
        <f>IF(Table1[[#This Row],[Is Data Valid]]=TRUE,EXP(0.578+0.332*((Table1[[#This Row],[Gestation (days)]]+0.5)/7)-0.00354*((Table1[[#This Row],[Gestation (days)]]+0.5)/7)^2)*Table1[[#This Row],[BW40_3705]],"")</f>
        <v/>
      </c>
      <c r="G9227" s="2" t="str">
        <f>IF(Table1[[#This Row],[Is Data Valid]]=TRUE,((Table1[[#This Row],[Birthweight (grams)]]/Table1[[#This Row],[BW_GA]])-1)/(Backend!$B$4/100*Table1[[#This Row],[BW40_3705]]),"")</f>
        <v/>
      </c>
      <c r="H9227" s="7" t="str">
        <f>IF(Table1[[#This Row],[Is Data Valid]]=TRUE,((Table1[[#This Row],[Birthweight (grams)]]*0.9/Table1[[#This Row],[BW_GA]])-1)/(Backend!$B$4/100*Table1[[#This Row],[BW40_3705]]),"")</f>
        <v/>
      </c>
      <c r="I9227" s="7" t="str">
        <f>IF(Table1[[#This Row],[Is Data Valid]]=TRUE,((Table1[[#This Row],[Birthweight (grams)]]*1.1/Table1[[#This Row],[BW_GA]])-1)/(Backend!$B$4/100*Table1[[#This Row],[BW40_3705]]),"")</f>
        <v/>
      </c>
      <c r="J9227" s="7" t="str">
        <f>IF(Table1[[#This Row],[Is Data Valid]]=TRUE,_xlfn.NORM.S.DIST(Table1[[#This Row],[Birthweight Z-Score]],TRUE)*100,"")</f>
        <v/>
      </c>
      <c r="K9227" s="7" t="str">
        <f>IF(Table1[[#This Row],[Is Data Valid]]=TRUE,_xlfn.NORM.S.DIST(Table1[[#This Row],[Birthweight Z-Score (BW-10%)]],TRUE)*100,"")</f>
        <v/>
      </c>
      <c r="L9227" s="7" t="str">
        <f>IF(Table1[[#This Row],[Is Data Valid]]=TRUE,_xlfn.NORM.S.DIST(Table1[[#This Row],[Birthweight Z-Score (BW+10%)]],TRUE)*100,"")</f>
        <v/>
      </c>
    </row>
    <row r="9228" spans="1:12" x14ac:dyDescent="0.35">
      <c r="A9228" s="3"/>
      <c r="B9228" s="2"/>
      <c r="C9228" s="2"/>
      <c r="D9228" s="2" t="b">
        <f>IF(AND(NOT(ISBLANK(Table1[[#This Row],[Fetal Sex (Male, Female or Unknown)]])),ISNUMBER(Table1[[#This Row],[Birthweight (grams)]]),ISNUMBER(Table1[[#This Row],[Gestation (days)]])),TRUE,FALSE)</f>
        <v>0</v>
      </c>
      <c r="E9228" s="2" t="str">
        <f>IF(Table1[[#This Row],[Is Data Valid]]=TRUE,IF(Table1[[#This Row],[Fetal Sex (Male, Female or Unknown)]]="Male",Backend!$C$6,IF(Table1[[#This Row],[Fetal Sex (Male, Female or Unknown)]]="Female",Backend!$C$7,IF(Table1[[#This Row],[Fetal Sex (Male, Female or Unknown)]]="Unknown",Backend!$C$8,"Error"))),"")</f>
        <v/>
      </c>
      <c r="F9228" s="8" t="str">
        <f>IF(Table1[[#This Row],[Is Data Valid]]=TRUE,EXP(0.578+0.332*((Table1[[#This Row],[Gestation (days)]]+0.5)/7)-0.00354*((Table1[[#This Row],[Gestation (days)]]+0.5)/7)^2)*Table1[[#This Row],[BW40_3705]],"")</f>
        <v/>
      </c>
      <c r="G9228" s="2" t="str">
        <f>IF(Table1[[#This Row],[Is Data Valid]]=TRUE,((Table1[[#This Row],[Birthweight (grams)]]/Table1[[#This Row],[BW_GA]])-1)/(Backend!$B$4/100*Table1[[#This Row],[BW40_3705]]),"")</f>
        <v/>
      </c>
      <c r="H9228" s="7" t="str">
        <f>IF(Table1[[#This Row],[Is Data Valid]]=TRUE,((Table1[[#This Row],[Birthweight (grams)]]*0.9/Table1[[#This Row],[BW_GA]])-1)/(Backend!$B$4/100*Table1[[#This Row],[BW40_3705]]),"")</f>
        <v/>
      </c>
      <c r="I9228" s="7" t="str">
        <f>IF(Table1[[#This Row],[Is Data Valid]]=TRUE,((Table1[[#This Row],[Birthweight (grams)]]*1.1/Table1[[#This Row],[BW_GA]])-1)/(Backend!$B$4/100*Table1[[#This Row],[BW40_3705]]),"")</f>
        <v/>
      </c>
      <c r="J9228" s="7" t="str">
        <f>IF(Table1[[#This Row],[Is Data Valid]]=TRUE,_xlfn.NORM.S.DIST(Table1[[#This Row],[Birthweight Z-Score]],TRUE)*100,"")</f>
        <v/>
      </c>
      <c r="K9228" s="7" t="str">
        <f>IF(Table1[[#This Row],[Is Data Valid]]=TRUE,_xlfn.NORM.S.DIST(Table1[[#This Row],[Birthweight Z-Score (BW-10%)]],TRUE)*100,"")</f>
        <v/>
      </c>
      <c r="L9228" s="7" t="str">
        <f>IF(Table1[[#This Row],[Is Data Valid]]=TRUE,_xlfn.NORM.S.DIST(Table1[[#This Row],[Birthweight Z-Score (BW+10%)]],TRUE)*100,"")</f>
        <v/>
      </c>
    </row>
    <row r="9229" spans="1:12" x14ac:dyDescent="0.35">
      <c r="A9229" s="3"/>
      <c r="B9229" s="2"/>
      <c r="C9229" s="2"/>
      <c r="D9229" s="2" t="b">
        <f>IF(AND(NOT(ISBLANK(Table1[[#This Row],[Fetal Sex (Male, Female or Unknown)]])),ISNUMBER(Table1[[#This Row],[Birthweight (grams)]]),ISNUMBER(Table1[[#This Row],[Gestation (days)]])),TRUE,FALSE)</f>
        <v>0</v>
      </c>
      <c r="E9229" s="2" t="str">
        <f>IF(Table1[[#This Row],[Is Data Valid]]=TRUE,IF(Table1[[#This Row],[Fetal Sex (Male, Female or Unknown)]]="Male",Backend!$C$6,IF(Table1[[#This Row],[Fetal Sex (Male, Female or Unknown)]]="Female",Backend!$C$7,IF(Table1[[#This Row],[Fetal Sex (Male, Female or Unknown)]]="Unknown",Backend!$C$8,"Error"))),"")</f>
        <v/>
      </c>
      <c r="F9229" s="8" t="str">
        <f>IF(Table1[[#This Row],[Is Data Valid]]=TRUE,EXP(0.578+0.332*((Table1[[#This Row],[Gestation (days)]]+0.5)/7)-0.00354*((Table1[[#This Row],[Gestation (days)]]+0.5)/7)^2)*Table1[[#This Row],[BW40_3705]],"")</f>
        <v/>
      </c>
      <c r="G9229" s="2" t="str">
        <f>IF(Table1[[#This Row],[Is Data Valid]]=TRUE,((Table1[[#This Row],[Birthweight (grams)]]/Table1[[#This Row],[BW_GA]])-1)/(Backend!$B$4/100*Table1[[#This Row],[BW40_3705]]),"")</f>
        <v/>
      </c>
      <c r="H9229" s="7" t="str">
        <f>IF(Table1[[#This Row],[Is Data Valid]]=TRUE,((Table1[[#This Row],[Birthweight (grams)]]*0.9/Table1[[#This Row],[BW_GA]])-1)/(Backend!$B$4/100*Table1[[#This Row],[BW40_3705]]),"")</f>
        <v/>
      </c>
      <c r="I9229" s="7" t="str">
        <f>IF(Table1[[#This Row],[Is Data Valid]]=TRUE,((Table1[[#This Row],[Birthweight (grams)]]*1.1/Table1[[#This Row],[BW_GA]])-1)/(Backend!$B$4/100*Table1[[#This Row],[BW40_3705]]),"")</f>
        <v/>
      </c>
      <c r="J9229" s="7" t="str">
        <f>IF(Table1[[#This Row],[Is Data Valid]]=TRUE,_xlfn.NORM.S.DIST(Table1[[#This Row],[Birthweight Z-Score]],TRUE)*100,"")</f>
        <v/>
      </c>
      <c r="K9229" s="7" t="str">
        <f>IF(Table1[[#This Row],[Is Data Valid]]=TRUE,_xlfn.NORM.S.DIST(Table1[[#This Row],[Birthweight Z-Score (BW-10%)]],TRUE)*100,"")</f>
        <v/>
      </c>
      <c r="L9229" s="7" t="str">
        <f>IF(Table1[[#This Row],[Is Data Valid]]=TRUE,_xlfn.NORM.S.DIST(Table1[[#This Row],[Birthweight Z-Score (BW+10%)]],TRUE)*100,"")</f>
        <v/>
      </c>
    </row>
    <row r="9230" spans="1:12" x14ac:dyDescent="0.35">
      <c r="A9230" s="3"/>
      <c r="B9230" s="2"/>
      <c r="C9230" s="2"/>
      <c r="D9230" s="2" t="b">
        <f>IF(AND(NOT(ISBLANK(Table1[[#This Row],[Fetal Sex (Male, Female or Unknown)]])),ISNUMBER(Table1[[#This Row],[Birthweight (grams)]]),ISNUMBER(Table1[[#This Row],[Gestation (days)]])),TRUE,FALSE)</f>
        <v>0</v>
      </c>
      <c r="E9230" s="2" t="str">
        <f>IF(Table1[[#This Row],[Is Data Valid]]=TRUE,IF(Table1[[#This Row],[Fetal Sex (Male, Female or Unknown)]]="Male",Backend!$C$6,IF(Table1[[#This Row],[Fetal Sex (Male, Female or Unknown)]]="Female",Backend!$C$7,IF(Table1[[#This Row],[Fetal Sex (Male, Female or Unknown)]]="Unknown",Backend!$C$8,"Error"))),"")</f>
        <v/>
      </c>
      <c r="F9230" s="8" t="str">
        <f>IF(Table1[[#This Row],[Is Data Valid]]=TRUE,EXP(0.578+0.332*((Table1[[#This Row],[Gestation (days)]]+0.5)/7)-0.00354*((Table1[[#This Row],[Gestation (days)]]+0.5)/7)^2)*Table1[[#This Row],[BW40_3705]],"")</f>
        <v/>
      </c>
      <c r="G9230" s="2" t="str">
        <f>IF(Table1[[#This Row],[Is Data Valid]]=TRUE,((Table1[[#This Row],[Birthweight (grams)]]/Table1[[#This Row],[BW_GA]])-1)/(Backend!$B$4/100*Table1[[#This Row],[BW40_3705]]),"")</f>
        <v/>
      </c>
      <c r="H9230" s="7" t="str">
        <f>IF(Table1[[#This Row],[Is Data Valid]]=TRUE,((Table1[[#This Row],[Birthweight (grams)]]*0.9/Table1[[#This Row],[BW_GA]])-1)/(Backend!$B$4/100*Table1[[#This Row],[BW40_3705]]),"")</f>
        <v/>
      </c>
      <c r="I9230" s="7" t="str">
        <f>IF(Table1[[#This Row],[Is Data Valid]]=TRUE,((Table1[[#This Row],[Birthweight (grams)]]*1.1/Table1[[#This Row],[BW_GA]])-1)/(Backend!$B$4/100*Table1[[#This Row],[BW40_3705]]),"")</f>
        <v/>
      </c>
      <c r="J9230" s="7" t="str">
        <f>IF(Table1[[#This Row],[Is Data Valid]]=TRUE,_xlfn.NORM.S.DIST(Table1[[#This Row],[Birthweight Z-Score]],TRUE)*100,"")</f>
        <v/>
      </c>
      <c r="K9230" s="7" t="str">
        <f>IF(Table1[[#This Row],[Is Data Valid]]=TRUE,_xlfn.NORM.S.DIST(Table1[[#This Row],[Birthweight Z-Score (BW-10%)]],TRUE)*100,"")</f>
        <v/>
      </c>
      <c r="L9230" s="7" t="str">
        <f>IF(Table1[[#This Row],[Is Data Valid]]=TRUE,_xlfn.NORM.S.DIST(Table1[[#This Row],[Birthweight Z-Score (BW+10%)]],TRUE)*100,"")</f>
        <v/>
      </c>
    </row>
    <row r="9231" spans="1:12" x14ac:dyDescent="0.35">
      <c r="A9231" s="3"/>
      <c r="B9231" s="2"/>
      <c r="C9231" s="2"/>
      <c r="D9231" s="2" t="b">
        <f>IF(AND(NOT(ISBLANK(Table1[[#This Row],[Fetal Sex (Male, Female or Unknown)]])),ISNUMBER(Table1[[#This Row],[Birthweight (grams)]]),ISNUMBER(Table1[[#This Row],[Gestation (days)]])),TRUE,FALSE)</f>
        <v>0</v>
      </c>
      <c r="E9231" s="2" t="str">
        <f>IF(Table1[[#This Row],[Is Data Valid]]=TRUE,IF(Table1[[#This Row],[Fetal Sex (Male, Female or Unknown)]]="Male",Backend!$C$6,IF(Table1[[#This Row],[Fetal Sex (Male, Female or Unknown)]]="Female",Backend!$C$7,IF(Table1[[#This Row],[Fetal Sex (Male, Female or Unknown)]]="Unknown",Backend!$C$8,"Error"))),"")</f>
        <v/>
      </c>
      <c r="F9231" s="8" t="str">
        <f>IF(Table1[[#This Row],[Is Data Valid]]=TRUE,EXP(0.578+0.332*((Table1[[#This Row],[Gestation (days)]]+0.5)/7)-0.00354*((Table1[[#This Row],[Gestation (days)]]+0.5)/7)^2)*Table1[[#This Row],[BW40_3705]],"")</f>
        <v/>
      </c>
      <c r="G9231" s="2" t="str">
        <f>IF(Table1[[#This Row],[Is Data Valid]]=TRUE,((Table1[[#This Row],[Birthweight (grams)]]/Table1[[#This Row],[BW_GA]])-1)/(Backend!$B$4/100*Table1[[#This Row],[BW40_3705]]),"")</f>
        <v/>
      </c>
      <c r="H9231" s="7" t="str">
        <f>IF(Table1[[#This Row],[Is Data Valid]]=TRUE,((Table1[[#This Row],[Birthweight (grams)]]*0.9/Table1[[#This Row],[BW_GA]])-1)/(Backend!$B$4/100*Table1[[#This Row],[BW40_3705]]),"")</f>
        <v/>
      </c>
      <c r="I9231" s="7" t="str">
        <f>IF(Table1[[#This Row],[Is Data Valid]]=TRUE,((Table1[[#This Row],[Birthweight (grams)]]*1.1/Table1[[#This Row],[BW_GA]])-1)/(Backend!$B$4/100*Table1[[#This Row],[BW40_3705]]),"")</f>
        <v/>
      </c>
      <c r="J9231" s="7" t="str">
        <f>IF(Table1[[#This Row],[Is Data Valid]]=TRUE,_xlfn.NORM.S.DIST(Table1[[#This Row],[Birthweight Z-Score]],TRUE)*100,"")</f>
        <v/>
      </c>
      <c r="K9231" s="7" t="str">
        <f>IF(Table1[[#This Row],[Is Data Valid]]=TRUE,_xlfn.NORM.S.DIST(Table1[[#This Row],[Birthweight Z-Score (BW-10%)]],TRUE)*100,"")</f>
        <v/>
      </c>
      <c r="L9231" s="7" t="str">
        <f>IF(Table1[[#This Row],[Is Data Valid]]=TRUE,_xlfn.NORM.S.DIST(Table1[[#This Row],[Birthweight Z-Score (BW+10%)]],TRUE)*100,"")</f>
        <v/>
      </c>
    </row>
    <row r="9232" spans="1:12" x14ac:dyDescent="0.35">
      <c r="A9232" s="3"/>
      <c r="B9232" s="2"/>
      <c r="C9232" s="2"/>
      <c r="D9232" s="2" t="b">
        <f>IF(AND(NOT(ISBLANK(Table1[[#This Row],[Fetal Sex (Male, Female or Unknown)]])),ISNUMBER(Table1[[#This Row],[Birthweight (grams)]]),ISNUMBER(Table1[[#This Row],[Gestation (days)]])),TRUE,FALSE)</f>
        <v>0</v>
      </c>
      <c r="E9232" s="2" t="str">
        <f>IF(Table1[[#This Row],[Is Data Valid]]=TRUE,IF(Table1[[#This Row],[Fetal Sex (Male, Female or Unknown)]]="Male",Backend!$C$6,IF(Table1[[#This Row],[Fetal Sex (Male, Female or Unknown)]]="Female",Backend!$C$7,IF(Table1[[#This Row],[Fetal Sex (Male, Female or Unknown)]]="Unknown",Backend!$C$8,"Error"))),"")</f>
        <v/>
      </c>
      <c r="F9232" s="8" t="str">
        <f>IF(Table1[[#This Row],[Is Data Valid]]=TRUE,EXP(0.578+0.332*((Table1[[#This Row],[Gestation (days)]]+0.5)/7)-0.00354*((Table1[[#This Row],[Gestation (days)]]+0.5)/7)^2)*Table1[[#This Row],[BW40_3705]],"")</f>
        <v/>
      </c>
      <c r="G9232" s="2" t="str">
        <f>IF(Table1[[#This Row],[Is Data Valid]]=TRUE,((Table1[[#This Row],[Birthweight (grams)]]/Table1[[#This Row],[BW_GA]])-1)/(Backend!$B$4/100*Table1[[#This Row],[BW40_3705]]),"")</f>
        <v/>
      </c>
      <c r="H9232" s="7" t="str">
        <f>IF(Table1[[#This Row],[Is Data Valid]]=TRUE,((Table1[[#This Row],[Birthweight (grams)]]*0.9/Table1[[#This Row],[BW_GA]])-1)/(Backend!$B$4/100*Table1[[#This Row],[BW40_3705]]),"")</f>
        <v/>
      </c>
      <c r="I9232" s="7" t="str">
        <f>IF(Table1[[#This Row],[Is Data Valid]]=TRUE,((Table1[[#This Row],[Birthweight (grams)]]*1.1/Table1[[#This Row],[BW_GA]])-1)/(Backend!$B$4/100*Table1[[#This Row],[BW40_3705]]),"")</f>
        <v/>
      </c>
      <c r="J9232" s="7" t="str">
        <f>IF(Table1[[#This Row],[Is Data Valid]]=TRUE,_xlfn.NORM.S.DIST(Table1[[#This Row],[Birthweight Z-Score]],TRUE)*100,"")</f>
        <v/>
      </c>
      <c r="K9232" s="7" t="str">
        <f>IF(Table1[[#This Row],[Is Data Valid]]=TRUE,_xlfn.NORM.S.DIST(Table1[[#This Row],[Birthweight Z-Score (BW-10%)]],TRUE)*100,"")</f>
        <v/>
      </c>
      <c r="L9232" s="7" t="str">
        <f>IF(Table1[[#This Row],[Is Data Valid]]=TRUE,_xlfn.NORM.S.DIST(Table1[[#This Row],[Birthweight Z-Score (BW+10%)]],TRUE)*100,"")</f>
        <v/>
      </c>
    </row>
    <row r="9233" spans="1:12" x14ac:dyDescent="0.35">
      <c r="A9233" s="3"/>
      <c r="B9233" s="2"/>
      <c r="C9233" s="2"/>
      <c r="D9233" s="2" t="b">
        <f>IF(AND(NOT(ISBLANK(Table1[[#This Row],[Fetal Sex (Male, Female or Unknown)]])),ISNUMBER(Table1[[#This Row],[Birthweight (grams)]]),ISNUMBER(Table1[[#This Row],[Gestation (days)]])),TRUE,FALSE)</f>
        <v>0</v>
      </c>
      <c r="E9233" s="2" t="str">
        <f>IF(Table1[[#This Row],[Is Data Valid]]=TRUE,IF(Table1[[#This Row],[Fetal Sex (Male, Female or Unknown)]]="Male",Backend!$C$6,IF(Table1[[#This Row],[Fetal Sex (Male, Female or Unknown)]]="Female",Backend!$C$7,IF(Table1[[#This Row],[Fetal Sex (Male, Female or Unknown)]]="Unknown",Backend!$C$8,"Error"))),"")</f>
        <v/>
      </c>
      <c r="F9233" s="8" t="str">
        <f>IF(Table1[[#This Row],[Is Data Valid]]=TRUE,EXP(0.578+0.332*((Table1[[#This Row],[Gestation (days)]]+0.5)/7)-0.00354*((Table1[[#This Row],[Gestation (days)]]+0.5)/7)^2)*Table1[[#This Row],[BW40_3705]],"")</f>
        <v/>
      </c>
      <c r="G9233" s="2" t="str">
        <f>IF(Table1[[#This Row],[Is Data Valid]]=TRUE,((Table1[[#This Row],[Birthweight (grams)]]/Table1[[#This Row],[BW_GA]])-1)/(Backend!$B$4/100*Table1[[#This Row],[BW40_3705]]),"")</f>
        <v/>
      </c>
      <c r="H9233" s="7" t="str">
        <f>IF(Table1[[#This Row],[Is Data Valid]]=TRUE,((Table1[[#This Row],[Birthweight (grams)]]*0.9/Table1[[#This Row],[BW_GA]])-1)/(Backend!$B$4/100*Table1[[#This Row],[BW40_3705]]),"")</f>
        <v/>
      </c>
      <c r="I9233" s="7" t="str">
        <f>IF(Table1[[#This Row],[Is Data Valid]]=TRUE,((Table1[[#This Row],[Birthweight (grams)]]*1.1/Table1[[#This Row],[BW_GA]])-1)/(Backend!$B$4/100*Table1[[#This Row],[BW40_3705]]),"")</f>
        <v/>
      </c>
      <c r="J9233" s="7" t="str">
        <f>IF(Table1[[#This Row],[Is Data Valid]]=TRUE,_xlfn.NORM.S.DIST(Table1[[#This Row],[Birthweight Z-Score]],TRUE)*100,"")</f>
        <v/>
      </c>
      <c r="K9233" s="7" t="str">
        <f>IF(Table1[[#This Row],[Is Data Valid]]=TRUE,_xlfn.NORM.S.DIST(Table1[[#This Row],[Birthweight Z-Score (BW-10%)]],TRUE)*100,"")</f>
        <v/>
      </c>
      <c r="L9233" s="7" t="str">
        <f>IF(Table1[[#This Row],[Is Data Valid]]=TRUE,_xlfn.NORM.S.DIST(Table1[[#This Row],[Birthweight Z-Score (BW+10%)]],TRUE)*100,"")</f>
        <v/>
      </c>
    </row>
    <row r="9234" spans="1:12" x14ac:dyDescent="0.35">
      <c r="A9234" s="3"/>
      <c r="B9234" s="2"/>
      <c r="C9234" s="2"/>
      <c r="D9234" s="2" t="b">
        <f>IF(AND(NOT(ISBLANK(Table1[[#This Row],[Fetal Sex (Male, Female or Unknown)]])),ISNUMBER(Table1[[#This Row],[Birthweight (grams)]]),ISNUMBER(Table1[[#This Row],[Gestation (days)]])),TRUE,FALSE)</f>
        <v>0</v>
      </c>
      <c r="E9234" s="2" t="str">
        <f>IF(Table1[[#This Row],[Is Data Valid]]=TRUE,IF(Table1[[#This Row],[Fetal Sex (Male, Female or Unknown)]]="Male",Backend!$C$6,IF(Table1[[#This Row],[Fetal Sex (Male, Female or Unknown)]]="Female",Backend!$C$7,IF(Table1[[#This Row],[Fetal Sex (Male, Female or Unknown)]]="Unknown",Backend!$C$8,"Error"))),"")</f>
        <v/>
      </c>
      <c r="F9234" s="8" t="str">
        <f>IF(Table1[[#This Row],[Is Data Valid]]=TRUE,EXP(0.578+0.332*((Table1[[#This Row],[Gestation (days)]]+0.5)/7)-0.00354*((Table1[[#This Row],[Gestation (days)]]+0.5)/7)^2)*Table1[[#This Row],[BW40_3705]],"")</f>
        <v/>
      </c>
      <c r="G9234" s="2" t="str">
        <f>IF(Table1[[#This Row],[Is Data Valid]]=TRUE,((Table1[[#This Row],[Birthweight (grams)]]/Table1[[#This Row],[BW_GA]])-1)/(Backend!$B$4/100*Table1[[#This Row],[BW40_3705]]),"")</f>
        <v/>
      </c>
      <c r="H9234" s="7" t="str">
        <f>IF(Table1[[#This Row],[Is Data Valid]]=TRUE,((Table1[[#This Row],[Birthweight (grams)]]*0.9/Table1[[#This Row],[BW_GA]])-1)/(Backend!$B$4/100*Table1[[#This Row],[BW40_3705]]),"")</f>
        <v/>
      </c>
      <c r="I9234" s="7" t="str">
        <f>IF(Table1[[#This Row],[Is Data Valid]]=TRUE,((Table1[[#This Row],[Birthweight (grams)]]*1.1/Table1[[#This Row],[BW_GA]])-1)/(Backend!$B$4/100*Table1[[#This Row],[BW40_3705]]),"")</f>
        <v/>
      </c>
      <c r="J9234" s="7" t="str">
        <f>IF(Table1[[#This Row],[Is Data Valid]]=TRUE,_xlfn.NORM.S.DIST(Table1[[#This Row],[Birthweight Z-Score]],TRUE)*100,"")</f>
        <v/>
      </c>
      <c r="K9234" s="7" t="str">
        <f>IF(Table1[[#This Row],[Is Data Valid]]=TRUE,_xlfn.NORM.S.DIST(Table1[[#This Row],[Birthweight Z-Score (BW-10%)]],TRUE)*100,"")</f>
        <v/>
      </c>
      <c r="L9234" s="7" t="str">
        <f>IF(Table1[[#This Row],[Is Data Valid]]=TRUE,_xlfn.NORM.S.DIST(Table1[[#This Row],[Birthweight Z-Score (BW+10%)]],TRUE)*100,"")</f>
        <v/>
      </c>
    </row>
    <row r="9235" spans="1:12" x14ac:dyDescent="0.35">
      <c r="A9235" s="3"/>
      <c r="B9235" s="2"/>
      <c r="C9235" s="2"/>
      <c r="D9235" s="2" t="b">
        <f>IF(AND(NOT(ISBLANK(Table1[[#This Row],[Fetal Sex (Male, Female or Unknown)]])),ISNUMBER(Table1[[#This Row],[Birthweight (grams)]]),ISNUMBER(Table1[[#This Row],[Gestation (days)]])),TRUE,FALSE)</f>
        <v>0</v>
      </c>
      <c r="E9235" s="2" t="str">
        <f>IF(Table1[[#This Row],[Is Data Valid]]=TRUE,IF(Table1[[#This Row],[Fetal Sex (Male, Female or Unknown)]]="Male",Backend!$C$6,IF(Table1[[#This Row],[Fetal Sex (Male, Female or Unknown)]]="Female",Backend!$C$7,IF(Table1[[#This Row],[Fetal Sex (Male, Female or Unknown)]]="Unknown",Backend!$C$8,"Error"))),"")</f>
        <v/>
      </c>
      <c r="F9235" s="8" t="str">
        <f>IF(Table1[[#This Row],[Is Data Valid]]=TRUE,EXP(0.578+0.332*((Table1[[#This Row],[Gestation (days)]]+0.5)/7)-0.00354*((Table1[[#This Row],[Gestation (days)]]+0.5)/7)^2)*Table1[[#This Row],[BW40_3705]],"")</f>
        <v/>
      </c>
      <c r="G9235" s="2" t="str">
        <f>IF(Table1[[#This Row],[Is Data Valid]]=TRUE,((Table1[[#This Row],[Birthweight (grams)]]/Table1[[#This Row],[BW_GA]])-1)/(Backend!$B$4/100*Table1[[#This Row],[BW40_3705]]),"")</f>
        <v/>
      </c>
      <c r="H9235" s="7" t="str">
        <f>IF(Table1[[#This Row],[Is Data Valid]]=TRUE,((Table1[[#This Row],[Birthweight (grams)]]*0.9/Table1[[#This Row],[BW_GA]])-1)/(Backend!$B$4/100*Table1[[#This Row],[BW40_3705]]),"")</f>
        <v/>
      </c>
      <c r="I9235" s="7" t="str">
        <f>IF(Table1[[#This Row],[Is Data Valid]]=TRUE,((Table1[[#This Row],[Birthweight (grams)]]*1.1/Table1[[#This Row],[BW_GA]])-1)/(Backend!$B$4/100*Table1[[#This Row],[BW40_3705]]),"")</f>
        <v/>
      </c>
      <c r="J9235" s="7" t="str">
        <f>IF(Table1[[#This Row],[Is Data Valid]]=TRUE,_xlfn.NORM.S.DIST(Table1[[#This Row],[Birthweight Z-Score]],TRUE)*100,"")</f>
        <v/>
      </c>
      <c r="K9235" s="7" t="str">
        <f>IF(Table1[[#This Row],[Is Data Valid]]=TRUE,_xlfn.NORM.S.DIST(Table1[[#This Row],[Birthweight Z-Score (BW-10%)]],TRUE)*100,"")</f>
        <v/>
      </c>
      <c r="L9235" s="7" t="str">
        <f>IF(Table1[[#This Row],[Is Data Valid]]=TRUE,_xlfn.NORM.S.DIST(Table1[[#This Row],[Birthweight Z-Score (BW+10%)]],TRUE)*100,"")</f>
        <v/>
      </c>
    </row>
    <row r="9236" spans="1:12" x14ac:dyDescent="0.35">
      <c r="A9236" s="3"/>
      <c r="B9236" s="2"/>
      <c r="C9236" s="2"/>
      <c r="D9236" s="2" t="b">
        <f>IF(AND(NOT(ISBLANK(Table1[[#This Row],[Fetal Sex (Male, Female or Unknown)]])),ISNUMBER(Table1[[#This Row],[Birthweight (grams)]]),ISNUMBER(Table1[[#This Row],[Gestation (days)]])),TRUE,FALSE)</f>
        <v>0</v>
      </c>
      <c r="E9236" s="2" t="str">
        <f>IF(Table1[[#This Row],[Is Data Valid]]=TRUE,IF(Table1[[#This Row],[Fetal Sex (Male, Female or Unknown)]]="Male",Backend!$C$6,IF(Table1[[#This Row],[Fetal Sex (Male, Female or Unknown)]]="Female",Backend!$C$7,IF(Table1[[#This Row],[Fetal Sex (Male, Female or Unknown)]]="Unknown",Backend!$C$8,"Error"))),"")</f>
        <v/>
      </c>
      <c r="F9236" s="8" t="str">
        <f>IF(Table1[[#This Row],[Is Data Valid]]=TRUE,EXP(0.578+0.332*((Table1[[#This Row],[Gestation (days)]]+0.5)/7)-0.00354*((Table1[[#This Row],[Gestation (days)]]+0.5)/7)^2)*Table1[[#This Row],[BW40_3705]],"")</f>
        <v/>
      </c>
      <c r="G9236" s="2" t="str">
        <f>IF(Table1[[#This Row],[Is Data Valid]]=TRUE,((Table1[[#This Row],[Birthweight (grams)]]/Table1[[#This Row],[BW_GA]])-1)/(Backend!$B$4/100*Table1[[#This Row],[BW40_3705]]),"")</f>
        <v/>
      </c>
      <c r="H9236" s="7" t="str">
        <f>IF(Table1[[#This Row],[Is Data Valid]]=TRUE,((Table1[[#This Row],[Birthweight (grams)]]*0.9/Table1[[#This Row],[BW_GA]])-1)/(Backend!$B$4/100*Table1[[#This Row],[BW40_3705]]),"")</f>
        <v/>
      </c>
      <c r="I9236" s="7" t="str">
        <f>IF(Table1[[#This Row],[Is Data Valid]]=TRUE,((Table1[[#This Row],[Birthweight (grams)]]*1.1/Table1[[#This Row],[BW_GA]])-1)/(Backend!$B$4/100*Table1[[#This Row],[BW40_3705]]),"")</f>
        <v/>
      </c>
      <c r="J9236" s="7" t="str">
        <f>IF(Table1[[#This Row],[Is Data Valid]]=TRUE,_xlfn.NORM.S.DIST(Table1[[#This Row],[Birthweight Z-Score]],TRUE)*100,"")</f>
        <v/>
      </c>
      <c r="K9236" s="7" t="str">
        <f>IF(Table1[[#This Row],[Is Data Valid]]=TRUE,_xlfn.NORM.S.DIST(Table1[[#This Row],[Birthweight Z-Score (BW-10%)]],TRUE)*100,"")</f>
        <v/>
      </c>
      <c r="L9236" s="7" t="str">
        <f>IF(Table1[[#This Row],[Is Data Valid]]=TRUE,_xlfn.NORM.S.DIST(Table1[[#This Row],[Birthweight Z-Score (BW+10%)]],TRUE)*100,"")</f>
        <v/>
      </c>
    </row>
    <row r="9237" spans="1:12" x14ac:dyDescent="0.35">
      <c r="A9237" s="3"/>
      <c r="B9237" s="2"/>
      <c r="C9237" s="2"/>
      <c r="D9237" s="2" t="b">
        <f>IF(AND(NOT(ISBLANK(Table1[[#This Row],[Fetal Sex (Male, Female or Unknown)]])),ISNUMBER(Table1[[#This Row],[Birthweight (grams)]]),ISNUMBER(Table1[[#This Row],[Gestation (days)]])),TRUE,FALSE)</f>
        <v>0</v>
      </c>
      <c r="E9237" s="2" t="str">
        <f>IF(Table1[[#This Row],[Is Data Valid]]=TRUE,IF(Table1[[#This Row],[Fetal Sex (Male, Female or Unknown)]]="Male",Backend!$C$6,IF(Table1[[#This Row],[Fetal Sex (Male, Female or Unknown)]]="Female",Backend!$C$7,IF(Table1[[#This Row],[Fetal Sex (Male, Female or Unknown)]]="Unknown",Backend!$C$8,"Error"))),"")</f>
        <v/>
      </c>
      <c r="F9237" s="8" t="str">
        <f>IF(Table1[[#This Row],[Is Data Valid]]=TRUE,EXP(0.578+0.332*((Table1[[#This Row],[Gestation (days)]]+0.5)/7)-0.00354*((Table1[[#This Row],[Gestation (days)]]+0.5)/7)^2)*Table1[[#This Row],[BW40_3705]],"")</f>
        <v/>
      </c>
      <c r="G9237" s="2" t="str">
        <f>IF(Table1[[#This Row],[Is Data Valid]]=TRUE,((Table1[[#This Row],[Birthweight (grams)]]/Table1[[#This Row],[BW_GA]])-1)/(Backend!$B$4/100*Table1[[#This Row],[BW40_3705]]),"")</f>
        <v/>
      </c>
      <c r="H9237" s="7" t="str">
        <f>IF(Table1[[#This Row],[Is Data Valid]]=TRUE,((Table1[[#This Row],[Birthweight (grams)]]*0.9/Table1[[#This Row],[BW_GA]])-1)/(Backend!$B$4/100*Table1[[#This Row],[BW40_3705]]),"")</f>
        <v/>
      </c>
      <c r="I9237" s="7" t="str">
        <f>IF(Table1[[#This Row],[Is Data Valid]]=TRUE,((Table1[[#This Row],[Birthweight (grams)]]*1.1/Table1[[#This Row],[BW_GA]])-1)/(Backend!$B$4/100*Table1[[#This Row],[BW40_3705]]),"")</f>
        <v/>
      </c>
      <c r="J9237" s="7" t="str">
        <f>IF(Table1[[#This Row],[Is Data Valid]]=TRUE,_xlfn.NORM.S.DIST(Table1[[#This Row],[Birthweight Z-Score]],TRUE)*100,"")</f>
        <v/>
      </c>
      <c r="K9237" s="7" t="str">
        <f>IF(Table1[[#This Row],[Is Data Valid]]=TRUE,_xlfn.NORM.S.DIST(Table1[[#This Row],[Birthweight Z-Score (BW-10%)]],TRUE)*100,"")</f>
        <v/>
      </c>
      <c r="L9237" s="7" t="str">
        <f>IF(Table1[[#This Row],[Is Data Valid]]=TRUE,_xlfn.NORM.S.DIST(Table1[[#This Row],[Birthweight Z-Score (BW+10%)]],TRUE)*100,"")</f>
        <v/>
      </c>
    </row>
    <row r="9238" spans="1:12" x14ac:dyDescent="0.35">
      <c r="A9238" s="3"/>
      <c r="B9238" s="2"/>
      <c r="C9238" s="2"/>
      <c r="D9238" s="2" t="b">
        <f>IF(AND(NOT(ISBLANK(Table1[[#This Row],[Fetal Sex (Male, Female or Unknown)]])),ISNUMBER(Table1[[#This Row],[Birthweight (grams)]]),ISNUMBER(Table1[[#This Row],[Gestation (days)]])),TRUE,FALSE)</f>
        <v>0</v>
      </c>
      <c r="E9238" s="2" t="str">
        <f>IF(Table1[[#This Row],[Is Data Valid]]=TRUE,IF(Table1[[#This Row],[Fetal Sex (Male, Female or Unknown)]]="Male",Backend!$C$6,IF(Table1[[#This Row],[Fetal Sex (Male, Female or Unknown)]]="Female",Backend!$C$7,IF(Table1[[#This Row],[Fetal Sex (Male, Female or Unknown)]]="Unknown",Backend!$C$8,"Error"))),"")</f>
        <v/>
      </c>
      <c r="F9238" s="8" t="str">
        <f>IF(Table1[[#This Row],[Is Data Valid]]=TRUE,EXP(0.578+0.332*((Table1[[#This Row],[Gestation (days)]]+0.5)/7)-0.00354*((Table1[[#This Row],[Gestation (days)]]+0.5)/7)^2)*Table1[[#This Row],[BW40_3705]],"")</f>
        <v/>
      </c>
      <c r="G9238" s="2" t="str">
        <f>IF(Table1[[#This Row],[Is Data Valid]]=TRUE,((Table1[[#This Row],[Birthweight (grams)]]/Table1[[#This Row],[BW_GA]])-1)/(Backend!$B$4/100*Table1[[#This Row],[BW40_3705]]),"")</f>
        <v/>
      </c>
      <c r="H9238" s="7" t="str">
        <f>IF(Table1[[#This Row],[Is Data Valid]]=TRUE,((Table1[[#This Row],[Birthweight (grams)]]*0.9/Table1[[#This Row],[BW_GA]])-1)/(Backend!$B$4/100*Table1[[#This Row],[BW40_3705]]),"")</f>
        <v/>
      </c>
      <c r="I9238" s="7" t="str">
        <f>IF(Table1[[#This Row],[Is Data Valid]]=TRUE,((Table1[[#This Row],[Birthweight (grams)]]*1.1/Table1[[#This Row],[BW_GA]])-1)/(Backend!$B$4/100*Table1[[#This Row],[BW40_3705]]),"")</f>
        <v/>
      </c>
      <c r="J9238" s="7" t="str">
        <f>IF(Table1[[#This Row],[Is Data Valid]]=TRUE,_xlfn.NORM.S.DIST(Table1[[#This Row],[Birthweight Z-Score]],TRUE)*100,"")</f>
        <v/>
      </c>
      <c r="K9238" s="7" t="str">
        <f>IF(Table1[[#This Row],[Is Data Valid]]=TRUE,_xlfn.NORM.S.DIST(Table1[[#This Row],[Birthweight Z-Score (BW-10%)]],TRUE)*100,"")</f>
        <v/>
      </c>
      <c r="L9238" s="7" t="str">
        <f>IF(Table1[[#This Row],[Is Data Valid]]=TRUE,_xlfn.NORM.S.DIST(Table1[[#This Row],[Birthweight Z-Score (BW+10%)]],TRUE)*100,"")</f>
        <v/>
      </c>
    </row>
    <row r="9239" spans="1:12" x14ac:dyDescent="0.35">
      <c r="A9239" s="3"/>
      <c r="B9239" s="2"/>
      <c r="C9239" s="2"/>
      <c r="D9239" s="2" t="b">
        <f>IF(AND(NOT(ISBLANK(Table1[[#This Row],[Fetal Sex (Male, Female or Unknown)]])),ISNUMBER(Table1[[#This Row],[Birthweight (grams)]]),ISNUMBER(Table1[[#This Row],[Gestation (days)]])),TRUE,FALSE)</f>
        <v>0</v>
      </c>
      <c r="E9239" s="2" t="str">
        <f>IF(Table1[[#This Row],[Is Data Valid]]=TRUE,IF(Table1[[#This Row],[Fetal Sex (Male, Female or Unknown)]]="Male",Backend!$C$6,IF(Table1[[#This Row],[Fetal Sex (Male, Female or Unknown)]]="Female",Backend!$C$7,IF(Table1[[#This Row],[Fetal Sex (Male, Female or Unknown)]]="Unknown",Backend!$C$8,"Error"))),"")</f>
        <v/>
      </c>
      <c r="F9239" s="8" t="str">
        <f>IF(Table1[[#This Row],[Is Data Valid]]=TRUE,EXP(0.578+0.332*((Table1[[#This Row],[Gestation (days)]]+0.5)/7)-0.00354*((Table1[[#This Row],[Gestation (days)]]+0.5)/7)^2)*Table1[[#This Row],[BW40_3705]],"")</f>
        <v/>
      </c>
      <c r="G9239" s="2" t="str">
        <f>IF(Table1[[#This Row],[Is Data Valid]]=TRUE,((Table1[[#This Row],[Birthweight (grams)]]/Table1[[#This Row],[BW_GA]])-1)/(Backend!$B$4/100*Table1[[#This Row],[BW40_3705]]),"")</f>
        <v/>
      </c>
      <c r="H9239" s="7" t="str">
        <f>IF(Table1[[#This Row],[Is Data Valid]]=TRUE,((Table1[[#This Row],[Birthweight (grams)]]*0.9/Table1[[#This Row],[BW_GA]])-1)/(Backend!$B$4/100*Table1[[#This Row],[BW40_3705]]),"")</f>
        <v/>
      </c>
      <c r="I9239" s="7" t="str">
        <f>IF(Table1[[#This Row],[Is Data Valid]]=TRUE,((Table1[[#This Row],[Birthweight (grams)]]*1.1/Table1[[#This Row],[BW_GA]])-1)/(Backend!$B$4/100*Table1[[#This Row],[BW40_3705]]),"")</f>
        <v/>
      </c>
      <c r="J9239" s="7" t="str">
        <f>IF(Table1[[#This Row],[Is Data Valid]]=TRUE,_xlfn.NORM.S.DIST(Table1[[#This Row],[Birthweight Z-Score]],TRUE)*100,"")</f>
        <v/>
      </c>
      <c r="K9239" s="7" t="str">
        <f>IF(Table1[[#This Row],[Is Data Valid]]=TRUE,_xlfn.NORM.S.DIST(Table1[[#This Row],[Birthweight Z-Score (BW-10%)]],TRUE)*100,"")</f>
        <v/>
      </c>
      <c r="L9239" s="7" t="str">
        <f>IF(Table1[[#This Row],[Is Data Valid]]=TRUE,_xlfn.NORM.S.DIST(Table1[[#This Row],[Birthweight Z-Score (BW+10%)]],TRUE)*100,"")</f>
        <v/>
      </c>
    </row>
    <row r="9240" spans="1:12" x14ac:dyDescent="0.35">
      <c r="A9240" s="3"/>
      <c r="B9240" s="2"/>
      <c r="C9240" s="2"/>
      <c r="D9240" s="2" t="b">
        <f>IF(AND(NOT(ISBLANK(Table1[[#This Row],[Fetal Sex (Male, Female or Unknown)]])),ISNUMBER(Table1[[#This Row],[Birthweight (grams)]]),ISNUMBER(Table1[[#This Row],[Gestation (days)]])),TRUE,FALSE)</f>
        <v>0</v>
      </c>
      <c r="E9240" s="2" t="str">
        <f>IF(Table1[[#This Row],[Is Data Valid]]=TRUE,IF(Table1[[#This Row],[Fetal Sex (Male, Female or Unknown)]]="Male",Backend!$C$6,IF(Table1[[#This Row],[Fetal Sex (Male, Female or Unknown)]]="Female",Backend!$C$7,IF(Table1[[#This Row],[Fetal Sex (Male, Female or Unknown)]]="Unknown",Backend!$C$8,"Error"))),"")</f>
        <v/>
      </c>
      <c r="F9240" s="8" t="str">
        <f>IF(Table1[[#This Row],[Is Data Valid]]=TRUE,EXP(0.578+0.332*((Table1[[#This Row],[Gestation (days)]]+0.5)/7)-0.00354*((Table1[[#This Row],[Gestation (days)]]+0.5)/7)^2)*Table1[[#This Row],[BW40_3705]],"")</f>
        <v/>
      </c>
      <c r="G9240" s="2" t="str">
        <f>IF(Table1[[#This Row],[Is Data Valid]]=TRUE,((Table1[[#This Row],[Birthweight (grams)]]/Table1[[#This Row],[BW_GA]])-1)/(Backend!$B$4/100*Table1[[#This Row],[BW40_3705]]),"")</f>
        <v/>
      </c>
      <c r="H9240" s="7" t="str">
        <f>IF(Table1[[#This Row],[Is Data Valid]]=TRUE,((Table1[[#This Row],[Birthweight (grams)]]*0.9/Table1[[#This Row],[BW_GA]])-1)/(Backend!$B$4/100*Table1[[#This Row],[BW40_3705]]),"")</f>
        <v/>
      </c>
      <c r="I9240" s="7" t="str">
        <f>IF(Table1[[#This Row],[Is Data Valid]]=TRUE,((Table1[[#This Row],[Birthweight (grams)]]*1.1/Table1[[#This Row],[BW_GA]])-1)/(Backend!$B$4/100*Table1[[#This Row],[BW40_3705]]),"")</f>
        <v/>
      </c>
      <c r="J9240" s="7" t="str">
        <f>IF(Table1[[#This Row],[Is Data Valid]]=TRUE,_xlfn.NORM.S.DIST(Table1[[#This Row],[Birthweight Z-Score]],TRUE)*100,"")</f>
        <v/>
      </c>
      <c r="K9240" s="7" t="str">
        <f>IF(Table1[[#This Row],[Is Data Valid]]=TRUE,_xlfn.NORM.S.DIST(Table1[[#This Row],[Birthweight Z-Score (BW-10%)]],TRUE)*100,"")</f>
        <v/>
      </c>
      <c r="L9240" s="7" t="str">
        <f>IF(Table1[[#This Row],[Is Data Valid]]=TRUE,_xlfn.NORM.S.DIST(Table1[[#This Row],[Birthweight Z-Score (BW+10%)]],TRUE)*100,"")</f>
        <v/>
      </c>
    </row>
    <row r="9241" spans="1:12" x14ac:dyDescent="0.35">
      <c r="A9241" s="3"/>
      <c r="B9241" s="2"/>
      <c r="C9241" s="2"/>
      <c r="D9241" s="2" t="b">
        <f>IF(AND(NOT(ISBLANK(Table1[[#This Row],[Fetal Sex (Male, Female or Unknown)]])),ISNUMBER(Table1[[#This Row],[Birthweight (grams)]]),ISNUMBER(Table1[[#This Row],[Gestation (days)]])),TRUE,FALSE)</f>
        <v>0</v>
      </c>
      <c r="E9241" s="2" t="str">
        <f>IF(Table1[[#This Row],[Is Data Valid]]=TRUE,IF(Table1[[#This Row],[Fetal Sex (Male, Female or Unknown)]]="Male",Backend!$C$6,IF(Table1[[#This Row],[Fetal Sex (Male, Female or Unknown)]]="Female",Backend!$C$7,IF(Table1[[#This Row],[Fetal Sex (Male, Female or Unknown)]]="Unknown",Backend!$C$8,"Error"))),"")</f>
        <v/>
      </c>
      <c r="F9241" s="8" t="str">
        <f>IF(Table1[[#This Row],[Is Data Valid]]=TRUE,EXP(0.578+0.332*((Table1[[#This Row],[Gestation (days)]]+0.5)/7)-0.00354*((Table1[[#This Row],[Gestation (days)]]+0.5)/7)^2)*Table1[[#This Row],[BW40_3705]],"")</f>
        <v/>
      </c>
      <c r="G9241" s="2" t="str">
        <f>IF(Table1[[#This Row],[Is Data Valid]]=TRUE,((Table1[[#This Row],[Birthweight (grams)]]/Table1[[#This Row],[BW_GA]])-1)/(Backend!$B$4/100*Table1[[#This Row],[BW40_3705]]),"")</f>
        <v/>
      </c>
      <c r="H9241" s="7" t="str">
        <f>IF(Table1[[#This Row],[Is Data Valid]]=TRUE,((Table1[[#This Row],[Birthweight (grams)]]*0.9/Table1[[#This Row],[BW_GA]])-1)/(Backend!$B$4/100*Table1[[#This Row],[BW40_3705]]),"")</f>
        <v/>
      </c>
      <c r="I9241" s="7" t="str">
        <f>IF(Table1[[#This Row],[Is Data Valid]]=TRUE,((Table1[[#This Row],[Birthweight (grams)]]*1.1/Table1[[#This Row],[BW_GA]])-1)/(Backend!$B$4/100*Table1[[#This Row],[BW40_3705]]),"")</f>
        <v/>
      </c>
      <c r="J9241" s="7" t="str">
        <f>IF(Table1[[#This Row],[Is Data Valid]]=TRUE,_xlfn.NORM.S.DIST(Table1[[#This Row],[Birthweight Z-Score]],TRUE)*100,"")</f>
        <v/>
      </c>
      <c r="K9241" s="7" t="str">
        <f>IF(Table1[[#This Row],[Is Data Valid]]=TRUE,_xlfn.NORM.S.DIST(Table1[[#This Row],[Birthweight Z-Score (BW-10%)]],TRUE)*100,"")</f>
        <v/>
      </c>
      <c r="L9241" s="7" t="str">
        <f>IF(Table1[[#This Row],[Is Data Valid]]=TRUE,_xlfn.NORM.S.DIST(Table1[[#This Row],[Birthweight Z-Score (BW+10%)]],TRUE)*100,"")</f>
        <v/>
      </c>
    </row>
    <row r="9242" spans="1:12" x14ac:dyDescent="0.35">
      <c r="A9242" s="3"/>
      <c r="B9242" s="2"/>
      <c r="C9242" s="2"/>
      <c r="D9242" s="2" t="b">
        <f>IF(AND(NOT(ISBLANK(Table1[[#This Row],[Fetal Sex (Male, Female or Unknown)]])),ISNUMBER(Table1[[#This Row],[Birthweight (grams)]]),ISNUMBER(Table1[[#This Row],[Gestation (days)]])),TRUE,FALSE)</f>
        <v>0</v>
      </c>
      <c r="E9242" s="2" t="str">
        <f>IF(Table1[[#This Row],[Is Data Valid]]=TRUE,IF(Table1[[#This Row],[Fetal Sex (Male, Female or Unknown)]]="Male",Backend!$C$6,IF(Table1[[#This Row],[Fetal Sex (Male, Female or Unknown)]]="Female",Backend!$C$7,IF(Table1[[#This Row],[Fetal Sex (Male, Female or Unknown)]]="Unknown",Backend!$C$8,"Error"))),"")</f>
        <v/>
      </c>
      <c r="F9242" s="8" t="str">
        <f>IF(Table1[[#This Row],[Is Data Valid]]=TRUE,EXP(0.578+0.332*((Table1[[#This Row],[Gestation (days)]]+0.5)/7)-0.00354*((Table1[[#This Row],[Gestation (days)]]+0.5)/7)^2)*Table1[[#This Row],[BW40_3705]],"")</f>
        <v/>
      </c>
      <c r="G9242" s="2" t="str">
        <f>IF(Table1[[#This Row],[Is Data Valid]]=TRUE,((Table1[[#This Row],[Birthweight (grams)]]/Table1[[#This Row],[BW_GA]])-1)/(Backend!$B$4/100*Table1[[#This Row],[BW40_3705]]),"")</f>
        <v/>
      </c>
      <c r="H9242" s="7" t="str">
        <f>IF(Table1[[#This Row],[Is Data Valid]]=TRUE,((Table1[[#This Row],[Birthweight (grams)]]*0.9/Table1[[#This Row],[BW_GA]])-1)/(Backend!$B$4/100*Table1[[#This Row],[BW40_3705]]),"")</f>
        <v/>
      </c>
      <c r="I9242" s="7" t="str">
        <f>IF(Table1[[#This Row],[Is Data Valid]]=TRUE,((Table1[[#This Row],[Birthweight (grams)]]*1.1/Table1[[#This Row],[BW_GA]])-1)/(Backend!$B$4/100*Table1[[#This Row],[BW40_3705]]),"")</f>
        <v/>
      </c>
      <c r="J9242" s="7" t="str">
        <f>IF(Table1[[#This Row],[Is Data Valid]]=TRUE,_xlfn.NORM.S.DIST(Table1[[#This Row],[Birthweight Z-Score]],TRUE)*100,"")</f>
        <v/>
      </c>
      <c r="K9242" s="7" t="str">
        <f>IF(Table1[[#This Row],[Is Data Valid]]=TRUE,_xlfn.NORM.S.DIST(Table1[[#This Row],[Birthweight Z-Score (BW-10%)]],TRUE)*100,"")</f>
        <v/>
      </c>
      <c r="L9242" s="7" t="str">
        <f>IF(Table1[[#This Row],[Is Data Valid]]=TRUE,_xlfn.NORM.S.DIST(Table1[[#This Row],[Birthweight Z-Score (BW+10%)]],TRUE)*100,"")</f>
        <v/>
      </c>
    </row>
    <row r="9243" spans="1:12" x14ac:dyDescent="0.35">
      <c r="A9243" s="3"/>
      <c r="B9243" s="2"/>
      <c r="C9243" s="2"/>
      <c r="D9243" s="2" t="b">
        <f>IF(AND(NOT(ISBLANK(Table1[[#This Row],[Fetal Sex (Male, Female or Unknown)]])),ISNUMBER(Table1[[#This Row],[Birthweight (grams)]]),ISNUMBER(Table1[[#This Row],[Gestation (days)]])),TRUE,FALSE)</f>
        <v>0</v>
      </c>
      <c r="E9243" s="2" t="str">
        <f>IF(Table1[[#This Row],[Is Data Valid]]=TRUE,IF(Table1[[#This Row],[Fetal Sex (Male, Female or Unknown)]]="Male",Backend!$C$6,IF(Table1[[#This Row],[Fetal Sex (Male, Female or Unknown)]]="Female",Backend!$C$7,IF(Table1[[#This Row],[Fetal Sex (Male, Female or Unknown)]]="Unknown",Backend!$C$8,"Error"))),"")</f>
        <v/>
      </c>
      <c r="F9243" s="8" t="str">
        <f>IF(Table1[[#This Row],[Is Data Valid]]=TRUE,EXP(0.578+0.332*((Table1[[#This Row],[Gestation (days)]]+0.5)/7)-0.00354*((Table1[[#This Row],[Gestation (days)]]+0.5)/7)^2)*Table1[[#This Row],[BW40_3705]],"")</f>
        <v/>
      </c>
      <c r="G9243" s="2" t="str">
        <f>IF(Table1[[#This Row],[Is Data Valid]]=TRUE,((Table1[[#This Row],[Birthweight (grams)]]/Table1[[#This Row],[BW_GA]])-1)/(Backend!$B$4/100*Table1[[#This Row],[BW40_3705]]),"")</f>
        <v/>
      </c>
      <c r="H9243" s="7" t="str">
        <f>IF(Table1[[#This Row],[Is Data Valid]]=TRUE,((Table1[[#This Row],[Birthweight (grams)]]*0.9/Table1[[#This Row],[BW_GA]])-1)/(Backend!$B$4/100*Table1[[#This Row],[BW40_3705]]),"")</f>
        <v/>
      </c>
      <c r="I9243" s="7" t="str">
        <f>IF(Table1[[#This Row],[Is Data Valid]]=TRUE,((Table1[[#This Row],[Birthweight (grams)]]*1.1/Table1[[#This Row],[BW_GA]])-1)/(Backend!$B$4/100*Table1[[#This Row],[BW40_3705]]),"")</f>
        <v/>
      </c>
      <c r="J9243" s="7" t="str">
        <f>IF(Table1[[#This Row],[Is Data Valid]]=TRUE,_xlfn.NORM.S.DIST(Table1[[#This Row],[Birthweight Z-Score]],TRUE)*100,"")</f>
        <v/>
      </c>
      <c r="K9243" s="7" t="str">
        <f>IF(Table1[[#This Row],[Is Data Valid]]=TRUE,_xlfn.NORM.S.DIST(Table1[[#This Row],[Birthweight Z-Score (BW-10%)]],TRUE)*100,"")</f>
        <v/>
      </c>
      <c r="L9243" s="7" t="str">
        <f>IF(Table1[[#This Row],[Is Data Valid]]=TRUE,_xlfn.NORM.S.DIST(Table1[[#This Row],[Birthweight Z-Score (BW+10%)]],TRUE)*100,"")</f>
        <v/>
      </c>
    </row>
    <row r="9244" spans="1:12" x14ac:dyDescent="0.35">
      <c r="A9244" s="3"/>
      <c r="B9244" s="2"/>
      <c r="C9244" s="2"/>
      <c r="D9244" s="2" t="b">
        <f>IF(AND(NOT(ISBLANK(Table1[[#This Row],[Fetal Sex (Male, Female or Unknown)]])),ISNUMBER(Table1[[#This Row],[Birthweight (grams)]]),ISNUMBER(Table1[[#This Row],[Gestation (days)]])),TRUE,FALSE)</f>
        <v>0</v>
      </c>
      <c r="E9244" s="2" t="str">
        <f>IF(Table1[[#This Row],[Is Data Valid]]=TRUE,IF(Table1[[#This Row],[Fetal Sex (Male, Female or Unknown)]]="Male",Backend!$C$6,IF(Table1[[#This Row],[Fetal Sex (Male, Female or Unknown)]]="Female",Backend!$C$7,IF(Table1[[#This Row],[Fetal Sex (Male, Female or Unknown)]]="Unknown",Backend!$C$8,"Error"))),"")</f>
        <v/>
      </c>
      <c r="F9244" s="8" t="str">
        <f>IF(Table1[[#This Row],[Is Data Valid]]=TRUE,EXP(0.578+0.332*((Table1[[#This Row],[Gestation (days)]]+0.5)/7)-0.00354*((Table1[[#This Row],[Gestation (days)]]+0.5)/7)^2)*Table1[[#This Row],[BW40_3705]],"")</f>
        <v/>
      </c>
      <c r="G9244" s="2" t="str">
        <f>IF(Table1[[#This Row],[Is Data Valid]]=TRUE,((Table1[[#This Row],[Birthweight (grams)]]/Table1[[#This Row],[BW_GA]])-1)/(Backend!$B$4/100*Table1[[#This Row],[BW40_3705]]),"")</f>
        <v/>
      </c>
      <c r="H9244" s="7" t="str">
        <f>IF(Table1[[#This Row],[Is Data Valid]]=TRUE,((Table1[[#This Row],[Birthweight (grams)]]*0.9/Table1[[#This Row],[BW_GA]])-1)/(Backend!$B$4/100*Table1[[#This Row],[BW40_3705]]),"")</f>
        <v/>
      </c>
      <c r="I9244" s="7" t="str">
        <f>IF(Table1[[#This Row],[Is Data Valid]]=TRUE,((Table1[[#This Row],[Birthweight (grams)]]*1.1/Table1[[#This Row],[BW_GA]])-1)/(Backend!$B$4/100*Table1[[#This Row],[BW40_3705]]),"")</f>
        <v/>
      </c>
      <c r="J9244" s="7" t="str">
        <f>IF(Table1[[#This Row],[Is Data Valid]]=TRUE,_xlfn.NORM.S.DIST(Table1[[#This Row],[Birthweight Z-Score]],TRUE)*100,"")</f>
        <v/>
      </c>
      <c r="K9244" s="7" t="str">
        <f>IF(Table1[[#This Row],[Is Data Valid]]=TRUE,_xlfn.NORM.S.DIST(Table1[[#This Row],[Birthweight Z-Score (BW-10%)]],TRUE)*100,"")</f>
        <v/>
      </c>
      <c r="L9244" s="7" t="str">
        <f>IF(Table1[[#This Row],[Is Data Valid]]=TRUE,_xlfn.NORM.S.DIST(Table1[[#This Row],[Birthweight Z-Score (BW+10%)]],TRUE)*100,"")</f>
        <v/>
      </c>
    </row>
    <row r="9245" spans="1:12" x14ac:dyDescent="0.35">
      <c r="A9245" s="3"/>
      <c r="B9245" s="2"/>
      <c r="C9245" s="2"/>
      <c r="D9245" s="2" t="b">
        <f>IF(AND(NOT(ISBLANK(Table1[[#This Row],[Fetal Sex (Male, Female or Unknown)]])),ISNUMBER(Table1[[#This Row],[Birthweight (grams)]]),ISNUMBER(Table1[[#This Row],[Gestation (days)]])),TRUE,FALSE)</f>
        <v>0</v>
      </c>
      <c r="E9245" s="2" t="str">
        <f>IF(Table1[[#This Row],[Is Data Valid]]=TRUE,IF(Table1[[#This Row],[Fetal Sex (Male, Female or Unknown)]]="Male",Backend!$C$6,IF(Table1[[#This Row],[Fetal Sex (Male, Female or Unknown)]]="Female",Backend!$C$7,IF(Table1[[#This Row],[Fetal Sex (Male, Female or Unknown)]]="Unknown",Backend!$C$8,"Error"))),"")</f>
        <v/>
      </c>
      <c r="F9245" s="8" t="str">
        <f>IF(Table1[[#This Row],[Is Data Valid]]=TRUE,EXP(0.578+0.332*((Table1[[#This Row],[Gestation (days)]]+0.5)/7)-0.00354*((Table1[[#This Row],[Gestation (days)]]+0.5)/7)^2)*Table1[[#This Row],[BW40_3705]],"")</f>
        <v/>
      </c>
      <c r="G9245" s="2" t="str">
        <f>IF(Table1[[#This Row],[Is Data Valid]]=TRUE,((Table1[[#This Row],[Birthweight (grams)]]/Table1[[#This Row],[BW_GA]])-1)/(Backend!$B$4/100*Table1[[#This Row],[BW40_3705]]),"")</f>
        <v/>
      </c>
      <c r="H9245" s="7" t="str">
        <f>IF(Table1[[#This Row],[Is Data Valid]]=TRUE,((Table1[[#This Row],[Birthweight (grams)]]*0.9/Table1[[#This Row],[BW_GA]])-1)/(Backend!$B$4/100*Table1[[#This Row],[BW40_3705]]),"")</f>
        <v/>
      </c>
      <c r="I9245" s="7" t="str">
        <f>IF(Table1[[#This Row],[Is Data Valid]]=TRUE,((Table1[[#This Row],[Birthweight (grams)]]*1.1/Table1[[#This Row],[BW_GA]])-1)/(Backend!$B$4/100*Table1[[#This Row],[BW40_3705]]),"")</f>
        <v/>
      </c>
      <c r="J9245" s="7" t="str">
        <f>IF(Table1[[#This Row],[Is Data Valid]]=TRUE,_xlfn.NORM.S.DIST(Table1[[#This Row],[Birthweight Z-Score]],TRUE)*100,"")</f>
        <v/>
      </c>
      <c r="K9245" s="7" t="str">
        <f>IF(Table1[[#This Row],[Is Data Valid]]=TRUE,_xlfn.NORM.S.DIST(Table1[[#This Row],[Birthweight Z-Score (BW-10%)]],TRUE)*100,"")</f>
        <v/>
      </c>
      <c r="L9245" s="7" t="str">
        <f>IF(Table1[[#This Row],[Is Data Valid]]=TRUE,_xlfn.NORM.S.DIST(Table1[[#This Row],[Birthweight Z-Score (BW+10%)]],TRUE)*100,"")</f>
        <v/>
      </c>
    </row>
    <row r="9246" spans="1:12" x14ac:dyDescent="0.35">
      <c r="A9246" s="3"/>
      <c r="B9246" s="2"/>
      <c r="C9246" s="2"/>
      <c r="D9246" s="2" t="b">
        <f>IF(AND(NOT(ISBLANK(Table1[[#This Row],[Fetal Sex (Male, Female or Unknown)]])),ISNUMBER(Table1[[#This Row],[Birthweight (grams)]]),ISNUMBER(Table1[[#This Row],[Gestation (days)]])),TRUE,FALSE)</f>
        <v>0</v>
      </c>
      <c r="E9246" s="2" t="str">
        <f>IF(Table1[[#This Row],[Is Data Valid]]=TRUE,IF(Table1[[#This Row],[Fetal Sex (Male, Female or Unknown)]]="Male",Backend!$C$6,IF(Table1[[#This Row],[Fetal Sex (Male, Female or Unknown)]]="Female",Backend!$C$7,IF(Table1[[#This Row],[Fetal Sex (Male, Female or Unknown)]]="Unknown",Backend!$C$8,"Error"))),"")</f>
        <v/>
      </c>
      <c r="F9246" s="8" t="str">
        <f>IF(Table1[[#This Row],[Is Data Valid]]=TRUE,EXP(0.578+0.332*((Table1[[#This Row],[Gestation (days)]]+0.5)/7)-0.00354*((Table1[[#This Row],[Gestation (days)]]+0.5)/7)^2)*Table1[[#This Row],[BW40_3705]],"")</f>
        <v/>
      </c>
      <c r="G9246" s="2" t="str">
        <f>IF(Table1[[#This Row],[Is Data Valid]]=TRUE,((Table1[[#This Row],[Birthweight (grams)]]/Table1[[#This Row],[BW_GA]])-1)/(Backend!$B$4/100*Table1[[#This Row],[BW40_3705]]),"")</f>
        <v/>
      </c>
      <c r="H9246" s="7" t="str">
        <f>IF(Table1[[#This Row],[Is Data Valid]]=TRUE,((Table1[[#This Row],[Birthweight (grams)]]*0.9/Table1[[#This Row],[BW_GA]])-1)/(Backend!$B$4/100*Table1[[#This Row],[BW40_3705]]),"")</f>
        <v/>
      </c>
      <c r="I9246" s="7" t="str">
        <f>IF(Table1[[#This Row],[Is Data Valid]]=TRUE,((Table1[[#This Row],[Birthweight (grams)]]*1.1/Table1[[#This Row],[BW_GA]])-1)/(Backend!$B$4/100*Table1[[#This Row],[BW40_3705]]),"")</f>
        <v/>
      </c>
      <c r="J9246" s="7" t="str">
        <f>IF(Table1[[#This Row],[Is Data Valid]]=TRUE,_xlfn.NORM.S.DIST(Table1[[#This Row],[Birthweight Z-Score]],TRUE)*100,"")</f>
        <v/>
      </c>
      <c r="K9246" s="7" t="str">
        <f>IF(Table1[[#This Row],[Is Data Valid]]=TRUE,_xlfn.NORM.S.DIST(Table1[[#This Row],[Birthweight Z-Score (BW-10%)]],TRUE)*100,"")</f>
        <v/>
      </c>
      <c r="L9246" s="7" t="str">
        <f>IF(Table1[[#This Row],[Is Data Valid]]=TRUE,_xlfn.NORM.S.DIST(Table1[[#This Row],[Birthweight Z-Score (BW+10%)]],TRUE)*100,"")</f>
        <v/>
      </c>
    </row>
    <row r="9247" spans="1:12" x14ac:dyDescent="0.35">
      <c r="A9247" s="3"/>
      <c r="B9247" s="2"/>
      <c r="C9247" s="2"/>
      <c r="D9247" s="2" t="b">
        <f>IF(AND(NOT(ISBLANK(Table1[[#This Row],[Fetal Sex (Male, Female or Unknown)]])),ISNUMBER(Table1[[#This Row],[Birthweight (grams)]]),ISNUMBER(Table1[[#This Row],[Gestation (days)]])),TRUE,FALSE)</f>
        <v>0</v>
      </c>
      <c r="E9247" s="2" t="str">
        <f>IF(Table1[[#This Row],[Is Data Valid]]=TRUE,IF(Table1[[#This Row],[Fetal Sex (Male, Female or Unknown)]]="Male",Backend!$C$6,IF(Table1[[#This Row],[Fetal Sex (Male, Female or Unknown)]]="Female",Backend!$C$7,IF(Table1[[#This Row],[Fetal Sex (Male, Female or Unknown)]]="Unknown",Backend!$C$8,"Error"))),"")</f>
        <v/>
      </c>
      <c r="F9247" s="8" t="str">
        <f>IF(Table1[[#This Row],[Is Data Valid]]=TRUE,EXP(0.578+0.332*((Table1[[#This Row],[Gestation (days)]]+0.5)/7)-0.00354*((Table1[[#This Row],[Gestation (days)]]+0.5)/7)^2)*Table1[[#This Row],[BW40_3705]],"")</f>
        <v/>
      </c>
      <c r="G9247" s="2" t="str">
        <f>IF(Table1[[#This Row],[Is Data Valid]]=TRUE,((Table1[[#This Row],[Birthweight (grams)]]/Table1[[#This Row],[BW_GA]])-1)/(Backend!$B$4/100*Table1[[#This Row],[BW40_3705]]),"")</f>
        <v/>
      </c>
      <c r="H9247" s="7" t="str">
        <f>IF(Table1[[#This Row],[Is Data Valid]]=TRUE,((Table1[[#This Row],[Birthweight (grams)]]*0.9/Table1[[#This Row],[BW_GA]])-1)/(Backend!$B$4/100*Table1[[#This Row],[BW40_3705]]),"")</f>
        <v/>
      </c>
      <c r="I9247" s="7" t="str">
        <f>IF(Table1[[#This Row],[Is Data Valid]]=TRUE,((Table1[[#This Row],[Birthweight (grams)]]*1.1/Table1[[#This Row],[BW_GA]])-1)/(Backend!$B$4/100*Table1[[#This Row],[BW40_3705]]),"")</f>
        <v/>
      </c>
      <c r="J9247" s="7" t="str">
        <f>IF(Table1[[#This Row],[Is Data Valid]]=TRUE,_xlfn.NORM.S.DIST(Table1[[#This Row],[Birthweight Z-Score]],TRUE)*100,"")</f>
        <v/>
      </c>
      <c r="K9247" s="7" t="str">
        <f>IF(Table1[[#This Row],[Is Data Valid]]=TRUE,_xlfn.NORM.S.DIST(Table1[[#This Row],[Birthweight Z-Score (BW-10%)]],TRUE)*100,"")</f>
        <v/>
      </c>
      <c r="L9247" s="7" t="str">
        <f>IF(Table1[[#This Row],[Is Data Valid]]=TRUE,_xlfn.NORM.S.DIST(Table1[[#This Row],[Birthweight Z-Score (BW+10%)]],TRUE)*100,"")</f>
        <v/>
      </c>
    </row>
    <row r="9248" spans="1:12" x14ac:dyDescent="0.35">
      <c r="A9248" s="3"/>
      <c r="B9248" s="2"/>
      <c r="C9248" s="2"/>
      <c r="D9248" s="2" t="b">
        <f>IF(AND(NOT(ISBLANK(Table1[[#This Row],[Fetal Sex (Male, Female or Unknown)]])),ISNUMBER(Table1[[#This Row],[Birthweight (grams)]]),ISNUMBER(Table1[[#This Row],[Gestation (days)]])),TRUE,FALSE)</f>
        <v>0</v>
      </c>
      <c r="E9248" s="2" t="str">
        <f>IF(Table1[[#This Row],[Is Data Valid]]=TRUE,IF(Table1[[#This Row],[Fetal Sex (Male, Female or Unknown)]]="Male",Backend!$C$6,IF(Table1[[#This Row],[Fetal Sex (Male, Female or Unknown)]]="Female",Backend!$C$7,IF(Table1[[#This Row],[Fetal Sex (Male, Female or Unknown)]]="Unknown",Backend!$C$8,"Error"))),"")</f>
        <v/>
      </c>
      <c r="F9248" s="8" t="str">
        <f>IF(Table1[[#This Row],[Is Data Valid]]=TRUE,EXP(0.578+0.332*((Table1[[#This Row],[Gestation (days)]]+0.5)/7)-0.00354*((Table1[[#This Row],[Gestation (days)]]+0.5)/7)^2)*Table1[[#This Row],[BW40_3705]],"")</f>
        <v/>
      </c>
      <c r="G9248" s="2" t="str">
        <f>IF(Table1[[#This Row],[Is Data Valid]]=TRUE,((Table1[[#This Row],[Birthweight (grams)]]/Table1[[#This Row],[BW_GA]])-1)/(Backend!$B$4/100*Table1[[#This Row],[BW40_3705]]),"")</f>
        <v/>
      </c>
      <c r="H9248" s="7" t="str">
        <f>IF(Table1[[#This Row],[Is Data Valid]]=TRUE,((Table1[[#This Row],[Birthweight (grams)]]*0.9/Table1[[#This Row],[BW_GA]])-1)/(Backend!$B$4/100*Table1[[#This Row],[BW40_3705]]),"")</f>
        <v/>
      </c>
      <c r="I9248" s="7" t="str">
        <f>IF(Table1[[#This Row],[Is Data Valid]]=TRUE,((Table1[[#This Row],[Birthweight (grams)]]*1.1/Table1[[#This Row],[BW_GA]])-1)/(Backend!$B$4/100*Table1[[#This Row],[BW40_3705]]),"")</f>
        <v/>
      </c>
      <c r="J9248" s="7" t="str">
        <f>IF(Table1[[#This Row],[Is Data Valid]]=TRUE,_xlfn.NORM.S.DIST(Table1[[#This Row],[Birthweight Z-Score]],TRUE)*100,"")</f>
        <v/>
      </c>
      <c r="K9248" s="7" t="str">
        <f>IF(Table1[[#This Row],[Is Data Valid]]=TRUE,_xlfn.NORM.S.DIST(Table1[[#This Row],[Birthweight Z-Score (BW-10%)]],TRUE)*100,"")</f>
        <v/>
      </c>
      <c r="L9248" s="7" t="str">
        <f>IF(Table1[[#This Row],[Is Data Valid]]=TRUE,_xlfn.NORM.S.DIST(Table1[[#This Row],[Birthweight Z-Score (BW+10%)]],TRUE)*100,"")</f>
        <v/>
      </c>
    </row>
    <row r="9249" spans="1:12" x14ac:dyDescent="0.35">
      <c r="A9249" s="3"/>
      <c r="B9249" s="2"/>
      <c r="C9249" s="2"/>
      <c r="D9249" s="2" t="b">
        <f>IF(AND(NOT(ISBLANK(Table1[[#This Row],[Fetal Sex (Male, Female or Unknown)]])),ISNUMBER(Table1[[#This Row],[Birthweight (grams)]]),ISNUMBER(Table1[[#This Row],[Gestation (days)]])),TRUE,FALSE)</f>
        <v>0</v>
      </c>
      <c r="E9249" s="2" t="str">
        <f>IF(Table1[[#This Row],[Is Data Valid]]=TRUE,IF(Table1[[#This Row],[Fetal Sex (Male, Female or Unknown)]]="Male",Backend!$C$6,IF(Table1[[#This Row],[Fetal Sex (Male, Female or Unknown)]]="Female",Backend!$C$7,IF(Table1[[#This Row],[Fetal Sex (Male, Female or Unknown)]]="Unknown",Backend!$C$8,"Error"))),"")</f>
        <v/>
      </c>
      <c r="F9249" s="8" t="str">
        <f>IF(Table1[[#This Row],[Is Data Valid]]=TRUE,EXP(0.578+0.332*((Table1[[#This Row],[Gestation (days)]]+0.5)/7)-0.00354*((Table1[[#This Row],[Gestation (days)]]+0.5)/7)^2)*Table1[[#This Row],[BW40_3705]],"")</f>
        <v/>
      </c>
      <c r="G9249" s="2" t="str">
        <f>IF(Table1[[#This Row],[Is Data Valid]]=TRUE,((Table1[[#This Row],[Birthweight (grams)]]/Table1[[#This Row],[BW_GA]])-1)/(Backend!$B$4/100*Table1[[#This Row],[BW40_3705]]),"")</f>
        <v/>
      </c>
      <c r="H9249" s="7" t="str">
        <f>IF(Table1[[#This Row],[Is Data Valid]]=TRUE,((Table1[[#This Row],[Birthweight (grams)]]*0.9/Table1[[#This Row],[BW_GA]])-1)/(Backend!$B$4/100*Table1[[#This Row],[BW40_3705]]),"")</f>
        <v/>
      </c>
      <c r="I9249" s="7" t="str">
        <f>IF(Table1[[#This Row],[Is Data Valid]]=TRUE,((Table1[[#This Row],[Birthweight (grams)]]*1.1/Table1[[#This Row],[BW_GA]])-1)/(Backend!$B$4/100*Table1[[#This Row],[BW40_3705]]),"")</f>
        <v/>
      </c>
      <c r="J9249" s="7" t="str">
        <f>IF(Table1[[#This Row],[Is Data Valid]]=TRUE,_xlfn.NORM.S.DIST(Table1[[#This Row],[Birthweight Z-Score]],TRUE)*100,"")</f>
        <v/>
      </c>
      <c r="K9249" s="7" t="str">
        <f>IF(Table1[[#This Row],[Is Data Valid]]=TRUE,_xlfn.NORM.S.DIST(Table1[[#This Row],[Birthweight Z-Score (BW-10%)]],TRUE)*100,"")</f>
        <v/>
      </c>
      <c r="L9249" s="7" t="str">
        <f>IF(Table1[[#This Row],[Is Data Valid]]=TRUE,_xlfn.NORM.S.DIST(Table1[[#This Row],[Birthweight Z-Score (BW+10%)]],TRUE)*100,"")</f>
        <v/>
      </c>
    </row>
    <row r="9250" spans="1:12" x14ac:dyDescent="0.35">
      <c r="A9250" s="3"/>
      <c r="B9250" s="2"/>
      <c r="C9250" s="2"/>
      <c r="D9250" s="2" t="b">
        <f>IF(AND(NOT(ISBLANK(Table1[[#This Row],[Fetal Sex (Male, Female or Unknown)]])),ISNUMBER(Table1[[#This Row],[Birthweight (grams)]]),ISNUMBER(Table1[[#This Row],[Gestation (days)]])),TRUE,FALSE)</f>
        <v>0</v>
      </c>
      <c r="E9250" s="2" t="str">
        <f>IF(Table1[[#This Row],[Is Data Valid]]=TRUE,IF(Table1[[#This Row],[Fetal Sex (Male, Female or Unknown)]]="Male",Backend!$C$6,IF(Table1[[#This Row],[Fetal Sex (Male, Female or Unknown)]]="Female",Backend!$C$7,IF(Table1[[#This Row],[Fetal Sex (Male, Female or Unknown)]]="Unknown",Backend!$C$8,"Error"))),"")</f>
        <v/>
      </c>
      <c r="F9250" s="8" t="str">
        <f>IF(Table1[[#This Row],[Is Data Valid]]=TRUE,EXP(0.578+0.332*((Table1[[#This Row],[Gestation (days)]]+0.5)/7)-0.00354*((Table1[[#This Row],[Gestation (days)]]+0.5)/7)^2)*Table1[[#This Row],[BW40_3705]],"")</f>
        <v/>
      </c>
      <c r="G9250" s="2" t="str">
        <f>IF(Table1[[#This Row],[Is Data Valid]]=TRUE,((Table1[[#This Row],[Birthweight (grams)]]/Table1[[#This Row],[BW_GA]])-1)/(Backend!$B$4/100*Table1[[#This Row],[BW40_3705]]),"")</f>
        <v/>
      </c>
      <c r="H9250" s="7" t="str">
        <f>IF(Table1[[#This Row],[Is Data Valid]]=TRUE,((Table1[[#This Row],[Birthweight (grams)]]*0.9/Table1[[#This Row],[BW_GA]])-1)/(Backend!$B$4/100*Table1[[#This Row],[BW40_3705]]),"")</f>
        <v/>
      </c>
      <c r="I9250" s="7" t="str">
        <f>IF(Table1[[#This Row],[Is Data Valid]]=TRUE,((Table1[[#This Row],[Birthweight (grams)]]*1.1/Table1[[#This Row],[BW_GA]])-1)/(Backend!$B$4/100*Table1[[#This Row],[BW40_3705]]),"")</f>
        <v/>
      </c>
      <c r="J9250" s="7" t="str">
        <f>IF(Table1[[#This Row],[Is Data Valid]]=TRUE,_xlfn.NORM.S.DIST(Table1[[#This Row],[Birthweight Z-Score]],TRUE)*100,"")</f>
        <v/>
      </c>
      <c r="K9250" s="7" t="str">
        <f>IF(Table1[[#This Row],[Is Data Valid]]=TRUE,_xlfn.NORM.S.DIST(Table1[[#This Row],[Birthweight Z-Score (BW-10%)]],TRUE)*100,"")</f>
        <v/>
      </c>
      <c r="L9250" s="7" t="str">
        <f>IF(Table1[[#This Row],[Is Data Valid]]=TRUE,_xlfn.NORM.S.DIST(Table1[[#This Row],[Birthweight Z-Score (BW+10%)]],TRUE)*100,"")</f>
        <v/>
      </c>
    </row>
    <row r="9251" spans="1:12" x14ac:dyDescent="0.35">
      <c r="A9251" s="3"/>
      <c r="B9251" s="2"/>
      <c r="C9251" s="2"/>
      <c r="D9251" s="2" t="b">
        <f>IF(AND(NOT(ISBLANK(Table1[[#This Row],[Fetal Sex (Male, Female or Unknown)]])),ISNUMBER(Table1[[#This Row],[Birthweight (grams)]]),ISNUMBER(Table1[[#This Row],[Gestation (days)]])),TRUE,FALSE)</f>
        <v>0</v>
      </c>
      <c r="E9251" s="2" t="str">
        <f>IF(Table1[[#This Row],[Is Data Valid]]=TRUE,IF(Table1[[#This Row],[Fetal Sex (Male, Female or Unknown)]]="Male",Backend!$C$6,IF(Table1[[#This Row],[Fetal Sex (Male, Female or Unknown)]]="Female",Backend!$C$7,IF(Table1[[#This Row],[Fetal Sex (Male, Female or Unknown)]]="Unknown",Backend!$C$8,"Error"))),"")</f>
        <v/>
      </c>
      <c r="F9251" s="8" t="str">
        <f>IF(Table1[[#This Row],[Is Data Valid]]=TRUE,EXP(0.578+0.332*((Table1[[#This Row],[Gestation (days)]]+0.5)/7)-0.00354*((Table1[[#This Row],[Gestation (days)]]+0.5)/7)^2)*Table1[[#This Row],[BW40_3705]],"")</f>
        <v/>
      </c>
      <c r="G9251" s="2" t="str">
        <f>IF(Table1[[#This Row],[Is Data Valid]]=TRUE,((Table1[[#This Row],[Birthweight (grams)]]/Table1[[#This Row],[BW_GA]])-1)/(Backend!$B$4/100*Table1[[#This Row],[BW40_3705]]),"")</f>
        <v/>
      </c>
      <c r="H9251" s="7" t="str">
        <f>IF(Table1[[#This Row],[Is Data Valid]]=TRUE,((Table1[[#This Row],[Birthweight (grams)]]*0.9/Table1[[#This Row],[BW_GA]])-1)/(Backend!$B$4/100*Table1[[#This Row],[BW40_3705]]),"")</f>
        <v/>
      </c>
      <c r="I9251" s="7" t="str">
        <f>IF(Table1[[#This Row],[Is Data Valid]]=TRUE,((Table1[[#This Row],[Birthweight (grams)]]*1.1/Table1[[#This Row],[BW_GA]])-1)/(Backend!$B$4/100*Table1[[#This Row],[BW40_3705]]),"")</f>
        <v/>
      </c>
      <c r="J9251" s="7" t="str">
        <f>IF(Table1[[#This Row],[Is Data Valid]]=TRUE,_xlfn.NORM.S.DIST(Table1[[#This Row],[Birthweight Z-Score]],TRUE)*100,"")</f>
        <v/>
      </c>
      <c r="K9251" s="7" t="str">
        <f>IF(Table1[[#This Row],[Is Data Valid]]=TRUE,_xlfn.NORM.S.DIST(Table1[[#This Row],[Birthweight Z-Score (BW-10%)]],TRUE)*100,"")</f>
        <v/>
      </c>
      <c r="L9251" s="7" t="str">
        <f>IF(Table1[[#This Row],[Is Data Valid]]=TRUE,_xlfn.NORM.S.DIST(Table1[[#This Row],[Birthweight Z-Score (BW+10%)]],TRUE)*100,"")</f>
        <v/>
      </c>
    </row>
    <row r="9252" spans="1:12" x14ac:dyDescent="0.35">
      <c r="A9252" s="3"/>
      <c r="B9252" s="2"/>
      <c r="C9252" s="2"/>
      <c r="D9252" s="2" t="b">
        <f>IF(AND(NOT(ISBLANK(Table1[[#This Row],[Fetal Sex (Male, Female or Unknown)]])),ISNUMBER(Table1[[#This Row],[Birthweight (grams)]]),ISNUMBER(Table1[[#This Row],[Gestation (days)]])),TRUE,FALSE)</f>
        <v>0</v>
      </c>
      <c r="E9252" s="2" t="str">
        <f>IF(Table1[[#This Row],[Is Data Valid]]=TRUE,IF(Table1[[#This Row],[Fetal Sex (Male, Female or Unknown)]]="Male",Backend!$C$6,IF(Table1[[#This Row],[Fetal Sex (Male, Female or Unknown)]]="Female",Backend!$C$7,IF(Table1[[#This Row],[Fetal Sex (Male, Female or Unknown)]]="Unknown",Backend!$C$8,"Error"))),"")</f>
        <v/>
      </c>
      <c r="F9252" s="8" t="str">
        <f>IF(Table1[[#This Row],[Is Data Valid]]=TRUE,EXP(0.578+0.332*((Table1[[#This Row],[Gestation (days)]]+0.5)/7)-0.00354*((Table1[[#This Row],[Gestation (days)]]+0.5)/7)^2)*Table1[[#This Row],[BW40_3705]],"")</f>
        <v/>
      </c>
      <c r="G9252" s="2" t="str">
        <f>IF(Table1[[#This Row],[Is Data Valid]]=TRUE,((Table1[[#This Row],[Birthweight (grams)]]/Table1[[#This Row],[BW_GA]])-1)/(Backend!$B$4/100*Table1[[#This Row],[BW40_3705]]),"")</f>
        <v/>
      </c>
      <c r="H9252" s="7" t="str">
        <f>IF(Table1[[#This Row],[Is Data Valid]]=TRUE,((Table1[[#This Row],[Birthweight (grams)]]*0.9/Table1[[#This Row],[BW_GA]])-1)/(Backend!$B$4/100*Table1[[#This Row],[BW40_3705]]),"")</f>
        <v/>
      </c>
      <c r="I9252" s="7" t="str">
        <f>IF(Table1[[#This Row],[Is Data Valid]]=TRUE,((Table1[[#This Row],[Birthweight (grams)]]*1.1/Table1[[#This Row],[BW_GA]])-1)/(Backend!$B$4/100*Table1[[#This Row],[BW40_3705]]),"")</f>
        <v/>
      </c>
      <c r="J9252" s="7" t="str">
        <f>IF(Table1[[#This Row],[Is Data Valid]]=TRUE,_xlfn.NORM.S.DIST(Table1[[#This Row],[Birthweight Z-Score]],TRUE)*100,"")</f>
        <v/>
      </c>
      <c r="K9252" s="7" t="str">
        <f>IF(Table1[[#This Row],[Is Data Valid]]=TRUE,_xlfn.NORM.S.DIST(Table1[[#This Row],[Birthweight Z-Score (BW-10%)]],TRUE)*100,"")</f>
        <v/>
      </c>
      <c r="L9252" s="7" t="str">
        <f>IF(Table1[[#This Row],[Is Data Valid]]=TRUE,_xlfn.NORM.S.DIST(Table1[[#This Row],[Birthweight Z-Score (BW+10%)]],TRUE)*100,"")</f>
        <v/>
      </c>
    </row>
    <row r="9253" spans="1:12" x14ac:dyDescent="0.35">
      <c r="A9253" s="3"/>
      <c r="B9253" s="2"/>
      <c r="C9253" s="2"/>
      <c r="D9253" s="2" t="b">
        <f>IF(AND(NOT(ISBLANK(Table1[[#This Row],[Fetal Sex (Male, Female or Unknown)]])),ISNUMBER(Table1[[#This Row],[Birthweight (grams)]]),ISNUMBER(Table1[[#This Row],[Gestation (days)]])),TRUE,FALSE)</f>
        <v>0</v>
      </c>
      <c r="E9253" s="2" t="str">
        <f>IF(Table1[[#This Row],[Is Data Valid]]=TRUE,IF(Table1[[#This Row],[Fetal Sex (Male, Female or Unknown)]]="Male",Backend!$C$6,IF(Table1[[#This Row],[Fetal Sex (Male, Female or Unknown)]]="Female",Backend!$C$7,IF(Table1[[#This Row],[Fetal Sex (Male, Female or Unknown)]]="Unknown",Backend!$C$8,"Error"))),"")</f>
        <v/>
      </c>
      <c r="F9253" s="8" t="str">
        <f>IF(Table1[[#This Row],[Is Data Valid]]=TRUE,EXP(0.578+0.332*((Table1[[#This Row],[Gestation (days)]]+0.5)/7)-0.00354*((Table1[[#This Row],[Gestation (days)]]+0.5)/7)^2)*Table1[[#This Row],[BW40_3705]],"")</f>
        <v/>
      </c>
      <c r="G9253" s="2" t="str">
        <f>IF(Table1[[#This Row],[Is Data Valid]]=TRUE,((Table1[[#This Row],[Birthweight (grams)]]/Table1[[#This Row],[BW_GA]])-1)/(Backend!$B$4/100*Table1[[#This Row],[BW40_3705]]),"")</f>
        <v/>
      </c>
      <c r="H9253" s="7" t="str">
        <f>IF(Table1[[#This Row],[Is Data Valid]]=TRUE,((Table1[[#This Row],[Birthweight (grams)]]*0.9/Table1[[#This Row],[BW_GA]])-1)/(Backend!$B$4/100*Table1[[#This Row],[BW40_3705]]),"")</f>
        <v/>
      </c>
      <c r="I9253" s="7" t="str">
        <f>IF(Table1[[#This Row],[Is Data Valid]]=TRUE,((Table1[[#This Row],[Birthweight (grams)]]*1.1/Table1[[#This Row],[BW_GA]])-1)/(Backend!$B$4/100*Table1[[#This Row],[BW40_3705]]),"")</f>
        <v/>
      </c>
      <c r="J9253" s="7" t="str">
        <f>IF(Table1[[#This Row],[Is Data Valid]]=TRUE,_xlfn.NORM.S.DIST(Table1[[#This Row],[Birthweight Z-Score]],TRUE)*100,"")</f>
        <v/>
      </c>
      <c r="K9253" s="7" t="str">
        <f>IF(Table1[[#This Row],[Is Data Valid]]=TRUE,_xlfn.NORM.S.DIST(Table1[[#This Row],[Birthweight Z-Score (BW-10%)]],TRUE)*100,"")</f>
        <v/>
      </c>
      <c r="L9253" s="7" t="str">
        <f>IF(Table1[[#This Row],[Is Data Valid]]=TRUE,_xlfn.NORM.S.DIST(Table1[[#This Row],[Birthweight Z-Score (BW+10%)]],TRUE)*100,"")</f>
        <v/>
      </c>
    </row>
    <row r="9254" spans="1:12" x14ac:dyDescent="0.35">
      <c r="A9254" s="3"/>
      <c r="B9254" s="2"/>
      <c r="C9254" s="2"/>
      <c r="D9254" s="2" t="b">
        <f>IF(AND(NOT(ISBLANK(Table1[[#This Row],[Fetal Sex (Male, Female or Unknown)]])),ISNUMBER(Table1[[#This Row],[Birthweight (grams)]]),ISNUMBER(Table1[[#This Row],[Gestation (days)]])),TRUE,FALSE)</f>
        <v>0</v>
      </c>
      <c r="E9254" s="2" t="str">
        <f>IF(Table1[[#This Row],[Is Data Valid]]=TRUE,IF(Table1[[#This Row],[Fetal Sex (Male, Female or Unknown)]]="Male",Backend!$C$6,IF(Table1[[#This Row],[Fetal Sex (Male, Female or Unknown)]]="Female",Backend!$C$7,IF(Table1[[#This Row],[Fetal Sex (Male, Female or Unknown)]]="Unknown",Backend!$C$8,"Error"))),"")</f>
        <v/>
      </c>
      <c r="F9254" s="8" t="str">
        <f>IF(Table1[[#This Row],[Is Data Valid]]=TRUE,EXP(0.578+0.332*((Table1[[#This Row],[Gestation (days)]]+0.5)/7)-0.00354*((Table1[[#This Row],[Gestation (days)]]+0.5)/7)^2)*Table1[[#This Row],[BW40_3705]],"")</f>
        <v/>
      </c>
      <c r="G9254" s="2" t="str">
        <f>IF(Table1[[#This Row],[Is Data Valid]]=TRUE,((Table1[[#This Row],[Birthweight (grams)]]/Table1[[#This Row],[BW_GA]])-1)/(Backend!$B$4/100*Table1[[#This Row],[BW40_3705]]),"")</f>
        <v/>
      </c>
      <c r="H9254" s="7" t="str">
        <f>IF(Table1[[#This Row],[Is Data Valid]]=TRUE,((Table1[[#This Row],[Birthweight (grams)]]*0.9/Table1[[#This Row],[BW_GA]])-1)/(Backend!$B$4/100*Table1[[#This Row],[BW40_3705]]),"")</f>
        <v/>
      </c>
      <c r="I9254" s="7" t="str">
        <f>IF(Table1[[#This Row],[Is Data Valid]]=TRUE,((Table1[[#This Row],[Birthweight (grams)]]*1.1/Table1[[#This Row],[BW_GA]])-1)/(Backend!$B$4/100*Table1[[#This Row],[BW40_3705]]),"")</f>
        <v/>
      </c>
      <c r="J9254" s="7" t="str">
        <f>IF(Table1[[#This Row],[Is Data Valid]]=TRUE,_xlfn.NORM.S.DIST(Table1[[#This Row],[Birthweight Z-Score]],TRUE)*100,"")</f>
        <v/>
      </c>
      <c r="K9254" s="7" t="str">
        <f>IF(Table1[[#This Row],[Is Data Valid]]=TRUE,_xlfn.NORM.S.DIST(Table1[[#This Row],[Birthweight Z-Score (BW-10%)]],TRUE)*100,"")</f>
        <v/>
      </c>
      <c r="L9254" s="7" t="str">
        <f>IF(Table1[[#This Row],[Is Data Valid]]=TRUE,_xlfn.NORM.S.DIST(Table1[[#This Row],[Birthweight Z-Score (BW+10%)]],TRUE)*100,"")</f>
        <v/>
      </c>
    </row>
    <row r="9255" spans="1:12" x14ac:dyDescent="0.35">
      <c r="A9255" s="3"/>
      <c r="B9255" s="2"/>
      <c r="C9255" s="2"/>
      <c r="D9255" s="2" t="b">
        <f>IF(AND(NOT(ISBLANK(Table1[[#This Row],[Fetal Sex (Male, Female or Unknown)]])),ISNUMBER(Table1[[#This Row],[Birthweight (grams)]]),ISNUMBER(Table1[[#This Row],[Gestation (days)]])),TRUE,FALSE)</f>
        <v>0</v>
      </c>
      <c r="E9255" s="2" t="str">
        <f>IF(Table1[[#This Row],[Is Data Valid]]=TRUE,IF(Table1[[#This Row],[Fetal Sex (Male, Female or Unknown)]]="Male",Backend!$C$6,IF(Table1[[#This Row],[Fetal Sex (Male, Female or Unknown)]]="Female",Backend!$C$7,IF(Table1[[#This Row],[Fetal Sex (Male, Female or Unknown)]]="Unknown",Backend!$C$8,"Error"))),"")</f>
        <v/>
      </c>
      <c r="F9255" s="8" t="str">
        <f>IF(Table1[[#This Row],[Is Data Valid]]=TRUE,EXP(0.578+0.332*((Table1[[#This Row],[Gestation (days)]]+0.5)/7)-0.00354*((Table1[[#This Row],[Gestation (days)]]+0.5)/7)^2)*Table1[[#This Row],[BW40_3705]],"")</f>
        <v/>
      </c>
      <c r="G9255" s="2" t="str">
        <f>IF(Table1[[#This Row],[Is Data Valid]]=TRUE,((Table1[[#This Row],[Birthweight (grams)]]/Table1[[#This Row],[BW_GA]])-1)/(Backend!$B$4/100*Table1[[#This Row],[BW40_3705]]),"")</f>
        <v/>
      </c>
      <c r="H9255" s="7" t="str">
        <f>IF(Table1[[#This Row],[Is Data Valid]]=TRUE,((Table1[[#This Row],[Birthweight (grams)]]*0.9/Table1[[#This Row],[BW_GA]])-1)/(Backend!$B$4/100*Table1[[#This Row],[BW40_3705]]),"")</f>
        <v/>
      </c>
      <c r="I9255" s="7" t="str">
        <f>IF(Table1[[#This Row],[Is Data Valid]]=TRUE,((Table1[[#This Row],[Birthweight (grams)]]*1.1/Table1[[#This Row],[BW_GA]])-1)/(Backend!$B$4/100*Table1[[#This Row],[BW40_3705]]),"")</f>
        <v/>
      </c>
      <c r="J9255" s="7" t="str">
        <f>IF(Table1[[#This Row],[Is Data Valid]]=TRUE,_xlfn.NORM.S.DIST(Table1[[#This Row],[Birthweight Z-Score]],TRUE)*100,"")</f>
        <v/>
      </c>
      <c r="K9255" s="7" t="str">
        <f>IF(Table1[[#This Row],[Is Data Valid]]=TRUE,_xlfn.NORM.S.DIST(Table1[[#This Row],[Birthweight Z-Score (BW-10%)]],TRUE)*100,"")</f>
        <v/>
      </c>
      <c r="L9255" s="7" t="str">
        <f>IF(Table1[[#This Row],[Is Data Valid]]=TRUE,_xlfn.NORM.S.DIST(Table1[[#This Row],[Birthweight Z-Score (BW+10%)]],TRUE)*100,"")</f>
        <v/>
      </c>
    </row>
    <row r="9256" spans="1:12" x14ac:dyDescent="0.35">
      <c r="A9256" s="3"/>
      <c r="B9256" s="2"/>
      <c r="C9256" s="2"/>
      <c r="D9256" s="2" t="b">
        <f>IF(AND(NOT(ISBLANK(Table1[[#This Row],[Fetal Sex (Male, Female or Unknown)]])),ISNUMBER(Table1[[#This Row],[Birthweight (grams)]]),ISNUMBER(Table1[[#This Row],[Gestation (days)]])),TRUE,FALSE)</f>
        <v>0</v>
      </c>
      <c r="E9256" s="2" t="str">
        <f>IF(Table1[[#This Row],[Is Data Valid]]=TRUE,IF(Table1[[#This Row],[Fetal Sex (Male, Female or Unknown)]]="Male",Backend!$C$6,IF(Table1[[#This Row],[Fetal Sex (Male, Female or Unknown)]]="Female",Backend!$C$7,IF(Table1[[#This Row],[Fetal Sex (Male, Female or Unknown)]]="Unknown",Backend!$C$8,"Error"))),"")</f>
        <v/>
      </c>
      <c r="F9256" s="8" t="str">
        <f>IF(Table1[[#This Row],[Is Data Valid]]=TRUE,EXP(0.578+0.332*((Table1[[#This Row],[Gestation (days)]]+0.5)/7)-0.00354*((Table1[[#This Row],[Gestation (days)]]+0.5)/7)^2)*Table1[[#This Row],[BW40_3705]],"")</f>
        <v/>
      </c>
      <c r="G9256" s="2" t="str">
        <f>IF(Table1[[#This Row],[Is Data Valid]]=TRUE,((Table1[[#This Row],[Birthweight (grams)]]/Table1[[#This Row],[BW_GA]])-1)/(Backend!$B$4/100*Table1[[#This Row],[BW40_3705]]),"")</f>
        <v/>
      </c>
      <c r="H9256" s="7" t="str">
        <f>IF(Table1[[#This Row],[Is Data Valid]]=TRUE,((Table1[[#This Row],[Birthweight (grams)]]*0.9/Table1[[#This Row],[BW_GA]])-1)/(Backend!$B$4/100*Table1[[#This Row],[BW40_3705]]),"")</f>
        <v/>
      </c>
      <c r="I9256" s="7" t="str">
        <f>IF(Table1[[#This Row],[Is Data Valid]]=TRUE,((Table1[[#This Row],[Birthweight (grams)]]*1.1/Table1[[#This Row],[BW_GA]])-1)/(Backend!$B$4/100*Table1[[#This Row],[BW40_3705]]),"")</f>
        <v/>
      </c>
      <c r="J9256" s="7" t="str">
        <f>IF(Table1[[#This Row],[Is Data Valid]]=TRUE,_xlfn.NORM.S.DIST(Table1[[#This Row],[Birthweight Z-Score]],TRUE)*100,"")</f>
        <v/>
      </c>
      <c r="K9256" s="7" t="str">
        <f>IF(Table1[[#This Row],[Is Data Valid]]=TRUE,_xlfn.NORM.S.DIST(Table1[[#This Row],[Birthweight Z-Score (BW-10%)]],TRUE)*100,"")</f>
        <v/>
      </c>
      <c r="L9256" s="7" t="str">
        <f>IF(Table1[[#This Row],[Is Data Valid]]=TRUE,_xlfn.NORM.S.DIST(Table1[[#This Row],[Birthweight Z-Score (BW+10%)]],TRUE)*100,"")</f>
        <v/>
      </c>
    </row>
    <row r="9257" spans="1:12" x14ac:dyDescent="0.35">
      <c r="A9257" s="3"/>
      <c r="B9257" s="2"/>
      <c r="C9257" s="2"/>
      <c r="D9257" s="2" t="b">
        <f>IF(AND(NOT(ISBLANK(Table1[[#This Row],[Fetal Sex (Male, Female or Unknown)]])),ISNUMBER(Table1[[#This Row],[Birthweight (grams)]]),ISNUMBER(Table1[[#This Row],[Gestation (days)]])),TRUE,FALSE)</f>
        <v>0</v>
      </c>
      <c r="E9257" s="2" t="str">
        <f>IF(Table1[[#This Row],[Is Data Valid]]=TRUE,IF(Table1[[#This Row],[Fetal Sex (Male, Female or Unknown)]]="Male",Backend!$C$6,IF(Table1[[#This Row],[Fetal Sex (Male, Female or Unknown)]]="Female",Backend!$C$7,IF(Table1[[#This Row],[Fetal Sex (Male, Female or Unknown)]]="Unknown",Backend!$C$8,"Error"))),"")</f>
        <v/>
      </c>
      <c r="F9257" s="8" t="str">
        <f>IF(Table1[[#This Row],[Is Data Valid]]=TRUE,EXP(0.578+0.332*((Table1[[#This Row],[Gestation (days)]]+0.5)/7)-0.00354*((Table1[[#This Row],[Gestation (days)]]+0.5)/7)^2)*Table1[[#This Row],[BW40_3705]],"")</f>
        <v/>
      </c>
      <c r="G9257" s="2" t="str">
        <f>IF(Table1[[#This Row],[Is Data Valid]]=TRUE,((Table1[[#This Row],[Birthweight (grams)]]/Table1[[#This Row],[BW_GA]])-1)/(Backend!$B$4/100*Table1[[#This Row],[BW40_3705]]),"")</f>
        <v/>
      </c>
      <c r="H9257" s="7" t="str">
        <f>IF(Table1[[#This Row],[Is Data Valid]]=TRUE,((Table1[[#This Row],[Birthweight (grams)]]*0.9/Table1[[#This Row],[BW_GA]])-1)/(Backend!$B$4/100*Table1[[#This Row],[BW40_3705]]),"")</f>
        <v/>
      </c>
      <c r="I9257" s="7" t="str">
        <f>IF(Table1[[#This Row],[Is Data Valid]]=TRUE,((Table1[[#This Row],[Birthweight (grams)]]*1.1/Table1[[#This Row],[BW_GA]])-1)/(Backend!$B$4/100*Table1[[#This Row],[BW40_3705]]),"")</f>
        <v/>
      </c>
      <c r="J9257" s="7" t="str">
        <f>IF(Table1[[#This Row],[Is Data Valid]]=TRUE,_xlfn.NORM.S.DIST(Table1[[#This Row],[Birthweight Z-Score]],TRUE)*100,"")</f>
        <v/>
      </c>
      <c r="K9257" s="7" t="str">
        <f>IF(Table1[[#This Row],[Is Data Valid]]=TRUE,_xlfn.NORM.S.DIST(Table1[[#This Row],[Birthweight Z-Score (BW-10%)]],TRUE)*100,"")</f>
        <v/>
      </c>
      <c r="L9257" s="7" t="str">
        <f>IF(Table1[[#This Row],[Is Data Valid]]=TRUE,_xlfn.NORM.S.DIST(Table1[[#This Row],[Birthweight Z-Score (BW+10%)]],TRUE)*100,"")</f>
        <v/>
      </c>
    </row>
    <row r="9258" spans="1:12" x14ac:dyDescent="0.35">
      <c r="A9258" s="3"/>
      <c r="B9258" s="2"/>
      <c r="C9258" s="2"/>
      <c r="D9258" s="2" t="b">
        <f>IF(AND(NOT(ISBLANK(Table1[[#This Row],[Fetal Sex (Male, Female or Unknown)]])),ISNUMBER(Table1[[#This Row],[Birthweight (grams)]]),ISNUMBER(Table1[[#This Row],[Gestation (days)]])),TRUE,FALSE)</f>
        <v>0</v>
      </c>
      <c r="E9258" s="2" t="str">
        <f>IF(Table1[[#This Row],[Is Data Valid]]=TRUE,IF(Table1[[#This Row],[Fetal Sex (Male, Female or Unknown)]]="Male",Backend!$C$6,IF(Table1[[#This Row],[Fetal Sex (Male, Female or Unknown)]]="Female",Backend!$C$7,IF(Table1[[#This Row],[Fetal Sex (Male, Female or Unknown)]]="Unknown",Backend!$C$8,"Error"))),"")</f>
        <v/>
      </c>
      <c r="F9258" s="8" t="str">
        <f>IF(Table1[[#This Row],[Is Data Valid]]=TRUE,EXP(0.578+0.332*((Table1[[#This Row],[Gestation (days)]]+0.5)/7)-0.00354*((Table1[[#This Row],[Gestation (days)]]+0.5)/7)^2)*Table1[[#This Row],[BW40_3705]],"")</f>
        <v/>
      </c>
      <c r="G9258" s="2" t="str">
        <f>IF(Table1[[#This Row],[Is Data Valid]]=TRUE,((Table1[[#This Row],[Birthweight (grams)]]/Table1[[#This Row],[BW_GA]])-1)/(Backend!$B$4/100*Table1[[#This Row],[BW40_3705]]),"")</f>
        <v/>
      </c>
      <c r="H9258" s="7" t="str">
        <f>IF(Table1[[#This Row],[Is Data Valid]]=TRUE,((Table1[[#This Row],[Birthweight (grams)]]*0.9/Table1[[#This Row],[BW_GA]])-1)/(Backend!$B$4/100*Table1[[#This Row],[BW40_3705]]),"")</f>
        <v/>
      </c>
      <c r="I9258" s="7" t="str">
        <f>IF(Table1[[#This Row],[Is Data Valid]]=TRUE,((Table1[[#This Row],[Birthweight (grams)]]*1.1/Table1[[#This Row],[BW_GA]])-1)/(Backend!$B$4/100*Table1[[#This Row],[BW40_3705]]),"")</f>
        <v/>
      </c>
      <c r="J9258" s="7" t="str">
        <f>IF(Table1[[#This Row],[Is Data Valid]]=TRUE,_xlfn.NORM.S.DIST(Table1[[#This Row],[Birthweight Z-Score]],TRUE)*100,"")</f>
        <v/>
      </c>
      <c r="K9258" s="7" t="str">
        <f>IF(Table1[[#This Row],[Is Data Valid]]=TRUE,_xlfn.NORM.S.DIST(Table1[[#This Row],[Birthweight Z-Score (BW-10%)]],TRUE)*100,"")</f>
        <v/>
      </c>
      <c r="L9258" s="7" t="str">
        <f>IF(Table1[[#This Row],[Is Data Valid]]=TRUE,_xlfn.NORM.S.DIST(Table1[[#This Row],[Birthweight Z-Score (BW+10%)]],TRUE)*100,"")</f>
        <v/>
      </c>
    </row>
    <row r="9259" spans="1:12" x14ac:dyDescent="0.35">
      <c r="A9259" s="3"/>
      <c r="B9259" s="2"/>
      <c r="C9259" s="2"/>
      <c r="D9259" s="2" t="b">
        <f>IF(AND(NOT(ISBLANK(Table1[[#This Row],[Fetal Sex (Male, Female or Unknown)]])),ISNUMBER(Table1[[#This Row],[Birthweight (grams)]]),ISNUMBER(Table1[[#This Row],[Gestation (days)]])),TRUE,FALSE)</f>
        <v>0</v>
      </c>
      <c r="E9259" s="2" t="str">
        <f>IF(Table1[[#This Row],[Is Data Valid]]=TRUE,IF(Table1[[#This Row],[Fetal Sex (Male, Female or Unknown)]]="Male",Backend!$C$6,IF(Table1[[#This Row],[Fetal Sex (Male, Female or Unknown)]]="Female",Backend!$C$7,IF(Table1[[#This Row],[Fetal Sex (Male, Female or Unknown)]]="Unknown",Backend!$C$8,"Error"))),"")</f>
        <v/>
      </c>
      <c r="F9259" s="8" t="str">
        <f>IF(Table1[[#This Row],[Is Data Valid]]=TRUE,EXP(0.578+0.332*((Table1[[#This Row],[Gestation (days)]]+0.5)/7)-0.00354*((Table1[[#This Row],[Gestation (days)]]+0.5)/7)^2)*Table1[[#This Row],[BW40_3705]],"")</f>
        <v/>
      </c>
      <c r="G9259" s="2" t="str">
        <f>IF(Table1[[#This Row],[Is Data Valid]]=TRUE,((Table1[[#This Row],[Birthweight (grams)]]/Table1[[#This Row],[BW_GA]])-1)/(Backend!$B$4/100*Table1[[#This Row],[BW40_3705]]),"")</f>
        <v/>
      </c>
      <c r="H9259" s="7" t="str">
        <f>IF(Table1[[#This Row],[Is Data Valid]]=TRUE,((Table1[[#This Row],[Birthweight (grams)]]*0.9/Table1[[#This Row],[BW_GA]])-1)/(Backend!$B$4/100*Table1[[#This Row],[BW40_3705]]),"")</f>
        <v/>
      </c>
      <c r="I9259" s="7" t="str">
        <f>IF(Table1[[#This Row],[Is Data Valid]]=TRUE,((Table1[[#This Row],[Birthweight (grams)]]*1.1/Table1[[#This Row],[BW_GA]])-1)/(Backend!$B$4/100*Table1[[#This Row],[BW40_3705]]),"")</f>
        <v/>
      </c>
      <c r="J9259" s="7" t="str">
        <f>IF(Table1[[#This Row],[Is Data Valid]]=TRUE,_xlfn.NORM.S.DIST(Table1[[#This Row],[Birthweight Z-Score]],TRUE)*100,"")</f>
        <v/>
      </c>
      <c r="K9259" s="7" t="str">
        <f>IF(Table1[[#This Row],[Is Data Valid]]=TRUE,_xlfn.NORM.S.DIST(Table1[[#This Row],[Birthweight Z-Score (BW-10%)]],TRUE)*100,"")</f>
        <v/>
      </c>
      <c r="L9259" s="7" t="str">
        <f>IF(Table1[[#This Row],[Is Data Valid]]=TRUE,_xlfn.NORM.S.DIST(Table1[[#This Row],[Birthweight Z-Score (BW+10%)]],TRUE)*100,"")</f>
        <v/>
      </c>
    </row>
    <row r="9260" spans="1:12" x14ac:dyDescent="0.35">
      <c r="A9260" s="3"/>
      <c r="B9260" s="2"/>
      <c r="C9260" s="2"/>
      <c r="D9260" s="2" t="b">
        <f>IF(AND(NOT(ISBLANK(Table1[[#This Row],[Fetal Sex (Male, Female or Unknown)]])),ISNUMBER(Table1[[#This Row],[Birthweight (grams)]]),ISNUMBER(Table1[[#This Row],[Gestation (days)]])),TRUE,FALSE)</f>
        <v>0</v>
      </c>
      <c r="E9260" s="2" t="str">
        <f>IF(Table1[[#This Row],[Is Data Valid]]=TRUE,IF(Table1[[#This Row],[Fetal Sex (Male, Female or Unknown)]]="Male",Backend!$C$6,IF(Table1[[#This Row],[Fetal Sex (Male, Female or Unknown)]]="Female",Backend!$C$7,IF(Table1[[#This Row],[Fetal Sex (Male, Female or Unknown)]]="Unknown",Backend!$C$8,"Error"))),"")</f>
        <v/>
      </c>
      <c r="F9260" s="8" t="str">
        <f>IF(Table1[[#This Row],[Is Data Valid]]=TRUE,EXP(0.578+0.332*((Table1[[#This Row],[Gestation (days)]]+0.5)/7)-0.00354*((Table1[[#This Row],[Gestation (days)]]+0.5)/7)^2)*Table1[[#This Row],[BW40_3705]],"")</f>
        <v/>
      </c>
      <c r="G9260" s="2" t="str">
        <f>IF(Table1[[#This Row],[Is Data Valid]]=TRUE,((Table1[[#This Row],[Birthweight (grams)]]/Table1[[#This Row],[BW_GA]])-1)/(Backend!$B$4/100*Table1[[#This Row],[BW40_3705]]),"")</f>
        <v/>
      </c>
      <c r="H9260" s="7" t="str">
        <f>IF(Table1[[#This Row],[Is Data Valid]]=TRUE,((Table1[[#This Row],[Birthweight (grams)]]*0.9/Table1[[#This Row],[BW_GA]])-1)/(Backend!$B$4/100*Table1[[#This Row],[BW40_3705]]),"")</f>
        <v/>
      </c>
      <c r="I9260" s="7" t="str">
        <f>IF(Table1[[#This Row],[Is Data Valid]]=TRUE,((Table1[[#This Row],[Birthweight (grams)]]*1.1/Table1[[#This Row],[BW_GA]])-1)/(Backend!$B$4/100*Table1[[#This Row],[BW40_3705]]),"")</f>
        <v/>
      </c>
      <c r="J9260" s="7" t="str">
        <f>IF(Table1[[#This Row],[Is Data Valid]]=TRUE,_xlfn.NORM.S.DIST(Table1[[#This Row],[Birthweight Z-Score]],TRUE)*100,"")</f>
        <v/>
      </c>
      <c r="K9260" s="7" t="str">
        <f>IF(Table1[[#This Row],[Is Data Valid]]=TRUE,_xlfn.NORM.S.DIST(Table1[[#This Row],[Birthweight Z-Score (BW-10%)]],TRUE)*100,"")</f>
        <v/>
      </c>
      <c r="L9260" s="7" t="str">
        <f>IF(Table1[[#This Row],[Is Data Valid]]=TRUE,_xlfn.NORM.S.DIST(Table1[[#This Row],[Birthweight Z-Score (BW+10%)]],TRUE)*100,"")</f>
        <v/>
      </c>
    </row>
    <row r="9261" spans="1:12" x14ac:dyDescent="0.35">
      <c r="A9261" s="3"/>
      <c r="B9261" s="2"/>
      <c r="C9261" s="2"/>
      <c r="D9261" s="2" t="b">
        <f>IF(AND(NOT(ISBLANK(Table1[[#This Row],[Fetal Sex (Male, Female or Unknown)]])),ISNUMBER(Table1[[#This Row],[Birthweight (grams)]]),ISNUMBER(Table1[[#This Row],[Gestation (days)]])),TRUE,FALSE)</f>
        <v>0</v>
      </c>
      <c r="E9261" s="2" t="str">
        <f>IF(Table1[[#This Row],[Is Data Valid]]=TRUE,IF(Table1[[#This Row],[Fetal Sex (Male, Female or Unknown)]]="Male",Backend!$C$6,IF(Table1[[#This Row],[Fetal Sex (Male, Female or Unknown)]]="Female",Backend!$C$7,IF(Table1[[#This Row],[Fetal Sex (Male, Female or Unknown)]]="Unknown",Backend!$C$8,"Error"))),"")</f>
        <v/>
      </c>
      <c r="F9261" s="8" t="str">
        <f>IF(Table1[[#This Row],[Is Data Valid]]=TRUE,EXP(0.578+0.332*((Table1[[#This Row],[Gestation (days)]]+0.5)/7)-0.00354*((Table1[[#This Row],[Gestation (days)]]+0.5)/7)^2)*Table1[[#This Row],[BW40_3705]],"")</f>
        <v/>
      </c>
      <c r="G9261" s="2" t="str">
        <f>IF(Table1[[#This Row],[Is Data Valid]]=TRUE,((Table1[[#This Row],[Birthweight (grams)]]/Table1[[#This Row],[BW_GA]])-1)/(Backend!$B$4/100*Table1[[#This Row],[BW40_3705]]),"")</f>
        <v/>
      </c>
      <c r="H9261" s="7" t="str">
        <f>IF(Table1[[#This Row],[Is Data Valid]]=TRUE,((Table1[[#This Row],[Birthweight (grams)]]*0.9/Table1[[#This Row],[BW_GA]])-1)/(Backend!$B$4/100*Table1[[#This Row],[BW40_3705]]),"")</f>
        <v/>
      </c>
      <c r="I9261" s="7" t="str">
        <f>IF(Table1[[#This Row],[Is Data Valid]]=TRUE,((Table1[[#This Row],[Birthweight (grams)]]*1.1/Table1[[#This Row],[BW_GA]])-1)/(Backend!$B$4/100*Table1[[#This Row],[BW40_3705]]),"")</f>
        <v/>
      </c>
      <c r="J9261" s="7" t="str">
        <f>IF(Table1[[#This Row],[Is Data Valid]]=TRUE,_xlfn.NORM.S.DIST(Table1[[#This Row],[Birthweight Z-Score]],TRUE)*100,"")</f>
        <v/>
      </c>
      <c r="K9261" s="7" t="str">
        <f>IF(Table1[[#This Row],[Is Data Valid]]=TRUE,_xlfn.NORM.S.DIST(Table1[[#This Row],[Birthweight Z-Score (BW-10%)]],TRUE)*100,"")</f>
        <v/>
      </c>
      <c r="L9261" s="7" t="str">
        <f>IF(Table1[[#This Row],[Is Data Valid]]=TRUE,_xlfn.NORM.S.DIST(Table1[[#This Row],[Birthweight Z-Score (BW+10%)]],TRUE)*100,"")</f>
        <v/>
      </c>
    </row>
    <row r="9262" spans="1:12" x14ac:dyDescent="0.35">
      <c r="A9262" s="3"/>
      <c r="B9262" s="2"/>
      <c r="C9262" s="2"/>
      <c r="D9262" s="2" t="b">
        <f>IF(AND(NOT(ISBLANK(Table1[[#This Row],[Fetal Sex (Male, Female or Unknown)]])),ISNUMBER(Table1[[#This Row],[Birthweight (grams)]]),ISNUMBER(Table1[[#This Row],[Gestation (days)]])),TRUE,FALSE)</f>
        <v>0</v>
      </c>
      <c r="E9262" s="2" t="str">
        <f>IF(Table1[[#This Row],[Is Data Valid]]=TRUE,IF(Table1[[#This Row],[Fetal Sex (Male, Female or Unknown)]]="Male",Backend!$C$6,IF(Table1[[#This Row],[Fetal Sex (Male, Female or Unknown)]]="Female",Backend!$C$7,IF(Table1[[#This Row],[Fetal Sex (Male, Female or Unknown)]]="Unknown",Backend!$C$8,"Error"))),"")</f>
        <v/>
      </c>
      <c r="F9262" s="8" t="str">
        <f>IF(Table1[[#This Row],[Is Data Valid]]=TRUE,EXP(0.578+0.332*((Table1[[#This Row],[Gestation (days)]]+0.5)/7)-0.00354*((Table1[[#This Row],[Gestation (days)]]+0.5)/7)^2)*Table1[[#This Row],[BW40_3705]],"")</f>
        <v/>
      </c>
      <c r="G9262" s="2" t="str">
        <f>IF(Table1[[#This Row],[Is Data Valid]]=TRUE,((Table1[[#This Row],[Birthweight (grams)]]/Table1[[#This Row],[BW_GA]])-1)/(Backend!$B$4/100*Table1[[#This Row],[BW40_3705]]),"")</f>
        <v/>
      </c>
      <c r="H9262" s="7" t="str">
        <f>IF(Table1[[#This Row],[Is Data Valid]]=TRUE,((Table1[[#This Row],[Birthweight (grams)]]*0.9/Table1[[#This Row],[BW_GA]])-1)/(Backend!$B$4/100*Table1[[#This Row],[BW40_3705]]),"")</f>
        <v/>
      </c>
      <c r="I9262" s="7" t="str">
        <f>IF(Table1[[#This Row],[Is Data Valid]]=TRUE,((Table1[[#This Row],[Birthweight (grams)]]*1.1/Table1[[#This Row],[BW_GA]])-1)/(Backend!$B$4/100*Table1[[#This Row],[BW40_3705]]),"")</f>
        <v/>
      </c>
      <c r="J9262" s="7" t="str">
        <f>IF(Table1[[#This Row],[Is Data Valid]]=TRUE,_xlfn.NORM.S.DIST(Table1[[#This Row],[Birthweight Z-Score]],TRUE)*100,"")</f>
        <v/>
      </c>
      <c r="K9262" s="7" t="str">
        <f>IF(Table1[[#This Row],[Is Data Valid]]=TRUE,_xlfn.NORM.S.DIST(Table1[[#This Row],[Birthweight Z-Score (BW-10%)]],TRUE)*100,"")</f>
        <v/>
      </c>
      <c r="L9262" s="7" t="str">
        <f>IF(Table1[[#This Row],[Is Data Valid]]=TRUE,_xlfn.NORM.S.DIST(Table1[[#This Row],[Birthweight Z-Score (BW+10%)]],TRUE)*100,"")</f>
        <v/>
      </c>
    </row>
    <row r="9263" spans="1:12" x14ac:dyDescent="0.35">
      <c r="A9263" s="3"/>
      <c r="B9263" s="2"/>
      <c r="C9263" s="2"/>
      <c r="D9263" s="2" t="b">
        <f>IF(AND(NOT(ISBLANK(Table1[[#This Row],[Fetal Sex (Male, Female or Unknown)]])),ISNUMBER(Table1[[#This Row],[Birthweight (grams)]]),ISNUMBER(Table1[[#This Row],[Gestation (days)]])),TRUE,FALSE)</f>
        <v>0</v>
      </c>
      <c r="E9263" s="2" t="str">
        <f>IF(Table1[[#This Row],[Is Data Valid]]=TRUE,IF(Table1[[#This Row],[Fetal Sex (Male, Female or Unknown)]]="Male",Backend!$C$6,IF(Table1[[#This Row],[Fetal Sex (Male, Female or Unknown)]]="Female",Backend!$C$7,IF(Table1[[#This Row],[Fetal Sex (Male, Female or Unknown)]]="Unknown",Backend!$C$8,"Error"))),"")</f>
        <v/>
      </c>
      <c r="F9263" s="8" t="str">
        <f>IF(Table1[[#This Row],[Is Data Valid]]=TRUE,EXP(0.578+0.332*((Table1[[#This Row],[Gestation (days)]]+0.5)/7)-0.00354*((Table1[[#This Row],[Gestation (days)]]+0.5)/7)^2)*Table1[[#This Row],[BW40_3705]],"")</f>
        <v/>
      </c>
      <c r="G9263" s="2" t="str">
        <f>IF(Table1[[#This Row],[Is Data Valid]]=TRUE,((Table1[[#This Row],[Birthweight (grams)]]/Table1[[#This Row],[BW_GA]])-1)/(Backend!$B$4/100*Table1[[#This Row],[BW40_3705]]),"")</f>
        <v/>
      </c>
      <c r="H9263" s="7" t="str">
        <f>IF(Table1[[#This Row],[Is Data Valid]]=TRUE,((Table1[[#This Row],[Birthweight (grams)]]*0.9/Table1[[#This Row],[BW_GA]])-1)/(Backend!$B$4/100*Table1[[#This Row],[BW40_3705]]),"")</f>
        <v/>
      </c>
      <c r="I9263" s="7" t="str">
        <f>IF(Table1[[#This Row],[Is Data Valid]]=TRUE,((Table1[[#This Row],[Birthweight (grams)]]*1.1/Table1[[#This Row],[BW_GA]])-1)/(Backend!$B$4/100*Table1[[#This Row],[BW40_3705]]),"")</f>
        <v/>
      </c>
      <c r="J9263" s="7" t="str">
        <f>IF(Table1[[#This Row],[Is Data Valid]]=TRUE,_xlfn.NORM.S.DIST(Table1[[#This Row],[Birthweight Z-Score]],TRUE)*100,"")</f>
        <v/>
      </c>
      <c r="K9263" s="7" t="str">
        <f>IF(Table1[[#This Row],[Is Data Valid]]=TRUE,_xlfn.NORM.S.DIST(Table1[[#This Row],[Birthweight Z-Score (BW-10%)]],TRUE)*100,"")</f>
        <v/>
      </c>
      <c r="L9263" s="7" t="str">
        <f>IF(Table1[[#This Row],[Is Data Valid]]=TRUE,_xlfn.NORM.S.DIST(Table1[[#This Row],[Birthweight Z-Score (BW+10%)]],TRUE)*100,"")</f>
        <v/>
      </c>
    </row>
    <row r="9264" spans="1:12" x14ac:dyDescent="0.35">
      <c r="A9264" s="3"/>
      <c r="B9264" s="2"/>
      <c r="C9264" s="2"/>
      <c r="D9264" s="2" t="b">
        <f>IF(AND(NOT(ISBLANK(Table1[[#This Row],[Fetal Sex (Male, Female or Unknown)]])),ISNUMBER(Table1[[#This Row],[Birthweight (grams)]]),ISNUMBER(Table1[[#This Row],[Gestation (days)]])),TRUE,FALSE)</f>
        <v>0</v>
      </c>
      <c r="E9264" s="2" t="str">
        <f>IF(Table1[[#This Row],[Is Data Valid]]=TRUE,IF(Table1[[#This Row],[Fetal Sex (Male, Female or Unknown)]]="Male",Backend!$C$6,IF(Table1[[#This Row],[Fetal Sex (Male, Female or Unknown)]]="Female",Backend!$C$7,IF(Table1[[#This Row],[Fetal Sex (Male, Female or Unknown)]]="Unknown",Backend!$C$8,"Error"))),"")</f>
        <v/>
      </c>
      <c r="F9264" s="8" t="str">
        <f>IF(Table1[[#This Row],[Is Data Valid]]=TRUE,EXP(0.578+0.332*((Table1[[#This Row],[Gestation (days)]]+0.5)/7)-0.00354*((Table1[[#This Row],[Gestation (days)]]+0.5)/7)^2)*Table1[[#This Row],[BW40_3705]],"")</f>
        <v/>
      </c>
      <c r="G9264" s="2" t="str">
        <f>IF(Table1[[#This Row],[Is Data Valid]]=TRUE,((Table1[[#This Row],[Birthweight (grams)]]/Table1[[#This Row],[BW_GA]])-1)/(Backend!$B$4/100*Table1[[#This Row],[BW40_3705]]),"")</f>
        <v/>
      </c>
      <c r="H9264" s="7" t="str">
        <f>IF(Table1[[#This Row],[Is Data Valid]]=TRUE,((Table1[[#This Row],[Birthweight (grams)]]*0.9/Table1[[#This Row],[BW_GA]])-1)/(Backend!$B$4/100*Table1[[#This Row],[BW40_3705]]),"")</f>
        <v/>
      </c>
      <c r="I9264" s="7" t="str">
        <f>IF(Table1[[#This Row],[Is Data Valid]]=TRUE,((Table1[[#This Row],[Birthweight (grams)]]*1.1/Table1[[#This Row],[BW_GA]])-1)/(Backend!$B$4/100*Table1[[#This Row],[BW40_3705]]),"")</f>
        <v/>
      </c>
      <c r="J9264" s="7" t="str">
        <f>IF(Table1[[#This Row],[Is Data Valid]]=TRUE,_xlfn.NORM.S.DIST(Table1[[#This Row],[Birthweight Z-Score]],TRUE)*100,"")</f>
        <v/>
      </c>
      <c r="K9264" s="7" t="str">
        <f>IF(Table1[[#This Row],[Is Data Valid]]=TRUE,_xlfn.NORM.S.DIST(Table1[[#This Row],[Birthweight Z-Score (BW-10%)]],TRUE)*100,"")</f>
        <v/>
      </c>
      <c r="L9264" s="7" t="str">
        <f>IF(Table1[[#This Row],[Is Data Valid]]=TRUE,_xlfn.NORM.S.DIST(Table1[[#This Row],[Birthweight Z-Score (BW+10%)]],TRUE)*100,"")</f>
        <v/>
      </c>
    </row>
    <row r="9265" spans="1:12" x14ac:dyDescent="0.35">
      <c r="A9265" s="3"/>
      <c r="B9265" s="2"/>
      <c r="C9265" s="2"/>
      <c r="D9265" s="2" t="b">
        <f>IF(AND(NOT(ISBLANK(Table1[[#This Row],[Fetal Sex (Male, Female or Unknown)]])),ISNUMBER(Table1[[#This Row],[Birthweight (grams)]]),ISNUMBER(Table1[[#This Row],[Gestation (days)]])),TRUE,FALSE)</f>
        <v>0</v>
      </c>
      <c r="E9265" s="2" t="str">
        <f>IF(Table1[[#This Row],[Is Data Valid]]=TRUE,IF(Table1[[#This Row],[Fetal Sex (Male, Female or Unknown)]]="Male",Backend!$C$6,IF(Table1[[#This Row],[Fetal Sex (Male, Female or Unknown)]]="Female",Backend!$C$7,IF(Table1[[#This Row],[Fetal Sex (Male, Female or Unknown)]]="Unknown",Backend!$C$8,"Error"))),"")</f>
        <v/>
      </c>
      <c r="F9265" s="8" t="str">
        <f>IF(Table1[[#This Row],[Is Data Valid]]=TRUE,EXP(0.578+0.332*((Table1[[#This Row],[Gestation (days)]]+0.5)/7)-0.00354*((Table1[[#This Row],[Gestation (days)]]+0.5)/7)^2)*Table1[[#This Row],[BW40_3705]],"")</f>
        <v/>
      </c>
      <c r="G9265" s="2" t="str">
        <f>IF(Table1[[#This Row],[Is Data Valid]]=TRUE,((Table1[[#This Row],[Birthweight (grams)]]/Table1[[#This Row],[BW_GA]])-1)/(Backend!$B$4/100*Table1[[#This Row],[BW40_3705]]),"")</f>
        <v/>
      </c>
      <c r="H9265" s="7" t="str">
        <f>IF(Table1[[#This Row],[Is Data Valid]]=TRUE,((Table1[[#This Row],[Birthweight (grams)]]*0.9/Table1[[#This Row],[BW_GA]])-1)/(Backend!$B$4/100*Table1[[#This Row],[BW40_3705]]),"")</f>
        <v/>
      </c>
      <c r="I9265" s="7" t="str">
        <f>IF(Table1[[#This Row],[Is Data Valid]]=TRUE,((Table1[[#This Row],[Birthweight (grams)]]*1.1/Table1[[#This Row],[BW_GA]])-1)/(Backend!$B$4/100*Table1[[#This Row],[BW40_3705]]),"")</f>
        <v/>
      </c>
      <c r="J9265" s="7" t="str">
        <f>IF(Table1[[#This Row],[Is Data Valid]]=TRUE,_xlfn.NORM.S.DIST(Table1[[#This Row],[Birthweight Z-Score]],TRUE)*100,"")</f>
        <v/>
      </c>
      <c r="K9265" s="7" t="str">
        <f>IF(Table1[[#This Row],[Is Data Valid]]=TRUE,_xlfn.NORM.S.DIST(Table1[[#This Row],[Birthweight Z-Score (BW-10%)]],TRUE)*100,"")</f>
        <v/>
      </c>
      <c r="L9265" s="7" t="str">
        <f>IF(Table1[[#This Row],[Is Data Valid]]=TRUE,_xlfn.NORM.S.DIST(Table1[[#This Row],[Birthweight Z-Score (BW+10%)]],TRUE)*100,"")</f>
        <v/>
      </c>
    </row>
    <row r="9266" spans="1:12" x14ac:dyDescent="0.35">
      <c r="A9266" s="3"/>
      <c r="B9266" s="2"/>
      <c r="C9266" s="2"/>
      <c r="D9266" s="2" t="b">
        <f>IF(AND(NOT(ISBLANK(Table1[[#This Row],[Fetal Sex (Male, Female or Unknown)]])),ISNUMBER(Table1[[#This Row],[Birthweight (grams)]]),ISNUMBER(Table1[[#This Row],[Gestation (days)]])),TRUE,FALSE)</f>
        <v>0</v>
      </c>
      <c r="E9266" s="2" t="str">
        <f>IF(Table1[[#This Row],[Is Data Valid]]=TRUE,IF(Table1[[#This Row],[Fetal Sex (Male, Female or Unknown)]]="Male",Backend!$C$6,IF(Table1[[#This Row],[Fetal Sex (Male, Female or Unknown)]]="Female",Backend!$C$7,IF(Table1[[#This Row],[Fetal Sex (Male, Female or Unknown)]]="Unknown",Backend!$C$8,"Error"))),"")</f>
        <v/>
      </c>
      <c r="F9266" s="8" t="str">
        <f>IF(Table1[[#This Row],[Is Data Valid]]=TRUE,EXP(0.578+0.332*((Table1[[#This Row],[Gestation (days)]]+0.5)/7)-0.00354*((Table1[[#This Row],[Gestation (days)]]+0.5)/7)^2)*Table1[[#This Row],[BW40_3705]],"")</f>
        <v/>
      </c>
      <c r="G9266" s="2" t="str">
        <f>IF(Table1[[#This Row],[Is Data Valid]]=TRUE,((Table1[[#This Row],[Birthweight (grams)]]/Table1[[#This Row],[BW_GA]])-1)/(Backend!$B$4/100*Table1[[#This Row],[BW40_3705]]),"")</f>
        <v/>
      </c>
      <c r="H9266" s="7" t="str">
        <f>IF(Table1[[#This Row],[Is Data Valid]]=TRUE,((Table1[[#This Row],[Birthweight (grams)]]*0.9/Table1[[#This Row],[BW_GA]])-1)/(Backend!$B$4/100*Table1[[#This Row],[BW40_3705]]),"")</f>
        <v/>
      </c>
      <c r="I9266" s="7" t="str">
        <f>IF(Table1[[#This Row],[Is Data Valid]]=TRUE,((Table1[[#This Row],[Birthweight (grams)]]*1.1/Table1[[#This Row],[BW_GA]])-1)/(Backend!$B$4/100*Table1[[#This Row],[BW40_3705]]),"")</f>
        <v/>
      </c>
      <c r="J9266" s="7" t="str">
        <f>IF(Table1[[#This Row],[Is Data Valid]]=TRUE,_xlfn.NORM.S.DIST(Table1[[#This Row],[Birthweight Z-Score]],TRUE)*100,"")</f>
        <v/>
      </c>
      <c r="K9266" s="7" t="str">
        <f>IF(Table1[[#This Row],[Is Data Valid]]=TRUE,_xlfn.NORM.S.DIST(Table1[[#This Row],[Birthweight Z-Score (BW-10%)]],TRUE)*100,"")</f>
        <v/>
      </c>
      <c r="L9266" s="7" t="str">
        <f>IF(Table1[[#This Row],[Is Data Valid]]=TRUE,_xlfn.NORM.S.DIST(Table1[[#This Row],[Birthweight Z-Score (BW+10%)]],TRUE)*100,"")</f>
        <v/>
      </c>
    </row>
    <row r="9267" spans="1:12" x14ac:dyDescent="0.35">
      <c r="A9267" s="3"/>
      <c r="B9267" s="2"/>
      <c r="C9267" s="2"/>
      <c r="D9267" s="2" t="b">
        <f>IF(AND(NOT(ISBLANK(Table1[[#This Row],[Fetal Sex (Male, Female or Unknown)]])),ISNUMBER(Table1[[#This Row],[Birthweight (grams)]]),ISNUMBER(Table1[[#This Row],[Gestation (days)]])),TRUE,FALSE)</f>
        <v>0</v>
      </c>
      <c r="E9267" s="2" t="str">
        <f>IF(Table1[[#This Row],[Is Data Valid]]=TRUE,IF(Table1[[#This Row],[Fetal Sex (Male, Female or Unknown)]]="Male",Backend!$C$6,IF(Table1[[#This Row],[Fetal Sex (Male, Female or Unknown)]]="Female",Backend!$C$7,IF(Table1[[#This Row],[Fetal Sex (Male, Female or Unknown)]]="Unknown",Backend!$C$8,"Error"))),"")</f>
        <v/>
      </c>
      <c r="F9267" s="8" t="str">
        <f>IF(Table1[[#This Row],[Is Data Valid]]=TRUE,EXP(0.578+0.332*((Table1[[#This Row],[Gestation (days)]]+0.5)/7)-0.00354*((Table1[[#This Row],[Gestation (days)]]+0.5)/7)^2)*Table1[[#This Row],[BW40_3705]],"")</f>
        <v/>
      </c>
      <c r="G9267" s="2" t="str">
        <f>IF(Table1[[#This Row],[Is Data Valid]]=TRUE,((Table1[[#This Row],[Birthweight (grams)]]/Table1[[#This Row],[BW_GA]])-1)/(Backend!$B$4/100*Table1[[#This Row],[BW40_3705]]),"")</f>
        <v/>
      </c>
      <c r="H9267" s="7" t="str">
        <f>IF(Table1[[#This Row],[Is Data Valid]]=TRUE,((Table1[[#This Row],[Birthweight (grams)]]*0.9/Table1[[#This Row],[BW_GA]])-1)/(Backend!$B$4/100*Table1[[#This Row],[BW40_3705]]),"")</f>
        <v/>
      </c>
      <c r="I9267" s="7" t="str">
        <f>IF(Table1[[#This Row],[Is Data Valid]]=TRUE,((Table1[[#This Row],[Birthweight (grams)]]*1.1/Table1[[#This Row],[BW_GA]])-1)/(Backend!$B$4/100*Table1[[#This Row],[BW40_3705]]),"")</f>
        <v/>
      </c>
      <c r="J9267" s="7" t="str">
        <f>IF(Table1[[#This Row],[Is Data Valid]]=TRUE,_xlfn.NORM.S.DIST(Table1[[#This Row],[Birthweight Z-Score]],TRUE)*100,"")</f>
        <v/>
      </c>
      <c r="K9267" s="7" t="str">
        <f>IF(Table1[[#This Row],[Is Data Valid]]=TRUE,_xlfn.NORM.S.DIST(Table1[[#This Row],[Birthweight Z-Score (BW-10%)]],TRUE)*100,"")</f>
        <v/>
      </c>
      <c r="L9267" s="7" t="str">
        <f>IF(Table1[[#This Row],[Is Data Valid]]=TRUE,_xlfn.NORM.S.DIST(Table1[[#This Row],[Birthweight Z-Score (BW+10%)]],TRUE)*100,"")</f>
        <v/>
      </c>
    </row>
    <row r="9268" spans="1:12" x14ac:dyDescent="0.35">
      <c r="A9268" s="3"/>
      <c r="B9268" s="2"/>
      <c r="C9268" s="2"/>
      <c r="D9268" s="2" t="b">
        <f>IF(AND(NOT(ISBLANK(Table1[[#This Row],[Fetal Sex (Male, Female or Unknown)]])),ISNUMBER(Table1[[#This Row],[Birthweight (grams)]]),ISNUMBER(Table1[[#This Row],[Gestation (days)]])),TRUE,FALSE)</f>
        <v>0</v>
      </c>
      <c r="E9268" s="2" t="str">
        <f>IF(Table1[[#This Row],[Is Data Valid]]=TRUE,IF(Table1[[#This Row],[Fetal Sex (Male, Female or Unknown)]]="Male",Backend!$C$6,IF(Table1[[#This Row],[Fetal Sex (Male, Female or Unknown)]]="Female",Backend!$C$7,IF(Table1[[#This Row],[Fetal Sex (Male, Female or Unknown)]]="Unknown",Backend!$C$8,"Error"))),"")</f>
        <v/>
      </c>
      <c r="F9268" s="8" t="str">
        <f>IF(Table1[[#This Row],[Is Data Valid]]=TRUE,EXP(0.578+0.332*((Table1[[#This Row],[Gestation (days)]]+0.5)/7)-0.00354*((Table1[[#This Row],[Gestation (days)]]+0.5)/7)^2)*Table1[[#This Row],[BW40_3705]],"")</f>
        <v/>
      </c>
      <c r="G9268" s="2" t="str">
        <f>IF(Table1[[#This Row],[Is Data Valid]]=TRUE,((Table1[[#This Row],[Birthweight (grams)]]/Table1[[#This Row],[BW_GA]])-1)/(Backend!$B$4/100*Table1[[#This Row],[BW40_3705]]),"")</f>
        <v/>
      </c>
      <c r="H9268" s="7" t="str">
        <f>IF(Table1[[#This Row],[Is Data Valid]]=TRUE,((Table1[[#This Row],[Birthweight (grams)]]*0.9/Table1[[#This Row],[BW_GA]])-1)/(Backend!$B$4/100*Table1[[#This Row],[BW40_3705]]),"")</f>
        <v/>
      </c>
      <c r="I9268" s="7" t="str">
        <f>IF(Table1[[#This Row],[Is Data Valid]]=TRUE,((Table1[[#This Row],[Birthweight (grams)]]*1.1/Table1[[#This Row],[BW_GA]])-1)/(Backend!$B$4/100*Table1[[#This Row],[BW40_3705]]),"")</f>
        <v/>
      </c>
      <c r="J9268" s="7" t="str">
        <f>IF(Table1[[#This Row],[Is Data Valid]]=TRUE,_xlfn.NORM.S.DIST(Table1[[#This Row],[Birthweight Z-Score]],TRUE)*100,"")</f>
        <v/>
      </c>
      <c r="K9268" s="7" t="str">
        <f>IF(Table1[[#This Row],[Is Data Valid]]=TRUE,_xlfn.NORM.S.DIST(Table1[[#This Row],[Birthweight Z-Score (BW-10%)]],TRUE)*100,"")</f>
        <v/>
      </c>
      <c r="L9268" s="7" t="str">
        <f>IF(Table1[[#This Row],[Is Data Valid]]=TRUE,_xlfn.NORM.S.DIST(Table1[[#This Row],[Birthweight Z-Score (BW+10%)]],TRUE)*100,"")</f>
        <v/>
      </c>
    </row>
    <row r="9269" spans="1:12" x14ac:dyDescent="0.35">
      <c r="A9269" s="3"/>
      <c r="B9269" s="2"/>
      <c r="C9269" s="2"/>
      <c r="D9269" s="2" t="b">
        <f>IF(AND(NOT(ISBLANK(Table1[[#This Row],[Fetal Sex (Male, Female or Unknown)]])),ISNUMBER(Table1[[#This Row],[Birthweight (grams)]]),ISNUMBER(Table1[[#This Row],[Gestation (days)]])),TRUE,FALSE)</f>
        <v>0</v>
      </c>
      <c r="E9269" s="2" t="str">
        <f>IF(Table1[[#This Row],[Is Data Valid]]=TRUE,IF(Table1[[#This Row],[Fetal Sex (Male, Female or Unknown)]]="Male",Backend!$C$6,IF(Table1[[#This Row],[Fetal Sex (Male, Female or Unknown)]]="Female",Backend!$C$7,IF(Table1[[#This Row],[Fetal Sex (Male, Female or Unknown)]]="Unknown",Backend!$C$8,"Error"))),"")</f>
        <v/>
      </c>
      <c r="F9269" s="8" t="str">
        <f>IF(Table1[[#This Row],[Is Data Valid]]=TRUE,EXP(0.578+0.332*((Table1[[#This Row],[Gestation (days)]]+0.5)/7)-0.00354*((Table1[[#This Row],[Gestation (days)]]+0.5)/7)^2)*Table1[[#This Row],[BW40_3705]],"")</f>
        <v/>
      </c>
      <c r="G9269" s="2" t="str">
        <f>IF(Table1[[#This Row],[Is Data Valid]]=TRUE,((Table1[[#This Row],[Birthweight (grams)]]/Table1[[#This Row],[BW_GA]])-1)/(Backend!$B$4/100*Table1[[#This Row],[BW40_3705]]),"")</f>
        <v/>
      </c>
      <c r="H9269" s="7" t="str">
        <f>IF(Table1[[#This Row],[Is Data Valid]]=TRUE,((Table1[[#This Row],[Birthweight (grams)]]*0.9/Table1[[#This Row],[BW_GA]])-1)/(Backend!$B$4/100*Table1[[#This Row],[BW40_3705]]),"")</f>
        <v/>
      </c>
      <c r="I9269" s="7" t="str">
        <f>IF(Table1[[#This Row],[Is Data Valid]]=TRUE,((Table1[[#This Row],[Birthweight (grams)]]*1.1/Table1[[#This Row],[BW_GA]])-1)/(Backend!$B$4/100*Table1[[#This Row],[BW40_3705]]),"")</f>
        <v/>
      </c>
      <c r="J9269" s="7" t="str">
        <f>IF(Table1[[#This Row],[Is Data Valid]]=TRUE,_xlfn.NORM.S.DIST(Table1[[#This Row],[Birthweight Z-Score]],TRUE)*100,"")</f>
        <v/>
      </c>
      <c r="K9269" s="7" t="str">
        <f>IF(Table1[[#This Row],[Is Data Valid]]=TRUE,_xlfn.NORM.S.DIST(Table1[[#This Row],[Birthweight Z-Score (BW-10%)]],TRUE)*100,"")</f>
        <v/>
      </c>
      <c r="L9269" s="7" t="str">
        <f>IF(Table1[[#This Row],[Is Data Valid]]=TRUE,_xlfn.NORM.S.DIST(Table1[[#This Row],[Birthweight Z-Score (BW+10%)]],TRUE)*100,"")</f>
        <v/>
      </c>
    </row>
    <row r="9270" spans="1:12" x14ac:dyDescent="0.35">
      <c r="A9270" s="3"/>
      <c r="B9270" s="2"/>
      <c r="C9270" s="2"/>
      <c r="D9270" s="2" t="b">
        <f>IF(AND(NOT(ISBLANK(Table1[[#This Row],[Fetal Sex (Male, Female or Unknown)]])),ISNUMBER(Table1[[#This Row],[Birthweight (grams)]]),ISNUMBER(Table1[[#This Row],[Gestation (days)]])),TRUE,FALSE)</f>
        <v>0</v>
      </c>
      <c r="E9270" s="2" t="str">
        <f>IF(Table1[[#This Row],[Is Data Valid]]=TRUE,IF(Table1[[#This Row],[Fetal Sex (Male, Female or Unknown)]]="Male",Backend!$C$6,IF(Table1[[#This Row],[Fetal Sex (Male, Female or Unknown)]]="Female",Backend!$C$7,IF(Table1[[#This Row],[Fetal Sex (Male, Female or Unknown)]]="Unknown",Backend!$C$8,"Error"))),"")</f>
        <v/>
      </c>
      <c r="F9270" s="8" t="str">
        <f>IF(Table1[[#This Row],[Is Data Valid]]=TRUE,EXP(0.578+0.332*((Table1[[#This Row],[Gestation (days)]]+0.5)/7)-0.00354*((Table1[[#This Row],[Gestation (days)]]+0.5)/7)^2)*Table1[[#This Row],[BW40_3705]],"")</f>
        <v/>
      </c>
      <c r="G9270" s="2" t="str">
        <f>IF(Table1[[#This Row],[Is Data Valid]]=TRUE,((Table1[[#This Row],[Birthweight (grams)]]/Table1[[#This Row],[BW_GA]])-1)/(Backend!$B$4/100*Table1[[#This Row],[BW40_3705]]),"")</f>
        <v/>
      </c>
      <c r="H9270" s="7" t="str">
        <f>IF(Table1[[#This Row],[Is Data Valid]]=TRUE,((Table1[[#This Row],[Birthweight (grams)]]*0.9/Table1[[#This Row],[BW_GA]])-1)/(Backend!$B$4/100*Table1[[#This Row],[BW40_3705]]),"")</f>
        <v/>
      </c>
      <c r="I9270" s="7" t="str">
        <f>IF(Table1[[#This Row],[Is Data Valid]]=TRUE,((Table1[[#This Row],[Birthweight (grams)]]*1.1/Table1[[#This Row],[BW_GA]])-1)/(Backend!$B$4/100*Table1[[#This Row],[BW40_3705]]),"")</f>
        <v/>
      </c>
      <c r="J9270" s="7" t="str">
        <f>IF(Table1[[#This Row],[Is Data Valid]]=TRUE,_xlfn.NORM.S.DIST(Table1[[#This Row],[Birthweight Z-Score]],TRUE)*100,"")</f>
        <v/>
      </c>
      <c r="K9270" s="7" t="str">
        <f>IF(Table1[[#This Row],[Is Data Valid]]=TRUE,_xlfn.NORM.S.DIST(Table1[[#This Row],[Birthweight Z-Score (BW-10%)]],TRUE)*100,"")</f>
        <v/>
      </c>
      <c r="L9270" s="7" t="str">
        <f>IF(Table1[[#This Row],[Is Data Valid]]=TRUE,_xlfn.NORM.S.DIST(Table1[[#This Row],[Birthweight Z-Score (BW+10%)]],TRUE)*100,"")</f>
        <v/>
      </c>
    </row>
    <row r="9271" spans="1:12" x14ac:dyDescent="0.35">
      <c r="A9271" s="3"/>
      <c r="B9271" s="2"/>
      <c r="C9271" s="2"/>
      <c r="D9271" s="2" t="b">
        <f>IF(AND(NOT(ISBLANK(Table1[[#This Row],[Fetal Sex (Male, Female or Unknown)]])),ISNUMBER(Table1[[#This Row],[Birthweight (grams)]]),ISNUMBER(Table1[[#This Row],[Gestation (days)]])),TRUE,FALSE)</f>
        <v>0</v>
      </c>
      <c r="E9271" s="2" t="str">
        <f>IF(Table1[[#This Row],[Is Data Valid]]=TRUE,IF(Table1[[#This Row],[Fetal Sex (Male, Female or Unknown)]]="Male",Backend!$C$6,IF(Table1[[#This Row],[Fetal Sex (Male, Female or Unknown)]]="Female",Backend!$C$7,IF(Table1[[#This Row],[Fetal Sex (Male, Female or Unknown)]]="Unknown",Backend!$C$8,"Error"))),"")</f>
        <v/>
      </c>
      <c r="F9271" s="8" t="str">
        <f>IF(Table1[[#This Row],[Is Data Valid]]=TRUE,EXP(0.578+0.332*((Table1[[#This Row],[Gestation (days)]]+0.5)/7)-0.00354*((Table1[[#This Row],[Gestation (days)]]+0.5)/7)^2)*Table1[[#This Row],[BW40_3705]],"")</f>
        <v/>
      </c>
      <c r="G9271" s="2" t="str">
        <f>IF(Table1[[#This Row],[Is Data Valid]]=TRUE,((Table1[[#This Row],[Birthweight (grams)]]/Table1[[#This Row],[BW_GA]])-1)/(Backend!$B$4/100*Table1[[#This Row],[BW40_3705]]),"")</f>
        <v/>
      </c>
      <c r="H9271" s="7" t="str">
        <f>IF(Table1[[#This Row],[Is Data Valid]]=TRUE,((Table1[[#This Row],[Birthweight (grams)]]*0.9/Table1[[#This Row],[BW_GA]])-1)/(Backend!$B$4/100*Table1[[#This Row],[BW40_3705]]),"")</f>
        <v/>
      </c>
      <c r="I9271" s="7" t="str">
        <f>IF(Table1[[#This Row],[Is Data Valid]]=TRUE,((Table1[[#This Row],[Birthweight (grams)]]*1.1/Table1[[#This Row],[BW_GA]])-1)/(Backend!$B$4/100*Table1[[#This Row],[BW40_3705]]),"")</f>
        <v/>
      </c>
      <c r="J9271" s="7" t="str">
        <f>IF(Table1[[#This Row],[Is Data Valid]]=TRUE,_xlfn.NORM.S.DIST(Table1[[#This Row],[Birthweight Z-Score]],TRUE)*100,"")</f>
        <v/>
      </c>
      <c r="K9271" s="7" t="str">
        <f>IF(Table1[[#This Row],[Is Data Valid]]=TRUE,_xlfn.NORM.S.DIST(Table1[[#This Row],[Birthweight Z-Score (BW-10%)]],TRUE)*100,"")</f>
        <v/>
      </c>
      <c r="L9271" s="7" t="str">
        <f>IF(Table1[[#This Row],[Is Data Valid]]=TRUE,_xlfn.NORM.S.DIST(Table1[[#This Row],[Birthweight Z-Score (BW+10%)]],TRUE)*100,"")</f>
        <v/>
      </c>
    </row>
    <row r="9272" spans="1:12" x14ac:dyDescent="0.35">
      <c r="A9272" s="3"/>
      <c r="B9272" s="2"/>
      <c r="C9272" s="2"/>
      <c r="D9272" s="2" t="b">
        <f>IF(AND(NOT(ISBLANK(Table1[[#This Row],[Fetal Sex (Male, Female or Unknown)]])),ISNUMBER(Table1[[#This Row],[Birthweight (grams)]]),ISNUMBER(Table1[[#This Row],[Gestation (days)]])),TRUE,FALSE)</f>
        <v>0</v>
      </c>
      <c r="E9272" s="2" t="str">
        <f>IF(Table1[[#This Row],[Is Data Valid]]=TRUE,IF(Table1[[#This Row],[Fetal Sex (Male, Female or Unknown)]]="Male",Backend!$C$6,IF(Table1[[#This Row],[Fetal Sex (Male, Female or Unknown)]]="Female",Backend!$C$7,IF(Table1[[#This Row],[Fetal Sex (Male, Female or Unknown)]]="Unknown",Backend!$C$8,"Error"))),"")</f>
        <v/>
      </c>
      <c r="F9272" s="8" t="str">
        <f>IF(Table1[[#This Row],[Is Data Valid]]=TRUE,EXP(0.578+0.332*((Table1[[#This Row],[Gestation (days)]]+0.5)/7)-0.00354*((Table1[[#This Row],[Gestation (days)]]+0.5)/7)^2)*Table1[[#This Row],[BW40_3705]],"")</f>
        <v/>
      </c>
      <c r="G9272" s="2" t="str">
        <f>IF(Table1[[#This Row],[Is Data Valid]]=TRUE,((Table1[[#This Row],[Birthweight (grams)]]/Table1[[#This Row],[BW_GA]])-1)/(Backend!$B$4/100*Table1[[#This Row],[BW40_3705]]),"")</f>
        <v/>
      </c>
      <c r="H9272" s="7" t="str">
        <f>IF(Table1[[#This Row],[Is Data Valid]]=TRUE,((Table1[[#This Row],[Birthweight (grams)]]*0.9/Table1[[#This Row],[BW_GA]])-1)/(Backend!$B$4/100*Table1[[#This Row],[BW40_3705]]),"")</f>
        <v/>
      </c>
      <c r="I9272" s="7" t="str">
        <f>IF(Table1[[#This Row],[Is Data Valid]]=TRUE,((Table1[[#This Row],[Birthweight (grams)]]*1.1/Table1[[#This Row],[BW_GA]])-1)/(Backend!$B$4/100*Table1[[#This Row],[BW40_3705]]),"")</f>
        <v/>
      </c>
      <c r="J9272" s="7" t="str">
        <f>IF(Table1[[#This Row],[Is Data Valid]]=TRUE,_xlfn.NORM.S.DIST(Table1[[#This Row],[Birthweight Z-Score]],TRUE)*100,"")</f>
        <v/>
      </c>
      <c r="K9272" s="7" t="str">
        <f>IF(Table1[[#This Row],[Is Data Valid]]=TRUE,_xlfn.NORM.S.DIST(Table1[[#This Row],[Birthweight Z-Score (BW-10%)]],TRUE)*100,"")</f>
        <v/>
      </c>
      <c r="L9272" s="7" t="str">
        <f>IF(Table1[[#This Row],[Is Data Valid]]=TRUE,_xlfn.NORM.S.DIST(Table1[[#This Row],[Birthweight Z-Score (BW+10%)]],TRUE)*100,"")</f>
        <v/>
      </c>
    </row>
    <row r="9273" spans="1:12" x14ac:dyDescent="0.35">
      <c r="A9273" s="3"/>
      <c r="B9273" s="2"/>
      <c r="C9273" s="2"/>
      <c r="D9273" s="2" t="b">
        <f>IF(AND(NOT(ISBLANK(Table1[[#This Row],[Fetal Sex (Male, Female or Unknown)]])),ISNUMBER(Table1[[#This Row],[Birthweight (grams)]]),ISNUMBER(Table1[[#This Row],[Gestation (days)]])),TRUE,FALSE)</f>
        <v>0</v>
      </c>
      <c r="E9273" s="2" t="str">
        <f>IF(Table1[[#This Row],[Is Data Valid]]=TRUE,IF(Table1[[#This Row],[Fetal Sex (Male, Female or Unknown)]]="Male",Backend!$C$6,IF(Table1[[#This Row],[Fetal Sex (Male, Female or Unknown)]]="Female",Backend!$C$7,IF(Table1[[#This Row],[Fetal Sex (Male, Female or Unknown)]]="Unknown",Backend!$C$8,"Error"))),"")</f>
        <v/>
      </c>
      <c r="F9273" s="8" t="str">
        <f>IF(Table1[[#This Row],[Is Data Valid]]=TRUE,EXP(0.578+0.332*((Table1[[#This Row],[Gestation (days)]]+0.5)/7)-0.00354*((Table1[[#This Row],[Gestation (days)]]+0.5)/7)^2)*Table1[[#This Row],[BW40_3705]],"")</f>
        <v/>
      </c>
      <c r="G9273" s="2" t="str">
        <f>IF(Table1[[#This Row],[Is Data Valid]]=TRUE,((Table1[[#This Row],[Birthweight (grams)]]/Table1[[#This Row],[BW_GA]])-1)/(Backend!$B$4/100*Table1[[#This Row],[BW40_3705]]),"")</f>
        <v/>
      </c>
      <c r="H9273" s="7" t="str">
        <f>IF(Table1[[#This Row],[Is Data Valid]]=TRUE,((Table1[[#This Row],[Birthweight (grams)]]*0.9/Table1[[#This Row],[BW_GA]])-1)/(Backend!$B$4/100*Table1[[#This Row],[BW40_3705]]),"")</f>
        <v/>
      </c>
      <c r="I9273" s="7" t="str">
        <f>IF(Table1[[#This Row],[Is Data Valid]]=TRUE,((Table1[[#This Row],[Birthweight (grams)]]*1.1/Table1[[#This Row],[BW_GA]])-1)/(Backend!$B$4/100*Table1[[#This Row],[BW40_3705]]),"")</f>
        <v/>
      </c>
      <c r="J9273" s="7" t="str">
        <f>IF(Table1[[#This Row],[Is Data Valid]]=TRUE,_xlfn.NORM.S.DIST(Table1[[#This Row],[Birthweight Z-Score]],TRUE)*100,"")</f>
        <v/>
      </c>
      <c r="K9273" s="7" t="str">
        <f>IF(Table1[[#This Row],[Is Data Valid]]=TRUE,_xlfn.NORM.S.DIST(Table1[[#This Row],[Birthweight Z-Score (BW-10%)]],TRUE)*100,"")</f>
        <v/>
      </c>
      <c r="L9273" s="7" t="str">
        <f>IF(Table1[[#This Row],[Is Data Valid]]=TRUE,_xlfn.NORM.S.DIST(Table1[[#This Row],[Birthweight Z-Score (BW+10%)]],TRUE)*100,"")</f>
        <v/>
      </c>
    </row>
    <row r="9274" spans="1:12" x14ac:dyDescent="0.35">
      <c r="A9274" s="3"/>
      <c r="B9274" s="2"/>
      <c r="C9274" s="2"/>
      <c r="D9274" s="2" t="b">
        <f>IF(AND(NOT(ISBLANK(Table1[[#This Row],[Fetal Sex (Male, Female or Unknown)]])),ISNUMBER(Table1[[#This Row],[Birthweight (grams)]]),ISNUMBER(Table1[[#This Row],[Gestation (days)]])),TRUE,FALSE)</f>
        <v>0</v>
      </c>
      <c r="E9274" s="2" t="str">
        <f>IF(Table1[[#This Row],[Is Data Valid]]=TRUE,IF(Table1[[#This Row],[Fetal Sex (Male, Female or Unknown)]]="Male",Backend!$C$6,IF(Table1[[#This Row],[Fetal Sex (Male, Female or Unknown)]]="Female",Backend!$C$7,IF(Table1[[#This Row],[Fetal Sex (Male, Female or Unknown)]]="Unknown",Backend!$C$8,"Error"))),"")</f>
        <v/>
      </c>
      <c r="F9274" s="8" t="str">
        <f>IF(Table1[[#This Row],[Is Data Valid]]=TRUE,EXP(0.578+0.332*((Table1[[#This Row],[Gestation (days)]]+0.5)/7)-0.00354*((Table1[[#This Row],[Gestation (days)]]+0.5)/7)^2)*Table1[[#This Row],[BW40_3705]],"")</f>
        <v/>
      </c>
      <c r="G9274" s="2" t="str">
        <f>IF(Table1[[#This Row],[Is Data Valid]]=TRUE,((Table1[[#This Row],[Birthweight (grams)]]/Table1[[#This Row],[BW_GA]])-1)/(Backend!$B$4/100*Table1[[#This Row],[BW40_3705]]),"")</f>
        <v/>
      </c>
      <c r="H9274" s="7" t="str">
        <f>IF(Table1[[#This Row],[Is Data Valid]]=TRUE,((Table1[[#This Row],[Birthweight (grams)]]*0.9/Table1[[#This Row],[BW_GA]])-1)/(Backend!$B$4/100*Table1[[#This Row],[BW40_3705]]),"")</f>
        <v/>
      </c>
      <c r="I9274" s="7" t="str">
        <f>IF(Table1[[#This Row],[Is Data Valid]]=TRUE,((Table1[[#This Row],[Birthweight (grams)]]*1.1/Table1[[#This Row],[BW_GA]])-1)/(Backend!$B$4/100*Table1[[#This Row],[BW40_3705]]),"")</f>
        <v/>
      </c>
      <c r="J9274" s="7" t="str">
        <f>IF(Table1[[#This Row],[Is Data Valid]]=TRUE,_xlfn.NORM.S.DIST(Table1[[#This Row],[Birthweight Z-Score]],TRUE)*100,"")</f>
        <v/>
      </c>
      <c r="K9274" s="7" t="str">
        <f>IF(Table1[[#This Row],[Is Data Valid]]=TRUE,_xlfn.NORM.S.DIST(Table1[[#This Row],[Birthweight Z-Score (BW-10%)]],TRUE)*100,"")</f>
        <v/>
      </c>
      <c r="L9274" s="7" t="str">
        <f>IF(Table1[[#This Row],[Is Data Valid]]=TRUE,_xlfn.NORM.S.DIST(Table1[[#This Row],[Birthweight Z-Score (BW+10%)]],TRUE)*100,"")</f>
        <v/>
      </c>
    </row>
    <row r="9275" spans="1:12" x14ac:dyDescent="0.35">
      <c r="A9275" s="3"/>
      <c r="B9275" s="2"/>
      <c r="C9275" s="2"/>
      <c r="D9275" s="2" t="b">
        <f>IF(AND(NOT(ISBLANK(Table1[[#This Row],[Fetal Sex (Male, Female or Unknown)]])),ISNUMBER(Table1[[#This Row],[Birthweight (grams)]]),ISNUMBER(Table1[[#This Row],[Gestation (days)]])),TRUE,FALSE)</f>
        <v>0</v>
      </c>
      <c r="E9275" s="2" t="str">
        <f>IF(Table1[[#This Row],[Is Data Valid]]=TRUE,IF(Table1[[#This Row],[Fetal Sex (Male, Female or Unknown)]]="Male",Backend!$C$6,IF(Table1[[#This Row],[Fetal Sex (Male, Female or Unknown)]]="Female",Backend!$C$7,IF(Table1[[#This Row],[Fetal Sex (Male, Female or Unknown)]]="Unknown",Backend!$C$8,"Error"))),"")</f>
        <v/>
      </c>
      <c r="F9275" s="8" t="str">
        <f>IF(Table1[[#This Row],[Is Data Valid]]=TRUE,EXP(0.578+0.332*((Table1[[#This Row],[Gestation (days)]]+0.5)/7)-0.00354*((Table1[[#This Row],[Gestation (days)]]+0.5)/7)^2)*Table1[[#This Row],[BW40_3705]],"")</f>
        <v/>
      </c>
      <c r="G9275" s="2" t="str">
        <f>IF(Table1[[#This Row],[Is Data Valid]]=TRUE,((Table1[[#This Row],[Birthweight (grams)]]/Table1[[#This Row],[BW_GA]])-1)/(Backend!$B$4/100*Table1[[#This Row],[BW40_3705]]),"")</f>
        <v/>
      </c>
      <c r="H9275" s="7" t="str">
        <f>IF(Table1[[#This Row],[Is Data Valid]]=TRUE,((Table1[[#This Row],[Birthweight (grams)]]*0.9/Table1[[#This Row],[BW_GA]])-1)/(Backend!$B$4/100*Table1[[#This Row],[BW40_3705]]),"")</f>
        <v/>
      </c>
      <c r="I9275" s="7" t="str">
        <f>IF(Table1[[#This Row],[Is Data Valid]]=TRUE,((Table1[[#This Row],[Birthweight (grams)]]*1.1/Table1[[#This Row],[BW_GA]])-1)/(Backend!$B$4/100*Table1[[#This Row],[BW40_3705]]),"")</f>
        <v/>
      </c>
      <c r="J9275" s="7" t="str">
        <f>IF(Table1[[#This Row],[Is Data Valid]]=TRUE,_xlfn.NORM.S.DIST(Table1[[#This Row],[Birthweight Z-Score]],TRUE)*100,"")</f>
        <v/>
      </c>
      <c r="K9275" s="7" t="str">
        <f>IF(Table1[[#This Row],[Is Data Valid]]=TRUE,_xlfn.NORM.S.DIST(Table1[[#This Row],[Birthweight Z-Score (BW-10%)]],TRUE)*100,"")</f>
        <v/>
      </c>
      <c r="L9275" s="7" t="str">
        <f>IF(Table1[[#This Row],[Is Data Valid]]=TRUE,_xlfn.NORM.S.DIST(Table1[[#This Row],[Birthweight Z-Score (BW+10%)]],TRUE)*100,"")</f>
        <v/>
      </c>
    </row>
    <row r="9276" spans="1:12" x14ac:dyDescent="0.35">
      <c r="A9276" s="3"/>
      <c r="B9276" s="2"/>
      <c r="C9276" s="2"/>
      <c r="D9276" s="2" t="b">
        <f>IF(AND(NOT(ISBLANK(Table1[[#This Row],[Fetal Sex (Male, Female or Unknown)]])),ISNUMBER(Table1[[#This Row],[Birthweight (grams)]]),ISNUMBER(Table1[[#This Row],[Gestation (days)]])),TRUE,FALSE)</f>
        <v>0</v>
      </c>
      <c r="E9276" s="2" t="str">
        <f>IF(Table1[[#This Row],[Is Data Valid]]=TRUE,IF(Table1[[#This Row],[Fetal Sex (Male, Female or Unknown)]]="Male",Backend!$C$6,IF(Table1[[#This Row],[Fetal Sex (Male, Female or Unknown)]]="Female",Backend!$C$7,IF(Table1[[#This Row],[Fetal Sex (Male, Female or Unknown)]]="Unknown",Backend!$C$8,"Error"))),"")</f>
        <v/>
      </c>
      <c r="F9276" s="8" t="str">
        <f>IF(Table1[[#This Row],[Is Data Valid]]=TRUE,EXP(0.578+0.332*((Table1[[#This Row],[Gestation (days)]]+0.5)/7)-0.00354*((Table1[[#This Row],[Gestation (days)]]+0.5)/7)^2)*Table1[[#This Row],[BW40_3705]],"")</f>
        <v/>
      </c>
      <c r="G9276" s="2" t="str">
        <f>IF(Table1[[#This Row],[Is Data Valid]]=TRUE,((Table1[[#This Row],[Birthweight (grams)]]/Table1[[#This Row],[BW_GA]])-1)/(Backend!$B$4/100*Table1[[#This Row],[BW40_3705]]),"")</f>
        <v/>
      </c>
      <c r="H9276" s="7" t="str">
        <f>IF(Table1[[#This Row],[Is Data Valid]]=TRUE,((Table1[[#This Row],[Birthweight (grams)]]*0.9/Table1[[#This Row],[BW_GA]])-1)/(Backend!$B$4/100*Table1[[#This Row],[BW40_3705]]),"")</f>
        <v/>
      </c>
      <c r="I9276" s="7" t="str">
        <f>IF(Table1[[#This Row],[Is Data Valid]]=TRUE,((Table1[[#This Row],[Birthweight (grams)]]*1.1/Table1[[#This Row],[BW_GA]])-1)/(Backend!$B$4/100*Table1[[#This Row],[BW40_3705]]),"")</f>
        <v/>
      </c>
      <c r="J9276" s="7" t="str">
        <f>IF(Table1[[#This Row],[Is Data Valid]]=TRUE,_xlfn.NORM.S.DIST(Table1[[#This Row],[Birthweight Z-Score]],TRUE)*100,"")</f>
        <v/>
      </c>
      <c r="K9276" s="7" t="str">
        <f>IF(Table1[[#This Row],[Is Data Valid]]=TRUE,_xlfn.NORM.S.DIST(Table1[[#This Row],[Birthweight Z-Score (BW-10%)]],TRUE)*100,"")</f>
        <v/>
      </c>
      <c r="L9276" s="7" t="str">
        <f>IF(Table1[[#This Row],[Is Data Valid]]=TRUE,_xlfn.NORM.S.DIST(Table1[[#This Row],[Birthweight Z-Score (BW+10%)]],TRUE)*100,"")</f>
        <v/>
      </c>
    </row>
    <row r="9277" spans="1:12" x14ac:dyDescent="0.35">
      <c r="A9277" s="3"/>
      <c r="B9277" s="2"/>
      <c r="C9277" s="2"/>
      <c r="D9277" s="2" t="b">
        <f>IF(AND(NOT(ISBLANK(Table1[[#This Row],[Fetal Sex (Male, Female or Unknown)]])),ISNUMBER(Table1[[#This Row],[Birthweight (grams)]]),ISNUMBER(Table1[[#This Row],[Gestation (days)]])),TRUE,FALSE)</f>
        <v>0</v>
      </c>
      <c r="E9277" s="2" t="str">
        <f>IF(Table1[[#This Row],[Is Data Valid]]=TRUE,IF(Table1[[#This Row],[Fetal Sex (Male, Female or Unknown)]]="Male",Backend!$C$6,IF(Table1[[#This Row],[Fetal Sex (Male, Female or Unknown)]]="Female",Backend!$C$7,IF(Table1[[#This Row],[Fetal Sex (Male, Female or Unknown)]]="Unknown",Backend!$C$8,"Error"))),"")</f>
        <v/>
      </c>
      <c r="F9277" s="8" t="str">
        <f>IF(Table1[[#This Row],[Is Data Valid]]=TRUE,EXP(0.578+0.332*((Table1[[#This Row],[Gestation (days)]]+0.5)/7)-0.00354*((Table1[[#This Row],[Gestation (days)]]+0.5)/7)^2)*Table1[[#This Row],[BW40_3705]],"")</f>
        <v/>
      </c>
      <c r="G9277" s="2" t="str">
        <f>IF(Table1[[#This Row],[Is Data Valid]]=TRUE,((Table1[[#This Row],[Birthweight (grams)]]/Table1[[#This Row],[BW_GA]])-1)/(Backend!$B$4/100*Table1[[#This Row],[BW40_3705]]),"")</f>
        <v/>
      </c>
      <c r="H9277" s="7" t="str">
        <f>IF(Table1[[#This Row],[Is Data Valid]]=TRUE,((Table1[[#This Row],[Birthweight (grams)]]*0.9/Table1[[#This Row],[BW_GA]])-1)/(Backend!$B$4/100*Table1[[#This Row],[BW40_3705]]),"")</f>
        <v/>
      </c>
      <c r="I9277" s="7" t="str">
        <f>IF(Table1[[#This Row],[Is Data Valid]]=TRUE,((Table1[[#This Row],[Birthweight (grams)]]*1.1/Table1[[#This Row],[BW_GA]])-1)/(Backend!$B$4/100*Table1[[#This Row],[BW40_3705]]),"")</f>
        <v/>
      </c>
      <c r="J9277" s="7" t="str">
        <f>IF(Table1[[#This Row],[Is Data Valid]]=TRUE,_xlfn.NORM.S.DIST(Table1[[#This Row],[Birthweight Z-Score]],TRUE)*100,"")</f>
        <v/>
      </c>
      <c r="K9277" s="7" t="str">
        <f>IF(Table1[[#This Row],[Is Data Valid]]=TRUE,_xlfn.NORM.S.DIST(Table1[[#This Row],[Birthweight Z-Score (BW-10%)]],TRUE)*100,"")</f>
        <v/>
      </c>
      <c r="L9277" s="7" t="str">
        <f>IF(Table1[[#This Row],[Is Data Valid]]=TRUE,_xlfn.NORM.S.DIST(Table1[[#This Row],[Birthweight Z-Score (BW+10%)]],TRUE)*100,"")</f>
        <v/>
      </c>
    </row>
    <row r="9278" spans="1:12" x14ac:dyDescent="0.35">
      <c r="A9278" s="3"/>
      <c r="B9278" s="2"/>
      <c r="C9278" s="2"/>
      <c r="D9278" s="2" t="b">
        <f>IF(AND(NOT(ISBLANK(Table1[[#This Row],[Fetal Sex (Male, Female or Unknown)]])),ISNUMBER(Table1[[#This Row],[Birthweight (grams)]]),ISNUMBER(Table1[[#This Row],[Gestation (days)]])),TRUE,FALSE)</f>
        <v>0</v>
      </c>
      <c r="E9278" s="2" t="str">
        <f>IF(Table1[[#This Row],[Is Data Valid]]=TRUE,IF(Table1[[#This Row],[Fetal Sex (Male, Female or Unknown)]]="Male",Backend!$C$6,IF(Table1[[#This Row],[Fetal Sex (Male, Female or Unknown)]]="Female",Backend!$C$7,IF(Table1[[#This Row],[Fetal Sex (Male, Female or Unknown)]]="Unknown",Backend!$C$8,"Error"))),"")</f>
        <v/>
      </c>
      <c r="F9278" s="8" t="str">
        <f>IF(Table1[[#This Row],[Is Data Valid]]=TRUE,EXP(0.578+0.332*((Table1[[#This Row],[Gestation (days)]]+0.5)/7)-0.00354*((Table1[[#This Row],[Gestation (days)]]+0.5)/7)^2)*Table1[[#This Row],[BW40_3705]],"")</f>
        <v/>
      </c>
      <c r="G9278" s="2" t="str">
        <f>IF(Table1[[#This Row],[Is Data Valid]]=TRUE,((Table1[[#This Row],[Birthweight (grams)]]/Table1[[#This Row],[BW_GA]])-1)/(Backend!$B$4/100*Table1[[#This Row],[BW40_3705]]),"")</f>
        <v/>
      </c>
      <c r="H9278" s="7" t="str">
        <f>IF(Table1[[#This Row],[Is Data Valid]]=TRUE,((Table1[[#This Row],[Birthweight (grams)]]*0.9/Table1[[#This Row],[BW_GA]])-1)/(Backend!$B$4/100*Table1[[#This Row],[BW40_3705]]),"")</f>
        <v/>
      </c>
      <c r="I9278" s="7" t="str">
        <f>IF(Table1[[#This Row],[Is Data Valid]]=TRUE,((Table1[[#This Row],[Birthweight (grams)]]*1.1/Table1[[#This Row],[BW_GA]])-1)/(Backend!$B$4/100*Table1[[#This Row],[BW40_3705]]),"")</f>
        <v/>
      </c>
      <c r="J9278" s="7" t="str">
        <f>IF(Table1[[#This Row],[Is Data Valid]]=TRUE,_xlfn.NORM.S.DIST(Table1[[#This Row],[Birthweight Z-Score]],TRUE)*100,"")</f>
        <v/>
      </c>
      <c r="K9278" s="7" t="str">
        <f>IF(Table1[[#This Row],[Is Data Valid]]=TRUE,_xlfn.NORM.S.DIST(Table1[[#This Row],[Birthweight Z-Score (BW-10%)]],TRUE)*100,"")</f>
        <v/>
      </c>
      <c r="L9278" s="7" t="str">
        <f>IF(Table1[[#This Row],[Is Data Valid]]=TRUE,_xlfn.NORM.S.DIST(Table1[[#This Row],[Birthweight Z-Score (BW+10%)]],TRUE)*100,"")</f>
        <v/>
      </c>
    </row>
    <row r="9279" spans="1:12" x14ac:dyDescent="0.35">
      <c r="A9279" s="3"/>
      <c r="B9279" s="2"/>
      <c r="C9279" s="2"/>
      <c r="D9279" s="2" t="b">
        <f>IF(AND(NOT(ISBLANK(Table1[[#This Row],[Fetal Sex (Male, Female or Unknown)]])),ISNUMBER(Table1[[#This Row],[Birthweight (grams)]]),ISNUMBER(Table1[[#This Row],[Gestation (days)]])),TRUE,FALSE)</f>
        <v>0</v>
      </c>
      <c r="E9279" s="2" t="str">
        <f>IF(Table1[[#This Row],[Is Data Valid]]=TRUE,IF(Table1[[#This Row],[Fetal Sex (Male, Female or Unknown)]]="Male",Backend!$C$6,IF(Table1[[#This Row],[Fetal Sex (Male, Female or Unknown)]]="Female",Backend!$C$7,IF(Table1[[#This Row],[Fetal Sex (Male, Female or Unknown)]]="Unknown",Backend!$C$8,"Error"))),"")</f>
        <v/>
      </c>
      <c r="F9279" s="8" t="str">
        <f>IF(Table1[[#This Row],[Is Data Valid]]=TRUE,EXP(0.578+0.332*((Table1[[#This Row],[Gestation (days)]]+0.5)/7)-0.00354*((Table1[[#This Row],[Gestation (days)]]+0.5)/7)^2)*Table1[[#This Row],[BW40_3705]],"")</f>
        <v/>
      </c>
      <c r="G9279" s="2" t="str">
        <f>IF(Table1[[#This Row],[Is Data Valid]]=TRUE,((Table1[[#This Row],[Birthweight (grams)]]/Table1[[#This Row],[BW_GA]])-1)/(Backend!$B$4/100*Table1[[#This Row],[BW40_3705]]),"")</f>
        <v/>
      </c>
      <c r="H9279" s="7" t="str">
        <f>IF(Table1[[#This Row],[Is Data Valid]]=TRUE,((Table1[[#This Row],[Birthweight (grams)]]*0.9/Table1[[#This Row],[BW_GA]])-1)/(Backend!$B$4/100*Table1[[#This Row],[BW40_3705]]),"")</f>
        <v/>
      </c>
      <c r="I9279" s="7" t="str">
        <f>IF(Table1[[#This Row],[Is Data Valid]]=TRUE,((Table1[[#This Row],[Birthweight (grams)]]*1.1/Table1[[#This Row],[BW_GA]])-1)/(Backend!$B$4/100*Table1[[#This Row],[BW40_3705]]),"")</f>
        <v/>
      </c>
      <c r="J9279" s="7" t="str">
        <f>IF(Table1[[#This Row],[Is Data Valid]]=TRUE,_xlfn.NORM.S.DIST(Table1[[#This Row],[Birthweight Z-Score]],TRUE)*100,"")</f>
        <v/>
      </c>
      <c r="K9279" s="7" t="str">
        <f>IF(Table1[[#This Row],[Is Data Valid]]=TRUE,_xlfn.NORM.S.DIST(Table1[[#This Row],[Birthweight Z-Score (BW-10%)]],TRUE)*100,"")</f>
        <v/>
      </c>
      <c r="L9279" s="7" t="str">
        <f>IF(Table1[[#This Row],[Is Data Valid]]=TRUE,_xlfn.NORM.S.DIST(Table1[[#This Row],[Birthweight Z-Score (BW+10%)]],TRUE)*100,"")</f>
        <v/>
      </c>
    </row>
    <row r="9280" spans="1:12" x14ac:dyDescent="0.35">
      <c r="A9280" s="3"/>
      <c r="B9280" s="2"/>
      <c r="C9280" s="2"/>
      <c r="D9280" s="2" t="b">
        <f>IF(AND(NOT(ISBLANK(Table1[[#This Row],[Fetal Sex (Male, Female or Unknown)]])),ISNUMBER(Table1[[#This Row],[Birthweight (grams)]]),ISNUMBER(Table1[[#This Row],[Gestation (days)]])),TRUE,FALSE)</f>
        <v>0</v>
      </c>
      <c r="E9280" s="2" t="str">
        <f>IF(Table1[[#This Row],[Is Data Valid]]=TRUE,IF(Table1[[#This Row],[Fetal Sex (Male, Female or Unknown)]]="Male",Backend!$C$6,IF(Table1[[#This Row],[Fetal Sex (Male, Female or Unknown)]]="Female",Backend!$C$7,IF(Table1[[#This Row],[Fetal Sex (Male, Female or Unknown)]]="Unknown",Backend!$C$8,"Error"))),"")</f>
        <v/>
      </c>
      <c r="F9280" s="8" t="str">
        <f>IF(Table1[[#This Row],[Is Data Valid]]=TRUE,EXP(0.578+0.332*((Table1[[#This Row],[Gestation (days)]]+0.5)/7)-0.00354*((Table1[[#This Row],[Gestation (days)]]+0.5)/7)^2)*Table1[[#This Row],[BW40_3705]],"")</f>
        <v/>
      </c>
      <c r="G9280" s="2" t="str">
        <f>IF(Table1[[#This Row],[Is Data Valid]]=TRUE,((Table1[[#This Row],[Birthweight (grams)]]/Table1[[#This Row],[BW_GA]])-1)/(Backend!$B$4/100*Table1[[#This Row],[BW40_3705]]),"")</f>
        <v/>
      </c>
      <c r="H9280" s="7" t="str">
        <f>IF(Table1[[#This Row],[Is Data Valid]]=TRUE,((Table1[[#This Row],[Birthweight (grams)]]*0.9/Table1[[#This Row],[BW_GA]])-1)/(Backend!$B$4/100*Table1[[#This Row],[BW40_3705]]),"")</f>
        <v/>
      </c>
      <c r="I9280" s="7" t="str">
        <f>IF(Table1[[#This Row],[Is Data Valid]]=TRUE,((Table1[[#This Row],[Birthweight (grams)]]*1.1/Table1[[#This Row],[BW_GA]])-1)/(Backend!$B$4/100*Table1[[#This Row],[BW40_3705]]),"")</f>
        <v/>
      </c>
      <c r="J9280" s="7" t="str">
        <f>IF(Table1[[#This Row],[Is Data Valid]]=TRUE,_xlfn.NORM.S.DIST(Table1[[#This Row],[Birthweight Z-Score]],TRUE)*100,"")</f>
        <v/>
      </c>
      <c r="K9280" s="7" t="str">
        <f>IF(Table1[[#This Row],[Is Data Valid]]=TRUE,_xlfn.NORM.S.DIST(Table1[[#This Row],[Birthweight Z-Score (BW-10%)]],TRUE)*100,"")</f>
        <v/>
      </c>
      <c r="L9280" s="7" t="str">
        <f>IF(Table1[[#This Row],[Is Data Valid]]=TRUE,_xlfn.NORM.S.DIST(Table1[[#This Row],[Birthweight Z-Score (BW+10%)]],TRUE)*100,"")</f>
        <v/>
      </c>
    </row>
    <row r="9281" spans="1:12" x14ac:dyDescent="0.35">
      <c r="A9281" s="3"/>
      <c r="B9281" s="2"/>
      <c r="C9281" s="2"/>
      <c r="D9281" s="2" t="b">
        <f>IF(AND(NOT(ISBLANK(Table1[[#This Row],[Fetal Sex (Male, Female or Unknown)]])),ISNUMBER(Table1[[#This Row],[Birthweight (grams)]]),ISNUMBER(Table1[[#This Row],[Gestation (days)]])),TRUE,FALSE)</f>
        <v>0</v>
      </c>
      <c r="E9281" s="2" t="str">
        <f>IF(Table1[[#This Row],[Is Data Valid]]=TRUE,IF(Table1[[#This Row],[Fetal Sex (Male, Female or Unknown)]]="Male",Backend!$C$6,IF(Table1[[#This Row],[Fetal Sex (Male, Female or Unknown)]]="Female",Backend!$C$7,IF(Table1[[#This Row],[Fetal Sex (Male, Female or Unknown)]]="Unknown",Backend!$C$8,"Error"))),"")</f>
        <v/>
      </c>
      <c r="F9281" s="8" t="str">
        <f>IF(Table1[[#This Row],[Is Data Valid]]=TRUE,EXP(0.578+0.332*((Table1[[#This Row],[Gestation (days)]]+0.5)/7)-0.00354*((Table1[[#This Row],[Gestation (days)]]+0.5)/7)^2)*Table1[[#This Row],[BW40_3705]],"")</f>
        <v/>
      </c>
      <c r="G9281" s="2" t="str">
        <f>IF(Table1[[#This Row],[Is Data Valid]]=TRUE,((Table1[[#This Row],[Birthweight (grams)]]/Table1[[#This Row],[BW_GA]])-1)/(Backend!$B$4/100*Table1[[#This Row],[BW40_3705]]),"")</f>
        <v/>
      </c>
      <c r="H9281" s="7" t="str">
        <f>IF(Table1[[#This Row],[Is Data Valid]]=TRUE,((Table1[[#This Row],[Birthweight (grams)]]*0.9/Table1[[#This Row],[BW_GA]])-1)/(Backend!$B$4/100*Table1[[#This Row],[BW40_3705]]),"")</f>
        <v/>
      </c>
      <c r="I9281" s="7" t="str">
        <f>IF(Table1[[#This Row],[Is Data Valid]]=TRUE,((Table1[[#This Row],[Birthweight (grams)]]*1.1/Table1[[#This Row],[BW_GA]])-1)/(Backend!$B$4/100*Table1[[#This Row],[BW40_3705]]),"")</f>
        <v/>
      </c>
      <c r="J9281" s="7" t="str">
        <f>IF(Table1[[#This Row],[Is Data Valid]]=TRUE,_xlfn.NORM.S.DIST(Table1[[#This Row],[Birthweight Z-Score]],TRUE)*100,"")</f>
        <v/>
      </c>
      <c r="K9281" s="7" t="str">
        <f>IF(Table1[[#This Row],[Is Data Valid]]=TRUE,_xlfn.NORM.S.DIST(Table1[[#This Row],[Birthweight Z-Score (BW-10%)]],TRUE)*100,"")</f>
        <v/>
      </c>
      <c r="L9281" s="7" t="str">
        <f>IF(Table1[[#This Row],[Is Data Valid]]=TRUE,_xlfn.NORM.S.DIST(Table1[[#This Row],[Birthweight Z-Score (BW+10%)]],TRUE)*100,"")</f>
        <v/>
      </c>
    </row>
    <row r="9282" spans="1:12" x14ac:dyDescent="0.35">
      <c r="A9282" s="3"/>
      <c r="B9282" s="2"/>
      <c r="C9282" s="2"/>
      <c r="D9282" s="2" t="b">
        <f>IF(AND(NOT(ISBLANK(Table1[[#This Row],[Fetal Sex (Male, Female or Unknown)]])),ISNUMBER(Table1[[#This Row],[Birthweight (grams)]]),ISNUMBER(Table1[[#This Row],[Gestation (days)]])),TRUE,FALSE)</f>
        <v>0</v>
      </c>
      <c r="E9282" s="2" t="str">
        <f>IF(Table1[[#This Row],[Is Data Valid]]=TRUE,IF(Table1[[#This Row],[Fetal Sex (Male, Female or Unknown)]]="Male",Backend!$C$6,IF(Table1[[#This Row],[Fetal Sex (Male, Female or Unknown)]]="Female",Backend!$C$7,IF(Table1[[#This Row],[Fetal Sex (Male, Female or Unknown)]]="Unknown",Backend!$C$8,"Error"))),"")</f>
        <v/>
      </c>
      <c r="F9282" s="8" t="str">
        <f>IF(Table1[[#This Row],[Is Data Valid]]=TRUE,EXP(0.578+0.332*((Table1[[#This Row],[Gestation (days)]]+0.5)/7)-0.00354*((Table1[[#This Row],[Gestation (days)]]+0.5)/7)^2)*Table1[[#This Row],[BW40_3705]],"")</f>
        <v/>
      </c>
      <c r="G9282" s="2" t="str">
        <f>IF(Table1[[#This Row],[Is Data Valid]]=TRUE,((Table1[[#This Row],[Birthweight (grams)]]/Table1[[#This Row],[BW_GA]])-1)/(Backend!$B$4/100*Table1[[#This Row],[BW40_3705]]),"")</f>
        <v/>
      </c>
      <c r="H9282" s="7" t="str">
        <f>IF(Table1[[#This Row],[Is Data Valid]]=TRUE,((Table1[[#This Row],[Birthweight (grams)]]*0.9/Table1[[#This Row],[BW_GA]])-1)/(Backend!$B$4/100*Table1[[#This Row],[BW40_3705]]),"")</f>
        <v/>
      </c>
      <c r="I9282" s="7" t="str">
        <f>IF(Table1[[#This Row],[Is Data Valid]]=TRUE,((Table1[[#This Row],[Birthweight (grams)]]*1.1/Table1[[#This Row],[BW_GA]])-1)/(Backend!$B$4/100*Table1[[#This Row],[BW40_3705]]),"")</f>
        <v/>
      </c>
      <c r="J9282" s="7" t="str">
        <f>IF(Table1[[#This Row],[Is Data Valid]]=TRUE,_xlfn.NORM.S.DIST(Table1[[#This Row],[Birthweight Z-Score]],TRUE)*100,"")</f>
        <v/>
      </c>
      <c r="K9282" s="7" t="str">
        <f>IF(Table1[[#This Row],[Is Data Valid]]=TRUE,_xlfn.NORM.S.DIST(Table1[[#This Row],[Birthweight Z-Score (BW-10%)]],TRUE)*100,"")</f>
        <v/>
      </c>
      <c r="L9282" s="7" t="str">
        <f>IF(Table1[[#This Row],[Is Data Valid]]=TRUE,_xlfn.NORM.S.DIST(Table1[[#This Row],[Birthweight Z-Score (BW+10%)]],TRUE)*100,"")</f>
        <v/>
      </c>
    </row>
    <row r="9283" spans="1:12" x14ac:dyDescent="0.35">
      <c r="A9283" s="3"/>
      <c r="B9283" s="2"/>
      <c r="C9283" s="2"/>
      <c r="D9283" s="2" t="b">
        <f>IF(AND(NOT(ISBLANK(Table1[[#This Row],[Fetal Sex (Male, Female or Unknown)]])),ISNUMBER(Table1[[#This Row],[Birthweight (grams)]]),ISNUMBER(Table1[[#This Row],[Gestation (days)]])),TRUE,FALSE)</f>
        <v>0</v>
      </c>
      <c r="E9283" s="2" t="str">
        <f>IF(Table1[[#This Row],[Is Data Valid]]=TRUE,IF(Table1[[#This Row],[Fetal Sex (Male, Female or Unknown)]]="Male",Backend!$C$6,IF(Table1[[#This Row],[Fetal Sex (Male, Female or Unknown)]]="Female",Backend!$C$7,IF(Table1[[#This Row],[Fetal Sex (Male, Female or Unknown)]]="Unknown",Backend!$C$8,"Error"))),"")</f>
        <v/>
      </c>
      <c r="F9283" s="8" t="str">
        <f>IF(Table1[[#This Row],[Is Data Valid]]=TRUE,EXP(0.578+0.332*((Table1[[#This Row],[Gestation (days)]]+0.5)/7)-0.00354*((Table1[[#This Row],[Gestation (days)]]+0.5)/7)^2)*Table1[[#This Row],[BW40_3705]],"")</f>
        <v/>
      </c>
      <c r="G9283" s="2" t="str">
        <f>IF(Table1[[#This Row],[Is Data Valid]]=TRUE,((Table1[[#This Row],[Birthweight (grams)]]/Table1[[#This Row],[BW_GA]])-1)/(Backend!$B$4/100*Table1[[#This Row],[BW40_3705]]),"")</f>
        <v/>
      </c>
      <c r="H9283" s="7" t="str">
        <f>IF(Table1[[#This Row],[Is Data Valid]]=TRUE,((Table1[[#This Row],[Birthweight (grams)]]*0.9/Table1[[#This Row],[BW_GA]])-1)/(Backend!$B$4/100*Table1[[#This Row],[BW40_3705]]),"")</f>
        <v/>
      </c>
      <c r="I9283" s="7" t="str">
        <f>IF(Table1[[#This Row],[Is Data Valid]]=TRUE,((Table1[[#This Row],[Birthweight (grams)]]*1.1/Table1[[#This Row],[BW_GA]])-1)/(Backend!$B$4/100*Table1[[#This Row],[BW40_3705]]),"")</f>
        <v/>
      </c>
      <c r="J9283" s="7" t="str">
        <f>IF(Table1[[#This Row],[Is Data Valid]]=TRUE,_xlfn.NORM.S.DIST(Table1[[#This Row],[Birthweight Z-Score]],TRUE)*100,"")</f>
        <v/>
      </c>
      <c r="K9283" s="7" t="str">
        <f>IF(Table1[[#This Row],[Is Data Valid]]=TRUE,_xlfn.NORM.S.DIST(Table1[[#This Row],[Birthweight Z-Score (BW-10%)]],TRUE)*100,"")</f>
        <v/>
      </c>
      <c r="L9283" s="7" t="str">
        <f>IF(Table1[[#This Row],[Is Data Valid]]=TRUE,_xlfn.NORM.S.DIST(Table1[[#This Row],[Birthweight Z-Score (BW+10%)]],TRUE)*100,"")</f>
        <v/>
      </c>
    </row>
    <row r="9284" spans="1:12" x14ac:dyDescent="0.35">
      <c r="A9284" s="3"/>
      <c r="B9284" s="2"/>
      <c r="C9284" s="2"/>
      <c r="D9284" s="2" t="b">
        <f>IF(AND(NOT(ISBLANK(Table1[[#This Row],[Fetal Sex (Male, Female or Unknown)]])),ISNUMBER(Table1[[#This Row],[Birthweight (grams)]]),ISNUMBER(Table1[[#This Row],[Gestation (days)]])),TRUE,FALSE)</f>
        <v>0</v>
      </c>
      <c r="E9284" s="2" t="str">
        <f>IF(Table1[[#This Row],[Is Data Valid]]=TRUE,IF(Table1[[#This Row],[Fetal Sex (Male, Female or Unknown)]]="Male",Backend!$C$6,IF(Table1[[#This Row],[Fetal Sex (Male, Female or Unknown)]]="Female",Backend!$C$7,IF(Table1[[#This Row],[Fetal Sex (Male, Female or Unknown)]]="Unknown",Backend!$C$8,"Error"))),"")</f>
        <v/>
      </c>
      <c r="F9284" s="8" t="str">
        <f>IF(Table1[[#This Row],[Is Data Valid]]=TRUE,EXP(0.578+0.332*((Table1[[#This Row],[Gestation (days)]]+0.5)/7)-0.00354*((Table1[[#This Row],[Gestation (days)]]+0.5)/7)^2)*Table1[[#This Row],[BW40_3705]],"")</f>
        <v/>
      </c>
      <c r="G9284" s="2" t="str">
        <f>IF(Table1[[#This Row],[Is Data Valid]]=TRUE,((Table1[[#This Row],[Birthweight (grams)]]/Table1[[#This Row],[BW_GA]])-1)/(Backend!$B$4/100*Table1[[#This Row],[BW40_3705]]),"")</f>
        <v/>
      </c>
      <c r="H9284" s="7" t="str">
        <f>IF(Table1[[#This Row],[Is Data Valid]]=TRUE,((Table1[[#This Row],[Birthweight (grams)]]*0.9/Table1[[#This Row],[BW_GA]])-1)/(Backend!$B$4/100*Table1[[#This Row],[BW40_3705]]),"")</f>
        <v/>
      </c>
      <c r="I9284" s="7" t="str">
        <f>IF(Table1[[#This Row],[Is Data Valid]]=TRUE,((Table1[[#This Row],[Birthweight (grams)]]*1.1/Table1[[#This Row],[BW_GA]])-1)/(Backend!$B$4/100*Table1[[#This Row],[BW40_3705]]),"")</f>
        <v/>
      </c>
      <c r="J9284" s="7" t="str">
        <f>IF(Table1[[#This Row],[Is Data Valid]]=TRUE,_xlfn.NORM.S.DIST(Table1[[#This Row],[Birthweight Z-Score]],TRUE)*100,"")</f>
        <v/>
      </c>
      <c r="K9284" s="7" t="str">
        <f>IF(Table1[[#This Row],[Is Data Valid]]=TRUE,_xlfn.NORM.S.DIST(Table1[[#This Row],[Birthweight Z-Score (BW-10%)]],TRUE)*100,"")</f>
        <v/>
      </c>
      <c r="L9284" s="7" t="str">
        <f>IF(Table1[[#This Row],[Is Data Valid]]=TRUE,_xlfn.NORM.S.DIST(Table1[[#This Row],[Birthweight Z-Score (BW+10%)]],TRUE)*100,"")</f>
        <v/>
      </c>
    </row>
    <row r="9285" spans="1:12" x14ac:dyDescent="0.35">
      <c r="A9285" s="3"/>
      <c r="B9285" s="2"/>
      <c r="C9285" s="2"/>
      <c r="D9285" s="2" t="b">
        <f>IF(AND(NOT(ISBLANK(Table1[[#This Row],[Fetal Sex (Male, Female or Unknown)]])),ISNUMBER(Table1[[#This Row],[Birthweight (grams)]]),ISNUMBER(Table1[[#This Row],[Gestation (days)]])),TRUE,FALSE)</f>
        <v>0</v>
      </c>
      <c r="E9285" s="2" t="str">
        <f>IF(Table1[[#This Row],[Is Data Valid]]=TRUE,IF(Table1[[#This Row],[Fetal Sex (Male, Female or Unknown)]]="Male",Backend!$C$6,IF(Table1[[#This Row],[Fetal Sex (Male, Female or Unknown)]]="Female",Backend!$C$7,IF(Table1[[#This Row],[Fetal Sex (Male, Female or Unknown)]]="Unknown",Backend!$C$8,"Error"))),"")</f>
        <v/>
      </c>
      <c r="F9285" s="8" t="str">
        <f>IF(Table1[[#This Row],[Is Data Valid]]=TRUE,EXP(0.578+0.332*((Table1[[#This Row],[Gestation (days)]]+0.5)/7)-0.00354*((Table1[[#This Row],[Gestation (days)]]+0.5)/7)^2)*Table1[[#This Row],[BW40_3705]],"")</f>
        <v/>
      </c>
      <c r="G9285" s="2" t="str">
        <f>IF(Table1[[#This Row],[Is Data Valid]]=TRUE,((Table1[[#This Row],[Birthweight (grams)]]/Table1[[#This Row],[BW_GA]])-1)/(Backend!$B$4/100*Table1[[#This Row],[BW40_3705]]),"")</f>
        <v/>
      </c>
      <c r="H9285" s="7" t="str">
        <f>IF(Table1[[#This Row],[Is Data Valid]]=TRUE,((Table1[[#This Row],[Birthweight (grams)]]*0.9/Table1[[#This Row],[BW_GA]])-1)/(Backend!$B$4/100*Table1[[#This Row],[BW40_3705]]),"")</f>
        <v/>
      </c>
      <c r="I9285" s="7" t="str">
        <f>IF(Table1[[#This Row],[Is Data Valid]]=TRUE,((Table1[[#This Row],[Birthweight (grams)]]*1.1/Table1[[#This Row],[BW_GA]])-1)/(Backend!$B$4/100*Table1[[#This Row],[BW40_3705]]),"")</f>
        <v/>
      </c>
      <c r="J9285" s="7" t="str">
        <f>IF(Table1[[#This Row],[Is Data Valid]]=TRUE,_xlfn.NORM.S.DIST(Table1[[#This Row],[Birthweight Z-Score]],TRUE)*100,"")</f>
        <v/>
      </c>
      <c r="K9285" s="7" t="str">
        <f>IF(Table1[[#This Row],[Is Data Valid]]=TRUE,_xlfn.NORM.S.DIST(Table1[[#This Row],[Birthweight Z-Score (BW-10%)]],TRUE)*100,"")</f>
        <v/>
      </c>
      <c r="L9285" s="7" t="str">
        <f>IF(Table1[[#This Row],[Is Data Valid]]=TRUE,_xlfn.NORM.S.DIST(Table1[[#This Row],[Birthweight Z-Score (BW+10%)]],TRUE)*100,"")</f>
        <v/>
      </c>
    </row>
    <row r="9286" spans="1:12" x14ac:dyDescent="0.35">
      <c r="A9286" s="3"/>
      <c r="B9286" s="2"/>
      <c r="C9286" s="2"/>
      <c r="D9286" s="2" t="b">
        <f>IF(AND(NOT(ISBLANK(Table1[[#This Row],[Fetal Sex (Male, Female or Unknown)]])),ISNUMBER(Table1[[#This Row],[Birthweight (grams)]]),ISNUMBER(Table1[[#This Row],[Gestation (days)]])),TRUE,FALSE)</f>
        <v>0</v>
      </c>
      <c r="E9286" s="2" t="str">
        <f>IF(Table1[[#This Row],[Is Data Valid]]=TRUE,IF(Table1[[#This Row],[Fetal Sex (Male, Female or Unknown)]]="Male",Backend!$C$6,IF(Table1[[#This Row],[Fetal Sex (Male, Female or Unknown)]]="Female",Backend!$C$7,IF(Table1[[#This Row],[Fetal Sex (Male, Female or Unknown)]]="Unknown",Backend!$C$8,"Error"))),"")</f>
        <v/>
      </c>
      <c r="F9286" s="8" t="str">
        <f>IF(Table1[[#This Row],[Is Data Valid]]=TRUE,EXP(0.578+0.332*((Table1[[#This Row],[Gestation (days)]]+0.5)/7)-0.00354*((Table1[[#This Row],[Gestation (days)]]+0.5)/7)^2)*Table1[[#This Row],[BW40_3705]],"")</f>
        <v/>
      </c>
      <c r="G9286" s="2" t="str">
        <f>IF(Table1[[#This Row],[Is Data Valid]]=TRUE,((Table1[[#This Row],[Birthweight (grams)]]/Table1[[#This Row],[BW_GA]])-1)/(Backend!$B$4/100*Table1[[#This Row],[BW40_3705]]),"")</f>
        <v/>
      </c>
      <c r="H9286" s="7" t="str">
        <f>IF(Table1[[#This Row],[Is Data Valid]]=TRUE,((Table1[[#This Row],[Birthweight (grams)]]*0.9/Table1[[#This Row],[BW_GA]])-1)/(Backend!$B$4/100*Table1[[#This Row],[BW40_3705]]),"")</f>
        <v/>
      </c>
      <c r="I9286" s="7" t="str">
        <f>IF(Table1[[#This Row],[Is Data Valid]]=TRUE,((Table1[[#This Row],[Birthweight (grams)]]*1.1/Table1[[#This Row],[BW_GA]])-1)/(Backend!$B$4/100*Table1[[#This Row],[BW40_3705]]),"")</f>
        <v/>
      </c>
      <c r="J9286" s="7" t="str">
        <f>IF(Table1[[#This Row],[Is Data Valid]]=TRUE,_xlfn.NORM.S.DIST(Table1[[#This Row],[Birthweight Z-Score]],TRUE)*100,"")</f>
        <v/>
      </c>
      <c r="K9286" s="7" t="str">
        <f>IF(Table1[[#This Row],[Is Data Valid]]=TRUE,_xlfn.NORM.S.DIST(Table1[[#This Row],[Birthweight Z-Score (BW-10%)]],TRUE)*100,"")</f>
        <v/>
      </c>
      <c r="L9286" s="7" t="str">
        <f>IF(Table1[[#This Row],[Is Data Valid]]=TRUE,_xlfn.NORM.S.DIST(Table1[[#This Row],[Birthweight Z-Score (BW+10%)]],TRUE)*100,"")</f>
        <v/>
      </c>
    </row>
    <row r="9287" spans="1:12" x14ac:dyDescent="0.35">
      <c r="A9287" s="3"/>
      <c r="B9287" s="2"/>
      <c r="C9287" s="2"/>
      <c r="D9287" s="2" t="b">
        <f>IF(AND(NOT(ISBLANK(Table1[[#This Row],[Fetal Sex (Male, Female or Unknown)]])),ISNUMBER(Table1[[#This Row],[Birthweight (grams)]]),ISNUMBER(Table1[[#This Row],[Gestation (days)]])),TRUE,FALSE)</f>
        <v>0</v>
      </c>
      <c r="E9287" s="2" t="str">
        <f>IF(Table1[[#This Row],[Is Data Valid]]=TRUE,IF(Table1[[#This Row],[Fetal Sex (Male, Female or Unknown)]]="Male",Backend!$C$6,IF(Table1[[#This Row],[Fetal Sex (Male, Female or Unknown)]]="Female",Backend!$C$7,IF(Table1[[#This Row],[Fetal Sex (Male, Female or Unknown)]]="Unknown",Backend!$C$8,"Error"))),"")</f>
        <v/>
      </c>
      <c r="F9287" s="8" t="str">
        <f>IF(Table1[[#This Row],[Is Data Valid]]=TRUE,EXP(0.578+0.332*((Table1[[#This Row],[Gestation (days)]]+0.5)/7)-0.00354*((Table1[[#This Row],[Gestation (days)]]+0.5)/7)^2)*Table1[[#This Row],[BW40_3705]],"")</f>
        <v/>
      </c>
      <c r="G9287" s="2" t="str">
        <f>IF(Table1[[#This Row],[Is Data Valid]]=TRUE,((Table1[[#This Row],[Birthweight (grams)]]/Table1[[#This Row],[BW_GA]])-1)/(Backend!$B$4/100*Table1[[#This Row],[BW40_3705]]),"")</f>
        <v/>
      </c>
      <c r="H9287" s="7" t="str">
        <f>IF(Table1[[#This Row],[Is Data Valid]]=TRUE,((Table1[[#This Row],[Birthweight (grams)]]*0.9/Table1[[#This Row],[BW_GA]])-1)/(Backend!$B$4/100*Table1[[#This Row],[BW40_3705]]),"")</f>
        <v/>
      </c>
      <c r="I9287" s="7" t="str">
        <f>IF(Table1[[#This Row],[Is Data Valid]]=TRUE,((Table1[[#This Row],[Birthweight (grams)]]*1.1/Table1[[#This Row],[BW_GA]])-1)/(Backend!$B$4/100*Table1[[#This Row],[BW40_3705]]),"")</f>
        <v/>
      </c>
      <c r="J9287" s="7" t="str">
        <f>IF(Table1[[#This Row],[Is Data Valid]]=TRUE,_xlfn.NORM.S.DIST(Table1[[#This Row],[Birthweight Z-Score]],TRUE)*100,"")</f>
        <v/>
      </c>
      <c r="K9287" s="7" t="str">
        <f>IF(Table1[[#This Row],[Is Data Valid]]=TRUE,_xlfn.NORM.S.DIST(Table1[[#This Row],[Birthweight Z-Score (BW-10%)]],TRUE)*100,"")</f>
        <v/>
      </c>
      <c r="L9287" s="7" t="str">
        <f>IF(Table1[[#This Row],[Is Data Valid]]=TRUE,_xlfn.NORM.S.DIST(Table1[[#This Row],[Birthweight Z-Score (BW+10%)]],TRUE)*100,"")</f>
        <v/>
      </c>
    </row>
    <row r="9288" spans="1:12" x14ac:dyDescent="0.35">
      <c r="A9288" s="3"/>
      <c r="B9288" s="2"/>
      <c r="C9288" s="2"/>
      <c r="D9288" s="2" t="b">
        <f>IF(AND(NOT(ISBLANK(Table1[[#This Row],[Fetal Sex (Male, Female or Unknown)]])),ISNUMBER(Table1[[#This Row],[Birthweight (grams)]]),ISNUMBER(Table1[[#This Row],[Gestation (days)]])),TRUE,FALSE)</f>
        <v>0</v>
      </c>
      <c r="E9288" s="2" t="str">
        <f>IF(Table1[[#This Row],[Is Data Valid]]=TRUE,IF(Table1[[#This Row],[Fetal Sex (Male, Female or Unknown)]]="Male",Backend!$C$6,IF(Table1[[#This Row],[Fetal Sex (Male, Female or Unknown)]]="Female",Backend!$C$7,IF(Table1[[#This Row],[Fetal Sex (Male, Female or Unknown)]]="Unknown",Backend!$C$8,"Error"))),"")</f>
        <v/>
      </c>
      <c r="F9288" s="8" t="str">
        <f>IF(Table1[[#This Row],[Is Data Valid]]=TRUE,EXP(0.578+0.332*((Table1[[#This Row],[Gestation (days)]]+0.5)/7)-0.00354*((Table1[[#This Row],[Gestation (days)]]+0.5)/7)^2)*Table1[[#This Row],[BW40_3705]],"")</f>
        <v/>
      </c>
      <c r="G9288" s="2" t="str">
        <f>IF(Table1[[#This Row],[Is Data Valid]]=TRUE,((Table1[[#This Row],[Birthweight (grams)]]/Table1[[#This Row],[BW_GA]])-1)/(Backend!$B$4/100*Table1[[#This Row],[BW40_3705]]),"")</f>
        <v/>
      </c>
      <c r="H9288" s="7" t="str">
        <f>IF(Table1[[#This Row],[Is Data Valid]]=TRUE,((Table1[[#This Row],[Birthweight (grams)]]*0.9/Table1[[#This Row],[BW_GA]])-1)/(Backend!$B$4/100*Table1[[#This Row],[BW40_3705]]),"")</f>
        <v/>
      </c>
      <c r="I9288" s="7" t="str">
        <f>IF(Table1[[#This Row],[Is Data Valid]]=TRUE,((Table1[[#This Row],[Birthweight (grams)]]*1.1/Table1[[#This Row],[BW_GA]])-1)/(Backend!$B$4/100*Table1[[#This Row],[BW40_3705]]),"")</f>
        <v/>
      </c>
      <c r="J9288" s="7" t="str">
        <f>IF(Table1[[#This Row],[Is Data Valid]]=TRUE,_xlfn.NORM.S.DIST(Table1[[#This Row],[Birthweight Z-Score]],TRUE)*100,"")</f>
        <v/>
      </c>
      <c r="K9288" s="7" t="str">
        <f>IF(Table1[[#This Row],[Is Data Valid]]=TRUE,_xlfn.NORM.S.DIST(Table1[[#This Row],[Birthweight Z-Score (BW-10%)]],TRUE)*100,"")</f>
        <v/>
      </c>
      <c r="L9288" s="7" t="str">
        <f>IF(Table1[[#This Row],[Is Data Valid]]=TRUE,_xlfn.NORM.S.DIST(Table1[[#This Row],[Birthweight Z-Score (BW+10%)]],TRUE)*100,"")</f>
        <v/>
      </c>
    </row>
    <row r="9289" spans="1:12" x14ac:dyDescent="0.35">
      <c r="A9289" s="3"/>
      <c r="B9289" s="2"/>
      <c r="C9289" s="2"/>
      <c r="D9289" s="2" t="b">
        <f>IF(AND(NOT(ISBLANK(Table1[[#This Row],[Fetal Sex (Male, Female or Unknown)]])),ISNUMBER(Table1[[#This Row],[Birthweight (grams)]]),ISNUMBER(Table1[[#This Row],[Gestation (days)]])),TRUE,FALSE)</f>
        <v>0</v>
      </c>
      <c r="E9289" s="2" t="str">
        <f>IF(Table1[[#This Row],[Is Data Valid]]=TRUE,IF(Table1[[#This Row],[Fetal Sex (Male, Female or Unknown)]]="Male",Backend!$C$6,IF(Table1[[#This Row],[Fetal Sex (Male, Female or Unknown)]]="Female",Backend!$C$7,IF(Table1[[#This Row],[Fetal Sex (Male, Female or Unknown)]]="Unknown",Backend!$C$8,"Error"))),"")</f>
        <v/>
      </c>
      <c r="F9289" s="8" t="str">
        <f>IF(Table1[[#This Row],[Is Data Valid]]=TRUE,EXP(0.578+0.332*((Table1[[#This Row],[Gestation (days)]]+0.5)/7)-0.00354*((Table1[[#This Row],[Gestation (days)]]+0.5)/7)^2)*Table1[[#This Row],[BW40_3705]],"")</f>
        <v/>
      </c>
      <c r="G9289" s="2" t="str">
        <f>IF(Table1[[#This Row],[Is Data Valid]]=TRUE,((Table1[[#This Row],[Birthweight (grams)]]/Table1[[#This Row],[BW_GA]])-1)/(Backend!$B$4/100*Table1[[#This Row],[BW40_3705]]),"")</f>
        <v/>
      </c>
      <c r="H9289" s="7" t="str">
        <f>IF(Table1[[#This Row],[Is Data Valid]]=TRUE,((Table1[[#This Row],[Birthweight (grams)]]*0.9/Table1[[#This Row],[BW_GA]])-1)/(Backend!$B$4/100*Table1[[#This Row],[BW40_3705]]),"")</f>
        <v/>
      </c>
      <c r="I9289" s="7" t="str">
        <f>IF(Table1[[#This Row],[Is Data Valid]]=TRUE,((Table1[[#This Row],[Birthweight (grams)]]*1.1/Table1[[#This Row],[BW_GA]])-1)/(Backend!$B$4/100*Table1[[#This Row],[BW40_3705]]),"")</f>
        <v/>
      </c>
      <c r="J9289" s="7" t="str">
        <f>IF(Table1[[#This Row],[Is Data Valid]]=TRUE,_xlfn.NORM.S.DIST(Table1[[#This Row],[Birthweight Z-Score]],TRUE)*100,"")</f>
        <v/>
      </c>
      <c r="K9289" s="7" t="str">
        <f>IF(Table1[[#This Row],[Is Data Valid]]=TRUE,_xlfn.NORM.S.DIST(Table1[[#This Row],[Birthweight Z-Score (BW-10%)]],TRUE)*100,"")</f>
        <v/>
      </c>
      <c r="L9289" s="7" t="str">
        <f>IF(Table1[[#This Row],[Is Data Valid]]=TRUE,_xlfn.NORM.S.DIST(Table1[[#This Row],[Birthweight Z-Score (BW+10%)]],TRUE)*100,"")</f>
        <v/>
      </c>
    </row>
    <row r="9290" spans="1:12" x14ac:dyDescent="0.35">
      <c r="A9290" s="3"/>
      <c r="B9290" s="2"/>
      <c r="C9290" s="2"/>
      <c r="D9290" s="2" t="b">
        <f>IF(AND(NOT(ISBLANK(Table1[[#This Row],[Fetal Sex (Male, Female or Unknown)]])),ISNUMBER(Table1[[#This Row],[Birthweight (grams)]]),ISNUMBER(Table1[[#This Row],[Gestation (days)]])),TRUE,FALSE)</f>
        <v>0</v>
      </c>
      <c r="E9290" s="2" t="str">
        <f>IF(Table1[[#This Row],[Is Data Valid]]=TRUE,IF(Table1[[#This Row],[Fetal Sex (Male, Female or Unknown)]]="Male",Backend!$C$6,IF(Table1[[#This Row],[Fetal Sex (Male, Female or Unknown)]]="Female",Backend!$C$7,IF(Table1[[#This Row],[Fetal Sex (Male, Female or Unknown)]]="Unknown",Backend!$C$8,"Error"))),"")</f>
        <v/>
      </c>
      <c r="F9290" s="8" t="str">
        <f>IF(Table1[[#This Row],[Is Data Valid]]=TRUE,EXP(0.578+0.332*((Table1[[#This Row],[Gestation (days)]]+0.5)/7)-0.00354*((Table1[[#This Row],[Gestation (days)]]+0.5)/7)^2)*Table1[[#This Row],[BW40_3705]],"")</f>
        <v/>
      </c>
      <c r="G9290" s="2" t="str">
        <f>IF(Table1[[#This Row],[Is Data Valid]]=TRUE,((Table1[[#This Row],[Birthweight (grams)]]/Table1[[#This Row],[BW_GA]])-1)/(Backend!$B$4/100*Table1[[#This Row],[BW40_3705]]),"")</f>
        <v/>
      </c>
      <c r="H9290" s="7" t="str">
        <f>IF(Table1[[#This Row],[Is Data Valid]]=TRUE,((Table1[[#This Row],[Birthweight (grams)]]*0.9/Table1[[#This Row],[BW_GA]])-1)/(Backend!$B$4/100*Table1[[#This Row],[BW40_3705]]),"")</f>
        <v/>
      </c>
      <c r="I9290" s="7" t="str">
        <f>IF(Table1[[#This Row],[Is Data Valid]]=TRUE,((Table1[[#This Row],[Birthweight (grams)]]*1.1/Table1[[#This Row],[BW_GA]])-1)/(Backend!$B$4/100*Table1[[#This Row],[BW40_3705]]),"")</f>
        <v/>
      </c>
      <c r="J9290" s="7" t="str">
        <f>IF(Table1[[#This Row],[Is Data Valid]]=TRUE,_xlfn.NORM.S.DIST(Table1[[#This Row],[Birthweight Z-Score]],TRUE)*100,"")</f>
        <v/>
      </c>
      <c r="K9290" s="7" t="str">
        <f>IF(Table1[[#This Row],[Is Data Valid]]=TRUE,_xlfn.NORM.S.DIST(Table1[[#This Row],[Birthweight Z-Score (BW-10%)]],TRUE)*100,"")</f>
        <v/>
      </c>
      <c r="L9290" s="7" t="str">
        <f>IF(Table1[[#This Row],[Is Data Valid]]=TRUE,_xlfn.NORM.S.DIST(Table1[[#This Row],[Birthweight Z-Score (BW+10%)]],TRUE)*100,"")</f>
        <v/>
      </c>
    </row>
    <row r="9291" spans="1:12" x14ac:dyDescent="0.35">
      <c r="A9291" s="3"/>
      <c r="B9291" s="2"/>
      <c r="C9291" s="2"/>
      <c r="D9291" s="2" t="b">
        <f>IF(AND(NOT(ISBLANK(Table1[[#This Row],[Fetal Sex (Male, Female or Unknown)]])),ISNUMBER(Table1[[#This Row],[Birthweight (grams)]]),ISNUMBER(Table1[[#This Row],[Gestation (days)]])),TRUE,FALSE)</f>
        <v>0</v>
      </c>
      <c r="E9291" s="2" t="str">
        <f>IF(Table1[[#This Row],[Is Data Valid]]=TRUE,IF(Table1[[#This Row],[Fetal Sex (Male, Female or Unknown)]]="Male",Backend!$C$6,IF(Table1[[#This Row],[Fetal Sex (Male, Female or Unknown)]]="Female",Backend!$C$7,IF(Table1[[#This Row],[Fetal Sex (Male, Female or Unknown)]]="Unknown",Backend!$C$8,"Error"))),"")</f>
        <v/>
      </c>
      <c r="F9291" s="8" t="str">
        <f>IF(Table1[[#This Row],[Is Data Valid]]=TRUE,EXP(0.578+0.332*((Table1[[#This Row],[Gestation (days)]]+0.5)/7)-0.00354*((Table1[[#This Row],[Gestation (days)]]+0.5)/7)^2)*Table1[[#This Row],[BW40_3705]],"")</f>
        <v/>
      </c>
      <c r="G9291" s="2" t="str">
        <f>IF(Table1[[#This Row],[Is Data Valid]]=TRUE,((Table1[[#This Row],[Birthweight (grams)]]/Table1[[#This Row],[BW_GA]])-1)/(Backend!$B$4/100*Table1[[#This Row],[BW40_3705]]),"")</f>
        <v/>
      </c>
      <c r="H9291" s="7" t="str">
        <f>IF(Table1[[#This Row],[Is Data Valid]]=TRUE,((Table1[[#This Row],[Birthweight (grams)]]*0.9/Table1[[#This Row],[BW_GA]])-1)/(Backend!$B$4/100*Table1[[#This Row],[BW40_3705]]),"")</f>
        <v/>
      </c>
      <c r="I9291" s="7" t="str">
        <f>IF(Table1[[#This Row],[Is Data Valid]]=TRUE,((Table1[[#This Row],[Birthweight (grams)]]*1.1/Table1[[#This Row],[BW_GA]])-1)/(Backend!$B$4/100*Table1[[#This Row],[BW40_3705]]),"")</f>
        <v/>
      </c>
      <c r="J9291" s="7" t="str">
        <f>IF(Table1[[#This Row],[Is Data Valid]]=TRUE,_xlfn.NORM.S.DIST(Table1[[#This Row],[Birthweight Z-Score]],TRUE)*100,"")</f>
        <v/>
      </c>
      <c r="K9291" s="7" t="str">
        <f>IF(Table1[[#This Row],[Is Data Valid]]=TRUE,_xlfn.NORM.S.DIST(Table1[[#This Row],[Birthweight Z-Score (BW-10%)]],TRUE)*100,"")</f>
        <v/>
      </c>
      <c r="L9291" s="7" t="str">
        <f>IF(Table1[[#This Row],[Is Data Valid]]=TRUE,_xlfn.NORM.S.DIST(Table1[[#This Row],[Birthweight Z-Score (BW+10%)]],TRUE)*100,"")</f>
        <v/>
      </c>
    </row>
    <row r="9292" spans="1:12" x14ac:dyDescent="0.35">
      <c r="A9292" s="3"/>
      <c r="B9292" s="2"/>
      <c r="C9292" s="2"/>
      <c r="D9292" s="2" t="b">
        <f>IF(AND(NOT(ISBLANK(Table1[[#This Row],[Fetal Sex (Male, Female or Unknown)]])),ISNUMBER(Table1[[#This Row],[Birthweight (grams)]]),ISNUMBER(Table1[[#This Row],[Gestation (days)]])),TRUE,FALSE)</f>
        <v>0</v>
      </c>
      <c r="E9292" s="2" t="str">
        <f>IF(Table1[[#This Row],[Is Data Valid]]=TRUE,IF(Table1[[#This Row],[Fetal Sex (Male, Female or Unknown)]]="Male",Backend!$C$6,IF(Table1[[#This Row],[Fetal Sex (Male, Female or Unknown)]]="Female",Backend!$C$7,IF(Table1[[#This Row],[Fetal Sex (Male, Female or Unknown)]]="Unknown",Backend!$C$8,"Error"))),"")</f>
        <v/>
      </c>
      <c r="F9292" s="8" t="str">
        <f>IF(Table1[[#This Row],[Is Data Valid]]=TRUE,EXP(0.578+0.332*((Table1[[#This Row],[Gestation (days)]]+0.5)/7)-0.00354*((Table1[[#This Row],[Gestation (days)]]+0.5)/7)^2)*Table1[[#This Row],[BW40_3705]],"")</f>
        <v/>
      </c>
      <c r="G9292" s="2" t="str">
        <f>IF(Table1[[#This Row],[Is Data Valid]]=TRUE,((Table1[[#This Row],[Birthweight (grams)]]/Table1[[#This Row],[BW_GA]])-1)/(Backend!$B$4/100*Table1[[#This Row],[BW40_3705]]),"")</f>
        <v/>
      </c>
      <c r="H9292" s="7" t="str">
        <f>IF(Table1[[#This Row],[Is Data Valid]]=TRUE,((Table1[[#This Row],[Birthweight (grams)]]*0.9/Table1[[#This Row],[BW_GA]])-1)/(Backend!$B$4/100*Table1[[#This Row],[BW40_3705]]),"")</f>
        <v/>
      </c>
      <c r="I9292" s="7" t="str">
        <f>IF(Table1[[#This Row],[Is Data Valid]]=TRUE,((Table1[[#This Row],[Birthweight (grams)]]*1.1/Table1[[#This Row],[BW_GA]])-1)/(Backend!$B$4/100*Table1[[#This Row],[BW40_3705]]),"")</f>
        <v/>
      </c>
      <c r="J9292" s="7" t="str">
        <f>IF(Table1[[#This Row],[Is Data Valid]]=TRUE,_xlfn.NORM.S.DIST(Table1[[#This Row],[Birthweight Z-Score]],TRUE)*100,"")</f>
        <v/>
      </c>
      <c r="K9292" s="7" t="str">
        <f>IF(Table1[[#This Row],[Is Data Valid]]=TRUE,_xlfn.NORM.S.DIST(Table1[[#This Row],[Birthweight Z-Score (BW-10%)]],TRUE)*100,"")</f>
        <v/>
      </c>
      <c r="L9292" s="7" t="str">
        <f>IF(Table1[[#This Row],[Is Data Valid]]=TRUE,_xlfn.NORM.S.DIST(Table1[[#This Row],[Birthweight Z-Score (BW+10%)]],TRUE)*100,"")</f>
        <v/>
      </c>
    </row>
    <row r="9293" spans="1:12" x14ac:dyDescent="0.35">
      <c r="A9293" s="3"/>
      <c r="B9293" s="2"/>
      <c r="C9293" s="2"/>
      <c r="D9293" s="2" t="b">
        <f>IF(AND(NOT(ISBLANK(Table1[[#This Row],[Fetal Sex (Male, Female or Unknown)]])),ISNUMBER(Table1[[#This Row],[Birthweight (grams)]]),ISNUMBER(Table1[[#This Row],[Gestation (days)]])),TRUE,FALSE)</f>
        <v>0</v>
      </c>
      <c r="E9293" s="2" t="str">
        <f>IF(Table1[[#This Row],[Is Data Valid]]=TRUE,IF(Table1[[#This Row],[Fetal Sex (Male, Female or Unknown)]]="Male",Backend!$C$6,IF(Table1[[#This Row],[Fetal Sex (Male, Female or Unknown)]]="Female",Backend!$C$7,IF(Table1[[#This Row],[Fetal Sex (Male, Female or Unknown)]]="Unknown",Backend!$C$8,"Error"))),"")</f>
        <v/>
      </c>
      <c r="F9293" s="8" t="str">
        <f>IF(Table1[[#This Row],[Is Data Valid]]=TRUE,EXP(0.578+0.332*((Table1[[#This Row],[Gestation (days)]]+0.5)/7)-0.00354*((Table1[[#This Row],[Gestation (days)]]+0.5)/7)^2)*Table1[[#This Row],[BW40_3705]],"")</f>
        <v/>
      </c>
      <c r="G9293" s="2" t="str">
        <f>IF(Table1[[#This Row],[Is Data Valid]]=TRUE,((Table1[[#This Row],[Birthweight (grams)]]/Table1[[#This Row],[BW_GA]])-1)/(Backend!$B$4/100*Table1[[#This Row],[BW40_3705]]),"")</f>
        <v/>
      </c>
      <c r="H9293" s="7" t="str">
        <f>IF(Table1[[#This Row],[Is Data Valid]]=TRUE,((Table1[[#This Row],[Birthweight (grams)]]*0.9/Table1[[#This Row],[BW_GA]])-1)/(Backend!$B$4/100*Table1[[#This Row],[BW40_3705]]),"")</f>
        <v/>
      </c>
      <c r="I9293" s="7" t="str">
        <f>IF(Table1[[#This Row],[Is Data Valid]]=TRUE,((Table1[[#This Row],[Birthweight (grams)]]*1.1/Table1[[#This Row],[BW_GA]])-1)/(Backend!$B$4/100*Table1[[#This Row],[BW40_3705]]),"")</f>
        <v/>
      </c>
      <c r="J9293" s="7" t="str">
        <f>IF(Table1[[#This Row],[Is Data Valid]]=TRUE,_xlfn.NORM.S.DIST(Table1[[#This Row],[Birthweight Z-Score]],TRUE)*100,"")</f>
        <v/>
      </c>
      <c r="K9293" s="7" t="str">
        <f>IF(Table1[[#This Row],[Is Data Valid]]=TRUE,_xlfn.NORM.S.DIST(Table1[[#This Row],[Birthweight Z-Score (BW-10%)]],TRUE)*100,"")</f>
        <v/>
      </c>
      <c r="L9293" s="7" t="str">
        <f>IF(Table1[[#This Row],[Is Data Valid]]=TRUE,_xlfn.NORM.S.DIST(Table1[[#This Row],[Birthweight Z-Score (BW+10%)]],TRUE)*100,"")</f>
        <v/>
      </c>
    </row>
    <row r="9294" spans="1:12" x14ac:dyDescent="0.35">
      <c r="A9294" s="3"/>
      <c r="B9294" s="2"/>
      <c r="C9294" s="2"/>
      <c r="D9294" s="2" t="b">
        <f>IF(AND(NOT(ISBLANK(Table1[[#This Row],[Fetal Sex (Male, Female or Unknown)]])),ISNUMBER(Table1[[#This Row],[Birthweight (grams)]]),ISNUMBER(Table1[[#This Row],[Gestation (days)]])),TRUE,FALSE)</f>
        <v>0</v>
      </c>
      <c r="E9294" s="2" t="str">
        <f>IF(Table1[[#This Row],[Is Data Valid]]=TRUE,IF(Table1[[#This Row],[Fetal Sex (Male, Female or Unknown)]]="Male",Backend!$C$6,IF(Table1[[#This Row],[Fetal Sex (Male, Female or Unknown)]]="Female",Backend!$C$7,IF(Table1[[#This Row],[Fetal Sex (Male, Female or Unknown)]]="Unknown",Backend!$C$8,"Error"))),"")</f>
        <v/>
      </c>
      <c r="F9294" s="8" t="str">
        <f>IF(Table1[[#This Row],[Is Data Valid]]=TRUE,EXP(0.578+0.332*((Table1[[#This Row],[Gestation (days)]]+0.5)/7)-0.00354*((Table1[[#This Row],[Gestation (days)]]+0.5)/7)^2)*Table1[[#This Row],[BW40_3705]],"")</f>
        <v/>
      </c>
      <c r="G9294" s="2" t="str">
        <f>IF(Table1[[#This Row],[Is Data Valid]]=TRUE,((Table1[[#This Row],[Birthweight (grams)]]/Table1[[#This Row],[BW_GA]])-1)/(Backend!$B$4/100*Table1[[#This Row],[BW40_3705]]),"")</f>
        <v/>
      </c>
      <c r="H9294" s="7" t="str">
        <f>IF(Table1[[#This Row],[Is Data Valid]]=TRUE,((Table1[[#This Row],[Birthweight (grams)]]*0.9/Table1[[#This Row],[BW_GA]])-1)/(Backend!$B$4/100*Table1[[#This Row],[BW40_3705]]),"")</f>
        <v/>
      </c>
      <c r="I9294" s="7" t="str">
        <f>IF(Table1[[#This Row],[Is Data Valid]]=TRUE,((Table1[[#This Row],[Birthweight (grams)]]*1.1/Table1[[#This Row],[BW_GA]])-1)/(Backend!$B$4/100*Table1[[#This Row],[BW40_3705]]),"")</f>
        <v/>
      </c>
      <c r="J9294" s="7" t="str">
        <f>IF(Table1[[#This Row],[Is Data Valid]]=TRUE,_xlfn.NORM.S.DIST(Table1[[#This Row],[Birthweight Z-Score]],TRUE)*100,"")</f>
        <v/>
      </c>
      <c r="K9294" s="7" t="str">
        <f>IF(Table1[[#This Row],[Is Data Valid]]=TRUE,_xlfn.NORM.S.DIST(Table1[[#This Row],[Birthweight Z-Score (BW-10%)]],TRUE)*100,"")</f>
        <v/>
      </c>
      <c r="L9294" s="7" t="str">
        <f>IF(Table1[[#This Row],[Is Data Valid]]=TRUE,_xlfn.NORM.S.DIST(Table1[[#This Row],[Birthweight Z-Score (BW+10%)]],TRUE)*100,"")</f>
        <v/>
      </c>
    </row>
    <row r="9295" spans="1:12" x14ac:dyDescent="0.35">
      <c r="A9295" s="3"/>
      <c r="B9295" s="2"/>
      <c r="C9295" s="2"/>
      <c r="D9295" s="2" t="b">
        <f>IF(AND(NOT(ISBLANK(Table1[[#This Row],[Fetal Sex (Male, Female or Unknown)]])),ISNUMBER(Table1[[#This Row],[Birthweight (grams)]]),ISNUMBER(Table1[[#This Row],[Gestation (days)]])),TRUE,FALSE)</f>
        <v>0</v>
      </c>
      <c r="E9295" s="2" t="str">
        <f>IF(Table1[[#This Row],[Is Data Valid]]=TRUE,IF(Table1[[#This Row],[Fetal Sex (Male, Female or Unknown)]]="Male",Backend!$C$6,IF(Table1[[#This Row],[Fetal Sex (Male, Female or Unknown)]]="Female",Backend!$C$7,IF(Table1[[#This Row],[Fetal Sex (Male, Female or Unknown)]]="Unknown",Backend!$C$8,"Error"))),"")</f>
        <v/>
      </c>
      <c r="F9295" s="8" t="str">
        <f>IF(Table1[[#This Row],[Is Data Valid]]=TRUE,EXP(0.578+0.332*((Table1[[#This Row],[Gestation (days)]]+0.5)/7)-0.00354*((Table1[[#This Row],[Gestation (days)]]+0.5)/7)^2)*Table1[[#This Row],[BW40_3705]],"")</f>
        <v/>
      </c>
      <c r="G9295" s="2" t="str">
        <f>IF(Table1[[#This Row],[Is Data Valid]]=TRUE,((Table1[[#This Row],[Birthweight (grams)]]/Table1[[#This Row],[BW_GA]])-1)/(Backend!$B$4/100*Table1[[#This Row],[BW40_3705]]),"")</f>
        <v/>
      </c>
      <c r="H9295" s="7" t="str">
        <f>IF(Table1[[#This Row],[Is Data Valid]]=TRUE,((Table1[[#This Row],[Birthweight (grams)]]*0.9/Table1[[#This Row],[BW_GA]])-1)/(Backend!$B$4/100*Table1[[#This Row],[BW40_3705]]),"")</f>
        <v/>
      </c>
      <c r="I9295" s="7" t="str">
        <f>IF(Table1[[#This Row],[Is Data Valid]]=TRUE,((Table1[[#This Row],[Birthweight (grams)]]*1.1/Table1[[#This Row],[BW_GA]])-1)/(Backend!$B$4/100*Table1[[#This Row],[BW40_3705]]),"")</f>
        <v/>
      </c>
      <c r="J9295" s="7" t="str">
        <f>IF(Table1[[#This Row],[Is Data Valid]]=TRUE,_xlfn.NORM.S.DIST(Table1[[#This Row],[Birthweight Z-Score]],TRUE)*100,"")</f>
        <v/>
      </c>
      <c r="K9295" s="7" t="str">
        <f>IF(Table1[[#This Row],[Is Data Valid]]=TRUE,_xlfn.NORM.S.DIST(Table1[[#This Row],[Birthweight Z-Score (BW-10%)]],TRUE)*100,"")</f>
        <v/>
      </c>
      <c r="L9295" s="7" t="str">
        <f>IF(Table1[[#This Row],[Is Data Valid]]=TRUE,_xlfn.NORM.S.DIST(Table1[[#This Row],[Birthweight Z-Score (BW+10%)]],TRUE)*100,"")</f>
        <v/>
      </c>
    </row>
    <row r="9296" spans="1:12" x14ac:dyDescent="0.35">
      <c r="A9296" s="3"/>
      <c r="B9296" s="2"/>
      <c r="C9296" s="2"/>
      <c r="D9296" s="2" t="b">
        <f>IF(AND(NOT(ISBLANK(Table1[[#This Row],[Fetal Sex (Male, Female or Unknown)]])),ISNUMBER(Table1[[#This Row],[Birthweight (grams)]]),ISNUMBER(Table1[[#This Row],[Gestation (days)]])),TRUE,FALSE)</f>
        <v>0</v>
      </c>
      <c r="E9296" s="2" t="str">
        <f>IF(Table1[[#This Row],[Is Data Valid]]=TRUE,IF(Table1[[#This Row],[Fetal Sex (Male, Female or Unknown)]]="Male",Backend!$C$6,IF(Table1[[#This Row],[Fetal Sex (Male, Female or Unknown)]]="Female",Backend!$C$7,IF(Table1[[#This Row],[Fetal Sex (Male, Female or Unknown)]]="Unknown",Backend!$C$8,"Error"))),"")</f>
        <v/>
      </c>
      <c r="F9296" s="8" t="str">
        <f>IF(Table1[[#This Row],[Is Data Valid]]=TRUE,EXP(0.578+0.332*((Table1[[#This Row],[Gestation (days)]]+0.5)/7)-0.00354*((Table1[[#This Row],[Gestation (days)]]+0.5)/7)^2)*Table1[[#This Row],[BW40_3705]],"")</f>
        <v/>
      </c>
      <c r="G9296" s="2" t="str">
        <f>IF(Table1[[#This Row],[Is Data Valid]]=TRUE,((Table1[[#This Row],[Birthweight (grams)]]/Table1[[#This Row],[BW_GA]])-1)/(Backend!$B$4/100*Table1[[#This Row],[BW40_3705]]),"")</f>
        <v/>
      </c>
      <c r="H9296" s="7" t="str">
        <f>IF(Table1[[#This Row],[Is Data Valid]]=TRUE,((Table1[[#This Row],[Birthweight (grams)]]*0.9/Table1[[#This Row],[BW_GA]])-1)/(Backend!$B$4/100*Table1[[#This Row],[BW40_3705]]),"")</f>
        <v/>
      </c>
      <c r="I9296" s="7" t="str">
        <f>IF(Table1[[#This Row],[Is Data Valid]]=TRUE,((Table1[[#This Row],[Birthweight (grams)]]*1.1/Table1[[#This Row],[BW_GA]])-1)/(Backend!$B$4/100*Table1[[#This Row],[BW40_3705]]),"")</f>
        <v/>
      </c>
      <c r="J9296" s="7" t="str">
        <f>IF(Table1[[#This Row],[Is Data Valid]]=TRUE,_xlfn.NORM.S.DIST(Table1[[#This Row],[Birthweight Z-Score]],TRUE)*100,"")</f>
        <v/>
      </c>
      <c r="K9296" s="7" t="str">
        <f>IF(Table1[[#This Row],[Is Data Valid]]=TRUE,_xlfn.NORM.S.DIST(Table1[[#This Row],[Birthweight Z-Score (BW-10%)]],TRUE)*100,"")</f>
        <v/>
      </c>
      <c r="L9296" s="7" t="str">
        <f>IF(Table1[[#This Row],[Is Data Valid]]=TRUE,_xlfn.NORM.S.DIST(Table1[[#This Row],[Birthweight Z-Score (BW+10%)]],TRUE)*100,"")</f>
        <v/>
      </c>
    </row>
    <row r="9297" spans="1:12" x14ac:dyDescent="0.35">
      <c r="A9297" s="3"/>
      <c r="B9297" s="2"/>
      <c r="C9297" s="2"/>
      <c r="D9297" s="2" t="b">
        <f>IF(AND(NOT(ISBLANK(Table1[[#This Row],[Fetal Sex (Male, Female or Unknown)]])),ISNUMBER(Table1[[#This Row],[Birthweight (grams)]]),ISNUMBER(Table1[[#This Row],[Gestation (days)]])),TRUE,FALSE)</f>
        <v>0</v>
      </c>
      <c r="E9297" s="2" t="str">
        <f>IF(Table1[[#This Row],[Is Data Valid]]=TRUE,IF(Table1[[#This Row],[Fetal Sex (Male, Female or Unknown)]]="Male",Backend!$C$6,IF(Table1[[#This Row],[Fetal Sex (Male, Female or Unknown)]]="Female",Backend!$C$7,IF(Table1[[#This Row],[Fetal Sex (Male, Female or Unknown)]]="Unknown",Backend!$C$8,"Error"))),"")</f>
        <v/>
      </c>
      <c r="F9297" s="8" t="str">
        <f>IF(Table1[[#This Row],[Is Data Valid]]=TRUE,EXP(0.578+0.332*((Table1[[#This Row],[Gestation (days)]]+0.5)/7)-0.00354*((Table1[[#This Row],[Gestation (days)]]+0.5)/7)^2)*Table1[[#This Row],[BW40_3705]],"")</f>
        <v/>
      </c>
      <c r="G9297" s="2" t="str">
        <f>IF(Table1[[#This Row],[Is Data Valid]]=TRUE,((Table1[[#This Row],[Birthweight (grams)]]/Table1[[#This Row],[BW_GA]])-1)/(Backend!$B$4/100*Table1[[#This Row],[BW40_3705]]),"")</f>
        <v/>
      </c>
      <c r="H9297" s="7" t="str">
        <f>IF(Table1[[#This Row],[Is Data Valid]]=TRUE,((Table1[[#This Row],[Birthweight (grams)]]*0.9/Table1[[#This Row],[BW_GA]])-1)/(Backend!$B$4/100*Table1[[#This Row],[BW40_3705]]),"")</f>
        <v/>
      </c>
      <c r="I9297" s="7" t="str">
        <f>IF(Table1[[#This Row],[Is Data Valid]]=TRUE,((Table1[[#This Row],[Birthweight (grams)]]*1.1/Table1[[#This Row],[BW_GA]])-1)/(Backend!$B$4/100*Table1[[#This Row],[BW40_3705]]),"")</f>
        <v/>
      </c>
      <c r="J9297" s="7" t="str">
        <f>IF(Table1[[#This Row],[Is Data Valid]]=TRUE,_xlfn.NORM.S.DIST(Table1[[#This Row],[Birthweight Z-Score]],TRUE)*100,"")</f>
        <v/>
      </c>
      <c r="K9297" s="7" t="str">
        <f>IF(Table1[[#This Row],[Is Data Valid]]=TRUE,_xlfn.NORM.S.DIST(Table1[[#This Row],[Birthweight Z-Score (BW-10%)]],TRUE)*100,"")</f>
        <v/>
      </c>
      <c r="L9297" s="7" t="str">
        <f>IF(Table1[[#This Row],[Is Data Valid]]=TRUE,_xlfn.NORM.S.DIST(Table1[[#This Row],[Birthweight Z-Score (BW+10%)]],TRUE)*100,"")</f>
        <v/>
      </c>
    </row>
    <row r="9298" spans="1:12" x14ac:dyDescent="0.35">
      <c r="A9298" s="3"/>
      <c r="B9298" s="2"/>
      <c r="C9298" s="2"/>
      <c r="D9298" s="2" t="b">
        <f>IF(AND(NOT(ISBLANK(Table1[[#This Row],[Fetal Sex (Male, Female or Unknown)]])),ISNUMBER(Table1[[#This Row],[Birthweight (grams)]]),ISNUMBER(Table1[[#This Row],[Gestation (days)]])),TRUE,FALSE)</f>
        <v>0</v>
      </c>
      <c r="E9298" s="2" t="str">
        <f>IF(Table1[[#This Row],[Is Data Valid]]=TRUE,IF(Table1[[#This Row],[Fetal Sex (Male, Female or Unknown)]]="Male",Backend!$C$6,IF(Table1[[#This Row],[Fetal Sex (Male, Female or Unknown)]]="Female",Backend!$C$7,IF(Table1[[#This Row],[Fetal Sex (Male, Female or Unknown)]]="Unknown",Backend!$C$8,"Error"))),"")</f>
        <v/>
      </c>
      <c r="F9298" s="8" t="str">
        <f>IF(Table1[[#This Row],[Is Data Valid]]=TRUE,EXP(0.578+0.332*((Table1[[#This Row],[Gestation (days)]]+0.5)/7)-0.00354*((Table1[[#This Row],[Gestation (days)]]+0.5)/7)^2)*Table1[[#This Row],[BW40_3705]],"")</f>
        <v/>
      </c>
      <c r="G9298" s="2" t="str">
        <f>IF(Table1[[#This Row],[Is Data Valid]]=TRUE,((Table1[[#This Row],[Birthweight (grams)]]/Table1[[#This Row],[BW_GA]])-1)/(Backend!$B$4/100*Table1[[#This Row],[BW40_3705]]),"")</f>
        <v/>
      </c>
      <c r="H9298" s="7" t="str">
        <f>IF(Table1[[#This Row],[Is Data Valid]]=TRUE,((Table1[[#This Row],[Birthweight (grams)]]*0.9/Table1[[#This Row],[BW_GA]])-1)/(Backend!$B$4/100*Table1[[#This Row],[BW40_3705]]),"")</f>
        <v/>
      </c>
      <c r="I9298" s="7" t="str">
        <f>IF(Table1[[#This Row],[Is Data Valid]]=TRUE,((Table1[[#This Row],[Birthweight (grams)]]*1.1/Table1[[#This Row],[BW_GA]])-1)/(Backend!$B$4/100*Table1[[#This Row],[BW40_3705]]),"")</f>
        <v/>
      </c>
      <c r="J9298" s="7" t="str">
        <f>IF(Table1[[#This Row],[Is Data Valid]]=TRUE,_xlfn.NORM.S.DIST(Table1[[#This Row],[Birthweight Z-Score]],TRUE)*100,"")</f>
        <v/>
      </c>
      <c r="K9298" s="7" t="str">
        <f>IF(Table1[[#This Row],[Is Data Valid]]=TRUE,_xlfn.NORM.S.DIST(Table1[[#This Row],[Birthweight Z-Score (BW-10%)]],TRUE)*100,"")</f>
        <v/>
      </c>
      <c r="L9298" s="7" t="str">
        <f>IF(Table1[[#This Row],[Is Data Valid]]=TRUE,_xlfn.NORM.S.DIST(Table1[[#This Row],[Birthweight Z-Score (BW+10%)]],TRUE)*100,"")</f>
        <v/>
      </c>
    </row>
    <row r="9299" spans="1:12" x14ac:dyDescent="0.35">
      <c r="A9299" s="3"/>
      <c r="B9299" s="2"/>
      <c r="C9299" s="2"/>
      <c r="D9299" s="2" t="b">
        <f>IF(AND(NOT(ISBLANK(Table1[[#This Row],[Fetal Sex (Male, Female or Unknown)]])),ISNUMBER(Table1[[#This Row],[Birthweight (grams)]]),ISNUMBER(Table1[[#This Row],[Gestation (days)]])),TRUE,FALSE)</f>
        <v>0</v>
      </c>
      <c r="E9299" s="2" t="str">
        <f>IF(Table1[[#This Row],[Is Data Valid]]=TRUE,IF(Table1[[#This Row],[Fetal Sex (Male, Female or Unknown)]]="Male",Backend!$C$6,IF(Table1[[#This Row],[Fetal Sex (Male, Female or Unknown)]]="Female",Backend!$C$7,IF(Table1[[#This Row],[Fetal Sex (Male, Female or Unknown)]]="Unknown",Backend!$C$8,"Error"))),"")</f>
        <v/>
      </c>
      <c r="F9299" s="8" t="str">
        <f>IF(Table1[[#This Row],[Is Data Valid]]=TRUE,EXP(0.578+0.332*((Table1[[#This Row],[Gestation (days)]]+0.5)/7)-0.00354*((Table1[[#This Row],[Gestation (days)]]+0.5)/7)^2)*Table1[[#This Row],[BW40_3705]],"")</f>
        <v/>
      </c>
      <c r="G9299" s="2" t="str">
        <f>IF(Table1[[#This Row],[Is Data Valid]]=TRUE,((Table1[[#This Row],[Birthweight (grams)]]/Table1[[#This Row],[BW_GA]])-1)/(Backend!$B$4/100*Table1[[#This Row],[BW40_3705]]),"")</f>
        <v/>
      </c>
      <c r="H9299" s="7" t="str">
        <f>IF(Table1[[#This Row],[Is Data Valid]]=TRUE,((Table1[[#This Row],[Birthweight (grams)]]*0.9/Table1[[#This Row],[BW_GA]])-1)/(Backend!$B$4/100*Table1[[#This Row],[BW40_3705]]),"")</f>
        <v/>
      </c>
      <c r="I9299" s="7" t="str">
        <f>IF(Table1[[#This Row],[Is Data Valid]]=TRUE,((Table1[[#This Row],[Birthweight (grams)]]*1.1/Table1[[#This Row],[BW_GA]])-1)/(Backend!$B$4/100*Table1[[#This Row],[BW40_3705]]),"")</f>
        <v/>
      </c>
      <c r="J9299" s="7" t="str">
        <f>IF(Table1[[#This Row],[Is Data Valid]]=TRUE,_xlfn.NORM.S.DIST(Table1[[#This Row],[Birthweight Z-Score]],TRUE)*100,"")</f>
        <v/>
      </c>
      <c r="K9299" s="7" t="str">
        <f>IF(Table1[[#This Row],[Is Data Valid]]=TRUE,_xlfn.NORM.S.DIST(Table1[[#This Row],[Birthweight Z-Score (BW-10%)]],TRUE)*100,"")</f>
        <v/>
      </c>
      <c r="L9299" s="7" t="str">
        <f>IF(Table1[[#This Row],[Is Data Valid]]=TRUE,_xlfn.NORM.S.DIST(Table1[[#This Row],[Birthweight Z-Score (BW+10%)]],TRUE)*100,"")</f>
        <v/>
      </c>
    </row>
    <row r="9300" spans="1:12" x14ac:dyDescent="0.35">
      <c r="A9300" s="3"/>
      <c r="B9300" s="2"/>
      <c r="C9300" s="2"/>
      <c r="D9300" s="2" t="b">
        <f>IF(AND(NOT(ISBLANK(Table1[[#This Row],[Fetal Sex (Male, Female or Unknown)]])),ISNUMBER(Table1[[#This Row],[Birthweight (grams)]]),ISNUMBER(Table1[[#This Row],[Gestation (days)]])),TRUE,FALSE)</f>
        <v>0</v>
      </c>
      <c r="E9300" s="2" t="str">
        <f>IF(Table1[[#This Row],[Is Data Valid]]=TRUE,IF(Table1[[#This Row],[Fetal Sex (Male, Female or Unknown)]]="Male",Backend!$C$6,IF(Table1[[#This Row],[Fetal Sex (Male, Female or Unknown)]]="Female",Backend!$C$7,IF(Table1[[#This Row],[Fetal Sex (Male, Female or Unknown)]]="Unknown",Backend!$C$8,"Error"))),"")</f>
        <v/>
      </c>
      <c r="F9300" s="8" t="str">
        <f>IF(Table1[[#This Row],[Is Data Valid]]=TRUE,EXP(0.578+0.332*((Table1[[#This Row],[Gestation (days)]]+0.5)/7)-0.00354*((Table1[[#This Row],[Gestation (days)]]+0.5)/7)^2)*Table1[[#This Row],[BW40_3705]],"")</f>
        <v/>
      </c>
      <c r="G9300" s="2" t="str">
        <f>IF(Table1[[#This Row],[Is Data Valid]]=TRUE,((Table1[[#This Row],[Birthweight (grams)]]/Table1[[#This Row],[BW_GA]])-1)/(Backend!$B$4/100*Table1[[#This Row],[BW40_3705]]),"")</f>
        <v/>
      </c>
      <c r="H9300" s="7" t="str">
        <f>IF(Table1[[#This Row],[Is Data Valid]]=TRUE,((Table1[[#This Row],[Birthweight (grams)]]*0.9/Table1[[#This Row],[BW_GA]])-1)/(Backend!$B$4/100*Table1[[#This Row],[BW40_3705]]),"")</f>
        <v/>
      </c>
      <c r="I9300" s="7" t="str">
        <f>IF(Table1[[#This Row],[Is Data Valid]]=TRUE,((Table1[[#This Row],[Birthweight (grams)]]*1.1/Table1[[#This Row],[BW_GA]])-1)/(Backend!$B$4/100*Table1[[#This Row],[BW40_3705]]),"")</f>
        <v/>
      </c>
      <c r="J9300" s="7" t="str">
        <f>IF(Table1[[#This Row],[Is Data Valid]]=TRUE,_xlfn.NORM.S.DIST(Table1[[#This Row],[Birthweight Z-Score]],TRUE)*100,"")</f>
        <v/>
      </c>
      <c r="K9300" s="7" t="str">
        <f>IF(Table1[[#This Row],[Is Data Valid]]=TRUE,_xlfn.NORM.S.DIST(Table1[[#This Row],[Birthweight Z-Score (BW-10%)]],TRUE)*100,"")</f>
        <v/>
      </c>
      <c r="L9300" s="7" t="str">
        <f>IF(Table1[[#This Row],[Is Data Valid]]=TRUE,_xlfn.NORM.S.DIST(Table1[[#This Row],[Birthweight Z-Score (BW+10%)]],TRUE)*100,"")</f>
        <v/>
      </c>
    </row>
    <row r="9301" spans="1:12" x14ac:dyDescent="0.35">
      <c r="A9301" s="3"/>
      <c r="B9301" s="2"/>
      <c r="C9301" s="2"/>
      <c r="D9301" s="2" t="b">
        <f>IF(AND(NOT(ISBLANK(Table1[[#This Row],[Fetal Sex (Male, Female or Unknown)]])),ISNUMBER(Table1[[#This Row],[Birthweight (grams)]]),ISNUMBER(Table1[[#This Row],[Gestation (days)]])),TRUE,FALSE)</f>
        <v>0</v>
      </c>
      <c r="E9301" s="2" t="str">
        <f>IF(Table1[[#This Row],[Is Data Valid]]=TRUE,IF(Table1[[#This Row],[Fetal Sex (Male, Female or Unknown)]]="Male",Backend!$C$6,IF(Table1[[#This Row],[Fetal Sex (Male, Female or Unknown)]]="Female",Backend!$C$7,IF(Table1[[#This Row],[Fetal Sex (Male, Female or Unknown)]]="Unknown",Backend!$C$8,"Error"))),"")</f>
        <v/>
      </c>
      <c r="F9301" s="8" t="str">
        <f>IF(Table1[[#This Row],[Is Data Valid]]=TRUE,EXP(0.578+0.332*((Table1[[#This Row],[Gestation (days)]]+0.5)/7)-0.00354*((Table1[[#This Row],[Gestation (days)]]+0.5)/7)^2)*Table1[[#This Row],[BW40_3705]],"")</f>
        <v/>
      </c>
      <c r="G9301" s="2" t="str">
        <f>IF(Table1[[#This Row],[Is Data Valid]]=TRUE,((Table1[[#This Row],[Birthweight (grams)]]/Table1[[#This Row],[BW_GA]])-1)/(Backend!$B$4/100*Table1[[#This Row],[BW40_3705]]),"")</f>
        <v/>
      </c>
      <c r="H9301" s="7" t="str">
        <f>IF(Table1[[#This Row],[Is Data Valid]]=TRUE,((Table1[[#This Row],[Birthweight (grams)]]*0.9/Table1[[#This Row],[BW_GA]])-1)/(Backend!$B$4/100*Table1[[#This Row],[BW40_3705]]),"")</f>
        <v/>
      </c>
      <c r="I9301" s="7" t="str">
        <f>IF(Table1[[#This Row],[Is Data Valid]]=TRUE,((Table1[[#This Row],[Birthweight (grams)]]*1.1/Table1[[#This Row],[BW_GA]])-1)/(Backend!$B$4/100*Table1[[#This Row],[BW40_3705]]),"")</f>
        <v/>
      </c>
      <c r="J9301" s="7" t="str">
        <f>IF(Table1[[#This Row],[Is Data Valid]]=TRUE,_xlfn.NORM.S.DIST(Table1[[#This Row],[Birthweight Z-Score]],TRUE)*100,"")</f>
        <v/>
      </c>
      <c r="K9301" s="7" t="str">
        <f>IF(Table1[[#This Row],[Is Data Valid]]=TRUE,_xlfn.NORM.S.DIST(Table1[[#This Row],[Birthweight Z-Score (BW-10%)]],TRUE)*100,"")</f>
        <v/>
      </c>
      <c r="L9301" s="7" t="str">
        <f>IF(Table1[[#This Row],[Is Data Valid]]=TRUE,_xlfn.NORM.S.DIST(Table1[[#This Row],[Birthweight Z-Score (BW+10%)]],TRUE)*100,"")</f>
        <v/>
      </c>
    </row>
    <row r="9302" spans="1:12" x14ac:dyDescent="0.35">
      <c r="A9302" s="3"/>
      <c r="B9302" s="2"/>
      <c r="C9302" s="2"/>
      <c r="D9302" s="2" t="b">
        <f>IF(AND(NOT(ISBLANK(Table1[[#This Row],[Fetal Sex (Male, Female or Unknown)]])),ISNUMBER(Table1[[#This Row],[Birthweight (grams)]]),ISNUMBER(Table1[[#This Row],[Gestation (days)]])),TRUE,FALSE)</f>
        <v>0</v>
      </c>
      <c r="E9302" s="2" t="str">
        <f>IF(Table1[[#This Row],[Is Data Valid]]=TRUE,IF(Table1[[#This Row],[Fetal Sex (Male, Female or Unknown)]]="Male",Backend!$C$6,IF(Table1[[#This Row],[Fetal Sex (Male, Female or Unknown)]]="Female",Backend!$C$7,IF(Table1[[#This Row],[Fetal Sex (Male, Female or Unknown)]]="Unknown",Backend!$C$8,"Error"))),"")</f>
        <v/>
      </c>
      <c r="F9302" s="8" t="str">
        <f>IF(Table1[[#This Row],[Is Data Valid]]=TRUE,EXP(0.578+0.332*((Table1[[#This Row],[Gestation (days)]]+0.5)/7)-0.00354*((Table1[[#This Row],[Gestation (days)]]+0.5)/7)^2)*Table1[[#This Row],[BW40_3705]],"")</f>
        <v/>
      </c>
      <c r="G9302" s="2" t="str">
        <f>IF(Table1[[#This Row],[Is Data Valid]]=TRUE,((Table1[[#This Row],[Birthweight (grams)]]/Table1[[#This Row],[BW_GA]])-1)/(Backend!$B$4/100*Table1[[#This Row],[BW40_3705]]),"")</f>
        <v/>
      </c>
      <c r="H9302" s="7" t="str">
        <f>IF(Table1[[#This Row],[Is Data Valid]]=TRUE,((Table1[[#This Row],[Birthweight (grams)]]*0.9/Table1[[#This Row],[BW_GA]])-1)/(Backend!$B$4/100*Table1[[#This Row],[BW40_3705]]),"")</f>
        <v/>
      </c>
      <c r="I9302" s="7" t="str">
        <f>IF(Table1[[#This Row],[Is Data Valid]]=TRUE,((Table1[[#This Row],[Birthweight (grams)]]*1.1/Table1[[#This Row],[BW_GA]])-1)/(Backend!$B$4/100*Table1[[#This Row],[BW40_3705]]),"")</f>
        <v/>
      </c>
      <c r="J9302" s="7" t="str">
        <f>IF(Table1[[#This Row],[Is Data Valid]]=TRUE,_xlfn.NORM.S.DIST(Table1[[#This Row],[Birthweight Z-Score]],TRUE)*100,"")</f>
        <v/>
      </c>
      <c r="K9302" s="7" t="str">
        <f>IF(Table1[[#This Row],[Is Data Valid]]=TRUE,_xlfn.NORM.S.DIST(Table1[[#This Row],[Birthweight Z-Score (BW-10%)]],TRUE)*100,"")</f>
        <v/>
      </c>
      <c r="L9302" s="7" t="str">
        <f>IF(Table1[[#This Row],[Is Data Valid]]=TRUE,_xlfn.NORM.S.DIST(Table1[[#This Row],[Birthweight Z-Score (BW+10%)]],TRUE)*100,"")</f>
        <v/>
      </c>
    </row>
    <row r="9303" spans="1:12" x14ac:dyDescent="0.35">
      <c r="A9303" s="3"/>
      <c r="B9303" s="2"/>
      <c r="C9303" s="2"/>
      <c r="D9303" s="2" t="b">
        <f>IF(AND(NOT(ISBLANK(Table1[[#This Row],[Fetal Sex (Male, Female or Unknown)]])),ISNUMBER(Table1[[#This Row],[Birthweight (grams)]]),ISNUMBER(Table1[[#This Row],[Gestation (days)]])),TRUE,FALSE)</f>
        <v>0</v>
      </c>
      <c r="E9303" s="2" t="str">
        <f>IF(Table1[[#This Row],[Is Data Valid]]=TRUE,IF(Table1[[#This Row],[Fetal Sex (Male, Female or Unknown)]]="Male",Backend!$C$6,IF(Table1[[#This Row],[Fetal Sex (Male, Female or Unknown)]]="Female",Backend!$C$7,IF(Table1[[#This Row],[Fetal Sex (Male, Female or Unknown)]]="Unknown",Backend!$C$8,"Error"))),"")</f>
        <v/>
      </c>
      <c r="F9303" s="8" t="str">
        <f>IF(Table1[[#This Row],[Is Data Valid]]=TRUE,EXP(0.578+0.332*((Table1[[#This Row],[Gestation (days)]]+0.5)/7)-0.00354*((Table1[[#This Row],[Gestation (days)]]+0.5)/7)^2)*Table1[[#This Row],[BW40_3705]],"")</f>
        <v/>
      </c>
      <c r="G9303" s="2" t="str">
        <f>IF(Table1[[#This Row],[Is Data Valid]]=TRUE,((Table1[[#This Row],[Birthweight (grams)]]/Table1[[#This Row],[BW_GA]])-1)/(Backend!$B$4/100*Table1[[#This Row],[BW40_3705]]),"")</f>
        <v/>
      </c>
      <c r="H9303" s="7" t="str">
        <f>IF(Table1[[#This Row],[Is Data Valid]]=TRUE,((Table1[[#This Row],[Birthweight (grams)]]*0.9/Table1[[#This Row],[BW_GA]])-1)/(Backend!$B$4/100*Table1[[#This Row],[BW40_3705]]),"")</f>
        <v/>
      </c>
      <c r="I9303" s="7" t="str">
        <f>IF(Table1[[#This Row],[Is Data Valid]]=TRUE,((Table1[[#This Row],[Birthweight (grams)]]*1.1/Table1[[#This Row],[BW_GA]])-1)/(Backend!$B$4/100*Table1[[#This Row],[BW40_3705]]),"")</f>
        <v/>
      </c>
      <c r="J9303" s="7" t="str">
        <f>IF(Table1[[#This Row],[Is Data Valid]]=TRUE,_xlfn.NORM.S.DIST(Table1[[#This Row],[Birthweight Z-Score]],TRUE)*100,"")</f>
        <v/>
      </c>
      <c r="K9303" s="7" t="str">
        <f>IF(Table1[[#This Row],[Is Data Valid]]=TRUE,_xlfn.NORM.S.DIST(Table1[[#This Row],[Birthweight Z-Score (BW-10%)]],TRUE)*100,"")</f>
        <v/>
      </c>
      <c r="L9303" s="7" t="str">
        <f>IF(Table1[[#This Row],[Is Data Valid]]=TRUE,_xlfn.NORM.S.DIST(Table1[[#This Row],[Birthweight Z-Score (BW+10%)]],TRUE)*100,"")</f>
        <v/>
      </c>
    </row>
    <row r="9304" spans="1:12" x14ac:dyDescent="0.35">
      <c r="A9304" s="3"/>
      <c r="B9304" s="2"/>
      <c r="C9304" s="2"/>
      <c r="D9304" s="2" t="b">
        <f>IF(AND(NOT(ISBLANK(Table1[[#This Row],[Fetal Sex (Male, Female or Unknown)]])),ISNUMBER(Table1[[#This Row],[Birthweight (grams)]]),ISNUMBER(Table1[[#This Row],[Gestation (days)]])),TRUE,FALSE)</f>
        <v>0</v>
      </c>
      <c r="E9304" s="2" t="str">
        <f>IF(Table1[[#This Row],[Is Data Valid]]=TRUE,IF(Table1[[#This Row],[Fetal Sex (Male, Female or Unknown)]]="Male",Backend!$C$6,IF(Table1[[#This Row],[Fetal Sex (Male, Female or Unknown)]]="Female",Backend!$C$7,IF(Table1[[#This Row],[Fetal Sex (Male, Female or Unknown)]]="Unknown",Backend!$C$8,"Error"))),"")</f>
        <v/>
      </c>
      <c r="F9304" s="8" t="str">
        <f>IF(Table1[[#This Row],[Is Data Valid]]=TRUE,EXP(0.578+0.332*((Table1[[#This Row],[Gestation (days)]]+0.5)/7)-0.00354*((Table1[[#This Row],[Gestation (days)]]+0.5)/7)^2)*Table1[[#This Row],[BW40_3705]],"")</f>
        <v/>
      </c>
      <c r="G9304" s="2" t="str">
        <f>IF(Table1[[#This Row],[Is Data Valid]]=TRUE,((Table1[[#This Row],[Birthweight (grams)]]/Table1[[#This Row],[BW_GA]])-1)/(Backend!$B$4/100*Table1[[#This Row],[BW40_3705]]),"")</f>
        <v/>
      </c>
      <c r="H9304" s="7" t="str">
        <f>IF(Table1[[#This Row],[Is Data Valid]]=TRUE,((Table1[[#This Row],[Birthweight (grams)]]*0.9/Table1[[#This Row],[BW_GA]])-1)/(Backend!$B$4/100*Table1[[#This Row],[BW40_3705]]),"")</f>
        <v/>
      </c>
      <c r="I9304" s="7" t="str">
        <f>IF(Table1[[#This Row],[Is Data Valid]]=TRUE,((Table1[[#This Row],[Birthweight (grams)]]*1.1/Table1[[#This Row],[BW_GA]])-1)/(Backend!$B$4/100*Table1[[#This Row],[BW40_3705]]),"")</f>
        <v/>
      </c>
      <c r="J9304" s="7" t="str">
        <f>IF(Table1[[#This Row],[Is Data Valid]]=TRUE,_xlfn.NORM.S.DIST(Table1[[#This Row],[Birthweight Z-Score]],TRUE)*100,"")</f>
        <v/>
      </c>
      <c r="K9304" s="7" t="str">
        <f>IF(Table1[[#This Row],[Is Data Valid]]=TRUE,_xlfn.NORM.S.DIST(Table1[[#This Row],[Birthweight Z-Score (BW-10%)]],TRUE)*100,"")</f>
        <v/>
      </c>
      <c r="L9304" s="7" t="str">
        <f>IF(Table1[[#This Row],[Is Data Valid]]=TRUE,_xlfn.NORM.S.DIST(Table1[[#This Row],[Birthweight Z-Score (BW+10%)]],TRUE)*100,"")</f>
        <v/>
      </c>
    </row>
    <row r="9305" spans="1:12" x14ac:dyDescent="0.35">
      <c r="A9305" s="3"/>
      <c r="B9305" s="2"/>
      <c r="C9305" s="2"/>
      <c r="D9305" s="2" t="b">
        <f>IF(AND(NOT(ISBLANK(Table1[[#This Row],[Fetal Sex (Male, Female or Unknown)]])),ISNUMBER(Table1[[#This Row],[Birthweight (grams)]]),ISNUMBER(Table1[[#This Row],[Gestation (days)]])),TRUE,FALSE)</f>
        <v>0</v>
      </c>
      <c r="E9305" s="2" t="str">
        <f>IF(Table1[[#This Row],[Is Data Valid]]=TRUE,IF(Table1[[#This Row],[Fetal Sex (Male, Female or Unknown)]]="Male",Backend!$C$6,IF(Table1[[#This Row],[Fetal Sex (Male, Female or Unknown)]]="Female",Backend!$C$7,IF(Table1[[#This Row],[Fetal Sex (Male, Female or Unknown)]]="Unknown",Backend!$C$8,"Error"))),"")</f>
        <v/>
      </c>
      <c r="F9305" s="8" t="str">
        <f>IF(Table1[[#This Row],[Is Data Valid]]=TRUE,EXP(0.578+0.332*((Table1[[#This Row],[Gestation (days)]]+0.5)/7)-0.00354*((Table1[[#This Row],[Gestation (days)]]+0.5)/7)^2)*Table1[[#This Row],[BW40_3705]],"")</f>
        <v/>
      </c>
      <c r="G9305" s="2" t="str">
        <f>IF(Table1[[#This Row],[Is Data Valid]]=TRUE,((Table1[[#This Row],[Birthweight (grams)]]/Table1[[#This Row],[BW_GA]])-1)/(Backend!$B$4/100*Table1[[#This Row],[BW40_3705]]),"")</f>
        <v/>
      </c>
      <c r="H9305" s="7" t="str">
        <f>IF(Table1[[#This Row],[Is Data Valid]]=TRUE,((Table1[[#This Row],[Birthweight (grams)]]*0.9/Table1[[#This Row],[BW_GA]])-1)/(Backend!$B$4/100*Table1[[#This Row],[BW40_3705]]),"")</f>
        <v/>
      </c>
      <c r="I9305" s="7" t="str">
        <f>IF(Table1[[#This Row],[Is Data Valid]]=TRUE,((Table1[[#This Row],[Birthweight (grams)]]*1.1/Table1[[#This Row],[BW_GA]])-1)/(Backend!$B$4/100*Table1[[#This Row],[BW40_3705]]),"")</f>
        <v/>
      </c>
      <c r="J9305" s="7" t="str">
        <f>IF(Table1[[#This Row],[Is Data Valid]]=TRUE,_xlfn.NORM.S.DIST(Table1[[#This Row],[Birthweight Z-Score]],TRUE)*100,"")</f>
        <v/>
      </c>
      <c r="K9305" s="7" t="str">
        <f>IF(Table1[[#This Row],[Is Data Valid]]=TRUE,_xlfn.NORM.S.DIST(Table1[[#This Row],[Birthweight Z-Score (BW-10%)]],TRUE)*100,"")</f>
        <v/>
      </c>
      <c r="L9305" s="7" t="str">
        <f>IF(Table1[[#This Row],[Is Data Valid]]=TRUE,_xlfn.NORM.S.DIST(Table1[[#This Row],[Birthweight Z-Score (BW+10%)]],TRUE)*100,"")</f>
        <v/>
      </c>
    </row>
    <row r="9306" spans="1:12" x14ac:dyDescent="0.35">
      <c r="A9306" s="3"/>
      <c r="B9306" s="2"/>
      <c r="C9306" s="2"/>
      <c r="D9306" s="2" t="b">
        <f>IF(AND(NOT(ISBLANK(Table1[[#This Row],[Fetal Sex (Male, Female or Unknown)]])),ISNUMBER(Table1[[#This Row],[Birthweight (grams)]]),ISNUMBER(Table1[[#This Row],[Gestation (days)]])),TRUE,FALSE)</f>
        <v>0</v>
      </c>
      <c r="E9306" s="2" t="str">
        <f>IF(Table1[[#This Row],[Is Data Valid]]=TRUE,IF(Table1[[#This Row],[Fetal Sex (Male, Female or Unknown)]]="Male",Backend!$C$6,IF(Table1[[#This Row],[Fetal Sex (Male, Female or Unknown)]]="Female",Backend!$C$7,IF(Table1[[#This Row],[Fetal Sex (Male, Female or Unknown)]]="Unknown",Backend!$C$8,"Error"))),"")</f>
        <v/>
      </c>
      <c r="F9306" s="8" t="str">
        <f>IF(Table1[[#This Row],[Is Data Valid]]=TRUE,EXP(0.578+0.332*((Table1[[#This Row],[Gestation (days)]]+0.5)/7)-0.00354*((Table1[[#This Row],[Gestation (days)]]+0.5)/7)^2)*Table1[[#This Row],[BW40_3705]],"")</f>
        <v/>
      </c>
      <c r="G9306" s="2" t="str">
        <f>IF(Table1[[#This Row],[Is Data Valid]]=TRUE,((Table1[[#This Row],[Birthweight (grams)]]/Table1[[#This Row],[BW_GA]])-1)/(Backend!$B$4/100*Table1[[#This Row],[BW40_3705]]),"")</f>
        <v/>
      </c>
      <c r="H9306" s="7" t="str">
        <f>IF(Table1[[#This Row],[Is Data Valid]]=TRUE,((Table1[[#This Row],[Birthweight (grams)]]*0.9/Table1[[#This Row],[BW_GA]])-1)/(Backend!$B$4/100*Table1[[#This Row],[BW40_3705]]),"")</f>
        <v/>
      </c>
      <c r="I9306" s="7" t="str">
        <f>IF(Table1[[#This Row],[Is Data Valid]]=TRUE,((Table1[[#This Row],[Birthweight (grams)]]*1.1/Table1[[#This Row],[BW_GA]])-1)/(Backend!$B$4/100*Table1[[#This Row],[BW40_3705]]),"")</f>
        <v/>
      </c>
      <c r="J9306" s="7" t="str">
        <f>IF(Table1[[#This Row],[Is Data Valid]]=TRUE,_xlfn.NORM.S.DIST(Table1[[#This Row],[Birthweight Z-Score]],TRUE)*100,"")</f>
        <v/>
      </c>
      <c r="K9306" s="7" t="str">
        <f>IF(Table1[[#This Row],[Is Data Valid]]=TRUE,_xlfn.NORM.S.DIST(Table1[[#This Row],[Birthweight Z-Score (BW-10%)]],TRUE)*100,"")</f>
        <v/>
      </c>
      <c r="L9306" s="7" t="str">
        <f>IF(Table1[[#This Row],[Is Data Valid]]=TRUE,_xlfn.NORM.S.DIST(Table1[[#This Row],[Birthweight Z-Score (BW+10%)]],TRUE)*100,"")</f>
        <v/>
      </c>
    </row>
    <row r="9307" spans="1:12" x14ac:dyDescent="0.35">
      <c r="A9307" s="3"/>
      <c r="B9307" s="2"/>
      <c r="C9307" s="2"/>
      <c r="D9307" s="2" t="b">
        <f>IF(AND(NOT(ISBLANK(Table1[[#This Row],[Fetal Sex (Male, Female or Unknown)]])),ISNUMBER(Table1[[#This Row],[Birthweight (grams)]]),ISNUMBER(Table1[[#This Row],[Gestation (days)]])),TRUE,FALSE)</f>
        <v>0</v>
      </c>
      <c r="E9307" s="2" t="str">
        <f>IF(Table1[[#This Row],[Is Data Valid]]=TRUE,IF(Table1[[#This Row],[Fetal Sex (Male, Female or Unknown)]]="Male",Backend!$C$6,IF(Table1[[#This Row],[Fetal Sex (Male, Female or Unknown)]]="Female",Backend!$C$7,IF(Table1[[#This Row],[Fetal Sex (Male, Female or Unknown)]]="Unknown",Backend!$C$8,"Error"))),"")</f>
        <v/>
      </c>
      <c r="F9307" s="8" t="str">
        <f>IF(Table1[[#This Row],[Is Data Valid]]=TRUE,EXP(0.578+0.332*((Table1[[#This Row],[Gestation (days)]]+0.5)/7)-0.00354*((Table1[[#This Row],[Gestation (days)]]+0.5)/7)^2)*Table1[[#This Row],[BW40_3705]],"")</f>
        <v/>
      </c>
      <c r="G9307" s="2" t="str">
        <f>IF(Table1[[#This Row],[Is Data Valid]]=TRUE,((Table1[[#This Row],[Birthweight (grams)]]/Table1[[#This Row],[BW_GA]])-1)/(Backend!$B$4/100*Table1[[#This Row],[BW40_3705]]),"")</f>
        <v/>
      </c>
      <c r="H9307" s="7" t="str">
        <f>IF(Table1[[#This Row],[Is Data Valid]]=TRUE,((Table1[[#This Row],[Birthweight (grams)]]*0.9/Table1[[#This Row],[BW_GA]])-1)/(Backend!$B$4/100*Table1[[#This Row],[BW40_3705]]),"")</f>
        <v/>
      </c>
      <c r="I9307" s="7" t="str">
        <f>IF(Table1[[#This Row],[Is Data Valid]]=TRUE,((Table1[[#This Row],[Birthweight (grams)]]*1.1/Table1[[#This Row],[BW_GA]])-1)/(Backend!$B$4/100*Table1[[#This Row],[BW40_3705]]),"")</f>
        <v/>
      </c>
      <c r="J9307" s="7" t="str">
        <f>IF(Table1[[#This Row],[Is Data Valid]]=TRUE,_xlfn.NORM.S.DIST(Table1[[#This Row],[Birthweight Z-Score]],TRUE)*100,"")</f>
        <v/>
      </c>
      <c r="K9307" s="7" t="str">
        <f>IF(Table1[[#This Row],[Is Data Valid]]=TRUE,_xlfn.NORM.S.DIST(Table1[[#This Row],[Birthweight Z-Score (BW-10%)]],TRUE)*100,"")</f>
        <v/>
      </c>
      <c r="L9307" s="7" t="str">
        <f>IF(Table1[[#This Row],[Is Data Valid]]=TRUE,_xlfn.NORM.S.DIST(Table1[[#This Row],[Birthweight Z-Score (BW+10%)]],TRUE)*100,"")</f>
        <v/>
      </c>
    </row>
    <row r="9308" spans="1:12" x14ac:dyDescent="0.35">
      <c r="A9308" s="3"/>
      <c r="B9308" s="2"/>
      <c r="C9308" s="2"/>
      <c r="D9308" s="2" t="b">
        <f>IF(AND(NOT(ISBLANK(Table1[[#This Row],[Fetal Sex (Male, Female or Unknown)]])),ISNUMBER(Table1[[#This Row],[Birthweight (grams)]]),ISNUMBER(Table1[[#This Row],[Gestation (days)]])),TRUE,FALSE)</f>
        <v>0</v>
      </c>
      <c r="E9308" s="2" t="str">
        <f>IF(Table1[[#This Row],[Is Data Valid]]=TRUE,IF(Table1[[#This Row],[Fetal Sex (Male, Female or Unknown)]]="Male",Backend!$C$6,IF(Table1[[#This Row],[Fetal Sex (Male, Female or Unknown)]]="Female",Backend!$C$7,IF(Table1[[#This Row],[Fetal Sex (Male, Female or Unknown)]]="Unknown",Backend!$C$8,"Error"))),"")</f>
        <v/>
      </c>
      <c r="F9308" s="8" t="str">
        <f>IF(Table1[[#This Row],[Is Data Valid]]=TRUE,EXP(0.578+0.332*((Table1[[#This Row],[Gestation (days)]]+0.5)/7)-0.00354*((Table1[[#This Row],[Gestation (days)]]+0.5)/7)^2)*Table1[[#This Row],[BW40_3705]],"")</f>
        <v/>
      </c>
      <c r="G9308" s="2" t="str">
        <f>IF(Table1[[#This Row],[Is Data Valid]]=TRUE,((Table1[[#This Row],[Birthweight (grams)]]/Table1[[#This Row],[BW_GA]])-1)/(Backend!$B$4/100*Table1[[#This Row],[BW40_3705]]),"")</f>
        <v/>
      </c>
      <c r="H9308" s="7" t="str">
        <f>IF(Table1[[#This Row],[Is Data Valid]]=TRUE,((Table1[[#This Row],[Birthweight (grams)]]*0.9/Table1[[#This Row],[BW_GA]])-1)/(Backend!$B$4/100*Table1[[#This Row],[BW40_3705]]),"")</f>
        <v/>
      </c>
      <c r="I9308" s="7" t="str">
        <f>IF(Table1[[#This Row],[Is Data Valid]]=TRUE,((Table1[[#This Row],[Birthweight (grams)]]*1.1/Table1[[#This Row],[BW_GA]])-1)/(Backend!$B$4/100*Table1[[#This Row],[BW40_3705]]),"")</f>
        <v/>
      </c>
      <c r="J9308" s="7" t="str">
        <f>IF(Table1[[#This Row],[Is Data Valid]]=TRUE,_xlfn.NORM.S.DIST(Table1[[#This Row],[Birthweight Z-Score]],TRUE)*100,"")</f>
        <v/>
      </c>
      <c r="K9308" s="7" t="str">
        <f>IF(Table1[[#This Row],[Is Data Valid]]=TRUE,_xlfn.NORM.S.DIST(Table1[[#This Row],[Birthweight Z-Score (BW-10%)]],TRUE)*100,"")</f>
        <v/>
      </c>
      <c r="L9308" s="7" t="str">
        <f>IF(Table1[[#This Row],[Is Data Valid]]=TRUE,_xlfn.NORM.S.DIST(Table1[[#This Row],[Birthweight Z-Score (BW+10%)]],TRUE)*100,"")</f>
        <v/>
      </c>
    </row>
    <row r="9309" spans="1:12" x14ac:dyDescent="0.35">
      <c r="A9309" s="3"/>
      <c r="B9309" s="2"/>
      <c r="C9309" s="2"/>
      <c r="D9309" s="2" t="b">
        <f>IF(AND(NOT(ISBLANK(Table1[[#This Row],[Fetal Sex (Male, Female or Unknown)]])),ISNUMBER(Table1[[#This Row],[Birthweight (grams)]]),ISNUMBER(Table1[[#This Row],[Gestation (days)]])),TRUE,FALSE)</f>
        <v>0</v>
      </c>
      <c r="E9309" s="2" t="str">
        <f>IF(Table1[[#This Row],[Is Data Valid]]=TRUE,IF(Table1[[#This Row],[Fetal Sex (Male, Female or Unknown)]]="Male",Backend!$C$6,IF(Table1[[#This Row],[Fetal Sex (Male, Female or Unknown)]]="Female",Backend!$C$7,IF(Table1[[#This Row],[Fetal Sex (Male, Female or Unknown)]]="Unknown",Backend!$C$8,"Error"))),"")</f>
        <v/>
      </c>
      <c r="F9309" s="8" t="str">
        <f>IF(Table1[[#This Row],[Is Data Valid]]=TRUE,EXP(0.578+0.332*((Table1[[#This Row],[Gestation (days)]]+0.5)/7)-0.00354*((Table1[[#This Row],[Gestation (days)]]+0.5)/7)^2)*Table1[[#This Row],[BW40_3705]],"")</f>
        <v/>
      </c>
      <c r="G9309" s="2" t="str">
        <f>IF(Table1[[#This Row],[Is Data Valid]]=TRUE,((Table1[[#This Row],[Birthweight (grams)]]/Table1[[#This Row],[BW_GA]])-1)/(Backend!$B$4/100*Table1[[#This Row],[BW40_3705]]),"")</f>
        <v/>
      </c>
      <c r="H9309" s="7" t="str">
        <f>IF(Table1[[#This Row],[Is Data Valid]]=TRUE,((Table1[[#This Row],[Birthweight (grams)]]*0.9/Table1[[#This Row],[BW_GA]])-1)/(Backend!$B$4/100*Table1[[#This Row],[BW40_3705]]),"")</f>
        <v/>
      </c>
      <c r="I9309" s="7" t="str">
        <f>IF(Table1[[#This Row],[Is Data Valid]]=TRUE,((Table1[[#This Row],[Birthweight (grams)]]*1.1/Table1[[#This Row],[BW_GA]])-1)/(Backend!$B$4/100*Table1[[#This Row],[BW40_3705]]),"")</f>
        <v/>
      </c>
      <c r="J9309" s="7" t="str">
        <f>IF(Table1[[#This Row],[Is Data Valid]]=TRUE,_xlfn.NORM.S.DIST(Table1[[#This Row],[Birthweight Z-Score]],TRUE)*100,"")</f>
        <v/>
      </c>
      <c r="K9309" s="7" t="str">
        <f>IF(Table1[[#This Row],[Is Data Valid]]=TRUE,_xlfn.NORM.S.DIST(Table1[[#This Row],[Birthweight Z-Score (BW-10%)]],TRUE)*100,"")</f>
        <v/>
      </c>
      <c r="L9309" s="7" t="str">
        <f>IF(Table1[[#This Row],[Is Data Valid]]=TRUE,_xlfn.NORM.S.DIST(Table1[[#This Row],[Birthweight Z-Score (BW+10%)]],TRUE)*100,"")</f>
        <v/>
      </c>
    </row>
    <row r="9310" spans="1:12" x14ac:dyDescent="0.35">
      <c r="A9310" s="3"/>
      <c r="B9310" s="2"/>
      <c r="C9310" s="2"/>
      <c r="D9310" s="2" t="b">
        <f>IF(AND(NOT(ISBLANK(Table1[[#This Row],[Fetal Sex (Male, Female or Unknown)]])),ISNUMBER(Table1[[#This Row],[Birthweight (grams)]]),ISNUMBER(Table1[[#This Row],[Gestation (days)]])),TRUE,FALSE)</f>
        <v>0</v>
      </c>
      <c r="E9310" s="2" t="str">
        <f>IF(Table1[[#This Row],[Is Data Valid]]=TRUE,IF(Table1[[#This Row],[Fetal Sex (Male, Female or Unknown)]]="Male",Backend!$C$6,IF(Table1[[#This Row],[Fetal Sex (Male, Female or Unknown)]]="Female",Backend!$C$7,IF(Table1[[#This Row],[Fetal Sex (Male, Female or Unknown)]]="Unknown",Backend!$C$8,"Error"))),"")</f>
        <v/>
      </c>
      <c r="F9310" s="8" t="str">
        <f>IF(Table1[[#This Row],[Is Data Valid]]=TRUE,EXP(0.578+0.332*((Table1[[#This Row],[Gestation (days)]]+0.5)/7)-0.00354*((Table1[[#This Row],[Gestation (days)]]+0.5)/7)^2)*Table1[[#This Row],[BW40_3705]],"")</f>
        <v/>
      </c>
      <c r="G9310" s="2" t="str">
        <f>IF(Table1[[#This Row],[Is Data Valid]]=TRUE,((Table1[[#This Row],[Birthweight (grams)]]/Table1[[#This Row],[BW_GA]])-1)/(Backend!$B$4/100*Table1[[#This Row],[BW40_3705]]),"")</f>
        <v/>
      </c>
      <c r="H9310" s="7" t="str">
        <f>IF(Table1[[#This Row],[Is Data Valid]]=TRUE,((Table1[[#This Row],[Birthweight (grams)]]*0.9/Table1[[#This Row],[BW_GA]])-1)/(Backend!$B$4/100*Table1[[#This Row],[BW40_3705]]),"")</f>
        <v/>
      </c>
      <c r="I9310" s="7" t="str">
        <f>IF(Table1[[#This Row],[Is Data Valid]]=TRUE,((Table1[[#This Row],[Birthweight (grams)]]*1.1/Table1[[#This Row],[BW_GA]])-1)/(Backend!$B$4/100*Table1[[#This Row],[BW40_3705]]),"")</f>
        <v/>
      </c>
      <c r="J9310" s="7" t="str">
        <f>IF(Table1[[#This Row],[Is Data Valid]]=TRUE,_xlfn.NORM.S.DIST(Table1[[#This Row],[Birthweight Z-Score]],TRUE)*100,"")</f>
        <v/>
      </c>
      <c r="K9310" s="7" t="str">
        <f>IF(Table1[[#This Row],[Is Data Valid]]=TRUE,_xlfn.NORM.S.DIST(Table1[[#This Row],[Birthweight Z-Score (BW-10%)]],TRUE)*100,"")</f>
        <v/>
      </c>
      <c r="L9310" s="7" t="str">
        <f>IF(Table1[[#This Row],[Is Data Valid]]=TRUE,_xlfn.NORM.S.DIST(Table1[[#This Row],[Birthweight Z-Score (BW+10%)]],TRUE)*100,"")</f>
        <v/>
      </c>
    </row>
    <row r="9311" spans="1:12" x14ac:dyDescent="0.35">
      <c r="A9311" s="3"/>
      <c r="B9311" s="2"/>
      <c r="C9311" s="2"/>
      <c r="D9311" s="2" t="b">
        <f>IF(AND(NOT(ISBLANK(Table1[[#This Row],[Fetal Sex (Male, Female or Unknown)]])),ISNUMBER(Table1[[#This Row],[Birthweight (grams)]]),ISNUMBER(Table1[[#This Row],[Gestation (days)]])),TRUE,FALSE)</f>
        <v>0</v>
      </c>
      <c r="E9311" s="2" t="str">
        <f>IF(Table1[[#This Row],[Is Data Valid]]=TRUE,IF(Table1[[#This Row],[Fetal Sex (Male, Female or Unknown)]]="Male",Backend!$C$6,IF(Table1[[#This Row],[Fetal Sex (Male, Female or Unknown)]]="Female",Backend!$C$7,IF(Table1[[#This Row],[Fetal Sex (Male, Female or Unknown)]]="Unknown",Backend!$C$8,"Error"))),"")</f>
        <v/>
      </c>
      <c r="F9311" s="8" t="str">
        <f>IF(Table1[[#This Row],[Is Data Valid]]=TRUE,EXP(0.578+0.332*((Table1[[#This Row],[Gestation (days)]]+0.5)/7)-0.00354*((Table1[[#This Row],[Gestation (days)]]+0.5)/7)^2)*Table1[[#This Row],[BW40_3705]],"")</f>
        <v/>
      </c>
      <c r="G9311" s="2" t="str">
        <f>IF(Table1[[#This Row],[Is Data Valid]]=TRUE,((Table1[[#This Row],[Birthweight (grams)]]/Table1[[#This Row],[BW_GA]])-1)/(Backend!$B$4/100*Table1[[#This Row],[BW40_3705]]),"")</f>
        <v/>
      </c>
      <c r="H9311" s="7" t="str">
        <f>IF(Table1[[#This Row],[Is Data Valid]]=TRUE,((Table1[[#This Row],[Birthweight (grams)]]*0.9/Table1[[#This Row],[BW_GA]])-1)/(Backend!$B$4/100*Table1[[#This Row],[BW40_3705]]),"")</f>
        <v/>
      </c>
      <c r="I9311" s="7" t="str">
        <f>IF(Table1[[#This Row],[Is Data Valid]]=TRUE,((Table1[[#This Row],[Birthweight (grams)]]*1.1/Table1[[#This Row],[BW_GA]])-1)/(Backend!$B$4/100*Table1[[#This Row],[BW40_3705]]),"")</f>
        <v/>
      </c>
      <c r="J9311" s="7" t="str">
        <f>IF(Table1[[#This Row],[Is Data Valid]]=TRUE,_xlfn.NORM.S.DIST(Table1[[#This Row],[Birthweight Z-Score]],TRUE)*100,"")</f>
        <v/>
      </c>
      <c r="K9311" s="7" t="str">
        <f>IF(Table1[[#This Row],[Is Data Valid]]=TRUE,_xlfn.NORM.S.DIST(Table1[[#This Row],[Birthweight Z-Score (BW-10%)]],TRUE)*100,"")</f>
        <v/>
      </c>
      <c r="L9311" s="7" t="str">
        <f>IF(Table1[[#This Row],[Is Data Valid]]=TRUE,_xlfn.NORM.S.DIST(Table1[[#This Row],[Birthweight Z-Score (BW+10%)]],TRUE)*100,"")</f>
        <v/>
      </c>
    </row>
    <row r="9312" spans="1:12" x14ac:dyDescent="0.35">
      <c r="A9312" s="3"/>
      <c r="B9312" s="2"/>
      <c r="C9312" s="2"/>
      <c r="D9312" s="2" t="b">
        <f>IF(AND(NOT(ISBLANK(Table1[[#This Row],[Fetal Sex (Male, Female or Unknown)]])),ISNUMBER(Table1[[#This Row],[Birthweight (grams)]]),ISNUMBER(Table1[[#This Row],[Gestation (days)]])),TRUE,FALSE)</f>
        <v>0</v>
      </c>
      <c r="E9312" s="2" t="str">
        <f>IF(Table1[[#This Row],[Is Data Valid]]=TRUE,IF(Table1[[#This Row],[Fetal Sex (Male, Female or Unknown)]]="Male",Backend!$C$6,IF(Table1[[#This Row],[Fetal Sex (Male, Female or Unknown)]]="Female",Backend!$C$7,IF(Table1[[#This Row],[Fetal Sex (Male, Female or Unknown)]]="Unknown",Backend!$C$8,"Error"))),"")</f>
        <v/>
      </c>
      <c r="F9312" s="8" t="str">
        <f>IF(Table1[[#This Row],[Is Data Valid]]=TRUE,EXP(0.578+0.332*((Table1[[#This Row],[Gestation (days)]]+0.5)/7)-0.00354*((Table1[[#This Row],[Gestation (days)]]+0.5)/7)^2)*Table1[[#This Row],[BW40_3705]],"")</f>
        <v/>
      </c>
      <c r="G9312" s="2" t="str">
        <f>IF(Table1[[#This Row],[Is Data Valid]]=TRUE,((Table1[[#This Row],[Birthweight (grams)]]/Table1[[#This Row],[BW_GA]])-1)/(Backend!$B$4/100*Table1[[#This Row],[BW40_3705]]),"")</f>
        <v/>
      </c>
      <c r="H9312" s="7" t="str">
        <f>IF(Table1[[#This Row],[Is Data Valid]]=TRUE,((Table1[[#This Row],[Birthweight (grams)]]*0.9/Table1[[#This Row],[BW_GA]])-1)/(Backend!$B$4/100*Table1[[#This Row],[BW40_3705]]),"")</f>
        <v/>
      </c>
      <c r="I9312" s="7" t="str">
        <f>IF(Table1[[#This Row],[Is Data Valid]]=TRUE,((Table1[[#This Row],[Birthweight (grams)]]*1.1/Table1[[#This Row],[BW_GA]])-1)/(Backend!$B$4/100*Table1[[#This Row],[BW40_3705]]),"")</f>
        <v/>
      </c>
      <c r="J9312" s="7" t="str">
        <f>IF(Table1[[#This Row],[Is Data Valid]]=TRUE,_xlfn.NORM.S.DIST(Table1[[#This Row],[Birthweight Z-Score]],TRUE)*100,"")</f>
        <v/>
      </c>
      <c r="K9312" s="7" t="str">
        <f>IF(Table1[[#This Row],[Is Data Valid]]=TRUE,_xlfn.NORM.S.DIST(Table1[[#This Row],[Birthweight Z-Score (BW-10%)]],TRUE)*100,"")</f>
        <v/>
      </c>
      <c r="L9312" s="7" t="str">
        <f>IF(Table1[[#This Row],[Is Data Valid]]=TRUE,_xlfn.NORM.S.DIST(Table1[[#This Row],[Birthweight Z-Score (BW+10%)]],TRUE)*100,"")</f>
        <v/>
      </c>
    </row>
    <row r="9313" spans="1:12" x14ac:dyDescent="0.35">
      <c r="A9313" s="3"/>
      <c r="B9313" s="2"/>
      <c r="C9313" s="2"/>
      <c r="D9313" s="2" t="b">
        <f>IF(AND(NOT(ISBLANK(Table1[[#This Row],[Fetal Sex (Male, Female or Unknown)]])),ISNUMBER(Table1[[#This Row],[Birthweight (grams)]]),ISNUMBER(Table1[[#This Row],[Gestation (days)]])),TRUE,FALSE)</f>
        <v>0</v>
      </c>
      <c r="E9313" s="2" t="str">
        <f>IF(Table1[[#This Row],[Is Data Valid]]=TRUE,IF(Table1[[#This Row],[Fetal Sex (Male, Female or Unknown)]]="Male",Backend!$C$6,IF(Table1[[#This Row],[Fetal Sex (Male, Female or Unknown)]]="Female",Backend!$C$7,IF(Table1[[#This Row],[Fetal Sex (Male, Female or Unknown)]]="Unknown",Backend!$C$8,"Error"))),"")</f>
        <v/>
      </c>
      <c r="F9313" s="8" t="str">
        <f>IF(Table1[[#This Row],[Is Data Valid]]=TRUE,EXP(0.578+0.332*((Table1[[#This Row],[Gestation (days)]]+0.5)/7)-0.00354*((Table1[[#This Row],[Gestation (days)]]+0.5)/7)^2)*Table1[[#This Row],[BW40_3705]],"")</f>
        <v/>
      </c>
      <c r="G9313" s="2" t="str">
        <f>IF(Table1[[#This Row],[Is Data Valid]]=TRUE,((Table1[[#This Row],[Birthweight (grams)]]/Table1[[#This Row],[BW_GA]])-1)/(Backend!$B$4/100*Table1[[#This Row],[BW40_3705]]),"")</f>
        <v/>
      </c>
      <c r="H9313" s="7" t="str">
        <f>IF(Table1[[#This Row],[Is Data Valid]]=TRUE,((Table1[[#This Row],[Birthweight (grams)]]*0.9/Table1[[#This Row],[BW_GA]])-1)/(Backend!$B$4/100*Table1[[#This Row],[BW40_3705]]),"")</f>
        <v/>
      </c>
      <c r="I9313" s="7" t="str">
        <f>IF(Table1[[#This Row],[Is Data Valid]]=TRUE,((Table1[[#This Row],[Birthweight (grams)]]*1.1/Table1[[#This Row],[BW_GA]])-1)/(Backend!$B$4/100*Table1[[#This Row],[BW40_3705]]),"")</f>
        <v/>
      </c>
      <c r="J9313" s="7" t="str">
        <f>IF(Table1[[#This Row],[Is Data Valid]]=TRUE,_xlfn.NORM.S.DIST(Table1[[#This Row],[Birthweight Z-Score]],TRUE)*100,"")</f>
        <v/>
      </c>
      <c r="K9313" s="7" t="str">
        <f>IF(Table1[[#This Row],[Is Data Valid]]=TRUE,_xlfn.NORM.S.DIST(Table1[[#This Row],[Birthweight Z-Score (BW-10%)]],TRUE)*100,"")</f>
        <v/>
      </c>
      <c r="L9313" s="7" t="str">
        <f>IF(Table1[[#This Row],[Is Data Valid]]=TRUE,_xlfn.NORM.S.DIST(Table1[[#This Row],[Birthweight Z-Score (BW+10%)]],TRUE)*100,"")</f>
        <v/>
      </c>
    </row>
    <row r="9314" spans="1:12" x14ac:dyDescent="0.35">
      <c r="A9314" s="3"/>
      <c r="B9314" s="2"/>
      <c r="C9314" s="2"/>
      <c r="D9314" s="2" t="b">
        <f>IF(AND(NOT(ISBLANK(Table1[[#This Row],[Fetal Sex (Male, Female or Unknown)]])),ISNUMBER(Table1[[#This Row],[Birthweight (grams)]]),ISNUMBER(Table1[[#This Row],[Gestation (days)]])),TRUE,FALSE)</f>
        <v>0</v>
      </c>
      <c r="E9314" s="2" t="str">
        <f>IF(Table1[[#This Row],[Is Data Valid]]=TRUE,IF(Table1[[#This Row],[Fetal Sex (Male, Female or Unknown)]]="Male",Backend!$C$6,IF(Table1[[#This Row],[Fetal Sex (Male, Female or Unknown)]]="Female",Backend!$C$7,IF(Table1[[#This Row],[Fetal Sex (Male, Female or Unknown)]]="Unknown",Backend!$C$8,"Error"))),"")</f>
        <v/>
      </c>
      <c r="F9314" s="8" t="str">
        <f>IF(Table1[[#This Row],[Is Data Valid]]=TRUE,EXP(0.578+0.332*((Table1[[#This Row],[Gestation (days)]]+0.5)/7)-0.00354*((Table1[[#This Row],[Gestation (days)]]+0.5)/7)^2)*Table1[[#This Row],[BW40_3705]],"")</f>
        <v/>
      </c>
      <c r="G9314" s="2" t="str">
        <f>IF(Table1[[#This Row],[Is Data Valid]]=TRUE,((Table1[[#This Row],[Birthweight (grams)]]/Table1[[#This Row],[BW_GA]])-1)/(Backend!$B$4/100*Table1[[#This Row],[BW40_3705]]),"")</f>
        <v/>
      </c>
      <c r="H9314" s="7" t="str">
        <f>IF(Table1[[#This Row],[Is Data Valid]]=TRUE,((Table1[[#This Row],[Birthweight (grams)]]*0.9/Table1[[#This Row],[BW_GA]])-1)/(Backend!$B$4/100*Table1[[#This Row],[BW40_3705]]),"")</f>
        <v/>
      </c>
      <c r="I9314" s="7" t="str">
        <f>IF(Table1[[#This Row],[Is Data Valid]]=TRUE,((Table1[[#This Row],[Birthweight (grams)]]*1.1/Table1[[#This Row],[BW_GA]])-1)/(Backend!$B$4/100*Table1[[#This Row],[BW40_3705]]),"")</f>
        <v/>
      </c>
      <c r="J9314" s="7" t="str">
        <f>IF(Table1[[#This Row],[Is Data Valid]]=TRUE,_xlfn.NORM.S.DIST(Table1[[#This Row],[Birthweight Z-Score]],TRUE)*100,"")</f>
        <v/>
      </c>
      <c r="K9314" s="7" t="str">
        <f>IF(Table1[[#This Row],[Is Data Valid]]=TRUE,_xlfn.NORM.S.DIST(Table1[[#This Row],[Birthweight Z-Score (BW-10%)]],TRUE)*100,"")</f>
        <v/>
      </c>
      <c r="L9314" s="7" t="str">
        <f>IF(Table1[[#This Row],[Is Data Valid]]=TRUE,_xlfn.NORM.S.DIST(Table1[[#This Row],[Birthweight Z-Score (BW+10%)]],TRUE)*100,"")</f>
        <v/>
      </c>
    </row>
    <row r="9315" spans="1:12" x14ac:dyDescent="0.35">
      <c r="A9315" s="3"/>
      <c r="B9315" s="2"/>
      <c r="C9315" s="2"/>
      <c r="D9315" s="2" t="b">
        <f>IF(AND(NOT(ISBLANK(Table1[[#This Row],[Fetal Sex (Male, Female or Unknown)]])),ISNUMBER(Table1[[#This Row],[Birthweight (grams)]]),ISNUMBER(Table1[[#This Row],[Gestation (days)]])),TRUE,FALSE)</f>
        <v>0</v>
      </c>
      <c r="E9315" s="2" t="str">
        <f>IF(Table1[[#This Row],[Is Data Valid]]=TRUE,IF(Table1[[#This Row],[Fetal Sex (Male, Female or Unknown)]]="Male",Backend!$C$6,IF(Table1[[#This Row],[Fetal Sex (Male, Female or Unknown)]]="Female",Backend!$C$7,IF(Table1[[#This Row],[Fetal Sex (Male, Female or Unknown)]]="Unknown",Backend!$C$8,"Error"))),"")</f>
        <v/>
      </c>
      <c r="F9315" s="8" t="str">
        <f>IF(Table1[[#This Row],[Is Data Valid]]=TRUE,EXP(0.578+0.332*((Table1[[#This Row],[Gestation (days)]]+0.5)/7)-0.00354*((Table1[[#This Row],[Gestation (days)]]+0.5)/7)^2)*Table1[[#This Row],[BW40_3705]],"")</f>
        <v/>
      </c>
      <c r="G9315" s="2" t="str">
        <f>IF(Table1[[#This Row],[Is Data Valid]]=TRUE,((Table1[[#This Row],[Birthweight (grams)]]/Table1[[#This Row],[BW_GA]])-1)/(Backend!$B$4/100*Table1[[#This Row],[BW40_3705]]),"")</f>
        <v/>
      </c>
      <c r="H9315" s="7" t="str">
        <f>IF(Table1[[#This Row],[Is Data Valid]]=TRUE,((Table1[[#This Row],[Birthweight (grams)]]*0.9/Table1[[#This Row],[BW_GA]])-1)/(Backend!$B$4/100*Table1[[#This Row],[BW40_3705]]),"")</f>
        <v/>
      </c>
      <c r="I9315" s="7" t="str">
        <f>IF(Table1[[#This Row],[Is Data Valid]]=TRUE,((Table1[[#This Row],[Birthweight (grams)]]*1.1/Table1[[#This Row],[BW_GA]])-1)/(Backend!$B$4/100*Table1[[#This Row],[BW40_3705]]),"")</f>
        <v/>
      </c>
      <c r="J9315" s="7" t="str">
        <f>IF(Table1[[#This Row],[Is Data Valid]]=TRUE,_xlfn.NORM.S.DIST(Table1[[#This Row],[Birthweight Z-Score]],TRUE)*100,"")</f>
        <v/>
      </c>
      <c r="K9315" s="7" t="str">
        <f>IF(Table1[[#This Row],[Is Data Valid]]=TRUE,_xlfn.NORM.S.DIST(Table1[[#This Row],[Birthweight Z-Score (BW-10%)]],TRUE)*100,"")</f>
        <v/>
      </c>
      <c r="L9315" s="7" t="str">
        <f>IF(Table1[[#This Row],[Is Data Valid]]=TRUE,_xlfn.NORM.S.DIST(Table1[[#This Row],[Birthweight Z-Score (BW+10%)]],TRUE)*100,"")</f>
        <v/>
      </c>
    </row>
    <row r="9316" spans="1:12" x14ac:dyDescent="0.35">
      <c r="A9316" s="3"/>
      <c r="B9316" s="2"/>
      <c r="C9316" s="2"/>
      <c r="D9316" s="2" t="b">
        <f>IF(AND(NOT(ISBLANK(Table1[[#This Row],[Fetal Sex (Male, Female or Unknown)]])),ISNUMBER(Table1[[#This Row],[Birthweight (grams)]]),ISNUMBER(Table1[[#This Row],[Gestation (days)]])),TRUE,FALSE)</f>
        <v>0</v>
      </c>
      <c r="E9316" s="2" t="str">
        <f>IF(Table1[[#This Row],[Is Data Valid]]=TRUE,IF(Table1[[#This Row],[Fetal Sex (Male, Female or Unknown)]]="Male",Backend!$C$6,IF(Table1[[#This Row],[Fetal Sex (Male, Female or Unknown)]]="Female",Backend!$C$7,IF(Table1[[#This Row],[Fetal Sex (Male, Female or Unknown)]]="Unknown",Backend!$C$8,"Error"))),"")</f>
        <v/>
      </c>
      <c r="F9316" s="8" t="str">
        <f>IF(Table1[[#This Row],[Is Data Valid]]=TRUE,EXP(0.578+0.332*((Table1[[#This Row],[Gestation (days)]]+0.5)/7)-0.00354*((Table1[[#This Row],[Gestation (days)]]+0.5)/7)^2)*Table1[[#This Row],[BW40_3705]],"")</f>
        <v/>
      </c>
      <c r="G9316" s="2" t="str">
        <f>IF(Table1[[#This Row],[Is Data Valid]]=TRUE,((Table1[[#This Row],[Birthweight (grams)]]/Table1[[#This Row],[BW_GA]])-1)/(Backend!$B$4/100*Table1[[#This Row],[BW40_3705]]),"")</f>
        <v/>
      </c>
      <c r="H9316" s="7" t="str">
        <f>IF(Table1[[#This Row],[Is Data Valid]]=TRUE,((Table1[[#This Row],[Birthweight (grams)]]*0.9/Table1[[#This Row],[BW_GA]])-1)/(Backend!$B$4/100*Table1[[#This Row],[BW40_3705]]),"")</f>
        <v/>
      </c>
      <c r="I9316" s="7" t="str">
        <f>IF(Table1[[#This Row],[Is Data Valid]]=TRUE,((Table1[[#This Row],[Birthweight (grams)]]*1.1/Table1[[#This Row],[BW_GA]])-1)/(Backend!$B$4/100*Table1[[#This Row],[BW40_3705]]),"")</f>
        <v/>
      </c>
      <c r="J9316" s="7" t="str">
        <f>IF(Table1[[#This Row],[Is Data Valid]]=TRUE,_xlfn.NORM.S.DIST(Table1[[#This Row],[Birthweight Z-Score]],TRUE)*100,"")</f>
        <v/>
      </c>
      <c r="K9316" s="7" t="str">
        <f>IF(Table1[[#This Row],[Is Data Valid]]=TRUE,_xlfn.NORM.S.DIST(Table1[[#This Row],[Birthweight Z-Score (BW-10%)]],TRUE)*100,"")</f>
        <v/>
      </c>
      <c r="L9316" s="7" t="str">
        <f>IF(Table1[[#This Row],[Is Data Valid]]=TRUE,_xlfn.NORM.S.DIST(Table1[[#This Row],[Birthweight Z-Score (BW+10%)]],TRUE)*100,"")</f>
        <v/>
      </c>
    </row>
    <row r="9317" spans="1:12" x14ac:dyDescent="0.35">
      <c r="A9317" s="3"/>
      <c r="B9317" s="2"/>
      <c r="C9317" s="2"/>
      <c r="D9317" s="2" t="b">
        <f>IF(AND(NOT(ISBLANK(Table1[[#This Row],[Fetal Sex (Male, Female or Unknown)]])),ISNUMBER(Table1[[#This Row],[Birthweight (grams)]]),ISNUMBER(Table1[[#This Row],[Gestation (days)]])),TRUE,FALSE)</f>
        <v>0</v>
      </c>
      <c r="E9317" s="2" t="str">
        <f>IF(Table1[[#This Row],[Is Data Valid]]=TRUE,IF(Table1[[#This Row],[Fetal Sex (Male, Female or Unknown)]]="Male",Backend!$C$6,IF(Table1[[#This Row],[Fetal Sex (Male, Female or Unknown)]]="Female",Backend!$C$7,IF(Table1[[#This Row],[Fetal Sex (Male, Female or Unknown)]]="Unknown",Backend!$C$8,"Error"))),"")</f>
        <v/>
      </c>
      <c r="F9317" s="8" t="str">
        <f>IF(Table1[[#This Row],[Is Data Valid]]=TRUE,EXP(0.578+0.332*((Table1[[#This Row],[Gestation (days)]]+0.5)/7)-0.00354*((Table1[[#This Row],[Gestation (days)]]+0.5)/7)^2)*Table1[[#This Row],[BW40_3705]],"")</f>
        <v/>
      </c>
      <c r="G9317" s="2" t="str">
        <f>IF(Table1[[#This Row],[Is Data Valid]]=TRUE,((Table1[[#This Row],[Birthweight (grams)]]/Table1[[#This Row],[BW_GA]])-1)/(Backend!$B$4/100*Table1[[#This Row],[BW40_3705]]),"")</f>
        <v/>
      </c>
      <c r="H9317" s="7" t="str">
        <f>IF(Table1[[#This Row],[Is Data Valid]]=TRUE,((Table1[[#This Row],[Birthweight (grams)]]*0.9/Table1[[#This Row],[BW_GA]])-1)/(Backend!$B$4/100*Table1[[#This Row],[BW40_3705]]),"")</f>
        <v/>
      </c>
      <c r="I9317" s="7" t="str">
        <f>IF(Table1[[#This Row],[Is Data Valid]]=TRUE,((Table1[[#This Row],[Birthweight (grams)]]*1.1/Table1[[#This Row],[BW_GA]])-1)/(Backend!$B$4/100*Table1[[#This Row],[BW40_3705]]),"")</f>
        <v/>
      </c>
      <c r="J9317" s="7" t="str">
        <f>IF(Table1[[#This Row],[Is Data Valid]]=TRUE,_xlfn.NORM.S.DIST(Table1[[#This Row],[Birthweight Z-Score]],TRUE)*100,"")</f>
        <v/>
      </c>
      <c r="K9317" s="7" t="str">
        <f>IF(Table1[[#This Row],[Is Data Valid]]=TRUE,_xlfn.NORM.S.DIST(Table1[[#This Row],[Birthweight Z-Score (BW-10%)]],TRUE)*100,"")</f>
        <v/>
      </c>
      <c r="L9317" s="7" t="str">
        <f>IF(Table1[[#This Row],[Is Data Valid]]=TRUE,_xlfn.NORM.S.DIST(Table1[[#This Row],[Birthweight Z-Score (BW+10%)]],TRUE)*100,"")</f>
        <v/>
      </c>
    </row>
    <row r="9318" spans="1:12" x14ac:dyDescent="0.35">
      <c r="A9318" s="3"/>
      <c r="B9318" s="2"/>
      <c r="C9318" s="2"/>
      <c r="D9318" s="2" t="b">
        <f>IF(AND(NOT(ISBLANK(Table1[[#This Row],[Fetal Sex (Male, Female or Unknown)]])),ISNUMBER(Table1[[#This Row],[Birthweight (grams)]]),ISNUMBER(Table1[[#This Row],[Gestation (days)]])),TRUE,FALSE)</f>
        <v>0</v>
      </c>
      <c r="E9318" s="2" t="str">
        <f>IF(Table1[[#This Row],[Is Data Valid]]=TRUE,IF(Table1[[#This Row],[Fetal Sex (Male, Female or Unknown)]]="Male",Backend!$C$6,IF(Table1[[#This Row],[Fetal Sex (Male, Female or Unknown)]]="Female",Backend!$C$7,IF(Table1[[#This Row],[Fetal Sex (Male, Female or Unknown)]]="Unknown",Backend!$C$8,"Error"))),"")</f>
        <v/>
      </c>
      <c r="F9318" s="8" t="str">
        <f>IF(Table1[[#This Row],[Is Data Valid]]=TRUE,EXP(0.578+0.332*((Table1[[#This Row],[Gestation (days)]]+0.5)/7)-0.00354*((Table1[[#This Row],[Gestation (days)]]+0.5)/7)^2)*Table1[[#This Row],[BW40_3705]],"")</f>
        <v/>
      </c>
      <c r="G9318" s="2" t="str">
        <f>IF(Table1[[#This Row],[Is Data Valid]]=TRUE,((Table1[[#This Row],[Birthweight (grams)]]/Table1[[#This Row],[BW_GA]])-1)/(Backend!$B$4/100*Table1[[#This Row],[BW40_3705]]),"")</f>
        <v/>
      </c>
      <c r="H9318" s="7" t="str">
        <f>IF(Table1[[#This Row],[Is Data Valid]]=TRUE,((Table1[[#This Row],[Birthweight (grams)]]*0.9/Table1[[#This Row],[BW_GA]])-1)/(Backend!$B$4/100*Table1[[#This Row],[BW40_3705]]),"")</f>
        <v/>
      </c>
      <c r="I9318" s="7" t="str">
        <f>IF(Table1[[#This Row],[Is Data Valid]]=TRUE,((Table1[[#This Row],[Birthweight (grams)]]*1.1/Table1[[#This Row],[BW_GA]])-1)/(Backend!$B$4/100*Table1[[#This Row],[BW40_3705]]),"")</f>
        <v/>
      </c>
      <c r="J9318" s="7" t="str">
        <f>IF(Table1[[#This Row],[Is Data Valid]]=TRUE,_xlfn.NORM.S.DIST(Table1[[#This Row],[Birthweight Z-Score]],TRUE)*100,"")</f>
        <v/>
      </c>
      <c r="K9318" s="7" t="str">
        <f>IF(Table1[[#This Row],[Is Data Valid]]=TRUE,_xlfn.NORM.S.DIST(Table1[[#This Row],[Birthweight Z-Score (BW-10%)]],TRUE)*100,"")</f>
        <v/>
      </c>
      <c r="L9318" s="7" t="str">
        <f>IF(Table1[[#This Row],[Is Data Valid]]=TRUE,_xlfn.NORM.S.DIST(Table1[[#This Row],[Birthweight Z-Score (BW+10%)]],TRUE)*100,"")</f>
        <v/>
      </c>
    </row>
    <row r="9319" spans="1:12" x14ac:dyDescent="0.35">
      <c r="A9319" s="3"/>
      <c r="B9319" s="2"/>
      <c r="C9319" s="2"/>
      <c r="D9319" s="2" t="b">
        <f>IF(AND(NOT(ISBLANK(Table1[[#This Row],[Fetal Sex (Male, Female or Unknown)]])),ISNUMBER(Table1[[#This Row],[Birthweight (grams)]]),ISNUMBER(Table1[[#This Row],[Gestation (days)]])),TRUE,FALSE)</f>
        <v>0</v>
      </c>
      <c r="E9319" s="2" t="str">
        <f>IF(Table1[[#This Row],[Is Data Valid]]=TRUE,IF(Table1[[#This Row],[Fetal Sex (Male, Female or Unknown)]]="Male",Backend!$C$6,IF(Table1[[#This Row],[Fetal Sex (Male, Female or Unknown)]]="Female",Backend!$C$7,IF(Table1[[#This Row],[Fetal Sex (Male, Female or Unknown)]]="Unknown",Backend!$C$8,"Error"))),"")</f>
        <v/>
      </c>
      <c r="F9319" s="8" t="str">
        <f>IF(Table1[[#This Row],[Is Data Valid]]=TRUE,EXP(0.578+0.332*((Table1[[#This Row],[Gestation (days)]]+0.5)/7)-0.00354*((Table1[[#This Row],[Gestation (days)]]+0.5)/7)^2)*Table1[[#This Row],[BW40_3705]],"")</f>
        <v/>
      </c>
      <c r="G9319" s="2" t="str">
        <f>IF(Table1[[#This Row],[Is Data Valid]]=TRUE,((Table1[[#This Row],[Birthweight (grams)]]/Table1[[#This Row],[BW_GA]])-1)/(Backend!$B$4/100*Table1[[#This Row],[BW40_3705]]),"")</f>
        <v/>
      </c>
      <c r="H9319" s="7" t="str">
        <f>IF(Table1[[#This Row],[Is Data Valid]]=TRUE,((Table1[[#This Row],[Birthweight (grams)]]*0.9/Table1[[#This Row],[BW_GA]])-1)/(Backend!$B$4/100*Table1[[#This Row],[BW40_3705]]),"")</f>
        <v/>
      </c>
      <c r="I9319" s="7" t="str">
        <f>IF(Table1[[#This Row],[Is Data Valid]]=TRUE,((Table1[[#This Row],[Birthweight (grams)]]*1.1/Table1[[#This Row],[BW_GA]])-1)/(Backend!$B$4/100*Table1[[#This Row],[BW40_3705]]),"")</f>
        <v/>
      </c>
      <c r="J9319" s="7" t="str">
        <f>IF(Table1[[#This Row],[Is Data Valid]]=TRUE,_xlfn.NORM.S.DIST(Table1[[#This Row],[Birthweight Z-Score]],TRUE)*100,"")</f>
        <v/>
      </c>
      <c r="K9319" s="7" t="str">
        <f>IF(Table1[[#This Row],[Is Data Valid]]=TRUE,_xlfn.NORM.S.DIST(Table1[[#This Row],[Birthweight Z-Score (BW-10%)]],TRUE)*100,"")</f>
        <v/>
      </c>
      <c r="L9319" s="7" t="str">
        <f>IF(Table1[[#This Row],[Is Data Valid]]=TRUE,_xlfn.NORM.S.DIST(Table1[[#This Row],[Birthweight Z-Score (BW+10%)]],TRUE)*100,"")</f>
        <v/>
      </c>
    </row>
    <row r="9320" spans="1:12" x14ac:dyDescent="0.35">
      <c r="A9320" s="3"/>
      <c r="B9320" s="2"/>
      <c r="C9320" s="2"/>
      <c r="D9320" s="2" t="b">
        <f>IF(AND(NOT(ISBLANK(Table1[[#This Row],[Fetal Sex (Male, Female or Unknown)]])),ISNUMBER(Table1[[#This Row],[Birthweight (grams)]]),ISNUMBER(Table1[[#This Row],[Gestation (days)]])),TRUE,FALSE)</f>
        <v>0</v>
      </c>
      <c r="E9320" s="2" t="str">
        <f>IF(Table1[[#This Row],[Is Data Valid]]=TRUE,IF(Table1[[#This Row],[Fetal Sex (Male, Female or Unknown)]]="Male",Backend!$C$6,IF(Table1[[#This Row],[Fetal Sex (Male, Female or Unknown)]]="Female",Backend!$C$7,IF(Table1[[#This Row],[Fetal Sex (Male, Female or Unknown)]]="Unknown",Backend!$C$8,"Error"))),"")</f>
        <v/>
      </c>
      <c r="F9320" s="8" t="str">
        <f>IF(Table1[[#This Row],[Is Data Valid]]=TRUE,EXP(0.578+0.332*((Table1[[#This Row],[Gestation (days)]]+0.5)/7)-0.00354*((Table1[[#This Row],[Gestation (days)]]+0.5)/7)^2)*Table1[[#This Row],[BW40_3705]],"")</f>
        <v/>
      </c>
      <c r="G9320" s="2" t="str">
        <f>IF(Table1[[#This Row],[Is Data Valid]]=TRUE,((Table1[[#This Row],[Birthweight (grams)]]/Table1[[#This Row],[BW_GA]])-1)/(Backend!$B$4/100*Table1[[#This Row],[BW40_3705]]),"")</f>
        <v/>
      </c>
      <c r="H9320" s="7" t="str">
        <f>IF(Table1[[#This Row],[Is Data Valid]]=TRUE,((Table1[[#This Row],[Birthweight (grams)]]*0.9/Table1[[#This Row],[BW_GA]])-1)/(Backend!$B$4/100*Table1[[#This Row],[BW40_3705]]),"")</f>
        <v/>
      </c>
      <c r="I9320" s="7" t="str">
        <f>IF(Table1[[#This Row],[Is Data Valid]]=TRUE,((Table1[[#This Row],[Birthweight (grams)]]*1.1/Table1[[#This Row],[BW_GA]])-1)/(Backend!$B$4/100*Table1[[#This Row],[BW40_3705]]),"")</f>
        <v/>
      </c>
      <c r="J9320" s="7" t="str">
        <f>IF(Table1[[#This Row],[Is Data Valid]]=TRUE,_xlfn.NORM.S.DIST(Table1[[#This Row],[Birthweight Z-Score]],TRUE)*100,"")</f>
        <v/>
      </c>
      <c r="K9320" s="7" t="str">
        <f>IF(Table1[[#This Row],[Is Data Valid]]=TRUE,_xlfn.NORM.S.DIST(Table1[[#This Row],[Birthweight Z-Score (BW-10%)]],TRUE)*100,"")</f>
        <v/>
      </c>
      <c r="L9320" s="7" t="str">
        <f>IF(Table1[[#This Row],[Is Data Valid]]=TRUE,_xlfn.NORM.S.DIST(Table1[[#This Row],[Birthweight Z-Score (BW+10%)]],TRUE)*100,"")</f>
        <v/>
      </c>
    </row>
    <row r="9321" spans="1:12" x14ac:dyDescent="0.35">
      <c r="A9321" s="3"/>
      <c r="B9321" s="2"/>
      <c r="C9321" s="2"/>
      <c r="D9321" s="2" t="b">
        <f>IF(AND(NOT(ISBLANK(Table1[[#This Row],[Fetal Sex (Male, Female or Unknown)]])),ISNUMBER(Table1[[#This Row],[Birthweight (grams)]]),ISNUMBER(Table1[[#This Row],[Gestation (days)]])),TRUE,FALSE)</f>
        <v>0</v>
      </c>
      <c r="E9321" s="2" t="str">
        <f>IF(Table1[[#This Row],[Is Data Valid]]=TRUE,IF(Table1[[#This Row],[Fetal Sex (Male, Female or Unknown)]]="Male",Backend!$C$6,IF(Table1[[#This Row],[Fetal Sex (Male, Female or Unknown)]]="Female",Backend!$C$7,IF(Table1[[#This Row],[Fetal Sex (Male, Female or Unknown)]]="Unknown",Backend!$C$8,"Error"))),"")</f>
        <v/>
      </c>
      <c r="F9321" s="8" t="str">
        <f>IF(Table1[[#This Row],[Is Data Valid]]=TRUE,EXP(0.578+0.332*((Table1[[#This Row],[Gestation (days)]]+0.5)/7)-0.00354*((Table1[[#This Row],[Gestation (days)]]+0.5)/7)^2)*Table1[[#This Row],[BW40_3705]],"")</f>
        <v/>
      </c>
      <c r="G9321" s="2" t="str">
        <f>IF(Table1[[#This Row],[Is Data Valid]]=TRUE,((Table1[[#This Row],[Birthweight (grams)]]/Table1[[#This Row],[BW_GA]])-1)/(Backend!$B$4/100*Table1[[#This Row],[BW40_3705]]),"")</f>
        <v/>
      </c>
      <c r="H9321" s="7" t="str">
        <f>IF(Table1[[#This Row],[Is Data Valid]]=TRUE,((Table1[[#This Row],[Birthweight (grams)]]*0.9/Table1[[#This Row],[BW_GA]])-1)/(Backend!$B$4/100*Table1[[#This Row],[BW40_3705]]),"")</f>
        <v/>
      </c>
      <c r="I9321" s="7" t="str">
        <f>IF(Table1[[#This Row],[Is Data Valid]]=TRUE,((Table1[[#This Row],[Birthweight (grams)]]*1.1/Table1[[#This Row],[BW_GA]])-1)/(Backend!$B$4/100*Table1[[#This Row],[BW40_3705]]),"")</f>
        <v/>
      </c>
      <c r="J9321" s="7" t="str">
        <f>IF(Table1[[#This Row],[Is Data Valid]]=TRUE,_xlfn.NORM.S.DIST(Table1[[#This Row],[Birthweight Z-Score]],TRUE)*100,"")</f>
        <v/>
      </c>
      <c r="K9321" s="7" t="str">
        <f>IF(Table1[[#This Row],[Is Data Valid]]=TRUE,_xlfn.NORM.S.DIST(Table1[[#This Row],[Birthweight Z-Score (BW-10%)]],TRUE)*100,"")</f>
        <v/>
      </c>
      <c r="L9321" s="7" t="str">
        <f>IF(Table1[[#This Row],[Is Data Valid]]=TRUE,_xlfn.NORM.S.DIST(Table1[[#This Row],[Birthweight Z-Score (BW+10%)]],TRUE)*100,"")</f>
        <v/>
      </c>
    </row>
    <row r="9322" spans="1:12" x14ac:dyDescent="0.35">
      <c r="A9322" s="3"/>
      <c r="B9322" s="2"/>
      <c r="C9322" s="2"/>
      <c r="D9322" s="2" t="b">
        <f>IF(AND(NOT(ISBLANK(Table1[[#This Row],[Fetal Sex (Male, Female or Unknown)]])),ISNUMBER(Table1[[#This Row],[Birthweight (grams)]]),ISNUMBER(Table1[[#This Row],[Gestation (days)]])),TRUE,FALSE)</f>
        <v>0</v>
      </c>
      <c r="E9322" s="2" t="str">
        <f>IF(Table1[[#This Row],[Is Data Valid]]=TRUE,IF(Table1[[#This Row],[Fetal Sex (Male, Female or Unknown)]]="Male",Backend!$C$6,IF(Table1[[#This Row],[Fetal Sex (Male, Female or Unknown)]]="Female",Backend!$C$7,IF(Table1[[#This Row],[Fetal Sex (Male, Female or Unknown)]]="Unknown",Backend!$C$8,"Error"))),"")</f>
        <v/>
      </c>
      <c r="F9322" s="8" t="str">
        <f>IF(Table1[[#This Row],[Is Data Valid]]=TRUE,EXP(0.578+0.332*((Table1[[#This Row],[Gestation (days)]]+0.5)/7)-0.00354*((Table1[[#This Row],[Gestation (days)]]+0.5)/7)^2)*Table1[[#This Row],[BW40_3705]],"")</f>
        <v/>
      </c>
      <c r="G9322" s="2" t="str">
        <f>IF(Table1[[#This Row],[Is Data Valid]]=TRUE,((Table1[[#This Row],[Birthweight (grams)]]/Table1[[#This Row],[BW_GA]])-1)/(Backend!$B$4/100*Table1[[#This Row],[BW40_3705]]),"")</f>
        <v/>
      </c>
      <c r="H9322" s="7" t="str">
        <f>IF(Table1[[#This Row],[Is Data Valid]]=TRUE,((Table1[[#This Row],[Birthweight (grams)]]*0.9/Table1[[#This Row],[BW_GA]])-1)/(Backend!$B$4/100*Table1[[#This Row],[BW40_3705]]),"")</f>
        <v/>
      </c>
      <c r="I9322" s="7" t="str">
        <f>IF(Table1[[#This Row],[Is Data Valid]]=TRUE,((Table1[[#This Row],[Birthweight (grams)]]*1.1/Table1[[#This Row],[BW_GA]])-1)/(Backend!$B$4/100*Table1[[#This Row],[BW40_3705]]),"")</f>
        <v/>
      </c>
      <c r="J9322" s="7" t="str">
        <f>IF(Table1[[#This Row],[Is Data Valid]]=TRUE,_xlfn.NORM.S.DIST(Table1[[#This Row],[Birthweight Z-Score]],TRUE)*100,"")</f>
        <v/>
      </c>
      <c r="K9322" s="7" t="str">
        <f>IF(Table1[[#This Row],[Is Data Valid]]=TRUE,_xlfn.NORM.S.DIST(Table1[[#This Row],[Birthweight Z-Score (BW-10%)]],TRUE)*100,"")</f>
        <v/>
      </c>
      <c r="L9322" s="7" t="str">
        <f>IF(Table1[[#This Row],[Is Data Valid]]=TRUE,_xlfn.NORM.S.DIST(Table1[[#This Row],[Birthweight Z-Score (BW+10%)]],TRUE)*100,"")</f>
        <v/>
      </c>
    </row>
    <row r="9323" spans="1:12" x14ac:dyDescent="0.35">
      <c r="A9323" s="3"/>
      <c r="B9323" s="2"/>
      <c r="C9323" s="2"/>
      <c r="D9323" s="2" t="b">
        <f>IF(AND(NOT(ISBLANK(Table1[[#This Row],[Fetal Sex (Male, Female or Unknown)]])),ISNUMBER(Table1[[#This Row],[Birthweight (grams)]]),ISNUMBER(Table1[[#This Row],[Gestation (days)]])),TRUE,FALSE)</f>
        <v>0</v>
      </c>
      <c r="E9323" s="2" t="str">
        <f>IF(Table1[[#This Row],[Is Data Valid]]=TRUE,IF(Table1[[#This Row],[Fetal Sex (Male, Female or Unknown)]]="Male",Backend!$C$6,IF(Table1[[#This Row],[Fetal Sex (Male, Female or Unknown)]]="Female",Backend!$C$7,IF(Table1[[#This Row],[Fetal Sex (Male, Female or Unknown)]]="Unknown",Backend!$C$8,"Error"))),"")</f>
        <v/>
      </c>
      <c r="F9323" s="8" t="str">
        <f>IF(Table1[[#This Row],[Is Data Valid]]=TRUE,EXP(0.578+0.332*((Table1[[#This Row],[Gestation (days)]]+0.5)/7)-0.00354*((Table1[[#This Row],[Gestation (days)]]+0.5)/7)^2)*Table1[[#This Row],[BW40_3705]],"")</f>
        <v/>
      </c>
      <c r="G9323" s="2" t="str">
        <f>IF(Table1[[#This Row],[Is Data Valid]]=TRUE,((Table1[[#This Row],[Birthweight (grams)]]/Table1[[#This Row],[BW_GA]])-1)/(Backend!$B$4/100*Table1[[#This Row],[BW40_3705]]),"")</f>
        <v/>
      </c>
      <c r="H9323" s="7" t="str">
        <f>IF(Table1[[#This Row],[Is Data Valid]]=TRUE,((Table1[[#This Row],[Birthweight (grams)]]*0.9/Table1[[#This Row],[BW_GA]])-1)/(Backend!$B$4/100*Table1[[#This Row],[BW40_3705]]),"")</f>
        <v/>
      </c>
      <c r="I9323" s="7" t="str">
        <f>IF(Table1[[#This Row],[Is Data Valid]]=TRUE,((Table1[[#This Row],[Birthweight (grams)]]*1.1/Table1[[#This Row],[BW_GA]])-1)/(Backend!$B$4/100*Table1[[#This Row],[BW40_3705]]),"")</f>
        <v/>
      </c>
      <c r="J9323" s="7" t="str">
        <f>IF(Table1[[#This Row],[Is Data Valid]]=TRUE,_xlfn.NORM.S.DIST(Table1[[#This Row],[Birthweight Z-Score]],TRUE)*100,"")</f>
        <v/>
      </c>
      <c r="K9323" s="7" t="str">
        <f>IF(Table1[[#This Row],[Is Data Valid]]=TRUE,_xlfn.NORM.S.DIST(Table1[[#This Row],[Birthweight Z-Score (BW-10%)]],TRUE)*100,"")</f>
        <v/>
      </c>
      <c r="L9323" s="7" t="str">
        <f>IF(Table1[[#This Row],[Is Data Valid]]=TRUE,_xlfn.NORM.S.DIST(Table1[[#This Row],[Birthweight Z-Score (BW+10%)]],TRUE)*100,"")</f>
        <v/>
      </c>
    </row>
    <row r="9324" spans="1:12" x14ac:dyDescent="0.35">
      <c r="A9324" s="3"/>
      <c r="B9324" s="2"/>
      <c r="C9324" s="2"/>
      <c r="D9324" s="2" t="b">
        <f>IF(AND(NOT(ISBLANK(Table1[[#This Row],[Fetal Sex (Male, Female or Unknown)]])),ISNUMBER(Table1[[#This Row],[Birthweight (grams)]]),ISNUMBER(Table1[[#This Row],[Gestation (days)]])),TRUE,FALSE)</f>
        <v>0</v>
      </c>
      <c r="E9324" s="2" t="str">
        <f>IF(Table1[[#This Row],[Is Data Valid]]=TRUE,IF(Table1[[#This Row],[Fetal Sex (Male, Female or Unknown)]]="Male",Backend!$C$6,IF(Table1[[#This Row],[Fetal Sex (Male, Female or Unknown)]]="Female",Backend!$C$7,IF(Table1[[#This Row],[Fetal Sex (Male, Female or Unknown)]]="Unknown",Backend!$C$8,"Error"))),"")</f>
        <v/>
      </c>
      <c r="F9324" s="8" t="str">
        <f>IF(Table1[[#This Row],[Is Data Valid]]=TRUE,EXP(0.578+0.332*((Table1[[#This Row],[Gestation (days)]]+0.5)/7)-0.00354*((Table1[[#This Row],[Gestation (days)]]+0.5)/7)^2)*Table1[[#This Row],[BW40_3705]],"")</f>
        <v/>
      </c>
      <c r="G9324" s="2" t="str">
        <f>IF(Table1[[#This Row],[Is Data Valid]]=TRUE,((Table1[[#This Row],[Birthweight (grams)]]/Table1[[#This Row],[BW_GA]])-1)/(Backend!$B$4/100*Table1[[#This Row],[BW40_3705]]),"")</f>
        <v/>
      </c>
      <c r="H9324" s="7" t="str">
        <f>IF(Table1[[#This Row],[Is Data Valid]]=TRUE,((Table1[[#This Row],[Birthweight (grams)]]*0.9/Table1[[#This Row],[BW_GA]])-1)/(Backend!$B$4/100*Table1[[#This Row],[BW40_3705]]),"")</f>
        <v/>
      </c>
      <c r="I9324" s="7" t="str">
        <f>IF(Table1[[#This Row],[Is Data Valid]]=TRUE,((Table1[[#This Row],[Birthweight (grams)]]*1.1/Table1[[#This Row],[BW_GA]])-1)/(Backend!$B$4/100*Table1[[#This Row],[BW40_3705]]),"")</f>
        <v/>
      </c>
      <c r="J9324" s="7" t="str">
        <f>IF(Table1[[#This Row],[Is Data Valid]]=TRUE,_xlfn.NORM.S.DIST(Table1[[#This Row],[Birthweight Z-Score]],TRUE)*100,"")</f>
        <v/>
      </c>
      <c r="K9324" s="7" t="str">
        <f>IF(Table1[[#This Row],[Is Data Valid]]=TRUE,_xlfn.NORM.S.DIST(Table1[[#This Row],[Birthweight Z-Score (BW-10%)]],TRUE)*100,"")</f>
        <v/>
      </c>
      <c r="L9324" s="7" t="str">
        <f>IF(Table1[[#This Row],[Is Data Valid]]=TRUE,_xlfn.NORM.S.DIST(Table1[[#This Row],[Birthweight Z-Score (BW+10%)]],TRUE)*100,"")</f>
        <v/>
      </c>
    </row>
    <row r="9325" spans="1:12" x14ac:dyDescent="0.35">
      <c r="A9325" s="3"/>
      <c r="B9325" s="2"/>
      <c r="C9325" s="2"/>
      <c r="D9325" s="2" t="b">
        <f>IF(AND(NOT(ISBLANK(Table1[[#This Row],[Fetal Sex (Male, Female or Unknown)]])),ISNUMBER(Table1[[#This Row],[Birthweight (grams)]]),ISNUMBER(Table1[[#This Row],[Gestation (days)]])),TRUE,FALSE)</f>
        <v>0</v>
      </c>
      <c r="E9325" s="2" t="str">
        <f>IF(Table1[[#This Row],[Is Data Valid]]=TRUE,IF(Table1[[#This Row],[Fetal Sex (Male, Female or Unknown)]]="Male",Backend!$C$6,IF(Table1[[#This Row],[Fetal Sex (Male, Female or Unknown)]]="Female",Backend!$C$7,IF(Table1[[#This Row],[Fetal Sex (Male, Female or Unknown)]]="Unknown",Backend!$C$8,"Error"))),"")</f>
        <v/>
      </c>
      <c r="F9325" s="8" t="str">
        <f>IF(Table1[[#This Row],[Is Data Valid]]=TRUE,EXP(0.578+0.332*((Table1[[#This Row],[Gestation (days)]]+0.5)/7)-0.00354*((Table1[[#This Row],[Gestation (days)]]+0.5)/7)^2)*Table1[[#This Row],[BW40_3705]],"")</f>
        <v/>
      </c>
      <c r="G9325" s="2" t="str">
        <f>IF(Table1[[#This Row],[Is Data Valid]]=TRUE,((Table1[[#This Row],[Birthweight (grams)]]/Table1[[#This Row],[BW_GA]])-1)/(Backend!$B$4/100*Table1[[#This Row],[BW40_3705]]),"")</f>
        <v/>
      </c>
      <c r="H9325" s="7" t="str">
        <f>IF(Table1[[#This Row],[Is Data Valid]]=TRUE,((Table1[[#This Row],[Birthweight (grams)]]*0.9/Table1[[#This Row],[BW_GA]])-1)/(Backend!$B$4/100*Table1[[#This Row],[BW40_3705]]),"")</f>
        <v/>
      </c>
      <c r="I9325" s="7" t="str">
        <f>IF(Table1[[#This Row],[Is Data Valid]]=TRUE,((Table1[[#This Row],[Birthweight (grams)]]*1.1/Table1[[#This Row],[BW_GA]])-1)/(Backend!$B$4/100*Table1[[#This Row],[BW40_3705]]),"")</f>
        <v/>
      </c>
      <c r="J9325" s="7" t="str">
        <f>IF(Table1[[#This Row],[Is Data Valid]]=TRUE,_xlfn.NORM.S.DIST(Table1[[#This Row],[Birthweight Z-Score]],TRUE)*100,"")</f>
        <v/>
      </c>
      <c r="K9325" s="7" t="str">
        <f>IF(Table1[[#This Row],[Is Data Valid]]=TRUE,_xlfn.NORM.S.DIST(Table1[[#This Row],[Birthweight Z-Score (BW-10%)]],TRUE)*100,"")</f>
        <v/>
      </c>
      <c r="L9325" s="7" t="str">
        <f>IF(Table1[[#This Row],[Is Data Valid]]=TRUE,_xlfn.NORM.S.DIST(Table1[[#This Row],[Birthweight Z-Score (BW+10%)]],TRUE)*100,"")</f>
        <v/>
      </c>
    </row>
    <row r="9326" spans="1:12" x14ac:dyDescent="0.35">
      <c r="A9326" s="3"/>
      <c r="B9326" s="2"/>
      <c r="C9326" s="2"/>
      <c r="D9326" s="2" t="b">
        <f>IF(AND(NOT(ISBLANK(Table1[[#This Row],[Fetal Sex (Male, Female or Unknown)]])),ISNUMBER(Table1[[#This Row],[Birthweight (grams)]]),ISNUMBER(Table1[[#This Row],[Gestation (days)]])),TRUE,FALSE)</f>
        <v>0</v>
      </c>
      <c r="E9326" s="2" t="str">
        <f>IF(Table1[[#This Row],[Is Data Valid]]=TRUE,IF(Table1[[#This Row],[Fetal Sex (Male, Female or Unknown)]]="Male",Backend!$C$6,IF(Table1[[#This Row],[Fetal Sex (Male, Female or Unknown)]]="Female",Backend!$C$7,IF(Table1[[#This Row],[Fetal Sex (Male, Female or Unknown)]]="Unknown",Backend!$C$8,"Error"))),"")</f>
        <v/>
      </c>
      <c r="F9326" s="8" t="str">
        <f>IF(Table1[[#This Row],[Is Data Valid]]=TRUE,EXP(0.578+0.332*((Table1[[#This Row],[Gestation (days)]]+0.5)/7)-0.00354*((Table1[[#This Row],[Gestation (days)]]+0.5)/7)^2)*Table1[[#This Row],[BW40_3705]],"")</f>
        <v/>
      </c>
      <c r="G9326" s="2" t="str">
        <f>IF(Table1[[#This Row],[Is Data Valid]]=TRUE,((Table1[[#This Row],[Birthweight (grams)]]/Table1[[#This Row],[BW_GA]])-1)/(Backend!$B$4/100*Table1[[#This Row],[BW40_3705]]),"")</f>
        <v/>
      </c>
      <c r="H9326" s="7" t="str">
        <f>IF(Table1[[#This Row],[Is Data Valid]]=TRUE,((Table1[[#This Row],[Birthweight (grams)]]*0.9/Table1[[#This Row],[BW_GA]])-1)/(Backend!$B$4/100*Table1[[#This Row],[BW40_3705]]),"")</f>
        <v/>
      </c>
      <c r="I9326" s="7" t="str">
        <f>IF(Table1[[#This Row],[Is Data Valid]]=TRUE,((Table1[[#This Row],[Birthweight (grams)]]*1.1/Table1[[#This Row],[BW_GA]])-1)/(Backend!$B$4/100*Table1[[#This Row],[BW40_3705]]),"")</f>
        <v/>
      </c>
      <c r="J9326" s="7" t="str">
        <f>IF(Table1[[#This Row],[Is Data Valid]]=TRUE,_xlfn.NORM.S.DIST(Table1[[#This Row],[Birthweight Z-Score]],TRUE)*100,"")</f>
        <v/>
      </c>
      <c r="K9326" s="7" t="str">
        <f>IF(Table1[[#This Row],[Is Data Valid]]=TRUE,_xlfn.NORM.S.DIST(Table1[[#This Row],[Birthweight Z-Score (BW-10%)]],TRUE)*100,"")</f>
        <v/>
      </c>
      <c r="L9326" s="7" t="str">
        <f>IF(Table1[[#This Row],[Is Data Valid]]=TRUE,_xlfn.NORM.S.DIST(Table1[[#This Row],[Birthweight Z-Score (BW+10%)]],TRUE)*100,"")</f>
        <v/>
      </c>
    </row>
    <row r="9327" spans="1:12" x14ac:dyDescent="0.35">
      <c r="A9327" s="3"/>
      <c r="B9327" s="2"/>
      <c r="C9327" s="2"/>
      <c r="D9327" s="2" t="b">
        <f>IF(AND(NOT(ISBLANK(Table1[[#This Row],[Fetal Sex (Male, Female or Unknown)]])),ISNUMBER(Table1[[#This Row],[Birthweight (grams)]]),ISNUMBER(Table1[[#This Row],[Gestation (days)]])),TRUE,FALSE)</f>
        <v>0</v>
      </c>
      <c r="E9327" s="2" t="str">
        <f>IF(Table1[[#This Row],[Is Data Valid]]=TRUE,IF(Table1[[#This Row],[Fetal Sex (Male, Female or Unknown)]]="Male",Backend!$C$6,IF(Table1[[#This Row],[Fetal Sex (Male, Female or Unknown)]]="Female",Backend!$C$7,IF(Table1[[#This Row],[Fetal Sex (Male, Female or Unknown)]]="Unknown",Backend!$C$8,"Error"))),"")</f>
        <v/>
      </c>
      <c r="F9327" s="8" t="str">
        <f>IF(Table1[[#This Row],[Is Data Valid]]=TRUE,EXP(0.578+0.332*((Table1[[#This Row],[Gestation (days)]]+0.5)/7)-0.00354*((Table1[[#This Row],[Gestation (days)]]+0.5)/7)^2)*Table1[[#This Row],[BW40_3705]],"")</f>
        <v/>
      </c>
      <c r="G9327" s="2" t="str">
        <f>IF(Table1[[#This Row],[Is Data Valid]]=TRUE,((Table1[[#This Row],[Birthweight (grams)]]/Table1[[#This Row],[BW_GA]])-1)/(Backend!$B$4/100*Table1[[#This Row],[BW40_3705]]),"")</f>
        <v/>
      </c>
      <c r="H9327" s="7" t="str">
        <f>IF(Table1[[#This Row],[Is Data Valid]]=TRUE,((Table1[[#This Row],[Birthweight (grams)]]*0.9/Table1[[#This Row],[BW_GA]])-1)/(Backend!$B$4/100*Table1[[#This Row],[BW40_3705]]),"")</f>
        <v/>
      </c>
      <c r="I9327" s="7" t="str">
        <f>IF(Table1[[#This Row],[Is Data Valid]]=TRUE,((Table1[[#This Row],[Birthweight (grams)]]*1.1/Table1[[#This Row],[BW_GA]])-1)/(Backend!$B$4/100*Table1[[#This Row],[BW40_3705]]),"")</f>
        <v/>
      </c>
      <c r="J9327" s="7" t="str">
        <f>IF(Table1[[#This Row],[Is Data Valid]]=TRUE,_xlfn.NORM.S.DIST(Table1[[#This Row],[Birthweight Z-Score]],TRUE)*100,"")</f>
        <v/>
      </c>
      <c r="K9327" s="7" t="str">
        <f>IF(Table1[[#This Row],[Is Data Valid]]=TRUE,_xlfn.NORM.S.DIST(Table1[[#This Row],[Birthweight Z-Score (BW-10%)]],TRUE)*100,"")</f>
        <v/>
      </c>
      <c r="L9327" s="7" t="str">
        <f>IF(Table1[[#This Row],[Is Data Valid]]=TRUE,_xlfn.NORM.S.DIST(Table1[[#This Row],[Birthweight Z-Score (BW+10%)]],TRUE)*100,"")</f>
        <v/>
      </c>
    </row>
    <row r="9328" spans="1:12" x14ac:dyDescent="0.35">
      <c r="A9328" s="3"/>
      <c r="B9328" s="2"/>
      <c r="C9328" s="2"/>
      <c r="D9328" s="2" t="b">
        <f>IF(AND(NOT(ISBLANK(Table1[[#This Row],[Fetal Sex (Male, Female or Unknown)]])),ISNUMBER(Table1[[#This Row],[Birthweight (grams)]]),ISNUMBER(Table1[[#This Row],[Gestation (days)]])),TRUE,FALSE)</f>
        <v>0</v>
      </c>
      <c r="E9328" s="2" t="str">
        <f>IF(Table1[[#This Row],[Is Data Valid]]=TRUE,IF(Table1[[#This Row],[Fetal Sex (Male, Female or Unknown)]]="Male",Backend!$C$6,IF(Table1[[#This Row],[Fetal Sex (Male, Female or Unknown)]]="Female",Backend!$C$7,IF(Table1[[#This Row],[Fetal Sex (Male, Female or Unknown)]]="Unknown",Backend!$C$8,"Error"))),"")</f>
        <v/>
      </c>
      <c r="F9328" s="8" t="str">
        <f>IF(Table1[[#This Row],[Is Data Valid]]=TRUE,EXP(0.578+0.332*((Table1[[#This Row],[Gestation (days)]]+0.5)/7)-0.00354*((Table1[[#This Row],[Gestation (days)]]+0.5)/7)^2)*Table1[[#This Row],[BW40_3705]],"")</f>
        <v/>
      </c>
      <c r="G9328" s="2" t="str">
        <f>IF(Table1[[#This Row],[Is Data Valid]]=TRUE,((Table1[[#This Row],[Birthweight (grams)]]/Table1[[#This Row],[BW_GA]])-1)/(Backend!$B$4/100*Table1[[#This Row],[BW40_3705]]),"")</f>
        <v/>
      </c>
      <c r="H9328" s="7" t="str">
        <f>IF(Table1[[#This Row],[Is Data Valid]]=TRUE,((Table1[[#This Row],[Birthweight (grams)]]*0.9/Table1[[#This Row],[BW_GA]])-1)/(Backend!$B$4/100*Table1[[#This Row],[BW40_3705]]),"")</f>
        <v/>
      </c>
      <c r="I9328" s="7" t="str">
        <f>IF(Table1[[#This Row],[Is Data Valid]]=TRUE,((Table1[[#This Row],[Birthweight (grams)]]*1.1/Table1[[#This Row],[BW_GA]])-1)/(Backend!$B$4/100*Table1[[#This Row],[BW40_3705]]),"")</f>
        <v/>
      </c>
      <c r="J9328" s="7" t="str">
        <f>IF(Table1[[#This Row],[Is Data Valid]]=TRUE,_xlfn.NORM.S.DIST(Table1[[#This Row],[Birthweight Z-Score]],TRUE)*100,"")</f>
        <v/>
      </c>
      <c r="K9328" s="7" t="str">
        <f>IF(Table1[[#This Row],[Is Data Valid]]=TRUE,_xlfn.NORM.S.DIST(Table1[[#This Row],[Birthweight Z-Score (BW-10%)]],TRUE)*100,"")</f>
        <v/>
      </c>
      <c r="L9328" s="7" t="str">
        <f>IF(Table1[[#This Row],[Is Data Valid]]=TRUE,_xlfn.NORM.S.DIST(Table1[[#This Row],[Birthweight Z-Score (BW+10%)]],TRUE)*100,"")</f>
        <v/>
      </c>
    </row>
    <row r="9329" spans="1:12" x14ac:dyDescent="0.35">
      <c r="A9329" s="3"/>
      <c r="B9329" s="2"/>
      <c r="C9329" s="2"/>
      <c r="D9329" s="2" t="b">
        <f>IF(AND(NOT(ISBLANK(Table1[[#This Row],[Fetal Sex (Male, Female or Unknown)]])),ISNUMBER(Table1[[#This Row],[Birthweight (grams)]]),ISNUMBER(Table1[[#This Row],[Gestation (days)]])),TRUE,FALSE)</f>
        <v>0</v>
      </c>
      <c r="E9329" s="2" t="str">
        <f>IF(Table1[[#This Row],[Is Data Valid]]=TRUE,IF(Table1[[#This Row],[Fetal Sex (Male, Female or Unknown)]]="Male",Backend!$C$6,IF(Table1[[#This Row],[Fetal Sex (Male, Female or Unknown)]]="Female",Backend!$C$7,IF(Table1[[#This Row],[Fetal Sex (Male, Female or Unknown)]]="Unknown",Backend!$C$8,"Error"))),"")</f>
        <v/>
      </c>
      <c r="F9329" s="8" t="str">
        <f>IF(Table1[[#This Row],[Is Data Valid]]=TRUE,EXP(0.578+0.332*((Table1[[#This Row],[Gestation (days)]]+0.5)/7)-0.00354*((Table1[[#This Row],[Gestation (days)]]+0.5)/7)^2)*Table1[[#This Row],[BW40_3705]],"")</f>
        <v/>
      </c>
      <c r="G9329" s="2" t="str">
        <f>IF(Table1[[#This Row],[Is Data Valid]]=TRUE,((Table1[[#This Row],[Birthweight (grams)]]/Table1[[#This Row],[BW_GA]])-1)/(Backend!$B$4/100*Table1[[#This Row],[BW40_3705]]),"")</f>
        <v/>
      </c>
      <c r="H9329" s="7" t="str">
        <f>IF(Table1[[#This Row],[Is Data Valid]]=TRUE,((Table1[[#This Row],[Birthweight (grams)]]*0.9/Table1[[#This Row],[BW_GA]])-1)/(Backend!$B$4/100*Table1[[#This Row],[BW40_3705]]),"")</f>
        <v/>
      </c>
      <c r="I9329" s="7" t="str">
        <f>IF(Table1[[#This Row],[Is Data Valid]]=TRUE,((Table1[[#This Row],[Birthweight (grams)]]*1.1/Table1[[#This Row],[BW_GA]])-1)/(Backend!$B$4/100*Table1[[#This Row],[BW40_3705]]),"")</f>
        <v/>
      </c>
      <c r="J9329" s="7" t="str">
        <f>IF(Table1[[#This Row],[Is Data Valid]]=TRUE,_xlfn.NORM.S.DIST(Table1[[#This Row],[Birthweight Z-Score]],TRUE)*100,"")</f>
        <v/>
      </c>
      <c r="K9329" s="7" t="str">
        <f>IF(Table1[[#This Row],[Is Data Valid]]=TRUE,_xlfn.NORM.S.DIST(Table1[[#This Row],[Birthweight Z-Score (BW-10%)]],TRUE)*100,"")</f>
        <v/>
      </c>
      <c r="L9329" s="7" t="str">
        <f>IF(Table1[[#This Row],[Is Data Valid]]=TRUE,_xlfn.NORM.S.DIST(Table1[[#This Row],[Birthweight Z-Score (BW+10%)]],TRUE)*100,"")</f>
        <v/>
      </c>
    </row>
    <row r="9330" spans="1:12" x14ac:dyDescent="0.35">
      <c r="A9330" s="3"/>
      <c r="B9330" s="2"/>
      <c r="C9330" s="2"/>
      <c r="D9330" s="2" t="b">
        <f>IF(AND(NOT(ISBLANK(Table1[[#This Row],[Fetal Sex (Male, Female or Unknown)]])),ISNUMBER(Table1[[#This Row],[Birthweight (grams)]]),ISNUMBER(Table1[[#This Row],[Gestation (days)]])),TRUE,FALSE)</f>
        <v>0</v>
      </c>
      <c r="E9330" s="2" t="str">
        <f>IF(Table1[[#This Row],[Is Data Valid]]=TRUE,IF(Table1[[#This Row],[Fetal Sex (Male, Female or Unknown)]]="Male",Backend!$C$6,IF(Table1[[#This Row],[Fetal Sex (Male, Female or Unknown)]]="Female",Backend!$C$7,IF(Table1[[#This Row],[Fetal Sex (Male, Female or Unknown)]]="Unknown",Backend!$C$8,"Error"))),"")</f>
        <v/>
      </c>
      <c r="F9330" s="8" t="str">
        <f>IF(Table1[[#This Row],[Is Data Valid]]=TRUE,EXP(0.578+0.332*((Table1[[#This Row],[Gestation (days)]]+0.5)/7)-0.00354*((Table1[[#This Row],[Gestation (days)]]+0.5)/7)^2)*Table1[[#This Row],[BW40_3705]],"")</f>
        <v/>
      </c>
      <c r="G9330" s="2" t="str">
        <f>IF(Table1[[#This Row],[Is Data Valid]]=TRUE,((Table1[[#This Row],[Birthweight (grams)]]/Table1[[#This Row],[BW_GA]])-1)/(Backend!$B$4/100*Table1[[#This Row],[BW40_3705]]),"")</f>
        <v/>
      </c>
      <c r="H9330" s="7" t="str">
        <f>IF(Table1[[#This Row],[Is Data Valid]]=TRUE,((Table1[[#This Row],[Birthweight (grams)]]*0.9/Table1[[#This Row],[BW_GA]])-1)/(Backend!$B$4/100*Table1[[#This Row],[BW40_3705]]),"")</f>
        <v/>
      </c>
      <c r="I9330" s="7" t="str">
        <f>IF(Table1[[#This Row],[Is Data Valid]]=TRUE,((Table1[[#This Row],[Birthweight (grams)]]*1.1/Table1[[#This Row],[BW_GA]])-1)/(Backend!$B$4/100*Table1[[#This Row],[BW40_3705]]),"")</f>
        <v/>
      </c>
      <c r="J9330" s="7" t="str">
        <f>IF(Table1[[#This Row],[Is Data Valid]]=TRUE,_xlfn.NORM.S.DIST(Table1[[#This Row],[Birthweight Z-Score]],TRUE)*100,"")</f>
        <v/>
      </c>
      <c r="K9330" s="7" t="str">
        <f>IF(Table1[[#This Row],[Is Data Valid]]=TRUE,_xlfn.NORM.S.DIST(Table1[[#This Row],[Birthweight Z-Score (BW-10%)]],TRUE)*100,"")</f>
        <v/>
      </c>
      <c r="L9330" s="7" t="str">
        <f>IF(Table1[[#This Row],[Is Data Valid]]=TRUE,_xlfn.NORM.S.DIST(Table1[[#This Row],[Birthweight Z-Score (BW+10%)]],TRUE)*100,"")</f>
        <v/>
      </c>
    </row>
    <row r="9331" spans="1:12" x14ac:dyDescent="0.35">
      <c r="A9331" s="3"/>
      <c r="B9331" s="2"/>
      <c r="C9331" s="2"/>
      <c r="D9331" s="2" t="b">
        <f>IF(AND(NOT(ISBLANK(Table1[[#This Row],[Fetal Sex (Male, Female or Unknown)]])),ISNUMBER(Table1[[#This Row],[Birthweight (grams)]]),ISNUMBER(Table1[[#This Row],[Gestation (days)]])),TRUE,FALSE)</f>
        <v>0</v>
      </c>
      <c r="E9331" s="2" t="str">
        <f>IF(Table1[[#This Row],[Is Data Valid]]=TRUE,IF(Table1[[#This Row],[Fetal Sex (Male, Female or Unknown)]]="Male",Backend!$C$6,IF(Table1[[#This Row],[Fetal Sex (Male, Female or Unknown)]]="Female",Backend!$C$7,IF(Table1[[#This Row],[Fetal Sex (Male, Female or Unknown)]]="Unknown",Backend!$C$8,"Error"))),"")</f>
        <v/>
      </c>
      <c r="F9331" s="8" t="str">
        <f>IF(Table1[[#This Row],[Is Data Valid]]=TRUE,EXP(0.578+0.332*((Table1[[#This Row],[Gestation (days)]]+0.5)/7)-0.00354*((Table1[[#This Row],[Gestation (days)]]+0.5)/7)^2)*Table1[[#This Row],[BW40_3705]],"")</f>
        <v/>
      </c>
      <c r="G9331" s="2" t="str">
        <f>IF(Table1[[#This Row],[Is Data Valid]]=TRUE,((Table1[[#This Row],[Birthweight (grams)]]/Table1[[#This Row],[BW_GA]])-1)/(Backend!$B$4/100*Table1[[#This Row],[BW40_3705]]),"")</f>
        <v/>
      </c>
      <c r="H9331" s="7" t="str">
        <f>IF(Table1[[#This Row],[Is Data Valid]]=TRUE,((Table1[[#This Row],[Birthweight (grams)]]*0.9/Table1[[#This Row],[BW_GA]])-1)/(Backend!$B$4/100*Table1[[#This Row],[BW40_3705]]),"")</f>
        <v/>
      </c>
      <c r="I9331" s="7" t="str">
        <f>IF(Table1[[#This Row],[Is Data Valid]]=TRUE,((Table1[[#This Row],[Birthweight (grams)]]*1.1/Table1[[#This Row],[BW_GA]])-1)/(Backend!$B$4/100*Table1[[#This Row],[BW40_3705]]),"")</f>
        <v/>
      </c>
      <c r="J9331" s="7" t="str">
        <f>IF(Table1[[#This Row],[Is Data Valid]]=TRUE,_xlfn.NORM.S.DIST(Table1[[#This Row],[Birthweight Z-Score]],TRUE)*100,"")</f>
        <v/>
      </c>
      <c r="K9331" s="7" t="str">
        <f>IF(Table1[[#This Row],[Is Data Valid]]=TRUE,_xlfn.NORM.S.DIST(Table1[[#This Row],[Birthweight Z-Score (BW-10%)]],TRUE)*100,"")</f>
        <v/>
      </c>
      <c r="L9331" s="7" t="str">
        <f>IF(Table1[[#This Row],[Is Data Valid]]=TRUE,_xlfn.NORM.S.DIST(Table1[[#This Row],[Birthweight Z-Score (BW+10%)]],TRUE)*100,"")</f>
        <v/>
      </c>
    </row>
    <row r="9332" spans="1:12" x14ac:dyDescent="0.35">
      <c r="A9332" s="3"/>
      <c r="B9332" s="2"/>
      <c r="C9332" s="2"/>
      <c r="D9332" s="2" t="b">
        <f>IF(AND(NOT(ISBLANK(Table1[[#This Row],[Fetal Sex (Male, Female or Unknown)]])),ISNUMBER(Table1[[#This Row],[Birthweight (grams)]]),ISNUMBER(Table1[[#This Row],[Gestation (days)]])),TRUE,FALSE)</f>
        <v>0</v>
      </c>
      <c r="E9332" s="2" t="str">
        <f>IF(Table1[[#This Row],[Is Data Valid]]=TRUE,IF(Table1[[#This Row],[Fetal Sex (Male, Female or Unknown)]]="Male",Backend!$C$6,IF(Table1[[#This Row],[Fetal Sex (Male, Female or Unknown)]]="Female",Backend!$C$7,IF(Table1[[#This Row],[Fetal Sex (Male, Female or Unknown)]]="Unknown",Backend!$C$8,"Error"))),"")</f>
        <v/>
      </c>
      <c r="F9332" s="8" t="str">
        <f>IF(Table1[[#This Row],[Is Data Valid]]=TRUE,EXP(0.578+0.332*((Table1[[#This Row],[Gestation (days)]]+0.5)/7)-0.00354*((Table1[[#This Row],[Gestation (days)]]+0.5)/7)^2)*Table1[[#This Row],[BW40_3705]],"")</f>
        <v/>
      </c>
      <c r="G9332" s="2" t="str">
        <f>IF(Table1[[#This Row],[Is Data Valid]]=TRUE,((Table1[[#This Row],[Birthweight (grams)]]/Table1[[#This Row],[BW_GA]])-1)/(Backend!$B$4/100*Table1[[#This Row],[BW40_3705]]),"")</f>
        <v/>
      </c>
      <c r="H9332" s="7" t="str">
        <f>IF(Table1[[#This Row],[Is Data Valid]]=TRUE,((Table1[[#This Row],[Birthweight (grams)]]*0.9/Table1[[#This Row],[BW_GA]])-1)/(Backend!$B$4/100*Table1[[#This Row],[BW40_3705]]),"")</f>
        <v/>
      </c>
      <c r="I9332" s="7" t="str">
        <f>IF(Table1[[#This Row],[Is Data Valid]]=TRUE,((Table1[[#This Row],[Birthweight (grams)]]*1.1/Table1[[#This Row],[BW_GA]])-1)/(Backend!$B$4/100*Table1[[#This Row],[BW40_3705]]),"")</f>
        <v/>
      </c>
      <c r="J9332" s="7" t="str">
        <f>IF(Table1[[#This Row],[Is Data Valid]]=TRUE,_xlfn.NORM.S.DIST(Table1[[#This Row],[Birthweight Z-Score]],TRUE)*100,"")</f>
        <v/>
      </c>
      <c r="K9332" s="7" t="str">
        <f>IF(Table1[[#This Row],[Is Data Valid]]=TRUE,_xlfn.NORM.S.DIST(Table1[[#This Row],[Birthweight Z-Score (BW-10%)]],TRUE)*100,"")</f>
        <v/>
      </c>
      <c r="L9332" s="7" t="str">
        <f>IF(Table1[[#This Row],[Is Data Valid]]=TRUE,_xlfn.NORM.S.DIST(Table1[[#This Row],[Birthweight Z-Score (BW+10%)]],TRUE)*100,"")</f>
        <v/>
      </c>
    </row>
    <row r="9333" spans="1:12" x14ac:dyDescent="0.35">
      <c r="A9333" s="3"/>
      <c r="B9333" s="2"/>
      <c r="C9333" s="2"/>
      <c r="D9333" s="2" t="b">
        <f>IF(AND(NOT(ISBLANK(Table1[[#This Row],[Fetal Sex (Male, Female or Unknown)]])),ISNUMBER(Table1[[#This Row],[Birthweight (grams)]]),ISNUMBER(Table1[[#This Row],[Gestation (days)]])),TRUE,FALSE)</f>
        <v>0</v>
      </c>
      <c r="E9333" s="2" t="str">
        <f>IF(Table1[[#This Row],[Is Data Valid]]=TRUE,IF(Table1[[#This Row],[Fetal Sex (Male, Female or Unknown)]]="Male",Backend!$C$6,IF(Table1[[#This Row],[Fetal Sex (Male, Female or Unknown)]]="Female",Backend!$C$7,IF(Table1[[#This Row],[Fetal Sex (Male, Female or Unknown)]]="Unknown",Backend!$C$8,"Error"))),"")</f>
        <v/>
      </c>
      <c r="F9333" s="8" t="str">
        <f>IF(Table1[[#This Row],[Is Data Valid]]=TRUE,EXP(0.578+0.332*((Table1[[#This Row],[Gestation (days)]]+0.5)/7)-0.00354*((Table1[[#This Row],[Gestation (days)]]+0.5)/7)^2)*Table1[[#This Row],[BW40_3705]],"")</f>
        <v/>
      </c>
      <c r="G9333" s="2" t="str">
        <f>IF(Table1[[#This Row],[Is Data Valid]]=TRUE,((Table1[[#This Row],[Birthweight (grams)]]/Table1[[#This Row],[BW_GA]])-1)/(Backend!$B$4/100*Table1[[#This Row],[BW40_3705]]),"")</f>
        <v/>
      </c>
      <c r="H9333" s="7" t="str">
        <f>IF(Table1[[#This Row],[Is Data Valid]]=TRUE,((Table1[[#This Row],[Birthweight (grams)]]*0.9/Table1[[#This Row],[BW_GA]])-1)/(Backend!$B$4/100*Table1[[#This Row],[BW40_3705]]),"")</f>
        <v/>
      </c>
      <c r="I9333" s="7" t="str">
        <f>IF(Table1[[#This Row],[Is Data Valid]]=TRUE,((Table1[[#This Row],[Birthweight (grams)]]*1.1/Table1[[#This Row],[BW_GA]])-1)/(Backend!$B$4/100*Table1[[#This Row],[BW40_3705]]),"")</f>
        <v/>
      </c>
      <c r="J9333" s="7" t="str">
        <f>IF(Table1[[#This Row],[Is Data Valid]]=TRUE,_xlfn.NORM.S.DIST(Table1[[#This Row],[Birthweight Z-Score]],TRUE)*100,"")</f>
        <v/>
      </c>
      <c r="K9333" s="7" t="str">
        <f>IF(Table1[[#This Row],[Is Data Valid]]=TRUE,_xlfn.NORM.S.DIST(Table1[[#This Row],[Birthweight Z-Score (BW-10%)]],TRUE)*100,"")</f>
        <v/>
      </c>
      <c r="L9333" s="7" t="str">
        <f>IF(Table1[[#This Row],[Is Data Valid]]=TRUE,_xlfn.NORM.S.DIST(Table1[[#This Row],[Birthweight Z-Score (BW+10%)]],TRUE)*100,"")</f>
        <v/>
      </c>
    </row>
    <row r="9334" spans="1:12" x14ac:dyDescent="0.35">
      <c r="A9334" s="3"/>
      <c r="B9334" s="2"/>
      <c r="C9334" s="2"/>
      <c r="D9334" s="2" t="b">
        <f>IF(AND(NOT(ISBLANK(Table1[[#This Row],[Fetal Sex (Male, Female or Unknown)]])),ISNUMBER(Table1[[#This Row],[Birthweight (grams)]]),ISNUMBER(Table1[[#This Row],[Gestation (days)]])),TRUE,FALSE)</f>
        <v>0</v>
      </c>
      <c r="E9334" s="2" t="str">
        <f>IF(Table1[[#This Row],[Is Data Valid]]=TRUE,IF(Table1[[#This Row],[Fetal Sex (Male, Female or Unknown)]]="Male",Backend!$C$6,IF(Table1[[#This Row],[Fetal Sex (Male, Female or Unknown)]]="Female",Backend!$C$7,IF(Table1[[#This Row],[Fetal Sex (Male, Female or Unknown)]]="Unknown",Backend!$C$8,"Error"))),"")</f>
        <v/>
      </c>
      <c r="F9334" s="8" t="str">
        <f>IF(Table1[[#This Row],[Is Data Valid]]=TRUE,EXP(0.578+0.332*((Table1[[#This Row],[Gestation (days)]]+0.5)/7)-0.00354*((Table1[[#This Row],[Gestation (days)]]+0.5)/7)^2)*Table1[[#This Row],[BW40_3705]],"")</f>
        <v/>
      </c>
      <c r="G9334" s="2" t="str">
        <f>IF(Table1[[#This Row],[Is Data Valid]]=TRUE,((Table1[[#This Row],[Birthweight (grams)]]/Table1[[#This Row],[BW_GA]])-1)/(Backend!$B$4/100*Table1[[#This Row],[BW40_3705]]),"")</f>
        <v/>
      </c>
      <c r="H9334" s="7" t="str">
        <f>IF(Table1[[#This Row],[Is Data Valid]]=TRUE,((Table1[[#This Row],[Birthweight (grams)]]*0.9/Table1[[#This Row],[BW_GA]])-1)/(Backend!$B$4/100*Table1[[#This Row],[BW40_3705]]),"")</f>
        <v/>
      </c>
      <c r="I9334" s="7" t="str">
        <f>IF(Table1[[#This Row],[Is Data Valid]]=TRUE,((Table1[[#This Row],[Birthweight (grams)]]*1.1/Table1[[#This Row],[BW_GA]])-1)/(Backend!$B$4/100*Table1[[#This Row],[BW40_3705]]),"")</f>
        <v/>
      </c>
      <c r="J9334" s="7" t="str">
        <f>IF(Table1[[#This Row],[Is Data Valid]]=TRUE,_xlfn.NORM.S.DIST(Table1[[#This Row],[Birthweight Z-Score]],TRUE)*100,"")</f>
        <v/>
      </c>
      <c r="K9334" s="7" t="str">
        <f>IF(Table1[[#This Row],[Is Data Valid]]=TRUE,_xlfn.NORM.S.DIST(Table1[[#This Row],[Birthweight Z-Score (BW-10%)]],TRUE)*100,"")</f>
        <v/>
      </c>
      <c r="L9334" s="7" t="str">
        <f>IF(Table1[[#This Row],[Is Data Valid]]=TRUE,_xlfn.NORM.S.DIST(Table1[[#This Row],[Birthweight Z-Score (BW+10%)]],TRUE)*100,"")</f>
        <v/>
      </c>
    </row>
    <row r="9335" spans="1:12" x14ac:dyDescent="0.35">
      <c r="A9335" s="3"/>
      <c r="B9335" s="2"/>
      <c r="C9335" s="2"/>
      <c r="D9335" s="2" t="b">
        <f>IF(AND(NOT(ISBLANK(Table1[[#This Row],[Fetal Sex (Male, Female or Unknown)]])),ISNUMBER(Table1[[#This Row],[Birthweight (grams)]]),ISNUMBER(Table1[[#This Row],[Gestation (days)]])),TRUE,FALSE)</f>
        <v>0</v>
      </c>
      <c r="E9335" s="2" t="str">
        <f>IF(Table1[[#This Row],[Is Data Valid]]=TRUE,IF(Table1[[#This Row],[Fetal Sex (Male, Female or Unknown)]]="Male",Backend!$C$6,IF(Table1[[#This Row],[Fetal Sex (Male, Female or Unknown)]]="Female",Backend!$C$7,IF(Table1[[#This Row],[Fetal Sex (Male, Female or Unknown)]]="Unknown",Backend!$C$8,"Error"))),"")</f>
        <v/>
      </c>
      <c r="F9335" s="8" t="str">
        <f>IF(Table1[[#This Row],[Is Data Valid]]=TRUE,EXP(0.578+0.332*((Table1[[#This Row],[Gestation (days)]]+0.5)/7)-0.00354*((Table1[[#This Row],[Gestation (days)]]+0.5)/7)^2)*Table1[[#This Row],[BW40_3705]],"")</f>
        <v/>
      </c>
      <c r="G9335" s="2" t="str">
        <f>IF(Table1[[#This Row],[Is Data Valid]]=TRUE,((Table1[[#This Row],[Birthweight (grams)]]/Table1[[#This Row],[BW_GA]])-1)/(Backend!$B$4/100*Table1[[#This Row],[BW40_3705]]),"")</f>
        <v/>
      </c>
      <c r="H9335" s="7" t="str">
        <f>IF(Table1[[#This Row],[Is Data Valid]]=TRUE,((Table1[[#This Row],[Birthweight (grams)]]*0.9/Table1[[#This Row],[BW_GA]])-1)/(Backend!$B$4/100*Table1[[#This Row],[BW40_3705]]),"")</f>
        <v/>
      </c>
      <c r="I9335" s="7" t="str">
        <f>IF(Table1[[#This Row],[Is Data Valid]]=TRUE,((Table1[[#This Row],[Birthweight (grams)]]*1.1/Table1[[#This Row],[BW_GA]])-1)/(Backend!$B$4/100*Table1[[#This Row],[BW40_3705]]),"")</f>
        <v/>
      </c>
      <c r="J9335" s="7" t="str">
        <f>IF(Table1[[#This Row],[Is Data Valid]]=TRUE,_xlfn.NORM.S.DIST(Table1[[#This Row],[Birthweight Z-Score]],TRUE)*100,"")</f>
        <v/>
      </c>
      <c r="K9335" s="7" t="str">
        <f>IF(Table1[[#This Row],[Is Data Valid]]=TRUE,_xlfn.NORM.S.DIST(Table1[[#This Row],[Birthweight Z-Score (BW-10%)]],TRUE)*100,"")</f>
        <v/>
      </c>
      <c r="L9335" s="7" t="str">
        <f>IF(Table1[[#This Row],[Is Data Valid]]=TRUE,_xlfn.NORM.S.DIST(Table1[[#This Row],[Birthweight Z-Score (BW+10%)]],TRUE)*100,"")</f>
        <v/>
      </c>
    </row>
    <row r="9336" spans="1:12" x14ac:dyDescent="0.35">
      <c r="A9336" s="3"/>
      <c r="B9336" s="2"/>
      <c r="C9336" s="2"/>
      <c r="D9336" s="2" t="b">
        <f>IF(AND(NOT(ISBLANK(Table1[[#This Row],[Fetal Sex (Male, Female or Unknown)]])),ISNUMBER(Table1[[#This Row],[Birthweight (grams)]]),ISNUMBER(Table1[[#This Row],[Gestation (days)]])),TRUE,FALSE)</f>
        <v>0</v>
      </c>
      <c r="E9336" s="2" t="str">
        <f>IF(Table1[[#This Row],[Is Data Valid]]=TRUE,IF(Table1[[#This Row],[Fetal Sex (Male, Female or Unknown)]]="Male",Backend!$C$6,IF(Table1[[#This Row],[Fetal Sex (Male, Female or Unknown)]]="Female",Backend!$C$7,IF(Table1[[#This Row],[Fetal Sex (Male, Female or Unknown)]]="Unknown",Backend!$C$8,"Error"))),"")</f>
        <v/>
      </c>
      <c r="F9336" s="8" t="str">
        <f>IF(Table1[[#This Row],[Is Data Valid]]=TRUE,EXP(0.578+0.332*((Table1[[#This Row],[Gestation (days)]]+0.5)/7)-0.00354*((Table1[[#This Row],[Gestation (days)]]+0.5)/7)^2)*Table1[[#This Row],[BW40_3705]],"")</f>
        <v/>
      </c>
      <c r="G9336" s="2" t="str">
        <f>IF(Table1[[#This Row],[Is Data Valid]]=TRUE,((Table1[[#This Row],[Birthweight (grams)]]/Table1[[#This Row],[BW_GA]])-1)/(Backend!$B$4/100*Table1[[#This Row],[BW40_3705]]),"")</f>
        <v/>
      </c>
      <c r="H9336" s="7" t="str">
        <f>IF(Table1[[#This Row],[Is Data Valid]]=TRUE,((Table1[[#This Row],[Birthweight (grams)]]*0.9/Table1[[#This Row],[BW_GA]])-1)/(Backend!$B$4/100*Table1[[#This Row],[BW40_3705]]),"")</f>
        <v/>
      </c>
      <c r="I9336" s="7" t="str">
        <f>IF(Table1[[#This Row],[Is Data Valid]]=TRUE,((Table1[[#This Row],[Birthweight (grams)]]*1.1/Table1[[#This Row],[BW_GA]])-1)/(Backend!$B$4/100*Table1[[#This Row],[BW40_3705]]),"")</f>
        <v/>
      </c>
      <c r="J9336" s="7" t="str">
        <f>IF(Table1[[#This Row],[Is Data Valid]]=TRUE,_xlfn.NORM.S.DIST(Table1[[#This Row],[Birthweight Z-Score]],TRUE)*100,"")</f>
        <v/>
      </c>
      <c r="K9336" s="7" t="str">
        <f>IF(Table1[[#This Row],[Is Data Valid]]=TRUE,_xlfn.NORM.S.DIST(Table1[[#This Row],[Birthweight Z-Score (BW-10%)]],TRUE)*100,"")</f>
        <v/>
      </c>
      <c r="L9336" s="7" t="str">
        <f>IF(Table1[[#This Row],[Is Data Valid]]=TRUE,_xlfn.NORM.S.DIST(Table1[[#This Row],[Birthweight Z-Score (BW+10%)]],TRUE)*100,"")</f>
        <v/>
      </c>
    </row>
    <row r="9337" spans="1:12" x14ac:dyDescent="0.35">
      <c r="A9337" s="3"/>
      <c r="B9337" s="2"/>
      <c r="C9337" s="2"/>
      <c r="D9337" s="2" t="b">
        <f>IF(AND(NOT(ISBLANK(Table1[[#This Row],[Fetal Sex (Male, Female or Unknown)]])),ISNUMBER(Table1[[#This Row],[Birthweight (grams)]]),ISNUMBER(Table1[[#This Row],[Gestation (days)]])),TRUE,FALSE)</f>
        <v>0</v>
      </c>
      <c r="E9337" s="2" t="str">
        <f>IF(Table1[[#This Row],[Is Data Valid]]=TRUE,IF(Table1[[#This Row],[Fetal Sex (Male, Female or Unknown)]]="Male",Backend!$C$6,IF(Table1[[#This Row],[Fetal Sex (Male, Female or Unknown)]]="Female",Backend!$C$7,IF(Table1[[#This Row],[Fetal Sex (Male, Female or Unknown)]]="Unknown",Backend!$C$8,"Error"))),"")</f>
        <v/>
      </c>
      <c r="F9337" s="8" t="str">
        <f>IF(Table1[[#This Row],[Is Data Valid]]=TRUE,EXP(0.578+0.332*((Table1[[#This Row],[Gestation (days)]]+0.5)/7)-0.00354*((Table1[[#This Row],[Gestation (days)]]+0.5)/7)^2)*Table1[[#This Row],[BW40_3705]],"")</f>
        <v/>
      </c>
      <c r="G9337" s="2" t="str">
        <f>IF(Table1[[#This Row],[Is Data Valid]]=TRUE,((Table1[[#This Row],[Birthweight (grams)]]/Table1[[#This Row],[BW_GA]])-1)/(Backend!$B$4/100*Table1[[#This Row],[BW40_3705]]),"")</f>
        <v/>
      </c>
      <c r="H9337" s="7" t="str">
        <f>IF(Table1[[#This Row],[Is Data Valid]]=TRUE,((Table1[[#This Row],[Birthweight (grams)]]*0.9/Table1[[#This Row],[BW_GA]])-1)/(Backend!$B$4/100*Table1[[#This Row],[BW40_3705]]),"")</f>
        <v/>
      </c>
      <c r="I9337" s="7" t="str">
        <f>IF(Table1[[#This Row],[Is Data Valid]]=TRUE,((Table1[[#This Row],[Birthweight (grams)]]*1.1/Table1[[#This Row],[BW_GA]])-1)/(Backend!$B$4/100*Table1[[#This Row],[BW40_3705]]),"")</f>
        <v/>
      </c>
      <c r="J9337" s="7" t="str">
        <f>IF(Table1[[#This Row],[Is Data Valid]]=TRUE,_xlfn.NORM.S.DIST(Table1[[#This Row],[Birthweight Z-Score]],TRUE)*100,"")</f>
        <v/>
      </c>
      <c r="K9337" s="7" t="str">
        <f>IF(Table1[[#This Row],[Is Data Valid]]=TRUE,_xlfn.NORM.S.DIST(Table1[[#This Row],[Birthweight Z-Score (BW-10%)]],TRUE)*100,"")</f>
        <v/>
      </c>
      <c r="L9337" s="7" t="str">
        <f>IF(Table1[[#This Row],[Is Data Valid]]=TRUE,_xlfn.NORM.S.DIST(Table1[[#This Row],[Birthweight Z-Score (BW+10%)]],TRUE)*100,"")</f>
        <v/>
      </c>
    </row>
    <row r="9338" spans="1:12" x14ac:dyDescent="0.35">
      <c r="A9338" s="3"/>
      <c r="B9338" s="2"/>
      <c r="C9338" s="2"/>
      <c r="D9338" s="2" t="b">
        <f>IF(AND(NOT(ISBLANK(Table1[[#This Row],[Fetal Sex (Male, Female or Unknown)]])),ISNUMBER(Table1[[#This Row],[Birthweight (grams)]]),ISNUMBER(Table1[[#This Row],[Gestation (days)]])),TRUE,FALSE)</f>
        <v>0</v>
      </c>
      <c r="E9338" s="2" t="str">
        <f>IF(Table1[[#This Row],[Is Data Valid]]=TRUE,IF(Table1[[#This Row],[Fetal Sex (Male, Female or Unknown)]]="Male",Backend!$C$6,IF(Table1[[#This Row],[Fetal Sex (Male, Female or Unknown)]]="Female",Backend!$C$7,IF(Table1[[#This Row],[Fetal Sex (Male, Female or Unknown)]]="Unknown",Backend!$C$8,"Error"))),"")</f>
        <v/>
      </c>
      <c r="F9338" s="8" t="str">
        <f>IF(Table1[[#This Row],[Is Data Valid]]=TRUE,EXP(0.578+0.332*((Table1[[#This Row],[Gestation (days)]]+0.5)/7)-0.00354*((Table1[[#This Row],[Gestation (days)]]+0.5)/7)^2)*Table1[[#This Row],[BW40_3705]],"")</f>
        <v/>
      </c>
      <c r="G9338" s="2" t="str">
        <f>IF(Table1[[#This Row],[Is Data Valid]]=TRUE,((Table1[[#This Row],[Birthweight (grams)]]/Table1[[#This Row],[BW_GA]])-1)/(Backend!$B$4/100*Table1[[#This Row],[BW40_3705]]),"")</f>
        <v/>
      </c>
      <c r="H9338" s="7" t="str">
        <f>IF(Table1[[#This Row],[Is Data Valid]]=TRUE,((Table1[[#This Row],[Birthweight (grams)]]*0.9/Table1[[#This Row],[BW_GA]])-1)/(Backend!$B$4/100*Table1[[#This Row],[BW40_3705]]),"")</f>
        <v/>
      </c>
      <c r="I9338" s="7" t="str">
        <f>IF(Table1[[#This Row],[Is Data Valid]]=TRUE,((Table1[[#This Row],[Birthweight (grams)]]*1.1/Table1[[#This Row],[BW_GA]])-1)/(Backend!$B$4/100*Table1[[#This Row],[BW40_3705]]),"")</f>
        <v/>
      </c>
      <c r="J9338" s="7" t="str">
        <f>IF(Table1[[#This Row],[Is Data Valid]]=TRUE,_xlfn.NORM.S.DIST(Table1[[#This Row],[Birthweight Z-Score]],TRUE)*100,"")</f>
        <v/>
      </c>
      <c r="K9338" s="7" t="str">
        <f>IF(Table1[[#This Row],[Is Data Valid]]=TRUE,_xlfn.NORM.S.DIST(Table1[[#This Row],[Birthweight Z-Score (BW-10%)]],TRUE)*100,"")</f>
        <v/>
      </c>
      <c r="L9338" s="7" t="str">
        <f>IF(Table1[[#This Row],[Is Data Valid]]=TRUE,_xlfn.NORM.S.DIST(Table1[[#This Row],[Birthweight Z-Score (BW+10%)]],TRUE)*100,"")</f>
        <v/>
      </c>
    </row>
    <row r="9339" spans="1:12" x14ac:dyDescent="0.35">
      <c r="A9339" s="3"/>
      <c r="B9339" s="2"/>
      <c r="C9339" s="2"/>
      <c r="D9339" s="2" t="b">
        <f>IF(AND(NOT(ISBLANK(Table1[[#This Row],[Fetal Sex (Male, Female or Unknown)]])),ISNUMBER(Table1[[#This Row],[Birthweight (grams)]]),ISNUMBER(Table1[[#This Row],[Gestation (days)]])),TRUE,FALSE)</f>
        <v>0</v>
      </c>
      <c r="E9339" s="2" t="str">
        <f>IF(Table1[[#This Row],[Is Data Valid]]=TRUE,IF(Table1[[#This Row],[Fetal Sex (Male, Female or Unknown)]]="Male",Backend!$C$6,IF(Table1[[#This Row],[Fetal Sex (Male, Female or Unknown)]]="Female",Backend!$C$7,IF(Table1[[#This Row],[Fetal Sex (Male, Female or Unknown)]]="Unknown",Backend!$C$8,"Error"))),"")</f>
        <v/>
      </c>
      <c r="F9339" s="8" t="str">
        <f>IF(Table1[[#This Row],[Is Data Valid]]=TRUE,EXP(0.578+0.332*((Table1[[#This Row],[Gestation (days)]]+0.5)/7)-0.00354*((Table1[[#This Row],[Gestation (days)]]+0.5)/7)^2)*Table1[[#This Row],[BW40_3705]],"")</f>
        <v/>
      </c>
      <c r="G9339" s="2" t="str">
        <f>IF(Table1[[#This Row],[Is Data Valid]]=TRUE,((Table1[[#This Row],[Birthweight (grams)]]/Table1[[#This Row],[BW_GA]])-1)/(Backend!$B$4/100*Table1[[#This Row],[BW40_3705]]),"")</f>
        <v/>
      </c>
      <c r="H9339" s="7" t="str">
        <f>IF(Table1[[#This Row],[Is Data Valid]]=TRUE,((Table1[[#This Row],[Birthweight (grams)]]*0.9/Table1[[#This Row],[BW_GA]])-1)/(Backend!$B$4/100*Table1[[#This Row],[BW40_3705]]),"")</f>
        <v/>
      </c>
      <c r="I9339" s="7" t="str">
        <f>IF(Table1[[#This Row],[Is Data Valid]]=TRUE,((Table1[[#This Row],[Birthweight (grams)]]*1.1/Table1[[#This Row],[BW_GA]])-1)/(Backend!$B$4/100*Table1[[#This Row],[BW40_3705]]),"")</f>
        <v/>
      </c>
      <c r="J9339" s="7" t="str">
        <f>IF(Table1[[#This Row],[Is Data Valid]]=TRUE,_xlfn.NORM.S.DIST(Table1[[#This Row],[Birthweight Z-Score]],TRUE)*100,"")</f>
        <v/>
      </c>
      <c r="K9339" s="7" t="str">
        <f>IF(Table1[[#This Row],[Is Data Valid]]=TRUE,_xlfn.NORM.S.DIST(Table1[[#This Row],[Birthweight Z-Score (BW-10%)]],TRUE)*100,"")</f>
        <v/>
      </c>
      <c r="L9339" s="7" t="str">
        <f>IF(Table1[[#This Row],[Is Data Valid]]=TRUE,_xlfn.NORM.S.DIST(Table1[[#This Row],[Birthweight Z-Score (BW+10%)]],TRUE)*100,"")</f>
        <v/>
      </c>
    </row>
    <row r="9340" spans="1:12" x14ac:dyDescent="0.35">
      <c r="A9340" s="3"/>
      <c r="B9340" s="2"/>
      <c r="C9340" s="2"/>
      <c r="D9340" s="2" t="b">
        <f>IF(AND(NOT(ISBLANK(Table1[[#This Row],[Fetal Sex (Male, Female or Unknown)]])),ISNUMBER(Table1[[#This Row],[Birthweight (grams)]]),ISNUMBER(Table1[[#This Row],[Gestation (days)]])),TRUE,FALSE)</f>
        <v>0</v>
      </c>
      <c r="E9340" s="2" t="str">
        <f>IF(Table1[[#This Row],[Is Data Valid]]=TRUE,IF(Table1[[#This Row],[Fetal Sex (Male, Female or Unknown)]]="Male",Backend!$C$6,IF(Table1[[#This Row],[Fetal Sex (Male, Female or Unknown)]]="Female",Backend!$C$7,IF(Table1[[#This Row],[Fetal Sex (Male, Female or Unknown)]]="Unknown",Backend!$C$8,"Error"))),"")</f>
        <v/>
      </c>
      <c r="F9340" s="8" t="str">
        <f>IF(Table1[[#This Row],[Is Data Valid]]=TRUE,EXP(0.578+0.332*((Table1[[#This Row],[Gestation (days)]]+0.5)/7)-0.00354*((Table1[[#This Row],[Gestation (days)]]+0.5)/7)^2)*Table1[[#This Row],[BW40_3705]],"")</f>
        <v/>
      </c>
      <c r="G9340" s="2" t="str">
        <f>IF(Table1[[#This Row],[Is Data Valid]]=TRUE,((Table1[[#This Row],[Birthweight (grams)]]/Table1[[#This Row],[BW_GA]])-1)/(Backend!$B$4/100*Table1[[#This Row],[BW40_3705]]),"")</f>
        <v/>
      </c>
      <c r="H9340" s="7" t="str">
        <f>IF(Table1[[#This Row],[Is Data Valid]]=TRUE,((Table1[[#This Row],[Birthweight (grams)]]*0.9/Table1[[#This Row],[BW_GA]])-1)/(Backend!$B$4/100*Table1[[#This Row],[BW40_3705]]),"")</f>
        <v/>
      </c>
      <c r="I9340" s="7" t="str">
        <f>IF(Table1[[#This Row],[Is Data Valid]]=TRUE,((Table1[[#This Row],[Birthweight (grams)]]*1.1/Table1[[#This Row],[BW_GA]])-1)/(Backend!$B$4/100*Table1[[#This Row],[BW40_3705]]),"")</f>
        <v/>
      </c>
      <c r="J9340" s="7" t="str">
        <f>IF(Table1[[#This Row],[Is Data Valid]]=TRUE,_xlfn.NORM.S.DIST(Table1[[#This Row],[Birthweight Z-Score]],TRUE)*100,"")</f>
        <v/>
      </c>
      <c r="K9340" s="7" t="str">
        <f>IF(Table1[[#This Row],[Is Data Valid]]=TRUE,_xlfn.NORM.S.DIST(Table1[[#This Row],[Birthweight Z-Score (BW-10%)]],TRUE)*100,"")</f>
        <v/>
      </c>
      <c r="L9340" s="7" t="str">
        <f>IF(Table1[[#This Row],[Is Data Valid]]=TRUE,_xlfn.NORM.S.DIST(Table1[[#This Row],[Birthweight Z-Score (BW+10%)]],TRUE)*100,"")</f>
        <v/>
      </c>
    </row>
    <row r="9341" spans="1:12" x14ac:dyDescent="0.35">
      <c r="A9341" s="3"/>
      <c r="B9341" s="2"/>
      <c r="C9341" s="2"/>
      <c r="D9341" s="2" t="b">
        <f>IF(AND(NOT(ISBLANK(Table1[[#This Row],[Fetal Sex (Male, Female or Unknown)]])),ISNUMBER(Table1[[#This Row],[Birthweight (grams)]]),ISNUMBER(Table1[[#This Row],[Gestation (days)]])),TRUE,FALSE)</f>
        <v>0</v>
      </c>
      <c r="E9341" s="2" t="str">
        <f>IF(Table1[[#This Row],[Is Data Valid]]=TRUE,IF(Table1[[#This Row],[Fetal Sex (Male, Female or Unknown)]]="Male",Backend!$C$6,IF(Table1[[#This Row],[Fetal Sex (Male, Female or Unknown)]]="Female",Backend!$C$7,IF(Table1[[#This Row],[Fetal Sex (Male, Female or Unknown)]]="Unknown",Backend!$C$8,"Error"))),"")</f>
        <v/>
      </c>
      <c r="F9341" s="8" t="str">
        <f>IF(Table1[[#This Row],[Is Data Valid]]=TRUE,EXP(0.578+0.332*((Table1[[#This Row],[Gestation (days)]]+0.5)/7)-0.00354*((Table1[[#This Row],[Gestation (days)]]+0.5)/7)^2)*Table1[[#This Row],[BW40_3705]],"")</f>
        <v/>
      </c>
      <c r="G9341" s="2" t="str">
        <f>IF(Table1[[#This Row],[Is Data Valid]]=TRUE,((Table1[[#This Row],[Birthweight (grams)]]/Table1[[#This Row],[BW_GA]])-1)/(Backend!$B$4/100*Table1[[#This Row],[BW40_3705]]),"")</f>
        <v/>
      </c>
      <c r="H9341" s="7" t="str">
        <f>IF(Table1[[#This Row],[Is Data Valid]]=TRUE,((Table1[[#This Row],[Birthweight (grams)]]*0.9/Table1[[#This Row],[BW_GA]])-1)/(Backend!$B$4/100*Table1[[#This Row],[BW40_3705]]),"")</f>
        <v/>
      </c>
      <c r="I9341" s="7" t="str">
        <f>IF(Table1[[#This Row],[Is Data Valid]]=TRUE,((Table1[[#This Row],[Birthweight (grams)]]*1.1/Table1[[#This Row],[BW_GA]])-1)/(Backend!$B$4/100*Table1[[#This Row],[BW40_3705]]),"")</f>
        <v/>
      </c>
      <c r="J9341" s="7" t="str">
        <f>IF(Table1[[#This Row],[Is Data Valid]]=TRUE,_xlfn.NORM.S.DIST(Table1[[#This Row],[Birthweight Z-Score]],TRUE)*100,"")</f>
        <v/>
      </c>
      <c r="K9341" s="7" t="str">
        <f>IF(Table1[[#This Row],[Is Data Valid]]=TRUE,_xlfn.NORM.S.DIST(Table1[[#This Row],[Birthweight Z-Score (BW-10%)]],TRUE)*100,"")</f>
        <v/>
      </c>
      <c r="L9341" s="7" t="str">
        <f>IF(Table1[[#This Row],[Is Data Valid]]=TRUE,_xlfn.NORM.S.DIST(Table1[[#This Row],[Birthweight Z-Score (BW+10%)]],TRUE)*100,"")</f>
        <v/>
      </c>
    </row>
    <row r="9342" spans="1:12" x14ac:dyDescent="0.35">
      <c r="A9342" s="3"/>
      <c r="B9342" s="2"/>
      <c r="C9342" s="2"/>
      <c r="D9342" s="2" t="b">
        <f>IF(AND(NOT(ISBLANK(Table1[[#This Row],[Fetal Sex (Male, Female or Unknown)]])),ISNUMBER(Table1[[#This Row],[Birthweight (grams)]]),ISNUMBER(Table1[[#This Row],[Gestation (days)]])),TRUE,FALSE)</f>
        <v>0</v>
      </c>
      <c r="E9342" s="2" t="str">
        <f>IF(Table1[[#This Row],[Is Data Valid]]=TRUE,IF(Table1[[#This Row],[Fetal Sex (Male, Female or Unknown)]]="Male",Backend!$C$6,IF(Table1[[#This Row],[Fetal Sex (Male, Female or Unknown)]]="Female",Backend!$C$7,IF(Table1[[#This Row],[Fetal Sex (Male, Female or Unknown)]]="Unknown",Backend!$C$8,"Error"))),"")</f>
        <v/>
      </c>
      <c r="F9342" s="8" t="str">
        <f>IF(Table1[[#This Row],[Is Data Valid]]=TRUE,EXP(0.578+0.332*((Table1[[#This Row],[Gestation (days)]]+0.5)/7)-0.00354*((Table1[[#This Row],[Gestation (days)]]+0.5)/7)^2)*Table1[[#This Row],[BW40_3705]],"")</f>
        <v/>
      </c>
      <c r="G9342" s="2" t="str">
        <f>IF(Table1[[#This Row],[Is Data Valid]]=TRUE,((Table1[[#This Row],[Birthweight (grams)]]/Table1[[#This Row],[BW_GA]])-1)/(Backend!$B$4/100*Table1[[#This Row],[BW40_3705]]),"")</f>
        <v/>
      </c>
      <c r="H9342" s="7" t="str">
        <f>IF(Table1[[#This Row],[Is Data Valid]]=TRUE,((Table1[[#This Row],[Birthweight (grams)]]*0.9/Table1[[#This Row],[BW_GA]])-1)/(Backend!$B$4/100*Table1[[#This Row],[BW40_3705]]),"")</f>
        <v/>
      </c>
      <c r="I9342" s="7" t="str">
        <f>IF(Table1[[#This Row],[Is Data Valid]]=TRUE,((Table1[[#This Row],[Birthweight (grams)]]*1.1/Table1[[#This Row],[BW_GA]])-1)/(Backend!$B$4/100*Table1[[#This Row],[BW40_3705]]),"")</f>
        <v/>
      </c>
      <c r="J9342" s="7" t="str">
        <f>IF(Table1[[#This Row],[Is Data Valid]]=TRUE,_xlfn.NORM.S.DIST(Table1[[#This Row],[Birthweight Z-Score]],TRUE)*100,"")</f>
        <v/>
      </c>
      <c r="K9342" s="7" t="str">
        <f>IF(Table1[[#This Row],[Is Data Valid]]=TRUE,_xlfn.NORM.S.DIST(Table1[[#This Row],[Birthweight Z-Score (BW-10%)]],TRUE)*100,"")</f>
        <v/>
      </c>
      <c r="L9342" s="7" t="str">
        <f>IF(Table1[[#This Row],[Is Data Valid]]=TRUE,_xlfn.NORM.S.DIST(Table1[[#This Row],[Birthweight Z-Score (BW+10%)]],TRUE)*100,"")</f>
        <v/>
      </c>
    </row>
    <row r="9343" spans="1:12" x14ac:dyDescent="0.35">
      <c r="A9343" s="3"/>
      <c r="B9343" s="2"/>
      <c r="C9343" s="2"/>
      <c r="D9343" s="2" t="b">
        <f>IF(AND(NOT(ISBLANK(Table1[[#This Row],[Fetal Sex (Male, Female or Unknown)]])),ISNUMBER(Table1[[#This Row],[Birthweight (grams)]]),ISNUMBER(Table1[[#This Row],[Gestation (days)]])),TRUE,FALSE)</f>
        <v>0</v>
      </c>
      <c r="E9343" s="2" t="str">
        <f>IF(Table1[[#This Row],[Is Data Valid]]=TRUE,IF(Table1[[#This Row],[Fetal Sex (Male, Female or Unknown)]]="Male",Backend!$C$6,IF(Table1[[#This Row],[Fetal Sex (Male, Female or Unknown)]]="Female",Backend!$C$7,IF(Table1[[#This Row],[Fetal Sex (Male, Female or Unknown)]]="Unknown",Backend!$C$8,"Error"))),"")</f>
        <v/>
      </c>
      <c r="F9343" s="8" t="str">
        <f>IF(Table1[[#This Row],[Is Data Valid]]=TRUE,EXP(0.578+0.332*((Table1[[#This Row],[Gestation (days)]]+0.5)/7)-0.00354*((Table1[[#This Row],[Gestation (days)]]+0.5)/7)^2)*Table1[[#This Row],[BW40_3705]],"")</f>
        <v/>
      </c>
      <c r="G9343" s="2" t="str">
        <f>IF(Table1[[#This Row],[Is Data Valid]]=TRUE,((Table1[[#This Row],[Birthweight (grams)]]/Table1[[#This Row],[BW_GA]])-1)/(Backend!$B$4/100*Table1[[#This Row],[BW40_3705]]),"")</f>
        <v/>
      </c>
      <c r="H9343" s="7" t="str">
        <f>IF(Table1[[#This Row],[Is Data Valid]]=TRUE,((Table1[[#This Row],[Birthweight (grams)]]*0.9/Table1[[#This Row],[BW_GA]])-1)/(Backend!$B$4/100*Table1[[#This Row],[BW40_3705]]),"")</f>
        <v/>
      </c>
      <c r="I9343" s="7" t="str">
        <f>IF(Table1[[#This Row],[Is Data Valid]]=TRUE,((Table1[[#This Row],[Birthweight (grams)]]*1.1/Table1[[#This Row],[BW_GA]])-1)/(Backend!$B$4/100*Table1[[#This Row],[BW40_3705]]),"")</f>
        <v/>
      </c>
      <c r="J9343" s="7" t="str">
        <f>IF(Table1[[#This Row],[Is Data Valid]]=TRUE,_xlfn.NORM.S.DIST(Table1[[#This Row],[Birthweight Z-Score]],TRUE)*100,"")</f>
        <v/>
      </c>
      <c r="K9343" s="7" t="str">
        <f>IF(Table1[[#This Row],[Is Data Valid]]=TRUE,_xlfn.NORM.S.DIST(Table1[[#This Row],[Birthweight Z-Score (BW-10%)]],TRUE)*100,"")</f>
        <v/>
      </c>
      <c r="L9343" s="7" t="str">
        <f>IF(Table1[[#This Row],[Is Data Valid]]=TRUE,_xlfn.NORM.S.DIST(Table1[[#This Row],[Birthweight Z-Score (BW+10%)]],TRUE)*100,"")</f>
        <v/>
      </c>
    </row>
    <row r="9344" spans="1:12" x14ac:dyDescent="0.35">
      <c r="A9344" s="3"/>
      <c r="B9344" s="2"/>
      <c r="C9344" s="2"/>
      <c r="D9344" s="2" t="b">
        <f>IF(AND(NOT(ISBLANK(Table1[[#This Row],[Fetal Sex (Male, Female or Unknown)]])),ISNUMBER(Table1[[#This Row],[Birthweight (grams)]]),ISNUMBER(Table1[[#This Row],[Gestation (days)]])),TRUE,FALSE)</f>
        <v>0</v>
      </c>
      <c r="E9344" s="2" t="str">
        <f>IF(Table1[[#This Row],[Is Data Valid]]=TRUE,IF(Table1[[#This Row],[Fetal Sex (Male, Female or Unknown)]]="Male",Backend!$C$6,IF(Table1[[#This Row],[Fetal Sex (Male, Female or Unknown)]]="Female",Backend!$C$7,IF(Table1[[#This Row],[Fetal Sex (Male, Female or Unknown)]]="Unknown",Backend!$C$8,"Error"))),"")</f>
        <v/>
      </c>
      <c r="F9344" s="8" t="str">
        <f>IF(Table1[[#This Row],[Is Data Valid]]=TRUE,EXP(0.578+0.332*((Table1[[#This Row],[Gestation (days)]]+0.5)/7)-0.00354*((Table1[[#This Row],[Gestation (days)]]+0.5)/7)^2)*Table1[[#This Row],[BW40_3705]],"")</f>
        <v/>
      </c>
      <c r="G9344" s="2" t="str">
        <f>IF(Table1[[#This Row],[Is Data Valid]]=TRUE,((Table1[[#This Row],[Birthweight (grams)]]/Table1[[#This Row],[BW_GA]])-1)/(Backend!$B$4/100*Table1[[#This Row],[BW40_3705]]),"")</f>
        <v/>
      </c>
      <c r="H9344" s="7" t="str">
        <f>IF(Table1[[#This Row],[Is Data Valid]]=TRUE,((Table1[[#This Row],[Birthweight (grams)]]*0.9/Table1[[#This Row],[BW_GA]])-1)/(Backend!$B$4/100*Table1[[#This Row],[BW40_3705]]),"")</f>
        <v/>
      </c>
      <c r="I9344" s="7" t="str">
        <f>IF(Table1[[#This Row],[Is Data Valid]]=TRUE,((Table1[[#This Row],[Birthweight (grams)]]*1.1/Table1[[#This Row],[BW_GA]])-1)/(Backend!$B$4/100*Table1[[#This Row],[BW40_3705]]),"")</f>
        <v/>
      </c>
      <c r="J9344" s="7" t="str">
        <f>IF(Table1[[#This Row],[Is Data Valid]]=TRUE,_xlfn.NORM.S.DIST(Table1[[#This Row],[Birthweight Z-Score]],TRUE)*100,"")</f>
        <v/>
      </c>
      <c r="K9344" s="7" t="str">
        <f>IF(Table1[[#This Row],[Is Data Valid]]=TRUE,_xlfn.NORM.S.DIST(Table1[[#This Row],[Birthweight Z-Score (BW-10%)]],TRUE)*100,"")</f>
        <v/>
      </c>
      <c r="L9344" s="7" t="str">
        <f>IF(Table1[[#This Row],[Is Data Valid]]=TRUE,_xlfn.NORM.S.DIST(Table1[[#This Row],[Birthweight Z-Score (BW+10%)]],TRUE)*100,"")</f>
        <v/>
      </c>
    </row>
    <row r="9345" spans="1:12" x14ac:dyDescent="0.35">
      <c r="A9345" s="3"/>
      <c r="B9345" s="2"/>
      <c r="C9345" s="2"/>
      <c r="D9345" s="2" t="b">
        <f>IF(AND(NOT(ISBLANK(Table1[[#This Row],[Fetal Sex (Male, Female or Unknown)]])),ISNUMBER(Table1[[#This Row],[Birthweight (grams)]]),ISNUMBER(Table1[[#This Row],[Gestation (days)]])),TRUE,FALSE)</f>
        <v>0</v>
      </c>
      <c r="E9345" s="2" t="str">
        <f>IF(Table1[[#This Row],[Is Data Valid]]=TRUE,IF(Table1[[#This Row],[Fetal Sex (Male, Female or Unknown)]]="Male",Backend!$C$6,IF(Table1[[#This Row],[Fetal Sex (Male, Female or Unknown)]]="Female",Backend!$C$7,IF(Table1[[#This Row],[Fetal Sex (Male, Female or Unknown)]]="Unknown",Backend!$C$8,"Error"))),"")</f>
        <v/>
      </c>
      <c r="F9345" s="8" t="str">
        <f>IF(Table1[[#This Row],[Is Data Valid]]=TRUE,EXP(0.578+0.332*((Table1[[#This Row],[Gestation (days)]]+0.5)/7)-0.00354*((Table1[[#This Row],[Gestation (days)]]+0.5)/7)^2)*Table1[[#This Row],[BW40_3705]],"")</f>
        <v/>
      </c>
      <c r="G9345" s="2" t="str">
        <f>IF(Table1[[#This Row],[Is Data Valid]]=TRUE,((Table1[[#This Row],[Birthweight (grams)]]/Table1[[#This Row],[BW_GA]])-1)/(Backend!$B$4/100*Table1[[#This Row],[BW40_3705]]),"")</f>
        <v/>
      </c>
      <c r="H9345" s="7" t="str">
        <f>IF(Table1[[#This Row],[Is Data Valid]]=TRUE,((Table1[[#This Row],[Birthweight (grams)]]*0.9/Table1[[#This Row],[BW_GA]])-1)/(Backend!$B$4/100*Table1[[#This Row],[BW40_3705]]),"")</f>
        <v/>
      </c>
      <c r="I9345" s="7" t="str">
        <f>IF(Table1[[#This Row],[Is Data Valid]]=TRUE,((Table1[[#This Row],[Birthweight (grams)]]*1.1/Table1[[#This Row],[BW_GA]])-1)/(Backend!$B$4/100*Table1[[#This Row],[BW40_3705]]),"")</f>
        <v/>
      </c>
      <c r="J9345" s="7" t="str">
        <f>IF(Table1[[#This Row],[Is Data Valid]]=TRUE,_xlfn.NORM.S.DIST(Table1[[#This Row],[Birthweight Z-Score]],TRUE)*100,"")</f>
        <v/>
      </c>
      <c r="K9345" s="7" t="str">
        <f>IF(Table1[[#This Row],[Is Data Valid]]=TRUE,_xlfn.NORM.S.DIST(Table1[[#This Row],[Birthweight Z-Score (BW-10%)]],TRUE)*100,"")</f>
        <v/>
      </c>
      <c r="L9345" s="7" t="str">
        <f>IF(Table1[[#This Row],[Is Data Valid]]=TRUE,_xlfn.NORM.S.DIST(Table1[[#This Row],[Birthweight Z-Score (BW+10%)]],TRUE)*100,"")</f>
        <v/>
      </c>
    </row>
    <row r="9346" spans="1:12" x14ac:dyDescent="0.35">
      <c r="A9346" s="3"/>
      <c r="B9346" s="2"/>
      <c r="C9346" s="2"/>
      <c r="D9346" s="2" t="b">
        <f>IF(AND(NOT(ISBLANK(Table1[[#This Row],[Fetal Sex (Male, Female or Unknown)]])),ISNUMBER(Table1[[#This Row],[Birthweight (grams)]]),ISNUMBER(Table1[[#This Row],[Gestation (days)]])),TRUE,FALSE)</f>
        <v>0</v>
      </c>
      <c r="E9346" s="2" t="str">
        <f>IF(Table1[[#This Row],[Is Data Valid]]=TRUE,IF(Table1[[#This Row],[Fetal Sex (Male, Female or Unknown)]]="Male",Backend!$C$6,IF(Table1[[#This Row],[Fetal Sex (Male, Female or Unknown)]]="Female",Backend!$C$7,IF(Table1[[#This Row],[Fetal Sex (Male, Female or Unknown)]]="Unknown",Backend!$C$8,"Error"))),"")</f>
        <v/>
      </c>
      <c r="F9346" s="8" t="str">
        <f>IF(Table1[[#This Row],[Is Data Valid]]=TRUE,EXP(0.578+0.332*((Table1[[#This Row],[Gestation (days)]]+0.5)/7)-0.00354*((Table1[[#This Row],[Gestation (days)]]+0.5)/7)^2)*Table1[[#This Row],[BW40_3705]],"")</f>
        <v/>
      </c>
      <c r="G9346" s="2" t="str">
        <f>IF(Table1[[#This Row],[Is Data Valid]]=TRUE,((Table1[[#This Row],[Birthweight (grams)]]/Table1[[#This Row],[BW_GA]])-1)/(Backend!$B$4/100*Table1[[#This Row],[BW40_3705]]),"")</f>
        <v/>
      </c>
      <c r="H9346" s="7" t="str">
        <f>IF(Table1[[#This Row],[Is Data Valid]]=TRUE,((Table1[[#This Row],[Birthweight (grams)]]*0.9/Table1[[#This Row],[BW_GA]])-1)/(Backend!$B$4/100*Table1[[#This Row],[BW40_3705]]),"")</f>
        <v/>
      </c>
      <c r="I9346" s="7" t="str">
        <f>IF(Table1[[#This Row],[Is Data Valid]]=TRUE,((Table1[[#This Row],[Birthweight (grams)]]*1.1/Table1[[#This Row],[BW_GA]])-1)/(Backend!$B$4/100*Table1[[#This Row],[BW40_3705]]),"")</f>
        <v/>
      </c>
      <c r="J9346" s="7" t="str">
        <f>IF(Table1[[#This Row],[Is Data Valid]]=TRUE,_xlfn.NORM.S.DIST(Table1[[#This Row],[Birthweight Z-Score]],TRUE)*100,"")</f>
        <v/>
      </c>
      <c r="K9346" s="7" t="str">
        <f>IF(Table1[[#This Row],[Is Data Valid]]=TRUE,_xlfn.NORM.S.DIST(Table1[[#This Row],[Birthweight Z-Score (BW-10%)]],TRUE)*100,"")</f>
        <v/>
      </c>
      <c r="L9346" s="7" t="str">
        <f>IF(Table1[[#This Row],[Is Data Valid]]=TRUE,_xlfn.NORM.S.DIST(Table1[[#This Row],[Birthweight Z-Score (BW+10%)]],TRUE)*100,"")</f>
        <v/>
      </c>
    </row>
    <row r="9347" spans="1:12" x14ac:dyDescent="0.35">
      <c r="A9347" s="3"/>
      <c r="B9347" s="2"/>
      <c r="C9347" s="2"/>
      <c r="D9347" s="2" t="b">
        <f>IF(AND(NOT(ISBLANK(Table1[[#This Row],[Fetal Sex (Male, Female or Unknown)]])),ISNUMBER(Table1[[#This Row],[Birthweight (grams)]]),ISNUMBER(Table1[[#This Row],[Gestation (days)]])),TRUE,FALSE)</f>
        <v>0</v>
      </c>
      <c r="E9347" s="2" t="str">
        <f>IF(Table1[[#This Row],[Is Data Valid]]=TRUE,IF(Table1[[#This Row],[Fetal Sex (Male, Female or Unknown)]]="Male",Backend!$C$6,IF(Table1[[#This Row],[Fetal Sex (Male, Female or Unknown)]]="Female",Backend!$C$7,IF(Table1[[#This Row],[Fetal Sex (Male, Female or Unknown)]]="Unknown",Backend!$C$8,"Error"))),"")</f>
        <v/>
      </c>
      <c r="F9347" s="8" t="str">
        <f>IF(Table1[[#This Row],[Is Data Valid]]=TRUE,EXP(0.578+0.332*((Table1[[#This Row],[Gestation (days)]]+0.5)/7)-0.00354*((Table1[[#This Row],[Gestation (days)]]+0.5)/7)^2)*Table1[[#This Row],[BW40_3705]],"")</f>
        <v/>
      </c>
      <c r="G9347" s="2" t="str">
        <f>IF(Table1[[#This Row],[Is Data Valid]]=TRUE,((Table1[[#This Row],[Birthweight (grams)]]/Table1[[#This Row],[BW_GA]])-1)/(Backend!$B$4/100*Table1[[#This Row],[BW40_3705]]),"")</f>
        <v/>
      </c>
      <c r="H9347" s="7" t="str">
        <f>IF(Table1[[#This Row],[Is Data Valid]]=TRUE,((Table1[[#This Row],[Birthweight (grams)]]*0.9/Table1[[#This Row],[BW_GA]])-1)/(Backend!$B$4/100*Table1[[#This Row],[BW40_3705]]),"")</f>
        <v/>
      </c>
      <c r="I9347" s="7" t="str">
        <f>IF(Table1[[#This Row],[Is Data Valid]]=TRUE,((Table1[[#This Row],[Birthweight (grams)]]*1.1/Table1[[#This Row],[BW_GA]])-1)/(Backend!$B$4/100*Table1[[#This Row],[BW40_3705]]),"")</f>
        <v/>
      </c>
      <c r="J9347" s="7" t="str">
        <f>IF(Table1[[#This Row],[Is Data Valid]]=TRUE,_xlfn.NORM.S.DIST(Table1[[#This Row],[Birthweight Z-Score]],TRUE)*100,"")</f>
        <v/>
      </c>
      <c r="K9347" s="7" t="str">
        <f>IF(Table1[[#This Row],[Is Data Valid]]=TRUE,_xlfn.NORM.S.DIST(Table1[[#This Row],[Birthweight Z-Score (BW-10%)]],TRUE)*100,"")</f>
        <v/>
      </c>
      <c r="L9347" s="7" t="str">
        <f>IF(Table1[[#This Row],[Is Data Valid]]=TRUE,_xlfn.NORM.S.DIST(Table1[[#This Row],[Birthweight Z-Score (BW+10%)]],TRUE)*100,"")</f>
        <v/>
      </c>
    </row>
    <row r="9348" spans="1:12" x14ac:dyDescent="0.35">
      <c r="A9348" s="3"/>
      <c r="B9348" s="2"/>
      <c r="C9348" s="2"/>
      <c r="D9348" s="2" t="b">
        <f>IF(AND(NOT(ISBLANK(Table1[[#This Row],[Fetal Sex (Male, Female or Unknown)]])),ISNUMBER(Table1[[#This Row],[Birthweight (grams)]]),ISNUMBER(Table1[[#This Row],[Gestation (days)]])),TRUE,FALSE)</f>
        <v>0</v>
      </c>
      <c r="E9348" s="2" t="str">
        <f>IF(Table1[[#This Row],[Is Data Valid]]=TRUE,IF(Table1[[#This Row],[Fetal Sex (Male, Female or Unknown)]]="Male",Backend!$C$6,IF(Table1[[#This Row],[Fetal Sex (Male, Female or Unknown)]]="Female",Backend!$C$7,IF(Table1[[#This Row],[Fetal Sex (Male, Female or Unknown)]]="Unknown",Backend!$C$8,"Error"))),"")</f>
        <v/>
      </c>
      <c r="F9348" s="8" t="str">
        <f>IF(Table1[[#This Row],[Is Data Valid]]=TRUE,EXP(0.578+0.332*((Table1[[#This Row],[Gestation (days)]]+0.5)/7)-0.00354*((Table1[[#This Row],[Gestation (days)]]+0.5)/7)^2)*Table1[[#This Row],[BW40_3705]],"")</f>
        <v/>
      </c>
      <c r="G9348" s="2" t="str">
        <f>IF(Table1[[#This Row],[Is Data Valid]]=TRUE,((Table1[[#This Row],[Birthweight (grams)]]/Table1[[#This Row],[BW_GA]])-1)/(Backend!$B$4/100*Table1[[#This Row],[BW40_3705]]),"")</f>
        <v/>
      </c>
      <c r="H9348" s="7" t="str">
        <f>IF(Table1[[#This Row],[Is Data Valid]]=TRUE,((Table1[[#This Row],[Birthweight (grams)]]*0.9/Table1[[#This Row],[BW_GA]])-1)/(Backend!$B$4/100*Table1[[#This Row],[BW40_3705]]),"")</f>
        <v/>
      </c>
      <c r="I9348" s="7" t="str">
        <f>IF(Table1[[#This Row],[Is Data Valid]]=TRUE,((Table1[[#This Row],[Birthweight (grams)]]*1.1/Table1[[#This Row],[BW_GA]])-1)/(Backend!$B$4/100*Table1[[#This Row],[BW40_3705]]),"")</f>
        <v/>
      </c>
      <c r="J9348" s="7" t="str">
        <f>IF(Table1[[#This Row],[Is Data Valid]]=TRUE,_xlfn.NORM.S.DIST(Table1[[#This Row],[Birthweight Z-Score]],TRUE)*100,"")</f>
        <v/>
      </c>
      <c r="K9348" s="7" t="str">
        <f>IF(Table1[[#This Row],[Is Data Valid]]=TRUE,_xlfn.NORM.S.DIST(Table1[[#This Row],[Birthweight Z-Score (BW-10%)]],TRUE)*100,"")</f>
        <v/>
      </c>
      <c r="L9348" s="7" t="str">
        <f>IF(Table1[[#This Row],[Is Data Valid]]=TRUE,_xlfn.NORM.S.DIST(Table1[[#This Row],[Birthweight Z-Score (BW+10%)]],TRUE)*100,"")</f>
        <v/>
      </c>
    </row>
    <row r="9349" spans="1:12" x14ac:dyDescent="0.35">
      <c r="A9349" s="3"/>
      <c r="B9349" s="2"/>
      <c r="C9349" s="2"/>
      <c r="D9349" s="2" t="b">
        <f>IF(AND(NOT(ISBLANK(Table1[[#This Row],[Fetal Sex (Male, Female or Unknown)]])),ISNUMBER(Table1[[#This Row],[Birthweight (grams)]]),ISNUMBER(Table1[[#This Row],[Gestation (days)]])),TRUE,FALSE)</f>
        <v>0</v>
      </c>
      <c r="E9349" s="2" t="str">
        <f>IF(Table1[[#This Row],[Is Data Valid]]=TRUE,IF(Table1[[#This Row],[Fetal Sex (Male, Female or Unknown)]]="Male",Backend!$C$6,IF(Table1[[#This Row],[Fetal Sex (Male, Female or Unknown)]]="Female",Backend!$C$7,IF(Table1[[#This Row],[Fetal Sex (Male, Female or Unknown)]]="Unknown",Backend!$C$8,"Error"))),"")</f>
        <v/>
      </c>
      <c r="F9349" s="8" t="str">
        <f>IF(Table1[[#This Row],[Is Data Valid]]=TRUE,EXP(0.578+0.332*((Table1[[#This Row],[Gestation (days)]]+0.5)/7)-0.00354*((Table1[[#This Row],[Gestation (days)]]+0.5)/7)^2)*Table1[[#This Row],[BW40_3705]],"")</f>
        <v/>
      </c>
      <c r="G9349" s="2" t="str">
        <f>IF(Table1[[#This Row],[Is Data Valid]]=TRUE,((Table1[[#This Row],[Birthweight (grams)]]/Table1[[#This Row],[BW_GA]])-1)/(Backend!$B$4/100*Table1[[#This Row],[BW40_3705]]),"")</f>
        <v/>
      </c>
      <c r="H9349" s="7" t="str">
        <f>IF(Table1[[#This Row],[Is Data Valid]]=TRUE,((Table1[[#This Row],[Birthweight (grams)]]*0.9/Table1[[#This Row],[BW_GA]])-1)/(Backend!$B$4/100*Table1[[#This Row],[BW40_3705]]),"")</f>
        <v/>
      </c>
      <c r="I9349" s="7" t="str">
        <f>IF(Table1[[#This Row],[Is Data Valid]]=TRUE,((Table1[[#This Row],[Birthweight (grams)]]*1.1/Table1[[#This Row],[BW_GA]])-1)/(Backend!$B$4/100*Table1[[#This Row],[BW40_3705]]),"")</f>
        <v/>
      </c>
      <c r="J9349" s="7" t="str">
        <f>IF(Table1[[#This Row],[Is Data Valid]]=TRUE,_xlfn.NORM.S.DIST(Table1[[#This Row],[Birthweight Z-Score]],TRUE)*100,"")</f>
        <v/>
      </c>
      <c r="K9349" s="7" t="str">
        <f>IF(Table1[[#This Row],[Is Data Valid]]=TRUE,_xlfn.NORM.S.DIST(Table1[[#This Row],[Birthweight Z-Score (BW-10%)]],TRUE)*100,"")</f>
        <v/>
      </c>
      <c r="L9349" s="7" t="str">
        <f>IF(Table1[[#This Row],[Is Data Valid]]=TRUE,_xlfn.NORM.S.DIST(Table1[[#This Row],[Birthweight Z-Score (BW+10%)]],TRUE)*100,"")</f>
        <v/>
      </c>
    </row>
    <row r="9350" spans="1:12" x14ac:dyDescent="0.35">
      <c r="A9350" s="3"/>
      <c r="B9350" s="2"/>
      <c r="C9350" s="2"/>
      <c r="D9350" s="2" t="b">
        <f>IF(AND(NOT(ISBLANK(Table1[[#This Row],[Fetal Sex (Male, Female or Unknown)]])),ISNUMBER(Table1[[#This Row],[Birthweight (grams)]]),ISNUMBER(Table1[[#This Row],[Gestation (days)]])),TRUE,FALSE)</f>
        <v>0</v>
      </c>
      <c r="E9350" s="2" t="str">
        <f>IF(Table1[[#This Row],[Is Data Valid]]=TRUE,IF(Table1[[#This Row],[Fetal Sex (Male, Female or Unknown)]]="Male",Backend!$C$6,IF(Table1[[#This Row],[Fetal Sex (Male, Female or Unknown)]]="Female",Backend!$C$7,IF(Table1[[#This Row],[Fetal Sex (Male, Female or Unknown)]]="Unknown",Backend!$C$8,"Error"))),"")</f>
        <v/>
      </c>
      <c r="F9350" s="8" t="str">
        <f>IF(Table1[[#This Row],[Is Data Valid]]=TRUE,EXP(0.578+0.332*((Table1[[#This Row],[Gestation (days)]]+0.5)/7)-0.00354*((Table1[[#This Row],[Gestation (days)]]+0.5)/7)^2)*Table1[[#This Row],[BW40_3705]],"")</f>
        <v/>
      </c>
      <c r="G9350" s="2" t="str">
        <f>IF(Table1[[#This Row],[Is Data Valid]]=TRUE,((Table1[[#This Row],[Birthweight (grams)]]/Table1[[#This Row],[BW_GA]])-1)/(Backend!$B$4/100*Table1[[#This Row],[BW40_3705]]),"")</f>
        <v/>
      </c>
      <c r="H9350" s="7" t="str">
        <f>IF(Table1[[#This Row],[Is Data Valid]]=TRUE,((Table1[[#This Row],[Birthweight (grams)]]*0.9/Table1[[#This Row],[BW_GA]])-1)/(Backend!$B$4/100*Table1[[#This Row],[BW40_3705]]),"")</f>
        <v/>
      </c>
      <c r="I9350" s="7" t="str">
        <f>IF(Table1[[#This Row],[Is Data Valid]]=TRUE,((Table1[[#This Row],[Birthweight (grams)]]*1.1/Table1[[#This Row],[BW_GA]])-1)/(Backend!$B$4/100*Table1[[#This Row],[BW40_3705]]),"")</f>
        <v/>
      </c>
      <c r="J9350" s="7" t="str">
        <f>IF(Table1[[#This Row],[Is Data Valid]]=TRUE,_xlfn.NORM.S.DIST(Table1[[#This Row],[Birthweight Z-Score]],TRUE)*100,"")</f>
        <v/>
      </c>
      <c r="K9350" s="7" t="str">
        <f>IF(Table1[[#This Row],[Is Data Valid]]=TRUE,_xlfn.NORM.S.DIST(Table1[[#This Row],[Birthweight Z-Score (BW-10%)]],TRUE)*100,"")</f>
        <v/>
      </c>
      <c r="L9350" s="7" t="str">
        <f>IF(Table1[[#This Row],[Is Data Valid]]=TRUE,_xlfn.NORM.S.DIST(Table1[[#This Row],[Birthweight Z-Score (BW+10%)]],TRUE)*100,"")</f>
        <v/>
      </c>
    </row>
    <row r="9351" spans="1:12" x14ac:dyDescent="0.35">
      <c r="A9351" s="3"/>
      <c r="B9351" s="2"/>
      <c r="C9351" s="2"/>
      <c r="D9351" s="2" t="b">
        <f>IF(AND(NOT(ISBLANK(Table1[[#This Row],[Fetal Sex (Male, Female or Unknown)]])),ISNUMBER(Table1[[#This Row],[Birthweight (grams)]]),ISNUMBER(Table1[[#This Row],[Gestation (days)]])),TRUE,FALSE)</f>
        <v>0</v>
      </c>
      <c r="E9351" s="2" t="str">
        <f>IF(Table1[[#This Row],[Is Data Valid]]=TRUE,IF(Table1[[#This Row],[Fetal Sex (Male, Female or Unknown)]]="Male",Backend!$C$6,IF(Table1[[#This Row],[Fetal Sex (Male, Female or Unknown)]]="Female",Backend!$C$7,IF(Table1[[#This Row],[Fetal Sex (Male, Female or Unknown)]]="Unknown",Backend!$C$8,"Error"))),"")</f>
        <v/>
      </c>
      <c r="F9351" s="8" t="str">
        <f>IF(Table1[[#This Row],[Is Data Valid]]=TRUE,EXP(0.578+0.332*((Table1[[#This Row],[Gestation (days)]]+0.5)/7)-0.00354*((Table1[[#This Row],[Gestation (days)]]+0.5)/7)^2)*Table1[[#This Row],[BW40_3705]],"")</f>
        <v/>
      </c>
      <c r="G9351" s="2" t="str">
        <f>IF(Table1[[#This Row],[Is Data Valid]]=TRUE,((Table1[[#This Row],[Birthweight (grams)]]/Table1[[#This Row],[BW_GA]])-1)/(Backend!$B$4/100*Table1[[#This Row],[BW40_3705]]),"")</f>
        <v/>
      </c>
      <c r="H9351" s="7" t="str">
        <f>IF(Table1[[#This Row],[Is Data Valid]]=TRUE,((Table1[[#This Row],[Birthweight (grams)]]*0.9/Table1[[#This Row],[BW_GA]])-1)/(Backend!$B$4/100*Table1[[#This Row],[BW40_3705]]),"")</f>
        <v/>
      </c>
      <c r="I9351" s="7" t="str">
        <f>IF(Table1[[#This Row],[Is Data Valid]]=TRUE,((Table1[[#This Row],[Birthweight (grams)]]*1.1/Table1[[#This Row],[BW_GA]])-1)/(Backend!$B$4/100*Table1[[#This Row],[BW40_3705]]),"")</f>
        <v/>
      </c>
      <c r="J9351" s="7" t="str">
        <f>IF(Table1[[#This Row],[Is Data Valid]]=TRUE,_xlfn.NORM.S.DIST(Table1[[#This Row],[Birthweight Z-Score]],TRUE)*100,"")</f>
        <v/>
      </c>
      <c r="K9351" s="7" t="str">
        <f>IF(Table1[[#This Row],[Is Data Valid]]=TRUE,_xlfn.NORM.S.DIST(Table1[[#This Row],[Birthweight Z-Score (BW-10%)]],TRUE)*100,"")</f>
        <v/>
      </c>
      <c r="L9351" s="7" t="str">
        <f>IF(Table1[[#This Row],[Is Data Valid]]=TRUE,_xlfn.NORM.S.DIST(Table1[[#This Row],[Birthweight Z-Score (BW+10%)]],TRUE)*100,"")</f>
        <v/>
      </c>
    </row>
    <row r="9352" spans="1:12" x14ac:dyDescent="0.35">
      <c r="A9352" s="3"/>
      <c r="B9352" s="2"/>
      <c r="C9352" s="2"/>
      <c r="D9352" s="2" t="b">
        <f>IF(AND(NOT(ISBLANK(Table1[[#This Row],[Fetal Sex (Male, Female or Unknown)]])),ISNUMBER(Table1[[#This Row],[Birthweight (grams)]]),ISNUMBER(Table1[[#This Row],[Gestation (days)]])),TRUE,FALSE)</f>
        <v>0</v>
      </c>
      <c r="E9352" s="2" t="str">
        <f>IF(Table1[[#This Row],[Is Data Valid]]=TRUE,IF(Table1[[#This Row],[Fetal Sex (Male, Female or Unknown)]]="Male",Backend!$C$6,IF(Table1[[#This Row],[Fetal Sex (Male, Female or Unknown)]]="Female",Backend!$C$7,IF(Table1[[#This Row],[Fetal Sex (Male, Female or Unknown)]]="Unknown",Backend!$C$8,"Error"))),"")</f>
        <v/>
      </c>
      <c r="F9352" s="8" t="str">
        <f>IF(Table1[[#This Row],[Is Data Valid]]=TRUE,EXP(0.578+0.332*((Table1[[#This Row],[Gestation (days)]]+0.5)/7)-0.00354*((Table1[[#This Row],[Gestation (days)]]+0.5)/7)^2)*Table1[[#This Row],[BW40_3705]],"")</f>
        <v/>
      </c>
      <c r="G9352" s="2" t="str">
        <f>IF(Table1[[#This Row],[Is Data Valid]]=TRUE,((Table1[[#This Row],[Birthweight (grams)]]/Table1[[#This Row],[BW_GA]])-1)/(Backend!$B$4/100*Table1[[#This Row],[BW40_3705]]),"")</f>
        <v/>
      </c>
      <c r="H9352" s="7" t="str">
        <f>IF(Table1[[#This Row],[Is Data Valid]]=TRUE,((Table1[[#This Row],[Birthweight (grams)]]*0.9/Table1[[#This Row],[BW_GA]])-1)/(Backend!$B$4/100*Table1[[#This Row],[BW40_3705]]),"")</f>
        <v/>
      </c>
      <c r="I9352" s="7" t="str">
        <f>IF(Table1[[#This Row],[Is Data Valid]]=TRUE,((Table1[[#This Row],[Birthweight (grams)]]*1.1/Table1[[#This Row],[BW_GA]])-1)/(Backend!$B$4/100*Table1[[#This Row],[BW40_3705]]),"")</f>
        <v/>
      </c>
      <c r="J9352" s="7" t="str">
        <f>IF(Table1[[#This Row],[Is Data Valid]]=TRUE,_xlfn.NORM.S.DIST(Table1[[#This Row],[Birthweight Z-Score]],TRUE)*100,"")</f>
        <v/>
      </c>
      <c r="K9352" s="7" t="str">
        <f>IF(Table1[[#This Row],[Is Data Valid]]=TRUE,_xlfn.NORM.S.DIST(Table1[[#This Row],[Birthweight Z-Score (BW-10%)]],TRUE)*100,"")</f>
        <v/>
      </c>
      <c r="L9352" s="7" t="str">
        <f>IF(Table1[[#This Row],[Is Data Valid]]=TRUE,_xlfn.NORM.S.DIST(Table1[[#This Row],[Birthweight Z-Score (BW+10%)]],TRUE)*100,"")</f>
        <v/>
      </c>
    </row>
    <row r="9353" spans="1:12" x14ac:dyDescent="0.35">
      <c r="A9353" s="3"/>
      <c r="B9353" s="2"/>
      <c r="C9353" s="2"/>
      <c r="D9353" s="2" t="b">
        <f>IF(AND(NOT(ISBLANK(Table1[[#This Row],[Fetal Sex (Male, Female or Unknown)]])),ISNUMBER(Table1[[#This Row],[Birthweight (grams)]]),ISNUMBER(Table1[[#This Row],[Gestation (days)]])),TRUE,FALSE)</f>
        <v>0</v>
      </c>
      <c r="E9353" s="2" t="str">
        <f>IF(Table1[[#This Row],[Is Data Valid]]=TRUE,IF(Table1[[#This Row],[Fetal Sex (Male, Female or Unknown)]]="Male",Backend!$C$6,IF(Table1[[#This Row],[Fetal Sex (Male, Female or Unknown)]]="Female",Backend!$C$7,IF(Table1[[#This Row],[Fetal Sex (Male, Female or Unknown)]]="Unknown",Backend!$C$8,"Error"))),"")</f>
        <v/>
      </c>
      <c r="F9353" s="8" t="str">
        <f>IF(Table1[[#This Row],[Is Data Valid]]=TRUE,EXP(0.578+0.332*((Table1[[#This Row],[Gestation (days)]]+0.5)/7)-0.00354*((Table1[[#This Row],[Gestation (days)]]+0.5)/7)^2)*Table1[[#This Row],[BW40_3705]],"")</f>
        <v/>
      </c>
      <c r="G9353" s="2" t="str">
        <f>IF(Table1[[#This Row],[Is Data Valid]]=TRUE,((Table1[[#This Row],[Birthweight (grams)]]/Table1[[#This Row],[BW_GA]])-1)/(Backend!$B$4/100*Table1[[#This Row],[BW40_3705]]),"")</f>
        <v/>
      </c>
      <c r="H9353" s="7" t="str">
        <f>IF(Table1[[#This Row],[Is Data Valid]]=TRUE,((Table1[[#This Row],[Birthweight (grams)]]*0.9/Table1[[#This Row],[BW_GA]])-1)/(Backend!$B$4/100*Table1[[#This Row],[BW40_3705]]),"")</f>
        <v/>
      </c>
      <c r="I9353" s="7" t="str">
        <f>IF(Table1[[#This Row],[Is Data Valid]]=TRUE,((Table1[[#This Row],[Birthweight (grams)]]*1.1/Table1[[#This Row],[BW_GA]])-1)/(Backend!$B$4/100*Table1[[#This Row],[BW40_3705]]),"")</f>
        <v/>
      </c>
      <c r="J9353" s="7" t="str">
        <f>IF(Table1[[#This Row],[Is Data Valid]]=TRUE,_xlfn.NORM.S.DIST(Table1[[#This Row],[Birthweight Z-Score]],TRUE)*100,"")</f>
        <v/>
      </c>
      <c r="K9353" s="7" t="str">
        <f>IF(Table1[[#This Row],[Is Data Valid]]=TRUE,_xlfn.NORM.S.DIST(Table1[[#This Row],[Birthweight Z-Score (BW-10%)]],TRUE)*100,"")</f>
        <v/>
      </c>
      <c r="L9353" s="7" t="str">
        <f>IF(Table1[[#This Row],[Is Data Valid]]=TRUE,_xlfn.NORM.S.DIST(Table1[[#This Row],[Birthweight Z-Score (BW+10%)]],TRUE)*100,"")</f>
        <v/>
      </c>
    </row>
    <row r="9354" spans="1:12" x14ac:dyDescent="0.35">
      <c r="A9354" s="3"/>
      <c r="B9354" s="2"/>
      <c r="C9354" s="2"/>
      <c r="D9354" s="2" t="b">
        <f>IF(AND(NOT(ISBLANK(Table1[[#This Row],[Fetal Sex (Male, Female or Unknown)]])),ISNUMBER(Table1[[#This Row],[Birthweight (grams)]]),ISNUMBER(Table1[[#This Row],[Gestation (days)]])),TRUE,FALSE)</f>
        <v>0</v>
      </c>
      <c r="E9354" s="2" t="str">
        <f>IF(Table1[[#This Row],[Is Data Valid]]=TRUE,IF(Table1[[#This Row],[Fetal Sex (Male, Female or Unknown)]]="Male",Backend!$C$6,IF(Table1[[#This Row],[Fetal Sex (Male, Female or Unknown)]]="Female",Backend!$C$7,IF(Table1[[#This Row],[Fetal Sex (Male, Female or Unknown)]]="Unknown",Backend!$C$8,"Error"))),"")</f>
        <v/>
      </c>
      <c r="F9354" s="8" t="str">
        <f>IF(Table1[[#This Row],[Is Data Valid]]=TRUE,EXP(0.578+0.332*((Table1[[#This Row],[Gestation (days)]]+0.5)/7)-0.00354*((Table1[[#This Row],[Gestation (days)]]+0.5)/7)^2)*Table1[[#This Row],[BW40_3705]],"")</f>
        <v/>
      </c>
      <c r="G9354" s="2" t="str">
        <f>IF(Table1[[#This Row],[Is Data Valid]]=TRUE,((Table1[[#This Row],[Birthweight (grams)]]/Table1[[#This Row],[BW_GA]])-1)/(Backend!$B$4/100*Table1[[#This Row],[BW40_3705]]),"")</f>
        <v/>
      </c>
      <c r="H9354" s="7" t="str">
        <f>IF(Table1[[#This Row],[Is Data Valid]]=TRUE,((Table1[[#This Row],[Birthweight (grams)]]*0.9/Table1[[#This Row],[BW_GA]])-1)/(Backend!$B$4/100*Table1[[#This Row],[BW40_3705]]),"")</f>
        <v/>
      </c>
      <c r="I9354" s="7" t="str">
        <f>IF(Table1[[#This Row],[Is Data Valid]]=TRUE,((Table1[[#This Row],[Birthweight (grams)]]*1.1/Table1[[#This Row],[BW_GA]])-1)/(Backend!$B$4/100*Table1[[#This Row],[BW40_3705]]),"")</f>
        <v/>
      </c>
      <c r="J9354" s="7" t="str">
        <f>IF(Table1[[#This Row],[Is Data Valid]]=TRUE,_xlfn.NORM.S.DIST(Table1[[#This Row],[Birthweight Z-Score]],TRUE)*100,"")</f>
        <v/>
      </c>
      <c r="K9354" s="7" t="str">
        <f>IF(Table1[[#This Row],[Is Data Valid]]=TRUE,_xlfn.NORM.S.DIST(Table1[[#This Row],[Birthweight Z-Score (BW-10%)]],TRUE)*100,"")</f>
        <v/>
      </c>
      <c r="L9354" s="7" t="str">
        <f>IF(Table1[[#This Row],[Is Data Valid]]=TRUE,_xlfn.NORM.S.DIST(Table1[[#This Row],[Birthweight Z-Score (BW+10%)]],TRUE)*100,"")</f>
        <v/>
      </c>
    </row>
    <row r="9355" spans="1:12" x14ac:dyDescent="0.35">
      <c r="A9355" s="3"/>
      <c r="B9355" s="2"/>
      <c r="C9355" s="2"/>
      <c r="D9355" s="2" t="b">
        <f>IF(AND(NOT(ISBLANK(Table1[[#This Row],[Fetal Sex (Male, Female or Unknown)]])),ISNUMBER(Table1[[#This Row],[Birthweight (grams)]]),ISNUMBER(Table1[[#This Row],[Gestation (days)]])),TRUE,FALSE)</f>
        <v>0</v>
      </c>
      <c r="E9355" s="2" t="str">
        <f>IF(Table1[[#This Row],[Is Data Valid]]=TRUE,IF(Table1[[#This Row],[Fetal Sex (Male, Female or Unknown)]]="Male",Backend!$C$6,IF(Table1[[#This Row],[Fetal Sex (Male, Female or Unknown)]]="Female",Backend!$C$7,IF(Table1[[#This Row],[Fetal Sex (Male, Female or Unknown)]]="Unknown",Backend!$C$8,"Error"))),"")</f>
        <v/>
      </c>
      <c r="F9355" s="8" t="str">
        <f>IF(Table1[[#This Row],[Is Data Valid]]=TRUE,EXP(0.578+0.332*((Table1[[#This Row],[Gestation (days)]]+0.5)/7)-0.00354*((Table1[[#This Row],[Gestation (days)]]+0.5)/7)^2)*Table1[[#This Row],[BW40_3705]],"")</f>
        <v/>
      </c>
      <c r="G9355" s="2" t="str">
        <f>IF(Table1[[#This Row],[Is Data Valid]]=TRUE,((Table1[[#This Row],[Birthweight (grams)]]/Table1[[#This Row],[BW_GA]])-1)/(Backend!$B$4/100*Table1[[#This Row],[BW40_3705]]),"")</f>
        <v/>
      </c>
      <c r="H9355" s="7" t="str">
        <f>IF(Table1[[#This Row],[Is Data Valid]]=TRUE,((Table1[[#This Row],[Birthweight (grams)]]*0.9/Table1[[#This Row],[BW_GA]])-1)/(Backend!$B$4/100*Table1[[#This Row],[BW40_3705]]),"")</f>
        <v/>
      </c>
      <c r="I9355" s="7" t="str">
        <f>IF(Table1[[#This Row],[Is Data Valid]]=TRUE,((Table1[[#This Row],[Birthweight (grams)]]*1.1/Table1[[#This Row],[BW_GA]])-1)/(Backend!$B$4/100*Table1[[#This Row],[BW40_3705]]),"")</f>
        <v/>
      </c>
      <c r="J9355" s="7" t="str">
        <f>IF(Table1[[#This Row],[Is Data Valid]]=TRUE,_xlfn.NORM.S.DIST(Table1[[#This Row],[Birthweight Z-Score]],TRUE)*100,"")</f>
        <v/>
      </c>
      <c r="K9355" s="7" t="str">
        <f>IF(Table1[[#This Row],[Is Data Valid]]=TRUE,_xlfn.NORM.S.DIST(Table1[[#This Row],[Birthweight Z-Score (BW-10%)]],TRUE)*100,"")</f>
        <v/>
      </c>
      <c r="L9355" s="7" t="str">
        <f>IF(Table1[[#This Row],[Is Data Valid]]=TRUE,_xlfn.NORM.S.DIST(Table1[[#This Row],[Birthweight Z-Score (BW+10%)]],TRUE)*100,"")</f>
        <v/>
      </c>
    </row>
    <row r="9356" spans="1:12" x14ac:dyDescent="0.35">
      <c r="A9356" s="3"/>
      <c r="B9356" s="2"/>
      <c r="C9356" s="2"/>
      <c r="D9356" s="2" t="b">
        <f>IF(AND(NOT(ISBLANK(Table1[[#This Row],[Fetal Sex (Male, Female or Unknown)]])),ISNUMBER(Table1[[#This Row],[Birthweight (grams)]]),ISNUMBER(Table1[[#This Row],[Gestation (days)]])),TRUE,FALSE)</f>
        <v>0</v>
      </c>
      <c r="E9356" s="2" t="str">
        <f>IF(Table1[[#This Row],[Is Data Valid]]=TRUE,IF(Table1[[#This Row],[Fetal Sex (Male, Female or Unknown)]]="Male",Backend!$C$6,IF(Table1[[#This Row],[Fetal Sex (Male, Female or Unknown)]]="Female",Backend!$C$7,IF(Table1[[#This Row],[Fetal Sex (Male, Female or Unknown)]]="Unknown",Backend!$C$8,"Error"))),"")</f>
        <v/>
      </c>
      <c r="F9356" s="8" t="str">
        <f>IF(Table1[[#This Row],[Is Data Valid]]=TRUE,EXP(0.578+0.332*((Table1[[#This Row],[Gestation (days)]]+0.5)/7)-0.00354*((Table1[[#This Row],[Gestation (days)]]+0.5)/7)^2)*Table1[[#This Row],[BW40_3705]],"")</f>
        <v/>
      </c>
      <c r="G9356" s="2" t="str">
        <f>IF(Table1[[#This Row],[Is Data Valid]]=TRUE,((Table1[[#This Row],[Birthweight (grams)]]/Table1[[#This Row],[BW_GA]])-1)/(Backend!$B$4/100*Table1[[#This Row],[BW40_3705]]),"")</f>
        <v/>
      </c>
      <c r="H9356" s="7" t="str">
        <f>IF(Table1[[#This Row],[Is Data Valid]]=TRUE,((Table1[[#This Row],[Birthweight (grams)]]*0.9/Table1[[#This Row],[BW_GA]])-1)/(Backend!$B$4/100*Table1[[#This Row],[BW40_3705]]),"")</f>
        <v/>
      </c>
      <c r="I9356" s="7" t="str">
        <f>IF(Table1[[#This Row],[Is Data Valid]]=TRUE,((Table1[[#This Row],[Birthweight (grams)]]*1.1/Table1[[#This Row],[BW_GA]])-1)/(Backend!$B$4/100*Table1[[#This Row],[BW40_3705]]),"")</f>
        <v/>
      </c>
      <c r="J9356" s="7" t="str">
        <f>IF(Table1[[#This Row],[Is Data Valid]]=TRUE,_xlfn.NORM.S.DIST(Table1[[#This Row],[Birthweight Z-Score]],TRUE)*100,"")</f>
        <v/>
      </c>
      <c r="K9356" s="7" t="str">
        <f>IF(Table1[[#This Row],[Is Data Valid]]=TRUE,_xlfn.NORM.S.DIST(Table1[[#This Row],[Birthweight Z-Score (BW-10%)]],TRUE)*100,"")</f>
        <v/>
      </c>
      <c r="L9356" s="7" t="str">
        <f>IF(Table1[[#This Row],[Is Data Valid]]=TRUE,_xlfn.NORM.S.DIST(Table1[[#This Row],[Birthweight Z-Score (BW+10%)]],TRUE)*100,"")</f>
        <v/>
      </c>
    </row>
    <row r="9357" spans="1:12" x14ac:dyDescent="0.35">
      <c r="A9357" s="3"/>
      <c r="B9357" s="2"/>
      <c r="C9357" s="2"/>
      <c r="D9357" s="2" t="b">
        <f>IF(AND(NOT(ISBLANK(Table1[[#This Row],[Fetal Sex (Male, Female or Unknown)]])),ISNUMBER(Table1[[#This Row],[Birthweight (grams)]]),ISNUMBER(Table1[[#This Row],[Gestation (days)]])),TRUE,FALSE)</f>
        <v>0</v>
      </c>
      <c r="E9357" s="2" t="str">
        <f>IF(Table1[[#This Row],[Is Data Valid]]=TRUE,IF(Table1[[#This Row],[Fetal Sex (Male, Female or Unknown)]]="Male",Backend!$C$6,IF(Table1[[#This Row],[Fetal Sex (Male, Female or Unknown)]]="Female",Backend!$C$7,IF(Table1[[#This Row],[Fetal Sex (Male, Female or Unknown)]]="Unknown",Backend!$C$8,"Error"))),"")</f>
        <v/>
      </c>
      <c r="F9357" s="8" t="str">
        <f>IF(Table1[[#This Row],[Is Data Valid]]=TRUE,EXP(0.578+0.332*((Table1[[#This Row],[Gestation (days)]]+0.5)/7)-0.00354*((Table1[[#This Row],[Gestation (days)]]+0.5)/7)^2)*Table1[[#This Row],[BW40_3705]],"")</f>
        <v/>
      </c>
      <c r="G9357" s="2" t="str">
        <f>IF(Table1[[#This Row],[Is Data Valid]]=TRUE,((Table1[[#This Row],[Birthweight (grams)]]/Table1[[#This Row],[BW_GA]])-1)/(Backend!$B$4/100*Table1[[#This Row],[BW40_3705]]),"")</f>
        <v/>
      </c>
      <c r="H9357" s="7" t="str">
        <f>IF(Table1[[#This Row],[Is Data Valid]]=TRUE,((Table1[[#This Row],[Birthweight (grams)]]*0.9/Table1[[#This Row],[BW_GA]])-1)/(Backend!$B$4/100*Table1[[#This Row],[BW40_3705]]),"")</f>
        <v/>
      </c>
      <c r="I9357" s="7" t="str">
        <f>IF(Table1[[#This Row],[Is Data Valid]]=TRUE,((Table1[[#This Row],[Birthweight (grams)]]*1.1/Table1[[#This Row],[BW_GA]])-1)/(Backend!$B$4/100*Table1[[#This Row],[BW40_3705]]),"")</f>
        <v/>
      </c>
      <c r="J9357" s="7" t="str">
        <f>IF(Table1[[#This Row],[Is Data Valid]]=TRUE,_xlfn.NORM.S.DIST(Table1[[#This Row],[Birthweight Z-Score]],TRUE)*100,"")</f>
        <v/>
      </c>
      <c r="K9357" s="7" t="str">
        <f>IF(Table1[[#This Row],[Is Data Valid]]=TRUE,_xlfn.NORM.S.DIST(Table1[[#This Row],[Birthweight Z-Score (BW-10%)]],TRUE)*100,"")</f>
        <v/>
      </c>
      <c r="L9357" s="7" t="str">
        <f>IF(Table1[[#This Row],[Is Data Valid]]=TRUE,_xlfn.NORM.S.DIST(Table1[[#This Row],[Birthweight Z-Score (BW+10%)]],TRUE)*100,"")</f>
        <v/>
      </c>
    </row>
    <row r="9358" spans="1:12" x14ac:dyDescent="0.35">
      <c r="A9358" s="3"/>
      <c r="B9358" s="2"/>
      <c r="C9358" s="2"/>
      <c r="D9358" s="2" t="b">
        <f>IF(AND(NOT(ISBLANK(Table1[[#This Row],[Fetal Sex (Male, Female or Unknown)]])),ISNUMBER(Table1[[#This Row],[Birthweight (grams)]]),ISNUMBER(Table1[[#This Row],[Gestation (days)]])),TRUE,FALSE)</f>
        <v>0</v>
      </c>
      <c r="E9358" s="2" t="str">
        <f>IF(Table1[[#This Row],[Is Data Valid]]=TRUE,IF(Table1[[#This Row],[Fetal Sex (Male, Female or Unknown)]]="Male",Backend!$C$6,IF(Table1[[#This Row],[Fetal Sex (Male, Female or Unknown)]]="Female",Backend!$C$7,IF(Table1[[#This Row],[Fetal Sex (Male, Female or Unknown)]]="Unknown",Backend!$C$8,"Error"))),"")</f>
        <v/>
      </c>
      <c r="F9358" s="8" t="str">
        <f>IF(Table1[[#This Row],[Is Data Valid]]=TRUE,EXP(0.578+0.332*((Table1[[#This Row],[Gestation (days)]]+0.5)/7)-0.00354*((Table1[[#This Row],[Gestation (days)]]+0.5)/7)^2)*Table1[[#This Row],[BW40_3705]],"")</f>
        <v/>
      </c>
      <c r="G9358" s="2" t="str">
        <f>IF(Table1[[#This Row],[Is Data Valid]]=TRUE,((Table1[[#This Row],[Birthweight (grams)]]/Table1[[#This Row],[BW_GA]])-1)/(Backend!$B$4/100*Table1[[#This Row],[BW40_3705]]),"")</f>
        <v/>
      </c>
      <c r="H9358" s="7" t="str">
        <f>IF(Table1[[#This Row],[Is Data Valid]]=TRUE,((Table1[[#This Row],[Birthweight (grams)]]*0.9/Table1[[#This Row],[BW_GA]])-1)/(Backend!$B$4/100*Table1[[#This Row],[BW40_3705]]),"")</f>
        <v/>
      </c>
      <c r="I9358" s="7" t="str">
        <f>IF(Table1[[#This Row],[Is Data Valid]]=TRUE,((Table1[[#This Row],[Birthweight (grams)]]*1.1/Table1[[#This Row],[BW_GA]])-1)/(Backend!$B$4/100*Table1[[#This Row],[BW40_3705]]),"")</f>
        <v/>
      </c>
      <c r="J9358" s="7" t="str">
        <f>IF(Table1[[#This Row],[Is Data Valid]]=TRUE,_xlfn.NORM.S.DIST(Table1[[#This Row],[Birthweight Z-Score]],TRUE)*100,"")</f>
        <v/>
      </c>
      <c r="K9358" s="7" t="str">
        <f>IF(Table1[[#This Row],[Is Data Valid]]=TRUE,_xlfn.NORM.S.DIST(Table1[[#This Row],[Birthweight Z-Score (BW-10%)]],TRUE)*100,"")</f>
        <v/>
      </c>
      <c r="L9358" s="7" t="str">
        <f>IF(Table1[[#This Row],[Is Data Valid]]=TRUE,_xlfn.NORM.S.DIST(Table1[[#This Row],[Birthweight Z-Score (BW+10%)]],TRUE)*100,"")</f>
        <v/>
      </c>
    </row>
    <row r="9359" spans="1:12" x14ac:dyDescent="0.35">
      <c r="A9359" s="3"/>
      <c r="B9359" s="2"/>
      <c r="C9359" s="2"/>
      <c r="D9359" s="2" t="b">
        <f>IF(AND(NOT(ISBLANK(Table1[[#This Row],[Fetal Sex (Male, Female or Unknown)]])),ISNUMBER(Table1[[#This Row],[Birthweight (grams)]]),ISNUMBER(Table1[[#This Row],[Gestation (days)]])),TRUE,FALSE)</f>
        <v>0</v>
      </c>
      <c r="E9359" s="2" t="str">
        <f>IF(Table1[[#This Row],[Is Data Valid]]=TRUE,IF(Table1[[#This Row],[Fetal Sex (Male, Female or Unknown)]]="Male",Backend!$C$6,IF(Table1[[#This Row],[Fetal Sex (Male, Female or Unknown)]]="Female",Backend!$C$7,IF(Table1[[#This Row],[Fetal Sex (Male, Female or Unknown)]]="Unknown",Backend!$C$8,"Error"))),"")</f>
        <v/>
      </c>
      <c r="F9359" s="8" t="str">
        <f>IF(Table1[[#This Row],[Is Data Valid]]=TRUE,EXP(0.578+0.332*((Table1[[#This Row],[Gestation (days)]]+0.5)/7)-0.00354*((Table1[[#This Row],[Gestation (days)]]+0.5)/7)^2)*Table1[[#This Row],[BW40_3705]],"")</f>
        <v/>
      </c>
      <c r="G9359" s="2" t="str">
        <f>IF(Table1[[#This Row],[Is Data Valid]]=TRUE,((Table1[[#This Row],[Birthweight (grams)]]/Table1[[#This Row],[BW_GA]])-1)/(Backend!$B$4/100*Table1[[#This Row],[BW40_3705]]),"")</f>
        <v/>
      </c>
      <c r="H9359" s="7" t="str">
        <f>IF(Table1[[#This Row],[Is Data Valid]]=TRUE,((Table1[[#This Row],[Birthweight (grams)]]*0.9/Table1[[#This Row],[BW_GA]])-1)/(Backend!$B$4/100*Table1[[#This Row],[BW40_3705]]),"")</f>
        <v/>
      </c>
      <c r="I9359" s="7" t="str">
        <f>IF(Table1[[#This Row],[Is Data Valid]]=TRUE,((Table1[[#This Row],[Birthweight (grams)]]*1.1/Table1[[#This Row],[BW_GA]])-1)/(Backend!$B$4/100*Table1[[#This Row],[BW40_3705]]),"")</f>
        <v/>
      </c>
      <c r="J9359" s="7" t="str">
        <f>IF(Table1[[#This Row],[Is Data Valid]]=TRUE,_xlfn.NORM.S.DIST(Table1[[#This Row],[Birthweight Z-Score]],TRUE)*100,"")</f>
        <v/>
      </c>
      <c r="K9359" s="7" t="str">
        <f>IF(Table1[[#This Row],[Is Data Valid]]=TRUE,_xlfn.NORM.S.DIST(Table1[[#This Row],[Birthweight Z-Score (BW-10%)]],TRUE)*100,"")</f>
        <v/>
      </c>
      <c r="L9359" s="7" t="str">
        <f>IF(Table1[[#This Row],[Is Data Valid]]=TRUE,_xlfn.NORM.S.DIST(Table1[[#This Row],[Birthweight Z-Score (BW+10%)]],TRUE)*100,"")</f>
        <v/>
      </c>
    </row>
    <row r="9360" spans="1:12" x14ac:dyDescent="0.35">
      <c r="A9360" s="3"/>
      <c r="B9360" s="2"/>
      <c r="C9360" s="2"/>
      <c r="D9360" s="2" t="b">
        <f>IF(AND(NOT(ISBLANK(Table1[[#This Row],[Fetal Sex (Male, Female or Unknown)]])),ISNUMBER(Table1[[#This Row],[Birthweight (grams)]]),ISNUMBER(Table1[[#This Row],[Gestation (days)]])),TRUE,FALSE)</f>
        <v>0</v>
      </c>
      <c r="E9360" s="2" t="str">
        <f>IF(Table1[[#This Row],[Is Data Valid]]=TRUE,IF(Table1[[#This Row],[Fetal Sex (Male, Female or Unknown)]]="Male",Backend!$C$6,IF(Table1[[#This Row],[Fetal Sex (Male, Female or Unknown)]]="Female",Backend!$C$7,IF(Table1[[#This Row],[Fetal Sex (Male, Female or Unknown)]]="Unknown",Backend!$C$8,"Error"))),"")</f>
        <v/>
      </c>
      <c r="F9360" s="8" t="str">
        <f>IF(Table1[[#This Row],[Is Data Valid]]=TRUE,EXP(0.578+0.332*((Table1[[#This Row],[Gestation (days)]]+0.5)/7)-0.00354*((Table1[[#This Row],[Gestation (days)]]+0.5)/7)^2)*Table1[[#This Row],[BW40_3705]],"")</f>
        <v/>
      </c>
      <c r="G9360" s="2" t="str">
        <f>IF(Table1[[#This Row],[Is Data Valid]]=TRUE,((Table1[[#This Row],[Birthweight (grams)]]/Table1[[#This Row],[BW_GA]])-1)/(Backend!$B$4/100*Table1[[#This Row],[BW40_3705]]),"")</f>
        <v/>
      </c>
      <c r="H9360" s="7" t="str">
        <f>IF(Table1[[#This Row],[Is Data Valid]]=TRUE,((Table1[[#This Row],[Birthweight (grams)]]*0.9/Table1[[#This Row],[BW_GA]])-1)/(Backend!$B$4/100*Table1[[#This Row],[BW40_3705]]),"")</f>
        <v/>
      </c>
      <c r="I9360" s="7" t="str">
        <f>IF(Table1[[#This Row],[Is Data Valid]]=TRUE,((Table1[[#This Row],[Birthweight (grams)]]*1.1/Table1[[#This Row],[BW_GA]])-1)/(Backend!$B$4/100*Table1[[#This Row],[BW40_3705]]),"")</f>
        <v/>
      </c>
      <c r="J9360" s="7" t="str">
        <f>IF(Table1[[#This Row],[Is Data Valid]]=TRUE,_xlfn.NORM.S.DIST(Table1[[#This Row],[Birthweight Z-Score]],TRUE)*100,"")</f>
        <v/>
      </c>
      <c r="K9360" s="7" t="str">
        <f>IF(Table1[[#This Row],[Is Data Valid]]=TRUE,_xlfn.NORM.S.DIST(Table1[[#This Row],[Birthweight Z-Score (BW-10%)]],TRUE)*100,"")</f>
        <v/>
      </c>
      <c r="L9360" s="7" t="str">
        <f>IF(Table1[[#This Row],[Is Data Valid]]=TRUE,_xlfn.NORM.S.DIST(Table1[[#This Row],[Birthweight Z-Score (BW+10%)]],TRUE)*100,"")</f>
        <v/>
      </c>
    </row>
    <row r="9361" spans="1:12" x14ac:dyDescent="0.35">
      <c r="A9361" s="3"/>
      <c r="B9361" s="2"/>
      <c r="C9361" s="2"/>
      <c r="D9361" s="2" t="b">
        <f>IF(AND(NOT(ISBLANK(Table1[[#This Row],[Fetal Sex (Male, Female or Unknown)]])),ISNUMBER(Table1[[#This Row],[Birthweight (grams)]]),ISNUMBER(Table1[[#This Row],[Gestation (days)]])),TRUE,FALSE)</f>
        <v>0</v>
      </c>
      <c r="E9361" s="2" t="str">
        <f>IF(Table1[[#This Row],[Is Data Valid]]=TRUE,IF(Table1[[#This Row],[Fetal Sex (Male, Female or Unknown)]]="Male",Backend!$C$6,IF(Table1[[#This Row],[Fetal Sex (Male, Female or Unknown)]]="Female",Backend!$C$7,IF(Table1[[#This Row],[Fetal Sex (Male, Female or Unknown)]]="Unknown",Backend!$C$8,"Error"))),"")</f>
        <v/>
      </c>
      <c r="F9361" s="8" t="str">
        <f>IF(Table1[[#This Row],[Is Data Valid]]=TRUE,EXP(0.578+0.332*((Table1[[#This Row],[Gestation (days)]]+0.5)/7)-0.00354*((Table1[[#This Row],[Gestation (days)]]+0.5)/7)^2)*Table1[[#This Row],[BW40_3705]],"")</f>
        <v/>
      </c>
      <c r="G9361" s="2" t="str">
        <f>IF(Table1[[#This Row],[Is Data Valid]]=TRUE,((Table1[[#This Row],[Birthweight (grams)]]/Table1[[#This Row],[BW_GA]])-1)/(Backend!$B$4/100*Table1[[#This Row],[BW40_3705]]),"")</f>
        <v/>
      </c>
      <c r="H9361" s="7" t="str">
        <f>IF(Table1[[#This Row],[Is Data Valid]]=TRUE,((Table1[[#This Row],[Birthweight (grams)]]*0.9/Table1[[#This Row],[BW_GA]])-1)/(Backend!$B$4/100*Table1[[#This Row],[BW40_3705]]),"")</f>
        <v/>
      </c>
      <c r="I9361" s="7" t="str">
        <f>IF(Table1[[#This Row],[Is Data Valid]]=TRUE,((Table1[[#This Row],[Birthweight (grams)]]*1.1/Table1[[#This Row],[BW_GA]])-1)/(Backend!$B$4/100*Table1[[#This Row],[BW40_3705]]),"")</f>
        <v/>
      </c>
      <c r="J9361" s="7" t="str">
        <f>IF(Table1[[#This Row],[Is Data Valid]]=TRUE,_xlfn.NORM.S.DIST(Table1[[#This Row],[Birthweight Z-Score]],TRUE)*100,"")</f>
        <v/>
      </c>
      <c r="K9361" s="7" t="str">
        <f>IF(Table1[[#This Row],[Is Data Valid]]=TRUE,_xlfn.NORM.S.DIST(Table1[[#This Row],[Birthweight Z-Score (BW-10%)]],TRUE)*100,"")</f>
        <v/>
      </c>
      <c r="L9361" s="7" t="str">
        <f>IF(Table1[[#This Row],[Is Data Valid]]=TRUE,_xlfn.NORM.S.DIST(Table1[[#This Row],[Birthweight Z-Score (BW+10%)]],TRUE)*100,"")</f>
        <v/>
      </c>
    </row>
    <row r="9362" spans="1:12" x14ac:dyDescent="0.35">
      <c r="A9362" s="3"/>
      <c r="B9362" s="2"/>
      <c r="C9362" s="2"/>
      <c r="D9362" s="2" t="b">
        <f>IF(AND(NOT(ISBLANK(Table1[[#This Row],[Fetal Sex (Male, Female or Unknown)]])),ISNUMBER(Table1[[#This Row],[Birthweight (grams)]]),ISNUMBER(Table1[[#This Row],[Gestation (days)]])),TRUE,FALSE)</f>
        <v>0</v>
      </c>
      <c r="E9362" s="2" t="str">
        <f>IF(Table1[[#This Row],[Is Data Valid]]=TRUE,IF(Table1[[#This Row],[Fetal Sex (Male, Female or Unknown)]]="Male",Backend!$C$6,IF(Table1[[#This Row],[Fetal Sex (Male, Female or Unknown)]]="Female",Backend!$C$7,IF(Table1[[#This Row],[Fetal Sex (Male, Female or Unknown)]]="Unknown",Backend!$C$8,"Error"))),"")</f>
        <v/>
      </c>
      <c r="F9362" s="8" t="str">
        <f>IF(Table1[[#This Row],[Is Data Valid]]=TRUE,EXP(0.578+0.332*((Table1[[#This Row],[Gestation (days)]]+0.5)/7)-0.00354*((Table1[[#This Row],[Gestation (days)]]+0.5)/7)^2)*Table1[[#This Row],[BW40_3705]],"")</f>
        <v/>
      </c>
      <c r="G9362" s="2" t="str">
        <f>IF(Table1[[#This Row],[Is Data Valid]]=TRUE,((Table1[[#This Row],[Birthweight (grams)]]/Table1[[#This Row],[BW_GA]])-1)/(Backend!$B$4/100*Table1[[#This Row],[BW40_3705]]),"")</f>
        <v/>
      </c>
      <c r="H9362" s="7" t="str">
        <f>IF(Table1[[#This Row],[Is Data Valid]]=TRUE,((Table1[[#This Row],[Birthweight (grams)]]*0.9/Table1[[#This Row],[BW_GA]])-1)/(Backend!$B$4/100*Table1[[#This Row],[BW40_3705]]),"")</f>
        <v/>
      </c>
      <c r="I9362" s="7" t="str">
        <f>IF(Table1[[#This Row],[Is Data Valid]]=TRUE,((Table1[[#This Row],[Birthweight (grams)]]*1.1/Table1[[#This Row],[BW_GA]])-1)/(Backend!$B$4/100*Table1[[#This Row],[BW40_3705]]),"")</f>
        <v/>
      </c>
      <c r="J9362" s="7" t="str">
        <f>IF(Table1[[#This Row],[Is Data Valid]]=TRUE,_xlfn.NORM.S.DIST(Table1[[#This Row],[Birthweight Z-Score]],TRUE)*100,"")</f>
        <v/>
      </c>
      <c r="K9362" s="7" t="str">
        <f>IF(Table1[[#This Row],[Is Data Valid]]=TRUE,_xlfn.NORM.S.DIST(Table1[[#This Row],[Birthweight Z-Score (BW-10%)]],TRUE)*100,"")</f>
        <v/>
      </c>
      <c r="L9362" s="7" t="str">
        <f>IF(Table1[[#This Row],[Is Data Valid]]=TRUE,_xlfn.NORM.S.DIST(Table1[[#This Row],[Birthweight Z-Score (BW+10%)]],TRUE)*100,"")</f>
        <v/>
      </c>
    </row>
    <row r="9363" spans="1:12" x14ac:dyDescent="0.35">
      <c r="A9363" s="3"/>
      <c r="B9363" s="2"/>
      <c r="C9363" s="2"/>
      <c r="D9363" s="2" t="b">
        <f>IF(AND(NOT(ISBLANK(Table1[[#This Row],[Fetal Sex (Male, Female or Unknown)]])),ISNUMBER(Table1[[#This Row],[Birthweight (grams)]]),ISNUMBER(Table1[[#This Row],[Gestation (days)]])),TRUE,FALSE)</f>
        <v>0</v>
      </c>
      <c r="E9363" s="2" t="str">
        <f>IF(Table1[[#This Row],[Is Data Valid]]=TRUE,IF(Table1[[#This Row],[Fetal Sex (Male, Female or Unknown)]]="Male",Backend!$C$6,IF(Table1[[#This Row],[Fetal Sex (Male, Female or Unknown)]]="Female",Backend!$C$7,IF(Table1[[#This Row],[Fetal Sex (Male, Female or Unknown)]]="Unknown",Backend!$C$8,"Error"))),"")</f>
        <v/>
      </c>
      <c r="F9363" s="8" t="str">
        <f>IF(Table1[[#This Row],[Is Data Valid]]=TRUE,EXP(0.578+0.332*((Table1[[#This Row],[Gestation (days)]]+0.5)/7)-0.00354*((Table1[[#This Row],[Gestation (days)]]+0.5)/7)^2)*Table1[[#This Row],[BW40_3705]],"")</f>
        <v/>
      </c>
      <c r="G9363" s="2" t="str">
        <f>IF(Table1[[#This Row],[Is Data Valid]]=TRUE,((Table1[[#This Row],[Birthweight (grams)]]/Table1[[#This Row],[BW_GA]])-1)/(Backend!$B$4/100*Table1[[#This Row],[BW40_3705]]),"")</f>
        <v/>
      </c>
      <c r="H9363" s="7" t="str">
        <f>IF(Table1[[#This Row],[Is Data Valid]]=TRUE,((Table1[[#This Row],[Birthweight (grams)]]*0.9/Table1[[#This Row],[BW_GA]])-1)/(Backend!$B$4/100*Table1[[#This Row],[BW40_3705]]),"")</f>
        <v/>
      </c>
      <c r="I9363" s="7" t="str">
        <f>IF(Table1[[#This Row],[Is Data Valid]]=TRUE,((Table1[[#This Row],[Birthweight (grams)]]*1.1/Table1[[#This Row],[BW_GA]])-1)/(Backend!$B$4/100*Table1[[#This Row],[BW40_3705]]),"")</f>
        <v/>
      </c>
      <c r="J9363" s="7" t="str">
        <f>IF(Table1[[#This Row],[Is Data Valid]]=TRUE,_xlfn.NORM.S.DIST(Table1[[#This Row],[Birthweight Z-Score]],TRUE)*100,"")</f>
        <v/>
      </c>
      <c r="K9363" s="7" t="str">
        <f>IF(Table1[[#This Row],[Is Data Valid]]=TRUE,_xlfn.NORM.S.DIST(Table1[[#This Row],[Birthweight Z-Score (BW-10%)]],TRUE)*100,"")</f>
        <v/>
      </c>
      <c r="L9363" s="7" t="str">
        <f>IF(Table1[[#This Row],[Is Data Valid]]=TRUE,_xlfn.NORM.S.DIST(Table1[[#This Row],[Birthweight Z-Score (BW+10%)]],TRUE)*100,"")</f>
        <v/>
      </c>
    </row>
    <row r="9364" spans="1:12" x14ac:dyDescent="0.35">
      <c r="A9364" s="3"/>
      <c r="B9364" s="2"/>
      <c r="C9364" s="2"/>
      <c r="D9364" s="2" t="b">
        <f>IF(AND(NOT(ISBLANK(Table1[[#This Row],[Fetal Sex (Male, Female or Unknown)]])),ISNUMBER(Table1[[#This Row],[Birthweight (grams)]]),ISNUMBER(Table1[[#This Row],[Gestation (days)]])),TRUE,FALSE)</f>
        <v>0</v>
      </c>
      <c r="E9364" s="2" t="str">
        <f>IF(Table1[[#This Row],[Is Data Valid]]=TRUE,IF(Table1[[#This Row],[Fetal Sex (Male, Female or Unknown)]]="Male",Backend!$C$6,IF(Table1[[#This Row],[Fetal Sex (Male, Female or Unknown)]]="Female",Backend!$C$7,IF(Table1[[#This Row],[Fetal Sex (Male, Female or Unknown)]]="Unknown",Backend!$C$8,"Error"))),"")</f>
        <v/>
      </c>
      <c r="F9364" s="8" t="str">
        <f>IF(Table1[[#This Row],[Is Data Valid]]=TRUE,EXP(0.578+0.332*((Table1[[#This Row],[Gestation (days)]]+0.5)/7)-0.00354*((Table1[[#This Row],[Gestation (days)]]+0.5)/7)^2)*Table1[[#This Row],[BW40_3705]],"")</f>
        <v/>
      </c>
      <c r="G9364" s="2" t="str">
        <f>IF(Table1[[#This Row],[Is Data Valid]]=TRUE,((Table1[[#This Row],[Birthweight (grams)]]/Table1[[#This Row],[BW_GA]])-1)/(Backend!$B$4/100*Table1[[#This Row],[BW40_3705]]),"")</f>
        <v/>
      </c>
      <c r="H9364" s="7" t="str">
        <f>IF(Table1[[#This Row],[Is Data Valid]]=TRUE,((Table1[[#This Row],[Birthweight (grams)]]*0.9/Table1[[#This Row],[BW_GA]])-1)/(Backend!$B$4/100*Table1[[#This Row],[BW40_3705]]),"")</f>
        <v/>
      </c>
      <c r="I9364" s="7" t="str">
        <f>IF(Table1[[#This Row],[Is Data Valid]]=TRUE,((Table1[[#This Row],[Birthweight (grams)]]*1.1/Table1[[#This Row],[BW_GA]])-1)/(Backend!$B$4/100*Table1[[#This Row],[BW40_3705]]),"")</f>
        <v/>
      </c>
      <c r="J9364" s="7" t="str">
        <f>IF(Table1[[#This Row],[Is Data Valid]]=TRUE,_xlfn.NORM.S.DIST(Table1[[#This Row],[Birthweight Z-Score]],TRUE)*100,"")</f>
        <v/>
      </c>
      <c r="K9364" s="7" t="str">
        <f>IF(Table1[[#This Row],[Is Data Valid]]=TRUE,_xlfn.NORM.S.DIST(Table1[[#This Row],[Birthweight Z-Score (BW-10%)]],TRUE)*100,"")</f>
        <v/>
      </c>
      <c r="L9364" s="7" t="str">
        <f>IF(Table1[[#This Row],[Is Data Valid]]=TRUE,_xlfn.NORM.S.DIST(Table1[[#This Row],[Birthweight Z-Score (BW+10%)]],TRUE)*100,"")</f>
        <v/>
      </c>
    </row>
    <row r="9365" spans="1:12" x14ac:dyDescent="0.35">
      <c r="A9365" s="3"/>
      <c r="B9365" s="2"/>
      <c r="C9365" s="2"/>
      <c r="D9365" s="2" t="b">
        <f>IF(AND(NOT(ISBLANK(Table1[[#This Row],[Fetal Sex (Male, Female or Unknown)]])),ISNUMBER(Table1[[#This Row],[Birthweight (grams)]]),ISNUMBER(Table1[[#This Row],[Gestation (days)]])),TRUE,FALSE)</f>
        <v>0</v>
      </c>
      <c r="E9365" s="2" t="str">
        <f>IF(Table1[[#This Row],[Is Data Valid]]=TRUE,IF(Table1[[#This Row],[Fetal Sex (Male, Female or Unknown)]]="Male",Backend!$C$6,IF(Table1[[#This Row],[Fetal Sex (Male, Female or Unknown)]]="Female",Backend!$C$7,IF(Table1[[#This Row],[Fetal Sex (Male, Female or Unknown)]]="Unknown",Backend!$C$8,"Error"))),"")</f>
        <v/>
      </c>
      <c r="F9365" s="8" t="str">
        <f>IF(Table1[[#This Row],[Is Data Valid]]=TRUE,EXP(0.578+0.332*((Table1[[#This Row],[Gestation (days)]]+0.5)/7)-0.00354*((Table1[[#This Row],[Gestation (days)]]+0.5)/7)^2)*Table1[[#This Row],[BW40_3705]],"")</f>
        <v/>
      </c>
      <c r="G9365" s="2" t="str">
        <f>IF(Table1[[#This Row],[Is Data Valid]]=TRUE,((Table1[[#This Row],[Birthweight (grams)]]/Table1[[#This Row],[BW_GA]])-1)/(Backend!$B$4/100*Table1[[#This Row],[BW40_3705]]),"")</f>
        <v/>
      </c>
      <c r="H9365" s="7" t="str">
        <f>IF(Table1[[#This Row],[Is Data Valid]]=TRUE,((Table1[[#This Row],[Birthweight (grams)]]*0.9/Table1[[#This Row],[BW_GA]])-1)/(Backend!$B$4/100*Table1[[#This Row],[BW40_3705]]),"")</f>
        <v/>
      </c>
      <c r="I9365" s="7" t="str">
        <f>IF(Table1[[#This Row],[Is Data Valid]]=TRUE,((Table1[[#This Row],[Birthweight (grams)]]*1.1/Table1[[#This Row],[BW_GA]])-1)/(Backend!$B$4/100*Table1[[#This Row],[BW40_3705]]),"")</f>
        <v/>
      </c>
      <c r="J9365" s="7" t="str">
        <f>IF(Table1[[#This Row],[Is Data Valid]]=TRUE,_xlfn.NORM.S.DIST(Table1[[#This Row],[Birthweight Z-Score]],TRUE)*100,"")</f>
        <v/>
      </c>
      <c r="K9365" s="7" t="str">
        <f>IF(Table1[[#This Row],[Is Data Valid]]=TRUE,_xlfn.NORM.S.DIST(Table1[[#This Row],[Birthweight Z-Score (BW-10%)]],TRUE)*100,"")</f>
        <v/>
      </c>
      <c r="L9365" s="7" t="str">
        <f>IF(Table1[[#This Row],[Is Data Valid]]=TRUE,_xlfn.NORM.S.DIST(Table1[[#This Row],[Birthweight Z-Score (BW+10%)]],TRUE)*100,"")</f>
        <v/>
      </c>
    </row>
    <row r="9366" spans="1:12" x14ac:dyDescent="0.35">
      <c r="A9366" s="3"/>
      <c r="B9366" s="2"/>
      <c r="C9366" s="2"/>
      <c r="D9366" s="2" t="b">
        <f>IF(AND(NOT(ISBLANK(Table1[[#This Row],[Fetal Sex (Male, Female or Unknown)]])),ISNUMBER(Table1[[#This Row],[Birthweight (grams)]]),ISNUMBER(Table1[[#This Row],[Gestation (days)]])),TRUE,FALSE)</f>
        <v>0</v>
      </c>
      <c r="E9366" s="2" t="str">
        <f>IF(Table1[[#This Row],[Is Data Valid]]=TRUE,IF(Table1[[#This Row],[Fetal Sex (Male, Female or Unknown)]]="Male",Backend!$C$6,IF(Table1[[#This Row],[Fetal Sex (Male, Female or Unknown)]]="Female",Backend!$C$7,IF(Table1[[#This Row],[Fetal Sex (Male, Female or Unknown)]]="Unknown",Backend!$C$8,"Error"))),"")</f>
        <v/>
      </c>
      <c r="F9366" s="8" t="str">
        <f>IF(Table1[[#This Row],[Is Data Valid]]=TRUE,EXP(0.578+0.332*((Table1[[#This Row],[Gestation (days)]]+0.5)/7)-0.00354*((Table1[[#This Row],[Gestation (days)]]+0.5)/7)^2)*Table1[[#This Row],[BW40_3705]],"")</f>
        <v/>
      </c>
      <c r="G9366" s="2" t="str">
        <f>IF(Table1[[#This Row],[Is Data Valid]]=TRUE,((Table1[[#This Row],[Birthweight (grams)]]/Table1[[#This Row],[BW_GA]])-1)/(Backend!$B$4/100*Table1[[#This Row],[BW40_3705]]),"")</f>
        <v/>
      </c>
      <c r="H9366" s="7" t="str">
        <f>IF(Table1[[#This Row],[Is Data Valid]]=TRUE,((Table1[[#This Row],[Birthweight (grams)]]*0.9/Table1[[#This Row],[BW_GA]])-1)/(Backend!$B$4/100*Table1[[#This Row],[BW40_3705]]),"")</f>
        <v/>
      </c>
      <c r="I9366" s="7" t="str">
        <f>IF(Table1[[#This Row],[Is Data Valid]]=TRUE,((Table1[[#This Row],[Birthweight (grams)]]*1.1/Table1[[#This Row],[BW_GA]])-1)/(Backend!$B$4/100*Table1[[#This Row],[BW40_3705]]),"")</f>
        <v/>
      </c>
      <c r="J9366" s="7" t="str">
        <f>IF(Table1[[#This Row],[Is Data Valid]]=TRUE,_xlfn.NORM.S.DIST(Table1[[#This Row],[Birthweight Z-Score]],TRUE)*100,"")</f>
        <v/>
      </c>
      <c r="K9366" s="7" t="str">
        <f>IF(Table1[[#This Row],[Is Data Valid]]=TRUE,_xlfn.NORM.S.DIST(Table1[[#This Row],[Birthweight Z-Score (BW-10%)]],TRUE)*100,"")</f>
        <v/>
      </c>
      <c r="L9366" s="7" t="str">
        <f>IF(Table1[[#This Row],[Is Data Valid]]=TRUE,_xlfn.NORM.S.DIST(Table1[[#This Row],[Birthweight Z-Score (BW+10%)]],TRUE)*100,"")</f>
        <v/>
      </c>
    </row>
    <row r="9367" spans="1:12" x14ac:dyDescent="0.35">
      <c r="A9367" s="3"/>
      <c r="B9367" s="2"/>
      <c r="C9367" s="2"/>
      <c r="D9367" s="2" t="b">
        <f>IF(AND(NOT(ISBLANK(Table1[[#This Row],[Fetal Sex (Male, Female or Unknown)]])),ISNUMBER(Table1[[#This Row],[Birthweight (grams)]]),ISNUMBER(Table1[[#This Row],[Gestation (days)]])),TRUE,FALSE)</f>
        <v>0</v>
      </c>
      <c r="E9367" s="2" t="str">
        <f>IF(Table1[[#This Row],[Is Data Valid]]=TRUE,IF(Table1[[#This Row],[Fetal Sex (Male, Female or Unknown)]]="Male",Backend!$C$6,IF(Table1[[#This Row],[Fetal Sex (Male, Female or Unknown)]]="Female",Backend!$C$7,IF(Table1[[#This Row],[Fetal Sex (Male, Female or Unknown)]]="Unknown",Backend!$C$8,"Error"))),"")</f>
        <v/>
      </c>
      <c r="F9367" s="8" t="str">
        <f>IF(Table1[[#This Row],[Is Data Valid]]=TRUE,EXP(0.578+0.332*((Table1[[#This Row],[Gestation (days)]]+0.5)/7)-0.00354*((Table1[[#This Row],[Gestation (days)]]+0.5)/7)^2)*Table1[[#This Row],[BW40_3705]],"")</f>
        <v/>
      </c>
      <c r="G9367" s="2" t="str">
        <f>IF(Table1[[#This Row],[Is Data Valid]]=TRUE,((Table1[[#This Row],[Birthweight (grams)]]/Table1[[#This Row],[BW_GA]])-1)/(Backend!$B$4/100*Table1[[#This Row],[BW40_3705]]),"")</f>
        <v/>
      </c>
      <c r="H9367" s="7" t="str">
        <f>IF(Table1[[#This Row],[Is Data Valid]]=TRUE,((Table1[[#This Row],[Birthweight (grams)]]*0.9/Table1[[#This Row],[BW_GA]])-1)/(Backend!$B$4/100*Table1[[#This Row],[BW40_3705]]),"")</f>
        <v/>
      </c>
      <c r="I9367" s="7" t="str">
        <f>IF(Table1[[#This Row],[Is Data Valid]]=TRUE,((Table1[[#This Row],[Birthweight (grams)]]*1.1/Table1[[#This Row],[BW_GA]])-1)/(Backend!$B$4/100*Table1[[#This Row],[BW40_3705]]),"")</f>
        <v/>
      </c>
      <c r="J9367" s="7" t="str">
        <f>IF(Table1[[#This Row],[Is Data Valid]]=TRUE,_xlfn.NORM.S.DIST(Table1[[#This Row],[Birthweight Z-Score]],TRUE)*100,"")</f>
        <v/>
      </c>
      <c r="K9367" s="7" t="str">
        <f>IF(Table1[[#This Row],[Is Data Valid]]=TRUE,_xlfn.NORM.S.DIST(Table1[[#This Row],[Birthweight Z-Score (BW-10%)]],TRUE)*100,"")</f>
        <v/>
      </c>
      <c r="L9367" s="7" t="str">
        <f>IF(Table1[[#This Row],[Is Data Valid]]=TRUE,_xlfn.NORM.S.DIST(Table1[[#This Row],[Birthweight Z-Score (BW+10%)]],TRUE)*100,"")</f>
        <v/>
      </c>
    </row>
    <row r="9368" spans="1:12" x14ac:dyDescent="0.35">
      <c r="A9368" s="3"/>
      <c r="B9368" s="2"/>
      <c r="C9368" s="2"/>
      <c r="D9368" s="2" t="b">
        <f>IF(AND(NOT(ISBLANK(Table1[[#This Row],[Fetal Sex (Male, Female or Unknown)]])),ISNUMBER(Table1[[#This Row],[Birthweight (grams)]]),ISNUMBER(Table1[[#This Row],[Gestation (days)]])),TRUE,FALSE)</f>
        <v>0</v>
      </c>
      <c r="E9368" s="2" t="str">
        <f>IF(Table1[[#This Row],[Is Data Valid]]=TRUE,IF(Table1[[#This Row],[Fetal Sex (Male, Female or Unknown)]]="Male",Backend!$C$6,IF(Table1[[#This Row],[Fetal Sex (Male, Female or Unknown)]]="Female",Backend!$C$7,IF(Table1[[#This Row],[Fetal Sex (Male, Female or Unknown)]]="Unknown",Backend!$C$8,"Error"))),"")</f>
        <v/>
      </c>
      <c r="F9368" s="8" t="str">
        <f>IF(Table1[[#This Row],[Is Data Valid]]=TRUE,EXP(0.578+0.332*((Table1[[#This Row],[Gestation (days)]]+0.5)/7)-0.00354*((Table1[[#This Row],[Gestation (days)]]+0.5)/7)^2)*Table1[[#This Row],[BW40_3705]],"")</f>
        <v/>
      </c>
      <c r="G9368" s="2" t="str">
        <f>IF(Table1[[#This Row],[Is Data Valid]]=TRUE,((Table1[[#This Row],[Birthweight (grams)]]/Table1[[#This Row],[BW_GA]])-1)/(Backend!$B$4/100*Table1[[#This Row],[BW40_3705]]),"")</f>
        <v/>
      </c>
      <c r="H9368" s="7" t="str">
        <f>IF(Table1[[#This Row],[Is Data Valid]]=TRUE,((Table1[[#This Row],[Birthweight (grams)]]*0.9/Table1[[#This Row],[BW_GA]])-1)/(Backend!$B$4/100*Table1[[#This Row],[BW40_3705]]),"")</f>
        <v/>
      </c>
      <c r="I9368" s="7" t="str">
        <f>IF(Table1[[#This Row],[Is Data Valid]]=TRUE,((Table1[[#This Row],[Birthweight (grams)]]*1.1/Table1[[#This Row],[BW_GA]])-1)/(Backend!$B$4/100*Table1[[#This Row],[BW40_3705]]),"")</f>
        <v/>
      </c>
      <c r="J9368" s="7" t="str">
        <f>IF(Table1[[#This Row],[Is Data Valid]]=TRUE,_xlfn.NORM.S.DIST(Table1[[#This Row],[Birthweight Z-Score]],TRUE)*100,"")</f>
        <v/>
      </c>
      <c r="K9368" s="7" t="str">
        <f>IF(Table1[[#This Row],[Is Data Valid]]=TRUE,_xlfn.NORM.S.DIST(Table1[[#This Row],[Birthweight Z-Score (BW-10%)]],TRUE)*100,"")</f>
        <v/>
      </c>
      <c r="L9368" s="7" t="str">
        <f>IF(Table1[[#This Row],[Is Data Valid]]=TRUE,_xlfn.NORM.S.DIST(Table1[[#This Row],[Birthweight Z-Score (BW+10%)]],TRUE)*100,"")</f>
        <v/>
      </c>
    </row>
    <row r="9369" spans="1:12" x14ac:dyDescent="0.35">
      <c r="A9369" s="3"/>
      <c r="B9369" s="2"/>
      <c r="C9369" s="2"/>
      <c r="D9369" s="2" t="b">
        <f>IF(AND(NOT(ISBLANK(Table1[[#This Row],[Fetal Sex (Male, Female or Unknown)]])),ISNUMBER(Table1[[#This Row],[Birthweight (grams)]]),ISNUMBER(Table1[[#This Row],[Gestation (days)]])),TRUE,FALSE)</f>
        <v>0</v>
      </c>
      <c r="E9369" s="2" t="str">
        <f>IF(Table1[[#This Row],[Is Data Valid]]=TRUE,IF(Table1[[#This Row],[Fetal Sex (Male, Female or Unknown)]]="Male",Backend!$C$6,IF(Table1[[#This Row],[Fetal Sex (Male, Female or Unknown)]]="Female",Backend!$C$7,IF(Table1[[#This Row],[Fetal Sex (Male, Female or Unknown)]]="Unknown",Backend!$C$8,"Error"))),"")</f>
        <v/>
      </c>
      <c r="F9369" s="8" t="str">
        <f>IF(Table1[[#This Row],[Is Data Valid]]=TRUE,EXP(0.578+0.332*((Table1[[#This Row],[Gestation (days)]]+0.5)/7)-0.00354*((Table1[[#This Row],[Gestation (days)]]+0.5)/7)^2)*Table1[[#This Row],[BW40_3705]],"")</f>
        <v/>
      </c>
      <c r="G9369" s="2" t="str">
        <f>IF(Table1[[#This Row],[Is Data Valid]]=TRUE,((Table1[[#This Row],[Birthweight (grams)]]/Table1[[#This Row],[BW_GA]])-1)/(Backend!$B$4/100*Table1[[#This Row],[BW40_3705]]),"")</f>
        <v/>
      </c>
      <c r="H9369" s="7" t="str">
        <f>IF(Table1[[#This Row],[Is Data Valid]]=TRUE,((Table1[[#This Row],[Birthweight (grams)]]*0.9/Table1[[#This Row],[BW_GA]])-1)/(Backend!$B$4/100*Table1[[#This Row],[BW40_3705]]),"")</f>
        <v/>
      </c>
      <c r="I9369" s="7" t="str">
        <f>IF(Table1[[#This Row],[Is Data Valid]]=TRUE,((Table1[[#This Row],[Birthweight (grams)]]*1.1/Table1[[#This Row],[BW_GA]])-1)/(Backend!$B$4/100*Table1[[#This Row],[BW40_3705]]),"")</f>
        <v/>
      </c>
      <c r="J9369" s="7" t="str">
        <f>IF(Table1[[#This Row],[Is Data Valid]]=TRUE,_xlfn.NORM.S.DIST(Table1[[#This Row],[Birthweight Z-Score]],TRUE)*100,"")</f>
        <v/>
      </c>
      <c r="K9369" s="7" t="str">
        <f>IF(Table1[[#This Row],[Is Data Valid]]=TRUE,_xlfn.NORM.S.DIST(Table1[[#This Row],[Birthweight Z-Score (BW-10%)]],TRUE)*100,"")</f>
        <v/>
      </c>
      <c r="L9369" s="7" t="str">
        <f>IF(Table1[[#This Row],[Is Data Valid]]=TRUE,_xlfn.NORM.S.DIST(Table1[[#This Row],[Birthweight Z-Score (BW+10%)]],TRUE)*100,"")</f>
        <v/>
      </c>
    </row>
    <row r="9370" spans="1:12" x14ac:dyDescent="0.35">
      <c r="A9370" s="3"/>
      <c r="B9370" s="2"/>
      <c r="C9370" s="2"/>
      <c r="D9370" s="2" t="b">
        <f>IF(AND(NOT(ISBLANK(Table1[[#This Row],[Fetal Sex (Male, Female or Unknown)]])),ISNUMBER(Table1[[#This Row],[Birthweight (grams)]]),ISNUMBER(Table1[[#This Row],[Gestation (days)]])),TRUE,FALSE)</f>
        <v>0</v>
      </c>
      <c r="E9370" s="2" t="str">
        <f>IF(Table1[[#This Row],[Is Data Valid]]=TRUE,IF(Table1[[#This Row],[Fetal Sex (Male, Female or Unknown)]]="Male",Backend!$C$6,IF(Table1[[#This Row],[Fetal Sex (Male, Female or Unknown)]]="Female",Backend!$C$7,IF(Table1[[#This Row],[Fetal Sex (Male, Female or Unknown)]]="Unknown",Backend!$C$8,"Error"))),"")</f>
        <v/>
      </c>
      <c r="F9370" s="8" t="str">
        <f>IF(Table1[[#This Row],[Is Data Valid]]=TRUE,EXP(0.578+0.332*((Table1[[#This Row],[Gestation (days)]]+0.5)/7)-0.00354*((Table1[[#This Row],[Gestation (days)]]+0.5)/7)^2)*Table1[[#This Row],[BW40_3705]],"")</f>
        <v/>
      </c>
      <c r="G9370" s="2" t="str">
        <f>IF(Table1[[#This Row],[Is Data Valid]]=TRUE,((Table1[[#This Row],[Birthweight (grams)]]/Table1[[#This Row],[BW_GA]])-1)/(Backend!$B$4/100*Table1[[#This Row],[BW40_3705]]),"")</f>
        <v/>
      </c>
      <c r="H9370" s="7" t="str">
        <f>IF(Table1[[#This Row],[Is Data Valid]]=TRUE,((Table1[[#This Row],[Birthweight (grams)]]*0.9/Table1[[#This Row],[BW_GA]])-1)/(Backend!$B$4/100*Table1[[#This Row],[BW40_3705]]),"")</f>
        <v/>
      </c>
      <c r="I9370" s="7" t="str">
        <f>IF(Table1[[#This Row],[Is Data Valid]]=TRUE,((Table1[[#This Row],[Birthweight (grams)]]*1.1/Table1[[#This Row],[BW_GA]])-1)/(Backend!$B$4/100*Table1[[#This Row],[BW40_3705]]),"")</f>
        <v/>
      </c>
      <c r="J9370" s="7" t="str">
        <f>IF(Table1[[#This Row],[Is Data Valid]]=TRUE,_xlfn.NORM.S.DIST(Table1[[#This Row],[Birthweight Z-Score]],TRUE)*100,"")</f>
        <v/>
      </c>
      <c r="K9370" s="7" t="str">
        <f>IF(Table1[[#This Row],[Is Data Valid]]=TRUE,_xlfn.NORM.S.DIST(Table1[[#This Row],[Birthweight Z-Score (BW-10%)]],TRUE)*100,"")</f>
        <v/>
      </c>
      <c r="L9370" s="7" t="str">
        <f>IF(Table1[[#This Row],[Is Data Valid]]=TRUE,_xlfn.NORM.S.DIST(Table1[[#This Row],[Birthweight Z-Score (BW+10%)]],TRUE)*100,"")</f>
        <v/>
      </c>
    </row>
    <row r="9371" spans="1:12" x14ac:dyDescent="0.35">
      <c r="A9371" s="3"/>
      <c r="B9371" s="2"/>
      <c r="C9371" s="2"/>
      <c r="D9371" s="2" t="b">
        <f>IF(AND(NOT(ISBLANK(Table1[[#This Row],[Fetal Sex (Male, Female or Unknown)]])),ISNUMBER(Table1[[#This Row],[Birthweight (grams)]]),ISNUMBER(Table1[[#This Row],[Gestation (days)]])),TRUE,FALSE)</f>
        <v>0</v>
      </c>
      <c r="E9371" s="2" t="str">
        <f>IF(Table1[[#This Row],[Is Data Valid]]=TRUE,IF(Table1[[#This Row],[Fetal Sex (Male, Female or Unknown)]]="Male",Backend!$C$6,IF(Table1[[#This Row],[Fetal Sex (Male, Female or Unknown)]]="Female",Backend!$C$7,IF(Table1[[#This Row],[Fetal Sex (Male, Female or Unknown)]]="Unknown",Backend!$C$8,"Error"))),"")</f>
        <v/>
      </c>
      <c r="F9371" s="8" t="str">
        <f>IF(Table1[[#This Row],[Is Data Valid]]=TRUE,EXP(0.578+0.332*((Table1[[#This Row],[Gestation (days)]]+0.5)/7)-0.00354*((Table1[[#This Row],[Gestation (days)]]+0.5)/7)^2)*Table1[[#This Row],[BW40_3705]],"")</f>
        <v/>
      </c>
      <c r="G9371" s="2" t="str">
        <f>IF(Table1[[#This Row],[Is Data Valid]]=TRUE,((Table1[[#This Row],[Birthweight (grams)]]/Table1[[#This Row],[BW_GA]])-1)/(Backend!$B$4/100*Table1[[#This Row],[BW40_3705]]),"")</f>
        <v/>
      </c>
      <c r="H9371" s="7" t="str">
        <f>IF(Table1[[#This Row],[Is Data Valid]]=TRUE,((Table1[[#This Row],[Birthweight (grams)]]*0.9/Table1[[#This Row],[BW_GA]])-1)/(Backend!$B$4/100*Table1[[#This Row],[BW40_3705]]),"")</f>
        <v/>
      </c>
      <c r="I9371" s="7" t="str">
        <f>IF(Table1[[#This Row],[Is Data Valid]]=TRUE,((Table1[[#This Row],[Birthweight (grams)]]*1.1/Table1[[#This Row],[BW_GA]])-1)/(Backend!$B$4/100*Table1[[#This Row],[BW40_3705]]),"")</f>
        <v/>
      </c>
      <c r="J9371" s="7" t="str">
        <f>IF(Table1[[#This Row],[Is Data Valid]]=TRUE,_xlfn.NORM.S.DIST(Table1[[#This Row],[Birthweight Z-Score]],TRUE)*100,"")</f>
        <v/>
      </c>
      <c r="K9371" s="7" t="str">
        <f>IF(Table1[[#This Row],[Is Data Valid]]=TRUE,_xlfn.NORM.S.DIST(Table1[[#This Row],[Birthweight Z-Score (BW-10%)]],TRUE)*100,"")</f>
        <v/>
      </c>
      <c r="L9371" s="7" t="str">
        <f>IF(Table1[[#This Row],[Is Data Valid]]=TRUE,_xlfn.NORM.S.DIST(Table1[[#This Row],[Birthweight Z-Score (BW+10%)]],TRUE)*100,"")</f>
        <v/>
      </c>
    </row>
    <row r="9372" spans="1:12" x14ac:dyDescent="0.35">
      <c r="A9372" s="3"/>
      <c r="B9372" s="2"/>
      <c r="C9372" s="2"/>
      <c r="D9372" s="2" t="b">
        <f>IF(AND(NOT(ISBLANK(Table1[[#This Row],[Fetal Sex (Male, Female or Unknown)]])),ISNUMBER(Table1[[#This Row],[Birthweight (grams)]]),ISNUMBER(Table1[[#This Row],[Gestation (days)]])),TRUE,FALSE)</f>
        <v>0</v>
      </c>
      <c r="E9372" s="2" t="str">
        <f>IF(Table1[[#This Row],[Is Data Valid]]=TRUE,IF(Table1[[#This Row],[Fetal Sex (Male, Female or Unknown)]]="Male",Backend!$C$6,IF(Table1[[#This Row],[Fetal Sex (Male, Female or Unknown)]]="Female",Backend!$C$7,IF(Table1[[#This Row],[Fetal Sex (Male, Female or Unknown)]]="Unknown",Backend!$C$8,"Error"))),"")</f>
        <v/>
      </c>
      <c r="F9372" s="8" t="str">
        <f>IF(Table1[[#This Row],[Is Data Valid]]=TRUE,EXP(0.578+0.332*((Table1[[#This Row],[Gestation (days)]]+0.5)/7)-0.00354*((Table1[[#This Row],[Gestation (days)]]+0.5)/7)^2)*Table1[[#This Row],[BW40_3705]],"")</f>
        <v/>
      </c>
      <c r="G9372" s="2" t="str">
        <f>IF(Table1[[#This Row],[Is Data Valid]]=TRUE,((Table1[[#This Row],[Birthweight (grams)]]/Table1[[#This Row],[BW_GA]])-1)/(Backend!$B$4/100*Table1[[#This Row],[BW40_3705]]),"")</f>
        <v/>
      </c>
      <c r="H9372" s="7" t="str">
        <f>IF(Table1[[#This Row],[Is Data Valid]]=TRUE,((Table1[[#This Row],[Birthweight (grams)]]*0.9/Table1[[#This Row],[BW_GA]])-1)/(Backend!$B$4/100*Table1[[#This Row],[BW40_3705]]),"")</f>
        <v/>
      </c>
      <c r="I9372" s="7" t="str">
        <f>IF(Table1[[#This Row],[Is Data Valid]]=TRUE,((Table1[[#This Row],[Birthweight (grams)]]*1.1/Table1[[#This Row],[BW_GA]])-1)/(Backend!$B$4/100*Table1[[#This Row],[BW40_3705]]),"")</f>
        <v/>
      </c>
      <c r="J9372" s="7" t="str">
        <f>IF(Table1[[#This Row],[Is Data Valid]]=TRUE,_xlfn.NORM.S.DIST(Table1[[#This Row],[Birthweight Z-Score]],TRUE)*100,"")</f>
        <v/>
      </c>
      <c r="K9372" s="7" t="str">
        <f>IF(Table1[[#This Row],[Is Data Valid]]=TRUE,_xlfn.NORM.S.DIST(Table1[[#This Row],[Birthweight Z-Score (BW-10%)]],TRUE)*100,"")</f>
        <v/>
      </c>
      <c r="L9372" s="7" t="str">
        <f>IF(Table1[[#This Row],[Is Data Valid]]=TRUE,_xlfn.NORM.S.DIST(Table1[[#This Row],[Birthweight Z-Score (BW+10%)]],TRUE)*100,"")</f>
        <v/>
      </c>
    </row>
    <row r="9373" spans="1:12" x14ac:dyDescent="0.35">
      <c r="A9373" s="3"/>
      <c r="B9373" s="2"/>
      <c r="C9373" s="2"/>
      <c r="D9373" s="2" t="b">
        <f>IF(AND(NOT(ISBLANK(Table1[[#This Row],[Fetal Sex (Male, Female or Unknown)]])),ISNUMBER(Table1[[#This Row],[Birthweight (grams)]]),ISNUMBER(Table1[[#This Row],[Gestation (days)]])),TRUE,FALSE)</f>
        <v>0</v>
      </c>
      <c r="E9373" s="2" t="str">
        <f>IF(Table1[[#This Row],[Is Data Valid]]=TRUE,IF(Table1[[#This Row],[Fetal Sex (Male, Female or Unknown)]]="Male",Backend!$C$6,IF(Table1[[#This Row],[Fetal Sex (Male, Female or Unknown)]]="Female",Backend!$C$7,IF(Table1[[#This Row],[Fetal Sex (Male, Female or Unknown)]]="Unknown",Backend!$C$8,"Error"))),"")</f>
        <v/>
      </c>
      <c r="F9373" s="8" t="str">
        <f>IF(Table1[[#This Row],[Is Data Valid]]=TRUE,EXP(0.578+0.332*((Table1[[#This Row],[Gestation (days)]]+0.5)/7)-0.00354*((Table1[[#This Row],[Gestation (days)]]+0.5)/7)^2)*Table1[[#This Row],[BW40_3705]],"")</f>
        <v/>
      </c>
      <c r="G9373" s="2" t="str">
        <f>IF(Table1[[#This Row],[Is Data Valid]]=TRUE,((Table1[[#This Row],[Birthweight (grams)]]/Table1[[#This Row],[BW_GA]])-1)/(Backend!$B$4/100*Table1[[#This Row],[BW40_3705]]),"")</f>
        <v/>
      </c>
      <c r="H9373" s="7" t="str">
        <f>IF(Table1[[#This Row],[Is Data Valid]]=TRUE,((Table1[[#This Row],[Birthweight (grams)]]*0.9/Table1[[#This Row],[BW_GA]])-1)/(Backend!$B$4/100*Table1[[#This Row],[BW40_3705]]),"")</f>
        <v/>
      </c>
      <c r="I9373" s="7" t="str">
        <f>IF(Table1[[#This Row],[Is Data Valid]]=TRUE,((Table1[[#This Row],[Birthweight (grams)]]*1.1/Table1[[#This Row],[BW_GA]])-1)/(Backend!$B$4/100*Table1[[#This Row],[BW40_3705]]),"")</f>
        <v/>
      </c>
      <c r="J9373" s="7" t="str">
        <f>IF(Table1[[#This Row],[Is Data Valid]]=TRUE,_xlfn.NORM.S.DIST(Table1[[#This Row],[Birthweight Z-Score]],TRUE)*100,"")</f>
        <v/>
      </c>
      <c r="K9373" s="7" t="str">
        <f>IF(Table1[[#This Row],[Is Data Valid]]=TRUE,_xlfn.NORM.S.DIST(Table1[[#This Row],[Birthweight Z-Score (BW-10%)]],TRUE)*100,"")</f>
        <v/>
      </c>
      <c r="L9373" s="7" t="str">
        <f>IF(Table1[[#This Row],[Is Data Valid]]=TRUE,_xlfn.NORM.S.DIST(Table1[[#This Row],[Birthweight Z-Score (BW+10%)]],TRUE)*100,"")</f>
        <v/>
      </c>
    </row>
    <row r="9374" spans="1:12" x14ac:dyDescent="0.35">
      <c r="A9374" s="3"/>
      <c r="B9374" s="2"/>
      <c r="C9374" s="2"/>
      <c r="D9374" s="2" t="b">
        <f>IF(AND(NOT(ISBLANK(Table1[[#This Row],[Fetal Sex (Male, Female or Unknown)]])),ISNUMBER(Table1[[#This Row],[Birthweight (grams)]]),ISNUMBER(Table1[[#This Row],[Gestation (days)]])),TRUE,FALSE)</f>
        <v>0</v>
      </c>
      <c r="E9374" s="2" t="str">
        <f>IF(Table1[[#This Row],[Is Data Valid]]=TRUE,IF(Table1[[#This Row],[Fetal Sex (Male, Female or Unknown)]]="Male",Backend!$C$6,IF(Table1[[#This Row],[Fetal Sex (Male, Female or Unknown)]]="Female",Backend!$C$7,IF(Table1[[#This Row],[Fetal Sex (Male, Female or Unknown)]]="Unknown",Backend!$C$8,"Error"))),"")</f>
        <v/>
      </c>
      <c r="F9374" s="8" t="str">
        <f>IF(Table1[[#This Row],[Is Data Valid]]=TRUE,EXP(0.578+0.332*((Table1[[#This Row],[Gestation (days)]]+0.5)/7)-0.00354*((Table1[[#This Row],[Gestation (days)]]+0.5)/7)^2)*Table1[[#This Row],[BW40_3705]],"")</f>
        <v/>
      </c>
      <c r="G9374" s="2" t="str">
        <f>IF(Table1[[#This Row],[Is Data Valid]]=TRUE,((Table1[[#This Row],[Birthweight (grams)]]/Table1[[#This Row],[BW_GA]])-1)/(Backend!$B$4/100*Table1[[#This Row],[BW40_3705]]),"")</f>
        <v/>
      </c>
      <c r="H9374" s="7" t="str">
        <f>IF(Table1[[#This Row],[Is Data Valid]]=TRUE,((Table1[[#This Row],[Birthweight (grams)]]*0.9/Table1[[#This Row],[BW_GA]])-1)/(Backend!$B$4/100*Table1[[#This Row],[BW40_3705]]),"")</f>
        <v/>
      </c>
      <c r="I9374" s="7" t="str">
        <f>IF(Table1[[#This Row],[Is Data Valid]]=TRUE,((Table1[[#This Row],[Birthweight (grams)]]*1.1/Table1[[#This Row],[BW_GA]])-1)/(Backend!$B$4/100*Table1[[#This Row],[BW40_3705]]),"")</f>
        <v/>
      </c>
      <c r="J9374" s="7" t="str">
        <f>IF(Table1[[#This Row],[Is Data Valid]]=TRUE,_xlfn.NORM.S.DIST(Table1[[#This Row],[Birthweight Z-Score]],TRUE)*100,"")</f>
        <v/>
      </c>
      <c r="K9374" s="7" t="str">
        <f>IF(Table1[[#This Row],[Is Data Valid]]=TRUE,_xlfn.NORM.S.DIST(Table1[[#This Row],[Birthweight Z-Score (BW-10%)]],TRUE)*100,"")</f>
        <v/>
      </c>
      <c r="L9374" s="7" t="str">
        <f>IF(Table1[[#This Row],[Is Data Valid]]=TRUE,_xlfn.NORM.S.DIST(Table1[[#This Row],[Birthweight Z-Score (BW+10%)]],TRUE)*100,"")</f>
        <v/>
      </c>
    </row>
    <row r="9375" spans="1:12" x14ac:dyDescent="0.35">
      <c r="A9375" s="3"/>
      <c r="B9375" s="2"/>
      <c r="C9375" s="2"/>
      <c r="D9375" s="2" t="b">
        <f>IF(AND(NOT(ISBLANK(Table1[[#This Row],[Fetal Sex (Male, Female or Unknown)]])),ISNUMBER(Table1[[#This Row],[Birthweight (grams)]]),ISNUMBER(Table1[[#This Row],[Gestation (days)]])),TRUE,FALSE)</f>
        <v>0</v>
      </c>
      <c r="E9375" s="2" t="str">
        <f>IF(Table1[[#This Row],[Is Data Valid]]=TRUE,IF(Table1[[#This Row],[Fetal Sex (Male, Female or Unknown)]]="Male",Backend!$C$6,IF(Table1[[#This Row],[Fetal Sex (Male, Female or Unknown)]]="Female",Backend!$C$7,IF(Table1[[#This Row],[Fetal Sex (Male, Female or Unknown)]]="Unknown",Backend!$C$8,"Error"))),"")</f>
        <v/>
      </c>
      <c r="F9375" s="8" t="str">
        <f>IF(Table1[[#This Row],[Is Data Valid]]=TRUE,EXP(0.578+0.332*((Table1[[#This Row],[Gestation (days)]]+0.5)/7)-0.00354*((Table1[[#This Row],[Gestation (days)]]+0.5)/7)^2)*Table1[[#This Row],[BW40_3705]],"")</f>
        <v/>
      </c>
      <c r="G9375" s="2" t="str">
        <f>IF(Table1[[#This Row],[Is Data Valid]]=TRUE,((Table1[[#This Row],[Birthweight (grams)]]/Table1[[#This Row],[BW_GA]])-1)/(Backend!$B$4/100*Table1[[#This Row],[BW40_3705]]),"")</f>
        <v/>
      </c>
      <c r="H9375" s="7" t="str">
        <f>IF(Table1[[#This Row],[Is Data Valid]]=TRUE,((Table1[[#This Row],[Birthweight (grams)]]*0.9/Table1[[#This Row],[BW_GA]])-1)/(Backend!$B$4/100*Table1[[#This Row],[BW40_3705]]),"")</f>
        <v/>
      </c>
      <c r="I9375" s="7" t="str">
        <f>IF(Table1[[#This Row],[Is Data Valid]]=TRUE,((Table1[[#This Row],[Birthweight (grams)]]*1.1/Table1[[#This Row],[BW_GA]])-1)/(Backend!$B$4/100*Table1[[#This Row],[BW40_3705]]),"")</f>
        <v/>
      </c>
      <c r="J9375" s="7" t="str">
        <f>IF(Table1[[#This Row],[Is Data Valid]]=TRUE,_xlfn.NORM.S.DIST(Table1[[#This Row],[Birthweight Z-Score]],TRUE)*100,"")</f>
        <v/>
      </c>
      <c r="K9375" s="7" t="str">
        <f>IF(Table1[[#This Row],[Is Data Valid]]=TRUE,_xlfn.NORM.S.DIST(Table1[[#This Row],[Birthweight Z-Score (BW-10%)]],TRUE)*100,"")</f>
        <v/>
      </c>
      <c r="L9375" s="7" t="str">
        <f>IF(Table1[[#This Row],[Is Data Valid]]=TRUE,_xlfn.NORM.S.DIST(Table1[[#This Row],[Birthweight Z-Score (BW+10%)]],TRUE)*100,"")</f>
        <v/>
      </c>
    </row>
    <row r="9376" spans="1:12" x14ac:dyDescent="0.35">
      <c r="A9376" s="3"/>
      <c r="B9376" s="2"/>
      <c r="C9376" s="2"/>
      <c r="D9376" s="2" t="b">
        <f>IF(AND(NOT(ISBLANK(Table1[[#This Row],[Fetal Sex (Male, Female or Unknown)]])),ISNUMBER(Table1[[#This Row],[Birthweight (grams)]]),ISNUMBER(Table1[[#This Row],[Gestation (days)]])),TRUE,FALSE)</f>
        <v>0</v>
      </c>
      <c r="E9376" s="2" t="str">
        <f>IF(Table1[[#This Row],[Is Data Valid]]=TRUE,IF(Table1[[#This Row],[Fetal Sex (Male, Female or Unknown)]]="Male",Backend!$C$6,IF(Table1[[#This Row],[Fetal Sex (Male, Female or Unknown)]]="Female",Backend!$C$7,IF(Table1[[#This Row],[Fetal Sex (Male, Female or Unknown)]]="Unknown",Backend!$C$8,"Error"))),"")</f>
        <v/>
      </c>
      <c r="F9376" s="8" t="str">
        <f>IF(Table1[[#This Row],[Is Data Valid]]=TRUE,EXP(0.578+0.332*((Table1[[#This Row],[Gestation (days)]]+0.5)/7)-0.00354*((Table1[[#This Row],[Gestation (days)]]+0.5)/7)^2)*Table1[[#This Row],[BW40_3705]],"")</f>
        <v/>
      </c>
      <c r="G9376" s="2" t="str">
        <f>IF(Table1[[#This Row],[Is Data Valid]]=TRUE,((Table1[[#This Row],[Birthweight (grams)]]/Table1[[#This Row],[BW_GA]])-1)/(Backend!$B$4/100*Table1[[#This Row],[BW40_3705]]),"")</f>
        <v/>
      </c>
      <c r="H9376" s="7" t="str">
        <f>IF(Table1[[#This Row],[Is Data Valid]]=TRUE,((Table1[[#This Row],[Birthweight (grams)]]*0.9/Table1[[#This Row],[BW_GA]])-1)/(Backend!$B$4/100*Table1[[#This Row],[BW40_3705]]),"")</f>
        <v/>
      </c>
      <c r="I9376" s="7" t="str">
        <f>IF(Table1[[#This Row],[Is Data Valid]]=TRUE,((Table1[[#This Row],[Birthweight (grams)]]*1.1/Table1[[#This Row],[BW_GA]])-1)/(Backend!$B$4/100*Table1[[#This Row],[BW40_3705]]),"")</f>
        <v/>
      </c>
      <c r="J9376" s="7" t="str">
        <f>IF(Table1[[#This Row],[Is Data Valid]]=TRUE,_xlfn.NORM.S.DIST(Table1[[#This Row],[Birthweight Z-Score]],TRUE)*100,"")</f>
        <v/>
      </c>
      <c r="K9376" s="7" t="str">
        <f>IF(Table1[[#This Row],[Is Data Valid]]=TRUE,_xlfn.NORM.S.DIST(Table1[[#This Row],[Birthweight Z-Score (BW-10%)]],TRUE)*100,"")</f>
        <v/>
      </c>
      <c r="L9376" s="7" t="str">
        <f>IF(Table1[[#This Row],[Is Data Valid]]=TRUE,_xlfn.NORM.S.DIST(Table1[[#This Row],[Birthweight Z-Score (BW+10%)]],TRUE)*100,"")</f>
        <v/>
      </c>
    </row>
    <row r="9377" spans="1:12" x14ac:dyDescent="0.35">
      <c r="A9377" s="3"/>
      <c r="B9377" s="2"/>
      <c r="C9377" s="2"/>
      <c r="D9377" s="2" t="b">
        <f>IF(AND(NOT(ISBLANK(Table1[[#This Row],[Fetal Sex (Male, Female or Unknown)]])),ISNUMBER(Table1[[#This Row],[Birthweight (grams)]]),ISNUMBER(Table1[[#This Row],[Gestation (days)]])),TRUE,FALSE)</f>
        <v>0</v>
      </c>
      <c r="E9377" s="2" t="str">
        <f>IF(Table1[[#This Row],[Is Data Valid]]=TRUE,IF(Table1[[#This Row],[Fetal Sex (Male, Female or Unknown)]]="Male",Backend!$C$6,IF(Table1[[#This Row],[Fetal Sex (Male, Female or Unknown)]]="Female",Backend!$C$7,IF(Table1[[#This Row],[Fetal Sex (Male, Female or Unknown)]]="Unknown",Backend!$C$8,"Error"))),"")</f>
        <v/>
      </c>
      <c r="F9377" s="8" t="str">
        <f>IF(Table1[[#This Row],[Is Data Valid]]=TRUE,EXP(0.578+0.332*((Table1[[#This Row],[Gestation (days)]]+0.5)/7)-0.00354*((Table1[[#This Row],[Gestation (days)]]+0.5)/7)^2)*Table1[[#This Row],[BW40_3705]],"")</f>
        <v/>
      </c>
      <c r="G9377" s="2" t="str">
        <f>IF(Table1[[#This Row],[Is Data Valid]]=TRUE,((Table1[[#This Row],[Birthweight (grams)]]/Table1[[#This Row],[BW_GA]])-1)/(Backend!$B$4/100*Table1[[#This Row],[BW40_3705]]),"")</f>
        <v/>
      </c>
      <c r="H9377" s="7" t="str">
        <f>IF(Table1[[#This Row],[Is Data Valid]]=TRUE,((Table1[[#This Row],[Birthweight (grams)]]*0.9/Table1[[#This Row],[BW_GA]])-1)/(Backend!$B$4/100*Table1[[#This Row],[BW40_3705]]),"")</f>
        <v/>
      </c>
      <c r="I9377" s="7" t="str">
        <f>IF(Table1[[#This Row],[Is Data Valid]]=TRUE,((Table1[[#This Row],[Birthweight (grams)]]*1.1/Table1[[#This Row],[BW_GA]])-1)/(Backend!$B$4/100*Table1[[#This Row],[BW40_3705]]),"")</f>
        <v/>
      </c>
      <c r="J9377" s="7" t="str">
        <f>IF(Table1[[#This Row],[Is Data Valid]]=TRUE,_xlfn.NORM.S.DIST(Table1[[#This Row],[Birthweight Z-Score]],TRUE)*100,"")</f>
        <v/>
      </c>
      <c r="K9377" s="7" t="str">
        <f>IF(Table1[[#This Row],[Is Data Valid]]=TRUE,_xlfn.NORM.S.DIST(Table1[[#This Row],[Birthweight Z-Score (BW-10%)]],TRUE)*100,"")</f>
        <v/>
      </c>
      <c r="L9377" s="7" t="str">
        <f>IF(Table1[[#This Row],[Is Data Valid]]=TRUE,_xlfn.NORM.S.DIST(Table1[[#This Row],[Birthweight Z-Score (BW+10%)]],TRUE)*100,"")</f>
        <v/>
      </c>
    </row>
    <row r="9378" spans="1:12" x14ac:dyDescent="0.35">
      <c r="A9378" s="3"/>
      <c r="B9378" s="2"/>
      <c r="C9378" s="2"/>
      <c r="D9378" s="2" t="b">
        <f>IF(AND(NOT(ISBLANK(Table1[[#This Row],[Fetal Sex (Male, Female or Unknown)]])),ISNUMBER(Table1[[#This Row],[Birthweight (grams)]]),ISNUMBER(Table1[[#This Row],[Gestation (days)]])),TRUE,FALSE)</f>
        <v>0</v>
      </c>
      <c r="E9378" s="2" t="str">
        <f>IF(Table1[[#This Row],[Is Data Valid]]=TRUE,IF(Table1[[#This Row],[Fetal Sex (Male, Female or Unknown)]]="Male",Backend!$C$6,IF(Table1[[#This Row],[Fetal Sex (Male, Female or Unknown)]]="Female",Backend!$C$7,IF(Table1[[#This Row],[Fetal Sex (Male, Female or Unknown)]]="Unknown",Backend!$C$8,"Error"))),"")</f>
        <v/>
      </c>
      <c r="F9378" s="8" t="str">
        <f>IF(Table1[[#This Row],[Is Data Valid]]=TRUE,EXP(0.578+0.332*((Table1[[#This Row],[Gestation (days)]]+0.5)/7)-0.00354*((Table1[[#This Row],[Gestation (days)]]+0.5)/7)^2)*Table1[[#This Row],[BW40_3705]],"")</f>
        <v/>
      </c>
      <c r="G9378" s="2" t="str">
        <f>IF(Table1[[#This Row],[Is Data Valid]]=TRUE,((Table1[[#This Row],[Birthweight (grams)]]/Table1[[#This Row],[BW_GA]])-1)/(Backend!$B$4/100*Table1[[#This Row],[BW40_3705]]),"")</f>
        <v/>
      </c>
      <c r="H9378" s="7" t="str">
        <f>IF(Table1[[#This Row],[Is Data Valid]]=TRUE,((Table1[[#This Row],[Birthweight (grams)]]*0.9/Table1[[#This Row],[BW_GA]])-1)/(Backend!$B$4/100*Table1[[#This Row],[BW40_3705]]),"")</f>
        <v/>
      </c>
      <c r="I9378" s="7" t="str">
        <f>IF(Table1[[#This Row],[Is Data Valid]]=TRUE,((Table1[[#This Row],[Birthweight (grams)]]*1.1/Table1[[#This Row],[BW_GA]])-1)/(Backend!$B$4/100*Table1[[#This Row],[BW40_3705]]),"")</f>
        <v/>
      </c>
      <c r="J9378" s="7" t="str">
        <f>IF(Table1[[#This Row],[Is Data Valid]]=TRUE,_xlfn.NORM.S.DIST(Table1[[#This Row],[Birthweight Z-Score]],TRUE)*100,"")</f>
        <v/>
      </c>
      <c r="K9378" s="7" t="str">
        <f>IF(Table1[[#This Row],[Is Data Valid]]=TRUE,_xlfn.NORM.S.DIST(Table1[[#This Row],[Birthweight Z-Score (BW-10%)]],TRUE)*100,"")</f>
        <v/>
      </c>
      <c r="L9378" s="7" t="str">
        <f>IF(Table1[[#This Row],[Is Data Valid]]=TRUE,_xlfn.NORM.S.DIST(Table1[[#This Row],[Birthweight Z-Score (BW+10%)]],TRUE)*100,"")</f>
        <v/>
      </c>
    </row>
    <row r="9379" spans="1:12" x14ac:dyDescent="0.35">
      <c r="A9379" s="3"/>
      <c r="B9379" s="2"/>
      <c r="C9379" s="2"/>
      <c r="D9379" s="2" t="b">
        <f>IF(AND(NOT(ISBLANK(Table1[[#This Row],[Fetal Sex (Male, Female or Unknown)]])),ISNUMBER(Table1[[#This Row],[Birthweight (grams)]]),ISNUMBER(Table1[[#This Row],[Gestation (days)]])),TRUE,FALSE)</f>
        <v>0</v>
      </c>
      <c r="E9379" s="2" t="str">
        <f>IF(Table1[[#This Row],[Is Data Valid]]=TRUE,IF(Table1[[#This Row],[Fetal Sex (Male, Female or Unknown)]]="Male",Backend!$C$6,IF(Table1[[#This Row],[Fetal Sex (Male, Female or Unknown)]]="Female",Backend!$C$7,IF(Table1[[#This Row],[Fetal Sex (Male, Female or Unknown)]]="Unknown",Backend!$C$8,"Error"))),"")</f>
        <v/>
      </c>
      <c r="F9379" s="8" t="str">
        <f>IF(Table1[[#This Row],[Is Data Valid]]=TRUE,EXP(0.578+0.332*((Table1[[#This Row],[Gestation (days)]]+0.5)/7)-0.00354*((Table1[[#This Row],[Gestation (days)]]+0.5)/7)^2)*Table1[[#This Row],[BW40_3705]],"")</f>
        <v/>
      </c>
      <c r="G9379" s="2" t="str">
        <f>IF(Table1[[#This Row],[Is Data Valid]]=TRUE,((Table1[[#This Row],[Birthweight (grams)]]/Table1[[#This Row],[BW_GA]])-1)/(Backend!$B$4/100*Table1[[#This Row],[BW40_3705]]),"")</f>
        <v/>
      </c>
      <c r="H9379" s="7" t="str">
        <f>IF(Table1[[#This Row],[Is Data Valid]]=TRUE,((Table1[[#This Row],[Birthweight (grams)]]*0.9/Table1[[#This Row],[BW_GA]])-1)/(Backend!$B$4/100*Table1[[#This Row],[BW40_3705]]),"")</f>
        <v/>
      </c>
      <c r="I9379" s="7" t="str">
        <f>IF(Table1[[#This Row],[Is Data Valid]]=TRUE,((Table1[[#This Row],[Birthweight (grams)]]*1.1/Table1[[#This Row],[BW_GA]])-1)/(Backend!$B$4/100*Table1[[#This Row],[BW40_3705]]),"")</f>
        <v/>
      </c>
      <c r="J9379" s="7" t="str">
        <f>IF(Table1[[#This Row],[Is Data Valid]]=TRUE,_xlfn.NORM.S.DIST(Table1[[#This Row],[Birthweight Z-Score]],TRUE)*100,"")</f>
        <v/>
      </c>
      <c r="K9379" s="7" t="str">
        <f>IF(Table1[[#This Row],[Is Data Valid]]=TRUE,_xlfn.NORM.S.DIST(Table1[[#This Row],[Birthweight Z-Score (BW-10%)]],TRUE)*100,"")</f>
        <v/>
      </c>
      <c r="L9379" s="7" t="str">
        <f>IF(Table1[[#This Row],[Is Data Valid]]=TRUE,_xlfn.NORM.S.DIST(Table1[[#This Row],[Birthweight Z-Score (BW+10%)]],TRUE)*100,"")</f>
        <v/>
      </c>
    </row>
    <row r="9380" spans="1:12" x14ac:dyDescent="0.35">
      <c r="A9380" s="3"/>
      <c r="B9380" s="2"/>
      <c r="C9380" s="2"/>
      <c r="D9380" s="2" t="b">
        <f>IF(AND(NOT(ISBLANK(Table1[[#This Row],[Fetal Sex (Male, Female or Unknown)]])),ISNUMBER(Table1[[#This Row],[Birthweight (grams)]]),ISNUMBER(Table1[[#This Row],[Gestation (days)]])),TRUE,FALSE)</f>
        <v>0</v>
      </c>
      <c r="E9380" s="2" t="str">
        <f>IF(Table1[[#This Row],[Is Data Valid]]=TRUE,IF(Table1[[#This Row],[Fetal Sex (Male, Female or Unknown)]]="Male",Backend!$C$6,IF(Table1[[#This Row],[Fetal Sex (Male, Female or Unknown)]]="Female",Backend!$C$7,IF(Table1[[#This Row],[Fetal Sex (Male, Female or Unknown)]]="Unknown",Backend!$C$8,"Error"))),"")</f>
        <v/>
      </c>
      <c r="F9380" s="8" t="str">
        <f>IF(Table1[[#This Row],[Is Data Valid]]=TRUE,EXP(0.578+0.332*((Table1[[#This Row],[Gestation (days)]]+0.5)/7)-0.00354*((Table1[[#This Row],[Gestation (days)]]+0.5)/7)^2)*Table1[[#This Row],[BW40_3705]],"")</f>
        <v/>
      </c>
      <c r="G9380" s="2" t="str">
        <f>IF(Table1[[#This Row],[Is Data Valid]]=TRUE,((Table1[[#This Row],[Birthweight (grams)]]/Table1[[#This Row],[BW_GA]])-1)/(Backend!$B$4/100*Table1[[#This Row],[BW40_3705]]),"")</f>
        <v/>
      </c>
      <c r="H9380" s="7" t="str">
        <f>IF(Table1[[#This Row],[Is Data Valid]]=TRUE,((Table1[[#This Row],[Birthweight (grams)]]*0.9/Table1[[#This Row],[BW_GA]])-1)/(Backend!$B$4/100*Table1[[#This Row],[BW40_3705]]),"")</f>
        <v/>
      </c>
      <c r="I9380" s="7" t="str">
        <f>IF(Table1[[#This Row],[Is Data Valid]]=TRUE,((Table1[[#This Row],[Birthweight (grams)]]*1.1/Table1[[#This Row],[BW_GA]])-1)/(Backend!$B$4/100*Table1[[#This Row],[BW40_3705]]),"")</f>
        <v/>
      </c>
      <c r="J9380" s="7" t="str">
        <f>IF(Table1[[#This Row],[Is Data Valid]]=TRUE,_xlfn.NORM.S.DIST(Table1[[#This Row],[Birthweight Z-Score]],TRUE)*100,"")</f>
        <v/>
      </c>
      <c r="K9380" s="7" t="str">
        <f>IF(Table1[[#This Row],[Is Data Valid]]=TRUE,_xlfn.NORM.S.DIST(Table1[[#This Row],[Birthweight Z-Score (BW-10%)]],TRUE)*100,"")</f>
        <v/>
      </c>
      <c r="L9380" s="7" t="str">
        <f>IF(Table1[[#This Row],[Is Data Valid]]=TRUE,_xlfn.NORM.S.DIST(Table1[[#This Row],[Birthweight Z-Score (BW+10%)]],TRUE)*100,"")</f>
        <v/>
      </c>
    </row>
    <row r="9381" spans="1:12" x14ac:dyDescent="0.35">
      <c r="A9381" s="3"/>
      <c r="B9381" s="2"/>
      <c r="C9381" s="2"/>
      <c r="D9381" s="2" t="b">
        <f>IF(AND(NOT(ISBLANK(Table1[[#This Row],[Fetal Sex (Male, Female or Unknown)]])),ISNUMBER(Table1[[#This Row],[Birthweight (grams)]]),ISNUMBER(Table1[[#This Row],[Gestation (days)]])),TRUE,FALSE)</f>
        <v>0</v>
      </c>
      <c r="E9381" s="2" t="str">
        <f>IF(Table1[[#This Row],[Is Data Valid]]=TRUE,IF(Table1[[#This Row],[Fetal Sex (Male, Female or Unknown)]]="Male",Backend!$C$6,IF(Table1[[#This Row],[Fetal Sex (Male, Female or Unknown)]]="Female",Backend!$C$7,IF(Table1[[#This Row],[Fetal Sex (Male, Female or Unknown)]]="Unknown",Backend!$C$8,"Error"))),"")</f>
        <v/>
      </c>
      <c r="F9381" s="8" t="str">
        <f>IF(Table1[[#This Row],[Is Data Valid]]=TRUE,EXP(0.578+0.332*((Table1[[#This Row],[Gestation (days)]]+0.5)/7)-0.00354*((Table1[[#This Row],[Gestation (days)]]+0.5)/7)^2)*Table1[[#This Row],[BW40_3705]],"")</f>
        <v/>
      </c>
      <c r="G9381" s="2" t="str">
        <f>IF(Table1[[#This Row],[Is Data Valid]]=TRUE,((Table1[[#This Row],[Birthweight (grams)]]/Table1[[#This Row],[BW_GA]])-1)/(Backend!$B$4/100*Table1[[#This Row],[BW40_3705]]),"")</f>
        <v/>
      </c>
      <c r="H9381" s="7" t="str">
        <f>IF(Table1[[#This Row],[Is Data Valid]]=TRUE,((Table1[[#This Row],[Birthweight (grams)]]*0.9/Table1[[#This Row],[BW_GA]])-1)/(Backend!$B$4/100*Table1[[#This Row],[BW40_3705]]),"")</f>
        <v/>
      </c>
      <c r="I9381" s="7" t="str">
        <f>IF(Table1[[#This Row],[Is Data Valid]]=TRUE,((Table1[[#This Row],[Birthweight (grams)]]*1.1/Table1[[#This Row],[BW_GA]])-1)/(Backend!$B$4/100*Table1[[#This Row],[BW40_3705]]),"")</f>
        <v/>
      </c>
      <c r="J9381" s="7" t="str">
        <f>IF(Table1[[#This Row],[Is Data Valid]]=TRUE,_xlfn.NORM.S.DIST(Table1[[#This Row],[Birthweight Z-Score]],TRUE)*100,"")</f>
        <v/>
      </c>
      <c r="K9381" s="7" t="str">
        <f>IF(Table1[[#This Row],[Is Data Valid]]=TRUE,_xlfn.NORM.S.DIST(Table1[[#This Row],[Birthweight Z-Score (BW-10%)]],TRUE)*100,"")</f>
        <v/>
      </c>
      <c r="L9381" s="7" t="str">
        <f>IF(Table1[[#This Row],[Is Data Valid]]=TRUE,_xlfn.NORM.S.DIST(Table1[[#This Row],[Birthweight Z-Score (BW+10%)]],TRUE)*100,"")</f>
        <v/>
      </c>
    </row>
    <row r="9382" spans="1:12" x14ac:dyDescent="0.35">
      <c r="A9382" s="3"/>
      <c r="B9382" s="2"/>
      <c r="C9382" s="2"/>
      <c r="D9382" s="2" t="b">
        <f>IF(AND(NOT(ISBLANK(Table1[[#This Row],[Fetal Sex (Male, Female or Unknown)]])),ISNUMBER(Table1[[#This Row],[Birthweight (grams)]]),ISNUMBER(Table1[[#This Row],[Gestation (days)]])),TRUE,FALSE)</f>
        <v>0</v>
      </c>
      <c r="E9382" s="2" t="str">
        <f>IF(Table1[[#This Row],[Is Data Valid]]=TRUE,IF(Table1[[#This Row],[Fetal Sex (Male, Female or Unknown)]]="Male",Backend!$C$6,IF(Table1[[#This Row],[Fetal Sex (Male, Female or Unknown)]]="Female",Backend!$C$7,IF(Table1[[#This Row],[Fetal Sex (Male, Female or Unknown)]]="Unknown",Backend!$C$8,"Error"))),"")</f>
        <v/>
      </c>
      <c r="F9382" s="8" t="str">
        <f>IF(Table1[[#This Row],[Is Data Valid]]=TRUE,EXP(0.578+0.332*((Table1[[#This Row],[Gestation (days)]]+0.5)/7)-0.00354*((Table1[[#This Row],[Gestation (days)]]+0.5)/7)^2)*Table1[[#This Row],[BW40_3705]],"")</f>
        <v/>
      </c>
      <c r="G9382" s="2" t="str">
        <f>IF(Table1[[#This Row],[Is Data Valid]]=TRUE,((Table1[[#This Row],[Birthweight (grams)]]/Table1[[#This Row],[BW_GA]])-1)/(Backend!$B$4/100*Table1[[#This Row],[BW40_3705]]),"")</f>
        <v/>
      </c>
      <c r="H9382" s="7" t="str">
        <f>IF(Table1[[#This Row],[Is Data Valid]]=TRUE,((Table1[[#This Row],[Birthweight (grams)]]*0.9/Table1[[#This Row],[BW_GA]])-1)/(Backend!$B$4/100*Table1[[#This Row],[BW40_3705]]),"")</f>
        <v/>
      </c>
      <c r="I9382" s="7" t="str">
        <f>IF(Table1[[#This Row],[Is Data Valid]]=TRUE,((Table1[[#This Row],[Birthweight (grams)]]*1.1/Table1[[#This Row],[BW_GA]])-1)/(Backend!$B$4/100*Table1[[#This Row],[BW40_3705]]),"")</f>
        <v/>
      </c>
      <c r="J9382" s="7" t="str">
        <f>IF(Table1[[#This Row],[Is Data Valid]]=TRUE,_xlfn.NORM.S.DIST(Table1[[#This Row],[Birthweight Z-Score]],TRUE)*100,"")</f>
        <v/>
      </c>
      <c r="K9382" s="7" t="str">
        <f>IF(Table1[[#This Row],[Is Data Valid]]=TRUE,_xlfn.NORM.S.DIST(Table1[[#This Row],[Birthweight Z-Score (BW-10%)]],TRUE)*100,"")</f>
        <v/>
      </c>
      <c r="L9382" s="7" t="str">
        <f>IF(Table1[[#This Row],[Is Data Valid]]=TRUE,_xlfn.NORM.S.DIST(Table1[[#This Row],[Birthweight Z-Score (BW+10%)]],TRUE)*100,"")</f>
        <v/>
      </c>
    </row>
    <row r="9383" spans="1:12" x14ac:dyDescent="0.35">
      <c r="A9383" s="3"/>
      <c r="B9383" s="2"/>
      <c r="C9383" s="2"/>
      <c r="D9383" s="2" t="b">
        <f>IF(AND(NOT(ISBLANK(Table1[[#This Row],[Fetal Sex (Male, Female or Unknown)]])),ISNUMBER(Table1[[#This Row],[Birthweight (grams)]]),ISNUMBER(Table1[[#This Row],[Gestation (days)]])),TRUE,FALSE)</f>
        <v>0</v>
      </c>
      <c r="E9383" s="2" t="str">
        <f>IF(Table1[[#This Row],[Is Data Valid]]=TRUE,IF(Table1[[#This Row],[Fetal Sex (Male, Female or Unknown)]]="Male",Backend!$C$6,IF(Table1[[#This Row],[Fetal Sex (Male, Female or Unknown)]]="Female",Backend!$C$7,IF(Table1[[#This Row],[Fetal Sex (Male, Female or Unknown)]]="Unknown",Backend!$C$8,"Error"))),"")</f>
        <v/>
      </c>
      <c r="F9383" s="8" t="str">
        <f>IF(Table1[[#This Row],[Is Data Valid]]=TRUE,EXP(0.578+0.332*((Table1[[#This Row],[Gestation (days)]]+0.5)/7)-0.00354*((Table1[[#This Row],[Gestation (days)]]+0.5)/7)^2)*Table1[[#This Row],[BW40_3705]],"")</f>
        <v/>
      </c>
      <c r="G9383" s="2" t="str">
        <f>IF(Table1[[#This Row],[Is Data Valid]]=TRUE,((Table1[[#This Row],[Birthweight (grams)]]/Table1[[#This Row],[BW_GA]])-1)/(Backend!$B$4/100*Table1[[#This Row],[BW40_3705]]),"")</f>
        <v/>
      </c>
      <c r="H9383" s="7" t="str">
        <f>IF(Table1[[#This Row],[Is Data Valid]]=TRUE,((Table1[[#This Row],[Birthweight (grams)]]*0.9/Table1[[#This Row],[BW_GA]])-1)/(Backend!$B$4/100*Table1[[#This Row],[BW40_3705]]),"")</f>
        <v/>
      </c>
      <c r="I9383" s="7" t="str">
        <f>IF(Table1[[#This Row],[Is Data Valid]]=TRUE,((Table1[[#This Row],[Birthweight (grams)]]*1.1/Table1[[#This Row],[BW_GA]])-1)/(Backend!$B$4/100*Table1[[#This Row],[BW40_3705]]),"")</f>
        <v/>
      </c>
      <c r="J9383" s="7" t="str">
        <f>IF(Table1[[#This Row],[Is Data Valid]]=TRUE,_xlfn.NORM.S.DIST(Table1[[#This Row],[Birthweight Z-Score]],TRUE)*100,"")</f>
        <v/>
      </c>
      <c r="K9383" s="7" t="str">
        <f>IF(Table1[[#This Row],[Is Data Valid]]=TRUE,_xlfn.NORM.S.DIST(Table1[[#This Row],[Birthweight Z-Score (BW-10%)]],TRUE)*100,"")</f>
        <v/>
      </c>
      <c r="L9383" s="7" t="str">
        <f>IF(Table1[[#This Row],[Is Data Valid]]=TRUE,_xlfn.NORM.S.DIST(Table1[[#This Row],[Birthweight Z-Score (BW+10%)]],TRUE)*100,"")</f>
        <v/>
      </c>
    </row>
    <row r="9384" spans="1:12" x14ac:dyDescent="0.35">
      <c r="A9384" s="3"/>
      <c r="B9384" s="2"/>
      <c r="C9384" s="2"/>
      <c r="D9384" s="2" t="b">
        <f>IF(AND(NOT(ISBLANK(Table1[[#This Row],[Fetal Sex (Male, Female or Unknown)]])),ISNUMBER(Table1[[#This Row],[Birthweight (grams)]]),ISNUMBER(Table1[[#This Row],[Gestation (days)]])),TRUE,FALSE)</f>
        <v>0</v>
      </c>
      <c r="E9384" s="2" t="str">
        <f>IF(Table1[[#This Row],[Is Data Valid]]=TRUE,IF(Table1[[#This Row],[Fetal Sex (Male, Female or Unknown)]]="Male",Backend!$C$6,IF(Table1[[#This Row],[Fetal Sex (Male, Female or Unknown)]]="Female",Backend!$C$7,IF(Table1[[#This Row],[Fetal Sex (Male, Female or Unknown)]]="Unknown",Backend!$C$8,"Error"))),"")</f>
        <v/>
      </c>
      <c r="F9384" s="8" t="str">
        <f>IF(Table1[[#This Row],[Is Data Valid]]=TRUE,EXP(0.578+0.332*((Table1[[#This Row],[Gestation (days)]]+0.5)/7)-0.00354*((Table1[[#This Row],[Gestation (days)]]+0.5)/7)^2)*Table1[[#This Row],[BW40_3705]],"")</f>
        <v/>
      </c>
      <c r="G9384" s="2" t="str">
        <f>IF(Table1[[#This Row],[Is Data Valid]]=TRUE,((Table1[[#This Row],[Birthweight (grams)]]/Table1[[#This Row],[BW_GA]])-1)/(Backend!$B$4/100*Table1[[#This Row],[BW40_3705]]),"")</f>
        <v/>
      </c>
      <c r="H9384" s="7" t="str">
        <f>IF(Table1[[#This Row],[Is Data Valid]]=TRUE,((Table1[[#This Row],[Birthweight (grams)]]*0.9/Table1[[#This Row],[BW_GA]])-1)/(Backend!$B$4/100*Table1[[#This Row],[BW40_3705]]),"")</f>
        <v/>
      </c>
      <c r="I9384" s="7" t="str">
        <f>IF(Table1[[#This Row],[Is Data Valid]]=TRUE,((Table1[[#This Row],[Birthweight (grams)]]*1.1/Table1[[#This Row],[BW_GA]])-1)/(Backend!$B$4/100*Table1[[#This Row],[BW40_3705]]),"")</f>
        <v/>
      </c>
      <c r="J9384" s="7" t="str">
        <f>IF(Table1[[#This Row],[Is Data Valid]]=TRUE,_xlfn.NORM.S.DIST(Table1[[#This Row],[Birthweight Z-Score]],TRUE)*100,"")</f>
        <v/>
      </c>
      <c r="K9384" s="7" t="str">
        <f>IF(Table1[[#This Row],[Is Data Valid]]=TRUE,_xlfn.NORM.S.DIST(Table1[[#This Row],[Birthweight Z-Score (BW-10%)]],TRUE)*100,"")</f>
        <v/>
      </c>
      <c r="L9384" s="7" t="str">
        <f>IF(Table1[[#This Row],[Is Data Valid]]=TRUE,_xlfn.NORM.S.DIST(Table1[[#This Row],[Birthweight Z-Score (BW+10%)]],TRUE)*100,"")</f>
        <v/>
      </c>
    </row>
    <row r="9385" spans="1:12" x14ac:dyDescent="0.35">
      <c r="A9385" s="3"/>
      <c r="B9385" s="2"/>
      <c r="C9385" s="2"/>
      <c r="D9385" s="2" t="b">
        <f>IF(AND(NOT(ISBLANK(Table1[[#This Row],[Fetal Sex (Male, Female or Unknown)]])),ISNUMBER(Table1[[#This Row],[Birthweight (grams)]]),ISNUMBER(Table1[[#This Row],[Gestation (days)]])),TRUE,FALSE)</f>
        <v>0</v>
      </c>
      <c r="E9385" s="2" t="str">
        <f>IF(Table1[[#This Row],[Is Data Valid]]=TRUE,IF(Table1[[#This Row],[Fetal Sex (Male, Female or Unknown)]]="Male",Backend!$C$6,IF(Table1[[#This Row],[Fetal Sex (Male, Female or Unknown)]]="Female",Backend!$C$7,IF(Table1[[#This Row],[Fetal Sex (Male, Female or Unknown)]]="Unknown",Backend!$C$8,"Error"))),"")</f>
        <v/>
      </c>
      <c r="F9385" s="8" t="str">
        <f>IF(Table1[[#This Row],[Is Data Valid]]=TRUE,EXP(0.578+0.332*((Table1[[#This Row],[Gestation (days)]]+0.5)/7)-0.00354*((Table1[[#This Row],[Gestation (days)]]+0.5)/7)^2)*Table1[[#This Row],[BW40_3705]],"")</f>
        <v/>
      </c>
      <c r="G9385" s="2" t="str">
        <f>IF(Table1[[#This Row],[Is Data Valid]]=TRUE,((Table1[[#This Row],[Birthweight (grams)]]/Table1[[#This Row],[BW_GA]])-1)/(Backend!$B$4/100*Table1[[#This Row],[BW40_3705]]),"")</f>
        <v/>
      </c>
      <c r="H9385" s="7" t="str">
        <f>IF(Table1[[#This Row],[Is Data Valid]]=TRUE,((Table1[[#This Row],[Birthweight (grams)]]*0.9/Table1[[#This Row],[BW_GA]])-1)/(Backend!$B$4/100*Table1[[#This Row],[BW40_3705]]),"")</f>
        <v/>
      </c>
      <c r="I9385" s="7" t="str">
        <f>IF(Table1[[#This Row],[Is Data Valid]]=TRUE,((Table1[[#This Row],[Birthweight (grams)]]*1.1/Table1[[#This Row],[BW_GA]])-1)/(Backend!$B$4/100*Table1[[#This Row],[BW40_3705]]),"")</f>
        <v/>
      </c>
      <c r="J9385" s="7" t="str">
        <f>IF(Table1[[#This Row],[Is Data Valid]]=TRUE,_xlfn.NORM.S.DIST(Table1[[#This Row],[Birthweight Z-Score]],TRUE)*100,"")</f>
        <v/>
      </c>
      <c r="K9385" s="7" t="str">
        <f>IF(Table1[[#This Row],[Is Data Valid]]=TRUE,_xlfn.NORM.S.DIST(Table1[[#This Row],[Birthweight Z-Score (BW-10%)]],TRUE)*100,"")</f>
        <v/>
      </c>
      <c r="L9385" s="7" t="str">
        <f>IF(Table1[[#This Row],[Is Data Valid]]=TRUE,_xlfn.NORM.S.DIST(Table1[[#This Row],[Birthweight Z-Score (BW+10%)]],TRUE)*100,"")</f>
        <v/>
      </c>
    </row>
    <row r="9386" spans="1:12" x14ac:dyDescent="0.35">
      <c r="A9386" s="3"/>
      <c r="B9386" s="2"/>
      <c r="C9386" s="2"/>
      <c r="D9386" s="2" t="b">
        <f>IF(AND(NOT(ISBLANK(Table1[[#This Row],[Fetal Sex (Male, Female or Unknown)]])),ISNUMBER(Table1[[#This Row],[Birthweight (grams)]]),ISNUMBER(Table1[[#This Row],[Gestation (days)]])),TRUE,FALSE)</f>
        <v>0</v>
      </c>
      <c r="E9386" s="2" t="str">
        <f>IF(Table1[[#This Row],[Is Data Valid]]=TRUE,IF(Table1[[#This Row],[Fetal Sex (Male, Female or Unknown)]]="Male",Backend!$C$6,IF(Table1[[#This Row],[Fetal Sex (Male, Female or Unknown)]]="Female",Backend!$C$7,IF(Table1[[#This Row],[Fetal Sex (Male, Female or Unknown)]]="Unknown",Backend!$C$8,"Error"))),"")</f>
        <v/>
      </c>
      <c r="F9386" s="8" t="str">
        <f>IF(Table1[[#This Row],[Is Data Valid]]=TRUE,EXP(0.578+0.332*((Table1[[#This Row],[Gestation (days)]]+0.5)/7)-0.00354*((Table1[[#This Row],[Gestation (days)]]+0.5)/7)^2)*Table1[[#This Row],[BW40_3705]],"")</f>
        <v/>
      </c>
      <c r="G9386" s="2" t="str">
        <f>IF(Table1[[#This Row],[Is Data Valid]]=TRUE,((Table1[[#This Row],[Birthweight (grams)]]/Table1[[#This Row],[BW_GA]])-1)/(Backend!$B$4/100*Table1[[#This Row],[BW40_3705]]),"")</f>
        <v/>
      </c>
      <c r="H9386" s="7" t="str">
        <f>IF(Table1[[#This Row],[Is Data Valid]]=TRUE,((Table1[[#This Row],[Birthweight (grams)]]*0.9/Table1[[#This Row],[BW_GA]])-1)/(Backend!$B$4/100*Table1[[#This Row],[BW40_3705]]),"")</f>
        <v/>
      </c>
      <c r="I9386" s="7" t="str">
        <f>IF(Table1[[#This Row],[Is Data Valid]]=TRUE,((Table1[[#This Row],[Birthweight (grams)]]*1.1/Table1[[#This Row],[BW_GA]])-1)/(Backend!$B$4/100*Table1[[#This Row],[BW40_3705]]),"")</f>
        <v/>
      </c>
      <c r="J9386" s="7" t="str">
        <f>IF(Table1[[#This Row],[Is Data Valid]]=TRUE,_xlfn.NORM.S.DIST(Table1[[#This Row],[Birthweight Z-Score]],TRUE)*100,"")</f>
        <v/>
      </c>
      <c r="K9386" s="7" t="str">
        <f>IF(Table1[[#This Row],[Is Data Valid]]=TRUE,_xlfn.NORM.S.DIST(Table1[[#This Row],[Birthweight Z-Score (BW-10%)]],TRUE)*100,"")</f>
        <v/>
      </c>
      <c r="L9386" s="7" t="str">
        <f>IF(Table1[[#This Row],[Is Data Valid]]=TRUE,_xlfn.NORM.S.DIST(Table1[[#This Row],[Birthweight Z-Score (BW+10%)]],TRUE)*100,"")</f>
        <v/>
      </c>
    </row>
    <row r="9387" spans="1:12" x14ac:dyDescent="0.35">
      <c r="A9387" s="3"/>
      <c r="B9387" s="2"/>
      <c r="C9387" s="2"/>
      <c r="D9387" s="2" t="b">
        <f>IF(AND(NOT(ISBLANK(Table1[[#This Row],[Fetal Sex (Male, Female or Unknown)]])),ISNUMBER(Table1[[#This Row],[Birthweight (grams)]]),ISNUMBER(Table1[[#This Row],[Gestation (days)]])),TRUE,FALSE)</f>
        <v>0</v>
      </c>
      <c r="E9387" s="2" t="str">
        <f>IF(Table1[[#This Row],[Is Data Valid]]=TRUE,IF(Table1[[#This Row],[Fetal Sex (Male, Female or Unknown)]]="Male",Backend!$C$6,IF(Table1[[#This Row],[Fetal Sex (Male, Female or Unknown)]]="Female",Backend!$C$7,IF(Table1[[#This Row],[Fetal Sex (Male, Female or Unknown)]]="Unknown",Backend!$C$8,"Error"))),"")</f>
        <v/>
      </c>
      <c r="F9387" s="8" t="str">
        <f>IF(Table1[[#This Row],[Is Data Valid]]=TRUE,EXP(0.578+0.332*((Table1[[#This Row],[Gestation (days)]]+0.5)/7)-0.00354*((Table1[[#This Row],[Gestation (days)]]+0.5)/7)^2)*Table1[[#This Row],[BW40_3705]],"")</f>
        <v/>
      </c>
      <c r="G9387" s="2" t="str">
        <f>IF(Table1[[#This Row],[Is Data Valid]]=TRUE,((Table1[[#This Row],[Birthweight (grams)]]/Table1[[#This Row],[BW_GA]])-1)/(Backend!$B$4/100*Table1[[#This Row],[BW40_3705]]),"")</f>
        <v/>
      </c>
      <c r="H9387" s="7" t="str">
        <f>IF(Table1[[#This Row],[Is Data Valid]]=TRUE,((Table1[[#This Row],[Birthweight (grams)]]*0.9/Table1[[#This Row],[BW_GA]])-1)/(Backend!$B$4/100*Table1[[#This Row],[BW40_3705]]),"")</f>
        <v/>
      </c>
      <c r="I9387" s="7" t="str">
        <f>IF(Table1[[#This Row],[Is Data Valid]]=TRUE,((Table1[[#This Row],[Birthweight (grams)]]*1.1/Table1[[#This Row],[BW_GA]])-1)/(Backend!$B$4/100*Table1[[#This Row],[BW40_3705]]),"")</f>
        <v/>
      </c>
      <c r="J9387" s="7" t="str">
        <f>IF(Table1[[#This Row],[Is Data Valid]]=TRUE,_xlfn.NORM.S.DIST(Table1[[#This Row],[Birthweight Z-Score]],TRUE)*100,"")</f>
        <v/>
      </c>
      <c r="K9387" s="7" t="str">
        <f>IF(Table1[[#This Row],[Is Data Valid]]=TRUE,_xlfn.NORM.S.DIST(Table1[[#This Row],[Birthweight Z-Score (BW-10%)]],TRUE)*100,"")</f>
        <v/>
      </c>
      <c r="L9387" s="7" t="str">
        <f>IF(Table1[[#This Row],[Is Data Valid]]=TRUE,_xlfn.NORM.S.DIST(Table1[[#This Row],[Birthweight Z-Score (BW+10%)]],TRUE)*100,"")</f>
        <v/>
      </c>
    </row>
    <row r="9388" spans="1:12" x14ac:dyDescent="0.35">
      <c r="A9388" s="3"/>
      <c r="B9388" s="2"/>
      <c r="C9388" s="2"/>
      <c r="D9388" s="2" t="b">
        <f>IF(AND(NOT(ISBLANK(Table1[[#This Row],[Fetal Sex (Male, Female or Unknown)]])),ISNUMBER(Table1[[#This Row],[Birthweight (grams)]]),ISNUMBER(Table1[[#This Row],[Gestation (days)]])),TRUE,FALSE)</f>
        <v>0</v>
      </c>
      <c r="E9388" s="2" t="str">
        <f>IF(Table1[[#This Row],[Is Data Valid]]=TRUE,IF(Table1[[#This Row],[Fetal Sex (Male, Female or Unknown)]]="Male",Backend!$C$6,IF(Table1[[#This Row],[Fetal Sex (Male, Female or Unknown)]]="Female",Backend!$C$7,IF(Table1[[#This Row],[Fetal Sex (Male, Female or Unknown)]]="Unknown",Backend!$C$8,"Error"))),"")</f>
        <v/>
      </c>
      <c r="F9388" s="8" t="str">
        <f>IF(Table1[[#This Row],[Is Data Valid]]=TRUE,EXP(0.578+0.332*((Table1[[#This Row],[Gestation (days)]]+0.5)/7)-0.00354*((Table1[[#This Row],[Gestation (days)]]+0.5)/7)^2)*Table1[[#This Row],[BW40_3705]],"")</f>
        <v/>
      </c>
      <c r="G9388" s="2" t="str">
        <f>IF(Table1[[#This Row],[Is Data Valid]]=TRUE,((Table1[[#This Row],[Birthweight (grams)]]/Table1[[#This Row],[BW_GA]])-1)/(Backend!$B$4/100*Table1[[#This Row],[BW40_3705]]),"")</f>
        <v/>
      </c>
      <c r="H9388" s="7" t="str">
        <f>IF(Table1[[#This Row],[Is Data Valid]]=TRUE,((Table1[[#This Row],[Birthweight (grams)]]*0.9/Table1[[#This Row],[BW_GA]])-1)/(Backend!$B$4/100*Table1[[#This Row],[BW40_3705]]),"")</f>
        <v/>
      </c>
      <c r="I9388" s="7" t="str">
        <f>IF(Table1[[#This Row],[Is Data Valid]]=TRUE,((Table1[[#This Row],[Birthweight (grams)]]*1.1/Table1[[#This Row],[BW_GA]])-1)/(Backend!$B$4/100*Table1[[#This Row],[BW40_3705]]),"")</f>
        <v/>
      </c>
      <c r="J9388" s="7" t="str">
        <f>IF(Table1[[#This Row],[Is Data Valid]]=TRUE,_xlfn.NORM.S.DIST(Table1[[#This Row],[Birthweight Z-Score]],TRUE)*100,"")</f>
        <v/>
      </c>
      <c r="K9388" s="7" t="str">
        <f>IF(Table1[[#This Row],[Is Data Valid]]=TRUE,_xlfn.NORM.S.DIST(Table1[[#This Row],[Birthweight Z-Score (BW-10%)]],TRUE)*100,"")</f>
        <v/>
      </c>
      <c r="L9388" s="7" t="str">
        <f>IF(Table1[[#This Row],[Is Data Valid]]=TRUE,_xlfn.NORM.S.DIST(Table1[[#This Row],[Birthweight Z-Score (BW+10%)]],TRUE)*100,"")</f>
        <v/>
      </c>
    </row>
    <row r="9389" spans="1:12" x14ac:dyDescent="0.35">
      <c r="A9389" s="3"/>
      <c r="B9389" s="2"/>
      <c r="C9389" s="2"/>
      <c r="D9389" s="2" t="b">
        <f>IF(AND(NOT(ISBLANK(Table1[[#This Row],[Fetal Sex (Male, Female or Unknown)]])),ISNUMBER(Table1[[#This Row],[Birthweight (grams)]]),ISNUMBER(Table1[[#This Row],[Gestation (days)]])),TRUE,FALSE)</f>
        <v>0</v>
      </c>
      <c r="E9389" s="2" t="str">
        <f>IF(Table1[[#This Row],[Is Data Valid]]=TRUE,IF(Table1[[#This Row],[Fetal Sex (Male, Female or Unknown)]]="Male",Backend!$C$6,IF(Table1[[#This Row],[Fetal Sex (Male, Female or Unknown)]]="Female",Backend!$C$7,IF(Table1[[#This Row],[Fetal Sex (Male, Female or Unknown)]]="Unknown",Backend!$C$8,"Error"))),"")</f>
        <v/>
      </c>
      <c r="F9389" s="8" t="str">
        <f>IF(Table1[[#This Row],[Is Data Valid]]=TRUE,EXP(0.578+0.332*((Table1[[#This Row],[Gestation (days)]]+0.5)/7)-0.00354*((Table1[[#This Row],[Gestation (days)]]+0.5)/7)^2)*Table1[[#This Row],[BW40_3705]],"")</f>
        <v/>
      </c>
      <c r="G9389" s="2" t="str">
        <f>IF(Table1[[#This Row],[Is Data Valid]]=TRUE,((Table1[[#This Row],[Birthweight (grams)]]/Table1[[#This Row],[BW_GA]])-1)/(Backend!$B$4/100*Table1[[#This Row],[BW40_3705]]),"")</f>
        <v/>
      </c>
      <c r="H9389" s="7" t="str">
        <f>IF(Table1[[#This Row],[Is Data Valid]]=TRUE,((Table1[[#This Row],[Birthweight (grams)]]*0.9/Table1[[#This Row],[BW_GA]])-1)/(Backend!$B$4/100*Table1[[#This Row],[BW40_3705]]),"")</f>
        <v/>
      </c>
      <c r="I9389" s="7" t="str">
        <f>IF(Table1[[#This Row],[Is Data Valid]]=TRUE,((Table1[[#This Row],[Birthweight (grams)]]*1.1/Table1[[#This Row],[BW_GA]])-1)/(Backend!$B$4/100*Table1[[#This Row],[BW40_3705]]),"")</f>
        <v/>
      </c>
      <c r="J9389" s="7" t="str">
        <f>IF(Table1[[#This Row],[Is Data Valid]]=TRUE,_xlfn.NORM.S.DIST(Table1[[#This Row],[Birthweight Z-Score]],TRUE)*100,"")</f>
        <v/>
      </c>
      <c r="K9389" s="7" t="str">
        <f>IF(Table1[[#This Row],[Is Data Valid]]=TRUE,_xlfn.NORM.S.DIST(Table1[[#This Row],[Birthweight Z-Score (BW-10%)]],TRUE)*100,"")</f>
        <v/>
      </c>
      <c r="L9389" s="7" t="str">
        <f>IF(Table1[[#This Row],[Is Data Valid]]=TRUE,_xlfn.NORM.S.DIST(Table1[[#This Row],[Birthweight Z-Score (BW+10%)]],TRUE)*100,"")</f>
        <v/>
      </c>
    </row>
    <row r="9390" spans="1:12" x14ac:dyDescent="0.35">
      <c r="A9390" s="3"/>
      <c r="B9390" s="2"/>
      <c r="C9390" s="2"/>
      <c r="D9390" s="2" t="b">
        <f>IF(AND(NOT(ISBLANK(Table1[[#This Row],[Fetal Sex (Male, Female or Unknown)]])),ISNUMBER(Table1[[#This Row],[Birthweight (grams)]]),ISNUMBER(Table1[[#This Row],[Gestation (days)]])),TRUE,FALSE)</f>
        <v>0</v>
      </c>
      <c r="E9390" s="2" t="str">
        <f>IF(Table1[[#This Row],[Is Data Valid]]=TRUE,IF(Table1[[#This Row],[Fetal Sex (Male, Female or Unknown)]]="Male",Backend!$C$6,IF(Table1[[#This Row],[Fetal Sex (Male, Female or Unknown)]]="Female",Backend!$C$7,IF(Table1[[#This Row],[Fetal Sex (Male, Female or Unknown)]]="Unknown",Backend!$C$8,"Error"))),"")</f>
        <v/>
      </c>
      <c r="F9390" s="8" t="str">
        <f>IF(Table1[[#This Row],[Is Data Valid]]=TRUE,EXP(0.578+0.332*((Table1[[#This Row],[Gestation (days)]]+0.5)/7)-0.00354*((Table1[[#This Row],[Gestation (days)]]+0.5)/7)^2)*Table1[[#This Row],[BW40_3705]],"")</f>
        <v/>
      </c>
      <c r="G9390" s="2" t="str">
        <f>IF(Table1[[#This Row],[Is Data Valid]]=TRUE,((Table1[[#This Row],[Birthweight (grams)]]/Table1[[#This Row],[BW_GA]])-1)/(Backend!$B$4/100*Table1[[#This Row],[BW40_3705]]),"")</f>
        <v/>
      </c>
      <c r="H9390" s="7" t="str">
        <f>IF(Table1[[#This Row],[Is Data Valid]]=TRUE,((Table1[[#This Row],[Birthweight (grams)]]*0.9/Table1[[#This Row],[BW_GA]])-1)/(Backend!$B$4/100*Table1[[#This Row],[BW40_3705]]),"")</f>
        <v/>
      </c>
      <c r="I9390" s="7" t="str">
        <f>IF(Table1[[#This Row],[Is Data Valid]]=TRUE,((Table1[[#This Row],[Birthweight (grams)]]*1.1/Table1[[#This Row],[BW_GA]])-1)/(Backend!$B$4/100*Table1[[#This Row],[BW40_3705]]),"")</f>
        <v/>
      </c>
      <c r="J9390" s="7" t="str">
        <f>IF(Table1[[#This Row],[Is Data Valid]]=TRUE,_xlfn.NORM.S.DIST(Table1[[#This Row],[Birthweight Z-Score]],TRUE)*100,"")</f>
        <v/>
      </c>
      <c r="K9390" s="7" t="str">
        <f>IF(Table1[[#This Row],[Is Data Valid]]=TRUE,_xlfn.NORM.S.DIST(Table1[[#This Row],[Birthweight Z-Score (BW-10%)]],TRUE)*100,"")</f>
        <v/>
      </c>
      <c r="L9390" s="7" t="str">
        <f>IF(Table1[[#This Row],[Is Data Valid]]=TRUE,_xlfn.NORM.S.DIST(Table1[[#This Row],[Birthweight Z-Score (BW+10%)]],TRUE)*100,"")</f>
        <v/>
      </c>
    </row>
    <row r="9391" spans="1:12" x14ac:dyDescent="0.35">
      <c r="A9391" s="3"/>
      <c r="B9391" s="2"/>
      <c r="C9391" s="2"/>
      <c r="D9391" s="2" t="b">
        <f>IF(AND(NOT(ISBLANK(Table1[[#This Row],[Fetal Sex (Male, Female or Unknown)]])),ISNUMBER(Table1[[#This Row],[Birthweight (grams)]]),ISNUMBER(Table1[[#This Row],[Gestation (days)]])),TRUE,FALSE)</f>
        <v>0</v>
      </c>
      <c r="E9391" s="2" t="str">
        <f>IF(Table1[[#This Row],[Is Data Valid]]=TRUE,IF(Table1[[#This Row],[Fetal Sex (Male, Female or Unknown)]]="Male",Backend!$C$6,IF(Table1[[#This Row],[Fetal Sex (Male, Female or Unknown)]]="Female",Backend!$C$7,IF(Table1[[#This Row],[Fetal Sex (Male, Female or Unknown)]]="Unknown",Backend!$C$8,"Error"))),"")</f>
        <v/>
      </c>
      <c r="F9391" s="8" t="str">
        <f>IF(Table1[[#This Row],[Is Data Valid]]=TRUE,EXP(0.578+0.332*((Table1[[#This Row],[Gestation (days)]]+0.5)/7)-0.00354*((Table1[[#This Row],[Gestation (days)]]+0.5)/7)^2)*Table1[[#This Row],[BW40_3705]],"")</f>
        <v/>
      </c>
      <c r="G9391" s="2" t="str">
        <f>IF(Table1[[#This Row],[Is Data Valid]]=TRUE,((Table1[[#This Row],[Birthweight (grams)]]/Table1[[#This Row],[BW_GA]])-1)/(Backend!$B$4/100*Table1[[#This Row],[BW40_3705]]),"")</f>
        <v/>
      </c>
      <c r="H9391" s="7" t="str">
        <f>IF(Table1[[#This Row],[Is Data Valid]]=TRUE,((Table1[[#This Row],[Birthweight (grams)]]*0.9/Table1[[#This Row],[BW_GA]])-1)/(Backend!$B$4/100*Table1[[#This Row],[BW40_3705]]),"")</f>
        <v/>
      </c>
      <c r="I9391" s="7" t="str">
        <f>IF(Table1[[#This Row],[Is Data Valid]]=TRUE,((Table1[[#This Row],[Birthweight (grams)]]*1.1/Table1[[#This Row],[BW_GA]])-1)/(Backend!$B$4/100*Table1[[#This Row],[BW40_3705]]),"")</f>
        <v/>
      </c>
      <c r="J9391" s="7" t="str">
        <f>IF(Table1[[#This Row],[Is Data Valid]]=TRUE,_xlfn.NORM.S.DIST(Table1[[#This Row],[Birthweight Z-Score]],TRUE)*100,"")</f>
        <v/>
      </c>
      <c r="K9391" s="7" t="str">
        <f>IF(Table1[[#This Row],[Is Data Valid]]=TRUE,_xlfn.NORM.S.DIST(Table1[[#This Row],[Birthweight Z-Score (BW-10%)]],TRUE)*100,"")</f>
        <v/>
      </c>
      <c r="L9391" s="7" t="str">
        <f>IF(Table1[[#This Row],[Is Data Valid]]=TRUE,_xlfn.NORM.S.DIST(Table1[[#This Row],[Birthweight Z-Score (BW+10%)]],TRUE)*100,"")</f>
        <v/>
      </c>
    </row>
    <row r="9392" spans="1:12" x14ac:dyDescent="0.35">
      <c r="A9392" s="3"/>
      <c r="B9392" s="2"/>
      <c r="C9392" s="2"/>
      <c r="D9392" s="2" t="b">
        <f>IF(AND(NOT(ISBLANK(Table1[[#This Row],[Fetal Sex (Male, Female or Unknown)]])),ISNUMBER(Table1[[#This Row],[Birthweight (grams)]]),ISNUMBER(Table1[[#This Row],[Gestation (days)]])),TRUE,FALSE)</f>
        <v>0</v>
      </c>
      <c r="E9392" s="2" t="str">
        <f>IF(Table1[[#This Row],[Is Data Valid]]=TRUE,IF(Table1[[#This Row],[Fetal Sex (Male, Female or Unknown)]]="Male",Backend!$C$6,IF(Table1[[#This Row],[Fetal Sex (Male, Female or Unknown)]]="Female",Backend!$C$7,IF(Table1[[#This Row],[Fetal Sex (Male, Female or Unknown)]]="Unknown",Backend!$C$8,"Error"))),"")</f>
        <v/>
      </c>
      <c r="F9392" s="8" t="str">
        <f>IF(Table1[[#This Row],[Is Data Valid]]=TRUE,EXP(0.578+0.332*((Table1[[#This Row],[Gestation (days)]]+0.5)/7)-0.00354*((Table1[[#This Row],[Gestation (days)]]+0.5)/7)^2)*Table1[[#This Row],[BW40_3705]],"")</f>
        <v/>
      </c>
      <c r="G9392" s="2" t="str">
        <f>IF(Table1[[#This Row],[Is Data Valid]]=TRUE,((Table1[[#This Row],[Birthweight (grams)]]/Table1[[#This Row],[BW_GA]])-1)/(Backend!$B$4/100*Table1[[#This Row],[BW40_3705]]),"")</f>
        <v/>
      </c>
      <c r="H9392" s="7" t="str">
        <f>IF(Table1[[#This Row],[Is Data Valid]]=TRUE,((Table1[[#This Row],[Birthweight (grams)]]*0.9/Table1[[#This Row],[BW_GA]])-1)/(Backend!$B$4/100*Table1[[#This Row],[BW40_3705]]),"")</f>
        <v/>
      </c>
      <c r="I9392" s="7" t="str">
        <f>IF(Table1[[#This Row],[Is Data Valid]]=TRUE,((Table1[[#This Row],[Birthweight (grams)]]*1.1/Table1[[#This Row],[BW_GA]])-1)/(Backend!$B$4/100*Table1[[#This Row],[BW40_3705]]),"")</f>
        <v/>
      </c>
      <c r="J9392" s="7" t="str">
        <f>IF(Table1[[#This Row],[Is Data Valid]]=TRUE,_xlfn.NORM.S.DIST(Table1[[#This Row],[Birthweight Z-Score]],TRUE)*100,"")</f>
        <v/>
      </c>
      <c r="K9392" s="7" t="str">
        <f>IF(Table1[[#This Row],[Is Data Valid]]=TRUE,_xlfn.NORM.S.DIST(Table1[[#This Row],[Birthweight Z-Score (BW-10%)]],TRUE)*100,"")</f>
        <v/>
      </c>
      <c r="L9392" s="7" t="str">
        <f>IF(Table1[[#This Row],[Is Data Valid]]=TRUE,_xlfn.NORM.S.DIST(Table1[[#This Row],[Birthweight Z-Score (BW+10%)]],TRUE)*100,"")</f>
        <v/>
      </c>
    </row>
    <row r="9393" spans="1:12" x14ac:dyDescent="0.35">
      <c r="A9393" s="3"/>
      <c r="B9393" s="2"/>
      <c r="C9393" s="2"/>
      <c r="D9393" s="2" t="b">
        <f>IF(AND(NOT(ISBLANK(Table1[[#This Row],[Fetal Sex (Male, Female or Unknown)]])),ISNUMBER(Table1[[#This Row],[Birthweight (grams)]]),ISNUMBER(Table1[[#This Row],[Gestation (days)]])),TRUE,FALSE)</f>
        <v>0</v>
      </c>
      <c r="E9393" s="2" t="str">
        <f>IF(Table1[[#This Row],[Is Data Valid]]=TRUE,IF(Table1[[#This Row],[Fetal Sex (Male, Female or Unknown)]]="Male",Backend!$C$6,IF(Table1[[#This Row],[Fetal Sex (Male, Female or Unknown)]]="Female",Backend!$C$7,IF(Table1[[#This Row],[Fetal Sex (Male, Female or Unknown)]]="Unknown",Backend!$C$8,"Error"))),"")</f>
        <v/>
      </c>
      <c r="F9393" s="8" t="str">
        <f>IF(Table1[[#This Row],[Is Data Valid]]=TRUE,EXP(0.578+0.332*((Table1[[#This Row],[Gestation (days)]]+0.5)/7)-0.00354*((Table1[[#This Row],[Gestation (days)]]+0.5)/7)^2)*Table1[[#This Row],[BW40_3705]],"")</f>
        <v/>
      </c>
      <c r="G9393" s="2" t="str">
        <f>IF(Table1[[#This Row],[Is Data Valid]]=TRUE,((Table1[[#This Row],[Birthweight (grams)]]/Table1[[#This Row],[BW_GA]])-1)/(Backend!$B$4/100*Table1[[#This Row],[BW40_3705]]),"")</f>
        <v/>
      </c>
      <c r="H9393" s="7" t="str">
        <f>IF(Table1[[#This Row],[Is Data Valid]]=TRUE,((Table1[[#This Row],[Birthweight (grams)]]*0.9/Table1[[#This Row],[BW_GA]])-1)/(Backend!$B$4/100*Table1[[#This Row],[BW40_3705]]),"")</f>
        <v/>
      </c>
      <c r="I9393" s="7" t="str">
        <f>IF(Table1[[#This Row],[Is Data Valid]]=TRUE,((Table1[[#This Row],[Birthweight (grams)]]*1.1/Table1[[#This Row],[BW_GA]])-1)/(Backend!$B$4/100*Table1[[#This Row],[BW40_3705]]),"")</f>
        <v/>
      </c>
      <c r="J9393" s="7" t="str">
        <f>IF(Table1[[#This Row],[Is Data Valid]]=TRUE,_xlfn.NORM.S.DIST(Table1[[#This Row],[Birthweight Z-Score]],TRUE)*100,"")</f>
        <v/>
      </c>
      <c r="K9393" s="7" t="str">
        <f>IF(Table1[[#This Row],[Is Data Valid]]=TRUE,_xlfn.NORM.S.DIST(Table1[[#This Row],[Birthweight Z-Score (BW-10%)]],TRUE)*100,"")</f>
        <v/>
      </c>
      <c r="L9393" s="7" t="str">
        <f>IF(Table1[[#This Row],[Is Data Valid]]=TRUE,_xlfn.NORM.S.DIST(Table1[[#This Row],[Birthweight Z-Score (BW+10%)]],TRUE)*100,"")</f>
        <v/>
      </c>
    </row>
    <row r="9394" spans="1:12" x14ac:dyDescent="0.35">
      <c r="A9394" s="3"/>
      <c r="B9394" s="2"/>
      <c r="C9394" s="2"/>
      <c r="D9394" s="2" t="b">
        <f>IF(AND(NOT(ISBLANK(Table1[[#This Row],[Fetal Sex (Male, Female or Unknown)]])),ISNUMBER(Table1[[#This Row],[Birthweight (grams)]]),ISNUMBER(Table1[[#This Row],[Gestation (days)]])),TRUE,FALSE)</f>
        <v>0</v>
      </c>
      <c r="E9394" s="2" t="str">
        <f>IF(Table1[[#This Row],[Is Data Valid]]=TRUE,IF(Table1[[#This Row],[Fetal Sex (Male, Female or Unknown)]]="Male",Backend!$C$6,IF(Table1[[#This Row],[Fetal Sex (Male, Female or Unknown)]]="Female",Backend!$C$7,IF(Table1[[#This Row],[Fetal Sex (Male, Female or Unknown)]]="Unknown",Backend!$C$8,"Error"))),"")</f>
        <v/>
      </c>
      <c r="F9394" s="8" t="str">
        <f>IF(Table1[[#This Row],[Is Data Valid]]=TRUE,EXP(0.578+0.332*((Table1[[#This Row],[Gestation (days)]]+0.5)/7)-0.00354*((Table1[[#This Row],[Gestation (days)]]+0.5)/7)^2)*Table1[[#This Row],[BW40_3705]],"")</f>
        <v/>
      </c>
      <c r="G9394" s="2" t="str">
        <f>IF(Table1[[#This Row],[Is Data Valid]]=TRUE,((Table1[[#This Row],[Birthweight (grams)]]/Table1[[#This Row],[BW_GA]])-1)/(Backend!$B$4/100*Table1[[#This Row],[BW40_3705]]),"")</f>
        <v/>
      </c>
      <c r="H9394" s="7" t="str">
        <f>IF(Table1[[#This Row],[Is Data Valid]]=TRUE,((Table1[[#This Row],[Birthweight (grams)]]*0.9/Table1[[#This Row],[BW_GA]])-1)/(Backend!$B$4/100*Table1[[#This Row],[BW40_3705]]),"")</f>
        <v/>
      </c>
      <c r="I9394" s="7" t="str">
        <f>IF(Table1[[#This Row],[Is Data Valid]]=TRUE,((Table1[[#This Row],[Birthweight (grams)]]*1.1/Table1[[#This Row],[BW_GA]])-1)/(Backend!$B$4/100*Table1[[#This Row],[BW40_3705]]),"")</f>
        <v/>
      </c>
      <c r="J9394" s="7" t="str">
        <f>IF(Table1[[#This Row],[Is Data Valid]]=TRUE,_xlfn.NORM.S.DIST(Table1[[#This Row],[Birthweight Z-Score]],TRUE)*100,"")</f>
        <v/>
      </c>
      <c r="K9394" s="7" t="str">
        <f>IF(Table1[[#This Row],[Is Data Valid]]=TRUE,_xlfn.NORM.S.DIST(Table1[[#This Row],[Birthweight Z-Score (BW-10%)]],TRUE)*100,"")</f>
        <v/>
      </c>
      <c r="L9394" s="7" t="str">
        <f>IF(Table1[[#This Row],[Is Data Valid]]=TRUE,_xlfn.NORM.S.DIST(Table1[[#This Row],[Birthweight Z-Score (BW+10%)]],TRUE)*100,"")</f>
        <v/>
      </c>
    </row>
    <row r="9395" spans="1:12" x14ac:dyDescent="0.35">
      <c r="A9395" s="3"/>
      <c r="B9395" s="2"/>
      <c r="C9395" s="2"/>
      <c r="D9395" s="2" t="b">
        <f>IF(AND(NOT(ISBLANK(Table1[[#This Row],[Fetal Sex (Male, Female or Unknown)]])),ISNUMBER(Table1[[#This Row],[Birthweight (grams)]]),ISNUMBER(Table1[[#This Row],[Gestation (days)]])),TRUE,FALSE)</f>
        <v>0</v>
      </c>
      <c r="E9395" s="2" t="str">
        <f>IF(Table1[[#This Row],[Is Data Valid]]=TRUE,IF(Table1[[#This Row],[Fetal Sex (Male, Female or Unknown)]]="Male",Backend!$C$6,IF(Table1[[#This Row],[Fetal Sex (Male, Female or Unknown)]]="Female",Backend!$C$7,IF(Table1[[#This Row],[Fetal Sex (Male, Female or Unknown)]]="Unknown",Backend!$C$8,"Error"))),"")</f>
        <v/>
      </c>
      <c r="F9395" s="8" t="str">
        <f>IF(Table1[[#This Row],[Is Data Valid]]=TRUE,EXP(0.578+0.332*((Table1[[#This Row],[Gestation (days)]]+0.5)/7)-0.00354*((Table1[[#This Row],[Gestation (days)]]+0.5)/7)^2)*Table1[[#This Row],[BW40_3705]],"")</f>
        <v/>
      </c>
      <c r="G9395" s="2" t="str">
        <f>IF(Table1[[#This Row],[Is Data Valid]]=TRUE,((Table1[[#This Row],[Birthweight (grams)]]/Table1[[#This Row],[BW_GA]])-1)/(Backend!$B$4/100*Table1[[#This Row],[BW40_3705]]),"")</f>
        <v/>
      </c>
      <c r="H9395" s="7" t="str">
        <f>IF(Table1[[#This Row],[Is Data Valid]]=TRUE,((Table1[[#This Row],[Birthweight (grams)]]*0.9/Table1[[#This Row],[BW_GA]])-1)/(Backend!$B$4/100*Table1[[#This Row],[BW40_3705]]),"")</f>
        <v/>
      </c>
      <c r="I9395" s="7" t="str">
        <f>IF(Table1[[#This Row],[Is Data Valid]]=TRUE,((Table1[[#This Row],[Birthweight (grams)]]*1.1/Table1[[#This Row],[BW_GA]])-1)/(Backend!$B$4/100*Table1[[#This Row],[BW40_3705]]),"")</f>
        <v/>
      </c>
      <c r="J9395" s="7" t="str">
        <f>IF(Table1[[#This Row],[Is Data Valid]]=TRUE,_xlfn.NORM.S.DIST(Table1[[#This Row],[Birthweight Z-Score]],TRUE)*100,"")</f>
        <v/>
      </c>
      <c r="K9395" s="7" t="str">
        <f>IF(Table1[[#This Row],[Is Data Valid]]=TRUE,_xlfn.NORM.S.DIST(Table1[[#This Row],[Birthweight Z-Score (BW-10%)]],TRUE)*100,"")</f>
        <v/>
      </c>
      <c r="L9395" s="7" t="str">
        <f>IF(Table1[[#This Row],[Is Data Valid]]=TRUE,_xlfn.NORM.S.DIST(Table1[[#This Row],[Birthweight Z-Score (BW+10%)]],TRUE)*100,"")</f>
        <v/>
      </c>
    </row>
    <row r="9396" spans="1:12" x14ac:dyDescent="0.35">
      <c r="A9396" s="3"/>
      <c r="B9396" s="2"/>
      <c r="C9396" s="2"/>
      <c r="D9396" s="2" t="b">
        <f>IF(AND(NOT(ISBLANK(Table1[[#This Row],[Fetal Sex (Male, Female or Unknown)]])),ISNUMBER(Table1[[#This Row],[Birthweight (grams)]]),ISNUMBER(Table1[[#This Row],[Gestation (days)]])),TRUE,FALSE)</f>
        <v>0</v>
      </c>
      <c r="E9396" s="2" t="str">
        <f>IF(Table1[[#This Row],[Is Data Valid]]=TRUE,IF(Table1[[#This Row],[Fetal Sex (Male, Female or Unknown)]]="Male",Backend!$C$6,IF(Table1[[#This Row],[Fetal Sex (Male, Female or Unknown)]]="Female",Backend!$C$7,IF(Table1[[#This Row],[Fetal Sex (Male, Female or Unknown)]]="Unknown",Backend!$C$8,"Error"))),"")</f>
        <v/>
      </c>
      <c r="F9396" s="8" t="str">
        <f>IF(Table1[[#This Row],[Is Data Valid]]=TRUE,EXP(0.578+0.332*((Table1[[#This Row],[Gestation (days)]]+0.5)/7)-0.00354*((Table1[[#This Row],[Gestation (days)]]+0.5)/7)^2)*Table1[[#This Row],[BW40_3705]],"")</f>
        <v/>
      </c>
      <c r="G9396" s="2" t="str">
        <f>IF(Table1[[#This Row],[Is Data Valid]]=TRUE,((Table1[[#This Row],[Birthweight (grams)]]/Table1[[#This Row],[BW_GA]])-1)/(Backend!$B$4/100*Table1[[#This Row],[BW40_3705]]),"")</f>
        <v/>
      </c>
      <c r="H9396" s="7" t="str">
        <f>IF(Table1[[#This Row],[Is Data Valid]]=TRUE,((Table1[[#This Row],[Birthweight (grams)]]*0.9/Table1[[#This Row],[BW_GA]])-1)/(Backend!$B$4/100*Table1[[#This Row],[BW40_3705]]),"")</f>
        <v/>
      </c>
      <c r="I9396" s="7" t="str">
        <f>IF(Table1[[#This Row],[Is Data Valid]]=TRUE,((Table1[[#This Row],[Birthweight (grams)]]*1.1/Table1[[#This Row],[BW_GA]])-1)/(Backend!$B$4/100*Table1[[#This Row],[BW40_3705]]),"")</f>
        <v/>
      </c>
      <c r="J9396" s="7" t="str">
        <f>IF(Table1[[#This Row],[Is Data Valid]]=TRUE,_xlfn.NORM.S.DIST(Table1[[#This Row],[Birthweight Z-Score]],TRUE)*100,"")</f>
        <v/>
      </c>
      <c r="K9396" s="7" t="str">
        <f>IF(Table1[[#This Row],[Is Data Valid]]=TRUE,_xlfn.NORM.S.DIST(Table1[[#This Row],[Birthweight Z-Score (BW-10%)]],TRUE)*100,"")</f>
        <v/>
      </c>
      <c r="L9396" s="7" t="str">
        <f>IF(Table1[[#This Row],[Is Data Valid]]=TRUE,_xlfn.NORM.S.DIST(Table1[[#This Row],[Birthweight Z-Score (BW+10%)]],TRUE)*100,"")</f>
        <v/>
      </c>
    </row>
    <row r="9397" spans="1:12" x14ac:dyDescent="0.35">
      <c r="A9397" s="3"/>
      <c r="B9397" s="2"/>
      <c r="C9397" s="2"/>
      <c r="D9397" s="2" t="b">
        <f>IF(AND(NOT(ISBLANK(Table1[[#This Row],[Fetal Sex (Male, Female or Unknown)]])),ISNUMBER(Table1[[#This Row],[Birthweight (grams)]]),ISNUMBER(Table1[[#This Row],[Gestation (days)]])),TRUE,FALSE)</f>
        <v>0</v>
      </c>
      <c r="E9397" s="2" t="str">
        <f>IF(Table1[[#This Row],[Is Data Valid]]=TRUE,IF(Table1[[#This Row],[Fetal Sex (Male, Female or Unknown)]]="Male",Backend!$C$6,IF(Table1[[#This Row],[Fetal Sex (Male, Female or Unknown)]]="Female",Backend!$C$7,IF(Table1[[#This Row],[Fetal Sex (Male, Female or Unknown)]]="Unknown",Backend!$C$8,"Error"))),"")</f>
        <v/>
      </c>
      <c r="F9397" s="8" t="str">
        <f>IF(Table1[[#This Row],[Is Data Valid]]=TRUE,EXP(0.578+0.332*((Table1[[#This Row],[Gestation (days)]]+0.5)/7)-0.00354*((Table1[[#This Row],[Gestation (days)]]+0.5)/7)^2)*Table1[[#This Row],[BW40_3705]],"")</f>
        <v/>
      </c>
      <c r="G9397" s="2" t="str">
        <f>IF(Table1[[#This Row],[Is Data Valid]]=TRUE,((Table1[[#This Row],[Birthweight (grams)]]/Table1[[#This Row],[BW_GA]])-1)/(Backend!$B$4/100*Table1[[#This Row],[BW40_3705]]),"")</f>
        <v/>
      </c>
      <c r="H9397" s="7" t="str">
        <f>IF(Table1[[#This Row],[Is Data Valid]]=TRUE,((Table1[[#This Row],[Birthweight (grams)]]*0.9/Table1[[#This Row],[BW_GA]])-1)/(Backend!$B$4/100*Table1[[#This Row],[BW40_3705]]),"")</f>
        <v/>
      </c>
      <c r="I9397" s="7" t="str">
        <f>IF(Table1[[#This Row],[Is Data Valid]]=TRUE,((Table1[[#This Row],[Birthweight (grams)]]*1.1/Table1[[#This Row],[BW_GA]])-1)/(Backend!$B$4/100*Table1[[#This Row],[BW40_3705]]),"")</f>
        <v/>
      </c>
      <c r="J9397" s="7" t="str">
        <f>IF(Table1[[#This Row],[Is Data Valid]]=TRUE,_xlfn.NORM.S.DIST(Table1[[#This Row],[Birthweight Z-Score]],TRUE)*100,"")</f>
        <v/>
      </c>
      <c r="K9397" s="7" t="str">
        <f>IF(Table1[[#This Row],[Is Data Valid]]=TRUE,_xlfn.NORM.S.DIST(Table1[[#This Row],[Birthweight Z-Score (BW-10%)]],TRUE)*100,"")</f>
        <v/>
      </c>
      <c r="L9397" s="7" t="str">
        <f>IF(Table1[[#This Row],[Is Data Valid]]=TRUE,_xlfn.NORM.S.DIST(Table1[[#This Row],[Birthweight Z-Score (BW+10%)]],TRUE)*100,"")</f>
        <v/>
      </c>
    </row>
    <row r="9398" spans="1:12" x14ac:dyDescent="0.35">
      <c r="A9398" s="3"/>
      <c r="B9398" s="2"/>
      <c r="C9398" s="2"/>
      <c r="D9398" s="2" t="b">
        <f>IF(AND(NOT(ISBLANK(Table1[[#This Row],[Fetal Sex (Male, Female or Unknown)]])),ISNUMBER(Table1[[#This Row],[Birthweight (grams)]]),ISNUMBER(Table1[[#This Row],[Gestation (days)]])),TRUE,FALSE)</f>
        <v>0</v>
      </c>
      <c r="E9398" s="2" t="str">
        <f>IF(Table1[[#This Row],[Is Data Valid]]=TRUE,IF(Table1[[#This Row],[Fetal Sex (Male, Female or Unknown)]]="Male",Backend!$C$6,IF(Table1[[#This Row],[Fetal Sex (Male, Female or Unknown)]]="Female",Backend!$C$7,IF(Table1[[#This Row],[Fetal Sex (Male, Female or Unknown)]]="Unknown",Backend!$C$8,"Error"))),"")</f>
        <v/>
      </c>
      <c r="F9398" s="8" t="str">
        <f>IF(Table1[[#This Row],[Is Data Valid]]=TRUE,EXP(0.578+0.332*((Table1[[#This Row],[Gestation (days)]]+0.5)/7)-0.00354*((Table1[[#This Row],[Gestation (days)]]+0.5)/7)^2)*Table1[[#This Row],[BW40_3705]],"")</f>
        <v/>
      </c>
      <c r="G9398" s="2" t="str">
        <f>IF(Table1[[#This Row],[Is Data Valid]]=TRUE,((Table1[[#This Row],[Birthweight (grams)]]/Table1[[#This Row],[BW_GA]])-1)/(Backend!$B$4/100*Table1[[#This Row],[BW40_3705]]),"")</f>
        <v/>
      </c>
      <c r="H9398" s="7" t="str">
        <f>IF(Table1[[#This Row],[Is Data Valid]]=TRUE,((Table1[[#This Row],[Birthweight (grams)]]*0.9/Table1[[#This Row],[BW_GA]])-1)/(Backend!$B$4/100*Table1[[#This Row],[BW40_3705]]),"")</f>
        <v/>
      </c>
      <c r="I9398" s="7" t="str">
        <f>IF(Table1[[#This Row],[Is Data Valid]]=TRUE,((Table1[[#This Row],[Birthweight (grams)]]*1.1/Table1[[#This Row],[BW_GA]])-1)/(Backend!$B$4/100*Table1[[#This Row],[BW40_3705]]),"")</f>
        <v/>
      </c>
      <c r="J9398" s="7" t="str">
        <f>IF(Table1[[#This Row],[Is Data Valid]]=TRUE,_xlfn.NORM.S.DIST(Table1[[#This Row],[Birthweight Z-Score]],TRUE)*100,"")</f>
        <v/>
      </c>
      <c r="K9398" s="7" t="str">
        <f>IF(Table1[[#This Row],[Is Data Valid]]=TRUE,_xlfn.NORM.S.DIST(Table1[[#This Row],[Birthweight Z-Score (BW-10%)]],TRUE)*100,"")</f>
        <v/>
      </c>
      <c r="L9398" s="7" t="str">
        <f>IF(Table1[[#This Row],[Is Data Valid]]=TRUE,_xlfn.NORM.S.DIST(Table1[[#This Row],[Birthweight Z-Score (BW+10%)]],TRUE)*100,"")</f>
        <v/>
      </c>
    </row>
    <row r="9399" spans="1:12" x14ac:dyDescent="0.35">
      <c r="A9399" s="3"/>
      <c r="B9399" s="2"/>
      <c r="C9399" s="2"/>
      <c r="D9399" s="2" t="b">
        <f>IF(AND(NOT(ISBLANK(Table1[[#This Row],[Fetal Sex (Male, Female or Unknown)]])),ISNUMBER(Table1[[#This Row],[Birthweight (grams)]]),ISNUMBER(Table1[[#This Row],[Gestation (days)]])),TRUE,FALSE)</f>
        <v>0</v>
      </c>
      <c r="E9399" s="2" t="str">
        <f>IF(Table1[[#This Row],[Is Data Valid]]=TRUE,IF(Table1[[#This Row],[Fetal Sex (Male, Female or Unknown)]]="Male",Backend!$C$6,IF(Table1[[#This Row],[Fetal Sex (Male, Female or Unknown)]]="Female",Backend!$C$7,IF(Table1[[#This Row],[Fetal Sex (Male, Female or Unknown)]]="Unknown",Backend!$C$8,"Error"))),"")</f>
        <v/>
      </c>
      <c r="F9399" s="8" t="str">
        <f>IF(Table1[[#This Row],[Is Data Valid]]=TRUE,EXP(0.578+0.332*((Table1[[#This Row],[Gestation (days)]]+0.5)/7)-0.00354*((Table1[[#This Row],[Gestation (days)]]+0.5)/7)^2)*Table1[[#This Row],[BW40_3705]],"")</f>
        <v/>
      </c>
      <c r="G9399" s="2" t="str">
        <f>IF(Table1[[#This Row],[Is Data Valid]]=TRUE,((Table1[[#This Row],[Birthweight (grams)]]/Table1[[#This Row],[BW_GA]])-1)/(Backend!$B$4/100*Table1[[#This Row],[BW40_3705]]),"")</f>
        <v/>
      </c>
      <c r="H9399" s="7" t="str">
        <f>IF(Table1[[#This Row],[Is Data Valid]]=TRUE,((Table1[[#This Row],[Birthweight (grams)]]*0.9/Table1[[#This Row],[BW_GA]])-1)/(Backend!$B$4/100*Table1[[#This Row],[BW40_3705]]),"")</f>
        <v/>
      </c>
      <c r="I9399" s="7" t="str">
        <f>IF(Table1[[#This Row],[Is Data Valid]]=TRUE,((Table1[[#This Row],[Birthweight (grams)]]*1.1/Table1[[#This Row],[BW_GA]])-1)/(Backend!$B$4/100*Table1[[#This Row],[BW40_3705]]),"")</f>
        <v/>
      </c>
      <c r="J9399" s="7" t="str">
        <f>IF(Table1[[#This Row],[Is Data Valid]]=TRUE,_xlfn.NORM.S.DIST(Table1[[#This Row],[Birthweight Z-Score]],TRUE)*100,"")</f>
        <v/>
      </c>
      <c r="K9399" s="7" t="str">
        <f>IF(Table1[[#This Row],[Is Data Valid]]=TRUE,_xlfn.NORM.S.DIST(Table1[[#This Row],[Birthweight Z-Score (BW-10%)]],TRUE)*100,"")</f>
        <v/>
      </c>
      <c r="L9399" s="7" t="str">
        <f>IF(Table1[[#This Row],[Is Data Valid]]=TRUE,_xlfn.NORM.S.DIST(Table1[[#This Row],[Birthweight Z-Score (BW+10%)]],TRUE)*100,"")</f>
        <v/>
      </c>
    </row>
    <row r="9400" spans="1:12" x14ac:dyDescent="0.35">
      <c r="A9400" s="3"/>
      <c r="B9400" s="2"/>
      <c r="C9400" s="2"/>
      <c r="D9400" s="2" t="b">
        <f>IF(AND(NOT(ISBLANK(Table1[[#This Row],[Fetal Sex (Male, Female or Unknown)]])),ISNUMBER(Table1[[#This Row],[Birthweight (grams)]]),ISNUMBER(Table1[[#This Row],[Gestation (days)]])),TRUE,FALSE)</f>
        <v>0</v>
      </c>
      <c r="E9400" s="2" t="str">
        <f>IF(Table1[[#This Row],[Is Data Valid]]=TRUE,IF(Table1[[#This Row],[Fetal Sex (Male, Female or Unknown)]]="Male",Backend!$C$6,IF(Table1[[#This Row],[Fetal Sex (Male, Female or Unknown)]]="Female",Backend!$C$7,IF(Table1[[#This Row],[Fetal Sex (Male, Female or Unknown)]]="Unknown",Backend!$C$8,"Error"))),"")</f>
        <v/>
      </c>
      <c r="F9400" s="8" t="str">
        <f>IF(Table1[[#This Row],[Is Data Valid]]=TRUE,EXP(0.578+0.332*((Table1[[#This Row],[Gestation (days)]]+0.5)/7)-0.00354*((Table1[[#This Row],[Gestation (days)]]+0.5)/7)^2)*Table1[[#This Row],[BW40_3705]],"")</f>
        <v/>
      </c>
      <c r="G9400" s="2" t="str">
        <f>IF(Table1[[#This Row],[Is Data Valid]]=TRUE,((Table1[[#This Row],[Birthweight (grams)]]/Table1[[#This Row],[BW_GA]])-1)/(Backend!$B$4/100*Table1[[#This Row],[BW40_3705]]),"")</f>
        <v/>
      </c>
      <c r="H9400" s="7" t="str">
        <f>IF(Table1[[#This Row],[Is Data Valid]]=TRUE,((Table1[[#This Row],[Birthweight (grams)]]*0.9/Table1[[#This Row],[BW_GA]])-1)/(Backend!$B$4/100*Table1[[#This Row],[BW40_3705]]),"")</f>
        <v/>
      </c>
      <c r="I9400" s="7" t="str">
        <f>IF(Table1[[#This Row],[Is Data Valid]]=TRUE,((Table1[[#This Row],[Birthweight (grams)]]*1.1/Table1[[#This Row],[BW_GA]])-1)/(Backend!$B$4/100*Table1[[#This Row],[BW40_3705]]),"")</f>
        <v/>
      </c>
      <c r="J9400" s="7" t="str">
        <f>IF(Table1[[#This Row],[Is Data Valid]]=TRUE,_xlfn.NORM.S.DIST(Table1[[#This Row],[Birthweight Z-Score]],TRUE)*100,"")</f>
        <v/>
      </c>
      <c r="K9400" s="7" t="str">
        <f>IF(Table1[[#This Row],[Is Data Valid]]=TRUE,_xlfn.NORM.S.DIST(Table1[[#This Row],[Birthweight Z-Score (BW-10%)]],TRUE)*100,"")</f>
        <v/>
      </c>
      <c r="L9400" s="7" t="str">
        <f>IF(Table1[[#This Row],[Is Data Valid]]=TRUE,_xlfn.NORM.S.DIST(Table1[[#This Row],[Birthweight Z-Score (BW+10%)]],TRUE)*100,"")</f>
        <v/>
      </c>
    </row>
    <row r="9401" spans="1:12" x14ac:dyDescent="0.35">
      <c r="A9401" s="3"/>
      <c r="B9401" s="2"/>
      <c r="C9401" s="2"/>
      <c r="D9401" s="2" t="b">
        <f>IF(AND(NOT(ISBLANK(Table1[[#This Row],[Fetal Sex (Male, Female or Unknown)]])),ISNUMBER(Table1[[#This Row],[Birthweight (grams)]]),ISNUMBER(Table1[[#This Row],[Gestation (days)]])),TRUE,FALSE)</f>
        <v>0</v>
      </c>
      <c r="E9401" s="2" t="str">
        <f>IF(Table1[[#This Row],[Is Data Valid]]=TRUE,IF(Table1[[#This Row],[Fetal Sex (Male, Female or Unknown)]]="Male",Backend!$C$6,IF(Table1[[#This Row],[Fetal Sex (Male, Female or Unknown)]]="Female",Backend!$C$7,IF(Table1[[#This Row],[Fetal Sex (Male, Female or Unknown)]]="Unknown",Backend!$C$8,"Error"))),"")</f>
        <v/>
      </c>
      <c r="F9401" s="8" t="str">
        <f>IF(Table1[[#This Row],[Is Data Valid]]=TRUE,EXP(0.578+0.332*((Table1[[#This Row],[Gestation (days)]]+0.5)/7)-0.00354*((Table1[[#This Row],[Gestation (days)]]+0.5)/7)^2)*Table1[[#This Row],[BW40_3705]],"")</f>
        <v/>
      </c>
      <c r="G9401" s="2" t="str">
        <f>IF(Table1[[#This Row],[Is Data Valid]]=TRUE,((Table1[[#This Row],[Birthweight (grams)]]/Table1[[#This Row],[BW_GA]])-1)/(Backend!$B$4/100*Table1[[#This Row],[BW40_3705]]),"")</f>
        <v/>
      </c>
      <c r="H9401" s="7" t="str">
        <f>IF(Table1[[#This Row],[Is Data Valid]]=TRUE,((Table1[[#This Row],[Birthweight (grams)]]*0.9/Table1[[#This Row],[BW_GA]])-1)/(Backend!$B$4/100*Table1[[#This Row],[BW40_3705]]),"")</f>
        <v/>
      </c>
      <c r="I9401" s="7" t="str">
        <f>IF(Table1[[#This Row],[Is Data Valid]]=TRUE,((Table1[[#This Row],[Birthweight (grams)]]*1.1/Table1[[#This Row],[BW_GA]])-1)/(Backend!$B$4/100*Table1[[#This Row],[BW40_3705]]),"")</f>
        <v/>
      </c>
      <c r="J9401" s="7" t="str">
        <f>IF(Table1[[#This Row],[Is Data Valid]]=TRUE,_xlfn.NORM.S.DIST(Table1[[#This Row],[Birthweight Z-Score]],TRUE)*100,"")</f>
        <v/>
      </c>
      <c r="K9401" s="7" t="str">
        <f>IF(Table1[[#This Row],[Is Data Valid]]=TRUE,_xlfn.NORM.S.DIST(Table1[[#This Row],[Birthweight Z-Score (BW-10%)]],TRUE)*100,"")</f>
        <v/>
      </c>
      <c r="L9401" s="7" t="str">
        <f>IF(Table1[[#This Row],[Is Data Valid]]=TRUE,_xlfn.NORM.S.DIST(Table1[[#This Row],[Birthweight Z-Score (BW+10%)]],TRUE)*100,"")</f>
        <v/>
      </c>
    </row>
    <row r="9402" spans="1:12" x14ac:dyDescent="0.35">
      <c r="A9402" s="3"/>
      <c r="B9402" s="2"/>
      <c r="C9402" s="2"/>
      <c r="D9402" s="2" t="b">
        <f>IF(AND(NOT(ISBLANK(Table1[[#This Row],[Fetal Sex (Male, Female or Unknown)]])),ISNUMBER(Table1[[#This Row],[Birthweight (grams)]]),ISNUMBER(Table1[[#This Row],[Gestation (days)]])),TRUE,FALSE)</f>
        <v>0</v>
      </c>
      <c r="E9402" s="2" t="str">
        <f>IF(Table1[[#This Row],[Is Data Valid]]=TRUE,IF(Table1[[#This Row],[Fetal Sex (Male, Female or Unknown)]]="Male",Backend!$C$6,IF(Table1[[#This Row],[Fetal Sex (Male, Female or Unknown)]]="Female",Backend!$C$7,IF(Table1[[#This Row],[Fetal Sex (Male, Female or Unknown)]]="Unknown",Backend!$C$8,"Error"))),"")</f>
        <v/>
      </c>
      <c r="F9402" s="8" t="str">
        <f>IF(Table1[[#This Row],[Is Data Valid]]=TRUE,EXP(0.578+0.332*((Table1[[#This Row],[Gestation (days)]]+0.5)/7)-0.00354*((Table1[[#This Row],[Gestation (days)]]+0.5)/7)^2)*Table1[[#This Row],[BW40_3705]],"")</f>
        <v/>
      </c>
      <c r="G9402" s="2" t="str">
        <f>IF(Table1[[#This Row],[Is Data Valid]]=TRUE,((Table1[[#This Row],[Birthweight (grams)]]/Table1[[#This Row],[BW_GA]])-1)/(Backend!$B$4/100*Table1[[#This Row],[BW40_3705]]),"")</f>
        <v/>
      </c>
      <c r="H9402" s="7" t="str">
        <f>IF(Table1[[#This Row],[Is Data Valid]]=TRUE,((Table1[[#This Row],[Birthweight (grams)]]*0.9/Table1[[#This Row],[BW_GA]])-1)/(Backend!$B$4/100*Table1[[#This Row],[BW40_3705]]),"")</f>
        <v/>
      </c>
      <c r="I9402" s="7" t="str">
        <f>IF(Table1[[#This Row],[Is Data Valid]]=TRUE,((Table1[[#This Row],[Birthweight (grams)]]*1.1/Table1[[#This Row],[BW_GA]])-1)/(Backend!$B$4/100*Table1[[#This Row],[BW40_3705]]),"")</f>
        <v/>
      </c>
      <c r="J9402" s="7" t="str">
        <f>IF(Table1[[#This Row],[Is Data Valid]]=TRUE,_xlfn.NORM.S.DIST(Table1[[#This Row],[Birthweight Z-Score]],TRUE)*100,"")</f>
        <v/>
      </c>
      <c r="K9402" s="7" t="str">
        <f>IF(Table1[[#This Row],[Is Data Valid]]=TRUE,_xlfn.NORM.S.DIST(Table1[[#This Row],[Birthweight Z-Score (BW-10%)]],TRUE)*100,"")</f>
        <v/>
      </c>
      <c r="L9402" s="7" t="str">
        <f>IF(Table1[[#This Row],[Is Data Valid]]=TRUE,_xlfn.NORM.S.DIST(Table1[[#This Row],[Birthweight Z-Score (BW+10%)]],TRUE)*100,"")</f>
        <v/>
      </c>
    </row>
    <row r="9403" spans="1:12" x14ac:dyDescent="0.35">
      <c r="A9403" s="3"/>
      <c r="B9403" s="2"/>
      <c r="C9403" s="2"/>
      <c r="D9403" s="2" t="b">
        <f>IF(AND(NOT(ISBLANK(Table1[[#This Row],[Fetal Sex (Male, Female or Unknown)]])),ISNUMBER(Table1[[#This Row],[Birthweight (grams)]]),ISNUMBER(Table1[[#This Row],[Gestation (days)]])),TRUE,FALSE)</f>
        <v>0</v>
      </c>
      <c r="E9403" s="2" t="str">
        <f>IF(Table1[[#This Row],[Is Data Valid]]=TRUE,IF(Table1[[#This Row],[Fetal Sex (Male, Female or Unknown)]]="Male",Backend!$C$6,IF(Table1[[#This Row],[Fetal Sex (Male, Female or Unknown)]]="Female",Backend!$C$7,IF(Table1[[#This Row],[Fetal Sex (Male, Female or Unknown)]]="Unknown",Backend!$C$8,"Error"))),"")</f>
        <v/>
      </c>
      <c r="F9403" s="8" t="str">
        <f>IF(Table1[[#This Row],[Is Data Valid]]=TRUE,EXP(0.578+0.332*((Table1[[#This Row],[Gestation (days)]]+0.5)/7)-0.00354*((Table1[[#This Row],[Gestation (days)]]+0.5)/7)^2)*Table1[[#This Row],[BW40_3705]],"")</f>
        <v/>
      </c>
      <c r="G9403" s="2" t="str">
        <f>IF(Table1[[#This Row],[Is Data Valid]]=TRUE,((Table1[[#This Row],[Birthweight (grams)]]/Table1[[#This Row],[BW_GA]])-1)/(Backend!$B$4/100*Table1[[#This Row],[BW40_3705]]),"")</f>
        <v/>
      </c>
      <c r="H9403" s="7" t="str">
        <f>IF(Table1[[#This Row],[Is Data Valid]]=TRUE,((Table1[[#This Row],[Birthweight (grams)]]*0.9/Table1[[#This Row],[BW_GA]])-1)/(Backend!$B$4/100*Table1[[#This Row],[BW40_3705]]),"")</f>
        <v/>
      </c>
      <c r="I9403" s="7" t="str">
        <f>IF(Table1[[#This Row],[Is Data Valid]]=TRUE,((Table1[[#This Row],[Birthweight (grams)]]*1.1/Table1[[#This Row],[BW_GA]])-1)/(Backend!$B$4/100*Table1[[#This Row],[BW40_3705]]),"")</f>
        <v/>
      </c>
      <c r="J9403" s="7" t="str">
        <f>IF(Table1[[#This Row],[Is Data Valid]]=TRUE,_xlfn.NORM.S.DIST(Table1[[#This Row],[Birthweight Z-Score]],TRUE)*100,"")</f>
        <v/>
      </c>
      <c r="K9403" s="7" t="str">
        <f>IF(Table1[[#This Row],[Is Data Valid]]=TRUE,_xlfn.NORM.S.DIST(Table1[[#This Row],[Birthweight Z-Score (BW-10%)]],TRUE)*100,"")</f>
        <v/>
      </c>
      <c r="L9403" s="7" t="str">
        <f>IF(Table1[[#This Row],[Is Data Valid]]=TRUE,_xlfn.NORM.S.DIST(Table1[[#This Row],[Birthweight Z-Score (BW+10%)]],TRUE)*100,"")</f>
        <v/>
      </c>
    </row>
    <row r="9404" spans="1:12" x14ac:dyDescent="0.35">
      <c r="A9404" s="3"/>
      <c r="B9404" s="2"/>
      <c r="C9404" s="2"/>
      <c r="D9404" s="2" t="b">
        <f>IF(AND(NOT(ISBLANK(Table1[[#This Row],[Fetal Sex (Male, Female or Unknown)]])),ISNUMBER(Table1[[#This Row],[Birthweight (grams)]]),ISNUMBER(Table1[[#This Row],[Gestation (days)]])),TRUE,FALSE)</f>
        <v>0</v>
      </c>
      <c r="E9404" s="2" t="str">
        <f>IF(Table1[[#This Row],[Is Data Valid]]=TRUE,IF(Table1[[#This Row],[Fetal Sex (Male, Female or Unknown)]]="Male",Backend!$C$6,IF(Table1[[#This Row],[Fetal Sex (Male, Female or Unknown)]]="Female",Backend!$C$7,IF(Table1[[#This Row],[Fetal Sex (Male, Female or Unknown)]]="Unknown",Backend!$C$8,"Error"))),"")</f>
        <v/>
      </c>
      <c r="F9404" s="8" t="str">
        <f>IF(Table1[[#This Row],[Is Data Valid]]=TRUE,EXP(0.578+0.332*((Table1[[#This Row],[Gestation (days)]]+0.5)/7)-0.00354*((Table1[[#This Row],[Gestation (days)]]+0.5)/7)^2)*Table1[[#This Row],[BW40_3705]],"")</f>
        <v/>
      </c>
      <c r="G9404" s="2" t="str">
        <f>IF(Table1[[#This Row],[Is Data Valid]]=TRUE,((Table1[[#This Row],[Birthweight (grams)]]/Table1[[#This Row],[BW_GA]])-1)/(Backend!$B$4/100*Table1[[#This Row],[BW40_3705]]),"")</f>
        <v/>
      </c>
      <c r="H9404" s="7" t="str">
        <f>IF(Table1[[#This Row],[Is Data Valid]]=TRUE,((Table1[[#This Row],[Birthweight (grams)]]*0.9/Table1[[#This Row],[BW_GA]])-1)/(Backend!$B$4/100*Table1[[#This Row],[BW40_3705]]),"")</f>
        <v/>
      </c>
      <c r="I9404" s="7" t="str">
        <f>IF(Table1[[#This Row],[Is Data Valid]]=TRUE,((Table1[[#This Row],[Birthweight (grams)]]*1.1/Table1[[#This Row],[BW_GA]])-1)/(Backend!$B$4/100*Table1[[#This Row],[BW40_3705]]),"")</f>
        <v/>
      </c>
      <c r="J9404" s="7" t="str">
        <f>IF(Table1[[#This Row],[Is Data Valid]]=TRUE,_xlfn.NORM.S.DIST(Table1[[#This Row],[Birthweight Z-Score]],TRUE)*100,"")</f>
        <v/>
      </c>
      <c r="K9404" s="7" t="str">
        <f>IF(Table1[[#This Row],[Is Data Valid]]=TRUE,_xlfn.NORM.S.DIST(Table1[[#This Row],[Birthweight Z-Score (BW-10%)]],TRUE)*100,"")</f>
        <v/>
      </c>
      <c r="L9404" s="7" t="str">
        <f>IF(Table1[[#This Row],[Is Data Valid]]=TRUE,_xlfn.NORM.S.DIST(Table1[[#This Row],[Birthweight Z-Score (BW+10%)]],TRUE)*100,"")</f>
        <v/>
      </c>
    </row>
    <row r="9405" spans="1:12" x14ac:dyDescent="0.35">
      <c r="A9405" s="3"/>
      <c r="B9405" s="2"/>
      <c r="C9405" s="2"/>
      <c r="D9405" s="2" t="b">
        <f>IF(AND(NOT(ISBLANK(Table1[[#This Row],[Fetal Sex (Male, Female or Unknown)]])),ISNUMBER(Table1[[#This Row],[Birthweight (grams)]]),ISNUMBER(Table1[[#This Row],[Gestation (days)]])),TRUE,FALSE)</f>
        <v>0</v>
      </c>
      <c r="E9405" s="2" t="str">
        <f>IF(Table1[[#This Row],[Is Data Valid]]=TRUE,IF(Table1[[#This Row],[Fetal Sex (Male, Female or Unknown)]]="Male",Backend!$C$6,IF(Table1[[#This Row],[Fetal Sex (Male, Female or Unknown)]]="Female",Backend!$C$7,IF(Table1[[#This Row],[Fetal Sex (Male, Female or Unknown)]]="Unknown",Backend!$C$8,"Error"))),"")</f>
        <v/>
      </c>
      <c r="F9405" s="8" t="str">
        <f>IF(Table1[[#This Row],[Is Data Valid]]=TRUE,EXP(0.578+0.332*((Table1[[#This Row],[Gestation (days)]]+0.5)/7)-0.00354*((Table1[[#This Row],[Gestation (days)]]+0.5)/7)^2)*Table1[[#This Row],[BW40_3705]],"")</f>
        <v/>
      </c>
      <c r="G9405" s="2" t="str">
        <f>IF(Table1[[#This Row],[Is Data Valid]]=TRUE,((Table1[[#This Row],[Birthweight (grams)]]/Table1[[#This Row],[BW_GA]])-1)/(Backend!$B$4/100*Table1[[#This Row],[BW40_3705]]),"")</f>
        <v/>
      </c>
      <c r="H9405" s="7" t="str">
        <f>IF(Table1[[#This Row],[Is Data Valid]]=TRUE,((Table1[[#This Row],[Birthweight (grams)]]*0.9/Table1[[#This Row],[BW_GA]])-1)/(Backend!$B$4/100*Table1[[#This Row],[BW40_3705]]),"")</f>
        <v/>
      </c>
      <c r="I9405" s="7" t="str">
        <f>IF(Table1[[#This Row],[Is Data Valid]]=TRUE,((Table1[[#This Row],[Birthweight (grams)]]*1.1/Table1[[#This Row],[BW_GA]])-1)/(Backend!$B$4/100*Table1[[#This Row],[BW40_3705]]),"")</f>
        <v/>
      </c>
      <c r="J9405" s="7" t="str">
        <f>IF(Table1[[#This Row],[Is Data Valid]]=TRUE,_xlfn.NORM.S.DIST(Table1[[#This Row],[Birthweight Z-Score]],TRUE)*100,"")</f>
        <v/>
      </c>
      <c r="K9405" s="7" t="str">
        <f>IF(Table1[[#This Row],[Is Data Valid]]=TRUE,_xlfn.NORM.S.DIST(Table1[[#This Row],[Birthweight Z-Score (BW-10%)]],TRUE)*100,"")</f>
        <v/>
      </c>
      <c r="L9405" s="7" t="str">
        <f>IF(Table1[[#This Row],[Is Data Valid]]=TRUE,_xlfn.NORM.S.DIST(Table1[[#This Row],[Birthweight Z-Score (BW+10%)]],TRUE)*100,"")</f>
        <v/>
      </c>
    </row>
    <row r="9406" spans="1:12" x14ac:dyDescent="0.35">
      <c r="A9406" s="3"/>
      <c r="B9406" s="2"/>
      <c r="C9406" s="2"/>
      <c r="D9406" s="2" t="b">
        <f>IF(AND(NOT(ISBLANK(Table1[[#This Row],[Fetal Sex (Male, Female or Unknown)]])),ISNUMBER(Table1[[#This Row],[Birthweight (grams)]]),ISNUMBER(Table1[[#This Row],[Gestation (days)]])),TRUE,FALSE)</f>
        <v>0</v>
      </c>
      <c r="E9406" s="2" t="str">
        <f>IF(Table1[[#This Row],[Is Data Valid]]=TRUE,IF(Table1[[#This Row],[Fetal Sex (Male, Female or Unknown)]]="Male",Backend!$C$6,IF(Table1[[#This Row],[Fetal Sex (Male, Female or Unknown)]]="Female",Backend!$C$7,IF(Table1[[#This Row],[Fetal Sex (Male, Female or Unknown)]]="Unknown",Backend!$C$8,"Error"))),"")</f>
        <v/>
      </c>
      <c r="F9406" s="8" t="str">
        <f>IF(Table1[[#This Row],[Is Data Valid]]=TRUE,EXP(0.578+0.332*((Table1[[#This Row],[Gestation (days)]]+0.5)/7)-0.00354*((Table1[[#This Row],[Gestation (days)]]+0.5)/7)^2)*Table1[[#This Row],[BW40_3705]],"")</f>
        <v/>
      </c>
      <c r="G9406" s="2" t="str">
        <f>IF(Table1[[#This Row],[Is Data Valid]]=TRUE,((Table1[[#This Row],[Birthweight (grams)]]/Table1[[#This Row],[BW_GA]])-1)/(Backend!$B$4/100*Table1[[#This Row],[BW40_3705]]),"")</f>
        <v/>
      </c>
      <c r="H9406" s="7" t="str">
        <f>IF(Table1[[#This Row],[Is Data Valid]]=TRUE,((Table1[[#This Row],[Birthweight (grams)]]*0.9/Table1[[#This Row],[BW_GA]])-1)/(Backend!$B$4/100*Table1[[#This Row],[BW40_3705]]),"")</f>
        <v/>
      </c>
      <c r="I9406" s="7" t="str">
        <f>IF(Table1[[#This Row],[Is Data Valid]]=TRUE,((Table1[[#This Row],[Birthweight (grams)]]*1.1/Table1[[#This Row],[BW_GA]])-1)/(Backend!$B$4/100*Table1[[#This Row],[BW40_3705]]),"")</f>
        <v/>
      </c>
      <c r="J9406" s="7" t="str">
        <f>IF(Table1[[#This Row],[Is Data Valid]]=TRUE,_xlfn.NORM.S.DIST(Table1[[#This Row],[Birthweight Z-Score]],TRUE)*100,"")</f>
        <v/>
      </c>
      <c r="K9406" s="7" t="str">
        <f>IF(Table1[[#This Row],[Is Data Valid]]=TRUE,_xlfn.NORM.S.DIST(Table1[[#This Row],[Birthweight Z-Score (BW-10%)]],TRUE)*100,"")</f>
        <v/>
      </c>
      <c r="L9406" s="7" t="str">
        <f>IF(Table1[[#This Row],[Is Data Valid]]=TRUE,_xlfn.NORM.S.DIST(Table1[[#This Row],[Birthweight Z-Score (BW+10%)]],TRUE)*100,"")</f>
        <v/>
      </c>
    </row>
    <row r="9407" spans="1:12" x14ac:dyDescent="0.35">
      <c r="A9407" s="3"/>
      <c r="B9407" s="2"/>
      <c r="C9407" s="2"/>
      <c r="D9407" s="2" t="b">
        <f>IF(AND(NOT(ISBLANK(Table1[[#This Row],[Fetal Sex (Male, Female or Unknown)]])),ISNUMBER(Table1[[#This Row],[Birthweight (grams)]]),ISNUMBER(Table1[[#This Row],[Gestation (days)]])),TRUE,FALSE)</f>
        <v>0</v>
      </c>
      <c r="E9407" s="2" t="str">
        <f>IF(Table1[[#This Row],[Is Data Valid]]=TRUE,IF(Table1[[#This Row],[Fetal Sex (Male, Female or Unknown)]]="Male",Backend!$C$6,IF(Table1[[#This Row],[Fetal Sex (Male, Female or Unknown)]]="Female",Backend!$C$7,IF(Table1[[#This Row],[Fetal Sex (Male, Female or Unknown)]]="Unknown",Backend!$C$8,"Error"))),"")</f>
        <v/>
      </c>
      <c r="F9407" s="8" t="str">
        <f>IF(Table1[[#This Row],[Is Data Valid]]=TRUE,EXP(0.578+0.332*((Table1[[#This Row],[Gestation (days)]]+0.5)/7)-0.00354*((Table1[[#This Row],[Gestation (days)]]+0.5)/7)^2)*Table1[[#This Row],[BW40_3705]],"")</f>
        <v/>
      </c>
      <c r="G9407" s="2" t="str">
        <f>IF(Table1[[#This Row],[Is Data Valid]]=TRUE,((Table1[[#This Row],[Birthweight (grams)]]/Table1[[#This Row],[BW_GA]])-1)/(Backend!$B$4/100*Table1[[#This Row],[BW40_3705]]),"")</f>
        <v/>
      </c>
      <c r="H9407" s="7" t="str">
        <f>IF(Table1[[#This Row],[Is Data Valid]]=TRUE,((Table1[[#This Row],[Birthweight (grams)]]*0.9/Table1[[#This Row],[BW_GA]])-1)/(Backend!$B$4/100*Table1[[#This Row],[BW40_3705]]),"")</f>
        <v/>
      </c>
      <c r="I9407" s="7" t="str">
        <f>IF(Table1[[#This Row],[Is Data Valid]]=TRUE,((Table1[[#This Row],[Birthweight (grams)]]*1.1/Table1[[#This Row],[BW_GA]])-1)/(Backend!$B$4/100*Table1[[#This Row],[BW40_3705]]),"")</f>
        <v/>
      </c>
      <c r="J9407" s="7" t="str">
        <f>IF(Table1[[#This Row],[Is Data Valid]]=TRUE,_xlfn.NORM.S.DIST(Table1[[#This Row],[Birthweight Z-Score]],TRUE)*100,"")</f>
        <v/>
      </c>
      <c r="K9407" s="7" t="str">
        <f>IF(Table1[[#This Row],[Is Data Valid]]=TRUE,_xlfn.NORM.S.DIST(Table1[[#This Row],[Birthweight Z-Score (BW-10%)]],TRUE)*100,"")</f>
        <v/>
      </c>
      <c r="L9407" s="7" t="str">
        <f>IF(Table1[[#This Row],[Is Data Valid]]=TRUE,_xlfn.NORM.S.DIST(Table1[[#This Row],[Birthweight Z-Score (BW+10%)]],TRUE)*100,"")</f>
        <v/>
      </c>
    </row>
    <row r="9408" spans="1:12" x14ac:dyDescent="0.35">
      <c r="A9408" s="3"/>
      <c r="B9408" s="2"/>
      <c r="C9408" s="2"/>
      <c r="D9408" s="2" t="b">
        <f>IF(AND(NOT(ISBLANK(Table1[[#This Row],[Fetal Sex (Male, Female or Unknown)]])),ISNUMBER(Table1[[#This Row],[Birthweight (grams)]]),ISNUMBER(Table1[[#This Row],[Gestation (days)]])),TRUE,FALSE)</f>
        <v>0</v>
      </c>
      <c r="E9408" s="2" t="str">
        <f>IF(Table1[[#This Row],[Is Data Valid]]=TRUE,IF(Table1[[#This Row],[Fetal Sex (Male, Female or Unknown)]]="Male",Backend!$C$6,IF(Table1[[#This Row],[Fetal Sex (Male, Female or Unknown)]]="Female",Backend!$C$7,IF(Table1[[#This Row],[Fetal Sex (Male, Female or Unknown)]]="Unknown",Backend!$C$8,"Error"))),"")</f>
        <v/>
      </c>
      <c r="F9408" s="8" t="str">
        <f>IF(Table1[[#This Row],[Is Data Valid]]=TRUE,EXP(0.578+0.332*((Table1[[#This Row],[Gestation (days)]]+0.5)/7)-0.00354*((Table1[[#This Row],[Gestation (days)]]+0.5)/7)^2)*Table1[[#This Row],[BW40_3705]],"")</f>
        <v/>
      </c>
      <c r="G9408" s="2" t="str">
        <f>IF(Table1[[#This Row],[Is Data Valid]]=TRUE,((Table1[[#This Row],[Birthweight (grams)]]/Table1[[#This Row],[BW_GA]])-1)/(Backend!$B$4/100*Table1[[#This Row],[BW40_3705]]),"")</f>
        <v/>
      </c>
      <c r="H9408" s="7" t="str">
        <f>IF(Table1[[#This Row],[Is Data Valid]]=TRUE,((Table1[[#This Row],[Birthweight (grams)]]*0.9/Table1[[#This Row],[BW_GA]])-1)/(Backend!$B$4/100*Table1[[#This Row],[BW40_3705]]),"")</f>
        <v/>
      </c>
      <c r="I9408" s="7" t="str">
        <f>IF(Table1[[#This Row],[Is Data Valid]]=TRUE,((Table1[[#This Row],[Birthweight (grams)]]*1.1/Table1[[#This Row],[BW_GA]])-1)/(Backend!$B$4/100*Table1[[#This Row],[BW40_3705]]),"")</f>
        <v/>
      </c>
      <c r="J9408" s="7" t="str">
        <f>IF(Table1[[#This Row],[Is Data Valid]]=TRUE,_xlfn.NORM.S.DIST(Table1[[#This Row],[Birthweight Z-Score]],TRUE)*100,"")</f>
        <v/>
      </c>
      <c r="K9408" s="7" t="str">
        <f>IF(Table1[[#This Row],[Is Data Valid]]=TRUE,_xlfn.NORM.S.DIST(Table1[[#This Row],[Birthweight Z-Score (BW-10%)]],TRUE)*100,"")</f>
        <v/>
      </c>
      <c r="L9408" s="7" t="str">
        <f>IF(Table1[[#This Row],[Is Data Valid]]=TRUE,_xlfn.NORM.S.DIST(Table1[[#This Row],[Birthweight Z-Score (BW+10%)]],TRUE)*100,"")</f>
        <v/>
      </c>
    </row>
    <row r="9409" spans="1:12" x14ac:dyDescent="0.35">
      <c r="A9409" s="3"/>
      <c r="B9409" s="2"/>
      <c r="C9409" s="2"/>
      <c r="D9409" s="2" t="b">
        <f>IF(AND(NOT(ISBLANK(Table1[[#This Row],[Fetal Sex (Male, Female or Unknown)]])),ISNUMBER(Table1[[#This Row],[Birthweight (grams)]]),ISNUMBER(Table1[[#This Row],[Gestation (days)]])),TRUE,FALSE)</f>
        <v>0</v>
      </c>
      <c r="E9409" s="2" t="str">
        <f>IF(Table1[[#This Row],[Is Data Valid]]=TRUE,IF(Table1[[#This Row],[Fetal Sex (Male, Female or Unknown)]]="Male",Backend!$C$6,IF(Table1[[#This Row],[Fetal Sex (Male, Female or Unknown)]]="Female",Backend!$C$7,IF(Table1[[#This Row],[Fetal Sex (Male, Female or Unknown)]]="Unknown",Backend!$C$8,"Error"))),"")</f>
        <v/>
      </c>
      <c r="F9409" s="8" t="str">
        <f>IF(Table1[[#This Row],[Is Data Valid]]=TRUE,EXP(0.578+0.332*((Table1[[#This Row],[Gestation (days)]]+0.5)/7)-0.00354*((Table1[[#This Row],[Gestation (days)]]+0.5)/7)^2)*Table1[[#This Row],[BW40_3705]],"")</f>
        <v/>
      </c>
      <c r="G9409" s="2" t="str">
        <f>IF(Table1[[#This Row],[Is Data Valid]]=TRUE,((Table1[[#This Row],[Birthweight (grams)]]/Table1[[#This Row],[BW_GA]])-1)/(Backend!$B$4/100*Table1[[#This Row],[BW40_3705]]),"")</f>
        <v/>
      </c>
      <c r="H9409" s="7" t="str">
        <f>IF(Table1[[#This Row],[Is Data Valid]]=TRUE,((Table1[[#This Row],[Birthweight (grams)]]*0.9/Table1[[#This Row],[BW_GA]])-1)/(Backend!$B$4/100*Table1[[#This Row],[BW40_3705]]),"")</f>
        <v/>
      </c>
      <c r="I9409" s="7" t="str">
        <f>IF(Table1[[#This Row],[Is Data Valid]]=TRUE,((Table1[[#This Row],[Birthweight (grams)]]*1.1/Table1[[#This Row],[BW_GA]])-1)/(Backend!$B$4/100*Table1[[#This Row],[BW40_3705]]),"")</f>
        <v/>
      </c>
      <c r="J9409" s="7" t="str">
        <f>IF(Table1[[#This Row],[Is Data Valid]]=TRUE,_xlfn.NORM.S.DIST(Table1[[#This Row],[Birthweight Z-Score]],TRUE)*100,"")</f>
        <v/>
      </c>
      <c r="K9409" s="7" t="str">
        <f>IF(Table1[[#This Row],[Is Data Valid]]=TRUE,_xlfn.NORM.S.DIST(Table1[[#This Row],[Birthweight Z-Score (BW-10%)]],TRUE)*100,"")</f>
        <v/>
      </c>
      <c r="L9409" s="7" t="str">
        <f>IF(Table1[[#This Row],[Is Data Valid]]=TRUE,_xlfn.NORM.S.DIST(Table1[[#This Row],[Birthweight Z-Score (BW+10%)]],TRUE)*100,"")</f>
        <v/>
      </c>
    </row>
    <row r="9410" spans="1:12" x14ac:dyDescent="0.35">
      <c r="A9410" s="3"/>
      <c r="B9410" s="2"/>
      <c r="C9410" s="2"/>
      <c r="D9410" s="2" t="b">
        <f>IF(AND(NOT(ISBLANK(Table1[[#This Row],[Fetal Sex (Male, Female or Unknown)]])),ISNUMBER(Table1[[#This Row],[Birthweight (grams)]]),ISNUMBER(Table1[[#This Row],[Gestation (days)]])),TRUE,FALSE)</f>
        <v>0</v>
      </c>
      <c r="E9410" s="2" t="str">
        <f>IF(Table1[[#This Row],[Is Data Valid]]=TRUE,IF(Table1[[#This Row],[Fetal Sex (Male, Female or Unknown)]]="Male",Backend!$C$6,IF(Table1[[#This Row],[Fetal Sex (Male, Female or Unknown)]]="Female",Backend!$C$7,IF(Table1[[#This Row],[Fetal Sex (Male, Female or Unknown)]]="Unknown",Backend!$C$8,"Error"))),"")</f>
        <v/>
      </c>
      <c r="F9410" s="8" t="str">
        <f>IF(Table1[[#This Row],[Is Data Valid]]=TRUE,EXP(0.578+0.332*((Table1[[#This Row],[Gestation (days)]]+0.5)/7)-0.00354*((Table1[[#This Row],[Gestation (days)]]+0.5)/7)^2)*Table1[[#This Row],[BW40_3705]],"")</f>
        <v/>
      </c>
      <c r="G9410" s="2" t="str">
        <f>IF(Table1[[#This Row],[Is Data Valid]]=TRUE,((Table1[[#This Row],[Birthweight (grams)]]/Table1[[#This Row],[BW_GA]])-1)/(Backend!$B$4/100*Table1[[#This Row],[BW40_3705]]),"")</f>
        <v/>
      </c>
      <c r="H9410" s="7" t="str">
        <f>IF(Table1[[#This Row],[Is Data Valid]]=TRUE,((Table1[[#This Row],[Birthweight (grams)]]*0.9/Table1[[#This Row],[BW_GA]])-1)/(Backend!$B$4/100*Table1[[#This Row],[BW40_3705]]),"")</f>
        <v/>
      </c>
      <c r="I9410" s="7" t="str">
        <f>IF(Table1[[#This Row],[Is Data Valid]]=TRUE,((Table1[[#This Row],[Birthweight (grams)]]*1.1/Table1[[#This Row],[BW_GA]])-1)/(Backend!$B$4/100*Table1[[#This Row],[BW40_3705]]),"")</f>
        <v/>
      </c>
      <c r="J9410" s="7" t="str">
        <f>IF(Table1[[#This Row],[Is Data Valid]]=TRUE,_xlfn.NORM.S.DIST(Table1[[#This Row],[Birthweight Z-Score]],TRUE)*100,"")</f>
        <v/>
      </c>
      <c r="K9410" s="7" t="str">
        <f>IF(Table1[[#This Row],[Is Data Valid]]=TRUE,_xlfn.NORM.S.DIST(Table1[[#This Row],[Birthweight Z-Score (BW-10%)]],TRUE)*100,"")</f>
        <v/>
      </c>
      <c r="L9410" s="7" t="str">
        <f>IF(Table1[[#This Row],[Is Data Valid]]=TRUE,_xlfn.NORM.S.DIST(Table1[[#This Row],[Birthweight Z-Score (BW+10%)]],TRUE)*100,"")</f>
        <v/>
      </c>
    </row>
    <row r="9411" spans="1:12" x14ac:dyDescent="0.35">
      <c r="A9411" s="3"/>
      <c r="B9411" s="2"/>
      <c r="C9411" s="2"/>
      <c r="D9411" s="2" t="b">
        <f>IF(AND(NOT(ISBLANK(Table1[[#This Row],[Fetal Sex (Male, Female or Unknown)]])),ISNUMBER(Table1[[#This Row],[Birthweight (grams)]]),ISNUMBER(Table1[[#This Row],[Gestation (days)]])),TRUE,FALSE)</f>
        <v>0</v>
      </c>
      <c r="E9411" s="2" t="str">
        <f>IF(Table1[[#This Row],[Is Data Valid]]=TRUE,IF(Table1[[#This Row],[Fetal Sex (Male, Female or Unknown)]]="Male",Backend!$C$6,IF(Table1[[#This Row],[Fetal Sex (Male, Female or Unknown)]]="Female",Backend!$C$7,IF(Table1[[#This Row],[Fetal Sex (Male, Female or Unknown)]]="Unknown",Backend!$C$8,"Error"))),"")</f>
        <v/>
      </c>
      <c r="F9411" s="8" t="str">
        <f>IF(Table1[[#This Row],[Is Data Valid]]=TRUE,EXP(0.578+0.332*((Table1[[#This Row],[Gestation (days)]]+0.5)/7)-0.00354*((Table1[[#This Row],[Gestation (days)]]+0.5)/7)^2)*Table1[[#This Row],[BW40_3705]],"")</f>
        <v/>
      </c>
      <c r="G9411" s="2" t="str">
        <f>IF(Table1[[#This Row],[Is Data Valid]]=TRUE,((Table1[[#This Row],[Birthweight (grams)]]/Table1[[#This Row],[BW_GA]])-1)/(Backend!$B$4/100*Table1[[#This Row],[BW40_3705]]),"")</f>
        <v/>
      </c>
      <c r="H9411" s="7" t="str">
        <f>IF(Table1[[#This Row],[Is Data Valid]]=TRUE,((Table1[[#This Row],[Birthweight (grams)]]*0.9/Table1[[#This Row],[BW_GA]])-1)/(Backend!$B$4/100*Table1[[#This Row],[BW40_3705]]),"")</f>
        <v/>
      </c>
      <c r="I9411" s="7" t="str">
        <f>IF(Table1[[#This Row],[Is Data Valid]]=TRUE,((Table1[[#This Row],[Birthweight (grams)]]*1.1/Table1[[#This Row],[BW_GA]])-1)/(Backend!$B$4/100*Table1[[#This Row],[BW40_3705]]),"")</f>
        <v/>
      </c>
      <c r="J9411" s="7" t="str">
        <f>IF(Table1[[#This Row],[Is Data Valid]]=TRUE,_xlfn.NORM.S.DIST(Table1[[#This Row],[Birthweight Z-Score]],TRUE)*100,"")</f>
        <v/>
      </c>
      <c r="K9411" s="7" t="str">
        <f>IF(Table1[[#This Row],[Is Data Valid]]=TRUE,_xlfn.NORM.S.DIST(Table1[[#This Row],[Birthweight Z-Score (BW-10%)]],TRUE)*100,"")</f>
        <v/>
      </c>
      <c r="L9411" s="7" t="str">
        <f>IF(Table1[[#This Row],[Is Data Valid]]=TRUE,_xlfn.NORM.S.DIST(Table1[[#This Row],[Birthweight Z-Score (BW+10%)]],TRUE)*100,"")</f>
        <v/>
      </c>
    </row>
    <row r="9412" spans="1:12" x14ac:dyDescent="0.35">
      <c r="A9412" s="3"/>
      <c r="B9412" s="2"/>
      <c r="C9412" s="2"/>
      <c r="D9412" s="2" t="b">
        <f>IF(AND(NOT(ISBLANK(Table1[[#This Row],[Fetal Sex (Male, Female or Unknown)]])),ISNUMBER(Table1[[#This Row],[Birthweight (grams)]]),ISNUMBER(Table1[[#This Row],[Gestation (days)]])),TRUE,FALSE)</f>
        <v>0</v>
      </c>
      <c r="E9412" s="2" t="str">
        <f>IF(Table1[[#This Row],[Is Data Valid]]=TRUE,IF(Table1[[#This Row],[Fetal Sex (Male, Female or Unknown)]]="Male",Backend!$C$6,IF(Table1[[#This Row],[Fetal Sex (Male, Female or Unknown)]]="Female",Backend!$C$7,IF(Table1[[#This Row],[Fetal Sex (Male, Female or Unknown)]]="Unknown",Backend!$C$8,"Error"))),"")</f>
        <v/>
      </c>
      <c r="F9412" s="8" t="str">
        <f>IF(Table1[[#This Row],[Is Data Valid]]=TRUE,EXP(0.578+0.332*((Table1[[#This Row],[Gestation (days)]]+0.5)/7)-0.00354*((Table1[[#This Row],[Gestation (days)]]+0.5)/7)^2)*Table1[[#This Row],[BW40_3705]],"")</f>
        <v/>
      </c>
      <c r="G9412" s="2" t="str">
        <f>IF(Table1[[#This Row],[Is Data Valid]]=TRUE,((Table1[[#This Row],[Birthweight (grams)]]/Table1[[#This Row],[BW_GA]])-1)/(Backend!$B$4/100*Table1[[#This Row],[BW40_3705]]),"")</f>
        <v/>
      </c>
      <c r="H9412" s="7" t="str">
        <f>IF(Table1[[#This Row],[Is Data Valid]]=TRUE,((Table1[[#This Row],[Birthweight (grams)]]*0.9/Table1[[#This Row],[BW_GA]])-1)/(Backend!$B$4/100*Table1[[#This Row],[BW40_3705]]),"")</f>
        <v/>
      </c>
      <c r="I9412" s="7" t="str">
        <f>IF(Table1[[#This Row],[Is Data Valid]]=TRUE,((Table1[[#This Row],[Birthweight (grams)]]*1.1/Table1[[#This Row],[BW_GA]])-1)/(Backend!$B$4/100*Table1[[#This Row],[BW40_3705]]),"")</f>
        <v/>
      </c>
      <c r="J9412" s="7" t="str">
        <f>IF(Table1[[#This Row],[Is Data Valid]]=TRUE,_xlfn.NORM.S.DIST(Table1[[#This Row],[Birthweight Z-Score]],TRUE)*100,"")</f>
        <v/>
      </c>
      <c r="K9412" s="7" t="str">
        <f>IF(Table1[[#This Row],[Is Data Valid]]=TRUE,_xlfn.NORM.S.DIST(Table1[[#This Row],[Birthweight Z-Score (BW-10%)]],TRUE)*100,"")</f>
        <v/>
      </c>
      <c r="L9412" s="7" t="str">
        <f>IF(Table1[[#This Row],[Is Data Valid]]=TRUE,_xlfn.NORM.S.DIST(Table1[[#This Row],[Birthweight Z-Score (BW+10%)]],TRUE)*100,"")</f>
        <v/>
      </c>
    </row>
    <row r="9413" spans="1:12" x14ac:dyDescent="0.35">
      <c r="A9413" s="3"/>
      <c r="B9413" s="2"/>
      <c r="C9413" s="2"/>
      <c r="D9413" s="2" t="b">
        <f>IF(AND(NOT(ISBLANK(Table1[[#This Row],[Fetal Sex (Male, Female or Unknown)]])),ISNUMBER(Table1[[#This Row],[Birthweight (grams)]]),ISNUMBER(Table1[[#This Row],[Gestation (days)]])),TRUE,FALSE)</f>
        <v>0</v>
      </c>
      <c r="E9413" s="2" t="str">
        <f>IF(Table1[[#This Row],[Is Data Valid]]=TRUE,IF(Table1[[#This Row],[Fetal Sex (Male, Female or Unknown)]]="Male",Backend!$C$6,IF(Table1[[#This Row],[Fetal Sex (Male, Female or Unknown)]]="Female",Backend!$C$7,IF(Table1[[#This Row],[Fetal Sex (Male, Female or Unknown)]]="Unknown",Backend!$C$8,"Error"))),"")</f>
        <v/>
      </c>
      <c r="F9413" s="8" t="str">
        <f>IF(Table1[[#This Row],[Is Data Valid]]=TRUE,EXP(0.578+0.332*((Table1[[#This Row],[Gestation (days)]]+0.5)/7)-0.00354*((Table1[[#This Row],[Gestation (days)]]+0.5)/7)^2)*Table1[[#This Row],[BW40_3705]],"")</f>
        <v/>
      </c>
      <c r="G9413" s="2" t="str">
        <f>IF(Table1[[#This Row],[Is Data Valid]]=TRUE,((Table1[[#This Row],[Birthweight (grams)]]/Table1[[#This Row],[BW_GA]])-1)/(Backend!$B$4/100*Table1[[#This Row],[BW40_3705]]),"")</f>
        <v/>
      </c>
      <c r="H9413" s="7" t="str">
        <f>IF(Table1[[#This Row],[Is Data Valid]]=TRUE,((Table1[[#This Row],[Birthweight (grams)]]*0.9/Table1[[#This Row],[BW_GA]])-1)/(Backend!$B$4/100*Table1[[#This Row],[BW40_3705]]),"")</f>
        <v/>
      </c>
      <c r="I9413" s="7" t="str">
        <f>IF(Table1[[#This Row],[Is Data Valid]]=TRUE,((Table1[[#This Row],[Birthweight (grams)]]*1.1/Table1[[#This Row],[BW_GA]])-1)/(Backend!$B$4/100*Table1[[#This Row],[BW40_3705]]),"")</f>
        <v/>
      </c>
      <c r="J9413" s="7" t="str">
        <f>IF(Table1[[#This Row],[Is Data Valid]]=TRUE,_xlfn.NORM.S.DIST(Table1[[#This Row],[Birthweight Z-Score]],TRUE)*100,"")</f>
        <v/>
      </c>
      <c r="K9413" s="7" t="str">
        <f>IF(Table1[[#This Row],[Is Data Valid]]=TRUE,_xlfn.NORM.S.DIST(Table1[[#This Row],[Birthweight Z-Score (BW-10%)]],TRUE)*100,"")</f>
        <v/>
      </c>
      <c r="L9413" s="7" t="str">
        <f>IF(Table1[[#This Row],[Is Data Valid]]=TRUE,_xlfn.NORM.S.DIST(Table1[[#This Row],[Birthweight Z-Score (BW+10%)]],TRUE)*100,"")</f>
        <v/>
      </c>
    </row>
    <row r="9414" spans="1:12" x14ac:dyDescent="0.35">
      <c r="A9414" s="3"/>
      <c r="B9414" s="2"/>
      <c r="C9414" s="2"/>
      <c r="D9414" s="2" t="b">
        <f>IF(AND(NOT(ISBLANK(Table1[[#This Row],[Fetal Sex (Male, Female or Unknown)]])),ISNUMBER(Table1[[#This Row],[Birthweight (grams)]]),ISNUMBER(Table1[[#This Row],[Gestation (days)]])),TRUE,FALSE)</f>
        <v>0</v>
      </c>
      <c r="E9414" s="2" t="str">
        <f>IF(Table1[[#This Row],[Is Data Valid]]=TRUE,IF(Table1[[#This Row],[Fetal Sex (Male, Female or Unknown)]]="Male",Backend!$C$6,IF(Table1[[#This Row],[Fetal Sex (Male, Female or Unknown)]]="Female",Backend!$C$7,IF(Table1[[#This Row],[Fetal Sex (Male, Female or Unknown)]]="Unknown",Backend!$C$8,"Error"))),"")</f>
        <v/>
      </c>
      <c r="F9414" s="8" t="str">
        <f>IF(Table1[[#This Row],[Is Data Valid]]=TRUE,EXP(0.578+0.332*((Table1[[#This Row],[Gestation (days)]]+0.5)/7)-0.00354*((Table1[[#This Row],[Gestation (days)]]+0.5)/7)^2)*Table1[[#This Row],[BW40_3705]],"")</f>
        <v/>
      </c>
      <c r="G9414" s="2" t="str">
        <f>IF(Table1[[#This Row],[Is Data Valid]]=TRUE,((Table1[[#This Row],[Birthweight (grams)]]/Table1[[#This Row],[BW_GA]])-1)/(Backend!$B$4/100*Table1[[#This Row],[BW40_3705]]),"")</f>
        <v/>
      </c>
      <c r="H9414" s="7" t="str">
        <f>IF(Table1[[#This Row],[Is Data Valid]]=TRUE,((Table1[[#This Row],[Birthweight (grams)]]*0.9/Table1[[#This Row],[BW_GA]])-1)/(Backend!$B$4/100*Table1[[#This Row],[BW40_3705]]),"")</f>
        <v/>
      </c>
      <c r="I9414" s="7" t="str">
        <f>IF(Table1[[#This Row],[Is Data Valid]]=TRUE,((Table1[[#This Row],[Birthweight (grams)]]*1.1/Table1[[#This Row],[BW_GA]])-1)/(Backend!$B$4/100*Table1[[#This Row],[BW40_3705]]),"")</f>
        <v/>
      </c>
      <c r="J9414" s="7" t="str">
        <f>IF(Table1[[#This Row],[Is Data Valid]]=TRUE,_xlfn.NORM.S.DIST(Table1[[#This Row],[Birthweight Z-Score]],TRUE)*100,"")</f>
        <v/>
      </c>
      <c r="K9414" s="7" t="str">
        <f>IF(Table1[[#This Row],[Is Data Valid]]=TRUE,_xlfn.NORM.S.DIST(Table1[[#This Row],[Birthweight Z-Score (BW-10%)]],TRUE)*100,"")</f>
        <v/>
      </c>
      <c r="L9414" s="7" t="str">
        <f>IF(Table1[[#This Row],[Is Data Valid]]=TRUE,_xlfn.NORM.S.DIST(Table1[[#This Row],[Birthweight Z-Score (BW+10%)]],TRUE)*100,"")</f>
        <v/>
      </c>
    </row>
    <row r="9415" spans="1:12" x14ac:dyDescent="0.35">
      <c r="A9415" s="3"/>
      <c r="B9415" s="2"/>
      <c r="C9415" s="2"/>
      <c r="D9415" s="2" t="b">
        <f>IF(AND(NOT(ISBLANK(Table1[[#This Row],[Fetal Sex (Male, Female or Unknown)]])),ISNUMBER(Table1[[#This Row],[Birthweight (grams)]]),ISNUMBER(Table1[[#This Row],[Gestation (days)]])),TRUE,FALSE)</f>
        <v>0</v>
      </c>
      <c r="E9415" s="2" t="str">
        <f>IF(Table1[[#This Row],[Is Data Valid]]=TRUE,IF(Table1[[#This Row],[Fetal Sex (Male, Female or Unknown)]]="Male",Backend!$C$6,IF(Table1[[#This Row],[Fetal Sex (Male, Female or Unknown)]]="Female",Backend!$C$7,IF(Table1[[#This Row],[Fetal Sex (Male, Female or Unknown)]]="Unknown",Backend!$C$8,"Error"))),"")</f>
        <v/>
      </c>
      <c r="F9415" s="8" t="str">
        <f>IF(Table1[[#This Row],[Is Data Valid]]=TRUE,EXP(0.578+0.332*((Table1[[#This Row],[Gestation (days)]]+0.5)/7)-0.00354*((Table1[[#This Row],[Gestation (days)]]+0.5)/7)^2)*Table1[[#This Row],[BW40_3705]],"")</f>
        <v/>
      </c>
      <c r="G9415" s="2" t="str">
        <f>IF(Table1[[#This Row],[Is Data Valid]]=TRUE,((Table1[[#This Row],[Birthweight (grams)]]/Table1[[#This Row],[BW_GA]])-1)/(Backend!$B$4/100*Table1[[#This Row],[BW40_3705]]),"")</f>
        <v/>
      </c>
      <c r="H9415" s="7" t="str">
        <f>IF(Table1[[#This Row],[Is Data Valid]]=TRUE,((Table1[[#This Row],[Birthweight (grams)]]*0.9/Table1[[#This Row],[BW_GA]])-1)/(Backend!$B$4/100*Table1[[#This Row],[BW40_3705]]),"")</f>
        <v/>
      </c>
      <c r="I9415" s="7" t="str">
        <f>IF(Table1[[#This Row],[Is Data Valid]]=TRUE,((Table1[[#This Row],[Birthweight (grams)]]*1.1/Table1[[#This Row],[BW_GA]])-1)/(Backend!$B$4/100*Table1[[#This Row],[BW40_3705]]),"")</f>
        <v/>
      </c>
      <c r="J9415" s="7" t="str">
        <f>IF(Table1[[#This Row],[Is Data Valid]]=TRUE,_xlfn.NORM.S.DIST(Table1[[#This Row],[Birthweight Z-Score]],TRUE)*100,"")</f>
        <v/>
      </c>
      <c r="K9415" s="7" t="str">
        <f>IF(Table1[[#This Row],[Is Data Valid]]=TRUE,_xlfn.NORM.S.DIST(Table1[[#This Row],[Birthweight Z-Score (BW-10%)]],TRUE)*100,"")</f>
        <v/>
      </c>
      <c r="L9415" s="7" t="str">
        <f>IF(Table1[[#This Row],[Is Data Valid]]=TRUE,_xlfn.NORM.S.DIST(Table1[[#This Row],[Birthweight Z-Score (BW+10%)]],TRUE)*100,"")</f>
        <v/>
      </c>
    </row>
    <row r="9416" spans="1:12" x14ac:dyDescent="0.35">
      <c r="A9416" s="3"/>
      <c r="B9416" s="2"/>
      <c r="C9416" s="2"/>
      <c r="D9416" s="2" t="b">
        <f>IF(AND(NOT(ISBLANK(Table1[[#This Row],[Fetal Sex (Male, Female or Unknown)]])),ISNUMBER(Table1[[#This Row],[Birthweight (grams)]]),ISNUMBER(Table1[[#This Row],[Gestation (days)]])),TRUE,FALSE)</f>
        <v>0</v>
      </c>
      <c r="E9416" s="2" t="str">
        <f>IF(Table1[[#This Row],[Is Data Valid]]=TRUE,IF(Table1[[#This Row],[Fetal Sex (Male, Female or Unknown)]]="Male",Backend!$C$6,IF(Table1[[#This Row],[Fetal Sex (Male, Female or Unknown)]]="Female",Backend!$C$7,IF(Table1[[#This Row],[Fetal Sex (Male, Female or Unknown)]]="Unknown",Backend!$C$8,"Error"))),"")</f>
        <v/>
      </c>
      <c r="F9416" s="8" t="str">
        <f>IF(Table1[[#This Row],[Is Data Valid]]=TRUE,EXP(0.578+0.332*((Table1[[#This Row],[Gestation (days)]]+0.5)/7)-0.00354*((Table1[[#This Row],[Gestation (days)]]+0.5)/7)^2)*Table1[[#This Row],[BW40_3705]],"")</f>
        <v/>
      </c>
      <c r="G9416" s="2" t="str">
        <f>IF(Table1[[#This Row],[Is Data Valid]]=TRUE,((Table1[[#This Row],[Birthweight (grams)]]/Table1[[#This Row],[BW_GA]])-1)/(Backend!$B$4/100*Table1[[#This Row],[BW40_3705]]),"")</f>
        <v/>
      </c>
      <c r="H9416" s="7" t="str">
        <f>IF(Table1[[#This Row],[Is Data Valid]]=TRUE,((Table1[[#This Row],[Birthweight (grams)]]*0.9/Table1[[#This Row],[BW_GA]])-1)/(Backend!$B$4/100*Table1[[#This Row],[BW40_3705]]),"")</f>
        <v/>
      </c>
      <c r="I9416" s="7" t="str">
        <f>IF(Table1[[#This Row],[Is Data Valid]]=TRUE,((Table1[[#This Row],[Birthweight (grams)]]*1.1/Table1[[#This Row],[BW_GA]])-1)/(Backend!$B$4/100*Table1[[#This Row],[BW40_3705]]),"")</f>
        <v/>
      </c>
      <c r="J9416" s="7" t="str">
        <f>IF(Table1[[#This Row],[Is Data Valid]]=TRUE,_xlfn.NORM.S.DIST(Table1[[#This Row],[Birthweight Z-Score]],TRUE)*100,"")</f>
        <v/>
      </c>
      <c r="K9416" s="7" t="str">
        <f>IF(Table1[[#This Row],[Is Data Valid]]=TRUE,_xlfn.NORM.S.DIST(Table1[[#This Row],[Birthweight Z-Score (BW-10%)]],TRUE)*100,"")</f>
        <v/>
      </c>
      <c r="L9416" s="7" t="str">
        <f>IF(Table1[[#This Row],[Is Data Valid]]=TRUE,_xlfn.NORM.S.DIST(Table1[[#This Row],[Birthweight Z-Score (BW+10%)]],TRUE)*100,"")</f>
        <v/>
      </c>
    </row>
    <row r="9417" spans="1:12" x14ac:dyDescent="0.35">
      <c r="A9417" s="3"/>
      <c r="B9417" s="2"/>
      <c r="C9417" s="2"/>
      <c r="D9417" s="2" t="b">
        <f>IF(AND(NOT(ISBLANK(Table1[[#This Row],[Fetal Sex (Male, Female or Unknown)]])),ISNUMBER(Table1[[#This Row],[Birthweight (grams)]]),ISNUMBER(Table1[[#This Row],[Gestation (days)]])),TRUE,FALSE)</f>
        <v>0</v>
      </c>
      <c r="E9417" s="2" t="str">
        <f>IF(Table1[[#This Row],[Is Data Valid]]=TRUE,IF(Table1[[#This Row],[Fetal Sex (Male, Female or Unknown)]]="Male",Backend!$C$6,IF(Table1[[#This Row],[Fetal Sex (Male, Female or Unknown)]]="Female",Backend!$C$7,IF(Table1[[#This Row],[Fetal Sex (Male, Female or Unknown)]]="Unknown",Backend!$C$8,"Error"))),"")</f>
        <v/>
      </c>
      <c r="F9417" s="8" t="str">
        <f>IF(Table1[[#This Row],[Is Data Valid]]=TRUE,EXP(0.578+0.332*((Table1[[#This Row],[Gestation (days)]]+0.5)/7)-0.00354*((Table1[[#This Row],[Gestation (days)]]+0.5)/7)^2)*Table1[[#This Row],[BW40_3705]],"")</f>
        <v/>
      </c>
      <c r="G9417" s="2" t="str">
        <f>IF(Table1[[#This Row],[Is Data Valid]]=TRUE,((Table1[[#This Row],[Birthweight (grams)]]/Table1[[#This Row],[BW_GA]])-1)/(Backend!$B$4/100*Table1[[#This Row],[BW40_3705]]),"")</f>
        <v/>
      </c>
      <c r="H9417" s="7" t="str">
        <f>IF(Table1[[#This Row],[Is Data Valid]]=TRUE,((Table1[[#This Row],[Birthweight (grams)]]*0.9/Table1[[#This Row],[BW_GA]])-1)/(Backend!$B$4/100*Table1[[#This Row],[BW40_3705]]),"")</f>
        <v/>
      </c>
      <c r="I9417" s="7" t="str">
        <f>IF(Table1[[#This Row],[Is Data Valid]]=TRUE,((Table1[[#This Row],[Birthweight (grams)]]*1.1/Table1[[#This Row],[BW_GA]])-1)/(Backend!$B$4/100*Table1[[#This Row],[BW40_3705]]),"")</f>
        <v/>
      </c>
      <c r="J9417" s="7" t="str">
        <f>IF(Table1[[#This Row],[Is Data Valid]]=TRUE,_xlfn.NORM.S.DIST(Table1[[#This Row],[Birthweight Z-Score]],TRUE)*100,"")</f>
        <v/>
      </c>
      <c r="K9417" s="7" t="str">
        <f>IF(Table1[[#This Row],[Is Data Valid]]=TRUE,_xlfn.NORM.S.DIST(Table1[[#This Row],[Birthweight Z-Score (BW-10%)]],TRUE)*100,"")</f>
        <v/>
      </c>
      <c r="L9417" s="7" t="str">
        <f>IF(Table1[[#This Row],[Is Data Valid]]=TRUE,_xlfn.NORM.S.DIST(Table1[[#This Row],[Birthweight Z-Score (BW+10%)]],TRUE)*100,"")</f>
        <v/>
      </c>
    </row>
    <row r="9418" spans="1:12" x14ac:dyDescent="0.35">
      <c r="A9418" s="3"/>
      <c r="B9418" s="2"/>
      <c r="C9418" s="2"/>
      <c r="D9418" s="2" t="b">
        <f>IF(AND(NOT(ISBLANK(Table1[[#This Row],[Fetal Sex (Male, Female or Unknown)]])),ISNUMBER(Table1[[#This Row],[Birthweight (grams)]]),ISNUMBER(Table1[[#This Row],[Gestation (days)]])),TRUE,FALSE)</f>
        <v>0</v>
      </c>
      <c r="E9418" s="2" t="str">
        <f>IF(Table1[[#This Row],[Is Data Valid]]=TRUE,IF(Table1[[#This Row],[Fetal Sex (Male, Female or Unknown)]]="Male",Backend!$C$6,IF(Table1[[#This Row],[Fetal Sex (Male, Female or Unknown)]]="Female",Backend!$C$7,IF(Table1[[#This Row],[Fetal Sex (Male, Female or Unknown)]]="Unknown",Backend!$C$8,"Error"))),"")</f>
        <v/>
      </c>
      <c r="F9418" s="8" t="str">
        <f>IF(Table1[[#This Row],[Is Data Valid]]=TRUE,EXP(0.578+0.332*((Table1[[#This Row],[Gestation (days)]]+0.5)/7)-0.00354*((Table1[[#This Row],[Gestation (days)]]+0.5)/7)^2)*Table1[[#This Row],[BW40_3705]],"")</f>
        <v/>
      </c>
      <c r="G9418" s="2" t="str">
        <f>IF(Table1[[#This Row],[Is Data Valid]]=TRUE,((Table1[[#This Row],[Birthweight (grams)]]/Table1[[#This Row],[BW_GA]])-1)/(Backend!$B$4/100*Table1[[#This Row],[BW40_3705]]),"")</f>
        <v/>
      </c>
      <c r="H9418" s="7" t="str">
        <f>IF(Table1[[#This Row],[Is Data Valid]]=TRUE,((Table1[[#This Row],[Birthweight (grams)]]*0.9/Table1[[#This Row],[BW_GA]])-1)/(Backend!$B$4/100*Table1[[#This Row],[BW40_3705]]),"")</f>
        <v/>
      </c>
      <c r="I9418" s="7" t="str">
        <f>IF(Table1[[#This Row],[Is Data Valid]]=TRUE,((Table1[[#This Row],[Birthweight (grams)]]*1.1/Table1[[#This Row],[BW_GA]])-1)/(Backend!$B$4/100*Table1[[#This Row],[BW40_3705]]),"")</f>
        <v/>
      </c>
      <c r="J9418" s="7" t="str">
        <f>IF(Table1[[#This Row],[Is Data Valid]]=TRUE,_xlfn.NORM.S.DIST(Table1[[#This Row],[Birthweight Z-Score]],TRUE)*100,"")</f>
        <v/>
      </c>
      <c r="K9418" s="7" t="str">
        <f>IF(Table1[[#This Row],[Is Data Valid]]=TRUE,_xlfn.NORM.S.DIST(Table1[[#This Row],[Birthweight Z-Score (BW-10%)]],TRUE)*100,"")</f>
        <v/>
      </c>
      <c r="L9418" s="7" t="str">
        <f>IF(Table1[[#This Row],[Is Data Valid]]=TRUE,_xlfn.NORM.S.DIST(Table1[[#This Row],[Birthweight Z-Score (BW+10%)]],TRUE)*100,"")</f>
        <v/>
      </c>
    </row>
    <row r="9419" spans="1:12" x14ac:dyDescent="0.35">
      <c r="A9419" s="3"/>
      <c r="B9419" s="2"/>
      <c r="C9419" s="2"/>
      <c r="D9419" s="2" t="b">
        <f>IF(AND(NOT(ISBLANK(Table1[[#This Row],[Fetal Sex (Male, Female or Unknown)]])),ISNUMBER(Table1[[#This Row],[Birthweight (grams)]]),ISNUMBER(Table1[[#This Row],[Gestation (days)]])),TRUE,FALSE)</f>
        <v>0</v>
      </c>
      <c r="E9419" s="2" t="str">
        <f>IF(Table1[[#This Row],[Is Data Valid]]=TRUE,IF(Table1[[#This Row],[Fetal Sex (Male, Female or Unknown)]]="Male",Backend!$C$6,IF(Table1[[#This Row],[Fetal Sex (Male, Female or Unknown)]]="Female",Backend!$C$7,IF(Table1[[#This Row],[Fetal Sex (Male, Female or Unknown)]]="Unknown",Backend!$C$8,"Error"))),"")</f>
        <v/>
      </c>
      <c r="F9419" s="8" t="str">
        <f>IF(Table1[[#This Row],[Is Data Valid]]=TRUE,EXP(0.578+0.332*((Table1[[#This Row],[Gestation (days)]]+0.5)/7)-0.00354*((Table1[[#This Row],[Gestation (days)]]+0.5)/7)^2)*Table1[[#This Row],[BW40_3705]],"")</f>
        <v/>
      </c>
      <c r="G9419" s="2" t="str">
        <f>IF(Table1[[#This Row],[Is Data Valid]]=TRUE,((Table1[[#This Row],[Birthweight (grams)]]/Table1[[#This Row],[BW_GA]])-1)/(Backend!$B$4/100*Table1[[#This Row],[BW40_3705]]),"")</f>
        <v/>
      </c>
      <c r="H9419" s="7" t="str">
        <f>IF(Table1[[#This Row],[Is Data Valid]]=TRUE,((Table1[[#This Row],[Birthweight (grams)]]*0.9/Table1[[#This Row],[BW_GA]])-1)/(Backend!$B$4/100*Table1[[#This Row],[BW40_3705]]),"")</f>
        <v/>
      </c>
      <c r="I9419" s="7" t="str">
        <f>IF(Table1[[#This Row],[Is Data Valid]]=TRUE,((Table1[[#This Row],[Birthweight (grams)]]*1.1/Table1[[#This Row],[BW_GA]])-1)/(Backend!$B$4/100*Table1[[#This Row],[BW40_3705]]),"")</f>
        <v/>
      </c>
      <c r="J9419" s="7" t="str">
        <f>IF(Table1[[#This Row],[Is Data Valid]]=TRUE,_xlfn.NORM.S.DIST(Table1[[#This Row],[Birthweight Z-Score]],TRUE)*100,"")</f>
        <v/>
      </c>
      <c r="K9419" s="7" t="str">
        <f>IF(Table1[[#This Row],[Is Data Valid]]=TRUE,_xlfn.NORM.S.DIST(Table1[[#This Row],[Birthweight Z-Score (BW-10%)]],TRUE)*100,"")</f>
        <v/>
      </c>
      <c r="L9419" s="7" t="str">
        <f>IF(Table1[[#This Row],[Is Data Valid]]=TRUE,_xlfn.NORM.S.DIST(Table1[[#This Row],[Birthweight Z-Score (BW+10%)]],TRUE)*100,"")</f>
        <v/>
      </c>
    </row>
    <row r="9420" spans="1:12" x14ac:dyDescent="0.35">
      <c r="A9420" s="3"/>
      <c r="B9420" s="2"/>
      <c r="C9420" s="2"/>
      <c r="D9420" s="2" t="b">
        <f>IF(AND(NOT(ISBLANK(Table1[[#This Row],[Fetal Sex (Male, Female or Unknown)]])),ISNUMBER(Table1[[#This Row],[Birthweight (grams)]]),ISNUMBER(Table1[[#This Row],[Gestation (days)]])),TRUE,FALSE)</f>
        <v>0</v>
      </c>
      <c r="E9420" s="2" t="str">
        <f>IF(Table1[[#This Row],[Is Data Valid]]=TRUE,IF(Table1[[#This Row],[Fetal Sex (Male, Female or Unknown)]]="Male",Backend!$C$6,IF(Table1[[#This Row],[Fetal Sex (Male, Female or Unknown)]]="Female",Backend!$C$7,IF(Table1[[#This Row],[Fetal Sex (Male, Female or Unknown)]]="Unknown",Backend!$C$8,"Error"))),"")</f>
        <v/>
      </c>
      <c r="F9420" s="8" t="str">
        <f>IF(Table1[[#This Row],[Is Data Valid]]=TRUE,EXP(0.578+0.332*((Table1[[#This Row],[Gestation (days)]]+0.5)/7)-0.00354*((Table1[[#This Row],[Gestation (days)]]+0.5)/7)^2)*Table1[[#This Row],[BW40_3705]],"")</f>
        <v/>
      </c>
      <c r="G9420" s="2" t="str">
        <f>IF(Table1[[#This Row],[Is Data Valid]]=TRUE,((Table1[[#This Row],[Birthweight (grams)]]/Table1[[#This Row],[BW_GA]])-1)/(Backend!$B$4/100*Table1[[#This Row],[BW40_3705]]),"")</f>
        <v/>
      </c>
      <c r="H9420" s="7" t="str">
        <f>IF(Table1[[#This Row],[Is Data Valid]]=TRUE,((Table1[[#This Row],[Birthweight (grams)]]*0.9/Table1[[#This Row],[BW_GA]])-1)/(Backend!$B$4/100*Table1[[#This Row],[BW40_3705]]),"")</f>
        <v/>
      </c>
      <c r="I9420" s="7" t="str">
        <f>IF(Table1[[#This Row],[Is Data Valid]]=TRUE,((Table1[[#This Row],[Birthweight (grams)]]*1.1/Table1[[#This Row],[BW_GA]])-1)/(Backend!$B$4/100*Table1[[#This Row],[BW40_3705]]),"")</f>
        <v/>
      </c>
      <c r="J9420" s="7" t="str">
        <f>IF(Table1[[#This Row],[Is Data Valid]]=TRUE,_xlfn.NORM.S.DIST(Table1[[#This Row],[Birthweight Z-Score]],TRUE)*100,"")</f>
        <v/>
      </c>
      <c r="K9420" s="7" t="str">
        <f>IF(Table1[[#This Row],[Is Data Valid]]=TRUE,_xlfn.NORM.S.DIST(Table1[[#This Row],[Birthweight Z-Score (BW-10%)]],TRUE)*100,"")</f>
        <v/>
      </c>
      <c r="L9420" s="7" t="str">
        <f>IF(Table1[[#This Row],[Is Data Valid]]=TRUE,_xlfn.NORM.S.DIST(Table1[[#This Row],[Birthweight Z-Score (BW+10%)]],TRUE)*100,"")</f>
        <v/>
      </c>
    </row>
    <row r="9421" spans="1:12" x14ac:dyDescent="0.35">
      <c r="A9421" s="3"/>
      <c r="B9421" s="2"/>
      <c r="C9421" s="2"/>
      <c r="D9421" s="2" t="b">
        <f>IF(AND(NOT(ISBLANK(Table1[[#This Row],[Fetal Sex (Male, Female or Unknown)]])),ISNUMBER(Table1[[#This Row],[Birthweight (grams)]]),ISNUMBER(Table1[[#This Row],[Gestation (days)]])),TRUE,FALSE)</f>
        <v>0</v>
      </c>
      <c r="E9421" s="2" t="str">
        <f>IF(Table1[[#This Row],[Is Data Valid]]=TRUE,IF(Table1[[#This Row],[Fetal Sex (Male, Female or Unknown)]]="Male",Backend!$C$6,IF(Table1[[#This Row],[Fetal Sex (Male, Female or Unknown)]]="Female",Backend!$C$7,IF(Table1[[#This Row],[Fetal Sex (Male, Female or Unknown)]]="Unknown",Backend!$C$8,"Error"))),"")</f>
        <v/>
      </c>
      <c r="F9421" s="8" t="str">
        <f>IF(Table1[[#This Row],[Is Data Valid]]=TRUE,EXP(0.578+0.332*((Table1[[#This Row],[Gestation (days)]]+0.5)/7)-0.00354*((Table1[[#This Row],[Gestation (days)]]+0.5)/7)^2)*Table1[[#This Row],[BW40_3705]],"")</f>
        <v/>
      </c>
      <c r="G9421" s="2" t="str">
        <f>IF(Table1[[#This Row],[Is Data Valid]]=TRUE,((Table1[[#This Row],[Birthweight (grams)]]/Table1[[#This Row],[BW_GA]])-1)/(Backend!$B$4/100*Table1[[#This Row],[BW40_3705]]),"")</f>
        <v/>
      </c>
      <c r="H9421" s="7" t="str">
        <f>IF(Table1[[#This Row],[Is Data Valid]]=TRUE,((Table1[[#This Row],[Birthweight (grams)]]*0.9/Table1[[#This Row],[BW_GA]])-1)/(Backend!$B$4/100*Table1[[#This Row],[BW40_3705]]),"")</f>
        <v/>
      </c>
      <c r="I9421" s="7" t="str">
        <f>IF(Table1[[#This Row],[Is Data Valid]]=TRUE,((Table1[[#This Row],[Birthweight (grams)]]*1.1/Table1[[#This Row],[BW_GA]])-1)/(Backend!$B$4/100*Table1[[#This Row],[BW40_3705]]),"")</f>
        <v/>
      </c>
      <c r="J9421" s="7" t="str">
        <f>IF(Table1[[#This Row],[Is Data Valid]]=TRUE,_xlfn.NORM.S.DIST(Table1[[#This Row],[Birthweight Z-Score]],TRUE)*100,"")</f>
        <v/>
      </c>
      <c r="K9421" s="7" t="str">
        <f>IF(Table1[[#This Row],[Is Data Valid]]=TRUE,_xlfn.NORM.S.DIST(Table1[[#This Row],[Birthweight Z-Score (BW-10%)]],TRUE)*100,"")</f>
        <v/>
      </c>
      <c r="L9421" s="7" t="str">
        <f>IF(Table1[[#This Row],[Is Data Valid]]=TRUE,_xlfn.NORM.S.DIST(Table1[[#This Row],[Birthweight Z-Score (BW+10%)]],TRUE)*100,"")</f>
        <v/>
      </c>
    </row>
    <row r="9422" spans="1:12" x14ac:dyDescent="0.35">
      <c r="A9422" s="3"/>
      <c r="B9422" s="2"/>
      <c r="C9422" s="2"/>
      <c r="D9422" s="2" t="b">
        <f>IF(AND(NOT(ISBLANK(Table1[[#This Row],[Fetal Sex (Male, Female or Unknown)]])),ISNUMBER(Table1[[#This Row],[Birthweight (grams)]]),ISNUMBER(Table1[[#This Row],[Gestation (days)]])),TRUE,FALSE)</f>
        <v>0</v>
      </c>
      <c r="E9422" s="2" t="str">
        <f>IF(Table1[[#This Row],[Is Data Valid]]=TRUE,IF(Table1[[#This Row],[Fetal Sex (Male, Female or Unknown)]]="Male",Backend!$C$6,IF(Table1[[#This Row],[Fetal Sex (Male, Female or Unknown)]]="Female",Backend!$C$7,IF(Table1[[#This Row],[Fetal Sex (Male, Female or Unknown)]]="Unknown",Backend!$C$8,"Error"))),"")</f>
        <v/>
      </c>
      <c r="F9422" s="8" t="str">
        <f>IF(Table1[[#This Row],[Is Data Valid]]=TRUE,EXP(0.578+0.332*((Table1[[#This Row],[Gestation (days)]]+0.5)/7)-0.00354*((Table1[[#This Row],[Gestation (days)]]+0.5)/7)^2)*Table1[[#This Row],[BW40_3705]],"")</f>
        <v/>
      </c>
      <c r="G9422" s="2" t="str">
        <f>IF(Table1[[#This Row],[Is Data Valid]]=TRUE,((Table1[[#This Row],[Birthweight (grams)]]/Table1[[#This Row],[BW_GA]])-1)/(Backend!$B$4/100*Table1[[#This Row],[BW40_3705]]),"")</f>
        <v/>
      </c>
      <c r="H9422" s="7" t="str">
        <f>IF(Table1[[#This Row],[Is Data Valid]]=TRUE,((Table1[[#This Row],[Birthweight (grams)]]*0.9/Table1[[#This Row],[BW_GA]])-1)/(Backend!$B$4/100*Table1[[#This Row],[BW40_3705]]),"")</f>
        <v/>
      </c>
      <c r="I9422" s="7" t="str">
        <f>IF(Table1[[#This Row],[Is Data Valid]]=TRUE,((Table1[[#This Row],[Birthweight (grams)]]*1.1/Table1[[#This Row],[BW_GA]])-1)/(Backend!$B$4/100*Table1[[#This Row],[BW40_3705]]),"")</f>
        <v/>
      </c>
      <c r="J9422" s="7" t="str">
        <f>IF(Table1[[#This Row],[Is Data Valid]]=TRUE,_xlfn.NORM.S.DIST(Table1[[#This Row],[Birthweight Z-Score]],TRUE)*100,"")</f>
        <v/>
      </c>
      <c r="K9422" s="7" t="str">
        <f>IF(Table1[[#This Row],[Is Data Valid]]=TRUE,_xlfn.NORM.S.DIST(Table1[[#This Row],[Birthweight Z-Score (BW-10%)]],TRUE)*100,"")</f>
        <v/>
      </c>
      <c r="L9422" s="7" t="str">
        <f>IF(Table1[[#This Row],[Is Data Valid]]=TRUE,_xlfn.NORM.S.DIST(Table1[[#This Row],[Birthweight Z-Score (BW+10%)]],TRUE)*100,"")</f>
        <v/>
      </c>
    </row>
    <row r="9423" spans="1:12" x14ac:dyDescent="0.35">
      <c r="A9423" s="3"/>
      <c r="B9423" s="2"/>
      <c r="C9423" s="2"/>
      <c r="D9423" s="2" t="b">
        <f>IF(AND(NOT(ISBLANK(Table1[[#This Row],[Fetal Sex (Male, Female or Unknown)]])),ISNUMBER(Table1[[#This Row],[Birthweight (grams)]]),ISNUMBER(Table1[[#This Row],[Gestation (days)]])),TRUE,FALSE)</f>
        <v>0</v>
      </c>
      <c r="E9423" s="2" t="str">
        <f>IF(Table1[[#This Row],[Is Data Valid]]=TRUE,IF(Table1[[#This Row],[Fetal Sex (Male, Female or Unknown)]]="Male",Backend!$C$6,IF(Table1[[#This Row],[Fetal Sex (Male, Female or Unknown)]]="Female",Backend!$C$7,IF(Table1[[#This Row],[Fetal Sex (Male, Female or Unknown)]]="Unknown",Backend!$C$8,"Error"))),"")</f>
        <v/>
      </c>
      <c r="F9423" s="8" t="str">
        <f>IF(Table1[[#This Row],[Is Data Valid]]=TRUE,EXP(0.578+0.332*((Table1[[#This Row],[Gestation (days)]]+0.5)/7)-0.00354*((Table1[[#This Row],[Gestation (days)]]+0.5)/7)^2)*Table1[[#This Row],[BW40_3705]],"")</f>
        <v/>
      </c>
      <c r="G9423" s="2" t="str">
        <f>IF(Table1[[#This Row],[Is Data Valid]]=TRUE,((Table1[[#This Row],[Birthweight (grams)]]/Table1[[#This Row],[BW_GA]])-1)/(Backend!$B$4/100*Table1[[#This Row],[BW40_3705]]),"")</f>
        <v/>
      </c>
      <c r="H9423" s="7" t="str">
        <f>IF(Table1[[#This Row],[Is Data Valid]]=TRUE,((Table1[[#This Row],[Birthweight (grams)]]*0.9/Table1[[#This Row],[BW_GA]])-1)/(Backend!$B$4/100*Table1[[#This Row],[BW40_3705]]),"")</f>
        <v/>
      </c>
      <c r="I9423" s="7" t="str">
        <f>IF(Table1[[#This Row],[Is Data Valid]]=TRUE,((Table1[[#This Row],[Birthweight (grams)]]*1.1/Table1[[#This Row],[BW_GA]])-1)/(Backend!$B$4/100*Table1[[#This Row],[BW40_3705]]),"")</f>
        <v/>
      </c>
      <c r="J9423" s="7" t="str">
        <f>IF(Table1[[#This Row],[Is Data Valid]]=TRUE,_xlfn.NORM.S.DIST(Table1[[#This Row],[Birthweight Z-Score]],TRUE)*100,"")</f>
        <v/>
      </c>
      <c r="K9423" s="7" t="str">
        <f>IF(Table1[[#This Row],[Is Data Valid]]=TRUE,_xlfn.NORM.S.DIST(Table1[[#This Row],[Birthweight Z-Score (BW-10%)]],TRUE)*100,"")</f>
        <v/>
      </c>
      <c r="L9423" s="7" t="str">
        <f>IF(Table1[[#This Row],[Is Data Valid]]=TRUE,_xlfn.NORM.S.DIST(Table1[[#This Row],[Birthweight Z-Score (BW+10%)]],TRUE)*100,"")</f>
        <v/>
      </c>
    </row>
    <row r="9424" spans="1:12" x14ac:dyDescent="0.35">
      <c r="A9424" s="3"/>
      <c r="B9424" s="2"/>
      <c r="C9424" s="2"/>
      <c r="D9424" s="2" t="b">
        <f>IF(AND(NOT(ISBLANK(Table1[[#This Row],[Fetal Sex (Male, Female or Unknown)]])),ISNUMBER(Table1[[#This Row],[Birthweight (grams)]]),ISNUMBER(Table1[[#This Row],[Gestation (days)]])),TRUE,FALSE)</f>
        <v>0</v>
      </c>
      <c r="E9424" s="2" t="str">
        <f>IF(Table1[[#This Row],[Is Data Valid]]=TRUE,IF(Table1[[#This Row],[Fetal Sex (Male, Female or Unknown)]]="Male",Backend!$C$6,IF(Table1[[#This Row],[Fetal Sex (Male, Female or Unknown)]]="Female",Backend!$C$7,IF(Table1[[#This Row],[Fetal Sex (Male, Female or Unknown)]]="Unknown",Backend!$C$8,"Error"))),"")</f>
        <v/>
      </c>
      <c r="F9424" s="8" t="str">
        <f>IF(Table1[[#This Row],[Is Data Valid]]=TRUE,EXP(0.578+0.332*((Table1[[#This Row],[Gestation (days)]]+0.5)/7)-0.00354*((Table1[[#This Row],[Gestation (days)]]+0.5)/7)^2)*Table1[[#This Row],[BW40_3705]],"")</f>
        <v/>
      </c>
      <c r="G9424" s="2" t="str">
        <f>IF(Table1[[#This Row],[Is Data Valid]]=TRUE,((Table1[[#This Row],[Birthweight (grams)]]/Table1[[#This Row],[BW_GA]])-1)/(Backend!$B$4/100*Table1[[#This Row],[BW40_3705]]),"")</f>
        <v/>
      </c>
      <c r="H9424" s="7" t="str">
        <f>IF(Table1[[#This Row],[Is Data Valid]]=TRUE,((Table1[[#This Row],[Birthweight (grams)]]*0.9/Table1[[#This Row],[BW_GA]])-1)/(Backend!$B$4/100*Table1[[#This Row],[BW40_3705]]),"")</f>
        <v/>
      </c>
      <c r="I9424" s="7" t="str">
        <f>IF(Table1[[#This Row],[Is Data Valid]]=TRUE,((Table1[[#This Row],[Birthweight (grams)]]*1.1/Table1[[#This Row],[BW_GA]])-1)/(Backend!$B$4/100*Table1[[#This Row],[BW40_3705]]),"")</f>
        <v/>
      </c>
      <c r="J9424" s="7" t="str">
        <f>IF(Table1[[#This Row],[Is Data Valid]]=TRUE,_xlfn.NORM.S.DIST(Table1[[#This Row],[Birthweight Z-Score]],TRUE)*100,"")</f>
        <v/>
      </c>
      <c r="K9424" s="7" t="str">
        <f>IF(Table1[[#This Row],[Is Data Valid]]=TRUE,_xlfn.NORM.S.DIST(Table1[[#This Row],[Birthweight Z-Score (BW-10%)]],TRUE)*100,"")</f>
        <v/>
      </c>
      <c r="L9424" s="7" t="str">
        <f>IF(Table1[[#This Row],[Is Data Valid]]=TRUE,_xlfn.NORM.S.DIST(Table1[[#This Row],[Birthweight Z-Score (BW+10%)]],TRUE)*100,"")</f>
        <v/>
      </c>
    </row>
    <row r="9425" spans="1:12" x14ac:dyDescent="0.35">
      <c r="A9425" s="3"/>
      <c r="B9425" s="2"/>
      <c r="C9425" s="2"/>
      <c r="D9425" s="2" t="b">
        <f>IF(AND(NOT(ISBLANK(Table1[[#This Row],[Fetal Sex (Male, Female or Unknown)]])),ISNUMBER(Table1[[#This Row],[Birthweight (grams)]]),ISNUMBER(Table1[[#This Row],[Gestation (days)]])),TRUE,FALSE)</f>
        <v>0</v>
      </c>
      <c r="E9425" s="2" t="str">
        <f>IF(Table1[[#This Row],[Is Data Valid]]=TRUE,IF(Table1[[#This Row],[Fetal Sex (Male, Female or Unknown)]]="Male",Backend!$C$6,IF(Table1[[#This Row],[Fetal Sex (Male, Female or Unknown)]]="Female",Backend!$C$7,IF(Table1[[#This Row],[Fetal Sex (Male, Female or Unknown)]]="Unknown",Backend!$C$8,"Error"))),"")</f>
        <v/>
      </c>
      <c r="F9425" s="8" t="str">
        <f>IF(Table1[[#This Row],[Is Data Valid]]=TRUE,EXP(0.578+0.332*((Table1[[#This Row],[Gestation (days)]]+0.5)/7)-0.00354*((Table1[[#This Row],[Gestation (days)]]+0.5)/7)^2)*Table1[[#This Row],[BW40_3705]],"")</f>
        <v/>
      </c>
      <c r="G9425" s="2" t="str">
        <f>IF(Table1[[#This Row],[Is Data Valid]]=TRUE,((Table1[[#This Row],[Birthweight (grams)]]/Table1[[#This Row],[BW_GA]])-1)/(Backend!$B$4/100*Table1[[#This Row],[BW40_3705]]),"")</f>
        <v/>
      </c>
      <c r="H9425" s="7" t="str">
        <f>IF(Table1[[#This Row],[Is Data Valid]]=TRUE,((Table1[[#This Row],[Birthweight (grams)]]*0.9/Table1[[#This Row],[BW_GA]])-1)/(Backend!$B$4/100*Table1[[#This Row],[BW40_3705]]),"")</f>
        <v/>
      </c>
      <c r="I9425" s="7" t="str">
        <f>IF(Table1[[#This Row],[Is Data Valid]]=TRUE,((Table1[[#This Row],[Birthweight (grams)]]*1.1/Table1[[#This Row],[BW_GA]])-1)/(Backend!$B$4/100*Table1[[#This Row],[BW40_3705]]),"")</f>
        <v/>
      </c>
      <c r="J9425" s="7" t="str">
        <f>IF(Table1[[#This Row],[Is Data Valid]]=TRUE,_xlfn.NORM.S.DIST(Table1[[#This Row],[Birthweight Z-Score]],TRUE)*100,"")</f>
        <v/>
      </c>
      <c r="K9425" s="7" t="str">
        <f>IF(Table1[[#This Row],[Is Data Valid]]=TRUE,_xlfn.NORM.S.DIST(Table1[[#This Row],[Birthweight Z-Score (BW-10%)]],TRUE)*100,"")</f>
        <v/>
      </c>
      <c r="L9425" s="7" t="str">
        <f>IF(Table1[[#This Row],[Is Data Valid]]=TRUE,_xlfn.NORM.S.DIST(Table1[[#This Row],[Birthweight Z-Score (BW+10%)]],TRUE)*100,"")</f>
        <v/>
      </c>
    </row>
    <row r="9426" spans="1:12" x14ac:dyDescent="0.35">
      <c r="A9426" s="3"/>
      <c r="B9426" s="2"/>
      <c r="C9426" s="2"/>
      <c r="D9426" s="2" t="b">
        <f>IF(AND(NOT(ISBLANK(Table1[[#This Row],[Fetal Sex (Male, Female or Unknown)]])),ISNUMBER(Table1[[#This Row],[Birthweight (grams)]]),ISNUMBER(Table1[[#This Row],[Gestation (days)]])),TRUE,FALSE)</f>
        <v>0</v>
      </c>
      <c r="E9426" s="2" t="str">
        <f>IF(Table1[[#This Row],[Is Data Valid]]=TRUE,IF(Table1[[#This Row],[Fetal Sex (Male, Female or Unknown)]]="Male",Backend!$C$6,IF(Table1[[#This Row],[Fetal Sex (Male, Female or Unknown)]]="Female",Backend!$C$7,IF(Table1[[#This Row],[Fetal Sex (Male, Female or Unknown)]]="Unknown",Backend!$C$8,"Error"))),"")</f>
        <v/>
      </c>
      <c r="F9426" s="8" t="str">
        <f>IF(Table1[[#This Row],[Is Data Valid]]=TRUE,EXP(0.578+0.332*((Table1[[#This Row],[Gestation (days)]]+0.5)/7)-0.00354*((Table1[[#This Row],[Gestation (days)]]+0.5)/7)^2)*Table1[[#This Row],[BW40_3705]],"")</f>
        <v/>
      </c>
      <c r="G9426" s="2" t="str">
        <f>IF(Table1[[#This Row],[Is Data Valid]]=TRUE,((Table1[[#This Row],[Birthweight (grams)]]/Table1[[#This Row],[BW_GA]])-1)/(Backend!$B$4/100*Table1[[#This Row],[BW40_3705]]),"")</f>
        <v/>
      </c>
      <c r="H9426" s="7" t="str">
        <f>IF(Table1[[#This Row],[Is Data Valid]]=TRUE,((Table1[[#This Row],[Birthweight (grams)]]*0.9/Table1[[#This Row],[BW_GA]])-1)/(Backend!$B$4/100*Table1[[#This Row],[BW40_3705]]),"")</f>
        <v/>
      </c>
      <c r="I9426" s="7" t="str">
        <f>IF(Table1[[#This Row],[Is Data Valid]]=TRUE,((Table1[[#This Row],[Birthweight (grams)]]*1.1/Table1[[#This Row],[BW_GA]])-1)/(Backend!$B$4/100*Table1[[#This Row],[BW40_3705]]),"")</f>
        <v/>
      </c>
      <c r="J9426" s="7" t="str">
        <f>IF(Table1[[#This Row],[Is Data Valid]]=TRUE,_xlfn.NORM.S.DIST(Table1[[#This Row],[Birthweight Z-Score]],TRUE)*100,"")</f>
        <v/>
      </c>
      <c r="K9426" s="7" t="str">
        <f>IF(Table1[[#This Row],[Is Data Valid]]=TRUE,_xlfn.NORM.S.DIST(Table1[[#This Row],[Birthweight Z-Score (BW-10%)]],TRUE)*100,"")</f>
        <v/>
      </c>
      <c r="L9426" s="7" t="str">
        <f>IF(Table1[[#This Row],[Is Data Valid]]=TRUE,_xlfn.NORM.S.DIST(Table1[[#This Row],[Birthweight Z-Score (BW+10%)]],TRUE)*100,"")</f>
        <v/>
      </c>
    </row>
    <row r="9427" spans="1:12" x14ac:dyDescent="0.35">
      <c r="A9427" s="3"/>
      <c r="B9427" s="2"/>
      <c r="C9427" s="2"/>
      <c r="D9427" s="2" t="b">
        <f>IF(AND(NOT(ISBLANK(Table1[[#This Row],[Fetal Sex (Male, Female or Unknown)]])),ISNUMBER(Table1[[#This Row],[Birthweight (grams)]]),ISNUMBER(Table1[[#This Row],[Gestation (days)]])),TRUE,FALSE)</f>
        <v>0</v>
      </c>
      <c r="E9427" s="2" t="str">
        <f>IF(Table1[[#This Row],[Is Data Valid]]=TRUE,IF(Table1[[#This Row],[Fetal Sex (Male, Female or Unknown)]]="Male",Backend!$C$6,IF(Table1[[#This Row],[Fetal Sex (Male, Female or Unknown)]]="Female",Backend!$C$7,IF(Table1[[#This Row],[Fetal Sex (Male, Female or Unknown)]]="Unknown",Backend!$C$8,"Error"))),"")</f>
        <v/>
      </c>
      <c r="F9427" s="8" t="str">
        <f>IF(Table1[[#This Row],[Is Data Valid]]=TRUE,EXP(0.578+0.332*((Table1[[#This Row],[Gestation (days)]]+0.5)/7)-0.00354*((Table1[[#This Row],[Gestation (days)]]+0.5)/7)^2)*Table1[[#This Row],[BW40_3705]],"")</f>
        <v/>
      </c>
      <c r="G9427" s="2" t="str">
        <f>IF(Table1[[#This Row],[Is Data Valid]]=TRUE,((Table1[[#This Row],[Birthweight (grams)]]/Table1[[#This Row],[BW_GA]])-1)/(Backend!$B$4/100*Table1[[#This Row],[BW40_3705]]),"")</f>
        <v/>
      </c>
      <c r="H9427" s="7" t="str">
        <f>IF(Table1[[#This Row],[Is Data Valid]]=TRUE,((Table1[[#This Row],[Birthweight (grams)]]*0.9/Table1[[#This Row],[BW_GA]])-1)/(Backend!$B$4/100*Table1[[#This Row],[BW40_3705]]),"")</f>
        <v/>
      </c>
      <c r="I9427" s="7" t="str">
        <f>IF(Table1[[#This Row],[Is Data Valid]]=TRUE,((Table1[[#This Row],[Birthweight (grams)]]*1.1/Table1[[#This Row],[BW_GA]])-1)/(Backend!$B$4/100*Table1[[#This Row],[BW40_3705]]),"")</f>
        <v/>
      </c>
      <c r="J9427" s="7" t="str">
        <f>IF(Table1[[#This Row],[Is Data Valid]]=TRUE,_xlfn.NORM.S.DIST(Table1[[#This Row],[Birthweight Z-Score]],TRUE)*100,"")</f>
        <v/>
      </c>
      <c r="K9427" s="7" t="str">
        <f>IF(Table1[[#This Row],[Is Data Valid]]=TRUE,_xlfn.NORM.S.DIST(Table1[[#This Row],[Birthweight Z-Score (BW-10%)]],TRUE)*100,"")</f>
        <v/>
      </c>
      <c r="L9427" s="7" t="str">
        <f>IF(Table1[[#This Row],[Is Data Valid]]=TRUE,_xlfn.NORM.S.DIST(Table1[[#This Row],[Birthweight Z-Score (BW+10%)]],TRUE)*100,"")</f>
        <v/>
      </c>
    </row>
    <row r="9428" spans="1:12" x14ac:dyDescent="0.35">
      <c r="A9428" s="3"/>
      <c r="B9428" s="2"/>
      <c r="C9428" s="2"/>
      <c r="D9428" s="2" t="b">
        <f>IF(AND(NOT(ISBLANK(Table1[[#This Row],[Fetal Sex (Male, Female or Unknown)]])),ISNUMBER(Table1[[#This Row],[Birthweight (grams)]]),ISNUMBER(Table1[[#This Row],[Gestation (days)]])),TRUE,FALSE)</f>
        <v>0</v>
      </c>
      <c r="E9428" s="2" t="str">
        <f>IF(Table1[[#This Row],[Is Data Valid]]=TRUE,IF(Table1[[#This Row],[Fetal Sex (Male, Female or Unknown)]]="Male",Backend!$C$6,IF(Table1[[#This Row],[Fetal Sex (Male, Female or Unknown)]]="Female",Backend!$C$7,IF(Table1[[#This Row],[Fetal Sex (Male, Female or Unknown)]]="Unknown",Backend!$C$8,"Error"))),"")</f>
        <v/>
      </c>
      <c r="F9428" s="8" t="str">
        <f>IF(Table1[[#This Row],[Is Data Valid]]=TRUE,EXP(0.578+0.332*((Table1[[#This Row],[Gestation (days)]]+0.5)/7)-0.00354*((Table1[[#This Row],[Gestation (days)]]+0.5)/7)^2)*Table1[[#This Row],[BW40_3705]],"")</f>
        <v/>
      </c>
      <c r="G9428" s="2" t="str">
        <f>IF(Table1[[#This Row],[Is Data Valid]]=TRUE,((Table1[[#This Row],[Birthweight (grams)]]/Table1[[#This Row],[BW_GA]])-1)/(Backend!$B$4/100*Table1[[#This Row],[BW40_3705]]),"")</f>
        <v/>
      </c>
      <c r="H9428" s="7" t="str">
        <f>IF(Table1[[#This Row],[Is Data Valid]]=TRUE,((Table1[[#This Row],[Birthweight (grams)]]*0.9/Table1[[#This Row],[BW_GA]])-1)/(Backend!$B$4/100*Table1[[#This Row],[BW40_3705]]),"")</f>
        <v/>
      </c>
      <c r="I9428" s="7" t="str">
        <f>IF(Table1[[#This Row],[Is Data Valid]]=TRUE,((Table1[[#This Row],[Birthweight (grams)]]*1.1/Table1[[#This Row],[BW_GA]])-1)/(Backend!$B$4/100*Table1[[#This Row],[BW40_3705]]),"")</f>
        <v/>
      </c>
      <c r="J9428" s="7" t="str">
        <f>IF(Table1[[#This Row],[Is Data Valid]]=TRUE,_xlfn.NORM.S.DIST(Table1[[#This Row],[Birthweight Z-Score]],TRUE)*100,"")</f>
        <v/>
      </c>
      <c r="K9428" s="7" t="str">
        <f>IF(Table1[[#This Row],[Is Data Valid]]=TRUE,_xlfn.NORM.S.DIST(Table1[[#This Row],[Birthweight Z-Score (BW-10%)]],TRUE)*100,"")</f>
        <v/>
      </c>
      <c r="L9428" s="7" t="str">
        <f>IF(Table1[[#This Row],[Is Data Valid]]=TRUE,_xlfn.NORM.S.DIST(Table1[[#This Row],[Birthweight Z-Score (BW+10%)]],TRUE)*100,"")</f>
        <v/>
      </c>
    </row>
    <row r="9429" spans="1:12" x14ac:dyDescent="0.35">
      <c r="A9429" s="3"/>
      <c r="B9429" s="2"/>
      <c r="C9429" s="2"/>
      <c r="D9429" s="2" t="b">
        <f>IF(AND(NOT(ISBLANK(Table1[[#This Row],[Fetal Sex (Male, Female or Unknown)]])),ISNUMBER(Table1[[#This Row],[Birthweight (grams)]]),ISNUMBER(Table1[[#This Row],[Gestation (days)]])),TRUE,FALSE)</f>
        <v>0</v>
      </c>
      <c r="E9429" s="2" t="str">
        <f>IF(Table1[[#This Row],[Is Data Valid]]=TRUE,IF(Table1[[#This Row],[Fetal Sex (Male, Female or Unknown)]]="Male",Backend!$C$6,IF(Table1[[#This Row],[Fetal Sex (Male, Female or Unknown)]]="Female",Backend!$C$7,IF(Table1[[#This Row],[Fetal Sex (Male, Female or Unknown)]]="Unknown",Backend!$C$8,"Error"))),"")</f>
        <v/>
      </c>
      <c r="F9429" s="8" t="str">
        <f>IF(Table1[[#This Row],[Is Data Valid]]=TRUE,EXP(0.578+0.332*((Table1[[#This Row],[Gestation (days)]]+0.5)/7)-0.00354*((Table1[[#This Row],[Gestation (days)]]+0.5)/7)^2)*Table1[[#This Row],[BW40_3705]],"")</f>
        <v/>
      </c>
      <c r="G9429" s="2" t="str">
        <f>IF(Table1[[#This Row],[Is Data Valid]]=TRUE,((Table1[[#This Row],[Birthweight (grams)]]/Table1[[#This Row],[BW_GA]])-1)/(Backend!$B$4/100*Table1[[#This Row],[BW40_3705]]),"")</f>
        <v/>
      </c>
      <c r="H9429" s="7" t="str">
        <f>IF(Table1[[#This Row],[Is Data Valid]]=TRUE,((Table1[[#This Row],[Birthweight (grams)]]*0.9/Table1[[#This Row],[BW_GA]])-1)/(Backend!$B$4/100*Table1[[#This Row],[BW40_3705]]),"")</f>
        <v/>
      </c>
      <c r="I9429" s="7" t="str">
        <f>IF(Table1[[#This Row],[Is Data Valid]]=TRUE,((Table1[[#This Row],[Birthweight (grams)]]*1.1/Table1[[#This Row],[BW_GA]])-1)/(Backend!$B$4/100*Table1[[#This Row],[BW40_3705]]),"")</f>
        <v/>
      </c>
      <c r="J9429" s="7" t="str">
        <f>IF(Table1[[#This Row],[Is Data Valid]]=TRUE,_xlfn.NORM.S.DIST(Table1[[#This Row],[Birthweight Z-Score]],TRUE)*100,"")</f>
        <v/>
      </c>
      <c r="K9429" s="7" t="str">
        <f>IF(Table1[[#This Row],[Is Data Valid]]=TRUE,_xlfn.NORM.S.DIST(Table1[[#This Row],[Birthweight Z-Score (BW-10%)]],TRUE)*100,"")</f>
        <v/>
      </c>
      <c r="L9429" s="7" t="str">
        <f>IF(Table1[[#This Row],[Is Data Valid]]=TRUE,_xlfn.NORM.S.DIST(Table1[[#This Row],[Birthweight Z-Score (BW+10%)]],TRUE)*100,"")</f>
        <v/>
      </c>
    </row>
    <row r="9430" spans="1:12" x14ac:dyDescent="0.35">
      <c r="A9430" s="3"/>
      <c r="B9430" s="2"/>
      <c r="C9430" s="2"/>
      <c r="D9430" s="2" t="b">
        <f>IF(AND(NOT(ISBLANK(Table1[[#This Row],[Fetal Sex (Male, Female or Unknown)]])),ISNUMBER(Table1[[#This Row],[Birthweight (grams)]]),ISNUMBER(Table1[[#This Row],[Gestation (days)]])),TRUE,FALSE)</f>
        <v>0</v>
      </c>
      <c r="E9430" s="2" t="str">
        <f>IF(Table1[[#This Row],[Is Data Valid]]=TRUE,IF(Table1[[#This Row],[Fetal Sex (Male, Female or Unknown)]]="Male",Backend!$C$6,IF(Table1[[#This Row],[Fetal Sex (Male, Female or Unknown)]]="Female",Backend!$C$7,IF(Table1[[#This Row],[Fetal Sex (Male, Female or Unknown)]]="Unknown",Backend!$C$8,"Error"))),"")</f>
        <v/>
      </c>
      <c r="F9430" s="8" t="str">
        <f>IF(Table1[[#This Row],[Is Data Valid]]=TRUE,EXP(0.578+0.332*((Table1[[#This Row],[Gestation (days)]]+0.5)/7)-0.00354*((Table1[[#This Row],[Gestation (days)]]+0.5)/7)^2)*Table1[[#This Row],[BW40_3705]],"")</f>
        <v/>
      </c>
      <c r="G9430" s="2" t="str">
        <f>IF(Table1[[#This Row],[Is Data Valid]]=TRUE,((Table1[[#This Row],[Birthweight (grams)]]/Table1[[#This Row],[BW_GA]])-1)/(Backend!$B$4/100*Table1[[#This Row],[BW40_3705]]),"")</f>
        <v/>
      </c>
      <c r="H9430" s="7" t="str">
        <f>IF(Table1[[#This Row],[Is Data Valid]]=TRUE,((Table1[[#This Row],[Birthweight (grams)]]*0.9/Table1[[#This Row],[BW_GA]])-1)/(Backend!$B$4/100*Table1[[#This Row],[BW40_3705]]),"")</f>
        <v/>
      </c>
      <c r="I9430" s="7" t="str">
        <f>IF(Table1[[#This Row],[Is Data Valid]]=TRUE,((Table1[[#This Row],[Birthweight (grams)]]*1.1/Table1[[#This Row],[BW_GA]])-1)/(Backend!$B$4/100*Table1[[#This Row],[BW40_3705]]),"")</f>
        <v/>
      </c>
      <c r="J9430" s="7" t="str">
        <f>IF(Table1[[#This Row],[Is Data Valid]]=TRUE,_xlfn.NORM.S.DIST(Table1[[#This Row],[Birthweight Z-Score]],TRUE)*100,"")</f>
        <v/>
      </c>
      <c r="K9430" s="7" t="str">
        <f>IF(Table1[[#This Row],[Is Data Valid]]=TRUE,_xlfn.NORM.S.DIST(Table1[[#This Row],[Birthweight Z-Score (BW-10%)]],TRUE)*100,"")</f>
        <v/>
      </c>
      <c r="L9430" s="7" t="str">
        <f>IF(Table1[[#This Row],[Is Data Valid]]=TRUE,_xlfn.NORM.S.DIST(Table1[[#This Row],[Birthweight Z-Score (BW+10%)]],TRUE)*100,"")</f>
        <v/>
      </c>
    </row>
    <row r="9431" spans="1:12" x14ac:dyDescent="0.35">
      <c r="A9431" s="3"/>
      <c r="B9431" s="2"/>
      <c r="C9431" s="2"/>
      <c r="D9431" s="2" t="b">
        <f>IF(AND(NOT(ISBLANK(Table1[[#This Row],[Fetal Sex (Male, Female or Unknown)]])),ISNUMBER(Table1[[#This Row],[Birthweight (grams)]]),ISNUMBER(Table1[[#This Row],[Gestation (days)]])),TRUE,FALSE)</f>
        <v>0</v>
      </c>
      <c r="E9431" s="2" t="str">
        <f>IF(Table1[[#This Row],[Is Data Valid]]=TRUE,IF(Table1[[#This Row],[Fetal Sex (Male, Female or Unknown)]]="Male",Backend!$C$6,IF(Table1[[#This Row],[Fetal Sex (Male, Female or Unknown)]]="Female",Backend!$C$7,IF(Table1[[#This Row],[Fetal Sex (Male, Female or Unknown)]]="Unknown",Backend!$C$8,"Error"))),"")</f>
        <v/>
      </c>
      <c r="F9431" s="8" t="str">
        <f>IF(Table1[[#This Row],[Is Data Valid]]=TRUE,EXP(0.578+0.332*((Table1[[#This Row],[Gestation (days)]]+0.5)/7)-0.00354*((Table1[[#This Row],[Gestation (days)]]+0.5)/7)^2)*Table1[[#This Row],[BW40_3705]],"")</f>
        <v/>
      </c>
      <c r="G9431" s="2" t="str">
        <f>IF(Table1[[#This Row],[Is Data Valid]]=TRUE,((Table1[[#This Row],[Birthweight (grams)]]/Table1[[#This Row],[BW_GA]])-1)/(Backend!$B$4/100*Table1[[#This Row],[BW40_3705]]),"")</f>
        <v/>
      </c>
      <c r="H9431" s="7" t="str">
        <f>IF(Table1[[#This Row],[Is Data Valid]]=TRUE,((Table1[[#This Row],[Birthweight (grams)]]*0.9/Table1[[#This Row],[BW_GA]])-1)/(Backend!$B$4/100*Table1[[#This Row],[BW40_3705]]),"")</f>
        <v/>
      </c>
      <c r="I9431" s="7" t="str">
        <f>IF(Table1[[#This Row],[Is Data Valid]]=TRUE,((Table1[[#This Row],[Birthweight (grams)]]*1.1/Table1[[#This Row],[BW_GA]])-1)/(Backend!$B$4/100*Table1[[#This Row],[BW40_3705]]),"")</f>
        <v/>
      </c>
      <c r="J9431" s="7" t="str">
        <f>IF(Table1[[#This Row],[Is Data Valid]]=TRUE,_xlfn.NORM.S.DIST(Table1[[#This Row],[Birthweight Z-Score]],TRUE)*100,"")</f>
        <v/>
      </c>
      <c r="K9431" s="7" t="str">
        <f>IF(Table1[[#This Row],[Is Data Valid]]=TRUE,_xlfn.NORM.S.DIST(Table1[[#This Row],[Birthweight Z-Score (BW-10%)]],TRUE)*100,"")</f>
        <v/>
      </c>
      <c r="L9431" s="7" t="str">
        <f>IF(Table1[[#This Row],[Is Data Valid]]=TRUE,_xlfn.NORM.S.DIST(Table1[[#This Row],[Birthweight Z-Score (BW+10%)]],TRUE)*100,"")</f>
        <v/>
      </c>
    </row>
    <row r="9432" spans="1:12" x14ac:dyDescent="0.35">
      <c r="A9432" s="3"/>
      <c r="B9432" s="2"/>
      <c r="C9432" s="2"/>
      <c r="D9432" s="2" t="b">
        <f>IF(AND(NOT(ISBLANK(Table1[[#This Row],[Fetal Sex (Male, Female or Unknown)]])),ISNUMBER(Table1[[#This Row],[Birthweight (grams)]]),ISNUMBER(Table1[[#This Row],[Gestation (days)]])),TRUE,FALSE)</f>
        <v>0</v>
      </c>
      <c r="E9432" s="2" t="str">
        <f>IF(Table1[[#This Row],[Is Data Valid]]=TRUE,IF(Table1[[#This Row],[Fetal Sex (Male, Female or Unknown)]]="Male",Backend!$C$6,IF(Table1[[#This Row],[Fetal Sex (Male, Female or Unknown)]]="Female",Backend!$C$7,IF(Table1[[#This Row],[Fetal Sex (Male, Female or Unknown)]]="Unknown",Backend!$C$8,"Error"))),"")</f>
        <v/>
      </c>
      <c r="F9432" s="8" t="str">
        <f>IF(Table1[[#This Row],[Is Data Valid]]=TRUE,EXP(0.578+0.332*((Table1[[#This Row],[Gestation (days)]]+0.5)/7)-0.00354*((Table1[[#This Row],[Gestation (days)]]+0.5)/7)^2)*Table1[[#This Row],[BW40_3705]],"")</f>
        <v/>
      </c>
      <c r="G9432" s="2" t="str">
        <f>IF(Table1[[#This Row],[Is Data Valid]]=TRUE,((Table1[[#This Row],[Birthweight (grams)]]/Table1[[#This Row],[BW_GA]])-1)/(Backend!$B$4/100*Table1[[#This Row],[BW40_3705]]),"")</f>
        <v/>
      </c>
      <c r="H9432" s="7" t="str">
        <f>IF(Table1[[#This Row],[Is Data Valid]]=TRUE,((Table1[[#This Row],[Birthweight (grams)]]*0.9/Table1[[#This Row],[BW_GA]])-1)/(Backend!$B$4/100*Table1[[#This Row],[BW40_3705]]),"")</f>
        <v/>
      </c>
      <c r="I9432" s="7" t="str">
        <f>IF(Table1[[#This Row],[Is Data Valid]]=TRUE,((Table1[[#This Row],[Birthweight (grams)]]*1.1/Table1[[#This Row],[BW_GA]])-1)/(Backend!$B$4/100*Table1[[#This Row],[BW40_3705]]),"")</f>
        <v/>
      </c>
      <c r="J9432" s="7" t="str">
        <f>IF(Table1[[#This Row],[Is Data Valid]]=TRUE,_xlfn.NORM.S.DIST(Table1[[#This Row],[Birthweight Z-Score]],TRUE)*100,"")</f>
        <v/>
      </c>
      <c r="K9432" s="7" t="str">
        <f>IF(Table1[[#This Row],[Is Data Valid]]=TRUE,_xlfn.NORM.S.DIST(Table1[[#This Row],[Birthweight Z-Score (BW-10%)]],TRUE)*100,"")</f>
        <v/>
      </c>
      <c r="L9432" s="7" t="str">
        <f>IF(Table1[[#This Row],[Is Data Valid]]=TRUE,_xlfn.NORM.S.DIST(Table1[[#This Row],[Birthweight Z-Score (BW+10%)]],TRUE)*100,"")</f>
        <v/>
      </c>
    </row>
    <row r="9433" spans="1:12" x14ac:dyDescent="0.35">
      <c r="A9433" s="3"/>
      <c r="B9433" s="2"/>
      <c r="C9433" s="2"/>
      <c r="D9433" s="2" t="b">
        <f>IF(AND(NOT(ISBLANK(Table1[[#This Row],[Fetal Sex (Male, Female or Unknown)]])),ISNUMBER(Table1[[#This Row],[Birthweight (grams)]]),ISNUMBER(Table1[[#This Row],[Gestation (days)]])),TRUE,FALSE)</f>
        <v>0</v>
      </c>
      <c r="E9433" s="2" t="str">
        <f>IF(Table1[[#This Row],[Is Data Valid]]=TRUE,IF(Table1[[#This Row],[Fetal Sex (Male, Female or Unknown)]]="Male",Backend!$C$6,IF(Table1[[#This Row],[Fetal Sex (Male, Female or Unknown)]]="Female",Backend!$C$7,IF(Table1[[#This Row],[Fetal Sex (Male, Female or Unknown)]]="Unknown",Backend!$C$8,"Error"))),"")</f>
        <v/>
      </c>
      <c r="F9433" s="8" t="str">
        <f>IF(Table1[[#This Row],[Is Data Valid]]=TRUE,EXP(0.578+0.332*((Table1[[#This Row],[Gestation (days)]]+0.5)/7)-0.00354*((Table1[[#This Row],[Gestation (days)]]+0.5)/7)^2)*Table1[[#This Row],[BW40_3705]],"")</f>
        <v/>
      </c>
      <c r="G9433" s="2" t="str">
        <f>IF(Table1[[#This Row],[Is Data Valid]]=TRUE,((Table1[[#This Row],[Birthweight (grams)]]/Table1[[#This Row],[BW_GA]])-1)/(Backend!$B$4/100*Table1[[#This Row],[BW40_3705]]),"")</f>
        <v/>
      </c>
      <c r="H9433" s="7" t="str">
        <f>IF(Table1[[#This Row],[Is Data Valid]]=TRUE,((Table1[[#This Row],[Birthweight (grams)]]*0.9/Table1[[#This Row],[BW_GA]])-1)/(Backend!$B$4/100*Table1[[#This Row],[BW40_3705]]),"")</f>
        <v/>
      </c>
      <c r="I9433" s="7" t="str">
        <f>IF(Table1[[#This Row],[Is Data Valid]]=TRUE,((Table1[[#This Row],[Birthweight (grams)]]*1.1/Table1[[#This Row],[BW_GA]])-1)/(Backend!$B$4/100*Table1[[#This Row],[BW40_3705]]),"")</f>
        <v/>
      </c>
      <c r="J9433" s="7" t="str">
        <f>IF(Table1[[#This Row],[Is Data Valid]]=TRUE,_xlfn.NORM.S.DIST(Table1[[#This Row],[Birthweight Z-Score]],TRUE)*100,"")</f>
        <v/>
      </c>
      <c r="K9433" s="7" t="str">
        <f>IF(Table1[[#This Row],[Is Data Valid]]=TRUE,_xlfn.NORM.S.DIST(Table1[[#This Row],[Birthweight Z-Score (BW-10%)]],TRUE)*100,"")</f>
        <v/>
      </c>
      <c r="L9433" s="7" t="str">
        <f>IF(Table1[[#This Row],[Is Data Valid]]=TRUE,_xlfn.NORM.S.DIST(Table1[[#This Row],[Birthweight Z-Score (BW+10%)]],TRUE)*100,"")</f>
        <v/>
      </c>
    </row>
    <row r="9434" spans="1:12" x14ac:dyDescent="0.35">
      <c r="A9434" s="3"/>
      <c r="B9434" s="2"/>
      <c r="C9434" s="2"/>
      <c r="D9434" s="2" t="b">
        <f>IF(AND(NOT(ISBLANK(Table1[[#This Row],[Fetal Sex (Male, Female or Unknown)]])),ISNUMBER(Table1[[#This Row],[Birthweight (grams)]]),ISNUMBER(Table1[[#This Row],[Gestation (days)]])),TRUE,FALSE)</f>
        <v>0</v>
      </c>
      <c r="E9434" s="2" t="str">
        <f>IF(Table1[[#This Row],[Is Data Valid]]=TRUE,IF(Table1[[#This Row],[Fetal Sex (Male, Female or Unknown)]]="Male",Backend!$C$6,IF(Table1[[#This Row],[Fetal Sex (Male, Female or Unknown)]]="Female",Backend!$C$7,IF(Table1[[#This Row],[Fetal Sex (Male, Female or Unknown)]]="Unknown",Backend!$C$8,"Error"))),"")</f>
        <v/>
      </c>
      <c r="F9434" s="8" t="str">
        <f>IF(Table1[[#This Row],[Is Data Valid]]=TRUE,EXP(0.578+0.332*((Table1[[#This Row],[Gestation (days)]]+0.5)/7)-0.00354*((Table1[[#This Row],[Gestation (days)]]+0.5)/7)^2)*Table1[[#This Row],[BW40_3705]],"")</f>
        <v/>
      </c>
      <c r="G9434" s="2" t="str">
        <f>IF(Table1[[#This Row],[Is Data Valid]]=TRUE,((Table1[[#This Row],[Birthweight (grams)]]/Table1[[#This Row],[BW_GA]])-1)/(Backend!$B$4/100*Table1[[#This Row],[BW40_3705]]),"")</f>
        <v/>
      </c>
      <c r="H9434" s="7" t="str">
        <f>IF(Table1[[#This Row],[Is Data Valid]]=TRUE,((Table1[[#This Row],[Birthweight (grams)]]*0.9/Table1[[#This Row],[BW_GA]])-1)/(Backend!$B$4/100*Table1[[#This Row],[BW40_3705]]),"")</f>
        <v/>
      </c>
      <c r="I9434" s="7" t="str">
        <f>IF(Table1[[#This Row],[Is Data Valid]]=TRUE,((Table1[[#This Row],[Birthweight (grams)]]*1.1/Table1[[#This Row],[BW_GA]])-1)/(Backend!$B$4/100*Table1[[#This Row],[BW40_3705]]),"")</f>
        <v/>
      </c>
      <c r="J9434" s="7" t="str">
        <f>IF(Table1[[#This Row],[Is Data Valid]]=TRUE,_xlfn.NORM.S.DIST(Table1[[#This Row],[Birthweight Z-Score]],TRUE)*100,"")</f>
        <v/>
      </c>
      <c r="K9434" s="7" t="str">
        <f>IF(Table1[[#This Row],[Is Data Valid]]=TRUE,_xlfn.NORM.S.DIST(Table1[[#This Row],[Birthweight Z-Score (BW-10%)]],TRUE)*100,"")</f>
        <v/>
      </c>
      <c r="L9434" s="7" t="str">
        <f>IF(Table1[[#This Row],[Is Data Valid]]=TRUE,_xlfn.NORM.S.DIST(Table1[[#This Row],[Birthweight Z-Score (BW+10%)]],TRUE)*100,"")</f>
        <v/>
      </c>
    </row>
    <row r="9435" spans="1:12" x14ac:dyDescent="0.35">
      <c r="A9435" s="3"/>
      <c r="B9435" s="2"/>
      <c r="C9435" s="2"/>
      <c r="D9435" s="2" t="b">
        <f>IF(AND(NOT(ISBLANK(Table1[[#This Row],[Fetal Sex (Male, Female or Unknown)]])),ISNUMBER(Table1[[#This Row],[Birthweight (grams)]]),ISNUMBER(Table1[[#This Row],[Gestation (days)]])),TRUE,FALSE)</f>
        <v>0</v>
      </c>
      <c r="E9435" s="2" t="str">
        <f>IF(Table1[[#This Row],[Is Data Valid]]=TRUE,IF(Table1[[#This Row],[Fetal Sex (Male, Female or Unknown)]]="Male",Backend!$C$6,IF(Table1[[#This Row],[Fetal Sex (Male, Female or Unknown)]]="Female",Backend!$C$7,IF(Table1[[#This Row],[Fetal Sex (Male, Female or Unknown)]]="Unknown",Backend!$C$8,"Error"))),"")</f>
        <v/>
      </c>
      <c r="F9435" s="8" t="str">
        <f>IF(Table1[[#This Row],[Is Data Valid]]=TRUE,EXP(0.578+0.332*((Table1[[#This Row],[Gestation (days)]]+0.5)/7)-0.00354*((Table1[[#This Row],[Gestation (days)]]+0.5)/7)^2)*Table1[[#This Row],[BW40_3705]],"")</f>
        <v/>
      </c>
      <c r="G9435" s="2" t="str">
        <f>IF(Table1[[#This Row],[Is Data Valid]]=TRUE,((Table1[[#This Row],[Birthweight (grams)]]/Table1[[#This Row],[BW_GA]])-1)/(Backend!$B$4/100*Table1[[#This Row],[BW40_3705]]),"")</f>
        <v/>
      </c>
      <c r="H9435" s="7" t="str">
        <f>IF(Table1[[#This Row],[Is Data Valid]]=TRUE,((Table1[[#This Row],[Birthweight (grams)]]*0.9/Table1[[#This Row],[BW_GA]])-1)/(Backend!$B$4/100*Table1[[#This Row],[BW40_3705]]),"")</f>
        <v/>
      </c>
      <c r="I9435" s="7" t="str">
        <f>IF(Table1[[#This Row],[Is Data Valid]]=TRUE,((Table1[[#This Row],[Birthweight (grams)]]*1.1/Table1[[#This Row],[BW_GA]])-1)/(Backend!$B$4/100*Table1[[#This Row],[BW40_3705]]),"")</f>
        <v/>
      </c>
      <c r="J9435" s="7" t="str">
        <f>IF(Table1[[#This Row],[Is Data Valid]]=TRUE,_xlfn.NORM.S.DIST(Table1[[#This Row],[Birthweight Z-Score]],TRUE)*100,"")</f>
        <v/>
      </c>
      <c r="K9435" s="7" t="str">
        <f>IF(Table1[[#This Row],[Is Data Valid]]=TRUE,_xlfn.NORM.S.DIST(Table1[[#This Row],[Birthweight Z-Score (BW-10%)]],TRUE)*100,"")</f>
        <v/>
      </c>
      <c r="L9435" s="7" t="str">
        <f>IF(Table1[[#This Row],[Is Data Valid]]=TRUE,_xlfn.NORM.S.DIST(Table1[[#This Row],[Birthweight Z-Score (BW+10%)]],TRUE)*100,"")</f>
        <v/>
      </c>
    </row>
    <row r="9436" spans="1:12" x14ac:dyDescent="0.35">
      <c r="A9436" s="3"/>
      <c r="B9436" s="2"/>
      <c r="C9436" s="2"/>
      <c r="D9436" s="2" t="b">
        <f>IF(AND(NOT(ISBLANK(Table1[[#This Row],[Fetal Sex (Male, Female or Unknown)]])),ISNUMBER(Table1[[#This Row],[Birthweight (grams)]]),ISNUMBER(Table1[[#This Row],[Gestation (days)]])),TRUE,FALSE)</f>
        <v>0</v>
      </c>
      <c r="E9436" s="2" t="str">
        <f>IF(Table1[[#This Row],[Is Data Valid]]=TRUE,IF(Table1[[#This Row],[Fetal Sex (Male, Female or Unknown)]]="Male",Backend!$C$6,IF(Table1[[#This Row],[Fetal Sex (Male, Female or Unknown)]]="Female",Backend!$C$7,IF(Table1[[#This Row],[Fetal Sex (Male, Female or Unknown)]]="Unknown",Backend!$C$8,"Error"))),"")</f>
        <v/>
      </c>
      <c r="F9436" s="8" t="str">
        <f>IF(Table1[[#This Row],[Is Data Valid]]=TRUE,EXP(0.578+0.332*((Table1[[#This Row],[Gestation (days)]]+0.5)/7)-0.00354*((Table1[[#This Row],[Gestation (days)]]+0.5)/7)^2)*Table1[[#This Row],[BW40_3705]],"")</f>
        <v/>
      </c>
      <c r="G9436" s="2" t="str">
        <f>IF(Table1[[#This Row],[Is Data Valid]]=TRUE,((Table1[[#This Row],[Birthweight (grams)]]/Table1[[#This Row],[BW_GA]])-1)/(Backend!$B$4/100*Table1[[#This Row],[BW40_3705]]),"")</f>
        <v/>
      </c>
      <c r="H9436" s="7" t="str">
        <f>IF(Table1[[#This Row],[Is Data Valid]]=TRUE,((Table1[[#This Row],[Birthweight (grams)]]*0.9/Table1[[#This Row],[BW_GA]])-1)/(Backend!$B$4/100*Table1[[#This Row],[BW40_3705]]),"")</f>
        <v/>
      </c>
      <c r="I9436" s="7" t="str">
        <f>IF(Table1[[#This Row],[Is Data Valid]]=TRUE,((Table1[[#This Row],[Birthweight (grams)]]*1.1/Table1[[#This Row],[BW_GA]])-1)/(Backend!$B$4/100*Table1[[#This Row],[BW40_3705]]),"")</f>
        <v/>
      </c>
      <c r="J9436" s="7" t="str">
        <f>IF(Table1[[#This Row],[Is Data Valid]]=TRUE,_xlfn.NORM.S.DIST(Table1[[#This Row],[Birthweight Z-Score]],TRUE)*100,"")</f>
        <v/>
      </c>
      <c r="K9436" s="7" t="str">
        <f>IF(Table1[[#This Row],[Is Data Valid]]=TRUE,_xlfn.NORM.S.DIST(Table1[[#This Row],[Birthweight Z-Score (BW-10%)]],TRUE)*100,"")</f>
        <v/>
      </c>
      <c r="L9436" s="7" t="str">
        <f>IF(Table1[[#This Row],[Is Data Valid]]=TRUE,_xlfn.NORM.S.DIST(Table1[[#This Row],[Birthweight Z-Score (BW+10%)]],TRUE)*100,"")</f>
        <v/>
      </c>
    </row>
    <row r="9437" spans="1:12" x14ac:dyDescent="0.35">
      <c r="A9437" s="3"/>
      <c r="B9437" s="2"/>
      <c r="C9437" s="2"/>
      <c r="D9437" s="2" t="b">
        <f>IF(AND(NOT(ISBLANK(Table1[[#This Row],[Fetal Sex (Male, Female or Unknown)]])),ISNUMBER(Table1[[#This Row],[Birthweight (grams)]]),ISNUMBER(Table1[[#This Row],[Gestation (days)]])),TRUE,FALSE)</f>
        <v>0</v>
      </c>
      <c r="E9437" s="2" t="str">
        <f>IF(Table1[[#This Row],[Is Data Valid]]=TRUE,IF(Table1[[#This Row],[Fetal Sex (Male, Female or Unknown)]]="Male",Backend!$C$6,IF(Table1[[#This Row],[Fetal Sex (Male, Female or Unknown)]]="Female",Backend!$C$7,IF(Table1[[#This Row],[Fetal Sex (Male, Female or Unknown)]]="Unknown",Backend!$C$8,"Error"))),"")</f>
        <v/>
      </c>
      <c r="F9437" s="8" t="str">
        <f>IF(Table1[[#This Row],[Is Data Valid]]=TRUE,EXP(0.578+0.332*((Table1[[#This Row],[Gestation (days)]]+0.5)/7)-0.00354*((Table1[[#This Row],[Gestation (days)]]+0.5)/7)^2)*Table1[[#This Row],[BW40_3705]],"")</f>
        <v/>
      </c>
      <c r="G9437" s="2" t="str">
        <f>IF(Table1[[#This Row],[Is Data Valid]]=TRUE,((Table1[[#This Row],[Birthweight (grams)]]/Table1[[#This Row],[BW_GA]])-1)/(Backend!$B$4/100*Table1[[#This Row],[BW40_3705]]),"")</f>
        <v/>
      </c>
      <c r="H9437" s="7" t="str">
        <f>IF(Table1[[#This Row],[Is Data Valid]]=TRUE,((Table1[[#This Row],[Birthweight (grams)]]*0.9/Table1[[#This Row],[BW_GA]])-1)/(Backend!$B$4/100*Table1[[#This Row],[BW40_3705]]),"")</f>
        <v/>
      </c>
      <c r="I9437" s="7" t="str">
        <f>IF(Table1[[#This Row],[Is Data Valid]]=TRUE,((Table1[[#This Row],[Birthweight (grams)]]*1.1/Table1[[#This Row],[BW_GA]])-1)/(Backend!$B$4/100*Table1[[#This Row],[BW40_3705]]),"")</f>
        <v/>
      </c>
      <c r="J9437" s="7" t="str">
        <f>IF(Table1[[#This Row],[Is Data Valid]]=TRUE,_xlfn.NORM.S.DIST(Table1[[#This Row],[Birthweight Z-Score]],TRUE)*100,"")</f>
        <v/>
      </c>
      <c r="K9437" s="7" t="str">
        <f>IF(Table1[[#This Row],[Is Data Valid]]=TRUE,_xlfn.NORM.S.DIST(Table1[[#This Row],[Birthweight Z-Score (BW-10%)]],TRUE)*100,"")</f>
        <v/>
      </c>
      <c r="L9437" s="7" t="str">
        <f>IF(Table1[[#This Row],[Is Data Valid]]=TRUE,_xlfn.NORM.S.DIST(Table1[[#This Row],[Birthweight Z-Score (BW+10%)]],TRUE)*100,"")</f>
        <v/>
      </c>
    </row>
    <row r="9438" spans="1:12" x14ac:dyDescent="0.35">
      <c r="A9438" s="3"/>
      <c r="B9438" s="2"/>
      <c r="C9438" s="2"/>
      <c r="D9438" s="2" t="b">
        <f>IF(AND(NOT(ISBLANK(Table1[[#This Row],[Fetal Sex (Male, Female or Unknown)]])),ISNUMBER(Table1[[#This Row],[Birthweight (grams)]]),ISNUMBER(Table1[[#This Row],[Gestation (days)]])),TRUE,FALSE)</f>
        <v>0</v>
      </c>
      <c r="E9438" s="2" t="str">
        <f>IF(Table1[[#This Row],[Is Data Valid]]=TRUE,IF(Table1[[#This Row],[Fetal Sex (Male, Female or Unknown)]]="Male",Backend!$C$6,IF(Table1[[#This Row],[Fetal Sex (Male, Female or Unknown)]]="Female",Backend!$C$7,IF(Table1[[#This Row],[Fetal Sex (Male, Female or Unknown)]]="Unknown",Backend!$C$8,"Error"))),"")</f>
        <v/>
      </c>
      <c r="F9438" s="8" t="str">
        <f>IF(Table1[[#This Row],[Is Data Valid]]=TRUE,EXP(0.578+0.332*((Table1[[#This Row],[Gestation (days)]]+0.5)/7)-0.00354*((Table1[[#This Row],[Gestation (days)]]+0.5)/7)^2)*Table1[[#This Row],[BW40_3705]],"")</f>
        <v/>
      </c>
      <c r="G9438" s="2" t="str">
        <f>IF(Table1[[#This Row],[Is Data Valid]]=TRUE,((Table1[[#This Row],[Birthweight (grams)]]/Table1[[#This Row],[BW_GA]])-1)/(Backend!$B$4/100*Table1[[#This Row],[BW40_3705]]),"")</f>
        <v/>
      </c>
      <c r="H9438" s="7" t="str">
        <f>IF(Table1[[#This Row],[Is Data Valid]]=TRUE,((Table1[[#This Row],[Birthweight (grams)]]*0.9/Table1[[#This Row],[BW_GA]])-1)/(Backend!$B$4/100*Table1[[#This Row],[BW40_3705]]),"")</f>
        <v/>
      </c>
      <c r="I9438" s="7" t="str">
        <f>IF(Table1[[#This Row],[Is Data Valid]]=TRUE,((Table1[[#This Row],[Birthweight (grams)]]*1.1/Table1[[#This Row],[BW_GA]])-1)/(Backend!$B$4/100*Table1[[#This Row],[BW40_3705]]),"")</f>
        <v/>
      </c>
      <c r="J9438" s="7" t="str">
        <f>IF(Table1[[#This Row],[Is Data Valid]]=TRUE,_xlfn.NORM.S.DIST(Table1[[#This Row],[Birthweight Z-Score]],TRUE)*100,"")</f>
        <v/>
      </c>
      <c r="K9438" s="7" t="str">
        <f>IF(Table1[[#This Row],[Is Data Valid]]=TRUE,_xlfn.NORM.S.DIST(Table1[[#This Row],[Birthweight Z-Score (BW-10%)]],TRUE)*100,"")</f>
        <v/>
      </c>
      <c r="L9438" s="7" t="str">
        <f>IF(Table1[[#This Row],[Is Data Valid]]=TRUE,_xlfn.NORM.S.DIST(Table1[[#This Row],[Birthweight Z-Score (BW+10%)]],TRUE)*100,"")</f>
        <v/>
      </c>
    </row>
    <row r="9439" spans="1:12" x14ac:dyDescent="0.35">
      <c r="A9439" s="3"/>
      <c r="B9439" s="2"/>
      <c r="C9439" s="2"/>
      <c r="D9439" s="2" t="b">
        <f>IF(AND(NOT(ISBLANK(Table1[[#This Row],[Fetal Sex (Male, Female or Unknown)]])),ISNUMBER(Table1[[#This Row],[Birthweight (grams)]]),ISNUMBER(Table1[[#This Row],[Gestation (days)]])),TRUE,FALSE)</f>
        <v>0</v>
      </c>
      <c r="E9439" s="2" t="str">
        <f>IF(Table1[[#This Row],[Is Data Valid]]=TRUE,IF(Table1[[#This Row],[Fetal Sex (Male, Female or Unknown)]]="Male",Backend!$C$6,IF(Table1[[#This Row],[Fetal Sex (Male, Female or Unknown)]]="Female",Backend!$C$7,IF(Table1[[#This Row],[Fetal Sex (Male, Female or Unknown)]]="Unknown",Backend!$C$8,"Error"))),"")</f>
        <v/>
      </c>
      <c r="F9439" s="8" t="str">
        <f>IF(Table1[[#This Row],[Is Data Valid]]=TRUE,EXP(0.578+0.332*((Table1[[#This Row],[Gestation (days)]]+0.5)/7)-0.00354*((Table1[[#This Row],[Gestation (days)]]+0.5)/7)^2)*Table1[[#This Row],[BW40_3705]],"")</f>
        <v/>
      </c>
      <c r="G9439" s="2" t="str">
        <f>IF(Table1[[#This Row],[Is Data Valid]]=TRUE,((Table1[[#This Row],[Birthweight (grams)]]/Table1[[#This Row],[BW_GA]])-1)/(Backend!$B$4/100*Table1[[#This Row],[BW40_3705]]),"")</f>
        <v/>
      </c>
      <c r="H9439" s="7" t="str">
        <f>IF(Table1[[#This Row],[Is Data Valid]]=TRUE,((Table1[[#This Row],[Birthweight (grams)]]*0.9/Table1[[#This Row],[BW_GA]])-1)/(Backend!$B$4/100*Table1[[#This Row],[BW40_3705]]),"")</f>
        <v/>
      </c>
      <c r="I9439" s="7" t="str">
        <f>IF(Table1[[#This Row],[Is Data Valid]]=TRUE,((Table1[[#This Row],[Birthweight (grams)]]*1.1/Table1[[#This Row],[BW_GA]])-1)/(Backend!$B$4/100*Table1[[#This Row],[BW40_3705]]),"")</f>
        <v/>
      </c>
      <c r="J9439" s="7" t="str">
        <f>IF(Table1[[#This Row],[Is Data Valid]]=TRUE,_xlfn.NORM.S.DIST(Table1[[#This Row],[Birthweight Z-Score]],TRUE)*100,"")</f>
        <v/>
      </c>
      <c r="K9439" s="7" t="str">
        <f>IF(Table1[[#This Row],[Is Data Valid]]=TRUE,_xlfn.NORM.S.DIST(Table1[[#This Row],[Birthweight Z-Score (BW-10%)]],TRUE)*100,"")</f>
        <v/>
      </c>
      <c r="L9439" s="7" t="str">
        <f>IF(Table1[[#This Row],[Is Data Valid]]=TRUE,_xlfn.NORM.S.DIST(Table1[[#This Row],[Birthweight Z-Score (BW+10%)]],TRUE)*100,"")</f>
        <v/>
      </c>
    </row>
    <row r="9440" spans="1:12" x14ac:dyDescent="0.35">
      <c r="A9440" s="3"/>
      <c r="B9440" s="2"/>
      <c r="C9440" s="2"/>
      <c r="D9440" s="2" t="b">
        <f>IF(AND(NOT(ISBLANK(Table1[[#This Row],[Fetal Sex (Male, Female or Unknown)]])),ISNUMBER(Table1[[#This Row],[Birthweight (grams)]]),ISNUMBER(Table1[[#This Row],[Gestation (days)]])),TRUE,FALSE)</f>
        <v>0</v>
      </c>
      <c r="E9440" s="2" t="str">
        <f>IF(Table1[[#This Row],[Is Data Valid]]=TRUE,IF(Table1[[#This Row],[Fetal Sex (Male, Female or Unknown)]]="Male",Backend!$C$6,IF(Table1[[#This Row],[Fetal Sex (Male, Female or Unknown)]]="Female",Backend!$C$7,IF(Table1[[#This Row],[Fetal Sex (Male, Female or Unknown)]]="Unknown",Backend!$C$8,"Error"))),"")</f>
        <v/>
      </c>
      <c r="F9440" s="8" t="str">
        <f>IF(Table1[[#This Row],[Is Data Valid]]=TRUE,EXP(0.578+0.332*((Table1[[#This Row],[Gestation (days)]]+0.5)/7)-0.00354*((Table1[[#This Row],[Gestation (days)]]+0.5)/7)^2)*Table1[[#This Row],[BW40_3705]],"")</f>
        <v/>
      </c>
      <c r="G9440" s="2" t="str">
        <f>IF(Table1[[#This Row],[Is Data Valid]]=TRUE,((Table1[[#This Row],[Birthweight (grams)]]/Table1[[#This Row],[BW_GA]])-1)/(Backend!$B$4/100*Table1[[#This Row],[BW40_3705]]),"")</f>
        <v/>
      </c>
      <c r="H9440" s="7" t="str">
        <f>IF(Table1[[#This Row],[Is Data Valid]]=TRUE,((Table1[[#This Row],[Birthweight (grams)]]*0.9/Table1[[#This Row],[BW_GA]])-1)/(Backend!$B$4/100*Table1[[#This Row],[BW40_3705]]),"")</f>
        <v/>
      </c>
      <c r="I9440" s="7" t="str">
        <f>IF(Table1[[#This Row],[Is Data Valid]]=TRUE,((Table1[[#This Row],[Birthweight (grams)]]*1.1/Table1[[#This Row],[BW_GA]])-1)/(Backend!$B$4/100*Table1[[#This Row],[BW40_3705]]),"")</f>
        <v/>
      </c>
      <c r="J9440" s="7" t="str">
        <f>IF(Table1[[#This Row],[Is Data Valid]]=TRUE,_xlfn.NORM.S.DIST(Table1[[#This Row],[Birthweight Z-Score]],TRUE)*100,"")</f>
        <v/>
      </c>
      <c r="K9440" s="7" t="str">
        <f>IF(Table1[[#This Row],[Is Data Valid]]=TRUE,_xlfn.NORM.S.DIST(Table1[[#This Row],[Birthweight Z-Score (BW-10%)]],TRUE)*100,"")</f>
        <v/>
      </c>
      <c r="L9440" s="7" t="str">
        <f>IF(Table1[[#This Row],[Is Data Valid]]=TRUE,_xlfn.NORM.S.DIST(Table1[[#This Row],[Birthweight Z-Score (BW+10%)]],TRUE)*100,"")</f>
        <v/>
      </c>
    </row>
    <row r="9441" spans="1:12" x14ac:dyDescent="0.35">
      <c r="A9441" s="3"/>
      <c r="B9441" s="2"/>
      <c r="C9441" s="2"/>
      <c r="D9441" s="2" t="b">
        <f>IF(AND(NOT(ISBLANK(Table1[[#This Row],[Fetal Sex (Male, Female or Unknown)]])),ISNUMBER(Table1[[#This Row],[Birthweight (grams)]]),ISNUMBER(Table1[[#This Row],[Gestation (days)]])),TRUE,FALSE)</f>
        <v>0</v>
      </c>
      <c r="E9441" s="2" t="str">
        <f>IF(Table1[[#This Row],[Is Data Valid]]=TRUE,IF(Table1[[#This Row],[Fetal Sex (Male, Female or Unknown)]]="Male",Backend!$C$6,IF(Table1[[#This Row],[Fetal Sex (Male, Female or Unknown)]]="Female",Backend!$C$7,IF(Table1[[#This Row],[Fetal Sex (Male, Female or Unknown)]]="Unknown",Backend!$C$8,"Error"))),"")</f>
        <v/>
      </c>
      <c r="F9441" s="8" t="str">
        <f>IF(Table1[[#This Row],[Is Data Valid]]=TRUE,EXP(0.578+0.332*((Table1[[#This Row],[Gestation (days)]]+0.5)/7)-0.00354*((Table1[[#This Row],[Gestation (days)]]+0.5)/7)^2)*Table1[[#This Row],[BW40_3705]],"")</f>
        <v/>
      </c>
      <c r="G9441" s="2" t="str">
        <f>IF(Table1[[#This Row],[Is Data Valid]]=TRUE,((Table1[[#This Row],[Birthweight (grams)]]/Table1[[#This Row],[BW_GA]])-1)/(Backend!$B$4/100*Table1[[#This Row],[BW40_3705]]),"")</f>
        <v/>
      </c>
      <c r="H9441" s="7" t="str">
        <f>IF(Table1[[#This Row],[Is Data Valid]]=TRUE,((Table1[[#This Row],[Birthweight (grams)]]*0.9/Table1[[#This Row],[BW_GA]])-1)/(Backend!$B$4/100*Table1[[#This Row],[BW40_3705]]),"")</f>
        <v/>
      </c>
      <c r="I9441" s="7" t="str">
        <f>IF(Table1[[#This Row],[Is Data Valid]]=TRUE,((Table1[[#This Row],[Birthweight (grams)]]*1.1/Table1[[#This Row],[BW_GA]])-1)/(Backend!$B$4/100*Table1[[#This Row],[BW40_3705]]),"")</f>
        <v/>
      </c>
      <c r="J9441" s="7" t="str">
        <f>IF(Table1[[#This Row],[Is Data Valid]]=TRUE,_xlfn.NORM.S.DIST(Table1[[#This Row],[Birthweight Z-Score]],TRUE)*100,"")</f>
        <v/>
      </c>
      <c r="K9441" s="7" t="str">
        <f>IF(Table1[[#This Row],[Is Data Valid]]=TRUE,_xlfn.NORM.S.DIST(Table1[[#This Row],[Birthweight Z-Score (BW-10%)]],TRUE)*100,"")</f>
        <v/>
      </c>
      <c r="L9441" s="7" t="str">
        <f>IF(Table1[[#This Row],[Is Data Valid]]=TRUE,_xlfn.NORM.S.DIST(Table1[[#This Row],[Birthweight Z-Score (BW+10%)]],TRUE)*100,"")</f>
        <v/>
      </c>
    </row>
    <row r="9442" spans="1:12" x14ac:dyDescent="0.35">
      <c r="A9442" s="3"/>
      <c r="B9442" s="2"/>
      <c r="C9442" s="2"/>
      <c r="D9442" s="2" t="b">
        <f>IF(AND(NOT(ISBLANK(Table1[[#This Row],[Fetal Sex (Male, Female or Unknown)]])),ISNUMBER(Table1[[#This Row],[Birthweight (grams)]]),ISNUMBER(Table1[[#This Row],[Gestation (days)]])),TRUE,FALSE)</f>
        <v>0</v>
      </c>
      <c r="E9442" s="2" t="str">
        <f>IF(Table1[[#This Row],[Is Data Valid]]=TRUE,IF(Table1[[#This Row],[Fetal Sex (Male, Female or Unknown)]]="Male",Backend!$C$6,IF(Table1[[#This Row],[Fetal Sex (Male, Female or Unknown)]]="Female",Backend!$C$7,IF(Table1[[#This Row],[Fetal Sex (Male, Female or Unknown)]]="Unknown",Backend!$C$8,"Error"))),"")</f>
        <v/>
      </c>
      <c r="F9442" s="8" t="str">
        <f>IF(Table1[[#This Row],[Is Data Valid]]=TRUE,EXP(0.578+0.332*((Table1[[#This Row],[Gestation (days)]]+0.5)/7)-0.00354*((Table1[[#This Row],[Gestation (days)]]+0.5)/7)^2)*Table1[[#This Row],[BW40_3705]],"")</f>
        <v/>
      </c>
      <c r="G9442" s="2" t="str">
        <f>IF(Table1[[#This Row],[Is Data Valid]]=TRUE,((Table1[[#This Row],[Birthweight (grams)]]/Table1[[#This Row],[BW_GA]])-1)/(Backend!$B$4/100*Table1[[#This Row],[BW40_3705]]),"")</f>
        <v/>
      </c>
      <c r="H9442" s="7" t="str">
        <f>IF(Table1[[#This Row],[Is Data Valid]]=TRUE,((Table1[[#This Row],[Birthweight (grams)]]*0.9/Table1[[#This Row],[BW_GA]])-1)/(Backend!$B$4/100*Table1[[#This Row],[BW40_3705]]),"")</f>
        <v/>
      </c>
      <c r="I9442" s="7" t="str">
        <f>IF(Table1[[#This Row],[Is Data Valid]]=TRUE,((Table1[[#This Row],[Birthweight (grams)]]*1.1/Table1[[#This Row],[BW_GA]])-1)/(Backend!$B$4/100*Table1[[#This Row],[BW40_3705]]),"")</f>
        <v/>
      </c>
      <c r="J9442" s="7" t="str">
        <f>IF(Table1[[#This Row],[Is Data Valid]]=TRUE,_xlfn.NORM.S.DIST(Table1[[#This Row],[Birthweight Z-Score]],TRUE)*100,"")</f>
        <v/>
      </c>
      <c r="K9442" s="7" t="str">
        <f>IF(Table1[[#This Row],[Is Data Valid]]=TRUE,_xlfn.NORM.S.DIST(Table1[[#This Row],[Birthweight Z-Score (BW-10%)]],TRUE)*100,"")</f>
        <v/>
      </c>
      <c r="L9442" s="7" t="str">
        <f>IF(Table1[[#This Row],[Is Data Valid]]=TRUE,_xlfn.NORM.S.DIST(Table1[[#This Row],[Birthweight Z-Score (BW+10%)]],TRUE)*100,"")</f>
        <v/>
      </c>
    </row>
    <row r="9443" spans="1:12" x14ac:dyDescent="0.35">
      <c r="A9443" s="3"/>
      <c r="B9443" s="2"/>
      <c r="C9443" s="2"/>
      <c r="D9443" s="2" t="b">
        <f>IF(AND(NOT(ISBLANK(Table1[[#This Row],[Fetal Sex (Male, Female or Unknown)]])),ISNUMBER(Table1[[#This Row],[Birthweight (grams)]]),ISNUMBER(Table1[[#This Row],[Gestation (days)]])),TRUE,FALSE)</f>
        <v>0</v>
      </c>
      <c r="E9443" s="2" t="str">
        <f>IF(Table1[[#This Row],[Is Data Valid]]=TRUE,IF(Table1[[#This Row],[Fetal Sex (Male, Female or Unknown)]]="Male",Backend!$C$6,IF(Table1[[#This Row],[Fetal Sex (Male, Female or Unknown)]]="Female",Backend!$C$7,IF(Table1[[#This Row],[Fetal Sex (Male, Female or Unknown)]]="Unknown",Backend!$C$8,"Error"))),"")</f>
        <v/>
      </c>
      <c r="F9443" s="8" t="str">
        <f>IF(Table1[[#This Row],[Is Data Valid]]=TRUE,EXP(0.578+0.332*((Table1[[#This Row],[Gestation (days)]]+0.5)/7)-0.00354*((Table1[[#This Row],[Gestation (days)]]+0.5)/7)^2)*Table1[[#This Row],[BW40_3705]],"")</f>
        <v/>
      </c>
      <c r="G9443" s="2" t="str">
        <f>IF(Table1[[#This Row],[Is Data Valid]]=TRUE,((Table1[[#This Row],[Birthweight (grams)]]/Table1[[#This Row],[BW_GA]])-1)/(Backend!$B$4/100*Table1[[#This Row],[BW40_3705]]),"")</f>
        <v/>
      </c>
      <c r="H9443" s="7" t="str">
        <f>IF(Table1[[#This Row],[Is Data Valid]]=TRUE,((Table1[[#This Row],[Birthweight (grams)]]*0.9/Table1[[#This Row],[BW_GA]])-1)/(Backend!$B$4/100*Table1[[#This Row],[BW40_3705]]),"")</f>
        <v/>
      </c>
      <c r="I9443" s="7" t="str">
        <f>IF(Table1[[#This Row],[Is Data Valid]]=TRUE,((Table1[[#This Row],[Birthweight (grams)]]*1.1/Table1[[#This Row],[BW_GA]])-1)/(Backend!$B$4/100*Table1[[#This Row],[BW40_3705]]),"")</f>
        <v/>
      </c>
      <c r="J9443" s="7" t="str">
        <f>IF(Table1[[#This Row],[Is Data Valid]]=TRUE,_xlfn.NORM.S.DIST(Table1[[#This Row],[Birthweight Z-Score]],TRUE)*100,"")</f>
        <v/>
      </c>
      <c r="K9443" s="7" t="str">
        <f>IF(Table1[[#This Row],[Is Data Valid]]=TRUE,_xlfn.NORM.S.DIST(Table1[[#This Row],[Birthweight Z-Score (BW-10%)]],TRUE)*100,"")</f>
        <v/>
      </c>
      <c r="L9443" s="7" t="str">
        <f>IF(Table1[[#This Row],[Is Data Valid]]=TRUE,_xlfn.NORM.S.DIST(Table1[[#This Row],[Birthweight Z-Score (BW+10%)]],TRUE)*100,"")</f>
        <v/>
      </c>
    </row>
    <row r="9444" spans="1:12" x14ac:dyDescent="0.35">
      <c r="A9444" s="3"/>
      <c r="B9444" s="2"/>
      <c r="C9444" s="2"/>
      <c r="D9444" s="2" t="b">
        <f>IF(AND(NOT(ISBLANK(Table1[[#This Row],[Fetal Sex (Male, Female or Unknown)]])),ISNUMBER(Table1[[#This Row],[Birthweight (grams)]]),ISNUMBER(Table1[[#This Row],[Gestation (days)]])),TRUE,FALSE)</f>
        <v>0</v>
      </c>
      <c r="E9444" s="2" t="str">
        <f>IF(Table1[[#This Row],[Is Data Valid]]=TRUE,IF(Table1[[#This Row],[Fetal Sex (Male, Female or Unknown)]]="Male",Backend!$C$6,IF(Table1[[#This Row],[Fetal Sex (Male, Female or Unknown)]]="Female",Backend!$C$7,IF(Table1[[#This Row],[Fetal Sex (Male, Female or Unknown)]]="Unknown",Backend!$C$8,"Error"))),"")</f>
        <v/>
      </c>
      <c r="F9444" s="8" t="str">
        <f>IF(Table1[[#This Row],[Is Data Valid]]=TRUE,EXP(0.578+0.332*((Table1[[#This Row],[Gestation (days)]]+0.5)/7)-0.00354*((Table1[[#This Row],[Gestation (days)]]+0.5)/7)^2)*Table1[[#This Row],[BW40_3705]],"")</f>
        <v/>
      </c>
      <c r="G9444" s="2" t="str">
        <f>IF(Table1[[#This Row],[Is Data Valid]]=TRUE,((Table1[[#This Row],[Birthweight (grams)]]/Table1[[#This Row],[BW_GA]])-1)/(Backend!$B$4/100*Table1[[#This Row],[BW40_3705]]),"")</f>
        <v/>
      </c>
      <c r="H9444" s="7" t="str">
        <f>IF(Table1[[#This Row],[Is Data Valid]]=TRUE,((Table1[[#This Row],[Birthweight (grams)]]*0.9/Table1[[#This Row],[BW_GA]])-1)/(Backend!$B$4/100*Table1[[#This Row],[BW40_3705]]),"")</f>
        <v/>
      </c>
      <c r="I9444" s="7" t="str">
        <f>IF(Table1[[#This Row],[Is Data Valid]]=TRUE,((Table1[[#This Row],[Birthweight (grams)]]*1.1/Table1[[#This Row],[BW_GA]])-1)/(Backend!$B$4/100*Table1[[#This Row],[BW40_3705]]),"")</f>
        <v/>
      </c>
      <c r="J9444" s="7" t="str">
        <f>IF(Table1[[#This Row],[Is Data Valid]]=TRUE,_xlfn.NORM.S.DIST(Table1[[#This Row],[Birthweight Z-Score]],TRUE)*100,"")</f>
        <v/>
      </c>
      <c r="K9444" s="7" t="str">
        <f>IF(Table1[[#This Row],[Is Data Valid]]=TRUE,_xlfn.NORM.S.DIST(Table1[[#This Row],[Birthweight Z-Score (BW-10%)]],TRUE)*100,"")</f>
        <v/>
      </c>
      <c r="L9444" s="7" t="str">
        <f>IF(Table1[[#This Row],[Is Data Valid]]=TRUE,_xlfn.NORM.S.DIST(Table1[[#This Row],[Birthweight Z-Score (BW+10%)]],TRUE)*100,"")</f>
        <v/>
      </c>
    </row>
    <row r="9445" spans="1:12" x14ac:dyDescent="0.35">
      <c r="A9445" s="3"/>
      <c r="B9445" s="2"/>
      <c r="C9445" s="2"/>
      <c r="D9445" s="2" t="b">
        <f>IF(AND(NOT(ISBLANK(Table1[[#This Row],[Fetal Sex (Male, Female or Unknown)]])),ISNUMBER(Table1[[#This Row],[Birthweight (grams)]]),ISNUMBER(Table1[[#This Row],[Gestation (days)]])),TRUE,FALSE)</f>
        <v>0</v>
      </c>
      <c r="E9445" s="2" t="str">
        <f>IF(Table1[[#This Row],[Is Data Valid]]=TRUE,IF(Table1[[#This Row],[Fetal Sex (Male, Female or Unknown)]]="Male",Backend!$C$6,IF(Table1[[#This Row],[Fetal Sex (Male, Female or Unknown)]]="Female",Backend!$C$7,IF(Table1[[#This Row],[Fetal Sex (Male, Female or Unknown)]]="Unknown",Backend!$C$8,"Error"))),"")</f>
        <v/>
      </c>
      <c r="F9445" s="8" t="str">
        <f>IF(Table1[[#This Row],[Is Data Valid]]=TRUE,EXP(0.578+0.332*((Table1[[#This Row],[Gestation (days)]]+0.5)/7)-0.00354*((Table1[[#This Row],[Gestation (days)]]+0.5)/7)^2)*Table1[[#This Row],[BW40_3705]],"")</f>
        <v/>
      </c>
      <c r="G9445" s="2" t="str">
        <f>IF(Table1[[#This Row],[Is Data Valid]]=TRUE,((Table1[[#This Row],[Birthweight (grams)]]/Table1[[#This Row],[BW_GA]])-1)/(Backend!$B$4/100*Table1[[#This Row],[BW40_3705]]),"")</f>
        <v/>
      </c>
      <c r="H9445" s="7" t="str">
        <f>IF(Table1[[#This Row],[Is Data Valid]]=TRUE,((Table1[[#This Row],[Birthweight (grams)]]*0.9/Table1[[#This Row],[BW_GA]])-1)/(Backend!$B$4/100*Table1[[#This Row],[BW40_3705]]),"")</f>
        <v/>
      </c>
      <c r="I9445" s="7" t="str">
        <f>IF(Table1[[#This Row],[Is Data Valid]]=TRUE,((Table1[[#This Row],[Birthweight (grams)]]*1.1/Table1[[#This Row],[BW_GA]])-1)/(Backend!$B$4/100*Table1[[#This Row],[BW40_3705]]),"")</f>
        <v/>
      </c>
      <c r="J9445" s="7" t="str">
        <f>IF(Table1[[#This Row],[Is Data Valid]]=TRUE,_xlfn.NORM.S.DIST(Table1[[#This Row],[Birthweight Z-Score]],TRUE)*100,"")</f>
        <v/>
      </c>
      <c r="K9445" s="7" t="str">
        <f>IF(Table1[[#This Row],[Is Data Valid]]=TRUE,_xlfn.NORM.S.DIST(Table1[[#This Row],[Birthweight Z-Score (BW-10%)]],TRUE)*100,"")</f>
        <v/>
      </c>
      <c r="L9445" s="7" t="str">
        <f>IF(Table1[[#This Row],[Is Data Valid]]=TRUE,_xlfn.NORM.S.DIST(Table1[[#This Row],[Birthweight Z-Score (BW+10%)]],TRUE)*100,"")</f>
        <v/>
      </c>
    </row>
    <row r="9446" spans="1:12" x14ac:dyDescent="0.35">
      <c r="A9446" s="3"/>
      <c r="B9446" s="2"/>
      <c r="C9446" s="2"/>
      <c r="D9446" s="2" t="b">
        <f>IF(AND(NOT(ISBLANK(Table1[[#This Row],[Fetal Sex (Male, Female or Unknown)]])),ISNUMBER(Table1[[#This Row],[Birthweight (grams)]]),ISNUMBER(Table1[[#This Row],[Gestation (days)]])),TRUE,FALSE)</f>
        <v>0</v>
      </c>
      <c r="E9446" s="2" t="str">
        <f>IF(Table1[[#This Row],[Is Data Valid]]=TRUE,IF(Table1[[#This Row],[Fetal Sex (Male, Female or Unknown)]]="Male",Backend!$C$6,IF(Table1[[#This Row],[Fetal Sex (Male, Female or Unknown)]]="Female",Backend!$C$7,IF(Table1[[#This Row],[Fetal Sex (Male, Female or Unknown)]]="Unknown",Backend!$C$8,"Error"))),"")</f>
        <v/>
      </c>
      <c r="F9446" s="8" t="str">
        <f>IF(Table1[[#This Row],[Is Data Valid]]=TRUE,EXP(0.578+0.332*((Table1[[#This Row],[Gestation (days)]]+0.5)/7)-0.00354*((Table1[[#This Row],[Gestation (days)]]+0.5)/7)^2)*Table1[[#This Row],[BW40_3705]],"")</f>
        <v/>
      </c>
      <c r="G9446" s="2" t="str">
        <f>IF(Table1[[#This Row],[Is Data Valid]]=TRUE,((Table1[[#This Row],[Birthweight (grams)]]/Table1[[#This Row],[BW_GA]])-1)/(Backend!$B$4/100*Table1[[#This Row],[BW40_3705]]),"")</f>
        <v/>
      </c>
      <c r="H9446" s="7" t="str">
        <f>IF(Table1[[#This Row],[Is Data Valid]]=TRUE,((Table1[[#This Row],[Birthweight (grams)]]*0.9/Table1[[#This Row],[BW_GA]])-1)/(Backend!$B$4/100*Table1[[#This Row],[BW40_3705]]),"")</f>
        <v/>
      </c>
      <c r="I9446" s="7" t="str">
        <f>IF(Table1[[#This Row],[Is Data Valid]]=TRUE,((Table1[[#This Row],[Birthweight (grams)]]*1.1/Table1[[#This Row],[BW_GA]])-1)/(Backend!$B$4/100*Table1[[#This Row],[BW40_3705]]),"")</f>
        <v/>
      </c>
      <c r="J9446" s="7" t="str">
        <f>IF(Table1[[#This Row],[Is Data Valid]]=TRUE,_xlfn.NORM.S.DIST(Table1[[#This Row],[Birthweight Z-Score]],TRUE)*100,"")</f>
        <v/>
      </c>
      <c r="K9446" s="7" t="str">
        <f>IF(Table1[[#This Row],[Is Data Valid]]=TRUE,_xlfn.NORM.S.DIST(Table1[[#This Row],[Birthweight Z-Score (BW-10%)]],TRUE)*100,"")</f>
        <v/>
      </c>
      <c r="L9446" s="7" t="str">
        <f>IF(Table1[[#This Row],[Is Data Valid]]=TRUE,_xlfn.NORM.S.DIST(Table1[[#This Row],[Birthweight Z-Score (BW+10%)]],TRUE)*100,"")</f>
        <v/>
      </c>
    </row>
    <row r="9447" spans="1:12" x14ac:dyDescent="0.35">
      <c r="A9447" s="3"/>
      <c r="B9447" s="2"/>
      <c r="C9447" s="2"/>
      <c r="D9447" s="2" t="b">
        <f>IF(AND(NOT(ISBLANK(Table1[[#This Row],[Fetal Sex (Male, Female or Unknown)]])),ISNUMBER(Table1[[#This Row],[Birthweight (grams)]]),ISNUMBER(Table1[[#This Row],[Gestation (days)]])),TRUE,FALSE)</f>
        <v>0</v>
      </c>
      <c r="E9447" s="2" t="str">
        <f>IF(Table1[[#This Row],[Is Data Valid]]=TRUE,IF(Table1[[#This Row],[Fetal Sex (Male, Female or Unknown)]]="Male",Backend!$C$6,IF(Table1[[#This Row],[Fetal Sex (Male, Female or Unknown)]]="Female",Backend!$C$7,IF(Table1[[#This Row],[Fetal Sex (Male, Female or Unknown)]]="Unknown",Backend!$C$8,"Error"))),"")</f>
        <v/>
      </c>
      <c r="F9447" s="8" t="str">
        <f>IF(Table1[[#This Row],[Is Data Valid]]=TRUE,EXP(0.578+0.332*((Table1[[#This Row],[Gestation (days)]]+0.5)/7)-0.00354*((Table1[[#This Row],[Gestation (days)]]+0.5)/7)^2)*Table1[[#This Row],[BW40_3705]],"")</f>
        <v/>
      </c>
      <c r="G9447" s="2" t="str">
        <f>IF(Table1[[#This Row],[Is Data Valid]]=TRUE,((Table1[[#This Row],[Birthweight (grams)]]/Table1[[#This Row],[BW_GA]])-1)/(Backend!$B$4/100*Table1[[#This Row],[BW40_3705]]),"")</f>
        <v/>
      </c>
      <c r="H9447" s="7" t="str">
        <f>IF(Table1[[#This Row],[Is Data Valid]]=TRUE,((Table1[[#This Row],[Birthweight (grams)]]*0.9/Table1[[#This Row],[BW_GA]])-1)/(Backend!$B$4/100*Table1[[#This Row],[BW40_3705]]),"")</f>
        <v/>
      </c>
      <c r="I9447" s="7" t="str">
        <f>IF(Table1[[#This Row],[Is Data Valid]]=TRUE,((Table1[[#This Row],[Birthweight (grams)]]*1.1/Table1[[#This Row],[BW_GA]])-1)/(Backend!$B$4/100*Table1[[#This Row],[BW40_3705]]),"")</f>
        <v/>
      </c>
      <c r="J9447" s="7" t="str">
        <f>IF(Table1[[#This Row],[Is Data Valid]]=TRUE,_xlfn.NORM.S.DIST(Table1[[#This Row],[Birthweight Z-Score]],TRUE)*100,"")</f>
        <v/>
      </c>
      <c r="K9447" s="7" t="str">
        <f>IF(Table1[[#This Row],[Is Data Valid]]=TRUE,_xlfn.NORM.S.DIST(Table1[[#This Row],[Birthweight Z-Score (BW-10%)]],TRUE)*100,"")</f>
        <v/>
      </c>
      <c r="L9447" s="7" t="str">
        <f>IF(Table1[[#This Row],[Is Data Valid]]=TRUE,_xlfn.NORM.S.DIST(Table1[[#This Row],[Birthweight Z-Score (BW+10%)]],TRUE)*100,"")</f>
        <v/>
      </c>
    </row>
    <row r="9448" spans="1:12" x14ac:dyDescent="0.35">
      <c r="A9448" s="3"/>
      <c r="B9448" s="2"/>
      <c r="C9448" s="2"/>
      <c r="D9448" s="2" t="b">
        <f>IF(AND(NOT(ISBLANK(Table1[[#This Row],[Fetal Sex (Male, Female or Unknown)]])),ISNUMBER(Table1[[#This Row],[Birthweight (grams)]]),ISNUMBER(Table1[[#This Row],[Gestation (days)]])),TRUE,FALSE)</f>
        <v>0</v>
      </c>
      <c r="E9448" s="2" t="str">
        <f>IF(Table1[[#This Row],[Is Data Valid]]=TRUE,IF(Table1[[#This Row],[Fetal Sex (Male, Female or Unknown)]]="Male",Backend!$C$6,IF(Table1[[#This Row],[Fetal Sex (Male, Female or Unknown)]]="Female",Backend!$C$7,IF(Table1[[#This Row],[Fetal Sex (Male, Female or Unknown)]]="Unknown",Backend!$C$8,"Error"))),"")</f>
        <v/>
      </c>
      <c r="F9448" s="8" t="str">
        <f>IF(Table1[[#This Row],[Is Data Valid]]=TRUE,EXP(0.578+0.332*((Table1[[#This Row],[Gestation (days)]]+0.5)/7)-0.00354*((Table1[[#This Row],[Gestation (days)]]+0.5)/7)^2)*Table1[[#This Row],[BW40_3705]],"")</f>
        <v/>
      </c>
      <c r="G9448" s="2" t="str">
        <f>IF(Table1[[#This Row],[Is Data Valid]]=TRUE,((Table1[[#This Row],[Birthweight (grams)]]/Table1[[#This Row],[BW_GA]])-1)/(Backend!$B$4/100*Table1[[#This Row],[BW40_3705]]),"")</f>
        <v/>
      </c>
      <c r="H9448" s="7" t="str">
        <f>IF(Table1[[#This Row],[Is Data Valid]]=TRUE,((Table1[[#This Row],[Birthweight (grams)]]*0.9/Table1[[#This Row],[BW_GA]])-1)/(Backend!$B$4/100*Table1[[#This Row],[BW40_3705]]),"")</f>
        <v/>
      </c>
      <c r="I9448" s="7" t="str">
        <f>IF(Table1[[#This Row],[Is Data Valid]]=TRUE,((Table1[[#This Row],[Birthweight (grams)]]*1.1/Table1[[#This Row],[BW_GA]])-1)/(Backend!$B$4/100*Table1[[#This Row],[BW40_3705]]),"")</f>
        <v/>
      </c>
      <c r="J9448" s="7" t="str">
        <f>IF(Table1[[#This Row],[Is Data Valid]]=TRUE,_xlfn.NORM.S.DIST(Table1[[#This Row],[Birthweight Z-Score]],TRUE)*100,"")</f>
        <v/>
      </c>
      <c r="K9448" s="7" t="str">
        <f>IF(Table1[[#This Row],[Is Data Valid]]=TRUE,_xlfn.NORM.S.DIST(Table1[[#This Row],[Birthweight Z-Score (BW-10%)]],TRUE)*100,"")</f>
        <v/>
      </c>
      <c r="L9448" s="7" t="str">
        <f>IF(Table1[[#This Row],[Is Data Valid]]=TRUE,_xlfn.NORM.S.DIST(Table1[[#This Row],[Birthweight Z-Score (BW+10%)]],TRUE)*100,"")</f>
        <v/>
      </c>
    </row>
    <row r="9449" spans="1:12" x14ac:dyDescent="0.35">
      <c r="A9449" s="3"/>
      <c r="B9449" s="2"/>
      <c r="C9449" s="2"/>
      <c r="D9449" s="2" t="b">
        <f>IF(AND(NOT(ISBLANK(Table1[[#This Row],[Fetal Sex (Male, Female or Unknown)]])),ISNUMBER(Table1[[#This Row],[Birthweight (grams)]]),ISNUMBER(Table1[[#This Row],[Gestation (days)]])),TRUE,FALSE)</f>
        <v>0</v>
      </c>
      <c r="E9449" s="2" t="str">
        <f>IF(Table1[[#This Row],[Is Data Valid]]=TRUE,IF(Table1[[#This Row],[Fetal Sex (Male, Female or Unknown)]]="Male",Backend!$C$6,IF(Table1[[#This Row],[Fetal Sex (Male, Female or Unknown)]]="Female",Backend!$C$7,IF(Table1[[#This Row],[Fetal Sex (Male, Female or Unknown)]]="Unknown",Backend!$C$8,"Error"))),"")</f>
        <v/>
      </c>
      <c r="F9449" s="8" t="str">
        <f>IF(Table1[[#This Row],[Is Data Valid]]=TRUE,EXP(0.578+0.332*((Table1[[#This Row],[Gestation (days)]]+0.5)/7)-0.00354*((Table1[[#This Row],[Gestation (days)]]+0.5)/7)^2)*Table1[[#This Row],[BW40_3705]],"")</f>
        <v/>
      </c>
      <c r="G9449" s="2" t="str">
        <f>IF(Table1[[#This Row],[Is Data Valid]]=TRUE,((Table1[[#This Row],[Birthweight (grams)]]/Table1[[#This Row],[BW_GA]])-1)/(Backend!$B$4/100*Table1[[#This Row],[BW40_3705]]),"")</f>
        <v/>
      </c>
      <c r="H9449" s="7" t="str">
        <f>IF(Table1[[#This Row],[Is Data Valid]]=TRUE,((Table1[[#This Row],[Birthweight (grams)]]*0.9/Table1[[#This Row],[BW_GA]])-1)/(Backend!$B$4/100*Table1[[#This Row],[BW40_3705]]),"")</f>
        <v/>
      </c>
      <c r="I9449" s="7" t="str">
        <f>IF(Table1[[#This Row],[Is Data Valid]]=TRUE,((Table1[[#This Row],[Birthweight (grams)]]*1.1/Table1[[#This Row],[BW_GA]])-1)/(Backend!$B$4/100*Table1[[#This Row],[BW40_3705]]),"")</f>
        <v/>
      </c>
      <c r="J9449" s="7" t="str">
        <f>IF(Table1[[#This Row],[Is Data Valid]]=TRUE,_xlfn.NORM.S.DIST(Table1[[#This Row],[Birthweight Z-Score]],TRUE)*100,"")</f>
        <v/>
      </c>
      <c r="K9449" s="7" t="str">
        <f>IF(Table1[[#This Row],[Is Data Valid]]=TRUE,_xlfn.NORM.S.DIST(Table1[[#This Row],[Birthweight Z-Score (BW-10%)]],TRUE)*100,"")</f>
        <v/>
      </c>
      <c r="L9449" s="7" t="str">
        <f>IF(Table1[[#This Row],[Is Data Valid]]=TRUE,_xlfn.NORM.S.DIST(Table1[[#This Row],[Birthweight Z-Score (BW+10%)]],TRUE)*100,"")</f>
        <v/>
      </c>
    </row>
    <row r="9450" spans="1:12" x14ac:dyDescent="0.35">
      <c r="A9450" s="3"/>
      <c r="B9450" s="2"/>
      <c r="C9450" s="2"/>
      <c r="D9450" s="2" t="b">
        <f>IF(AND(NOT(ISBLANK(Table1[[#This Row],[Fetal Sex (Male, Female or Unknown)]])),ISNUMBER(Table1[[#This Row],[Birthweight (grams)]]),ISNUMBER(Table1[[#This Row],[Gestation (days)]])),TRUE,FALSE)</f>
        <v>0</v>
      </c>
      <c r="E9450" s="2" t="str">
        <f>IF(Table1[[#This Row],[Is Data Valid]]=TRUE,IF(Table1[[#This Row],[Fetal Sex (Male, Female or Unknown)]]="Male",Backend!$C$6,IF(Table1[[#This Row],[Fetal Sex (Male, Female or Unknown)]]="Female",Backend!$C$7,IF(Table1[[#This Row],[Fetal Sex (Male, Female or Unknown)]]="Unknown",Backend!$C$8,"Error"))),"")</f>
        <v/>
      </c>
      <c r="F9450" s="8" t="str">
        <f>IF(Table1[[#This Row],[Is Data Valid]]=TRUE,EXP(0.578+0.332*((Table1[[#This Row],[Gestation (days)]]+0.5)/7)-0.00354*((Table1[[#This Row],[Gestation (days)]]+0.5)/7)^2)*Table1[[#This Row],[BW40_3705]],"")</f>
        <v/>
      </c>
      <c r="G9450" s="2" t="str">
        <f>IF(Table1[[#This Row],[Is Data Valid]]=TRUE,((Table1[[#This Row],[Birthweight (grams)]]/Table1[[#This Row],[BW_GA]])-1)/(Backend!$B$4/100*Table1[[#This Row],[BW40_3705]]),"")</f>
        <v/>
      </c>
      <c r="H9450" s="7" t="str">
        <f>IF(Table1[[#This Row],[Is Data Valid]]=TRUE,((Table1[[#This Row],[Birthweight (grams)]]*0.9/Table1[[#This Row],[BW_GA]])-1)/(Backend!$B$4/100*Table1[[#This Row],[BW40_3705]]),"")</f>
        <v/>
      </c>
      <c r="I9450" s="7" t="str">
        <f>IF(Table1[[#This Row],[Is Data Valid]]=TRUE,((Table1[[#This Row],[Birthweight (grams)]]*1.1/Table1[[#This Row],[BW_GA]])-1)/(Backend!$B$4/100*Table1[[#This Row],[BW40_3705]]),"")</f>
        <v/>
      </c>
      <c r="J9450" s="7" t="str">
        <f>IF(Table1[[#This Row],[Is Data Valid]]=TRUE,_xlfn.NORM.S.DIST(Table1[[#This Row],[Birthweight Z-Score]],TRUE)*100,"")</f>
        <v/>
      </c>
      <c r="K9450" s="7" t="str">
        <f>IF(Table1[[#This Row],[Is Data Valid]]=TRUE,_xlfn.NORM.S.DIST(Table1[[#This Row],[Birthweight Z-Score (BW-10%)]],TRUE)*100,"")</f>
        <v/>
      </c>
      <c r="L9450" s="7" t="str">
        <f>IF(Table1[[#This Row],[Is Data Valid]]=TRUE,_xlfn.NORM.S.DIST(Table1[[#This Row],[Birthweight Z-Score (BW+10%)]],TRUE)*100,"")</f>
        <v/>
      </c>
    </row>
    <row r="9451" spans="1:12" x14ac:dyDescent="0.35">
      <c r="A9451" s="3"/>
      <c r="B9451" s="2"/>
      <c r="C9451" s="2"/>
      <c r="D9451" s="2" t="b">
        <f>IF(AND(NOT(ISBLANK(Table1[[#This Row],[Fetal Sex (Male, Female or Unknown)]])),ISNUMBER(Table1[[#This Row],[Birthweight (grams)]]),ISNUMBER(Table1[[#This Row],[Gestation (days)]])),TRUE,FALSE)</f>
        <v>0</v>
      </c>
      <c r="E9451" s="2" t="str">
        <f>IF(Table1[[#This Row],[Is Data Valid]]=TRUE,IF(Table1[[#This Row],[Fetal Sex (Male, Female or Unknown)]]="Male",Backend!$C$6,IF(Table1[[#This Row],[Fetal Sex (Male, Female or Unknown)]]="Female",Backend!$C$7,IF(Table1[[#This Row],[Fetal Sex (Male, Female or Unknown)]]="Unknown",Backend!$C$8,"Error"))),"")</f>
        <v/>
      </c>
      <c r="F9451" s="8" t="str">
        <f>IF(Table1[[#This Row],[Is Data Valid]]=TRUE,EXP(0.578+0.332*((Table1[[#This Row],[Gestation (days)]]+0.5)/7)-0.00354*((Table1[[#This Row],[Gestation (days)]]+0.5)/7)^2)*Table1[[#This Row],[BW40_3705]],"")</f>
        <v/>
      </c>
      <c r="G9451" s="2" t="str">
        <f>IF(Table1[[#This Row],[Is Data Valid]]=TRUE,((Table1[[#This Row],[Birthweight (grams)]]/Table1[[#This Row],[BW_GA]])-1)/(Backend!$B$4/100*Table1[[#This Row],[BW40_3705]]),"")</f>
        <v/>
      </c>
      <c r="H9451" s="7" t="str">
        <f>IF(Table1[[#This Row],[Is Data Valid]]=TRUE,((Table1[[#This Row],[Birthweight (grams)]]*0.9/Table1[[#This Row],[BW_GA]])-1)/(Backend!$B$4/100*Table1[[#This Row],[BW40_3705]]),"")</f>
        <v/>
      </c>
      <c r="I9451" s="7" t="str">
        <f>IF(Table1[[#This Row],[Is Data Valid]]=TRUE,((Table1[[#This Row],[Birthweight (grams)]]*1.1/Table1[[#This Row],[BW_GA]])-1)/(Backend!$B$4/100*Table1[[#This Row],[BW40_3705]]),"")</f>
        <v/>
      </c>
      <c r="J9451" s="7" t="str">
        <f>IF(Table1[[#This Row],[Is Data Valid]]=TRUE,_xlfn.NORM.S.DIST(Table1[[#This Row],[Birthweight Z-Score]],TRUE)*100,"")</f>
        <v/>
      </c>
      <c r="K9451" s="7" t="str">
        <f>IF(Table1[[#This Row],[Is Data Valid]]=TRUE,_xlfn.NORM.S.DIST(Table1[[#This Row],[Birthweight Z-Score (BW-10%)]],TRUE)*100,"")</f>
        <v/>
      </c>
      <c r="L9451" s="7" t="str">
        <f>IF(Table1[[#This Row],[Is Data Valid]]=TRUE,_xlfn.NORM.S.DIST(Table1[[#This Row],[Birthweight Z-Score (BW+10%)]],TRUE)*100,"")</f>
        <v/>
      </c>
    </row>
    <row r="9452" spans="1:12" x14ac:dyDescent="0.35">
      <c r="A9452" s="3"/>
      <c r="B9452" s="2"/>
      <c r="C9452" s="2"/>
      <c r="D9452" s="2" t="b">
        <f>IF(AND(NOT(ISBLANK(Table1[[#This Row],[Fetal Sex (Male, Female or Unknown)]])),ISNUMBER(Table1[[#This Row],[Birthweight (grams)]]),ISNUMBER(Table1[[#This Row],[Gestation (days)]])),TRUE,FALSE)</f>
        <v>0</v>
      </c>
      <c r="E9452" s="2" t="str">
        <f>IF(Table1[[#This Row],[Is Data Valid]]=TRUE,IF(Table1[[#This Row],[Fetal Sex (Male, Female or Unknown)]]="Male",Backend!$C$6,IF(Table1[[#This Row],[Fetal Sex (Male, Female or Unknown)]]="Female",Backend!$C$7,IF(Table1[[#This Row],[Fetal Sex (Male, Female or Unknown)]]="Unknown",Backend!$C$8,"Error"))),"")</f>
        <v/>
      </c>
      <c r="F9452" s="8" t="str">
        <f>IF(Table1[[#This Row],[Is Data Valid]]=TRUE,EXP(0.578+0.332*((Table1[[#This Row],[Gestation (days)]]+0.5)/7)-0.00354*((Table1[[#This Row],[Gestation (days)]]+0.5)/7)^2)*Table1[[#This Row],[BW40_3705]],"")</f>
        <v/>
      </c>
      <c r="G9452" s="2" t="str">
        <f>IF(Table1[[#This Row],[Is Data Valid]]=TRUE,((Table1[[#This Row],[Birthweight (grams)]]/Table1[[#This Row],[BW_GA]])-1)/(Backend!$B$4/100*Table1[[#This Row],[BW40_3705]]),"")</f>
        <v/>
      </c>
      <c r="H9452" s="7" t="str">
        <f>IF(Table1[[#This Row],[Is Data Valid]]=TRUE,((Table1[[#This Row],[Birthweight (grams)]]*0.9/Table1[[#This Row],[BW_GA]])-1)/(Backend!$B$4/100*Table1[[#This Row],[BW40_3705]]),"")</f>
        <v/>
      </c>
      <c r="I9452" s="7" t="str">
        <f>IF(Table1[[#This Row],[Is Data Valid]]=TRUE,((Table1[[#This Row],[Birthweight (grams)]]*1.1/Table1[[#This Row],[BW_GA]])-1)/(Backend!$B$4/100*Table1[[#This Row],[BW40_3705]]),"")</f>
        <v/>
      </c>
      <c r="J9452" s="7" t="str">
        <f>IF(Table1[[#This Row],[Is Data Valid]]=TRUE,_xlfn.NORM.S.DIST(Table1[[#This Row],[Birthweight Z-Score]],TRUE)*100,"")</f>
        <v/>
      </c>
      <c r="K9452" s="7" t="str">
        <f>IF(Table1[[#This Row],[Is Data Valid]]=TRUE,_xlfn.NORM.S.DIST(Table1[[#This Row],[Birthweight Z-Score (BW-10%)]],TRUE)*100,"")</f>
        <v/>
      </c>
      <c r="L9452" s="7" t="str">
        <f>IF(Table1[[#This Row],[Is Data Valid]]=TRUE,_xlfn.NORM.S.DIST(Table1[[#This Row],[Birthweight Z-Score (BW+10%)]],TRUE)*100,"")</f>
        <v/>
      </c>
    </row>
    <row r="9453" spans="1:12" x14ac:dyDescent="0.35">
      <c r="A9453" s="3"/>
      <c r="B9453" s="2"/>
      <c r="C9453" s="2"/>
      <c r="D9453" s="2" t="b">
        <f>IF(AND(NOT(ISBLANK(Table1[[#This Row],[Fetal Sex (Male, Female or Unknown)]])),ISNUMBER(Table1[[#This Row],[Birthweight (grams)]]),ISNUMBER(Table1[[#This Row],[Gestation (days)]])),TRUE,FALSE)</f>
        <v>0</v>
      </c>
      <c r="E9453" s="2" t="str">
        <f>IF(Table1[[#This Row],[Is Data Valid]]=TRUE,IF(Table1[[#This Row],[Fetal Sex (Male, Female or Unknown)]]="Male",Backend!$C$6,IF(Table1[[#This Row],[Fetal Sex (Male, Female or Unknown)]]="Female",Backend!$C$7,IF(Table1[[#This Row],[Fetal Sex (Male, Female or Unknown)]]="Unknown",Backend!$C$8,"Error"))),"")</f>
        <v/>
      </c>
      <c r="F9453" s="8" t="str">
        <f>IF(Table1[[#This Row],[Is Data Valid]]=TRUE,EXP(0.578+0.332*((Table1[[#This Row],[Gestation (days)]]+0.5)/7)-0.00354*((Table1[[#This Row],[Gestation (days)]]+0.5)/7)^2)*Table1[[#This Row],[BW40_3705]],"")</f>
        <v/>
      </c>
      <c r="G9453" s="2" t="str">
        <f>IF(Table1[[#This Row],[Is Data Valid]]=TRUE,((Table1[[#This Row],[Birthweight (grams)]]/Table1[[#This Row],[BW_GA]])-1)/(Backend!$B$4/100*Table1[[#This Row],[BW40_3705]]),"")</f>
        <v/>
      </c>
      <c r="H9453" s="7" t="str">
        <f>IF(Table1[[#This Row],[Is Data Valid]]=TRUE,((Table1[[#This Row],[Birthweight (grams)]]*0.9/Table1[[#This Row],[BW_GA]])-1)/(Backend!$B$4/100*Table1[[#This Row],[BW40_3705]]),"")</f>
        <v/>
      </c>
      <c r="I9453" s="7" t="str">
        <f>IF(Table1[[#This Row],[Is Data Valid]]=TRUE,((Table1[[#This Row],[Birthweight (grams)]]*1.1/Table1[[#This Row],[BW_GA]])-1)/(Backend!$B$4/100*Table1[[#This Row],[BW40_3705]]),"")</f>
        <v/>
      </c>
      <c r="J9453" s="7" t="str">
        <f>IF(Table1[[#This Row],[Is Data Valid]]=TRUE,_xlfn.NORM.S.DIST(Table1[[#This Row],[Birthweight Z-Score]],TRUE)*100,"")</f>
        <v/>
      </c>
      <c r="K9453" s="7" t="str">
        <f>IF(Table1[[#This Row],[Is Data Valid]]=TRUE,_xlfn.NORM.S.DIST(Table1[[#This Row],[Birthweight Z-Score (BW-10%)]],TRUE)*100,"")</f>
        <v/>
      </c>
      <c r="L9453" s="7" t="str">
        <f>IF(Table1[[#This Row],[Is Data Valid]]=TRUE,_xlfn.NORM.S.DIST(Table1[[#This Row],[Birthweight Z-Score (BW+10%)]],TRUE)*100,"")</f>
        <v/>
      </c>
    </row>
    <row r="9454" spans="1:12" x14ac:dyDescent="0.35">
      <c r="A9454" s="3"/>
      <c r="B9454" s="2"/>
      <c r="C9454" s="2"/>
      <c r="D9454" s="2" t="b">
        <f>IF(AND(NOT(ISBLANK(Table1[[#This Row],[Fetal Sex (Male, Female or Unknown)]])),ISNUMBER(Table1[[#This Row],[Birthweight (grams)]]),ISNUMBER(Table1[[#This Row],[Gestation (days)]])),TRUE,FALSE)</f>
        <v>0</v>
      </c>
      <c r="E9454" s="2" t="str">
        <f>IF(Table1[[#This Row],[Is Data Valid]]=TRUE,IF(Table1[[#This Row],[Fetal Sex (Male, Female or Unknown)]]="Male",Backend!$C$6,IF(Table1[[#This Row],[Fetal Sex (Male, Female or Unknown)]]="Female",Backend!$C$7,IF(Table1[[#This Row],[Fetal Sex (Male, Female or Unknown)]]="Unknown",Backend!$C$8,"Error"))),"")</f>
        <v/>
      </c>
      <c r="F9454" s="8" t="str">
        <f>IF(Table1[[#This Row],[Is Data Valid]]=TRUE,EXP(0.578+0.332*((Table1[[#This Row],[Gestation (days)]]+0.5)/7)-0.00354*((Table1[[#This Row],[Gestation (days)]]+0.5)/7)^2)*Table1[[#This Row],[BW40_3705]],"")</f>
        <v/>
      </c>
      <c r="G9454" s="2" t="str">
        <f>IF(Table1[[#This Row],[Is Data Valid]]=TRUE,((Table1[[#This Row],[Birthweight (grams)]]/Table1[[#This Row],[BW_GA]])-1)/(Backend!$B$4/100*Table1[[#This Row],[BW40_3705]]),"")</f>
        <v/>
      </c>
      <c r="H9454" s="7" t="str">
        <f>IF(Table1[[#This Row],[Is Data Valid]]=TRUE,((Table1[[#This Row],[Birthweight (grams)]]*0.9/Table1[[#This Row],[BW_GA]])-1)/(Backend!$B$4/100*Table1[[#This Row],[BW40_3705]]),"")</f>
        <v/>
      </c>
      <c r="I9454" s="7" t="str">
        <f>IF(Table1[[#This Row],[Is Data Valid]]=TRUE,((Table1[[#This Row],[Birthweight (grams)]]*1.1/Table1[[#This Row],[BW_GA]])-1)/(Backend!$B$4/100*Table1[[#This Row],[BW40_3705]]),"")</f>
        <v/>
      </c>
      <c r="J9454" s="7" t="str">
        <f>IF(Table1[[#This Row],[Is Data Valid]]=TRUE,_xlfn.NORM.S.DIST(Table1[[#This Row],[Birthweight Z-Score]],TRUE)*100,"")</f>
        <v/>
      </c>
      <c r="K9454" s="7" t="str">
        <f>IF(Table1[[#This Row],[Is Data Valid]]=TRUE,_xlfn.NORM.S.DIST(Table1[[#This Row],[Birthweight Z-Score (BW-10%)]],TRUE)*100,"")</f>
        <v/>
      </c>
      <c r="L9454" s="7" t="str">
        <f>IF(Table1[[#This Row],[Is Data Valid]]=TRUE,_xlfn.NORM.S.DIST(Table1[[#This Row],[Birthweight Z-Score (BW+10%)]],TRUE)*100,"")</f>
        <v/>
      </c>
    </row>
    <row r="9455" spans="1:12" x14ac:dyDescent="0.35">
      <c r="A9455" s="3"/>
      <c r="B9455" s="2"/>
      <c r="C9455" s="2"/>
      <c r="D9455" s="2" t="b">
        <f>IF(AND(NOT(ISBLANK(Table1[[#This Row],[Fetal Sex (Male, Female or Unknown)]])),ISNUMBER(Table1[[#This Row],[Birthweight (grams)]]),ISNUMBER(Table1[[#This Row],[Gestation (days)]])),TRUE,FALSE)</f>
        <v>0</v>
      </c>
      <c r="E9455" s="2" t="str">
        <f>IF(Table1[[#This Row],[Is Data Valid]]=TRUE,IF(Table1[[#This Row],[Fetal Sex (Male, Female or Unknown)]]="Male",Backend!$C$6,IF(Table1[[#This Row],[Fetal Sex (Male, Female or Unknown)]]="Female",Backend!$C$7,IF(Table1[[#This Row],[Fetal Sex (Male, Female or Unknown)]]="Unknown",Backend!$C$8,"Error"))),"")</f>
        <v/>
      </c>
      <c r="F9455" s="8" t="str">
        <f>IF(Table1[[#This Row],[Is Data Valid]]=TRUE,EXP(0.578+0.332*((Table1[[#This Row],[Gestation (days)]]+0.5)/7)-0.00354*((Table1[[#This Row],[Gestation (days)]]+0.5)/7)^2)*Table1[[#This Row],[BW40_3705]],"")</f>
        <v/>
      </c>
      <c r="G9455" s="2" t="str">
        <f>IF(Table1[[#This Row],[Is Data Valid]]=TRUE,((Table1[[#This Row],[Birthweight (grams)]]/Table1[[#This Row],[BW_GA]])-1)/(Backend!$B$4/100*Table1[[#This Row],[BW40_3705]]),"")</f>
        <v/>
      </c>
      <c r="H9455" s="7" t="str">
        <f>IF(Table1[[#This Row],[Is Data Valid]]=TRUE,((Table1[[#This Row],[Birthweight (grams)]]*0.9/Table1[[#This Row],[BW_GA]])-1)/(Backend!$B$4/100*Table1[[#This Row],[BW40_3705]]),"")</f>
        <v/>
      </c>
      <c r="I9455" s="7" t="str">
        <f>IF(Table1[[#This Row],[Is Data Valid]]=TRUE,((Table1[[#This Row],[Birthweight (grams)]]*1.1/Table1[[#This Row],[BW_GA]])-1)/(Backend!$B$4/100*Table1[[#This Row],[BW40_3705]]),"")</f>
        <v/>
      </c>
      <c r="J9455" s="7" t="str">
        <f>IF(Table1[[#This Row],[Is Data Valid]]=TRUE,_xlfn.NORM.S.DIST(Table1[[#This Row],[Birthweight Z-Score]],TRUE)*100,"")</f>
        <v/>
      </c>
      <c r="K9455" s="7" t="str">
        <f>IF(Table1[[#This Row],[Is Data Valid]]=TRUE,_xlfn.NORM.S.DIST(Table1[[#This Row],[Birthweight Z-Score (BW-10%)]],TRUE)*100,"")</f>
        <v/>
      </c>
      <c r="L9455" s="7" t="str">
        <f>IF(Table1[[#This Row],[Is Data Valid]]=TRUE,_xlfn.NORM.S.DIST(Table1[[#This Row],[Birthweight Z-Score (BW+10%)]],TRUE)*100,"")</f>
        <v/>
      </c>
    </row>
    <row r="9456" spans="1:12" x14ac:dyDescent="0.35">
      <c r="A9456" s="3"/>
      <c r="B9456" s="2"/>
      <c r="C9456" s="2"/>
      <c r="D9456" s="2" t="b">
        <f>IF(AND(NOT(ISBLANK(Table1[[#This Row],[Fetal Sex (Male, Female or Unknown)]])),ISNUMBER(Table1[[#This Row],[Birthweight (grams)]]),ISNUMBER(Table1[[#This Row],[Gestation (days)]])),TRUE,FALSE)</f>
        <v>0</v>
      </c>
      <c r="E9456" s="2" t="str">
        <f>IF(Table1[[#This Row],[Is Data Valid]]=TRUE,IF(Table1[[#This Row],[Fetal Sex (Male, Female or Unknown)]]="Male",Backend!$C$6,IF(Table1[[#This Row],[Fetal Sex (Male, Female or Unknown)]]="Female",Backend!$C$7,IF(Table1[[#This Row],[Fetal Sex (Male, Female or Unknown)]]="Unknown",Backend!$C$8,"Error"))),"")</f>
        <v/>
      </c>
      <c r="F9456" s="8" t="str">
        <f>IF(Table1[[#This Row],[Is Data Valid]]=TRUE,EXP(0.578+0.332*((Table1[[#This Row],[Gestation (days)]]+0.5)/7)-0.00354*((Table1[[#This Row],[Gestation (days)]]+0.5)/7)^2)*Table1[[#This Row],[BW40_3705]],"")</f>
        <v/>
      </c>
      <c r="G9456" s="2" t="str">
        <f>IF(Table1[[#This Row],[Is Data Valid]]=TRUE,((Table1[[#This Row],[Birthweight (grams)]]/Table1[[#This Row],[BW_GA]])-1)/(Backend!$B$4/100*Table1[[#This Row],[BW40_3705]]),"")</f>
        <v/>
      </c>
      <c r="H9456" s="7" t="str">
        <f>IF(Table1[[#This Row],[Is Data Valid]]=TRUE,((Table1[[#This Row],[Birthweight (grams)]]*0.9/Table1[[#This Row],[BW_GA]])-1)/(Backend!$B$4/100*Table1[[#This Row],[BW40_3705]]),"")</f>
        <v/>
      </c>
      <c r="I9456" s="7" t="str">
        <f>IF(Table1[[#This Row],[Is Data Valid]]=TRUE,((Table1[[#This Row],[Birthweight (grams)]]*1.1/Table1[[#This Row],[BW_GA]])-1)/(Backend!$B$4/100*Table1[[#This Row],[BW40_3705]]),"")</f>
        <v/>
      </c>
      <c r="J9456" s="7" t="str">
        <f>IF(Table1[[#This Row],[Is Data Valid]]=TRUE,_xlfn.NORM.S.DIST(Table1[[#This Row],[Birthweight Z-Score]],TRUE)*100,"")</f>
        <v/>
      </c>
      <c r="K9456" s="7" t="str">
        <f>IF(Table1[[#This Row],[Is Data Valid]]=TRUE,_xlfn.NORM.S.DIST(Table1[[#This Row],[Birthweight Z-Score (BW-10%)]],TRUE)*100,"")</f>
        <v/>
      </c>
      <c r="L9456" s="7" t="str">
        <f>IF(Table1[[#This Row],[Is Data Valid]]=TRUE,_xlfn.NORM.S.DIST(Table1[[#This Row],[Birthweight Z-Score (BW+10%)]],TRUE)*100,"")</f>
        <v/>
      </c>
    </row>
    <row r="9457" spans="1:12" x14ac:dyDescent="0.35">
      <c r="A9457" s="3"/>
      <c r="B9457" s="2"/>
      <c r="C9457" s="2"/>
      <c r="D9457" s="2" t="b">
        <f>IF(AND(NOT(ISBLANK(Table1[[#This Row],[Fetal Sex (Male, Female or Unknown)]])),ISNUMBER(Table1[[#This Row],[Birthweight (grams)]]),ISNUMBER(Table1[[#This Row],[Gestation (days)]])),TRUE,FALSE)</f>
        <v>0</v>
      </c>
      <c r="E9457" s="2" t="str">
        <f>IF(Table1[[#This Row],[Is Data Valid]]=TRUE,IF(Table1[[#This Row],[Fetal Sex (Male, Female or Unknown)]]="Male",Backend!$C$6,IF(Table1[[#This Row],[Fetal Sex (Male, Female or Unknown)]]="Female",Backend!$C$7,IF(Table1[[#This Row],[Fetal Sex (Male, Female or Unknown)]]="Unknown",Backend!$C$8,"Error"))),"")</f>
        <v/>
      </c>
      <c r="F9457" s="8" t="str">
        <f>IF(Table1[[#This Row],[Is Data Valid]]=TRUE,EXP(0.578+0.332*((Table1[[#This Row],[Gestation (days)]]+0.5)/7)-0.00354*((Table1[[#This Row],[Gestation (days)]]+0.5)/7)^2)*Table1[[#This Row],[BW40_3705]],"")</f>
        <v/>
      </c>
      <c r="G9457" s="2" t="str">
        <f>IF(Table1[[#This Row],[Is Data Valid]]=TRUE,((Table1[[#This Row],[Birthweight (grams)]]/Table1[[#This Row],[BW_GA]])-1)/(Backend!$B$4/100*Table1[[#This Row],[BW40_3705]]),"")</f>
        <v/>
      </c>
      <c r="H9457" s="7" t="str">
        <f>IF(Table1[[#This Row],[Is Data Valid]]=TRUE,((Table1[[#This Row],[Birthweight (grams)]]*0.9/Table1[[#This Row],[BW_GA]])-1)/(Backend!$B$4/100*Table1[[#This Row],[BW40_3705]]),"")</f>
        <v/>
      </c>
      <c r="I9457" s="7" t="str">
        <f>IF(Table1[[#This Row],[Is Data Valid]]=TRUE,((Table1[[#This Row],[Birthweight (grams)]]*1.1/Table1[[#This Row],[BW_GA]])-1)/(Backend!$B$4/100*Table1[[#This Row],[BW40_3705]]),"")</f>
        <v/>
      </c>
      <c r="J9457" s="7" t="str">
        <f>IF(Table1[[#This Row],[Is Data Valid]]=TRUE,_xlfn.NORM.S.DIST(Table1[[#This Row],[Birthweight Z-Score]],TRUE)*100,"")</f>
        <v/>
      </c>
      <c r="K9457" s="7" t="str">
        <f>IF(Table1[[#This Row],[Is Data Valid]]=TRUE,_xlfn.NORM.S.DIST(Table1[[#This Row],[Birthweight Z-Score (BW-10%)]],TRUE)*100,"")</f>
        <v/>
      </c>
      <c r="L9457" s="7" t="str">
        <f>IF(Table1[[#This Row],[Is Data Valid]]=TRUE,_xlfn.NORM.S.DIST(Table1[[#This Row],[Birthweight Z-Score (BW+10%)]],TRUE)*100,"")</f>
        <v/>
      </c>
    </row>
    <row r="9458" spans="1:12" x14ac:dyDescent="0.35">
      <c r="A9458" s="3"/>
      <c r="B9458" s="2"/>
      <c r="C9458" s="2"/>
      <c r="D9458" s="2" t="b">
        <f>IF(AND(NOT(ISBLANK(Table1[[#This Row],[Fetal Sex (Male, Female or Unknown)]])),ISNUMBER(Table1[[#This Row],[Birthweight (grams)]]),ISNUMBER(Table1[[#This Row],[Gestation (days)]])),TRUE,FALSE)</f>
        <v>0</v>
      </c>
      <c r="E9458" s="2" t="str">
        <f>IF(Table1[[#This Row],[Is Data Valid]]=TRUE,IF(Table1[[#This Row],[Fetal Sex (Male, Female or Unknown)]]="Male",Backend!$C$6,IF(Table1[[#This Row],[Fetal Sex (Male, Female or Unknown)]]="Female",Backend!$C$7,IF(Table1[[#This Row],[Fetal Sex (Male, Female or Unknown)]]="Unknown",Backend!$C$8,"Error"))),"")</f>
        <v/>
      </c>
      <c r="F9458" s="8" t="str">
        <f>IF(Table1[[#This Row],[Is Data Valid]]=TRUE,EXP(0.578+0.332*((Table1[[#This Row],[Gestation (days)]]+0.5)/7)-0.00354*((Table1[[#This Row],[Gestation (days)]]+0.5)/7)^2)*Table1[[#This Row],[BW40_3705]],"")</f>
        <v/>
      </c>
      <c r="G9458" s="2" t="str">
        <f>IF(Table1[[#This Row],[Is Data Valid]]=TRUE,((Table1[[#This Row],[Birthweight (grams)]]/Table1[[#This Row],[BW_GA]])-1)/(Backend!$B$4/100*Table1[[#This Row],[BW40_3705]]),"")</f>
        <v/>
      </c>
      <c r="H9458" s="7" t="str">
        <f>IF(Table1[[#This Row],[Is Data Valid]]=TRUE,((Table1[[#This Row],[Birthweight (grams)]]*0.9/Table1[[#This Row],[BW_GA]])-1)/(Backend!$B$4/100*Table1[[#This Row],[BW40_3705]]),"")</f>
        <v/>
      </c>
      <c r="I9458" s="7" t="str">
        <f>IF(Table1[[#This Row],[Is Data Valid]]=TRUE,((Table1[[#This Row],[Birthweight (grams)]]*1.1/Table1[[#This Row],[BW_GA]])-1)/(Backend!$B$4/100*Table1[[#This Row],[BW40_3705]]),"")</f>
        <v/>
      </c>
      <c r="J9458" s="7" t="str">
        <f>IF(Table1[[#This Row],[Is Data Valid]]=TRUE,_xlfn.NORM.S.DIST(Table1[[#This Row],[Birthweight Z-Score]],TRUE)*100,"")</f>
        <v/>
      </c>
      <c r="K9458" s="7" t="str">
        <f>IF(Table1[[#This Row],[Is Data Valid]]=TRUE,_xlfn.NORM.S.DIST(Table1[[#This Row],[Birthweight Z-Score (BW-10%)]],TRUE)*100,"")</f>
        <v/>
      </c>
      <c r="L9458" s="7" t="str">
        <f>IF(Table1[[#This Row],[Is Data Valid]]=TRUE,_xlfn.NORM.S.DIST(Table1[[#This Row],[Birthweight Z-Score (BW+10%)]],TRUE)*100,"")</f>
        <v/>
      </c>
    </row>
    <row r="9459" spans="1:12" x14ac:dyDescent="0.35">
      <c r="A9459" s="3"/>
      <c r="B9459" s="2"/>
      <c r="C9459" s="2"/>
      <c r="D9459" s="2" t="b">
        <f>IF(AND(NOT(ISBLANK(Table1[[#This Row],[Fetal Sex (Male, Female or Unknown)]])),ISNUMBER(Table1[[#This Row],[Birthweight (grams)]]),ISNUMBER(Table1[[#This Row],[Gestation (days)]])),TRUE,FALSE)</f>
        <v>0</v>
      </c>
      <c r="E9459" s="2" t="str">
        <f>IF(Table1[[#This Row],[Is Data Valid]]=TRUE,IF(Table1[[#This Row],[Fetal Sex (Male, Female or Unknown)]]="Male",Backend!$C$6,IF(Table1[[#This Row],[Fetal Sex (Male, Female or Unknown)]]="Female",Backend!$C$7,IF(Table1[[#This Row],[Fetal Sex (Male, Female or Unknown)]]="Unknown",Backend!$C$8,"Error"))),"")</f>
        <v/>
      </c>
      <c r="F9459" s="8" t="str">
        <f>IF(Table1[[#This Row],[Is Data Valid]]=TRUE,EXP(0.578+0.332*((Table1[[#This Row],[Gestation (days)]]+0.5)/7)-0.00354*((Table1[[#This Row],[Gestation (days)]]+0.5)/7)^2)*Table1[[#This Row],[BW40_3705]],"")</f>
        <v/>
      </c>
      <c r="G9459" s="2" t="str">
        <f>IF(Table1[[#This Row],[Is Data Valid]]=TRUE,((Table1[[#This Row],[Birthweight (grams)]]/Table1[[#This Row],[BW_GA]])-1)/(Backend!$B$4/100*Table1[[#This Row],[BW40_3705]]),"")</f>
        <v/>
      </c>
      <c r="H9459" s="7" t="str">
        <f>IF(Table1[[#This Row],[Is Data Valid]]=TRUE,((Table1[[#This Row],[Birthweight (grams)]]*0.9/Table1[[#This Row],[BW_GA]])-1)/(Backend!$B$4/100*Table1[[#This Row],[BW40_3705]]),"")</f>
        <v/>
      </c>
      <c r="I9459" s="7" t="str">
        <f>IF(Table1[[#This Row],[Is Data Valid]]=TRUE,((Table1[[#This Row],[Birthweight (grams)]]*1.1/Table1[[#This Row],[BW_GA]])-1)/(Backend!$B$4/100*Table1[[#This Row],[BW40_3705]]),"")</f>
        <v/>
      </c>
      <c r="J9459" s="7" t="str">
        <f>IF(Table1[[#This Row],[Is Data Valid]]=TRUE,_xlfn.NORM.S.DIST(Table1[[#This Row],[Birthweight Z-Score]],TRUE)*100,"")</f>
        <v/>
      </c>
      <c r="K9459" s="7" t="str">
        <f>IF(Table1[[#This Row],[Is Data Valid]]=TRUE,_xlfn.NORM.S.DIST(Table1[[#This Row],[Birthweight Z-Score (BW-10%)]],TRUE)*100,"")</f>
        <v/>
      </c>
      <c r="L9459" s="7" t="str">
        <f>IF(Table1[[#This Row],[Is Data Valid]]=TRUE,_xlfn.NORM.S.DIST(Table1[[#This Row],[Birthweight Z-Score (BW+10%)]],TRUE)*100,"")</f>
        <v/>
      </c>
    </row>
    <row r="9460" spans="1:12" x14ac:dyDescent="0.35">
      <c r="A9460" s="3"/>
      <c r="B9460" s="2"/>
      <c r="C9460" s="2"/>
      <c r="D9460" s="2" t="b">
        <f>IF(AND(NOT(ISBLANK(Table1[[#This Row],[Fetal Sex (Male, Female or Unknown)]])),ISNUMBER(Table1[[#This Row],[Birthweight (grams)]]),ISNUMBER(Table1[[#This Row],[Gestation (days)]])),TRUE,FALSE)</f>
        <v>0</v>
      </c>
      <c r="E9460" s="2" t="str">
        <f>IF(Table1[[#This Row],[Is Data Valid]]=TRUE,IF(Table1[[#This Row],[Fetal Sex (Male, Female or Unknown)]]="Male",Backend!$C$6,IF(Table1[[#This Row],[Fetal Sex (Male, Female or Unknown)]]="Female",Backend!$C$7,IF(Table1[[#This Row],[Fetal Sex (Male, Female or Unknown)]]="Unknown",Backend!$C$8,"Error"))),"")</f>
        <v/>
      </c>
      <c r="F9460" s="8" t="str">
        <f>IF(Table1[[#This Row],[Is Data Valid]]=TRUE,EXP(0.578+0.332*((Table1[[#This Row],[Gestation (days)]]+0.5)/7)-0.00354*((Table1[[#This Row],[Gestation (days)]]+0.5)/7)^2)*Table1[[#This Row],[BW40_3705]],"")</f>
        <v/>
      </c>
      <c r="G9460" s="2" t="str">
        <f>IF(Table1[[#This Row],[Is Data Valid]]=TRUE,((Table1[[#This Row],[Birthweight (grams)]]/Table1[[#This Row],[BW_GA]])-1)/(Backend!$B$4/100*Table1[[#This Row],[BW40_3705]]),"")</f>
        <v/>
      </c>
      <c r="H9460" s="7" t="str">
        <f>IF(Table1[[#This Row],[Is Data Valid]]=TRUE,((Table1[[#This Row],[Birthweight (grams)]]*0.9/Table1[[#This Row],[BW_GA]])-1)/(Backend!$B$4/100*Table1[[#This Row],[BW40_3705]]),"")</f>
        <v/>
      </c>
      <c r="I9460" s="7" t="str">
        <f>IF(Table1[[#This Row],[Is Data Valid]]=TRUE,((Table1[[#This Row],[Birthweight (grams)]]*1.1/Table1[[#This Row],[BW_GA]])-1)/(Backend!$B$4/100*Table1[[#This Row],[BW40_3705]]),"")</f>
        <v/>
      </c>
      <c r="J9460" s="7" t="str">
        <f>IF(Table1[[#This Row],[Is Data Valid]]=TRUE,_xlfn.NORM.S.DIST(Table1[[#This Row],[Birthweight Z-Score]],TRUE)*100,"")</f>
        <v/>
      </c>
      <c r="K9460" s="7" t="str">
        <f>IF(Table1[[#This Row],[Is Data Valid]]=TRUE,_xlfn.NORM.S.DIST(Table1[[#This Row],[Birthweight Z-Score (BW-10%)]],TRUE)*100,"")</f>
        <v/>
      </c>
      <c r="L9460" s="7" t="str">
        <f>IF(Table1[[#This Row],[Is Data Valid]]=TRUE,_xlfn.NORM.S.DIST(Table1[[#This Row],[Birthweight Z-Score (BW+10%)]],TRUE)*100,"")</f>
        <v/>
      </c>
    </row>
    <row r="9461" spans="1:12" x14ac:dyDescent="0.35">
      <c r="A9461" s="3"/>
      <c r="B9461" s="2"/>
      <c r="C9461" s="2"/>
      <c r="D9461" s="2" t="b">
        <f>IF(AND(NOT(ISBLANK(Table1[[#This Row],[Fetal Sex (Male, Female or Unknown)]])),ISNUMBER(Table1[[#This Row],[Birthweight (grams)]]),ISNUMBER(Table1[[#This Row],[Gestation (days)]])),TRUE,FALSE)</f>
        <v>0</v>
      </c>
      <c r="E9461" s="2" t="str">
        <f>IF(Table1[[#This Row],[Is Data Valid]]=TRUE,IF(Table1[[#This Row],[Fetal Sex (Male, Female or Unknown)]]="Male",Backend!$C$6,IF(Table1[[#This Row],[Fetal Sex (Male, Female or Unknown)]]="Female",Backend!$C$7,IF(Table1[[#This Row],[Fetal Sex (Male, Female or Unknown)]]="Unknown",Backend!$C$8,"Error"))),"")</f>
        <v/>
      </c>
      <c r="F9461" s="8" t="str">
        <f>IF(Table1[[#This Row],[Is Data Valid]]=TRUE,EXP(0.578+0.332*((Table1[[#This Row],[Gestation (days)]]+0.5)/7)-0.00354*((Table1[[#This Row],[Gestation (days)]]+0.5)/7)^2)*Table1[[#This Row],[BW40_3705]],"")</f>
        <v/>
      </c>
      <c r="G9461" s="2" t="str">
        <f>IF(Table1[[#This Row],[Is Data Valid]]=TRUE,((Table1[[#This Row],[Birthweight (grams)]]/Table1[[#This Row],[BW_GA]])-1)/(Backend!$B$4/100*Table1[[#This Row],[BW40_3705]]),"")</f>
        <v/>
      </c>
      <c r="H9461" s="7" t="str">
        <f>IF(Table1[[#This Row],[Is Data Valid]]=TRUE,((Table1[[#This Row],[Birthweight (grams)]]*0.9/Table1[[#This Row],[BW_GA]])-1)/(Backend!$B$4/100*Table1[[#This Row],[BW40_3705]]),"")</f>
        <v/>
      </c>
      <c r="I9461" s="7" t="str">
        <f>IF(Table1[[#This Row],[Is Data Valid]]=TRUE,((Table1[[#This Row],[Birthweight (grams)]]*1.1/Table1[[#This Row],[BW_GA]])-1)/(Backend!$B$4/100*Table1[[#This Row],[BW40_3705]]),"")</f>
        <v/>
      </c>
      <c r="J9461" s="7" t="str">
        <f>IF(Table1[[#This Row],[Is Data Valid]]=TRUE,_xlfn.NORM.S.DIST(Table1[[#This Row],[Birthweight Z-Score]],TRUE)*100,"")</f>
        <v/>
      </c>
      <c r="K9461" s="7" t="str">
        <f>IF(Table1[[#This Row],[Is Data Valid]]=TRUE,_xlfn.NORM.S.DIST(Table1[[#This Row],[Birthweight Z-Score (BW-10%)]],TRUE)*100,"")</f>
        <v/>
      </c>
      <c r="L9461" s="7" t="str">
        <f>IF(Table1[[#This Row],[Is Data Valid]]=TRUE,_xlfn.NORM.S.DIST(Table1[[#This Row],[Birthweight Z-Score (BW+10%)]],TRUE)*100,"")</f>
        <v/>
      </c>
    </row>
    <row r="9462" spans="1:12" x14ac:dyDescent="0.35">
      <c r="A9462" s="3"/>
      <c r="B9462" s="2"/>
      <c r="C9462" s="2"/>
      <c r="D9462" s="2" t="b">
        <f>IF(AND(NOT(ISBLANK(Table1[[#This Row],[Fetal Sex (Male, Female or Unknown)]])),ISNUMBER(Table1[[#This Row],[Birthweight (grams)]]),ISNUMBER(Table1[[#This Row],[Gestation (days)]])),TRUE,FALSE)</f>
        <v>0</v>
      </c>
      <c r="E9462" s="2" t="str">
        <f>IF(Table1[[#This Row],[Is Data Valid]]=TRUE,IF(Table1[[#This Row],[Fetal Sex (Male, Female or Unknown)]]="Male",Backend!$C$6,IF(Table1[[#This Row],[Fetal Sex (Male, Female or Unknown)]]="Female",Backend!$C$7,IF(Table1[[#This Row],[Fetal Sex (Male, Female or Unknown)]]="Unknown",Backend!$C$8,"Error"))),"")</f>
        <v/>
      </c>
      <c r="F9462" s="8" t="str">
        <f>IF(Table1[[#This Row],[Is Data Valid]]=TRUE,EXP(0.578+0.332*((Table1[[#This Row],[Gestation (days)]]+0.5)/7)-0.00354*((Table1[[#This Row],[Gestation (days)]]+0.5)/7)^2)*Table1[[#This Row],[BW40_3705]],"")</f>
        <v/>
      </c>
      <c r="G9462" s="2" t="str">
        <f>IF(Table1[[#This Row],[Is Data Valid]]=TRUE,((Table1[[#This Row],[Birthweight (grams)]]/Table1[[#This Row],[BW_GA]])-1)/(Backend!$B$4/100*Table1[[#This Row],[BW40_3705]]),"")</f>
        <v/>
      </c>
      <c r="H9462" s="7" t="str">
        <f>IF(Table1[[#This Row],[Is Data Valid]]=TRUE,((Table1[[#This Row],[Birthweight (grams)]]*0.9/Table1[[#This Row],[BW_GA]])-1)/(Backend!$B$4/100*Table1[[#This Row],[BW40_3705]]),"")</f>
        <v/>
      </c>
      <c r="I9462" s="7" t="str">
        <f>IF(Table1[[#This Row],[Is Data Valid]]=TRUE,((Table1[[#This Row],[Birthweight (grams)]]*1.1/Table1[[#This Row],[BW_GA]])-1)/(Backend!$B$4/100*Table1[[#This Row],[BW40_3705]]),"")</f>
        <v/>
      </c>
      <c r="J9462" s="7" t="str">
        <f>IF(Table1[[#This Row],[Is Data Valid]]=TRUE,_xlfn.NORM.S.DIST(Table1[[#This Row],[Birthweight Z-Score]],TRUE)*100,"")</f>
        <v/>
      </c>
      <c r="K9462" s="7" t="str">
        <f>IF(Table1[[#This Row],[Is Data Valid]]=TRUE,_xlfn.NORM.S.DIST(Table1[[#This Row],[Birthweight Z-Score (BW-10%)]],TRUE)*100,"")</f>
        <v/>
      </c>
      <c r="L9462" s="7" t="str">
        <f>IF(Table1[[#This Row],[Is Data Valid]]=TRUE,_xlfn.NORM.S.DIST(Table1[[#This Row],[Birthweight Z-Score (BW+10%)]],TRUE)*100,"")</f>
        <v/>
      </c>
    </row>
    <row r="9463" spans="1:12" x14ac:dyDescent="0.35">
      <c r="A9463" s="3"/>
      <c r="B9463" s="2"/>
      <c r="C9463" s="2"/>
      <c r="D9463" s="2" t="b">
        <f>IF(AND(NOT(ISBLANK(Table1[[#This Row],[Fetal Sex (Male, Female or Unknown)]])),ISNUMBER(Table1[[#This Row],[Birthweight (grams)]]),ISNUMBER(Table1[[#This Row],[Gestation (days)]])),TRUE,FALSE)</f>
        <v>0</v>
      </c>
      <c r="E9463" s="2" t="str">
        <f>IF(Table1[[#This Row],[Is Data Valid]]=TRUE,IF(Table1[[#This Row],[Fetal Sex (Male, Female or Unknown)]]="Male",Backend!$C$6,IF(Table1[[#This Row],[Fetal Sex (Male, Female or Unknown)]]="Female",Backend!$C$7,IF(Table1[[#This Row],[Fetal Sex (Male, Female or Unknown)]]="Unknown",Backend!$C$8,"Error"))),"")</f>
        <v/>
      </c>
      <c r="F9463" s="8" t="str">
        <f>IF(Table1[[#This Row],[Is Data Valid]]=TRUE,EXP(0.578+0.332*((Table1[[#This Row],[Gestation (days)]]+0.5)/7)-0.00354*((Table1[[#This Row],[Gestation (days)]]+0.5)/7)^2)*Table1[[#This Row],[BW40_3705]],"")</f>
        <v/>
      </c>
      <c r="G9463" s="2" t="str">
        <f>IF(Table1[[#This Row],[Is Data Valid]]=TRUE,((Table1[[#This Row],[Birthweight (grams)]]/Table1[[#This Row],[BW_GA]])-1)/(Backend!$B$4/100*Table1[[#This Row],[BW40_3705]]),"")</f>
        <v/>
      </c>
      <c r="H9463" s="7" t="str">
        <f>IF(Table1[[#This Row],[Is Data Valid]]=TRUE,((Table1[[#This Row],[Birthweight (grams)]]*0.9/Table1[[#This Row],[BW_GA]])-1)/(Backend!$B$4/100*Table1[[#This Row],[BW40_3705]]),"")</f>
        <v/>
      </c>
      <c r="I9463" s="7" t="str">
        <f>IF(Table1[[#This Row],[Is Data Valid]]=TRUE,((Table1[[#This Row],[Birthweight (grams)]]*1.1/Table1[[#This Row],[BW_GA]])-1)/(Backend!$B$4/100*Table1[[#This Row],[BW40_3705]]),"")</f>
        <v/>
      </c>
      <c r="J9463" s="7" t="str">
        <f>IF(Table1[[#This Row],[Is Data Valid]]=TRUE,_xlfn.NORM.S.DIST(Table1[[#This Row],[Birthweight Z-Score]],TRUE)*100,"")</f>
        <v/>
      </c>
      <c r="K9463" s="7" t="str">
        <f>IF(Table1[[#This Row],[Is Data Valid]]=TRUE,_xlfn.NORM.S.DIST(Table1[[#This Row],[Birthweight Z-Score (BW-10%)]],TRUE)*100,"")</f>
        <v/>
      </c>
      <c r="L9463" s="7" t="str">
        <f>IF(Table1[[#This Row],[Is Data Valid]]=TRUE,_xlfn.NORM.S.DIST(Table1[[#This Row],[Birthweight Z-Score (BW+10%)]],TRUE)*100,"")</f>
        <v/>
      </c>
    </row>
    <row r="9464" spans="1:12" x14ac:dyDescent="0.35">
      <c r="A9464" s="3"/>
      <c r="B9464" s="2"/>
      <c r="C9464" s="2"/>
      <c r="D9464" s="2" t="b">
        <f>IF(AND(NOT(ISBLANK(Table1[[#This Row],[Fetal Sex (Male, Female or Unknown)]])),ISNUMBER(Table1[[#This Row],[Birthweight (grams)]]),ISNUMBER(Table1[[#This Row],[Gestation (days)]])),TRUE,FALSE)</f>
        <v>0</v>
      </c>
      <c r="E9464" s="2" t="str">
        <f>IF(Table1[[#This Row],[Is Data Valid]]=TRUE,IF(Table1[[#This Row],[Fetal Sex (Male, Female or Unknown)]]="Male",Backend!$C$6,IF(Table1[[#This Row],[Fetal Sex (Male, Female or Unknown)]]="Female",Backend!$C$7,IF(Table1[[#This Row],[Fetal Sex (Male, Female or Unknown)]]="Unknown",Backend!$C$8,"Error"))),"")</f>
        <v/>
      </c>
      <c r="F9464" s="8" t="str">
        <f>IF(Table1[[#This Row],[Is Data Valid]]=TRUE,EXP(0.578+0.332*((Table1[[#This Row],[Gestation (days)]]+0.5)/7)-0.00354*((Table1[[#This Row],[Gestation (days)]]+0.5)/7)^2)*Table1[[#This Row],[BW40_3705]],"")</f>
        <v/>
      </c>
      <c r="G9464" s="2" t="str">
        <f>IF(Table1[[#This Row],[Is Data Valid]]=TRUE,((Table1[[#This Row],[Birthweight (grams)]]/Table1[[#This Row],[BW_GA]])-1)/(Backend!$B$4/100*Table1[[#This Row],[BW40_3705]]),"")</f>
        <v/>
      </c>
      <c r="H9464" s="7" t="str">
        <f>IF(Table1[[#This Row],[Is Data Valid]]=TRUE,((Table1[[#This Row],[Birthweight (grams)]]*0.9/Table1[[#This Row],[BW_GA]])-1)/(Backend!$B$4/100*Table1[[#This Row],[BW40_3705]]),"")</f>
        <v/>
      </c>
      <c r="I9464" s="7" t="str">
        <f>IF(Table1[[#This Row],[Is Data Valid]]=TRUE,((Table1[[#This Row],[Birthweight (grams)]]*1.1/Table1[[#This Row],[BW_GA]])-1)/(Backend!$B$4/100*Table1[[#This Row],[BW40_3705]]),"")</f>
        <v/>
      </c>
      <c r="J9464" s="7" t="str">
        <f>IF(Table1[[#This Row],[Is Data Valid]]=TRUE,_xlfn.NORM.S.DIST(Table1[[#This Row],[Birthweight Z-Score]],TRUE)*100,"")</f>
        <v/>
      </c>
      <c r="K9464" s="7" t="str">
        <f>IF(Table1[[#This Row],[Is Data Valid]]=TRUE,_xlfn.NORM.S.DIST(Table1[[#This Row],[Birthweight Z-Score (BW-10%)]],TRUE)*100,"")</f>
        <v/>
      </c>
      <c r="L9464" s="7" t="str">
        <f>IF(Table1[[#This Row],[Is Data Valid]]=TRUE,_xlfn.NORM.S.DIST(Table1[[#This Row],[Birthweight Z-Score (BW+10%)]],TRUE)*100,"")</f>
        <v/>
      </c>
    </row>
    <row r="9465" spans="1:12" x14ac:dyDescent="0.35">
      <c r="A9465" s="3"/>
      <c r="B9465" s="2"/>
      <c r="C9465" s="2"/>
      <c r="D9465" s="2" t="b">
        <f>IF(AND(NOT(ISBLANK(Table1[[#This Row],[Fetal Sex (Male, Female or Unknown)]])),ISNUMBER(Table1[[#This Row],[Birthweight (grams)]]),ISNUMBER(Table1[[#This Row],[Gestation (days)]])),TRUE,FALSE)</f>
        <v>0</v>
      </c>
      <c r="E9465" s="2" t="str">
        <f>IF(Table1[[#This Row],[Is Data Valid]]=TRUE,IF(Table1[[#This Row],[Fetal Sex (Male, Female or Unknown)]]="Male",Backend!$C$6,IF(Table1[[#This Row],[Fetal Sex (Male, Female or Unknown)]]="Female",Backend!$C$7,IF(Table1[[#This Row],[Fetal Sex (Male, Female or Unknown)]]="Unknown",Backend!$C$8,"Error"))),"")</f>
        <v/>
      </c>
      <c r="F9465" s="8" t="str">
        <f>IF(Table1[[#This Row],[Is Data Valid]]=TRUE,EXP(0.578+0.332*((Table1[[#This Row],[Gestation (days)]]+0.5)/7)-0.00354*((Table1[[#This Row],[Gestation (days)]]+0.5)/7)^2)*Table1[[#This Row],[BW40_3705]],"")</f>
        <v/>
      </c>
      <c r="G9465" s="2" t="str">
        <f>IF(Table1[[#This Row],[Is Data Valid]]=TRUE,((Table1[[#This Row],[Birthweight (grams)]]/Table1[[#This Row],[BW_GA]])-1)/(Backend!$B$4/100*Table1[[#This Row],[BW40_3705]]),"")</f>
        <v/>
      </c>
      <c r="H9465" s="7" t="str">
        <f>IF(Table1[[#This Row],[Is Data Valid]]=TRUE,((Table1[[#This Row],[Birthweight (grams)]]*0.9/Table1[[#This Row],[BW_GA]])-1)/(Backend!$B$4/100*Table1[[#This Row],[BW40_3705]]),"")</f>
        <v/>
      </c>
      <c r="I9465" s="7" t="str">
        <f>IF(Table1[[#This Row],[Is Data Valid]]=TRUE,((Table1[[#This Row],[Birthweight (grams)]]*1.1/Table1[[#This Row],[BW_GA]])-1)/(Backend!$B$4/100*Table1[[#This Row],[BW40_3705]]),"")</f>
        <v/>
      </c>
      <c r="J9465" s="7" t="str">
        <f>IF(Table1[[#This Row],[Is Data Valid]]=TRUE,_xlfn.NORM.S.DIST(Table1[[#This Row],[Birthweight Z-Score]],TRUE)*100,"")</f>
        <v/>
      </c>
      <c r="K9465" s="7" t="str">
        <f>IF(Table1[[#This Row],[Is Data Valid]]=TRUE,_xlfn.NORM.S.DIST(Table1[[#This Row],[Birthweight Z-Score (BW-10%)]],TRUE)*100,"")</f>
        <v/>
      </c>
      <c r="L9465" s="7" t="str">
        <f>IF(Table1[[#This Row],[Is Data Valid]]=TRUE,_xlfn.NORM.S.DIST(Table1[[#This Row],[Birthweight Z-Score (BW+10%)]],TRUE)*100,"")</f>
        <v/>
      </c>
    </row>
    <row r="9466" spans="1:12" x14ac:dyDescent="0.35">
      <c r="A9466" s="3"/>
      <c r="B9466" s="2"/>
      <c r="C9466" s="2"/>
      <c r="D9466" s="2" t="b">
        <f>IF(AND(NOT(ISBLANK(Table1[[#This Row],[Fetal Sex (Male, Female or Unknown)]])),ISNUMBER(Table1[[#This Row],[Birthweight (grams)]]),ISNUMBER(Table1[[#This Row],[Gestation (days)]])),TRUE,FALSE)</f>
        <v>0</v>
      </c>
      <c r="E9466" s="2" t="str">
        <f>IF(Table1[[#This Row],[Is Data Valid]]=TRUE,IF(Table1[[#This Row],[Fetal Sex (Male, Female or Unknown)]]="Male",Backend!$C$6,IF(Table1[[#This Row],[Fetal Sex (Male, Female or Unknown)]]="Female",Backend!$C$7,IF(Table1[[#This Row],[Fetal Sex (Male, Female or Unknown)]]="Unknown",Backend!$C$8,"Error"))),"")</f>
        <v/>
      </c>
      <c r="F9466" s="8" t="str">
        <f>IF(Table1[[#This Row],[Is Data Valid]]=TRUE,EXP(0.578+0.332*((Table1[[#This Row],[Gestation (days)]]+0.5)/7)-0.00354*((Table1[[#This Row],[Gestation (days)]]+0.5)/7)^2)*Table1[[#This Row],[BW40_3705]],"")</f>
        <v/>
      </c>
      <c r="G9466" s="2" t="str">
        <f>IF(Table1[[#This Row],[Is Data Valid]]=TRUE,((Table1[[#This Row],[Birthweight (grams)]]/Table1[[#This Row],[BW_GA]])-1)/(Backend!$B$4/100*Table1[[#This Row],[BW40_3705]]),"")</f>
        <v/>
      </c>
      <c r="H9466" s="7" t="str">
        <f>IF(Table1[[#This Row],[Is Data Valid]]=TRUE,((Table1[[#This Row],[Birthweight (grams)]]*0.9/Table1[[#This Row],[BW_GA]])-1)/(Backend!$B$4/100*Table1[[#This Row],[BW40_3705]]),"")</f>
        <v/>
      </c>
      <c r="I9466" s="7" t="str">
        <f>IF(Table1[[#This Row],[Is Data Valid]]=TRUE,((Table1[[#This Row],[Birthweight (grams)]]*1.1/Table1[[#This Row],[BW_GA]])-1)/(Backend!$B$4/100*Table1[[#This Row],[BW40_3705]]),"")</f>
        <v/>
      </c>
      <c r="J9466" s="7" t="str">
        <f>IF(Table1[[#This Row],[Is Data Valid]]=TRUE,_xlfn.NORM.S.DIST(Table1[[#This Row],[Birthweight Z-Score]],TRUE)*100,"")</f>
        <v/>
      </c>
      <c r="K9466" s="7" t="str">
        <f>IF(Table1[[#This Row],[Is Data Valid]]=TRUE,_xlfn.NORM.S.DIST(Table1[[#This Row],[Birthweight Z-Score (BW-10%)]],TRUE)*100,"")</f>
        <v/>
      </c>
      <c r="L9466" s="7" t="str">
        <f>IF(Table1[[#This Row],[Is Data Valid]]=TRUE,_xlfn.NORM.S.DIST(Table1[[#This Row],[Birthweight Z-Score (BW+10%)]],TRUE)*100,"")</f>
        <v/>
      </c>
    </row>
    <row r="9467" spans="1:12" x14ac:dyDescent="0.35">
      <c r="A9467" s="3"/>
      <c r="B9467" s="2"/>
      <c r="C9467" s="2"/>
      <c r="D9467" s="2" t="b">
        <f>IF(AND(NOT(ISBLANK(Table1[[#This Row],[Fetal Sex (Male, Female or Unknown)]])),ISNUMBER(Table1[[#This Row],[Birthweight (grams)]]),ISNUMBER(Table1[[#This Row],[Gestation (days)]])),TRUE,FALSE)</f>
        <v>0</v>
      </c>
      <c r="E9467" s="2" t="str">
        <f>IF(Table1[[#This Row],[Is Data Valid]]=TRUE,IF(Table1[[#This Row],[Fetal Sex (Male, Female or Unknown)]]="Male",Backend!$C$6,IF(Table1[[#This Row],[Fetal Sex (Male, Female or Unknown)]]="Female",Backend!$C$7,IF(Table1[[#This Row],[Fetal Sex (Male, Female or Unknown)]]="Unknown",Backend!$C$8,"Error"))),"")</f>
        <v/>
      </c>
      <c r="F9467" s="8" t="str">
        <f>IF(Table1[[#This Row],[Is Data Valid]]=TRUE,EXP(0.578+0.332*((Table1[[#This Row],[Gestation (days)]]+0.5)/7)-0.00354*((Table1[[#This Row],[Gestation (days)]]+0.5)/7)^2)*Table1[[#This Row],[BW40_3705]],"")</f>
        <v/>
      </c>
      <c r="G9467" s="2" t="str">
        <f>IF(Table1[[#This Row],[Is Data Valid]]=TRUE,((Table1[[#This Row],[Birthweight (grams)]]/Table1[[#This Row],[BW_GA]])-1)/(Backend!$B$4/100*Table1[[#This Row],[BW40_3705]]),"")</f>
        <v/>
      </c>
      <c r="H9467" s="7" t="str">
        <f>IF(Table1[[#This Row],[Is Data Valid]]=TRUE,((Table1[[#This Row],[Birthweight (grams)]]*0.9/Table1[[#This Row],[BW_GA]])-1)/(Backend!$B$4/100*Table1[[#This Row],[BW40_3705]]),"")</f>
        <v/>
      </c>
      <c r="I9467" s="7" t="str">
        <f>IF(Table1[[#This Row],[Is Data Valid]]=TRUE,((Table1[[#This Row],[Birthweight (grams)]]*1.1/Table1[[#This Row],[BW_GA]])-1)/(Backend!$B$4/100*Table1[[#This Row],[BW40_3705]]),"")</f>
        <v/>
      </c>
      <c r="J9467" s="7" t="str">
        <f>IF(Table1[[#This Row],[Is Data Valid]]=TRUE,_xlfn.NORM.S.DIST(Table1[[#This Row],[Birthweight Z-Score]],TRUE)*100,"")</f>
        <v/>
      </c>
      <c r="K9467" s="7" t="str">
        <f>IF(Table1[[#This Row],[Is Data Valid]]=TRUE,_xlfn.NORM.S.DIST(Table1[[#This Row],[Birthweight Z-Score (BW-10%)]],TRUE)*100,"")</f>
        <v/>
      </c>
      <c r="L9467" s="7" t="str">
        <f>IF(Table1[[#This Row],[Is Data Valid]]=TRUE,_xlfn.NORM.S.DIST(Table1[[#This Row],[Birthweight Z-Score (BW+10%)]],TRUE)*100,"")</f>
        <v/>
      </c>
    </row>
    <row r="9468" spans="1:12" x14ac:dyDescent="0.35">
      <c r="A9468" s="3"/>
      <c r="B9468" s="2"/>
      <c r="C9468" s="2"/>
      <c r="D9468" s="2" t="b">
        <f>IF(AND(NOT(ISBLANK(Table1[[#This Row],[Fetal Sex (Male, Female or Unknown)]])),ISNUMBER(Table1[[#This Row],[Birthweight (grams)]]),ISNUMBER(Table1[[#This Row],[Gestation (days)]])),TRUE,FALSE)</f>
        <v>0</v>
      </c>
      <c r="E9468" s="2" t="str">
        <f>IF(Table1[[#This Row],[Is Data Valid]]=TRUE,IF(Table1[[#This Row],[Fetal Sex (Male, Female or Unknown)]]="Male",Backend!$C$6,IF(Table1[[#This Row],[Fetal Sex (Male, Female or Unknown)]]="Female",Backend!$C$7,IF(Table1[[#This Row],[Fetal Sex (Male, Female or Unknown)]]="Unknown",Backend!$C$8,"Error"))),"")</f>
        <v/>
      </c>
      <c r="F9468" s="8" t="str">
        <f>IF(Table1[[#This Row],[Is Data Valid]]=TRUE,EXP(0.578+0.332*((Table1[[#This Row],[Gestation (days)]]+0.5)/7)-0.00354*((Table1[[#This Row],[Gestation (days)]]+0.5)/7)^2)*Table1[[#This Row],[BW40_3705]],"")</f>
        <v/>
      </c>
      <c r="G9468" s="2" t="str">
        <f>IF(Table1[[#This Row],[Is Data Valid]]=TRUE,((Table1[[#This Row],[Birthweight (grams)]]/Table1[[#This Row],[BW_GA]])-1)/(Backend!$B$4/100*Table1[[#This Row],[BW40_3705]]),"")</f>
        <v/>
      </c>
      <c r="H9468" s="7" t="str">
        <f>IF(Table1[[#This Row],[Is Data Valid]]=TRUE,((Table1[[#This Row],[Birthweight (grams)]]*0.9/Table1[[#This Row],[BW_GA]])-1)/(Backend!$B$4/100*Table1[[#This Row],[BW40_3705]]),"")</f>
        <v/>
      </c>
      <c r="I9468" s="7" t="str">
        <f>IF(Table1[[#This Row],[Is Data Valid]]=TRUE,((Table1[[#This Row],[Birthweight (grams)]]*1.1/Table1[[#This Row],[BW_GA]])-1)/(Backend!$B$4/100*Table1[[#This Row],[BW40_3705]]),"")</f>
        <v/>
      </c>
      <c r="J9468" s="7" t="str">
        <f>IF(Table1[[#This Row],[Is Data Valid]]=TRUE,_xlfn.NORM.S.DIST(Table1[[#This Row],[Birthweight Z-Score]],TRUE)*100,"")</f>
        <v/>
      </c>
      <c r="K9468" s="7" t="str">
        <f>IF(Table1[[#This Row],[Is Data Valid]]=TRUE,_xlfn.NORM.S.DIST(Table1[[#This Row],[Birthweight Z-Score (BW-10%)]],TRUE)*100,"")</f>
        <v/>
      </c>
      <c r="L9468" s="7" t="str">
        <f>IF(Table1[[#This Row],[Is Data Valid]]=TRUE,_xlfn.NORM.S.DIST(Table1[[#This Row],[Birthweight Z-Score (BW+10%)]],TRUE)*100,"")</f>
        <v/>
      </c>
    </row>
    <row r="9469" spans="1:12" x14ac:dyDescent="0.35">
      <c r="A9469" s="3"/>
      <c r="B9469" s="2"/>
      <c r="C9469" s="2"/>
      <c r="D9469" s="2" t="b">
        <f>IF(AND(NOT(ISBLANK(Table1[[#This Row],[Fetal Sex (Male, Female or Unknown)]])),ISNUMBER(Table1[[#This Row],[Birthweight (grams)]]),ISNUMBER(Table1[[#This Row],[Gestation (days)]])),TRUE,FALSE)</f>
        <v>0</v>
      </c>
      <c r="E9469" s="2" t="str">
        <f>IF(Table1[[#This Row],[Is Data Valid]]=TRUE,IF(Table1[[#This Row],[Fetal Sex (Male, Female or Unknown)]]="Male",Backend!$C$6,IF(Table1[[#This Row],[Fetal Sex (Male, Female or Unknown)]]="Female",Backend!$C$7,IF(Table1[[#This Row],[Fetal Sex (Male, Female or Unknown)]]="Unknown",Backend!$C$8,"Error"))),"")</f>
        <v/>
      </c>
      <c r="F9469" s="8" t="str">
        <f>IF(Table1[[#This Row],[Is Data Valid]]=TRUE,EXP(0.578+0.332*((Table1[[#This Row],[Gestation (days)]]+0.5)/7)-0.00354*((Table1[[#This Row],[Gestation (days)]]+0.5)/7)^2)*Table1[[#This Row],[BW40_3705]],"")</f>
        <v/>
      </c>
      <c r="G9469" s="2" t="str">
        <f>IF(Table1[[#This Row],[Is Data Valid]]=TRUE,((Table1[[#This Row],[Birthweight (grams)]]/Table1[[#This Row],[BW_GA]])-1)/(Backend!$B$4/100*Table1[[#This Row],[BW40_3705]]),"")</f>
        <v/>
      </c>
      <c r="H9469" s="7" t="str">
        <f>IF(Table1[[#This Row],[Is Data Valid]]=TRUE,((Table1[[#This Row],[Birthweight (grams)]]*0.9/Table1[[#This Row],[BW_GA]])-1)/(Backend!$B$4/100*Table1[[#This Row],[BW40_3705]]),"")</f>
        <v/>
      </c>
      <c r="I9469" s="7" t="str">
        <f>IF(Table1[[#This Row],[Is Data Valid]]=TRUE,((Table1[[#This Row],[Birthweight (grams)]]*1.1/Table1[[#This Row],[BW_GA]])-1)/(Backend!$B$4/100*Table1[[#This Row],[BW40_3705]]),"")</f>
        <v/>
      </c>
      <c r="J9469" s="7" t="str">
        <f>IF(Table1[[#This Row],[Is Data Valid]]=TRUE,_xlfn.NORM.S.DIST(Table1[[#This Row],[Birthweight Z-Score]],TRUE)*100,"")</f>
        <v/>
      </c>
      <c r="K9469" s="7" t="str">
        <f>IF(Table1[[#This Row],[Is Data Valid]]=TRUE,_xlfn.NORM.S.DIST(Table1[[#This Row],[Birthweight Z-Score (BW-10%)]],TRUE)*100,"")</f>
        <v/>
      </c>
      <c r="L9469" s="7" t="str">
        <f>IF(Table1[[#This Row],[Is Data Valid]]=TRUE,_xlfn.NORM.S.DIST(Table1[[#This Row],[Birthweight Z-Score (BW+10%)]],TRUE)*100,"")</f>
        <v/>
      </c>
    </row>
    <row r="9470" spans="1:12" x14ac:dyDescent="0.35">
      <c r="A9470" s="3"/>
      <c r="B9470" s="2"/>
      <c r="C9470" s="2"/>
      <c r="D9470" s="2" t="b">
        <f>IF(AND(NOT(ISBLANK(Table1[[#This Row],[Fetal Sex (Male, Female or Unknown)]])),ISNUMBER(Table1[[#This Row],[Birthweight (grams)]]),ISNUMBER(Table1[[#This Row],[Gestation (days)]])),TRUE,FALSE)</f>
        <v>0</v>
      </c>
      <c r="E9470" s="2" t="str">
        <f>IF(Table1[[#This Row],[Is Data Valid]]=TRUE,IF(Table1[[#This Row],[Fetal Sex (Male, Female or Unknown)]]="Male",Backend!$C$6,IF(Table1[[#This Row],[Fetal Sex (Male, Female or Unknown)]]="Female",Backend!$C$7,IF(Table1[[#This Row],[Fetal Sex (Male, Female or Unknown)]]="Unknown",Backend!$C$8,"Error"))),"")</f>
        <v/>
      </c>
      <c r="F9470" s="8" t="str">
        <f>IF(Table1[[#This Row],[Is Data Valid]]=TRUE,EXP(0.578+0.332*((Table1[[#This Row],[Gestation (days)]]+0.5)/7)-0.00354*((Table1[[#This Row],[Gestation (days)]]+0.5)/7)^2)*Table1[[#This Row],[BW40_3705]],"")</f>
        <v/>
      </c>
      <c r="G9470" s="2" t="str">
        <f>IF(Table1[[#This Row],[Is Data Valid]]=TRUE,((Table1[[#This Row],[Birthweight (grams)]]/Table1[[#This Row],[BW_GA]])-1)/(Backend!$B$4/100*Table1[[#This Row],[BW40_3705]]),"")</f>
        <v/>
      </c>
      <c r="H9470" s="7" t="str">
        <f>IF(Table1[[#This Row],[Is Data Valid]]=TRUE,((Table1[[#This Row],[Birthweight (grams)]]*0.9/Table1[[#This Row],[BW_GA]])-1)/(Backend!$B$4/100*Table1[[#This Row],[BW40_3705]]),"")</f>
        <v/>
      </c>
      <c r="I9470" s="7" t="str">
        <f>IF(Table1[[#This Row],[Is Data Valid]]=TRUE,((Table1[[#This Row],[Birthweight (grams)]]*1.1/Table1[[#This Row],[BW_GA]])-1)/(Backend!$B$4/100*Table1[[#This Row],[BW40_3705]]),"")</f>
        <v/>
      </c>
      <c r="J9470" s="7" t="str">
        <f>IF(Table1[[#This Row],[Is Data Valid]]=TRUE,_xlfn.NORM.S.DIST(Table1[[#This Row],[Birthweight Z-Score]],TRUE)*100,"")</f>
        <v/>
      </c>
      <c r="K9470" s="7" t="str">
        <f>IF(Table1[[#This Row],[Is Data Valid]]=TRUE,_xlfn.NORM.S.DIST(Table1[[#This Row],[Birthweight Z-Score (BW-10%)]],TRUE)*100,"")</f>
        <v/>
      </c>
      <c r="L9470" s="7" t="str">
        <f>IF(Table1[[#This Row],[Is Data Valid]]=TRUE,_xlfn.NORM.S.DIST(Table1[[#This Row],[Birthweight Z-Score (BW+10%)]],TRUE)*100,"")</f>
        <v/>
      </c>
    </row>
    <row r="9471" spans="1:12" x14ac:dyDescent="0.35">
      <c r="A9471" s="3"/>
      <c r="B9471" s="2"/>
      <c r="C9471" s="2"/>
      <c r="D9471" s="2" t="b">
        <f>IF(AND(NOT(ISBLANK(Table1[[#This Row],[Fetal Sex (Male, Female or Unknown)]])),ISNUMBER(Table1[[#This Row],[Birthweight (grams)]]),ISNUMBER(Table1[[#This Row],[Gestation (days)]])),TRUE,FALSE)</f>
        <v>0</v>
      </c>
      <c r="E9471" s="2" t="str">
        <f>IF(Table1[[#This Row],[Is Data Valid]]=TRUE,IF(Table1[[#This Row],[Fetal Sex (Male, Female or Unknown)]]="Male",Backend!$C$6,IF(Table1[[#This Row],[Fetal Sex (Male, Female or Unknown)]]="Female",Backend!$C$7,IF(Table1[[#This Row],[Fetal Sex (Male, Female or Unknown)]]="Unknown",Backend!$C$8,"Error"))),"")</f>
        <v/>
      </c>
      <c r="F9471" s="8" t="str">
        <f>IF(Table1[[#This Row],[Is Data Valid]]=TRUE,EXP(0.578+0.332*((Table1[[#This Row],[Gestation (days)]]+0.5)/7)-0.00354*((Table1[[#This Row],[Gestation (days)]]+0.5)/7)^2)*Table1[[#This Row],[BW40_3705]],"")</f>
        <v/>
      </c>
      <c r="G9471" s="2" t="str">
        <f>IF(Table1[[#This Row],[Is Data Valid]]=TRUE,((Table1[[#This Row],[Birthweight (grams)]]/Table1[[#This Row],[BW_GA]])-1)/(Backend!$B$4/100*Table1[[#This Row],[BW40_3705]]),"")</f>
        <v/>
      </c>
      <c r="H9471" s="7" t="str">
        <f>IF(Table1[[#This Row],[Is Data Valid]]=TRUE,((Table1[[#This Row],[Birthweight (grams)]]*0.9/Table1[[#This Row],[BW_GA]])-1)/(Backend!$B$4/100*Table1[[#This Row],[BW40_3705]]),"")</f>
        <v/>
      </c>
      <c r="I9471" s="7" t="str">
        <f>IF(Table1[[#This Row],[Is Data Valid]]=TRUE,((Table1[[#This Row],[Birthweight (grams)]]*1.1/Table1[[#This Row],[BW_GA]])-1)/(Backend!$B$4/100*Table1[[#This Row],[BW40_3705]]),"")</f>
        <v/>
      </c>
      <c r="J9471" s="7" t="str">
        <f>IF(Table1[[#This Row],[Is Data Valid]]=TRUE,_xlfn.NORM.S.DIST(Table1[[#This Row],[Birthweight Z-Score]],TRUE)*100,"")</f>
        <v/>
      </c>
      <c r="K9471" s="7" t="str">
        <f>IF(Table1[[#This Row],[Is Data Valid]]=TRUE,_xlfn.NORM.S.DIST(Table1[[#This Row],[Birthweight Z-Score (BW-10%)]],TRUE)*100,"")</f>
        <v/>
      </c>
      <c r="L9471" s="7" t="str">
        <f>IF(Table1[[#This Row],[Is Data Valid]]=TRUE,_xlfn.NORM.S.DIST(Table1[[#This Row],[Birthweight Z-Score (BW+10%)]],TRUE)*100,"")</f>
        <v/>
      </c>
    </row>
    <row r="9472" spans="1:12" x14ac:dyDescent="0.35">
      <c r="A9472" s="3"/>
      <c r="B9472" s="2"/>
      <c r="C9472" s="2"/>
      <c r="D9472" s="2" t="b">
        <f>IF(AND(NOT(ISBLANK(Table1[[#This Row],[Fetal Sex (Male, Female or Unknown)]])),ISNUMBER(Table1[[#This Row],[Birthweight (grams)]]),ISNUMBER(Table1[[#This Row],[Gestation (days)]])),TRUE,FALSE)</f>
        <v>0</v>
      </c>
      <c r="E9472" s="2" t="str">
        <f>IF(Table1[[#This Row],[Is Data Valid]]=TRUE,IF(Table1[[#This Row],[Fetal Sex (Male, Female or Unknown)]]="Male",Backend!$C$6,IF(Table1[[#This Row],[Fetal Sex (Male, Female or Unknown)]]="Female",Backend!$C$7,IF(Table1[[#This Row],[Fetal Sex (Male, Female or Unknown)]]="Unknown",Backend!$C$8,"Error"))),"")</f>
        <v/>
      </c>
      <c r="F9472" s="8" t="str">
        <f>IF(Table1[[#This Row],[Is Data Valid]]=TRUE,EXP(0.578+0.332*((Table1[[#This Row],[Gestation (days)]]+0.5)/7)-0.00354*((Table1[[#This Row],[Gestation (days)]]+0.5)/7)^2)*Table1[[#This Row],[BW40_3705]],"")</f>
        <v/>
      </c>
      <c r="G9472" s="2" t="str">
        <f>IF(Table1[[#This Row],[Is Data Valid]]=TRUE,((Table1[[#This Row],[Birthweight (grams)]]/Table1[[#This Row],[BW_GA]])-1)/(Backend!$B$4/100*Table1[[#This Row],[BW40_3705]]),"")</f>
        <v/>
      </c>
      <c r="H9472" s="7" t="str">
        <f>IF(Table1[[#This Row],[Is Data Valid]]=TRUE,((Table1[[#This Row],[Birthweight (grams)]]*0.9/Table1[[#This Row],[BW_GA]])-1)/(Backend!$B$4/100*Table1[[#This Row],[BW40_3705]]),"")</f>
        <v/>
      </c>
      <c r="I9472" s="7" t="str">
        <f>IF(Table1[[#This Row],[Is Data Valid]]=TRUE,((Table1[[#This Row],[Birthweight (grams)]]*1.1/Table1[[#This Row],[BW_GA]])-1)/(Backend!$B$4/100*Table1[[#This Row],[BW40_3705]]),"")</f>
        <v/>
      </c>
      <c r="J9472" s="7" t="str">
        <f>IF(Table1[[#This Row],[Is Data Valid]]=TRUE,_xlfn.NORM.S.DIST(Table1[[#This Row],[Birthweight Z-Score]],TRUE)*100,"")</f>
        <v/>
      </c>
      <c r="K9472" s="7" t="str">
        <f>IF(Table1[[#This Row],[Is Data Valid]]=TRUE,_xlfn.NORM.S.DIST(Table1[[#This Row],[Birthweight Z-Score (BW-10%)]],TRUE)*100,"")</f>
        <v/>
      </c>
      <c r="L9472" s="7" t="str">
        <f>IF(Table1[[#This Row],[Is Data Valid]]=TRUE,_xlfn.NORM.S.DIST(Table1[[#This Row],[Birthweight Z-Score (BW+10%)]],TRUE)*100,"")</f>
        <v/>
      </c>
    </row>
    <row r="9473" spans="1:12" x14ac:dyDescent="0.35">
      <c r="A9473" s="3"/>
      <c r="B9473" s="2"/>
      <c r="C9473" s="2"/>
      <c r="D9473" s="2" t="b">
        <f>IF(AND(NOT(ISBLANK(Table1[[#This Row],[Fetal Sex (Male, Female or Unknown)]])),ISNUMBER(Table1[[#This Row],[Birthweight (grams)]]),ISNUMBER(Table1[[#This Row],[Gestation (days)]])),TRUE,FALSE)</f>
        <v>0</v>
      </c>
      <c r="E9473" s="2" t="str">
        <f>IF(Table1[[#This Row],[Is Data Valid]]=TRUE,IF(Table1[[#This Row],[Fetal Sex (Male, Female or Unknown)]]="Male",Backend!$C$6,IF(Table1[[#This Row],[Fetal Sex (Male, Female or Unknown)]]="Female",Backend!$C$7,IF(Table1[[#This Row],[Fetal Sex (Male, Female or Unknown)]]="Unknown",Backend!$C$8,"Error"))),"")</f>
        <v/>
      </c>
      <c r="F9473" s="8" t="str">
        <f>IF(Table1[[#This Row],[Is Data Valid]]=TRUE,EXP(0.578+0.332*((Table1[[#This Row],[Gestation (days)]]+0.5)/7)-0.00354*((Table1[[#This Row],[Gestation (days)]]+0.5)/7)^2)*Table1[[#This Row],[BW40_3705]],"")</f>
        <v/>
      </c>
      <c r="G9473" s="2" t="str">
        <f>IF(Table1[[#This Row],[Is Data Valid]]=TRUE,((Table1[[#This Row],[Birthweight (grams)]]/Table1[[#This Row],[BW_GA]])-1)/(Backend!$B$4/100*Table1[[#This Row],[BW40_3705]]),"")</f>
        <v/>
      </c>
      <c r="H9473" s="7" t="str">
        <f>IF(Table1[[#This Row],[Is Data Valid]]=TRUE,((Table1[[#This Row],[Birthweight (grams)]]*0.9/Table1[[#This Row],[BW_GA]])-1)/(Backend!$B$4/100*Table1[[#This Row],[BW40_3705]]),"")</f>
        <v/>
      </c>
      <c r="I9473" s="7" t="str">
        <f>IF(Table1[[#This Row],[Is Data Valid]]=TRUE,((Table1[[#This Row],[Birthweight (grams)]]*1.1/Table1[[#This Row],[BW_GA]])-1)/(Backend!$B$4/100*Table1[[#This Row],[BW40_3705]]),"")</f>
        <v/>
      </c>
      <c r="J9473" s="7" t="str">
        <f>IF(Table1[[#This Row],[Is Data Valid]]=TRUE,_xlfn.NORM.S.DIST(Table1[[#This Row],[Birthweight Z-Score]],TRUE)*100,"")</f>
        <v/>
      </c>
      <c r="K9473" s="7" t="str">
        <f>IF(Table1[[#This Row],[Is Data Valid]]=TRUE,_xlfn.NORM.S.DIST(Table1[[#This Row],[Birthweight Z-Score (BW-10%)]],TRUE)*100,"")</f>
        <v/>
      </c>
      <c r="L9473" s="7" t="str">
        <f>IF(Table1[[#This Row],[Is Data Valid]]=TRUE,_xlfn.NORM.S.DIST(Table1[[#This Row],[Birthweight Z-Score (BW+10%)]],TRUE)*100,"")</f>
        <v/>
      </c>
    </row>
    <row r="9474" spans="1:12" x14ac:dyDescent="0.35">
      <c r="A9474" s="3"/>
      <c r="B9474" s="2"/>
      <c r="C9474" s="2"/>
      <c r="D9474" s="2" t="b">
        <f>IF(AND(NOT(ISBLANK(Table1[[#This Row],[Fetal Sex (Male, Female or Unknown)]])),ISNUMBER(Table1[[#This Row],[Birthweight (grams)]]),ISNUMBER(Table1[[#This Row],[Gestation (days)]])),TRUE,FALSE)</f>
        <v>0</v>
      </c>
      <c r="E9474" s="2" t="str">
        <f>IF(Table1[[#This Row],[Is Data Valid]]=TRUE,IF(Table1[[#This Row],[Fetal Sex (Male, Female or Unknown)]]="Male",Backend!$C$6,IF(Table1[[#This Row],[Fetal Sex (Male, Female or Unknown)]]="Female",Backend!$C$7,IF(Table1[[#This Row],[Fetal Sex (Male, Female or Unknown)]]="Unknown",Backend!$C$8,"Error"))),"")</f>
        <v/>
      </c>
      <c r="F9474" s="8" t="str">
        <f>IF(Table1[[#This Row],[Is Data Valid]]=TRUE,EXP(0.578+0.332*((Table1[[#This Row],[Gestation (days)]]+0.5)/7)-0.00354*((Table1[[#This Row],[Gestation (days)]]+0.5)/7)^2)*Table1[[#This Row],[BW40_3705]],"")</f>
        <v/>
      </c>
      <c r="G9474" s="2" t="str">
        <f>IF(Table1[[#This Row],[Is Data Valid]]=TRUE,((Table1[[#This Row],[Birthweight (grams)]]/Table1[[#This Row],[BW_GA]])-1)/(Backend!$B$4/100*Table1[[#This Row],[BW40_3705]]),"")</f>
        <v/>
      </c>
      <c r="H9474" s="7" t="str">
        <f>IF(Table1[[#This Row],[Is Data Valid]]=TRUE,((Table1[[#This Row],[Birthweight (grams)]]*0.9/Table1[[#This Row],[BW_GA]])-1)/(Backend!$B$4/100*Table1[[#This Row],[BW40_3705]]),"")</f>
        <v/>
      </c>
      <c r="I9474" s="7" t="str">
        <f>IF(Table1[[#This Row],[Is Data Valid]]=TRUE,((Table1[[#This Row],[Birthweight (grams)]]*1.1/Table1[[#This Row],[BW_GA]])-1)/(Backend!$B$4/100*Table1[[#This Row],[BW40_3705]]),"")</f>
        <v/>
      </c>
      <c r="J9474" s="7" t="str">
        <f>IF(Table1[[#This Row],[Is Data Valid]]=TRUE,_xlfn.NORM.S.DIST(Table1[[#This Row],[Birthweight Z-Score]],TRUE)*100,"")</f>
        <v/>
      </c>
      <c r="K9474" s="7" t="str">
        <f>IF(Table1[[#This Row],[Is Data Valid]]=TRUE,_xlfn.NORM.S.DIST(Table1[[#This Row],[Birthweight Z-Score (BW-10%)]],TRUE)*100,"")</f>
        <v/>
      </c>
      <c r="L9474" s="7" t="str">
        <f>IF(Table1[[#This Row],[Is Data Valid]]=TRUE,_xlfn.NORM.S.DIST(Table1[[#This Row],[Birthweight Z-Score (BW+10%)]],TRUE)*100,"")</f>
        <v/>
      </c>
    </row>
    <row r="9475" spans="1:12" x14ac:dyDescent="0.35">
      <c r="A9475" s="3"/>
      <c r="B9475" s="2"/>
      <c r="C9475" s="2"/>
      <c r="D9475" s="2" t="b">
        <f>IF(AND(NOT(ISBLANK(Table1[[#This Row],[Fetal Sex (Male, Female or Unknown)]])),ISNUMBER(Table1[[#This Row],[Birthweight (grams)]]),ISNUMBER(Table1[[#This Row],[Gestation (days)]])),TRUE,FALSE)</f>
        <v>0</v>
      </c>
      <c r="E9475" s="2" t="str">
        <f>IF(Table1[[#This Row],[Is Data Valid]]=TRUE,IF(Table1[[#This Row],[Fetal Sex (Male, Female or Unknown)]]="Male",Backend!$C$6,IF(Table1[[#This Row],[Fetal Sex (Male, Female or Unknown)]]="Female",Backend!$C$7,IF(Table1[[#This Row],[Fetal Sex (Male, Female or Unknown)]]="Unknown",Backend!$C$8,"Error"))),"")</f>
        <v/>
      </c>
      <c r="F9475" s="8" t="str">
        <f>IF(Table1[[#This Row],[Is Data Valid]]=TRUE,EXP(0.578+0.332*((Table1[[#This Row],[Gestation (days)]]+0.5)/7)-0.00354*((Table1[[#This Row],[Gestation (days)]]+0.5)/7)^2)*Table1[[#This Row],[BW40_3705]],"")</f>
        <v/>
      </c>
      <c r="G9475" s="2" t="str">
        <f>IF(Table1[[#This Row],[Is Data Valid]]=TRUE,((Table1[[#This Row],[Birthweight (grams)]]/Table1[[#This Row],[BW_GA]])-1)/(Backend!$B$4/100*Table1[[#This Row],[BW40_3705]]),"")</f>
        <v/>
      </c>
      <c r="H9475" s="7" t="str">
        <f>IF(Table1[[#This Row],[Is Data Valid]]=TRUE,((Table1[[#This Row],[Birthweight (grams)]]*0.9/Table1[[#This Row],[BW_GA]])-1)/(Backend!$B$4/100*Table1[[#This Row],[BW40_3705]]),"")</f>
        <v/>
      </c>
      <c r="I9475" s="7" t="str">
        <f>IF(Table1[[#This Row],[Is Data Valid]]=TRUE,((Table1[[#This Row],[Birthweight (grams)]]*1.1/Table1[[#This Row],[BW_GA]])-1)/(Backend!$B$4/100*Table1[[#This Row],[BW40_3705]]),"")</f>
        <v/>
      </c>
      <c r="J9475" s="7" t="str">
        <f>IF(Table1[[#This Row],[Is Data Valid]]=TRUE,_xlfn.NORM.S.DIST(Table1[[#This Row],[Birthweight Z-Score]],TRUE)*100,"")</f>
        <v/>
      </c>
      <c r="K9475" s="7" t="str">
        <f>IF(Table1[[#This Row],[Is Data Valid]]=TRUE,_xlfn.NORM.S.DIST(Table1[[#This Row],[Birthweight Z-Score (BW-10%)]],TRUE)*100,"")</f>
        <v/>
      </c>
      <c r="L9475" s="7" t="str">
        <f>IF(Table1[[#This Row],[Is Data Valid]]=TRUE,_xlfn.NORM.S.DIST(Table1[[#This Row],[Birthweight Z-Score (BW+10%)]],TRUE)*100,"")</f>
        <v/>
      </c>
    </row>
    <row r="9476" spans="1:12" x14ac:dyDescent="0.35">
      <c r="A9476" s="3"/>
      <c r="B9476" s="2"/>
      <c r="C9476" s="2"/>
      <c r="D9476" s="2" t="b">
        <f>IF(AND(NOT(ISBLANK(Table1[[#This Row],[Fetal Sex (Male, Female or Unknown)]])),ISNUMBER(Table1[[#This Row],[Birthweight (grams)]]),ISNUMBER(Table1[[#This Row],[Gestation (days)]])),TRUE,FALSE)</f>
        <v>0</v>
      </c>
      <c r="E9476" s="2" t="str">
        <f>IF(Table1[[#This Row],[Is Data Valid]]=TRUE,IF(Table1[[#This Row],[Fetal Sex (Male, Female or Unknown)]]="Male",Backend!$C$6,IF(Table1[[#This Row],[Fetal Sex (Male, Female or Unknown)]]="Female",Backend!$C$7,IF(Table1[[#This Row],[Fetal Sex (Male, Female or Unknown)]]="Unknown",Backend!$C$8,"Error"))),"")</f>
        <v/>
      </c>
      <c r="F9476" s="8" t="str">
        <f>IF(Table1[[#This Row],[Is Data Valid]]=TRUE,EXP(0.578+0.332*((Table1[[#This Row],[Gestation (days)]]+0.5)/7)-0.00354*((Table1[[#This Row],[Gestation (days)]]+0.5)/7)^2)*Table1[[#This Row],[BW40_3705]],"")</f>
        <v/>
      </c>
      <c r="G9476" s="2" t="str">
        <f>IF(Table1[[#This Row],[Is Data Valid]]=TRUE,((Table1[[#This Row],[Birthweight (grams)]]/Table1[[#This Row],[BW_GA]])-1)/(Backend!$B$4/100*Table1[[#This Row],[BW40_3705]]),"")</f>
        <v/>
      </c>
      <c r="H9476" s="7" t="str">
        <f>IF(Table1[[#This Row],[Is Data Valid]]=TRUE,((Table1[[#This Row],[Birthweight (grams)]]*0.9/Table1[[#This Row],[BW_GA]])-1)/(Backend!$B$4/100*Table1[[#This Row],[BW40_3705]]),"")</f>
        <v/>
      </c>
      <c r="I9476" s="7" t="str">
        <f>IF(Table1[[#This Row],[Is Data Valid]]=TRUE,((Table1[[#This Row],[Birthweight (grams)]]*1.1/Table1[[#This Row],[BW_GA]])-1)/(Backend!$B$4/100*Table1[[#This Row],[BW40_3705]]),"")</f>
        <v/>
      </c>
      <c r="J9476" s="7" t="str">
        <f>IF(Table1[[#This Row],[Is Data Valid]]=TRUE,_xlfn.NORM.S.DIST(Table1[[#This Row],[Birthweight Z-Score]],TRUE)*100,"")</f>
        <v/>
      </c>
      <c r="K9476" s="7" t="str">
        <f>IF(Table1[[#This Row],[Is Data Valid]]=TRUE,_xlfn.NORM.S.DIST(Table1[[#This Row],[Birthweight Z-Score (BW-10%)]],TRUE)*100,"")</f>
        <v/>
      </c>
      <c r="L9476" s="7" t="str">
        <f>IF(Table1[[#This Row],[Is Data Valid]]=TRUE,_xlfn.NORM.S.DIST(Table1[[#This Row],[Birthweight Z-Score (BW+10%)]],TRUE)*100,"")</f>
        <v/>
      </c>
    </row>
    <row r="9477" spans="1:12" x14ac:dyDescent="0.35">
      <c r="A9477" s="3"/>
      <c r="B9477" s="2"/>
      <c r="C9477" s="2"/>
      <c r="D9477" s="2" t="b">
        <f>IF(AND(NOT(ISBLANK(Table1[[#This Row],[Fetal Sex (Male, Female or Unknown)]])),ISNUMBER(Table1[[#This Row],[Birthweight (grams)]]),ISNUMBER(Table1[[#This Row],[Gestation (days)]])),TRUE,FALSE)</f>
        <v>0</v>
      </c>
      <c r="E9477" s="2" t="str">
        <f>IF(Table1[[#This Row],[Is Data Valid]]=TRUE,IF(Table1[[#This Row],[Fetal Sex (Male, Female or Unknown)]]="Male",Backend!$C$6,IF(Table1[[#This Row],[Fetal Sex (Male, Female or Unknown)]]="Female",Backend!$C$7,IF(Table1[[#This Row],[Fetal Sex (Male, Female or Unknown)]]="Unknown",Backend!$C$8,"Error"))),"")</f>
        <v/>
      </c>
      <c r="F9477" s="8" t="str">
        <f>IF(Table1[[#This Row],[Is Data Valid]]=TRUE,EXP(0.578+0.332*((Table1[[#This Row],[Gestation (days)]]+0.5)/7)-0.00354*((Table1[[#This Row],[Gestation (days)]]+0.5)/7)^2)*Table1[[#This Row],[BW40_3705]],"")</f>
        <v/>
      </c>
      <c r="G9477" s="2" t="str">
        <f>IF(Table1[[#This Row],[Is Data Valid]]=TRUE,((Table1[[#This Row],[Birthweight (grams)]]/Table1[[#This Row],[BW_GA]])-1)/(Backend!$B$4/100*Table1[[#This Row],[BW40_3705]]),"")</f>
        <v/>
      </c>
      <c r="H9477" s="7" t="str">
        <f>IF(Table1[[#This Row],[Is Data Valid]]=TRUE,((Table1[[#This Row],[Birthweight (grams)]]*0.9/Table1[[#This Row],[BW_GA]])-1)/(Backend!$B$4/100*Table1[[#This Row],[BW40_3705]]),"")</f>
        <v/>
      </c>
      <c r="I9477" s="7" t="str">
        <f>IF(Table1[[#This Row],[Is Data Valid]]=TRUE,((Table1[[#This Row],[Birthweight (grams)]]*1.1/Table1[[#This Row],[BW_GA]])-1)/(Backend!$B$4/100*Table1[[#This Row],[BW40_3705]]),"")</f>
        <v/>
      </c>
      <c r="J9477" s="7" t="str">
        <f>IF(Table1[[#This Row],[Is Data Valid]]=TRUE,_xlfn.NORM.S.DIST(Table1[[#This Row],[Birthweight Z-Score]],TRUE)*100,"")</f>
        <v/>
      </c>
      <c r="K9477" s="7" t="str">
        <f>IF(Table1[[#This Row],[Is Data Valid]]=TRUE,_xlfn.NORM.S.DIST(Table1[[#This Row],[Birthweight Z-Score (BW-10%)]],TRUE)*100,"")</f>
        <v/>
      </c>
      <c r="L9477" s="7" t="str">
        <f>IF(Table1[[#This Row],[Is Data Valid]]=TRUE,_xlfn.NORM.S.DIST(Table1[[#This Row],[Birthweight Z-Score (BW+10%)]],TRUE)*100,"")</f>
        <v/>
      </c>
    </row>
    <row r="9478" spans="1:12" x14ac:dyDescent="0.35">
      <c r="A9478" s="3"/>
      <c r="B9478" s="2"/>
      <c r="C9478" s="2"/>
      <c r="D9478" s="2" t="b">
        <f>IF(AND(NOT(ISBLANK(Table1[[#This Row],[Fetal Sex (Male, Female or Unknown)]])),ISNUMBER(Table1[[#This Row],[Birthweight (grams)]]),ISNUMBER(Table1[[#This Row],[Gestation (days)]])),TRUE,FALSE)</f>
        <v>0</v>
      </c>
      <c r="E9478" s="2" t="str">
        <f>IF(Table1[[#This Row],[Is Data Valid]]=TRUE,IF(Table1[[#This Row],[Fetal Sex (Male, Female or Unknown)]]="Male",Backend!$C$6,IF(Table1[[#This Row],[Fetal Sex (Male, Female or Unknown)]]="Female",Backend!$C$7,IF(Table1[[#This Row],[Fetal Sex (Male, Female or Unknown)]]="Unknown",Backend!$C$8,"Error"))),"")</f>
        <v/>
      </c>
      <c r="F9478" s="8" t="str">
        <f>IF(Table1[[#This Row],[Is Data Valid]]=TRUE,EXP(0.578+0.332*((Table1[[#This Row],[Gestation (days)]]+0.5)/7)-0.00354*((Table1[[#This Row],[Gestation (days)]]+0.5)/7)^2)*Table1[[#This Row],[BW40_3705]],"")</f>
        <v/>
      </c>
      <c r="G9478" s="2" t="str">
        <f>IF(Table1[[#This Row],[Is Data Valid]]=TRUE,((Table1[[#This Row],[Birthweight (grams)]]/Table1[[#This Row],[BW_GA]])-1)/(Backend!$B$4/100*Table1[[#This Row],[BW40_3705]]),"")</f>
        <v/>
      </c>
      <c r="H9478" s="7" t="str">
        <f>IF(Table1[[#This Row],[Is Data Valid]]=TRUE,((Table1[[#This Row],[Birthweight (grams)]]*0.9/Table1[[#This Row],[BW_GA]])-1)/(Backend!$B$4/100*Table1[[#This Row],[BW40_3705]]),"")</f>
        <v/>
      </c>
      <c r="I9478" s="7" t="str">
        <f>IF(Table1[[#This Row],[Is Data Valid]]=TRUE,((Table1[[#This Row],[Birthweight (grams)]]*1.1/Table1[[#This Row],[BW_GA]])-1)/(Backend!$B$4/100*Table1[[#This Row],[BW40_3705]]),"")</f>
        <v/>
      </c>
      <c r="J9478" s="7" t="str">
        <f>IF(Table1[[#This Row],[Is Data Valid]]=TRUE,_xlfn.NORM.S.DIST(Table1[[#This Row],[Birthweight Z-Score]],TRUE)*100,"")</f>
        <v/>
      </c>
      <c r="K9478" s="7" t="str">
        <f>IF(Table1[[#This Row],[Is Data Valid]]=TRUE,_xlfn.NORM.S.DIST(Table1[[#This Row],[Birthweight Z-Score (BW-10%)]],TRUE)*100,"")</f>
        <v/>
      </c>
      <c r="L9478" s="7" t="str">
        <f>IF(Table1[[#This Row],[Is Data Valid]]=TRUE,_xlfn.NORM.S.DIST(Table1[[#This Row],[Birthweight Z-Score (BW+10%)]],TRUE)*100,"")</f>
        <v/>
      </c>
    </row>
    <row r="9479" spans="1:12" x14ac:dyDescent="0.35">
      <c r="A9479" s="3"/>
      <c r="B9479" s="2"/>
      <c r="C9479" s="2"/>
      <c r="D9479" s="2" t="b">
        <f>IF(AND(NOT(ISBLANK(Table1[[#This Row],[Fetal Sex (Male, Female or Unknown)]])),ISNUMBER(Table1[[#This Row],[Birthweight (grams)]]),ISNUMBER(Table1[[#This Row],[Gestation (days)]])),TRUE,FALSE)</f>
        <v>0</v>
      </c>
      <c r="E9479" s="2" t="str">
        <f>IF(Table1[[#This Row],[Is Data Valid]]=TRUE,IF(Table1[[#This Row],[Fetal Sex (Male, Female or Unknown)]]="Male",Backend!$C$6,IF(Table1[[#This Row],[Fetal Sex (Male, Female or Unknown)]]="Female",Backend!$C$7,IF(Table1[[#This Row],[Fetal Sex (Male, Female or Unknown)]]="Unknown",Backend!$C$8,"Error"))),"")</f>
        <v/>
      </c>
      <c r="F9479" s="8" t="str">
        <f>IF(Table1[[#This Row],[Is Data Valid]]=TRUE,EXP(0.578+0.332*((Table1[[#This Row],[Gestation (days)]]+0.5)/7)-0.00354*((Table1[[#This Row],[Gestation (days)]]+0.5)/7)^2)*Table1[[#This Row],[BW40_3705]],"")</f>
        <v/>
      </c>
      <c r="G9479" s="2" t="str">
        <f>IF(Table1[[#This Row],[Is Data Valid]]=TRUE,((Table1[[#This Row],[Birthweight (grams)]]/Table1[[#This Row],[BW_GA]])-1)/(Backend!$B$4/100*Table1[[#This Row],[BW40_3705]]),"")</f>
        <v/>
      </c>
      <c r="H9479" s="7" t="str">
        <f>IF(Table1[[#This Row],[Is Data Valid]]=TRUE,((Table1[[#This Row],[Birthweight (grams)]]*0.9/Table1[[#This Row],[BW_GA]])-1)/(Backend!$B$4/100*Table1[[#This Row],[BW40_3705]]),"")</f>
        <v/>
      </c>
      <c r="I9479" s="7" t="str">
        <f>IF(Table1[[#This Row],[Is Data Valid]]=TRUE,((Table1[[#This Row],[Birthweight (grams)]]*1.1/Table1[[#This Row],[BW_GA]])-1)/(Backend!$B$4/100*Table1[[#This Row],[BW40_3705]]),"")</f>
        <v/>
      </c>
      <c r="J9479" s="7" t="str">
        <f>IF(Table1[[#This Row],[Is Data Valid]]=TRUE,_xlfn.NORM.S.DIST(Table1[[#This Row],[Birthweight Z-Score]],TRUE)*100,"")</f>
        <v/>
      </c>
      <c r="K9479" s="7" t="str">
        <f>IF(Table1[[#This Row],[Is Data Valid]]=TRUE,_xlfn.NORM.S.DIST(Table1[[#This Row],[Birthweight Z-Score (BW-10%)]],TRUE)*100,"")</f>
        <v/>
      </c>
      <c r="L9479" s="7" t="str">
        <f>IF(Table1[[#This Row],[Is Data Valid]]=TRUE,_xlfn.NORM.S.DIST(Table1[[#This Row],[Birthweight Z-Score (BW+10%)]],TRUE)*100,"")</f>
        <v/>
      </c>
    </row>
    <row r="9480" spans="1:12" x14ac:dyDescent="0.35">
      <c r="A9480" s="3"/>
      <c r="B9480" s="2"/>
      <c r="C9480" s="2"/>
      <c r="D9480" s="2" t="b">
        <f>IF(AND(NOT(ISBLANK(Table1[[#This Row],[Fetal Sex (Male, Female or Unknown)]])),ISNUMBER(Table1[[#This Row],[Birthweight (grams)]]),ISNUMBER(Table1[[#This Row],[Gestation (days)]])),TRUE,FALSE)</f>
        <v>0</v>
      </c>
      <c r="E9480" s="2" t="str">
        <f>IF(Table1[[#This Row],[Is Data Valid]]=TRUE,IF(Table1[[#This Row],[Fetal Sex (Male, Female or Unknown)]]="Male",Backend!$C$6,IF(Table1[[#This Row],[Fetal Sex (Male, Female or Unknown)]]="Female",Backend!$C$7,IF(Table1[[#This Row],[Fetal Sex (Male, Female or Unknown)]]="Unknown",Backend!$C$8,"Error"))),"")</f>
        <v/>
      </c>
      <c r="F9480" s="8" t="str">
        <f>IF(Table1[[#This Row],[Is Data Valid]]=TRUE,EXP(0.578+0.332*((Table1[[#This Row],[Gestation (days)]]+0.5)/7)-0.00354*((Table1[[#This Row],[Gestation (days)]]+0.5)/7)^2)*Table1[[#This Row],[BW40_3705]],"")</f>
        <v/>
      </c>
      <c r="G9480" s="2" t="str">
        <f>IF(Table1[[#This Row],[Is Data Valid]]=TRUE,((Table1[[#This Row],[Birthweight (grams)]]/Table1[[#This Row],[BW_GA]])-1)/(Backend!$B$4/100*Table1[[#This Row],[BW40_3705]]),"")</f>
        <v/>
      </c>
      <c r="H9480" s="7" t="str">
        <f>IF(Table1[[#This Row],[Is Data Valid]]=TRUE,((Table1[[#This Row],[Birthweight (grams)]]*0.9/Table1[[#This Row],[BW_GA]])-1)/(Backend!$B$4/100*Table1[[#This Row],[BW40_3705]]),"")</f>
        <v/>
      </c>
      <c r="I9480" s="7" t="str">
        <f>IF(Table1[[#This Row],[Is Data Valid]]=TRUE,((Table1[[#This Row],[Birthweight (grams)]]*1.1/Table1[[#This Row],[BW_GA]])-1)/(Backend!$B$4/100*Table1[[#This Row],[BW40_3705]]),"")</f>
        <v/>
      </c>
      <c r="J9480" s="7" t="str">
        <f>IF(Table1[[#This Row],[Is Data Valid]]=TRUE,_xlfn.NORM.S.DIST(Table1[[#This Row],[Birthweight Z-Score]],TRUE)*100,"")</f>
        <v/>
      </c>
      <c r="K9480" s="7" t="str">
        <f>IF(Table1[[#This Row],[Is Data Valid]]=TRUE,_xlfn.NORM.S.DIST(Table1[[#This Row],[Birthweight Z-Score (BW-10%)]],TRUE)*100,"")</f>
        <v/>
      </c>
      <c r="L9480" s="7" t="str">
        <f>IF(Table1[[#This Row],[Is Data Valid]]=TRUE,_xlfn.NORM.S.DIST(Table1[[#This Row],[Birthweight Z-Score (BW+10%)]],TRUE)*100,"")</f>
        <v/>
      </c>
    </row>
    <row r="9481" spans="1:12" x14ac:dyDescent="0.35">
      <c r="A9481" s="3"/>
      <c r="B9481" s="2"/>
      <c r="C9481" s="2"/>
      <c r="D9481" s="2" t="b">
        <f>IF(AND(NOT(ISBLANK(Table1[[#This Row],[Fetal Sex (Male, Female or Unknown)]])),ISNUMBER(Table1[[#This Row],[Birthweight (grams)]]),ISNUMBER(Table1[[#This Row],[Gestation (days)]])),TRUE,FALSE)</f>
        <v>0</v>
      </c>
      <c r="E9481" s="2" t="str">
        <f>IF(Table1[[#This Row],[Is Data Valid]]=TRUE,IF(Table1[[#This Row],[Fetal Sex (Male, Female or Unknown)]]="Male",Backend!$C$6,IF(Table1[[#This Row],[Fetal Sex (Male, Female or Unknown)]]="Female",Backend!$C$7,IF(Table1[[#This Row],[Fetal Sex (Male, Female or Unknown)]]="Unknown",Backend!$C$8,"Error"))),"")</f>
        <v/>
      </c>
      <c r="F9481" s="8" t="str">
        <f>IF(Table1[[#This Row],[Is Data Valid]]=TRUE,EXP(0.578+0.332*((Table1[[#This Row],[Gestation (days)]]+0.5)/7)-0.00354*((Table1[[#This Row],[Gestation (days)]]+0.5)/7)^2)*Table1[[#This Row],[BW40_3705]],"")</f>
        <v/>
      </c>
      <c r="G9481" s="2" t="str">
        <f>IF(Table1[[#This Row],[Is Data Valid]]=TRUE,((Table1[[#This Row],[Birthweight (grams)]]/Table1[[#This Row],[BW_GA]])-1)/(Backend!$B$4/100*Table1[[#This Row],[BW40_3705]]),"")</f>
        <v/>
      </c>
      <c r="H9481" s="7" t="str">
        <f>IF(Table1[[#This Row],[Is Data Valid]]=TRUE,((Table1[[#This Row],[Birthweight (grams)]]*0.9/Table1[[#This Row],[BW_GA]])-1)/(Backend!$B$4/100*Table1[[#This Row],[BW40_3705]]),"")</f>
        <v/>
      </c>
      <c r="I9481" s="7" t="str">
        <f>IF(Table1[[#This Row],[Is Data Valid]]=TRUE,((Table1[[#This Row],[Birthweight (grams)]]*1.1/Table1[[#This Row],[BW_GA]])-1)/(Backend!$B$4/100*Table1[[#This Row],[BW40_3705]]),"")</f>
        <v/>
      </c>
      <c r="J9481" s="7" t="str">
        <f>IF(Table1[[#This Row],[Is Data Valid]]=TRUE,_xlfn.NORM.S.DIST(Table1[[#This Row],[Birthweight Z-Score]],TRUE)*100,"")</f>
        <v/>
      </c>
      <c r="K9481" s="7" t="str">
        <f>IF(Table1[[#This Row],[Is Data Valid]]=TRUE,_xlfn.NORM.S.DIST(Table1[[#This Row],[Birthweight Z-Score (BW-10%)]],TRUE)*100,"")</f>
        <v/>
      </c>
      <c r="L9481" s="7" t="str">
        <f>IF(Table1[[#This Row],[Is Data Valid]]=TRUE,_xlfn.NORM.S.DIST(Table1[[#This Row],[Birthweight Z-Score (BW+10%)]],TRUE)*100,"")</f>
        <v/>
      </c>
    </row>
    <row r="9482" spans="1:12" x14ac:dyDescent="0.35">
      <c r="A9482" s="3"/>
      <c r="B9482" s="2"/>
      <c r="C9482" s="2"/>
      <c r="D9482" s="2" t="b">
        <f>IF(AND(NOT(ISBLANK(Table1[[#This Row],[Fetal Sex (Male, Female or Unknown)]])),ISNUMBER(Table1[[#This Row],[Birthweight (grams)]]),ISNUMBER(Table1[[#This Row],[Gestation (days)]])),TRUE,FALSE)</f>
        <v>0</v>
      </c>
      <c r="E9482" s="2" t="str">
        <f>IF(Table1[[#This Row],[Is Data Valid]]=TRUE,IF(Table1[[#This Row],[Fetal Sex (Male, Female or Unknown)]]="Male",Backend!$C$6,IF(Table1[[#This Row],[Fetal Sex (Male, Female or Unknown)]]="Female",Backend!$C$7,IF(Table1[[#This Row],[Fetal Sex (Male, Female or Unknown)]]="Unknown",Backend!$C$8,"Error"))),"")</f>
        <v/>
      </c>
      <c r="F9482" s="8" t="str">
        <f>IF(Table1[[#This Row],[Is Data Valid]]=TRUE,EXP(0.578+0.332*((Table1[[#This Row],[Gestation (days)]]+0.5)/7)-0.00354*((Table1[[#This Row],[Gestation (days)]]+0.5)/7)^2)*Table1[[#This Row],[BW40_3705]],"")</f>
        <v/>
      </c>
      <c r="G9482" s="2" t="str">
        <f>IF(Table1[[#This Row],[Is Data Valid]]=TRUE,((Table1[[#This Row],[Birthweight (grams)]]/Table1[[#This Row],[BW_GA]])-1)/(Backend!$B$4/100*Table1[[#This Row],[BW40_3705]]),"")</f>
        <v/>
      </c>
      <c r="H9482" s="7" t="str">
        <f>IF(Table1[[#This Row],[Is Data Valid]]=TRUE,((Table1[[#This Row],[Birthweight (grams)]]*0.9/Table1[[#This Row],[BW_GA]])-1)/(Backend!$B$4/100*Table1[[#This Row],[BW40_3705]]),"")</f>
        <v/>
      </c>
      <c r="I9482" s="7" t="str">
        <f>IF(Table1[[#This Row],[Is Data Valid]]=TRUE,((Table1[[#This Row],[Birthweight (grams)]]*1.1/Table1[[#This Row],[BW_GA]])-1)/(Backend!$B$4/100*Table1[[#This Row],[BW40_3705]]),"")</f>
        <v/>
      </c>
      <c r="J9482" s="7" t="str">
        <f>IF(Table1[[#This Row],[Is Data Valid]]=TRUE,_xlfn.NORM.S.DIST(Table1[[#This Row],[Birthweight Z-Score]],TRUE)*100,"")</f>
        <v/>
      </c>
      <c r="K9482" s="7" t="str">
        <f>IF(Table1[[#This Row],[Is Data Valid]]=TRUE,_xlfn.NORM.S.DIST(Table1[[#This Row],[Birthweight Z-Score (BW-10%)]],TRUE)*100,"")</f>
        <v/>
      </c>
      <c r="L9482" s="7" t="str">
        <f>IF(Table1[[#This Row],[Is Data Valid]]=TRUE,_xlfn.NORM.S.DIST(Table1[[#This Row],[Birthweight Z-Score (BW+10%)]],TRUE)*100,"")</f>
        <v/>
      </c>
    </row>
    <row r="9483" spans="1:12" x14ac:dyDescent="0.35">
      <c r="A9483" s="3"/>
      <c r="B9483" s="2"/>
      <c r="C9483" s="2"/>
      <c r="D9483" s="2" t="b">
        <f>IF(AND(NOT(ISBLANK(Table1[[#This Row],[Fetal Sex (Male, Female or Unknown)]])),ISNUMBER(Table1[[#This Row],[Birthweight (grams)]]),ISNUMBER(Table1[[#This Row],[Gestation (days)]])),TRUE,FALSE)</f>
        <v>0</v>
      </c>
      <c r="E9483" s="2" t="str">
        <f>IF(Table1[[#This Row],[Is Data Valid]]=TRUE,IF(Table1[[#This Row],[Fetal Sex (Male, Female or Unknown)]]="Male",Backend!$C$6,IF(Table1[[#This Row],[Fetal Sex (Male, Female or Unknown)]]="Female",Backend!$C$7,IF(Table1[[#This Row],[Fetal Sex (Male, Female or Unknown)]]="Unknown",Backend!$C$8,"Error"))),"")</f>
        <v/>
      </c>
      <c r="F9483" s="8" t="str">
        <f>IF(Table1[[#This Row],[Is Data Valid]]=TRUE,EXP(0.578+0.332*((Table1[[#This Row],[Gestation (days)]]+0.5)/7)-0.00354*((Table1[[#This Row],[Gestation (days)]]+0.5)/7)^2)*Table1[[#This Row],[BW40_3705]],"")</f>
        <v/>
      </c>
      <c r="G9483" s="2" t="str">
        <f>IF(Table1[[#This Row],[Is Data Valid]]=TRUE,((Table1[[#This Row],[Birthweight (grams)]]/Table1[[#This Row],[BW_GA]])-1)/(Backend!$B$4/100*Table1[[#This Row],[BW40_3705]]),"")</f>
        <v/>
      </c>
      <c r="H9483" s="7" t="str">
        <f>IF(Table1[[#This Row],[Is Data Valid]]=TRUE,((Table1[[#This Row],[Birthweight (grams)]]*0.9/Table1[[#This Row],[BW_GA]])-1)/(Backend!$B$4/100*Table1[[#This Row],[BW40_3705]]),"")</f>
        <v/>
      </c>
      <c r="I9483" s="7" t="str">
        <f>IF(Table1[[#This Row],[Is Data Valid]]=TRUE,((Table1[[#This Row],[Birthweight (grams)]]*1.1/Table1[[#This Row],[BW_GA]])-1)/(Backend!$B$4/100*Table1[[#This Row],[BW40_3705]]),"")</f>
        <v/>
      </c>
      <c r="J9483" s="7" t="str">
        <f>IF(Table1[[#This Row],[Is Data Valid]]=TRUE,_xlfn.NORM.S.DIST(Table1[[#This Row],[Birthweight Z-Score]],TRUE)*100,"")</f>
        <v/>
      </c>
      <c r="K9483" s="7" t="str">
        <f>IF(Table1[[#This Row],[Is Data Valid]]=TRUE,_xlfn.NORM.S.DIST(Table1[[#This Row],[Birthweight Z-Score (BW-10%)]],TRUE)*100,"")</f>
        <v/>
      </c>
      <c r="L9483" s="7" t="str">
        <f>IF(Table1[[#This Row],[Is Data Valid]]=TRUE,_xlfn.NORM.S.DIST(Table1[[#This Row],[Birthweight Z-Score (BW+10%)]],TRUE)*100,"")</f>
        <v/>
      </c>
    </row>
    <row r="9484" spans="1:12" x14ac:dyDescent="0.35">
      <c r="A9484" s="3"/>
      <c r="B9484" s="2"/>
      <c r="C9484" s="2"/>
      <c r="D9484" s="2" t="b">
        <f>IF(AND(NOT(ISBLANK(Table1[[#This Row],[Fetal Sex (Male, Female or Unknown)]])),ISNUMBER(Table1[[#This Row],[Birthweight (grams)]]),ISNUMBER(Table1[[#This Row],[Gestation (days)]])),TRUE,FALSE)</f>
        <v>0</v>
      </c>
      <c r="E9484" s="2" t="str">
        <f>IF(Table1[[#This Row],[Is Data Valid]]=TRUE,IF(Table1[[#This Row],[Fetal Sex (Male, Female or Unknown)]]="Male",Backend!$C$6,IF(Table1[[#This Row],[Fetal Sex (Male, Female or Unknown)]]="Female",Backend!$C$7,IF(Table1[[#This Row],[Fetal Sex (Male, Female or Unknown)]]="Unknown",Backend!$C$8,"Error"))),"")</f>
        <v/>
      </c>
      <c r="F9484" s="8" t="str">
        <f>IF(Table1[[#This Row],[Is Data Valid]]=TRUE,EXP(0.578+0.332*((Table1[[#This Row],[Gestation (days)]]+0.5)/7)-0.00354*((Table1[[#This Row],[Gestation (days)]]+0.5)/7)^2)*Table1[[#This Row],[BW40_3705]],"")</f>
        <v/>
      </c>
      <c r="G9484" s="2" t="str">
        <f>IF(Table1[[#This Row],[Is Data Valid]]=TRUE,((Table1[[#This Row],[Birthweight (grams)]]/Table1[[#This Row],[BW_GA]])-1)/(Backend!$B$4/100*Table1[[#This Row],[BW40_3705]]),"")</f>
        <v/>
      </c>
      <c r="H9484" s="7" t="str">
        <f>IF(Table1[[#This Row],[Is Data Valid]]=TRUE,((Table1[[#This Row],[Birthweight (grams)]]*0.9/Table1[[#This Row],[BW_GA]])-1)/(Backend!$B$4/100*Table1[[#This Row],[BW40_3705]]),"")</f>
        <v/>
      </c>
      <c r="I9484" s="7" t="str">
        <f>IF(Table1[[#This Row],[Is Data Valid]]=TRUE,((Table1[[#This Row],[Birthweight (grams)]]*1.1/Table1[[#This Row],[BW_GA]])-1)/(Backend!$B$4/100*Table1[[#This Row],[BW40_3705]]),"")</f>
        <v/>
      </c>
      <c r="J9484" s="7" t="str">
        <f>IF(Table1[[#This Row],[Is Data Valid]]=TRUE,_xlfn.NORM.S.DIST(Table1[[#This Row],[Birthweight Z-Score]],TRUE)*100,"")</f>
        <v/>
      </c>
      <c r="K9484" s="7" t="str">
        <f>IF(Table1[[#This Row],[Is Data Valid]]=TRUE,_xlfn.NORM.S.DIST(Table1[[#This Row],[Birthweight Z-Score (BW-10%)]],TRUE)*100,"")</f>
        <v/>
      </c>
      <c r="L9484" s="7" t="str">
        <f>IF(Table1[[#This Row],[Is Data Valid]]=TRUE,_xlfn.NORM.S.DIST(Table1[[#This Row],[Birthweight Z-Score (BW+10%)]],TRUE)*100,"")</f>
        <v/>
      </c>
    </row>
    <row r="9485" spans="1:12" x14ac:dyDescent="0.35">
      <c r="A9485" s="3"/>
      <c r="B9485" s="2"/>
      <c r="C9485" s="2"/>
      <c r="D9485" s="2" t="b">
        <f>IF(AND(NOT(ISBLANK(Table1[[#This Row],[Fetal Sex (Male, Female or Unknown)]])),ISNUMBER(Table1[[#This Row],[Birthweight (grams)]]),ISNUMBER(Table1[[#This Row],[Gestation (days)]])),TRUE,FALSE)</f>
        <v>0</v>
      </c>
      <c r="E9485" s="2" t="str">
        <f>IF(Table1[[#This Row],[Is Data Valid]]=TRUE,IF(Table1[[#This Row],[Fetal Sex (Male, Female or Unknown)]]="Male",Backend!$C$6,IF(Table1[[#This Row],[Fetal Sex (Male, Female or Unknown)]]="Female",Backend!$C$7,IF(Table1[[#This Row],[Fetal Sex (Male, Female or Unknown)]]="Unknown",Backend!$C$8,"Error"))),"")</f>
        <v/>
      </c>
      <c r="F9485" s="8" t="str">
        <f>IF(Table1[[#This Row],[Is Data Valid]]=TRUE,EXP(0.578+0.332*((Table1[[#This Row],[Gestation (days)]]+0.5)/7)-0.00354*((Table1[[#This Row],[Gestation (days)]]+0.5)/7)^2)*Table1[[#This Row],[BW40_3705]],"")</f>
        <v/>
      </c>
      <c r="G9485" s="2" t="str">
        <f>IF(Table1[[#This Row],[Is Data Valid]]=TRUE,((Table1[[#This Row],[Birthweight (grams)]]/Table1[[#This Row],[BW_GA]])-1)/(Backend!$B$4/100*Table1[[#This Row],[BW40_3705]]),"")</f>
        <v/>
      </c>
      <c r="H9485" s="7" t="str">
        <f>IF(Table1[[#This Row],[Is Data Valid]]=TRUE,((Table1[[#This Row],[Birthweight (grams)]]*0.9/Table1[[#This Row],[BW_GA]])-1)/(Backend!$B$4/100*Table1[[#This Row],[BW40_3705]]),"")</f>
        <v/>
      </c>
      <c r="I9485" s="7" t="str">
        <f>IF(Table1[[#This Row],[Is Data Valid]]=TRUE,((Table1[[#This Row],[Birthweight (grams)]]*1.1/Table1[[#This Row],[BW_GA]])-1)/(Backend!$B$4/100*Table1[[#This Row],[BW40_3705]]),"")</f>
        <v/>
      </c>
      <c r="J9485" s="7" t="str">
        <f>IF(Table1[[#This Row],[Is Data Valid]]=TRUE,_xlfn.NORM.S.DIST(Table1[[#This Row],[Birthweight Z-Score]],TRUE)*100,"")</f>
        <v/>
      </c>
      <c r="K9485" s="7" t="str">
        <f>IF(Table1[[#This Row],[Is Data Valid]]=TRUE,_xlfn.NORM.S.DIST(Table1[[#This Row],[Birthweight Z-Score (BW-10%)]],TRUE)*100,"")</f>
        <v/>
      </c>
      <c r="L9485" s="7" t="str">
        <f>IF(Table1[[#This Row],[Is Data Valid]]=TRUE,_xlfn.NORM.S.DIST(Table1[[#This Row],[Birthweight Z-Score (BW+10%)]],TRUE)*100,"")</f>
        <v/>
      </c>
    </row>
    <row r="9486" spans="1:12" x14ac:dyDescent="0.35">
      <c r="A9486" s="3"/>
      <c r="B9486" s="2"/>
      <c r="C9486" s="2"/>
      <c r="D9486" s="2" t="b">
        <f>IF(AND(NOT(ISBLANK(Table1[[#This Row],[Fetal Sex (Male, Female or Unknown)]])),ISNUMBER(Table1[[#This Row],[Birthweight (grams)]]),ISNUMBER(Table1[[#This Row],[Gestation (days)]])),TRUE,FALSE)</f>
        <v>0</v>
      </c>
      <c r="E9486" s="2" t="str">
        <f>IF(Table1[[#This Row],[Is Data Valid]]=TRUE,IF(Table1[[#This Row],[Fetal Sex (Male, Female or Unknown)]]="Male",Backend!$C$6,IF(Table1[[#This Row],[Fetal Sex (Male, Female or Unknown)]]="Female",Backend!$C$7,IF(Table1[[#This Row],[Fetal Sex (Male, Female or Unknown)]]="Unknown",Backend!$C$8,"Error"))),"")</f>
        <v/>
      </c>
      <c r="F9486" s="8" t="str">
        <f>IF(Table1[[#This Row],[Is Data Valid]]=TRUE,EXP(0.578+0.332*((Table1[[#This Row],[Gestation (days)]]+0.5)/7)-0.00354*((Table1[[#This Row],[Gestation (days)]]+0.5)/7)^2)*Table1[[#This Row],[BW40_3705]],"")</f>
        <v/>
      </c>
      <c r="G9486" s="2" t="str">
        <f>IF(Table1[[#This Row],[Is Data Valid]]=TRUE,((Table1[[#This Row],[Birthweight (grams)]]/Table1[[#This Row],[BW_GA]])-1)/(Backend!$B$4/100*Table1[[#This Row],[BW40_3705]]),"")</f>
        <v/>
      </c>
      <c r="H9486" s="7" t="str">
        <f>IF(Table1[[#This Row],[Is Data Valid]]=TRUE,((Table1[[#This Row],[Birthweight (grams)]]*0.9/Table1[[#This Row],[BW_GA]])-1)/(Backend!$B$4/100*Table1[[#This Row],[BW40_3705]]),"")</f>
        <v/>
      </c>
      <c r="I9486" s="7" t="str">
        <f>IF(Table1[[#This Row],[Is Data Valid]]=TRUE,((Table1[[#This Row],[Birthweight (grams)]]*1.1/Table1[[#This Row],[BW_GA]])-1)/(Backend!$B$4/100*Table1[[#This Row],[BW40_3705]]),"")</f>
        <v/>
      </c>
      <c r="J9486" s="7" t="str">
        <f>IF(Table1[[#This Row],[Is Data Valid]]=TRUE,_xlfn.NORM.S.DIST(Table1[[#This Row],[Birthweight Z-Score]],TRUE)*100,"")</f>
        <v/>
      </c>
      <c r="K9486" s="7" t="str">
        <f>IF(Table1[[#This Row],[Is Data Valid]]=TRUE,_xlfn.NORM.S.DIST(Table1[[#This Row],[Birthweight Z-Score (BW-10%)]],TRUE)*100,"")</f>
        <v/>
      </c>
      <c r="L9486" s="7" t="str">
        <f>IF(Table1[[#This Row],[Is Data Valid]]=TRUE,_xlfn.NORM.S.DIST(Table1[[#This Row],[Birthweight Z-Score (BW+10%)]],TRUE)*100,"")</f>
        <v/>
      </c>
    </row>
    <row r="9487" spans="1:12" x14ac:dyDescent="0.35">
      <c r="A9487" s="3"/>
      <c r="B9487" s="2"/>
      <c r="C9487" s="2"/>
      <c r="D9487" s="2" t="b">
        <f>IF(AND(NOT(ISBLANK(Table1[[#This Row],[Fetal Sex (Male, Female or Unknown)]])),ISNUMBER(Table1[[#This Row],[Birthweight (grams)]]),ISNUMBER(Table1[[#This Row],[Gestation (days)]])),TRUE,FALSE)</f>
        <v>0</v>
      </c>
      <c r="E9487" s="2" t="str">
        <f>IF(Table1[[#This Row],[Is Data Valid]]=TRUE,IF(Table1[[#This Row],[Fetal Sex (Male, Female or Unknown)]]="Male",Backend!$C$6,IF(Table1[[#This Row],[Fetal Sex (Male, Female or Unknown)]]="Female",Backend!$C$7,IF(Table1[[#This Row],[Fetal Sex (Male, Female or Unknown)]]="Unknown",Backend!$C$8,"Error"))),"")</f>
        <v/>
      </c>
      <c r="F9487" s="8" t="str">
        <f>IF(Table1[[#This Row],[Is Data Valid]]=TRUE,EXP(0.578+0.332*((Table1[[#This Row],[Gestation (days)]]+0.5)/7)-0.00354*((Table1[[#This Row],[Gestation (days)]]+0.5)/7)^2)*Table1[[#This Row],[BW40_3705]],"")</f>
        <v/>
      </c>
      <c r="G9487" s="2" t="str">
        <f>IF(Table1[[#This Row],[Is Data Valid]]=TRUE,((Table1[[#This Row],[Birthweight (grams)]]/Table1[[#This Row],[BW_GA]])-1)/(Backend!$B$4/100*Table1[[#This Row],[BW40_3705]]),"")</f>
        <v/>
      </c>
      <c r="H9487" s="7" t="str">
        <f>IF(Table1[[#This Row],[Is Data Valid]]=TRUE,((Table1[[#This Row],[Birthweight (grams)]]*0.9/Table1[[#This Row],[BW_GA]])-1)/(Backend!$B$4/100*Table1[[#This Row],[BW40_3705]]),"")</f>
        <v/>
      </c>
      <c r="I9487" s="7" t="str">
        <f>IF(Table1[[#This Row],[Is Data Valid]]=TRUE,((Table1[[#This Row],[Birthweight (grams)]]*1.1/Table1[[#This Row],[BW_GA]])-1)/(Backend!$B$4/100*Table1[[#This Row],[BW40_3705]]),"")</f>
        <v/>
      </c>
      <c r="J9487" s="7" t="str">
        <f>IF(Table1[[#This Row],[Is Data Valid]]=TRUE,_xlfn.NORM.S.DIST(Table1[[#This Row],[Birthweight Z-Score]],TRUE)*100,"")</f>
        <v/>
      </c>
      <c r="K9487" s="7" t="str">
        <f>IF(Table1[[#This Row],[Is Data Valid]]=TRUE,_xlfn.NORM.S.DIST(Table1[[#This Row],[Birthweight Z-Score (BW-10%)]],TRUE)*100,"")</f>
        <v/>
      </c>
      <c r="L9487" s="7" t="str">
        <f>IF(Table1[[#This Row],[Is Data Valid]]=TRUE,_xlfn.NORM.S.DIST(Table1[[#This Row],[Birthweight Z-Score (BW+10%)]],TRUE)*100,"")</f>
        <v/>
      </c>
    </row>
    <row r="9488" spans="1:12" x14ac:dyDescent="0.35">
      <c r="A9488" s="3"/>
      <c r="B9488" s="2"/>
      <c r="C9488" s="2"/>
      <c r="D9488" s="2" t="b">
        <f>IF(AND(NOT(ISBLANK(Table1[[#This Row],[Fetal Sex (Male, Female or Unknown)]])),ISNUMBER(Table1[[#This Row],[Birthweight (grams)]]),ISNUMBER(Table1[[#This Row],[Gestation (days)]])),TRUE,FALSE)</f>
        <v>0</v>
      </c>
      <c r="E9488" s="2" t="str">
        <f>IF(Table1[[#This Row],[Is Data Valid]]=TRUE,IF(Table1[[#This Row],[Fetal Sex (Male, Female or Unknown)]]="Male",Backend!$C$6,IF(Table1[[#This Row],[Fetal Sex (Male, Female or Unknown)]]="Female",Backend!$C$7,IF(Table1[[#This Row],[Fetal Sex (Male, Female or Unknown)]]="Unknown",Backend!$C$8,"Error"))),"")</f>
        <v/>
      </c>
      <c r="F9488" s="8" t="str">
        <f>IF(Table1[[#This Row],[Is Data Valid]]=TRUE,EXP(0.578+0.332*((Table1[[#This Row],[Gestation (days)]]+0.5)/7)-0.00354*((Table1[[#This Row],[Gestation (days)]]+0.5)/7)^2)*Table1[[#This Row],[BW40_3705]],"")</f>
        <v/>
      </c>
      <c r="G9488" s="2" t="str">
        <f>IF(Table1[[#This Row],[Is Data Valid]]=TRUE,((Table1[[#This Row],[Birthweight (grams)]]/Table1[[#This Row],[BW_GA]])-1)/(Backend!$B$4/100*Table1[[#This Row],[BW40_3705]]),"")</f>
        <v/>
      </c>
      <c r="H9488" s="7" t="str">
        <f>IF(Table1[[#This Row],[Is Data Valid]]=TRUE,((Table1[[#This Row],[Birthweight (grams)]]*0.9/Table1[[#This Row],[BW_GA]])-1)/(Backend!$B$4/100*Table1[[#This Row],[BW40_3705]]),"")</f>
        <v/>
      </c>
      <c r="I9488" s="7" t="str">
        <f>IF(Table1[[#This Row],[Is Data Valid]]=TRUE,((Table1[[#This Row],[Birthweight (grams)]]*1.1/Table1[[#This Row],[BW_GA]])-1)/(Backend!$B$4/100*Table1[[#This Row],[BW40_3705]]),"")</f>
        <v/>
      </c>
      <c r="J9488" s="7" t="str">
        <f>IF(Table1[[#This Row],[Is Data Valid]]=TRUE,_xlfn.NORM.S.DIST(Table1[[#This Row],[Birthweight Z-Score]],TRUE)*100,"")</f>
        <v/>
      </c>
      <c r="K9488" s="7" t="str">
        <f>IF(Table1[[#This Row],[Is Data Valid]]=TRUE,_xlfn.NORM.S.DIST(Table1[[#This Row],[Birthweight Z-Score (BW-10%)]],TRUE)*100,"")</f>
        <v/>
      </c>
      <c r="L9488" s="7" t="str">
        <f>IF(Table1[[#This Row],[Is Data Valid]]=TRUE,_xlfn.NORM.S.DIST(Table1[[#This Row],[Birthweight Z-Score (BW+10%)]],TRUE)*100,"")</f>
        <v/>
      </c>
    </row>
    <row r="9489" spans="1:12" x14ac:dyDescent="0.35">
      <c r="A9489" s="3"/>
      <c r="B9489" s="2"/>
      <c r="C9489" s="2"/>
      <c r="D9489" s="2" t="b">
        <f>IF(AND(NOT(ISBLANK(Table1[[#This Row],[Fetal Sex (Male, Female or Unknown)]])),ISNUMBER(Table1[[#This Row],[Birthweight (grams)]]),ISNUMBER(Table1[[#This Row],[Gestation (days)]])),TRUE,FALSE)</f>
        <v>0</v>
      </c>
      <c r="E9489" s="2" t="str">
        <f>IF(Table1[[#This Row],[Is Data Valid]]=TRUE,IF(Table1[[#This Row],[Fetal Sex (Male, Female or Unknown)]]="Male",Backend!$C$6,IF(Table1[[#This Row],[Fetal Sex (Male, Female or Unknown)]]="Female",Backend!$C$7,IF(Table1[[#This Row],[Fetal Sex (Male, Female or Unknown)]]="Unknown",Backend!$C$8,"Error"))),"")</f>
        <v/>
      </c>
      <c r="F9489" s="8" t="str">
        <f>IF(Table1[[#This Row],[Is Data Valid]]=TRUE,EXP(0.578+0.332*((Table1[[#This Row],[Gestation (days)]]+0.5)/7)-0.00354*((Table1[[#This Row],[Gestation (days)]]+0.5)/7)^2)*Table1[[#This Row],[BW40_3705]],"")</f>
        <v/>
      </c>
      <c r="G9489" s="2" t="str">
        <f>IF(Table1[[#This Row],[Is Data Valid]]=TRUE,((Table1[[#This Row],[Birthweight (grams)]]/Table1[[#This Row],[BW_GA]])-1)/(Backend!$B$4/100*Table1[[#This Row],[BW40_3705]]),"")</f>
        <v/>
      </c>
      <c r="H9489" s="7" t="str">
        <f>IF(Table1[[#This Row],[Is Data Valid]]=TRUE,((Table1[[#This Row],[Birthweight (grams)]]*0.9/Table1[[#This Row],[BW_GA]])-1)/(Backend!$B$4/100*Table1[[#This Row],[BW40_3705]]),"")</f>
        <v/>
      </c>
      <c r="I9489" s="7" t="str">
        <f>IF(Table1[[#This Row],[Is Data Valid]]=TRUE,((Table1[[#This Row],[Birthweight (grams)]]*1.1/Table1[[#This Row],[BW_GA]])-1)/(Backend!$B$4/100*Table1[[#This Row],[BW40_3705]]),"")</f>
        <v/>
      </c>
      <c r="J9489" s="7" t="str">
        <f>IF(Table1[[#This Row],[Is Data Valid]]=TRUE,_xlfn.NORM.S.DIST(Table1[[#This Row],[Birthweight Z-Score]],TRUE)*100,"")</f>
        <v/>
      </c>
      <c r="K9489" s="7" t="str">
        <f>IF(Table1[[#This Row],[Is Data Valid]]=TRUE,_xlfn.NORM.S.DIST(Table1[[#This Row],[Birthweight Z-Score (BW-10%)]],TRUE)*100,"")</f>
        <v/>
      </c>
      <c r="L9489" s="7" t="str">
        <f>IF(Table1[[#This Row],[Is Data Valid]]=TRUE,_xlfn.NORM.S.DIST(Table1[[#This Row],[Birthweight Z-Score (BW+10%)]],TRUE)*100,"")</f>
        <v/>
      </c>
    </row>
    <row r="9490" spans="1:12" x14ac:dyDescent="0.35">
      <c r="A9490" s="3"/>
      <c r="B9490" s="2"/>
      <c r="C9490" s="2"/>
      <c r="D9490" s="2" t="b">
        <f>IF(AND(NOT(ISBLANK(Table1[[#This Row],[Fetal Sex (Male, Female or Unknown)]])),ISNUMBER(Table1[[#This Row],[Birthweight (grams)]]),ISNUMBER(Table1[[#This Row],[Gestation (days)]])),TRUE,FALSE)</f>
        <v>0</v>
      </c>
      <c r="E9490" s="2" t="str">
        <f>IF(Table1[[#This Row],[Is Data Valid]]=TRUE,IF(Table1[[#This Row],[Fetal Sex (Male, Female or Unknown)]]="Male",Backend!$C$6,IF(Table1[[#This Row],[Fetal Sex (Male, Female or Unknown)]]="Female",Backend!$C$7,IF(Table1[[#This Row],[Fetal Sex (Male, Female or Unknown)]]="Unknown",Backend!$C$8,"Error"))),"")</f>
        <v/>
      </c>
      <c r="F9490" s="8" t="str">
        <f>IF(Table1[[#This Row],[Is Data Valid]]=TRUE,EXP(0.578+0.332*((Table1[[#This Row],[Gestation (days)]]+0.5)/7)-0.00354*((Table1[[#This Row],[Gestation (days)]]+0.5)/7)^2)*Table1[[#This Row],[BW40_3705]],"")</f>
        <v/>
      </c>
      <c r="G9490" s="2" t="str">
        <f>IF(Table1[[#This Row],[Is Data Valid]]=TRUE,((Table1[[#This Row],[Birthweight (grams)]]/Table1[[#This Row],[BW_GA]])-1)/(Backend!$B$4/100*Table1[[#This Row],[BW40_3705]]),"")</f>
        <v/>
      </c>
      <c r="H9490" s="7" t="str">
        <f>IF(Table1[[#This Row],[Is Data Valid]]=TRUE,((Table1[[#This Row],[Birthweight (grams)]]*0.9/Table1[[#This Row],[BW_GA]])-1)/(Backend!$B$4/100*Table1[[#This Row],[BW40_3705]]),"")</f>
        <v/>
      </c>
      <c r="I9490" s="7" t="str">
        <f>IF(Table1[[#This Row],[Is Data Valid]]=TRUE,((Table1[[#This Row],[Birthweight (grams)]]*1.1/Table1[[#This Row],[BW_GA]])-1)/(Backend!$B$4/100*Table1[[#This Row],[BW40_3705]]),"")</f>
        <v/>
      </c>
      <c r="J9490" s="7" t="str">
        <f>IF(Table1[[#This Row],[Is Data Valid]]=TRUE,_xlfn.NORM.S.DIST(Table1[[#This Row],[Birthweight Z-Score]],TRUE)*100,"")</f>
        <v/>
      </c>
      <c r="K9490" s="7" t="str">
        <f>IF(Table1[[#This Row],[Is Data Valid]]=TRUE,_xlfn.NORM.S.DIST(Table1[[#This Row],[Birthweight Z-Score (BW-10%)]],TRUE)*100,"")</f>
        <v/>
      </c>
      <c r="L9490" s="7" t="str">
        <f>IF(Table1[[#This Row],[Is Data Valid]]=TRUE,_xlfn.NORM.S.DIST(Table1[[#This Row],[Birthweight Z-Score (BW+10%)]],TRUE)*100,"")</f>
        <v/>
      </c>
    </row>
    <row r="9491" spans="1:12" x14ac:dyDescent="0.35">
      <c r="A9491" s="3"/>
      <c r="B9491" s="2"/>
      <c r="C9491" s="2"/>
      <c r="D9491" s="2" t="b">
        <f>IF(AND(NOT(ISBLANK(Table1[[#This Row],[Fetal Sex (Male, Female or Unknown)]])),ISNUMBER(Table1[[#This Row],[Birthweight (grams)]]),ISNUMBER(Table1[[#This Row],[Gestation (days)]])),TRUE,FALSE)</f>
        <v>0</v>
      </c>
      <c r="E9491" s="2" t="str">
        <f>IF(Table1[[#This Row],[Is Data Valid]]=TRUE,IF(Table1[[#This Row],[Fetal Sex (Male, Female or Unknown)]]="Male",Backend!$C$6,IF(Table1[[#This Row],[Fetal Sex (Male, Female or Unknown)]]="Female",Backend!$C$7,IF(Table1[[#This Row],[Fetal Sex (Male, Female or Unknown)]]="Unknown",Backend!$C$8,"Error"))),"")</f>
        <v/>
      </c>
      <c r="F9491" s="8" t="str">
        <f>IF(Table1[[#This Row],[Is Data Valid]]=TRUE,EXP(0.578+0.332*((Table1[[#This Row],[Gestation (days)]]+0.5)/7)-0.00354*((Table1[[#This Row],[Gestation (days)]]+0.5)/7)^2)*Table1[[#This Row],[BW40_3705]],"")</f>
        <v/>
      </c>
      <c r="G9491" s="2" t="str">
        <f>IF(Table1[[#This Row],[Is Data Valid]]=TRUE,((Table1[[#This Row],[Birthweight (grams)]]/Table1[[#This Row],[BW_GA]])-1)/(Backend!$B$4/100*Table1[[#This Row],[BW40_3705]]),"")</f>
        <v/>
      </c>
      <c r="H9491" s="7" t="str">
        <f>IF(Table1[[#This Row],[Is Data Valid]]=TRUE,((Table1[[#This Row],[Birthweight (grams)]]*0.9/Table1[[#This Row],[BW_GA]])-1)/(Backend!$B$4/100*Table1[[#This Row],[BW40_3705]]),"")</f>
        <v/>
      </c>
      <c r="I9491" s="7" t="str">
        <f>IF(Table1[[#This Row],[Is Data Valid]]=TRUE,((Table1[[#This Row],[Birthweight (grams)]]*1.1/Table1[[#This Row],[BW_GA]])-1)/(Backend!$B$4/100*Table1[[#This Row],[BW40_3705]]),"")</f>
        <v/>
      </c>
      <c r="J9491" s="7" t="str">
        <f>IF(Table1[[#This Row],[Is Data Valid]]=TRUE,_xlfn.NORM.S.DIST(Table1[[#This Row],[Birthweight Z-Score]],TRUE)*100,"")</f>
        <v/>
      </c>
      <c r="K9491" s="7" t="str">
        <f>IF(Table1[[#This Row],[Is Data Valid]]=TRUE,_xlfn.NORM.S.DIST(Table1[[#This Row],[Birthweight Z-Score (BW-10%)]],TRUE)*100,"")</f>
        <v/>
      </c>
      <c r="L9491" s="7" t="str">
        <f>IF(Table1[[#This Row],[Is Data Valid]]=TRUE,_xlfn.NORM.S.DIST(Table1[[#This Row],[Birthweight Z-Score (BW+10%)]],TRUE)*100,"")</f>
        <v/>
      </c>
    </row>
    <row r="9492" spans="1:12" x14ac:dyDescent="0.35">
      <c r="A9492" s="3"/>
      <c r="B9492" s="2"/>
      <c r="C9492" s="2"/>
      <c r="D9492" s="2" t="b">
        <f>IF(AND(NOT(ISBLANK(Table1[[#This Row],[Fetal Sex (Male, Female or Unknown)]])),ISNUMBER(Table1[[#This Row],[Birthweight (grams)]]),ISNUMBER(Table1[[#This Row],[Gestation (days)]])),TRUE,FALSE)</f>
        <v>0</v>
      </c>
      <c r="E9492" s="2" t="str">
        <f>IF(Table1[[#This Row],[Is Data Valid]]=TRUE,IF(Table1[[#This Row],[Fetal Sex (Male, Female or Unknown)]]="Male",Backend!$C$6,IF(Table1[[#This Row],[Fetal Sex (Male, Female or Unknown)]]="Female",Backend!$C$7,IF(Table1[[#This Row],[Fetal Sex (Male, Female or Unknown)]]="Unknown",Backend!$C$8,"Error"))),"")</f>
        <v/>
      </c>
      <c r="F9492" s="8" t="str">
        <f>IF(Table1[[#This Row],[Is Data Valid]]=TRUE,EXP(0.578+0.332*((Table1[[#This Row],[Gestation (days)]]+0.5)/7)-0.00354*((Table1[[#This Row],[Gestation (days)]]+0.5)/7)^2)*Table1[[#This Row],[BW40_3705]],"")</f>
        <v/>
      </c>
      <c r="G9492" s="2" t="str">
        <f>IF(Table1[[#This Row],[Is Data Valid]]=TRUE,((Table1[[#This Row],[Birthweight (grams)]]/Table1[[#This Row],[BW_GA]])-1)/(Backend!$B$4/100*Table1[[#This Row],[BW40_3705]]),"")</f>
        <v/>
      </c>
      <c r="H9492" s="7" t="str">
        <f>IF(Table1[[#This Row],[Is Data Valid]]=TRUE,((Table1[[#This Row],[Birthweight (grams)]]*0.9/Table1[[#This Row],[BW_GA]])-1)/(Backend!$B$4/100*Table1[[#This Row],[BW40_3705]]),"")</f>
        <v/>
      </c>
      <c r="I9492" s="7" t="str">
        <f>IF(Table1[[#This Row],[Is Data Valid]]=TRUE,((Table1[[#This Row],[Birthweight (grams)]]*1.1/Table1[[#This Row],[BW_GA]])-1)/(Backend!$B$4/100*Table1[[#This Row],[BW40_3705]]),"")</f>
        <v/>
      </c>
      <c r="J9492" s="7" t="str">
        <f>IF(Table1[[#This Row],[Is Data Valid]]=TRUE,_xlfn.NORM.S.DIST(Table1[[#This Row],[Birthweight Z-Score]],TRUE)*100,"")</f>
        <v/>
      </c>
      <c r="K9492" s="7" t="str">
        <f>IF(Table1[[#This Row],[Is Data Valid]]=TRUE,_xlfn.NORM.S.DIST(Table1[[#This Row],[Birthweight Z-Score (BW-10%)]],TRUE)*100,"")</f>
        <v/>
      </c>
      <c r="L9492" s="7" t="str">
        <f>IF(Table1[[#This Row],[Is Data Valid]]=TRUE,_xlfn.NORM.S.DIST(Table1[[#This Row],[Birthweight Z-Score (BW+10%)]],TRUE)*100,"")</f>
        <v/>
      </c>
    </row>
    <row r="9493" spans="1:12" x14ac:dyDescent="0.35">
      <c r="A9493" s="3"/>
      <c r="B9493" s="2"/>
      <c r="C9493" s="2"/>
      <c r="D9493" s="2" t="b">
        <f>IF(AND(NOT(ISBLANK(Table1[[#This Row],[Fetal Sex (Male, Female or Unknown)]])),ISNUMBER(Table1[[#This Row],[Birthweight (grams)]]),ISNUMBER(Table1[[#This Row],[Gestation (days)]])),TRUE,FALSE)</f>
        <v>0</v>
      </c>
      <c r="E9493" s="2" t="str">
        <f>IF(Table1[[#This Row],[Is Data Valid]]=TRUE,IF(Table1[[#This Row],[Fetal Sex (Male, Female or Unknown)]]="Male",Backend!$C$6,IF(Table1[[#This Row],[Fetal Sex (Male, Female or Unknown)]]="Female",Backend!$C$7,IF(Table1[[#This Row],[Fetal Sex (Male, Female or Unknown)]]="Unknown",Backend!$C$8,"Error"))),"")</f>
        <v/>
      </c>
      <c r="F9493" s="8" t="str">
        <f>IF(Table1[[#This Row],[Is Data Valid]]=TRUE,EXP(0.578+0.332*((Table1[[#This Row],[Gestation (days)]]+0.5)/7)-0.00354*((Table1[[#This Row],[Gestation (days)]]+0.5)/7)^2)*Table1[[#This Row],[BW40_3705]],"")</f>
        <v/>
      </c>
      <c r="G9493" s="2" t="str">
        <f>IF(Table1[[#This Row],[Is Data Valid]]=TRUE,((Table1[[#This Row],[Birthweight (grams)]]/Table1[[#This Row],[BW_GA]])-1)/(Backend!$B$4/100*Table1[[#This Row],[BW40_3705]]),"")</f>
        <v/>
      </c>
      <c r="H9493" s="7" t="str">
        <f>IF(Table1[[#This Row],[Is Data Valid]]=TRUE,((Table1[[#This Row],[Birthweight (grams)]]*0.9/Table1[[#This Row],[BW_GA]])-1)/(Backend!$B$4/100*Table1[[#This Row],[BW40_3705]]),"")</f>
        <v/>
      </c>
      <c r="I9493" s="7" t="str">
        <f>IF(Table1[[#This Row],[Is Data Valid]]=TRUE,((Table1[[#This Row],[Birthweight (grams)]]*1.1/Table1[[#This Row],[BW_GA]])-1)/(Backend!$B$4/100*Table1[[#This Row],[BW40_3705]]),"")</f>
        <v/>
      </c>
      <c r="J9493" s="7" t="str">
        <f>IF(Table1[[#This Row],[Is Data Valid]]=TRUE,_xlfn.NORM.S.DIST(Table1[[#This Row],[Birthweight Z-Score]],TRUE)*100,"")</f>
        <v/>
      </c>
      <c r="K9493" s="7" t="str">
        <f>IF(Table1[[#This Row],[Is Data Valid]]=TRUE,_xlfn.NORM.S.DIST(Table1[[#This Row],[Birthweight Z-Score (BW-10%)]],TRUE)*100,"")</f>
        <v/>
      </c>
      <c r="L9493" s="7" t="str">
        <f>IF(Table1[[#This Row],[Is Data Valid]]=TRUE,_xlfn.NORM.S.DIST(Table1[[#This Row],[Birthweight Z-Score (BW+10%)]],TRUE)*100,"")</f>
        <v/>
      </c>
    </row>
    <row r="9494" spans="1:12" x14ac:dyDescent="0.35">
      <c r="A9494" s="3"/>
      <c r="B9494" s="2"/>
      <c r="C9494" s="2"/>
      <c r="D9494" s="2" t="b">
        <f>IF(AND(NOT(ISBLANK(Table1[[#This Row],[Fetal Sex (Male, Female or Unknown)]])),ISNUMBER(Table1[[#This Row],[Birthweight (grams)]]),ISNUMBER(Table1[[#This Row],[Gestation (days)]])),TRUE,FALSE)</f>
        <v>0</v>
      </c>
      <c r="E9494" s="2" t="str">
        <f>IF(Table1[[#This Row],[Is Data Valid]]=TRUE,IF(Table1[[#This Row],[Fetal Sex (Male, Female or Unknown)]]="Male",Backend!$C$6,IF(Table1[[#This Row],[Fetal Sex (Male, Female or Unknown)]]="Female",Backend!$C$7,IF(Table1[[#This Row],[Fetal Sex (Male, Female or Unknown)]]="Unknown",Backend!$C$8,"Error"))),"")</f>
        <v/>
      </c>
      <c r="F9494" s="8" t="str">
        <f>IF(Table1[[#This Row],[Is Data Valid]]=TRUE,EXP(0.578+0.332*((Table1[[#This Row],[Gestation (days)]]+0.5)/7)-0.00354*((Table1[[#This Row],[Gestation (days)]]+0.5)/7)^2)*Table1[[#This Row],[BW40_3705]],"")</f>
        <v/>
      </c>
      <c r="G9494" s="2" t="str">
        <f>IF(Table1[[#This Row],[Is Data Valid]]=TRUE,((Table1[[#This Row],[Birthweight (grams)]]/Table1[[#This Row],[BW_GA]])-1)/(Backend!$B$4/100*Table1[[#This Row],[BW40_3705]]),"")</f>
        <v/>
      </c>
      <c r="H9494" s="7" t="str">
        <f>IF(Table1[[#This Row],[Is Data Valid]]=TRUE,((Table1[[#This Row],[Birthweight (grams)]]*0.9/Table1[[#This Row],[BW_GA]])-1)/(Backend!$B$4/100*Table1[[#This Row],[BW40_3705]]),"")</f>
        <v/>
      </c>
      <c r="I9494" s="7" t="str">
        <f>IF(Table1[[#This Row],[Is Data Valid]]=TRUE,((Table1[[#This Row],[Birthweight (grams)]]*1.1/Table1[[#This Row],[BW_GA]])-1)/(Backend!$B$4/100*Table1[[#This Row],[BW40_3705]]),"")</f>
        <v/>
      </c>
      <c r="J9494" s="7" t="str">
        <f>IF(Table1[[#This Row],[Is Data Valid]]=TRUE,_xlfn.NORM.S.DIST(Table1[[#This Row],[Birthweight Z-Score]],TRUE)*100,"")</f>
        <v/>
      </c>
      <c r="K9494" s="7" t="str">
        <f>IF(Table1[[#This Row],[Is Data Valid]]=TRUE,_xlfn.NORM.S.DIST(Table1[[#This Row],[Birthweight Z-Score (BW-10%)]],TRUE)*100,"")</f>
        <v/>
      </c>
      <c r="L9494" s="7" t="str">
        <f>IF(Table1[[#This Row],[Is Data Valid]]=TRUE,_xlfn.NORM.S.DIST(Table1[[#This Row],[Birthweight Z-Score (BW+10%)]],TRUE)*100,"")</f>
        <v/>
      </c>
    </row>
    <row r="9495" spans="1:12" x14ac:dyDescent="0.35">
      <c r="A9495" s="3"/>
      <c r="B9495" s="2"/>
      <c r="C9495" s="2"/>
      <c r="D9495" s="2" t="b">
        <f>IF(AND(NOT(ISBLANK(Table1[[#This Row],[Fetal Sex (Male, Female or Unknown)]])),ISNUMBER(Table1[[#This Row],[Birthweight (grams)]]),ISNUMBER(Table1[[#This Row],[Gestation (days)]])),TRUE,FALSE)</f>
        <v>0</v>
      </c>
      <c r="E9495" s="2" t="str">
        <f>IF(Table1[[#This Row],[Is Data Valid]]=TRUE,IF(Table1[[#This Row],[Fetal Sex (Male, Female or Unknown)]]="Male",Backend!$C$6,IF(Table1[[#This Row],[Fetal Sex (Male, Female or Unknown)]]="Female",Backend!$C$7,IF(Table1[[#This Row],[Fetal Sex (Male, Female or Unknown)]]="Unknown",Backend!$C$8,"Error"))),"")</f>
        <v/>
      </c>
      <c r="F9495" s="8" t="str">
        <f>IF(Table1[[#This Row],[Is Data Valid]]=TRUE,EXP(0.578+0.332*((Table1[[#This Row],[Gestation (days)]]+0.5)/7)-0.00354*((Table1[[#This Row],[Gestation (days)]]+0.5)/7)^2)*Table1[[#This Row],[BW40_3705]],"")</f>
        <v/>
      </c>
      <c r="G9495" s="2" t="str">
        <f>IF(Table1[[#This Row],[Is Data Valid]]=TRUE,((Table1[[#This Row],[Birthweight (grams)]]/Table1[[#This Row],[BW_GA]])-1)/(Backend!$B$4/100*Table1[[#This Row],[BW40_3705]]),"")</f>
        <v/>
      </c>
      <c r="H9495" s="7" t="str">
        <f>IF(Table1[[#This Row],[Is Data Valid]]=TRUE,((Table1[[#This Row],[Birthweight (grams)]]*0.9/Table1[[#This Row],[BW_GA]])-1)/(Backend!$B$4/100*Table1[[#This Row],[BW40_3705]]),"")</f>
        <v/>
      </c>
      <c r="I9495" s="7" t="str">
        <f>IF(Table1[[#This Row],[Is Data Valid]]=TRUE,((Table1[[#This Row],[Birthweight (grams)]]*1.1/Table1[[#This Row],[BW_GA]])-1)/(Backend!$B$4/100*Table1[[#This Row],[BW40_3705]]),"")</f>
        <v/>
      </c>
      <c r="J9495" s="7" t="str">
        <f>IF(Table1[[#This Row],[Is Data Valid]]=TRUE,_xlfn.NORM.S.DIST(Table1[[#This Row],[Birthweight Z-Score]],TRUE)*100,"")</f>
        <v/>
      </c>
      <c r="K9495" s="7" t="str">
        <f>IF(Table1[[#This Row],[Is Data Valid]]=TRUE,_xlfn.NORM.S.DIST(Table1[[#This Row],[Birthweight Z-Score (BW-10%)]],TRUE)*100,"")</f>
        <v/>
      </c>
      <c r="L9495" s="7" t="str">
        <f>IF(Table1[[#This Row],[Is Data Valid]]=TRUE,_xlfn.NORM.S.DIST(Table1[[#This Row],[Birthweight Z-Score (BW+10%)]],TRUE)*100,"")</f>
        <v/>
      </c>
    </row>
    <row r="9496" spans="1:12" x14ac:dyDescent="0.35">
      <c r="A9496" s="3"/>
      <c r="B9496" s="2"/>
      <c r="C9496" s="2"/>
      <c r="D9496" s="2" t="b">
        <f>IF(AND(NOT(ISBLANK(Table1[[#This Row],[Fetal Sex (Male, Female or Unknown)]])),ISNUMBER(Table1[[#This Row],[Birthweight (grams)]]),ISNUMBER(Table1[[#This Row],[Gestation (days)]])),TRUE,FALSE)</f>
        <v>0</v>
      </c>
      <c r="E9496" s="2" t="str">
        <f>IF(Table1[[#This Row],[Is Data Valid]]=TRUE,IF(Table1[[#This Row],[Fetal Sex (Male, Female or Unknown)]]="Male",Backend!$C$6,IF(Table1[[#This Row],[Fetal Sex (Male, Female or Unknown)]]="Female",Backend!$C$7,IF(Table1[[#This Row],[Fetal Sex (Male, Female or Unknown)]]="Unknown",Backend!$C$8,"Error"))),"")</f>
        <v/>
      </c>
      <c r="F9496" s="8" t="str">
        <f>IF(Table1[[#This Row],[Is Data Valid]]=TRUE,EXP(0.578+0.332*((Table1[[#This Row],[Gestation (days)]]+0.5)/7)-0.00354*((Table1[[#This Row],[Gestation (days)]]+0.5)/7)^2)*Table1[[#This Row],[BW40_3705]],"")</f>
        <v/>
      </c>
      <c r="G9496" s="2" t="str">
        <f>IF(Table1[[#This Row],[Is Data Valid]]=TRUE,((Table1[[#This Row],[Birthweight (grams)]]/Table1[[#This Row],[BW_GA]])-1)/(Backend!$B$4/100*Table1[[#This Row],[BW40_3705]]),"")</f>
        <v/>
      </c>
      <c r="H9496" s="7" t="str">
        <f>IF(Table1[[#This Row],[Is Data Valid]]=TRUE,((Table1[[#This Row],[Birthweight (grams)]]*0.9/Table1[[#This Row],[BW_GA]])-1)/(Backend!$B$4/100*Table1[[#This Row],[BW40_3705]]),"")</f>
        <v/>
      </c>
      <c r="I9496" s="7" t="str">
        <f>IF(Table1[[#This Row],[Is Data Valid]]=TRUE,((Table1[[#This Row],[Birthweight (grams)]]*1.1/Table1[[#This Row],[BW_GA]])-1)/(Backend!$B$4/100*Table1[[#This Row],[BW40_3705]]),"")</f>
        <v/>
      </c>
      <c r="J9496" s="7" t="str">
        <f>IF(Table1[[#This Row],[Is Data Valid]]=TRUE,_xlfn.NORM.S.DIST(Table1[[#This Row],[Birthweight Z-Score]],TRUE)*100,"")</f>
        <v/>
      </c>
      <c r="K9496" s="7" t="str">
        <f>IF(Table1[[#This Row],[Is Data Valid]]=TRUE,_xlfn.NORM.S.DIST(Table1[[#This Row],[Birthweight Z-Score (BW-10%)]],TRUE)*100,"")</f>
        <v/>
      </c>
      <c r="L9496" s="7" t="str">
        <f>IF(Table1[[#This Row],[Is Data Valid]]=TRUE,_xlfn.NORM.S.DIST(Table1[[#This Row],[Birthweight Z-Score (BW+10%)]],TRUE)*100,"")</f>
        <v/>
      </c>
    </row>
    <row r="9497" spans="1:12" x14ac:dyDescent="0.35">
      <c r="A9497" s="3"/>
      <c r="B9497" s="2"/>
      <c r="C9497" s="2"/>
      <c r="D9497" s="2" t="b">
        <f>IF(AND(NOT(ISBLANK(Table1[[#This Row],[Fetal Sex (Male, Female or Unknown)]])),ISNUMBER(Table1[[#This Row],[Birthweight (grams)]]),ISNUMBER(Table1[[#This Row],[Gestation (days)]])),TRUE,FALSE)</f>
        <v>0</v>
      </c>
      <c r="E9497" s="2" t="str">
        <f>IF(Table1[[#This Row],[Is Data Valid]]=TRUE,IF(Table1[[#This Row],[Fetal Sex (Male, Female or Unknown)]]="Male",Backend!$C$6,IF(Table1[[#This Row],[Fetal Sex (Male, Female or Unknown)]]="Female",Backend!$C$7,IF(Table1[[#This Row],[Fetal Sex (Male, Female or Unknown)]]="Unknown",Backend!$C$8,"Error"))),"")</f>
        <v/>
      </c>
      <c r="F9497" s="8" t="str">
        <f>IF(Table1[[#This Row],[Is Data Valid]]=TRUE,EXP(0.578+0.332*((Table1[[#This Row],[Gestation (days)]]+0.5)/7)-0.00354*((Table1[[#This Row],[Gestation (days)]]+0.5)/7)^2)*Table1[[#This Row],[BW40_3705]],"")</f>
        <v/>
      </c>
      <c r="G9497" s="2" t="str">
        <f>IF(Table1[[#This Row],[Is Data Valid]]=TRUE,((Table1[[#This Row],[Birthweight (grams)]]/Table1[[#This Row],[BW_GA]])-1)/(Backend!$B$4/100*Table1[[#This Row],[BW40_3705]]),"")</f>
        <v/>
      </c>
      <c r="H9497" s="7" t="str">
        <f>IF(Table1[[#This Row],[Is Data Valid]]=TRUE,((Table1[[#This Row],[Birthweight (grams)]]*0.9/Table1[[#This Row],[BW_GA]])-1)/(Backend!$B$4/100*Table1[[#This Row],[BW40_3705]]),"")</f>
        <v/>
      </c>
      <c r="I9497" s="7" t="str">
        <f>IF(Table1[[#This Row],[Is Data Valid]]=TRUE,((Table1[[#This Row],[Birthweight (grams)]]*1.1/Table1[[#This Row],[BW_GA]])-1)/(Backend!$B$4/100*Table1[[#This Row],[BW40_3705]]),"")</f>
        <v/>
      </c>
      <c r="J9497" s="7" t="str">
        <f>IF(Table1[[#This Row],[Is Data Valid]]=TRUE,_xlfn.NORM.S.DIST(Table1[[#This Row],[Birthweight Z-Score]],TRUE)*100,"")</f>
        <v/>
      </c>
      <c r="K9497" s="7" t="str">
        <f>IF(Table1[[#This Row],[Is Data Valid]]=TRUE,_xlfn.NORM.S.DIST(Table1[[#This Row],[Birthweight Z-Score (BW-10%)]],TRUE)*100,"")</f>
        <v/>
      </c>
      <c r="L9497" s="7" t="str">
        <f>IF(Table1[[#This Row],[Is Data Valid]]=TRUE,_xlfn.NORM.S.DIST(Table1[[#This Row],[Birthweight Z-Score (BW+10%)]],TRUE)*100,"")</f>
        <v/>
      </c>
    </row>
    <row r="9498" spans="1:12" x14ac:dyDescent="0.35">
      <c r="A9498" s="3"/>
      <c r="B9498" s="2"/>
      <c r="C9498" s="2"/>
      <c r="D9498" s="2" t="b">
        <f>IF(AND(NOT(ISBLANK(Table1[[#This Row],[Fetal Sex (Male, Female or Unknown)]])),ISNUMBER(Table1[[#This Row],[Birthweight (grams)]]),ISNUMBER(Table1[[#This Row],[Gestation (days)]])),TRUE,FALSE)</f>
        <v>0</v>
      </c>
      <c r="E9498" s="2" t="str">
        <f>IF(Table1[[#This Row],[Is Data Valid]]=TRUE,IF(Table1[[#This Row],[Fetal Sex (Male, Female or Unknown)]]="Male",Backend!$C$6,IF(Table1[[#This Row],[Fetal Sex (Male, Female or Unknown)]]="Female",Backend!$C$7,IF(Table1[[#This Row],[Fetal Sex (Male, Female or Unknown)]]="Unknown",Backend!$C$8,"Error"))),"")</f>
        <v/>
      </c>
      <c r="F9498" s="8" t="str">
        <f>IF(Table1[[#This Row],[Is Data Valid]]=TRUE,EXP(0.578+0.332*((Table1[[#This Row],[Gestation (days)]]+0.5)/7)-0.00354*((Table1[[#This Row],[Gestation (days)]]+0.5)/7)^2)*Table1[[#This Row],[BW40_3705]],"")</f>
        <v/>
      </c>
      <c r="G9498" s="2" t="str">
        <f>IF(Table1[[#This Row],[Is Data Valid]]=TRUE,((Table1[[#This Row],[Birthweight (grams)]]/Table1[[#This Row],[BW_GA]])-1)/(Backend!$B$4/100*Table1[[#This Row],[BW40_3705]]),"")</f>
        <v/>
      </c>
      <c r="H9498" s="7" t="str">
        <f>IF(Table1[[#This Row],[Is Data Valid]]=TRUE,((Table1[[#This Row],[Birthweight (grams)]]*0.9/Table1[[#This Row],[BW_GA]])-1)/(Backend!$B$4/100*Table1[[#This Row],[BW40_3705]]),"")</f>
        <v/>
      </c>
      <c r="I9498" s="7" t="str">
        <f>IF(Table1[[#This Row],[Is Data Valid]]=TRUE,((Table1[[#This Row],[Birthweight (grams)]]*1.1/Table1[[#This Row],[BW_GA]])-1)/(Backend!$B$4/100*Table1[[#This Row],[BW40_3705]]),"")</f>
        <v/>
      </c>
      <c r="J9498" s="7" t="str">
        <f>IF(Table1[[#This Row],[Is Data Valid]]=TRUE,_xlfn.NORM.S.DIST(Table1[[#This Row],[Birthweight Z-Score]],TRUE)*100,"")</f>
        <v/>
      </c>
      <c r="K9498" s="7" t="str">
        <f>IF(Table1[[#This Row],[Is Data Valid]]=TRUE,_xlfn.NORM.S.DIST(Table1[[#This Row],[Birthweight Z-Score (BW-10%)]],TRUE)*100,"")</f>
        <v/>
      </c>
      <c r="L9498" s="7" t="str">
        <f>IF(Table1[[#This Row],[Is Data Valid]]=TRUE,_xlfn.NORM.S.DIST(Table1[[#This Row],[Birthweight Z-Score (BW+10%)]],TRUE)*100,"")</f>
        <v/>
      </c>
    </row>
    <row r="9499" spans="1:12" x14ac:dyDescent="0.35">
      <c r="A9499" s="3"/>
      <c r="B9499" s="2"/>
      <c r="C9499" s="2"/>
      <c r="D9499" s="2" t="b">
        <f>IF(AND(NOT(ISBLANK(Table1[[#This Row],[Fetal Sex (Male, Female or Unknown)]])),ISNUMBER(Table1[[#This Row],[Birthweight (grams)]]),ISNUMBER(Table1[[#This Row],[Gestation (days)]])),TRUE,FALSE)</f>
        <v>0</v>
      </c>
      <c r="E9499" s="2" t="str">
        <f>IF(Table1[[#This Row],[Is Data Valid]]=TRUE,IF(Table1[[#This Row],[Fetal Sex (Male, Female or Unknown)]]="Male",Backend!$C$6,IF(Table1[[#This Row],[Fetal Sex (Male, Female or Unknown)]]="Female",Backend!$C$7,IF(Table1[[#This Row],[Fetal Sex (Male, Female or Unknown)]]="Unknown",Backend!$C$8,"Error"))),"")</f>
        <v/>
      </c>
      <c r="F9499" s="8" t="str">
        <f>IF(Table1[[#This Row],[Is Data Valid]]=TRUE,EXP(0.578+0.332*((Table1[[#This Row],[Gestation (days)]]+0.5)/7)-0.00354*((Table1[[#This Row],[Gestation (days)]]+0.5)/7)^2)*Table1[[#This Row],[BW40_3705]],"")</f>
        <v/>
      </c>
      <c r="G9499" s="2" t="str">
        <f>IF(Table1[[#This Row],[Is Data Valid]]=TRUE,((Table1[[#This Row],[Birthweight (grams)]]/Table1[[#This Row],[BW_GA]])-1)/(Backend!$B$4/100*Table1[[#This Row],[BW40_3705]]),"")</f>
        <v/>
      </c>
      <c r="H9499" s="7" t="str">
        <f>IF(Table1[[#This Row],[Is Data Valid]]=TRUE,((Table1[[#This Row],[Birthweight (grams)]]*0.9/Table1[[#This Row],[BW_GA]])-1)/(Backend!$B$4/100*Table1[[#This Row],[BW40_3705]]),"")</f>
        <v/>
      </c>
      <c r="I9499" s="7" t="str">
        <f>IF(Table1[[#This Row],[Is Data Valid]]=TRUE,((Table1[[#This Row],[Birthweight (grams)]]*1.1/Table1[[#This Row],[BW_GA]])-1)/(Backend!$B$4/100*Table1[[#This Row],[BW40_3705]]),"")</f>
        <v/>
      </c>
      <c r="J9499" s="7" t="str">
        <f>IF(Table1[[#This Row],[Is Data Valid]]=TRUE,_xlfn.NORM.S.DIST(Table1[[#This Row],[Birthweight Z-Score]],TRUE)*100,"")</f>
        <v/>
      </c>
      <c r="K9499" s="7" t="str">
        <f>IF(Table1[[#This Row],[Is Data Valid]]=TRUE,_xlfn.NORM.S.DIST(Table1[[#This Row],[Birthweight Z-Score (BW-10%)]],TRUE)*100,"")</f>
        <v/>
      </c>
      <c r="L9499" s="7" t="str">
        <f>IF(Table1[[#This Row],[Is Data Valid]]=TRUE,_xlfn.NORM.S.DIST(Table1[[#This Row],[Birthweight Z-Score (BW+10%)]],TRUE)*100,"")</f>
        <v/>
      </c>
    </row>
    <row r="9500" spans="1:12" x14ac:dyDescent="0.35">
      <c r="A9500" s="3"/>
      <c r="B9500" s="2"/>
      <c r="C9500" s="2"/>
      <c r="D9500" s="2" t="b">
        <f>IF(AND(NOT(ISBLANK(Table1[[#This Row],[Fetal Sex (Male, Female or Unknown)]])),ISNUMBER(Table1[[#This Row],[Birthweight (grams)]]),ISNUMBER(Table1[[#This Row],[Gestation (days)]])),TRUE,FALSE)</f>
        <v>0</v>
      </c>
      <c r="E9500" s="2" t="str">
        <f>IF(Table1[[#This Row],[Is Data Valid]]=TRUE,IF(Table1[[#This Row],[Fetal Sex (Male, Female or Unknown)]]="Male",Backend!$C$6,IF(Table1[[#This Row],[Fetal Sex (Male, Female or Unknown)]]="Female",Backend!$C$7,IF(Table1[[#This Row],[Fetal Sex (Male, Female or Unknown)]]="Unknown",Backend!$C$8,"Error"))),"")</f>
        <v/>
      </c>
      <c r="F9500" s="8" t="str">
        <f>IF(Table1[[#This Row],[Is Data Valid]]=TRUE,EXP(0.578+0.332*((Table1[[#This Row],[Gestation (days)]]+0.5)/7)-0.00354*((Table1[[#This Row],[Gestation (days)]]+0.5)/7)^2)*Table1[[#This Row],[BW40_3705]],"")</f>
        <v/>
      </c>
      <c r="G9500" s="2" t="str">
        <f>IF(Table1[[#This Row],[Is Data Valid]]=TRUE,((Table1[[#This Row],[Birthweight (grams)]]/Table1[[#This Row],[BW_GA]])-1)/(Backend!$B$4/100*Table1[[#This Row],[BW40_3705]]),"")</f>
        <v/>
      </c>
      <c r="H9500" s="7" t="str">
        <f>IF(Table1[[#This Row],[Is Data Valid]]=TRUE,((Table1[[#This Row],[Birthweight (grams)]]*0.9/Table1[[#This Row],[BW_GA]])-1)/(Backend!$B$4/100*Table1[[#This Row],[BW40_3705]]),"")</f>
        <v/>
      </c>
      <c r="I9500" s="7" t="str">
        <f>IF(Table1[[#This Row],[Is Data Valid]]=TRUE,((Table1[[#This Row],[Birthweight (grams)]]*1.1/Table1[[#This Row],[BW_GA]])-1)/(Backend!$B$4/100*Table1[[#This Row],[BW40_3705]]),"")</f>
        <v/>
      </c>
      <c r="J9500" s="7" t="str">
        <f>IF(Table1[[#This Row],[Is Data Valid]]=TRUE,_xlfn.NORM.S.DIST(Table1[[#This Row],[Birthweight Z-Score]],TRUE)*100,"")</f>
        <v/>
      </c>
      <c r="K9500" s="7" t="str">
        <f>IF(Table1[[#This Row],[Is Data Valid]]=TRUE,_xlfn.NORM.S.DIST(Table1[[#This Row],[Birthweight Z-Score (BW-10%)]],TRUE)*100,"")</f>
        <v/>
      </c>
      <c r="L9500" s="7" t="str">
        <f>IF(Table1[[#This Row],[Is Data Valid]]=TRUE,_xlfn.NORM.S.DIST(Table1[[#This Row],[Birthweight Z-Score (BW+10%)]],TRUE)*100,"")</f>
        <v/>
      </c>
    </row>
    <row r="9501" spans="1:12" x14ac:dyDescent="0.35">
      <c r="A9501" s="3"/>
      <c r="B9501" s="2"/>
      <c r="C9501" s="2"/>
      <c r="D9501" s="2" t="b">
        <f>IF(AND(NOT(ISBLANK(Table1[[#This Row],[Fetal Sex (Male, Female or Unknown)]])),ISNUMBER(Table1[[#This Row],[Birthweight (grams)]]),ISNUMBER(Table1[[#This Row],[Gestation (days)]])),TRUE,FALSE)</f>
        <v>0</v>
      </c>
      <c r="E9501" s="2" t="str">
        <f>IF(Table1[[#This Row],[Is Data Valid]]=TRUE,IF(Table1[[#This Row],[Fetal Sex (Male, Female or Unknown)]]="Male",Backend!$C$6,IF(Table1[[#This Row],[Fetal Sex (Male, Female or Unknown)]]="Female",Backend!$C$7,IF(Table1[[#This Row],[Fetal Sex (Male, Female or Unknown)]]="Unknown",Backend!$C$8,"Error"))),"")</f>
        <v/>
      </c>
      <c r="F9501" s="8" t="str">
        <f>IF(Table1[[#This Row],[Is Data Valid]]=TRUE,EXP(0.578+0.332*((Table1[[#This Row],[Gestation (days)]]+0.5)/7)-0.00354*((Table1[[#This Row],[Gestation (days)]]+0.5)/7)^2)*Table1[[#This Row],[BW40_3705]],"")</f>
        <v/>
      </c>
      <c r="G9501" s="2" t="str">
        <f>IF(Table1[[#This Row],[Is Data Valid]]=TRUE,((Table1[[#This Row],[Birthweight (grams)]]/Table1[[#This Row],[BW_GA]])-1)/(Backend!$B$4/100*Table1[[#This Row],[BW40_3705]]),"")</f>
        <v/>
      </c>
      <c r="H9501" s="7" t="str">
        <f>IF(Table1[[#This Row],[Is Data Valid]]=TRUE,((Table1[[#This Row],[Birthweight (grams)]]*0.9/Table1[[#This Row],[BW_GA]])-1)/(Backend!$B$4/100*Table1[[#This Row],[BW40_3705]]),"")</f>
        <v/>
      </c>
      <c r="I9501" s="7" t="str">
        <f>IF(Table1[[#This Row],[Is Data Valid]]=TRUE,((Table1[[#This Row],[Birthweight (grams)]]*1.1/Table1[[#This Row],[BW_GA]])-1)/(Backend!$B$4/100*Table1[[#This Row],[BW40_3705]]),"")</f>
        <v/>
      </c>
      <c r="J9501" s="7" t="str">
        <f>IF(Table1[[#This Row],[Is Data Valid]]=TRUE,_xlfn.NORM.S.DIST(Table1[[#This Row],[Birthweight Z-Score]],TRUE)*100,"")</f>
        <v/>
      </c>
      <c r="K9501" s="7" t="str">
        <f>IF(Table1[[#This Row],[Is Data Valid]]=TRUE,_xlfn.NORM.S.DIST(Table1[[#This Row],[Birthweight Z-Score (BW-10%)]],TRUE)*100,"")</f>
        <v/>
      </c>
      <c r="L9501" s="7" t="str">
        <f>IF(Table1[[#This Row],[Is Data Valid]]=TRUE,_xlfn.NORM.S.DIST(Table1[[#This Row],[Birthweight Z-Score (BW+10%)]],TRUE)*100,"")</f>
        <v/>
      </c>
    </row>
    <row r="9502" spans="1:12" x14ac:dyDescent="0.35">
      <c r="A9502" s="3"/>
      <c r="B9502" s="2"/>
      <c r="C9502" s="2"/>
      <c r="D9502" s="2" t="b">
        <f>IF(AND(NOT(ISBLANK(Table1[[#This Row],[Fetal Sex (Male, Female or Unknown)]])),ISNUMBER(Table1[[#This Row],[Birthweight (grams)]]),ISNUMBER(Table1[[#This Row],[Gestation (days)]])),TRUE,FALSE)</f>
        <v>0</v>
      </c>
      <c r="E9502" s="2" t="str">
        <f>IF(Table1[[#This Row],[Is Data Valid]]=TRUE,IF(Table1[[#This Row],[Fetal Sex (Male, Female or Unknown)]]="Male",Backend!$C$6,IF(Table1[[#This Row],[Fetal Sex (Male, Female or Unknown)]]="Female",Backend!$C$7,IF(Table1[[#This Row],[Fetal Sex (Male, Female or Unknown)]]="Unknown",Backend!$C$8,"Error"))),"")</f>
        <v/>
      </c>
      <c r="F9502" s="8" t="str">
        <f>IF(Table1[[#This Row],[Is Data Valid]]=TRUE,EXP(0.578+0.332*((Table1[[#This Row],[Gestation (days)]]+0.5)/7)-0.00354*((Table1[[#This Row],[Gestation (days)]]+0.5)/7)^2)*Table1[[#This Row],[BW40_3705]],"")</f>
        <v/>
      </c>
      <c r="G9502" s="2" t="str">
        <f>IF(Table1[[#This Row],[Is Data Valid]]=TRUE,((Table1[[#This Row],[Birthweight (grams)]]/Table1[[#This Row],[BW_GA]])-1)/(Backend!$B$4/100*Table1[[#This Row],[BW40_3705]]),"")</f>
        <v/>
      </c>
      <c r="H9502" s="7" t="str">
        <f>IF(Table1[[#This Row],[Is Data Valid]]=TRUE,((Table1[[#This Row],[Birthweight (grams)]]*0.9/Table1[[#This Row],[BW_GA]])-1)/(Backend!$B$4/100*Table1[[#This Row],[BW40_3705]]),"")</f>
        <v/>
      </c>
      <c r="I9502" s="7" t="str">
        <f>IF(Table1[[#This Row],[Is Data Valid]]=TRUE,((Table1[[#This Row],[Birthweight (grams)]]*1.1/Table1[[#This Row],[BW_GA]])-1)/(Backend!$B$4/100*Table1[[#This Row],[BW40_3705]]),"")</f>
        <v/>
      </c>
      <c r="J9502" s="7" t="str">
        <f>IF(Table1[[#This Row],[Is Data Valid]]=TRUE,_xlfn.NORM.S.DIST(Table1[[#This Row],[Birthweight Z-Score]],TRUE)*100,"")</f>
        <v/>
      </c>
      <c r="K9502" s="7" t="str">
        <f>IF(Table1[[#This Row],[Is Data Valid]]=TRUE,_xlfn.NORM.S.DIST(Table1[[#This Row],[Birthweight Z-Score (BW-10%)]],TRUE)*100,"")</f>
        <v/>
      </c>
      <c r="L9502" s="7" t="str">
        <f>IF(Table1[[#This Row],[Is Data Valid]]=TRUE,_xlfn.NORM.S.DIST(Table1[[#This Row],[Birthweight Z-Score (BW+10%)]],TRUE)*100,"")</f>
        <v/>
      </c>
    </row>
    <row r="9503" spans="1:12" x14ac:dyDescent="0.35">
      <c r="A9503" s="3"/>
      <c r="B9503" s="2"/>
      <c r="C9503" s="2"/>
      <c r="D9503" s="2" t="b">
        <f>IF(AND(NOT(ISBLANK(Table1[[#This Row],[Fetal Sex (Male, Female or Unknown)]])),ISNUMBER(Table1[[#This Row],[Birthweight (grams)]]),ISNUMBER(Table1[[#This Row],[Gestation (days)]])),TRUE,FALSE)</f>
        <v>0</v>
      </c>
      <c r="E9503" s="2" t="str">
        <f>IF(Table1[[#This Row],[Is Data Valid]]=TRUE,IF(Table1[[#This Row],[Fetal Sex (Male, Female or Unknown)]]="Male",Backend!$C$6,IF(Table1[[#This Row],[Fetal Sex (Male, Female or Unknown)]]="Female",Backend!$C$7,IF(Table1[[#This Row],[Fetal Sex (Male, Female or Unknown)]]="Unknown",Backend!$C$8,"Error"))),"")</f>
        <v/>
      </c>
      <c r="F9503" s="8" t="str">
        <f>IF(Table1[[#This Row],[Is Data Valid]]=TRUE,EXP(0.578+0.332*((Table1[[#This Row],[Gestation (days)]]+0.5)/7)-0.00354*((Table1[[#This Row],[Gestation (days)]]+0.5)/7)^2)*Table1[[#This Row],[BW40_3705]],"")</f>
        <v/>
      </c>
      <c r="G9503" s="2" t="str">
        <f>IF(Table1[[#This Row],[Is Data Valid]]=TRUE,((Table1[[#This Row],[Birthweight (grams)]]/Table1[[#This Row],[BW_GA]])-1)/(Backend!$B$4/100*Table1[[#This Row],[BW40_3705]]),"")</f>
        <v/>
      </c>
      <c r="H9503" s="7" t="str">
        <f>IF(Table1[[#This Row],[Is Data Valid]]=TRUE,((Table1[[#This Row],[Birthweight (grams)]]*0.9/Table1[[#This Row],[BW_GA]])-1)/(Backend!$B$4/100*Table1[[#This Row],[BW40_3705]]),"")</f>
        <v/>
      </c>
      <c r="I9503" s="7" t="str">
        <f>IF(Table1[[#This Row],[Is Data Valid]]=TRUE,((Table1[[#This Row],[Birthweight (grams)]]*1.1/Table1[[#This Row],[BW_GA]])-1)/(Backend!$B$4/100*Table1[[#This Row],[BW40_3705]]),"")</f>
        <v/>
      </c>
      <c r="J9503" s="7" t="str">
        <f>IF(Table1[[#This Row],[Is Data Valid]]=TRUE,_xlfn.NORM.S.DIST(Table1[[#This Row],[Birthweight Z-Score]],TRUE)*100,"")</f>
        <v/>
      </c>
      <c r="K9503" s="7" t="str">
        <f>IF(Table1[[#This Row],[Is Data Valid]]=TRUE,_xlfn.NORM.S.DIST(Table1[[#This Row],[Birthweight Z-Score (BW-10%)]],TRUE)*100,"")</f>
        <v/>
      </c>
      <c r="L9503" s="7" t="str">
        <f>IF(Table1[[#This Row],[Is Data Valid]]=TRUE,_xlfn.NORM.S.DIST(Table1[[#This Row],[Birthweight Z-Score (BW+10%)]],TRUE)*100,"")</f>
        <v/>
      </c>
    </row>
    <row r="9504" spans="1:12" x14ac:dyDescent="0.35">
      <c r="A9504" s="3"/>
      <c r="B9504" s="2"/>
      <c r="C9504" s="2"/>
      <c r="D9504" s="2" t="b">
        <f>IF(AND(NOT(ISBLANK(Table1[[#This Row],[Fetal Sex (Male, Female or Unknown)]])),ISNUMBER(Table1[[#This Row],[Birthweight (grams)]]),ISNUMBER(Table1[[#This Row],[Gestation (days)]])),TRUE,FALSE)</f>
        <v>0</v>
      </c>
      <c r="E9504" s="2" t="str">
        <f>IF(Table1[[#This Row],[Is Data Valid]]=TRUE,IF(Table1[[#This Row],[Fetal Sex (Male, Female or Unknown)]]="Male",Backend!$C$6,IF(Table1[[#This Row],[Fetal Sex (Male, Female or Unknown)]]="Female",Backend!$C$7,IF(Table1[[#This Row],[Fetal Sex (Male, Female or Unknown)]]="Unknown",Backend!$C$8,"Error"))),"")</f>
        <v/>
      </c>
      <c r="F9504" s="8" t="str">
        <f>IF(Table1[[#This Row],[Is Data Valid]]=TRUE,EXP(0.578+0.332*((Table1[[#This Row],[Gestation (days)]]+0.5)/7)-0.00354*((Table1[[#This Row],[Gestation (days)]]+0.5)/7)^2)*Table1[[#This Row],[BW40_3705]],"")</f>
        <v/>
      </c>
      <c r="G9504" s="2" t="str">
        <f>IF(Table1[[#This Row],[Is Data Valid]]=TRUE,((Table1[[#This Row],[Birthweight (grams)]]/Table1[[#This Row],[BW_GA]])-1)/(Backend!$B$4/100*Table1[[#This Row],[BW40_3705]]),"")</f>
        <v/>
      </c>
      <c r="H9504" s="7" t="str">
        <f>IF(Table1[[#This Row],[Is Data Valid]]=TRUE,((Table1[[#This Row],[Birthweight (grams)]]*0.9/Table1[[#This Row],[BW_GA]])-1)/(Backend!$B$4/100*Table1[[#This Row],[BW40_3705]]),"")</f>
        <v/>
      </c>
      <c r="I9504" s="7" t="str">
        <f>IF(Table1[[#This Row],[Is Data Valid]]=TRUE,((Table1[[#This Row],[Birthweight (grams)]]*1.1/Table1[[#This Row],[BW_GA]])-1)/(Backend!$B$4/100*Table1[[#This Row],[BW40_3705]]),"")</f>
        <v/>
      </c>
      <c r="J9504" s="7" t="str">
        <f>IF(Table1[[#This Row],[Is Data Valid]]=TRUE,_xlfn.NORM.S.DIST(Table1[[#This Row],[Birthweight Z-Score]],TRUE)*100,"")</f>
        <v/>
      </c>
      <c r="K9504" s="7" t="str">
        <f>IF(Table1[[#This Row],[Is Data Valid]]=TRUE,_xlfn.NORM.S.DIST(Table1[[#This Row],[Birthweight Z-Score (BW-10%)]],TRUE)*100,"")</f>
        <v/>
      </c>
      <c r="L9504" s="7" t="str">
        <f>IF(Table1[[#This Row],[Is Data Valid]]=TRUE,_xlfn.NORM.S.DIST(Table1[[#This Row],[Birthweight Z-Score (BW+10%)]],TRUE)*100,"")</f>
        <v/>
      </c>
    </row>
    <row r="9505" spans="1:12" x14ac:dyDescent="0.35">
      <c r="A9505" s="3"/>
      <c r="B9505" s="2"/>
      <c r="C9505" s="2"/>
      <c r="D9505" s="2" t="b">
        <f>IF(AND(NOT(ISBLANK(Table1[[#This Row],[Fetal Sex (Male, Female or Unknown)]])),ISNUMBER(Table1[[#This Row],[Birthweight (grams)]]),ISNUMBER(Table1[[#This Row],[Gestation (days)]])),TRUE,FALSE)</f>
        <v>0</v>
      </c>
      <c r="E9505" s="2" t="str">
        <f>IF(Table1[[#This Row],[Is Data Valid]]=TRUE,IF(Table1[[#This Row],[Fetal Sex (Male, Female or Unknown)]]="Male",Backend!$C$6,IF(Table1[[#This Row],[Fetal Sex (Male, Female or Unknown)]]="Female",Backend!$C$7,IF(Table1[[#This Row],[Fetal Sex (Male, Female or Unknown)]]="Unknown",Backend!$C$8,"Error"))),"")</f>
        <v/>
      </c>
      <c r="F9505" s="8" t="str">
        <f>IF(Table1[[#This Row],[Is Data Valid]]=TRUE,EXP(0.578+0.332*((Table1[[#This Row],[Gestation (days)]]+0.5)/7)-0.00354*((Table1[[#This Row],[Gestation (days)]]+0.5)/7)^2)*Table1[[#This Row],[BW40_3705]],"")</f>
        <v/>
      </c>
      <c r="G9505" s="2" t="str">
        <f>IF(Table1[[#This Row],[Is Data Valid]]=TRUE,((Table1[[#This Row],[Birthweight (grams)]]/Table1[[#This Row],[BW_GA]])-1)/(Backend!$B$4/100*Table1[[#This Row],[BW40_3705]]),"")</f>
        <v/>
      </c>
      <c r="H9505" s="7" t="str">
        <f>IF(Table1[[#This Row],[Is Data Valid]]=TRUE,((Table1[[#This Row],[Birthweight (grams)]]*0.9/Table1[[#This Row],[BW_GA]])-1)/(Backend!$B$4/100*Table1[[#This Row],[BW40_3705]]),"")</f>
        <v/>
      </c>
      <c r="I9505" s="7" t="str">
        <f>IF(Table1[[#This Row],[Is Data Valid]]=TRUE,((Table1[[#This Row],[Birthweight (grams)]]*1.1/Table1[[#This Row],[BW_GA]])-1)/(Backend!$B$4/100*Table1[[#This Row],[BW40_3705]]),"")</f>
        <v/>
      </c>
      <c r="J9505" s="7" t="str">
        <f>IF(Table1[[#This Row],[Is Data Valid]]=TRUE,_xlfn.NORM.S.DIST(Table1[[#This Row],[Birthweight Z-Score]],TRUE)*100,"")</f>
        <v/>
      </c>
      <c r="K9505" s="7" t="str">
        <f>IF(Table1[[#This Row],[Is Data Valid]]=TRUE,_xlfn.NORM.S.DIST(Table1[[#This Row],[Birthweight Z-Score (BW-10%)]],TRUE)*100,"")</f>
        <v/>
      </c>
      <c r="L9505" s="7" t="str">
        <f>IF(Table1[[#This Row],[Is Data Valid]]=TRUE,_xlfn.NORM.S.DIST(Table1[[#This Row],[Birthweight Z-Score (BW+10%)]],TRUE)*100,"")</f>
        <v/>
      </c>
    </row>
    <row r="9506" spans="1:12" x14ac:dyDescent="0.35">
      <c r="A9506" s="3"/>
      <c r="B9506" s="2"/>
      <c r="C9506" s="2"/>
      <c r="D9506" s="2" t="b">
        <f>IF(AND(NOT(ISBLANK(Table1[[#This Row],[Fetal Sex (Male, Female or Unknown)]])),ISNUMBER(Table1[[#This Row],[Birthweight (grams)]]),ISNUMBER(Table1[[#This Row],[Gestation (days)]])),TRUE,FALSE)</f>
        <v>0</v>
      </c>
      <c r="E9506" s="2" t="str">
        <f>IF(Table1[[#This Row],[Is Data Valid]]=TRUE,IF(Table1[[#This Row],[Fetal Sex (Male, Female or Unknown)]]="Male",Backend!$C$6,IF(Table1[[#This Row],[Fetal Sex (Male, Female or Unknown)]]="Female",Backend!$C$7,IF(Table1[[#This Row],[Fetal Sex (Male, Female or Unknown)]]="Unknown",Backend!$C$8,"Error"))),"")</f>
        <v/>
      </c>
      <c r="F9506" s="8" t="str">
        <f>IF(Table1[[#This Row],[Is Data Valid]]=TRUE,EXP(0.578+0.332*((Table1[[#This Row],[Gestation (days)]]+0.5)/7)-0.00354*((Table1[[#This Row],[Gestation (days)]]+0.5)/7)^2)*Table1[[#This Row],[BW40_3705]],"")</f>
        <v/>
      </c>
      <c r="G9506" s="2" t="str">
        <f>IF(Table1[[#This Row],[Is Data Valid]]=TRUE,((Table1[[#This Row],[Birthweight (grams)]]/Table1[[#This Row],[BW_GA]])-1)/(Backend!$B$4/100*Table1[[#This Row],[BW40_3705]]),"")</f>
        <v/>
      </c>
      <c r="H9506" s="7" t="str">
        <f>IF(Table1[[#This Row],[Is Data Valid]]=TRUE,((Table1[[#This Row],[Birthweight (grams)]]*0.9/Table1[[#This Row],[BW_GA]])-1)/(Backend!$B$4/100*Table1[[#This Row],[BW40_3705]]),"")</f>
        <v/>
      </c>
      <c r="I9506" s="7" t="str">
        <f>IF(Table1[[#This Row],[Is Data Valid]]=TRUE,((Table1[[#This Row],[Birthweight (grams)]]*1.1/Table1[[#This Row],[BW_GA]])-1)/(Backend!$B$4/100*Table1[[#This Row],[BW40_3705]]),"")</f>
        <v/>
      </c>
      <c r="J9506" s="7" t="str">
        <f>IF(Table1[[#This Row],[Is Data Valid]]=TRUE,_xlfn.NORM.S.DIST(Table1[[#This Row],[Birthweight Z-Score]],TRUE)*100,"")</f>
        <v/>
      </c>
      <c r="K9506" s="7" t="str">
        <f>IF(Table1[[#This Row],[Is Data Valid]]=TRUE,_xlfn.NORM.S.DIST(Table1[[#This Row],[Birthweight Z-Score (BW-10%)]],TRUE)*100,"")</f>
        <v/>
      </c>
      <c r="L9506" s="7" t="str">
        <f>IF(Table1[[#This Row],[Is Data Valid]]=TRUE,_xlfn.NORM.S.DIST(Table1[[#This Row],[Birthweight Z-Score (BW+10%)]],TRUE)*100,"")</f>
        <v/>
      </c>
    </row>
    <row r="9507" spans="1:12" x14ac:dyDescent="0.35">
      <c r="A9507" s="3"/>
      <c r="B9507" s="2"/>
      <c r="C9507" s="2"/>
      <c r="D9507" s="2" t="b">
        <f>IF(AND(NOT(ISBLANK(Table1[[#This Row],[Fetal Sex (Male, Female or Unknown)]])),ISNUMBER(Table1[[#This Row],[Birthweight (grams)]]),ISNUMBER(Table1[[#This Row],[Gestation (days)]])),TRUE,FALSE)</f>
        <v>0</v>
      </c>
      <c r="E9507" s="2" t="str">
        <f>IF(Table1[[#This Row],[Is Data Valid]]=TRUE,IF(Table1[[#This Row],[Fetal Sex (Male, Female or Unknown)]]="Male",Backend!$C$6,IF(Table1[[#This Row],[Fetal Sex (Male, Female or Unknown)]]="Female",Backend!$C$7,IF(Table1[[#This Row],[Fetal Sex (Male, Female or Unknown)]]="Unknown",Backend!$C$8,"Error"))),"")</f>
        <v/>
      </c>
      <c r="F9507" s="8" t="str">
        <f>IF(Table1[[#This Row],[Is Data Valid]]=TRUE,EXP(0.578+0.332*((Table1[[#This Row],[Gestation (days)]]+0.5)/7)-0.00354*((Table1[[#This Row],[Gestation (days)]]+0.5)/7)^2)*Table1[[#This Row],[BW40_3705]],"")</f>
        <v/>
      </c>
      <c r="G9507" s="2" t="str">
        <f>IF(Table1[[#This Row],[Is Data Valid]]=TRUE,((Table1[[#This Row],[Birthweight (grams)]]/Table1[[#This Row],[BW_GA]])-1)/(Backend!$B$4/100*Table1[[#This Row],[BW40_3705]]),"")</f>
        <v/>
      </c>
      <c r="H9507" s="7" t="str">
        <f>IF(Table1[[#This Row],[Is Data Valid]]=TRUE,((Table1[[#This Row],[Birthweight (grams)]]*0.9/Table1[[#This Row],[BW_GA]])-1)/(Backend!$B$4/100*Table1[[#This Row],[BW40_3705]]),"")</f>
        <v/>
      </c>
      <c r="I9507" s="7" t="str">
        <f>IF(Table1[[#This Row],[Is Data Valid]]=TRUE,((Table1[[#This Row],[Birthweight (grams)]]*1.1/Table1[[#This Row],[BW_GA]])-1)/(Backend!$B$4/100*Table1[[#This Row],[BW40_3705]]),"")</f>
        <v/>
      </c>
      <c r="J9507" s="7" t="str">
        <f>IF(Table1[[#This Row],[Is Data Valid]]=TRUE,_xlfn.NORM.S.DIST(Table1[[#This Row],[Birthweight Z-Score]],TRUE)*100,"")</f>
        <v/>
      </c>
      <c r="K9507" s="7" t="str">
        <f>IF(Table1[[#This Row],[Is Data Valid]]=TRUE,_xlfn.NORM.S.DIST(Table1[[#This Row],[Birthweight Z-Score (BW-10%)]],TRUE)*100,"")</f>
        <v/>
      </c>
      <c r="L9507" s="7" t="str">
        <f>IF(Table1[[#This Row],[Is Data Valid]]=TRUE,_xlfn.NORM.S.DIST(Table1[[#This Row],[Birthweight Z-Score (BW+10%)]],TRUE)*100,"")</f>
        <v/>
      </c>
    </row>
    <row r="9508" spans="1:12" x14ac:dyDescent="0.35">
      <c r="A9508" s="3"/>
      <c r="B9508" s="2"/>
      <c r="C9508" s="2"/>
      <c r="D9508" s="2" t="b">
        <f>IF(AND(NOT(ISBLANK(Table1[[#This Row],[Fetal Sex (Male, Female or Unknown)]])),ISNUMBER(Table1[[#This Row],[Birthweight (grams)]]),ISNUMBER(Table1[[#This Row],[Gestation (days)]])),TRUE,FALSE)</f>
        <v>0</v>
      </c>
      <c r="E9508" s="2" t="str">
        <f>IF(Table1[[#This Row],[Is Data Valid]]=TRUE,IF(Table1[[#This Row],[Fetal Sex (Male, Female or Unknown)]]="Male",Backend!$C$6,IF(Table1[[#This Row],[Fetal Sex (Male, Female or Unknown)]]="Female",Backend!$C$7,IF(Table1[[#This Row],[Fetal Sex (Male, Female or Unknown)]]="Unknown",Backend!$C$8,"Error"))),"")</f>
        <v/>
      </c>
      <c r="F9508" s="8" t="str">
        <f>IF(Table1[[#This Row],[Is Data Valid]]=TRUE,EXP(0.578+0.332*((Table1[[#This Row],[Gestation (days)]]+0.5)/7)-0.00354*((Table1[[#This Row],[Gestation (days)]]+0.5)/7)^2)*Table1[[#This Row],[BW40_3705]],"")</f>
        <v/>
      </c>
      <c r="G9508" s="2" t="str">
        <f>IF(Table1[[#This Row],[Is Data Valid]]=TRUE,((Table1[[#This Row],[Birthweight (grams)]]/Table1[[#This Row],[BW_GA]])-1)/(Backend!$B$4/100*Table1[[#This Row],[BW40_3705]]),"")</f>
        <v/>
      </c>
      <c r="H9508" s="7" t="str">
        <f>IF(Table1[[#This Row],[Is Data Valid]]=TRUE,((Table1[[#This Row],[Birthweight (grams)]]*0.9/Table1[[#This Row],[BW_GA]])-1)/(Backend!$B$4/100*Table1[[#This Row],[BW40_3705]]),"")</f>
        <v/>
      </c>
      <c r="I9508" s="7" t="str">
        <f>IF(Table1[[#This Row],[Is Data Valid]]=TRUE,((Table1[[#This Row],[Birthweight (grams)]]*1.1/Table1[[#This Row],[BW_GA]])-1)/(Backend!$B$4/100*Table1[[#This Row],[BW40_3705]]),"")</f>
        <v/>
      </c>
      <c r="J9508" s="7" t="str">
        <f>IF(Table1[[#This Row],[Is Data Valid]]=TRUE,_xlfn.NORM.S.DIST(Table1[[#This Row],[Birthweight Z-Score]],TRUE)*100,"")</f>
        <v/>
      </c>
      <c r="K9508" s="7" t="str">
        <f>IF(Table1[[#This Row],[Is Data Valid]]=TRUE,_xlfn.NORM.S.DIST(Table1[[#This Row],[Birthweight Z-Score (BW-10%)]],TRUE)*100,"")</f>
        <v/>
      </c>
      <c r="L9508" s="7" t="str">
        <f>IF(Table1[[#This Row],[Is Data Valid]]=TRUE,_xlfn.NORM.S.DIST(Table1[[#This Row],[Birthweight Z-Score (BW+10%)]],TRUE)*100,"")</f>
        <v/>
      </c>
    </row>
    <row r="9509" spans="1:12" x14ac:dyDescent="0.35">
      <c r="A9509" s="3"/>
      <c r="B9509" s="2"/>
      <c r="C9509" s="2"/>
      <c r="D9509" s="2" t="b">
        <f>IF(AND(NOT(ISBLANK(Table1[[#This Row],[Fetal Sex (Male, Female or Unknown)]])),ISNUMBER(Table1[[#This Row],[Birthweight (grams)]]),ISNUMBER(Table1[[#This Row],[Gestation (days)]])),TRUE,FALSE)</f>
        <v>0</v>
      </c>
      <c r="E9509" s="2" t="str">
        <f>IF(Table1[[#This Row],[Is Data Valid]]=TRUE,IF(Table1[[#This Row],[Fetal Sex (Male, Female or Unknown)]]="Male",Backend!$C$6,IF(Table1[[#This Row],[Fetal Sex (Male, Female or Unknown)]]="Female",Backend!$C$7,IF(Table1[[#This Row],[Fetal Sex (Male, Female or Unknown)]]="Unknown",Backend!$C$8,"Error"))),"")</f>
        <v/>
      </c>
      <c r="F9509" s="8" t="str">
        <f>IF(Table1[[#This Row],[Is Data Valid]]=TRUE,EXP(0.578+0.332*((Table1[[#This Row],[Gestation (days)]]+0.5)/7)-0.00354*((Table1[[#This Row],[Gestation (days)]]+0.5)/7)^2)*Table1[[#This Row],[BW40_3705]],"")</f>
        <v/>
      </c>
      <c r="G9509" s="2" t="str">
        <f>IF(Table1[[#This Row],[Is Data Valid]]=TRUE,((Table1[[#This Row],[Birthweight (grams)]]/Table1[[#This Row],[BW_GA]])-1)/(Backend!$B$4/100*Table1[[#This Row],[BW40_3705]]),"")</f>
        <v/>
      </c>
      <c r="H9509" s="7" t="str">
        <f>IF(Table1[[#This Row],[Is Data Valid]]=TRUE,((Table1[[#This Row],[Birthweight (grams)]]*0.9/Table1[[#This Row],[BW_GA]])-1)/(Backend!$B$4/100*Table1[[#This Row],[BW40_3705]]),"")</f>
        <v/>
      </c>
      <c r="I9509" s="7" t="str">
        <f>IF(Table1[[#This Row],[Is Data Valid]]=TRUE,((Table1[[#This Row],[Birthweight (grams)]]*1.1/Table1[[#This Row],[BW_GA]])-1)/(Backend!$B$4/100*Table1[[#This Row],[BW40_3705]]),"")</f>
        <v/>
      </c>
      <c r="J9509" s="7" t="str">
        <f>IF(Table1[[#This Row],[Is Data Valid]]=TRUE,_xlfn.NORM.S.DIST(Table1[[#This Row],[Birthweight Z-Score]],TRUE)*100,"")</f>
        <v/>
      </c>
      <c r="K9509" s="7" t="str">
        <f>IF(Table1[[#This Row],[Is Data Valid]]=TRUE,_xlfn.NORM.S.DIST(Table1[[#This Row],[Birthweight Z-Score (BW-10%)]],TRUE)*100,"")</f>
        <v/>
      </c>
      <c r="L9509" s="7" t="str">
        <f>IF(Table1[[#This Row],[Is Data Valid]]=TRUE,_xlfn.NORM.S.DIST(Table1[[#This Row],[Birthweight Z-Score (BW+10%)]],TRUE)*100,"")</f>
        <v/>
      </c>
    </row>
    <row r="9510" spans="1:12" x14ac:dyDescent="0.35">
      <c r="A9510" s="3"/>
      <c r="B9510" s="2"/>
      <c r="C9510" s="2"/>
      <c r="D9510" s="2" t="b">
        <f>IF(AND(NOT(ISBLANK(Table1[[#This Row],[Fetal Sex (Male, Female or Unknown)]])),ISNUMBER(Table1[[#This Row],[Birthweight (grams)]]),ISNUMBER(Table1[[#This Row],[Gestation (days)]])),TRUE,FALSE)</f>
        <v>0</v>
      </c>
      <c r="E9510" s="2" t="str">
        <f>IF(Table1[[#This Row],[Is Data Valid]]=TRUE,IF(Table1[[#This Row],[Fetal Sex (Male, Female or Unknown)]]="Male",Backend!$C$6,IF(Table1[[#This Row],[Fetal Sex (Male, Female or Unknown)]]="Female",Backend!$C$7,IF(Table1[[#This Row],[Fetal Sex (Male, Female or Unknown)]]="Unknown",Backend!$C$8,"Error"))),"")</f>
        <v/>
      </c>
      <c r="F9510" s="8" t="str">
        <f>IF(Table1[[#This Row],[Is Data Valid]]=TRUE,EXP(0.578+0.332*((Table1[[#This Row],[Gestation (days)]]+0.5)/7)-0.00354*((Table1[[#This Row],[Gestation (days)]]+0.5)/7)^2)*Table1[[#This Row],[BW40_3705]],"")</f>
        <v/>
      </c>
      <c r="G9510" s="2" t="str">
        <f>IF(Table1[[#This Row],[Is Data Valid]]=TRUE,((Table1[[#This Row],[Birthweight (grams)]]/Table1[[#This Row],[BW_GA]])-1)/(Backend!$B$4/100*Table1[[#This Row],[BW40_3705]]),"")</f>
        <v/>
      </c>
      <c r="H9510" s="7" t="str">
        <f>IF(Table1[[#This Row],[Is Data Valid]]=TRUE,((Table1[[#This Row],[Birthweight (grams)]]*0.9/Table1[[#This Row],[BW_GA]])-1)/(Backend!$B$4/100*Table1[[#This Row],[BW40_3705]]),"")</f>
        <v/>
      </c>
      <c r="I9510" s="7" t="str">
        <f>IF(Table1[[#This Row],[Is Data Valid]]=TRUE,((Table1[[#This Row],[Birthweight (grams)]]*1.1/Table1[[#This Row],[BW_GA]])-1)/(Backend!$B$4/100*Table1[[#This Row],[BW40_3705]]),"")</f>
        <v/>
      </c>
      <c r="J9510" s="7" t="str">
        <f>IF(Table1[[#This Row],[Is Data Valid]]=TRUE,_xlfn.NORM.S.DIST(Table1[[#This Row],[Birthweight Z-Score]],TRUE)*100,"")</f>
        <v/>
      </c>
      <c r="K9510" s="7" t="str">
        <f>IF(Table1[[#This Row],[Is Data Valid]]=TRUE,_xlfn.NORM.S.DIST(Table1[[#This Row],[Birthweight Z-Score (BW-10%)]],TRUE)*100,"")</f>
        <v/>
      </c>
      <c r="L9510" s="7" t="str">
        <f>IF(Table1[[#This Row],[Is Data Valid]]=TRUE,_xlfn.NORM.S.DIST(Table1[[#This Row],[Birthweight Z-Score (BW+10%)]],TRUE)*100,"")</f>
        <v/>
      </c>
    </row>
    <row r="9511" spans="1:12" x14ac:dyDescent="0.35">
      <c r="A9511" s="3"/>
      <c r="B9511" s="2"/>
      <c r="C9511" s="2"/>
      <c r="D9511" s="2" t="b">
        <f>IF(AND(NOT(ISBLANK(Table1[[#This Row],[Fetal Sex (Male, Female or Unknown)]])),ISNUMBER(Table1[[#This Row],[Birthweight (grams)]]),ISNUMBER(Table1[[#This Row],[Gestation (days)]])),TRUE,FALSE)</f>
        <v>0</v>
      </c>
      <c r="E9511" s="2" t="str">
        <f>IF(Table1[[#This Row],[Is Data Valid]]=TRUE,IF(Table1[[#This Row],[Fetal Sex (Male, Female or Unknown)]]="Male",Backend!$C$6,IF(Table1[[#This Row],[Fetal Sex (Male, Female or Unknown)]]="Female",Backend!$C$7,IF(Table1[[#This Row],[Fetal Sex (Male, Female or Unknown)]]="Unknown",Backend!$C$8,"Error"))),"")</f>
        <v/>
      </c>
      <c r="F9511" s="8" t="str">
        <f>IF(Table1[[#This Row],[Is Data Valid]]=TRUE,EXP(0.578+0.332*((Table1[[#This Row],[Gestation (days)]]+0.5)/7)-0.00354*((Table1[[#This Row],[Gestation (days)]]+0.5)/7)^2)*Table1[[#This Row],[BW40_3705]],"")</f>
        <v/>
      </c>
      <c r="G9511" s="2" t="str">
        <f>IF(Table1[[#This Row],[Is Data Valid]]=TRUE,((Table1[[#This Row],[Birthweight (grams)]]/Table1[[#This Row],[BW_GA]])-1)/(Backend!$B$4/100*Table1[[#This Row],[BW40_3705]]),"")</f>
        <v/>
      </c>
      <c r="H9511" s="7" t="str">
        <f>IF(Table1[[#This Row],[Is Data Valid]]=TRUE,((Table1[[#This Row],[Birthweight (grams)]]*0.9/Table1[[#This Row],[BW_GA]])-1)/(Backend!$B$4/100*Table1[[#This Row],[BW40_3705]]),"")</f>
        <v/>
      </c>
      <c r="I9511" s="7" t="str">
        <f>IF(Table1[[#This Row],[Is Data Valid]]=TRUE,((Table1[[#This Row],[Birthweight (grams)]]*1.1/Table1[[#This Row],[BW_GA]])-1)/(Backend!$B$4/100*Table1[[#This Row],[BW40_3705]]),"")</f>
        <v/>
      </c>
      <c r="J9511" s="7" t="str">
        <f>IF(Table1[[#This Row],[Is Data Valid]]=TRUE,_xlfn.NORM.S.DIST(Table1[[#This Row],[Birthweight Z-Score]],TRUE)*100,"")</f>
        <v/>
      </c>
      <c r="K9511" s="7" t="str">
        <f>IF(Table1[[#This Row],[Is Data Valid]]=TRUE,_xlfn.NORM.S.DIST(Table1[[#This Row],[Birthweight Z-Score (BW-10%)]],TRUE)*100,"")</f>
        <v/>
      </c>
      <c r="L9511" s="7" t="str">
        <f>IF(Table1[[#This Row],[Is Data Valid]]=TRUE,_xlfn.NORM.S.DIST(Table1[[#This Row],[Birthweight Z-Score (BW+10%)]],TRUE)*100,"")</f>
        <v/>
      </c>
    </row>
    <row r="9512" spans="1:12" x14ac:dyDescent="0.35">
      <c r="A9512" s="3"/>
      <c r="B9512" s="2"/>
      <c r="C9512" s="2"/>
      <c r="D9512" s="2" t="b">
        <f>IF(AND(NOT(ISBLANK(Table1[[#This Row],[Fetal Sex (Male, Female or Unknown)]])),ISNUMBER(Table1[[#This Row],[Birthweight (grams)]]),ISNUMBER(Table1[[#This Row],[Gestation (days)]])),TRUE,FALSE)</f>
        <v>0</v>
      </c>
      <c r="E9512" s="2" t="str">
        <f>IF(Table1[[#This Row],[Is Data Valid]]=TRUE,IF(Table1[[#This Row],[Fetal Sex (Male, Female or Unknown)]]="Male",Backend!$C$6,IF(Table1[[#This Row],[Fetal Sex (Male, Female or Unknown)]]="Female",Backend!$C$7,IF(Table1[[#This Row],[Fetal Sex (Male, Female or Unknown)]]="Unknown",Backend!$C$8,"Error"))),"")</f>
        <v/>
      </c>
      <c r="F9512" s="8" t="str">
        <f>IF(Table1[[#This Row],[Is Data Valid]]=TRUE,EXP(0.578+0.332*((Table1[[#This Row],[Gestation (days)]]+0.5)/7)-0.00354*((Table1[[#This Row],[Gestation (days)]]+0.5)/7)^2)*Table1[[#This Row],[BW40_3705]],"")</f>
        <v/>
      </c>
      <c r="G9512" s="2" t="str">
        <f>IF(Table1[[#This Row],[Is Data Valid]]=TRUE,((Table1[[#This Row],[Birthweight (grams)]]/Table1[[#This Row],[BW_GA]])-1)/(Backend!$B$4/100*Table1[[#This Row],[BW40_3705]]),"")</f>
        <v/>
      </c>
      <c r="H9512" s="7" t="str">
        <f>IF(Table1[[#This Row],[Is Data Valid]]=TRUE,((Table1[[#This Row],[Birthweight (grams)]]*0.9/Table1[[#This Row],[BW_GA]])-1)/(Backend!$B$4/100*Table1[[#This Row],[BW40_3705]]),"")</f>
        <v/>
      </c>
      <c r="I9512" s="7" t="str">
        <f>IF(Table1[[#This Row],[Is Data Valid]]=TRUE,((Table1[[#This Row],[Birthweight (grams)]]*1.1/Table1[[#This Row],[BW_GA]])-1)/(Backend!$B$4/100*Table1[[#This Row],[BW40_3705]]),"")</f>
        <v/>
      </c>
      <c r="J9512" s="7" t="str">
        <f>IF(Table1[[#This Row],[Is Data Valid]]=TRUE,_xlfn.NORM.S.DIST(Table1[[#This Row],[Birthweight Z-Score]],TRUE)*100,"")</f>
        <v/>
      </c>
      <c r="K9512" s="7" t="str">
        <f>IF(Table1[[#This Row],[Is Data Valid]]=TRUE,_xlfn.NORM.S.DIST(Table1[[#This Row],[Birthweight Z-Score (BW-10%)]],TRUE)*100,"")</f>
        <v/>
      </c>
      <c r="L9512" s="7" t="str">
        <f>IF(Table1[[#This Row],[Is Data Valid]]=TRUE,_xlfn.NORM.S.DIST(Table1[[#This Row],[Birthweight Z-Score (BW+10%)]],TRUE)*100,"")</f>
        <v/>
      </c>
    </row>
    <row r="9513" spans="1:12" x14ac:dyDescent="0.35">
      <c r="A9513" s="3"/>
      <c r="B9513" s="2"/>
      <c r="C9513" s="2"/>
      <c r="D9513" s="2" t="b">
        <f>IF(AND(NOT(ISBLANK(Table1[[#This Row],[Fetal Sex (Male, Female or Unknown)]])),ISNUMBER(Table1[[#This Row],[Birthweight (grams)]]),ISNUMBER(Table1[[#This Row],[Gestation (days)]])),TRUE,FALSE)</f>
        <v>0</v>
      </c>
      <c r="E9513" s="2" t="str">
        <f>IF(Table1[[#This Row],[Is Data Valid]]=TRUE,IF(Table1[[#This Row],[Fetal Sex (Male, Female or Unknown)]]="Male",Backend!$C$6,IF(Table1[[#This Row],[Fetal Sex (Male, Female or Unknown)]]="Female",Backend!$C$7,IF(Table1[[#This Row],[Fetal Sex (Male, Female or Unknown)]]="Unknown",Backend!$C$8,"Error"))),"")</f>
        <v/>
      </c>
      <c r="F9513" s="8" t="str">
        <f>IF(Table1[[#This Row],[Is Data Valid]]=TRUE,EXP(0.578+0.332*((Table1[[#This Row],[Gestation (days)]]+0.5)/7)-0.00354*((Table1[[#This Row],[Gestation (days)]]+0.5)/7)^2)*Table1[[#This Row],[BW40_3705]],"")</f>
        <v/>
      </c>
      <c r="G9513" s="2" t="str">
        <f>IF(Table1[[#This Row],[Is Data Valid]]=TRUE,((Table1[[#This Row],[Birthweight (grams)]]/Table1[[#This Row],[BW_GA]])-1)/(Backend!$B$4/100*Table1[[#This Row],[BW40_3705]]),"")</f>
        <v/>
      </c>
      <c r="H9513" s="7" t="str">
        <f>IF(Table1[[#This Row],[Is Data Valid]]=TRUE,((Table1[[#This Row],[Birthweight (grams)]]*0.9/Table1[[#This Row],[BW_GA]])-1)/(Backend!$B$4/100*Table1[[#This Row],[BW40_3705]]),"")</f>
        <v/>
      </c>
      <c r="I9513" s="7" t="str">
        <f>IF(Table1[[#This Row],[Is Data Valid]]=TRUE,((Table1[[#This Row],[Birthweight (grams)]]*1.1/Table1[[#This Row],[BW_GA]])-1)/(Backend!$B$4/100*Table1[[#This Row],[BW40_3705]]),"")</f>
        <v/>
      </c>
      <c r="J9513" s="7" t="str">
        <f>IF(Table1[[#This Row],[Is Data Valid]]=TRUE,_xlfn.NORM.S.DIST(Table1[[#This Row],[Birthweight Z-Score]],TRUE)*100,"")</f>
        <v/>
      </c>
      <c r="K9513" s="7" t="str">
        <f>IF(Table1[[#This Row],[Is Data Valid]]=TRUE,_xlfn.NORM.S.DIST(Table1[[#This Row],[Birthweight Z-Score (BW-10%)]],TRUE)*100,"")</f>
        <v/>
      </c>
      <c r="L9513" s="7" t="str">
        <f>IF(Table1[[#This Row],[Is Data Valid]]=TRUE,_xlfn.NORM.S.DIST(Table1[[#This Row],[Birthweight Z-Score (BW+10%)]],TRUE)*100,"")</f>
        <v/>
      </c>
    </row>
    <row r="9514" spans="1:12" x14ac:dyDescent="0.35">
      <c r="A9514" s="3"/>
      <c r="B9514" s="2"/>
      <c r="C9514" s="2"/>
      <c r="D9514" s="2" t="b">
        <f>IF(AND(NOT(ISBLANK(Table1[[#This Row],[Fetal Sex (Male, Female or Unknown)]])),ISNUMBER(Table1[[#This Row],[Birthweight (grams)]]),ISNUMBER(Table1[[#This Row],[Gestation (days)]])),TRUE,FALSE)</f>
        <v>0</v>
      </c>
      <c r="E9514" s="2" t="str">
        <f>IF(Table1[[#This Row],[Is Data Valid]]=TRUE,IF(Table1[[#This Row],[Fetal Sex (Male, Female or Unknown)]]="Male",Backend!$C$6,IF(Table1[[#This Row],[Fetal Sex (Male, Female or Unknown)]]="Female",Backend!$C$7,IF(Table1[[#This Row],[Fetal Sex (Male, Female or Unknown)]]="Unknown",Backend!$C$8,"Error"))),"")</f>
        <v/>
      </c>
      <c r="F9514" s="8" t="str">
        <f>IF(Table1[[#This Row],[Is Data Valid]]=TRUE,EXP(0.578+0.332*((Table1[[#This Row],[Gestation (days)]]+0.5)/7)-0.00354*((Table1[[#This Row],[Gestation (days)]]+0.5)/7)^2)*Table1[[#This Row],[BW40_3705]],"")</f>
        <v/>
      </c>
      <c r="G9514" s="2" t="str">
        <f>IF(Table1[[#This Row],[Is Data Valid]]=TRUE,((Table1[[#This Row],[Birthweight (grams)]]/Table1[[#This Row],[BW_GA]])-1)/(Backend!$B$4/100*Table1[[#This Row],[BW40_3705]]),"")</f>
        <v/>
      </c>
      <c r="H9514" s="7" t="str">
        <f>IF(Table1[[#This Row],[Is Data Valid]]=TRUE,((Table1[[#This Row],[Birthweight (grams)]]*0.9/Table1[[#This Row],[BW_GA]])-1)/(Backend!$B$4/100*Table1[[#This Row],[BW40_3705]]),"")</f>
        <v/>
      </c>
      <c r="I9514" s="7" t="str">
        <f>IF(Table1[[#This Row],[Is Data Valid]]=TRUE,((Table1[[#This Row],[Birthweight (grams)]]*1.1/Table1[[#This Row],[BW_GA]])-1)/(Backend!$B$4/100*Table1[[#This Row],[BW40_3705]]),"")</f>
        <v/>
      </c>
      <c r="J9514" s="7" t="str">
        <f>IF(Table1[[#This Row],[Is Data Valid]]=TRUE,_xlfn.NORM.S.DIST(Table1[[#This Row],[Birthweight Z-Score]],TRUE)*100,"")</f>
        <v/>
      </c>
      <c r="K9514" s="7" t="str">
        <f>IF(Table1[[#This Row],[Is Data Valid]]=TRUE,_xlfn.NORM.S.DIST(Table1[[#This Row],[Birthweight Z-Score (BW-10%)]],TRUE)*100,"")</f>
        <v/>
      </c>
      <c r="L9514" s="7" t="str">
        <f>IF(Table1[[#This Row],[Is Data Valid]]=TRUE,_xlfn.NORM.S.DIST(Table1[[#This Row],[Birthweight Z-Score (BW+10%)]],TRUE)*100,"")</f>
        <v/>
      </c>
    </row>
    <row r="9515" spans="1:12" x14ac:dyDescent="0.35">
      <c r="A9515" s="3"/>
      <c r="B9515" s="2"/>
      <c r="C9515" s="2"/>
      <c r="D9515" s="2" t="b">
        <f>IF(AND(NOT(ISBLANK(Table1[[#This Row],[Fetal Sex (Male, Female or Unknown)]])),ISNUMBER(Table1[[#This Row],[Birthweight (grams)]]),ISNUMBER(Table1[[#This Row],[Gestation (days)]])),TRUE,FALSE)</f>
        <v>0</v>
      </c>
      <c r="E9515" s="2" t="str">
        <f>IF(Table1[[#This Row],[Is Data Valid]]=TRUE,IF(Table1[[#This Row],[Fetal Sex (Male, Female or Unknown)]]="Male",Backend!$C$6,IF(Table1[[#This Row],[Fetal Sex (Male, Female or Unknown)]]="Female",Backend!$C$7,IF(Table1[[#This Row],[Fetal Sex (Male, Female or Unknown)]]="Unknown",Backend!$C$8,"Error"))),"")</f>
        <v/>
      </c>
      <c r="F9515" s="8" t="str">
        <f>IF(Table1[[#This Row],[Is Data Valid]]=TRUE,EXP(0.578+0.332*((Table1[[#This Row],[Gestation (days)]]+0.5)/7)-0.00354*((Table1[[#This Row],[Gestation (days)]]+0.5)/7)^2)*Table1[[#This Row],[BW40_3705]],"")</f>
        <v/>
      </c>
      <c r="G9515" s="2" t="str">
        <f>IF(Table1[[#This Row],[Is Data Valid]]=TRUE,((Table1[[#This Row],[Birthweight (grams)]]/Table1[[#This Row],[BW_GA]])-1)/(Backend!$B$4/100*Table1[[#This Row],[BW40_3705]]),"")</f>
        <v/>
      </c>
      <c r="H9515" s="7" t="str">
        <f>IF(Table1[[#This Row],[Is Data Valid]]=TRUE,((Table1[[#This Row],[Birthweight (grams)]]*0.9/Table1[[#This Row],[BW_GA]])-1)/(Backend!$B$4/100*Table1[[#This Row],[BW40_3705]]),"")</f>
        <v/>
      </c>
      <c r="I9515" s="7" t="str">
        <f>IF(Table1[[#This Row],[Is Data Valid]]=TRUE,((Table1[[#This Row],[Birthweight (grams)]]*1.1/Table1[[#This Row],[BW_GA]])-1)/(Backend!$B$4/100*Table1[[#This Row],[BW40_3705]]),"")</f>
        <v/>
      </c>
      <c r="J9515" s="7" t="str">
        <f>IF(Table1[[#This Row],[Is Data Valid]]=TRUE,_xlfn.NORM.S.DIST(Table1[[#This Row],[Birthweight Z-Score]],TRUE)*100,"")</f>
        <v/>
      </c>
      <c r="K9515" s="7" t="str">
        <f>IF(Table1[[#This Row],[Is Data Valid]]=TRUE,_xlfn.NORM.S.DIST(Table1[[#This Row],[Birthweight Z-Score (BW-10%)]],TRUE)*100,"")</f>
        <v/>
      </c>
      <c r="L9515" s="7" t="str">
        <f>IF(Table1[[#This Row],[Is Data Valid]]=TRUE,_xlfn.NORM.S.DIST(Table1[[#This Row],[Birthweight Z-Score (BW+10%)]],TRUE)*100,"")</f>
        <v/>
      </c>
    </row>
    <row r="9516" spans="1:12" x14ac:dyDescent="0.35">
      <c r="A9516" s="3"/>
      <c r="B9516" s="2"/>
      <c r="C9516" s="2"/>
      <c r="D9516" s="2" t="b">
        <f>IF(AND(NOT(ISBLANK(Table1[[#This Row],[Fetal Sex (Male, Female or Unknown)]])),ISNUMBER(Table1[[#This Row],[Birthweight (grams)]]),ISNUMBER(Table1[[#This Row],[Gestation (days)]])),TRUE,FALSE)</f>
        <v>0</v>
      </c>
      <c r="E9516" s="2" t="str">
        <f>IF(Table1[[#This Row],[Is Data Valid]]=TRUE,IF(Table1[[#This Row],[Fetal Sex (Male, Female or Unknown)]]="Male",Backend!$C$6,IF(Table1[[#This Row],[Fetal Sex (Male, Female or Unknown)]]="Female",Backend!$C$7,IF(Table1[[#This Row],[Fetal Sex (Male, Female or Unknown)]]="Unknown",Backend!$C$8,"Error"))),"")</f>
        <v/>
      </c>
      <c r="F9516" s="8" t="str">
        <f>IF(Table1[[#This Row],[Is Data Valid]]=TRUE,EXP(0.578+0.332*((Table1[[#This Row],[Gestation (days)]]+0.5)/7)-0.00354*((Table1[[#This Row],[Gestation (days)]]+0.5)/7)^2)*Table1[[#This Row],[BW40_3705]],"")</f>
        <v/>
      </c>
      <c r="G9516" s="2" t="str">
        <f>IF(Table1[[#This Row],[Is Data Valid]]=TRUE,((Table1[[#This Row],[Birthweight (grams)]]/Table1[[#This Row],[BW_GA]])-1)/(Backend!$B$4/100*Table1[[#This Row],[BW40_3705]]),"")</f>
        <v/>
      </c>
      <c r="H9516" s="7" t="str">
        <f>IF(Table1[[#This Row],[Is Data Valid]]=TRUE,((Table1[[#This Row],[Birthweight (grams)]]*0.9/Table1[[#This Row],[BW_GA]])-1)/(Backend!$B$4/100*Table1[[#This Row],[BW40_3705]]),"")</f>
        <v/>
      </c>
      <c r="I9516" s="7" t="str">
        <f>IF(Table1[[#This Row],[Is Data Valid]]=TRUE,((Table1[[#This Row],[Birthweight (grams)]]*1.1/Table1[[#This Row],[BW_GA]])-1)/(Backend!$B$4/100*Table1[[#This Row],[BW40_3705]]),"")</f>
        <v/>
      </c>
      <c r="J9516" s="7" t="str">
        <f>IF(Table1[[#This Row],[Is Data Valid]]=TRUE,_xlfn.NORM.S.DIST(Table1[[#This Row],[Birthweight Z-Score]],TRUE)*100,"")</f>
        <v/>
      </c>
      <c r="K9516" s="7" t="str">
        <f>IF(Table1[[#This Row],[Is Data Valid]]=TRUE,_xlfn.NORM.S.DIST(Table1[[#This Row],[Birthweight Z-Score (BW-10%)]],TRUE)*100,"")</f>
        <v/>
      </c>
      <c r="L9516" s="7" t="str">
        <f>IF(Table1[[#This Row],[Is Data Valid]]=TRUE,_xlfn.NORM.S.DIST(Table1[[#This Row],[Birthweight Z-Score (BW+10%)]],TRUE)*100,"")</f>
        <v/>
      </c>
    </row>
    <row r="9517" spans="1:12" x14ac:dyDescent="0.35">
      <c r="A9517" s="3"/>
      <c r="B9517" s="2"/>
      <c r="C9517" s="2"/>
      <c r="D9517" s="2" t="b">
        <f>IF(AND(NOT(ISBLANK(Table1[[#This Row],[Fetal Sex (Male, Female or Unknown)]])),ISNUMBER(Table1[[#This Row],[Birthweight (grams)]]),ISNUMBER(Table1[[#This Row],[Gestation (days)]])),TRUE,FALSE)</f>
        <v>0</v>
      </c>
      <c r="E9517" s="2" t="str">
        <f>IF(Table1[[#This Row],[Is Data Valid]]=TRUE,IF(Table1[[#This Row],[Fetal Sex (Male, Female or Unknown)]]="Male",Backend!$C$6,IF(Table1[[#This Row],[Fetal Sex (Male, Female or Unknown)]]="Female",Backend!$C$7,IF(Table1[[#This Row],[Fetal Sex (Male, Female or Unknown)]]="Unknown",Backend!$C$8,"Error"))),"")</f>
        <v/>
      </c>
      <c r="F9517" s="8" t="str">
        <f>IF(Table1[[#This Row],[Is Data Valid]]=TRUE,EXP(0.578+0.332*((Table1[[#This Row],[Gestation (days)]]+0.5)/7)-0.00354*((Table1[[#This Row],[Gestation (days)]]+0.5)/7)^2)*Table1[[#This Row],[BW40_3705]],"")</f>
        <v/>
      </c>
      <c r="G9517" s="2" t="str">
        <f>IF(Table1[[#This Row],[Is Data Valid]]=TRUE,((Table1[[#This Row],[Birthweight (grams)]]/Table1[[#This Row],[BW_GA]])-1)/(Backend!$B$4/100*Table1[[#This Row],[BW40_3705]]),"")</f>
        <v/>
      </c>
      <c r="H9517" s="7" t="str">
        <f>IF(Table1[[#This Row],[Is Data Valid]]=TRUE,((Table1[[#This Row],[Birthweight (grams)]]*0.9/Table1[[#This Row],[BW_GA]])-1)/(Backend!$B$4/100*Table1[[#This Row],[BW40_3705]]),"")</f>
        <v/>
      </c>
      <c r="I9517" s="7" t="str">
        <f>IF(Table1[[#This Row],[Is Data Valid]]=TRUE,((Table1[[#This Row],[Birthweight (grams)]]*1.1/Table1[[#This Row],[BW_GA]])-1)/(Backend!$B$4/100*Table1[[#This Row],[BW40_3705]]),"")</f>
        <v/>
      </c>
      <c r="J9517" s="7" t="str">
        <f>IF(Table1[[#This Row],[Is Data Valid]]=TRUE,_xlfn.NORM.S.DIST(Table1[[#This Row],[Birthweight Z-Score]],TRUE)*100,"")</f>
        <v/>
      </c>
      <c r="K9517" s="7" t="str">
        <f>IF(Table1[[#This Row],[Is Data Valid]]=TRUE,_xlfn.NORM.S.DIST(Table1[[#This Row],[Birthweight Z-Score (BW-10%)]],TRUE)*100,"")</f>
        <v/>
      </c>
      <c r="L9517" s="7" t="str">
        <f>IF(Table1[[#This Row],[Is Data Valid]]=TRUE,_xlfn.NORM.S.DIST(Table1[[#This Row],[Birthweight Z-Score (BW+10%)]],TRUE)*100,"")</f>
        <v/>
      </c>
    </row>
    <row r="9518" spans="1:12" x14ac:dyDescent="0.35">
      <c r="A9518" s="3"/>
      <c r="B9518" s="2"/>
      <c r="C9518" s="2"/>
      <c r="D9518" s="2" t="b">
        <f>IF(AND(NOT(ISBLANK(Table1[[#This Row],[Fetal Sex (Male, Female or Unknown)]])),ISNUMBER(Table1[[#This Row],[Birthweight (grams)]]),ISNUMBER(Table1[[#This Row],[Gestation (days)]])),TRUE,FALSE)</f>
        <v>0</v>
      </c>
      <c r="E9518" s="2" t="str">
        <f>IF(Table1[[#This Row],[Is Data Valid]]=TRUE,IF(Table1[[#This Row],[Fetal Sex (Male, Female or Unknown)]]="Male",Backend!$C$6,IF(Table1[[#This Row],[Fetal Sex (Male, Female or Unknown)]]="Female",Backend!$C$7,IF(Table1[[#This Row],[Fetal Sex (Male, Female or Unknown)]]="Unknown",Backend!$C$8,"Error"))),"")</f>
        <v/>
      </c>
      <c r="F9518" s="8" t="str">
        <f>IF(Table1[[#This Row],[Is Data Valid]]=TRUE,EXP(0.578+0.332*((Table1[[#This Row],[Gestation (days)]]+0.5)/7)-0.00354*((Table1[[#This Row],[Gestation (days)]]+0.5)/7)^2)*Table1[[#This Row],[BW40_3705]],"")</f>
        <v/>
      </c>
      <c r="G9518" s="2" t="str">
        <f>IF(Table1[[#This Row],[Is Data Valid]]=TRUE,((Table1[[#This Row],[Birthweight (grams)]]/Table1[[#This Row],[BW_GA]])-1)/(Backend!$B$4/100*Table1[[#This Row],[BW40_3705]]),"")</f>
        <v/>
      </c>
      <c r="H9518" s="7" t="str">
        <f>IF(Table1[[#This Row],[Is Data Valid]]=TRUE,((Table1[[#This Row],[Birthweight (grams)]]*0.9/Table1[[#This Row],[BW_GA]])-1)/(Backend!$B$4/100*Table1[[#This Row],[BW40_3705]]),"")</f>
        <v/>
      </c>
      <c r="I9518" s="7" t="str">
        <f>IF(Table1[[#This Row],[Is Data Valid]]=TRUE,((Table1[[#This Row],[Birthweight (grams)]]*1.1/Table1[[#This Row],[BW_GA]])-1)/(Backend!$B$4/100*Table1[[#This Row],[BW40_3705]]),"")</f>
        <v/>
      </c>
      <c r="J9518" s="7" t="str">
        <f>IF(Table1[[#This Row],[Is Data Valid]]=TRUE,_xlfn.NORM.S.DIST(Table1[[#This Row],[Birthweight Z-Score]],TRUE)*100,"")</f>
        <v/>
      </c>
      <c r="K9518" s="7" t="str">
        <f>IF(Table1[[#This Row],[Is Data Valid]]=TRUE,_xlfn.NORM.S.DIST(Table1[[#This Row],[Birthweight Z-Score (BW-10%)]],TRUE)*100,"")</f>
        <v/>
      </c>
      <c r="L9518" s="7" t="str">
        <f>IF(Table1[[#This Row],[Is Data Valid]]=TRUE,_xlfn.NORM.S.DIST(Table1[[#This Row],[Birthweight Z-Score (BW+10%)]],TRUE)*100,"")</f>
        <v/>
      </c>
    </row>
    <row r="9519" spans="1:12" x14ac:dyDescent="0.35">
      <c r="A9519" s="3"/>
      <c r="B9519" s="2"/>
      <c r="C9519" s="2"/>
      <c r="D9519" s="2" t="b">
        <f>IF(AND(NOT(ISBLANK(Table1[[#This Row],[Fetal Sex (Male, Female or Unknown)]])),ISNUMBER(Table1[[#This Row],[Birthweight (grams)]]),ISNUMBER(Table1[[#This Row],[Gestation (days)]])),TRUE,FALSE)</f>
        <v>0</v>
      </c>
      <c r="E9519" s="2" t="str">
        <f>IF(Table1[[#This Row],[Is Data Valid]]=TRUE,IF(Table1[[#This Row],[Fetal Sex (Male, Female or Unknown)]]="Male",Backend!$C$6,IF(Table1[[#This Row],[Fetal Sex (Male, Female or Unknown)]]="Female",Backend!$C$7,IF(Table1[[#This Row],[Fetal Sex (Male, Female or Unknown)]]="Unknown",Backend!$C$8,"Error"))),"")</f>
        <v/>
      </c>
      <c r="F9519" s="8" t="str">
        <f>IF(Table1[[#This Row],[Is Data Valid]]=TRUE,EXP(0.578+0.332*((Table1[[#This Row],[Gestation (days)]]+0.5)/7)-0.00354*((Table1[[#This Row],[Gestation (days)]]+0.5)/7)^2)*Table1[[#This Row],[BW40_3705]],"")</f>
        <v/>
      </c>
      <c r="G9519" s="2" t="str">
        <f>IF(Table1[[#This Row],[Is Data Valid]]=TRUE,((Table1[[#This Row],[Birthweight (grams)]]/Table1[[#This Row],[BW_GA]])-1)/(Backend!$B$4/100*Table1[[#This Row],[BW40_3705]]),"")</f>
        <v/>
      </c>
      <c r="H9519" s="7" t="str">
        <f>IF(Table1[[#This Row],[Is Data Valid]]=TRUE,((Table1[[#This Row],[Birthweight (grams)]]*0.9/Table1[[#This Row],[BW_GA]])-1)/(Backend!$B$4/100*Table1[[#This Row],[BW40_3705]]),"")</f>
        <v/>
      </c>
      <c r="I9519" s="7" t="str">
        <f>IF(Table1[[#This Row],[Is Data Valid]]=TRUE,((Table1[[#This Row],[Birthweight (grams)]]*1.1/Table1[[#This Row],[BW_GA]])-1)/(Backend!$B$4/100*Table1[[#This Row],[BW40_3705]]),"")</f>
        <v/>
      </c>
      <c r="J9519" s="7" t="str">
        <f>IF(Table1[[#This Row],[Is Data Valid]]=TRUE,_xlfn.NORM.S.DIST(Table1[[#This Row],[Birthweight Z-Score]],TRUE)*100,"")</f>
        <v/>
      </c>
      <c r="K9519" s="7" t="str">
        <f>IF(Table1[[#This Row],[Is Data Valid]]=TRUE,_xlfn.NORM.S.DIST(Table1[[#This Row],[Birthweight Z-Score (BW-10%)]],TRUE)*100,"")</f>
        <v/>
      </c>
      <c r="L9519" s="7" t="str">
        <f>IF(Table1[[#This Row],[Is Data Valid]]=TRUE,_xlfn.NORM.S.DIST(Table1[[#This Row],[Birthweight Z-Score (BW+10%)]],TRUE)*100,"")</f>
        <v/>
      </c>
    </row>
    <row r="9520" spans="1:12" x14ac:dyDescent="0.35">
      <c r="A9520" s="3"/>
      <c r="B9520" s="2"/>
      <c r="C9520" s="2"/>
      <c r="D9520" s="2" t="b">
        <f>IF(AND(NOT(ISBLANK(Table1[[#This Row],[Fetal Sex (Male, Female or Unknown)]])),ISNUMBER(Table1[[#This Row],[Birthweight (grams)]]),ISNUMBER(Table1[[#This Row],[Gestation (days)]])),TRUE,FALSE)</f>
        <v>0</v>
      </c>
      <c r="E9520" s="2" t="str">
        <f>IF(Table1[[#This Row],[Is Data Valid]]=TRUE,IF(Table1[[#This Row],[Fetal Sex (Male, Female or Unknown)]]="Male",Backend!$C$6,IF(Table1[[#This Row],[Fetal Sex (Male, Female or Unknown)]]="Female",Backend!$C$7,IF(Table1[[#This Row],[Fetal Sex (Male, Female or Unknown)]]="Unknown",Backend!$C$8,"Error"))),"")</f>
        <v/>
      </c>
      <c r="F9520" s="8" t="str">
        <f>IF(Table1[[#This Row],[Is Data Valid]]=TRUE,EXP(0.578+0.332*((Table1[[#This Row],[Gestation (days)]]+0.5)/7)-0.00354*((Table1[[#This Row],[Gestation (days)]]+0.5)/7)^2)*Table1[[#This Row],[BW40_3705]],"")</f>
        <v/>
      </c>
      <c r="G9520" s="2" t="str">
        <f>IF(Table1[[#This Row],[Is Data Valid]]=TRUE,((Table1[[#This Row],[Birthweight (grams)]]/Table1[[#This Row],[BW_GA]])-1)/(Backend!$B$4/100*Table1[[#This Row],[BW40_3705]]),"")</f>
        <v/>
      </c>
      <c r="H9520" s="7" t="str">
        <f>IF(Table1[[#This Row],[Is Data Valid]]=TRUE,((Table1[[#This Row],[Birthweight (grams)]]*0.9/Table1[[#This Row],[BW_GA]])-1)/(Backend!$B$4/100*Table1[[#This Row],[BW40_3705]]),"")</f>
        <v/>
      </c>
      <c r="I9520" s="7" t="str">
        <f>IF(Table1[[#This Row],[Is Data Valid]]=TRUE,((Table1[[#This Row],[Birthweight (grams)]]*1.1/Table1[[#This Row],[BW_GA]])-1)/(Backend!$B$4/100*Table1[[#This Row],[BW40_3705]]),"")</f>
        <v/>
      </c>
      <c r="J9520" s="7" t="str">
        <f>IF(Table1[[#This Row],[Is Data Valid]]=TRUE,_xlfn.NORM.S.DIST(Table1[[#This Row],[Birthweight Z-Score]],TRUE)*100,"")</f>
        <v/>
      </c>
      <c r="K9520" s="7" t="str">
        <f>IF(Table1[[#This Row],[Is Data Valid]]=TRUE,_xlfn.NORM.S.DIST(Table1[[#This Row],[Birthweight Z-Score (BW-10%)]],TRUE)*100,"")</f>
        <v/>
      </c>
      <c r="L9520" s="7" t="str">
        <f>IF(Table1[[#This Row],[Is Data Valid]]=TRUE,_xlfn.NORM.S.DIST(Table1[[#This Row],[Birthweight Z-Score (BW+10%)]],TRUE)*100,"")</f>
        <v/>
      </c>
    </row>
    <row r="9521" spans="1:12" x14ac:dyDescent="0.35">
      <c r="A9521" s="3"/>
      <c r="B9521" s="2"/>
      <c r="C9521" s="2"/>
      <c r="D9521" s="2" t="b">
        <f>IF(AND(NOT(ISBLANK(Table1[[#This Row],[Fetal Sex (Male, Female or Unknown)]])),ISNUMBER(Table1[[#This Row],[Birthweight (grams)]]),ISNUMBER(Table1[[#This Row],[Gestation (days)]])),TRUE,FALSE)</f>
        <v>0</v>
      </c>
      <c r="E9521" s="2" t="str">
        <f>IF(Table1[[#This Row],[Is Data Valid]]=TRUE,IF(Table1[[#This Row],[Fetal Sex (Male, Female or Unknown)]]="Male",Backend!$C$6,IF(Table1[[#This Row],[Fetal Sex (Male, Female or Unknown)]]="Female",Backend!$C$7,IF(Table1[[#This Row],[Fetal Sex (Male, Female or Unknown)]]="Unknown",Backend!$C$8,"Error"))),"")</f>
        <v/>
      </c>
      <c r="F9521" s="8" t="str">
        <f>IF(Table1[[#This Row],[Is Data Valid]]=TRUE,EXP(0.578+0.332*((Table1[[#This Row],[Gestation (days)]]+0.5)/7)-0.00354*((Table1[[#This Row],[Gestation (days)]]+0.5)/7)^2)*Table1[[#This Row],[BW40_3705]],"")</f>
        <v/>
      </c>
      <c r="G9521" s="2" t="str">
        <f>IF(Table1[[#This Row],[Is Data Valid]]=TRUE,((Table1[[#This Row],[Birthweight (grams)]]/Table1[[#This Row],[BW_GA]])-1)/(Backend!$B$4/100*Table1[[#This Row],[BW40_3705]]),"")</f>
        <v/>
      </c>
      <c r="H9521" s="7" t="str">
        <f>IF(Table1[[#This Row],[Is Data Valid]]=TRUE,((Table1[[#This Row],[Birthweight (grams)]]*0.9/Table1[[#This Row],[BW_GA]])-1)/(Backend!$B$4/100*Table1[[#This Row],[BW40_3705]]),"")</f>
        <v/>
      </c>
      <c r="I9521" s="7" t="str">
        <f>IF(Table1[[#This Row],[Is Data Valid]]=TRUE,((Table1[[#This Row],[Birthweight (grams)]]*1.1/Table1[[#This Row],[BW_GA]])-1)/(Backend!$B$4/100*Table1[[#This Row],[BW40_3705]]),"")</f>
        <v/>
      </c>
      <c r="J9521" s="7" t="str">
        <f>IF(Table1[[#This Row],[Is Data Valid]]=TRUE,_xlfn.NORM.S.DIST(Table1[[#This Row],[Birthweight Z-Score]],TRUE)*100,"")</f>
        <v/>
      </c>
      <c r="K9521" s="7" t="str">
        <f>IF(Table1[[#This Row],[Is Data Valid]]=TRUE,_xlfn.NORM.S.DIST(Table1[[#This Row],[Birthweight Z-Score (BW-10%)]],TRUE)*100,"")</f>
        <v/>
      </c>
      <c r="L9521" s="7" t="str">
        <f>IF(Table1[[#This Row],[Is Data Valid]]=TRUE,_xlfn.NORM.S.DIST(Table1[[#This Row],[Birthweight Z-Score (BW+10%)]],TRUE)*100,"")</f>
        <v/>
      </c>
    </row>
    <row r="9522" spans="1:12" x14ac:dyDescent="0.35">
      <c r="A9522" s="3"/>
      <c r="B9522" s="2"/>
      <c r="C9522" s="2"/>
      <c r="D9522" s="2" t="b">
        <f>IF(AND(NOT(ISBLANK(Table1[[#This Row],[Fetal Sex (Male, Female or Unknown)]])),ISNUMBER(Table1[[#This Row],[Birthweight (grams)]]),ISNUMBER(Table1[[#This Row],[Gestation (days)]])),TRUE,FALSE)</f>
        <v>0</v>
      </c>
      <c r="E9522" s="2" t="str">
        <f>IF(Table1[[#This Row],[Is Data Valid]]=TRUE,IF(Table1[[#This Row],[Fetal Sex (Male, Female or Unknown)]]="Male",Backend!$C$6,IF(Table1[[#This Row],[Fetal Sex (Male, Female or Unknown)]]="Female",Backend!$C$7,IF(Table1[[#This Row],[Fetal Sex (Male, Female or Unknown)]]="Unknown",Backend!$C$8,"Error"))),"")</f>
        <v/>
      </c>
      <c r="F9522" s="8" t="str">
        <f>IF(Table1[[#This Row],[Is Data Valid]]=TRUE,EXP(0.578+0.332*((Table1[[#This Row],[Gestation (days)]]+0.5)/7)-0.00354*((Table1[[#This Row],[Gestation (days)]]+0.5)/7)^2)*Table1[[#This Row],[BW40_3705]],"")</f>
        <v/>
      </c>
      <c r="G9522" s="2" t="str">
        <f>IF(Table1[[#This Row],[Is Data Valid]]=TRUE,((Table1[[#This Row],[Birthweight (grams)]]/Table1[[#This Row],[BW_GA]])-1)/(Backend!$B$4/100*Table1[[#This Row],[BW40_3705]]),"")</f>
        <v/>
      </c>
      <c r="H9522" s="7" t="str">
        <f>IF(Table1[[#This Row],[Is Data Valid]]=TRUE,((Table1[[#This Row],[Birthweight (grams)]]*0.9/Table1[[#This Row],[BW_GA]])-1)/(Backend!$B$4/100*Table1[[#This Row],[BW40_3705]]),"")</f>
        <v/>
      </c>
      <c r="I9522" s="7" t="str">
        <f>IF(Table1[[#This Row],[Is Data Valid]]=TRUE,((Table1[[#This Row],[Birthweight (grams)]]*1.1/Table1[[#This Row],[BW_GA]])-1)/(Backend!$B$4/100*Table1[[#This Row],[BW40_3705]]),"")</f>
        <v/>
      </c>
      <c r="J9522" s="7" t="str">
        <f>IF(Table1[[#This Row],[Is Data Valid]]=TRUE,_xlfn.NORM.S.DIST(Table1[[#This Row],[Birthweight Z-Score]],TRUE)*100,"")</f>
        <v/>
      </c>
      <c r="K9522" s="7" t="str">
        <f>IF(Table1[[#This Row],[Is Data Valid]]=TRUE,_xlfn.NORM.S.DIST(Table1[[#This Row],[Birthweight Z-Score (BW-10%)]],TRUE)*100,"")</f>
        <v/>
      </c>
      <c r="L9522" s="7" t="str">
        <f>IF(Table1[[#This Row],[Is Data Valid]]=TRUE,_xlfn.NORM.S.DIST(Table1[[#This Row],[Birthweight Z-Score (BW+10%)]],TRUE)*100,"")</f>
        <v/>
      </c>
    </row>
    <row r="9523" spans="1:12" x14ac:dyDescent="0.35">
      <c r="A9523" s="3"/>
      <c r="B9523" s="2"/>
      <c r="C9523" s="2"/>
      <c r="D9523" s="2" t="b">
        <f>IF(AND(NOT(ISBLANK(Table1[[#This Row],[Fetal Sex (Male, Female or Unknown)]])),ISNUMBER(Table1[[#This Row],[Birthweight (grams)]]),ISNUMBER(Table1[[#This Row],[Gestation (days)]])),TRUE,FALSE)</f>
        <v>0</v>
      </c>
      <c r="E9523" s="2" t="str">
        <f>IF(Table1[[#This Row],[Is Data Valid]]=TRUE,IF(Table1[[#This Row],[Fetal Sex (Male, Female or Unknown)]]="Male",Backend!$C$6,IF(Table1[[#This Row],[Fetal Sex (Male, Female or Unknown)]]="Female",Backend!$C$7,IF(Table1[[#This Row],[Fetal Sex (Male, Female or Unknown)]]="Unknown",Backend!$C$8,"Error"))),"")</f>
        <v/>
      </c>
      <c r="F9523" s="8" t="str">
        <f>IF(Table1[[#This Row],[Is Data Valid]]=TRUE,EXP(0.578+0.332*((Table1[[#This Row],[Gestation (days)]]+0.5)/7)-0.00354*((Table1[[#This Row],[Gestation (days)]]+0.5)/7)^2)*Table1[[#This Row],[BW40_3705]],"")</f>
        <v/>
      </c>
      <c r="G9523" s="2" t="str">
        <f>IF(Table1[[#This Row],[Is Data Valid]]=TRUE,((Table1[[#This Row],[Birthweight (grams)]]/Table1[[#This Row],[BW_GA]])-1)/(Backend!$B$4/100*Table1[[#This Row],[BW40_3705]]),"")</f>
        <v/>
      </c>
      <c r="H9523" s="7" t="str">
        <f>IF(Table1[[#This Row],[Is Data Valid]]=TRUE,((Table1[[#This Row],[Birthweight (grams)]]*0.9/Table1[[#This Row],[BW_GA]])-1)/(Backend!$B$4/100*Table1[[#This Row],[BW40_3705]]),"")</f>
        <v/>
      </c>
      <c r="I9523" s="7" t="str">
        <f>IF(Table1[[#This Row],[Is Data Valid]]=TRUE,((Table1[[#This Row],[Birthweight (grams)]]*1.1/Table1[[#This Row],[BW_GA]])-1)/(Backend!$B$4/100*Table1[[#This Row],[BW40_3705]]),"")</f>
        <v/>
      </c>
      <c r="J9523" s="7" t="str">
        <f>IF(Table1[[#This Row],[Is Data Valid]]=TRUE,_xlfn.NORM.S.DIST(Table1[[#This Row],[Birthweight Z-Score]],TRUE)*100,"")</f>
        <v/>
      </c>
      <c r="K9523" s="7" t="str">
        <f>IF(Table1[[#This Row],[Is Data Valid]]=TRUE,_xlfn.NORM.S.DIST(Table1[[#This Row],[Birthweight Z-Score (BW-10%)]],TRUE)*100,"")</f>
        <v/>
      </c>
      <c r="L9523" s="7" t="str">
        <f>IF(Table1[[#This Row],[Is Data Valid]]=TRUE,_xlfn.NORM.S.DIST(Table1[[#This Row],[Birthweight Z-Score (BW+10%)]],TRUE)*100,"")</f>
        <v/>
      </c>
    </row>
    <row r="9524" spans="1:12" x14ac:dyDescent="0.35">
      <c r="A9524" s="3"/>
      <c r="B9524" s="2"/>
      <c r="C9524" s="2"/>
      <c r="D9524" s="2" t="b">
        <f>IF(AND(NOT(ISBLANK(Table1[[#This Row],[Fetal Sex (Male, Female or Unknown)]])),ISNUMBER(Table1[[#This Row],[Birthweight (grams)]]),ISNUMBER(Table1[[#This Row],[Gestation (days)]])),TRUE,FALSE)</f>
        <v>0</v>
      </c>
      <c r="E9524" s="2" t="str">
        <f>IF(Table1[[#This Row],[Is Data Valid]]=TRUE,IF(Table1[[#This Row],[Fetal Sex (Male, Female or Unknown)]]="Male",Backend!$C$6,IF(Table1[[#This Row],[Fetal Sex (Male, Female or Unknown)]]="Female",Backend!$C$7,IF(Table1[[#This Row],[Fetal Sex (Male, Female or Unknown)]]="Unknown",Backend!$C$8,"Error"))),"")</f>
        <v/>
      </c>
      <c r="F9524" s="8" t="str">
        <f>IF(Table1[[#This Row],[Is Data Valid]]=TRUE,EXP(0.578+0.332*((Table1[[#This Row],[Gestation (days)]]+0.5)/7)-0.00354*((Table1[[#This Row],[Gestation (days)]]+0.5)/7)^2)*Table1[[#This Row],[BW40_3705]],"")</f>
        <v/>
      </c>
      <c r="G9524" s="2" t="str">
        <f>IF(Table1[[#This Row],[Is Data Valid]]=TRUE,((Table1[[#This Row],[Birthweight (grams)]]/Table1[[#This Row],[BW_GA]])-1)/(Backend!$B$4/100*Table1[[#This Row],[BW40_3705]]),"")</f>
        <v/>
      </c>
      <c r="H9524" s="7" t="str">
        <f>IF(Table1[[#This Row],[Is Data Valid]]=TRUE,((Table1[[#This Row],[Birthweight (grams)]]*0.9/Table1[[#This Row],[BW_GA]])-1)/(Backend!$B$4/100*Table1[[#This Row],[BW40_3705]]),"")</f>
        <v/>
      </c>
      <c r="I9524" s="7" t="str">
        <f>IF(Table1[[#This Row],[Is Data Valid]]=TRUE,((Table1[[#This Row],[Birthweight (grams)]]*1.1/Table1[[#This Row],[BW_GA]])-1)/(Backend!$B$4/100*Table1[[#This Row],[BW40_3705]]),"")</f>
        <v/>
      </c>
      <c r="J9524" s="7" t="str">
        <f>IF(Table1[[#This Row],[Is Data Valid]]=TRUE,_xlfn.NORM.S.DIST(Table1[[#This Row],[Birthweight Z-Score]],TRUE)*100,"")</f>
        <v/>
      </c>
      <c r="K9524" s="7" t="str">
        <f>IF(Table1[[#This Row],[Is Data Valid]]=TRUE,_xlfn.NORM.S.DIST(Table1[[#This Row],[Birthweight Z-Score (BW-10%)]],TRUE)*100,"")</f>
        <v/>
      </c>
      <c r="L9524" s="7" t="str">
        <f>IF(Table1[[#This Row],[Is Data Valid]]=TRUE,_xlfn.NORM.S.DIST(Table1[[#This Row],[Birthweight Z-Score (BW+10%)]],TRUE)*100,"")</f>
        <v/>
      </c>
    </row>
    <row r="9525" spans="1:12" x14ac:dyDescent="0.35">
      <c r="A9525" s="3"/>
      <c r="B9525" s="2"/>
      <c r="C9525" s="2"/>
      <c r="D9525" s="2" t="b">
        <f>IF(AND(NOT(ISBLANK(Table1[[#This Row],[Fetal Sex (Male, Female or Unknown)]])),ISNUMBER(Table1[[#This Row],[Birthweight (grams)]]),ISNUMBER(Table1[[#This Row],[Gestation (days)]])),TRUE,FALSE)</f>
        <v>0</v>
      </c>
      <c r="E9525" s="2" t="str">
        <f>IF(Table1[[#This Row],[Is Data Valid]]=TRUE,IF(Table1[[#This Row],[Fetal Sex (Male, Female or Unknown)]]="Male",Backend!$C$6,IF(Table1[[#This Row],[Fetal Sex (Male, Female or Unknown)]]="Female",Backend!$C$7,IF(Table1[[#This Row],[Fetal Sex (Male, Female or Unknown)]]="Unknown",Backend!$C$8,"Error"))),"")</f>
        <v/>
      </c>
      <c r="F9525" s="8" t="str">
        <f>IF(Table1[[#This Row],[Is Data Valid]]=TRUE,EXP(0.578+0.332*((Table1[[#This Row],[Gestation (days)]]+0.5)/7)-0.00354*((Table1[[#This Row],[Gestation (days)]]+0.5)/7)^2)*Table1[[#This Row],[BW40_3705]],"")</f>
        <v/>
      </c>
      <c r="G9525" s="2" t="str">
        <f>IF(Table1[[#This Row],[Is Data Valid]]=TRUE,((Table1[[#This Row],[Birthweight (grams)]]/Table1[[#This Row],[BW_GA]])-1)/(Backend!$B$4/100*Table1[[#This Row],[BW40_3705]]),"")</f>
        <v/>
      </c>
      <c r="H9525" s="7" t="str">
        <f>IF(Table1[[#This Row],[Is Data Valid]]=TRUE,((Table1[[#This Row],[Birthweight (grams)]]*0.9/Table1[[#This Row],[BW_GA]])-1)/(Backend!$B$4/100*Table1[[#This Row],[BW40_3705]]),"")</f>
        <v/>
      </c>
      <c r="I9525" s="7" t="str">
        <f>IF(Table1[[#This Row],[Is Data Valid]]=TRUE,((Table1[[#This Row],[Birthweight (grams)]]*1.1/Table1[[#This Row],[BW_GA]])-1)/(Backend!$B$4/100*Table1[[#This Row],[BW40_3705]]),"")</f>
        <v/>
      </c>
      <c r="J9525" s="7" t="str">
        <f>IF(Table1[[#This Row],[Is Data Valid]]=TRUE,_xlfn.NORM.S.DIST(Table1[[#This Row],[Birthweight Z-Score]],TRUE)*100,"")</f>
        <v/>
      </c>
      <c r="K9525" s="7" t="str">
        <f>IF(Table1[[#This Row],[Is Data Valid]]=TRUE,_xlfn.NORM.S.DIST(Table1[[#This Row],[Birthweight Z-Score (BW-10%)]],TRUE)*100,"")</f>
        <v/>
      </c>
      <c r="L9525" s="7" t="str">
        <f>IF(Table1[[#This Row],[Is Data Valid]]=TRUE,_xlfn.NORM.S.DIST(Table1[[#This Row],[Birthweight Z-Score (BW+10%)]],TRUE)*100,"")</f>
        <v/>
      </c>
    </row>
    <row r="9526" spans="1:12" x14ac:dyDescent="0.35">
      <c r="A9526" s="3"/>
      <c r="B9526" s="2"/>
      <c r="C9526" s="2"/>
      <c r="D9526" s="2" t="b">
        <f>IF(AND(NOT(ISBLANK(Table1[[#This Row],[Fetal Sex (Male, Female or Unknown)]])),ISNUMBER(Table1[[#This Row],[Birthweight (grams)]]),ISNUMBER(Table1[[#This Row],[Gestation (days)]])),TRUE,FALSE)</f>
        <v>0</v>
      </c>
      <c r="E9526" s="2" t="str">
        <f>IF(Table1[[#This Row],[Is Data Valid]]=TRUE,IF(Table1[[#This Row],[Fetal Sex (Male, Female or Unknown)]]="Male",Backend!$C$6,IF(Table1[[#This Row],[Fetal Sex (Male, Female or Unknown)]]="Female",Backend!$C$7,IF(Table1[[#This Row],[Fetal Sex (Male, Female or Unknown)]]="Unknown",Backend!$C$8,"Error"))),"")</f>
        <v/>
      </c>
      <c r="F9526" s="8" t="str">
        <f>IF(Table1[[#This Row],[Is Data Valid]]=TRUE,EXP(0.578+0.332*((Table1[[#This Row],[Gestation (days)]]+0.5)/7)-0.00354*((Table1[[#This Row],[Gestation (days)]]+0.5)/7)^2)*Table1[[#This Row],[BW40_3705]],"")</f>
        <v/>
      </c>
      <c r="G9526" s="2" t="str">
        <f>IF(Table1[[#This Row],[Is Data Valid]]=TRUE,((Table1[[#This Row],[Birthweight (grams)]]/Table1[[#This Row],[BW_GA]])-1)/(Backend!$B$4/100*Table1[[#This Row],[BW40_3705]]),"")</f>
        <v/>
      </c>
      <c r="H9526" s="7" t="str">
        <f>IF(Table1[[#This Row],[Is Data Valid]]=TRUE,((Table1[[#This Row],[Birthweight (grams)]]*0.9/Table1[[#This Row],[BW_GA]])-1)/(Backend!$B$4/100*Table1[[#This Row],[BW40_3705]]),"")</f>
        <v/>
      </c>
      <c r="I9526" s="7" t="str">
        <f>IF(Table1[[#This Row],[Is Data Valid]]=TRUE,((Table1[[#This Row],[Birthweight (grams)]]*1.1/Table1[[#This Row],[BW_GA]])-1)/(Backend!$B$4/100*Table1[[#This Row],[BW40_3705]]),"")</f>
        <v/>
      </c>
      <c r="J9526" s="7" t="str">
        <f>IF(Table1[[#This Row],[Is Data Valid]]=TRUE,_xlfn.NORM.S.DIST(Table1[[#This Row],[Birthweight Z-Score]],TRUE)*100,"")</f>
        <v/>
      </c>
      <c r="K9526" s="7" t="str">
        <f>IF(Table1[[#This Row],[Is Data Valid]]=TRUE,_xlfn.NORM.S.DIST(Table1[[#This Row],[Birthweight Z-Score (BW-10%)]],TRUE)*100,"")</f>
        <v/>
      </c>
      <c r="L9526" s="7" t="str">
        <f>IF(Table1[[#This Row],[Is Data Valid]]=TRUE,_xlfn.NORM.S.DIST(Table1[[#This Row],[Birthweight Z-Score (BW+10%)]],TRUE)*100,"")</f>
        <v/>
      </c>
    </row>
    <row r="9527" spans="1:12" x14ac:dyDescent="0.35">
      <c r="A9527" s="3"/>
      <c r="B9527" s="2"/>
      <c r="C9527" s="2"/>
      <c r="D9527" s="2" t="b">
        <f>IF(AND(NOT(ISBLANK(Table1[[#This Row],[Fetal Sex (Male, Female or Unknown)]])),ISNUMBER(Table1[[#This Row],[Birthweight (grams)]]),ISNUMBER(Table1[[#This Row],[Gestation (days)]])),TRUE,FALSE)</f>
        <v>0</v>
      </c>
      <c r="E9527" s="2" t="str">
        <f>IF(Table1[[#This Row],[Is Data Valid]]=TRUE,IF(Table1[[#This Row],[Fetal Sex (Male, Female or Unknown)]]="Male",Backend!$C$6,IF(Table1[[#This Row],[Fetal Sex (Male, Female or Unknown)]]="Female",Backend!$C$7,IF(Table1[[#This Row],[Fetal Sex (Male, Female or Unknown)]]="Unknown",Backend!$C$8,"Error"))),"")</f>
        <v/>
      </c>
      <c r="F9527" s="8" t="str">
        <f>IF(Table1[[#This Row],[Is Data Valid]]=TRUE,EXP(0.578+0.332*((Table1[[#This Row],[Gestation (days)]]+0.5)/7)-0.00354*((Table1[[#This Row],[Gestation (days)]]+0.5)/7)^2)*Table1[[#This Row],[BW40_3705]],"")</f>
        <v/>
      </c>
      <c r="G9527" s="2" t="str">
        <f>IF(Table1[[#This Row],[Is Data Valid]]=TRUE,((Table1[[#This Row],[Birthweight (grams)]]/Table1[[#This Row],[BW_GA]])-1)/(Backend!$B$4/100*Table1[[#This Row],[BW40_3705]]),"")</f>
        <v/>
      </c>
      <c r="H9527" s="7" t="str">
        <f>IF(Table1[[#This Row],[Is Data Valid]]=TRUE,((Table1[[#This Row],[Birthweight (grams)]]*0.9/Table1[[#This Row],[BW_GA]])-1)/(Backend!$B$4/100*Table1[[#This Row],[BW40_3705]]),"")</f>
        <v/>
      </c>
      <c r="I9527" s="7" t="str">
        <f>IF(Table1[[#This Row],[Is Data Valid]]=TRUE,((Table1[[#This Row],[Birthweight (grams)]]*1.1/Table1[[#This Row],[BW_GA]])-1)/(Backend!$B$4/100*Table1[[#This Row],[BW40_3705]]),"")</f>
        <v/>
      </c>
      <c r="J9527" s="7" t="str">
        <f>IF(Table1[[#This Row],[Is Data Valid]]=TRUE,_xlfn.NORM.S.DIST(Table1[[#This Row],[Birthweight Z-Score]],TRUE)*100,"")</f>
        <v/>
      </c>
      <c r="K9527" s="7" t="str">
        <f>IF(Table1[[#This Row],[Is Data Valid]]=TRUE,_xlfn.NORM.S.DIST(Table1[[#This Row],[Birthweight Z-Score (BW-10%)]],TRUE)*100,"")</f>
        <v/>
      </c>
      <c r="L9527" s="7" t="str">
        <f>IF(Table1[[#This Row],[Is Data Valid]]=TRUE,_xlfn.NORM.S.DIST(Table1[[#This Row],[Birthweight Z-Score (BW+10%)]],TRUE)*100,"")</f>
        <v/>
      </c>
    </row>
    <row r="9528" spans="1:12" x14ac:dyDescent="0.35">
      <c r="A9528" s="3"/>
      <c r="B9528" s="2"/>
      <c r="C9528" s="2"/>
      <c r="D9528" s="2" t="b">
        <f>IF(AND(NOT(ISBLANK(Table1[[#This Row],[Fetal Sex (Male, Female or Unknown)]])),ISNUMBER(Table1[[#This Row],[Birthweight (grams)]]),ISNUMBER(Table1[[#This Row],[Gestation (days)]])),TRUE,FALSE)</f>
        <v>0</v>
      </c>
      <c r="E9528" s="2" t="str">
        <f>IF(Table1[[#This Row],[Is Data Valid]]=TRUE,IF(Table1[[#This Row],[Fetal Sex (Male, Female or Unknown)]]="Male",Backend!$C$6,IF(Table1[[#This Row],[Fetal Sex (Male, Female or Unknown)]]="Female",Backend!$C$7,IF(Table1[[#This Row],[Fetal Sex (Male, Female or Unknown)]]="Unknown",Backend!$C$8,"Error"))),"")</f>
        <v/>
      </c>
      <c r="F9528" s="8" t="str">
        <f>IF(Table1[[#This Row],[Is Data Valid]]=TRUE,EXP(0.578+0.332*((Table1[[#This Row],[Gestation (days)]]+0.5)/7)-0.00354*((Table1[[#This Row],[Gestation (days)]]+0.5)/7)^2)*Table1[[#This Row],[BW40_3705]],"")</f>
        <v/>
      </c>
      <c r="G9528" s="2" t="str">
        <f>IF(Table1[[#This Row],[Is Data Valid]]=TRUE,((Table1[[#This Row],[Birthweight (grams)]]/Table1[[#This Row],[BW_GA]])-1)/(Backend!$B$4/100*Table1[[#This Row],[BW40_3705]]),"")</f>
        <v/>
      </c>
      <c r="H9528" s="7" t="str">
        <f>IF(Table1[[#This Row],[Is Data Valid]]=TRUE,((Table1[[#This Row],[Birthweight (grams)]]*0.9/Table1[[#This Row],[BW_GA]])-1)/(Backend!$B$4/100*Table1[[#This Row],[BW40_3705]]),"")</f>
        <v/>
      </c>
      <c r="I9528" s="7" t="str">
        <f>IF(Table1[[#This Row],[Is Data Valid]]=TRUE,((Table1[[#This Row],[Birthweight (grams)]]*1.1/Table1[[#This Row],[BW_GA]])-1)/(Backend!$B$4/100*Table1[[#This Row],[BW40_3705]]),"")</f>
        <v/>
      </c>
      <c r="J9528" s="7" t="str">
        <f>IF(Table1[[#This Row],[Is Data Valid]]=TRUE,_xlfn.NORM.S.DIST(Table1[[#This Row],[Birthweight Z-Score]],TRUE)*100,"")</f>
        <v/>
      </c>
      <c r="K9528" s="7" t="str">
        <f>IF(Table1[[#This Row],[Is Data Valid]]=TRUE,_xlfn.NORM.S.DIST(Table1[[#This Row],[Birthweight Z-Score (BW-10%)]],TRUE)*100,"")</f>
        <v/>
      </c>
      <c r="L9528" s="7" t="str">
        <f>IF(Table1[[#This Row],[Is Data Valid]]=TRUE,_xlfn.NORM.S.DIST(Table1[[#This Row],[Birthweight Z-Score (BW+10%)]],TRUE)*100,"")</f>
        <v/>
      </c>
    </row>
    <row r="9529" spans="1:12" x14ac:dyDescent="0.35">
      <c r="A9529" s="3"/>
      <c r="B9529" s="2"/>
      <c r="C9529" s="2"/>
      <c r="D9529" s="2" t="b">
        <f>IF(AND(NOT(ISBLANK(Table1[[#This Row],[Fetal Sex (Male, Female or Unknown)]])),ISNUMBER(Table1[[#This Row],[Birthweight (grams)]]),ISNUMBER(Table1[[#This Row],[Gestation (days)]])),TRUE,FALSE)</f>
        <v>0</v>
      </c>
      <c r="E9529" s="2" t="str">
        <f>IF(Table1[[#This Row],[Is Data Valid]]=TRUE,IF(Table1[[#This Row],[Fetal Sex (Male, Female or Unknown)]]="Male",Backend!$C$6,IF(Table1[[#This Row],[Fetal Sex (Male, Female or Unknown)]]="Female",Backend!$C$7,IF(Table1[[#This Row],[Fetal Sex (Male, Female or Unknown)]]="Unknown",Backend!$C$8,"Error"))),"")</f>
        <v/>
      </c>
      <c r="F9529" s="8" t="str">
        <f>IF(Table1[[#This Row],[Is Data Valid]]=TRUE,EXP(0.578+0.332*((Table1[[#This Row],[Gestation (days)]]+0.5)/7)-0.00354*((Table1[[#This Row],[Gestation (days)]]+0.5)/7)^2)*Table1[[#This Row],[BW40_3705]],"")</f>
        <v/>
      </c>
      <c r="G9529" s="2" t="str">
        <f>IF(Table1[[#This Row],[Is Data Valid]]=TRUE,((Table1[[#This Row],[Birthweight (grams)]]/Table1[[#This Row],[BW_GA]])-1)/(Backend!$B$4/100*Table1[[#This Row],[BW40_3705]]),"")</f>
        <v/>
      </c>
      <c r="H9529" s="7" t="str">
        <f>IF(Table1[[#This Row],[Is Data Valid]]=TRUE,((Table1[[#This Row],[Birthweight (grams)]]*0.9/Table1[[#This Row],[BW_GA]])-1)/(Backend!$B$4/100*Table1[[#This Row],[BW40_3705]]),"")</f>
        <v/>
      </c>
      <c r="I9529" s="7" t="str">
        <f>IF(Table1[[#This Row],[Is Data Valid]]=TRUE,((Table1[[#This Row],[Birthweight (grams)]]*1.1/Table1[[#This Row],[BW_GA]])-1)/(Backend!$B$4/100*Table1[[#This Row],[BW40_3705]]),"")</f>
        <v/>
      </c>
      <c r="J9529" s="7" t="str">
        <f>IF(Table1[[#This Row],[Is Data Valid]]=TRUE,_xlfn.NORM.S.DIST(Table1[[#This Row],[Birthweight Z-Score]],TRUE)*100,"")</f>
        <v/>
      </c>
      <c r="K9529" s="7" t="str">
        <f>IF(Table1[[#This Row],[Is Data Valid]]=TRUE,_xlfn.NORM.S.DIST(Table1[[#This Row],[Birthweight Z-Score (BW-10%)]],TRUE)*100,"")</f>
        <v/>
      </c>
      <c r="L9529" s="7" t="str">
        <f>IF(Table1[[#This Row],[Is Data Valid]]=TRUE,_xlfn.NORM.S.DIST(Table1[[#This Row],[Birthweight Z-Score (BW+10%)]],TRUE)*100,"")</f>
        <v/>
      </c>
    </row>
    <row r="9530" spans="1:12" x14ac:dyDescent="0.35">
      <c r="A9530" s="3"/>
      <c r="B9530" s="2"/>
      <c r="C9530" s="2"/>
      <c r="D9530" s="2" t="b">
        <f>IF(AND(NOT(ISBLANK(Table1[[#This Row],[Fetal Sex (Male, Female or Unknown)]])),ISNUMBER(Table1[[#This Row],[Birthweight (grams)]]),ISNUMBER(Table1[[#This Row],[Gestation (days)]])),TRUE,FALSE)</f>
        <v>0</v>
      </c>
      <c r="E9530" s="2" t="str">
        <f>IF(Table1[[#This Row],[Is Data Valid]]=TRUE,IF(Table1[[#This Row],[Fetal Sex (Male, Female or Unknown)]]="Male",Backend!$C$6,IF(Table1[[#This Row],[Fetal Sex (Male, Female or Unknown)]]="Female",Backend!$C$7,IF(Table1[[#This Row],[Fetal Sex (Male, Female or Unknown)]]="Unknown",Backend!$C$8,"Error"))),"")</f>
        <v/>
      </c>
      <c r="F9530" s="8" t="str">
        <f>IF(Table1[[#This Row],[Is Data Valid]]=TRUE,EXP(0.578+0.332*((Table1[[#This Row],[Gestation (days)]]+0.5)/7)-0.00354*((Table1[[#This Row],[Gestation (days)]]+0.5)/7)^2)*Table1[[#This Row],[BW40_3705]],"")</f>
        <v/>
      </c>
      <c r="G9530" s="2" t="str">
        <f>IF(Table1[[#This Row],[Is Data Valid]]=TRUE,((Table1[[#This Row],[Birthweight (grams)]]/Table1[[#This Row],[BW_GA]])-1)/(Backend!$B$4/100*Table1[[#This Row],[BW40_3705]]),"")</f>
        <v/>
      </c>
      <c r="H9530" s="7" t="str">
        <f>IF(Table1[[#This Row],[Is Data Valid]]=TRUE,((Table1[[#This Row],[Birthweight (grams)]]*0.9/Table1[[#This Row],[BW_GA]])-1)/(Backend!$B$4/100*Table1[[#This Row],[BW40_3705]]),"")</f>
        <v/>
      </c>
      <c r="I9530" s="7" t="str">
        <f>IF(Table1[[#This Row],[Is Data Valid]]=TRUE,((Table1[[#This Row],[Birthweight (grams)]]*1.1/Table1[[#This Row],[BW_GA]])-1)/(Backend!$B$4/100*Table1[[#This Row],[BW40_3705]]),"")</f>
        <v/>
      </c>
      <c r="J9530" s="7" t="str">
        <f>IF(Table1[[#This Row],[Is Data Valid]]=TRUE,_xlfn.NORM.S.DIST(Table1[[#This Row],[Birthweight Z-Score]],TRUE)*100,"")</f>
        <v/>
      </c>
      <c r="K9530" s="7" t="str">
        <f>IF(Table1[[#This Row],[Is Data Valid]]=TRUE,_xlfn.NORM.S.DIST(Table1[[#This Row],[Birthweight Z-Score (BW-10%)]],TRUE)*100,"")</f>
        <v/>
      </c>
      <c r="L9530" s="7" t="str">
        <f>IF(Table1[[#This Row],[Is Data Valid]]=TRUE,_xlfn.NORM.S.DIST(Table1[[#This Row],[Birthweight Z-Score (BW+10%)]],TRUE)*100,"")</f>
        <v/>
      </c>
    </row>
    <row r="9531" spans="1:12" x14ac:dyDescent="0.35">
      <c r="A9531" s="3"/>
      <c r="B9531" s="2"/>
      <c r="C9531" s="2"/>
      <c r="D9531" s="2" t="b">
        <f>IF(AND(NOT(ISBLANK(Table1[[#This Row],[Fetal Sex (Male, Female or Unknown)]])),ISNUMBER(Table1[[#This Row],[Birthweight (grams)]]),ISNUMBER(Table1[[#This Row],[Gestation (days)]])),TRUE,FALSE)</f>
        <v>0</v>
      </c>
      <c r="E9531" s="2" t="str">
        <f>IF(Table1[[#This Row],[Is Data Valid]]=TRUE,IF(Table1[[#This Row],[Fetal Sex (Male, Female or Unknown)]]="Male",Backend!$C$6,IF(Table1[[#This Row],[Fetal Sex (Male, Female or Unknown)]]="Female",Backend!$C$7,IF(Table1[[#This Row],[Fetal Sex (Male, Female or Unknown)]]="Unknown",Backend!$C$8,"Error"))),"")</f>
        <v/>
      </c>
      <c r="F9531" s="8" t="str">
        <f>IF(Table1[[#This Row],[Is Data Valid]]=TRUE,EXP(0.578+0.332*((Table1[[#This Row],[Gestation (days)]]+0.5)/7)-0.00354*((Table1[[#This Row],[Gestation (days)]]+0.5)/7)^2)*Table1[[#This Row],[BW40_3705]],"")</f>
        <v/>
      </c>
      <c r="G9531" s="2" t="str">
        <f>IF(Table1[[#This Row],[Is Data Valid]]=TRUE,((Table1[[#This Row],[Birthweight (grams)]]/Table1[[#This Row],[BW_GA]])-1)/(Backend!$B$4/100*Table1[[#This Row],[BW40_3705]]),"")</f>
        <v/>
      </c>
      <c r="H9531" s="7" t="str">
        <f>IF(Table1[[#This Row],[Is Data Valid]]=TRUE,((Table1[[#This Row],[Birthweight (grams)]]*0.9/Table1[[#This Row],[BW_GA]])-1)/(Backend!$B$4/100*Table1[[#This Row],[BW40_3705]]),"")</f>
        <v/>
      </c>
      <c r="I9531" s="7" t="str">
        <f>IF(Table1[[#This Row],[Is Data Valid]]=TRUE,((Table1[[#This Row],[Birthweight (grams)]]*1.1/Table1[[#This Row],[BW_GA]])-1)/(Backend!$B$4/100*Table1[[#This Row],[BW40_3705]]),"")</f>
        <v/>
      </c>
      <c r="J9531" s="7" t="str">
        <f>IF(Table1[[#This Row],[Is Data Valid]]=TRUE,_xlfn.NORM.S.DIST(Table1[[#This Row],[Birthweight Z-Score]],TRUE)*100,"")</f>
        <v/>
      </c>
      <c r="K9531" s="7" t="str">
        <f>IF(Table1[[#This Row],[Is Data Valid]]=TRUE,_xlfn.NORM.S.DIST(Table1[[#This Row],[Birthweight Z-Score (BW-10%)]],TRUE)*100,"")</f>
        <v/>
      </c>
      <c r="L9531" s="7" t="str">
        <f>IF(Table1[[#This Row],[Is Data Valid]]=TRUE,_xlfn.NORM.S.DIST(Table1[[#This Row],[Birthweight Z-Score (BW+10%)]],TRUE)*100,"")</f>
        <v/>
      </c>
    </row>
    <row r="9532" spans="1:12" x14ac:dyDescent="0.35">
      <c r="A9532" s="3"/>
      <c r="B9532" s="2"/>
      <c r="C9532" s="2"/>
      <c r="D9532" s="2" t="b">
        <f>IF(AND(NOT(ISBLANK(Table1[[#This Row],[Fetal Sex (Male, Female or Unknown)]])),ISNUMBER(Table1[[#This Row],[Birthweight (grams)]]),ISNUMBER(Table1[[#This Row],[Gestation (days)]])),TRUE,FALSE)</f>
        <v>0</v>
      </c>
      <c r="E9532" s="2" t="str">
        <f>IF(Table1[[#This Row],[Is Data Valid]]=TRUE,IF(Table1[[#This Row],[Fetal Sex (Male, Female or Unknown)]]="Male",Backend!$C$6,IF(Table1[[#This Row],[Fetal Sex (Male, Female or Unknown)]]="Female",Backend!$C$7,IF(Table1[[#This Row],[Fetal Sex (Male, Female or Unknown)]]="Unknown",Backend!$C$8,"Error"))),"")</f>
        <v/>
      </c>
      <c r="F9532" s="8" t="str">
        <f>IF(Table1[[#This Row],[Is Data Valid]]=TRUE,EXP(0.578+0.332*((Table1[[#This Row],[Gestation (days)]]+0.5)/7)-0.00354*((Table1[[#This Row],[Gestation (days)]]+0.5)/7)^2)*Table1[[#This Row],[BW40_3705]],"")</f>
        <v/>
      </c>
      <c r="G9532" s="2" t="str">
        <f>IF(Table1[[#This Row],[Is Data Valid]]=TRUE,((Table1[[#This Row],[Birthweight (grams)]]/Table1[[#This Row],[BW_GA]])-1)/(Backend!$B$4/100*Table1[[#This Row],[BW40_3705]]),"")</f>
        <v/>
      </c>
      <c r="H9532" s="7" t="str">
        <f>IF(Table1[[#This Row],[Is Data Valid]]=TRUE,((Table1[[#This Row],[Birthweight (grams)]]*0.9/Table1[[#This Row],[BW_GA]])-1)/(Backend!$B$4/100*Table1[[#This Row],[BW40_3705]]),"")</f>
        <v/>
      </c>
      <c r="I9532" s="7" t="str">
        <f>IF(Table1[[#This Row],[Is Data Valid]]=TRUE,((Table1[[#This Row],[Birthweight (grams)]]*1.1/Table1[[#This Row],[BW_GA]])-1)/(Backend!$B$4/100*Table1[[#This Row],[BW40_3705]]),"")</f>
        <v/>
      </c>
      <c r="J9532" s="7" t="str">
        <f>IF(Table1[[#This Row],[Is Data Valid]]=TRUE,_xlfn.NORM.S.DIST(Table1[[#This Row],[Birthweight Z-Score]],TRUE)*100,"")</f>
        <v/>
      </c>
      <c r="K9532" s="7" t="str">
        <f>IF(Table1[[#This Row],[Is Data Valid]]=TRUE,_xlfn.NORM.S.DIST(Table1[[#This Row],[Birthweight Z-Score (BW-10%)]],TRUE)*100,"")</f>
        <v/>
      </c>
      <c r="L9532" s="7" t="str">
        <f>IF(Table1[[#This Row],[Is Data Valid]]=TRUE,_xlfn.NORM.S.DIST(Table1[[#This Row],[Birthweight Z-Score (BW+10%)]],TRUE)*100,"")</f>
        <v/>
      </c>
    </row>
    <row r="9533" spans="1:12" x14ac:dyDescent="0.35">
      <c r="A9533" s="3"/>
      <c r="B9533" s="2"/>
      <c r="C9533" s="2"/>
      <c r="D9533" s="2" t="b">
        <f>IF(AND(NOT(ISBLANK(Table1[[#This Row],[Fetal Sex (Male, Female or Unknown)]])),ISNUMBER(Table1[[#This Row],[Birthweight (grams)]]),ISNUMBER(Table1[[#This Row],[Gestation (days)]])),TRUE,FALSE)</f>
        <v>0</v>
      </c>
      <c r="E9533" s="2" t="str">
        <f>IF(Table1[[#This Row],[Is Data Valid]]=TRUE,IF(Table1[[#This Row],[Fetal Sex (Male, Female or Unknown)]]="Male",Backend!$C$6,IF(Table1[[#This Row],[Fetal Sex (Male, Female or Unknown)]]="Female",Backend!$C$7,IF(Table1[[#This Row],[Fetal Sex (Male, Female or Unknown)]]="Unknown",Backend!$C$8,"Error"))),"")</f>
        <v/>
      </c>
      <c r="F9533" s="8" t="str">
        <f>IF(Table1[[#This Row],[Is Data Valid]]=TRUE,EXP(0.578+0.332*((Table1[[#This Row],[Gestation (days)]]+0.5)/7)-0.00354*((Table1[[#This Row],[Gestation (days)]]+0.5)/7)^2)*Table1[[#This Row],[BW40_3705]],"")</f>
        <v/>
      </c>
      <c r="G9533" s="2" t="str">
        <f>IF(Table1[[#This Row],[Is Data Valid]]=TRUE,((Table1[[#This Row],[Birthweight (grams)]]/Table1[[#This Row],[BW_GA]])-1)/(Backend!$B$4/100*Table1[[#This Row],[BW40_3705]]),"")</f>
        <v/>
      </c>
      <c r="H9533" s="7" t="str">
        <f>IF(Table1[[#This Row],[Is Data Valid]]=TRUE,((Table1[[#This Row],[Birthweight (grams)]]*0.9/Table1[[#This Row],[BW_GA]])-1)/(Backend!$B$4/100*Table1[[#This Row],[BW40_3705]]),"")</f>
        <v/>
      </c>
      <c r="I9533" s="7" t="str">
        <f>IF(Table1[[#This Row],[Is Data Valid]]=TRUE,((Table1[[#This Row],[Birthweight (grams)]]*1.1/Table1[[#This Row],[BW_GA]])-1)/(Backend!$B$4/100*Table1[[#This Row],[BW40_3705]]),"")</f>
        <v/>
      </c>
      <c r="J9533" s="7" t="str">
        <f>IF(Table1[[#This Row],[Is Data Valid]]=TRUE,_xlfn.NORM.S.DIST(Table1[[#This Row],[Birthweight Z-Score]],TRUE)*100,"")</f>
        <v/>
      </c>
      <c r="K9533" s="7" t="str">
        <f>IF(Table1[[#This Row],[Is Data Valid]]=TRUE,_xlfn.NORM.S.DIST(Table1[[#This Row],[Birthweight Z-Score (BW-10%)]],TRUE)*100,"")</f>
        <v/>
      </c>
      <c r="L9533" s="7" t="str">
        <f>IF(Table1[[#This Row],[Is Data Valid]]=TRUE,_xlfn.NORM.S.DIST(Table1[[#This Row],[Birthweight Z-Score (BW+10%)]],TRUE)*100,"")</f>
        <v/>
      </c>
    </row>
    <row r="9534" spans="1:12" x14ac:dyDescent="0.35">
      <c r="A9534" s="3"/>
      <c r="B9534" s="2"/>
      <c r="C9534" s="2"/>
      <c r="D9534" s="2" t="b">
        <f>IF(AND(NOT(ISBLANK(Table1[[#This Row],[Fetal Sex (Male, Female or Unknown)]])),ISNUMBER(Table1[[#This Row],[Birthweight (grams)]]),ISNUMBER(Table1[[#This Row],[Gestation (days)]])),TRUE,FALSE)</f>
        <v>0</v>
      </c>
      <c r="E9534" s="2" t="str">
        <f>IF(Table1[[#This Row],[Is Data Valid]]=TRUE,IF(Table1[[#This Row],[Fetal Sex (Male, Female or Unknown)]]="Male",Backend!$C$6,IF(Table1[[#This Row],[Fetal Sex (Male, Female or Unknown)]]="Female",Backend!$C$7,IF(Table1[[#This Row],[Fetal Sex (Male, Female or Unknown)]]="Unknown",Backend!$C$8,"Error"))),"")</f>
        <v/>
      </c>
      <c r="F9534" s="8" t="str">
        <f>IF(Table1[[#This Row],[Is Data Valid]]=TRUE,EXP(0.578+0.332*((Table1[[#This Row],[Gestation (days)]]+0.5)/7)-0.00354*((Table1[[#This Row],[Gestation (days)]]+0.5)/7)^2)*Table1[[#This Row],[BW40_3705]],"")</f>
        <v/>
      </c>
      <c r="G9534" s="2" t="str">
        <f>IF(Table1[[#This Row],[Is Data Valid]]=TRUE,((Table1[[#This Row],[Birthweight (grams)]]/Table1[[#This Row],[BW_GA]])-1)/(Backend!$B$4/100*Table1[[#This Row],[BW40_3705]]),"")</f>
        <v/>
      </c>
      <c r="H9534" s="7" t="str">
        <f>IF(Table1[[#This Row],[Is Data Valid]]=TRUE,((Table1[[#This Row],[Birthweight (grams)]]*0.9/Table1[[#This Row],[BW_GA]])-1)/(Backend!$B$4/100*Table1[[#This Row],[BW40_3705]]),"")</f>
        <v/>
      </c>
      <c r="I9534" s="7" t="str">
        <f>IF(Table1[[#This Row],[Is Data Valid]]=TRUE,((Table1[[#This Row],[Birthweight (grams)]]*1.1/Table1[[#This Row],[BW_GA]])-1)/(Backend!$B$4/100*Table1[[#This Row],[BW40_3705]]),"")</f>
        <v/>
      </c>
      <c r="J9534" s="7" t="str">
        <f>IF(Table1[[#This Row],[Is Data Valid]]=TRUE,_xlfn.NORM.S.DIST(Table1[[#This Row],[Birthweight Z-Score]],TRUE)*100,"")</f>
        <v/>
      </c>
      <c r="K9534" s="7" t="str">
        <f>IF(Table1[[#This Row],[Is Data Valid]]=TRUE,_xlfn.NORM.S.DIST(Table1[[#This Row],[Birthweight Z-Score (BW-10%)]],TRUE)*100,"")</f>
        <v/>
      </c>
      <c r="L9534" s="7" t="str">
        <f>IF(Table1[[#This Row],[Is Data Valid]]=TRUE,_xlfn.NORM.S.DIST(Table1[[#This Row],[Birthweight Z-Score (BW+10%)]],TRUE)*100,"")</f>
        <v/>
      </c>
    </row>
    <row r="9535" spans="1:12" x14ac:dyDescent="0.35">
      <c r="A9535" s="3"/>
      <c r="B9535" s="2"/>
      <c r="C9535" s="2"/>
      <c r="D9535" s="2" t="b">
        <f>IF(AND(NOT(ISBLANK(Table1[[#This Row],[Fetal Sex (Male, Female or Unknown)]])),ISNUMBER(Table1[[#This Row],[Birthweight (grams)]]),ISNUMBER(Table1[[#This Row],[Gestation (days)]])),TRUE,FALSE)</f>
        <v>0</v>
      </c>
      <c r="E9535" s="2" t="str">
        <f>IF(Table1[[#This Row],[Is Data Valid]]=TRUE,IF(Table1[[#This Row],[Fetal Sex (Male, Female or Unknown)]]="Male",Backend!$C$6,IF(Table1[[#This Row],[Fetal Sex (Male, Female or Unknown)]]="Female",Backend!$C$7,IF(Table1[[#This Row],[Fetal Sex (Male, Female or Unknown)]]="Unknown",Backend!$C$8,"Error"))),"")</f>
        <v/>
      </c>
      <c r="F9535" s="8" t="str">
        <f>IF(Table1[[#This Row],[Is Data Valid]]=TRUE,EXP(0.578+0.332*((Table1[[#This Row],[Gestation (days)]]+0.5)/7)-0.00354*((Table1[[#This Row],[Gestation (days)]]+0.5)/7)^2)*Table1[[#This Row],[BW40_3705]],"")</f>
        <v/>
      </c>
      <c r="G9535" s="2" t="str">
        <f>IF(Table1[[#This Row],[Is Data Valid]]=TRUE,((Table1[[#This Row],[Birthweight (grams)]]/Table1[[#This Row],[BW_GA]])-1)/(Backend!$B$4/100*Table1[[#This Row],[BW40_3705]]),"")</f>
        <v/>
      </c>
      <c r="H9535" s="7" t="str">
        <f>IF(Table1[[#This Row],[Is Data Valid]]=TRUE,((Table1[[#This Row],[Birthweight (grams)]]*0.9/Table1[[#This Row],[BW_GA]])-1)/(Backend!$B$4/100*Table1[[#This Row],[BW40_3705]]),"")</f>
        <v/>
      </c>
      <c r="I9535" s="7" t="str">
        <f>IF(Table1[[#This Row],[Is Data Valid]]=TRUE,((Table1[[#This Row],[Birthweight (grams)]]*1.1/Table1[[#This Row],[BW_GA]])-1)/(Backend!$B$4/100*Table1[[#This Row],[BW40_3705]]),"")</f>
        <v/>
      </c>
      <c r="J9535" s="7" t="str">
        <f>IF(Table1[[#This Row],[Is Data Valid]]=TRUE,_xlfn.NORM.S.DIST(Table1[[#This Row],[Birthweight Z-Score]],TRUE)*100,"")</f>
        <v/>
      </c>
      <c r="K9535" s="7" t="str">
        <f>IF(Table1[[#This Row],[Is Data Valid]]=TRUE,_xlfn.NORM.S.DIST(Table1[[#This Row],[Birthweight Z-Score (BW-10%)]],TRUE)*100,"")</f>
        <v/>
      </c>
      <c r="L9535" s="7" t="str">
        <f>IF(Table1[[#This Row],[Is Data Valid]]=TRUE,_xlfn.NORM.S.DIST(Table1[[#This Row],[Birthweight Z-Score (BW+10%)]],TRUE)*100,"")</f>
        <v/>
      </c>
    </row>
    <row r="9536" spans="1:12" x14ac:dyDescent="0.35">
      <c r="A9536" s="3"/>
      <c r="B9536" s="2"/>
      <c r="C9536" s="2"/>
      <c r="D9536" s="2" t="b">
        <f>IF(AND(NOT(ISBLANK(Table1[[#This Row],[Fetal Sex (Male, Female or Unknown)]])),ISNUMBER(Table1[[#This Row],[Birthweight (grams)]]),ISNUMBER(Table1[[#This Row],[Gestation (days)]])),TRUE,FALSE)</f>
        <v>0</v>
      </c>
      <c r="E9536" s="2" t="str">
        <f>IF(Table1[[#This Row],[Is Data Valid]]=TRUE,IF(Table1[[#This Row],[Fetal Sex (Male, Female or Unknown)]]="Male",Backend!$C$6,IF(Table1[[#This Row],[Fetal Sex (Male, Female or Unknown)]]="Female",Backend!$C$7,IF(Table1[[#This Row],[Fetal Sex (Male, Female or Unknown)]]="Unknown",Backend!$C$8,"Error"))),"")</f>
        <v/>
      </c>
      <c r="F9536" s="8" t="str">
        <f>IF(Table1[[#This Row],[Is Data Valid]]=TRUE,EXP(0.578+0.332*((Table1[[#This Row],[Gestation (days)]]+0.5)/7)-0.00354*((Table1[[#This Row],[Gestation (days)]]+0.5)/7)^2)*Table1[[#This Row],[BW40_3705]],"")</f>
        <v/>
      </c>
      <c r="G9536" s="2" t="str">
        <f>IF(Table1[[#This Row],[Is Data Valid]]=TRUE,((Table1[[#This Row],[Birthweight (grams)]]/Table1[[#This Row],[BW_GA]])-1)/(Backend!$B$4/100*Table1[[#This Row],[BW40_3705]]),"")</f>
        <v/>
      </c>
      <c r="H9536" s="7" t="str">
        <f>IF(Table1[[#This Row],[Is Data Valid]]=TRUE,((Table1[[#This Row],[Birthweight (grams)]]*0.9/Table1[[#This Row],[BW_GA]])-1)/(Backend!$B$4/100*Table1[[#This Row],[BW40_3705]]),"")</f>
        <v/>
      </c>
      <c r="I9536" s="7" t="str">
        <f>IF(Table1[[#This Row],[Is Data Valid]]=TRUE,((Table1[[#This Row],[Birthweight (grams)]]*1.1/Table1[[#This Row],[BW_GA]])-1)/(Backend!$B$4/100*Table1[[#This Row],[BW40_3705]]),"")</f>
        <v/>
      </c>
      <c r="J9536" s="7" t="str">
        <f>IF(Table1[[#This Row],[Is Data Valid]]=TRUE,_xlfn.NORM.S.DIST(Table1[[#This Row],[Birthweight Z-Score]],TRUE)*100,"")</f>
        <v/>
      </c>
      <c r="K9536" s="7" t="str">
        <f>IF(Table1[[#This Row],[Is Data Valid]]=TRUE,_xlfn.NORM.S.DIST(Table1[[#This Row],[Birthweight Z-Score (BW-10%)]],TRUE)*100,"")</f>
        <v/>
      </c>
      <c r="L9536" s="7" t="str">
        <f>IF(Table1[[#This Row],[Is Data Valid]]=TRUE,_xlfn.NORM.S.DIST(Table1[[#This Row],[Birthweight Z-Score (BW+10%)]],TRUE)*100,"")</f>
        <v/>
      </c>
    </row>
    <row r="9537" spans="1:12" x14ac:dyDescent="0.35">
      <c r="A9537" s="3"/>
      <c r="B9537" s="2"/>
      <c r="C9537" s="2"/>
      <c r="D9537" s="2" t="b">
        <f>IF(AND(NOT(ISBLANK(Table1[[#This Row],[Fetal Sex (Male, Female or Unknown)]])),ISNUMBER(Table1[[#This Row],[Birthweight (grams)]]),ISNUMBER(Table1[[#This Row],[Gestation (days)]])),TRUE,FALSE)</f>
        <v>0</v>
      </c>
      <c r="E9537" s="2" t="str">
        <f>IF(Table1[[#This Row],[Is Data Valid]]=TRUE,IF(Table1[[#This Row],[Fetal Sex (Male, Female or Unknown)]]="Male",Backend!$C$6,IF(Table1[[#This Row],[Fetal Sex (Male, Female or Unknown)]]="Female",Backend!$C$7,IF(Table1[[#This Row],[Fetal Sex (Male, Female or Unknown)]]="Unknown",Backend!$C$8,"Error"))),"")</f>
        <v/>
      </c>
      <c r="F9537" s="8" t="str">
        <f>IF(Table1[[#This Row],[Is Data Valid]]=TRUE,EXP(0.578+0.332*((Table1[[#This Row],[Gestation (days)]]+0.5)/7)-0.00354*((Table1[[#This Row],[Gestation (days)]]+0.5)/7)^2)*Table1[[#This Row],[BW40_3705]],"")</f>
        <v/>
      </c>
      <c r="G9537" s="2" t="str">
        <f>IF(Table1[[#This Row],[Is Data Valid]]=TRUE,((Table1[[#This Row],[Birthweight (grams)]]/Table1[[#This Row],[BW_GA]])-1)/(Backend!$B$4/100*Table1[[#This Row],[BW40_3705]]),"")</f>
        <v/>
      </c>
      <c r="H9537" s="7" t="str">
        <f>IF(Table1[[#This Row],[Is Data Valid]]=TRUE,((Table1[[#This Row],[Birthweight (grams)]]*0.9/Table1[[#This Row],[BW_GA]])-1)/(Backend!$B$4/100*Table1[[#This Row],[BW40_3705]]),"")</f>
        <v/>
      </c>
      <c r="I9537" s="7" t="str">
        <f>IF(Table1[[#This Row],[Is Data Valid]]=TRUE,((Table1[[#This Row],[Birthweight (grams)]]*1.1/Table1[[#This Row],[BW_GA]])-1)/(Backend!$B$4/100*Table1[[#This Row],[BW40_3705]]),"")</f>
        <v/>
      </c>
      <c r="J9537" s="7" t="str">
        <f>IF(Table1[[#This Row],[Is Data Valid]]=TRUE,_xlfn.NORM.S.DIST(Table1[[#This Row],[Birthweight Z-Score]],TRUE)*100,"")</f>
        <v/>
      </c>
      <c r="K9537" s="7" t="str">
        <f>IF(Table1[[#This Row],[Is Data Valid]]=TRUE,_xlfn.NORM.S.DIST(Table1[[#This Row],[Birthweight Z-Score (BW-10%)]],TRUE)*100,"")</f>
        <v/>
      </c>
      <c r="L9537" s="7" t="str">
        <f>IF(Table1[[#This Row],[Is Data Valid]]=TRUE,_xlfn.NORM.S.DIST(Table1[[#This Row],[Birthweight Z-Score (BW+10%)]],TRUE)*100,"")</f>
        <v/>
      </c>
    </row>
    <row r="9538" spans="1:12" x14ac:dyDescent="0.35">
      <c r="A9538" s="3"/>
      <c r="B9538" s="2"/>
      <c r="C9538" s="2"/>
      <c r="D9538" s="2" t="b">
        <f>IF(AND(NOT(ISBLANK(Table1[[#This Row],[Fetal Sex (Male, Female or Unknown)]])),ISNUMBER(Table1[[#This Row],[Birthweight (grams)]]),ISNUMBER(Table1[[#This Row],[Gestation (days)]])),TRUE,FALSE)</f>
        <v>0</v>
      </c>
      <c r="E9538" s="2" t="str">
        <f>IF(Table1[[#This Row],[Is Data Valid]]=TRUE,IF(Table1[[#This Row],[Fetal Sex (Male, Female or Unknown)]]="Male",Backend!$C$6,IF(Table1[[#This Row],[Fetal Sex (Male, Female or Unknown)]]="Female",Backend!$C$7,IF(Table1[[#This Row],[Fetal Sex (Male, Female or Unknown)]]="Unknown",Backend!$C$8,"Error"))),"")</f>
        <v/>
      </c>
      <c r="F9538" s="8" t="str">
        <f>IF(Table1[[#This Row],[Is Data Valid]]=TRUE,EXP(0.578+0.332*((Table1[[#This Row],[Gestation (days)]]+0.5)/7)-0.00354*((Table1[[#This Row],[Gestation (days)]]+0.5)/7)^2)*Table1[[#This Row],[BW40_3705]],"")</f>
        <v/>
      </c>
      <c r="G9538" s="2" t="str">
        <f>IF(Table1[[#This Row],[Is Data Valid]]=TRUE,((Table1[[#This Row],[Birthweight (grams)]]/Table1[[#This Row],[BW_GA]])-1)/(Backend!$B$4/100*Table1[[#This Row],[BW40_3705]]),"")</f>
        <v/>
      </c>
      <c r="H9538" s="7" t="str">
        <f>IF(Table1[[#This Row],[Is Data Valid]]=TRUE,((Table1[[#This Row],[Birthweight (grams)]]*0.9/Table1[[#This Row],[BW_GA]])-1)/(Backend!$B$4/100*Table1[[#This Row],[BW40_3705]]),"")</f>
        <v/>
      </c>
      <c r="I9538" s="7" t="str">
        <f>IF(Table1[[#This Row],[Is Data Valid]]=TRUE,((Table1[[#This Row],[Birthweight (grams)]]*1.1/Table1[[#This Row],[BW_GA]])-1)/(Backend!$B$4/100*Table1[[#This Row],[BW40_3705]]),"")</f>
        <v/>
      </c>
      <c r="J9538" s="7" t="str">
        <f>IF(Table1[[#This Row],[Is Data Valid]]=TRUE,_xlfn.NORM.S.DIST(Table1[[#This Row],[Birthweight Z-Score]],TRUE)*100,"")</f>
        <v/>
      </c>
      <c r="K9538" s="7" t="str">
        <f>IF(Table1[[#This Row],[Is Data Valid]]=TRUE,_xlfn.NORM.S.DIST(Table1[[#This Row],[Birthweight Z-Score (BW-10%)]],TRUE)*100,"")</f>
        <v/>
      </c>
      <c r="L9538" s="7" t="str">
        <f>IF(Table1[[#This Row],[Is Data Valid]]=TRUE,_xlfn.NORM.S.DIST(Table1[[#This Row],[Birthweight Z-Score (BW+10%)]],TRUE)*100,"")</f>
        <v/>
      </c>
    </row>
    <row r="9539" spans="1:12" x14ac:dyDescent="0.35">
      <c r="A9539" s="3"/>
      <c r="B9539" s="2"/>
      <c r="C9539" s="2"/>
      <c r="D9539" s="2" t="b">
        <f>IF(AND(NOT(ISBLANK(Table1[[#This Row],[Fetal Sex (Male, Female or Unknown)]])),ISNUMBER(Table1[[#This Row],[Birthweight (grams)]]),ISNUMBER(Table1[[#This Row],[Gestation (days)]])),TRUE,FALSE)</f>
        <v>0</v>
      </c>
      <c r="E9539" s="2" t="str">
        <f>IF(Table1[[#This Row],[Is Data Valid]]=TRUE,IF(Table1[[#This Row],[Fetal Sex (Male, Female or Unknown)]]="Male",Backend!$C$6,IF(Table1[[#This Row],[Fetal Sex (Male, Female or Unknown)]]="Female",Backend!$C$7,IF(Table1[[#This Row],[Fetal Sex (Male, Female or Unknown)]]="Unknown",Backend!$C$8,"Error"))),"")</f>
        <v/>
      </c>
      <c r="F9539" s="8" t="str">
        <f>IF(Table1[[#This Row],[Is Data Valid]]=TRUE,EXP(0.578+0.332*((Table1[[#This Row],[Gestation (days)]]+0.5)/7)-0.00354*((Table1[[#This Row],[Gestation (days)]]+0.5)/7)^2)*Table1[[#This Row],[BW40_3705]],"")</f>
        <v/>
      </c>
      <c r="G9539" s="2" t="str">
        <f>IF(Table1[[#This Row],[Is Data Valid]]=TRUE,((Table1[[#This Row],[Birthweight (grams)]]/Table1[[#This Row],[BW_GA]])-1)/(Backend!$B$4/100*Table1[[#This Row],[BW40_3705]]),"")</f>
        <v/>
      </c>
      <c r="H9539" s="7" t="str">
        <f>IF(Table1[[#This Row],[Is Data Valid]]=TRUE,((Table1[[#This Row],[Birthweight (grams)]]*0.9/Table1[[#This Row],[BW_GA]])-1)/(Backend!$B$4/100*Table1[[#This Row],[BW40_3705]]),"")</f>
        <v/>
      </c>
      <c r="I9539" s="7" t="str">
        <f>IF(Table1[[#This Row],[Is Data Valid]]=TRUE,((Table1[[#This Row],[Birthweight (grams)]]*1.1/Table1[[#This Row],[BW_GA]])-1)/(Backend!$B$4/100*Table1[[#This Row],[BW40_3705]]),"")</f>
        <v/>
      </c>
      <c r="J9539" s="7" t="str">
        <f>IF(Table1[[#This Row],[Is Data Valid]]=TRUE,_xlfn.NORM.S.DIST(Table1[[#This Row],[Birthweight Z-Score]],TRUE)*100,"")</f>
        <v/>
      </c>
      <c r="K9539" s="7" t="str">
        <f>IF(Table1[[#This Row],[Is Data Valid]]=TRUE,_xlfn.NORM.S.DIST(Table1[[#This Row],[Birthweight Z-Score (BW-10%)]],TRUE)*100,"")</f>
        <v/>
      </c>
      <c r="L9539" s="7" t="str">
        <f>IF(Table1[[#This Row],[Is Data Valid]]=TRUE,_xlfn.NORM.S.DIST(Table1[[#This Row],[Birthweight Z-Score (BW+10%)]],TRUE)*100,"")</f>
        <v/>
      </c>
    </row>
    <row r="9540" spans="1:12" x14ac:dyDescent="0.35">
      <c r="A9540" s="3"/>
      <c r="B9540" s="2"/>
      <c r="C9540" s="2"/>
      <c r="D9540" s="2" t="b">
        <f>IF(AND(NOT(ISBLANK(Table1[[#This Row],[Fetal Sex (Male, Female or Unknown)]])),ISNUMBER(Table1[[#This Row],[Birthweight (grams)]]),ISNUMBER(Table1[[#This Row],[Gestation (days)]])),TRUE,FALSE)</f>
        <v>0</v>
      </c>
      <c r="E9540" s="2" t="str">
        <f>IF(Table1[[#This Row],[Is Data Valid]]=TRUE,IF(Table1[[#This Row],[Fetal Sex (Male, Female or Unknown)]]="Male",Backend!$C$6,IF(Table1[[#This Row],[Fetal Sex (Male, Female or Unknown)]]="Female",Backend!$C$7,IF(Table1[[#This Row],[Fetal Sex (Male, Female or Unknown)]]="Unknown",Backend!$C$8,"Error"))),"")</f>
        <v/>
      </c>
      <c r="F9540" s="8" t="str">
        <f>IF(Table1[[#This Row],[Is Data Valid]]=TRUE,EXP(0.578+0.332*((Table1[[#This Row],[Gestation (days)]]+0.5)/7)-0.00354*((Table1[[#This Row],[Gestation (days)]]+0.5)/7)^2)*Table1[[#This Row],[BW40_3705]],"")</f>
        <v/>
      </c>
      <c r="G9540" s="2" t="str">
        <f>IF(Table1[[#This Row],[Is Data Valid]]=TRUE,((Table1[[#This Row],[Birthweight (grams)]]/Table1[[#This Row],[BW_GA]])-1)/(Backend!$B$4/100*Table1[[#This Row],[BW40_3705]]),"")</f>
        <v/>
      </c>
      <c r="H9540" s="7" t="str">
        <f>IF(Table1[[#This Row],[Is Data Valid]]=TRUE,((Table1[[#This Row],[Birthweight (grams)]]*0.9/Table1[[#This Row],[BW_GA]])-1)/(Backend!$B$4/100*Table1[[#This Row],[BW40_3705]]),"")</f>
        <v/>
      </c>
      <c r="I9540" s="7" t="str">
        <f>IF(Table1[[#This Row],[Is Data Valid]]=TRUE,((Table1[[#This Row],[Birthweight (grams)]]*1.1/Table1[[#This Row],[BW_GA]])-1)/(Backend!$B$4/100*Table1[[#This Row],[BW40_3705]]),"")</f>
        <v/>
      </c>
      <c r="J9540" s="7" t="str">
        <f>IF(Table1[[#This Row],[Is Data Valid]]=TRUE,_xlfn.NORM.S.DIST(Table1[[#This Row],[Birthweight Z-Score]],TRUE)*100,"")</f>
        <v/>
      </c>
      <c r="K9540" s="7" t="str">
        <f>IF(Table1[[#This Row],[Is Data Valid]]=TRUE,_xlfn.NORM.S.DIST(Table1[[#This Row],[Birthweight Z-Score (BW-10%)]],TRUE)*100,"")</f>
        <v/>
      </c>
      <c r="L9540" s="7" t="str">
        <f>IF(Table1[[#This Row],[Is Data Valid]]=TRUE,_xlfn.NORM.S.DIST(Table1[[#This Row],[Birthweight Z-Score (BW+10%)]],TRUE)*100,"")</f>
        <v/>
      </c>
    </row>
    <row r="9541" spans="1:12" x14ac:dyDescent="0.35">
      <c r="A9541" s="3"/>
      <c r="B9541" s="2"/>
      <c r="C9541" s="2"/>
      <c r="D9541" s="2" t="b">
        <f>IF(AND(NOT(ISBLANK(Table1[[#This Row],[Fetal Sex (Male, Female or Unknown)]])),ISNUMBER(Table1[[#This Row],[Birthweight (grams)]]),ISNUMBER(Table1[[#This Row],[Gestation (days)]])),TRUE,FALSE)</f>
        <v>0</v>
      </c>
      <c r="E9541" s="2" t="str">
        <f>IF(Table1[[#This Row],[Is Data Valid]]=TRUE,IF(Table1[[#This Row],[Fetal Sex (Male, Female or Unknown)]]="Male",Backend!$C$6,IF(Table1[[#This Row],[Fetal Sex (Male, Female or Unknown)]]="Female",Backend!$C$7,IF(Table1[[#This Row],[Fetal Sex (Male, Female or Unknown)]]="Unknown",Backend!$C$8,"Error"))),"")</f>
        <v/>
      </c>
      <c r="F9541" s="8" t="str">
        <f>IF(Table1[[#This Row],[Is Data Valid]]=TRUE,EXP(0.578+0.332*((Table1[[#This Row],[Gestation (days)]]+0.5)/7)-0.00354*((Table1[[#This Row],[Gestation (days)]]+0.5)/7)^2)*Table1[[#This Row],[BW40_3705]],"")</f>
        <v/>
      </c>
      <c r="G9541" s="2" t="str">
        <f>IF(Table1[[#This Row],[Is Data Valid]]=TRUE,((Table1[[#This Row],[Birthweight (grams)]]/Table1[[#This Row],[BW_GA]])-1)/(Backend!$B$4/100*Table1[[#This Row],[BW40_3705]]),"")</f>
        <v/>
      </c>
      <c r="H9541" s="7" t="str">
        <f>IF(Table1[[#This Row],[Is Data Valid]]=TRUE,((Table1[[#This Row],[Birthweight (grams)]]*0.9/Table1[[#This Row],[BW_GA]])-1)/(Backend!$B$4/100*Table1[[#This Row],[BW40_3705]]),"")</f>
        <v/>
      </c>
      <c r="I9541" s="7" t="str">
        <f>IF(Table1[[#This Row],[Is Data Valid]]=TRUE,((Table1[[#This Row],[Birthweight (grams)]]*1.1/Table1[[#This Row],[BW_GA]])-1)/(Backend!$B$4/100*Table1[[#This Row],[BW40_3705]]),"")</f>
        <v/>
      </c>
      <c r="J9541" s="7" t="str">
        <f>IF(Table1[[#This Row],[Is Data Valid]]=TRUE,_xlfn.NORM.S.DIST(Table1[[#This Row],[Birthweight Z-Score]],TRUE)*100,"")</f>
        <v/>
      </c>
      <c r="K9541" s="7" t="str">
        <f>IF(Table1[[#This Row],[Is Data Valid]]=TRUE,_xlfn.NORM.S.DIST(Table1[[#This Row],[Birthweight Z-Score (BW-10%)]],TRUE)*100,"")</f>
        <v/>
      </c>
      <c r="L9541" s="7" t="str">
        <f>IF(Table1[[#This Row],[Is Data Valid]]=TRUE,_xlfn.NORM.S.DIST(Table1[[#This Row],[Birthweight Z-Score (BW+10%)]],TRUE)*100,"")</f>
        <v/>
      </c>
    </row>
    <row r="9542" spans="1:12" x14ac:dyDescent="0.35">
      <c r="A9542" s="3"/>
      <c r="B9542" s="2"/>
      <c r="C9542" s="2"/>
      <c r="D9542" s="2" t="b">
        <f>IF(AND(NOT(ISBLANK(Table1[[#This Row],[Fetal Sex (Male, Female or Unknown)]])),ISNUMBER(Table1[[#This Row],[Birthweight (grams)]]),ISNUMBER(Table1[[#This Row],[Gestation (days)]])),TRUE,FALSE)</f>
        <v>0</v>
      </c>
      <c r="E9542" s="2" t="str">
        <f>IF(Table1[[#This Row],[Is Data Valid]]=TRUE,IF(Table1[[#This Row],[Fetal Sex (Male, Female or Unknown)]]="Male",Backend!$C$6,IF(Table1[[#This Row],[Fetal Sex (Male, Female or Unknown)]]="Female",Backend!$C$7,IF(Table1[[#This Row],[Fetal Sex (Male, Female or Unknown)]]="Unknown",Backend!$C$8,"Error"))),"")</f>
        <v/>
      </c>
      <c r="F9542" s="8" t="str">
        <f>IF(Table1[[#This Row],[Is Data Valid]]=TRUE,EXP(0.578+0.332*((Table1[[#This Row],[Gestation (days)]]+0.5)/7)-0.00354*((Table1[[#This Row],[Gestation (days)]]+0.5)/7)^2)*Table1[[#This Row],[BW40_3705]],"")</f>
        <v/>
      </c>
      <c r="G9542" s="2" t="str">
        <f>IF(Table1[[#This Row],[Is Data Valid]]=TRUE,((Table1[[#This Row],[Birthweight (grams)]]/Table1[[#This Row],[BW_GA]])-1)/(Backend!$B$4/100*Table1[[#This Row],[BW40_3705]]),"")</f>
        <v/>
      </c>
      <c r="H9542" s="7" t="str">
        <f>IF(Table1[[#This Row],[Is Data Valid]]=TRUE,((Table1[[#This Row],[Birthweight (grams)]]*0.9/Table1[[#This Row],[BW_GA]])-1)/(Backend!$B$4/100*Table1[[#This Row],[BW40_3705]]),"")</f>
        <v/>
      </c>
      <c r="I9542" s="7" t="str">
        <f>IF(Table1[[#This Row],[Is Data Valid]]=TRUE,((Table1[[#This Row],[Birthweight (grams)]]*1.1/Table1[[#This Row],[BW_GA]])-1)/(Backend!$B$4/100*Table1[[#This Row],[BW40_3705]]),"")</f>
        <v/>
      </c>
      <c r="J9542" s="7" t="str">
        <f>IF(Table1[[#This Row],[Is Data Valid]]=TRUE,_xlfn.NORM.S.DIST(Table1[[#This Row],[Birthweight Z-Score]],TRUE)*100,"")</f>
        <v/>
      </c>
      <c r="K9542" s="7" t="str">
        <f>IF(Table1[[#This Row],[Is Data Valid]]=TRUE,_xlfn.NORM.S.DIST(Table1[[#This Row],[Birthweight Z-Score (BW-10%)]],TRUE)*100,"")</f>
        <v/>
      </c>
      <c r="L9542" s="7" t="str">
        <f>IF(Table1[[#This Row],[Is Data Valid]]=TRUE,_xlfn.NORM.S.DIST(Table1[[#This Row],[Birthweight Z-Score (BW+10%)]],TRUE)*100,"")</f>
        <v/>
      </c>
    </row>
    <row r="9543" spans="1:12" x14ac:dyDescent="0.35">
      <c r="A9543" s="3"/>
      <c r="B9543" s="2"/>
      <c r="C9543" s="2"/>
      <c r="D9543" s="2" t="b">
        <f>IF(AND(NOT(ISBLANK(Table1[[#This Row],[Fetal Sex (Male, Female or Unknown)]])),ISNUMBER(Table1[[#This Row],[Birthweight (grams)]]),ISNUMBER(Table1[[#This Row],[Gestation (days)]])),TRUE,FALSE)</f>
        <v>0</v>
      </c>
      <c r="E9543" s="2" t="str">
        <f>IF(Table1[[#This Row],[Is Data Valid]]=TRUE,IF(Table1[[#This Row],[Fetal Sex (Male, Female or Unknown)]]="Male",Backend!$C$6,IF(Table1[[#This Row],[Fetal Sex (Male, Female or Unknown)]]="Female",Backend!$C$7,IF(Table1[[#This Row],[Fetal Sex (Male, Female or Unknown)]]="Unknown",Backend!$C$8,"Error"))),"")</f>
        <v/>
      </c>
      <c r="F9543" s="8" t="str">
        <f>IF(Table1[[#This Row],[Is Data Valid]]=TRUE,EXP(0.578+0.332*((Table1[[#This Row],[Gestation (days)]]+0.5)/7)-0.00354*((Table1[[#This Row],[Gestation (days)]]+0.5)/7)^2)*Table1[[#This Row],[BW40_3705]],"")</f>
        <v/>
      </c>
      <c r="G9543" s="2" t="str">
        <f>IF(Table1[[#This Row],[Is Data Valid]]=TRUE,((Table1[[#This Row],[Birthweight (grams)]]/Table1[[#This Row],[BW_GA]])-1)/(Backend!$B$4/100*Table1[[#This Row],[BW40_3705]]),"")</f>
        <v/>
      </c>
      <c r="H9543" s="7" t="str">
        <f>IF(Table1[[#This Row],[Is Data Valid]]=TRUE,((Table1[[#This Row],[Birthweight (grams)]]*0.9/Table1[[#This Row],[BW_GA]])-1)/(Backend!$B$4/100*Table1[[#This Row],[BW40_3705]]),"")</f>
        <v/>
      </c>
      <c r="I9543" s="7" t="str">
        <f>IF(Table1[[#This Row],[Is Data Valid]]=TRUE,((Table1[[#This Row],[Birthweight (grams)]]*1.1/Table1[[#This Row],[BW_GA]])-1)/(Backend!$B$4/100*Table1[[#This Row],[BW40_3705]]),"")</f>
        <v/>
      </c>
      <c r="J9543" s="7" t="str">
        <f>IF(Table1[[#This Row],[Is Data Valid]]=TRUE,_xlfn.NORM.S.DIST(Table1[[#This Row],[Birthweight Z-Score]],TRUE)*100,"")</f>
        <v/>
      </c>
      <c r="K9543" s="7" t="str">
        <f>IF(Table1[[#This Row],[Is Data Valid]]=TRUE,_xlfn.NORM.S.DIST(Table1[[#This Row],[Birthweight Z-Score (BW-10%)]],TRUE)*100,"")</f>
        <v/>
      </c>
      <c r="L9543" s="7" t="str">
        <f>IF(Table1[[#This Row],[Is Data Valid]]=TRUE,_xlfn.NORM.S.DIST(Table1[[#This Row],[Birthweight Z-Score (BW+10%)]],TRUE)*100,"")</f>
        <v/>
      </c>
    </row>
    <row r="9544" spans="1:12" x14ac:dyDescent="0.35">
      <c r="A9544" s="3"/>
      <c r="B9544" s="2"/>
      <c r="C9544" s="2"/>
      <c r="D9544" s="2" t="b">
        <f>IF(AND(NOT(ISBLANK(Table1[[#This Row],[Fetal Sex (Male, Female or Unknown)]])),ISNUMBER(Table1[[#This Row],[Birthweight (grams)]]),ISNUMBER(Table1[[#This Row],[Gestation (days)]])),TRUE,FALSE)</f>
        <v>0</v>
      </c>
      <c r="E9544" s="2" t="str">
        <f>IF(Table1[[#This Row],[Is Data Valid]]=TRUE,IF(Table1[[#This Row],[Fetal Sex (Male, Female or Unknown)]]="Male",Backend!$C$6,IF(Table1[[#This Row],[Fetal Sex (Male, Female or Unknown)]]="Female",Backend!$C$7,IF(Table1[[#This Row],[Fetal Sex (Male, Female or Unknown)]]="Unknown",Backend!$C$8,"Error"))),"")</f>
        <v/>
      </c>
      <c r="F9544" s="8" t="str">
        <f>IF(Table1[[#This Row],[Is Data Valid]]=TRUE,EXP(0.578+0.332*((Table1[[#This Row],[Gestation (days)]]+0.5)/7)-0.00354*((Table1[[#This Row],[Gestation (days)]]+0.5)/7)^2)*Table1[[#This Row],[BW40_3705]],"")</f>
        <v/>
      </c>
      <c r="G9544" s="2" t="str">
        <f>IF(Table1[[#This Row],[Is Data Valid]]=TRUE,((Table1[[#This Row],[Birthweight (grams)]]/Table1[[#This Row],[BW_GA]])-1)/(Backend!$B$4/100*Table1[[#This Row],[BW40_3705]]),"")</f>
        <v/>
      </c>
      <c r="H9544" s="7" t="str">
        <f>IF(Table1[[#This Row],[Is Data Valid]]=TRUE,((Table1[[#This Row],[Birthweight (grams)]]*0.9/Table1[[#This Row],[BW_GA]])-1)/(Backend!$B$4/100*Table1[[#This Row],[BW40_3705]]),"")</f>
        <v/>
      </c>
      <c r="I9544" s="7" t="str">
        <f>IF(Table1[[#This Row],[Is Data Valid]]=TRUE,((Table1[[#This Row],[Birthweight (grams)]]*1.1/Table1[[#This Row],[BW_GA]])-1)/(Backend!$B$4/100*Table1[[#This Row],[BW40_3705]]),"")</f>
        <v/>
      </c>
      <c r="J9544" s="7" t="str">
        <f>IF(Table1[[#This Row],[Is Data Valid]]=TRUE,_xlfn.NORM.S.DIST(Table1[[#This Row],[Birthweight Z-Score]],TRUE)*100,"")</f>
        <v/>
      </c>
      <c r="K9544" s="7" t="str">
        <f>IF(Table1[[#This Row],[Is Data Valid]]=TRUE,_xlfn.NORM.S.DIST(Table1[[#This Row],[Birthweight Z-Score (BW-10%)]],TRUE)*100,"")</f>
        <v/>
      </c>
      <c r="L9544" s="7" t="str">
        <f>IF(Table1[[#This Row],[Is Data Valid]]=TRUE,_xlfn.NORM.S.DIST(Table1[[#This Row],[Birthweight Z-Score (BW+10%)]],TRUE)*100,"")</f>
        <v/>
      </c>
    </row>
    <row r="9545" spans="1:12" x14ac:dyDescent="0.35">
      <c r="A9545" s="3"/>
      <c r="B9545" s="2"/>
      <c r="C9545" s="2"/>
      <c r="D9545" s="2" t="b">
        <f>IF(AND(NOT(ISBLANK(Table1[[#This Row],[Fetal Sex (Male, Female or Unknown)]])),ISNUMBER(Table1[[#This Row],[Birthweight (grams)]]),ISNUMBER(Table1[[#This Row],[Gestation (days)]])),TRUE,FALSE)</f>
        <v>0</v>
      </c>
      <c r="E9545" s="2" t="str">
        <f>IF(Table1[[#This Row],[Is Data Valid]]=TRUE,IF(Table1[[#This Row],[Fetal Sex (Male, Female or Unknown)]]="Male",Backend!$C$6,IF(Table1[[#This Row],[Fetal Sex (Male, Female or Unknown)]]="Female",Backend!$C$7,IF(Table1[[#This Row],[Fetal Sex (Male, Female or Unknown)]]="Unknown",Backend!$C$8,"Error"))),"")</f>
        <v/>
      </c>
      <c r="F9545" s="8" t="str">
        <f>IF(Table1[[#This Row],[Is Data Valid]]=TRUE,EXP(0.578+0.332*((Table1[[#This Row],[Gestation (days)]]+0.5)/7)-0.00354*((Table1[[#This Row],[Gestation (days)]]+0.5)/7)^2)*Table1[[#This Row],[BW40_3705]],"")</f>
        <v/>
      </c>
      <c r="G9545" s="2" t="str">
        <f>IF(Table1[[#This Row],[Is Data Valid]]=TRUE,((Table1[[#This Row],[Birthweight (grams)]]/Table1[[#This Row],[BW_GA]])-1)/(Backend!$B$4/100*Table1[[#This Row],[BW40_3705]]),"")</f>
        <v/>
      </c>
      <c r="H9545" s="7" t="str">
        <f>IF(Table1[[#This Row],[Is Data Valid]]=TRUE,((Table1[[#This Row],[Birthweight (grams)]]*0.9/Table1[[#This Row],[BW_GA]])-1)/(Backend!$B$4/100*Table1[[#This Row],[BW40_3705]]),"")</f>
        <v/>
      </c>
      <c r="I9545" s="7" t="str">
        <f>IF(Table1[[#This Row],[Is Data Valid]]=TRUE,((Table1[[#This Row],[Birthweight (grams)]]*1.1/Table1[[#This Row],[BW_GA]])-1)/(Backend!$B$4/100*Table1[[#This Row],[BW40_3705]]),"")</f>
        <v/>
      </c>
      <c r="J9545" s="7" t="str">
        <f>IF(Table1[[#This Row],[Is Data Valid]]=TRUE,_xlfn.NORM.S.DIST(Table1[[#This Row],[Birthweight Z-Score]],TRUE)*100,"")</f>
        <v/>
      </c>
      <c r="K9545" s="7" t="str">
        <f>IF(Table1[[#This Row],[Is Data Valid]]=TRUE,_xlfn.NORM.S.DIST(Table1[[#This Row],[Birthweight Z-Score (BW-10%)]],TRUE)*100,"")</f>
        <v/>
      </c>
      <c r="L9545" s="7" t="str">
        <f>IF(Table1[[#This Row],[Is Data Valid]]=TRUE,_xlfn.NORM.S.DIST(Table1[[#This Row],[Birthweight Z-Score (BW+10%)]],TRUE)*100,"")</f>
        <v/>
      </c>
    </row>
    <row r="9546" spans="1:12" x14ac:dyDescent="0.35">
      <c r="A9546" s="3"/>
      <c r="B9546" s="2"/>
      <c r="C9546" s="2"/>
      <c r="D9546" s="2" t="b">
        <f>IF(AND(NOT(ISBLANK(Table1[[#This Row],[Fetal Sex (Male, Female or Unknown)]])),ISNUMBER(Table1[[#This Row],[Birthweight (grams)]]),ISNUMBER(Table1[[#This Row],[Gestation (days)]])),TRUE,FALSE)</f>
        <v>0</v>
      </c>
      <c r="E9546" s="2" t="str">
        <f>IF(Table1[[#This Row],[Is Data Valid]]=TRUE,IF(Table1[[#This Row],[Fetal Sex (Male, Female or Unknown)]]="Male",Backend!$C$6,IF(Table1[[#This Row],[Fetal Sex (Male, Female or Unknown)]]="Female",Backend!$C$7,IF(Table1[[#This Row],[Fetal Sex (Male, Female or Unknown)]]="Unknown",Backend!$C$8,"Error"))),"")</f>
        <v/>
      </c>
      <c r="F9546" s="8" t="str">
        <f>IF(Table1[[#This Row],[Is Data Valid]]=TRUE,EXP(0.578+0.332*((Table1[[#This Row],[Gestation (days)]]+0.5)/7)-0.00354*((Table1[[#This Row],[Gestation (days)]]+0.5)/7)^2)*Table1[[#This Row],[BW40_3705]],"")</f>
        <v/>
      </c>
      <c r="G9546" s="2" t="str">
        <f>IF(Table1[[#This Row],[Is Data Valid]]=TRUE,((Table1[[#This Row],[Birthweight (grams)]]/Table1[[#This Row],[BW_GA]])-1)/(Backend!$B$4/100*Table1[[#This Row],[BW40_3705]]),"")</f>
        <v/>
      </c>
      <c r="H9546" s="7" t="str">
        <f>IF(Table1[[#This Row],[Is Data Valid]]=TRUE,((Table1[[#This Row],[Birthweight (grams)]]*0.9/Table1[[#This Row],[BW_GA]])-1)/(Backend!$B$4/100*Table1[[#This Row],[BW40_3705]]),"")</f>
        <v/>
      </c>
      <c r="I9546" s="7" t="str">
        <f>IF(Table1[[#This Row],[Is Data Valid]]=TRUE,((Table1[[#This Row],[Birthweight (grams)]]*1.1/Table1[[#This Row],[BW_GA]])-1)/(Backend!$B$4/100*Table1[[#This Row],[BW40_3705]]),"")</f>
        <v/>
      </c>
      <c r="J9546" s="7" t="str">
        <f>IF(Table1[[#This Row],[Is Data Valid]]=TRUE,_xlfn.NORM.S.DIST(Table1[[#This Row],[Birthweight Z-Score]],TRUE)*100,"")</f>
        <v/>
      </c>
      <c r="K9546" s="7" t="str">
        <f>IF(Table1[[#This Row],[Is Data Valid]]=TRUE,_xlfn.NORM.S.DIST(Table1[[#This Row],[Birthweight Z-Score (BW-10%)]],TRUE)*100,"")</f>
        <v/>
      </c>
      <c r="L9546" s="7" t="str">
        <f>IF(Table1[[#This Row],[Is Data Valid]]=TRUE,_xlfn.NORM.S.DIST(Table1[[#This Row],[Birthweight Z-Score (BW+10%)]],TRUE)*100,"")</f>
        <v/>
      </c>
    </row>
    <row r="9547" spans="1:12" x14ac:dyDescent="0.35">
      <c r="A9547" s="3"/>
      <c r="B9547" s="2"/>
      <c r="C9547" s="2"/>
      <c r="D9547" s="2" t="b">
        <f>IF(AND(NOT(ISBLANK(Table1[[#This Row],[Fetal Sex (Male, Female or Unknown)]])),ISNUMBER(Table1[[#This Row],[Birthweight (grams)]]),ISNUMBER(Table1[[#This Row],[Gestation (days)]])),TRUE,FALSE)</f>
        <v>0</v>
      </c>
      <c r="E9547" s="2" t="str">
        <f>IF(Table1[[#This Row],[Is Data Valid]]=TRUE,IF(Table1[[#This Row],[Fetal Sex (Male, Female or Unknown)]]="Male",Backend!$C$6,IF(Table1[[#This Row],[Fetal Sex (Male, Female or Unknown)]]="Female",Backend!$C$7,IF(Table1[[#This Row],[Fetal Sex (Male, Female or Unknown)]]="Unknown",Backend!$C$8,"Error"))),"")</f>
        <v/>
      </c>
      <c r="F9547" s="8" t="str">
        <f>IF(Table1[[#This Row],[Is Data Valid]]=TRUE,EXP(0.578+0.332*((Table1[[#This Row],[Gestation (days)]]+0.5)/7)-0.00354*((Table1[[#This Row],[Gestation (days)]]+0.5)/7)^2)*Table1[[#This Row],[BW40_3705]],"")</f>
        <v/>
      </c>
      <c r="G9547" s="2" t="str">
        <f>IF(Table1[[#This Row],[Is Data Valid]]=TRUE,((Table1[[#This Row],[Birthweight (grams)]]/Table1[[#This Row],[BW_GA]])-1)/(Backend!$B$4/100*Table1[[#This Row],[BW40_3705]]),"")</f>
        <v/>
      </c>
      <c r="H9547" s="7" t="str">
        <f>IF(Table1[[#This Row],[Is Data Valid]]=TRUE,((Table1[[#This Row],[Birthweight (grams)]]*0.9/Table1[[#This Row],[BW_GA]])-1)/(Backend!$B$4/100*Table1[[#This Row],[BW40_3705]]),"")</f>
        <v/>
      </c>
      <c r="I9547" s="7" t="str">
        <f>IF(Table1[[#This Row],[Is Data Valid]]=TRUE,((Table1[[#This Row],[Birthweight (grams)]]*1.1/Table1[[#This Row],[BW_GA]])-1)/(Backend!$B$4/100*Table1[[#This Row],[BW40_3705]]),"")</f>
        <v/>
      </c>
      <c r="J9547" s="7" t="str">
        <f>IF(Table1[[#This Row],[Is Data Valid]]=TRUE,_xlfn.NORM.S.DIST(Table1[[#This Row],[Birthweight Z-Score]],TRUE)*100,"")</f>
        <v/>
      </c>
      <c r="K9547" s="7" t="str">
        <f>IF(Table1[[#This Row],[Is Data Valid]]=TRUE,_xlfn.NORM.S.DIST(Table1[[#This Row],[Birthweight Z-Score (BW-10%)]],TRUE)*100,"")</f>
        <v/>
      </c>
      <c r="L9547" s="7" t="str">
        <f>IF(Table1[[#This Row],[Is Data Valid]]=TRUE,_xlfn.NORM.S.DIST(Table1[[#This Row],[Birthweight Z-Score (BW+10%)]],TRUE)*100,"")</f>
        <v/>
      </c>
    </row>
    <row r="9548" spans="1:12" x14ac:dyDescent="0.35">
      <c r="A9548" s="3"/>
      <c r="B9548" s="2"/>
      <c r="C9548" s="2"/>
      <c r="D9548" s="2" t="b">
        <f>IF(AND(NOT(ISBLANK(Table1[[#This Row],[Fetal Sex (Male, Female or Unknown)]])),ISNUMBER(Table1[[#This Row],[Birthweight (grams)]]),ISNUMBER(Table1[[#This Row],[Gestation (days)]])),TRUE,FALSE)</f>
        <v>0</v>
      </c>
      <c r="E9548" s="2" t="str">
        <f>IF(Table1[[#This Row],[Is Data Valid]]=TRUE,IF(Table1[[#This Row],[Fetal Sex (Male, Female or Unknown)]]="Male",Backend!$C$6,IF(Table1[[#This Row],[Fetal Sex (Male, Female or Unknown)]]="Female",Backend!$C$7,IF(Table1[[#This Row],[Fetal Sex (Male, Female or Unknown)]]="Unknown",Backend!$C$8,"Error"))),"")</f>
        <v/>
      </c>
      <c r="F9548" s="8" t="str">
        <f>IF(Table1[[#This Row],[Is Data Valid]]=TRUE,EXP(0.578+0.332*((Table1[[#This Row],[Gestation (days)]]+0.5)/7)-0.00354*((Table1[[#This Row],[Gestation (days)]]+0.5)/7)^2)*Table1[[#This Row],[BW40_3705]],"")</f>
        <v/>
      </c>
      <c r="G9548" s="2" t="str">
        <f>IF(Table1[[#This Row],[Is Data Valid]]=TRUE,((Table1[[#This Row],[Birthweight (grams)]]/Table1[[#This Row],[BW_GA]])-1)/(Backend!$B$4/100*Table1[[#This Row],[BW40_3705]]),"")</f>
        <v/>
      </c>
      <c r="H9548" s="7" t="str">
        <f>IF(Table1[[#This Row],[Is Data Valid]]=TRUE,((Table1[[#This Row],[Birthweight (grams)]]*0.9/Table1[[#This Row],[BW_GA]])-1)/(Backend!$B$4/100*Table1[[#This Row],[BW40_3705]]),"")</f>
        <v/>
      </c>
      <c r="I9548" s="7" t="str">
        <f>IF(Table1[[#This Row],[Is Data Valid]]=TRUE,((Table1[[#This Row],[Birthweight (grams)]]*1.1/Table1[[#This Row],[BW_GA]])-1)/(Backend!$B$4/100*Table1[[#This Row],[BW40_3705]]),"")</f>
        <v/>
      </c>
      <c r="J9548" s="7" t="str">
        <f>IF(Table1[[#This Row],[Is Data Valid]]=TRUE,_xlfn.NORM.S.DIST(Table1[[#This Row],[Birthweight Z-Score]],TRUE)*100,"")</f>
        <v/>
      </c>
      <c r="K9548" s="7" t="str">
        <f>IF(Table1[[#This Row],[Is Data Valid]]=TRUE,_xlfn.NORM.S.DIST(Table1[[#This Row],[Birthweight Z-Score (BW-10%)]],TRUE)*100,"")</f>
        <v/>
      </c>
      <c r="L9548" s="7" t="str">
        <f>IF(Table1[[#This Row],[Is Data Valid]]=TRUE,_xlfn.NORM.S.DIST(Table1[[#This Row],[Birthweight Z-Score (BW+10%)]],TRUE)*100,"")</f>
        <v/>
      </c>
    </row>
    <row r="9549" spans="1:12" x14ac:dyDescent="0.35">
      <c r="A9549" s="3"/>
      <c r="B9549" s="2"/>
      <c r="C9549" s="2"/>
      <c r="D9549" s="2" t="b">
        <f>IF(AND(NOT(ISBLANK(Table1[[#This Row],[Fetal Sex (Male, Female or Unknown)]])),ISNUMBER(Table1[[#This Row],[Birthweight (grams)]]),ISNUMBER(Table1[[#This Row],[Gestation (days)]])),TRUE,FALSE)</f>
        <v>0</v>
      </c>
      <c r="E9549" s="2" t="str">
        <f>IF(Table1[[#This Row],[Is Data Valid]]=TRUE,IF(Table1[[#This Row],[Fetal Sex (Male, Female or Unknown)]]="Male",Backend!$C$6,IF(Table1[[#This Row],[Fetal Sex (Male, Female or Unknown)]]="Female",Backend!$C$7,IF(Table1[[#This Row],[Fetal Sex (Male, Female or Unknown)]]="Unknown",Backend!$C$8,"Error"))),"")</f>
        <v/>
      </c>
      <c r="F9549" s="8" t="str">
        <f>IF(Table1[[#This Row],[Is Data Valid]]=TRUE,EXP(0.578+0.332*((Table1[[#This Row],[Gestation (days)]]+0.5)/7)-0.00354*((Table1[[#This Row],[Gestation (days)]]+0.5)/7)^2)*Table1[[#This Row],[BW40_3705]],"")</f>
        <v/>
      </c>
      <c r="G9549" s="2" t="str">
        <f>IF(Table1[[#This Row],[Is Data Valid]]=TRUE,((Table1[[#This Row],[Birthweight (grams)]]/Table1[[#This Row],[BW_GA]])-1)/(Backend!$B$4/100*Table1[[#This Row],[BW40_3705]]),"")</f>
        <v/>
      </c>
      <c r="H9549" s="7" t="str">
        <f>IF(Table1[[#This Row],[Is Data Valid]]=TRUE,((Table1[[#This Row],[Birthweight (grams)]]*0.9/Table1[[#This Row],[BW_GA]])-1)/(Backend!$B$4/100*Table1[[#This Row],[BW40_3705]]),"")</f>
        <v/>
      </c>
      <c r="I9549" s="7" t="str">
        <f>IF(Table1[[#This Row],[Is Data Valid]]=TRUE,((Table1[[#This Row],[Birthweight (grams)]]*1.1/Table1[[#This Row],[BW_GA]])-1)/(Backend!$B$4/100*Table1[[#This Row],[BW40_3705]]),"")</f>
        <v/>
      </c>
      <c r="J9549" s="7" t="str">
        <f>IF(Table1[[#This Row],[Is Data Valid]]=TRUE,_xlfn.NORM.S.DIST(Table1[[#This Row],[Birthweight Z-Score]],TRUE)*100,"")</f>
        <v/>
      </c>
      <c r="K9549" s="7" t="str">
        <f>IF(Table1[[#This Row],[Is Data Valid]]=TRUE,_xlfn.NORM.S.DIST(Table1[[#This Row],[Birthweight Z-Score (BW-10%)]],TRUE)*100,"")</f>
        <v/>
      </c>
      <c r="L9549" s="7" t="str">
        <f>IF(Table1[[#This Row],[Is Data Valid]]=TRUE,_xlfn.NORM.S.DIST(Table1[[#This Row],[Birthweight Z-Score (BW+10%)]],TRUE)*100,"")</f>
        <v/>
      </c>
    </row>
    <row r="9550" spans="1:12" x14ac:dyDescent="0.35">
      <c r="A9550" s="3"/>
      <c r="B9550" s="2"/>
      <c r="C9550" s="2"/>
      <c r="D9550" s="2" t="b">
        <f>IF(AND(NOT(ISBLANK(Table1[[#This Row],[Fetal Sex (Male, Female or Unknown)]])),ISNUMBER(Table1[[#This Row],[Birthweight (grams)]]),ISNUMBER(Table1[[#This Row],[Gestation (days)]])),TRUE,FALSE)</f>
        <v>0</v>
      </c>
      <c r="E9550" s="2" t="str">
        <f>IF(Table1[[#This Row],[Is Data Valid]]=TRUE,IF(Table1[[#This Row],[Fetal Sex (Male, Female or Unknown)]]="Male",Backend!$C$6,IF(Table1[[#This Row],[Fetal Sex (Male, Female or Unknown)]]="Female",Backend!$C$7,IF(Table1[[#This Row],[Fetal Sex (Male, Female or Unknown)]]="Unknown",Backend!$C$8,"Error"))),"")</f>
        <v/>
      </c>
      <c r="F9550" s="8" t="str">
        <f>IF(Table1[[#This Row],[Is Data Valid]]=TRUE,EXP(0.578+0.332*((Table1[[#This Row],[Gestation (days)]]+0.5)/7)-0.00354*((Table1[[#This Row],[Gestation (days)]]+0.5)/7)^2)*Table1[[#This Row],[BW40_3705]],"")</f>
        <v/>
      </c>
      <c r="G9550" s="2" t="str">
        <f>IF(Table1[[#This Row],[Is Data Valid]]=TRUE,((Table1[[#This Row],[Birthweight (grams)]]/Table1[[#This Row],[BW_GA]])-1)/(Backend!$B$4/100*Table1[[#This Row],[BW40_3705]]),"")</f>
        <v/>
      </c>
      <c r="H9550" s="7" t="str">
        <f>IF(Table1[[#This Row],[Is Data Valid]]=TRUE,((Table1[[#This Row],[Birthweight (grams)]]*0.9/Table1[[#This Row],[BW_GA]])-1)/(Backend!$B$4/100*Table1[[#This Row],[BW40_3705]]),"")</f>
        <v/>
      </c>
      <c r="I9550" s="7" t="str">
        <f>IF(Table1[[#This Row],[Is Data Valid]]=TRUE,((Table1[[#This Row],[Birthweight (grams)]]*1.1/Table1[[#This Row],[BW_GA]])-1)/(Backend!$B$4/100*Table1[[#This Row],[BW40_3705]]),"")</f>
        <v/>
      </c>
      <c r="J9550" s="7" t="str">
        <f>IF(Table1[[#This Row],[Is Data Valid]]=TRUE,_xlfn.NORM.S.DIST(Table1[[#This Row],[Birthweight Z-Score]],TRUE)*100,"")</f>
        <v/>
      </c>
      <c r="K9550" s="7" t="str">
        <f>IF(Table1[[#This Row],[Is Data Valid]]=TRUE,_xlfn.NORM.S.DIST(Table1[[#This Row],[Birthweight Z-Score (BW-10%)]],TRUE)*100,"")</f>
        <v/>
      </c>
      <c r="L9550" s="7" t="str">
        <f>IF(Table1[[#This Row],[Is Data Valid]]=TRUE,_xlfn.NORM.S.DIST(Table1[[#This Row],[Birthweight Z-Score (BW+10%)]],TRUE)*100,"")</f>
        <v/>
      </c>
    </row>
    <row r="9551" spans="1:12" x14ac:dyDescent="0.35">
      <c r="A9551" s="3"/>
      <c r="B9551" s="2"/>
      <c r="C9551" s="2"/>
      <c r="D9551" s="2" t="b">
        <f>IF(AND(NOT(ISBLANK(Table1[[#This Row],[Fetal Sex (Male, Female or Unknown)]])),ISNUMBER(Table1[[#This Row],[Birthweight (grams)]]),ISNUMBER(Table1[[#This Row],[Gestation (days)]])),TRUE,FALSE)</f>
        <v>0</v>
      </c>
      <c r="E9551" s="2" t="str">
        <f>IF(Table1[[#This Row],[Is Data Valid]]=TRUE,IF(Table1[[#This Row],[Fetal Sex (Male, Female or Unknown)]]="Male",Backend!$C$6,IF(Table1[[#This Row],[Fetal Sex (Male, Female or Unknown)]]="Female",Backend!$C$7,IF(Table1[[#This Row],[Fetal Sex (Male, Female or Unknown)]]="Unknown",Backend!$C$8,"Error"))),"")</f>
        <v/>
      </c>
      <c r="F9551" s="8" t="str">
        <f>IF(Table1[[#This Row],[Is Data Valid]]=TRUE,EXP(0.578+0.332*((Table1[[#This Row],[Gestation (days)]]+0.5)/7)-0.00354*((Table1[[#This Row],[Gestation (days)]]+0.5)/7)^2)*Table1[[#This Row],[BW40_3705]],"")</f>
        <v/>
      </c>
      <c r="G9551" s="2" t="str">
        <f>IF(Table1[[#This Row],[Is Data Valid]]=TRUE,((Table1[[#This Row],[Birthweight (grams)]]/Table1[[#This Row],[BW_GA]])-1)/(Backend!$B$4/100*Table1[[#This Row],[BW40_3705]]),"")</f>
        <v/>
      </c>
      <c r="H9551" s="7" t="str">
        <f>IF(Table1[[#This Row],[Is Data Valid]]=TRUE,((Table1[[#This Row],[Birthweight (grams)]]*0.9/Table1[[#This Row],[BW_GA]])-1)/(Backend!$B$4/100*Table1[[#This Row],[BW40_3705]]),"")</f>
        <v/>
      </c>
      <c r="I9551" s="7" t="str">
        <f>IF(Table1[[#This Row],[Is Data Valid]]=TRUE,((Table1[[#This Row],[Birthweight (grams)]]*1.1/Table1[[#This Row],[BW_GA]])-1)/(Backend!$B$4/100*Table1[[#This Row],[BW40_3705]]),"")</f>
        <v/>
      </c>
      <c r="J9551" s="7" t="str">
        <f>IF(Table1[[#This Row],[Is Data Valid]]=TRUE,_xlfn.NORM.S.DIST(Table1[[#This Row],[Birthweight Z-Score]],TRUE)*100,"")</f>
        <v/>
      </c>
      <c r="K9551" s="7" t="str">
        <f>IF(Table1[[#This Row],[Is Data Valid]]=TRUE,_xlfn.NORM.S.DIST(Table1[[#This Row],[Birthweight Z-Score (BW-10%)]],TRUE)*100,"")</f>
        <v/>
      </c>
      <c r="L9551" s="7" t="str">
        <f>IF(Table1[[#This Row],[Is Data Valid]]=TRUE,_xlfn.NORM.S.DIST(Table1[[#This Row],[Birthweight Z-Score (BW+10%)]],TRUE)*100,"")</f>
        <v/>
      </c>
    </row>
    <row r="9552" spans="1:12" x14ac:dyDescent="0.35">
      <c r="A9552" s="3"/>
      <c r="B9552" s="2"/>
      <c r="C9552" s="2"/>
      <c r="D9552" s="2" t="b">
        <f>IF(AND(NOT(ISBLANK(Table1[[#This Row],[Fetal Sex (Male, Female or Unknown)]])),ISNUMBER(Table1[[#This Row],[Birthweight (grams)]]),ISNUMBER(Table1[[#This Row],[Gestation (days)]])),TRUE,FALSE)</f>
        <v>0</v>
      </c>
      <c r="E9552" s="2" t="str">
        <f>IF(Table1[[#This Row],[Is Data Valid]]=TRUE,IF(Table1[[#This Row],[Fetal Sex (Male, Female or Unknown)]]="Male",Backend!$C$6,IF(Table1[[#This Row],[Fetal Sex (Male, Female or Unknown)]]="Female",Backend!$C$7,IF(Table1[[#This Row],[Fetal Sex (Male, Female or Unknown)]]="Unknown",Backend!$C$8,"Error"))),"")</f>
        <v/>
      </c>
      <c r="F9552" s="8" t="str">
        <f>IF(Table1[[#This Row],[Is Data Valid]]=TRUE,EXP(0.578+0.332*((Table1[[#This Row],[Gestation (days)]]+0.5)/7)-0.00354*((Table1[[#This Row],[Gestation (days)]]+0.5)/7)^2)*Table1[[#This Row],[BW40_3705]],"")</f>
        <v/>
      </c>
      <c r="G9552" s="2" t="str">
        <f>IF(Table1[[#This Row],[Is Data Valid]]=TRUE,((Table1[[#This Row],[Birthweight (grams)]]/Table1[[#This Row],[BW_GA]])-1)/(Backend!$B$4/100*Table1[[#This Row],[BW40_3705]]),"")</f>
        <v/>
      </c>
      <c r="H9552" s="7" t="str">
        <f>IF(Table1[[#This Row],[Is Data Valid]]=TRUE,((Table1[[#This Row],[Birthweight (grams)]]*0.9/Table1[[#This Row],[BW_GA]])-1)/(Backend!$B$4/100*Table1[[#This Row],[BW40_3705]]),"")</f>
        <v/>
      </c>
      <c r="I9552" s="7" t="str">
        <f>IF(Table1[[#This Row],[Is Data Valid]]=TRUE,((Table1[[#This Row],[Birthweight (grams)]]*1.1/Table1[[#This Row],[BW_GA]])-1)/(Backend!$B$4/100*Table1[[#This Row],[BW40_3705]]),"")</f>
        <v/>
      </c>
      <c r="J9552" s="7" t="str">
        <f>IF(Table1[[#This Row],[Is Data Valid]]=TRUE,_xlfn.NORM.S.DIST(Table1[[#This Row],[Birthweight Z-Score]],TRUE)*100,"")</f>
        <v/>
      </c>
      <c r="K9552" s="7" t="str">
        <f>IF(Table1[[#This Row],[Is Data Valid]]=TRUE,_xlfn.NORM.S.DIST(Table1[[#This Row],[Birthweight Z-Score (BW-10%)]],TRUE)*100,"")</f>
        <v/>
      </c>
      <c r="L9552" s="7" t="str">
        <f>IF(Table1[[#This Row],[Is Data Valid]]=TRUE,_xlfn.NORM.S.DIST(Table1[[#This Row],[Birthweight Z-Score (BW+10%)]],TRUE)*100,"")</f>
        <v/>
      </c>
    </row>
    <row r="9553" spans="1:12" x14ac:dyDescent="0.35">
      <c r="A9553" s="3"/>
      <c r="B9553" s="2"/>
      <c r="C9553" s="2"/>
      <c r="D9553" s="2" t="b">
        <f>IF(AND(NOT(ISBLANK(Table1[[#This Row],[Fetal Sex (Male, Female or Unknown)]])),ISNUMBER(Table1[[#This Row],[Birthweight (grams)]]),ISNUMBER(Table1[[#This Row],[Gestation (days)]])),TRUE,FALSE)</f>
        <v>0</v>
      </c>
      <c r="E9553" s="2" t="str">
        <f>IF(Table1[[#This Row],[Is Data Valid]]=TRUE,IF(Table1[[#This Row],[Fetal Sex (Male, Female or Unknown)]]="Male",Backend!$C$6,IF(Table1[[#This Row],[Fetal Sex (Male, Female or Unknown)]]="Female",Backend!$C$7,IF(Table1[[#This Row],[Fetal Sex (Male, Female or Unknown)]]="Unknown",Backend!$C$8,"Error"))),"")</f>
        <v/>
      </c>
      <c r="F9553" s="8" t="str">
        <f>IF(Table1[[#This Row],[Is Data Valid]]=TRUE,EXP(0.578+0.332*((Table1[[#This Row],[Gestation (days)]]+0.5)/7)-0.00354*((Table1[[#This Row],[Gestation (days)]]+0.5)/7)^2)*Table1[[#This Row],[BW40_3705]],"")</f>
        <v/>
      </c>
      <c r="G9553" s="2" t="str">
        <f>IF(Table1[[#This Row],[Is Data Valid]]=TRUE,((Table1[[#This Row],[Birthweight (grams)]]/Table1[[#This Row],[BW_GA]])-1)/(Backend!$B$4/100*Table1[[#This Row],[BW40_3705]]),"")</f>
        <v/>
      </c>
      <c r="H9553" s="7" t="str">
        <f>IF(Table1[[#This Row],[Is Data Valid]]=TRUE,((Table1[[#This Row],[Birthweight (grams)]]*0.9/Table1[[#This Row],[BW_GA]])-1)/(Backend!$B$4/100*Table1[[#This Row],[BW40_3705]]),"")</f>
        <v/>
      </c>
      <c r="I9553" s="7" t="str">
        <f>IF(Table1[[#This Row],[Is Data Valid]]=TRUE,((Table1[[#This Row],[Birthweight (grams)]]*1.1/Table1[[#This Row],[BW_GA]])-1)/(Backend!$B$4/100*Table1[[#This Row],[BW40_3705]]),"")</f>
        <v/>
      </c>
      <c r="J9553" s="7" t="str">
        <f>IF(Table1[[#This Row],[Is Data Valid]]=TRUE,_xlfn.NORM.S.DIST(Table1[[#This Row],[Birthweight Z-Score]],TRUE)*100,"")</f>
        <v/>
      </c>
      <c r="K9553" s="7" t="str">
        <f>IF(Table1[[#This Row],[Is Data Valid]]=TRUE,_xlfn.NORM.S.DIST(Table1[[#This Row],[Birthweight Z-Score (BW-10%)]],TRUE)*100,"")</f>
        <v/>
      </c>
      <c r="L9553" s="7" t="str">
        <f>IF(Table1[[#This Row],[Is Data Valid]]=TRUE,_xlfn.NORM.S.DIST(Table1[[#This Row],[Birthweight Z-Score (BW+10%)]],TRUE)*100,"")</f>
        <v/>
      </c>
    </row>
    <row r="9554" spans="1:12" x14ac:dyDescent="0.35">
      <c r="A9554" s="3"/>
      <c r="B9554" s="2"/>
      <c r="C9554" s="2"/>
      <c r="D9554" s="2" t="b">
        <f>IF(AND(NOT(ISBLANK(Table1[[#This Row],[Fetal Sex (Male, Female or Unknown)]])),ISNUMBER(Table1[[#This Row],[Birthweight (grams)]]),ISNUMBER(Table1[[#This Row],[Gestation (days)]])),TRUE,FALSE)</f>
        <v>0</v>
      </c>
      <c r="E9554" s="2" t="str">
        <f>IF(Table1[[#This Row],[Is Data Valid]]=TRUE,IF(Table1[[#This Row],[Fetal Sex (Male, Female or Unknown)]]="Male",Backend!$C$6,IF(Table1[[#This Row],[Fetal Sex (Male, Female or Unknown)]]="Female",Backend!$C$7,IF(Table1[[#This Row],[Fetal Sex (Male, Female or Unknown)]]="Unknown",Backend!$C$8,"Error"))),"")</f>
        <v/>
      </c>
      <c r="F9554" s="8" t="str">
        <f>IF(Table1[[#This Row],[Is Data Valid]]=TRUE,EXP(0.578+0.332*((Table1[[#This Row],[Gestation (days)]]+0.5)/7)-0.00354*((Table1[[#This Row],[Gestation (days)]]+0.5)/7)^2)*Table1[[#This Row],[BW40_3705]],"")</f>
        <v/>
      </c>
      <c r="G9554" s="2" t="str">
        <f>IF(Table1[[#This Row],[Is Data Valid]]=TRUE,((Table1[[#This Row],[Birthweight (grams)]]/Table1[[#This Row],[BW_GA]])-1)/(Backend!$B$4/100*Table1[[#This Row],[BW40_3705]]),"")</f>
        <v/>
      </c>
      <c r="H9554" s="7" t="str">
        <f>IF(Table1[[#This Row],[Is Data Valid]]=TRUE,((Table1[[#This Row],[Birthweight (grams)]]*0.9/Table1[[#This Row],[BW_GA]])-1)/(Backend!$B$4/100*Table1[[#This Row],[BW40_3705]]),"")</f>
        <v/>
      </c>
      <c r="I9554" s="7" t="str">
        <f>IF(Table1[[#This Row],[Is Data Valid]]=TRUE,((Table1[[#This Row],[Birthweight (grams)]]*1.1/Table1[[#This Row],[BW_GA]])-1)/(Backend!$B$4/100*Table1[[#This Row],[BW40_3705]]),"")</f>
        <v/>
      </c>
      <c r="J9554" s="7" t="str">
        <f>IF(Table1[[#This Row],[Is Data Valid]]=TRUE,_xlfn.NORM.S.DIST(Table1[[#This Row],[Birthweight Z-Score]],TRUE)*100,"")</f>
        <v/>
      </c>
      <c r="K9554" s="7" t="str">
        <f>IF(Table1[[#This Row],[Is Data Valid]]=TRUE,_xlfn.NORM.S.DIST(Table1[[#This Row],[Birthweight Z-Score (BW-10%)]],TRUE)*100,"")</f>
        <v/>
      </c>
      <c r="L9554" s="7" t="str">
        <f>IF(Table1[[#This Row],[Is Data Valid]]=TRUE,_xlfn.NORM.S.DIST(Table1[[#This Row],[Birthweight Z-Score (BW+10%)]],TRUE)*100,"")</f>
        <v/>
      </c>
    </row>
    <row r="9555" spans="1:12" x14ac:dyDescent="0.35">
      <c r="A9555" s="3"/>
      <c r="B9555" s="2"/>
      <c r="C9555" s="2"/>
      <c r="D9555" s="2" t="b">
        <f>IF(AND(NOT(ISBLANK(Table1[[#This Row],[Fetal Sex (Male, Female or Unknown)]])),ISNUMBER(Table1[[#This Row],[Birthweight (grams)]]),ISNUMBER(Table1[[#This Row],[Gestation (days)]])),TRUE,FALSE)</f>
        <v>0</v>
      </c>
      <c r="E9555" s="2" t="str">
        <f>IF(Table1[[#This Row],[Is Data Valid]]=TRUE,IF(Table1[[#This Row],[Fetal Sex (Male, Female or Unknown)]]="Male",Backend!$C$6,IF(Table1[[#This Row],[Fetal Sex (Male, Female or Unknown)]]="Female",Backend!$C$7,IF(Table1[[#This Row],[Fetal Sex (Male, Female or Unknown)]]="Unknown",Backend!$C$8,"Error"))),"")</f>
        <v/>
      </c>
      <c r="F9555" s="8" t="str">
        <f>IF(Table1[[#This Row],[Is Data Valid]]=TRUE,EXP(0.578+0.332*((Table1[[#This Row],[Gestation (days)]]+0.5)/7)-0.00354*((Table1[[#This Row],[Gestation (days)]]+0.5)/7)^2)*Table1[[#This Row],[BW40_3705]],"")</f>
        <v/>
      </c>
      <c r="G9555" s="2" t="str">
        <f>IF(Table1[[#This Row],[Is Data Valid]]=TRUE,((Table1[[#This Row],[Birthweight (grams)]]/Table1[[#This Row],[BW_GA]])-1)/(Backend!$B$4/100*Table1[[#This Row],[BW40_3705]]),"")</f>
        <v/>
      </c>
      <c r="H9555" s="7" t="str">
        <f>IF(Table1[[#This Row],[Is Data Valid]]=TRUE,((Table1[[#This Row],[Birthweight (grams)]]*0.9/Table1[[#This Row],[BW_GA]])-1)/(Backend!$B$4/100*Table1[[#This Row],[BW40_3705]]),"")</f>
        <v/>
      </c>
      <c r="I9555" s="7" t="str">
        <f>IF(Table1[[#This Row],[Is Data Valid]]=TRUE,((Table1[[#This Row],[Birthweight (grams)]]*1.1/Table1[[#This Row],[BW_GA]])-1)/(Backend!$B$4/100*Table1[[#This Row],[BW40_3705]]),"")</f>
        <v/>
      </c>
      <c r="J9555" s="7" t="str">
        <f>IF(Table1[[#This Row],[Is Data Valid]]=TRUE,_xlfn.NORM.S.DIST(Table1[[#This Row],[Birthweight Z-Score]],TRUE)*100,"")</f>
        <v/>
      </c>
      <c r="K9555" s="7" t="str">
        <f>IF(Table1[[#This Row],[Is Data Valid]]=TRUE,_xlfn.NORM.S.DIST(Table1[[#This Row],[Birthweight Z-Score (BW-10%)]],TRUE)*100,"")</f>
        <v/>
      </c>
      <c r="L9555" s="7" t="str">
        <f>IF(Table1[[#This Row],[Is Data Valid]]=TRUE,_xlfn.NORM.S.DIST(Table1[[#This Row],[Birthweight Z-Score (BW+10%)]],TRUE)*100,"")</f>
        <v/>
      </c>
    </row>
    <row r="9556" spans="1:12" x14ac:dyDescent="0.35">
      <c r="A9556" s="3"/>
      <c r="B9556" s="2"/>
      <c r="C9556" s="2"/>
      <c r="D9556" s="2" t="b">
        <f>IF(AND(NOT(ISBLANK(Table1[[#This Row],[Fetal Sex (Male, Female or Unknown)]])),ISNUMBER(Table1[[#This Row],[Birthweight (grams)]]),ISNUMBER(Table1[[#This Row],[Gestation (days)]])),TRUE,FALSE)</f>
        <v>0</v>
      </c>
      <c r="E9556" s="2" t="str">
        <f>IF(Table1[[#This Row],[Is Data Valid]]=TRUE,IF(Table1[[#This Row],[Fetal Sex (Male, Female or Unknown)]]="Male",Backend!$C$6,IF(Table1[[#This Row],[Fetal Sex (Male, Female or Unknown)]]="Female",Backend!$C$7,IF(Table1[[#This Row],[Fetal Sex (Male, Female or Unknown)]]="Unknown",Backend!$C$8,"Error"))),"")</f>
        <v/>
      </c>
      <c r="F9556" s="8" t="str">
        <f>IF(Table1[[#This Row],[Is Data Valid]]=TRUE,EXP(0.578+0.332*((Table1[[#This Row],[Gestation (days)]]+0.5)/7)-0.00354*((Table1[[#This Row],[Gestation (days)]]+0.5)/7)^2)*Table1[[#This Row],[BW40_3705]],"")</f>
        <v/>
      </c>
      <c r="G9556" s="2" t="str">
        <f>IF(Table1[[#This Row],[Is Data Valid]]=TRUE,((Table1[[#This Row],[Birthweight (grams)]]/Table1[[#This Row],[BW_GA]])-1)/(Backend!$B$4/100*Table1[[#This Row],[BW40_3705]]),"")</f>
        <v/>
      </c>
      <c r="H9556" s="7" t="str">
        <f>IF(Table1[[#This Row],[Is Data Valid]]=TRUE,((Table1[[#This Row],[Birthweight (grams)]]*0.9/Table1[[#This Row],[BW_GA]])-1)/(Backend!$B$4/100*Table1[[#This Row],[BW40_3705]]),"")</f>
        <v/>
      </c>
      <c r="I9556" s="7" t="str">
        <f>IF(Table1[[#This Row],[Is Data Valid]]=TRUE,((Table1[[#This Row],[Birthweight (grams)]]*1.1/Table1[[#This Row],[BW_GA]])-1)/(Backend!$B$4/100*Table1[[#This Row],[BW40_3705]]),"")</f>
        <v/>
      </c>
      <c r="J9556" s="7" t="str">
        <f>IF(Table1[[#This Row],[Is Data Valid]]=TRUE,_xlfn.NORM.S.DIST(Table1[[#This Row],[Birthweight Z-Score]],TRUE)*100,"")</f>
        <v/>
      </c>
      <c r="K9556" s="7" t="str">
        <f>IF(Table1[[#This Row],[Is Data Valid]]=TRUE,_xlfn.NORM.S.DIST(Table1[[#This Row],[Birthweight Z-Score (BW-10%)]],TRUE)*100,"")</f>
        <v/>
      </c>
      <c r="L9556" s="7" t="str">
        <f>IF(Table1[[#This Row],[Is Data Valid]]=TRUE,_xlfn.NORM.S.DIST(Table1[[#This Row],[Birthweight Z-Score (BW+10%)]],TRUE)*100,"")</f>
        <v/>
      </c>
    </row>
    <row r="9557" spans="1:12" x14ac:dyDescent="0.35">
      <c r="A9557" s="3"/>
      <c r="B9557" s="2"/>
      <c r="C9557" s="2"/>
      <c r="D9557" s="2" t="b">
        <f>IF(AND(NOT(ISBLANK(Table1[[#This Row],[Fetal Sex (Male, Female or Unknown)]])),ISNUMBER(Table1[[#This Row],[Birthweight (grams)]]),ISNUMBER(Table1[[#This Row],[Gestation (days)]])),TRUE,FALSE)</f>
        <v>0</v>
      </c>
      <c r="E9557" s="2" t="str">
        <f>IF(Table1[[#This Row],[Is Data Valid]]=TRUE,IF(Table1[[#This Row],[Fetal Sex (Male, Female or Unknown)]]="Male",Backend!$C$6,IF(Table1[[#This Row],[Fetal Sex (Male, Female or Unknown)]]="Female",Backend!$C$7,IF(Table1[[#This Row],[Fetal Sex (Male, Female or Unknown)]]="Unknown",Backend!$C$8,"Error"))),"")</f>
        <v/>
      </c>
      <c r="F9557" s="8" t="str">
        <f>IF(Table1[[#This Row],[Is Data Valid]]=TRUE,EXP(0.578+0.332*((Table1[[#This Row],[Gestation (days)]]+0.5)/7)-0.00354*((Table1[[#This Row],[Gestation (days)]]+0.5)/7)^2)*Table1[[#This Row],[BW40_3705]],"")</f>
        <v/>
      </c>
      <c r="G9557" s="2" t="str">
        <f>IF(Table1[[#This Row],[Is Data Valid]]=TRUE,((Table1[[#This Row],[Birthweight (grams)]]/Table1[[#This Row],[BW_GA]])-1)/(Backend!$B$4/100*Table1[[#This Row],[BW40_3705]]),"")</f>
        <v/>
      </c>
      <c r="H9557" s="7" t="str">
        <f>IF(Table1[[#This Row],[Is Data Valid]]=TRUE,((Table1[[#This Row],[Birthweight (grams)]]*0.9/Table1[[#This Row],[BW_GA]])-1)/(Backend!$B$4/100*Table1[[#This Row],[BW40_3705]]),"")</f>
        <v/>
      </c>
      <c r="I9557" s="7" t="str">
        <f>IF(Table1[[#This Row],[Is Data Valid]]=TRUE,((Table1[[#This Row],[Birthweight (grams)]]*1.1/Table1[[#This Row],[BW_GA]])-1)/(Backend!$B$4/100*Table1[[#This Row],[BW40_3705]]),"")</f>
        <v/>
      </c>
      <c r="J9557" s="7" t="str">
        <f>IF(Table1[[#This Row],[Is Data Valid]]=TRUE,_xlfn.NORM.S.DIST(Table1[[#This Row],[Birthweight Z-Score]],TRUE)*100,"")</f>
        <v/>
      </c>
      <c r="K9557" s="7" t="str">
        <f>IF(Table1[[#This Row],[Is Data Valid]]=TRUE,_xlfn.NORM.S.DIST(Table1[[#This Row],[Birthweight Z-Score (BW-10%)]],TRUE)*100,"")</f>
        <v/>
      </c>
      <c r="L9557" s="7" t="str">
        <f>IF(Table1[[#This Row],[Is Data Valid]]=TRUE,_xlfn.NORM.S.DIST(Table1[[#This Row],[Birthweight Z-Score (BW+10%)]],TRUE)*100,"")</f>
        <v/>
      </c>
    </row>
    <row r="9558" spans="1:12" x14ac:dyDescent="0.35">
      <c r="A9558" s="3"/>
      <c r="B9558" s="2"/>
      <c r="C9558" s="2"/>
      <c r="D9558" s="2" t="b">
        <f>IF(AND(NOT(ISBLANK(Table1[[#This Row],[Fetal Sex (Male, Female or Unknown)]])),ISNUMBER(Table1[[#This Row],[Birthweight (grams)]]),ISNUMBER(Table1[[#This Row],[Gestation (days)]])),TRUE,FALSE)</f>
        <v>0</v>
      </c>
      <c r="E9558" s="2" t="str">
        <f>IF(Table1[[#This Row],[Is Data Valid]]=TRUE,IF(Table1[[#This Row],[Fetal Sex (Male, Female or Unknown)]]="Male",Backend!$C$6,IF(Table1[[#This Row],[Fetal Sex (Male, Female or Unknown)]]="Female",Backend!$C$7,IF(Table1[[#This Row],[Fetal Sex (Male, Female or Unknown)]]="Unknown",Backend!$C$8,"Error"))),"")</f>
        <v/>
      </c>
      <c r="F9558" s="8" t="str">
        <f>IF(Table1[[#This Row],[Is Data Valid]]=TRUE,EXP(0.578+0.332*((Table1[[#This Row],[Gestation (days)]]+0.5)/7)-0.00354*((Table1[[#This Row],[Gestation (days)]]+0.5)/7)^2)*Table1[[#This Row],[BW40_3705]],"")</f>
        <v/>
      </c>
      <c r="G9558" s="2" t="str">
        <f>IF(Table1[[#This Row],[Is Data Valid]]=TRUE,((Table1[[#This Row],[Birthweight (grams)]]/Table1[[#This Row],[BW_GA]])-1)/(Backend!$B$4/100*Table1[[#This Row],[BW40_3705]]),"")</f>
        <v/>
      </c>
      <c r="H9558" s="7" t="str">
        <f>IF(Table1[[#This Row],[Is Data Valid]]=TRUE,((Table1[[#This Row],[Birthweight (grams)]]*0.9/Table1[[#This Row],[BW_GA]])-1)/(Backend!$B$4/100*Table1[[#This Row],[BW40_3705]]),"")</f>
        <v/>
      </c>
      <c r="I9558" s="7" t="str">
        <f>IF(Table1[[#This Row],[Is Data Valid]]=TRUE,((Table1[[#This Row],[Birthweight (grams)]]*1.1/Table1[[#This Row],[BW_GA]])-1)/(Backend!$B$4/100*Table1[[#This Row],[BW40_3705]]),"")</f>
        <v/>
      </c>
      <c r="J9558" s="7" t="str">
        <f>IF(Table1[[#This Row],[Is Data Valid]]=TRUE,_xlfn.NORM.S.DIST(Table1[[#This Row],[Birthweight Z-Score]],TRUE)*100,"")</f>
        <v/>
      </c>
      <c r="K9558" s="7" t="str">
        <f>IF(Table1[[#This Row],[Is Data Valid]]=TRUE,_xlfn.NORM.S.DIST(Table1[[#This Row],[Birthweight Z-Score (BW-10%)]],TRUE)*100,"")</f>
        <v/>
      </c>
      <c r="L9558" s="7" t="str">
        <f>IF(Table1[[#This Row],[Is Data Valid]]=TRUE,_xlfn.NORM.S.DIST(Table1[[#This Row],[Birthweight Z-Score (BW+10%)]],TRUE)*100,"")</f>
        <v/>
      </c>
    </row>
    <row r="9559" spans="1:12" x14ac:dyDescent="0.35">
      <c r="A9559" s="3"/>
      <c r="B9559" s="2"/>
      <c r="C9559" s="2"/>
      <c r="D9559" s="2" t="b">
        <f>IF(AND(NOT(ISBLANK(Table1[[#This Row],[Fetal Sex (Male, Female or Unknown)]])),ISNUMBER(Table1[[#This Row],[Birthweight (grams)]]),ISNUMBER(Table1[[#This Row],[Gestation (days)]])),TRUE,FALSE)</f>
        <v>0</v>
      </c>
      <c r="E9559" s="2" t="str">
        <f>IF(Table1[[#This Row],[Is Data Valid]]=TRUE,IF(Table1[[#This Row],[Fetal Sex (Male, Female or Unknown)]]="Male",Backend!$C$6,IF(Table1[[#This Row],[Fetal Sex (Male, Female or Unknown)]]="Female",Backend!$C$7,IF(Table1[[#This Row],[Fetal Sex (Male, Female or Unknown)]]="Unknown",Backend!$C$8,"Error"))),"")</f>
        <v/>
      </c>
      <c r="F9559" s="8" t="str">
        <f>IF(Table1[[#This Row],[Is Data Valid]]=TRUE,EXP(0.578+0.332*((Table1[[#This Row],[Gestation (days)]]+0.5)/7)-0.00354*((Table1[[#This Row],[Gestation (days)]]+0.5)/7)^2)*Table1[[#This Row],[BW40_3705]],"")</f>
        <v/>
      </c>
      <c r="G9559" s="2" t="str">
        <f>IF(Table1[[#This Row],[Is Data Valid]]=TRUE,((Table1[[#This Row],[Birthweight (grams)]]/Table1[[#This Row],[BW_GA]])-1)/(Backend!$B$4/100*Table1[[#This Row],[BW40_3705]]),"")</f>
        <v/>
      </c>
      <c r="H9559" s="7" t="str">
        <f>IF(Table1[[#This Row],[Is Data Valid]]=TRUE,((Table1[[#This Row],[Birthweight (grams)]]*0.9/Table1[[#This Row],[BW_GA]])-1)/(Backend!$B$4/100*Table1[[#This Row],[BW40_3705]]),"")</f>
        <v/>
      </c>
      <c r="I9559" s="7" t="str">
        <f>IF(Table1[[#This Row],[Is Data Valid]]=TRUE,((Table1[[#This Row],[Birthweight (grams)]]*1.1/Table1[[#This Row],[BW_GA]])-1)/(Backend!$B$4/100*Table1[[#This Row],[BW40_3705]]),"")</f>
        <v/>
      </c>
      <c r="J9559" s="7" t="str">
        <f>IF(Table1[[#This Row],[Is Data Valid]]=TRUE,_xlfn.NORM.S.DIST(Table1[[#This Row],[Birthweight Z-Score]],TRUE)*100,"")</f>
        <v/>
      </c>
      <c r="K9559" s="7" t="str">
        <f>IF(Table1[[#This Row],[Is Data Valid]]=TRUE,_xlfn.NORM.S.DIST(Table1[[#This Row],[Birthweight Z-Score (BW-10%)]],TRUE)*100,"")</f>
        <v/>
      </c>
      <c r="L9559" s="7" t="str">
        <f>IF(Table1[[#This Row],[Is Data Valid]]=TRUE,_xlfn.NORM.S.DIST(Table1[[#This Row],[Birthweight Z-Score (BW+10%)]],TRUE)*100,"")</f>
        <v/>
      </c>
    </row>
    <row r="9560" spans="1:12" x14ac:dyDescent="0.35">
      <c r="A9560" s="3"/>
      <c r="B9560" s="2"/>
      <c r="C9560" s="2"/>
      <c r="D9560" s="2" t="b">
        <f>IF(AND(NOT(ISBLANK(Table1[[#This Row],[Fetal Sex (Male, Female or Unknown)]])),ISNUMBER(Table1[[#This Row],[Birthweight (grams)]]),ISNUMBER(Table1[[#This Row],[Gestation (days)]])),TRUE,FALSE)</f>
        <v>0</v>
      </c>
      <c r="E9560" s="2" t="str">
        <f>IF(Table1[[#This Row],[Is Data Valid]]=TRUE,IF(Table1[[#This Row],[Fetal Sex (Male, Female or Unknown)]]="Male",Backend!$C$6,IF(Table1[[#This Row],[Fetal Sex (Male, Female or Unknown)]]="Female",Backend!$C$7,IF(Table1[[#This Row],[Fetal Sex (Male, Female or Unknown)]]="Unknown",Backend!$C$8,"Error"))),"")</f>
        <v/>
      </c>
      <c r="F9560" s="8" t="str">
        <f>IF(Table1[[#This Row],[Is Data Valid]]=TRUE,EXP(0.578+0.332*((Table1[[#This Row],[Gestation (days)]]+0.5)/7)-0.00354*((Table1[[#This Row],[Gestation (days)]]+0.5)/7)^2)*Table1[[#This Row],[BW40_3705]],"")</f>
        <v/>
      </c>
      <c r="G9560" s="2" t="str">
        <f>IF(Table1[[#This Row],[Is Data Valid]]=TRUE,((Table1[[#This Row],[Birthweight (grams)]]/Table1[[#This Row],[BW_GA]])-1)/(Backend!$B$4/100*Table1[[#This Row],[BW40_3705]]),"")</f>
        <v/>
      </c>
      <c r="H9560" s="7" t="str">
        <f>IF(Table1[[#This Row],[Is Data Valid]]=TRUE,((Table1[[#This Row],[Birthweight (grams)]]*0.9/Table1[[#This Row],[BW_GA]])-1)/(Backend!$B$4/100*Table1[[#This Row],[BW40_3705]]),"")</f>
        <v/>
      </c>
      <c r="I9560" s="7" t="str">
        <f>IF(Table1[[#This Row],[Is Data Valid]]=TRUE,((Table1[[#This Row],[Birthweight (grams)]]*1.1/Table1[[#This Row],[BW_GA]])-1)/(Backend!$B$4/100*Table1[[#This Row],[BW40_3705]]),"")</f>
        <v/>
      </c>
      <c r="J9560" s="7" t="str">
        <f>IF(Table1[[#This Row],[Is Data Valid]]=TRUE,_xlfn.NORM.S.DIST(Table1[[#This Row],[Birthweight Z-Score]],TRUE)*100,"")</f>
        <v/>
      </c>
      <c r="K9560" s="7" t="str">
        <f>IF(Table1[[#This Row],[Is Data Valid]]=TRUE,_xlfn.NORM.S.DIST(Table1[[#This Row],[Birthweight Z-Score (BW-10%)]],TRUE)*100,"")</f>
        <v/>
      </c>
      <c r="L9560" s="7" t="str">
        <f>IF(Table1[[#This Row],[Is Data Valid]]=TRUE,_xlfn.NORM.S.DIST(Table1[[#This Row],[Birthweight Z-Score (BW+10%)]],TRUE)*100,"")</f>
        <v/>
      </c>
    </row>
    <row r="9561" spans="1:12" x14ac:dyDescent="0.35">
      <c r="A9561" s="3"/>
      <c r="B9561" s="2"/>
      <c r="C9561" s="2"/>
      <c r="D9561" s="2" t="b">
        <f>IF(AND(NOT(ISBLANK(Table1[[#This Row],[Fetal Sex (Male, Female or Unknown)]])),ISNUMBER(Table1[[#This Row],[Birthweight (grams)]]),ISNUMBER(Table1[[#This Row],[Gestation (days)]])),TRUE,FALSE)</f>
        <v>0</v>
      </c>
      <c r="E9561" s="2" t="str">
        <f>IF(Table1[[#This Row],[Is Data Valid]]=TRUE,IF(Table1[[#This Row],[Fetal Sex (Male, Female or Unknown)]]="Male",Backend!$C$6,IF(Table1[[#This Row],[Fetal Sex (Male, Female or Unknown)]]="Female",Backend!$C$7,IF(Table1[[#This Row],[Fetal Sex (Male, Female or Unknown)]]="Unknown",Backend!$C$8,"Error"))),"")</f>
        <v/>
      </c>
      <c r="F9561" s="8" t="str">
        <f>IF(Table1[[#This Row],[Is Data Valid]]=TRUE,EXP(0.578+0.332*((Table1[[#This Row],[Gestation (days)]]+0.5)/7)-0.00354*((Table1[[#This Row],[Gestation (days)]]+0.5)/7)^2)*Table1[[#This Row],[BW40_3705]],"")</f>
        <v/>
      </c>
      <c r="G9561" s="2" t="str">
        <f>IF(Table1[[#This Row],[Is Data Valid]]=TRUE,((Table1[[#This Row],[Birthweight (grams)]]/Table1[[#This Row],[BW_GA]])-1)/(Backend!$B$4/100*Table1[[#This Row],[BW40_3705]]),"")</f>
        <v/>
      </c>
      <c r="H9561" s="7" t="str">
        <f>IF(Table1[[#This Row],[Is Data Valid]]=TRUE,((Table1[[#This Row],[Birthweight (grams)]]*0.9/Table1[[#This Row],[BW_GA]])-1)/(Backend!$B$4/100*Table1[[#This Row],[BW40_3705]]),"")</f>
        <v/>
      </c>
      <c r="I9561" s="7" t="str">
        <f>IF(Table1[[#This Row],[Is Data Valid]]=TRUE,((Table1[[#This Row],[Birthweight (grams)]]*1.1/Table1[[#This Row],[BW_GA]])-1)/(Backend!$B$4/100*Table1[[#This Row],[BW40_3705]]),"")</f>
        <v/>
      </c>
      <c r="J9561" s="7" t="str">
        <f>IF(Table1[[#This Row],[Is Data Valid]]=TRUE,_xlfn.NORM.S.DIST(Table1[[#This Row],[Birthweight Z-Score]],TRUE)*100,"")</f>
        <v/>
      </c>
      <c r="K9561" s="7" t="str">
        <f>IF(Table1[[#This Row],[Is Data Valid]]=TRUE,_xlfn.NORM.S.DIST(Table1[[#This Row],[Birthweight Z-Score (BW-10%)]],TRUE)*100,"")</f>
        <v/>
      </c>
      <c r="L9561" s="7" t="str">
        <f>IF(Table1[[#This Row],[Is Data Valid]]=TRUE,_xlfn.NORM.S.DIST(Table1[[#This Row],[Birthweight Z-Score (BW+10%)]],TRUE)*100,"")</f>
        <v/>
      </c>
    </row>
    <row r="9562" spans="1:12" x14ac:dyDescent="0.35">
      <c r="A9562" s="3"/>
      <c r="B9562" s="2"/>
      <c r="C9562" s="2"/>
      <c r="D9562" s="2" t="b">
        <f>IF(AND(NOT(ISBLANK(Table1[[#This Row],[Fetal Sex (Male, Female or Unknown)]])),ISNUMBER(Table1[[#This Row],[Birthweight (grams)]]),ISNUMBER(Table1[[#This Row],[Gestation (days)]])),TRUE,FALSE)</f>
        <v>0</v>
      </c>
      <c r="E9562" s="2" t="str">
        <f>IF(Table1[[#This Row],[Is Data Valid]]=TRUE,IF(Table1[[#This Row],[Fetal Sex (Male, Female or Unknown)]]="Male",Backend!$C$6,IF(Table1[[#This Row],[Fetal Sex (Male, Female or Unknown)]]="Female",Backend!$C$7,IF(Table1[[#This Row],[Fetal Sex (Male, Female or Unknown)]]="Unknown",Backend!$C$8,"Error"))),"")</f>
        <v/>
      </c>
      <c r="F9562" s="8" t="str">
        <f>IF(Table1[[#This Row],[Is Data Valid]]=TRUE,EXP(0.578+0.332*((Table1[[#This Row],[Gestation (days)]]+0.5)/7)-0.00354*((Table1[[#This Row],[Gestation (days)]]+0.5)/7)^2)*Table1[[#This Row],[BW40_3705]],"")</f>
        <v/>
      </c>
      <c r="G9562" s="2" t="str">
        <f>IF(Table1[[#This Row],[Is Data Valid]]=TRUE,((Table1[[#This Row],[Birthweight (grams)]]/Table1[[#This Row],[BW_GA]])-1)/(Backend!$B$4/100*Table1[[#This Row],[BW40_3705]]),"")</f>
        <v/>
      </c>
      <c r="H9562" s="7" t="str">
        <f>IF(Table1[[#This Row],[Is Data Valid]]=TRUE,((Table1[[#This Row],[Birthweight (grams)]]*0.9/Table1[[#This Row],[BW_GA]])-1)/(Backend!$B$4/100*Table1[[#This Row],[BW40_3705]]),"")</f>
        <v/>
      </c>
      <c r="I9562" s="7" t="str">
        <f>IF(Table1[[#This Row],[Is Data Valid]]=TRUE,((Table1[[#This Row],[Birthweight (grams)]]*1.1/Table1[[#This Row],[BW_GA]])-1)/(Backend!$B$4/100*Table1[[#This Row],[BW40_3705]]),"")</f>
        <v/>
      </c>
      <c r="J9562" s="7" t="str">
        <f>IF(Table1[[#This Row],[Is Data Valid]]=TRUE,_xlfn.NORM.S.DIST(Table1[[#This Row],[Birthweight Z-Score]],TRUE)*100,"")</f>
        <v/>
      </c>
      <c r="K9562" s="7" t="str">
        <f>IF(Table1[[#This Row],[Is Data Valid]]=TRUE,_xlfn.NORM.S.DIST(Table1[[#This Row],[Birthweight Z-Score (BW-10%)]],TRUE)*100,"")</f>
        <v/>
      </c>
      <c r="L9562" s="7" t="str">
        <f>IF(Table1[[#This Row],[Is Data Valid]]=TRUE,_xlfn.NORM.S.DIST(Table1[[#This Row],[Birthweight Z-Score (BW+10%)]],TRUE)*100,"")</f>
        <v/>
      </c>
    </row>
    <row r="9563" spans="1:12" x14ac:dyDescent="0.35">
      <c r="A9563" s="3"/>
      <c r="B9563" s="2"/>
      <c r="C9563" s="2"/>
      <c r="D9563" s="2" t="b">
        <f>IF(AND(NOT(ISBLANK(Table1[[#This Row],[Fetal Sex (Male, Female or Unknown)]])),ISNUMBER(Table1[[#This Row],[Birthweight (grams)]]),ISNUMBER(Table1[[#This Row],[Gestation (days)]])),TRUE,FALSE)</f>
        <v>0</v>
      </c>
      <c r="E9563" s="2" t="str">
        <f>IF(Table1[[#This Row],[Is Data Valid]]=TRUE,IF(Table1[[#This Row],[Fetal Sex (Male, Female or Unknown)]]="Male",Backend!$C$6,IF(Table1[[#This Row],[Fetal Sex (Male, Female or Unknown)]]="Female",Backend!$C$7,IF(Table1[[#This Row],[Fetal Sex (Male, Female or Unknown)]]="Unknown",Backend!$C$8,"Error"))),"")</f>
        <v/>
      </c>
      <c r="F9563" s="8" t="str">
        <f>IF(Table1[[#This Row],[Is Data Valid]]=TRUE,EXP(0.578+0.332*((Table1[[#This Row],[Gestation (days)]]+0.5)/7)-0.00354*((Table1[[#This Row],[Gestation (days)]]+0.5)/7)^2)*Table1[[#This Row],[BW40_3705]],"")</f>
        <v/>
      </c>
      <c r="G9563" s="2" t="str">
        <f>IF(Table1[[#This Row],[Is Data Valid]]=TRUE,((Table1[[#This Row],[Birthweight (grams)]]/Table1[[#This Row],[BW_GA]])-1)/(Backend!$B$4/100*Table1[[#This Row],[BW40_3705]]),"")</f>
        <v/>
      </c>
      <c r="H9563" s="7" t="str">
        <f>IF(Table1[[#This Row],[Is Data Valid]]=TRUE,((Table1[[#This Row],[Birthweight (grams)]]*0.9/Table1[[#This Row],[BW_GA]])-1)/(Backend!$B$4/100*Table1[[#This Row],[BW40_3705]]),"")</f>
        <v/>
      </c>
      <c r="I9563" s="7" t="str">
        <f>IF(Table1[[#This Row],[Is Data Valid]]=TRUE,((Table1[[#This Row],[Birthweight (grams)]]*1.1/Table1[[#This Row],[BW_GA]])-1)/(Backend!$B$4/100*Table1[[#This Row],[BW40_3705]]),"")</f>
        <v/>
      </c>
      <c r="J9563" s="7" t="str">
        <f>IF(Table1[[#This Row],[Is Data Valid]]=TRUE,_xlfn.NORM.S.DIST(Table1[[#This Row],[Birthweight Z-Score]],TRUE)*100,"")</f>
        <v/>
      </c>
      <c r="K9563" s="7" t="str">
        <f>IF(Table1[[#This Row],[Is Data Valid]]=TRUE,_xlfn.NORM.S.DIST(Table1[[#This Row],[Birthweight Z-Score (BW-10%)]],TRUE)*100,"")</f>
        <v/>
      </c>
      <c r="L9563" s="7" t="str">
        <f>IF(Table1[[#This Row],[Is Data Valid]]=TRUE,_xlfn.NORM.S.DIST(Table1[[#This Row],[Birthweight Z-Score (BW+10%)]],TRUE)*100,"")</f>
        <v/>
      </c>
    </row>
    <row r="9564" spans="1:12" x14ac:dyDescent="0.35">
      <c r="A9564" s="3"/>
      <c r="B9564" s="2"/>
      <c r="C9564" s="2"/>
      <c r="D9564" s="2" t="b">
        <f>IF(AND(NOT(ISBLANK(Table1[[#This Row],[Fetal Sex (Male, Female or Unknown)]])),ISNUMBER(Table1[[#This Row],[Birthweight (grams)]]),ISNUMBER(Table1[[#This Row],[Gestation (days)]])),TRUE,FALSE)</f>
        <v>0</v>
      </c>
      <c r="E9564" s="2" t="str">
        <f>IF(Table1[[#This Row],[Is Data Valid]]=TRUE,IF(Table1[[#This Row],[Fetal Sex (Male, Female or Unknown)]]="Male",Backend!$C$6,IF(Table1[[#This Row],[Fetal Sex (Male, Female or Unknown)]]="Female",Backend!$C$7,IF(Table1[[#This Row],[Fetal Sex (Male, Female or Unknown)]]="Unknown",Backend!$C$8,"Error"))),"")</f>
        <v/>
      </c>
      <c r="F9564" s="8" t="str">
        <f>IF(Table1[[#This Row],[Is Data Valid]]=TRUE,EXP(0.578+0.332*((Table1[[#This Row],[Gestation (days)]]+0.5)/7)-0.00354*((Table1[[#This Row],[Gestation (days)]]+0.5)/7)^2)*Table1[[#This Row],[BW40_3705]],"")</f>
        <v/>
      </c>
      <c r="G9564" s="2" t="str">
        <f>IF(Table1[[#This Row],[Is Data Valid]]=TRUE,((Table1[[#This Row],[Birthweight (grams)]]/Table1[[#This Row],[BW_GA]])-1)/(Backend!$B$4/100*Table1[[#This Row],[BW40_3705]]),"")</f>
        <v/>
      </c>
      <c r="H9564" s="7" t="str">
        <f>IF(Table1[[#This Row],[Is Data Valid]]=TRUE,((Table1[[#This Row],[Birthweight (grams)]]*0.9/Table1[[#This Row],[BW_GA]])-1)/(Backend!$B$4/100*Table1[[#This Row],[BW40_3705]]),"")</f>
        <v/>
      </c>
      <c r="I9564" s="7" t="str">
        <f>IF(Table1[[#This Row],[Is Data Valid]]=TRUE,((Table1[[#This Row],[Birthweight (grams)]]*1.1/Table1[[#This Row],[BW_GA]])-1)/(Backend!$B$4/100*Table1[[#This Row],[BW40_3705]]),"")</f>
        <v/>
      </c>
      <c r="J9564" s="7" t="str">
        <f>IF(Table1[[#This Row],[Is Data Valid]]=TRUE,_xlfn.NORM.S.DIST(Table1[[#This Row],[Birthweight Z-Score]],TRUE)*100,"")</f>
        <v/>
      </c>
      <c r="K9564" s="7" t="str">
        <f>IF(Table1[[#This Row],[Is Data Valid]]=TRUE,_xlfn.NORM.S.DIST(Table1[[#This Row],[Birthweight Z-Score (BW-10%)]],TRUE)*100,"")</f>
        <v/>
      </c>
      <c r="L9564" s="7" t="str">
        <f>IF(Table1[[#This Row],[Is Data Valid]]=TRUE,_xlfn.NORM.S.DIST(Table1[[#This Row],[Birthweight Z-Score (BW+10%)]],TRUE)*100,"")</f>
        <v/>
      </c>
    </row>
    <row r="9565" spans="1:12" x14ac:dyDescent="0.35">
      <c r="A9565" s="3"/>
      <c r="B9565" s="2"/>
      <c r="C9565" s="2"/>
      <c r="D9565" s="2" t="b">
        <f>IF(AND(NOT(ISBLANK(Table1[[#This Row],[Fetal Sex (Male, Female or Unknown)]])),ISNUMBER(Table1[[#This Row],[Birthweight (grams)]]),ISNUMBER(Table1[[#This Row],[Gestation (days)]])),TRUE,FALSE)</f>
        <v>0</v>
      </c>
      <c r="E9565" s="2" t="str">
        <f>IF(Table1[[#This Row],[Is Data Valid]]=TRUE,IF(Table1[[#This Row],[Fetal Sex (Male, Female or Unknown)]]="Male",Backend!$C$6,IF(Table1[[#This Row],[Fetal Sex (Male, Female or Unknown)]]="Female",Backend!$C$7,IF(Table1[[#This Row],[Fetal Sex (Male, Female or Unknown)]]="Unknown",Backend!$C$8,"Error"))),"")</f>
        <v/>
      </c>
      <c r="F9565" s="8" t="str">
        <f>IF(Table1[[#This Row],[Is Data Valid]]=TRUE,EXP(0.578+0.332*((Table1[[#This Row],[Gestation (days)]]+0.5)/7)-0.00354*((Table1[[#This Row],[Gestation (days)]]+0.5)/7)^2)*Table1[[#This Row],[BW40_3705]],"")</f>
        <v/>
      </c>
      <c r="G9565" s="2" t="str">
        <f>IF(Table1[[#This Row],[Is Data Valid]]=TRUE,((Table1[[#This Row],[Birthweight (grams)]]/Table1[[#This Row],[BW_GA]])-1)/(Backend!$B$4/100*Table1[[#This Row],[BW40_3705]]),"")</f>
        <v/>
      </c>
      <c r="H9565" s="7" t="str">
        <f>IF(Table1[[#This Row],[Is Data Valid]]=TRUE,((Table1[[#This Row],[Birthweight (grams)]]*0.9/Table1[[#This Row],[BW_GA]])-1)/(Backend!$B$4/100*Table1[[#This Row],[BW40_3705]]),"")</f>
        <v/>
      </c>
      <c r="I9565" s="7" t="str">
        <f>IF(Table1[[#This Row],[Is Data Valid]]=TRUE,((Table1[[#This Row],[Birthweight (grams)]]*1.1/Table1[[#This Row],[BW_GA]])-1)/(Backend!$B$4/100*Table1[[#This Row],[BW40_3705]]),"")</f>
        <v/>
      </c>
      <c r="J9565" s="7" t="str">
        <f>IF(Table1[[#This Row],[Is Data Valid]]=TRUE,_xlfn.NORM.S.DIST(Table1[[#This Row],[Birthweight Z-Score]],TRUE)*100,"")</f>
        <v/>
      </c>
      <c r="K9565" s="7" t="str">
        <f>IF(Table1[[#This Row],[Is Data Valid]]=TRUE,_xlfn.NORM.S.DIST(Table1[[#This Row],[Birthweight Z-Score (BW-10%)]],TRUE)*100,"")</f>
        <v/>
      </c>
      <c r="L9565" s="7" t="str">
        <f>IF(Table1[[#This Row],[Is Data Valid]]=TRUE,_xlfn.NORM.S.DIST(Table1[[#This Row],[Birthweight Z-Score (BW+10%)]],TRUE)*100,"")</f>
        <v/>
      </c>
    </row>
    <row r="9566" spans="1:12" x14ac:dyDescent="0.35">
      <c r="A9566" s="3"/>
      <c r="B9566" s="2"/>
      <c r="C9566" s="2"/>
      <c r="D9566" s="2" t="b">
        <f>IF(AND(NOT(ISBLANK(Table1[[#This Row],[Fetal Sex (Male, Female or Unknown)]])),ISNUMBER(Table1[[#This Row],[Birthweight (grams)]]),ISNUMBER(Table1[[#This Row],[Gestation (days)]])),TRUE,FALSE)</f>
        <v>0</v>
      </c>
      <c r="E9566" s="2" t="str">
        <f>IF(Table1[[#This Row],[Is Data Valid]]=TRUE,IF(Table1[[#This Row],[Fetal Sex (Male, Female or Unknown)]]="Male",Backend!$C$6,IF(Table1[[#This Row],[Fetal Sex (Male, Female or Unknown)]]="Female",Backend!$C$7,IF(Table1[[#This Row],[Fetal Sex (Male, Female or Unknown)]]="Unknown",Backend!$C$8,"Error"))),"")</f>
        <v/>
      </c>
      <c r="F9566" s="8" t="str">
        <f>IF(Table1[[#This Row],[Is Data Valid]]=TRUE,EXP(0.578+0.332*((Table1[[#This Row],[Gestation (days)]]+0.5)/7)-0.00354*((Table1[[#This Row],[Gestation (days)]]+0.5)/7)^2)*Table1[[#This Row],[BW40_3705]],"")</f>
        <v/>
      </c>
      <c r="G9566" s="2" t="str">
        <f>IF(Table1[[#This Row],[Is Data Valid]]=TRUE,((Table1[[#This Row],[Birthweight (grams)]]/Table1[[#This Row],[BW_GA]])-1)/(Backend!$B$4/100*Table1[[#This Row],[BW40_3705]]),"")</f>
        <v/>
      </c>
      <c r="H9566" s="7" t="str">
        <f>IF(Table1[[#This Row],[Is Data Valid]]=TRUE,((Table1[[#This Row],[Birthweight (grams)]]*0.9/Table1[[#This Row],[BW_GA]])-1)/(Backend!$B$4/100*Table1[[#This Row],[BW40_3705]]),"")</f>
        <v/>
      </c>
      <c r="I9566" s="7" t="str">
        <f>IF(Table1[[#This Row],[Is Data Valid]]=TRUE,((Table1[[#This Row],[Birthweight (grams)]]*1.1/Table1[[#This Row],[BW_GA]])-1)/(Backend!$B$4/100*Table1[[#This Row],[BW40_3705]]),"")</f>
        <v/>
      </c>
      <c r="J9566" s="7" t="str">
        <f>IF(Table1[[#This Row],[Is Data Valid]]=TRUE,_xlfn.NORM.S.DIST(Table1[[#This Row],[Birthweight Z-Score]],TRUE)*100,"")</f>
        <v/>
      </c>
      <c r="K9566" s="7" t="str">
        <f>IF(Table1[[#This Row],[Is Data Valid]]=TRUE,_xlfn.NORM.S.DIST(Table1[[#This Row],[Birthweight Z-Score (BW-10%)]],TRUE)*100,"")</f>
        <v/>
      </c>
      <c r="L9566" s="7" t="str">
        <f>IF(Table1[[#This Row],[Is Data Valid]]=TRUE,_xlfn.NORM.S.DIST(Table1[[#This Row],[Birthweight Z-Score (BW+10%)]],TRUE)*100,"")</f>
        <v/>
      </c>
    </row>
    <row r="9567" spans="1:12" x14ac:dyDescent="0.35">
      <c r="A9567" s="3"/>
      <c r="B9567" s="2"/>
      <c r="C9567" s="2"/>
      <c r="D9567" s="2" t="b">
        <f>IF(AND(NOT(ISBLANK(Table1[[#This Row],[Fetal Sex (Male, Female or Unknown)]])),ISNUMBER(Table1[[#This Row],[Birthweight (grams)]]),ISNUMBER(Table1[[#This Row],[Gestation (days)]])),TRUE,FALSE)</f>
        <v>0</v>
      </c>
      <c r="E9567" s="2" t="str">
        <f>IF(Table1[[#This Row],[Is Data Valid]]=TRUE,IF(Table1[[#This Row],[Fetal Sex (Male, Female or Unknown)]]="Male",Backend!$C$6,IF(Table1[[#This Row],[Fetal Sex (Male, Female or Unknown)]]="Female",Backend!$C$7,IF(Table1[[#This Row],[Fetal Sex (Male, Female or Unknown)]]="Unknown",Backend!$C$8,"Error"))),"")</f>
        <v/>
      </c>
      <c r="F9567" s="8" t="str">
        <f>IF(Table1[[#This Row],[Is Data Valid]]=TRUE,EXP(0.578+0.332*((Table1[[#This Row],[Gestation (days)]]+0.5)/7)-0.00354*((Table1[[#This Row],[Gestation (days)]]+0.5)/7)^2)*Table1[[#This Row],[BW40_3705]],"")</f>
        <v/>
      </c>
      <c r="G9567" s="2" t="str">
        <f>IF(Table1[[#This Row],[Is Data Valid]]=TRUE,((Table1[[#This Row],[Birthweight (grams)]]/Table1[[#This Row],[BW_GA]])-1)/(Backend!$B$4/100*Table1[[#This Row],[BW40_3705]]),"")</f>
        <v/>
      </c>
      <c r="H9567" s="7" t="str">
        <f>IF(Table1[[#This Row],[Is Data Valid]]=TRUE,((Table1[[#This Row],[Birthweight (grams)]]*0.9/Table1[[#This Row],[BW_GA]])-1)/(Backend!$B$4/100*Table1[[#This Row],[BW40_3705]]),"")</f>
        <v/>
      </c>
      <c r="I9567" s="7" t="str">
        <f>IF(Table1[[#This Row],[Is Data Valid]]=TRUE,((Table1[[#This Row],[Birthweight (grams)]]*1.1/Table1[[#This Row],[BW_GA]])-1)/(Backend!$B$4/100*Table1[[#This Row],[BW40_3705]]),"")</f>
        <v/>
      </c>
      <c r="J9567" s="7" t="str">
        <f>IF(Table1[[#This Row],[Is Data Valid]]=TRUE,_xlfn.NORM.S.DIST(Table1[[#This Row],[Birthweight Z-Score]],TRUE)*100,"")</f>
        <v/>
      </c>
      <c r="K9567" s="7" t="str">
        <f>IF(Table1[[#This Row],[Is Data Valid]]=TRUE,_xlfn.NORM.S.DIST(Table1[[#This Row],[Birthweight Z-Score (BW-10%)]],TRUE)*100,"")</f>
        <v/>
      </c>
      <c r="L9567" s="7" t="str">
        <f>IF(Table1[[#This Row],[Is Data Valid]]=TRUE,_xlfn.NORM.S.DIST(Table1[[#This Row],[Birthweight Z-Score (BW+10%)]],TRUE)*100,"")</f>
        <v/>
      </c>
    </row>
    <row r="9568" spans="1:12" x14ac:dyDescent="0.35">
      <c r="A9568" s="3"/>
      <c r="B9568" s="2"/>
      <c r="C9568" s="2"/>
      <c r="D9568" s="2" t="b">
        <f>IF(AND(NOT(ISBLANK(Table1[[#This Row],[Fetal Sex (Male, Female or Unknown)]])),ISNUMBER(Table1[[#This Row],[Birthweight (grams)]]),ISNUMBER(Table1[[#This Row],[Gestation (days)]])),TRUE,FALSE)</f>
        <v>0</v>
      </c>
      <c r="E9568" s="2" t="str">
        <f>IF(Table1[[#This Row],[Is Data Valid]]=TRUE,IF(Table1[[#This Row],[Fetal Sex (Male, Female or Unknown)]]="Male",Backend!$C$6,IF(Table1[[#This Row],[Fetal Sex (Male, Female or Unknown)]]="Female",Backend!$C$7,IF(Table1[[#This Row],[Fetal Sex (Male, Female or Unknown)]]="Unknown",Backend!$C$8,"Error"))),"")</f>
        <v/>
      </c>
      <c r="F9568" s="8" t="str">
        <f>IF(Table1[[#This Row],[Is Data Valid]]=TRUE,EXP(0.578+0.332*((Table1[[#This Row],[Gestation (days)]]+0.5)/7)-0.00354*((Table1[[#This Row],[Gestation (days)]]+0.5)/7)^2)*Table1[[#This Row],[BW40_3705]],"")</f>
        <v/>
      </c>
      <c r="G9568" s="2" t="str">
        <f>IF(Table1[[#This Row],[Is Data Valid]]=TRUE,((Table1[[#This Row],[Birthweight (grams)]]/Table1[[#This Row],[BW_GA]])-1)/(Backend!$B$4/100*Table1[[#This Row],[BW40_3705]]),"")</f>
        <v/>
      </c>
      <c r="H9568" s="7" t="str">
        <f>IF(Table1[[#This Row],[Is Data Valid]]=TRUE,((Table1[[#This Row],[Birthweight (grams)]]*0.9/Table1[[#This Row],[BW_GA]])-1)/(Backend!$B$4/100*Table1[[#This Row],[BW40_3705]]),"")</f>
        <v/>
      </c>
      <c r="I9568" s="7" t="str">
        <f>IF(Table1[[#This Row],[Is Data Valid]]=TRUE,((Table1[[#This Row],[Birthweight (grams)]]*1.1/Table1[[#This Row],[BW_GA]])-1)/(Backend!$B$4/100*Table1[[#This Row],[BW40_3705]]),"")</f>
        <v/>
      </c>
      <c r="J9568" s="7" t="str">
        <f>IF(Table1[[#This Row],[Is Data Valid]]=TRUE,_xlfn.NORM.S.DIST(Table1[[#This Row],[Birthweight Z-Score]],TRUE)*100,"")</f>
        <v/>
      </c>
      <c r="K9568" s="7" t="str">
        <f>IF(Table1[[#This Row],[Is Data Valid]]=TRUE,_xlfn.NORM.S.DIST(Table1[[#This Row],[Birthweight Z-Score (BW-10%)]],TRUE)*100,"")</f>
        <v/>
      </c>
      <c r="L9568" s="7" t="str">
        <f>IF(Table1[[#This Row],[Is Data Valid]]=TRUE,_xlfn.NORM.S.DIST(Table1[[#This Row],[Birthweight Z-Score (BW+10%)]],TRUE)*100,"")</f>
        <v/>
      </c>
    </row>
    <row r="9569" spans="1:12" x14ac:dyDescent="0.35">
      <c r="A9569" s="3"/>
      <c r="B9569" s="2"/>
      <c r="C9569" s="2"/>
      <c r="D9569" s="2" t="b">
        <f>IF(AND(NOT(ISBLANK(Table1[[#This Row],[Fetal Sex (Male, Female or Unknown)]])),ISNUMBER(Table1[[#This Row],[Birthweight (grams)]]),ISNUMBER(Table1[[#This Row],[Gestation (days)]])),TRUE,FALSE)</f>
        <v>0</v>
      </c>
      <c r="E9569" s="2" t="str">
        <f>IF(Table1[[#This Row],[Is Data Valid]]=TRUE,IF(Table1[[#This Row],[Fetal Sex (Male, Female or Unknown)]]="Male",Backend!$C$6,IF(Table1[[#This Row],[Fetal Sex (Male, Female or Unknown)]]="Female",Backend!$C$7,IF(Table1[[#This Row],[Fetal Sex (Male, Female or Unknown)]]="Unknown",Backend!$C$8,"Error"))),"")</f>
        <v/>
      </c>
      <c r="F9569" s="8" t="str">
        <f>IF(Table1[[#This Row],[Is Data Valid]]=TRUE,EXP(0.578+0.332*((Table1[[#This Row],[Gestation (days)]]+0.5)/7)-0.00354*((Table1[[#This Row],[Gestation (days)]]+0.5)/7)^2)*Table1[[#This Row],[BW40_3705]],"")</f>
        <v/>
      </c>
      <c r="G9569" s="2" t="str">
        <f>IF(Table1[[#This Row],[Is Data Valid]]=TRUE,((Table1[[#This Row],[Birthweight (grams)]]/Table1[[#This Row],[BW_GA]])-1)/(Backend!$B$4/100*Table1[[#This Row],[BW40_3705]]),"")</f>
        <v/>
      </c>
      <c r="H9569" s="7" t="str">
        <f>IF(Table1[[#This Row],[Is Data Valid]]=TRUE,((Table1[[#This Row],[Birthweight (grams)]]*0.9/Table1[[#This Row],[BW_GA]])-1)/(Backend!$B$4/100*Table1[[#This Row],[BW40_3705]]),"")</f>
        <v/>
      </c>
      <c r="I9569" s="7" t="str">
        <f>IF(Table1[[#This Row],[Is Data Valid]]=TRUE,((Table1[[#This Row],[Birthweight (grams)]]*1.1/Table1[[#This Row],[BW_GA]])-1)/(Backend!$B$4/100*Table1[[#This Row],[BW40_3705]]),"")</f>
        <v/>
      </c>
      <c r="J9569" s="7" t="str">
        <f>IF(Table1[[#This Row],[Is Data Valid]]=TRUE,_xlfn.NORM.S.DIST(Table1[[#This Row],[Birthweight Z-Score]],TRUE)*100,"")</f>
        <v/>
      </c>
      <c r="K9569" s="7" t="str">
        <f>IF(Table1[[#This Row],[Is Data Valid]]=TRUE,_xlfn.NORM.S.DIST(Table1[[#This Row],[Birthweight Z-Score (BW-10%)]],TRUE)*100,"")</f>
        <v/>
      </c>
      <c r="L9569" s="7" t="str">
        <f>IF(Table1[[#This Row],[Is Data Valid]]=TRUE,_xlfn.NORM.S.DIST(Table1[[#This Row],[Birthweight Z-Score (BW+10%)]],TRUE)*100,"")</f>
        <v/>
      </c>
    </row>
    <row r="9570" spans="1:12" x14ac:dyDescent="0.35">
      <c r="A9570" s="3"/>
      <c r="B9570" s="2"/>
      <c r="C9570" s="2"/>
      <c r="D9570" s="2" t="b">
        <f>IF(AND(NOT(ISBLANK(Table1[[#This Row],[Fetal Sex (Male, Female or Unknown)]])),ISNUMBER(Table1[[#This Row],[Birthweight (grams)]]),ISNUMBER(Table1[[#This Row],[Gestation (days)]])),TRUE,FALSE)</f>
        <v>0</v>
      </c>
      <c r="E9570" s="2" t="str">
        <f>IF(Table1[[#This Row],[Is Data Valid]]=TRUE,IF(Table1[[#This Row],[Fetal Sex (Male, Female or Unknown)]]="Male",Backend!$C$6,IF(Table1[[#This Row],[Fetal Sex (Male, Female or Unknown)]]="Female",Backend!$C$7,IF(Table1[[#This Row],[Fetal Sex (Male, Female or Unknown)]]="Unknown",Backend!$C$8,"Error"))),"")</f>
        <v/>
      </c>
      <c r="F9570" s="8" t="str">
        <f>IF(Table1[[#This Row],[Is Data Valid]]=TRUE,EXP(0.578+0.332*((Table1[[#This Row],[Gestation (days)]]+0.5)/7)-0.00354*((Table1[[#This Row],[Gestation (days)]]+0.5)/7)^2)*Table1[[#This Row],[BW40_3705]],"")</f>
        <v/>
      </c>
      <c r="G9570" s="2" t="str">
        <f>IF(Table1[[#This Row],[Is Data Valid]]=TRUE,((Table1[[#This Row],[Birthweight (grams)]]/Table1[[#This Row],[BW_GA]])-1)/(Backend!$B$4/100*Table1[[#This Row],[BW40_3705]]),"")</f>
        <v/>
      </c>
      <c r="H9570" s="7" t="str">
        <f>IF(Table1[[#This Row],[Is Data Valid]]=TRUE,((Table1[[#This Row],[Birthweight (grams)]]*0.9/Table1[[#This Row],[BW_GA]])-1)/(Backend!$B$4/100*Table1[[#This Row],[BW40_3705]]),"")</f>
        <v/>
      </c>
      <c r="I9570" s="7" t="str">
        <f>IF(Table1[[#This Row],[Is Data Valid]]=TRUE,((Table1[[#This Row],[Birthweight (grams)]]*1.1/Table1[[#This Row],[BW_GA]])-1)/(Backend!$B$4/100*Table1[[#This Row],[BW40_3705]]),"")</f>
        <v/>
      </c>
      <c r="J9570" s="7" t="str">
        <f>IF(Table1[[#This Row],[Is Data Valid]]=TRUE,_xlfn.NORM.S.DIST(Table1[[#This Row],[Birthweight Z-Score]],TRUE)*100,"")</f>
        <v/>
      </c>
      <c r="K9570" s="7" t="str">
        <f>IF(Table1[[#This Row],[Is Data Valid]]=TRUE,_xlfn.NORM.S.DIST(Table1[[#This Row],[Birthweight Z-Score (BW-10%)]],TRUE)*100,"")</f>
        <v/>
      </c>
      <c r="L9570" s="7" t="str">
        <f>IF(Table1[[#This Row],[Is Data Valid]]=TRUE,_xlfn.NORM.S.DIST(Table1[[#This Row],[Birthweight Z-Score (BW+10%)]],TRUE)*100,"")</f>
        <v/>
      </c>
    </row>
    <row r="9571" spans="1:12" x14ac:dyDescent="0.35">
      <c r="A9571" s="3"/>
      <c r="B9571" s="2"/>
      <c r="C9571" s="2"/>
      <c r="D9571" s="2" t="b">
        <f>IF(AND(NOT(ISBLANK(Table1[[#This Row],[Fetal Sex (Male, Female or Unknown)]])),ISNUMBER(Table1[[#This Row],[Birthweight (grams)]]),ISNUMBER(Table1[[#This Row],[Gestation (days)]])),TRUE,FALSE)</f>
        <v>0</v>
      </c>
      <c r="E9571" s="2" t="str">
        <f>IF(Table1[[#This Row],[Is Data Valid]]=TRUE,IF(Table1[[#This Row],[Fetal Sex (Male, Female or Unknown)]]="Male",Backend!$C$6,IF(Table1[[#This Row],[Fetal Sex (Male, Female or Unknown)]]="Female",Backend!$C$7,IF(Table1[[#This Row],[Fetal Sex (Male, Female or Unknown)]]="Unknown",Backend!$C$8,"Error"))),"")</f>
        <v/>
      </c>
      <c r="F9571" s="8" t="str">
        <f>IF(Table1[[#This Row],[Is Data Valid]]=TRUE,EXP(0.578+0.332*((Table1[[#This Row],[Gestation (days)]]+0.5)/7)-0.00354*((Table1[[#This Row],[Gestation (days)]]+0.5)/7)^2)*Table1[[#This Row],[BW40_3705]],"")</f>
        <v/>
      </c>
      <c r="G9571" s="2" t="str">
        <f>IF(Table1[[#This Row],[Is Data Valid]]=TRUE,((Table1[[#This Row],[Birthweight (grams)]]/Table1[[#This Row],[BW_GA]])-1)/(Backend!$B$4/100*Table1[[#This Row],[BW40_3705]]),"")</f>
        <v/>
      </c>
      <c r="H9571" s="7" t="str">
        <f>IF(Table1[[#This Row],[Is Data Valid]]=TRUE,((Table1[[#This Row],[Birthweight (grams)]]*0.9/Table1[[#This Row],[BW_GA]])-1)/(Backend!$B$4/100*Table1[[#This Row],[BW40_3705]]),"")</f>
        <v/>
      </c>
      <c r="I9571" s="7" t="str">
        <f>IF(Table1[[#This Row],[Is Data Valid]]=TRUE,((Table1[[#This Row],[Birthweight (grams)]]*1.1/Table1[[#This Row],[BW_GA]])-1)/(Backend!$B$4/100*Table1[[#This Row],[BW40_3705]]),"")</f>
        <v/>
      </c>
      <c r="J9571" s="7" t="str">
        <f>IF(Table1[[#This Row],[Is Data Valid]]=TRUE,_xlfn.NORM.S.DIST(Table1[[#This Row],[Birthweight Z-Score]],TRUE)*100,"")</f>
        <v/>
      </c>
      <c r="K9571" s="7" t="str">
        <f>IF(Table1[[#This Row],[Is Data Valid]]=TRUE,_xlfn.NORM.S.DIST(Table1[[#This Row],[Birthweight Z-Score (BW-10%)]],TRUE)*100,"")</f>
        <v/>
      </c>
      <c r="L9571" s="7" t="str">
        <f>IF(Table1[[#This Row],[Is Data Valid]]=TRUE,_xlfn.NORM.S.DIST(Table1[[#This Row],[Birthweight Z-Score (BW+10%)]],TRUE)*100,"")</f>
        <v/>
      </c>
    </row>
    <row r="9572" spans="1:12" x14ac:dyDescent="0.35">
      <c r="A9572" s="3"/>
      <c r="B9572" s="2"/>
      <c r="C9572" s="2"/>
      <c r="D9572" s="2" t="b">
        <f>IF(AND(NOT(ISBLANK(Table1[[#This Row],[Fetal Sex (Male, Female or Unknown)]])),ISNUMBER(Table1[[#This Row],[Birthweight (grams)]]),ISNUMBER(Table1[[#This Row],[Gestation (days)]])),TRUE,FALSE)</f>
        <v>0</v>
      </c>
      <c r="E9572" s="2" t="str">
        <f>IF(Table1[[#This Row],[Is Data Valid]]=TRUE,IF(Table1[[#This Row],[Fetal Sex (Male, Female or Unknown)]]="Male",Backend!$C$6,IF(Table1[[#This Row],[Fetal Sex (Male, Female or Unknown)]]="Female",Backend!$C$7,IF(Table1[[#This Row],[Fetal Sex (Male, Female or Unknown)]]="Unknown",Backend!$C$8,"Error"))),"")</f>
        <v/>
      </c>
      <c r="F9572" s="8" t="str">
        <f>IF(Table1[[#This Row],[Is Data Valid]]=TRUE,EXP(0.578+0.332*((Table1[[#This Row],[Gestation (days)]]+0.5)/7)-0.00354*((Table1[[#This Row],[Gestation (days)]]+0.5)/7)^2)*Table1[[#This Row],[BW40_3705]],"")</f>
        <v/>
      </c>
      <c r="G9572" s="2" t="str">
        <f>IF(Table1[[#This Row],[Is Data Valid]]=TRUE,((Table1[[#This Row],[Birthweight (grams)]]/Table1[[#This Row],[BW_GA]])-1)/(Backend!$B$4/100*Table1[[#This Row],[BW40_3705]]),"")</f>
        <v/>
      </c>
      <c r="H9572" s="7" t="str">
        <f>IF(Table1[[#This Row],[Is Data Valid]]=TRUE,((Table1[[#This Row],[Birthweight (grams)]]*0.9/Table1[[#This Row],[BW_GA]])-1)/(Backend!$B$4/100*Table1[[#This Row],[BW40_3705]]),"")</f>
        <v/>
      </c>
      <c r="I9572" s="7" t="str">
        <f>IF(Table1[[#This Row],[Is Data Valid]]=TRUE,((Table1[[#This Row],[Birthweight (grams)]]*1.1/Table1[[#This Row],[BW_GA]])-1)/(Backend!$B$4/100*Table1[[#This Row],[BW40_3705]]),"")</f>
        <v/>
      </c>
      <c r="J9572" s="7" t="str">
        <f>IF(Table1[[#This Row],[Is Data Valid]]=TRUE,_xlfn.NORM.S.DIST(Table1[[#This Row],[Birthweight Z-Score]],TRUE)*100,"")</f>
        <v/>
      </c>
      <c r="K9572" s="7" t="str">
        <f>IF(Table1[[#This Row],[Is Data Valid]]=TRUE,_xlfn.NORM.S.DIST(Table1[[#This Row],[Birthweight Z-Score (BW-10%)]],TRUE)*100,"")</f>
        <v/>
      </c>
      <c r="L9572" s="7" t="str">
        <f>IF(Table1[[#This Row],[Is Data Valid]]=TRUE,_xlfn.NORM.S.DIST(Table1[[#This Row],[Birthweight Z-Score (BW+10%)]],TRUE)*100,"")</f>
        <v/>
      </c>
    </row>
    <row r="9573" spans="1:12" x14ac:dyDescent="0.35">
      <c r="A9573" s="3"/>
      <c r="B9573" s="2"/>
      <c r="C9573" s="2"/>
      <c r="D9573" s="2" t="b">
        <f>IF(AND(NOT(ISBLANK(Table1[[#This Row],[Fetal Sex (Male, Female or Unknown)]])),ISNUMBER(Table1[[#This Row],[Birthweight (grams)]]),ISNUMBER(Table1[[#This Row],[Gestation (days)]])),TRUE,FALSE)</f>
        <v>0</v>
      </c>
      <c r="E9573" s="2" t="str">
        <f>IF(Table1[[#This Row],[Is Data Valid]]=TRUE,IF(Table1[[#This Row],[Fetal Sex (Male, Female or Unknown)]]="Male",Backend!$C$6,IF(Table1[[#This Row],[Fetal Sex (Male, Female or Unknown)]]="Female",Backend!$C$7,IF(Table1[[#This Row],[Fetal Sex (Male, Female or Unknown)]]="Unknown",Backend!$C$8,"Error"))),"")</f>
        <v/>
      </c>
      <c r="F9573" s="8" t="str">
        <f>IF(Table1[[#This Row],[Is Data Valid]]=TRUE,EXP(0.578+0.332*((Table1[[#This Row],[Gestation (days)]]+0.5)/7)-0.00354*((Table1[[#This Row],[Gestation (days)]]+0.5)/7)^2)*Table1[[#This Row],[BW40_3705]],"")</f>
        <v/>
      </c>
      <c r="G9573" s="2" t="str">
        <f>IF(Table1[[#This Row],[Is Data Valid]]=TRUE,((Table1[[#This Row],[Birthweight (grams)]]/Table1[[#This Row],[BW_GA]])-1)/(Backend!$B$4/100*Table1[[#This Row],[BW40_3705]]),"")</f>
        <v/>
      </c>
      <c r="H9573" s="7" t="str">
        <f>IF(Table1[[#This Row],[Is Data Valid]]=TRUE,((Table1[[#This Row],[Birthweight (grams)]]*0.9/Table1[[#This Row],[BW_GA]])-1)/(Backend!$B$4/100*Table1[[#This Row],[BW40_3705]]),"")</f>
        <v/>
      </c>
      <c r="I9573" s="7" t="str">
        <f>IF(Table1[[#This Row],[Is Data Valid]]=TRUE,((Table1[[#This Row],[Birthweight (grams)]]*1.1/Table1[[#This Row],[BW_GA]])-1)/(Backend!$B$4/100*Table1[[#This Row],[BW40_3705]]),"")</f>
        <v/>
      </c>
      <c r="J9573" s="7" t="str">
        <f>IF(Table1[[#This Row],[Is Data Valid]]=TRUE,_xlfn.NORM.S.DIST(Table1[[#This Row],[Birthweight Z-Score]],TRUE)*100,"")</f>
        <v/>
      </c>
      <c r="K9573" s="7" t="str">
        <f>IF(Table1[[#This Row],[Is Data Valid]]=TRUE,_xlfn.NORM.S.DIST(Table1[[#This Row],[Birthweight Z-Score (BW-10%)]],TRUE)*100,"")</f>
        <v/>
      </c>
      <c r="L9573" s="7" t="str">
        <f>IF(Table1[[#This Row],[Is Data Valid]]=TRUE,_xlfn.NORM.S.DIST(Table1[[#This Row],[Birthweight Z-Score (BW+10%)]],TRUE)*100,"")</f>
        <v/>
      </c>
    </row>
    <row r="9574" spans="1:12" x14ac:dyDescent="0.35">
      <c r="A9574" s="3"/>
      <c r="B9574" s="2"/>
      <c r="C9574" s="2"/>
      <c r="D9574" s="2" t="b">
        <f>IF(AND(NOT(ISBLANK(Table1[[#This Row],[Fetal Sex (Male, Female or Unknown)]])),ISNUMBER(Table1[[#This Row],[Birthweight (grams)]]),ISNUMBER(Table1[[#This Row],[Gestation (days)]])),TRUE,FALSE)</f>
        <v>0</v>
      </c>
      <c r="E9574" s="2" t="str">
        <f>IF(Table1[[#This Row],[Is Data Valid]]=TRUE,IF(Table1[[#This Row],[Fetal Sex (Male, Female or Unknown)]]="Male",Backend!$C$6,IF(Table1[[#This Row],[Fetal Sex (Male, Female or Unknown)]]="Female",Backend!$C$7,IF(Table1[[#This Row],[Fetal Sex (Male, Female or Unknown)]]="Unknown",Backend!$C$8,"Error"))),"")</f>
        <v/>
      </c>
      <c r="F9574" s="8" t="str">
        <f>IF(Table1[[#This Row],[Is Data Valid]]=TRUE,EXP(0.578+0.332*((Table1[[#This Row],[Gestation (days)]]+0.5)/7)-0.00354*((Table1[[#This Row],[Gestation (days)]]+0.5)/7)^2)*Table1[[#This Row],[BW40_3705]],"")</f>
        <v/>
      </c>
      <c r="G9574" s="2" t="str">
        <f>IF(Table1[[#This Row],[Is Data Valid]]=TRUE,((Table1[[#This Row],[Birthweight (grams)]]/Table1[[#This Row],[BW_GA]])-1)/(Backend!$B$4/100*Table1[[#This Row],[BW40_3705]]),"")</f>
        <v/>
      </c>
      <c r="H9574" s="7" t="str">
        <f>IF(Table1[[#This Row],[Is Data Valid]]=TRUE,((Table1[[#This Row],[Birthweight (grams)]]*0.9/Table1[[#This Row],[BW_GA]])-1)/(Backend!$B$4/100*Table1[[#This Row],[BW40_3705]]),"")</f>
        <v/>
      </c>
      <c r="I9574" s="7" t="str">
        <f>IF(Table1[[#This Row],[Is Data Valid]]=TRUE,((Table1[[#This Row],[Birthweight (grams)]]*1.1/Table1[[#This Row],[BW_GA]])-1)/(Backend!$B$4/100*Table1[[#This Row],[BW40_3705]]),"")</f>
        <v/>
      </c>
      <c r="J9574" s="7" t="str">
        <f>IF(Table1[[#This Row],[Is Data Valid]]=TRUE,_xlfn.NORM.S.DIST(Table1[[#This Row],[Birthweight Z-Score]],TRUE)*100,"")</f>
        <v/>
      </c>
      <c r="K9574" s="7" t="str">
        <f>IF(Table1[[#This Row],[Is Data Valid]]=TRUE,_xlfn.NORM.S.DIST(Table1[[#This Row],[Birthweight Z-Score (BW-10%)]],TRUE)*100,"")</f>
        <v/>
      </c>
      <c r="L9574" s="7" t="str">
        <f>IF(Table1[[#This Row],[Is Data Valid]]=TRUE,_xlfn.NORM.S.DIST(Table1[[#This Row],[Birthweight Z-Score (BW+10%)]],TRUE)*100,"")</f>
        <v/>
      </c>
    </row>
    <row r="9575" spans="1:12" x14ac:dyDescent="0.35">
      <c r="A9575" s="3"/>
      <c r="B9575" s="2"/>
      <c r="C9575" s="2"/>
      <c r="D9575" s="2" t="b">
        <f>IF(AND(NOT(ISBLANK(Table1[[#This Row],[Fetal Sex (Male, Female or Unknown)]])),ISNUMBER(Table1[[#This Row],[Birthweight (grams)]]),ISNUMBER(Table1[[#This Row],[Gestation (days)]])),TRUE,FALSE)</f>
        <v>0</v>
      </c>
      <c r="E9575" s="2" t="str">
        <f>IF(Table1[[#This Row],[Is Data Valid]]=TRUE,IF(Table1[[#This Row],[Fetal Sex (Male, Female or Unknown)]]="Male",Backend!$C$6,IF(Table1[[#This Row],[Fetal Sex (Male, Female or Unknown)]]="Female",Backend!$C$7,IF(Table1[[#This Row],[Fetal Sex (Male, Female or Unknown)]]="Unknown",Backend!$C$8,"Error"))),"")</f>
        <v/>
      </c>
      <c r="F9575" s="8" t="str">
        <f>IF(Table1[[#This Row],[Is Data Valid]]=TRUE,EXP(0.578+0.332*((Table1[[#This Row],[Gestation (days)]]+0.5)/7)-0.00354*((Table1[[#This Row],[Gestation (days)]]+0.5)/7)^2)*Table1[[#This Row],[BW40_3705]],"")</f>
        <v/>
      </c>
      <c r="G9575" s="2" t="str">
        <f>IF(Table1[[#This Row],[Is Data Valid]]=TRUE,((Table1[[#This Row],[Birthweight (grams)]]/Table1[[#This Row],[BW_GA]])-1)/(Backend!$B$4/100*Table1[[#This Row],[BW40_3705]]),"")</f>
        <v/>
      </c>
      <c r="H9575" s="7" t="str">
        <f>IF(Table1[[#This Row],[Is Data Valid]]=TRUE,((Table1[[#This Row],[Birthweight (grams)]]*0.9/Table1[[#This Row],[BW_GA]])-1)/(Backend!$B$4/100*Table1[[#This Row],[BW40_3705]]),"")</f>
        <v/>
      </c>
      <c r="I9575" s="7" t="str">
        <f>IF(Table1[[#This Row],[Is Data Valid]]=TRUE,((Table1[[#This Row],[Birthweight (grams)]]*1.1/Table1[[#This Row],[BW_GA]])-1)/(Backend!$B$4/100*Table1[[#This Row],[BW40_3705]]),"")</f>
        <v/>
      </c>
      <c r="J9575" s="7" t="str">
        <f>IF(Table1[[#This Row],[Is Data Valid]]=TRUE,_xlfn.NORM.S.DIST(Table1[[#This Row],[Birthweight Z-Score]],TRUE)*100,"")</f>
        <v/>
      </c>
      <c r="K9575" s="7" t="str">
        <f>IF(Table1[[#This Row],[Is Data Valid]]=TRUE,_xlfn.NORM.S.DIST(Table1[[#This Row],[Birthweight Z-Score (BW-10%)]],TRUE)*100,"")</f>
        <v/>
      </c>
      <c r="L9575" s="7" t="str">
        <f>IF(Table1[[#This Row],[Is Data Valid]]=TRUE,_xlfn.NORM.S.DIST(Table1[[#This Row],[Birthweight Z-Score (BW+10%)]],TRUE)*100,"")</f>
        <v/>
      </c>
    </row>
    <row r="9576" spans="1:12" x14ac:dyDescent="0.35">
      <c r="A9576" s="3"/>
      <c r="B9576" s="2"/>
      <c r="C9576" s="2"/>
      <c r="D9576" s="2" t="b">
        <f>IF(AND(NOT(ISBLANK(Table1[[#This Row],[Fetal Sex (Male, Female or Unknown)]])),ISNUMBER(Table1[[#This Row],[Birthweight (grams)]]),ISNUMBER(Table1[[#This Row],[Gestation (days)]])),TRUE,FALSE)</f>
        <v>0</v>
      </c>
      <c r="E9576" s="2" t="str">
        <f>IF(Table1[[#This Row],[Is Data Valid]]=TRUE,IF(Table1[[#This Row],[Fetal Sex (Male, Female or Unknown)]]="Male",Backend!$C$6,IF(Table1[[#This Row],[Fetal Sex (Male, Female or Unknown)]]="Female",Backend!$C$7,IF(Table1[[#This Row],[Fetal Sex (Male, Female or Unknown)]]="Unknown",Backend!$C$8,"Error"))),"")</f>
        <v/>
      </c>
      <c r="F9576" s="8" t="str">
        <f>IF(Table1[[#This Row],[Is Data Valid]]=TRUE,EXP(0.578+0.332*((Table1[[#This Row],[Gestation (days)]]+0.5)/7)-0.00354*((Table1[[#This Row],[Gestation (days)]]+0.5)/7)^2)*Table1[[#This Row],[BW40_3705]],"")</f>
        <v/>
      </c>
      <c r="G9576" s="2" t="str">
        <f>IF(Table1[[#This Row],[Is Data Valid]]=TRUE,((Table1[[#This Row],[Birthweight (grams)]]/Table1[[#This Row],[BW_GA]])-1)/(Backend!$B$4/100*Table1[[#This Row],[BW40_3705]]),"")</f>
        <v/>
      </c>
      <c r="H9576" s="7" t="str">
        <f>IF(Table1[[#This Row],[Is Data Valid]]=TRUE,((Table1[[#This Row],[Birthweight (grams)]]*0.9/Table1[[#This Row],[BW_GA]])-1)/(Backend!$B$4/100*Table1[[#This Row],[BW40_3705]]),"")</f>
        <v/>
      </c>
      <c r="I9576" s="7" t="str">
        <f>IF(Table1[[#This Row],[Is Data Valid]]=TRUE,((Table1[[#This Row],[Birthweight (grams)]]*1.1/Table1[[#This Row],[BW_GA]])-1)/(Backend!$B$4/100*Table1[[#This Row],[BW40_3705]]),"")</f>
        <v/>
      </c>
      <c r="J9576" s="7" t="str">
        <f>IF(Table1[[#This Row],[Is Data Valid]]=TRUE,_xlfn.NORM.S.DIST(Table1[[#This Row],[Birthweight Z-Score]],TRUE)*100,"")</f>
        <v/>
      </c>
      <c r="K9576" s="7" t="str">
        <f>IF(Table1[[#This Row],[Is Data Valid]]=TRUE,_xlfn.NORM.S.DIST(Table1[[#This Row],[Birthweight Z-Score (BW-10%)]],TRUE)*100,"")</f>
        <v/>
      </c>
      <c r="L9576" s="7" t="str">
        <f>IF(Table1[[#This Row],[Is Data Valid]]=TRUE,_xlfn.NORM.S.DIST(Table1[[#This Row],[Birthweight Z-Score (BW+10%)]],TRUE)*100,"")</f>
        <v/>
      </c>
    </row>
    <row r="9577" spans="1:12" x14ac:dyDescent="0.35">
      <c r="A9577" s="3"/>
      <c r="B9577" s="2"/>
      <c r="C9577" s="2"/>
      <c r="D9577" s="2" t="b">
        <f>IF(AND(NOT(ISBLANK(Table1[[#This Row],[Fetal Sex (Male, Female or Unknown)]])),ISNUMBER(Table1[[#This Row],[Birthweight (grams)]]),ISNUMBER(Table1[[#This Row],[Gestation (days)]])),TRUE,FALSE)</f>
        <v>0</v>
      </c>
      <c r="E9577" s="2" t="str">
        <f>IF(Table1[[#This Row],[Is Data Valid]]=TRUE,IF(Table1[[#This Row],[Fetal Sex (Male, Female or Unknown)]]="Male",Backend!$C$6,IF(Table1[[#This Row],[Fetal Sex (Male, Female or Unknown)]]="Female",Backend!$C$7,IF(Table1[[#This Row],[Fetal Sex (Male, Female or Unknown)]]="Unknown",Backend!$C$8,"Error"))),"")</f>
        <v/>
      </c>
      <c r="F9577" s="8" t="str">
        <f>IF(Table1[[#This Row],[Is Data Valid]]=TRUE,EXP(0.578+0.332*((Table1[[#This Row],[Gestation (days)]]+0.5)/7)-0.00354*((Table1[[#This Row],[Gestation (days)]]+0.5)/7)^2)*Table1[[#This Row],[BW40_3705]],"")</f>
        <v/>
      </c>
      <c r="G9577" s="2" t="str">
        <f>IF(Table1[[#This Row],[Is Data Valid]]=TRUE,((Table1[[#This Row],[Birthweight (grams)]]/Table1[[#This Row],[BW_GA]])-1)/(Backend!$B$4/100*Table1[[#This Row],[BW40_3705]]),"")</f>
        <v/>
      </c>
      <c r="H9577" s="7" t="str">
        <f>IF(Table1[[#This Row],[Is Data Valid]]=TRUE,((Table1[[#This Row],[Birthweight (grams)]]*0.9/Table1[[#This Row],[BW_GA]])-1)/(Backend!$B$4/100*Table1[[#This Row],[BW40_3705]]),"")</f>
        <v/>
      </c>
      <c r="I9577" s="7" t="str">
        <f>IF(Table1[[#This Row],[Is Data Valid]]=TRUE,((Table1[[#This Row],[Birthweight (grams)]]*1.1/Table1[[#This Row],[BW_GA]])-1)/(Backend!$B$4/100*Table1[[#This Row],[BW40_3705]]),"")</f>
        <v/>
      </c>
      <c r="J9577" s="7" t="str">
        <f>IF(Table1[[#This Row],[Is Data Valid]]=TRUE,_xlfn.NORM.S.DIST(Table1[[#This Row],[Birthweight Z-Score]],TRUE)*100,"")</f>
        <v/>
      </c>
      <c r="K9577" s="7" t="str">
        <f>IF(Table1[[#This Row],[Is Data Valid]]=TRUE,_xlfn.NORM.S.DIST(Table1[[#This Row],[Birthweight Z-Score (BW-10%)]],TRUE)*100,"")</f>
        <v/>
      </c>
      <c r="L9577" s="7" t="str">
        <f>IF(Table1[[#This Row],[Is Data Valid]]=TRUE,_xlfn.NORM.S.DIST(Table1[[#This Row],[Birthweight Z-Score (BW+10%)]],TRUE)*100,"")</f>
        <v/>
      </c>
    </row>
    <row r="9578" spans="1:12" x14ac:dyDescent="0.35">
      <c r="A9578" s="3"/>
      <c r="B9578" s="2"/>
      <c r="C9578" s="2"/>
      <c r="D9578" s="2" t="b">
        <f>IF(AND(NOT(ISBLANK(Table1[[#This Row],[Fetal Sex (Male, Female or Unknown)]])),ISNUMBER(Table1[[#This Row],[Birthweight (grams)]]),ISNUMBER(Table1[[#This Row],[Gestation (days)]])),TRUE,FALSE)</f>
        <v>0</v>
      </c>
      <c r="E9578" s="2" t="str">
        <f>IF(Table1[[#This Row],[Is Data Valid]]=TRUE,IF(Table1[[#This Row],[Fetal Sex (Male, Female or Unknown)]]="Male",Backend!$C$6,IF(Table1[[#This Row],[Fetal Sex (Male, Female or Unknown)]]="Female",Backend!$C$7,IF(Table1[[#This Row],[Fetal Sex (Male, Female or Unknown)]]="Unknown",Backend!$C$8,"Error"))),"")</f>
        <v/>
      </c>
      <c r="F9578" s="8" t="str">
        <f>IF(Table1[[#This Row],[Is Data Valid]]=TRUE,EXP(0.578+0.332*((Table1[[#This Row],[Gestation (days)]]+0.5)/7)-0.00354*((Table1[[#This Row],[Gestation (days)]]+0.5)/7)^2)*Table1[[#This Row],[BW40_3705]],"")</f>
        <v/>
      </c>
      <c r="G9578" s="2" t="str">
        <f>IF(Table1[[#This Row],[Is Data Valid]]=TRUE,((Table1[[#This Row],[Birthweight (grams)]]/Table1[[#This Row],[BW_GA]])-1)/(Backend!$B$4/100*Table1[[#This Row],[BW40_3705]]),"")</f>
        <v/>
      </c>
      <c r="H9578" s="7" t="str">
        <f>IF(Table1[[#This Row],[Is Data Valid]]=TRUE,((Table1[[#This Row],[Birthweight (grams)]]*0.9/Table1[[#This Row],[BW_GA]])-1)/(Backend!$B$4/100*Table1[[#This Row],[BW40_3705]]),"")</f>
        <v/>
      </c>
      <c r="I9578" s="7" t="str">
        <f>IF(Table1[[#This Row],[Is Data Valid]]=TRUE,((Table1[[#This Row],[Birthweight (grams)]]*1.1/Table1[[#This Row],[BW_GA]])-1)/(Backend!$B$4/100*Table1[[#This Row],[BW40_3705]]),"")</f>
        <v/>
      </c>
      <c r="J9578" s="7" t="str">
        <f>IF(Table1[[#This Row],[Is Data Valid]]=TRUE,_xlfn.NORM.S.DIST(Table1[[#This Row],[Birthweight Z-Score]],TRUE)*100,"")</f>
        <v/>
      </c>
      <c r="K9578" s="7" t="str">
        <f>IF(Table1[[#This Row],[Is Data Valid]]=TRUE,_xlfn.NORM.S.DIST(Table1[[#This Row],[Birthweight Z-Score (BW-10%)]],TRUE)*100,"")</f>
        <v/>
      </c>
      <c r="L9578" s="7" t="str">
        <f>IF(Table1[[#This Row],[Is Data Valid]]=TRUE,_xlfn.NORM.S.DIST(Table1[[#This Row],[Birthweight Z-Score (BW+10%)]],TRUE)*100,"")</f>
        <v/>
      </c>
    </row>
    <row r="9579" spans="1:12" x14ac:dyDescent="0.35">
      <c r="A9579" s="3"/>
      <c r="B9579" s="2"/>
      <c r="C9579" s="2"/>
      <c r="D9579" s="2" t="b">
        <f>IF(AND(NOT(ISBLANK(Table1[[#This Row],[Fetal Sex (Male, Female or Unknown)]])),ISNUMBER(Table1[[#This Row],[Birthweight (grams)]]),ISNUMBER(Table1[[#This Row],[Gestation (days)]])),TRUE,FALSE)</f>
        <v>0</v>
      </c>
      <c r="E9579" s="2" t="str">
        <f>IF(Table1[[#This Row],[Is Data Valid]]=TRUE,IF(Table1[[#This Row],[Fetal Sex (Male, Female or Unknown)]]="Male",Backend!$C$6,IF(Table1[[#This Row],[Fetal Sex (Male, Female or Unknown)]]="Female",Backend!$C$7,IF(Table1[[#This Row],[Fetal Sex (Male, Female or Unknown)]]="Unknown",Backend!$C$8,"Error"))),"")</f>
        <v/>
      </c>
      <c r="F9579" s="8" t="str">
        <f>IF(Table1[[#This Row],[Is Data Valid]]=TRUE,EXP(0.578+0.332*((Table1[[#This Row],[Gestation (days)]]+0.5)/7)-0.00354*((Table1[[#This Row],[Gestation (days)]]+0.5)/7)^2)*Table1[[#This Row],[BW40_3705]],"")</f>
        <v/>
      </c>
      <c r="G9579" s="2" t="str">
        <f>IF(Table1[[#This Row],[Is Data Valid]]=TRUE,((Table1[[#This Row],[Birthweight (grams)]]/Table1[[#This Row],[BW_GA]])-1)/(Backend!$B$4/100*Table1[[#This Row],[BW40_3705]]),"")</f>
        <v/>
      </c>
      <c r="H9579" s="7" t="str">
        <f>IF(Table1[[#This Row],[Is Data Valid]]=TRUE,((Table1[[#This Row],[Birthweight (grams)]]*0.9/Table1[[#This Row],[BW_GA]])-1)/(Backend!$B$4/100*Table1[[#This Row],[BW40_3705]]),"")</f>
        <v/>
      </c>
      <c r="I9579" s="7" t="str">
        <f>IF(Table1[[#This Row],[Is Data Valid]]=TRUE,((Table1[[#This Row],[Birthweight (grams)]]*1.1/Table1[[#This Row],[BW_GA]])-1)/(Backend!$B$4/100*Table1[[#This Row],[BW40_3705]]),"")</f>
        <v/>
      </c>
      <c r="J9579" s="7" t="str">
        <f>IF(Table1[[#This Row],[Is Data Valid]]=TRUE,_xlfn.NORM.S.DIST(Table1[[#This Row],[Birthweight Z-Score]],TRUE)*100,"")</f>
        <v/>
      </c>
      <c r="K9579" s="7" t="str">
        <f>IF(Table1[[#This Row],[Is Data Valid]]=TRUE,_xlfn.NORM.S.DIST(Table1[[#This Row],[Birthweight Z-Score (BW-10%)]],TRUE)*100,"")</f>
        <v/>
      </c>
      <c r="L9579" s="7" t="str">
        <f>IF(Table1[[#This Row],[Is Data Valid]]=TRUE,_xlfn.NORM.S.DIST(Table1[[#This Row],[Birthweight Z-Score (BW+10%)]],TRUE)*100,"")</f>
        <v/>
      </c>
    </row>
    <row r="9580" spans="1:12" x14ac:dyDescent="0.35">
      <c r="A9580" s="3"/>
      <c r="B9580" s="2"/>
      <c r="C9580" s="2"/>
      <c r="D9580" s="2" t="b">
        <f>IF(AND(NOT(ISBLANK(Table1[[#This Row],[Fetal Sex (Male, Female or Unknown)]])),ISNUMBER(Table1[[#This Row],[Birthweight (grams)]]),ISNUMBER(Table1[[#This Row],[Gestation (days)]])),TRUE,FALSE)</f>
        <v>0</v>
      </c>
      <c r="E9580" s="2" t="str">
        <f>IF(Table1[[#This Row],[Is Data Valid]]=TRUE,IF(Table1[[#This Row],[Fetal Sex (Male, Female or Unknown)]]="Male",Backend!$C$6,IF(Table1[[#This Row],[Fetal Sex (Male, Female or Unknown)]]="Female",Backend!$C$7,IF(Table1[[#This Row],[Fetal Sex (Male, Female or Unknown)]]="Unknown",Backend!$C$8,"Error"))),"")</f>
        <v/>
      </c>
      <c r="F9580" s="8" t="str">
        <f>IF(Table1[[#This Row],[Is Data Valid]]=TRUE,EXP(0.578+0.332*((Table1[[#This Row],[Gestation (days)]]+0.5)/7)-0.00354*((Table1[[#This Row],[Gestation (days)]]+0.5)/7)^2)*Table1[[#This Row],[BW40_3705]],"")</f>
        <v/>
      </c>
      <c r="G9580" s="2" t="str">
        <f>IF(Table1[[#This Row],[Is Data Valid]]=TRUE,((Table1[[#This Row],[Birthweight (grams)]]/Table1[[#This Row],[BW_GA]])-1)/(Backend!$B$4/100*Table1[[#This Row],[BW40_3705]]),"")</f>
        <v/>
      </c>
      <c r="H9580" s="7" t="str">
        <f>IF(Table1[[#This Row],[Is Data Valid]]=TRUE,((Table1[[#This Row],[Birthweight (grams)]]*0.9/Table1[[#This Row],[BW_GA]])-1)/(Backend!$B$4/100*Table1[[#This Row],[BW40_3705]]),"")</f>
        <v/>
      </c>
      <c r="I9580" s="7" t="str">
        <f>IF(Table1[[#This Row],[Is Data Valid]]=TRUE,((Table1[[#This Row],[Birthweight (grams)]]*1.1/Table1[[#This Row],[BW_GA]])-1)/(Backend!$B$4/100*Table1[[#This Row],[BW40_3705]]),"")</f>
        <v/>
      </c>
      <c r="J9580" s="7" t="str">
        <f>IF(Table1[[#This Row],[Is Data Valid]]=TRUE,_xlfn.NORM.S.DIST(Table1[[#This Row],[Birthweight Z-Score]],TRUE)*100,"")</f>
        <v/>
      </c>
      <c r="K9580" s="7" t="str">
        <f>IF(Table1[[#This Row],[Is Data Valid]]=TRUE,_xlfn.NORM.S.DIST(Table1[[#This Row],[Birthweight Z-Score (BW-10%)]],TRUE)*100,"")</f>
        <v/>
      </c>
      <c r="L9580" s="7" t="str">
        <f>IF(Table1[[#This Row],[Is Data Valid]]=TRUE,_xlfn.NORM.S.DIST(Table1[[#This Row],[Birthweight Z-Score (BW+10%)]],TRUE)*100,"")</f>
        <v/>
      </c>
    </row>
    <row r="9581" spans="1:12" x14ac:dyDescent="0.35">
      <c r="A9581" s="3"/>
      <c r="B9581" s="2"/>
      <c r="C9581" s="2"/>
      <c r="D9581" s="2" t="b">
        <f>IF(AND(NOT(ISBLANK(Table1[[#This Row],[Fetal Sex (Male, Female or Unknown)]])),ISNUMBER(Table1[[#This Row],[Birthweight (grams)]]),ISNUMBER(Table1[[#This Row],[Gestation (days)]])),TRUE,FALSE)</f>
        <v>0</v>
      </c>
      <c r="E9581" s="2" t="str">
        <f>IF(Table1[[#This Row],[Is Data Valid]]=TRUE,IF(Table1[[#This Row],[Fetal Sex (Male, Female or Unknown)]]="Male",Backend!$C$6,IF(Table1[[#This Row],[Fetal Sex (Male, Female or Unknown)]]="Female",Backend!$C$7,IF(Table1[[#This Row],[Fetal Sex (Male, Female or Unknown)]]="Unknown",Backend!$C$8,"Error"))),"")</f>
        <v/>
      </c>
      <c r="F9581" s="8" t="str">
        <f>IF(Table1[[#This Row],[Is Data Valid]]=TRUE,EXP(0.578+0.332*((Table1[[#This Row],[Gestation (days)]]+0.5)/7)-0.00354*((Table1[[#This Row],[Gestation (days)]]+0.5)/7)^2)*Table1[[#This Row],[BW40_3705]],"")</f>
        <v/>
      </c>
      <c r="G9581" s="2" t="str">
        <f>IF(Table1[[#This Row],[Is Data Valid]]=TRUE,((Table1[[#This Row],[Birthweight (grams)]]/Table1[[#This Row],[BW_GA]])-1)/(Backend!$B$4/100*Table1[[#This Row],[BW40_3705]]),"")</f>
        <v/>
      </c>
      <c r="H9581" s="7" t="str">
        <f>IF(Table1[[#This Row],[Is Data Valid]]=TRUE,((Table1[[#This Row],[Birthweight (grams)]]*0.9/Table1[[#This Row],[BW_GA]])-1)/(Backend!$B$4/100*Table1[[#This Row],[BW40_3705]]),"")</f>
        <v/>
      </c>
      <c r="I9581" s="7" t="str">
        <f>IF(Table1[[#This Row],[Is Data Valid]]=TRUE,((Table1[[#This Row],[Birthweight (grams)]]*1.1/Table1[[#This Row],[BW_GA]])-1)/(Backend!$B$4/100*Table1[[#This Row],[BW40_3705]]),"")</f>
        <v/>
      </c>
      <c r="J9581" s="7" t="str">
        <f>IF(Table1[[#This Row],[Is Data Valid]]=TRUE,_xlfn.NORM.S.DIST(Table1[[#This Row],[Birthweight Z-Score]],TRUE)*100,"")</f>
        <v/>
      </c>
      <c r="K9581" s="7" t="str">
        <f>IF(Table1[[#This Row],[Is Data Valid]]=TRUE,_xlfn.NORM.S.DIST(Table1[[#This Row],[Birthweight Z-Score (BW-10%)]],TRUE)*100,"")</f>
        <v/>
      </c>
      <c r="L9581" s="7" t="str">
        <f>IF(Table1[[#This Row],[Is Data Valid]]=TRUE,_xlfn.NORM.S.DIST(Table1[[#This Row],[Birthweight Z-Score (BW+10%)]],TRUE)*100,"")</f>
        <v/>
      </c>
    </row>
    <row r="9582" spans="1:12" x14ac:dyDescent="0.35">
      <c r="A9582" s="3"/>
      <c r="B9582" s="2"/>
      <c r="C9582" s="2"/>
      <c r="D9582" s="2" t="b">
        <f>IF(AND(NOT(ISBLANK(Table1[[#This Row],[Fetal Sex (Male, Female or Unknown)]])),ISNUMBER(Table1[[#This Row],[Birthweight (grams)]]),ISNUMBER(Table1[[#This Row],[Gestation (days)]])),TRUE,FALSE)</f>
        <v>0</v>
      </c>
      <c r="E9582" s="2" t="str">
        <f>IF(Table1[[#This Row],[Is Data Valid]]=TRUE,IF(Table1[[#This Row],[Fetal Sex (Male, Female or Unknown)]]="Male",Backend!$C$6,IF(Table1[[#This Row],[Fetal Sex (Male, Female or Unknown)]]="Female",Backend!$C$7,IF(Table1[[#This Row],[Fetal Sex (Male, Female or Unknown)]]="Unknown",Backend!$C$8,"Error"))),"")</f>
        <v/>
      </c>
      <c r="F9582" s="8" t="str">
        <f>IF(Table1[[#This Row],[Is Data Valid]]=TRUE,EXP(0.578+0.332*((Table1[[#This Row],[Gestation (days)]]+0.5)/7)-0.00354*((Table1[[#This Row],[Gestation (days)]]+0.5)/7)^2)*Table1[[#This Row],[BW40_3705]],"")</f>
        <v/>
      </c>
      <c r="G9582" s="2" t="str">
        <f>IF(Table1[[#This Row],[Is Data Valid]]=TRUE,((Table1[[#This Row],[Birthweight (grams)]]/Table1[[#This Row],[BW_GA]])-1)/(Backend!$B$4/100*Table1[[#This Row],[BW40_3705]]),"")</f>
        <v/>
      </c>
      <c r="H9582" s="7" t="str">
        <f>IF(Table1[[#This Row],[Is Data Valid]]=TRUE,((Table1[[#This Row],[Birthweight (grams)]]*0.9/Table1[[#This Row],[BW_GA]])-1)/(Backend!$B$4/100*Table1[[#This Row],[BW40_3705]]),"")</f>
        <v/>
      </c>
      <c r="I9582" s="7" t="str">
        <f>IF(Table1[[#This Row],[Is Data Valid]]=TRUE,((Table1[[#This Row],[Birthweight (grams)]]*1.1/Table1[[#This Row],[BW_GA]])-1)/(Backend!$B$4/100*Table1[[#This Row],[BW40_3705]]),"")</f>
        <v/>
      </c>
      <c r="J9582" s="7" t="str">
        <f>IF(Table1[[#This Row],[Is Data Valid]]=TRUE,_xlfn.NORM.S.DIST(Table1[[#This Row],[Birthweight Z-Score]],TRUE)*100,"")</f>
        <v/>
      </c>
      <c r="K9582" s="7" t="str">
        <f>IF(Table1[[#This Row],[Is Data Valid]]=TRUE,_xlfn.NORM.S.DIST(Table1[[#This Row],[Birthweight Z-Score (BW-10%)]],TRUE)*100,"")</f>
        <v/>
      </c>
      <c r="L9582" s="7" t="str">
        <f>IF(Table1[[#This Row],[Is Data Valid]]=TRUE,_xlfn.NORM.S.DIST(Table1[[#This Row],[Birthweight Z-Score (BW+10%)]],TRUE)*100,"")</f>
        <v/>
      </c>
    </row>
    <row r="9583" spans="1:12" x14ac:dyDescent="0.35">
      <c r="A9583" s="3"/>
      <c r="B9583" s="2"/>
      <c r="C9583" s="2"/>
      <c r="D9583" s="2" t="b">
        <f>IF(AND(NOT(ISBLANK(Table1[[#This Row],[Fetal Sex (Male, Female or Unknown)]])),ISNUMBER(Table1[[#This Row],[Birthweight (grams)]]),ISNUMBER(Table1[[#This Row],[Gestation (days)]])),TRUE,FALSE)</f>
        <v>0</v>
      </c>
      <c r="E9583" s="2" t="str">
        <f>IF(Table1[[#This Row],[Is Data Valid]]=TRUE,IF(Table1[[#This Row],[Fetal Sex (Male, Female or Unknown)]]="Male",Backend!$C$6,IF(Table1[[#This Row],[Fetal Sex (Male, Female or Unknown)]]="Female",Backend!$C$7,IF(Table1[[#This Row],[Fetal Sex (Male, Female or Unknown)]]="Unknown",Backend!$C$8,"Error"))),"")</f>
        <v/>
      </c>
      <c r="F9583" s="8" t="str">
        <f>IF(Table1[[#This Row],[Is Data Valid]]=TRUE,EXP(0.578+0.332*((Table1[[#This Row],[Gestation (days)]]+0.5)/7)-0.00354*((Table1[[#This Row],[Gestation (days)]]+0.5)/7)^2)*Table1[[#This Row],[BW40_3705]],"")</f>
        <v/>
      </c>
      <c r="G9583" s="2" t="str">
        <f>IF(Table1[[#This Row],[Is Data Valid]]=TRUE,((Table1[[#This Row],[Birthweight (grams)]]/Table1[[#This Row],[BW_GA]])-1)/(Backend!$B$4/100*Table1[[#This Row],[BW40_3705]]),"")</f>
        <v/>
      </c>
      <c r="H9583" s="7" t="str">
        <f>IF(Table1[[#This Row],[Is Data Valid]]=TRUE,((Table1[[#This Row],[Birthweight (grams)]]*0.9/Table1[[#This Row],[BW_GA]])-1)/(Backend!$B$4/100*Table1[[#This Row],[BW40_3705]]),"")</f>
        <v/>
      </c>
      <c r="I9583" s="7" t="str">
        <f>IF(Table1[[#This Row],[Is Data Valid]]=TRUE,((Table1[[#This Row],[Birthweight (grams)]]*1.1/Table1[[#This Row],[BW_GA]])-1)/(Backend!$B$4/100*Table1[[#This Row],[BW40_3705]]),"")</f>
        <v/>
      </c>
      <c r="J9583" s="7" t="str">
        <f>IF(Table1[[#This Row],[Is Data Valid]]=TRUE,_xlfn.NORM.S.DIST(Table1[[#This Row],[Birthweight Z-Score]],TRUE)*100,"")</f>
        <v/>
      </c>
      <c r="K9583" s="7" t="str">
        <f>IF(Table1[[#This Row],[Is Data Valid]]=TRUE,_xlfn.NORM.S.DIST(Table1[[#This Row],[Birthweight Z-Score (BW-10%)]],TRUE)*100,"")</f>
        <v/>
      </c>
      <c r="L9583" s="7" t="str">
        <f>IF(Table1[[#This Row],[Is Data Valid]]=TRUE,_xlfn.NORM.S.DIST(Table1[[#This Row],[Birthweight Z-Score (BW+10%)]],TRUE)*100,"")</f>
        <v/>
      </c>
    </row>
    <row r="9584" spans="1:12" x14ac:dyDescent="0.35">
      <c r="A9584" s="3"/>
      <c r="B9584" s="2"/>
      <c r="C9584" s="2"/>
      <c r="D9584" s="2" t="b">
        <f>IF(AND(NOT(ISBLANK(Table1[[#This Row],[Fetal Sex (Male, Female or Unknown)]])),ISNUMBER(Table1[[#This Row],[Birthweight (grams)]]),ISNUMBER(Table1[[#This Row],[Gestation (days)]])),TRUE,FALSE)</f>
        <v>0</v>
      </c>
      <c r="E9584" s="2" t="str">
        <f>IF(Table1[[#This Row],[Is Data Valid]]=TRUE,IF(Table1[[#This Row],[Fetal Sex (Male, Female or Unknown)]]="Male",Backend!$C$6,IF(Table1[[#This Row],[Fetal Sex (Male, Female or Unknown)]]="Female",Backend!$C$7,IF(Table1[[#This Row],[Fetal Sex (Male, Female or Unknown)]]="Unknown",Backend!$C$8,"Error"))),"")</f>
        <v/>
      </c>
      <c r="F9584" s="8" t="str">
        <f>IF(Table1[[#This Row],[Is Data Valid]]=TRUE,EXP(0.578+0.332*((Table1[[#This Row],[Gestation (days)]]+0.5)/7)-0.00354*((Table1[[#This Row],[Gestation (days)]]+0.5)/7)^2)*Table1[[#This Row],[BW40_3705]],"")</f>
        <v/>
      </c>
      <c r="G9584" s="2" t="str">
        <f>IF(Table1[[#This Row],[Is Data Valid]]=TRUE,((Table1[[#This Row],[Birthweight (grams)]]/Table1[[#This Row],[BW_GA]])-1)/(Backend!$B$4/100*Table1[[#This Row],[BW40_3705]]),"")</f>
        <v/>
      </c>
      <c r="H9584" s="7" t="str">
        <f>IF(Table1[[#This Row],[Is Data Valid]]=TRUE,((Table1[[#This Row],[Birthweight (grams)]]*0.9/Table1[[#This Row],[BW_GA]])-1)/(Backend!$B$4/100*Table1[[#This Row],[BW40_3705]]),"")</f>
        <v/>
      </c>
      <c r="I9584" s="7" t="str">
        <f>IF(Table1[[#This Row],[Is Data Valid]]=TRUE,((Table1[[#This Row],[Birthweight (grams)]]*1.1/Table1[[#This Row],[BW_GA]])-1)/(Backend!$B$4/100*Table1[[#This Row],[BW40_3705]]),"")</f>
        <v/>
      </c>
      <c r="J9584" s="7" t="str">
        <f>IF(Table1[[#This Row],[Is Data Valid]]=TRUE,_xlfn.NORM.S.DIST(Table1[[#This Row],[Birthweight Z-Score]],TRUE)*100,"")</f>
        <v/>
      </c>
      <c r="K9584" s="7" t="str">
        <f>IF(Table1[[#This Row],[Is Data Valid]]=TRUE,_xlfn.NORM.S.DIST(Table1[[#This Row],[Birthweight Z-Score (BW-10%)]],TRUE)*100,"")</f>
        <v/>
      </c>
      <c r="L9584" s="7" t="str">
        <f>IF(Table1[[#This Row],[Is Data Valid]]=TRUE,_xlfn.NORM.S.DIST(Table1[[#This Row],[Birthweight Z-Score (BW+10%)]],TRUE)*100,"")</f>
        <v/>
      </c>
    </row>
    <row r="9585" spans="1:12" x14ac:dyDescent="0.35">
      <c r="A9585" s="3"/>
      <c r="B9585" s="2"/>
      <c r="C9585" s="2"/>
      <c r="D9585" s="2" t="b">
        <f>IF(AND(NOT(ISBLANK(Table1[[#This Row],[Fetal Sex (Male, Female or Unknown)]])),ISNUMBER(Table1[[#This Row],[Birthweight (grams)]]),ISNUMBER(Table1[[#This Row],[Gestation (days)]])),TRUE,FALSE)</f>
        <v>0</v>
      </c>
      <c r="E9585" s="2" t="str">
        <f>IF(Table1[[#This Row],[Is Data Valid]]=TRUE,IF(Table1[[#This Row],[Fetal Sex (Male, Female or Unknown)]]="Male",Backend!$C$6,IF(Table1[[#This Row],[Fetal Sex (Male, Female or Unknown)]]="Female",Backend!$C$7,IF(Table1[[#This Row],[Fetal Sex (Male, Female or Unknown)]]="Unknown",Backend!$C$8,"Error"))),"")</f>
        <v/>
      </c>
      <c r="F9585" s="8" t="str">
        <f>IF(Table1[[#This Row],[Is Data Valid]]=TRUE,EXP(0.578+0.332*((Table1[[#This Row],[Gestation (days)]]+0.5)/7)-0.00354*((Table1[[#This Row],[Gestation (days)]]+0.5)/7)^2)*Table1[[#This Row],[BW40_3705]],"")</f>
        <v/>
      </c>
      <c r="G9585" s="2" t="str">
        <f>IF(Table1[[#This Row],[Is Data Valid]]=TRUE,((Table1[[#This Row],[Birthweight (grams)]]/Table1[[#This Row],[BW_GA]])-1)/(Backend!$B$4/100*Table1[[#This Row],[BW40_3705]]),"")</f>
        <v/>
      </c>
      <c r="H9585" s="7" t="str">
        <f>IF(Table1[[#This Row],[Is Data Valid]]=TRUE,((Table1[[#This Row],[Birthweight (grams)]]*0.9/Table1[[#This Row],[BW_GA]])-1)/(Backend!$B$4/100*Table1[[#This Row],[BW40_3705]]),"")</f>
        <v/>
      </c>
      <c r="I9585" s="7" t="str">
        <f>IF(Table1[[#This Row],[Is Data Valid]]=TRUE,((Table1[[#This Row],[Birthweight (grams)]]*1.1/Table1[[#This Row],[BW_GA]])-1)/(Backend!$B$4/100*Table1[[#This Row],[BW40_3705]]),"")</f>
        <v/>
      </c>
      <c r="J9585" s="7" t="str">
        <f>IF(Table1[[#This Row],[Is Data Valid]]=TRUE,_xlfn.NORM.S.DIST(Table1[[#This Row],[Birthweight Z-Score]],TRUE)*100,"")</f>
        <v/>
      </c>
      <c r="K9585" s="7" t="str">
        <f>IF(Table1[[#This Row],[Is Data Valid]]=TRUE,_xlfn.NORM.S.DIST(Table1[[#This Row],[Birthweight Z-Score (BW-10%)]],TRUE)*100,"")</f>
        <v/>
      </c>
      <c r="L9585" s="7" t="str">
        <f>IF(Table1[[#This Row],[Is Data Valid]]=TRUE,_xlfn.NORM.S.DIST(Table1[[#This Row],[Birthweight Z-Score (BW+10%)]],TRUE)*100,"")</f>
        <v/>
      </c>
    </row>
    <row r="9586" spans="1:12" x14ac:dyDescent="0.35">
      <c r="A9586" s="3"/>
      <c r="B9586" s="2"/>
      <c r="C9586" s="2"/>
      <c r="D9586" s="2" t="b">
        <f>IF(AND(NOT(ISBLANK(Table1[[#This Row],[Fetal Sex (Male, Female or Unknown)]])),ISNUMBER(Table1[[#This Row],[Birthweight (grams)]]),ISNUMBER(Table1[[#This Row],[Gestation (days)]])),TRUE,FALSE)</f>
        <v>0</v>
      </c>
      <c r="E9586" s="2" t="str">
        <f>IF(Table1[[#This Row],[Is Data Valid]]=TRUE,IF(Table1[[#This Row],[Fetal Sex (Male, Female or Unknown)]]="Male",Backend!$C$6,IF(Table1[[#This Row],[Fetal Sex (Male, Female or Unknown)]]="Female",Backend!$C$7,IF(Table1[[#This Row],[Fetal Sex (Male, Female or Unknown)]]="Unknown",Backend!$C$8,"Error"))),"")</f>
        <v/>
      </c>
      <c r="F9586" s="8" t="str">
        <f>IF(Table1[[#This Row],[Is Data Valid]]=TRUE,EXP(0.578+0.332*((Table1[[#This Row],[Gestation (days)]]+0.5)/7)-0.00354*((Table1[[#This Row],[Gestation (days)]]+0.5)/7)^2)*Table1[[#This Row],[BW40_3705]],"")</f>
        <v/>
      </c>
      <c r="G9586" s="2" t="str">
        <f>IF(Table1[[#This Row],[Is Data Valid]]=TRUE,((Table1[[#This Row],[Birthweight (grams)]]/Table1[[#This Row],[BW_GA]])-1)/(Backend!$B$4/100*Table1[[#This Row],[BW40_3705]]),"")</f>
        <v/>
      </c>
      <c r="H9586" s="7" t="str">
        <f>IF(Table1[[#This Row],[Is Data Valid]]=TRUE,((Table1[[#This Row],[Birthweight (grams)]]*0.9/Table1[[#This Row],[BW_GA]])-1)/(Backend!$B$4/100*Table1[[#This Row],[BW40_3705]]),"")</f>
        <v/>
      </c>
      <c r="I9586" s="7" t="str">
        <f>IF(Table1[[#This Row],[Is Data Valid]]=TRUE,((Table1[[#This Row],[Birthweight (grams)]]*1.1/Table1[[#This Row],[BW_GA]])-1)/(Backend!$B$4/100*Table1[[#This Row],[BW40_3705]]),"")</f>
        <v/>
      </c>
      <c r="J9586" s="7" t="str">
        <f>IF(Table1[[#This Row],[Is Data Valid]]=TRUE,_xlfn.NORM.S.DIST(Table1[[#This Row],[Birthweight Z-Score]],TRUE)*100,"")</f>
        <v/>
      </c>
      <c r="K9586" s="7" t="str">
        <f>IF(Table1[[#This Row],[Is Data Valid]]=TRUE,_xlfn.NORM.S.DIST(Table1[[#This Row],[Birthweight Z-Score (BW-10%)]],TRUE)*100,"")</f>
        <v/>
      </c>
      <c r="L9586" s="7" t="str">
        <f>IF(Table1[[#This Row],[Is Data Valid]]=TRUE,_xlfn.NORM.S.DIST(Table1[[#This Row],[Birthweight Z-Score (BW+10%)]],TRUE)*100,"")</f>
        <v/>
      </c>
    </row>
    <row r="9587" spans="1:12" x14ac:dyDescent="0.35">
      <c r="A9587" s="3"/>
      <c r="B9587" s="2"/>
      <c r="C9587" s="2"/>
      <c r="D9587" s="2" t="b">
        <f>IF(AND(NOT(ISBLANK(Table1[[#This Row],[Fetal Sex (Male, Female or Unknown)]])),ISNUMBER(Table1[[#This Row],[Birthweight (grams)]]),ISNUMBER(Table1[[#This Row],[Gestation (days)]])),TRUE,FALSE)</f>
        <v>0</v>
      </c>
      <c r="E9587" s="2" t="str">
        <f>IF(Table1[[#This Row],[Is Data Valid]]=TRUE,IF(Table1[[#This Row],[Fetal Sex (Male, Female or Unknown)]]="Male",Backend!$C$6,IF(Table1[[#This Row],[Fetal Sex (Male, Female or Unknown)]]="Female",Backend!$C$7,IF(Table1[[#This Row],[Fetal Sex (Male, Female or Unknown)]]="Unknown",Backend!$C$8,"Error"))),"")</f>
        <v/>
      </c>
      <c r="F9587" s="8" t="str">
        <f>IF(Table1[[#This Row],[Is Data Valid]]=TRUE,EXP(0.578+0.332*((Table1[[#This Row],[Gestation (days)]]+0.5)/7)-0.00354*((Table1[[#This Row],[Gestation (days)]]+0.5)/7)^2)*Table1[[#This Row],[BW40_3705]],"")</f>
        <v/>
      </c>
      <c r="G9587" s="2" t="str">
        <f>IF(Table1[[#This Row],[Is Data Valid]]=TRUE,((Table1[[#This Row],[Birthweight (grams)]]/Table1[[#This Row],[BW_GA]])-1)/(Backend!$B$4/100*Table1[[#This Row],[BW40_3705]]),"")</f>
        <v/>
      </c>
      <c r="H9587" s="7" t="str">
        <f>IF(Table1[[#This Row],[Is Data Valid]]=TRUE,((Table1[[#This Row],[Birthweight (grams)]]*0.9/Table1[[#This Row],[BW_GA]])-1)/(Backend!$B$4/100*Table1[[#This Row],[BW40_3705]]),"")</f>
        <v/>
      </c>
      <c r="I9587" s="7" t="str">
        <f>IF(Table1[[#This Row],[Is Data Valid]]=TRUE,((Table1[[#This Row],[Birthweight (grams)]]*1.1/Table1[[#This Row],[BW_GA]])-1)/(Backend!$B$4/100*Table1[[#This Row],[BW40_3705]]),"")</f>
        <v/>
      </c>
      <c r="J9587" s="7" t="str">
        <f>IF(Table1[[#This Row],[Is Data Valid]]=TRUE,_xlfn.NORM.S.DIST(Table1[[#This Row],[Birthweight Z-Score]],TRUE)*100,"")</f>
        <v/>
      </c>
      <c r="K9587" s="7" t="str">
        <f>IF(Table1[[#This Row],[Is Data Valid]]=TRUE,_xlfn.NORM.S.DIST(Table1[[#This Row],[Birthweight Z-Score (BW-10%)]],TRUE)*100,"")</f>
        <v/>
      </c>
      <c r="L9587" s="7" t="str">
        <f>IF(Table1[[#This Row],[Is Data Valid]]=TRUE,_xlfn.NORM.S.DIST(Table1[[#This Row],[Birthweight Z-Score (BW+10%)]],TRUE)*100,"")</f>
        <v/>
      </c>
    </row>
    <row r="9588" spans="1:12" x14ac:dyDescent="0.35">
      <c r="A9588" s="3"/>
      <c r="B9588" s="2"/>
      <c r="C9588" s="2"/>
      <c r="D9588" s="2" t="b">
        <f>IF(AND(NOT(ISBLANK(Table1[[#This Row],[Fetal Sex (Male, Female or Unknown)]])),ISNUMBER(Table1[[#This Row],[Birthweight (grams)]]),ISNUMBER(Table1[[#This Row],[Gestation (days)]])),TRUE,FALSE)</f>
        <v>0</v>
      </c>
      <c r="E9588" s="2" t="str">
        <f>IF(Table1[[#This Row],[Is Data Valid]]=TRUE,IF(Table1[[#This Row],[Fetal Sex (Male, Female or Unknown)]]="Male",Backend!$C$6,IF(Table1[[#This Row],[Fetal Sex (Male, Female or Unknown)]]="Female",Backend!$C$7,IF(Table1[[#This Row],[Fetal Sex (Male, Female or Unknown)]]="Unknown",Backend!$C$8,"Error"))),"")</f>
        <v/>
      </c>
      <c r="F9588" s="8" t="str">
        <f>IF(Table1[[#This Row],[Is Data Valid]]=TRUE,EXP(0.578+0.332*((Table1[[#This Row],[Gestation (days)]]+0.5)/7)-0.00354*((Table1[[#This Row],[Gestation (days)]]+0.5)/7)^2)*Table1[[#This Row],[BW40_3705]],"")</f>
        <v/>
      </c>
      <c r="G9588" s="2" t="str">
        <f>IF(Table1[[#This Row],[Is Data Valid]]=TRUE,((Table1[[#This Row],[Birthweight (grams)]]/Table1[[#This Row],[BW_GA]])-1)/(Backend!$B$4/100*Table1[[#This Row],[BW40_3705]]),"")</f>
        <v/>
      </c>
      <c r="H9588" s="7" t="str">
        <f>IF(Table1[[#This Row],[Is Data Valid]]=TRUE,((Table1[[#This Row],[Birthweight (grams)]]*0.9/Table1[[#This Row],[BW_GA]])-1)/(Backend!$B$4/100*Table1[[#This Row],[BW40_3705]]),"")</f>
        <v/>
      </c>
      <c r="I9588" s="7" t="str">
        <f>IF(Table1[[#This Row],[Is Data Valid]]=TRUE,((Table1[[#This Row],[Birthweight (grams)]]*1.1/Table1[[#This Row],[BW_GA]])-1)/(Backend!$B$4/100*Table1[[#This Row],[BW40_3705]]),"")</f>
        <v/>
      </c>
      <c r="J9588" s="7" t="str">
        <f>IF(Table1[[#This Row],[Is Data Valid]]=TRUE,_xlfn.NORM.S.DIST(Table1[[#This Row],[Birthweight Z-Score]],TRUE)*100,"")</f>
        <v/>
      </c>
      <c r="K9588" s="7" t="str">
        <f>IF(Table1[[#This Row],[Is Data Valid]]=TRUE,_xlfn.NORM.S.DIST(Table1[[#This Row],[Birthweight Z-Score (BW-10%)]],TRUE)*100,"")</f>
        <v/>
      </c>
      <c r="L9588" s="7" t="str">
        <f>IF(Table1[[#This Row],[Is Data Valid]]=TRUE,_xlfn.NORM.S.DIST(Table1[[#This Row],[Birthweight Z-Score (BW+10%)]],TRUE)*100,"")</f>
        <v/>
      </c>
    </row>
    <row r="9589" spans="1:12" x14ac:dyDescent="0.35">
      <c r="A9589" s="3"/>
      <c r="B9589" s="2"/>
      <c r="C9589" s="2"/>
      <c r="D9589" s="2" t="b">
        <f>IF(AND(NOT(ISBLANK(Table1[[#This Row],[Fetal Sex (Male, Female or Unknown)]])),ISNUMBER(Table1[[#This Row],[Birthweight (grams)]]),ISNUMBER(Table1[[#This Row],[Gestation (days)]])),TRUE,FALSE)</f>
        <v>0</v>
      </c>
      <c r="E9589" s="2" t="str">
        <f>IF(Table1[[#This Row],[Is Data Valid]]=TRUE,IF(Table1[[#This Row],[Fetal Sex (Male, Female or Unknown)]]="Male",Backend!$C$6,IF(Table1[[#This Row],[Fetal Sex (Male, Female or Unknown)]]="Female",Backend!$C$7,IF(Table1[[#This Row],[Fetal Sex (Male, Female or Unknown)]]="Unknown",Backend!$C$8,"Error"))),"")</f>
        <v/>
      </c>
      <c r="F9589" s="8" t="str">
        <f>IF(Table1[[#This Row],[Is Data Valid]]=TRUE,EXP(0.578+0.332*((Table1[[#This Row],[Gestation (days)]]+0.5)/7)-0.00354*((Table1[[#This Row],[Gestation (days)]]+0.5)/7)^2)*Table1[[#This Row],[BW40_3705]],"")</f>
        <v/>
      </c>
      <c r="G9589" s="2" t="str">
        <f>IF(Table1[[#This Row],[Is Data Valid]]=TRUE,((Table1[[#This Row],[Birthweight (grams)]]/Table1[[#This Row],[BW_GA]])-1)/(Backend!$B$4/100*Table1[[#This Row],[BW40_3705]]),"")</f>
        <v/>
      </c>
      <c r="H9589" s="7" t="str">
        <f>IF(Table1[[#This Row],[Is Data Valid]]=TRUE,((Table1[[#This Row],[Birthweight (grams)]]*0.9/Table1[[#This Row],[BW_GA]])-1)/(Backend!$B$4/100*Table1[[#This Row],[BW40_3705]]),"")</f>
        <v/>
      </c>
      <c r="I9589" s="7" t="str">
        <f>IF(Table1[[#This Row],[Is Data Valid]]=TRUE,((Table1[[#This Row],[Birthweight (grams)]]*1.1/Table1[[#This Row],[BW_GA]])-1)/(Backend!$B$4/100*Table1[[#This Row],[BW40_3705]]),"")</f>
        <v/>
      </c>
      <c r="J9589" s="7" t="str">
        <f>IF(Table1[[#This Row],[Is Data Valid]]=TRUE,_xlfn.NORM.S.DIST(Table1[[#This Row],[Birthweight Z-Score]],TRUE)*100,"")</f>
        <v/>
      </c>
      <c r="K9589" s="7" t="str">
        <f>IF(Table1[[#This Row],[Is Data Valid]]=TRUE,_xlfn.NORM.S.DIST(Table1[[#This Row],[Birthweight Z-Score (BW-10%)]],TRUE)*100,"")</f>
        <v/>
      </c>
      <c r="L9589" s="7" t="str">
        <f>IF(Table1[[#This Row],[Is Data Valid]]=TRUE,_xlfn.NORM.S.DIST(Table1[[#This Row],[Birthweight Z-Score (BW+10%)]],TRUE)*100,"")</f>
        <v/>
      </c>
    </row>
    <row r="9590" spans="1:12" x14ac:dyDescent="0.35">
      <c r="A9590" s="3"/>
      <c r="B9590" s="2"/>
      <c r="C9590" s="2"/>
      <c r="D9590" s="2" t="b">
        <f>IF(AND(NOT(ISBLANK(Table1[[#This Row],[Fetal Sex (Male, Female or Unknown)]])),ISNUMBER(Table1[[#This Row],[Birthweight (grams)]]),ISNUMBER(Table1[[#This Row],[Gestation (days)]])),TRUE,FALSE)</f>
        <v>0</v>
      </c>
      <c r="E9590" s="2" t="str">
        <f>IF(Table1[[#This Row],[Is Data Valid]]=TRUE,IF(Table1[[#This Row],[Fetal Sex (Male, Female or Unknown)]]="Male",Backend!$C$6,IF(Table1[[#This Row],[Fetal Sex (Male, Female or Unknown)]]="Female",Backend!$C$7,IF(Table1[[#This Row],[Fetal Sex (Male, Female or Unknown)]]="Unknown",Backend!$C$8,"Error"))),"")</f>
        <v/>
      </c>
      <c r="F9590" s="8" t="str">
        <f>IF(Table1[[#This Row],[Is Data Valid]]=TRUE,EXP(0.578+0.332*((Table1[[#This Row],[Gestation (days)]]+0.5)/7)-0.00354*((Table1[[#This Row],[Gestation (days)]]+0.5)/7)^2)*Table1[[#This Row],[BW40_3705]],"")</f>
        <v/>
      </c>
      <c r="G9590" s="2" t="str">
        <f>IF(Table1[[#This Row],[Is Data Valid]]=TRUE,((Table1[[#This Row],[Birthweight (grams)]]/Table1[[#This Row],[BW_GA]])-1)/(Backend!$B$4/100*Table1[[#This Row],[BW40_3705]]),"")</f>
        <v/>
      </c>
      <c r="H9590" s="7" t="str">
        <f>IF(Table1[[#This Row],[Is Data Valid]]=TRUE,((Table1[[#This Row],[Birthweight (grams)]]*0.9/Table1[[#This Row],[BW_GA]])-1)/(Backend!$B$4/100*Table1[[#This Row],[BW40_3705]]),"")</f>
        <v/>
      </c>
      <c r="I9590" s="7" t="str">
        <f>IF(Table1[[#This Row],[Is Data Valid]]=TRUE,((Table1[[#This Row],[Birthweight (grams)]]*1.1/Table1[[#This Row],[BW_GA]])-1)/(Backend!$B$4/100*Table1[[#This Row],[BW40_3705]]),"")</f>
        <v/>
      </c>
      <c r="J9590" s="7" t="str">
        <f>IF(Table1[[#This Row],[Is Data Valid]]=TRUE,_xlfn.NORM.S.DIST(Table1[[#This Row],[Birthweight Z-Score]],TRUE)*100,"")</f>
        <v/>
      </c>
      <c r="K9590" s="7" t="str">
        <f>IF(Table1[[#This Row],[Is Data Valid]]=TRUE,_xlfn.NORM.S.DIST(Table1[[#This Row],[Birthweight Z-Score (BW-10%)]],TRUE)*100,"")</f>
        <v/>
      </c>
      <c r="L9590" s="7" t="str">
        <f>IF(Table1[[#This Row],[Is Data Valid]]=TRUE,_xlfn.NORM.S.DIST(Table1[[#This Row],[Birthweight Z-Score (BW+10%)]],TRUE)*100,"")</f>
        <v/>
      </c>
    </row>
    <row r="9591" spans="1:12" x14ac:dyDescent="0.35">
      <c r="A9591" s="3"/>
      <c r="B9591" s="2"/>
      <c r="C9591" s="2"/>
      <c r="D9591" s="2" t="b">
        <f>IF(AND(NOT(ISBLANK(Table1[[#This Row],[Fetal Sex (Male, Female or Unknown)]])),ISNUMBER(Table1[[#This Row],[Birthweight (grams)]]),ISNUMBER(Table1[[#This Row],[Gestation (days)]])),TRUE,FALSE)</f>
        <v>0</v>
      </c>
      <c r="E9591" s="2" t="str">
        <f>IF(Table1[[#This Row],[Is Data Valid]]=TRUE,IF(Table1[[#This Row],[Fetal Sex (Male, Female or Unknown)]]="Male",Backend!$C$6,IF(Table1[[#This Row],[Fetal Sex (Male, Female or Unknown)]]="Female",Backend!$C$7,IF(Table1[[#This Row],[Fetal Sex (Male, Female or Unknown)]]="Unknown",Backend!$C$8,"Error"))),"")</f>
        <v/>
      </c>
      <c r="F9591" s="8" t="str">
        <f>IF(Table1[[#This Row],[Is Data Valid]]=TRUE,EXP(0.578+0.332*((Table1[[#This Row],[Gestation (days)]]+0.5)/7)-0.00354*((Table1[[#This Row],[Gestation (days)]]+0.5)/7)^2)*Table1[[#This Row],[BW40_3705]],"")</f>
        <v/>
      </c>
      <c r="G9591" s="2" t="str">
        <f>IF(Table1[[#This Row],[Is Data Valid]]=TRUE,((Table1[[#This Row],[Birthweight (grams)]]/Table1[[#This Row],[BW_GA]])-1)/(Backend!$B$4/100*Table1[[#This Row],[BW40_3705]]),"")</f>
        <v/>
      </c>
      <c r="H9591" s="7" t="str">
        <f>IF(Table1[[#This Row],[Is Data Valid]]=TRUE,((Table1[[#This Row],[Birthweight (grams)]]*0.9/Table1[[#This Row],[BW_GA]])-1)/(Backend!$B$4/100*Table1[[#This Row],[BW40_3705]]),"")</f>
        <v/>
      </c>
      <c r="I9591" s="7" t="str">
        <f>IF(Table1[[#This Row],[Is Data Valid]]=TRUE,((Table1[[#This Row],[Birthweight (grams)]]*1.1/Table1[[#This Row],[BW_GA]])-1)/(Backend!$B$4/100*Table1[[#This Row],[BW40_3705]]),"")</f>
        <v/>
      </c>
      <c r="J9591" s="7" t="str">
        <f>IF(Table1[[#This Row],[Is Data Valid]]=TRUE,_xlfn.NORM.S.DIST(Table1[[#This Row],[Birthweight Z-Score]],TRUE)*100,"")</f>
        <v/>
      </c>
      <c r="K9591" s="7" t="str">
        <f>IF(Table1[[#This Row],[Is Data Valid]]=TRUE,_xlfn.NORM.S.DIST(Table1[[#This Row],[Birthweight Z-Score (BW-10%)]],TRUE)*100,"")</f>
        <v/>
      </c>
      <c r="L9591" s="7" t="str">
        <f>IF(Table1[[#This Row],[Is Data Valid]]=TRUE,_xlfn.NORM.S.DIST(Table1[[#This Row],[Birthweight Z-Score (BW+10%)]],TRUE)*100,"")</f>
        <v/>
      </c>
    </row>
    <row r="9592" spans="1:12" x14ac:dyDescent="0.35">
      <c r="A9592" s="3"/>
      <c r="B9592" s="2"/>
      <c r="C9592" s="2"/>
      <c r="D9592" s="2" t="b">
        <f>IF(AND(NOT(ISBLANK(Table1[[#This Row],[Fetal Sex (Male, Female or Unknown)]])),ISNUMBER(Table1[[#This Row],[Birthweight (grams)]]),ISNUMBER(Table1[[#This Row],[Gestation (days)]])),TRUE,FALSE)</f>
        <v>0</v>
      </c>
      <c r="E9592" s="2" t="str">
        <f>IF(Table1[[#This Row],[Is Data Valid]]=TRUE,IF(Table1[[#This Row],[Fetal Sex (Male, Female or Unknown)]]="Male",Backend!$C$6,IF(Table1[[#This Row],[Fetal Sex (Male, Female or Unknown)]]="Female",Backend!$C$7,IF(Table1[[#This Row],[Fetal Sex (Male, Female or Unknown)]]="Unknown",Backend!$C$8,"Error"))),"")</f>
        <v/>
      </c>
      <c r="F9592" s="8" t="str">
        <f>IF(Table1[[#This Row],[Is Data Valid]]=TRUE,EXP(0.578+0.332*((Table1[[#This Row],[Gestation (days)]]+0.5)/7)-0.00354*((Table1[[#This Row],[Gestation (days)]]+0.5)/7)^2)*Table1[[#This Row],[BW40_3705]],"")</f>
        <v/>
      </c>
      <c r="G9592" s="2" t="str">
        <f>IF(Table1[[#This Row],[Is Data Valid]]=TRUE,((Table1[[#This Row],[Birthweight (grams)]]/Table1[[#This Row],[BW_GA]])-1)/(Backend!$B$4/100*Table1[[#This Row],[BW40_3705]]),"")</f>
        <v/>
      </c>
      <c r="H9592" s="7" t="str">
        <f>IF(Table1[[#This Row],[Is Data Valid]]=TRUE,((Table1[[#This Row],[Birthweight (grams)]]*0.9/Table1[[#This Row],[BW_GA]])-1)/(Backend!$B$4/100*Table1[[#This Row],[BW40_3705]]),"")</f>
        <v/>
      </c>
      <c r="I9592" s="7" t="str">
        <f>IF(Table1[[#This Row],[Is Data Valid]]=TRUE,((Table1[[#This Row],[Birthweight (grams)]]*1.1/Table1[[#This Row],[BW_GA]])-1)/(Backend!$B$4/100*Table1[[#This Row],[BW40_3705]]),"")</f>
        <v/>
      </c>
      <c r="J9592" s="7" t="str">
        <f>IF(Table1[[#This Row],[Is Data Valid]]=TRUE,_xlfn.NORM.S.DIST(Table1[[#This Row],[Birthweight Z-Score]],TRUE)*100,"")</f>
        <v/>
      </c>
      <c r="K9592" s="7" t="str">
        <f>IF(Table1[[#This Row],[Is Data Valid]]=TRUE,_xlfn.NORM.S.DIST(Table1[[#This Row],[Birthweight Z-Score (BW-10%)]],TRUE)*100,"")</f>
        <v/>
      </c>
      <c r="L9592" s="7" t="str">
        <f>IF(Table1[[#This Row],[Is Data Valid]]=TRUE,_xlfn.NORM.S.DIST(Table1[[#This Row],[Birthweight Z-Score (BW+10%)]],TRUE)*100,"")</f>
        <v/>
      </c>
    </row>
    <row r="9593" spans="1:12" x14ac:dyDescent="0.35">
      <c r="A9593" s="3"/>
      <c r="B9593" s="2"/>
      <c r="C9593" s="2"/>
      <c r="D9593" s="2" t="b">
        <f>IF(AND(NOT(ISBLANK(Table1[[#This Row],[Fetal Sex (Male, Female or Unknown)]])),ISNUMBER(Table1[[#This Row],[Birthweight (grams)]]),ISNUMBER(Table1[[#This Row],[Gestation (days)]])),TRUE,FALSE)</f>
        <v>0</v>
      </c>
      <c r="E9593" s="2" t="str">
        <f>IF(Table1[[#This Row],[Is Data Valid]]=TRUE,IF(Table1[[#This Row],[Fetal Sex (Male, Female or Unknown)]]="Male",Backend!$C$6,IF(Table1[[#This Row],[Fetal Sex (Male, Female or Unknown)]]="Female",Backend!$C$7,IF(Table1[[#This Row],[Fetal Sex (Male, Female or Unknown)]]="Unknown",Backend!$C$8,"Error"))),"")</f>
        <v/>
      </c>
      <c r="F9593" s="8" t="str">
        <f>IF(Table1[[#This Row],[Is Data Valid]]=TRUE,EXP(0.578+0.332*((Table1[[#This Row],[Gestation (days)]]+0.5)/7)-0.00354*((Table1[[#This Row],[Gestation (days)]]+0.5)/7)^2)*Table1[[#This Row],[BW40_3705]],"")</f>
        <v/>
      </c>
      <c r="G9593" s="2" t="str">
        <f>IF(Table1[[#This Row],[Is Data Valid]]=TRUE,((Table1[[#This Row],[Birthweight (grams)]]/Table1[[#This Row],[BW_GA]])-1)/(Backend!$B$4/100*Table1[[#This Row],[BW40_3705]]),"")</f>
        <v/>
      </c>
      <c r="H9593" s="7" t="str">
        <f>IF(Table1[[#This Row],[Is Data Valid]]=TRUE,((Table1[[#This Row],[Birthweight (grams)]]*0.9/Table1[[#This Row],[BW_GA]])-1)/(Backend!$B$4/100*Table1[[#This Row],[BW40_3705]]),"")</f>
        <v/>
      </c>
      <c r="I9593" s="7" t="str">
        <f>IF(Table1[[#This Row],[Is Data Valid]]=TRUE,((Table1[[#This Row],[Birthweight (grams)]]*1.1/Table1[[#This Row],[BW_GA]])-1)/(Backend!$B$4/100*Table1[[#This Row],[BW40_3705]]),"")</f>
        <v/>
      </c>
      <c r="J9593" s="7" t="str">
        <f>IF(Table1[[#This Row],[Is Data Valid]]=TRUE,_xlfn.NORM.S.DIST(Table1[[#This Row],[Birthweight Z-Score]],TRUE)*100,"")</f>
        <v/>
      </c>
      <c r="K9593" s="7" t="str">
        <f>IF(Table1[[#This Row],[Is Data Valid]]=TRUE,_xlfn.NORM.S.DIST(Table1[[#This Row],[Birthweight Z-Score (BW-10%)]],TRUE)*100,"")</f>
        <v/>
      </c>
      <c r="L9593" s="7" t="str">
        <f>IF(Table1[[#This Row],[Is Data Valid]]=TRUE,_xlfn.NORM.S.DIST(Table1[[#This Row],[Birthweight Z-Score (BW+10%)]],TRUE)*100,"")</f>
        <v/>
      </c>
    </row>
    <row r="9594" spans="1:12" x14ac:dyDescent="0.35">
      <c r="A9594" s="3"/>
      <c r="B9594" s="2"/>
      <c r="C9594" s="2"/>
      <c r="D9594" s="2" t="b">
        <f>IF(AND(NOT(ISBLANK(Table1[[#This Row],[Fetal Sex (Male, Female or Unknown)]])),ISNUMBER(Table1[[#This Row],[Birthweight (grams)]]),ISNUMBER(Table1[[#This Row],[Gestation (days)]])),TRUE,FALSE)</f>
        <v>0</v>
      </c>
      <c r="E9594" s="2" t="str">
        <f>IF(Table1[[#This Row],[Is Data Valid]]=TRUE,IF(Table1[[#This Row],[Fetal Sex (Male, Female or Unknown)]]="Male",Backend!$C$6,IF(Table1[[#This Row],[Fetal Sex (Male, Female or Unknown)]]="Female",Backend!$C$7,IF(Table1[[#This Row],[Fetal Sex (Male, Female or Unknown)]]="Unknown",Backend!$C$8,"Error"))),"")</f>
        <v/>
      </c>
      <c r="F9594" s="8" t="str">
        <f>IF(Table1[[#This Row],[Is Data Valid]]=TRUE,EXP(0.578+0.332*((Table1[[#This Row],[Gestation (days)]]+0.5)/7)-0.00354*((Table1[[#This Row],[Gestation (days)]]+0.5)/7)^2)*Table1[[#This Row],[BW40_3705]],"")</f>
        <v/>
      </c>
      <c r="G9594" s="2" t="str">
        <f>IF(Table1[[#This Row],[Is Data Valid]]=TRUE,((Table1[[#This Row],[Birthweight (grams)]]/Table1[[#This Row],[BW_GA]])-1)/(Backend!$B$4/100*Table1[[#This Row],[BW40_3705]]),"")</f>
        <v/>
      </c>
      <c r="H9594" s="7" t="str">
        <f>IF(Table1[[#This Row],[Is Data Valid]]=TRUE,((Table1[[#This Row],[Birthweight (grams)]]*0.9/Table1[[#This Row],[BW_GA]])-1)/(Backend!$B$4/100*Table1[[#This Row],[BW40_3705]]),"")</f>
        <v/>
      </c>
      <c r="I9594" s="7" t="str">
        <f>IF(Table1[[#This Row],[Is Data Valid]]=TRUE,((Table1[[#This Row],[Birthweight (grams)]]*1.1/Table1[[#This Row],[BW_GA]])-1)/(Backend!$B$4/100*Table1[[#This Row],[BW40_3705]]),"")</f>
        <v/>
      </c>
      <c r="J9594" s="7" t="str">
        <f>IF(Table1[[#This Row],[Is Data Valid]]=TRUE,_xlfn.NORM.S.DIST(Table1[[#This Row],[Birthweight Z-Score]],TRUE)*100,"")</f>
        <v/>
      </c>
      <c r="K9594" s="7" t="str">
        <f>IF(Table1[[#This Row],[Is Data Valid]]=TRUE,_xlfn.NORM.S.DIST(Table1[[#This Row],[Birthweight Z-Score (BW-10%)]],TRUE)*100,"")</f>
        <v/>
      </c>
      <c r="L9594" s="7" t="str">
        <f>IF(Table1[[#This Row],[Is Data Valid]]=TRUE,_xlfn.NORM.S.DIST(Table1[[#This Row],[Birthweight Z-Score (BW+10%)]],TRUE)*100,"")</f>
        <v/>
      </c>
    </row>
    <row r="9595" spans="1:12" x14ac:dyDescent="0.35">
      <c r="A9595" s="3"/>
      <c r="B9595" s="2"/>
      <c r="C9595" s="2"/>
      <c r="D9595" s="2" t="b">
        <f>IF(AND(NOT(ISBLANK(Table1[[#This Row],[Fetal Sex (Male, Female or Unknown)]])),ISNUMBER(Table1[[#This Row],[Birthweight (grams)]]),ISNUMBER(Table1[[#This Row],[Gestation (days)]])),TRUE,FALSE)</f>
        <v>0</v>
      </c>
      <c r="E9595" s="2" t="str">
        <f>IF(Table1[[#This Row],[Is Data Valid]]=TRUE,IF(Table1[[#This Row],[Fetal Sex (Male, Female or Unknown)]]="Male",Backend!$C$6,IF(Table1[[#This Row],[Fetal Sex (Male, Female or Unknown)]]="Female",Backend!$C$7,IF(Table1[[#This Row],[Fetal Sex (Male, Female or Unknown)]]="Unknown",Backend!$C$8,"Error"))),"")</f>
        <v/>
      </c>
      <c r="F9595" s="8" t="str">
        <f>IF(Table1[[#This Row],[Is Data Valid]]=TRUE,EXP(0.578+0.332*((Table1[[#This Row],[Gestation (days)]]+0.5)/7)-0.00354*((Table1[[#This Row],[Gestation (days)]]+0.5)/7)^2)*Table1[[#This Row],[BW40_3705]],"")</f>
        <v/>
      </c>
      <c r="G9595" s="2" t="str">
        <f>IF(Table1[[#This Row],[Is Data Valid]]=TRUE,((Table1[[#This Row],[Birthweight (grams)]]/Table1[[#This Row],[BW_GA]])-1)/(Backend!$B$4/100*Table1[[#This Row],[BW40_3705]]),"")</f>
        <v/>
      </c>
      <c r="H9595" s="7" t="str">
        <f>IF(Table1[[#This Row],[Is Data Valid]]=TRUE,((Table1[[#This Row],[Birthweight (grams)]]*0.9/Table1[[#This Row],[BW_GA]])-1)/(Backend!$B$4/100*Table1[[#This Row],[BW40_3705]]),"")</f>
        <v/>
      </c>
      <c r="I9595" s="7" t="str">
        <f>IF(Table1[[#This Row],[Is Data Valid]]=TRUE,((Table1[[#This Row],[Birthweight (grams)]]*1.1/Table1[[#This Row],[BW_GA]])-1)/(Backend!$B$4/100*Table1[[#This Row],[BW40_3705]]),"")</f>
        <v/>
      </c>
      <c r="J9595" s="7" t="str">
        <f>IF(Table1[[#This Row],[Is Data Valid]]=TRUE,_xlfn.NORM.S.DIST(Table1[[#This Row],[Birthweight Z-Score]],TRUE)*100,"")</f>
        <v/>
      </c>
      <c r="K9595" s="7" t="str">
        <f>IF(Table1[[#This Row],[Is Data Valid]]=TRUE,_xlfn.NORM.S.DIST(Table1[[#This Row],[Birthweight Z-Score (BW-10%)]],TRUE)*100,"")</f>
        <v/>
      </c>
      <c r="L9595" s="7" t="str">
        <f>IF(Table1[[#This Row],[Is Data Valid]]=TRUE,_xlfn.NORM.S.DIST(Table1[[#This Row],[Birthweight Z-Score (BW+10%)]],TRUE)*100,"")</f>
        <v/>
      </c>
    </row>
    <row r="9596" spans="1:12" x14ac:dyDescent="0.35">
      <c r="A9596" s="3"/>
      <c r="B9596" s="2"/>
      <c r="C9596" s="2"/>
      <c r="D9596" s="2" t="b">
        <f>IF(AND(NOT(ISBLANK(Table1[[#This Row],[Fetal Sex (Male, Female or Unknown)]])),ISNUMBER(Table1[[#This Row],[Birthweight (grams)]]),ISNUMBER(Table1[[#This Row],[Gestation (days)]])),TRUE,FALSE)</f>
        <v>0</v>
      </c>
      <c r="E9596" s="2" t="str">
        <f>IF(Table1[[#This Row],[Is Data Valid]]=TRUE,IF(Table1[[#This Row],[Fetal Sex (Male, Female or Unknown)]]="Male",Backend!$C$6,IF(Table1[[#This Row],[Fetal Sex (Male, Female or Unknown)]]="Female",Backend!$C$7,IF(Table1[[#This Row],[Fetal Sex (Male, Female or Unknown)]]="Unknown",Backend!$C$8,"Error"))),"")</f>
        <v/>
      </c>
      <c r="F9596" s="8" t="str">
        <f>IF(Table1[[#This Row],[Is Data Valid]]=TRUE,EXP(0.578+0.332*((Table1[[#This Row],[Gestation (days)]]+0.5)/7)-0.00354*((Table1[[#This Row],[Gestation (days)]]+0.5)/7)^2)*Table1[[#This Row],[BW40_3705]],"")</f>
        <v/>
      </c>
      <c r="G9596" s="2" t="str">
        <f>IF(Table1[[#This Row],[Is Data Valid]]=TRUE,((Table1[[#This Row],[Birthweight (grams)]]/Table1[[#This Row],[BW_GA]])-1)/(Backend!$B$4/100*Table1[[#This Row],[BW40_3705]]),"")</f>
        <v/>
      </c>
      <c r="H9596" s="7" t="str">
        <f>IF(Table1[[#This Row],[Is Data Valid]]=TRUE,((Table1[[#This Row],[Birthweight (grams)]]*0.9/Table1[[#This Row],[BW_GA]])-1)/(Backend!$B$4/100*Table1[[#This Row],[BW40_3705]]),"")</f>
        <v/>
      </c>
      <c r="I9596" s="7" t="str">
        <f>IF(Table1[[#This Row],[Is Data Valid]]=TRUE,((Table1[[#This Row],[Birthweight (grams)]]*1.1/Table1[[#This Row],[BW_GA]])-1)/(Backend!$B$4/100*Table1[[#This Row],[BW40_3705]]),"")</f>
        <v/>
      </c>
      <c r="J9596" s="7" t="str">
        <f>IF(Table1[[#This Row],[Is Data Valid]]=TRUE,_xlfn.NORM.S.DIST(Table1[[#This Row],[Birthweight Z-Score]],TRUE)*100,"")</f>
        <v/>
      </c>
      <c r="K9596" s="7" t="str">
        <f>IF(Table1[[#This Row],[Is Data Valid]]=TRUE,_xlfn.NORM.S.DIST(Table1[[#This Row],[Birthweight Z-Score (BW-10%)]],TRUE)*100,"")</f>
        <v/>
      </c>
      <c r="L9596" s="7" t="str">
        <f>IF(Table1[[#This Row],[Is Data Valid]]=TRUE,_xlfn.NORM.S.DIST(Table1[[#This Row],[Birthweight Z-Score (BW+10%)]],TRUE)*100,"")</f>
        <v/>
      </c>
    </row>
    <row r="9597" spans="1:12" x14ac:dyDescent="0.35">
      <c r="A9597" s="3"/>
      <c r="B9597" s="2"/>
      <c r="C9597" s="2"/>
      <c r="D9597" s="2" t="b">
        <f>IF(AND(NOT(ISBLANK(Table1[[#This Row],[Fetal Sex (Male, Female or Unknown)]])),ISNUMBER(Table1[[#This Row],[Birthweight (grams)]]),ISNUMBER(Table1[[#This Row],[Gestation (days)]])),TRUE,FALSE)</f>
        <v>0</v>
      </c>
      <c r="E9597" s="2" t="str">
        <f>IF(Table1[[#This Row],[Is Data Valid]]=TRUE,IF(Table1[[#This Row],[Fetal Sex (Male, Female or Unknown)]]="Male",Backend!$C$6,IF(Table1[[#This Row],[Fetal Sex (Male, Female or Unknown)]]="Female",Backend!$C$7,IF(Table1[[#This Row],[Fetal Sex (Male, Female or Unknown)]]="Unknown",Backend!$C$8,"Error"))),"")</f>
        <v/>
      </c>
      <c r="F9597" s="8" t="str">
        <f>IF(Table1[[#This Row],[Is Data Valid]]=TRUE,EXP(0.578+0.332*((Table1[[#This Row],[Gestation (days)]]+0.5)/7)-0.00354*((Table1[[#This Row],[Gestation (days)]]+0.5)/7)^2)*Table1[[#This Row],[BW40_3705]],"")</f>
        <v/>
      </c>
      <c r="G9597" s="2" t="str">
        <f>IF(Table1[[#This Row],[Is Data Valid]]=TRUE,((Table1[[#This Row],[Birthweight (grams)]]/Table1[[#This Row],[BW_GA]])-1)/(Backend!$B$4/100*Table1[[#This Row],[BW40_3705]]),"")</f>
        <v/>
      </c>
      <c r="H9597" s="7" t="str">
        <f>IF(Table1[[#This Row],[Is Data Valid]]=TRUE,((Table1[[#This Row],[Birthweight (grams)]]*0.9/Table1[[#This Row],[BW_GA]])-1)/(Backend!$B$4/100*Table1[[#This Row],[BW40_3705]]),"")</f>
        <v/>
      </c>
      <c r="I9597" s="7" t="str">
        <f>IF(Table1[[#This Row],[Is Data Valid]]=TRUE,((Table1[[#This Row],[Birthweight (grams)]]*1.1/Table1[[#This Row],[BW_GA]])-1)/(Backend!$B$4/100*Table1[[#This Row],[BW40_3705]]),"")</f>
        <v/>
      </c>
      <c r="J9597" s="7" t="str">
        <f>IF(Table1[[#This Row],[Is Data Valid]]=TRUE,_xlfn.NORM.S.DIST(Table1[[#This Row],[Birthweight Z-Score]],TRUE)*100,"")</f>
        <v/>
      </c>
      <c r="K9597" s="7" t="str">
        <f>IF(Table1[[#This Row],[Is Data Valid]]=TRUE,_xlfn.NORM.S.DIST(Table1[[#This Row],[Birthweight Z-Score (BW-10%)]],TRUE)*100,"")</f>
        <v/>
      </c>
      <c r="L9597" s="7" t="str">
        <f>IF(Table1[[#This Row],[Is Data Valid]]=TRUE,_xlfn.NORM.S.DIST(Table1[[#This Row],[Birthweight Z-Score (BW+10%)]],TRUE)*100,"")</f>
        <v/>
      </c>
    </row>
    <row r="9598" spans="1:12" x14ac:dyDescent="0.35">
      <c r="A9598" s="3"/>
      <c r="B9598" s="2"/>
      <c r="C9598" s="2"/>
      <c r="D9598" s="2" t="b">
        <f>IF(AND(NOT(ISBLANK(Table1[[#This Row],[Fetal Sex (Male, Female or Unknown)]])),ISNUMBER(Table1[[#This Row],[Birthweight (grams)]]),ISNUMBER(Table1[[#This Row],[Gestation (days)]])),TRUE,FALSE)</f>
        <v>0</v>
      </c>
      <c r="E9598" s="2" t="str">
        <f>IF(Table1[[#This Row],[Is Data Valid]]=TRUE,IF(Table1[[#This Row],[Fetal Sex (Male, Female or Unknown)]]="Male",Backend!$C$6,IF(Table1[[#This Row],[Fetal Sex (Male, Female or Unknown)]]="Female",Backend!$C$7,IF(Table1[[#This Row],[Fetal Sex (Male, Female or Unknown)]]="Unknown",Backend!$C$8,"Error"))),"")</f>
        <v/>
      </c>
      <c r="F9598" s="8" t="str">
        <f>IF(Table1[[#This Row],[Is Data Valid]]=TRUE,EXP(0.578+0.332*((Table1[[#This Row],[Gestation (days)]]+0.5)/7)-0.00354*((Table1[[#This Row],[Gestation (days)]]+0.5)/7)^2)*Table1[[#This Row],[BW40_3705]],"")</f>
        <v/>
      </c>
      <c r="G9598" s="2" t="str">
        <f>IF(Table1[[#This Row],[Is Data Valid]]=TRUE,((Table1[[#This Row],[Birthweight (grams)]]/Table1[[#This Row],[BW_GA]])-1)/(Backend!$B$4/100*Table1[[#This Row],[BW40_3705]]),"")</f>
        <v/>
      </c>
      <c r="H9598" s="7" t="str">
        <f>IF(Table1[[#This Row],[Is Data Valid]]=TRUE,((Table1[[#This Row],[Birthweight (grams)]]*0.9/Table1[[#This Row],[BW_GA]])-1)/(Backend!$B$4/100*Table1[[#This Row],[BW40_3705]]),"")</f>
        <v/>
      </c>
      <c r="I9598" s="7" t="str">
        <f>IF(Table1[[#This Row],[Is Data Valid]]=TRUE,((Table1[[#This Row],[Birthweight (grams)]]*1.1/Table1[[#This Row],[BW_GA]])-1)/(Backend!$B$4/100*Table1[[#This Row],[BW40_3705]]),"")</f>
        <v/>
      </c>
      <c r="J9598" s="7" t="str">
        <f>IF(Table1[[#This Row],[Is Data Valid]]=TRUE,_xlfn.NORM.S.DIST(Table1[[#This Row],[Birthweight Z-Score]],TRUE)*100,"")</f>
        <v/>
      </c>
      <c r="K9598" s="7" t="str">
        <f>IF(Table1[[#This Row],[Is Data Valid]]=TRUE,_xlfn.NORM.S.DIST(Table1[[#This Row],[Birthweight Z-Score (BW-10%)]],TRUE)*100,"")</f>
        <v/>
      </c>
      <c r="L9598" s="7" t="str">
        <f>IF(Table1[[#This Row],[Is Data Valid]]=TRUE,_xlfn.NORM.S.DIST(Table1[[#This Row],[Birthweight Z-Score (BW+10%)]],TRUE)*100,"")</f>
        <v/>
      </c>
    </row>
    <row r="9599" spans="1:12" x14ac:dyDescent="0.35">
      <c r="A9599" s="3"/>
      <c r="B9599" s="2"/>
      <c r="C9599" s="2"/>
      <c r="D9599" s="2" t="b">
        <f>IF(AND(NOT(ISBLANK(Table1[[#This Row],[Fetal Sex (Male, Female or Unknown)]])),ISNUMBER(Table1[[#This Row],[Birthweight (grams)]]),ISNUMBER(Table1[[#This Row],[Gestation (days)]])),TRUE,FALSE)</f>
        <v>0</v>
      </c>
      <c r="E9599" s="2" t="str">
        <f>IF(Table1[[#This Row],[Is Data Valid]]=TRUE,IF(Table1[[#This Row],[Fetal Sex (Male, Female or Unknown)]]="Male",Backend!$C$6,IF(Table1[[#This Row],[Fetal Sex (Male, Female or Unknown)]]="Female",Backend!$C$7,IF(Table1[[#This Row],[Fetal Sex (Male, Female or Unknown)]]="Unknown",Backend!$C$8,"Error"))),"")</f>
        <v/>
      </c>
      <c r="F9599" s="8" t="str">
        <f>IF(Table1[[#This Row],[Is Data Valid]]=TRUE,EXP(0.578+0.332*((Table1[[#This Row],[Gestation (days)]]+0.5)/7)-0.00354*((Table1[[#This Row],[Gestation (days)]]+0.5)/7)^2)*Table1[[#This Row],[BW40_3705]],"")</f>
        <v/>
      </c>
      <c r="G9599" s="2" t="str">
        <f>IF(Table1[[#This Row],[Is Data Valid]]=TRUE,((Table1[[#This Row],[Birthweight (grams)]]/Table1[[#This Row],[BW_GA]])-1)/(Backend!$B$4/100*Table1[[#This Row],[BW40_3705]]),"")</f>
        <v/>
      </c>
      <c r="H9599" s="7" t="str">
        <f>IF(Table1[[#This Row],[Is Data Valid]]=TRUE,((Table1[[#This Row],[Birthweight (grams)]]*0.9/Table1[[#This Row],[BW_GA]])-1)/(Backend!$B$4/100*Table1[[#This Row],[BW40_3705]]),"")</f>
        <v/>
      </c>
      <c r="I9599" s="7" t="str">
        <f>IF(Table1[[#This Row],[Is Data Valid]]=TRUE,((Table1[[#This Row],[Birthweight (grams)]]*1.1/Table1[[#This Row],[BW_GA]])-1)/(Backend!$B$4/100*Table1[[#This Row],[BW40_3705]]),"")</f>
        <v/>
      </c>
      <c r="J9599" s="7" t="str">
        <f>IF(Table1[[#This Row],[Is Data Valid]]=TRUE,_xlfn.NORM.S.DIST(Table1[[#This Row],[Birthweight Z-Score]],TRUE)*100,"")</f>
        <v/>
      </c>
      <c r="K9599" s="7" t="str">
        <f>IF(Table1[[#This Row],[Is Data Valid]]=TRUE,_xlfn.NORM.S.DIST(Table1[[#This Row],[Birthweight Z-Score (BW-10%)]],TRUE)*100,"")</f>
        <v/>
      </c>
      <c r="L9599" s="7" t="str">
        <f>IF(Table1[[#This Row],[Is Data Valid]]=TRUE,_xlfn.NORM.S.DIST(Table1[[#This Row],[Birthweight Z-Score (BW+10%)]],TRUE)*100,"")</f>
        <v/>
      </c>
    </row>
    <row r="9600" spans="1:12" x14ac:dyDescent="0.35">
      <c r="A9600" s="3"/>
      <c r="B9600" s="2"/>
      <c r="C9600" s="2"/>
      <c r="D9600" s="2" t="b">
        <f>IF(AND(NOT(ISBLANK(Table1[[#This Row],[Fetal Sex (Male, Female or Unknown)]])),ISNUMBER(Table1[[#This Row],[Birthweight (grams)]]),ISNUMBER(Table1[[#This Row],[Gestation (days)]])),TRUE,FALSE)</f>
        <v>0</v>
      </c>
      <c r="E9600" s="2" t="str">
        <f>IF(Table1[[#This Row],[Is Data Valid]]=TRUE,IF(Table1[[#This Row],[Fetal Sex (Male, Female or Unknown)]]="Male",Backend!$C$6,IF(Table1[[#This Row],[Fetal Sex (Male, Female or Unknown)]]="Female",Backend!$C$7,IF(Table1[[#This Row],[Fetal Sex (Male, Female or Unknown)]]="Unknown",Backend!$C$8,"Error"))),"")</f>
        <v/>
      </c>
      <c r="F9600" s="8" t="str">
        <f>IF(Table1[[#This Row],[Is Data Valid]]=TRUE,EXP(0.578+0.332*((Table1[[#This Row],[Gestation (days)]]+0.5)/7)-0.00354*((Table1[[#This Row],[Gestation (days)]]+0.5)/7)^2)*Table1[[#This Row],[BW40_3705]],"")</f>
        <v/>
      </c>
      <c r="G9600" s="2" t="str">
        <f>IF(Table1[[#This Row],[Is Data Valid]]=TRUE,((Table1[[#This Row],[Birthweight (grams)]]/Table1[[#This Row],[BW_GA]])-1)/(Backend!$B$4/100*Table1[[#This Row],[BW40_3705]]),"")</f>
        <v/>
      </c>
      <c r="H9600" s="7" t="str">
        <f>IF(Table1[[#This Row],[Is Data Valid]]=TRUE,((Table1[[#This Row],[Birthweight (grams)]]*0.9/Table1[[#This Row],[BW_GA]])-1)/(Backend!$B$4/100*Table1[[#This Row],[BW40_3705]]),"")</f>
        <v/>
      </c>
      <c r="I9600" s="7" t="str">
        <f>IF(Table1[[#This Row],[Is Data Valid]]=TRUE,((Table1[[#This Row],[Birthweight (grams)]]*1.1/Table1[[#This Row],[BW_GA]])-1)/(Backend!$B$4/100*Table1[[#This Row],[BW40_3705]]),"")</f>
        <v/>
      </c>
      <c r="J9600" s="7" t="str">
        <f>IF(Table1[[#This Row],[Is Data Valid]]=TRUE,_xlfn.NORM.S.DIST(Table1[[#This Row],[Birthweight Z-Score]],TRUE)*100,"")</f>
        <v/>
      </c>
      <c r="K9600" s="7" t="str">
        <f>IF(Table1[[#This Row],[Is Data Valid]]=TRUE,_xlfn.NORM.S.DIST(Table1[[#This Row],[Birthweight Z-Score (BW-10%)]],TRUE)*100,"")</f>
        <v/>
      </c>
      <c r="L9600" s="7" t="str">
        <f>IF(Table1[[#This Row],[Is Data Valid]]=TRUE,_xlfn.NORM.S.DIST(Table1[[#This Row],[Birthweight Z-Score (BW+10%)]],TRUE)*100,"")</f>
        <v/>
      </c>
    </row>
    <row r="9601" spans="1:12" x14ac:dyDescent="0.35">
      <c r="A9601" s="3"/>
      <c r="B9601" s="2"/>
      <c r="C9601" s="2"/>
      <c r="D9601" s="2" t="b">
        <f>IF(AND(NOT(ISBLANK(Table1[[#This Row],[Fetal Sex (Male, Female or Unknown)]])),ISNUMBER(Table1[[#This Row],[Birthweight (grams)]]),ISNUMBER(Table1[[#This Row],[Gestation (days)]])),TRUE,FALSE)</f>
        <v>0</v>
      </c>
      <c r="E9601" s="2" t="str">
        <f>IF(Table1[[#This Row],[Is Data Valid]]=TRUE,IF(Table1[[#This Row],[Fetal Sex (Male, Female or Unknown)]]="Male",Backend!$C$6,IF(Table1[[#This Row],[Fetal Sex (Male, Female or Unknown)]]="Female",Backend!$C$7,IF(Table1[[#This Row],[Fetal Sex (Male, Female or Unknown)]]="Unknown",Backend!$C$8,"Error"))),"")</f>
        <v/>
      </c>
      <c r="F9601" s="8" t="str">
        <f>IF(Table1[[#This Row],[Is Data Valid]]=TRUE,EXP(0.578+0.332*((Table1[[#This Row],[Gestation (days)]]+0.5)/7)-0.00354*((Table1[[#This Row],[Gestation (days)]]+0.5)/7)^2)*Table1[[#This Row],[BW40_3705]],"")</f>
        <v/>
      </c>
      <c r="G9601" s="2" t="str">
        <f>IF(Table1[[#This Row],[Is Data Valid]]=TRUE,((Table1[[#This Row],[Birthweight (grams)]]/Table1[[#This Row],[BW_GA]])-1)/(Backend!$B$4/100*Table1[[#This Row],[BW40_3705]]),"")</f>
        <v/>
      </c>
      <c r="H9601" s="7" t="str">
        <f>IF(Table1[[#This Row],[Is Data Valid]]=TRUE,((Table1[[#This Row],[Birthweight (grams)]]*0.9/Table1[[#This Row],[BW_GA]])-1)/(Backend!$B$4/100*Table1[[#This Row],[BW40_3705]]),"")</f>
        <v/>
      </c>
      <c r="I9601" s="7" t="str">
        <f>IF(Table1[[#This Row],[Is Data Valid]]=TRUE,((Table1[[#This Row],[Birthweight (grams)]]*1.1/Table1[[#This Row],[BW_GA]])-1)/(Backend!$B$4/100*Table1[[#This Row],[BW40_3705]]),"")</f>
        <v/>
      </c>
      <c r="J9601" s="7" t="str">
        <f>IF(Table1[[#This Row],[Is Data Valid]]=TRUE,_xlfn.NORM.S.DIST(Table1[[#This Row],[Birthweight Z-Score]],TRUE)*100,"")</f>
        <v/>
      </c>
      <c r="K9601" s="7" t="str">
        <f>IF(Table1[[#This Row],[Is Data Valid]]=TRUE,_xlfn.NORM.S.DIST(Table1[[#This Row],[Birthweight Z-Score (BW-10%)]],TRUE)*100,"")</f>
        <v/>
      </c>
      <c r="L9601" s="7" t="str">
        <f>IF(Table1[[#This Row],[Is Data Valid]]=TRUE,_xlfn.NORM.S.DIST(Table1[[#This Row],[Birthweight Z-Score (BW+10%)]],TRUE)*100,"")</f>
        <v/>
      </c>
    </row>
    <row r="9602" spans="1:12" x14ac:dyDescent="0.35">
      <c r="A9602" s="3"/>
      <c r="B9602" s="2"/>
      <c r="C9602" s="2"/>
      <c r="D9602" s="2" t="b">
        <f>IF(AND(NOT(ISBLANK(Table1[[#This Row],[Fetal Sex (Male, Female or Unknown)]])),ISNUMBER(Table1[[#This Row],[Birthweight (grams)]]),ISNUMBER(Table1[[#This Row],[Gestation (days)]])),TRUE,FALSE)</f>
        <v>0</v>
      </c>
      <c r="E9602" s="2" t="str">
        <f>IF(Table1[[#This Row],[Is Data Valid]]=TRUE,IF(Table1[[#This Row],[Fetal Sex (Male, Female or Unknown)]]="Male",Backend!$C$6,IF(Table1[[#This Row],[Fetal Sex (Male, Female or Unknown)]]="Female",Backend!$C$7,IF(Table1[[#This Row],[Fetal Sex (Male, Female or Unknown)]]="Unknown",Backend!$C$8,"Error"))),"")</f>
        <v/>
      </c>
      <c r="F9602" s="8" t="str">
        <f>IF(Table1[[#This Row],[Is Data Valid]]=TRUE,EXP(0.578+0.332*((Table1[[#This Row],[Gestation (days)]]+0.5)/7)-0.00354*((Table1[[#This Row],[Gestation (days)]]+0.5)/7)^2)*Table1[[#This Row],[BW40_3705]],"")</f>
        <v/>
      </c>
      <c r="G9602" s="2" t="str">
        <f>IF(Table1[[#This Row],[Is Data Valid]]=TRUE,((Table1[[#This Row],[Birthweight (grams)]]/Table1[[#This Row],[BW_GA]])-1)/(Backend!$B$4/100*Table1[[#This Row],[BW40_3705]]),"")</f>
        <v/>
      </c>
      <c r="H9602" s="7" t="str">
        <f>IF(Table1[[#This Row],[Is Data Valid]]=TRUE,((Table1[[#This Row],[Birthweight (grams)]]*0.9/Table1[[#This Row],[BW_GA]])-1)/(Backend!$B$4/100*Table1[[#This Row],[BW40_3705]]),"")</f>
        <v/>
      </c>
      <c r="I9602" s="7" t="str">
        <f>IF(Table1[[#This Row],[Is Data Valid]]=TRUE,((Table1[[#This Row],[Birthweight (grams)]]*1.1/Table1[[#This Row],[BW_GA]])-1)/(Backend!$B$4/100*Table1[[#This Row],[BW40_3705]]),"")</f>
        <v/>
      </c>
      <c r="J9602" s="7" t="str">
        <f>IF(Table1[[#This Row],[Is Data Valid]]=TRUE,_xlfn.NORM.S.DIST(Table1[[#This Row],[Birthweight Z-Score]],TRUE)*100,"")</f>
        <v/>
      </c>
      <c r="K9602" s="7" t="str">
        <f>IF(Table1[[#This Row],[Is Data Valid]]=TRUE,_xlfn.NORM.S.DIST(Table1[[#This Row],[Birthweight Z-Score (BW-10%)]],TRUE)*100,"")</f>
        <v/>
      </c>
      <c r="L9602" s="7" t="str">
        <f>IF(Table1[[#This Row],[Is Data Valid]]=TRUE,_xlfn.NORM.S.DIST(Table1[[#This Row],[Birthweight Z-Score (BW+10%)]],TRUE)*100,"")</f>
        <v/>
      </c>
    </row>
    <row r="9603" spans="1:12" x14ac:dyDescent="0.35">
      <c r="A9603" s="3"/>
      <c r="B9603" s="2"/>
      <c r="C9603" s="2"/>
      <c r="D9603" s="2" t="b">
        <f>IF(AND(NOT(ISBLANK(Table1[[#This Row],[Fetal Sex (Male, Female or Unknown)]])),ISNUMBER(Table1[[#This Row],[Birthweight (grams)]]),ISNUMBER(Table1[[#This Row],[Gestation (days)]])),TRUE,FALSE)</f>
        <v>0</v>
      </c>
      <c r="E9603" s="2" t="str">
        <f>IF(Table1[[#This Row],[Is Data Valid]]=TRUE,IF(Table1[[#This Row],[Fetal Sex (Male, Female or Unknown)]]="Male",Backend!$C$6,IF(Table1[[#This Row],[Fetal Sex (Male, Female or Unknown)]]="Female",Backend!$C$7,IF(Table1[[#This Row],[Fetal Sex (Male, Female or Unknown)]]="Unknown",Backend!$C$8,"Error"))),"")</f>
        <v/>
      </c>
      <c r="F9603" s="8" t="str">
        <f>IF(Table1[[#This Row],[Is Data Valid]]=TRUE,EXP(0.578+0.332*((Table1[[#This Row],[Gestation (days)]]+0.5)/7)-0.00354*((Table1[[#This Row],[Gestation (days)]]+0.5)/7)^2)*Table1[[#This Row],[BW40_3705]],"")</f>
        <v/>
      </c>
      <c r="G9603" s="2" t="str">
        <f>IF(Table1[[#This Row],[Is Data Valid]]=TRUE,((Table1[[#This Row],[Birthweight (grams)]]/Table1[[#This Row],[BW_GA]])-1)/(Backend!$B$4/100*Table1[[#This Row],[BW40_3705]]),"")</f>
        <v/>
      </c>
      <c r="H9603" s="7" t="str">
        <f>IF(Table1[[#This Row],[Is Data Valid]]=TRUE,((Table1[[#This Row],[Birthweight (grams)]]*0.9/Table1[[#This Row],[BW_GA]])-1)/(Backend!$B$4/100*Table1[[#This Row],[BW40_3705]]),"")</f>
        <v/>
      </c>
      <c r="I9603" s="7" t="str">
        <f>IF(Table1[[#This Row],[Is Data Valid]]=TRUE,((Table1[[#This Row],[Birthweight (grams)]]*1.1/Table1[[#This Row],[BW_GA]])-1)/(Backend!$B$4/100*Table1[[#This Row],[BW40_3705]]),"")</f>
        <v/>
      </c>
      <c r="J9603" s="7" t="str">
        <f>IF(Table1[[#This Row],[Is Data Valid]]=TRUE,_xlfn.NORM.S.DIST(Table1[[#This Row],[Birthweight Z-Score]],TRUE)*100,"")</f>
        <v/>
      </c>
      <c r="K9603" s="7" t="str">
        <f>IF(Table1[[#This Row],[Is Data Valid]]=TRUE,_xlfn.NORM.S.DIST(Table1[[#This Row],[Birthweight Z-Score (BW-10%)]],TRUE)*100,"")</f>
        <v/>
      </c>
      <c r="L9603" s="7" t="str">
        <f>IF(Table1[[#This Row],[Is Data Valid]]=TRUE,_xlfn.NORM.S.DIST(Table1[[#This Row],[Birthweight Z-Score (BW+10%)]],TRUE)*100,"")</f>
        <v/>
      </c>
    </row>
    <row r="9604" spans="1:12" x14ac:dyDescent="0.35">
      <c r="A9604" s="3"/>
      <c r="B9604" s="2"/>
      <c r="C9604" s="2"/>
      <c r="D9604" s="2" t="b">
        <f>IF(AND(NOT(ISBLANK(Table1[[#This Row],[Fetal Sex (Male, Female or Unknown)]])),ISNUMBER(Table1[[#This Row],[Birthweight (grams)]]),ISNUMBER(Table1[[#This Row],[Gestation (days)]])),TRUE,FALSE)</f>
        <v>0</v>
      </c>
      <c r="E9604" s="2" t="str">
        <f>IF(Table1[[#This Row],[Is Data Valid]]=TRUE,IF(Table1[[#This Row],[Fetal Sex (Male, Female or Unknown)]]="Male",Backend!$C$6,IF(Table1[[#This Row],[Fetal Sex (Male, Female or Unknown)]]="Female",Backend!$C$7,IF(Table1[[#This Row],[Fetal Sex (Male, Female or Unknown)]]="Unknown",Backend!$C$8,"Error"))),"")</f>
        <v/>
      </c>
      <c r="F9604" s="8" t="str">
        <f>IF(Table1[[#This Row],[Is Data Valid]]=TRUE,EXP(0.578+0.332*((Table1[[#This Row],[Gestation (days)]]+0.5)/7)-0.00354*((Table1[[#This Row],[Gestation (days)]]+0.5)/7)^2)*Table1[[#This Row],[BW40_3705]],"")</f>
        <v/>
      </c>
      <c r="G9604" s="2" t="str">
        <f>IF(Table1[[#This Row],[Is Data Valid]]=TRUE,((Table1[[#This Row],[Birthweight (grams)]]/Table1[[#This Row],[BW_GA]])-1)/(Backend!$B$4/100*Table1[[#This Row],[BW40_3705]]),"")</f>
        <v/>
      </c>
      <c r="H9604" s="7" t="str">
        <f>IF(Table1[[#This Row],[Is Data Valid]]=TRUE,((Table1[[#This Row],[Birthweight (grams)]]*0.9/Table1[[#This Row],[BW_GA]])-1)/(Backend!$B$4/100*Table1[[#This Row],[BW40_3705]]),"")</f>
        <v/>
      </c>
      <c r="I9604" s="7" t="str">
        <f>IF(Table1[[#This Row],[Is Data Valid]]=TRUE,((Table1[[#This Row],[Birthweight (grams)]]*1.1/Table1[[#This Row],[BW_GA]])-1)/(Backend!$B$4/100*Table1[[#This Row],[BW40_3705]]),"")</f>
        <v/>
      </c>
      <c r="J9604" s="7" t="str">
        <f>IF(Table1[[#This Row],[Is Data Valid]]=TRUE,_xlfn.NORM.S.DIST(Table1[[#This Row],[Birthweight Z-Score]],TRUE)*100,"")</f>
        <v/>
      </c>
      <c r="K9604" s="7" t="str">
        <f>IF(Table1[[#This Row],[Is Data Valid]]=TRUE,_xlfn.NORM.S.DIST(Table1[[#This Row],[Birthweight Z-Score (BW-10%)]],TRUE)*100,"")</f>
        <v/>
      </c>
      <c r="L9604" s="7" t="str">
        <f>IF(Table1[[#This Row],[Is Data Valid]]=TRUE,_xlfn.NORM.S.DIST(Table1[[#This Row],[Birthweight Z-Score (BW+10%)]],TRUE)*100,"")</f>
        <v/>
      </c>
    </row>
    <row r="9605" spans="1:12" x14ac:dyDescent="0.35">
      <c r="A9605" s="3"/>
      <c r="B9605" s="2"/>
      <c r="C9605" s="2"/>
      <c r="D9605" s="2" t="b">
        <f>IF(AND(NOT(ISBLANK(Table1[[#This Row],[Fetal Sex (Male, Female or Unknown)]])),ISNUMBER(Table1[[#This Row],[Birthweight (grams)]]),ISNUMBER(Table1[[#This Row],[Gestation (days)]])),TRUE,FALSE)</f>
        <v>0</v>
      </c>
      <c r="E9605" s="2" t="str">
        <f>IF(Table1[[#This Row],[Is Data Valid]]=TRUE,IF(Table1[[#This Row],[Fetal Sex (Male, Female or Unknown)]]="Male",Backend!$C$6,IF(Table1[[#This Row],[Fetal Sex (Male, Female or Unknown)]]="Female",Backend!$C$7,IF(Table1[[#This Row],[Fetal Sex (Male, Female or Unknown)]]="Unknown",Backend!$C$8,"Error"))),"")</f>
        <v/>
      </c>
      <c r="F9605" s="8" t="str">
        <f>IF(Table1[[#This Row],[Is Data Valid]]=TRUE,EXP(0.578+0.332*((Table1[[#This Row],[Gestation (days)]]+0.5)/7)-0.00354*((Table1[[#This Row],[Gestation (days)]]+0.5)/7)^2)*Table1[[#This Row],[BW40_3705]],"")</f>
        <v/>
      </c>
      <c r="G9605" s="2" t="str">
        <f>IF(Table1[[#This Row],[Is Data Valid]]=TRUE,((Table1[[#This Row],[Birthweight (grams)]]/Table1[[#This Row],[BW_GA]])-1)/(Backend!$B$4/100*Table1[[#This Row],[BW40_3705]]),"")</f>
        <v/>
      </c>
      <c r="H9605" s="7" t="str">
        <f>IF(Table1[[#This Row],[Is Data Valid]]=TRUE,((Table1[[#This Row],[Birthweight (grams)]]*0.9/Table1[[#This Row],[BW_GA]])-1)/(Backend!$B$4/100*Table1[[#This Row],[BW40_3705]]),"")</f>
        <v/>
      </c>
      <c r="I9605" s="7" t="str">
        <f>IF(Table1[[#This Row],[Is Data Valid]]=TRUE,((Table1[[#This Row],[Birthweight (grams)]]*1.1/Table1[[#This Row],[BW_GA]])-1)/(Backend!$B$4/100*Table1[[#This Row],[BW40_3705]]),"")</f>
        <v/>
      </c>
      <c r="J9605" s="7" t="str">
        <f>IF(Table1[[#This Row],[Is Data Valid]]=TRUE,_xlfn.NORM.S.DIST(Table1[[#This Row],[Birthweight Z-Score]],TRUE)*100,"")</f>
        <v/>
      </c>
      <c r="K9605" s="7" t="str">
        <f>IF(Table1[[#This Row],[Is Data Valid]]=TRUE,_xlfn.NORM.S.DIST(Table1[[#This Row],[Birthweight Z-Score (BW-10%)]],TRUE)*100,"")</f>
        <v/>
      </c>
      <c r="L9605" s="7" t="str">
        <f>IF(Table1[[#This Row],[Is Data Valid]]=TRUE,_xlfn.NORM.S.DIST(Table1[[#This Row],[Birthweight Z-Score (BW+10%)]],TRUE)*100,"")</f>
        <v/>
      </c>
    </row>
    <row r="9606" spans="1:12" x14ac:dyDescent="0.35">
      <c r="A9606" s="3"/>
      <c r="B9606" s="2"/>
      <c r="C9606" s="2"/>
      <c r="D9606" s="2" t="b">
        <f>IF(AND(NOT(ISBLANK(Table1[[#This Row],[Fetal Sex (Male, Female or Unknown)]])),ISNUMBER(Table1[[#This Row],[Birthweight (grams)]]),ISNUMBER(Table1[[#This Row],[Gestation (days)]])),TRUE,FALSE)</f>
        <v>0</v>
      </c>
      <c r="E9606" s="2" t="str">
        <f>IF(Table1[[#This Row],[Is Data Valid]]=TRUE,IF(Table1[[#This Row],[Fetal Sex (Male, Female or Unknown)]]="Male",Backend!$C$6,IF(Table1[[#This Row],[Fetal Sex (Male, Female or Unknown)]]="Female",Backend!$C$7,IF(Table1[[#This Row],[Fetal Sex (Male, Female or Unknown)]]="Unknown",Backend!$C$8,"Error"))),"")</f>
        <v/>
      </c>
      <c r="F9606" s="8" t="str">
        <f>IF(Table1[[#This Row],[Is Data Valid]]=TRUE,EXP(0.578+0.332*((Table1[[#This Row],[Gestation (days)]]+0.5)/7)-0.00354*((Table1[[#This Row],[Gestation (days)]]+0.5)/7)^2)*Table1[[#This Row],[BW40_3705]],"")</f>
        <v/>
      </c>
      <c r="G9606" s="2" t="str">
        <f>IF(Table1[[#This Row],[Is Data Valid]]=TRUE,((Table1[[#This Row],[Birthweight (grams)]]/Table1[[#This Row],[BW_GA]])-1)/(Backend!$B$4/100*Table1[[#This Row],[BW40_3705]]),"")</f>
        <v/>
      </c>
      <c r="H9606" s="7" t="str">
        <f>IF(Table1[[#This Row],[Is Data Valid]]=TRUE,((Table1[[#This Row],[Birthweight (grams)]]*0.9/Table1[[#This Row],[BW_GA]])-1)/(Backend!$B$4/100*Table1[[#This Row],[BW40_3705]]),"")</f>
        <v/>
      </c>
      <c r="I9606" s="7" t="str">
        <f>IF(Table1[[#This Row],[Is Data Valid]]=TRUE,((Table1[[#This Row],[Birthweight (grams)]]*1.1/Table1[[#This Row],[BW_GA]])-1)/(Backend!$B$4/100*Table1[[#This Row],[BW40_3705]]),"")</f>
        <v/>
      </c>
      <c r="J9606" s="7" t="str">
        <f>IF(Table1[[#This Row],[Is Data Valid]]=TRUE,_xlfn.NORM.S.DIST(Table1[[#This Row],[Birthweight Z-Score]],TRUE)*100,"")</f>
        <v/>
      </c>
      <c r="K9606" s="7" t="str">
        <f>IF(Table1[[#This Row],[Is Data Valid]]=TRUE,_xlfn.NORM.S.DIST(Table1[[#This Row],[Birthweight Z-Score (BW-10%)]],TRUE)*100,"")</f>
        <v/>
      </c>
      <c r="L9606" s="7" t="str">
        <f>IF(Table1[[#This Row],[Is Data Valid]]=TRUE,_xlfn.NORM.S.DIST(Table1[[#This Row],[Birthweight Z-Score (BW+10%)]],TRUE)*100,"")</f>
        <v/>
      </c>
    </row>
    <row r="9607" spans="1:12" x14ac:dyDescent="0.35">
      <c r="A9607" s="3"/>
      <c r="B9607" s="2"/>
      <c r="C9607" s="2"/>
      <c r="D9607" s="2" t="b">
        <f>IF(AND(NOT(ISBLANK(Table1[[#This Row],[Fetal Sex (Male, Female or Unknown)]])),ISNUMBER(Table1[[#This Row],[Birthweight (grams)]]),ISNUMBER(Table1[[#This Row],[Gestation (days)]])),TRUE,FALSE)</f>
        <v>0</v>
      </c>
      <c r="E9607" s="2" t="str">
        <f>IF(Table1[[#This Row],[Is Data Valid]]=TRUE,IF(Table1[[#This Row],[Fetal Sex (Male, Female or Unknown)]]="Male",Backend!$C$6,IF(Table1[[#This Row],[Fetal Sex (Male, Female or Unknown)]]="Female",Backend!$C$7,IF(Table1[[#This Row],[Fetal Sex (Male, Female or Unknown)]]="Unknown",Backend!$C$8,"Error"))),"")</f>
        <v/>
      </c>
      <c r="F9607" s="8" t="str">
        <f>IF(Table1[[#This Row],[Is Data Valid]]=TRUE,EXP(0.578+0.332*((Table1[[#This Row],[Gestation (days)]]+0.5)/7)-0.00354*((Table1[[#This Row],[Gestation (days)]]+0.5)/7)^2)*Table1[[#This Row],[BW40_3705]],"")</f>
        <v/>
      </c>
      <c r="G9607" s="2" t="str">
        <f>IF(Table1[[#This Row],[Is Data Valid]]=TRUE,((Table1[[#This Row],[Birthweight (grams)]]/Table1[[#This Row],[BW_GA]])-1)/(Backend!$B$4/100*Table1[[#This Row],[BW40_3705]]),"")</f>
        <v/>
      </c>
      <c r="H9607" s="7" t="str">
        <f>IF(Table1[[#This Row],[Is Data Valid]]=TRUE,((Table1[[#This Row],[Birthweight (grams)]]*0.9/Table1[[#This Row],[BW_GA]])-1)/(Backend!$B$4/100*Table1[[#This Row],[BW40_3705]]),"")</f>
        <v/>
      </c>
      <c r="I9607" s="7" t="str">
        <f>IF(Table1[[#This Row],[Is Data Valid]]=TRUE,((Table1[[#This Row],[Birthweight (grams)]]*1.1/Table1[[#This Row],[BW_GA]])-1)/(Backend!$B$4/100*Table1[[#This Row],[BW40_3705]]),"")</f>
        <v/>
      </c>
      <c r="J9607" s="7" t="str">
        <f>IF(Table1[[#This Row],[Is Data Valid]]=TRUE,_xlfn.NORM.S.DIST(Table1[[#This Row],[Birthweight Z-Score]],TRUE)*100,"")</f>
        <v/>
      </c>
      <c r="K9607" s="7" t="str">
        <f>IF(Table1[[#This Row],[Is Data Valid]]=TRUE,_xlfn.NORM.S.DIST(Table1[[#This Row],[Birthweight Z-Score (BW-10%)]],TRUE)*100,"")</f>
        <v/>
      </c>
      <c r="L9607" s="7" t="str">
        <f>IF(Table1[[#This Row],[Is Data Valid]]=TRUE,_xlfn.NORM.S.DIST(Table1[[#This Row],[Birthweight Z-Score (BW+10%)]],TRUE)*100,"")</f>
        <v/>
      </c>
    </row>
    <row r="9608" spans="1:12" x14ac:dyDescent="0.35">
      <c r="A9608" s="3"/>
      <c r="B9608" s="2"/>
      <c r="C9608" s="2"/>
      <c r="D9608" s="2" t="b">
        <f>IF(AND(NOT(ISBLANK(Table1[[#This Row],[Fetal Sex (Male, Female or Unknown)]])),ISNUMBER(Table1[[#This Row],[Birthweight (grams)]]),ISNUMBER(Table1[[#This Row],[Gestation (days)]])),TRUE,FALSE)</f>
        <v>0</v>
      </c>
      <c r="E9608" s="2" t="str">
        <f>IF(Table1[[#This Row],[Is Data Valid]]=TRUE,IF(Table1[[#This Row],[Fetal Sex (Male, Female or Unknown)]]="Male",Backend!$C$6,IF(Table1[[#This Row],[Fetal Sex (Male, Female or Unknown)]]="Female",Backend!$C$7,IF(Table1[[#This Row],[Fetal Sex (Male, Female or Unknown)]]="Unknown",Backend!$C$8,"Error"))),"")</f>
        <v/>
      </c>
      <c r="F9608" s="8" t="str">
        <f>IF(Table1[[#This Row],[Is Data Valid]]=TRUE,EXP(0.578+0.332*((Table1[[#This Row],[Gestation (days)]]+0.5)/7)-0.00354*((Table1[[#This Row],[Gestation (days)]]+0.5)/7)^2)*Table1[[#This Row],[BW40_3705]],"")</f>
        <v/>
      </c>
      <c r="G9608" s="2" t="str">
        <f>IF(Table1[[#This Row],[Is Data Valid]]=TRUE,((Table1[[#This Row],[Birthweight (grams)]]/Table1[[#This Row],[BW_GA]])-1)/(Backend!$B$4/100*Table1[[#This Row],[BW40_3705]]),"")</f>
        <v/>
      </c>
      <c r="H9608" s="7" t="str">
        <f>IF(Table1[[#This Row],[Is Data Valid]]=TRUE,((Table1[[#This Row],[Birthweight (grams)]]*0.9/Table1[[#This Row],[BW_GA]])-1)/(Backend!$B$4/100*Table1[[#This Row],[BW40_3705]]),"")</f>
        <v/>
      </c>
      <c r="I9608" s="7" t="str">
        <f>IF(Table1[[#This Row],[Is Data Valid]]=TRUE,((Table1[[#This Row],[Birthweight (grams)]]*1.1/Table1[[#This Row],[BW_GA]])-1)/(Backend!$B$4/100*Table1[[#This Row],[BW40_3705]]),"")</f>
        <v/>
      </c>
      <c r="J9608" s="7" t="str">
        <f>IF(Table1[[#This Row],[Is Data Valid]]=TRUE,_xlfn.NORM.S.DIST(Table1[[#This Row],[Birthweight Z-Score]],TRUE)*100,"")</f>
        <v/>
      </c>
      <c r="K9608" s="7" t="str">
        <f>IF(Table1[[#This Row],[Is Data Valid]]=TRUE,_xlfn.NORM.S.DIST(Table1[[#This Row],[Birthweight Z-Score (BW-10%)]],TRUE)*100,"")</f>
        <v/>
      </c>
      <c r="L9608" s="7" t="str">
        <f>IF(Table1[[#This Row],[Is Data Valid]]=TRUE,_xlfn.NORM.S.DIST(Table1[[#This Row],[Birthweight Z-Score (BW+10%)]],TRUE)*100,"")</f>
        <v/>
      </c>
    </row>
    <row r="9609" spans="1:12" x14ac:dyDescent="0.35">
      <c r="A9609" s="3"/>
      <c r="B9609" s="2"/>
      <c r="C9609" s="2"/>
      <c r="D9609" s="2" t="b">
        <f>IF(AND(NOT(ISBLANK(Table1[[#This Row],[Fetal Sex (Male, Female or Unknown)]])),ISNUMBER(Table1[[#This Row],[Birthweight (grams)]]),ISNUMBER(Table1[[#This Row],[Gestation (days)]])),TRUE,FALSE)</f>
        <v>0</v>
      </c>
      <c r="E9609" s="2" t="str">
        <f>IF(Table1[[#This Row],[Is Data Valid]]=TRUE,IF(Table1[[#This Row],[Fetal Sex (Male, Female or Unknown)]]="Male",Backend!$C$6,IF(Table1[[#This Row],[Fetal Sex (Male, Female or Unknown)]]="Female",Backend!$C$7,IF(Table1[[#This Row],[Fetal Sex (Male, Female or Unknown)]]="Unknown",Backend!$C$8,"Error"))),"")</f>
        <v/>
      </c>
      <c r="F9609" s="8" t="str">
        <f>IF(Table1[[#This Row],[Is Data Valid]]=TRUE,EXP(0.578+0.332*((Table1[[#This Row],[Gestation (days)]]+0.5)/7)-0.00354*((Table1[[#This Row],[Gestation (days)]]+0.5)/7)^2)*Table1[[#This Row],[BW40_3705]],"")</f>
        <v/>
      </c>
      <c r="G9609" s="2" t="str">
        <f>IF(Table1[[#This Row],[Is Data Valid]]=TRUE,((Table1[[#This Row],[Birthweight (grams)]]/Table1[[#This Row],[BW_GA]])-1)/(Backend!$B$4/100*Table1[[#This Row],[BW40_3705]]),"")</f>
        <v/>
      </c>
      <c r="H9609" s="7" t="str">
        <f>IF(Table1[[#This Row],[Is Data Valid]]=TRUE,((Table1[[#This Row],[Birthweight (grams)]]*0.9/Table1[[#This Row],[BW_GA]])-1)/(Backend!$B$4/100*Table1[[#This Row],[BW40_3705]]),"")</f>
        <v/>
      </c>
      <c r="I9609" s="7" t="str">
        <f>IF(Table1[[#This Row],[Is Data Valid]]=TRUE,((Table1[[#This Row],[Birthweight (grams)]]*1.1/Table1[[#This Row],[BW_GA]])-1)/(Backend!$B$4/100*Table1[[#This Row],[BW40_3705]]),"")</f>
        <v/>
      </c>
      <c r="J9609" s="7" t="str">
        <f>IF(Table1[[#This Row],[Is Data Valid]]=TRUE,_xlfn.NORM.S.DIST(Table1[[#This Row],[Birthweight Z-Score]],TRUE)*100,"")</f>
        <v/>
      </c>
      <c r="K9609" s="7" t="str">
        <f>IF(Table1[[#This Row],[Is Data Valid]]=TRUE,_xlfn.NORM.S.DIST(Table1[[#This Row],[Birthweight Z-Score (BW-10%)]],TRUE)*100,"")</f>
        <v/>
      </c>
      <c r="L9609" s="7" t="str">
        <f>IF(Table1[[#This Row],[Is Data Valid]]=TRUE,_xlfn.NORM.S.DIST(Table1[[#This Row],[Birthweight Z-Score (BW+10%)]],TRUE)*100,"")</f>
        <v/>
      </c>
    </row>
    <row r="9610" spans="1:12" x14ac:dyDescent="0.35">
      <c r="A9610" s="3"/>
      <c r="B9610" s="2"/>
      <c r="C9610" s="2"/>
      <c r="D9610" s="2" t="b">
        <f>IF(AND(NOT(ISBLANK(Table1[[#This Row],[Fetal Sex (Male, Female or Unknown)]])),ISNUMBER(Table1[[#This Row],[Birthweight (grams)]]),ISNUMBER(Table1[[#This Row],[Gestation (days)]])),TRUE,FALSE)</f>
        <v>0</v>
      </c>
      <c r="E9610" s="2" t="str">
        <f>IF(Table1[[#This Row],[Is Data Valid]]=TRUE,IF(Table1[[#This Row],[Fetal Sex (Male, Female or Unknown)]]="Male",Backend!$C$6,IF(Table1[[#This Row],[Fetal Sex (Male, Female or Unknown)]]="Female",Backend!$C$7,IF(Table1[[#This Row],[Fetal Sex (Male, Female or Unknown)]]="Unknown",Backend!$C$8,"Error"))),"")</f>
        <v/>
      </c>
      <c r="F9610" s="8" t="str">
        <f>IF(Table1[[#This Row],[Is Data Valid]]=TRUE,EXP(0.578+0.332*((Table1[[#This Row],[Gestation (days)]]+0.5)/7)-0.00354*((Table1[[#This Row],[Gestation (days)]]+0.5)/7)^2)*Table1[[#This Row],[BW40_3705]],"")</f>
        <v/>
      </c>
      <c r="G9610" s="2" t="str">
        <f>IF(Table1[[#This Row],[Is Data Valid]]=TRUE,((Table1[[#This Row],[Birthweight (grams)]]/Table1[[#This Row],[BW_GA]])-1)/(Backend!$B$4/100*Table1[[#This Row],[BW40_3705]]),"")</f>
        <v/>
      </c>
      <c r="H9610" s="7" t="str">
        <f>IF(Table1[[#This Row],[Is Data Valid]]=TRUE,((Table1[[#This Row],[Birthweight (grams)]]*0.9/Table1[[#This Row],[BW_GA]])-1)/(Backend!$B$4/100*Table1[[#This Row],[BW40_3705]]),"")</f>
        <v/>
      </c>
      <c r="I9610" s="7" t="str">
        <f>IF(Table1[[#This Row],[Is Data Valid]]=TRUE,((Table1[[#This Row],[Birthweight (grams)]]*1.1/Table1[[#This Row],[BW_GA]])-1)/(Backend!$B$4/100*Table1[[#This Row],[BW40_3705]]),"")</f>
        <v/>
      </c>
      <c r="J9610" s="7" t="str">
        <f>IF(Table1[[#This Row],[Is Data Valid]]=TRUE,_xlfn.NORM.S.DIST(Table1[[#This Row],[Birthweight Z-Score]],TRUE)*100,"")</f>
        <v/>
      </c>
      <c r="K9610" s="7" t="str">
        <f>IF(Table1[[#This Row],[Is Data Valid]]=TRUE,_xlfn.NORM.S.DIST(Table1[[#This Row],[Birthweight Z-Score (BW-10%)]],TRUE)*100,"")</f>
        <v/>
      </c>
      <c r="L9610" s="7" t="str">
        <f>IF(Table1[[#This Row],[Is Data Valid]]=TRUE,_xlfn.NORM.S.DIST(Table1[[#This Row],[Birthweight Z-Score (BW+10%)]],TRUE)*100,"")</f>
        <v/>
      </c>
    </row>
    <row r="9611" spans="1:12" x14ac:dyDescent="0.35">
      <c r="A9611" s="3"/>
      <c r="B9611" s="2"/>
      <c r="C9611" s="2"/>
      <c r="D9611" s="2" t="b">
        <f>IF(AND(NOT(ISBLANK(Table1[[#This Row],[Fetal Sex (Male, Female or Unknown)]])),ISNUMBER(Table1[[#This Row],[Birthweight (grams)]]),ISNUMBER(Table1[[#This Row],[Gestation (days)]])),TRUE,FALSE)</f>
        <v>0</v>
      </c>
      <c r="E9611" s="2" t="str">
        <f>IF(Table1[[#This Row],[Is Data Valid]]=TRUE,IF(Table1[[#This Row],[Fetal Sex (Male, Female or Unknown)]]="Male",Backend!$C$6,IF(Table1[[#This Row],[Fetal Sex (Male, Female or Unknown)]]="Female",Backend!$C$7,IF(Table1[[#This Row],[Fetal Sex (Male, Female or Unknown)]]="Unknown",Backend!$C$8,"Error"))),"")</f>
        <v/>
      </c>
      <c r="F9611" s="8" t="str">
        <f>IF(Table1[[#This Row],[Is Data Valid]]=TRUE,EXP(0.578+0.332*((Table1[[#This Row],[Gestation (days)]]+0.5)/7)-0.00354*((Table1[[#This Row],[Gestation (days)]]+0.5)/7)^2)*Table1[[#This Row],[BW40_3705]],"")</f>
        <v/>
      </c>
      <c r="G9611" s="2" t="str">
        <f>IF(Table1[[#This Row],[Is Data Valid]]=TRUE,((Table1[[#This Row],[Birthweight (grams)]]/Table1[[#This Row],[BW_GA]])-1)/(Backend!$B$4/100*Table1[[#This Row],[BW40_3705]]),"")</f>
        <v/>
      </c>
      <c r="H9611" s="7" t="str">
        <f>IF(Table1[[#This Row],[Is Data Valid]]=TRUE,((Table1[[#This Row],[Birthweight (grams)]]*0.9/Table1[[#This Row],[BW_GA]])-1)/(Backend!$B$4/100*Table1[[#This Row],[BW40_3705]]),"")</f>
        <v/>
      </c>
      <c r="I9611" s="7" t="str">
        <f>IF(Table1[[#This Row],[Is Data Valid]]=TRUE,((Table1[[#This Row],[Birthweight (grams)]]*1.1/Table1[[#This Row],[BW_GA]])-1)/(Backend!$B$4/100*Table1[[#This Row],[BW40_3705]]),"")</f>
        <v/>
      </c>
      <c r="J9611" s="7" t="str">
        <f>IF(Table1[[#This Row],[Is Data Valid]]=TRUE,_xlfn.NORM.S.DIST(Table1[[#This Row],[Birthweight Z-Score]],TRUE)*100,"")</f>
        <v/>
      </c>
      <c r="K9611" s="7" t="str">
        <f>IF(Table1[[#This Row],[Is Data Valid]]=TRUE,_xlfn.NORM.S.DIST(Table1[[#This Row],[Birthweight Z-Score (BW-10%)]],TRUE)*100,"")</f>
        <v/>
      </c>
      <c r="L9611" s="7" t="str">
        <f>IF(Table1[[#This Row],[Is Data Valid]]=TRUE,_xlfn.NORM.S.DIST(Table1[[#This Row],[Birthweight Z-Score (BW+10%)]],TRUE)*100,"")</f>
        <v/>
      </c>
    </row>
    <row r="9612" spans="1:12" x14ac:dyDescent="0.35">
      <c r="A9612" s="3"/>
      <c r="B9612" s="2"/>
      <c r="C9612" s="2"/>
      <c r="D9612" s="2" t="b">
        <f>IF(AND(NOT(ISBLANK(Table1[[#This Row],[Fetal Sex (Male, Female or Unknown)]])),ISNUMBER(Table1[[#This Row],[Birthweight (grams)]]),ISNUMBER(Table1[[#This Row],[Gestation (days)]])),TRUE,FALSE)</f>
        <v>0</v>
      </c>
      <c r="E9612" s="2" t="str">
        <f>IF(Table1[[#This Row],[Is Data Valid]]=TRUE,IF(Table1[[#This Row],[Fetal Sex (Male, Female or Unknown)]]="Male",Backend!$C$6,IF(Table1[[#This Row],[Fetal Sex (Male, Female or Unknown)]]="Female",Backend!$C$7,IF(Table1[[#This Row],[Fetal Sex (Male, Female or Unknown)]]="Unknown",Backend!$C$8,"Error"))),"")</f>
        <v/>
      </c>
      <c r="F9612" s="8" t="str">
        <f>IF(Table1[[#This Row],[Is Data Valid]]=TRUE,EXP(0.578+0.332*((Table1[[#This Row],[Gestation (days)]]+0.5)/7)-0.00354*((Table1[[#This Row],[Gestation (days)]]+0.5)/7)^2)*Table1[[#This Row],[BW40_3705]],"")</f>
        <v/>
      </c>
      <c r="G9612" s="2" t="str">
        <f>IF(Table1[[#This Row],[Is Data Valid]]=TRUE,((Table1[[#This Row],[Birthweight (grams)]]/Table1[[#This Row],[BW_GA]])-1)/(Backend!$B$4/100*Table1[[#This Row],[BW40_3705]]),"")</f>
        <v/>
      </c>
      <c r="H9612" s="7" t="str">
        <f>IF(Table1[[#This Row],[Is Data Valid]]=TRUE,((Table1[[#This Row],[Birthweight (grams)]]*0.9/Table1[[#This Row],[BW_GA]])-1)/(Backend!$B$4/100*Table1[[#This Row],[BW40_3705]]),"")</f>
        <v/>
      </c>
      <c r="I9612" s="7" t="str">
        <f>IF(Table1[[#This Row],[Is Data Valid]]=TRUE,((Table1[[#This Row],[Birthweight (grams)]]*1.1/Table1[[#This Row],[BW_GA]])-1)/(Backend!$B$4/100*Table1[[#This Row],[BW40_3705]]),"")</f>
        <v/>
      </c>
      <c r="J9612" s="7" t="str">
        <f>IF(Table1[[#This Row],[Is Data Valid]]=TRUE,_xlfn.NORM.S.DIST(Table1[[#This Row],[Birthweight Z-Score]],TRUE)*100,"")</f>
        <v/>
      </c>
      <c r="K9612" s="7" t="str">
        <f>IF(Table1[[#This Row],[Is Data Valid]]=TRUE,_xlfn.NORM.S.DIST(Table1[[#This Row],[Birthweight Z-Score (BW-10%)]],TRUE)*100,"")</f>
        <v/>
      </c>
      <c r="L9612" s="7" t="str">
        <f>IF(Table1[[#This Row],[Is Data Valid]]=TRUE,_xlfn.NORM.S.DIST(Table1[[#This Row],[Birthweight Z-Score (BW+10%)]],TRUE)*100,"")</f>
        <v/>
      </c>
    </row>
    <row r="9613" spans="1:12" x14ac:dyDescent="0.35">
      <c r="A9613" s="3"/>
      <c r="B9613" s="2"/>
      <c r="C9613" s="2"/>
      <c r="D9613" s="2" t="b">
        <f>IF(AND(NOT(ISBLANK(Table1[[#This Row],[Fetal Sex (Male, Female or Unknown)]])),ISNUMBER(Table1[[#This Row],[Birthweight (grams)]]),ISNUMBER(Table1[[#This Row],[Gestation (days)]])),TRUE,FALSE)</f>
        <v>0</v>
      </c>
      <c r="E9613" s="2" t="str">
        <f>IF(Table1[[#This Row],[Is Data Valid]]=TRUE,IF(Table1[[#This Row],[Fetal Sex (Male, Female or Unknown)]]="Male",Backend!$C$6,IF(Table1[[#This Row],[Fetal Sex (Male, Female or Unknown)]]="Female",Backend!$C$7,IF(Table1[[#This Row],[Fetal Sex (Male, Female or Unknown)]]="Unknown",Backend!$C$8,"Error"))),"")</f>
        <v/>
      </c>
      <c r="F9613" s="8" t="str">
        <f>IF(Table1[[#This Row],[Is Data Valid]]=TRUE,EXP(0.578+0.332*((Table1[[#This Row],[Gestation (days)]]+0.5)/7)-0.00354*((Table1[[#This Row],[Gestation (days)]]+0.5)/7)^2)*Table1[[#This Row],[BW40_3705]],"")</f>
        <v/>
      </c>
      <c r="G9613" s="2" t="str">
        <f>IF(Table1[[#This Row],[Is Data Valid]]=TRUE,((Table1[[#This Row],[Birthweight (grams)]]/Table1[[#This Row],[BW_GA]])-1)/(Backend!$B$4/100*Table1[[#This Row],[BW40_3705]]),"")</f>
        <v/>
      </c>
      <c r="H9613" s="7" t="str">
        <f>IF(Table1[[#This Row],[Is Data Valid]]=TRUE,((Table1[[#This Row],[Birthweight (grams)]]*0.9/Table1[[#This Row],[BW_GA]])-1)/(Backend!$B$4/100*Table1[[#This Row],[BW40_3705]]),"")</f>
        <v/>
      </c>
      <c r="I9613" s="7" t="str">
        <f>IF(Table1[[#This Row],[Is Data Valid]]=TRUE,((Table1[[#This Row],[Birthweight (grams)]]*1.1/Table1[[#This Row],[BW_GA]])-1)/(Backend!$B$4/100*Table1[[#This Row],[BW40_3705]]),"")</f>
        <v/>
      </c>
      <c r="J9613" s="7" t="str">
        <f>IF(Table1[[#This Row],[Is Data Valid]]=TRUE,_xlfn.NORM.S.DIST(Table1[[#This Row],[Birthweight Z-Score]],TRUE)*100,"")</f>
        <v/>
      </c>
      <c r="K9613" s="7" t="str">
        <f>IF(Table1[[#This Row],[Is Data Valid]]=TRUE,_xlfn.NORM.S.DIST(Table1[[#This Row],[Birthweight Z-Score (BW-10%)]],TRUE)*100,"")</f>
        <v/>
      </c>
      <c r="L9613" s="7" t="str">
        <f>IF(Table1[[#This Row],[Is Data Valid]]=TRUE,_xlfn.NORM.S.DIST(Table1[[#This Row],[Birthweight Z-Score (BW+10%)]],TRUE)*100,"")</f>
        <v/>
      </c>
    </row>
    <row r="9614" spans="1:12" x14ac:dyDescent="0.35">
      <c r="A9614" s="3"/>
      <c r="B9614" s="2"/>
      <c r="C9614" s="2"/>
      <c r="D9614" s="2" t="b">
        <f>IF(AND(NOT(ISBLANK(Table1[[#This Row],[Fetal Sex (Male, Female or Unknown)]])),ISNUMBER(Table1[[#This Row],[Birthweight (grams)]]),ISNUMBER(Table1[[#This Row],[Gestation (days)]])),TRUE,FALSE)</f>
        <v>0</v>
      </c>
      <c r="E9614" s="2" t="str">
        <f>IF(Table1[[#This Row],[Is Data Valid]]=TRUE,IF(Table1[[#This Row],[Fetal Sex (Male, Female or Unknown)]]="Male",Backend!$C$6,IF(Table1[[#This Row],[Fetal Sex (Male, Female or Unknown)]]="Female",Backend!$C$7,IF(Table1[[#This Row],[Fetal Sex (Male, Female or Unknown)]]="Unknown",Backend!$C$8,"Error"))),"")</f>
        <v/>
      </c>
      <c r="F9614" s="8" t="str">
        <f>IF(Table1[[#This Row],[Is Data Valid]]=TRUE,EXP(0.578+0.332*((Table1[[#This Row],[Gestation (days)]]+0.5)/7)-0.00354*((Table1[[#This Row],[Gestation (days)]]+0.5)/7)^2)*Table1[[#This Row],[BW40_3705]],"")</f>
        <v/>
      </c>
      <c r="G9614" s="2" t="str">
        <f>IF(Table1[[#This Row],[Is Data Valid]]=TRUE,((Table1[[#This Row],[Birthweight (grams)]]/Table1[[#This Row],[BW_GA]])-1)/(Backend!$B$4/100*Table1[[#This Row],[BW40_3705]]),"")</f>
        <v/>
      </c>
      <c r="H9614" s="7" t="str">
        <f>IF(Table1[[#This Row],[Is Data Valid]]=TRUE,((Table1[[#This Row],[Birthweight (grams)]]*0.9/Table1[[#This Row],[BW_GA]])-1)/(Backend!$B$4/100*Table1[[#This Row],[BW40_3705]]),"")</f>
        <v/>
      </c>
      <c r="I9614" s="7" t="str">
        <f>IF(Table1[[#This Row],[Is Data Valid]]=TRUE,((Table1[[#This Row],[Birthweight (grams)]]*1.1/Table1[[#This Row],[BW_GA]])-1)/(Backend!$B$4/100*Table1[[#This Row],[BW40_3705]]),"")</f>
        <v/>
      </c>
      <c r="J9614" s="7" t="str">
        <f>IF(Table1[[#This Row],[Is Data Valid]]=TRUE,_xlfn.NORM.S.DIST(Table1[[#This Row],[Birthweight Z-Score]],TRUE)*100,"")</f>
        <v/>
      </c>
      <c r="K9614" s="7" t="str">
        <f>IF(Table1[[#This Row],[Is Data Valid]]=TRUE,_xlfn.NORM.S.DIST(Table1[[#This Row],[Birthweight Z-Score (BW-10%)]],TRUE)*100,"")</f>
        <v/>
      </c>
      <c r="L9614" s="7" t="str">
        <f>IF(Table1[[#This Row],[Is Data Valid]]=TRUE,_xlfn.NORM.S.DIST(Table1[[#This Row],[Birthweight Z-Score (BW+10%)]],TRUE)*100,"")</f>
        <v/>
      </c>
    </row>
    <row r="9615" spans="1:12" x14ac:dyDescent="0.35">
      <c r="A9615" s="3"/>
      <c r="B9615" s="2"/>
      <c r="C9615" s="2"/>
      <c r="D9615" s="2" t="b">
        <f>IF(AND(NOT(ISBLANK(Table1[[#This Row],[Fetal Sex (Male, Female or Unknown)]])),ISNUMBER(Table1[[#This Row],[Birthweight (grams)]]),ISNUMBER(Table1[[#This Row],[Gestation (days)]])),TRUE,FALSE)</f>
        <v>0</v>
      </c>
      <c r="E9615" s="2" t="str">
        <f>IF(Table1[[#This Row],[Is Data Valid]]=TRUE,IF(Table1[[#This Row],[Fetal Sex (Male, Female or Unknown)]]="Male",Backend!$C$6,IF(Table1[[#This Row],[Fetal Sex (Male, Female or Unknown)]]="Female",Backend!$C$7,IF(Table1[[#This Row],[Fetal Sex (Male, Female or Unknown)]]="Unknown",Backend!$C$8,"Error"))),"")</f>
        <v/>
      </c>
      <c r="F9615" s="8" t="str">
        <f>IF(Table1[[#This Row],[Is Data Valid]]=TRUE,EXP(0.578+0.332*((Table1[[#This Row],[Gestation (days)]]+0.5)/7)-0.00354*((Table1[[#This Row],[Gestation (days)]]+0.5)/7)^2)*Table1[[#This Row],[BW40_3705]],"")</f>
        <v/>
      </c>
      <c r="G9615" s="2" t="str">
        <f>IF(Table1[[#This Row],[Is Data Valid]]=TRUE,((Table1[[#This Row],[Birthweight (grams)]]/Table1[[#This Row],[BW_GA]])-1)/(Backend!$B$4/100*Table1[[#This Row],[BW40_3705]]),"")</f>
        <v/>
      </c>
      <c r="H9615" s="7" t="str">
        <f>IF(Table1[[#This Row],[Is Data Valid]]=TRUE,((Table1[[#This Row],[Birthweight (grams)]]*0.9/Table1[[#This Row],[BW_GA]])-1)/(Backend!$B$4/100*Table1[[#This Row],[BW40_3705]]),"")</f>
        <v/>
      </c>
      <c r="I9615" s="7" t="str">
        <f>IF(Table1[[#This Row],[Is Data Valid]]=TRUE,((Table1[[#This Row],[Birthweight (grams)]]*1.1/Table1[[#This Row],[BW_GA]])-1)/(Backend!$B$4/100*Table1[[#This Row],[BW40_3705]]),"")</f>
        <v/>
      </c>
      <c r="J9615" s="7" t="str">
        <f>IF(Table1[[#This Row],[Is Data Valid]]=TRUE,_xlfn.NORM.S.DIST(Table1[[#This Row],[Birthweight Z-Score]],TRUE)*100,"")</f>
        <v/>
      </c>
      <c r="K9615" s="7" t="str">
        <f>IF(Table1[[#This Row],[Is Data Valid]]=TRUE,_xlfn.NORM.S.DIST(Table1[[#This Row],[Birthweight Z-Score (BW-10%)]],TRUE)*100,"")</f>
        <v/>
      </c>
      <c r="L9615" s="7" t="str">
        <f>IF(Table1[[#This Row],[Is Data Valid]]=TRUE,_xlfn.NORM.S.DIST(Table1[[#This Row],[Birthweight Z-Score (BW+10%)]],TRUE)*100,"")</f>
        <v/>
      </c>
    </row>
    <row r="9616" spans="1:12" x14ac:dyDescent="0.35">
      <c r="A9616" s="3"/>
      <c r="B9616" s="2"/>
      <c r="C9616" s="2"/>
      <c r="D9616" s="2" t="b">
        <f>IF(AND(NOT(ISBLANK(Table1[[#This Row],[Fetal Sex (Male, Female or Unknown)]])),ISNUMBER(Table1[[#This Row],[Birthweight (grams)]]),ISNUMBER(Table1[[#This Row],[Gestation (days)]])),TRUE,FALSE)</f>
        <v>0</v>
      </c>
      <c r="E9616" s="2" t="str">
        <f>IF(Table1[[#This Row],[Is Data Valid]]=TRUE,IF(Table1[[#This Row],[Fetal Sex (Male, Female or Unknown)]]="Male",Backend!$C$6,IF(Table1[[#This Row],[Fetal Sex (Male, Female or Unknown)]]="Female",Backend!$C$7,IF(Table1[[#This Row],[Fetal Sex (Male, Female or Unknown)]]="Unknown",Backend!$C$8,"Error"))),"")</f>
        <v/>
      </c>
      <c r="F9616" s="8" t="str">
        <f>IF(Table1[[#This Row],[Is Data Valid]]=TRUE,EXP(0.578+0.332*((Table1[[#This Row],[Gestation (days)]]+0.5)/7)-0.00354*((Table1[[#This Row],[Gestation (days)]]+0.5)/7)^2)*Table1[[#This Row],[BW40_3705]],"")</f>
        <v/>
      </c>
      <c r="G9616" s="2" t="str">
        <f>IF(Table1[[#This Row],[Is Data Valid]]=TRUE,((Table1[[#This Row],[Birthweight (grams)]]/Table1[[#This Row],[BW_GA]])-1)/(Backend!$B$4/100*Table1[[#This Row],[BW40_3705]]),"")</f>
        <v/>
      </c>
      <c r="H9616" s="7" t="str">
        <f>IF(Table1[[#This Row],[Is Data Valid]]=TRUE,((Table1[[#This Row],[Birthweight (grams)]]*0.9/Table1[[#This Row],[BW_GA]])-1)/(Backend!$B$4/100*Table1[[#This Row],[BW40_3705]]),"")</f>
        <v/>
      </c>
      <c r="I9616" s="7" t="str">
        <f>IF(Table1[[#This Row],[Is Data Valid]]=TRUE,((Table1[[#This Row],[Birthweight (grams)]]*1.1/Table1[[#This Row],[BW_GA]])-1)/(Backend!$B$4/100*Table1[[#This Row],[BW40_3705]]),"")</f>
        <v/>
      </c>
      <c r="J9616" s="7" t="str">
        <f>IF(Table1[[#This Row],[Is Data Valid]]=TRUE,_xlfn.NORM.S.DIST(Table1[[#This Row],[Birthweight Z-Score]],TRUE)*100,"")</f>
        <v/>
      </c>
      <c r="K9616" s="7" t="str">
        <f>IF(Table1[[#This Row],[Is Data Valid]]=TRUE,_xlfn.NORM.S.DIST(Table1[[#This Row],[Birthweight Z-Score (BW-10%)]],TRUE)*100,"")</f>
        <v/>
      </c>
      <c r="L9616" s="7" t="str">
        <f>IF(Table1[[#This Row],[Is Data Valid]]=TRUE,_xlfn.NORM.S.DIST(Table1[[#This Row],[Birthweight Z-Score (BW+10%)]],TRUE)*100,"")</f>
        <v/>
      </c>
    </row>
    <row r="9617" spans="1:12" x14ac:dyDescent="0.35">
      <c r="A9617" s="3"/>
      <c r="B9617" s="2"/>
      <c r="C9617" s="2"/>
      <c r="D9617" s="2" t="b">
        <f>IF(AND(NOT(ISBLANK(Table1[[#This Row],[Fetal Sex (Male, Female or Unknown)]])),ISNUMBER(Table1[[#This Row],[Birthweight (grams)]]),ISNUMBER(Table1[[#This Row],[Gestation (days)]])),TRUE,FALSE)</f>
        <v>0</v>
      </c>
      <c r="E9617" s="2" t="str">
        <f>IF(Table1[[#This Row],[Is Data Valid]]=TRUE,IF(Table1[[#This Row],[Fetal Sex (Male, Female or Unknown)]]="Male",Backend!$C$6,IF(Table1[[#This Row],[Fetal Sex (Male, Female or Unknown)]]="Female",Backend!$C$7,IF(Table1[[#This Row],[Fetal Sex (Male, Female or Unknown)]]="Unknown",Backend!$C$8,"Error"))),"")</f>
        <v/>
      </c>
      <c r="F9617" s="8" t="str">
        <f>IF(Table1[[#This Row],[Is Data Valid]]=TRUE,EXP(0.578+0.332*((Table1[[#This Row],[Gestation (days)]]+0.5)/7)-0.00354*((Table1[[#This Row],[Gestation (days)]]+0.5)/7)^2)*Table1[[#This Row],[BW40_3705]],"")</f>
        <v/>
      </c>
      <c r="G9617" s="2" t="str">
        <f>IF(Table1[[#This Row],[Is Data Valid]]=TRUE,((Table1[[#This Row],[Birthweight (grams)]]/Table1[[#This Row],[BW_GA]])-1)/(Backend!$B$4/100*Table1[[#This Row],[BW40_3705]]),"")</f>
        <v/>
      </c>
      <c r="H9617" s="7" t="str">
        <f>IF(Table1[[#This Row],[Is Data Valid]]=TRUE,((Table1[[#This Row],[Birthweight (grams)]]*0.9/Table1[[#This Row],[BW_GA]])-1)/(Backend!$B$4/100*Table1[[#This Row],[BW40_3705]]),"")</f>
        <v/>
      </c>
      <c r="I9617" s="7" t="str">
        <f>IF(Table1[[#This Row],[Is Data Valid]]=TRUE,((Table1[[#This Row],[Birthweight (grams)]]*1.1/Table1[[#This Row],[BW_GA]])-1)/(Backend!$B$4/100*Table1[[#This Row],[BW40_3705]]),"")</f>
        <v/>
      </c>
      <c r="J9617" s="7" t="str">
        <f>IF(Table1[[#This Row],[Is Data Valid]]=TRUE,_xlfn.NORM.S.DIST(Table1[[#This Row],[Birthweight Z-Score]],TRUE)*100,"")</f>
        <v/>
      </c>
      <c r="K9617" s="7" t="str">
        <f>IF(Table1[[#This Row],[Is Data Valid]]=TRUE,_xlfn.NORM.S.DIST(Table1[[#This Row],[Birthweight Z-Score (BW-10%)]],TRUE)*100,"")</f>
        <v/>
      </c>
      <c r="L9617" s="7" t="str">
        <f>IF(Table1[[#This Row],[Is Data Valid]]=TRUE,_xlfn.NORM.S.DIST(Table1[[#This Row],[Birthweight Z-Score (BW+10%)]],TRUE)*100,"")</f>
        <v/>
      </c>
    </row>
    <row r="9618" spans="1:12" x14ac:dyDescent="0.35">
      <c r="A9618" s="3"/>
      <c r="B9618" s="2"/>
      <c r="C9618" s="2"/>
      <c r="D9618" s="2" t="b">
        <f>IF(AND(NOT(ISBLANK(Table1[[#This Row],[Fetal Sex (Male, Female or Unknown)]])),ISNUMBER(Table1[[#This Row],[Birthweight (grams)]]),ISNUMBER(Table1[[#This Row],[Gestation (days)]])),TRUE,FALSE)</f>
        <v>0</v>
      </c>
      <c r="E9618" s="2" t="str">
        <f>IF(Table1[[#This Row],[Is Data Valid]]=TRUE,IF(Table1[[#This Row],[Fetal Sex (Male, Female or Unknown)]]="Male",Backend!$C$6,IF(Table1[[#This Row],[Fetal Sex (Male, Female or Unknown)]]="Female",Backend!$C$7,IF(Table1[[#This Row],[Fetal Sex (Male, Female or Unknown)]]="Unknown",Backend!$C$8,"Error"))),"")</f>
        <v/>
      </c>
      <c r="F9618" s="8" t="str">
        <f>IF(Table1[[#This Row],[Is Data Valid]]=TRUE,EXP(0.578+0.332*((Table1[[#This Row],[Gestation (days)]]+0.5)/7)-0.00354*((Table1[[#This Row],[Gestation (days)]]+0.5)/7)^2)*Table1[[#This Row],[BW40_3705]],"")</f>
        <v/>
      </c>
      <c r="G9618" s="2" t="str">
        <f>IF(Table1[[#This Row],[Is Data Valid]]=TRUE,((Table1[[#This Row],[Birthweight (grams)]]/Table1[[#This Row],[BW_GA]])-1)/(Backend!$B$4/100*Table1[[#This Row],[BW40_3705]]),"")</f>
        <v/>
      </c>
      <c r="H9618" s="7" t="str">
        <f>IF(Table1[[#This Row],[Is Data Valid]]=TRUE,((Table1[[#This Row],[Birthweight (grams)]]*0.9/Table1[[#This Row],[BW_GA]])-1)/(Backend!$B$4/100*Table1[[#This Row],[BW40_3705]]),"")</f>
        <v/>
      </c>
      <c r="I9618" s="7" t="str">
        <f>IF(Table1[[#This Row],[Is Data Valid]]=TRUE,((Table1[[#This Row],[Birthweight (grams)]]*1.1/Table1[[#This Row],[BW_GA]])-1)/(Backend!$B$4/100*Table1[[#This Row],[BW40_3705]]),"")</f>
        <v/>
      </c>
      <c r="J9618" s="7" t="str">
        <f>IF(Table1[[#This Row],[Is Data Valid]]=TRUE,_xlfn.NORM.S.DIST(Table1[[#This Row],[Birthweight Z-Score]],TRUE)*100,"")</f>
        <v/>
      </c>
      <c r="K9618" s="7" t="str">
        <f>IF(Table1[[#This Row],[Is Data Valid]]=TRUE,_xlfn.NORM.S.DIST(Table1[[#This Row],[Birthweight Z-Score (BW-10%)]],TRUE)*100,"")</f>
        <v/>
      </c>
      <c r="L9618" s="7" t="str">
        <f>IF(Table1[[#This Row],[Is Data Valid]]=TRUE,_xlfn.NORM.S.DIST(Table1[[#This Row],[Birthweight Z-Score (BW+10%)]],TRUE)*100,"")</f>
        <v/>
      </c>
    </row>
    <row r="9619" spans="1:12" x14ac:dyDescent="0.35">
      <c r="A9619" s="3"/>
      <c r="B9619" s="2"/>
      <c r="C9619" s="2"/>
      <c r="D9619" s="2" t="b">
        <f>IF(AND(NOT(ISBLANK(Table1[[#This Row],[Fetal Sex (Male, Female or Unknown)]])),ISNUMBER(Table1[[#This Row],[Birthweight (grams)]]),ISNUMBER(Table1[[#This Row],[Gestation (days)]])),TRUE,FALSE)</f>
        <v>0</v>
      </c>
      <c r="E9619" s="2" t="str">
        <f>IF(Table1[[#This Row],[Is Data Valid]]=TRUE,IF(Table1[[#This Row],[Fetal Sex (Male, Female or Unknown)]]="Male",Backend!$C$6,IF(Table1[[#This Row],[Fetal Sex (Male, Female or Unknown)]]="Female",Backend!$C$7,IF(Table1[[#This Row],[Fetal Sex (Male, Female or Unknown)]]="Unknown",Backend!$C$8,"Error"))),"")</f>
        <v/>
      </c>
      <c r="F9619" s="8" t="str">
        <f>IF(Table1[[#This Row],[Is Data Valid]]=TRUE,EXP(0.578+0.332*((Table1[[#This Row],[Gestation (days)]]+0.5)/7)-0.00354*((Table1[[#This Row],[Gestation (days)]]+0.5)/7)^2)*Table1[[#This Row],[BW40_3705]],"")</f>
        <v/>
      </c>
      <c r="G9619" s="2" t="str">
        <f>IF(Table1[[#This Row],[Is Data Valid]]=TRUE,((Table1[[#This Row],[Birthweight (grams)]]/Table1[[#This Row],[BW_GA]])-1)/(Backend!$B$4/100*Table1[[#This Row],[BW40_3705]]),"")</f>
        <v/>
      </c>
      <c r="H9619" s="7" t="str">
        <f>IF(Table1[[#This Row],[Is Data Valid]]=TRUE,((Table1[[#This Row],[Birthweight (grams)]]*0.9/Table1[[#This Row],[BW_GA]])-1)/(Backend!$B$4/100*Table1[[#This Row],[BW40_3705]]),"")</f>
        <v/>
      </c>
      <c r="I9619" s="7" t="str">
        <f>IF(Table1[[#This Row],[Is Data Valid]]=TRUE,((Table1[[#This Row],[Birthweight (grams)]]*1.1/Table1[[#This Row],[BW_GA]])-1)/(Backend!$B$4/100*Table1[[#This Row],[BW40_3705]]),"")</f>
        <v/>
      </c>
      <c r="J9619" s="7" t="str">
        <f>IF(Table1[[#This Row],[Is Data Valid]]=TRUE,_xlfn.NORM.S.DIST(Table1[[#This Row],[Birthweight Z-Score]],TRUE)*100,"")</f>
        <v/>
      </c>
      <c r="K9619" s="7" t="str">
        <f>IF(Table1[[#This Row],[Is Data Valid]]=TRUE,_xlfn.NORM.S.DIST(Table1[[#This Row],[Birthweight Z-Score (BW-10%)]],TRUE)*100,"")</f>
        <v/>
      </c>
      <c r="L9619" s="7" t="str">
        <f>IF(Table1[[#This Row],[Is Data Valid]]=TRUE,_xlfn.NORM.S.DIST(Table1[[#This Row],[Birthweight Z-Score (BW+10%)]],TRUE)*100,"")</f>
        <v/>
      </c>
    </row>
    <row r="9620" spans="1:12" x14ac:dyDescent="0.35">
      <c r="A9620" s="3"/>
      <c r="B9620" s="2"/>
      <c r="C9620" s="2"/>
      <c r="D9620" s="2" t="b">
        <f>IF(AND(NOT(ISBLANK(Table1[[#This Row],[Fetal Sex (Male, Female or Unknown)]])),ISNUMBER(Table1[[#This Row],[Birthweight (grams)]]),ISNUMBER(Table1[[#This Row],[Gestation (days)]])),TRUE,FALSE)</f>
        <v>0</v>
      </c>
      <c r="E9620" s="2" t="str">
        <f>IF(Table1[[#This Row],[Is Data Valid]]=TRUE,IF(Table1[[#This Row],[Fetal Sex (Male, Female or Unknown)]]="Male",Backend!$C$6,IF(Table1[[#This Row],[Fetal Sex (Male, Female or Unknown)]]="Female",Backend!$C$7,IF(Table1[[#This Row],[Fetal Sex (Male, Female or Unknown)]]="Unknown",Backend!$C$8,"Error"))),"")</f>
        <v/>
      </c>
      <c r="F9620" s="8" t="str">
        <f>IF(Table1[[#This Row],[Is Data Valid]]=TRUE,EXP(0.578+0.332*((Table1[[#This Row],[Gestation (days)]]+0.5)/7)-0.00354*((Table1[[#This Row],[Gestation (days)]]+0.5)/7)^2)*Table1[[#This Row],[BW40_3705]],"")</f>
        <v/>
      </c>
      <c r="G9620" s="2" t="str">
        <f>IF(Table1[[#This Row],[Is Data Valid]]=TRUE,((Table1[[#This Row],[Birthweight (grams)]]/Table1[[#This Row],[BW_GA]])-1)/(Backend!$B$4/100*Table1[[#This Row],[BW40_3705]]),"")</f>
        <v/>
      </c>
      <c r="H9620" s="7" t="str">
        <f>IF(Table1[[#This Row],[Is Data Valid]]=TRUE,((Table1[[#This Row],[Birthweight (grams)]]*0.9/Table1[[#This Row],[BW_GA]])-1)/(Backend!$B$4/100*Table1[[#This Row],[BW40_3705]]),"")</f>
        <v/>
      </c>
      <c r="I9620" s="7" t="str">
        <f>IF(Table1[[#This Row],[Is Data Valid]]=TRUE,((Table1[[#This Row],[Birthweight (grams)]]*1.1/Table1[[#This Row],[BW_GA]])-1)/(Backend!$B$4/100*Table1[[#This Row],[BW40_3705]]),"")</f>
        <v/>
      </c>
      <c r="J9620" s="7" t="str">
        <f>IF(Table1[[#This Row],[Is Data Valid]]=TRUE,_xlfn.NORM.S.DIST(Table1[[#This Row],[Birthweight Z-Score]],TRUE)*100,"")</f>
        <v/>
      </c>
      <c r="K9620" s="7" t="str">
        <f>IF(Table1[[#This Row],[Is Data Valid]]=TRUE,_xlfn.NORM.S.DIST(Table1[[#This Row],[Birthweight Z-Score (BW-10%)]],TRUE)*100,"")</f>
        <v/>
      </c>
      <c r="L9620" s="7" t="str">
        <f>IF(Table1[[#This Row],[Is Data Valid]]=TRUE,_xlfn.NORM.S.DIST(Table1[[#This Row],[Birthweight Z-Score (BW+10%)]],TRUE)*100,"")</f>
        <v/>
      </c>
    </row>
    <row r="9621" spans="1:12" x14ac:dyDescent="0.35">
      <c r="A9621" s="3"/>
      <c r="B9621" s="2"/>
      <c r="C9621" s="2"/>
      <c r="D9621" s="2" t="b">
        <f>IF(AND(NOT(ISBLANK(Table1[[#This Row],[Fetal Sex (Male, Female or Unknown)]])),ISNUMBER(Table1[[#This Row],[Birthweight (grams)]]),ISNUMBER(Table1[[#This Row],[Gestation (days)]])),TRUE,FALSE)</f>
        <v>0</v>
      </c>
      <c r="E9621" s="2" t="str">
        <f>IF(Table1[[#This Row],[Is Data Valid]]=TRUE,IF(Table1[[#This Row],[Fetal Sex (Male, Female or Unknown)]]="Male",Backend!$C$6,IF(Table1[[#This Row],[Fetal Sex (Male, Female or Unknown)]]="Female",Backend!$C$7,IF(Table1[[#This Row],[Fetal Sex (Male, Female or Unknown)]]="Unknown",Backend!$C$8,"Error"))),"")</f>
        <v/>
      </c>
      <c r="F9621" s="8" t="str">
        <f>IF(Table1[[#This Row],[Is Data Valid]]=TRUE,EXP(0.578+0.332*((Table1[[#This Row],[Gestation (days)]]+0.5)/7)-0.00354*((Table1[[#This Row],[Gestation (days)]]+0.5)/7)^2)*Table1[[#This Row],[BW40_3705]],"")</f>
        <v/>
      </c>
      <c r="G9621" s="2" t="str">
        <f>IF(Table1[[#This Row],[Is Data Valid]]=TRUE,((Table1[[#This Row],[Birthweight (grams)]]/Table1[[#This Row],[BW_GA]])-1)/(Backend!$B$4/100*Table1[[#This Row],[BW40_3705]]),"")</f>
        <v/>
      </c>
      <c r="H9621" s="7" t="str">
        <f>IF(Table1[[#This Row],[Is Data Valid]]=TRUE,((Table1[[#This Row],[Birthweight (grams)]]*0.9/Table1[[#This Row],[BW_GA]])-1)/(Backend!$B$4/100*Table1[[#This Row],[BW40_3705]]),"")</f>
        <v/>
      </c>
      <c r="I9621" s="7" t="str">
        <f>IF(Table1[[#This Row],[Is Data Valid]]=TRUE,((Table1[[#This Row],[Birthweight (grams)]]*1.1/Table1[[#This Row],[BW_GA]])-1)/(Backend!$B$4/100*Table1[[#This Row],[BW40_3705]]),"")</f>
        <v/>
      </c>
      <c r="J9621" s="7" t="str">
        <f>IF(Table1[[#This Row],[Is Data Valid]]=TRUE,_xlfn.NORM.S.DIST(Table1[[#This Row],[Birthweight Z-Score]],TRUE)*100,"")</f>
        <v/>
      </c>
      <c r="K9621" s="7" t="str">
        <f>IF(Table1[[#This Row],[Is Data Valid]]=TRUE,_xlfn.NORM.S.DIST(Table1[[#This Row],[Birthweight Z-Score (BW-10%)]],TRUE)*100,"")</f>
        <v/>
      </c>
      <c r="L9621" s="7" t="str">
        <f>IF(Table1[[#This Row],[Is Data Valid]]=TRUE,_xlfn.NORM.S.DIST(Table1[[#This Row],[Birthweight Z-Score (BW+10%)]],TRUE)*100,"")</f>
        <v/>
      </c>
    </row>
    <row r="9622" spans="1:12" x14ac:dyDescent="0.35">
      <c r="A9622" s="3"/>
      <c r="B9622" s="2"/>
      <c r="C9622" s="2"/>
      <c r="D9622" s="2" t="b">
        <f>IF(AND(NOT(ISBLANK(Table1[[#This Row],[Fetal Sex (Male, Female or Unknown)]])),ISNUMBER(Table1[[#This Row],[Birthweight (grams)]]),ISNUMBER(Table1[[#This Row],[Gestation (days)]])),TRUE,FALSE)</f>
        <v>0</v>
      </c>
      <c r="E9622" s="2" t="str">
        <f>IF(Table1[[#This Row],[Is Data Valid]]=TRUE,IF(Table1[[#This Row],[Fetal Sex (Male, Female or Unknown)]]="Male",Backend!$C$6,IF(Table1[[#This Row],[Fetal Sex (Male, Female or Unknown)]]="Female",Backend!$C$7,IF(Table1[[#This Row],[Fetal Sex (Male, Female or Unknown)]]="Unknown",Backend!$C$8,"Error"))),"")</f>
        <v/>
      </c>
      <c r="F9622" s="8" t="str">
        <f>IF(Table1[[#This Row],[Is Data Valid]]=TRUE,EXP(0.578+0.332*((Table1[[#This Row],[Gestation (days)]]+0.5)/7)-0.00354*((Table1[[#This Row],[Gestation (days)]]+0.5)/7)^2)*Table1[[#This Row],[BW40_3705]],"")</f>
        <v/>
      </c>
      <c r="G9622" s="2" t="str">
        <f>IF(Table1[[#This Row],[Is Data Valid]]=TRUE,((Table1[[#This Row],[Birthweight (grams)]]/Table1[[#This Row],[BW_GA]])-1)/(Backend!$B$4/100*Table1[[#This Row],[BW40_3705]]),"")</f>
        <v/>
      </c>
      <c r="H9622" s="7" t="str">
        <f>IF(Table1[[#This Row],[Is Data Valid]]=TRUE,((Table1[[#This Row],[Birthweight (grams)]]*0.9/Table1[[#This Row],[BW_GA]])-1)/(Backend!$B$4/100*Table1[[#This Row],[BW40_3705]]),"")</f>
        <v/>
      </c>
      <c r="I9622" s="7" t="str">
        <f>IF(Table1[[#This Row],[Is Data Valid]]=TRUE,((Table1[[#This Row],[Birthweight (grams)]]*1.1/Table1[[#This Row],[BW_GA]])-1)/(Backend!$B$4/100*Table1[[#This Row],[BW40_3705]]),"")</f>
        <v/>
      </c>
      <c r="J9622" s="7" t="str">
        <f>IF(Table1[[#This Row],[Is Data Valid]]=TRUE,_xlfn.NORM.S.DIST(Table1[[#This Row],[Birthweight Z-Score]],TRUE)*100,"")</f>
        <v/>
      </c>
      <c r="K9622" s="7" t="str">
        <f>IF(Table1[[#This Row],[Is Data Valid]]=TRUE,_xlfn.NORM.S.DIST(Table1[[#This Row],[Birthweight Z-Score (BW-10%)]],TRUE)*100,"")</f>
        <v/>
      </c>
      <c r="L9622" s="7" t="str">
        <f>IF(Table1[[#This Row],[Is Data Valid]]=TRUE,_xlfn.NORM.S.DIST(Table1[[#This Row],[Birthweight Z-Score (BW+10%)]],TRUE)*100,"")</f>
        <v/>
      </c>
    </row>
    <row r="9623" spans="1:12" x14ac:dyDescent="0.35">
      <c r="A9623" s="3"/>
      <c r="B9623" s="2"/>
      <c r="C9623" s="2"/>
      <c r="D9623" s="2" t="b">
        <f>IF(AND(NOT(ISBLANK(Table1[[#This Row],[Fetal Sex (Male, Female or Unknown)]])),ISNUMBER(Table1[[#This Row],[Birthweight (grams)]]),ISNUMBER(Table1[[#This Row],[Gestation (days)]])),TRUE,FALSE)</f>
        <v>0</v>
      </c>
      <c r="E9623" s="2" t="str">
        <f>IF(Table1[[#This Row],[Is Data Valid]]=TRUE,IF(Table1[[#This Row],[Fetal Sex (Male, Female or Unknown)]]="Male",Backend!$C$6,IF(Table1[[#This Row],[Fetal Sex (Male, Female or Unknown)]]="Female",Backend!$C$7,IF(Table1[[#This Row],[Fetal Sex (Male, Female or Unknown)]]="Unknown",Backend!$C$8,"Error"))),"")</f>
        <v/>
      </c>
      <c r="F9623" s="8" t="str">
        <f>IF(Table1[[#This Row],[Is Data Valid]]=TRUE,EXP(0.578+0.332*((Table1[[#This Row],[Gestation (days)]]+0.5)/7)-0.00354*((Table1[[#This Row],[Gestation (days)]]+0.5)/7)^2)*Table1[[#This Row],[BW40_3705]],"")</f>
        <v/>
      </c>
      <c r="G9623" s="2" t="str">
        <f>IF(Table1[[#This Row],[Is Data Valid]]=TRUE,((Table1[[#This Row],[Birthweight (grams)]]/Table1[[#This Row],[BW_GA]])-1)/(Backend!$B$4/100*Table1[[#This Row],[BW40_3705]]),"")</f>
        <v/>
      </c>
      <c r="H9623" s="7" t="str">
        <f>IF(Table1[[#This Row],[Is Data Valid]]=TRUE,((Table1[[#This Row],[Birthweight (grams)]]*0.9/Table1[[#This Row],[BW_GA]])-1)/(Backend!$B$4/100*Table1[[#This Row],[BW40_3705]]),"")</f>
        <v/>
      </c>
      <c r="I9623" s="7" t="str">
        <f>IF(Table1[[#This Row],[Is Data Valid]]=TRUE,((Table1[[#This Row],[Birthweight (grams)]]*1.1/Table1[[#This Row],[BW_GA]])-1)/(Backend!$B$4/100*Table1[[#This Row],[BW40_3705]]),"")</f>
        <v/>
      </c>
      <c r="J9623" s="7" t="str">
        <f>IF(Table1[[#This Row],[Is Data Valid]]=TRUE,_xlfn.NORM.S.DIST(Table1[[#This Row],[Birthweight Z-Score]],TRUE)*100,"")</f>
        <v/>
      </c>
      <c r="K9623" s="7" t="str">
        <f>IF(Table1[[#This Row],[Is Data Valid]]=TRUE,_xlfn.NORM.S.DIST(Table1[[#This Row],[Birthweight Z-Score (BW-10%)]],TRUE)*100,"")</f>
        <v/>
      </c>
      <c r="L9623" s="7" t="str">
        <f>IF(Table1[[#This Row],[Is Data Valid]]=TRUE,_xlfn.NORM.S.DIST(Table1[[#This Row],[Birthweight Z-Score (BW+10%)]],TRUE)*100,"")</f>
        <v/>
      </c>
    </row>
    <row r="9624" spans="1:12" x14ac:dyDescent="0.35">
      <c r="A9624" s="3"/>
      <c r="B9624" s="2"/>
      <c r="C9624" s="2"/>
      <c r="D9624" s="2" t="b">
        <f>IF(AND(NOT(ISBLANK(Table1[[#This Row],[Fetal Sex (Male, Female or Unknown)]])),ISNUMBER(Table1[[#This Row],[Birthweight (grams)]]),ISNUMBER(Table1[[#This Row],[Gestation (days)]])),TRUE,FALSE)</f>
        <v>0</v>
      </c>
      <c r="E9624" s="2" t="str">
        <f>IF(Table1[[#This Row],[Is Data Valid]]=TRUE,IF(Table1[[#This Row],[Fetal Sex (Male, Female or Unknown)]]="Male",Backend!$C$6,IF(Table1[[#This Row],[Fetal Sex (Male, Female or Unknown)]]="Female",Backend!$C$7,IF(Table1[[#This Row],[Fetal Sex (Male, Female or Unknown)]]="Unknown",Backend!$C$8,"Error"))),"")</f>
        <v/>
      </c>
      <c r="F9624" s="8" t="str">
        <f>IF(Table1[[#This Row],[Is Data Valid]]=TRUE,EXP(0.578+0.332*((Table1[[#This Row],[Gestation (days)]]+0.5)/7)-0.00354*((Table1[[#This Row],[Gestation (days)]]+0.5)/7)^2)*Table1[[#This Row],[BW40_3705]],"")</f>
        <v/>
      </c>
      <c r="G9624" s="2" t="str">
        <f>IF(Table1[[#This Row],[Is Data Valid]]=TRUE,((Table1[[#This Row],[Birthweight (grams)]]/Table1[[#This Row],[BW_GA]])-1)/(Backend!$B$4/100*Table1[[#This Row],[BW40_3705]]),"")</f>
        <v/>
      </c>
      <c r="H9624" s="7" t="str">
        <f>IF(Table1[[#This Row],[Is Data Valid]]=TRUE,((Table1[[#This Row],[Birthweight (grams)]]*0.9/Table1[[#This Row],[BW_GA]])-1)/(Backend!$B$4/100*Table1[[#This Row],[BW40_3705]]),"")</f>
        <v/>
      </c>
      <c r="I9624" s="7" t="str">
        <f>IF(Table1[[#This Row],[Is Data Valid]]=TRUE,((Table1[[#This Row],[Birthweight (grams)]]*1.1/Table1[[#This Row],[BW_GA]])-1)/(Backend!$B$4/100*Table1[[#This Row],[BW40_3705]]),"")</f>
        <v/>
      </c>
      <c r="J9624" s="7" t="str">
        <f>IF(Table1[[#This Row],[Is Data Valid]]=TRUE,_xlfn.NORM.S.DIST(Table1[[#This Row],[Birthweight Z-Score]],TRUE)*100,"")</f>
        <v/>
      </c>
      <c r="K9624" s="7" t="str">
        <f>IF(Table1[[#This Row],[Is Data Valid]]=TRUE,_xlfn.NORM.S.DIST(Table1[[#This Row],[Birthweight Z-Score (BW-10%)]],TRUE)*100,"")</f>
        <v/>
      </c>
      <c r="L9624" s="7" t="str">
        <f>IF(Table1[[#This Row],[Is Data Valid]]=TRUE,_xlfn.NORM.S.DIST(Table1[[#This Row],[Birthweight Z-Score (BW+10%)]],TRUE)*100,"")</f>
        <v/>
      </c>
    </row>
    <row r="9625" spans="1:12" x14ac:dyDescent="0.35">
      <c r="A9625" s="3"/>
      <c r="B9625" s="2"/>
      <c r="C9625" s="2"/>
      <c r="D9625" s="2" t="b">
        <f>IF(AND(NOT(ISBLANK(Table1[[#This Row],[Fetal Sex (Male, Female or Unknown)]])),ISNUMBER(Table1[[#This Row],[Birthweight (grams)]]),ISNUMBER(Table1[[#This Row],[Gestation (days)]])),TRUE,FALSE)</f>
        <v>0</v>
      </c>
      <c r="E9625" s="2" t="str">
        <f>IF(Table1[[#This Row],[Is Data Valid]]=TRUE,IF(Table1[[#This Row],[Fetal Sex (Male, Female or Unknown)]]="Male",Backend!$C$6,IF(Table1[[#This Row],[Fetal Sex (Male, Female or Unknown)]]="Female",Backend!$C$7,IF(Table1[[#This Row],[Fetal Sex (Male, Female or Unknown)]]="Unknown",Backend!$C$8,"Error"))),"")</f>
        <v/>
      </c>
      <c r="F9625" s="8" t="str">
        <f>IF(Table1[[#This Row],[Is Data Valid]]=TRUE,EXP(0.578+0.332*((Table1[[#This Row],[Gestation (days)]]+0.5)/7)-0.00354*((Table1[[#This Row],[Gestation (days)]]+0.5)/7)^2)*Table1[[#This Row],[BW40_3705]],"")</f>
        <v/>
      </c>
      <c r="G9625" s="2" t="str">
        <f>IF(Table1[[#This Row],[Is Data Valid]]=TRUE,((Table1[[#This Row],[Birthweight (grams)]]/Table1[[#This Row],[BW_GA]])-1)/(Backend!$B$4/100*Table1[[#This Row],[BW40_3705]]),"")</f>
        <v/>
      </c>
      <c r="H9625" s="7" t="str">
        <f>IF(Table1[[#This Row],[Is Data Valid]]=TRUE,((Table1[[#This Row],[Birthweight (grams)]]*0.9/Table1[[#This Row],[BW_GA]])-1)/(Backend!$B$4/100*Table1[[#This Row],[BW40_3705]]),"")</f>
        <v/>
      </c>
      <c r="I9625" s="7" t="str">
        <f>IF(Table1[[#This Row],[Is Data Valid]]=TRUE,((Table1[[#This Row],[Birthweight (grams)]]*1.1/Table1[[#This Row],[BW_GA]])-1)/(Backend!$B$4/100*Table1[[#This Row],[BW40_3705]]),"")</f>
        <v/>
      </c>
      <c r="J9625" s="7" t="str">
        <f>IF(Table1[[#This Row],[Is Data Valid]]=TRUE,_xlfn.NORM.S.DIST(Table1[[#This Row],[Birthweight Z-Score]],TRUE)*100,"")</f>
        <v/>
      </c>
      <c r="K9625" s="7" t="str">
        <f>IF(Table1[[#This Row],[Is Data Valid]]=TRUE,_xlfn.NORM.S.DIST(Table1[[#This Row],[Birthweight Z-Score (BW-10%)]],TRUE)*100,"")</f>
        <v/>
      </c>
      <c r="L9625" s="7" t="str">
        <f>IF(Table1[[#This Row],[Is Data Valid]]=TRUE,_xlfn.NORM.S.DIST(Table1[[#This Row],[Birthweight Z-Score (BW+10%)]],TRUE)*100,"")</f>
        <v/>
      </c>
    </row>
    <row r="9626" spans="1:12" x14ac:dyDescent="0.35">
      <c r="A9626" s="3"/>
      <c r="B9626" s="2"/>
      <c r="C9626" s="2"/>
      <c r="D9626" s="2" t="b">
        <f>IF(AND(NOT(ISBLANK(Table1[[#This Row],[Fetal Sex (Male, Female or Unknown)]])),ISNUMBER(Table1[[#This Row],[Birthweight (grams)]]),ISNUMBER(Table1[[#This Row],[Gestation (days)]])),TRUE,FALSE)</f>
        <v>0</v>
      </c>
      <c r="E9626" s="2" t="str">
        <f>IF(Table1[[#This Row],[Is Data Valid]]=TRUE,IF(Table1[[#This Row],[Fetal Sex (Male, Female or Unknown)]]="Male",Backend!$C$6,IF(Table1[[#This Row],[Fetal Sex (Male, Female or Unknown)]]="Female",Backend!$C$7,IF(Table1[[#This Row],[Fetal Sex (Male, Female or Unknown)]]="Unknown",Backend!$C$8,"Error"))),"")</f>
        <v/>
      </c>
      <c r="F9626" s="8" t="str">
        <f>IF(Table1[[#This Row],[Is Data Valid]]=TRUE,EXP(0.578+0.332*((Table1[[#This Row],[Gestation (days)]]+0.5)/7)-0.00354*((Table1[[#This Row],[Gestation (days)]]+0.5)/7)^2)*Table1[[#This Row],[BW40_3705]],"")</f>
        <v/>
      </c>
      <c r="G9626" s="2" t="str">
        <f>IF(Table1[[#This Row],[Is Data Valid]]=TRUE,((Table1[[#This Row],[Birthweight (grams)]]/Table1[[#This Row],[BW_GA]])-1)/(Backend!$B$4/100*Table1[[#This Row],[BW40_3705]]),"")</f>
        <v/>
      </c>
      <c r="H9626" s="7" t="str">
        <f>IF(Table1[[#This Row],[Is Data Valid]]=TRUE,((Table1[[#This Row],[Birthweight (grams)]]*0.9/Table1[[#This Row],[BW_GA]])-1)/(Backend!$B$4/100*Table1[[#This Row],[BW40_3705]]),"")</f>
        <v/>
      </c>
      <c r="I9626" s="7" t="str">
        <f>IF(Table1[[#This Row],[Is Data Valid]]=TRUE,((Table1[[#This Row],[Birthweight (grams)]]*1.1/Table1[[#This Row],[BW_GA]])-1)/(Backend!$B$4/100*Table1[[#This Row],[BW40_3705]]),"")</f>
        <v/>
      </c>
      <c r="J9626" s="7" t="str">
        <f>IF(Table1[[#This Row],[Is Data Valid]]=TRUE,_xlfn.NORM.S.DIST(Table1[[#This Row],[Birthweight Z-Score]],TRUE)*100,"")</f>
        <v/>
      </c>
      <c r="K9626" s="7" t="str">
        <f>IF(Table1[[#This Row],[Is Data Valid]]=TRUE,_xlfn.NORM.S.DIST(Table1[[#This Row],[Birthweight Z-Score (BW-10%)]],TRUE)*100,"")</f>
        <v/>
      </c>
      <c r="L9626" s="7" t="str">
        <f>IF(Table1[[#This Row],[Is Data Valid]]=TRUE,_xlfn.NORM.S.DIST(Table1[[#This Row],[Birthweight Z-Score (BW+10%)]],TRUE)*100,"")</f>
        <v/>
      </c>
    </row>
    <row r="9627" spans="1:12" x14ac:dyDescent="0.35">
      <c r="A9627" s="3"/>
      <c r="B9627" s="2"/>
      <c r="C9627" s="2"/>
      <c r="D9627" s="2" t="b">
        <f>IF(AND(NOT(ISBLANK(Table1[[#This Row],[Fetal Sex (Male, Female or Unknown)]])),ISNUMBER(Table1[[#This Row],[Birthweight (grams)]]),ISNUMBER(Table1[[#This Row],[Gestation (days)]])),TRUE,FALSE)</f>
        <v>0</v>
      </c>
      <c r="E9627" s="2" t="str">
        <f>IF(Table1[[#This Row],[Is Data Valid]]=TRUE,IF(Table1[[#This Row],[Fetal Sex (Male, Female or Unknown)]]="Male",Backend!$C$6,IF(Table1[[#This Row],[Fetal Sex (Male, Female or Unknown)]]="Female",Backend!$C$7,IF(Table1[[#This Row],[Fetal Sex (Male, Female or Unknown)]]="Unknown",Backend!$C$8,"Error"))),"")</f>
        <v/>
      </c>
      <c r="F9627" s="8" t="str">
        <f>IF(Table1[[#This Row],[Is Data Valid]]=TRUE,EXP(0.578+0.332*((Table1[[#This Row],[Gestation (days)]]+0.5)/7)-0.00354*((Table1[[#This Row],[Gestation (days)]]+0.5)/7)^2)*Table1[[#This Row],[BW40_3705]],"")</f>
        <v/>
      </c>
      <c r="G9627" s="2" t="str">
        <f>IF(Table1[[#This Row],[Is Data Valid]]=TRUE,((Table1[[#This Row],[Birthweight (grams)]]/Table1[[#This Row],[BW_GA]])-1)/(Backend!$B$4/100*Table1[[#This Row],[BW40_3705]]),"")</f>
        <v/>
      </c>
      <c r="H9627" s="7" t="str">
        <f>IF(Table1[[#This Row],[Is Data Valid]]=TRUE,((Table1[[#This Row],[Birthweight (grams)]]*0.9/Table1[[#This Row],[BW_GA]])-1)/(Backend!$B$4/100*Table1[[#This Row],[BW40_3705]]),"")</f>
        <v/>
      </c>
      <c r="I9627" s="7" t="str">
        <f>IF(Table1[[#This Row],[Is Data Valid]]=TRUE,((Table1[[#This Row],[Birthweight (grams)]]*1.1/Table1[[#This Row],[BW_GA]])-1)/(Backend!$B$4/100*Table1[[#This Row],[BW40_3705]]),"")</f>
        <v/>
      </c>
      <c r="J9627" s="7" t="str">
        <f>IF(Table1[[#This Row],[Is Data Valid]]=TRUE,_xlfn.NORM.S.DIST(Table1[[#This Row],[Birthweight Z-Score]],TRUE)*100,"")</f>
        <v/>
      </c>
      <c r="K9627" s="7" t="str">
        <f>IF(Table1[[#This Row],[Is Data Valid]]=TRUE,_xlfn.NORM.S.DIST(Table1[[#This Row],[Birthweight Z-Score (BW-10%)]],TRUE)*100,"")</f>
        <v/>
      </c>
      <c r="L9627" s="7" t="str">
        <f>IF(Table1[[#This Row],[Is Data Valid]]=TRUE,_xlfn.NORM.S.DIST(Table1[[#This Row],[Birthweight Z-Score (BW+10%)]],TRUE)*100,"")</f>
        <v/>
      </c>
    </row>
    <row r="9628" spans="1:12" x14ac:dyDescent="0.35">
      <c r="A9628" s="3"/>
      <c r="B9628" s="2"/>
      <c r="C9628" s="2"/>
      <c r="D9628" s="2" t="b">
        <f>IF(AND(NOT(ISBLANK(Table1[[#This Row],[Fetal Sex (Male, Female or Unknown)]])),ISNUMBER(Table1[[#This Row],[Birthweight (grams)]]),ISNUMBER(Table1[[#This Row],[Gestation (days)]])),TRUE,FALSE)</f>
        <v>0</v>
      </c>
      <c r="E9628" s="2" t="str">
        <f>IF(Table1[[#This Row],[Is Data Valid]]=TRUE,IF(Table1[[#This Row],[Fetal Sex (Male, Female or Unknown)]]="Male",Backend!$C$6,IF(Table1[[#This Row],[Fetal Sex (Male, Female or Unknown)]]="Female",Backend!$C$7,IF(Table1[[#This Row],[Fetal Sex (Male, Female or Unknown)]]="Unknown",Backend!$C$8,"Error"))),"")</f>
        <v/>
      </c>
      <c r="F9628" s="8" t="str">
        <f>IF(Table1[[#This Row],[Is Data Valid]]=TRUE,EXP(0.578+0.332*((Table1[[#This Row],[Gestation (days)]]+0.5)/7)-0.00354*((Table1[[#This Row],[Gestation (days)]]+0.5)/7)^2)*Table1[[#This Row],[BW40_3705]],"")</f>
        <v/>
      </c>
      <c r="G9628" s="2" t="str">
        <f>IF(Table1[[#This Row],[Is Data Valid]]=TRUE,((Table1[[#This Row],[Birthweight (grams)]]/Table1[[#This Row],[BW_GA]])-1)/(Backend!$B$4/100*Table1[[#This Row],[BW40_3705]]),"")</f>
        <v/>
      </c>
      <c r="H9628" s="7" t="str">
        <f>IF(Table1[[#This Row],[Is Data Valid]]=TRUE,((Table1[[#This Row],[Birthweight (grams)]]*0.9/Table1[[#This Row],[BW_GA]])-1)/(Backend!$B$4/100*Table1[[#This Row],[BW40_3705]]),"")</f>
        <v/>
      </c>
      <c r="I9628" s="7" t="str">
        <f>IF(Table1[[#This Row],[Is Data Valid]]=TRUE,((Table1[[#This Row],[Birthweight (grams)]]*1.1/Table1[[#This Row],[BW_GA]])-1)/(Backend!$B$4/100*Table1[[#This Row],[BW40_3705]]),"")</f>
        <v/>
      </c>
      <c r="J9628" s="7" t="str">
        <f>IF(Table1[[#This Row],[Is Data Valid]]=TRUE,_xlfn.NORM.S.DIST(Table1[[#This Row],[Birthweight Z-Score]],TRUE)*100,"")</f>
        <v/>
      </c>
      <c r="K9628" s="7" t="str">
        <f>IF(Table1[[#This Row],[Is Data Valid]]=TRUE,_xlfn.NORM.S.DIST(Table1[[#This Row],[Birthweight Z-Score (BW-10%)]],TRUE)*100,"")</f>
        <v/>
      </c>
      <c r="L9628" s="7" t="str">
        <f>IF(Table1[[#This Row],[Is Data Valid]]=TRUE,_xlfn.NORM.S.DIST(Table1[[#This Row],[Birthweight Z-Score (BW+10%)]],TRUE)*100,"")</f>
        <v/>
      </c>
    </row>
    <row r="9629" spans="1:12" x14ac:dyDescent="0.35">
      <c r="A9629" s="3"/>
      <c r="B9629" s="2"/>
      <c r="C9629" s="2"/>
      <c r="D9629" s="2" t="b">
        <f>IF(AND(NOT(ISBLANK(Table1[[#This Row],[Fetal Sex (Male, Female or Unknown)]])),ISNUMBER(Table1[[#This Row],[Birthweight (grams)]]),ISNUMBER(Table1[[#This Row],[Gestation (days)]])),TRUE,FALSE)</f>
        <v>0</v>
      </c>
      <c r="E9629" s="2" t="str">
        <f>IF(Table1[[#This Row],[Is Data Valid]]=TRUE,IF(Table1[[#This Row],[Fetal Sex (Male, Female or Unknown)]]="Male",Backend!$C$6,IF(Table1[[#This Row],[Fetal Sex (Male, Female or Unknown)]]="Female",Backend!$C$7,IF(Table1[[#This Row],[Fetal Sex (Male, Female or Unknown)]]="Unknown",Backend!$C$8,"Error"))),"")</f>
        <v/>
      </c>
      <c r="F9629" s="8" t="str">
        <f>IF(Table1[[#This Row],[Is Data Valid]]=TRUE,EXP(0.578+0.332*((Table1[[#This Row],[Gestation (days)]]+0.5)/7)-0.00354*((Table1[[#This Row],[Gestation (days)]]+0.5)/7)^2)*Table1[[#This Row],[BW40_3705]],"")</f>
        <v/>
      </c>
      <c r="G9629" s="2" t="str">
        <f>IF(Table1[[#This Row],[Is Data Valid]]=TRUE,((Table1[[#This Row],[Birthweight (grams)]]/Table1[[#This Row],[BW_GA]])-1)/(Backend!$B$4/100*Table1[[#This Row],[BW40_3705]]),"")</f>
        <v/>
      </c>
      <c r="H9629" s="7" t="str">
        <f>IF(Table1[[#This Row],[Is Data Valid]]=TRUE,((Table1[[#This Row],[Birthweight (grams)]]*0.9/Table1[[#This Row],[BW_GA]])-1)/(Backend!$B$4/100*Table1[[#This Row],[BW40_3705]]),"")</f>
        <v/>
      </c>
      <c r="I9629" s="7" t="str">
        <f>IF(Table1[[#This Row],[Is Data Valid]]=TRUE,((Table1[[#This Row],[Birthweight (grams)]]*1.1/Table1[[#This Row],[BW_GA]])-1)/(Backend!$B$4/100*Table1[[#This Row],[BW40_3705]]),"")</f>
        <v/>
      </c>
      <c r="J9629" s="7" t="str">
        <f>IF(Table1[[#This Row],[Is Data Valid]]=TRUE,_xlfn.NORM.S.DIST(Table1[[#This Row],[Birthweight Z-Score]],TRUE)*100,"")</f>
        <v/>
      </c>
      <c r="K9629" s="7" t="str">
        <f>IF(Table1[[#This Row],[Is Data Valid]]=TRUE,_xlfn.NORM.S.DIST(Table1[[#This Row],[Birthweight Z-Score (BW-10%)]],TRUE)*100,"")</f>
        <v/>
      </c>
      <c r="L9629" s="7" t="str">
        <f>IF(Table1[[#This Row],[Is Data Valid]]=TRUE,_xlfn.NORM.S.DIST(Table1[[#This Row],[Birthweight Z-Score (BW+10%)]],TRUE)*100,"")</f>
        <v/>
      </c>
    </row>
    <row r="9630" spans="1:12" x14ac:dyDescent="0.35">
      <c r="A9630" s="3"/>
      <c r="B9630" s="2"/>
      <c r="C9630" s="2"/>
      <c r="D9630" s="2" t="b">
        <f>IF(AND(NOT(ISBLANK(Table1[[#This Row],[Fetal Sex (Male, Female or Unknown)]])),ISNUMBER(Table1[[#This Row],[Birthweight (grams)]]),ISNUMBER(Table1[[#This Row],[Gestation (days)]])),TRUE,FALSE)</f>
        <v>0</v>
      </c>
      <c r="E9630" s="2" t="str">
        <f>IF(Table1[[#This Row],[Is Data Valid]]=TRUE,IF(Table1[[#This Row],[Fetal Sex (Male, Female or Unknown)]]="Male",Backend!$C$6,IF(Table1[[#This Row],[Fetal Sex (Male, Female or Unknown)]]="Female",Backend!$C$7,IF(Table1[[#This Row],[Fetal Sex (Male, Female or Unknown)]]="Unknown",Backend!$C$8,"Error"))),"")</f>
        <v/>
      </c>
      <c r="F9630" s="8" t="str">
        <f>IF(Table1[[#This Row],[Is Data Valid]]=TRUE,EXP(0.578+0.332*((Table1[[#This Row],[Gestation (days)]]+0.5)/7)-0.00354*((Table1[[#This Row],[Gestation (days)]]+0.5)/7)^2)*Table1[[#This Row],[BW40_3705]],"")</f>
        <v/>
      </c>
      <c r="G9630" s="2" t="str">
        <f>IF(Table1[[#This Row],[Is Data Valid]]=TRUE,((Table1[[#This Row],[Birthweight (grams)]]/Table1[[#This Row],[BW_GA]])-1)/(Backend!$B$4/100*Table1[[#This Row],[BW40_3705]]),"")</f>
        <v/>
      </c>
      <c r="H9630" s="7" t="str">
        <f>IF(Table1[[#This Row],[Is Data Valid]]=TRUE,((Table1[[#This Row],[Birthweight (grams)]]*0.9/Table1[[#This Row],[BW_GA]])-1)/(Backend!$B$4/100*Table1[[#This Row],[BW40_3705]]),"")</f>
        <v/>
      </c>
      <c r="I9630" s="7" t="str">
        <f>IF(Table1[[#This Row],[Is Data Valid]]=TRUE,((Table1[[#This Row],[Birthweight (grams)]]*1.1/Table1[[#This Row],[BW_GA]])-1)/(Backend!$B$4/100*Table1[[#This Row],[BW40_3705]]),"")</f>
        <v/>
      </c>
      <c r="J9630" s="7" t="str">
        <f>IF(Table1[[#This Row],[Is Data Valid]]=TRUE,_xlfn.NORM.S.DIST(Table1[[#This Row],[Birthweight Z-Score]],TRUE)*100,"")</f>
        <v/>
      </c>
      <c r="K9630" s="7" t="str">
        <f>IF(Table1[[#This Row],[Is Data Valid]]=TRUE,_xlfn.NORM.S.DIST(Table1[[#This Row],[Birthweight Z-Score (BW-10%)]],TRUE)*100,"")</f>
        <v/>
      </c>
      <c r="L9630" s="7" t="str">
        <f>IF(Table1[[#This Row],[Is Data Valid]]=TRUE,_xlfn.NORM.S.DIST(Table1[[#This Row],[Birthweight Z-Score (BW+10%)]],TRUE)*100,"")</f>
        <v/>
      </c>
    </row>
    <row r="9631" spans="1:12" x14ac:dyDescent="0.35">
      <c r="A9631" s="3"/>
      <c r="B9631" s="2"/>
      <c r="C9631" s="2"/>
      <c r="D9631" s="2" t="b">
        <f>IF(AND(NOT(ISBLANK(Table1[[#This Row],[Fetal Sex (Male, Female or Unknown)]])),ISNUMBER(Table1[[#This Row],[Birthweight (grams)]]),ISNUMBER(Table1[[#This Row],[Gestation (days)]])),TRUE,FALSE)</f>
        <v>0</v>
      </c>
      <c r="E9631" s="2" t="str">
        <f>IF(Table1[[#This Row],[Is Data Valid]]=TRUE,IF(Table1[[#This Row],[Fetal Sex (Male, Female or Unknown)]]="Male",Backend!$C$6,IF(Table1[[#This Row],[Fetal Sex (Male, Female or Unknown)]]="Female",Backend!$C$7,IF(Table1[[#This Row],[Fetal Sex (Male, Female or Unknown)]]="Unknown",Backend!$C$8,"Error"))),"")</f>
        <v/>
      </c>
      <c r="F9631" s="8" t="str">
        <f>IF(Table1[[#This Row],[Is Data Valid]]=TRUE,EXP(0.578+0.332*((Table1[[#This Row],[Gestation (days)]]+0.5)/7)-0.00354*((Table1[[#This Row],[Gestation (days)]]+0.5)/7)^2)*Table1[[#This Row],[BW40_3705]],"")</f>
        <v/>
      </c>
      <c r="G9631" s="2" t="str">
        <f>IF(Table1[[#This Row],[Is Data Valid]]=TRUE,((Table1[[#This Row],[Birthweight (grams)]]/Table1[[#This Row],[BW_GA]])-1)/(Backend!$B$4/100*Table1[[#This Row],[BW40_3705]]),"")</f>
        <v/>
      </c>
      <c r="H9631" s="7" t="str">
        <f>IF(Table1[[#This Row],[Is Data Valid]]=TRUE,((Table1[[#This Row],[Birthweight (grams)]]*0.9/Table1[[#This Row],[BW_GA]])-1)/(Backend!$B$4/100*Table1[[#This Row],[BW40_3705]]),"")</f>
        <v/>
      </c>
      <c r="I9631" s="7" t="str">
        <f>IF(Table1[[#This Row],[Is Data Valid]]=TRUE,((Table1[[#This Row],[Birthweight (grams)]]*1.1/Table1[[#This Row],[BW_GA]])-1)/(Backend!$B$4/100*Table1[[#This Row],[BW40_3705]]),"")</f>
        <v/>
      </c>
      <c r="J9631" s="7" t="str">
        <f>IF(Table1[[#This Row],[Is Data Valid]]=TRUE,_xlfn.NORM.S.DIST(Table1[[#This Row],[Birthweight Z-Score]],TRUE)*100,"")</f>
        <v/>
      </c>
      <c r="K9631" s="7" t="str">
        <f>IF(Table1[[#This Row],[Is Data Valid]]=TRUE,_xlfn.NORM.S.DIST(Table1[[#This Row],[Birthweight Z-Score (BW-10%)]],TRUE)*100,"")</f>
        <v/>
      </c>
      <c r="L9631" s="7" t="str">
        <f>IF(Table1[[#This Row],[Is Data Valid]]=TRUE,_xlfn.NORM.S.DIST(Table1[[#This Row],[Birthweight Z-Score (BW+10%)]],TRUE)*100,"")</f>
        <v/>
      </c>
    </row>
    <row r="9632" spans="1:12" x14ac:dyDescent="0.35">
      <c r="A9632" s="3"/>
      <c r="B9632" s="2"/>
      <c r="C9632" s="2"/>
      <c r="D9632" s="2" t="b">
        <f>IF(AND(NOT(ISBLANK(Table1[[#This Row],[Fetal Sex (Male, Female or Unknown)]])),ISNUMBER(Table1[[#This Row],[Birthweight (grams)]]),ISNUMBER(Table1[[#This Row],[Gestation (days)]])),TRUE,FALSE)</f>
        <v>0</v>
      </c>
      <c r="E9632" s="2" t="str">
        <f>IF(Table1[[#This Row],[Is Data Valid]]=TRUE,IF(Table1[[#This Row],[Fetal Sex (Male, Female or Unknown)]]="Male",Backend!$C$6,IF(Table1[[#This Row],[Fetal Sex (Male, Female or Unknown)]]="Female",Backend!$C$7,IF(Table1[[#This Row],[Fetal Sex (Male, Female or Unknown)]]="Unknown",Backend!$C$8,"Error"))),"")</f>
        <v/>
      </c>
      <c r="F9632" s="8" t="str">
        <f>IF(Table1[[#This Row],[Is Data Valid]]=TRUE,EXP(0.578+0.332*((Table1[[#This Row],[Gestation (days)]]+0.5)/7)-0.00354*((Table1[[#This Row],[Gestation (days)]]+0.5)/7)^2)*Table1[[#This Row],[BW40_3705]],"")</f>
        <v/>
      </c>
      <c r="G9632" s="2" t="str">
        <f>IF(Table1[[#This Row],[Is Data Valid]]=TRUE,((Table1[[#This Row],[Birthweight (grams)]]/Table1[[#This Row],[BW_GA]])-1)/(Backend!$B$4/100*Table1[[#This Row],[BW40_3705]]),"")</f>
        <v/>
      </c>
      <c r="H9632" s="7" t="str">
        <f>IF(Table1[[#This Row],[Is Data Valid]]=TRUE,((Table1[[#This Row],[Birthweight (grams)]]*0.9/Table1[[#This Row],[BW_GA]])-1)/(Backend!$B$4/100*Table1[[#This Row],[BW40_3705]]),"")</f>
        <v/>
      </c>
      <c r="I9632" s="7" t="str">
        <f>IF(Table1[[#This Row],[Is Data Valid]]=TRUE,((Table1[[#This Row],[Birthweight (grams)]]*1.1/Table1[[#This Row],[BW_GA]])-1)/(Backend!$B$4/100*Table1[[#This Row],[BW40_3705]]),"")</f>
        <v/>
      </c>
      <c r="J9632" s="7" t="str">
        <f>IF(Table1[[#This Row],[Is Data Valid]]=TRUE,_xlfn.NORM.S.DIST(Table1[[#This Row],[Birthweight Z-Score]],TRUE)*100,"")</f>
        <v/>
      </c>
      <c r="K9632" s="7" t="str">
        <f>IF(Table1[[#This Row],[Is Data Valid]]=TRUE,_xlfn.NORM.S.DIST(Table1[[#This Row],[Birthweight Z-Score (BW-10%)]],TRUE)*100,"")</f>
        <v/>
      </c>
      <c r="L9632" s="7" t="str">
        <f>IF(Table1[[#This Row],[Is Data Valid]]=TRUE,_xlfn.NORM.S.DIST(Table1[[#This Row],[Birthweight Z-Score (BW+10%)]],TRUE)*100,"")</f>
        <v/>
      </c>
    </row>
    <row r="9633" spans="1:12" x14ac:dyDescent="0.35">
      <c r="A9633" s="3"/>
      <c r="B9633" s="2"/>
      <c r="C9633" s="2"/>
      <c r="D9633" s="2" t="b">
        <f>IF(AND(NOT(ISBLANK(Table1[[#This Row],[Fetal Sex (Male, Female or Unknown)]])),ISNUMBER(Table1[[#This Row],[Birthweight (grams)]]),ISNUMBER(Table1[[#This Row],[Gestation (days)]])),TRUE,FALSE)</f>
        <v>0</v>
      </c>
      <c r="E9633" s="2" t="str">
        <f>IF(Table1[[#This Row],[Is Data Valid]]=TRUE,IF(Table1[[#This Row],[Fetal Sex (Male, Female or Unknown)]]="Male",Backend!$C$6,IF(Table1[[#This Row],[Fetal Sex (Male, Female or Unknown)]]="Female",Backend!$C$7,IF(Table1[[#This Row],[Fetal Sex (Male, Female or Unknown)]]="Unknown",Backend!$C$8,"Error"))),"")</f>
        <v/>
      </c>
      <c r="F9633" s="8" t="str">
        <f>IF(Table1[[#This Row],[Is Data Valid]]=TRUE,EXP(0.578+0.332*((Table1[[#This Row],[Gestation (days)]]+0.5)/7)-0.00354*((Table1[[#This Row],[Gestation (days)]]+0.5)/7)^2)*Table1[[#This Row],[BW40_3705]],"")</f>
        <v/>
      </c>
      <c r="G9633" s="2" t="str">
        <f>IF(Table1[[#This Row],[Is Data Valid]]=TRUE,((Table1[[#This Row],[Birthweight (grams)]]/Table1[[#This Row],[BW_GA]])-1)/(Backend!$B$4/100*Table1[[#This Row],[BW40_3705]]),"")</f>
        <v/>
      </c>
      <c r="H9633" s="7" t="str">
        <f>IF(Table1[[#This Row],[Is Data Valid]]=TRUE,((Table1[[#This Row],[Birthweight (grams)]]*0.9/Table1[[#This Row],[BW_GA]])-1)/(Backend!$B$4/100*Table1[[#This Row],[BW40_3705]]),"")</f>
        <v/>
      </c>
      <c r="I9633" s="7" t="str">
        <f>IF(Table1[[#This Row],[Is Data Valid]]=TRUE,((Table1[[#This Row],[Birthweight (grams)]]*1.1/Table1[[#This Row],[BW_GA]])-1)/(Backend!$B$4/100*Table1[[#This Row],[BW40_3705]]),"")</f>
        <v/>
      </c>
      <c r="J9633" s="7" t="str">
        <f>IF(Table1[[#This Row],[Is Data Valid]]=TRUE,_xlfn.NORM.S.DIST(Table1[[#This Row],[Birthweight Z-Score]],TRUE)*100,"")</f>
        <v/>
      </c>
      <c r="K9633" s="7" t="str">
        <f>IF(Table1[[#This Row],[Is Data Valid]]=TRUE,_xlfn.NORM.S.DIST(Table1[[#This Row],[Birthweight Z-Score (BW-10%)]],TRUE)*100,"")</f>
        <v/>
      </c>
      <c r="L9633" s="7" t="str">
        <f>IF(Table1[[#This Row],[Is Data Valid]]=TRUE,_xlfn.NORM.S.DIST(Table1[[#This Row],[Birthweight Z-Score (BW+10%)]],TRUE)*100,"")</f>
        <v/>
      </c>
    </row>
    <row r="9634" spans="1:12" x14ac:dyDescent="0.35">
      <c r="A9634" s="3"/>
      <c r="B9634" s="2"/>
      <c r="C9634" s="2"/>
      <c r="D9634" s="2" t="b">
        <f>IF(AND(NOT(ISBLANK(Table1[[#This Row],[Fetal Sex (Male, Female or Unknown)]])),ISNUMBER(Table1[[#This Row],[Birthweight (grams)]]),ISNUMBER(Table1[[#This Row],[Gestation (days)]])),TRUE,FALSE)</f>
        <v>0</v>
      </c>
      <c r="E9634" s="2" t="str">
        <f>IF(Table1[[#This Row],[Is Data Valid]]=TRUE,IF(Table1[[#This Row],[Fetal Sex (Male, Female or Unknown)]]="Male",Backend!$C$6,IF(Table1[[#This Row],[Fetal Sex (Male, Female or Unknown)]]="Female",Backend!$C$7,IF(Table1[[#This Row],[Fetal Sex (Male, Female or Unknown)]]="Unknown",Backend!$C$8,"Error"))),"")</f>
        <v/>
      </c>
      <c r="F9634" s="8" t="str">
        <f>IF(Table1[[#This Row],[Is Data Valid]]=TRUE,EXP(0.578+0.332*((Table1[[#This Row],[Gestation (days)]]+0.5)/7)-0.00354*((Table1[[#This Row],[Gestation (days)]]+0.5)/7)^2)*Table1[[#This Row],[BW40_3705]],"")</f>
        <v/>
      </c>
      <c r="G9634" s="2" t="str">
        <f>IF(Table1[[#This Row],[Is Data Valid]]=TRUE,((Table1[[#This Row],[Birthweight (grams)]]/Table1[[#This Row],[BW_GA]])-1)/(Backend!$B$4/100*Table1[[#This Row],[BW40_3705]]),"")</f>
        <v/>
      </c>
      <c r="H9634" s="7" t="str">
        <f>IF(Table1[[#This Row],[Is Data Valid]]=TRUE,((Table1[[#This Row],[Birthweight (grams)]]*0.9/Table1[[#This Row],[BW_GA]])-1)/(Backend!$B$4/100*Table1[[#This Row],[BW40_3705]]),"")</f>
        <v/>
      </c>
      <c r="I9634" s="7" t="str">
        <f>IF(Table1[[#This Row],[Is Data Valid]]=TRUE,((Table1[[#This Row],[Birthweight (grams)]]*1.1/Table1[[#This Row],[BW_GA]])-1)/(Backend!$B$4/100*Table1[[#This Row],[BW40_3705]]),"")</f>
        <v/>
      </c>
      <c r="J9634" s="7" t="str">
        <f>IF(Table1[[#This Row],[Is Data Valid]]=TRUE,_xlfn.NORM.S.DIST(Table1[[#This Row],[Birthweight Z-Score]],TRUE)*100,"")</f>
        <v/>
      </c>
      <c r="K9634" s="7" t="str">
        <f>IF(Table1[[#This Row],[Is Data Valid]]=TRUE,_xlfn.NORM.S.DIST(Table1[[#This Row],[Birthweight Z-Score (BW-10%)]],TRUE)*100,"")</f>
        <v/>
      </c>
      <c r="L9634" s="7" t="str">
        <f>IF(Table1[[#This Row],[Is Data Valid]]=TRUE,_xlfn.NORM.S.DIST(Table1[[#This Row],[Birthweight Z-Score (BW+10%)]],TRUE)*100,"")</f>
        <v/>
      </c>
    </row>
    <row r="9635" spans="1:12" x14ac:dyDescent="0.35">
      <c r="A9635" s="3"/>
      <c r="B9635" s="2"/>
      <c r="C9635" s="2"/>
      <c r="D9635" s="2" t="b">
        <f>IF(AND(NOT(ISBLANK(Table1[[#This Row],[Fetal Sex (Male, Female or Unknown)]])),ISNUMBER(Table1[[#This Row],[Birthweight (grams)]]),ISNUMBER(Table1[[#This Row],[Gestation (days)]])),TRUE,FALSE)</f>
        <v>0</v>
      </c>
      <c r="E9635" s="2" t="str">
        <f>IF(Table1[[#This Row],[Is Data Valid]]=TRUE,IF(Table1[[#This Row],[Fetal Sex (Male, Female or Unknown)]]="Male",Backend!$C$6,IF(Table1[[#This Row],[Fetal Sex (Male, Female or Unknown)]]="Female",Backend!$C$7,IF(Table1[[#This Row],[Fetal Sex (Male, Female or Unknown)]]="Unknown",Backend!$C$8,"Error"))),"")</f>
        <v/>
      </c>
      <c r="F9635" s="8" t="str">
        <f>IF(Table1[[#This Row],[Is Data Valid]]=TRUE,EXP(0.578+0.332*((Table1[[#This Row],[Gestation (days)]]+0.5)/7)-0.00354*((Table1[[#This Row],[Gestation (days)]]+0.5)/7)^2)*Table1[[#This Row],[BW40_3705]],"")</f>
        <v/>
      </c>
      <c r="G9635" s="2" t="str">
        <f>IF(Table1[[#This Row],[Is Data Valid]]=TRUE,((Table1[[#This Row],[Birthweight (grams)]]/Table1[[#This Row],[BW_GA]])-1)/(Backend!$B$4/100*Table1[[#This Row],[BW40_3705]]),"")</f>
        <v/>
      </c>
      <c r="H9635" s="7" t="str">
        <f>IF(Table1[[#This Row],[Is Data Valid]]=TRUE,((Table1[[#This Row],[Birthweight (grams)]]*0.9/Table1[[#This Row],[BW_GA]])-1)/(Backend!$B$4/100*Table1[[#This Row],[BW40_3705]]),"")</f>
        <v/>
      </c>
      <c r="I9635" s="7" t="str">
        <f>IF(Table1[[#This Row],[Is Data Valid]]=TRUE,((Table1[[#This Row],[Birthweight (grams)]]*1.1/Table1[[#This Row],[BW_GA]])-1)/(Backend!$B$4/100*Table1[[#This Row],[BW40_3705]]),"")</f>
        <v/>
      </c>
      <c r="J9635" s="7" t="str">
        <f>IF(Table1[[#This Row],[Is Data Valid]]=TRUE,_xlfn.NORM.S.DIST(Table1[[#This Row],[Birthweight Z-Score]],TRUE)*100,"")</f>
        <v/>
      </c>
      <c r="K9635" s="7" t="str">
        <f>IF(Table1[[#This Row],[Is Data Valid]]=TRUE,_xlfn.NORM.S.DIST(Table1[[#This Row],[Birthweight Z-Score (BW-10%)]],TRUE)*100,"")</f>
        <v/>
      </c>
      <c r="L9635" s="7" t="str">
        <f>IF(Table1[[#This Row],[Is Data Valid]]=TRUE,_xlfn.NORM.S.DIST(Table1[[#This Row],[Birthweight Z-Score (BW+10%)]],TRUE)*100,"")</f>
        <v/>
      </c>
    </row>
    <row r="9636" spans="1:12" x14ac:dyDescent="0.35">
      <c r="A9636" s="3"/>
      <c r="B9636" s="2"/>
      <c r="C9636" s="2"/>
      <c r="D9636" s="2" t="b">
        <f>IF(AND(NOT(ISBLANK(Table1[[#This Row],[Fetal Sex (Male, Female or Unknown)]])),ISNUMBER(Table1[[#This Row],[Birthweight (grams)]]),ISNUMBER(Table1[[#This Row],[Gestation (days)]])),TRUE,FALSE)</f>
        <v>0</v>
      </c>
      <c r="E9636" s="2" t="str">
        <f>IF(Table1[[#This Row],[Is Data Valid]]=TRUE,IF(Table1[[#This Row],[Fetal Sex (Male, Female or Unknown)]]="Male",Backend!$C$6,IF(Table1[[#This Row],[Fetal Sex (Male, Female or Unknown)]]="Female",Backend!$C$7,IF(Table1[[#This Row],[Fetal Sex (Male, Female or Unknown)]]="Unknown",Backend!$C$8,"Error"))),"")</f>
        <v/>
      </c>
      <c r="F9636" s="8" t="str">
        <f>IF(Table1[[#This Row],[Is Data Valid]]=TRUE,EXP(0.578+0.332*((Table1[[#This Row],[Gestation (days)]]+0.5)/7)-0.00354*((Table1[[#This Row],[Gestation (days)]]+0.5)/7)^2)*Table1[[#This Row],[BW40_3705]],"")</f>
        <v/>
      </c>
      <c r="G9636" s="2" t="str">
        <f>IF(Table1[[#This Row],[Is Data Valid]]=TRUE,((Table1[[#This Row],[Birthweight (grams)]]/Table1[[#This Row],[BW_GA]])-1)/(Backend!$B$4/100*Table1[[#This Row],[BW40_3705]]),"")</f>
        <v/>
      </c>
      <c r="H9636" s="7" t="str">
        <f>IF(Table1[[#This Row],[Is Data Valid]]=TRUE,((Table1[[#This Row],[Birthweight (grams)]]*0.9/Table1[[#This Row],[BW_GA]])-1)/(Backend!$B$4/100*Table1[[#This Row],[BW40_3705]]),"")</f>
        <v/>
      </c>
      <c r="I9636" s="7" t="str">
        <f>IF(Table1[[#This Row],[Is Data Valid]]=TRUE,((Table1[[#This Row],[Birthweight (grams)]]*1.1/Table1[[#This Row],[BW_GA]])-1)/(Backend!$B$4/100*Table1[[#This Row],[BW40_3705]]),"")</f>
        <v/>
      </c>
      <c r="J9636" s="7" t="str">
        <f>IF(Table1[[#This Row],[Is Data Valid]]=TRUE,_xlfn.NORM.S.DIST(Table1[[#This Row],[Birthweight Z-Score]],TRUE)*100,"")</f>
        <v/>
      </c>
      <c r="K9636" s="7" t="str">
        <f>IF(Table1[[#This Row],[Is Data Valid]]=TRUE,_xlfn.NORM.S.DIST(Table1[[#This Row],[Birthweight Z-Score (BW-10%)]],TRUE)*100,"")</f>
        <v/>
      </c>
      <c r="L9636" s="7" t="str">
        <f>IF(Table1[[#This Row],[Is Data Valid]]=TRUE,_xlfn.NORM.S.DIST(Table1[[#This Row],[Birthweight Z-Score (BW+10%)]],TRUE)*100,"")</f>
        <v/>
      </c>
    </row>
    <row r="9637" spans="1:12" x14ac:dyDescent="0.35">
      <c r="A9637" s="3"/>
      <c r="B9637" s="2"/>
      <c r="C9637" s="2"/>
      <c r="D9637" s="2" t="b">
        <f>IF(AND(NOT(ISBLANK(Table1[[#This Row],[Fetal Sex (Male, Female or Unknown)]])),ISNUMBER(Table1[[#This Row],[Birthweight (grams)]]),ISNUMBER(Table1[[#This Row],[Gestation (days)]])),TRUE,FALSE)</f>
        <v>0</v>
      </c>
      <c r="E9637" s="2" t="str">
        <f>IF(Table1[[#This Row],[Is Data Valid]]=TRUE,IF(Table1[[#This Row],[Fetal Sex (Male, Female or Unknown)]]="Male",Backend!$C$6,IF(Table1[[#This Row],[Fetal Sex (Male, Female or Unknown)]]="Female",Backend!$C$7,IF(Table1[[#This Row],[Fetal Sex (Male, Female or Unknown)]]="Unknown",Backend!$C$8,"Error"))),"")</f>
        <v/>
      </c>
      <c r="F9637" s="8" t="str">
        <f>IF(Table1[[#This Row],[Is Data Valid]]=TRUE,EXP(0.578+0.332*((Table1[[#This Row],[Gestation (days)]]+0.5)/7)-0.00354*((Table1[[#This Row],[Gestation (days)]]+0.5)/7)^2)*Table1[[#This Row],[BW40_3705]],"")</f>
        <v/>
      </c>
      <c r="G9637" s="2" t="str">
        <f>IF(Table1[[#This Row],[Is Data Valid]]=TRUE,((Table1[[#This Row],[Birthweight (grams)]]/Table1[[#This Row],[BW_GA]])-1)/(Backend!$B$4/100*Table1[[#This Row],[BW40_3705]]),"")</f>
        <v/>
      </c>
      <c r="H9637" s="7" t="str">
        <f>IF(Table1[[#This Row],[Is Data Valid]]=TRUE,((Table1[[#This Row],[Birthweight (grams)]]*0.9/Table1[[#This Row],[BW_GA]])-1)/(Backend!$B$4/100*Table1[[#This Row],[BW40_3705]]),"")</f>
        <v/>
      </c>
      <c r="I9637" s="7" t="str">
        <f>IF(Table1[[#This Row],[Is Data Valid]]=TRUE,((Table1[[#This Row],[Birthweight (grams)]]*1.1/Table1[[#This Row],[BW_GA]])-1)/(Backend!$B$4/100*Table1[[#This Row],[BW40_3705]]),"")</f>
        <v/>
      </c>
      <c r="J9637" s="7" t="str">
        <f>IF(Table1[[#This Row],[Is Data Valid]]=TRUE,_xlfn.NORM.S.DIST(Table1[[#This Row],[Birthweight Z-Score]],TRUE)*100,"")</f>
        <v/>
      </c>
      <c r="K9637" s="7" t="str">
        <f>IF(Table1[[#This Row],[Is Data Valid]]=TRUE,_xlfn.NORM.S.DIST(Table1[[#This Row],[Birthweight Z-Score (BW-10%)]],TRUE)*100,"")</f>
        <v/>
      </c>
      <c r="L9637" s="7" t="str">
        <f>IF(Table1[[#This Row],[Is Data Valid]]=TRUE,_xlfn.NORM.S.DIST(Table1[[#This Row],[Birthweight Z-Score (BW+10%)]],TRUE)*100,"")</f>
        <v/>
      </c>
    </row>
    <row r="9638" spans="1:12" x14ac:dyDescent="0.35">
      <c r="A9638" s="3"/>
      <c r="B9638" s="2"/>
      <c r="C9638" s="2"/>
      <c r="D9638" s="2" t="b">
        <f>IF(AND(NOT(ISBLANK(Table1[[#This Row],[Fetal Sex (Male, Female or Unknown)]])),ISNUMBER(Table1[[#This Row],[Birthweight (grams)]]),ISNUMBER(Table1[[#This Row],[Gestation (days)]])),TRUE,FALSE)</f>
        <v>0</v>
      </c>
      <c r="E9638" s="2" t="str">
        <f>IF(Table1[[#This Row],[Is Data Valid]]=TRUE,IF(Table1[[#This Row],[Fetal Sex (Male, Female or Unknown)]]="Male",Backend!$C$6,IF(Table1[[#This Row],[Fetal Sex (Male, Female or Unknown)]]="Female",Backend!$C$7,IF(Table1[[#This Row],[Fetal Sex (Male, Female or Unknown)]]="Unknown",Backend!$C$8,"Error"))),"")</f>
        <v/>
      </c>
      <c r="F9638" s="8" t="str">
        <f>IF(Table1[[#This Row],[Is Data Valid]]=TRUE,EXP(0.578+0.332*((Table1[[#This Row],[Gestation (days)]]+0.5)/7)-0.00354*((Table1[[#This Row],[Gestation (days)]]+0.5)/7)^2)*Table1[[#This Row],[BW40_3705]],"")</f>
        <v/>
      </c>
      <c r="G9638" s="2" t="str">
        <f>IF(Table1[[#This Row],[Is Data Valid]]=TRUE,((Table1[[#This Row],[Birthweight (grams)]]/Table1[[#This Row],[BW_GA]])-1)/(Backend!$B$4/100*Table1[[#This Row],[BW40_3705]]),"")</f>
        <v/>
      </c>
      <c r="H9638" s="7" t="str">
        <f>IF(Table1[[#This Row],[Is Data Valid]]=TRUE,((Table1[[#This Row],[Birthweight (grams)]]*0.9/Table1[[#This Row],[BW_GA]])-1)/(Backend!$B$4/100*Table1[[#This Row],[BW40_3705]]),"")</f>
        <v/>
      </c>
      <c r="I9638" s="7" t="str">
        <f>IF(Table1[[#This Row],[Is Data Valid]]=TRUE,((Table1[[#This Row],[Birthweight (grams)]]*1.1/Table1[[#This Row],[BW_GA]])-1)/(Backend!$B$4/100*Table1[[#This Row],[BW40_3705]]),"")</f>
        <v/>
      </c>
      <c r="J9638" s="7" t="str">
        <f>IF(Table1[[#This Row],[Is Data Valid]]=TRUE,_xlfn.NORM.S.DIST(Table1[[#This Row],[Birthweight Z-Score]],TRUE)*100,"")</f>
        <v/>
      </c>
      <c r="K9638" s="7" t="str">
        <f>IF(Table1[[#This Row],[Is Data Valid]]=TRUE,_xlfn.NORM.S.DIST(Table1[[#This Row],[Birthweight Z-Score (BW-10%)]],TRUE)*100,"")</f>
        <v/>
      </c>
      <c r="L9638" s="7" t="str">
        <f>IF(Table1[[#This Row],[Is Data Valid]]=TRUE,_xlfn.NORM.S.DIST(Table1[[#This Row],[Birthweight Z-Score (BW+10%)]],TRUE)*100,"")</f>
        <v/>
      </c>
    </row>
    <row r="9639" spans="1:12" x14ac:dyDescent="0.35">
      <c r="A9639" s="3"/>
      <c r="B9639" s="2"/>
      <c r="C9639" s="2"/>
      <c r="D9639" s="2" t="b">
        <f>IF(AND(NOT(ISBLANK(Table1[[#This Row],[Fetal Sex (Male, Female or Unknown)]])),ISNUMBER(Table1[[#This Row],[Birthweight (grams)]]),ISNUMBER(Table1[[#This Row],[Gestation (days)]])),TRUE,FALSE)</f>
        <v>0</v>
      </c>
      <c r="E9639" s="2" t="str">
        <f>IF(Table1[[#This Row],[Is Data Valid]]=TRUE,IF(Table1[[#This Row],[Fetal Sex (Male, Female or Unknown)]]="Male",Backend!$C$6,IF(Table1[[#This Row],[Fetal Sex (Male, Female or Unknown)]]="Female",Backend!$C$7,IF(Table1[[#This Row],[Fetal Sex (Male, Female or Unknown)]]="Unknown",Backend!$C$8,"Error"))),"")</f>
        <v/>
      </c>
      <c r="F9639" s="8" t="str">
        <f>IF(Table1[[#This Row],[Is Data Valid]]=TRUE,EXP(0.578+0.332*((Table1[[#This Row],[Gestation (days)]]+0.5)/7)-0.00354*((Table1[[#This Row],[Gestation (days)]]+0.5)/7)^2)*Table1[[#This Row],[BW40_3705]],"")</f>
        <v/>
      </c>
      <c r="G9639" s="2" t="str">
        <f>IF(Table1[[#This Row],[Is Data Valid]]=TRUE,((Table1[[#This Row],[Birthweight (grams)]]/Table1[[#This Row],[BW_GA]])-1)/(Backend!$B$4/100*Table1[[#This Row],[BW40_3705]]),"")</f>
        <v/>
      </c>
      <c r="H9639" s="7" t="str">
        <f>IF(Table1[[#This Row],[Is Data Valid]]=TRUE,((Table1[[#This Row],[Birthweight (grams)]]*0.9/Table1[[#This Row],[BW_GA]])-1)/(Backend!$B$4/100*Table1[[#This Row],[BW40_3705]]),"")</f>
        <v/>
      </c>
      <c r="I9639" s="7" t="str">
        <f>IF(Table1[[#This Row],[Is Data Valid]]=TRUE,((Table1[[#This Row],[Birthweight (grams)]]*1.1/Table1[[#This Row],[BW_GA]])-1)/(Backend!$B$4/100*Table1[[#This Row],[BW40_3705]]),"")</f>
        <v/>
      </c>
      <c r="J9639" s="7" t="str">
        <f>IF(Table1[[#This Row],[Is Data Valid]]=TRUE,_xlfn.NORM.S.DIST(Table1[[#This Row],[Birthweight Z-Score]],TRUE)*100,"")</f>
        <v/>
      </c>
      <c r="K9639" s="7" t="str">
        <f>IF(Table1[[#This Row],[Is Data Valid]]=TRUE,_xlfn.NORM.S.DIST(Table1[[#This Row],[Birthweight Z-Score (BW-10%)]],TRUE)*100,"")</f>
        <v/>
      </c>
      <c r="L9639" s="7" t="str">
        <f>IF(Table1[[#This Row],[Is Data Valid]]=TRUE,_xlfn.NORM.S.DIST(Table1[[#This Row],[Birthweight Z-Score (BW+10%)]],TRUE)*100,"")</f>
        <v/>
      </c>
    </row>
    <row r="9640" spans="1:12" x14ac:dyDescent="0.35">
      <c r="A9640" s="3"/>
      <c r="B9640" s="2"/>
      <c r="C9640" s="2"/>
      <c r="D9640" s="2" t="b">
        <f>IF(AND(NOT(ISBLANK(Table1[[#This Row],[Fetal Sex (Male, Female or Unknown)]])),ISNUMBER(Table1[[#This Row],[Birthweight (grams)]]),ISNUMBER(Table1[[#This Row],[Gestation (days)]])),TRUE,FALSE)</f>
        <v>0</v>
      </c>
      <c r="E9640" s="2" t="str">
        <f>IF(Table1[[#This Row],[Is Data Valid]]=TRUE,IF(Table1[[#This Row],[Fetal Sex (Male, Female or Unknown)]]="Male",Backend!$C$6,IF(Table1[[#This Row],[Fetal Sex (Male, Female or Unknown)]]="Female",Backend!$C$7,IF(Table1[[#This Row],[Fetal Sex (Male, Female or Unknown)]]="Unknown",Backend!$C$8,"Error"))),"")</f>
        <v/>
      </c>
      <c r="F9640" s="8" t="str">
        <f>IF(Table1[[#This Row],[Is Data Valid]]=TRUE,EXP(0.578+0.332*((Table1[[#This Row],[Gestation (days)]]+0.5)/7)-0.00354*((Table1[[#This Row],[Gestation (days)]]+0.5)/7)^2)*Table1[[#This Row],[BW40_3705]],"")</f>
        <v/>
      </c>
      <c r="G9640" s="2" t="str">
        <f>IF(Table1[[#This Row],[Is Data Valid]]=TRUE,((Table1[[#This Row],[Birthweight (grams)]]/Table1[[#This Row],[BW_GA]])-1)/(Backend!$B$4/100*Table1[[#This Row],[BW40_3705]]),"")</f>
        <v/>
      </c>
      <c r="H9640" s="7" t="str">
        <f>IF(Table1[[#This Row],[Is Data Valid]]=TRUE,((Table1[[#This Row],[Birthweight (grams)]]*0.9/Table1[[#This Row],[BW_GA]])-1)/(Backend!$B$4/100*Table1[[#This Row],[BW40_3705]]),"")</f>
        <v/>
      </c>
      <c r="I9640" s="7" t="str">
        <f>IF(Table1[[#This Row],[Is Data Valid]]=TRUE,((Table1[[#This Row],[Birthweight (grams)]]*1.1/Table1[[#This Row],[BW_GA]])-1)/(Backend!$B$4/100*Table1[[#This Row],[BW40_3705]]),"")</f>
        <v/>
      </c>
      <c r="J9640" s="7" t="str">
        <f>IF(Table1[[#This Row],[Is Data Valid]]=TRUE,_xlfn.NORM.S.DIST(Table1[[#This Row],[Birthweight Z-Score]],TRUE)*100,"")</f>
        <v/>
      </c>
      <c r="K9640" s="7" t="str">
        <f>IF(Table1[[#This Row],[Is Data Valid]]=TRUE,_xlfn.NORM.S.DIST(Table1[[#This Row],[Birthweight Z-Score (BW-10%)]],TRUE)*100,"")</f>
        <v/>
      </c>
      <c r="L9640" s="7" t="str">
        <f>IF(Table1[[#This Row],[Is Data Valid]]=TRUE,_xlfn.NORM.S.DIST(Table1[[#This Row],[Birthweight Z-Score (BW+10%)]],TRUE)*100,"")</f>
        <v/>
      </c>
    </row>
    <row r="9641" spans="1:12" x14ac:dyDescent="0.35">
      <c r="A9641" s="3"/>
      <c r="B9641" s="2"/>
      <c r="C9641" s="2"/>
      <c r="D9641" s="2" t="b">
        <f>IF(AND(NOT(ISBLANK(Table1[[#This Row],[Fetal Sex (Male, Female or Unknown)]])),ISNUMBER(Table1[[#This Row],[Birthweight (grams)]]),ISNUMBER(Table1[[#This Row],[Gestation (days)]])),TRUE,FALSE)</f>
        <v>0</v>
      </c>
      <c r="E9641" s="2" t="str">
        <f>IF(Table1[[#This Row],[Is Data Valid]]=TRUE,IF(Table1[[#This Row],[Fetal Sex (Male, Female or Unknown)]]="Male",Backend!$C$6,IF(Table1[[#This Row],[Fetal Sex (Male, Female or Unknown)]]="Female",Backend!$C$7,IF(Table1[[#This Row],[Fetal Sex (Male, Female or Unknown)]]="Unknown",Backend!$C$8,"Error"))),"")</f>
        <v/>
      </c>
      <c r="F9641" s="8" t="str">
        <f>IF(Table1[[#This Row],[Is Data Valid]]=TRUE,EXP(0.578+0.332*((Table1[[#This Row],[Gestation (days)]]+0.5)/7)-0.00354*((Table1[[#This Row],[Gestation (days)]]+0.5)/7)^2)*Table1[[#This Row],[BW40_3705]],"")</f>
        <v/>
      </c>
      <c r="G9641" s="2" t="str">
        <f>IF(Table1[[#This Row],[Is Data Valid]]=TRUE,((Table1[[#This Row],[Birthweight (grams)]]/Table1[[#This Row],[BW_GA]])-1)/(Backend!$B$4/100*Table1[[#This Row],[BW40_3705]]),"")</f>
        <v/>
      </c>
      <c r="H9641" s="7" t="str">
        <f>IF(Table1[[#This Row],[Is Data Valid]]=TRUE,((Table1[[#This Row],[Birthweight (grams)]]*0.9/Table1[[#This Row],[BW_GA]])-1)/(Backend!$B$4/100*Table1[[#This Row],[BW40_3705]]),"")</f>
        <v/>
      </c>
      <c r="I9641" s="7" t="str">
        <f>IF(Table1[[#This Row],[Is Data Valid]]=TRUE,((Table1[[#This Row],[Birthweight (grams)]]*1.1/Table1[[#This Row],[BW_GA]])-1)/(Backend!$B$4/100*Table1[[#This Row],[BW40_3705]]),"")</f>
        <v/>
      </c>
      <c r="J9641" s="7" t="str">
        <f>IF(Table1[[#This Row],[Is Data Valid]]=TRUE,_xlfn.NORM.S.DIST(Table1[[#This Row],[Birthweight Z-Score]],TRUE)*100,"")</f>
        <v/>
      </c>
      <c r="K9641" s="7" t="str">
        <f>IF(Table1[[#This Row],[Is Data Valid]]=TRUE,_xlfn.NORM.S.DIST(Table1[[#This Row],[Birthweight Z-Score (BW-10%)]],TRUE)*100,"")</f>
        <v/>
      </c>
      <c r="L9641" s="7" t="str">
        <f>IF(Table1[[#This Row],[Is Data Valid]]=TRUE,_xlfn.NORM.S.DIST(Table1[[#This Row],[Birthweight Z-Score (BW+10%)]],TRUE)*100,"")</f>
        <v/>
      </c>
    </row>
    <row r="9642" spans="1:12" x14ac:dyDescent="0.35">
      <c r="A9642" s="3"/>
      <c r="B9642" s="2"/>
      <c r="C9642" s="2"/>
      <c r="D9642" s="2" t="b">
        <f>IF(AND(NOT(ISBLANK(Table1[[#This Row],[Fetal Sex (Male, Female or Unknown)]])),ISNUMBER(Table1[[#This Row],[Birthweight (grams)]]),ISNUMBER(Table1[[#This Row],[Gestation (days)]])),TRUE,FALSE)</f>
        <v>0</v>
      </c>
      <c r="E9642" s="2" t="str">
        <f>IF(Table1[[#This Row],[Is Data Valid]]=TRUE,IF(Table1[[#This Row],[Fetal Sex (Male, Female or Unknown)]]="Male",Backend!$C$6,IF(Table1[[#This Row],[Fetal Sex (Male, Female or Unknown)]]="Female",Backend!$C$7,IF(Table1[[#This Row],[Fetal Sex (Male, Female or Unknown)]]="Unknown",Backend!$C$8,"Error"))),"")</f>
        <v/>
      </c>
      <c r="F9642" s="8" t="str">
        <f>IF(Table1[[#This Row],[Is Data Valid]]=TRUE,EXP(0.578+0.332*((Table1[[#This Row],[Gestation (days)]]+0.5)/7)-0.00354*((Table1[[#This Row],[Gestation (days)]]+0.5)/7)^2)*Table1[[#This Row],[BW40_3705]],"")</f>
        <v/>
      </c>
      <c r="G9642" s="2" t="str">
        <f>IF(Table1[[#This Row],[Is Data Valid]]=TRUE,((Table1[[#This Row],[Birthweight (grams)]]/Table1[[#This Row],[BW_GA]])-1)/(Backend!$B$4/100*Table1[[#This Row],[BW40_3705]]),"")</f>
        <v/>
      </c>
      <c r="H9642" s="7" t="str">
        <f>IF(Table1[[#This Row],[Is Data Valid]]=TRUE,((Table1[[#This Row],[Birthweight (grams)]]*0.9/Table1[[#This Row],[BW_GA]])-1)/(Backend!$B$4/100*Table1[[#This Row],[BW40_3705]]),"")</f>
        <v/>
      </c>
      <c r="I9642" s="7" t="str">
        <f>IF(Table1[[#This Row],[Is Data Valid]]=TRUE,((Table1[[#This Row],[Birthweight (grams)]]*1.1/Table1[[#This Row],[BW_GA]])-1)/(Backend!$B$4/100*Table1[[#This Row],[BW40_3705]]),"")</f>
        <v/>
      </c>
      <c r="J9642" s="7" t="str">
        <f>IF(Table1[[#This Row],[Is Data Valid]]=TRUE,_xlfn.NORM.S.DIST(Table1[[#This Row],[Birthweight Z-Score]],TRUE)*100,"")</f>
        <v/>
      </c>
      <c r="K9642" s="7" t="str">
        <f>IF(Table1[[#This Row],[Is Data Valid]]=TRUE,_xlfn.NORM.S.DIST(Table1[[#This Row],[Birthweight Z-Score (BW-10%)]],TRUE)*100,"")</f>
        <v/>
      </c>
      <c r="L9642" s="7" t="str">
        <f>IF(Table1[[#This Row],[Is Data Valid]]=TRUE,_xlfn.NORM.S.DIST(Table1[[#This Row],[Birthweight Z-Score (BW+10%)]],TRUE)*100,"")</f>
        <v/>
      </c>
    </row>
    <row r="9643" spans="1:12" x14ac:dyDescent="0.35">
      <c r="A9643" s="3"/>
      <c r="B9643" s="2"/>
      <c r="C9643" s="2"/>
      <c r="D9643" s="2" t="b">
        <f>IF(AND(NOT(ISBLANK(Table1[[#This Row],[Fetal Sex (Male, Female or Unknown)]])),ISNUMBER(Table1[[#This Row],[Birthweight (grams)]]),ISNUMBER(Table1[[#This Row],[Gestation (days)]])),TRUE,FALSE)</f>
        <v>0</v>
      </c>
      <c r="E9643" s="2" t="str">
        <f>IF(Table1[[#This Row],[Is Data Valid]]=TRUE,IF(Table1[[#This Row],[Fetal Sex (Male, Female or Unknown)]]="Male",Backend!$C$6,IF(Table1[[#This Row],[Fetal Sex (Male, Female or Unknown)]]="Female",Backend!$C$7,IF(Table1[[#This Row],[Fetal Sex (Male, Female or Unknown)]]="Unknown",Backend!$C$8,"Error"))),"")</f>
        <v/>
      </c>
      <c r="F9643" s="8" t="str">
        <f>IF(Table1[[#This Row],[Is Data Valid]]=TRUE,EXP(0.578+0.332*((Table1[[#This Row],[Gestation (days)]]+0.5)/7)-0.00354*((Table1[[#This Row],[Gestation (days)]]+0.5)/7)^2)*Table1[[#This Row],[BW40_3705]],"")</f>
        <v/>
      </c>
      <c r="G9643" s="2" t="str">
        <f>IF(Table1[[#This Row],[Is Data Valid]]=TRUE,((Table1[[#This Row],[Birthweight (grams)]]/Table1[[#This Row],[BW_GA]])-1)/(Backend!$B$4/100*Table1[[#This Row],[BW40_3705]]),"")</f>
        <v/>
      </c>
      <c r="H9643" s="7" t="str">
        <f>IF(Table1[[#This Row],[Is Data Valid]]=TRUE,((Table1[[#This Row],[Birthweight (grams)]]*0.9/Table1[[#This Row],[BW_GA]])-1)/(Backend!$B$4/100*Table1[[#This Row],[BW40_3705]]),"")</f>
        <v/>
      </c>
      <c r="I9643" s="7" t="str">
        <f>IF(Table1[[#This Row],[Is Data Valid]]=TRUE,((Table1[[#This Row],[Birthweight (grams)]]*1.1/Table1[[#This Row],[BW_GA]])-1)/(Backend!$B$4/100*Table1[[#This Row],[BW40_3705]]),"")</f>
        <v/>
      </c>
      <c r="J9643" s="7" t="str">
        <f>IF(Table1[[#This Row],[Is Data Valid]]=TRUE,_xlfn.NORM.S.DIST(Table1[[#This Row],[Birthweight Z-Score]],TRUE)*100,"")</f>
        <v/>
      </c>
      <c r="K9643" s="7" t="str">
        <f>IF(Table1[[#This Row],[Is Data Valid]]=TRUE,_xlfn.NORM.S.DIST(Table1[[#This Row],[Birthweight Z-Score (BW-10%)]],TRUE)*100,"")</f>
        <v/>
      </c>
      <c r="L9643" s="7" t="str">
        <f>IF(Table1[[#This Row],[Is Data Valid]]=TRUE,_xlfn.NORM.S.DIST(Table1[[#This Row],[Birthweight Z-Score (BW+10%)]],TRUE)*100,"")</f>
        <v/>
      </c>
    </row>
    <row r="9644" spans="1:12" x14ac:dyDescent="0.35">
      <c r="A9644" s="3"/>
      <c r="B9644" s="2"/>
      <c r="C9644" s="2"/>
      <c r="D9644" s="2" t="b">
        <f>IF(AND(NOT(ISBLANK(Table1[[#This Row],[Fetal Sex (Male, Female or Unknown)]])),ISNUMBER(Table1[[#This Row],[Birthweight (grams)]]),ISNUMBER(Table1[[#This Row],[Gestation (days)]])),TRUE,FALSE)</f>
        <v>0</v>
      </c>
      <c r="E9644" s="2" t="str">
        <f>IF(Table1[[#This Row],[Is Data Valid]]=TRUE,IF(Table1[[#This Row],[Fetal Sex (Male, Female or Unknown)]]="Male",Backend!$C$6,IF(Table1[[#This Row],[Fetal Sex (Male, Female or Unknown)]]="Female",Backend!$C$7,IF(Table1[[#This Row],[Fetal Sex (Male, Female or Unknown)]]="Unknown",Backend!$C$8,"Error"))),"")</f>
        <v/>
      </c>
      <c r="F9644" s="8" t="str">
        <f>IF(Table1[[#This Row],[Is Data Valid]]=TRUE,EXP(0.578+0.332*((Table1[[#This Row],[Gestation (days)]]+0.5)/7)-0.00354*((Table1[[#This Row],[Gestation (days)]]+0.5)/7)^2)*Table1[[#This Row],[BW40_3705]],"")</f>
        <v/>
      </c>
      <c r="G9644" s="2" t="str">
        <f>IF(Table1[[#This Row],[Is Data Valid]]=TRUE,((Table1[[#This Row],[Birthweight (grams)]]/Table1[[#This Row],[BW_GA]])-1)/(Backend!$B$4/100*Table1[[#This Row],[BW40_3705]]),"")</f>
        <v/>
      </c>
      <c r="H9644" s="7" t="str">
        <f>IF(Table1[[#This Row],[Is Data Valid]]=TRUE,((Table1[[#This Row],[Birthweight (grams)]]*0.9/Table1[[#This Row],[BW_GA]])-1)/(Backend!$B$4/100*Table1[[#This Row],[BW40_3705]]),"")</f>
        <v/>
      </c>
      <c r="I9644" s="7" t="str">
        <f>IF(Table1[[#This Row],[Is Data Valid]]=TRUE,((Table1[[#This Row],[Birthweight (grams)]]*1.1/Table1[[#This Row],[BW_GA]])-1)/(Backend!$B$4/100*Table1[[#This Row],[BW40_3705]]),"")</f>
        <v/>
      </c>
      <c r="J9644" s="7" t="str">
        <f>IF(Table1[[#This Row],[Is Data Valid]]=TRUE,_xlfn.NORM.S.DIST(Table1[[#This Row],[Birthweight Z-Score]],TRUE)*100,"")</f>
        <v/>
      </c>
      <c r="K9644" s="7" t="str">
        <f>IF(Table1[[#This Row],[Is Data Valid]]=TRUE,_xlfn.NORM.S.DIST(Table1[[#This Row],[Birthweight Z-Score (BW-10%)]],TRUE)*100,"")</f>
        <v/>
      </c>
      <c r="L9644" s="7" t="str">
        <f>IF(Table1[[#This Row],[Is Data Valid]]=TRUE,_xlfn.NORM.S.DIST(Table1[[#This Row],[Birthweight Z-Score (BW+10%)]],TRUE)*100,"")</f>
        <v/>
      </c>
    </row>
    <row r="9645" spans="1:12" x14ac:dyDescent="0.35">
      <c r="A9645" s="3"/>
      <c r="B9645" s="2"/>
      <c r="C9645" s="2"/>
      <c r="D9645" s="2" t="b">
        <f>IF(AND(NOT(ISBLANK(Table1[[#This Row],[Fetal Sex (Male, Female or Unknown)]])),ISNUMBER(Table1[[#This Row],[Birthweight (grams)]]),ISNUMBER(Table1[[#This Row],[Gestation (days)]])),TRUE,FALSE)</f>
        <v>0</v>
      </c>
      <c r="E9645" s="2" t="str">
        <f>IF(Table1[[#This Row],[Is Data Valid]]=TRUE,IF(Table1[[#This Row],[Fetal Sex (Male, Female or Unknown)]]="Male",Backend!$C$6,IF(Table1[[#This Row],[Fetal Sex (Male, Female or Unknown)]]="Female",Backend!$C$7,IF(Table1[[#This Row],[Fetal Sex (Male, Female or Unknown)]]="Unknown",Backend!$C$8,"Error"))),"")</f>
        <v/>
      </c>
      <c r="F9645" s="8" t="str">
        <f>IF(Table1[[#This Row],[Is Data Valid]]=TRUE,EXP(0.578+0.332*((Table1[[#This Row],[Gestation (days)]]+0.5)/7)-0.00354*((Table1[[#This Row],[Gestation (days)]]+0.5)/7)^2)*Table1[[#This Row],[BW40_3705]],"")</f>
        <v/>
      </c>
      <c r="G9645" s="2" t="str">
        <f>IF(Table1[[#This Row],[Is Data Valid]]=TRUE,((Table1[[#This Row],[Birthweight (grams)]]/Table1[[#This Row],[BW_GA]])-1)/(Backend!$B$4/100*Table1[[#This Row],[BW40_3705]]),"")</f>
        <v/>
      </c>
      <c r="H9645" s="7" t="str">
        <f>IF(Table1[[#This Row],[Is Data Valid]]=TRUE,((Table1[[#This Row],[Birthweight (grams)]]*0.9/Table1[[#This Row],[BW_GA]])-1)/(Backend!$B$4/100*Table1[[#This Row],[BW40_3705]]),"")</f>
        <v/>
      </c>
      <c r="I9645" s="7" t="str">
        <f>IF(Table1[[#This Row],[Is Data Valid]]=TRUE,((Table1[[#This Row],[Birthweight (grams)]]*1.1/Table1[[#This Row],[BW_GA]])-1)/(Backend!$B$4/100*Table1[[#This Row],[BW40_3705]]),"")</f>
        <v/>
      </c>
      <c r="J9645" s="7" t="str">
        <f>IF(Table1[[#This Row],[Is Data Valid]]=TRUE,_xlfn.NORM.S.DIST(Table1[[#This Row],[Birthweight Z-Score]],TRUE)*100,"")</f>
        <v/>
      </c>
      <c r="K9645" s="7" t="str">
        <f>IF(Table1[[#This Row],[Is Data Valid]]=TRUE,_xlfn.NORM.S.DIST(Table1[[#This Row],[Birthweight Z-Score (BW-10%)]],TRUE)*100,"")</f>
        <v/>
      </c>
      <c r="L9645" s="7" t="str">
        <f>IF(Table1[[#This Row],[Is Data Valid]]=TRUE,_xlfn.NORM.S.DIST(Table1[[#This Row],[Birthweight Z-Score (BW+10%)]],TRUE)*100,"")</f>
        <v/>
      </c>
    </row>
    <row r="9646" spans="1:12" x14ac:dyDescent="0.35">
      <c r="A9646" s="3"/>
      <c r="B9646" s="2"/>
      <c r="C9646" s="2"/>
      <c r="D9646" s="2" t="b">
        <f>IF(AND(NOT(ISBLANK(Table1[[#This Row],[Fetal Sex (Male, Female or Unknown)]])),ISNUMBER(Table1[[#This Row],[Birthweight (grams)]]),ISNUMBER(Table1[[#This Row],[Gestation (days)]])),TRUE,FALSE)</f>
        <v>0</v>
      </c>
      <c r="E9646" s="2" t="str">
        <f>IF(Table1[[#This Row],[Is Data Valid]]=TRUE,IF(Table1[[#This Row],[Fetal Sex (Male, Female or Unknown)]]="Male",Backend!$C$6,IF(Table1[[#This Row],[Fetal Sex (Male, Female or Unknown)]]="Female",Backend!$C$7,IF(Table1[[#This Row],[Fetal Sex (Male, Female or Unknown)]]="Unknown",Backend!$C$8,"Error"))),"")</f>
        <v/>
      </c>
      <c r="F9646" s="8" t="str">
        <f>IF(Table1[[#This Row],[Is Data Valid]]=TRUE,EXP(0.578+0.332*((Table1[[#This Row],[Gestation (days)]]+0.5)/7)-0.00354*((Table1[[#This Row],[Gestation (days)]]+0.5)/7)^2)*Table1[[#This Row],[BW40_3705]],"")</f>
        <v/>
      </c>
      <c r="G9646" s="2" t="str">
        <f>IF(Table1[[#This Row],[Is Data Valid]]=TRUE,((Table1[[#This Row],[Birthweight (grams)]]/Table1[[#This Row],[BW_GA]])-1)/(Backend!$B$4/100*Table1[[#This Row],[BW40_3705]]),"")</f>
        <v/>
      </c>
      <c r="H9646" s="7" t="str">
        <f>IF(Table1[[#This Row],[Is Data Valid]]=TRUE,((Table1[[#This Row],[Birthweight (grams)]]*0.9/Table1[[#This Row],[BW_GA]])-1)/(Backend!$B$4/100*Table1[[#This Row],[BW40_3705]]),"")</f>
        <v/>
      </c>
      <c r="I9646" s="7" t="str">
        <f>IF(Table1[[#This Row],[Is Data Valid]]=TRUE,((Table1[[#This Row],[Birthweight (grams)]]*1.1/Table1[[#This Row],[BW_GA]])-1)/(Backend!$B$4/100*Table1[[#This Row],[BW40_3705]]),"")</f>
        <v/>
      </c>
      <c r="J9646" s="7" t="str">
        <f>IF(Table1[[#This Row],[Is Data Valid]]=TRUE,_xlfn.NORM.S.DIST(Table1[[#This Row],[Birthweight Z-Score]],TRUE)*100,"")</f>
        <v/>
      </c>
      <c r="K9646" s="7" t="str">
        <f>IF(Table1[[#This Row],[Is Data Valid]]=TRUE,_xlfn.NORM.S.DIST(Table1[[#This Row],[Birthweight Z-Score (BW-10%)]],TRUE)*100,"")</f>
        <v/>
      </c>
      <c r="L9646" s="7" t="str">
        <f>IF(Table1[[#This Row],[Is Data Valid]]=TRUE,_xlfn.NORM.S.DIST(Table1[[#This Row],[Birthweight Z-Score (BW+10%)]],TRUE)*100,"")</f>
        <v/>
      </c>
    </row>
    <row r="9647" spans="1:12" x14ac:dyDescent="0.35">
      <c r="A9647" s="3"/>
      <c r="B9647" s="2"/>
      <c r="C9647" s="2"/>
      <c r="D9647" s="2" t="b">
        <f>IF(AND(NOT(ISBLANK(Table1[[#This Row],[Fetal Sex (Male, Female or Unknown)]])),ISNUMBER(Table1[[#This Row],[Birthweight (grams)]]),ISNUMBER(Table1[[#This Row],[Gestation (days)]])),TRUE,FALSE)</f>
        <v>0</v>
      </c>
      <c r="E9647" s="2" t="str">
        <f>IF(Table1[[#This Row],[Is Data Valid]]=TRUE,IF(Table1[[#This Row],[Fetal Sex (Male, Female or Unknown)]]="Male",Backend!$C$6,IF(Table1[[#This Row],[Fetal Sex (Male, Female or Unknown)]]="Female",Backend!$C$7,IF(Table1[[#This Row],[Fetal Sex (Male, Female or Unknown)]]="Unknown",Backend!$C$8,"Error"))),"")</f>
        <v/>
      </c>
      <c r="F9647" s="8" t="str">
        <f>IF(Table1[[#This Row],[Is Data Valid]]=TRUE,EXP(0.578+0.332*((Table1[[#This Row],[Gestation (days)]]+0.5)/7)-0.00354*((Table1[[#This Row],[Gestation (days)]]+0.5)/7)^2)*Table1[[#This Row],[BW40_3705]],"")</f>
        <v/>
      </c>
      <c r="G9647" s="2" t="str">
        <f>IF(Table1[[#This Row],[Is Data Valid]]=TRUE,((Table1[[#This Row],[Birthweight (grams)]]/Table1[[#This Row],[BW_GA]])-1)/(Backend!$B$4/100*Table1[[#This Row],[BW40_3705]]),"")</f>
        <v/>
      </c>
      <c r="H9647" s="7" t="str">
        <f>IF(Table1[[#This Row],[Is Data Valid]]=TRUE,((Table1[[#This Row],[Birthweight (grams)]]*0.9/Table1[[#This Row],[BW_GA]])-1)/(Backend!$B$4/100*Table1[[#This Row],[BW40_3705]]),"")</f>
        <v/>
      </c>
      <c r="I9647" s="7" t="str">
        <f>IF(Table1[[#This Row],[Is Data Valid]]=TRUE,((Table1[[#This Row],[Birthweight (grams)]]*1.1/Table1[[#This Row],[BW_GA]])-1)/(Backend!$B$4/100*Table1[[#This Row],[BW40_3705]]),"")</f>
        <v/>
      </c>
      <c r="J9647" s="7" t="str">
        <f>IF(Table1[[#This Row],[Is Data Valid]]=TRUE,_xlfn.NORM.S.DIST(Table1[[#This Row],[Birthweight Z-Score]],TRUE)*100,"")</f>
        <v/>
      </c>
      <c r="K9647" s="7" t="str">
        <f>IF(Table1[[#This Row],[Is Data Valid]]=TRUE,_xlfn.NORM.S.DIST(Table1[[#This Row],[Birthweight Z-Score (BW-10%)]],TRUE)*100,"")</f>
        <v/>
      </c>
      <c r="L9647" s="7" t="str">
        <f>IF(Table1[[#This Row],[Is Data Valid]]=TRUE,_xlfn.NORM.S.DIST(Table1[[#This Row],[Birthweight Z-Score (BW+10%)]],TRUE)*100,"")</f>
        <v/>
      </c>
    </row>
    <row r="9648" spans="1:12" x14ac:dyDescent="0.35">
      <c r="A9648" s="3"/>
      <c r="B9648" s="2"/>
      <c r="C9648" s="2"/>
      <c r="D9648" s="2" t="b">
        <f>IF(AND(NOT(ISBLANK(Table1[[#This Row],[Fetal Sex (Male, Female or Unknown)]])),ISNUMBER(Table1[[#This Row],[Birthweight (grams)]]),ISNUMBER(Table1[[#This Row],[Gestation (days)]])),TRUE,FALSE)</f>
        <v>0</v>
      </c>
      <c r="E9648" s="2" t="str">
        <f>IF(Table1[[#This Row],[Is Data Valid]]=TRUE,IF(Table1[[#This Row],[Fetal Sex (Male, Female or Unknown)]]="Male",Backend!$C$6,IF(Table1[[#This Row],[Fetal Sex (Male, Female or Unknown)]]="Female",Backend!$C$7,IF(Table1[[#This Row],[Fetal Sex (Male, Female or Unknown)]]="Unknown",Backend!$C$8,"Error"))),"")</f>
        <v/>
      </c>
      <c r="F9648" s="8" t="str">
        <f>IF(Table1[[#This Row],[Is Data Valid]]=TRUE,EXP(0.578+0.332*((Table1[[#This Row],[Gestation (days)]]+0.5)/7)-0.00354*((Table1[[#This Row],[Gestation (days)]]+0.5)/7)^2)*Table1[[#This Row],[BW40_3705]],"")</f>
        <v/>
      </c>
      <c r="G9648" s="2" t="str">
        <f>IF(Table1[[#This Row],[Is Data Valid]]=TRUE,((Table1[[#This Row],[Birthweight (grams)]]/Table1[[#This Row],[BW_GA]])-1)/(Backend!$B$4/100*Table1[[#This Row],[BW40_3705]]),"")</f>
        <v/>
      </c>
      <c r="H9648" s="7" t="str">
        <f>IF(Table1[[#This Row],[Is Data Valid]]=TRUE,((Table1[[#This Row],[Birthweight (grams)]]*0.9/Table1[[#This Row],[BW_GA]])-1)/(Backend!$B$4/100*Table1[[#This Row],[BW40_3705]]),"")</f>
        <v/>
      </c>
      <c r="I9648" s="7" t="str">
        <f>IF(Table1[[#This Row],[Is Data Valid]]=TRUE,((Table1[[#This Row],[Birthweight (grams)]]*1.1/Table1[[#This Row],[BW_GA]])-1)/(Backend!$B$4/100*Table1[[#This Row],[BW40_3705]]),"")</f>
        <v/>
      </c>
      <c r="J9648" s="7" t="str">
        <f>IF(Table1[[#This Row],[Is Data Valid]]=TRUE,_xlfn.NORM.S.DIST(Table1[[#This Row],[Birthweight Z-Score]],TRUE)*100,"")</f>
        <v/>
      </c>
      <c r="K9648" s="7" t="str">
        <f>IF(Table1[[#This Row],[Is Data Valid]]=TRUE,_xlfn.NORM.S.DIST(Table1[[#This Row],[Birthweight Z-Score (BW-10%)]],TRUE)*100,"")</f>
        <v/>
      </c>
      <c r="L9648" s="7" t="str">
        <f>IF(Table1[[#This Row],[Is Data Valid]]=TRUE,_xlfn.NORM.S.DIST(Table1[[#This Row],[Birthweight Z-Score (BW+10%)]],TRUE)*100,"")</f>
        <v/>
      </c>
    </row>
    <row r="9649" spans="1:12" x14ac:dyDescent="0.35">
      <c r="A9649" s="3"/>
      <c r="B9649" s="2"/>
      <c r="C9649" s="2"/>
      <c r="D9649" s="2" t="b">
        <f>IF(AND(NOT(ISBLANK(Table1[[#This Row],[Fetal Sex (Male, Female or Unknown)]])),ISNUMBER(Table1[[#This Row],[Birthweight (grams)]]),ISNUMBER(Table1[[#This Row],[Gestation (days)]])),TRUE,FALSE)</f>
        <v>0</v>
      </c>
      <c r="E9649" s="2" t="str">
        <f>IF(Table1[[#This Row],[Is Data Valid]]=TRUE,IF(Table1[[#This Row],[Fetal Sex (Male, Female or Unknown)]]="Male",Backend!$C$6,IF(Table1[[#This Row],[Fetal Sex (Male, Female or Unknown)]]="Female",Backend!$C$7,IF(Table1[[#This Row],[Fetal Sex (Male, Female or Unknown)]]="Unknown",Backend!$C$8,"Error"))),"")</f>
        <v/>
      </c>
      <c r="F9649" s="8" t="str">
        <f>IF(Table1[[#This Row],[Is Data Valid]]=TRUE,EXP(0.578+0.332*((Table1[[#This Row],[Gestation (days)]]+0.5)/7)-0.00354*((Table1[[#This Row],[Gestation (days)]]+0.5)/7)^2)*Table1[[#This Row],[BW40_3705]],"")</f>
        <v/>
      </c>
      <c r="G9649" s="2" t="str">
        <f>IF(Table1[[#This Row],[Is Data Valid]]=TRUE,((Table1[[#This Row],[Birthweight (grams)]]/Table1[[#This Row],[BW_GA]])-1)/(Backend!$B$4/100*Table1[[#This Row],[BW40_3705]]),"")</f>
        <v/>
      </c>
      <c r="H9649" s="7" t="str">
        <f>IF(Table1[[#This Row],[Is Data Valid]]=TRUE,((Table1[[#This Row],[Birthweight (grams)]]*0.9/Table1[[#This Row],[BW_GA]])-1)/(Backend!$B$4/100*Table1[[#This Row],[BW40_3705]]),"")</f>
        <v/>
      </c>
      <c r="I9649" s="7" t="str">
        <f>IF(Table1[[#This Row],[Is Data Valid]]=TRUE,((Table1[[#This Row],[Birthweight (grams)]]*1.1/Table1[[#This Row],[BW_GA]])-1)/(Backend!$B$4/100*Table1[[#This Row],[BW40_3705]]),"")</f>
        <v/>
      </c>
      <c r="J9649" s="7" t="str">
        <f>IF(Table1[[#This Row],[Is Data Valid]]=TRUE,_xlfn.NORM.S.DIST(Table1[[#This Row],[Birthweight Z-Score]],TRUE)*100,"")</f>
        <v/>
      </c>
      <c r="K9649" s="7" t="str">
        <f>IF(Table1[[#This Row],[Is Data Valid]]=TRUE,_xlfn.NORM.S.DIST(Table1[[#This Row],[Birthweight Z-Score (BW-10%)]],TRUE)*100,"")</f>
        <v/>
      </c>
      <c r="L9649" s="7" t="str">
        <f>IF(Table1[[#This Row],[Is Data Valid]]=TRUE,_xlfn.NORM.S.DIST(Table1[[#This Row],[Birthweight Z-Score (BW+10%)]],TRUE)*100,"")</f>
        <v/>
      </c>
    </row>
    <row r="9650" spans="1:12" x14ac:dyDescent="0.35">
      <c r="A9650" s="3"/>
      <c r="B9650" s="2"/>
      <c r="C9650" s="2"/>
      <c r="D9650" s="2" t="b">
        <f>IF(AND(NOT(ISBLANK(Table1[[#This Row],[Fetal Sex (Male, Female or Unknown)]])),ISNUMBER(Table1[[#This Row],[Birthweight (grams)]]),ISNUMBER(Table1[[#This Row],[Gestation (days)]])),TRUE,FALSE)</f>
        <v>0</v>
      </c>
      <c r="E9650" s="2" t="str">
        <f>IF(Table1[[#This Row],[Is Data Valid]]=TRUE,IF(Table1[[#This Row],[Fetal Sex (Male, Female or Unknown)]]="Male",Backend!$C$6,IF(Table1[[#This Row],[Fetal Sex (Male, Female or Unknown)]]="Female",Backend!$C$7,IF(Table1[[#This Row],[Fetal Sex (Male, Female or Unknown)]]="Unknown",Backend!$C$8,"Error"))),"")</f>
        <v/>
      </c>
      <c r="F9650" s="8" t="str">
        <f>IF(Table1[[#This Row],[Is Data Valid]]=TRUE,EXP(0.578+0.332*((Table1[[#This Row],[Gestation (days)]]+0.5)/7)-0.00354*((Table1[[#This Row],[Gestation (days)]]+0.5)/7)^2)*Table1[[#This Row],[BW40_3705]],"")</f>
        <v/>
      </c>
      <c r="G9650" s="2" t="str">
        <f>IF(Table1[[#This Row],[Is Data Valid]]=TRUE,((Table1[[#This Row],[Birthweight (grams)]]/Table1[[#This Row],[BW_GA]])-1)/(Backend!$B$4/100*Table1[[#This Row],[BW40_3705]]),"")</f>
        <v/>
      </c>
      <c r="H9650" s="7" t="str">
        <f>IF(Table1[[#This Row],[Is Data Valid]]=TRUE,((Table1[[#This Row],[Birthweight (grams)]]*0.9/Table1[[#This Row],[BW_GA]])-1)/(Backend!$B$4/100*Table1[[#This Row],[BW40_3705]]),"")</f>
        <v/>
      </c>
      <c r="I9650" s="7" t="str">
        <f>IF(Table1[[#This Row],[Is Data Valid]]=TRUE,((Table1[[#This Row],[Birthweight (grams)]]*1.1/Table1[[#This Row],[BW_GA]])-1)/(Backend!$B$4/100*Table1[[#This Row],[BW40_3705]]),"")</f>
        <v/>
      </c>
      <c r="J9650" s="7" t="str">
        <f>IF(Table1[[#This Row],[Is Data Valid]]=TRUE,_xlfn.NORM.S.DIST(Table1[[#This Row],[Birthweight Z-Score]],TRUE)*100,"")</f>
        <v/>
      </c>
      <c r="K9650" s="7" t="str">
        <f>IF(Table1[[#This Row],[Is Data Valid]]=TRUE,_xlfn.NORM.S.DIST(Table1[[#This Row],[Birthweight Z-Score (BW-10%)]],TRUE)*100,"")</f>
        <v/>
      </c>
      <c r="L9650" s="7" t="str">
        <f>IF(Table1[[#This Row],[Is Data Valid]]=TRUE,_xlfn.NORM.S.DIST(Table1[[#This Row],[Birthweight Z-Score (BW+10%)]],TRUE)*100,"")</f>
        <v/>
      </c>
    </row>
    <row r="9651" spans="1:12" x14ac:dyDescent="0.35">
      <c r="A9651" s="3"/>
      <c r="B9651" s="2"/>
      <c r="C9651" s="2"/>
      <c r="D9651" s="2" t="b">
        <f>IF(AND(NOT(ISBLANK(Table1[[#This Row],[Fetal Sex (Male, Female or Unknown)]])),ISNUMBER(Table1[[#This Row],[Birthweight (grams)]]),ISNUMBER(Table1[[#This Row],[Gestation (days)]])),TRUE,FALSE)</f>
        <v>0</v>
      </c>
      <c r="E9651" s="2" t="str">
        <f>IF(Table1[[#This Row],[Is Data Valid]]=TRUE,IF(Table1[[#This Row],[Fetal Sex (Male, Female or Unknown)]]="Male",Backend!$C$6,IF(Table1[[#This Row],[Fetal Sex (Male, Female or Unknown)]]="Female",Backend!$C$7,IF(Table1[[#This Row],[Fetal Sex (Male, Female or Unknown)]]="Unknown",Backend!$C$8,"Error"))),"")</f>
        <v/>
      </c>
      <c r="F9651" s="8" t="str">
        <f>IF(Table1[[#This Row],[Is Data Valid]]=TRUE,EXP(0.578+0.332*((Table1[[#This Row],[Gestation (days)]]+0.5)/7)-0.00354*((Table1[[#This Row],[Gestation (days)]]+0.5)/7)^2)*Table1[[#This Row],[BW40_3705]],"")</f>
        <v/>
      </c>
      <c r="G9651" s="2" t="str">
        <f>IF(Table1[[#This Row],[Is Data Valid]]=TRUE,((Table1[[#This Row],[Birthweight (grams)]]/Table1[[#This Row],[BW_GA]])-1)/(Backend!$B$4/100*Table1[[#This Row],[BW40_3705]]),"")</f>
        <v/>
      </c>
      <c r="H9651" s="7" t="str">
        <f>IF(Table1[[#This Row],[Is Data Valid]]=TRUE,((Table1[[#This Row],[Birthweight (grams)]]*0.9/Table1[[#This Row],[BW_GA]])-1)/(Backend!$B$4/100*Table1[[#This Row],[BW40_3705]]),"")</f>
        <v/>
      </c>
      <c r="I9651" s="7" t="str">
        <f>IF(Table1[[#This Row],[Is Data Valid]]=TRUE,((Table1[[#This Row],[Birthweight (grams)]]*1.1/Table1[[#This Row],[BW_GA]])-1)/(Backend!$B$4/100*Table1[[#This Row],[BW40_3705]]),"")</f>
        <v/>
      </c>
      <c r="J9651" s="7" t="str">
        <f>IF(Table1[[#This Row],[Is Data Valid]]=TRUE,_xlfn.NORM.S.DIST(Table1[[#This Row],[Birthweight Z-Score]],TRUE)*100,"")</f>
        <v/>
      </c>
      <c r="K9651" s="7" t="str">
        <f>IF(Table1[[#This Row],[Is Data Valid]]=TRUE,_xlfn.NORM.S.DIST(Table1[[#This Row],[Birthweight Z-Score (BW-10%)]],TRUE)*100,"")</f>
        <v/>
      </c>
      <c r="L9651" s="7" t="str">
        <f>IF(Table1[[#This Row],[Is Data Valid]]=TRUE,_xlfn.NORM.S.DIST(Table1[[#This Row],[Birthweight Z-Score (BW+10%)]],TRUE)*100,"")</f>
        <v/>
      </c>
    </row>
    <row r="9652" spans="1:12" x14ac:dyDescent="0.35">
      <c r="A9652" s="3"/>
      <c r="B9652" s="2"/>
      <c r="C9652" s="2"/>
      <c r="D9652" s="2" t="b">
        <f>IF(AND(NOT(ISBLANK(Table1[[#This Row],[Fetal Sex (Male, Female or Unknown)]])),ISNUMBER(Table1[[#This Row],[Birthweight (grams)]]),ISNUMBER(Table1[[#This Row],[Gestation (days)]])),TRUE,FALSE)</f>
        <v>0</v>
      </c>
      <c r="E9652" s="2" t="str">
        <f>IF(Table1[[#This Row],[Is Data Valid]]=TRUE,IF(Table1[[#This Row],[Fetal Sex (Male, Female or Unknown)]]="Male",Backend!$C$6,IF(Table1[[#This Row],[Fetal Sex (Male, Female or Unknown)]]="Female",Backend!$C$7,IF(Table1[[#This Row],[Fetal Sex (Male, Female or Unknown)]]="Unknown",Backend!$C$8,"Error"))),"")</f>
        <v/>
      </c>
      <c r="F9652" s="8" t="str">
        <f>IF(Table1[[#This Row],[Is Data Valid]]=TRUE,EXP(0.578+0.332*((Table1[[#This Row],[Gestation (days)]]+0.5)/7)-0.00354*((Table1[[#This Row],[Gestation (days)]]+0.5)/7)^2)*Table1[[#This Row],[BW40_3705]],"")</f>
        <v/>
      </c>
      <c r="G9652" s="2" t="str">
        <f>IF(Table1[[#This Row],[Is Data Valid]]=TRUE,((Table1[[#This Row],[Birthweight (grams)]]/Table1[[#This Row],[BW_GA]])-1)/(Backend!$B$4/100*Table1[[#This Row],[BW40_3705]]),"")</f>
        <v/>
      </c>
      <c r="H9652" s="7" t="str">
        <f>IF(Table1[[#This Row],[Is Data Valid]]=TRUE,((Table1[[#This Row],[Birthweight (grams)]]*0.9/Table1[[#This Row],[BW_GA]])-1)/(Backend!$B$4/100*Table1[[#This Row],[BW40_3705]]),"")</f>
        <v/>
      </c>
      <c r="I9652" s="7" t="str">
        <f>IF(Table1[[#This Row],[Is Data Valid]]=TRUE,((Table1[[#This Row],[Birthweight (grams)]]*1.1/Table1[[#This Row],[BW_GA]])-1)/(Backend!$B$4/100*Table1[[#This Row],[BW40_3705]]),"")</f>
        <v/>
      </c>
      <c r="J9652" s="7" t="str">
        <f>IF(Table1[[#This Row],[Is Data Valid]]=TRUE,_xlfn.NORM.S.DIST(Table1[[#This Row],[Birthweight Z-Score]],TRUE)*100,"")</f>
        <v/>
      </c>
      <c r="K9652" s="7" t="str">
        <f>IF(Table1[[#This Row],[Is Data Valid]]=TRUE,_xlfn.NORM.S.DIST(Table1[[#This Row],[Birthweight Z-Score (BW-10%)]],TRUE)*100,"")</f>
        <v/>
      </c>
      <c r="L9652" s="7" t="str">
        <f>IF(Table1[[#This Row],[Is Data Valid]]=TRUE,_xlfn.NORM.S.DIST(Table1[[#This Row],[Birthweight Z-Score (BW+10%)]],TRUE)*100,"")</f>
        <v/>
      </c>
    </row>
    <row r="9653" spans="1:12" x14ac:dyDescent="0.35">
      <c r="A9653" s="3"/>
      <c r="B9653" s="2"/>
      <c r="C9653" s="2"/>
      <c r="D9653" s="2" t="b">
        <f>IF(AND(NOT(ISBLANK(Table1[[#This Row],[Fetal Sex (Male, Female or Unknown)]])),ISNUMBER(Table1[[#This Row],[Birthweight (grams)]]),ISNUMBER(Table1[[#This Row],[Gestation (days)]])),TRUE,FALSE)</f>
        <v>0</v>
      </c>
      <c r="E9653" s="2" t="str">
        <f>IF(Table1[[#This Row],[Is Data Valid]]=TRUE,IF(Table1[[#This Row],[Fetal Sex (Male, Female or Unknown)]]="Male",Backend!$C$6,IF(Table1[[#This Row],[Fetal Sex (Male, Female or Unknown)]]="Female",Backend!$C$7,IF(Table1[[#This Row],[Fetal Sex (Male, Female or Unknown)]]="Unknown",Backend!$C$8,"Error"))),"")</f>
        <v/>
      </c>
      <c r="F9653" s="8" t="str">
        <f>IF(Table1[[#This Row],[Is Data Valid]]=TRUE,EXP(0.578+0.332*((Table1[[#This Row],[Gestation (days)]]+0.5)/7)-0.00354*((Table1[[#This Row],[Gestation (days)]]+0.5)/7)^2)*Table1[[#This Row],[BW40_3705]],"")</f>
        <v/>
      </c>
      <c r="G9653" s="2" t="str">
        <f>IF(Table1[[#This Row],[Is Data Valid]]=TRUE,((Table1[[#This Row],[Birthweight (grams)]]/Table1[[#This Row],[BW_GA]])-1)/(Backend!$B$4/100*Table1[[#This Row],[BW40_3705]]),"")</f>
        <v/>
      </c>
      <c r="H9653" s="7" t="str">
        <f>IF(Table1[[#This Row],[Is Data Valid]]=TRUE,((Table1[[#This Row],[Birthweight (grams)]]*0.9/Table1[[#This Row],[BW_GA]])-1)/(Backend!$B$4/100*Table1[[#This Row],[BW40_3705]]),"")</f>
        <v/>
      </c>
      <c r="I9653" s="7" t="str">
        <f>IF(Table1[[#This Row],[Is Data Valid]]=TRUE,((Table1[[#This Row],[Birthweight (grams)]]*1.1/Table1[[#This Row],[BW_GA]])-1)/(Backend!$B$4/100*Table1[[#This Row],[BW40_3705]]),"")</f>
        <v/>
      </c>
      <c r="J9653" s="7" t="str">
        <f>IF(Table1[[#This Row],[Is Data Valid]]=TRUE,_xlfn.NORM.S.DIST(Table1[[#This Row],[Birthweight Z-Score]],TRUE)*100,"")</f>
        <v/>
      </c>
      <c r="K9653" s="7" t="str">
        <f>IF(Table1[[#This Row],[Is Data Valid]]=TRUE,_xlfn.NORM.S.DIST(Table1[[#This Row],[Birthweight Z-Score (BW-10%)]],TRUE)*100,"")</f>
        <v/>
      </c>
      <c r="L9653" s="7" t="str">
        <f>IF(Table1[[#This Row],[Is Data Valid]]=TRUE,_xlfn.NORM.S.DIST(Table1[[#This Row],[Birthweight Z-Score (BW+10%)]],TRUE)*100,"")</f>
        <v/>
      </c>
    </row>
    <row r="9654" spans="1:12" x14ac:dyDescent="0.35">
      <c r="A9654" s="3"/>
      <c r="B9654" s="2"/>
      <c r="C9654" s="2"/>
      <c r="D9654" s="2" t="b">
        <f>IF(AND(NOT(ISBLANK(Table1[[#This Row],[Fetal Sex (Male, Female or Unknown)]])),ISNUMBER(Table1[[#This Row],[Birthweight (grams)]]),ISNUMBER(Table1[[#This Row],[Gestation (days)]])),TRUE,FALSE)</f>
        <v>0</v>
      </c>
      <c r="E9654" s="2" t="str">
        <f>IF(Table1[[#This Row],[Is Data Valid]]=TRUE,IF(Table1[[#This Row],[Fetal Sex (Male, Female or Unknown)]]="Male",Backend!$C$6,IF(Table1[[#This Row],[Fetal Sex (Male, Female or Unknown)]]="Female",Backend!$C$7,IF(Table1[[#This Row],[Fetal Sex (Male, Female or Unknown)]]="Unknown",Backend!$C$8,"Error"))),"")</f>
        <v/>
      </c>
      <c r="F9654" s="8" t="str">
        <f>IF(Table1[[#This Row],[Is Data Valid]]=TRUE,EXP(0.578+0.332*((Table1[[#This Row],[Gestation (days)]]+0.5)/7)-0.00354*((Table1[[#This Row],[Gestation (days)]]+0.5)/7)^2)*Table1[[#This Row],[BW40_3705]],"")</f>
        <v/>
      </c>
      <c r="G9654" s="2" t="str">
        <f>IF(Table1[[#This Row],[Is Data Valid]]=TRUE,((Table1[[#This Row],[Birthweight (grams)]]/Table1[[#This Row],[BW_GA]])-1)/(Backend!$B$4/100*Table1[[#This Row],[BW40_3705]]),"")</f>
        <v/>
      </c>
      <c r="H9654" s="7" t="str">
        <f>IF(Table1[[#This Row],[Is Data Valid]]=TRUE,((Table1[[#This Row],[Birthweight (grams)]]*0.9/Table1[[#This Row],[BW_GA]])-1)/(Backend!$B$4/100*Table1[[#This Row],[BW40_3705]]),"")</f>
        <v/>
      </c>
      <c r="I9654" s="7" t="str">
        <f>IF(Table1[[#This Row],[Is Data Valid]]=TRUE,((Table1[[#This Row],[Birthweight (grams)]]*1.1/Table1[[#This Row],[BW_GA]])-1)/(Backend!$B$4/100*Table1[[#This Row],[BW40_3705]]),"")</f>
        <v/>
      </c>
      <c r="J9654" s="7" t="str">
        <f>IF(Table1[[#This Row],[Is Data Valid]]=TRUE,_xlfn.NORM.S.DIST(Table1[[#This Row],[Birthweight Z-Score]],TRUE)*100,"")</f>
        <v/>
      </c>
      <c r="K9654" s="7" t="str">
        <f>IF(Table1[[#This Row],[Is Data Valid]]=TRUE,_xlfn.NORM.S.DIST(Table1[[#This Row],[Birthweight Z-Score (BW-10%)]],TRUE)*100,"")</f>
        <v/>
      </c>
      <c r="L9654" s="7" t="str">
        <f>IF(Table1[[#This Row],[Is Data Valid]]=TRUE,_xlfn.NORM.S.DIST(Table1[[#This Row],[Birthweight Z-Score (BW+10%)]],TRUE)*100,"")</f>
        <v/>
      </c>
    </row>
    <row r="9655" spans="1:12" x14ac:dyDescent="0.35">
      <c r="A9655" s="3"/>
      <c r="B9655" s="2"/>
      <c r="C9655" s="2"/>
      <c r="D9655" s="2" t="b">
        <f>IF(AND(NOT(ISBLANK(Table1[[#This Row],[Fetal Sex (Male, Female or Unknown)]])),ISNUMBER(Table1[[#This Row],[Birthweight (grams)]]),ISNUMBER(Table1[[#This Row],[Gestation (days)]])),TRUE,FALSE)</f>
        <v>0</v>
      </c>
      <c r="E9655" s="2" t="str">
        <f>IF(Table1[[#This Row],[Is Data Valid]]=TRUE,IF(Table1[[#This Row],[Fetal Sex (Male, Female or Unknown)]]="Male",Backend!$C$6,IF(Table1[[#This Row],[Fetal Sex (Male, Female or Unknown)]]="Female",Backend!$C$7,IF(Table1[[#This Row],[Fetal Sex (Male, Female or Unknown)]]="Unknown",Backend!$C$8,"Error"))),"")</f>
        <v/>
      </c>
      <c r="F9655" s="8" t="str">
        <f>IF(Table1[[#This Row],[Is Data Valid]]=TRUE,EXP(0.578+0.332*((Table1[[#This Row],[Gestation (days)]]+0.5)/7)-0.00354*((Table1[[#This Row],[Gestation (days)]]+0.5)/7)^2)*Table1[[#This Row],[BW40_3705]],"")</f>
        <v/>
      </c>
      <c r="G9655" s="2" t="str">
        <f>IF(Table1[[#This Row],[Is Data Valid]]=TRUE,((Table1[[#This Row],[Birthweight (grams)]]/Table1[[#This Row],[BW_GA]])-1)/(Backend!$B$4/100*Table1[[#This Row],[BW40_3705]]),"")</f>
        <v/>
      </c>
      <c r="H9655" s="7" t="str">
        <f>IF(Table1[[#This Row],[Is Data Valid]]=TRUE,((Table1[[#This Row],[Birthweight (grams)]]*0.9/Table1[[#This Row],[BW_GA]])-1)/(Backend!$B$4/100*Table1[[#This Row],[BW40_3705]]),"")</f>
        <v/>
      </c>
      <c r="I9655" s="7" t="str">
        <f>IF(Table1[[#This Row],[Is Data Valid]]=TRUE,((Table1[[#This Row],[Birthweight (grams)]]*1.1/Table1[[#This Row],[BW_GA]])-1)/(Backend!$B$4/100*Table1[[#This Row],[BW40_3705]]),"")</f>
        <v/>
      </c>
      <c r="J9655" s="7" t="str">
        <f>IF(Table1[[#This Row],[Is Data Valid]]=TRUE,_xlfn.NORM.S.DIST(Table1[[#This Row],[Birthweight Z-Score]],TRUE)*100,"")</f>
        <v/>
      </c>
      <c r="K9655" s="7" t="str">
        <f>IF(Table1[[#This Row],[Is Data Valid]]=TRUE,_xlfn.NORM.S.DIST(Table1[[#This Row],[Birthweight Z-Score (BW-10%)]],TRUE)*100,"")</f>
        <v/>
      </c>
      <c r="L9655" s="7" t="str">
        <f>IF(Table1[[#This Row],[Is Data Valid]]=TRUE,_xlfn.NORM.S.DIST(Table1[[#This Row],[Birthweight Z-Score (BW+10%)]],TRUE)*100,"")</f>
        <v/>
      </c>
    </row>
    <row r="9656" spans="1:12" x14ac:dyDescent="0.35">
      <c r="A9656" s="3"/>
      <c r="B9656" s="2"/>
      <c r="C9656" s="2"/>
      <c r="D9656" s="2" t="b">
        <f>IF(AND(NOT(ISBLANK(Table1[[#This Row],[Fetal Sex (Male, Female or Unknown)]])),ISNUMBER(Table1[[#This Row],[Birthweight (grams)]]),ISNUMBER(Table1[[#This Row],[Gestation (days)]])),TRUE,FALSE)</f>
        <v>0</v>
      </c>
      <c r="E9656" s="2" t="str">
        <f>IF(Table1[[#This Row],[Is Data Valid]]=TRUE,IF(Table1[[#This Row],[Fetal Sex (Male, Female or Unknown)]]="Male",Backend!$C$6,IF(Table1[[#This Row],[Fetal Sex (Male, Female or Unknown)]]="Female",Backend!$C$7,IF(Table1[[#This Row],[Fetal Sex (Male, Female or Unknown)]]="Unknown",Backend!$C$8,"Error"))),"")</f>
        <v/>
      </c>
      <c r="F9656" s="8" t="str">
        <f>IF(Table1[[#This Row],[Is Data Valid]]=TRUE,EXP(0.578+0.332*((Table1[[#This Row],[Gestation (days)]]+0.5)/7)-0.00354*((Table1[[#This Row],[Gestation (days)]]+0.5)/7)^2)*Table1[[#This Row],[BW40_3705]],"")</f>
        <v/>
      </c>
      <c r="G9656" s="2" t="str">
        <f>IF(Table1[[#This Row],[Is Data Valid]]=TRUE,((Table1[[#This Row],[Birthweight (grams)]]/Table1[[#This Row],[BW_GA]])-1)/(Backend!$B$4/100*Table1[[#This Row],[BW40_3705]]),"")</f>
        <v/>
      </c>
      <c r="H9656" s="7" t="str">
        <f>IF(Table1[[#This Row],[Is Data Valid]]=TRUE,((Table1[[#This Row],[Birthweight (grams)]]*0.9/Table1[[#This Row],[BW_GA]])-1)/(Backend!$B$4/100*Table1[[#This Row],[BW40_3705]]),"")</f>
        <v/>
      </c>
      <c r="I9656" s="7" t="str">
        <f>IF(Table1[[#This Row],[Is Data Valid]]=TRUE,((Table1[[#This Row],[Birthweight (grams)]]*1.1/Table1[[#This Row],[BW_GA]])-1)/(Backend!$B$4/100*Table1[[#This Row],[BW40_3705]]),"")</f>
        <v/>
      </c>
      <c r="J9656" s="7" t="str">
        <f>IF(Table1[[#This Row],[Is Data Valid]]=TRUE,_xlfn.NORM.S.DIST(Table1[[#This Row],[Birthweight Z-Score]],TRUE)*100,"")</f>
        <v/>
      </c>
      <c r="K9656" s="7" t="str">
        <f>IF(Table1[[#This Row],[Is Data Valid]]=TRUE,_xlfn.NORM.S.DIST(Table1[[#This Row],[Birthweight Z-Score (BW-10%)]],TRUE)*100,"")</f>
        <v/>
      </c>
      <c r="L9656" s="7" t="str">
        <f>IF(Table1[[#This Row],[Is Data Valid]]=TRUE,_xlfn.NORM.S.DIST(Table1[[#This Row],[Birthweight Z-Score (BW+10%)]],TRUE)*100,"")</f>
        <v/>
      </c>
    </row>
    <row r="9657" spans="1:12" x14ac:dyDescent="0.35">
      <c r="A9657" s="3"/>
      <c r="B9657" s="2"/>
      <c r="C9657" s="2"/>
      <c r="D9657" s="2" t="b">
        <f>IF(AND(NOT(ISBLANK(Table1[[#This Row],[Fetal Sex (Male, Female or Unknown)]])),ISNUMBER(Table1[[#This Row],[Birthweight (grams)]]),ISNUMBER(Table1[[#This Row],[Gestation (days)]])),TRUE,FALSE)</f>
        <v>0</v>
      </c>
      <c r="E9657" s="2" t="str">
        <f>IF(Table1[[#This Row],[Is Data Valid]]=TRUE,IF(Table1[[#This Row],[Fetal Sex (Male, Female or Unknown)]]="Male",Backend!$C$6,IF(Table1[[#This Row],[Fetal Sex (Male, Female or Unknown)]]="Female",Backend!$C$7,IF(Table1[[#This Row],[Fetal Sex (Male, Female or Unknown)]]="Unknown",Backend!$C$8,"Error"))),"")</f>
        <v/>
      </c>
      <c r="F9657" s="8" t="str">
        <f>IF(Table1[[#This Row],[Is Data Valid]]=TRUE,EXP(0.578+0.332*((Table1[[#This Row],[Gestation (days)]]+0.5)/7)-0.00354*((Table1[[#This Row],[Gestation (days)]]+0.5)/7)^2)*Table1[[#This Row],[BW40_3705]],"")</f>
        <v/>
      </c>
      <c r="G9657" s="2" t="str">
        <f>IF(Table1[[#This Row],[Is Data Valid]]=TRUE,((Table1[[#This Row],[Birthweight (grams)]]/Table1[[#This Row],[BW_GA]])-1)/(Backend!$B$4/100*Table1[[#This Row],[BW40_3705]]),"")</f>
        <v/>
      </c>
      <c r="H9657" s="7" t="str">
        <f>IF(Table1[[#This Row],[Is Data Valid]]=TRUE,((Table1[[#This Row],[Birthweight (grams)]]*0.9/Table1[[#This Row],[BW_GA]])-1)/(Backend!$B$4/100*Table1[[#This Row],[BW40_3705]]),"")</f>
        <v/>
      </c>
      <c r="I9657" s="7" t="str">
        <f>IF(Table1[[#This Row],[Is Data Valid]]=TRUE,((Table1[[#This Row],[Birthweight (grams)]]*1.1/Table1[[#This Row],[BW_GA]])-1)/(Backend!$B$4/100*Table1[[#This Row],[BW40_3705]]),"")</f>
        <v/>
      </c>
      <c r="J9657" s="7" t="str">
        <f>IF(Table1[[#This Row],[Is Data Valid]]=TRUE,_xlfn.NORM.S.DIST(Table1[[#This Row],[Birthweight Z-Score]],TRUE)*100,"")</f>
        <v/>
      </c>
      <c r="K9657" s="7" t="str">
        <f>IF(Table1[[#This Row],[Is Data Valid]]=TRUE,_xlfn.NORM.S.DIST(Table1[[#This Row],[Birthweight Z-Score (BW-10%)]],TRUE)*100,"")</f>
        <v/>
      </c>
      <c r="L9657" s="7" t="str">
        <f>IF(Table1[[#This Row],[Is Data Valid]]=TRUE,_xlfn.NORM.S.DIST(Table1[[#This Row],[Birthweight Z-Score (BW+10%)]],TRUE)*100,"")</f>
        <v/>
      </c>
    </row>
    <row r="9658" spans="1:12" x14ac:dyDescent="0.35">
      <c r="A9658" s="3"/>
      <c r="B9658" s="2"/>
      <c r="C9658" s="2"/>
      <c r="D9658" s="2" t="b">
        <f>IF(AND(NOT(ISBLANK(Table1[[#This Row],[Fetal Sex (Male, Female or Unknown)]])),ISNUMBER(Table1[[#This Row],[Birthweight (grams)]]),ISNUMBER(Table1[[#This Row],[Gestation (days)]])),TRUE,FALSE)</f>
        <v>0</v>
      </c>
      <c r="E9658" s="2" t="str">
        <f>IF(Table1[[#This Row],[Is Data Valid]]=TRUE,IF(Table1[[#This Row],[Fetal Sex (Male, Female or Unknown)]]="Male",Backend!$C$6,IF(Table1[[#This Row],[Fetal Sex (Male, Female or Unknown)]]="Female",Backend!$C$7,IF(Table1[[#This Row],[Fetal Sex (Male, Female or Unknown)]]="Unknown",Backend!$C$8,"Error"))),"")</f>
        <v/>
      </c>
      <c r="F9658" s="8" t="str">
        <f>IF(Table1[[#This Row],[Is Data Valid]]=TRUE,EXP(0.578+0.332*((Table1[[#This Row],[Gestation (days)]]+0.5)/7)-0.00354*((Table1[[#This Row],[Gestation (days)]]+0.5)/7)^2)*Table1[[#This Row],[BW40_3705]],"")</f>
        <v/>
      </c>
      <c r="G9658" s="2" t="str">
        <f>IF(Table1[[#This Row],[Is Data Valid]]=TRUE,((Table1[[#This Row],[Birthweight (grams)]]/Table1[[#This Row],[BW_GA]])-1)/(Backend!$B$4/100*Table1[[#This Row],[BW40_3705]]),"")</f>
        <v/>
      </c>
      <c r="H9658" s="7" t="str">
        <f>IF(Table1[[#This Row],[Is Data Valid]]=TRUE,((Table1[[#This Row],[Birthweight (grams)]]*0.9/Table1[[#This Row],[BW_GA]])-1)/(Backend!$B$4/100*Table1[[#This Row],[BW40_3705]]),"")</f>
        <v/>
      </c>
      <c r="I9658" s="7" t="str">
        <f>IF(Table1[[#This Row],[Is Data Valid]]=TRUE,((Table1[[#This Row],[Birthweight (grams)]]*1.1/Table1[[#This Row],[BW_GA]])-1)/(Backend!$B$4/100*Table1[[#This Row],[BW40_3705]]),"")</f>
        <v/>
      </c>
      <c r="J9658" s="7" t="str">
        <f>IF(Table1[[#This Row],[Is Data Valid]]=TRUE,_xlfn.NORM.S.DIST(Table1[[#This Row],[Birthweight Z-Score]],TRUE)*100,"")</f>
        <v/>
      </c>
      <c r="K9658" s="7" t="str">
        <f>IF(Table1[[#This Row],[Is Data Valid]]=TRUE,_xlfn.NORM.S.DIST(Table1[[#This Row],[Birthweight Z-Score (BW-10%)]],TRUE)*100,"")</f>
        <v/>
      </c>
      <c r="L9658" s="7" t="str">
        <f>IF(Table1[[#This Row],[Is Data Valid]]=TRUE,_xlfn.NORM.S.DIST(Table1[[#This Row],[Birthweight Z-Score (BW+10%)]],TRUE)*100,"")</f>
        <v/>
      </c>
    </row>
    <row r="9659" spans="1:12" x14ac:dyDescent="0.35">
      <c r="A9659" s="3"/>
      <c r="B9659" s="2"/>
      <c r="C9659" s="2"/>
      <c r="D9659" s="2" t="b">
        <f>IF(AND(NOT(ISBLANK(Table1[[#This Row],[Fetal Sex (Male, Female or Unknown)]])),ISNUMBER(Table1[[#This Row],[Birthweight (grams)]]),ISNUMBER(Table1[[#This Row],[Gestation (days)]])),TRUE,FALSE)</f>
        <v>0</v>
      </c>
      <c r="E9659" s="2" t="str">
        <f>IF(Table1[[#This Row],[Is Data Valid]]=TRUE,IF(Table1[[#This Row],[Fetal Sex (Male, Female or Unknown)]]="Male",Backend!$C$6,IF(Table1[[#This Row],[Fetal Sex (Male, Female or Unknown)]]="Female",Backend!$C$7,IF(Table1[[#This Row],[Fetal Sex (Male, Female or Unknown)]]="Unknown",Backend!$C$8,"Error"))),"")</f>
        <v/>
      </c>
      <c r="F9659" s="8" t="str">
        <f>IF(Table1[[#This Row],[Is Data Valid]]=TRUE,EXP(0.578+0.332*((Table1[[#This Row],[Gestation (days)]]+0.5)/7)-0.00354*((Table1[[#This Row],[Gestation (days)]]+0.5)/7)^2)*Table1[[#This Row],[BW40_3705]],"")</f>
        <v/>
      </c>
      <c r="G9659" s="2" t="str">
        <f>IF(Table1[[#This Row],[Is Data Valid]]=TRUE,((Table1[[#This Row],[Birthweight (grams)]]/Table1[[#This Row],[BW_GA]])-1)/(Backend!$B$4/100*Table1[[#This Row],[BW40_3705]]),"")</f>
        <v/>
      </c>
      <c r="H9659" s="7" t="str">
        <f>IF(Table1[[#This Row],[Is Data Valid]]=TRUE,((Table1[[#This Row],[Birthweight (grams)]]*0.9/Table1[[#This Row],[BW_GA]])-1)/(Backend!$B$4/100*Table1[[#This Row],[BW40_3705]]),"")</f>
        <v/>
      </c>
      <c r="I9659" s="7" t="str">
        <f>IF(Table1[[#This Row],[Is Data Valid]]=TRUE,((Table1[[#This Row],[Birthweight (grams)]]*1.1/Table1[[#This Row],[BW_GA]])-1)/(Backend!$B$4/100*Table1[[#This Row],[BW40_3705]]),"")</f>
        <v/>
      </c>
      <c r="J9659" s="7" t="str">
        <f>IF(Table1[[#This Row],[Is Data Valid]]=TRUE,_xlfn.NORM.S.DIST(Table1[[#This Row],[Birthweight Z-Score]],TRUE)*100,"")</f>
        <v/>
      </c>
      <c r="K9659" s="7" t="str">
        <f>IF(Table1[[#This Row],[Is Data Valid]]=TRUE,_xlfn.NORM.S.DIST(Table1[[#This Row],[Birthweight Z-Score (BW-10%)]],TRUE)*100,"")</f>
        <v/>
      </c>
      <c r="L9659" s="7" t="str">
        <f>IF(Table1[[#This Row],[Is Data Valid]]=TRUE,_xlfn.NORM.S.DIST(Table1[[#This Row],[Birthweight Z-Score (BW+10%)]],TRUE)*100,"")</f>
        <v/>
      </c>
    </row>
    <row r="9660" spans="1:12" x14ac:dyDescent="0.35">
      <c r="A9660" s="3"/>
      <c r="B9660" s="2"/>
      <c r="C9660" s="2"/>
      <c r="D9660" s="2" t="b">
        <f>IF(AND(NOT(ISBLANK(Table1[[#This Row],[Fetal Sex (Male, Female or Unknown)]])),ISNUMBER(Table1[[#This Row],[Birthweight (grams)]]),ISNUMBER(Table1[[#This Row],[Gestation (days)]])),TRUE,FALSE)</f>
        <v>0</v>
      </c>
      <c r="E9660" s="2" t="str">
        <f>IF(Table1[[#This Row],[Is Data Valid]]=TRUE,IF(Table1[[#This Row],[Fetal Sex (Male, Female or Unknown)]]="Male",Backend!$C$6,IF(Table1[[#This Row],[Fetal Sex (Male, Female or Unknown)]]="Female",Backend!$C$7,IF(Table1[[#This Row],[Fetal Sex (Male, Female or Unknown)]]="Unknown",Backend!$C$8,"Error"))),"")</f>
        <v/>
      </c>
      <c r="F9660" s="8" t="str">
        <f>IF(Table1[[#This Row],[Is Data Valid]]=TRUE,EXP(0.578+0.332*((Table1[[#This Row],[Gestation (days)]]+0.5)/7)-0.00354*((Table1[[#This Row],[Gestation (days)]]+0.5)/7)^2)*Table1[[#This Row],[BW40_3705]],"")</f>
        <v/>
      </c>
      <c r="G9660" s="2" t="str">
        <f>IF(Table1[[#This Row],[Is Data Valid]]=TRUE,((Table1[[#This Row],[Birthweight (grams)]]/Table1[[#This Row],[BW_GA]])-1)/(Backend!$B$4/100*Table1[[#This Row],[BW40_3705]]),"")</f>
        <v/>
      </c>
      <c r="H9660" s="7" t="str">
        <f>IF(Table1[[#This Row],[Is Data Valid]]=TRUE,((Table1[[#This Row],[Birthweight (grams)]]*0.9/Table1[[#This Row],[BW_GA]])-1)/(Backend!$B$4/100*Table1[[#This Row],[BW40_3705]]),"")</f>
        <v/>
      </c>
      <c r="I9660" s="7" t="str">
        <f>IF(Table1[[#This Row],[Is Data Valid]]=TRUE,((Table1[[#This Row],[Birthweight (grams)]]*1.1/Table1[[#This Row],[BW_GA]])-1)/(Backend!$B$4/100*Table1[[#This Row],[BW40_3705]]),"")</f>
        <v/>
      </c>
      <c r="J9660" s="7" t="str">
        <f>IF(Table1[[#This Row],[Is Data Valid]]=TRUE,_xlfn.NORM.S.DIST(Table1[[#This Row],[Birthweight Z-Score]],TRUE)*100,"")</f>
        <v/>
      </c>
      <c r="K9660" s="7" t="str">
        <f>IF(Table1[[#This Row],[Is Data Valid]]=TRUE,_xlfn.NORM.S.DIST(Table1[[#This Row],[Birthweight Z-Score (BW-10%)]],TRUE)*100,"")</f>
        <v/>
      </c>
      <c r="L9660" s="7" t="str">
        <f>IF(Table1[[#This Row],[Is Data Valid]]=TRUE,_xlfn.NORM.S.DIST(Table1[[#This Row],[Birthweight Z-Score (BW+10%)]],TRUE)*100,"")</f>
        <v/>
      </c>
    </row>
    <row r="9661" spans="1:12" x14ac:dyDescent="0.35">
      <c r="A9661" s="3"/>
      <c r="B9661" s="2"/>
      <c r="C9661" s="2"/>
      <c r="D9661" s="2" t="b">
        <f>IF(AND(NOT(ISBLANK(Table1[[#This Row],[Fetal Sex (Male, Female or Unknown)]])),ISNUMBER(Table1[[#This Row],[Birthweight (grams)]]),ISNUMBER(Table1[[#This Row],[Gestation (days)]])),TRUE,FALSE)</f>
        <v>0</v>
      </c>
      <c r="E9661" s="2" t="str">
        <f>IF(Table1[[#This Row],[Is Data Valid]]=TRUE,IF(Table1[[#This Row],[Fetal Sex (Male, Female or Unknown)]]="Male",Backend!$C$6,IF(Table1[[#This Row],[Fetal Sex (Male, Female or Unknown)]]="Female",Backend!$C$7,IF(Table1[[#This Row],[Fetal Sex (Male, Female or Unknown)]]="Unknown",Backend!$C$8,"Error"))),"")</f>
        <v/>
      </c>
      <c r="F9661" s="8" t="str">
        <f>IF(Table1[[#This Row],[Is Data Valid]]=TRUE,EXP(0.578+0.332*((Table1[[#This Row],[Gestation (days)]]+0.5)/7)-0.00354*((Table1[[#This Row],[Gestation (days)]]+0.5)/7)^2)*Table1[[#This Row],[BW40_3705]],"")</f>
        <v/>
      </c>
      <c r="G9661" s="2" t="str">
        <f>IF(Table1[[#This Row],[Is Data Valid]]=TRUE,((Table1[[#This Row],[Birthweight (grams)]]/Table1[[#This Row],[BW_GA]])-1)/(Backend!$B$4/100*Table1[[#This Row],[BW40_3705]]),"")</f>
        <v/>
      </c>
      <c r="H9661" s="7" t="str">
        <f>IF(Table1[[#This Row],[Is Data Valid]]=TRUE,((Table1[[#This Row],[Birthweight (grams)]]*0.9/Table1[[#This Row],[BW_GA]])-1)/(Backend!$B$4/100*Table1[[#This Row],[BW40_3705]]),"")</f>
        <v/>
      </c>
      <c r="I9661" s="7" t="str">
        <f>IF(Table1[[#This Row],[Is Data Valid]]=TRUE,((Table1[[#This Row],[Birthweight (grams)]]*1.1/Table1[[#This Row],[BW_GA]])-1)/(Backend!$B$4/100*Table1[[#This Row],[BW40_3705]]),"")</f>
        <v/>
      </c>
      <c r="J9661" s="7" t="str">
        <f>IF(Table1[[#This Row],[Is Data Valid]]=TRUE,_xlfn.NORM.S.DIST(Table1[[#This Row],[Birthweight Z-Score]],TRUE)*100,"")</f>
        <v/>
      </c>
      <c r="K9661" s="7" t="str">
        <f>IF(Table1[[#This Row],[Is Data Valid]]=TRUE,_xlfn.NORM.S.DIST(Table1[[#This Row],[Birthweight Z-Score (BW-10%)]],TRUE)*100,"")</f>
        <v/>
      </c>
      <c r="L9661" s="7" t="str">
        <f>IF(Table1[[#This Row],[Is Data Valid]]=TRUE,_xlfn.NORM.S.DIST(Table1[[#This Row],[Birthweight Z-Score (BW+10%)]],TRUE)*100,"")</f>
        <v/>
      </c>
    </row>
    <row r="9662" spans="1:12" x14ac:dyDescent="0.35">
      <c r="A9662" s="3"/>
      <c r="B9662" s="2"/>
      <c r="C9662" s="2"/>
      <c r="D9662" s="2" t="b">
        <f>IF(AND(NOT(ISBLANK(Table1[[#This Row],[Fetal Sex (Male, Female or Unknown)]])),ISNUMBER(Table1[[#This Row],[Birthweight (grams)]]),ISNUMBER(Table1[[#This Row],[Gestation (days)]])),TRUE,FALSE)</f>
        <v>0</v>
      </c>
      <c r="E9662" s="2" t="str">
        <f>IF(Table1[[#This Row],[Is Data Valid]]=TRUE,IF(Table1[[#This Row],[Fetal Sex (Male, Female or Unknown)]]="Male",Backend!$C$6,IF(Table1[[#This Row],[Fetal Sex (Male, Female or Unknown)]]="Female",Backend!$C$7,IF(Table1[[#This Row],[Fetal Sex (Male, Female or Unknown)]]="Unknown",Backend!$C$8,"Error"))),"")</f>
        <v/>
      </c>
      <c r="F9662" s="8" t="str">
        <f>IF(Table1[[#This Row],[Is Data Valid]]=TRUE,EXP(0.578+0.332*((Table1[[#This Row],[Gestation (days)]]+0.5)/7)-0.00354*((Table1[[#This Row],[Gestation (days)]]+0.5)/7)^2)*Table1[[#This Row],[BW40_3705]],"")</f>
        <v/>
      </c>
      <c r="G9662" s="2" t="str">
        <f>IF(Table1[[#This Row],[Is Data Valid]]=TRUE,((Table1[[#This Row],[Birthweight (grams)]]/Table1[[#This Row],[BW_GA]])-1)/(Backend!$B$4/100*Table1[[#This Row],[BW40_3705]]),"")</f>
        <v/>
      </c>
      <c r="H9662" s="7" t="str">
        <f>IF(Table1[[#This Row],[Is Data Valid]]=TRUE,((Table1[[#This Row],[Birthweight (grams)]]*0.9/Table1[[#This Row],[BW_GA]])-1)/(Backend!$B$4/100*Table1[[#This Row],[BW40_3705]]),"")</f>
        <v/>
      </c>
      <c r="I9662" s="7" t="str">
        <f>IF(Table1[[#This Row],[Is Data Valid]]=TRUE,((Table1[[#This Row],[Birthweight (grams)]]*1.1/Table1[[#This Row],[BW_GA]])-1)/(Backend!$B$4/100*Table1[[#This Row],[BW40_3705]]),"")</f>
        <v/>
      </c>
      <c r="J9662" s="7" t="str">
        <f>IF(Table1[[#This Row],[Is Data Valid]]=TRUE,_xlfn.NORM.S.DIST(Table1[[#This Row],[Birthweight Z-Score]],TRUE)*100,"")</f>
        <v/>
      </c>
      <c r="K9662" s="7" t="str">
        <f>IF(Table1[[#This Row],[Is Data Valid]]=TRUE,_xlfn.NORM.S.DIST(Table1[[#This Row],[Birthweight Z-Score (BW-10%)]],TRUE)*100,"")</f>
        <v/>
      </c>
      <c r="L9662" s="7" t="str">
        <f>IF(Table1[[#This Row],[Is Data Valid]]=TRUE,_xlfn.NORM.S.DIST(Table1[[#This Row],[Birthweight Z-Score (BW+10%)]],TRUE)*100,"")</f>
        <v/>
      </c>
    </row>
    <row r="9663" spans="1:12" x14ac:dyDescent="0.35">
      <c r="A9663" s="3"/>
      <c r="B9663" s="2"/>
      <c r="C9663" s="2"/>
      <c r="D9663" s="2" t="b">
        <f>IF(AND(NOT(ISBLANK(Table1[[#This Row],[Fetal Sex (Male, Female or Unknown)]])),ISNUMBER(Table1[[#This Row],[Birthweight (grams)]]),ISNUMBER(Table1[[#This Row],[Gestation (days)]])),TRUE,FALSE)</f>
        <v>0</v>
      </c>
      <c r="E9663" s="2" t="str">
        <f>IF(Table1[[#This Row],[Is Data Valid]]=TRUE,IF(Table1[[#This Row],[Fetal Sex (Male, Female or Unknown)]]="Male",Backend!$C$6,IF(Table1[[#This Row],[Fetal Sex (Male, Female or Unknown)]]="Female",Backend!$C$7,IF(Table1[[#This Row],[Fetal Sex (Male, Female or Unknown)]]="Unknown",Backend!$C$8,"Error"))),"")</f>
        <v/>
      </c>
      <c r="F9663" s="8" t="str">
        <f>IF(Table1[[#This Row],[Is Data Valid]]=TRUE,EXP(0.578+0.332*((Table1[[#This Row],[Gestation (days)]]+0.5)/7)-0.00354*((Table1[[#This Row],[Gestation (days)]]+0.5)/7)^2)*Table1[[#This Row],[BW40_3705]],"")</f>
        <v/>
      </c>
      <c r="G9663" s="2" t="str">
        <f>IF(Table1[[#This Row],[Is Data Valid]]=TRUE,((Table1[[#This Row],[Birthweight (grams)]]/Table1[[#This Row],[BW_GA]])-1)/(Backend!$B$4/100*Table1[[#This Row],[BW40_3705]]),"")</f>
        <v/>
      </c>
      <c r="H9663" s="7" t="str">
        <f>IF(Table1[[#This Row],[Is Data Valid]]=TRUE,((Table1[[#This Row],[Birthweight (grams)]]*0.9/Table1[[#This Row],[BW_GA]])-1)/(Backend!$B$4/100*Table1[[#This Row],[BW40_3705]]),"")</f>
        <v/>
      </c>
      <c r="I9663" s="7" t="str">
        <f>IF(Table1[[#This Row],[Is Data Valid]]=TRUE,((Table1[[#This Row],[Birthweight (grams)]]*1.1/Table1[[#This Row],[BW_GA]])-1)/(Backend!$B$4/100*Table1[[#This Row],[BW40_3705]]),"")</f>
        <v/>
      </c>
      <c r="J9663" s="7" t="str">
        <f>IF(Table1[[#This Row],[Is Data Valid]]=TRUE,_xlfn.NORM.S.DIST(Table1[[#This Row],[Birthweight Z-Score]],TRUE)*100,"")</f>
        <v/>
      </c>
      <c r="K9663" s="7" t="str">
        <f>IF(Table1[[#This Row],[Is Data Valid]]=TRUE,_xlfn.NORM.S.DIST(Table1[[#This Row],[Birthweight Z-Score (BW-10%)]],TRUE)*100,"")</f>
        <v/>
      </c>
      <c r="L9663" s="7" t="str">
        <f>IF(Table1[[#This Row],[Is Data Valid]]=TRUE,_xlfn.NORM.S.DIST(Table1[[#This Row],[Birthweight Z-Score (BW+10%)]],TRUE)*100,"")</f>
        <v/>
      </c>
    </row>
    <row r="9664" spans="1:12" x14ac:dyDescent="0.35">
      <c r="A9664" s="3"/>
      <c r="B9664" s="2"/>
      <c r="C9664" s="2"/>
      <c r="D9664" s="2" t="b">
        <f>IF(AND(NOT(ISBLANK(Table1[[#This Row],[Fetal Sex (Male, Female or Unknown)]])),ISNUMBER(Table1[[#This Row],[Birthweight (grams)]]),ISNUMBER(Table1[[#This Row],[Gestation (days)]])),TRUE,FALSE)</f>
        <v>0</v>
      </c>
      <c r="E9664" s="2" t="str">
        <f>IF(Table1[[#This Row],[Is Data Valid]]=TRUE,IF(Table1[[#This Row],[Fetal Sex (Male, Female or Unknown)]]="Male",Backend!$C$6,IF(Table1[[#This Row],[Fetal Sex (Male, Female or Unknown)]]="Female",Backend!$C$7,IF(Table1[[#This Row],[Fetal Sex (Male, Female or Unknown)]]="Unknown",Backend!$C$8,"Error"))),"")</f>
        <v/>
      </c>
      <c r="F9664" s="8" t="str">
        <f>IF(Table1[[#This Row],[Is Data Valid]]=TRUE,EXP(0.578+0.332*((Table1[[#This Row],[Gestation (days)]]+0.5)/7)-0.00354*((Table1[[#This Row],[Gestation (days)]]+0.5)/7)^2)*Table1[[#This Row],[BW40_3705]],"")</f>
        <v/>
      </c>
      <c r="G9664" s="2" t="str">
        <f>IF(Table1[[#This Row],[Is Data Valid]]=TRUE,((Table1[[#This Row],[Birthweight (grams)]]/Table1[[#This Row],[BW_GA]])-1)/(Backend!$B$4/100*Table1[[#This Row],[BW40_3705]]),"")</f>
        <v/>
      </c>
      <c r="H9664" s="7" t="str">
        <f>IF(Table1[[#This Row],[Is Data Valid]]=TRUE,((Table1[[#This Row],[Birthweight (grams)]]*0.9/Table1[[#This Row],[BW_GA]])-1)/(Backend!$B$4/100*Table1[[#This Row],[BW40_3705]]),"")</f>
        <v/>
      </c>
      <c r="I9664" s="7" t="str">
        <f>IF(Table1[[#This Row],[Is Data Valid]]=TRUE,((Table1[[#This Row],[Birthweight (grams)]]*1.1/Table1[[#This Row],[BW_GA]])-1)/(Backend!$B$4/100*Table1[[#This Row],[BW40_3705]]),"")</f>
        <v/>
      </c>
      <c r="J9664" s="7" t="str">
        <f>IF(Table1[[#This Row],[Is Data Valid]]=TRUE,_xlfn.NORM.S.DIST(Table1[[#This Row],[Birthweight Z-Score]],TRUE)*100,"")</f>
        <v/>
      </c>
      <c r="K9664" s="7" t="str">
        <f>IF(Table1[[#This Row],[Is Data Valid]]=TRUE,_xlfn.NORM.S.DIST(Table1[[#This Row],[Birthweight Z-Score (BW-10%)]],TRUE)*100,"")</f>
        <v/>
      </c>
      <c r="L9664" s="7" t="str">
        <f>IF(Table1[[#This Row],[Is Data Valid]]=TRUE,_xlfn.NORM.S.DIST(Table1[[#This Row],[Birthweight Z-Score (BW+10%)]],TRUE)*100,"")</f>
        <v/>
      </c>
    </row>
    <row r="9665" spans="1:12" x14ac:dyDescent="0.35">
      <c r="A9665" s="3"/>
      <c r="B9665" s="2"/>
      <c r="C9665" s="2"/>
      <c r="D9665" s="2" t="b">
        <f>IF(AND(NOT(ISBLANK(Table1[[#This Row],[Fetal Sex (Male, Female or Unknown)]])),ISNUMBER(Table1[[#This Row],[Birthweight (grams)]]),ISNUMBER(Table1[[#This Row],[Gestation (days)]])),TRUE,FALSE)</f>
        <v>0</v>
      </c>
      <c r="E9665" s="2" t="str">
        <f>IF(Table1[[#This Row],[Is Data Valid]]=TRUE,IF(Table1[[#This Row],[Fetal Sex (Male, Female or Unknown)]]="Male",Backend!$C$6,IF(Table1[[#This Row],[Fetal Sex (Male, Female or Unknown)]]="Female",Backend!$C$7,IF(Table1[[#This Row],[Fetal Sex (Male, Female or Unknown)]]="Unknown",Backend!$C$8,"Error"))),"")</f>
        <v/>
      </c>
      <c r="F9665" s="8" t="str">
        <f>IF(Table1[[#This Row],[Is Data Valid]]=TRUE,EXP(0.578+0.332*((Table1[[#This Row],[Gestation (days)]]+0.5)/7)-0.00354*((Table1[[#This Row],[Gestation (days)]]+0.5)/7)^2)*Table1[[#This Row],[BW40_3705]],"")</f>
        <v/>
      </c>
      <c r="G9665" s="2" t="str">
        <f>IF(Table1[[#This Row],[Is Data Valid]]=TRUE,((Table1[[#This Row],[Birthweight (grams)]]/Table1[[#This Row],[BW_GA]])-1)/(Backend!$B$4/100*Table1[[#This Row],[BW40_3705]]),"")</f>
        <v/>
      </c>
      <c r="H9665" s="7" t="str">
        <f>IF(Table1[[#This Row],[Is Data Valid]]=TRUE,((Table1[[#This Row],[Birthweight (grams)]]*0.9/Table1[[#This Row],[BW_GA]])-1)/(Backend!$B$4/100*Table1[[#This Row],[BW40_3705]]),"")</f>
        <v/>
      </c>
      <c r="I9665" s="7" t="str">
        <f>IF(Table1[[#This Row],[Is Data Valid]]=TRUE,((Table1[[#This Row],[Birthweight (grams)]]*1.1/Table1[[#This Row],[BW_GA]])-1)/(Backend!$B$4/100*Table1[[#This Row],[BW40_3705]]),"")</f>
        <v/>
      </c>
      <c r="J9665" s="7" t="str">
        <f>IF(Table1[[#This Row],[Is Data Valid]]=TRUE,_xlfn.NORM.S.DIST(Table1[[#This Row],[Birthweight Z-Score]],TRUE)*100,"")</f>
        <v/>
      </c>
      <c r="K9665" s="7" t="str">
        <f>IF(Table1[[#This Row],[Is Data Valid]]=TRUE,_xlfn.NORM.S.DIST(Table1[[#This Row],[Birthweight Z-Score (BW-10%)]],TRUE)*100,"")</f>
        <v/>
      </c>
      <c r="L9665" s="7" t="str">
        <f>IF(Table1[[#This Row],[Is Data Valid]]=TRUE,_xlfn.NORM.S.DIST(Table1[[#This Row],[Birthweight Z-Score (BW+10%)]],TRUE)*100,"")</f>
        <v/>
      </c>
    </row>
    <row r="9666" spans="1:12" x14ac:dyDescent="0.35">
      <c r="A9666" s="3"/>
      <c r="B9666" s="2"/>
      <c r="C9666" s="2"/>
      <c r="D9666" s="2" t="b">
        <f>IF(AND(NOT(ISBLANK(Table1[[#This Row],[Fetal Sex (Male, Female or Unknown)]])),ISNUMBER(Table1[[#This Row],[Birthweight (grams)]]),ISNUMBER(Table1[[#This Row],[Gestation (days)]])),TRUE,FALSE)</f>
        <v>0</v>
      </c>
      <c r="E9666" s="2" t="str">
        <f>IF(Table1[[#This Row],[Is Data Valid]]=TRUE,IF(Table1[[#This Row],[Fetal Sex (Male, Female or Unknown)]]="Male",Backend!$C$6,IF(Table1[[#This Row],[Fetal Sex (Male, Female or Unknown)]]="Female",Backend!$C$7,IF(Table1[[#This Row],[Fetal Sex (Male, Female or Unknown)]]="Unknown",Backend!$C$8,"Error"))),"")</f>
        <v/>
      </c>
      <c r="F9666" s="8" t="str">
        <f>IF(Table1[[#This Row],[Is Data Valid]]=TRUE,EXP(0.578+0.332*((Table1[[#This Row],[Gestation (days)]]+0.5)/7)-0.00354*((Table1[[#This Row],[Gestation (days)]]+0.5)/7)^2)*Table1[[#This Row],[BW40_3705]],"")</f>
        <v/>
      </c>
      <c r="G9666" s="2" t="str">
        <f>IF(Table1[[#This Row],[Is Data Valid]]=TRUE,((Table1[[#This Row],[Birthweight (grams)]]/Table1[[#This Row],[BW_GA]])-1)/(Backend!$B$4/100*Table1[[#This Row],[BW40_3705]]),"")</f>
        <v/>
      </c>
      <c r="H9666" s="7" t="str">
        <f>IF(Table1[[#This Row],[Is Data Valid]]=TRUE,((Table1[[#This Row],[Birthweight (grams)]]*0.9/Table1[[#This Row],[BW_GA]])-1)/(Backend!$B$4/100*Table1[[#This Row],[BW40_3705]]),"")</f>
        <v/>
      </c>
      <c r="I9666" s="7" t="str">
        <f>IF(Table1[[#This Row],[Is Data Valid]]=TRUE,((Table1[[#This Row],[Birthweight (grams)]]*1.1/Table1[[#This Row],[BW_GA]])-1)/(Backend!$B$4/100*Table1[[#This Row],[BW40_3705]]),"")</f>
        <v/>
      </c>
      <c r="J9666" s="7" t="str">
        <f>IF(Table1[[#This Row],[Is Data Valid]]=TRUE,_xlfn.NORM.S.DIST(Table1[[#This Row],[Birthweight Z-Score]],TRUE)*100,"")</f>
        <v/>
      </c>
      <c r="K9666" s="7" t="str">
        <f>IF(Table1[[#This Row],[Is Data Valid]]=TRUE,_xlfn.NORM.S.DIST(Table1[[#This Row],[Birthweight Z-Score (BW-10%)]],TRUE)*100,"")</f>
        <v/>
      </c>
      <c r="L9666" s="7" t="str">
        <f>IF(Table1[[#This Row],[Is Data Valid]]=TRUE,_xlfn.NORM.S.DIST(Table1[[#This Row],[Birthweight Z-Score (BW+10%)]],TRUE)*100,"")</f>
        <v/>
      </c>
    </row>
    <row r="9667" spans="1:12" x14ac:dyDescent="0.35">
      <c r="A9667" s="3"/>
      <c r="B9667" s="2"/>
      <c r="C9667" s="2"/>
      <c r="D9667" s="2" t="b">
        <f>IF(AND(NOT(ISBLANK(Table1[[#This Row],[Fetal Sex (Male, Female or Unknown)]])),ISNUMBER(Table1[[#This Row],[Birthweight (grams)]]),ISNUMBER(Table1[[#This Row],[Gestation (days)]])),TRUE,FALSE)</f>
        <v>0</v>
      </c>
      <c r="E9667" s="2" t="str">
        <f>IF(Table1[[#This Row],[Is Data Valid]]=TRUE,IF(Table1[[#This Row],[Fetal Sex (Male, Female or Unknown)]]="Male",Backend!$C$6,IF(Table1[[#This Row],[Fetal Sex (Male, Female or Unknown)]]="Female",Backend!$C$7,IF(Table1[[#This Row],[Fetal Sex (Male, Female or Unknown)]]="Unknown",Backend!$C$8,"Error"))),"")</f>
        <v/>
      </c>
      <c r="F9667" s="8" t="str">
        <f>IF(Table1[[#This Row],[Is Data Valid]]=TRUE,EXP(0.578+0.332*((Table1[[#This Row],[Gestation (days)]]+0.5)/7)-0.00354*((Table1[[#This Row],[Gestation (days)]]+0.5)/7)^2)*Table1[[#This Row],[BW40_3705]],"")</f>
        <v/>
      </c>
      <c r="G9667" s="2" t="str">
        <f>IF(Table1[[#This Row],[Is Data Valid]]=TRUE,((Table1[[#This Row],[Birthweight (grams)]]/Table1[[#This Row],[BW_GA]])-1)/(Backend!$B$4/100*Table1[[#This Row],[BW40_3705]]),"")</f>
        <v/>
      </c>
      <c r="H9667" s="7" t="str">
        <f>IF(Table1[[#This Row],[Is Data Valid]]=TRUE,((Table1[[#This Row],[Birthweight (grams)]]*0.9/Table1[[#This Row],[BW_GA]])-1)/(Backend!$B$4/100*Table1[[#This Row],[BW40_3705]]),"")</f>
        <v/>
      </c>
      <c r="I9667" s="7" t="str">
        <f>IF(Table1[[#This Row],[Is Data Valid]]=TRUE,((Table1[[#This Row],[Birthweight (grams)]]*1.1/Table1[[#This Row],[BW_GA]])-1)/(Backend!$B$4/100*Table1[[#This Row],[BW40_3705]]),"")</f>
        <v/>
      </c>
      <c r="J9667" s="7" t="str">
        <f>IF(Table1[[#This Row],[Is Data Valid]]=TRUE,_xlfn.NORM.S.DIST(Table1[[#This Row],[Birthweight Z-Score]],TRUE)*100,"")</f>
        <v/>
      </c>
      <c r="K9667" s="7" t="str">
        <f>IF(Table1[[#This Row],[Is Data Valid]]=TRUE,_xlfn.NORM.S.DIST(Table1[[#This Row],[Birthweight Z-Score (BW-10%)]],TRUE)*100,"")</f>
        <v/>
      </c>
      <c r="L9667" s="7" t="str">
        <f>IF(Table1[[#This Row],[Is Data Valid]]=TRUE,_xlfn.NORM.S.DIST(Table1[[#This Row],[Birthweight Z-Score (BW+10%)]],TRUE)*100,"")</f>
        <v/>
      </c>
    </row>
    <row r="9668" spans="1:12" x14ac:dyDescent="0.35">
      <c r="A9668" s="3"/>
      <c r="B9668" s="2"/>
      <c r="C9668" s="2"/>
      <c r="D9668" s="2" t="b">
        <f>IF(AND(NOT(ISBLANK(Table1[[#This Row],[Fetal Sex (Male, Female or Unknown)]])),ISNUMBER(Table1[[#This Row],[Birthweight (grams)]]),ISNUMBER(Table1[[#This Row],[Gestation (days)]])),TRUE,FALSE)</f>
        <v>0</v>
      </c>
      <c r="E9668" s="2" t="str">
        <f>IF(Table1[[#This Row],[Is Data Valid]]=TRUE,IF(Table1[[#This Row],[Fetal Sex (Male, Female or Unknown)]]="Male",Backend!$C$6,IF(Table1[[#This Row],[Fetal Sex (Male, Female or Unknown)]]="Female",Backend!$C$7,IF(Table1[[#This Row],[Fetal Sex (Male, Female or Unknown)]]="Unknown",Backend!$C$8,"Error"))),"")</f>
        <v/>
      </c>
      <c r="F9668" s="8" t="str">
        <f>IF(Table1[[#This Row],[Is Data Valid]]=TRUE,EXP(0.578+0.332*((Table1[[#This Row],[Gestation (days)]]+0.5)/7)-0.00354*((Table1[[#This Row],[Gestation (days)]]+0.5)/7)^2)*Table1[[#This Row],[BW40_3705]],"")</f>
        <v/>
      </c>
      <c r="G9668" s="2" t="str">
        <f>IF(Table1[[#This Row],[Is Data Valid]]=TRUE,((Table1[[#This Row],[Birthweight (grams)]]/Table1[[#This Row],[BW_GA]])-1)/(Backend!$B$4/100*Table1[[#This Row],[BW40_3705]]),"")</f>
        <v/>
      </c>
      <c r="H9668" s="7" t="str">
        <f>IF(Table1[[#This Row],[Is Data Valid]]=TRUE,((Table1[[#This Row],[Birthweight (grams)]]*0.9/Table1[[#This Row],[BW_GA]])-1)/(Backend!$B$4/100*Table1[[#This Row],[BW40_3705]]),"")</f>
        <v/>
      </c>
      <c r="I9668" s="7" t="str">
        <f>IF(Table1[[#This Row],[Is Data Valid]]=TRUE,((Table1[[#This Row],[Birthweight (grams)]]*1.1/Table1[[#This Row],[BW_GA]])-1)/(Backend!$B$4/100*Table1[[#This Row],[BW40_3705]]),"")</f>
        <v/>
      </c>
      <c r="J9668" s="7" t="str">
        <f>IF(Table1[[#This Row],[Is Data Valid]]=TRUE,_xlfn.NORM.S.DIST(Table1[[#This Row],[Birthweight Z-Score]],TRUE)*100,"")</f>
        <v/>
      </c>
      <c r="K9668" s="7" t="str">
        <f>IF(Table1[[#This Row],[Is Data Valid]]=TRUE,_xlfn.NORM.S.DIST(Table1[[#This Row],[Birthweight Z-Score (BW-10%)]],TRUE)*100,"")</f>
        <v/>
      </c>
      <c r="L9668" s="7" t="str">
        <f>IF(Table1[[#This Row],[Is Data Valid]]=TRUE,_xlfn.NORM.S.DIST(Table1[[#This Row],[Birthweight Z-Score (BW+10%)]],TRUE)*100,"")</f>
        <v/>
      </c>
    </row>
    <row r="9669" spans="1:12" x14ac:dyDescent="0.35">
      <c r="A9669" s="3"/>
      <c r="B9669" s="2"/>
      <c r="C9669" s="2"/>
      <c r="D9669" s="2" t="b">
        <f>IF(AND(NOT(ISBLANK(Table1[[#This Row],[Fetal Sex (Male, Female or Unknown)]])),ISNUMBER(Table1[[#This Row],[Birthweight (grams)]]),ISNUMBER(Table1[[#This Row],[Gestation (days)]])),TRUE,FALSE)</f>
        <v>0</v>
      </c>
      <c r="E9669" s="2" t="str">
        <f>IF(Table1[[#This Row],[Is Data Valid]]=TRUE,IF(Table1[[#This Row],[Fetal Sex (Male, Female or Unknown)]]="Male",Backend!$C$6,IF(Table1[[#This Row],[Fetal Sex (Male, Female or Unknown)]]="Female",Backend!$C$7,IF(Table1[[#This Row],[Fetal Sex (Male, Female or Unknown)]]="Unknown",Backend!$C$8,"Error"))),"")</f>
        <v/>
      </c>
      <c r="F9669" s="8" t="str">
        <f>IF(Table1[[#This Row],[Is Data Valid]]=TRUE,EXP(0.578+0.332*((Table1[[#This Row],[Gestation (days)]]+0.5)/7)-0.00354*((Table1[[#This Row],[Gestation (days)]]+0.5)/7)^2)*Table1[[#This Row],[BW40_3705]],"")</f>
        <v/>
      </c>
      <c r="G9669" s="2" t="str">
        <f>IF(Table1[[#This Row],[Is Data Valid]]=TRUE,((Table1[[#This Row],[Birthweight (grams)]]/Table1[[#This Row],[BW_GA]])-1)/(Backend!$B$4/100*Table1[[#This Row],[BW40_3705]]),"")</f>
        <v/>
      </c>
      <c r="H9669" s="7" t="str">
        <f>IF(Table1[[#This Row],[Is Data Valid]]=TRUE,((Table1[[#This Row],[Birthweight (grams)]]*0.9/Table1[[#This Row],[BW_GA]])-1)/(Backend!$B$4/100*Table1[[#This Row],[BW40_3705]]),"")</f>
        <v/>
      </c>
      <c r="I9669" s="7" t="str">
        <f>IF(Table1[[#This Row],[Is Data Valid]]=TRUE,((Table1[[#This Row],[Birthweight (grams)]]*1.1/Table1[[#This Row],[BW_GA]])-1)/(Backend!$B$4/100*Table1[[#This Row],[BW40_3705]]),"")</f>
        <v/>
      </c>
      <c r="J9669" s="7" t="str">
        <f>IF(Table1[[#This Row],[Is Data Valid]]=TRUE,_xlfn.NORM.S.DIST(Table1[[#This Row],[Birthweight Z-Score]],TRUE)*100,"")</f>
        <v/>
      </c>
      <c r="K9669" s="7" t="str">
        <f>IF(Table1[[#This Row],[Is Data Valid]]=TRUE,_xlfn.NORM.S.DIST(Table1[[#This Row],[Birthweight Z-Score (BW-10%)]],TRUE)*100,"")</f>
        <v/>
      </c>
      <c r="L9669" s="7" t="str">
        <f>IF(Table1[[#This Row],[Is Data Valid]]=TRUE,_xlfn.NORM.S.DIST(Table1[[#This Row],[Birthweight Z-Score (BW+10%)]],TRUE)*100,"")</f>
        <v/>
      </c>
    </row>
    <row r="9670" spans="1:12" x14ac:dyDescent="0.35">
      <c r="A9670" s="3"/>
      <c r="B9670" s="2"/>
      <c r="C9670" s="2"/>
      <c r="D9670" s="2" t="b">
        <f>IF(AND(NOT(ISBLANK(Table1[[#This Row],[Fetal Sex (Male, Female or Unknown)]])),ISNUMBER(Table1[[#This Row],[Birthweight (grams)]]),ISNUMBER(Table1[[#This Row],[Gestation (days)]])),TRUE,FALSE)</f>
        <v>0</v>
      </c>
      <c r="E9670" s="2" t="str">
        <f>IF(Table1[[#This Row],[Is Data Valid]]=TRUE,IF(Table1[[#This Row],[Fetal Sex (Male, Female or Unknown)]]="Male",Backend!$C$6,IF(Table1[[#This Row],[Fetal Sex (Male, Female or Unknown)]]="Female",Backend!$C$7,IF(Table1[[#This Row],[Fetal Sex (Male, Female or Unknown)]]="Unknown",Backend!$C$8,"Error"))),"")</f>
        <v/>
      </c>
      <c r="F9670" s="8" t="str">
        <f>IF(Table1[[#This Row],[Is Data Valid]]=TRUE,EXP(0.578+0.332*((Table1[[#This Row],[Gestation (days)]]+0.5)/7)-0.00354*((Table1[[#This Row],[Gestation (days)]]+0.5)/7)^2)*Table1[[#This Row],[BW40_3705]],"")</f>
        <v/>
      </c>
      <c r="G9670" s="2" t="str">
        <f>IF(Table1[[#This Row],[Is Data Valid]]=TRUE,((Table1[[#This Row],[Birthweight (grams)]]/Table1[[#This Row],[BW_GA]])-1)/(Backend!$B$4/100*Table1[[#This Row],[BW40_3705]]),"")</f>
        <v/>
      </c>
      <c r="H9670" s="7" t="str">
        <f>IF(Table1[[#This Row],[Is Data Valid]]=TRUE,((Table1[[#This Row],[Birthweight (grams)]]*0.9/Table1[[#This Row],[BW_GA]])-1)/(Backend!$B$4/100*Table1[[#This Row],[BW40_3705]]),"")</f>
        <v/>
      </c>
      <c r="I9670" s="7" t="str">
        <f>IF(Table1[[#This Row],[Is Data Valid]]=TRUE,((Table1[[#This Row],[Birthweight (grams)]]*1.1/Table1[[#This Row],[BW_GA]])-1)/(Backend!$B$4/100*Table1[[#This Row],[BW40_3705]]),"")</f>
        <v/>
      </c>
      <c r="J9670" s="7" t="str">
        <f>IF(Table1[[#This Row],[Is Data Valid]]=TRUE,_xlfn.NORM.S.DIST(Table1[[#This Row],[Birthweight Z-Score]],TRUE)*100,"")</f>
        <v/>
      </c>
      <c r="K9670" s="7" t="str">
        <f>IF(Table1[[#This Row],[Is Data Valid]]=TRUE,_xlfn.NORM.S.DIST(Table1[[#This Row],[Birthweight Z-Score (BW-10%)]],TRUE)*100,"")</f>
        <v/>
      </c>
      <c r="L9670" s="7" t="str">
        <f>IF(Table1[[#This Row],[Is Data Valid]]=TRUE,_xlfn.NORM.S.DIST(Table1[[#This Row],[Birthweight Z-Score (BW+10%)]],TRUE)*100,"")</f>
        <v/>
      </c>
    </row>
    <row r="9671" spans="1:12" x14ac:dyDescent="0.35">
      <c r="A9671" s="3"/>
      <c r="B9671" s="2"/>
      <c r="C9671" s="2"/>
      <c r="D9671" s="2" t="b">
        <f>IF(AND(NOT(ISBLANK(Table1[[#This Row],[Fetal Sex (Male, Female or Unknown)]])),ISNUMBER(Table1[[#This Row],[Birthweight (grams)]]),ISNUMBER(Table1[[#This Row],[Gestation (days)]])),TRUE,FALSE)</f>
        <v>0</v>
      </c>
      <c r="E9671" s="2" t="str">
        <f>IF(Table1[[#This Row],[Is Data Valid]]=TRUE,IF(Table1[[#This Row],[Fetal Sex (Male, Female or Unknown)]]="Male",Backend!$C$6,IF(Table1[[#This Row],[Fetal Sex (Male, Female or Unknown)]]="Female",Backend!$C$7,IF(Table1[[#This Row],[Fetal Sex (Male, Female or Unknown)]]="Unknown",Backend!$C$8,"Error"))),"")</f>
        <v/>
      </c>
      <c r="F9671" s="8" t="str">
        <f>IF(Table1[[#This Row],[Is Data Valid]]=TRUE,EXP(0.578+0.332*((Table1[[#This Row],[Gestation (days)]]+0.5)/7)-0.00354*((Table1[[#This Row],[Gestation (days)]]+0.5)/7)^2)*Table1[[#This Row],[BW40_3705]],"")</f>
        <v/>
      </c>
      <c r="G9671" s="2" t="str">
        <f>IF(Table1[[#This Row],[Is Data Valid]]=TRUE,((Table1[[#This Row],[Birthweight (grams)]]/Table1[[#This Row],[BW_GA]])-1)/(Backend!$B$4/100*Table1[[#This Row],[BW40_3705]]),"")</f>
        <v/>
      </c>
      <c r="H9671" s="7" t="str">
        <f>IF(Table1[[#This Row],[Is Data Valid]]=TRUE,((Table1[[#This Row],[Birthweight (grams)]]*0.9/Table1[[#This Row],[BW_GA]])-1)/(Backend!$B$4/100*Table1[[#This Row],[BW40_3705]]),"")</f>
        <v/>
      </c>
      <c r="I9671" s="7" t="str">
        <f>IF(Table1[[#This Row],[Is Data Valid]]=TRUE,((Table1[[#This Row],[Birthweight (grams)]]*1.1/Table1[[#This Row],[BW_GA]])-1)/(Backend!$B$4/100*Table1[[#This Row],[BW40_3705]]),"")</f>
        <v/>
      </c>
      <c r="J9671" s="7" t="str">
        <f>IF(Table1[[#This Row],[Is Data Valid]]=TRUE,_xlfn.NORM.S.DIST(Table1[[#This Row],[Birthweight Z-Score]],TRUE)*100,"")</f>
        <v/>
      </c>
      <c r="K9671" s="7" t="str">
        <f>IF(Table1[[#This Row],[Is Data Valid]]=TRUE,_xlfn.NORM.S.DIST(Table1[[#This Row],[Birthweight Z-Score (BW-10%)]],TRUE)*100,"")</f>
        <v/>
      </c>
      <c r="L9671" s="7" t="str">
        <f>IF(Table1[[#This Row],[Is Data Valid]]=TRUE,_xlfn.NORM.S.DIST(Table1[[#This Row],[Birthweight Z-Score (BW+10%)]],TRUE)*100,"")</f>
        <v/>
      </c>
    </row>
    <row r="9672" spans="1:12" x14ac:dyDescent="0.35">
      <c r="A9672" s="3"/>
      <c r="B9672" s="2"/>
      <c r="C9672" s="2"/>
      <c r="D9672" s="2" t="b">
        <f>IF(AND(NOT(ISBLANK(Table1[[#This Row],[Fetal Sex (Male, Female or Unknown)]])),ISNUMBER(Table1[[#This Row],[Birthweight (grams)]]),ISNUMBER(Table1[[#This Row],[Gestation (days)]])),TRUE,FALSE)</f>
        <v>0</v>
      </c>
      <c r="E9672" s="2" t="str">
        <f>IF(Table1[[#This Row],[Is Data Valid]]=TRUE,IF(Table1[[#This Row],[Fetal Sex (Male, Female or Unknown)]]="Male",Backend!$C$6,IF(Table1[[#This Row],[Fetal Sex (Male, Female or Unknown)]]="Female",Backend!$C$7,IF(Table1[[#This Row],[Fetal Sex (Male, Female or Unknown)]]="Unknown",Backend!$C$8,"Error"))),"")</f>
        <v/>
      </c>
      <c r="F9672" s="8" t="str">
        <f>IF(Table1[[#This Row],[Is Data Valid]]=TRUE,EXP(0.578+0.332*((Table1[[#This Row],[Gestation (days)]]+0.5)/7)-0.00354*((Table1[[#This Row],[Gestation (days)]]+0.5)/7)^2)*Table1[[#This Row],[BW40_3705]],"")</f>
        <v/>
      </c>
      <c r="G9672" s="2" t="str">
        <f>IF(Table1[[#This Row],[Is Data Valid]]=TRUE,((Table1[[#This Row],[Birthweight (grams)]]/Table1[[#This Row],[BW_GA]])-1)/(Backend!$B$4/100*Table1[[#This Row],[BW40_3705]]),"")</f>
        <v/>
      </c>
      <c r="H9672" s="7" t="str">
        <f>IF(Table1[[#This Row],[Is Data Valid]]=TRUE,((Table1[[#This Row],[Birthweight (grams)]]*0.9/Table1[[#This Row],[BW_GA]])-1)/(Backend!$B$4/100*Table1[[#This Row],[BW40_3705]]),"")</f>
        <v/>
      </c>
      <c r="I9672" s="7" t="str">
        <f>IF(Table1[[#This Row],[Is Data Valid]]=TRUE,((Table1[[#This Row],[Birthweight (grams)]]*1.1/Table1[[#This Row],[BW_GA]])-1)/(Backend!$B$4/100*Table1[[#This Row],[BW40_3705]]),"")</f>
        <v/>
      </c>
      <c r="J9672" s="7" t="str">
        <f>IF(Table1[[#This Row],[Is Data Valid]]=TRUE,_xlfn.NORM.S.DIST(Table1[[#This Row],[Birthweight Z-Score]],TRUE)*100,"")</f>
        <v/>
      </c>
      <c r="K9672" s="7" t="str">
        <f>IF(Table1[[#This Row],[Is Data Valid]]=TRUE,_xlfn.NORM.S.DIST(Table1[[#This Row],[Birthweight Z-Score (BW-10%)]],TRUE)*100,"")</f>
        <v/>
      </c>
      <c r="L9672" s="7" t="str">
        <f>IF(Table1[[#This Row],[Is Data Valid]]=TRUE,_xlfn.NORM.S.DIST(Table1[[#This Row],[Birthweight Z-Score (BW+10%)]],TRUE)*100,"")</f>
        <v/>
      </c>
    </row>
    <row r="9673" spans="1:12" x14ac:dyDescent="0.35">
      <c r="A9673" s="3"/>
      <c r="B9673" s="2"/>
      <c r="C9673" s="2"/>
      <c r="D9673" s="2" t="b">
        <f>IF(AND(NOT(ISBLANK(Table1[[#This Row],[Fetal Sex (Male, Female or Unknown)]])),ISNUMBER(Table1[[#This Row],[Birthweight (grams)]]),ISNUMBER(Table1[[#This Row],[Gestation (days)]])),TRUE,FALSE)</f>
        <v>0</v>
      </c>
      <c r="E9673" s="2" t="str">
        <f>IF(Table1[[#This Row],[Is Data Valid]]=TRUE,IF(Table1[[#This Row],[Fetal Sex (Male, Female or Unknown)]]="Male",Backend!$C$6,IF(Table1[[#This Row],[Fetal Sex (Male, Female or Unknown)]]="Female",Backend!$C$7,IF(Table1[[#This Row],[Fetal Sex (Male, Female or Unknown)]]="Unknown",Backend!$C$8,"Error"))),"")</f>
        <v/>
      </c>
      <c r="F9673" s="8" t="str">
        <f>IF(Table1[[#This Row],[Is Data Valid]]=TRUE,EXP(0.578+0.332*((Table1[[#This Row],[Gestation (days)]]+0.5)/7)-0.00354*((Table1[[#This Row],[Gestation (days)]]+0.5)/7)^2)*Table1[[#This Row],[BW40_3705]],"")</f>
        <v/>
      </c>
      <c r="G9673" s="2" t="str">
        <f>IF(Table1[[#This Row],[Is Data Valid]]=TRUE,((Table1[[#This Row],[Birthweight (grams)]]/Table1[[#This Row],[BW_GA]])-1)/(Backend!$B$4/100*Table1[[#This Row],[BW40_3705]]),"")</f>
        <v/>
      </c>
      <c r="H9673" s="7" t="str">
        <f>IF(Table1[[#This Row],[Is Data Valid]]=TRUE,((Table1[[#This Row],[Birthweight (grams)]]*0.9/Table1[[#This Row],[BW_GA]])-1)/(Backend!$B$4/100*Table1[[#This Row],[BW40_3705]]),"")</f>
        <v/>
      </c>
      <c r="I9673" s="7" t="str">
        <f>IF(Table1[[#This Row],[Is Data Valid]]=TRUE,((Table1[[#This Row],[Birthweight (grams)]]*1.1/Table1[[#This Row],[BW_GA]])-1)/(Backend!$B$4/100*Table1[[#This Row],[BW40_3705]]),"")</f>
        <v/>
      </c>
      <c r="J9673" s="7" t="str">
        <f>IF(Table1[[#This Row],[Is Data Valid]]=TRUE,_xlfn.NORM.S.DIST(Table1[[#This Row],[Birthweight Z-Score]],TRUE)*100,"")</f>
        <v/>
      </c>
      <c r="K9673" s="7" t="str">
        <f>IF(Table1[[#This Row],[Is Data Valid]]=TRUE,_xlfn.NORM.S.DIST(Table1[[#This Row],[Birthweight Z-Score (BW-10%)]],TRUE)*100,"")</f>
        <v/>
      </c>
      <c r="L9673" s="7" t="str">
        <f>IF(Table1[[#This Row],[Is Data Valid]]=TRUE,_xlfn.NORM.S.DIST(Table1[[#This Row],[Birthweight Z-Score (BW+10%)]],TRUE)*100,"")</f>
        <v/>
      </c>
    </row>
    <row r="9674" spans="1:12" x14ac:dyDescent="0.35">
      <c r="A9674" s="3"/>
      <c r="B9674" s="2"/>
      <c r="C9674" s="2"/>
      <c r="D9674" s="2" t="b">
        <f>IF(AND(NOT(ISBLANK(Table1[[#This Row],[Fetal Sex (Male, Female or Unknown)]])),ISNUMBER(Table1[[#This Row],[Birthweight (grams)]]),ISNUMBER(Table1[[#This Row],[Gestation (days)]])),TRUE,FALSE)</f>
        <v>0</v>
      </c>
      <c r="E9674" s="2" t="str">
        <f>IF(Table1[[#This Row],[Is Data Valid]]=TRUE,IF(Table1[[#This Row],[Fetal Sex (Male, Female or Unknown)]]="Male",Backend!$C$6,IF(Table1[[#This Row],[Fetal Sex (Male, Female or Unknown)]]="Female",Backend!$C$7,IF(Table1[[#This Row],[Fetal Sex (Male, Female or Unknown)]]="Unknown",Backend!$C$8,"Error"))),"")</f>
        <v/>
      </c>
      <c r="F9674" s="8" t="str">
        <f>IF(Table1[[#This Row],[Is Data Valid]]=TRUE,EXP(0.578+0.332*((Table1[[#This Row],[Gestation (days)]]+0.5)/7)-0.00354*((Table1[[#This Row],[Gestation (days)]]+0.5)/7)^2)*Table1[[#This Row],[BW40_3705]],"")</f>
        <v/>
      </c>
      <c r="G9674" s="2" t="str">
        <f>IF(Table1[[#This Row],[Is Data Valid]]=TRUE,((Table1[[#This Row],[Birthweight (grams)]]/Table1[[#This Row],[BW_GA]])-1)/(Backend!$B$4/100*Table1[[#This Row],[BW40_3705]]),"")</f>
        <v/>
      </c>
      <c r="H9674" s="7" t="str">
        <f>IF(Table1[[#This Row],[Is Data Valid]]=TRUE,((Table1[[#This Row],[Birthweight (grams)]]*0.9/Table1[[#This Row],[BW_GA]])-1)/(Backend!$B$4/100*Table1[[#This Row],[BW40_3705]]),"")</f>
        <v/>
      </c>
      <c r="I9674" s="7" t="str">
        <f>IF(Table1[[#This Row],[Is Data Valid]]=TRUE,((Table1[[#This Row],[Birthweight (grams)]]*1.1/Table1[[#This Row],[BW_GA]])-1)/(Backend!$B$4/100*Table1[[#This Row],[BW40_3705]]),"")</f>
        <v/>
      </c>
      <c r="J9674" s="7" t="str">
        <f>IF(Table1[[#This Row],[Is Data Valid]]=TRUE,_xlfn.NORM.S.DIST(Table1[[#This Row],[Birthweight Z-Score]],TRUE)*100,"")</f>
        <v/>
      </c>
      <c r="K9674" s="7" t="str">
        <f>IF(Table1[[#This Row],[Is Data Valid]]=TRUE,_xlfn.NORM.S.DIST(Table1[[#This Row],[Birthweight Z-Score (BW-10%)]],TRUE)*100,"")</f>
        <v/>
      </c>
      <c r="L9674" s="7" t="str">
        <f>IF(Table1[[#This Row],[Is Data Valid]]=TRUE,_xlfn.NORM.S.DIST(Table1[[#This Row],[Birthweight Z-Score (BW+10%)]],TRUE)*100,"")</f>
        <v/>
      </c>
    </row>
    <row r="9675" spans="1:12" x14ac:dyDescent="0.35">
      <c r="A9675" s="3"/>
      <c r="B9675" s="2"/>
      <c r="C9675" s="2"/>
      <c r="D9675" s="2" t="b">
        <f>IF(AND(NOT(ISBLANK(Table1[[#This Row],[Fetal Sex (Male, Female or Unknown)]])),ISNUMBER(Table1[[#This Row],[Birthweight (grams)]]),ISNUMBER(Table1[[#This Row],[Gestation (days)]])),TRUE,FALSE)</f>
        <v>0</v>
      </c>
      <c r="E9675" s="2" t="str">
        <f>IF(Table1[[#This Row],[Is Data Valid]]=TRUE,IF(Table1[[#This Row],[Fetal Sex (Male, Female or Unknown)]]="Male",Backend!$C$6,IF(Table1[[#This Row],[Fetal Sex (Male, Female or Unknown)]]="Female",Backend!$C$7,IF(Table1[[#This Row],[Fetal Sex (Male, Female or Unknown)]]="Unknown",Backend!$C$8,"Error"))),"")</f>
        <v/>
      </c>
      <c r="F9675" s="8" t="str">
        <f>IF(Table1[[#This Row],[Is Data Valid]]=TRUE,EXP(0.578+0.332*((Table1[[#This Row],[Gestation (days)]]+0.5)/7)-0.00354*((Table1[[#This Row],[Gestation (days)]]+0.5)/7)^2)*Table1[[#This Row],[BW40_3705]],"")</f>
        <v/>
      </c>
      <c r="G9675" s="2" t="str">
        <f>IF(Table1[[#This Row],[Is Data Valid]]=TRUE,((Table1[[#This Row],[Birthweight (grams)]]/Table1[[#This Row],[BW_GA]])-1)/(Backend!$B$4/100*Table1[[#This Row],[BW40_3705]]),"")</f>
        <v/>
      </c>
      <c r="H9675" s="7" t="str">
        <f>IF(Table1[[#This Row],[Is Data Valid]]=TRUE,((Table1[[#This Row],[Birthweight (grams)]]*0.9/Table1[[#This Row],[BW_GA]])-1)/(Backend!$B$4/100*Table1[[#This Row],[BW40_3705]]),"")</f>
        <v/>
      </c>
      <c r="I9675" s="7" t="str">
        <f>IF(Table1[[#This Row],[Is Data Valid]]=TRUE,((Table1[[#This Row],[Birthweight (grams)]]*1.1/Table1[[#This Row],[BW_GA]])-1)/(Backend!$B$4/100*Table1[[#This Row],[BW40_3705]]),"")</f>
        <v/>
      </c>
      <c r="J9675" s="7" t="str">
        <f>IF(Table1[[#This Row],[Is Data Valid]]=TRUE,_xlfn.NORM.S.DIST(Table1[[#This Row],[Birthweight Z-Score]],TRUE)*100,"")</f>
        <v/>
      </c>
      <c r="K9675" s="7" t="str">
        <f>IF(Table1[[#This Row],[Is Data Valid]]=TRUE,_xlfn.NORM.S.DIST(Table1[[#This Row],[Birthweight Z-Score (BW-10%)]],TRUE)*100,"")</f>
        <v/>
      </c>
      <c r="L9675" s="7" t="str">
        <f>IF(Table1[[#This Row],[Is Data Valid]]=TRUE,_xlfn.NORM.S.DIST(Table1[[#This Row],[Birthweight Z-Score (BW+10%)]],TRUE)*100,"")</f>
        <v/>
      </c>
    </row>
    <row r="9676" spans="1:12" x14ac:dyDescent="0.35">
      <c r="A9676" s="3"/>
      <c r="B9676" s="2"/>
      <c r="C9676" s="2"/>
      <c r="D9676" s="2" t="b">
        <f>IF(AND(NOT(ISBLANK(Table1[[#This Row],[Fetal Sex (Male, Female or Unknown)]])),ISNUMBER(Table1[[#This Row],[Birthweight (grams)]]),ISNUMBER(Table1[[#This Row],[Gestation (days)]])),TRUE,FALSE)</f>
        <v>0</v>
      </c>
      <c r="E9676" s="2" t="str">
        <f>IF(Table1[[#This Row],[Is Data Valid]]=TRUE,IF(Table1[[#This Row],[Fetal Sex (Male, Female or Unknown)]]="Male",Backend!$C$6,IF(Table1[[#This Row],[Fetal Sex (Male, Female or Unknown)]]="Female",Backend!$C$7,IF(Table1[[#This Row],[Fetal Sex (Male, Female or Unknown)]]="Unknown",Backend!$C$8,"Error"))),"")</f>
        <v/>
      </c>
      <c r="F9676" s="8" t="str">
        <f>IF(Table1[[#This Row],[Is Data Valid]]=TRUE,EXP(0.578+0.332*((Table1[[#This Row],[Gestation (days)]]+0.5)/7)-0.00354*((Table1[[#This Row],[Gestation (days)]]+0.5)/7)^2)*Table1[[#This Row],[BW40_3705]],"")</f>
        <v/>
      </c>
      <c r="G9676" s="2" t="str">
        <f>IF(Table1[[#This Row],[Is Data Valid]]=TRUE,((Table1[[#This Row],[Birthweight (grams)]]/Table1[[#This Row],[BW_GA]])-1)/(Backend!$B$4/100*Table1[[#This Row],[BW40_3705]]),"")</f>
        <v/>
      </c>
      <c r="H9676" s="7" t="str">
        <f>IF(Table1[[#This Row],[Is Data Valid]]=TRUE,((Table1[[#This Row],[Birthweight (grams)]]*0.9/Table1[[#This Row],[BW_GA]])-1)/(Backend!$B$4/100*Table1[[#This Row],[BW40_3705]]),"")</f>
        <v/>
      </c>
      <c r="I9676" s="7" t="str">
        <f>IF(Table1[[#This Row],[Is Data Valid]]=TRUE,((Table1[[#This Row],[Birthweight (grams)]]*1.1/Table1[[#This Row],[BW_GA]])-1)/(Backend!$B$4/100*Table1[[#This Row],[BW40_3705]]),"")</f>
        <v/>
      </c>
      <c r="J9676" s="7" t="str">
        <f>IF(Table1[[#This Row],[Is Data Valid]]=TRUE,_xlfn.NORM.S.DIST(Table1[[#This Row],[Birthweight Z-Score]],TRUE)*100,"")</f>
        <v/>
      </c>
      <c r="K9676" s="7" t="str">
        <f>IF(Table1[[#This Row],[Is Data Valid]]=TRUE,_xlfn.NORM.S.DIST(Table1[[#This Row],[Birthweight Z-Score (BW-10%)]],TRUE)*100,"")</f>
        <v/>
      </c>
      <c r="L9676" s="7" t="str">
        <f>IF(Table1[[#This Row],[Is Data Valid]]=TRUE,_xlfn.NORM.S.DIST(Table1[[#This Row],[Birthweight Z-Score (BW+10%)]],TRUE)*100,"")</f>
        <v/>
      </c>
    </row>
    <row r="9677" spans="1:12" x14ac:dyDescent="0.35">
      <c r="A9677" s="3"/>
      <c r="B9677" s="2"/>
      <c r="C9677" s="2"/>
      <c r="D9677" s="2" t="b">
        <f>IF(AND(NOT(ISBLANK(Table1[[#This Row],[Fetal Sex (Male, Female or Unknown)]])),ISNUMBER(Table1[[#This Row],[Birthweight (grams)]]),ISNUMBER(Table1[[#This Row],[Gestation (days)]])),TRUE,FALSE)</f>
        <v>0</v>
      </c>
      <c r="E9677" s="2" t="str">
        <f>IF(Table1[[#This Row],[Is Data Valid]]=TRUE,IF(Table1[[#This Row],[Fetal Sex (Male, Female or Unknown)]]="Male",Backend!$C$6,IF(Table1[[#This Row],[Fetal Sex (Male, Female or Unknown)]]="Female",Backend!$C$7,IF(Table1[[#This Row],[Fetal Sex (Male, Female or Unknown)]]="Unknown",Backend!$C$8,"Error"))),"")</f>
        <v/>
      </c>
      <c r="F9677" s="8" t="str">
        <f>IF(Table1[[#This Row],[Is Data Valid]]=TRUE,EXP(0.578+0.332*((Table1[[#This Row],[Gestation (days)]]+0.5)/7)-0.00354*((Table1[[#This Row],[Gestation (days)]]+0.5)/7)^2)*Table1[[#This Row],[BW40_3705]],"")</f>
        <v/>
      </c>
      <c r="G9677" s="2" t="str">
        <f>IF(Table1[[#This Row],[Is Data Valid]]=TRUE,((Table1[[#This Row],[Birthweight (grams)]]/Table1[[#This Row],[BW_GA]])-1)/(Backend!$B$4/100*Table1[[#This Row],[BW40_3705]]),"")</f>
        <v/>
      </c>
      <c r="H9677" s="7" t="str">
        <f>IF(Table1[[#This Row],[Is Data Valid]]=TRUE,((Table1[[#This Row],[Birthweight (grams)]]*0.9/Table1[[#This Row],[BW_GA]])-1)/(Backend!$B$4/100*Table1[[#This Row],[BW40_3705]]),"")</f>
        <v/>
      </c>
      <c r="I9677" s="7" t="str">
        <f>IF(Table1[[#This Row],[Is Data Valid]]=TRUE,((Table1[[#This Row],[Birthweight (grams)]]*1.1/Table1[[#This Row],[BW_GA]])-1)/(Backend!$B$4/100*Table1[[#This Row],[BW40_3705]]),"")</f>
        <v/>
      </c>
      <c r="J9677" s="7" t="str">
        <f>IF(Table1[[#This Row],[Is Data Valid]]=TRUE,_xlfn.NORM.S.DIST(Table1[[#This Row],[Birthweight Z-Score]],TRUE)*100,"")</f>
        <v/>
      </c>
      <c r="K9677" s="7" t="str">
        <f>IF(Table1[[#This Row],[Is Data Valid]]=TRUE,_xlfn.NORM.S.DIST(Table1[[#This Row],[Birthweight Z-Score (BW-10%)]],TRUE)*100,"")</f>
        <v/>
      </c>
      <c r="L9677" s="7" t="str">
        <f>IF(Table1[[#This Row],[Is Data Valid]]=TRUE,_xlfn.NORM.S.DIST(Table1[[#This Row],[Birthweight Z-Score (BW+10%)]],TRUE)*100,"")</f>
        <v/>
      </c>
    </row>
    <row r="9678" spans="1:12" x14ac:dyDescent="0.35">
      <c r="A9678" s="3"/>
      <c r="B9678" s="2"/>
      <c r="C9678" s="2"/>
      <c r="D9678" s="2" t="b">
        <f>IF(AND(NOT(ISBLANK(Table1[[#This Row],[Fetal Sex (Male, Female or Unknown)]])),ISNUMBER(Table1[[#This Row],[Birthweight (grams)]]),ISNUMBER(Table1[[#This Row],[Gestation (days)]])),TRUE,FALSE)</f>
        <v>0</v>
      </c>
      <c r="E9678" s="2" t="str">
        <f>IF(Table1[[#This Row],[Is Data Valid]]=TRUE,IF(Table1[[#This Row],[Fetal Sex (Male, Female or Unknown)]]="Male",Backend!$C$6,IF(Table1[[#This Row],[Fetal Sex (Male, Female or Unknown)]]="Female",Backend!$C$7,IF(Table1[[#This Row],[Fetal Sex (Male, Female or Unknown)]]="Unknown",Backend!$C$8,"Error"))),"")</f>
        <v/>
      </c>
      <c r="F9678" s="8" t="str">
        <f>IF(Table1[[#This Row],[Is Data Valid]]=TRUE,EXP(0.578+0.332*((Table1[[#This Row],[Gestation (days)]]+0.5)/7)-0.00354*((Table1[[#This Row],[Gestation (days)]]+0.5)/7)^2)*Table1[[#This Row],[BW40_3705]],"")</f>
        <v/>
      </c>
      <c r="G9678" s="2" t="str">
        <f>IF(Table1[[#This Row],[Is Data Valid]]=TRUE,((Table1[[#This Row],[Birthweight (grams)]]/Table1[[#This Row],[BW_GA]])-1)/(Backend!$B$4/100*Table1[[#This Row],[BW40_3705]]),"")</f>
        <v/>
      </c>
      <c r="H9678" s="7" t="str">
        <f>IF(Table1[[#This Row],[Is Data Valid]]=TRUE,((Table1[[#This Row],[Birthweight (grams)]]*0.9/Table1[[#This Row],[BW_GA]])-1)/(Backend!$B$4/100*Table1[[#This Row],[BW40_3705]]),"")</f>
        <v/>
      </c>
      <c r="I9678" s="7" t="str">
        <f>IF(Table1[[#This Row],[Is Data Valid]]=TRUE,((Table1[[#This Row],[Birthweight (grams)]]*1.1/Table1[[#This Row],[BW_GA]])-1)/(Backend!$B$4/100*Table1[[#This Row],[BW40_3705]]),"")</f>
        <v/>
      </c>
      <c r="J9678" s="7" t="str">
        <f>IF(Table1[[#This Row],[Is Data Valid]]=TRUE,_xlfn.NORM.S.DIST(Table1[[#This Row],[Birthweight Z-Score]],TRUE)*100,"")</f>
        <v/>
      </c>
      <c r="K9678" s="7" t="str">
        <f>IF(Table1[[#This Row],[Is Data Valid]]=TRUE,_xlfn.NORM.S.DIST(Table1[[#This Row],[Birthweight Z-Score (BW-10%)]],TRUE)*100,"")</f>
        <v/>
      </c>
      <c r="L9678" s="7" t="str">
        <f>IF(Table1[[#This Row],[Is Data Valid]]=TRUE,_xlfn.NORM.S.DIST(Table1[[#This Row],[Birthweight Z-Score (BW+10%)]],TRUE)*100,"")</f>
        <v/>
      </c>
    </row>
    <row r="9679" spans="1:12" x14ac:dyDescent="0.35">
      <c r="A9679" s="3"/>
      <c r="B9679" s="2"/>
      <c r="C9679" s="2"/>
      <c r="D9679" s="2" t="b">
        <f>IF(AND(NOT(ISBLANK(Table1[[#This Row],[Fetal Sex (Male, Female or Unknown)]])),ISNUMBER(Table1[[#This Row],[Birthweight (grams)]]),ISNUMBER(Table1[[#This Row],[Gestation (days)]])),TRUE,FALSE)</f>
        <v>0</v>
      </c>
      <c r="E9679" s="2" t="str">
        <f>IF(Table1[[#This Row],[Is Data Valid]]=TRUE,IF(Table1[[#This Row],[Fetal Sex (Male, Female or Unknown)]]="Male",Backend!$C$6,IF(Table1[[#This Row],[Fetal Sex (Male, Female or Unknown)]]="Female",Backend!$C$7,IF(Table1[[#This Row],[Fetal Sex (Male, Female or Unknown)]]="Unknown",Backend!$C$8,"Error"))),"")</f>
        <v/>
      </c>
      <c r="F9679" s="8" t="str">
        <f>IF(Table1[[#This Row],[Is Data Valid]]=TRUE,EXP(0.578+0.332*((Table1[[#This Row],[Gestation (days)]]+0.5)/7)-0.00354*((Table1[[#This Row],[Gestation (days)]]+0.5)/7)^2)*Table1[[#This Row],[BW40_3705]],"")</f>
        <v/>
      </c>
      <c r="G9679" s="2" t="str">
        <f>IF(Table1[[#This Row],[Is Data Valid]]=TRUE,((Table1[[#This Row],[Birthweight (grams)]]/Table1[[#This Row],[BW_GA]])-1)/(Backend!$B$4/100*Table1[[#This Row],[BW40_3705]]),"")</f>
        <v/>
      </c>
      <c r="H9679" s="7" t="str">
        <f>IF(Table1[[#This Row],[Is Data Valid]]=TRUE,((Table1[[#This Row],[Birthweight (grams)]]*0.9/Table1[[#This Row],[BW_GA]])-1)/(Backend!$B$4/100*Table1[[#This Row],[BW40_3705]]),"")</f>
        <v/>
      </c>
      <c r="I9679" s="7" t="str">
        <f>IF(Table1[[#This Row],[Is Data Valid]]=TRUE,((Table1[[#This Row],[Birthweight (grams)]]*1.1/Table1[[#This Row],[BW_GA]])-1)/(Backend!$B$4/100*Table1[[#This Row],[BW40_3705]]),"")</f>
        <v/>
      </c>
      <c r="J9679" s="7" t="str">
        <f>IF(Table1[[#This Row],[Is Data Valid]]=TRUE,_xlfn.NORM.S.DIST(Table1[[#This Row],[Birthweight Z-Score]],TRUE)*100,"")</f>
        <v/>
      </c>
      <c r="K9679" s="7" t="str">
        <f>IF(Table1[[#This Row],[Is Data Valid]]=TRUE,_xlfn.NORM.S.DIST(Table1[[#This Row],[Birthweight Z-Score (BW-10%)]],TRUE)*100,"")</f>
        <v/>
      </c>
      <c r="L9679" s="7" t="str">
        <f>IF(Table1[[#This Row],[Is Data Valid]]=TRUE,_xlfn.NORM.S.DIST(Table1[[#This Row],[Birthweight Z-Score (BW+10%)]],TRUE)*100,"")</f>
        <v/>
      </c>
    </row>
    <row r="9680" spans="1:12" x14ac:dyDescent="0.35">
      <c r="A9680" s="3"/>
      <c r="B9680" s="2"/>
      <c r="C9680" s="2"/>
      <c r="D9680" s="2" t="b">
        <f>IF(AND(NOT(ISBLANK(Table1[[#This Row],[Fetal Sex (Male, Female or Unknown)]])),ISNUMBER(Table1[[#This Row],[Birthweight (grams)]]),ISNUMBER(Table1[[#This Row],[Gestation (days)]])),TRUE,FALSE)</f>
        <v>0</v>
      </c>
      <c r="E9680" s="2" t="str">
        <f>IF(Table1[[#This Row],[Is Data Valid]]=TRUE,IF(Table1[[#This Row],[Fetal Sex (Male, Female or Unknown)]]="Male",Backend!$C$6,IF(Table1[[#This Row],[Fetal Sex (Male, Female or Unknown)]]="Female",Backend!$C$7,IF(Table1[[#This Row],[Fetal Sex (Male, Female or Unknown)]]="Unknown",Backend!$C$8,"Error"))),"")</f>
        <v/>
      </c>
      <c r="F9680" s="8" t="str">
        <f>IF(Table1[[#This Row],[Is Data Valid]]=TRUE,EXP(0.578+0.332*((Table1[[#This Row],[Gestation (days)]]+0.5)/7)-0.00354*((Table1[[#This Row],[Gestation (days)]]+0.5)/7)^2)*Table1[[#This Row],[BW40_3705]],"")</f>
        <v/>
      </c>
      <c r="G9680" s="2" t="str">
        <f>IF(Table1[[#This Row],[Is Data Valid]]=TRUE,((Table1[[#This Row],[Birthweight (grams)]]/Table1[[#This Row],[BW_GA]])-1)/(Backend!$B$4/100*Table1[[#This Row],[BW40_3705]]),"")</f>
        <v/>
      </c>
      <c r="H9680" s="7" t="str">
        <f>IF(Table1[[#This Row],[Is Data Valid]]=TRUE,((Table1[[#This Row],[Birthweight (grams)]]*0.9/Table1[[#This Row],[BW_GA]])-1)/(Backend!$B$4/100*Table1[[#This Row],[BW40_3705]]),"")</f>
        <v/>
      </c>
      <c r="I9680" s="7" t="str">
        <f>IF(Table1[[#This Row],[Is Data Valid]]=TRUE,((Table1[[#This Row],[Birthweight (grams)]]*1.1/Table1[[#This Row],[BW_GA]])-1)/(Backend!$B$4/100*Table1[[#This Row],[BW40_3705]]),"")</f>
        <v/>
      </c>
      <c r="J9680" s="7" t="str">
        <f>IF(Table1[[#This Row],[Is Data Valid]]=TRUE,_xlfn.NORM.S.DIST(Table1[[#This Row],[Birthweight Z-Score]],TRUE)*100,"")</f>
        <v/>
      </c>
      <c r="K9680" s="7" t="str">
        <f>IF(Table1[[#This Row],[Is Data Valid]]=TRUE,_xlfn.NORM.S.DIST(Table1[[#This Row],[Birthweight Z-Score (BW-10%)]],TRUE)*100,"")</f>
        <v/>
      </c>
      <c r="L9680" s="7" t="str">
        <f>IF(Table1[[#This Row],[Is Data Valid]]=TRUE,_xlfn.NORM.S.DIST(Table1[[#This Row],[Birthweight Z-Score (BW+10%)]],TRUE)*100,"")</f>
        <v/>
      </c>
    </row>
    <row r="9681" spans="1:12" x14ac:dyDescent="0.35">
      <c r="A9681" s="3"/>
      <c r="B9681" s="2"/>
      <c r="C9681" s="2"/>
      <c r="D9681" s="2" t="b">
        <f>IF(AND(NOT(ISBLANK(Table1[[#This Row],[Fetal Sex (Male, Female or Unknown)]])),ISNUMBER(Table1[[#This Row],[Birthweight (grams)]]),ISNUMBER(Table1[[#This Row],[Gestation (days)]])),TRUE,FALSE)</f>
        <v>0</v>
      </c>
      <c r="E9681" s="2" t="str">
        <f>IF(Table1[[#This Row],[Is Data Valid]]=TRUE,IF(Table1[[#This Row],[Fetal Sex (Male, Female or Unknown)]]="Male",Backend!$C$6,IF(Table1[[#This Row],[Fetal Sex (Male, Female or Unknown)]]="Female",Backend!$C$7,IF(Table1[[#This Row],[Fetal Sex (Male, Female or Unknown)]]="Unknown",Backend!$C$8,"Error"))),"")</f>
        <v/>
      </c>
      <c r="F9681" s="8" t="str">
        <f>IF(Table1[[#This Row],[Is Data Valid]]=TRUE,EXP(0.578+0.332*((Table1[[#This Row],[Gestation (days)]]+0.5)/7)-0.00354*((Table1[[#This Row],[Gestation (days)]]+0.5)/7)^2)*Table1[[#This Row],[BW40_3705]],"")</f>
        <v/>
      </c>
      <c r="G9681" s="2" t="str">
        <f>IF(Table1[[#This Row],[Is Data Valid]]=TRUE,((Table1[[#This Row],[Birthweight (grams)]]/Table1[[#This Row],[BW_GA]])-1)/(Backend!$B$4/100*Table1[[#This Row],[BW40_3705]]),"")</f>
        <v/>
      </c>
      <c r="H9681" s="7" t="str">
        <f>IF(Table1[[#This Row],[Is Data Valid]]=TRUE,((Table1[[#This Row],[Birthweight (grams)]]*0.9/Table1[[#This Row],[BW_GA]])-1)/(Backend!$B$4/100*Table1[[#This Row],[BW40_3705]]),"")</f>
        <v/>
      </c>
      <c r="I9681" s="7" t="str">
        <f>IF(Table1[[#This Row],[Is Data Valid]]=TRUE,((Table1[[#This Row],[Birthweight (grams)]]*1.1/Table1[[#This Row],[BW_GA]])-1)/(Backend!$B$4/100*Table1[[#This Row],[BW40_3705]]),"")</f>
        <v/>
      </c>
      <c r="J9681" s="7" t="str">
        <f>IF(Table1[[#This Row],[Is Data Valid]]=TRUE,_xlfn.NORM.S.DIST(Table1[[#This Row],[Birthweight Z-Score]],TRUE)*100,"")</f>
        <v/>
      </c>
      <c r="K9681" s="7" t="str">
        <f>IF(Table1[[#This Row],[Is Data Valid]]=TRUE,_xlfn.NORM.S.DIST(Table1[[#This Row],[Birthweight Z-Score (BW-10%)]],TRUE)*100,"")</f>
        <v/>
      </c>
      <c r="L9681" s="7" t="str">
        <f>IF(Table1[[#This Row],[Is Data Valid]]=TRUE,_xlfn.NORM.S.DIST(Table1[[#This Row],[Birthweight Z-Score (BW+10%)]],TRUE)*100,"")</f>
        <v/>
      </c>
    </row>
    <row r="9682" spans="1:12" x14ac:dyDescent="0.35">
      <c r="A9682" s="3"/>
      <c r="B9682" s="2"/>
      <c r="C9682" s="2"/>
      <c r="D9682" s="2" t="b">
        <f>IF(AND(NOT(ISBLANK(Table1[[#This Row],[Fetal Sex (Male, Female or Unknown)]])),ISNUMBER(Table1[[#This Row],[Birthweight (grams)]]),ISNUMBER(Table1[[#This Row],[Gestation (days)]])),TRUE,FALSE)</f>
        <v>0</v>
      </c>
      <c r="E9682" s="2" t="str">
        <f>IF(Table1[[#This Row],[Is Data Valid]]=TRUE,IF(Table1[[#This Row],[Fetal Sex (Male, Female or Unknown)]]="Male",Backend!$C$6,IF(Table1[[#This Row],[Fetal Sex (Male, Female or Unknown)]]="Female",Backend!$C$7,IF(Table1[[#This Row],[Fetal Sex (Male, Female or Unknown)]]="Unknown",Backend!$C$8,"Error"))),"")</f>
        <v/>
      </c>
      <c r="F9682" s="8" t="str">
        <f>IF(Table1[[#This Row],[Is Data Valid]]=TRUE,EXP(0.578+0.332*((Table1[[#This Row],[Gestation (days)]]+0.5)/7)-0.00354*((Table1[[#This Row],[Gestation (days)]]+0.5)/7)^2)*Table1[[#This Row],[BW40_3705]],"")</f>
        <v/>
      </c>
      <c r="G9682" s="2" t="str">
        <f>IF(Table1[[#This Row],[Is Data Valid]]=TRUE,((Table1[[#This Row],[Birthweight (grams)]]/Table1[[#This Row],[BW_GA]])-1)/(Backend!$B$4/100*Table1[[#This Row],[BW40_3705]]),"")</f>
        <v/>
      </c>
      <c r="H9682" s="7" t="str">
        <f>IF(Table1[[#This Row],[Is Data Valid]]=TRUE,((Table1[[#This Row],[Birthweight (grams)]]*0.9/Table1[[#This Row],[BW_GA]])-1)/(Backend!$B$4/100*Table1[[#This Row],[BW40_3705]]),"")</f>
        <v/>
      </c>
      <c r="I9682" s="7" t="str">
        <f>IF(Table1[[#This Row],[Is Data Valid]]=TRUE,((Table1[[#This Row],[Birthweight (grams)]]*1.1/Table1[[#This Row],[BW_GA]])-1)/(Backend!$B$4/100*Table1[[#This Row],[BW40_3705]]),"")</f>
        <v/>
      </c>
      <c r="J9682" s="7" t="str">
        <f>IF(Table1[[#This Row],[Is Data Valid]]=TRUE,_xlfn.NORM.S.DIST(Table1[[#This Row],[Birthweight Z-Score]],TRUE)*100,"")</f>
        <v/>
      </c>
      <c r="K9682" s="7" t="str">
        <f>IF(Table1[[#This Row],[Is Data Valid]]=TRUE,_xlfn.NORM.S.DIST(Table1[[#This Row],[Birthweight Z-Score (BW-10%)]],TRUE)*100,"")</f>
        <v/>
      </c>
      <c r="L9682" s="7" t="str">
        <f>IF(Table1[[#This Row],[Is Data Valid]]=TRUE,_xlfn.NORM.S.DIST(Table1[[#This Row],[Birthweight Z-Score (BW+10%)]],TRUE)*100,"")</f>
        <v/>
      </c>
    </row>
    <row r="9683" spans="1:12" x14ac:dyDescent="0.35">
      <c r="A9683" s="3"/>
      <c r="B9683" s="2"/>
      <c r="C9683" s="2"/>
      <c r="D9683" s="2" t="b">
        <f>IF(AND(NOT(ISBLANK(Table1[[#This Row],[Fetal Sex (Male, Female or Unknown)]])),ISNUMBER(Table1[[#This Row],[Birthweight (grams)]]),ISNUMBER(Table1[[#This Row],[Gestation (days)]])),TRUE,FALSE)</f>
        <v>0</v>
      </c>
      <c r="E9683" s="2" t="str">
        <f>IF(Table1[[#This Row],[Is Data Valid]]=TRUE,IF(Table1[[#This Row],[Fetal Sex (Male, Female or Unknown)]]="Male",Backend!$C$6,IF(Table1[[#This Row],[Fetal Sex (Male, Female or Unknown)]]="Female",Backend!$C$7,IF(Table1[[#This Row],[Fetal Sex (Male, Female or Unknown)]]="Unknown",Backend!$C$8,"Error"))),"")</f>
        <v/>
      </c>
      <c r="F9683" s="8" t="str">
        <f>IF(Table1[[#This Row],[Is Data Valid]]=TRUE,EXP(0.578+0.332*((Table1[[#This Row],[Gestation (days)]]+0.5)/7)-0.00354*((Table1[[#This Row],[Gestation (days)]]+0.5)/7)^2)*Table1[[#This Row],[BW40_3705]],"")</f>
        <v/>
      </c>
      <c r="G9683" s="2" t="str">
        <f>IF(Table1[[#This Row],[Is Data Valid]]=TRUE,((Table1[[#This Row],[Birthweight (grams)]]/Table1[[#This Row],[BW_GA]])-1)/(Backend!$B$4/100*Table1[[#This Row],[BW40_3705]]),"")</f>
        <v/>
      </c>
      <c r="H9683" s="7" t="str">
        <f>IF(Table1[[#This Row],[Is Data Valid]]=TRUE,((Table1[[#This Row],[Birthweight (grams)]]*0.9/Table1[[#This Row],[BW_GA]])-1)/(Backend!$B$4/100*Table1[[#This Row],[BW40_3705]]),"")</f>
        <v/>
      </c>
      <c r="I9683" s="7" t="str">
        <f>IF(Table1[[#This Row],[Is Data Valid]]=TRUE,((Table1[[#This Row],[Birthweight (grams)]]*1.1/Table1[[#This Row],[BW_GA]])-1)/(Backend!$B$4/100*Table1[[#This Row],[BW40_3705]]),"")</f>
        <v/>
      </c>
      <c r="J9683" s="7" t="str">
        <f>IF(Table1[[#This Row],[Is Data Valid]]=TRUE,_xlfn.NORM.S.DIST(Table1[[#This Row],[Birthweight Z-Score]],TRUE)*100,"")</f>
        <v/>
      </c>
      <c r="K9683" s="7" t="str">
        <f>IF(Table1[[#This Row],[Is Data Valid]]=TRUE,_xlfn.NORM.S.DIST(Table1[[#This Row],[Birthweight Z-Score (BW-10%)]],TRUE)*100,"")</f>
        <v/>
      </c>
      <c r="L9683" s="7" t="str">
        <f>IF(Table1[[#This Row],[Is Data Valid]]=TRUE,_xlfn.NORM.S.DIST(Table1[[#This Row],[Birthweight Z-Score (BW+10%)]],TRUE)*100,"")</f>
        <v/>
      </c>
    </row>
    <row r="9684" spans="1:12" x14ac:dyDescent="0.35">
      <c r="A9684" s="3"/>
      <c r="B9684" s="2"/>
      <c r="C9684" s="2"/>
      <c r="D9684" s="2" t="b">
        <f>IF(AND(NOT(ISBLANK(Table1[[#This Row],[Fetal Sex (Male, Female or Unknown)]])),ISNUMBER(Table1[[#This Row],[Birthweight (grams)]]),ISNUMBER(Table1[[#This Row],[Gestation (days)]])),TRUE,FALSE)</f>
        <v>0</v>
      </c>
      <c r="E9684" s="2" t="str">
        <f>IF(Table1[[#This Row],[Is Data Valid]]=TRUE,IF(Table1[[#This Row],[Fetal Sex (Male, Female or Unknown)]]="Male",Backend!$C$6,IF(Table1[[#This Row],[Fetal Sex (Male, Female or Unknown)]]="Female",Backend!$C$7,IF(Table1[[#This Row],[Fetal Sex (Male, Female or Unknown)]]="Unknown",Backend!$C$8,"Error"))),"")</f>
        <v/>
      </c>
      <c r="F9684" s="8" t="str">
        <f>IF(Table1[[#This Row],[Is Data Valid]]=TRUE,EXP(0.578+0.332*((Table1[[#This Row],[Gestation (days)]]+0.5)/7)-0.00354*((Table1[[#This Row],[Gestation (days)]]+0.5)/7)^2)*Table1[[#This Row],[BW40_3705]],"")</f>
        <v/>
      </c>
      <c r="G9684" s="2" t="str">
        <f>IF(Table1[[#This Row],[Is Data Valid]]=TRUE,((Table1[[#This Row],[Birthweight (grams)]]/Table1[[#This Row],[BW_GA]])-1)/(Backend!$B$4/100*Table1[[#This Row],[BW40_3705]]),"")</f>
        <v/>
      </c>
      <c r="H9684" s="7" t="str">
        <f>IF(Table1[[#This Row],[Is Data Valid]]=TRUE,((Table1[[#This Row],[Birthweight (grams)]]*0.9/Table1[[#This Row],[BW_GA]])-1)/(Backend!$B$4/100*Table1[[#This Row],[BW40_3705]]),"")</f>
        <v/>
      </c>
      <c r="I9684" s="7" t="str">
        <f>IF(Table1[[#This Row],[Is Data Valid]]=TRUE,((Table1[[#This Row],[Birthweight (grams)]]*1.1/Table1[[#This Row],[BW_GA]])-1)/(Backend!$B$4/100*Table1[[#This Row],[BW40_3705]]),"")</f>
        <v/>
      </c>
      <c r="J9684" s="7" t="str">
        <f>IF(Table1[[#This Row],[Is Data Valid]]=TRUE,_xlfn.NORM.S.DIST(Table1[[#This Row],[Birthweight Z-Score]],TRUE)*100,"")</f>
        <v/>
      </c>
      <c r="K9684" s="7" t="str">
        <f>IF(Table1[[#This Row],[Is Data Valid]]=TRUE,_xlfn.NORM.S.DIST(Table1[[#This Row],[Birthweight Z-Score (BW-10%)]],TRUE)*100,"")</f>
        <v/>
      </c>
      <c r="L9684" s="7" t="str">
        <f>IF(Table1[[#This Row],[Is Data Valid]]=TRUE,_xlfn.NORM.S.DIST(Table1[[#This Row],[Birthweight Z-Score (BW+10%)]],TRUE)*100,"")</f>
        <v/>
      </c>
    </row>
    <row r="9685" spans="1:12" x14ac:dyDescent="0.35">
      <c r="A9685" s="3"/>
      <c r="B9685" s="2"/>
      <c r="C9685" s="2"/>
      <c r="D9685" s="2" t="b">
        <f>IF(AND(NOT(ISBLANK(Table1[[#This Row],[Fetal Sex (Male, Female or Unknown)]])),ISNUMBER(Table1[[#This Row],[Birthweight (grams)]]),ISNUMBER(Table1[[#This Row],[Gestation (days)]])),TRUE,FALSE)</f>
        <v>0</v>
      </c>
      <c r="E9685" s="2" t="str">
        <f>IF(Table1[[#This Row],[Is Data Valid]]=TRUE,IF(Table1[[#This Row],[Fetal Sex (Male, Female or Unknown)]]="Male",Backend!$C$6,IF(Table1[[#This Row],[Fetal Sex (Male, Female or Unknown)]]="Female",Backend!$C$7,IF(Table1[[#This Row],[Fetal Sex (Male, Female or Unknown)]]="Unknown",Backend!$C$8,"Error"))),"")</f>
        <v/>
      </c>
      <c r="F9685" s="8" t="str">
        <f>IF(Table1[[#This Row],[Is Data Valid]]=TRUE,EXP(0.578+0.332*((Table1[[#This Row],[Gestation (days)]]+0.5)/7)-0.00354*((Table1[[#This Row],[Gestation (days)]]+0.5)/7)^2)*Table1[[#This Row],[BW40_3705]],"")</f>
        <v/>
      </c>
      <c r="G9685" s="2" t="str">
        <f>IF(Table1[[#This Row],[Is Data Valid]]=TRUE,((Table1[[#This Row],[Birthweight (grams)]]/Table1[[#This Row],[BW_GA]])-1)/(Backend!$B$4/100*Table1[[#This Row],[BW40_3705]]),"")</f>
        <v/>
      </c>
      <c r="H9685" s="7" t="str">
        <f>IF(Table1[[#This Row],[Is Data Valid]]=TRUE,((Table1[[#This Row],[Birthweight (grams)]]*0.9/Table1[[#This Row],[BW_GA]])-1)/(Backend!$B$4/100*Table1[[#This Row],[BW40_3705]]),"")</f>
        <v/>
      </c>
      <c r="I9685" s="7" t="str">
        <f>IF(Table1[[#This Row],[Is Data Valid]]=TRUE,((Table1[[#This Row],[Birthweight (grams)]]*1.1/Table1[[#This Row],[BW_GA]])-1)/(Backend!$B$4/100*Table1[[#This Row],[BW40_3705]]),"")</f>
        <v/>
      </c>
      <c r="J9685" s="7" t="str">
        <f>IF(Table1[[#This Row],[Is Data Valid]]=TRUE,_xlfn.NORM.S.DIST(Table1[[#This Row],[Birthweight Z-Score]],TRUE)*100,"")</f>
        <v/>
      </c>
      <c r="K9685" s="7" t="str">
        <f>IF(Table1[[#This Row],[Is Data Valid]]=TRUE,_xlfn.NORM.S.DIST(Table1[[#This Row],[Birthweight Z-Score (BW-10%)]],TRUE)*100,"")</f>
        <v/>
      </c>
      <c r="L9685" s="7" t="str">
        <f>IF(Table1[[#This Row],[Is Data Valid]]=TRUE,_xlfn.NORM.S.DIST(Table1[[#This Row],[Birthweight Z-Score (BW+10%)]],TRUE)*100,"")</f>
        <v/>
      </c>
    </row>
    <row r="9686" spans="1:12" x14ac:dyDescent="0.35">
      <c r="A9686" s="3"/>
      <c r="B9686" s="2"/>
      <c r="C9686" s="2"/>
      <c r="D9686" s="2" t="b">
        <f>IF(AND(NOT(ISBLANK(Table1[[#This Row],[Fetal Sex (Male, Female or Unknown)]])),ISNUMBER(Table1[[#This Row],[Birthweight (grams)]]),ISNUMBER(Table1[[#This Row],[Gestation (days)]])),TRUE,FALSE)</f>
        <v>0</v>
      </c>
      <c r="E9686" s="2" t="str">
        <f>IF(Table1[[#This Row],[Is Data Valid]]=TRUE,IF(Table1[[#This Row],[Fetal Sex (Male, Female or Unknown)]]="Male",Backend!$C$6,IF(Table1[[#This Row],[Fetal Sex (Male, Female or Unknown)]]="Female",Backend!$C$7,IF(Table1[[#This Row],[Fetal Sex (Male, Female or Unknown)]]="Unknown",Backend!$C$8,"Error"))),"")</f>
        <v/>
      </c>
      <c r="F9686" s="8" t="str">
        <f>IF(Table1[[#This Row],[Is Data Valid]]=TRUE,EXP(0.578+0.332*((Table1[[#This Row],[Gestation (days)]]+0.5)/7)-0.00354*((Table1[[#This Row],[Gestation (days)]]+0.5)/7)^2)*Table1[[#This Row],[BW40_3705]],"")</f>
        <v/>
      </c>
      <c r="G9686" s="2" t="str">
        <f>IF(Table1[[#This Row],[Is Data Valid]]=TRUE,((Table1[[#This Row],[Birthweight (grams)]]/Table1[[#This Row],[BW_GA]])-1)/(Backend!$B$4/100*Table1[[#This Row],[BW40_3705]]),"")</f>
        <v/>
      </c>
      <c r="H9686" s="7" t="str">
        <f>IF(Table1[[#This Row],[Is Data Valid]]=TRUE,((Table1[[#This Row],[Birthweight (grams)]]*0.9/Table1[[#This Row],[BW_GA]])-1)/(Backend!$B$4/100*Table1[[#This Row],[BW40_3705]]),"")</f>
        <v/>
      </c>
      <c r="I9686" s="7" t="str">
        <f>IF(Table1[[#This Row],[Is Data Valid]]=TRUE,((Table1[[#This Row],[Birthweight (grams)]]*1.1/Table1[[#This Row],[BW_GA]])-1)/(Backend!$B$4/100*Table1[[#This Row],[BW40_3705]]),"")</f>
        <v/>
      </c>
      <c r="J9686" s="7" t="str">
        <f>IF(Table1[[#This Row],[Is Data Valid]]=TRUE,_xlfn.NORM.S.DIST(Table1[[#This Row],[Birthweight Z-Score]],TRUE)*100,"")</f>
        <v/>
      </c>
      <c r="K9686" s="7" t="str">
        <f>IF(Table1[[#This Row],[Is Data Valid]]=TRUE,_xlfn.NORM.S.DIST(Table1[[#This Row],[Birthweight Z-Score (BW-10%)]],TRUE)*100,"")</f>
        <v/>
      </c>
      <c r="L9686" s="7" t="str">
        <f>IF(Table1[[#This Row],[Is Data Valid]]=TRUE,_xlfn.NORM.S.DIST(Table1[[#This Row],[Birthweight Z-Score (BW+10%)]],TRUE)*100,"")</f>
        <v/>
      </c>
    </row>
    <row r="9687" spans="1:12" x14ac:dyDescent="0.35">
      <c r="A9687" s="3"/>
      <c r="B9687" s="2"/>
      <c r="C9687" s="2"/>
      <c r="D9687" s="2" t="b">
        <f>IF(AND(NOT(ISBLANK(Table1[[#This Row],[Fetal Sex (Male, Female or Unknown)]])),ISNUMBER(Table1[[#This Row],[Birthweight (grams)]]),ISNUMBER(Table1[[#This Row],[Gestation (days)]])),TRUE,FALSE)</f>
        <v>0</v>
      </c>
      <c r="E9687" s="2" t="str">
        <f>IF(Table1[[#This Row],[Is Data Valid]]=TRUE,IF(Table1[[#This Row],[Fetal Sex (Male, Female or Unknown)]]="Male",Backend!$C$6,IF(Table1[[#This Row],[Fetal Sex (Male, Female or Unknown)]]="Female",Backend!$C$7,IF(Table1[[#This Row],[Fetal Sex (Male, Female or Unknown)]]="Unknown",Backend!$C$8,"Error"))),"")</f>
        <v/>
      </c>
      <c r="F9687" s="8" t="str">
        <f>IF(Table1[[#This Row],[Is Data Valid]]=TRUE,EXP(0.578+0.332*((Table1[[#This Row],[Gestation (days)]]+0.5)/7)-0.00354*((Table1[[#This Row],[Gestation (days)]]+0.5)/7)^2)*Table1[[#This Row],[BW40_3705]],"")</f>
        <v/>
      </c>
      <c r="G9687" s="2" t="str">
        <f>IF(Table1[[#This Row],[Is Data Valid]]=TRUE,((Table1[[#This Row],[Birthweight (grams)]]/Table1[[#This Row],[BW_GA]])-1)/(Backend!$B$4/100*Table1[[#This Row],[BW40_3705]]),"")</f>
        <v/>
      </c>
      <c r="H9687" s="7" t="str">
        <f>IF(Table1[[#This Row],[Is Data Valid]]=TRUE,((Table1[[#This Row],[Birthweight (grams)]]*0.9/Table1[[#This Row],[BW_GA]])-1)/(Backend!$B$4/100*Table1[[#This Row],[BW40_3705]]),"")</f>
        <v/>
      </c>
      <c r="I9687" s="7" t="str">
        <f>IF(Table1[[#This Row],[Is Data Valid]]=TRUE,((Table1[[#This Row],[Birthweight (grams)]]*1.1/Table1[[#This Row],[BW_GA]])-1)/(Backend!$B$4/100*Table1[[#This Row],[BW40_3705]]),"")</f>
        <v/>
      </c>
      <c r="J9687" s="7" t="str">
        <f>IF(Table1[[#This Row],[Is Data Valid]]=TRUE,_xlfn.NORM.S.DIST(Table1[[#This Row],[Birthweight Z-Score]],TRUE)*100,"")</f>
        <v/>
      </c>
      <c r="K9687" s="7" t="str">
        <f>IF(Table1[[#This Row],[Is Data Valid]]=TRUE,_xlfn.NORM.S.DIST(Table1[[#This Row],[Birthweight Z-Score (BW-10%)]],TRUE)*100,"")</f>
        <v/>
      </c>
      <c r="L9687" s="7" t="str">
        <f>IF(Table1[[#This Row],[Is Data Valid]]=TRUE,_xlfn.NORM.S.DIST(Table1[[#This Row],[Birthweight Z-Score (BW+10%)]],TRUE)*100,"")</f>
        <v/>
      </c>
    </row>
    <row r="9688" spans="1:12" x14ac:dyDescent="0.35">
      <c r="A9688" s="3"/>
      <c r="B9688" s="2"/>
      <c r="C9688" s="2"/>
      <c r="D9688" s="2" t="b">
        <f>IF(AND(NOT(ISBLANK(Table1[[#This Row],[Fetal Sex (Male, Female or Unknown)]])),ISNUMBER(Table1[[#This Row],[Birthweight (grams)]]),ISNUMBER(Table1[[#This Row],[Gestation (days)]])),TRUE,FALSE)</f>
        <v>0</v>
      </c>
      <c r="E9688" s="2" t="str">
        <f>IF(Table1[[#This Row],[Is Data Valid]]=TRUE,IF(Table1[[#This Row],[Fetal Sex (Male, Female or Unknown)]]="Male",Backend!$C$6,IF(Table1[[#This Row],[Fetal Sex (Male, Female or Unknown)]]="Female",Backend!$C$7,IF(Table1[[#This Row],[Fetal Sex (Male, Female or Unknown)]]="Unknown",Backend!$C$8,"Error"))),"")</f>
        <v/>
      </c>
      <c r="F9688" s="8" t="str">
        <f>IF(Table1[[#This Row],[Is Data Valid]]=TRUE,EXP(0.578+0.332*((Table1[[#This Row],[Gestation (days)]]+0.5)/7)-0.00354*((Table1[[#This Row],[Gestation (days)]]+0.5)/7)^2)*Table1[[#This Row],[BW40_3705]],"")</f>
        <v/>
      </c>
      <c r="G9688" s="2" t="str">
        <f>IF(Table1[[#This Row],[Is Data Valid]]=TRUE,((Table1[[#This Row],[Birthweight (grams)]]/Table1[[#This Row],[BW_GA]])-1)/(Backend!$B$4/100*Table1[[#This Row],[BW40_3705]]),"")</f>
        <v/>
      </c>
      <c r="H9688" s="7" t="str">
        <f>IF(Table1[[#This Row],[Is Data Valid]]=TRUE,((Table1[[#This Row],[Birthweight (grams)]]*0.9/Table1[[#This Row],[BW_GA]])-1)/(Backend!$B$4/100*Table1[[#This Row],[BW40_3705]]),"")</f>
        <v/>
      </c>
      <c r="I9688" s="7" t="str">
        <f>IF(Table1[[#This Row],[Is Data Valid]]=TRUE,((Table1[[#This Row],[Birthweight (grams)]]*1.1/Table1[[#This Row],[BW_GA]])-1)/(Backend!$B$4/100*Table1[[#This Row],[BW40_3705]]),"")</f>
        <v/>
      </c>
      <c r="J9688" s="7" t="str">
        <f>IF(Table1[[#This Row],[Is Data Valid]]=TRUE,_xlfn.NORM.S.DIST(Table1[[#This Row],[Birthweight Z-Score]],TRUE)*100,"")</f>
        <v/>
      </c>
      <c r="K9688" s="7" t="str">
        <f>IF(Table1[[#This Row],[Is Data Valid]]=TRUE,_xlfn.NORM.S.DIST(Table1[[#This Row],[Birthweight Z-Score (BW-10%)]],TRUE)*100,"")</f>
        <v/>
      </c>
      <c r="L9688" s="7" t="str">
        <f>IF(Table1[[#This Row],[Is Data Valid]]=TRUE,_xlfn.NORM.S.DIST(Table1[[#This Row],[Birthweight Z-Score (BW+10%)]],TRUE)*100,"")</f>
        <v/>
      </c>
    </row>
    <row r="9689" spans="1:12" x14ac:dyDescent="0.35">
      <c r="A9689" s="3"/>
      <c r="B9689" s="2"/>
      <c r="C9689" s="2"/>
      <c r="D9689" s="2" t="b">
        <f>IF(AND(NOT(ISBLANK(Table1[[#This Row],[Fetal Sex (Male, Female or Unknown)]])),ISNUMBER(Table1[[#This Row],[Birthweight (grams)]]),ISNUMBER(Table1[[#This Row],[Gestation (days)]])),TRUE,FALSE)</f>
        <v>0</v>
      </c>
      <c r="E9689" s="2" t="str">
        <f>IF(Table1[[#This Row],[Is Data Valid]]=TRUE,IF(Table1[[#This Row],[Fetal Sex (Male, Female or Unknown)]]="Male",Backend!$C$6,IF(Table1[[#This Row],[Fetal Sex (Male, Female or Unknown)]]="Female",Backend!$C$7,IF(Table1[[#This Row],[Fetal Sex (Male, Female or Unknown)]]="Unknown",Backend!$C$8,"Error"))),"")</f>
        <v/>
      </c>
      <c r="F9689" s="8" t="str">
        <f>IF(Table1[[#This Row],[Is Data Valid]]=TRUE,EXP(0.578+0.332*((Table1[[#This Row],[Gestation (days)]]+0.5)/7)-0.00354*((Table1[[#This Row],[Gestation (days)]]+0.5)/7)^2)*Table1[[#This Row],[BW40_3705]],"")</f>
        <v/>
      </c>
      <c r="G9689" s="2" t="str">
        <f>IF(Table1[[#This Row],[Is Data Valid]]=TRUE,((Table1[[#This Row],[Birthweight (grams)]]/Table1[[#This Row],[BW_GA]])-1)/(Backend!$B$4/100*Table1[[#This Row],[BW40_3705]]),"")</f>
        <v/>
      </c>
      <c r="H9689" s="7" t="str">
        <f>IF(Table1[[#This Row],[Is Data Valid]]=TRUE,((Table1[[#This Row],[Birthweight (grams)]]*0.9/Table1[[#This Row],[BW_GA]])-1)/(Backend!$B$4/100*Table1[[#This Row],[BW40_3705]]),"")</f>
        <v/>
      </c>
      <c r="I9689" s="7" t="str">
        <f>IF(Table1[[#This Row],[Is Data Valid]]=TRUE,((Table1[[#This Row],[Birthweight (grams)]]*1.1/Table1[[#This Row],[BW_GA]])-1)/(Backend!$B$4/100*Table1[[#This Row],[BW40_3705]]),"")</f>
        <v/>
      </c>
      <c r="J9689" s="7" t="str">
        <f>IF(Table1[[#This Row],[Is Data Valid]]=TRUE,_xlfn.NORM.S.DIST(Table1[[#This Row],[Birthweight Z-Score]],TRUE)*100,"")</f>
        <v/>
      </c>
      <c r="K9689" s="7" t="str">
        <f>IF(Table1[[#This Row],[Is Data Valid]]=TRUE,_xlfn.NORM.S.DIST(Table1[[#This Row],[Birthweight Z-Score (BW-10%)]],TRUE)*100,"")</f>
        <v/>
      </c>
      <c r="L9689" s="7" t="str">
        <f>IF(Table1[[#This Row],[Is Data Valid]]=TRUE,_xlfn.NORM.S.DIST(Table1[[#This Row],[Birthweight Z-Score (BW+10%)]],TRUE)*100,"")</f>
        <v/>
      </c>
    </row>
    <row r="9690" spans="1:12" x14ac:dyDescent="0.35">
      <c r="A9690" s="3"/>
      <c r="B9690" s="2"/>
      <c r="C9690" s="2"/>
      <c r="D9690" s="2" t="b">
        <f>IF(AND(NOT(ISBLANK(Table1[[#This Row],[Fetal Sex (Male, Female or Unknown)]])),ISNUMBER(Table1[[#This Row],[Birthweight (grams)]]),ISNUMBER(Table1[[#This Row],[Gestation (days)]])),TRUE,FALSE)</f>
        <v>0</v>
      </c>
      <c r="E9690" s="2" t="str">
        <f>IF(Table1[[#This Row],[Is Data Valid]]=TRUE,IF(Table1[[#This Row],[Fetal Sex (Male, Female or Unknown)]]="Male",Backend!$C$6,IF(Table1[[#This Row],[Fetal Sex (Male, Female or Unknown)]]="Female",Backend!$C$7,IF(Table1[[#This Row],[Fetal Sex (Male, Female or Unknown)]]="Unknown",Backend!$C$8,"Error"))),"")</f>
        <v/>
      </c>
      <c r="F9690" s="8" t="str">
        <f>IF(Table1[[#This Row],[Is Data Valid]]=TRUE,EXP(0.578+0.332*((Table1[[#This Row],[Gestation (days)]]+0.5)/7)-0.00354*((Table1[[#This Row],[Gestation (days)]]+0.5)/7)^2)*Table1[[#This Row],[BW40_3705]],"")</f>
        <v/>
      </c>
      <c r="G9690" s="2" t="str">
        <f>IF(Table1[[#This Row],[Is Data Valid]]=TRUE,((Table1[[#This Row],[Birthweight (grams)]]/Table1[[#This Row],[BW_GA]])-1)/(Backend!$B$4/100*Table1[[#This Row],[BW40_3705]]),"")</f>
        <v/>
      </c>
      <c r="H9690" s="7" t="str">
        <f>IF(Table1[[#This Row],[Is Data Valid]]=TRUE,((Table1[[#This Row],[Birthweight (grams)]]*0.9/Table1[[#This Row],[BW_GA]])-1)/(Backend!$B$4/100*Table1[[#This Row],[BW40_3705]]),"")</f>
        <v/>
      </c>
      <c r="I9690" s="7" t="str">
        <f>IF(Table1[[#This Row],[Is Data Valid]]=TRUE,((Table1[[#This Row],[Birthweight (grams)]]*1.1/Table1[[#This Row],[BW_GA]])-1)/(Backend!$B$4/100*Table1[[#This Row],[BW40_3705]]),"")</f>
        <v/>
      </c>
      <c r="J9690" s="7" t="str">
        <f>IF(Table1[[#This Row],[Is Data Valid]]=TRUE,_xlfn.NORM.S.DIST(Table1[[#This Row],[Birthweight Z-Score]],TRUE)*100,"")</f>
        <v/>
      </c>
      <c r="K9690" s="7" t="str">
        <f>IF(Table1[[#This Row],[Is Data Valid]]=TRUE,_xlfn.NORM.S.DIST(Table1[[#This Row],[Birthweight Z-Score (BW-10%)]],TRUE)*100,"")</f>
        <v/>
      </c>
      <c r="L9690" s="7" t="str">
        <f>IF(Table1[[#This Row],[Is Data Valid]]=TRUE,_xlfn.NORM.S.DIST(Table1[[#This Row],[Birthweight Z-Score (BW+10%)]],TRUE)*100,"")</f>
        <v/>
      </c>
    </row>
    <row r="9691" spans="1:12" x14ac:dyDescent="0.35">
      <c r="A9691" s="3"/>
      <c r="B9691" s="2"/>
      <c r="C9691" s="2"/>
      <c r="D9691" s="2" t="b">
        <f>IF(AND(NOT(ISBLANK(Table1[[#This Row],[Fetal Sex (Male, Female or Unknown)]])),ISNUMBER(Table1[[#This Row],[Birthweight (grams)]]),ISNUMBER(Table1[[#This Row],[Gestation (days)]])),TRUE,FALSE)</f>
        <v>0</v>
      </c>
      <c r="E9691" s="2" t="str">
        <f>IF(Table1[[#This Row],[Is Data Valid]]=TRUE,IF(Table1[[#This Row],[Fetal Sex (Male, Female or Unknown)]]="Male",Backend!$C$6,IF(Table1[[#This Row],[Fetal Sex (Male, Female or Unknown)]]="Female",Backend!$C$7,IF(Table1[[#This Row],[Fetal Sex (Male, Female or Unknown)]]="Unknown",Backend!$C$8,"Error"))),"")</f>
        <v/>
      </c>
      <c r="F9691" s="8" t="str">
        <f>IF(Table1[[#This Row],[Is Data Valid]]=TRUE,EXP(0.578+0.332*((Table1[[#This Row],[Gestation (days)]]+0.5)/7)-0.00354*((Table1[[#This Row],[Gestation (days)]]+0.5)/7)^2)*Table1[[#This Row],[BW40_3705]],"")</f>
        <v/>
      </c>
      <c r="G9691" s="2" t="str">
        <f>IF(Table1[[#This Row],[Is Data Valid]]=TRUE,((Table1[[#This Row],[Birthweight (grams)]]/Table1[[#This Row],[BW_GA]])-1)/(Backend!$B$4/100*Table1[[#This Row],[BW40_3705]]),"")</f>
        <v/>
      </c>
      <c r="H9691" s="7" t="str">
        <f>IF(Table1[[#This Row],[Is Data Valid]]=TRUE,((Table1[[#This Row],[Birthweight (grams)]]*0.9/Table1[[#This Row],[BW_GA]])-1)/(Backend!$B$4/100*Table1[[#This Row],[BW40_3705]]),"")</f>
        <v/>
      </c>
      <c r="I9691" s="7" t="str">
        <f>IF(Table1[[#This Row],[Is Data Valid]]=TRUE,((Table1[[#This Row],[Birthweight (grams)]]*1.1/Table1[[#This Row],[BW_GA]])-1)/(Backend!$B$4/100*Table1[[#This Row],[BW40_3705]]),"")</f>
        <v/>
      </c>
      <c r="J9691" s="7" t="str">
        <f>IF(Table1[[#This Row],[Is Data Valid]]=TRUE,_xlfn.NORM.S.DIST(Table1[[#This Row],[Birthweight Z-Score]],TRUE)*100,"")</f>
        <v/>
      </c>
      <c r="K9691" s="7" t="str">
        <f>IF(Table1[[#This Row],[Is Data Valid]]=TRUE,_xlfn.NORM.S.DIST(Table1[[#This Row],[Birthweight Z-Score (BW-10%)]],TRUE)*100,"")</f>
        <v/>
      </c>
      <c r="L9691" s="7" t="str">
        <f>IF(Table1[[#This Row],[Is Data Valid]]=TRUE,_xlfn.NORM.S.DIST(Table1[[#This Row],[Birthweight Z-Score (BW+10%)]],TRUE)*100,"")</f>
        <v/>
      </c>
    </row>
    <row r="9692" spans="1:12" x14ac:dyDescent="0.35">
      <c r="A9692" s="3"/>
      <c r="B9692" s="2"/>
      <c r="C9692" s="2"/>
      <c r="D9692" s="2" t="b">
        <f>IF(AND(NOT(ISBLANK(Table1[[#This Row],[Fetal Sex (Male, Female or Unknown)]])),ISNUMBER(Table1[[#This Row],[Birthweight (grams)]]),ISNUMBER(Table1[[#This Row],[Gestation (days)]])),TRUE,FALSE)</f>
        <v>0</v>
      </c>
      <c r="E9692" s="2" t="str">
        <f>IF(Table1[[#This Row],[Is Data Valid]]=TRUE,IF(Table1[[#This Row],[Fetal Sex (Male, Female or Unknown)]]="Male",Backend!$C$6,IF(Table1[[#This Row],[Fetal Sex (Male, Female or Unknown)]]="Female",Backend!$C$7,IF(Table1[[#This Row],[Fetal Sex (Male, Female or Unknown)]]="Unknown",Backend!$C$8,"Error"))),"")</f>
        <v/>
      </c>
      <c r="F9692" s="8" t="str">
        <f>IF(Table1[[#This Row],[Is Data Valid]]=TRUE,EXP(0.578+0.332*((Table1[[#This Row],[Gestation (days)]]+0.5)/7)-0.00354*((Table1[[#This Row],[Gestation (days)]]+0.5)/7)^2)*Table1[[#This Row],[BW40_3705]],"")</f>
        <v/>
      </c>
      <c r="G9692" s="2" t="str">
        <f>IF(Table1[[#This Row],[Is Data Valid]]=TRUE,((Table1[[#This Row],[Birthweight (grams)]]/Table1[[#This Row],[BW_GA]])-1)/(Backend!$B$4/100*Table1[[#This Row],[BW40_3705]]),"")</f>
        <v/>
      </c>
      <c r="H9692" s="7" t="str">
        <f>IF(Table1[[#This Row],[Is Data Valid]]=TRUE,((Table1[[#This Row],[Birthweight (grams)]]*0.9/Table1[[#This Row],[BW_GA]])-1)/(Backend!$B$4/100*Table1[[#This Row],[BW40_3705]]),"")</f>
        <v/>
      </c>
      <c r="I9692" s="7" t="str">
        <f>IF(Table1[[#This Row],[Is Data Valid]]=TRUE,((Table1[[#This Row],[Birthweight (grams)]]*1.1/Table1[[#This Row],[BW_GA]])-1)/(Backend!$B$4/100*Table1[[#This Row],[BW40_3705]]),"")</f>
        <v/>
      </c>
      <c r="J9692" s="7" t="str">
        <f>IF(Table1[[#This Row],[Is Data Valid]]=TRUE,_xlfn.NORM.S.DIST(Table1[[#This Row],[Birthweight Z-Score]],TRUE)*100,"")</f>
        <v/>
      </c>
      <c r="K9692" s="7" t="str">
        <f>IF(Table1[[#This Row],[Is Data Valid]]=TRUE,_xlfn.NORM.S.DIST(Table1[[#This Row],[Birthweight Z-Score (BW-10%)]],TRUE)*100,"")</f>
        <v/>
      </c>
      <c r="L9692" s="7" t="str">
        <f>IF(Table1[[#This Row],[Is Data Valid]]=TRUE,_xlfn.NORM.S.DIST(Table1[[#This Row],[Birthweight Z-Score (BW+10%)]],TRUE)*100,"")</f>
        <v/>
      </c>
    </row>
    <row r="9693" spans="1:12" x14ac:dyDescent="0.35">
      <c r="A9693" s="3"/>
      <c r="B9693" s="2"/>
      <c r="C9693" s="2"/>
      <c r="D9693" s="2" t="b">
        <f>IF(AND(NOT(ISBLANK(Table1[[#This Row],[Fetal Sex (Male, Female or Unknown)]])),ISNUMBER(Table1[[#This Row],[Birthweight (grams)]]),ISNUMBER(Table1[[#This Row],[Gestation (days)]])),TRUE,FALSE)</f>
        <v>0</v>
      </c>
      <c r="E9693" s="2" t="str">
        <f>IF(Table1[[#This Row],[Is Data Valid]]=TRUE,IF(Table1[[#This Row],[Fetal Sex (Male, Female or Unknown)]]="Male",Backend!$C$6,IF(Table1[[#This Row],[Fetal Sex (Male, Female or Unknown)]]="Female",Backend!$C$7,IF(Table1[[#This Row],[Fetal Sex (Male, Female or Unknown)]]="Unknown",Backend!$C$8,"Error"))),"")</f>
        <v/>
      </c>
      <c r="F9693" s="8" t="str">
        <f>IF(Table1[[#This Row],[Is Data Valid]]=TRUE,EXP(0.578+0.332*((Table1[[#This Row],[Gestation (days)]]+0.5)/7)-0.00354*((Table1[[#This Row],[Gestation (days)]]+0.5)/7)^2)*Table1[[#This Row],[BW40_3705]],"")</f>
        <v/>
      </c>
      <c r="G9693" s="2" t="str">
        <f>IF(Table1[[#This Row],[Is Data Valid]]=TRUE,((Table1[[#This Row],[Birthweight (grams)]]/Table1[[#This Row],[BW_GA]])-1)/(Backend!$B$4/100*Table1[[#This Row],[BW40_3705]]),"")</f>
        <v/>
      </c>
      <c r="H9693" s="7" t="str">
        <f>IF(Table1[[#This Row],[Is Data Valid]]=TRUE,((Table1[[#This Row],[Birthweight (grams)]]*0.9/Table1[[#This Row],[BW_GA]])-1)/(Backend!$B$4/100*Table1[[#This Row],[BW40_3705]]),"")</f>
        <v/>
      </c>
      <c r="I9693" s="7" t="str">
        <f>IF(Table1[[#This Row],[Is Data Valid]]=TRUE,((Table1[[#This Row],[Birthweight (grams)]]*1.1/Table1[[#This Row],[BW_GA]])-1)/(Backend!$B$4/100*Table1[[#This Row],[BW40_3705]]),"")</f>
        <v/>
      </c>
      <c r="J9693" s="7" t="str">
        <f>IF(Table1[[#This Row],[Is Data Valid]]=TRUE,_xlfn.NORM.S.DIST(Table1[[#This Row],[Birthweight Z-Score]],TRUE)*100,"")</f>
        <v/>
      </c>
      <c r="K9693" s="7" t="str">
        <f>IF(Table1[[#This Row],[Is Data Valid]]=TRUE,_xlfn.NORM.S.DIST(Table1[[#This Row],[Birthweight Z-Score (BW-10%)]],TRUE)*100,"")</f>
        <v/>
      </c>
      <c r="L9693" s="7" t="str">
        <f>IF(Table1[[#This Row],[Is Data Valid]]=TRUE,_xlfn.NORM.S.DIST(Table1[[#This Row],[Birthweight Z-Score (BW+10%)]],TRUE)*100,"")</f>
        <v/>
      </c>
    </row>
    <row r="9694" spans="1:12" x14ac:dyDescent="0.35">
      <c r="A9694" s="3"/>
      <c r="B9694" s="2"/>
      <c r="C9694" s="2"/>
      <c r="D9694" s="2" t="b">
        <f>IF(AND(NOT(ISBLANK(Table1[[#This Row],[Fetal Sex (Male, Female or Unknown)]])),ISNUMBER(Table1[[#This Row],[Birthweight (grams)]]),ISNUMBER(Table1[[#This Row],[Gestation (days)]])),TRUE,FALSE)</f>
        <v>0</v>
      </c>
      <c r="E9694" s="2" t="str">
        <f>IF(Table1[[#This Row],[Is Data Valid]]=TRUE,IF(Table1[[#This Row],[Fetal Sex (Male, Female or Unknown)]]="Male",Backend!$C$6,IF(Table1[[#This Row],[Fetal Sex (Male, Female or Unknown)]]="Female",Backend!$C$7,IF(Table1[[#This Row],[Fetal Sex (Male, Female or Unknown)]]="Unknown",Backend!$C$8,"Error"))),"")</f>
        <v/>
      </c>
      <c r="F9694" s="8" t="str">
        <f>IF(Table1[[#This Row],[Is Data Valid]]=TRUE,EXP(0.578+0.332*((Table1[[#This Row],[Gestation (days)]]+0.5)/7)-0.00354*((Table1[[#This Row],[Gestation (days)]]+0.5)/7)^2)*Table1[[#This Row],[BW40_3705]],"")</f>
        <v/>
      </c>
      <c r="G9694" s="2" t="str">
        <f>IF(Table1[[#This Row],[Is Data Valid]]=TRUE,((Table1[[#This Row],[Birthweight (grams)]]/Table1[[#This Row],[BW_GA]])-1)/(Backend!$B$4/100*Table1[[#This Row],[BW40_3705]]),"")</f>
        <v/>
      </c>
      <c r="H9694" s="7" t="str">
        <f>IF(Table1[[#This Row],[Is Data Valid]]=TRUE,((Table1[[#This Row],[Birthweight (grams)]]*0.9/Table1[[#This Row],[BW_GA]])-1)/(Backend!$B$4/100*Table1[[#This Row],[BW40_3705]]),"")</f>
        <v/>
      </c>
      <c r="I9694" s="7" t="str">
        <f>IF(Table1[[#This Row],[Is Data Valid]]=TRUE,((Table1[[#This Row],[Birthweight (grams)]]*1.1/Table1[[#This Row],[BW_GA]])-1)/(Backend!$B$4/100*Table1[[#This Row],[BW40_3705]]),"")</f>
        <v/>
      </c>
      <c r="J9694" s="7" t="str">
        <f>IF(Table1[[#This Row],[Is Data Valid]]=TRUE,_xlfn.NORM.S.DIST(Table1[[#This Row],[Birthweight Z-Score]],TRUE)*100,"")</f>
        <v/>
      </c>
      <c r="K9694" s="7" t="str">
        <f>IF(Table1[[#This Row],[Is Data Valid]]=TRUE,_xlfn.NORM.S.DIST(Table1[[#This Row],[Birthweight Z-Score (BW-10%)]],TRUE)*100,"")</f>
        <v/>
      </c>
      <c r="L9694" s="7" t="str">
        <f>IF(Table1[[#This Row],[Is Data Valid]]=TRUE,_xlfn.NORM.S.DIST(Table1[[#This Row],[Birthweight Z-Score (BW+10%)]],TRUE)*100,"")</f>
        <v/>
      </c>
    </row>
    <row r="9695" spans="1:12" x14ac:dyDescent="0.35">
      <c r="A9695" s="3"/>
      <c r="B9695" s="2"/>
      <c r="C9695" s="2"/>
      <c r="D9695" s="2" t="b">
        <f>IF(AND(NOT(ISBLANK(Table1[[#This Row],[Fetal Sex (Male, Female or Unknown)]])),ISNUMBER(Table1[[#This Row],[Birthweight (grams)]]),ISNUMBER(Table1[[#This Row],[Gestation (days)]])),TRUE,FALSE)</f>
        <v>0</v>
      </c>
      <c r="E9695" s="2" t="str">
        <f>IF(Table1[[#This Row],[Is Data Valid]]=TRUE,IF(Table1[[#This Row],[Fetal Sex (Male, Female or Unknown)]]="Male",Backend!$C$6,IF(Table1[[#This Row],[Fetal Sex (Male, Female or Unknown)]]="Female",Backend!$C$7,IF(Table1[[#This Row],[Fetal Sex (Male, Female or Unknown)]]="Unknown",Backend!$C$8,"Error"))),"")</f>
        <v/>
      </c>
      <c r="F9695" s="8" t="str">
        <f>IF(Table1[[#This Row],[Is Data Valid]]=TRUE,EXP(0.578+0.332*((Table1[[#This Row],[Gestation (days)]]+0.5)/7)-0.00354*((Table1[[#This Row],[Gestation (days)]]+0.5)/7)^2)*Table1[[#This Row],[BW40_3705]],"")</f>
        <v/>
      </c>
      <c r="G9695" s="2" t="str">
        <f>IF(Table1[[#This Row],[Is Data Valid]]=TRUE,((Table1[[#This Row],[Birthweight (grams)]]/Table1[[#This Row],[BW_GA]])-1)/(Backend!$B$4/100*Table1[[#This Row],[BW40_3705]]),"")</f>
        <v/>
      </c>
      <c r="H9695" s="7" t="str">
        <f>IF(Table1[[#This Row],[Is Data Valid]]=TRUE,((Table1[[#This Row],[Birthweight (grams)]]*0.9/Table1[[#This Row],[BW_GA]])-1)/(Backend!$B$4/100*Table1[[#This Row],[BW40_3705]]),"")</f>
        <v/>
      </c>
      <c r="I9695" s="7" t="str">
        <f>IF(Table1[[#This Row],[Is Data Valid]]=TRUE,((Table1[[#This Row],[Birthweight (grams)]]*1.1/Table1[[#This Row],[BW_GA]])-1)/(Backend!$B$4/100*Table1[[#This Row],[BW40_3705]]),"")</f>
        <v/>
      </c>
      <c r="J9695" s="7" t="str">
        <f>IF(Table1[[#This Row],[Is Data Valid]]=TRUE,_xlfn.NORM.S.DIST(Table1[[#This Row],[Birthweight Z-Score]],TRUE)*100,"")</f>
        <v/>
      </c>
      <c r="K9695" s="7" t="str">
        <f>IF(Table1[[#This Row],[Is Data Valid]]=TRUE,_xlfn.NORM.S.DIST(Table1[[#This Row],[Birthweight Z-Score (BW-10%)]],TRUE)*100,"")</f>
        <v/>
      </c>
      <c r="L9695" s="7" t="str">
        <f>IF(Table1[[#This Row],[Is Data Valid]]=TRUE,_xlfn.NORM.S.DIST(Table1[[#This Row],[Birthweight Z-Score (BW+10%)]],TRUE)*100,"")</f>
        <v/>
      </c>
    </row>
    <row r="9696" spans="1:12" x14ac:dyDescent="0.35">
      <c r="A9696" s="3"/>
      <c r="B9696" s="2"/>
      <c r="C9696" s="2"/>
      <c r="D9696" s="2" t="b">
        <f>IF(AND(NOT(ISBLANK(Table1[[#This Row],[Fetal Sex (Male, Female or Unknown)]])),ISNUMBER(Table1[[#This Row],[Birthweight (grams)]]),ISNUMBER(Table1[[#This Row],[Gestation (days)]])),TRUE,FALSE)</f>
        <v>0</v>
      </c>
      <c r="E9696" s="2" t="str">
        <f>IF(Table1[[#This Row],[Is Data Valid]]=TRUE,IF(Table1[[#This Row],[Fetal Sex (Male, Female or Unknown)]]="Male",Backend!$C$6,IF(Table1[[#This Row],[Fetal Sex (Male, Female or Unknown)]]="Female",Backend!$C$7,IF(Table1[[#This Row],[Fetal Sex (Male, Female or Unknown)]]="Unknown",Backend!$C$8,"Error"))),"")</f>
        <v/>
      </c>
      <c r="F9696" s="8" t="str">
        <f>IF(Table1[[#This Row],[Is Data Valid]]=TRUE,EXP(0.578+0.332*((Table1[[#This Row],[Gestation (days)]]+0.5)/7)-0.00354*((Table1[[#This Row],[Gestation (days)]]+0.5)/7)^2)*Table1[[#This Row],[BW40_3705]],"")</f>
        <v/>
      </c>
      <c r="G9696" s="2" t="str">
        <f>IF(Table1[[#This Row],[Is Data Valid]]=TRUE,((Table1[[#This Row],[Birthweight (grams)]]/Table1[[#This Row],[BW_GA]])-1)/(Backend!$B$4/100*Table1[[#This Row],[BW40_3705]]),"")</f>
        <v/>
      </c>
      <c r="H9696" s="7" t="str">
        <f>IF(Table1[[#This Row],[Is Data Valid]]=TRUE,((Table1[[#This Row],[Birthweight (grams)]]*0.9/Table1[[#This Row],[BW_GA]])-1)/(Backend!$B$4/100*Table1[[#This Row],[BW40_3705]]),"")</f>
        <v/>
      </c>
      <c r="I9696" s="7" t="str">
        <f>IF(Table1[[#This Row],[Is Data Valid]]=TRUE,((Table1[[#This Row],[Birthweight (grams)]]*1.1/Table1[[#This Row],[BW_GA]])-1)/(Backend!$B$4/100*Table1[[#This Row],[BW40_3705]]),"")</f>
        <v/>
      </c>
      <c r="J9696" s="7" t="str">
        <f>IF(Table1[[#This Row],[Is Data Valid]]=TRUE,_xlfn.NORM.S.DIST(Table1[[#This Row],[Birthweight Z-Score]],TRUE)*100,"")</f>
        <v/>
      </c>
      <c r="K9696" s="7" t="str">
        <f>IF(Table1[[#This Row],[Is Data Valid]]=TRUE,_xlfn.NORM.S.DIST(Table1[[#This Row],[Birthweight Z-Score (BW-10%)]],TRUE)*100,"")</f>
        <v/>
      </c>
      <c r="L9696" s="7" t="str">
        <f>IF(Table1[[#This Row],[Is Data Valid]]=TRUE,_xlfn.NORM.S.DIST(Table1[[#This Row],[Birthweight Z-Score (BW+10%)]],TRUE)*100,"")</f>
        <v/>
      </c>
    </row>
    <row r="9697" spans="1:12" x14ac:dyDescent="0.35">
      <c r="A9697" s="3"/>
      <c r="B9697" s="2"/>
      <c r="C9697" s="2"/>
      <c r="D9697" s="2" t="b">
        <f>IF(AND(NOT(ISBLANK(Table1[[#This Row],[Fetal Sex (Male, Female or Unknown)]])),ISNUMBER(Table1[[#This Row],[Birthweight (grams)]]),ISNUMBER(Table1[[#This Row],[Gestation (days)]])),TRUE,FALSE)</f>
        <v>0</v>
      </c>
      <c r="E9697" s="2" t="str">
        <f>IF(Table1[[#This Row],[Is Data Valid]]=TRUE,IF(Table1[[#This Row],[Fetal Sex (Male, Female or Unknown)]]="Male",Backend!$C$6,IF(Table1[[#This Row],[Fetal Sex (Male, Female or Unknown)]]="Female",Backend!$C$7,IF(Table1[[#This Row],[Fetal Sex (Male, Female or Unknown)]]="Unknown",Backend!$C$8,"Error"))),"")</f>
        <v/>
      </c>
      <c r="F9697" s="8" t="str">
        <f>IF(Table1[[#This Row],[Is Data Valid]]=TRUE,EXP(0.578+0.332*((Table1[[#This Row],[Gestation (days)]]+0.5)/7)-0.00354*((Table1[[#This Row],[Gestation (days)]]+0.5)/7)^2)*Table1[[#This Row],[BW40_3705]],"")</f>
        <v/>
      </c>
      <c r="G9697" s="2" t="str">
        <f>IF(Table1[[#This Row],[Is Data Valid]]=TRUE,((Table1[[#This Row],[Birthweight (grams)]]/Table1[[#This Row],[BW_GA]])-1)/(Backend!$B$4/100*Table1[[#This Row],[BW40_3705]]),"")</f>
        <v/>
      </c>
      <c r="H9697" s="7" t="str">
        <f>IF(Table1[[#This Row],[Is Data Valid]]=TRUE,((Table1[[#This Row],[Birthweight (grams)]]*0.9/Table1[[#This Row],[BW_GA]])-1)/(Backend!$B$4/100*Table1[[#This Row],[BW40_3705]]),"")</f>
        <v/>
      </c>
      <c r="I9697" s="7" t="str">
        <f>IF(Table1[[#This Row],[Is Data Valid]]=TRUE,((Table1[[#This Row],[Birthweight (grams)]]*1.1/Table1[[#This Row],[BW_GA]])-1)/(Backend!$B$4/100*Table1[[#This Row],[BW40_3705]]),"")</f>
        <v/>
      </c>
      <c r="J9697" s="7" t="str">
        <f>IF(Table1[[#This Row],[Is Data Valid]]=TRUE,_xlfn.NORM.S.DIST(Table1[[#This Row],[Birthweight Z-Score]],TRUE)*100,"")</f>
        <v/>
      </c>
      <c r="K9697" s="7" t="str">
        <f>IF(Table1[[#This Row],[Is Data Valid]]=TRUE,_xlfn.NORM.S.DIST(Table1[[#This Row],[Birthweight Z-Score (BW-10%)]],TRUE)*100,"")</f>
        <v/>
      </c>
      <c r="L9697" s="7" t="str">
        <f>IF(Table1[[#This Row],[Is Data Valid]]=TRUE,_xlfn.NORM.S.DIST(Table1[[#This Row],[Birthweight Z-Score (BW+10%)]],TRUE)*100,"")</f>
        <v/>
      </c>
    </row>
    <row r="9698" spans="1:12" x14ac:dyDescent="0.35">
      <c r="A9698" s="3"/>
      <c r="B9698" s="2"/>
      <c r="C9698" s="2"/>
      <c r="D9698" s="2" t="b">
        <f>IF(AND(NOT(ISBLANK(Table1[[#This Row],[Fetal Sex (Male, Female or Unknown)]])),ISNUMBER(Table1[[#This Row],[Birthweight (grams)]]),ISNUMBER(Table1[[#This Row],[Gestation (days)]])),TRUE,FALSE)</f>
        <v>0</v>
      </c>
      <c r="E9698" s="2" t="str">
        <f>IF(Table1[[#This Row],[Is Data Valid]]=TRUE,IF(Table1[[#This Row],[Fetal Sex (Male, Female or Unknown)]]="Male",Backend!$C$6,IF(Table1[[#This Row],[Fetal Sex (Male, Female or Unknown)]]="Female",Backend!$C$7,IF(Table1[[#This Row],[Fetal Sex (Male, Female or Unknown)]]="Unknown",Backend!$C$8,"Error"))),"")</f>
        <v/>
      </c>
      <c r="F9698" s="8" t="str">
        <f>IF(Table1[[#This Row],[Is Data Valid]]=TRUE,EXP(0.578+0.332*((Table1[[#This Row],[Gestation (days)]]+0.5)/7)-0.00354*((Table1[[#This Row],[Gestation (days)]]+0.5)/7)^2)*Table1[[#This Row],[BW40_3705]],"")</f>
        <v/>
      </c>
      <c r="G9698" s="2" t="str">
        <f>IF(Table1[[#This Row],[Is Data Valid]]=TRUE,((Table1[[#This Row],[Birthweight (grams)]]/Table1[[#This Row],[BW_GA]])-1)/(Backend!$B$4/100*Table1[[#This Row],[BW40_3705]]),"")</f>
        <v/>
      </c>
      <c r="H9698" s="7" t="str">
        <f>IF(Table1[[#This Row],[Is Data Valid]]=TRUE,((Table1[[#This Row],[Birthweight (grams)]]*0.9/Table1[[#This Row],[BW_GA]])-1)/(Backend!$B$4/100*Table1[[#This Row],[BW40_3705]]),"")</f>
        <v/>
      </c>
      <c r="I9698" s="7" t="str">
        <f>IF(Table1[[#This Row],[Is Data Valid]]=TRUE,((Table1[[#This Row],[Birthweight (grams)]]*1.1/Table1[[#This Row],[BW_GA]])-1)/(Backend!$B$4/100*Table1[[#This Row],[BW40_3705]]),"")</f>
        <v/>
      </c>
      <c r="J9698" s="7" t="str">
        <f>IF(Table1[[#This Row],[Is Data Valid]]=TRUE,_xlfn.NORM.S.DIST(Table1[[#This Row],[Birthweight Z-Score]],TRUE)*100,"")</f>
        <v/>
      </c>
      <c r="K9698" s="7" t="str">
        <f>IF(Table1[[#This Row],[Is Data Valid]]=TRUE,_xlfn.NORM.S.DIST(Table1[[#This Row],[Birthweight Z-Score (BW-10%)]],TRUE)*100,"")</f>
        <v/>
      </c>
      <c r="L9698" s="7" t="str">
        <f>IF(Table1[[#This Row],[Is Data Valid]]=TRUE,_xlfn.NORM.S.DIST(Table1[[#This Row],[Birthweight Z-Score (BW+10%)]],TRUE)*100,"")</f>
        <v/>
      </c>
    </row>
    <row r="9699" spans="1:12" x14ac:dyDescent="0.35">
      <c r="A9699" s="3"/>
      <c r="B9699" s="2"/>
      <c r="C9699" s="2"/>
      <c r="D9699" s="2" t="b">
        <f>IF(AND(NOT(ISBLANK(Table1[[#This Row],[Fetal Sex (Male, Female or Unknown)]])),ISNUMBER(Table1[[#This Row],[Birthweight (grams)]]),ISNUMBER(Table1[[#This Row],[Gestation (days)]])),TRUE,FALSE)</f>
        <v>0</v>
      </c>
      <c r="E9699" s="2" t="str">
        <f>IF(Table1[[#This Row],[Is Data Valid]]=TRUE,IF(Table1[[#This Row],[Fetal Sex (Male, Female or Unknown)]]="Male",Backend!$C$6,IF(Table1[[#This Row],[Fetal Sex (Male, Female or Unknown)]]="Female",Backend!$C$7,IF(Table1[[#This Row],[Fetal Sex (Male, Female or Unknown)]]="Unknown",Backend!$C$8,"Error"))),"")</f>
        <v/>
      </c>
      <c r="F9699" s="8" t="str">
        <f>IF(Table1[[#This Row],[Is Data Valid]]=TRUE,EXP(0.578+0.332*((Table1[[#This Row],[Gestation (days)]]+0.5)/7)-0.00354*((Table1[[#This Row],[Gestation (days)]]+0.5)/7)^2)*Table1[[#This Row],[BW40_3705]],"")</f>
        <v/>
      </c>
      <c r="G9699" s="2" t="str">
        <f>IF(Table1[[#This Row],[Is Data Valid]]=TRUE,((Table1[[#This Row],[Birthweight (grams)]]/Table1[[#This Row],[BW_GA]])-1)/(Backend!$B$4/100*Table1[[#This Row],[BW40_3705]]),"")</f>
        <v/>
      </c>
      <c r="H9699" s="7" t="str">
        <f>IF(Table1[[#This Row],[Is Data Valid]]=TRUE,((Table1[[#This Row],[Birthweight (grams)]]*0.9/Table1[[#This Row],[BW_GA]])-1)/(Backend!$B$4/100*Table1[[#This Row],[BW40_3705]]),"")</f>
        <v/>
      </c>
      <c r="I9699" s="7" t="str">
        <f>IF(Table1[[#This Row],[Is Data Valid]]=TRUE,((Table1[[#This Row],[Birthweight (grams)]]*1.1/Table1[[#This Row],[BW_GA]])-1)/(Backend!$B$4/100*Table1[[#This Row],[BW40_3705]]),"")</f>
        <v/>
      </c>
      <c r="J9699" s="7" t="str">
        <f>IF(Table1[[#This Row],[Is Data Valid]]=TRUE,_xlfn.NORM.S.DIST(Table1[[#This Row],[Birthweight Z-Score]],TRUE)*100,"")</f>
        <v/>
      </c>
      <c r="K9699" s="7" t="str">
        <f>IF(Table1[[#This Row],[Is Data Valid]]=TRUE,_xlfn.NORM.S.DIST(Table1[[#This Row],[Birthweight Z-Score (BW-10%)]],TRUE)*100,"")</f>
        <v/>
      </c>
      <c r="L9699" s="7" t="str">
        <f>IF(Table1[[#This Row],[Is Data Valid]]=TRUE,_xlfn.NORM.S.DIST(Table1[[#This Row],[Birthweight Z-Score (BW+10%)]],TRUE)*100,"")</f>
        <v/>
      </c>
    </row>
    <row r="9700" spans="1:12" x14ac:dyDescent="0.35">
      <c r="A9700" s="3"/>
      <c r="B9700" s="2"/>
      <c r="C9700" s="2"/>
      <c r="D9700" s="2" t="b">
        <f>IF(AND(NOT(ISBLANK(Table1[[#This Row],[Fetal Sex (Male, Female or Unknown)]])),ISNUMBER(Table1[[#This Row],[Birthweight (grams)]]),ISNUMBER(Table1[[#This Row],[Gestation (days)]])),TRUE,FALSE)</f>
        <v>0</v>
      </c>
      <c r="E9700" s="2" t="str">
        <f>IF(Table1[[#This Row],[Is Data Valid]]=TRUE,IF(Table1[[#This Row],[Fetal Sex (Male, Female or Unknown)]]="Male",Backend!$C$6,IF(Table1[[#This Row],[Fetal Sex (Male, Female or Unknown)]]="Female",Backend!$C$7,IF(Table1[[#This Row],[Fetal Sex (Male, Female or Unknown)]]="Unknown",Backend!$C$8,"Error"))),"")</f>
        <v/>
      </c>
      <c r="F9700" s="8" t="str">
        <f>IF(Table1[[#This Row],[Is Data Valid]]=TRUE,EXP(0.578+0.332*((Table1[[#This Row],[Gestation (days)]]+0.5)/7)-0.00354*((Table1[[#This Row],[Gestation (days)]]+0.5)/7)^2)*Table1[[#This Row],[BW40_3705]],"")</f>
        <v/>
      </c>
      <c r="G9700" s="2" t="str">
        <f>IF(Table1[[#This Row],[Is Data Valid]]=TRUE,((Table1[[#This Row],[Birthweight (grams)]]/Table1[[#This Row],[BW_GA]])-1)/(Backend!$B$4/100*Table1[[#This Row],[BW40_3705]]),"")</f>
        <v/>
      </c>
      <c r="H9700" s="7" t="str">
        <f>IF(Table1[[#This Row],[Is Data Valid]]=TRUE,((Table1[[#This Row],[Birthweight (grams)]]*0.9/Table1[[#This Row],[BW_GA]])-1)/(Backend!$B$4/100*Table1[[#This Row],[BW40_3705]]),"")</f>
        <v/>
      </c>
      <c r="I9700" s="7" t="str">
        <f>IF(Table1[[#This Row],[Is Data Valid]]=TRUE,((Table1[[#This Row],[Birthweight (grams)]]*1.1/Table1[[#This Row],[BW_GA]])-1)/(Backend!$B$4/100*Table1[[#This Row],[BW40_3705]]),"")</f>
        <v/>
      </c>
      <c r="J9700" s="7" t="str">
        <f>IF(Table1[[#This Row],[Is Data Valid]]=TRUE,_xlfn.NORM.S.DIST(Table1[[#This Row],[Birthweight Z-Score]],TRUE)*100,"")</f>
        <v/>
      </c>
      <c r="K9700" s="7" t="str">
        <f>IF(Table1[[#This Row],[Is Data Valid]]=TRUE,_xlfn.NORM.S.DIST(Table1[[#This Row],[Birthweight Z-Score (BW-10%)]],TRUE)*100,"")</f>
        <v/>
      </c>
      <c r="L9700" s="7" t="str">
        <f>IF(Table1[[#This Row],[Is Data Valid]]=TRUE,_xlfn.NORM.S.DIST(Table1[[#This Row],[Birthweight Z-Score (BW+10%)]],TRUE)*100,"")</f>
        <v/>
      </c>
    </row>
    <row r="9701" spans="1:12" x14ac:dyDescent="0.35">
      <c r="A9701" s="3"/>
      <c r="B9701" s="2"/>
      <c r="C9701" s="2"/>
      <c r="D9701" s="2" t="b">
        <f>IF(AND(NOT(ISBLANK(Table1[[#This Row],[Fetal Sex (Male, Female or Unknown)]])),ISNUMBER(Table1[[#This Row],[Birthweight (grams)]]),ISNUMBER(Table1[[#This Row],[Gestation (days)]])),TRUE,FALSE)</f>
        <v>0</v>
      </c>
      <c r="E9701" s="2" t="str">
        <f>IF(Table1[[#This Row],[Is Data Valid]]=TRUE,IF(Table1[[#This Row],[Fetal Sex (Male, Female or Unknown)]]="Male",Backend!$C$6,IF(Table1[[#This Row],[Fetal Sex (Male, Female or Unknown)]]="Female",Backend!$C$7,IF(Table1[[#This Row],[Fetal Sex (Male, Female or Unknown)]]="Unknown",Backend!$C$8,"Error"))),"")</f>
        <v/>
      </c>
      <c r="F9701" s="8" t="str">
        <f>IF(Table1[[#This Row],[Is Data Valid]]=TRUE,EXP(0.578+0.332*((Table1[[#This Row],[Gestation (days)]]+0.5)/7)-0.00354*((Table1[[#This Row],[Gestation (days)]]+0.5)/7)^2)*Table1[[#This Row],[BW40_3705]],"")</f>
        <v/>
      </c>
      <c r="G9701" s="2" t="str">
        <f>IF(Table1[[#This Row],[Is Data Valid]]=TRUE,((Table1[[#This Row],[Birthweight (grams)]]/Table1[[#This Row],[BW_GA]])-1)/(Backend!$B$4/100*Table1[[#This Row],[BW40_3705]]),"")</f>
        <v/>
      </c>
      <c r="H9701" s="7" t="str">
        <f>IF(Table1[[#This Row],[Is Data Valid]]=TRUE,((Table1[[#This Row],[Birthweight (grams)]]*0.9/Table1[[#This Row],[BW_GA]])-1)/(Backend!$B$4/100*Table1[[#This Row],[BW40_3705]]),"")</f>
        <v/>
      </c>
      <c r="I9701" s="7" t="str">
        <f>IF(Table1[[#This Row],[Is Data Valid]]=TRUE,((Table1[[#This Row],[Birthweight (grams)]]*1.1/Table1[[#This Row],[BW_GA]])-1)/(Backend!$B$4/100*Table1[[#This Row],[BW40_3705]]),"")</f>
        <v/>
      </c>
      <c r="J9701" s="7" t="str">
        <f>IF(Table1[[#This Row],[Is Data Valid]]=TRUE,_xlfn.NORM.S.DIST(Table1[[#This Row],[Birthweight Z-Score]],TRUE)*100,"")</f>
        <v/>
      </c>
      <c r="K9701" s="7" t="str">
        <f>IF(Table1[[#This Row],[Is Data Valid]]=TRUE,_xlfn.NORM.S.DIST(Table1[[#This Row],[Birthweight Z-Score (BW-10%)]],TRUE)*100,"")</f>
        <v/>
      </c>
      <c r="L9701" s="7" t="str">
        <f>IF(Table1[[#This Row],[Is Data Valid]]=TRUE,_xlfn.NORM.S.DIST(Table1[[#This Row],[Birthweight Z-Score (BW+10%)]],TRUE)*100,"")</f>
        <v/>
      </c>
    </row>
    <row r="9702" spans="1:12" x14ac:dyDescent="0.35">
      <c r="A9702" s="3"/>
      <c r="B9702" s="2"/>
      <c r="C9702" s="2"/>
      <c r="D9702" s="2" t="b">
        <f>IF(AND(NOT(ISBLANK(Table1[[#This Row],[Fetal Sex (Male, Female or Unknown)]])),ISNUMBER(Table1[[#This Row],[Birthweight (grams)]]),ISNUMBER(Table1[[#This Row],[Gestation (days)]])),TRUE,FALSE)</f>
        <v>0</v>
      </c>
      <c r="E9702" s="2" t="str">
        <f>IF(Table1[[#This Row],[Is Data Valid]]=TRUE,IF(Table1[[#This Row],[Fetal Sex (Male, Female or Unknown)]]="Male",Backend!$C$6,IF(Table1[[#This Row],[Fetal Sex (Male, Female or Unknown)]]="Female",Backend!$C$7,IF(Table1[[#This Row],[Fetal Sex (Male, Female or Unknown)]]="Unknown",Backend!$C$8,"Error"))),"")</f>
        <v/>
      </c>
      <c r="F9702" s="8" t="str">
        <f>IF(Table1[[#This Row],[Is Data Valid]]=TRUE,EXP(0.578+0.332*((Table1[[#This Row],[Gestation (days)]]+0.5)/7)-0.00354*((Table1[[#This Row],[Gestation (days)]]+0.5)/7)^2)*Table1[[#This Row],[BW40_3705]],"")</f>
        <v/>
      </c>
      <c r="G9702" s="2" t="str">
        <f>IF(Table1[[#This Row],[Is Data Valid]]=TRUE,((Table1[[#This Row],[Birthweight (grams)]]/Table1[[#This Row],[BW_GA]])-1)/(Backend!$B$4/100*Table1[[#This Row],[BW40_3705]]),"")</f>
        <v/>
      </c>
      <c r="H9702" s="7" t="str">
        <f>IF(Table1[[#This Row],[Is Data Valid]]=TRUE,((Table1[[#This Row],[Birthweight (grams)]]*0.9/Table1[[#This Row],[BW_GA]])-1)/(Backend!$B$4/100*Table1[[#This Row],[BW40_3705]]),"")</f>
        <v/>
      </c>
      <c r="I9702" s="7" t="str">
        <f>IF(Table1[[#This Row],[Is Data Valid]]=TRUE,((Table1[[#This Row],[Birthweight (grams)]]*1.1/Table1[[#This Row],[BW_GA]])-1)/(Backend!$B$4/100*Table1[[#This Row],[BW40_3705]]),"")</f>
        <v/>
      </c>
      <c r="J9702" s="7" t="str">
        <f>IF(Table1[[#This Row],[Is Data Valid]]=TRUE,_xlfn.NORM.S.DIST(Table1[[#This Row],[Birthweight Z-Score]],TRUE)*100,"")</f>
        <v/>
      </c>
      <c r="K9702" s="7" t="str">
        <f>IF(Table1[[#This Row],[Is Data Valid]]=TRUE,_xlfn.NORM.S.DIST(Table1[[#This Row],[Birthweight Z-Score (BW-10%)]],TRUE)*100,"")</f>
        <v/>
      </c>
      <c r="L9702" s="7" t="str">
        <f>IF(Table1[[#This Row],[Is Data Valid]]=TRUE,_xlfn.NORM.S.DIST(Table1[[#This Row],[Birthweight Z-Score (BW+10%)]],TRUE)*100,"")</f>
        <v/>
      </c>
    </row>
    <row r="9703" spans="1:12" x14ac:dyDescent="0.35">
      <c r="A9703" s="3"/>
      <c r="B9703" s="2"/>
      <c r="C9703" s="2"/>
      <c r="D9703" s="2" t="b">
        <f>IF(AND(NOT(ISBLANK(Table1[[#This Row],[Fetal Sex (Male, Female or Unknown)]])),ISNUMBER(Table1[[#This Row],[Birthweight (grams)]]),ISNUMBER(Table1[[#This Row],[Gestation (days)]])),TRUE,FALSE)</f>
        <v>0</v>
      </c>
      <c r="E9703" s="2" t="str">
        <f>IF(Table1[[#This Row],[Is Data Valid]]=TRUE,IF(Table1[[#This Row],[Fetal Sex (Male, Female or Unknown)]]="Male",Backend!$C$6,IF(Table1[[#This Row],[Fetal Sex (Male, Female or Unknown)]]="Female",Backend!$C$7,IF(Table1[[#This Row],[Fetal Sex (Male, Female or Unknown)]]="Unknown",Backend!$C$8,"Error"))),"")</f>
        <v/>
      </c>
      <c r="F9703" s="8" t="str">
        <f>IF(Table1[[#This Row],[Is Data Valid]]=TRUE,EXP(0.578+0.332*((Table1[[#This Row],[Gestation (days)]]+0.5)/7)-0.00354*((Table1[[#This Row],[Gestation (days)]]+0.5)/7)^2)*Table1[[#This Row],[BW40_3705]],"")</f>
        <v/>
      </c>
      <c r="G9703" s="2" t="str">
        <f>IF(Table1[[#This Row],[Is Data Valid]]=TRUE,((Table1[[#This Row],[Birthweight (grams)]]/Table1[[#This Row],[BW_GA]])-1)/(Backend!$B$4/100*Table1[[#This Row],[BW40_3705]]),"")</f>
        <v/>
      </c>
      <c r="H9703" s="7" t="str">
        <f>IF(Table1[[#This Row],[Is Data Valid]]=TRUE,((Table1[[#This Row],[Birthweight (grams)]]*0.9/Table1[[#This Row],[BW_GA]])-1)/(Backend!$B$4/100*Table1[[#This Row],[BW40_3705]]),"")</f>
        <v/>
      </c>
      <c r="I9703" s="7" t="str">
        <f>IF(Table1[[#This Row],[Is Data Valid]]=TRUE,((Table1[[#This Row],[Birthweight (grams)]]*1.1/Table1[[#This Row],[BW_GA]])-1)/(Backend!$B$4/100*Table1[[#This Row],[BW40_3705]]),"")</f>
        <v/>
      </c>
      <c r="J9703" s="7" t="str">
        <f>IF(Table1[[#This Row],[Is Data Valid]]=TRUE,_xlfn.NORM.S.DIST(Table1[[#This Row],[Birthweight Z-Score]],TRUE)*100,"")</f>
        <v/>
      </c>
      <c r="K9703" s="7" t="str">
        <f>IF(Table1[[#This Row],[Is Data Valid]]=TRUE,_xlfn.NORM.S.DIST(Table1[[#This Row],[Birthweight Z-Score (BW-10%)]],TRUE)*100,"")</f>
        <v/>
      </c>
      <c r="L9703" s="7" t="str">
        <f>IF(Table1[[#This Row],[Is Data Valid]]=TRUE,_xlfn.NORM.S.DIST(Table1[[#This Row],[Birthweight Z-Score (BW+10%)]],TRUE)*100,"")</f>
        <v/>
      </c>
    </row>
    <row r="9704" spans="1:12" x14ac:dyDescent="0.35">
      <c r="A9704" s="3"/>
      <c r="B9704" s="2"/>
      <c r="C9704" s="2"/>
      <c r="D9704" s="2" t="b">
        <f>IF(AND(NOT(ISBLANK(Table1[[#This Row],[Fetal Sex (Male, Female or Unknown)]])),ISNUMBER(Table1[[#This Row],[Birthweight (grams)]]),ISNUMBER(Table1[[#This Row],[Gestation (days)]])),TRUE,FALSE)</f>
        <v>0</v>
      </c>
      <c r="E9704" s="2" t="str">
        <f>IF(Table1[[#This Row],[Is Data Valid]]=TRUE,IF(Table1[[#This Row],[Fetal Sex (Male, Female or Unknown)]]="Male",Backend!$C$6,IF(Table1[[#This Row],[Fetal Sex (Male, Female or Unknown)]]="Female",Backend!$C$7,IF(Table1[[#This Row],[Fetal Sex (Male, Female or Unknown)]]="Unknown",Backend!$C$8,"Error"))),"")</f>
        <v/>
      </c>
      <c r="F9704" s="8" t="str">
        <f>IF(Table1[[#This Row],[Is Data Valid]]=TRUE,EXP(0.578+0.332*((Table1[[#This Row],[Gestation (days)]]+0.5)/7)-0.00354*((Table1[[#This Row],[Gestation (days)]]+0.5)/7)^2)*Table1[[#This Row],[BW40_3705]],"")</f>
        <v/>
      </c>
      <c r="G9704" s="2" t="str">
        <f>IF(Table1[[#This Row],[Is Data Valid]]=TRUE,((Table1[[#This Row],[Birthweight (grams)]]/Table1[[#This Row],[BW_GA]])-1)/(Backend!$B$4/100*Table1[[#This Row],[BW40_3705]]),"")</f>
        <v/>
      </c>
      <c r="H9704" s="7" t="str">
        <f>IF(Table1[[#This Row],[Is Data Valid]]=TRUE,((Table1[[#This Row],[Birthweight (grams)]]*0.9/Table1[[#This Row],[BW_GA]])-1)/(Backend!$B$4/100*Table1[[#This Row],[BW40_3705]]),"")</f>
        <v/>
      </c>
      <c r="I9704" s="7" t="str">
        <f>IF(Table1[[#This Row],[Is Data Valid]]=TRUE,((Table1[[#This Row],[Birthweight (grams)]]*1.1/Table1[[#This Row],[BW_GA]])-1)/(Backend!$B$4/100*Table1[[#This Row],[BW40_3705]]),"")</f>
        <v/>
      </c>
      <c r="J9704" s="7" t="str">
        <f>IF(Table1[[#This Row],[Is Data Valid]]=TRUE,_xlfn.NORM.S.DIST(Table1[[#This Row],[Birthweight Z-Score]],TRUE)*100,"")</f>
        <v/>
      </c>
      <c r="K9704" s="7" t="str">
        <f>IF(Table1[[#This Row],[Is Data Valid]]=TRUE,_xlfn.NORM.S.DIST(Table1[[#This Row],[Birthweight Z-Score (BW-10%)]],TRUE)*100,"")</f>
        <v/>
      </c>
      <c r="L9704" s="7" t="str">
        <f>IF(Table1[[#This Row],[Is Data Valid]]=TRUE,_xlfn.NORM.S.DIST(Table1[[#This Row],[Birthweight Z-Score (BW+10%)]],TRUE)*100,"")</f>
        <v/>
      </c>
    </row>
    <row r="9705" spans="1:12" x14ac:dyDescent="0.35">
      <c r="A9705" s="3"/>
      <c r="B9705" s="2"/>
      <c r="C9705" s="2"/>
      <c r="D9705" s="2" t="b">
        <f>IF(AND(NOT(ISBLANK(Table1[[#This Row],[Fetal Sex (Male, Female or Unknown)]])),ISNUMBER(Table1[[#This Row],[Birthweight (grams)]]),ISNUMBER(Table1[[#This Row],[Gestation (days)]])),TRUE,FALSE)</f>
        <v>0</v>
      </c>
      <c r="E9705" s="2" t="str">
        <f>IF(Table1[[#This Row],[Is Data Valid]]=TRUE,IF(Table1[[#This Row],[Fetal Sex (Male, Female or Unknown)]]="Male",Backend!$C$6,IF(Table1[[#This Row],[Fetal Sex (Male, Female or Unknown)]]="Female",Backend!$C$7,IF(Table1[[#This Row],[Fetal Sex (Male, Female or Unknown)]]="Unknown",Backend!$C$8,"Error"))),"")</f>
        <v/>
      </c>
      <c r="F9705" s="8" t="str">
        <f>IF(Table1[[#This Row],[Is Data Valid]]=TRUE,EXP(0.578+0.332*((Table1[[#This Row],[Gestation (days)]]+0.5)/7)-0.00354*((Table1[[#This Row],[Gestation (days)]]+0.5)/7)^2)*Table1[[#This Row],[BW40_3705]],"")</f>
        <v/>
      </c>
      <c r="G9705" s="2" t="str">
        <f>IF(Table1[[#This Row],[Is Data Valid]]=TRUE,((Table1[[#This Row],[Birthweight (grams)]]/Table1[[#This Row],[BW_GA]])-1)/(Backend!$B$4/100*Table1[[#This Row],[BW40_3705]]),"")</f>
        <v/>
      </c>
      <c r="H9705" s="7" t="str">
        <f>IF(Table1[[#This Row],[Is Data Valid]]=TRUE,((Table1[[#This Row],[Birthweight (grams)]]*0.9/Table1[[#This Row],[BW_GA]])-1)/(Backend!$B$4/100*Table1[[#This Row],[BW40_3705]]),"")</f>
        <v/>
      </c>
      <c r="I9705" s="7" t="str">
        <f>IF(Table1[[#This Row],[Is Data Valid]]=TRUE,((Table1[[#This Row],[Birthweight (grams)]]*1.1/Table1[[#This Row],[BW_GA]])-1)/(Backend!$B$4/100*Table1[[#This Row],[BW40_3705]]),"")</f>
        <v/>
      </c>
      <c r="J9705" s="7" t="str">
        <f>IF(Table1[[#This Row],[Is Data Valid]]=TRUE,_xlfn.NORM.S.DIST(Table1[[#This Row],[Birthweight Z-Score]],TRUE)*100,"")</f>
        <v/>
      </c>
      <c r="K9705" s="7" t="str">
        <f>IF(Table1[[#This Row],[Is Data Valid]]=TRUE,_xlfn.NORM.S.DIST(Table1[[#This Row],[Birthweight Z-Score (BW-10%)]],TRUE)*100,"")</f>
        <v/>
      </c>
      <c r="L9705" s="7" t="str">
        <f>IF(Table1[[#This Row],[Is Data Valid]]=TRUE,_xlfn.NORM.S.DIST(Table1[[#This Row],[Birthweight Z-Score (BW+10%)]],TRUE)*100,"")</f>
        <v/>
      </c>
    </row>
    <row r="9706" spans="1:12" x14ac:dyDescent="0.35">
      <c r="A9706" s="3"/>
      <c r="B9706" s="2"/>
      <c r="C9706" s="2"/>
      <c r="D9706" s="2" t="b">
        <f>IF(AND(NOT(ISBLANK(Table1[[#This Row],[Fetal Sex (Male, Female or Unknown)]])),ISNUMBER(Table1[[#This Row],[Birthweight (grams)]]),ISNUMBER(Table1[[#This Row],[Gestation (days)]])),TRUE,FALSE)</f>
        <v>0</v>
      </c>
      <c r="E9706" s="2" t="str">
        <f>IF(Table1[[#This Row],[Is Data Valid]]=TRUE,IF(Table1[[#This Row],[Fetal Sex (Male, Female or Unknown)]]="Male",Backend!$C$6,IF(Table1[[#This Row],[Fetal Sex (Male, Female or Unknown)]]="Female",Backend!$C$7,IF(Table1[[#This Row],[Fetal Sex (Male, Female or Unknown)]]="Unknown",Backend!$C$8,"Error"))),"")</f>
        <v/>
      </c>
      <c r="F9706" s="8" t="str">
        <f>IF(Table1[[#This Row],[Is Data Valid]]=TRUE,EXP(0.578+0.332*((Table1[[#This Row],[Gestation (days)]]+0.5)/7)-0.00354*((Table1[[#This Row],[Gestation (days)]]+0.5)/7)^2)*Table1[[#This Row],[BW40_3705]],"")</f>
        <v/>
      </c>
      <c r="G9706" s="2" t="str">
        <f>IF(Table1[[#This Row],[Is Data Valid]]=TRUE,((Table1[[#This Row],[Birthweight (grams)]]/Table1[[#This Row],[BW_GA]])-1)/(Backend!$B$4/100*Table1[[#This Row],[BW40_3705]]),"")</f>
        <v/>
      </c>
      <c r="H9706" s="7" t="str">
        <f>IF(Table1[[#This Row],[Is Data Valid]]=TRUE,((Table1[[#This Row],[Birthweight (grams)]]*0.9/Table1[[#This Row],[BW_GA]])-1)/(Backend!$B$4/100*Table1[[#This Row],[BW40_3705]]),"")</f>
        <v/>
      </c>
      <c r="I9706" s="7" t="str">
        <f>IF(Table1[[#This Row],[Is Data Valid]]=TRUE,((Table1[[#This Row],[Birthweight (grams)]]*1.1/Table1[[#This Row],[BW_GA]])-1)/(Backend!$B$4/100*Table1[[#This Row],[BW40_3705]]),"")</f>
        <v/>
      </c>
      <c r="J9706" s="7" t="str">
        <f>IF(Table1[[#This Row],[Is Data Valid]]=TRUE,_xlfn.NORM.S.DIST(Table1[[#This Row],[Birthweight Z-Score]],TRUE)*100,"")</f>
        <v/>
      </c>
      <c r="K9706" s="7" t="str">
        <f>IF(Table1[[#This Row],[Is Data Valid]]=TRUE,_xlfn.NORM.S.DIST(Table1[[#This Row],[Birthweight Z-Score (BW-10%)]],TRUE)*100,"")</f>
        <v/>
      </c>
      <c r="L9706" s="7" t="str">
        <f>IF(Table1[[#This Row],[Is Data Valid]]=TRUE,_xlfn.NORM.S.DIST(Table1[[#This Row],[Birthweight Z-Score (BW+10%)]],TRUE)*100,"")</f>
        <v/>
      </c>
    </row>
    <row r="9707" spans="1:12" x14ac:dyDescent="0.35">
      <c r="A9707" s="3"/>
      <c r="B9707" s="2"/>
      <c r="C9707" s="2"/>
      <c r="D9707" s="2" t="b">
        <f>IF(AND(NOT(ISBLANK(Table1[[#This Row],[Fetal Sex (Male, Female or Unknown)]])),ISNUMBER(Table1[[#This Row],[Birthweight (grams)]]),ISNUMBER(Table1[[#This Row],[Gestation (days)]])),TRUE,FALSE)</f>
        <v>0</v>
      </c>
      <c r="E9707" s="2" t="str">
        <f>IF(Table1[[#This Row],[Is Data Valid]]=TRUE,IF(Table1[[#This Row],[Fetal Sex (Male, Female or Unknown)]]="Male",Backend!$C$6,IF(Table1[[#This Row],[Fetal Sex (Male, Female or Unknown)]]="Female",Backend!$C$7,IF(Table1[[#This Row],[Fetal Sex (Male, Female or Unknown)]]="Unknown",Backend!$C$8,"Error"))),"")</f>
        <v/>
      </c>
      <c r="F9707" s="8" t="str">
        <f>IF(Table1[[#This Row],[Is Data Valid]]=TRUE,EXP(0.578+0.332*((Table1[[#This Row],[Gestation (days)]]+0.5)/7)-0.00354*((Table1[[#This Row],[Gestation (days)]]+0.5)/7)^2)*Table1[[#This Row],[BW40_3705]],"")</f>
        <v/>
      </c>
      <c r="G9707" s="2" t="str">
        <f>IF(Table1[[#This Row],[Is Data Valid]]=TRUE,((Table1[[#This Row],[Birthweight (grams)]]/Table1[[#This Row],[BW_GA]])-1)/(Backend!$B$4/100*Table1[[#This Row],[BW40_3705]]),"")</f>
        <v/>
      </c>
      <c r="H9707" s="7" t="str">
        <f>IF(Table1[[#This Row],[Is Data Valid]]=TRUE,((Table1[[#This Row],[Birthweight (grams)]]*0.9/Table1[[#This Row],[BW_GA]])-1)/(Backend!$B$4/100*Table1[[#This Row],[BW40_3705]]),"")</f>
        <v/>
      </c>
      <c r="I9707" s="7" t="str">
        <f>IF(Table1[[#This Row],[Is Data Valid]]=TRUE,((Table1[[#This Row],[Birthweight (grams)]]*1.1/Table1[[#This Row],[BW_GA]])-1)/(Backend!$B$4/100*Table1[[#This Row],[BW40_3705]]),"")</f>
        <v/>
      </c>
      <c r="J9707" s="7" t="str">
        <f>IF(Table1[[#This Row],[Is Data Valid]]=TRUE,_xlfn.NORM.S.DIST(Table1[[#This Row],[Birthweight Z-Score]],TRUE)*100,"")</f>
        <v/>
      </c>
      <c r="K9707" s="7" t="str">
        <f>IF(Table1[[#This Row],[Is Data Valid]]=TRUE,_xlfn.NORM.S.DIST(Table1[[#This Row],[Birthweight Z-Score (BW-10%)]],TRUE)*100,"")</f>
        <v/>
      </c>
      <c r="L9707" s="7" t="str">
        <f>IF(Table1[[#This Row],[Is Data Valid]]=TRUE,_xlfn.NORM.S.DIST(Table1[[#This Row],[Birthweight Z-Score (BW+10%)]],TRUE)*100,"")</f>
        <v/>
      </c>
    </row>
    <row r="9708" spans="1:12" x14ac:dyDescent="0.35">
      <c r="A9708" s="3"/>
      <c r="B9708" s="2"/>
      <c r="C9708" s="2"/>
      <c r="D9708" s="2" t="b">
        <f>IF(AND(NOT(ISBLANK(Table1[[#This Row],[Fetal Sex (Male, Female or Unknown)]])),ISNUMBER(Table1[[#This Row],[Birthweight (grams)]]),ISNUMBER(Table1[[#This Row],[Gestation (days)]])),TRUE,FALSE)</f>
        <v>0</v>
      </c>
      <c r="E9708" s="2" t="str">
        <f>IF(Table1[[#This Row],[Is Data Valid]]=TRUE,IF(Table1[[#This Row],[Fetal Sex (Male, Female or Unknown)]]="Male",Backend!$C$6,IF(Table1[[#This Row],[Fetal Sex (Male, Female or Unknown)]]="Female",Backend!$C$7,IF(Table1[[#This Row],[Fetal Sex (Male, Female or Unknown)]]="Unknown",Backend!$C$8,"Error"))),"")</f>
        <v/>
      </c>
      <c r="F9708" s="8" t="str">
        <f>IF(Table1[[#This Row],[Is Data Valid]]=TRUE,EXP(0.578+0.332*((Table1[[#This Row],[Gestation (days)]]+0.5)/7)-0.00354*((Table1[[#This Row],[Gestation (days)]]+0.5)/7)^2)*Table1[[#This Row],[BW40_3705]],"")</f>
        <v/>
      </c>
      <c r="G9708" s="2" t="str">
        <f>IF(Table1[[#This Row],[Is Data Valid]]=TRUE,((Table1[[#This Row],[Birthweight (grams)]]/Table1[[#This Row],[BW_GA]])-1)/(Backend!$B$4/100*Table1[[#This Row],[BW40_3705]]),"")</f>
        <v/>
      </c>
      <c r="H9708" s="7" t="str">
        <f>IF(Table1[[#This Row],[Is Data Valid]]=TRUE,((Table1[[#This Row],[Birthweight (grams)]]*0.9/Table1[[#This Row],[BW_GA]])-1)/(Backend!$B$4/100*Table1[[#This Row],[BW40_3705]]),"")</f>
        <v/>
      </c>
      <c r="I9708" s="7" t="str">
        <f>IF(Table1[[#This Row],[Is Data Valid]]=TRUE,((Table1[[#This Row],[Birthweight (grams)]]*1.1/Table1[[#This Row],[BW_GA]])-1)/(Backend!$B$4/100*Table1[[#This Row],[BW40_3705]]),"")</f>
        <v/>
      </c>
      <c r="J9708" s="7" t="str">
        <f>IF(Table1[[#This Row],[Is Data Valid]]=TRUE,_xlfn.NORM.S.DIST(Table1[[#This Row],[Birthweight Z-Score]],TRUE)*100,"")</f>
        <v/>
      </c>
      <c r="K9708" s="7" t="str">
        <f>IF(Table1[[#This Row],[Is Data Valid]]=TRUE,_xlfn.NORM.S.DIST(Table1[[#This Row],[Birthweight Z-Score (BW-10%)]],TRUE)*100,"")</f>
        <v/>
      </c>
      <c r="L9708" s="7" t="str">
        <f>IF(Table1[[#This Row],[Is Data Valid]]=TRUE,_xlfn.NORM.S.DIST(Table1[[#This Row],[Birthweight Z-Score (BW+10%)]],TRUE)*100,"")</f>
        <v/>
      </c>
    </row>
    <row r="9709" spans="1:12" x14ac:dyDescent="0.35">
      <c r="A9709" s="3"/>
      <c r="B9709" s="2"/>
      <c r="C9709" s="2"/>
      <c r="D9709" s="2" t="b">
        <f>IF(AND(NOT(ISBLANK(Table1[[#This Row],[Fetal Sex (Male, Female or Unknown)]])),ISNUMBER(Table1[[#This Row],[Birthweight (grams)]]),ISNUMBER(Table1[[#This Row],[Gestation (days)]])),TRUE,FALSE)</f>
        <v>0</v>
      </c>
      <c r="E9709" s="2" t="str">
        <f>IF(Table1[[#This Row],[Is Data Valid]]=TRUE,IF(Table1[[#This Row],[Fetal Sex (Male, Female or Unknown)]]="Male",Backend!$C$6,IF(Table1[[#This Row],[Fetal Sex (Male, Female or Unknown)]]="Female",Backend!$C$7,IF(Table1[[#This Row],[Fetal Sex (Male, Female or Unknown)]]="Unknown",Backend!$C$8,"Error"))),"")</f>
        <v/>
      </c>
      <c r="F9709" s="8" t="str">
        <f>IF(Table1[[#This Row],[Is Data Valid]]=TRUE,EXP(0.578+0.332*((Table1[[#This Row],[Gestation (days)]]+0.5)/7)-0.00354*((Table1[[#This Row],[Gestation (days)]]+0.5)/7)^2)*Table1[[#This Row],[BW40_3705]],"")</f>
        <v/>
      </c>
      <c r="G9709" s="2" t="str">
        <f>IF(Table1[[#This Row],[Is Data Valid]]=TRUE,((Table1[[#This Row],[Birthweight (grams)]]/Table1[[#This Row],[BW_GA]])-1)/(Backend!$B$4/100*Table1[[#This Row],[BW40_3705]]),"")</f>
        <v/>
      </c>
      <c r="H9709" s="7" t="str">
        <f>IF(Table1[[#This Row],[Is Data Valid]]=TRUE,((Table1[[#This Row],[Birthweight (grams)]]*0.9/Table1[[#This Row],[BW_GA]])-1)/(Backend!$B$4/100*Table1[[#This Row],[BW40_3705]]),"")</f>
        <v/>
      </c>
      <c r="I9709" s="7" t="str">
        <f>IF(Table1[[#This Row],[Is Data Valid]]=TRUE,((Table1[[#This Row],[Birthweight (grams)]]*1.1/Table1[[#This Row],[BW_GA]])-1)/(Backend!$B$4/100*Table1[[#This Row],[BW40_3705]]),"")</f>
        <v/>
      </c>
      <c r="J9709" s="7" t="str">
        <f>IF(Table1[[#This Row],[Is Data Valid]]=TRUE,_xlfn.NORM.S.DIST(Table1[[#This Row],[Birthweight Z-Score]],TRUE)*100,"")</f>
        <v/>
      </c>
      <c r="K9709" s="7" t="str">
        <f>IF(Table1[[#This Row],[Is Data Valid]]=TRUE,_xlfn.NORM.S.DIST(Table1[[#This Row],[Birthweight Z-Score (BW-10%)]],TRUE)*100,"")</f>
        <v/>
      </c>
      <c r="L9709" s="7" t="str">
        <f>IF(Table1[[#This Row],[Is Data Valid]]=TRUE,_xlfn.NORM.S.DIST(Table1[[#This Row],[Birthweight Z-Score (BW+10%)]],TRUE)*100,"")</f>
        <v/>
      </c>
    </row>
    <row r="9710" spans="1:12" x14ac:dyDescent="0.35">
      <c r="A9710" s="3"/>
      <c r="B9710" s="2"/>
      <c r="C9710" s="2"/>
      <c r="D9710" s="2" t="b">
        <f>IF(AND(NOT(ISBLANK(Table1[[#This Row],[Fetal Sex (Male, Female or Unknown)]])),ISNUMBER(Table1[[#This Row],[Birthweight (grams)]]),ISNUMBER(Table1[[#This Row],[Gestation (days)]])),TRUE,FALSE)</f>
        <v>0</v>
      </c>
      <c r="E9710" s="2" t="str">
        <f>IF(Table1[[#This Row],[Is Data Valid]]=TRUE,IF(Table1[[#This Row],[Fetal Sex (Male, Female or Unknown)]]="Male",Backend!$C$6,IF(Table1[[#This Row],[Fetal Sex (Male, Female or Unknown)]]="Female",Backend!$C$7,IF(Table1[[#This Row],[Fetal Sex (Male, Female or Unknown)]]="Unknown",Backend!$C$8,"Error"))),"")</f>
        <v/>
      </c>
      <c r="F9710" s="8" t="str">
        <f>IF(Table1[[#This Row],[Is Data Valid]]=TRUE,EXP(0.578+0.332*((Table1[[#This Row],[Gestation (days)]]+0.5)/7)-0.00354*((Table1[[#This Row],[Gestation (days)]]+0.5)/7)^2)*Table1[[#This Row],[BW40_3705]],"")</f>
        <v/>
      </c>
      <c r="G9710" s="2" t="str">
        <f>IF(Table1[[#This Row],[Is Data Valid]]=TRUE,((Table1[[#This Row],[Birthweight (grams)]]/Table1[[#This Row],[BW_GA]])-1)/(Backend!$B$4/100*Table1[[#This Row],[BW40_3705]]),"")</f>
        <v/>
      </c>
      <c r="H9710" s="7" t="str">
        <f>IF(Table1[[#This Row],[Is Data Valid]]=TRUE,((Table1[[#This Row],[Birthweight (grams)]]*0.9/Table1[[#This Row],[BW_GA]])-1)/(Backend!$B$4/100*Table1[[#This Row],[BW40_3705]]),"")</f>
        <v/>
      </c>
      <c r="I9710" s="7" t="str">
        <f>IF(Table1[[#This Row],[Is Data Valid]]=TRUE,((Table1[[#This Row],[Birthweight (grams)]]*1.1/Table1[[#This Row],[BW_GA]])-1)/(Backend!$B$4/100*Table1[[#This Row],[BW40_3705]]),"")</f>
        <v/>
      </c>
      <c r="J9710" s="7" t="str">
        <f>IF(Table1[[#This Row],[Is Data Valid]]=TRUE,_xlfn.NORM.S.DIST(Table1[[#This Row],[Birthweight Z-Score]],TRUE)*100,"")</f>
        <v/>
      </c>
      <c r="K9710" s="7" t="str">
        <f>IF(Table1[[#This Row],[Is Data Valid]]=TRUE,_xlfn.NORM.S.DIST(Table1[[#This Row],[Birthweight Z-Score (BW-10%)]],TRUE)*100,"")</f>
        <v/>
      </c>
      <c r="L9710" s="7" t="str">
        <f>IF(Table1[[#This Row],[Is Data Valid]]=TRUE,_xlfn.NORM.S.DIST(Table1[[#This Row],[Birthweight Z-Score (BW+10%)]],TRUE)*100,"")</f>
        <v/>
      </c>
    </row>
    <row r="9711" spans="1:12" x14ac:dyDescent="0.35">
      <c r="A9711" s="3"/>
      <c r="B9711" s="2"/>
      <c r="C9711" s="2"/>
      <c r="D9711" s="2" t="b">
        <f>IF(AND(NOT(ISBLANK(Table1[[#This Row],[Fetal Sex (Male, Female or Unknown)]])),ISNUMBER(Table1[[#This Row],[Birthweight (grams)]]),ISNUMBER(Table1[[#This Row],[Gestation (days)]])),TRUE,FALSE)</f>
        <v>0</v>
      </c>
      <c r="E9711" s="2" t="str">
        <f>IF(Table1[[#This Row],[Is Data Valid]]=TRUE,IF(Table1[[#This Row],[Fetal Sex (Male, Female or Unknown)]]="Male",Backend!$C$6,IF(Table1[[#This Row],[Fetal Sex (Male, Female or Unknown)]]="Female",Backend!$C$7,IF(Table1[[#This Row],[Fetal Sex (Male, Female or Unknown)]]="Unknown",Backend!$C$8,"Error"))),"")</f>
        <v/>
      </c>
      <c r="F9711" s="8" t="str">
        <f>IF(Table1[[#This Row],[Is Data Valid]]=TRUE,EXP(0.578+0.332*((Table1[[#This Row],[Gestation (days)]]+0.5)/7)-0.00354*((Table1[[#This Row],[Gestation (days)]]+0.5)/7)^2)*Table1[[#This Row],[BW40_3705]],"")</f>
        <v/>
      </c>
      <c r="G9711" s="2" t="str">
        <f>IF(Table1[[#This Row],[Is Data Valid]]=TRUE,((Table1[[#This Row],[Birthweight (grams)]]/Table1[[#This Row],[BW_GA]])-1)/(Backend!$B$4/100*Table1[[#This Row],[BW40_3705]]),"")</f>
        <v/>
      </c>
      <c r="H9711" s="7" t="str">
        <f>IF(Table1[[#This Row],[Is Data Valid]]=TRUE,((Table1[[#This Row],[Birthweight (grams)]]*0.9/Table1[[#This Row],[BW_GA]])-1)/(Backend!$B$4/100*Table1[[#This Row],[BW40_3705]]),"")</f>
        <v/>
      </c>
      <c r="I9711" s="7" t="str">
        <f>IF(Table1[[#This Row],[Is Data Valid]]=TRUE,((Table1[[#This Row],[Birthweight (grams)]]*1.1/Table1[[#This Row],[BW_GA]])-1)/(Backend!$B$4/100*Table1[[#This Row],[BW40_3705]]),"")</f>
        <v/>
      </c>
      <c r="J9711" s="7" t="str">
        <f>IF(Table1[[#This Row],[Is Data Valid]]=TRUE,_xlfn.NORM.S.DIST(Table1[[#This Row],[Birthweight Z-Score]],TRUE)*100,"")</f>
        <v/>
      </c>
      <c r="K9711" s="7" t="str">
        <f>IF(Table1[[#This Row],[Is Data Valid]]=TRUE,_xlfn.NORM.S.DIST(Table1[[#This Row],[Birthweight Z-Score (BW-10%)]],TRUE)*100,"")</f>
        <v/>
      </c>
      <c r="L9711" s="7" t="str">
        <f>IF(Table1[[#This Row],[Is Data Valid]]=TRUE,_xlfn.NORM.S.DIST(Table1[[#This Row],[Birthweight Z-Score (BW+10%)]],TRUE)*100,"")</f>
        <v/>
      </c>
    </row>
    <row r="9712" spans="1:12" x14ac:dyDescent="0.35">
      <c r="A9712" s="3"/>
      <c r="B9712" s="2"/>
      <c r="C9712" s="2"/>
      <c r="D9712" s="2" t="b">
        <f>IF(AND(NOT(ISBLANK(Table1[[#This Row],[Fetal Sex (Male, Female or Unknown)]])),ISNUMBER(Table1[[#This Row],[Birthweight (grams)]]),ISNUMBER(Table1[[#This Row],[Gestation (days)]])),TRUE,FALSE)</f>
        <v>0</v>
      </c>
      <c r="E9712" s="2" t="str">
        <f>IF(Table1[[#This Row],[Is Data Valid]]=TRUE,IF(Table1[[#This Row],[Fetal Sex (Male, Female or Unknown)]]="Male",Backend!$C$6,IF(Table1[[#This Row],[Fetal Sex (Male, Female or Unknown)]]="Female",Backend!$C$7,IF(Table1[[#This Row],[Fetal Sex (Male, Female or Unknown)]]="Unknown",Backend!$C$8,"Error"))),"")</f>
        <v/>
      </c>
      <c r="F9712" s="8" t="str">
        <f>IF(Table1[[#This Row],[Is Data Valid]]=TRUE,EXP(0.578+0.332*((Table1[[#This Row],[Gestation (days)]]+0.5)/7)-0.00354*((Table1[[#This Row],[Gestation (days)]]+0.5)/7)^2)*Table1[[#This Row],[BW40_3705]],"")</f>
        <v/>
      </c>
      <c r="G9712" s="2" t="str">
        <f>IF(Table1[[#This Row],[Is Data Valid]]=TRUE,((Table1[[#This Row],[Birthweight (grams)]]/Table1[[#This Row],[BW_GA]])-1)/(Backend!$B$4/100*Table1[[#This Row],[BW40_3705]]),"")</f>
        <v/>
      </c>
      <c r="H9712" s="7" t="str">
        <f>IF(Table1[[#This Row],[Is Data Valid]]=TRUE,((Table1[[#This Row],[Birthweight (grams)]]*0.9/Table1[[#This Row],[BW_GA]])-1)/(Backend!$B$4/100*Table1[[#This Row],[BW40_3705]]),"")</f>
        <v/>
      </c>
      <c r="I9712" s="7" t="str">
        <f>IF(Table1[[#This Row],[Is Data Valid]]=TRUE,((Table1[[#This Row],[Birthweight (grams)]]*1.1/Table1[[#This Row],[BW_GA]])-1)/(Backend!$B$4/100*Table1[[#This Row],[BW40_3705]]),"")</f>
        <v/>
      </c>
      <c r="J9712" s="7" t="str">
        <f>IF(Table1[[#This Row],[Is Data Valid]]=TRUE,_xlfn.NORM.S.DIST(Table1[[#This Row],[Birthweight Z-Score]],TRUE)*100,"")</f>
        <v/>
      </c>
      <c r="K9712" s="7" t="str">
        <f>IF(Table1[[#This Row],[Is Data Valid]]=TRUE,_xlfn.NORM.S.DIST(Table1[[#This Row],[Birthweight Z-Score (BW-10%)]],TRUE)*100,"")</f>
        <v/>
      </c>
      <c r="L9712" s="7" t="str">
        <f>IF(Table1[[#This Row],[Is Data Valid]]=TRUE,_xlfn.NORM.S.DIST(Table1[[#This Row],[Birthweight Z-Score (BW+10%)]],TRUE)*100,"")</f>
        <v/>
      </c>
    </row>
    <row r="9713" spans="1:12" x14ac:dyDescent="0.35">
      <c r="A9713" s="3"/>
      <c r="B9713" s="2"/>
      <c r="C9713" s="2"/>
      <c r="D9713" s="2" t="b">
        <f>IF(AND(NOT(ISBLANK(Table1[[#This Row],[Fetal Sex (Male, Female or Unknown)]])),ISNUMBER(Table1[[#This Row],[Birthweight (grams)]]),ISNUMBER(Table1[[#This Row],[Gestation (days)]])),TRUE,FALSE)</f>
        <v>0</v>
      </c>
      <c r="E9713" s="2" t="str">
        <f>IF(Table1[[#This Row],[Is Data Valid]]=TRUE,IF(Table1[[#This Row],[Fetal Sex (Male, Female or Unknown)]]="Male",Backend!$C$6,IF(Table1[[#This Row],[Fetal Sex (Male, Female or Unknown)]]="Female",Backend!$C$7,IF(Table1[[#This Row],[Fetal Sex (Male, Female or Unknown)]]="Unknown",Backend!$C$8,"Error"))),"")</f>
        <v/>
      </c>
      <c r="F9713" s="8" t="str">
        <f>IF(Table1[[#This Row],[Is Data Valid]]=TRUE,EXP(0.578+0.332*((Table1[[#This Row],[Gestation (days)]]+0.5)/7)-0.00354*((Table1[[#This Row],[Gestation (days)]]+0.5)/7)^2)*Table1[[#This Row],[BW40_3705]],"")</f>
        <v/>
      </c>
      <c r="G9713" s="2" t="str">
        <f>IF(Table1[[#This Row],[Is Data Valid]]=TRUE,((Table1[[#This Row],[Birthweight (grams)]]/Table1[[#This Row],[BW_GA]])-1)/(Backend!$B$4/100*Table1[[#This Row],[BW40_3705]]),"")</f>
        <v/>
      </c>
      <c r="H9713" s="7" t="str">
        <f>IF(Table1[[#This Row],[Is Data Valid]]=TRUE,((Table1[[#This Row],[Birthweight (grams)]]*0.9/Table1[[#This Row],[BW_GA]])-1)/(Backend!$B$4/100*Table1[[#This Row],[BW40_3705]]),"")</f>
        <v/>
      </c>
      <c r="I9713" s="7" t="str">
        <f>IF(Table1[[#This Row],[Is Data Valid]]=TRUE,((Table1[[#This Row],[Birthweight (grams)]]*1.1/Table1[[#This Row],[BW_GA]])-1)/(Backend!$B$4/100*Table1[[#This Row],[BW40_3705]]),"")</f>
        <v/>
      </c>
      <c r="J9713" s="7" t="str">
        <f>IF(Table1[[#This Row],[Is Data Valid]]=TRUE,_xlfn.NORM.S.DIST(Table1[[#This Row],[Birthweight Z-Score]],TRUE)*100,"")</f>
        <v/>
      </c>
      <c r="K9713" s="7" t="str">
        <f>IF(Table1[[#This Row],[Is Data Valid]]=TRUE,_xlfn.NORM.S.DIST(Table1[[#This Row],[Birthweight Z-Score (BW-10%)]],TRUE)*100,"")</f>
        <v/>
      </c>
      <c r="L9713" s="7" t="str">
        <f>IF(Table1[[#This Row],[Is Data Valid]]=TRUE,_xlfn.NORM.S.DIST(Table1[[#This Row],[Birthweight Z-Score (BW+10%)]],TRUE)*100,"")</f>
        <v/>
      </c>
    </row>
    <row r="9714" spans="1:12" x14ac:dyDescent="0.35">
      <c r="A9714" s="3"/>
      <c r="B9714" s="2"/>
      <c r="C9714" s="2"/>
      <c r="D9714" s="2" t="b">
        <f>IF(AND(NOT(ISBLANK(Table1[[#This Row],[Fetal Sex (Male, Female or Unknown)]])),ISNUMBER(Table1[[#This Row],[Birthweight (grams)]]),ISNUMBER(Table1[[#This Row],[Gestation (days)]])),TRUE,FALSE)</f>
        <v>0</v>
      </c>
      <c r="E9714" s="2" t="str">
        <f>IF(Table1[[#This Row],[Is Data Valid]]=TRUE,IF(Table1[[#This Row],[Fetal Sex (Male, Female or Unknown)]]="Male",Backend!$C$6,IF(Table1[[#This Row],[Fetal Sex (Male, Female or Unknown)]]="Female",Backend!$C$7,IF(Table1[[#This Row],[Fetal Sex (Male, Female or Unknown)]]="Unknown",Backend!$C$8,"Error"))),"")</f>
        <v/>
      </c>
      <c r="F9714" s="8" t="str">
        <f>IF(Table1[[#This Row],[Is Data Valid]]=TRUE,EXP(0.578+0.332*((Table1[[#This Row],[Gestation (days)]]+0.5)/7)-0.00354*((Table1[[#This Row],[Gestation (days)]]+0.5)/7)^2)*Table1[[#This Row],[BW40_3705]],"")</f>
        <v/>
      </c>
      <c r="G9714" s="2" t="str">
        <f>IF(Table1[[#This Row],[Is Data Valid]]=TRUE,((Table1[[#This Row],[Birthweight (grams)]]/Table1[[#This Row],[BW_GA]])-1)/(Backend!$B$4/100*Table1[[#This Row],[BW40_3705]]),"")</f>
        <v/>
      </c>
      <c r="H9714" s="7" t="str">
        <f>IF(Table1[[#This Row],[Is Data Valid]]=TRUE,((Table1[[#This Row],[Birthweight (grams)]]*0.9/Table1[[#This Row],[BW_GA]])-1)/(Backend!$B$4/100*Table1[[#This Row],[BW40_3705]]),"")</f>
        <v/>
      </c>
      <c r="I9714" s="7" t="str">
        <f>IF(Table1[[#This Row],[Is Data Valid]]=TRUE,((Table1[[#This Row],[Birthweight (grams)]]*1.1/Table1[[#This Row],[BW_GA]])-1)/(Backend!$B$4/100*Table1[[#This Row],[BW40_3705]]),"")</f>
        <v/>
      </c>
      <c r="J9714" s="7" t="str">
        <f>IF(Table1[[#This Row],[Is Data Valid]]=TRUE,_xlfn.NORM.S.DIST(Table1[[#This Row],[Birthweight Z-Score]],TRUE)*100,"")</f>
        <v/>
      </c>
      <c r="K9714" s="7" t="str">
        <f>IF(Table1[[#This Row],[Is Data Valid]]=TRUE,_xlfn.NORM.S.DIST(Table1[[#This Row],[Birthweight Z-Score (BW-10%)]],TRUE)*100,"")</f>
        <v/>
      </c>
      <c r="L9714" s="7" t="str">
        <f>IF(Table1[[#This Row],[Is Data Valid]]=TRUE,_xlfn.NORM.S.DIST(Table1[[#This Row],[Birthweight Z-Score (BW+10%)]],TRUE)*100,"")</f>
        <v/>
      </c>
    </row>
    <row r="9715" spans="1:12" x14ac:dyDescent="0.35">
      <c r="A9715" s="3"/>
      <c r="B9715" s="2"/>
      <c r="C9715" s="2"/>
      <c r="D9715" s="2" t="b">
        <f>IF(AND(NOT(ISBLANK(Table1[[#This Row],[Fetal Sex (Male, Female or Unknown)]])),ISNUMBER(Table1[[#This Row],[Birthweight (grams)]]),ISNUMBER(Table1[[#This Row],[Gestation (days)]])),TRUE,FALSE)</f>
        <v>0</v>
      </c>
      <c r="E9715" s="2" t="str">
        <f>IF(Table1[[#This Row],[Is Data Valid]]=TRUE,IF(Table1[[#This Row],[Fetal Sex (Male, Female or Unknown)]]="Male",Backend!$C$6,IF(Table1[[#This Row],[Fetal Sex (Male, Female or Unknown)]]="Female",Backend!$C$7,IF(Table1[[#This Row],[Fetal Sex (Male, Female or Unknown)]]="Unknown",Backend!$C$8,"Error"))),"")</f>
        <v/>
      </c>
      <c r="F9715" s="8" t="str">
        <f>IF(Table1[[#This Row],[Is Data Valid]]=TRUE,EXP(0.578+0.332*((Table1[[#This Row],[Gestation (days)]]+0.5)/7)-0.00354*((Table1[[#This Row],[Gestation (days)]]+0.5)/7)^2)*Table1[[#This Row],[BW40_3705]],"")</f>
        <v/>
      </c>
      <c r="G9715" s="2" t="str">
        <f>IF(Table1[[#This Row],[Is Data Valid]]=TRUE,((Table1[[#This Row],[Birthweight (grams)]]/Table1[[#This Row],[BW_GA]])-1)/(Backend!$B$4/100*Table1[[#This Row],[BW40_3705]]),"")</f>
        <v/>
      </c>
      <c r="H9715" s="7" t="str">
        <f>IF(Table1[[#This Row],[Is Data Valid]]=TRUE,((Table1[[#This Row],[Birthweight (grams)]]*0.9/Table1[[#This Row],[BW_GA]])-1)/(Backend!$B$4/100*Table1[[#This Row],[BW40_3705]]),"")</f>
        <v/>
      </c>
      <c r="I9715" s="7" t="str">
        <f>IF(Table1[[#This Row],[Is Data Valid]]=TRUE,((Table1[[#This Row],[Birthweight (grams)]]*1.1/Table1[[#This Row],[BW_GA]])-1)/(Backend!$B$4/100*Table1[[#This Row],[BW40_3705]]),"")</f>
        <v/>
      </c>
      <c r="J9715" s="7" t="str">
        <f>IF(Table1[[#This Row],[Is Data Valid]]=TRUE,_xlfn.NORM.S.DIST(Table1[[#This Row],[Birthweight Z-Score]],TRUE)*100,"")</f>
        <v/>
      </c>
      <c r="K9715" s="7" t="str">
        <f>IF(Table1[[#This Row],[Is Data Valid]]=TRUE,_xlfn.NORM.S.DIST(Table1[[#This Row],[Birthweight Z-Score (BW-10%)]],TRUE)*100,"")</f>
        <v/>
      </c>
      <c r="L9715" s="7" t="str">
        <f>IF(Table1[[#This Row],[Is Data Valid]]=TRUE,_xlfn.NORM.S.DIST(Table1[[#This Row],[Birthweight Z-Score (BW+10%)]],TRUE)*100,"")</f>
        <v/>
      </c>
    </row>
    <row r="9716" spans="1:12" x14ac:dyDescent="0.35">
      <c r="A9716" s="3"/>
      <c r="B9716" s="2"/>
      <c r="C9716" s="2"/>
      <c r="D9716" s="2" t="b">
        <f>IF(AND(NOT(ISBLANK(Table1[[#This Row],[Fetal Sex (Male, Female or Unknown)]])),ISNUMBER(Table1[[#This Row],[Birthweight (grams)]]),ISNUMBER(Table1[[#This Row],[Gestation (days)]])),TRUE,FALSE)</f>
        <v>0</v>
      </c>
      <c r="E9716" s="2" t="str">
        <f>IF(Table1[[#This Row],[Is Data Valid]]=TRUE,IF(Table1[[#This Row],[Fetal Sex (Male, Female or Unknown)]]="Male",Backend!$C$6,IF(Table1[[#This Row],[Fetal Sex (Male, Female or Unknown)]]="Female",Backend!$C$7,IF(Table1[[#This Row],[Fetal Sex (Male, Female or Unknown)]]="Unknown",Backend!$C$8,"Error"))),"")</f>
        <v/>
      </c>
      <c r="F9716" s="8" t="str">
        <f>IF(Table1[[#This Row],[Is Data Valid]]=TRUE,EXP(0.578+0.332*((Table1[[#This Row],[Gestation (days)]]+0.5)/7)-0.00354*((Table1[[#This Row],[Gestation (days)]]+0.5)/7)^2)*Table1[[#This Row],[BW40_3705]],"")</f>
        <v/>
      </c>
      <c r="G9716" s="2" t="str">
        <f>IF(Table1[[#This Row],[Is Data Valid]]=TRUE,((Table1[[#This Row],[Birthweight (grams)]]/Table1[[#This Row],[BW_GA]])-1)/(Backend!$B$4/100*Table1[[#This Row],[BW40_3705]]),"")</f>
        <v/>
      </c>
      <c r="H9716" s="7" t="str">
        <f>IF(Table1[[#This Row],[Is Data Valid]]=TRUE,((Table1[[#This Row],[Birthweight (grams)]]*0.9/Table1[[#This Row],[BW_GA]])-1)/(Backend!$B$4/100*Table1[[#This Row],[BW40_3705]]),"")</f>
        <v/>
      </c>
      <c r="I9716" s="7" t="str">
        <f>IF(Table1[[#This Row],[Is Data Valid]]=TRUE,((Table1[[#This Row],[Birthweight (grams)]]*1.1/Table1[[#This Row],[BW_GA]])-1)/(Backend!$B$4/100*Table1[[#This Row],[BW40_3705]]),"")</f>
        <v/>
      </c>
      <c r="J9716" s="7" t="str">
        <f>IF(Table1[[#This Row],[Is Data Valid]]=TRUE,_xlfn.NORM.S.DIST(Table1[[#This Row],[Birthweight Z-Score]],TRUE)*100,"")</f>
        <v/>
      </c>
      <c r="K9716" s="7" t="str">
        <f>IF(Table1[[#This Row],[Is Data Valid]]=TRUE,_xlfn.NORM.S.DIST(Table1[[#This Row],[Birthweight Z-Score (BW-10%)]],TRUE)*100,"")</f>
        <v/>
      </c>
      <c r="L9716" s="7" t="str">
        <f>IF(Table1[[#This Row],[Is Data Valid]]=TRUE,_xlfn.NORM.S.DIST(Table1[[#This Row],[Birthweight Z-Score (BW+10%)]],TRUE)*100,"")</f>
        <v/>
      </c>
    </row>
    <row r="9717" spans="1:12" x14ac:dyDescent="0.35">
      <c r="A9717" s="3"/>
      <c r="B9717" s="2"/>
      <c r="C9717" s="2"/>
      <c r="D9717" s="2" t="b">
        <f>IF(AND(NOT(ISBLANK(Table1[[#This Row],[Fetal Sex (Male, Female or Unknown)]])),ISNUMBER(Table1[[#This Row],[Birthweight (grams)]]),ISNUMBER(Table1[[#This Row],[Gestation (days)]])),TRUE,FALSE)</f>
        <v>0</v>
      </c>
      <c r="E9717" s="2" t="str">
        <f>IF(Table1[[#This Row],[Is Data Valid]]=TRUE,IF(Table1[[#This Row],[Fetal Sex (Male, Female or Unknown)]]="Male",Backend!$C$6,IF(Table1[[#This Row],[Fetal Sex (Male, Female or Unknown)]]="Female",Backend!$C$7,IF(Table1[[#This Row],[Fetal Sex (Male, Female or Unknown)]]="Unknown",Backend!$C$8,"Error"))),"")</f>
        <v/>
      </c>
      <c r="F9717" s="8" t="str">
        <f>IF(Table1[[#This Row],[Is Data Valid]]=TRUE,EXP(0.578+0.332*((Table1[[#This Row],[Gestation (days)]]+0.5)/7)-0.00354*((Table1[[#This Row],[Gestation (days)]]+0.5)/7)^2)*Table1[[#This Row],[BW40_3705]],"")</f>
        <v/>
      </c>
      <c r="G9717" s="2" t="str">
        <f>IF(Table1[[#This Row],[Is Data Valid]]=TRUE,((Table1[[#This Row],[Birthweight (grams)]]/Table1[[#This Row],[BW_GA]])-1)/(Backend!$B$4/100*Table1[[#This Row],[BW40_3705]]),"")</f>
        <v/>
      </c>
      <c r="H9717" s="7" t="str">
        <f>IF(Table1[[#This Row],[Is Data Valid]]=TRUE,((Table1[[#This Row],[Birthweight (grams)]]*0.9/Table1[[#This Row],[BW_GA]])-1)/(Backend!$B$4/100*Table1[[#This Row],[BW40_3705]]),"")</f>
        <v/>
      </c>
      <c r="I9717" s="7" t="str">
        <f>IF(Table1[[#This Row],[Is Data Valid]]=TRUE,((Table1[[#This Row],[Birthweight (grams)]]*1.1/Table1[[#This Row],[BW_GA]])-1)/(Backend!$B$4/100*Table1[[#This Row],[BW40_3705]]),"")</f>
        <v/>
      </c>
      <c r="J9717" s="7" t="str">
        <f>IF(Table1[[#This Row],[Is Data Valid]]=TRUE,_xlfn.NORM.S.DIST(Table1[[#This Row],[Birthweight Z-Score]],TRUE)*100,"")</f>
        <v/>
      </c>
      <c r="K9717" s="7" t="str">
        <f>IF(Table1[[#This Row],[Is Data Valid]]=TRUE,_xlfn.NORM.S.DIST(Table1[[#This Row],[Birthweight Z-Score (BW-10%)]],TRUE)*100,"")</f>
        <v/>
      </c>
      <c r="L9717" s="7" t="str">
        <f>IF(Table1[[#This Row],[Is Data Valid]]=TRUE,_xlfn.NORM.S.DIST(Table1[[#This Row],[Birthweight Z-Score (BW+10%)]],TRUE)*100,"")</f>
        <v/>
      </c>
    </row>
    <row r="9718" spans="1:12" x14ac:dyDescent="0.35">
      <c r="A9718" s="3"/>
      <c r="B9718" s="2"/>
      <c r="C9718" s="2"/>
      <c r="D9718" s="2" t="b">
        <f>IF(AND(NOT(ISBLANK(Table1[[#This Row],[Fetal Sex (Male, Female or Unknown)]])),ISNUMBER(Table1[[#This Row],[Birthweight (grams)]]),ISNUMBER(Table1[[#This Row],[Gestation (days)]])),TRUE,FALSE)</f>
        <v>0</v>
      </c>
      <c r="E9718" s="2" t="str">
        <f>IF(Table1[[#This Row],[Is Data Valid]]=TRUE,IF(Table1[[#This Row],[Fetal Sex (Male, Female or Unknown)]]="Male",Backend!$C$6,IF(Table1[[#This Row],[Fetal Sex (Male, Female or Unknown)]]="Female",Backend!$C$7,IF(Table1[[#This Row],[Fetal Sex (Male, Female or Unknown)]]="Unknown",Backend!$C$8,"Error"))),"")</f>
        <v/>
      </c>
      <c r="F9718" s="8" t="str">
        <f>IF(Table1[[#This Row],[Is Data Valid]]=TRUE,EXP(0.578+0.332*((Table1[[#This Row],[Gestation (days)]]+0.5)/7)-0.00354*((Table1[[#This Row],[Gestation (days)]]+0.5)/7)^2)*Table1[[#This Row],[BW40_3705]],"")</f>
        <v/>
      </c>
      <c r="G9718" s="2" t="str">
        <f>IF(Table1[[#This Row],[Is Data Valid]]=TRUE,((Table1[[#This Row],[Birthweight (grams)]]/Table1[[#This Row],[BW_GA]])-1)/(Backend!$B$4/100*Table1[[#This Row],[BW40_3705]]),"")</f>
        <v/>
      </c>
      <c r="H9718" s="7" t="str">
        <f>IF(Table1[[#This Row],[Is Data Valid]]=TRUE,((Table1[[#This Row],[Birthweight (grams)]]*0.9/Table1[[#This Row],[BW_GA]])-1)/(Backend!$B$4/100*Table1[[#This Row],[BW40_3705]]),"")</f>
        <v/>
      </c>
      <c r="I9718" s="7" t="str">
        <f>IF(Table1[[#This Row],[Is Data Valid]]=TRUE,((Table1[[#This Row],[Birthweight (grams)]]*1.1/Table1[[#This Row],[BW_GA]])-1)/(Backend!$B$4/100*Table1[[#This Row],[BW40_3705]]),"")</f>
        <v/>
      </c>
      <c r="J9718" s="7" t="str">
        <f>IF(Table1[[#This Row],[Is Data Valid]]=TRUE,_xlfn.NORM.S.DIST(Table1[[#This Row],[Birthweight Z-Score]],TRUE)*100,"")</f>
        <v/>
      </c>
      <c r="K9718" s="7" t="str">
        <f>IF(Table1[[#This Row],[Is Data Valid]]=TRUE,_xlfn.NORM.S.DIST(Table1[[#This Row],[Birthweight Z-Score (BW-10%)]],TRUE)*100,"")</f>
        <v/>
      </c>
      <c r="L9718" s="7" t="str">
        <f>IF(Table1[[#This Row],[Is Data Valid]]=TRUE,_xlfn.NORM.S.DIST(Table1[[#This Row],[Birthweight Z-Score (BW+10%)]],TRUE)*100,"")</f>
        <v/>
      </c>
    </row>
    <row r="9719" spans="1:12" x14ac:dyDescent="0.35">
      <c r="A9719" s="3"/>
      <c r="B9719" s="2"/>
      <c r="C9719" s="2"/>
      <c r="D9719" s="2" t="b">
        <f>IF(AND(NOT(ISBLANK(Table1[[#This Row],[Fetal Sex (Male, Female or Unknown)]])),ISNUMBER(Table1[[#This Row],[Birthweight (grams)]]),ISNUMBER(Table1[[#This Row],[Gestation (days)]])),TRUE,FALSE)</f>
        <v>0</v>
      </c>
      <c r="E9719" s="2" t="str">
        <f>IF(Table1[[#This Row],[Is Data Valid]]=TRUE,IF(Table1[[#This Row],[Fetal Sex (Male, Female or Unknown)]]="Male",Backend!$C$6,IF(Table1[[#This Row],[Fetal Sex (Male, Female or Unknown)]]="Female",Backend!$C$7,IF(Table1[[#This Row],[Fetal Sex (Male, Female or Unknown)]]="Unknown",Backend!$C$8,"Error"))),"")</f>
        <v/>
      </c>
      <c r="F9719" s="8" t="str">
        <f>IF(Table1[[#This Row],[Is Data Valid]]=TRUE,EXP(0.578+0.332*((Table1[[#This Row],[Gestation (days)]]+0.5)/7)-0.00354*((Table1[[#This Row],[Gestation (days)]]+0.5)/7)^2)*Table1[[#This Row],[BW40_3705]],"")</f>
        <v/>
      </c>
      <c r="G9719" s="2" t="str">
        <f>IF(Table1[[#This Row],[Is Data Valid]]=TRUE,((Table1[[#This Row],[Birthweight (grams)]]/Table1[[#This Row],[BW_GA]])-1)/(Backend!$B$4/100*Table1[[#This Row],[BW40_3705]]),"")</f>
        <v/>
      </c>
      <c r="H9719" s="7" t="str">
        <f>IF(Table1[[#This Row],[Is Data Valid]]=TRUE,((Table1[[#This Row],[Birthweight (grams)]]*0.9/Table1[[#This Row],[BW_GA]])-1)/(Backend!$B$4/100*Table1[[#This Row],[BW40_3705]]),"")</f>
        <v/>
      </c>
      <c r="I9719" s="7" t="str">
        <f>IF(Table1[[#This Row],[Is Data Valid]]=TRUE,((Table1[[#This Row],[Birthweight (grams)]]*1.1/Table1[[#This Row],[BW_GA]])-1)/(Backend!$B$4/100*Table1[[#This Row],[BW40_3705]]),"")</f>
        <v/>
      </c>
      <c r="J9719" s="7" t="str">
        <f>IF(Table1[[#This Row],[Is Data Valid]]=TRUE,_xlfn.NORM.S.DIST(Table1[[#This Row],[Birthweight Z-Score]],TRUE)*100,"")</f>
        <v/>
      </c>
      <c r="K9719" s="7" t="str">
        <f>IF(Table1[[#This Row],[Is Data Valid]]=TRUE,_xlfn.NORM.S.DIST(Table1[[#This Row],[Birthweight Z-Score (BW-10%)]],TRUE)*100,"")</f>
        <v/>
      </c>
      <c r="L9719" s="7" t="str">
        <f>IF(Table1[[#This Row],[Is Data Valid]]=TRUE,_xlfn.NORM.S.DIST(Table1[[#This Row],[Birthweight Z-Score (BW+10%)]],TRUE)*100,"")</f>
        <v/>
      </c>
    </row>
    <row r="9720" spans="1:12" x14ac:dyDescent="0.35">
      <c r="A9720" s="3"/>
      <c r="B9720" s="2"/>
      <c r="C9720" s="2"/>
      <c r="D9720" s="2" t="b">
        <f>IF(AND(NOT(ISBLANK(Table1[[#This Row],[Fetal Sex (Male, Female or Unknown)]])),ISNUMBER(Table1[[#This Row],[Birthweight (grams)]]),ISNUMBER(Table1[[#This Row],[Gestation (days)]])),TRUE,FALSE)</f>
        <v>0</v>
      </c>
      <c r="E9720" s="2" t="str">
        <f>IF(Table1[[#This Row],[Is Data Valid]]=TRUE,IF(Table1[[#This Row],[Fetal Sex (Male, Female or Unknown)]]="Male",Backend!$C$6,IF(Table1[[#This Row],[Fetal Sex (Male, Female or Unknown)]]="Female",Backend!$C$7,IF(Table1[[#This Row],[Fetal Sex (Male, Female or Unknown)]]="Unknown",Backend!$C$8,"Error"))),"")</f>
        <v/>
      </c>
      <c r="F9720" s="8" t="str">
        <f>IF(Table1[[#This Row],[Is Data Valid]]=TRUE,EXP(0.578+0.332*((Table1[[#This Row],[Gestation (days)]]+0.5)/7)-0.00354*((Table1[[#This Row],[Gestation (days)]]+0.5)/7)^2)*Table1[[#This Row],[BW40_3705]],"")</f>
        <v/>
      </c>
      <c r="G9720" s="2" t="str">
        <f>IF(Table1[[#This Row],[Is Data Valid]]=TRUE,((Table1[[#This Row],[Birthweight (grams)]]/Table1[[#This Row],[BW_GA]])-1)/(Backend!$B$4/100*Table1[[#This Row],[BW40_3705]]),"")</f>
        <v/>
      </c>
      <c r="H9720" s="7" t="str">
        <f>IF(Table1[[#This Row],[Is Data Valid]]=TRUE,((Table1[[#This Row],[Birthweight (grams)]]*0.9/Table1[[#This Row],[BW_GA]])-1)/(Backend!$B$4/100*Table1[[#This Row],[BW40_3705]]),"")</f>
        <v/>
      </c>
      <c r="I9720" s="7" t="str">
        <f>IF(Table1[[#This Row],[Is Data Valid]]=TRUE,((Table1[[#This Row],[Birthweight (grams)]]*1.1/Table1[[#This Row],[BW_GA]])-1)/(Backend!$B$4/100*Table1[[#This Row],[BW40_3705]]),"")</f>
        <v/>
      </c>
      <c r="J9720" s="7" t="str">
        <f>IF(Table1[[#This Row],[Is Data Valid]]=TRUE,_xlfn.NORM.S.DIST(Table1[[#This Row],[Birthweight Z-Score]],TRUE)*100,"")</f>
        <v/>
      </c>
      <c r="K9720" s="7" t="str">
        <f>IF(Table1[[#This Row],[Is Data Valid]]=TRUE,_xlfn.NORM.S.DIST(Table1[[#This Row],[Birthweight Z-Score (BW-10%)]],TRUE)*100,"")</f>
        <v/>
      </c>
      <c r="L9720" s="7" t="str">
        <f>IF(Table1[[#This Row],[Is Data Valid]]=TRUE,_xlfn.NORM.S.DIST(Table1[[#This Row],[Birthweight Z-Score (BW+10%)]],TRUE)*100,"")</f>
        <v/>
      </c>
    </row>
    <row r="9721" spans="1:12" x14ac:dyDescent="0.35">
      <c r="A9721" s="3"/>
      <c r="B9721" s="2"/>
      <c r="C9721" s="2"/>
      <c r="D9721" s="2" t="b">
        <f>IF(AND(NOT(ISBLANK(Table1[[#This Row],[Fetal Sex (Male, Female or Unknown)]])),ISNUMBER(Table1[[#This Row],[Birthweight (grams)]]),ISNUMBER(Table1[[#This Row],[Gestation (days)]])),TRUE,FALSE)</f>
        <v>0</v>
      </c>
      <c r="E9721" s="2" t="str">
        <f>IF(Table1[[#This Row],[Is Data Valid]]=TRUE,IF(Table1[[#This Row],[Fetal Sex (Male, Female or Unknown)]]="Male",Backend!$C$6,IF(Table1[[#This Row],[Fetal Sex (Male, Female or Unknown)]]="Female",Backend!$C$7,IF(Table1[[#This Row],[Fetal Sex (Male, Female or Unknown)]]="Unknown",Backend!$C$8,"Error"))),"")</f>
        <v/>
      </c>
      <c r="F9721" s="8" t="str">
        <f>IF(Table1[[#This Row],[Is Data Valid]]=TRUE,EXP(0.578+0.332*((Table1[[#This Row],[Gestation (days)]]+0.5)/7)-0.00354*((Table1[[#This Row],[Gestation (days)]]+0.5)/7)^2)*Table1[[#This Row],[BW40_3705]],"")</f>
        <v/>
      </c>
      <c r="G9721" s="2" t="str">
        <f>IF(Table1[[#This Row],[Is Data Valid]]=TRUE,((Table1[[#This Row],[Birthweight (grams)]]/Table1[[#This Row],[BW_GA]])-1)/(Backend!$B$4/100*Table1[[#This Row],[BW40_3705]]),"")</f>
        <v/>
      </c>
      <c r="H9721" s="7" t="str">
        <f>IF(Table1[[#This Row],[Is Data Valid]]=TRUE,((Table1[[#This Row],[Birthweight (grams)]]*0.9/Table1[[#This Row],[BW_GA]])-1)/(Backend!$B$4/100*Table1[[#This Row],[BW40_3705]]),"")</f>
        <v/>
      </c>
      <c r="I9721" s="7" t="str">
        <f>IF(Table1[[#This Row],[Is Data Valid]]=TRUE,((Table1[[#This Row],[Birthweight (grams)]]*1.1/Table1[[#This Row],[BW_GA]])-1)/(Backend!$B$4/100*Table1[[#This Row],[BW40_3705]]),"")</f>
        <v/>
      </c>
      <c r="J9721" s="7" t="str">
        <f>IF(Table1[[#This Row],[Is Data Valid]]=TRUE,_xlfn.NORM.S.DIST(Table1[[#This Row],[Birthweight Z-Score]],TRUE)*100,"")</f>
        <v/>
      </c>
      <c r="K9721" s="7" t="str">
        <f>IF(Table1[[#This Row],[Is Data Valid]]=TRUE,_xlfn.NORM.S.DIST(Table1[[#This Row],[Birthweight Z-Score (BW-10%)]],TRUE)*100,"")</f>
        <v/>
      </c>
      <c r="L9721" s="7" t="str">
        <f>IF(Table1[[#This Row],[Is Data Valid]]=TRUE,_xlfn.NORM.S.DIST(Table1[[#This Row],[Birthweight Z-Score (BW+10%)]],TRUE)*100,"")</f>
        <v/>
      </c>
    </row>
    <row r="9722" spans="1:12" x14ac:dyDescent="0.35">
      <c r="A9722" s="3"/>
      <c r="B9722" s="2"/>
      <c r="C9722" s="2"/>
      <c r="D9722" s="2" t="b">
        <f>IF(AND(NOT(ISBLANK(Table1[[#This Row],[Fetal Sex (Male, Female or Unknown)]])),ISNUMBER(Table1[[#This Row],[Birthweight (grams)]]),ISNUMBER(Table1[[#This Row],[Gestation (days)]])),TRUE,FALSE)</f>
        <v>0</v>
      </c>
      <c r="E9722" s="2" t="str">
        <f>IF(Table1[[#This Row],[Is Data Valid]]=TRUE,IF(Table1[[#This Row],[Fetal Sex (Male, Female or Unknown)]]="Male",Backend!$C$6,IF(Table1[[#This Row],[Fetal Sex (Male, Female or Unknown)]]="Female",Backend!$C$7,IF(Table1[[#This Row],[Fetal Sex (Male, Female or Unknown)]]="Unknown",Backend!$C$8,"Error"))),"")</f>
        <v/>
      </c>
      <c r="F9722" s="8" t="str">
        <f>IF(Table1[[#This Row],[Is Data Valid]]=TRUE,EXP(0.578+0.332*((Table1[[#This Row],[Gestation (days)]]+0.5)/7)-0.00354*((Table1[[#This Row],[Gestation (days)]]+0.5)/7)^2)*Table1[[#This Row],[BW40_3705]],"")</f>
        <v/>
      </c>
      <c r="G9722" s="2" t="str">
        <f>IF(Table1[[#This Row],[Is Data Valid]]=TRUE,((Table1[[#This Row],[Birthweight (grams)]]/Table1[[#This Row],[BW_GA]])-1)/(Backend!$B$4/100*Table1[[#This Row],[BW40_3705]]),"")</f>
        <v/>
      </c>
      <c r="H9722" s="7" t="str">
        <f>IF(Table1[[#This Row],[Is Data Valid]]=TRUE,((Table1[[#This Row],[Birthweight (grams)]]*0.9/Table1[[#This Row],[BW_GA]])-1)/(Backend!$B$4/100*Table1[[#This Row],[BW40_3705]]),"")</f>
        <v/>
      </c>
      <c r="I9722" s="7" t="str">
        <f>IF(Table1[[#This Row],[Is Data Valid]]=TRUE,((Table1[[#This Row],[Birthweight (grams)]]*1.1/Table1[[#This Row],[BW_GA]])-1)/(Backend!$B$4/100*Table1[[#This Row],[BW40_3705]]),"")</f>
        <v/>
      </c>
      <c r="J9722" s="7" t="str">
        <f>IF(Table1[[#This Row],[Is Data Valid]]=TRUE,_xlfn.NORM.S.DIST(Table1[[#This Row],[Birthweight Z-Score]],TRUE)*100,"")</f>
        <v/>
      </c>
      <c r="K9722" s="7" t="str">
        <f>IF(Table1[[#This Row],[Is Data Valid]]=TRUE,_xlfn.NORM.S.DIST(Table1[[#This Row],[Birthweight Z-Score (BW-10%)]],TRUE)*100,"")</f>
        <v/>
      </c>
      <c r="L9722" s="7" t="str">
        <f>IF(Table1[[#This Row],[Is Data Valid]]=TRUE,_xlfn.NORM.S.DIST(Table1[[#This Row],[Birthweight Z-Score (BW+10%)]],TRUE)*100,"")</f>
        <v/>
      </c>
    </row>
    <row r="9723" spans="1:12" x14ac:dyDescent="0.35">
      <c r="A9723" s="3"/>
      <c r="B9723" s="2"/>
      <c r="C9723" s="2"/>
      <c r="D9723" s="2" t="b">
        <f>IF(AND(NOT(ISBLANK(Table1[[#This Row],[Fetal Sex (Male, Female or Unknown)]])),ISNUMBER(Table1[[#This Row],[Birthweight (grams)]]),ISNUMBER(Table1[[#This Row],[Gestation (days)]])),TRUE,FALSE)</f>
        <v>0</v>
      </c>
      <c r="E9723" s="2" t="str">
        <f>IF(Table1[[#This Row],[Is Data Valid]]=TRUE,IF(Table1[[#This Row],[Fetal Sex (Male, Female or Unknown)]]="Male",Backend!$C$6,IF(Table1[[#This Row],[Fetal Sex (Male, Female or Unknown)]]="Female",Backend!$C$7,IF(Table1[[#This Row],[Fetal Sex (Male, Female or Unknown)]]="Unknown",Backend!$C$8,"Error"))),"")</f>
        <v/>
      </c>
      <c r="F9723" s="8" t="str">
        <f>IF(Table1[[#This Row],[Is Data Valid]]=TRUE,EXP(0.578+0.332*((Table1[[#This Row],[Gestation (days)]]+0.5)/7)-0.00354*((Table1[[#This Row],[Gestation (days)]]+0.5)/7)^2)*Table1[[#This Row],[BW40_3705]],"")</f>
        <v/>
      </c>
      <c r="G9723" s="2" t="str">
        <f>IF(Table1[[#This Row],[Is Data Valid]]=TRUE,((Table1[[#This Row],[Birthweight (grams)]]/Table1[[#This Row],[BW_GA]])-1)/(Backend!$B$4/100*Table1[[#This Row],[BW40_3705]]),"")</f>
        <v/>
      </c>
      <c r="H9723" s="7" t="str">
        <f>IF(Table1[[#This Row],[Is Data Valid]]=TRUE,((Table1[[#This Row],[Birthweight (grams)]]*0.9/Table1[[#This Row],[BW_GA]])-1)/(Backend!$B$4/100*Table1[[#This Row],[BW40_3705]]),"")</f>
        <v/>
      </c>
      <c r="I9723" s="7" t="str">
        <f>IF(Table1[[#This Row],[Is Data Valid]]=TRUE,((Table1[[#This Row],[Birthweight (grams)]]*1.1/Table1[[#This Row],[BW_GA]])-1)/(Backend!$B$4/100*Table1[[#This Row],[BW40_3705]]),"")</f>
        <v/>
      </c>
      <c r="J9723" s="7" t="str">
        <f>IF(Table1[[#This Row],[Is Data Valid]]=TRUE,_xlfn.NORM.S.DIST(Table1[[#This Row],[Birthweight Z-Score]],TRUE)*100,"")</f>
        <v/>
      </c>
      <c r="K9723" s="7" t="str">
        <f>IF(Table1[[#This Row],[Is Data Valid]]=TRUE,_xlfn.NORM.S.DIST(Table1[[#This Row],[Birthweight Z-Score (BW-10%)]],TRUE)*100,"")</f>
        <v/>
      </c>
      <c r="L9723" s="7" t="str">
        <f>IF(Table1[[#This Row],[Is Data Valid]]=TRUE,_xlfn.NORM.S.DIST(Table1[[#This Row],[Birthweight Z-Score (BW+10%)]],TRUE)*100,"")</f>
        <v/>
      </c>
    </row>
    <row r="9724" spans="1:12" x14ac:dyDescent="0.35">
      <c r="A9724" s="3"/>
      <c r="B9724" s="2"/>
      <c r="C9724" s="2"/>
      <c r="D9724" s="2" t="b">
        <f>IF(AND(NOT(ISBLANK(Table1[[#This Row],[Fetal Sex (Male, Female or Unknown)]])),ISNUMBER(Table1[[#This Row],[Birthweight (grams)]]),ISNUMBER(Table1[[#This Row],[Gestation (days)]])),TRUE,FALSE)</f>
        <v>0</v>
      </c>
      <c r="E9724" s="2" t="str">
        <f>IF(Table1[[#This Row],[Is Data Valid]]=TRUE,IF(Table1[[#This Row],[Fetal Sex (Male, Female or Unknown)]]="Male",Backend!$C$6,IF(Table1[[#This Row],[Fetal Sex (Male, Female or Unknown)]]="Female",Backend!$C$7,IF(Table1[[#This Row],[Fetal Sex (Male, Female or Unknown)]]="Unknown",Backend!$C$8,"Error"))),"")</f>
        <v/>
      </c>
      <c r="F9724" s="8" t="str">
        <f>IF(Table1[[#This Row],[Is Data Valid]]=TRUE,EXP(0.578+0.332*((Table1[[#This Row],[Gestation (days)]]+0.5)/7)-0.00354*((Table1[[#This Row],[Gestation (days)]]+0.5)/7)^2)*Table1[[#This Row],[BW40_3705]],"")</f>
        <v/>
      </c>
      <c r="G9724" s="2" t="str">
        <f>IF(Table1[[#This Row],[Is Data Valid]]=TRUE,((Table1[[#This Row],[Birthweight (grams)]]/Table1[[#This Row],[BW_GA]])-1)/(Backend!$B$4/100*Table1[[#This Row],[BW40_3705]]),"")</f>
        <v/>
      </c>
      <c r="H9724" s="7" t="str">
        <f>IF(Table1[[#This Row],[Is Data Valid]]=TRUE,((Table1[[#This Row],[Birthweight (grams)]]*0.9/Table1[[#This Row],[BW_GA]])-1)/(Backend!$B$4/100*Table1[[#This Row],[BW40_3705]]),"")</f>
        <v/>
      </c>
      <c r="I9724" s="7" t="str">
        <f>IF(Table1[[#This Row],[Is Data Valid]]=TRUE,((Table1[[#This Row],[Birthweight (grams)]]*1.1/Table1[[#This Row],[BW_GA]])-1)/(Backend!$B$4/100*Table1[[#This Row],[BW40_3705]]),"")</f>
        <v/>
      </c>
      <c r="J9724" s="7" t="str">
        <f>IF(Table1[[#This Row],[Is Data Valid]]=TRUE,_xlfn.NORM.S.DIST(Table1[[#This Row],[Birthweight Z-Score]],TRUE)*100,"")</f>
        <v/>
      </c>
      <c r="K9724" s="7" t="str">
        <f>IF(Table1[[#This Row],[Is Data Valid]]=TRUE,_xlfn.NORM.S.DIST(Table1[[#This Row],[Birthweight Z-Score (BW-10%)]],TRUE)*100,"")</f>
        <v/>
      </c>
      <c r="L9724" s="7" t="str">
        <f>IF(Table1[[#This Row],[Is Data Valid]]=TRUE,_xlfn.NORM.S.DIST(Table1[[#This Row],[Birthweight Z-Score (BW+10%)]],TRUE)*100,"")</f>
        <v/>
      </c>
    </row>
    <row r="9725" spans="1:12" x14ac:dyDescent="0.35">
      <c r="A9725" s="3"/>
      <c r="B9725" s="2"/>
      <c r="C9725" s="2"/>
      <c r="D9725" s="2" t="b">
        <f>IF(AND(NOT(ISBLANK(Table1[[#This Row],[Fetal Sex (Male, Female or Unknown)]])),ISNUMBER(Table1[[#This Row],[Birthweight (grams)]]),ISNUMBER(Table1[[#This Row],[Gestation (days)]])),TRUE,FALSE)</f>
        <v>0</v>
      </c>
      <c r="E9725" s="2" t="str">
        <f>IF(Table1[[#This Row],[Is Data Valid]]=TRUE,IF(Table1[[#This Row],[Fetal Sex (Male, Female or Unknown)]]="Male",Backend!$C$6,IF(Table1[[#This Row],[Fetal Sex (Male, Female or Unknown)]]="Female",Backend!$C$7,IF(Table1[[#This Row],[Fetal Sex (Male, Female or Unknown)]]="Unknown",Backend!$C$8,"Error"))),"")</f>
        <v/>
      </c>
      <c r="F9725" s="8" t="str">
        <f>IF(Table1[[#This Row],[Is Data Valid]]=TRUE,EXP(0.578+0.332*((Table1[[#This Row],[Gestation (days)]]+0.5)/7)-0.00354*((Table1[[#This Row],[Gestation (days)]]+0.5)/7)^2)*Table1[[#This Row],[BW40_3705]],"")</f>
        <v/>
      </c>
      <c r="G9725" s="2" t="str">
        <f>IF(Table1[[#This Row],[Is Data Valid]]=TRUE,((Table1[[#This Row],[Birthweight (grams)]]/Table1[[#This Row],[BW_GA]])-1)/(Backend!$B$4/100*Table1[[#This Row],[BW40_3705]]),"")</f>
        <v/>
      </c>
      <c r="H9725" s="7" t="str">
        <f>IF(Table1[[#This Row],[Is Data Valid]]=TRUE,((Table1[[#This Row],[Birthweight (grams)]]*0.9/Table1[[#This Row],[BW_GA]])-1)/(Backend!$B$4/100*Table1[[#This Row],[BW40_3705]]),"")</f>
        <v/>
      </c>
      <c r="I9725" s="7" t="str">
        <f>IF(Table1[[#This Row],[Is Data Valid]]=TRUE,((Table1[[#This Row],[Birthweight (grams)]]*1.1/Table1[[#This Row],[BW_GA]])-1)/(Backend!$B$4/100*Table1[[#This Row],[BW40_3705]]),"")</f>
        <v/>
      </c>
      <c r="J9725" s="7" t="str">
        <f>IF(Table1[[#This Row],[Is Data Valid]]=TRUE,_xlfn.NORM.S.DIST(Table1[[#This Row],[Birthweight Z-Score]],TRUE)*100,"")</f>
        <v/>
      </c>
      <c r="K9725" s="7" t="str">
        <f>IF(Table1[[#This Row],[Is Data Valid]]=TRUE,_xlfn.NORM.S.DIST(Table1[[#This Row],[Birthweight Z-Score (BW-10%)]],TRUE)*100,"")</f>
        <v/>
      </c>
      <c r="L9725" s="7" t="str">
        <f>IF(Table1[[#This Row],[Is Data Valid]]=TRUE,_xlfn.NORM.S.DIST(Table1[[#This Row],[Birthweight Z-Score (BW+10%)]],TRUE)*100,"")</f>
        <v/>
      </c>
    </row>
    <row r="9726" spans="1:12" x14ac:dyDescent="0.35">
      <c r="A9726" s="3"/>
      <c r="B9726" s="2"/>
      <c r="C9726" s="2"/>
      <c r="D9726" s="2" t="b">
        <f>IF(AND(NOT(ISBLANK(Table1[[#This Row],[Fetal Sex (Male, Female or Unknown)]])),ISNUMBER(Table1[[#This Row],[Birthweight (grams)]]),ISNUMBER(Table1[[#This Row],[Gestation (days)]])),TRUE,FALSE)</f>
        <v>0</v>
      </c>
      <c r="E9726" s="2" t="str">
        <f>IF(Table1[[#This Row],[Is Data Valid]]=TRUE,IF(Table1[[#This Row],[Fetal Sex (Male, Female or Unknown)]]="Male",Backend!$C$6,IF(Table1[[#This Row],[Fetal Sex (Male, Female or Unknown)]]="Female",Backend!$C$7,IF(Table1[[#This Row],[Fetal Sex (Male, Female or Unknown)]]="Unknown",Backend!$C$8,"Error"))),"")</f>
        <v/>
      </c>
      <c r="F9726" s="8" t="str">
        <f>IF(Table1[[#This Row],[Is Data Valid]]=TRUE,EXP(0.578+0.332*((Table1[[#This Row],[Gestation (days)]]+0.5)/7)-0.00354*((Table1[[#This Row],[Gestation (days)]]+0.5)/7)^2)*Table1[[#This Row],[BW40_3705]],"")</f>
        <v/>
      </c>
      <c r="G9726" s="2" t="str">
        <f>IF(Table1[[#This Row],[Is Data Valid]]=TRUE,((Table1[[#This Row],[Birthweight (grams)]]/Table1[[#This Row],[BW_GA]])-1)/(Backend!$B$4/100*Table1[[#This Row],[BW40_3705]]),"")</f>
        <v/>
      </c>
      <c r="H9726" s="7" t="str">
        <f>IF(Table1[[#This Row],[Is Data Valid]]=TRUE,((Table1[[#This Row],[Birthweight (grams)]]*0.9/Table1[[#This Row],[BW_GA]])-1)/(Backend!$B$4/100*Table1[[#This Row],[BW40_3705]]),"")</f>
        <v/>
      </c>
      <c r="I9726" s="7" t="str">
        <f>IF(Table1[[#This Row],[Is Data Valid]]=TRUE,((Table1[[#This Row],[Birthweight (grams)]]*1.1/Table1[[#This Row],[BW_GA]])-1)/(Backend!$B$4/100*Table1[[#This Row],[BW40_3705]]),"")</f>
        <v/>
      </c>
      <c r="J9726" s="7" t="str">
        <f>IF(Table1[[#This Row],[Is Data Valid]]=TRUE,_xlfn.NORM.S.DIST(Table1[[#This Row],[Birthweight Z-Score]],TRUE)*100,"")</f>
        <v/>
      </c>
      <c r="K9726" s="7" t="str">
        <f>IF(Table1[[#This Row],[Is Data Valid]]=TRUE,_xlfn.NORM.S.DIST(Table1[[#This Row],[Birthweight Z-Score (BW-10%)]],TRUE)*100,"")</f>
        <v/>
      </c>
      <c r="L9726" s="7" t="str">
        <f>IF(Table1[[#This Row],[Is Data Valid]]=TRUE,_xlfn.NORM.S.DIST(Table1[[#This Row],[Birthweight Z-Score (BW+10%)]],TRUE)*100,"")</f>
        <v/>
      </c>
    </row>
    <row r="9727" spans="1:12" x14ac:dyDescent="0.35">
      <c r="A9727" s="3"/>
      <c r="B9727" s="2"/>
      <c r="C9727" s="2"/>
      <c r="D9727" s="2" t="b">
        <f>IF(AND(NOT(ISBLANK(Table1[[#This Row],[Fetal Sex (Male, Female or Unknown)]])),ISNUMBER(Table1[[#This Row],[Birthweight (grams)]]),ISNUMBER(Table1[[#This Row],[Gestation (days)]])),TRUE,FALSE)</f>
        <v>0</v>
      </c>
      <c r="E9727" s="2" t="str">
        <f>IF(Table1[[#This Row],[Is Data Valid]]=TRUE,IF(Table1[[#This Row],[Fetal Sex (Male, Female or Unknown)]]="Male",Backend!$C$6,IF(Table1[[#This Row],[Fetal Sex (Male, Female or Unknown)]]="Female",Backend!$C$7,IF(Table1[[#This Row],[Fetal Sex (Male, Female or Unknown)]]="Unknown",Backend!$C$8,"Error"))),"")</f>
        <v/>
      </c>
      <c r="F9727" s="8" t="str">
        <f>IF(Table1[[#This Row],[Is Data Valid]]=TRUE,EXP(0.578+0.332*((Table1[[#This Row],[Gestation (days)]]+0.5)/7)-0.00354*((Table1[[#This Row],[Gestation (days)]]+0.5)/7)^2)*Table1[[#This Row],[BW40_3705]],"")</f>
        <v/>
      </c>
      <c r="G9727" s="2" t="str">
        <f>IF(Table1[[#This Row],[Is Data Valid]]=TRUE,((Table1[[#This Row],[Birthweight (grams)]]/Table1[[#This Row],[BW_GA]])-1)/(Backend!$B$4/100*Table1[[#This Row],[BW40_3705]]),"")</f>
        <v/>
      </c>
      <c r="H9727" s="7" t="str">
        <f>IF(Table1[[#This Row],[Is Data Valid]]=TRUE,((Table1[[#This Row],[Birthweight (grams)]]*0.9/Table1[[#This Row],[BW_GA]])-1)/(Backend!$B$4/100*Table1[[#This Row],[BW40_3705]]),"")</f>
        <v/>
      </c>
      <c r="I9727" s="7" t="str">
        <f>IF(Table1[[#This Row],[Is Data Valid]]=TRUE,((Table1[[#This Row],[Birthweight (grams)]]*1.1/Table1[[#This Row],[BW_GA]])-1)/(Backend!$B$4/100*Table1[[#This Row],[BW40_3705]]),"")</f>
        <v/>
      </c>
      <c r="J9727" s="7" t="str">
        <f>IF(Table1[[#This Row],[Is Data Valid]]=TRUE,_xlfn.NORM.S.DIST(Table1[[#This Row],[Birthweight Z-Score]],TRUE)*100,"")</f>
        <v/>
      </c>
      <c r="K9727" s="7" t="str">
        <f>IF(Table1[[#This Row],[Is Data Valid]]=TRUE,_xlfn.NORM.S.DIST(Table1[[#This Row],[Birthweight Z-Score (BW-10%)]],TRUE)*100,"")</f>
        <v/>
      </c>
      <c r="L9727" s="7" t="str">
        <f>IF(Table1[[#This Row],[Is Data Valid]]=TRUE,_xlfn.NORM.S.DIST(Table1[[#This Row],[Birthweight Z-Score (BW+10%)]],TRUE)*100,"")</f>
        <v/>
      </c>
    </row>
    <row r="9728" spans="1:12" x14ac:dyDescent="0.35">
      <c r="A9728" s="3"/>
      <c r="B9728" s="2"/>
      <c r="C9728" s="2"/>
      <c r="D9728" s="2" t="b">
        <f>IF(AND(NOT(ISBLANK(Table1[[#This Row],[Fetal Sex (Male, Female or Unknown)]])),ISNUMBER(Table1[[#This Row],[Birthweight (grams)]]),ISNUMBER(Table1[[#This Row],[Gestation (days)]])),TRUE,FALSE)</f>
        <v>0</v>
      </c>
      <c r="E9728" s="2" t="str">
        <f>IF(Table1[[#This Row],[Is Data Valid]]=TRUE,IF(Table1[[#This Row],[Fetal Sex (Male, Female or Unknown)]]="Male",Backend!$C$6,IF(Table1[[#This Row],[Fetal Sex (Male, Female or Unknown)]]="Female",Backend!$C$7,IF(Table1[[#This Row],[Fetal Sex (Male, Female or Unknown)]]="Unknown",Backend!$C$8,"Error"))),"")</f>
        <v/>
      </c>
      <c r="F9728" s="8" t="str">
        <f>IF(Table1[[#This Row],[Is Data Valid]]=TRUE,EXP(0.578+0.332*((Table1[[#This Row],[Gestation (days)]]+0.5)/7)-0.00354*((Table1[[#This Row],[Gestation (days)]]+0.5)/7)^2)*Table1[[#This Row],[BW40_3705]],"")</f>
        <v/>
      </c>
      <c r="G9728" s="2" t="str">
        <f>IF(Table1[[#This Row],[Is Data Valid]]=TRUE,((Table1[[#This Row],[Birthweight (grams)]]/Table1[[#This Row],[BW_GA]])-1)/(Backend!$B$4/100*Table1[[#This Row],[BW40_3705]]),"")</f>
        <v/>
      </c>
      <c r="H9728" s="7" t="str">
        <f>IF(Table1[[#This Row],[Is Data Valid]]=TRUE,((Table1[[#This Row],[Birthweight (grams)]]*0.9/Table1[[#This Row],[BW_GA]])-1)/(Backend!$B$4/100*Table1[[#This Row],[BW40_3705]]),"")</f>
        <v/>
      </c>
      <c r="I9728" s="7" t="str">
        <f>IF(Table1[[#This Row],[Is Data Valid]]=TRUE,((Table1[[#This Row],[Birthweight (grams)]]*1.1/Table1[[#This Row],[BW_GA]])-1)/(Backend!$B$4/100*Table1[[#This Row],[BW40_3705]]),"")</f>
        <v/>
      </c>
      <c r="J9728" s="7" t="str">
        <f>IF(Table1[[#This Row],[Is Data Valid]]=TRUE,_xlfn.NORM.S.DIST(Table1[[#This Row],[Birthweight Z-Score]],TRUE)*100,"")</f>
        <v/>
      </c>
      <c r="K9728" s="7" t="str">
        <f>IF(Table1[[#This Row],[Is Data Valid]]=TRUE,_xlfn.NORM.S.DIST(Table1[[#This Row],[Birthweight Z-Score (BW-10%)]],TRUE)*100,"")</f>
        <v/>
      </c>
      <c r="L9728" s="7" t="str">
        <f>IF(Table1[[#This Row],[Is Data Valid]]=TRUE,_xlfn.NORM.S.DIST(Table1[[#This Row],[Birthweight Z-Score (BW+10%)]],TRUE)*100,"")</f>
        <v/>
      </c>
    </row>
    <row r="9729" spans="1:12" x14ac:dyDescent="0.35">
      <c r="A9729" s="3"/>
      <c r="B9729" s="2"/>
      <c r="C9729" s="2"/>
      <c r="D9729" s="2" t="b">
        <f>IF(AND(NOT(ISBLANK(Table1[[#This Row],[Fetal Sex (Male, Female or Unknown)]])),ISNUMBER(Table1[[#This Row],[Birthweight (grams)]]),ISNUMBER(Table1[[#This Row],[Gestation (days)]])),TRUE,FALSE)</f>
        <v>0</v>
      </c>
      <c r="E9729" s="2" t="str">
        <f>IF(Table1[[#This Row],[Is Data Valid]]=TRUE,IF(Table1[[#This Row],[Fetal Sex (Male, Female or Unknown)]]="Male",Backend!$C$6,IF(Table1[[#This Row],[Fetal Sex (Male, Female or Unknown)]]="Female",Backend!$C$7,IF(Table1[[#This Row],[Fetal Sex (Male, Female or Unknown)]]="Unknown",Backend!$C$8,"Error"))),"")</f>
        <v/>
      </c>
      <c r="F9729" s="8" t="str">
        <f>IF(Table1[[#This Row],[Is Data Valid]]=TRUE,EXP(0.578+0.332*((Table1[[#This Row],[Gestation (days)]]+0.5)/7)-0.00354*((Table1[[#This Row],[Gestation (days)]]+0.5)/7)^2)*Table1[[#This Row],[BW40_3705]],"")</f>
        <v/>
      </c>
      <c r="G9729" s="2" t="str">
        <f>IF(Table1[[#This Row],[Is Data Valid]]=TRUE,((Table1[[#This Row],[Birthweight (grams)]]/Table1[[#This Row],[BW_GA]])-1)/(Backend!$B$4/100*Table1[[#This Row],[BW40_3705]]),"")</f>
        <v/>
      </c>
      <c r="H9729" s="7" t="str">
        <f>IF(Table1[[#This Row],[Is Data Valid]]=TRUE,((Table1[[#This Row],[Birthweight (grams)]]*0.9/Table1[[#This Row],[BW_GA]])-1)/(Backend!$B$4/100*Table1[[#This Row],[BW40_3705]]),"")</f>
        <v/>
      </c>
      <c r="I9729" s="7" t="str">
        <f>IF(Table1[[#This Row],[Is Data Valid]]=TRUE,((Table1[[#This Row],[Birthweight (grams)]]*1.1/Table1[[#This Row],[BW_GA]])-1)/(Backend!$B$4/100*Table1[[#This Row],[BW40_3705]]),"")</f>
        <v/>
      </c>
      <c r="J9729" s="7" t="str">
        <f>IF(Table1[[#This Row],[Is Data Valid]]=TRUE,_xlfn.NORM.S.DIST(Table1[[#This Row],[Birthweight Z-Score]],TRUE)*100,"")</f>
        <v/>
      </c>
      <c r="K9729" s="7" t="str">
        <f>IF(Table1[[#This Row],[Is Data Valid]]=TRUE,_xlfn.NORM.S.DIST(Table1[[#This Row],[Birthweight Z-Score (BW-10%)]],TRUE)*100,"")</f>
        <v/>
      </c>
      <c r="L9729" s="7" t="str">
        <f>IF(Table1[[#This Row],[Is Data Valid]]=TRUE,_xlfn.NORM.S.DIST(Table1[[#This Row],[Birthweight Z-Score (BW+10%)]],TRUE)*100,"")</f>
        <v/>
      </c>
    </row>
    <row r="9730" spans="1:12" x14ac:dyDescent="0.35">
      <c r="A9730" s="3"/>
      <c r="B9730" s="2"/>
      <c r="C9730" s="2"/>
      <c r="D9730" s="2" t="b">
        <f>IF(AND(NOT(ISBLANK(Table1[[#This Row],[Fetal Sex (Male, Female or Unknown)]])),ISNUMBER(Table1[[#This Row],[Birthweight (grams)]]),ISNUMBER(Table1[[#This Row],[Gestation (days)]])),TRUE,FALSE)</f>
        <v>0</v>
      </c>
      <c r="E9730" s="2" t="str">
        <f>IF(Table1[[#This Row],[Is Data Valid]]=TRUE,IF(Table1[[#This Row],[Fetal Sex (Male, Female or Unknown)]]="Male",Backend!$C$6,IF(Table1[[#This Row],[Fetal Sex (Male, Female or Unknown)]]="Female",Backend!$C$7,IF(Table1[[#This Row],[Fetal Sex (Male, Female or Unknown)]]="Unknown",Backend!$C$8,"Error"))),"")</f>
        <v/>
      </c>
      <c r="F9730" s="8" t="str">
        <f>IF(Table1[[#This Row],[Is Data Valid]]=TRUE,EXP(0.578+0.332*((Table1[[#This Row],[Gestation (days)]]+0.5)/7)-0.00354*((Table1[[#This Row],[Gestation (days)]]+0.5)/7)^2)*Table1[[#This Row],[BW40_3705]],"")</f>
        <v/>
      </c>
      <c r="G9730" s="2" t="str">
        <f>IF(Table1[[#This Row],[Is Data Valid]]=TRUE,((Table1[[#This Row],[Birthweight (grams)]]/Table1[[#This Row],[BW_GA]])-1)/(Backend!$B$4/100*Table1[[#This Row],[BW40_3705]]),"")</f>
        <v/>
      </c>
      <c r="H9730" s="7" t="str">
        <f>IF(Table1[[#This Row],[Is Data Valid]]=TRUE,((Table1[[#This Row],[Birthweight (grams)]]*0.9/Table1[[#This Row],[BW_GA]])-1)/(Backend!$B$4/100*Table1[[#This Row],[BW40_3705]]),"")</f>
        <v/>
      </c>
      <c r="I9730" s="7" t="str">
        <f>IF(Table1[[#This Row],[Is Data Valid]]=TRUE,((Table1[[#This Row],[Birthweight (grams)]]*1.1/Table1[[#This Row],[BW_GA]])-1)/(Backend!$B$4/100*Table1[[#This Row],[BW40_3705]]),"")</f>
        <v/>
      </c>
      <c r="J9730" s="7" t="str">
        <f>IF(Table1[[#This Row],[Is Data Valid]]=TRUE,_xlfn.NORM.S.DIST(Table1[[#This Row],[Birthweight Z-Score]],TRUE)*100,"")</f>
        <v/>
      </c>
      <c r="K9730" s="7" t="str">
        <f>IF(Table1[[#This Row],[Is Data Valid]]=TRUE,_xlfn.NORM.S.DIST(Table1[[#This Row],[Birthweight Z-Score (BW-10%)]],TRUE)*100,"")</f>
        <v/>
      </c>
      <c r="L9730" s="7" t="str">
        <f>IF(Table1[[#This Row],[Is Data Valid]]=TRUE,_xlfn.NORM.S.DIST(Table1[[#This Row],[Birthweight Z-Score (BW+10%)]],TRUE)*100,"")</f>
        <v/>
      </c>
    </row>
    <row r="9731" spans="1:12" x14ac:dyDescent="0.35">
      <c r="A9731" s="3"/>
      <c r="B9731" s="2"/>
      <c r="C9731" s="2"/>
      <c r="D9731" s="2" t="b">
        <f>IF(AND(NOT(ISBLANK(Table1[[#This Row],[Fetal Sex (Male, Female or Unknown)]])),ISNUMBER(Table1[[#This Row],[Birthweight (grams)]]),ISNUMBER(Table1[[#This Row],[Gestation (days)]])),TRUE,FALSE)</f>
        <v>0</v>
      </c>
      <c r="E9731" s="2" t="str">
        <f>IF(Table1[[#This Row],[Is Data Valid]]=TRUE,IF(Table1[[#This Row],[Fetal Sex (Male, Female or Unknown)]]="Male",Backend!$C$6,IF(Table1[[#This Row],[Fetal Sex (Male, Female or Unknown)]]="Female",Backend!$C$7,IF(Table1[[#This Row],[Fetal Sex (Male, Female or Unknown)]]="Unknown",Backend!$C$8,"Error"))),"")</f>
        <v/>
      </c>
      <c r="F9731" s="8" t="str">
        <f>IF(Table1[[#This Row],[Is Data Valid]]=TRUE,EXP(0.578+0.332*((Table1[[#This Row],[Gestation (days)]]+0.5)/7)-0.00354*((Table1[[#This Row],[Gestation (days)]]+0.5)/7)^2)*Table1[[#This Row],[BW40_3705]],"")</f>
        <v/>
      </c>
      <c r="G9731" s="2" t="str">
        <f>IF(Table1[[#This Row],[Is Data Valid]]=TRUE,((Table1[[#This Row],[Birthweight (grams)]]/Table1[[#This Row],[BW_GA]])-1)/(Backend!$B$4/100*Table1[[#This Row],[BW40_3705]]),"")</f>
        <v/>
      </c>
      <c r="H9731" s="7" t="str">
        <f>IF(Table1[[#This Row],[Is Data Valid]]=TRUE,((Table1[[#This Row],[Birthweight (grams)]]*0.9/Table1[[#This Row],[BW_GA]])-1)/(Backend!$B$4/100*Table1[[#This Row],[BW40_3705]]),"")</f>
        <v/>
      </c>
      <c r="I9731" s="7" t="str">
        <f>IF(Table1[[#This Row],[Is Data Valid]]=TRUE,((Table1[[#This Row],[Birthweight (grams)]]*1.1/Table1[[#This Row],[BW_GA]])-1)/(Backend!$B$4/100*Table1[[#This Row],[BW40_3705]]),"")</f>
        <v/>
      </c>
      <c r="J9731" s="7" t="str">
        <f>IF(Table1[[#This Row],[Is Data Valid]]=TRUE,_xlfn.NORM.S.DIST(Table1[[#This Row],[Birthweight Z-Score]],TRUE)*100,"")</f>
        <v/>
      </c>
      <c r="K9731" s="7" t="str">
        <f>IF(Table1[[#This Row],[Is Data Valid]]=TRUE,_xlfn.NORM.S.DIST(Table1[[#This Row],[Birthweight Z-Score (BW-10%)]],TRUE)*100,"")</f>
        <v/>
      </c>
      <c r="L9731" s="7" t="str">
        <f>IF(Table1[[#This Row],[Is Data Valid]]=TRUE,_xlfn.NORM.S.DIST(Table1[[#This Row],[Birthweight Z-Score (BW+10%)]],TRUE)*100,"")</f>
        <v/>
      </c>
    </row>
    <row r="9732" spans="1:12" x14ac:dyDescent="0.35">
      <c r="A9732" s="3"/>
      <c r="B9732" s="2"/>
      <c r="C9732" s="2"/>
      <c r="D9732" s="2" t="b">
        <f>IF(AND(NOT(ISBLANK(Table1[[#This Row],[Fetal Sex (Male, Female or Unknown)]])),ISNUMBER(Table1[[#This Row],[Birthweight (grams)]]),ISNUMBER(Table1[[#This Row],[Gestation (days)]])),TRUE,FALSE)</f>
        <v>0</v>
      </c>
      <c r="E9732" s="2" t="str">
        <f>IF(Table1[[#This Row],[Is Data Valid]]=TRUE,IF(Table1[[#This Row],[Fetal Sex (Male, Female or Unknown)]]="Male",Backend!$C$6,IF(Table1[[#This Row],[Fetal Sex (Male, Female or Unknown)]]="Female",Backend!$C$7,IF(Table1[[#This Row],[Fetal Sex (Male, Female or Unknown)]]="Unknown",Backend!$C$8,"Error"))),"")</f>
        <v/>
      </c>
      <c r="F9732" s="8" t="str">
        <f>IF(Table1[[#This Row],[Is Data Valid]]=TRUE,EXP(0.578+0.332*((Table1[[#This Row],[Gestation (days)]]+0.5)/7)-0.00354*((Table1[[#This Row],[Gestation (days)]]+0.5)/7)^2)*Table1[[#This Row],[BW40_3705]],"")</f>
        <v/>
      </c>
      <c r="G9732" s="2" t="str">
        <f>IF(Table1[[#This Row],[Is Data Valid]]=TRUE,((Table1[[#This Row],[Birthweight (grams)]]/Table1[[#This Row],[BW_GA]])-1)/(Backend!$B$4/100*Table1[[#This Row],[BW40_3705]]),"")</f>
        <v/>
      </c>
      <c r="H9732" s="7" t="str">
        <f>IF(Table1[[#This Row],[Is Data Valid]]=TRUE,((Table1[[#This Row],[Birthweight (grams)]]*0.9/Table1[[#This Row],[BW_GA]])-1)/(Backend!$B$4/100*Table1[[#This Row],[BW40_3705]]),"")</f>
        <v/>
      </c>
      <c r="I9732" s="7" t="str">
        <f>IF(Table1[[#This Row],[Is Data Valid]]=TRUE,((Table1[[#This Row],[Birthweight (grams)]]*1.1/Table1[[#This Row],[BW_GA]])-1)/(Backend!$B$4/100*Table1[[#This Row],[BW40_3705]]),"")</f>
        <v/>
      </c>
      <c r="J9732" s="7" t="str">
        <f>IF(Table1[[#This Row],[Is Data Valid]]=TRUE,_xlfn.NORM.S.DIST(Table1[[#This Row],[Birthweight Z-Score]],TRUE)*100,"")</f>
        <v/>
      </c>
      <c r="K9732" s="7" t="str">
        <f>IF(Table1[[#This Row],[Is Data Valid]]=TRUE,_xlfn.NORM.S.DIST(Table1[[#This Row],[Birthweight Z-Score (BW-10%)]],TRUE)*100,"")</f>
        <v/>
      </c>
      <c r="L9732" s="7" t="str">
        <f>IF(Table1[[#This Row],[Is Data Valid]]=TRUE,_xlfn.NORM.S.DIST(Table1[[#This Row],[Birthweight Z-Score (BW+10%)]],TRUE)*100,"")</f>
        <v/>
      </c>
    </row>
    <row r="9733" spans="1:12" x14ac:dyDescent="0.35">
      <c r="A9733" s="3"/>
      <c r="B9733" s="2"/>
      <c r="C9733" s="2"/>
      <c r="D9733" s="2" t="b">
        <f>IF(AND(NOT(ISBLANK(Table1[[#This Row],[Fetal Sex (Male, Female or Unknown)]])),ISNUMBER(Table1[[#This Row],[Birthweight (grams)]]),ISNUMBER(Table1[[#This Row],[Gestation (days)]])),TRUE,FALSE)</f>
        <v>0</v>
      </c>
      <c r="E9733" s="2" t="str">
        <f>IF(Table1[[#This Row],[Is Data Valid]]=TRUE,IF(Table1[[#This Row],[Fetal Sex (Male, Female or Unknown)]]="Male",Backend!$C$6,IF(Table1[[#This Row],[Fetal Sex (Male, Female or Unknown)]]="Female",Backend!$C$7,IF(Table1[[#This Row],[Fetal Sex (Male, Female or Unknown)]]="Unknown",Backend!$C$8,"Error"))),"")</f>
        <v/>
      </c>
      <c r="F9733" s="8" t="str">
        <f>IF(Table1[[#This Row],[Is Data Valid]]=TRUE,EXP(0.578+0.332*((Table1[[#This Row],[Gestation (days)]]+0.5)/7)-0.00354*((Table1[[#This Row],[Gestation (days)]]+0.5)/7)^2)*Table1[[#This Row],[BW40_3705]],"")</f>
        <v/>
      </c>
      <c r="G9733" s="2" t="str">
        <f>IF(Table1[[#This Row],[Is Data Valid]]=TRUE,((Table1[[#This Row],[Birthweight (grams)]]/Table1[[#This Row],[BW_GA]])-1)/(Backend!$B$4/100*Table1[[#This Row],[BW40_3705]]),"")</f>
        <v/>
      </c>
      <c r="H9733" s="7" t="str">
        <f>IF(Table1[[#This Row],[Is Data Valid]]=TRUE,((Table1[[#This Row],[Birthweight (grams)]]*0.9/Table1[[#This Row],[BW_GA]])-1)/(Backend!$B$4/100*Table1[[#This Row],[BW40_3705]]),"")</f>
        <v/>
      </c>
      <c r="I9733" s="7" t="str">
        <f>IF(Table1[[#This Row],[Is Data Valid]]=TRUE,((Table1[[#This Row],[Birthweight (grams)]]*1.1/Table1[[#This Row],[BW_GA]])-1)/(Backend!$B$4/100*Table1[[#This Row],[BW40_3705]]),"")</f>
        <v/>
      </c>
      <c r="J9733" s="7" t="str">
        <f>IF(Table1[[#This Row],[Is Data Valid]]=TRUE,_xlfn.NORM.S.DIST(Table1[[#This Row],[Birthweight Z-Score]],TRUE)*100,"")</f>
        <v/>
      </c>
      <c r="K9733" s="7" t="str">
        <f>IF(Table1[[#This Row],[Is Data Valid]]=TRUE,_xlfn.NORM.S.DIST(Table1[[#This Row],[Birthweight Z-Score (BW-10%)]],TRUE)*100,"")</f>
        <v/>
      </c>
      <c r="L9733" s="7" t="str">
        <f>IF(Table1[[#This Row],[Is Data Valid]]=TRUE,_xlfn.NORM.S.DIST(Table1[[#This Row],[Birthweight Z-Score (BW+10%)]],TRUE)*100,"")</f>
        <v/>
      </c>
    </row>
    <row r="9734" spans="1:12" x14ac:dyDescent="0.35">
      <c r="A9734" s="3"/>
      <c r="B9734" s="2"/>
      <c r="C9734" s="2"/>
      <c r="D9734" s="2" t="b">
        <f>IF(AND(NOT(ISBLANK(Table1[[#This Row],[Fetal Sex (Male, Female or Unknown)]])),ISNUMBER(Table1[[#This Row],[Birthweight (grams)]]),ISNUMBER(Table1[[#This Row],[Gestation (days)]])),TRUE,FALSE)</f>
        <v>0</v>
      </c>
      <c r="E9734" s="2" t="str">
        <f>IF(Table1[[#This Row],[Is Data Valid]]=TRUE,IF(Table1[[#This Row],[Fetal Sex (Male, Female or Unknown)]]="Male",Backend!$C$6,IF(Table1[[#This Row],[Fetal Sex (Male, Female or Unknown)]]="Female",Backend!$C$7,IF(Table1[[#This Row],[Fetal Sex (Male, Female or Unknown)]]="Unknown",Backend!$C$8,"Error"))),"")</f>
        <v/>
      </c>
      <c r="F9734" s="8" t="str">
        <f>IF(Table1[[#This Row],[Is Data Valid]]=TRUE,EXP(0.578+0.332*((Table1[[#This Row],[Gestation (days)]]+0.5)/7)-0.00354*((Table1[[#This Row],[Gestation (days)]]+0.5)/7)^2)*Table1[[#This Row],[BW40_3705]],"")</f>
        <v/>
      </c>
      <c r="G9734" s="2" t="str">
        <f>IF(Table1[[#This Row],[Is Data Valid]]=TRUE,((Table1[[#This Row],[Birthweight (grams)]]/Table1[[#This Row],[BW_GA]])-1)/(Backend!$B$4/100*Table1[[#This Row],[BW40_3705]]),"")</f>
        <v/>
      </c>
      <c r="H9734" s="7" t="str">
        <f>IF(Table1[[#This Row],[Is Data Valid]]=TRUE,((Table1[[#This Row],[Birthweight (grams)]]*0.9/Table1[[#This Row],[BW_GA]])-1)/(Backend!$B$4/100*Table1[[#This Row],[BW40_3705]]),"")</f>
        <v/>
      </c>
      <c r="I9734" s="7" t="str">
        <f>IF(Table1[[#This Row],[Is Data Valid]]=TRUE,((Table1[[#This Row],[Birthweight (grams)]]*1.1/Table1[[#This Row],[BW_GA]])-1)/(Backend!$B$4/100*Table1[[#This Row],[BW40_3705]]),"")</f>
        <v/>
      </c>
      <c r="J9734" s="7" t="str">
        <f>IF(Table1[[#This Row],[Is Data Valid]]=TRUE,_xlfn.NORM.S.DIST(Table1[[#This Row],[Birthweight Z-Score]],TRUE)*100,"")</f>
        <v/>
      </c>
      <c r="K9734" s="7" t="str">
        <f>IF(Table1[[#This Row],[Is Data Valid]]=TRUE,_xlfn.NORM.S.DIST(Table1[[#This Row],[Birthweight Z-Score (BW-10%)]],TRUE)*100,"")</f>
        <v/>
      </c>
      <c r="L9734" s="7" t="str">
        <f>IF(Table1[[#This Row],[Is Data Valid]]=TRUE,_xlfn.NORM.S.DIST(Table1[[#This Row],[Birthweight Z-Score (BW+10%)]],TRUE)*100,"")</f>
        <v/>
      </c>
    </row>
    <row r="9735" spans="1:12" x14ac:dyDescent="0.35">
      <c r="A9735" s="3"/>
      <c r="B9735" s="2"/>
      <c r="C9735" s="2"/>
      <c r="D9735" s="2" t="b">
        <f>IF(AND(NOT(ISBLANK(Table1[[#This Row],[Fetal Sex (Male, Female or Unknown)]])),ISNUMBER(Table1[[#This Row],[Birthweight (grams)]]),ISNUMBER(Table1[[#This Row],[Gestation (days)]])),TRUE,FALSE)</f>
        <v>0</v>
      </c>
      <c r="E9735" s="2" t="str">
        <f>IF(Table1[[#This Row],[Is Data Valid]]=TRUE,IF(Table1[[#This Row],[Fetal Sex (Male, Female or Unknown)]]="Male",Backend!$C$6,IF(Table1[[#This Row],[Fetal Sex (Male, Female or Unknown)]]="Female",Backend!$C$7,IF(Table1[[#This Row],[Fetal Sex (Male, Female or Unknown)]]="Unknown",Backend!$C$8,"Error"))),"")</f>
        <v/>
      </c>
      <c r="F9735" s="8" t="str">
        <f>IF(Table1[[#This Row],[Is Data Valid]]=TRUE,EXP(0.578+0.332*((Table1[[#This Row],[Gestation (days)]]+0.5)/7)-0.00354*((Table1[[#This Row],[Gestation (days)]]+0.5)/7)^2)*Table1[[#This Row],[BW40_3705]],"")</f>
        <v/>
      </c>
      <c r="G9735" s="2" t="str">
        <f>IF(Table1[[#This Row],[Is Data Valid]]=TRUE,((Table1[[#This Row],[Birthweight (grams)]]/Table1[[#This Row],[BW_GA]])-1)/(Backend!$B$4/100*Table1[[#This Row],[BW40_3705]]),"")</f>
        <v/>
      </c>
      <c r="H9735" s="7" t="str">
        <f>IF(Table1[[#This Row],[Is Data Valid]]=TRUE,((Table1[[#This Row],[Birthweight (grams)]]*0.9/Table1[[#This Row],[BW_GA]])-1)/(Backend!$B$4/100*Table1[[#This Row],[BW40_3705]]),"")</f>
        <v/>
      </c>
      <c r="I9735" s="7" t="str">
        <f>IF(Table1[[#This Row],[Is Data Valid]]=TRUE,((Table1[[#This Row],[Birthweight (grams)]]*1.1/Table1[[#This Row],[BW_GA]])-1)/(Backend!$B$4/100*Table1[[#This Row],[BW40_3705]]),"")</f>
        <v/>
      </c>
      <c r="J9735" s="7" t="str">
        <f>IF(Table1[[#This Row],[Is Data Valid]]=TRUE,_xlfn.NORM.S.DIST(Table1[[#This Row],[Birthweight Z-Score]],TRUE)*100,"")</f>
        <v/>
      </c>
      <c r="K9735" s="7" t="str">
        <f>IF(Table1[[#This Row],[Is Data Valid]]=TRUE,_xlfn.NORM.S.DIST(Table1[[#This Row],[Birthweight Z-Score (BW-10%)]],TRUE)*100,"")</f>
        <v/>
      </c>
      <c r="L9735" s="7" t="str">
        <f>IF(Table1[[#This Row],[Is Data Valid]]=TRUE,_xlfn.NORM.S.DIST(Table1[[#This Row],[Birthweight Z-Score (BW+10%)]],TRUE)*100,"")</f>
        <v/>
      </c>
    </row>
    <row r="9736" spans="1:12" x14ac:dyDescent="0.35">
      <c r="A9736" s="3"/>
      <c r="B9736" s="2"/>
      <c r="C9736" s="2"/>
      <c r="D9736" s="2" t="b">
        <f>IF(AND(NOT(ISBLANK(Table1[[#This Row],[Fetal Sex (Male, Female or Unknown)]])),ISNUMBER(Table1[[#This Row],[Birthweight (grams)]]),ISNUMBER(Table1[[#This Row],[Gestation (days)]])),TRUE,FALSE)</f>
        <v>0</v>
      </c>
      <c r="E9736" s="2" t="str">
        <f>IF(Table1[[#This Row],[Is Data Valid]]=TRUE,IF(Table1[[#This Row],[Fetal Sex (Male, Female or Unknown)]]="Male",Backend!$C$6,IF(Table1[[#This Row],[Fetal Sex (Male, Female or Unknown)]]="Female",Backend!$C$7,IF(Table1[[#This Row],[Fetal Sex (Male, Female or Unknown)]]="Unknown",Backend!$C$8,"Error"))),"")</f>
        <v/>
      </c>
      <c r="F9736" s="8" t="str">
        <f>IF(Table1[[#This Row],[Is Data Valid]]=TRUE,EXP(0.578+0.332*((Table1[[#This Row],[Gestation (days)]]+0.5)/7)-0.00354*((Table1[[#This Row],[Gestation (days)]]+0.5)/7)^2)*Table1[[#This Row],[BW40_3705]],"")</f>
        <v/>
      </c>
      <c r="G9736" s="2" t="str">
        <f>IF(Table1[[#This Row],[Is Data Valid]]=TRUE,((Table1[[#This Row],[Birthweight (grams)]]/Table1[[#This Row],[BW_GA]])-1)/(Backend!$B$4/100*Table1[[#This Row],[BW40_3705]]),"")</f>
        <v/>
      </c>
      <c r="H9736" s="7" t="str">
        <f>IF(Table1[[#This Row],[Is Data Valid]]=TRUE,((Table1[[#This Row],[Birthweight (grams)]]*0.9/Table1[[#This Row],[BW_GA]])-1)/(Backend!$B$4/100*Table1[[#This Row],[BW40_3705]]),"")</f>
        <v/>
      </c>
      <c r="I9736" s="7" t="str">
        <f>IF(Table1[[#This Row],[Is Data Valid]]=TRUE,((Table1[[#This Row],[Birthweight (grams)]]*1.1/Table1[[#This Row],[BW_GA]])-1)/(Backend!$B$4/100*Table1[[#This Row],[BW40_3705]]),"")</f>
        <v/>
      </c>
      <c r="J9736" s="7" t="str">
        <f>IF(Table1[[#This Row],[Is Data Valid]]=TRUE,_xlfn.NORM.S.DIST(Table1[[#This Row],[Birthweight Z-Score]],TRUE)*100,"")</f>
        <v/>
      </c>
      <c r="K9736" s="7" t="str">
        <f>IF(Table1[[#This Row],[Is Data Valid]]=TRUE,_xlfn.NORM.S.DIST(Table1[[#This Row],[Birthweight Z-Score (BW-10%)]],TRUE)*100,"")</f>
        <v/>
      </c>
      <c r="L9736" s="7" t="str">
        <f>IF(Table1[[#This Row],[Is Data Valid]]=TRUE,_xlfn.NORM.S.DIST(Table1[[#This Row],[Birthweight Z-Score (BW+10%)]],TRUE)*100,"")</f>
        <v/>
      </c>
    </row>
    <row r="9737" spans="1:12" x14ac:dyDescent="0.35">
      <c r="A9737" s="3"/>
      <c r="B9737" s="2"/>
      <c r="C9737" s="2"/>
      <c r="D9737" s="2" t="b">
        <f>IF(AND(NOT(ISBLANK(Table1[[#This Row],[Fetal Sex (Male, Female or Unknown)]])),ISNUMBER(Table1[[#This Row],[Birthweight (grams)]]),ISNUMBER(Table1[[#This Row],[Gestation (days)]])),TRUE,FALSE)</f>
        <v>0</v>
      </c>
      <c r="E9737" s="2" t="str">
        <f>IF(Table1[[#This Row],[Is Data Valid]]=TRUE,IF(Table1[[#This Row],[Fetal Sex (Male, Female or Unknown)]]="Male",Backend!$C$6,IF(Table1[[#This Row],[Fetal Sex (Male, Female or Unknown)]]="Female",Backend!$C$7,IF(Table1[[#This Row],[Fetal Sex (Male, Female or Unknown)]]="Unknown",Backend!$C$8,"Error"))),"")</f>
        <v/>
      </c>
      <c r="F9737" s="8" t="str">
        <f>IF(Table1[[#This Row],[Is Data Valid]]=TRUE,EXP(0.578+0.332*((Table1[[#This Row],[Gestation (days)]]+0.5)/7)-0.00354*((Table1[[#This Row],[Gestation (days)]]+0.5)/7)^2)*Table1[[#This Row],[BW40_3705]],"")</f>
        <v/>
      </c>
      <c r="G9737" s="2" t="str">
        <f>IF(Table1[[#This Row],[Is Data Valid]]=TRUE,((Table1[[#This Row],[Birthweight (grams)]]/Table1[[#This Row],[BW_GA]])-1)/(Backend!$B$4/100*Table1[[#This Row],[BW40_3705]]),"")</f>
        <v/>
      </c>
      <c r="H9737" s="7" t="str">
        <f>IF(Table1[[#This Row],[Is Data Valid]]=TRUE,((Table1[[#This Row],[Birthweight (grams)]]*0.9/Table1[[#This Row],[BW_GA]])-1)/(Backend!$B$4/100*Table1[[#This Row],[BW40_3705]]),"")</f>
        <v/>
      </c>
      <c r="I9737" s="7" t="str">
        <f>IF(Table1[[#This Row],[Is Data Valid]]=TRUE,((Table1[[#This Row],[Birthweight (grams)]]*1.1/Table1[[#This Row],[BW_GA]])-1)/(Backend!$B$4/100*Table1[[#This Row],[BW40_3705]]),"")</f>
        <v/>
      </c>
      <c r="J9737" s="7" t="str">
        <f>IF(Table1[[#This Row],[Is Data Valid]]=TRUE,_xlfn.NORM.S.DIST(Table1[[#This Row],[Birthweight Z-Score]],TRUE)*100,"")</f>
        <v/>
      </c>
      <c r="K9737" s="7" t="str">
        <f>IF(Table1[[#This Row],[Is Data Valid]]=TRUE,_xlfn.NORM.S.DIST(Table1[[#This Row],[Birthweight Z-Score (BW-10%)]],TRUE)*100,"")</f>
        <v/>
      </c>
      <c r="L9737" s="7" t="str">
        <f>IF(Table1[[#This Row],[Is Data Valid]]=TRUE,_xlfn.NORM.S.DIST(Table1[[#This Row],[Birthweight Z-Score (BW+10%)]],TRUE)*100,"")</f>
        <v/>
      </c>
    </row>
    <row r="9738" spans="1:12" x14ac:dyDescent="0.35">
      <c r="A9738" s="3"/>
      <c r="B9738" s="2"/>
      <c r="C9738" s="2"/>
      <c r="D9738" s="2" t="b">
        <f>IF(AND(NOT(ISBLANK(Table1[[#This Row],[Fetal Sex (Male, Female or Unknown)]])),ISNUMBER(Table1[[#This Row],[Birthweight (grams)]]),ISNUMBER(Table1[[#This Row],[Gestation (days)]])),TRUE,FALSE)</f>
        <v>0</v>
      </c>
      <c r="E9738" s="2" t="str">
        <f>IF(Table1[[#This Row],[Is Data Valid]]=TRUE,IF(Table1[[#This Row],[Fetal Sex (Male, Female or Unknown)]]="Male",Backend!$C$6,IF(Table1[[#This Row],[Fetal Sex (Male, Female or Unknown)]]="Female",Backend!$C$7,IF(Table1[[#This Row],[Fetal Sex (Male, Female or Unknown)]]="Unknown",Backend!$C$8,"Error"))),"")</f>
        <v/>
      </c>
      <c r="F9738" s="8" t="str">
        <f>IF(Table1[[#This Row],[Is Data Valid]]=TRUE,EXP(0.578+0.332*((Table1[[#This Row],[Gestation (days)]]+0.5)/7)-0.00354*((Table1[[#This Row],[Gestation (days)]]+0.5)/7)^2)*Table1[[#This Row],[BW40_3705]],"")</f>
        <v/>
      </c>
      <c r="G9738" s="2" t="str">
        <f>IF(Table1[[#This Row],[Is Data Valid]]=TRUE,((Table1[[#This Row],[Birthweight (grams)]]/Table1[[#This Row],[BW_GA]])-1)/(Backend!$B$4/100*Table1[[#This Row],[BW40_3705]]),"")</f>
        <v/>
      </c>
      <c r="H9738" s="7" t="str">
        <f>IF(Table1[[#This Row],[Is Data Valid]]=TRUE,((Table1[[#This Row],[Birthweight (grams)]]*0.9/Table1[[#This Row],[BW_GA]])-1)/(Backend!$B$4/100*Table1[[#This Row],[BW40_3705]]),"")</f>
        <v/>
      </c>
      <c r="I9738" s="7" t="str">
        <f>IF(Table1[[#This Row],[Is Data Valid]]=TRUE,((Table1[[#This Row],[Birthweight (grams)]]*1.1/Table1[[#This Row],[BW_GA]])-1)/(Backend!$B$4/100*Table1[[#This Row],[BW40_3705]]),"")</f>
        <v/>
      </c>
      <c r="J9738" s="7" t="str">
        <f>IF(Table1[[#This Row],[Is Data Valid]]=TRUE,_xlfn.NORM.S.DIST(Table1[[#This Row],[Birthweight Z-Score]],TRUE)*100,"")</f>
        <v/>
      </c>
      <c r="K9738" s="7" t="str">
        <f>IF(Table1[[#This Row],[Is Data Valid]]=TRUE,_xlfn.NORM.S.DIST(Table1[[#This Row],[Birthweight Z-Score (BW-10%)]],TRUE)*100,"")</f>
        <v/>
      </c>
      <c r="L9738" s="7" t="str">
        <f>IF(Table1[[#This Row],[Is Data Valid]]=TRUE,_xlfn.NORM.S.DIST(Table1[[#This Row],[Birthweight Z-Score (BW+10%)]],TRUE)*100,"")</f>
        <v/>
      </c>
    </row>
    <row r="9739" spans="1:12" x14ac:dyDescent="0.35">
      <c r="A9739" s="3"/>
      <c r="B9739" s="2"/>
      <c r="C9739" s="2"/>
      <c r="D9739" s="2" t="b">
        <f>IF(AND(NOT(ISBLANK(Table1[[#This Row],[Fetal Sex (Male, Female or Unknown)]])),ISNUMBER(Table1[[#This Row],[Birthweight (grams)]]),ISNUMBER(Table1[[#This Row],[Gestation (days)]])),TRUE,FALSE)</f>
        <v>0</v>
      </c>
      <c r="E9739" s="2" t="str">
        <f>IF(Table1[[#This Row],[Is Data Valid]]=TRUE,IF(Table1[[#This Row],[Fetal Sex (Male, Female or Unknown)]]="Male",Backend!$C$6,IF(Table1[[#This Row],[Fetal Sex (Male, Female or Unknown)]]="Female",Backend!$C$7,IF(Table1[[#This Row],[Fetal Sex (Male, Female or Unknown)]]="Unknown",Backend!$C$8,"Error"))),"")</f>
        <v/>
      </c>
      <c r="F9739" s="8" t="str">
        <f>IF(Table1[[#This Row],[Is Data Valid]]=TRUE,EXP(0.578+0.332*((Table1[[#This Row],[Gestation (days)]]+0.5)/7)-0.00354*((Table1[[#This Row],[Gestation (days)]]+0.5)/7)^2)*Table1[[#This Row],[BW40_3705]],"")</f>
        <v/>
      </c>
      <c r="G9739" s="2" t="str">
        <f>IF(Table1[[#This Row],[Is Data Valid]]=TRUE,((Table1[[#This Row],[Birthweight (grams)]]/Table1[[#This Row],[BW_GA]])-1)/(Backend!$B$4/100*Table1[[#This Row],[BW40_3705]]),"")</f>
        <v/>
      </c>
      <c r="H9739" s="7" t="str">
        <f>IF(Table1[[#This Row],[Is Data Valid]]=TRUE,((Table1[[#This Row],[Birthweight (grams)]]*0.9/Table1[[#This Row],[BW_GA]])-1)/(Backend!$B$4/100*Table1[[#This Row],[BW40_3705]]),"")</f>
        <v/>
      </c>
      <c r="I9739" s="7" t="str">
        <f>IF(Table1[[#This Row],[Is Data Valid]]=TRUE,((Table1[[#This Row],[Birthweight (grams)]]*1.1/Table1[[#This Row],[BW_GA]])-1)/(Backend!$B$4/100*Table1[[#This Row],[BW40_3705]]),"")</f>
        <v/>
      </c>
      <c r="J9739" s="7" t="str">
        <f>IF(Table1[[#This Row],[Is Data Valid]]=TRUE,_xlfn.NORM.S.DIST(Table1[[#This Row],[Birthweight Z-Score]],TRUE)*100,"")</f>
        <v/>
      </c>
      <c r="K9739" s="7" t="str">
        <f>IF(Table1[[#This Row],[Is Data Valid]]=TRUE,_xlfn.NORM.S.DIST(Table1[[#This Row],[Birthweight Z-Score (BW-10%)]],TRUE)*100,"")</f>
        <v/>
      </c>
      <c r="L9739" s="7" t="str">
        <f>IF(Table1[[#This Row],[Is Data Valid]]=TRUE,_xlfn.NORM.S.DIST(Table1[[#This Row],[Birthweight Z-Score (BW+10%)]],TRUE)*100,"")</f>
        <v/>
      </c>
    </row>
    <row r="9740" spans="1:12" x14ac:dyDescent="0.35">
      <c r="A9740" s="3"/>
      <c r="B9740" s="2"/>
      <c r="C9740" s="2"/>
      <c r="D9740" s="2" t="b">
        <f>IF(AND(NOT(ISBLANK(Table1[[#This Row],[Fetal Sex (Male, Female or Unknown)]])),ISNUMBER(Table1[[#This Row],[Birthweight (grams)]]),ISNUMBER(Table1[[#This Row],[Gestation (days)]])),TRUE,FALSE)</f>
        <v>0</v>
      </c>
      <c r="E9740" s="2" t="str">
        <f>IF(Table1[[#This Row],[Is Data Valid]]=TRUE,IF(Table1[[#This Row],[Fetal Sex (Male, Female or Unknown)]]="Male",Backend!$C$6,IF(Table1[[#This Row],[Fetal Sex (Male, Female or Unknown)]]="Female",Backend!$C$7,IF(Table1[[#This Row],[Fetal Sex (Male, Female or Unknown)]]="Unknown",Backend!$C$8,"Error"))),"")</f>
        <v/>
      </c>
      <c r="F9740" s="8" t="str">
        <f>IF(Table1[[#This Row],[Is Data Valid]]=TRUE,EXP(0.578+0.332*((Table1[[#This Row],[Gestation (days)]]+0.5)/7)-0.00354*((Table1[[#This Row],[Gestation (days)]]+0.5)/7)^2)*Table1[[#This Row],[BW40_3705]],"")</f>
        <v/>
      </c>
      <c r="G9740" s="2" t="str">
        <f>IF(Table1[[#This Row],[Is Data Valid]]=TRUE,((Table1[[#This Row],[Birthweight (grams)]]/Table1[[#This Row],[BW_GA]])-1)/(Backend!$B$4/100*Table1[[#This Row],[BW40_3705]]),"")</f>
        <v/>
      </c>
      <c r="H9740" s="7" t="str">
        <f>IF(Table1[[#This Row],[Is Data Valid]]=TRUE,((Table1[[#This Row],[Birthweight (grams)]]*0.9/Table1[[#This Row],[BW_GA]])-1)/(Backend!$B$4/100*Table1[[#This Row],[BW40_3705]]),"")</f>
        <v/>
      </c>
      <c r="I9740" s="7" t="str">
        <f>IF(Table1[[#This Row],[Is Data Valid]]=TRUE,((Table1[[#This Row],[Birthweight (grams)]]*1.1/Table1[[#This Row],[BW_GA]])-1)/(Backend!$B$4/100*Table1[[#This Row],[BW40_3705]]),"")</f>
        <v/>
      </c>
      <c r="J9740" s="7" t="str">
        <f>IF(Table1[[#This Row],[Is Data Valid]]=TRUE,_xlfn.NORM.S.DIST(Table1[[#This Row],[Birthweight Z-Score]],TRUE)*100,"")</f>
        <v/>
      </c>
      <c r="K9740" s="7" t="str">
        <f>IF(Table1[[#This Row],[Is Data Valid]]=TRUE,_xlfn.NORM.S.DIST(Table1[[#This Row],[Birthweight Z-Score (BW-10%)]],TRUE)*100,"")</f>
        <v/>
      </c>
      <c r="L9740" s="7" t="str">
        <f>IF(Table1[[#This Row],[Is Data Valid]]=TRUE,_xlfn.NORM.S.DIST(Table1[[#This Row],[Birthweight Z-Score (BW+10%)]],TRUE)*100,"")</f>
        <v/>
      </c>
    </row>
    <row r="9741" spans="1:12" x14ac:dyDescent="0.35">
      <c r="A9741" s="3"/>
      <c r="B9741" s="2"/>
      <c r="C9741" s="2"/>
      <c r="D9741" s="2" t="b">
        <f>IF(AND(NOT(ISBLANK(Table1[[#This Row],[Fetal Sex (Male, Female or Unknown)]])),ISNUMBER(Table1[[#This Row],[Birthweight (grams)]]),ISNUMBER(Table1[[#This Row],[Gestation (days)]])),TRUE,FALSE)</f>
        <v>0</v>
      </c>
      <c r="E9741" s="2" t="str">
        <f>IF(Table1[[#This Row],[Is Data Valid]]=TRUE,IF(Table1[[#This Row],[Fetal Sex (Male, Female or Unknown)]]="Male",Backend!$C$6,IF(Table1[[#This Row],[Fetal Sex (Male, Female or Unknown)]]="Female",Backend!$C$7,IF(Table1[[#This Row],[Fetal Sex (Male, Female or Unknown)]]="Unknown",Backend!$C$8,"Error"))),"")</f>
        <v/>
      </c>
      <c r="F9741" s="8" t="str">
        <f>IF(Table1[[#This Row],[Is Data Valid]]=TRUE,EXP(0.578+0.332*((Table1[[#This Row],[Gestation (days)]]+0.5)/7)-0.00354*((Table1[[#This Row],[Gestation (days)]]+0.5)/7)^2)*Table1[[#This Row],[BW40_3705]],"")</f>
        <v/>
      </c>
      <c r="G9741" s="2" t="str">
        <f>IF(Table1[[#This Row],[Is Data Valid]]=TRUE,((Table1[[#This Row],[Birthweight (grams)]]/Table1[[#This Row],[BW_GA]])-1)/(Backend!$B$4/100*Table1[[#This Row],[BW40_3705]]),"")</f>
        <v/>
      </c>
      <c r="H9741" s="7" t="str">
        <f>IF(Table1[[#This Row],[Is Data Valid]]=TRUE,((Table1[[#This Row],[Birthweight (grams)]]*0.9/Table1[[#This Row],[BW_GA]])-1)/(Backend!$B$4/100*Table1[[#This Row],[BW40_3705]]),"")</f>
        <v/>
      </c>
      <c r="I9741" s="7" t="str">
        <f>IF(Table1[[#This Row],[Is Data Valid]]=TRUE,((Table1[[#This Row],[Birthweight (grams)]]*1.1/Table1[[#This Row],[BW_GA]])-1)/(Backend!$B$4/100*Table1[[#This Row],[BW40_3705]]),"")</f>
        <v/>
      </c>
      <c r="J9741" s="7" t="str">
        <f>IF(Table1[[#This Row],[Is Data Valid]]=TRUE,_xlfn.NORM.S.DIST(Table1[[#This Row],[Birthweight Z-Score]],TRUE)*100,"")</f>
        <v/>
      </c>
      <c r="K9741" s="7" t="str">
        <f>IF(Table1[[#This Row],[Is Data Valid]]=TRUE,_xlfn.NORM.S.DIST(Table1[[#This Row],[Birthweight Z-Score (BW-10%)]],TRUE)*100,"")</f>
        <v/>
      </c>
      <c r="L9741" s="7" t="str">
        <f>IF(Table1[[#This Row],[Is Data Valid]]=TRUE,_xlfn.NORM.S.DIST(Table1[[#This Row],[Birthweight Z-Score (BW+10%)]],TRUE)*100,"")</f>
        <v/>
      </c>
    </row>
    <row r="9742" spans="1:12" x14ac:dyDescent="0.35">
      <c r="A9742" s="3"/>
      <c r="B9742" s="2"/>
      <c r="C9742" s="2"/>
      <c r="D9742" s="2" t="b">
        <f>IF(AND(NOT(ISBLANK(Table1[[#This Row],[Fetal Sex (Male, Female or Unknown)]])),ISNUMBER(Table1[[#This Row],[Birthweight (grams)]]),ISNUMBER(Table1[[#This Row],[Gestation (days)]])),TRUE,FALSE)</f>
        <v>0</v>
      </c>
      <c r="E9742" s="2" t="str">
        <f>IF(Table1[[#This Row],[Is Data Valid]]=TRUE,IF(Table1[[#This Row],[Fetal Sex (Male, Female or Unknown)]]="Male",Backend!$C$6,IF(Table1[[#This Row],[Fetal Sex (Male, Female or Unknown)]]="Female",Backend!$C$7,IF(Table1[[#This Row],[Fetal Sex (Male, Female or Unknown)]]="Unknown",Backend!$C$8,"Error"))),"")</f>
        <v/>
      </c>
      <c r="F9742" s="8" t="str">
        <f>IF(Table1[[#This Row],[Is Data Valid]]=TRUE,EXP(0.578+0.332*((Table1[[#This Row],[Gestation (days)]]+0.5)/7)-0.00354*((Table1[[#This Row],[Gestation (days)]]+0.5)/7)^2)*Table1[[#This Row],[BW40_3705]],"")</f>
        <v/>
      </c>
      <c r="G9742" s="2" t="str">
        <f>IF(Table1[[#This Row],[Is Data Valid]]=TRUE,((Table1[[#This Row],[Birthweight (grams)]]/Table1[[#This Row],[BW_GA]])-1)/(Backend!$B$4/100*Table1[[#This Row],[BW40_3705]]),"")</f>
        <v/>
      </c>
      <c r="H9742" s="7" t="str">
        <f>IF(Table1[[#This Row],[Is Data Valid]]=TRUE,((Table1[[#This Row],[Birthweight (grams)]]*0.9/Table1[[#This Row],[BW_GA]])-1)/(Backend!$B$4/100*Table1[[#This Row],[BW40_3705]]),"")</f>
        <v/>
      </c>
      <c r="I9742" s="7" t="str">
        <f>IF(Table1[[#This Row],[Is Data Valid]]=TRUE,((Table1[[#This Row],[Birthweight (grams)]]*1.1/Table1[[#This Row],[BW_GA]])-1)/(Backend!$B$4/100*Table1[[#This Row],[BW40_3705]]),"")</f>
        <v/>
      </c>
      <c r="J9742" s="7" t="str">
        <f>IF(Table1[[#This Row],[Is Data Valid]]=TRUE,_xlfn.NORM.S.DIST(Table1[[#This Row],[Birthweight Z-Score]],TRUE)*100,"")</f>
        <v/>
      </c>
      <c r="K9742" s="7" t="str">
        <f>IF(Table1[[#This Row],[Is Data Valid]]=TRUE,_xlfn.NORM.S.DIST(Table1[[#This Row],[Birthweight Z-Score (BW-10%)]],TRUE)*100,"")</f>
        <v/>
      </c>
      <c r="L9742" s="7" t="str">
        <f>IF(Table1[[#This Row],[Is Data Valid]]=TRUE,_xlfn.NORM.S.DIST(Table1[[#This Row],[Birthweight Z-Score (BW+10%)]],TRUE)*100,"")</f>
        <v/>
      </c>
    </row>
    <row r="9743" spans="1:12" x14ac:dyDescent="0.35">
      <c r="A9743" s="3"/>
      <c r="B9743" s="2"/>
      <c r="C9743" s="2"/>
      <c r="D9743" s="2" t="b">
        <f>IF(AND(NOT(ISBLANK(Table1[[#This Row],[Fetal Sex (Male, Female or Unknown)]])),ISNUMBER(Table1[[#This Row],[Birthweight (grams)]]),ISNUMBER(Table1[[#This Row],[Gestation (days)]])),TRUE,FALSE)</f>
        <v>0</v>
      </c>
      <c r="E9743" s="2" t="str">
        <f>IF(Table1[[#This Row],[Is Data Valid]]=TRUE,IF(Table1[[#This Row],[Fetal Sex (Male, Female or Unknown)]]="Male",Backend!$C$6,IF(Table1[[#This Row],[Fetal Sex (Male, Female or Unknown)]]="Female",Backend!$C$7,IF(Table1[[#This Row],[Fetal Sex (Male, Female or Unknown)]]="Unknown",Backend!$C$8,"Error"))),"")</f>
        <v/>
      </c>
      <c r="F9743" s="8" t="str">
        <f>IF(Table1[[#This Row],[Is Data Valid]]=TRUE,EXP(0.578+0.332*((Table1[[#This Row],[Gestation (days)]]+0.5)/7)-0.00354*((Table1[[#This Row],[Gestation (days)]]+0.5)/7)^2)*Table1[[#This Row],[BW40_3705]],"")</f>
        <v/>
      </c>
      <c r="G9743" s="2" t="str">
        <f>IF(Table1[[#This Row],[Is Data Valid]]=TRUE,((Table1[[#This Row],[Birthweight (grams)]]/Table1[[#This Row],[BW_GA]])-1)/(Backend!$B$4/100*Table1[[#This Row],[BW40_3705]]),"")</f>
        <v/>
      </c>
      <c r="H9743" s="7" t="str">
        <f>IF(Table1[[#This Row],[Is Data Valid]]=TRUE,((Table1[[#This Row],[Birthweight (grams)]]*0.9/Table1[[#This Row],[BW_GA]])-1)/(Backend!$B$4/100*Table1[[#This Row],[BW40_3705]]),"")</f>
        <v/>
      </c>
      <c r="I9743" s="7" t="str">
        <f>IF(Table1[[#This Row],[Is Data Valid]]=TRUE,((Table1[[#This Row],[Birthweight (grams)]]*1.1/Table1[[#This Row],[BW_GA]])-1)/(Backend!$B$4/100*Table1[[#This Row],[BW40_3705]]),"")</f>
        <v/>
      </c>
      <c r="J9743" s="7" t="str">
        <f>IF(Table1[[#This Row],[Is Data Valid]]=TRUE,_xlfn.NORM.S.DIST(Table1[[#This Row],[Birthweight Z-Score]],TRUE)*100,"")</f>
        <v/>
      </c>
      <c r="K9743" s="7" t="str">
        <f>IF(Table1[[#This Row],[Is Data Valid]]=TRUE,_xlfn.NORM.S.DIST(Table1[[#This Row],[Birthweight Z-Score (BW-10%)]],TRUE)*100,"")</f>
        <v/>
      </c>
      <c r="L9743" s="7" t="str">
        <f>IF(Table1[[#This Row],[Is Data Valid]]=TRUE,_xlfn.NORM.S.DIST(Table1[[#This Row],[Birthweight Z-Score (BW+10%)]],TRUE)*100,"")</f>
        <v/>
      </c>
    </row>
    <row r="9744" spans="1:12" x14ac:dyDescent="0.35">
      <c r="A9744" s="3"/>
      <c r="B9744" s="2"/>
      <c r="C9744" s="2"/>
      <c r="D9744" s="2" t="b">
        <f>IF(AND(NOT(ISBLANK(Table1[[#This Row],[Fetal Sex (Male, Female or Unknown)]])),ISNUMBER(Table1[[#This Row],[Birthweight (grams)]]),ISNUMBER(Table1[[#This Row],[Gestation (days)]])),TRUE,FALSE)</f>
        <v>0</v>
      </c>
      <c r="E9744" s="2" t="str">
        <f>IF(Table1[[#This Row],[Is Data Valid]]=TRUE,IF(Table1[[#This Row],[Fetal Sex (Male, Female or Unknown)]]="Male",Backend!$C$6,IF(Table1[[#This Row],[Fetal Sex (Male, Female or Unknown)]]="Female",Backend!$C$7,IF(Table1[[#This Row],[Fetal Sex (Male, Female or Unknown)]]="Unknown",Backend!$C$8,"Error"))),"")</f>
        <v/>
      </c>
      <c r="F9744" s="8" t="str">
        <f>IF(Table1[[#This Row],[Is Data Valid]]=TRUE,EXP(0.578+0.332*((Table1[[#This Row],[Gestation (days)]]+0.5)/7)-0.00354*((Table1[[#This Row],[Gestation (days)]]+0.5)/7)^2)*Table1[[#This Row],[BW40_3705]],"")</f>
        <v/>
      </c>
      <c r="G9744" s="2" t="str">
        <f>IF(Table1[[#This Row],[Is Data Valid]]=TRUE,((Table1[[#This Row],[Birthweight (grams)]]/Table1[[#This Row],[BW_GA]])-1)/(Backend!$B$4/100*Table1[[#This Row],[BW40_3705]]),"")</f>
        <v/>
      </c>
      <c r="H9744" s="7" t="str">
        <f>IF(Table1[[#This Row],[Is Data Valid]]=TRUE,((Table1[[#This Row],[Birthweight (grams)]]*0.9/Table1[[#This Row],[BW_GA]])-1)/(Backend!$B$4/100*Table1[[#This Row],[BW40_3705]]),"")</f>
        <v/>
      </c>
      <c r="I9744" s="7" t="str">
        <f>IF(Table1[[#This Row],[Is Data Valid]]=TRUE,((Table1[[#This Row],[Birthweight (grams)]]*1.1/Table1[[#This Row],[BW_GA]])-1)/(Backend!$B$4/100*Table1[[#This Row],[BW40_3705]]),"")</f>
        <v/>
      </c>
      <c r="J9744" s="7" t="str">
        <f>IF(Table1[[#This Row],[Is Data Valid]]=TRUE,_xlfn.NORM.S.DIST(Table1[[#This Row],[Birthweight Z-Score]],TRUE)*100,"")</f>
        <v/>
      </c>
      <c r="K9744" s="7" t="str">
        <f>IF(Table1[[#This Row],[Is Data Valid]]=TRUE,_xlfn.NORM.S.DIST(Table1[[#This Row],[Birthweight Z-Score (BW-10%)]],TRUE)*100,"")</f>
        <v/>
      </c>
      <c r="L9744" s="7" t="str">
        <f>IF(Table1[[#This Row],[Is Data Valid]]=TRUE,_xlfn.NORM.S.DIST(Table1[[#This Row],[Birthweight Z-Score (BW+10%)]],TRUE)*100,"")</f>
        <v/>
      </c>
    </row>
    <row r="9745" spans="1:12" x14ac:dyDescent="0.35">
      <c r="A9745" s="3"/>
      <c r="B9745" s="2"/>
      <c r="C9745" s="2"/>
      <c r="D9745" s="2" t="b">
        <f>IF(AND(NOT(ISBLANK(Table1[[#This Row],[Fetal Sex (Male, Female or Unknown)]])),ISNUMBER(Table1[[#This Row],[Birthweight (grams)]]),ISNUMBER(Table1[[#This Row],[Gestation (days)]])),TRUE,FALSE)</f>
        <v>0</v>
      </c>
      <c r="E9745" s="2" t="str">
        <f>IF(Table1[[#This Row],[Is Data Valid]]=TRUE,IF(Table1[[#This Row],[Fetal Sex (Male, Female or Unknown)]]="Male",Backend!$C$6,IF(Table1[[#This Row],[Fetal Sex (Male, Female or Unknown)]]="Female",Backend!$C$7,IF(Table1[[#This Row],[Fetal Sex (Male, Female or Unknown)]]="Unknown",Backend!$C$8,"Error"))),"")</f>
        <v/>
      </c>
      <c r="F9745" s="8" t="str">
        <f>IF(Table1[[#This Row],[Is Data Valid]]=TRUE,EXP(0.578+0.332*((Table1[[#This Row],[Gestation (days)]]+0.5)/7)-0.00354*((Table1[[#This Row],[Gestation (days)]]+0.5)/7)^2)*Table1[[#This Row],[BW40_3705]],"")</f>
        <v/>
      </c>
      <c r="G9745" s="2" t="str">
        <f>IF(Table1[[#This Row],[Is Data Valid]]=TRUE,((Table1[[#This Row],[Birthweight (grams)]]/Table1[[#This Row],[BW_GA]])-1)/(Backend!$B$4/100*Table1[[#This Row],[BW40_3705]]),"")</f>
        <v/>
      </c>
      <c r="H9745" s="7" t="str">
        <f>IF(Table1[[#This Row],[Is Data Valid]]=TRUE,((Table1[[#This Row],[Birthweight (grams)]]*0.9/Table1[[#This Row],[BW_GA]])-1)/(Backend!$B$4/100*Table1[[#This Row],[BW40_3705]]),"")</f>
        <v/>
      </c>
      <c r="I9745" s="7" t="str">
        <f>IF(Table1[[#This Row],[Is Data Valid]]=TRUE,((Table1[[#This Row],[Birthweight (grams)]]*1.1/Table1[[#This Row],[BW_GA]])-1)/(Backend!$B$4/100*Table1[[#This Row],[BW40_3705]]),"")</f>
        <v/>
      </c>
      <c r="J9745" s="7" t="str">
        <f>IF(Table1[[#This Row],[Is Data Valid]]=TRUE,_xlfn.NORM.S.DIST(Table1[[#This Row],[Birthweight Z-Score]],TRUE)*100,"")</f>
        <v/>
      </c>
      <c r="K9745" s="7" t="str">
        <f>IF(Table1[[#This Row],[Is Data Valid]]=TRUE,_xlfn.NORM.S.DIST(Table1[[#This Row],[Birthweight Z-Score (BW-10%)]],TRUE)*100,"")</f>
        <v/>
      </c>
      <c r="L9745" s="7" t="str">
        <f>IF(Table1[[#This Row],[Is Data Valid]]=TRUE,_xlfn.NORM.S.DIST(Table1[[#This Row],[Birthweight Z-Score (BW+10%)]],TRUE)*100,"")</f>
        <v/>
      </c>
    </row>
    <row r="9746" spans="1:12" x14ac:dyDescent="0.35">
      <c r="A9746" s="3"/>
      <c r="B9746" s="2"/>
      <c r="C9746" s="2"/>
      <c r="D9746" s="2" t="b">
        <f>IF(AND(NOT(ISBLANK(Table1[[#This Row],[Fetal Sex (Male, Female or Unknown)]])),ISNUMBER(Table1[[#This Row],[Birthweight (grams)]]),ISNUMBER(Table1[[#This Row],[Gestation (days)]])),TRUE,FALSE)</f>
        <v>0</v>
      </c>
      <c r="E9746" s="2" t="str">
        <f>IF(Table1[[#This Row],[Is Data Valid]]=TRUE,IF(Table1[[#This Row],[Fetal Sex (Male, Female or Unknown)]]="Male",Backend!$C$6,IF(Table1[[#This Row],[Fetal Sex (Male, Female or Unknown)]]="Female",Backend!$C$7,IF(Table1[[#This Row],[Fetal Sex (Male, Female or Unknown)]]="Unknown",Backend!$C$8,"Error"))),"")</f>
        <v/>
      </c>
      <c r="F9746" s="8" t="str">
        <f>IF(Table1[[#This Row],[Is Data Valid]]=TRUE,EXP(0.578+0.332*((Table1[[#This Row],[Gestation (days)]]+0.5)/7)-0.00354*((Table1[[#This Row],[Gestation (days)]]+0.5)/7)^2)*Table1[[#This Row],[BW40_3705]],"")</f>
        <v/>
      </c>
      <c r="G9746" s="2" t="str">
        <f>IF(Table1[[#This Row],[Is Data Valid]]=TRUE,((Table1[[#This Row],[Birthweight (grams)]]/Table1[[#This Row],[BW_GA]])-1)/(Backend!$B$4/100*Table1[[#This Row],[BW40_3705]]),"")</f>
        <v/>
      </c>
      <c r="H9746" s="7" t="str">
        <f>IF(Table1[[#This Row],[Is Data Valid]]=TRUE,((Table1[[#This Row],[Birthweight (grams)]]*0.9/Table1[[#This Row],[BW_GA]])-1)/(Backend!$B$4/100*Table1[[#This Row],[BW40_3705]]),"")</f>
        <v/>
      </c>
      <c r="I9746" s="7" t="str">
        <f>IF(Table1[[#This Row],[Is Data Valid]]=TRUE,((Table1[[#This Row],[Birthweight (grams)]]*1.1/Table1[[#This Row],[BW_GA]])-1)/(Backend!$B$4/100*Table1[[#This Row],[BW40_3705]]),"")</f>
        <v/>
      </c>
      <c r="J9746" s="7" t="str">
        <f>IF(Table1[[#This Row],[Is Data Valid]]=TRUE,_xlfn.NORM.S.DIST(Table1[[#This Row],[Birthweight Z-Score]],TRUE)*100,"")</f>
        <v/>
      </c>
      <c r="K9746" s="7" t="str">
        <f>IF(Table1[[#This Row],[Is Data Valid]]=TRUE,_xlfn.NORM.S.DIST(Table1[[#This Row],[Birthweight Z-Score (BW-10%)]],TRUE)*100,"")</f>
        <v/>
      </c>
      <c r="L9746" s="7" t="str">
        <f>IF(Table1[[#This Row],[Is Data Valid]]=TRUE,_xlfn.NORM.S.DIST(Table1[[#This Row],[Birthweight Z-Score (BW+10%)]],TRUE)*100,"")</f>
        <v/>
      </c>
    </row>
    <row r="9747" spans="1:12" x14ac:dyDescent="0.35">
      <c r="A9747" s="3"/>
      <c r="B9747" s="2"/>
      <c r="C9747" s="2"/>
      <c r="D9747" s="2" t="b">
        <f>IF(AND(NOT(ISBLANK(Table1[[#This Row],[Fetal Sex (Male, Female or Unknown)]])),ISNUMBER(Table1[[#This Row],[Birthweight (grams)]]),ISNUMBER(Table1[[#This Row],[Gestation (days)]])),TRUE,FALSE)</f>
        <v>0</v>
      </c>
      <c r="E9747" s="2" t="str">
        <f>IF(Table1[[#This Row],[Is Data Valid]]=TRUE,IF(Table1[[#This Row],[Fetal Sex (Male, Female or Unknown)]]="Male",Backend!$C$6,IF(Table1[[#This Row],[Fetal Sex (Male, Female or Unknown)]]="Female",Backend!$C$7,IF(Table1[[#This Row],[Fetal Sex (Male, Female or Unknown)]]="Unknown",Backend!$C$8,"Error"))),"")</f>
        <v/>
      </c>
      <c r="F9747" s="8" t="str">
        <f>IF(Table1[[#This Row],[Is Data Valid]]=TRUE,EXP(0.578+0.332*((Table1[[#This Row],[Gestation (days)]]+0.5)/7)-0.00354*((Table1[[#This Row],[Gestation (days)]]+0.5)/7)^2)*Table1[[#This Row],[BW40_3705]],"")</f>
        <v/>
      </c>
      <c r="G9747" s="2" t="str">
        <f>IF(Table1[[#This Row],[Is Data Valid]]=TRUE,((Table1[[#This Row],[Birthweight (grams)]]/Table1[[#This Row],[BW_GA]])-1)/(Backend!$B$4/100*Table1[[#This Row],[BW40_3705]]),"")</f>
        <v/>
      </c>
      <c r="H9747" s="7" t="str">
        <f>IF(Table1[[#This Row],[Is Data Valid]]=TRUE,((Table1[[#This Row],[Birthweight (grams)]]*0.9/Table1[[#This Row],[BW_GA]])-1)/(Backend!$B$4/100*Table1[[#This Row],[BW40_3705]]),"")</f>
        <v/>
      </c>
      <c r="I9747" s="7" t="str">
        <f>IF(Table1[[#This Row],[Is Data Valid]]=TRUE,((Table1[[#This Row],[Birthweight (grams)]]*1.1/Table1[[#This Row],[BW_GA]])-1)/(Backend!$B$4/100*Table1[[#This Row],[BW40_3705]]),"")</f>
        <v/>
      </c>
      <c r="J9747" s="7" t="str">
        <f>IF(Table1[[#This Row],[Is Data Valid]]=TRUE,_xlfn.NORM.S.DIST(Table1[[#This Row],[Birthweight Z-Score]],TRUE)*100,"")</f>
        <v/>
      </c>
      <c r="K9747" s="7" t="str">
        <f>IF(Table1[[#This Row],[Is Data Valid]]=TRUE,_xlfn.NORM.S.DIST(Table1[[#This Row],[Birthweight Z-Score (BW-10%)]],TRUE)*100,"")</f>
        <v/>
      </c>
      <c r="L9747" s="7" t="str">
        <f>IF(Table1[[#This Row],[Is Data Valid]]=TRUE,_xlfn.NORM.S.DIST(Table1[[#This Row],[Birthweight Z-Score (BW+10%)]],TRUE)*100,"")</f>
        <v/>
      </c>
    </row>
    <row r="9748" spans="1:12" x14ac:dyDescent="0.35">
      <c r="A9748" s="3"/>
      <c r="B9748" s="2"/>
      <c r="C9748" s="2"/>
      <c r="D9748" s="2" t="b">
        <f>IF(AND(NOT(ISBLANK(Table1[[#This Row],[Fetal Sex (Male, Female or Unknown)]])),ISNUMBER(Table1[[#This Row],[Birthweight (grams)]]),ISNUMBER(Table1[[#This Row],[Gestation (days)]])),TRUE,FALSE)</f>
        <v>0</v>
      </c>
      <c r="E9748" s="2" t="str">
        <f>IF(Table1[[#This Row],[Is Data Valid]]=TRUE,IF(Table1[[#This Row],[Fetal Sex (Male, Female or Unknown)]]="Male",Backend!$C$6,IF(Table1[[#This Row],[Fetal Sex (Male, Female or Unknown)]]="Female",Backend!$C$7,IF(Table1[[#This Row],[Fetal Sex (Male, Female or Unknown)]]="Unknown",Backend!$C$8,"Error"))),"")</f>
        <v/>
      </c>
      <c r="F9748" s="8" t="str">
        <f>IF(Table1[[#This Row],[Is Data Valid]]=TRUE,EXP(0.578+0.332*((Table1[[#This Row],[Gestation (days)]]+0.5)/7)-0.00354*((Table1[[#This Row],[Gestation (days)]]+0.5)/7)^2)*Table1[[#This Row],[BW40_3705]],"")</f>
        <v/>
      </c>
      <c r="G9748" s="2" t="str">
        <f>IF(Table1[[#This Row],[Is Data Valid]]=TRUE,((Table1[[#This Row],[Birthweight (grams)]]/Table1[[#This Row],[BW_GA]])-1)/(Backend!$B$4/100*Table1[[#This Row],[BW40_3705]]),"")</f>
        <v/>
      </c>
      <c r="H9748" s="7" t="str">
        <f>IF(Table1[[#This Row],[Is Data Valid]]=TRUE,((Table1[[#This Row],[Birthweight (grams)]]*0.9/Table1[[#This Row],[BW_GA]])-1)/(Backend!$B$4/100*Table1[[#This Row],[BW40_3705]]),"")</f>
        <v/>
      </c>
      <c r="I9748" s="7" t="str">
        <f>IF(Table1[[#This Row],[Is Data Valid]]=TRUE,((Table1[[#This Row],[Birthweight (grams)]]*1.1/Table1[[#This Row],[BW_GA]])-1)/(Backend!$B$4/100*Table1[[#This Row],[BW40_3705]]),"")</f>
        <v/>
      </c>
      <c r="J9748" s="7" t="str">
        <f>IF(Table1[[#This Row],[Is Data Valid]]=TRUE,_xlfn.NORM.S.DIST(Table1[[#This Row],[Birthweight Z-Score]],TRUE)*100,"")</f>
        <v/>
      </c>
      <c r="K9748" s="7" t="str">
        <f>IF(Table1[[#This Row],[Is Data Valid]]=TRUE,_xlfn.NORM.S.DIST(Table1[[#This Row],[Birthweight Z-Score (BW-10%)]],TRUE)*100,"")</f>
        <v/>
      </c>
      <c r="L9748" s="7" t="str">
        <f>IF(Table1[[#This Row],[Is Data Valid]]=TRUE,_xlfn.NORM.S.DIST(Table1[[#This Row],[Birthweight Z-Score (BW+10%)]],TRUE)*100,"")</f>
        <v/>
      </c>
    </row>
    <row r="9749" spans="1:12" x14ac:dyDescent="0.35">
      <c r="A9749" s="3"/>
      <c r="B9749" s="2"/>
      <c r="C9749" s="2"/>
      <c r="D9749" s="2" t="b">
        <f>IF(AND(NOT(ISBLANK(Table1[[#This Row],[Fetal Sex (Male, Female or Unknown)]])),ISNUMBER(Table1[[#This Row],[Birthweight (grams)]]),ISNUMBER(Table1[[#This Row],[Gestation (days)]])),TRUE,FALSE)</f>
        <v>0</v>
      </c>
      <c r="E9749" s="2" t="str">
        <f>IF(Table1[[#This Row],[Is Data Valid]]=TRUE,IF(Table1[[#This Row],[Fetal Sex (Male, Female or Unknown)]]="Male",Backend!$C$6,IF(Table1[[#This Row],[Fetal Sex (Male, Female or Unknown)]]="Female",Backend!$C$7,IF(Table1[[#This Row],[Fetal Sex (Male, Female or Unknown)]]="Unknown",Backend!$C$8,"Error"))),"")</f>
        <v/>
      </c>
      <c r="F9749" s="8" t="str">
        <f>IF(Table1[[#This Row],[Is Data Valid]]=TRUE,EXP(0.578+0.332*((Table1[[#This Row],[Gestation (days)]]+0.5)/7)-0.00354*((Table1[[#This Row],[Gestation (days)]]+0.5)/7)^2)*Table1[[#This Row],[BW40_3705]],"")</f>
        <v/>
      </c>
      <c r="G9749" s="2" t="str">
        <f>IF(Table1[[#This Row],[Is Data Valid]]=TRUE,((Table1[[#This Row],[Birthweight (grams)]]/Table1[[#This Row],[BW_GA]])-1)/(Backend!$B$4/100*Table1[[#This Row],[BW40_3705]]),"")</f>
        <v/>
      </c>
      <c r="H9749" s="7" t="str">
        <f>IF(Table1[[#This Row],[Is Data Valid]]=TRUE,((Table1[[#This Row],[Birthweight (grams)]]*0.9/Table1[[#This Row],[BW_GA]])-1)/(Backend!$B$4/100*Table1[[#This Row],[BW40_3705]]),"")</f>
        <v/>
      </c>
      <c r="I9749" s="7" t="str">
        <f>IF(Table1[[#This Row],[Is Data Valid]]=TRUE,((Table1[[#This Row],[Birthweight (grams)]]*1.1/Table1[[#This Row],[BW_GA]])-1)/(Backend!$B$4/100*Table1[[#This Row],[BW40_3705]]),"")</f>
        <v/>
      </c>
      <c r="J9749" s="7" t="str">
        <f>IF(Table1[[#This Row],[Is Data Valid]]=TRUE,_xlfn.NORM.S.DIST(Table1[[#This Row],[Birthweight Z-Score]],TRUE)*100,"")</f>
        <v/>
      </c>
      <c r="K9749" s="7" t="str">
        <f>IF(Table1[[#This Row],[Is Data Valid]]=TRUE,_xlfn.NORM.S.DIST(Table1[[#This Row],[Birthweight Z-Score (BW-10%)]],TRUE)*100,"")</f>
        <v/>
      </c>
      <c r="L9749" s="7" t="str">
        <f>IF(Table1[[#This Row],[Is Data Valid]]=TRUE,_xlfn.NORM.S.DIST(Table1[[#This Row],[Birthweight Z-Score (BW+10%)]],TRUE)*100,"")</f>
        <v/>
      </c>
    </row>
    <row r="9750" spans="1:12" x14ac:dyDescent="0.35">
      <c r="A9750" s="3"/>
      <c r="B9750" s="2"/>
      <c r="C9750" s="2"/>
      <c r="D9750" s="2" t="b">
        <f>IF(AND(NOT(ISBLANK(Table1[[#This Row],[Fetal Sex (Male, Female or Unknown)]])),ISNUMBER(Table1[[#This Row],[Birthweight (grams)]]),ISNUMBER(Table1[[#This Row],[Gestation (days)]])),TRUE,FALSE)</f>
        <v>0</v>
      </c>
      <c r="E9750" s="2" t="str">
        <f>IF(Table1[[#This Row],[Is Data Valid]]=TRUE,IF(Table1[[#This Row],[Fetal Sex (Male, Female or Unknown)]]="Male",Backend!$C$6,IF(Table1[[#This Row],[Fetal Sex (Male, Female or Unknown)]]="Female",Backend!$C$7,IF(Table1[[#This Row],[Fetal Sex (Male, Female or Unknown)]]="Unknown",Backend!$C$8,"Error"))),"")</f>
        <v/>
      </c>
      <c r="F9750" s="8" t="str">
        <f>IF(Table1[[#This Row],[Is Data Valid]]=TRUE,EXP(0.578+0.332*((Table1[[#This Row],[Gestation (days)]]+0.5)/7)-0.00354*((Table1[[#This Row],[Gestation (days)]]+0.5)/7)^2)*Table1[[#This Row],[BW40_3705]],"")</f>
        <v/>
      </c>
      <c r="G9750" s="2" t="str">
        <f>IF(Table1[[#This Row],[Is Data Valid]]=TRUE,((Table1[[#This Row],[Birthweight (grams)]]/Table1[[#This Row],[BW_GA]])-1)/(Backend!$B$4/100*Table1[[#This Row],[BW40_3705]]),"")</f>
        <v/>
      </c>
      <c r="H9750" s="7" t="str">
        <f>IF(Table1[[#This Row],[Is Data Valid]]=TRUE,((Table1[[#This Row],[Birthweight (grams)]]*0.9/Table1[[#This Row],[BW_GA]])-1)/(Backend!$B$4/100*Table1[[#This Row],[BW40_3705]]),"")</f>
        <v/>
      </c>
      <c r="I9750" s="7" t="str">
        <f>IF(Table1[[#This Row],[Is Data Valid]]=TRUE,((Table1[[#This Row],[Birthweight (grams)]]*1.1/Table1[[#This Row],[BW_GA]])-1)/(Backend!$B$4/100*Table1[[#This Row],[BW40_3705]]),"")</f>
        <v/>
      </c>
      <c r="J9750" s="7" t="str">
        <f>IF(Table1[[#This Row],[Is Data Valid]]=TRUE,_xlfn.NORM.S.DIST(Table1[[#This Row],[Birthweight Z-Score]],TRUE)*100,"")</f>
        <v/>
      </c>
      <c r="K9750" s="7" t="str">
        <f>IF(Table1[[#This Row],[Is Data Valid]]=TRUE,_xlfn.NORM.S.DIST(Table1[[#This Row],[Birthweight Z-Score (BW-10%)]],TRUE)*100,"")</f>
        <v/>
      </c>
      <c r="L9750" s="7" t="str">
        <f>IF(Table1[[#This Row],[Is Data Valid]]=TRUE,_xlfn.NORM.S.DIST(Table1[[#This Row],[Birthweight Z-Score (BW+10%)]],TRUE)*100,"")</f>
        <v/>
      </c>
    </row>
    <row r="9751" spans="1:12" x14ac:dyDescent="0.35">
      <c r="A9751" s="3"/>
      <c r="B9751" s="2"/>
      <c r="C9751" s="2"/>
      <c r="D9751" s="2" t="b">
        <f>IF(AND(NOT(ISBLANK(Table1[[#This Row],[Fetal Sex (Male, Female or Unknown)]])),ISNUMBER(Table1[[#This Row],[Birthweight (grams)]]),ISNUMBER(Table1[[#This Row],[Gestation (days)]])),TRUE,FALSE)</f>
        <v>0</v>
      </c>
      <c r="E9751" s="2" t="str">
        <f>IF(Table1[[#This Row],[Is Data Valid]]=TRUE,IF(Table1[[#This Row],[Fetal Sex (Male, Female or Unknown)]]="Male",Backend!$C$6,IF(Table1[[#This Row],[Fetal Sex (Male, Female or Unknown)]]="Female",Backend!$C$7,IF(Table1[[#This Row],[Fetal Sex (Male, Female or Unknown)]]="Unknown",Backend!$C$8,"Error"))),"")</f>
        <v/>
      </c>
      <c r="F9751" s="8" t="str">
        <f>IF(Table1[[#This Row],[Is Data Valid]]=TRUE,EXP(0.578+0.332*((Table1[[#This Row],[Gestation (days)]]+0.5)/7)-0.00354*((Table1[[#This Row],[Gestation (days)]]+0.5)/7)^2)*Table1[[#This Row],[BW40_3705]],"")</f>
        <v/>
      </c>
      <c r="G9751" s="2" t="str">
        <f>IF(Table1[[#This Row],[Is Data Valid]]=TRUE,((Table1[[#This Row],[Birthweight (grams)]]/Table1[[#This Row],[BW_GA]])-1)/(Backend!$B$4/100*Table1[[#This Row],[BW40_3705]]),"")</f>
        <v/>
      </c>
      <c r="H9751" s="7" t="str">
        <f>IF(Table1[[#This Row],[Is Data Valid]]=TRUE,((Table1[[#This Row],[Birthweight (grams)]]*0.9/Table1[[#This Row],[BW_GA]])-1)/(Backend!$B$4/100*Table1[[#This Row],[BW40_3705]]),"")</f>
        <v/>
      </c>
      <c r="I9751" s="7" t="str">
        <f>IF(Table1[[#This Row],[Is Data Valid]]=TRUE,((Table1[[#This Row],[Birthweight (grams)]]*1.1/Table1[[#This Row],[BW_GA]])-1)/(Backend!$B$4/100*Table1[[#This Row],[BW40_3705]]),"")</f>
        <v/>
      </c>
      <c r="J9751" s="7" t="str">
        <f>IF(Table1[[#This Row],[Is Data Valid]]=TRUE,_xlfn.NORM.S.DIST(Table1[[#This Row],[Birthweight Z-Score]],TRUE)*100,"")</f>
        <v/>
      </c>
      <c r="K9751" s="7" t="str">
        <f>IF(Table1[[#This Row],[Is Data Valid]]=TRUE,_xlfn.NORM.S.DIST(Table1[[#This Row],[Birthweight Z-Score (BW-10%)]],TRUE)*100,"")</f>
        <v/>
      </c>
      <c r="L9751" s="7" t="str">
        <f>IF(Table1[[#This Row],[Is Data Valid]]=TRUE,_xlfn.NORM.S.DIST(Table1[[#This Row],[Birthweight Z-Score (BW+10%)]],TRUE)*100,"")</f>
        <v/>
      </c>
    </row>
    <row r="9752" spans="1:12" x14ac:dyDescent="0.35">
      <c r="A9752" s="3"/>
      <c r="B9752" s="2"/>
      <c r="C9752" s="2"/>
      <c r="D9752" s="2" t="b">
        <f>IF(AND(NOT(ISBLANK(Table1[[#This Row],[Fetal Sex (Male, Female or Unknown)]])),ISNUMBER(Table1[[#This Row],[Birthweight (grams)]]),ISNUMBER(Table1[[#This Row],[Gestation (days)]])),TRUE,FALSE)</f>
        <v>0</v>
      </c>
      <c r="E9752" s="2" t="str">
        <f>IF(Table1[[#This Row],[Is Data Valid]]=TRUE,IF(Table1[[#This Row],[Fetal Sex (Male, Female or Unknown)]]="Male",Backend!$C$6,IF(Table1[[#This Row],[Fetal Sex (Male, Female or Unknown)]]="Female",Backend!$C$7,IF(Table1[[#This Row],[Fetal Sex (Male, Female or Unknown)]]="Unknown",Backend!$C$8,"Error"))),"")</f>
        <v/>
      </c>
      <c r="F9752" s="8" t="str">
        <f>IF(Table1[[#This Row],[Is Data Valid]]=TRUE,EXP(0.578+0.332*((Table1[[#This Row],[Gestation (days)]]+0.5)/7)-0.00354*((Table1[[#This Row],[Gestation (days)]]+0.5)/7)^2)*Table1[[#This Row],[BW40_3705]],"")</f>
        <v/>
      </c>
      <c r="G9752" s="2" t="str">
        <f>IF(Table1[[#This Row],[Is Data Valid]]=TRUE,((Table1[[#This Row],[Birthweight (grams)]]/Table1[[#This Row],[BW_GA]])-1)/(Backend!$B$4/100*Table1[[#This Row],[BW40_3705]]),"")</f>
        <v/>
      </c>
      <c r="H9752" s="7" t="str">
        <f>IF(Table1[[#This Row],[Is Data Valid]]=TRUE,((Table1[[#This Row],[Birthweight (grams)]]*0.9/Table1[[#This Row],[BW_GA]])-1)/(Backend!$B$4/100*Table1[[#This Row],[BW40_3705]]),"")</f>
        <v/>
      </c>
      <c r="I9752" s="7" t="str">
        <f>IF(Table1[[#This Row],[Is Data Valid]]=TRUE,((Table1[[#This Row],[Birthweight (grams)]]*1.1/Table1[[#This Row],[BW_GA]])-1)/(Backend!$B$4/100*Table1[[#This Row],[BW40_3705]]),"")</f>
        <v/>
      </c>
      <c r="J9752" s="7" t="str">
        <f>IF(Table1[[#This Row],[Is Data Valid]]=TRUE,_xlfn.NORM.S.DIST(Table1[[#This Row],[Birthweight Z-Score]],TRUE)*100,"")</f>
        <v/>
      </c>
      <c r="K9752" s="7" t="str">
        <f>IF(Table1[[#This Row],[Is Data Valid]]=TRUE,_xlfn.NORM.S.DIST(Table1[[#This Row],[Birthweight Z-Score (BW-10%)]],TRUE)*100,"")</f>
        <v/>
      </c>
      <c r="L9752" s="7" t="str">
        <f>IF(Table1[[#This Row],[Is Data Valid]]=TRUE,_xlfn.NORM.S.DIST(Table1[[#This Row],[Birthweight Z-Score (BW+10%)]],TRUE)*100,"")</f>
        <v/>
      </c>
    </row>
    <row r="9753" spans="1:12" x14ac:dyDescent="0.35">
      <c r="A9753" s="3"/>
      <c r="B9753" s="2"/>
      <c r="C9753" s="2"/>
      <c r="D9753" s="2" t="b">
        <f>IF(AND(NOT(ISBLANK(Table1[[#This Row],[Fetal Sex (Male, Female or Unknown)]])),ISNUMBER(Table1[[#This Row],[Birthweight (grams)]]),ISNUMBER(Table1[[#This Row],[Gestation (days)]])),TRUE,FALSE)</f>
        <v>0</v>
      </c>
      <c r="E9753" s="2" t="str">
        <f>IF(Table1[[#This Row],[Is Data Valid]]=TRUE,IF(Table1[[#This Row],[Fetal Sex (Male, Female or Unknown)]]="Male",Backend!$C$6,IF(Table1[[#This Row],[Fetal Sex (Male, Female or Unknown)]]="Female",Backend!$C$7,IF(Table1[[#This Row],[Fetal Sex (Male, Female or Unknown)]]="Unknown",Backend!$C$8,"Error"))),"")</f>
        <v/>
      </c>
      <c r="F9753" s="8" t="str">
        <f>IF(Table1[[#This Row],[Is Data Valid]]=TRUE,EXP(0.578+0.332*((Table1[[#This Row],[Gestation (days)]]+0.5)/7)-0.00354*((Table1[[#This Row],[Gestation (days)]]+0.5)/7)^2)*Table1[[#This Row],[BW40_3705]],"")</f>
        <v/>
      </c>
      <c r="G9753" s="2" t="str">
        <f>IF(Table1[[#This Row],[Is Data Valid]]=TRUE,((Table1[[#This Row],[Birthweight (grams)]]/Table1[[#This Row],[BW_GA]])-1)/(Backend!$B$4/100*Table1[[#This Row],[BW40_3705]]),"")</f>
        <v/>
      </c>
      <c r="H9753" s="7" t="str">
        <f>IF(Table1[[#This Row],[Is Data Valid]]=TRUE,((Table1[[#This Row],[Birthweight (grams)]]*0.9/Table1[[#This Row],[BW_GA]])-1)/(Backend!$B$4/100*Table1[[#This Row],[BW40_3705]]),"")</f>
        <v/>
      </c>
      <c r="I9753" s="7" t="str">
        <f>IF(Table1[[#This Row],[Is Data Valid]]=TRUE,((Table1[[#This Row],[Birthweight (grams)]]*1.1/Table1[[#This Row],[BW_GA]])-1)/(Backend!$B$4/100*Table1[[#This Row],[BW40_3705]]),"")</f>
        <v/>
      </c>
      <c r="J9753" s="7" t="str">
        <f>IF(Table1[[#This Row],[Is Data Valid]]=TRUE,_xlfn.NORM.S.DIST(Table1[[#This Row],[Birthweight Z-Score]],TRUE)*100,"")</f>
        <v/>
      </c>
      <c r="K9753" s="7" t="str">
        <f>IF(Table1[[#This Row],[Is Data Valid]]=TRUE,_xlfn.NORM.S.DIST(Table1[[#This Row],[Birthweight Z-Score (BW-10%)]],TRUE)*100,"")</f>
        <v/>
      </c>
      <c r="L9753" s="7" t="str">
        <f>IF(Table1[[#This Row],[Is Data Valid]]=TRUE,_xlfn.NORM.S.DIST(Table1[[#This Row],[Birthweight Z-Score (BW+10%)]],TRUE)*100,"")</f>
        <v/>
      </c>
    </row>
    <row r="9754" spans="1:12" x14ac:dyDescent="0.35">
      <c r="A9754" s="3"/>
      <c r="B9754" s="2"/>
      <c r="C9754" s="2"/>
      <c r="D9754" s="2" t="b">
        <f>IF(AND(NOT(ISBLANK(Table1[[#This Row],[Fetal Sex (Male, Female or Unknown)]])),ISNUMBER(Table1[[#This Row],[Birthweight (grams)]]),ISNUMBER(Table1[[#This Row],[Gestation (days)]])),TRUE,FALSE)</f>
        <v>0</v>
      </c>
      <c r="E9754" s="2" t="str">
        <f>IF(Table1[[#This Row],[Is Data Valid]]=TRUE,IF(Table1[[#This Row],[Fetal Sex (Male, Female or Unknown)]]="Male",Backend!$C$6,IF(Table1[[#This Row],[Fetal Sex (Male, Female or Unknown)]]="Female",Backend!$C$7,IF(Table1[[#This Row],[Fetal Sex (Male, Female or Unknown)]]="Unknown",Backend!$C$8,"Error"))),"")</f>
        <v/>
      </c>
      <c r="F9754" s="8" t="str">
        <f>IF(Table1[[#This Row],[Is Data Valid]]=TRUE,EXP(0.578+0.332*((Table1[[#This Row],[Gestation (days)]]+0.5)/7)-0.00354*((Table1[[#This Row],[Gestation (days)]]+0.5)/7)^2)*Table1[[#This Row],[BW40_3705]],"")</f>
        <v/>
      </c>
      <c r="G9754" s="2" t="str">
        <f>IF(Table1[[#This Row],[Is Data Valid]]=TRUE,((Table1[[#This Row],[Birthweight (grams)]]/Table1[[#This Row],[BW_GA]])-1)/(Backend!$B$4/100*Table1[[#This Row],[BW40_3705]]),"")</f>
        <v/>
      </c>
      <c r="H9754" s="7" t="str">
        <f>IF(Table1[[#This Row],[Is Data Valid]]=TRUE,((Table1[[#This Row],[Birthweight (grams)]]*0.9/Table1[[#This Row],[BW_GA]])-1)/(Backend!$B$4/100*Table1[[#This Row],[BW40_3705]]),"")</f>
        <v/>
      </c>
      <c r="I9754" s="7" t="str">
        <f>IF(Table1[[#This Row],[Is Data Valid]]=TRUE,((Table1[[#This Row],[Birthweight (grams)]]*1.1/Table1[[#This Row],[BW_GA]])-1)/(Backend!$B$4/100*Table1[[#This Row],[BW40_3705]]),"")</f>
        <v/>
      </c>
      <c r="J9754" s="7" t="str">
        <f>IF(Table1[[#This Row],[Is Data Valid]]=TRUE,_xlfn.NORM.S.DIST(Table1[[#This Row],[Birthweight Z-Score]],TRUE)*100,"")</f>
        <v/>
      </c>
      <c r="K9754" s="7" t="str">
        <f>IF(Table1[[#This Row],[Is Data Valid]]=TRUE,_xlfn.NORM.S.DIST(Table1[[#This Row],[Birthweight Z-Score (BW-10%)]],TRUE)*100,"")</f>
        <v/>
      </c>
      <c r="L9754" s="7" t="str">
        <f>IF(Table1[[#This Row],[Is Data Valid]]=TRUE,_xlfn.NORM.S.DIST(Table1[[#This Row],[Birthweight Z-Score (BW+10%)]],TRUE)*100,"")</f>
        <v/>
      </c>
    </row>
    <row r="9755" spans="1:12" x14ac:dyDescent="0.35">
      <c r="A9755" s="3"/>
      <c r="B9755" s="2"/>
      <c r="C9755" s="2"/>
      <c r="D9755" s="2" t="b">
        <f>IF(AND(NOT(ISBLANK(Table1[[#This Row],[Fetal Sex (Male, Female or Unknown)]])),ISNUMBER(Table1[[#This Row],[Birthweight (grams)]]),ISNUMBER(Table1[[#This Row],[Gestation (days)]])),TRUE,FALSE)</f>
        <v>0</v>
      </c>
      <c r="E9755" s="2" t="str">
        <f>IF(Table1[[#This Row],[Is Data Valid]]=TRUE,IF(Table1[[#This Row],[Fetal Sex (Male, Female or Unknown)]]="Male",Backend!$C$6,IF(Table1[[#This Row],[Fetal Sex (Male, Female or Unknown)]]="Female",Backend!$C$7,IF(Table1[[#This Row],[Fetal Sex (Male, Female or Unknown)]]="Unknown",Backend!$C$8,"Error"))),"")</f>
        <v/>
      </c>
      <c r="F9755" s="8" t="str">
        <f>IF(Table1[[#This Row],[Is Data Valid]]=TRUE,EXP(0.578+0.332*((Table1[[#This Row],[Gestation (days)]]+0.5)/7)-0.00354*((Table1[[#This Row],[Gestation (days)]]+0.5)/7)^2)*Table1[[#This Row],[BW40_3705]],"")</f>
        <v/>
      </c>
      <c r="G9755" s="2" t="str">
        <f>IF(Table1[[#This Row],[Is Data Valid]]=TRUE,((Table1[[#This Row],[Birthweight (grams)]]/Table1[[#This Row],[BW_GA]])-1)/(Backend!$B$4/100*Table1[[#This Row],[BW40_3705]]),"")</f>
        <v/>
      </c>
      <c r="H9755" s="7" t="str">
        <f>IF(Table1[[#This Row],[Is Data Valid]]=TRUE,((Table1[[#This Row],[Birthweight (grams)]]*0.9/Table1[[#This Row],[BW_GA]])-1)/(Backend!$B$4/100*Table1[[#This Row],[BW40_3705]]),"")</f>
        <v/>
      </c>
      <c r="I9755" s="7" t="str">
        <f>IF(Table1[[#This Row],[Is Data Valid]]=TRUE,((Table1[[#This Row],[Birthweight (grams)]]*1.1/Table1[[#This Row],[BW_GA]])-1)/(Backend!$B$4/100*Table1[[#This Row],[BW40_3705]]),"")</f>
        <v/>
      </c>
      <c r="J9755" s="7" t="str">
        <f>IF(Table1[[#This Row],[Is Data Valid]]=TRUE,_xlfn.NORM.S.DIST(Table1[[#This Row],[Birthweight Z-Score]],TRUE)*100,"")</f>
        <v/>
      </c>
      <c r="K9755" s="7" t="str">
        <f>IF(Table1[[#This Row],[Is Data Valid]]=TRUE,_xlfn.NORM.S.DIST(Table1[[#This Row],[Birthweight Z-Score (BW-10%)]],TRUE)*100,"")</f>
        <v/>
      </c>
      <c r="L9755" s="7" t="str">
        <f>IF(Table1[[#This Row],[Is Data Valid]]=TRUE,_xlfn.NORM.S.DIST(Table1[[#This Row],[Birthweight Z-Score (BW+10%)]],TRUE)*100,"")</f>
        <v/>
      </c>
    </row>
    <row r="9756" spans="1:12" x14ac:dyDescent="0.35">
      <c r="A9756" s="3"/>
      <c r="B9756" s="2"/>
      <c r="C9756" s="2"/>
      <c r="D9756" s="2" t="b">
        <f>IF(AND(NOT(ISBLANK(Table1[[#This Row],[Fetal Sex (Male, Female or Unknown)]])),ISNUMBER(Table1[[#This Row],[Birthweight (grams)]]),ISNUMBER(Table1[[#This Row],[Gestation (days)]])),TRUE,FALSE)</f>
        <v>0</v>
      </c>
      <c r="E9756" s="2" t="str">
        <f>IF(Table1[[#This Row],[Is Data Valid]]=TRUE,IF(Table1[[#This Row],[Fetal Sex (Male, Female or Unknown)]]="Male",Backend!$C$6,IF(Table1[[#This Row],[Fetal Sex (Male, Female or Unknown)]]="Female",Backend!$C$7,IF(Table1[[#This Row],[Fetal Sex (Male, Female or Unknown)]]="Unknown",Backend!$C$8,"Error"))),"")</f>
        <v/>
      </c>
      <c r="F9756" s="8" t="str">
        <f>IF(Table1[[#This Row],[Is Data Valid]]=TRUE,EXP(0.578+0.332*((Table1[[#This Row],[Gestation (days)]]+0.5)/7)-0.00354*((Table1[[#This Row],[Gestation (days)]]+0.5)/7)^2)*Table1[[#This Row],[BW40_3705]],"")</f>
        <v/>
      </c>
      <c r="G9756" s="2" t="str">
        <f>IF(Table1[[#This Row],[Is Data Valid]]=TRUE,((Table1[[#This Row],[Birthweight (grams)]]/Table1[[#This Row],[BW_GA]])-1)/(Backend!$B$4/100*Table1[[#This Row],[BW40_3705]]),"")</f>
        <v/>
      </c>
      <c r="H9756" s="7" t="str">
        <f>IF(Table1[[#This Row],[Is Data Valid]]=TRUE,((Table1[[#This Row],[Birthweight (grams)]]*0.9/Table1[[#This Row],[BW_GA]])-1)/(Backend!$B$4/100*Table1[[#This Row],[BW40_3705]]),"")</f>
        <v/>
      </c>
      <c r="I9756" s="7" t="str">
        <f>IF(Table1[[#This Row],[Is Data Valid]]=TRUE,((Table1[[#This Row],[Birthweight (grams)]]*1.1/Table1[[#This Row],[BW_GA]])-1)/(Backend!$B$4/100*Table1[[#This Row],[BW40_3705]]),"")</f>
        <v/>
      </c>
      <c r="J9756" s="7" t="str">
        <f>IF(Table1[[#This Row],[Is Data Valid]]=TRUE,_xlfn.NORM.S.DIST(Table1[[#This Row],[Birthweight Z-Score]],TRUE)*100,"")</f>
        <v/>
      </c>
      <c r="K9756" s="7" t="str">
        <f>IF(Table1[[#This Row],[Is Data Valid]]=TRUE,_xlfn.NORM.S.DIST(Table1[[#This Row],[Birthweight Z-Score (BW-10%)]],TRUE)*100,"")</f>
        <v/>
      </c>
      <c r="L9756" s="7" t="str">
        <f>IF(Table1[[#This Row],[Is Data Valid]]=TRUE,_xlfn.NORM.S.DIST(Table1[[#This Row],[Birthweight Z-Score (BW+10%)]],TRUE)*100,"")</f>
        <v/>
      </c>
    </row>
    <row r="9757" spans="1:12" x14ac:dyDescent="0.35">
      <c r="A9757" s="3"/>
      <c r="B9757" s="2"/>
      <c r="C9757" s="2"/>
      <c r="D9757" s="2" t="b">
        <f>IF(AND(NOT(ISBLANK(Table1[[#This Row],[Fetal Sex (Male, Female or Unknown)]])),ISNUMBER(Table1[[#This Row],[Birthweight (grams)]]),ISNUMBER(Table1[[#This Row],[Gestation (days)]])),TRUE,FALSE)</f>
        <v>0</v>
      </c>
      <c r="E9757" s="2" t="str">
        <f>IF(Table1[[#This Row],[Is Data Valid]]=TRUE,IF(Table1[[#This Row],[Fetal Sex (Male, Female or Unknown)]]="Male",Backend!$C$6,IF(Table1[[#This Row],[Fetal Sex (Male, Female or Unknown)]]="Female",Backend!$C$7,IF(Table1[[#This Row],[Fetal Sex (Male, Female or Unknown)]]="Unknown",Backend!$C$8,"Error"))),"")</f>
        <v/>
      </c>
      <c r="F9757" s="8" t="str">
        <f>IF(Table1[[#This Row],[Is Data Valid]]=TRUE,EXP(0.578+0.332*((Table1[[#This Row],[Gestation (days)]]+0.5)/7)-0.00354*((Table1[[#This Row],[Gestation (days)]]+0.5)/7)^2)*Table1[[#This Row],[BW40_3705]],"")</f>
        <v/>
      </c>
      <c r="G9757" s="2" t="str">
        <f>IF(Table1[[#This Row],[Is Data Valid]]=TRUE,((Table1[[#This Row],[Birthweight (grams)]]/Table1[[#This Row],[BW_GA]])-1)/(Backend!$B$4/100*Table1[[#This Row],[BW40_3705]]),"")</f>
        <v/>
      </c>
      <c r="H9757" s="7" t="str">
        <f>IF(Table1[[#This Row],[Is Data Valid]]=TRUE,((Table1[[#This Row],[Birthweight (grams)]]*0.9/Table1[[#This Row],[BW_GA]])-1)/(Backend!$B$4/100*Table1[[#This Row],[BW40_3705]]),"")</f>
        <v/>
      </c>
      <c r="I9757" s="7" t="str">
        <f>IF(Table1[[#This Row],[Is Data Valid]]=TRUE,((Table1[[#This Row],[Birthweight (grams)]]*1.1/Table1[[#This Row],[BW_GA]])-1)/(Backend!$B$4/100*Table1[[#This Row],[BW40_3705]]),"")</f>
        <v/>
      </c>
      <c r="J9757" s="7" t="str">
        <f>IF(Table1[[#This Row],[Is Data Valid]]=TRUE,_xlfn.NORM.S.DIST(Table1[[#This Row],[Birthweight Z-Score]],TRUE)*100,"")</f>
        <v/>
      </c>
      <c r="K9757" s="7" t="str">
        <f>IF(Table1[[#This Row],[Is Data Valid]]=TRUE,_xlfn.NORM.S.DIST(Table1[[#This Row],[Birthweight Z-Score (BW-10%)]],TRUE)*100,"")</f>
        <v/>
      </c>
      <c r="L9757" s="7" t="str">
        <f>IF(Table1[[#This Row],[Is Data Valid]]=TRUE,_xlfn.NORM.S.DIST(Table1[[#This Row],[Birthweight Z-Score (BW+10%)]],TRUE)*100,"")</f>
        <v/>
      </c>
    </row>
    <row r="9758" spans="1:12" x14ac:dyDescent="0.35">
      <c r="A9758" s="3"/>
      <c r="B9758" s="2"/>
      <c r="C9758" s="2"/>
      <c r="D9758" s="2" t="b">
        <f>IF(AND(NOT(ISBLANK(Table1[[#This Row],[Fetal Sex (Male, Female or Unknown)]])),ISNUMBER(Table1[[#This Row],[Birthweight (grams)]]),ISNUMBER(Table1[[#This Row],[Gestation (days)]])),TRUE,FALSE)</f>
        <v>0</v>
      </c>
      <c r="E9758" s="2" t="str">
        <f>IF(Table1[[#This Row],[Is Data Valid]]=TRUE,IF(Table1[[#This Row],[Fetal Sex (Male, Female or Unknown)]]="Male",Backend!$C$6,IF(Table1[[#This Row],[Fetal Sex (Male, Female or Unknown)]]="Female",Backend!$C$7,IF(Table1[[#This Row],[Fetal Sex (Male, Female or Unknown)]]="Unknown",Backend!$C$8,"Error"))),"")</f>
        <v/>
      </c>
      <c r="F9758" s="8" t="str">
        <f>IF(Table1[[#This Row],[Is Data Valid]]=TRUE,EXP(0.578+0.332*((Table1[[#This Row],[Gestation (days)]]+0.5)/7)-0.00354*((Table1[[#This Row],[Gestation (days)]]+0.5)/7)^2)*Table1[[#This Row],[BW40_3705]],"")</f>
        <v/>
      </c>
      <c r="G9758" s="2" t="str">
        <f>IF(Table1[[#This Row],[Is Data Valid]]=TRUE,((Table1[[#This Row],[Birthweight (grams)]]/Table1[[#This Row],[BW_GA]])-1)/(Backend!$B$4/100*Table1[[#This Row],[BW40_3705]]),"")</f>
        <v/>
      </c>
      <c r="H9758" s="7" t="str">
        <f>IF(Table1[[#This Row],[Is Data Valid]]=TRUE,((Table1[[#This Row],[Birthweight (grams)]]*0.9/Table1[[#This Row],[BW_GA]])-1)/(Backend!$B$4/100*Table1[[#This Row],[BW40_3705]]),"")</f>
        <v/>
      </c>
      <c r="I9758" s="7" t="str">
        <f>IF(Table1[[#This Row],[Is Data Valid]]=TRUE,((Table1[[#This Row],[Birthweight (grams)]]*1.1/Table1[[#This Row],[BW_GA]])-1)/(Backend!$B$4/100*Table1[[#This Row],[BW40_3705]]),"")</f>
        <v/>
      </c>
      <c r="J9758" s="7" t="str">
        <f>IF(Table1[[#This Row],[Is Data Valid]]=TRUE,_xlfn.NORM.S.DIST(Table1[[#This Row],[Birthweight Z-Score]],TRUE)*100,"")</f>
        <v/>
      </c>
      <c r="K9758" s="7" t="str">
        <f>IF(Table1[[#This Row],[Is Data Valid]]=TRUE,_xlfn.NORM.S.DIST(Table1[[#This Row],[Birthweight Z-Score (BW-10%)]],TRUE)*100,"")</f>
        <v/>
      </c>
      <c r="L9758" s="7" t="str">
        <f>IF(Table1[[#This Row],[Is Data Valid]]=TRUE,_xlfn.NORM.S.DIST(Table1[[#This Row],[Birthweight Z-Score (BW+10%)]],TRUE)*100,"")</f>
        <v/>
      </c>
    </row>
    <row r="9759" spans="1:12" x14ac:dyDescent="0.35">
      <c r="A9759" s="3"/>
      <c r="B9759" s="2"/>
      <c r="C9759" s="2"/>
      <c r="D9759" s="2" t="b">
        <f>IF(AND(NOT(ISBLANK(Table1[[#This Row],[Fetal Sex (Male, Female or Unknown)]])),ISNUMBER(Table1[[#This Row],[Birthweight (grams)]]),ISNUMBER(Table1[[#This Row],[Gestation (days)]])),TRUE,FALSE)</f>
        <v>0</v>
      </c>
      <c r="E9759" s="2" t="str">
        <f>IF(Table1[[#This Row],[Is Data Valid]]=TRUE,IF(Table1[[#This Row],[Fetal Sex (Male, Female or Unknown)]]="Male",Backend!$C$6,IF(Table1[[#This Row],[Fetal Sex (Male, Female or Unknown)]]="Female",Backend!$C$7,IF(Table1[[#This Row],[Fetal Sex (Male, Female or Unknown)]]="Unknown",Backend!$C$8,"Error"))),"")</f>
        <v/>
      </c>
      <c r="F9759" s="8" t="str">
        <f>IF(Table1[[#This Row],[Is Data Valid]]=TRUE,EXP(0.578+0.332*((Table1[[#This Row],[Gestation (days)]]+0.5)/7)-0.00354*((Table1[[#This Row],[Gestation (days)]]+0.5)/7)^2)*Table1[[#This Row],[BW40_3705]],"")</f>
        <v/>
      </c>
      <c r="G9759" s="2" t="str">
        <f>IF(Table1[[#This Row],[Is Data Valid]]=TRUE,((Table1[[#This Row],[Birthweight (grams)]]/Table1[[#This Row],[BW_GA]])-1)/(Backend!$B$4/100*Table1[[#This Row],[BW40_3705]]),"")</f>
        <v/>
      </c>
      <c r="H9759" s="7" t="str">
        <f>IF(Table1[[#This Row],[Is Data Valid]]=TRUE,((Table1[[#This Row],[Birthweight (grams)]]*0.9/Table1[[#This Row],[BW_GA]])-1)/(Backend!$B$4/100*Table1[[#This Row],[BW40_3705]]),"")</f>
        <v/>
      </c>
      <c r="I9759" s="7" t="str">
        <f>IF(Table1[[#This Row],[Is Data Valid]]=TRUE,((Table1[[#This Row],[Birthweight (grams)]]*1.1/Table1[[#This Row],[BW_GA]])-1)/(Backend!$B$4/100*Table1[[#This Row],[BW40_3705]]),"")</f>
        <v/>
      </c>
      <c r="J9759" s="7" t="str">
        <f>IF(Table1[[#This Row],[Is Data Valid]]=TRUE,_xlfn.NORM.S.DIST(Table1[[#This Row],[Birthweight Z-Score]],TRUE)*100,"")</f>
        <v/>
      </c>
      <c r="K9759" s="7" t="str">
        <f>IF(Table1[[#This Row],[Is Data Valid]]=TRUE,_xlfn.NORM.S.DIST(Table1[[#This Row],[Birthweight Z-Score (BW-10%)]],TRUE)*100,"")</f>
        <v/>
      </c>
      <c r="L9759" s="7" t="str">
        <f>IF(Table1[[#This Row],[Is Data Valid]]=TRUE,_xlfn.NORM.S.DIST(Table1[[#This Row],[Birthweight Z-Score (BW+10%)]],TRUE)*100,"")</f>
        <v/>
      </c>
    </row>
    <row r="9760" spans="1:12" x14ac:dyDescent="0.35">
      <c r="A9760" s="3"/>
      <c r="B9760" s="2"/>
      <c r="C9760" s="2"/>
      <c r="D9760" s="2" t="b">
        <f>IF(AND(NOT(ISBLANK(Table1[[#This Row],[Fetal Sex (Male, Female or Unknown)]])),ISNUMBER(Table1[[#This Row],[Birthweight (grams)]]),ISNUMBER(Table1[[#This Row],[Gestation (days)]])),TRUE,FALSE)</f>
        <v>0</v>
      </c>
      <c r="E9760" s="2" t="str">
        <f>IF(Table1[[#This Row],[Is Data Valid]]=TRUE,IF(Table1[[#This Row],[Fetal Sex (Male, Female or Unknown)]]="Male",Backend!$C$6,IF(Table1[[#This Row],[Fetal Sex (Male, Female or Unknown)]]="Female",Backend!$C$7,IF(Table1[[#This Row],[Fetal Sex (Male, Female or Unknown)]]="Unknown",Backend!$C$8,"Error"))),"")</f>
        <v/>
      </c>
      <c r="F9760" s="8" t="str">
        <f>IF(Table1[[#This Row],[Is Data Valid]]=TRUE,EXP(0.578+0.332*((Table1[[#This Row],[Gestation (days)]]+0.5)/7)-0.00354*((Table1[[#This Row],[Gestation (days)]]+0.5)/7)^2)*Table1[[#This Row],[BW40_3705]],"")</f>
        <v/>
      </c>
      <c r="G9760" s="2" t="str">
        <f>IF(Table1[[#This Row],[Is Data Valid]]=TRUE,((Table1[[#This Row],[Birthweight (grams)]]/Table1[[#This Row],[BW_GA]])-1)/(Backend!$B$4/100*Table1[[#This Row],[BW40_3705]]),"")</f>
        <v/>
      </c>
      <c r="H9760" s="7" t="str">
        <f>IF(Table1[[#This Row],[Is Data Valid]]=TRUE,((Table1[[#This Row],[Birthweight (grams)]]*0.9/Table1[[#This Row],[BW_GA]])-1)/(Backend!$B$4/100*Table1[[#This Row],[BW40_3705]]),"")</f>
        <v/>
      </c>
      <c r="I9760" s="7" t="str">
        <f>IF(Table1[[#This Row],[Is Data Valid]]=TRUE,((Table1[[#This Row],[Birthweight (grams)]]*1.1/Table1[[#This Row],[BW_GA]])-1)/(Backend!$B$4/100*Table1[[#This Row],[BW40_3705]]),"")</f>
        <v/>
      </c>
      <c r="J9760" s="7" t="str">
        <f>IF(Table1[[#This Row],[Is Data Valid]]=TRUE,_xlfn.NORM.S.DIST(Table1[[#This Row],[Birthweight Z-Score]],TRUE)*100,"")</f>
        <v/>
      </c>
      <c r="K9760" s="7" t="str">
        <f>IF(Table1[[#This Row],[Is Data Valid]]=TRUE,_xlfn.NORM.S.DIST(Table1[[#This Row],[Birthweight Z-Score (BW-10%)]],TRUE)*100,"")</f>
        <v/>
      </c>
      <c r="L9760" s="7" t="str">
        <f>IF(Table1[[#This Row],[Is Data Valid]]=TRUE,_xlfn.NORM.S.DIST(Table1[[#This Row],[Birthweight Z-Score (BW+10%)]],TRUE)*100,"")</f>
        <v/>
      </c>
    </row>
    <row r="9761" spans="1:12" x14ac:dyDescent="0.35">
      <c r="A9761" s="3"/>
      <c r="B9761" s="2"/>
      <c r="C9761" s="2"/>
      <c r="D9761" s="2" t="b">
        <f>IF(AND(NOT(ISBLANK(Table1[[#This Row],[Fetal Sex (Male, Female or Unknown)]])),ISNUMBER(Table1[[#This Row],[Birthweight (grams)]]),ISNUMBER(Table1[[#This Row],[Gestation (days)]])),TRUE,FALSE)</f>
        <v>0</v>
      </c>
      <c r="E9761" s="2" t="str">
        <f>IF(Table1[[#This Row],[Is Data Valid]]=TRUE,IF(Table1[[#This Row],[Fetal Sex (Male, Female or Unknown)]]="Male",Backend!$C$6,IF(Table1[[#This Row],[Fetal Sex (Male, Female or Unknown)]]="Female",Backend!$C$7,IF(Table1[[#This Row],[Fetal Sex (Male, Female or Unknown)]]="Unknown",Backend!$C$8,"Error"))),"")</f>
        <v/>
      </c>
      <c r="F9761" s="8" t="str">
        <f>IF(Table1[[#This Row],[Is Data Valid]]=TRUE,EXP(0.578+0.332*((Table1[[#This Row],[Gestation (days)]]+0.5)/7)-0.00354*((Table1[[#This Row],[Gestation (days)]]+0.5)/7)^2)*Table1[[#This Row],[BW40_3705]],"")</f>
        <v/>
      </c>
      <c r="G9761" s="2" t="str">
        <f>IF(Table1[[#This Row],[Is Data Valid]]=TRUE,((Table1[[#This Row],[Birthweight (grams)]]/Table1[[#This Row],[BW_GA]])-1)/(Backend!$B$4/100*Table1[[#This Row],[BW40_3705]]),"")</f>
        <v/>
      </c>
      <c r="H9761" s="7" t="str">
        <f>IF(Table1[[#This Row],[Is Data Valid]]=TRUE,((Table1[[#This Row],[Birthweight (grams)]]*0.9/Table1[[#This Row],[BW_GA]])-1)/(Backend!$B$4/100*Table1[[#This Row],[BW40_3705]]),"")</f>
        <v/>
      </c>
      <c r="I9761" s="7" t="str">
        <f>IF(Table1[[#This Row],[Is Data Valid]]=TRUE,((Table1[[#This Row],[Birthweight (grams)]]*1.1/Table1[[#This Row],[BW_GA]])-1)/(Backend!$B$4/100*Table1[[#This Row],[BW40_3705]]),"")</f>
        <v/>
      </c>
      <c r="J9761" s="7" t="str">
        <f>IF(Table1[[#This Row],[Is Data Valid]]=TRUE,_xlfn.NORM.S.DIST(Table1[[#This Row],[Birthweight Z-Score]],TRUE)*100,"")</f>
        <v/>
      </c>
      <c r="K9761" s="7" t="str">
        <f>IF(Table1[[#This Row],[Is Data Valid]]=TRUE,_xlfn.NORM.S.DIST(Table1[[#This Row],[Birthweight Z-Score (BW-10%)]],TRUE)*100,"")</f>
        <v/>
      </c>
      <c r="L9761" s="7" t="str">
        <f>IF(Table1[[#This Row],[Is Data Valid]]=TRUE,_xlfn.NORM.S.DIST(Table1[[#This Row],[Birthweight Z-Score (BW+10%)]],TRUE)*100,"")</f>
        <v/>
      </c>
    </row>
    <row r="9762" spans="1:12" x14ac:dyDescent="0.35">
      <c r="A9762" s="3"/>
      <c r="B9762" s="2"/>
      <c r="C9762" s="2"/>
      <c r="D9762" s="2" t="b">
        <f>IF(AND(NOT(ISBLANK(Table1[[#This Row],[Fetal Sex (Male, Female or Unknown)]])),ISNUMBER(Table1[[#This Row],[Birthweight (grams)]]),ISNUMBER(Table1[[#This Row],[Gestation (days)]])),TRUE,FALSE)</f>
        <v>0</v>
      </c>
      <c r="E9762" s="2" t="str">
        <f>IF(Table1[[#This Row],[Is Data Valid]]=TRUE,IF(Table1[[#This Row],[Fetal Sex (Male, Female or Unknown)]]="Male",Backend!$C$6,IF(Table1[[#This Row],[Fetal Sex (Male, Female or Unknown)]]="Female",Backend!$C$7,IF(Table1[[#This Row],[Fetal Sex (Male, Female or Unknown)]]="Unknown",Backend!$C$8,"Error"))),"")</f>
        <v/>
      </c>
      <c r="F9762" s="8" t="str">
        <f>IF(Table1[[#This Row],[Is Data Valid]]=TRUE,EXP(0.578+0.332*((Table1[[#This Row],[Gestation (days)]]+0.5)/7)-0.00354*((Table1[[#This Row],[Gestation (days)]]+0.5)/7)^2)*Table1[[#This Row],[BW40_3705]],"")</f>
        <v/>
      </c>
      <c r="G9762" s="2" t="str">
        <f>IF(Table1[[#This Row],[Is Data Valid]]=TRUE,((Table1[[#This Row],[Birthweight (grams)]]/Table1[[#This Row],[BW_GA]])-1)/(Backend!$B$4/100*Table1[[#This Row],[BW40_3705]]),"")</f>
        <v/>
      </c>
      <c r="H9762" s="7" t="str">
        <f>IF(Table1[[#This Row],[Is Data Valid]]=TRUE,((Table1[[#This Row],[Birthweight (grams)]]*0.9/Table1[[#This Row],[BW_GA]])-1)/(Backend!$B$4/100*Table1[[#This Row],[BW40_3705]]),"")</f>
        <v/>
      </c>
      <c r="I9762" s="7" t="str">
        <f>IF(Table1[[#This Row],[Is Data Valid]]=TRUE,((Table1[[#This Row],[Birthweight (grams)]]*1.1/Table1[[#This Row],[BW_GA]])-1)/(Backend!$B$4/100*Table1[[#This Row],[BW40_3705]]),"")</f>
        <v/>
      </c>
      <c r="J9762" s="7" t="str">
        <f>IF(Table1[[#This Row],[Is Data Valid]]=TRUE,_xlfn.NORM.S.DIST(Table1[[#This Row],[Birthweight Z-Score]],TRUE)*100,"")</f>
        <v/>
      </c>
      <c r="K9762" s="7" t="str">
        <f>IF(Table1[[#This Row],[Is Data Valid]]=TRUE,_xlfn.NORM.S.DIST(Table1[[#This Row],[Birthweight Z-Score (BW-10%)]],TRUE)*100,"")</f>
        <v/>
      </c>
      <c r="L9762" s="7" t="str">
        <f>IF(Table1[[#This Row],[Is Data Valid]]=TRUE,_xlfn.NORM.S.DIST(Table1[[#This Row],[Birthweight Z-Score (BW+10%)]],TRUE)*100,"")</f>
        <v/>
      </c>
    </row>
    <row r="9763" spans="1:12" x14ac:dyDescent="0.35">
      <c r="A9763" s="3"/>
      <c r="B9763" s="2"/>
      <c r="C9763" s="2"/>
      <c r="D9763" s="2" t="b">
        <f>IF(AND(NOT(ISBLANK(Table1[[#This Row],[Fetal Sex (Male, Female or Unknown)]])),ISNUMBER(Table1[[#This Row],[Birthweight (grams)]]),ISNUMBER(Table1[[#This Row],[Gestation (days)]])),TRUE,FALSE)</f>
        <v>0</v>
      </c>
      <c r="E9763" s="2" t="str">
        <f>IF(Table1[[#This Row],[Is Data Valid]]=TRUE,IF(Table1[[#This Row],[Fetal Sex (Male, Female or Unknown)]]="Male",Backend!$C$6,IF(Table1[[#This Row],[Fetal Sex (Male, Female or Unknown)]]="Female",Backend!$C$7,IF(Table1[[#This Row],[Fetal Sex (Male, Female or Unknown)]]="Unknown",Backend!$C$8,"Error"))),"")</f>
        <v/>
      </c>
      <c r="F9763" s="8" t="str">
        <f>IF(Table1[[#This Row],[Is Data Valid]]=TRUE,EXP(0.578+0.332*((Table1[[#This Row],[Gestation (days)]]+0.5)/7)-0.00354*((Table1[[#This Row],[Gestation (days)]]+0.5)/7)^2)*Table1[[#This Row],[BW40_3705]],"")</f>
        <v/>
      </c>
      <c r="G9763" s="2" t="str">
        <f>IF(Table1[[#This Row],[Is Data Valid]]=TRUE,((Table1[[#This Row],[Birthweight (grams)]]/Table1[[#This Row],[BW_GA]])-1)/(Backend!$B$4/100*Table1[[#This Row],[BW40_3705]]),"")</f>
        <v/>
      </c>
      <c r="H9763" s="7" t="str">
        <f>IF(Table1[[#This Row],[Is Data Valid]]=TRUE,((Table1[[#This Row],[Birthweight (grams)]]*0.9/Table1[[#This Row],[BW_GA]])-1)/(Backend!$B$4/100*Table1[[#This Row],[BW40_3705]]),"")</f>
        <v/>
      </c>
      <c r="I9763" s="7" t="str">
        <f>IF(Table1[[#This Row],[Is Data Valid]]=TRUE,((Table1[[#This Row],[Birthweight (grams)]]*1.1/Table1[[#This Row],[BW_GA]])-1)/(Backend!$B$4/100*Table1[[#This Row],[BW40_3705]]),"")</f>
        <v/>
      </c>
      <c r="J9763" s="7" t="str">
        <f>IF(Table1[[#This Row],[Is Data Valid]]=TRUE,_xlfn.NORM.S.DIST(Table1[[#This Row],[Birthweight Z-Score]],TRUE)*100,"")</f>
        <v/>
      </c>
      <c r="K9763" s="7" t="str">
        <f>IF(Table1[[#This Row],[Is Data Valid]]=TRUE,_xlfn.NORM.S.DIST(Table1[[#This Row],[Birthweight Z-Score (BW-10%)]],TRUE)*100,"")</f>
        <v/>
      </c>
      <c r="L9763" s="7" t="str">
        <f>IF(Table1[[#This Row],[Is Data Valid]]=TRUE,_xlfn.NORM.S.DIST(Table1[[#This Row],[Birthweight Z-Score (BW+10%)]],TRUE)*100,"")</f>
        <v/>
      </c>
    </row>
    <row r="9764" spans="1:12" x14ac:dyDescent="0.35">
      <c r="A9764" s="3"/>
      <c r="B9764" s="2"/>
      <c r="C9764" s="2"/>
      <c r="D9764" s="2" t="b">
        <f>IF(AND(NOT(ISBLANK(Table1[[#This Row],[Fetal Sex (Male, Female or Unknown)]])),ISNUMBER(Table1[[#This Row],[Birthweight (grams)]]),ISNUMBER(Table1[[#This Row],[Gestation (days)]])),TRUE,FALSE)</f>
        <v>0</v>
      </c>
      <c r="E9764" s="2" t="str">
        <f>IF(Table1[[#This Row],[Is Data Valid]]=TRUE,IF(Table1[[#This Row],[Fetal Sex (Male, Female or Unknown)]]="Male",Backend!$C$6,IF(Table1[[#This Row],[Fetal Sex (Male, Female or Unknown)]]="Female",Backend!$C$7,IF(Table1[[#This Row],[Fetal Sex (Male, Female or Unknown)]]="Unknown",Backend!$C$8,"Error"))),"")</f>
        <v/>
      </c>
      <c r="F9764" s="8" t="str">
        <f>IF(Table1[[#This Row],[Is Data Valid]]=TRUE,EXP(0.578+0.332*((Table1[[#This Row],[Gestation (days)]]+0.5)/7)-0.00354*((Table1[[#This Row],[Gestation (days)]]+0.5)/7)^2)*Table1[[#This Row],[BW40_3705]],"")</f>
        <v/>
      </c>
      <c r="G9764" s="2" t="str">
        <f>IF(Table1[[#This Row],[Is Data Valid]]=TRUE,((Table1[[#This Row],[Birthweight (grams)]]/Table1[[#This Row],[BW_GA]])-1)/(Backend!$B$4/100*Table1[[#This Row],[BW40_3705]]),"")</f>
        <v/>
      </c>
      <c r="H9764" s="7" t="str">
        <f>IF(Table1[[#This Row],[Is Data Valid]]=TRUE,((Table1[[#This Row],[Birthweight (grams)]]*0.9/Table1[[#This Row],[BW_GA]])-1)/(Backend!$B$4/100*Table1[[#This Row],[BW40_3705]]),"")</f>
        <v/>
      </c>
      <c r="I9764" s="7" t="str">
        <f>IF(Table1[[#This Row],[Is Data Valid]]=TRUE,((Table1[[#This Row],[Birthweight (grams)]]*1.1/Table1[[#This Row],[BW_GA]])-1)/(Backend!$B$4/100*Table1[[#This Row],[BW40_3705]]),"")</f>
        <v/>
      </c>
      <c r="J9764" s="7" t="str">
        <f>IF(Table1[[#This Row],[Is Data Valid]]=TRUE,_xlfn.NORM.S.DIST(Table1[[#This Row],[Birthweight Z-Score]],TRUE)*100,"")</f>
        <v/>
      </c>
      <c r="K9764" s="7" t="str">
        <f>IF(Table1[[#This Row],[Is Data Valid]]=TRUE,_xlfn.NORM.S.DIST(Table1[[#This Row],[Birthweight Z-Score (BW-10%)]],TRUE)*100,"")</f>
        <v/>
      </c>
      <c r="L9764" s="7" t="str">
        <f>IF(Table1[[#This Row],[Is Data Valid]]=TRUE,_xlfn.NORM.S.DIST(Table1[[#This Row],[Birthweight Z-Score (BW+10%)]],TRUE)*100,"")</f>
        <v/>
      </c>
    </row>
    <row r="9765" spans="1:12" x14ac:dyDescent="0.35">
      <c r="A9765" s="3"/>
      <c r="B9765" s="2"/>
      <c r="C9765" s="2"/>
      <c r="D9765" s="2" t="b">
        <f>IF(AND(NOT(ISBLANK(Table1[[#This Row],[Fetal Sex (Male, Female or Unknown)]])),ISNUMBER(Table1[[#This Row],[Birthweight (grams)]]),ISNUMBER(Table1[[#This Row],[Gestation (days)]])),TRUE,FALSE)</f>
        <v>0</v>
      </c>
      <c r="E9765" s="2" t="str">
        <f>IF(Table1[[#This Row],[Is Data Valid]]=TRUE,IF(Table1[[#This Row],[Fetal Sex (Male, Female or Unknown)]]="Male",Backend!$C$6,IF(Table1[[#This Row],[Fetal Sex (Male, Female or Unknown)]]="Female",Backend!$C$7,IF(Table1[[#This Row],[Fetal Sex (Male, Female or Unknown)]]="Unknown",Backend!$C$8,"Error"))),"")</f>
        <v/>
      </c>
      <c r="F9765" s="8" t="str">
        <f>IF(Table1[[#This Row],[Is Data Valid]]=TRUE,EXP(0.578+0.332*((Table1[[#This Row],[Gestation (days)]]+0.5)/7)-0.00354*((Table1[[#This Row],[Gestation (days)]]+0.5)/7)^2)*Table1[[#This Row],[BW40_3705]],"")</f>
        <v/>
      </c>
      <c r="G9765" s="2" t="str">
        <f>IF(Table1[[#This Row],[Is Data Valid]]=TRUE,((Table1[[#This Row],[Birthweight (grams)]]/Table1[[#This Row],[BW_GA]])-1)/(Backend!$B$4/100*Table1[[#This Row],[BW40_3705]]),"")</f>
        <v/>
      </c>
      <c r="H9765" s="7" t="str">
        <f>IF(Table1[[#This Row],[Is Data Valid]]=TRUE,((Table1[[#This Row],[Birthweight (grams)]]*0.9/Table1[[#This Row],[BW_GA]])-1)/(Backend!$B$4/100*Table1[[#This Row],[BW40_3705]]),"")</f>
        <v/>
      </c>
      <c r="I9765" s="7" t="str">
        <f>IF(Table1[[#This Row],[Is Data Valid]]=TRUE,((Table1[[#This Row],[Birthweight (grams)]]*1.1/Table1[[#This Row],[BW_GA]])-1)/(Backend!$B$4/100*Table1[[#This Row],[BW40_3705]]),"")</f>
        <v/>
      </c>
      <c r="J9765" s="7" t="str">
        <f>IF(Table1[[#This Row],[Is Data Valid]]=TRUE,_xlfn.NORM.S.DIST(Table1[[#This Row],[Birthweight Z-Score]],TRUE)*100,"")</f>
        <v/>
      </c>
      <c r="K9765" s="7" t="str">
        <f>IF(Table1[[#This Row],[Is Data Valid]]=TRUE,_xlfn.NORM.S.DIST(Table1[[#This Row],[Birthweight Z-Score (BW-10%)]],TRUE)*100,"")</f>
        <v/>
      </c>
      <c r="L9765" s="7" t="str">
        <f>IF(Table1[[#This Row],[Is Data Valid]]=TRUE,_xlfn.NORM.S.DIST(Table1[[#This Row],[Birthweight Z-Score (BW+10%)]],TRUE)*100,"")</f>
        <v/>
      </c>
    </row>
    <row r="9766" spans="1:12" x14ac:dyDescent="0.35">
      <c r="A9766" s="3"/>
      <c r="B9766" s="2"/>
      <c r="C9766" s="2"/>
      <c r="D9766" s="2" t="b">
        <f>IF(AND(NOT(ISBLANK(Table1[[#This Row],[Fetal Sex (Male, Female or Unknown)]])),ISNUMBER(Table1[[#This Row],[Birthweight (grams)]]),ISNUMBER(Table1[[#This Row],[Gestation (days)]])),TRUE,FALSE)</f>
        <v>0</v>
      </c>
      <c r="E9766" s="2" t="str">
        <f>IF(Table1[[#This Row],[Is Data Valid]]=TRUE,IF(Table1[[#This Row],[Fetal Sex (Male, Female or Unknown)]]="Male",Backend!$C$6,IF(Table1[[#This Row],[Fetal Sex (Male, Female or Unknown)]]="Female",Backend!$C$7,IF(Table1[[#This Row],[Fetal Sex (Male, Female or Unknown)]]="Unknown",Backend!$C$8,"Error"))),"")</f>
        <v/>
      </c>
      <c r="F9766" s="8" t="str">
        <f>IF(Table1[[#This Row],[Is Data Valid]]=TRUE,EXP(0.578+0.332*((Table1[[#This Row],[Gestation (days)]]+0.5)/7)-0.00354*((Table1[[#This Row],[Gestation (days)]]+0.5)/7)^2)*Table1[[#This Row],[BW40_3705]],"")</f>
        <v/>
      </c>
      <c r="G9766" s="2" t="str">
        <f>IF(Table1[[#This Row],[Is Data Valid]]=TRUE,((Table1[[#This Row],[Birthweight (grams)]]/Table1[[#This Row],[BW_GA]])-1)/(Backend!$B$4/100*Table1[[#This Row],[BW40_3705]]),"")</f>
        <v/>
      </c>
      <c r="H9766" s="7" t="str">
        <f>IF(Table1[[#This Row],[Is Data Valid]]=TRUE,((Table1[[#This Row],[Birthweight (grams)]]*0.9/Table1[[#This Row],[BW_GA]])-1)/(Backend!$B$4/100*Table1[[#This Row],[BW40_3705]]),"")</f>
        <v/>
      </c>
      <c r="I9766" s="7" t="str">
        <f>IF(Table1[[#This Row],[Is Data Valid]]=TRUE,((Table1[[#This Row],[Birthweight (grams)]]*1.1/Table1[[#This Row],[BW_GA]])-1)/(Backend!$B$4/100*Table1[[#This Row],[BW40_3705]]),"")</f>
        <v/>
      </c>
      <c r="J9766" s="7" t="str">
        <f>IF(Table1[[#This Row],[Is Data Valid]]=TRUE,_xlfn.NORM.S.DIST(Table1[[#This Row],[Birthweight Z-Score]],TRUE)*100,"")</f>
        <v/>
      </c>
      <c r="K9766" s="7" t="str">
        <f>IF(Table1[[#This Row],[Is Data Valid]]=TRUE,_xlfn.NORM.S.DIST(Table1[[#This Row],[Birthweight Z-Score (BW-10%)]],TRUE)*100,"")</f>
        <v/>
      </c>
      <c r="L9766" s="7" t="str">
        <f>IF(Table1[[#This Row],[Is Data Valid]]=TRUE,_xlfn.NORM.S.DIST(Table1[[#This Row],[Birthweight Z-Score (BW+10%)]],TRUE)*100,"")</f>
        <v/>
      </c>
    </row>
    <row r="9767" spans="1:12" x14ac:dyDescent="0.35">
      <c r="A9767" s="3"/>
      <c r="B9767" s="2"/>
      <c r="C9767" s="2"/>
      <c r="D9767" s="2" t="b">
        <f>IF(AND(NOT(ISBLANK(Table1[[#This Row],[Fetal Sex (Male, Female or Unknown)]])),ISNUMBER(Table1[[#This Row],[Birthweight (grams)]]),ISNUMBER(Table1[[#This Row],[Gestation (days)]])),TRUE,FALSE)</f>
        <v>0</v>
      </c>
      <c r="E9767" s="2" t="str">
        <f>IF(Table1[[#This Row],[Is Data Valid]]=TRUE,IF(Table1[[#This Row],[Fetal Sex (Male, Female or Unknown)]]="Male",Backend!$C$6,IF(Table1[[#This Row],[Fetal Sex (Male, Female or Unknown)]]="Female",Backend!$C$7,IF(Table1[[#This Row],[Fetal Sex (Male, Female or Unknown)]]="Unknown",Backend!$C$8,"Error"))),"")</f>
        <v/>
      </c>
      <c r="F9767" s="8" t="str">
        <f>IF(Table1[[#This Row],[Is Data Valid]]=TRUE,EXP(0.578+0.332*((Table1[[#This Row],[Gestation (days)]]+0.5)/7)-0.00354*((Table1[[#This Row],[Gestation (days)]]+0.5)/7)^2)*Table1[[#This Row],[BW40_3705]],"")</f>
        <v/>
      </c>
      <c r="G9767" s="2" t="str">
        <f>IF(Table1[[#This Row],[Is Data Valid]]=TRUE,((Table1[[#This Row],[Birthweight (grams)]]/Table1[[#This Row],[BW_GA]])-1)/(Backend!$B$4/100*Table1[[#This Row],[BW40_3705]]),"")</f>
        <v/>
      </c>
      <c r="H9767" s="7" t="str">
        <f>IF(Table1[[#This Row],[Is Data Valid]]=TRUE,((Table1[[#This Row],[Birthweight (grams)]]*0.9/Table1[[#This Row],[BW_GA]])-1)/(Backend!$B$4/100*Table1[[#This Row],[BW40_3705]]),"")</f>
        <v/>
      </c>
      <c r="I9767" s="7" t="str">
        <f>IF(Table1[[#This Row],[Is Data Valid]]=TRUE,((Table1[[#This Row],[Birthweight (grams)]]*1.1/Table1[[#This Row],[BW_GA]])-1)/(Backend!$B$4/100*Table1[[#This Row],[BW40_3705]]),"")</f>
        <v/>
      </c>
      <c r="J9767" s="7" t="str">
        <f>IF(Table1[[#This Row],[Is Data Valid]]=TRUE,_xlfn.NORM.S.DIST(Table1[[#This Row],[Birthweight Z-Score]],TRUE)*100,"")</f>
        <v/>
      </c>
      <c r="K9767" s="7" t="str">
        <f>IF(Table1[[#This Row],[Is Data Valid]]=TRUE,_xlfn.NORM.S.DIST(Table1[[#This Row],[Birthweight Z-Score (BW-10%)]],TRUE)*100,"")</f>
        <v/>
      </c>
      <c r="L9767" s="7" t="str">
        <f>IF(Table1[[#This Row],[Is Data Valid]]=TRUE,_xlfn.NORM.S.DIST(Table1[[#This Row],[Birthweight Z-Score (BW+10%)]],TRUE)*100,"")</f>
        <v/>
      </c>
    </row>
    <row r="9768" spans="1:12" x14ac:dyDescent="0.35">
      <c r="A9768" s="3"/>
      <c r="B9768" s="2"/>
      <c r="C9768" s="2"/>
      <c r="D9768" s="2" t="b">
        <f>IF(AND(NOT(ISBLANK(Table1[[#This Row],[Fetal Sex (Male, Female or Unknown)]])),ISNUMBER(Table1[[#This Row],[Birthweight (grams)]]),ISNUMBER(Table1[[#This Row],[Gestation (days)]])),TRUE,FALSE)</f>
        <v>0</v>
      </c>
      <c r="E9768" s="2" t="str">
        <f>IF(Table1[[#This Row],[Is Data Valid]]=TRUE,IF(Table1[[#This Row],[Fetal Sex (Male, Female or Unknown)]]="Male",Backend!$C$6,IF(Table1[[#This Row],[Fetal Sex (Male, Female or Unknown)]]="Female",Backend!$C$7,IF(Table1[[#This Row],[Fetal Sex (Male, Female or Unknown)]]="Unknown",Backend!$C$8,"Error"))),"")</f>
        <v/>
      </c>
      <c r="F9768" s="8" t="str">
        <f>IF(Table1[[#This Row],[Is Data Valid]]=TRUE,EXP(0.578+0.332*((Table1[[#This Row],[Gestation (days)]]+0.5)/7)-0.00354*((Table1[[#This Row],[Gestation (days)]]+0.5)/7)^2)*Table1[[#This Row],[BW40_3705]],"")</f>
        <v/>
      </c>
      <c r="G9768" s="2" t="str">
        <f>IF(Table1[[#This Row],[Is Data Valid]]=TRUE,((Table1[[#This Row],[Birthweight (grams)]]/Table1[[#This Row],[BW_GA]])-1)/(Backend!$B$4/100*Table1[[#This Row],[BW40_3705]]),"")</f>
        <v/>
      </c>
      <c r="H9768" s="7" t="str">
        <f>IF(Table1[[#This Row],[Is Data Valid]]=TRUE,((Table1[[#This Row],[Birthweight (grams)]]*0.9/Table1[[#This Row],[BW_GA]])-1)/(Backend!$B$4/100*Table1[[#This Row],[BW40_3705]]),"")</f>
        <v/>
      </c>
      <c r="I9768" s="7" t="str">
        <f>IF(Table1[[#This Row],[Is Data Valid]]=TRUE,((Table1[[#This Row],[Birthweight (grams)]]*1.1/Table1[[#This Row],[BW_GA]])-1)/(Backend!$B$4/100*Table1[[#This Row],[BW40_3705]]),"")</f>
        <v/>
      </c>
      <c r="J9768" s="7" t="str">
        <f>IF(Table1[[#This Row],[Is Data Valid]]=TRUE,_xlfn.NORM.S.DIST(Table1[[#This Row],[Birthweight Z-Score]],TRUE)*100,"")</f>
        <v/>
      </c>
      <c r="K9768" s="7" t="str">
        <f>IF(Table1[[#This Row],[Is Data Valid]]=TRUE,_xlfn.NORM.S.DIST(Table1[[#This Row],[Birthweight Z-Score (BW-10%)]],TRUE)*100,"")</f>
        <v/>
      </c>
      <c r="L9768" s="7" t="str">
        <f>IF(Table1[[#This Row],[Is Data Valid]]=TRUE,_xlfn.NORM.S.DIST(Table1[[#This Row],[Birthweight Z-Score (BW+10%)]],TRUE)*100,"")</f>
        <v/>
      </c>
    </row>
    <row r="9769" spans="1:12" x14ac:dyDescent="0.35">
      <c r="A9769" s="3"/>
      <c r="B9769" s="2"/>
      <c r="C9769" s="2"/>
      <c r="D9769" s="2" t="b">
        <f>IF(AND(NOT(ISBLANK(Table1[[#This Row],[Fetal Sex (Male, Female or Unknown)]])),ISNUMBER(Table1[[#This Row],[Birthweight (grams)]]),ISNUMBER(Table1[[#This Row],[Gestation (days)]])),TRUE,FALSE)</f>
        <v>0</v>
      </c>
      <c r="E9769" s="2" t="str">
        <f>IF(Table1[[#This Row],[Is Data Valid]]=TRUE,IF(Table1[[#This Row],[Fetal Sex (Male, Female or Unknown)]]="Male",Backend!$C$6,IF(Table1[[#This Row],[Fetal Sex (Male, Female or Unknown)]]="Female",Backend!$C$7,IF(Table1[[#This Row],[Fetal Sex (Male, Female or Unknown)]]="Unknown",Backend!$C$8,"Error"))),"")</f>
        <v/>
      </c>
      <c r="F9769" s="8" t="str">
        <f>IF(Table1[[#This Row],[Is Data Valid]]=TRUE,EXP(0.578+0.332*((Table1[[#This Row],[Gestation (days)]]+0.5)/7)-0.00354*((Table1[[#This Row],[Gestation (days)]]+0.5)/7)^2)*Table1[[#This Row],[BW40_3705]],"")</f>
        <v/>
      </c>
      <c r="G9769" s="2" t="str">
        <f>IF(Table1[[#This Row],[Is Data Valid]]=TRUE,((Table1[[#This Row],[Birthweight (grams)]]/Table1[[#This Row],[BW_GA]])-1)/(Backend!$B$4/100*Table1[[#This Row],[BW40_3705]]),"")</f>
        <v/>
      </c>
      <c r="H9769" s="7" t="str">
        <f>IF(Table1[[#This Row],[Is Data Valid]]=TRUE,((Table1[[#This Row],[Birthweight (grams)]]*0.9/Table1[[#This Row],[BW_GA]])-1)/(Backend!$B$4/100*Table1[[#This Row],[BW40_3705]]),"")</f>
        <v/>
      </c>
      <c r="I9769" s="7" t="str">
        <f>IF(Table1[[#This Row],[Is Data Valid]]=TRUE,((Table1[[#This Row],[Birthweight (grams)]]*1.1/Table1[[#This Row],[BW_GA]])-1)/(Backend!$B$4/100*Table1[[#This Row],[BW40_3705]]),"")</f>
        <v/>
      </c>
      <c r="J9769" s="7" t="str">
        <f>IF(Table1[[#This Row],[Is Data Valid]]=TRUE,_xlfn.NORM.S.DIST(Table1[[#This Row],[Birthweight Z-Score]],TRUE)*100,"")</f>
        <v/>
      </c>
      <c r="K9769" s="7" t="str">
        <f>IF(Table1[[#This Row],[Is Data Valid]]=TRUE,_xlfn.NORM.S.DIST(Table1[[#This Row],[Birthweight Z-Score (BW-10%)]],TRUE)*100,"")</f>
        <v/>
      </c>
      <c r="L9769" s="7" t="str">
        <f>IF(Table1[[#This Row],[Is Data Valid]]=TRUE,_xlfn.NORM.S.DIST(Table1[[#This Row],[Birthweight Z-Score (BW+10%)]],TRUE)*100,"")</f>
        <v/>
      </c>
    </row>
    <row r="9770" spans="1:12" x14ac:dyDescent="0.35">
      <c r="A9770" s="3"/>
      <c r="B9770" s="2"/>
      <c r="C9770" s="2"/>
      <c r="D9770" s="2" t="b">
        <f>IF(AND(NOT(ISBLANK(Table1[[#This Row],[Fetal Sex (Male, Female or Unknown)]])),ISNUMBER(Table1[[#This Row],[Birthweight (grams)]]),ISNUMBER(Table1[[#This Row],[Gestation (days)]])),TRUE,FALSE)</f>
        <v>0</v>
      </c>
      <c r="E9770" s="2" t="str">
        <f>IF(Table1[[#This Row],[Is Data Valid]]=TRUE,IF(Table1[[#This Row],[Fetal Sex (Male, Female or Unknown)]]="Male",Backend!$C$6,IF(Table1[[#This Row],[Fetal Sex (Male, Female or Unknown)]]="Female",Backend!$C$7,IF(Table1[[#This Row],[Fetal Sex (Male, Female or Unknown)]]="Unknown",Backend!$C$8,"Error"))),"")</f>
        <v/>
      </c>
      <c r="F9770" s="8" t="str">
        <f>IF(Table1[[#This Row],[Is Data Valid]]=TRUE,EXP(0.578+0.332*((Table1[[#This Row],[Gestation (days)]]+0.5)/7)-0.00354*((Table1[[#This Row],[Gestation (days)]]+0.5)/7)^2)*Table1[[#This Row],[BW40_3705]],"")</f>
        <v/>
      </c>
      <c r="G9770" s="2" t="str">
        <f>IF(Table1[[#This Row],[Is Data Valid]]=TRUE,((Table1[[#This Row],[Birthweight (grams)]]/Table1[[#This Row],[BW_GA]])-1)/(Backend!$B$4/100*Table1[[#This Row],[BW40_3705]]),"")</f>
        <v/>
      </c>
      <c r="H9770" s="7" t="str">
        <f>IF(Table1[[#This Row],[Is Data Valid]]=TRUE,((Table1[[#This Row],[Birthweight (grams)]]*0.9/Table1[[#This Row],[BW_GA]])-1)/(Backend!$B$4/100*Table1[[#This Row],[BW40_3705]]),"")</f>
        <v/>
      </c>
      <c r="I9770" s="7" t="str">
        <f>IF(Table1[[#This Row],[Is Data Valid]]=TRUE,((Table1[[#This Row],[Birthweight (grams)]]*1.1/Table1[[#This Row],[BW_GA]])-1)/(Backend!$B$4/100*Table1[[#This Row],[BW40_3705]]),"")</f>
        <v/>
      </c>
      <c r="J9770" s="7" t="str">
        <f>IF(Table1[[#This Row],[Is Data Valid]]=TRUE,_xlfn.NORM.S.DIST(Table1[[#This Row],[Birthweight Z-Score]],TRUE)*100,"")</f>
        <v/>
      </c>
      <c r="K9770" s="7" t="str">
        <f>IF(Table1[[#This Row],[Is Data Valid]]=TRUE,_xlfn.NORM.S.DIST(Table1[[#This Row],[Birthweight Z-Score (BW-10%)]],TRUE)*100,"")</f>
        <v/>
      </c>
      <c r="L9770" s="7" t="str">
        <f>IF(Table1[[#This Row],[Is Data Valid]]=TRUE,_xlfn.NORM.S.DIST(Table1[[#This Row],[Birthweight Z-Score (BW+10%)]],TRUE)*100,"")</f>
        <v/>
      </c>
    </row>
    <row r="9771" spans="1:12" x14ac:dyDescent="0.35">
      <c r="A9771" s="3"/>
      <c r="B9771" s="2"/>
      <c r="C9771" s="2"/>
      <c r="D9771" s="2" t="b">
        <f>IF(AND(NOT(ISBLANK(Table1[[#This Row],[Fetal Sex (Male, Female or Unknown)]])),ISNUMBER(Table1[[#This Row],[Birthweight (grams)]]),ISNUMBER(Table1[[#This Row],[Gestation (days)]])),TRUE,FALSE)</f>
        <v>0</v>
      </c>
      <c r="E9771" s="2" t="str">
        <f>IF(Table1[[#This Row],[Is Data Valid]]=TRUE,IF(Table1[[#This Row],[Fetal Sex (Male, Female or Unknown)]]="Male",Backend!$C$6,IF(Table1[[#This Row],[Fetal Sex (Male, Female or Unknown)]]="Female",Backend!$C$7,IF(Table1[[#This Row],[Fetal Sex (Male, Female or Unknown)]]="Unknown",Backend!$C$8,"Error"))),"")</f>
        <v/>
      </c>
      <c r="F9771" s="8" t="str">
        <f>IF(Table1[[#This Row],[Is Data Valid]]=TRUE,EXP(0.578+0.332*((Table1[[#This Row],[Gestation (days)]]+0.5)/7)-0.00354*((Table1[[#This Row],[Gestation (days)]]+0.5)/7)^2)*Table1[[#This Row],[BW40_3705]],"")</f>
        <v/>
      </c>
      <c r="G9771" s="2" t="str">
        <f>IF(Table1[[#This Row],[Is Data Valid]]=TRUE,((Table1[[#This Row],[Birthweight (grams)]]/Table1[[#This Row],[BW_GA]])-1)/(Backend!$B$4/100*Table1[[#This Row],[BW40_3705]]),"")</f>
        <v/>
      </c>
      <c r="H9771" s="7" t="str">
        <f>IF(Table1[[#This Row],[Is Data Valid]]=TRUE,((Table1[[#This Row],[Birthweight (grams)]]*0.9/Table1[[#This Row],[BW_GA]])-1)/(Backend!$B$4/100*Table1[[#This Row],[BW40_3705]]),"")</f>
        <v/>
      </c>
      <c r="I9771" s="7" t="str">
        <f>IF(Table1[[#This Row],[Is Data Valid]]=TRUE,((Table1[[#This Row],[Birthweight (grams)]]*1.1/Table1[[#This Row],[BW_GA]])-1)/(Backend!$B$4/100*Table1[[#This Row],[BW40_3705]]),"")</f>
        <v/>
      </c>
      <c r="J9771" s="7" t="str">
        <f>IF(Table1[[#This Row],[Is Data Valid]]=TRUE,_xlfn.NORM.S.DIST(Table1[[#This Row],[Birthweight Z-Score]],TRUE)*100,"")</f>
        <v/>
      </c>
      <c r="K9771" s="7" t="str">
        <f>IF(Table1[[#This Row],[Is Data Valid]]=TRUE,_xlfn.NORM.S.DIST(Table1[[#This Row],[Birthweight Z-Score (BW-10%)]],TRUE)*100,"")</f>
        <v/>
      </c>
      <c r="L9771" s="7" t="str">
        <f>IF(Table1[[#This Row],[Is Data Valid]]=TRUE,_xlfn.NORM.S.DIST(Table1[[#This Row],[Birthweight Z-Score (BW+10%)]],TRUE)*100,"")</f>
        <v/>
      </c>
    </row>
    <row r="9772" spans="1:12" x14ac:dyDescent="0.35">
      <c r="A9772" s="3"/>
      <c r="B9772" s="2"/>
      <c r="C9772" s="2"/>
      <c r="D9772" s="2" t="b">
        <f>IF(AND(NOT(ISBLANK(Table1[[#This Row],[Fetal Sex (Male, Female or Unknown)]])),ISNUMBER(Table1[[#This Row],[Birthweight (grams)]]),ISNUMBER(Table1[[#This Row],[Gestation (days)]])),TRUE,FALSE)</f>
        <v>0</v>
      </c>
      <c r="E9772" s="2" t="str">
        <f>IF(Table1[[#This Row],[Is Data Valid]]=TRUE,IF(Table1[[#This Row],[Fetal Sex (Male, Female or Unknown)]]="Male",Backend!$C$6,IF(Table1[[#This Row],[Fetal Sex (Male, Female or Unknown)]]="Female",Backend!$C$7,IF(Table1[[#This Row],[Fetal Sex (Male, Female or Unknown)]]="Unknown",Backend!$C$8,"Error"))),"")</f>
        <v/>
      </c>
      <c r="F9772" s="8" t="str">
        <f>IF(Table1[[#This Row],[Is Data Valid]]=TRUE,EXP(0.578+0.332*((Table1[[#This Row],[Gestation (days)]]+0.5)/7)-0.00354*((Table1[[#This Row],[Gestation (days)]]+0.5)/7)^2)*Table1[[#This Row],[BW40_3705]],"")</f>
        <v/>
      </c>
      <c r="G9772" s="2" t="str">
        <f>IF(Table1[[#This Row],[Is Data Valid]]=TRUE,((Table1[[#This Row],[Birthweight (grams)]]/Table1[[#This Row],[BW_GA]])-1)/(Backend!$B$4/100*Table1[[#This Row],[BW40_3705]]),"")</f>
        <v/>
      </c>
      <c r="H9772" s="7" t="str">
        <f>IF(Table1[[#This Row],[Is Data Valid]]=TRUE,((Table1[[#This Row],[Birthweight (grams)]]*0.9/Table1[[#This Row],[BW_GA]])-1)/(Backend!$B$4/100*Table1[[#This Row],[BW40_3705]]),"")</f>
        <v/>
      </c>
      <c r="I9772" s="7" t="str">
        <f>IF(Table1[[#This Row],[Is Data Valid]]=TRUE,((Table1[[#This Row],[Birthweight (grams)]]*1.1/Table1[[#This Row],[BW_GA]])-1)/(Backend!$B$4/100*Table1[[#This Row],[BW40_3705]]),"")</f>
        <v/>
      </c>
      <c r="J9772" s="7" t="str">
        <f>IF(Table1[[#This Row],[Is Data Valid]]=TRUE,_xlfn.NORM.S.DIST(Table1[[#This Row],[Birthweight Z-Score]],TRUE)*100,"")</f>
        <v/>
      </c>
      <c r="K9772" s="7" t="str">
        <f>IF(Table1[[#This Row],[Is Data Valid]]=TRUE,_xlfn.NORM.S.DIST(Table1[[#This Row],[Birthweight Z-Score (BW-10%)]],TRUE)*100,"")</f>
        <v/>
      </c>
      <c r="L9772" s="7" t="str">
        <f>IF(Table1[[#This Row],[Is Data Valid]]=TRUE,_xlfn.NORM.S.DIST(Table1[[#This Row],[Birthweight Z-Score (BW+10%)]],TRUE)*100,"")</f>
        <v/>
      </c>
    </row>
    <row r="9773" spans="1:12" x14ac:dyDescent="0.35">
      <c r="A9773" s="3"/>
      <c r="B9773" s="2"/>
      <c r="C9773" s="2"/>
      <c r="D9773" s="2" t="b">
        <f>IF(AND(NOT(ISBLANK(Table1[[#This Row],[Fetal Sex (Male, Female or Unknown)]])),ISNUMBER(Table1[[#This Row],[Birthweight (grams)]]),ISNUMBER(Table1[[#This Row],[Gestation (days)]])),TRUE,FALSE)</f>
        <v>0</v>
      </c>
      <c r="E9773" s="2" t="str">
        <f>IF(Table1[[#This Row],[Is Data Valid]]=TRUE,IF(Table1[[#This Row],[Fetal Sex (Male, Female or Unknown)]]="Male",Backend!$C$6,IF(Table1[[#This Row],[Fetal Sex (Male, Female or Unknown)]]="Female",Backend!$C$7,IF(Table1[[#This Row],[Fetal Sex (Male, Female or Unknown)]]="Unknown",Backend!$C$8,"Error"))),"")</f>
        <v/>
      </c>
      <c r="F9773" s="8" t="str">
        <f>IF(Table1[[#This Row],[Is Data Valid]]=TRUE,EXP(0.578+0.332*((Table1[[#This Row],[Gestation (days)]]+0.5)/7)-0.00354*((Table1[[#This Row],[Gestation (days)]]+0.5)/7)^2)*Table1[[#This Row],[BW40_3705]],"")</f>
        <v/>
      </c>
      <c r="G9773" s="2" t="str">
        <f>IF(Table1[[#This Row],[Is Data Valid]]=TRUE,((Table1[[#This Row],[Birthweight (grams)]]/Table1[[#This Row],[BW_GA]])-1)/(Backend!$B$4/100*Table1[[#This Row],[BW40_3705]]),"")</f>
        <v/>
      </c>
      <c r="H9773" s="7" t="str">
        <f>IF(Table1[[#This Row],[Is Data Valid]]=TRUE,((Table1[[#This Row],[Birthweight (grams)]]*0.9/Table1[[#This Row],[BW_GA]])-1)/(Backend!$B$4/100*Table1[[#This Row],[BW40_3705]]),"")</f>
        <v/>
      </c>
      <c r="I9773" s="7" t="str">
        <f>IF(Table1[[#This Row],[Is Data Valid]]=TRUE,((Table1[[#This Row],[Birthweight (grams)]]*1.1/Table1[[#This Row],[BW_GA]])-1)/(Backend!$B$4/100*Table1[[#This Row],[BW40_3705]]),"")</f>
        <v/>
      </c>
      <c r="J9773" s="7" t="str">
        <f>IF(Table1[[#This Row],[Is Data Valid]]=TRUE,_xlfn.NORM.S.DIST(Table1[[#This Row],[Birthweight Z-Score]],TRUE)*100,"")</f>
        <v/>
      </c>
      <c r="K9773" s="7" t="str">
        <f>IF(Table1[[#This Row],[Is Data Valid]]=TRUE,_xlfn.NORM.S.DIST(Table1[[#This Row],[Birthweight Z-Score (BW-10%)]],TRUE)*100,"")</f>
        <v/>
      </c>
      <c r="L9773" s="7" t="str">
        <f>IF(Table1[[#This Row],[Is Data Valid]]=TRUE,_xlfn.NORM.S.DIST(Table1[[#This Row],[Birthweight Z-Score (BW+10%)]],TRUE)*100,"")</f>
        <v/>
      </c>
    </row>
    <row r="9774" spans="1:12" x14ac:dyDescent="0.35">
      <c r="A9774" s="3"/>
      <c r="B9774" s="2"/>
      <c r="C9774" s="2"/>
      <c r="D9774" s="2" t="b">
        <f>IF(AND(NOT(ISBLANK(Table1[[#This Row],[Fetal Sex (Male, Female or Unknown)]])),ISNUMBER(Table1[[#This Row],[Birthweight (grams)]]),ISNUMBER(Table1[[#This Row],[Gestation (days)]])),TRUE,FALSE)</f>
        <v>0</v>
      </c>
      <c r="E9774" s="2" t="str">
        <f>IF(Table1[[#This Row],[Is Data Valid]]=TRUE,IF(Table1[[#This Row],[Fetal Sex (Male, Female or Unknown)]]="Male",Backend!$C$6,IF(Table1[[#This Row],[Fetal Sex (Male, Female or Unknown)]]="Female",Backend!$C$7,IF(Table1[[#This Row],[Fetal Sex (Male, Female or Unknown)]]="Unknown",Backend!$C$8,"Error"))),"")</f>
        <v/>
      </c>
      <c r="F9774" s="8" t="str">
        <f>IF(Table1[[#This Row],[Is Data Valid]]=TRUE,EXP(0.578+0.332*((Table1[[#This Row],[Gestation (days)]]+0.5)/7)-0.00354*((Table1[[#This Row],[Gestation (days)]]+0.5)/7)^2)*Table1[[#This Row],[BW40_3705]],"")</f>
        <v/>
      </c>
      <c r="G9774" s="2" t="str">
        <f>IF(Table1[[#This Row],[Is Data Valid]]=TRUE,((Table1[[#This Row],[Birthweight (grams)]]/Table1[[#This Row],[BW_GA]])-1)/(Backend!$B$4/100*Table1[[#This Row],[BW40_3705]]),"")</f>
        <v/>
      </c>
      <c r="H9774" s="7" t="str">
        <f>IF(Table1[[#This Row],[Is Data Valid]]=TRUE,((Table1[[#This Row],[Birthweight (grams)]]*0.9/Table1[[#This Row],[BW_GA]])-1)/(Backend!$B$4/100*Table1[[#This Row],[BW40_3705]]),"")</f>
        <v/>
      </c>
      <c r="I9774" s="7" t="str">
        <f>IF(Table1[[#This Row],[Is Data Valid]]=TRUE,((Table1[[#This Row],[Birthweight (grams)]]*1.1/Table1[[#This Row],[BW_GA]])-1)/(Backend!$B$4/100*Table1[[#This Row],[BW40_3705]]),"")</f>
        <v/>
      </c>
      <c r="J9774" s="7" t="str">
        <f>IF(Table1[[#This Row],[Is Data Valid]]=TRUE,_xlfn.NORM.S.DIST(Table1[[#This Row],[Birthweight Z-Score]],TRUE)*100,"")</f>
        <v/>
      </c>
      <c r="K9774" s="7" t="str">
        <f>IF(Table1[[#This Row],[Is Data Valid]]=TRUE,_xlfn.NORM.S.DIST(Table1[[#This Row],[Birthweight Z-Score (BW-10%)]],TRUE)*100,"")</f>
        <v/>
      </c>
      <c r="L9774" s="7" t="str">
        <f>IF(Table1[[#This Row],[Is Data Valid]]=TRUE,_xlfn.NORM.S.DIST(Table1[[#This Row],[Birthweight Z-Score (BW+10%)]],TRUE)*100,"")</f>
        <v/>
      </c>
    </row>
    <row r="9775" spans="1:12" x14ac:dyDescent="0.35">
      <c r="A9775" s="3"/>
      <c r="B9775" s="2"/>
      <c r="C9775" s="2"/>
      <c r="D9775" s="2" t="b">
        <f>IF(AND(NOT(ISBLANK(Table1[[#This Row],[Fetal Sex (Male, Female or Unknown)]])),ISNUMBER(Table1[[#This Row],[Birthweight (grams)]]),ISNUMBER(Table1[[#This Row],[Gestation (days)]])),TRUE,FALSE)</f>
        <v>0</v>
      </c>
      <c r="E9775" s="2" t="str">
        <f>IF(Table1[[#This Row],[Is Data Valid]]=TRUE,IF(Table1[[#This Row],[Fetal Sex (Male, Female or Unknown)]]="Male",Backend!$C$6,IF(Table1[[#This Row],[Fetal Sex (Male, Female or Unknown)]]="Female",Backend!$C$7,IF(Table1[[#This Row],[Fetal Sex (Male, Female or Unknown)]]="Unknown",Backend!$C$8,"Error"))),"")</f>
        <v/>
      </c>
      <c r="F9775" s="8" t="str">
        <f>IF(Table1[[#This Row],[Is Data Valid]]=TRUE,EXP(0.578+0.332*((Table1[[#This Row],[Gestation (days)]]+0.5)/7)-0.00354*((Table1[[#This Row],[Gestation (days)]]+0.5)/7)^2)*Table1[[#This Row],[BW40_3705]],"")</f>
        <v/>
      </c>
      <c r="G9775" s="2" t="str">
        <f>IF(Table1[[#This Row],[Is Data Valid]]=TRUE,((Table1[[#This Row],[Birthweight (grams)]]/Table1[[#This Row],[BW_GA]])-1)/(Backend!$B$4/100*Table1[[#This Row],[BW40_3705]]),"")</f>
        <v/>
      </c>
      <c r="H9775" s="7" t="str">
        <f>IF(Table1[[#This Row],[Is Data Valid]]=TRUE,((Table1[[#This Row],[Birthweight (grams)]]*0.9/Table1[[#This Row],[BW_GA]])-1)/(Backend!$B$4/100*Table1[[#This Row],[BW40_3705]]),"")</f>
        <v/>
      </c>
      <c r="I9775" s="7" t="str">
        <f>IF(Table1[[#This Row],[Is Data Valid]]=TRUE,((Table1[[#This Row],[Birthweight (grams)]]*1.1/Table1[[#This Row],[BW_GA]])-1)/(Backend!$B$4/100*Table1[[#This Row],[BW40_3705]]),"")</f>
        <v/>
      </c>
      <c r="J9775" s="7" t="str">
        <f>IF(Table1[[#This Row],[Is Data Valid]]=TRUE,_xlfn.NORM.S.DIST(Table1[[#This Row],[Birthweight Z-Score]],TRUE)*100,"")</f>
        <v/>
      </c>
      <c r="K9775" s="7" t="str">
        <f>IF(Table1[[#This Row],[Is Data Valid]]=TRUE,_xlfn.NORM.S.DIST(Table1[[#This Row],[Birthweight Z-Score (BW-10%)]],TRUE)*100,"")</f>
        <v/>
      </c>
      <c r="L9775" s="7" t="str">
        <f>IF(Table1[[#This Row],[Is Data Valid]]=TRUE,_xlfn.NORM.S.DIST(Table1[[#This Row],[Birthweight Z-Score (BW+10%)]],TRUE)*100,"")</f>
        <v/>
      </c>
    </row>
    <row r="9776" spans="1:12" x14ac:dyDescent="0.35">
      <c r="A9776" s="3"/>
      <c r="B9776" s="2"/>
      <c r="C9776" s="2"/>
      <c r="D9776" s="2" t="b">
        <f>IF(AND(NOT(ISBLANK(Table1[[#This Row],[Fetal Sex (Male, Female or Unknown)]])),ISNUMBER(Table1[[#This Row],[Birthweight (grams)]]),ISNUMBER(Table1[[#This Row],[Gestation (days)]])),TRUE,FALSE)</f>
        <v>0</v>
      </c>
      <c r="E9776" s="2" t="str">
        <f>IF(Table1[[#This Row],[Is Data Valid]]=TRUE,IF(Table1[[#This Row],[Fetal Sex (Male, Female or Unknown)]]="Male",Backend!$C$6,IF(Table1[[#This Row],[Fetal Sex (Male, Female or Unknown)]]="Female",Backend!$C$7,IF(Table1[[#This Row],[Fetal Sex (Male, Female or Unknown)]]="Unknown",Backend!$C$8,"Error"))),"")</f>
        <v/>
      </c>
      <c r="F9776" s="8" t="str">
        <f>IF(Table1[[#This Row],[Is Data Valid]]=TRUE,EXP(0.578+0.332*((Table1[[#This Row],[Gestation (days)]]+0.5)/7)-0.00354*((Table1[[#This Row],[Gestation (days)]]+0.5)/7)^2)*Table1[[#This Row],[BW40_3705]],"")</f>
        <v/>
      </c>
      <c r="G9776" s="2" t="str">
        <f>IF(Table1[[#This Row],[Is Data Valid]]=TRUE,((Table1[[#This Row],[Birthweight (grams)]]/Table1[[#This Row],[BW_GA]])-1)/(Backend!$B$4/100*Table1[[#This Row],[BW40_3705]]),"")</f>
        <v/>
      </c>
      <c r="H9776" s="7" t="str">
        <f>IF(Table1[[#This Row],[Is Data Valid]]=TRUE,((Table1[[#This Row],[Birthweight (grams)]]*0.9/Table1[[#This Row],[BW_GA]])-1)/(Backend!$B$4/100*Table1[[#This Row],[BW40_3705]]),"")</f>
        <v/>
      </c>
      <c r="I9776" s="7" t="str">
        <f>IF(Table1[[#This Row],[Is Data Valid]]=TRUE,((Table1[[#This Row],[Birthweight (grams)]]*1.1/Table1[[#This Row],[BW_GA]])-1)/(Backend!$B$4/100*Table1[[#This Row],[BW40_3705]]),"")</f>
        <v/>
      </c>
      <c r="J9776" s="7" t="str">
        <f>IF(Table1[[#This Row],[Is Data Valid]]=TRUE,_xlfn.NORM.S.DIST(Table1[[#This Row],[Birthweight Z-Score]],TRUE)*100,"")</f>
        <v/>
      </c>
      <c r="K9776" s="7" t="str">
        <f>IF(Table1[[#This Row],[Is Data Valid]]=TRUE,_xlfn.NORM.S.DIST(Table1[[#This Row],[Birthweight Z-Score (BW-10%)]],TRUE)*100,"")</f>
        <v/>
      </c>
      <c r="L9776" s="7" t="str">
        <f>IF(Table1[[#This Row],[Is Data Valid]]=TRUE,_xlfn.NORM.S.DIST(Table1[[#This Row],[Birthweight Z-Score (BW+10%)]],TRUE)*100,"")</f>
        <v/>
      </c>
    </row>
    <row r="9777" spans="1:12" x14ac:dyDescent="0.35">
      <c r="A9777" s="3"/>
      <c r="B9777" s="2"/>
      <c r="C9777" s="2"/>
      <c r="D9777" s="2" t="b">
        <f>IF(AND(NOT(ISBLANK(Table1[[#This Row],[Fetal Sex (Male, Female or Unknown)]])),ISNUMBER(Table1[[#This Row],[Birthweight (grams)]]),ISNUMBER(Table1[[#This Row],[Gestation (days)]])),TRUE,FALSE)</f>
        <v>0</v>
      </c>
      <c r="E9777" s="2" t="str">
        <f>IF(Table1[[#This Row],[Is Data Valid]]=TRUE,IF(Table1[[#This Row],[Fetal Sex (Male, Female or Unknown)]]="Male",Backend!$C$6,IF(Table1[[#This Row],[Fetal Sex (Male, Female or Unknown)]]="Female",Backend!$C$7,IF(Table1[[#This Row],[Fetal Sex (Male, Female or Unknown)]]="Unknown",Backend!$C$8,"Error"))),"")</f>
        <v/>
      </c>
      <c r="F9777" s="8" t="str">
        <f>IF(Table1[[#This Row],[Is Data Valid]]=TRUE,EXP(0.578+0.332*((Table1[[#This Row],[Gestation (days)]]+0.5)/7)-0.00354*((Table1[[#This Row],[Gestation (days)]]+0.5)/7)^2)*Table1[[#This Row],[BW40_3705]],"")</f>
        <v/>
      </c>
      <c r="G9777" s="2" t="str">
        <f>IF(Table1[[#This Row],[Is Data Valid]]=TRUE,((Table1[[#This Row],[Birthweight (grams)]]/Table1[[#This Row],[BW_GA]])-1)/(Backend!$B$4/100*Table1[[#This Row],[BW40_3705]]),"")</f>
        <v/>
      </c>
      <c r="H9777" s="7" t="str">
        <f>IF(Table1[[#This Row],[Is Data Valid]]=TRUE,((Table1[[#This Row],[Birthweight (grams)]]*0.9/Table1[[#This Row],[BW_GA]])-1)/(Backend!$B$4/100*Table1[[#This Row],[BW40_3705]]),"")</f>
        <v/>
      </c>
      <c r="I9777" s="7" t="str">
        <f>IF(Table1[[#This Row],[Is Data Valid]]=TRUE,((Table1[[#This Row],[Birthweight (grams)]]*1.1/Table1[[#This Row],[BW_GA]])-1)/(Backend!$B$4/100*Table1[[#This Row],[BW40_3705]]),"")</f>
        <v/>
      </c>
      <c r="J9777" s="7" t="str">
        <f>IF(Table1[[#This Row],[Is Data Valid]]=TRUE,_xlfn.NORM.S.DIST(Table1[[#This Row],[Birthweight Z-Score]],TRUE)*100,"")</f>
        <v/>
      </c>
      <c r="K9777" s="7" t="str">
        <f>IF(Table1[[#This Row],[Is Data Valid]]=TRUE,_xlfn.NORM.S.DIST(Table1[[#This Row],[Birthweight Z-Score (BW-10%)]],TRUE)*100,"")</f>
        <v/>
      </c>
      <c r="L9777" s="7" t="str">
        <f>IF(Table1[[#This Row],[Is Data Valid]]=TRUE,_xlfn.NORM.S.DIST(Table1[[#This Row],[Birthweight Z-Score (BW+10%)]],TRUE)*100,"")</f>
        <v/>
      </c>
    </row>
    <row r="9778" spans="1:12" x14ac:dyDescent="0.35">
      <c r="A9778" s="3"/>
      <c r="B9778" s="2"/>
      <c r="C9778" s="2"/>
      <c r="D9778" s="2" t="b">
        <f>IF(AND(NOT(ISBLANK(Table1[[#This Row],[Fetal Sex (Male, Female or Unknown)]])),ISNUMBER(Table1[[#This Row],[Birthweight (grams)]]),ISNUMBER(Table1[[#This Row],[Gestation (days)]])),TRUE,FALSE)</f>
        <v>0</v>
      </c>
      <c r="E9778" s="2" t="str">
        <f>IF(Table1[[#This Row],[Is Data Valid]]=TRUE,IF(Table1[[#This Row],[Fetal Sex (Male, Female or Unknown)]]="Male",Backend!$C$6,IF(Table1[[#This Row],[Fetal Sex (Male, Female or Unknown)]]="Female",Backend!$C$7,IF(Table1[[#This Row],[Fetal Sex (Male, Female or Unknown)]]="Unknown",Backend!$C$8,"Error"))),"")</f>
        <v/>
      </c>
      <c r="F9778" s="8" t="str">
        <f>IF(Table1[[#This Row],[Is Data Valid]]=TRUE,EXP(0.578+0.332*((Table1[[#This Row],[Gestation (days)]]+0.5)/7)-0.00354*((Table1[[#This Row],[Gestation (days)]]+0.5)/7)^2)*Table1[[#This Row],[BW40_3705]],"")</f>
        <v/>
      </c>
      <c r="G9778" s="2" t="str">
        <f>IF(Table1[[#This Row],[Is Data Valid]]=TRUE,((Table1[[#This Row],[Birthweight (grams)]]/Table1[[#This Row],[BW_GA]])-1)/(Backend!$B$4/100*Table1[[#This Row],[BW40_3705]]),"")</f>
        <v/>
      </c>
      <c r="H9778" s="7" t="str">
        <f>IF(Table1[[#This Row],[Is Data Valid]]=TRUE,((Table1[[#This Row],[Birthweight (grams)]]*0.9/Table1[[#This Row],[BW_GA]])-1)/(Backend!$B$4/100*Table1[[#This Row],[BW40_3705]]),"")</f>
        <v/>
      </c>
      <c r="I9778" s="7" t="str">
        <f>IF(Table1[[#This Row],[Is Data Valid]]=TRUE,((Table1[[#This Row],[Birthweight (grams)]]*1.1/Table1[[#This Row],[BW_GA]])-1)/(Backend!$B$4/100*Table1[[#This Row],[BW40_3705]]),"")</f>
        <v/>
      </c>
      <c r="J9778" s="7" t="str">
        <f>IF(Table1[[#This Row],[Is Data Valid]]=TRUE,_xlfn.NORM.S.DIST(Table1[[#This Row],[Birthweight Z-Score]],TRUE)*100,"")</f>
        <v/>
      </c>
      <c r="K9778" s="7" t="str">
        <f>IF(Table1[[#This Row],[Is Data Valid]]=TRUE,_xlfn.NORM.S.DIST(Table1[[#This Row],[Birthweight Z-Score (BW-10%)]],TRUE)*100,"")</f>
        <v/>
      </c>
      <c r="L9778" s="7" t="str">
        <f>IF(Table1[[#This Row],[Is Data Valid]]=TRUE,_xlfn.NORM.S.DIST(Table1[[#This Row],[Birthweight Z-Score (BW+10%)]],TRUE)*100,"")</f>
        <v/>
      </c>
    </row>
    <row r="9779" spans="1:12" x14ac:dyDescent="0.35">
      <c r="A9779" s="3"/>
      <c r="B9779" s="2"/>
      <c r="C9779" s="2"/>
      <c r="D9779" s="2" t="b">
        <f>IF(AND(NOT(ISBLANK(Table1[[#This Row],[Fetal Sex (Male, Female or Unknown)]])),ISNUMBER(Table1[[#This Row],[Birthweight (grams)]]),ISNUMBER(Table1[[#This Row],[Gestation (days)]])),TRUE,FALSE)</f>
        <v>0</v>
      </c>
      <c r="E9779" s="2" t="str">
        <f>IF(Table1[[#This Row],[Is Data Valid]]=TRUE,IF(Table1[[#This Row],[Fetal Sex (Male, Female or Unknown)]]="Male",Backend!$C$6,IF(Table1[[#This Row],[Fetal Sex (Male, Female or Unknown)]]="Female",Backend!$C$7,IF(Table1[[#This Row],[Fetal Sex (Male, Female or Unknown)]]="Unknown",Backend!$C$8,"Error"))),"")</f>
        <v/>
      </c>
      <c r="F9779" s="8" t="str">
        <f>IF(Table1[[#This Row],[Is Data Valid]]=TRUE,EXP(0.578+0.332*((Table1[[#This Row],[Gestation (days)]]+0.5)/7)-0.00354*((Table1[[#This Row],[Gestation (days)]]+0.5)/7)^2)*Table1[[#This Row],[BW40_3705]],"")</f>
        <v/>
      </c>
      <c r="G9779" s="2" t="str">
        <f>IF(Table1[[#This Row],[Is Data Valid]]=TRUE,((Table1[[#This Row],[Birthweight (grams)]]/Table1[[#This Row],[BW_GA]])-1)/(Backend!$B$4/100*Table1[[#This Row],[BW40_3705]]),"")</f>
        <v/>
      </c>
      <c r="H9779" s="7" t="str">
        <f>IF(Table1[[#This Row],[Is Data Valid]]=TRUE,((Table1[[#This Row],[Birthweight (grams)]]*0.9/Table1[[#This Row],[BW_GA]])-1)/(Backend!$B$4/100*Table1[[#This Row],[BW40_3705]]),"")</f>
        <v/>
      </c>
      <c r="I9779" s="7" t="str">
        <f>IF(Table1[[#This Row],[Is Data Valid]]=TRUE,((Table1[[#This Row],[Birthweight (grams)]]*1.1/Table1[[#This Row],[BW_GA]])-1)/(Backend!$B$4/100*Table1[[#This Row],[BW40_3705]]),"")</f>
        <v/>
      </c>
      <c r="J9779" s="7" t="str">
        <f>IF(Table1[[#This Row],[Is Data Valid]]=TRUE,_xlfn.NORM.S.DIST(Table1[[#This Row],[Birthweight Z-Score]],TRUE)*100,"")</f>
        <v/>
      </c>
      <c r="K9779" s="7" t="str">
        <f>IF(Table1[[#This Row],[Is Data Valid]]=TRUE,_xlfn.NORM.S.DIST(Table1[[#This Row],[Birthweight Z-Score (BW-10%)]],TRUE)*100,"")</f>
        <v/>
      </c>
      <c r="L9779" s="7" t="str">
        <f>IF(Table1[[#This Row],[Is Data Valid]]=TRUE,_xlfn.NORM.S.DIST(Table1[[#This Row],[Birthweight Z-Score (BW+10%)]],TRUE)*100,"")</f>
        <v/>
      </c>
    </row>
    <row r="9780" spans="1:12" x14ac:dyDescent="0.35">
      <c r="A9780" s="3"/>
      <c r="B9780" s="2"/>
      <c r="C9780" s="2"/>
      <c r="D9780" s="2" t="b">
        <f>IF(AND(NOT(ISBLANK(Table1[[#This Row],[Fetal Sex (Male, Female or Unknown)]])),ISNUMBER(Table1[[#This Row],[Birthweight (grams)]]),ISNUMBER(Table1[[#This Row],[Gestation (days)]])),TRUE,FALSE)</f>
        <v>0</v>
      </c>
      <c r="E9780" s="2" t="str">
        <f>IF(Table1[[#This Row],[Is Data Valid]]=TRUE,IF(Table1[[#This Row],[Fetal Sex (Male, Female or Unknown)]]="Male",Backend!$C$6,IF(Table1[[#This Row],[Fetal Sex (Male, Female or Unknown)]]="Female",Backend!$C$7,IF(Table1[[#This Row],[Fetal Sex (Male, Female or Unknown)]]="Unknown",Backend!$C$8,"Error"))),"")</f>
        <v/>
      </c>
      <c r="F9780" s="8" t="str">
        <f>IF(Table1[[#This Row],[Is Data Valid]]=TRUE,EXP(0.578+0.332*((Table1[[#This Row],[Gestation (days)]]+0.5)/7)-0.00354*((Table1[[#This Row],[Gestation (days)]]+0.5)/7)^2)*Table1[[#This Row],[BW40_3705]],"")</f>
        <v/>
      </c>
      <c r="G9780" s="2" t="str">
        <f>IF(Table1[[#This Row],[Is Data Valid]]=TRUE,((Table1[[#This Row],[Birthweight (grams)]]/Table1[[#This Row],[BW_GA]])-1)/(Backend!$B$4/100*Table1[[#This Row],[BW40_3705]]),"")</f>
        <v/>
      </c>
      <c r="H9780" s="7" t="str">
        <f>IF(Table1[[#This Row],[Is Data Valid]]=TRUE,((Table1[[#This Row],[Birthweight (grams)]]*0.9/Table1[[#This Row],[BW_GA]])-1)/(Backend!$B$4/100*Table1[[#This Row],[BW40_3705]]),"")</f>
        <v/>
      </c>
      <c r="I9780" s="7" t="str">
        <f>IF(Table1[[#This Row],[Is Data Valid]]=TRUE,((Table1[[#This Row],[Birthweight (grams)]]*1.1/Table1[[#This Row],[BW_GA]])-1)/(Backend!$B$4/100*Table1[[#This Row],[BW40_3705]]),"")</f>
        <v/>
      </c>
      <c r="J9780" s="7" t="str">
        <f>IF(Table1[[#This Row],[Is Data Valid]]=TRUE,_xlfn.NORM.S.DIST(Table1[[#This Row],[Birthweight Z-Score]],TRUE)*100,"")</f>
        <v/>
      </c>
      <c r="K9780" s="7" t="str">
        <f>IF(Table1[[#This Row],[Is Data Valid]]=TRUE,_xlfn.NORM.S.DIST(Table1[[#This Row],[Birthweight Z-Score (BW-10%)]],TRUE)*100,"")</f>
        <v/>
      </c>
      <c r="L9780" s="7" t="str">
        <f>IF(Table1[[#This Row],[Is Data Valid]]=TRUE,_xlfn.NORM.S.DIST(Table1[[#This Row],[Birthweight Z-Score (BW+10%)]],TRUE)*100,"")</f>
        <v/>
      </c>
    </row>
    <row r="9781" spans="1:12" x14ac:dyDescent="0.35">
      <c r="A9781" s="3"/>
      <c r="B9781" s="2"/>
      <c r="C9781" s="2"/>
      <c r="D9781" s="2" t="b">
        <f>IF(AND(NOT(ISBLANK(Table1[[#This Row],[Fetal Sex (Male, Female or Unknown)]])),ISNUMBER(Table1[[#This Row],[Birthweight (grams)]]),ISNUMBER(Table1[[#This Row],[Gestation (days)]])),TRUE,FALSE)</f>
        <v>0</v>
      </c>
      <c r="E9781" s="2" t="str">
        <f>IF(Table1[[#This Row],[Is Data Valid]]=TRUE,IF(Table1[[#This Row],[Fetal Sex (Male, Female or Unknown)]]="Male",Backend!$C$6,IF(Table1[[#This Row],[Fetal Sex (Male, Female or Unknown)]]="Female",Backend!$C$7,IF(Table1[[#This Row],[Fetal Sex (Male, Female or Unknown)]]="Unknown",Backend!$C$8,"Error"))),"")</f>
        <v/>
      </c>
      <c r="F9781" s="8" t="str">
        <f>IF(Table1[[#This Row],[Is Data Valid]]=TRUE,EXP(0.578+0.332*((Table1[[#This Row],[Gestation (days)]]+0.5)/7)-0.00354*((Table1[[#This Row],[Gestation (days)]]+0.5)/7)^2)*Table1[[#This Row],[BW40_3705]],"")</f>
        <v/>
      </c>
      <c r="G9781" s="2" t="str">
        <f>IF(Table1[[#This Row],[Is Data Valid]]=TRUE,((Table1[[#This Row],[Birthweight (grams)]]/Table1[[#This Row],[BW_GA]])-1)/(Backend!$B$4/100*Table1[[#This Row],[BW40_3705]]),"")</f>
        <v/>
      </c>
      <c r="H9781" s="7" t="str">
        <f>IF(Table1[[#This Row],[Is Data Valid]]=TRUE,((Table1[[#This Row],[Birthweight (grams)]]*0.9/Table1[[#This Row],[BW_GA]])-1)/(Backend!$B$4/100*Table1[[#This Row],[BW40_3705]]),"")</f>
        <v/>
      </c>
      <c r="I9781" s="7" t="str">
        <f>IF(Table1[[#This Row],[Is Data Valid]]=TRUE,((Table1[[#This Row],[Birthweight (grams)]]*1.1/Table1[[#This Row],[BW_GA]])-1)/(Backend!$B$4/100*Table1[[#This Row],[BW40_3705]]),"")</f>
        <v/>
      </c>
      <c r="J9781" s="7" t="str">
        <f>IF(Table1[[#This Row],[Is Data Valid]]=TRUE,_xlfn.NORM.S.DIST(Table1[[#This Row],[Birthweight Z-Score]],TRUE)*100,"")</f>
        <v/>
      </c>
      <c r="K9781" s="7" t="str">
        <f>IF(Table1[[#This Row],[Is Data Valid]]=TRUE,_xlfn.NORM.S.DIST(Table1[[#This Row],[Birthweight Z-Score (BW-10%)]],TRUE)*100,"")</f>
        <v/>
      </c>
      <c r="L9781" s="7" t="str">
        <f>IF(Table1[[#This Row],[Is Data Valid]]=TRUE,_xlfn.NORM.S.DIST(Table1[[#This Row],[Birthweight Z-Score (BW+10%)]],TRUE)*100,"")</f>
        <v/>
      </c>
    </row>
    <row r="9782" spans="1:12" x14ac:dyDescent="0.35">
      <c r="A9782" s="3"/>
      <c r="B9782" s="2"/>
      <c r="C9782" s="2"/>
      <c r="D9782" s="2" t="b">
        <f>IF(AND(NOT(ISBLANK(Table1[[#This Row],[Fetal Sex (Male, Female or Unknown)]])),ISNUMBER(Table1[[#This Row],[Birthweight (grams)]]),ISNUMBER(Table1[[#This Row],[Gestation (days)]])),TRUE,FALSE)</f>
        <v>0</v>
      </c>
      <c r="E9782" s="2" t="str">
        <f>IF(Table1[[#This Row],[Is Data Valid]]=TRUE,IF(Table1[[#This Row],[Fetal Sex (Male, Female or Unknown)]]="Male",Backend!$C$6,IF(Table1[[#This Row],[Fetal Sex (Male, Female or Unknown)]]="Female",Backend!$C$7,IF(Table1[[#This Row],[Fetal Sex (Male, Female or Unknown)]]="Unknown",Backend!$C$8,"Error"))),"")</f>
        <v/>
      </c>
      <c r="F9782" s="8" t="str">
        <f>IF(Table1[[#This Row],[Is Data Valid]]=TRUE,EXP(0.578+0.332*((Table1[[#This Row],[Gestation (days)]]+0.5)/7)-0.00354*((Table1[[#This Row],[Gestation (days)]]+0.5)/7)^2)*Table1[[#This Row],[BW40_3705]],"")</f>
        <v/>
      </c>
      <c r="G9782" s="2" t="str">
        <f>IF(Table1[[#This Row],[Is Data Valid]]=TRUE,((Table1[[#This Row],[Birthweight (grams)]]/Table1[[#This Row],[BW_GA]])-1)/(Backend!$B$4/100*Table1[[#This Row],[BW40_3705]]),"")</f>
        <v/>
      </c>
      <c r="H9782" s="7" t="str">
        <f>IF(Table1[[#This Row],[Is Data Valid]]=TRUE,((Table1[[#This Row],[Birthweight (grams)]]*0.9/Table1[[#This Row],[BW_GA]])-1)/(Backend!$B$4/100*Table1[[#This Row],[BW40_3705]]),"")</f>
        <v/>
      </c>
      <c r="I9782" s="7" t="str">
        <f>IF(Table1[[#This Row],[Is Data Valid]]=TRUE,((Table1[[#This Row],[Birthweight (grams)]]*1.1/Table1[[#This Row],[BW_GA]])-1)/(Backend!$B$4/100*Table1[[#This Row],[BW40_3705]]),"")</f>
        <v/>
      </c>
      <c r="J9782" s="7" t="str">
        <f>IF(Table1[[#This Row],[Is Data Valid]]=TRUE,_xlfn.NORM.S.DIST(Table1[[#This Row],[Birthweight Z-Score]],TRUE)*100,"")</f>
        <v/>
      </c>
      <c r="K9782" s="7" t="str">
        <f>IF(Table1[[#This Row],[Is Data Valid]]=TRUE,_xlfn.NORM.S.DIST(Table1[[#This Row],[Birthweight Z-Score (BW-10%)]],TRUE)*100,"")</f>
        <v/>
      </c>
      <c r="L9782" s="7" t="str">
        <f>IF(Table1[[#This Row],[Is Data Valid]]=TRUE,_xlfn.NORM.S.DIST(Table1[[#This Row],[Birthweight Z-Score (BW+10%)]],TRUE)*100,"")</f>
        <v/>
      </c>
    </row>
    <row r="9783" spans="1:12" x14ac:dyDescent="0.35">
      <c r="A9783" s="3"/>
      <c r="B9783" s="2"/>
      <c r="C9783" s="2"/>
      <c r="D9783" s="2" t="b">
        <f>IF(AND(NOT(ISBLANK(Table1[[#This Row],[Fetal Sex (Male, Female or Unknown)]])),ISNUMBER(Table1[[#This Row],[Birthweight (grams)]]),ISNUMBER(Table1[[#This Row],[Gestation (days)]])),TRUE,FALSE)</f>
        <v>0</v>
      </c>
      <c r="E9783" s="2" t="str">
        <f>IF(Table1[[#This Row],[Is Data Valid]]=TRUE,IF(Table1[[#This Row],[Fetal Sex (Male, Female or Unknown)]]="Male",Backend!$C$6,IF(Table1[[#This Row],[Fetal Sex (Male, Female or Unknown)]]="Female",Backend!$C$7,IF(Table1[[#This Row],[Fetal Sex (Male, Female or Unknown)]]="Unknown",Backend!$C$8,"Error"))),"")</f>
        <v/>
      </c>
      <c r="F9783" s="8" t="str">
        <f>IF(Table1[[#This Row],[Is Data Valid]]=TRUE,EXP(0.578+0.332*((Table1[[#This Row],[Gestation (days)]]+0.5)/7)-0.00354*((Table1[[#This Row],[Gestation (days)]]+0.5)/7)^2)*Table1[[#This Row],[BW40_3705]],"")</f>
        <v/>
      </c>
      <c r="G9783" s="2" t="str">
        <f>IF(Table1[[#This Row],[Is Data Valid]]=TRUE,((Table1[[#This Row],[Birthweight (grams)]]/Table1[[#This Row],[BW_GA]])-1)/(Backend!$B$4/100*Table1[[#This Row],[BW40_3705]]),"")</f>
        <v/>
      </c>
      <c r="H9783" s="7" t="str">
        <f>IF(Table1[[#This Row],[Is Data Valid]]=TRUE,((Table1[[#This Row],[Birthweight (grams)]]*0.9/Table1[[#This Row],[BW_GA]])-1)/(Backend!$B$4/100*Table1[[#This Row],[BW40_3705]]),"")</f>
        <v/>
      </c>
      <c r="I9783" s="7" t="str">
        <f>IF(Table1[[#This Row],[Is Data Valid]]=TRUE,((Table1[[#This Row],[Birthweight (grams)]]*1.1/Table1[[#This Row],[BW_GA]])-1)/(Backend!$B$4/100*Table1[[#This Row],[BW40_3705]]),"")</f>
        <v/>
      </c>
      <c r="J9783" s="7" t="str">
        <f>IF(Table1[[#This Row],[Is Data Valid]]=TRUE,_xlfn.NORM.S.DIST(Table1[[#This Row],[Birthweight Z-Score]],TRUE)*100,"")</f>
        <v/>
      </c>
      <c r="K9783" s="7" t="str">
        <f>IF(Table1[[#This Row],[Is Data Valid]]=TRUE,_xlfn.NORM.S.DIST(Table1[[#This Row],[Birthweight Z-Score (BW-10%)]],TRUE)*100,"")</f>
        <v/>
      </c>
      <c r="L9783" s="7" t="str">
        <f>IF(Table1[[#This Row],[Is Data Valid]]=TRUE,_xlfn.NORM.S.DIST(Table1[[#This Row],[Birthweight Z-Score (BW+10%)]],TRUE)*100,"")</f>
        <v/>
      </c>
    </row>
    <row r="9784" spans="1:12" x14ac:dyDescent="0.35">
      <c r="A9784" s="3"/>
      <c r="B9784" s="2"/>
      <c r="C9784" s="2"/>
      <c r="D9784" s="2" t="b">
        <f>IF(AND(NOT(ISBLANK(Table1[[#This Row],[Fetal Sex (Male, Female or Unknown)]])),ISNUMBER(Table1[[#This Row],[Birthweight (grams)]]),ISNUMBER(Table1[[#This Row],[Gestation (days)]])),TRUE,FALSE)</f>
        <v>0</v>
      </c>
      <c r="E9784" s="2" t="str">
        <f>IF(Table1[[#This Row],[Is Data Valid]]=TRUE,IF(Table1[[#This Row],[Fetal Sex (Male, Female or Unknown)]]="Male",Backend!$C$6,IF(Table1[[#This Row],[Fetal Sex (Male, Female or Unknown)]]="Female",Backend!$C$7,IF(Table1[[#This Row],[Fetal Sex (Male, Female or Unknown)]]="Unknown",Backend!$C$8,"Error"))),"")</f>
        <v/>
      </c>
      <c r="F9784" s="8" t="str">
        <f>IF(Table1[[#This Row],[Is Data Valid]]=TRUE,EXP(0.578+0.332*((Table1[[#This Row],[Gestation (days)]]+0.5)/7)-0.00354*((Table1[[#This Row],[Gestation (days)]]+0.5)/7)^2)*Table1[[#This Row],[BW40_3705]],"")</f>
        <v/>
      </c>
      <c r="G9784" s="2" t="str">
        <f>IF(Table1[[#This Row],[Is Data Valid]]=TRUE,((Table1[[#This Row],[Birthweight (grams)]]/Table1[[#This Row],[BW_GA]])-1)/(Backend!$B$4/100*Table1[[#This Row],[BW40_3705]]),"")</f>
        <v/>
      </c>
      <c r="H9784" s="7" t="str">
        <f>IF(Table1[[#This Row],[Is Data Valid]]=TRUE,((Table1[[#This Row],[Birthweight (grams)]]*0.9/Table1[[#This Row],[BW_GA]])-1)/(Backend!$B$4/100*Table1[[#This Row],[BW40_3705]]),"")</f>
        <v/>
      </c>
      <c r="I9784" s="7" t="str">
        <f>IF(Table1[[#This Row],[Is Data Valid]]=TRUE,((Table1[[#This Row],[Birthweight (grams)]]*1.1/Table1[[#This Row],[BW_GA]])-1)/(Backend!$B$4/100*Table1[[#This Row],[BW40_3705]]),"")</f>
        <v/>
      </c>
      <c r="J9784" s="7" t="str">
        <f>IF(Table1[[#This Row],[Is Data Valid]]=TRUE,_xlfn.NORM.S.DIST(Table1[[#This Row],[Birthweight Z-Score]],TRUE)*100,"")</f>
        <v/>
      </c>
      <c r="K9784" s="7" t="str">
        <f>IF(Table1[[#This Row],[Is Data Valid]]=TRUE,_xlfn.NORM.S.DIST(Table1[[#This Row],[Birthweight Z-Score (BW-10%)]],TRUE)*100,"")</f>
        <v/>
      </c>
      <c r="L9784" s="7" t="str">
        <f>IF(Table1[[#This Row],[Is Data Valid]]=TRUE,_xlfn.NORM.S.DIST(Table1[[#This Row],[Birthweight Z-Score (BW+10%)]],TRUE)*100,"")</f>
        <v/>
      </c>
    </row>
    <row r="9785" spans="1:12" x14ac:dyDescent="0.35">
      <c r="A9785" s="3"/>
      <c r="B9785" s="2"/>
      <c r="C9785" s="2"/>
      <c r="D9785" s="2" t="b">
        <f>IF(AND(NOT(ISBLANK(Table1[[#This Row],[Fetal Sex (Male, Female or Unknown)]])),ISNUMBER(Table1[[#This Row],[Birthweight (grams)]]),ISNUMBER(Table1[[#This Row],[Gestation (days)]])),TRUE,FALSE)</f>
        <v>0</v>
      </c>
      <c r="E9785" s="2" t="str">
        <f>IF(Table1[[#This Row],[Is Data Valid]]=TRUE,IF(Table1[[#This Row],[Fetal Sex (Male, Female or Unknown)]]="Male",Backend!$C$6,IF(Table1[[#This Row],[Fetal Sex (Male, Female or Unknown)]]="Female",Backend!$C$7,IF(Table1[[#This Row],[Fetal Sex (Male, Female or Unknown)]]="Unknown",Backend!$C$8,"Error"))),"")</f>
        <v/>
      </c>
      <c r="F9785" s="8" t="str">
        <f>IF(Table1[[#This Row],[Is Data Valid]]=TRUE,EXP(0.578+0.332*((Table1[[#This Row],[Gestation (days)]]+0.5)/7)-0.00354*((Table1[[#This Row],[Gestation (days)]]+0.5)/7)^2)*Table1[[#This Row],[BW40_3705]],"")</f>
        <v/>
      </c>
      <c r="G9785" s="2" t="str">
        <f>IF(Table1[[#This Row],[Is Data Valid]]=TRUE,((Table1[[#This Row],[Birthweight (grams)]]/Table1[[#This Row],[BW_GA]])-1)/(Backend!$B$4/100*Table1[[#This Row],[BW40_3705]]),"")</f>
        <v/>
      </c>
      <c r="H9785" s="7" t="str">
        <f>IF(Table1[[#This Row],[Is Data Valid]]=TRUE,((Table1[[#This Row],[Birthweight (grams)]]*0.9/Table1[[#This Row],[BW_GA]])-1)/(Backend!$B$4/100*Table1[[#This Row],[BW40_3705]]),"")</f>
        <v/>
      </c>
      <c r="I9785" s="7" t="str">
        <f>IF(Table1[[#This Row],[Is Data Valid]]=TRUE,((Table1[[#This Row],[Birthweight (grams)]]*1.1/Table1[[#This Row],[BW_GA]])-1)/(Backend!$B$4/100*Table1[[#This Row],[BW40_3705]]),"")</f>
        <v/>
      </c>
      <c r="J9785" s="7" t="str">
        <f>IF(Table1[[#This Row],[Is Data Valid]]=TRUE,_xlfn.NORM.S.DIST(Table1[[#This Row],[Birthweight Z-Score]],TRUE)*100,"")</f>
        <v/>
      </c>
      <c r="K9785" s="7" t="str">
        <f>IF(Table1[[#This Row],[Is Data Valid]]=TRUE,_xlfn.NORM.S.DIST(Table1[[#This Row],[Birthweight Z-Score (BW-10%)]],TRUE)*100,"")</f>
        <v/>
      </c>
      <c r="L9785" s="7" t="str">
        <f>IF(Table1[[#This Row],[Is Data Valid]]=TRUE,_xlfn.NORM.S.DIST(Table1[[#This Row],[Birthweight Z-Score (BW+10%)]],TRUE)*100,"")</f>
        <v/>
      </c>
    </row>
    <row r="9786" spans="1:12" x14ac:dyDescent="0.35">
      <c r="A9786" s="3"/>
      <c r="B9786" s="2"/>
      <c r="C9786" s="2"/>
      <c r="D9786" s="2" t="b">
        <f>IF(AND(NOT(ISBLANK(Table1[[#This Row],[Fetal Sex (Male, Female or Unknown)]])),ISNUMBER(Table1[[#This Row],[Birthweight (grams)]]),ISNUMBER(Table1[[#This Row],[Gestation (days)]])),TRUE,FALSE)</f>
        <v>0</v>
      </c>
      <c r="E9786" s="2" t="str">
        <f>IF(Table1[[#This Row],[Is Data Valid]]=TRUE,IF(Table1[[#This Row],[Fetal Sex (Male, Female or Unknown)]]="Male",Backend!$C$6,IF(Table1[[#This Row],[Fetal Sex (Male, Female or Unknown)]]="Female",Backend!$C$7,IF(Table1[[#This Row],[Fetal Sex (Male, Female or Unknown)]]="Unknown",Backend!$C$8,"Error"))),"")</f>
        <v/>
      </c>
      <c r="F9786" s="8" t="str">
        <f>IF(Table1[[#This Row],[Is Data Valid]]=TRUE,EXP(0.578+0.332*((Table1[[#This Row],[Gestation (days)]]+0.5)/7)-0.00354*((Table1[[#This Row],[Gestation (days)]]+0.5)/7)^2)*Table1[[#This Row],[BW40_3705]],"")</f>
        <v/>
      </c>
      <c r="G9786" s="2" t="str">
        <f>IF(Table1[[#This Row],[Is Data Valid]]=TRUE,((Table1[[#This Row],[Birthweight (grams)]]/Table1[[#This Row],[BW_GA]])-1)/(Backend!$B$4/100*Table1[[#This Row],[BW40_3705]]),"")</f>
        <v/>
      </c>
      <c r="H9786" s="7" t="str">
        <f>IF(Table1[[#This Row],[Is Data Valid]]=TRUE,((Table1[[#This Row],[Birthweight (grams)]]*0.9/Table1[[#This Row],[BW_GA]])-1)/(Backend!$B$4/100*Table1[[#This Row],[BW40_3705]]),"")</f>
        <v/>
      </c>
      <c r="I9786" s="7" t="str">
        <f>IF(Table1[[#This Row],[Is Data Valid]]=TRUE,((Table1[[#This Row],[Birthweight (grams)]]*1.1/Table1[[#This Row],[BW_GA]])-1)/(Backend!$B$4/100*Table1[[#This Row],[BW40_3705]]),"")</f>
        <v/>
      </c>
      <c r="J9786" s="7" t="str">
        <f>IF(Table1[[#This Row],[Is Data Valid]]=TRUE,_xlfn.NORM.S.DIST(Table1[[#This Row],[Birthweight Z-Score]],TRUE)*100,"")</f>
        <v/>
      </c>
      <c r="K9786" s="7" t="str">
        <f>IF(Table1[[#This Row],[Is Data Valid]]=TRUE,_xlfn.NORM.S.DIST(Table1[[#This Row],[Birthweight Z-Score (BW-10%)]],TRUE)*100,"")</f>
        <v/>
      </c>
      <c r="L9786" s="7" t="str">
        <f>IF(Table1[[#This Row],[Is Data Valid]]=TRUE,_xlfn.NORM.S.DIST(Table1[[#This Row],[Birthweight Z-Score (BW+10%)]],TRUE)*100,"")</f>
        <v/>
      </c>
    </row>
    <row r="9787" spans="1:12" x14ac:dyDescent="0.35">
      <c r="A9787" s="3"/>
      <c r="B9787" s="2"/>
      <c r="C9787" s="2"/>
      <c r="D9787" s="2" t="b">
        <f>IF(AND(NOT(ISBLANK(Table1[[#This Row],[Fetal Sex (Male, Female or Unknown)]])),ISNUMBER(Table1[[#This Row],[Birthweight (grams)]]),ISNUMBER(Table1[[#This Row],[Gestation (days)]])),TRUE,FALSE)</f>
        <v>0</v>
      </c>
      <c r="E9787" s="2" t="str">
        <f>IF(Table1[[#This Row],[Is Data Valid]]=TRUE,IF(Table1[[#This Row],[Fetal Sex (Male, Female or Unknown)]]="Male",Backend!$C$6,IF(Table1[[#This Row],[Fetal Sex (Male, Female or Unknown)]]="Female",Backend!$C$7,IF(Table1[[#This Row],[Fetal Sex (Male, Female or Unknown)]]="Unknown",Backend!$C$8,"Error"))),"")</f>
        <v/>
      </c>
      <c r="F9787" s="8" t="str">
        <f>IF(Table1[[#This Row],[Is Data Valid]]=TRUE,EXP(0.578+0.332*((Table1[[#This Row],[Gestation (days)]]+0.5)/7)-0.00354*((Table1[[#This Row],[Gestation (days)]]+0.5)/7)^2)*Table1[[#This Row],[BW40_3705]],"")</f>
        <v/>
      </c>
      <c r="G9787" s="2" t="str">
        <f>IF(Table1[[#This Row],[Is Data Valid]]=TRUE,((Table1[[#This Row],[Birthweight (grams)]]/Table1[[#This Row],[BW_GA]])-1)/(Backend!$B$4/100*Table1[[#This Row],[BW40_3705]]),"")</f>
        <v/>
      </c>
      <c r="H9787" s="7" t="str">
        <f>IF(Table1[[#This Row],[Is Data Valid]]=TRUE,((Table1[[#This Row],[Birthweight (grams)]]*0.9/Table1[[#This Row],[BW_GA]])-1)/(Backend!$B$4/100*Table1[[#This Row],[BW40_3705]]),"")</f>
        <v/>
      </c>
      <c r="I9787" s="7" t="str">
        <f>IF(Table1[[#This Row],[Is Data Valid]]=TRUE,((Table1[[#This Row],[Birthweight (grams)]]*1.1/Table1[[#This Row],[BW_GA]])-1)/(Backend!$B$4/100*Table1[[#This Row],[BW40_3705]]),"")</f>
        <v/>
      </c>
      <c r="J9787" s="7" t="str">
        <f>IF(Table1[[#This Row],[Is Data Valid]]=TRUE,_xlfn.NORM.S.DIST(Table1[[#This Row],[Birthweight Z-Score]],TRUE)*100,"")</f>
        <v/>
      </c>
      <c r="K9787" s="7" t="str">
        <f>IF(Table1[[#This Row],[Is Data Valid]]=TRUE,_xlfn.NORM.S.DIST(Table1[[#This Row],[Birthweight Z-Score (BW-10%)]],TRUE)*100,"")</f>
        <v/>
      </c>
      <c r="L9787" s="7" t="str">
        <f>IF(Table1[[#This Row],[Is Data Valid]]=TRUE,_xlfn.NORM.S.DIST(Table1[[#This Row],[Birthweight Z-Score (BW+10%)]],TRUE)*100,"")</f>
        <v/>
      </c>
    </row>
    <row r="9788" spans="1:12" x14ac:dyDescent="0.35">
      <c r="A9788" s="3"/>
      <c r="B9788" s="2"/>
      <c r="C9788" s="2"/>
      <c r="D9788" s="2" t="b">
        <f>IF(AND(NOT(ISBLANK(Table1[[#This Row],[Fetal Sex (Male, Female or Unknown)]])),ISNUMBER(Table1[[#This Row],[Birthweight (grams)]]),ISNUMBER(Table1[[#This Row],[Gestation (days)]])),TRUE,FALSE)</f>
        <v>0</v>
      </c>
      <c r="E9788" s="2" t="str">
        <f>IF(Table1[[#This Row],[Is Data Valid]]=TRUE,IF(Table1[[#This Row],[Fetal Sex (Male, Female or Unknown)]]="Male",Backend!$C$6,IF(Table1[[#This Row],[Fetal Sex (Male, Female or Unknown)]]="Female",Backend!$C$7,IF(Table1[[#This Row],[Fetal Sex (Male, Female or Unknown)]]="Unknown",Backend!$C$8,"Error"))),"")</f>
        <v/>
      </c>
      <c r="F9788" s="8" t="str">
        <f>IF(Table1[[#This Row],[Is Data Valid]]=TRUE,EXP(0.578+0.332*((Table1[[#This Row],[Gestation (days)]]+0.5)/7)-0.00354*((Table1[[#This Row],[Gestation (days)]]+0.5)/7)^2)*Table1[[#This Row],[BW40_3705]],"")</f>
        <v/>
      </c>
      <c r="G9788" s="2" t="str">
        <f>IF(Table1[[#This Row],[Is Data Valid]]=TRUE,((Table1[[#This Row],[Birthweight (grams)]]/Table1[[#This Row],[BW_GA]])-1)/(Backend!$B$4/100*Table1[[#This Row],[BW40_3705]]),"")</f>
        <v/>
      </c>
      <c r="H9788" s="7" t="str">
        <f>IF(Table1[[#This Row],[Is Data Valid]]=TRUE,((Table1[[#This Row],[Birthweight (grams)]]*0.9/Table1[[#This Row],[BW_GA]])-1)/(Backend!$B$4/100*Table1[[#This Row],[BW40_3705]]),"")</f>
        <v/>
      </c>
      <c r="I9788" s="7" t="str">
        <f>IF(Table1[[#This Row],[Is Data Valid]]=TRUE,((Table1[[#This Row],[Birthweight (grams)]]*1.1/Table1[[#This Row],[BW_GA]])-1)/(Backend!$B$4/100*Table1[[#This Row],[BW40_3705]]),"")</f>
        <v/>
      </c>
      <c r="J9788" s="7" t="str">
        <f>IF(Table1[[#This Row],[Is Data Valid]]=TRUE,_xlfn.NORM.S.DIST(Table1[[#This Row],[Birthweight Z-Score]],TRUE)*100,"")</f>
        <v/>
      </c>
      <c r="K9788" s="7" t="str">
        <f>IF(Table1[[#This Row],[Is Data Valid]]=TRUE,_xlfn.NORM.S.DIST(Table1[[#This Row],[Birthweight Z-Score (BW-10%)]],TRUE)*100,"")</f>
        <v/>
      </c>
      <c r="L9788" s="7" t="str">
        <f>IF(Table1[[#This Row],[Is Data Valid]]=TRUE,_xlfn.NORM.S.DIST(Table1[[#This Row],[Birthweight Z-Score (BW+10%)]],TRUE)*100,"")</f>
        <v/>
      </c>
    </row>
    <row r="9789" spans="1:12" x14ac:dyDescent="0.35">
      <c r="A9789" s="3"/>
      <c r="B9789" s="2"/>
      <c r="C9789" s="2"/>
      <c r="D9789" s="2" t="b">
        <f>IF(AND(NOT(ISBLANK(Table1[[#This Row],[Fetal Sex (Male, Female or Unknown)]])),ISNUMBER(Table1[[#This Row],[Birthweight (grams)]]),ISNUMBER(Table1[[#This Row],[Gestation (days)]])),TRUE,FALSE)</f>
        <v>0</v>
      </c>
      <c r="E9789" s="2" t="str">
        <f>IF(Table1[[#This Row],[Is Data Valid]]=TRUE,IF(Table1[[#This Row],[Fetal Sex (Male, Female or Unknown)]]="Male",Backend!$C$6,IF(Table1[[#This Row],[Fetal Sex (Male, Female or Unknown)]]="Female",Backend!$C$7,IF(Table1[[#This Row],[Fetal Sex (Male, Female or Unknown)]]="Unknown",Backend!$C$8,"Error"))),"")</f>
        <v/>
      </c>
      <c r="F9789" s="8" t="str">
        <f>IF(Table1[[#This Row],[Is Data Valid]]=TRUE,EXP(0.578+0.332*((Table1[[#This Row],[Gestation (days)]]+0.5)/7)-0.00354*((Table1[[#This Row],[Gestation (days)]]+0.5)/7)^2)*Table1[[#This Row],[BW40_3705]],"")</f>
        <v/>
      </c>
      <c r="G9789" s="2" t="str">
        <f>IF(Table1[[#This Row],[Is Data Valid]]=TRUE,((Table1[[#This Row],[Birthweight (grams)]]/Table1[[#This Row],[BW_GA]])-1)/(Backend!$B$4/100*Table1[[#This Row],[BW40_3705]]),"")</f>
        <v/>
      </c>
      <c r="H9789" s="7" t="str">
        <f>IF(Table1[[#This Row],[Is Data Valid]]=TRUE,((Table1[[#This Row],[Birthweight (grams)]]*0.9/Table1[[#This Row],[BW_GA]])-1)/(Backend!$B$4/100*Table1[[#This Row],[BW40_3705]]),"")</f>
        <v/>
      </c>
      <c r="I9789" s="7" t="str">
        <f>IF(Table1[[#This Row],[Is Data Valid]]=TRUE,((Table1[[#This Row],[Birthweight (grams)]]*1.1/Table1[[#This Row],[BW_GA]])-1)/(Backend!$B$4/100*Table1[[#This Row],[BW40_3705]]),"")</f>
        <v/>
      </c>
      <c r="J9789" s="7" t="str">
        <f>IF(Table1[[#This Row],[Is Data Valid]]=TRUE,_xlfn.NORM.S.DIST(Table1[[#This Row],[Birthweight Z-Score]],TRUE)*100,"")</f>
        <v/>
      </c>
      <c r="K9789" s="7" t="str">
        <f>IF(Table1[[#This Row],[Is Data Valid]]=TRUE,_xlfn.NORM.S.DIST(Table1[[#This Row],[Birthweight Z-Score (BW-10%)]],TRUE)*100,"")</f>
        <v/>
      </c>
      <c r="L9789" s="7" t="str">
        <f>IF(Table1[[#This Row],[Is Data Valid]]=TRUE,_xlfn.NORM.S.DIST(Table1[[#This Row],[Birthweight Z-Score (BW+10%)]],TRUE)*100,"")</f>
        <v/>
      </c>
    </row>
    <row r="9790" spans="1:12" x14ac:dyDescent="0.35">
      <c r="A9790" s="3"/>
      <c r="B9790" s="2"/>
      <c r="C9790" s="2"/>
      <c r="D9790" s="2" t="b">
        <f>IF(AND(NOT(ISBLANK(Table1[[#This Row],[Fetal Sex (Male, Female or Unknown)]])),ISNUMBER(Table1[[#This Row],[Birthweight (grams)]]),ISNUMBER(Table1[[#This Row],[Gestation (days)]])),TRUE,FALSE)</f>
        <v>0</v>
      </c>
      <c r="E9790" s="2" t="str">
        <f>IF(Table1[[#This Row],[Is Data Valid]]=TRUE,IF(Table1[[#This Row],[Fetal Sex (Male, Female or Unknown)]]="Male",Backend!$C$6,IF(Table1[[#This Row],[Fetal Sex (Male, Female or Unknown)]]="Female",Backend!$C$7,IF(Table1[[#This Row],[Fetal Sex (Male, Female or Unknown)]]="Unknown",Backend!$C$8,"Error"))),"")</f>
        <v/>
      </c>
      <c r="F9790" s="8" t="str">
        <f>IF(Table1[[#This Row],[Is Data Valid]]=TRUE,EXP(0.578+0.332*((Table1[[#This Row],[Gestation (days)]]+0.5)/7)-0.00354*((Table1[[#This Row],[Gestation (days)]]+0.5)/7)^2)*Table1[[#This Row],[BW40_3705]],"")</f>
        <v/>
      </c>
      <c r="G9790" s="2" t="str">
        <f>IF(Table1[[#This Row],[Is Data Valid]]=TRUE,((Table1[[#This Row],[Birthweight (grams)]]/Table1[[#This Row],[BW_GA]])-1)/(Backend!$B$4/100*Table1[[#This Row],[BW40_3705]]),"")</f>
        <v/>
      </c>
      <c r="H9790" s="7" t="str">
        <f>IF(Table1[[#This Row],[Is Data Valid]]=TRUE,((Table1[[#This Row],[Birthweight (grams)]]*0.9/Table1[[#This Row],[BW_GA]])-1)/(Backend!$B$4/100*Table1[[#This Row],[BW40_3705]]),"")</f>
        <v/>
      </c>
      <c r="I9790" s="7" t="str">
        <f>IF(Table1[[#This Row],[Is Data Valid]]=TRUE,((Table1[[#This Row],[Birthweight (grams)]]*1.1/Table1[[#This Row],[BW_GA]])-1)/(Backend!$B$4/100*Table1[[#This Row],[BW40_3705]]),"")</f>
        <v/>
      </c>
      <c r="J9790" s="7" t="str">
        <f>IF(Table1[[#This Row],[Is Data Valid]]=TRUE,_xlfn.NORM.S.DIST(Table1[[#This Row],[Birthweight Z-Score]],TRUE)*100,"")</f>
        <v/>
      </c>
      <c r="K9790" s="7" t="str">
        <f>IF(Table1[[#This Row],[Is Data Valid]]=TRUE,_xlfn.NORM.S.DIST(Table1[[#This Row],[Birthweight Z-Score (BW-10%)]],TRUE)*100,"")</f>
        <v/>
      </c>
      <c r="L9790" s="7" t="str">
        <f>IF(Table1[[#This Row],[Is Data Valid]]=TRUE,_xlfn.NORM.S.DIST(Table1[[#This Row],[Birthweight Z-Score (BW+10%)]],TRUE)*100,"")</f>
        <v/>
      </c>
    </row>
    <row r="9791" spans="1:12" x14ac:dyDescent="0.35">
      <c r="A9791" s="3"/>
      <c r="B9791" s="2"/>
      <c r="C9791" s="2"/>
      <c r="D9791" s="2" t="b">
        <f>IF(AND(NOT(ISBLANK(Table1[[#This Row],[Fetal Sex (Male, Female or Unknown)]])),ISNUMBER(Table1[[#This Row],[Birthweight (grams)]]),ISNUMBER(Table1[[#This Row],[Gestation (days)]])),TRUE,FALSE)</f>
        <v>0</v>
      </c>
      <c r="E9791" s="2" t="str">
        <f>IF(Table1[[#This Row],[Is Data Valid]]=TRUE,IF(Table1[[#This Row],[Fetal Sex (Male, Female or Unknown)]]="Male",Backend!$C$6,IF(Table1[[#This Row],[Fetal Sex (Male, Female or Unknown)]]="Female",Backend!$C$7,IF(Table1[[#This Row],[Fetal Sex (Male, Female or Unknown)]]="Unknown",Backend!$C$8,"Error"))),"")</f>
        <v/>
      </c>
      <c r="F9791" s="8" t="str">
        <f>IF(Table1[[#This Row],[Is Data Valid]]=TRUE,EXP(0.578+0.332*((Table1[[#This Row],[Gestation (days)]]+0.5)/7)-0.00354*((Table1[[#This Row],[Gestation (days)]]+0.5)/7)^2)*Table1[[#This Row],[BW40_3705]],"")</f>
        <v/>
      </c>
      <c r="G9791" s="2" t="str">
        <f>IF(Table1[[#This Row],[Is Data Valid]]=TRUE,((Table1[[#This Row],[Birthweight (grams)]]/Table1[[#This Row],[BW_GA]])-1)/(Backend!$B$4/100*Table1[[#This Row],[BW40_3705]]),"")</f>
        <v/>
      </c>
      <c r="H9791" s="7" t="str">
        <f>IF(Table1[[#This Row],[Is Data Valid]]=TRUE,((Table1[[#This Row],[Birthweight (grams)]]*0.9/Table1[[#This Row],[BW_GA]])-1)/(Backend!$B$4/100*Table1[[#This Row],[BW40_3705]]),"")</f>
        <v/>
      </c>
      <c r="I9791" s="7" t="str">
        <f>IF(Table1[[#This Row],[Is Data Valid]]=TRUE,((Table1[[#This Row],[Birthweight (grams)]]*1.1/Table1[[#This Row],[BW_GA]])-1)/(Backend!$B$4/100*Table1[[#This Row],[BW40_3705]]),"")</f>
        <v/>
      </c>
      <c r="J9791" s="7" t="str">
        <f>IF(Table1[[#This Row],[Is Data Valid]]=TRUE,_xlfn.NORM.S.DIST(Table1[[#This Row],[Birthweight Z-Score]],TRUE)*100,"")</f>
        <v/>
      </c>
      <c r="K9791" s="7" t="str">
        <f>IF(Table1[[#This Row],[Is Data Valid]]=TRUE,_xlfn.NORM.S.DIST(Table1[[#This Row],[Birthweight Z-Score (BW-10%)]],TRUE)*100,"")</f>
        <v/>
      </c>
      <c r="L9791" s="7" t="str">
        <f>IF(Table1[[#This Row],[Is Data Valid]]=TRUE,_xlfn.NORM.S.DIST(Table1[[#This Row],[Birthweight Z-Score (BW+10%)]],TRUE)*100,"")</f>
        <v/>
      </c>
    </row>
    <row r="9792" spans="1:12" x14ac:dyDescent="0.35">
      <c r="A9792" s="3"/>
      <c r="B9792" s="2"/>
      <c r="C9792" s="2"/>
      <c r="D9792" s="2" t="b">
        <f>IF(AND(NOT(ISBLANK(Table1[[#This Row],[Fetal Sex (Male, Female or Unknown)]])),ISNUMBER(Table1[[#This Row],[Birthweight (grams)]]),ISNUMBER(Table1[[#This Row],[Gestation (days)]])),TRUE,FALSE)</f>
        <v>0</v>
      </c>
      <c r="E9792" s="2" t="str">
        <f>IF(Table1[[#This Row],[Is Data Valid]]=TRUE,IF(Table1[[#This Row],[Fetal Sex (Male, Female or Unknown)]]="Male",Backend!$C$6,IF(Table1[[#This Row],[Fetal Sex (Male, Female or Unknown)]]="Female",Backend!$C$7,IF(Table1[[#This Row],[Fetal Sex (Male, Female or Unknown)]]="Unknown",Backend!$C$8,"Error"))),"")</f>
        <v/>
      </c>
      <c r="F9792" s="8" t="str">
        <f>IF(Table1[[#This Row],[Is Data Valid]]=TRUE,EXP(0.578+0.332*((Table1[[#This Row],[Gestation (days)]]+0.5)/7)-0.00354*((Table1[[#This Row],[Gestation (days)]]+0.5)/7)^2)*Table1[[#This Row],[BW40_3705]],"")</f>
        <v/>
      </c>
      <c r="G9792" s="2" t="str">
        <f>IF(Table1[[#This Row],[Is Data Valid]]=TRUE,((Table1[[#This Row],[Birthweight (grams)]]/Table1[[#This Row],[BW_GA]])-1)/(Backend!$B$4/100*Table1[[#This Row],[BW40_3705]]),"")</f>
        <v/>
      </c>
      <c r="H9792" s="7" t="str">
        <f>IF(Table1[[#This Row],[Is Data Valid]]=TRUE,((Table1[[#This Row],[Birthweight (grams)]]*0.9/Table1[[#This Row],[BW_GA]])-1)/(Backend!$B$4/100*Table1[[#This Row],[BW40_3705]]),"")</f>
        <v/>
      </c>
      <c r="I9792" s="7" t="str">
        <f>IF(Table1[[#This Row],[Is Data Valid]]=TRUE,((Table1[[#This Row],[Birthweight (grams)]]*1.1/Table1[[#This Row],[BW_GA]])-1)/(Backend!$B$4/100*Table1[[#This Row],[BW40_3705]]),"")</f>
        <v/>
      </c>
      <c r="J9792" s="7" t="str">
        <f>IF(Table1[[#This Row],[Is Data Valid]]=TRUE,_xlfn.NORM.S.DIST(Table1[[#This Row],[Birthweight Z-Score]],TRUE)*100,"")</f>
        <v/>
      </c>
      <c r="K9792" s="7" t="str">
        <f>IF(Table1[[#This Row],[Is Data Valid]]=TRUE,_xlfn.NORM.S.DIST(Table1[[#This Row],[Birthweight Z-Score (BW-10%)]],TRUE)*100,"")</f>
        <v/>
      </c>
      <c r="L9792" s="7" t="str">
        <f>IF(Table1[[#This Row],[Is Data Valid]]=TRUE,_xlfn.NORM.S.DIST(Table1[[#This Row],[Birthweight Z-Score (BW+10%)]],TRUE)*100,"")</f>
        <v/>
      </c>
    </row>
    <row r="9793" spans="1:12" x14ac:dyDescent="0.35">
      <c r="A9793" s="3"/>
      <c r="B9793" s="2"/>
      <c r="C9793" s="2"/>
      <c r="D9793" s="2" t="b">
        <f>IF(AND(NOT(ISBLANK(Table1[[#This Row],[Fetal Sex (Male, Female or Unknown)]])),ISNUMBER(Table1[[#This Row],[Birthweight (grams)]]),ISNUMBER(Table1[[#This Row],[Gestation (days)]])),TRUE,FALSE)</f>
        <v>0</v>
      </c>
      <c r="E9793" s="2" t="str">
        <f>IF(Table1[[#This Row],[Is Data Valid]]=TRUE,IF(Table1[[#This Row],[Fetal Sex (Male, Female or Unknown)]]="Male",Backend!$C$6,IF(Table1[[#This Row],[Fetal Sex (Male, Female or Unknown)]]="Female",Backend!$C$7,IF(Table1[[#This Row],[Fetal Sex (Male, Female or Unknown)]]="Unknown",Backend!$C$8,"Error"))),"")</f>
        <v/>
      </c>
      <c r="F9793" s="8" t="str">
        <f>IF(Table1[[#This Row],[Is Data Valid]]=TRUE,EXP(0.578+0.332*((Table1[[#This Row],[Gestation (days)]]+0.5)/7)-0.00354*((Table1[[#This Row],[Gestation (days)]]+0.5)/7)^2)*Table1[[#This Row],[BW40_3705]],"")</f>
        <v/>
      </c>
      <c r="G9793" s="2" t="str">
        <f>IF(Table1[[#This Row],[Is Data Valid]]=TRUE,((Table1[[#This Row],[Birthweight (grams)]]/Table1[[#This Row],[BW_GA]])-1)/(Backend!$B$4/100*Table1[[#This Row],[BW40_3705]]),"")</f>
        <v/>
      </c>
      <c r="H9793" s="7" t="str">
        <f>IF(Table1[[#This Row],[Is Data Valid]]=TRUE,((Table1[[#This Row],[Birthweight (grams)]]*0.9/Table1[[#This Row],[BW_GA]])-1)/(Backend!$B$4/100*Table1[[#This Row],[BW40_3705]]),"")</f>
        <v/>
      </c>
      <c r="I9793" s="7" t="str">
        <f>IF(Table1[[#This Row],[Is Data Valid]]=TRUE,((Table1[[#This Row],[Birthweight (grams)]]*1.1/Table1[[#This Row],[BW_GA]])-1)/(Backend!$B$4/100*Table1[[#This Row],[BW40_3705]]),"")</f>
        <v/>
      </c>
      <c r="J9793" s="7" t="str">
        <f>IF(Table1[[#This Row],[Is Data Valid]]=TRUE,_xlfn.NORM.S.DIST(Table1[[#This Row],[Birthweight Z-Score]],TRUE)*100,"")</f>
        <v/>
      </c>
      <c r="K9793" s="7" t="str">
        <f>IF(Table1[[#This Row],[Is Data Valid]]=TRUE,_xlfn.NORM.S.DIST(Table1[[#This Row],[Birthweight Z-Score (BW-10%)]],TRUE)*100,"")</f>
        <v/>
      </c>
      <c r="L9793" s="7" t="str">
        <f>IF(Table1[[#This Row],[Is Data Valid]]=TRUE,_xlfn.NORM.S.DIST(Table1[[#This Row],[Birthweight Z-Score (BW+10%)]],TRUE)*100,"")</f>
        <v/>
      </c>
    </row>
    <row r="9794" spans="1:12" x14ac:dyDescent="0.35">
      <c r="A9794" s="3"/>
      <c r="B9794" s="2"/>
      <c r="C9794" s="2"/>
      <c r="D9794" s="2" t="b">
        <f>IF(AND(NOT(ISBLANK(Table1[[#This Row],[Fetal Sex (Male, Female or Unknown)]])),ISNUMBER(Table1[[#This Row],[Birthweight (grams)]]),ISNUMBER(Table1[[#This Row],[Gestation (days)]])),TRUE,FALSE)</f>
        <v>0</v>
      </c>
      <c r="E9794" s="2" t="str">
        <f>IF(Table1[[#This Row],[Is Data Valid]]=TRUE,IF(Table1[[#This Row],[Fetal Sex (Male, Female or Unknown)]]="Male",Backend!$C$6,IF(Table1[[#This Row],[Fetal Sex (Male, Female or Unknown)]]="Female",Backend!$C$7,IF(Table1[[#This Row],[Fetal Sex (Male, Female or Unknown)]]="Unknown",Backend!$C$8,"Error"))),"")</f>
        <v/>
      </c>
      <c r="F9794" s="8" t="str">
        <f>IF(Table1[[#This Row],[Is Data Valid]]=TRUE,EXP(0.578+0.332*((Table1[[#This Row],[Gestation (days)]]+0.5)/7)-0.00354*((Table1[[#This Row],[Gestation (days)]]+0.5)/7)^2)*Table1[[#This Row],[BW40_3705]],"")</f>
        <v/>
      </c>
      <c r="G9794" s="2" t="str">
        <f>IF(Table1[[#This Row],[Is Data Valid]]=TRUE,((Table1[[#This Row],[Birthweight (grams)]]/Table1[[#This Row],[BW_GA]])-1)/(Backend!$B$4/100*Table1[[#This Row],[BW40_3705]]),"")</f>
        <v/>
      </c>
      <c r="H9794" s="7" t="str">
        <f>IF(Table1[[#This Row],[Is Data Valid]]=TRUE,((Table1[[#This Row],[Birthweight (grams)]]*0.9/Table1[[#This Row],[BW_GA]])-1)/(Backend!$B$4/100*Table1[[#This Row],[BW40_3705]]),"")</f>
        <v/>
      </c>
      <c r="I9794" s="7" t="str">
        <f>IF(Table1[[#This Row],[Is Data Valid]]=TRUE,((Table1[[#This Row],[Birthweight (grams)]]*1.1/Table1[[#This Row],[BW_GA]])-1)/(Backend!$B$4/100*Table1[[#This Row],[BW40_3705]]),"")</f>
        <v/>
      </c>
      <c r="J9794" s="7" t="str">
        <f>IF(Table1[[#This Row],[Is Data Valid]]=TRUE,_xlfn.NORM.S.DIST(Table1[[#This Row],[Birthweight Z-Score]],TRUE)*100,"")</f>
        <v/>
      </c>
      <c r="K9794" s="7" t="str">
        <f>IF(Table1[[#This Row],[Is Data Valid]]=TRUE,_xlfn.NORM.S.DIST(Table1[[#This Row],[Birthweight Z-Score (BW-10%)]],TRUE)*100,"")</f>
        <v/>
      </c>
      <c r="L9794" s="7" t="str">
        <f>IF(Table1[[#This Row],[Is Data Valid]]=TRUE,_xlfn.NORM.S.DIST(Table1[[#This Row],[Birthweight Z-Score (BW+10%)]],TRUE)*100,"")</f>
        <v/>
      </c>
    </row>
    <row r="9795" spans="1:12" x14ac:dyDescent="0.35">
      <c r="A9795" s="3"/>
      <c r="B9795" s="2"/>
      <c r="C9795" s="2"/>
      <c r="D9795" s="2" t="b">
        <f>IF(AND(NOT(ISBLANK(Table1[[#This Row],[Fetal Sex (Male, Female or Unknown)]])),ISNUMBER(Table1[[#This Row],[Birthweight (grams)]]),ISNUMBER(Table1[[#This Row],[Gestation (days)]])),TRUE,FALSE)</f>
        <v>0</v>
      </c>
      <c r="E9795" s="2" t="str">
        <f>IF(Table1[[#This Row],[Is Data Valid]]=TRUE,IF(Table1[[#This Row],[Fetal Sex (Male, Female or Unknown)]]="Male",Backend!$C$6,IF(Table1[[#This Row],[Fetal Sex (Male, Female or Unknown)]]="Female",Backend!$C$7,IF(Table1[[#This Row],[Fetal Sex (Male, Female or Unknown)]]="Unknown",Backend!$C$8,"Error"))),"")</f>
        <v/>
      </c>
      <c r="F9795" s="8" t="str">
        <f>IF(Table1[[#This Row],[Is Data Valid]]=TRUE,EXP(0.578+0.332*((Table1[[#This Row],[Gestation (days)]]+0.5)/7)-0.00354*((Table1[[#This Row],[Gestation (days)]]+0.5)/7)^2)*Table1[[#This Row],[BW40_3705]],"")</f>
        <v/>
      </c>
      <c r="G9795" s="2" t="str">
        <f>IF(Table1[[#This Row],[Is Data Valid]]=TRUE,((Table1[[#This Row],[Birthweight (grams)]]/Table1[[#This Row],[BW_GA]])-1)/(Backend!$B$4/100*Table1[[#This Row],[BW40_3705]]),"")</f>
        <v/>
      </c>
      <c r="H9795" s="7" t="str">
        <f>IF(Table1[[#This Row],[Is Data Valid]]=TRUE,((Table1[[#This Row],[Birthweight (grams)]]*0.9/Table1[[#This Row],[BW_GA]])-1)/(Backend!$B$4/100*Table1[[#This Row],[BW40_3705]]),"")</f>
        <v/>
      </c>
      <c r="I9795" s="7" t="str">
        <f>IF(Table1[[#This Row],[Is Data Valid]]=TRUE,((Table1[[#This Row],[Birthweight (grams)]]*1.1/Table1[[#This Row],[BW_GA]])-1)/(Backend!$B$4/100*Table1[[#This Row],[BW40_3705]]),"")</f>
        <v/>
      </c>
      <c r="J9795" s="7" t="str">
        <f>IF(Table1[[#This Row],[Is Data Valid]]=TRUE,_xlfn.NORM.S.DIST(Table1[[#This Row],[Birthweight Z-Score]],TRUE)*100,"")</f>
        <v/>
      </c>
      <c r="K9795" s="7" t="str">
        <f>IF(Table1[[#This Row],[Is Data Valid]]=TRUE,_xlfn.NORM.S.DIST(Table1[[#This Row],[Birthweight Z-Score (BW-10%)]],TRUE)*100,"")</f>
        <v/>
      </c>
      <c r="L9795" s="7" t="str">
        <f>IF(Table1[[#This Row],[Is Data Valid]]=TRUE,_xlfn.NORM.S.DIST(Table1[[#This Row],[Birthweight Z-Score (BW+10%)]],TRUE)*100,"")</f>
        <v/>
      </c>
    </row>
    <row r="9796" spans="1:12" x14ac:dyDescent="0.35">
      <c r="A9796" s="3"/>
      <c r="B9796" s="2"/>
      <c r="C9796" s="2"/>
      <c r="D9796" s="2" t="b">
        <f>IF(AND(NOT(ISBLANK(Table1[[#This Row],[Fetal Sex (Male, Female or Unknown)]])),ISNUMBER(Table1[[#This Row],[Birthweight (grams)]]),ISNUMBER(Table1[[#This Row],[Gestation (days)]])),TRUE,FALSE)</f>
        <v>0</v>
      </c>
      <c r="E9796" s="2" t="str">
        <f>IF(Table1[[#This Row],[Is Data Valid]]=TRUE,IF(Table1[[#This Row],[Fetal Sex (Male, Female or Unknown)]]="Male",Backend!$C$6,IF(Table1[[#This Row],[Fetal Sex (Male, Female or Unknown)]]="Female",Backend!$C$7,IF(Table1[[#This Row],[Fetal Sex (Male, Female or Unknown)]]="Unknown",Backend!$C$8,"Error"))),"")</f>
        <v/>
      </c>
      <c r="F9796" s="8" t="str">
        <f>IF(Table1[[#This Row],[Is Data Valid]]=TRUE,EXP(0.578+0.332*((Table1[[#This Row],[Gestation (days)]]+0.5)/7)-0.00354*((Table1[[#This Row],[Gestation (days)]]+0.5)/7)^2)*Table1[[#This Row],[BW40_3705]],"")</f>
        <v/>
      </c>
      <c r="G9796" s="2" t="str">
        <f>IF(Table1[[#This Row],[Is Data Valid]]=TRUE,((Table1[[#This Row],[Birthweight (grams)]]/Table1[[#This Row],[BW_GA]])-1)/(Backend!$B$4/100*Table1[[#This Row],[BW40_3705]]),"")</f>
        <v/>
      </c>
      <c r="H9796" s="7" t="str">
        <f>IF(Table1[[#This Row],[Is Data Valid]]=TRUE,((Table1[[#This Row],[Birthweight (grams)]]*0.9/Table1[[#This Row],[BW_GA]])-1)/(Backend!$B$4/100*Table1[[#This Row],[BW40_3705]]),"")</f>
        <v/>
      </c>
      <c r="I9796" s="7" t="str">
        <f>IF(Table1[[#This Row],[Is Data Valid]]=TRUE,((Table1[[#This Row],[Birthweight (grams)]]*1.1/Table1[[#This Row],[BW_GA]])-1)/(Backend!$B$4/100*Table1[[#This Row],[BW40_3705]]),"")</f>
        <v/>
      </c>
      <c r="J9796" s="7" t="str">
        <f>IF(Table1[[#This Row],[Is Data Valid]]=TRUE,_xlfn.NORM.S.DIST(Table1[[#This Row],[Birthweight Z-Score]],TRUE)*100,"")</f>
        <v/>
      </c>
      <c r="K9796" s="7" t="str">
        <f>IF(Table1[[#This Row],[Is Data Valid]]=TRUE,_xlfn.NORM.S.DIST(Table1[[#This Row],[Birthweight Z-Score (BW-10%)]],TRUE)*100,"")</f>
        <v/>
      </c>
      <c r="L9796" s="7" t="str">
        <f>IF(Table1[[#This Row],[Is Data Valid]]=TRUE,_xlfn.NORM.S.DIST(Table1[[#This Row],[Birthweight Z-Score (BW+10%)]],TRUE)*100,"")</f>
        <v/>
      </c>
    </row>
    <row r="9797" spans="1:12" x14ac:dyDescent="0.35">
      <c r="A9797" s="3"/>
      <c r="B9797" s="2"/>
      <c r="C9797" s="2"/>
      <c r="D9797" s="2" t="b">
        <f>IF(AND(NOT(ISBLANK(Table1[[#This Row],[Fetal Sex (Male, Female or Unknown)]])),ISNUMBER(Table1[[#This Row],[Birthweight (grams)]]),ISNUMBER(Table1[[#This Row],[Gestation (days)]])),TRUE,FALSE)</f>
        <v>0</v>
      </c>
      <c r="E9797" s="2" t="str">
        <f>IF(Table1[[#This Row],[Is Data Valid]]=TRUE,IF(Table1[[#This Row],[Fetal Sex (Male, Female or Unknown)]]="Male",Backend!$C$6,IF(Table1[[#This Row],[Fetal Sex (Male, Female or Unknown)]]="Female",Backend!$C$7,IF(Table1[[#This Row],[Fetal Sex (Male, Female or Unknown)]]="Unknown",Backend!$C$8,"Error"))),"")</f>
        <v/>
      </c>
      <c r="F9797" s="8" t="str">
        <f>IF(Table1[[#This Row],[Is Data Valid]]=TRUE,EXP(0.578+0.332*((Table1[[#This Row],[Gestation (days)]]+0.5)/7)-0.00354*((Table1[[#This Row],[Gestation (days)]]+0.5)/7)^2)*Table1[[#This Row],[BW40_3705]],"")</f>
        <v/>
      </c>
      <c r="G9797" s="2" t="str">
        <f>IF(Table1[[#This Row],[Is Data Valid]]=TRUE,((Table1[[#This Row],[Birthweight (grams)]]/Table1[[#This Row],[BW_GA]])-1)/(Backend!$B$4/100*Table1[[#This Row],[BW40_3705]]),"")</f>
        <v/>
      </c>
      <c r="H9797" s="7" t="str">
        <f>IF(Table1[[#This Row],[Is Data Valid]]=TRUE,((Table1[[#This Row],[Birthweight (grams)]]*0.9/Table1[[#This Row],[BW_GA]])-1)/(Backend!$B$4/100*Table1[[#This Row],[BW40_3705]]),"")</f>
        <v/>
      </c>
      <c r="I9797" s="7" t="str">
        <f>IF(Table1[[#This Row],[Is Data Valid]]=TRUE,((Table1[[#This Row],[Birthweight (grams)]]*1.1/Table1[[#This Row],[BW_GA]])-1)/(Backend!$B$4/100*Table1[[#This Row],[BW40_3705]]),"")</f>
        <v/>
      </c>
      <c r="J9797" s="7" t="str">
        <f>IF(Table1[[#This Row],[Is Data Valid]]=TRUE,_xlfn.NORM.S.DIST(Table1[[#This Row],[Birthweight Z-Score]],TRUE)*100,"")</f>
        <v/>
      </c>
      <c r="K9797" s="7" t="str">
        <f>IF(Table1[[#This Row],[Is Data Valid]]=TRUE,_xlfn.NORM.S.DIST(Table1[[#This Row],[Birthweight Z-Score (BW-10%)]],TRUE)*100,"")</f>
        <v/>
      </c>
      <c r="L9797" s="7" t="str">
        <f>IF(Table1[[#This Row],[Is Data Valid]]=TRUE,_xlfn.NORM.S.DIST(Table1[[#This Row],[Birthweight Z-Score (BW+10%)]],TRUE)*100,"")</f>
        <v/>
      </c>
    </row>
    <row r="9798" spans="1:12" x14ac:dyDescent="0.35">
      <c r="A9798" s="3"/>
      <c r="B9798" s="2"/>
      <c r="C9798" s="2"/>
      <c r="D9798" s="2" t="b">
        <f>IF(AND(NOT(ISBLANK(Table1[[#This Row],[Fetal Sex (Male, Female or Unknown)]])),ISNUMBER(Table1[[#This Row],[Birthweight (grams)]]),ISNUMBER(Table1[[#This Row],[Gestation (days)]])),TRUE,FALSE)</f>
        <v>0</v>
      </c>
      <c r="E9798" s="2" t="str">
        <f>IF(Table1[[#This Row],[Is Data Valid]]=TRUE,IF(Table1[[#This Row],[Fetal Sex (Male, Female or Unknown)]]="Male",Backend!$C$6,IF(Table1[[#This Row],[Fetal Sex (Male, Female or Unknown)]]="Female",Backend!$C$7,IF(Table1[[#This Row],[Fetal Sex (Male, Female or Unknown)]]="Unknown",Backend!$C$8,"Error"))),"")</f>
        <v/>
      </c>
      <c r="F9798" s="8" t="str">
        <f>IF(Table1[[#This Row],[Is Data Valid]]=TRUE,EXP(0.578+0.332*((Table1[[#This Row],[Gestation (days)]]+0.5)/7)-0.00354*((Table1[[#This Row],[Gestation (days)]]+0.5)/7)^2)*Table1[[#This Row],[BW40_3705]],"")</f>
        <v/>
      </c>
      <c r="G9798" s="2" t="str">
        <f>IF(Table1[[#This Row],[Is Data Valid]]=TRUE,((Table1[[#This Row],[Birthweight (grams)]]/Table1[[#This Row],[BW_GA]])-1)/(Backend!$B$4/100*Table1[[#This Row],[BW40_3705]]),"")</f>
        <v/>
      </c>
      <c r="H9798" s="7" t="str">
        <f>IF(Table1[[#This Row],[Is Data Valid]]=TRUE,((Table1[[#This Row],[Birthweight (grams)]]*0.9/Table1[[#This Row],[BW_GA]])-1)/(Backend!$B$4/100*Table1[[#This Row],[BW40_3705]]),"")</f>
        <v/>
      </c>
      <c r="I9798" s="7" t="str">
        <f>IF(Table1[[#This Row],[Is Data Valid]]=TRUE,((Table1[[#This Row],[Birthweight (grams)]]*1.1/Table1[[#This Row],[BW_GA]])-1)/(Backend!$B$4/100*Table1[[#This Row],[BW40_3705]]),"")</f>
        <v/>
      </c>
      <c r="J9798" s="7" t="str">
        <f>IF(Table1[[#This Row],[Is Data Valid]]=TRUE,_xlfn.NORM.S.DIST(Table1[[#This Row],[Birthweight Z-Score]],TRUE)*100,"")</f>
        <v/>
      </c>
      <c r="K9798" s="7" t="str">
        <f>IF(Table1[[#This Row],[Is Data Valid]]=TRUE,_xlfn.NORM.S.DIST(Table1[[#This Row],[Birthweight Z-Score (BW-10%)]],TRUE)*100,"")</f>
        <v/>
      </c>
      <c r="L9798" s="7" t="str">
        <f>IF(Table1[[#This Row],[Is Data Valid]]=TRUE,_xlfn.NORM.S.DIST(Table1[[#This Row],[Birthweight Z-Score (BW+10%)]],TRUE)*100,"")</f>
        <v/>
      </c>
    </row>
    <row r="9799" spans="1:12" x14ac:dyDescent="0.35">
      <c r="A9799" s="3"/>
      <c r="B9799" s="2"/>
      <c r="C9799" s="2"/>
      <c r="D9799" s="2" t="b">
        <f>IF(AND(NOT(ISBLANK(Table1[[#This Row],[Fetal Sex (Male, Female or Unknown)]])),ISNUMBER(Table1[[#This Row],[Birthweight (grams)]]),ISNUMBER(Table1[[#This Row],[Gestation (days)]])),TRUE,FALSE)</f>
        <v>0</v>
      </c>
      <c r="E9799" s="2" t="str">
        <f>IF(Table1[[#This Row],[Is Data Valid]]=TRUE,IF(Table1[[#This Row],[Fetal Sex (Male, Female or Unknown)]]="Male",Backend!$C$6,IF(Table1[[#This Row],[Fetal Sex (Male, Female or Unknown)]]="Female",Backend!$C$7,IF(Table1[[#This Row],[Fetal Sex (Male, Female or Unknown)]]="Unknown",Backend!$C$8,"Error"))),"")</f>
        <v/>
      </c>
      <c r="F9799" s="8" t="str">
        <f>IF(Table1[[#This Row],[Is Data Valid]]=TRUE,EXP(0.578+0.332*((Table1[[#This Row],[Gestation (days)]]+0.5)/7)-0.00354*((Table1[[#This Row],[Gestation (days)]]+0.5)/7)^2)*Table1[[#This Row],[BW40_3705]],"")</f>
        <v/>
      </c>
      <c r="G9799" s="2" t="str">
        <f>IF(Table1[[#This Row],[Is Data Valid]]=TRUE,((Table1[[#This Row],[Birthweight (grams)]]/Table1[[#This Row],[BW_GA]])-1)/(Backend!$B$4/100*Table1[[#This Row],[BW40_3705]]),"")</f>
        <v/>
      </c>
      <c r="H9799" s="7" t="str">
        <f>IF(Table1[[#This Row],[Is Data Valid]]=TRUE,((Table1[[#This Row],[Birthweight (grams)]]*0.9/Table1[[#This Row],[BW_GA]])-1)/(Backend!$B$4/100*Table1[[#This Row],[BW40_3705]]),"")</f>
        <v/>
      </c>
      <c r="I9799" s="7" t="str">
        <f>IF(Table1[[#This Row],[Is Data Valid]]=TRUE,((Table1[[#This Row],[Birthweight (grams)]]*1.1/Table1[[#This Row],[BW_GA]])-1)/(Backend!$B$4/100*Table1[[#This Row],[BW40_3705]]),"")</f>
        <v/>
      </c>
      <c r="J9799" s="7" t="str">
        <f>IF(Table1[[#This Row],[Is Data Valid]]=TRUE,_xlfn.NORM.S.DIST(Table1[[#This Row],[Birthweight Z-Score]],TRUE)*100,"")</f>
        <v/>
      </c>
      <c r="K9799" s="7" t="str">
        <f>IF(Table1[[#This Row],[Is Data Valid]]=TRUE,_xlfn.NORM.S.DIST(Table1[[#This Row],[Birthweight Z-Score (BW-10%)]],TRUE)*100,"")</f>
        <v/>
      </c>
      <c r="L9799" s="7" t="str">
        <f>IF(Table1[[#This Row],[Is Data Valid]]=TRUE,_xlfn.NORM.S.DIST(Table1[[#This Row],[Birthweight Z-Score (BW+10%)]],TRUE)*100,"")</f>
        <v/>
      </c>
    </row>
    <row r="9800" spans="1:12" x14ac:dyDescent="0.35">
      <c r="A9800" s="3"/>
      <c r="B9800" s="2"/>
      <c r="C9800" s="2"/>
      <c r="D9800" s="2" t="b">
        <f>IF(AND(NOT(ISBLANK(Table1[[#This Row],[Fetal Sex (Male, Female or Unknown)]])),ISNUMBER(Table1[[#This Row],[Birthweight (grams)]]),ISNUMBER(Table1[[#This Row],[Gestation (days)]])),TRUE,FALSE)</f>
        <v>0</v>
      </c>
      <c r="E9800" s="2" t="str">
        <f>IF(Table1[[#This Row],[Is Data Valid]]=TRUE,IF(Table1[[#This Row],[Fetal Sex (Male, Female or Unknown)]]="Male",Backend!$C$6,IF(Table1[[#This Row],[Fetal Sex (Male, Female or Unknown)]]="Female",Backend!$C$7,IF(Table1[[#This Row],[Fetal Sex (Male, Female or Unknown)]]="Unknown",Backend!$C$8,"Error"))),"")</f>
        <v/>
      </c>
      <c r="F9800" s="8" t="str">
        <f>IF(Table1[[#This Row],[Is Data Valid]]=TRUE,EXP(0.578+0.332*((Table1[[#This Row],[Gestation (days)]]+0.5)/7)-0.00354*((Table1[[#This Row],[Gestation (days)]]+0.5)/7)^2)*Table1[[#This Row],[BW40_3705]],"")</f>
        <v/>
      </c>
      <c r="G9800" s="2" t="str">
        <f>IF(Table1[[#This Row],[Is Data Valid]]=TRUE,((Table1[[#This Row],[Birthweight (grams)]]/Table1[[#This Row],[BW_GA]])-1)/(Backend!$B$4/100*Table1[[#This Row],[BW40_3705]]),"")</f>
        <v/>
      </c>
      <c r="H9800" s="7" t="str">
        <f>IF(Table1[[#This Row],[Is Data Valid]]=TRUE,((Table1[[#This Row],[Birthweight (grams)]]*0.9/Table1[[#This Row],[BW_GA]])-1)/(Backend!$B$4/100*Table1[[#This Row],[BW40_3705]]),"")</f>
        <v/>
      </c>
      <c r="I9800" s="7" t="str">
        <f>IF(Table1[[#This Row],[Is Data Valid]]=TRUE,((Table1[[#This Row],[Birthweight (grams)]]*1.1/Table1[[#This Row],[BW_GA]])-1)/(Backend!$B$4/100*Table1[[#This Row],[BW40_3705]]),"")</f>
        <v/>
      </c>
      <c r="J9800" s="7" t="str">
        <f>IF(Table1[[#This Row],[Is Data Valid]]=TRUE,_xlfn.NORM.S.DIST(Table1[[#This Row],[Birthweight Z-Score]],TRUE)*100,"")</f>
        <v/>
      </c>
      <c r="K9800" s="7" t="str">
        <f>IF(Table1[[#This Row],[Is Data Valid]]=TRUE,_xlfn.NORM.S.DIST(Table1[[#This Row],[Birthweight Z-Score (BW-10%)]],TRUE)*100,"")</f>
        <v/>
      </c>
      <c r="L9800" s="7" t="str">
        <f>IF(Table1[[#This Row],[Is Data Valid]]=TRUE,_xlfn.NORM.S.DIST(Table1[[#This Row],[Birthweight Z-Score (BW+10%)]],TRUE)*100,"")</f>
        <v/>
      </c>
    </row>
    <row r="9801" spans="1:12" x14ac:dyDescent="0.35">
      <c r="A9801" s="3"/>
      <c r="B9801" s="2"/>
      <c r="C9801" s="2"/>
      <c r="D9801" s="2" t="b">
        <f>IF(AND(NOT(ISBLANK(Table1[[#This Row],[Fetal Sex (Male, Female or Unknown)]])),ISNUMBER(Table1[[#This Row],[Birthweight (grams)]]),ISNUMBER(Table1[[#This Row],[Gestation (days)]])),TRUE,FALSE)</f>
        <v>0</v>
      </c>
      <c r="E9801" s="2" t="str">
        <f>IF(Table1[[#This Row],[Is Data Valid]]=TRUE,IF(Table1[[#This Row],[Fetal Sex (Male, Female or Unknown)]]="Male",Backend!$C$6,IF(Table1[[#This Row],[Fetal Sex (Male, Female or Unknown)]]="Female",Backend!$C$7,IF(Table1[[#This Row],[Fetal Sex (Male, Female or Unknown)]]="Unknown",Backend!$C$8,"Error"))),"")</f>
        <v/>
      </c>
      <c r="F9801" s="8" t="str">
        <f>IF(Table1[[#This Row],[Is Data Valid]]=TRUE,EXP(0.578+0.332*((Table1[[#This Row],[Gestation (days)]]+0.5)/7)-0.00354*((Table1[[#This Row],[Gestation (days)]]+0.5)/7)^2)*Table1[[#This Row],[BW40_3705]],"")</f>
        <v/>
      </c>
      <c r="G9801" s="2" t="str">
        <f>IF(Table1[[#This Row],[Is Data Valid]]=TRUE,((Table1[[#This Row],[Birthweight (grams)]]/Table1[[#This Row],[BW_GA]])-1)/(Backend!$B$4/100*Table1[[#This Row],[BW40_3705]]),"")</f>
        <v/>
      </c>
      <c r="H9801" s="7" t="str">
        <f>IF(Table1[[#This Row],[Is Data Valid]]=TRUE,((Table1[[#This Row],[Birthweight (grams)]]*0.9/Table1[[#This Row],[BW_GA]])-1)/(Backend!$B$4/100*Table1[[#This Row],[BW40_3705]]),"")</f>
        <v/>
      </c>
      <c r="I9801" s="7" t="str">
        <f>IF(Table1[[#This Row],[Is Data Valid]]=TRUE,((Table1[[#This Row],[Birthweight (grams)]]*1.1/Table1[[#This Row],[BW_GA]])-1)/(Backend!$B$4/100*Table1[[#This Row],[BW40_3705]]),"")</f>
        <v/>
      </c>
      <c r="J9801" s="7" t="str">
        <f>IF(Table1[[#This Row],[Is Data Valid]]=TRUE,_xlfn.NORM.S.DIST(Table1[[#This Row],[Birthweight Z-Score]],TRUE)*100,"")</f>
        <v/>
      </c>
      <c r="K9801" s="7" t="str">
        <f>IF(Table1[[#This Row],[Is Data Valid]]=TRUE,_xlfn.NORM.S.DIST(Table1[[#This Row],[Birthweight Z-Score (BW-10%)]],TRUE)*100,"")</f>
        <v/>
      </c>
      <c r="L9801" s="7" t="str">
        <f>IF(Table1[[#This Row],[Is Data Valid]]=TRUE,_xlfn.NORM.S.DIST(Table1[[#This Row],[Birthweight Z-Score (BW+10%)]],TRUE)*100,"")</f>
        <v/>
      </c>
    </row>
    <row r="9802" spans="1:12" x14ac:dyDescent="0.35">
      <c r="A9802" s="3"/>
      <c r="B9802" s="2"/>
      <c r="C9802" s="2"/>
      <c r="D9802" s="2" t="b">
        <f>IF(AND(NOT(ISBLANK(Table1[[#This Row],[Fetal Sex (Male, Female or Unknown)]])),ISNUMBER(Table1[[#This Row],[Birthweight (grams)]]),ISNUMBER(Table1[[#This Row],[Gestation (days)]])),TRUE,FALSE)</f>
        <v>0</v>
      </c>
      <c r="E9802" s="2" t="str">
        <f>IF(Table1[[#This Row],[Is Data Valid]]=TRUE,IF(Table1[[#This Row],[Fetal Sex (Male, Female or Unknown)]]="Male",Backend!$C$6,IF(Table1[[#This Row],[Fetal Sex (Male, Female or Unknown)]]="Female",Backend!$C$7,IF(Table1[[#This Row],[Fetal Sex (Male, Female or Unknown)]]="Unknown",Backend!$C$8,"Error"))),"")</f>
        <v/>
      </c>
      <c r="F9802" s="8" t="str">
        <f>IF(Table1[[#This Row],[Is Data Valid]]=TRUE,EXP(0.578+0.332*((Table1[[#This Row],[Gestation (days)]]+0.5)/7)-0.00354*((Table1[[#This Row],[Gestation (days)]]+0.5)/7)^2)*Table1[[#This Row],[BW40_3705]],"")</f>
        <v/>
      </c>
      <c r="G9802" s="2" t="str">
        <f>IF(Table1[[#This Row],[Is Data Valid]]=TRUE,((Table1[[#This Row],[Birthweight (grams)]]/Table1[[#This Row],[BW_GA]])-1)/(Backend!$B$4/100*Table1[[#This Row],[BW40_3705]]),"")</f>
        <v/>
      </c>
      <c r="H9802" s="7" t="str">
        <f>IF(Table1[[#This Row],[Is Data Valid]]=TRUE,((Table1[[#This Row],[Birthweight (grams)]]*0.9/Table1[[#This Row],[BW_GA]])-1)/(Backend!$B$4/100*Table1[[#This Row],[BW40_3705]]),"")</f>
        <v/>
      </c>
      <c r="I9802" s="7" t="str">
        <f>IF(Table1[[#This Row],[Is Data Valid]]=TRUE,((Table1[[#This Row],[Birthweight (grams)]]*1.1/Table1[[#This Row],[BW_GA]])-1)/(Backend!$B$4/100*Table1[[#This Row],[BW40_3705]]),"")</f>
        <v/>
      </c>
      <c r="J9802" s="7" t="str">
        <f>IF(Table1[[#This Row],[Is Data Valid]]=TRUE,_xlfn.NORM.S.DIST(Table1[[#This Row],[Birthweight Z-Score]],TRUE)*100,"")</f>
        <v/>
      </c>
      <c r="K9802" s="7" t="str">
        <f>IF(Table1[[#This Row],[Is Data Valid]]=TRUE,_xlfn.NORM.S.DIST(Table1[[#This Row],[Birthweight Z-Score (BW-10%)]],TRUE)*100,"")</f>
        <v/>
      </c>
      <c r="L9802" s="7" t="str">
        <f>IF(Table1[[#This Row],[Is Data Valid]]=TRUE,_xlfn.NORM.S.DIST(Table1[[#This Row],[Birthweight Z-Score (BW+10%)]],TRUE)*100,"")</f>
        <v/>
      </c>
    </row>
    <row r="9803" spans="1:12" x14ac:dyDescent="0.35">
      <c r="A9803" s="3"/>
      <c r="B9803" s="2"/>
      <c r="C9803" s="2"/>
      <c r="D9803" s="2" t="b">
        <f>IF(AND(NOT(ISBLANK(Table1[[#This Row],[Fetal Sex (Male, Female or Unknown)]])),ISNUMBER(Table1[[#This Row],[Birthweight (grams)]]),ISNUMBER(Table1[[#This Row],[Gestation (days)]])),TRUE,FALSE)</f>
        <v>0</v>
      </c>
      <c r="E9803" s="2" t="str">
        <f>IF(Table1[[#This Row],[Is Data Valid]]=TRUE,IF(Table1[[#This Row],[Fetal Sex (Male, Female or Unknown)]]="Male",Backend!$C$6,IF(Table1[[#This Row],[Fetal Sex (Male, Female or Unknown)]]="Female",Backend!$C$7,IF(Table1[[#This Row],[Fetal Sex (Male, Female or Unknown)]]="Unknown",Backend!$C$8,"Error"))),"")</f>
        <v/>
      </c>
      <c r="F9803" s="8" t="str">
        <f>IF(Table1[[#This Row],[Is Data Valid]]=TRUE,EXP(0.578+0.332*((Table1[[#This Row],[Gestation (days)]]+0.5)/7)-0.00354*((Table1[[#This Row],[Gestation (days)]]+0.5)/7)^2)*Table1[[#This Row],[BW40_3705]],"")</f>
        <v/>
      </c>
      <c r="G9803" s="2" t="str">
        <f>IF(Table1[[#This Row],[Is Data Valid]]=TRUE,((Table1[[#This Row],[Birthweight (grams)]]/Table1[[#This Row],[BW_GA]])-1)/(Backend!$B$4/100*Table1[[#This Row],[BW40_3705]]),"")</f>
        <v/>
      </c>
      <c r="H9803" s="7" t="str">
        <f>IF(Table1[[#This Row],[Is Data Valid]]=TRUE,((Table1[[#This Row],[Birthweight (grams)]]*0.9/Table1[[#This Row],[BW_GA]])-1)/(Backend!$B$4/100*Table1[[#This Row],[BW40_3705]]),"")</f>
        <v/>
      </c>
      <c r="I9803" s="7" t="str">
        <f>IF(Table1[[#This Row],[Is Data Valid]]=TRUE,((Table1[[#This Row],[Birthweight (grams)]]*1.1/Table1[[#This Row],[BW_GA]])-1)/(Backend!$B$4/100*Table1[[#This Row],[BW40_3705]]),"")</f>
        <v/>
      </c>
      <c r="J9803" s="7" t="str">
        <f>IF(Table1[[#This Row],[Is Data Valid]]=TRUE,_xlfn.NORM.S.DIST(Table1[[#This Row],[Birthweight Z-Score]],TRUE)*100,"")</f>
        <v/>
      </c>
      <c r="K9803" s="7" t="str">
        <f>IF(Table1[[#This Row],[Is Data Valid]]=TRUE,_xlfn.NORM.S.DIST(Table1[[#This Row],[Birthweight Z-Score (BW-10%)]],TRUE)*100,"")</f>
        <v/>
      </c>
      <c r="L9803" s="7" t="str">
        <f>IF(Table1[[#This Row],[Is Data Valid]]=TRUE,_xlfn.NORM.S.DIST(Table1[[#This Row],[Birthweight Z-Score (BW+10%)]],TRUE)*100,"")</f>
        <v/>
      </c>
    </row>
    <row r="9804" spans="1:12" x14ac:dyDescent="0.35">
      <c r="A9804" s="3"/>
      <c r="B9804" s="2"/>
      <c r="C9804" s="2"/>
      <c r="D9804" s="2" t="b">
        <f>IF(AND(NOT(ISBLANK(Table1[[#This Row],[Fetal Sex (Male, Female or Unknown)]])),ISNUMBER(Table1[[#This Row],[Birthweight (grams)]]),ISNUMBER(Table1[[#This Row],[Gestation (days)]])),TRUE,FALSE)</f>
        <v>0</v>
      </c>
      <c r="E9804" s="2" t="str">
        <f>IF(Table1[[#This Row],[Is Data Valid]]=TRUE,IF(Table1[[#This Row],[Fetal Sex (Male, Female or Unknown)]]="Male",Backend!$C$6,IF(Table1[[#This Row],[Fetal Sex (Male, Female or Unknown)]]="Female",Backend!$C$7,IF(Table1[[#This Row],[Fetal Sex (Male, Female or Unknown)]]="Unknown",Backend!$C$8,"Error"))),"")</f>
        <v/>
      </c>
      <c r="F9804" s="8" t="str">
        <f>IF(Table1[[#This Row],[Is Data Valid]]=TRUE,EXP(0.578+0.332*((Table1[[#This Row],[Gestation (days)]]+0.5)/7)-0.00354*((Table1[[#This Row],[Gestation (days)]]+0.5)/7)^2)*Table1[[#This Row],[BW40_3705]],"")</f>
        <v/>
      </c>
      <c r="G9804" s="2" t="str">
        <f>IF(Table1[[#This Row],[Is Data Valid]]=TRUE,((Table1[[#This Row],[Birthweight (grams)]]/Table1[[#This Row],[BW_GA]])-1)/(Backend!$B$4/100*Table1[[#This Row],[BW40_3705]]),"")</f>
        <v/>
      </c>
      <c r="H9804" s="7" t="str">
        <f>IF(Table1[[#This Row],[Is Data Valid]]=TRUE,((Table1[[#This Row],[Birthweight (grams)]]*0.9/Table1[[#This Row],[BW_GA]])-1)/(Backend!$B$4/100*Table1[[#This Row],[BW40_3705]]),"")</f>
        <v/>
      </c>
      <c r="I9804" s="7" t="str">
        <f>IF(Table1[[#This Row],[Is Data Valid]]=TRUE,((Table1[[#This Row],[Birthweight (grams)]]*1.1/Table1[[#This Row],[BW_GA]])-1)/(Backend!$B$4/100*Table1[[#This Row],[BW40_3705]]),"")</f>
        <v/>
      </c>
      <c r="J9804" s="7" t="str">
        <f>IF(Table1[[#This Row],[Is Data Valid]]=TRUE,_xlfn.NORM.S.DIST(Table1[[#This Row],[Birthweight Z-Score]],TRUE)*100,"")</f>
        <v/>
      </c>
      <c r="K9804" s="7" t="str">
        <f>IF(Table1[[#This Row],[Is Data Valid]]=TRUE,_xlfn.NORM.S.DIST(Table1[[#This Row],[Birthweight Z-Score (BW-10%)]],TRUE)*100,"")</f>
        <v/>
      </c>
      <c r="L9804" s="7" t="str">
        <f>IF(Table1[[#This Row],[Is Data Valid]]=TRUE,_xlfn.NORM.S.DIST(Table1[[#This Row],[Birthweight Z-Score (BW+10%)]],TRUE)*100,"")</f>
        <v/>
      </c>
    </row>
    <row r="9805" spans="1:12" x14ac:dyDescent="0.35">
      <c r="A9805" s="3"/>
      <c r="B9805" s="2"/>
      <c r="C9805" s="2"/>
      <c r="D9805" s="2" t="b">
        <f>IF(AND(NOT(ISBLANK(Table1[[#This Row],[Fetal Sex (Male, Female or Unknown)]])),ISNUMBER(Table1[[#This Row],[Birthweight (grams)]]),ISNUMBER(Table1[[#This Row],[Gestation (days)]])),TRUE,FALSE)</f>
        <v>0</v>
      </c>
      <c r="E9805" s="2" t="str">
        <f>IF(Table1[[#This Row],[Is Data Valid]]=TRUE,IF(Table1[[#This Row],[Fetal Sex (Male, Female or Unknown)]]="Male",Backend!$C$6,IF(Table1[[#This Row],[Fetal Sex (Male, Female or Unknown)]]="Female",Backend!$C$7,IF(Table1[[#This Row],[Fetal Sex (Male, Female or Unknown)]]="Unknown",Backend!$C$8,"Error"))),"")</f>
        <v/>
      </c>
      <c r="F9805" s="8" t="str">
        <f>IF(Table1[[#This Row],[Is Data Valid]]=TRUE,EXP(0.578+0.332*((Table1[[#This Row],[Gestation (days)]]+0.5)/7)-0.00354*((Table1[[#This Row],[Gestation (days)]]+0.5)/7)^2)*Table1[[#This Row],[BW40_3705]],"")</f>
        <v/>
      </c>
      <c r="G9805" s="2" t="str">
        <f>IF(Table1[[#This Row],[Is Data Valid]]=TRUE,((Table1[[#This Row],[Birthweight (grams)]]/Table1[[#This Row],[BW_GA]])-1)/(Backend!$B$4/100*Table1[[#This Row],[BW40_3705]]),"")</f>
        <v/>
      </c>
      <c r="H9805" s="7" t="str">
        <f>IF(Table1[[#This Row],[Is Data Valid]]=TRUE,((Table1[[#This Row],[Birthweight (grams)]]*0.9/Table1[[#This Row],[BW_GA]])-1)/(Backend!$B$4/100*Table1[[#This Row],[BW40_3705]]),"")</f>
        <v/>
      </c>
      <c r="I9805" s="7" t="str">
        <f>IF(Table1[[#This Row],[Is Data Valid]]=TRUE,((Table1[[#This Row],[Birthweight (grams)]]*1.1/Table1[[#This Row],[BW_GA]])-1)/(Backend!$B$4/100*Table1[[#This Row],[BW40_3705]]),"")</f>
        <v/>
      </c>
      <c r="J9805" s="7" t="str">
        <f>IF(Table1[[#This Row],[Is Data Valid]]=TRUE,_xlfn.NORM.S.DIST(Table1[[#This Row],[Birthweight Z-Score]],TRUE)*100,"")</f>
        <v/>
      </c>
      <c r="K9805" s="7" t="str">
        <f>IF(Table1[[#This Row],[Is Data Valid]]=TRUE,_xlfn.NORM.S.DIST(Table1[[#This Row],[Birthweight Z-Score (BW-10%)]],TRUE)*100,"")</f>
        <v/>
      </c>
      <c r="L9805" s="7" t="str">
        <f>IF(Table1[[#This Row],[Is Data Valid]]=TRUE,_xlfn.NORM.S.DIST(Table1[[#This Row],[Birthweight Z-Score (BW+10%)]],TRUE)*100,"")</f>
        <v/>
      </c>
    </row>
    <row r="9806" spans="1:12" x14ac:dyDescent="0.35">
      <c r="A9806" s="3"/>
      <c r="B9806" s="2"/>
      <c r="C9806" s="2"/>
      <c r="D9806" s="2" t="b">
        <f>IF(AND(NOT(ISBLANK(Table1[[#This Row],[Fetal Sex (Male, Female or Unknown)]])),ISNUMBER(Table1[[#This Row],[Birthweight (grams)]]),ISNUMBER(Table1[[#This Row],[Gestation (days)]])),TRUE,FALSE)</f>
        <v>0</v>
      </c>
      <c r="E9806" s="2" t="str">
        <f>IF(Table1[[#This Row],[Is Data Valid]]=TRUE,IF(Table1[[#This Row],[Fetal Sex (Male, Female or Unknown)]]="Male",Backend!$C$6,IF(Table1[[#This Row],[Fetal Sex (Male, Female or Unknown)]]="Female",Backend!$C$7,IF(Table1[[#This Row],[Fetal Sex (Male, Female or Unknown)]]="Unknown",Backend!$C$8,"Error"))),"")</f>
        <v/>
      </c>
      <c r="F9806" s="8" t="str">
        <f>IF(Table1[[#This Row],[Is Data Valid]]=TRUE,EXP(0.578+0.332*((Table1[[#This Row],[Gestation (days)]]+0.5)/7)-0.00354*((Table1[[#This Row],[Gestation (days)]]+0.5)/7)^2)*Table1[[#This Row],[BW40_3705]],"")</f>
        <v/>
      </c>
      <c r="G9806" s="2" t="str">
        <f>IF(Table1[[#This Row],[Is Data Valid]]=TRUE,((Table1[[#This Row],[Birthweight (grams)]]/Table1[[#This Row],[BW_GA]])-1)/(Backend!$B$4/100*Table1[[#This Row],[BW40_3705]]),"")</f>
        <v/>
      </c>
      <c r="H9806" s="7" t="str">
        <f>IF(Table1[[#This Row],[Is Data Valid]]=TRUE,((Table1[[#This Row],[Birthweight (grams)]]*0.9/Table1[[#This Row],[BW_GA]])-1)/(Backend!$B$4/100*Table1[[#This Row],[BW40_3705]]),"")</f>
        <v/>
      </c>
      <c r="I9806" s="7" t="str">
        <f>IF(Table1[[#This Row],[Is Data Valid]]=TRUE,((Table1[[#This Row],[Birthweight (grams)]]*1.1/Table1[[#This Row],[BW_GA]])-1)/(Backend!$B$4/100*Table1[[#This Row],[BW40_3705]]),"")</f>
        <v/>
      </c>
      <c r="J9806" s="7" t="str">
        <f>IF(Table1[[#This Row],[Is Data Valid]]=TRUE,_xlfn.NORM.S.DIST(Table1[[#This Row],[Birthweight Z-Score]],TRUE)*100,"")</f>
        <v/>
      </c>
      <c r="K9806" s="7" t="str">
        <f>IF(Table1[[#This Row],[Is Data Valid]]=TRUE,_xlfn.NORM.S.DIST(Table1[[#This Row],[Birthweight Z-Score (BW-10%)]],TRUE)*100,"")</f>
        <v/>
      </c>
      <c r="L9806" s="7" t="str">
        <f>IF(Table1[[#This Row],[Is Data Valid]]=TRUE,_xlfn.NORM.S.DIST(Table1[[#This Row],[Birthweight Z-Score (BW+10%)]],TRUE)*100,"")</f>
        <v/>
      </c>
    </row>
    <row r="9807" spans="1:12" x14ac:dyDescent="0.35">
      <c r="A9807" s="3"/>
      <c r="B9807" s="2"/>
      <c r="C9807" s="2"/>
      <c r="D9807" s="2" t="b">
        <f>IF(AND(NOT(ISBLANK(Table1[[#This Row],[Fetal Sex (Male, Female or Unknown)]])),ISNUMBER(Table1[[#This Row],[Birthweight (grams)]]),ISNUMBER(Table1[[#This Row],[Gestation (days)]])),TRUE,FALSE)</f>
        <v>0</v>
      </c>
      <c r="E9807" s="2" t="str">
        <f>IF(Table1[[#This Row],[Is Data Valid]]=TRUE,IF(Table1[[#This Row],[Fetal Sex (Male, Female or Unknown)]]="Male",Backend!$C$6,IF(Table1[[#This Row],[Fetal Sex (Male, Female or Unknown)]]="Female",Backend!$C$7,IF(Table1[[#This Row],[Fetal Sex (Male, Female or Unknown)]]="Unknown",Backend!$C$8,"Error"))),"")</f>
        <v/>
      </c>
      <c r="F9807" s="8" t="str">
        <f>IF(Table1[[#This Row],[Is Data Valid]]=TRUE,EXP(0.578+0.332*((Table1[[#This Row],[Gestation (days)]]+0.5)/7)-0.00354*((Table1[[#This Row],[Gestation (days)]]+0.5)/7)^2)*Table1[[#This Row],[BW40_3705]],"")</f>
        <v/>
      </c>
      <c r="G9807" s="2" t="str">
        <f>IF(Table1[[#This Row],[Is Data Valid]]=TRUE,((Table1[[#This Row],[Birthweight (grams)]]/Table1[[#This Row],[BW_GA]])-1)/(Backend!$B$4/100*Table1[[#This Row],[BW40_3705]]),"")</f>
        <v/>
      </c>
      <c r="H9807" s="7" t="str">
        <f>IF(Table1[[#This Row],[Is Data Valid]]=TRUE,((Table1[[#This Row],[Birthweight (grams)]]*0.9/Table1[[#This Row],[BW_GA]])-1)/(Backend!$B$4/100*Table1[[#This Row],[BW40_3705]]),"")</f>
        <v/>
      </c>
      <c r="I9807" s="7" t="str">
        <f>IF(Table1[[#This Row],[Is Data Valid]]=TRUE,((Table1[[#This Row],[Birthweight (grams)]]*1.1/Table1[[#This Row],[BW_GA]])-1)/(Backend!$B$4/100*Table1[[#This Row],[BW40_3705]]),"")</f>
        <v/>
      </c>
      <c r="J9807" s="7" t="str">
        <f>IF(Table1[[#This Row],[Is Data Valid]]=TRUE,_xlfn.NORM.S.DIST(Table1[[#This Row],[Birthweight Z-Score]],TRUE)*100,"")</f>
        <v/>
      </c>
      <c r="K9807" s="7" t="str">
        <f>IF(Table1[[#This Row],[Is Data Valid]]=TRUE,_xlfn.NORM.S.DIST(Table1[[#This Row],[Birthweight Z-Score (BW-10%)]],TRUE)*100,"")</f>
        <v/>
      </c>
      <c r="L9807" s="7" t="str">
        <f>IF(Table1[[#This Row],[Is Data Valid]]=TRUE,_xlfn.NORM.S.DIST(Table1[[#This Row],[Birthweight Z-Score (BW+10%)]],TRUE)*100,"")</f>
        <v/>
      </c>
    </row>
    <row r="9808" spans="1:12" x14ac:dyDescent="0.35">
      <c r="A9808" s="3"/>
      <c r="B9808" s="2"/>
      <c r="C9808" s="2"/>
      <c r="D9808" s="2" t="b">
        <f>IF(AND(NOT(ISBLANK(Table1[[#This Row],[Fetal Sex (Male, Female or Unknown)]])),ISNUMBER(Table1[[#This Row],[Birthweight (grams)]]),ISNUMBER(Table1[[#This Row],[Gestation (days)]])),TRUE,FALSE)</f>
        <v>0</v>
      </c>
      <c r="E9808" s="2" t="str">
        <f>IF(Table1[[#This Row],[Is Data Valid]]=TRUE,IF(Table1[[#This Row],[Fetal Sex (Male, Female or Unknown)]]="Male",Backend!$C$6,IF(Table1[[#This Row],[Fetal Sex (Male, Female or Unknown)]]="Female",Backend!$C$7,IF(Table1[[#This Row],[Fetal Sex (Male, Female or Unknown)]]="Unknown",Backend!$C$8,"Error"))),"")</f>
        <v/>
      </c>
      <c r="F9808" s="8" t="str">
        <f>IF(Table1[[#This Row],[Is Data Valid]]=TRUE,EXP(0.578+0.332*((Table1[[#This Row],[Gestation (days)]]+0.5)/7)-0.00354*((Table1[[#This Row],[Gestation (days)]]+0.5)/7)^2)*Table1[[#This Row],[BW40_3705]],"")</f>
        <v/>
      </c>
      <c r="G9808" s="2" t="str">
        <f>IF(Table1[[#This Row],[Is Data Valid]]=TRUE,((Table1[[#This Row],[Birthweight (grams)]]/Table1[[#This Row],[BW_GA]])-1)/(Backend!$B$4/100*Table1[[#This Row],[BW40_3705]]),"")</f>
        <v/>
      </c>
      <c r="H9808" s="7" t="str">
        <f>IF(Table1[[#This Row],[Is Data Valid]]=TRUE,((Table1[[#This Row],[Birthweight (grams)]]*0.9/Table1[[#This Row],[BW_GA]])-1)/(Backend!$B$4/100*Table1[[#This Row],[BW40_3705]]),"")</f>
        <v/>
      </c>
      <c r="I9808" s="7" t="str">
        <f>IF(Table1[[#This Row],[Is Data Valid]]=TRUE,((Table1[[#This Row],[Birthweight (grams)]]*1.1/Table1[[#This Row],[BW_GA]])-1)/(Backend!$B$4/100*Table1[[#This Row],[BW40_3705]]),"")</f>
        <v/>
      </c>
      <c r="J9808" s="7" t="str">
        <f>IF(Table1[[#This Row],[Is Data Valid]]=TRUE,_xlfn.NORM.S.DIST(Table1[[#This Row],[Birthweight Z-Score]],TRUE)*100,"")</f>
        <v/>
      </c>
      <c r="K9808" s="7" t="str">
        <f>IF(Table1[[#This Row],[Is Data Valid]]=TRUE,_xlfn.NORM.S.DIST(Table1[[#This Row],[Birthweight Z-Score (BW-10%)]],TRUE)*100,"")</f>
        <v/>
      </c>
      <c r="L9808" s="7" t="str">
        <f>IF(Table1[[#This Row],[Is Data Valid]]=TRUE,_xlfn.NORM.S.DIST(Table1[[#This Row],[Birthweight Z-Score (BW+10%)]],TRUE)*100,"")</f>
        <v/>
      </c>
    </row>
    <row r="9809" spans="1:12" x14ac:dyDescent="0.35">
      <c r="A9809" s="3"/>
      <c r="B9809" s="2"/>
      <c r="C9809" s="2"/>
      <c r="D9809" s="2" t="b">
        <f>IF(AND(NOT(ISBLANK(Table1[[#This Row],[Fetal Sex (Male, Female or Unknown)]])),ISNUMBER(Table1[[#This Row],[Birthweight (grams)]]),ISNUMBER(Table1[[#This Row],[Gestation (days)]])),TRUE,FALSE)</f>
        <v>0</v>
      </c>
      <c r="E9809" s="2" t="str">
        <f>IF(Table1[[#This Row],[Is Data Valid]]=TRUE,IF(Table1[[#This Row],[Fetal Sex (Male, Female or Unknown)]]="Male",Backend!$C$6,IF(Table1[[#This Row],[Fetal Sex (Male, Female or Unknown)]]="Female",Backend!$C$7,IF(Table1[[#This Row],[Fetal Sex (Male, Female or Unknown)]]="Unknown",Backend!$C$8,"Error"))),"")</f>
        <v/>
      </c>
      <c r="F9809" s="8" t="str">
        <f>IF(Table1[[#This Row],[Is Data Valid]]=TRUE,EXP(0.578+0.332*((Table1[[#This Row],[Gestation (days)]]+0.5)/7)-0.00354*((Table1[[#This Row],[Gestation (days)]]+0.5)/7)^2)*Table1[[#This Row],[BW40_3705]],"")</f>
        <v/>
      </c>
      <c r="G9809" s="2" t="str">
        <f>IF(Table1[[#This Row],[Is Data Valid]]=TRUE,((Table1[[#This Row],[Birthweight (grams)]]/Table1[[#This Row],[BW_GA]])-1)/(Backend!$B$4/100*Table1[[#This Row],[BW40_3705]]),"")</f>
        <v/>
      </c>
      <c r="H9809" s="7" t="str">
        <f>IF(Table1[[#This Row],[Is Data Valid]]=TRUE,((Table1[[#This Row],[Birthweight (grams)]]*0.9/Table1[[#This Row],[BW_GA]])-1)/(Backend!$B$4/100*Table1[[#This Row],[BW40_3705]]),"")</f>
        <v/>
      </c>
      <c r="I9809" s="7" t="str">
        <f>IF(Table1[[#This Row],[Is Data Valid]]=TRUE,((Table1[[#This Row],[Birthweight (grams)]]*1.1/Table1[[#This Row],[BW_GA]])-1)/(Backend!$B$4/100*Table1[[#This Row],[BW40_3705]]),"")</f>
        <v/>
      </c>
      <c r="J9809" s="7" t="str">
        <f>IF(Table1[[#This Row],[Is Data Valid]]=TRUE,_xlfn.NORM.S.DIST(Table1[[#This Row],[Birthweight Z-Score]],TRUE)*100,"")</f>
        <v/>
      </c>
      <c r="K9809" s="7" t="str">
        <f>IF(Table1[[#This Row],[Is Data Valid]]=TRUE,_xlfn.NORM.S.DIST(Table1[[#This Row],[Birthweight Z-Score (BW-10%)]],TRUE)*100,"")</f>
        <v/>
      </c>
      <c r="L9809" s="7" t="str">
        <f>IF(Table1[[#This Row],[Is Data Valid]]=TRUE,_xlfn.NORM.S.DIST(Table1[[#This Row],[Birthweight Z-Score (BW+10%)]],TRUE)*100,"")</f>
        <v/>
      </c>
    </row>
    <row r="9810" spans="1:12" x14ac:dyDescent="0.35">
      <c r="A9810" s="3"/>
      <c r="B9810" s="2"/>
      <c r="C9810" s="2"/>
      <c r="D9810" s="2" t="b">
        <f>IF(AND(NOT(ISBLANK(Table1[[#This Row],[Fetal Sex (Male, Female or Unknown)]])),ISNUMBER(Table1[[#This Row],[Birthweight (grams)]]),ISNUMBER(Table1[[#This Row],[Gestation (days)]])),TRUE,FALSE)</f>
        <v>0</v>
      </c>
      <c r="E9810" s="2" t="str">
        <f>IF(Table1[[#This Row],[Is Data Valid]]=TRUE,IF(Table1[[#This Row],[Fetal Sex (Male, Female or Unknown)]]="Male",Backend!$C$6,IF(Table1[[#This Row],[Fetal Sex (Male, Female or Unknown)]]="Female",Backend!$C$7,IF(Table1[[#This Row],[Fetal Sex (Male, Female or Unknown)]]="Unknown",Backend!$C$8,"Error"))),"")</f>
        <v/>
      </c>
      <c r="F9810" s="8" t="str">
        <f>IF(Table1[[#This Row],[Is Data Valid]]=TRUE,EXP(0.578+0.332*((Table1[[#This Row],[Gestation (days)]]+0.5)/7)-0.00354*((Table1[[#This Row],[Gestation (days)]]+0.5)/7)^2)*Table1[[#This Row],[BW40_3705]],"")</f>
        <v/>
      </c>
      <c r="G9810" s="2" t="str">
        <f>IF(Table1[[#This Row],[Is Data Valid]]=TRUE,((Table1[[#This Row],[Birthweight (grams)]]/Table1[[#This Row],[BW_GA]])-1)/(Backend!$B$4/100*Table1[[#This Row],[BW40_3705]]),"")</f>
        <v/>
      </c>
      <c r="H9810" s="7" t="str">
        <f>IF(Table1[[#This Row],[Is Data Valid]]=TRUE,((Table1[[#This Row],[Birthweight (grams)]]*0.9/Table1[[#This Row],[BW_GA]])-1)/(Backend!$B$4/100*Table1[[#This Row],[BW40_3705]]),"")</f>
        <v/>
      </c>
      <c r="I9810" s="7" t="str">
        <f>IF(Table1[[#This Row],[Is Data Valid]]=TRUE,((Table1[[#This Row],[Birthweight (grams)]]*1.1/Table1[[#This Row],[BW_GA]])-1)/(Backend!$B$4/100*Table1[[#This Row],[BW40_3705]]),"")</f>
        <v/>
      </c>
      <c r="J9810" s="7" t="str">
        <f>IF(Table1[[#This Row],[Is Data Valid]]=TRUE,_xlfn.NORM.S.DIST(Table1[[#This Row],[Birthweight Z-Score]],TRUE)*100,"")</f>
        <v/>
      </c>
      <c r="K9810" s="7" t="str">
        <f>IF(Table1[[#This Row],[Is Data Valid]]=TRUE,_xlfn.NORM.S.DIST(Table1[[#This Row],[Birthweight Z-Score (BW-10%)]],TRUE)*100,"")</f>
        <v/>
      </c>
      <c r="L9810" s="7" t="str">
        <f>IF(Table1[[#This Row],[Is Data Valid]]=TRUE,_xlfn.NORM.S.DIST(Table1[[#This Row],[Birthweight Z-Score (BW+10%)]],TRUE)*100,"")</f>
        <v/>
      </c>
    </row>
    <row r="9811" spans="1:12" x14ac:dyDescent="0.35">
      <c r="A9811" s="3"/>
      <c r="B9811" s="2"/>
      <c r="C9811" s="2"/>
      <c r="D9811" s="2" t="b">
        <f>IF(AND(NOT(ISBLANK(Table1[[#This Row],[Fetal Sex (Male, Female or Unknown)]])),ISNUMBER(Table1[[#This Row],[Birthweight (grams)]]),ISNUMBER(Table1[[#This Row],[Gestation (days)]])),TRUE,FALSE)</f>
        <v>0</v>
      </c>
      <c r="E9811" s="2" t="str">
        <f>IF(Table1[[#This Row],[Is Data Valid]]=TRUE,IF(Table1[[#This Row],[Fetal Sex (Male, Female or Unknown)]]="Male",Backend!$C$6,IF(Table1[[#This Row],[Fetal Sex (Male, Female or Unknown)]]="Female",Backend!$C$7,IF(Table1[[#This Row],[Fetal Sex (Male, Female or Unknown)]]="Unknown",Backend!$C$8,"Error"))),"")</f>
        <v/>
      </c>
      <c r="F9811" s="8" t="str">
        <f>IF(Table1[[#This Row],[Is Data Valid]]=TRUE,EXP(0.578+0.332*((Table1[[#This Row],[Gestation (days)]]+0.5)/7)-0.00354*((Table1[[#This Row],[Gestation (days)]]+0.5)/7)^2)*Table1[[#This Row],[BW40_3705]],"")</f>
        <v/>
      </c>
      <c r="G9811" s="2" t="str">
        <f>IF(Table1[[#This Row],[Is Data Valid]]=TRUE,((Table1[[#This Row],[Birthweight (grams)]]/Table1[[#This Row],[BW_GA]])-1)/(Backend!$B$4/100*Table1[[#This Row],[BW40_3705]]),"")</f>
        <v/>
      </c>
      <c r="H9811" s="7" t="str">
        <f>IF(Table1[[#This Row],[Is Data Valid]]=TRUE,((Table1[[#This Row],[Birthweight (grams)]]*0.9/Table1[[#This Row],[BW_GA]])-1)/(Backend!$B$4/100*Table1[[#This Row],[BW40_3705]]),"")</f>
        <v/>
      </c>
      <c r="I9811" s="7" t="str">
        <f>IF(Table1[[#This Row],[Is Data Valid]]=TRUE,((Table1[[#This Row],[Birthweight (grams)]]*1.1/Table1[[#This Row],[BW_GA]])-1)/(Backend!$B$4/100*Table1[[#This Row],[BW40_3705]]),"")</f>
        <v/>
      </c>
      <c r="J9811" s="7" t="str">
        <f>IF(Table1[[#This Row],[Is Data Valid]]=TRUE,_xlfn.NORM.S.DIST(Table1[[#This Row],[Birthweight Z-Score]],TRUE)*100,"")</f>
        <v/>
      </c>
      <c r="K9811" s="7" t="str">
        <f>IF(Table1[[#This Row],[Is Data Valid]]=TRUE,_xlfn.NORM.S.DIST(Table1[[#This Row],[Birthweight Z-Score (BW-10%)]],TRUE)*100,"")</f>
        <v/>
      </c>
      <c r="L9811" s="7" t="str">
        <f>IF(Table1[[#This Row],[Is Data Valid]]=TRUE,_xlfn.NORM.S.DIST(Table1[[#This Row],[Birthweight Z-Score (BW+10%)]],TRUE)*100,"")</f>
        <v/>
      </c>
    </row>
    <row r="9812" spans="1:12" x14ac:dyDescent="0.35">
      <c r="A9812" s="3"/>
      <c r="B9812" s="2"/>
      <c r="C9812" s="2"/>
      <c r="D9812" s="2" t="b">
        <f>IF(AND(NOT(ISBLANK(Table1[[#This Row],[Fetal Sex (Male, Female or Unknown)]])),ISNUMBER(Table1[[#This Row],[Birthweight (grams)]]),ISNUMBER(Table1[[#This Row],[Gestation (days)]])),TRUE,FALSE)</f>
        <v>0</v>
      </c>
      <c r="E9812" s="2" t="str">
        <f>IF(Table1[[#This Row],[Is Data Valid]]=TRUE,IF(Table1[[#This Row],[Fetal Sex (Male, Female or Unknown)]]="Male",Backend!$C$6,IF(Table1[[#This Row],[Fetal Sex (Male, Female or Unknown)]]="Female",Backend!$C$7,IF(Table1[[#This Row],[Fetal Sex (Male, Female or Unknown)]]="Unknown",Backend!$C$8,"Error"))),"")</f>
        <v/>
      </c>
      <c r="F9812" s="8" t="str">
        <f>IF(Table1[[#This Row],[Is Data Valid]]=TRUE,EXP(0.578+0.332*((Table1[[#This Row],[Gestation (days)]]+0.5)/7)-0.00354*((Table1[[#This Row],[Gestation (days)]]+0.5)/7)^2)*Table1[[#This Row],[BW40_3705]],"")</f>
        <v/>
      </c>
      <c r="G9812" s="2" t="str">
        <f>IF(Table1[[#This Row],[Is Data Valid]]=TRUE,((Table1[[#This Row],[Birthweight (grams)]]/Table1[[#This Row],[BW_GA]])-1)/(Backend!$B$4/100*Table1[[#This Row],[BW40_3705]]),"")</f>
        <v/>
      </c>
      <c r="H9812" s="7" t="str">
        <f>IF(Table1[[#This Row],[Is Data Valid]]=TRUE,((Table1[[#This Row],[Birthweight (grams)]]*0.9/Table1[[#This Row],[BW_GA]])-1)/(Backend!$B$4/100*Table1[[#This Row],[BW40_3705]]),"")</f>
        <v/>
      </c>
      <c r="I9812" s="7" t="str">
        <f>IF(Table1[[#This Row],[Is Data Valid]]=TRUE,((Table1[[#This Row],[Birthweight (grams)]]*1.1/Table1[[#This Row],[BW_GA]])-1)/(Backend!$B$4/100*Table1[[#This Row],[BW40_3705]]),"")</f>
        <v/>
      </c>
      <c r="J9812" s="7" t="str">
        <f>IF(Table1[[#This Row],[Is Data Valid]]=TRUE,_xlfn.NORM.S.DIST(Table1[[#This Row],[Birthweight Z-Score]],TRUE)*100,"")</f>
        <v/>
      </c>
      <c r="K9812" s="7" t="str">
        <f>IF(Table1[[#This Row],[Is Data Valid]]=TRUE,_xlfn.NORM.S.DIST(Table1[[#This Row],[Birthweight Z-Score (BW-10%)]],TRUE)*100,"")</f>
        <v/>
      </c>
      <c r="L9812" s="7" t="str">
        <f>IF(Table1[[#This Row],[Is Data Valid]]=TRUE,_xlfn.NORM.S.DIST(Table1[[#This Row],[Birthweight Z-Score (BW+10%)]],TRUE)*100,"")</f>
        <v/>
      </c>
    </row>
    <row r="9813" spans="1:12" x14ac:dyDescent="0.35">
      <c r="A9813" s="3"/>
      <c r="B9813" s="2"/>
      <c r="C9813" s="2"/>
      <c r="D9813" s="2" t="b">
        <f>IF(AND(NOT(ISBLANK(Table1[[#This Row],[Fetal Sex (Male, Female or Unknown)]])),ISNUMBER(Table1[[#This Row],[Birthweight (grams)]]),ISNUMBER(Table1[[#This Row],[Gestation (days)]])),TRUE,FALSE)</f>
        <v>0</v>
      </c>
      <c r="E9813" s="2" t="str">
        <f>IF(Table1[[#This Row],[Is Data Valid]]=TRUE,IF(Table1[[#This Row],[Fetal Sex (Male, Female or Unknown)]]="Male",Backend!$C$6,IF(Table1[[#This Row],[Fetal Sex (Male, Female or Unknown)]]="Female",Backend!$C$7,IF(Table1[[#This Row],[Fetal Sex (Male, Female or Unknown)]]="Unknown",Backend!$C$8,"Error"))),"")</f>
        <v/>
      </c>
      <c r="F9813" s="8" t="str">
        <f>IF(Table1[[#This Row],[Is Data Valid]]=TRUE,EXP(0.578+0.332*((Table1[[#This Row],[Gestation (days)]]+0.5)/7)-0.00354*((Table1[[#This Row],[Gestation (days)]]+0.5)/7)^2)*Table1[[#This Row],[BW40_3705]],"")</f>
        <v/>
      </c>
      <c r="G9813" s="2" t="str">
        <f>IF(Table1[[#This Row],[Is Data Valid]]=TRUE,((Table1[[#This Row],[Birthweight (grams)]]/Table1[[#This Row],[BW_GA]])-1)/(Backend!$B$4/100*Table1[[#This Row],[BW40_3705]]),"")</f>
        <v/>
      </c>
      <c r="H9813" s="7" t="str">
        <f>IF(Table1[[#This Row],[Is Data Valid]]=TRUE,((Table1[[#This Row],[Birthweight (grams)]]*0.9/Table1[[#This Row],[BW_GA]])-1)/(Backend!$B$4/100*Table1[[#This Row],[BW40_3705]]),"")</f>
        <v/>
      </c>
      <c r="I9813" s="7" t="str">
        <f>IF(Table1[[#This Row],[Is Data Valid]]=TRUE,((Table1[[#This Row],[Birthweight (grams)]]*1.1/Table1[[#This Row],[BW_GA]])-1)/(Backend!$B$4/100*Table1[[#This Row],[BW40_3705]]),"")</f>
        <v/>
      </c>
      <c r="J9813" s="7" t="str">
        <f>IF(Table1[[#This Row],[Is Data Valid]]=TRUE,_xlfn.NORM.S.DIST(Table1[[#This Row],[Birthweight Z-Score]],TRUE)*100,"")</f>
        <v/>
      </c>
      <c r="K9813" s="7" t="str">
        <f>IF(Table1[[#This Row],[Is Data Valid]]=TRUE,_xlfn.NORM.S.DIST(Table1[[#This Row],[Birthweight Z-Score (BW-10%)]],TRUE)*100,"")</f>
        <v/>
      </c>
      <c r="L9813" s="7" t="str">
        <f>IF(Table1[[#This Row],[Is Data Valid]]=TRUE,_xlfn.NORM.S.DIST(Table1[[#This Row],[Birthweight Z-Score (BW+10%)]],TRUE)*100,"")</f>
        <v/>
      </c>
    </row>
    <row r="9814" spans="1:12" x14ac:dyDescent="0.35">
      <c r="A9814" s="3"/>
      <c r="B9814" s="2"/>
      <c r="C9814" s="2"/>
      <c r="D9814" s="2" t="b">
        <f>IF(AND(NOT(ISBLANK(Table1[[#This Row],[Fetal Sex (Male, Female or Unknown)]])),ISNUMBER(Table1[[#This Row],[Birthweight (grams)]]),ISNUMBER(Table1[[#This Row],[Gestation (days)]])),TRUE,FALSE)</f>
        <v>0</v>
      </c>
      <c r="E9814" s="2" t="str">
        <f>IF(Table1[[#This Row],[Is Data Valid]]=TRUE,IF(Table1[[#This Row],[Fetal Sex (Male, Female or Unknown)]]="Male",Backend!$C$6,IF(Table1[[#This Row],[Fetal Sex (Male, Female or Unknown)]]="Female",Backend!$C$7,IF(Table1[[#This Row],[Fetal Sex (Male, Female or Unknown)]]="Unknown",Backend!$C$8,"Error"))),"")</f>
        <v/>
      </c>
      <c r="F9814" s="8" t="str">
        <f>IF(Table1[[#This Row],[Is Data Valid]]=TRUE,EXP(0.578+0.332*((Table1[[#This Row],[Gestation (days)]]+0.5)/7)-0.00354*((Table1[[#This Row],[Gestation (days)]]+0.5)/7)^2)*Table1[[#This Row],[BW40_3705]],"")</f>
        <v/>
      </c>
      <c r="G9814" s="2" t="str">
        <f>IF(Table1[[#This Row],[Is Data Valid]]=TRUE,((Table1[[#This Row],[Birthweight (grams)]]/Table1[[#This Row],[BW_GA]])-1)/(Backend!$B$4/100*Table1[[#This Row],[BW40_3705]]),"")</f>
        <v/>
      </c>
      <c r="H9814" s="7" t="str">
        <f>IF(Table1[[#This Row],[Is Data Valid]]=TRUE,((Table1[[#This Row],[Birthweight (grams)]]*0.9/Table1[[#This Row],[BW_GA]])-1)/(Backend!$B$4/100*Table1[[#This Row],[BW40_3705]]),"")</f>
        <v/>
      </c>
      <c r="I9814" s="7" t="str">
        <f>IF(Table1[[#This Row],[Is Data Valid]]=TRUE,((Table1[[#This Row],[Birthweight (grams)]]*1.1/Table1[[#This Row],[BW_GA]])-1)/(Backend!$B$4/100*Table1[[#This Row],[BW40_3705]]),"")</f>
        <v/>
      </c>
      <c r="J9814" s="7" t="str">
        <f>IF(Table1[[#This Row],[Is Data Valid]]=TRUE,_xlfn.NORM.S.DIST(Table1[[#This Row],[Birthweight Z-Score]],TRUE)*100,"")</f>
        <v/>
      </c>
      <c r="K9814" s="7" t="str">
        <f>IF(Table1[[#This Row],[Is Data Valid]]=TRUE,_xlfn.NORM.S.DIST(Table1[[#This Row],[Birthweight Z-Score (BW-10%)]],TRUE)*100,"")</f>
        <v/>
      </c>
      <c r="L9814" s="7" t="str">
        <f>IF(Table1[[#This Row],[Is Data Valid]]=TRUE,_xlfn.NORM.S.DIST(Table1[[#This Row],[Birthweight Z-Score (BW+10%)]],TRUE)*100,"")</f>
        <v/>
      </c>
    </row>
    <row r="9815" spans="1:12" x14ac:dyDescent="0.35">
      <c r="A9815" s="3"/>
      <c r="B9815" s="2"/>
      <c r="C9815" s="2"/>
      <c r="D9815" s="2" t="b">
        <f>IF(AND(NOT(ISBLANK(Table1[[#This Row],[Fetal Sex (Male, Female or Unknown)]])),ISNUMBER(Table1[[#This Row],[Birthweight (grams)]]),ISNUMBER(Table1[[#This Row],[Gestation (days)]])),TRUE,FALSE)</f>
        <v>0</v>
      </c>
      <c r="E9815" s="2" t="str">
        <f>IF(Table1[[#This Row],[Is Data Valid]]=TRUE,IF(Table1[[#This Row],[Fetal Sex (Male, Female or Unknown)]]="Male",Backend!$C$6,IF(Table1[[#This Row],[Fetal Sex (Male, Female or Unknown)]]="Female",Backend!$C$7,IF(Table1[[#This Row],[Fetal Sex (Male, Female or Unknown)]]="Unknown",Backend!$C$8,"Error"))),"")</f>
        <v/>
      </c>
      <c r="F9815" s="8" t="str">
        <f>IF(Table1[[#This Row],[Is Data Valid]]=TRUE,EXP(0.578+0.332*((Table1[[#This Row],[Gestation (days)]]+0.5)/7)-0.00354*((Table1[[#This Row],[Gestation (days)]]+0.5)/7)^2)*Table1[[#This Row],[BW40_3705]],"")</f>
        <v/>
      </c>
      <c r="G9815" s="2" t="str">
        <f>IF(Table1[[#This Row],[Is Data Valid]]=TRUE,((Table1[[#This Row],[Birthweight (grams)]]/Table1[[#This Row],[BW_GA]])-1)/(Backend!$B$4/100*Table1[[#This Row],[BW40_3705]]),"")</f>
        <v/>
      </c>
      <c r="H9815" s="7" t="str">
        <f>IF(Table1[[#This Row],[Is Data Valid]]=TRUE,((Table1[[#This Row],[Birthweight (grams)]]*0.9/Table1[[#This Row],[BW_GA]])-1)/(Backend!$B$4/100*Table1[[#This Row],[BW40_3705]]),"")</f>
        <v/>
      </c>
      <c r="I9815" s="7" t="str">
        <f>IF(Table1[[#This Row],[Is Data Valid]]=TRUE,((Table1[[#This Row],[Birthweight (grams)]]*1.1/Table1[[#This Row],[BW_GA]])-1)/(Backend!$B$4/100*Table1[[#This Row],[BW40_3705]]),"")</f>
        <v/>
      </c>
      <c r="J9815" s="7" t="str">
        <f>IF(Table1[[#This Row],[Is Data Valid]]=TRUE,_xlfn.NORM.S.DIST(Table1[[#This Row],[Birthweight Z-Score]],TRUE)*100,"")</f>
        <v/>
      </c>
      <c r="K9815" s="7" t="str">
        <f>IF(Table1[[#This Row],[Is Data Valid]]=TRUE,_xlfn.NORM.S.DIST(Table1[[#This Row],[Birthweight Z-Score (BW-10%)]],TRUE)*100,"")</f>
        <v/>
      </c>
      <c r="L9815" s="7" t="str">
        <f>IF(Table1[[#This Row],[Is Data Valid]]=TRUE,_xlfn.NORM.S.DIST(Table1[[#This Row],[Birthweight Z-Score (BW+10%)]],TRUE)*100,"")</f>
        <v/>
      </c>
    </row>
    <row r="9816" spans="1:12" x14ac:dyDescent="0.35">
      <c r="A9816" s="3"/>
      <c r="B9816" s="2"/>
      <c r="C9816" s="2"/>
      <c r="D9816" s="2" t="b">
        <f>IF(AND(NOT(ISBLANK(Table1[[#This Row],[Fetal Sex (Male, Female or Unknown)]])),ISNUMBER(Table1[[#This Row],[Birthweight (grams)]]),ISNUMBER(Table1[[#This Row],[Gestation (days)]])),TRUE,FALSE)</f>
        <v>0</v>
      </c>
      <c r="E9816" s="2" t="str">
        <f>IF(Table1[[#This Row],[Is Data Valid]]=TRUE,IF(Table1[[#This Row],[Fetal Sex (Male, Female or Unknown)]]="Male",Backend!$C$6,IF(Table1[[#This Row],[Fetal Sex (Male, Female or Unknown)]]="Female",Backend!$C$7,IF(Table1[[#This Row],[Fetal Sex (Male, Female or Unknown)]]="Unknown",Backend!$C$8,"Error"))),"")</f>
        <v/>
      </c>
      <c r="F9816" s="8" t="str">
        <f>IF(Table1[[#This Row],[Is Data Valid]]=TRUE,EXP(0.578+0.332*((Table1[[#This Row],[Gestation (days)]]+0.5)/7)-0.00354*((Table1[[#This Row],[Gestation (days)]]+0.5)/7)^2)*Table1[[#This Row],[BW40_3705]],"")</f>
        <v/>
      </c>
      <c r="G9816" s="2" t="str">
        <f>IF(Table1[[#This Row],[Is Data Valid]]=TRUE,((Table1[[#This Row],[Birthweight (grams)]]/Table1[[#This Row],[BW_GA]])-1)/(Backend!$B$4/100*Table1[[#This Row],[BW40_3705]]),"")</f>
        <v/>
      </c>
      <c r="H9816" s="7" t="str">
        <f>IF(Table1[[#This Row],[Is Data Valid]]=TRUE,((Table1[[#This Row],[Birthweight (grams)]]*0.9/Table1[[#This Row],[BW_GA]])-1)/(Backend!$B$4/100*Table1[[#This Row],[BW40_3705]]),"")</f>
        <v/>
      </c>
      <c r="I9816" s="7" t="str">
        <f>IF(Table1[[#This Row],[Is Data Valid]]=TRUE,((Table1[[#This Row],[Birthweight (grams)]]*1.1/Table1[[#This Row],[BW_GA]])-1)/(Backend!$B$4/100*Table1[[#This Row],[BW40_3705]]),"")</f>
        <v/>
      </c>
      <c r="J9816" s="7" t="str">
        <f>IF(Table1[[#This Row],[Is Data Valid]]=TRUE,_xlfn.NORM.S.DIST(Table1[[#This Row],[Birthweight Z-Score]],TRUE)*100,"")</f>
        <v/>
      </c>
      <c r="K9816" s="7" t="str">
        <f>IF(Table1[[#This Row],[Is Data Valid]]=TRUE,_xlfn.NORM.S.DIST(Table1[[#This Row],[Birthweight Z-Score (BW-10%)]],TRUE)*100,"")</f>
        <v/>
      </c>
      <c r="L9816" s="7" t="str">
        <f>IF(Table1[[#This Row],[Is Data Valid]]=TRUE,_xlfn.NORM.S.DIST(Table1[[#This Row],[Birthweight Z-Score (BW+10%)]],TRUE)*100,"")</f>
        <v/>
      </c>
    </row>
    <row r="9817" spans="1:12" x14ac:dyDescent="0.35">
      <c r="A9817" s="3"/>
      <c r="B9817" s="2"/>
      <c r="C9817" s="2"/>
      <c r="D9817" s="2" t="b">
        <f>IF(AND(NOT(ISBLANK(Table1[[#This Row],[Fetal Sex (Male, Female or Unknown)]])),ISNUMBER(Table1[[#This Row],[Birthweight (grams)]]),ISNUMBER(Table1[[#This Row],[Gestation (days)]])),TRUE,FALSE)</f>
        <v>0</v>
      </c>
      <c r="E9817" s="2" t="str">
        <f>IF(Table1[[#This Row],[Is Data Valid]]=TRUE,IF(Table1[[#This Row],[Fetal Sex (Male, Female or Unknown)]]="Male",Backend!$C$6,IF(Table1[[#This Row],[Fetal Sex (Male, Female or Unknown)]]="Female",Backend!$C$7,IF(Table1[[#This Row],[Fetal Sex (Male, Female or Unknown)]]="Unknown",Backend!$C$8,"Error"))),"")</f>
        <v/>
      </c>
      <c r="F9817" s="8" t="str">
        <f>IF(Table1[[#This Row],[Is Data Valid]]=TRUE,EXP(0.578+0.332*((Table1[[#This Row],[Gestation (days)]]+0.5)/7)-0.00354*((Table1[[#This Row],[Gestation (days)]]+0.5)/7)^2)*Table1[[#This Row],[BW40_3705]],"")</f>
        <v/>
      </c>
      <c r="G9817" s="2" t="str">
        <f>IF(Table1[[#This Row],[Is Data Valid]]=TRUE,((Table1[[#This Row],[Birthweight (grams)]]/Table1[[#This Row],[BW_GA]])-1)/(Backend!$B$4/100*Table1[[#This Row],[BW40_3705]]),"")</f>
        <v/>
      </c>
      <c r="H9817" s="7" t="str">
        <f>IF(Table1[[#This Row],[Is Data Valid]]=TRUE,((Table1[[#This Row],[Birthweight (grams)]]*0.9/Table1[[#This Row],[BW_GA]])-1)/(Backend!$B$4/100*Table1[[#This Row],[BW40_3705]]),"")</f>
        <v/>
      </c>
      <c r="I9817" s="7" t="str">
        <f>IF(Table1[[#This Row],[Is Data Valid]]=TRUE,((Table1[[#This Row],[Birthweight (grams)]]*1.1/Table1[[#This Row],[BW_GA]])-1)/(Backend!$B$4/100*Table1[[#This Row],[BW40_3705]]),"")</f>
        <v/>
      </c>
      <c r="J9817" s="7" t="str">
        <f>IF(Table1[[#This Row],[Is Data Valid]]=TRUE,_xlfn.NORM.S.DIST(Table1[[#This Row],[Birthweight Z-Score]],TRUE)*100,"")</f>
        <v/>
      </c>
      <c r="K9817" s="7" t="str">
        <f>IF(Table1[[#This Row],[Is Data Valid]]=TRUE,_xlfn.NORM.S.DIST(Table1[[#This Row],[Birthweight Z-Score (BW-10%)]],TRUE)*100,"")</f>
        <v/>
      </c>
      <c r="L9817" s="7" t="str">
        <f>IF(Table1[[#This Row],[Is Data Valid]]=TRUE,_xlfn.NORM.S.DIST(Table1[[#This Row],[Birthweight Z-Score (BW+10%)]],TRUE)*100,"")</f>
        <v/>
      </c>
    </row>
    <row r="9818" spans="1:12" x14ac:dyDescent="0.35">
      <c r="A9818" s="3"/>
      <c r="B9818" s="2"/>
      <c r="C9818" s="2"/>
      <c r="D9818" s="2" t="b">
        <f>IF(AND(NOT(ISBLANK(Table1[[#This Row],[Fetal Sex (Male, Female or Unknown)]])),ISNUMBER(Table1[[#This Row],[Birthweight (grams)]]),ISNUMBER(Table1[[#This Row],[Gestation (days)]])),TRUE,FALSE)</f>
        <v>0</v>
      </c>
      <c r="E9818" s="2" t="str">
        <f>IF(Table1[[#This Row],[Is Data Valid]]=TRUE,IF(Table1[[#This Row],[Fetal Sex (Male, Female or Unknown)]]="Male",Backend!$C$6,IF(Table1[[#This Row],[Fetal Sex (Male, Female or Unknown)]]="Female",Backend!$C$7,IF(Table1[[#This Row],[Fetal Sex (Male, Female or Unknown)]]="Unknown",Backend!$C$8,"Error"))),"")</f>
        <v/>
      </c>
      <c r="F9818" s="8" t="str">
        <f>IF(Table1[[#This Row],[Is Data Valid]]=TRUE,EXP(0.578+0.332*((Table1[[#This Row],[Gestation (days)]]+0.5)/7)-0.00354*((Table1[[#This Row],[Gestation (days)]]+0.5)/7)^2)*Table1[[#This Row],[BW40_3705]],"")</f>
        <v/>
      </c>
      <c r="G9818" s="2" t="str">
        <f>IF(Table1[[#This Row],[Is Data Valid]]=TRUE,((Table1[[#This Row],[Birthweight (grams)]]/Table1[[#This Row],[BW_GA]])-1)/(Backend!$B$4/100*Table1[[#This Row],[BW40_3705]]),"")</f>
        <v/>
      </c>
      <c r="H9818" s="7" t="str">
        <f>IF(Table1[[#This Row],[Is Data Valid]]=TRUE,((Table1[[#This Row],[Birthweight (grams)]]*0.9/Table1[[#This Row],[BW_GA]])-1)/(Backend!$B$4/100*Table1[[#This Row],[BW40_3705]]),"")</f>
        <v/>
      </c>
      <c r="I9818" s="7" t="str">
        <f>IF(Table1[[#This Row],[Is Data Valid]]=TRUE,((Table1[[#This Row],[Birthweight (grams)]]*1.1/Table1[[#This Row],[BW_GA]])-1)/(Backend!$B$4/100*Table1[[#This Row],[BW40_3705]]),"")</f>
        <v/>
      </c>
      <c r="J9818" s="7" t="str">
        <f>IF(Table1[[#This Row],[Is Data Valid]]=TRUE,_xlfn.NORM.S.DIST(Table1[[#This Row],[Birthweight Z-Score]],TRUE)*100,"")</f>
        <v/>
      </c>
      <c r="K9818" s="7" t="str">
        <f>IF(Table1[[#This Row],[Is Data Valid]]=TRUE,_xlfn.NORM.S.DIST(Table1[[#This Row],[Birthweight Z-Score (BW-10%)]],TRUE)*100,"")</f>
        <v/>
      </c>
      <c r="L9818" s="7" t="str">
        <f>IF(Table1[[#This Row],[Is Data Valid]]=TRUE,_xlfn.NORM.S.DIST(Table1[[#This Row],[Birthweight Z-Score (BW+10%)]],TRUE)*100,"")</f>
        <v/>
      </c>
    </row>
    <row r="9819" spans="1:12" x14ac:dyDescent="0.35">
      <c r="A9819" s="3"/>
      <c r="B9819" s="2"/>
      <c r="C9819" s="2"/>
      <c r="D9819" s="2" t="b">
        <f>IF(AND(NOT(ISBLANK(Table1[[#This Row],[Fetal Sex (Male, Female or Unknown)]])),ISNUMBER(Table1[[#This Row],[Birthweight (grams)]]),ISNUMBER(Table1[[#This Row],[Gestation (days)]])),TRUE,FALSE)</f>
        <v>0</v>
      </c>
      <c r="E9819" s="2" t="str">
        <f>IF(Table1[[#This Row],[Is Data Valid]]=TRUE,IF(Table1[[#This Row],[Fetal Sex (Male, Female or Unknown)]]="Male",Backend!$C$6,IF(Table1[[#This Row],[Fetal Sex (Male, Female or Unknown)]]="Female",Backend!$C$7,IF(Table1[[#This Row],[Fetal Sex (Male, Female or Unknown)]]="Unknown",Backend!$C$8,"Error"))),"")</f>
        <v/>
      </c>
      <c r="F9819" s="8" t="str">
        <f>IF(Table1[[#This Row],[Is Data Valid]]=TRUE,EXP(0.578+0.332*((Table1[[#This Row],[Gestation (days)]]+0.5)/7)-0.00354*((Table1[[#This Row],[Gestation (days)]]+0.5)/7)^2)*Table1[[#This Row],[BW40_3705]],"")</f>
        <v/>
      </c>
      <c r="G9819" s="2" t="str">
        <f>IF(Table1[[#This Row],[Is Data Valid]]=TRUE,((Table1[[#This Row],[Birthweight (grams)]]/Table1[[#This Row],[BW_GA]])-1)/(Backend!$B$4/100*Table1[[#This Row],[BW40_3705]]),"")</f>
        <v/>
      </c>
      <c r="H9819" s="7" t="str">
        <f>IF(Table1[[#This Row],[Is Data Valid]]=TRUE,((Table1[[#This Row],[Birthweight (grams)]]*0.9/Table1[[#This Row],[BW_GA]])-1)/(Backend!$B$4/100*Table1[[#This Row],[BW40_3705]]),"")</f>
        <v/>
      </c>
      <c r="I9819" s="7" t="str">
        <f>IF(Table1[[#This Row],[Is Data Valid]]=TRUE,((Table1[[#This Row],[Birthweight (grams)]]*1.1/Table1[[#This Row],[BW_GA]])-1)/(Backend!$B$4/100*Table1[[#This Row],[BW40_3705]]),"")</f>
        <v/>
      </c>
      <c r="J9819" s="7" t="str">
        <f>IF(Table1[[#This Row],[Is Data Valid]]=TRUE,_xlfn.NORM.S.DIST(Table1[[#This Row],[Birthweight Z-Score]],TRUE)*100,"")</f>
        <v/>
      </c>
      <c r="K9819" s="7" t="str">
        <f>IF(Table1[[#This Row],[Is Data Valid]]=TRUE,_xlfn.NORM.S.DIST(Table1[[#This Row],[Birthweight Z-Score (BW-10%)]],TRUE)*100,"")</f>
        <v/>
      </c>
      <c r="L9819" s="7" t="str">
        <f>IF(Table1[[#This Row],[Is Data Valid]]=TRUE,_xlfn.NORM.S.DIST(Table1[[#This Row],[Birthweight Z-Score (BW+10%)]],TRUE)*100,"")</f>
        <v/>
      </c>
    </row>
    <row r="9820" spans="1:12" x14ac:dyDescent="0.35">
      <c r="A9820" s="3"/>
      <c r="B9820" s="2"/>
      <c r="C9820" s="2"/>
      <c r="D9820" s="2" t="b">
        <f>IF(AND(NOT(ISBLANK(Table1[[#This Row],[Fetal Sex (Male, Female or Unknown)]])),ISNUMBER(Table1[[#This Row],[Birthweight (grams)]]),ISNUMBER(Table1[[#This Row],[Gestation (days)]])),TRUE,FALSE)</f>
        <v>0</v>
      </c>
      <c r="E9820" s="2" t="str">
        <f>IF(Table1[[#This Row],[Is Data Valid]]=TRUE,IF(Table1[[#This Row],[Fetal Sex (Male, Female or Unknown)]]="Male",Backend!$C$6,IF(Table1[[#This Row],[Fetal Sex (Male, Female or Unknown)]]="Female",Backend!$C$7,IF(Table1[[#This Row],[Fetal Sex (Male, Female or Unknown)]]="Unknown",Backend!$C$8,"Error"))),"")</f>
        <v/>
      </c>
      <c r="F9820" s="8" t="str">
        <f>IF(Table1[[#This Row],[Is Data Valid]]=TRUE,EXP(0.578+0.332*((Table1[[#This Row],[Gestation (days)]]+0.5)/7)-0.00354*((Table1[[#This Row],[Gestation (days)]]+0.5)/7)^2)*Table1[[#This Row],[BW40_3705]],"")</f>
        <v/>
      </c>
      <c r="G9820" s="2" t="str">
        <f>IF(Table1[[#This Row],[Is Data Valid]]=TRUE,((Table1[[#This Row],[Birthweight (grams)]]/Table1[[#This Row],[BW_GA]])-1)/(Backend!$B$4/100*Table1[[#This Row],[BW40_3705]]),"")</f>
        <v/>
      </c>
      <c r="H9820" s="7" t="str">
        <f>IF(Table1[[#This Row],[Is Data Valid]]=TRUE,((Table1[[#This Row],[Birthweight (grams)]]*0.9/Table1[[#This Row],[BW_GA]])-1)/(Backend!$B$4/100*Table1[[#This Row],[BW40_3705]]),"")</f>
        <v/>
      </c>
      <c r="I9820" s="7" t="str">
        <f>IF(Table1[[#This Row],[Is Data Valid]]=TRUE,((Table1[[#This Row],[Birthweight (grams)]]*1.1/Table1[[#This Row],[BW_GA]])-1)/(Backend!$B$4/100*Table1[[#This Row],[BW40_3705]]),"")</f>
        <v/>
      </c>
      <c r="J9820" s="7" t="str">
        <f>IF(Table1[[#This Row],[Is Data Valid]]=TRUE,_xlfn.NORM.S.DIST(Table1[[#This Row],[Birthweight Z-Score]],TRUE)*100,"")</f>
        <v/>
      </c>
      <c r="K9820" s="7" t="str">
        <f>IF(Table1[[#This Row],[Is Data Valid]]=TRUE,_xlfn.NORM.S.DIST(Table1[[#This Row],[Birthweight Z-Score (BW-10%)]],TRUE)*100,"")</f>
        <v/>
      </c>
      <c r="L9820" s="7" t="str">
        <f>IF(Table1[[#This Row],[Is Data Valid]]=TRUE,_xlfn.NORM.S.DIST(Table1[[#This Row],[Birthweight Z-Score (BW+10%)]],TRUE)*100,"")</f>
        <v/>
      </c>
    </row>
    <row r="9821" spans="1:12" x14ac:dyDescent="0.35">
      <c r="A9821" s="3"/>
      <c r="B9821" s="2"/>
      <c r="C9821" s="2"/>
      <c r="D9821" s="2" t="b">
        <f>IF(AND(NOT(ISBLANK(Table1[[#This Row],[Fetal Sex (Male, Female or Unknown)]])),ISNUMBER(Table1[[#This Row],[Birthweight (grams)]]),ISNUMBER(Table1[[#This Row],[Gestation (days)]])),TRUE,FALSE)</f>
        <v>0</v>
      </c>
      <c r="E9821" s="2" t="str">
        <f>IF(Table1[[#This Row],[Is Data Valid]]=TRUE,IF(Table1[[#This Row],[Fetal Sex (Male, Female or Unknown)]]="Male",Backend!$C$6,IF(Table1[[#This Row],[Fetal Sex (Male, Female or Unknown)]]="Female",Backend!$C$7,IF(Table1[[#This Row],[Fetal Sex (Male, Female or Unknown)]]="Unknown",Backend!$C$8,"Error"))),"")</f>
        <v/>
      </c>
      <c r="F9821" s="8" t="str">
        <f>IF(Table1[[#This Row],[Is Data Valid]]=TRUE,EXP(0.578+0.332*((Table1[[#This Row],[Gestation (days)]]+0.5)/7)-0.00354*((Table1[[#This Row],[Gestation (days)]]+0.5)/7)^2)*Table1[[#This Row],[BW40_3705]],"")</f>
        <v/>
      </c>
      <c r="G9821" s="2" t="str">
        <f>IF(Table1[[#This Row],[Is Data Valid]]=TRUE,((Table1[[#This Row],[Birthweight (grams)]]/Table1[[#This Row],[BW_GA]])-1)/(Backend!$B$4/100*Table1[[#This Row],[BW40_3705]]),"")</f>
        <v/>
      </c>
      <c r="H9821" s="7" t="str">
        <f>IF(Table1[[#This Row],[Is Data Valid]]=TRUE,((Table1[[#This Row],[Birthweight (grams)]]*0.9/Table1[[#This Row],[BW_GA]])-1)/(Backend!$B$4/100*Table1[[#This Row],[BW40_3705]]),"")</f>
        <v/>
      </c>
      <c r="I9821" s="7" t="str">
        <f>IF(Table1[[#This Row],[Is Data Valid]]=TRUE,((Table1[[#This Row],[Birthweight (grams)]]*1.1/Table1[[#This Row],[BW_GA]])-1)/(Backend!$B$4/100*Table1[[#This Row],[BW40_3705]]),"")</f>
        <v/>
      </c>
      <c r="J9821" s="7" t="str">
        <f>IF(Table1[[#This Row],[Is Data Valid]]=TRUE,_xlfn.NORM.S.DIST(Table1[[#This Row],[Birthweight Z-Score]],TRUE)*100,"")</f>
        <v/>
      </c>
      <c r="K9821" s="7" t="str">
        <f>IF(Table1[[#This Row],[Is Data Valid]]=TRUE,_xlfn.NORM.S.DIST(Table1[[#This Row],[Birthweight Z-Score (BW-10%)]],TRUE)*100,"")</f>
        <v/>
      </c>
      <c r="L9821" s="7" t="str">
        <f>IF(Table1[[#This Row],[Is Data Valid]]=TRUE,_xlfn.NORM.S.DIST(Table1[[#This Row],[Birthweight Z-Score (BW+10%)]],TRUE)*100,"")</f>
        <v/>
      </c>
    </row>
    <row r="9822" spans="1:12" x14ac:dyDescent="0.35">
      <c r="A9822" s="3"/>
      <c r="B9822" s="2"/>
      <c r="C9822" s="2"/>
      <c r="D9822" s="2" t="b">
        <f>IF(AND(NOT(ISBLANK(Table1[[#This Row],[Fetal Sex (Male, Female or Unknown)]])),ISNUMBER(Table1[[#This Row],[Birthweight (grams)]]),ISNUMBER(Table1[[#This Row],[Gestation (days)]])),TRUE,FALSE)</f>
        <v>0</v>
      </c>
      <c r="E9822" s="2" t="str">
        <f>IF(Table1[[#This Row],[Is Data Valid]]=TRUE,IF(Table1[[#This Row],[Fetal Sex (Male, Female or Unknown)]]="Male",Backend!$C$6,IF(Table1[[#This Row],[Fetal Sex (Male, Female or Unknown)]]="Female",Backend!$C$7,IF(Table1[[#This Row],[Fetal Sex (Male, Female or Unknown)]]="Unknown",Backend!$C$8,"Error"))),"")</f>
        <v/>
      </c>
      <c r="F9822" s="8" t="str">
        <f>IF(Table1[[#This Row],[Is Data Valid]]=TRUE,EXP(0.578+0.332*((Table1[[#This Row],[Gestation (days)]]+0.5)/7)-0.00354*((Table1[[#This Row],[Gestation (days)]]+0.5)/7)^2)*Table1[[#This Row],[BW40_3705]],"")</f>
        <v/>
      </c>
      <c r="G9822" s="2" t="str">
        <f>IF(Table1[[#This Row],[Is Data Valid]]=TRUE,((Table1[[#This Row],[Birthweight (grams)]]/Table1[[#This Row],[BW_GA]])-1)/(Backend!$B$4/100*Table1[[#This Row],[BW40_3705]]),"")</f>
        <v/>
      </c>
      <c r="H9822" s="7" t="str">
        <f>IF(Table1[[#This Row],[Is Data Valid]]=TRUE,((Table1[[#This Row],[Birthweight (grams)]]*0.9/Table1[[#This Row],[BW_GA]])-1)/(Backend!$B$4/100*Table1[[#This Row],[BW40_3705]]),"")</f>
        <v/>
      </c>
      <c r="I9822" s="7" t="str">
        <f>IF(Table1[[#This Row],[Is Data Valid]]=TRUE,((Table1[[#This Row],[Birthweight (grams)]]*1.1/Table1[[#This Row],[BW_GA]])-1)/(Backend!$B$4/100*Table1[[#This Row],[BW40_3705]]),"")</f>
        <v/>
      </c>
      <c r="J9822" s="7" t="str">
        <f>IF(Table1[[#This Row],[Is Data Valid]]=TRUE,_xlfn.NORM.S.DIST(Table1[[#This Row],[Birthweight Z-Score]],TRUE)*100,"")</f>
        <v/>
      </c>
      <c r="K9822" s="7" t="str">
        <f>IF(Table1[[#This Row],[Is Data Valid]]=TRUE,_xlfn.NORM.S.DIST(Table1[[#This Row],[Birthweight Z-Score (BW-10%)]],TRUE)*100,"")</f>
        <v/>
      </c>
      <c r="L9822" s="7" t="str">
        <f>IF(Table1[[#This Row],[Is Data Valid]]=TRUE,_xlfn.NORM.S.DIST(Table1[[#This Row],[Birthweight Z-Score (BW+10%)]],TRUE)*100,"")</f>
        <v/>
      </c>
    </row>
    <row r="9823" spans="1:12" x14ac:dyDescent="0.35">
      <c r="A9823" s="3"/>
      <c r="B9823" s="2"/>
      <c r="C9823" s="2"/>
      <c r="D9823" s="2" t="b">
        <f>IF(AND(NOT(ISBLANK(Table1[[#This Row],[Fetal Sex (Male, Female or Unknown)]])),ISNUMBER(Table1[[#This Row],[Birthweight (grams)]]),ISNUMBER(Table1[[#This Row],[Gestation (days)]])),TRUE,FALSE)</f>
        <v>0</v>
      </c>
      <c r="E9823" s="2" t="str">
        <f>IF(Table1[[#This Row],[Is Data Valid]]=TRUE,IF(Table1[[#This Row],[Fetal Sex (Male, Female or Unknown)]]="Male",Backend!$C$6,IF(Table1[[#This Row],[Fetal Sex (Male, Female or Unknown)]]="Female",Backend!$C$7,IF(Table1[[#This Row],[Fetal Sex (Male, Female or Unknown)]]="Unknown",Backend!$C$8,"Error"))),"")</f>
        <v/>
      </c>
      <c r="F9823" s="8" t="str">
        <f>IF(Table1[[#This Row],[Is Data Valid]]=TRUE,EXP(0.578+0.332*((Table1[[#This Row],[Gestation (days)]]+0.5)/7)-0.00354*((Table1[[#This Row],[Gestation (days)]]+0.5)/7)^2)*Table1[[#This Row],[BW40_3705]],"")</f>
        <v/>
      </c>
      <c r="G9823" s="2" t="str">
        <f>IF(Table1[[#This Row],[Is Data Valid]]=TRUE,((Table1[[#This Row],[Birthweight (grams)]]/Table1[[#This Row],[BW_GA]])-1)/(Backend!$B$4/100*Table1[[#This Row],[BW40_3705]]),"")</f>
        <v/>
      </c>
      <c r="H9823" s="7" t="str">
        <f>IF(Table1[[#This Row],[Is Data Valid]]=TRUE,((Table1[[#This Row],[Birthweight (grams)]]*0.9/Table1[[#This Row],[BW_GA]])-1)/(Backend!$B$4/100*Table1[[#This Row],[BW40_3705]]),"")</f>
        <v/>
      </c>
      <c r="I9823" s="7" t="str">
        <f>IF(Table1[[#This Row],[Is Data Valid]]=TRUE,((Table1[[#This Row],[Birthweight (grams)]]*1.1/Table1[[#This Row],[BW_GA]])-1)/(Backend!$B$4/100*Table1[[#This Row],[BW40_3705]]),"")</f>
        <v/>
      </c>
      <c r="J9823" s="7" t="str">
        <f>IF(Table1[[#This Row],[Is Data Valid]]=TRUE,_xlfn.NORM.S.DIST(Table1[[#This Row],[Birthweight Z-Score]],TRUE)*100,"")</f>
        <v/>
      </c>
      <c r="K9823" s="7" t="str">
        <f>IF(Table1[[#This Row],[Is Data Valid]]=TRUE,_xlfn.NORM.S.DIST(Table1[[#This Row],[Birthweight Z-Score (BW-10%)]],TRUE)*100,"")</f>
        <v/>
      </c>
      <c r="L9823" s="7" t="str">
        <f>IF(Table1[[#This Row],[Is Data Valid]]=TRUE,_xlfn.NORM.S.DIST(Table1[[#This Row],[Birthweight Z-Score (BW+10%)]],TRUE)*100,"")</f>
        <v/>
      </c>
    </row>
    <row r="9824" spans="1:12" x14ac:dyDescent="0.35">
      <c r="A9824" s="3"/>
      <c r="B9824" s="2"/>
      <c r="C9824" s="2"/>
      <c r="D9824" s="2" t="b">
        <f>IF(AND(NOT(ISBLANK(Table1[[#This Row],[Fetal Sex (Male, Female or Unknown)]])),ISNUMBER(Table1[[#This Row],[Birthweight (grams)]]),ISNUMBER(Table1[[#This Row],[Gestation (days)]])),TRUE,FALSE)</f>
        <v>0</v>
      </c>
      <c r="E9824" s="2" t="str">
        <f>IF(Table1[[#This Row],[Is Data Valid]]=TRUE,IF(Table1[[#This Row],[Fetal Sex (Male, Female or Unknown)]]="Male",Backend!$C$6,IF(Table1[[#This Row],[Fetal Sex (Male, Female or Unknown)]]="Female",Backend!$C$7,IF(Table1[[#This Row],[Fetal Sex (Male, Female or Unknown)]]="Unknown",Backend!$C$8,"Error"))),"")</f>
        <v/>
      </c>
      <c r="F9824" s="8" t="str">
        <f>IF(Table1[[#This Row],[Is Data Valid]]=TRUE,EXP(0.578+0.332*((Table1[[#This Row],[Gestation (days)]]+0.5)/7)-0.00354*((Table1[[#This Row],[Gestation (days)]]+0.5)/7)^2)*Table1[[#This Row],[BW40_3705]],"")</f>
        <v/>
      </c>
      <c r="G9824" s="2" t="str">
        <f>IF(Table1[[#This Row],[Is Data Valid]]=TRUE,((Table1[[#This Row],[Birthweight (grams)]]/Table1[[#This Row],[BW_GA]])-1)/(Backend!$B$4/100*Table1[[#This Row],[BW40_3705]]),"")</f>
        <v/>
      </c>
      <c r="H9824" s="7" t="str">
        <f>IF(Table1[[#This Row],[Is Data Valid]]=TRUE,((Table1[[#This Row],[Birthweight (grams)]]*0.9/Table1[[#This Row],[BW_GA]])-1)/(Backend!$B$4/100*Table1[[#This Row],[BW40_3705]]),"")</f>
        <v/>
      </c>
      <c r="I9824" s="7" t="str">
        <f>IF(Table1[[#This Row],[Is Data Valid]]=TRUE,((Table1[[#This Row],[Birthweight (grams)]]*1.1/Table1[[#This Row],[BW_GA]])-1)/(Backend!$B$4/100*Table1[[#This Row],[BW40_3705]]),"")</f>
        <v/>
      </c>
      <c r="J9824" s="7" t="str">
        <f>IF(Table1[[#This Row],[Is Data Valid]]=TRUE,_xlfn.NORM.S.DIST(Table1[[#This Row],[Birthweight Z-Score]],TRUE)*100,"")</f>
        <v/>
      </c>
      <c r="K9824" s="7" t="str">
        <f>IF(Table1[[#This Row],[Is Data Valid]]=TRUE,_xlfn.NORM.S.DIST(Table1[[#This Row],[Birthweight Z-Score (BW-10%)]],TRUE)*100,"")</f>
        <v/>
      </c>
      <c r="L9824" s="7" t="str">
        <f>IF(Table1[[#This Row],[Is Data Valid]]=TRUE,_xlfn.NORM.S.DIST(Table1[[#This Row],[Birthweight Z-Score (BW+10%)]],TRUE)*100,"")</f>
        <v/>
      </c>
    </row>
    <row r="9825" spans="1:12" x14ac:dyDescent="0.35">
      <c r="A9825" s="3"/>
      <c r="B9825" s="2"/>
      <c r="C9825" s="2"/>
      <c r="D9825" s="2" t="b">
        <f>IF(AND(NOT(ISBLANK(Table1[[#This Row],[Fetal Sex (Male, Female or Unknown)]])),ISNUMBER(Table1[[#This Row],[Birthweight (grams)]]),ISNUMBER(Table1[[#This Row],[Gestation (days)]])),TRUE,FALSE)</f>
        <v>0</v>
      </c>
      <c r="E9825" s="2" t="str">
        <f>IF(Table1[[#This Row],[Is Data Valid]]=TRUE,IF(Table1[[#This Row],[Fetal Sex (Male, Female or Unknown)]]="Male",Backend!$C$6,IF(Table1[[#This Row],[Fetal Sex (Male, Female or Unknown)]]="Female",Backend!$C$7,IF(Table1[[#This Row],[Fetal Sex (Male, Female or Unknown)]]="Unknown",Backend!$C$8,"Error"))),"")</f>
        <v/>
      </c>
      <c r="F9825" s="8" t="str">
        <f>IF(Table1[[#This Row],[Is Data Valid]]=TRUE,EXP(0.578+0.332*((Table1[[#This Row],[Gestation (days)]]+0.5)/7)-0.00354*((Table1[[#This Row],[Gestation (days)]]+0.5)/7)^2)*Table1[[#This Row],[BW40_3705]],"")</f>
        <v/>
      </c>
      <c r="G9825" s="2" t="str">
        <f>IF(Table1[[#This Row],[Is Data Valid]]=TRUE,((Table1[[#This Row],[Birthweight (grams)]]/Table1[[#This Row],[BW_GA]])-1)/(Backend!$B$4/100*Table1[[#This Row],[BW40_3705]]),"")</f>
        <v/>
      </c>
      <c r="H9825" s="7" t="str">
        <f>IF(Table1[[#This Row],[Is Data Valid]]=TRUE,((Table1[[#This Row],[Birthweight (grams)]]*0.9/Table1[[#This Row],[BW_GA]])-1)/(Backend!$B$4/100*Table1[[#This Row],[BW40_3705]]),"")</f>
        <v/>
      </c>
      <c r="I9825" s="7" t="str">
        <f>IF(Table1[[#This Row],[Is Data Valid]]=TRUE,((Table1[[#This Row],[Birthweight (grams)]]*1.1/Table1[[#This Row],[BW_GA]])-1)/(Backend!$B$4/100*Table1[[#This Row],[BW40_3705]]),"")</f>
        <v/>
      </c>
      <c r="J9825" s="7" t="str">
        <f>IF(Table1[[#This Row],[Is Data Valid]]=TRUE,_xlfn.NORM.S.DIST(Table1[[#This Row],[Birthweight Z-Score]],TRUE)*100,"")</f>
        <v/>
      </c>
      <c r="K9825" s="7" t="str">
        <f>IF(Table1[[#This Row],[Is Data Valid]]=TRUE,_xlfn.NORM.S.DIST(Table1[[#This Row],[Birthweight Z-Score (BW-10%)]],TRUE)*100,"")</f>
        <v/>
      </c>
      <c r="L9825" s="7" t="str">
        <f>IF(Table1[[#This Row],[Is Data Valid]]=TRUE,_xlfn.NORM.S.DIST(Table1[[#This Row],[Birthweight Z-Score (BW+10%)]],TRUE)*100,"")</f>
        <v/>
      </c>
    </row>
    <row r="9826" spans="1:12" x14ac:dyDescent="0.35">
      <c r="A9826" s="3"/>
      <c r="B9826" s="2"/>
      <c r="C9826" s="2"/>
      <c r="D9826" s="2" t="b">
        <f>IF(AND(NOT(ISBLANK(Table1[[#This Row],[Fetal Sex (Male, Female or Unknown)]])),ISNUMBER(Table1[[#This Row],[Birthweight (grams)]]),ISNUMBER(Table1[[#This Row],[Gestation (days)]])),TRUE,FALSE)</f>
        <v>0</v>
      </c>
      <c r="E9826" s="2" t="str">
        <f>IF(Table1[[#This Row],[Is Data Valid]]=TRUE,IF(Table1[[#This Row],[Fetal Sex (Male, Female or Unknown)]]="Male",Backend!$C$6,IF(Table1[[#This Row],[Fetal Sex (Male, Female or Unknown)]]="Female",Backend!$C$7,IF(Table1[[#This Row],[Fetal Sex (Male, Female or Unknown)]]="Unknown",Backend!$C$8,"Error"))),"")</f>
        <v/>
      </c>
      <c r="F9826" s="8" t="str">
        <f>IF(Table1[[#This Row],[Is Data Valid]]=TRUE,EXP(0.578+0.332*((Table1[[#This Row],[Gestation (days)]]+0.5)/7)-0.00354*((Table1[[#This Row],[Gestation (days)]]+0.5)/7)^2)*Table1[[#This Row],[BW40_3705]],"")</f>
        <v/>
      </c>
      <c r="G9826" s="2" t="str">
        <f>IF(Table1[[#This Row],[Is Data Valid]]=TRUE,((Table1[[#This Row],[Birthweight (grams)]]/Table1[[#This Row],[BW_GA]])-1)/(Backend!$B$4/100*Table1[[#This Row],[BW40_3705]]),"")</f>
        <v/>
      </c>
      <c r="H9826" s="7" t="str">
        <f>IF(Table1[[#This Row],[Is Data Valid]]=TRUE,((Table1[[#This Row],[Birthweight (grams)]]*0.9/Table1[[#This Row],[BW_GA]])-1)/(Backend!$B$4/100*Table1[[#This Row],[BW40_3705]]),"")</f>
        <v/>
      </c>
      <c r="I9826" s="7" t="str">
        <f>IF(Table1[[#This Row],[Is Data Valid]]=TRUE,((Table1[[#This Row],[Birthweight (grams)]]*1.1/Table1[[#This Row],[BW_GA]])-1)/(Backend!$B$4/100*Table1[[#This Row],[BW40_3705]]),"")</f>
        <v/>
      </c>
      <c r="J9826" s="7" t="str">
        <f>IF(Table1[[#This Row],[Is Data Valid]]=TRUE,_xlfn.NORM.S.DIST(Table1[[#This Row],[Birthweight Z-Score]],TRUE)*100,"")</f>
        <v/>
      </c>
      <c r="K9826" s="7" t="str">
        <f>IF(Table1[[#This Row],[Is Data Valid]]=TRUE,_xlfn.NORM.S.DIST(Table1[[#This Row],[Birthweight Z-Score (BW-10%)]],TRUE)*100,"")</f>
        <v/>
      </c>
      <c r="L9826" s="7" t="str">
        <f>IF(Table1[[#This Row],[Is Data Valid]]=TRUE,_xlfn.NORM.S.DIST(Table1[[#This Row],[Birthweight Z-Score (BW+10%)]],TRUE)*100,"")</f>
        <v/>
      </c>
    </row>
    <row r="9827" spans="1:12" x14ac:dyDescent="0.35">
      <c r="A9827" s="3"/>
      <c r="B9827" s="2"/>
      <c r="C9827" s="2"/>
      <c r="D9827" s="2" t="b">
        <f>IF(AND(NOT(ISBLANK(Table1[[#This Row],[Fetal Sex (Male, Female or Unknown)]])),ISNUMBER(Table1[[#This Row],[Birthweight (grams)]]),ISNUMBER(Table1[[#This Row],[Gestation (days)]])),TRUE,FALSE)</f>
        <v>0</v>
      </c>
      <c r="E9827" s="2" t="str">
        <f>IF(Table1[[#This Row],[Is Data Valid]]=TRUE,IF(Table1[[#This Row],[Fetal Sex (Male, Female or Unknown)]]="Male",Backend!$C$6,IF(Table1[[#This Row],[Fetal Sex (Male, Female or Unknown)]]="Female",Backend!$C$7,IF(Table1[[#This Row],[Fetal Sex (Male, Female or Unknown)]]="Unknown",Backend!$C$8,"Error"))),"")</f>
        <v/>
      </c>
      <c r="F9827" s="8" t="str">
        <f>IF(Table1[[#This Row],[Is Data Valid]]=TRUE,EXP(0.578+0.332*((Table1[[#This Row],[Gestation (days)]]+0.5)/7)-0.00354*((Table1[[#This Row],[Gestation (days)]]+0.5)/7)^2)*Table1[[#This Row],[BW40_3705]],"")</f>
        <v/>
      </c>
      <c r="G9827" s="2" t="str">
        <f>IF(Table1[[#This Row],[Is Data Valid]]=TRUE,((Table1[[#This Row],[Birthweight (grams)]]/Table1[[#This Row],[BW_GA]])-1)/(Backend!$B$4/100*Table1[[#This Row],[BW40_3705]]),"")</f>
        <v/>
      </c>
      <c r="H9827" s="7" t="str">
        <f>IF(Table1[[#This Row],[Is Data Valid]]=TRUE,((Table1[[#This Row],[Birthweight (grams)]]*0.9/Table1[[#This Row],[BW_GA]])-1)/(Backend!$B$4/100*Table1[[#This Row],[BW40_3705]]),"")</f>
        <v/>
      </c>
      <c r="I9827" s="7" t="str">
        <f>IF(Table1[[#This Row],[Is Data Valid]]=TRUE,((Table1[[#This Row],[Birthweight (grams)]]*1.1/Table1[[#This Row],[BW_GA]])-1)/(Backend!$B$4/100*Table1[[#This Row],[BW40_3705]]),"")</f>
        <v/>
      </c>
      <c r="J9827" s="7" t="str">
        <f>IF(Table1[[#This Row],[Is Data Valid]]=TRUE,_xlfn.NORM.S.DIST(Table1[[#This Row],[Birthweight Z-Score]],TRUE)*100,"")</f>
        <v/>
      </c>
      <c r="K9827" s="7" t="str">
        <f>IF(Table1[[#This Row],[Is Data Valid]]=TRUE,_xlfn.NORM.S.DIST(Table1[[#This Row],[Birthweight Z-Score (BW-10%)]],TRUE)*100,"")</f>
        <v/>
      </c>
      <c r="L9827" s="7" t="str">
        <f>IF(Table1[[#This Row],[Is Data Valid]]=TRUE,_xlfn.NORM.S.DIST(Table1[[#This Row],[Birthweight Z-Score (BW+10%)]],TRUE)*100,"")</f>
        <v/>
      </c>
    </row>
    <row r="9828" spans="1:12" x14ac:dyDescent="0.35">
      <c r="A9828" s="3"/>
      <c r="B9828" s="2"/>
      <c r="C9828" s="2"/>
      <c r="D9828" s="2" t="b">
        <f>IF(AND(NOT(ISBLANK(Table1[[#This Row],[Fetal Sex (Male, Female or Unknown)]])),ISNUMBER(Table1[[#This Row],[Birthweight (grams)]]),ISNUMBER(Table1[[#This Row],[Gestation (days)]])),TRUE,FALSE)</f>
        <v>0</v>
      </c>
      <c r="E9828" s="2" t="str">
        <f>IF(Table1[[#This Row],[Is Data Valid]]=TRUE,IF(Table1[[#This Row],[Fetal Sex (Male, Female or Unknown)]]="Male",Backend!$C$6,IF(Table1[[#This Row],[Fetal Sex (Male, Female or Unknown)]]="Female",Backend!$C$7,IF(Table1[[#This Row],[Fetal Sex (Male, Female or Unknown)]]="Unknown",Backend!$C$8,"Error"))),"")</f>
        <v/>
      </c>
      <c r="F9828" s="8" t="str">
        <f>IF(Table1[[#This Row],[Is Data Valid]]=TRUE,EXP(0.578+0.332*((Table1[[#This Row],[Gestation (days)]]+0.5)/7)-0.00354*((Table1[[#This Row],[Gestation (days)]]+0.5)/7)^2)*Table1[[#This Row],[BW40_3705]],"")</f>
        <v/>
      </c>
      <c r="G9828" s="2" t="str">
        <f>IF(Table1[[#This Row],[Is Data Valid]]=TRUE,((Table1[[#This Row],[Birthweight (grams)]]/Table1[[#This Row],[BW_GA]])-1)/(Backend!$B$4/100*Table1[[#This Row],[BW40_3705]]),"")</f>
        <v/>
      </c>
      <c r="H9828" s="7" t="str">
        <f>IF(Table1[[#This Row],[Is Data Valid]]=TRUE,((Table1[[#This Row],[Birthweight (grams)]]*0.9/Table1[[#This Row],[BW_GA]])-1)/(Backend!$B$4/100*Table1[[#This Row],[BW40_3705]]),"")</f>
        <v/>
      </c>
      <c r="I9828" s="7" t="str">
        <f>IF(Table1[[#This Row],[Is Data Valid]]=TRUE,((Table1[[#This Row],[Birthweight (grams)]]*1.1/Table1[[#This Row],[BW_GA]])-1)/(Backend!$B$4/100*Table1[[#This Row],[BW40_3705]]),"")</f>
        <v/>
      </c>
      <c r="J9828" s="7" t="str">
        <f>IF(Table1[[#This Row],[Is Data Valid]]=TRUE,_xlfn.NORM.S.DIST(Table1[[#This Row],[Birthweight Z-Score]],TRUE)*100,"")</f>
        <v/>
      </c>
      <c r="K9828" s="7" t="str">
        <f>IF(Table1[[#This Row],[Is Data Valid]]=TRUE,_xlfn.NORM.S.DIST(Table1[[#This Row],[Birthweight Z-Score (BW-10%)]],TRUE)*100,"")</f>
        <v/>
      </c>
      <c r="L9828" s="7" t="str">
        <f>IF(Table1[[#This Row],[Is Data Valid]]=TRUE,_xlfn.NORM.S.DIST(Table1[[#This Row],[Birthweight Z-Score (BW+10%)]],TRUE)*100,"")</f>
        <v/>
      </c>
    </row>
    <row r="9829" spans="1:12" x14ac:dyDescent="0.35">
      <c r="A9829" s="3"/>
      <c r="B9829" s="2"/>
      <c r="C9829" s="2"/>
      <c r="D9829" s="2" t="b">
        <f>IF(AND(NOT(ISBLANK(Table1[[#This Row],[Fetal Sex (Male, Female or Unknown)]])),ISNUMBER(Table1[[#This Row],[Birthweight (grams)]]),ISNUMBER(Table1[[#This Row],[Gestation (days)]])),TRUE,FALSE)</f>
        <v>0</v>
      </c>
      <c r="E9829" s="2" t="str">
        <f>IF(Table1[[#This Row],[Is Data Valid]]=TRUE,IF(Table1[[#This Row],[Fetal Sex (Male, Female or Unknown)]]="Male",Backend!$C$6,IF(Table1[[#This Row],[Fetal Sex (Male, Female or Unknown)]]="Female",Backend!$C$7,IF(Table1[[#This Row],[Fetal Sex (Male, Female or Unknown)]]="Unknown",Backend!$C$8,"Error"))),"")</f>
        <v/>
      </c>
      <c r="F9829" s="8" t="str">
        <f>IF(Table1[[#This Row],[Is Data Valid]]=TRUE,EXP(0.578+0.332*((Table1[[#This Row],[Gestation (days)]]+0.5)/7)-0.00354*((Table1[[#This Row],[Gestation (days)]]+0.5)/7)^2)*Table1[[#This Row],[BW40_3705]],"")</f>
        <v/>
      </c>
      <c r="G9829" s="2" t="str">
        <f>IF(Table1[[#This Row],[Is Data Valid]]=TRUE,((Table1[[#This Row],[Birthweight (grams)]]/Table1[[#This Row],[BW_GA]])-1)/(Backend!$B$4/100*Table1[[#This Row],[BW40_3705]]),"")</f>
        <v/>
      </c>
      <c r="H9829" s="7" t="str">
        <f>IF(Table1[[#This Row],[Is Data Valid]]=TRUE,((Table1[[#This Row],[Birthweight (grams)]]*0.9/Table1[[#This Row],[BW_GA]])-1)/(Backend!$B$4/100*Table1[[#This Row],[BW40_3705]]),"")</f>
        <v/>
      </c>
      <c r="I9829" s="7" t="str">
        <f>IF(Table1[[#This Row],[Is Data Valid]]=TRUE,((Table1[[#This Row],[Birthweight (grams)]]*1.1/Table1[[#This Row],[BW_GA]])-1)/(Backend!$B$4/100*Table1[[#This Row],[BW40_3705]]),"")</f>
        <v/>
      </c>
      <c r="J9829" s="7" t="str">
        <f>IF(Table1[[#This Row],[Is Data Valid]]=TRUE,_xlfn.NORM.S.DIST(Table1[[#This Row],[Birthweight Z-Score]],TRUE)*100,"")</f>
        <v/>
      </c>
      <c r="K9829" s="7" t="str">
        <f>IF(Table1[[#This Row],[Is Data Valid]]=TRUE,_xlfn.NORM.S.DIST(Table1[[#This Row],[Birthweight Z-Score (BW-10%)]],TRUE)*100,"")</f>
        <v/>
      </c>
      <c r="L9829" s="7" t="str">
        <f>IF(Table1[[#This Row],[Is Data Valid]]=TRUE,_xlfn.NORM.S.DIST(Table1[[#This Row],[Birthweight Z-Score (BW+10%)]],TRUE)*100,"")</f>
        <v/>
      </c>
    </row>
    <row r="9830" spans="1:12" x14ac:dyDescent="0.35">
      <c r="A9830" s="3"/>
      <c r="B9830" s="2"/>
      <c r="C9830" s="2"/>
      <c r="D9830" s="2" t="b">
        <f>IF(AND(NOT(ISBLANK(Table1[[#This Row],[Fetal Sex (Male, Female or Unknown)]])),ISNUMBER(Table1[[#This Row],[Birthweight (grams)]]),ISNUMBER(Table1[[#This Row],[Gestation (days)]])),TRUE,FALSE)</f>
        <v>0</v>
      </c>
      <c r="E9830" s="2" t="str">
        <f>IF(Table1[[#This Row],[Is Data Valid]]=TRUE,IF(Table1[[#This Row],[Fetal Sex (Male, Female or Unknown)]]="Male",Backend!$C$6,IF(Table1[[#This Row],[Fetal Sex (Male, Female or Unknown)]]="Female",Backend!$C$7,IF(Table1[[#This Row],[Fetal Sex (Male, Female or Unknown)]]="Unknown",Backend!$C$8,"Error"))),"")</f>
        <v/>
      </c>
      <c r="F9830" s="8" t="str">
        <f>IF(Table1[[#This Row],[Is Data Valid]]=TRUE,EXP(0.578+0.332*((Table1[[#This Row],[Gestation (days)]]+0.5)/7)-0.00354*((Table1[[#This Row],[Gestation (days)]]+0.5)/7)^2)*Table1[[#This Row],[BW40_3705]],"")</f>
        <v/>
      </c>
      <c r="G9830" s="2" t="str">
        <f>IF(Table1[[#This Row],[Is Data Valid]]=TRUE,((Table1[[#This Row],[Birthweight (grams)]]/Table1[[#This Row],[BW_GA]])-1)/(Backend!$B$4/100*Table1[[#This Row],[BW40_3705]]),"")</f>
        <v/>
      </c>
      <c r="H9830" s="7" t="str">
        <f>IF(Table1[[#This Row],[Is Data Valid]]=TRUE,((Table1[[#This Row],[Birthweight (grams)]]*0.9/Table1[[#This Row],[BW_GA]])-1)/(Backend!$B$4/100*Table1[[#This Row],[BW40_3705]]),"")</f>
        <v/>
      </c>
      <c r="I9830" s="7" t="str">
        <f>IF(Table1[[#This Row],[Is Data Valid]]=TRUE,((Table1[[#This Row],[Birthweight (grams)]]*1.1/Table1[[#This Row],[BW_GA]])-1)/(Backend!$B$4/100*Table1[[#This Row],[BW40_3705]]),"")</f>
        <v/>
      </c>
      <c r="J9830" s="7" t="str">
        <f>IF(Table1[[#This Row],[Is Data Valid]]=TRUE,_xlfn.NORM.S.DIST(Table1[[#This Row],[Birthweight Z-Score]],TRUE)*100,"")</f>
        <v/>
      </c>
      <c r="K9830" s="7" t="str">
        <f>IF(Table1[[#This Row],[Is Data Valid]]=TRUE,_xlfn.NORM.S.DIST(Table1[[#This Row],[Birthweight Z-Score (BW-10%)]],TRUE)*100,"")</f>
        <v/>
      </c>
      <c r="L9830" s="7" t="str">
        <f>IF(Table1[[#This Row],[Is Data Valid]]=TRUE,_xlfn.NORM.S.DIST(Table1[[#This Row],[Birthweight Z-Score (BW+10%)]],TRUE)*100,"")</f>
        <v/>
      </c>
    </row>
    <row r="9831" spans="1:12" x14ac:dyDescent="0.35">
      <c r="A9831" s="3"/>
      <c r="B9831" s="2"/>
      <c r="C9831" s="2"/>
      <c r="D9831" s="2" t="b">
        <f>IF(AND(NOT(ISBLANK(Table1[[#This Row],[Fetal Sex (Male, Female or Unknown)]])),ISNUMBER(Table1[[#This Row],[Birthweight (grams)]]),ISNUMBER(Table1[[#This Row],[Gestation (days)]])),TRUE,FALSE)</f>
        <v>0</v>
      </c>
      <c r="E9831" s="2" t="str">
        <f>IF(Table1[[#This Row],[Is Data Valid]]=TRUE,IF(Table1[[#This Row],[Fetal Sex (Male, Female or Unknown)]]="Male",Backend!$C$6,IF(Table1[[#This Row],[Fetal Sex (Male, Female or Unknown)]]="Female",Backend!$C$7,IF(Table1[[#This Row],[Fetal Sex (Male, Female or Unknown)]]="Unknown",Backend!$C$8,"Error"))),"")</f>
        <v/>
      </c>
      <c r="F9831" s="8" t="str">
        <f>IF(Table1[[#This Row],[Is Data Valid]]=TRUE,EXP(0.578+0.332*((Table1[[#This Row],[Gestation (days)]]+0.5)/7)-0.00354*((Table1[[#This Row],[Gestation (days)]]+0.5)/7)^2)*Table1[[#This Row],[BW40_3705]],"")</f>
        <v/>
      </c>
      <c r="G9831" s="2" t="str">
        <f>IF(Table1[[#This Row],[Is Data Valid]]=TRUE,((Table1[[#This Row],[Birthweight (grams)]]/Table1[[#This Row],[BW_GA]])-1)/(Backend!$B$4/100*Table1[[#This Row],[BW40_3705]]),"")</f>
        <v/>
      </c>
      <c r="H9831" s="7" t="str">
        <f>IF(Table1[[#This Row],[Is Data Valid]]=TRUE,((Table1[[#This Row],[Birthweight (grams)]]*0.9/Table1[[#This Row],[BW_GA]])-1)/(Backend!$B$4/100*Table1[[#This Row],[BW40_3705]]),"")</f>
        <v/>
      </c>
      <c r="I9831" s="7" t="str">
        <f>IF(Table1[[#This Row],[Is Data Valid]]=TRUE,((Table1[[#This Row],[Birthweight (grams)]]*1.1/Table1[[#This Row],[BW_GA]])-1)/(Backend!$B$4/100*Table1[[#This Row],[BW40_3705]]),"")</f>
        <v/>
      </c>
      <c r="J9831" s="7" t="str">
        <f>IF(Table1[[#This Row],[Is Data Valid]]=TRUE,_xlfn.NORM.S.DIST(Table1[[#This Row],[Birthweight Z-Score]],TRUE)*100,"")</f>
        <v/>
      </c>
      <c r="K9831" s="7" t="str">
        <f>IF(Table1[[#This Row],[Is Data Valid]]=TRUE,_xlfn.NORM.S.DIST(Table1[[#This Row],[Birthweight Z-Score (BW-10%)]],TRUE)*100,"")</f>
        <v/>
      </c>
      <c r="L9831" s="7" t="str">
        <f>IF(Table1[[#This Row],[Is Data Valid]]=TRUE,_xlfn.NORM.S.DIST(Table1[[#This Row],[Birthweight Z-Score (BW+10%)]],TRUE)*100,"")</f>
        <v/>
      </c>
    </row>
    <row r="9832" spans="1:12" x14ac:dyDescent="0.35">
      <c r="A9832" s="3"/>
      <c r="B9832" s="2"/>
      <c r="C9832" s="2"/>
      <c r="D9832" s="2" t="b">
        <f>IF(AND(NOT(ISBLANK(Table1[[#This Row],[Fetal Sex (Male, Female or Unknown)]])),ISNUMBER(Table1[[#This Row],[Birthweight (grams)]]),ISNUMBER(Table1[[#This Row],[Gestation (days)]])),TRUE,FALSE)</f>
        <v>0</v>
      </c>
      <c r="E9832" s="2" t="str">
        <f>IF(Table1[[#This Row],[Is Data Valid]]=TRUE,IF(Table1[[#This Row],[Fetal Sex (Male, Female or Unknown)]]="Male",Backend!$C$6,IF(Table1[[#This Row],[Fetal Sex (Male, Female or Unknown)]]="Female",Backend!$C$7,IF(Table1[[#This Row],[Fetal Sex (Male, Female or Unknown)]]="Unknown",Backend!$C$8,"Error"))),"")</f>
        <v/>
      </c>
      <c r="F9832" s="8" t="str">
        <f>IF(Table1[[#This Row],[Is Data Valid]]=TRUE,EXP(0.578+0.332*((Table1[[#This Row],[Gestation (days)]]+0.5)/7)-0.00354*((Table1[[#This Row],[Gestation (days)]]+0.5)/7)^2)*Table1[[#This Row],[BW40_3705]],"")</f>
        <v/>
      </c>
      <c r="G9832" s="2" t="str">
        <f>IF(Table1[[#This Row],[Is Data Valid]]=TRUE,((Table1[[#This Row],[Birthweight (grams)]]/Table1[[#This Row],[BW_GA]])-1)/(Backend!$B$4/100*Table1[[#This Row],[BW40_3705]]),"")</f>
        <v/>
      </c>
      <c r="H9832" s="7" t="str">
        <f>IF(Table1[[#This Row],[Is Data Valid]]=TRUE,((Table1[[#This Row],[Birthweight (grams)]]*0.9/Table1[[#This Row],[BW_GA]])-1)/(Backend!$B$4/100*Table1[[#This Row],[BW40_3705]]),"")</f>
        <v/>
      </c>
      <c r="I9832" s="7" t="str">
        <f>IF(Table1[[#This Row],[Is Data Valid]]=TRUE,((Table1[[#This Row],[Birthweight (grams)]]*1.1/Table1[[#This Row],[BW_GA]])-1)/(Backend!$B$4/100*Table1[[#This Row],[BW40_3705]]),"")</f>
        <v/>
      </c>
      <c r="J9832" s="7" t="str">
        <f>IF(Table1[[#This Row],[Is Data Valid]]=TRUE,_xlfn.NORM.S.DIST(Table1[[#This Row],[Birthweight Z-Score]],TRUE)*100,"")</f>
        <v/>
      </c>
      <c r="K9832" s="7" t="str">
        <f>IF(Table1[[#This Row],[Is Data Valid]]=TRUE,_xlfn.NORM.S.DIST(Table1[[#This Row],[Birthweight Z-Score (BW-10%)]],TRUE)*100,"")</f>
        <v/>
      </c>
      <c r="L9832" s="7" t="str">
        <f>IF(Table1[[#This Row],[Is Data Valid]]=TRUE,_xlfn.NORM.S.DIST(Table1[[#This Row],[Birthweight Z-Score (BW+10%)]],TRUE)*100,"")</f>
        <v/>
      </c>
    </row>
    <row r="9833" spans="1:12" x14ac:dyDescent="0.35">
      <c r="A9833" s="3"/>
      <c r="B9833" s="2"/>
      <c r="C9833" s="2"/>
      <c r="D9833" s="2" t="b">
        <f>IF(AND(NOT(ISBLANK(Table1[[#This Row],[Fetal Sex (Male, Female or Unknown)]])),ISNUMBER(Table1[[#This Row],[Birthweight (grams)]]),ISNUMBER(Table1[[#This Row],[Gestation (days)]])),TRUE,FALSE)</f>
        <v>0</v>
      </c>
      <c r="E9833" s="2" t="str">
        <f>IF(Table1[[#This Row],[Is Data Valid]]=TRUE,IF(Table1[[#This Row],[Fetal Sex (Male, Female or Unknown)]]="Male",Backend!$C$6,IF(Table1[[#This Row],[Fetal Sex (Male, Female or Unknown)]]="Female",Backend!$C$7,IF(Table1[[#This Row],[Fetal Sex (Male, Female or Unknown)]]="Unknown",Backend!$C$8,"Error"))),"")</f>
        <v/>
      </c>
      <c r="F9833" s="8" t="str">
        <f>IF(Table1[[#This Row],[Is Data Valid]]=TRUE,EXP(0.578+0.332*((Table1[[#This Row],[Gestation (days)]]+0.5)/7)-0.00354*((Table1[[#This Row],[Gestation (days)]]+0.5)/7)^2)*Table1[[#This Row],[BW40_3705]],"")</f>
        <v/>
      </c>
      <c r="G9833" s="2" t="str">
        <f>IF(Table1[[#This Row],[Is Data Valid]]=TRUE,((Table1[[#This Row],[Birthweight (grams)]]/Table1[[#This Row],[BW_GA]])-1)/(Backend!$B$4/100*Table1[[#This Row],[BW40_3705]]),"")</f>
        <v/>
      </c>
      <c r="H9833" s="7" t="str">
        <f>IF(Table1[[#This Row],[Is Data Valid]]=TRUE,((Table1[[#This Row],[Birthweight (grams)]]*0.9/Table1[[#This Row],[BW_GA]])-1)/(Backend!$B$4/100*Table1[[#This Row],[BW40_3705]]),"")</f>
        <v/>
      </c>
      <c r="I9833" s="7" t="str">
        <f>IF(Table1[[#This Row],[Is Data Valid]]=TRUE,((Table1[[#This Row],[Birthweight (grams)]]*1.1/Table1[[#This Row],[BW_GA]])-1)/(Backend!$B$4/100*Table1[[#This Row],[BW40_3705]]),"")</f>
        <v/>
      </c>
      <c r="J9833" s="7" t="str">
        <f>IF(Table1[[#This Row],[Is Data Valid]]=TRUE,_xlfn.NORM.S.DIST(Table1[[#This Row],[Birthweight Z-Score]],TRUE)*100,"")</f>
        <v/>
      </c>
      <c r="K9833" s="7" t="str">
        <f>IF(Table1[[#This Row],[Is Data Valid]]=TRUE,_xlfn.NORM.S.DIST(Table1[[#This Row],[Birthweight Z-Score (BW-10%)]],TRUE)*100,"")</f>
        <v/>
      </c>
      <c r="L9833" s="7" t="str">
        <f>IF(Table1[[#This Row],[Is Data Valid]]=TRUE,_xlfn.NORM.S.DIST(Table1[[#This Row],[Birthweight Z-Score (BW+10%)]],TRUE)*100,"")</f>
        <v/>
      </c>
    </row>
    <row r="9834" spans="1:12" x14ac:dyDescent="0.35">
      <c r="A9834" s="3"/>
      <c r="B9834" s="2"/>
      <c r="C9834" s="2"/>
      <c r="D9834" s="2" t="b">
        <f>IF(AND(NOT(ISBLANK(Table1[[#This Row],[Fetal Sex (Male, Female or Unknown)]])),ISNUMBER(Table1[[#This Row],[Birthweight (grams)]]),ISNUMBER(Table1[[#This Row],[Gestation (days)]])),TRUE,FALSE)</f>
        <v>0</v>
      </c>
      <c r="E9834" s="2" t="str">
        <f>IF(Table1[[#This Row],[Is Data Valid]]=TRUE,IF(Table1[[#This Row],[Fetal Sex (Male, Female or Unknown)]]="Male",Backend!$C$6,IF(Table1[[#This Row],[Fetal Sex (Male, Female or Unknown)]]="Female",Backend!$C$7,IF(Table1[[#This Row],[Fetal Sex (Male, Female or Unknown)]]="Unknown",Backend!$C$8,"Error"))),"")</f>
        <v/>
      </c>
      <c r="F9834" s="8" t="str">
        <f>IF(Table1[[#This Row],[Is Data Valid]]=TRUE,EXP(0.578+0.332*((Table1[[#This Row],[Gestation (days)]]+0.5)/7)-0.00354*((Table1[[#This Row],[Gestation (days)]]+0.5)/7)^2)*Table1[[#This Row],[BW40_3705]],"")</f>
        <v/>
      </c>
      <c r="G9834" s="2" t="str">
        <f>IF(Table1[[#This Row],[Is Data Valid]]=TRUE,((Table1[[#This Row],[Birthweight (grams)]]/Table1[[#This Row],[BW_GA]])-1)/(Backend!$B$4/100*Table1[[#This Row],[BW40_3705]]),"")</f>
        <v/>
      </c>
      <c r="H9834" s="7" t="str">
        <f>IF(Table1[[#This Row],[Is Data Valid]]=TRUE,((Table1[[#This Row],[Birthweight (grams)]]*0.9/Table1[[#This Row],[BW_GA]])-1)/(Backend!$B$4/100*Table1[[#This Row],[BW40_3705]]),"")</f>
        <v/>
      </c>
      <c r="I9834" s="7" t="str">
        <f>IF(Table1[[#This Row],[Is Data Valid]]=TRUE,((Table1[[#This Row],[Birthweight (grams)]]*1.1/Table1[[#This Row],[BW_GA]])-1)/(Backend!$B$4/100*Table1[[#This Row],[BW40_3705]]),"")</f>
        <v/>
      </c>
      <c r="J9834" s="7" t="str">
        <f>IF(Table1[[#This Row],[Is Data Valid]]=TRUE,_xlfn.NORM.S.DIST(Table1[[#This Row],[Birthweight Z-Score]],TRUE)*100,"")</f>
        <v/>
      </c>
      <c r="K9834" s="7" t="str">
        <f>IF(Table1[[#This Row],[Is Data Valid]]=TRUE,_xlfn.NORM.S.DIST(Table1[[#This Row],[Birthweight Z-Score (BW-10%)]],TRUE)*100,"")</f>
        <v/>
      </c>
      <c r="L9834" s="7" t="str">
        <f>IF(Table1[[#This Row],[Is Data Valid]]=TRUE,_xlfn.NORM.S.DIST(Table1[[#This Row],[Birthweight Z-Score (BW+10%)]],TRUE)*100,"")</f>
        <v/>
      </c>
    </row>
    <row r="9835" spans="1:12" x14ac:dyDescent="0.35">
      <c r="A9835" s="3"/>
      <c r="B9835" s="2"/>
      <c r="C9835" s="2"/>
      <c r="D9835" s="2" t="b">
        <f>IF(AND(NOT(ISBLANK(Table1[[#This Row],[Fetal Sex (Male, Female or Unknown)]])),ISNUMBER(Table1[[#This Row],[Birthweight (grams)]]),ISNUMBER(Table1[[#This Row],[Gestation (days)]])),TRUE,FALSE)</f>
        <v>0</v>
      </c>
      <c r="E9835" s="2" t="str">
        <f>IF(Table1[[#This Row],[Is Data Valid]]=TRUE,IF(Table1[[#This Row],[Fetal Sex (Male, Female or Unknown)]]="Male",Backend!$C$6,IF(Table1[[#This Row],[Fetal Sex (Male, Female or Unknown)]]="Female",Backend!$C$7,IF(Table1[[#This Row],[Fetal Sex (Male, Female or Unknown)]]="Unknown",Backend!$C$8,"Error"))),"")</f>
        <v/>
      </c>
      <c r="F9835" s="8" t="str">
        <f>IF(Table1[[#This Row],[Is Data Valid]]=TRUE,EXP(0.578+0.332*((Table1[[#This Row],[Gestation (days)]]+0.5)/7)-0.00354*((Table1[[#This Row],[Gestation (days)]]+0.5)/7)^2)*Table1[[#This Row],[BW40_3705]],"")</f>
        <v/>
      </c>
      <c r="G9835" s="2" t="str">
        <f>IF(Table1[[#This Row],[Is Data Valid]]=TRUE,((Table1[[#This Row],[Birthweight (grams)]]/Table1[[#This Row],[BW_GA]])-1)/(Backend!$B$4/100*Table1[[#This Row],[BW40_3705]]),"")</f>
        <v/>
      </c>
      <c r="H9835" s="7" t="str">
        <f>IF(Table1[[#This Row],[Is Data Valid]]=TRUE,((Table1[[#This Row],[Birthweight (grams)]]*0.9/Table1[[#This Row],[BW_GA]])-1)/(Backend!$B$4/100*Table1[[#This Row],[BW40_3705]]),"")</f>
        <v/>
      </c>
      <c r="I9835" s="7" t="str">
        <f>IF(Table1[[#This Row],[Is Data Valid]]=TRUE,((Table1[[#This Row],[Birthweight (grams)]]*1.1/Table1[[#This Row],[BW_GA]])-1)/(Backend!$B$4/100*Table1[[#This Row],[BW40_3705]]),"")</f>
        <v/>
      </c>
      <c r="J9835" s="7" t="str">
        <f>IF(Table1[[#This Row],[Is Data Valid]]=TRUE,_xlfn.NORM.S.DIST(Table1[[#This Row],[Birthweight Z-Score]],TRUE)*100,"")</f>
        <v/>
      </c>
      <c r="K9835" s="7" t="str">
        <f>IF(Table1[[#This Row],[Is Data Valid]]=TRUE,_xlfn.NORM.S.DIST(Table1[[#This Row],[Birthweight Z-Score (BW-10%)]],TRUE)*100,"")</f>
        <v/>
      </c>
      <c r="L9835" s="7" t="str">
        <f>IF(Table1[[#This Row],[Is Data Valid]]=TRUE,_xlfn.NORM.S.DIST(Table1[[#This Row],[Birthweight Z-Score (BW+10%)]],TRUE)*100,"")</f>
        <v/>
      </c>
    </row>
    <row r="9836" spans="1:12" x14ac:dyDescent="0.35">
      <c r="A9836" s="3"/>
      <c r="B9836" s="2"/>
      <c r="C9836" s="2"/>
      <c r="D9836" s="2" t="b">
        <f>IF(AND(NOT(ISBLANK(Table1[[#This Row],[Fetal Sex (Male, Female or Unknown)]])),ISNUMBER(Table1[[#This Row],[Birthweight (grams)]]),ISNUMBER(Table1[[#This Row],[Gestation (days)]])),TRUE,FALSE)</f>
        <v>0</v>
      </c>
      <c r="E9836" s="2" t="str">
        <f>IF(Table1[[#This Row],[Is Data Valid]]=TRUE,IF(Table1[[#This Row],[Fetal Sex (Male, Female or Unknown)]]="Male",Backend!$C$6,IF(Table1[[#This Row],[Fetal Sex (Male, Female or Unknown)]]="Female",Backend!$C$7,IF(Table1[[#This Row],[Fetal Sex (Male, Female or Unknown)]]="Unknown",Backend!$C$8,"Error"))),"")</f>
        <v/>
      </c>
      <c r="F9836" s="8" t="str">
        <f>IF(Table1[[#This Row],[Is Data Valid]]=TRUE,EXP(0.578+0.332*((Table1[[#This Row],[Gestation (days)]]+0.5)/7)-0.00354*((Table1[[#This Row],[Gestation (days)]]+0.5)/7)^2)*Table1[[#This Row],[BW40_3705]],"")</f>
        <v/>
      </c>
      <c r="G9836" s="2" t="str">
        <f>IF(Table1[[#This Row],[Is Data Valid]]=TRUE,((Table1[[#This Row],[Birthweight (grams)]]/Table1[[#This Row],[BW_GA]])-1)/(Backend!$B$4/100*Table1[[#This Row],[BW40_3705]]),"")</f>
        <v/>
      </c>
      <c r="H9836" s="7" t="str">
        <f>IF(Table1[[#This Row],[Is Data Valid]]=TRUE,((Table1[[#This Row],[Birthweight (grams)]]*0.9/Table1[[#This Row],[BW_GA]])-1)/(Backend!$B$4/100*Table1[[#This Row],[BW40_3705]]),"")</f>
        <v/>
      </c>
      <c r="I9836" s="7" t="str">
        <f>IF(Table1[[#This Row],[Is Data Valid]]=TRUE,((Table1[[#This Row],[Birthweight (grams)]]*1.1/Table1[[#This Row],[BW_GA]])-1)/(Backend!$B$4/100*Table1[[#This Row],[BW40_3705]]),"")</f>
        <v/>
      </c>
      <c r="J9836" s="7" t="str">
        <f>IF(Table1[[#This Row],[Is Data Valid]]=TRUE,_xlfn.NORM.S.DIST(Table1[[#This Row],[Birthweight Z-Score]],TRUE)*100,"")</f>
        <v/>
      </c>
      <c r="K9836" s="7" t="str">
        <f>IF(Table1[[#This Row],[Is Data Valid]]=TRUE,_xlfn.NORM.S.DIST(Table1[[#This Row],[Birthweight Z-Score (BW-10%)]],TRUE)*100,"")</f>
        <v/>
      </c>
      <c r="L9836" s="7" t="str">
        <f>IF(Table1[[#This Row],[Is Data Valid]]=TRUE,_xlfn.NORM.S.DIST(Table1[[#This Row],[Birthweight Z-Score (BW+10%)]],TRUE)*100,"")</f>
        <v/>
      </c>
    </row>
    <row r="9837" spans="1:12" x14ac:dyDescent="0.35">
      <c r="A9837" s="3"/>
      <c r="B9837" s="2"/>
      <c r="C9837" s="2"/>
      <c r="D9837" s="2" t="b">
        <f>IF(AND(NOT(ISBLANK(Table1[[#This Row],[Fetal Sex (Male, Female or Unknown)]])),ISNUMBER(Table1[[#This Row],[Birthweight (grams)]]),ISNUMBER(Table1[[#This Row],[Gestation (days)]])),TRUE,FALSE)</f>
        <v>0</v>
      </c>
      <c r="E9837" s="2" t="str">
        <f>IF(Table1[[#This Row],[Is Data Valid]]=TRUE,IF(Table1[[#This Row],[Fetal Sex (Male, Female or Unknown)]]="Male",Backend!$C$6,IF(Table1[[#This Row],[Fetal Sex (Male, Female or Unknown)]]="Female",Backend!$C$7,IF(Table1[[#This Row],[Fetal Sex (Male, Female or Unknown)]]="Unknown",Backend!$C$8,"Error"))),"")</f>
        <v/>
      </c>
      <c r="F9837" s="8" t="str">
        <f>IF(Table1[[#This Row],[Is Data Valid]]=TRUE,EXP(0.578+0.332*((Table1[[#This Row],[Gestation (days)]]+0.5)/7)-0.00354*((Table1[[#This Row],[Gestation (days)]]+0.5)/7)^2)*Table1[[#This Row],[BW40_3705]],"")</f>
        <v/>
      </c>
      <c r="G9837" s="2" t="str">
        <f>IF(Table1[[#This Row],[Is Data Valid]]=TRUE,((Table1[[#This Row],[Birthweight (grams)]]/Table1[[#This Row],[BW_GA]])-1)/(Backend!$B$4/100*Table1[[#This Row],[BW40_3705]]),"")</f>
        <v/>
      </c>
      <c r="H9837" s="7" t="str">
        <f>IF(Table1[[#This Row],[Is Data Valid]]=TRUE,((Table1[[#This Row],[Birthweight (grams)]]*0.9/Table1[[#This Row],[BW_GA]])-1)/(Backend!$B$4/100*Table1[[#This Row],[BW40_3705]]),"")</f>
        <v/>
      </c>
      <c r="I9837" s="7" t="str">
        <f>IF(Table1[[#This Row],[Is Data Valid]]=TRUE,((Table1[[#This Row],[Birthweight (grams)]]*1.1/Table1[[#This Row],[BW_GA]])-1)/(Backend!$B$4/100*Table1[[#This Row],[BW40_3705]]),"")</f>
        <v/>
      </c>
      <c r="J9837" s="7" t="str">
        <f>IF(Table1[[#This Row],[Is Data Valid]]=TRUE,_xlfn.NORM.S.DIST(Table1[[#This Row],[Birthweight Z-Score]],TRUE)*100,"")</f>
        <v/>
      </c>
      <c r="K9837" s="7" t="str">
        <f>IF(Table1[[#This Row],[Is Data Valid]]=TRUE,_xlfn.NORM.S.DIST(Table1[[#This Row],[Birthweight Z-Score (BW-10%)]],TRUE)*100,"")</f>
        <v/>
      </c>
      <c r="L9837" s="7" t="str">
        <f>IF(Table1[[#This Row],[Is Data Valid]]=TRUE,_xlfn.NORM.S.DIST(Table1[[#This Row],[Birthweight Z-Score (BW+10%)]],TRUE)*100,"")</f>
        <v/>
      </c>
    </row>
    <row r="9838" spans="1:12" x14ac:dyDescent="0.35">
      <c r="A9838" s="3"/>
      <c r="B9838" s="2"/>
      <c r="C9838" s="2"/>
      <c r="D9838" s="2" t="b">
        <f>IF(AND(NOT(ISBLANK(Table1[[#This Row],[Fetal Sex (Male, Female or Unknown)]])),ISNUMBER(Table1[[#This Row],[Birthweight (grams)]]),ISNUMBER(Table1[[#This Row],[Gestation (days)]])),TRUE,FALSE)</f>
        <v>0</v>
      </c>
      <c r="E9838" s="2" t="str">
        <f>IF(Table1[[#This Row],[Is Data Valid]]=TRUE,IF(Table1[[#This Row],[Fetal Sex (Male, Female or Unknown)]]="Male",Backend!$C$6,IF(Table1[[#This Row],[Fetal Sex (Male, Female or Unknown)]]="Female",Backend!$C$7,IF(Table1[[#This Row],[Fetal Sex (Male, Female or Unknown)]]="Unknown",Backend!$C$8,"Error"))),"")</f>
        <v/>
      </c>
      <c r="F9838" s="8" t="str">
        <f>IF(Table1[[#This Row],[Is Data Valid]]=TRUE,EXP(0.578+0.332*((Table1[[#This Row],[Gestation (days)]]+0.5)/7)-0.00354*((Table1[[#This Row],[Gestation (days)]]+0.5)/7)^2)*Table1[[#This Row],[BW40_3705]],"")</f>
        <v/>
      </c>
      <c r="G9838" s="2" t="str">
        <f>IF(Table1[[#This Row],[Is Data Valid]]=TRUE,((Table1[[#This Row],[Birthweight (grams)]]/Table1[[#This Row],[BW_GA]])-1)/(Backend!$B$4/100*Table1[[#This Row],[BW40_3705]]),"")</f>
        <v/>
      </c>
      <c r="H9838" s="7" t="str">
        <f>IF(Table1[[#This Row],[Is Data Valid]]=TRUE,((Table1[[#This Row],[Birthweight (grams)]]*0.9/Table1[[#This Row],[BW_GA]])-1)/(Backend!$B$4/100*Table1[[#This Row],[BW40_3705]]),"")</f>
        <v/>
      </c>
      <c r="I9838" s="7" t="str">
        <f>IF(Table1[[#This Row],[Is Data Valid]]=TRUE,((Table1[[#This Row],[Birthweight (grams)]]*1.1/Table1[[#This Row],[BW_GA]])-1)/(Backend!$B$4/100*Table1[[#This Row],[BW40_3705]]),"")</f>
        <v/>
      </c>
      <c r="J9838" s="7" t="str">
        <f>IF(Table1[[#This Row],[Is Data Valid]]=TRUE,_xlfn.NORM.S.DIST(Table1[[#This Row],[Birthweight Z-Score]],TRUE)*100,"")</f>
        <v/>
      </c>
      <c r="K9838" s="7" t="str">
        <f>IF(Table1[[#This Row],[Is Data Valid]]=TRUE,_xlfn.NORM.S.DIST(Table1[[#This Row],[Birthweight Z-Score (BW-10%)]],TRUE)*100,"")</f>
        <v/>
      </c>
      <c r="L9838" s="7" t="str">
        <f>IF(Table1[[#This Row],[Is Data Valid]]=TRUE,_xlfn.NORM.S.DIST(Table1[[#This Row],[Birthweight Z-Score (BW+10%)]],TRUE)*100,"")</f>
        <v/>
      </c>
    </row>
    <row r="9839" spans="1:12" x14ac:dyDescent="0.35">
      <c r="A9839" s="3"/>
      <c r="B9839" s="2"/>
      <c r="C9839" s="2"/>
      <c r="D9839" s="2" t="b">
        <f>IF(AND(NOT(ISBLANK(Table1[[#This Row],[Fetal Sex (Male, Female or Unknown)]])),ISNUMBER(Table1[[#This Row],[Birthweight (grams)]]),ISNUMBER(Table1[[#This Row],[Gestation (days)]])),TRUE,FALSE)</f>
        <v>0</v>
      </c>
      <c r="E9839" s="2" t="str">
        <f>IF(Table1[[#This Row],[Is Data Valid]]=TRUE,IF(Table1[[#This Row],[Fetal Sex (Male, Female or Unknown)]]="Male",Backend!$C$6,IF(Table1[[#This Row],[Fetal Sex (Male, Female or Unknown)]]="Female",Backend!$C$7,IF(Table1[[#This Row],[Fetal Sex (Male, Female or Unknown)]]="Unknown",Backend!$C$8,"Error"))),"")</f>
        <v/>
      </c>
      <c r="F9839" s="8" t="str">
        <f>IF(Table1[[#This Row],[Is Data Valid]]=TRUE,EXP(0.578+0.332*((Table1[[#This Row],[Gestation (days)]]+0.5)/7)-0.00354*((Table1[[#This Row],[Gestation (days)]]+0.5)/7)^2)*Table1[[#This Row],[BW40_3705]],"")</f>
        <v/>
      </c>
      <c r="G9839" s="2" t="str">
        <f>IF(Table1[[#This Row],[Is Data Valid]]=TRUE,((Table1[[#This Row],[Birthweight (grams)]]/Table1[[#This Row],[BW_GA]])-1)/(Backend!$B$4/100*Table1[[#This Row],[BW40_3705]]),"")</f>
        <v/>
      </c>
      <c r="H9839" s="7" t="str">
        <f>IF(Table1[[#This Row],[Is Data Valid]]=TRUE,((Table1[[#This Row],[Birthweight (grams)]]*0.9/Table1[[#This Row],[BW_GA]])-1)/(Backend!$B$4/100*Table1[[#This Row],[BW40_3705]]),"")</f>
        <v/>
      </c>
      <c r="I9839" s="7" t="str">
        <f>IF(Table1[[#This Row],[Is Data Valid]]=TRUE,((Table1[[#This Row],[Birthweight (grams)]]*1.1/Table1[[#This Row],[BW_GA]])-1)/(Backend!$B$4/100*Table1[[#This Row],[BW40_3705]]),"")</f>
        <v/>
      </c>
      <c r="J9839" s="7" t="str">
        <f>IF(Table1[[#This Row],[Is Data Valid]]=TRUE,_xlfn.NORM.S.DIST(Table1[[#This Row],[Birthweight Z-Score]],TRUE)*100,"")</f>
        <v/>
      </c>
      <c r="K9839" s="7" t="str">
        <f>IF(Table1[[#This Row],[Is Data Valid]]=TRUE,_xlfn.NORM.S.DIST(Table1[[#This Row],[Birthweight Z-Score (BW-10%)]],TRUE)*100,"")</f>
        <v/>
      </c>
      <c r="L9839" s="7" t="str">
        <f>IF(Table1[[#This Row],[Is Data Valid]]=TRUE,_xlfn.NORM.S.DIST(Table1[[#This Row],[Birthweight Z-Score (BW+10%)]],TRUE)*100,"")</f>
        <v/>
      </c>
    </row>
    <row r="9840" spans="1:12" x14ac:dyDescent="0.35">
      <c r="A9840" s="3"/>
      <c r="B9840" s="2"/>
      <c r="C9840" s="2"/>
      <c r="D9840" s="2" t="b">
        <f>IF(AND(NOT(ISBLANK(Table1[[#This Row],[Fetal Sex (Male, Female or Unknown)]])),ISNUMBER(Table1[[#This Row],[Birthweight (grams)]]),ISNUMBER(Table1[[#This Row],[Gestation (days)]])),TRUE,FALSE)</f>
        <v>0</v>
      </c>
      <c r="E9840" s="2" t="str">
        <f>IF(Table1[[#This Row],[Is Data Valid]]=TRUE,IF(Table1[[#This Row],[Fetal Sex (Male, Female or Unknown)]]="Male",Backend!$C$6,IF(Table1[[#This Row],[Fetal Sex (Male, Female or Unknown)]]="Female",Backend!$C$7,IF(Table1[[#This Row],[Fetal Sex (Male, Female or Unknown)]]="Unknown",Backend!$C$8,"Error"))),"")</f>
        <v/>
      </c>
      <c r="F9840" s="8" t="str">
        <f>IF(Table1[[#This Row],[Is Data Valid]]=TRUE,EXP(0.578+0.332*((Table1[[#This Row],[Gestation (days)]]+0.5)/7)-0.00354*((Table1[[#This Row],[Gestation (days)]]+0.5)/7)^2)*Table1[[#This Row],[BW40_3705]],"")</f>
        <v/>
      </c>
      <c r="G9840" s="2" t="str">
        <f>IF(Table1[[#This Row],[Is Data Valid]]=TRUE,((Table1[[#This Row],[Birthweight (grams)]]/Table1[[#This Row],[BW_GA]])-1)/(Backend!$B$4/100*Table1[[#This Row],[BW40_3705]]),"")</f>
        <v/>
      </c>
      <c r="H9840" s="7" t="str">
        <f>IF(Table1[[#This Row],[Is Data Valid]]=TRUE,((Table1[[#This Row],[Birthweight (grams)]]*0.9/Table1[[#This Row],[BW_GA]])-1)/(Backend!$B$4/100*Table1[[#This Row],[BW40_3705]]),"")</f>
        <v/>
      </c>
      <c r="I9840" s="7" t="str">
        <f>IF(Table1[[#This Row],[Is Data Valid]]=TRUE,((Table1[[#This Row],[Birthweight (grams)]]*1.1/Table1[[#This Row],[BW_GA]])-1)/(Backend!$B$4/100*Table1[[#This Row],[BW40_3705]]),"")</f>
        <v/>
      </c>
      <c r="J9840" s="7" t="str">
        <f>IF(Table1[[#This Row],[Is Data Valid]]=TRUE,_xlfn.NORM.S.DIST(Table1[[#This Row],[Birthweight Z-Score]],TRUE)*100,"")</f>
        <v/>
      </c>
      <c r="K9840" s="7" t="str">
        <f>IF(Table1[[#This Row],[Is Data Valid]]=TRUE,_xlfn.NORM.S.DIST(Table1[[#This Row],[Birthweight Z-Score (BW-10%)]],TRUE)*100,"")</f>
        <v/>
      </c>
      <c r="L9840" s="7" t="str">
        <f>IF(Table1[[#This Row],[Is Data Valid]]=TRUE,_xlfn.NORM.S.DIST(Table1[[#This Row],[Birthweight Z-Score (BW+10%)]],TRUE)*100,"")</f>
        <v/>
      </c>
    </row>
    <row r="9841" spans="1:12" x14ac:dyDescent="0.35">
      <c r="A9841" s="3"/>
      <c r="B9841" s="2"/>
      <c r="C9841" s="2"/>
      <c r="D9841" s="2" t="b">
        <f>IF(AND(NOT(ISBLANK(Table1[[#This Row],[Fetal Sex (Male, Female or Unknown)]])),ISNUMBER(Table1[[#This Row],[Birthweight (grams)]]),ISNUMBER(Table1[[#This Row],[Gestation (days)]])),TRUE,FALSE)</f>
        <v>0</v>
      </c>
      <c r="E9841" s="2" t="str">
        <f>IF(Table1[[#This Row],[Is Data Valid]]=TRUE,IF(Table1[[#This Row],[Fetal Sex (Male, Female or Unknown)]]="Male",Backend!$C$6,IF(Table1[[#This Row],[Fetal Sex (Male, Female or Unknown)]]="Female",Backend!$C$7,IF(Table1[[#This Row],[Fetal Sex (Male, Female or Unknown)]]="Unknown",Backend!$C$8,"Error"))),"")</f>
        <v/>
      </c>
      <c r="F9841" s="8" t="str">
        <f>IF(Table1[[#This Row],[Is Data Valid]]=TRUE,EXP(0.578+0.332*((Table1[[#This Row],[Gestation (days)]]+0.5)/7)-0.00354*((Table1[[#This Row],[Gestation (days)]]+0.5)/7)^2)*Table1[[#This Row],[BW40_3705]],"")</f>
        <v/>
      </c>
      <c r="G9841" s="2" t="str">
        <f>IF(Table1[[#This Row],[Is Data Valid]]=TRUE,((Table1[[#This Row],[Birthweight (grams)]]/Table1[[#This Row],[BW_GA]])-1)/(Backend!$B$4/100*Table1[[#This Row],[BW40_3705]]),"")</f>
        <v/>
      </c>
      <c r="H9841" s="7" t="str">
        <f>IF(Table1[[#This Row],[Is Data Valid]]=TRUE,((Table1[[#This Row],[Birthweight (grams)]]*0.9/Table1[[#This Row],[BW_GA]])-1)/(Backend!$B$4/100*Table1[[#This Row],[BW40_3705]]),"")</f>
        <v/>
      </c>
      <c r="I9841" s="7" t="str">
        <f>IF(Table1[[#This Row],[Is Data Valid]]=TRUE,((Table1[[#This Row],[Birthweight (grams)]]*1.1/Table1[[#This Row],[BW_GA]])-1)/(Backend!$B$4/100*Table1[[#This Row],[BW40_3705]]),"")</f>
        <v/>
      </c>
      <c r="J9841" s="7" t="str">
        <f>IF(Table1[[#This Row],[Is Data Valid]]=TRUE,_xlfn.NORM.S.DIST(Table1[[#This Row],[Birthweight Z-Score]],TRUE)*100,"")</f>
        <v/>
      </c>
      <c r="K9841" s="7" t="str">
        <f>IF(Table1[[#This Row],[Is Data Valid]]=TRUE,_xlfn.NORM.S.DIST(Table1[[#This Row],[Birthweight Z-Score (BW-10%)]],TRUE)*100,"")</f>
        <v/>
      </c>
      <c r="L9841" s="7" t="str">
        <f>IF(Table1[[#This Row],[Is Data Valid]]=TRUE,_xlfn.NORM.S.DIST(Table1[[#This Row],[Birthweight Z-Score (BW+10%)]],TRUE)*100,"")</f>
        <v/>
      </c>
    </row>
    <row r="9842" spans="1:12" x14ac:dyDescent="0.35">
      <c r="A9842" s="3"/>
      <c r="B9842" s="2"/>
      <c r="C9842" s="2"/>
      <c r="D9842" s="2" t="b">
        <f>IF(AND(NOT(ISBLANK(Table1[[#This Row],[Fetal Sex (Male, Female or Unknown)]])),ISNUMBER(Table1[[#This Row],[Birthweight (grams)]]),ISNUMBER(Table1[[#This Row],[Gestation (days)]])),TRUE,FALSE)</f>
        <v>0</v>
      </c>
      <c r="E9842" s="2" t="str">
        <f>IF(Table1[[#This Row],[Is Data Valid]]=TRUE,IF(Table1[[#This Row],[Fetal Sex (Male, Female or Unknown)]]="Male",Backend!$C$6,IF(Table1[[#This Row],[Fetal Sex (Male, Female or Unknown)]]="Female",Backend!$C$7,IF(Table1[[#This Row],[Fetal Sex (Male, Female or Unknown)]]="Unknown",Backend!$C$8,"Error"))),"")</f>
        <v/>
      </c>
      <c r="F9842" s="8" t="str">
        <f>IF(Table1[[#This Row],[Is Data Valid]]=TRUE,EXP(0.578+0.332*((Table1[[#This Row],[Gestation (days)]]+0.5)/7)-0.00354*((Table1[[#This Row],[Gestation (days)]]+0.5)/7)^2)*Table1[[#This Row],[BW40_3705]],"")</f>
        <v/>
      </c>
      <c r="G9842" s="2" t="str">
        <f>IF(Table1[[#This Row],[Is Data Valid]]=TRUE,((Table1[[#This Row],[Birthweight (grams)]]/Table1[[#This Row],[BW_GA]])-1)/(Backend!$B$4/100*Table1[[#This Row],[BW40_3705]]),"")</f>
        <v/>
      </c>
      <c r="H9842" s="7" t="str">
        <f>IF(Table1[[#This Row],[Is Data Valid]]=TRUE,((Table1[[#This Row],[Birthweight (grams)]]*0.9/Table1[[#This Row],[BW_GA]])-1)/(Backend!$B$4/100*Table1[[#This Row],[BW40_3705]]),"")</f>
        <v/>
      </c>
      <c r="I9842" s="7" t="str">
        <f>IF(Table1[[#This Row],[Is Data Valid]]=TRUE,((Table1[[#This Row],[Birthweight (grams)]]*1.1/Table1[[#This Row],[BW_GA]])-1)/(Backend!$B$4/100*Table1[[#This Row],[BW40_3705]]),"")</f>
        <v/>
      </c>
      <c r="J9842" s="7" t="str">
        <f>IF(Table1[[#This Row],[Is Data Valid]]=TRUE,_xlfn.NORM.S.DIST(Table1[[#This Row],[Birthweight Z-Score]],TRUE)*100,"")</f>
        <v/>
      </c>
      <c r="K9842" s="7" t="str">
        <f>IF(Table1[[#This Row],[Is Data Valid]]=TRUE,_xlfn.NORM.S.DIST(Table1[[#This Row],[Birthweight Z-Score (BW-10%)]],TRUE)*100,"")</f>
        <v/>
      </c>
      <c r="L9842" s="7" t="str">
        <f>IF(Table1[[#This Row],[Is Data Valid]]=TRUE,_xlfn.NORM.S.DIST(Table1[[#This Row],[Birthweight Z-Score (BW+10%)]],TRUE)*100,"")</f>
        <v/>
      </c>
    </row>
    <row r="9843" spans="1:12" x14ac:dyDescent="0.35">
      <c r="A9843" s="3"/>
      <c r="B9843" s="2"/>
      <c r="C9843" s="2"/>
      <c r="D9843" s="2" t="b">
        <f>IF(AND(NOT(ISBLANK(Table1[[#This Row],[Fetal Sex (Male, Female or Unknown)]])),ISNUMBER(Table1[[#This Row],[Birthweight (grams)]]),ISNUMBER(Table1[[#This Row],[Gestation (days)]])),TRUE,FALSE)</f>
        <v>0</v>
      </c>
      <c r="E9843" s="2" t="str">
        <f>IF(Table1[[#This Row],[Is Data Valid]]=TRUE,IF(Table1[[#This Row],[Fetal Sex (Male, Female or Unknown)]]="Male",Backend!$C$6,IF(Table1[[#This Row],[Fetal Sex (Male, Female or Unknown)]]="Female",Backend!$C$7,IF(Table1[[#This Row],[Fetal Sex (Male, Female or Unknown)]]="Unknown",Backend!$C$8,"Error"))),"")</f>
        <v/>
      </c>
      <c r="F9843" s="8" t="str">
        <f>IF(Table1[[#This Row],[Is Data Valid]]=TRUE,EXP(0.578+0.332*((Table1[[#This Row],[Gestation (days)]]+0.5)/7)-0.00354*((Table1[[#This Row],[Gestation (days)]]+0.5)/7)^2)*Table1[[#This Row],[BW40_3705]],"")</f>
        <v/>
      </c>
      <c r="G9843" s="2" t="str">
        <f>IF(Table1[[#This Row],[Is Data Valid]]=TRUE,((Table1[[#This Row],[Birthweight (grams)]]/Table1[[#This Row],[BW_GA]])-1)/(Backend!$B$4/100*Table1[[#This Row],[BW40_3705]]),"")</f>
        <v/>
      </c>
      <c r="H9843" s="7" t="str">
        <f>IF(Table1[[#This Row],[Is Data Valid]]=TRUE,((Table1[[#This Row],[Birthweight (grams)]]*0.9/Table1[[#This Row],[BW_GA]])-1)/(Backend!$B$4/100*Table1[[#This Row],[BW40_3705]]),"")</f>
        <v/>
      </c>
      <c r="I9843" s="7" t="str">
        <f>IF(Table1[[#This Row],[Is Data Valid]]=TRUE,((Table1[[#This Row],[Birthweight (grams)]]*1.1/Table1[[#This Row],[BW_GA]])-1)/(Backend!$B$4/100*Table1[[#This Row],[BW40_3705]]),"")</f>
        <v/>
      </c>
      <c r="J9843" s="7" t="str">
        <f>IF(Table1[[#This Row],[Is Data Valid]]=TRUE,_xlfn.NORM.S.DIST(Table1[[#This Row],[Birthweight Z-Score]],TRUE)*100,"")</f>
        <v/>
      </c>
      <c r="K9843" s="7" t="str">
        <f>IF(Table1[[#This Row],[Is Data Valid]]=TRUE,_xlfn.NORM.S.DIST(Table1[[#This Row],[Birthweight Z-Score (BW-10%)]],TRUE)*100,"")</f>
        <v/>
      </c>
      <c r="L9843" s="7" t="str">
        <f>IF(Table1[[#This Row],[Is Data Valid]]=TRUE,_xlfn.NORM.S.DIST(Table1[[#This Row],[Birthweight Z-Score (BW+10%)]],TRUE)*100,"")</f>
        <v/>
      </c>
    </row>
    <row r="9844" spans="1:12" x14ac:dyDescent="0.35">
      <c r="A9844" s="3"/>
      <c r="B9844" s="2"/>
      <c r="C9844" s="2"/>
      <c r="D9844" s="2" t="b">
        <f>IF(AND(NOT(ISBLANK(Table1[[#This Row],[Fetal Sex (Male, Female or Unknown)]])),ISNUMBER(Table1[[#This Row],[Birthweight (grams)]]),ISNUMBER(Table1[[#This Row],[Gestation (days)]])),TRUE,FALSE)</f>
        <v>0</v>
      </c>
      <c r="E9844" s="2" t="str">
        <f>IF(Table1[[#This Row],[Is Data Valid]]=TRUE,IF(Table1[[#This Row],[Fetal Sex (Male, Female or Unknown)]]="Male",Backend!$C$6,IF(Table1[[#This Row],[Fetal Sex (Male, Female or Unknown)]]="Female",Backend!$C$7,IF(Table1[[#This Row],[Fetal Sex (Male, Female or Unknown)]]="Unknown",Backend!$C$8,"Error"))),"")</f>
        <v/>
      </c>
      <c r="F9844" s="8" t="str">
        <f>IF(Table1[[#This Row],[Is Data Valid]]=TRUE,EXP(0.578+0.332*((Table1[[#This Row],[Gestation (days)]]+0.5)/7)-0.00354*((Table1[[#This Row],[Gestation (days)]]+0.5)/7)^2)*Table1[[#This Row],[BW40_3705]],"")</f>
        <v/>
      </c>
      <c r="G9844" s="2" t="str">
        <f>IF(Table1[[#This Row],[Is Data Valid]]=TRUE,((Table1[[#This Row],[Birthweight (grams)]]/Table1[[#This Row],[BW_GA]])-1)/(Backend!$B$4/100*Table1[[#This Row],[BW40_3705]]),"")</f>
        <v/>
      </c>
      <c r="H9844" s="7" t="str">
        <f>IF(Table1[[#This Row],[Is Data Valid]]=TRUE,((Table1[[#This Row],[Birthweight (grams)]]*0.9/Table1[[#This Row],[BW_GA]])-1)/(Backend!$B$4/100*Table1[[#This Row],[BW40_3705]]),"")</f>
        <v/>
      </c>
      <c r="I9844" s="7" t="str">
        <f>IF(Table1[[#This Row],[Is Data Valid]]=TRUE,((Table1[[#This Row],[Birthweight (grams)]]*1.1/Table1[[#This Row],[BW_GA]])-1)/(Backend!$B$4/100*Table1[[#This Row],[BW40_3705]]),"")</f>
        <v/>
      </c>
      <c r="J9844" s="7" t="str">
        <f>IF(Table1[[#This Row],[Is Data Valid]]=TRUE,_xlfn.NORM.S.DIST(Table1[[#This Row],[Birthweight Z-Score]],TRUE)*100,"")</f>
        <v/>
      </c>
      <c r="K9844" s="7" t="str">
        <f>IF(Table1[[#This Row],[Is Data Valid]]=TRUE,_xlfn.NORM.S.DIST(Table1[[#This Row],[Birthweight Z-Score (BW-10%)]],TRUE)*100,"")</f>
        <v/>
      </c>
      <c r="L9844" s="7" t="str">
        <f>IF(Table1[[#This Row],[Is Data Valid]]=TRUE,_xlfn.NORM.S.DIST(Table1[[#This Row],[Birthweight Z-Score (BW+10%)]],TRUE)*100,"")</f>
        <v/>
      </c>
    </row>
    <row r="9845" spans="1:12" x14ac:dyDescent="0.35">
      <c r="A9845" s="3"/>
      <c r="B9845" s="2"/>
      <c r="C9845" s="2"/>
      <c r="D9845" s="2" t="b">
        <f>IF(AND(NOT(ISBLANK(Table1[[#This Row],[Fetal Sex (Male, Female or Unknown)]])),ISNUMBER(Table1[[#This Row],[Birthweight (grams)]]),ISNUMBER(Table1[[#This Row],[Gestation (days)]])),TRUE,FALSE)</f>
        <v>0</v>
      </c>
      <c r="E9845" s="2" t="str">
        <f>IF(Table1[[#This Row],[Is Data Valid]]=TRUE,IF(Table1[[#This Row],[Fetal Sex (Male, Female or Unknown)]]="Male",Backend!$C$6,IF(Table1[[#This Row],[Fetal Sex (Male, Female or Unknown)]]="Female",Backend!$C$7,IF(Table1[[#This Row],[Fetal Sex (Male, Female or Unknown)]]="Unknown",Backend!$C$8,"Error"))),"")</f>
        <v/>
      </c>
      <c r="F9845" s="8" t="str">
        <f>IF(Table1[[#This Row],[Is Data Valid]]=TRUE,EXP(0.578+0.332*((Table1[[#This Row],[Gestation (days)]]+0.5)/7)-0.00354*((Table1[[#This Row],[Gestation (days)]]+0.5)/7)^2)*Table1[[#This Row],[BW40_3705]],"")</f>
        <v/>
      </c>
      <c r="G9845" s="2" t="str">
        <f>IF(Table1[[#This Row],[Is Data Valid]]=TRUE,((Table1[[#This Row],[Birthweight (grams)]]/Table1[[#This Row],[BW_GA]])-1)/(Backend!$B$4/100*Table1[[#This Row],[BW40_3705]]),"")</f>
        <v/>
      </c>
      <c r="H9845" s="7" t="str">
        <f>IF(Table1[[#This Row],[Is Data Valid]]=TRUE,((Table1[[#This Row],[Birthweight (grams)]]*0.9/Table1[[#This Row],[BW_GA]])-1)/(Backend!$B$4/100*Table1[[#This Row],[BW40_3705]]),"")</f>
        <v/>
      </c>
      <c r="I9845" s="7" t="str">
        <f>IF(Table1[[#This Row],[Is Data Valid]]=TRUE,((Table1[[#This Row],[Birthweight (grams)]]*1.1/Table1[[#This Row],[BW_GA]])-1)/(Backend!$B$4/100*Table1[[#This Row],[BW40_3705]]),"")</f>
        <v/>
      </c>
      <c r="J9845" s="7" t="str">
        <f>IF(Table1[[#This Row],[Is Data Valid]]=TRUE,_xlfn.NORM.S.DIST(Table1[[#This Row],[Birthweight Z-Score]],TRUE)*100,"")</f>
        <v/>
      </c>
      <c r="K9845" s="7" t="str">
        <f>IF(Table1[[#This Row],[Is Data Valid]]=TRUE,_xlfn.NORM.S.DIST(Table1[[#This Row],[Birthweight Z-Score (BW-10%)]],TRUE)*100,"")</f>
        <v/>
      </c>
      <c r="L9845" s="7" t="str">
        <f>IF(Table1[[#This Row],[Is Data Valid]]=TRUE,_xlfn.NORM.S.DIST(Table1[[#This Row],[Birthweight Z-Score (BW+10%)]],TRUE)*100,"")</f>
        <v/>
      </c>
    </row>
    <row r="9846" spans="1:12" x14ac:dyDescent="0.35">
      <c r="A9846" s="3"/>
      <c r="B9846" s="2"/>
      <c r="C9846" s="2"/>
      <c r="D9846" s="2" t="b">
        <f>IF(AND(NOT(ISBLANK(Table1[[#This Row],[Fetal Sex (Male, Female or Unknown)]])),ISNUMBER(Table1[[#This Row],[Birthweight (grams)]]),ISNUMBER(Table1[[#This Row],[Gestation (days)]])),TRUE,FALSE)</f>
        <v>0</v>
      </c>
      <c r="E9846" s="2" t="str">
        <f>IF(Table1[[#This Row],[Is Data Valid]]=TRUE,IF(Table1[[#This Row],[Fetal Sex (Male, Female or Unknown)]]="Male",Backend!$C$6,IF(Table1[[#This Row],[Fetal Sex (Male, Female or Unknown)]]="Female",Backend!$C$7,IF(Table1[[#This Row],[Fetal Sex (Male, Female or Unknown)]]="Unknown",Backend!$C$8,"Error"))),"")</f>
        <v/>
      </c>
      <c r="F9846" s="8" t="str">
        <f>IF(Table1[[#This Row],[Is Data Valid]]=TRUE,EXP(0.578+0.332*((Table1[[#This Row],[Gestation (days)]]+0.5)/7)-0.00354*((Table1[[#This Row],[Gestation (days)]]+0.5)/7)^2)*Table1[[#This Row],[BW40_3705]],"")</f>
        <v/>
      </c>
      <c r="G9846" s="2" t="str">
        <f>IF(Table1[[#This Row],[Is Data Valid]]=TRUE,((Table1[[#This Row],[Birthweight (grams)]]/Table1[[#This Row],[BW_GA]])-1)/(Backend!$B$4/100*Table1[[#This Row],[BW40_3705]]),"")</f>
        <v/>
      </c>
      <c r="H9846" s="7" t="str">
        <f>IF(Table1[[#This Row],[Is Data Valid]]=TRUE,((Table1[[#This Row],[Birthweight (grams)]]*0.9/Table1[[#This Row],[BW_GA]])-1)/(Backend!$B$4/100*Table1[[#This Row],[BW40_3705]]),"")</f>
        <v/>
      </c>
      <c r="I9846" s="7" t="str">
        <f>IF(Table1[[#This Row],[Is Data Valid]]=TRUE,((Table1[[#This Row],[Birthweight (grams)]]*1.1/Table1[[#This Row],[BW_GA]])-1)/(Backend!$B$4/100*Table1[[#This Row],[BW40_3705]]),"")</f>
        <v/>
      </c>
      <c r="J9846" s="7" t="str">
        <f>IF(Table1[[#This Row],[Is Data Valid]]=TRUE,_xlfn.NORM.S.DIST(Table1[[#This Row],[Birthweight Z-Score]],TRUE)*100,"")</f>
        <v/>
      </c>
      <c r="K9846" s="7" t="str">
        <f>IF(Table1[[#This Row],[Is Data Valid]]=TRUE,_xlfn.NORM.S.DIST(Table1[[#This Row],[Birthweight Z-Score (BW-10%)]],TRUE)*100,"")</f>
        <v/>
      </c>
      <c r="L9846" s="7" t="str">
        <f>IF(Table1[[#This Row],[Is Data Valid]]=TRUE,_xlfn.NORM.S.DIST(Table1[[#This Row],[Birthweight Z-Score (BW+10%)]],TRUE)*100,"")</f>
        <v/>
      </c>
    </row>
    <row r="9847" spans="1:12" x14ac:dyDescent="0.35">
      <c r="A9847" s="3"/>
      <c r="B9847" s="2"/>
      <c r="C9847" s="2"/>
      <c r="D9847" s="2" t="b">
        <f>IF(AND(NOT(ISBLANK(Table1[[#This Row],[Fetal Sex (Male, Female or Unknown)]])),ISNUMBER(Table1[[#This Row],[Birthweight (grams)]]),ISNUMBER(Table1[[#This Row],[Gestation (days)]])),TRUE,FALSE)</f>
        <v>0</v>
      </c>
      <c r="E9847" s="2" t="str">
        <f>IF(Table1[[#This Row],[Is Data Valid]]=TRUE,IF(Table1[[#This Row],[Fetal Sex (Male, Female or Unknown)]]="Male",Backend!$C$6,IF(Table1[[#This Row],[Fetal Sex (Male, Female or Unknown)]]="Female",Backend!$C$7,IF(Table1[[#This Row],[Fetal Sex (Male, Female or Unknown)]]="Unknown",Backend!$C$8,"Error"))),"")</f>
        <v/>
      </c>
      <c r="F9847" s="8" t="str">
        <f>IF(Table1[[#This Row],[Is Data Valid]]=TRUE,EXP(0.578+0.332*((Table1[[#This Row],[Gestation (days)]]+0.5)/7)-0.00354*((Table1[[#This Row],[Gestation (days)]]+0.5)/7)^2)*Table1[[#This Row],[BW40_3705]],"")</f>
        <v/>
      </c>
      <c r="G9847" s="2" t="str">
        <f>IF(Table1[[#This Row],[Is Data Valid]]=TRUE,((Table1[[#This Row],[Birthweight (grams)]]/Table1[[#This Row],[BW_GA]])-1)/(Backend!$B$4/100*Table1[[#This Row],[BW40_3705]]),"")</f>
        <v/>
      </c>
      <c r="H9847" s="7" t="str">
        <f>IF(Table1[[#This Row],[Is Data Valid]]=TRUE,((Table1[[#This Row],[Birthweight (grams)]]*0.9/Table1[[#This Row],[BW_GA]])-1)/(Backend!$B$4/100*Table1[[#This Row],[BW40_3705]]),"")</f>
        <v/>
      </c>
      <c r="I9847" s="7" t="str">
        <f>IF(Table1[[#This Row],[Is Data Valid]]=TRUE,((Table1[[#This Row],[Birthweight (grams)]]*1.1/Table1[[#This Row],[BW_GA]])-1)/(Backend!$B$4/100*Table1[[#This Row],[BW40_3705]]),"")</f>
        <v/>
      </c>
      <c r="J9847" s="7" t="str">
        <f>IF(Table1[[#This Row],[Is Data Valid]]=TRUE,_xlfn.NORM.S.DIST(Table1[[#This Row],[Birthweight Z-Score]],TRUE)*100,"")</f>
        <v/>
      </c>
      <c r="K9847" s="7" t="str">
        <f>IF(Table1[[#This Row],[Is Data Valid]]=TRUE,_xlfn.NORM.S.DIST(Table1[[#This Row],[Birthweight Z-Score (BW-10%)]],TRUE)*100,"")</f>
        <v/>
      </c>
      <c r="L9847" s="7" t="str">
        <f>IF(Table1[[#This Row],[Is Data Valid]]=TRUE,_xlfn.NORM.S.DIST(Table1[[#This Row],[Birthweight Z-Score (BW+10%)]],TRUE)*100,"")</f>
        <v/>
      </c>
    </row>
    <row r="9848" spans="1:12" x14ac:dyDescent="0.35">
      <c r="A9848" s="3"/>
      <c r="B9848" s="2"/>
      <c r="C9848" s="2"/>
      <c r="D9848" s="2" t="b">
        <f>IF(AND(NOT(ISBLANK(Table1[[#This Row],[Fetal Sex (Male, Female or Unknown)]])),ISNUMBER(Table1[[#This Row],[Birthweight (grams)]]),ISNUMBER(Table1[[#This Row],[Gestation (days)]])),TRUE,FALSE)</f>
        <v>0</v>
      </c>
      <c r="E9848" s="2" t="str">
        <f>IF(Table1[[#This Row],[Is Data Valid]]=TRUE,IF(Table1[[#This Row],[Fetal Sex (Male, Female or Unknown)]]="Male",Backend!$C$6,IF(Table1[[#This Row],[Fetal Sex (Male, Female or Unknown)]]="Female",Backend!$C$7,IF(Table1[[#This Row],[Fetal Sex (Male, Female or Unknown)]]="Unknown",Backend!$C$8,"Error"))),"")</f>
        <v/>
      </c>
      <c r="F9848" s="8" t="str">
        <f>IF(Table1[[#This Row],[Is Data Valid]]=TRUE,EXP(0.578+0.332*((Table1[[#This Row],[Gestation (days)]]+0.5)/7)-0.00354*((Table1[[#This Row],[Gestation (days)]]+0.5)/7)^2)*Table1[[#This Row],[BW40_3705]],"")</f>
        <v/>
      </c>
      <c r="G9848" s="2" t="str">
        <f>IF(Table1[[#This Row],[Is Data Valid]]=TRUE,((Table1[[#This Row],[Birthweight (grams)]]/Table1[[#This Row],[BW_GA]])-1)/(Backend!$B$4/100*Table1[[#This Row],[BW40_3705]]),"")</f>
        <v/>
      </c>
      <c r="H9848" s="7" t="str">
        <f>IF(Table1[[#This Row],[Is Data Valid]]=TRUE,((Table1[[#This Row],[Birthweight (grams)]]*0.9/Table1[[#This Row],[BW_GA]])-1)/(Backend!$B$4/100*Table1[[#This Row],[BW40_3705]]),"")</f>
        <v/>
      </c>
      <c r="I9848" s="7" t="str">
        <f>IF(Table1[[#This Row],[Is Data Valid]]=TRUE,((Table1[[#This Row],[Birthweight (grams)]]*1.1/Table1[[#This Row],[BW_GA]])-1)/(Backend!$B$4/100*Table1[[#This Row],[BW40_3705]]),"")</f>
        <v/>
      </c>
      <c r="J9848" s="7" t="str">
        <f>IF(Table1[[#This Row],[Is Data Valid]]=TRUE,_xlfn.NORM.S.DIST(Table1[[#This Row],[Birthweight Z-Score]],TRUE)*100,"")</f>
        <v/>
      </c>
      <c r="K9848" s="7" t="str">
        <f>IF(Table1[[#This Row],[Is Data Valid]]=TRUE,_xlfn.NORM.S.DIST(Table1[[#This Row],[Birthweight Z-Score (BW-10%)]],TRUE)*100,"")</f>
        <v/>
      </c>
      <c r="L9848" s="7" t="str">
        <f>IF(Table1[[#This Row],[Is Data Valid]]=TRUE,_xlfn.NORM.S.DIST(Table1[[#This Row],[Birthweight Z-Score (BW+10%)]],TRUE)*100,"")</f>
        <v/>
      </c>
    </row>
    <row r="9849" spans="1:12" x14ac:dyDescent="0.35">
      <c r="A9849" s="3"/>
      <c r="B9849" s="2"/>
      <c r="C9849" s="2"/>
      <c r="D9849" s="2" t="b">
        <f>IF(AND(NOT(ISBLANK(Table1[[#This Row],[Fetal Sex (Male, Female or Unknown)]])),ISNUMBER(Table1[[#This Row],[Birthweight (grams)]]),ISNUMBER(Table1[[#This Row],[Gestation (days)]])),TRUE,FALSE)</f>
        <v>0</v>
      </c>
      <c r="E9849" s="2" t="str">
        <f>IF(Table1[[#This Row],[Is Data Valid]]=TRUE,IF(Table1[[#This Row],[Fetal Sex (Male, Female or Unknown)]]="Male",Backend!$C$6,IF(Table1[[#This Row],[Fetal Sex (Male, Female or Unknown)]]="Female",Backend!$C$7,IF(Table1[[#This Row],[Fetal Sex (Male, Female or Unknown)]]="Unknown",Backend!$C$8,"Error"))),"")</f>
        <v/>
      </c>
      <c r="F9849" s="8" t="str">
        <f>IF(Table1[[#This Row],[Is Data Valid]]=TRUE,EXP(0.578+0.332*((Table1[[#This Row],[Gestation (days)]]+0.5)/7)-0.00354*((Table1[[#This Row],[Gestation (days)]]+0.5)/7)^2)*Table1[[#This Row],[BW40_3705]],"")</f>
        <v/>
      </c>
      <c r="G9849" s="2" t="str">
        <f>IF(Table1[[#This Row],[Is Data Valid]]=TRUE,((Table1[[#This Row],[Birthweight (grams)]]/Table1[[#This Row],[BW_GA]])-1)/(Backend!$B$4/100*Table1[[#This Row],[BW40_3705]]),"")</f>
        <v/>
      </c>
      <c r="H9849" s="7" t="str">
        <f>IF(Table1[[#This Row],[Is Data Valid]]=TRUE,((Table1[[#This Row],[Birthweight (grams)]]*0.9/Table1[[#This Row],[BW_GA]])-1)/(Backend!$B$4/100*Table1[[#This Row],[BW40_3705]]),"")</f>
        <v/>
      </c>
      <c r="I9849" s="7" t="str">
        <f>IF(Table1[[#This Row],[Is Data Valid]]=TRUE,((Table1[[#This Row],[Birthweight (grams)]]*1.1/Table1[[#This Row],[BW_GA]])-1)/(Backend!$B$4/100*Table1[[#This Row],[BW40_3705]]),"")</f>
        <v/>
      </c>
      <c r="J9849" s="7" t="str">
        <f>IF(Table1[[#This Row],[Is Data Valid]]=TRUE,_xlfn.NORM.S.DIST(Table1[[#This Row],[Birthweight Z-Score]],TRUE)*100,"")</f>
        <v/>
      </c>
      <c r="K9849" s="7" t="str">
        <f>IF(Table1[[#This Row],[Is Data Valid]]=TRUE,_xlfn.NORM.S.DIST(Table1[[#This Row],[Birthweight Z-Score (BW-10%)]],TRUE)*100,"")</f>
        <v/>
      </c>
      <c r="L9849" s="7" t="str">
        <f>IF(Table1[[#This Row],[Is Data Valid]]=TRUE,_xlfn.NORM.S.DIST(Table1[[#This Row],[Birthweight Z-Score (BW+10%)]],TRUE)*100,"")</f>
        <v/>
      </c>
    </row>
    <row r="9850" spans="1:12" x14ac:dyDescent="0.35">
      <c r="A9850" s="3"/>
      <c r="B9850" s="2"/>
      <c r="C9850" s="2"/>
      <c r="D9850" s="2" t="b">
        <f>IF(AND(NOT(ISBLANK(Table1[[#This Row],[Fetal Sex (Male, Female or Unknown)]])),ISNUMBER(Table1[[#This Row],[Birthweight (grams)]]),ISNUMBER(Table1[[#This Row],[Gestation (days)]])),TRUE,FALSE)</f>
        <v>0</v>
      </c>
      <c r="E9850" s="2" t="str">
        <f>IF(Table1[[#This Row],[Is Data Valid]]=TRUE,IF(Table1[[#This Row],[Fetal Sex (Male, Female or Unknown)]]="Male",Backend!$C$6,IF(Table1[[#This Row],[Fetal Sex (Male, Female or Unknown)]]="Female",Backend!$C$7,IF(Table1[[#This Row],[Fetal Sex (Male, Female or Unknown)]]="Unknown",Backend!$C$8,"Error"))),"")</f>
        <v/>
      </c>
      <c r="F9850" s="8" t="str">
        <f>IF(Table1[[#This Row],[Is Data Valid]]=TRUE,EXP(0.578+0.332*((Table1[[#This Row],[Gestation (days)]]+0.5)/7)-0.00354*((Table1[[#This Row],[Gestation (days)]]+0.5)/7)^2)*Table1[[#This Row],[BW40_3705]],"")</f>
        <v/>
      </c>
      <c r="G9850" s="2" t="str">
        <f>IF(Table1[[#This Row],[Is Data Valid]]=TRUE,((Table1[[#This Row],[Birthweight (grams)]]/Table1[[#This Row],[BW_GA]])-1)/(Backend!$B$4/100*Table1[[#This Row],[BW40_3705]]),"")</f>
        <v/>
      </c>
      <c r="H9850" s="7" t="str">
        <f>IF(Table1[[#This Row],[Is Data Valid]]=TRUE,((Table1[[#This Row],[Birthweight (grams)]]*0.9/Table1[[#This Row],[BW_GA]])-1)/(Backend!$B$4/100*Table1[[#This Row],[BW40_3705]]),"")</f>
        <v/>
      </c>
      <c r="I9850" s="7" t="str">
        <f>IF(Table1[[#This Row],[Is Data Valid]]=TRUE,((Table1[[#This Row],[Birthweight (grams)]]*1.1/Table1[[#This Row],[BW_GA]])-1)/(Backend!$B$4/100*Table1[[#This Row],[BW40_3705]]),"")</f>
        <v/>
      </c>
      <c r="J9850" s="7" t="str">
        <f>IF(Table1[[#This Row],[Is Data Valid]]=TRUE,_xlfn.NORM.S.DIST(Table1[[#This Row],[Birthweight Z-Score]],TRUE)*100,"")</f>
        <v/>
      </c>
      <c r="K9850" s="7" t="str">
        <f>IF(Table1[[#This Row],[Is Data Valid]]=TRUE,_xlfn.NORM.S.DIST(Table1[[#This Row],[Birthweight Z-Score (BW-10%)]],TRUE)*100,"")</f>
        <v/>
      </c>
      <c r="L9850" s="7" t="str">
        <f>IF(Table1[[#This Row],[Is Data Valid]]=TRUE,_xlfn.NORM.S.DIST(Table1[[#This Row],[Birthweight Z-Score (BW+10%)]],TRUE)*100,"")</f>
        <v/>
      </c>
    </row>
    <row r="9851" spans="1:12" x14ac:dyDescent="0.35">
      <c r="A9851" s="3"/>
      <c r="B9851" s="2"/>
      <c r="C9851" s="2"/>
      <c r="D9851" s="2" t="b">
        <f>IF(AND(NOT(ISBLANK(Table1[[#This Row],[Fetal Sex (Male, Female or Unknown)]])),ISNUMBER(Table1[[#This Row],[Birthweight (grams)]]),ISNUMBER(Table1[[#This Row],[Gestation (days)]])),TRUE,FALSE)</f>
        <v>0</v>
      </c>
      <c r="E9851" s="2" t="str">
        <f>IF(Table1[[#This Row],[Is Data Valid]]=TRUE,IF(Table1[[#This Row],[Fetal Sex (Male, Female or Unknown)]]="Male",Backend!$C$6,IF(Table1[[#This Row],[Fetal Sex (Male, Female or Unknown)]]="Female",Backend!$C$7,IF(Table1[[#This Row],[Fetal Sex (Male, Female or Unknown)]]="Unknown",Backend!$C$8,"Error"))),"")</f>
        <v/>
      </c>
      <c r="F9851" s="8" t="str">
        <f>IF(Table1[[#This Row],[Is Data Valid]]=TRUE,EXP(0.578+0.332*((Table1[[#This Row],[Gestation (days)]]+0.5)/7)-0.00354*((Table1[[#This Row],[Gestation (days)]]+0.5)/7)^2)*Table1[[#This Row],[BW40_3705]],"")</f>
        <v/>
      </c>
      <c r="G9851" s="2" t="str">
        <f>IF(Table1[[#This Row],[Is Data Valid]]=TRUE,((Table1[[#This Row],[Birthweight (grams)]]/Table1[[#This Row],[BW_GA]])-1)/(Backend!$B$4/100*Table1[[#This Row],[BW40_3705]]),"")</f>
        <v/>
      </c>
      <c r="H9851" s="7" t="str">
        <f>IF(Table1[[#This Row],[Is Data Valid]]=TRUE,((Table1[[#This Row],[Birthweight (grams)]]*0.9/Table1[[#This Row],[BW_GA]])-1)/(Backend!$B$4/100*Table1[[#This Row],[BW40_3705]]),"")</f>
        <v/>
      </c>
      <c r="I9851" s="7" t="str">
        <f>IF(Table1[[#This Row],[Is Data Valid]]=TRUE,((Table1[[#This Row],[Birthweight (grams)]]*1.1/Table1[[#This Row],[BW_GA]])-1)/(Backend!$B$4/100*Table1[[#This Row],[BW40_3705]]),"")</f>
        <v/>
      </c>
      <c r="J9851" s="7" t="str">
        <f>IF(Table1[[#This Row],[Is Data Valid]]=TRUE,_xlfn.NORM.S.DIST(Table1[[#This Row],[Birthweight Z-Score]],TRUE)*100,"")</f>
        <v/>
      </c>
      <c r="K9851" s="7" t="str">
        <f>IF(Table1[[#This Row],[Is Data Valid]]=TRUE,_xlfn.NORM.S.DIST(Table1[[#This Row],[Birthweight Z-Score (BW-10%)]],TRUE)*100,"")</f>
        <v/>
      </c>
      <c r="L9851" s="7" t="str">
        <f>IF(Table1[[#This Row],[Is Data Valid]]=TRUE,_xlfn.NORM.S.DIST(Table1[[#This Row],[Birthweight Z-Score (BW+10%)]],TRUE)*100,"")</f>
        <v/>
      </c>
    </row>
    <row r="9852" spans="1:12" x14ac:dyDescent="0.35">
      <c r="A9852" s="3"/>
      <c r="B9852" s="2"/>
      <c r="C9852" s="2"/>
      <c r="D9852" s="2" t="b">
        <f>IF(AND(NOT(ISBLANK(Table1[[#This Row],[Fetal Sex (Male, Female or Unknown)]])),ISNUMBER(Table1[[#This Row],[Birthweight (grams)]]),ISNUMBER(Table1[[#This Row],[Gestation (days)]])),TRUE,FALSE)</f>
        <v>0</v>
      </c>
      <c r="E9852" s="2" t="str">
        <f>IF(Table1[[#This Row],[Is Data Valid]]=TRUE,IF(Table1[[#This Row],[Fetal Sex (Male, Female or Unknown)]]="Male",Backend!$C$6,IF(Table1[[#This Row],[Fetal Sex (Male, Female or Unknown)]]="Female",Backend!$C$7,IF(Table1[[#This Row],[Fetal Sex (Male, Female or Unknown)]]="Unknown",Backend!$C$8,"Error"))),"")</f>
        <v/>
      </c>
      <c r="F9852" s="8" t="str">
        <f>IF(Table1[[#This Row],[Is Data Valid]]=TRUE,EXP(0.578+0.332*((Table1[[#This Row],[Gestation (days)]]+0.5)/7)-0.00354*((Table1[[#This Row],[Gestation (days)]]+0.5)/7)^2)*Table1[[#This Row],[BW40_3705]],"")</f>
        <v/>
      </c>
      <c r="G9852" s="2" t="str">
        <f>IF(Table1[[#This Row],[Is Data Valid]]=TRUE,((Table1[[#This Row],[Birthweight (grams)]]/Table1[[#This Row],[BW_GA]])-1)/(Backend!$B$4/100*Table1[[#This Row],[BW40_3705]]),"")</f>
        <v/>
      </c>
      <c r="H9852" s="7" t="str">
        <f>IF(Table1[[#This Row],[Is Data Valid]]=TRUE,((Table1[[#This Row],[Birthweight (grams)]]*0.9/Table1[[#This Row],[BW_GA]])-1)/(Backend!$B$4/100*Table1[[#This Row],[BW40_3705]]),"")</f>
        <v/>
      </c>
      <c r="I9852" s="7" t="str">
        <f>IF(Table1[[#This Row],[Is Data Valid]]=TRUE,((Table1[[#This Row],[Birthweight (grams)]]*1.1/Table1[[#This Row],[BW_GA]])-1)/(Backend!$B$4/100*Table1[[#This Row],[BW40_3705]]),"")</f>
        <v/>
      </c>
      <c r="J9852" s="7" t="str">
        <f>IF(Table1[[#This Row],[Is Data Valid]]=TRUE,_xlfn.NORM.S.DIST(Table1[[#This Row],[Birthweight Z-Score]],TRUE)*100,"")</f>
        <v/>
      </c>
      <c r="K9852" s="7" t="str">
        <f>IF(Table1[[#This Row],[Is Data Valid]]=TRUE,_xlfn.NORM.S.DIST(Table1[[#This Row],[Birthweight Z-Score (BW-10%)]],TRUE)*100,"")</f>
        <v/>
      </c>
      <c r="L9852" s="7" t="str">
        <f>IF(Table1[[#This Row],[Is Data Valid]]=TRUE,_xlfn.NORM.S.DIST(Table1[[#This Row],[Birthweight Z-Score (BW+10%)]],TRUE)*100,"")</f>
        <v/>
      </c>
    </row>
    <row r="9853" spans="1:12" x14ac:dyDescent="0.35">
      <c r="A9853" s="3"/>
      <c r="B9853" s="2"/>
      <c r="C9853" s="2"/>
      <c r="D9853" s="2" t="b">
        <f>IF(AND(NOT(ISBLANK(Table1[[#This Row],[Fetal Sex (Male, Female or Unknown)]])),ISNUMBER(Table1[[#This Row],[Birthweight (grams)]]),ISNUMBER(Table1[[#This Row],[Gestation (days)]])),TRUE,FALSE)</f>
        <v>0</v>
      </c>
      <c r="E9853" s="2" t="str">
        <f>IF(Table1[[#This Row],[Is Data Valid]]=TRUE,IF(Table1[[#This Row],[Fetal Sex (Male, Female or Unknown)]]="Male",Backend!$C$6,IF(Table1[[#This Row],[Fetal Sex (Male, Female or Unknown)]]="Female",Backend!$C$7,IF(Table1[[#This Row],[Fetal Sex (Male, Female or Unknown)]]="Unknown",Backend!$C$8,"Error"))),"")</f>
        <v/>
      </c>
      <c r="F9853" s="8" t="str">
        <f>IF(Table1[[#This Row],[Is Data Valid]]=TRUE,EXP(0.578+0.332*((Table1[[#This Row],[Gestation (days)]]+0.5)/7)-0.00354*((Table1[[#This Row],[Gestation (days)]]+0.5)/7)^2)*Table1[[#This Row],[BW40_3705]],"")</f>
        <v/>
      </c>
      <c r="G9853" s="2" t="str">
        <f>IF(Table1[[#This Row],[Is Data Valid]]=TRUE,((Table1[[#This Row],[Birthweight (grams)]]/Table1[[#This Row],[BW_GA]])-1)/(Backend!$B$4/100*Table1[[#This Row],[BW40_3705]]),"")</f>
        <v/>
      </c>
      <c r="H9853" s="7" t="str">
        <f>IF(Table1[[#This Row],[Is Data Valid]]=TRUE,((Table1[[#This Row],[Birthweight (grams)]]*0.9/Table1[[#This Row],[BW_GA]])-1)/(Backend!$B$4/100*Table1[[#This Row],[BW40_3705]]),"")</f>
        <v/>
      </c>
      <c r="I9853" s="7" t="str">
        <f>IF(Table1[[#This Row],[Is Data Valid]]=TRUE,((Table1[[#This Row],[Birthweight (grams)]]*1.1/Table1[[#This Row],[BW_GA]])-1)/(Backend!$B$4/100*Table1[[#This Row],[BW40_3705]]),"")</f>
        <v/>
      </c>
      <c r="J9853" s="7" t="str">
        <f>IF(Table1[[#This Row],[Is Data Valid]]=TRUE,_xlfn.NORM.S.DIST(Table1[[#This Row],[Birthweight Z-Score]],TRUE)*100,"")</f>
        <v/>
      </c>
      <c r="K9853" s="7" t="str">
        <f>IF(Table1[[#This Row],[Is Data Valid]]=TRUE,_xlfn.NORM.S.DIST(Table1[[#This Row],[Birthweight Z-Score (BW-10%)]],TRUE)*100,"")</f>
        <v/>
      </c>
      <c r="L9853" s="7" t="str">
        <f>IF(Table1[[#This Row],[Is Data Valid]]=TRUE,_xlfn.NORM.S.DIST(Table1[[#This Row],[Birthweight Z-Score (BW+10%)]],TRUE)*100,"")</f>
        <v/>
      </c>
    </row>
    <row r="9854" spans="1:12" x14ac:dyDescent="0.35">
      <c r="A9854" s="3"/>
      <c r="B9854" s="2"/>
      <c r="C9854" s="2"/>
      <c r="D9854" s="2" t="b">
        <f>IF(AND(NOT(ISBLANK(Table1[[#This Row],[Fetal Sex (Male, Female or Unknown)]])),ISNUMBER(Table1[[#This Row],[Birthweight (grams)]]),ISNUMBER(Table1[[#This Row],[Gestation (days)]])),TRUE,FALSE)</f>
        <v>0</v>
      </c>
      <c r="E9854" s="2" t="str">
        <f>IF(Table1[[#This Row],[Is Data Valid]]=TRUE,IF(Table1[[#This Row],[Fetal Sex (Male, Female or Unknown)]]="Male",Backend!$C$6,IF(Table1[[#This Row],[Fetal Sex (Male, Female or Unknown)]]="Female",Backend!$C$7,IF(Table1[[#This Row],[Fetal Sex (Male, Female or Unknown)]]="Unknown",Backend!$C$8,"Error"))),"")</f>
        <v/>
      </c>
      <c r="F9854" s="8" t="str">
        <f>IF(Table1[[#This Row],[Is Data Valid]]=TRUE,EXP(0.578+0.332*((Table1[[#This Row],[Gestation (days)]]+0.5)/7)-0.00354*((Table1[[#This Row],[Gestation (days)]]+0.5)/7)^2)*Table1[[#This Row],[BW40_3705]],"")</f>
        <v/>
      </c>
      <c r="G9854" s="2" t="str">
        <f>IF(Table1[[#This Row],[Is Data Valid]]=TRUE,((Table1[[#This Row],[Birthweight (grams)]]/Table1[[#This Row],[BW_GA]])-1)/(Backend!$B$4/100*Table1[[#This Row],[BW40_3705]]),"")</f>
        <v/>
      </c>
      <c r="H9854" s="7" t="str">
        <f>IF(Table1[[#This Row],[Is Data Valid]]=TRUE,((Table1[[#This Row],[Birthweight (grams)]]*0.9/Table1[[#This Row],[BW_GA]])-1)/(Backend!$B$4/100*Table1[[#This Row],[BW40_3705]]),"")</f>
        <v/>
      </c>
      <c r="I9854" s="7" t="str">
        <f>IF(Table1[[#This Row],[Is Data Valid]]=TRUE,((Table1[[#This Row],[Birthweight (grams)]]*1.1/Table1[[#This Row],[BW_GA]])-1)/(Backend!$B$4/100*Table1[[#This Row],[BW40_3705]]),"")</f>
        <v/>
      </c>
      <c r="J9854" s="7" t="str">
        <f>IF(Table1[[#This Row],[Is Data Valid]]=TRUE,_xlfn.NORM.S.DIST(Table1[[#This Row],[Birthweight Z-Score]],TRUE)*100,"")</f>
        <v/>
      </c>
      <c r="K9854" s="7" t="str">
        <f>IF(Table1[[#This Row],[Is Data Valid]]=TRUE,_xlfn.NORM.S.DIST(Table1[[#This Row],[Birthweight Z-Score (BW-10%)]],TRUE)*100,"")</f>
        <v/>
      </c>
      <c r="L9854" s="7" t="str">
        <f>IF(Table1[[#This Row],[Is Data Valid]]=TRUE,_xlfn.NORM.S.DIST(Table1[[#This Row],[Birthweight Z-Score (BW+10%)]],TRUE)*100,"")</f>
        <v/>
      </c>
    </row>
    <row r="9855" spans="1:12" x14ac:dyDescent="0.35">
      <c r="A9855" s="3"/>
      <c r="B9855" s="2"/>
      <c r="C9855" s="2"/>
      <c r="D9855" s="2" t="b">
        <f>IF(AND(NOT(ISBLANK(Table1[[#This Row],[Fetal Sex (Male, Female or Unknown)]])),ISNUMBER(Table1[[#This Row],[Birthweight (grams)]]),ISNUMBER(Table1[[#This Row],[Gestation (days)]])),TRUE,FALSE)</f>
        <v>0</v>
      </c>
      <c r="E9855" s="2" t="str">
        <f>IF(Table1[[#This Row],[Is Data Valid]]=TRUE,IF(Table1[[#This Row],[Fetal Sex (Male, Female or Unknown)]]="Male",Backend!$C$6,IF(Table1[[#This Row],[Fetal Sex (Male, Female or Unknown)]]="Female",Backend!$C$7,IF(Table1[[#This Row],[Fetal Sex (Male, Female or Unknown)]]="Unknown",Backend!$C$8,"Error"))),"")</f>
        <v/>
      </c>
      <c r="F9855" s="8" t="str">
        <f>IF(Table1[[#This Row],[Is Data Valid]]=TRUE,EXP(0.578+0.332*((Table1[[#This Row],[Gestation (days)]]+0.5)/7)-0.00354*((Table1[[#This Row],[Gestation (days)]]+0.5)/7)^2)*Table1[[#This Row],[BW40_3705]],"")</f>
        <v/>
      </c>
      <c r="G9855" s="2" t="str">
        <f>IF(Table1[[#This Row],[Is Data Valid]]=TRUE,((Table1[[#This Row],[Birthweight (grams)]]/Table1[[#This Row],[BW_GA]])-1)/(Backend!$B$4/100*Table1[[#This Row],[BW40_3705]]),"")</f>
        <v/>
      </c>
      <c r="H9855" s="7" t="str">
        <f>IF(Table1[[#This Row],[Is Data Valid]]=TRUE,((Table1[[#This Row],[Birthweight (grams)]]*0.9/Table1[[#This Row],[BW_GA]])-1)/(Backend!$B$4/100*Table1[[#This Row],[BW40_3705]]),"")</f>
        <v/>
      </c>
      <c r="I9855" s="7" t="str">
        <f>IF(Table1[[#This Row],[Is Data Valid]]=TRUE,((Table1[[#This Row],[Birthweight (grams)]]*1.1/Table1[[#This Row],[BW_GA]])-1)/(Backend!$B$4/100*Table1[[#This Row],[BW40_3705]]),"")</f>
        <v/>
      </c>
      <c r="J9855" s="7" t="str">
        <f>IF(Table1[[#This Row],[Is Data Valid]]=TRUE,_xlfn.NORM.S.DIST(Table1[[#This Row],[Birthweight Z-Score]],TRUE)*100,"")</f>
        <v/>
      </c>
      <c r="K9855" s="7" t="str">
        <f>IF(Table1[[#This Row],[Is Data Valid]]=TRUE,_xlfn.NORM.S.DIST(Table1[[#This Row],[Birthweight Z-Score (BW-10%)]],TRUE)*100,"")</f>
        <v/>
      </c>
      <c r="L9855" s="7" t="str">
        <f>IF(Table1[[#This Row],[Is Data Valid]]=TRUE,_xlfn.NORM.S.DIST(Table1[[#This Row],[Birthweight Z-Score (BW+10%)]],TRUE)*100,"")</f>
        <v/>
      </c>
    </row>
    <row r="9856" spans="1:12" x14ac:dyDescent="0.35">
      <c r="A9856" s="3"/>
      <c r="B9856" s="2"/>
      <c r="C9856" s="2"/>
      <c r="D9856" s="2" t="b">
        <f>IF(AND(NOT(ISBLANK(Table1[[#This Row],[Fetal Sex (Male, Female or Unknown)]])),ISNUMBER(Table1[[#This Row],[Birthweight (grams)]]),ISNUMBER(Table1[[#This Row],[Gestation (days)]])),TRUE,FALSE)</f>
        <v>0</v>
      </c>
      <c r="E9856" s="2" t="str">
        <f>IF(Table1[[#This Row],[Is Data Valid]]=TRUE,IF(Table1[[#This Row],[Fetal Sex (Male, Female or Unknown)]]="Male",Backend!$C$6,IF(Table1[[#This Row],[Fetal Sex (Male, Female or Unknown)]]="Female",Backend!$C$7,IF(Table1[[#This Row],[Fetal Sex (Male, Female or Unknown)]]="Unknown",Backend!$C$8,"Error"))),"")</f>
        <v/>
      </c>
      <c r="F9856" s="8" t="str">
        <f>IF(Table1[[#This Row],[Is Data Valid]]=TRUE,EXP(0.578+0.332*((Table1[[#This Row],[Gestation (days)]]+0.5)/7)-0.00354*((Table1[[#This Row],[Gestation (days)]]+0.5)/7)^2)*Table1[[#This Row],[BW40_3705]],"")</f>
        <v/>
      </c>
      <c r="G9856" s="2" t="str">
        <f>IF(Table1[[#This Row],[Is Data Valid]]=TRUE,((Table1[[#This Row],[Birthweight (grams)]]/Table1[[#This Row],[BW_GA]])-1)/(Backend!$B$4/100*Table1[[#This Row],[BW40_3705]]),"")</f>
        <v/>
      </c>
      <c r="H9856" s="7" t="str">
        <f>IF(Table1[[#This Row],[Is Data Valid]]=TRUE,((Table1[[#This Row],[Birthweight (grams)]]*0.9/Table1[[#This Row],[BW_GA]])-1)/(Backend!$B$4/100*Table1[[#This Row],[BW40_3705]]),"")</f>
        <v/>
      </c>
      <c r="I9856" s="7" t="str">
        <f>IF(Table1[[#This Row],[Is Data Valid]]=TRUE,((Table1[[#This Row],[Birthweight (grams)]]*1.1/Table1[[#This Row],[BW_GA]])-1)/(Backend!$B$4/100*Table1[[#This Row],[BW40_3705]]),"")</f>
        <v/>
      </c>
      <c r="J9856" s="7" t="str">
        <f>IF(Table1[[#This Row],[Is Data Valid]]=TRUE,_xlfn.NORM.S.DIST(Table1[[#This Row],[Birthweight Z-Score]],TRUE)*100,"")</f>
        <v/>
      </c>
      <c r="K9856" s="7" t="str">
        <f>IF(Table1[[#This Row],[Is Data Valid]]=TRUE,_xlfn.NORM.S.DIST(Table1[[#This Row],[Birthweight Z-Score (BW-10%)]],TRUE)*100,"")</f>
        <v/>
      </c>
      <c r="L9856" s="7" t="str">
        <f>IF(Table1[[#This Row],[Is Data Valid]]=TRUE,_xlfn.NORM.S.DIST(Table1[[#This Row],[Birthweight Z-Score (BW+10%)]],TRUE)*100,"")</f>
        <v/>
      </c>
    </row>
    <row r="9857" spans="1:12" x14ac:dyDescent="0.35">
      <c r="A9857" s="3"/>
      <c r="B9857" s="2"/>
      <c r="C9857" s="2"/>
      <c r="D9857" s="2" t="b">
        <f>IF(AND(NOT(ISBLANK(Table1[[#This Row],[Fetal Sex (Male, Female or Unknown)]])),ISNUMBER(Table1[[#This Row],[Birthweight (grams)]]),ISNUMBER(Table1[[#This Row],[Gestation (days)]])),TRUE,FALSE)</f>
        <v>0</v>
      </c>
      <c r="E9857" s="2" t="str">
        <f>IF(Table1[[#This Row],[Is Data Valid]]=TRUE,IF(Table1[[#This Row],[Fetal Sex (Male, Female or Unknown)]]="Male",Backend!$C$6,IF(Table1[[#This Row],[Fetal Sex (Male, Female or Unknown)]]="Female",Backend!$C$7,IF(Table1[[#This Row],[Fetal Sex (Male, Female or Unknown)]]="Unknown",Backend!$C$8,"Error"))),"")</f>
        <v/>
      </c>
      <c r="F9857" s="8" t="str">
        <f>IF(Table1[[#This Row],[Is Data Valid]]=TRUE,EXP(0.578+0.332*((Table1[[#This Row],[Gestation (days)]]+0.5)/7)-0.00354*((Table1[[#This Row],[Gestation (days)]]+0.5)/7)^2)*Table1[[#This Row],[BW40_3705]],"")</f>
        <v/>
      </c>
      <c r="G9857" s="2" t="str">
        <f>IF(Table1[[#This Row],[Is Data Valid]]=TRUE,((Table1[[#This Row],[Birthweight (grams)]]/Table1[[#This Row],[BW_GA]])-1)/(Backend!$B$4/100*Table1[[#This Row],[BW40_3705]]),"")</f>
        <v/>
      </c>
      <c r="H9857" s="7" t="str">
        <f>IF(Table1[[#This Row],[Is Data Valid]]=TRUE,((Table1[[#This Row],[Birthweight (grams)]]*0.9/Table1[[#This Row],[BW_GA]])-1)/(Backend!$B$4/100*Table1[[#This Row],[BW40_3705]]),"")</f>
        <v/>
      </c>
      <c r="I9857" s="7" t="str">
        <f>IF(Table1[[#This Row],[Is Data Valid]]=TRUE,((Table1[[#This Row],[Birthweight (grams)]]*1.1/Table1[[#This Row],[BW_GA]])-1)/(Backend!$B$4/100*Table1[[#This Row],[BW40_3705]]),"")</f>
        <v/>
      </c>
      <c r="J9857" s="7" t="str">
        <f>IF(Table1[[#This Row],[Is Data Valid]]=TRUE,_xlfn.NORM.S.DIST(Table1[[#This Row],[Birthweight Z-Score]],TRUE)*100,"")</f>
        <v/>
      </c>
      <c r="K9857" s="7" t="str">
        <f>IF(Table1[[#This Row],[Is Data Valid]]=TRUE,_xlfn.NORM.S.DIST(Table1[[#This Row],[Birthweight Z-Score (BW-10%)]],TRUE)*100,"")</f>
        <v/>
      </c>
      <c r="L9857" s="7" t="str">
        <f>IF(Table1[[#This Row],[Is Data Valid]]=TRUE,_xlfn.NORM.S.DIST(Table1[[#This Row],[Birthweight Z-Score (BW+10%)]],TRUE)*100,"")</f>
        <v/>
      </c>
    </row>
    <row r="9858" spans="1:12" x14ac:dyDescent="0.35">
      <c r="A9858" s="3"/>
      <c r="B9858" s="2"/>
      <c r="C9858" s="2"/>
      <c r="D9858" s="2" t="b">
        <f>IF(AND(NOT(ISBLANK(Table1[[#This Row],[Fetal Sex (Male, Female or Unknown)]])),ISNUMBER(Table1[[#This Row],[Birthweight (grams)]]),ISNUMBER(Table1[[#This Row],[Gestation (days)]])),TRUE,FALSE)</f>
        <v>0</v>
      </c>
      <c r="E9858" s="2" t="str">
        <f>IF(Table1[[#This Row],[Is Data Valid]]=TRUE,IF(Table1[[#This Row],[Fetal Sex (Male, Female or Unknown)]]="Male",Backend!$C$6,IF(Table1[[#This Row],[Fetal Sex (Male, Female or Unknown)]]="Female",Backend!$C$7,IF(Table1[[#This Row],[Fetal Sex (Male, Female or Unknown)]]="Unknown",Backend!$C$8,"Error"))),"")</f>
        <v/>
      </c>
      <c r="F9858" s="8" t="str">
        <f>IF(Table1[[#This Row],[Is Data Valid]]=TRUE,EXP(0.578+0.332*((Table1[[#This Row],[Gestation (days)]]+0.5)/7)-0.00354*((Table1[[#This Row],[Gestation (days)]]+0.5)/7)^2)*Table1[[#This Row],[BW40_3705]],"")</f>
        <v/>
      </c>
      <c r="G9858" s="2" t="str">
        <f>IF(Table1[[#This Row],[Is Data Valid]]=TRUE,((Table1[[#This Row],[Birthweight (grams)]]/Table1[[#This Row],[BW_GA]])-1)/(Backend!$B$4/100*Table1[[#This Row],[BW40_3705]]),"")</f>
        <v/>
      </c>
      <c r="H9858" s="7" t="str">
        <f>IF(Table1[[#This Row],[Is Data Valid]]=TRUE,((Table1[[#This Row],[Birthweight (grams)]]*0.9/Table1[[#This Row],[BW_GA]])-1)/(Backend!$B$4/100*Table1[[#This Row],[BW40_3705]]),"")</f>
        <v/>
      </c>
      <c r="I9858" s="7" t="str">
        <f>IF(Table1[[#This Row],[Is Data Valid]]=TRUE,((Table1[[#This Row],[Birthweight (grams)]]*1.1/Table1[[#This Row],[BW_GA]])-1)/(Backend!$B$4/100*Table1[[#This Row],[BW40_3705]]),"")</f>
        <v/>
      </c>
      <c r="J9858" s="7" t="str">
        <f>IF(Table1[[#This Row],[Is Data Valid]]=TRUE,_xlfn.NORM.S.DIST(Table1[[#This Row],[Birthweight Z-Score]],TRUE)*100,"")</f>
        <v/>
      </c>
      <c r="K9858" s="7" t="str">
        <f>IF(Table1[[#This Row],[Is Data Valid]]=TRUE,_xlfn.NORM.S.DIST(Table1[[#This Row],[Birthweight Z-Score (BW-10%)]],TRUE)*100,"")</f>
        <v/>
      </c>
      <c r="L9858" s="7" t="str">
        <f>IF(Table1[[#This Row],[Is Data Valid]]=TRUE,_xlfn.NORM.S.DIST(Table1[[#This Row],[Birthweight Z-Score (BW+10%)]],TRUE)*100,"")</f>
        <v/>
      </c>
    </row>
    <row r="9859" spans="1:12" x14ac:dyDescent="0.35">
      <c r="A9859" s="3"/>
      <c r="B9859" s="2"/>
      <c r="C9859" s="2"/>
      <c r="D9859" s="2" t="b">
        <f>IF(AND(NOT(ISBLANK(Table1[[#This Row],[Fetal Sex (Male, Female or Unknown)]])),ISNUMBER(Table1[[#This Row],[Birthweight (grams)]]),ISNUMBER(Table1[[#This Row],[Gestation (days)]])),TRUE,FALSE)</f>
        <v>0</v>
      </c>
      <c r="E9859" s="2" t="str">
        <f>IF(Table1[[#This Row],[Is Data Valid]]=TRUE,IF(Table1[[#This Row],[Fetal Sex (Male, Female or Unknown)]]="Male",Backend!$C$6,IF(Table1[[#This Row],[Fetal Sex (Male, Female or Unknown)]]="Female",Backend!$C$7,IF(Table1[[#This Row],[Fetal Sex (Male, Female or Unknown)]]="Unknown",Backend!$C$8,"Error"))),"")</f>
        <v/>
      </c>
      <c r="F9859" s="8" t="str">
        <f>IF(Table1[[#This Row],[Is Data Valid]]=TRUE,EXP(0.578+0.332*((Table1[[#This Row],[Gestation (days)]]+0.5)/7)-0.00354*((Table1[[#This Row],[Gestation (days)]]+0.5)/7)^2)*Table1[[#This Row],[BW40_3705]],"")</f>
        <v/>
      </c>
      <c r="G9859" s="2" t="str">
        <f>IF(Table1[[#This Row],[Is Data Valid]]=TRUE,((Table1[[#This Row],[Birthweight (grams)]]/Table1[[#This Row],[BW_GA]])-1)/(Backend!$B$4/100*Table1[[#This Row],[BW40_3705]]),"")</f>
        <v/>
      </c>
      <c r="H9859" s="7" t="str">
        <f>IF(Table1[[#This Row],[Is Data Valid]]=TRUE,((Table1[[#This Row],[Birthweight (grams)]]*0.9/Table1[[#This Row],[BW_GA]])-1)/(Backend!$B$4/100*Table1[[#This Row],[BW40_3705]]),"")</f>
        <v/>
      </c>
      <c r="I9859" s="7" t="str">
        <f>IF(Table1[[#This Row],[Is Data Valid]]=TRUE,((Table1[[#This Row],[Birthweight (grams)]]*1.1/Table1[[#This Row],[BW_GA]])-1)/(Backend!$B$4/100*Table1[[#This Row],[BW40_3705]]),"")</f>
        <v/>
      </c>
      <c r="J9859" s="7" t="str">
        <f>IF(Table1[[#This Row],[Is Data Valid]]=TRUE,_xlfn.NORM.S.DIST(Table1[[#This Row],[Birthweight Z-Score]],TRUE)*100,"")</f>
        <v/>
      </c>
      <c r="K9859" s="7" t="str">
        <f>IF(Table1[[#This Row],[Is Data Valid]]=TRUE,_xlfn.NORM.S.DIST(Table1[[#This Row],[Birthweight Z-Score (BW-10%)]],TRUE)*100,"")</f>
        <v/>
      </c>
      <c r="L9859" s="7" t="str">
        <f>IF(Table1[[#This Row],[Is Data Valid]]=TRUE,_xlfn.NORM.S.DIST(Table1[[#This Row],[Birthweight Z-Score (BW+10%)]],TRUE)*100,"")</f>
        <v/>
      </c>
    </row>
    <row r="9860" spans="1:12" x14ac:dyDescent="0.35">
      <c r="A9860" s="3"/>
      <c r="B9860" s="2"/>
      <c r="C9860" s="2"/>
      <c r="D9860" s="2" t="b">
        <f>IF(AND(NOT(ISBLANK(Table1[[#This Row],[Fetal Sex (Male, Female or Unknown)]])),ISNUMBER(Table1[[#This Row],[Birthweight (grams)]]),ISNUMBER(Table1[[#This Row],[Gestation (days)]])),TRUE,FALSE)</f>
        <v>0</v>
      </c>
      <c r="E9860" s="2" t="str">
        <f>IF(Table1[[#This Row],[Is Data Valid]]=TRUE,IF(Table1[[#This Row],[Fetal Sex (Male, Female or Unknown)]]="Male",Backend!$C$6,IF(Table1[[#This Row],[Fetal Sex (Male, Female or Unknown)]]="Female",Backend!$C$7,IF(Table1[[#This Row],[Fetal Sex (Male, Female or Unknown)]]="Unknown",Backend!$C$8,"Error"))),"")</f>
        <v/>
      </c>
      <c r="F9860" s="8" t="str">
        <f>IF(Table1[[#This Row],[Is Data Valid]]=TRUE,EXP(0.578+0.332*((Table1[[#This Row],[Gestation (days)]]+0.5)/7)-0.00354*((Table1[[#This Row],[Gestation (days)]]+0.5)/7)^2)*Table1[[#This Row],[BW40_3705]],"")</f>
        <v/>
      </c>
      <c r="G9860" s="2" t="str">
        <f>IF(Table1[[#This Row],[Is Data Valid]]=TRUE,((Table1[[#This Row],[Birthweight (grams)]]/Table1[[#This Row],[BW_GA]])-1)/(Backend!$B$4/100*Table1[[#This Row],[BW40_3705]]),"")</f>
        <v/>
      </c>
      <c r="H9860" s="7" t="str">
        <f>IF(Table1[[#This Row],[Is Data Valid]]=TRUE,((Table1[[#This Row],[Birthweight (grams)]]*0.9/Table1[[#This Row],[BW_GA]])-1)/(Backend!$B$4/100*Table1[[#This Row],[BW40_3705]]),"")</f>
        <v/>
      </c>
      <c r="I9860" s="7" t="str">
        <f>IF(Table1[[#This Row],[Is Data Valid]]=TRUE,((Table1[[#This Row],[Birthweight (grams)]]*1.1/Table1[[#This Row],[BW_GA]])-1)/(Backend!$B$4/100*Table1[[#This Row],[BW40_3705]]),"")</f>
        <v/>
      </c>
      <c r="J9860" s="7" t="str">
        <f>IF(Table1[[#This Row],[Is Data Valid]]=TRUE,_xlfn.NORM.S.DIST(Table1[[#This Row],[Birthweight Z-Score]],TRUE)*100,"")</f>
        <v/>
      </c>
      <c r="K9860" s="7" t="str">
        <f>IF(Table1[[#This Row],[Is Data Valid]]=TRUE,_xlfn.NORM.S.DIST(Table1[[#This Row],[Birthweight Z-Score (BW-10%)]],TRUE)*100,"")</f>
        <v/>
      </c>
      <c r="L9860" s="7" t="str">
        <f>IF(Table1[[#This Row],[Is Data Valid]]=TRUE,_xlfn.NORM.S.DIST(Table1[[#This Row],[Birthweight Z-Score (BW+10%)]],TRUE)*100,"")</f>
        <v/>
      </c>
    </row>
    <row r="9861" spans="1:12" x14ac:dyDescent="0.35">
      <c r="A9861" s="3"/>
      <c r="B9861" s="2"/>
      <c r="C9861" s="2"/>
      <c r="D9861" s="2" t="b">
        <f>IF(AND(NOT(ISBLANK(Table1[[#This Row],[Fetal Sex (Male, Female or Unknown)]])),ISNUMBER(Table1[[#This Row],[Birthweight (grams)]]),ISNUMBER(Table1[[#This Row],[Gestation (days)]])),TRUE,FALSE)</f>
        <v>0</v>
      </c>
      <c r="E9861" s="2" t="str">
        <f>IF(Table1[[#This Row],[Is Data Valid]]=TRUE,IF(Table1[[#This Row],[Fetal Sex (Male, Female or Unknown)]]="Male",Backend!$C$6,IF(Table1[[#This Row],[Fetal Sex (Male, Female or Unknown)]]="Female",Backend!$C$7,IF(Table1[[#This Row],[Fetal Sex (Male, Female or Unknown)]]="Unknown",Backend!$C$8,"Error"))),"")</f>
        <v/>
      </c>
      <c r="F9861" s="8" t="str">
        <f>IF(Table1[[#This Row],[Is Data Valid]]=TRUE,EXP(0.578+0.332*((Table1[[#This Row],[Gestation (days)]]+0.5)/7)-0.00354*((Table1[[#This Row],[Gestation (days)]]+0.5)/7)^2)*Table1[[#This Row],[BW40_3705]],"")</f>
        <v/>
      </c>
      <c r="G9861" s="2" t="str">
        <f>IF(Table1[[#This Row],[Is Data Valid]]=TRUE,((Table1[[#This Row],[Birthweight (grams)]]/Table1[[#This Row],[BW_GA]])-1)/(Backend!$B$4/100*Table1[[#This Row],[BW40_3705]]),"")</f>
        <v/>
      </c>
      <c r="H9861" s="7" t="str">
        <f>IF(Table1[[#This Row],[Is Data Valid]]=TRUE,((Table1[[#This Row],[Birthweight (grams)]]*0.9/Table1[[#This Row],[BW_GA]])-1)/(Backend!$B$4/100*Table1[[#This Row],[BW40_3705]]),"")</f>
        <v/>
      </c>
      <c r="I9861" s="7" t="str">
        <f>IF(Table1[[#This Row],[Is Data Valid]]=TRUE,((Table1[[#This Row],[Birthweight (grams)]]*1.1/Table1[[#This Row],[BW_GA]])-1)/(Backend!$B$4/100*Table1[[#This Row],[BW40_3705]]),"")</f>
        <v/>
      </c>
      <c r="J9861" s="7" t="str">
        <f>IF(Table1[[#This Row],[Is Data Valid]]=TRUE,_xlfn.NORM.S.DIST(Table1[[#This Row],[Birthweight Z-Score]],TRUE)*100,"")</f>
        <v/>
      </c>
      <c r="K9861" s="7" t="str">
        <f>IF(Table1[[#This Row],[Is Data Valid]]=TRUE,_xlfn.NORM.S.DIST(Table1[[#This Row],[Birthweight Z-Score (BW-10%)]],TRUE)*100,"")</f>
        <v/>
      </c>
      <c r="L9861" s="7" t="str">
        <f>IF(Table1[[#This Row],[Is Data Valid]]=TRUE,_xlfn.NORM.S.DIST(Table1[[#This Row],[Birthweight Z-Score (BW+10%)]],TRUE)*100,"")</f>
        <v/>
      </c>
    </row>
    <row r="9862" spans="1:12" x14ac:dyDescent="0.35">
      <c r="A9862" s="3"/>
      <c r="B9862" s="2"/>
      <c r="C9862" s="2"/>
      <c r="D9862" s="2" t="b">
        <f>IF(AND(NOT(ISBLANK(Table1[[#This Row],[Fetal Sex (Male, Female or Unknown)]])),ISNUMBER(Table1[[#This Row],[Birthweight (grams)]]),ISNUMBER(Table1[[#This Row],[Gestation (days)]])),TRUE,FALSE)</f>
        <v>0</v>
      </c>
      <c r="E9862" s="2" t="str">
        <f>IF(Table1[[#This Row],[Is Data Valid]]=TRUE,IF(Table1[[#This Row],[Fetal Sex (Male, Female or Unknown)]]="Male",Backend!$C$6,IF(Table1[[#This Row],[Fetal Sex (Male, Female or Unknown)]]="Female",Backend!$C$7,IF(Table1[[#This Row],[Fetal Sex (Male, Female or Unknown)]]="Unknown",Backend!$C$8,"Error"))),"")</f>
        <v/>
      </c>
      <c r="F9862" s="8" t="str">
        <f>IF(Table1[[#This Row],[Is Data Valid]]=TRUE,EXP(0.578+0.332*((Table1[[#This Row],[Gestation (days)]]+0.5)/7)-0.00354*((Table1[[#This Row],[Gestation (days)]]+0.5)/7)^2)*Table1[[#This Row],[BW40_3705]],"")</f>
        <v/>
      </c>
      <c r="G9862" s="2" t="str">
        <f>IF(Table1[[#This Row],[Is Data Valid]]=TRUE,((Table1[[#This Row],[Birthweight (grams)]]/Table1[[#This Row],[BW_GA]])-1)/(Backend!$B$4/100*Table1[[#This Row],[BW40_3705]]),"")</f>
        <v/>
      </c>
      <c r="H9862" s="7" t="str">
        <f>IF(Table1[[#This Row],[Is Data Valid]]=TRUE,((Table1[[#This Row],[Birthweight (grams)]]*0.9/Table1[[#This Row],[BW_GA]])-1)/(Backend!$B$4/100*Table1[[#This Row],[BW40_3705]]),"")</f>
        <v/>
      </c>
      <c r="I9862" s="7" t="str">
        <f>IF(Table1[[#This Row],[Is Data Valid]]=TRUE,((Table1[[#This Row],[Birthweight (grams)]]*1.1/Table1[[#This Row],[BW_GA]])-1)/(Backend!$B$4/100*Table1[[#This Row],[BW40_3705]]),"")</f>
        <v/>
      </c>
      <c r="J9862" s="7" t="str">
        <f>IF(Table1[[#This Row],[Is Data Valid]]=TRUE,_xlfn.NORM.S.DIST(Table1[[#This Row],[Birthweight Z-Score]],TRUE)*100,"")</f>
        <v/>
      </c>
      <c r="K9862" s="7" t="str">
        <f>IF(Table1[[#This Row],[Is Data Valid]]=TRUE,_xlfn.NORM.S.DIST(Table1[[#This Row],[Birthweight Z-Score (BW-10%)]],TRUE)*100,"")</f>
        <v/>
      </c>
      <c r="L9862" s="7" t="str">
        <f>IF(Table1[[#This Row],[Is Data Valid]]=TRUE,_xlfn.NORM.S.DIST(Table1[[#This Row],[Birthweight Z-Score (BW+10%)]],TRUE)*100,"")</f>
        <v/>
      </c>
    </row>
    <row r="9863" spans="1:12" x14ac:dyDescent="0.35">
      <c r="A9863" s="3"/>
      <c r="B9863" s="2"/>
      <c r="C9863" s="2"/>
      <c r="D9863" s="2" t="b">
        <f>IF(AND(NOT(ISBLANK(Table1[[#This Row],[Fetal Sex (Male, Female or Unknown)]])),ISNUMBER(Table1[[#This Row],[Birthweight (grams)]]),ISNUMBER(Table1[[#This Row],[Gestation (days)]])),TRUE,FALSE)</f>
        <v>0</v>
      </c>
      <c r="E9863" s="2" t="str">
        <f>IF(Table1[[#This Row],[Is Data Valid]]=TRUE,IF(Table1[[#This Row],[Fetal Sex (Male, Female or Unknown)]]="Male",Backend!$C$6,IF(Table1[[#This Row],[Fetal Sex (Male, Female or Unknown)]]="Female",Backend!$C$7,IF(Table1[[#This Row],[Fetal Sex (Male, Female or Unknown)]]="Unknown",Backend!$C$8,"Error"))),"")</f>
        <v/>
      </c>
      <c r="F9863" s="8" t="str">
        <f>IF(Table1[[#This Row],[Is Data Valid]]=TRUE,EXP(0.578+0.332*((Table1[[#This Row],[Gestation (days)]]+0.5)/7)-0.00354*((Table1[[#This Row],[Gestation (days)]]+0.5)/7)^2)*Table1[[#This Row],[BW40_3705]],"")</f>
        <v/>
      </c>
      <c r="G9863" s="2" t="str">
        <f>IF(Table1[[#This Row],[Is Data Valid]]=TRUE,((Table1[[#This Row],[Birthweight (grams)]]/Table1[[#This Row],[BW_GA]])-1)/(Backend!$B$4/100*Table1[[#This Row],[BW40_3705]]),"")</f>
        <v/>
      </c>
      <c r="H9863" s="7" t="str">
        <f>IF(Table1[[#This Row],[Is Data Valid]]=TRUE,((Table1[[#This Row],[Birthweight (grams)]]*0.9/Table1[[#This Row],[BW_GA]])-1)/(Backend!$B$4/100*Table1[[#This Row],[BW40_3705]]),"")</f>
        <v/>
      </c>
      <c r="I9863" s="7" t="str">
        <f>IF(Table1[[#This Row],[Is Data Valid]]=TRUE,((Table1[[#This Row],[Birthweight (grams)]]*1.1/Table1[[#This Row],[BW_GA]])-1)/(Backend!$B$4/100*Table1[[#This Row],[BW40_3705]]),"")</f>
        <v/>
      </c>
      <c r="J9863" s="7" t="str">
        <f>IF(Table1[[#This Row],[Is Data Valid]]=TRUE,_xlfn.NORM.S.DIST(Table1[[#This Row],[Birthweight Z-Score]],TRUE)*100,"")</f>
        <v/>
      </c>
      <c r="K9863" s="7" t="str">
        <f>IF(Table1[[#This Row],[Is Data Valid]]=TRUE,_xlfn.NORM.S.DIST(Table1[[#This Row],[Birthweight Z-Score (BW-10%)]],TRUE)*100,"")</f>
        <v/>
      </c>
      <c r="L9863" s="7" t="str">
        <f>IF(Table1[[#This Row],[Is Data Valid]]=TRUE,_xlfn.NORM.S.DIST(Table1[[#This Row],[Birthweight Z-Score (BW+10%)]],TRUE)*100,"")</f>
        <v/>
      </c>
    </row>
    <row r="9864" spans="1:12" x14ac:dyDescent="0.35">
      <c r="A9864" s="3"/>
      <c r="B9864" s="2"/>
      <c r="C9864" s="2"/>
      <c r="D9864" s="2" t="b">
        <f>IF(AND(NOT(ISBLANK(Table1[[#This Row],[Fetal Sex (Male, Female or Unknown)]])),ISNUMBER(Table1[[#This Row],[Birthweight (grams)]]),ISNUMBER(Table1[[#This Row],[Gestation (days)]])),TRUE,FALSE)</f>
        <v>0</v>
      </c>
      <c r="E9864" s="2" t="str">
        <f>IF(Table1[[#This Row],[Is Data Valid]]=TRUE,IF(Table1[[#This Row],[Fetal Sex (Male, Female or Unknown)]]="Male",Backend!$C$6,IF(Table1[[#This Row],[Fetal Sex (Male, Female or Unknown)]]="Female",Backend!$C$7,IF(Table1[[#This Row],[Fetal Sex (Male, Female or Unknown)]]="Unknown",Backend!$C$8,"Error"))),"")</f>
        <v/>
      </c>
      <c r="F9864" s="8" t="str">
        <f>IF(Table1[[#This Row],[Is Data Valid]]=TRUE,EXP(0.578+0.332*((Table1[[#This Row],[Gestation (days)]]+0.5)/7)-0.00354*((Table1[[#This Row],[Gestation (days)]]+0.5)/7)^2)*Table1[[#This Row],[BW40_3705]],"")</f>
        <v/>
      </c>
      <c r="G9864" s="2" t="str">
        <f>IF(Table1[[#This Row],[Is Data Valid]]=TRUE,((Table1[[#This Row],[Birthweight (grams)]]/Table1[[#This Row],[BW_GA]])-1)/(Backend!$B$4/100*Table1[[#This Row],[BW40_3705]]),"")</f>
        <v/>
      </c>
      <c r="H9864" s="7" t="str">
        <f>IF(Table1[[#This Row],[Is Data Valid]]=TRUE,((Table1[[#This Row],[Birthweight (grams)]]*0.9/Table1[[#This Row],[BW_GA]])-1)/(Backend!$B$4/100*Table1[[#This Row],[BW40_3705]]),"")</f>
        <v/>
      </c>
      <c r="I9864" s="7" t="str">
        <f>IF(Table1[[#This Row],[Is Data Valid]]=TRUE,((Table1[[#This Row],[Birthweight (grams)]]*1.1/Table1[[#This Row],[BW_GA]])-1)/(Backend!$B$4/100*Table1[[#This Row],[BW40_3705]]),"")</f>
        <v/>
      </c>
      <c r="J9864" s="7" t="str">
        <f>IF(Table1[[#This Row],[Is Data Valid]]=TRUE,_xlfn.NORM.S.DIST(Table1[[#This Row],[Birthweight Z-Score]],TRUE)*100,"")</f>
        <v/>
      </c>
      <c r="K9864" s="7" t="str">
        <f>IF(Table1[[#This Row],[Is Data Valid]]=TRUE,_xlfn.NORM.S.DIST(Table1[[#This Row],[Birthweight Z-Score (BW-10%)]],TRUE)*100,"")</f>
        <v/>
      </c>
      <c r="L9864" s="7" t="str">
        <f>IF(Table1[[#This Row],[Is Data Valid]]=TRUE,_xlfn.NORM.S.DIST(Table1[[#This Row],[Birthweight Z-Score (BW+10%)]],TRUE)*100,"")</f>
        <v/>
      </c>
    </row>
    <row r="9865" spans="1:12" x14ac:dyDescent="0.35">
      <c r="A9865" s="3"/>
      <c r="B9865" s="2"/>
      <c r="C9865" s="2"/>
      <c r="D9865" s="2" t="b">
        <f>IF(AND(NOT(ISBLANK(Table1[[#This Row],[Fetal Sex (Male, Female or Unknown)]])),ISNUMBER(Table1[[#This Row],[Birthweight (grams)]]),ISNUMBER(Table1[[#This Row],[Gestation (days)]])),TRUE,FALSE)</f>
        <v>0</v>
      </c>
      <c r="E9865" s="2" t="str">
        <f>IF(Table1[[#This Row],[Is Data Valid]]=TRUE,IF(Table1[[#This Row],[Fetal Sex (Male, Female or Unknown)]]="Male",Backend!$C$6,IF(Table1[[#This Row],[Fetal Sex (Male, Female or Unknown)]]="Female",Backend!$C$7,IF(Table1[[#This Row],[Fetal Sex (Male, Female or Unknown)]]="Unknown",Backend!$C$8,"Error"))),"")</f>
        <v/>
      </c>
      <c r="F9865" s="8" t="str">
        <f>IF(Table1[[#This Row],[Is Data Valid]]=TRUE,EXP(0.578+0.332*((Table1[[#This Row],[Gestation (days)]]+0.5)/7)-0.00354*((Table1[[#This Row],[Gestation (days)]]+0.5)/7)^2)*Table1[[#This Row],[BW40_3705]],"")</f>
        <v/>
      </c>
      <c r="G9865" s="2" t="str">
        <f>IF(Table1[[#This Row],[Is Data Valid]]=TRUE,((Table1[[#This Row],[Birthweight (grams)]]/Table1[[#This Row],[BW_GA]])-1)/(Backend!$B$4/100*Table1[[#This Row],[BW40_3705]]),"")</f>
        <v/>
      </c>
      <c r="H9865" s="7" t="str">
        <f>IF(Table1[[#This Row],[Is Data Valid]]=TRUE,((Table1[[#This Row],[Birthweight (grams)]]*0.9/Table1[[#This Row],[BW_GA]])-1)/(Backend!$B$4/100*Table1[[#This Row],[BW40_3705]]),"")</f>
        <v/>
      </c>
      <c r="I9865" s="7" t="str">
        <f>IF(Table1[[#This Row],[Is Data Valid]]=TRUE,((Table1[[#This Row],[Birthweight (grams)]]*1.1/Table1[[#This Row],[BW_GA]])-1)/(Backend!$B$4/100*Table1[[#This Row],[BW40_3705]]),"")</f>
        <v/>
      </c>
      <c r="J9865" s="7" t="str">
        <f>IF(Table1[[#This Row],[Is Data Valid]]=TRUE,_xlfn.NORM.S.DIST(Table1[[#This Row],[Birthweight Z-Score]],TRUE)*100,"")</f>
        <v/>
      </c>
      <c r="K9865" s="7" t="str">
        <f>IF(Table1[[#This Row],[Is Data Valid]]=TRUE,_xlfn.NORM.S.DIST(Table1[[#This Row],[Birthweight Z-Score (BW-10%)]],TRUE)*100,"")</f>
        <v/>
      </c>
      <c r="L9865" s="7" t="str">
        <f>IF(Table1[[#This Row],[Is Data Valid]]=TRUE,_xlfn.NORM.S.DIST(Table1[[#This Row],[Birthweight Z-Score (BW+10%)]],TRUE)*100,"")</f>
        <v/>
      </c>
    </row>
    <row r="9866" spans="1:12" x14ac:dyDescent="0.35">
      <c r="A9866" s="3"/>
      <c r="B9866" s="2"/>
      <c r="C9866" s="2"/>
      <c r="D9866" s="2" t="b">
        <f>IF(AND(NOT(ISBLANK(Table1[[#This Row],[Fetal Sex (Male, Female or Unknown)]])),ISNUMBER(Table1[[#This Row],[Birthweight (grams)]]),ISNUMBER(Table1[[#This Row],[Gestation (days)]])),TRUE,FALSE)</f>
        <v>0</v>
      </c>
      <c r="E9866" s="2" t="str">
        <f>IF(Table1[[#This Row],[Is Data Valid]]=TRUE,IF(Table1[[#This Row],[Fetal Sex (Male, Female or Unknown)]]="Male",Backend!$C$6,IF(Table1[[#This Row],[Fetal Sex (Male, Female or Unknown)]]="Female",Backend!$C$7,IF(Table1[[#This Row],[Fetal Sex (Male, Female or Unknown)]]="Unknown",Backend!$C$8,"Error"))),"")</f>
        <v/>
      </c>
      <c r="F9866" s="8" t="str">
        <f>IF(Table1[[#This Row],[Is Data Valid]]=TRUE,EXP(0.578+0.332*((Table1[[#This Row],[Gestation (days)]]+0.5)/7)-0.00354*((Table1[[#This Row],[Gestation (days)]]+0.5)/7)^2)*Table1[[#This Row],[BW40_3705]],"")</f>
        <v/>
      </c>
      <c r="G9866" s="2" t="str">
        <f>IF(Table1[[#This Row],[Is Data Valid]]=TRUE,((Table1[[#This Row],[Birthweight (grams)]]/Table1[[#This Row],[BW_GA]])-1)/(Backend!$B$4/100*Table1[[#This Row],[BW40_3705]]),"")</f>
        <v/>
      </c>
      <c r="H9866" s="7" t="str">
        <f>IF(Table1[[#This Row],[Is Data Valid]]=TRUE,((Table1[[#This Row],[Birthweight (grams)]]*0.9/Table1[[#This Row],[BW_GA]])-1)/(Backend!$B$4/100*Table1[[#This Row],[BW40_3705]]),"")</f>
        <v/>
      </c>
      <c r="I9866" s="7" t="str">
        <f>IF(Table1[[#This Row],[Is Data Valid]]=TRUE,((Table1[[#This Row],[Birthweight (grams)]]*1.1/Table1[[#This Row],[BW_GA]])-1)/(Backend!$B$4/100*Table1[[#This Row],[BW40_3705]]),"")</f>
        <v/>
      </c>
      <c r="J9866" s="7" t="str">
        <f>IF(Table1[[#This Row],[Is Data Valid]]=TRUE,_xlfn.NORM.S.DIST(Table1[[#This Row],[Birthweight Z-Score]],TRUE)*100,"")</f>
        <v/>
      </c>
      <c r="K9866" s="7" t="str">
        <f>IF(Table1[[#This Row],[Is Data Valid]]=TRUE,_xlfn.NORM.S.DIST(Table1[[#This Row],[Birthweight Z-Score (BW-10%)]],TRUE)*100,"")</f>
        <v/>
      </c>
      <c r="L9866" s="7" t="str">
        <f>IF(Table1[[#This Row],[Is Data Valid]]=TRUE,_xlfn.NORM.S.DIST(Table1[[#This Row],[Birthweight Z-Score (BW+10%)]],TRUE)*100,"")</f>
        <v/>
      </c>
    </row>
    <row r="9867" spans="1:12" x14ac:dyDescent="0.35">
      <c r="A9867" s="3"/>
      <c r="B9867" s="2"/>
      <c r="C9867" s="2"/>
      <c r="D9867" s="2" t="b">
        <f>IF(AND(NOT(ISBLANK(Table1[[#This Row],[Fetal Sex (Male, Female or Unknown)]])),ISNUMBER(Table1[[#This Row],[Birthweight (grams)]]),ISNUMBER(Table1[[#This Row],[Gestation (days)]])),TRUE,FALSE)</f>
        <v>0</v>
      </c>
      <c r="E9867" s="2" t="str">
        <f>IF(Table1[[#This Row],[Is Data Valid]]=TRUE,IF(Table1[[#This Row],[Fetal Sex (Male, Female or Unknown)]]="Male",Backend!$C$6,IF(Table1[[#This Row],[Fetal Sex (Male, Female or Unknown)]]="Female",Backend!$C$7,IF(Table1[[#This Row],[Fetal Sex (Male, Female or Unknown)]]="Unknown",Backend!$C$8,"Error"))),"")</f>
        <v/>
      </c>
      <c r="F9867" s="8" t="str">
        <f>IF(Table1[[#This Row],[Is Data Valid]]=TRUE,EXP(0.578+0.332*((Table1[[#This Row],[Gestation (days)]]+0.5)/7)-0.00354*((Table1[[#This Row],[Gestation (days)]]+0.5)/7)^2)*Table1[[#This Row],[BW40_3705]],"")</f>
        <v/>
      </c>
      <c r="G9867" s="2" t="str">
        <f>IF(Table1[[#This Row],[Is Data Valid]]=TRUE,((Table1[[#This Row],[Birthweight (grams)]]/Table1[[#This Row],[BW_GA]])-1)/(Backend!$B$4/100*Table1[[#This Row],[BW40_3705]]),"")</f>
        <v/>
      </c>
      <c r="H9867" s="7" t="str">
        <f>IF(Table1[[#This Row],[Is Data Valid]]=TRUE,((Table1[[#This Row],[Birthweight (grams)]]*0.9/Table1[[#This Row],[BW_GA]])-1)/(Backend!$B$4/100*Table1[[#This Row],[BW40_3705]]),"")</f>
        <v/>
      </c>
      <c r="I9867" s="7" t="str">
        <f>IF(Table1[[#This Row],[Is Data Valid]]=TRUE,((Table1[[#This Row],[Birthweight (grams)]]*1.1/Table1[[#This Row],[BW_GA]])-1)/(Backend!$B$4/100*Table1[[#This Row],[BW40_3705]]),"")</f>
        <v/>
      </c>
      <c r="J9867" s="7" t="str">
        <f>IF(Table1[[#This Row],[Is Data Valid]]=TRUE,_xlfn.NORM.S.DIST(Table1[[#This Row],[Birthweight Z-Score]],TRUE)*100,"")</f>
        <v/>
      </c>
      <c r="K9867" s="7" t="str">
        <f>IF(Table1[[#This Row],[Is Data Valid]]=TRUE,_xlfn.NORM.S.DIST(Table1[[#This Row],[Birthweight Z-Score (BW-10%)]],TRUE)*100,"")</f>
        <v/>
      </c>
      <c r="L9867" s="7" t="str">
        <f>IF(Table1[[#This Row],[Is Data Valid]]=TRUE,_xlfn.NORM.S.DIST(Table1[[#This Row],[Birthweight Z-Score (BW+10%)]],TRUE)*100,"")</f>
        <v/>
      </c>
    </row>
    <row r="9868" spans="1:12" x14ac:dyDescent="0.35">
      <c r="A9868" s="3"/>
      <c r="B9868" s="2"/>
      <c r="C9868" s="2"/>
      <c r="D9868" s="2" t="b">
        <f>IF(AND(NOT(ISBLANK(Table1[[#This Row],[Fetal Sex (Male, Female or Unknown)]])),ISNUMBER(Table1[[#This Row],[Birthweight (grams)]]),ISNUMBER(Table1[[#This Row],[Gestation (days)]])),TRUE,FALSE)</f>
        <v>0</v>
      </c>
      <c r="E9868" s="2" t="str">
        <f>IF(Table1[[#This Row],[Is Data Valid]]=TRUE,IF(Table1[[#This Row],[Fetal Sex (Male, Female or Unknown)]]="Male",Backend!$C$6,IF(Table1[[#This Row],[Fetal Sex (Male, Female or Unknown)]]="Female",Backend!$C$7,IF(Table1[[#This Row],[Fetal Sex (Male, Female or Unknown)]]="Unknown",Backend!$C$8,"Error"))),"")</f>
        <v/>
      </c>
      <c r="F9868" s="8" t="str">
        <f>IF(Table1[[#This Row],[Is Data Valid]]=TRUE,EXP(0.578+0.332*((Table1[[#This Row],[Gestation (days)]]+0.5)/7)-0.00354*((Table1[[#This Row],[Gestation (days)]]+0.5)/7)^2)*Table1[[#This Row],[BW40_3705]],"")</f>
        <v/>
      </c>
      <c r="G9868" s="2" t="str">
        <f>IF(Table1[[#This Row],[Is Data Valid]]=TRUE,((Table1[[#This Row],[Birthweight (grams)]]/Table1[[#This Row],[BW_GA]])-1)/(Backend!$B$4/100*Table1[[#This Row],[BW40_3705]]),"")</f>
        <v/>
      </c>
      <c r="H9868" s="7" t="str">
        <f>IF(Table1[[#This Row],[Is Data Valid]]=TRUE,((Table1[[#This Row],[Birthweight (grams)]]*0.9/Table1[[#This Row],[BW_GA]])-1)/(Backend!$B$4/100*Table1[[#This Row],[BW40_3705]]),"")</f>
        <v/>
      </c>
      <c r="I9868" s="7" t="str">
        <f>IF(Table1[[#This Row],[Is Data Valid]]=TRUE,((Table1[[#This Row],[Birthweight (grams)]]*1.1/Table1[[#This Row],[BW_GA]])-1)/(Backend!$B$4/100*Table1[[#This Row],[BW40_3705]]),"")</f>
        <v/>
      </c>
      <c r="J9868" s="7" t="str">
        <f>IF(Table1[[#This Row],[Is Data Valid]]=TRUE,_xlfn.NORM.S.DIST(Table1[[#This Row],[Birthweight Z-Score]],TRUE)*100,"")</f>
        <v/>
      </c>
      <c r="K9868" s="7" t="str">
        <f>IF(Table1[[#This Row],[Is Data Valid]]=TRUE,_xlfn.NORM.S.DIST(Table1[[#This Row],[Birthweight Z-Score (BW-10%)]],TRUE)*100,"")</f>
        <v/>
      </c>
      <c r="L9868" s="7" t="str">
        <f>IF(Table1[[#This Row],[Is Data Valid]]=TRUE,_xlfn.NORM.S.DIST(Table1[[#This Row],[Birthweight Z-Score (BW+10%)]],TRUE)*100,"")</f>
        <v/>
      </c>
    </row>
    <row r="9869" spans="1:12" x14ac:dyDescent="0.35">
      <c r="A9869" s="3"/>
      <c r="B9869" s="2"/>
      <c r="C9869" s="2"/>
      <c r="D9869" s="2" t="b">
        <f>IF(AND(NOT(ISBLANK(Table1[[#This Row],[Fetal Sex (Male, Female or Unknown)]])),ISNUMBER(Table1[[#This Row],[Birthweight (grams)]]),ISNUMBER(Table1[[#This Row],[Gestation (days)]])),TRUE,FALSE)</f>
        <v>0</v>
      </c>
      <c r="E9869" s="2" t="str">
        <f>IF(Table1[[#This Row],[Is Data Valid]]=TRUE,IF(Table1[[#This Row],[Fetal Sex (Male, Female or Unknown)]]="Male",Backend!$C$6,IF(Table1[[#This Row],[Fetal Sex (Male, Female or Unknown)]]="Female",Backend!$C$7,IF(Table1[[#This Row],[Fetal Sex (Male, Female or Unknown)]]="Unknown",Backend!$C$8,"Error"))),"")</f>
        <v/>
      </c>
      <c r="F9869" s="8" t="str">
        <f>IF(Table1[[#This Row],[Is Data Valid]]=TRUE,EXP(0.578+0.332*((Table1[[#This Row],[Gestation (days)]]+0.5)/7)-0.00354*((Table1[[#This Row],[Gestation (days)]]+0.5)/7)^2)*Table1[[#This Row],[BW40_3705]],"")</f>
        <v/>
      </c>
      <c r="G9869" s="2" t="str">
        <f>IF(Table1[[#This Row],[Is Data Valid]]=TRUE,((Table1[[#This Row],[Birthweight (grams)]]/Table1[[#This Row],[BW_GA]])-1)/(Backend!$B$4/100*Table1[[#This Row],[BW40_3705]]),"")</f>
        <v/>
      </c>
      <c r="H9869" s="7" t="str">
        <f>IF(Table1[[#This Row],[Is Data Valid]]=TRUE,((Table1[[#This Row],[Birthweight (grams)]]*0.9/Table1[[#This Row],[BW_GA]])-1)/(Backend!$B$4/100*Table1[[#This Row],[BW40_3705]]),"")</f>
        <v/>
      </c>
      <c r="I9869" s="7" t="str">
        <f>IF(Table1[[#This Row],[Is Data Valid]]=TRUE,((Table1[[#This Row],[Birthweight (grams)]]*1.1/Table1[[#This Row],[BW_GA]])-1)/(Backend!$B$4/100*Table1[[#This Row],[BW40_3705]]),"")</f>
        <v/>
      </c>
      <c r="J9869" s="7" t="str">
        <f>IF(Table1[[#This Row],[Is Data Valid]]=TRUE,_xlfn.NORM.S.DIST(Table1[[#This Row],[Birthweight Z-Score]],TRUE)*100,"")</f>
        <v/>
      </c>
      <c r="K9869" s="7" t="str">
        <f>IF(Table1[[#This Row],[Is Data Valid]]=TRUE,_xlfn.NORM.S.DIST(Table1[[#This Row],[Birthweight Z-Score (BW-10%)]],TRUE)*100,"")</f>
        <v/>
      </c>
      <c r="L9869" s="7" t="str">
        <f>IF(Table1[[#This Row],[Is Data Valid]]=TRUE,_xlfn.NORM.S.DIST(Table1[[#This Row],[Birthweight Z-Score (BW+10%)]],TRUE)*100,"")</f>
        <v/>
      </c>
    </row>
    <row r="9870" spans="1:12" x14ac:dyDescent="0.35">
      <c r="A9870" s="3"/>
      <c r="B9870" s="2"/>
      <c r="C9870" s="2"/>
      <c r="D9870" s="2" t="b">
        <f>IF(AND(NOT(ISBLANK(Table1[[#This Row],[Fetal Sex (Male, Female or Unknown)]])),ISNUMBER(Table1[[#This Row],[Birthweight (grams)]]),ISNUMBER(Table1[[#This Row],[Gestation (days)]])),TRUE,FALSE)</f>
        <v>0</v>
      </c>
      <c r="E9870" s="2" t="str">
        <f>IF(Table1[[#This Row],[Is Data Valid]]=TRUE,IF(Table1[[#This Row],[Fetal Sex (Male, Female or Unknown)]]="Male",Backend!$C$6,IF(Table1[[#This Row],[Fetal Sex (Male, Female or Unknown)]]="Female",Backend!$C$7,IF(Table1[[#This Row],[Fetal Sex (Male, Female or Unknown)]]="Unknown",Backend!$C$8,"Error"))),"")</f>
        <v/>
      </c>
      <c r="F9870" s="8" t="str">
        <f>IF(Table1[[#This Row],[Is Data Valid]]=TRUE,EXP(0.578+0.332*((Table1[[#This Row],[Gestation (days)]]+0.5)/7)-0.00354*((Table1[[#This Row],[Gestation (days)]]+0.5)/7)^2)*Table1[[#This Row],[BW40_3705]],"")</f>
        <v/>
      </c>
      <c r="G9870" s="2" t="str">
        <f>IF(Table1[[#This Row],[Is Data Valid]]=TRUE,((Table1[[#This Row],[Birthweight (grams)]]/Table1[[#This Row],[BW_GA]])-1)/(Backend!$B$4/100*Table1[[#This Row],[BW40_3705]]),"")</f>
        <v/>
      </c>
      <c r="H9870" s="7" t="str">
        <f>IF(Table1[[#This Row],[Is Data Valid]]=TRUE,((Table1[[#This Row],[Birthweight (grams)]]*0.9/Table1[[#This Row],[BW_GA]])-1)/(Backend!$B$4/100*Table1[[#This Row],[BW40_3705]]),"")</f>
        <v/>
      </c>
      <c r="I9870" s="7" t="str">
        <f>IF(Table1[[#This Row],[Is Data Valid]]=TRUE,((Table1[[#This Row],[Birthweight (grams)]]*1.1/Table1[[#This Row],[BW_GA]])-1)/(Backend!$B$4/100*Table1[[#This Row],[BW40_3705]]),"")</f>
        <v/>
      </c>
      <c r="J9870" s="7" t="str">
        <f>IF(Table1[[#This Row],[Is Data Valid]]=TRUE,_xlfn.NORM.S.DIST(Table1[[#This Row],[Birthweight Z-Score]],TRUE)*100,"")</f>
        <v/>
      </c>
      <c r="K9870" s="7" t="str">
        <f>IF(Table1[[#This Row],[Is Data Valid]]=TRUE,_xlfn.NORM.S.DIST(Table1[[#This Row],[Birthweight Z-Score (BW-10%)]],TRUE)*100,"")</f>
        <v/>
      </c>
      <c r="L9870" s="7" t="str">
        <f>IF(Table1[[#This Row],[Is Data Valid]]=TRUE,_xlfn.NORM.S.DIST(Table1[[#This Row],[Birthweight Z-Score (BW+10%)]],TRUE)*100,"")</f>
        <v/>
      </c>
    </row>
    <row r="9871" spans="1:12" x14ac:dyDescent="0.35">
      <c r="A9871" s="3"/>
      <c r="B9871" s="2"/>
      <c r="C9871" s="2"/>
      <c r="D9871" s="2" t="b">
        <f>IF(AND(NOT(ISBLANK(Table1[[#This Row],[Fetal Sex (Male, Female or Unknown)]])),ISNUMBER(Table1[[#This Row],[Birthweight (grams)]]),ISNUMBER(Table1[[#This Row],[Gestation (days)]])),TRUE,FALSE)</f>
        <v>0</v>
      </c>
      <c r="E9871" s="2" t="str">
        <f>IF(Table1[[#This Row],[Is Data Valid]]=TRUE,IF(Table1[[#This Row],[Fetal Sex (Male, Female or Unknown)]]="Male",Backend!$C$6,IF(Table1[[#This Row],[Fetal Sex (Male, Female or Unknown)]]="Female",Backend!$C$7,IF(Table1[[#This Row],[Fetal Sex (Male, Female or Unknown)]]="Unknown",Backend!$C$8,"Error"))),"")</f>
        <v/>
      </c>
      <c r="F9871" s="8" t="str">
        <f>IF(Table1[[#This Row],[Is Data Valid]]=TRUE,EXP(0.578+0.332*((Table1[[#This Row],[Gestation (days)]]+0.5)/7)-0.00354*((Table1[[#This Row],[Gestation (days)]]+0.5)/7)^2)*Table1[[#This Row],[BW40_3705]],"")</f>
        <v/>
      </c>
      <c r="G9871" s="2" t="str">
        <f>IF(Table1[[#This Row],[Is Data Valid]]=TRUE,((Table1[[#This Row],[Birthweight (grams)]]/Table1[[#This Row],[BW_GA]])-1)/(Backend!$B$4/100*Table1[[#This Row],[BW40_3705]]),"")</f>
        <v/>
      </c>
      <c r="H9871" s="7" t="str">
        <f>IF(Table1[[#This Row],[Is Data Valid]]=TRUE,((Table1[[#This Row],[Birthweight (grams)]]*0.9/Table1[[#This Row],[BW_GA]])-1)/(Backend!$B$4/100*Table1[[#This Row],[BW40_3705]]),"")</f>
        <v/>
      </c>
      <c r="I9871" s="7" t="str">
        <f>IF(Table1[[#This Row],[Is Data Valid]]=TRUE,((Table1[[#This Row],[Birthweight (grams)]]*1.1/Table1[[#This Row],[BW_GA]])-1)/(Backend!$B$4/100*Table1[[#This Row],[BW40_3705]]),"")</f>
        <v/>
      </c>
      <c r="J9871" s="7" t="str">
        <f>IF(Table1[[#This Row],[Is Data Valid]]=TRUE,_xlfn.NORM.S.DIST(Table1[[#This Row],[Birthweight Z-Score]],TRUE)*100,"")</f>
        <v/>
      </c>
      <c r="K9871" s="7" t="str">
        <f>IF(Table1[[#This Row],[Is Data Valid]]=TRUE,_xlfn.NORM.S.DIST(Table1[[#This Row],[Birthweight Z-Score (BW-10%)]],TRUE)*100,"")</f>
        <v/>
      </c>
      <c r="L9871" s="7" t="str">
        <f>IF(Table1[[#This Row],[Is Data Valid]]=TRUE,_xlfn.NORM.S.DIST(Table1[[#This Row],[Birthweight Z-Score (BW+10%)]],TRUE)*100,"")</f>
        <v/>
      </c>
    </row>
    <row r="9872" spans="1:12" x14ac:dyDescent="0.35">
      <c r="A9872" s="3"/>
      <c r="B9872" s="2"/>
      <c r="C9872" s="2"/>
      <c r="D9872" s="2" t="b">
        <f>IF(AND(NOT(ISBLANK(Table1[[#This Row],[Fetal Sex (Male, Female or Unknown)]])),ISNUMBER(Table1[[#This Row],[Birthweight (grams)]]),ISNUMBER(Table1[[#This Row],[Gestation (days)]])),TRUE,FALSE)</f>
        <v>0</v>
      </c>
      <c r="E9872" s="2" t="str">
        <f>IF(Table1[[#This Row],[Is Data Valid]]=TRUE,IF(Table1[[#This Row],[Fetal Sex (Male, Female or Unknown)]]="Male",Backend!$C$6,IF(Table1[[#This Row],[Fetal Sex (Male, Female or Unknown)]]="Female",Backend!$C$7,IF(Table1[[#This Row],[Fetal Sex (Male, Female or Unknown)]]="Unknown",Backend!$C$8,"Error"))),"")</f>
        <v/>
      </c>
      <c r="F9872" s="8" t="str">
        <f>IF(Table1[[#This Row],[Is Data Valid]]=TRUE,EXP(0.578+0.332*((Table1[[#This Row],[Gestation (days)]]+0.5)/7)-0.00354*((Table1[[#This Row],[Gestation (days)]]+0.5)/7)^2)*Table1[[#This Row],[BW40_3705]],"")</f>
        <v/>
      </c>
      <c r="G9872" s="2" t="str">
        <f>IF(Table1[[#This Row],[Is Data Valid]]=TRUE,((Table1[[#This Row],[Birthweight (grams)]]/Table1[[#This Row],[BW_GA]])-1)/(Backend!$B$4/100*Table1[[#This Row],[BW40_3705]]),"")</f>
        <v/>
      </c>
      <c r="H9872" s="7" t="str">
        <f>IF(Table1[[#This Row],[Is Data Valid]]=TRUE,((Table1[[#This Row],[Birthweight (grams)]]*0.9/Table1[[#This Row],[BW_GA]])-1)/(Backend!$B$4/100*Table1[[#This Row],[BW40_3705]]),"")</f>
        <v/>
      </c>
      <c r="I9872" s="7" t="str">
        <f>IF(Table1[[#This Row],[Is Data Valid]]=TRUE,((Table1[[#This Row],[Birthweight (grams)]]*1.1/Table1[[#This Row],[BW_GA]])-1)/(Backend!$B$4/100*Table1[[#This Row],[BW40_3705]]),"")</f>
        <v/>
      </c>
      <c r="J9872" s="7" t="str">
        <f>IF(Table1[[#This Row],[Is Data Valid]]=TRUE,_xlfn.NORM.S.DIST(Table1[[#This Row],[Birthweight Z-Score]],TRUE)*100,"")</f>
        <v/>
      </c>
      <c r="K9872" s="7" t="str">
        <f>IF(Table1[[#This Row],[Is Data Valid]]=TRUE,_xlfn.NORM.S.DIST(Table1[[#This Row],[Birthweight Z-Score (BW-10%)]],TRUE)*100,"")</f>
        <v/>
      </c>
      <c r="L9872" s="7" t="str">
        <f>IF(Table1[[#This Row],[Is Data Valid]]=TRUE,_xlfn.NORM.S.DIST(Table1[[#This Row],[Birthweight Z-Score (BW+10%)]],TRUE)*100,"")</f>
        <v/>
      </c>
    </row>
    <row r="9873" spans="1:12" x14ac:dyDescent="0.35">
      <c r="A9873" s="3"/>
      <c r="B9873" s="2"/>
      <c r="C9873" s="2"/>
      <c r="D9873" s="2" t="b">
        <f>IF(AND(NOT(ISBLANK(Table1[[#This Row],[Fetal Sex (Male, Female or Unknown)]])),ISNUMBER(Table1[[#This Row],[Birthweight (grams)]]),ISNUMBER(Table1[[#This Row],[Gestation (days)]])),TRUE,FALSE)</f>
        <v>0</v>
      </c>
      <c r="E9873" s="2" t="str">
        <f>IF(Table1[[#This Row],[Is Data Valid]]=TRUE,IF(Table1[[#This Row],[Fetal Sex (Male, Female or Unknown)]]="Male",Backend!$C$6,IF(Table1[[#This Row],[Fetal Sex (Male, Female or Unknown)]]="Female",Backend!$C$7,IF(Table1[[#This Row],[Fetal Sex (Male, Female or Unknown)]]="Unknown",Backend!$C$8,"Error"))),"")</f>
        <v/>
      </c>
      <c r="F9873" s="8" t="str">
        <f>IF(Table1[[#This Row],[Is Data Valid]]=TRUE,EXP(0.578+0.332*((Table1[[#This Row],[Gestation (days)]]+0.5)/7)-0.00354*((Table1[[#This Row],[Gestation (days)]]+0.5)/7)^2)*Table1[[#This Row],[BW40_3705]],"")</f>
        <v/>
      </c>
      <c r="G9873" s="2" t="str">
        <f>IF(Table1[[#This Row],[Is Data Valid]]=TRUE,((Table1[[#This Row],[Birthweight (grams)]]/Table1[[#This Row],[BW_GA]])-1)/(Backend!$B$4/100*Table1[[#This Row],[BW40_3705]]),"")</f>
        <v/>
      </c>
      <c r="H9873" s="7" t="str">
        <f>IF(Table1[[#This Row],[Is Data Valid]]=TRUE,((Table1[[#This Row],[Birthweight (grams)]]*0.9/Table1[[#This Row],[BW_GA]])-1)/(Backend!$B$4/100*Table1[[#This Row],[BW40_3705]]),"")</f>
        <v/>
      </c>
      <c r="I9873" s="7" t="str">
        <f>IF(Table1[[#This Row],[Is Data Valid]]=TRUE,((Table1[[#This Row],[Birthweight (grams)]]*1.1/Table1[[#This Row],[BW_GA]])-1)/(Backend!$B$4/100*Table1[[#This Row],[BW40_3705]]),"")</f>
        <v/>
      </c>
      <c r="J9873" s="7" t="str">
        <f>IF(Table1[[#This Row],[Is Data Valid]]=TRUE,_xlfn.NORM.S.DIST(Table1[[#This Row],[Birthweight Z-Score]],TRUE)*100,"")</f>
        <v/>
      </c>
      <c r="K9873" s="7" t="str">
        <f>IF(Table1[[#This Row],[Is Data Valid]]=TRUE,_xlfn.NORM.S.DIST(Table1[[#This Row],[Birthweight Z-Score (BW-10%)]],TRUE)*100,"")</f>
        <v/>
      </c>
      <c r="L9873" s="7" t="str">
        <f>IF(Table1[[#This Row],[Is Data Valid]]=TRUE,_xlfn.NORM.S.DIST(Table1[[#This Row],[Birthweight Z-Score (BW+10%)]],TRUE)*100,"")</f>
        <v/>
      </c>
    </row>
    <row r="9874" spans="1:12" x14ac:dyDescent="0.35">
      <c r="A9874" s="3"/>
      <c r="B9874" s="2"/>
      <c r="C9874" s="2"/>
      <c r="D9874" s="2" t="b">
        <f>IF(AND(NOT(ISBLANK(Table1[[#This Row],[Fetal Sex (Male, Female or Unknown)]])),ISNUMBER(Table1[[#This Row],[Birthweight (grams)]]),ISNUMBER(Table1[[#This Row],[Gestation (days)]])),TRUE,FALSE)</f>
        <v>0</v>
      </c>
      <c r="E9874" s="2" t="str">
        <f>IF(Table1[[#This Row],[Is Data Valid]]=TRUE,IF(Table1[[#This Row],[Fetal Sex (Male, Female or Unknown)]]="Male",Backend!$C$6,IF(Table1[[#This Row],[Fetal Sex (Male, Female or Unknown)]]="Female",Backend!$C$7,IF(Table1[[#This Row],[Fetal Sex (Male, Female or Unknown)]]="Unknown",Backend!$C$8,"Error"))),"")</f>
        <v/>
      </c>
      <c r="F9874" s="8" t="str">
        <f>IF(Table1[[#This Row],[Is Data Valid]]=TRUE,EXP(0.578+0.332*((Table1[[#This Row],[Gestation (days)]]+0.5)/7)-0.00354*((Table1[[#This Row],[Gestation (days)]]+0.5)/7)^2)*Table1[[#This Row],[BW40_3705]],"")</f>
        <v/>
      </c>
      <c r="G9874" s="2" t="str">
        <f>IF(Table1[[#This Row],[Is Data Valid]]=TRUE,((Table1[[#This Row],[Birthweight (grams)]]/Table1[[#This Row],[BW_GA]])-1)/(Backend!$B$4/100*Table1[[#This Row],[BW40_3705]]),"")</f>
        <v/>
      </c>
      <c r="H9874" s="7" t="str">
        <f>IF(Table1[[#This Row],[Is Data Valid]]=TRUE,((Table1[[#This Row],[Birthweight (grams)]]*0.9/Table1[[#This Row],[BW_GA]])-1)/(Backend!$B$4/100*Table1[[#This Row],[BW40_3705]]),"")</f>
        <v/>
      </c>
      <c r="I9874" s="7" t="str">
        <f>IF(Table1[[#This Row],[Is Data Valid]]=TRUE,((Table1[[#This Row],[Birthweight (grams)]]*1.1/Table1[[#This Row],[BW_GA]])-1)/(Backend!$B$4/100*Table1[[#This Row],[BW40_3705]]),"")</f>
        <v/>
      </c>
      <c r="J9874" s="7" t="str">
        <f>IF(Table1[[#This Row],[Is Data Valid]]=TRUE,_xlfn.NORM.S.DIST(Table1[[#This Row],[Birthweight Z-Score]],TRUE)*100,"")</f>
        <v/>
      </c>
      <c r="K9874" s="7" t="str">
        <f>IF(Table1[[#This Row],[Is Data Valid]]=TRUE,_xlfn.NORM.S.DIST(Table1[[#This Row],[Birthweight Z-Score (BW-10%)]],TRUE)*100,"")</f>
        <v/>
      </c>
      <c r="L9874" s="7" t="str">
        <f>IF(Table1[[#This Row],[Is Data Valid]]=TRUE,_xlfn.NORM.S.DIST(Table1[[#This Row],[Birthweight Z-Score (BW+10%)]],TRUE)*100,"")</f>
        <v/>
      </c>
    </row>
    <row r="9875" spans="1:12" x14ac:dyDescent="0.35">
      <c r="A9875" s="3"/>
      <c r="B9875" s="2"/>
      <c r="C9875" s="2"/>
      <c r="D9875" s="2" t="b">
        <f>IF(AND(NOT(ISBLANK(Table1[[#This Row],[Fetal Sex (Male, Female or Unknown)]])),ISNUMBER(Table1[[#This Row],[Birthweight (grams)]]),ISNUMBER(Table1[[#This Row],[Gestation (days)]])),TRUE,FALSE)</f>
        <v>0</v>
      </c>
      <c r="E9875" s="2" t="str">
        <f>IF(Table1[[#This Row],[Is Data Valid]]=TRUE,IF(Table1[[#This Row],[Fetal Sex (Male, Female or Unknown)]]="Male",Backend!$C$6,IF(Table1[[#This Row],[Fetal Sex (Male, Female or Unknown)]]="Female",Backend!$C$7,IF(Table1[[#This Row],[Fetal Sex (Male, Female or Unknown)]]="Unknown",Backend!$C$8,"Error"))),"")</f>
        <v/>
      </c>
      <c r="F9875" s="8" t="str">
        <f>IF(Table1[[#This Row],[Is Data Valid]]=TRUE,EXP(0.578+0.332*((Table1[[#This Row],[Gestation (days)]]+0.5)/7)-0.00354*((Table1[[#This Row],[Gestation (days)]]+0.5)/7)^2)*Table1[[#This Row],[BW40_3705]],"")</f>
        <v/>
      </c>
      <c r="G9875" s="2" t="str">
        <f>IF(Table1[[#This Row],[Is Data Valid]]=TRUE,((Table1[[#This Row],[Birthweight (grams)]]/Table1[[#This Row],[BW_GA]])-1)/(Backend!$B$4/100*Table1[[#This Row],[BW40_3705]]),"")</f>
        <v/>
      </c>
      <c r="H9875" s="7" t="str">
        <f>IF(Table1[[#This Row],[Is Data Valid]]=TRUE,((Table1[[#This Row],[Birthweight (grams)]]*0.9/Table1[[#This Row],[BW_GA]])-1)/(Backend!$B$4/100*Table1[[#This Row],[BW40_3705]]),"")</f>
        <v/>
      </c>
      <c r="I9875" s="7" t="str">
        <f>IF(Table1[[#This Row],[Is Data Valid]]=TRUE,((Table1[[#This Row],[Birthweight (grams)]]*1.1/Table1[[#This Row],[BW_GA]])-1)/(Backend!$B$4/100*Table1[[#This Row],[BW40_3705]]),"")</f>
        <v/>
      </c>
      <c r="J9875" s="7" t="str">
        <f>IF(Table1[[#This Row],[Is Data Valid]]=TRUE,_xlfn.NORM.S.DIST(Table1[[#This Row],[Birthweight Z-Score]],TRUE)*100,"")</f>
        <v/>
      </c>
      <c r="K9875" s="7" t="str">
        <f>IF(Table1[[#This Row],[Is Data Valid]]=TRUE,_xlfn.NORM.S.DIST(Table1[[#This Row],[Birthweight Z-Score (BW-10%)]],TRUE)*100,"")</f>
        <v/>
      </c>
      <c r="L9875" s="7" t="str">
        <f>IF(Table1[[#This Row],[Is Data Valid]]=TRUE,_xlfn.NORM.S.DIST(Table1[[#This Row],[Birthweight Z-Score (BW+10%)]],TRUE)*100,"")</f>
        <v/>
      </c>
    </row>
    <row r="9876" spans="1:12" x14ac:dyDescent="0.35">
      <c r="A9876" s="3"/>
      <c r="B9876" s="2"/>
      <c r="C9876" s="2"/>
      <c r="D9876" s="2" t="b">
        <f>IF(AND(NOT(ISBLANK(Table1[[#This Row],[Fetal Sex (Male, Female or Unknown)]])),ISNUMBER(Table1[[#This Row],[Birthweight (grams)]]),ISNUMBER(Table1[[#This Row],[Gestation (days)]])),TRUE,FALSE)</f>
        <v>0</v>
      </c>
      <c r="E9876" s="2" t="str">
        <f>IF(Table1[[#This Row],[Is Data Valid]]=TRUE,IF(Table1[[#This Row],[Fetal Sex (Male, Female or Unknown)]]="Male",Backend!$C$6,IF(Table1[[#This Row],[Fetal Sex (Male, Female or Unknown)]]="Female",Backend!$C$7,IF(Table1[[#This Row],[Fetal Sex (Male, Female or Unknown)]]="Unknown",Backend!$C$8,"Error"))),"")</f>
        <v/>
      </c>
      <c r="F9876" s="8" t="str">
        <f>IF(Table1[[#This Row],[Is Data Valid]]=TRUE,EXP(0.578+0.332*((Table1[[#This Row],[Gestation (days)]]+0.5)/7)-0.00354*((Table1[[#This Row],[Gestation (days)]]+0.5)/7)^2)*Table1[[#This Row],[BW40_3705]],"")</f>
        <v/>
      </c>
      <c r="G9876" s="2" t="str">
        <f>IF(Table1[[#This Row],[Is Data Valid]]=TRUE,((Table1[[#This Row],[Birthweight (grams)]]/Table1[[#This Row],[BW_GA]])-1)/(Backend!$B$4/100*Table1[[#This Row],[BW40_3705]]),"")</f>
        <v/>
      </c>
      <c r="H9876" s="7" t="str">
        <f>IF(Table1[[#This Row],[Is Data Valid]]=TRUE,((Table1[[#This Row],[Birthweight (grams)]]*0.9/Table1[[#This Row],[BW_GA]])-1)/(Backend!$B$4/100*Table1[[#This Row],[BW40_3705]]),"")</f>
        <v/>
      </c>
      <c r="I9876" s="7" t="str">
        <f>IF(Table1[[#This Row],[Is Data Valid]]=TRUE,((Table1[[#This Row],[Birthweight (grams)]]*1.1/Table1[[#This Row],[BW_GA]])-1)/(Backend!$B$4/100*Table1[[#This Row],[BW40_3705]]),"")</f>
        <v/>
      </c>
      <c r="J9876" s="7" t="str">
        <f>IF(Table1[[#This Row],[Is Data Valid]]=TRUE,_xlfn.NORM.S.DIST(Table1[[#This Row],[Birthweight Z-Score]],TRUE)*100,"")</f>
        <v/>
      </c>
      <c r="K9876" s="7" t="str">
        <f>IF(Table1[[#This Row],[Is Data Valid]]=TRUE,_xlfn.NORM.S.DIST(Table1[[#This Row],[Birthweight Z-Score (BW-10%)]],TRUE)*100,"")</f>
        <v/>
      </c>
      <c r="L9876" s="7" t="str">
        <f>IF(Table1[[#This Row],[Is Data Valid]]=TRUE,_xlfn.NORM.S.DIST(Table1[[#This Row],[Birthweight Z-Score (BW+10%)]],TRUE)*100,"")</f>
        <v/>
      </c>
    </row>
    <row r="9877" spans="1:12" x14ac:dyDescent="0.35">
      <c r="A9877" s="3"/>
      <c r="B9877" s="2"/>
      <c r="C9877" s="2"/>
      <c r="D9877" s="2" t="b">
        <f>IF(AND(NOT(ISBLANK(Table1[[#This Row],[Fetal Sex (Male, Female or Unknown)]])),ISNUMBER(Table1[[#This Row],[Birthweight (grams)]]),ISNUMBER(Table1[[#This Row],[Gestation (days)]])),TRUE,FALSE)</f>
        <v>0</v>
      </c>
      <c r="E9877" s="2" t="str">
        <f>IF(Table1[[#This Row],[Is Data Valid]]=TRUE,IF(Table1[[#This Row],[Fetal Sex (Male, Female or Unknown)]]="Male",Backend!$C$6,IF(Table1[[#This Row],[Fetal Sex (Male, Female or Unknown)]]="Female",Backend!$C$7,IF(Table1[[#This Row],[Fetal Sex (Male, Female or Unknown)]]="Unknown",Backend!$C$8,"Error"))),"")</f>
        <v/>
      </c>
      <c r="F9877" s="8" t="str">
        <f>IF(Table1[[#This Row],[Is Data Valid]]=TRUE,EXP(0.578+0.332*((Table1[[#This Row],[Gestation (days)]]+0.5)/7)-0.00354*((Table1[[#This Row],[Gestation (days)]]+0.5)/7)^2)*Table1[[#This Row],[BW40_3705]],"")</f>
        <v/>
      </c>
      <c r="G9877" s="2" t="str">
        <f>IF(Table1[[#This Row],[Is Data Valid]]=TRUE,((Table1[[#This Row],[Birthweight (grams)]]/Table1[[#This Row],[BW_GA]])-1)/(Backend!$B$4/100*Table1[[#This Row],[BW40_3705]]),"")</f>
        <v/>
      </c>
      <c r="H9877" s="7" t="str">
        <f>IF(Table1[[#This Row],[Is Data Valid]]=TRUE,((Table1[[#This Row],[Birthweight (grams)]]*0.9/Table1[[#This Row],[BW_GA]])-1)/(Backend!$B$4/100*Table1[[#This Row],[BW40_3705]]),"")</f>
        <v/>
      </c>
      <c r="I9877" s="7" t="str">
        <f>IF(Table1[[#This Row],[Is Data Valid]]=TRUE,((Table1[[#This Row],[Birthweight (grams)]]*1.1/Table1[[#This Row],[BW_GA]])-1)/(Backend!$B$4/100*Table1[[#This Row],[BW40_3705]]),"")</f>
        <v/>
      </c>
      <c r="J9877" s="7" t="str">
        <f>IF(Table1[[#This Row],[Is Data Valid]]=TRUE,_xlfn.NORM.S.DIST(Table1[[#This Row],[Birthweight Z-Score]],TRUE)*100,"")</f>
        <v/>
      </c>
      <c r="K9877" s="7" t="str">
        <f>IF(Table1[[#This Row],[Is Data Valid]]=TRUE,_xlfn.NORM.S.DIST(Table1[[#This Row],[Birthweight Z-Score (BW-10%)]],TRUE)*100,"")</f>
        <v/>
      </c>
      <c r="L9877" s="7" t="str">
        <f>IF(Table1[[#This Row],[Is Data Valid]]=TRUE,_xlfn.NORM.S.DIST(Table1[[#This Row],[Birthweight Z-Score (BW+10%)]],TRUE)*100,"")</f>
        <v/>
      </c>
    </row>
    <row r="9878" spans="1:12" x14ac:dyDescent="0.35">
      <c r="A9878" s="3"/>
      <c r="B9878" s="2"/>
      <c r="C9878" s="2"/>
      <c r="D9878" s="2" t="b">
        <f>IF(AND(NOT(ISBLANK(Table1[[#This Row],[Fetal Sex (Male, Female or Unknown)]])),ISNUMBER(Table1[[#This Row],[Birthweight (grams)]]),ISNUMBER(Table1[[#This Row],[Gestation (days)]])),TRUE,FALSE)</f>
        <v>0</v>
      </c>
      <c r="E9878" s="2" t="str">
        <f>IF(Table1[[#This Row],[Is Data Valid]]=TRUE,IF(Table1[[#This Row],[Fetal Sex (Male, Female or Unknown)]]="Male",Backend!$C$6,IF(Table1[[#This Row],[Fetal Sex (Male, Female or Unknown)]]="Female",Backend!$C$7,IF(Table1[[#This Row],[Fetal Sex (Male, Female or Unknown)]]="Unknown",Backend!$C$8,"Error"))),"")</f>
        <v/>
      </c>
      <c r="F9878" s="8" t="str">
        <f>IF(Table1[[#This Row],[Is Data Valid]]=TRUE,EXP(0.578+0.332*((Table1[[#This Row],[Gestation (days)]]+0.5)/7)-0.00354*((Table1[[#This Row],[Gestation (days)]]+0.5)/7)^2)*Table1[[#This Row],[BW40_3705]],"")</f>
        <v/>
      </c>
      <c r="G9878" s="2" t="str">
        <f>IF(Table1[[#This Row],[Is Data Valid]]=TRUE,((Table1[[#This Row],[Birthweight (grams)]]/Table1[[#This Row],[BW_GA]])-1)/(Backend!$B$4/100*Table1[[#This Row],[BW40_3705]]),"")</f>
        <v/>
      </c>
      <c r="H9878" s="7" t="str">
        <f>IF(Table1[[#This Row],[Is Data Valid]]=TRUE,((Table1[[#This Row],[Birthweight (grams)]]*0.9/Table1[[#This Row],[BW_GA]])-1)/(Backend!$B$4/100*Table1[[#This Row],[BW40_3705]]),"")</f>
        <v/>
      </c>
      <c r="I9878" s="7" t="str">
        <f>IF(Table1[[#This Row],[Is Data Valid]]=TRUE,((Table1[[#This Row],[Birthweight (grams)]]*1.1/Table1[[#This Row],[BW_GA]])-1)/(Backend!$B$4/100*Table1[[#This Row],[BW40_3705]]),"")</f>
        <v/>
      </c>
      <c r="J9878" s="7" t="str">
        <f>IF(Table1[[#This Row],[Is Data Valid]]=TRUE,_xlfn.NORM.S.DIST(Table1[[#This Row],[Birthweight Z-Score]],TRUE)*100,"")</f>
        <v/>
      </c>
      <c r="K9878" s="7" t="str">
        <f>IF(Table1[[#This Row],[Is Data Valid]]=TRUE,_xlfn.NORM.S.DIST(Table1[[#This Row],[Birthweight Z-Score (BW-10%)]],TRUE)*100,"")</f>
        <v/>
      </c>
      <c r="L9878" s="7" t="str">
        <f>IF(Table1[[#This Row],[Is Data Valid]]=TRUE,_xlfn.NORM.S.DIST(Table1[[#This Row],[Birthweight Z-Score (BW+10%)]],TRUE)*100,"")</f>
        <v/>
      </c>
    </row>
    <row r="9879" spans="1:12" x14ac:dyDescent="0.35">
      <c r="A9879" s="3"/>
      <c r="B9879" s="2"/>
      <c r="C9879" s="2"/>
      <c r="D9879" s="2" t="b">
        <f>IF(AND(NOT(ISBLANK(Table1[[#This Row],[Fetal Sex (Male, Female or Unknown)]])),ISNUMBER(Table1[[#This Row],[Birthweight (grams)]]),ISNUMBER(Table1[[#This Row],[Gestation (days)]])),TRUE,FALSE)</f>
        <v>0</v>
      </c>
      <c r="E9879" s="2" t="str">
        <f>IF(Table1[[#This Row],[Is Data Valid]]=TRUE,IF(Table1[[#This Row],[Fetal Sex (Male, Female or Unknown)]]="Male",Backend!$C$6,IF(Table1[[#This Row],[Fetal Sex (Male, Female or Unknown)]]="Female",Backend!$C$7,IF(Table1[[#This Row],[Fetal Sex (Male, Female or Unknown)]]="Unknown",Backend!$C$8,"Error"))),"")</f>
        <v/>
      </c>
      <c r="F9879" s="8" t="str">
        <f>IF(Table1[[#This Row],[Is Data Valid]]=TRUE,EXP(0.578+0.332*((Table1[[#This Row],[Gestation (days)]]+0.5)/7)-0.00354*((Table1[[#This Row],[Gestation (days)]]+0.5)/7)^2)*Table1[[#This Row],[BW40_3705]],"")</f>
        <v/>
      </c>
      <c r="G9879" s="2" t="str">
        <f>IF(Table1[[#This Row],[Is Data Valid]]=TRUE,((Table1[[#This Row],[Birthweight (grams)]]/Table1[[#This Row],[BW_GA]])-1)/(Backend!$B$4/100*Table1[[#This Row],[BW40_3705]]),"")</f>
        <v/>
      </c>
      <c r="H9879" s="7" t="str">
        <f>IF(Table1[[#This Row],[Is Data Valid]]=TRUE,((Table1[[#This Row],[Birthweight (grams)]]*0.9/Table1[[#This Row],[BW_GA]])-1)/(Backend!$B$4/100*Table1[[#This Row],[BW40_3705]]),"")</f>
        <v/>
      </c>
      <c r="I9879" s="7" t="str">
        <f>IF(Table1[[#This Row],[Is Data Valid]]=TRUE,((Table1[[#This Row],[Birthweight (grams)]]*1.1/Table1[[#This Row],[BW_GA]])-1)/(Backend!$B$4/100*Table1[[#This Row],[BW40_3705]]),"")</f>
        <v/>
      </c>
      <c r="J9879" s="7" t="str">
        <f>IF(Table1[[#This Row],[Is Data Valid]]=TRUE,_xlfn.NORM.S.DIST(Table1[[#This Row],[Birthweight Z-Score]],TRUE)*100,"")</f>
        <v/>
      </c>
      <c r="K9879" s="7" t="str">
        <f>IF(Table1[[#This Row],[Is Data Valid]]=TRUE,_xlfn.NORM.S.DIST(Table1[[#This Row],[Birthweight Z-Score (BW-10%)]],TRUE)*100,"")</f>
        <v/>
      </c>
      <c r="L9879" s="7" t="str">
        <f>IF(Table1[[#This Row],[Is Data Valid]]=TRUE,_xlfn.NORM.S.DIST(Table1[[#This Row],[Birthweight Z-Score (BW+10%)]],TRUE)*100,"")</f>
        <v/>
      </c>
    </row>
    <row r="9880" spans="1:12" x14ac:dyDescent="0.35">
      <c r="A9880" s="3"/>
      <c r="B9880" s="2"/>
      <c r="C9880" s="2"/>
      <c r="D9880" s="2" t="b">
        <f>IF(AND(NOT(ISBLANK(Table1[[#This Row],[Fetal Sex (Male, Female or Unknown)]])),ISNUMBER(Table1[[#This Row],[Birthweight (grams)]]),ISNUMBER(Table1[[#This Row],[Gestation (days)]])),TRUE,FALSE)</f>
        <v>0</v>
      </c>
      <c r="E9880" s="2" t="str">
        <f>IF(Table1[[#This Row],[Is Data Valid]]=TRUE,IF(Table1[[#This Row],[Fetal Sex (Male, Female or Unknown)]]="Male",Backend!$C$6,IF(Table1[[#This Row],[Fetal Sex (Male, Female or Unknown)]]="Female",Backend!$C$7,IF(Table1[[#This Row],[Fetal Sex (Male, Female or Unknown)]]="Unknown",Backend!$C$8,"Error"))),"")</f>
        <v/>
      </c>
      <c r="F9880" s="8" t="str">
        <f>IF(Table1[[#This Row],[Is Data Valid]]=TRUE,EXP(0.578+0.332*((Table1[[#This Row],[Gestation (days)]]+0.5)/7)-0.00354*((Table1[[#This Row],[Gestation (days)]]+0.5)/7)^2)*Table1[[#This Row],[BW40_3705]],"")</f>
        <v/>
      </c>
      <c r="G9880" s="2" t="str">
        <f>IF(Table1[[#This Row],[Is Data Valid]]=TRUE,((Table1[[#This Row],[Birthweight (grams)]]/Table1[[#This Row],[BW_GA]])-1)/(Backend!$B$4/100*Table1[[#This Row],[BW40_3705]]),"")</f>
        <v/>
      </c>
      <c r="H9880" s="7" t="str">
        <f>IF(Table1[[#This Row],[Is Data Valid]]=TRUE,((Table1[[#This Row],[Birthweight (grams)]]*0.9/Table1[[#This Row],[BW_GA]])-1)/(Backend!$B$4/100*Table1[[#This Row],[BW40_3705]]),"")</f>
        <v/>
      </c>
      <c r="I9880" s="7" t="str">
        <f>IF(Table1[[#This Row],[Is Data Valid]]=TRUE,((Table1[[#This Row],[Birthweight (grams)]]*1.1/Table1[[#This Row],[BW_GA]])-1)/(Backend!$B$4/100*Table1[[#This Row],[BW40_3705]]),"")</f>
        <v/>
      </c>
      <c r="J9880" s="7" t="str">
        <f>IF(Table1[[#This Row],[Is Data Valid]]=TRUE,_xlfn.NORM.S.DIST(Table1[[#This Row],[Birthweight Z-Score]],TRUE)*100,"")</f>
        <v/>
      </c>
      <c r="K9880" s="7" t="str">
        <f>IF(Table1[[#This Row],[Is Data Valid]]=TRUE,_xlfn.NORM.S.DIST(Table1[[#This Row],[Birthweight Z-Score (BW-10%)]],TRUE)*100,"")</f>
        <v/>
      </c>
      <c r="L9880" s="7" t="str">
        <f>IF(Table1[[#This Row],[Is Data Valid]]=TRUE,_xlfn.NORM.S.DIST(Table1[[#This Row],[Birthweight Z-Score (BW+10%)]],TRUE)*100,"")</f>
        <v/>
      </c>
    </row>
    <row r="9881" spans="1:12" x14ac:dyDescent="0.35">
      <c r="A9881" s="3"/>
      <c r="B9881" s="2"/>
      <c r="C9881" s="2"/>
      <c r="D9881" s="2" t="b">
        <f>IF(AND(NOT(ISBLANK(Table1[[#This Row],[Fetal Sex (Male, Female or Unknown)]])),ISNUMBER(Table1[[#This Row],[Birthweight (grams)]]),ISNUMBER(Table1[[#This Row],[Gestation (days)]])),TRUE,FALSE)</f>
        <v>0</v>
      </c>
      <c r="E9881" s="2" t="str">
        <f>IF(Table1[[#This Row],[Is Data Valid]]=TRUE,IF(Table1[[#This Row],[Fetal Sex (Male, Female or Unknown)]]="Male",Backend!$C$6,IF(Table1[[#This Row],[Fetal Sex (Male, Female or Unknown)]]="Female",Backend!$C$7,IF(Table1[[#This Row],[Fetal Sex (Male, Female or Unknown)]]="Unknown",Backend!$C$8,"Error"))),"")</f>
        <v/>
      </c>
      <c r="F9881" s="8" t="str">
        <f>IF(Table1[[#This Row],[Is Data Valid]]=TRUE,EXP(0.578+0.332*((Table1[[#This Row],[Gestation (days)]]+0.5)/7)-0.00354*((Table1[[#This Row],[Gestation (days)]]+0.5)/7)^2)*Table1[[#This Row],[BW40_3705]],"")</f>
        <v/>
      </c>
      <c r="G9881" s="2" t="str">
        <f>IF(Table1[[#This Row],[Is Data Valid]]=TRUE,((Table1[[#This Row],[Birthweight (grams)]]/Table1[[#This Row],[BW_GA]])-1)/(Backend!$B$4/100*Table1[[#This Row],[BW40_3705]]),"")</f>
        <v/>
      </c>
      <c r="H9881" s="7" t="str">
        <f>IF(Table1[[#This Row],[Is Data Valid]]=TRUE,((Table1[[#This Row],[Birthweight (grams)]]*0.9/Table1[[#This Row],[BW_GA]])-1)/(Backend!$B$4/100*Table1[[#This Row],[BW40_3705]]),"")</f>
        <v/>
      </c>
      <c r="I9881" s="7" t="str">
        <f>IF(Table1[[#This Row],[Is Data Valid]]=TRUE,((Table1[[#This Row],[Birthweight (grams)]]*1.1/Table1[[#This Row],[BW_GA]])-1)/(Backend!$B$4/100*Table1[[#This Row],[BW40_3705]]),"")</f>
        <v/>
      </c>
      <c r="J9881" s="7" t="str">
        <f>IF(Table1[[#This Row],[Is Data Valid]]=TRUE,_xlfn.NORM.S.DIST(Table1[[#This Row],[Birthweight Z-Score]],TRUE)*100,"")</f>
        <v/>
      </c>
      <c r="K9881" s="7" t="str">
        <f>IF(Table1[[#This Row],[Is Data Valid]]=TRUE,_xlfn.NORM.S.DIST(Table1[[#This Row],[Birthweight Z-Score (BW-10%)]],TRUE)*100,"")</f>
        <v/>
      </c>
      <c r="L9881" s="7" t="str">
        <f>IF(Table1[[#This Row],[Is Data Valid]]=TRUE,_xlfn.NORM.S.DIST(Table1[[#This Row],[Birthweight Z-Score (BW+10%)]],TRUE)*100,"")</f>
        <v/>
      </c>
    </row>
    <row r="9882" spans="1:12" x14ac:dyDescent="0.35">
      <c r="A9882" s="3"/>
      <c r="B9882" s="2"/>
      <c r="C9882" s="2"/>
      <c r="D9882" s="2" t="b">
        <f>IF(AND(NOT(ISBLANK(Table1[[#This Row],[Fetal Sex (Male, Female or Unknown)]])),ISNUMBER(Table1[[#This Row],[Birthweight (grams)]]),ISNUMBER(Table1[[#This Row],[Gestation (days)]])),TRUE,FALSE)</f>
        <v>0</v>
      </c>
      <c r="E9882" s="2" t="str">
        <f>IF(Table1[[#This Row],[Is Data Valid]]=TRUE,IF(Table1[[#This Row],[Fetal Sex (Male, Female or Unknown)]]="Male",Backend!$C$6,IF(Table1[[#This Row],[Fetal Sex (Male, Female or Unknown)]]="Female",Backend!$C$7,IF(Table1[[#This Row],[Fetal Sex (Male, Female or Unknown)]]="Unknown",Backend!$C$8,"Error"))),"")</f>
        <v/>
      </c>
      <c r="F9882" s="8" t="str">
        <f>IF(Table1[[#This Row],[Is Data Valid]]=TRUE,EXP(0.578+0.332*((Table1[[#This Row],[Gestation (days)]]+0.5)/7)-0.00354*((Table1[[#This Row],[Gestation (days)]]+0.5)/7)^2)*Table1[[#This Row],[BW40_3705]],"")</f>
        <v/>
      </c>
      <c r="G9882" s="2" t="str">
        <f>IF(Table1[[#This Row],[Is Data Valid]]=TRUE,((Table1[[#This Row],[Birthweight (grams)]]/Table1[[#This Row],[BW_GA]])-1)/(Backend!$B$4/100*Table1[[#This Row],[BW40_3705]]),"")</f>
        <v/>
      </c>
      <c r="H9882" s="7" t="str">
        <f>IF(Table1[[#This Row],[Is Data Valid]]=TRUE,((Table1[[#This Row],[Birthweight (grams)]]*0.9/Table1[[#This Row],[BW_GA]])-1)/(Backend!$B$4/100*Table1[[#This Row],[BW40_3705]]),"")</f>
        <v/>
      </c>
      <c r="I9882" s="7" t="str">
        <f>IF(Table1[[#This Row],[Is Data Valid]]=TRUE,((Table1[[#This Row],[Birthweight (grams)]]*1.1/Table1[[#This Row],[BW_GA]])-1)/(Backend!$B$4/100*Table1[[#This Row],[BW40_3705]]),"")</f>
        <v/>
      </c>
      <c r="J9882" s="7" t="str">
        <f>IF(Table1[[#This Row],[Is Data Valid]]=TRUE,_xlfn.NORM.S.DIST(Table1[[#This Row],[Birthweight Z-Score]],TRUE)*100,"")</f>
        <v/>
      </c>
      <c r="K9882" s="7" t="str">
        <f>IF(Table1[[#This Row],[Is Data Valid]]=TRUE,_xlfn.NORM.S.DIST(Table1[[#This Row],[Birthweight Z-Score (BW-10%)]],TRUE)*100,"")</f>
        <v/>
      </c>
      <c r="L9882" s="7" t="str">
        <f>IF(Table1[[#This Row],[Is Data Valid]]=TRUE,_xlfn.NORM.S.DIST(Table1[[#This Row],[Birthweight Z-Score (BW+10%)]],TRUE)*100,"")</f>
        <v/>
      </c>
    </row>
    <row r="9883" spans="1:12" x14ac:dyDescent="0.35">
      <c r="A9883" s="3"/>
      <c r="B9883" s="2"/>
      <c r="C9883" s="2"/>
      <c r="D9883" s="2" t="b">
        <f>IF(AND(NOT(ISBLANK(Table1[[#This Row],[Fetal Sex (Male, Female or Unknown)]])),ISNUMBER(Table1[[#This Row],[Birthweight (grams)]]),ISNUMBER(Table1[[#This Row],[Gestation (days)]])),TRUE,FALSE)</f>
        <v>0</v>
      </c>
      <c r="E9883" s="2" t="str">
        <f>IF(Table1[[#This Row],[Is Data Valid]]=TRUE,IF(Table1[[#This Row],[Fetal Sex (Male, Female or Unknown)]]="Male",Backend!$C$6,IF(Table1[[#This Row],[Fetal Sex (Male, Female or Unknown)]]="Female",Backend!$C$7,IF(Table1[[#This Row],[Fetal Sex (Male, Female or Unknown)]]="Unknown",Backend!$C$8,"Error"))),"")</f>
        <v/>
      </c>
      <c r="F9883" s="8" t="str">
        <f>IF(Table1[[#This Row],[Is Data Valid]]=TRUE,EXP(0.578+0.332*((Table1[[#This Row],[Gestation (days)]]+0.5)/7)-0.00354*((Table1[[#This Row],[Gestation (days)]]+0.5)/7)^2)*Table1[[#This Row],[BW40_3705]],"")</f>
        <v/>
      </c>
      <c r="G9883" s="2" t="str">
        <f>IF(Table1[[#This Row],[Is Data Valid]]=TRUE,((Table1[[#This Row],[Birthweight (grams)]]/Table1[[#This Row],[BW_GA]])-1)/(Backend!$B$4/100*Table1[[#This Row],[BW40_3705]]),"")</f>
        <v/>
      </c>
      <c r="H9883" s="7" t="str">
        <f>IF(Table1[[#This Row],[Is Data Valid]]=TRUE,((Table1[[#This Row],[Birthweight (grams)]]*0.9/Table1[[#This Row],[BW_GA]])-1)/(Backend!$B$4/100*Table1[[#This Row],[BW40_3705]]),"")</f>
        <v/>
      </c>
      <c r="I9883" s="7" t="str">
        <f>IF(Table1[[#This Row],[Is Data Valid]]=TRUE,((Table1[[#This Row],[Birthweight (grams)]]*1.1/Table1[[#This Row],[BW_GA]])-1)/(Backend!$B$4/100*Table1[[#This Row],[BW40_3705]]),"")</f>
        <v/>
      </c>
      <c r="J9883" s="7" t="str">
        <f>IF(Table1[[#This Row],[Is Data Valid]]=TRUE,_xlfn.NORM.S.DIST(Table1[[#This Row],[Birthweight Z-Score]],TRUE)*100,"")</f>
        <v/>
      </c>
      <c r="K9883" s="7" t="str">
        <f>IF(Table1[[#This Row],[Is Data Valid]]=TRUE,_xlfn.NORM.S.DIST(Table1[[#This Row],[Birthweight Z-Score (BW-10%)]],TRUE)*100,"")</f>
        <v/>
      </c>
      <c r="L9883" s="7" t="str">
        <f>IF(Table1[[#This Row],[Is Data Valid]]=TRUE,_xlfn.NORM.S.DIST(Table1[[#This Row],[Birthweight Z-Score (BW+10%)]],TRUE)*100,"")</f>
        <v/>
      </c>
    </row>
    <row r="9884" spans="1:12" x14ac:dyDescent="0.35">
      <c r="A9884" s="3"/>
      <c r="B9884" s="2"/>
      <c r="C9884" s="2"/>
      <c r="D9884" s="2" t="b">
        <f>IF(AND(NOT(ISBLANK(Table1[[#This Row],[Fetal Sex (Male, Female or Unknown)]])),ISNUMBER(Table1[[#This Row],[Birthweight (grams)]]),ISNUMBER(Table1[[#This Row],[Gestation (days)]])),TRUE,FALSE)</f>
        <v>0</v>
      </c>
      <c r="E9884" s="2" t="str">
        <f>IF(Table1[[#This Row],[Is Data Valid]]=TRUE,IF(Table1[[#This Row],[Fetal Sex (Male, Female or Unknown)]]="Male",Backend!$C$6,IF(Table1[[#This Row],[Fetal Sex (Male, Female or Unknown)]]="Female",Backend!$C$7,IF(Table1[[#This Row],[Fetal Sex (Male, Female or Unknown)]]="Unknown",Backend!$C$8,"Error"))),"")</f>
        <v/>
      </c>
      <c r="F9884" s="8" t="str">
        <f>IF(Table1[[#This Row],[Is Data Valid]]=TRUE,EXP(0.578+0.332*((Table1[[#This Row],[Gestation (days)]]+0.5)/7)-0.00354*((Table1[[#This Row],[Gestation (days)]]+0.5)/7)^2)*Table1[[#This Row],[BW40_3705]],"")</f>
        <v/>
      </c>
      <c r="G9884" s="2" t="str">
        <f>IF(Table1[[#This Row],[Is Data Valid]]=TRUE,((Table1[[#This Row],[Birthweight (grams)]]/Table1[[#This Row],[BW_GA]])-1)/(Backend!$B$4/100*Table1[[#This Row],[BW40_3705]]),"")</f>
        <v/>
      </c>
      <c r="H9884" s="7" t="str">
        <f>IF(Table1[[#This Row],[Is Data Valid]]=TRUE,((Table1[[#This Row],[Birthweight (grams)]]*0.9/Table1[[#This Row],[BW_GA]])-1)/(Backend!$B$4/100*Table1[[#This Row],[BW40_3705]]),"")</f>
        <v/>
      </c>
      <c r="I9884" s="7" t="str">
        <f>IF(Table1[[#This Row],[Is Data Valid]]=TRUE,((Table1[[#This Row],[Birthweight (grams)]]*1.1/Table1[[#This Row],[BW_GA]])-1)/(Backend!$B$4/100*Table1[[#This Row],[BW40_3705]]),"")</f>
        <v/>
      </c>
      <c r="J9884" s="7" t="str">
        <f>IF(Table1[[#This Row],[Is Data Valid]]=TRUE,_xlfn.NORM.S.DIST(Table1[[#This Row],[Birthweight Z-Score]],TRUE)*100,"")</f>
        <v/>
      </c>
      <c r="K9884" s="7" t="str">
        <f>IF(Table1[[#This Row],[Is Data Valid]]=TRUE,_xlfn.NORM.S.DIST(Table1[[#This Row],[Birthweight Z-Score (BW-10%)]],TRUE)*100,"")</f>
        <v/>
      </c>
      <c r="L9884" s="7" t="str">
        <f>IF(Table1[[#This Row],[Is Data Valid]]=TRUE,_xlfn.NORM.S.DIST(Table1[[#This Row],[Birthweight Z-Score (BW+10%)]],TRUE)*100,"")</f>
        <v/>
      </c>
    </row>
    <row r="9885" spans="1:12" x14ac:dyDescent="0.35">
      <c r="A9885" s="3"/>
      <c r="B9885" s="2"/>
      <c r="C9885" s="2"/>
      <c r="D9885" s="2" t="b">
        <f>IF(AND(NOT(ISBLANK(Table1[[#This Row],[Fetal Sex (Male, Female or Unknown)]])),ISNUMBER(Table1[[#This Row],[Birthweight (grams)]]),ISNUMBER(Table1[[#This Row],[Gestation (days)]])),TRUE,FALSE)</f>
        <v>0</v>
      </c>
      <c r="E9885" s="2" t="str">
        <f>IF(Table1[[#This Row],[Is Data Valid]]=TRUE,IF(Table1[[#This Row],[Fetal Sex (Male, Female or Unknown)]]="Male",Backend!$C$6,IF(Table1[[#This Row],[Fetal Sex (Male, Female or Unknown)]]="Female",Backend!$C$7,IF(Table1[[#This Row],[Fetal Sex (Male, Female or Unknown)]]="Unknown",Backend!$C$8,"Error"))),"")</f>
        <v/>
      </c>
      <c r="F9885" s="8" t="str">
        <f>IF(Table1[[#This Row],[Is Data Valid]]=TRUE,EXP(0.578+0.332*((Table1[[#This Row],[Gestation (days)]]+0.5)/7)-0.00354*((Table1[[#This Row],[Gestation (days)]]+0.5)/7)^2)*Table1[[#This Row],[BW40_3705]],"")</f>
        <v/>
      </c>
      <c r="G9885" s="2" t="str">
        <f>IF(Table1[[#This Row],[Is Data Valid]]=TRUE,((Table1[[#This Row],[Birthweight (grams)]]/Table1[[#This Row],[BW_GA]])-1)/(Backend!$B$4/100*Table1[[#This Row],[BW40_3705]]),"")</f>
        <v/>
      </c>
      <c r="H9885" s="7" t="str">
        <f>IF(Table1[[#This Row],[Is Data Valid]]=TRUE,((Table1[[#This Row],[Birthweight (grams)]]*0.9/Table1[[#This Row],[BW_GA]])-1)/(Backend!$B$4/100*Table1[[#This Row],[BW40_3705]]),"")</f>
        <v/>
      </c>
      <c r="I9885" s="7" t="str">
        <f>IF(Table1[[#This Row],[Is Data Valid]]=TRUE,((Table1[[#This Row],[Birthweight (grams)]]*1.1/Table1[[#This Row],[BW_GA]])-1)/(Backend!$B$4/100*Table1[[#This Row],[BW40_3705]]),"")</f>
        <v/>
      </c>
      <c r="J9885" s="7" t="str">
        <f>IF(Table1[[#This Row],[Is Data Valid]]=TRUE,_xlfn.NORM.S.DIST(Table1[[#This Row],[Birthweight Z-Score]],TRUE)*100,"")</f>
        <v/>
      </c>
      <c r="K9885" s="7" t="str">
        <f>IF(Table1[[#This Row],[Is Data Valid]]=TRUE,_xlfn.NORM.S.DIST(Table1[[#This Row],[Birthweight Z-Score (BW-10%)]],TRUE)*100,"")</f>
        <v/>
      </c>
      <c r="L9885" s="7" t="str">
        <f>IF(Table1[[#This Row],[Is Data Valid]]=TRUE,_xlfn.NORM.S.DIST(Table1[[#This Row],[Birthweight Z-Score (BW+10%)]],TRUE)*100,"")</f>
        <v/>
      </c>
    </row>
    <row r="9886" spans="1:12" x14ac:dyDescent="0.35">
      <c r="A9886" s="3"/>
      <c r="B9886" s="2"/>
      <c r="C9886" s="2"/>
      <c r="D9886" s="2" t="b">
        <f>IF(AND(NOT(ISBLANK(Table1[[#This Row],[Fetal Sex (Male, Female or Unknown)]])),ISNUMBER(Table1[[#This Row],[Birthweight (grams)]]),ISNUMBER(Table1[[#This Row],[Gestation (days)]])),TRUE,FALSE)</f>
        <v>0</v>
      </c>
      <c r="E9886" s="2" t="str">
        <f>IF(Table1[[#This Row],[Is Data Valid]]=TRUE,IF(Table1[[#This Row],[Fetal Sex (Male, Female or Unknown)]]="Male",Backend!$C$6,IF(Table1[[#This Row],[Fetal Sex (Male, Female or Unknown)]]="Female",Backend!$C$7,IF(Table1[[#This Row],[Fetal Sex (Male, Female or Unknown)]]="Unknown",Backend!$C$8,"Error"))),"")</f>
        <v/>
      </c>
      <c r="F9886" s="8" t="str">
        <f>IF(Table1[[#This Row],[Is Data Valid]]=TRUE,EXP(0.578+0.332*((Table1[[#This Row],[Gestation (days)]]+0.5)/7)-0.00354*((Table1[[#This Row],[Gestation (days)]]+0.5)/7)^2)*Table1[[#This Row],[BW40_3705]],"")</f>
        <v/>
      </c>
      <c r="G9886" s="2" t="str">
        <f>IF(Table1[[#This Row],[Is Data Valid]]=TRUE,((Table1[[#This Row],[Birthweight (grams)]]/Table1[[#This Row],[BW_GA]])-1)/(Backend!$B$4/100*Table1[[#This Row],[BW40_3705]]),"")</f>
        <v/>
      </c>
      <c r="H9886" s="7" t="str">
        <f>IF(Table1[[#This Row],[Is Data Valid]]=TRUE,((Table1[[#This Row],[Birthweight (grams)]]*0.9/Table1[[#This Row],[BW_GA]])-1)/(Backend!$B$4/100*Table1[[#This Row],[BW40_3705]]),"")</f>
        <v/>
      </c>
      <c r="I9886" s="7" t="str">
        <f>IF(Table1[[#This Row],[Is Data Valid]]=TRUE,((Table1[[#This Row],[Birthweight (grams)]]*1.1/Table1[[#This Row],[BW_GA]])-1)/(Backend!$B$4/100*Table1[[#This Row],[BW40_3705]]),"")</f>
        <v/>
      </c>
      <c r="J9886" s="7" t="str">
        <f>IF(Table1[[#This Row],[Is Data Valid]]=TRUE,_xlfn.NORM.S.DIST(Table1[[#This Row],[Birthweight Z-Score]],TRUE)*100,"")</f>
        <v/>
      </c>
      <c r="K9886" s="7" t="str">
        <f>IF(Table1[[#This Row],[Is Data Valid]]=TRUE,_xlfn.NORM.S.DIST(Table1[[#This Row],[Birthweight Z-Score (BW-10%)]],TRUE)*100,"")</f>
        <v/>
      </c>
      <c r="L9886" s="7" t="str">
        <f>IF(Table1[[#This Row],[Is Data Valid]]=TRUE,_xlfn.NORM.S.DIST(Table1[[#This Row],[Birthweight Z-Score (BW+10%)]],TRUE)*100,"")</f>
        <v/>
      </c>
    </row>
    <row r="9887" spans="1:12" x14ac:dyDescent="0.35">
      <c r="A9887" s="3"/>
      <c r="B9887" s="2"/>
      <c r="C9887" s="2"/>
      <c r="D9887" s="2" t="b">
        <f>IF(AND(NOT(ISBLANK(Table1[[#This Row],[Fetal Sex (Male, Female or Unknown)]])),ISNUMBER(Table1[[#This Row],[Birthweight (grams)]]),ISNUMBER(Table1[[#This Row],[Gestation (days)]])),TRUE,FALSE)</f>
        <v>0</v>
      </c>
      <c r="E9887" s="2" t="str">
        <f>IF(Table1[[#This Row],[Is Data Valid]]=TRUE,IF(Table1[[#This Row],[Fetal Sex (Male, Female or Unknown)]]="Male",Backend!$C$6,IF(Table1[[#This Row],[Fetal Sex (Male, Female or Unknown)]]="Female",Backend!$C$7,IF(Table1[[#This Row],[Fetal Sex (Male, Female or Unknown)]]="Unknown",Backend!$C$8,"Error"))),"")</f>
        <v/>
      </c>
      <c r="F9887" s="8" t="str">
        <f>IF(Table1[[#This Row],[Is Data Valid]]=TRUE,EXP(0.578+0.332*((Table1[[#This Row],[Gestation (days)]]+0.5)/7)-0.00354*((Table1[[#This Row],[Gestation (days)]]+0.5)/7)^2)*Table1[[#This Row],[BW40_3705]],"")</f>
        <v/>
      </c>
      <c r="G9887" s="2" t="str">
        <f>IF(Table1[[#This Row],[Is Data Valid]]=TRUE,((Table1[[#This Row],[Birthweight (grams)]]/Table1[[#This Row],[BW_GA]])-1)/(Backend!$B$4/100*Table1[[#This Row],[BW40_3705]]),"")</f>
        <v/>
      </c>
      <c r="H9887" s="7" t="str">
        <f>IF(Table1[[#This Row],[Is Data Valid]]=TRUE,((Table1[[#This Row],[Birthweight (grams)]]*0.9/Table1[[#This Row],[BW_GA]])-1)/(Backend!$B$4/100*Table1[[#This Row],[BW40_3705]]),"")</f>
        <v/>
      </c>
      <c r="I9887" s="7" t="str">
        <f>IF(Table1[[#This Row],[Is Data Valid]]=TRUE,((Table1[[#This Row],[Birthweight (grams)]]*1.1/Table1[[#This Row],[BW_GA]])-1)/(Backend!$B$4/100*Table1[[#This Row],[BW40_3705]]),"")</f>
        <v/>
      </c>
      <c r="J9887" s="7" t="str">
        <f>IF(Table1[[#This Row],[Is Data Valid]]=TRUE,_xlfn.NORM.S.DIST(Table1[[#This Row],[Birthweight Z-Score]],TRUE)*100,"")</f>
        <v/>
      </c>
      <c r="K9887" s="7" t="str">
        <f>IF(Table1[[#This Row],[Is Data Valid]]=TRUE,_xlfn.NORM.S.DIST(Table1[[#This Row],[Birthweight Z-Score (BW-10%)]],TRUE)*100,"")</f>
        <v/>
      </c>
      <c r="L9887" s="7" t="str">
        <f>IF(Table1[[#This Row],[Is Data Valid]]=TRUE,_xlfn.NORM.S.DIST(Table1[[#This Row],[Birthweight Z-Score (BW+10%)]],TRUE)*100,"")</f>
        <v/>
      </c>
    </row>
    <row r="9888" spans="1:12" x14ac:dyDescent="0.35">
      <c r="A9888" s="3"/>
      <c r="B9888" s="2"/>
      <c r="C9888" s="2"/>
      <c r="D9888" s="2" t="b">
        <f>IF(AND(NOT(ISBLANK(Table1[[#This Row],[Fetal Sex (Male, Female or Unknown)]])),ISNUMBER(Table1[[#This Row],[Birthweight (grams)]]),ISNUMBER(Table1[[#This Row],[Gestation (days)]])),TRUE,FALSE)</f>
        <v>0</v>
      </c>
      <c r="E9888" s="2" t="str">
        <f>IF(Table1[[#This Row],[Is Data Valid]]=TRUE,IF(Table1[[#This Row],[Fetal Sex (Male, Female or Unknown)]]="Male",Backend!$C$6,IF(Table1[[#This Row],[Fetal Sex (Male, Female or Unknown)]]="Female",Backend!$C$7,IF(Table1[[#This Row],[Fetal Sex (Male, Female or Unknown)]]="Unknown",Backend!$C$8,"Error"))),"")</f>
        <v/>
      </c>
      <c r="F9888" s="8" t="str">
        <f>IF(Table1[[#This Row],[Is Data Valid]]=TRUE,EXP(0.578+0.332*((Table1[[#This Row],[Gestation (days)]]+0.5)/7)-0.00354*((Table1[[#This Row],[Gestation (days)]]+0.5)/7)^2)*Table1[[#This Row],[BW40_3705]],"")</f>
        <v/>
      </c>
      <c r="G9888" s="2" t="str">
        <f>IF(Table1[[#This Row],[Is Data Valid]]=TRUE,((Table1[[#This Row],[Birthweight (grams)]]/Table1[[#This Row],[BW_GA]])-1)/(Backend!$B$4/100*Table1[[#This Row],[BW40_3705]]),"")</f>
        <v/>
      </c>
      <c r="H9888" s="7" t="str">
        <f>IF(Table1[[#This Row],[Is Data Valid]]=TRUE,((Table1[[#This Row],[Birthweight (grams)]]*0.9/Table1[[#This Row],[BW_GA]])-1)/(Backend!$B$4/100*Table1[[#This Row],[BW40_3705]]),"")</f>
        <v/>
      </c>
      <c r="I9888" s="7" t="str">
        <f>IF(Table1[[#This Row],[Is Data Valid]]=TRUE,((Table1[[#This Row],[Birthweight (grams)]]*1.1/Table1[[#This Row],[BW_GA]])-1)/(Backend!$B$4/100*Table1[[#This Row],[BW40_3705]]),"")</f>
        <v/>
      </c>
      <c r="J9888" s="7" t="str">
        <f>IF(Table1[[#This Row],[Is Data Valid]]=TRUE,_xlfn.NORM.S.DIST(Table1[[#This Row],[Birthweight Z-Score]],TRUE)*100,"")</f>
        <v/>
      </c>
      <c r="K9888" s="7" t="str">
        <f>IF(Table1[[#This Row],[Is Data Valid]]=TRUE,_xlfn.NORM.S.DIST(Table1[[#This Row],[Birthweight Z-Score (BW-10%)]],TRUE)*100,"")</f>
        <v/>
      </c>
      <c r="L9888" s="7" t="str">
        <f>IF(Table1[[#This Row],[Is Data Valid]]=TRUE,_xlfn.NORM.S.DIST(Table1[[#This Row],[Birthweight Z-Score (BW+10%)]],TRUE)*100,"")</f>
        <v/>
      </c>
    </row>
    <row r="9889" spans="1:12" x14ac:dyDescent="0.35">
      <c r="A9889" s="3"/>
      <c r="B9889" s="2"/>
      <c r="C9889" s="2"/>
      <c r="D9889" s="2" t="b">
        <f>IF(AND(NOT(ISBLANK(Table1[[#This Row],[Fetal Sex (Male, Female or Unknown)]])),ISNUMBER(Table1[[#This Row],[Birthweight (grams)]]),ISNUMBER(Table1[[#This Row],[Gestation (days)]])),TRUE,FALSE)</f>
        <v>0</v>
      </c>
      <c r="E9889" s="2" t="str">
        <f>IF(Table1[[#This Row],[Is Data Valid]]=TRUE,IF(Table1[[#This Row],[Fetal Sex (Male, Female or Unknown)]]="Male",Backend!$C$6,IF(Table1[[#This Row],[Fetal Sex (Male, Female or Unknown)]]="Female",Backend!$C$7,IF(Table1[[#This Row],[Fetal Sex (Male, Female or Unknown)]]="Unknown",Backend!$C$8,"Error"))),"")</f>
        <v/>
      </c>
      <c r="F9889" s="8" t="str">
        <f>IF(Table1[[#This Row],[Is Data Valid]]=TRUE,EXP(0.578+0.332*((Table1[[#This Row],[Gestation (days)]]+0.5)/7)-0.00354*((Table1[[#This Row],[Gestation (days)]]+0.5)/7)^2)*Table1[[#This Row],[BW40_3705]],"")</f>
        <v/>
      </c>
      <c r="G9889" s="2" t="str">
        <f>IF(Table1[[#This Row],[Is Data Valid]]=TRUE,((Table1[[#This Row],[Birthweight (grams)]]/Table1[[#This Row],[BW_GA]])-1)/(Backend!$B$4/100*Table1[[#This Row],[BW40_3705]]),"")</f>
        <v/>
      </c>
      <c r="H9889" s="7" t="str">
        <f>IF(Table1[[#This Row],[Is Data Valid]]=TRUE,((Table1[[#This Row],[Birthweight (grams)]]*0.9/Table1[[#This Row],[BW_GA]])-1)/(Backend!$B$4/100*Table1[[#This Row],[BW40_3705]]),"")</f>
        <v/>
      </c>
      <c r="I9889" s="7" t="str">
        <f>IF(Table1[[#This Row],[Is Data Valid]]=TRUE,((Table1[[#This Row],[Birthweight (grams)]]*1.1/Table1[[#This Row],[BW_GA]])-1)/(Backend!$B$4/100*Table1[[#This Row],[BW40_3705]]),"")</f>
        <v/>
      </c>
      <c r="J9889" s="7" t="str">
        <f>IF(Table1[[#This Row],[Is Data Valid]]=TRUE,_xlfn.NORM.S.DIST(Table1[[#This Row],[Birthweight Z-Score]],TRUE)*100,"")</f>
        <v/>
      </c>
      <c r="K9889" s="7" t="str">
        <f>IF(Table1[[#This Row],[Is Data Valid]]=TRUE,_xlfn.NORM.S.DIST(Table1[[#This Row],[Birthweight Z-Score (BW-10%)]],TRUE)*100,"")</f>
        <v/>
      </c>
      <c r="L9889" s="7" t="str">
        <f>IF(Table1[[#This Row],[Is Data Valid]]=TRUE,_xlfn.NORM.S.DIST(Table1[[#This Row],[Birthweight Z-Score (BW+10%)]],TRUE)*100,"")</f>
        <v/>
      </c>
    </row>
    <row r="9890" spans="1:12" x14ac:dyDescent="0.35">
      <c r="A9890" s="3"/>
      <c r="B9890" s="2"/>
      <c r="C9890" s="2"/>
      <c r="D9890" s="2" t="b">
        <f>IF(AND(NOT(ISBLANK(Table1[[#This Row],[Fetal Sex (Male, Female or Unknown)]])),ISNUMBER(Table1[[#This Row],[Birthweight (grams)]]),ISNUMBER(Table1[[#This Row],[Gestation (days)]])),TRUE,FALSE)</f>
        <v>0</v>
      </c>
      <c r="E9890" s="2" t="str">
        <f>IF(Table1[[#This Row],[Is Data Valid]]=TRUE,IF(Table1[[#This Row],[Fetal Sex (Male, Female or Unknown)]]="Male",Backend!$C$6,IF(Table1[[#This Row],[Fetal Sex (Male, Female or Unknown)]]="Female",Backend!$C$7,IF(Table1[[#This Row],[Fetal Sex (Male, Female or Unknown)]]="Unknown",Backend!$C$8,"Error"))),"")</f>
        <v/>
      </c>
      <c r="F9890" s="8" t="str">
        <f>IF(Table1[[#This Row],[Is Data Valid]]=TRUE,EXP(0.578+0.332*((Table1[[#This Row],[Gestation (days)]]+0.5)/7)-0.00354*((Table1[[#This Row],[Gestation (days)]]+0.5)/7)^2)*Table1[[#This Row],[BW40_3705]],"")</f>
        <v/>
      </c>
      <c r="G9890" s="2" t="str">
        <f>IF(Table1[[#This Row],[Is Data Valid]]=TRUE,((Table1[[#This Row],[Birthweight (grams)]]/Table1[[#This Row],[BW_GA]])-1)/(Backend!$B$4/100*Table1[[#This Row],[BW40_3705]]),"")</f>
        <v/>
      </c>
      <c r="H9890" s="7" t="str">
        <f>IF(Table1[[#This Row],[Is Data Valid]]=TRUE,((Table1[[#This Row],[Birthweight (grams)]]*0.9/Table1[[#This Row],[BW_GA]])-1)/(Backend!$B$4/100*Table1[[#This Row],[BW40_3705]]),"")</f>
        <v/>
      </c>
      <c r="I9890" s="7" t="str">
        <f>IF(Table1[[#This Row],[Is Data Valid]]=TRUE,((Table1[[#This Row],[Birthweight (grams)]]*1.1/Table1[[#This Row],[BW_GA]])-1)/(Backend!$B$4/100*Table1[[#This Row],[BW40_3705]]),"")</f>
        <v/>
      </c>
      <c r="J9890" s="7" t="str">
        <f>IF(Table1[[#This Row],[Is Data Valid]]=TRUE,_xlfn.NORM.S.DIST(Table1[[#This Row],[Birthweight Z-Score]],TRUE)*100,"")</f>
        <v/>
      </c>
      <c r="K9890" s="7" t="str">
        <f>IF(Table1[[#This Row],[Is Data Valid]]=TRUE,_xlfn.NORM.S.DIST(Table1[[#This Row],[Birthweight Z-Score (BW-10%)]],TRUE)*100,"")</f>
        <v/>
      </c>
      <c r="L9890" s="7" t="str">
        <f>IF(Table1[[#This Row],[Is Data Valid]]=TRUE,_xlfn.NORM.S.DIST(Table1[[#This Row],[Birthweight Z-Score (BW+10%)]],TRUE)*100,"")</f>
        <v/>
      </c>
    </row>
    <row r="9891" spans="1:12" x14ac:dyDescent="0.35">
      <c r="A9891" s="3"/>
      <c r="B9891" s="2"/>
      <c r="C9891" s="2"/>
      <c r="D9891" s="2" t="b">
        <f>IF(AND(NOT(ISBLANK(Table1[[#This Row],[Fetal Sex (Male, Female or Unknown)]])),ISNUMBER(Table1[[#This Row],[Birthweight (grams)]]),ISNUMBER(Table1[[#This Row],[Gestation (days)]])),TRUE,FALSE)</f>
        <v>0</v>
      </c>
      <c r="E9891" s="2" t="str">
        <f>IF(Table1[[#This Row],[Is Data Valid]]=TRUE,IF(Table1[[#This Row],[Fetal Sex (Male, Female or Unknown)]]="Male",Backend!$C$6,IF(Table1[[#This Row],[Fetal Sex (Male, Female or Unknown)]]="Female",Backend!$C$7,IF(Table1[[#This Row],[Fetal Sex (Male, Female or Unknown)]]="Unknown",Backend!$C$8,"Error"))),"")</f>
        <v/>
      </c>
      <c r="F9891" s="8" t="str">
        <f>IF(Table1[[#This Row],[Is Data Valid]]=TRUE,EXP(0.578+0.332*((Table1[[#This Row],[Gestation (days)]]+0.5)/7)-0.00354*((Table1[[#This Row],[Gestation (days)]]+0.5)/7)^2)*Table1[[#This Row],[BW40_3705]],"")</f>
        <v/>
      </c>
      <c r="G9891" s="2" t="str">
        <f>IF(Table1[[#This Row],[Is Data Valid]]=TRUE,((Table1[[#This Row],[Birthweight (grams)]]/Table1[[#This Row],[BW_GA]])-1)/(Backend!$B$4/100*Table1[[#This Row],[BW40_3705]]),"")</f>
        <v/>
      </c>
      <c r="H9891" s="7" t="str">
        <f>IF(Table1[[#This Row],[Is Data Valid]]=TRUE,((Table1[[#This Row],[Birthweight (grams)]]*0.9/Table1[[#This Row],[BW_GA]])-1)/(Backend!$B$4/100*Table1[[#This Row],[BW40_3705]]),"")</f>
        <v/>
      </c>
      <c r="I9891" s="7" t="str">
        <f>IF(Table1[[#This Row],[Is Data Valid]]=TRUE,((Table1[[#This Row],[Birthweight (grams)]]*1.1/Table1[[#This Row],[BW_GA]])-1)/(Backend!$B$4/100*Table1[[#This Row],[BW40_3705]]),"")</f>
        <v/>
      </c>
      <c r="J9891" s="7" t="str">
        <f>IF(Table1[[#This Row],[Is Data Valid]]=TRUE,_xlfn.NORM.S.DIST(Table1[[#This Row],[Birthweight Z-Score]],TRUE)*100,"")</f>
        <v/>
      </c>
      <c r="K9891" s="7" t="str">
        <f>IF(Table1[[#This Row],[Is Data Valid]]=TRUE,_xlfn.NORM.S.DIST(Table1[[#This Row],[Birthweight Z-Score (BW-10%)]],TRUE)*100,"")</f>
        <v/>
      </c>
      <c r="L9891" s="7" t="str">
        <f>IF(Table1[[#This Row],[Is Data Valid]]=TRUE,_xlfn.NORM.S.DIST(Table1[[#This Row],[Birthweight Z-Score (BW+10%)]],TRUE)*100,"")</f>
        <v/>
      </c>
    </row>
    <row r="9892" spans="1:12" x14ac:dyDescent="0.35">
      <c r="A9892" s="3"/>
      <c r="B9892" s="2"/>
      <c r="C9892" s="2"/>
      <c r="D9892" s="2" t="b">
        <f>IF(AND(NOT(ISBLANK(Table1[[#This Row],[Fetal Sex (Male, Female or Unknown)]])),ISNUMBER(Table1[[#This Row],[Birthweight (grams)]]),ISNUMBER(Table1[[#This Row],[Gestation (days)]])),TRUE,FALSE)</f>
        <v>0</v>
      </c>
      <c r="E9892" s="2" t="str">
        <f>IF(Table1[[#This Row],[Is Data Valid]]=TRUE,IF(Table1[[#This Row],[Fetal Sex (Male, Female or Unknown)]]="Male",Backend!$C$6,IF(Table1[[#This Row],[Fetal Sex (Male, Female or Unknown)]]="Female",Backend!$C$7,IF(Table1[[#This Row],[Fetal Sex (Male, Female or Unknown)]]="Unknown",Backend!$C$8,"Error"))),"")</f>
        <v/>
      </c>
      <c r="F9892" s="8" t="str">
        <f>IF(Table1[[#This Row],[Is Data Valid]]=TRUE,EXP(0.578+0.332*((Table1[[#This Row],[Gestation (days)]]+0.5)/7)-0.00354*((Table1[[#This Row],[Gestation (days)]]+0.5)/7)^2)*Table1[[#This Row],[BW40_3705]],"")</f>
        <v/>
      </c>
      <c r="G9892" s="2" t="str">
        <f>IF(Table1[[#This Row],[Is Data Valid]]=TRUE,((Table1[[#This Row],[Birthweight (grams)]]/Table1[[#This Row],[BW_GA]])-1)/(Backend!$B$4/100*Table1[[#This Row],[BW40_3705]]),"")</f>
        <v/>
      </c>
      <c r="H9892" s="7" t="str">
        <f>IF(Table1[[#This Row],[Is Data Valid]]=TRUE,((Table1[[#This Row],[Birthweight (grams)]]*0.9/Table1[[#This Row],[BW_GA]])-1)/(Backend!$B$4/100*Table1[[#This Row],[BW40_3705]]),"")</f>
        <v/>
      </c>
      <c r="I9892" s="7" t="str">
        <f>IF(Table1[[#This Row],[Is Data Valid]]=TRUE,((Table1[[#This Row],[Birthweight (grams)]]*1.1/Table1[[#This Row],[BW_GA]])-1)/(Backend!$B$4/100*Table1[[#This Row],[BW40_3705]]),"")</f>
        <v/>
      </c>
      <c r="J9892" s="7" t="str">
        <f>IF(Table1[[#This Row],[Is Data Valid]]=TRUE,_xlfn.NORM.S.DIST(Table1[[#This Row],[Birthweight Z-Score]],TRUE)*100,"")</f>
        <v/>
      </c>
      <c r="K9892" s="7" t="str">
        <f>IF(Table1[[#This Row],[Is Data Valid]]=TRUE,_xlfn.NORM.S.DIST(Table1[[#This Row],[Birthweight Z-Score (BW-10%)]],TRUE)*100,"")</f>
        <v/>
      </c>
      <c r="L9892" s="7" t="str">
        <f>IF(Table1[[#This Row],[Is Data Valid]]=TRUE,_xlfn.NORM.S.DIST(Table1[[#This Row],[Birthweight Z-Score (BW+10%)]],TRUE)*100,"")</f>
        <v/>
      </c>
    </row>
    <row r="9893" spans="1:12" x14ac:dyDescent="0.35">
      <c r="A9893" s="3"/>
      <c r="B9893" s="2"/>
      <c r="C9893" s="2"/>
      <c r="D9893" s="2" t="b">
        <f>IF(AND(NOT(ISBLANK(Table1[[#This Row],[Fetal Sex (Male, Female or Unknown)]])),ISNUMBER(Table1[[#This Row],[Birthweight (grams)]]),ISNUMBER(Table1[[#This Row],[Gestation (days)]])),TRUE,FALSE)</f>
        <v>0</v>
      </c>
      <c r="E9893" s="2" t="str">
        <f>IF(Table1[[#This Row],[Is Data Valid]]=TRUE,IF(Table1[[#This Row],[Fetal Sex (Male, Female or Unknown)]]="Male",Backend!$C$6,IF(Table1[[#This Row],[Fetal Sex (Male, Female or Unknown)]]="Female",Backend!$C$7,IF(Table1[[#This Row],[Fetal Sex (Male, Female or Unknown)]]="Unknown",Backend!$C$8,"Error"))),"")</f>
        <v/>
      </c>
      <c r="F9893" s="8" t="str">
        <f>IF(Table1[[#This Row],[Is Data Valid]]=TRUE,EXP(0.578+0.332*((Table1[[#This Row],[Gestation (days)]]+0.5)/7)-0.00354*((Table1[[#This Row],[Gestation (days)]]+0.5)/7)^2)*Table1[[#This Row],[BW40_3705]],"")</f>
        <v/>
      </c>
      <c r="G9893" s="2" t="str">
        <f>IF(Table1[[#This Row],[Is Data Valid]]=TRUE,((Table1[[#This Row],[Birthweight (grams)]]/Table1[[#This Row],[BW_GA]])-1)/(Backend!$B$4/100*Table1[[#This Row],[BW40_3705]]),"")</f>
        <v/>
      </c>
      <c r="H9893" s="7" t="str">
        <f>IF(Table1[[#This Row],[Is Data Valid]]=TRUE,((Table1[[#This Row],[Birthweight (grams)]]*0.9/Table1[[#This Row],[BW_GA]])-1)/(Backend!$B$4/100*Table1[[#This Row],[BW40_3705]]),"")</f>
        <v/>
      </c>
      <c r="I9893" s="7" t="str">
        <f>IF(Table1[[#This Row],[Is Data Valid]]=TRUE,((Table1[[#This Row],[Birthweight (grams)]]*1.1/Table1[[#This Row],[BW_GA]])-1)/(Backend!$B$4/100*Table1[[#This Row],[BW40_3705]]),"")</f>
        <v/>
      </c>
      <c r="J9893" s="7" t="str">
        <f>IF(Table1[[#This Row],[Is Data Valid]]=TRUE,_xlfn.NORM.S.DIST(Table1[[#This Row],[Birthweight Z-Score]],TRUE)*100,"")</f>
        <v/>
      </c>
      <c r="K9893" s="7" t="str">
        <f>IF(Table1[[#This Row],[Is Data Valid]]=TRUE,_xlfn.NORM.S.DIST(Table1[[#This Row],[Birthweight Z-Score (BW-10%)]],TRUE)*100,"")</f>
        <v/>
      </c>
      <c r="L9893" s="7" t="str">
        <f>IF(Table1[[#This Row],[Is Data Valid]]=TRUE,_xlfn.NORM.S.DIST(Table1[[#This Row],[Birthweight Z-Score (BW+10%)]],TRUE)*100,"")</f>
        <v/>
      </c>
    </row>
    <row r="9894" spans="1:12" x14ac:dyDescent="0.35">
      <c r="A9894" s="3"/>
      <c r="B9894" s="2"/>
      <c r="C9894" s="2"/>
      <c r="D9894" s="2" t="b">
        <f>IF(AND(NOT(ISBLANK(Table1[[#This Row],[Fetal Sex (Male, Female or Unknown)]])),ISNUMBER(Table1[[#This Row],[Birthweight (grams)]]),ISNUMBER(Table1[[#This Row],[Gestation (days)]])),TRUE,FALSE)</f>
        <v>0</v>
      </c>
      <c r="E9894" s="2" t="str">
        <f>IF(Table1[[#This Row],[Is Data Valid]]=TRUE,IF(Table1[[#This Row],[Fetal Sex (Male, Female or Unknown)]]="Male",Backend!$C$6,IF(Table1[[#This Row],[Fetal Sex (Male, Female or Unknown)]]="Female",Backend!$C$7,IF(Table1[[#This Row],[Fetal Sex (Male, Female or Unknown)]]="Unknown",Backend!$C$8,"Error"))),"")</f>
        <v/>
      </c>
      <c r="F9894" s="8" t="str">
        <f>IF(Table1[[#This Row],[Is Data Valid]]=TRUE,EXP(0.578+0.332*((Table1[[#This Row],[Gestation (days)]]+0.5)/7)-0.00354*((Table1[[#This Row],[Gestation (days)]]+0.5)/7)^2)*Table1[[#This Row],[BW40_3705]],"")</f>
        <v/>
      </c>
      <c r="G9894" s="2" t="str">
        <f>IF(Table1[[#This Row],[Is Data Valid]]=TRUE,((Table1[[#This Row],[Birthweight (grams)]]/Table1[[#This Row],[BW_GA]])-1)/(Backend!$B$4/100*Table1[[#This Row],[BW40_3705]]),"")</f>
        <v/>
      </c>
      <c r="H9894" s="7" t="str">
        <f>IF(Table1[[#This Row],[Is Data Valid]]=TRUE,((Table1[[#This Row],[Birthweight (grams)]]*0.9/Table1[[#This Row],[BW_GA]])-1)/(Backend!$B$4/100*Table1[[#This Row],[BW40_3705]]),"")</f>
        <v/>
      </c>
      <c r="I9894" s="7" t="str">
        <f>IF(Table1[[#This Row],[Is Data Valid]]=TRUE,((Table1[[#This Row],[Birthweight (grams)]]*1.1/Table1[[#This Row],[BW_GA]])-1)/(Backend!$B$4/100*Table1[[#This Row],[BW40_3705]]),"")</f>
        <v/>
      </c>
      <c r="J9894" s="7" t="str">
        <f>IF(Table1[[#This Row],[Is Data Valid]]=TRUE,_xlfn.NORM.S.DIST(Table1[[#This Row],[Birthweight Z-Score]],TRUE)*100,"")</f>
        <v/>
      </c>
      <c r="K9894" s="7" t="str">
        <f>IF(Table1[[#This Row],[Is Data Valid]]=TRUE,_xlfn.NORM.S.DIST(Table1[[#This Row],[Birthweight Z-Score (BW-10%)]],TRUE)*100,"")</f>
        <v/>
      </c>
      <c r="L9894" s="7" t="str">
        <f>IF(Table1[[#This Row],[Is Data Valid]]=TRUE,_xlfn.NORM.S.DIST(Table1[[#This Row],[Birthweight Z-Score (BW+10%)]],TRUE)*100,"")</f>
        <v/>
      </c>
    </row>
    <row r="9895" spans="1:12" x14ac:dyDescent="0.35">
      <c r="A9895" s="3"/>
      <c r="B9895" s="2"/>
      <c r="C9895" s="2"/>
      <c r="D9895" s="2" t="b">
        <f>IF(AND(NOT(ISBLANK(Table1[[#This Row],[Fetal Sex (Male, Female or Unknown)]])),ISNUMBER(Table1[[#This Row],[Birthweight (grams)]]),ISNUMBER(Table1[[#This Row],[Gestation (days)]])),TRUE,FALSE)</f>
        <v>0</v>
      </c>
      <c r="E9895" s="2" t="str">
        <f>IF(Table1[[#This Row],[Is Data Valid]]=TRUE,IF(Table1[[#This Row],[Fetal Sex (Male, Female or Unknown)]]="Male",Backend!$C$6,IF(Table1[[#This Row],[Fetal Sex (Male, Female or Unknown)]]="Female",Backend!$C$7,IF(Table1[[#This Row],[Fetal Sex (Male, Female or Unknown)]]="Unknown",Backend!$C$8,"Error"))),"")</f>
        <v/>
      </c>
      <c r="F9895" s="8" t="str">
        <f>IF(Table1[[#This Row],[Is Data Valid]]=TRUE,EXP(0.578+0.332*((Table1[[#This Row],[Gestation (days)]]+0.5)/7)-0.00354*((Table1[[#This Row],[Gestation (days)]]+0.5)/7)^2)*Table1[[#This Row],[BW40_3705]],"")</f>
        <v/>
      </c>
      <c r="G9895" s="2" t="str">
        <f>IF(Table1[[#This Row],[Is Data Valid]]=TRUE,((Table1[[#This Row],[Birthweight (grams)]]/Table1[[#This Row],[BW_GA]])-1)/(Backend!$B$4/100*Table1[[#This Row],[BW40_3705]]),"")</f>
        <v/>
      </c>
      <c r="H9895" s="7" t="str">
        <f>IF(Table1[[#This Row],[Is Data Valid]]=TRUE,((Table1[[#This Row],[Birthweight (grams)]]*0.9/Table1[[#This Row],[BW_GA]])-1)/(Backend!$B$4/100*Table1[[#This Row],[BW40_3705]]),"")</f>
        <v/>
      </c>
      <c r="I9895" s="7" t="str">
        <f>IF(Table1[[#This Row],[Is Data Valid]]=TRUE,((Table1[[#This Row],[Birthweight (grams)]]*1.1/Table1[[#This Row],[BW_GA]])-1)/(Backend!$B$4/100*Table1[[#This Row],[BW40_3705]]),"")</f>
        <v/>
      </c>
      <c r="J9895" s="7" t="str">
        <f>IF(Table1[[#This Row],[Is Data Valid]]=TRUE,_xlfn.NORM.S.DIST(Table1[[#This Row],[Birthweight Z-Score]],TRUE)*100,"")</f>
        <v/>
      </c>
      <c r="K9895" s="7" t="str">
        <f>IF(Table1[[#This Row],[Is Data Valid]]=TRUE,_xlfn.NORM.S.DIST(Table1[[#This Row],[Birthweight Z-Score (BW-10%)]],TRUE)*100,"")</f>
        <v/>
      </c>
      <c r="L9895" s="7" t="str">
        <f>IF(Table1[[#This Row],[Is Data Valid]]=TRUE,_xlfn.NORM.S.DIST(Table1[[#This Row],[Birthweight Z-Score (BW+10%)]],TRUE)*100,"")</f>
        <v/>
      </c>
    </row>
    <row r="9896" spans="1:12" x14ac:dyDescent="0.35">
      <c r="A9896" s="3"/>
      <c r="B9896" s="2"/>
      <c r="C9896" s="2"/>
      <c r="D9896" s="2" t="b">
        <f>IF(AND(NOT(ISBLANK(Table1[[#This Row],[Fetal Sex (Male, Female or Unknown)]])),ISNUMBER(Table1[[#This Row],[Birthweight (grams)]]),ISNUMBER(Table1[[#This Row],[Gestation (days)]])),TRUE,FALSE)</f>
        <v>0</v>
      </c>
      <c r="E9896" s="2" t="str">
        <f>IF(Table1[[#This Row],[Is Data Valid]]=TRUE,IF(Table1[[#This Row],[Fetal Sex (Male, Female or Unknown)]]="Male",Backend!$C$6,IF(Table1[[#This Row],[Fetal Sex (Male, Female or Unknown)]]="Female",Backend!$C$7,IF(Table1[[#This Row],[Fetal Sex (Male, Female or Unknown)]]="Unknown",Backend!$C$8,"Error"))),"")</f>
        <v/>
      </c>
      <c r="F9896" s="8" t="str">
        <f>IF(Table1[[#This Row],[Is Data Valid]]=TRUE,EXP(0.578+0.332*((Table1[[#This Row],[Gestation (days)]]+0.5)/7)-0.00354*((Table1[[#This Row],[Gestation (days)]]+0.5)/7)^2)*Table1[[#This Row],[BW40_3705]],"")</f>
        <v/>
      </c>
      <c r="G9896" s="2" t="str">
        <f>IF(Table1[[#This Row],[Is Data Valid]]=TRUE,((Table1[[#This Row],[Birthweight (grams)]]/Table1[[#This Row],[BW_GA]])-1)/(Backend!$B$4/100*Table1[[#This Row],[BW40_3705]]),"")</f>
        <v/>
      </c>
      <c r="H9896" s="7" t="str">
        <f>IF(Table1[[#This Row],[Is Data Valid]]=TRUE,((Table1[[#This Row],[Birthweight (grams)]]*0.9/Table1[[#This Row],[BW_GA]])-1)/(Backend!$B$4/100*Table1[[#This Row],[BW40_3705]]),"")</f>
        <v/>
      </c>
      <c r="I9896" s="7" t="str">
        <f>IF(Table1[[#This Row],[Is Data Valid]]=TRUE,((Table1[[#This Row],[Birthweight (grams)]]*1.1/Table1[[#This Row],[BW_GA]])-1)/(Backend!$B$4/100*Table1[[#This Row],[BW40_3705]]),"")</f>
        <v/>
      </c>
      <c r="J9896" s="7" t="str">
        <f>IF(Table1[[#This Row],[Is Data Valid]]=TRUE,_xlfn.NORM.S.DIST(Table1[[#This Row],[Birthweight Z-Score]],TRUE)*100,"")</f>
        <v/>
      </c>
      <c r="K9896" s="7" t="str">
        <f>IF(Table1[[#This Row],[Is Data Valid]]=TRUE,_xlfn.NORM.S.DIST(Table1[[#This Row],[Birthweight Z-Score (BW-10%)]],TRUE)*100,"")</f>
        <v/>
      </c>
      <c r="L9896" s="7" t="str">
        <f>IF(Table1[[#This Row],[Is Data Valid]]=TRUE,_xlfn.NORM.S.DIST(Table1[[#This Row],[Birthweight Z-Score (BW+10%)]],TRUE)*100,"")</f>
        <v/>
      </c>
    </row>
    <row r="9897" spans="1:12" x14ac:dyDescent="0.35">
      <c r="A9897" s="3"/>
      <c r="B9897" s="2"/>
      <c r="C9897" s="2"/>
      <c r="D9897" s="2" t="b">
        <f>IF(AND(NOT(ISBLANK(Table1[[#This Row],[Fetal Sex (Male, Female or Unknown)]])),ISNUMBER(Table1[[#This Row],[Birthweight (grams)]]),ISNUMBER(Table1[[#This Row],[Gestation (days)]])),TRUE,FALSE)</f>
        <v>0</v>
      </c>
      <c r="E9897" s="2" t="str">
        <f>IF(Table1[[#This Row],[Is Data Valid]]=TRUE,IF(Table1[[#This Row],[Fetal Sex (Male, Female or Unknown)]]="Male",Backend!$C$6,IF(Table1[[#This Row],[Fetal Sex (Male, Female or Unknown)]]="Female",Backend!$C$7,IF(Table1[[#This Row],[Fetal Sex (Male, Female or Unknown)]]="Unknown",Backend!$C$8,"Error"))),"")</f>
        <v/>
      </c>
      <c r="F9897" s="8" t="str">
        <f>IF(Table1[[#This Row],[Is Data Valid]]=TRUE,EXP(0.578+0.332*((Table1[[#This Row],[Gestation (days)]]+0.5)/7)-0.00354*((Table1[[#This Row],[Gestation (days)]]+0.5)/7)^2)*Table1[[#This Row],[BW40_3705]],"")</f>
        <v/>
      </c>
      <c r="G9897" s="2" t="str">
        <f>IF(Table1[[#This Row],[Is Data Valid]]=TRUE,((Table1[[#This Row],[Birthweight (grams)]]/Table1[[#This Row],[BW_GA]])-1)/(Backend!$B$4/100*Table1[[#This Row],[BW40_3705]]),"")</f>
        <v/>
      </c>
      <c r="H9897" s="7" t="str">
        <f>IF(Table1[[#This Row],[Is Data Valid]]=TRUE,((Table1[[#This Row],[Birthweight (grams)]]*0.9/Table1[[#This Row],[BW_GA]])-1)/(Backend!$B$4/100*Table1[[#This Row],[BW40_3705]]),"")</f>
        <v/>
      </c>
      <c r="I9897" s="7" t="str">
        <f>IF(Table1[[#This Row],[Is Data Valid]]=TRUE,((Table1[[#This Row],[Birthweight (grams)]]*1.1/Table1[[#This Row],[BW_GA]])-1)/(Backend!$B$4/100*Table1[[#This Row],[BW40_3705]]),"")</f>
        <v/>
      </c>
      <c r="J9897" s="7" t="str">
        <f>IF(Table1[[#This Row],[Is Data Valid]]=TRUE,_xlfn.NORM.S.DIST(Table1[[#This Row],[Birthweight Z-Score]],TRUE)*100,"")</f>
        <v/>
      </c>
      <c r="K9897" s="7" t="str">
        <f>IF(Table1[[#This Row],[Is Data Valid]]=TRUE,_xlfn.NORM.S.DIST(Table1[[#This Row],[Birthweight Z-Score (BW-10%)]],TRUE)*100,"")</f>
        <v/>
      </c>
      <c r="L9897" s="7" t="str">
        <f>IF(Table1[[#This Row],[Is Data Valid]]=TRUE,_xlfn.NORM.S.DIST(Table1[[#This Row],[Birthweight Z-Score (BW+10%)]],TRUE)*100,"")</f>
        <v/>
      </c>
    </row>
    <row r="9898" spans="1:12" x14ac:dyDescent="0.35">
      <c r="A9898" s="3"/>
      <c r="B9898" s="2"/>
      <c r="C9898" s="2"/>
      <c r="D9898" s="2" t="b">
        <f>IF(AND(NOT(ISBLANK(Table1[[#This Row],[Fetal Sex (Male, Female or Unknown)]])),ISNUMBER(Table1[[#This Row],[Birthweight (grams)]]),ISNUMBER(Table1[[#This Row],[Gestation (days)]])),TRUE,FALSE)</f>
        <v>0</v>
      </c>
      <c r="E9898" s="2" t="str">
        <f>IF(Table1[[#This Row],[Is Data Valid]]=TRUE,IF(Table1[[#This Row],[Fetal Sex (Male, Female or Unknown)]]="Male",Backend!$C$6,IF(Table1[[#This Row],[Fetal Sex (Male, Female or Unknown)]]="Female",Backend!$C$7,IF(Table1[[#This Row],[Fetal Sex (Male, Female or Unknown)]]="Unknown",Backend!$C$8,"Error"))),"")</f>
        <v/>
      </c>
      <c r="F9898" s="8" t="str">
        <f>IF(Table1[[#This Row],[Is Data Valid]]=TRUE,EXP(0.578+0.332*((Table1[[#This Row],[Gestation (days)]]+0.5)/7)-0.00354*((Table1[[#This Row],[Gestation (days)]]+0.5)/7)^2)*Table1[[#This Row],[BW40_3705]],"")</f>
        <v/>
      </c>
      <c r="G9898" s="2" t="str">
        <f>IF(Table1[[#This Row],[Is Data Valid]]=TRUE,((Table1[[#This Row],[Birthweight (grams)]]/Table1[[#This Row],[BW_GA]])-1)/(Backend!$B$4/100*Table1[[#This Row],[BW40_3705]]),"")</f>
        <v/>
      </c>
      <c r="H9898" s="7" t="str">
        <f>IF(Table1[[#This Row],[Is Data Valid]]=TRUE,((Table1[[#This Row],[Birthweight (grams)]]*0.9/Table1[[#This Row],[BW_GA]])-1)/(Backend!$B$4/100*Table1[[#This Row],[BW40_3705]]),"")</f>
        <v/>
      </c>
      <c r="I9898" s="7" t="str">
        <f>IF(Table1[[#This Row],[Is Data Valid]]=TRUE,((Table1[[#This Row],[Birthweight (grams)]]*1.1/Table1[[#This Row],[BW_GA]])-1)/(Backend!$B$4/100*Table1[[#This Row],[BW40_3705]]),"")</f>
        <v/>
      </c>
      <c r="J9898" s="7" t="str">
        <f>IF(Table1[[#This Row],[Is Data Valid]]=TRUE,_xlfn.NORM.S.DIST(Table1[[#This Row],[Birthweight Z-Score]],TRUE)*100,"")</f>
        <v/>
      </c>
      <c r="K9898" s="7" t="str">
        <f>IF(Table1[[#This Row],[Is Data Valid]]=TRUE,_xlfn.NORM.S.DIST(Table1[[#This Row],[Birthweight Z-Score (BW-10%)]],TRUE)*100,"")</f>
        <v/>
      </c>
      <c r="L9898" s="7" t="str">
        <f>IF(Table1[[#This Row],[Is Data Valid]]=TRUE,_xlfn.NORM.S.DIST(Table1[[#This Row],[Birthweight Z-Score (BW+10%)]],TRUE)*100,"")</f>
        <v/>
      </c>
    </row>
    <row r="9899" spans="1:12" x14ac:dyDescent="0.35">
      <c r="A9899" s="3"/>
      <c r="B9899" s="2"/>
      <c r="C9899" s="2"/>
      <c r="D9899" s="2" t="b">
        <f>IF(AND(NOT(ISBLANK(Table1[[#This Row],[Fetal Sex (Male, Female or Unknown)]])),ISNUMBER(Table1[[#This Row],[Birthweight (grams)]]),ISNUMBER(Table1[[#This Row],[Gestation (days)]])),TRUE,FALSE)</f>
        <v>0</v>
      </c>
      <c r="E9899" s="2" t="str">
        <f>IF(Table1[[#This Row],[Is Data Valid]]=TRUE,IF(Table1[[#This Row],[Fetal Sex (Male, Female or Unknown)]]="Male",Backend!$C$6,IF(Table1[[#This Row],[Fetal Sex (Male, Female or Unknown)]]="Female",Backend!$C$7,IF(Table1[[#This Row],[Fetal Sex (Male, Female or Unknown)]]="Unknown",Backend!$C$8,"Error"))),"")</f>
        <v/>
      </c>
      <c r="F9899" s="8" t="str">
        <f>IF(Table1[[#This Row],[Is Data Valid]]=TRUE,EXP(0.578+0.332*((Table1[[#This Row],[Gestation (days)]]+0.5)/7)-0.00354*((Table1[[#This Row],[Gestation (days)]]+0.5)/7)^2)*Table1[[#This Row],[BW40_3705]],"")</f>
        <v/>
      </c>
      <c r="G9899" s="2" t="str">
        <f>IF(Table1[[#This Row],[Is Data Valid]]=TRUE,((Table1[[#This Row],[Birthweight (grams)]]/Table1[[#This Row],[BW_GA]])-1)/(Backend!$B$4/100*Table1[[#This Row],[BW40_3705]]),"")</f>
        <v/>
      </c>
      <c r="H9899" s="7" t="str">
        <f>IF(Table1[[#This Row],[Is Data Valid]]=TRUE,((Table1[[#This Row],[Birthweight (grams)]]*0.9/Table1[[#This Row],[BW_GA]])-1)/(Backend!$B$4/100*Table1[[#This Row],[BW40_3705]]),"")</f>
        <v/>
      </c>
      <c r="I9899" s="7" t="str">
        <f>IF(Table1[[#This Row],[Is Data Valid]]=TRUE,((Table1[[#This Row],[Birthweight (grams)]]*1.1/Table1[[#This Row],[BW_GA]])-1)/(Backend!$B$4/100*Table1[[#This Row],[BW40_3705]]),"")</f>
        <v/>
      </c>
      <c r="J9899" s="7" t="str">
        <f>IF(Table1[[#This Row],[Is Data Valid]]=TRUE,_xlfn.NORM.S.DIST(Table1[[#This Row],[Birthweight Z-Score]],TRUE)*100,"")</f>
        <v/>
      </c>
      <c r="K9899" s="7" t="str">
        <f>IF(Table1[[#This Row],[Is Data Valid]]=TRUE,_xlfn.NORM.S.DIST(Table1[[#This Row],[Birthweight Z-Score (BW-10%)]],TRUE)*100,"")</f>
        <v/>
      </c>
      <c r="L9899" s="7" t="str">
        <f>IF(Table1[[#This Row],[Is Data Valid]]=TRUE,_xlfn.NORM.S.DIST(Table1[[#This Row],[Birthweight Z-Score (BW+10%)]],TRUE)*100,"")</f>
        <v/>
      </c>
    </row>
    <row r="9900" spans="1:12" x14ac:dyDescent="0.35">
      <c r="A9900" s="3"/>
      <c r="B9900" s="2"/>
      <c r="C9900" s="2"/>
      <c r="D9900" s="2" t="b">
        <f>IF(AND(NOT(ISBLANK(Table1[[#This Row],[Fetal Sex (Male, Female or Unknown)]])),ISNUMBER(Table1[[#This Row],[Birthweight (grams)]]),ISNUMBER(Table1[[#This Row],[Gestation (days)]])),TRUE,FALSE)</f>
        <v>0</v>
      </c>
      <c r="E9900" s="2" t="str">
        <f>IF(Table1[[#This Row],[Is Data Valid]]=TRUE,IF(Table1[[#This Row],[Fetal Sex (Male, Female or Unknown)]]="Male",Backend!$C$6,IF(Table1[[#This Row],[Fetal Sex (Male, Female or Unknown)]]="Female",Backend!$C$7,IF(Table1[[#This Row],[Fetal Sex (Male, Female or Unknown)]]="Unknown",Backend!$C$8,"Error"))),"")</f>
        <v/>
      </c>
      <c r="F9900" s="8" t="str">
        <f>IF(Table1[[#This Row],[Is Data Valid]]=TRUE,EXP(0.578+0.332*((Table1[[#This Row],[Gestation (days)]]+0.5)/7)-0.00354*((Table1[[#This Row],[Gestation (days)]]+0.5)/7)^2)*Table1[[#This Row],[BW40_3705]],"")</f>
        <v/>
      </c>
      <c r="G9900" s="2" t="str">
        <f>IF(Table1[[#This Row],[Is Data Valid]]=TRUE,((Table1[[#This Row],[Birthweight (grams)]]/Table1[[#This Row],[BW_GA]])-1)/(Backend!$B$4/100*Table1[[#This Row],[BW40_3705]]),"")</f>
        <v/>
      </c>
      <c r="H9900" s="7" t="str">
        <f>IF(Table1[[#This Row],[Is Data Valid]]=TRUE,((Table1[[#This Row],[Birthweight (grams)]]*0.9/Table1[[#This Row],[BW_GA]])-1)/(Backend!$B$4/100*Table1[[#This Row],[BW40_3705]]),"")</f>
        <v/>
      </c>
      <c r="I9900" s="7" t="str">
        <f>IF(Table1[[#This Row],[Is Data Valid]]=TRUE,((Table1[[#This Row],[Birthweight (grams)]]*1.1/Table1[[#This Row],[BW_GA]])-1)/(Backend!$B$4/100*Table1[[#This Row],[BW40_3705]]),"")</f>
        <v/>
      </c>
      <c r="J9900" s="7" t="str">
        <f>IF(Table1[[#This Row],[Is Data Valid]]=TRUE,_xlfn.NORM.S.DIST(Table1[[#This Row],[Birthweight Z-Score]],TRUE)*100,"")</f>
        <v/>
      </c>
      <c r="K9900" s="7" t="str">
        <f>IF(Table1[[#This Row],[Is Data Valid]]=TRUE,_xlfn.NORM.S.DIST(Table1[[#This Row],[Birthweight Z-Score (BW-10%)]],TRUE)*100,"")</f>
        <v/>
      </c>
      <c r="L9900" s="7" t="str">
        <f>IF(Table1[[#This Row],[Is Data Valid]]=TRUE,_xlfn.NORM.S.DIST(Table1[[#This Row],[Birthweight Z-Score (BW+10%)]],TRUE)*100,"")</f>
        <v/>
      </c>
    </row>
    <row r="9901" spans="1:12" x14ac:dyDescent="0.35">
      <c r="A9901" s="3"/>
      <c r="B9901" s="2"/>
      <c r="C9901" s="2"/>
      <c r="D9901" s="2" t="b">
        <f>IF(AND(NOT(ISBLANK(Table1[[#This Row],[Fetal Sex (Male, Female or Unknown)]])),ISNUMBER(Table1[[#This Row],[Birthweight (grams)]]),ISNUMBER(Table1[[#This Row],[Gestation (days)]])),TRUE,FALSE)</f>
        <v>0</v>
      </c>
      <c r="E9901" s="2" t="str">
        <f>IF(Table1[[#This Row],[Is Data Valid]]=TRUE,IF(Table1[[#This Row],[Fetal Sex (Male, Female or Unknown)]]="Male",Backend!$C$6,IF(Table1[[#This Row],[Fetal Sex (Male, Female or Unknown)]]="Female",Backend!$C$7,IF(Table1[[#This Row],[Fetal Sex (Male, Female or Unknown)]]="Unknown",Backend!$C$8,"Error"))),"")</f>
        <v/>
      </c>
      <c r="F9901" s="8" t="str">
        <f>IF(Table1[[#This Row],[Is Data Valid]]=TRUE,EXP(0.578+0.332*((Table1[[#This Row],[Gestation (days)]]+0.5)/7)-0.00354*((Table1[[#This Row],[Gestation (days)]]+0.5)/7)^2)*Table1[[#This Row],[BW40_3705]],"")</f>
        <v/>
      </c>
      <c r="G9901" s="2" t="str">
        <f>IF(Table1[[#This Row],[Is Data Valid]]=TRUE,((Table1[[#This Row],[Birthweight (grams)]]/Table1[[#This Row],[BW_GA]])-1)/(Backend!$B$4/100*Table1[[#This Row],[BW40_3705]]),"")</f>
        <v/>
      </c>
      <c r="H9901" s="7" t="str">
        <f>IF(Table1[[#This Row],[Is Data Valid]]=TRUE,((Table1[[#This Row],[Birthweight (grams)]]*0.9/Table1[[#This Row],[BW_GA]])-1)/(Backend!$B$4/100*Table1[[#This Row],[BW40_3705]]),"")</f>
        <v/>
      </c>
      <c r="I9901" s="7" t="str">
        <f>IF(Table1[[#This Row],[Is Data Valid]]=TRUE,((Table1[[#This Row],[Birthweight (grams)]]*1.1/Table1[[#This Row],[BW_GA]])-1)/(Backend!$B$4/100*Table1[[#This Row],[BW40_3705]]),"")</f>
        <v/>
      </c>
      <c r="J9901" s="7" t="str">
        <f>IF(Table1[[#This Row],[Is Data Valid]]=TRUE,_xlfn.NORM.S.DIST(Table1[[#This Row],[Birthweight Z-Score]],TRUE)*100,"")</f>
        <v/>
      </c>
      <c r="K9901" s="7" t="str">
        <f>IF(Table1[[#This Row],[Is Data Valid]]=TRUE,_xlfn.NORM.S.DIST(Table1[[#This Row],[Birthweight Z-Score (BW-10%)]],TRUE)*100,"")</f>
        <v/>
      </c>
      <c r="L9901" s="7" t="str">
        <f>IF(Table1[[#This Row],[Is Data Valid]]=TRUE,_xlfn.NORM.S.DIST(Table1[[#This Row],[Birthweight Z-Score (BW+10%)]],TRUE)*100,"")</f>
        <v/>
      </c>
    </row>
    <row r="9902" spans="1:12" x14ac:dyDescent="0.35">
      <c r="A9902" s="3"/>
      <c r="B9902" s="2"/>
      <c r="C9902" s="2"/>
      <c r="D9902" s="2" t="b">
        <f>IF(AND(NOT(ISBLANK(Table1[[#This Row],[Fetal Sex (Male, Female or Unknown)]])),ISNUMBER(Table1[[#This Row],[Birthweight (grams)]]),ISNUMBER(Table1[[#This Row],[Gestation (days)]])),TRUE,FALSE)</f>
        <v>0</v>
      </c>
      <c r="E9902" s="2" t="str">
        <f>IF(Table1[[#This Row],[Is Data Valid]]=TRUE,IF(Table1[[#This Row],[Fetal Sex (Male, Female or Unknown)]]="Male",Backend!$C$6,IF(Table1[[#This Row],[Fetal Sex (Male, Female or Unknown)]]="Female",Backend!$C$7,IF(Table1[[#This Row],[Fetal Sex (Male, Female or Unknown)]]="Unknown",Backend!$C$8,"Error"))),"")</f>
        <v/>
      </c>
      <c r="F9902" s="8" t="str">
        <f>IF(Table1[[#This Row],[Is Data Valid]]=TRUE,EXP(0.578+0.332*((Table1[[#This Row],[Gestation (days)]]+0.5)/7)-0.00354*((Table1[[#This Row],[Gestation (days)]]+0.5)/7)^2)*Table1[[#This Row],[BW40_3705]],"")</f>
        <v/>
      </c>
      <c r="G9902" s="2" t="str">
        <f>IF(Table1[[#This Row],[Is Data Valid]]=TRUE,((Table1[[#This Row],[Birthweight (grams)]]/Table1[[#This Row],[BW_GA]])-1)/(Backend!$B$4/100*Table1[[#This Row],[BW40_3705]]),"")</f>
        <v/>
      </c>
      <c r="H9902" s="7" t="str">
        <f>IF(Table1[[#This Row],[Is Data Valid]]=TRUE,((Table1[[#This Row],[Birthweight (grams)]]*0.9/Table1[[#This Row],[BW_GA]])-1)/(Backend!$B$4/100*Table1[[#This Row],[BW40_3705]]),"")</f>
        <v/>
      </c>
      <c r="I9902" s="7" t="str">
        <f>IF(Table1[[#This Row],[Is Data Valid]]=TRUE,((Table1[[#This Row],[Birthweight (grams)]]*1.1/Table1[[#This Row],[BW_GA]])-1)/(Backend!$B$4/100*Table1[[#This Row],[BW40_3705]]),"")</f>
        <v/>
      </c>
      <c r="J9902" s="7" t="str">
        <f>IF(Table1[[#This Row],[Is Data Valid]]=TRUE,_xlfn.NORM.S.DIST(Table1[[#This Row],[Birthweight Z-Score]],TRUE)*100,"")</f>
        <v/>
      </c>
      <c r="K9902" s="7" t="str">
        <f>IF(Table1[[#This Row],[Is Data Valid]]=TRUE,_xlfn.NORM.S.DIST(Table1[[#This Row],[Birthweight Z-Score (BW-10%)]],TRUE)*100,"")</f>
        <v/>
      </c>
      <c r="L9902" s="7" t="str">
        <f>IF(Table1[[#This Row],[Is Data Valid]]=TRUE,_xlfn.NORM.S.DIST(Table1[[#This Row],[Birthweight Z-Score (BW+10%)]],TRUE)*100,"")</f>
        <v/>
      </c>
    </row>
    <row r="9903" spans="1:12" x14ac:dyDescent="0.35">
      <c r="A9903" s="3"/>
      <c r="B9903" s="2"/>
      <c r="C9903" s="2"/>
      <c r="D9903" s="2" t="b">
        <f>IF(AND(NOT(ISBLANK(Table1[[#This Row],[Fetal Sex (Male, Female or Unknown)]])),ISNUMBER(Table1[[#This Row],[Birthweight (grams)]]),ISNUMBER(Table1[[#This Row],[Gestation (days)]])),TRUE,FALSE)</f>
        <v>0</v>
      </c>
      <c r="E9903" s="2" t="str">
        <f>IF(Table1[[#This Row],[Is Data Valid]]=TRUE,IF(Table1[[#This Row],[Fetal Sex (Male, Female or Unknown)]]="Male",Backend!$C$6,IF(Table1[[#This Row],[Fetal Sex (Male, Female or Unknown)]]="Female",Backend!$C$7,IF(Table1[[#This Row],[Fetal Sex (Male, Female or Unknown)]]="Unknown",Backend!$C$8,"Error"))),"")</f>
        <v/>
      </c>
      <c r="F9903" s="8" t="str">
        <f>IF(Table1[[#This Row],[Is Data Valid]]=TRUE,EXP(0.578+0.332*((Table1[[#This Row],[Gestation (days)]]+0.5)/7)-0.00354*((Table1[[#This Row],[Gestation (days)]]+0.5)/7)^2)*Table1[[#This Row],[BW40_3705]],"")</f>
        <v/>
      </c>
      <c r="G9903" s="2" t="str">
        <f>IF(Table1[[#This Row],[Is Data Valid]]=TRUE,((Table1[[#This Row],[Birthweight (grams)]]/Table1[[#This Row],[BW_GA]])-1)/(Backend!$B$4/100*Table1[[#This Row],[BW40_3705]]),"")</f>
        <v/>
      </c>
      <c r="H9903" s="7" t="str">
        <f>IF(Table1[[#This Row],[Is Data Valid]]=TRUE,((Table1[[#This Row],[Birthweight (grams)]]*0.9/Table1[[#This Row],[BW_GA]])-1)/(Backend!$B$4/100*Table1[[#This Row],[BW40_3705]]),"")</f>
        <v/>
      </c>
      <c r="I9903" s="7" t="str">
        <f>IF(Table1[[#This Row],[Is Data Valid]]=TRUE,((Table1[[#This Row],[Birthweight (grams)]]*1.1/Table1[[#This Row],[BW_GA]])-1)/(Backend!$B$4/100*Table1[[#This Row],[BW40_3705]]),"")</f>
        <v/>
      </c>
      <c r="J9903" s="7" t="str">
        <f>IF(Table1[[#This Row],[Is Data Valid]]=TRUE,_xlfn.NORM.S.DIST(Table1[[#This Row],[Birthweight Z-Score]],TRUE)*100,"")</f>
        <v/>
      </c>
      <c r="K9903" s="7" t="str">
        <f>IF(Table1[[#This Row],[Is Data Valid]]=TRUE,_xlfn.NORM.S.DIST(Table1[[#This Row],[Birthweight Z-Score (BW-10%)]],TRUE)*100,"")</f>
        <v/>
      </c>
      <c r="L9903" s="7" t="str">
        <f>IF(Table1[[#This Row],[Is Data Valid]]=TRUE,_xlfn.NORM.S.DIST(Table1[[#This Row],[Birthweight Z-Score (BW+10%)]],TRUE)*100,"")</f>
        <v/>
      </c>
    </row>
    <row r="9904" spans="1:12" x14ac:dyDescent="0.35">
      <c r="A9904" s="3"/>
      <c r="B9904" s="2"/>
      <c r="C9904" s="2"/>
      <c r="D9904" s="2" t="b">
        <f>IF(AND(NOT(ISBLANK(Table1[[#This Row],[Fetal Sex (Male, Female or Unknown)]])),ISNUMBER(Table1[[#This Row],[Birthweight (grams)]]),ISNUMBER(Table1[[#This Row],[Gestation (days)]])),TRUE,FALSE)</f>
        <v>0</v>
      </c>
      <c r="E9904" s="2" t="str">
        <f>IF(Table1[[#This Row],[Is Data Valid]]=TRUE,IF(Table1[[#This Row],[Fetal Sex (Male, Female or Unknown)]]="Male",Backend!$C$6,IF(Table1[[#This Row],[Fetal Sex (Male, Female or Unknown)]]="Female",Backend!$C$7,IF(Table1[[#This Row],[Fetal Sex (Male, Female or Unknown)]]="Unknown",Backend!$C$8,"Error"))),"")</f>
        <v/>
      </c>
      <c r="F9904" s="8" t="str">
        <f>IF(Table1[[#This Row],[Is Data Valid]]=TRUE,EXP(0.578+0.332*((Table1[[#This Row],[Gestation (days)]]+0.5)/7)-0.00354*((Table1[[#This Row],[Gestation (days)]]+0.5)/7)^2)*Table1[[#This Row],[BW40_3705]],"")</f>
        <v/>
      </c>
      <c r="G9904" s="2" t="str">
        <f>IF(Table1[[#This Row],[Is Data Valid]]=TRUE,((Table1[[#This Row],[Birthweight (grams)]]/Table1[[#This Row],[BW_GA]])-1)/(Backend!$B$4/100*Table1[[#This Row],[BW40_3705]]),"")</f>
        <v/>
      </c>
      <c r="H9904" s="7" t="str">
        <f>IF(Table1[[#This Row],[Is Data Valid]]=TRUE,((Table1[[#This Row],[Birthweight (grams)]]*0.9/Table1[[#This Row],[BW_GA]])-1)/(Backend!$B$4/100*Table1[[#This Row],[BW40_3705]]),"")</f>
        <v/>
      </c>
      <c r="I9904" s="7" t="str">
        <f>IF(Table1[[#This Row],[Is Data Valid]]=TRUE,((Table1[[#This Row],[Birthweight (grams)]]*1.1/Table1[[#This Row],[BW_GA]])-1)/(Backend!$B$4/100*Table1[[#This Row],[BW40_3705]]),"")</f>
        <v/>
      </c>
      <c r="J9904" s="7" t="str">
        <f>IF(Table1[[#This Row],[Is Data Valid]]=TRUE,_xlfn.NORM.S.DIST(Table1[[#This Row],[Birthweight Z-Score]],TRUE)*100,"")</f>
        <v/>
      </c>
      <c r="K9904" s="7" t="str">
        <f>IF(Table1[[#This Row],[Is Data Valid]]=TRUE,_xlfn.NORM.S.DIST(Table1[[#This Row],[Birthweight Z-Score (BW-10%)]],TRUE)*100,"")</f>
        <v/>
      </c>
      <c r="L9904" s="7" t="str">
        <f>IF(Table1[[#This Row],[Is Data Valid]]=TRUE,_xlfn.NORM.S.DIST(Table1[[#This Row],[Birthweight Z-Score (BW+10%)]],TRUE)*100,"")</f>
        <v/>
      </c>
    </row>
    <row r="9905" spans="1:12" x14ac:dyDescent="0.35">
      <c r="A9905" s="3"/>
      <c r="B9905" s="2"/>
      <c r="C9905" s="2"/>
      <c r="D9905" s="2" t="b">
        <f>IF(AND(NOT(ISBLANK(Table1[[#This Row],[Fetal Sex (Male, Female or Unknown)]])),ISNUMBER(Table1[[#This Row],[Birthweight (grams)]]),ISNUMBER(Table1[[#This Row],[Gestation (days)]])),TRUE,FALSE)</f>
        <v>0</v>
      </c>
      <c r="E9905" s="2" t="str">
        <f>IF(Table1[[#This Row],[Is Data Valid]]=TRUE,IF(Table1[[#This Row],[Fetal Sex (Male, Female or Unknown)]]="Male",Backend!$C$6,IF(Table1[[#This Row],[Fetal Sex (Male, Female or Unknown)]]="Female",Backend!$C$7,IF(Table1[[#This Row],[Fetal Sex (Male, Female or Unknown)]]="Unknown",Backend!$C$8,"Error"))),"")</f>
        <v/>
      </c>
      <c r="F9905" s="8" t="str">
        <f>IF(Table1[[#This Row],[Is Data Valid]]=TRUE,EXP(0.578+0.332*((Table1[[#This Row],[Gestation (days)]]+0.5)/7)-0.00354*((Table1[[#This Row],[Gestation (days)]]+0.5)/7)^2)*Table1[[#This Row],[BW40_3705]],"")</f>
        <v/>
      </c>
      <c r="G9905" s="2" t="str">
        <f>IF(Table1[[#This Row],[Is Data Valid]]=TRUE,((Table1[[#This Row],[Birthweight (grams)]]/Table1[[#This Row],[BW_GA]])-1)/(Backend!$B$4/100*Table1[[#This Row],[BW40_3705]]),"")</f>
        <v/>
      </c>
      <c r="H9905" s="7" t="str">
        <f>IF(Table1[[#This Row],[Is Data Valid]]=TRUE,((Table1[[#This Row],[Birthweight (grams)]]*0.9/Table1[[#This Row],[BW_GA]])-1)/(Backend!$B$4/100*Table1[[#This Row],[BW40_3705]]),"")</f>
        <v/>
      </c>
      <c r="I9905" s="7" t="str">
        <f>IF(Table1[[#This Row],[Is Data Valid]]=TRUE,((Table1[[#This Row],[Birthweight (grams)]]*1.1/Table1[[#This Row],[BW_GA]])-1)/(Backend!$B$4/100*Table1[[#This Row],[BW40_3705]]),"")</f>
        <v/>
      </c>
      <c r="J9905" s="7" t="str">
        <f>IF(Table1[[#This Row],[Is Data Valid]]=TRUE,_xlfn.NORM.S.DIST(Table1[[#This Row],[Birthweight Z-Score]],TRUE)*100,"")</f>
        <v/>
      </c>
      <c r="K9905" s="7" t="str">
        <f>IF(Table1[[#This Row],[Is Data Valid]]=TRUE,_xlfn.NORM.S.DIST(Table1[[#This Row],[Birthweight Z-Score (BW-10%)]],TRUE)*100,"")</f>
        <v/>
      </c>
      <c r="L9905" s="7" t="str">
        <f>IF(Table1[[#This Row],[Is Data Valid]]=TRUE,_xlfn.NORM.S.DIST(Table1[[#This Row],[Birthweight Z-Score (BW+10%)]],TRUE)*100,"")</f>
        <v/>
      </c>
    </row>
    <row r="9906" spans="1:12" x14ac:dyDescent="0.35">
      <c r="A9906" s="3"/>
      <c r="B9906" s="2"/>
      <c r="C9906" s="2"/>
      <c r="D9906" s="2" t="b">
        <f>IF(AND(NOT(ISBLANK(Table1[[#This Row],[Fetal Sex (Male, Female or Unknown)]])),ISNUMBER(Table1[[#This Row],[Birthweight (grams)]]),ISNUMBER(Table1[[#This Row],[Gestation (days)]])),TRUE,FALSE)</f>
        <v>0</v>
      </c>
      <c r="E9906" s="2" t="str">
        <f>IF(Table1[[#This Row],[Is Data Valid]]=TRUE,IF(Table1[[#This Row],[Fetal Sex (Male, Female or Unknown)]]="Male",Backend!$C$6,IF(Table1[[#This Row],[Fetal Sex (Male, Female or Unknown)]]="Female",Backend!$C$7,IF(Table1[[#This Row],[Fetal Sex (Male, Female or Unknown)]]="Unknown",Backend!$C$8,"Error"))),"")</f>
        <v/>
      </c>
      <c r="F9906" s="8" t="str">
        <f>IF(Table1[[#This Row],[Is Data Valid]]=TRUE,EXP(0.578+0.332*((Table1[[#This Row],[Gestation (days)]]+0.5)/7)-0.00354*((Table1[[#This Row],[Gestation (days)]]+0.5)/7)^2)*Table1[[#This Row],[BW40_3705]],"")</f>
        <v/>
      </c>
      <c r="G9906" s="2" t="str">
        <f>IF(Table1[[#This Row],[Is Data Valid]]=TRUE,((Table1[[#This Row],[Birthweight (grams)]]/Table1[[#This Row],[BW_GA]])-1)/(Backend!$B$4/100*Table1[[#This Row],[BW40_3705]]),"")</f>
        <v/>
      </c>
      <c r="H9906" s="7" t="str">
        <f>IF(Table1[[#This Row],[Is Data Valid]]=TRUE,((Table1[[#This Row],[Birthweight (grams)]]*0.9/Table1[[#This Row],[BW_GA]])-1)/(Backend!$B$4/100*Table1[[#This Row],[BW40_3705]]),"")</f>
        <v/>
      </c>
      <c r="I9906" s="7" t="str">
        <f>IF(Table1[[#This Row],[Is Data Valid]]=TRUE,((Table1[[#This Row],[Birthweight (grams)]]*1.1/Table1[[#This Row],[BW_GA]])-1)/(Backend!$B$4/100*Table1[[#This Row],[BW40_3705]]),"")</f>
        <v/>
      </c>
      <c r="J9906" s="7" t="str">
        <f>IF(Table1[[#This Row],[Is Data Valid]]=TRUE,_xlfn.NORM.S.DIST(Table1[[#This Row],[Birthweight Z-Score]],TRUE)*100,"")</f>
        <v/>
      </c>
      <c r="K9906" s="7" t="str">
        <f>IF(Table1[[#This Row],[Is Data Valid]]=TRUE,_xlfn.NORM.S.DIST(Table1[[#This Row],[Birthweight Z-Score (BW-10%)]],TRUE)*100,"")</f>
        <v/>
      </c>
      <c r="L9906" s="7" t="str">
        <f>IF(Table1[[#This Row],[Is Data Valid]]=TRUE,_xlfn.NORM.S.DIST(Table1[[#This Row],[Birthweight Z-Score (BW+10%)]],TRUE)*100,"")</f>
        <v/>
      </c>
    </row>
    <row r="9907" spans="1:12" x14ac:dyDescent="0.35">
      <c r="A9907" s="3"/>
      <c r="B9907" s="2"/>
      <c r="C9907" s="2"/>
      <c r="D9907" s="2" t="b">
        <f>IF(AND(NOT(ISBLANK(Table1[[#This Row],[Fetal Sex (Male, Female or Unknown)]])),ISNUMBER(Table1[[#This Row],[Birthweight (grams)]]),ISNUMBER(Table1[[#This Row],[Gestation (days)]])),TRUE,FALSE)</f>
        <v>0</v>
      </c>
      <c r="E9907" s="2" t="str">
        <f>IF(Table1[[#This Row],[Is Data Valid]]=TRUE,IF(Table1[[#This Row],[Fetal Sex (Male, Female or Unknown)]]="Male",Backend!$C$6,IF(Table1[[#This Row],[Fetal Sex (Male, Female or Unknown)]]="Female",Backend!$C$7,IF(Table1[[#This Row],[Fetal Sex (Male, Female or Unknown)]]="Unknown",Backend!$C$8,"Error"))),"")</f>
        <v/>
      </c>
      <c r="F9907" s="8" t="str">
        <f>IF(Table1[[#This Row],[Is Data Valid]]=TRUE,EXP(0.578+0.332*((Table1[[#This Row],[Gestation (days)]]+0.5)/7)-0.00354*((Table1[[#This Row],[Gestation (days)]]+0.5)/7)^2)*Table1[[#This Row],[BW40_3705]],"")</f>
        <v/>
      </c>
      <c r="G9907" s="2" t="str">
        <f>IF(Table1[[#This Row],[Is Data Valid]]=TRUE,((Table1[[#This Row],[Birthweight (grams)]]/Table1[[#This Row],[BW_GA]])-1)/(Backend!$B$4/100*Table1[[#This Row],[BW40_3705]]),"")</f>
        <v/>
      </c>
      <c r="H9907" s="7" t="str">
        <f>IF(Table1[[#This Row],[Is Data Valid]]=TRUE,((Table1[[#This Row],[Birthweight (grams)]]*0.9/Table1[[#This Row],[BW_GA]])-1)/(Backend!$B$4/100*Table1[[#This Row],[BW40_3705]]),"")</f>
        <v/>
      </c>
      <c r="I9907" s="7" t="str">
        <f>IF(Table1[[#This Row],[Is Data Valid]]=TRUE,((Table1[[#This Row],[Birthweight (grams)]]*1.1/Table1[[#This Row],[BW_GA]])-1)/(Backend!$B$4/100*Table1[[#This Row],[BW40_3705]]),"")</f>
        <v/>
      </c>
      <c r="J9907" s="7" t="str">
        <f>IF(Table1[[#This Row],[Is Data Valid]]=TRUE,_xlfn.NORM.S.DIST(Table1[[#This Row],[Birthweight Z-Score]],TRUE)*100,"")</f>
        <v/>
      </c>
      <c r="K9907" s="7" t="str">
        <f>IF(Table1[[#This Row],[Is Data Valid]]=TRUE,_xlfn.NORM.S.DIST(Table1[[#This Row],[Birthweight Z-Score (BW-10%)]],TRUE)*100,"")</f>
        <v/>
      </c>
      <c r="L9907" s="7" t="str">
        <f>IF(Table1[[#This Row],[Is Data Valid]]=TRUE,_xlfn.NORM.S.DIST(Table1[[#This Row],[Birthweight Z-Score (BW+10%)]],TRUE)*100,"")</f>
        <v/>
      </c>
    </row>
    <row r="9908" spans="1:12" x14ac:dyDescent="0.35">
      <c r="A9908" s="3"/>
      <c r="B9908" s="2"/>
      <c r="C9908" s="2"/>
      <c r="D9908" s="2" t="b">
        <f>IF(AND(NOT(ISBLANK(Table1[[#This Row],[Fetal Sex (Male, Female or Unknown)]])),ISNUMBER(Table1[[#This Row],[Birthweight (grams)]]),ISNUMBER(Table1[[#This Row],[Gestation (days)]])),TRUE,FALSE)</f>
        <v>0</v>
      </c>
      <c r="E9908" s="2" t="str">
        <f>IF(Table1[[#This Row],[Is Data Valid]]=TRUE,IF(Table1[[#This Row],[Fetal Sex (Male, Female or Unknown)]]="Male",Backend!$C$6,IF(Table1[[#This Row],[Fetal Sex (Male, Female or Unknown)]]="Female",Backend!$C$7,IF(Table1[[#This Row],[Fetal Sex (Male, Female or Unknown)]]="Unknown",Backend!$C$8,"Error"))),"")</f>
        <v/>
      </c>
      <c r="F9908" s="8" t="str">
        <f>IF(Table1[[#This Row],[Is Data Valid]]=TRUE,EXP(0.578+0.332*((Table1[[#This Row],[Gestation (days)]]+0.5)/7)-0.00354*((Table1[[#This Row],[Gestation (days)]]+0.5)/7)^2)*Table1[[#This Row],[BW40_3705]],"")</f>
        <v/>
      </c>
      <c r="G9908" s="2" t="str">
        <f>IF(Table1[[#This Row],[Is Data Valid]]=TRUE,((Table1[[#This Row],[Birthweight (grams)]]/Table1[[#This Row],[BW_GA]])-1)/(Backend!$B$4/100*Table1[[#This Row],[BW40_3705]]),"")</f>
        <v/>
      </c>
      <c r="H9908" s="7" t="str">
        <f>IF(Table1[[#This Row],[Is Data Valid]]=TRUE,((Table1[[#This Row],[Birthweight (grams)]]*0.9/Table1[[#This Row],[BW_GA]])-1)/(Backend!$B$4/100*Table1[[#This Row],[BW40_3705]]),"")</f>
        <v/>
      </c>
      <c r="I9908" s="7" t="str">
        <f>IF(Table1[[#This Row],[Is Data Valid]]=TRUE,((Table1[[#This Row],[Birthweight (grams)]]*1.1/Table1[[#This Row],[BW_GA]])-1)/(Backend!$B$4/100*Table1[[#This Row],[BW40_3705]]),"")</f>
        <v/>
      </c>
      <c r="J9908" s="7" t="str">
        <f>IF(Table1[[#This Row],[Is Data Valid]]=TRUE,_xlfn.NORM.S.DIST(Table1[[#This Row],[Birthweight Z-Score]],TRUE)*100,"")</f>
        <v/>
      </c>
      <c r="K9908" s="7" t="str">
        <f>IF(Table1[[#This Row],[Is Data Valid]]=TRUE,_xlfn.NORM.S.DIST(Table1[[#This Row],[Birthweight Z-Score (BW-10%)]],TRUE)*100,"")</f>
        <v/>
      </c>
      <c r="L9908" s="7" t="str">
        <f>IF(Table1[[#This Row],[Is Data Valid]]=TRUE,_xlfn.NORM.S.DIST(Table1[[#This Row],[Birthweight Z-Score (BW+10%)]],TRUE)*100,"")</f>
        <v/>
      </c>
    </row>
    <row r="9909" spans="1:12" x14ac:dyDescent="0.35">
      <c r="A9909" s="3"/>
      <c r="B9909" s="2"/>
      <c r="C9909" s="2"/>
      <c r="D9909" s="2" t="b">
        <f>IF(AND(NOT(ISBLANK(Table1[[#This Row],[Fetal Sex (Male, Female or Unknown)]])),ISNUMBER(Table1[[#This Row],[Birthweight (grams)]]),ISNUMBER(Table1[[#This Row],[Gestation (days)]])),TRUE,FALSE)</f>
        <v>0</v>
      </c>
      <c r="E9909" s="2" t="str">
        <f>IF(Table1[[#This Row],[Is Data Valid]]=TRUE,IF(Table1[[#This Row],[Fetal Sex (Male, Female or Unknown)]]="Male",Backend!$C$6,IF(Table1[[#This Row],[Fetal Sex (Male, Female or Unknown)]]="Female",Backend!$C$7,IF(Table1[[#This Row],[Fetal Sex (Male, Female or Unknown)]]="Unknown",Backend!$C$8,"Error"))),"")</f>
        <v/>
      </c>
      <c r="F9909" s="8" t="str">
        <f>IF(Table1[[#This Row],[Is Data Valid]]=TRUE,EXP(0.578+0.332*((Table1[[#This Row],[Gestation (days)]]+0.5)/7)-0.00354*((Table1[[#This Row],[Gestation (days)]]+0.5)/7)^2)*Table1[[#This Row],[BW40_3705]],"")</f>
        <v/>
      </c>
      <c r="G9909" s="2" t="str">
        <f>IF(Table1[[#This Row],[Is Data Valid]]=TRUE,((Table1[[#This Row],[Birthweight (grams)]]/Table1[[#This Row],[BW_GA]])-1)/(Backend!$B$4/100*Table1[[#This Row],[BW40_3705]]),"")</f>
        <v/>
      </c>
      <c r="H9909" s="7" t="str">
        <f>IF(Table1[[#This Row],[Is Data Valid]]=TRUE,((Table1[[#This Row],[Birthweight (grams)]]*0.9/Table1[[#This Row],[BW_GA]])-1)/(Backend!$B$4/100*Table1[[#This Row],[BW40_3705]]),"")</f>
        <v/>
      </c>
      <c r="I9909" s="7" t="str">
        <f>IF(Table1[[#This Row],[Is Data Valid]]=TRUE,((Table1[[#This Row],[Birthweight (grams)]]*1.1/Table1[[#This Row],[BW_GA]])-1)/(Backend!$B$4/100*Table1[[#This Row],[BW40_3705]]),"")</f>
        <v/>
      </c>
      <c r="J9909" s="7" t="str">
        <f>IF(Table1[[#This Row],[Is Data Valid]]=TRUE,_xlfn.NORM.S.DIST(Table1[[#This Row],[Birthweight Z-Score]],TRUE)*100,"")</f>
        <v/>
      </c>
      <c r="K9909" s="7" t="str">
        <f>IF(Table1[[#This Row],[Is Data Valid]]=TRUE,_xlfn.NORM.S.DIST(Table1[[#This Row],[Birthweight Z-Score (BW-10%)]],TRUE)*100,"")</f>
        <v/>
      </c>
      <c r="L9909" s="7" t="str">
        <f>IF(Table1[[#This Row],[Is Data Valid]]=TRUE,_xlfn.NORM.S.DIST(Table1[[#This Row],[Birthweight Z-Score (BW+10%)]],TRUE)*100,"")</f>
        <v/>
      </c>
    </row>
    <row r="9910" spans="1:12" x14ac:dyDescent="0.35">
      <c r="A9910" s="3"/>
      <c r="B9910" s="2"/>
      <c r="C9910" s="2"/>
      <c r="D9910" s="2" t="b">
        <f>IF(AND(NOT(ISBLANK(Table1[[#This Row],[Fetal Sex (Male, Female or Unknown)]])),ISNUMBER(Table1[[#This Row],[Birthweight (grams)]]),ISNUMBER(Table1[[#This Row],[Gestation (days)]])),TRUE,FALSE)</f>
        <v>0</v>
      </c>
      <c r="E9910" s="2" t="str">
        <f>IF(Table1[[#This Row],[Is Data Valid]]=TRUE,IF(Table1[[#This Row],[Fetal Sex (Male, Female or Unknown)]]="Male",Backend!$C$6,IF(Table1[[#This Row],[Fetal Sex (Male, Female or Unknown)]]="Female",Backend!$C$7,IF(Table1[[#This Row],[Fetal Sex (Male, Female or Unknown)]]="Unknown",Backend!$C$8,"Error"))),"")</f>
        <v/>
      </c>
      <c r="F9910" s="8" t="str">
        <f>IF(Table1[[#This Row],[Is Data Valid]]=TRUE,EXP(0.578+0.332*((Table1[[#This Row],[Gestation (days)]]+0.5)/7)-0.00354*((Table1[[#This Row],[Gestation (days)]]+0.5)/7)^2)*Table1[[#This Row],[BW40_3705]],"")</f>
        <v/>
      </c>
      <c r="G9910" s="2" t="str">
        <f>IF(Table1[[#This Row],[Is Data Valid]]=TRUE,((Table1[[#This Row],[Birthweight (grams)]]/Table1[[#This Row],[BW_GA]])-1)/(Backend!$B$4/100*Table1[[#This Row],[BW40_3705]]),"")</f>
        <v/>
      </c>
      <c r="H9910" s="7" t="str">
        <f>IF(Table1[[#This Row],[Is Data Valid]]=TRUE,((Table1[[#This Row],[Birthweight (grams)]]*0.9/Table1[[#This Row],[BW_GA]])-1)/(Backend!$B$4/100*Table1[[#This Row],[BW40_3705]]),"")</f>
        <v/>
      </c>
      <c r="I9910" s="7" t="str">
        <f>IF(Table1[[#This Row],[Is Data Valid]]=TRUE,((Table1[[#This Row],[Birthweight (grams)]]*1.1/Table1[[#This Row],[BW_GA]])-1)/(Backend!$B$4/100*Table1[[#This Row],[BW40_3705]]),"")</f>
        <v/>
      </c>
      <c r="J9910" s="7" t="str">
        <f>IF(Table1[[#This Row],[Is Data Valid]]=TRUE,_xlfn.NORM.S.DIST(Table1[[#This Row],[Birthweight Z-Score]],TRUE)*100,"")</f>
        <v/>
      </c>
      <c r="K9910" s="7" t="str">
        <f>IF(Table1[[#This Row],[Is Data Valid]]=TRUE,_xlfn.NORM.S.DIST(Table1[[#This Row],[Birthweight Z-Score (BW-10%)]],TRUE)*100,"")</f>
        <v/>
      </c>
      <c r="L9910" s="7" t="str">
        <f>IF(Table1[[#This Row],[Is Data Valid]]=TRUE,_xlfn.NORM.S.DIST(Table1[[#This Row],[Birthweight Z-Score (BW+10%)]],TRUE)*100,"")</f>
        <v/>
      </c>
    </row>
    <row r="9911" spans="1:12" x14ac:dyDescent="0.35">
      <c r="A9911" s="3"/>
      <c r="B9911" s="2"/>
      <c r="C9911" s="2"/>
      <c r="D9911" s="2" t="b">
        <f>IF(AND(NOT(ISBLANK(Table1[[#This Row],[Fetal Sex (Male, Female or Unknown)]])),ISNUMBER(Table1[[#This Row],[Birthweight (grams)]]),ISNUMBER(Table1[[#This Row],[Gestation (days)]])),TRUE,FALSE)</f>
        <v>0</v>
      </c>
      <c r="E9911" s="2" t="str">
        <f>IF(Table1[[#This Row],[Is Data Valid]]=TRUE,IF(Table1[[#This Row],[Fetal Sex (Male, Female or Unknown)]]="Male",Backend!$C$6,IF(Table1[[#This Row],[Fetal Sex (Male, Female or Unknown)]]="Female",Backend!$C$7,IF(Table1[[#This Row],[Fetal Sex (Male, Female or Unknown)]]="Unknown",Backend!$C$8,"Error"))),"")</f>
        <v/>
      </c>
      <c r="F9911" s="8" t="str">
        <f>IF(Table1[[#This Row],[Is Data Valid]]=TRUE,EXP(0.578+0.332*((Table1[[#This Row],[Gestation (days)]]+0.5)/7)-0.00354*((Table1[[#This Row],[Gestation (days)]]+0.5)/7)^2)*Table1[[#This Row],[BW40_3705]],"")</f>
        <v/>
      </c>
      <c r="G9911" s="2" t="str">
        <f>IF(Table1[[#This Row],[Is Data Valid]]=TRUE,((Table1[[#This Row],[Birthweight (grams)]]/Table1[[#This Row],[BW_GA]])-1)/(Backend!$B$4/100*Table1[[#This Row],[BW40_3705]]),"")</f>
        <v/>
      </c>
      <c r="H9911" s="7" t="str">
        <f>IF(Table1[[#This Row],[Is Data Valid]]=TRUE,((Table1[[#This Row],[Birthweight (grams)]]*0.9/Table1[[#This Row],[BW_GA]])-1)/(Backend!$B$4/100*Table1[[#This Row],[BW40_3705]]),"")</f>
        <v/>
      </c>
      <c r="I9911" s="7" t="str">
        <f>IF(Table1[[#This Row],[Is Data Valid]]=TRUE,((Table1[[#This Row],[Birthweight (grams)]]*1.1/Table1[[#This Row],[BW_GA]])-1)/(Backend!$B$4/100*Table1[[#This Row],[BW40_3705]]),"")</f>
        <v/>
      </c>
      <c r="J9911" s="7" t="str">
        <f>IF(Table1[[#This Row],[Is Data Valid]]=TRUE,_xlfn.NORM.S.DIST(Table1[[#This Row],[Birthweight Z-Score]],TRUE)*100,"")</f>
        <v/>
      </c>
      <c r="K9911" s="7" t="str">
        <f>IF(Table1[[#This Row],[Is Data Valid]]=TRUE,_xlfn.NORM.S.DIST(Table1[[#This Row],[Birthweight Z-Score (BW-10%)]],TRUE)*100,"")</f>
        <v/>
      </c>
      <c r="L9911" s="7" t="str">
        <f>IF(Table1[[#This Row],[Is Data Valid]]=TRUE,_xlfn.NORM.S.DIST(Table1[[#This Row],[Birthweight Z-Score (BW+10%)]],TRUE)*100,"")</f>
        <v/>
      </c>
    </row>
    <row r="9912" spans="1:12" x14ac:dyDescent="0.35">
      <c r="A9912" s="3"/>
      <c r="B9912" s="2"/>
      <c r="C9912" s="2"/>
      <c r="D9912" s="2" t="b">
        <f>IF(AND(NOT(ISBLANK(Table1[[#This Row],[Fetal Sex (Male, Female or Unknown)]])),ISNUMBER(Table1[[#This Row],[Birthweight (grams)]]),ISNUMBER(Table1[[#This Row],[Gestation (days)]])),TRUE,FALSE)</f>
        <v>0</v>
      </c>
      <c r="E9912" s="2" t="str">
        <f>IF(Table1[[#This Row],[Is Data Valid]]=TRUE,IF(Table1[[#This Row],[Fetal Sex (Male, Female or Unknown)]]="Male",Backend!$C$6,IF(Table1[[#This Row],[Fetal Sex (Male, Female or Unknown)]]="Female",Backend!$C$7,IF(Table1[[#This Row],[Fetal Sex (Male, Female or Unknown)]]="Unknown",Backend!$C$8,"Error"))),"")</f>
        <v/>
      </c>
      <c r="F9912" s="8" t="str">
        <f>IF(Table1[[#This Row],[Is Data Valid]]=TRUE,EXP(0.578+0.332*((Table1[[#This Row],[Gestation (days)]]+0.5)/7)-0.00354*((Table1[[#This Row],[Gestation (days)]]+0.5)/7)^2)*Table1[[#This Row],[BW40_3705]],"")</f>
        <v/>
      </c>
      <c r="G9912" s="2" t="str">
        <f>IF(Table1[[#This Row],[Is Data Valid]]=TRUE,((Table1[[#This Row],[Birthweight (grams)]]/Table1[[#This Row],[BW_GA]])-1)/(Backend!$B$4/100*Table1[[#This Row],[BW40_3705]]),"")</f>
        <v/>
      </c>
      <c r="H9912" s="7" t="str">
        <f>IF(Table1[[#This Row],[Is Data Valid]]=TRUE,((Table1[[#This Row],[Birthweight (grams)]]*0.9/Table1[[#This Row],[BW_GA]])-1)/(Backend!$B$4/100*Table1[[#This Row],[BW40_3705]]),"")</f>
        <v/>
      </c>
      <c r="I9912" s="7" t="str">
        <f>IF(Table1[[#This Row],[Is Data Valid]]=TRUE,((Table1[[#This Row],[Birthweight (grams)]]*1.1/Table1[[#This Row],[BW_GA]])-1)/(Backend!$B$4/100*Table1[[#This Row],[BW40_3705]]),"")</f>
        <v/>
      </c>
      <c r="J9912" s="7" t="str">
        <f>IF(Table1[[#This Row],[Is Data Valid]]=TRUE,_xlfn.NORM.S.DIST(Table1[[#This Row],[Birthweight Z-Score]],TRUE)*100,"")</f>
        <v/>
      </c>
      <c r="K9912" s="7" t="str">
        <f>IF(Table1[[#This Row],[Is Data Valid]]=TRUE,_xlfn.NORM.S.DIST(Table1[[#This Row],[Birthweight Z-Score (BW-10%)]],TRUE)*100,"")</f>
        <v/>
      </c>
      <c r="L9912" s="7" t="str">
        <f>IF(Table1[[#This Row],[Is Data Valid]]=TRUE,_xlfn.NORM.S.DIST(Table1[[#This Row],[Birthweight Z-Score (BW+10%)]],TRUE)*100,"")</f>
        <v/>
      </c>
    </row>
    <row r="9913" spans="1:12" x14ac:dyDescent="0.35">
      <c r="A9913" s="3"/>
      <c r="B9913" s="2"/>
      <c r="C9913" s="2"/>
      <c r="D9913" s="2" t="b">
        <f>IF(AND(NOT(ISBLANK(Table1[[#This Row],[Fetal Sex (Male, Female or Unknown)]])),ISNUMBER(Table1[[#This Row],[Birthweight (grams)]]),ISNUMBER(Table1[[#This Row],[Gestation (days)]])),TRUE,FALSE)</f>
        <v>0</v>
      </c>
      <c r="E9913" s="2" t="str">
        <f>IF(Table1[[#This Row],[Is Data Valid]]=TRUE,IF(Table1[[#This Row],[Fetal Sex (Male, Female or Unknown)]]="Male",Backend!$C$6,IF(Table1[[#This Row],[Fetal Sex (Male, Female or Unknown)]]="Female",Backend!$C$7,IF(Table1[[#This Row],[Fetal Sex (Male, Female or Unknown)]]="Unknown",Backend!$C$8,"Error"))),"")</f>
        <v/>
      </c>
      <c r="F9913" s="8" t="str">
        <f>IF(Table1[[#This Row],[Is Data Valid]]=TRUE,EXP(0.578+0.332*((Table1[[#This Row],[Gestation (days)]]+0.5)/7)-0.00354*((Table1[[#This Row],[Gestation (days)]]+0.5)/7)^2)*Table1[[#This Row],[BW40_3705]],"")</f>
        <v/>
      </c>
      <c r="G9913" s="2" t="str">
        <f>IF(Table1[[#This Row],[Is Data Valid]]=TRUE,((Table1[[#This Row],[Birthweight (grams)]]/Table1[[#This Row],[BW_GA]])-1)/(Backend!$B$4/100*Table1[[#This Row],[BW40_3705]]),"")</f>
        <v/>
      </c>
      <c r="H9913" s="7" t="str">
        <f>IF(Table1[[#This Row],[Is Data Valid]]=TRUE,((Table1[[#This Row],[Birthweight (grams)]]*0.9/Table1[[#This Row],[BW_GA]])-1)/(Backend!$B$4/100*Table1[[#This Row],[BW40_3705]]),"")</f>
        <v/>
      </c>
      <c r="I9913" s="7" t="str">
        <f>IF(Table1[[#This Row],[Is Data Valid]]=TRUE,((Table1[[#This Row],[Birthweight (grams)]]*1.1/Table1[[#This Row],[BW_GA]])-1)/(Backend!$B$4/100*Table1[[#This Row],[BW40_3705]]),"")</f>
        <v/>
      </c>
      <c r="J9913" s="7" t="str">
        <f>IF(Table1[[#This Row],[Is Data Valid]]=TRUE,_xlfn.NORM.S.DIST(Table1[[#This Row],[Birthweight Z-Score]],TRUE)*100,"")</f>
        <v/>
      </c>
      <c r="K9913" s="7" t="str">
        <f>IF(Table1[[#This Row],[Is Data Valid]]=TRUE,_xlfn.NORM.S.DIST(Table1[[#This Row],[Birthweight Z-Score (BW-10%)]],TRUE)*100,"")</f>
        <v/>
      </c>
      <c r="L9913" s="7" t="str">
        <f>IF(Table1[[#This Row],[Is Data Valid]]=TRUE,_xlfn.NORM.S.DIST(Table1[[#This Row],[Birthweight Z-Score (BW+10%)]],TRUE)*100,"")</f>
        <v/>
      </c>
    </row>
    <row r="9914" spans="1:12" x14ac:dyDescent="0.35">
      <c r="A9914" s="3"/>
      <c r="B9914" s="2"/>
      <c r="C9914" s="2"/>
      <c r="D9914" s="2" t="b">
        <f>IF(AND(NOT(ISBLANK(Table1[[#This Row],[Fetal Sex (Male, Female or Unknown)]])),ISNUMBER(Table1[[#This Row],[Birthweight (grams)]]),ISNUMBER(Table1[[#This Row],[Gestation (days)]])),TRUE,FALSE)</f>
        <v>0</v>
      </c>
      <c r="E9914" s="2" t="str">
        <f>IF(Table1[[#This Row],[Is Data Valid]]=TRUE,IF(Table1[[#This Row],[Fetal Sex (Male, Female or Unknown)]]="Male",Backend!$C$6,IF(Table1[[#This Row],[Fetal Sex (Male, Female or Unknown)]]="Female",Backend!$C$7,IF(Table1[[#This Row],[Fetal Sex (Male, Female or Unknown)]]="Unknown",Backend!$C$8,"Error"))),"")</f>
        <v/>
      </c>
      <c r="F9914" s="8" t="str">
        <f>IF(Table1[[#This Row],[Is Data Valid]]=TRUE,EXP(0.578+0.332*((Table1[[#This Row],[Gestation (days)]]+0.5)/7)-0.00354*((Table1[[#This Row],[Gestation (days)]]+0.5)/7)^2)*Table1[[#This Row],[BW40_3705]],"")</f>
        <v/>
      </c>
      <c r="G9914" s="2" t="str">
        <f>IF(Table1[[#This Row],[Is Data Valid]]=TRUE,((Table1[[#This Row],[Birthweight (grams)]]/Table1[[#This Row],[BW_GA]])-1)/(Backend!$B$4/100*Table1[[#This Row],[BW40_3705]]),"")</f>
        <v/>
      </c>
      <c r="H9914" s="7" t="str">
        <f>IF(Table1[[#This Row],[Is Data Valid]]=TRUE,((Table1[[#This Row],[Birthweight (grams)]]*0.9/Table1[[#This Row],[BW_GA]])-1)/(Backend!$B$4/100*Table1[[#This Row],[BW40_3705]]),"")</f>
        <v/>
      </c>
      <c r="I9914" s="7" t="str">
        <f>IF(Table1[[#This Row],[Is Data Valid]]=TRUE,((Table1[[#This Row],[Birthweight (grams)]]*1.1/Table1[[#This Row],[BW_GA]])-1)/(Backend!$B$4/100*Table1[[#This Row],[BW40_3705]]),"")</f>
        <v/>
      </c>
      <c r="J9914" s="7" t="str">
        <f>IF(Table1[[#This Row],[Is Data Valid]]=TRUE,_xlfn.NORM.S.DIST(Table1[[#This Row],[Birthweight Z-Score]],TRUE)*100,"")</f>
        <v/>
      </c>
      <c r="K9914" s="7" t="str">
        <f>IF(Table1[[#This Row],[Is Data Valid]]=TRUE,_xlfn.NORM.S.DIST(Table1[[#This Row],[Birthweight Z-Score (BW-10%)]],TRUE)*100,"")</f>
        <v/>
      </c>
      <c r="L9914" s="7" t="str">
        <f>IF(Table1[[#This Row],[Is Data Valid]]=TRUE,_xlfn.NORM.S.DIST(Table1[[#This Row],[Birthweight Z-Score (BW+10%)]],TRUE)*100,"")</f>
        <v/>
      </c>
    </row>
    <row r="9915" spans="1:12" x14ac:dyDescent="0.35">
      <c r="A9915" s="3"/>
      <c r="B9915" s="2"/>
      <c r="C9915" s="2"/>
      <c r="D9915" s="2" t="b">
        <f>IF(AND(NOT(ISBLANK(Table1[[#This Row],[Fetal Sex (Male, Female or Unknown)]])),ISNUMBER(Table1[[#This Row],[Birthweight (grams)]]),ISNUMBER(Table1[[#This Row],[Gestation (days)]])),TRUE,FALSE)</f>
        <v>0</v>
      </c>
      <c r="E9915" s="2" t="str">
        <f>IF(Table1[[#This Row],[Is Data Valid]]=TRUE,IF(Table1[[#This Row],[Fetal Sex (Male, Female or Unknown)]]="Male",Backend!$C$6,IF(Table1[[#This Row],[Fetal Sex (Male, Female or Unknown)]]="Female",Backend!$C$7,IF(Table1[[#This Row],[Fetal Sex (Male, Female or Unknown)]]="Unknown",Backend!$C$8,"Error"))),"")</f>
        <v/>
      </c>
      <c r="F9915" s="8" t="str">
        <f>IF(Table1[[#This Row],[Is Data Valid]]=TRUE,EXP(0.578+0.332*((Table1[[#This Row],[Gestation (days)]]+0.5)/7)-0.00354*((Table1[[#This Row],[Gestation (days)]]+0.5)/7)^2)*Table1[[#This Row],[BW40_3705]],"")</f>
        <v/>
      </c>
      <c r="G9915" s="2" t="str">
        <f>IF(Table1[[#This Row],[Is Data Valid]]=TRUE,((Table1[[#This Row],[Birthweight (grams)]]/Table1[[#This Row],[BW_GA]])-1)/(Backend!$B$4/100*Table1[[#This Row],[BW40_3705]]),"")</f>
        <v/>
      </c>
      <c r="H9915" s="7" t="str">
        <f>IF(Table1[[#This Row],[Is Data Valid]]=TRUE,((Table1[[#This Row],[Birthweight (grams)]]*0.9/Table1[[#This Row],[BW_GA]])-1)/(Backend!$B$4/100*Table1[[#This Row],[BW40_3705]]),"")</f>
        <v/>
      </c>
      <c r="I9915" s="7" t="str">
        <f>IF(Table1[[#This Row],[Is Data Valid]]=TRUE,((Table1[[#This Row],[Birthweight (grams)]]*1.1/Table1[[#This Row],[BW_GA]])-1)/(Backend!$B$4/100*Table1[[#This Row],[BW40_3705]]),"")</f>
        <v/>
      </c>
      <c r="J9915" s="7" t="str">
        <f>IF(Table1[[#This Row],[Is Data Valid]]=TRUE,_xlfn.NORM.S.DIST(Table1[[#This Row],[Birthweight Z-Score]],TRUE)*100,"")</f>
        <v/>
      </c>
      <c r="K9915" s="7" t="str">
        <f>IF(Table1[[#This Row],[Is Data Valid]]=TRUE,_xlfn.NORM.S.DIST(Table1[[#This Row],[Birthweight Z-Score (BW-10%)]],TRUE)*100,"")</f>
        <v/>
      </c>
      <c r="L9915" s="7" t="str">
        <f>IF(Table1[[#This Row],[Is Data Valid]]=TRUE,_xlfn.NORM.S.DIST(Table1[[#This Row],[Birthweight Z-Score (BW+10%)]],TRUE)*100,"")</f>
        <v/>
      </c>
    </row>
    <row r="9916" spans="1:12" x14ac:dyDescent="0.35">
      <c r="A9916" s="3"/>
      <c r="B9916" s="2"/>
      <c r="C9916" s="2"/>
      <c r="D9916" s="2" t="b">
        <f>IF(AND(NOT(ISBLANK(Table1[[#This Row],[Fetal Sex (Male, Female or Unknown)]])),ISNUMBER(Table1[[#This Row],[Birthweight (grams)]]),ISNUMBER(Table1[[#This Row],[Gestation (days)]])),TRUE,FALSE)</f>
        <v>0</v>
      </c>
      <c r="E9916" s="2" t="str">
        <f>IF(Table1[[#This Row],[Is Data Valid]]=TRUE,IF(Table1[[#This Row],[Fetal Sex (Male, Female or Unknown)]]="Male",Backend!$C$6,IF(Table1[[#This Row],[Fetal Sex (Male, Female or Unknown)]]="Female",Backend!$C$7,IF(Table1[[#This Row],[Fetal Sex (Male, Female or Unknown)]]="Unknown",Backend!$C$8,"Error"))),"")</f>
        <v/>
      </c>
      <c r="F9916" s="8" t="str">
        <f>IF(Table1[[#This Row],[Is Data Valid]]=TRUE,EXP(0.578+0.332*((Table1[[#This Row],[Gestation (days)]]+0.5)/7)-0.00354*((Table1[[#This Row],[Gestation (days)]]+0.5)/7)^2)*Table1[[#This Row],[BW40_3705]],"")</f>
        <v/>
      </c>
      <c r="G9916" s="2" t="str">
        <f>IF(Table1[[#This Row],[Is Data Valid]]=TRUE,((Table1[[#This Row],[Birthweight (grams)]]/Table1[[#This Row],[BW_GA]])-1)/(Backend!$B$4/100*Table1[[#This Row],[BW40_3705]]),"")</f>
        <v/>
      </c>
      <c r="H9916" s="7" t="str">
        <f>IF(Table1[[#This Row],[Is Data Valid]]=TRUE,((Table1[[#This Row],[Birthweight (grams)]]*0.9/Table1[[#This Row],[BW_GA]])-1)/(Backend!$B$4/100*Table1[[#This Row],[BW40_3705]]),"")</f>
        <v/>
      </c>
      <c r="I9916" s="7" t="str">
        <f>IF(Table1[[#This Row],[Is Data Valid]]=TRUE,((Table1[[#This Row],[Birthweight (grams)]]*1.1/Table1[[#This Row],[BW_GA]])-1)/(Backend!$B$4/100*Table1[[#This Row],[BW40_3705]]),"")</f>
        <v/>
      </c>
      <c r="J9916" s="7" t="str">
        <f>IF(Table1[[#This Row],[Is Data Valid]]=TRUE,_xlfn.NORM.S.DIST(Table1[[#This Row],[Birthweight Z-Score]],TRUE)*100,"")</f>
        <v/>
      </c>
      <c r="K9916" s="7" t="str">
        <f>IF(Table1[[#This Row],[Is Data Valid]]=TRUE,_xlfn.NORM.S.DIST(Table1[[#This Row],[Birthweight Z-Score (BW-10%)]],TRUE)*100,"")</f>
        <v/>
      </c>
      <c r="L9916" s="7" t="str">
        <f>IF(Table1[[#This Row],[Is Data Valid]]=TRUE,_xlfn.NORM.S.DIST(Table1[[#This Row],[Birthweight Z-Score (BW+10%)]],TRUE)*100,"")</f>
        <v/>
      </c>
    </row>
    <row r="9917" spans="1:12" x14ac:dyDescent="0.35">
      <c r="A9917" s="3"/>
      <c r="B9917" s="2"/>
      <c r="C9917" s="2"/>
      <c r="D9917" s="2" t="b">
        <f>IF(AND(NOT(ISBLANK(Table1[[#This Row],[Fetal Sex (Male, Female or Unknown)]])),ISNUMBER(Table1[[#This Row],[Birthweight (grams)]]),ISNUMBER(Table1[[#This Row],[Gestation (days)]])),TRUE,FALSE)</f>
        <v>0</v>
      </c>
      <c r="E9917" s="2" t="str">
        <f>IF(Table1[[#This Row],[Is Data Valid]]=TRUE,IF(Table1[[#This Row],[Fetal Sex (Male, Female or Unknown)]]="Male",Backend!$C$6,IF(Table1[[#This Row],[Fetal Sex (Male, Female or Unknown)]]="Female",Backend!$C$7,IF(Table1[[#This Row],[Fetal Sex (Male, Female or Unknown)]]="Unknown",Backend!$C$8,"Error"))),"")</f>
        <v/>
      </c>
      <c r="F9917" s="8" t="str">
        <f>IF(Table1[[#This Row],[Is Data Valid]]=TRUE,EXP(0.578+0.332*((Table1[[#This Row],[Gestation (days)]]+0.5)/7)-0.00354*((Table1[[#This Row],[Gestation (days)]]+0.5)/7)^2)*Table1[[#This Row],[BW40_3705]],"")</f>
        <v/>
      </c>
      <c r="G9917" s="2" t="str">
        <f>IF(Table1[[#This Row],[Is Data Valid]]=TRUE,((Table1[[#This Row],[Birthweight (grams)]]/Table1[[#This Row],[BW_GA]])-1)/(Backend!$B$4/100*Table1[[#This Row],[BW40_3705]]),"")</f>
        <v/>
      </c>
      <c r="H9917" s="7" t="str">
        <f>IF(Table1[[#This Row],[Is Data Valid]]=TRUE,((Table1[[#This Row],[Birthweight (grams)]]*0.9/Table1[[#This Row],[BW_GA]])-1)/(Backend!$B$4/100*Table1[[#This Row],[BW40_3705]]),"")</f>
        <v/>
      </c>
      <c r="I9917" s="7" t="str">
        <f>IF(Table1[[#This Row],[Is Data Valid]]=TRUE,((Table1[[#This Row],[Birthweight (grams)]]*1.1/Table1[[#This Row],[BW_GA]])-1)/(Backend!$B$4/100*Table1[[#This Row],[BW40_3705]]),"")</f>
        <v/>
      </c>
      <c r="J9917" s="7" t="str">
        <f>IF(Table1[[#This Row],[Is Data Valid]]=TRUE,_xlfn.NORM.S.DIST(Table1[[#This Row],[Birthweight Z-Score]],TRUE)*100,"")</f>
        <v/>
      </c>
      <c r="K9917" s="7" t="str">
        <f>IF(Table1[[#This Row],[Is Data Valid]]=TRUE,_xlfn.NORM.S.DIST(Table1[[#This Row],[Birthweight Z-Score (BW-10%)]],TRUE)*100,"")</f>
        <v/>
      </c>
      <c r="L9917" s="7" t="str">
        <f>IF(Table1[[#This Row],[Is Data Valid]]=TRUE,_xlfn.NORM.S.DIST(Table1[[#This Row],[Birthweight Z-Score (BW+10%)]],TRUE)*100,"")</f>
        <v/>
      </c>
    </row>
    <row r="9918" spans="1:12" x14ac:dyDescent="0.35">
      <c r="A9918" s="3"/>
      <c r="B9918" s="2"/>
      <c r="C9918" s="2"/>
      <c r="D9918" s="2" t="b">
        <f>IF(AND(NOT(ISBLANK(Table1[[#This Row],[Fetal Sex (Male, Female or Unknown)]])),ISNUMBER(Table1[[#This Row],[Birthweight (grams)]]),ISNUMBER(Table1[[#This Row],[Gestation (days)]])),TRUE,FALSE)</f>
        <v>0</v>
      </c>
      <c r="E9918" s="2" t="str">
        <f>IF(Table1[[#This Row],[Is Data Valid]]=TRUE,IF(Table1[[#This Row],[Fetal Sex (Male, Female or Unknown)]]="Male",Backend!$C$6,IF(Table1[[#This Row],[Fetal Sex (Male, Female or Unknown)]]="Female",Backend!$C$7,IF(Table1[[#This Row],[Fetal Sex (Male, Female or Unknown)]]="Unknown",Backend!$C$8,"Error"))),"")</f>
        <v/>
      </c>
      <c r="F9918" s="8" t="str">
        <f>IF(Table1[[#This Row],[Is Data Valid]]=TRUE,EXP(0.578+0.332*((Table1[[#This Row],[Gestation (days)]]+0.5)/7)-0.00354*((Table1[[#This Row],[Gestation (days)]]+0.5)/7)^2)*Table1[[#This Row],[BW40_3705]],"")</f>
        <v/>
      </c>
      <c r="G9918" s="2" t="str">
        <f>IF(Table1[[#This Row],[Is Data Valid]]=TRUE,((Table1[[#This Row],[Birthweight (grams)]]/Table1[[#This Row],[BW_GA]])-1)/(Backend!$B$4/100*Table1[[#This Row],[BW40_3705]]),"")</f>
        <v/>
      </c>
      <c r="H9918" s="7" t="str">
        <f>IF(Table1[[#This Row],[Is Data Valid]]=TRUE,((Table1[[#This Row],[Birthweight (grams)]]*0.9/Table1[[#This Row],[BW_GA]])-1)/(Backend!$B$4/100*Table1[[#This Row],[BW40_3705]]),"")</f>
        <v/>
      </c>
      <c r="I9918" s="7" t="str">
        <f>IF(Table1[[#This Row],[Is Data Valid]]=TRUE,((Table1[[#This Row],[Birthweight (grams)]]*1.1/Table1[[#This Row],[BW_GA]])-1)/(Backend!$B$4/100*Table1[[#This Row],[BW40_3705]]),"")</f>
        <v/>
      </c>
      <c r="J9918" s="7" t="str">
        <f>IF(Table1[[#This Row],[Is Data Valid]]=TRUE,_xlfn.NORM.S.DIST(Table1[[#This Row],[Birthweight Z-Score]],TRUE)*100,"")</f>
        <v/>
      </c>
      <c r="K9918" s="7" t="str">
        <f>IF(Table1[[#This Row],[Is Data Valid]]=TRUE,_xlfn.NORM.S.DIST(Table1[[#This Row],[Birthweight Z-Score (BW-10%)]],TRUE)*100,"")</f>
        <v/>
      </c>
      <c r="L9918" s="7" t="str">
        <f>IF(Table1[[#This Row],[Is Data Valid]]=TRUE,_xlfn.NORM.S.DIST(Table1[[#This Row],[Birthweight Z-Score (BW+10%)]],TRUE)*100,"")</f>
        <v/>
      </c>
    </row>
    <row r="9919" spans="1:12" x14ac:dyDescent="0.35">
      <c r="A9919" s="3"/>
      <c r="B9919" s="2"/>
      <c r="C9919" s="2"/>
      <c r="D9919" s="2" t="b">
        <f>IF(AND(NOT(ISBLANK(Table1[[#This Row],[Fetal Sex (Male, Female or Unknown)]])),ISNUMBER(Table1[[#This Row],[Birthweight (grams)]]),ISNUMBER(Table1[[#This Row],[Gestation (days)]])),TRUE,FALSE)</f>
        <v>0</v>
      </c>
      <c r="E9919" s="2" t="str">
        <f>IF(Table1[[#This Row],[Is Data Valid]]=TRUE,IF(Table1[[#This Row],[Fetal Sex (Male, Female or Unknown)]]="Male",Backend!$C$6,IF(Table1[[#This Row],[Fetal Sex (Male, Female or Unknown)]]="Female",Backend!$C$7,IF(Table1[[#This Row],[Fetal Sex (Male, Female or Unknown)]]="Unknown",Backend!$C$8,"Error"))),"")</f>
        <v/>
      </c>
      <c r="F9919" s="8" t="str">
        <f>IF(Table1[[#This Row],[Is Data Valid]]=TRUE,EXP(0.578+0.332*((Table1[[#This Row],[Gestation (days)]]+0.5)/7)-0.00354*((Table1[[#This Row],[Gestation (days)]]+0.5)/7)^2)*Table1[[#This Row],[BW40_3705]],"")</f>
        <v/>
      </c>
      <c r="G9919" s="2" t="str">
        <f>IF(Table1[[#This Row],[Is Data Valid]]=TRUE,((Table1[[#This Row],[Birthweight (grams)]]/Table1[[#This Row],[BW_GA]])-1)/(Backend!$B$4/100*Table1[[#This Row],[BW40_3705]]),"")</f>
        <v/>
      </c>
      <c r="H9919" s="7" t="str">
        <f>IF(Table1[[#This Row],[Is Data Valid]]=TRUE,((Table1[[#This Row],[Birthweight (grams)]]*0.9/Table1[[#This Row],[BW_GA]])-1)/(Backend!$B$4/100*Table1[[#This Row],[BW40_3705]]),"")</f>
        <v/>
      </c>
      <c r="I9919" s="7" t="str">
        <f>IF(Table1[[#This Row],[Is Data Valid]]=TRUE,((Table1[[#This Row],[Birthweight (grams)]]*1.1/Table1[[#This Row],[BW_GA]])-1)/(Backend!$B$4/100*Table1[[#This Row],[BW40_3705]]),"")</f>
        <v/>
      </c>
      <c r="J9919" s="7" t="str">
        <f>IF(Table1[[#This Row],[Is Data Valid]]=TRUE,_xlfn.NORM.S.DIST(Table1[[#This Row],[Birthweight Z-Score]],TRUE)*100,"")</f>
        <v/>
      </c>
      <c r="K9919" s="7" t="str">
        <f>IF(Table1[[#This Row],[Is Data Valid]]=TRUE,_xlfn.NORM.S.DIST(Table1[[#This Row],[Birthweight Z-Score (BW-10%)]],TRUE)*100,"")</f>
        <v/>
      </c>
      <c r="L9919" s="7" t="str">
        <f>IF(Table1[[#This Row],[Is Data Valid]]=TRUE,_xlfn.NORM.S.DIST(Table1[[#This Row],[Birthweight Z-Score (BW+10%)]],TRUE)*100,"")</f>
        <v/>
      </c>
    </row>
    <row r="9920" spans="1:12" x14ac:dyDescent="0.35">
      <c r="A9920" s="3"/>
      <c r="B9920" s="2"/>
      <c r="C9920" s="2"/>
      <c r="D9920" s="2" t="b">
        <f>IF(AND(NOT(ISBLANK(Table1[[#This Row],[Fetal Sex (Male, Female or Unknown)]])),ISNUMBER(Table1[[#This Row],[Birthweight (grams)]]),ISNUMBER(Table1[[#This Row],[Gestation (days)]])),TRUE,FALSE)</f>
        <v>0</v>
      </c>
      <c r="E9920" s="2" t="str">
        <f>IF(Table1[[#This Row],[Is Data Valid]]=TRUE,IF(Table1[[#This Row],[Fetal Sex (Male, Female or Unknown)]]="Male",Backend!$C$6,IF(Table1[[#This Row],[Fetal Sex (Male, Female or Unknown)]]="Female",Backend!$C$7,IF(Table1[[#This Row],[Fetal Sex (Male, Female or Unknown)]]="Unknown",Backend!$C$8,"Error"))),"")</f>
        <v/>
      </c>
      <c r="F9920" s="8" t="str">
        <f>IF(Table1[[#This Row],[Is Data Valid]]=TRUE,EXP(0.578+0.332*((Table1[[#This Row],[Gestation (days)]]+0.5)/7)-0.00354*((Table1[[#This Row],[Gestation (days)]]+0.5)/7)^2)*Table1[[#This Row],[BW40_3705]],"")</f>
        <v/>
      </c>
      <c r="G9920" s="2" t="str">
        <f>IF(Table1[[#This Row],[Is Data Valid]]=TRUE,((Table1[[#This Row],[Birthweight (grams)]]/Table1[[#This Row],[BW_GA]])-1)/(Backend!$B$4/100*Table1[[#This Row],[BW40_3705]]),"")</f>
        <v/>
      </c>
      <c r="H9920" s="7" t="str">
        <f>IF(Table1[[#This Row],[Is Data Valid]]=TRUE,((Table1[[#This Row],[Birthweight (grams)]]*0.9/Table1[[#This Row],[BW_GA]])-1)/(Backend!$B$4/100*Table1[[#This Row],[BW40_3705]]),"")</f>
        <v/>
      </c>
      <c r="I9920" s="7" t="str">
        <f>IF(Table1[[#This Row],[Is Data Valid]]=TRUE,((Table1[[#This Row],[Birthweight (grams)]]*1.1/Table1[[#This Row],[BW_GA]])-1)/(Backend!$B$4/100*Table1[[#This Row],[BW40_3705]]),"")</f>
        <v/>
      </c>
      <c r="J9920" s="7" t="str">
        <f>IF(Table1[[#This Row],[Is Data Valid]]=TRUE,_xlfn.NORM.S.DIST(Table1[[#This Row],[Birthweight Z-Score]],TRUE)*100,"")</f>
        <v/>
      </c>
      <c r="K9920" s="7" t="str">
        <f>IF(Table1[[#This Row],[Is Data Valid]]=TRUE,_xlfn.NORM.S.DIST(Table1[[#This Row],[Birthweight Z-Score (BW-10%)]],TRUE)*100,"")</f>
        <v/>
      </c>
      <c r="L9920" s="7" t="str">
        <f>IF(Table1[[#This Row],[Is Data Valid]]=TRUE,_xlfn.NORM.S.DIST(Table1[[#This Row],[Birthweight Z-Score (BW+10%)]],TRUE)*100,"")</f>
        <v/>
      </c>
    </row>
    <row r="9921" spans="1:12" x14ac:dyDescent="0.35">
      <c r="A9921" s="3"/>
      <c r="B9921" s="2"/>
      <c r="C9921" s="2"/>
      <c r="D9921" s="2" t="b">
        <f>IF(AND(NOT(ISBLANK(Table1[[#This Row],[Fetal Sex (Male, Female or Unknown)]])),ISNUMBER(Table1[[#This Row],[Birthweight (grams)]]),ISNUMBER(Table1[[#This Row],[Gestation (days)]])),TRUE,FALSE)</f>
        <v>0</v>
      </c>
      <c r="E9921" s="2" t="str">
        <f>IF(Table1[[#This Row],[Is Data Valid]]=TRUE,IF(Table1[[#This Row],[Fetal Sex (Male, Female or Unknown)]]="Male",Backend!$C$6,IF(Table1[[#This Row],[Fetal Sex (Male, Female or Unknown)]]="Female",Backend!$C$7,IF(Table1[[#This Row],[Fetal Sex (Male, Female or Unknown)]]="Unknown",Backend!$C$8,"Error"))),"")</f>
        <v/>
      </c>
      <c r="F9921" s="8" t="str">
        <f>IF(Table1[[#This Row],[Is Data Valid]]=TRUE,EXP(0.578+0.332*((Table1[[#This Row],[Gestation (days)]]+0.5)/7)-0.00354*((Table1[[#This Row],[Gestation (days)]]+0.5)/7)^2)*Table1[[#This Row],[BW40_3705]],"")</f>
        <v/>
      </c>
      <c r="G9921" s="2" t="str">
        <f>IF(Table1[[#This Row],[Is Data Valid]]=TRUE,((Table1[[#This Row],[Birthweight (grams)]]/Table1[[#This Row],[BW_GA]])-1)/(Backend!$B$4/100*Table1[[#This Row],[BW40_3705]]),"")</f>
        <v/>
      </c>
      <c r="H9921" s="7" t="str">
        <f>IF(Table1[[#This Row],[Is Data Valid]]=TRUE,((Table1[[#This Row],[Birthweight (grams)]]*0.9/Table1[[#This Row],[BW_GA]])-1)/(Backend!$B$4/100*Table1[[#This Row],[BW40_3705]]),"")</f>
        <v/>
      </c>
      <c r="I9921" s="7" t="str">
        <f>IF(Table1[[#This Row],[Is Data Valid]]=TRUE,((Table1[[#This Row],[Birthweight (grams)]]*1.1/Table1[[#This Row],[BW_GA]])-1)/(Backend!$B$4/100*Table1[[#This Row],[BW40_3705]]),"")</f>
        <v/>
      </c>
      <c r="J9921" s="7" t="str">
        <f>IF(Table1[[#This Row],[Is Data Valid]]=TRUE,_xlfn.NORM.S.DIST(Table1[[#This Row],[Birthweight Z-Score]],TRUE)*100,"")</f>
        <v/>
      </c>
      <c r="K9921" s="7" t="str">
        <f>IF(Table1[[#This Row],[Is Data Valid]]=TRUE,_xlfn.NORM.S.DIST(Table1[[#This Row],[Birthweight Z-Score (BW-10%)]],TRUE)*100,"")</f>
        <v/>
      </c>
      <c r="L9921" s="7" t="str">
        <f>IF(Table1[[#This Row],[Is Data Valid]]=TRUE,_xlfn.NORM.S.DIST(Table1[[#This Row],[Birthweight Z-Score (BW+10%)]],TRUE)*100,"")</f>
        <v/>
      </c>
    </row>
    <row r="9922" spans="1:12" x14ac:dyDescent="0.35">
      <c r="A9922" s="3"/>
      <c r="B9922" s="2"/>
      <c r="C9922" s="2"/>
      <c r="D9922" s="2" t="b">
        <f>IF(AND(NOT(ISBLANK(Table1[[#This Row],[Fetal Sex (Male, Female or Unknown)]])),ISNUMBER(Table1[[#This Row],[Birthweight (grams)]]),ISNUMBER(Table1[[#This Row],[Gestation (days)]])),TRUE,FALSE)</f>
        <v>0</v>
      </c>
      <c r="E9922" s="2" t="str">
        <f>IF(Table1[[#This Row],[Is Data Valid]]=TRUE,IF(Table1[[#This Row],[Fetal Sex (Male, Female or Unknown)]]="Male",Backend!$C$6,IF(Table1[[#This Row],[Fetal Sex (Male, Female or Unknown)]]="Female",Backend!$C$7,IF(Table1[[#This Row],[Fetal Sex (Male, Female or Unknown)]]="Unknown",Backend!$C$8,"Error"))),"")</f>
        <v/>
      </c>
      <c r="F9922" s="8" t="str">
        <f>IF(Table1[[#This Row],[Is Data Valid]]=TRUE,EXP(0.578+0.332*((Table1[[#This Row],[Gestation (days)]]+0.5)/7)-0.00354*((Table1[[#This Row],[Gestation (days)]]+0.5)/7)^2)*Table1[[#This Row],[BW40_3705]],"")</f>
        <v/>
      </c>
      <c r="G9922" s="2" t="str">
        <f>IF(Table1[[#This Row],[Is Data Valid]]=TRUE,((Table1[[#This Row],[Birthweight (grams)]]/Table1[[#This Row],[BW_GA]])-1)/(Backend!$B$4/100*Table1[[#This Row],[BW40_3705]]),"")</f>
        <v/>
      </c>
      <c r="H9922" s="7" t="str">
        <f>IF(Table1[[#This Row],[Is Data Valid]]=TRUE,((Table1[[#This Row],[Birthweight (grams)]]*0.9/Table1[[#This Row],[BW_GA]])-1)/(Backend!$B$4/100*Table1[[#This Row],[BW40_3705]]),"")</f>
        <v/>
      </c>
      <c r="I9922" s="7" t="str">
        <f>IF(Table1[[#This Row],[Is Data Valid]]=TRUE,((Table1[[#This Row],[Birthweight (grams)]]*1.1/Table1[[#This Row],[BW_GA]])-1)/(Backend!$B$4/100*Table1[[#This Row],[BW40_3705]]),"")</f>
        <v/>
      </c>
      <c r="J9922" s="7" t="str">
        <f>IF(Table1[[#This Row],[Is Data Valid]]=TRUE,_xlfn.NORM.S.DIST(Table1[[#This Row],[Birthweight Z-Score]],TRUE)*100,"")</f>
        <v/>
      </c>
      <c r="K9922" s="7" t="str">
        <f>IF(Table1[[#This Row],[Is Data Valid]]=TRUE,_xlfn.NORM.S.DIST(Table1[[#This Row],[Birthweight Z-Score (BW-10%)]],TRUE)*100,"")</f>
        <v/>
      </c>
      <c r="L9922" s="7" t="str">
        <f>IF(Table1[[#This Row],[Is Data Valid]]=TRUE,_xlfn.NORM.S.DIST(Table1[[#This Row],[Birthweight Z-Score (BW+10%)]],TRUE)*100,"")</f>
        <v/>
      </c>
    </row>
    <row r="9923" spans="1:12" x14ac:dyDescent="0.35">
      <c r="A9923" s="3"/>
      <c r="B9923" s="2"/>
      <c r="C9923" s="2"/>
      <c r="D9923" s="2" t="b">
        <f>IF(AND(NOT(ISBLANK(Table1[[#This Row],[Fetal Sex (Male, Female or Unknown)]])),ISNUMBER(Table1[[#This Row],[Birthweight (grams)]]),ISNUMBER(Table1[[#This Row],[Gestation (days)]])),TRUE,FALSE)</f>
        <v>0</v>
      </c>
      <c r="E9923" s="2" t="str">
        <f>IF(Table1[[#This Row],[Is Data Valid]]=TRUE,IF(Table1[[#This Row],[Fetal Sex (Male, Female or Unknown)]]="Male",Backend!$C$6,IF(Table1[[#This Row],[Fetal Sex (Male, Female or Unknown)]]="Female",Backend!$C$7,IF(Table1[[#This Row],[Fetal Sex (Male, Female or Unknown)]]="Unknown",Backend!$C$8,"Error"))),"")</f>
        <v/>
      </c>
      <c r="F9923" s="8" t="str">
        <f>IF(Table1[[#This Row],[Is Data Valid]]=TRUE,EXP(0.578+0.332*((Table1[[#This Row],[Gestation (days)]]+0.5)/7)-0.00354*((Table1[[#This Row],[Gestation (days)]]+0.5)/7)^2)*Table1[[#This Row],[BW40_3705]],"")</f>
        <v/>
      </c>
      <c r="G9923" s="2" t="str">
        <f>IF(Table1[[#This Row],[Is Data Valid]]=TRUE,((Table1[[#This Row],[Birthweight (grams)]]/Table1[[#This Row],[BW_GA]])-1)/(Backend!$B$4/100*Table1[[#This Row],[BW40_3705]]),"")</f>
        <v/>
      </c>
      <c r="H9923" s="7" t="str">
        <f>IF(Table1[[#This Row],[Is Data Valid]]=TRUE,((Table1[[#This Row],[Birthweight (grams)]]*0.9/Table1[[#This Row],[BW_GA]])-1)/(Backend!$B$4/100*Table1[[#This Row],[BW40_3705]]),"")</f>
        <v/>
      </c>
      <c r="I9923" s="7" t="str">
        <f>IF(Table1[[#This Row],[Is Data Valid]]=TRUE,((Table1[[#This Row],[Birthweight (grams)]]*1.1/Table1[[#This Row],[BW_GA]])-1)/(Backend!$B$4/100*Table1[[#This Row],[BW40_3705]]),"")</f>
        <v/>
      </c>
      <c r="J9923" s="7" t="str">
        <f>IF(Table1[[#This Row],[Is Data Valid]]=TRUE,_xlfn.NORM.S.DIST(Table1[[#This Row],[Birthweight Z-Score]],TRUE)*100,"")</f>
        <v/>
      </c>
      <c r="K9923" s="7" t="str">
        <f>IF(Table1[[#This Row],[Is Data Valid]]=TRUE,_xlfn.NORM.S.DIST(Table1[[#This Row],[Birthweight Z-Score (BW-10%)]],TRUE)*100,"")</f>
        <v/>
      </c>
      <c r="L9923" s="7" t="str">
        <f>IF(Table1[[#This Row],[Is Data Valid]]=TRUE,_xlfn.NORM.S.DIST(Table1[[#This Row],[Birthweight Z-Score (BW+10%)]],TRUE)*100,"")</f>
        <v/>
      </c>
    </row>
    <row r="9924" spans="1:12" x14ac:dyDescent="0.35">
      <c r="A9924" s="3"/>
      <c r="B9924" s="2"/>
      <c r="C9924" s="2"/>
      <c r="D9924" s="2" t="b">
        <f>IF(AND(NOT(ISBLANK(Table1[[#This Row],[Fetal Sex (Male, Female or Unknown)]])),ISNUMBER(Table1[[#This Row],[Birthweight (grams)]]),ISNUMBER(Table1[[#This Row],[Gestation (days)]])),TRUE,FALSE)</f>
        <v>0</v>
      </c>
      <c r="E9924" s="2" t="str">
        <f>IF(Table1[[#This Row],[Is Data Valid]]=TRUE,IF(Table1[[#This Row],[Fetal Sex (Male, Female or Unknown)]]="Male",Backend!$C$6,IF(Table1[[#This Row],[Fetal Sex (Male, Female or Unknown)]]="Female",Backend!$C$7,IF(Table1[[#This Row],[Fetal Sex (Male, Female or Unknown)]]="Unknown",Backend!$C$8,"Error"))),"")</f>
        <v/>
      </c>
      <c r="F9924" s="8" t="str">
        <f>IF(Table1[[#This Row],[Is Data Valid]]=TRUE,EXP(0.578+0.332*((Table1[[#This Row],[Gestation (days)]]+0.5)/7)-0.00354*((Table1[[#This Row],[Gestation (days)]]+0.5)/7)^2)*Table1[[#This Row],[BW40_3705]],"")</f>
        <v/>
      </c>
      <c r="G9924" s="2" t="str">
        <f>IF(Table1[[#This Row],[Is Data Valid]]=TRUE,((Table1[[#This Row],[Birthweight (grams)]]/Table1[[#This Row],[BW_GA]])-1)/(Backend!$B$4/100*Table1[[#This Row],[BW40_3705]]),"")</f>
        <v/>
      </c>
      <c r="H9924" s="7" t="str">
        <f>IF(Table1[[#This Row],[Is Data Valid]]=TRUE,((Table1[[#This Row],[Birthweight (grams)]]*0.9/Table1[[#This Row],[BW_GA]])-1)/(Backend!$B$4/100*Table1[[#This Row],[BW40_3705]]),"")</f>
        <v/>
      </c>
      <c r="I9924" s="7" t="str">
        <f>IF(Table1[[#This Row],[Is Data Valid]]=TRUE,((Table1[[#This Row],[Birthweight (grams)]]*1.1/Table1[[#This Row],[BW_GA]])-1)/(Backend!$B$4/100*Table1[[#This Row],[BW40_3705]]),"")</f>
        <v/>
      </c>
      <c r="J9924" s="7" t="str">
        <f>IF(Table1[[#This Row],[Is Data Valid]]=TRUE,_xlfn.NORM.S.DIST(Table1[[#This Row],[Birthweight Z-Score]],TRUE)*100,"")</f>
        <v/>
      </c>
      <c r="K9924" s="7" t="str">
        <f>IF(Table1[[#This Row],[Is Data Valid]]=TRUE,_xlfn.NORM.S.DIST(Table1[[#This Row],[Birthweight Z-Score (BW-10%)]],TRUE)*100,"")</f>
        <v/>
      </c>
      <c r="L9924" s="7" t="str">
        <f>IF(Table1[[#This Row],[Is Data Valid]]=TRUE,_xlfn.NORM.S.DIST(Table1[[#This Row],[Birthweight Z-Score (BW+10%)]],TRUE)*100,"")</f>
        <v/>
      </c>
    </row>
    <row r="9925" spans="1:12" x14ac:dyDescent="0.35">
      <c r="A9925" s="3"/>
      <c r="B9925" s="2"/>
      <c r="C9925" s="2"/>
      <c r="D9925" s="2" t="b">
        <f>IF(AND(NOT(ISBLANK(Table1[[#This Row],[Fetal Sex (Male, Female or Unknown)]])),ISNUMBER(Table1[[#This Row],[Birthweight (grams)]]),ISNUMBER(Table1[[#This Row],[Gestation (days)]])),TRUE,FALSE)</f>
        <v>0</v>
      </c>
      <c r="E9925" s="2" t="str">
        <f>IF(Table1[[#This Row],[Is Data Valid]]=TRUE,IF(Table1[[#This Row],[Fetal Sex (Male, Female or Unknown)]]="Male",Backend!$C$6,IF(Table1[[#This Row],[Fetal Sex (Male, Female or Unknown)]]="Female",Backend!$C$7,IF(Table1[[#This Row],[Fetal Sex (Male, Female or Unknown)]]="Unknown",Backend!$C$8,"Error"))),"")</f>
        <v/>
      </c>
      <c r="F9925" s="8" t="str">
        <f>IF(Table1[[#This Row],[Is Data Valid]]=TRUE,EXP(0.578+0.332*((Table1[[#This Row],[Gestation (days)]]+0.5)/7)-0.00354*((Table1[[#This Row],[Gestation (days)]]+0.5)/7)^2)*Table1[[#This Row],[BW40_3705]],"")</f>
        <v/>
      </c>
      <c r="G9925" s="2" t="str">
        <f>IF(Table1[[#This Row],[Is Data Valid]]=TRUE,((Table1[[#This Row],[Birthweight (grams)]]/Table1[[#This Row],[BW_GA]])-1)/(Backend!$B$4/100*Table1[[#This Row],[BW40_3705]]),"")</f>
        <v/>
      </c>
      <c r="H9925" s="7" t="str">
        <f>IF(Table1[[#This Row],[Is Data Valid]]=TRUE,((Table1[[#This Row],[Birthweight (grams)]]*0.9/Table1[[#This Row],[BW_GA]])-1)/(Backend!$B$4/100*Table1[[#This Row],[BW40_3705]]),"")</f>
        <v/>
      </c>
      <c r="I9925" s="7" t="str">
        <f>IF(Table1[[#This Row],[Is Data Valid]]=TRUE,((Table1[[#This Row],[Birthweight (grams)]]*1.1/Table1[[#This Row],[BW_GA]])-1)/(Backend!$B$4/100*Table1[[#This Row],[BW40_3705]]),"")</f>
        <v/>
      </c>
      <c r="J9925" s="7" t="str">
        <f>IF(Table1[[#This Row],[Is Data Valid]]=TRUE,_xlfn.NORM.S.DIST(Table1[[#This Row],[Birthweight Z-Score]],TRUE)*100,"")</f>
        <v/>
      </c>
      <c r="K9925" s="7" t="str">
        <f>IF(Table1[[#This Row],[Is Data Valid]]=TRUE,_xlfn.NORM.S.DIST(Table1[[#This Row],[Birthweight Z-Score (BW-10%)]],TRUE)*100,"")</f>
        <v/>
      </c>
      <c r="L9925" s="7" t="str">
        <f>IF(Table1[[#This Row],[Is Data Valid]]=TRUE,_xlfn.NORM.S.DIST(Table1[[#This Row],[Birthweight Z-Score (BW+10%)]],TRUE)*100,"")</f>
        <v/>
      </c>
    </row>
    <row r="9926" spans="1:12" x14ac:dyDescent="0.35">
      <c r="A9926" s="3"/>
      <c r="B9926" s="2"/>
      <c r="C9926" s="2"/>
      <c r="D9926" s="2" t="b">
        <f>IF(AND(NOT(ISBLANK(Table1[[#This Row],[Fetal Sex (Male, Female or Unknown)]])),ISNUMBER(Table1[[#This Row],[Birthweight (grams)]]),ISNUMBER(Table1[[#This Row],[Gestation (days)]])),TRUE,FALSE)</f>
        <v>0</v>
      </c>
      <c r="E9926" s="2" t="str">
        <f>IF(Table1[[#This Row],[Is Data Valid]]=TRUE,IF(Table1[[#This Row],[Fetal Sex (Male, Female or Unknown)]]="Male",Backend!$C$6,IF(Table1[[#This Row],[Fetal Sex (Male, Female or Unknown)]]="Female",Backend!$C$7,IF(Table1[[#This Row],[Fetal Sex (Male, Female or Unknown)]]="Unknown",Backend!$C$8,"Error"))),"")</f>
        <v/>
      </c>
      <c r="F9926" s="8" t="str">
        <f>IF(Table1[[#This Row],[Is Data Valid]]=TRUE,EXP(0.578+0.332*((Table1[[#This Row],[Gestation (days)]]+0.5)/7)-0.00354*((Table1[[#This Row],[Gestation (days)]]+0.5)/7)^2)*Table1[[#This Row],[BW40_3705]],"")</f>
        <v/>
      </c>
      <c r="G9926" s="2" t="str">
        <f>IF(Table1[[#This Row],[Is Data Valid]]=TRUE,((Table1[[#This Row],[Birthweight (grams)]]/Table1[[#This Row],[BW_GA]])-1)/(Backend!$B$4/100*Table1[[#This Row],[BW40_3705]]),"")</f>
        <v/>
      </c>
      <c r="H9926" s="7" t="str">
        <f>IF(Table1[[#This Row],[Is Data Valid]]=TRUE,((Table1[[#This Row],[Birthweight (grams)]]*0.9/Table1[[#This Row],[BW_GA]])-1)/(Backend!$B$4/100*Table1[[#This Row],[BW40_3705]]),"")</f>
        <v/>
      </c>
      <c r="I9926" s="7" t="str">
        <f>IF(Table1[[#This Row],[Is Data Valid]]=TRUE,((Table1[[#This Row],[Birthweight (grams)]]*1.1/Table1[[#This Row],[BW_GA]])-1)/(Backend!$B$4/100*Table1[[#This Row],[BW40_3705]]),"")</f>
        <v/>
      </c>
      <c r="J9926" s="7" t="str">
        <f>IF(Table1[[#This Row],[Is Data Valid]]=TRUE,_xlfn.NORM.S.DIST(Table1[[#This Row],[Birthweight Z-Score]],TRUE)*100,"")</f>
        <v/>
      </c>
      <c r="K9926" s="7" t="str">
        <f>IF(Table1[[#This Row],[Is Data Valid]]=TRUE,_xlfn.NORM.S.DIST(Table1[[#This Row],[Birthweight Z-Score (BW-10%)]],TRUE)*100,"")</f>
        <v/>
      </c>
      <c r="L9926" s="7" t="str">
        <f>IF(Table1[[#This Row],[Is Data Valid]]=TRUE,_xlfn.NORM.S.DIST(Table1[[#This Row],[Birthweight Z-Score (BW+10%)]],TRUE)*100,"")</f>
        <v/>
      </c>
    </row>
    <row r="9927" spans="1:12" x14ac:dyDescent="0.35">
      <c r="A9927" s="3"/>
      <c r="B9927" s="2"/>
      <c r="C9927" s="2"/>
      <c r="D9927" s="2" t="b">
        <f>IF(AND(NOT(ISBLANK(Table1[[#This Row],[Fetal Sex (Male, Female or Unknown)]])),ISNUMBER(Table1[[#This Row],[Birthweight (grams)]]),ISNUMBER(Table1[[#This Row],[Gestation (days)]])),TRUE,FALSE)</f>
        <v>0</v>
      </c>
      <c r="E9927" s="2" t="str">
        <f>IF(Table1[[#This Row],[Is Data Valid]]=TRUE,IF(Table1[[#This Row],[Fetal Sex (Male, Female or Unknown)]]="Male",Backend!$C$6,IF(Table1[[#This Row],[Fetal Sex (Male, Female or Unknown)]]="Female",Backend!$C$7,IF(Table1[[#This Row],[Fetal Sex (Male, Female or Unknown)]]="Unknown",Backend!$C$8,"Error"))),"")</f>
        <v/>
      </c>
      <c r="F9927" s="8" t="str">
        <f>IF(Table1[[#This Row],[Is Data Valid]]=TRUE,EXP(0.578+0.332*((Table1[[#This Row],[Gestation (days)]]+0.5)/7)-0.00354*((Table1[[#This Row],[Gestation (days)]]+0.5)/7)^2)*Table1[[#This Row],[BW40_3705]],"")</f>
        <v/>
      </c>
      <c r="G9927" s="2" t="str">
        <f>IF(Table1[[#This Row],[Is Data Valid]]=TRUE,((Table1[[#This Row],[Birthweight (grams)]]/Table1[[#This Row],[BW_GA]])-1)/(Backend!$B$4/100*Table1[[#This Row],[BW40_3705]]),"")</f>
        <v/>
      </c>
      <c r="H9927" s="7" t="str">
        <f>IF(Table1[[#This Row],[Is Data Valid]]=TRUE,((Table1[[#This Row],[Birthweight (grams)]]*0.9/Table1[[#This Row],[BW_GA]])-1)/(Backend!$B$4/100*Table1[[#This Row],[BW40_3705]]),"")</f>
        <v/>
      </c>
      <c r="I9927" s="7" t="str">
        <f>IF(Table1[[#This Row],[Is Data Valid]]=TRUE,((Table1[[#This Row],[Birthweight (grams)]]*1.1/Table1[[#This Row],[BW_GA]])-1)/(Backend!$B$4/100*Table1[[#This Row],[BW40_3705]]),"")</f>
        <v/>
      </c>
      <c r="J9927" s="7" t="str">
        <f>IF(Table1[[#This Row],[Is Data Valid]]=TRUE,_xlfn.NORM.S.DIST(Table1[[#This Row],[Birthweight Z-Score]],TRUE)*100,"")</f>
        <v/>
      </c>
      <c r="K9927" s="7" t="str">
        <f>IF(Table1[[#This Row],[Is Data Valid]]=TRUE,_xlfn.NORM.S.DIST(Table1[[#This Row],[Birthweight Z-Score (BW-10%)]],TRUE)*100,"")</f>
        <v/>
      </c>
      <c r="L9927" s="7" t="str">
        <f>IF(Table1[[#This Row],[Is Data Valid]]=TRUE,_xlfn.NORM.S.DIST(Table1[[#This Row],[Birthweight Z-Score (BW+10%)]],TRUE)*100,"")</f>
        <v/>
      </c>
    </row>
    <row r="9928" spans="1:12" x14ac:dyDescent="0.35">
      <c r="A9928" s="3"/>
      <c r="B9928" s="2"/>
      <c r="C9928" s="2"/>
      <c r="D9928" s="2" t="b">
        <f>IF(AND(NOT(ISBLANK(Table1[[#This Row],[Fetal Sex (Male, Female or Unknown)]])),ISNUMBER(Table1[[#This Row],[Birthweight (grams)]]),ISNUMBER(Table1[[#This Row],[Gestation (days)]])),TRUE,FALSE)</f>
        <v>0</v>
      </c>
      <c r="E9928" s="2" t="str">
        <f>IF(Table1[[#This Row],[Is Data Valid]]=TRUE,IF(Table1[[#This Row],[Fetal Sex (Male, Female or Unknown)]]="Male",Backend!$C$6,IF(Table1[[#This Row],[Fetal Sex (Male, Female or Unknown)]]="Female",Backend!$C$7,IF(Table1[[#This Row],[Fetal Sex (Male, Female or Unknown)]]="Unknown",Backend!$C$8,"Error"))),"")</f>
        <v/>
      </c>
      <c r="F9928" s="8" t="str">
        <f>IF(Table1[[#This Row],[Is Data Valid]]=TRUE,EXP(0.578+0.332*((Table1[[#This Row],[Gestation (days)]]+0.5)/7)-0.00354*((Table1[[#This Row],[Gestation (days)]]+0.5)/7)^2)*Table1[[#This Row],[BW40_3705]],"")</f>
        <v/>
      </c>
      <c r="G9928" s="2" t="str">
        <f>IF(Table1[[#This Row],[Is Data Valid]]=TRUE,((Table1[[#This Row],[Birthweight (grams)]]/Table1[[#This Row],[BW_GA]])-1)/(Backend!$B$4/100*Table1[[#This Row],[BW40_3705]]),"")</f>
        <v/>
      </c>
      <c r="H9928" s="7" t="str">
        <f>IF(Table1[[#This Row],[Is Data Valid]]=TRUE,((Table1[[#This Row],[Birthweight (grams)]]*0.9/Table1[[#This Row],[BW_GA]])-1)/(Backend!$B$4/100*Table1[[#This Row],[BW40_3705]]),"")</f>
        <v/>
      </c>
      <c r="I9928" s="7" t="str">
        <f>IF(Table1[[#This Row],[Is Data Valid]]=TRUE,((Table1[[#This Row],[Birthweight (grams)]]*1.1/Table1[[#This Row],[BW_GA]])-1)/(Backend!$B$4/100*Table1[[#This Row],[BW40_3705]]),"")</f>
        <v/>
      </c>
      <c r="J9928" s="7" t="str">
        <f>IF(Table1[[#This Row],[Is Data Valid]]=TRUE,_xlfn.NORM.S.DIST(Table1[[#This Row],[Birthweight Z-Score]],TRUE)*100,"")</f>
        <v/>
      </c>
      <c r="K9928" s="7" t="str">
        <f>IF(Table1[[#This Row],[Is Data Valid]]=TRUE,_xlfn.NORM.S.DIST(Table1[[#This Row],[Birthweight Z-Score (BW-10%)]],TRUE)*100,"")</f>
        <v/>
      </c>
      <c r="L9928" s="7" t="str">
        <f>IF(Table1[[#This Row],[Is Data Valid]]=TRUE,_xlfn.NORM.S.DIST(Table1[[#This Row],[Birthweight Z-Score (BW+10%)]],TRUE)*100,"")</f>
        <v/>
      </c>
    </row>
    <row r="9929" spans="1:12" x14ac:dyDescent="0.35">
      <c r="A9929" s="3"/>
      <c r="B9929" s="2"/>
      <c r="C9929" s="2"/>
      <c r="D9929" s="2" t="b">
        <f>IF(AND(NOT(ISBLANK(Table1[[#This Row],[Fetal Sex (Male, Female or Unknown)]])),ISNUMBER(Table1[[#This Row],[Birthweight (grams)]]),ISNUMBER(Table1[[#This Row],[Gestation (days)]])),TRUE,FALSE)</f>
        <v>0</v>
      </c>
      <c r="E9929" s="2" t="str">
        <f>IF(Table1[[#This Row],[Is Data Valid]]=TRUE,IF(Table1[[#This Row],[Fetal Sex (Male, Female or Unknown)]]="Male",Backend!$C$6,IF(Table1[[#This Row],[Fetal Sex (Male, Female or Unknown)]]="Female",Backend!$C$7,IF(Table1[[#This Row],[Fetal Sex (Male, Female or Unknown)]]="Unknown",Backend!$C$8,"Error"))),"")</f>
        <v/>
      </c>
      <c r="F9929" s="8" t="str">
        <f>IF(Table1[[#This Row],[Is Data Valid]]=TRUE,EXP(0.578+0.332*((Table1[[#This Row],[Gestation (days)]]+0.5)/7)-0.00354*((Table1[[#This Row],[Gestation (days)]]+0.5)/7)^2)*Table1[[#This Row],[BW40_3705]],"")</f>
        <v/>
      </c>
      <c r="G9929" s="2" t="str">
        <f>IF(Table1[[#This Row],[Is Data Valid]]=TRUE,((Table1[[#This Row],[Birthweight (grams)]]/Table1[[#This Row],[BW_GA]])-1)/(Backend!$B$4/100*Table1[[#This Row],[BW40_3705]]),"")</f>
        <v/>
      </c>
      <c r="H9929" s="7" t="str">
        <f>IF(Table1[[#This Row],[Is Data Valid]]=TRUE,((Table1[[#This Row],[Birthweight (grams)]]*0.9/Table1[[#This Row],[BW_GA]])-1)/(Backend!$B$4/100*Table1[[#This Row],[BW40_3705]]),"")</f>
        <v/>
      </c>
      <c r="I9929" s="7" t="str">
        <f>IF(Table1[[#This Row],[Is Data Valid]]=TRUE,((Table1[[#This Row],[Birthweight (grams)]]*1.1/Table1[[#This Row],[BW_GA]])-1)/(Backend!$B$4/100*Table1[[#This Row],[BW40_3705]]),"")</f>
        <v/>
      </c>
      <c r="J9929" s="7" t="str">
        <f>IF(Table1[[#This Row],[Is Data Valid]]=TRUE,_xlfn.NORM.S.DIST(Table1[[#This Row],[Birthweight Z-Score]],TRUE)*100,"")</f>
        <v/>
      </c>
      <c r="K9929" s="7" t="str">
        <f>IF(Table1[[#This Row],[Is Data Valid]]=TRUE,_xlfn.NORM.S.DIST(Table1[[#This Row],[Birthweight Z-Score (BW-10%)]],TRUE)*100,"")</f>
        <v/>
      </c>
      <c r="L9929" s="7" t="str">
        <f>IF(Table1[[#This Row],[Is Data Valid]]=TRUE,_xlfn.NORM.S.DIST(Table1[[#This Row],[Birthweight Z-Score (BW+10%)]],TRUE)*100,"")</f>
        <v/>
      </c>
    </row>
    <row r="9930" spans="1:12" x14ac:dyDescent="0.35">
      <c r="A9930" s="3"/>
      <c r="B9930" s="2"/>
      <c r="C9930" s="2"/>
      <c r="D9930" s="2" t="b">
        <f>IF(AND(NOT(ISBLANK(Table1[[#This Row],[Fetal Sex (Male, Female or Unknown)]])),ISNUMBER(Table1[[#This Row],[Birthweight (grams)]]),ISNUMBER(Table1[[#This Row],[Gestation (days)]])),TRUE,FALSE)</f>
        <v>0</v>
      </c>
      <c r="E9930" s="2" t="str">
        <f>IF(Table1[[#This Row],[Is Data Valid]]=TRUE,IF(Table1[[#This Row],[Fetal Sex (Male, Female or Unknown)]]="Male",Backend!$C$6,IF(Table1[[#This Row],[Fetal Sex (Male, Female or Unknown)]]="Female",Backend!$C$7,IF(Table1[[#This Row],[Fetal Sex (Male, Female or Unknown)]]="Unknown",Backend!$C$8,"Error"))),"")</f>
        <v/>
      </c>
      <c r="F9930" s="8" t="str">
        <f>IF(Table1[[#This Row],[Is Data Valid]]=TRUE,EXP(0.578+0.332*((Table1[[#This Row],[Gestation (days)]]+0.5)/7)-0.00354*((Table1[[#This Row],[Gestation (days)]]+0.5)/7)^2)*Table1[[#This Row],[BW40_3705]],"")</f>
        <v/>
      </c>
      <c r="G9930" s="2" t="str">
        <f>IF(Table1[[#This Row],[Is Data Valid]]=TRUE,((Table1[[#This Row],[Birthweight (grams)]]/Table1[[#This Row],[BW_GA]])-1)/(Backend!$B$4/100*Table1[[#This Row],[BW40_3705]]),"")</f>
        <v/>
      </c>
      <c r="H9930" s="7" t="str">
        <f>IF(Table1[[#This Row],[Is Data Valid]]=TRUE,((Table1[[#This Row],[Birthweight (grams)]]*0.9/Table1[[#This Row],[BW_GA]])-1)/(Backend!$B$4/100*Table1[[#This Row],[BW40_3705]]),"")</f>
        <v/>
      </c>
      <c r="I9930" s="7" t="str">
        <f>IF(Table1[[#This Row],[Is Data Valid]]=TRUE,((Table1[[#This Row],[Birthweight (grams)]]*1.1/Table1[[#This Row],[BW_GA]])-1)/(Backend!$B$4/100*Table1[[#This Row],[BW40_3705]]),"")</f>
        <v/>
      </c>
      <c r="J9930" s="7" t="str">
        <f>IF(Table1[[#This Row],[Is Data Valid]]=TRUE,_xlfn.NORM.S.DIST(Table1[[#This Row],[Birthweight Z-Score]],TRUE)*100,"")</f>
        <v/>
      </c>
      <c r="K9930" s="7" t="str">
        <f>IF(Table1[[#This Row],[Is Data Valid]]=TRUE,_xlfn.NORM.S.DIST(Table1[[#This Row],[Birthweight Z-Score (BW-10%)]],TRUE)*100,"")</f>
        <v/>
      </c>
      <c r="L9930" s="7" t="str">
        <f>IF(Table1[[#This Row],[Is Data Valid]]=TRUE,_xlfn.NORM.S.DIST(Table1[[#This Row],[Birthweight Z-Score (BW+10%)]],TRUE)*100,"")</f>
        <v/>
      </c>
    </row>
    <row r="9931" spans="1:12" x14ac:dyDescent="0.35">
      <c r="A9931" s="3"/>
      <c r="B9931" s="2"/>
      <c r="C9931" s="2"/>
      <c r="D9931" s="2" t="b">
        <f>IF(AND(NOT(ISBLANK(Table1[[#This Row],[Fetal Sex (Male, Female or Unknown)]])),ISNUMBER(Table1[[#This Row],[Birthweight (grams)]]),ISNUMBER(Table1[[#This Row],[Gestation (days)]])),TRUE,FALSE)</f>
        <v>0</v>
      </c>
      <c r="E9931" s="2" t="str">
        <f>IF(Table1[[#This Row],[Is Data Valid]]=TRUE,IF(Table1[[#This Row],[Fetal Sex (Male, Female or Unknown)]]="Male",Backend!$C$6,IF(Table1[[#This Row],[Fetal Sex (Male, Female or Unknown)]]="Female",Backend!$C$7,IF(Table1[[#This Row],[Fetal Sex (Male, Female or Unknown)]]="Unknown",Backend!$C$8,"Error"))),"")</f>
        <v/>
      </c>
      <c r="F9931" s="8" t="str">
        <f>IF(Table1[[#This Row],[Is Data Valid]]=TRUE,EXP(0.578+0.332*((Table1[[#This Row],[Gestation (days)]]+0.5)/7)-0.00354*((Table1[[#This Row],[Gestation (days)]]+0.5)/7)^2)*Table1[[#This Row],[BW40_3705]],"")</f>
        <v/>
      </c>
      <c r="G9931" s="2" t="str">
        <f>IF(Table1[[#This Row],[Is Data Valid]]=TRUE,((Table1[[#This Row],[Birthweight (grams)]]/Table1[[#This Row],[BW_GA]])-1)/(Backend!$B$4/100*Table1[[#This Row],[BW40_3705]]),"")</f>
        <v/>
      </c>
      <c r="H9931" s="7" t="str">
        <f>IF(Table1[[#This Row],[Is Data Valid]]=TRUE,((Table1[[#This Row],[Birthweight (grams)]]*0.9/Table1[[#This Row],[BW_GA]])-1)/(Backend!$B$4/100*Table1[[#This Row],[BW40_3705]]),"")</f>
        <v/>
      </c>
      <c r="I9931" s="7" t="str">
        <f>IF(Table1[[#This Row],[Is Data Valid]]=TRUE,((Table1[[#This Row],[Birthweight (grams)]]*1.1/Table1[[#This Row],[BW_GA]])-1)/(Backend!$B$4/100*Table1[[#This Row],[BW40_3705]]),"")</f>
        <v/>
      </c>
      <c r="J9931" s="7" t="str">
        <f>IF(Table1[[#This Row],[Is Data Valid]]=TRUE,_xlfn.NORM.S.DIST(Table1[[#This Row],[Birthweight Z-Score]],TRUE)*100,"")</f>
        <v/>
      </c>
      <c r="K9931" s="7" t="str">
        <f>IF(Table1[[#This Row],[Is Data Valid]]=TRUE,_xlfn.NORM.S.DIST(Table1[[#This Row],[Birthweight Z-Score (BW-10%)]],TRUE)*100,"")</f>
        <v/>
      </c>
      <c r="L9931" s="7" t="str">
        <f>IF(Table1[[#This Row],[Is Data Valid]]=TRUE,_xlfn.NORM.S.DIST(Table1[[#This Row],[Birthweight Z-Score (BW+10%)]],TRUE)*100,"")</f>
        <v/>
      </c>
    </row>
    <row r="9932" spans="1:12" x14ac:dyDescent="0.35">
      <c r="A9932" s="3"/>
      <c r="B9932" s="2"/>
      <c r="C9932" s="2"/>
      <c r="D9932" s="2" t="b">
        <f>IF(AND(NOT(ISBLANK(Table1[[#This Row],[Fetal Sex (Male, Female or Unknown)]])),ISNUMBER(Table1[[#This Row],[Birthweight (grams)]]),ISNUMBER(Table1[[#This Row],[Gestation (days)]])),TRUE,FALSE)</f>
        <v>0</v>
      </c>
      <c r="E9932" s="2" t="str">
        <f>IF(Table1[[#This Row],[Is Data Valid]]=TRUE,IF(Table1[[#This Row],[Fetal Sex (Male, Female or Unknown)]]="Male",Backend!$C$6,IF(Table1[[#This Row],[Fetal Sex (Male, Female or Unknown)]]="Female",Backend!$C$7,IF(Table1[[#This Row],[Fetal Sex (Male, Female or Unknown)]]="Unknown",Backend!$C$8,"Error"))),"")</f>
        <v/>
      </c>
      <c r="F9932" s="8" t="str">
        <f>IF(Table1[[#This Row],[Is Data Valid]]=TRUE,EXP(0.578+0.332*((Table1[[#This Row],[Gestation (days)]]+0.5)/7)-0.00354*((Table1[[#This Row],[Gestation (days)]]+0.5)/7)^2)*Table1[[#This Row],[BW40_3705]],"")</f>
        <v/>
      </c>
      <c r="G9932" s="2" t="str">
        <f>IF(Table1[[#This Row],[Is Data Valid]]=TRUE,((Table1[[#This Row],[Birthweight (grams)]]/Table1[[#This Row],[BW_GA]])-1)/(Backend!$B$4/100*Table1[[#This Row],[BW40_3705]]),"")</f>
        <v/>
      </c>
      <c r="H9932" s="7" t="str">
        <f>IF(Table1[[#This Row],[Is Data Valid]]=TRUE,((Table1[[#This Row],[Birthweight (grams)]]*0.9/Table1[[#This Row],[BW_GA]])-1)/(Backend!$B$4/100*Table1[[#This Row],[BW40_3705]]),"")</f>
        <v/>
      </c>
      <c r="I9932" s="7" t="str">
        <f>IF(Table1[[#This Row],[Is Data Valid]]=TRUE,((Table1[[#This Row],[Birthweight (grams)]]*1.1/Table1[[#This Row],[BW_GA]])-1)/(Backend!$B$4/100*Table1[[#This Row],[BW40_3705]]),"")</f>
        <v/>
      </c>
      <c r="J9932" s="7" t="str">
        <f>IF(Table1[[#This Row],[Is Data Valid]]=TRUE,_xlfn.NORM.S.DIST(Table1[[#This Row],[Birthweight Z-Score]],TRUE)*100,"")</f>
        <v/>
      </c>
      <c r="K9932" s="7" t="str">
        <f>IF(Table1[[#This Row],[Is Data Valid]]=TRUE,_xlfn.NORM.S.DIST(Table1[[#This Row],[Birthweight Z-Score (BW-10%)]],TRUE)*100,"")</f>
        <v/>
      </c>
      <c r="L9932" s="7" t="str">
        <f>IF(Table1[[#This Row],[Is Data Valid]]=TRUE,_xlfn.NORM.S.DIST(Table1[[#This Row],[Birthweight Z-Score (BW+10%)]],TRUE)*100,"")</f>
        <v/>
      </c>
    </row>
    <row r="9933" spans="1:12" x14ac:dyDescent="0.35">
      <c r="A9933" s="3"/>
      <c r="B9933" s="2"/>
      <c r="C9933" s="2"/>
      <c r="D9933" s="2" t="b">
        <f>IF(AND(NOT(ISBLANK(Table1[[#This Row],[Fetal Sex (Male, Female or Unknown)]])),ISNUMBER(Table1[[#This Row],[Birthweight (grams)]]),ISNUMBER(Table1[[#This Row],[Gestation (days)]])),TRUE,FALSE)</f>
        <v>0</v>
      </c>
      <c r="E9933" s="2" t="str">
        <f>IF(Table1[[#This Row],[Is Data Valid]]=TRUE,IF(Table1[[#This Row],[Fetal Sex (Male, Female or Unknown)]]="Male",Backend!$C$6,IF(Table1[[#This Row],[Fetal Sex (Male, Female or Unknown)]]="Female",Backend!$C$7,IF(Table1[[#This Row],[Fetal Sex (Male, Female or Unknown)]]="Unknown",Backend!$C$8,"Error"))),"")</f>
        <v/>
      </c>
      <c r="F9933" s="8" t="str">
        <f>IF(Table1[[#This Row],[Is Data Valid]]=TRUE,EXP(0.578+0.332*((Table1[[#This Row],[Gestation (days)]]+0.5)/7)-0.00354*((Table1[[#This Row],[Gestation (days)]]+0.5)/7)^2)*Table1[[#This Row],[BW40_3705]],"")</f>
        <v/>
      </c>
      <c r="G9933" s="2" t="str">
        <f>IF(Table1[[#This Row],[Is Data Valid]]=TRUE,((Table1[[#This Row],[Birthweight (grams)]]/Table1[[#This Row],[BW_GA]])-1)/(Backend!$B$4/100*Table1[[#This Row],[BW40_3705]]),"")</f>
        <v/>
      </c>
      <c r="H9933" s="7" t="str">
        <f>IF(Table1[[#This Row],[Is Data Valid]]=TRUE,((Table1[[#This Row],[Birthweight (grams)]]*0.9/Table1[[#This Row],[BW_GA]])-1)/(Backend!$B$4/100*Table1[[#This Row],[BW40_3705]]),"")</f>
        <v/>
      </c>
      <c r="I9933" s="7" t="str">
        <f>IF(Table1[[#This Row],[Is Data Valid]]=TRUE,((Table1[[#This Row],[Birthweight (grams)]]*1.1/Table1[[#This Row],[BW_GA]])-1)/(Backend!$B$4/100*Table1[[#This Row],[BW40_3705]]),"")</f>
        <v/>
      </c>
      <c r="J9933" s="7" t="str">
        <f>IF(Table1[[#This Row],[Is Data Valid]]=TRUE,_xlfn.NORM.S.DIST(Table1[[#This Row],[Birthweight Z-Score]],TRUE)*100,"")</f>
        <v/>
      </c>
      <c r="K9933" s="7" t="str">
        <f>IF(Table1[[#This Row],[Is Data Valid]]=TRUE,_xlfn.NORM.S.DIST(Table1[[#This Row],[Birthweight Z-Score (BW-10%)]],TRUE)*100,"")</f>
        <v/>
      </c>
      <c r="L9933" s="7" t="str">
        <f>IF(Table1[[#This Row],[Is Data Valid]]=TRUE,_xlfn.NORM.S.DIST(Table1[[#This Row],[Birthweight Z-Score (BW+10%)]],TRUE)*100,"")</f>
        <v/>
      </c>
    </row>
    <row r="9934" spans="1:12" x14ac:dyDescent="0.35">
      <c r="A9934" s="3"/>
      <c r="B9934" s="2"/>
      <c r="C9934" s="2"/>
      <c r="D9934" s="2" t="b">
        <f>IF(AND(NOT(ISBLANK(Table1[[#This Row],[Fetal Sex (Male, Female or Unknown)]])),ISNUMBER(Table1[[#This Row],[Birthweight (grams)]]),ISNUMBER(Table1[[#This Row],[Gestation (days)]])),TRUE,FALSE)</f>
        <v>0</v>
      </c>
      <c r="E9934" s="2" t="str">
        <f>IF(Table1[[#This Row],[Is Data Valid]]=TRUE,IF(Table1[[#This Row],[Fetal Sex (Male, Female or Unknown)]]="Male",Backend!$C$6,IF(Table1[[#This Row],[Fetal Sex (Male, Female or Unknown)]]="Female",Backend!$C$7,IF(Table1[[#This Row],[Fetal Sex (Male, Female or Unknown)]]="Unknown",Backend!$C$8,"Error"))),"")</f>
        <v/>
      </c>
      <c r="F9934" s="8" t="str">
        <f>IF(Table1[[#This Row],[Is Data Valid]]=TRUE,EXP(0.578+0.332*((Table1[[#This Row],[Gestation (days)]]+0.5)/7)-0.00354*((Table1[[#This Row],[Gestation (days)]]+0.5)/7)^2)*Table1[[#This Row],[BW40_3705]],"")</f>
        <v/>
      </c>
      <c r="G9934" s="2" t="str">
        <f>IF(Table1[[#This Row],[Is Data Valid]]=TRUE,((Table1[[#This Row],[Birthweight (grams)]]/Table1[[#This Row],[BW_GA]])-1)/(Backend!$B$4/100*Table1[[#This Row],[BW40_3705]]),"")</f>
        <v/>
      </c>
      <c r="H9934" s="7" t="str">
        <f>IF(Table1[[#This Row],[Is Data Valid]]=TRUE,((Table1[[#This Row],[Birthweight (grams)]]*0.9/Table1[[#This Row],[BW_GA]])-1)/(Backend!$B$4/100*Table1[[#This Row],[BW40_3705]]),"")</f>
        <v/>
      </c>
      <c r="I9934" s="7" t="str">
        <f>IF(Table1[[#This Row],[Is Data Valid]]=TRUE,((Table1[[#This Row],[Birthweight (grams)]]*1.1/Table1[[#This Row],[BW_GA]])-1)/(Backend!$B$4/100*Table1[[#This Row],[BW40_3705]]),"")</f>
        <v/>
      </c>
      <c r="J9934" s="7" t="str">
        <f>IF(Table1[[#This Row],[Is Data Valid]]=TRUE,_xlfn.NORM.S.DIST(Table1[[#This Row],[Birthweight Z-Score]],TRUE)*100,"")</f>
        <v/>
      </c>
      <c r="K9934" s="7" t="str">
        <f>IF(Table1[[#This Row],[Is Data Valid]]=TRUE,_xlfn.NORM.S.DIST(Table1[[#This Row],[Birthweight Z-Score (BW-10%)]],TRUE)*100,"")</f>
        <v/>
      </c>
      <c r="L9934" s="7" t="str">
        <f>IF(Table1[[#This Row],[Is Data Valid]]=TRUE,_xlfn.NORM.S.DIST(Table1[[#This Row],[Birthweight Z-Score (BW+10%)]],TRUE)*100,"")</f>
        <v/>
      </c>
    </row>
    <row r="9935" spans="1:12" x14ac:dyDescent="0.35">
      <c r="A9935" s="3"/>
      <c r="B9935" s="2"/>
      <c r="C9935" s="2"/>
      <c r="D9935" s="2" t="b">
        <f>IF(AND(NOT(ISBLANK(Table1[[#This Row],[Fetal Sex (Male, Female or Unknown)]])),ISNUMBER(Table1[[#This Row],[Birthweight (grams)]]),ISNUMBER(Table1[[#This Row],[Gestation (days)]])),TRUE,FALSE)</f>
        <v>0</v>
      </c>
      <c r="E9935" s="2" t="str">
        <f>IF(Table1[[#This Row],[Is Data Valid]]=TRUE,IF(Table1[[#This Row],[Fetal Sex (Male, Female or Unknown)]]="Male",Backend!$C$6,IF(Table1[[#This Row],[Fetal Sex (Male, Female or Unknown)]]="Female",Backend!$C$7,IF(Table1[[#This Row],[Fetal Sex (Male, Female or Unknown)]]="Unknown",Backend!$C$8,"Error"))),"")</f>
        <v/>
      </c>
      <c r="F9935" s="8" t="str">
        <f>IF(Table1[[#This Row],[Is Data Valid]]=TRUE,EXP(0.578+0.332*((Table1[[#This Row],[Gestation (days)]]+0.5)/7)-0.00354*((Table1[[#This Row],[Gestation (days)]]+0.5)/7)^2)*Table1[[#This Row],[BW40_3705]],"")</f>
        <v/>
      </c>
      <c r="G9935" s="2" t="str">
        <f>IF(Table1[[#This Row],[Is Data Valid]]=TRUE,((Table1[[#This Row],[Birthweight (grams)]]/Table1[[#This Row],[BW_GA]])-1)/(Backend!$B$4/100*Table1[[#This Row],[BW40_3705]]),"")</f>
        <v/>
      </c>
      <c r="H9935" s="7" t="str">
        <f>IF(Table1[[#This Row],[Is Data Valid]]=TRUE,((Table1[[#This Row],[Birthweight (grams)]]*0.9/Table1[[#This Row],[BW_GA]])-1)/(Backend!$B$4/100*Table1[[#This Row],[BW40_3705]]),"")</f>
        <v/>
      </c>
      <c r="I9935" s="7" t="str">
        <f>IF(Table1[[#This Row],[Is Data Valid]]=TRUE,((Table1[[#This Row],[Birthweight (grams)]]*1.1/Table1[[#This Row],[BW_GA]])-1)/(Backend!$B$4/100*Table1[[#This Row],[BW40_3705]]),"")</f>
        <v/>
      </c>
      <c r="J9935" s="7" t="str">
        <f>IF(Table1[[#This Row],[Is Data Valid]]=TRUE,_xlfn.NORM.S.DIST(Table1[[#This Row],[Birthweight Z-Score]],TRUE)*100,"")</f>
        <v/>
      </c>
      <c r="K9935" s="7" t="str">
        <f>IF(Table1[[#This Row],[Is Data Valid]]=TRUE,_xlfn.NORM.S.DIST(Table1[[#This Row],[Birthweight Z-Score (BW-10%)]],TRUE)*100,"")</f>
        <v/>
      </c>
      <c r="L9935" s="7" t="str">
        <f>IF(Table1[[#This Row],[Is Data Valid]]=TRUE,_xlfn.NORM.S.DIST(Table1[[#This Row],[Birthweight Z-Score (BW+10%)]],TRUE)*100,"")</f>
        <v/>
      </c>
    </row>
    <row r="9936" spans="1:12" x14ac:dyDescent="0.35">
      <c r="A9936" s="3"/>
      <c r="B9936" s="2"/>
      <c r="C9936" s="2"/>
      <c r="D9936" s="2" t="b">
        <f>IF(AND(NOT(ISBLANK(Table1[[#This Row],[Fetal Sex (Male, Female or Unknown)]])),ISNUMBER(Table1[[#This Row],[Birthweight (grams)]]),ISNUMBER(Table1[[#This Row],[Gestation (days)]])),TRUE,FALSE)</f>
        <v>0</v>
      </c>
      <c r="E9936" s="2" t="str">
        <f>IF(Table1[[#This Row],[Is Data Valid]]=TRUE,IF(Table1[[#This Row],[Fetal Sex (Male, Female or Unknown)]]="Male",Backend!$C$6,IF(Table1[[#This Row],[Fetal Sex (Male, Female or Unknown)]]="Female",Backend!$C$7,IF(Table1[[#This Row],[Fetal Sex (Male, Female or Unknown)]]="Unknown",Backend!$C$8,"Error"))),"")</f>
        <v/>
      </c>
      <c r="F9936" s="8" t="str">
        <f>IF(Table1[[#This Row],[Is Data Valid]]=TRUE,EXP(0.578+0.332*((Table1[[#This Row],[Gestation (days)]]+0.5)/7)-0.00354*((Table1[[#This Row],[Gestation (days)]]+0.5)/7)^2)*Table1[[#This Row],[BW40_3705]],"")</f>
        <v/>
      </c>
      <c r="G9936" s="2" t="str">
        <f>IF(Table1[[#This Row],[Is Data Valid]]=TRUE,((Table1[[#This Row],[Birthweight (grams)]]/Table1[[#This Row],[BW_GA]])-1)/(Backend!$B$4/100*Table1[[#This Row],[BW40_3705]]),"")</f>
        <v/>
      </c>
      <c r="H9936" s="7" t="str">
        <f>IF(Table1[[#This Row],[Is Data Valid]]=TRUE,((Table1[[#This Row],[Birthweight (grams)]]*0.9/Table1[[#This Row],[BW_GA]])-1)/(Backend!$B$4/100*Table1[[#This Row],[BW40_3705]]),"")</f>
        <v/>
      </c>
      <c r="I9936" s="7" t="str">
        <f>IF(Table1[[#This Row],[Is Data Valid]]=TRUE,((Table1[[#This Row],[Birthweight (grams)]]*1.1/Table1[[#This Row],[BW_GA]])-1)/(Backend!$B$4/100*Table1[[#This Row],[BW40_3705]]),"")</f>
        <v/>
      </c>
      <c r="J9936" s="7" t="str">
        <f>IF(Table1[[#This Row],[Is Data Valid]]=TRUE,_xlfn.NORM.S.DIST(Table1[[#This Row],[Birthweight Z-Score]],TRUE)*100,"")</f>
        <v/>
      </c>
      <c r="K9936" s="7" t="str">
        <f>IF(Table1[[#This Row],[Is Data Valid]]=TRUE,_xlfn.NORM.S.DIST(Table1[[#This Row],[Birthweight Z-Score (BW-10%)]],TRUE)*100,"")</f>
        <v/>
      </c>
      <c r="L9936" s="7" t="str">
        <f>IF(Table1[[#This Row],[Is Data Valid]]=TRUE,_xlfn.NORM.S.DIST(Table1[[#This Row],[Birthweight Z-Score (BW+10%)]],TRUE)*100,"")</f>
        <v/>
      </c>
    </row>
    <row r="9937" spans="1:12" x14ac:dyDescent="0.35">
      <c r="A9937" s="3"/>
      <c r="B9937" s="2"/>
      <c r="C9937" s="2"/>
      <c r="D9937" s="2" t="b">
        <f>IF(AND(NOT(ISBLANK(Table1[[#This Row],[Fetal Sex (Male, Female or Unknown)]])),ISNUMBER(Table1[[#This Row],[Birthweight (grams)]]),ISNUMBER(Table1[[#This Row],[Gestation (days)]])),TRUE,FALSE)</f>
        <v>0</v>
      </c>
      <c r="E9937" s="2" t="str">
        <f>IF(Table1[[#This Row],[Is Data Valid]]=TRUE,IF(Table1[[#This Row],[Fetal Sex (Male, Female or Unknown)]]="Male",Backend!$C$6,IF(Table1[[#This Row],[Fetal Sex (Male, Female or Unknown)]]="Female",Backend!$C$7,IF(Table1[[#This Row],[Fetal Sex (Male, Female or Unknown)]]="Unknown",Backend!$C$8,"Error"))),"")</f>
        <v/>
      </c>
      <c r="F9937" s="8" t="str">
        <f>IF(Table1[[#This Row],[Is Data Valid]]=TRUE,EXP(0.578+0.332*((Table1[[#This Row],[Gestation (days)]]+0.5)/7)-0.00354*((Table1[[#This Row],[Gestation (days)]]+0.5)/7)^2)*Table1[[#This Row],[BW40_3705]],"")</f>
        <v/>
      </c>
      <c r="G9937" s="2" t="str">
        <f>IF(Table1[[#This Row],[Is Data Valid]]=TRUE,((Table1[[#This Row],[Birthweight (grams)]]/Table1[[#This Row],[BW_GA]])-1)/(Backend!$B$4/100*Table1[[#This Row],[BW40_3705]]),"")</f>
        <v/>
      </c>
      <c r="H9937" s="7" t="str">
        <f>IF(Table1[[#This Row],[Is Data Valid]]=TRUE,((Table1[[#This Row],[Birthweight (grams)]]*0.9/Table1[[#This Row],[BW_GA]])-1)/(Backend!$B$4/100*Table1[[#This Row],[BW40_3705]]),"")</f>
        <v/>
      </c>
      <c r="I9937" s="7" t="str">
        <f>IF(Table1[[#This Row],[Is Data Valid]]=TRUE,((Table1[[#This Row],[Birthweight (grams)]]*1.1/Table1[[#This Row],[BW_GA]])-1)/(Backend!$B$4/100*Table1[[#This Row],[BW40_3705]]),"")</f>
        <v/>
      </c>
      <c r="J9937" s="7" t="str">
        <f>IF(Table1[[#This Row],[Is Data Valid]]=TRUE,_xlfn.NORM.S.DIST(Table1[[#This Row],[Birthweight Z-Score]],TRUE)*100,"")</f>
        <v/>
      </c>
      <c r="K9937" s="7" t="str">
        <f>IF(Table1[[#This Row],[Is Data Valid]]=TRUE,_xlfn.NORM.S.DIST(Table1[[#This Row],[Birthweight Z-Score (BW-10%)]],TRUE)*100,"")</f>
        <v/>
      </c>
      <c r="L9937" s="7" t="str">
        <f>IF(Table1[[#This Row],[Is Data Valid]]=TRUE,_xlfn.NORM.S.DIST(Table1[[#This Row],[Birthweight Z-Score (BW+10%)]],TRUE)*100,"")</f>
        <v/>
      </c>
    </row>
    <row r="9938" spans="1:12" x14ac:dyDescent="0.35">
      <c r="A9938" s="3"/>
      <c r="B9938" s="2"/>
      <c r="C9938" s="2"/>
      <c r="D9938" s="2" t="b">
        <f>IF(AND(NOT(ISBLANK(Table1[[#This Row],[Fetal Sex (Male, Female or Unknown)]])),ISNUMBER(Table1[[#This Row],[Birthweight (grams)]]),ISNUMBER(Table1[[#This Row],[Gestation (days)]])),TRUE,FALSE)</f>
        <v>0</v>
      </c>
      <c r="E9938" s="2" t="str">
        <f>IF(Table1[[#This Row],[Is Data Valid]]=TRUE,IF(Table1[[#This Row],[Fetal Sex (Male, Female or Unknown)]]="Male",Backend!$C$6,IF(Table1[[#This Row],[Fetal Sex (Male, Female or Unknown)]]="Female",Backend!$C$7,IF(Table1[[#This Row],[Fetal Sex (Male, Female or Unknown)]]="Unknown",Backend!$C$8,"Error"))),"")</f>
        <v/>
      </c>
      <c r="F9938" s="8" t="str">
        <f>IF(Table1[[#This Row],[Is Data Valid]]=TRUE,EXP(0.578+0.332*((Table1[[#This Row],[Gestation (days)]]+0.5)/7)-0.00354*((Table1[[#This Row],[Gestation (days)]]+0.5)/7)^2)*Table1[[#This Row],[BW40_3705]],"")</f>
        <v/>
      </c>
      <c r="G9938" s="2" t="str">
        <f>IF(Table1[[#This Row],[Is Data Valid]]=TRUE,((Table1[[#This Row],[Birthweight (grams)]]/Table1[[#This Row],[BW_GA]])-1)/(Backend!$B$4/100*Table1[[#This Row],[BW40_3705]]),"")</f>
        <v/>
      </c>
      <c r="H9938" s="7" t="str">
        <f>IF(Table1[[#This Row],[Is Data Valid]]=TRUE,((Table1[[#This Row],[Birthweight (grams)]]*0.9/Table1[[#This Row],[BW_GA]])-1)/(Backend!$B$4/100*Table1[[#This Row],[BW40_3705]]),"")</f>
        <v/>
      </c>
      <c r="I9938" s="7" t="str">
        <f>IF(Table1[[#This Row],[Is Data Valid]]=TRUE,((Table1[[#This Row],[Birthweight (grams)]]*1.1/Table1[[#This Row],[BW_GA]])-1)/(Backend!$B$4/100*Table1[[#This Row],[BW40_3705]]),"")</f>
        <v/>
      </c>
      <c r="J9938" s="7" t="str">
        <f>IF(Table1[[#This Row],[Is Data Valid]]=TRUE,_xlfn.NORM.S.DIST(Table1[[#This Row],[Birthweight Z-Score]],TRUE)*100,"")</f>
        <v/>
      </c>
      <c r="K9938" s="7" t="str">
        <f>IF(Table1[[#This Row],[Is Data Valid]]=TRUE,_xlfn.NORM.S.DIST(Table1[[#This Row],[Birthweight Z-Score (BW-10%)]],TRUE)*100,"")</f>
        <v/>
      </c>
      <c r="L9938" s="7" t="str">
        <f>IF(Table1[[#This Row],[Is Data Valid]]=TRUE,_xlfn.NORM.S.DIST(Table1[[#This Row],[Birthweight Z-Score (BW+10%)]],TRUE)*100,"")</f>
        <v/>
      </c>
    </row>
    <row r="9939" spans="1:12" x14ac:dyDescent="0.35">
      <c r="A9939" s="3"/>
      <c r="B9939" s="2"/>
      <c r="C9939" s="2"/>
      <c r="D9939" s="2" t="b">
        <f>IF(AND(NOT(ISBLANK(Table1[[#This Row],[Fetal Sex (Male, Female or Unknown)]])),ISNUMBER(Table1[[#This Row],[Birthweight (grams)]]),ISNUMBER(Table1[[#This Row],[Gestation (days)]])),TRUE,FALSE)</f>
        <v>0</v>
      </c>
      <c r="E9939" s="2" t="str">
        <f>IF(Table1[[#This Row],[Is Data Valid]]=TRUE,IF(Table1[[#This Row],[Fetal Sex (Male, Female or Unknown)]]="Male",Backend!$C$6,IF(Table1[[#This Row],[Fetal Sex (Male, Female or Unknown)]]="Female",Backend!$C$7,IF(Table1[[#This Row],[Fetal Sex (Male, Female or Unknown)]]="Unknown",Backend!$C$8,"Error"))),"")</f>
        <v/>
      </c>
      <c r="F9939" s="8" t="str">
        <f>IF(Table1[[#This Row],[Is Data Valid]]=TRUE,EXP(0.578+0.332*((Table1[[#This Row],[Gestation (days)]]+0.5)/7)-0.00354*((Table1[[#This Row],[Gestation (days)]]+0.5)/7)^2)*Table1[[#This Row],[BW40_3705]],"")</f>
        <v/>
      </c>
      <c r="G9939" s="2" t="str">
        <f>IF(Table1[[#This Row],[Is Data Valid]]=TRUE,((Table1[[#This Row],[Birthweight (grams)]]/Table1[[#This Row],[BW_GA]])-1)/(Backend!$B$4/100*Table1[[#This Row],[BW40_3705]]),"")</f>
        <v/>
      </c>
      <c r="H9939" s="7" t="str">
        <f>IF(Table1[[#This Row],[Is Data Valid]]=TRUE,((Table1[[#This Row],[Birthweight (grams)]]*0.9/Table1[[#This Row],[BW_GA]])-1)/(Backend!$B$4/100*Table1[[#This Row],[BW40_3705]]),"")</f>
        <v/>
      </c>
      <c r="I9939" s="7" t="str">
        <f>IF(Table1[[#This Row],[Is Data Valid]]=TRUE,((Table1[[#This Row],[Birthweight (grams)]]*1.1/Table1[[#This Row],[BW_GA]])-1)/(Backend!$B$4/100*Table1[[#This Row],[BW40_3705]]),"")</f>
        <v/>
      </c>
      <c r="J9939" s="7" t="str">
        <f>IF(Table1[[#This Row],[Is Data Valid]]=TRUE,_xlfn.NORM.S.DIST(Table1[[#This Row],[Birthweight Z-Score]],TRUE)*100,"")</f>
        <v/>
      </c>
      <c r="K9939" s="7" t="str">
        <f>IF(Table1[[#This Row],[Is Data Valid]]=TRUE,_xlfn.NORM.S.DIST(Table1[[#This Row],[Birthweight Z-Score (BW-10%)]],TRUE)*100,"")</f>
        <v/>
      </c>
      <c r="L9939" s="7" t="str">
        <f>IF(Table1[[#This Row],[Is Data Valid]]=TRUE,_xlfn.NORM.S.DIST(Table1[[#This Row],[Birthweight Z-Score (BW+10%)]],TRUE)*100,"")</f>
        <v/>
      </c>
    </row>
    <row r="9940" spans="1:12" x14ac:dyDescent="0.35">
      <c r="A9940" s="3"/>
      <c r="B9940" s="2"/>
      <c r="C9940" s="2"/>
      <c r="D9940" s="2" t="b">
        <f>IF(AND(NOT(ISBLANK(Table1[[#This Row],[Fetal Sex (Male, Female or Unknown)]])),ISNUMBER(Table1[[#This Row],[Birthweight (grams)]]),ISNUMBER(Table1[[#This Row],[Gestation (days)]])),TRUE,FALSE)</f>
        <v>0</v>
      </c>
      <c r="E9940" s="2" t="str">
        <f>IF(Table1[[#This Row],[Is Data Valid]]=TRUE,IF(Table1[[#This Row],[Fetal Sex (Male, Female or Unknown)]]="Male",Backend!$C$6,IF(Table1[[#This Row],[Fetal Sex (Male, Female or Unknown)]]="Female",Backend!$C$7,IF(Table1[[#This Row],[Fetal Sex (Male, Female or Unknown)]]="Unknown",Backend!$C$8,"Error"))),"")</f>
        <v/>
      </c>
      <c r="F9940" s="8" t="str">
        <f>IF(Table1[[#This Row],[Is Data Valid]]=TRUE,EXP(0.578+0.332*((Table1[[#This Row],[Gestation (days)]]+0.5)/7)-0.00354*((Table1[[#This Row],[Gestation (days)]]+0.5)/7)^2)*Table1[[#This Row],[BW40_3705]],"")</f>
        <v/>
      </c>
      <c r="G9940" s="2" t="str">
        <f>IF(Table1[[#This Row],[Is Data Valid]]=TRUE,((Table1[[#This Row],[Birthweight (grams)]]/Table1[[#This Row],[BW_GA]])-1)/(Backend!$B$4/100*Table1[[#This Row],[BW40_3705]]),"")</f>
        <v/>
      </c>
      <c r="H9940" s="7" t="str">
        <f>IF(Table1[[#This Row],[Is Data Valid]]=TRUE,((Table1[[#This Row],[Birthweight (grams)]]*0.9/Table1[[#This Row],[BW_GA]])-1)/(Backend!$B$4/100*Table1[[#This Row],[BW40_3705]]),"")</f>
        <v/>
      </c>
      <c r="I9940" s="7" t="str">
        <f>IF(Table1[[#This Row],[Is Data Valid]]=TRUE,((Table1[[#This Row],[Birthweight (grams)]]*1.1/Table1[[#This Row],[BW_GA]])-1)/(Backend!$B$4/100*Table1[[#This Row],[BW40_3705]]),"")</f>
        <v/>
      </c>
      <c r="J9940" s="7" t="str">
        <f>IF(Table1[[#This Row],[Is Data Valid]]=TRUE,_xlfn.NORM.S.DIST(Table1[[#This Row],[Birthweight Z-Score]],TRUE)*100,"")</f>
        <v/>
      </c>
      <c r="K9940" s="7" t="str">
        <f>IF(Table1[[#This Row],[Is Data Valid]]=TRUE,_xlfn.NORM.S.DIST(Table1[[#This Row],[Birthweight Z-Score (BW-10%)]],TRUE)*100,"")</f>
        <v/>
      </c>
      <c r="L9940" s="7" t="str">
        <f>IF(Table1[[#This Row],[Is Data Valid]]=TRUE,_xlfn.NORM.S.DIST(Table1[[#This Row],[Birthweight Z-Score (BW+10%)]],TRUE)*100,"")</f>
        <v/>
      </c>
    </row>
    <row r="9941" spans="1:12" x14ac:dyDescent="0.35">
      <c r="A9941" s="3"/>
      <c r="B9941" s="2"/>
      <c r="C9941" s="2"/>
      <c r="D9941" s="2" t="b">
        <f>IF(AND(NOT(ISBLANK(Table1[[#This Row],[Fetal Sex (Male, Female or Unknown)]])),ISNUMBER(Table1[[#This Row],[Birthweight (grams)]]),ISNUMBER(Table1[[#This Row],[Gestation (days)]])),TRUE,FALSE)</f>
        <v>0</v>
      </c>
      <c r="E9941" s="2" t="str">
        <f>IF(Table1[[#This Row],[Is Data Valid]]=TRUE,IF(Table1[[#This Row],[Fetal Sex (Male, Female or Unknown)]]="Male",Backend!$C$6,IF(Table1[[#This Row],[Fetal Sex (Male, Female or Unknown)]]="Female",Backend!$C$7,IF(Table1[[#This Row],[Fetal Sex (Male, Female or Unknown)]]="Unknown",Backend!$C$8,"Error"))),"")</f>
        <v/>
      </c>
      <c r="F9941" s="8" t="str">
        <f>IF(Table1[[#This Row],[Is Data Valid]]=TRUE,EXP(0.578+0.332*((Table1[[#This Row],[Gestation (days)]]+0.5)/7)-0.00354*((Table1[[#This Row],[Gestation (days)]]+0.5)/7)^2)*Table1[[#This Row],[BW40_3705]],"")</f>
        <v/>
      </c>
      <c r="G9941" s="2" t="str">
        <f>IF(Table1[[#This Row],[Is Data Valid]]=TRUE,((Table1[[#This Row],[Birthweight (grams)]]/Table1[[#This Row],[BW_GA]])-1)/(Backend!$B$4/100*Table1[[#This Row],[BW40_3705]]),"")</f>
        <v/>
      </c>
      <c r="H9941" s="7" t="str">
        <f>IF(Table1[[#This Row],[Is Data Valid]]=TRUE,((Table1[[#This Row],[Birthweight (grams)]]*0.9/Table1[[#This Row],[BW_GA]])-1)/(Backend!$B$4/100*Table1[[#This Row],[BW40_3705]]),"")</f>
        <v/>
      </c>
      <c r="I9941" s="7" t="str">
        <f>IF(Table1[[#This Row],[Is Data Valid]]=TRUE,((Table1[[#This Row],[Birthweight (grams)]]*1.1/Table1[[#This Row],[BW_GA]])-1)/(Backend!$B$4/100*Table1[[#This Row],[BW40_3705]]),"")</f>
        <v/>
      </c>
      <c r="J9941" s="7" t="str">
        <f>IF(Table1[[#This Row],[Is Data Valid]]=TRUE,_xlfn.NORM.S.DIST(Table1[[#This Row],[Birthweight Z-Score]],TRUE)*100,"")</f>
        <v/>
      </c>
      <c r="K9941" s="7" t="str">
        <f>IF(Table1[[#This Row],[Is Data Valid]]=TRUE,_xlfn.NORM.S.DIST(Table1[[#This Row],[Birthweight Z-Score (BW-10%)]],TRUE)*100,"")</f>
        <v/>
      </c>
      <c r="L9941" s="7" t="str">
        <f>IF(Table1[[#This Row],[Is Data Valid]]=TRUE,_xlfn.NORM.S.DIST(Table1[[#This Row],[Birthweight Z-Score (BW+10%)]],TRUE)*100,"")</f>
        <v/>
      </c>
    </row>
    <row r="9942" spans="1:12" x14ac:dyDescent="0.35">
      <c r="A9942" s="3"/>
      <c r="B9942" s="2"/>
      <c r="C9942" s="2"/>
      <c r="D9942" s="2" t="b">
        <f>IF(AND(NOT(ISBLANK(Table1[[#This Row],[Fetal Sex (Male, Female or Unknown)]])),ISNUMBER(Table1[[#This Row],[Birthweight (grams)]]),ISNUMBER(Table1[[#This Row],[Gestation (days)]])),TRUE,FALSE)</f>
        <v>0</v>
      </c>
      <c r="E9942" s="2" t="str">
        <f>IF(Table1[[#This Row],[Is Data Valid]]=TRUE,IF(Table1[[#This Row],[Fetal Sex (Male, Female or Unknown)]]="Male",Backend!$C$6,IF(Table1[[#This Row],[Fetal Sex (Male, Female or Unknown)]]="Female",Backend!$C$7,IF(Table1[[#This Row],[Fetal Sex (Male, Female or Unknown)]]="Unknown",Backend!$C$8,"Error"))),"")</f>
        <v/>
      </c>
      <c r="F9942" s="8" t="str">
        <f>IF(Table1[[#This Row],[Is Data Valid]]=TRUE,EXP(0.578+0.332*((Table1[[#This Row],[Gestation (days)]]+0.5)/7)-0.00354*((Table1[[#This Row],[Gestation (days)]]+0.5)/7)^2)*Table1[[#This Row],[BW40_3705]],"")</f>
        <v/>
      </c>
      <c r="G9942" s="2" t="str">
        <f>IF(Table1[[#This Row],[Is Data Valid]]=TRUE,((Table1[[#This Row],[Birthweight (grams)]]/Table1[[#This Row],[BW_GA]])-1)/(Backend!$B$4/100*Table1[[#This Row],[BW40_3705]]),"")</f>
        <v/>
      </c>
      <c r="H9942" s="7" t="str">
        <f>IF(Table1[[#This Row],[Is Data Valid]]=TRUE,((Table1[[#This Row],[Birthweight (grams)]]*0.9/Table1[[#This Row],[BW_GA]])-1)/(Backend!$B$4/100*Table1[[#This Row],[BW40_3705]]),"")</f>
        <v/>
      </c>
      <c r="I9942" s="7" t="str">
        <f>IF(Table1[[#This Row],[Is Data Valid]]=TRUE,((Table1[[#This Row],[Birthweight (grams)]]*1.1/Table1[[#This Row],[BW_GA]])-1)/(Backend!$B$4/100*Table1[[#This Row],[BW40_3705]]),"")</f>
        <v/>
      </c>
      <c r="J9942" s="7" t="str">
        <f>IF(Table1[[#This Row],[Is Data Valid]]=TRUE,_xlfn.NORM.S.DIST(Table1[[#This Row],[Birthweight Z-Score]],TRUE)*100,"")</f>
        <v/>
      </c>
      <c r="K9942" s="7" t="str">
        <f>IF(Table1[[#This Row],[Is Data Valid]]=TRUE,_xlfn.NORM.S.DIST(Table1[[#This Row],[Birthweight Z-Score (BW-10%)]],TRUE)*100,"")</f>
        <v/>
      </c>
      <c r="L9942" s="7" t="str">
        <f>IF(Table1[[#This Row],[Is Data Valid]]=TRUE,_xlfn.NORM.S.DIST(Table1[[#This Row],[Birthweight Z-Score (BW+10%)]],TRUE)*100,"")</f>
        <v/>
      </c>
    </row>
    <row r="9943" spans="1:12" x14ac:dyDescent="0.35">
      <c r="A9943" s="3"/>
      <c r="B9943" s="2"/>
      <c r="C9943" s="2"/>
      <c r="D9943" s="2" t="b">
        <f>IF(AND(NOT(ISBLANK(Table1[[#This Row],[Fetal Sex (Male, Female or Unknown)]])),ISNUMBER(Table1[[#This Row],[Birthweight (grams)]]),ISNUMBER(Table1[[#This Row],[Gestation (days)]])),TRUE,FALSE)</f>
        <v>0</v>
      </c>
      <c r="E9943" s="2" t="str">
        <f>IF(Table1[[#This Row],[Is Data Valid]]=TRUE,IF(Table1[[#This Row],[Fetal Sex (Male, Female or Unknown)]]="Male",Backend!$C$6,IF(Table1[[#This Row],[Fetal Sex (Male, Female or Unknown)]]="Female",Backend!$C$7,IF(Table1[[#This Row],[Fetal Sex (Male, Female or Unknown)]]="Unknown",Backend!$C$8,"Error"))),"")</f>
        <v/>
      </c>
      <c r="F9943" s="8" t="str">
        <f>IF(Table1[[#This Row],[Is Data Valid]]=TRUE,EXP(0.578+0.332*((Table1[[#This Row],[Gestation (days)]]+0.5)/7)-0.00354*((Table1[[#This Row],[Gestation (days)]]+0.5)/7)^2)*Table1[[#This Row],[BW40_3705]],"")</f>
        <v/>
      </c>
      <c r="G9943" s="2" t="str">
        <f>IF(Table1[[#This Row],[Is Data Valid]]=TRUE,((Table1[[#This Row],[Birthweight (grams)]]/Table1[[#This Row],[BW_GA]])-1)/(Backend!$B$4/100*Table1[[#This Row],[BW40_3705]]),"")</f>
        <v/>
      </c>
      <c r="H9943" s="7" t="str">
        <f>IF(Table1[[#This Row],[Is Data Valid]]=TRUE,((Table1[[#This Row],[Birthweight (grams)]]*0.9/Table1[[#This Row],[BW_GA]])-1)/(Backend!$B$4/100*Table1[[#This Row],[BW40_3705]]),"")</f>
        <v/>
      </c>
      <c r="I9943" s="7" t="str">
        <f>IF(Table1[[#This Row],[Is Data Valid]]=TRUE,((Table1[[#This Row],[Birthweight (grams)]]*1.1/Table1[[#This Row],[BW_GA]])-1)/(Backend!$B$4/100*Table1[[#This Row],[BW40_3705]]),"")</f>
        <v/>
      </c>
      <c r="J9943" s="7" t="str">
        <f>IF(Table1[[#This Row],[Is Data Valid]]=TRUE,_xlfn.NORM.S.DIST(Table1[[#This Row],[Birthweight Z-Score]],TRUE)*100,"")</f>
        <v/>
      </c>
      <c r="K9943" s="7" t="str">
        <f>IF(Table1[[#This Row],[Is Data Valid]]=TRUE,_xlfn.NORM.S.DIST(Table1[[#This Row],[Birthweight Z-Score (BW-10%)]],TRUE)*100,"")</f>
        <v/>
      </c>
      <c r="L9943" s="7" t="str">
        <f>IF(Table1[[#This Row],[Is Data Valid]]=TRUE,_xlfn.NORM.S.DIST(Table1[[#This Row],[Birthweight Z-Score (BW+10%)]],TRUE)*100,"")</f>
        <v/>
      </c>
    </row>
    <row r="9944" spans="1:12" x14ac:dyDescent="0.35">
      <c r="A9944" s="3"/>
      <c r="B9944" s="2"/>
      <c r="C9944" s="2"/>
      <c r="D9944" s="2" t="b">
        <f>IF(AND(NOT(ISBLANK(Table1[[#This Row],[Fetal Sex (Male, Female or Unknown)]])),ISNUMBER(Table1[[#This Row],[Birthweight (grams)]]),ISNUMBER(Table1[[#This Row],[Gestation (days)]])),TRUE,FALSE)</f>
        <v>0</v>
      </c>
      <c r="E9944" s="2" t="str">
        <f>IF(Table1[[#This Row],[Is Data Valid]]=TRUE,IF(Table1[[#This Row],[Fetal Sex (Male, Female or Unknown)]]="Male",Backend!$C$6,IF(Table1[[#This Row],[Fetal Sex (Male, Female or Unknown)]]="Female",Backend!$C$7,IF(Table1[[#This Row],[Fetal Sex (Male, Female or Unknown)]]="Unknown",Backend!$C$8,"Error"))),"")</f>
        <v/>
      </c>
      <c r="F9944" s="8" t="str">
        <f>IF(Table1[[#This Row],[Is Data Valid]]=TRUE,EXP(0.578+0.332*((Table1[[#This Row],[Gestation (days)]]+0.5)/7)-0.00354*((Table1[[#This Row],[Gestation (days)]]+0.5)/7)^2)*Table1[[#This Row],[BW40_3705]],"")</f>
        <v/>
      </c>
      <c r="G9944" s="2" t="str">
        <f>IF(Table1[[#This Row],[Is Data Valid]]=TRUE,((Table1[[#This Row],[Birthweight (grams)]]/Table1[[#This Row],[BW_GA]])-1)/(Backend!$B$4/100*Table1[[#This Row],[BW40_3705]]),"")</f>
        <v/>
      </c>
      <c r="H9944" s="7" t="str">
        <f>IF(Table1[[#This Row],[Is Data Valid]]=TRUE,((Table1[[#This Row],[Birthweight (grams)]]*0.9/Table1[[#This Row],[BW_GA]])-1)/(Backend!$B$4/100*Table1[[#This Row],[BW40_3705]]),"")</f>
        <v/>
      </c>
      <c r="I9944" s="7" t="str">
        <f>IF(Table1[[#This Row],[Is Data Valid]]=TRUE,((Table1[[#This Row],[Birthweight (grams)]]*1.1/Table1[[#This Row],[BW_GA]])-1)/(Backend!$B$4/100*Table1[[#This Row],[BW40_3705]]),"")</f>
        <v/>
      </c>
      <c r="J9944" s="7" t="str">
        <f>IF(Table1[[#This Row],[Is Data Valid]]=TRUE,_xlfn.NORM.S.DIST(Table1[[#This Row],[Birthweight Z-Score]],TRUE)*100,"")</f>
        <v/>
      </c>
      <c r="K9944" s="7" t="str">
        <f>IF(Table1[[#This Row],[Is Data Valid]]=TRUE,_xlfn.NORM.S.DIST(Table1[[#This Row],[Birthweight Z-Score (BW-10%)]],TRUE)*100,"")</f>
        <v/>
      </c>
      <c r="L9944" s="7" t="str">
        <f>IF(Table1[[#This Row],[Is Data Valid]]=TRUE,_xlfn.NORM.S.DIST(Table1[[#This Row],[Birthweight Z-Score (BW+10%)]],TRUE)*100,"")</f>
        <v/>
      </c>
    </row>
    <row r="9945" spans="1:12" x14ac:dyDescent="0.35">
      <c r="A9945" s="3"/>
      <c r="B9945" s="2"/>
      <c r="C9945" s="2"/>
      <c r="D9945" s="2" t="b">
        <f>IF(AND(NOT(ISBLANK(Table1[[#This Row],[Fetal Sex (Male, Female or Unknown)]])),ISNUMBER(Table1[[#This Row],[Birthweight (grams)]]),ISNUMBER(Table1[[#This Row],[Gestation (days)]])),TRUE,FALSE)</f>
        <v>0</v>
      </c>
      <c r="E9945" s="2" t="str">
        <f>IF(Table1[[#This Row],[Is Data Valid]]=TRUE,IF(Table1[[#This Row],[Fetal Sex (Male, Female or Unknown)]]="Male",Backend!$C$6,IF(Table1[[#This Row],[Fetal Sex (Male, Female or Unknown)]]="Female",Backend!$C$7,IF(Table1[[#This Row],[Fetal Sex (Male, Female or Unknown)]]="Unknown",Backend!$C$8,"Error"))),"")</f>
        <v/>
      </c>
      <c r="F9945" s="8" t="str">
        <f>IF(Table1[[#This Row],[Is Data Valid]]=TRUE,EXP(0.578+0.332*((Table1[[#This Row],[Gestation (days)]]+0.5)/7)-0.00354*((Table1[[#This Row],[Gestation (days)]]+0.5)/7)^2)*Table1[[#This Row],[BW40_3705]],"")</f>
        <v/>
      </c>
      <c r="G9945" s="2" t="str">
        <f>IF(Table1[[#This Row],[Is Data Valid]]=TRUE,((Table1[[#This Row],[Birthweight (grams)]]/Table1[[#This Row],[BW_GA]])-1)/(Backend!$B$4/100*Table1[[#This Row],[BW40_3705]]),"")</f>
        <v/>
      </c>
      <c r="H9945" s="7" t="str">
        <f>IF(Table1[[#This Row],[Is Data Valid]]=TRUE,((Table1[[#This Row],[Birthweight (grams)]]*0.9/Table1[[#This Row],[BW_GA]])-1)/(Backend!$B$4/100*Table1[[#This Row],[BW40_3705]]),"")</f>
        <v/>
      </c>
      <c r="I9945" s="7" t="str">
        <f>IF(Table1[[#This Row],[Is Data Valid]]=TRUE,((Table1[[#This Row],[Birthweight (grams)]]*1.1/Table1[[#This Row],[BW_GA]])-1)/(Backend!$B$4/100*Table1[[#This Row],[BW40_3705]]),"")</f>
        <v/>
      </c>
      <c r="J9945" s="7" t="str">
        <f>IF(Table1[[#This Row],[Is Data Valid]]=TRUE,_xlfn.NORM.S.DIST(Table1[[#This Row],[Birthweight Z-Score]],TRUE)*100,"")</f>
        <v/>
      </c>
      <c r="K9945" s="7" t="str">
        <f>IF(Table1[[#This Row],[Is Data Valid]]=TRUE,_xlfn.NORM.S.DIST(Table1[[#This Row],[Birthweight Z-Score (BW-10%)]],TRUE)*100,"")</f>
        <v/>
      </c>
      <c r="L9945" s="7" t="str">
        <f>IF(Table1[[#This Row],[Is Data Valid]]=TRUE,_xlfn.NORM.S.DIST(Table1[[#This Row],[Birthweight Z-Score (BW+10%)]],TRUE)*100,"")</f>
        <v/>
      </c>
    </row>
    <row r="9946" spans="1:12" x14ac:dyDescent="0.35">
      <c r="A9946" s="3"/>
      <c r="B9946" s="2"/>
      <c r="C9946" s="2"/>
      <c r="D9946" s="2" t="b">
        <f>IF(AND(NOT(ISBLANK(Table1[[#This Row],[Fetal Sex (Male, Female or Unknown)]])),ISNUMBER(Table1[[#This Row],[Birthweight (grams)]]),ISNUMBER(Table1[[#This Row],[Gestation (days)]])),TRUE,FALSE)</f>
        <v>0</v>
      </c>
      <c r="E9946" s="2" t="str">
        <f>IF(Table1[[#This Row],[Is Data Valid]]=TRUE,IF(Table1[[#This Row],[Fetal Sex (Male, Female or Unknown)]]="Male",Backend!$C$6,IF(Table1[[#This Row],[Fetal Sex (Male, Female or Unknown)]]="Female",Backend!$C$7,IF(Table1[[#This Row],[Fetal Sex (Male, Female or Unknown)]]="Unknown",Backend!$C$8,"Error"))),"")</f>
        <v/>
      </c>
      <c r="F9946" s="8" t="str">
        <f>IF(Table1[[#This Row],[Is Data Valid]]=TRUE,EXP(0.578+0.332*((Table1[[#This Row],[Gestation (days)]]+0.5)/7)-0.00354*((Table1[[#This Row],[Gestation (days)]]+0.5)/7)^2)*Table1[[#This Row],[BW40_3705]],"")</f>
        <v/>
      </c>
      <c r="G9946" s="2" t="str">
        <f>IF(Table1[[#This Row],[Is Data Valid]]=TRUE,((Table1[[#This Row],[Birthweight (grams)]]/Table1[[#This Row],[BW_GA]])-1)/(Backend!$B$4/100*Table1[[#This Row],[BW40_3705]]),"")</f>
        <v/>
      </c>
      <c r="H9946" s="7" t="str">
        <f>IF(Table1[[#This Row],[Is Data Valid]]=TRUE,((Table1[[#This Row],[Birthweight (grams)]]*0.9/Table1[[#This Row],[BW_GA]])-1)/(Backend!$B$4/100*Table1[[#This Row],[BW40_3705]]),"")</f>
        <v/>
      </c>
      <c r="I9946" s="7" t="str">
        <f>IF(Table1[[#This Row],[Is Data Valid]]=TRUE,((Table1[[#This Row],[Birthweight (grams)]]*1.1/Table1[[#This Row],[BW_GA]])-1)/(Backend!$B$4/100*Table1[[#This Row],[BW40_3705]]),"")</f>
        <v/>
      </c>
      <c r="J9946" s="7" t="str">
        <f>IF(Table1[[#This Row],[Is Data Valid]]=TRUE,_xlfn.NORM.S.DIST(Table1[[#This Row],[Birthweight Z-Score]],TRUE)*100,"")</f>
        <v/>
      </c>
      <c r="K9946" s="7" t="str">
        <f>IF(Table1[[#This Row],[Is Data Valid]]=TRUE,_xlfn.NORM.S.DIST(Table1[[#This Row],[Birthweight Z-Score (BW-10%)]],TRUE)*100,"")</f>
        <v/>
      </c>
      <c r="L9946" s="7" t="str">
        <f>IF(Table1[[#This Row],[Is Data Valid]]=TRUE,_xlfn.NORM.S.DIST(Table1[[#This Row],[Birthweight Z-Score (BW+10%)]],TRUE)*100,"")</f>
        <v/>
      </c>
    </row>
    <row r="9947" spans="1:12" x14ac:dyDescent="0.35">
      <c r="A9947" s="3"/>
      <c r="B9947" s="2"/>
      <c r="C9947" s="2"/>
      <c r="D9947" s="2" t="b">
        <f>IF(AND(NOT(ISBLANK(Table1[[#This Row],[Fetal Sex (Male, Female or Unknown)]])),ISNUMBER(Table1[[#This Row],[Birthweight (grams)]]),ISNUMBER(Table1[[#This Row],[Gestation (days)]])),TRUE,FALSE)</f>
        <v>0</v>
      </c>
      <c r="E9947" s="2" t="str">
        <f>IF(Table1[[#This Row],[Is Data Valid]]=TRUE,IF(Table1[[#This Row],[Fetal Sex (Male, Female or Unknown)]]="Male",Backend!$C$6,IF(Table1[[#This Row],[Fetal Sex (Male, Female or Unknown)]]="Female",Backend!$C$7,IF(Table1[[#This Row],[Fetal Sex (Male, Female or Unknown)]]="Unknown",Backend!$C$8,"Error"))),"")</f>
        <v/>
      </c>
      <c r="F9947" s="8" t="str">
        <f>IF(Table1[[#This Row],[Is Data Valid]]=TRUE,EXP(0.578+0.332*((Table1[[#This Row],[Gestation (days)]]+0.5)/7)-0.00354*((Table1[[#This Row],[Gestation (days)]]+0.5)/7)^2)*Table1[[#This Row],[BW40_3705]],"")</f>
        <v/>
      </c>
      <c r="G9947" s="2" t="str">
        <f>IF(Table1[[#This Row],[Is Data Valid]]=TRUE,((Table1[[#This Row],[Birthweight (grams)]]/Table1[[#This Row],[BW_GA]])-1)/(Backend!$B$4/100*Table1[[#This Row],[BW40_3705]]),"")</f>
        <v/>
      </c>
      <c r="H9947" s="7" t="str">
        <f>IF(Table1[[#This Row],[Is Data Valid]]=TRUE,((Table1[[#This Row],[Birthweight (grams)]]*0.9/Table1[[#This Row],[BW_GA]])-1)/(Backend!$B$4/100*Table1[[#This Row],[BW40_3705]]),"")</f>
        <v/>
      </c>
      <c r="I9947" s="7" t="str">
        <f>IF(Table1[[#This Row],[Is Data Valid]]=TRUE,((Table1[[#This Row],[Birthweight (grams)]]*1.1/Table1[[#This Row],[BW_GA]])-1)/(Backend!$B$4/100*Table1[[#This Row],[BW40_3705]]),"")</f>
        <v/>
      </c>
      <c r="J9947" s="7" t="str">
        <f>IF(Table1[[#This Row],[Is Data Valid]]=TRUE,_xlfn.NORM.S.DIST(Table1[[#This Row],[Birthweight Z-Score]],TRUE)*100,"")</f>
        <v/>
      </c>
      <c r="K9947" s="7" t="str">
        <f>IF(Table1[[#This Row],[Is Data Valid]]=TRUE,_xlfn.NORM.S.DIST(Table1[[#This Row],[Birthweight Z-Score (BW-10%)]],TRUE)*100,"")</f>
        <v/>
      </c>
      <c r="L9947" s="7" t="str">
        <f>IF(Table1[[#This Row],[Is Data Valid]]=TRUE,_xlfn.NORM.S.DIST(Table1[[#This Row],[Birthweight Z-Score (BW+10%)]],TRUE)*100,"")</f>
        <v/>
      </c>
    </row>
    <row r="9948" spans="1:12" x14ac:dyDescent="0.35">
      <c r="A9948" s="3"/>
      <c r="B9948" s="2"/>
      <c r="C9948" s="2"/>
      <c r="D9948" s="2" t="b">
        <f>IF(AND(NOT(ISBLANK(Table1[[#This Row],[Fetal Sex (Male, Female or Unknown)]])),ISNUMBER(Table1[[#This Row],[Birthweight (grams)]]),ISNUMBER(Table1[[#This Row],[Gestation (days)]])),TRUE,FALSE)</f>
        <v>0</v>
      </c>
      <c r="E9948" s="2" t="str">
        <f>IF(Table1[[#This Row],[Is Data Valid]]=TRUE,IF(Table1[[#This Row],[Fetal Sex (Male, Female or Unknown)]]="Male",Backend!$C$6,IF(Table1[[#This Row],[Fetal Sex (Male, Female or Unknown)]]="Female",Backend!$C$7,IF(Table1[[#This Row],[Fetal Sex (Male, Female or Unknown)]]="Unknown",Backend!$C$8,"Error"))),"")</f>
        <v/>
      </c>
      <c r="F9948" s="8" t="str">
        <f>IF(Table1[[#This Row],[Is Data Valid]]=TRUE,EXP(0.578+0.332*((Table1[[#This Row],[Gestation (days)]]+0.5)/7)-0.00354*((Table1[[#This Row],[Gestation (days)]]+0.5)/7)^2)*Table1[[#This Row],[BW40_3705]],"")</f>
        <v/>
      </c>
      <c r="G9948" s="2" t="str">
        <f>IF(Table1[[#This Row],[Is Data Valid]]=TRUE,((Table1[[#This Row],[Birthweight (grams)]]/Table1[[#This Row],[BW_GA]])-1)/(Backend!$B$4/100*Table1[[#This Row],[BW40_3705]]),"")</f>
        <v/>
      </c>
      <c r="H9948" s="7" t="str">
        <f>IF(Table1[[#This Row],[Is Data Valid]]=TRUE,((Table1[[#This Row],[Birthweight (grams)]]*0.9/Table1[[#This Row],[BW_GA]])-1)/(Backend!$B$4/100*Table1[[#This Row],[BW40_3705]]),"")</f>
        <v/>
      </c>
      <c r="I9948" s="7" t="str">
        <f>IF(Table1[[#This Row],[Is Data Valid]]=TRUE,((Table1[[#This Row],[Birthweight (grams)]]*1.1/Table1[[#This Row],[BW_GA]])-1)/(Backend!$B$4/100*Table1[[#This Row],[BW40_3705]]),"")</f>
        <v/>
      </c>
      <c r="J9948" s="7" t="str">
        <f>IF(Table1[[#This Row],[Is Data Valid]]=TRUE,_xlfn.NORM.S.DIST(Table1[[#This Row],[Birthweight Z-Score]],TRUE)*100,"")</f>
        <v/>
      </c>
      <c r="K9948" s="7" t="str">
        <f>IF(Table1[[#This Row],[Is Data Valid]]=TRUE,_xlfn.NORM.S.DIST(Table1[[#This Row],[Birthweight Z-Score (BW-10%)]],TRUE)*100,"")</f>
        <v/>
      </c>
      <c r="L9948" s="7" t="str">
        <f>IF(Table1[[#This Row],[Is Data Valid]]=TRUE,_xlfn.NORM.S.DIST(Table1[[#This Row],[Birthweight Z-Score (BW+10%)]],TRUE)*100,"")</f>
        <v/>
      </c>
    </row>
    <row r="9949" spans="1:12" x14ac:dyDescent="0.35">
      <c r="A9949" s="3"/>
      <c r="B9949" s="2"/>
      <c r="C9949" s="2"/>
      <c r="D9949" s="2" t="b">
        <f>IF(AND(NOT(ISBLANK(Table1[[#This Row],[Fetal Sex (Male, Female or Unknown)]])),ISNUMBER(Table1[[#This Row],[Birthweight (grams)]]),ISNUMBER(Table1[[#This Row],[Gestation (days)]])),TRUE,FALSE)</f>
        <v>0</v>
      </c>
      <c r="E9949" s="2" t="str">
        <f>IF(Table1[[#This Row],[Is Data Valid]]=TRUE,IF(Table1[[#This Row],[Fetal Sex (Male, Female or Unknown)]]="Male",Backend!$C$6,IF(Table1[[#This Row],[Fetal Sex (Male, Female or Unknown)]]="Female",Backend!$C$7,IF(Table1[[#This Row],[Fetal Sex (Male, Female or Unknown)]]="Unknown",Backend!$C$8,"Error"))),"")</f>
        <v/>
      </c>
      <c r="F9949" s="8" t="str">
        <f>IF(Table1[[#This Row],[Is Data Valid]]=TRUE,EXP(0.578+0.332*((Table1[[#This Row],[Gestation (days)]]+0.5)/7)-0.00354*((Table1[[#This Row],[Gestation (days)]]+0.5)/7)^2)*Table1[[#This Row],[BW40_3705]],"")</f>
        <v/>
      </c>
      <c r="G9949" s="2" t="str">
        <f>IF(Table1[[#This Row],[Is Data Valid]]=TRUE,((Table1[[#This Row],[Birthweight (grams)]]/Table1[[#This Row],[BW_GA]])-1)/(Backend!$B$4/100*Table1[[#This Row],[BW40_3705]]),"")</f>
        <v/>
      </c>
      <c r="H9949" s="7" t="str">
        <f>IF(Table1[[#This Row],[Is Data Valid]]=TRUE,((Table1[[#This Row],[Birthweight (grams)]]*0.9/Table1[[#This Row],[BW_GA]])-1)/(Backend!$B$4/100*Table1[[#This Row],[BW40_3705]]),"")</f>
        <v/>
      </c>
      <c r="I9949" s="7" t="str">
        <f>IF(Table1[[#This Row],[Is Data Valid]]=TRUE,((Table1[[#This Row],[Birthweight (grams)]]*1.1/Table1[[#This Row],[BW_GA]])-1)/(Backend!$B$4/100*Table1[[#This Row],[BW40_3705]]),"")</f>
        <v/>
      </c>
      <c r="J9949" s="7" t="str">
        <f>IF(Table1[[#This Row],[Is Data Valid]]=TRUE,_xlfn.NORM.S.DIST(Table1[[#This Row],[Birthweight Z-Score]],TRUE)*100,"")</f>
        <v/>
      </c>
      <c r="K9949" s="7" t="str">
        <f>IF(Table1[[#This Row],[Is Data Valid]]=TRUE,_xlfn.NORM.S.DIST(Table1[[#This Row],[Birthweight Z-Score (BW-10%)]],TRUE)*100,"")</f>
        <v/>
      </c>
      <c r="L9949" s="7" t="str">
        <f>IF(Table1[[#This Row],[Is Data Valid]]=TRUE,_xlfn.NORM.S.DIST(Table1[[#This Row],[Birthweight Z-Score (BW+10%)]],TRUE)*100,"")</f>
        <v/>
      </c>
    </row>
    <row r="9950" spans="1:12" x14ac:dyDescent="0.35">
      <c r="A9950" s="3"/>
      <c r="B9950" s="2"/>
      <c r="C9950" s="2"/>
      <c r="D9950" s="2" t="b">
        <f>IF(AND(NOT(ISBLANK(Table1[[#This Row],[Fetal Sex (Male, Female or Unknown)]])),ISNUMBER(Table1[[#This Row],[Birthweight (grams)]]),ISNUMBER(Table1[[#This Row],[Gestation (days)]])),TRUE,FALSE)</f>
        <v>0</v>
      </c>
      <c r="E9950" s="2" t="str">
        <f>IF(Table1[[#This Row],[Is Data Valid]]=TRUE,IF(Table1[[#This Row],[Fetal Sex (Male, Female or Unknown)]]="Male",Backend!$C$6,IF(Table1[[#This Row],[Fetal Sex (Male, Female or Unknown)]]="Female",Backend!$C$7,IF(Table1[[#This Row],[Fetal Sex (Male, Female or Unknown)]]="Unknown",Backend!$C$8,"Error"))),"")</f>
        <v/>
      </c>
      <c r="F9950" s="8" t="str">
        <f>IF(Table1[[#This Row],[Is Data Valid]]=TRUE,EXP(0.578+0.332*((Table1[[#This Row],[Gestation (days)]]+0.5)/7)-0.00354*((Table1[[#This Row],[Gestation (days)]]+0.5)/7)^2)*Table1[[#This Row],[BW40_3705]],"")</f>
        <v/>
      </c>
      <c r="G9950" s="2" t="str">
        <f>IF(Table1[[#This Row],[Is Data Valid]]=TRUE,((Table1[[#This Row],[Birthweight (grams)]]/Table1[[#This Row],[BW_GA]])-1)/(Backend!$B$4/100*Table1[[#This Row],[BW40_3705]]),"")</f>
        <v/>
      </c>
      <c r="H9950" s="7" t="str">
        <f>IF(Table1[[#This Row],[Is Data Valid]]=TRUE,((Table1[[#This Row],[Birthweight (grams)]]*0.9/Table1[[#This Row],[BW_GA]])-1)/(Backend!$B$4/100*Table1[[#This Row],[BW40_3705]]),"")</f>
        <v/>
      </c>
      <c r="I9950" s="7" t="str">
        <f>IF(Table1[[#This Row],[Is Data Valid]]=TRUE,((Table1[[#This Row],[Birthweight (grams)]]*1.1/Table1[[#This Row],[BW_GA]])-1)/(Backend!$B$4/100*Table1[[#This Row],[BW40_3705]]),"")</f>
        <v/>
      </c>
      <c r="J9950" s="7" t="str">
        <f>IF(Table1[[#This Row],[Is Data Valid]]=TRUE,_xlfn.NORM.S.DIST(Table1[[#This Row],[Birthweight Z-Score]],TRUE)*100,"")</f>
        <v/>
      </c>
      <c r="K9950" s="7" t="str">
        <f>IF(Table1[[#This Row],[Is Data Valid]]=TRUE,_xlfn.NORM.S.DIST(Table1[[#This Row],[Birthweight Z-Score (BW-10%)]],TRUE)*100,"")</f>
        <v/>
      </c>
      <c r="L9950" s="7" t="str">
        <f>IF(Table1[[#This Row],[Is Data Valid]]=TRUE,_xlfn.NORM.S.DIST(Table1[[#This Row],[Birthweight Z-Score (BW+10%)]],TRUE)*100,"")</f>
        <v/>
      </c>
    </row>
    <row r="9951" spans="1:12" x14ac:dyDescent="0.35">
      <c r="A9951" s="3"/>
      <c r="B9951" s="2"/>
      <c r="C9951" s="2"/>
      <c r="D9951" s="2" t="b">
        <f>IF(AND(NOT(ISBLANK(Table1[[#This Row],[Fetal Sex (Male, Female or Unknown)]])),ISNUMBER(Table1[[#This Row],[Birthweight (grams)]]),ISNUMBER(Table1[[#This Row],[Gestation (days)]])),TRUE,FALSE)</f>
        <v>0</v>
      </c>
      <c r="E9951" s="2" t="str">
        <f>IF(Table1[[#This Row],[Is Data Valid]]=TRUE,IF(Table1[[#This Row],[Fetal Sex (Male, Female or Unknown)]]="Male",Backend!$C$6,IF(Table1[[#This Row],[Fetal Sex (Male, Female or Unknown)]]="Female",Backend!$C$7,IF(Table1[[#This Row],[Fetal Sex (Male, Female or Unknown)]]="Unknown",Backend!$C$8,"Error"))),"")</f>
        <v/>
      </c>
      <c r="F9951" s="8" t="str">
        <f>IF(Table1[[#This Row],[Is Data Valid]]=TRUE,EXP(0.578+0.332*((Table1[[#This Row],[Gestation (days)]]+0.5)/7)-0.00354*((Table1[[#This Row],[Gestation (days)]]+0.5)/7)^2)*Table1[[#This Row],[BW40_3705]],"")</f>
        <v/>
      </c>
      <c r="G9951" s="2" t="str">
        <f>IF(Table1[[#This Row],[Is Data Valid]]=TRUE,((Table1[[#This Row],[Birthweight (grams)]]/Table1[[#This Row],[BW_GA]])-1)/(Backend!$B$4/100*Table1[[#This Row],[BW40_3705]]),"")</f>
        <v/>
      </c>
      <c r="H9951" s="7" t="str">
        <f>IF(Table1[[#This Row],[Is Data Valid]]=TRUE,((Table1[[#This Row],[Birthweight (grams)]]*0.9/Table1[[#This Row],[BW_GA]])-1)/(Backend!$B$4/100*Table1[[#This Row],[BW40_3705]]),"")</f>
        <v/>
      </c>
      <c r="I9951" s="7" t="str">
        <f>IF(Table1[[#This Row],[Is Data Valid]]=TRUE,((Table1[[#This Row],[Birthweight (grams)]]*1.1/Table1[[#This Row],[BW_GA]])-1)/(Backend!$B$4/100*Table1[[#This Row],[BW40_3705]]),"")</f>
        <v/>
      </c>
      <c r="J9951" s="7" t="str">
        <f>IF(Table1[[#This Row],[Is Data Valid]]=TRUE,_xlfn.NORM.S.DIST(Table1[[#This Row],[Birthweight Z-Score]],TRUE)*100,"")</f>
        <v/>
      </c>
      <c r="K9951" s="7" t="str">
        <f>IF(Table1[[#This Row],[Is Data Valid]]=TRUE,_xlfn.NORM.S.DIST(Table1[[#This Row],[Birthweight Z-Score (BW-10%)]],TRUE)*100,"")</f>
        <v/>
      </c>
      <c r="L9951" s="7" t="str">
        <f>IF(Table1[[#This Row],[Is Data Valid]]=TRUE,_xlfn.NORM.S.DIST(Table1[[#This Row],[Birthweight Z-Score (BW+10%)]],TRUE)*100,"")</f>
        <v/>
      </c>
    </row>
    <row r="9952" spans="1:12" x14ac:dyDescent="0.35">
      <c r="A9952" s="3"/>
      <c r="B9952" s="2"/>
      <c r="C9952" s="2"/>
      <c r="D9952" s="2" t="b">
        <f>IF(AND(NOT(ISBLANK(Table1[[#This Row],[Fetal Sex (Male, Female or Unknown)]])),ISNUMBER(Table1[[#This Row],[Birthweight (grams)]]),ISNUMBER(Table1[[#This Row],[Gestation (days)]])),TRUE,FALSE)</f>
        <v>0</v>
      </c>
      <c r="E9952" s="2" t="str">
        <f>IF(Table1[[#This Row],[Is Data Valid]]=TRUE,IF(Table1[[#This Row],[Fetal Sex (Male, Female or Unknown)]]="Male",Backend!$C$6,IF(Table1[[#This Row],[Fetal Sex (Male, Female or Unknown)]]="Female",Backend!$C$7,IF(Table1[[#This Row],[Fetal Sex (Male, Female or Unknown)]]="Unknown",Backend!$C$8,"Error"))),"")</f>
        <v/>
      </c>
      <c r="F9952" s="8" t="str">
        <f>IF(Table1[[#This Row],[Is Data Valid]]=TRUE,EXP(0.578+0.332*((Table1[[#This Row],[Gestation (days)]]+0.5)/7)-0.00354*((Table1[[#This Row],[Gestation (days)]]+0.5)/7)^2)*Table1[[#This Row],[BW40_3705]],"")</f>
        <v/>
      </c>
      <c r="G9952" s="2" t="str">
        <f>IF(Table1[[#This Row],[Is Data Valid]]=TRUE,((Table1[[#This Row],[Birthweight (grams)]]/Table1[[#This Row],[BW_GA]])-1)/(Backend!$B$4/100*Table1[[#This Row],[BW40_3705]]),"")</f>
        <v/>
      </c>
      <c r="H9952" s="7" t="str">
        <f>IF(Table1[[#This Row],[Is Data Valid]]=TRUE,((Table1[[#This Row],[Birthweight (grams)]]*0.9/Table1[[#This Row],[BW_GA]])-1)/(Backend!$B$4/100*Table1[[#This Row],[BW40_3705]]),"")</f>
        <v/>
      </c>
      <c r="I9952" s="7" t="str">
        <f>IF(Table1[[#This Row],[Is Data Valid]]=TRUE,((Table1[[#This Row],[Birthweight (grams)]]*1.1/Table1[[#This Row],[BW_GA]])-1)/(Backend!$B$4/100*Table1[[#This Row],[BW40_3705]]),"")</f>
        <v/>
      </c>
      <c r="J9952" s="7" t="str">
        <f>IF(Table1[[#This Row],[Is Data Valid]]=TRUE,_xlfn.NORM.S.DIST(Table1[[#This Row],[Birthweight Z-Score]],TRUE)*100,"")</f>
        <v/>
      </c>
      <c r="K9952" s="7" t="str">
        <f>IF(Table1[[#This Row],[Is Data Valid]]=TRUE,_xlfn.NORM.S.DIST(Table1[[#This Row],[Birthweight Z-Score (BW-10%)]],TRUE)*100,"")</f>
        <v/>
      </c>
      <c r="L9952" s="7" t="str">
        <f>IF(Table1[[#This Row],[Is Data Valid]]=TRUE,_xlfn.NORM.S.DIST(Table1[[#This Row],[Birthweight Z-Score (BW+10%)]],TRUE)*100,"")</f>
        <v/>
      </c>
    </row>
    <row r="9953" spans="1:12" x14ac:dyDescent="0.35">
      <c r="A9953" s="3"/>
      <c r="B9953" s="2"/>
      <c r="C9953" s="2"/>
      <c r="D9953" s="2" t="b">
        <f>IF(AND(NOT(ISBLANK(Table1[[#This Row],[Fetal Sex (Male, Female or Unknown)]])),ISNUMBER(Table1[[#This Row],[Birthweight (grams)]]),ISNUMBER(Table1[[#This Row],[Gestation (days)]])),TRUE,FALSE)</f>
        <v>0</v>
      </c>
      <c r="E9953" s="2" t="str">
        <f>IF(Table1[[#This Row],[Is Data Valid]]=TRUE,IF(Table1[[#This Row],[Fetal Sex (Male, Female or Unknown)]]="Male",Backend!$C$6,IF(Table1[[#This Row],[Fetal Sex (Male, Female or Unknown)]]="Female",Backend!$C$7,IF(Table1[[#This Row],[Fetal Sex (Male, Female or Unknown)]]="Unknown",Backend!$C$8,"Error"))),"")</f>
        <v/>
      </c>
      <c r="F9953" s="8" t="str">
        <f>IF(Table1[[#This Row],[Is Data Valid]]=TRUE,EXP(0.578+0.332*((Table1[[#This Row],[Gestation (days)]]+0.5)/7)-0.00354*((Table1[[#This Row],[Gestation (days)]]+0.5)/7)^2)*Table1[[#This Row],[BW40_3705]],"")</f>
        <v/>
      </c>
      <c r="G9953" s="2" t="str">
        <f>IF(Table1[[#This Row],[Is Data Valid]]=TRUE,((Table1[[#This Row],[Birthweight (grams)]]/Table1[[#This Row],[BW_GA]])-1)/(Backend!$B$4/100*Table1[[#This Row],[BW40_3705]]),"")</f>
        <v/>
      </c>
      <c r="H9953" s="7" t="str">
        <f>IF(Table1[[#This Row],[Is Data Valid]]=TRUE,((Table1[[#This Row],[Birthweight (grams)]]*0.9/Table1[[#This Row],[BW_GA]])-1)/(Backend!$B$4/100*Table1[[#This Row],[BW40_3705]]),"")</f>
        <v/>
      </c>
      <c r="I9953" s="7" t="str">
        <f>IF(Table1[[#This Row],[Is Data Valid]]=TRUE,((Table1[[#This Row],[Birthweight (grams)]]*1.1/Table1[[#This Row],[BW_GA]])-1)/(Backend!$B$4/100*Table1[[#This Row],[BW40_3705]]),"")</f>
        <v/>
      </c>
      <c r="J9953" s="7" t="str">
        <f>IF(Table1[[#This Row],[Is Data Valid]]=TRUE,_xlfn.NORM.S.DIST(Table1[[#This Row],[Birthweight Z-Score]],TRUE)*100,"")</f>
        <v/>
      </c>
      <c r="K9953" s="7" t="str">
        <f>IF(Table1[[#This Row],[Is Data Valid]]=TRUE,_xlfn.NORM.S.DIST(Table1[[#This Row],[Birthweight Z-Score (BW-10%)]],TRUE)*100,"")</f>
        <v/>
      </c>
      <c r="L9953" s="7" t="str">
        <f>IF(Table1[[#This Row],[Is Data Valid]]=TRUE,_xlfn.NORM.S.DIST(Table1[[#This Row],[Birthweight Z-Score (BW+10%)]],TRUE)*100,"")</f>
        <v/>
      </c>
    </row>
    <row r="9954" spans="1:12" x14ac:dyDescent="0.35">
      <c r="A9954" s="3"/>
      <c r="B9954" s="2"/>
      <c r="C9954" s="2"/>
      <c r="D9954" s="2" t="b">
        <f>IF(AND(NOT(ISBLANK(Table1[[#This Row],[Fetal Sex (Male, Female or Unknown)]])),ISNUMBER(Table1[[#This Row],[Birthweight (grams)]]),ISNUMBER(Table1[[#This Row],[Gestation (days)]])),TRUE,FALSE)</f>
        <v>0</v>
      </c>
      <c r="E9954" s="2" t="str">
        <f>IF(Table1[[#This Row],[Is Data Valid]]=TRUE,IF(Table1[[#This Row],[Fetal Sex (Male, Female or Unknown)]]="Male",Backend!$C$6,IF(Table1[[#This Row],[Fetal Sex (Male, Female or Unknown)]]="Female",Backend!$C$7,IF(Table1[[#This Row],[Fetal Sex (Male, Female or Unknown)]]="Unknown",Backend!$C$8,"Error"))),"")</f>
        <v/>
      </c>
      <c r="F9954" s="8" t="str">
        <f>IF(Table1[[#This Row],[Is Data Valid]]=TRUE,EXP(0.578+0.332*((Table1[[#This Row],[Gestation (days)]]+0.5)/7)-0.00354*((Table1[[#This Row],[Gestation (days)]]+0.5)/7)^2)*Table1[[#This Row],[BW40_3705]],"")</f>
        <v/>
      </c>
      <c r="G9954" s="2" t="str">
        <f>IF(Table1[[#This Row],[Is Data Valid]]=TRUE,((Table1[[#This Row],[Birthweight (grams)]]/Table1[[#This Row],[BW_GA]])-1)/(Backend!$B$4/100*Table1[[#This Row],[BW40_3705]]),"")</f>
        <v/>
      </c>
      <c r="H9954" s="7" t="str">
        <f>IF(Table1[[#This Row],[Is Data Valid]]=TRUE,((Table1[[#This Row],[Birthweight (grams)]]*0.9/Table1[[#This Row],[BW_GA]])-1)/(Backend!$B$4/100*Table1[[#This Row],[BW40_3705]]),"")</f>
        <v/>
      </c>
      <c r="I9954" s="7" t="str">
        <f>IF(Table1[[#This Row],[Is Data Valid]]=TRUE,((Table1[[#This Row],[Birthweight (grams)]]*1.1/Table1[[#This Row],[BW_GA]])-1)/(Backend!$B$4/100*Table1[[#This Row],[BW40_3705]]),"")</f>
        <v/>
      </c>
      <c r="J9954" s="7" t="str">
        <f>IF(Table1[[#This Row],[Is Data Valid]]=TRUE,_xlfn.NORM.S.DIST(Table1[[#This Row],[Birthweight Z-Score]],TRUE)*100,"")</f>
        <v/>
      </c>
      <c r="K9954" s="7" t="str">
        <f>IF(Table1[[#This Row],[Is Data Valid]]=TRUE,_xlfn.NORM.S.DIST(Table1[[#This Row],[Birthweight Z-Score (BW-10%)]],TRUE)*100,"")</f>
        <v/>
      </c>
      <c r="L9954" s="7" t="str">
        <f>IF(Table1[[#This Row],[Is Data Valid]]=TRUE,_xlfn.NORM.S.DIST(Table1[[#This Row],[Birthweight Z-Score (BW+10%)]],TRUE)*100,"")</f>
        <v/>
      </c>
    </row>
    <row r="9955" spans="1:12" x14ac:dyDescent="0.35">
      <c r="A9955" s="3"/>
      <c r="B9955" s="2"/>
      <c r="C9955" s="2"/>
      <c r="D9955" s="2" t="b">
        <f>IF(AND(NOT(ISBLANK(Table1[[#This Row],[Fetal Sex (Male, Female or Unknown)]])),ISNUMBER(Table1[[#This Row],[Birthweight (grams)]]),ISNUMBER(Table1[[#This Row],[Gestation (days)]])),TRUE,FALSE)</f>
        <v>0</v>
      </c>
      <c r="E9955" s="2" t="str">
        <f>IF(Table1[[#This Row],[Is Data Valid]]=TRUE,IF(Table1[[#This Row],[Fetal Sex (Male, Female or Unknown)]]="Male",Backend!$C$6,IF(Table1[[#This Row],[Fetal Sex (Male, Female or Unknown)]]="Female",Backend!$C$7,IF(Table1[[#This Row],[Fetal Sex (Male, Female or Unknown)]]="Unknown",Backend!$C$8,"Error"))),"")</f>
        <v/>
      </c>
      <c r="F9955" s="8" t="str">
        <f>IF(Table1[[#This Row],[Is Data Valid]]=TRUE,EXP(0.578+0.332*((Table1[[#This Row],[Gestation (days)]]+0.5)/7)-0.00354*((Table1[[#This Row],[Gestation (days)]]+0.5)/7)^2)*Table1[[#This Row],[BW40_3705]],"")</f>
        <v/>
      </c>
      <c r="G9955" s="2" t="str">
        <f>IF(Table1[[#This Row],[Is Data Valid]]=TRUE,((Table1[[#This Row],[Birthweight (grams)]]/Table1[[#This Row],[BW_GA]])-1)/(Backend!$B$4/100*Table1[[#This Row],[BW40_3705]]),"")</f>
        <v/>
      </c>
      <c r="H9955" s="7" t="str">
        <f>IF(Table1[[#This Row],[Is Data Valid]]=TRUE,((Table1[[#This Row],[Birthweight (grams)]]*0.9/Table1[[#This Row],[BW_GA]])-1)/(Backend!$B$4/100*Table1[[#This Row],[BW40_3705]]),"")</f>
        <v/>
      </c>
      <c r="I9955" s="7" t="str">
        <f>IF(Table1[[#This Row],[Is Data Valid]]=TRUE,((Table1[[#This Row],[Birthweight (grams)]]*1.1/Table1[[#This Row],[BW_GA]])-1)/(Backend!$B$4/100*Table1[[#This Row],[BW40_3705]]),"")</f>
        <v/>
      </c>
      <c r="J9955" s="7" t="str">
        <f>IF(Table1[[#This Row],[Is Data Valid]]=TRUE,_xlfn.NORM.S.DIST(Table1[[#This Row],[Birthweight Z-Score]],TRUE)*100,"")</f>
        <v/>
      </c>
      <c r="K9955" s="7" t="str">
        <f>IF(Table1[[#This Row],[Is Data Valid]]=TRUE,_xlfn.NORM.S.DIST(Table1[[#This Row],[Birthweight Z-Score (BW-10%)]],TRUE)*100,"")</f>
        <v/>
      </c>
      <c r="L9955" s="7" t="str">
        <f>IF(Table1[[#This Row],[Is Data Valid]]=TRUE,_xlfn.NORM.S.DIST(Table1[[#This Row],[Birthweight Z-Score (BW+10%)]],TRUE)*100,"")</f>
        <v/>
      </c>
    </row>
    <row r="9956" spans="1:12" x14ac:dyDescent="0.35">
      <c r="A9956" s="3"/>
      <c r="B9956" s="2"/>
      <c r="C9956" s="2"/>
      <c r="D9956" s="2" t="b">
        <f>IF(AND(NOT(ISBLANK(Table1[[#This Row],[Fetal Sex (Male, Female or Unknown)]])),ISNUMBER(Table1[[#This Row],[Birthweight (grams)]]),ISNUMBER(Table1[[#This Row],[Gestation (days)]])),TRUE,FALSE)</f>
        <v>0</v>
      </c>
      <c r="E9956" s="2" t="str">
        <f>IF(Table1[[#This Row],[Is Data Valid]]=TRUE,IF(Table1[[#This Row],[Fetal Sex (Male, Female or Unknown)]]="Male",Backend!$C$6,IF(Table1[[#This Row],[Fetal Sex (Male, Female or Unknown)]]="Female",Backend!$C$7,IF(Table1[[#This Row],[Fetal Sex (Male, Female or Unknown)]]="Unknown",Backend!$C$8,"Error"))),"")</f>
        <v/>
      </c>
      <c r="F9956" s="8" t="str">
        <f>IF(Table1[[#This Row],[Is Data Valid]]=TRUE,EXP(0.578+0.332*((Table1[[#This Row],[Gestation (days)]]+0.5)/7)-0.00354*((Table1[[#This Row],[Gestation (days)]]+0.5)/7)^2)*Table1[[#This Row],[BW40_3705]],"")</f>
        <v/>
      </c>
      <c r="G9956" s="2" t="str">
        <f>IF(Table1[[#This Row],[Is Data Valid]]=TRUE,((Table1[[#This Row],[Birthweight (grams)]]/Table1[[#This Row],[BW_GA]])-1)/(Backend!$B$4/100*Table1[[#This Row],[BW40_3705]]),"")</f>
        <v/>
      </c>
      <c r="H9956" s="7" t="str">
        <f>IF(Table1[[#This Row],[Is Data Valid]]=TRUE,((Table1[[#This Row],[Birthweight (grams)]]*0.9/Table1[[#This Row],[BW_GA]])-1)/(Backend!$B$4/100*Table1[[#This Row],[BW40_3705]]),"")</f>
        <v/>
      </c>
      <c r="I9956" s="7" t="str">
        <f>IF(Table1[[#This Row],[Is Data Valid]]=TRUE,((Table1[[#This Row],[Birthweight (grams)]]*1.1/Table1[[#This Row],[BW_GA]])-1)/(Backend!$B$4/100*Table1[[#This Row],[BW40_3705]]),"")</f>
        <v/>
      </c>
      <c r="J9956" s="7" t="str">
        <f>IF(Table1[[#This Row],[Is Data Valid]]=TRUE,_xlfn.NORM.S.DIST(Table1[[#This Row],[Birthweight Z-Score]],TRUE)*100,"")</f>
        <v/>
      </c>
      <c r="K9956" s="7" t="str">
        <f>IF(Table1[[#This Row],[Is Data Valid]]=TRUE,_xlfn.NORM.S.DIST(Table1[[#This Row],[Birthweight Z-Score (BW-10%)]],TRUE)*100,"")</f>
        <v/>
      </c>
      <c r="L9956" s="7" t="str">
        <f>IF(Table1[[#This Row],[Is Data Valid]]=TRUE,_xlfn.NORM.S.DIST(Table1[[#This Row],[Birthweight Z-Score (BW+10%)]],TRUE)*100,"")</f>
        <v/>
      </c>
    </row>
    <row r="9957" spans="1:12" x14ac:dyDescent="0.35">
      <c r="A9957" s="3"/>
      <c r="B9957" s="2"/>
      <c r="C9957" s="2"/>
      <c r="D9957" s="2" t="b">
        <f>IF(AND(NOT(ISBLANK(Table1[[#This Row],[Fetal Sex (Male, Female or Unknown)]])),ISNUMBER(Table1[[#This Row],[Birthweight (grams)]]),ISNUMBER(Table1[[#This Row],[Gestation (days)]])),TRUE,FALSE)</f>
        <v>0</v>
      </c>
      <c r="E9957" s="2" t="str">
        <f>IF(Table1[[#This Row],[Is Data Valid]]=TRUE,IF(Table1[[#This Row],[Fetal Sex (Male, Female or Unknown)]]="Male",Backend!$C$6,IF(Table1[[#This Row],[Fetal Sex (Male, Female or Unknown)]]="Female",Backend!$C$7,IF(Table1[[#This Row],[Fetal Sex (Male, Female or Unknown)]]="Unknown",Backend!$C$8,"Error"))),"")</f>
        <v/>
      </c>
      <c r="F9957" s="8" t="str">
        <f>IF(Table1[[#This Row],[Is Data Valid]]=TRUE,EXP(0.578+0.332*((Table1[[#This Row],[Gestation (days)]]+0.5)/7)-0.00354*((Table1[[#This Row],[Gestation (days)]]+0.5)/7)^2)*Table1[[#This Row],[BW40_3705]],"")</f>
        <v/>
      </c>
      <c r="G9957" s="2" t="str">
        <f>IF(Table1[[#This Row],[Is Data Valid]]=TRUE,((Table1[[#This Row],[Birthweight (grams)]]/Table1[[#This Row],[BW_GA]])-1)/(Backend!$B$4/100*Table1[[#This Row],[BW40_3705]]),"")</f>
        <v/>
      </c>
      <c r="H9957" s="7" t="str">
        <f>IF(Table1[[#This Row],[Is Data Valid]]=TRUE,((Table1[[#This Row],[Birthweight (grams)]]*0.9/Table1[[#This Row],[BW_GA]])-1)/(Backend!$B$4/100*Table1[[#This Row],[BW40_3705]]),"")</f>
        <v/>
      </c>
      <c r="I9957" s="7" t="str">
        <f>IF(Table1[[#This Row],[Is Data Valid]]=TRUE,((Table1[[#This Row],[Birthweight (grams)]]*1.1/Table1[[#This Row],[BW_GA]])-1)/(Backend!$B$4/100*Table1[[#This Row],[BW40_3705]]),"")</f>
        <v/>
      </c>
      <c r="J9957" s="7" t="str">
        <f>IF(Table1[[#This Row],[Is Data Valid]]=TRUE,_xlfn.NORM.S.DIST(Table1[[#This Row],[Birthweight Z-Score]],TRUE)*100,"")</f>
        <v/>
      </c>
      <c r="K9957" s="7" t="str">
        <f>IF(Table1[[#This Row],[Is Data Valid]]=TRUE,_xlfn.NORM.S.DIST(Table1[[#This Row],[Birthweight Z-Score (BW-10%)]],TRUE)*100,"")</f>
        <v/>
      </c>
      <c r="L9957" s="7" t="str">
        <f>IF(Table1[[#This Row],[Is Data Valid]]=TRUE,_xlfn.NORM.S.DIST(Table1[[#This Row],[Birthweight Z-Score (BW+10%)]],TRUE)*100,"")</f>
        <v/>
      </c>
    </row>
    <row r="9958" spans="1:12" x14ac:dyDescent="0.35">
      <c r="A9958" s="3"/>
      <c r="B9958" s="2"/>
      <c r="C9958" s="2"/>
      <c r="D9958" s="2" t="b">
        <f>IF(AND(NOT(ISBLANK(Table1[[#This Row],[Fetal Sex (Male, Female or Unknown)]])),ISNUMBER(Table1[[#This Row],[Birthweight (grams)]]),ISNUMBER(Table1[[#This Row],[Gestation (days)]])),TRUE,FALSE)</f>
        <v>0</v>
      </c>
      <c r="E9958" s="2" t="str">
        <f>IF(Table1[[#This Row],[Is Data Valid]]=TRUE,IF(Table1[[#This Row],[Fetal Sex (Male, Female or Unknown)]]="Male",Backend!$C$6,IF(Table1[[#This Row],[Fetal Sex (Male, Female or Unknown)]]="Female",Backend!$C$7,IF(Table1[[#This Row],[Fetal Sex (Male, Female or Unknown)]]="Unknown",Backend!$C$8,"Error"))),"")</f>
        <v/>
      </c>
      <c r="F9958" s="8" t="str">
        <f>IF(Table1[[#This Row],[Is Data Valid]]=TRUE,EXP(0.578+0.332*((Table1[[#This Row],[Gestation (days)]]+0.5)/7)-0.00354*((Table1[[#This Row],[Gestation (days)]]+0.5)/7)^2)*Table1[[#This Row],[BW40_3705]],"")</f>
        <v/>
      </c>
      <c r="G9958" s="2" t="str">
        <f>IF(Table1[[#This Row],[Is Data Valid]]=TRUE,((Table1[[#This Row],[Birthweight (grams)]]/Table1[[#This Row],[BW_GA]])-1)/(Backend!$B$4/100*Table1[[#This Row],[BW40_3705]]),"")</f>
        <v/>
      </c>
      <c r="H9958" s="7" t="str">
        <f>IF(Table1[[#This Row],[Is Data Valid]]=TRUE,((Table1[[#This Row],[Birthweight (grams)]]*0.9/Table1[[#This Row],[BW_GA]])-1)/(Backend!$B$4/100*Table1[[#This Row],[BW40_3705]]),"")</f>
        <v/>
      </c>
      <c r="I9958" s="7" t="str">
        <f>IF(Table1[[#This Row],[Is Data Valid]]=TRUE,((Table1[[#This Row],[Birthweight (grams)]]*1.1/Table1[[#This Row],[BW_GA]])-1)/(Backend!$B$4/100*Table1[[#This Row],[BW40_3705]]),"")</f>
        <v/>
      </c>
      <c r="J9958" s="7" t="str">
        <f>IF(Table1[[#This Row],[Is Data Valid]]=TRUE,_xlfn.NORM.S.DIST(Table1[[#This Row],[Birthweight Z-Score]],TRUE)*100,"")</f>
        <v/>
      </c>
      <c r="K9958" s="7" t="str">
        <f>IF(Table1[[#This Row],[Is Data Valid]]=TRUE,_xlfn.NORM.S.DIST(Table1[[#This Row],[Birthweight Z-Score (BW-10%)]],TRUE)*100,"")</f>
        <v/>
      </c>
      <c r="L9958" s="7" t="str">
        <f>IF(Table1[[#This Row],[Is Data Valid]]=TRUE,_xlfn.NORM.S.DIST(Table1[[#This Row],[Birthweight Z-Score (BW+10%)]],TRUE)*100,"")</f>
        <v/>
      </c>
    </row>
    <row r="9959" spans="1:12" x14ac:dyDescent="0.35">
      <c r="A9959" s="3"/>
      <c r="B9959" s="2"/>
      <c r="C9959" s="2"/>
      <c r="D9959" s="2" t="b">
        <f>IF(AND(NOT(ISBLANK(Table1[[#This Row],[Fetal Sex (Male, Female or Unknown)]])),ISNUMBER(Table1[[#This Row],[Birthweight (grams)]]),ISNUMBER(Table1[[#This Row],[Gestation (days)]])),TRUE,FALSE)</f>
        <v>0</v>
      </c>
      <c r="E9959" s="2" t="str">
        <f>IF(Table1[[#This Row],[Is Data Valid]]=TRUE,IF(Table1[[#This Row],[Fetal Sex (Male, Female or Unknown)]]="Male",Backend!$C$6,IF(Table1[[#This Row],[Fetal Sex (Male, Female or Unknown)]]="Female",Backend!$C$7,IF(Table1[[#This Row],[Fetal Sex (Male, Female or Unknown)]]="Unknown",Backend!$C$8,"Error"))),"")</f>
        <v/>
      </c>
      <c r="F9959" s="8" t="str">
        <f>IF(Table1[[#This Row],[Is Data Valid]]=TRUE,EXP(0.578+0.332*((Table1[[#This Row],[Gestation (days)]]+0.5)/7)-0.00354*((Table1[[#This Row],[Gestation (days)]]+0.5)/7)^2)*Table1[[#This Row],[BW40_3705]],"")</f>
        <v/>
      </c>
      <c r="G9959" s="2" t="str">
        <f>IF(Table1[[#This Row],[Is Data Valid]]=TRUE,((Table1[[#This Row],[Birthweight (grams)]]/Table1[[#This Row],[BW_GA]])-1)/(Backend!$B$4/100*Table1[[#This Row],[BW40_3705]]),"")</f>
        <v/>
      </c>
      <c r="H9959" s="7" t="str">
        <f>IF(Table1[[#This Row],[Is Data Valid]]=TRUE,((Table1[[#This Row],[Birthweight (grams)]]*0.9/Table1[[#This Row],[BW_GA]])-1)/(Backend!$B$4/100*Table1[[#This Row],[BW40_3705]]),"")</f>
        <v/>
      </c>
      <c r="I9959" s="7" t="str">
        <f>IF(Table1[[#This Row],[Is Data Valid]]=TRUE,((Table1[[#This Row],[Birthweight (grams)]]*1.1/Table1[[#This Row],[BW_GA]])-1)/(Backend!$B$4/100*Table1[[#This Row],[BW40_3705]]),"")</f>
        <v/>
      </c>
      <c r="J9959" s="7" t="str">
        <f>IF(Table1[[#This Row],[Is Data Valid]]=TRUE,_xlfn.NORM.S.DIST(Table1[[#This Row],[Birthweight Z-Score]],TRUE)*100,"")</f>
        <v/>
      </c>
      <c r="K9959" s="7" t="str">
        <f>IF(Table1[[#This Row],[Is Data Valid]]=TRUE,_xlfn.NORM.S.DIST(Table1[[#This Row],[Birthweight Z-Score (BW-10%)]],TRUE)*100,"")</f>
        <v/>
      </c>
      <c r="L9959" s="7" t="str">
        <f>IF(Table1[[#This Row],[Is Data Valid]]=TRUE,_xlfn.NORM.S.DIST(Table1[[#This Row],[Birthweight Z-Score (BW+10%)]],TRUE)*100,"")</f>
        <v/>
      </c>
    </row>
    <row r="9960" spans="1:12" x14ac:dyDescent="0.35">
      <c r="A9960" s="3"/>
      <c r="B9960" s="2"/>
      <c r="C9960" s="2"/>
      <c r="D9960" s="2" t="b">
        <f>IF(AND(NOT(ISBLANK(Table1[[#This Row],[Fetal Sex (Male, Female or Unknown)]])),ISNUMBER(Table1[[#This Row],[Birthweight (grams)]]),ISNUMBER(Table1[[#This Row],[Gestation (days)]])),TRUE,FALSE)</f>
        <v>0</v>
      </c>
      <c r="E9960" s="2" t="str">
        <f>IF(Table1[[#This Row],[Is Data Valid]]=TRUE,IF(Table1[[#This Row],[Fetal Sex (Male, Female or Unknown)]]="Male",Backend!$C$6,IF(Table1[[#This Row],[Fetal Sex (Male, Female or Unknown)]]="Female",Backend!$C$7,IF(Table1[[#This Row],[Fetal Sex (Male, Female or Unknown)]]="Unknown",Backend!$C$8,"Error"))),"")</f>
        <v/>
      </c>
      <c r="F9960" s="8" t="str">
        <f>IF(Table1[[#This Row],[Is Data Valid]]=TRUE,EXP(0.578+0.332*((Table1[[#This Row],[Gestation (days)]]+0.5)/7)-0.00354*((Table1[[#This Row],[Gestation (days)]]+0.5)/7)^2)*Table1[[#This Row],[BW40_3705]],"")</f>
        <v/>
      </c>
      <c r="G9960" s="2" t="str">
        <f>IF(Table1[[#This Row],[Is Data Valid]]=TRUE,((Table1[[#This Row],[Birthweight (grams)]]/Table1[[#This Row],[BW_GA]])-1)/(Backend!$B$4/100*Table1[[#This Row],[BW40_3705]]),"")</f>
        <v/>
      </c>
      <c r="H9960" s="7" t="str">
        <f>IF(Table1[[#This Row],[Is Data Valid]]=TRUE,((Table1[[#This Row],[Birthweight (grams)]]*0.9/Table1[[#This Row],[BW_GA]])-1)/(Backend!$B$4/100*Table1[[#This Row],[BW40_3705]]),"")</f>
        <v/>
      </c>
      <c r="I9960" s="7" t="str">
        <f>IF(Table1[[#This Row],[Is Data Valid]]=TRUE,((Table1[[#This Row],[Birthweight (grams)]]*1.1/Table1[[#This Row],[BW_GA]])-1)/(Backend!$B$4/100*Table1[[#This Row],[BW40_3705]]),"")</f>
        <v/>
      </c>
      <c r="J9960" s="7" t="str">
        <f>IF(Table1[[#This Row],[Is Data Valid]]=TRUE,_xlfn.NORM.S.DIST(Table1[[#This Row],[Birthweight Z-Score]],TRUE)*100,"")</f>
        <v/>
      </c>
      <c r="K9960" s="7" t="str">
        <f>IF(Table1[[#This Row],[Is Data Valid]]=TRUE,_xlfn.NORM.S.DIST(Table1[[#This Row],[Birthweight Z-Score (BW-10%)]],TRUE)*100,"")</f>
        <v/>
      </c>
      <c r="L9960" s="7" t="str">
        <f>IF(Table1[[#This Row],[Is Data Valid]]=TRUE,_xlfn.NORM.S.DIST(Table1[[#This Row],[Birthweight Z-Score (BW+10%)]],TRUE)*100,"")</f>
        <v/>
      </c>
    </row>
    <row r="9961" spans="1:12" x14ac:dyDescent="0.35">
      <c r="A9961" s="3"/>
      <c r="B9961" s="2"/>
      <c r="C9961" s="2"/>
      <c r="D9961" s="2" t="b">
        <f>IF(AND(NOT(ISBLANK(Table1[[#This Row],[Fetal Sex (Male, Female or Unknown)]])),ISNUMBER(Table1[[#This Row],[Birthweight (grams)]]),ISNUMBER(Table1[[#This Row],[Gestation (days)]])),TRUE,FALSE)</f>
        <v>0</v>
      </c>
      <c r="E9961" s="2" t="str">
        <f>IF(Table1[[#This Row],[Is Data Valid]]=TRUE,IF(Table1[[#This Row],[Fetal Sex (Male, Female or Unknown)]]="Male",Backend!$C$6,IF(Table1[[#This Row],[Fetal Sex (Male, Female or Unknown)]]="Female",Backend!$C$7,IF(Table1[[#This Row],[Fetal Sex (Male, Female or Unknown)]]="Unknown",Backend!$C$8,"Error"))),"")</f>
        <v/>
      </c>
      <c r="F9961" s="8" t="str">
        <f>IF(Table1[[#This Row],[Is Data Valid]]=TRUE,EXP(0.578+0.332*((Table1[[#This Row],[Gestation (days)]]+0.5)/7)-0.00354*((Table1[[#This Row],[Gestation (days)]]+0.5)/7)^2)*Table1[[#This Row],[BW40_3705]],"")</f>
        <v/>
      </c>
      <c r="G9961" s="2" t="str">
        <f>IF(Table1[[#This Row],[Is Data Valid]]=TRUE,((Table1[[#This Row],[Birthweight (grams)]]/Table1[[#This Row],[BW_GA]])-1)/(Backend!$B$4/100*Table1[[#This Row],[BW40_3705]]),"")</f>
        <v/>
      </c>
      <c r="H9961" s="7" t="str">
        <f>IF(Table1[[#This Row],[Is Data Valid]]=TRUE,((Table1[[#This Row],[Birthweight (grams)]]*0.9/Table1[[#This Row],[BW_GA]])-1)/(Backend!$B$4/100*Table1[[#This Row],[BW40_3705]]),"")</f>
        <v/>
      </c>
      <c r="I9961" s="7" t="str">
        <f>IF(Table1[[#This Row],[Is Data Valid]]=TRUE,((Table1[[#This Row],[Birthweight (grams)]]*1.1/Table1[[#This Row],[BW_GA]])-1)/(Backend!$B$4/100*Table1[[#This Row],[BW40_3705]]),"")</f>
        <v/>
      </c>
      <c r="J9961" s="7" t="str">
        <f>IF(Table1[[#This Row],[Is Data Valid]]=TRUE,_xlfn.NORM.S.DIST(Table1[[#This Row],[Birthweight Z-Score]],TRUE)*100,"")</f>
        <v/>
      </c>
      <c r="K9961" s="7" t="str">
        <f>IF(Table1[[#This Row],[Is Data Valid]]=TRUE,_xlfn.NORM.S.DIST(Table1[[#This Row],[Birthweight Z-Score (BW-10%)]],TRUE)*100,"")</f>
        <v/>
      </c>
      <c r="L9961" s="7" t="str">
        <f>IF(Table1[[#This Row],[Is Data Valid]]=TRUE,_xlfn.NORM.S.DIST(Table1[[#This Row],[Birthweight Z-Score (BW+10%)]],TRUE)*100,"")</f>
        <v/>
      </c>
    </row>
    <row r="9962" spans="1:12" x14ac:dyDescent="0.35">
      <c r="A9962" s="3"/>
      <c r="B9962" s="2"/>
      <c r="C9962" s="2"/>
      <c r="D9962" s="2" t="b">
        <f>IF(AND(NOT(ISBLANK(Table1[[#This Row],[Fetal Sex (Male, Female or Unknown)]])),ISNUMBER(Table1[[#This Row],[Birthweight (grams)]]),ISNUMBER(Table1[[#This Row],[Gestation (days)]])),TRUE,FALSE)</f>
        <v>0</v>
      </c>
      <c r="E9962" s="2" t="str">
        <f>IF(Table1[[#This Row],[Is Data Valid]]=TRUE,IF(Table1[[#This Row],[Fetal Sex (Male, Female or Unknown)]]="Male",Backend!$C$6,IF(Table1[[#This Row],[Fetal Sex (Male, Female or Unknown)]]="Female",Backend!$C$7,IF(Table1[[#This Row],[Fetal Sex (Male, Female or Unknown)]]="Unknown",Backend!$C$8,"Error"))),"")</f>
        <v/>
      </c>
      <c r="F9962" s="8" t="str">
        <f>IF(Table1[[#This Row],[Is Data Valid]]=TRUE,EXP(0.578+0.332*((Table1[[#This Row],[Gestation (days)]]+0.5)/7)-0.00354*((Table1[[#This Row],[Gestation (days)]]+0.5)/7)^2)*Table1[[#This Row],[BW40_3705]],"")</f>
        <v/>
      </c>
      <c r="G9962" s="2" t="str">
        <f>IF(Table1[[#This Row],[Is Data Valid]]=TRUE,((Table1[[#This Row],[Birthweight (grams)]]/Table1[[#This Row],[BW_GA]])-1)/(Backend!$B$4/100*Table1[[#This Row],[BW40_3705]]),"")</f>
        <v/>
      </c>
      <c r="H9962" s="7" t="str">
        <f>IF(Table1[[#This Row],[Is Data Valid]]=TRUE,((Table1[[#This Row],[Birthweight (grams)]]*0.9/Table1[[#This Row],[BW_GA]])-1)/(Backend!$B$4/100*Table1[[#This Row],[BW40_3705]]),"")</f>
        <v/>
      </c>
      <c r="I9962" s="7" t="str">
        <f>IF(Table1[[#This Row],[Is Data Valid]]=TRUE,((Table1[[#This Row],[Birthweight (grams)]]*1.1/Table1[[#This Row],[BW_GA]])-1)/(Backend!$B$4/100*Table1[[#This Row],[BW40_3705]]),"")</f>
        <v/>
      </c>
      <c r="J9962" s="7" t="str">
        <f>IF(Table1[[#This Row],[Is Data Valid]]=TRUE,_xlfn.NORM.S.DIST(Table1[[#This Row],[Birthweight Z-Score]],TRUE)*100,"")</f>
        <v/>
      </c>
      <c r="K9962" s="7" t="str">
        <f>IF(Table1[[#This Row],[Is Data Valid]]=TRUE,_xlfn.NORM.S.DIST(Table1[[#This Row],[Birthweight Z-Score (BW-10%)]],TRUE)*100,"")</f>
        <v/>
      </c>
      <c r="L9962" s="7" t="str">
        <f>IF(Table1[[#This Row],[Is Data Valid]]=TRUE,_xlfn.NORM.S.DIST(Table1[[#This Row],[Birthweight Z-Score (BW+10%)]],TRUE)*100,"")</f>
        <v/>
      </c>
    </row>
    <row r="9963" spans="1:12" x14ac:dyDescent="0.35">
      <c r="A9963" s="3"/>
      <c r="B9963" s="2"/>
      <c r="C9963" s="2"/>
      <c r="D9963" s="2" t="b">
        <f>IF(AND(NOT(ISBLANK(Table1[[#This Row],[Fetal Sex (Male, Female or Unknown)]])),ISNUMBER(Table1[[#This Row],[Birthweight (grams)]]),ISNUMBER(Table1[[#This Row],[Gestation (days)]])),TRUE,FALSE)</f>
        <v>0</v>
      </c>
      <c r="E9963" s="2" t="str">
        <f>IF(Table1[[#This Row],[Is Data Valid]]=TRUE,IF(Table1[[#This Row],[Fetal Sex (Male, Female or Unknown)]]="Male",Backend!$C$6,IF(Table1[[#This Row],[Fetal Sex (Male, Female or Unknown)]]="Female",Backend!$C$7,IF(Table1[[#This Row],[Fetal Sex (Male, Female or Unknown)]]="Unknown",Backend!$C$8,"Error"))),"")</f>
        <v/>
      </c>
      <c r="F9963" s="8" t="str">
        <f>IF(Table1[[#This Row],[Is Data Valid]]=TRUE,EXP(0.578+0.332*((Table1[[#This Row],[Gestation (days)]]+0.5)/7)-0.00354*((Table1[[#This Row],[Gestation (days)]]+0.5)/7)^2)*Table1[[#This Row],[BW40_3705]],"")</f>
        <v/>
      </c>
      <c r="G9963" s="2" t="str">
        <f>IF(Table1[[#This Row],[Is Data Valid]]=TRUE,((Table1[[#This Row],[Birthweight (grams)]]/Table1[[#This Row],[BW_GA]])-1)/(Backend!$B$4/100*Table1[[#This Row],[BW40_3705]]),"")</f>
        <v/>
      </c>
      <c r="H9963" s="7" t="str">
        <f>IF(Table1[[#This Row],[Is Data Valid]]=TRUE,((Table1[[#This Row],[Birthweight (grams)]]*0.9/Table1[[#This Row],[BW_GA]])-1)/(Backend!$B$4/100*Table1[[#This Row],[BW40_3705]]),"")</f>
        <v/>
      </c>
      <c r="I9963" s="7" t="str">
        <f>IF(Table1[[#This Row],[Is Data Valid]]=TRUE,((Table1[[#This Row],[Birthweight (grams)]]*1.1/Table1[[#This Row],[BW_GA]])-1)/(Backend!$B$4/100*Table1[[#This Row],[BW40_3705]]),"")</f>
        <v/>
      </c>
      <c r="J9963" s="7" t="str">
        <f>IF(Table1[[#This Row],[Is Data Valid]]=TRUE,_xlfn.NORM.S.DIST(Table1[[#This Row],[Birthweight Z-Score]],TRUE)*100,"")</f>
        <v/>
      </c>
      <c r="K9963" s="7" t="str">
        <f>IF(Table1[[#This Row],[Is Data Valid]]=TRUE,_xlfn.NORM.S.DIST(Table1[[#This Row],[Birthweight Z-Score (BW-10%)]],TRUE)*100,"")</f>
        <v/>
      </c>
      <c r="L9963" s="7" t="str">
        <f>IF(Table1[[#This Row],[Is Data Valid]]=TRUE,_xlfn.NORM.S.DIST(Table1[[#This Row],[Birthweight Z-Score (BW+10%)]],TRUE)*100,"")</f>
        <v/>
      </c>
    </row>
    <row r="9964" spans="1:12" x14ac:dyDescent="0.35">
      <c r="A9964" s="3"/>
      <c r="B9964" s="2"/>
      <c r="C9964" s="2"/>
      <c r="D9964" s="2" t="b">
        <f>IF(AND(NOT(ISBLANK(Table1[[#This Row],[Fetal Sex (Male, Female or Unknown)]])),ISNUMBER(Table1[[#This Row],[Birthweight (grams)]]),ISNUMBER(Table1[[#This Row],[Gestation (days)]])),TRUE,FALSE)</f>
        <v>0</v>
      </c>
      <c r="E9964" s="2" t="str">
        <f>IF(Table1[[#This Row],[Is Data Valid]]=TRUE,IF(Table1[[#This Row],[Fetal Sex (Male, Female or Unknown)]]="Male",Backend!$C$6,IF(Table1[[#This Row],[Fetal Sex (Male, Female or Unknown)]]="Female",Backend!$C$7,IF(Table1[[#This Row],[Fetal Sex (Male, Female or Unknown)]]="Unknown",Backend!$C$8,"Error"))),"")</f>
        <v/>
      </c>
      <c r="F9964" s="8" t="str">
        <f>IF(Table1[[#This Row],[Is Data Valid]]=TRUE,EXP(0.578+0.332*((Table1[[#This Row],[Gestation (days)]]+0.5)/7)-0.00354*((Table1[[#This Row],[Gestation (days)]]+0.5)/7)^2)*Table1[[#This Row],[BW40_3705]],"")</f>
        <v/>
      </c>
      <c r="G9964" s="2" t="str">
        <f>IF(Table1[[#This Row],[Is Data Valid]]=TRUE,((Table1[[#This Row],[Birthweight (grams)]]/Table1[[#This Row],[BW_GA]])-1)/(Backend!$B$4/100*Table1[[#This Row],[BW40_3705]]),"")</f>
        <v/>
      </c>
      <c r="H9964" s="7" t="str">
        <f>IF(Table1[[#This Row],[Is Data Valid]]=TRUE,((Table1[[#This Row],[Birthweight (grams)]]*0.9/Table1[[#This Row],[BW_GA]])-1)/(Backend!$B$4/100*Table1[[#This Row],[BW40_3705]]),"")</f>
        <v/>
      </c>
      <c r="I9964" s="7" t="str">
        <f>IF(Table1[[#This Row],[Is Data Valid]]=TRUE,((Table1[[#This Row],[Birthweight (grams)]]*1.1/Table1[[#This Row],[BW_GA]])-1)/(Backend!$B$4/100*Table1[[#This Row],[BW40_3705]]),"")</f>
        <v/>
      </c>
      <c r="J9964" s="7" t="str">
        <f>IF(Table1[[#This Row],[Is Data Valid]]=TRUE,_xlfn.NORM.S.DIST(Table1[[#This Row],[Birthweight Z-Score]],TRUE)*100,"")</f>
        <v/>
      </c>
      <c r="K9964" s="7" t="str">
        <f>IF(Table1[[#This Row],[Is Data Valid]]=TRUE,_xlfn.NORM.S.DIST(Table1[[#This Row],[Birthweight Z-Score (BW-10%)]],TRUE)*100,"")</f>
        <v/>
      </c>
      <c r="L9964" s="7" t="str">
        <f>IF(Table1[[#This Row],[Is Data Valid]]=TRUE,_xlfn.NORM.S.DIST(Table1[[#This Row],[Birthweight Z-Score (BW+10%)]],TRUE)*100,"")</f>
        <v/>
      </c>
    </row>
    <row r="9965" spans="1:12" x14ac:dyDescent="0.35">
      <c r="A9965" s="3"/>
      <c r="B9965" s="2"/>
      <c r="C9965" s="2"/>
      <c r="D9965" s="2" t="b">
        <f>IF(AND(NOT(ISBLANK(Table1[[#This Row],[Fetal Sex (Male, Female or Unknown)]])),ISNUMBER(Table1[[#This Row],[Birthweight (grams)]]),ISNUMBER(Table1[[#This Row],[Gestation (days)]])),TRUE,FALSE)</f>
        <v>0</v>
      </c>
      <c r="E9965" s="2" t="str">
        <f>IF(Table1[[#This Row],[Is Data Valid]]=TRUE,IF(Table1[[#This Row],[Fetal Sex (Male, Female or Unknown)]]="Male",Backend!$C$6,IF(Table1[[#This Row],[Fetal Sex (Male, Female or Unknown)]]="Female",Backend!$C$7,IF(Table1[[#This Row],[Fetal Sex (Male, Female or Unknown)]]="Unknown",Backend!$C$8,"Error"))),"")</f>
        <v/>
      </c>
      <c r="F9965" s="8" t="str">
        <f>IF(Table1[[#This Row],[Is Data Valid]]=TRUE,EXP(0.578+0.332*((Table1[[#This Row],[Gestation (days)]]+0.5)/7)-0.00354*((Table1[[#This Row],[Gestation (days)]]+0.5)/7)^2)*Table1[[#This Row],[BW40_3705]],"")</f>
        <v/>
      </c>
      <c r="G9965" s="2" t="str">
        <f>IF(Table1[[#This Row],[Is Data Valid]]=TRUE,((Table1[[#This Row],[Birthweight (grams)]]/Table1[[#This Row],[BW_GA]])-1)/(Backend!$B$4/100*Table1[[#This Row],[BW40_3705]]),"")</f>
        <v/>
      </c>
      <c r="H9965" s="7" t="str">
        <f>IF(Table1[[#This Row],[Is Data Valid]]=TRUE,((Table1[[#This Row],[Birthweight (grams)]]*0.9/Table1[[#This Row],[BW_GA]])-1)/(Backend!$B$4/100*Table1[[#This Row],[BW40_3705]]),"")</f>
        <v/>
      </c>
      <c r="I9965" s="7" t="str">
        <f>IF(Table1[[#This Row],[Is Data Valid]]=TRUE,((Table1[[#This Row],[Birthweight (grams)]]*1.1/Table1[[#This Row],[BW_GA]])-1)/(Backend!$B$4/100*Table1[[#This Row],[BW40_3705]]),"")</f>
        <v/>
      </c>
      <c r="J9965" s="7" t="str">
        <f>IF(Table1[[#This Row],[Is Data Valid]]=TRUE,_xlfn.NORM.S.DIST(Table1[[#This Row],[Birthweight Z-Score]],TRUE)*100,"")</f>
        <v/>
      </c>
      <c r="K9965" s="7" t="str">
        <f>IF(Table1[[#This Row],[Is Data Valid]]=TRUE,_xlfn.NORM.S.DIST(Table1[[#This Row],[Birthweight Z-Score (BW-10%)]],TRUE)*100,"")</f>
        <v/>
      </c>
      <c r="L9965" s="7" t="str">
        <f>IF(Table1[[#This Row],[Is Data Valid]]=TRUE,_xlfn.NORM.S.DIST(Table1[[#This Row],[Birthweight Z-Score (BW+10%)]],TRUE)*100,"")</f>
        <v/>
      </c>
    </row>
    <row r="9966" spans="1:12" x14ac:dyDescent="0.35">
      <c r="A9966" s="3"/>
      <c r="B9966" s="2"/>
      <c r="C9966" s="2"/>
      <c r="D9966" s="2" t="b">
        <f>IF(AND(NOT(ISBLANK(Table1[[#This Row],[Fetal Sex (Male, Female or Unknown)]])),ISNUMBER(Table1[[#This Row],[Birthweight (grams)]]),ISNUMBER(Table1[[#This Row],[Gestation (days)]])),TRUE,FALSE)</f>
        <v>0</v>
      </c>
      <c r="E9966" s="2" t="str">
        <f>IF(Table1[[#This Row],[Is Data Valid]]=TRUE,IF(Table1[[#This Row],[Fetal Sex (Male, Female or Unknown)]]="Male",Backend!$C$6,IF(Table1[[#This Row],[Fetal Sex (Male, Female or Unknown)]]="Female",Backend!$C$7,IF(Table1[[#This Row],[Fetal Sex (Male, Female or Unknown)]]="Unknown",Backend!$C$8,"Error"))),"")</f>
        <v/>
      </c>
      <c r="F9966" s="8" t="str">
        <f>IF(Table1[[#This Row],[Is Data Valid]]=TRUE,EXP(0.578+0.332*((Table1[[#This Row],[Gestation (days)]]+0.5)/7)-0.00354*((Table1[[#This Row],[Gestation (days)]]+0.5)/7)^2)*Table1[[#This Row],[BW40_3705]],"")</f>
        <v/>
      </c>
      <c r="G9966" s="2" t="str">
        <f>IF(Table1[[#This Row],[Is Data Valid]]=TRUE,((Table1[[#This Row],[Birthweight (grams)]]/Table1[[#This Row],[BW_GA]])-1)/(Backend!$B$4/100*Table1[[#This Row],[BW40_3705]]),"")</f>
        <v/>
      </c>
      <c r="H9966" s="7" t="str">
        <f>IF(Table1[[#This Row],[Is Data Valid]]=TRUE,((Table1[[#This Row],[Birthweight (grams)]]*0.9/Table1[[#This Row],[BW_GA]])-1)/(Backend!$B$4/100*Table1[[#This Row],[BW40_3705]]),"")</f>
        <v/>
      </c>
      <c r="I9966" s="7" t="str">
        <f>IF(Table1[[#This Row],[Is Data Valid]]=TRUE,((Table1[[#This Row],[Birthweight (grams)]]*1.1/Table1[[#This Row],[BW_GA]])-1)/(Backend!$B$4/100*Table1[[#This Row],[BW40_3705]]),"")</f>
        <v/>
      </c>
      <c r="J9966" s="7" t="str">
        <f>IF(Table1[[#This Row],[Is Data Valid]]=TRUE,_xlfn.NORM.S.DIST(Table1[[#This Row],[Birthweight Z-Score]],TRUE)*100,"")</f>
        <v/>
      </c>
      <c r="K9966" s="7" t="str">
        <f>IF(Table1[[#This Row],[Is Data Valid]]=TRUE,_xlfn.NORM.S.DIST(Table1[[#This Row],[Birthweight Z-Score (BW-10%)]],TRUE)*100,"")</f>
        <v/>
      </c>
      <c r="L9966" s="7" t="str">
        <f>IF(Table1[[#This Row],[Is Data Valid]]=TRUE,_xlfn.NORM.S.DIST(Table1[[#This Row],[Birthweight Z-Score (BW+10%)]],TRUE)*100,"")</f>
        <v/>
      </c>
    </row>
    <row r="9967" spans="1:12" x14ac:dyDescent="0.35">
      <c r="A9967" s="3"/>
      <c r="B9967" s="2"/>
      <c r="C9967" s="2"/>
      <c r="D9967" s="2" t="b">
        <f>IF(AND(NOT(ISBLANK(Table1[[#This Row],[Fetal Sex (Male, Female or Unknown)]])),ISNUMBER(Table1[[#This Row],[Birthweight (grams)]]),ISNUMBER(Table1[[#This Row],[Gestation (days)]])),TRUE,FALSE)</f>
        <v>0</v>
      </c>
      <c r="E9967" s="2" t="str">
        <f>IF(Table1[[#This Row],[Is Data Valid]]=TRUE,IF(Table1[[#This Row],[Fetal Sex (Male, Female or Unknown)]]="Male",Backend!$C$6,IF(Table1[[#This Row],[Fetal Sex (Male, Female or Unknown)]]="Female",Backend!$C$7,IF(Table1[[#This Row],[Fetal Sex (Male, Female or Unknown)]]="Unknown",Backend!$C$8,"Error"))),"")</f>
        <v/>
      </c>
      <c r="F9967" s="8" t="str">
        <f>IF(Table1[[#This Row],[Is Data Valid]]=TRUE,EXP(0.578+0.332*((Table1[[#This Row],[Gestation (days)]]+0.5)/7)-0.00354*((Table1[[#This Row],[Gestation (days)]]+0.5)/7)^2)*Table1[[#This Row],[BW40_3705]],"")</f>
        <v/>
      </c>
      <c r="G9967" s="2" t="str">
        <f>IF(Table1[[#This Row],[Is Data Valid]]=TRUE,((Table1[[#This Row],[Birthweight (grams)]]/Table1[[#This Row],[BW_GA]])-1)/(Backend!$B$4/100*Table1[[#This Row],[BW40_3705]]),"")</f>
        <v/>
      </c>
      <c r="H9967" s="7" t="str">
        <f>IF(Table1[[#This Row],[Is Data Valid]]=TRUE,((Table1[[#This Row],[Birthweight (grams)]]*0.9/Table1[[#This Row],[BW_GA]])-1)/(Backend!$B$4/100*Table1[[#This Row],[BW40_3705]]),"")</f>
        <v/>
      </c>
      <c r="I9967" s="7" t="str">
        <f>IF(Table1[[#This Row],[Is Data Valid]]=TRUE,((Table1[[#This Row],[Birthweight (grams)]]*1.1/Table1[[#This Row],[BW_GA]])-1)/(Backend!$B$4/100*Table1[[#This Row],[BW40_3705]]),"")</f>
        <v/>
      </c>
      <c r="J9967" s="7" t="str">
        <f>IF(Table1[[#This Row],[Is Data Valid]]=TRUE,_xlfn.NORM.S.DIST(Table1[[#This Row],[Birthweight Z-Score]],TRUE)*100,"")</f>
        <v/>
      </c>
      <c r="K9967" s="7" t="str">
        <f>IF(Table1[[#This Row],[Is Data Valid]]=TRUE,_xlfn.NORM.S.DIST(Table1[[#This Row],[Birthweight Z-Score (BW-10%)]],TRUE)*100,"")</f>
        <v/>
      </c>
      <c r="L9967" s="7" t="str">
        <f>IF(Table1[[#This Row],[Is Data Valid]]=TRUE,_xlfn.NORM.S.DIST(Table1[[#This Row],[Birthweight Z-Score (BW+10%)]],TRUE)*100,"")</f>
        <v/>
      </c>
    </row>
    <row r="9968" spans="1:12" x14ac:dyDescent="0.35">
      <c r="A9968" s="3"/>
      <c r="B9968" s="2"/>
      <c r="C9968" s="2"/>
      <c r="D9968" s="2" t="b">
        <f>IF(AND(NOT(ISBLANK(Table1[[#This Row],[Fetal Sex (Male, Female or Unknown)]])),ISNUMBER(Table1[[#This Row],[Birthweight (grams)]]),ISNUMBER(Table1[[#This Row],[Gestation (days)]])),TRUE,FALSE)</f>
        <v>0</v>
      </c>
      <c r="E9968" s="2" t="str">
        <f>IF(Table1[[#This Row],[Is Data Valid]]=TRUE,IF(Table1[[#This Row],[Fetal Sex (Male, Female or Unknown)]]="Male",Backend!$C$6,IF(Table1[[#This Row],[Fetal Sex (Male, Female or Unknown)]]="Female",Backend!$C$7,IF(Table1[[#This Row],[Fetal Sex (Male, Female or Unknown)]]="Unknown",Backend!$C$8,"Error"))),"")</f>
        <v/>
      </c>
      <c r="F9968" s="8" t="str">
        <f>IF(Table1[[#This Row],[Is Data Valid]]=TRUE,EXP(0.578+0.332*((Table1[[#This Row],[Gestation (days)]]+0.5)/7)-0.00354*((Table1[[#This Row],[Gestation (days)]]+0.5)/7)^2)*Table1[[#This Row],[BW40_3705]],"")</f>
        <v/>
      </c>
      <c r="G9968" s="2" t="str">
        <f>IF(Table1[[#This Row],[Is Data Valid]]=TRUE,((Table1[[#This Row],[Birthweight (grams)]]/Table1[[#This Row],[BW_GA]])-1)/(Backend!$B$4/100*Table1[[#This Row],[BW40_3705]]),"")</f>
        <v/>
      </c>
      <c r="H9968" s="7" t="str">
        <f>IF(Table1[[#This Row],[Is Data Valid]]=TRUE,((Table1[[#This Row],[Birthweight (grams)]]*0.9/Table1[[#This Row],[BW_GA]])-1)/(Backend!$B$4/100*Table1[[#This Row],[BW40_3705]]),"")</f>
        <v/>
      </c>
      <c r="I9968" s="7" t="str">
        <f>IF(Table1[[#This Row],[Is Data Valid]]=TRUE,((Table1[[#This Row],[Birthweight (grams)]]*1.1/Table1[[#This Row],[BW_GA]])-1)/(Backend!$B$4/100*Table1[[#This Row],[BW40_3705]]),"")</f>
        <v/>
      </c>
      <c r="J9968" s="7" t="str">
        <f>IF(Table1[[#This Row],[Is Data Valid]]=TRUE,_xlfn.NORM.S.DIST(Table1[[#This Row],[Birthweight Z-Score]],TRUE)*100,"")</f>
        <v/>
      </c>
      <c r="K9968" s="7" t="str">
        <f>IF(Table1[[#This Row],[Is Data Valid]]=TRUE,_xlfn.NORM.S.DIST(Table1[[#This Row],[Birthweight Z-Score (BW-10%)]],TRUE)*100,"")</f>
        <v/>
      </c>
      <c r="L9968" s="7" t="str">
        <f>IF(Table1[[#This Row],[Is Data Valid]]=TRUE,_xlfn.NORM.S.DIST(Table1[[#This Row],[Birthweight Z-Score (BW+10%)]],TRUE)*100,"")</f>
        <v/>
      </c>
    </row>
    <row r="9969" spans="1:12" x14ac:dyDescent="0.35">
      <c r="A9969" s="3"/>
      <c r="B9969" s="2"/>
      <c r="C9969" s="2"/>
      <c r="D9969" s="2" t="b">
        <f>IF(AND(NOT(ISBLANK(Table1[[#This Row],[Fetal Sex (Male, Female or Unknown)]])),ISNUMBER(Table1[[#This Row],[Birthweight (grams)]]),ISNUMBER(Table1[[#This Row],[Gestation (days)]])),TRUE,FALSE)</f>
        <v>0</v>
      </c>
      <c r="E9969" s="2" t="str">
        <f>IF(Table1[[#This Row],[Is Data Valid]]=TRUE,IF(Table1[[#This Row],[Fetal Sex (Male, Female or Unknown)]]="Male",Backend!$C$6,IF(Table1[[#This Row],[Fetal Sex (Male, Female or Unknown)]]="Female",Backend!$C$7,IF(Table1[[#This Row],[Fetal Sex (Male, Female or Unknown)]]="Unknown",Backend!$C$8,"Error"))),"")</f>
        <v/>
      </c>
      <c r="F9969" s="8" t="str">
        <f>IF(Table1[[#This Row],[Is Data Valid]]=TRUE,EXP(0.578+0.332*((Table1[[#This Row],[Gestation (days)]]+0.5)/7)-0.00354*((Table1[[#This Row],[Gestation (days)]]+0.5)/7)^2)*Table1[[#This Row],[BW40_3705]],"")</f>
        <v/>
      </c>
      <c r="G9969" s="2" t="str">
        <f>IF(Table1[[#This Row],[Is Data Valid]]=TRUE,((Table1[[#This Row],[Birthweight (grams)]]/Table1[[#This Row],[BW_GA]])-1)/(Backend!$B$4/100*Table1[[#This Row],[BW40_3705]]),"")</f>
        <v/>
      </c>
      <c r="H9969" s="7" t="str">
        <f>IF(Table1[[#This Row],[Is Data Valid]]=TRUE,((Table1[[#This Row],[Birthweight (grams)]]*0.9/Table1[[#This Row],[BW_GA]])-1)/(Backend!$B$4/100*Table1[[#This Row],[BW40_3705]]),"")</f>
        <v/>
      </c>
      <c r="I9969" s="7" t="str">
        <f>IF(Table1[[#This Row],[Is Data Valid]]=TRUE,((Table1[[#This Row],[Birthweight (grams)]]*1.1/Table1[[#This Row],[BW_GA]])-1)/(Backend!$B$4/100*Table1[[#This Row],[BW40_3705]]),"")</f>
        <v/>
      </c>
      <c r="J9969" s="7" t="str">
        <f>IF(Table1[[#This Row],[Is Data Valid]]=TRUE,_xlfn.NORM.S.DIST(Table1[[#This Row],[Birthweight Z-Score]],TRUE)*100,"")</f>
        <v/>
      </c>
      <c r="K9969" s="7" t="str">
        <f>IF(Table1[[#This Row],[Is Data Valid]]=TRUE,_xlfn.NORM.S.DIST(Table1[[#This Row],[Birthweight Z-Score (BW-10%)]],TRUE)*100,"")</f>
        <v/>
      </c>
      <c r="L9969" s="7" t="str">
        <f>IF(Table1[[#This Row],[Is Data Valid]]=TRUE,_xlfn.NORM.S.DIST(Table1[[#This Row],[Birthweight Z-Score (BW+10%)]],TRUE)*100,"")</f>
        <v/>
      </c>
    </row>
    <row r="9970" spans="1:12" x14ac:dyDescent="0.35">
      <c r="A9970" s="3"/>
      <c r="B9970" s="2"/>
      <c r="C9970" s="2"/>
      <c r="D9970" s="2" t="b">
        <f>IF(AND(NOT(ISBLANK(Table1[[#This Row],[Fetal Sex (Male, Female or Unknown)]])),ISNUMBER(Table1[[#This Row],[Birthweight (grams)]]),ISNUMBER(Table1[[#This Row],[Gestation (days)]])),TRUE,FALSE)</f>
        <v>0</v>
      </c>
      <c r="E9970" s="2" t="str">
        <f>IF(Table1[[#This Row],[Is Data Valid]]=TRUE,IF(Table1[[#This Row],[Fetal Sex (Male, Female or Unknown)]]="Male",Backend!$C$6,IF(Table1[[#This Row],[Fetal Sex (Male, Female or Unknown)]]="Female",Backend!$C$7,IF(Table1[[#This Row],[Fetal Sex (Male, Female or Unknown)]]="Unknown",Backend!$C$8,"Error"))),"")</f>
        <v/>
      </c>
      <c r="F9970" s="8" t="str">
        <f>IF(Table1[[#This Row],[Is Data Valid]]=TRUE,EXP(0.578+0.332*((Table1[[#This Row],[Gestation (days)]]+0.5)/7)-0.00354*((Table1[[#This Row],[Gestation (days)]]+0.5)/7)^2)*Table1[[#This Row],[BW40_3705]],"")</f>
        <v/>
      </c>
      <c r="G9970" s="2" t="str">
        <f>IF(Table1[[#This Row],[Is Data Valid]]=TRUE,((Table1[[#This Row],[Birthweight (grams)]]/Table1[[#This Row],[BW_GA]])-1)/(Backend!$B$4/100*Table1[[#This Row],[BW40_3705]]),"")</f>
        <v/>
      </c>
      <c r="H9970" s="7" t="str">
        <f>IF(Table1[[#This Row],[Is Data Valid]]=TRUE,((Table1[[#This Row],[Birthweight (grams)]]*0.9/Table1[[#This Row],[BW_GA]])-1)/(Backend!$B$4/100*Table1[[#This Row],[BW40_3705]]),"")</f>
        <v/>
      </c>
      <c r="I9970" s="7" t="str">
        <f>IF(Table1[[#This Row],[Is Data Valid]]=TRUE,((Table1[[#This Row],[Birthweight (grams)]]*1.1/Table1[[#This Row],[BW_GA]])-1)/(Backend!$B$4/100*Table1[[#This Row],[BW40_3705]]),"")</f>
        <v/>
      </c>
      <c r="J9970" s="7" t="str">
        <f>IF(Table1[[#This Row],[Is Data Valid]]=TRUE,_xlfn.NORM.S.DIST(Table1[[#This Row],[Birthweight Z-Score]],TRUE)*100,"")</f>
        <v/>
      </c>
      <c r="K9970" s="7" t="str">
        <f>IF(Table1[[#This Row],[Is Data Valid]]=TRUE,_xlfn.NORM.S.DIST(Table1[[#This Row],[Birthweight Z-Score (BW-10%)]],TRUE)*100,"")</f>
        <v/>
      </c>
      <c r="L9970" s="7" t="str">
        <f>IF(Table1[[#This Row],[Is Data Valid]]=TRUE,_xlfn.NORM.S.DIST(Table1[[#This Row],[Birthweight Z-Score (BW+10%)]],TRUE)*100,"")</f>
        <v/>
      </c>
    </row>
    <row r="9971" spans="1:12" x14ac:dyDescent="0.35">
      <c r="A9971" s="3"/>
      <c r="B9971" s="2"/>
      <c r="C9971" s="2"/>
      <c r="D9971" s="2" t="b">
        <f>IF(AND(NOT(ISBLANK(Table1[[#This Row],[Fetal Sex (Male, Female or Unknown)]])),ISNUMBER(Table1[[#This Row],[Birthweight (grams)]]),ISNUMBER(Table1[[#This Row],[Gestation (days)]])),TRUE,FALSE)</f>
        <v>0</v>
      </c>
      <c r="E9971" s="2" t="str">
        <f>IF(Table1[[#This Row],[Is Data Valid]]=TRUE,IF(Table1[[#This Row],[Fetal Sex (Male, Female or Unknown)]]="Male",Backend!$C$6,IF(Table1[[#This Row],[Fetal Sex (Male, Female or Unknown)]]="Female",Backend!$C$7,IF(Table1[[#This Row],[Fetal Sex (Male, Female or Unknown)]]="Unknown",Backend!$C$8,"Error"))),"")</f>
        <v/>
      </c>
      <c r="F9971" s="8" t="str">
        <f>IF(Table1[[#This Row],[Is Data Valid]]=TRUE,EXP(0.578+0.332*((Table1[[#This Row],[Gestation (days)]]+0.5)/7)-0.00354*((Table1[[#This Row],[Gestation (days)]]+0.5)/7)^2)*Table1[[#This Row],[BW40_3705]],"")</f>
        <v/>
      </c>
      <c r="G9971" s="2" t="str">
        <f>IF(Table1[[#This Row],[Is Data Valid]]=TRUE,((Table1[[#This Row],[Birthweight (grams)]]/Table1[[#This Row],[BW_GA]])-1)/(Backend!$B$4/100*Table1[[#This Row],[BW40_3705]]),"")</f>
        <v/>
      </c>
      <c r="H9971" s="7" t="str">
        <f>IF(Table1[[#This Row],[Is Data Valid]]=TRUE,((Table1[[#This Row],[Birthweight (grams)]]*0.9/Table1[[#This Row],[BW_GA]])-1)/(Backend!$B$4/100*Table1[[#This Row],[BW40_3705]]),"")</f>
        <v/>
      </c>
      <c r="I9971" s="7" t="str">
        <f>IF(Table1[[#This Row],[Is Data Valid]]=TRUE,((Table1[[#This Row],[Birthweight (grams)]]*1.1/Table1[[#This Row],[BW_GA]])-1)/(Backend!$B$4/100*Table1[[#This Row],[BW40_3705]]),"")</f>
        <v/>
      </c>
      <c r="J9971" s="7" t="str">
        <f>IF(Table1[[#This Row],[Is Data Valid]]=TRUE,_xlfn.NORM.S.DIST(Table1[[#This Row],[Birthweight Z-Score]],TRUE)*100,"")</f>
        <v/>
      </c>
      <c r="K9971" s="7" t="str">
        <f>IF(Table1[[#This Row],[Is Data Valid]]=TRUE,_xlfn.NORM.S.DIST(Table1[[#This Row],[Birthweight Z-Score (BW-10%)]],TRUE)*100,"")</f>
        <v/>
      </c>
      <c r="L9971" s="7" t="str">
        <f>IF(Table1[[#This Row],[Is Data Valid]]=TRUE,_xlfn.NORM.S.DIST(Table1[[#This Row],[Birthweight Z-Score (BW+10%)]],TRUE)*100,"")</f>
        <v/>
      </c>
    </row>
    <row r="9972" spans="1:12" x14ac:dyDescent="0.35">
      <c r="A9972" s="3"/>
      <c r="B9972" s="2"/>
      <c r="C9972" s="2"/>
      <c r="D9972" s="2" t="b">
        <f>IF(AND(NOT(ISBLANK(Table1[[#This Row],[Fetal Sex (Male, Female or Unknown)]])),ISNUMBER(Table1[[#This Row],[Birthweight (grams)]]),ISNUMBER(Table1[[#This Row],[Gestation (days)]])),TRUE,FALSE)</f>
        <v>0</v>
      </c>
      <c r="E9972" s="2" t="str">
        <f>IF(Table1[[#This Row],[Is Data Valid]]=TRUE,IF(Table1[[#This Row],[Fetal Sex (Male, Female or Unknown)]]="Male",Backend!$C$6,IF(Table1[[#This Row],[Fetal Sex (Male, Female or Unknown)]]="Female",Backend!$C$7,IF(Table1[[#This Row],[Fetal Sex (Male, Female or Unknown)]]="Unknown",Backend!$C$8,"Error"))),"")</f>
        <v/>
      </c>
      <c r="F9972" s="8" t="str">
        <f>IF(Table1[[#This Row],[Is Data Valid]]=TRUE,EXP(0.578+0.332*((Table1[[#This Row],[Gestation (days)]]+0.5)/7)-0.00354*((Table1[[#This Row],[Gestation (days)]]+0.5)/7)^2)*Table1[[#This Row],[BW40_3705]],"")</f>
        <v/>
      </c>
      <c r="G9972" s="2" t="str">
        <f>IF(Table1[[#This Row],[Is Data Valid]]=TRUE,((Table1[[#This Row],[Birthweight (grams)]]/Table1[[#This Row],[BW_GA]])-1)/(Backend!$B$4/100*Table1[[#This Row],[BW40_3705]]),"")</f>
        <v/>
      </c>
      <c r="H9972" s="7" t="str">
        <f>IF(Table1[[#This Row],[Is Data Valid]]=TRUE,((Table1[[#This Row],[Birthweight (grams)]]*0.9/Table1[[#This Row],[BW_GA]])-1)/(Backend!$B$4/100*Table1[[#This Row],[BW40_3705]]),"")</f>
        <v/>
      </c>
      <c r="I9972" s="7" t="str">
        <f>IF(Table1[[#This Row],[Is Data Valid]]=TRUE,((Table1[[#This Row],[Birthweight (grams)]]*1.1/Table1[[#This Row],[BW_GA]])-1)/(Backend!$B$4/100*Table1[[#This Row],[BW40_3705]]),"")</f>
        <v/>
      </c>
      <c r="J9972" s="7" t="str">
        <f>IF(Table1[[#This Row],[Is Data Valid]]=TRUE,_xlfn.NORM.S.DIST(Table1[[#This Row],[Birthweight Z-Score]],TRUE)*100,"")</f>
        <v/>
      </c>
      <c r="K9972" s="7" t="str">
        <f>IF(Table1[[#This Row],[Is Data Valid]]=TRUE,_xlfn.NORM.S.DIST(Table1[[#This Row],[Birthweight Z-Score (BW-10%)]],TRUE)*100,"")</f>
        <v/>
      </c>
      <c r="L9972" s="7" t="str">
        <f>IF(Table1[[#This Row],[Is Data Valid]]=TRUE,_xlfn.NORM.S.DIST(Table1[[#This Row],[Birthweight Z-Score (BW+10%)]],TRUE)*100,"")</f>
        <v/>
      </c>
    </row>
    <row r="9973" spans="1:12" x14ac:dyDescent="0.35">
      <c r="A9973" s="3"/>
      <c r="B9973" s="2"/>
      <c r="C9973" s="2"/>
      <c r="D9973" s="2" t="b">
        <f>IF(AND(NOT(ISBLANK(Table1[[#This Row],[Fetal Sex (Male, Female or Unknown)]])),ISNUMBER(Table1[[#This Row],[Birthweight (grams)]]),ISNUMBER(Table1[[#This Row],[Gestation (days)]])),TRUE,FALSE)</f>
        <v>0</v>
      </c>
      <c r="E9973" s="2" t="str">
        <f>IF(Table1[[#This Row],[Is Data Valid]]=TRUE,IF(Table1[[#This Row],[Fetal Sex (Male, Female or Unknown)]]="Male",Backend!$C$6,IF(Table1[[#This Row],[Fetal Sex (Male, Female or Unknown)]]="Female",Backend!$C$7,IF(Table1[[#This Row],[Fetal Sex (Male, Female or Unknown)]]="Unknown",Backend!$C$8,"Error"))),"")</f>
        <v/>
      </c>
      <c r="F9973" s="8" t="str">
        <f>IF(Table1[[#This Row],[Is Data Valid]]=TRUE,EXP(0.578+0.332*((Table1[[#This Row],[Gestation (days)]]+0.5)/7)-0.00354*((Table1[[#This Row],[Gestation (days)]]+0.5)/7)^2)*Table1[[#This Row],[BW40_3705]],"")</f>
        <v/>
      </c>
      <c r="G9973" s="2" t="str">
        <f>IF(Table1[[#This Row],[Is Data Valid]]=TRUE,((Table1[[#This Row],[Birthweight (grams)]]/Table1[[#This Row],[BW_GA]])-1)/(Backend!$B$4/100*Table1[[#This Row],[BW40_3705]]),"")</f>
        <v/>
      </c>
      <c r="H9973" s="7" t="str">
        <f>IF(Table1[[#This Row],[Is Data Valid]]=TRUE,((Table1[[#This Row],[Birthweight (grams)]]*0.9/Table1[[#This Row],[BW_GA]])-1)/(Backend!$B$4/100*Table1[[#This Row],[BW40_3705]]),"")</f>
        <v/>
      </c>
      <c r="I9973" s="7" t="str">
        <f>IF(Table1[[#This Row],[Is Data Valid]]=TRUE,((Table1[[#This Row],[Birthweight (grams)]]*1.1/Table1[[#This Row],[BW_GA]])-1)/(Backend!$B$4/100*Table1[[#This Row],[BW40_3705]]),"")</f>
        <v/>
      </c>
      <c r="J9973" s="7" t="str">
        <f>IF(Table1[[#This Row],[Is Data Valid]]=TRUE,_xlfn.NORM.S.DIST(Table1[[#This Row],[Birthweight Z-Score]],TRUE)*100,"")</f>
        <v/>
      </c>
      <c r="K9973" s="7" t="str">
        <f>IF(Table1[[#This Row],[Is Data Valid]]=TRUE,_xlfn.NORM.S.DIST(Table1[[#This Row],[Birthweight Z-Score (BW-10%)]],TRUE)*100,"")</f>
        <v/>
      </c>
      <c r="L9973" s="7" t="str">
        <f>IF(Table1[[#This Row],[Is Data Valid]]=TRUE,_xlfn.NORM.S.DIST(Table1[[#This Row],[Birthweight Z-Score (BW+10%)]],TRUE)*100,"")</f>
        <v/>
      </c>
    </row>
    <row r="9974" spans="1:12" x14ac:dyDescent="0.35">
      <c r="A9974" s="3"/>
      <c r="B9974" s="2"/>
      <c r="C9974" s="2"/>
      <c r="D9974" s="2" t="b">
        <f>IF(AND(NOT(ISBLANK(Table1[[#This Row],[Fetal Sex (Male, Female or Unknown)]])),ISNUMBER(Table1[[#This Row],[Birthweight (grams)]]),ISNUMBER(Table1[[#This Row],[Gestation (days)]])),TRUE,FALSE)</f>
        <v>0</v>
      </c>
      <c r="E9974" s="2" t="str">
        <f>IF(Table1[[#This Row],[Is Data Valid]]=TRUE,IF(Table1[[#This Row],[Fetal Sex (Male, Female or Unknown)]]="Male",Backend!$C$6,IF(Table1[[#This Row],[Fetal Sex (Male, Female or Unknown)]]="Female",Backend!$C$7,IF(Table1[[#This Row],[Fetal Sex (Male, Female or Unknown)]]="Unknown",Backend!$C$8,"Error"))),"")</f>
        <v/>
      </c>
      <c r="F9974" s="8" t="str">
        <f>IF(Table1[[#This Row],[Is Data Valid]]=TRUE,EXP(0.578+0.332*((Table1[[#This Row],[Gestation (days)]]+0.5)/7)-0.00354*((Table1[[#This Row],[Gestation (days)]]+0.5)/7)^2)*Table1[[#This Row],[BW40_3705]],"")</f>
        <v/>
      </c>
      <c r="G9974" s="2" t="str">
        <f>IF(Table1[[#This Row],[Is Data Valid]]=TRUE,((Table1[[#This Row],[Birthweight (grams)]]/Table1[[#This Row],[BW_GA]])-1)/(Backend!$B$4/100*Table1[[#This Row],[BW40_3705]]),"")</f>
        <v/>
      </c>
      <c r="H9974" s="7" t="str">
        <f>IF(Table1[[#This Row],[Is Data Valid]]=TRUE,((Table1[[#This Row],[Birthweight (grams)]]*0.9/Table1[[#This Row],[BW_GA]])-1)/(Backend!$B$4/100*Table1[[#This Row],[BW40_3705]]),"")</f>
        <v/>
      </c>
      <c r="I9974" s="7" t="str">
        <f>IF(Table1[[#This Row],[Is Data Valid]]=TRUE,((Table1[[#This Row],[Birthweight (grams)]]*1.1/Table1[[#This Row],[BW_GA]])-1)/(Backend!$B$4/100*Table1[[#This Row],[BW40_3705]]),"")</f>
        <v/>
      </c>
      <c r="J9974" s="7" t="str">
        <f>IF(Table1[[#This Row],[Is Data Valid]]=TRUE,_xlfn.NORM.S.DIST(Table1[[#This Row],[Birthweight Z-Score]],TRUE)*100,"")</f>
        <v/>
      </c>
      <c r="K9974" s="7" t="str">
        <f>IF(Table1[[#This Row],[Is Data Valid]]=TRUE,_xlfn.NORM.S.DIST(Table1[[#This Row],[Birthweight Z-Score (BW-10%)]],TRUE)*100,"")</f>
        <v/>
      </c>
      <c r="L9974" s="7" t="str">
        <f>IF(Table1[[#This Row],[Is Data Valid]]=TRUE,_xlfn.NORM.S.DIST(Table1[[#This Row],[Birthweight Z-Score (BW+10%)]],TRUE)*100,"")</f>
        <v/>
      </c>
    </row>
    <row r="9975" spans="1:12" x14ac:dyDescent="0.35">
      <c r="A9975" s="3"/>
      <c r="B9975" s="2"/>
      <c r="C9975" s="2"/>
      <c r="D9975" s="2" t="b">
        <f>IF(AND(NOT(ISBLANK(Table1[[#This Row],[Fetal Sex (Male, Female or Unknown)]])),ISNUMBER(Table1[[#This Row],[Birthweight (grams)]]),ISNUMBER(Table1[[#This Row],[Gestation (days)]])),TRUE,FALSE)</f>
        <v>0</v>
      </c>
      <c r="E9975" s="2" t="str">
        <f>IF(Table1[[#This Row],[Is Data Valid]]=TRUE,IF(Table1[[#This Row],[Fetal Sex (Male, Female or Unknown)]]="Male",Backend!$C$6,IF(Table1[[#This Row],[Fetal Sex (Male, Female or Unknown)]]="Female",Backend!$C$7,IF(Table1[[#This Row],[Fetal Sex (Male, Female or Unknown)]]="Unknown",Backend!$C$8,"Error"))),"")</f>
        <v/>
      </c>
      <c r="F9975" s="8" t="str">
        <f>IF(Table1[[#This Row],[Is Data Valid]]=TRUE,EXP(0.578+0.332*((Table1[[#This Row],[Gestation (days)]]+0.5)/7)-0.00354*((Table1[[#This Row],[Gestation (days)]]+0.5)/7)^2)*Table1[[#This Row],[BW40_3705]],"")</f>
        <v/>
      </c>
      <c r="G9975" s="2" t="str">
        <f>IF(Table1[[#This Row],[Is Data Valid]]=TRUE,((Table1[[#This Row],[Birthweight (grams)]]/Table1[[#This Row],[BW_GA]])-1)/(Backend!$B$4/100*Table1[[#This Row],[BW40_3705]]),"")</f>
        <v/>
      </c>
      <c r="H9975" s="7" t="str">
        <f>IF(Table1[[#This Row],[Is Data Valid]]=TRUE,((Table1[[#This Row],[Birthweight (grams)]]*0.9/Table1[[#This Row],[BW_GA]])-1)/(Backend!$B$4/100*Table1[[#This Row],[BW40_3705]]),"")</f>
        <v/>
      </c>
      <c r="I9975" s="7" t="str">
        <f>IF(Table1[[#This Row],[Is Data Valid]]=TRUE,((Table1[[#This Row],[Birthweight (grams)]]*1.1/Table1[[#This Row],[BW_GA]])-1)/(Backend!$B$4/100*Table1[[#This Row],[BW40_3705]]),"")</f>
        <v/>
      </c>
      <c r="J9975" s="7" t="str">
        <f>IF(Table1[[#This Row],[Is Data Valid]]=TRUE,_xlfn.NORM.S.DIST(Table1[[#This Row],[Birthweight Z-Score]],TRUE)*100,"")</f>
        <v/>
      </c>
      <c r="K9975" s="7" t="str">
        <f>IF(Table1[[#This Row],[Is Data Valid]]=TRUE,_xlfn.NORM.S.DIST(Table1[[#This Row],[Birthweight Z-Score (BW-10%)]],TRUE)*100,"")</f>
        <v/>
      </c>
      <c r="L9975" s="7" t="str">
        <f>IF(Table1[[#This Row],[Is Data Valid]]=TRUE,_xlfn.NORM.S.DIST(Table1[[#This Row],[Birthweight Z-Score (BW+10%)]],TRUE)*100,"")</f>
        <v/>
      </c>
    </row>
    <row r="9976" spans="1:12" x14ac:dyDescent="0.35">
      <c r="A9976" s="3"/>
      <c r="B9976" s="2"/>
      <c r="C9976" s="2"/>
      <c r="D9976" s="2" t="b">
        <f>IF(AND(NOT(ISBLANK(Table1[[#This Row],[Fetal Sex (Male, Female or Unknown)]])),ISNUMBER(Table1[[#This Row],[Birthweight (grams)]]),ISNUMBER(Table1[[#This Row],[Gestation (days)]])),TRUE,FALSE)</f>
        <v>0</v>
      </c>
      <c r="E9976" s="2" t="str">
        <f>IF(Table1[[#This Row],[Is Data Valid]]=TRUE,IF(Table1[[#This Row],[Fetal Sex (Male, Female or Unknown)]]="Male",Backend!$C$6,IF(Table1[[#This Row],[Fetal Sex (Male, Female or Unknown)]]="Female",Backend!$C$7,IF(Table1[[#This Row],[Fetal Sex (Male, Female or Unknown)]]="Unknown",Backend!$C$8,"Error"))),"")</f>
        <v/>
      </c>
      <c r="F9976" s="8" t="str">
        <f>IF(Table1[[#This Row],[Is Data Valid]]=TRUE,EXP(0.578+0.332*((Table1[[#This Row],[Gestation (days)]]+0.5)/7)-0.00354*((Table1[[#This Row],[Gestation (days)]]+0.5)/7)^2)*Table1[[#This Row],[BW40_3705]],"")</f>
        <v/>
      </c>
      <c r="G9976" s="2" t="str">
        <f>IF(Table1[[#This Row],[Is Data Valid]]=TRUE,((Table1[[#This Row],[Birthweight (grams)]]/Table1[[#This Row],[BW_GA]])-1)/(Backend!$B$4/100*Table1[[#This Row],[BW40_3705]]),"")</f>
        <v/>
      </c>
      <c r="H9976" s="7" t="str">
        <f>IF(Table1[[#This Row],[Is Data Valid]]=TRUE,((Table1[[#This Row],[Birthweight (grams)]]*0.9/Table1[[#This Row],[BW_GA]])-1)/(Backend!$B$4/100*Table1[[#This Row],[BW40_3705]]),"")</f>
        <v/>
      </c>
      <c r="I9976" s="7" t="str">
        <f>IF(Table1[[#This Row],[Is Data Valid]]=TRUE,((Table1[[#This Row],[Birthweight (grams)]]*1.1/Table1[[#This Row],[BW_GA]])-1)/(Backend!$B$4/100*Table1[[#This Row],[BW40_3705]]),"")</f>
        <v/>
      </c>
      <c r="J9976" s="7" t="str">
        <f>IF(Table1[[#This Row],[Is Data Valid]]=TRUE,_xlfn.NORM.S.DIST(Table1[[#This Row],[Birthweight Z-Score]],TRUE)*100,"")</f>
        <v/>
      </c>
      <c r="K9976" s="7" t="str">
        <f>IF(Table1[[#This Row],[Is Data Valid]]=TRUE,_xlfn.NORM.S.DIST(Table1[[#This Row],[Birthweight Z-Score (BW-10%)]],TRUE)*100,"")</f>
        <v/>
      </c>
      <c r="L9976" s="7" t="str">
        <f>IF(Table1[[#This Row],[Is Data Valid]]=TRUE,_xlfn.NORM.S.DIST(Table1[[#This Row],[Birthweight Z-Score (BW+10%)]],TRUE)*100,"")</f>
        <v/>
      </c>
    </row>
    <row r="9977" spans="1:12" x14ac:dyDescent="0.35">
      <c r="A9977" s="3"/>
      <c r="B9977" s="2"/>
      <c r="C9977" s="2"/>
      <c r="D9977" s="2" t="b">
        <f>IF(AND(NOT(ISBLANK(Table1[[#This Row],[Fetal Sex (Male, Female or Unknown)]])),ISNUMBER(Table1[[#This Row],[Birthweight (grams)]]),ISNUMBER(Table1[[#This Row],[Gestation (days)]])),TRUE,FALSE)</f>
        <v>0</v>
      </c>
      <c r="E9977" s="2" t="str">
        <f>IF(Table1[[#This Row],[Is Data Valid]]=TRUE,IF(Table1[[#This Row],[Fetal Sex (Male, Female or Unknown)]]="Male",Backend!$C$6,IF(Table1[[#This Row],[Fetal Sex (Male, Female or Unknown)]]="Female",Backend!$C$7,IF(Table1[[#This Row],[Fetal Sex (Male, Female or Unknown)]]="Unknown",Backend!$C$8,"Error"))),"")</f>
        <v/>
      </c>
      <c r="F9977" s="8" t="str">
        <f>IF(Table1[[#This Row],[Is Data Valid]]=TRUE,EXP(0.578+0.332*((Table1[[#This Row],[Gestation (days)]]+0.5)/7)-0.00354*((Table1[[#This Row],[Gestation (days)]]+0.5)/7)^2)*Table1[[#This Row],[BW40_3705]],"")</f>
        <v/>
      </c>
      <c r="G9977" s="2" t="str">
        <f>IF(Table1[[#This Row],[Is Data Valid]]=TRUE,((Table1[[#This Row],[Birthweight (grams)]]/Table1[[#This Row],[BW_GA]])-1)/(Backend!$B$4/100*Table1[[#This Row],[BW40_3705]]),"")</f>
        <v/>
      </c>
      <c r="H9977" s="7" t="str">
        <f>IF(Table1[[#This Row],[Is Data Valid]]=TRUE,((Table1[[#This Row],[Birthweight (grams)]]*0.9/Table1[[#This Row],[BW_GA]])-1)/(Backend!$B$4/100*Table1[[#This Row],[BW40_3705]]),"")</f>
        <v/>
      </c>
      <c r="I9977" s="7" t="str">
        <f>IF(Table1[[#This Row],[Is Data Valid]]=TRUE,((Table1[[#This Row],[Birthweight (grams)]]*1.1/Table1[[#This Row],[BW_GA]])-1)/(Backend!$B$4/100*Table1[[#This Row],[BW40_3705]]),"")</f>
        <v/>
      </c>
      <c r="J9977" s="7" t="str">
        <f>IF(Table1[[#This Row],[Is Data Valid]]=TRUE,_xlfn.NORM.S.DIST(Table1[[#This Row],[Birthweight Z-Score]],TRUE)*100,"")</f>
        <v/>
      </c>
      <c r="K9977" s="7" t="str">
        <f>IF(Table1[[#This Row],[Is Data Valid]]=TRUE,_xlfn.NORM.S.DIST(Table1[[#This Row],[Birthweight Z-Score (BW-10%)]],TRUE)*100,"")</f>
        <v/>
      </c>
      <c r="L9977" s="7" t="str">
        <f>IF(Table1[[#This Row],[Is Data Valid]]=TRUE,_xlfn.NORM.S.DIST(Table1[[#This Row],[Birthweight Z-Score (BW+10%)]],TRUE)*100,"")</f>
        <v/>
      </c>
    </row>
    <row r="9978" spans="1:12" x14ac:dyDescent="0.35">
      <c r="A9978" s="3"/>
      <c r="B9978" s="2"/>
      <c r="C9978" s="2"/>
      <c r="D9978" s="2" t="b">
        <f>IF(AND(NOT(ISBLANK(Table1[[#This Row],[Fetal Sex (Male, Female or Unknown)]])),ISNUMBER(Table1[[#This Row],[Birthweight (grams)]]),ISNUMBER(Table1[[#This Row],[Gestation (days)]])),TRUE,FALSE)</f>
        <v>0</v>
      </c>
      <c r="E9978" s="2" t="str">
        <f>IF(Table1[[#This Row],[Is Data Valid]]=TRUE,IF(Table1[[#This Row],[Fetal Sex (Male, Female or Unknown)]]="Male",Backend!$C$6,IF(Table1[[#This Row],[Fetal Sex (Male, Female or Unknown)]]="Female",Backend!$C$7,IF(Table1[[#This Row],[Fetal Sex (Male, Female or Unknown)]]="Unknown",Backend!$C$8,"Error"))),"")</f>
        <v/>
      </c>
      <c r="F9978" s="8" t="str">
        <f>IF(Table1[[#This Row],[Is Data Valid]]=TRUE,EXP(0.578+0.332*((Table1[[#This Row],[Gestation (days)]]+0.5)/7)-0.00354*((Table1[[#This Row],[Gestation (days)]]+0.5)/7)^2)*Table1[[#This Row],[BW40_3705]],"")</f>
        <v/>
      </c>
      <c r="G9978" s="2" t="str">
        <f>IF(Table1[[#This Row],[Is Data Valid]]=TRUE,((Table1[[#This Row],[Birthweight (grams)]]/Table1[[#This Row],[BW_GA]])-1)/(Backend!$B$4/100*Table1[[#This Row],[BW40_3705]]),"")</f>
        <v/>
      </c>
      <c r="H9978" s="7" t="str">
        <f>IF(Table1[[#This Row],[Is Data Valid]]=TRUE,((Table1[[#This Row],[Birthweight (grams)]]*0.9/Table1[[#This Row],[BW_GA]])-1)/(Backend!$B$4/100*Table1[[#This Row],[BW40_3705]]),"")</f>
        <v/>
      </c>
      <c r="I9978" s="7" t="str">
        <f>IF(Table1[[#This Row],[Is Data Valid]]=TRUE,((Table1[[#This Row],[Birthweight (grams)]]*1.1/Table1[[#This Row],[BW_GA]])-1)/(Backend!$B$4/100*Table1[[#This Row],[BW40_3705]]),"")</f>
        <v/>
      </c>
      <c r="J9978" s="7" t="str">
        <f>IF(Table1[[#This Row],[Is Data Valid]]=TRUE,_xlfn.NORM.S.DIST(Table1[[#This Row],[Birthweight Z-Score]],TRUE)*100,"")</f>
        <v/>
      </c>
      <c r="K9978" s="7" t="str">
        <f>IF(Table1[[#This Row],[Is Data Valid]]=TRUE,_xlfn.NORM.S.DIST(Table1[[#This Row],[Birthweight Z-Score (BW-10%)]],TRUE)*100,"")</f>
        <v/>
      </c>
      <c r="L9978" s="7" t="str">
        <f>IF(Table1[[#This Row],[Is Data Valid]]=TRUE,_xlfn.NORM.S.DIST(Table1[[#This Row],[Birthweight Z-Score (BW+10%)]],TRUE)*100,"")</f>
        <v/>
      </c>
    </row>
    <row r="9979" spans="1:12" x14ac:dyDescent="0.35">
      <c r="A9979" s="3"/>
      <c r="B9979" s="2"/>
      <c r="C9979" s="2"/>
      <c r="D9979" s="2" t="b">
        <f>IF(AND(NOT(ISBLANK(Table1[[#This Row],[Fetal Sex (Male, Female or Unknown)]])),ISNUMBER(Table1[[#This Row],[Birthweight (grams)]]),ISNUMBER(Table1[[#This Row],[Gestation (days)]])),TRUE,FALSE)</f>
        <v>0</v>
      </c>
      <c r="E9979" s="2" t="str">
        <f>IF(Table1[[#This Row],[Is Data Valid]]=TRUE,IF(Table1[[#This Row],[Fetal Sex (Male, Female or Unknown)]]="Male",Backend!$C$6,IF(Table1[[#This Row],[Fetal Sex (Male, Female or Unknown)]]="Female",Backend!$C$7,IF(Table1[[#This Row],[Fetal Sex (Male, Female or Unknown)]]="Unknown",Backend!$C$8,"Error"))),"")</f>
        <v/>
      </c>
      <c r="F9979" s="8" t="str">
        <f>IF(Table1[[#This Row],[Is Data Valid]]=TRUE,EXP(0.578+0.332*((Table1[[#This Row],[Gestation (days)]]+0.5)/7)-0.00354*((Table1[[#This Row],[Gestation (days)]]+0.5)/7)^2)*Table1[[#This Row],[BW40_3705]],"")</f>
        <v/>
      </c>
      <c r="G9979" s="2" t="str">
        <f>IF(Table1[[#This Row],[Is Data Valid]]=TRUE,((Table1[[#This Row],[Birthweight (grams)]]/Table1[[#This Row],[BW_GA]])-1)/(Backend!$B$4/100*Table1[[#This Row],[BW40_3705]]),"")</f>
        <v/>
      </c>
      <c r="H9979" s="7" t="str">
        <f>IF(Table1[[#This Row],[Is Data Valid]]=TRUE,((Table1[[#This Row],[Birthweight (grams)]]*0.9/Table1[[#This Row],[BW_GA]])-1)/(Backend!$B$4/100*Table1[[#This Row],[BW40_3705]]),"")</f>
        <v/>
      </c>
      <c r="I9979" s="7" t="str">
        <f>IF(Table1[[#This Row],[Is Data Valid]]=TRUE,((Table1[[#This Row],[Birthweight (grams)]]*1.1/Table1[[#This Row],[BW_GA]])-1)/(Backend!$B$4/100*Table1[[#This Row],[BW40_3705]]),"")</f>
        <v/>
      </c>
      <c r="J9979" s="7" t="str">
        <f>IF(Table1[[#This Row],[Is Data Valid]]=TRUE,_xlfn.NORM.S.DIST(Table1[[#This Row],[Birthweight Z-Score]],TRUE)*100,"")</f>
        <v/>
      </c>
      <c r="K9979" s="7" t="str">
        <f>IF(Table1[[#This Row],[Is Data Valid]]=TRUE,_xlfn.NORM.S.DIST(Table1[[#This Row],[Birthweight Z-Score (BW-10%)]],TRUE)*100,"")</f>
        <v/>
      </c>
      <c r="L9979" s="7" t="str">
        <f>IF(Table1[[#This Row],[Is Data Valid]]=TRUE,_xlfn.NORM.S.DIST(Table1[[#This Row],[Birthweight Z-Score (BW+10%)]],TRUE)*100,"")</f>
        <v/>
      </c>
    </row>
    <row r="9980" spans="1:12" x14ac:dyDescent="0.35">
      <c r="A9980" s="3"/>
      <c r="B9980" s="2"/>
      <c r="C9980" s="2"/>
      <c r="D9980" s="2" t="b">
        <f>IF(AND(NOT(ISBLANK(Table1[[#This Row],[Fetal Sex (Male, Female or Unknown)]])),ISNUMBER(Table1[[#This Row],[Birthweight (grams)]]),ISNUMBER(Table1[[#This Row],[Gestation (days)]])),TRUE,FALSE)</f>
        <v>0</v>
      </c>
      <c r="E9980" s="2" t="str">
        <f>IF(Table1[[#This Row],[Is Data Valid]]=TRUE,IF(Table1[[#This Row],[Fetal Sex (Male, Female or Unknown)]]="Male",Backend!$C$6,IF(Table1[[#This Row],[Fetal Sex (Male, Female or Unknown)]]="Female",Backend!$C$7,IF(Table1[[#This Row],[Fetal Sex (Male, Female or Unknown)]]="Unknown",Backend!$C$8,"Error"))),"")</f>
        <v/>
      </c>
      <c r="F9980" s="8" t="str">
        <f>IF(Table1[[#This Row],[Is Data Valid]]=TRUE,EXP(0.578+0.332*((Table1[[#This Row],[Gestation (days)]]+0.5)/7)-0.00354*((Table1[[#This Row],[Gestation (days)]]+0.5)/7)^2)*Table1[[#This Row],[BW40_3705]],"")</f>
        <v/>
      </c>
      <c r="G9980" s="2" t="str">
        <f>IF(Table1[[#This Row],[Is Data Valid]]=TRUE,((Table1[[#This Row],[Birthweight (grams)]]/Table1[[#This Row],[BW_GA]])-1)/(Backend!$B$4/100*Table1[[#This Row],[BW40_3705]]),"")</f>
        <v/>
      </c>
      <c r="H9980" s="7" t="str">
        <f>IF(Table1[[#This Row],[Is Data Valid]]=TRUE,((Table1[[#This Row],[Birthweight (grams)]]*0.9/Table1[[#This Row],[BW_GA]])-1)/(Backend!$B$4/100*Table1[[#This Row],[BW40_3705]]),"")</f>
        <v/>
      </c>
      <c r="I9980" s="7" t="str">
        <f>IF(Table1[[#This Row],[Is Data Valid]]=TRUE,((Table1[[#This Row],[Birthweight (grams)]]*1.1/Table1[[#This Row],[BW_GA]])-1)/(Backend!$B$4/100*Table1[[#This Row],[BW40_3705]]),"")</f>
        <v/>
      </c>
      <c r="J9980" s="7" t="str">
        <f>IF(Table1[[#This Row],[Is Data Valid]]=TRUE,_xlfn.NORM.S.DIST(Table1[[#This Row],[Birthweight Z-Score]],TRUE)*100,"")</f>
        <v/>
      </c>
      <c r="K9980" s="7" t="str">
        <f>IF(Table1[[#This Row],[Is Data Valid]]=TRUE,_xlfn.NORM.S.DIST(Table1[[#This Row],[Birthweight Z-Score (BW-10%)]],TRUE)*100,"")</f>
        <v/>
      </c>
      <c r="L9980" s="7" t="str">
        <f>IF(Table1[[#This Row],[Is Data Valid]]=TRUE,_xlfn.NORM.S.DIST(Table1[[#This Row],[Birthweight Z-Score (BW+10%)]],TRUE)*100,"")</f>
        <v/>
      </c>
    </row>
    <row r="9981" spans="1:12" x14ac:dyDescent="0.35">
      <c r="A9981" s="3"/>
      <c r="B9981" s="2"/>
      <c r="C9981" s="2"/>
      <c r="D9981" s="2" t="b">
        <f>IF(AND(NOT(ISBLANK(Table1[[#This Row],[Fetal Sex (Male, Female or Unknown)]])),ISNUMBER(Table1[[#This Row],[Birthweight (grams)]]),ISNUMBER(Table1[[#This Row],[Gestation (days)]])),TRUE,FALSE)</f>
        <v>0</v>
      </c>
      <c r="E9981" s="2" t="str">
        <f>IF(Table1[[#This Row],[Is Data Valid]]=TRUE,IF(Table1[[#This Row],[Fetal Sex (Male, Female or Unknown)]]="Male",Backend!$C$6,IF(Table1[[#This Row],[Fetal Sex (Male, Female or Unknown)]]="Female",Backend!$C$7,IF(Table1[[#This Row],[Fetal Sex (Male, Female or Unknown)]]="Unknown",Backend!$C$8,"Error"))),"")</f>
        <v/>
      </c>
      <c r="F9981" s="8" t="str">
        <f>IF(Table1[[#This Row],[Is Data Valid]]=TRUE,EXP(0.578+0.332*((Table1[[#This Row],[Gestation (days)]]+0.5)/7)-0.00354*((Table1[[#This Row],[Gestation (days)]]+0.5)/7)^2)*Table1[[#This Row],[BW40_3705]],"")</f>
        <v/>
      </c>
      <c r="G9981" s="2" t="str">
        <f>IF(Table1[[#This Row],[Is Data Valid]]=TRUE,((Table1[[#This Row],[Birthweight (grams)]]/Table1[[#This Row],[BW_GA]])-1)/(Backend!$B$4/100*Table1[[#This Row],[BW40_3705]]),"")</f>
        <v/>
      </c>
      <c r="H9981" s="7" t="str">
        <f>IF(Table1[[#This Row],[Is Data Valid]]=TRUE,((Table1[[#This Row],[Birthweight (grams)]]*0.9/Table1[[#This Row],[BW_GA]])-1)/(Backend!$B$4/100*Table1[[#This Row],[BW40_3705]]),"")</f>
        <v/>
      </c>
      <c r="I9981" s="7" t="str">
        <f>IF(Table1[[#This Row],[Is Data Valid]]=TRUE,((Table1[[#This Row],[Birthweight (grams)]]*1.1/Table1[[#This Row],[BW_GA]])-1)/(Backend!$B$4/100*Table1[[#This Row],[BW40_3705]]),"")</f>
        <v/>
      </c>
      <c r="J9981" s="7" t="str">
        <f>IF(Table1[[#This Row],[Is Data Valid]]=TRUE,_xlfn.NORM.S.DIST(Table1[[#This Row],[Birthweight Z-Score]],TRUE)*100,"")</f>
        <v/>
      </c>
      <c r="K9981" s="7" t="str">
        <f>IF(Table1[[#This Row],[Is Data Valid]]=TRUE,_xlfn.NORM.S.DIST(Table1[[#This Row],[Birthweight Z-Score (BW-10%)]],TRUE)*100,"")</f>
        <v/>
      </c>
      <c r="L9981" s="7" t="str">
        <f>IF(Table1[[#This Row],[Is Data Valid]]=TRUE,_xlfn.NORM.S.DIST(Table1[[#This Row],[Birthweight Z-Score (BW+10%)]],TRUE)*100,"")</f>
        <v/>
      </c>
    </row>
    <row r="9982" spans="1:12" x14ac:dyDescent="0.35">
      <c r="A9982" s="3"/>
      <c r="B9982" s="2"/>
      <c r="C9982" s="2"/>
      <c r="D9982" s="2" t="b">
        <f>IF(AND(NOT(ISBLANK(Table1[[#This Row],[Fetal Sex (Male, Female or Unknown)]])),ISNUMBER(Table1[[#This Row],[Birthweight (grams)]]),ISNUMBER(Table1[[#This Row],[Gestation (days)]])),TRUE,FALSE)</f>
        <v>0</v>
      </c>
      <c r="E9982" s="2" t="str">
        <f>IF(Table1[[#This Row],[Is Data Valid]]=TRUE,IF(Table1[[#This Row],[Fetal Sex (Male, Female or Unknown)]]="Male",Backend!$C$6,IF(Table1[[#This Row],[Fetal Sex (Male, Female or Unknown)]]="Female",Backend!$C$7,IF(Table1[[#This Row],[Fetal Sex (Male, Female or Unknown)]]="Unknown",Backend!$C$8,"Error"))),"")</f>
        <v/>
      </c>
      <c r="F9982" s="8" t="str">
        <f>IF(Table1[[#This Row],[Is Data Valid]]=TRUE,EXP(0.578+0.332*((Table1[[#This Row],[Gestation (days)]]+0.5)/7)-0.00354*((Table1[[#This Row],[Gestation (days)]]+0.5)/7)^2)*Table1[[#This Row],[BW40_3705]],"")</f>
        <v/>
      </c>
      <c r="G9982" s="2" t="str">
        <f>IF(Table1[[#This Row],[Is Data Valid]]=TRUE,((Table1[[#This Row],[Birthweight (grams)]]/Table1[[#This Row],[BW_GA]])-1)/(Backend!$B$4/100*Table1[[#This Row],[BW40_3705]]),"")</f>
        <v/>
      </c>
      <c r="H9982" s="7" t="str">
        <f>IF(Table1[[#This Row],[Is Data Valid]]=TRUE,((Table1[[#This Row],[Birthweight (grams)]]*0.9/Table1[[#This Row],[BW_GA]])-1)/(Backend!$B$4/100*Table1[[#This Row],[BW40_3705]]),"")</f>
        <v/>
      </c>
      <c r="I9982" s="7" t="str">
        <f>IF(Table1[[#This Row],[Is Data Valid]]=TRUE,((Table1[[#This Row],[Birthweight (grams)]]*1.1/Table1[[#This Row],[BW_GA]])-1)/(Backend!$B$4/100*Table1[[#This Row],[BW40_3705]]),"")</f>
        <v/>
      </c>
      <c r="J9982" s="7" t="str">
        <f>IF(Table1[[#This Row],[Is Data Valid]]=TRUE,_xlfn.NORM.S.DIST(Table1[[#This Row],[Birthweight Z-Score]],TRUE)*100,"")</f>
        <v/>
      </c>
      <c r="K9982" s="7" t="str">
        <f>IF(Table1[[#This Row],[Is Data Valid]]=TRUE,_xlfn.NORM.S.DIST(Table1[[#This Row],[Birthweight Z-Score (BW-10%)]],TRUE)*100,"")</f>
        <v/>
      </c>
      <c r="L9982" s="7" t="str">
        <f>IF(Table1[[#This Row],[Is Data Valid]]=TRUE,_xlfn.NORM.S.DIST(Table1[[#This Row],[Birthweight Z-Score (BW+10%)]],TRUE)*100,"")</f>
        <v/>
      </c>
    </row>
    <row r="9983" spans="1:12" x14ac:dyDescent="0.35">
      <c r="A9983" s="3"/>
      <c r="B9983" s="2"/>
      <c r="C9983" s="2"/>
      <c r="D9983" s="2" t="b">
        <f>IF(AND(NOT(ISBLANK(Table1[[#This Row],[Fetal Sex (Male, Female or Unknown)]])),ISNUMBER(Table1[[#This Row],[Birthweight (grams)]]),ISNUMBER(Table1[[#This Row],[Gestation (days)]])),TRUE,FALSE)</f>
        <v>0</v>
      </c>
      <c r="E9983" s="2" t="str">
        <f>IF(Table1[[#This Row],[Is Data Valid]]=TRUE,IF(Table1[[#This Row],[Fetal Sex (Male, Female or Unknown)]]="Male",Backend!$C$6,IF(Table1[[#This Row],[Fetal Sex (Male, Female or Unknown)]]="Female",Backend!$C$7,IF(Table1[[#This Row],[Fetal Sex (Male, Female or Unknown)]]="Unknown",Backend!$C$8,"Error"))),"")</f>
        <v/>
      </c>
      <c r="F9983" s="8" t="str">
        <f>IF(Table1[[#This Row],[Is Data Valid]]=TRUE,EXP(0.578+0.332*((Table1[[#This Row],[Gestation (days)]]+0.5)/7)-0.00354*((Table1[[#This Row],[Gestation (days)]]+0.5)/7)^2)*Table1[[#This Row],[BW40_3705]],"")</f>
        <v/>
      </c>
      <c r="G9983" s="2" t="str">
        <f>IF(Table1[[#This Row],[Is Data Valid]]=TRUE,((Table1[[#This Row],[Birthweight (grams)]]/Table1[[#This Row],[BW_GA]])-1)/(Backend!$B$4/100*Table1[[#This Row],[BW40_3705]]),"")</f>
        <v/>
      </c>
      <c r="H9983" s="7" t="str">
        <f>IF(Table1[[#This Row],[Is Data Valid]]=TRUE,((Table1[[#This Row],[Birthweight (grams)]]*0.9/Table1[[#This Row],[BW_GA]])-1)/(Backend!$B$4/100*Table1[[#This Row],[BW40_3705]]),"")</f>
        <v/>
      </c>
      <c r="I9983" s="7" t="str">
        <f>IF(Table1[[#This Row],[Is Data Valid]]=TRUE,((Table1[[#This Row],[Birthweight (grams)]]*1.1/Table1[[#This Row],[BW_GA]])-1)/(Backend!$B$4/100*Table1[[#This Row],[BW40_3705]]),"")</f>
        <v/>
      </c>
      <c r="J9983" s="7" t="str">
        <f>IF(Table1[[#This Row],[Is Data Valid]]=TRUE,_xlfn.NORM.S.DIST(Table1[[#This Row],[Birthweight Z-Score]],TRUE)*100,"")</f>
        <v/>
      </c>
      <c r="K9983" s="7" t="str">
        <f>IF(Table1[[#This Row],[Is Data Valid]]=TRUE,_xlfn.NORM.S.DIST(Table1[[#This Row],[Birthweight Z-Score (BW-10%)]],TRUE)*100,"")</f>
        <v/>
      </c>
      <c r="L9983" s="7" t="str">
        <f>IF(Table1[[#This Row],[Is Data Valid]]=TRUE,_xlfn.NORM.S.DIST(Table1[[#This Row],[Birthweight Z-Score (BW+10%)]],TRUE)*100,"")</f>
        <v/>
      </c>
    </row>
    <row r="9984" spans="1:12" x14ac:dyDescent="0.35">
      <c r="A9984" s="3"/>
      <c r="B9984" s="2"/>
      <c r="C9984" s="2"/>
      <c r="D9984" s="2" t="b">
        <f>IF(AND(NOT(ISBLANK(Table1[[#This Row],[Fetal Sex (Male, Female or Unknown)]])),ISNUMBER(Table1[[#This Row],[Birthweight (grams)]]),ISNUMBER(Table1[[#This Row],[Gestation (days)]])),TRUE,FALSE)</f>
        <v>0</v>
      </c>
      <c r="E9984" s="2" t="str">
        <f>IF(Table1[[#This Row],[Is Data Valid]]=TRUE,IF(Table1[[#This Row],[Fetal Sex (Male, Female or Unknown)]]="Male",Backend!$C$6,IF(Table1[[#This Row],[Fetal Sex (Male, Female or Unknown)]]="Female",Backend!$C$7,IF(Table1[[#This Row],[Fetal Sex (Male, Female or Unknown)]]="Unknown",Backend!$C$8,"Error"))),"")</f>
        <v/>
      </c>
      <c r="F9984" s="8" t="str">
        <f>IF(Table1[[#This Row],[Is Data Valid]]=TRUE,EXP(0.578+0.332*((Table1[[#This Row],[Gestation (days)]]+0.5)/7)-0.00354*((Table1[[#This Row],[Gestation (days)]]+0.5)/7)^2)*Table1[[#This Row],[BW40_3705]],"")</f>
        <v/>
      </c>
      <c r="G9984" s="2" t="str">
        <f>IF(Table1[[#This Row],[Is Data Valid]]=TRUE,((Table1[[#This Row],[Birthweight (grams)]]/Table1[[#This Row],[BW_GA]])-1)/(Backend!$B$4/100*Table1[[#This Row],[BW40_3705]]),"")</f>
        <v/>
      </c>
      <c r="H9984" s="7" t="str">
        <f>IF(Table1[[#This Row],[Is Data Valid]]=TRUE,((Table1[[#This Row],[Birthweight (grams)]]*0.9/Table1[[#This Row],[BW_GA]])-1)/(Backend!$B$4/100*Table1[[#This Row],[BW40_3705]]),"")</f>
        <v/>
      </c>
      <c r="I9984" s="7" t="str">
        <f>IF(Table1[[#This Row],[Is Data Valid]]=TRUE,((Table1[[#This Row],[Birthweight (grams)]]*1.1/Table1[[#This Row],[BW_GA]])-1)/(Backend!$B$4/100*Table1[[#This Row],[BW40_3705]]),"")</f>
        <v/>
      </c>
      <c r="J9984" s="7" t="str">
        <f>IF(Table1[[#This Row],[Is Data Valid]]=TRUE,_xlfn.NORM.S.DIST(Table1[[#This Row],[Birthweight Z-Score]],TRUE)*100,"")</f>
        <v/>
      </c>
      <c r="K9984" s="7" t="str">
        <f>IF(Table1[[#This Row],[Is Data Valid]]=TRUE,_xlfn.NORM.S.DIST(Table1[[#This Row],[Birthweight Z-Score (BW-10%)]],TRUE)*100,"")</f>
        <v/>
      </c>
      <c r="L9984" s="7" t="str">
        <f>IF(Table1[[#This Row],[Is Data Valid]]=TRUE,_xlfn.NORM.S.DIST(Table1[[#This Row],[Birthweight Z-Score (BW+10%)]],TRUE)*100,"")</f>
        <v/>
      </c>
    </row>
    <row r="9985" spans="1:12" x14ac:dyDescent="0.35">
      <c r="A9985" s="3"/>
      <c r="B9985" s="2"/>
      <c r="C9985" s="2"/>
      <c r="D9985" s="2" t="b">
        <f>IF(AND(NOT(ISBLANK(Table1[[#This Row],[Fetal Sex (Male, Female or Unknown)]])),ISNUMBER(Table1[[#This Row],[Birthweight (grams)]]),ISNUMBER(Table1[[#This Row],[Gestation (days)]])),TRUE,FALSE)</f>
        <v>0</v>
      </c>
      <c r="E9985" s="2" t="str">
        <f>IF(Table1[[#This Row],[Is Data Valid]]=TRUE,IF(Table1[[#This Row],[Fetal Sex (Male, Female or Unknown)]]="Male",Backend!$C$6,IF(Table1[[#This Row],[Fetal Sex (Male, Female or Unknown)]]="Female",Backend!$C$7,IF(Table1[[#This Row],[Fetal Sex (Male, Female or Unknown)]]="Unknown",Backend!$C$8,"Error"))),"")</f>
        <v/>
      </c>
      <c r="F9985" s="8" t="str">
        <f>IF(Table1[[#This Row],[Is Data Valid]]=TRUE,EXP(0.578+0.332*((Table1[[#This Row],[Gestation (days)]]+0.5)/7)-0.00354*((Table1[[#This Row],[Gestation (days)]]+0.5)/7)^2)*Table1[[#This Row],[BW40_3705]],"")</f>
        <v/>
      </c>
      <c r="G9985" s="2" t="str">
        <f>IF(Table1[[#This Row],[Is Data Valid]]=TRUE,((Table1[[#This Row],[Birthweight (grams)]]/Table1[[#This Row],[BW_GA]])-1)/(Backend!$B$4/100*Table1[[#This Row],[BW40_3705]]),"")</f>
        <v/>
      </c>
      <c r="H9985" s="7" t="str">
        <f>IF(Table1[[#This Row],[Is Data Valid]]=TRUE,((Table1[[#This Row],[Birthweight (grams)]]*0.9/Table1[[#This Row],[BW_GA]])-1)/(Backend!$B$4/100*Table1[[#This Row],[BW40_3705]]),"")</f>
        <v/>
      </c>
      <c r="I9985" s="7" t="str">
        <f>IF(Table1[[#This Row],[Is Data Valid]]=TRUE,((Table1[[#This Row],[Birthweight (grams)]]*1.1/Table1[[#This Row],[BW_GA]])-1)/(Backend!$B$4/100*Table1[[#This Row],[BW40_3705]]),"")</f>
        <v/>
      </c>
      <c r="J9985" s="7" t="str">
        <f>IF(Table1[[#This Row],[Is Data Valid]]=TRUE,_xlfn.NORM.S.DIST(Table1[[#This Row],[Birthweight Z-Score]],TRUE)*100,"")</f>
        <v/>
      </c>
      <c r="K9985" s="7" t="str">
        <f>IF(Table1[[#This Row],[Is Data Valid]]=TRUE,_xlfn.NORM.S.DIST(Table1[[#This Row],[Birthweight Z-Score (BW-10%)]],TRUE)*100,"")</f>
        <v/>
      </c>
      <c r="L9985" s="7" t="str">
        <f>IF(Table1[[#This Row],[Is Data Valid]]=TRUE,_xlfn.NORM.S.DIST(Table1[[#This Row],[Birthweight Z-Score (BW+10%)]],TRUE)*100,"")</f>
        <v/>
      </c>
    </row>
    <row r="9986" spans="1:12" x14ac:dyDescent="0.35">
      <c r="A9986" s="3"/>
      <c r="B9986" s="2"/>
      <c r="C9986" s="2"/>
      <c r="D9986" s="2" t="b">
        <f>IF(AND(NOT(ISBLANK(Table1[[#This Row],[Fetal Sex (Male, Female or Unknown)]])),ISNUMBER(Table1[[#This Row],[Birthweight (grams)]]),ISNUMBER(Table1[[#This Row],[Gestation (days)]])),TRUE,FALSE)</f>
        <v>0</v>
      </c>
      <c r="E9986" s="2" t="str">
        <f>IF(Table1[[#This Row],[Is Data Valid]]=TRUE,IF(Table1[[#This Row],[Fetal Sex (Male, Female or Unknown)]]="Male",Backend!$C$6,IF(Table1[[#This Row],[Fetal Sex (Male, Female or Unknown)]]="Female",Backend!$C$7,IF(Table1[[#This Row],[Fetal Sex (Male, Female or Unknown)]]="Unknown",Backend!$C$8,"Error"))),"")</f>
        <v/>
      </c>
      <c r="F9986" s="8" t="str">
        <f>IF(Table1[[#This Row],[Is Data Valid]]=TRUE,EXP(0.578+0.332*((Table1[[#This Row],[Gestation (days)]]+0.5)/7)-0.00354*((Table1[[#This Row],[Gestation (days)]]+0.5)/7)^2)*Table1[[#This Row],[BW40_3705]],"")</f>
        <v/>
      </c>
      <c r="G9986" s="2" t="str">
        <f>IF(Table1[[#This Row],[Is Data Valid]]=TRUE,((Table1[[#This Row],[Birthweight (grams)]]/Table1[[#This Row],[BW_GA]])-1)/(Backend!$B$4/100*Table1[[#This Row],[BW40_3705]]),"")</f>
        <v/>
      </c>
      <c r="H9986" s="7" t="str">
        <f>IF(Table1[[#This Row],[Is Data Valid]]=TRUE,((Table1[[#This Row],[Birthweight (grams)]]*0.9/Table1[[#This Row],[BW_GA]])-1)/(Backend!$B$4/100*Table1[[#This Row],[BW40_3705]]),"")</f>
        <v/>
      </c>
      <c r="I9986" s="7" t="str">
        <f>IF(Table1[[#This Row],[Is Data Valid]]=TRUE,((Table1[[#This Row],[Birthweight (grams)]]*1.1/Table1[[#This Row],[BW_GA]])-1)/(Backend!$B$4/100*Table1[[#This Row],[BW40_3705]]),"")</f>
        <v/>
      </c>
      <c r="J9986" s="7" t="str">
        <f>IF(Table1[[#This Row],[Is Data Valid]]=TRUE,_xlfn.NORM.S.DIST(Table1[[#This Row],[Birthweight Z-Score]],TRUE)*100,"")</f>
        <v/>
      </c>
      <c r="K9986" s="7" t="str">
        <f>IF(Table1[[#This Row],[Is Data Valid]]=TRUE,_xlfn.NORM.S.DIST(Table1[[#This Row],[Birthweight Z-Score (BW-10%)]],TRUE)*100,"")</f>
        <v/>
      </c>
      <c r="L9986" s="7" t="str">
        <f>IF(Table1[[#This Row],[Is Data Valid]]=TRUE,_xlfn.NORM.S.DIST(Table1[[#This Row],[Birthweight Z-Score (BW+10%)]],TRUE)*100,"")</f>
        <v/>
      </c>
    </row>
    <row r="9987" spans="1:12" x14ac:dyDescent="0.35">
      <c r="A9987" s="3"/>
      <c r="B9987" s="2"/>
      <c r="C9987" s="2"/>
      <c r="D9987" s="2" t="b">
        <f>IF(AND(NOT(ISBLANK(Table1[[#This Row],[Fetal Sex (Male, Female or Unknown)]])),ISNUMBER(Table1[[#This Row],[Birthweight (grams)]]),ISNUMBER(Table1[[#This Row],[Gestation (days)]])),TRUE,FALSE)</f>
        <v>0</v>
      </c>
      <c r="E9987" s="2" t="str">
        <f>IF(Table1[[#This Row],[Is Data Valid]]=TRUE,IF(Table1[[#This Row],[Fetal Sex (Male, Female or Unknown)]]="Male",Backend!$C$6,IF(Table1[[#This Row],[Fetal Sex (Male, Female or Unknown)]]="Female",Backend!$C$7,IF(Table1[[#This Row],[Fetal Sex (Male, Female or Unknown)]]="Unknown",Backend!$C$8,"Error"))),"")</f>
        <v/>
      </c>
      <c r="F9987" s="8" t="str">
        <f>IF(Table1[[#This Row],[Is Data Valid]]=TRUE,EXP(0.578+0.332*((Table1[[#This Row],[Gestation (days)]]+0.5)/7)-0.00354*((Table1[[#This Row],[Gestation (days)]]+0.5)/7)^2)*Table1[[#This Row],[BW40_3705]],"")</f>
        <v/>
      </c>
      <c r="G9987" s="2" t="str">
        <f>IF(Table1[[#This Row],[Is Data Valid]]=TRUE,((Table1[[#This Row],[Birthweight (grams)]]/Table1[[#This Row],[BW_GA]])-1)/(Backend!$B$4/100*Table1[[#This Row],[BW40_3705]]),"")</f>
        <v/>
      </c>
      <c r="H9987" s="7" t="str">
        <f>IF(Table1[[#This Row],[Is Data Valid]]=TRUE,((Table1[[#This Row],[Birthweight (grams)]]*0.9/Table1[[#This Row],[BW_GA]])-1)/(Backend!$B$4/100*Table1[[#This Row],[BW40_3705]]),"")</f>
        <v/>
      </c>
      <c r="I9987" s="7" t="str">
        <f>IF(Table1[[#This Row],[Is Data Valid]]=TRUE,((Table1[[#This Row],[Birthweight (grams)]]*1.1/Table1[[#This Row],[BW_GA]])-1)/(Backend!$B$4/100*Table1[[#This Row],[BW40_3705]]),"")</f>
        <v/>
      </c>
      <c r="J9987" s="7" t="str">
        <f>IF(Table1[[#This Row],[Is Data Valid]]=TRUE,_xlfn.NORM.S.DIST(Table1[[#This Row],[Birthweight Z-Score]],TRUE)*100,"")</f>
        <v/>
      </c>
      <c r="K9987" s="7" t="str">
        <f>IF(Table1[[#This Row],[Is Data Valid]]=TRUE,_xlfn.NORM.S.DIST(Table1[[#This Row],[Birthweight Z-Score (BW-10%)]],TRUE)*100,"")</f>
        <v/>
      </c>
      <c r="L9987" s="7" t="str">
        <f>IF(Table1[[#This Row],[Is Data Valid]]=TRUE,_xlfn.NORM.S.DIST(Table1[[#This Row],[Birthweight Z-Score (BW+10%)]],TRUE)*100,"")</f>
        <v/>
      </c>
    </row>
    <row r="9988" spans="1:12" x14ac:dyDescent="0.35">
      <c r="A9988" s="3"/>
      <c r="B9988" s="2"/>
      <c r="C9988" s="2"/>
      <c r="D9988" s="2" t="b">
        <f>IF(AND(NOT(ISBLANK(Table1[[#This Row],[Fetal Sex (Male, Female or Unknown)]])),ISNUMBER(Table1[[#This Row],[Birthweight (grams)]]),ISNUMBER(Table1[[#This Row],[Gestation (days)]])),TRUE,FALSE)</f>
        <v>0</v>
      </c>
      <c r="E9988" s="2" t="str">
        <f>IF(Table1[[#This Row],[Is Data Valid]]=TRUE,IF(Table1[[#This Row],[Fetal Sex (Male, Female or Unknown)]]="Male",Backend!$C$6,IF(Table1[[#This Row],[Fetal Sex (Male, Female or Unknown)]]="Female",Backend!$C$7,IF(Table1[[#This Row],[Fetal Sex (Male, Female or Unknown)]]="Unknown",Backend!$C$8,"Error"))),"")</f>
        <v/>
      </c>
      <c r="F9988" s="8" t="str">
        <f>IF(Table1[[#This Row],[Is Data Valid]]=TRUE,EXP(0.578+0.332*((Table1[[#This Row],[Gestation (days)]]+0.5)/7)-0.00354*((Table1[[#This Row],[Gestation (days)]]+0.5)/7)^2)*Table1[[#This Row],[BW40_3705]],"")</f>
        <v/>
      </c>
      <c r="G9988" s="2" t="str">
        <f>IF(Table1[[#This Row],[Is Data Valid]]=TRUE,((Table1[[#This Row],[Birthweight (grams)]]/Table1[[#This Row],[BW_GA]])-1)/(Backend!$B$4/100*Table1[[#This Row],[BW40_3705]]),"")</f>
        <v/>
      </c>
      <c r="H9988" s="7" t="str">
        <f>IF(Table1[[#This Row],[Is Data Valid]]=TRUE,((Table1[[#This Row],[Birthweight (grams)]]*0.9/Table1[[#This Row],[BW_GA]])-1)/(Backend!$B$4/100*Table1[[#This Row],[BW40_3705]]),"")</f>
        <v/>
      </c>
      <c r="I9988" s="7" t="str">
        <f>IF(Table1[[#This Row],[Is Data Valid]]=TRUE,((Table1[[#This Row],[Birthweight (grams)]]*1.1/Table1[[#This Row],[BW_GA]])-1)/(Backend!$B$4/100*Table1[[#This Row],[BW40_3705]]),"")</f>
        <v/>
      </c>
      <c r="J9988" s="7" t="str">
        <f>IF(Table1[[#This Row],[Is Data Valid]]=TRUE,_xlfn.NORM.S.DIST(Table1[[#This Row],[Birthweight Z-Score]],TRUE)*100,"")</f>
        <v/>
      </c>
      <c r="K9988" s="7" t="str">
        <f>IF(Table1[[#This Row],[Is Data Valid]]=TRUE,_xlfn.NORM.S.DIST(Table1[[#This Row],[Birthweight Z-Score (BW-10%)]],TRUE)*100,"")</f>
        <v/>
      </c>
      <c r="L9988" s="7" t="str">
        <f>IF(Table1[[#This Row],[Is Data Valid]]=TRUE,_xlfn.NORM.S.DIST(Table1[[#This Row],[Birthweight Z-Score (BW+10%)]],TRUE)*100,"")</f>
        <v/>
      </c>
    </row>
    <row r="9989" spans="1:12" x14ac:dyDescent="0.35">
      <c r="A9989" s="3"/>
      <c r="B9989" s="2"/>
      <c r="C9989" s="2"/>
      <c r="D9989" s="2" t="b">
        <f>IF(AND(NOT(ISBLANK(Table1[[#This Row],[Fetal Sex (Male, Female or Unknown)]])),ISNUMBER(Table1[[#This Row],[Birthweight (grams)]]),ISNUMBER(Table1[[#This Row],[Gestation (days)]])),TRUE,FALSE)</f>
        <v>0</v>
      </c>
      <c r="E9989" s="2" t="str">
        <f>IF(Table1[[#This Row],[Is Data Valid]]=TRUE,IF(Table1[[#This Row],[Fetal Sex (Male, Female or Unknown)]]="Male",Backend!$C$6,IF(Table1[[#This Row],[Fetal Sex (Male, Female or Unknown)]]="Female",Backend!$C$7,IF(Table1[[#This Row],[Fetal Sex (Male, Female or Unknown)]]="Unknown",Backend!$C$8,"Error"))),"")</f>
        <v/>
      </c>
      <c r="F9989" s="8" t="str">
        <f>IF(Table1[[#This Row],[Is Data Valid]]=TRUE,EXP(0.578+0.332*((Table1[[#This Row],[Gestation (days)]]+0.5)/7)-0.00354*((Table1[[#This Row],[Gestation (days)]]+0.5)/7)^2)*Table1[[#This Row],[BW40_3705]],"")</f>
        <v/>
      </c>
      <c r="G9989" s="2" t="str">
        <f>IF(Table1[[#This Row],[Is Data Valid]]=TRUE,((Table1[[#This Row],[Birthweight (grams)]]/Table1[[#This Row],[BW_GA]])-1)/(Backend!$B$4/100*Table1[[#This Row],[BW40_3705]]),"")</f>
        <v/>
      </c>
      <c r="H9989" s="7" t="str">
        <f>IF(Table1[[#This Row],[Is Data Valid]]=TRUE,((Table1[[#This Row],[Birthweight (grams)]]*0.9/Table1[[#This Row],[BW_GA]])-1)/(Backend!$B$4/100*Table1[[#This Row],[BW40_3705]]),"")</f>
        <v/>
      </c>
      <c r="I9989" s="7" t="str">
        <f>IF(Table1[[#This Row],[Is Data Valid]]=TRUE,((Table1[[#This Row],[Birthweight (grams)]]*1.1/Table1[[#This Row],[BW_GA]])-1)/(Backend!$B$4/100*Table1[[#This Row],[BW40_3705]]),"")</f>
        <v/>
      </c>
      <c r="J9989" s="7" t="str">
        <f>IF(Table1[[#This Row],[Is Data Valid]]=TRUE,_xlfn.NORM.S.DIST(Table1[[#This Row],[Birthweight Z-Score]],TRUE)*100,"")</f>
        <v/>
      </c>
      <c r="K9989" s="7" t="str">
        <f>IF(Table1[[#This Row],[Is Data Valid]]=TRUE,_xlfn.NORM.S.DIST(Table1[[#This Row],[Birthweight Z-Score (BW-10%)]],TRUE)*100,"")</f>
        <v/>
      </c>
      <c r="L9989" s="7" t="str">
        <f>IF(Table1[[#This Row],[Is Data Valid]]=TRUE,_xlfn.NORM.S.DIST(Table1[[#This Row],[Birthweight Z-Score (BW+10%)]],TRUE)*100,"")</f>
        <v/>
      </c>
    </row>
    <row r="9990" spans="1:12" x14ac:dyDescent="0.35">
      <c r="A9990" s="3"/>
      <c r="B9990" s="2"/>
      <c r="C9990" s="2"/>
      <c r="D9990" s="2" t="b">
        <f>IF(AND(NOT(ISBLANK(Table1[[#This Row],[Fetal Sex (Male, Female or Unknown)]])),ISNUMBER(Table1[[#This Row],[Birthweight (grams)]]),ISNUMBER(Table1[[#This Row],[Gestation (days)]])),TRUE,FALSE)</f>
        <v>0</v>
      </c>
      <c r="E9990" s="2" t="str">
        <f>IF(Table1[[#This Row],[Is Data Valid]]=TRUE,IF(Table1[[#This Row],[Fetal Sex (Male, Female or Unknown)]]="Male",Backend!$C$6,IF(Table1[[#This Row],[Fetal Sex (Male, Female or Unknown)]]="Female",Backend!$C$7,IF(Table1[[#This Row],[Fetal Sex (Male, Female or Unknown)]]="Unknown",Backend!$C$8,"Error"))),"")</f>
        <v/>
      </c>
      <c r="F9990" s="8" t="str">
        <f>IF(Table1[[#This Row],[Is Data Valid]]=TRUE,EXP(0.578+0.332*((Table1[[#This Row],[Gestation (days)]]+0.5)/7)-0.00354*((Table1[[#This Row],[Gestation (days)]]+0.5)/7)^2)*Table1[[#This Row],[BW40_3705]],"")</f>
        <v/>
      </c>
      <c r="G9990" s="2" t="str">
        <f>IF(Table1[[#This Row],[Is Data Valid]]=TRUE,((Table1[[#This Row],[Birthweight (grams)]]/Table1[[#This Row],[BW_GA]])-1)/(Backend!$B$4/100*Table1[[#This Row],[BW40_3705]]),"")</f>
        <v/>
      </c>
      <c r="H9990" s="7" t="str">
        <f>IF(Table1[[#This Row],[Is Data Valid]]=TRUE,((Table1[[#This Row],[Birthweight (grams)]]*0.9/Table1[[#This Row],[BW_GA]])-1)/(Backend!$B$4/100*Table1[[#This Row],[BW40_3705]]),"")</f>
        <v/>
      </c>
      <c r="I9990" s="7" t="str">
        <f>IF(Table1[[#This Row],[Is Data Valid]]=TRUE,((Table1[[#This Row],[Birthweight (grams)]]*1.1/Table1[[#This Row],[BW_GA]])-1)/(Backend!$B$4/100*Table1[[#This Row],[BW40_3705]]),"")</f>
        <v/>
      </c>
      <c r="J9990" s="7" t="str">
        <f>IF(Table1[[#This Row],[Is Data Valid]]=TRUE,_xlfn.NORM.S.DIST(Table1[[#This Row],[Birthweight Z-Score]],TRUE)*100,"")</f>
        <v/>
      </c>
      <c r="K9990" s="7" t="str">
        <f>IF(Table1[[#This Row],[Is Data Valid]]=TRUE,_xlfn.NORM.S.DIST(Table1[[#This Row],[Birthweight Z-Score (BW-10%)]],TRUE)*100,"")</f>
        <v/>
      </c>
      <c r="L9990" s="7" t="str">
        <f>IF(Table1[[#This Row],[Is Data Valid]]=TRUE,_xlfn.NORM.S.DIST(Table1[[#This Row],[Birthweight Z-Score (BW+10%)]],TRUE)*100,"")</f>
        <v/>
      </c>
    </row>
    <row r="9991" spans="1:12" x14ac:dyDescent="0.35">
      <c r="A9991" s="3"/>
      <c r="B9991" s="2"/>
      <c r="C9991" s="2"/>
      <c r="D9991" s="2" t="b">
        <f>IF(AND(NOT(ISBLANK(Table1[[#This Row],[Fetal Sex (Male, Female or Unknown)]])),ISNUMBER(Table1[[#This Row],[Birthweight (grams)]]),ISNUMBER(Table1[[#This Row],[Gestation (days)]])),TRUE,FALSE)</f>
        <v>0</v>
      </c>
      <c r="E9991" s="2" t="str">
        <f>IF(Table1[[#This Row],[Is Data Valid]]=TRUE,IF(Table1[[#This Row],[Fetal Sex (Male, Female or Unknown)]]="Male",Backend!$C$6,IF(Table1[[#This Row],[Fetal Sex (Male, Female or Unknown)]]="Female",Backend!$C$7,IF(Table1[[#This Row],[Fetal Sex (Male, Female or Unknown)]]="Unknown",Backend!$C$8,"Error"))),"")</f>
        <v/>
      </c>
      <c r="F9991" s="8" t="str">
        <f>IF(Table1[[#This Row],[Is Data Valid]]=TRUE,EXP(0.578+0.332*((Table1[[#This Row],[Gestation (days)]]+0.5)/7)-0.00354*((Table1[[#This Row],[Gestation (days)]]+0.5)/7)^2)*Table1[[#This Row],[BW40_3705]],"")</f>
        <v/>
      </c>
      <c r="G9991" s="2" t="str">
        <f>IF(Table1[[#This Row],[Is Data Valid]]=TRUE,((Table1[[#This Row],[Birthweight (grams)]]/Table1[[#This Row],[BW_GA]])-1)/(Backend!$B$4/100*Table1[[#This Row],[BW40_3705]]),"")</f>
        <v/>
      </c>
      <c r="H9991" s="7" t="str">
        <f>IF(Table1[[#This Row],[Is Data Valid]]=TRUE,((Table1[[#This Row],[Birthweight (grams)]]*0.9/Table1[[#This Row],[BW_GA]])-1)/(Backend!$B$4/100*Table1[[#This Row],[BW40_3705]]),"")</f>
        <v/>
      </c>
      <c r="I9991" s="7" t="str">
        <f>IF(Table1[[#This Row],[Is Data Valid]]=TRUE,((Table1[[#This Row],[Birthweight (grams)]]*1.1/Table1[[#This Row],[BW_GA]])-1)/(Backend!$B$4/100*Table1[[#This Row],[BW40_3705]]),"")</f>
        <v/>
      </c>
      <c r="J9991" s="7" t="str">
        <f>IF(Table1[[#This Row],[Is Data Valid]]=TRUE,_xlfn.NORM.S.DIST(Table1[[#This Row],[Birthweight Z-Score]],TRUE)*100,"")</f>
        <v/>
      </c>
      <c r="K9991" s="7" t="str">
        <f>IF(Table1[[#This Row],[Is Data Valid]]=TRUE,_xlfn.NORM.S.DIST(Table1[[#This Row],[Birthweight Z-Score (BW-10%)]],TRUE)*100,"")</f>
        <v/>
      </c>
      <c r="L9991" s="7" t="str">
        <f>IF(Table1[[#This Row],[Is Data Valid]]=TRUE,_xlfn.NORM.S.DIST(Table1[[#This Row],[Birthweight Z-Score (BW+10%)]],TRUE)*100,"")</f>
        <v/>
      </c>
    </row>
    <row r="9992" spans="1:12" x14ac:dyDescent="0.35">
      <c r="A9992" s="3"/>
      <c r="B9992" s="2"/>
      <c r="C9992" s="2"/>
      <c r="D9992" s="2" t="b">
        <f>IF(AND(NOT(ISBLANK(Table1[[#This Row],[Fetal Sex (Male, Female or Unknown)]])),ISNUMBER(Table1[[#This Row],[Birthweight (grams)]]),ISNUMBER(Table1[[#This Row],[Gestation (days)]])),TRUE,FALSE)</f>
        <v>0</v>
      </c>
      <c r="E9992" s="2" t="str">
        <f>IF(Table1[[#This Row],[Is Data Valid]]=TRUE,IF(Table1[[#This Row],[Fetal Sex (Male, Female or Unknown)]]="Male",Backend!$C$6,IF(Table1[[#This Row],[Fetal Sex (Male, Female or Unknown)]]="Female",Backend!$C$7,IF(Table1[[#This Row],[Fetal Sex (Male, Female or Unknown)]]="Unknown",Backend!$C$8,"Error"))),"")</f>
        <v/>
      </c>
      <c r="F9992" s="8" t="str">
        <f>IF(Table1[[#This Row],[Is Data Valid]]=TRUE,EXP(0.578+0.332*((Table1[[#This Row],[Gestation (days)]]+0.5)/7)-0.00354*((Table1[[#This Row],[Gestation (days)]]+0.5)/7)^2)*Table1[[#This Row],[BW40_3705]],"")</f>
        <v/>
      </c>
      <c r="G9992" s="2" t="str">
        <f>IF(Table1[[#This Row],[Is Data Valid]]=TRUE,((Table1[[#This Row],[Birthweight (grams)]]/Table1[[#This Row],[BW_GA]])-1)/(Backend!$B$4/100*Table1[[#This Row],[BW40_3705]]),"")</f>
        <v/>
      </c>
      <c r="H9992" s="7" t="str">
        <f>IF(Table1[[#This Row],[Is Data Valid]]=TRUE,((Table1[[#This Row],[Birthweight (grams)]]*0.9/Table1[[#This Row],[BW_GA]])-1)/(Backend!$B$4/100*Table1[[#This Row],[BW40_3705]]),"")</f>
        <v/>
      </c>
      <c r="I9992" s="7" t="str">
        <f>IF(Table1[[#This Row],[Is Data Valid]]=TRUE,((Table1[[#This Row],[Birthweight (grams)]]*1.1/Table1[[#This Row],[BW_GA]])-1)/(Backend!$B$4/100*Table1[[#This Row],[BW40_3705]]),"")</f>
        <v/>
      </c>
      <c r="J9992" s="7" t="str">
        <f>IF(Table1[[#This Row],[Is Data Valid]]=TRUE,_xlfn.NORM.S.DIST(Table1[[#This Row],[Birthweight Z-Score]],TRUE)*100,"")</f>
        <v/>
      </c>
      <c r="K9992" s="7" t="str">
        <f>IF(Table1[[#This Row],[Is Data Valid]]=TRUE,_xlfn.NORM.S.DIST(Table1[[#This Row],[Birthweight Z-Score (BW-10%)]],TRUE)*100,"")</f>
        <v/>
      </c>
      <c r="L9992" s="7" t="str">
        <f>IF(Table1[[#This Row],[Is Data Valid]]=TRUE,_xlfn.NORM.S.DIST(Table1[[#This Row],[Birthweight Z-Score (BW+10%)]],TRUE)*100,"")</f>
        <v/>
      </c>
    </row>
    <row r="9993" spans="1:12" x14ac:dyDescent="0.35">
      <c r="A9993" s="3"/>
      <c r="B9993" s="2"/>
      <c r="C9993" s="2"/>
      <c r="D9993" s="2" t="b">
        <f>IF(AND(NOT(ISBLANK(Table1[[#This Row],[Fetal Sex (Male, Female or Unknown)]])),ISNUMBER(Table1[[#This Row],[Birthweight (grams)]]),ISNUMBER(Table1[[#This Row],[Gestation (days)]])),TRUE,FALSE)</f>
        <v>0</v>
      </c>
      <c r="E9993" s="2" t="str">
        <f>IF(Table1[[#This Row],[Is Data Valid]]=TRUE,IF(Table1[[#This Row],[Fetal Sex (Male, Female or Unknown)]]="Male",Backend!$C$6,IF(Table1[[#This Row],[Fetal Sex (Male, Female or Unknown)]]="Female",Backend!$C$7,IF(Table1[[#This Row],[Fetal Sex (Male, Female or Unknown)]]="Unknown",Backend!$C$8,"Error"))),"")</f>
        <v/>
      </c>
      <c r="F9993" s="8" t="str">
        <f>IF(Table1[[#This Row],[Is Data Valid]]=TRUE,EXP(0.578+0.332*((Table1[[#This Row],[Gestation (days)]]+0.5)/7)-0.00354*((Table1[[#This Row],[Gestation (days)]]+0.5)/7)^2)*Table1[[#This Row],[BW40_3705]],"")</f>
        <v/>
      </c>
      <c r="G9993" s="2" t="str">
        <f>IF(Table1[[#This Row],[Is Data Valid]]=TRUE,((Table1[[#This Row],[Birthweight (grams)]]/Table1[[#This Row],[BW_GA]])-1)/(Backend!$B$4/100*Table1[[#This Row],[BW40_3705]]),"")</f>
        <v/>
      </c>
      <c r="H9993" s="7" t="str">
        <f>IF(Table1[[#This Row],[Is Data Valid]]=TRUE,((Table1[[#This Row],[Birthweight (grams)]]*0.9/Table1[[#This Row],[BW_GA]])-1)/(Backend!$B$4/100*Table1[[#This Row],[BW40_3705]]),"")</f>
        <v/>
      </c>
      <c r="I9993" s="7" t="str">
        <f>IF(Table1[[#This Row],[Is Data Valid]]=TRUE,((Table1[[#This Row],[Birthweight (grams)]]*1.1/Table1[[#This Row],[BW_GA]])-1)/(Backend!$B$4/100*Table1[[#This Row],[BW40_3705]]),"")</f>
        <v/>
      </c>
      <c r="J9993" s="7" t="str">
        <f>IF(Table1[[#This Row],[Is Data Valid]]=TRUE,_xlfn.NORM.S.DIST(Table1[[#This Row],[Birthweight Z-Score]],TRUE)*100,"")</f>
        <v/>
      </c>
      <c r="K9993" s="7" t="str">
        <f>IF(Table1[[#This Row],[Is Data Valid]]=TRUE,_xlfn.NORM.S.DIST(Table1[[#This Row],[Birthweight Z-Score (BW-10%)]],TRUE)*100,"")</f>
        <v/>
      </c>
      <c r="L9993" s="7" t="str">
        <f>IF(Table1[[#This Row],[Is Data Valid]]=TRUE,_xlfn.NORM.S.DIST(Table1[[#This Row],[Birthweight Z-Score (BW+10%)]],TRUE)*100,"")</f>
        <v/>
      </c>
    </row>
    <row r="9994" spans="1:12" x14ac:dyDescent="0.35">
      <c r="A9994" s="3"/>
      <c r="B9994" s="2"/>
      <c r="C9994" s="2"/>
      <c r="D9994" s="2" t="b">
        <f>IF(AND(NOT(ISBLANK(Table1[[#This Row],[Fetal Sex (Male, Female or Unknown)]])),ISNUMBER(Table1[[#This Row],[Birthweight (grams)]]),ISNUMBER(Table1[[#This Row],[Gestation (days)]])),TRUE,FALSE)</f>
        <v>0</v>
      </c>
      <c r="E9994" s="2" t="str">
        <f>IF(Table1[[#This Row],[Is Data Valid]]=TRUE,IF(Table1[[#This Row],[Fetal Sex (Male, Female or Unknown)]]="Male",Backend!$C$6,IF(Table1[[#This Row],[Fetal Sex (Male, Female or Unknown)]]="Female",Backend!$C$7,IF(Table1[[#This Row],[Fetal Sex (Male, Female or Unknown)]]="Unknown",Backend!$C$8,"Error"))),"")</f>
        <v/>
      </c>
      <c r="F9994" s="8" t="str">
        <f>IF(Table1[[#This Row],[Is Data Valid]]=TRUE,EXP(0.578+0.332*((Table1[[#This Row],[Gestation (days)]]+0.5)/7)-0.00354*((Table1[[#This Row],[Gestation (days)]]+0.5)/7)^2)*Table1[[#This Row],[BW40_3705]],"")</f>
        <v/>
      </c>
      <c r="G9994" s="2" t="str">
        <f>IF(Table1[[#This Row],[Is Data Valid]]=TRUE,((Table1[[#This Row],[Birthweight (grams)]]/Table1[[#This Row],[BW_GA]])-1)/(Backend!$B$4/100*Table1[[#This Row],[BW40_3705]]),"")</f>
        <v/>
      </c>
      <c r="H9994" s="7" t="str">
        <f>IF(Table1[[#This Row],[Is Data Valid]]=TRUE,((Table1[[#This Row],[Birthweight (grams)]]*0.9/Table1[[#This Row],[BW_GA]])-1)/(Backend!$B$4/100*Table1[[#This Row],[BW40_3705]]),"")</f>
        <v/>
      </c>
      <c r="I9994" s="7" t="str">
        <f>IF(Table1[[#This Row],[Is Data Valid]]=TRUE,((Table1[[#This Row],[Birthweight (grams)]]*1.1/Table1[[#This Row],[BW_GA]])-1)/(Backend!$B$4/100*Table1[[#This Row],[BW40_3705]]),"")</f>
        <v/>
      </c>
      <c r="J9994" s="7" t="str">
        <f>IF(Table1[[#This Row],[Is Data Valid]]=TRUE,_xlfn.NORM.S.DIST(Table1[[#This Row],[Birthweight Z-Score]],TRUE)*100,"")</f>
        <v/>
      </c>
      <c r="K9994" s="7" t="str">
        <f>IF(Table1[[#This Row],[Is Data Valid]]=TRUE,_xlfn.NORM.S.DIST(Table1[[#This Row],[Birthweight Z-Score (BW-10%)]],TRUE)*100,"")</f>
        <v/>
      </c>
      <c r="L9994" s="7" t="str">
        <f>IF(Table1[[#This Row],[Is Data Valid]]=TRUE,_xlfn.NORM.S.DIST(Table1[[#This Row],[Birthweight Z-Score (BW+10%)]],TRUE)*100,"")</f>
        <v/>
      </c>
    </row>
    <row r="9995" spans="1:12" x14ac:dyDescent="0.35">
      <c r="A9995" s="3"/>
      <c r="B9995" s="2"/>
      <c r="C9995" s="2"/>
      <c r="D9995" s="2" t="b">
        <f>IF(AND(NOT(ISBLANK(Table1[[#This Row],[Fetal Sex (Male, Female or Unknown)]])),ISNUMBER(Table1[[#This Row],[Birthweight (grams)]]),ISNUMBER(Table1[[#This Row],[Gestation (days)]])),TRUE,FALSE)</f>
        <v>0</v>
      </c>
      <c r="E9995" s="2" t="str">
        <f>IF(Table1[[#This Row],[Is Data Valid]]=TRUE,IF(Table1[[#This Row],[Fetal Sex (Male, Female or Unknown)]]="Male",Backend!$C$6,IF(Table1[[#This Row],[Fetal Sex (Male, Female or Unknown)]]="Female",Backend!$C$7,IF(Table1[[#This Row],[Fetal Sex (Male, Female or Unknown)]]="Unknown",Backend!$C$8,"Error"))),"")</f>
        <v/>
      </c>
      <c r="F9995" s="8" t="str">
        <f>IF(Table1[[#This Row],[Is Data Valid]]=TRUE,EXP(0.578+0.332*((Table1[[#This Row],[Gestation (days)]]+0.5)/7)-0.00354*((Table1[[#This Row],[Gestation (days)]]+0.5)/7)^2)*Table1[[#This Row],[BW40_3705]],"")</f>
        <v/>
      </c>
      <c r="G9995" s="2" t="str">
        <f>IF(Table1[[#This Row],[Is Data Valid]]=TRUE,((Table1[[#This Row],[Birthweight (grams)]]/Table1[[#This Row],[BW_GA]])-1)/(Backend!$B$4/100*Table1[[#This Row],[BW40_3705]]),"")</f>
        <v/>
      </c>
      <c r="H9995" s="7" t="str">
        <f>IF(Table1[[#This Row],[Is Data Valid]]=TRUE,((Table1[[#This Row],[Birthweight (grams)]]*0.9/Table1[[#This Row],[BW_GA]])-1)/(Backend!$B$4/100*Table1[[#This Row],[BW40_3705]]),"")</f>
        <v/>
      </c>
      <c r="I9995" s="7" t="str">
        <f>IF(Table1[[#This Row],[Is Data Valid]]=TRUE,((Table1[[#This Row],[Birthweight (grams)]]*1.1/Table1[[#This Row],[BW_GA]])-1)/(Backend!$B$4/100*Table1[[#This Row],[BW40_3705]]),"")</f>
        <v/>
      </c>
      <c r="J9995" s="7" t="str">
        <f>IF(Table1[[#This Row],[Is Data Valid]]=TRUE,_xlfn.NORM.S.DIST(Table1[[#This Row],[Birthweight Z-Score]],TRUE)*100,"")</f>
        <v/>
      </c>
      <c r="K9995" s="7" t="str">
        <f>IF(Table1[[#This Row],[Is Data Valid]]=TRUE,_xlfn.NORM.S.DIST(Table1[[#This Row],[Birthweight Z-Score (BW-10%)]],TRUE)*100,"")</f>
        <v/>
      </c>
      <c r="L9995" s="7" t="str">
        <f>IF(Table1[[#This Row],[Is Data Valid]]=TRUE,_xlfn.NORM.S.DIST(Table1[[#This Row],[Birthweight Z-Score (BW+10%)]],TRUE)*100,"")</f>
        <v/>
      </c>
    </row>
    <row r="9996" spans="1:12" x14ac:dyDescent="0.35">
      <c r="A9996" s="3"/>
      <c r="B9996" s="2"/>
      <c r="C9996" s="2"/>
      <c r="D9996" s="2" t="b">
        <f>IF(AND(NOT(ISBLANK(Table1[[#This Row],[Fetal Sex (Male, Female or Unknown)]])),ISNUMBER(Table1[[#This Row],[Birthweight (grams)]]),ISNUMBER(Table1[[#This Row],[Gestation (days)]])),TRUE,FALSE)</f>
        <v>0</v>
      </c>
      <c r="E9996" s="2" t="str">
        <f>IF(Table1[[#This Row],[Is Data Valid]]=TRUE,IF(Table1[[#This Row],[Fetal Sex (Male, Female or Unknown)]]="Male",Backend!$C$6,IF(Table1[[#This Row],[Fetal Sex (Male, Female or Unknown)]]="Female",Backend!$C$7,IF(Table1[[#This Row],[Fetal Sex (Male, Female or Unknown)]]="Unknown",Backend!$C$8,"Error"))),"")</f>
        <v/>
      </c>
      <c r="F9996" s="8" t="str">
        <f>IF(Table1[[#This Row],[Is Data Valid]]=TRUE,EXP(0.578+0.332*((Table1[[#This Row],[Gestation (days)]]+0.5)/7)-0.00354*((Table1[[#This Row],[Gestation (days)]]+0.5)/7)^2)*Table1[[#This Row],[BW40_3705]],"")</f>
        <v/>
      </c>
      <c r="G9996" s="2" t="str">
        <f>IF(Table1[[#This Row],[Is Data Valid]]=TRUE,((Table1[[#This Row],[Birthweight (grams)]]/Table1[[#This Row],[BW_GA]])-1)/(Backend!$B$4/100*Table1[[#This Row],[BW40_3705]]),"")</f>
        <v/>
      </c>
      <c r="H9996" s="7" t="str">
        <f>IF(Table1[[#This Row],[Is Data Valid]]=TRUE,((Table1[[#This Row],[Birthweight (grams)]]*0.9/Table1[[#This Row],[BW_GA]])-1)/(Backend!$B$4/100*Table1[[#This Row],[BW40_3705]]),"")</f>
        <v/>
      </c>
      <c r="I9996" s="7" t="str">
        <f>IF(Table1[[#This Row],[Is Data Valid]]=TRUE,((Table1[[#This Row],[Birthweight (grams)]]*1.1/Table1[[#This Row],[BW_GA]])-1)/(Backend!$B$4/100*Table1[[#This Row],[BW40_3705]]),"")</f>
        <v/>
      </c>
      <c r="J9996" s="7" t="str">
        <f>IF(Table1[[#This Row],[Is Data Valid]]=TRUE,_xlfn.NORM.S.DIST(Table1[[#This Row],[Birthweight Z-Score]],TRUE)*100,"")</f>
        <v/>
      </c>
      <c r="K9996" s="7" t="str">
        <f>IF(Table1[[#This Row],[Is Data Valid]]=TRUE,_xlfn.NORM.S.DIST(Table1[[#This Row],[Birthweight Z-Score (BW-10%)]],TRUE)*100,"")</f>
        <v/>
      </c>
      <c r="L9996" s="7" t="str">
        <f>IF(Table1[[#This Row],[Is Data Valid]]=TRUE,_xlfn.NORM.S.DIST(Table1[[#This Row],[Birthweight Z-Score (BW+10%)]],TRUE)*100,"")</f>
        <v/>
      </c>
    </row>
    <row r="9997" spans="1:12" x14ac:dyDescent="0.35">
      <c r="A9997" s="3"/>
      <c r="B9997" s="2"/>
      <c r="C9997" s="2"/>
      <c r="D9997" s="2" t="b">
        <f>IF(AND(NOT(ISBLANK(Table1[[#This Row],[Fetal Sex (Male, Female or Unknown)]])),ISNUMBER(Table1[[#This Row],[Birthweight (grams)]]),ISNUMBER(Table1[[#This Row],[Gestation (days)]])),TRUE,FALSE)</f>
        <v>0</v>
      </c>
      <c r="E9997" s="2" t="str">
        <f>IF(Table1[[#This Row],[Is Data Valid]]=TRUE,IF(Table1[[#This Row],[Fetal Sex (Male, Female or Unknown)]]="Male",Backend!$C$6,IF(Table1[[#This Row],[Fetal Sex (Male, Female or Unknown)]]="Female",Backend!$C$7,IF(Table1[[#This Row],[Fetal Sex (Male, Female or Unknown)]]="Unknown",Backend!$C$8,"Error"))),"")</f>
        <v/>
      </c>
      <c r="F9997" s="8" t="str">
        <f>IF(Table1[[#This Row],[Is Data Valid]]=TRUE,EXP(0.578+0.332*((Table1[[#This Row],[Gestation (days)]]+0.5)/7)-0.00354*((Table1[[#This Row],[Gestation (days)]]+0.5)/7)^2)*Table1[[#This Row],[BW40_3705]],"")</f>
        <v/>
      </c>
      <c r="G9997" s="2" t="str">
        <f>IF(Table1[[#This Row],[Is Data Valid]]=TRUE,((Table1[[#This Row],[Birthweight (grams)]]/Table1[[#This Row],[BW_GA]])-1)/(Backend!$B$4/100*Table1[[#This Row],[BW40_3705]]),"")</f>
        <v/>
      </c>
      <c r="H9997" s="7" t="str">
        <f>IF(Table1[[#This Row],[Is Data Valid]]=TRUE,((Table1[[#This Row],[Birthweight (grams)]]*0.9/Table1[[#This Row],[BW_GA]])-1)/(Backend!$B$4/100*Table1[[#This Row],[BW40_3705]]),"")</f>
        <v/>
      </c>
      <c r="I9997" s="7" t="str">
        <f>IF(Table1[[#This Row],[Is Data Valid]]=TRUE,((Table1[[#This Row],[Birthweight (grams)]]*1.1/Table1[[#This Row],[BW_GA]])-1)/(Backend!$B$4/100*Table1[[#This Row],[BW40_3705]]),"")</f>
        <v/>
      </c>
      <c r="J9997" s="7" t="str">
        <f>IF(Table1[[#This Row],[Is Data Valid]]=TRUE,_xlfn.NORM.S.DIST(Table1[[#This Row],[Birthweight Z-Score]],TRUE)*100,"")</f>
        <v/>
      </c>
      <c r="K9997" s="7" t="str">
        <f>IF(Table1[[#This Row],[Is Data Valid]]=TRUE,_xlfn.NORM.S.DIST(Table1[[#This Row],[Birthweight Z-Score (BW-10%)]],TRUE)*100,"")</f>
        <v/>
      </c>
      <c r="L9997" s="7" t="str">
        <f>IF(Table1[[#This Row],[Is Data Valid]]=TRUE,_xlfn.NORM.S.DIST(Table1[[#This Row],[Birthweight Z-Score (BW+10%)]],TRUE)*100,"")</f>
        <v/>
      </c>
    </row>
    <row r="9998" spans="1:12" x14ac:dyDescent="0.35">
      <c r="A9998" s="3"/>
      <c r="B9998" s="2"/>
      <c r="C9998" s="2"/>
      <c r="D9998" s="2" t="b">
        <f>IF(AND(NOT(ISBLANK(Table1[[#This Row],[Fetal Sex (Male, Female or Unknown)]])),ISNUMBER(Table1[[#This Row],[Birthweight (grams)]]),ISNUMBER(Table1[[#This Row],[Gestation (days)]])),TRUE,FALSE)</f>
        <v>0</v>
      </c>
      <c r="E9998" s="2" t="str">
        <f>IF(Table1[[#This Row],[Is Data Valid]]=TRUE,IF(Table1[[#This Row],[Fetal Sex (Male, Female or Unknown)]]="Male",Backend!$C$6,IF(Table1[[#This Row],[Fetal Sex (Male, Female or Unknown)]]="Female",Backend!$C$7,IF(Table1[[#This Row],[Fetal Sex (Male, Female or Unknown)]]="Unknown",Backend!$C$8,"Error"))),"")</f>
        <v/>
      </c>
      <c r="F9998" s="8" t="str">
        <f>IF(Table1[[#This Row],[Is Data Valid]]=TRUE,EXP(0.578+0.332*((Table1[[#This Row],[Gestation (days)]]+0.5)/7)-0.00354*((Table1[[#This Row],[Gestation (days)]]+0.5)/7)^2)*Table1[[#This Row],[BW40_3705]],"")</f>
        <v/>
      </c>
      <c r="G9998" s="2" t="str">
        <f>IF(Table1[[#This Row],[Is Data Valid]]=TRUE,((Table1[[#This Row],[Birthweight (grams)]]/Table1[[#This Row],[BW_GA]])-1)/(Backend!$B$4/100*Table1[[#This Row],[BW40_3705]]),"")</f>
        <v/>
      </c>
      <c r="H9998" s="7" t="str">
        <f>IF(Table1[[#This Row],[Is Data Valid]]=TRUE,((Table1[[#This Row],[Birthweight (grams)]]*0.9/Table1[[#This Row],[BW_GA]])-1)/(Backend!$B$4/100*Table1[[#This Row],[BW40_3705]]),"")</f>
        <v/>
      </c>
      <c r="I9998" s="7" t="str">
        <f>IF(Table1[[#This Row],[Is Data Valid]]=TRUE,((Table1[[#This Row],[Birthweight (grams)]]*1.1/Table1[[#This Row],[BW_GA]])-1)/(Backend!$B$4/100*Table1[[#This Row],[BW40_3705]]),"")</f>
        <v/>
      </c>
      <c r="J9998" s="7" t="str">
        <f>IF(Table1[[#This Row],[Is Data Valid]]=TRUE,_xlfn.NORM.S.DIST(Table1[[#This Row],[Birthweight Z-Score]],TRUE)*100,"")</f>
        <v/>
      </c>
      <c r="K9998" s="7" t="str">
        <f>IF(Table1[[#This Row],[Is Data Valid]]=TRUE,_xlfn.NORM.S.DIST(Table1[[#This Row],[Birthweight Z-Score (BW-10%)]],TRUE)*100,"")</f>
        <v/>
      </c>
      <c r="L9998" s="7" t="str">
        <f>IF(Table1[[#This Row],[Is Data Valid]]=TRUE,_xlfn.NORM.S.DIST(Table1[[#This Row],[Birthweight Z-Score (BW+10%)]],TRUE)*100,"")</f>
        <v/>
      </c>
    </row>
    <row r="9999" spans="1:12" x14ac:dyDescent="0.35">
      <c r="A9999" s="3"/>
      <c r="B9999" s="2"/>
      <c r="C9999" s="2"/>
      <c r="D9999" s="2" t="b">
        <f>IF(AND(NOT(ISBLANK(Table1[[#This Row],[Fetal Sex (Male, Female or Unknown)]])),ISNUMBER(Table1[[#This Row],[Birthweight (grams)]]),ISNUMBER(Table1[[#This Row],[Gestation (days)]])),TRUE,FALSE)</f>
        <v>0</v>
      </c>
      <c r="E9999" s="2" t="str">
        <f>IF(Table1[[#This Row],[Is Data Valid]]=TRUE,IF(Table1[[#This Row],[Fetal Sex (Male, Female or Unknown)]]="Male",Backend!$C$6,IF(Table1[[#This Row],[Fetal Sex (Male, Female or Unknown)]]="Female",Backend!$C$7,IF(Table1[[#This Row],[Fetal Sex (Male, Female or Unknown)]]="Unknown",Backend!$C$8,"Error"))),"")</f>
        <v/>
      </c>
      <c r="F9999" s="8" t="str">
        <f>IF(Table1[[#This Row],[Is Data Valid]]=TRUE,EXP(0.578+0.332*((Table1[[#This Row],[Gestation (days)]]+0.5)/7)-0.00354*((Table1[[#This Row],[Gestation (days)]]+0.5)/7)^2)*Table1[[#This Row],[BW40_3705]],"")</f>
        <v/>
      </c>
      <c r="G9999" s="2" t="str">
        <f>IF(Table1[[#This Row],[Is Data Valid]]=TRUE,((Table1[[#This Row],[Birthweight (grams)]]/Table1[[#This Row],[BW_GA]])-1)/(Backend!$B$4/100*Table1[[#This Row],[BW40_3705]]),"")</f>
        <v/>
      </c>
      <c r="H9999" s="7" t="str">
        <f>IF(Table1[[#This Row],[Is Data Valid]]=TRUE,((Table1[[#This Row],[Birthweight (grams)]]*0.9/Table1[[#This Row],[BW_GA]])-1)/(Backend!$B$4/100*Table1[[#This Row],[BW40_3705]]),"")</f>
        <v/>
      </c>
      <c r="I9999" s="7" t="str">
        <f>IF(Table1[[#This Row],[Is Data Valid]]=TRUE,((Table1[[#This Row],[Birthweight (grams)]]*1.1/Table1[[#This Row],[BW_GA]])-1)/(Backend!$B$4/100*Table1[[#This Row],[BW40_3705]]),"")</f>
        <v/>
      </c>
      <c r="J9999" s="7" t="str">
        <f>IF(Table1[[#This Row],[Is Data Valid]]=TRUE,_xlfn.NORM.S.DIST(Table1[[#This Row],[Birthweight Z-Score]],TRUE)*100,"")</f>
        <v/>
      </c>
      <c r="K9999" s="7" t="str">
        <f>IF(Table1[[#This Row],[Is Data Valid]]=TRUE,_xlfn.NORM.S.DIST(Table1[[#This Row],[Birthweight Z-Score (BW-10%)]],TRUE)*100,"")</f>
        <v/>
      </c>
      <c r="L9999" s="7" t="str">
        <f>IF(Table1[[#This Row],[Is Data Valid]]=TRUE,_xlfn.NORM.S.DIST(Table1[[#This Row],[Birthweight Z-Score (BW+10%)]],TRUE)*100,"")</f>
        <v/>
      </c>
    </row>
    <row r="10000" spans="1:12" x14ac:dyDescent="0.35">
      <c r="A10000" s="3"/>
      <c r="B10000" s="2"/>
      <c r="C10000" s="2"/>
      <c r="D10000" s="2" t="b">
        <f>IF(AND(NOT(ISBLANK(Table1[[#This Row],[Fetal Sex (Male, Female or Unknown)]])),ISNUMBER(Table1[[#This Row],[Birthweight (grams)]]),ISNUMBER(Table1[[#This Row],[Gestation (days)]])),TRUE,FALSE)</f>
        <v>0</v>
      </c>
      <c r="E10000" s="2" t="str">
        <f>IF(Table1[[#This Row],[Is Data Valid]]=TRUE,IF(Table1[[#This Row],[Fetal Sex (Male, Female or Unknown)]]="Male",Backend!$C$6,IF(Table1[[#This Row],[Fetal Sex (Male, Female or Unknown)]]="Female",Backend!$C$7,IF(Table1[[#This Row],[Fetal Sex (Male, Female or Unknown)]]="Unknown",Backend!$C$8,"Error"))),"")</f>
        <v/>
      </c>
      <c r="F10000" s="8" t="str">
        <f>IF(Table1[[#This Row],[Is Data Valid]]=TRUE,EXP(0.578+0.332*((Table1[[#This Row],[Gestation (days)]]+0.5)/7)-0.00354*((Table1[[#This Row],[Gestation (days)]]+0.5)/7)^2)*Table1[[#This Row],[BW40_3705]],"")</f>
        <v/>
      </c>
      <c r="G10000" s="2" t="str">
        <f>IF(Table1[[#This Row],[Is Data Valid]]=TRUE,((Table1[[#This Row],[Birthweight (grams)]]/Table1[[#This Row],[BW_GA]])-1)/(Backend!$B$4/100*Table1[[#This Row],[BW40_3705]]),"")</f>
        <v/>
      </c>
      <c r="H10000" s="7" t="str">
        <f>IF(Table1[[#This Row],[Is Data Valid]]=TRUE,((Table1[[#This Row],[Birthweight (grams)]]*0.9/Table1[[#This Row],[BW_GA]])-1)/(Backend!$B$4/100*Table1[[#This Row],[BW40_3705]]),"")</f>
        <v/>
      </c>
      <c r="I10000" s="7" t="str">
        <f>IF(Table1[[#This Row],[Is Data Valid]]=TRUE,((Table1[[#This Row],[Birthweight (grams)]]*1.1/Table1[[#This Row],[BW_GA]])-1)/(Backend!$B$4/100*Table1[[#This Row],[BW40_3705]]),"")</f>
        <v/>
      </c>
      <c r="J10000" s="7" t="str">
        <f>IF(Table1[[#This Row],[Is Data Valid]]=TRUE,_xlfn.NORM.S.DIST(Table1[[#This Row],[Birthweight Z-Score]],TRUE)*100,"")</f>
        <v/>
      </c>
      <c r="K10000" s="7" t="str">
        <f>IF(Table1[[#This Row],[Is Data Valid]]=TRUE,_xlfn.NORM.S.DIST(Table1[[#This Row],[Birthweight Z-Score (BW-10%)]],TRUE)*100,"")</f>
        <v/>
      </c>
      <c r="L10000" s="7" t="str">
        <f>IF(Table1[[#This Row],[Is Data Valid]]=TRUE,_xlfn.NORM.S.DIST(Table1[[#This Row],[Birthweight Z-Score (BW+10%)]],TRUE)*100,"")</f>
        <v/>
      </c>
    </row>
  </sheetData>
  <phoneticPr fontId="6" type="noConversion"/>
  <conditionalFormatting sqref="D2:D10000">
    <cfRule type="containsText" dxfId="1" priority="1" operator="containsText" text="TRUE">
      <formula>NOT(ISERROR(SEARCH("TRUE",D2)))</formula>
    </cfRule>
    <cfRule type="containsText" dxfId="0" priority="2" operator="containsText" text="FALSE">
      <formula>NOT(ISERROR(SEARCH("FALSE",D2)))</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392E54A-8E48-4E94-ACC9-96F4C073C801}">
          <x14:formula1>
            <xm:f>Backend!$A$6:$A$8</xm:f>
          </x14:formula1>
          <xm:sqref>A2:A10000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6097-6E22-4F2A-9D7E-2BE18D84FFB8}">
  <dimension ref="A1:D8"/>
  <sheetViews>
    <sheetView tabSelected="1" workbookViewId="0">
      <selection activeCell="C15" sqref="C15"/>
    </sheetView>
  </sheetViews>
  <sheetFormatPr defaultRowHeight="14.5" x14ac:dyDescent="0.35"/>
  <cols>
    <col min="1" max="3" width="45.7265625" customWidth="1"/>
    <col min="4" max="4" width="9.1796875" customWidth="1"/>
  </cols>
  <sheetData>
    <row r="1" spans="1:4" ht="29.25" customHeight="1" thickBot="1" x14ac:dyDescent="0.4">
      <c r="A1" s="11" t="s">
        <v>24</v>
      </c>
      <c r="B1" s="25" t="s">
        <v>23</v>
      </c>
      <c r="C1" s="26" t="s">
        <v>33</v>
      </c>
    </row>
    <row r="2" spans="1:4" ht="29.25" customHeight="1" x14ac:dyDescent="0.35">
      <c r="A2" s="11"/>
      <c r="B2" s="21"/>
      <c r="C2" s="15"/>
    </row>
    <row r="3" spans="1:4" ht="29" x14ac:dyDescent="0.35">
      <c r="A3" s="10"/>
      <c r="B3" s="24" t="s">
        <v>27</v>
      </c>
      <c r="C3" s="23" t="s">
        <v>12</v>
      </c>
    </row>
    <row r="4" spans="1:4" ht="34.5" customHeight="1" x14ac:dyDescent="0.35">
      <c r="A4" s="11" t="s">
        <v>13</v>
      </c>
      <c r="B4" s="14">
        <f>VLOOKUP(B1,Data_Sources_Full,3,FALSE)</f>
        <v>11.182828799999999</v>
      </c>
      <c r="C4" s="14"/>
    </row>
    <row r="5" spans="1:4" x14ac:dyDescent="0.35">
      <c r="A5" s="1" t="s">
        <v>18</v>
      </c>
      <c r="B5" s="1" t="s">
        <v>9</v>
      </c>
      <c r="C5" s="1" t="s">
        <v>10</v>
      </c>
      <c r="D5" s="1"/>
    </row>
    <row r="6" spans="1:4" x14ac:dyDescent="0.35">
      <c r="A6" t="s">
        <v>4</v>
      </c>
      <c r="B6">
        <f>VLOOKUP(B1,Data_Sources_Full,4,FALSE)</f>
        <v>3633</v>
      </c>
      <c r="C6">
        <f>B6/3705</f>
        <v>0.98056680161943321</v>
      </c>
    </row>
    <row r="7" spans="1:4" x14ac:dyDescent="0.35">
      <c r="A7" t="s">
        <v>5</v>
      </c>
      <c r="B7">
        <f>VLOOKUP(B1,Data_Sources_Full,5,FALSE)</f>
        <v>3503</v>
      </c>
      <c r="C7">
        <f t="shared" ref="C7:C8" si="0">B7/3705</f>
        <v>0.9454790823211876</v>
      </c>
    </row>
    <row r="8" spans="1:4" x14ac:dyDescent="0.35">
      <c r="A8" t="s">
        <v>6</v>
      </c>
      <c r="B8">
        <f>VLOOKUP(B1,Data_Sources_Full,6,FALSE)</f>
        <v>3568</v>
      </c>
      <c r="C8">
        <f t="shared" si="0"/>
        <v>0.96302294197031035</v>
      </c>
    </row>
  </sheetData>
  <dataValidations count="1">
    <dataValidation type="list" allowBlank="1" showInputMessage="1" showErrorMessage="1" sqref="B1" xr:uid="{6CABB405-84AD-411C-BCBE-7789542FF0D1}">
      <formula1>Data_Sources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181D070-9C3F-4BCF-886E-951F9EE035C1}">
          <x14:formula1>
            <xm:f>Sources!$A$2:$A$20</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D715-12E6-4228-A4EE-ADB5F3A5C593}">
  <dimension ref="A1:F51"/>
  <sheetViews>
    <sheetView workbookViewId="0">
      <selection activeCell="C18" sqref="C18"/>
    </sheetView>
  </sheetViews>
  <sheetFormatPr defaultRowHeight="14.5" x14ac:dyDescent="0.35"/>
  <cols>
    <col min="1" max="1" width="15.6328125" customWidth="1"/>
    <col min="2" max="2" width="23.6328125" customWidth="1"/>
    <col min="3" max="3" width="22.1796875" customWidth="1"/>
    <col min="4" max="6" width="15.6328125" customWidth="1"/>
  </cols>
  <sheetData>
    <row r="1" spans="1:6" x14ac:dyDescent="0.35">
      <c r="A1" s="27" t="s">
        <v>19</v>
      </c>
      <c r="B1" s="28" t="s">
        <v>26</v>
      </c>
      <c r="C1" s="28" t="s">
        <v>20</v>
      </c>
      <c r="D1" s="28" t="s">
        <v>21</v>
      </c>
      <c r="E1" s="28" t="s">
        <v>22</v>
      </c>
      <c r="F1" s="29" t="s">
        <v>28</v>
      </c>
    </row>
    <row r="2" spans="1:6" x14ac:dyDescent="0.35">
      <c r="A2" s="16" t="s">
        <v>29</v>
      </c>
      <c r="B2" s="31" t="s">
        <v>31</v>
      </c>
      <c r="C2">
        <v>11.77056</v>
      </c>
      <c r="D2">
        <v>3641</v>
      </c>
      <c r="E2">
        <v>3504</v>
      </c>
      <c r="F2" s="17">
        <v>3573</v>
      </c>
    </row>
    <row r="3" spans="1:6" x14ac:dyDescent="0.35">
      <c r="A3" s="16" t="s">
        <v>23</v>
      </c>
      <c r="B3" s="30" t="s">
        <v>30</v>
      </c>
      <c r="C3">
        <v>11.182828799999999</v>
      </c>
      <c r="D3">
        <v>3633</v>
      </c>
      <c r="E3">
        <v>3503</v>
      </c>
      <c r="F3" s="17">
        <v>3568</v>
      </c>
    </row>
    <row r="4" spans="1:6" x14ac:dyDescent="0.35">
      <c r="A4" s="16"/>
      <c r="F4" s="17"/>
    </row>
    <row r="5" spans="1:6" x14ac:dyDescent="0.35">
      <c r="A5" s="16"/>
      <c r="F5" s="17"/>
    </row>
    <row r="6" spans="1:6" x14ac:dyDescent="0.35">
      <c r="A6" s="16"/>
      <c r="F6" s="17"/>
    </row>
    <row r="7" spans="1:6" x14ac:dyDescent="0.35">
      <c r="A7" s="16"/>
      <c r="F7" s="17"/>
    </row>
    <row r="8" spans="1:6" x14ac:dyDescent="0.35">
      <c r="A8" s="16"/>
      <c r="F8" s="17"/>
    </row>
    <row r="9" spans="1:6" x14ac:dyDescent="0.35">
      <c r="A9" s="16"/>
      <c r="F9" s="17"/>
    </row>
    <row r="10" spans="1:6" x14ac:dyDescent="0.35">
      <c r="A10" s="16"/>
      <c r="F10" s="17"/>
    </row>
    <row r="11" spans="1:6" x14ac:dyDescent="0.35">
      <c r="A11" s="16"/>
      <c r="F11" s="17"/>
    </row>
    <row r="12" spans="1:6" x14ac:dyDescent="0.35">
      <c r="A12" s="16"/>
      <c r="F12" s="17"/>
    </row>
    <row r="13" spans="1:6" x14ac:dyDescent="0.35">
      <c r="A13" s="16"/>
      <c r="F13" s="17"/>
    </row>
    <row r="14" spans="1:6" x14ac:dyDescent="0.35">
      <c r="A14" s="16"/>
      <c r="F14" s="17"/>
    </row>
    <row r="15" spans="1:6" x14ac:dyDescent="0.35">
      <c r="A15" s="16"/>
      <c r="F15" s="17"/>
    </row>
    <row r="16" spans="1:6" x14ac:dyDescent="0.35">
      <c r="A16" s="16"/>
      <c r="F16" s="17"/>
    </row>
    <row r="17" spans="1:6" x14ac:dyDescent="0.35">
      <c r="A17" s="16"/>
      <c r="F17" s="17"/>
    </row>
    <row r="18" spans="1:6" x14ac:dyDescent="0.35">
      <c r="A18" s="16"/>
      <c r="F18" s="17"/>
    </row>
    <row r="19" spans="1:6" x14ac:dyDescent="0.35">
      <c r="A19" s="16"/>
      <c r="F19" s="17"/>
    </row>
    <row r="20" spans="1:6" x14ac:dyDescent="0.35">
      <c r="A20" s="16"/>
      <c r="F20" s="17"/>
    </row>
    <row r="21" spans="1:6" x14ac:dyDescent="0.35">
      <c r="A21" s="16"/>
      <c r="F21" s="17"/>
    </row>
    <row r="22" spans="1:6" x14ac:dyDescent="0.35">
      <c r="A22" s="16"/>
      <c r="F22" s="17"/>
    </row>
    <row r="23" spans="1:6" x14ac:dyDescent="0.35">
      <c r="A23" s="16"/>
      <c r="F23" s="17"/>
    </row>
    <row r="24" spans="1:6" x14ac:dyDescent="0.35">
      <c r="A24" s="16"/>
      <c r="F24" s="17"/>
    </row>
    <row r="25" spans="1:6" x14ac:dyDescent="0.35">
      <c r="A25" s="16"/>
      <c r="F25" s="17"/>
    </row>
    <row r="26" spans="1:6" x14ac:dyDescent="0.35">
      <c r="A26" s="16"/>
      <c r="F26" s="17"/>
    </row>
    <row r="27" spans="1:6" x14ac:dyDescent="0.35">
      <c r="A27" s="16"/>
      <c r="F27" s="17"/>
    </row>
    <row r="28" spans="1:6" x14ac:dyDescent="0.35">
      <c r="A28" s="16"/>
      <c r="F28" s="17"/>
    </row>
    <row r="29" spans="1:6" x14ac:dyDescent="0.35">
      <c r="A29" s="16"/>
      <c r="F29" s="17"/>
    </row>
    <row r="30" spans="1:6" x14ac:dyDescent="0.35">
      <c r="A30" s="16"/>
      <c r="F30" s="17"/>
    </row>
    <row r="31" spans="1:6" x14ac:dyDescent="0.35">
      <c r="A31" s="16"/>
      <c r="F31" s="17"/>
    </row>
    <row r="32" spans="1:6" x14ac:dyDescent="0.35">
      <c r="A32" s="16"/>
      <c r="F32" s="17"/>
    </row>
    <row r="33" spans="1:6" x14ac:dyDescent="0.35">
      <c r="A33" s="16"/>
      <c r="F33" s="17"/>
    </row>
    <row r="34" spans="1:6" x14ac:dyDescent="0.35">
      <c r="A34" s="16"/>
      <c r="F34" s="17"/>
    </row>
    <row r="35" spans="1:6" x14ac:dyDescent="0.35">
      <c r="A35" s="16"/>
      <c r="F35" s="17"/>
    </row>
    <row r="36" spans="1:6" x14ac:dyDescent="0.35">
      <c r="A36" s="16"/>
      <c r="F36" s="17"/>
    </row>
    <row r="37" spans="1:6" x14ac:dyDescent="0.35">
      <c r="A37" s="16"/>
      <c r="F37" s="17"/>
    </row>
    <row r="38" spans="1:6" x14ac:dyDescent="0.35">
      <c r="A38" s="16"/>
      <c r="F38" s="17"/>
    </row>
    <row r="39" spans="1:6" x14ac:dyDescent="0.35">
      <c r="A39" s="16"/>
      <c r="F39" s="17"/>
    </row>
    <row r="40" spans="1:6" x14ac:dyDescent="0.35">
      <c r="A40" s="16"/>
      <c r="F40" s="17"/>
    </row>
    <row r="41" spans="1:6" x14ac:dyDescent="0.35">
      <c r="A41" s="16"/>
      <c r="F41" s="17"/>
    </row>
    <row r="42" spans="1:6" x14ac:dyDescent="0.35">
      <c r="A42" s="16"/>
      <c r="F42" s="17"/>
    </row>
    <row r="43" spans="1:6" x14ac:dyDescent="0.35">
      <c r="A43" s="16"/>
      <c r="F43" s="17"/>
    </row>
    <row r="44" spans="1:6" x14ac:dyDescent="0.35">
      <c r="A44" s="16"/>
      <c r="F44" s="17"/>
    </row>
    <row r="45" spans="1:6" x14ac:dyDescent="0.35">
      <c r="A45" s="16"/>
      <c r="F45" s="17"/>
    </row>
    <row r="46" spans="1:6" x14ac:dyDescent="0.35">
      <c r="A46" s="16"/>
      <c r="F46" s="17"/>
    </row>
    <row r="47" spans="1:6" x14ac:dyDescent="0.35">
      <c r="A47" s="16"/>
      <c r="F47" s="17"/>
    </row>
    <row r="48" spans="1:6" x14ac:dyDescent="0.35">
      <c r="A48" s="16"/>
      <c r="F48" s="17"/>
    </row>
    <row r="49" spans="1:6" x14ac:dyDescent="0.35">
      <c r="A49" s="16"/>
      <c r="F49" s="17"/>
    </row>
    <row r="50" spans="1:6" ht="15" thickBot="1" x14ac:dyDescent="0.4">
      <c r="A50" s="18"/>
      <c r="B50" s="19"/>
      <c r="C50" s="19"/>
      <c r="D50" s="19"/>
      <c r="E50" s="19"/>
      <c r="F50" s="20"/>
    </row>
    <row r="51" spans="1:6" x14ac:dyDescent="0.35">
      <c r="A51" s="22" t="s">
        <v>25</v>
      </c>
      <c r="B51" s="22"/>
    </row>
  </sheetData>
  <hyperlinks>
    <hyperlink ref="B3" r:id="rId1" xr:uid="{597AA736-8E32-4875-BD92-C48F2CB8C55E}"/>
    <hyperlink ref="B2" r:id="rId2" xr:uid="{EF48B7EE-DD04-4CEF-89BB-8453F8929C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How to Use</vt:lpstr>
      <vt:lpstr>Calculator</vt:lpstr>
      <vt:lpstr>Backend</vt:lpstr>
      <vt:lpstr>Sources</vt:lpstr>
      <vt:lpstr>Data_Sources_Full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Keenan</dc:creator>
  <cp:lastModifiedBy>Emerson Keenan</cp:lastModifiedBy>
  <dcterms:created xsi:type="dcterms:W3CDTF">2022-02-11T01:56:58Z</dcterms:created>
  <dcterms:modified xsi:type="dcterms:W3CDTF">2025-10-23T21:10:34Z</dcterms:modified>
</cp:coreProperties>
</file>